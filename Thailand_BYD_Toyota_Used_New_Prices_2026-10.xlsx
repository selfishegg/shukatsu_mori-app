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drawings/charts/chart10.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11.xml" ContentType="application/vnd.openxmlformats-officedocument.drawingml.chart+xml"/>
  <Override PartName="/xl/drawings/charts/chart12.xml" ContentType="application/vnd.openxmlformats-officedocument.drawingml.char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c3c79394374006" /></Relationships>
</file>

<file path=xl/workbook.xml><?xml version="1.0" encoding="utf-8"?>
<x:workbook xmlns:x="http://schemas.openxmlformats.org/spreadsheetml/2006/main">
  <x:sheets>
    <x:sheet xmlns:r="http://schemas.openxmlformats.org/officeDocument/2006/relationships" name="比較とグラフ" sheetId="1" r:id="R1237c10371dd452f"/>
    <x:sheet xmlns:r="http://schemas.openxmlformats.org/officeDocument/2006/relationships" name="条件別集計" sheetId="2" r:id="Re37da8aab64a4443"/>
    <x:sheet xmlns:r="http://schemas.openxmlformats.org/officeDocument/2006/relationships" name="中古車掲載" sheetId="3" r:id="R977124c529bd465b"/>
    <x:sheet xmlns:r="http://schemas.openxmlformats.org/officeDocument/2006/relationships" name="新車価格・特価" sheetId="4" r:id="Rdd0417d39d004cbc"/>
    <x:sheet xmlns:r="http://schemas.openxmlformats.org/officeDocument/2006/relationships" name="中古車の実時系列" sheetId="5" r:id="Rfbe0023c4a074283"/>
    <x:sheet xmlns:r="http://schemas.openxmlformats.org/officeDocument/2006/relationships" name="分析方法" sheetId="6" r:id="R9d95c73a0f744df7"/>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Red](#,##0);0"/>
    <x:numFmt numFmtId="203" formatCode="0.0%;[Red](0.0%);0.0%"/>
    <x:numFmt numFmtId="204" formatCode="0.0"/>
  </x:numFmts>
  <x:fonts count="5">
    <x:font>
      <x:sz val="11"/>
      <x:name val="Carlito"/>
    </x:font>
    <x:font>
      <x:sz val="10"/>
      <x:color rgb="FF203348"/>
      <x:name val="Noto Sans CJK JP"/>
    </x:font>
    <x:font>
      <x:b/>
      <x:sz val="15"/>
      <x:color rgb="FF17324D"/>
      <x:name val="Noto Sans CJK JP"/>
    </x:font>
    <x:font>
      <x:b/>
      <x:sz val="10"/>
      <x:color rgb="FFFFFFFF"/>
      <x:name val="Noto Sans CJK JP"/>
    </x:font>
    <x:font>
      <x:sz val="10"/>
      <x:color rgb="FF286A95"/>
      <x:name val="Noto Sans CJK JP"/>
    </x:font>
  </x:fonts>
  <x:fills count="11">
    <x:fill>
      <x:patternFill patternType="none"/>
    </x:fill>
    <x:fill>
      <x:patternFill patternType="gray125"/>
    </x:fill>
    <x:fill>
      <x:patternFill patternType="solid">
        <x:fgColor rgb="FFFFF4D6"/>
      </x:patternFill>
    </x:fill>
    <x:fill>
      <x:patternFill patternType="solid">
        <x:fgColor rgb="FF17324D"/>
      </x:patternFill>
    </x:fill>
    <x:fill>
      <x:patternFill patternType="solid">
        <x:fgColor rgb="FFF5F8FA"/>
      </x:patternFill>
    </x:fill>
    <x:fill>
      <x:patternFill patternType="solid">
        <x:fgColor rgb="FFFFFFFF"/>
      </x:patternFill>
    </x:fill>
    <x:fill>
      <x:patternFill patternType="solid">
        <x:fgColor rgb="FFEAF3FB"/>
      </x:patternFill>
    </x:fill>
    <x:fill>
      <x:patternFill patternType="solid">
        <x:fgColor rgb="FFF2F7F0"/>
      </x:patternFill>
    </x:fill>
    <x:fill>
      <x:patternFill patternType="solid">
        <x:fgColor rgb="FFEEF5FA"/>
      </x:patternFill>
    </x:fill>
    <x:fill>
      <x:patternFill patternType="solid">
        <x:fgColor rgb="FFF0F6EE"/>
      </x:patternFill>
    </x:fill>
    <x:fill>
      <x:patternFill patternType="solid">
        <x:fgColor rgb="FFF3F5F7"/>
      </x:patternFill>
    </x:fill>
  </x:fills>
  <x:borders count="5">
    <x:border>
      <x:left/>
      <x:right/>
      <x:top/>
      <x:bottom/>
      <x:diagonal/>
    </x:border>
    <x:border>
      <x:left/>
      <x:right/>
      <x:top/>
      <x:bottom style="thin">
        <x:color rgb="FFB2C3D2"/>
      </x:bottom>
      <x:diagonal/>
    </x:border>
    <x:border>
      <x:left/>
      <x:right style="thin">
        <x:color rgb="FFFFFFFF"/>
      </x:right>
      <x:top/>
      <x:bottom/>
      <x:diagonal/>
    </x:border>
    <x:border>
      <x:left style="thin">
        <x:color rgb="FFFFFFFF"/>
      </x:left>
      <x:right/>
      <x:top/>
      <x:bottom/>
      <x:diagonal/>
    </x:border>
    <x:border>
      <x:left style="thin">
        <x:color rgb="FFFFFFFF"/>
      </x:left>
      <x:right style="thin">
        <x:color rgb="FFFFFFFF"/>
      </x:right>
      <x:top/>
      <x:bottom/>
      <x:diagonal/>
    </x:border>
  </x:borders>
  <x:cellStyleXfs count="1">
    <x:xf numFmtId="0" fontId="0" fillId="0" borderId="0"/>
  </x:cellStyleXfs>
  <x:cellXfs count="3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2"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0"/>
    </x:xf>
    <x:xf numFmtId="0" fontId="0" fillId="0" borderId="1" xfId="0" applyNumberFormat="1" applyFont="1" applyFill="1" applyBorder="1"/>
    <x:xf numFmtId="200" fontId="1" fillId="0" borderId="0" xfId="0" applyNumberFormat="1" applyFont="1" applyFill="1" applyBorder="1" applyAlignment="1">
      <x:alignment vertical="center" wrapText="0"/>
    </x:xf>
    <x:xf numFmtId="201" fontId="1" fillId="0" borderId="0" xfId="0" applyNumberFormat="1" applyFont="1" applyFill="1" applyBorder="1" applyAlignment="1">
      <x:alignment vertical="center" wrapText="0"/>
    </x:xf>
    <x:xf numFmtId="200" fontId="1" fillId="2"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201" fontId="1" fillId="2" borderId="0" xfId="0" applyNumberFormat="1" applyFont="1" applyFill="1" applyBorder="1" applyAlignment="1">
      <x:alignment vertical="center" wrapText="0"/>
    </x:xf>
    <x:xf numFmtId="0" fontId="1" fillId="3" borderId="0" xfId="0" applyNumberFormat="1" applyFont="1" applyFill="1" applyBorder="1" applyAlignment="1">
      <x:alignment vertical="center" wrapText="0"/>
    </x:xf>
    <x:xf numFmtId="0" fontId="3" fillId="3" borderId="0" xfId="0" applyNumberFormat="1" applyFont="1" applyFill="1" applyBorder="1" applyAlignment="1">
      <x:alignment vertical="center" wrapText="0"/>
    </x:xf>
    <x:xf numFmtId="0" fontId="3" fillId="3" borderId="2" xfId="0" applyNumberFormat="1" applyFont="1" applyFill="1" applyBorder="1" applyAlignment="1">
      <x:alignment vertical="center" wrapText="0"/>
    </x:xf>
    <x:xf numFmtId="0" fontId="3" fillId="3" borderId="3" xfId="0" applyNumberFormat="1" applyFont="1" applyFill="1" applyBorder="1" applyAlignment="1">
      <x:alignment vertical="center" wrapText="0"/>
    </x:xf>
    <x:xf numFmtId="0" fontId="3" fillId="3" borderId="2" xfId="0" applyNumberFormat="1" applyFont="1" applyFill="1" applyBorder="1" applyAlignment="1">
      <x:alignment horizontal="center" vertical="center" wrapText="0"/>
    </x:xf>
    <x:xf numFmtId="0" fontId="3" fillId="3" borderId="3" xfId="0" applyNumberFormat="1" applyFont="1" applyFill="1" applyBorder="1" applyAlignment="1">
      <x:alignment horizontal="center" vertical="center" wrapText="0"/>
    </x:xf>
    <x:xf numFmtId="0" fontId="1" fillId="4" borderId="0" xfId="0" applyNumberFormat="1" applyFont="1" applyFill="1" applyBorder="1" applyAlignment="1">
      <x:alignment vertical="center" wrapText="0"/>
    </x:xf>
    <x:xf numFmtId="0" fontId="1" fillId="5" borderId="0" xfId="0" applyNumberFormat="1" applyFont="1" applyFill="1" applyBorder="1" applyAlignment="1">
      <x:alignment vertical="center" wrapText="0"/>
    </x:xf>
    <x:xf numFmtId="0" fontId="3" fillId="3" borderId="4" xfId="0" applyNumberFormat="1" applyFont="1" applyFill="1" applyBorder="1" applyAlignment="1">
      <x:alignment vertical="center" wrapText="0"/>
    </x:xf>
    <x:xf numFmtId="0" fontId="3" fillId="3" borderId="4" xfId="0" applyNumberFormat="1" applyFont="1" applyFill="1" applyBorder="1" applyAlignment="1">
      <x:alignment horizontal="center" vertical="center" wrapText="0"/>
    </x:xf>
    <x:xf numFmtId="202" fontId="1" fillId="0" borderId="0" xfId="0" applyNumberFormat="1" applyFont="1" applyFill="1" applyBorder="1" applyAlignment="1">
      <x:alignment vertical="center" wrapText="0"/>
    </x:xf>
    <x:xf numFmtId="203" fontId="1" fillId="0" borderId="0" xfId="0" applyNumberFormat="1" applyFont="1" applyFill="1" applyBorder="1" applyAlignment="1">
      <x:alignment vertical="center" wrapText="0"/>
    </x:xf>
    <x:xf numFmtId="202" fontId="1" fillId="6" borderId="0" xfId="0" applyNumberFormat="1" applyFont="1" applyFill="1" applyBorder="1" applyAlignment="1">
      <x:alignment vertical="center" wrapText="0"/>
    </x:xf>
    <x:xf numFmtId="202" fontId="1" fillId="7" borderId="0" xfId="0" applyNumberFormat="1" applyFont="1" applyFill="1" applyBorder="1" applyAlignment="1">
      <x:alignment vertical="center" wrapText="0"/>
    </x:xf>
    <x:xf numFmtId="203" fontId="1" fillId="7" borderId="0" xfId="0" applyNumberFormat="1" applyFont="1" applyFill="1" applyBorder="1" applyAlignment="1">
      <x:alignment vertical="center" wrapText="0"/>
    </x:xf>
    <x:xf numFmtId="0" fontId="4" fillId="0" borderId="0" xfId="0" applyNumberFormat="1" applyFont="1" applyFill="1" applyBorder="1" applyAlignment="1">
      <x:alignment vertical="center" wrapText="0"/>
    </x:xf>
    <x:xf numFmtId="202" fontId="1" fillId="8" borderId="0" xfId="0" applyNumberFormat="1" applyFont="1" applyFill="1" applyBorder="1" applyAlignment="1">
      <x:alignment vertical="center" wrapText="0"/>
    </x:xf>
    <x:xf numFmtId="202" fontId="1" fillId="9" borderId="0" xfId="0" applyNumberFormat="1" applyFont="1" applyFill="1" applyBorder="1" applyAlignment="1">
      <x:alignment vertical="center" wrapText="0"/>
    </x:xf>
    <x:xf numFmtId="203" fontId="1" fillId="9" borderId="0" xfId="0" applyNumberFormat="1" applyFont="1" applyFill="1" applyBorder="1" applyAlignment="1">
      <x:alignment vertical="center" wrapText="0"/>
    </x:xf>
    <x:xf numFmtId="0" fontId="1" fillId="10" borderId="0" xfId="0" applyNumberFormat="1" applyFont="1" applyFill="1" applyBorder="1" applyAlignment="1">
      <x:alignment vertical="center" wrapText="0"/>
    </x:xf>
    <x:xf numFmtId="202" fontId="1" fillId="10" borderId="0" xfId="0" applyNumberFormat="1" applyFont="1" applyFill="1" applyBorder="1" applyAlignment="1">
      <x:alignment vertical="center" wrapText="0"/>
    </x:xf>
    <x:xf numFmtId="203" fontId="1" fillId="10" borderId="0" xfId="0" applyNumberFormat="1" applyFont="1" applyFill="1" applyBorder="1" applyAlignment="1">
      <x:alignment vertical="center" wrapText="0"/>
    </x:xf>
    <x:xf numFmtId="204" fontId="1" fillId="0" borderId="0" xfId="0" applyNumberFormat="1" applyFont="1" applyFill="1" applyBorder="1" applyAlignment="1">
      <x:alignment vertical="center" wrapText="0"/>
    </x:xf>
  </x:cellXfs>
  <x:cellStyles count="1">
    <x:cellStyle name="Normal" xfId="0"/>
  </x:cellStyles>
  <x:dxfs count="4">
    <x:dxf>
      <x:font>
        <x:color rgb="FF9A4119"/>
      </x:font>
      <x:fill>
        <x:patternFill patternType="solid">
          <x:bgColor rgb="FFFBE3D4"/>
        </x:patternFill>
      </x:fill>
    </x:dxf>
    <x:dxf>
      <x:font>
        <x:color rgb="FF8A5713"/>
      </x:font>
      <x:fill>
        <x:patternFill patternType="solid">
          <x:bgColor rgb="FFFFF1D6"/>
        </x:patternFill>
      </x:fill>
    </x:dxf>
    <x:dxf>
      <x:font>
        <x:color rgb="FF8A5713"/>
      </x:font>
      <x:fill>
        <x:patternFill patternType="solid">
          <x:bgColor rgb="FFFFF1D6"/>
        </x:patternFill>
      </x:fill>
    </x:dxf>
    <x:dxf>
      <x:font>
        <x:color rgb="FF8A5713"/>
      </x:font>
      <x:fill>
        <x:patternFill patternType="solid">
          <x:bgColor rgb="FFFFF1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93a52b64644889" /><Relationship Type="http://schemas.openxmlformats.org/officeDocument/2006/relationships/theme" Target="/xl/theme/theme1.xml" Id="Raa4f80d657564187" /><Relationship Type="http://schemas.openxmlformats.org/officeDocument/2006/relationships/sharedStrings" Target="/xl/sharedStrings.xml" Id="Rf91a7aa64c9b4e08" /><Relationship Type="http://schemas.openxmlformats.org/officeDocument/2006/relationships/worksheet" Target="/xl/worksheets/sheet1.xml" Id="R1237c10371dd452f" /><Relationship Type="http://schemas.openxmlformats.org/officeDocument/2006/relationships/worksheet" Target="/xl/worksheets/sheet2.xml" Id="Re37da8aab64a4443" /><Relationship Type="http://schemas.openxmlformats.org/officeDocument/2006/relationships/worksheet" Target="/xl/worksheets/sheet3.xml" Id="R977124c529bd465b" /><Relationship Type="http://schemas.openxmlformats.org/officeDocument/2006/relationships/worksheet" Target="/xl/worksheets/sheet4.xml" Id="Rdd0417d39d004cbc" /><Relationship Type="http://schemas.openxmlformats.org/officeDocument/2006/relationships/worksheet" Target="/xl/worksheets/sheet5.xml" Id="Rfbe0023c4a074283" /><Relationship Type="http://schemas.openxmlformats.org/officeDocument/2006/relationships/worksheet" Target="/xl/worksheets/sheet6.xml" Id="R9d95c73a0f744df7" /></Relationships>
</file>

<file path=xl/drawings/_rels/drawing1.xml.rels>&#65279;<?xml version="1.0" encoding="utf-8"?><Relationships xmlns="http://schemas.openxmlformats.org/package/2006/relationships"><Relationship Type="http://schemas.openxmlformats.org/officeDocument/2006/relationships/chart" Target="/xl/drawings/charts/chart1.xml" Id="R72a7b363ff0f4bcb" /><Relationship Type="http://schemas.openxmlformats.org/officeDocument/2006/relationships/chart" Target="/xl/drawings/charts/chart2.xml" Id="R3951ced17772401c" /><Relationship Type="http://schemas.openxmlformats.org/officeDocument/2006/relationships/chart" Target="/xl/drawings/charts/chart3.xml" Id="R8f1eb1203cfd45a2" /><Relationship Type="http://schemas.openxmlformats.org/officeDocument/2006/relationships/chart" Target="/xl/drawings/charts/chart4.xml" Id="Ra4a3702d970842f2" /><Relationship Type="http://schemas.openxmlformats.org/officeDocument/2006/relationships/chart" Target="/xl/drawings/charts/chart5.xml" Id="R7c4e118e7ae04838" /><Relationship Type="http://schemas.openxmlformats.org/officeDocument/2006/relationships/chart" Target="/xl/drawings/charts/chart6.xml" Id="R381f066f0a8847d6" /><Relationship Type="http://schemas.openxmlformats.org/officeDocument/2006/relationships/chart" Target="/xl/drawings/charts/chart7.xml" Id="R01d39234488540d7" /><Relationship Type="http://schemas.openxmlformats.org/officeDocument/2006/relationships/chart" Target="/xl/drawings/charts/chart8.xml" Id="R1f536e222caa4705" /><Relationship Type="http://schemas.openxmlformats.org/officeDocument/2006/relationships/chart" Target="/xl/drawings/charts/chart9.xml" Id="R2a118273e23f48e6" /><Relationship Type="http://schemas.openxmlformats.org/officeDocument/2006/relationships/chart" Target="/xl/drawings/charts/chart10.xml" Id="Ree552b9fc3514577" /></Relationships>
</file>

<file path=xl/drawings/_rels/drawing2.xml.rels>&#65279;<?xml version="1.0" encoding="utf-8"?><Relationships xmlns="http://schemas.openxmlformats.org/package/2006/relationships"><Relationship Type="http://schemas.openxmlformats.org/officeDocument/2006/relationships/chart" Target="/xl/drawings/charts/chart11.xml" Id="R8007af228c2645b6" /><Relationship Type="http://schemas.openxmlformats.org/officeDocument/2006/relationships/chart" Target="/xl/drawings/charts/chart12.xml" Id="R5397664fe33a48c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条件比較｜参考残価率</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barChart>
        <c:barDir val="col"/>
        <c:varyColors val="0"/>
        <c:ser>
          <c:idx val="0"/>
          <c:order val="0"/>
          <c:tx>
            <c:v>ATTO 3 Ext（N=7）</c:v>
          </c:tx>
          <c:spPr>
            <a:solidFill xmlns:a="http://schemas.openxmlformats.org/drawingml/2006/main">
              <a:srgbClr val="167D9A"/>
            </a:solidFill>
          </c:spPr>
          <c:cat>
            <c:strRef>
              <c:f>'条件別集計'!$AA$99</c:f>
              <c:strCache>
                <c:ptCount val="0"/>
              </c:strCache>
            </c:strRef>
          </c:cat>
          <c:val>
            <c:numRef>
              <c:f>'条件別集計'!$AB$99</c:f>
              <c:numCache>
                <c:formatCode>0.0%;[Red](0.0%);0.0%</c:formatCode>
                <c:ptCount val="0"/>
              </c:numCache>
            </c:numRef>
          </c:val>
        </c:ser>
        <c:ser>
          <c:idx val="1"/>
          <c:order val="1"/>
          <c:tx>
            <c:v>Cross Safety（N=5）</c:v>
          </c:tx>
          <c:spPr>
            <a:solidFill xmlns:a="http://schemas.openxmlformats.org/drawingml/2006/main">
              <a:srgbClr val="E48B36"/>
            </a:solidFill>
          </c:spPr>
          <c:cat>
            <c:strRef>
              <c:f>'条件別集計'!$AA$99</c:f>
              <c:strCache>
                <c:ptCount val="0"/>
              </c:strCache>
            </c:strRef>
          </c:cat>
          <c:val>
            <c:numRef>
              <c:f>'条件別集計'!$AC$99</c:f>
              <c:numCache>
                <c:formatCode>0.0%;[Red](0.0%);0.0%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SUV｜年式差と現在中央値（THB）</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lineChart>
        <c:grouping val="standard"/>
        <c:varyColors val="0"/>
        <c:ser>
          <c:idx val="0"/>
          <c:order val="0"/>
          <c:tx>
            <c:v>ATTO 3 BEV</c:v>
          </c:tx>
          <c:spPr>
            <a:solidFill xmlns:a="http://schemas.openxmlformats.org/drawingml/2006/main">
              <a:srgbClr val="167D9A"/>
            </a:solidFill>
            <a:ln xmlns:a="http://schemas.openxmlformats.org/drawingml/2006/main" w="19050">
              <a:solidFill>
                <a:srgbClr val="167D9A"/>
              </a:solidFill>
              <a:prstDash val="solid"/>
            </a:ln>
          </c:spPr>
          <c:marker>
            <c:symbol val="none"/>
          </c:marker>
          <c:cat>
            <c:strRef>
              <c:f>'条件別集計'!$AA$26:$AA$31</c:f>
              <c:strCache>
                <c:ptCount val="0"/>
              </c:strCache>
            </c:strRef>
          </c:cat>
          <c:val>
            <c:numRef>
              <c:f>'条件別集計'!$AB$26:$AB$31</c:f>
              <c:numCache>
                <c:formatCode>#,##0</c:formatCode>
                <c:ptCount val="0"/>
              </c:numCache>
            </c:numRef>
          </c:val>
          <c:smooth val="0"/>
        </c:ser>
        <c:ser>
          <c:idx val="1"/>
          <c:order val="1"/>
          <c:tx>
            <c:v>Corolla Cross HEV</c:v>
          </c:tx>
          <c:spPr>
            <a:solidFill xmlns:a="http://schemas.openxmlformats.org/drawingml/2006/main">
              <a:srgbClr val="E48B36"/>
            </a:solidFill>
            <a:ln xmlns:a="http://schemas.openxmlformats.org/drawingml/2006/main" w="19050">
              <a:solidFill>
                <a:srgbClr val="E48B36"/>
              </a:solidFill>
              <a:prstDash val="solid"/>
            </a:ln>
          </c:spPr>
          <c:marker>
            <c:symbol val="none"/>
          </c:marker>
          <c:cat>
            <c:strRef>
              <c:f>'条件別集計'!$AA$26:$AA$31</c:f>
              <c:strCache>
                <c:ptCount val="0"/>
              </c:strCache>
            </c:strRef>
          </c:cat>
          <c:val>
            <c:numRef>
              <c:f>'条件別集計'!$AC$26:$AC$31</c:f>
              <c:numCache>
                <c:formatCode>#,##0</c:formatCode>
                <c:ptCount val="0"/>
              </c:numCache>
            </c:numRef>
          </c:val>
          <c:smooth val="0"/>
        </c:ser>
        <c:ser>
          <c:idx val="2"/>
          <c:order val="2"/>
          <c:tx>
            <c:v>Corolla Cross ICE</c:v>
          </c:tx>
          <c:spPr>
            <a:solidFill xmlns:a="http://schemas.openxmlformats.org/drawingml/2006/main">
              <a:srgbClr val="65788B"/>
            </a:solidFill>
            <a:ln xmlns:a="http://schemas.openxmlformats.org/drawingml/2006/main" w="19050">
              <a:solidFill>
                <a:srgbClr val="65788B"/>
              </a:solidFill>
              <a:prstDash val="solid"/>
            </a:ln>
          </c:spPr>
          <c:marker>
            <c:symbol val="none"/>
          </c:marker>
          <c:cat>
            <c:strRef>
              <c:f>'条件別集計'!$AA$26:$AA$31</c:f>
              <c:strCache>
                <c:ptCount val="0"/>
              </c:strCache>
            </c:strRef>
          </c:cat>
          <c:val>
            <c:numRef>
              <c:f>'条件別集計'!$AD$26:$AD$31</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Corolla Altis｜HEVとICE（THB）</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lineChart>
        <c:grouping val="standard"/>
        <c:varyColors val="0"/>
        <c:ser>
          <c:idx val="0"/>
          <c:order val="0"/>
          <c:tx>
            <c:v>Corolla Altis HEV</c:v>
          </c:tx>
          <c:spPr>
            <a:solidFill xmlns:a="http://schemas.openxmlformats.org/drawingml/2006/main">
              <a:srgbClr val="E48B36"/>
            </a:solidFill>
            <a:ln xmlns:a="http://schemas.openxmlformats.org/drawingml/2006/main" w="19050">
              <a:solidFill>
                <a:srgbClr val="E48B36"/>
              </a:solidFill>
              <a:prstDash val="solid"/>
            </a:ln>
          </c:spPr>
          <c:marker>
            <c:symbol val="none"/>
          </c:marker>
          <c:cat>
            <c:strRef>
              <c:f>'条件別集計'!$AA$50:$AA$55</c:f>
              <c:strCache>
                <c:ptCount val="0"/>
              </c:strCache>
            </c:strRef>
          </c:cat>
          <c:val>
            <c:numRef>
              <c:f>'条件別集計'!$AB$50:$AB$55</c:f>
              <c:numCache>
                <c:formatCode>#,##0</c:formatCode>
                <c:ptCount val="0"/>
              </c:numCache>
            </c:numRef>
          </c:val>
          <c:smooth val="0"/>
        </c:ser>
        <c:ser>
          <c:idx val="1"/>
          <c:order val="1"/>
          <c:tx>
            <c:v>Corolla Altis ICE</c:v>
          </c:tx>
          <c:spPr>
            <a:solidFill xmlns:a="http://schemas.openxmlformats.org/drawingml/2006/main">
              <a:srgbClr val="65788B"/>
            </a:solidFill>
            <a:ln xmlns:a="http://schemas.openxmlformats.org/drawingml/2006/main" w="19050">
              <a:solidFill>
                <a:srgbClr val="65788B"/>
              </a:solidFill>
              <a:prstDash val="solid"/>
            </a:ln>
          </c:spPr>
          <c:marker>
            <c:symbol val="none"/>
          </c:marker>
          <c:cat>
            <c:strRef>
              <c:f>'条件別集計'!$AA$50:$AA$55</c:f>
              <c:strCache>
                <c:ptCount val="0"/>
              </c:strCache>
            </c:strRef>
          </c:cat>
          <c:val>
            <c:numRef>
              <c:f>'条件別集計'!$AC$50:$AC$55</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小型乗用｜BEV/Hatchback・ICE/Sedan</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lineChart>
        <c:grouping val="standard"/>
        <c:varyColors val="0"/>
        <c:ser>
          <c:idx val="0"/>
          <c:order val="0"/>
          <c:tx>
            <c:v>DOLPHIN BEV</c:v>
          </c:tx>
          <c:spPr>
            <a:solidFill xmlns:a="http://schemas.openxmlformats.org/drawingml/2006/main">
              <a:srgbClr val="167D9A"/>
            </a:solidFill>
            <a:ln xmlns:a="http://schemas.openxmlformats.org/drawingml/2006/main" w="19050">
              <a:solidFill>
                <a:srgbClr val="167D9A"/>
              </a:solidFill>
              <a:prstDash val="solid"/>
            </a:ln>
          </c:spPr>
          <c:marker>
            <c:symbol val="none"/>
          </c:marker>
          <c:cat>
            <c:strRef>
              <c:f>'条件別集計'!$AA$38:$AA$43</c:f>
              <c:strCache>
                <c:ptCount val="0"/>
              </c:strCache>
            </c:strRef>
          </c:cat>
          <c:val>
            <c:numRef>
              <c:f>'条件別集計'!$AB$38:$AB$43</c:f>
              <c:numCache>
                <c:formatCode>#,##0</c:formatCode>
                <c:ptCount val="0"/>
              </c:numCache>
            </c:numRef>
          </c:val>
          <c:smooth val="0"/>
        </c:ser>
        <c:ser>
          <c:idx val="1"/>
          <c:order val="1"/>
          <c:tx>
            <c:v>Yaris Ativ ICE</c:v>
          </c:tx>
          <c:spPr>
            <a:solidFill xmlns:a="http://schemas.openxmlformats.org/drawingml/2006/main">
              <a:srgbClr val="65788B"/>
            </a:solidFill>
            <a:ln xmlns:a="http://schemas.openxmlformats.org/drawingml/2006/main" w="19050">
              <a:solidFill>
                <a:srgbClr val="65788B"/>
              </a:solidFill>
              <a:prstDash val="solid"/>
            </a:ln>
          </c:spPr>
          <c:marker>
            <c:symbol val="none"/>
          </c:marker>
          <c:cat>
            <c:strRef>
              <c:f>'条件別集計'!$AA$38:$AA$43</c:f>
              <c:strCache>
                <c:ptCount val="0"/>
              </c:strCache>
            </c:strRef>
          </c:cat>
          <c:val>
            <c:numRef>
              <c:f>'条件別集計'!$AC$38:$AC$43</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Hilux Revo｜キャブ別中央値（THB）</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lineChart>
        <c:grouping val="standard"/>
        <c:varyColors val="0"/>
        <c:ser>
          <c:idx val="0"/>
          <c:order val="0"/>
          <c:tx>
            <c:v>Double cab</c:v>
          </c:tx>
          <c:spPr>
            <a:solidFill xmlns:a="http://schemas.openxmlformats.org/drawingml/2006/main">
              <a:srgbClr val="E48B36"/>
            </a:solidFill>
            <a:ln xmlns:a="http://schemas.openxmlformats.org/drawingml/2006/main" w="19050">
              <a:solidFill>
                <a:srgbClr val="E48B36"/>
              </a:solidFill>
              <a:prstDash val="solid"/>
            </a:ln>
          </c:spPr>
          <c:marker>
            <c:symbol val="none"/>
          </c:marker>
          <c:cat>
            <c:strRef>
              <c:f>'条件別集計'!$AA$66:$AA$71</c:f>
              <c:strCache>
                <c:ptCount val="0"/>
              </c:strCache>
            </c:strRef>
          </c:cat>
          <c:val>
            <c:numRef>
              <c:f>'条件別集計'!$AB$66:$AB$71</c:f>
              <c:numCache>
                <c:formatCode>#,##0</c:formatCode>
                <c:ptCount val="0"/>
              </c:numCache>
            </c:numRef>
          </c:val>
          <c:smooth val="0"/>
        </c:ser>
        <c:ser>
          <c:idx val="1"/>
          <c:order val="1"/>
          <c:tx>
            <c:v>Smart cab</c:v>
          </c:tx>
          <c:spPr>
            <a:solidFill xmlns:a="http://schemas.openxmlformats.org/drawingml/2006/main">
              <a:srgbClr val="167D9A"/>
            </a:solidFill>
            <a:ln xmlns:a="http://schemas.openxmlformats.org/drawingml/2006/main" w="19050">
              <a:solidFill>
                <a:srgbClr val="167D9A"/>
              </a:solidFill>
              <a:prstDash val="solid"/>
            </a:ln>
          </c:spPr>
          <c:marker>
            <c:symbol val="none"/>
          </c:marker>
          <c:cat>
            <c:strRef>
              <c:f>'条件別集計'!$AA$66:$AA$71</c:f>
              <c:strCache>
                <c:ptCount val="0"/>
              </c:strCache>
            </c:strRef>
          </c:cat>
          <c:val>
            <c:numRef>
              <c:f>'条件別集計'!$AC$66:$AC$71</c:f>
              <c:numCache>
                <c:formatCode>#,##0</c:formatCode>
                <c:ptCount val="0"/>
              </c:numCache>
            </c:numRef>
          </c:val>
          <c:smooth val="0"/>
        </c:ser>
        <c:ser>
          <c:idx val="2"/>
          <c:order val="2"/>
          <c:tx>
            <c:v>Single cab</c:v>
          </c:tx>
          <c:spPr>
            <a:solidFill xmlns:a="http://schemas.openxmlformats.org/drawingml/2006/main">
              <a:srgbClr val="65788B"/>
            </a:solidFill>
            <a:ln xmlns:a="http://schemas.openxmlformats.org/drawingml/2006/main" w="19050">
              <a:solidFill>
                <a:srgbClr val="65788B"/>
              </a:solidFill>
              <a:prstDash val="solid"/>
            </a:ln>
          </c:spPr>
          <c:marker>
            <c:symbol val="none"/>
          </c:marker>
          <c:cat>
            <c:strRef>
              <c:f>'条件別集計'!$AA$66:$AA$71</c:f>
              <c:strCache>
                <c:ptCount val="0"/>
              </c:strCache>
            </c:strRef>
          </c:cat>
          <c:val>
            <c:numRef>
              <c:f>'条件別集計'!$AD$66:$AD$71</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サイト別｜Q1・中央値・Q3（THB）</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barChart>
        <c:barDir val="col"/>
        <c:varyColors val="0"/>
        <c:ser>
          <c:idx val="0"/>
          <c:order val="0"/>
          <c:tx>
            <c:v>Q1 THB</c:v>
          </c:tx>
          <c:spPr>
            <a:solidFill xmlns:a="http://schemas.openxmlformats.org/drawingml/2006/main">
              <a:srgbClr val="65788B"/>
            </a:solidFill>
          </c:spPr>
          <c:cat>
            <c:strRef>
              <c:f>'条件別集計'!$AA$77:$AA$83</c:f>
              <c:strCache>
                <c:ptCount val="0"/>
              </c:strCache>
            </c:strRef>
          </c:cat>
          <c:val>
            <c:numRef>
              <c:f>'条件別集計'!$AC$77:$AC$83</c:f>
              <c:numCache>
                <c:formatCode>#,##0;[Red](#,##0);0</c:formatCode>
                <c:ptCount val="0"/>
              </c:numCache>
            </c:numRef>
          </c:val>
        </c:ser>
        <c:ser>
          <c:idx val="1"/>
          <c:order val="1"/>
          <c:tx>
            <c:v>中央値THB</c:v>
          </c:tx>
          <c:spPr>
            <a:solidFill xmlns:a="http://schemas.openxmlformats.org/drawingml/2006/main">
              <a:srgbClr val="167D9A"/>
            </a:solidFill>
          </c:spPr>
          <c:cat>
            <c:strRef>
              <c:f>'条件別集計'!$AA$77:$AA$83</c:f>
              <c:strCache>
                <c:ptCount val="0"/>
              </c:strCache>
            </c:strRef>
          </c:cat>
          <c:val>
            <c:numRef>
              <c:f>'条件別集計'!$AD$77:$AD$83</c:f>
              <c:numCache>
                <c:formatCode>#,##0;[Red](#,##0);0</c:formatCode>
                <c:ptCount val="0"/>
              </c:numCache>
            </c:numRef>
          </c:val>
        </c:ser>
        <c:ser>
          <c:idx val="2"/>
          <c:order val="2"/>
          <c:tx>
            <c:v>Q3 THB</c:v>
          </c:tx>
          <c:spPr>
            <a:solidFill xmlns:a="http://schemas.openxmlformats.org/drawingml/2006/main">
              <a:srgbClr val="E48B36"/>
            </a:solidFill>
          </c:spPr>
          <c:cat>
            <c:strRef>
              <c:f>'条件別集計'!$AA$77:$AA$83</c:f>
              <c:strCache>
                <c:ptCount val="0"/>
              </c:strCache>
            </c:strRef>
          </c:cat>
          <c:val>
            <c:numRef>
              <c:f>'条件別集計'!$AE$77:$AE$83</c:f>
              <c:numCache>
                <c:formatCode>#,##0;[Red](#,##0);0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分母で変わる価格比（同じ中古中央値）</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barChart>
        <c:barDir val="col"/>
        <c:varyColors val="0"/>
        <c:ser>
          <c:idx val="0"/>
          <c:order val="0"/>
          <c:tx>
            <c:v>ATTO 3 Ext</c:v>
          </c:tx>
          <c:spPr>
            <a:solidFill xmlns:a="http://schemas.openxmlformats.org/drawingml/2006/main">
              <a:srgbClr val="167D9A"/>
            </a:solidFill>
          </c:spPr>
          <c:cat>
            <c:strRef>
              <c:f>'条件別集計'!$AA$106:$AA$107</c:f>
              <c:strCache>
                <c:ptCount val="0"/>
              </c:strCache>
            </c:strRef>
          </c:cat>
          <c:val>
            <c:numRef>
              <c:f>'条件別集計'!$AB$106:$AB$107</c:f>
              <c:numCache>
                <c:formatCode>0.0%;[Red](0.0%);0.0%</c:formatCode>
                <c:ptCount val="0"/>
              </c:numCache>
            </c:numRef>
          </c:val>
        </c:ser>
        <c:ser>
          <c:idx val="1"/>
          <c:order val="1"/>
          <c:tx>
            <c:v>Cross Safety</c:v>
          </c:tx>
          <c:spPr>
            <a:solidFill xmlns:a="http://schemas.openxmlformats.org/drawingml/2006/main">
              <a:srgbClr val="E48B36"/>
            </a:solidFill>
          </c:spPr>
          <c:cat>
            <c:strRef>
              <c:f>'条件別集計'!$AA$106:$AA$107</c:f>
              <c:strCache>
                <c:ptCount val="0"/>
              </c:strCache>
            </c:strRef>
          </c:cat>
          <c:val>
            <c:numRef>
              <c:f>'条件別集計'!$AC$106:$AC$107</c:f>
              <c:numCache>
                <c:formatCode>0.0%;[Red](0.0%);0.0%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Dolphin Standard｜新車公表価格・特価</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lineChart>
        <c:grouping val="standard"/>
        <c:varyColors val="0"/>
        <c:ser>
          <c:idx val="0"/>
          <c:order val="0"/>
          <c:tx>
            <c:v>Dolphin Std公表通常</c:v>
          </c:tx>
          <c:spPr>
            <a:solidFill xmlns:a="http://schemas.openxmlformats.org/drawingml/2006/main">
              <a:srgbClr val="65788B"/>
            </a:solidFill>
            <a:ln xmlns:a="http://schemas.openxmlformats.org/drawingml/2006/main" w="19050">
              <a:solidFill>
                <a:srgbClr val="65788B"/>
              </a:solidFill>
              <a:prstDash val="solid"/>
            </a:ln>
          </c:spPr>
          <c:marker>
            <c:symbol val="none"/>
          </c:marker>
          <c:cat>
            <c:strRef>
              <c:f>'条件別集計'!$AA$91:$AA$93</c:f>
              <c:strCache>
                <c:ptCount val="0"/>
              </c:strCache>
            </c:strRef>
          </c:cat>
          <c:val>
            <c:numRef>
              <c:f>'条件別集計'!$AB$91:$AB$93</c:f>
              <c:numCache>
                <c:formatCode>#,##0;[Red](#,##0);0</c:formatCode>
                <c:ptCount val="0"/>
              </c:numCache>
            </c:numRef>
          </c:val>
          <c:smooth val="0"/>
        </c:ser>
        <c:ser>
          <c:idx val="1"/>
          <c:order val="1"/>
          <c:tx>
            <c:v>Dolphin Std提示特価</c:v>
          </c:tx>
          <c:spPr>
            <a:solidFill xmlns:a="http://schemas.openxmlformats.org/drawingml/2006/main">
              <a:srgbClr val="167D9A"/>
            </a:solidFill>
            <a:ln xmlns:a="http://schemas.openxmlformats.org/drawingml/2006/main" w="19050">
              <a:solidFill>
                <a:srgbClr val="167D9A"/>
              </a:solidFill>
              <a:prstDash val="solid"/>
            </a:ln>
          </c:spPr>
          <c:marker>
            <c:symbol val="none"/>
          </c:marker>
          <c:cat>
            <c:strRef>
              <c:f>'条件別集計'!$AA$91:$AA$93</c:f>
              <c:strCache>
                <c:ptCount val="0"/>
              </c:strCache>
            </c:strRef>
          </c:cat>
          <c:val>
            <c:numRef>
              <c:f>'条件別集計'!$AC$91:$AC$93</c:f>
              <c:numCache>
                <c:formatCode>#,##0;[Red](#,##0);0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実時系列｜2024→2025平均価格増減</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barChart>
        <c:barDir val="col"/>
        <c:varyColors val="0"/>
        <c:ser>
          <c:idx val="0"/>
          <c:order val="0"/>
          <c:tx>
            <c:v>2024→2025増減</c:v>
          </c:tx>
          <c:spPr>
            <a:solidFill xmlns:a="http://schemas.openxmlformats.org/drawingml/2006/main">
              <a:srgbClr val="167D9A"/>
            </a:solidFill>
          </c:spPr>
          <c:cat>
            <c:strRef>
              <c:f>'中古車の実時系列'!$K$18:$K$20</c:f>
              <c:strCache>
                <c:ptCount val="0"/>
              </c:strCache>
            </c:strRef>
          </c:cat>
          <c:val>
            <c:numRef>
              <c:f>'中古車の実時系列'!$L$18:$L$20</c:f>
              <c:numCache>
                <c:formatCode>0.0%;[Red](0.0%);0.0%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One2car標本｜地域別掲載件数</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barChart>
        <c:barDir val="col"/>
        <c:varyColors val="0"/>
        <c:ser>
          <c:idx val="0"/>
          <c:order val="0"/>
          <c:tx>
            <c:v>都市圏N</c:v>
          </c:tx>
          <c:spPr>
            <a:solidFill xmlns:a="http://schemas.openxmlformats.org/drawingml/2006/main">
              <a:srgbClr val="167D9A"/>
            </a:solidFill>
          </c:spPr>
          <c:cat>
            <c:strRef>
              <c:f>'条件別集計'!$AA$116:$AA$119</c:f>
              <c:strCache>
                <c:ptCount val="0"/>
              </c:strCache>
            </c:strRef>
          </c:cat>
          <c:val>
            <c:numRef>
              <c:f>'条件別集計'!$AB$116:$AB$119</c:f>
              <c:numCache>
                <c:formatCode>#,##0</c:formatCode>
                <c:ptCount val="0"/>
              </c:numCache>
            </c:numRef>
          </c:val>
        </c:ser>
        <c:ser>
          <c:idx val="1"/>
          <c:order val="1"/>
          <c:tx>
            <c:v>他県N</c:v>
          </c:tx>
          <c:spPr>
            <a:solidFill xmlns:a="http://schemas.openxmlformats.org/drawingml/2006/main">
              <a:srgbClr val="E48B36"/>
            </a:solidFill>
          </c:spPr>
          <c:cat>
            <c:strRef>
              <c:f>'条件別集計'!$AA$116:$AA$119</c:f>
              <c:strCache>
                <c:ptCount val="0"/>
              </c:strCache>
            </c:strRef>
          </c:cat>
          <c:val>
            <c:numRef>
              <c:f>'条件別集計'!$AC$116:$AC$119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中古掲載価格｜前年同期=100</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lineChart>
        <c:grouping val="standard"/>
        <c:varyColors val="0"/>
        <c:ser>
          <c:idx val="0"/>
          <c:order val="0"/>
          <c:tx>
            <c:v>ATTO 3</c:v>
          </c:tx>
          <c:spPr>
            <a:solidFill xmlns:a="http://schemas.openxmlformats.org/drawingml/2006/main">
              <a:srgbClr val="167D9A"/>
            </a:solidFill>
            <a:ln xmlns:a="http://schemas.openxmlformats.org/drawingml/2006/main" w="19050">
              <a:solidFill>
                <a:srgbClr val="167D9A"/>
              </a:solidFill>
              <a:prstDash val="solid"/>
            </a:ln>
          </c:spPr>
          <c:marker>
            <c:symbol val="none"/>
          </c:marker>
          <c:cat>
            <c:strRef>
              <c:f>'中古車の実時系列'!$A$18:$A$19</c:f>
              <c:strCache>
                <c:ptCount val="0"/>
              </c:strCache>
            </c:strRef>
          </c:cat>
          <c:val>
            <c:numRef>
              <c:f>'中古車の実時系列'!$B$18:$B$19</c:f>
              <c:numCache>
                <c:formatCode>#,##0</c:formatCode>
                <c:ptCount val="0"/>
              </c:numCache>
            </c:numRef>
          </c:val>
          <c:smooth val="0"/>
        </c:ser>
        <c:ser>
          <c:idx val="1"/>
          <c:order val="1"/>
          <c:tx>
            <c:v>DOLPHIN</c:v>
          </c:tx>
          <c:spPr>
            <a:solidFill xmlns:a="http://schemas.openxmlformats.org/drawingml/2006/main">
              <a:srgbClr val="E48B36"/>
            </a:solidFill>
            <a:ln xmlns:a="http://schemas.openxmlformats.org/drawingml/2006/main" w="19050">
              <a:solidFill>
                <a:srgbClr val="E48B36"/>
              </a:solidFill>
              <a:prstDash val="solid"/>
            </a:ln>
          </c:spPr>
          <c:marker>
            <c:symbol val="none"/>
          </c:marker>
          <c:cat>
            <c:strRef>
              <c:f>'中古車の実時系列'!$A$18:$A$19</c:f>
              <c:strCache>
                <c:ptCount val="0"/>
              </c:strCache>
            </c:strRef>
          </c:cat>
          <c:val>
            <c:numRef>
              <c:f>'中古車の実時系列'!$C$18:$C$19</c:f>
              <c:numCache>
                <c:formatCode>#,##0</c:formatCode>
                <c:ptCount val="0"/>
              </c:numCache>
            </c:numRef>
          </c:val>
          <c:smooth val="0"/>
        </c:ser>
        <c:ser>
          <c:idx val="2"/>
          <c:order val="2"/>
          <c:tx>
            <c:v>SEAL</c:v>
          </c:tx>
          <c:spPr>
            <a:solidFill xmlns:a="http://schemas.openxmlformats.org/drawingml/2006/main">
              <a:srgbClr val="65788B"/>
            </a:solidFill>
            <a:ln xmlns:a="http://schemas.openxmlformats.org/drawingml/2006/main" w="19050">
              <a:solidFill>
                <a:srgbClr val="65788B"/>
              </a:solidFill>
              <a:prstDash val="solid"/>
            </a:ln>
          </c:spPr>
          <c:marker>
            <c:symbol val="none"/>
          </c:marker>
          <c:cat>
            <c:strRef>
              <c:f>'中古車の実時系列'!$A$18:$A$19</c:f>
              <c:strCache>
                <c:ptCount val="0"/>
              </c:strCache>
            </c:strRef>
          </c:cat>
          <c:val>
            <c:numRef>
              <c:f>'中古車の実時系列'!$D$18:$D$19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JP"/>
                <a:ea typeface="Noto Sans CJK JP"/>
                <a:cs typeface="Noto Sans CJK JP"/>
              </a:rPr>
              <a:t>過去期間の平均価格増減</a:t>
            </a:r>
          </a:p>
        </c:rich>
      </c:tx>
      <c:overlay val="0"/>
      <c:txPr>
        <a:bodyPr xmlns:a="http://schemas.openxmlformats.org/drawingml/2006/main" anchorCtr="1"/>
        <a:lstStyle xmlns:a="http://schemas.openxmlformats.org/drawingml/2006/main"/>
        <a:p xmlns:a="http://schemas.openxmlformats.org/drawingml/2006/main">
          <a:pPr>
            <a:defRPr sz="975">
              <a:latin typeface="Noto Sans CJK JP"/>
              <a:ea typeface="Noto Sans CJK JP"/>
              <a:cs typeface="Noto Sans CJK JP"/>
            </a:defRPr>
          </a:pPr>
        </a:p>
      </c:txPr>
    </c:title>
    <c:plotArea>
      <c:barChart>
        <c:barDir val="col"/>
        <c:varyColors val="0"/>
        <c:ser>
          <c:idx val="0"/>
          <c:order val="0"/>
          <c:tx>
            <c:v>2024→2025増減</c:v>
          </c:tx>
          <c:spPr>
            <a:solidFill xmlns:a="http://schemas.openxmlformats.org/drawingml/2006/main">
              <a:srgbClr val="167D9A"/>
            </a:solidFill>
          </c:spPr>
          <c:cat>
            <c:strRef>
              <c:f>'中古車の実時系列'!$K$18:$K$20</c:f>
              <c:strCache>
                <c:ptCount val="0"/>
              </c:strCache>
            </c:strRef>
          </c:cat>
          <c:val>
            <c:numRef>
              <c:f>'中古車の実時系列'!$L$18:$L$20</c:f>
              <c:numCache>
                <c:formatCode>0.0%;[Red](0.0%);0.0%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Noto Sans CJK JP"/>
                <a:ea typeface="Noto Sans CJK JP"/>
                <a:cs typeface="Noto Sans CJK JP"/>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6</xdr:row>
      <xdr:rowOff>0</xdr:rowOff>
    </xdr:from>
    <xdr:to>
      <xdr:col>18</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a7b363ff0f4bcb"/>
        </a:graphicData>
      </a:graphic>
    </xdr:graphicFrame>
    <xdr:clientData/>
  </xdr:twoCellAnchor>
  <xdr:twoCellAnchor>
    <xdr:from>
      <xdr:col>0</xdr:col>
      <xdr:colOff>0</xdr:colOff>
      <xdr:row>33</xdr:row>
      <xdr:rowOff>0</xdr:rowOff>
    </xdr:from>
    <xdr:to>
      <xdr:col>8</xdr:col>
      <xdr:colOff>0</xdr:colOff>
      <xdr:row>55</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951ced17772401c"/>
        </a:graphicData>
      </a:graphic>
    </xdr:graphicFrame>
    <xdr:clientData/>
  </xdr:twoCellAnchor>
  <xdr:twoCellAnchor>
    <xdr:from>
      <xdr:col>9</xdr:col>
      <xdr:colOff>0</xdr:colOff>
      <xdr:row>33</xdr:row>
      <xdr:rowOff>0</xdr:rowOff>
    </xdr:from>
    <xdr:to>
      <xdr:col>18</xdr:col>
      <xdr:colOff>0</xdr:colOff>
      <xdr:row>55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f1eb1203cfd45a2"/>
        </a:graphicData>
      </a:graphic>
    </xdr:graphicFrame>
    <xdr:clientData/>
  </xdr:twoCellAnchor>
  <xdr:twoCellAnchor>
    <xdr:from>
      <xdr:col>0</xdr:col>
      <xdr:colOff>0</xdr:colOff>
      <xdr:row>57</xdr:row>
      <xdr:rowOff>0</xdr:rowOff>
    </xdr:from>
    <xdr:to>
      <xdr:col>8</xdr:col>
      <xdr:colOff>0</xdr:colOff>
      <xdr:row>79</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4a3702d970842f2"/>
        </a:graphicData>
      </a:graphic>
    </xdr:graphicFrame>
    <xdr:clientData/>
  </xdr:twoCellAnchor>
  <xdr:twoCellAnchor>
    <xdr:from>
      <xdr:col>9</xdr:col>
      <xdr:colOff>0</xdr:colOff>
      <xdr:row>57</xdr:row>
      <xdr:rowOff>0</xdr:rowOff>
    </xdr:from>
    <xdr:to>
      <xdr:col>18</xdr:col>
      <xdr:colOff>0</xdr:colOff>
      <xdr:row>79</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c4e118e7ae04838"/>
        </a:graphicData>
      </a:graphic>
    </xdr:graphicFrame>
    <xdr:clientData/>
  </xdr:twoCellAnchor>
  <xdr:twoCellAnchor>
    <xdr:from>
      <xdr:col>0</xdr:col>
      <xdr:colOff>0</xdr:colOff>
      <xdr:row>83</xdr:row>
      <xdr:rowOff>0</xdr:rowOff>
    </xdr:from>
    <xdr:to>
      <xdr:col>8</xdr:col>
      <xdr:colOff>0</xdr:colOff>
      <xdr:row>108</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1f066f0a8847d6"/>
        </a:graphicData>
      </a:graphic>
    </xdr:graphicFrame>
    <xdr:clientData/>
  </xdr:twoCellAnchor>
  <xdr:twoCellAnchor>
    <xdr:from>
      <xdr:col>9</xdr:col>
      <xdr:colOff>0</xdr:colOff>
      <xdr:row>83</xdr:row>
      <xdr:rowOff>0</xdr:rowOff>
    </xdr:from>
    <xdr:to>
      <xdr:col>18</xdr:col>
      <xdr:colOff>0</xdr:colOff>
      <xdr:row>108</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1d39234488540d7"/>
        </a:graphicData>
      </a:graphic>
    </xdr:graphicFrame>
    <xdr:clientData/>
  </xdr:twoCellAnchor>
  <xdr:twoCellAnchor>
    <xdr:from>
      <xdr:col>0</xdr:col>
      <xdr:colOff>0</xdr:colOff>
      <xdr:row>114</xdr:row>
      <xdr:rowOff>0</xdr:rowOff>
    </xdr:from>
    <xdr:to>
      <xdr:col>8</xdr:col>
      <xdr:colOff>0</xdr:colOff>
      <xdr:row>137</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536e222caa4705"/>
        </a:graphicData>
      </a:graphic>
    </xdr:graphicFrame>
    <xdr:clientData/>
  </xdr:twoCellAnchor>
  <xdr:twoCellAnchor>
    <xdr:from>
      <xdr:col>9</xdr:col>
      <xdr:colOff>0</xdr:colOff>
      <xdr:row>114</xdr:row>
      <xdr:rowOff>0</xdr:rowOff>
    </xdr:from>
    <xdr:to>
      <xdr:col>18</xdr:col>
      <xdr:colOff>0</xdr:colOff>
      <xdr:row>137</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a118273e23f48e6"/>
        </a:graphicData>
      </a:graphic>
    </xdr:graphicFrame>
    <xdr:clientData/>
  </xdr:twoCellAnchor>
  <xdr:twoCellAnchor>
    <xdr:from>
      <xdr:col>0</xdr:col>
      <xdr:colOff>0</xdr:colOff>
      <xdr:row>162</xdr:row>
      <xdr:rowOff>0</xdr:rowOff>
    </xdr:from>
    <xdr:to>
      <xdr:col>8</xdr:col>
      <xdr:colOff>0</xdr:colOff>
      <xdr:row>183</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e552b9fc3514577"/>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21</xdr:row>
      <xdr:rowOff>0</xdr:rowOff>
    </xdr:from>
    <xdr:to>
      <xdr:col>9</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007af228c2645b6"/>
        </a:graphicData>
      </a:graphic>
    </xdr:graphicFrame>
    <xdr:clientData/>
  </xdr:twoCellAnchor>
  <xdr:twoCellAnchor>
    <xdr:from>
      <xdr:col>10</xdr:col>
      <xdr:colOff>0</xdr:colOff>
      <xdr:row>21</xdr:row>
      <xdr:rowOff>0</xdr:rowOff>
    </xdr:from>
    <xdr:to>
      <xdr:col>18</xdr:col>
      <xdr:colOff>0</xdr:colOff>
      <xdr:row>42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97664fe33a48cd"/>
        </a:graphicData>
      </a:graphic>
    </xdr:graphicFrame>
    <xdr:clientData/>
  </xdr:twoCellAnchor>
</xdr:wsDr>
</file>

<file path=xl/tables/table1.xml><?xml version="1.0" encoding="utf-8"?>
<x:table xmlns:x="http://schemas.openxmlformats.org/spreadsheetml/2006/main" id="3" name="FinePriceCohorts" displayName="FinePriceCohorts" ref="A280:O675" headerRowCount="1" totalsRowCount="0" totalsRowShown="0">
  <x:tableColumns count="15">
    <x:tableColumn id="1" name="モデル"/>
    <x:tableColumn id="2" name="動力"/>
    <x:tableColumn id="3" name="サイト"/>
    <x:tableColumn id="4" name="車体"/>
    <x:tableColumn id="5" name="キャブ"/>
    <x:tableColumn id="6" name="年式"/>
    <x:tableColumn id="7" name="統一グレード"/>
    <x:tableColumn id="8" name="走行距離帯"/>
    <x:tableColumn id="9" name="世代"/>
    <x:tableColumn id="10" name="N価格"/>
    <x:tableColumn id="11" name="Q1 THB"/>
    <x:tableColumn id="12" name="中央値THB"/>
    <x:tableColumn id="13" name="Q3 THB"/>
    <x:tableColumn id="14" name="N残価"/>
    <x:tableColumn id="15" name="残価中央値"/>
  </x:tableColumns>
  <x:tableStyleInfo name="TableStyleMedium2" showFirstColumn="0" showLastColumn="0" showRowStripes="1" showColumnStripes="0"/>
</x:table>
</file>

<file path=xl/tables/table2.xml><?xml version="1.0" encoding="utf-8"?>
<x:table xmlns:x="http://schemas.openxmlformats.org/spreadsheetml/2006/main" id="2" name="UsedListingObservations" displayName="UsedListingObservations" ref="A7:AO1140" headerRowCount="1" totalsRowCount="0" totalsRowShown="0">
  <x:tableColumns count="41">
    <x:tableColumn id="1" name="掲載ID/参照番号"/>
    <x:tableColumn id="2" name="取得日"/>
    <x:tableColumn id="3" name="サイト"/>
    <x:tableColumn id="4" name="企業"/>
    <x:tableColumn id="5" name="企業国籍"/>
    <x:tableColumn id="6" name="モデル"/>
    <x:tableColumn id="7" name="動力"/>
    <x:tableColumn id="8" name="車体"/>
    <x:tableColumn id="9" name="キャブ"/>
    <x:tableColumn id="10" name="掲載年式"/>
    <x:tableColumn id="11" name="原グレード"/>
    <x:tableColumn id="12" name="統一グレード"/>
    <x:tableColumn id="13" name="走行実数km"/>
    <x:tableColumn id="14" name="表示km下限"/>
    <x:tableColumn id="15" name="表示km上限"/>
    <x:tableColumn id="16" name="走行距離帯"/>
    <x:tableColumn id="17" name="販売/掲載県"/>
    <x:tableColumn id="18" name="地域区分"/>
    <x:tableColumn id="19" name="AT/MT"/>
    <x:tableColumn id="20" name="世代（原分類）"/>
    <x:tableColumn id="21" name="掲載価格THB"/>
    <x:tableColumn id="22" name="サイト新車参考THB"/>
    <x:tableColumn id="23" name="車両条件"/>
    <x:tableColumn id="24" name="掲載状態"/>
    <x:tableColumn id="25" name="広告更新表示"/>
    <x:tableColumn id="26" name="出典URL"/>
    <x:tableColumn id="27" name="広告内の参照位置"/>
    <x:tableColumn id="28" name="重複確認"/>
    <x:tableColumn id="29" name="税の記載"/>
    <x:tableColumn id="30" name="当時価格ID"/>
    <x:tableColumn id="31" name="当時通常価格THB"/>
    <x:tableColumn id="32" name="参考残価率"/>
    <x:tableColumn id="33" name="近似代替特価THB"/>
    <x:tableColumn id="34" name="代替新車価格比"/>
    <x:tableColumn id="35" name="分母の注意"/>
    <x:tableColumn id="36" name="条件情報取得"/>
    <x:tableColumn id="37" name="掲載/取得の注意"/>
    <x:tableColumn id="38" name="主集計採用1/0"/>
    <x:tableColumn id="39" name="主集計用価格"/>
    <x:tableColumn id="40" name="主集計用残価率"/>
    <x:tableColumn id="41" name="年式差"/>
  </x:tableColumns>
  <x:tableStyleInfo name="TableStyleMedium2" showFirstColumn="0" showLastColumn="0" showRowStripes="1" showColumnStripes="0"/>
</x:table>
</file>

<file path=xl/tables/table3.xml><?xml version="1.0" encoding="utf-8"?>
<x:table xmlns:x="http://schemas.openxmlformats.org/spreadsheetml/2006/main" id="1" name="NewPriceEvents" displayName="NewPriceEvents" ref="A6:U86" headerRowCount="1" totalsRowCount="0" totalsRowShown="0">
  <x:tableColumns count="21">
    <x:tableColumn id="1" name="価格ID"/>
    <x:tableColumn id="2" name="価格観測日"/>
    <x:tableColumn id="3" name="開始日"/>
    <x:tableColumn id="4" name="終了日"/>
    <x:tableColumn id="5" name="企業"/>
    <x:tableColumn id="6" name="モデル"/>
    <x:tableColumn id="7" name="動力"/>
    <x:tableColumn id="8" name="車体"/>
    <x:tableColumn id="9" name="グレード/仕様"/>
    <x:tableColumn id="10" name="価格種別"/>
    <x:tableColumn id="11" name="通常提示THB"/>
    <x:tableColumn id="12" name="現金値引THB"/>
    <x:tableColumn id="13" name="条件付追加THB"/>
    <x:tableColumn id="14" name="通常特価THB"/>
    <x:tableColumn id="15" name="追加適用THB"/>
    <x:tableColumn id="16" name="現金値引率"/>
    <x:tableColumn id="17" name="金融/付帯特典"/>
    <x:tableColumn id="18" name="条件・比較上の注意"/>
    <x:tableColumn id="19" name="資料の種類"/>
    <x:tableColumn id="20" name="出典URL"/>
    <x:tableColumn id="21" name="取得日"/>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43f615aa7cd4e40" /></Relationships>
</file>

<file path=xl/worksheets/_rels/sheet2.xml.rels>&#65279;<?xml version="1.0" encoding="utf-8"?><Relationships xmlns="http://schemas.openxmlformats.org/package/2006/relationships"><Relationship Type="http://schemas.openxmlformats.org/officeDocument/2006/relationships/table" Target="/xl/tables/table1.xml" Id="Rd58d1e36e31a484d" /></Relationships>
</file>

<file path=xl/worksheets/_rels/sheet3.xml.rels>&#65279;<?xml version="1.0" encoding="utf-8"?><Relationships xmlns="http://schemas.openxmlformats.org/package/2006/relationships"><Relationship Type="http://schemas.openxmlformats.org/officeDocument/2006/relationships/table" Target="/xl/tables/table2.xml" Id="Raf81f6b0f30248fc" /></Relationships>
</file>

<file path=xl/worksheets/_rels/sheet4.xml.rels>&#65279;<?xml version="1.0" encoding="utf-8"?><Relationships xmlns="http://schemas.openxmlformats.org/package/2006/relationships"><Relationship Type="http://schemas.openxmlformats.org/officeDocument/2006/relationships/table" Target="/xl/tables/table3.xml" Id="R94d717d902254fb7" /></Relationships>
</file>

<file path=xl/worksheets/_rels/sheet5.xml.rels>&#65279;<?xml version="1.0" encoding="utf-8"?><Relationships xmlns="http://schemas.openxmlformats.org/package/2006/relationships"><Relationship Type="http://schemas.openxmlformats.org/officeDocument/2006/relationships/drawing" Target="/xl/drawings/drawing2.xml" Id="Rb9fe87647af54fc8"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23" hidden="0" customWidth="1"/>
    <x:col min="2" max="2" width="9" hidden="0" customWidth="1"/>
    <x:col min="3" max="3" width="7" hidden="0" customWidth="1"/>
    <x:col min="4" max="4" width="15" hidden="0" customWidth="1"/>
    <x:col min="5" max="5" width="15" hidden="0" customWidth="1"/>
    <x:col min="6" max="6" width="15" hidden="0" customWidth="1"/>
    <x:col min="7" max="7" width="9" hidden="0" customWidth="1"/>
    <x:col min="8" max="8" width="16" hidden="0" customWidth="1"/>
    <x:col min="9" max="9" width="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 min="18" max="18" width="13" hidden="0" customWidth="1"/>
  </x:cols>
  <x:sheetData>
    <x:row r="1" ht="22" customHeight="1">
      <x:c r="A1" s="3"/>
      <x:c r="B1" s="3"/>
      <x:c r="C1" s="3"/>
      <x:c r="D1" s="3"/>
      <x:c r="E1" s="3"/>
      <x:c r="F1" s="3"/>
      <x:c r="G1" s="3"/>
      <x:c r="H1" s="3"/>
      <x:c r="I1" s="3"/>
      <x:c r="J1" s="3"/>
      <x:c r="K1" s="3"/>
      <x:c r="L1" s="3"/>
      <x:c r="M1" s="3"/>
      <x:c r="N1" s="3"/>
      <x:c r="O1" s="3"/>
      <x:c r="P1" s="3"/>
      <x:c r="Q1" s="3"/>
      <x:c r="R1" s="3"/>
    </x:row>
    <x:row r="2" ht="22" customHeight="1">
      <x:c r="A2" s="4" t="str">
        <x:v>タイ｜BYD・Toyota 中古車価格比較</x:v>
      </x:c>
      <x:c r="B2" s="3"/>
      <x:c r="C2" s="3"/>
      <x:c r="D2" s="3"/>
      <x:c r="E2" s="3"/>
      <x:c r="F2" s="3"/>
      <x:c r="G2" s="3"/>
      <x:c r="H2" s="3"/>
      <x:c r="I2" s="3"/>
      <x:c r="J2" s="3"/>
      <x:c r="K2" s="3"/>
      <x:c r="L2" s="3"/>
      <x:c r="M2" s="3"/>
      <x:c r="N2" s="3"/>
      <x:c r="O2" s="3"/>
      <x:c r="P2" s="3"/>
      <x:c r="Q2" s="3"/>
      <x:c r="R2" s="3"/>
    </x:row>
    <x:row r="3" ht="22" customHeight="1">
      <x:c r="A3" s="5"/>
      <x:c r="B3" s="5"/>
      <x:c r="C3" s="5"/>
      <x:c r="D3" s="5"/>
      <x:c r="E3" s="5"/>
      <x:c r="F3" s="5"/>
      <x:c r="G3" s="5"/>
      <x:c r="H3" s="5"/>
      <x:c r="I3" s="5"/>
      <x:c r="J3" s="5"/>
      <x:c r="K3" s="5"/>
      <x:c r="L3" s="5"/>
      <x:c r="M3" s="5"/>
      <x:c r="N3" s="5"/>
      <x:c r="O3" s="5"/>
      <x:c r="P3" s="5"/>
      <x:c r="Q3" s="5"/>
      <x:c r="R3" s="5"/>
    </x:row>
    <x:row r="4" ht="22" customHeight="1">
      <x:c r="A4" s="3" t="str">
        <x:v>取得掲載数</x:v>
      </x:c>
      <x:c r="B4" s="3" t="n">
        <x:f>COUNTA('中古車掲載'!A8:A1140)</x:f>
        <x:v>1133</x:v>
      </x:c>
      <x:c r="C4" s="3" t="str">
        <x:v>年式2020–26</x:v>
      </x:c>
      <x:c r="D4" s="3"/>
      <x:c r="E4" s="3" t="str">
        <x:v>取得日</x:v>
      </x:c>
      <x:c r="F4" s="7" t="n">
        <x:f>'分析方法'!B5</x:f>
        <x:v>46303</x:v>
      </x:c>
      <x:c r="G4" s="3"/>
      <x:c r="H4" s="3" t="str">
        <x:v>単位：THB／掲載価格</x:v>
      </x:c>
      <x:c r="I4" s="3"/>
      <x:c r="J4" s="3"/>
      <x:c r="K4" s="3"/>
      <x:c r="L4" s="3"/>
      <x:c r="M4" s="3"/>
      <x:c r="N4" s="3"/>
      <x:c r="O4" s="3"/>
      <x:c r="P4" s="3"/>
      <x:c r="Q4" s="3"/>
      <x:c r="R4" s="3"/>
    </x:row>
    <x:row r="5" ht="22" customHeight="1">
      <x:c r="A5" s="3"/>
      <x:c r="B5" s="3"/>
      <x:c r="C5" s="3"/>
      <x:c r="D5" s="3"/>
      <x:c r="E5" s="3"/>
      <x:c r="F5" s="3"/>
      <x:c r="G5" s="3"/>
      <x:c r="H5" s="3"/>
      <x:c r="I5" s="3"/>
      <x:c r="J5" s="3"/>
      <x:c r="K5" s="3"/>
      <x:c r="L5" s="3"/>
      <x:c r="M5" s="3"/>
      <x:c r="N5" s="3"/>
      <x:c r="O5" s="3"/>
      <x:c r="P5" s="3"/>
      <x:c r="Q5" s="3"/>
      <x:c r="R5" s="3"/>
    </x:row>
    <x:row r="6" ht="22" customHeight="1">
      <x:c r="A6" s="3"/>
      <x:c r="B6" s="3"/>
      <x:c r="C6" s="3"/>
      <x:c r="D6" s="3"/>
      <x:c r="E6" s="3"/>
      <x:c r="F6" s="3"/>
      <x:c r="G6" s="3"/>
      <x:c r="H6" s="3"/>
      <x:c r="I6" s="3"/>
      <x:c r="J6" s="3"/>
      <x:c r="K6" s="3"/>
      <x:c r="L6" s="3"/>
      <x:c r="M6" s="3"/>
      <x:c r="N6" s="3"/>
      <x:c r="O6" s="3"/>
      <x:c r="P6" s="3"/>
      <x:c r="Q6" s="3"/>
      <x:c r="R6" s="3"/>
    </x:row>
    <x:row r="7" ht="30" customHeight="1">
      <x:c r="A7" s="16" t="str">
        <x:v>Taladrod主断面</x:v>
      </x:c>
      <x:c r="B7" s="21" t="str">
        <x:v>動力</x:v>
      </x:c>
      <x:c r="C7" s="21" t="str">
        <x:v>N</x:v>
      </x:c>
      <x:c r="D7" s="21" t="str">
        <x:v>中央値THB</x:v>
      </x:c>
      <x:c r="E7" s="21" t="str">
        <x:v>Q1 THB</x:v>
      </x:c>
      <x:c r="F7" s="21" t="str">
        <x:v>Q3 THB</x:v>
      </x:c>
      <x:c r="G7" s="21" t="str">
        <x:v>N残価</x:v>
      </x:c>
      <x:c r="H7" s="17" t="str">
        <x:v>残価中央値</x:v>
      </x:c>
      <x:c r="I7" s="3"/>
      <x:c r="J7" s="3"/>
      <x:c r="K7" s="3"/>
      <x:c r="L7" s="3"/>
      <x:c r="M7" s="3"/>
      <x:c r="N7" s="3"/>
      <x:c r="O7" s="3"/>
      <x:c r="P7" s="3"/>
      <x:c r="Q7" s="3"/>
      <x:c r="R7" s="3"/>
    </x:row>
    <x:row r="8" ht="22" customHeight="1">
      <x:c r="A8" s="3" t="str">
        <x:f>'条件別集計'!A18</x:f>
        <x:v>ATTO 3</x:v>
      </x:c>
      <x:c r="B8" s="3" t="str">
        <x:f>'条件別集計'!B18</x:f>
        <x:v>BEV</x:v>
      </x:c>
      <x:c r="C8" s="22" t="n">
        <x:f>'条件別集計'!D18</x:f>
        <x:v>14</x:v>
      </x:c>
      <x:c r="D8" s="22" t="n">
        <x:f>'条件別集計'!F18</x:f>
        <x:v>457000</x:v>
      </x:c>
      <x:c r="E8" s="22" t="n">
        <x:f>'条件別集計'!E18</x:f>
        <x:v>424750</x:v>
      </x:c>
      <x:c r="F8" s="22" t="n">
        <x:f>'条件別集計'!G18</x:f>
        <x:v>496500</x:v>
      </x:c>
      <x:c r="G8" s="22" t="n">
        <x:f>'条件別集計'!H18</x:f>
        <x:v>11</x:v>
      </x:c>
      <x:c r="H8" s="23" t="n">
        <x:f>IF('条件別集計'!H18=0,"",'条件別集計'!I18)</x:f>
        <x:v>0.3991271933812165</x:v>
      </x:c>
      <x:c r="I8" s="3"/>
      <x:c r="J8" s="3"/>
      <x:c r="K8" s="3"/>
      <x:c r="L8" s="3"/>
      <x:c r="M8" s="3"/>
      <x:c r="N8" s="3"/>
      <x:c r="O8" s="3"/>
      <x:c r="P8" s="3"/>
      <x:c r="Q8" s="3"/>
      <x:c r="R8" s="3"/>
    </x:row>
    <x:row r="9" ht="22" customHeight="1">
      <x:c r="A9" s="3" t="str">
        <x:f>'条件別集計'!A19</x:f>
        <x:v>Corolla Altis</x:v>
      </x:c>
      <x:c r="B9" s="3" t="str">
        <x:f>'条件別集計'!B19</x:f>
        <x:v>HEV</x:v>
      </x:c>
      <x:c r="C9" s="22" t="n">
        <x:f>'条件別集計'!D19</x:f>
        <x:v>26</x:v>
      </x:c>
      <x:c r="D9" s="22" t="n">
        <x:f>'条件別集計'!F19</x:f>
        <x:v>509000</x:v>
      </x:c>
      <x:c r="E9" s="22" t="n">
        <x:f>'条件別集計'!E19</x:f>
        <x:v>476000</x:v>
      </x:c>
      <x:c r="F9" s="22" t="n">
        <x:f>'条件別集計'!G19</x:f>
        <x:v>737250</x:v>
      </x:c>
      <x:c r="G9" s="22" t="n">
        <x:f>'条件別集計'!H19</x:f>
        <x:v>2</x:v>
      </x:c>
      <x:c r="H9" s="23" t="n">
        <x:f>IF('条件別集計'!H19=0,"",'条件別集計'!I19)</x:f>
        <x:v>0.6886625332152347</x:v>
      </x:c>
      <x:c r="I9" s="3"/>
      <x:c r="J9" s="3"/>
      <x:c r="K9" s="3"/>
      <x:c r="L9" s="3"/>
      <x:c r="M9" s="3"/>
      <x:c r="N9" s="3"/>
      <x:c r="O9" s="3"/>
      <x:c r="P9" s="3"/>
      <x:c r="Q9" s="3"/>
      <x:c r="R9" s="3"/>
    </x:row>
    <x:row r="10" ht="22" customHeight="1">
      <x:c r="A10" s="3" t="str">
        <x:f>'条件別集計'!A20</x:f>
        <x:v>Corolla Altis</x:v>
      </x:c>
      <x:c r="B10" s="3" t="str">
        <x:f>'条件別集計'!B20</x:f>
        <x:v>ICE</x:v>
      </x:c>
      <x:c r="C10" s="22" t="n">
        <x:f>'条件別集計'!D20</x:f>
        <x:v>64</x:v>
      </x:c>
      <x:c r="D10" s="22" t="n">
        <x:f>'条件別集計'!F20</x:f>
        <x:v>459000</x:v>
      </x:c>
      <x:c r="E10" s="22" t="n">
        <x:f>'条件別集計'!E20</x:f>
        <x:v>425000</x:v>
      </x:c>
      <x:c r="F10" s="22" t="n">
        <x:f>'条件別集計'!G20</x:f>
        <x:v>499000</x:v>
      </x:c>
      <x:c r="G10" s="22" t="n">
        <x:f>'条件別集計'!H20</x:f>
        <x:v>0</x:v>
      </x:c>
      <x:c r="H10" s="23" t="str">
        <x:f>IF('条件別集計'!H20=0,"",'条件別集計'!I20)</x:f>
      </x:c>
      <x:c r="I10" s="3"/>
      <x:c r="J10" s="3"/>
      <x:c r="K10" s="3"/>
      <x:c r="L10" s="3"/>
      <x:c r="M10" s="3"/>
      <x:c r="N10" s="3"/>
      <x:c r="O10" s="3"/>
      <x:c r="P10" s="3"/>
      <x:c r="Q10" s="3"/>
      <x:c r="R10" s="3"/>
    </x:row>
    <x:row r="11" ht="22" customHeight="1">
      <x:c r="A11" s="3" t="str">
        <x:f>'条件別集計'!A21</x:f>
        <x:v>Corolla Cross</x:v>
      </x:c>
      <x:c r="B11" s="3" t="str">
        <x:f>'条件別集計'!B21</x:f>
        <x:v>HEV</x:v>
      </x:c>
      <x:c r="C11" s="22" t="n">
        <x:f>'条件別集計'!D21</x:f>
        <x:v>164</x:v>
      </x:c>
      <x:c r="D11" s="22" t="n">
        <x:f>'条件別集計'!F21</x:f>
        <x:v>689000</x:v>
      </x:c>
      <x:c r="E11" s="22" t="n">
        <x:f>'条件別集計'!E21</x:f>
        <x:v>619000</x:v>
      </x:c>
      <x:c r="F11" s="22" t="n">
        <x:f>'条件別集計'!G21</x:f>
        <x:v>799000</x:v>
      </x:c>
      <x:c r="G11" s="22" t="n">
        <x:f>'条件別集計'!H21</x:f>
        <x:v>57</x:v>
      </x:c>
      <x:c r="H11" s="23" t="n">
        <x:f>IF('条件別集計'!H21=0,"",'条件別集計'!I21)</x:f>
        <x:v>0.7169059011164274</x:v>
      </x:c>
      <x:c r="I11" s="3"/>
      <x:c r="J11" s="3"/>
      <x:c r="K11" s="3"/>
      <x:c r="L11" s="3"/>
      <x:c r="M11" s="3"/>
      <x:c r="N11" s="3"/>
      <x:c r="O11" s="3"/>
      <x:c r="P11" s="3"/>
      <x:c r="Q11" s="3"/>
      <x:c r="R11" s="3"/>
    </x:row>
    <x:row r="12" ht="22" customHeight="1">
      <x:c r="A12" s="3" t="str">
        <x:f>'条件別集計'!A22</x:f>
        <x:v>Corolla Cross</x:v>
      </x:c>
      <x:c r="B12" s="3" t="str">
        <x:f>'条件別集計'!B22</x:f>
        <x:v>ICE</x:v>
      </x:c>
      <x:c r="C12" s="22" t="n">
        <x:f>'条件別集計'!D22</x:f>
        <x:v>22</x:v>
      </x:c>
      <x:c r="D12" s="22" t="n">
        <x:f>'条件別集計'!F22</x:f>
        <x:v>594000</x:v>
      </x:c>
      <x:c r="E12" s="22" t="n">
        <x:f>'条件別集計'!E22</x:f>
        <x:v>537750</x:v>
      </x:c>
      <x:c r="F12" s="22" t="n">
        <x:f>'条件別集計'!G22</x:f>
        <x:v>688750</x:v>
      </x:c>
      <x:c r="G12" s="22" t="n">
        <x:f>'条件別集計'!H22</x:f>
        <x:v>6</x:v>
      </x:c>
      <x:c r="H12" s="23" t="n">
        <x:f>IF('条件別集計'!H22=0,"",'条件別集計'!I22)</x:f>
        <x:v>0.7312312312312312</x:v>
      </x:c>
      <x:c r="I12" s="3"/>
      <x:c r="J12" s="3"/>
      <x:c r="K12" s="3"/>
      <x:c r="L12" s="3"/>
      <x:c r="M12" s="3"/>
      <x:c r="N12" s="3"/>
      <x:c r="O12" s="3"/>
      <x:c r="P12" s="3"/>
      <x:c r="Q12" s="3"/>
      <x:c r="R12" s="3"/>
    </x:row>
    <x:row r="13" ht="22" customHeight="1">
      <x:c r="A13" s="3" t="str">
        <x:f>'条件別集計'!A23</x:f>
        <x:v>Corolla Cross</x:v>
      </x:c>
      <x:c r="B13" s="3" t="str">
        <x:f>'条件別集計'!B23</x:f>
        <x:v>不明</x:v>
      </x:c>
      <x:c r="C13" s="22" t="n">
        <x:f>'条件別集計'!D23</x:f>
        <x:v>1</x:v>
      </x:c>
      <x:c r="D13" s="22" t="n">
        <x:f>'条件別集計'!F23</x:f>
        <x:v>729000</x:v>
      </x:c>
      <x:c r="E13" s="22" t="n">
        <x:f>'条件別集計'!E23</x:f>
        <x:v>729000</x:v>
      </x:c>
      <x:c r="F13" s="22" t="n">
        <x:f>'条件別集計'!G23</x:f>
        <x:v>729000</x:v>
      </x:c>
      <x:c r="G13" s="22" t="n">
        <x:f>'条件別集計'!H23</x:f>
        <x:v>0</x:v>
      </x:c>
      <x:c r="H13" s="23" t="str">
        <x:f>IF('条件別集計'!H23=0,"",'条件別集計'!I23)</x:f>
      </x:c>
      <x:c r="I13" s="3"/>
      <x:c r="J13" s="3"/>
      <x:c r="K13" s="3"/>
      <x:c r="L13" s="3"/>
      <x:c r="M13" s="3"/>
      <x:c r="N13" s="3"/>
      <x:c r="O13" s="3"/>
      <x:c r="P13" s="3"/>
      <x:c r="Q13" s="3"/>
      <x:c r="R13" s="3"/>
    </x:row>
    <x:row r="14" ht="22" customHeight="1">
      <x:c r="A14" s="3" t="str">
        <x:f>'条件別集計'!A24</x:f>
        <x:v>DOLPHIN</x:v>
      </x:c>
      <x:c r="B14" s="3" t="str">
        <x:f>'条件別集計'!B24</x:f>
        <x:v>BEV</x:v>
      </x:c>
      <x:c r="C14" s="22" t="n">
        <x:f>'条件別集計'!D24</x:f>
        <x:v>22</x:v>
      </x:c>
      <x:c r="D14" s="22" t="n">
        <x:f>'条件別集計'!F24</x:f>
        <x:v>349000</x:v>
      </x:c>
      <x:c r="E14" s="22" t="n">
        <x:f>'条件別集計'!E24</x:f>
        <x:v>332000</x:v>
      </x:c>
      <x:c r="F14" s="22" t="n">
        <x:f>'条件別集計'!G24</x:f>
        <x:v>394000</x:v>
      </x:c>
      <x:c r="G14" s="22" t="n">
        <x:f>'条件別集計'!H24</x:f>
        <x:v>12</x:v>
      </x:c>
      <x:c r="H14" s="23" t="n">
        <x:f>IF('条件別集計'!H24=0,"",'条件別集計'!I24)</x:f>
        <x:v>0.4635720908172726</x:v>
      </x:c>
      <x:c r="I14" s="3"/>
      <x:c r="J14" s="3"/>
      <x:c r="K14" s="3"/>
      <x:c r="L14" s="3"/>
      <x:c r="M14" s="3"/>
      <x:c r="N14" s="3"/>
      <x:c r="O14" s="3"/>
      <x:c r="P14" s="3"/>
      <x:c r="Q14" s="3"/>
      <x:c r="R14" s="3"/>
    </x:row>
    <x:row r="15" ht="22" customHeight="1">
      <x:c r="A15" s="3" t="str">
        <x:f>'条件別集計'!A25</x:f>
        <x:v>Fortuner</x:v>
      </x:c>
      <x:c r="B15" s="3" t="str">
        <x:f>'条件別集計'!B25</x:f>
        <x:v>ICE</x:v>
      </x:c>
      <x:c r="C15" s="22" t="n">
        <x:f>'条件別集計'!D25</x:f>
        <x:v>138</x:v>
      </x:c>
      <x:c r="D15" s="22" t="n">
        <x:f>'条件別集計'!F25</x:f>
        <x:v>909000</x:v>
      </x:c>
      <x:c r="E15" s="22" t="n">
        <x:f>'条件別集計'!E25</x:f>
        <x:v>829250</x:v>
      </x:c>
      <x:c r="F15" s="22" t="n">
        <x:f>'条件別集計'!G25</x:f>
        <x:v>959000</x:v>
      </x:c>
      <x:c r="G15" s="22" t="n">
        <x:f>'条件別集計'!H25</x:f>
        <x:v>0</x:v>
      </x:c>
      <x:c r="H15" s="23" t="str">
        <x:f>IF('条件別集計'!H25=0,"",'条件別集計'!I25)</x:f>
      </x:c>
      <x:c r="I15" s="3"/>
      <x:c r="J15" s="3"/>
      <x:c r="K15" s="3"/>
      <x:c r="L15" s="3"/>
      <x:c r="M15" s="3"/>
      <x:c r="N15" s="3"/>
      <x:c r="O15" s="3"/>
      <x:c r="P15" s="3"/>
      <x:c r="Q15" s="3"/>
      <x:c r="R15" s="3"/>
    </x:row>
    <x:row r="16" ht="22" customHeight="1">
      <x:c r="A16" s="3" t="str">
        <x:f>'条件別集計'!A26</x:f>
        <x:v>Hilux Champ</x:v>
      </x:c>
      <x:c r="B16" s="3" t="str">
        <x:f>'条件別集計'!B26</x:f>
        <x:v>ICE</x:v>
      </x:c>
      <x:c r="C16" s="22" t="n">
        <x:f>'条件別集計'!D26</x:f>
        <x:v>26</x:v>
      </x:c>
      <x:c r="D16" s="22" t="n">
        <x:f>'条件別集計'!F26</x:f>
        <x:v>462000</x:v>
      </x:c>
      <x:c r="E16" s="22" t="n">
        <x:f>'条件別集計'!E26</x:f>
        <x:v>449000</x:v>
      </x:c>
      <x:c r="F16" s="22" t="n">
        <x:f>'条件別集計'!G26</x:f>
        <x:v>469000</x:v>
      </x:c>
      <x:c r="G16" s="22" t="n">
        <x:f>'条件別集計'!H26</x:f>
        <x:v>0</x:v>
      </x:c>
      <x:c r="H16" s="23" t="str">
        <x:f>IF('条件別集計'!H26=0,"",'条件別集計'!I26)</x:f>
      </x:c>
      <x:c r="I16" s="3"/>
      <x:c r="J16" s="3"/>
      <x:c r="K16" s="3"/>
      <x:c r="L16" s="3"/>
      <x:c r="M16" s="3"/>
      <x:c r="N16" s="3"/>
      <x:c r="O16" s="3"/>
      <x:c r="P16" s="3"/>
      <x:c r="Q16" s="3"/>
      <x:c r="R16" s="3"/>
    </x:row>
    <x:row r="17" ht="22" customHeight="1">
      <x:c r="A17" s="3" t="str">
        <x:f>'条件別集計'!A27</x:f>
        <x:v>Hilux Revo</x:v>
      </x:c>
      <x:c r="B17" s="3" t="str">
        <x:f>'条件別集計'!B27</x:f>
        <x:v>ICE</x:v>
      </x:c>
      <x:c r="C17" s="22" t="n">
        <x:f>'条件別集計'!D27</x:f>
        <x:v>268</x:v>
      </x:c>
      <x:c r="D17" s="22" t="n">
        <x:f>'条件別集計'!F27</x:f>
        <x:v>479000</x:v>
      </x:c>
      <x:c r="E17" s="22" t="n">
        <x:f>'条件別集計'!E27</x:f>
        <x:v>399750</x:v>
      </x:c>
      <x:c r="F17" s="22" t="n">
        <x:f>'条件別集計'!G27</x:f>
        <x:v>599000</x:v>
      </x:c>
      <x:c r="G17" s="22" t="n">
        <x:f>'条件別集計'!H27</x:f>
        <x:v>0</x:v>
      </x:c>
      <x:c r="H17" s="23" t="str">
        <x:f>IF('条件別集計'!H27=0,"",'条件別集計'!I27)</x:f>
      </x:c>
      <x:c r="I17" s="3"/>
      <x:c r="J17" s="3"/>
      <x:c r="K17" s="3"/>
      <x:c r="L17" s="3"/>
      <x:c r="M17" s="3"/>
      <x:c r="N17" s="3"/>
      <x:c r="O17" s="3"/>
      <x:c r="P17" s="3"/>
      <x:c r="Q17" s="3"/>
      <x:c r="R17" s="3"/>
    </x:row>
    <x:row r="18" ht="22" customHeight="1">
      <x:c r="A18" s="3" t="str">
        <x:f>'条件別集計'!A28</x:f>
        <x:v>Hilux Revo</x:v>
      </x:c>
      <x:c r="B18" s="3" t="str">
        <x:f>'条件別集計'!B28</x:f>
        <x:v>不明</x:v>
      </x:c>
      <x:c r="C18" s="22" t="n">
        <x:f>'条件別集計'!D28</x:f>
        <x:v>2</x:v>
      </x:c>
      <x:c r="D18" s="22" t="n">
        <x:f>'条件別集計'!F28</x:f>
        <x:v>455000</x:v>
      </x:c>
      <x:c r="E18" s="22" t="n">
        <x:f>'条件別集計'!E28</x:f>
        <x:v>407500</x:v>
      </x:c>
      <x:c r="F18" s="22" t="n">
        <x:f>'条件別集計'!G28</x:f>
        <x:v>502500</x:v>
      </x:c>
      <x:c r="G18" s="22" t="n">
        <x:f>'条件別集計'!H28</x:f>
        <x:v>0</x:v>
      </x:c>
      <x:c r="H18" s="23" t="str">
        <x:f>IF('条件別集計'!H28=0,"",'条件別集計'!I28)</x:f>
      </x:c>
      <x:c r="I18" s="3"/>
      <x:c r="J18" s="3"/>
      <x:c r="K18" s="3"/>
      <x:c r="L18" s="3"/>
      <x:c r="M18" s="3"/>
      <x:c r="N18" s="3"/>
      <x:c r="O18" s="3"/>
      <x:c r="P18" s="3"/>
      <x:c r="Q18" s="3"/>
      <x:c r="R18" s="3"/>
    </x:row>
    <x:row r="19" ht="22" customHeight="1">
      <x:c r="A19" s="3" t="str">
        <x:f>'条件別集計'!A29</x:f>
        <x:v>M6</x:v>
      </x:c>
      <x:c r="B19" s="3" t="str">
        <x:f>'条件別集計'!B29</x:f>
        <x:v>BEV</x:v>
      </x:c>
      <x:c r="C19" s="22" t="n">
        <x:f>'条件別集計'!D29</x:f>
        <x:v>2</x:v>
      </x:c>
      <x:c r="D19" s="22" t="n">
        <x:f>'条件別集計'!F29</x:f>
        <x:v>649000</x:v>
      </x:c>
      <x:c r="E19" s="22" t="n">
        <x:f>'条件別集計'!E29</x:f>
        <x:v>624000</x:v>
      </x:c>
      <x:c r="F19" s="22" t="n">
        <x:f>'条件別集計'!G29</x:f>
        <x:v>674000</x:v>
      </x:c>
      <x:c r="G19" s="22" t="n">
        <x:f>'条件別集計'!H29</x:f>
        <x:v>1</x:v>
      </x:c>
      <x:c r="H19" s="23" t="n">
        <x:f>IF('条件別集計'!H29=0,"",'条件別集計'!I29)</x:f>
        <x:v>0.7217737076756235</x:v>
      </x:c>
      <x:c r="I19" s="3"/>
      <x:c r="J19" s="3"/>
      <x:c r="K19" s="3"/>
      <x:c r="L19" s="3"/>
      <x:c r="M19" s="3"/>
      <x:c r="N19" s="3"/>
      <x:c r="O19" s="3"/>
      <x:c r="P19" s="3"/>
      <x:c r="Q19" s="3"/>
      <x:c r="R19" s="3"/>
    </x:row>
    <x:row r="20" ht="22" customHeight="1">
      <x:c r="A20" s="3" t="str">
        <x:f>'条件別集計'!A30</x:f>
        <x:v>SEAL</x:v>
      </x:c>
      <x:c r="B20" s="3" t="str">
        <x:f>'条件別集計'!B30</x:f>
        <x:v>BEV</x:v>
      </x:c>
      <x:c r="C20" s="22" t="n">
        <x:f>'条件別集計'!D30</x:f>
        <x:v>3</x:v>
      </x:c>
      <x:c r="D20" s="22" t="n">
        <x:f>'条件別集計'!F30</x:f>
        <x:v>699000</x:v>
      </x:c>
      <x:c r="E20" s="22" t="n">
        <x:f>'条件別集計'!E30</x:f>
        <x:v>679000</x:v>
      </x:c>
      <x:c r="F20" s="22" t="n">
        <x:f>'条件別集計'!G30</x:f>
        <x:v>749000</x:v>
      </x:c>
      <x:c r="G20" s="22" t="n">
        <x:f>'条件別集計'!H30</x:f>
        <x:v>3</x:v>
      </x:c>
      <x:c r="H20" s="23" t="n">
        <x:f>IF('条件別集計'!H30=0,"",'条件別集計'!I30)</x:f>
        <x:v>0.49735849056603776</x:v>
      </x:c>
      <x:c r="I20" s="3"/>
      <x:c r="J20" s="3"/>
      <x:c r="K20" s="3"/>
      <x:c r="L20" s="3"/>
      <x:c r="M20" s="3"/>
      <x:c r="N20" s="3"/>
      <x:c r="O20" s="3"/>
      <x:c r="P20" s="3"/>
      <x:c r="Q20" s="3"/>
      <x:c r="R20" s="3"/>
    </x:row>
    <x:row r="21" ht="22" customHeight="1">
      <x:c r="A21" s="3" t="str">
        <x:f>'条件別集計'!A31</x:f>
        <x:v>SEAL 5</x:v>
      </x:c>
      <x:c r="B21" s="3" t="str">
        <x:f>'条件別集計'!B31</x:f>
        <x:v>PHEV</x:v>
      </x:c>
      <x:c r="C21" s="22" t="n">
        <x:f>'条件別集計'!D31</x:f>
        <x:v>0</x:v>
      </x:c>
      <x:c r="D21" s="22" t="str">
        <x:f>'条件別集計'!F31</x:f>
      </x:c>
      <x:c r="E21" s="22" t="str">
        <x:f>'条件別集計'!E31</x:f>
      </x:c>
      <x:c r="F21" s="22" t="str">
        <x:f>'条件別集計'!G31</x:f>
      </x:c>
      <x:c r="G21" s="22" t="n">
        <x:f>'条件別集計'!H31</x:f>
        <x:v>0</x:v>
      </x:c>
      <x:c r="H21" s="23" t="str">
        <x:f>IF('条件別集計'!H31=0,"",'条件別集計'!I31)</x:f>
      </x:c>
      <x:c r="I21" s="3"/>
      <x:c r="J21" s="3"/>
      <x:c r="K21" s="3"/>
      <x:c r="L21" s="3"/>
      <x:c r="M21" s="3"/>
      <x:c r="N21" s="3"/>
      <x:c r="O21" s="3"/>
      <x:c r="P21" s="3"/>
      <x:c r="Q21" s="3"/>
      <x:c r="R21" s="3"/>
    </x:row>
    <x:row r="22" ht="22" customHeight="1">
      <x:c r="A22" s="3" t="str">
        <x:f>'条件別集計'!A32</x:f>
        <x:v>SEALION 6</x:v>
      </x:c>
      <x:c r="B22" s="3" t="str">
        <x:f>'条件別集計'!B32</x:f>
        <x:v>PHEV</x:v>
      </x:c>
      <x:c r="C22" s="22" t="n">
        <x:f>'条件別集計'!D32</x:f>
        <x:v>5</x:v>
      </x:c>
      <x:c r="D22" s="22" t="n">
        <x:f>'条件別集計'!F32</x:f>
        <x:v>790000</x:v>
      </x:c>
      <x:c r="E22" s="22" t="n">
        <x:f>'条件別集計'!E32</x:f>
        <x:v>729000</x:v>
      </x:c>
      <x:c r="F22" s="22" t="n">
        <x:f>'条件別集計'!G32</x:f>
        <x:v>799000</x:v>
      </x:c>
      <x:c r="G22" s="22" t="n">
        <x:f>'条件別集計'!H32</x:f>
        <x:v>4</x:v>
      </x:c>
      <x:c r="H22" s="23" t="n">
        <x:f>IF('条件別集計'!H32=0,"",'条件別集計'!I32)</x:f>
        <x:v>0.6946086007818892</x:v>
      </x:c>
      <x:c r="I22" s="3"/>
      <x:c r="J22" s="3"/>
      <x:c r="K22" s="3"/>
      <x:c r="L22" s="3"/>
      <x:c r="M22" s="3"/>
      <x:c r="N22" s="3"/>
      <x:c r="O22" s="3"/>
      <x:c r="P22" s="3"/>
      <x:c r="Q22" s="3"/>
      <x:c r="R22" s="3"/>
    </x:row>
    <x:row r="23" ht="22" customHeight="1">
      <x:c r="A23" s="3" t="str">
        <x:f>'条件別集計'!A33</x:f>
        <x:v>SEALION 7</x:v>
      </x:c>
      <x:c r="B23" s="3" t="str">
        <x:f>'条件別集計'!B33</x:f>
        <x:v>BEV</x:v>
      </x:c>
      <x:c r="C23" s="22" t="n">
        <x:f>'条件別集計'!D33</x:f>
        <x:v>3</x:v>
      </x:c>
      <x:c r="D23" s="22" t="n">
        <x:f>'条件別集計'!F33</x:f>
        <x:v>939000</x:v>
      </x:c>
      <x:c r="E23" s="22" t="n">
        <x:f>'条件別集計'!E33</x:f>
        <x:v>938500</x:v>
      </x:c>
      <x:c r="F23" s="22" t="n">
        <x:f>'条件別集計'!G33</x:f>
        <x:v>969000</x:v>
      </x:c>
      <x:c r="G23" s="22" t="n">
        <x:f>'条件別集計'!H33</x:f>
        <x:v>3</x:v>
      </x:c>
      <x:c r="H23" s="23" t="n">
        <x:f>IF('条件別集計'!H33=0,"",'条件別集計'!I33)</x:f>
        <x:v>0.6707621972998071</x:v>
      </x:c>
      <x:c r="I23" s="3"/>
      <x:c r="J23" s="3"/>
      <x:c r="K23" s="3"/>
      <x:c r="L23" s="3"/>
      <x:c r="M23" s="3"/>
      <x:c r="N23" s="3"/>
      <x:c r="O23" s="3"/>
      <x:c r="P23" s="3"/>
      <x:c r="Q23" s="3"/>
      <x:c r="R23" s="3"/>
    </x:row>
    <x:row r="24" ht="22" customHeight="1">
      <x:c r="A24" s="3" t="str">
        <x:f>'条件別集計'!A34</x:f>
        <x:v>Yaris Ativ</x:v>
      </x:c>
      <x:c r="B24" s="3" t="str">
        <x:f>'条件別集計'!B34</x:f>
        <x:v>HEV</x:v>
      </x:c>
      <x:c r="C24" s="22" t="n">
        <x:f>'条件別集計'!D34</x:f>
        <x:v>3</x:v>
      </x:c>
      <x:c r="D24" s="22" t="n">
        <x:f>'条件別集計'!F34</x:f>
        <x:v>690000</x:v>
      </x:c>
      <x:c r="E24" s="22" t="n">
        <x:f>'条件別集計'!E34</x:f>
        <x:v>657000</x:v>
      </x:c>
      <x:c r="F24" s="22" t="n">
        <x:f>'条件別集計'!G34</x:f>
        <x:v>690000</x:v>
      </x:c>
      <x:c r="G24" s="22" t="n">
        <x:f>'条件別集計'!H34</x:f>
        <x:v>0</x:v>
      </x:c>
      <x:c r="H24" s="23" t="str">
        <x:f>IF('条件別集計'!H34=0,"",'条件別集計'!I34)</x:f>
      </x:c>
      <x:c r="I24" s="3"/>
      <x:c r="J24" s="3"/>
      <x:c r="K24" s="3"/>
      <x:c r="L24" s="3"/>
      <x:c r="M24" s="3"/>
      <x:c r="N24" s="3"/>
      <x:c r="O24" s="3"/>
      <x:c r="P24" s="3"/>
      <x:c r="Q24" s="3"/>
      <x:c r="R24" s="3"/>
    </x:row>
    <x:row r="25" ht="22" customHeight="1">
      <x:c r="A25" s="3" t="str">
        <x:f>'条件別集計'!A35</x:f>
        <x:v>Yaris Ativ</x:v>
      </x:c>
      <x:c r="B25" s="3" t="str">
        <x:f>'条件別集計'!B35</x:f>
        <x:v>ICE</x:v>
      </x:c>
      <x:c r="C25" s="22" t="n">
        <x:f>'条件別集計'!D35</x:f>
        <x:v>151</x:v>
      </x:c>
      <x:c r="D25" s="22" t="n">
        <x:f>'条件別集計'!F35</x:f>
        <x:v>439000</x:v>
      </x:c>
      <x:c r="E25" s="22" t="n">
        <x:f>'条件別集計'!E35</x:f>
        <x:v>379000</x:v>
      </x:c>
      <x:c r="F25" s="22" t="n">
        <x:f>'条件別集計'!G35</x:f>
        <x:v>479000</x:v>
      </x:c>
      <x:c r="G25" s="22" t="n">
        <x:f>'条件別集計'!H35</x:f>
        <x:v>0</x:v>
      </x:c>
      <x:c r="H25" s="23" t="str">
        <x:f>IF('条件別集計'!H35=0,"",'条件別集計'!I35)</x:f>
      </x:c>
      <x:c r="I25" s="3"/>
      <x:c r="J25" s="3"/>
      <x:c r="K25" s="3"/>
      <x:c r="L25" s="3"/>
      <x:c r="M25" s="3"/>
      <x:c r="N25" s="3"/>
      <x:c r="O25" s="3"/>
      <x:c r="P25" s="3"/>
      <x:c r="Q25" s="3"/>
      <x:c r="R25" s="3"/>
    </x:row>
    <x:row r="26" ht="22" customHeight="1">
      <x:c r="A26" s="3" t="str">
        <x:f>'条件別集計'!A36</x:f>
        <x:v>Yaris Ativ</x:v>
      </x:c>
      <x:c r="B26" s="3" t="str">
        <x:f>'条件別集計'!B36</x:f>
        <x:v>不明</x:v>
      </x:c>
      <x:c r="C26" s="22" t="n">
        <x:f>'条件別集計'!D36</x:f>
        <x:v>1</x:v>
      </x:c>
      <x:c r="D26" s="22" t="n">
        <x:f>'条件別集計'!F36</x:f>
        <x:v>390000</x:v>
      </x:c>
      <x:c r="E26" s="22" t="n">
        <x:f>'条件別集計'!E36</x:f>
        <x:v>390000</x:v>
      </x:c>
      <x:c r="F26" s="22" t="n">
        <x:f>'条件別集計'!G36</x:f>
        <x:v>390000</x:v>
      </x:c>
      <x:c r="G26" s="22" t="n">
        <x:f>'条件別集計'!H36</x:f>
        <x:v>0</x:v>
      </x:c>
      <x:c r="H26" s="23" t="str">
        <x:f>IF('条件別集計'!H36=0,"",'条件別集計'!I36)</x:f>
      </x:c>
      <x:c r="I26" s="3"/>
      <x:c r="J26" s="3"/>
      <x:c r="K26" s="3"/>
      <x:c r="L26" s="3"/>
      <x:c r="M26" s="3"/>
      <x:c r="N26" s="3"/>
      <x:c r="O26" s="3"/>
      <x:c r="P26" s="3"/>
      <x:c r="Q26" s="3"/>
      <x:c r="R26" s="3"/>
    </x:row>
    <x:row r="27" ht="22" customHeight="1">
      <x:c r="A27" s="3" t="str">
        <x:f>'条件別集計'!A37</x:f>
        <x:v>Yaris Cross</x:v>
      </x:c>
      <x:c r="B27" s="3" t="str">
        <x:f>'条件別集計'!B37</x:f>
        <x:v>HEV</x:v>
      </x:c>
      <x:c r="C27" s="22" t="n">
        <x:f>'条件別集計'!D37</x:f>
        <x:v>41</x:v>
      </x:c>
      <x:c r="D27" s="22" t="n">
        <x:f>'条件別集計'!F37</x:f>
        <x:v>679000</x:v>
      </x:c>
      <x:c r="E27" s="22" t="n">
        <x:f>'条件別集計'!E37</x:f>
        <x:v>664000</x:v>
      </x:c>
      <x:c r="F27" s="22" t="n">
        <x:f>'条件別集計'!G37</x:f>
        <x:v>709000</x:v>
      </x:c>
      <x:c r="G27" s="22" t="n">
        <x:f>'条件別集計'!H37</x:f>
        <x:v>0</x:v>
      </x:c>
      <x:c r="H27" s="23" t="str">
        <x:f>IF('条件別集計'!H37=0,"",'条件別集計'!I37)</x:f>
      </x:c>
      <x:c r="I27" s="3"/>
      <x:c r="J27" s="3" t="str">
        <x:v>One2car、2023年式、走行表示レンジ全体が2万〜10万km。</x:v>
      </x:c>
      <x:c r="K27" s="3"/>
      <x:c r="L27" s="3"/>
      <x:c r="M27" s="3"/>
      <x:c r="N27" s="3"/>
      <x:c r="O27" s="3"/>
      <x:c r="P27" s="3"/>
      <x:c r="Q27" s="3"/>
      <x:c r="R27" s="3"/>
    </x:row>
    <x:row r="28" ht="22" customHeight="1">
      <x:c r="A28" s="3" t="str">
        <x:f>'条件別集計'!A38</x:f>
        <x:v>bZ4X</x:v>
      </x:c>
      <x:c r="B28" s="3" t="str">
        <x:f>'条件別集計'!B38</x:f>
        <x:v>BEV</x:v>
      </x:c>
      <x:c r="C28" s="22" t="n">
        <x:f>'条件別集計'!D38</x:f>
        <x:v>1</x:v>
      </x:c>
      <x:c r="D28" s="22" t="n">
        <x:f>'条件別集計'!F38</x:f>
        <x:v>980000</x:v>
      </x:c>
      <x:c r="E28" s="22" t="n">
        <x:f>'条件別集計'!E38</x:f>
        <x:v>980000</x:v>
      </x:c>
      <x:c r="F28" s="22" t="n">
        <x:f>'条件別集計'!G38</x:f>
        <x:v>980000</x:v>
      </x:c>
      <x:c r="G28" s="22" t="n">
        <x:f>'条件別集計'!H38</x:f>
        <x:v>0</x:v>
      </x:c>
      <x:c r="H28" s="23" t="str">
        <x:f>IF('条件別集計'!H38=0,"",'条件別集計'!I38)</x:f>
      </x:c>
      <x:c r="I28" s="3"/>
      <x:c r="J28" s="3" t="str">
        <x:v>当時通常価格：約120万THB。走行分布・保証/仕様差は残る。</x:v>
      </x:c>
      <x:c r="K28" s="3"/>
      <x:c r="L28" s="3"/>
      <x:c r="M28" s="3"/>
      <x:c r="N28" s="3"/>
      <x:c r="O28" s="3"/>
      <x:c r="P28" s="3"/>
      <x:c r="Q28" s="3"/>
      <x:c r="R28" s="3"/>
    </x:row>
    <x:row r="29" ht="22" customHeight="1">
      <x:c r="A29" s="3" t="str">
        <x:v>N残価は、当時新車価格の対応が確認できた別の部分標本。N価格の全車平均残価率ではありません。</x:v>
      </x:c>
      <x:c r="B29" s="3"/>
      <x:c r="C29" s="3"/>
      <x:c r="D29" s="3"/>
      <x:c r="E29" s="3"/>
      <x:c r="F29" s="3"/>
      <x:c r="G29" s="3"/>
      <x:c r="H29" s="3"/>
      <x:c r="I29" s="3"/>
      <x:c r="J29" s="3"/>
      <x:c r="K29" s="3"/>
      <x:c r="L29" s="3"/>
      <x:c r="M29" s="3"/>
      <x:c r="N29" s="3"/>
      <x:c r="O29" s="3"/>
      <x:c r="P29" s="3"/>
      <x:c r="Q29" s="3"/>
      <x:c r="R29" s="3"/>
    </x:row>
    <x:row r="30" ht="22" customHeight="1">
      <x:c r="A30" s="3" t="str">
        <x:v>主断面：年式2020–2025。走行500km未満/売却済みを除外。走行・県未掲載の広告も価格分布には含む。</x:v>
      </x:c>
      <x:c r="B30" s="3"/>
      <x:c r="C30" s="3"/>
      <x:c r="D30" s="3"/>
      <x:c r="E30" s="3"/>
      <x:c r="F30" s="3"/>
      <x:c r="G30" s="3"/>
      <x:c r="H30" s="3"/>
      <x:c r="I30" s="3"/>
      <x:c r="J30" s="3"/>
      <x:c r="K30" s="3"/>
      <x:c r="L30" s="3"/>
      <x:c r="M30" s="3"/>
      <x:c r="N30" s="3"/>
      <x:c r="O30" s="3"/>
      <x:c r="P30" s="3"/>
      <x:c r="Q30" s="3"/>
      <x:c r="R30" s="3"/>
    </x:row>
    <x:row r="31" ht="22" customHeight="1">
      <x:c r="A31" s="3"/>
      <x:c r="B31" s="3"/>
      <x:c r="C31" s="3"/>
      <x:c r="D31" s="3"/>
      <x:c r="E31" s="3"/>
      <x:c r="F31" s="3"/>
      <x:c r="G31" s="3"/>
      <x:c r="H31" s="3"/>
      <x:c r="I31" s="3"/>
      <x:c r="J31" s="3"/>
      <x:c r="K31" s="3"/>
      <x:c r="L31" s="3"/>
      <x:c r="M31" s="3"/>
      <x:c r="N31" s="3"/>
      <x:c r="O31" s="3"/>
      <x:c r="P31" s="3"/>
      <x:c r="Q31" s="3"/>
      <x:c r="R31" s="3"/>
    </x:row>
    <x:row r="32" ht="22" customHeight="1">
      <x:c r="A32" s="3" t="str">
        <x:v>横断比較：観測日の別個体を年式差で比較。所有後の経時減価を示す線ではありません。N&lt;3の点は省略。</x:v>
      </x:c>
      <x:c r="B32" s="3"/>
      <x:c r="C32" s="3"/>
      <x:c r="D32" s="3"/>
      <x:c r="E32" s="3"/>
      <x:c r="F32" s="3"/>
      <x:c r="G32" s="3"/>
      <x:c r="H32" s="3"/>
      <x:c r="I32" s="3"/>
      <x:c r="J32" s="3"/>
      <x:c r="K32" s="3"/>
      <x:c r="L32" s="3"/>
      <x:c r="M32" s="3"/>
      <x:c r="N32" s="3"/>
      <x:c r="O32" s="3"/>
      <x:c r="P32" s="3"/>
      <x:c r="Q32" s="3"/>
      <x:c r="R32" s="3"/>
    </x:row>
    <x:row r="33" ht="22" customHeight="1">
      <x:c r="A33" s="3"/>
      <x:c r="B33" s="3"/>
      <x:c r="C33" s="3"/>
      <x:c r="D33" s="3"/>
      <x:c r="E33" s="3"/>
      <x:c r="F33" s="3"/>
      <x:c r="G33" s="3"/>
      <x:c r="H33" s="3"/>
      <x:c r="I33" s="3"/>
      <x:c r="J33" s="3"/>
      <x:c r="K33" s="3"/>
      <x:c r="L33" s="3"/>
      <x:c r="M33" s="3"/>
      <x:c r="N33" s="3"/>
      <x:c r="O33" s="3"/>
      <x:c r="P33" s="3"/>
      <x:c r="Q33" s="3"/>
      <x:c r="R33" s="3"/>
    </x:row>
    <x:row r="34" ht="22" customHeight="1">
      <x:c r="A34" s="3"/>
      <x:c r="B34" s="3"/>
      <x:c r="C34" s="3"/>
      <x:c r="D34" s="3"/>
      <x:c r="E34" s="3"/>
      <x:c r="F34" s="3"/>
      <x:c r="G34" s="3"/>
      <x:c r="H34" s="3"/>
      <x:c r="I34" s="3"/>
      <x:c r="J34" s="3"/>
      <x:c r="K34" s="3"/>
      <x:c r="L34" s="3"/>
      <x:c r="M34" s="3"/>
      <x:c r="N34" s="3"/>
      <x:c r="O34" s="3"/>
      <x:c r="P34" s="3"/>
      <x:c r="Q34" s="3"/>
      <x:c r="R34" s="3"/>
    </x:row>
    <x:row r="35" ht="22" customHeight="1">
      <x:c r="A35" s="3"/>
      <x:c r="B35" s="3"/>
      <x:c r="C35" s="3"/>
      <x:c r="D35" s="3"/>
      <x:c r="E35" s="3"/>
      <x:c r="F35" s="3"/>
      <x:c r="G35" s="3"/>
      <x:c r="H35" s="3"/>
      <x:c r="I35" s="3"/>
      <x:c r="J35" s="3"/>
      <x:c r="K35" s="3"/>
      <x:c r="L35" s="3"/>
      <x:c r="M35" s="3"/>
      <x:c r="N35" s="3"/>
      <x:c r="O35" s="3"/>
      <x:c r="P35" s="3"/>
      <x:c r="Q35" s="3"/>
      <x:c r="R35" s="3"/>
    </x:row>
    <x:row r="36" ht="22" customHeight="1">
      <x:c r="A36" s="3"/>
      <x:c r="B36" s="3"/>
      <x:c r="C36" s="3"/>
      <x:c r="D36" s="3"/>
      <x:c r="E36" s="3"/>
      <x:c r="F36" s="3"/>
      <x:c r="G36" s="3"/>
      <x:c r="H36" s="3"/>
      <x:c r="I36" s="3"/>
      <x:c r="J36" s="3"/>
      <x:c r="K36" s="3"/>
      <x:c r="L36" s="3"/>
      <x:c r="M36" s="3"/>
      <x:c r="N36" s="3"/>
      <x:c r="O36" s="3"/>
      <x:c r="P36" s="3"/>
      <x:c r="Q36" s="3"/>
      <x:c r="R36" s="3"/>
    </x:row>
    <x:row r="37" ht="22" customHeight="1">
      <x:c r="A37" s="3"/>
      <x:c r="B37" s="3"/>
      <x:c r="C37" s="3"/>
      <x:c r="D37" s="3"/>
      <x:c r="E37" s="3"/>
      <x:c r="F37" s="3"/>
      <x:c r="G37" s="3"/>
      <x:c r="H37" s="3"/>
      <x:c r="I37" s="3"/>
      <x:c r="J37" s="3"/>
      <x:c r="K37" s="3"/>
      <x:c r="L37" s="3"/>
      <x:c r="M37" s="3"/>
      <x:c r="N37" s="3"/>
      <x:c r="O37" s="3"/>
      <x:c r="P37" s="3"/>
      <x:c r="Q37" s="3"/>
      <x:c r="R37" s="3"/>
    </x:row>
    <x:row r="38" ht="22" customHeight="1">
      <x:c r="A38" s="3"/>
      <x:c r="B38" s="3"/>
      <x:c r="C38" s="3"/>
      <x:c r="D38" s="3"/>
      <x:c r="E38" s="3"/>
      <x:c r="F38" s="3"/>
      <x:c r="G38" s="3"/>
      <x:c r="H38" s="3"/>
      <x:c r="I38" s="3"/>
      <x:c r="J38" s="3"/>
      <x:c r="K38" s="3"/>
      <x:c r="L38" s="3"/>
      <x:c r="M38" s="3"/>
      <x:c r="N38" s="3"/>
      <x:c r="O38" s="3"/>
      <x:c r="P38" s="3"/>
      <x:c r="Q38" s="3"/>
      <x:c r="R38" s="3"/>
    </x:row>
    <x:row r="39" ht="22" customHeight="1">
      <x:c r="A39" s="3"/>
      <x:c r="B39" s="3"/>
      <x:c r="C39" s="3"/>
      <x:c r="D39" s="3"/>
      <x:c r="E39" s="3"/>
      <x:c r="F39" s="3"/>
      <x:c r="G39" s="3"/>
      <x:c r="H39" s="3"/>
      <x:c r="I39" s="3"/>
      <x:c r="J39" s="3"/>
      <x:c r="K39" s="3"/>
      <x:c r="L39" s="3"/>
      <x:c r="M39" s="3"/>
      <x:c r="N39" s="3"/>
      <x:c r="O39" s="3"/>
      <x:c r="P39" s="3"/>
      <x:c r="Q39" s="3"/>
      <x:c r="R39" s="3"/>
    </x:row>
    <x:row r="40" ht="22" customHeight="1">
      <x:c r="A40" s="3"/>
      <x:c r="B40" s="3"/>
      <x:c r="C40" s="3"/>
      <x:c r="D40" s="3"/>
      <x:c r="E40" s="3"/>
      <x:c r="F40" s="3"/>
      <x:c r="G40" s="3"/>
      <x:c r="H40" s="3"/>
      <x:c r="I40" s="3"/>
      <x:c r="J40" s="3"/>
      <x:c r="K40" s="3"/>
      <x:c r="L40" s="3"/>
      <x:c r="M40" s="3"/>
      <x:c r="N40" s="3"/>
      <x:c r="O40" s="3"/>
      <x:c r="P40" s="3"/>
      <x:c r="Q40" s="3"/>
      <x:c r="R40" s="3"/>
    </x:row>
    <x:row r="41" ht="22" customHeight="1">
      <x:c r="A41" s="3"/>
      <x:c r="B41" s="3"/>
      <x:c r="C41" s="3"/>
      <x:c r="D41" s="3"/>
      <x:c r="E41" s="3"/>
      <x:c r="F41" s="3"/>
      <x:c r="G41" s="3"/>
      <x:c r="H41" s="3"/>
      <x:c r="I41" s="3"/>
      <x:c r="J41" s="3"/>
      <x:c r="K41" s="3"/>
      <x:c r="L41" s="3"/>
      <x:c r="M41" s="3"/>
      <x:c r="N41" s="3"/>
      <x:c r="O41" s="3"/>
      <x:c r="P41" s="3"/>
      <x:c r="Q41" s="3"/>
      <x:c r="R41" s="3"/>
    </x:row>
    <x:row r="42" ht="22" customHeight="1">
      <x:c r="A42" s="3"/>
      <x:c r="B42" s="3"/>
      <x:c r="C42" s="3"/>
      <x:c r="D42" s="3"/>
      <x:c r="E42" s="3"/>
      <x:c r="F42" s="3"/>
      <x:c r="G42" s="3"/>
      <x:c r="H42" s="3"/>
      <x:c r="I42" s="3"/>
      <x:c r="J42" s="3"/>
      <x:c r="K42" s="3"/>
      <x:c r="L42" s="3"/>
      <x:c r="M42" s="3"/>
      <x:c r="N42" s="3"/>
      <x:c r="O42" s="3"/>
      <x:c r="P42" s="3"/>
      <x:c r="Q42" s="3"/>
      <x:c r="R42" s="3"/>
    </x:row>
    <x:row r="43" ht="22" customHeight="1">
      <x:c r="A43" s="3"/>
      <x:c r="B43" s="3"/>
      <x:c r="C43" s="3"/>
      <x:c r="D43" s="3"/>
      <x:c r="E43" s="3"/>
      <x:c r="F43" s="3"/>
      <x:c r="G43" s="3"/>
      <x:c r="H43" s="3"/>
      <x:c r="I43" s="3"/>
      <x:c r="J43" s="3"/>
      <x:c r="K43" s="3"/>
      <x:c r="L43" s="3"/>
      <x:c r="M43" s="3"/>
      <x:c r="N43" s="3"/>
      <x:c r="O43" s="3"/>
      <x:c r="P43" s="3"/>
      <x:c r="Q43" s="3"/>
      <x:c r="R43" s="3"/>
    </x:row>
    <x:row r="44" ht="22" customHeight="1">
      <x:c r="A44" s="3"/>
      <x:c r="B44" s="3"/>
      <x:c r="C44" s="3"/>
      <x:c r="D44" s="3"/>
      <x:c r="E44" s="3"/>
      <x:c r="F44" s="3"/>
      <x:c r="G44" s="3"/>
      <x:c r="H44" s="3"/>
      <x:c r="I44" s="3"/>
      <x:c r="J44" s="3"/>
      <x:c r="K44" s="3"/>
      <x:c r="L44" s="3"/>
      <x:c r="M44" s="3"/>
      <x:c r="N44" s="3"/>
      <x:c r="O44" s="3"/>
      <x:c r="P44" s="3"/>
      <x:c r="Q44" s="3"/>
      <x:c r="R44" s="3"/>
    </x:row>
    <x:row r="45" ht="22" customHeight="1">
      <x:c r="A45" s="3"/>
      <x:c r="B45" s="3"/>
      <x:c r="C45" s="3"/>
      <x:c r="D45" s="3"/>
      <x:c r="E45" s="3"/>
      <x:c r="F45" s="3"/>
      <x:c r="G45" s="3"/>
      <x:c r="H45" s="3"/>
      <x:c r="I45" s="3"/>
      <x:c r="J45" s="3"/>
      <x:c r="K45" s="3"/>
      <x:c r="L45" s="3"/>
      <x:c r="M45" s="3"/>
      <x:c r="N45" s="3"/>
      <x:c r="O45" s="3"/>
      <x:c r="P45" s="3"/>
      <x:c r="Q45" s="3"/>
      <x:c r="R45" s="3"/>
    </x:row>
    <x:row r="46" ht="22" customHeight="1">
      <x:c r="A46" s="3"/>
      <x:c r="B46" s="3"/>
      <x:c r="C46" s="3"/>
      <x:c r="D46" s="3"/>
      <x:c r="E46" s="3"/>
      <x:c r="F46" s="3"/>
      <x:c r="G46" s="3"/>
      <x:c r="H46" s="3"/>
      <x:c r="I46" s="3"/>
      <x:c r="J46" s="3"/>
      <x:c r="K46" s="3"/>
      <x:c r="L46" s="3"/>
      <x:c r="M46" s="3"/>
      <x:c r="N46" s="3"/>
      <x:c r="O46" s="3"/>
      <x:c r="P46" s="3"/>
      <x:c r="Q46" s="3"/>
      <x:c r="R46" s="3"/>
    </x:row>
    <x:row r="47" ht="22" customHeight="1">
      <x:c r="A47" s="3"/>
      <x:c r="B47" s="3"/>
      <x:c r="C47" s="3"/>
      <x:c r="D47" s="3"/>
      <x:c r="E47" s="3"/>
      <x:c r="F47" s="3"/>
      <x:c r="G47" s="3"/>
      <x:c r="H47" s="3"/>
      <x:c r="I47" s="3"/>
      <x:c r="J47" s="3"/>
      <x:c r="K47" s="3"/>
      <x:c r="L47" s="3"/>
      <x:c r="M47" s="3"/>
      <x:c r="N47" s="3"/>
      <x:c r="O47" s="3"/>
      <x:c r="P47" s="3"/>
      <x:c r="Q47" s="3"/>
      <x:c r="R47" s="3"/>
    </x:row>
    <x:row r="48" ht="22" customHeight="1">
      <x:c r="A48" s="3"/>
      <x:c r="B48" s="3"/>
      <x:c r="C48" s="3"/>
      <x:c r="D48" s="3"/>
      <x:c r="E48" s="3"/>
      <x:c r="F48" s="3"/>
      <x:c r="G48" s="3"/>
      <x:c r="H48" s="3"/>
      <x:c r="I48" s="3"/>
      <x:c r="J48" s="3"/>
      <x:c r="K48" s="3"/>
      <x:c r="L48" s="3"/>
      <x:c r="M48" s="3"/>
      <x:c r="N48" s="3"/>
      <x:c r="O48" s="3"/>
      <x:c r="P48" s="3"/>
      <x:c r="Q48" s="3"/>
      <x:c r="R48" s="3"/>
    </x:row>
    <x:row r="49" ht="22" customHeight="1">
      <x:c r="A49" s="3"/>
      <x:c r="B49" s="3"/>
      <x:c r="C49" s="3"/>
      <x:c r="D49" s="3"/>
      <x:c r="E49" s="3"/>
      <x:c r="F49" s="3"/>
      <x:c r="G49" s="3"/>
      <x:c r="H49" s="3"/>
      <x:c r="I49" s="3"/>
      <x:c r="J49" s="3"/>
      <x:c r="K49" s="3"/>
      <x:c r="L49" s="3"/>
      <x:c r="M49" s="3"/>
      <x:c r="N49" s="3"/>
      <x:c r="O49" s="3"/>
      <x:c r="P49" s="3"/>
      <x:c r="Q49" s="3"/>
      <x:c r="R49" s="3"/>
    </x:row>
    <x:row r="50" ht="22" customHeight="1">
      <x:c r="A50" s="3"/>
      <x:c r="B50" s="3"/>
      <x:c r="C50" s="3"/>
      <x:c r="D50" s="3"/>
      <x:c r="E50" s="3"/>
      <x:c r="F50" s="3"/>
      <x:c r="G50" s="3"/>
      <x:c r="H50" s="3"/>
      <x:c r="I50" s="3"/>
      <x:c r="J50" s="3"/>
      <x:c r="K50" s="3"/>
      <x:c r="L50" s="3"/>
      <x:c r="M50" s="3"/>
      <x:c r="N50" s="3"/>
      <x:c r="O50" s="3"/>
      <x:c r="P50" s="3"/>
      <x:c r="Q50" s="3"/>
      <x:c r="R50" s="3"/>
    </x:row>
    <x:row r="51" ht="22" customHeight="1">
      <x:c r="A51" s="3"/>
      <x:c r="B51" s="3"/>
      <x:c r="C51" s="3"/>
      <x:c r="D51" s="3"/>
      <x:c r="E51" s="3"/>
      <x:c r="F51" s="3"/>
      <x:c r="G51" s="3"/>
      <x:c r="H51" s="3"/>
      <x:c r="I51" s="3"/>
      <x:c r="J51" s="3"/>
      <x:c r="K51" s="3"/>
      <x:c r="L51" s="3"/>
      <x:c r="M51" s="3"/>
      <x:c r="N51" s="3"/>
      <x:c r="O51" s="3"/>
      <x:c r="P51" s="3"/>
      <x:c r="Q51" s="3"/>
      <x:c r="R51" s="3"/>
    </x:row>
    <x:row r="52" ht="22" customHeight="1">
      <x:c r="A52" s="3"/>
      <x:c r="B52" s="3"/>
      <x:c r="C52" s="3"/>
      <x:c r="D52" s="3"/>
      <x:c r="E52" s="3"/>
      <x:c r="F52" s="3"/>
      <x:c r="G52" s="3"/>
      <x:c r="H52" s="3"/>
      <x:c r="I52" s="3"/>
      <x:c r="J52" s="3"/>
      <x:c r="K52" s="3"/>
      <x:c r="L52" s="3"/>
      <x:c r="M52" s="3"/>
      <x:c r="N52" s="3"/>
      <x:c r="O52" s="3"/>
      <x:c r="P52" s="3"/>
      <x:c r="Q52" s="3"/>
      <x:c r="R52" s="3"/>
    </x:row>
    <x:row r="53" ht="22" customHeight="1">
      <x:c r="A53" s="3"/>
      <x:c r="B53" s="3"/>
      <x:c r="C53" s="3"/>
      <x:c r="D53" s="3"/>
      <x:c r="E53" s="3"/>
      <x:c r="F53" s="3"/>
      <x:c r="G53" s="3"/>
      <x:c r="H53" s="3"/>
      <x:c r="I53" s="3"/>
      <x:c r="J53" s="3"/>
      <x:c r="K53" s="3"/>
      <x:c r="L53" s="3"/>
      <x:c r="M53" s="3"/>
      <x:c r="N53" s="3"/>
      <x:c r="O53" s="3"/>
      <x:c r="P53" s="3"/>
      <x:c r="Q53" s="3"/>
      <x:c r="R53" s="3"/>
    </x:row>
    <x:row r="54" ht="22" customHeight="1">
      <x:c r="A54" s="3"/>
      <x:c r="B54" s="3"/>
      <x:c r="C54" s="3"/>
      <x:c r="D54" s="3"/>
      <x:c r="E54" s="3"/>
      <x:c r="F54" s="3"/>
      <x:c r="G54" s="3"/>
      <x:c r="H54" s="3"/>
      <x:c r="I54" s="3"/>
      <x:c r="J54" s="3"/>
      <x:c r="K54" s="3"/>
      <x:c r="L54" s="3"/>
      <x:c r="M54" s="3"/>
      <x:c r="N54" s="3"/>
      <x:c r="O54" s="3"/>
      <x:c r="P54" s="3"/>
      <x:c r="Q54" s="3"/>
      <x:c r="R54" s="3"/>
    </x:row>
    <x:row r="55" ht="22" customHeight="1">
      <x:c r="A55" s="3"/>
      <x:c r="B55" s="3"/>
      <x:c r="C55" s="3"/>
      <x:c r="D55" s="3"/>
      <x:c r="E55" s="3"/>
      <x:c r="F55" s="3"/>
      <x:c r="G55" s="3"/>
      <x:c r="H55" s="3"/>
      <x:c r="I55" s="3"/>
      <x:c r="J55" s="3"/>
      <x:c r="K55" s="3"/>
      <x:c r="L55" s="3"/>
      <x:c r="M55" s="3"/>
      <x:c r="N55" s="3"/>
      <x:c r="O55" s="3"/>
      <x:c r="P55" s="3"/>
      <x:c r="Q55" s="3"/>
      <x:c r="R55" s="3"/>
    </x:row>
    <x:row r="56" ht="22" customHeight="1">
      <x:c r="A56" s="3"/>
      <x:c r="B56" s="3"/>
      <x:c r="C56" s="3"/>
      <x:c r="D56" s="3"/>
      <x:c r="E56" s="3"/>
      <x:c r="F56" s="3"/>
      <x:c r="G56" s="3"/>
      <x:c r="H56" s="3"/>
      <x:c r="I56" s="3"/>
      <x:c r="J56" s="3"/>
      <x:c r="K56" s="3"/>
      <x:c r="L56" s="3"/>
      <x:c r="M56" s="3"/>
      <x:c r="N56" s="3"/>
      <x:c r="O56" s="3"/>
      <x:c r="P56" s="3"/>
      <x:c r="Q56" s="3"/>
      <x:c r="R56" s="3"/>
    </x:row>
    <x:row r="57" ht="22" customHeight="1">
      <x:c r="A57" s="3"/>
      <x:c r="B57" s="3"/>
      <x:c r="C57" s="3"/>
      <x:c r="D57" s="3"/>
      <x:c r="E57" s="3"/>
      <x:c r="F57" s="3"/>
      <x:c r="G57" s="3"/>
      <x:c r="H57" s="3"/>
      <x:c r="I57" s="3"/>
      <x:c r="J57" s="3"/>
      <x:c r="K57" s="3"/>
      <x:c r="L57" s="3"/>
      <x:c r="M57" s="3"/>
      <x:c r="N57" s="3"/>
      <x:c r="O57" s="3"/>
      <x:c r="P57" s="3"/>
      <x:c r="Q57" s="3"/>
      <x:c r="R57" s="3"/>
    </x:row>
    <x:row r="58" ht="22" customHeight="1">
      <x:c r="A58" s="3"/>
      <x:c r="B58" s="3"/>
      <x:c r="C58" s="3"/>
      <x:c r="D58" s="3"/>
      <x:c r="E58" s="3"/>
      <x:c r="F58" s="3"/>
      <x:c r="G58" s="3"/>
      <x:c r="H58" s="3"/>
      <x:c r="I58" s="3"/>
      <x:c r="J58" s="3"/>
      <x:c r="K58" s="3"/>
      <x:c r="L58" s="3"/>
      <x:c r="M58" s="3"/>
      <x:c r="N58" s="3"/>
      <x:c r="O58" s="3"/>
      <x:c r="P58" s="3"/>
      <x:c r="Q58" s="3"/>
      <x:c r="R58" s="3"/>
    </x:row>
    <x:row r="59" ht="22" customHeight="1">
      <x:c r="A59" s="3"/>
      <x:c r="B59" s="3"/>
      <x:c r="C59" s="3"/>
      <x:c r="D59" s="3"/>
      <x:c r="E59" s="3"/>
      <x:c r="F59" s="3"/>
      <x:c r="G59" s="3"/>
      <x:c r="H59" s="3"/>
      <x:c r="I59" s="3"/>
      <x:c r="J59" s="3"/>
      <x:c r="K59" s="3"/>
      <x:c r="L59" s="3"/>
      <x:c r="M59" s="3"/>
      <x:c r="N59" s="3"/>
      <x:c r="O59" s="3"/>
      <x:c r="P59" s="3"/>
      <x:c r="Q59" s="3"/>
      <x:c r="R59" s="3"/>
    </x:row>
    <x:row r="60" ht="22" customHeight="1">
      <x:c r="A60" s="3"/>
      <x:c r="B60" s="3"/>
      <x:c r="C60" s="3"/>
      <x:c r="D60" s="3"/>
      <x:c r="E60" s="3"/>
      <x:c r="F60" s="3"/>
      <x:c r="G60" s="3"/>
      <x:c r="H60" s="3"/>
      <x:c r="I60" s="3"/>
      <x:c r="J60" s="3"/>
      <x:c r="K60" s="3"/>
      <x:c r="L60" s="3"/>
      <x:c r="M60" s="3"/>
      <x:c r="N60" s="3"/>
      <x:c r="O60" s="3"/>
      <x:c r="P60" s="3"/>
      <x:c r="Q60" s="3"/>
      <x:c r="R60" s="3"/>
    </x:row>
    <x:row r="61" ht="22" customHeight="1">
      <x:c r="A61" s="3"/>
      <x:c r="B61" s="3"/>
      <x:c r="C61" s="3"/>
      <x:c r="D61" s="3"/>
      <x:c r="E61" s="3"/>
      <x:c r="F61" s="3"/>
      <x:c r="G61" s="3"/>
      <x:c r="H61" s="3"/>
      <x:c r="I61" s="3"/>
      <x:c r="J61" s="3"/>
      <x:c r="K61" s="3"/>
      <x:c r="L61" s="3"/>
      <x:c r="M61" s="3"/>
      <x:c r="N61" s="3"/>
      <x:c r="O61" s="3"/>
      <x:c r="P61" s="3"/>
      <x:c r="Q61" s="3"/>
      <x:c r="R61" s="3"/>
    </x:row>
    <x:row r="62" ht="22" customHeight="1">
      <x:c r="A62" s="3"/>
      <x:c r="B62" s="3"/>
      <x:c r="C62" s="3"/>
      <x:c r="D62" s="3"/>
      <x:c r="E62" s="3"/>
      <x:c r="F62" s="3"/>
      <x:c r="G62" s="3"/>
      <x:c r="H62" s="3"/>
      <x:c r="I62" s="3"/>
      <x:c r="J62" s="3"/>
      <x:c r="K62" s="3"/>
      <x:c r="L62" s="3"/>
      <x:c r="M62" s="3"/>
      <x:c r="N62" s="3"/>
      <x:c r="O62" s="3"/>
      <x:c r="P62" s="3"/>
      <x:c r="Q62" s="3"/>
      <x:c r="R62" s="3"/>
    </x:row>
    <x:row r="63" ht="22" customHeight="1">
      <x:c r="A63" s="3"/>
      <x:c r="B63" s="3"/>
      <x:c r="C63" s="3"/>
      <x:c r="D63" s="3"/>
      <x:c r="E63" s="3"/>
      <x:c r="F63" s="3"/>
      <x:c r="G63" s="3"/>
      <x:c r="H63" s="3"/>
      <x:c r="I63" s="3"/>
      <x:c r="J63" s="3"/>
      <x:c r="K63" s="3"/>
      <x:c r="L63" s="3"/>
      <x:c r="M63" s="3"/>
      <x:c r="N63" s="3"/>
      <x:c r="O63" s="3"/>
      <x:c r="P63" s="3"/>
      <x:c r="Q63" s="3"/>
      <x:c r="R63" s="3"/>
    </x:row>
    <x:row r="64" ht="22" customHeight="1">
      <x:c r="A64" s="3"/>
      <x:c r="B64" s="3"/>
      <x:c r="C64" s="3"/>
      <x:c r="D64" s="3"/>
      <x:c r="E64" s="3"/>
      <x:c r="F64" s="3"/>
      <x:c r="G64" s="3"/>
      <x:c r="H64" s="3"/>
      <x:c r="I64" s="3"/>
      <x:c r="J64" s="3"/>
      <x:c r="K64" s="3"/>
      <x:c r="L64" s="3"/>
      <x:c r="M64" s="3"/>
      <x:c r="N64" s="3"/>
      <x:c r="O64" s="3"/>
      <x:c r="P64" s="3"/>
      <x:c r="Q64" s="3"/>
      <x:c r="R64" s="3"/>
    </x:row>
    <x:row r="65" ht="22" customHeight="1">
      <x:c r="A65" s="3"/>
      <x:c r="B65" s="3"/>
      <x:c r="C65" s="3"/>
      <x:c r="D65" s="3"/>
      <x:c r="E65" s="3"/>
      <x:c r="F65" s="3"/>
      <x:c r="G65" s="3"/>
      <x:c r="H65" s="3"/>
      <x:c r="I65" s="3"/>
      <x:c r="J65" s="3"/>
      <x:c r="K65" s="3"/>
      <x:c r="L65" s="3"/>
      <x:c r="M65" s="3"/>
      <x:c r="N65" s="3"/>
      <x:c r="O65" s="3"/>
      <x:c r="P65" s="3"/>
      <x:c r="Q65" s="3"/>
      <x:c r="R65" s="3"/>
    </x:row>
    <x:row r="66" ht="22" customHeight="1">
      <x:c r="A66" s="3"/>
      <x:c r="B66" s="3"/>
      <x:c r="C66" s="3"/>
      <x:c r="D66" s="3"/>
      <x:c r="E66" s="3"/>
      <x:c r="F66" s="3"/>
      <x:c r="G66" s="3"/>
      <x:c r="H66" s="3"/>
      <x:c r="I66" s="3"/>
      <x:c r="J66" s="3"/>
      <x:c r="K66" s="3"/>
      <x:c r="L66" s="3"/>
      <x:c r="M66" s="3"/>
      <x:c r="N66" s="3"/>
      <x:c r="O66" s="3"/>
      <x:c r="P66" s="3"/>
      <x:c r="Q66" s="3"/>
      <x:c r="R66" s="3"/>
    </x:row>
    <x:row r="67" ht="22" customHeight="1">
      <x:c r="A67" s="3"/>
      <x:c r="B67" s="3"/>
      <x:c r="C67" s="3"/>
      <x:c r="D67" s="3"/>
      <x:c r="E67" s="3"/>
      <x:c r="F67" s="3"/>
      <x:c r="G67" s="3"/>
      <x:c r="H67" s="3"/>
      <x:c r="I67" s="3"/>
      <x:c r="J67" s="3"/>
      <x:c r="K67" s="3"/>
      <x:c r="L67" s="3"/>
      <x:c r="M67" s="3"/>
      <x:c r="N67" s="3"/>
      <x:c r="O67" s="3"/>
      <x:c r="P67" s="3"/>
      <x:c r="Q67" s="3"/>
      <x:c r="R67" s="3"/>
    </x:row>
    <x:row r="68" ht="22" customHeight="1">
      <x:c r="A68" s="3"/>
      <x:c r="B68" s="3"/>
      <x:c r="C68" s="3"/>
      <x:c r="D68" s="3"/>
      <x:c r="E68" s="3"/>
      <x:c r="F68" s="3"/>
      <x:c r="G68" s="3"/>
      <x:c r="H68" s="3"/>
      <x:c r="I68" s="3"/>
      <x:c r="J68" s="3"/>
      <x:c r="K68" s="3"/>
      <x:c r="L68" s="3"/>
      <x:c r="M68" s="3"/>
      <x:c r="N68" s="3"/>
      <x:c r="O68" s="3"/>
      <x:c r="P68" s="3"/>
      <x:c r="Q68" s="3"/>
      <x:c r="R68" s="3"/>
    </x:row>
    <x:row r="69" ht="22" customHeight="1">
      <x:c r="A69" s="3"/>
      <x:c r="B69" s="3"/>
      <x:c r="C69" s="3"/>
      <x:c r="D69" s="3"/>
      <x:c r="E69" s="3"/>
      <x:c r="F69" s="3"/>
      <x:c r="G69" s="3"/>
      <x:c r="H69" s="3"/>
      <x:c r="I69" s="3"/>
      <x:c r="J69" s="3"/>
      <x:c r="K69" s="3"/>
      <x:c r="L69" s="3"/>
      <x:c r="M69" s="3"/>
      <x:c r="N69" s="3"/>
      <x:c r="O69" s="3"/>
      <x:c r="P69" s="3"/>
      <x:c r="Q69" s="3"/>
      <x:c r="R69" s="3"/>
    </x:row>
    <x:row r="70" ht="22" customHeight="1">
      <x:c r="A70" s="3"/>
      <x:c r="B70" s="3"/>
      <x:c r="C70" s="3"/>
      <x:c r="D70" s="3"/>
      <x:c r="E70" s="3"/>
      <x:c r="F70" s="3"/>
      <x:c r="G70" s="3"/>
      <x:c r="H70" s="3"/>
      <x:c r="I70" s="3"/>
      <x:c r="J70" s="3"/>
      <x:c r="K70" s="3"/>
      <x:c r="L70" s="3"/>
      <x:c r="M70" s="3"/>
      <x:c r="N70" s="3"/>
      <x:c r="O70" s="3"/>
      <x:c r="P70" s="3"/>
      <x:c r="Q70" s="3"/>
      <x:c r="R70" s="3"/>
    </x:row>
    <x:row r="71" ht="22" customHeight="1">
      <x:c r="A71" s="3"/>
      <x:c r="B71" s="3"/>
      <x:c r="C71" s="3"/>
      <x:c r="D71" s="3"/>
      <x:c r="E71" s="3"/>
      <x:c r="F71" s="3"/>
      <x:c r="G71" s="3"/>
      <x:c r="H71" s="3"/>
      <x:c r="I71" s="3"/>
      <x:c r="J71" s="3"/>
      <x:c r="K71" s="3"/>
      <x:c r="L71" s="3"/>
      <x:c r="M71" s="3"/>
      <x:c r="N71" s="3"/>
      <x:c r="O71" s="3"/>
      <x:c r="P71" s="3"/>
      <x:c r="Q71" s="3"/>
      <x:c r="R71" s="3"/>
    </x:row>
    <x:row r="72" ht="22" customHeight="1">
      <x:c r="A72" s="3"/>
      <x:c r="B72" s="3"/>
      <x:c r="C72" s="3"/>
      <x:c r="D72" s="3"/>
      <x:c r="E72" s="3"/>
      <x:c r="F72" s="3"/>
      <x:c r="G72" s="3"/>
      <x:c r="H72" s="3"/>
      <x:c r="I72" s="3"/>
      <x:c r="J72" s="3"/>
      <x:c r="K72" s="3"/>
      <x:c r="L72" s="3"/>
      <x:c r="M72" s="3"/>
      <x:c r="N72" s="3"/>
      <x:c r="O72" s="3"/>
      <x:c r="P72" s="3"/>
      <x:c r="Q72" s="3"/>
      <x:c r="R72" s="3"/>
    </x:row>
    <x:row r="73" ht="22" customHeight="1">
      <x:c r="A73" s="3"/>
      <x:c r="B73" s="3"/>
      <x:c r="C73" s="3"/>
      <x:c r="D73" s="3"/>
      <x:c r="E73" s="3"/>
      <x:c r="F73" s="3"/>
      <x:c r="G73" s="3"/>
      <x:c r="H73" s="3"/>
      <x:c r="I73" s="3"/>
      <x:c r="J73" s="3"/>
      <x:c r="K73" s="3"/>
      <x:c r="L73" s="3"/>
      <x:c r="M73" s="3"/>
      <x:c r="N73" s="3"/>
      <x:c r="O73" s="3"/>
      <x:c r="P73" s="3"/>
      <x:c r="Q73" s="3"/>
      <x:c r="R73" s="3"/>
    </x:row>
    <x:row r="74" ht="22" customHeight="1">
      <x:c r="A74" s="3"/>
      <x:c r="B74" s="3"/>
      <x:c r="C74" s="3"/>
      <x:c r="D74" s="3"/>
      <x:c r="E74" s="3"/>
      <x:c r="F74" s="3"/>
      <x:c r="G74" s="3"/>
      <x:c r="H74" s="3"/>
      <x:c r="I74" s="3"/>
      <x:c r="J74" s="3"/>
      <x:c r="K74" s="3"/>
      <x:c r="L74" s="3"/>
      <x:c r="M74" s="3"/>
      <x:c r="N74" s="3"/>
      <x:c r="O74" s="3"/>
      <x:c r="P74" s="3"/>
      <x:c r="Q74" s="3"/>
      <x:c r="R74" s="3"/>
    </x:row>
    <x:row r="75" ht="22" customHeight="1">
      <x:c r="A75" s="3"/>
      <x:c r="B75" s="3"/>
      <x:c r="C75" s="3"/>
      <x:c r="D75" s="3"/>
      <x:c r="E75" s="3"/>
      <x:c r="F75" s="3"/>
      <x:c r="G75" s="3"/>
      <x:c r="H75" s="3"/>
      <x:c r="I75" s="3"/>
      <x:c r="J75" s="3"/>
      <x:c r="K75" s="3"/>
      <x:c r="L75" s="3"/>
      <x:c r="M75" s="3"/>
      <x:c r="N75" s="3"/>
      <x:c r="O75" s="3"/>
      <x:c r="P75" s="3"/>
      <x:c r="Q75" s="3"/>
      <x:c r="R75" s="3"/>
    </x:row>
    <x:row r="76" ht="22" customHeight="1">
      <x:c r="A76" s="3"/>
      <x:c r="B76" s="3"/>
      <x:c r="C76" s="3"/>
      <x:c r="D76" s="3"/>
      <x:c r="E76" s="3"/>
      <x:c r="F76" s="3"/>
      <x:c r="G76" s="3"/>
      <x:c r="H76" s="3"/>
      <x:c r="I76" s="3"/>
      <x:c r="J76" s="3"/>
      <x:c r="K76" s="3"/>
      <x:c r="L76" s="3"/>
      <x:c r="M76" s="3"/>
      <x:c r="N76" s="3"/>
      <x:c r="O76" s="3"/>
      <x:c r="P76" s="3"/>
      <x:c r="Q76" s="3"/>
      <x:c r="R76" s="3"/>
    </x:row>
    <x:row r="77" ht="22" customHeight="1">
      <x:c r="A77" s="3"/>
      <x:c r="B77" s="3"/>
      <x:c r="C77" s="3"/>
      <x:c r="D77" s="3"/>
      <x:c r="E77" s="3"/>
      <x:c r="F77" s="3"/>
      <x:c r="G77" s="3"/>
      <x:c r="H77" s="3"/>
      <x:c r="I77" s="3"/>
      <x:c r="J77" s="3"/>
      <x:c r="K77" s="3"/>
      <x:c r="L77" s="3"/>
      <x:c r="M77" s="3"/>
      <x:c r="N77" s="3"/>
      <x:c r="O77" s="3"/>
      <x:c r="P77" s="3"/>
      <x:c r="Q77" s="3"/>
      <x:c r="R77" s="3"/>
    </x:row>
    <x:row r="78" ht="22" customHeight="1">
      <x:c r="A78" s="3"/>
      <x:c r="B78" s="3"/>
      <x:c r="C78" s="3"/>
      <x:c r="D78" s="3"/>
      <x:c r="E78" s="3"/>
      <x:c r="F78" s="3"/>
      <x:c r="G78" s="3"/>
      <x:c r="H78" s="3"/>
      <x:c r="I78" s="3"/>
      <x:c r="J78" s="3"/>
      <x:c r="K78" s="3"/>
      <x:c r="L78" s="3"/>
      <x:c r="M78" s="3"/>
      <x:c r="N78" s="3"/>
      <x:c r="O78" s="3"/>
      <x:c r="P78" s="3"/>
      <x:c r="Q78" s="3"/>
      <x:c r="R78" s="3"/>
    </x:row>
    <x:row r="79" ht="22" customHeight="1">
      <x:c r="A79" s="3"/>
      <x:c r="B79" s="3"/>
      <x:c r="C79" s="3"/>
      <x:c r="D79" s="3"/>
      <x:c r="E79" s="3"/>
      <x:c r="F79" s="3"/>
      <x:c r="G79" s="3"/>
      <x:c r="H79" s="3"/>
      <x:c r="I79" s="3"/>
      <x:c r="J79" s="3"/>
      <x:c r="K79" s="3"/>
      <x:c r="L79" s="3"/>
      <x:c r="M79" s="3"/>
      <x:c r="N79" s="3"/>
      <x:c r="O79" s="3"/>
      <x:c r="P79" s="3"/>
      <x:c r="Q79" s="3"/>
      <x:c r="R79" s="3"/>
    </x:row>
    <x:row r="80" ht="22" customHeight="1">
      <x:c r="A80" s="3"/>
      <x:c r="B80" s="3"/>
      <x:c r="C80" s="3"/>
      <x:c r="D80" s="3"/>
      <x:c r="E80" s="3"/>
      <x:c r="F80" s="3"/>
      <x:c r="G80" s="3"/>
      <x:c r="H80" s="3"/>
      <x:c r="I80" s="3"/>
      <x:c r="J80" s="3"/>
      <x:c r="K80" s="3"/>
      <x:c r="L80" s="3"/>
      <x:c r="M80" s="3"/>
      <x:c r="N80" s="3"/>
      <x:c r="O80" s="3"/>
      <x:c r="P80" s="3"/>
      <x:c r="Q80" s="3"/>
      <x:c r="R80" s="3"/>
    </x:row>
    <x:row r="81" ht="22" customHeight="1">
      <x:c r="A81" s="3" t="str">
        <x:v>上の線はグレード/走行の構成差を含みます。同一グレード・年式・距離帯の詳細は「条件別集計」の行280以降。</x:v>
      </x:c>
      <x:c r="B81" s="3"/>
      <x:c r="C81" s="3"/>
      <x:c r="D81" s="3"/>
      <x:c r="E81" s="3"/>
      <x:c r="F81" s="3"/>
      <x:c r="G81" s="3"/>
      <x:c r="H81" s="3"/>
      <x:c r="I81" s="3"/>
      <x:c r="J81" s="3"/>
      <x:c r="K81" s="3"/>
      <x:c r="L81" s="3"/>
      <x:c r="M81" s="3"/>
      <x:c r="N81" s="3"/>
      <x:c r="O81" s="3"/>
      <x:c r="P81" s="3"/>
      <x:c r="Q81" s="3"/>
      <x:c r="R81" s="3"/>
    </x:row>
    <x:row r="82" ht="22" customHeight="1">
      <x:c r="A82" s="3"/>
      <x:c r="B82" s="3"/>
      <x:c r="C82" s="3"/>
      <x:c r="D82" s="3"/>
      <x:c r="E82" s="3"/>
      <x:c r="F82" s="3"/>
      <x:c r="G82" s="3"/>
      <x:c r="H82" s="3"/>
      <x:c r="I82" s="3"/>
      <x:c r="J82" s="3"/>
      <x:c r="K82" s="3"/>
      <x:c r="L82" s="3"/>
      <x:c r="M82" s="3"/>
      <x:c r="N82" s="3"/>
      <x:c r="O82" s="3"/>
      <x:c r="P82" s="3"/>
      <x:c r="Q82" s="3"/>
      <x:c r="R82" s="3"/>
    </x:row>
    <x:row r="83" ht="22" customHeight="1">
      <x:c r="A83" s="3"/>
      <x:c r="B83" s="3"/>
      <x:c r="C83" s="3"/>
      <x:c r="D83" s="3"/>
      <x:c r="E83" s="3"/>
      <x:c r="F83" s="3"/>
      <x:c r="G83" s="3"/>
      <x:c r="H83" s="3"/>
      <x:c r="I83" s="3"/>
      <x:c r="J83" s="3"/>
      <x:c r="K83" s="3"/>
      <x:c r="L83" s="3"/>
      <x:c r="M83" s="3"/>
      <x:c r="N83" s="3"/>
      <x:c r="O83" s="3"/>
      <x:c r="P83" s="3"/>
      <x:c r="Q83" s="3"/>
      <x:c r="R83" s="3"/>
    </x:row>
    <x:row r="84" ht="22" customHeight="1">
      <x:c r="A84" s="3"/>
      <x:c r="B84" s="3"/>
      <x:c r="C84" s="3"/>
      <x:c r="D84" s="3"/>
      <x:c r="E84" s="3"/>
      <x:c r="F84" s="3"/>
      <x:c r="G84" s="3"/>
      <x:c r="H84" s="3"/>
      <x:c r="I84" s="3"/>
      <x:c r="J84" s="3"/>
      <x:c r="K84" s="3"/>
      <x:c r="L84" s="3"/>
      <x:c r="M84" s="3"/>
      <x:c r="N84" s="3"/>
      <x:c r="O84" s="3"/>
      <x:c r="P84" s="3"/>
      <x:c r="Q84" s="3"/>
      <x:c r="R84" s="3"/>
    </x:row>
    <x:row r="85" ht="22" customHeight="1">
      <x:c r="A85" s="3"/>
      <x:c r="B85" s="3"/>
      <x:c r="C85" s="3"/>
      <x:c r="D85" s="3"/>
      <x:c r="E85" s="3"/>
      <x:c r="F85" s="3"/>
      <x:c r="G85" s="3"/>
      <x:c r="H85" s="3"/>
      <x:c r="I85" s="3"/>
      <x:c r="J85" s="3"/>
      <x:c r="K85" s="3"/>
      <x:c r="L85" s="3"/>
      <x:c r="M85" s="3"/>
      <x:c r="N85" s="3"/>
      <x:c r="O85" s="3"/>
      <x:c r="P85" s="3"/>
      <x:c r="Q85" s="3"/>
      <x:c r="R85" s="3"/>
    </x:row>
    <x:row r="86" ht="22" customHeight="1">
      <x:c r="A86" s="3"/>
      <x:c r="B86" s="3"/>
      <x:c r="C86" s="3"/>
      <x:c r="D86" s="3"/>
      <x:c r="E86" s="3"/>
      <x:c r="F86" s="3"/>
      <x:c r="G86" s="3"/>
      <x:c r="H86" s="3"/>
      <x:c r="I86" s="3"/>
      <x:c r="J86" s="3"/>
      <x:c r="K86" s="3"/>
      <x:c r="L86" s="3"/>
      <x:c r="M86" s="3"/>
      <x:c r="N86" s="3"/>
      <x:c r="O86" s="3"/>
      <x:c r="P86" s="3"/>
      <x:c r="Q86" s="3"/>
      <x:c r="R86" s="3"/>
    </x:row>
    <x:row r="87" ht="22" customHeight="1">
      <x:c r="A87" s="3"/>
      <x:c r="B87" s="3"/>
      <x:c r="C87" s="3"/>
      <x:c r="D87" s="3"/>
      <x:c r="E87" s="3"/>
      <x:c r="F87" s="3"/>
      <x:c r="G87" s="3"/>
      <x:c r="H87" s="3"/>
      <x:c r="I87" s="3"/>
      <x:c r="J87" s="3"/>
      <x:c r="K87" s="3"/>
      <x:c r="L87" s="3"/>
      <x:c r="M87" s="3"/>
      <x:c r="N87" s="3"/>
      <x:c r="O87" s="3"/>
      <x:c r="P87" s="3"/>
      <x:c r="Q87" s="3"/>
      <x:c r="R87" s="3"/>
    </x:row>
    <x:row r="88" ht="22" customHeight="1">
      <x:c r="A88" s="3"/>
      <x:c r="B88" s="3"/>
      <x:c r="C88" s="3"/>
      <x:c r="D88" s="3"/>
      <x:c r="E88" s="3"/>
      <x:c r="F88" s="3"/>
      <x:c r="G88" s="3"/>
      <x:c r="H88" s="3"/>
      <x:c r="I88" s="3"/>
      <x:c r="J88" s="3"/>
      <x:c r="K88" s="3"/>
      <x:c r="L88" s="3"/>
      <x:c r="M88" s="3"/>
      <x:c r="N88" s="3"/>
      <x:c r="O88" s="3"/>
      <x:c r="P88" s="3"/>
      <x:c r="Q88" s="3"/>
      <x:c r="R88" s="3"/>
    </x:row>
    <x:row r="89" ht="22" customHeight="1">
      <x:c r="A89" s="3"/>
      <x:c r="B89" s="3"/>
      <x:c r="C89" s="3"/>
      <x:c r="D89" s="3"/>
      <x:c r="E89" s="3"/>
      <x:c r="F89" s="3"/>
      <x:c r="G89" s="3"/>
      <x:c r="H89" s="3"/>
      <x:c r="I89" s="3"/>
      <x:c r="J89" s="3"/>
      <x:c r="K89" s="3"/>
      <x:c r="L89" s="3"/>
      <x:c r="M89" s="3"/>
      <x:c r="N89" s="3"/>
      <x:c r="O89" s="3"/>
      <x:c r="P89" s="3"/>
      <x:c r="Q89" s="3"/>
      <x:c r="R89" s="3"/>
    </x:row>
    <x:row r="90" ht="22" customHeight="1">
      <x:c r="A90" s="3"/>
      <x:c r="B90" s="3"/>
      <x:c r="C90" s="3"/>
      <x:c r="D90" s="3"/>
      <x:c r="E90" s="3"/>
      <x:c r="F90" s="3"/>
      <x:c r="G90" s="3"/>
      <x:c r="H90" s="3"/>
      <x:c r="I90" s="3"/>
      <x:c r="J90" s="3"/>
      <x:c r="K90" s="3"/>
      <x:c r="L90" s="3"/>
      <x:c r="M90" s="3"/>
      <x:c r="N90" s="3"/>
      <x:c r="O90" s="3"/>
      <x:c r="P90" s="3"/>
      <x:c r="Q90" s="3"/>
      <x:c r="R90" s="3"/>
    </x:row>
    <x:row r="91" ht="22" customHeight="1">
      <x:c r="A91" s="3"/>
      <x:c r="B91" s="3"/>
      <x:c r="C91" s="3"/>
      <x:c r="D91" s="3"/>
      <x:c r="E91" s="3"/>
      <x:c r="F91" s="3"/>
      <x:c r="G91" s="3"/>
      <x:c r="H91" s="3"/>
      <x:c r="I91" s="3"/>
      <x:c r="J91" s="3"/>
      <x:c r="K91" s="3"/>
      <x:c r="L91" s="3"/>
      <x:c r="M91" s="3"/>
      <x:c r="N91" s="3"/>
      <x:c r="O91" s="3"/>
      <x:c r="P91" s="3"/>
      <x:c r="Q91" s="3"/>
      <x:c r="R91" s="3"/>
    </x:row>
    <x:row r="92" ht="22" customHeight="1">
      <x:c r="A92" s="3"/>
      <x:c r="B92" s="3"/>
      <x:c r="C92" s="3"/>
      <x:c r="D92" s="3"/>
      <x:c r="E92" s="3"/>
      <x:c r="F92" s="3"/>
      <x:c r="G92" s="3"/>
      <x:c r="H92" s="3"/>
      <x:c r="I92" s="3"/>
      <x:c r="J92" s="3"/>
      <x:c r="K92" s="3"/>
      <x:c r="L92" s="3"/>
      <x:c r="M92" s="3"/>
      <x:c r="N92" s="3"/>
      <x:c r="O92" s="3"/>
      <x:c r="P92" s="3"/>
      <x:c r="Q92" s="3"/>
      <x:c r="R92" s="3"/>
    </x:row>
    <x:row r="93" ht="22" customHeight="1">
      <x:c r="A93" s="3"/>
      <x:c r="B93" s="3"/>
      <x:c r="C93" s="3"/>
      <x:c r="D93" s="3"/>
      <x:c r="E93" s="3"/>
      <x:c r="F93" s="3"/>
      <x:c r="G93" s="3"/>
      <x:c r="H93" s="3"/>
      <x:c r="I93" s="3"/>
      <x:c r="J93" s="3"/>
      <x:c r="K93" s="3"/>
      <x:c r="L93" s="3"/>
      <x:c r="M93" s="3"/>
      <x:c r="N93" s="3"/>
      <x:c r="O93" s="3"/>
      <x:c r="P93" s="3"/>
      <x:c r="Q93" s="3"/>
      <x:c r="R93" s="3"/>
    </x:row>
    <x:row r="94" ht="22" customHeight="1">
      <x:c r="A94" s="3"/>
      <x:c r="B94" s="3"/>
      <x:c r="C94" s="3"/>
      <x:c r="D94" s="3"/>
      <x:c r="E94" s="3"/>
      <x:c r="F94" s="3"/>
      <x:c r="G94" s="3"/>
      <x:c r="H94" s="3"/>
      <x:c r="I94" s="3"/>
      <x:c r="J94" s="3"/>
      <x:c r="K94" s="3"/>
      <x:c r="L94" s="3"/>
      <x:c r="M94" s="3"/>
      <x:c r="N94" s="3"/>
      <x:c r="O94" s="3"/>
      <x:c r="P94" s="3"/>
      <x:c r="Q94" s="3"/>
      <x:c r="R94" s="3"/>
    </x:row>
    <x:row r="95" ht="22" customHeight="1">
      <x:c r="A95" s="3"/>
      <x:c r="B95" s="3"/>
      <x:c r="C95" s="3"/>
      <x:c r="D95" s="3"/>
      <x:c r="E95" s="3"/>
      <x:c r="F95" s="3"/>
      <x:c r="G95" s="3"/>
      <x:c r="H95" s="3"/>
      <x:c r="I95" s="3"/>
      <x:c r="J95" s="3"/>
      <x:c r="K95" s="3"/>
      <x:c r="L95" s="3"/>
      <x:c r="M95" s="3"/>
      <x:c r="N95" s="3"/>
      <x:c r="O95" s="3"/>
      <x:c r="P95" s="3"/>
      <x:c r="Q95" s="3"/>
      <x:c r="R95" s="3"/>
    </x:row>
    <x:row r="96" ht="22" customHeight="1">
      <x:c r="A96" s="3"/>
      <x:c r="B96" s="3"/>
      <x:c r="C96" s="3"/>
      <x:c r="D96" s="3"/>
      <x:c r="E96" s="3"/>
      <x:c r="F96" s="3"/>
      <x:c r="G96" s="3"/>
      <x:c r="H96" s="3"/>
      <x:c r="I96" s="3"/>
      <x:c r="J96" s="3"/>
      <x:c r="K96" s="3"/>
      <x:c r="L96" s="3"/>
      <x:c r="M96" s="3"/>
      <x:c r="N96" s="3"/>
      <x:c r="O96" s="3"/>
      <x:c r="P96" s="3"/>
      <x:c r="Q96" s="3"/>
      <x:c r="R96" s="3"/>
    </x:row>
    <x:row r="97" ht="22" customHeight="1">
      <x:c r="A97" s="3"/>
      <x:c r="B97" s="3"/>
      <x:c r="C97" s="3"/>
      <x:c r="D97" s="3"/>
      <x:c r="E97" s="3"/>
      <x:c r="F97" s="3"/>
      <x:c r="G97" s="3"/>
      <x:c r="H97" s="3"/>
      <x:c r="I97" s="3"/>
      <x:c r="J97" s="3"/>
      <x:c r="K97" s="3"/>
      <x:c r="L97" s="3"/>
      <x:c r="M97" s="3"/>
      <x:c r="N97" s="3"/>
      <x:c r="O97" s="3"/>
      <x:c r="P97" s="3"/>
      <x:c r="Q97" s="3"/>
      <x:c r="R97" s="3"/>
    </x:row>
    <x:row r="98" ht="22" customHeight="1">
      <x:c r="A98" s="3"/>
      <x:c r="B98" s="3"/>
      <x:c r="C98" s="3"/>
      <x:c r="D98" s="3"/>
      <x:c r="E98" s="3"/>
      <x:c r="F98" s="3"/>
      <x:c r="G98" s="3"/>
      <x:c r="H98" s="3"/>
      <x:c r="I98" s="3"/>
      <x:c r="J98" s="3"/>
      <x:c r="K98" s="3"/>
      <x:c r="L98" s="3"/>
      <x:c r="M98" s="3"/>
      <x:c r="N98" s="3"/>
      <x:c r="O98" s="3"/>
      <x:c r="P98" s="3"/>
      <x:c r="Q98" s="3"/>
      <x:c r="R98" s="3"/>
    </x:row>
    <x:row r="99" ht="22" customHeight="1">
      <x:c r="A99" s="3"/>
      <x:c r="B99" s="3"/>
      <x:c r="C99" s="3"/>
      <x:c r="D99" s="3"/>
      <x:c r="E99" s="3"/>
      <x:c r="F99" s="3"/>
      <x:c r="G99" s="3"/>
      <x:c r="H99" s="3"/>
      <x:c r="I99" s="3"/>
      <x:c r="J99" s="3"/>
      <x:c r="K99" s="3"/>
      <x:c r="L99" s="3"/>
      <x:c r="M99" s="3"/>
      <x:c r="N99" s="3"/>
      <x:c r="O99" s="3"/>
      <x:c r="P99" s="3"/>
      <x:c r="Q99" s="3"/>
      <x:c r="R99" s="3"/>
    </x:row>
    <x:row r="100" ht="22" customHeight="1">
      <x:c r="A100" s="3"/>
      <x:c r="B100" s="3"/>
      <x:c r="C100" s="3"/>
      <x:c r="D100" s="3"/>
      <x:c r="E100" s="3"/>
      <x:c r="F100" s="3"/>
      <x:c r="G100" s="3"/>
      <x:c r="H100" s="3"/>
      <x:c r="I100" s="3"/>
      <x:c r="J100" s="3"/>
      <x:c r="K100" s="3"/>
      <x:c r="L100" s="3"/>
      <x:c r="M100" s="3"/>
      <x:c r="N100" s="3"/>
      <x:c r="O100" s="3"/>
      <x:c r="P100" s="3"/>
      <x:c r="Q100" s="3"/>
      <x:c r="R100" s="3"/>
    </x:row>
    <x:row r="101" ht="22" customHeight="1">
      <x:c r="A101" s="3"/>
      <x:c r="B101" s="3"/>
      <x:c r="C101" s="3"/>
      <x:c r="D101" s="3"/>
      <x:c r="E101" s="3"/>
      <x:c r="F101" s="3"/>
      <x:c r="G101" s="3"/>
      <x:c r="H101" s="3"/>
      <x:c r="I101" s="3"/>
      <x:c r="J101" s="3"/>
      <x:c r="K101" s="3"/>
      <x:c r="L101" s="3"/>
      <x:c r="M101" s="3"/>
      <x:c r="N101" s="3"/>
      <x:c r="O101" s="3"/>
      <x:c r="P101" s="3"/>
      <x:c r="Q101" s="3"/>
      <x:c r="R101" s="3"/>
    </x:row>
    <x:row r="102" ht="22" customHeight="1">
      <x:c r="A102" s="3"/>
      <x:c r="B102" s="3"/>
      <x:c r="C102" s="3"/>
      <x:c r="D102" s="3"/>
      <x:c r="E102" s="3"/>
      <x:c r="F102" s="3"/>
      <x:c r="G102" s="3"/>
      <x:c r="H102" s="3"/>
      <x:c r="I102" s="3"/>
      <x:c r="J102" s="3"/>
      <x:c r="K102" s="3"/>
      <x:c r="L102" s="3"/>
      <x:c r="M102" s="3"/>
      <x:c r="N102" s="3"/>
      <x:c r="O102" s="3"/>
      <x:c r="P102" s="3"/>
      <x:c r="Q102" s="3"/>
      <x:c r="R102" s="3"/>
    </x:row>
    <x:row r="103" ht="22" customHeight="1">
      <x:c r="A103" s="3"/>
      <x:c r="B103" s="3"/>
      <x:c r="C103" s="3"/>
      <x:c r="D103" s="3"/>
      <x:c r="E103" s="3"/>
      <x:c r="F103" s="3"/>
      <x:c r="G103" s="3"/>
      <x:c r="H103" s="3"/>
      <x:c r="I103" s="3"/>
      <x:c r="J103" s="3"/>
      <x:c r="K103" s="3"/>
      <x:c r="L103" s="3"/>
      <x:c r="M103" s="3"/>
      <x:c r="N103" s="3"/>
      <x:c r="O103" s="3"/>
      <x:c r="P103" s="3"/>
      <x:c r="Q103" s="3"/>
      <x:c r="R103" s="3"/>
    </x:row>
    <x:row r="104" ht="22" customHeight="1">
      <x:c r="A104" s="3"/>
      <x:c r="B104" s="3"/>
      <x:c r="C104" s="3"/>
      <x:c r="D104" s="3"/>
      <x:c r="E104" s="3"/>
      <x:c r="F104" s="3"/>
      <x:c r="G104" s="3"/>
      <x:c r="H104" s="3"/>
      <x:c r="I104" s="3"/>
      <x:c r="J104" s="3"/>
      <x:c r="K104" s="3"/>
      <x:c r="L104" s="3"/>
      <x:c r="M104" s="3"/>
      <x:c r="N104" s="3"/>
      <x:c r="O104" s="3"/>
      <x:c r="P104" s="3"/>
      <x:c r="Q104" s="3"/>
      <x:c r="R104" s="3"/>
    </x:row>
    <x:row r="105" ht="22" customHeight="1">
      <x:c r="A105" s="3"/>
      <x:c r="B105" s="3"/>
      <x:c r="C105" s="3"/>
      <x:c r="D105" s="3"/>
      <x:c r="E105" s="3"/>
      <x:c r="F105" s="3"/>
      <x:c r="G105" s="3"/>
      <x:c r="H105" s="3"/>
      <x:c r="I105" s="3"/>
      <x:c r="J105" s="3"/>
      <x:c r="K105" s="3"/>
      <x:c r="L105" s="3"/>
      <x:c r="M105" s="3"/>
      <x:c r="N105" s="3"/>
      <x:c r="O105" s="3"/>
      <x:c r="P105" s="3"/>
      <x:c r="Q105" s="3"/>
      <x:c r="R105" s="3"/>
    </x:row>
    <x:row r="106" ht="22" customHeight="1">
      <x:c r="A106" s="3"/>
      <x:c r="B106" s="3"/>
      <x:c r="C106" s="3"/>
      <x:c r="D106" s="3"/>
      <x:c r="E106" s="3"/>
      <x:c r="F106" s="3"/>
      <x:c r="G106" s="3"/>
      <x:c r="H106" s="3"/>
      <x:c r="I106" s="3"/>
      <x:c r="J106" s="3"/>
      <x:c r="K106" s="3"/>
      <x:c r="L106" s="3"/>
      <x:c r="M106" s="3"/>
      <x:c r="N106" s="3"/>
      <x:c r="O106" s="3"/>
      <x:c r="P106" s="3"/>
      <x:c r="Q106" s="3"/>
      <x:c r="R106" s="3"/>
    </x:row>
    <x:row r="107" ht="22" customHeight="1">
      <x:c r="A107" s="3"/>
      <x:c r="B107" s="3"/>
      <x:c r="C107" s="3"/>
      <x:c r="D107" s="3"/>
      <x:c r="E107" s="3"/>
      <x:c r="F107" s="3"/>
      <x:c r="G107" s="3"/>
      <x:c r="H107" s="3"/>
      <x:c r="I107" s="3"/>
      <x:c r="J107" s="3"/>
      <x:c r="K107" s="3"/>
      <x:c r="L107" s="3"/>
      <x:c r="M107" s="3"/>
      <x:c r="N107" s="3"/>
      <x:c r="O107" s="3"/>
      <x:c r="P107" s="3"/>
      <x:c r="Q107" s="3"/>
      <x:c r="R107" s="3"/>
    </x:row>
    <x:row r="108" ht="22" customHeight="1">
      <x:c r="A108" s="3"/>
      <x:c r="B108" s="3"/>
      <x:c r="C108" s="3"/>
      <x:c r="D108" s="3"/>
      <x:c r="E108" s="3"/>
      <x:c r="F108" s="3"/>
      <x:c r="G108" s="3"/>
      <x:c r="H108" s="3"/>
      <x:c r="I108" s="3"/>
      <x:c r="J108" s="3"/>
      <x:c r="K108" s="3"/>
      <x:c r="L108" s="3"/>
      <x:c r="M108" s="3"/>
      <x:c r="N108" s="3"/>
      <x:c r="O108" s="3"/>
      <x:c r="P108" s="3"/>
      <x:c r="Q108" s="3"/>
      <x:c r="R108" s="3"/>
    </x:row>
    <x:row r="109" ht="22" customHeight="1">
      <x:c r="A109" s="3"/>
      <x:c r="B109" s="3"/>
      <x:c r="C109" s="3"/>
      <x:c r="D109" s="3"/>
      <x:c r="E109" s="3"/>
      <x:c r="F109" s="3"/>
      <x:c r="G109" s="3"/>
      <x:c r="H109" s="3"/>
      <x:c r="I109" s="3"/>
      <x:c r="J109" s="3"/>
      <x:c r="K109" s="3"/>
      <x:c r="L109" s="3"/>
      <x:c r="M109" s="3"/>
      <x:c r="N109" s="3"/>
      <x:c r="O109" s="3"/>
      <x:c r="P109" s="3"/>
      <x:c r="Q109" s="3"/>
      <x:c r="R109" s="3"/>
    </x:row>
    <x:row r="110" ht="22" customHeight="1">
      <x:c r="A110" s="3" t="str">
        <x:v>サイト差は年式・仕様・距離構成や認定保証の差を含む。少数のCarsomeを地域やブランドの平均と解釈しない。</x:v>
      </x:c>
      <x:c r="B110" s="3"/>
      <x:c r="C110" s="3"/>
      <x:c r="D110" s="3"/>
      <x:c r="E110" s="3"/>
      <x:c r="F110" s="3"/>
      <x:c r="G110" s="3"/>
      <x:c r="H110" s="3"/>
      <x:c r="I110" s="3"/>
      <x:c r="J110" s="3"/>
      <x:c r="K110" s="3"/>
      <x:c r="L110" s="3"/>
      <x:c r="M110" s="3"/>
      <x:c r="N110" s="3"/>
      <x:c r="O110" s="3"/>
      <x:c r="P110" s="3"/>
      <x:c r="Q110" s="3"/>
      <x:c r="R110" s="3"/>
    </x:row>
    <x:row r="111" ht="22" customHeight="1">
      <x:c r="A111" s="3"/>
      <x:c r="B111" s="3"/>
      <x:c r="C111" s="3"/>
      <x:c r="D111" s="3"/>
      <x:c r="E111" s="3"/>
      <x:c r="F111" s="3"/>
      <x:c r="G111" s="3"/>
      <x:c r="H111" s="3"/>
      <x:c r="I111" s="3"/>
      <x:c r="J111" s="3" t="str">
        <x:v>近似代替特価：ATTO 3の2026/10通常特価、Crossは現行Luxury。</x:v>
      </x:c>
      <x:c r="K111" s="3"/>
      <x:c r="L111" s="3"/>
      <x:c r="M111" s="3"/>
      <x:c r="N111" s="3"/>
      <x:c r="O111" s="3"/>
      <x:c r="P111" s="3"/>
      <x:c r="Q111" s="3"/>
      <x:c r="R111" s="3"/>
    </x:row>
    <x:row r="112" ht="22" customHeight="1">
      <x:c r="A112" s="3"/>
      <x:c r="B112" s="3"/>
      <x:c r="C112" s="3"/>
      <x:c r="D112" s="3"/>
      <x:c r="E112" s="3"/>
      <x:c r="F112" s="3"/>
      <x:c r="G112" s="3"/>
      <x:c r="H112" s="3"/>
      <x:c r="I112" s="3"/>
      <x:c r="J112" s="3" t="str">
        <x:v>追加条件付3万THBは除外。仕様変更もあるため、旧車の残価率とは別。</x:v>
      </x:c>
      <x:c r="K112" s="3"/>
      <x:c r="L112" s="3"/>
      <x:c r="M112" s="3"/>
      <x:c r="N112" s="3"/>
      <x:c r="O112" s="3"/>
      <x:c r="P112" s="3"/>
      <x:c r="Q112" s="3"/>
      <x:c r="R112" s="3"/>
    </x:row>
    <x:row r="113" ht="22" customHeight="1">
      <x:c r="A113" s="3"/>
      <x:c r="B113" s="3"/>
      <x:c r="C113" s="3"/>
      <x:c r="D113" s="3"/>
      <x:c r="E113" s="3"/>
      <x:c r="F113" s="3"/>
      <x:c r="G113" s="3"/>
      <x:c r="H113" s="3"/>
      <x:c r="I113" s="3"/>
      <x:c r="J113" s="3"/>
      <x:c r="K113" s="3"/>
      <x:c r="L113" s="3"/>
      <x:c r="M113" s="3"/>
      <x:c r="N113" s="3"/>
      <x:c r="O113" s="3"/>
      <x:c r="P113" s="3"/>
      <x:c r="Q113" s="3"/>
      <x:c r="R113" s="3"/>
    </x:row>
    <x:row r="114" ht="22" customHeight="1">
      <x:c r="A114" s="3"/>
      <x:c r="B114" s="3"/>
      <x:c r="C114" s="3"/>
      <x:c r="D114" s="3"/>
      <x:c r="E114" s="3"/>
      <x:c r="F114" s="3"/>
      <x:c r="G114" s="3"/>
      <x:c r="H114" s="3"/>
      <x:c r="I114" s="3"/>
      <x:c r="J114" s="3"/>
      <x:c r="K114" s="3"/>
      <x:c r="L114" s="3"/>
      <x:c r="M114" s="3"/>
      <x:c r="N114" s="3"/>
      <x:c r="O114" s="3"/>
      <x:c r="P114" s="3"/>
      <x:c r="Q114" s="3"/>
      <x:c r="R114" s="3"/>
    </x:row>
    <x:row r="115" ht="22" customHeight="1">
      <x:c r="A115" s="3"/>
      <x:c r="B115" s="3"/>
      <x:c r="C115" s="3"/>
      <x:c r="D115" s="3"/>
      <x:c r="E115" s="3"/>
      <x:c r="F115" s="3"/>
      <x:c r="G115" s="3"/>
      <x:c r="H115" s="3"/>
      <x:c r="I115" s="3"/>
      <x:c r="J115" s="3"/>
      <x:c r="K115" s="3"/>
      <x:c r="L115" s="3"/>
      <x:c r="M115" s="3"/>
      <x:c r="N115" s="3"/>
      <x:c r="O115" s="3"/>
      <x:c r="P115" s="3"/>
      <x:c r="Q115" s="3"/>
      <x:c r="R115" s="3"/>
    </x:row>
    <x:row r="116" ht="22" customHeight="1">
      <x:c r="A116" s="3"/>
      <x:c r="B116" s="3"/>
      <x:c r="C116" s="3"/>
      <x:c r="D116" s="3"/>
      <x:c r="E116" s="3"/>
      <x:c r="F116" s="3"/>
      <x:c r="G116" s="3"/>
      <x:c r="H116" s="3"/>
      <x:c r="I116" s="3"/>
      <x:c r="J116" s="3"/>
      <x:c r="K116" s="3"/>
      <x:c r="L116" s="3"/>
      <x:c r="M116" s="3"/>
      <x:c r="N116" s="3"/>
      <x:c r="O116" s="3"/>
      <x:c r="P116" s="3"/>
      <x:c r="Q116" s="3"/>
      <x:c r="R116" s="3"/>
    </x:row>
    <x:row r="117" ht="22" customHeight="1">
      <x:c r="A117" s="3"/>
      <x:c r="B117" s="3"/>
      <x:c r="C117" s="3"/>
      <x:c r="D117" s="3"/>
      <x:c r="E117" s="3"/>
      <x:c r="F117" s="3"/>
      <x:c r="G117" s="3"/>
      <x:c r="H117" s="3"/>
      <x:c r="I117" s="3"/>
      <x:c r="J117" s="3"/>
      <x:c r="K117" s="3"/>
      <x:c r="L117" s="3"/>
      <x:c r="M117" s="3"/>
      <x:c r="N117" s="3"/>
      <x:c r="O117" s="3"/>
      <x:c r="P117" s="3"/>
      <x:c r="Q117" s="3"/>
      <x:c r="R117" s="3"/>
    </x:row>
    <x:row r="118" ht="22" customHeight="1">
      <x:c r="A118" s="3"/>
      <x:c r="B118" s="3"/>
      <x:c r="C118" s="3"/>
      <x:c r="D118" s="3"/>
      <x:c r="E118" s="3"/>
      <x:c r="F118" s="3"/>
      <x:c r="G118" s="3"/>
      <x:c r="H118" s="3"/>
      <x:c r="I118" s="3"/>
      <x:c r="J118" s="3"/>
      <x:c r="K118" s="3"/>
      <x:c r="L118" s="3"/>
      <x:c r="M118" s="3"/>
      <x:c r="N118" s="3"/>
      <x:c r="O118" s="3"/>
      <x:c r="P118" s="3"/>
      <x:c r="Q118" s="3"/>
      <x:c r="R118" s="3"/>
    </x:row>
    <x:row r="119" ht="22" customHeight="1">
      <x:c r="A119" s="3"/>
      <x:c r="B119" s="3"/>
      <x:c r="C119" s="3"/>
      <x:c r="D119" s="3"/>
      <x:c r="E119" s="3"/>
      <x:c r="F119" s="3"/>
      <x:c r="G119" s="3"/>
      <x:c r="H119" s="3"/>
      <x:c r="I119" s="3"/>
      <x:c r="J119" s="3"/>
      <x:c r="K119" s="3"/>
      <x:c r="L119" s="3"/>
      <x:c r="M119" s="3"/>
      <x:c r="N119" s="3"/>
      <x:c r="O119" s="3"/>
      <x:c r="P119" s="3"/>
      <x:c r="Q119" s="3"/>
      <x:c r="R119" s="3"/>
    </x:row>
    <x:row r="120" ht="22" customHeight="1">
      <x:c r="A120" s="3"/>
      <x:c r="B120" s="3"/>
      <x:c r="C120" s="3"/>
      <x:c r="D120" s="3"/>
      <x:c r="E120" s="3"/>
      <x:c r="F120" s="3"/>
      <x:c r="G120" s="3"/>
      <x:c r="H120" s="3"/>
      <x:c r="I120" s="3"/>
      <x:c r="J120" s="3"/>
      <x:c r="K120" s="3"/>
      <x:c r="L120" s="3"/>
      <x:c r="M120" s="3"/>
      <x:c r="N120" s="3"/>
      <x:c r="O120" s="3"/>
      <x:c r="P120" s="3"/>
      <x:c r="Q120" s="3"/>
      <x:c r="R120" s="3"/>
    </x:row>
    <x:row r="121" ht="22" customHeight="1">
      <x:c r="A121" s="3"/>
      <x:c r="B121" s="3"/>
      <x:c r="C121" s="3"/>
      <x:c r="D121" s="3"/>
      <x:c r="E121" s="3"/>
      <x:c r="F121" s="3"/>
      <x:c r="G121" s="3"/>
      <x:c r="H121" s="3"/>
      <x:c r="I121" s="3"/>
      <x:c r="J121" s="3"/>
      <x:c r="K121" s="3"/>
      <x:c r="L121" s="3"/>
      <x:c r="M121" s="3"/>
      <x:c r="N121" s="3"/>
      <x:c r="O121" s="3"/>
      <x:c r="P121" s="3"/>
      <x:c r="Q121" s="3"/>
      <x:c r="R121" s="3"/>
    </x:row>
    <x:row r="122" ht="22" customHeight="1">
      <x:c r="A122" s="3"/>
      <x:c r="B122" s="3"/>
      <x:c r="C122" s="3"/>
      <x:c r="D122" s="3"/>
      <x:c r="E122" s="3"/>
      <x:c r="F122" s="3"/>
      <x:c r="G122" s="3"/>
      <x:c r="H122" s="3"/>
      <x:c r="I122" s="3"/>
      <x:c r="J122" s="3"/>
      <x:c r="K122" s="3"/>
      <x:c r="L122" s="3"/>
      <x:c r="M122" s="3"/>
      <x:c r="N122" s="3"/>
      <x:c r="O122" s="3"/>
      <x:c r="P122" s="3"/>
      <x:c r="Q122" s="3"/>
      <x:c r="R122" s="3"/>
    </x:row>
    <x:row r="123" ht="22" customHeight="1">
      <x:c r="A123" s="3"/>
      <x:c r="B123" s="3"/>
      <x:c r="C123" s="3"/>
      <x:c r="D123" s="3"/>
      <x:c r="E123" s="3"/>
      <x:c r="F123" s="3"/>
      <x:c r="G123" s="3"/>
      <x:c r="H123" s="3"/>
      <x:c r="I123" s="3"/>
      <x:c r="J123" s="3"/>
      <x:c r="K123" s="3"/>
      <x:c r="L123" s="3"/>
      <x:c r="M123" s="3"/>
      <x:c r="N123" s="3"/>
      <x:c r="O123" s="3"/>
      <x:c r="P123" s="3"/>
      <x:c r="Q123" s="3"/>
      <x:c r="R123" s="3"/>
    </x:row>
    <x:row r="124" ht="22" customHeight="1">
      <x:c r="A124" s="3"/>
      <x:c r="B124" s="3"/>
      <x:c r="C124" s="3"/>
      <x:c r="D124" s="3"/>
      <x:c r="E124" s="3"/>
      <x:c r="F124" s="3"/>
      <x:c r="G124" s="3"/>
      <x:c r="H124" s="3"/>
      <x:c r="I124" s="3"/>
      <x:c r="J124" s="3"/>
      <x:c r="K124" s="3"/>
      <x:c r="L124" s="3"/>
      <x:c r="M124" s="3"/>
      <x:c r="N124" s="3"/>
      <x:c r="O124" s="3"/>
      <x:c r="P124" s="3"/>
      <x:c r="Q124" s="3"/>
      <x:c r="R124" s="3"/>
    </x:row>
    <x:row r="125" ht="22" customHeight="1">
      <x:c r="A125" s="3"/>
      <x:c r="B125" s="3"/>
      <x:c r="C125" s="3"/>
      <x:c r="D125" s="3"/>
      <x:c r="E125" s="3"/>
      <x:c r="F125" s="3"/>
      <x:c r="G125" s="3"/>
      <x:c r="H125" s="3"/>
      <x:c r="I125" s="3"/>
      <x:c r="J125" s="3"/>
      <x:c r="K125" s="3"/>
      <x:c r="L125" s="3"/>
      <x:c r="M125" s="3"/>
      <x:c r="N125" s="3"/>
      <x:c r="O125" s="3"/>
      <x:c r="P125" s="3"/>
      <x:c r="Q125" s="3"/>
      <x:c r="R125" s="3"/>
    </x:row>
    <x:row r="126" ht="22" customHeight="1">
      <x:c r="A126" s="3"/>
      <x:c r="B126" s="3"/>
      <x:c r="C126" s="3"/>
      <x:c r="D126" s="3"/>
      <x:c r="E126" s="3"/>
      <x:c r="F126" s="3"/>
      <x:c r="G126" s="3"/>
      <x:c r="H126" s="3"/>
      <x:c r="I126" s="3"/>
      <x:c r="J126" s="3"/>
      <x:c r="K126" s="3"/>
      <x:c r="L126" s="3"/>
      <x:c r="M126" s="3"/>
      <x:c r="N126" s="3"/>
      <x:c r="O126" s="3"/>
      <x:c r="P126" s="3"/>
      <x:c r="Q126" s="3"/>
      <x:c r="R126" s="3"/>
    </x:row>
    <x:row r="127" ht="22" customHeight="1">
      <x:c r="A127" s="3"/>
      <x:c r="B127" s="3"/>
      <x:c r="C127" s="3"/>
      <x:c r="D127" s="3"/>
      <x:c r="E127" s="3"/>
      <x:c r="F127" s="3"/>
      <x:c r="G127" s="3"/>
      <x:c r="H127" s="3"/>
      <x:c r="I127" s="3"/>
      <x:c r="J127" s="3"/>
      <x:c r="K127" s="3"/>
      <x:c r="L127" s="3"/>
      <x:c r="M127" s="3"/>
      <x:c r="N127" s="3"/>
      <x:c r="O127" s="3"/>
      <x:c r="P127" s="3"/>
      <x:c r="Q127" s="3"/>
      <x:c r="R127" s="3"/>
    </x:row>
    <x:row r="128" ht="22" customHeight="1">
      <x:c r="A128" s="3"/>
      <x:c r="B128" s="3"/>
      <x:c r="C128" s="3"/>
      <x:c r="D128" s="3"/>
      <x:c r="E128" s="3"/>
      <x:c r="F128" s="3"/>
      <x:c r="G128" s="3"/>
      <x:c r="H128" s="3"/>
      <x:c r="I128" s="3"/>
      <x:c r="J128" s="3"/>
      <x:c r="K128" s="3"/>
      <x:c r="L128" s="3"/>
      <x:c r="M128" s="3"/>
      <x:c r="N128" s="3"/>
      <x:c r="O128" s="3"/>
      <x:c r="P128" s="3"/>
      <x:c r="Q128" s="3"/>
      <x:c r="R128" s="3"/>
    </x:row>
    <x:row r="129" ht="22" customHeight="1">
      <x:c r="A129" s="3"/>
      <x:c r="B129" s="3"/>
      <x:c r="C129" s="3"/>
      <x:c r="D129" s="3"/>
      <x:c r="E129" s="3"/>
      <x:c r="F129" s="3"/>
      <x:c r="G129" s="3"/>
      <x:c r="H129" s="3"/>
      <x:c r="I129" s="3"/>
      <x:c r="J129" s="3"/>
      <x:c r="K129" s="3"/>
      <x:c r="L129" s="3"/>
      <x:c r="M129" s="3"/>
      <x:c r="N129" s="3"/>
      <x:c r="O129" s="3"/>
      <x:c r="P129" s="3"/>
      <x:c r="Q129" s="3"/>
      <x:c r="R129" s="3"/>
    </x:row>
    <x:row r="130" ht="22" customHeight="1">
      <x:c r="A130" s="3"/>
      <x:c r="B130" s="3"/>
      <x:c r="C130" s="3"/>
      <x:c r="D130" s="3"/>
      <x:c r="E130" s="3"/>
      <x:c r="F130" s="3"/>
      <x:c r="G130" s="3"/>
      <x:c r="H130" s="3"/>
      <x:c r="I130" s="3"/>
      <x:c r="J130" s="3"/>
      <x:c r="K130" s="3"/>
      <x:c r="L130" s="3"/>
      <x:c r="M130" s="3"/>
      <x:c r="N130" s="3"/>
      <x:c r="O130" s="3"/>
      <x:c r="P130" s="3"/>
      <x:c r="Q130" s="3"/>
      <x:c r="R130" s="3"/>
    </x:row>
    <x:row r="131" ht="22" customHeight="1">
      <x:c r="A131" s="3"/>
      <x:c r="B131" s="3"/>
      <x:c r="C131" s="3"/>
      <x:c r="D131" s="3"/>
      <x:c r="E131" s="3"/>
      <x:c r="F131" s="3"/>
      <x:c r="G131" s="3"/>
      <x:c r="H131" s="3"/>
      <x:c r="I131" s="3"/>
      <x:c r="J131" s="3"/>
      <x:c r="K131" s="3"/>
      <x:c r="L131" s="3"/>
      <x:c r="M131" s="3"/>
      <x:c r="N131" s="3"/>
      <x:c r="O131" s="3"/>
      <x:c r="P131" s="3"/>
      <x:c r="Q131" s="3"/>
      <x:c r="R131" s="3"/>
    </x:row>
    <x:row r="132" ht="22" customHeight="1">
      <x:c r="A132" s="3"/>
      <x:c r="B132" s="3"/>
      <x:c r="C132" s="3"/>
      <x:c r="D132" s="3"/>
      <x:c r="E132" s="3"/>
      <x:c r="F132" s="3"/>
      <x:c r="G132" s="3"/>
      <x:c r="H132" s="3"/>
      <x:c r="I132" s="3"/>
      <x:c r="J132" s="3"/>
      <x:c r="K132" s="3"/>
      <x:c r="L132" s="3"/>
      <x:c r="M132" s="3"/>
      <x:c r="N132" s="3"/>
      <x:c r="O132" s="3"/>
      <x:c r="P132" s="3"/>
      <x:c r="Q132" s="3"/>
      <x:c r="R132" s="3"/>
    </x:row>
    <x:row r="133" ht="22" customHeight="1">
      <x:c r="A133" s="3"/>
      <x:c r="B133" s="3"/>
      <x:c r="C133" s="3"/>
      <x:c r="D133" s="3"/>
      <x:c r="E133" s="3"/>
      <x:c r="F133" s="3"/>
      <x:c r="G133" s="3"/>
      <x:c r="H133" s="3"/>
      <x:c r="I133" s="3"/>
      <x:c r="J133" s="3"/>
      <x:c r="K133" s="3"/>
      <x:c r="L133" s="3"/>
      <x:c r="M133" s="3"/>
      <x:c r="N133" s="3"/>
      <x:c r="O133" s="3"/>
      <x:c r="P133" s="3"/>
      <x:c r="Q133" s="3"/>
      <x:c r="R133" s="3"/>
    </x:row>
    <x:row r="134" ht="22" customHeight="1">
      <x:c r="A134" s="3"/>
      <x:c r="B134" s="3"/>
      <x:c r="C134" s="3"/>
      <x:c r="D134" s="3"/>
      <x:c r="E134" s="3"/>
      <x:c r="F134" s="3"/>
      <x:c r="G134" s="3"/>
      <x:c r="H134" s="3"/>
      <x:c r="I134" s="3"/>
      <x:c r="J134" s="3"/>
      <x:c r="K134" s="3"/>
      <x:c r="L134" s="3"/>
      <x:c r="M134" s="3"/>
      <x:c r="N134" s="3"/>
      <x:c r="O134" s="3"/>
      <x:c r="P134" s="3"/>
      <x:c r="Q134" s="3"/>
      <x:c r="R134" s="3"/>
    </x:row>
    <x:row r="135" ht="22" customHeight="1">
      <x:c r="A135" s="3"/>
      <x:c r="B135" s="3"/>
      <x:c r="C135" s="3"/>
      <x:c r="D135" s="3"/>
      <x:c r="E135" s="3"/>
      <x:c r="F135" s="3"/>
      <x:c r="G135" s="3"/>
      <x:c r="H135" s="3"/>
      <x:c r="I135" s="3"/>
      <x:c r="J135" s="3"/>
      <x:c r="K135" s="3"/>
      <x:c r="L135" s="3"/>
      <x:c r="M135" s="3"/>
      <x:c r="N135" s="3"/>
      <x:c r="O135" s="3"/>
      <x:c r="P135" s="3"/>
      <x:c r="Q135" s="3"/>
      <x:c r="R135" s="3"/>
    </x:row>
    <x:row r="136" ht="22" customHeight="1">
      <x:c r="A136" s="3"/>
      <x:c r="B136" s="3"/>
      <x:c r="C136" s="3"/>
      <x:c r="D136" s="3"/>
      <x:c r="E136" s="3"/>
      <x:c r="F136" s="3"/>
      <x:c r="G136" s="3"/>
      <x:c r="H136" s="3"/>
      <x:c r="I136" s="3"/>
      <x:c r="J136" s="3"/>
      <x:c r="K136" s="3"/>
      <x:c r="L136" s="3"/>
      <x:c r="M136" s="3"/>
      <x:c r="N136" s="3"/>
      <x:c r="O136" s="3"/>
      <x:c r="P136" s="3"/>
      <x:c r="Q136" s="3"/>
      <x:c r="R136" s="3"/>
    </x:row>
    <x:row r="137" ht="22" customHeight="1">
      <x:c r="A137" s="3"/>
      <x:c r="B137" s="3"/>
      <x:c r="C137" s="3"/>
      <x:c r="D137" s="3"/>
      <x:c r="E137" s="3"/>
      <x:c r="F137" s="3"/>
      <x:c r="G137" s="3"/>
      <x:c r="H137" s="3"/>
      <x:c r="I137" s="3"/>
      <x:c r="J137" s="3"/>
      <x:c r="K137" s="3"/>
      <x:c r="L137" s="3"/>
      <x:c r="M137" s="3"/>
      <x:c r="N137" s="3"/>
      <x:c r="O137" s="3"/>
      <x:c r="P137" s="3"/>
      <x:c r="Q137" s="3"/>
      <x:c r="R137" s="3"/>
    </x:row>
    <x:row r="138" ht="22" customHeight="1">
      <x:c r="A138" s="3"/>
      <x:c r="B138" s="3"/>
      <x:c r="C138" s="3"/>
      <x:c r="D138" s="3"/>
      <x:c r="E138" s="3"/>
      <x:c r="F138" s="3"/>
      <x:c r="G138" s="3"/>
      <x:c r="H138" s="3"/>
      <x:c r="I138" s="3"/>
      <x:c r="J138" s="3"/>
      <x:c r="K138" s="3"/>
      <x:c r="L138" s="3"/>
      <x:c r="M138" s="3"/>
      <x:c r="N138" s="3"/>
      <x:c r="O138" s="3"/>
      <x:c r="P138" s="3"/>
      <x:c r="Q138" s="3"/>
      <x:c r="R138" s="3"/>
    </x:row>
    <x:row r="139" ht="22" customHeight="1">
      <x:c r="A139" s="3" t="str">
        <x:v>新車線は確認した価格イベントを結ぶだけです。CBU→国内生産や年式/仕様変更を含み、未観測月は補間していません。</x:v>
      </x:c>
      <x:c r="B139" s="3"/>
      <x:c r="C139" s="3"/>
      <x:c r="D139" s="3"/>
      <x:c r="E139" s="3"/>
      <x:c r="F139" s="3"/>
      <x:c r="G139" s="3"/>
      <x:c r="H139" s="3"/>
      <x:c r="I139" s="3"/>
      <x:c r="J139" s="3"/>
      <x:c r="K139" s="3"/>
      <x:c r="L139" s="3"/>
      <x:c r="M139" s="3"/>
      <x:c r="N139" s="3"/>
      <x:c r="O139" s="3"/>
      <x:c r="P139" s="3"/>
      <x:c r="Q139" s="3"/>
      <x:c r="R139" s="3"/>
    </x:row>
    <x:row r="140" ht="22" customHeight="1">
      <x:c r="A140" s="3"/>
      <x:c r="B140" s="3"/>
      <x:c r="C140" s="3"/>
      <x:c r="D140" s="3"/>
      <x:c r="E140" s="3"/>
      <x:c r="F140" s="3"/>
      <x:c r="G140" s="3"/>
      <x:c r="H140" s="3"/>
      <x:c r="I140" s="3"/>
      <x:c r="J140" s="3" t="str">
        <x:v>中古の実績比較期間：各年1〜10月。N/車両構成は原資料非開示。</x:v>
      </x:c>
      <x:c r="K140" s="3"/>
      <x:c r="L140" s="3"/>
      <x:c r="M140" s="3"/>
      <x:c r="N140" s="3"/>
      <x:c r="O140" s="3"/>
      <x:c r="P140" s="3"/>
      <x:c r="Q140" s="3"/>
      <x:c r="R140" s="3"/>
    </x:row>
    <x:row r="141" ht="22" customHeight="1">
      <x:c r="A141" s="3"/>
      <x:c r="B141" s="3"/>
      <x:c r="C141" s="3"/>
      <x:c r="D141" s="3"/>
      <x:c r="E141" s="3"/>
      <x:c r="F141" s="3"/>
      <x:c r="G141" s="3"/>
      <x:c r="H141" s="3"/>
      <x:c r="I141" s="3"/>
      <x:c r="J141" s="3" t="str">
        <x:v>Toyotaの同条件月次履歴・同一車両の連続価格は未取得。</x:v>
      </x:c>
      <x:c r="K141" s="3"/>
      <x:c r="L141" s="3"/>
      <x:c r="M141" s="3"/>
      <x:c r="N141" s="3"/>
      <x:c r="O141" s="3"/>
      <x:c r="P141" s="3"/>
      <x:c r="Q141" s="3"/>
      <x:c r="R141" s="3"/>
    </x:row>
    <x:row r="142" ht="22" customHeight="1">
      <x:c r="A142" s="3"/>
      <x:c r="B142" s="3"/>
      <x:c r="C142" s="3"/>
      <x:c r="D142" s="3"/>
      <x:c r="E142" s="3"/>
      <x:c r="F142" s="3"/>
      <x:c r="G142" s="3"/>
      <x:c r="H142" s="3"/>
      <x:c r="I142" s="3"/>
      <x:c r="J142" s="3"/>
      <x:c r="K142" s="3"/>
      <x:c r="L142" s="3"/>
      <x:c r="M142" s="3"/>
      <x:c r="N142" s="3"/>
      <x:c r="O142" s="3"/>
      <x:c r="P142" s="3"/>
      <x:c r="Q142" s="3"/>
      <x:c r="R142" s="3"/>
    </x:row>
    <x:row r="143" ht="22" customHeight="1">
      <x:c r="A143" s="3"/>
      <x:c r="B143" s="3"/>
      <x:c r="C143" s="3"/>
      <x:c r="D143" s="3"/>
      <x:c r="E143" s="3"/>
      <x:c r="F143" s="3"/>
      <x:c r="G143" s="3"/>
      <x:c r="H143" s="3"/>
      <x:c r="I143" s="3"/>
      <x:c r="J143" s="3"/>
      <x:c r="K143" s="3"/>
      <x:c r="L143" s="3"/>
      <x:c r="M143" s="3"/>
      <x:c r="N143" s="3"/>
      <x:c r="O143" s="3"/>
      <x:c r="P143" s="3"/>
      <x:c r="Q143" s="3"/>
      <x:c r="R143" s="3"/>
    </x:row>
    <x:row r="144" ht="22" customHeight="1">
      <x:c r="A144" s="3"/>
      <x:c r="B144" s="3"/>
      <x:c r="C144" s="3"/>
      <x:c r="D144" s="3"/>
      <x:c r="E144" s="3"/>
      <x:c r="F144" s="3"/>
      <x:c r="G144" s="3"/>
      <x:c r="H144" s="3"/>
      <x:c r="I144" s="3"/>
      <x:c r="J144" s="3"/>
      <x:c r="K144" s="3"/>
      <x:c r="L144" s="3"/>
      <x:c r="M144" s="3"/>
      <x:c r="N144" s="3"/>
      <x:c r="O144" s="3"/>
      <x:c r="P144" s="3"/>
      <x:c r="Q144" s="3"/>
      <x:c r="R144" s="3"/>
    </x:row>
    <x:row r="145" ht="30" customHeight="1">
      <x:c r="A145" s="16" t="str">
        <x:v>条件をそろえた比較</x:v>
      </x:c>
      <x:c r="B145" s="21" t="str">
        <x:v>N</x:v>
      </x:c>
      <x:c r="C145" s="21" t="str">
        <x:v>中古THB</x:v>
      </x:c>
      <x:c r="D145" s="21" t="str">
        <x:v>当時通常THB</x:v>
      </x:c>
      <x:c r="E145" s="21" t="str">
        <x:v>参考残価率</x:v>
      </x:c>
      <x:c r="F145" s="21" t="str">
        <x:v>近似代替特価</x:v>
      </x:c>
      <x:c r="G145" s="21" t="str">
        <x:v>代替価格比</x:v>
      </x:c>
      <x:c r="H145" s="17" t="str">
        <x:v>走行範囲</x:v>
      </x:c>
      <x:c r="I145" s="3"/>
      <x:c r="J145" s="3"/>
      <x:c r="K145" s="3"/>
      <x:c r="L145" s="3"/>
      <x:c r="M145" s="3"/>
      <x:c r="N145" s="3"/>
      <x:c r="O145" s="3"/>
      <x:c r="P145" s="3"/>
      <x:c r="Q145" s="3"/>
      <x:c r="R145" s="3"/>
    </x:row>
    <x:row r="146" ht="22" customHeight="1">
      <x:c r="A146" s="3" t="str">
        <x:f>'条件別集計'!AA7</x:f>
        <x:v>ATTO 3 Ext｜20–100k</x:v>
      </x:c>
      <x:c r="B146" s="22" t="n">
        <x:f>'条件別集計'!AB7</x:f>
        <x:v>7</x:v>
      </x:c>
      <x:c r="C146" s="22" t="n">
        <x:f>'条件別集計'!AD7</x:f>
        <x:v>467000</x:v>
      </x:c>
      <x:c r="D146" s="22" t="n">
        <x:f>'条件別集計'!AF7</x:f>
        <x:v>1199900</x:v>
      </x:c>
      <x:c r="E146" s="23" t="n">
        <x:f>'条件別集計'!AG7</x:f>
        <x:v>0.38919909992499374</x:v>
      </x:c>
      <x:c r="F146" s="22" t="n">
        <x:f>'条件別集計'!AH7</x:f>
        <x:v>769900</x:v>
      </x:c>
      <x:c r="G146" s="23" t="n">
        <x:f>'条件別集計'!AI7</x:f>
        <x:v>0.6065722821145604</x:v>
      </x:c>
      <x:c r="H146" s="3" t="str">
        <x:v>20–100千km</x:v>
      </x:c>
      <x:c r="I146" s="3"/>
      <x:c r="J146" s="3"/>
      <x:c r="K146" s="3"/>
      <x:c r="L146" s="3"/>
      <x:c r="M146" s="3"/>
      <x:c r="N146" s="3"/>
      <x:c r="O146" s="3"/>
      <x:c r="P146" s="3"/>
      <x:c r="Q146" s="3"/>
      <x:c r="R146" s="3"/>
    </x:row>
    <x:row r="147" ht="22" customHeight="1">
      <x:c r="A147" s="3" t="str">
        <x:f>'条件別集計'!AA8</x:f>
        <x:v>Cross Safety｜20–100k</x:v>
      </x:c>
      <x:c r="B147" s="22" t="n">
        <x:f>'条件別集計'!AB8</x:f>
        <x:v>5</x:v>
      </x:c>
      <x:c r="C147" s="22" t="n">
        <x:f>'条件別集計'!AD8</x:f>
        <x:v>759000</x:v>
      </x:c>
      <x:c r="D147" s="22" t="n">
        <x:f>'条件別集計'!AF8</x:f>
        <x:v>1204000</x:v>
      </x:c>
      <x:c r="E147" s="23" t="n">
        <x:f>'条件別集計'!AG8</x:f>
        <x:v>0.6303986710963455</x:v>
      </x:c>
      <x:c r="F147" s="22" t="n">
        <x:f>'条件別集計'!AH8</x:f>
        <x:v>1204000</x:v>
      </x:c>
      <x:c r="G147" s="23" t="n">
        <x:f>'条件別集計'!AI8</x:f>
        <x:v>0.6303986710963455</x:v>
      </x:c>
      <x:c r="H147" s="3" t="str">
        <x:v>20–100千km</x:v>
      </x:c>
      <x:c r="I147" s="3"/>
      <x:c r="J147" s="3"/>
      <x:c r="K147" s="3"/>
      <x:c r="L147" s="3"/>
      <x:c r="M147" s="3"/>
      <x:c r="N147" s="3"/>
      <x:c r="O147" s="3"/>
      <x:c r="P147" s="3"/>
      <x:c r="Q147" s="3"/>
      <x:c r="R147" s="3"/>
    </x:row>
    <x:row r="148" ht="22" customHeight="1">
      <x:c r="A148" s="3" t="str">
        <x:f>'条件別集計'!AA9</x:f>
        <x:v>ATTO 3 Ext｜50–100k</x:v>
      </x:c>
      <x:c r="B148" s="22" t="n">
        <x:f>'条件別集計'!AB9</x:f>
        <x:v>5</x:v>
      </x:c>
      <x:c r="C148" s="22" t="n">
        <x:f>'条件別集計'!AD9</x:f>
        <x:v>463000</x:v>
      </x:c>
      <x:c r="D148" s="22" t="n">
        <x:f>'条件別集計'!AF9</x:f>
        <x:v>1199900</x:v>
      </x:c>
      <x:c r="E148" s="23" t="n">
        <x:f>'条件別集計'!AG9</x:f>
        <x:v>0.38586548879073257</x:v>
      </x:c>
      <x:c r="F148" s="22" t="n">
        <x:f>'条件別集計'!AH9</x:f>
        <x:v>769900</x:v>
      </x:c>
      <x:c r="G148" s="23" t="n">
        <x:f>'条件別集計'!AI9</x:f>
        <x:v>0.6013768021821015</x:v>
      </x:c>
      <x:c r="H148" s="3" t="str">
        <x:v>50–100千km</x:v>
      </x:c>
      <x:c r="I148" s="3"/>
      <x:c r="J148" s="3"/>
      <x:c r="K148" s="3"/>
      <x:c r="L148" s="3"/>
      <x:c r="M148" s="3"/>
      <x:c r="N148" s="3"/>
      <x:c r="O148" s="3"/>
      <x:c r="P148" s="3"/>
      <x:c r="Q148" s="3"/>
      <x:c r="R148" s="3"/>
    </x:row>
    <x:row r="149" ht="22" customHeight="1">
      <x:c r="A149" s="3" t="str">
        <x:f>'条件別集計'!AA10</x:f>
        <x:v>Cross Safety｜50–100k</x:v>
      </x:c>
      <x:c r="B149" s="22" t="n">
        <x:f>'条件別集計'!AB10</x:f>
        <x:v>4</x:v>
      </x:c>
      <x:c r="C149" s="22" t="n">
        <x:f>'条件別集計'!AD10</x:f>
        <x:v>768500</x:v>
      </x:c>
      <x:c r="D149" s="22" t="n">
        <x:f>'条件別集計'!AF10</x:f>
        <x:v>1204000</x:v>
      </x:c>
      <x:c r="E149" s="23" t="n">
        <x:f>'条件別集計'!AG10</x:f>
        <x:v>0.6382890365448505</x:v>
      </x:c>
      <x:c r="F149" s="22" t="n">
        <x:f>'条件別集計'!AH10</x:f>
        <x:v>1204000</x:v>
      </x:c>
      <x:c r="G149" s="23" t="n">
        <x:f>'条件別集計'!AI10</x:f>
        <x:v>0.6382890365448505</x:v>
      </x:c>
      <x:c r="H149" s="3" t="str">
        <x:v>50–100千km</x:v>
      </x:c>
      <x:c r="I149" s="3"/>
      <x:c r="J149" s="3"/>
      <x:c r="K149" s="3"/>
      <x:c r="L149" s="3"/>
      <x:c r="M149" s="3"/>
      <x:c r="N149" s="3"/>
      <x:c r="O149" s="3"/>
      <x:c r="P149" s="3"/>
      <x:c r="Q149" s="3"/>
      <x:c r="R149" s="3"/>
    </x:row>
    <x:row r="150" ht="22" customHeight="1">
      <x:c r="A150" s="3" t="str">
        <x:f>'条件別集計'!AA11</x:f>
        <x:v>ATTO 3 Ext｜20–50k</x:v>
      </x:c>
      <x:c r="B150" s="22" t="n">
        <x:f>'条件別集計'!AB11</x:f>
        <x:v>2</x:v>
      </x:c>
      <x:c r="C150" s="22" t="n">
        <x:f>'条件別集計'!AD11</x:f>
        <x:v>485000</x:v>
      </x:c>
      <x:c r="D150" s="22" t="n">
        <x:f>'条件別集計'!AF11</x:f>
        <x:v>1199900</x:v>
      </x:c>
      <x:c r="E150" s="23" t="n">
        <x:f>'条件別集計'!AG11</x:f>
        <x:v>0.4042003500291691</x:v>
      </x:c>
      <x:c r="F150" s="22" t="n">
        <x:f>'条件別集計'!AH11</x:f>
        <x:v>769900</x:v>
      </x:c>
      <x:c r="G150" s="23" t="n">
        <x:f>'条件別集計'!AI11</x:f>
        <x:v>0.6299519418106247</x:v>
      </x:c>
      <x:c r="H150" s="3" t="str">
        <x:v>20–50千km</x:v>
      </x:c>
      <x:c r="I150" s="3"/>
      <x:c r="J150" s="3"/>
      <x:c r="K150" s="3"/>
      <x:c r="L150" s="3"/>
      <x:c r="M150" s="3"/>
      <x:c r="N150" s="3"/>
      <x:c r="O150" s="3"/>
      <x:c r="P150" s="3"/>
      <x:c r="Q150" s="3"/>
      <x:c r="R150" s="3"/>
    </x:row>
    <x:row r="151" ht="22" customHeight="1">
      <x:c r="A151" s="3" t="str">
        <x:f>'条件別集計'!AA12</x:f>
        <x:v>Cross Safety｜20–50k</x:v>
      </x:c>
      <x:c r="B151" s="22" t="n">
        <x:f>'条件別集計'!AB12</x:f>
        <x:v>1</x:v>
      </x:c>
      <x:c r="C151" s="22" t="n">
        <x:f>'条件別集計'!AD12</x:f>
        <x:v>759000</x:v>
      </x:c>
      <x:c r="D151" s="22" t="n">
        <x:f>'条件別集計'!AF12</x:f>
        <x:v>1204000</x:v>
      </x:c>
      <x:c r="E151" s="23" t="n">
        <x:f>'条件別集計'!AG12</x:f>
        <x:v>0.6303986710963455</x:v>
      </x:c>
      <x:c r="F151" s="22" t="n">
        <x:f>'条件別集計'!AH12</x:f>
        <x:v>1204000</x:v>
      </x:c>
      <x:c r="G151" s="23" t="n">
        <x:f>'条件別集計'!AI12</x:f>
        <x:v>0.6303986710963455</x:v>
      </x:c>
      <x:c r="H151" s="3" t="str">
        <x:v>20–50千km</x:v>
      </x:c>
      <x:c r="I151" s="3"/>
      <x:c r="J151" s="3"/>
      <x:c r="K151" s="3"/>
      <x:c r="L151" s="3"/>
      <x:c r="M151" s="3"/>
      <x:c r="N151" s="3"/>
      <x:c r="O151" s="3"/>
      <x:c r="P151" s="3"/>
      <x:c r="Q151" s="3"/>
      <x:c r="R151" s="3"/>
    </x:row>
    <x:row r="152" ht="22" customHeight="1">
      <x:c r="A152" s="3"/>
      <x:c r="B152" s="3"/>
      <x:c r="C152" s="3"/>
      <x:c r="D152" s="3"/>
      <x:c r="E152" s="3"/>
      <x:c r="F152" s="3"/>
      <x:c r="G152" s="3"/>
      <x:c r="H152" s="3"/>
      <x:c r="I152" s="3"/>
      <x:c r="J152" s="3"/>
      <x:c r="K152" s="3"/>
      <x:c r="L152" s="3"/>
      <x:c r="M152" s="3"/>
      <x:c r="N152" s="3"/>
      <x:c r="O152" s="3"/>
      <x:c r="P152" s="3"/>
      <x:c r="Q152" s="3"/>
      <x:c r="R152" s="3"/>
    </x:row>
    <x:row r="153" ht="22" customHeight="1">
      <x:c r="A153" s="3"/>
      <x:c r="B153" s="3"/>
      <x:c r="C153" s="3"/>
      <x:c r="D153" s="3"/>
      <x:c r="E153" s="3"/>
      <x:c r="F153" s="3"/>
      <x:c r="G153" s="3"/>
      <x:c r="H153" s="3"/>
      <x:c r="I153" s="3"/>
      <x:c r="J153" s="3"/>
      <x:c r="K153" s="3"/>
      <x:c r="L153" s="3"/>
      <x:c r="M153" s="3"/>
      <x:c r="N153" s="3"/>
      <x:c r="O153" s="3"/>
      <x:c r="P153" s="3"/>
      <x:c r="Q153" s="3"/>
      <x:c r="R153" s="3"/>
    </x:row>
    <x:row r="154" ht="22" customHeight="1">
      <x:c r="A154" s="3"/>
      <x:c r="B154" s="3"/>
      <x:c r="C154" s="3"/>
      <x:c r="D154" s="3"/>
      <x:c r="E154" s="3"/>
      <x:c r="F154" s="3"/>
      <x:c r="G154" s="3"/>
      <x:c r="H154" s="3"/>
      <x:c r="I154" s="3"/>
      <x:c r="J154" s="3"/>
      <x:c r="K154" s="3"/>
      <x:c r="L154" s="3"/>
      <x:c r="M154" s="3"/>
      <x:c r="N154" s="3"/>
      <x:c r="O154" s="3"/>
      <x:c r="P154" s="3"/>
      <x:c r="Q154" s="3"/>
      <x:c r="R154" s="3"/>
    </x:row>
    <x:row r="155" ht="22" customHeight="1">
      <x:c r="A155" s="3" t="str">
        <x:v>仮説：新車の値引きが代替新車の価格を下げ、旧車の中古価格にも下押し圧力を与える。</x:v>
      </x:c>
      <x:c r="B155" s="3"/>
      <x:c r="C155" s="3"/>
      <x:c r="D155" s="3"/>
      <x:c r="E155" s="3"/>
      <x:c r="F155" s="3"/>
      <x:c r="G155" s="3"/>
      <x:c r="H155" s="3"/>
      <x:c r="I155" s="3"/>
      <x:c r="J155" s="3"/>
      <x:c r="K155" s="3"/>
      <x:c r="L155" s="3"/>
      <x:c r="M155" s="3"/>
      <x:c r="N155" s="3"/>
      <x:c r="O155" s="3"/>
      <x:c r="P155" s="3"/>
      <x:c r="Q155" s="3"/>
      <x:c r="R155" s="3"/>
    </x:row>
    <x:row r="156" ht="22" customHeight="1">
      <x:c r="A156" s="3" t="str">
        <x:v>検証上の限界：年式、実走行、仕様・電池SOH、保証の移転条件、税/手数料を完全にそろえられていない。</x:v>
      </x:c>
      <x:c r="B156" s="3"/>
      <x:c r="C156" s="3"/>
      <x:c r="D156" s="3"/>
      <x:c r="E156" s="3"/>
      <x:c r="F156" s="3"/>
      <x:c r="G156" s="3"/>
      <x:c r="H156" s="3"/>
      <x:c r="I156" s="3"/>
      <x:c r="J156" s="3"/>
      <x:c r="K156" s="3"/>
      <x:c r="L156" s="3"/>
      <x:c r="M156" s="3"/>
      <x:c r="N156" s="3"/>
      <x:c r="O156" s="3"/>
      <x:c r="P156" s="3"/>
      <x:c r="Q156" s="3"/>
      <x:c r="R156" s="3"/>
    </x:row>
    <x:row r="157" ht="22" customHeight="1">
      <x:c r="A157" s="3" t="str">
        <x:v>より厳密な検証には、同じ車両/グレードの価格を継続観測し、特価前後の固定条件の分布と成約数を比較する。</x:v>
      </x:c>
      <x:c r="B157" s="3"/>
      <x:c r="C157" s="3"/>
      <x:c r="D157" s="3"/>
      <x:c r="E157" s="3"/>
      <x:c r="F157" s="3"/>
      <x:c r="G157" s="3"/>
      <x:c r="H157" s="3"/>
      <x:c r="I157" s="3"/>
      <x:c r="J157" s="3"/>
      <x:c r="K157" s="3"/>
      <x:c r="L157" s="3"/>
      <x:c r="M157" s="3"/>
      <x:c r="N157" s="3"/>
      <x:c r="O157" s="3"/>
      <x:c r="P157" s="3"/>
      <x:c r="Q157" s="3"/>
      <x:c r="R157" s="3"/>
    </x:row>
    <x:row r="158" ht="22" customHeight="1">
      <x:c r="A158" s="3"/>
      <x:c r="B158" s="3"/>
      <x:c r="C158" s="3"/>
      <x:c r="D158" s="3"/>
      <x:c r="E158" s="3"/>
      <x:c r="F158" s="3"/>
      <x:c r="G158" s="3"/>
      <x:c r="H158" s="3"/>
      <x:c r="I158" s="3"/>
      <x:c r="J158" s="3"/>
      <x:c r="K158" s="3"/>
      <x:c r="L158" s="3"/>
      <x:c r="M158" s="3"/>
      <x:c r="N158" s="3"/>
      <x:c r="O158" s="3"/>
      <x:c r="P158" s="3"/>
      <x:c r="Q158" s="3"/>
      <x:c r="R158" s="3"/>
    </x:row>
    <x:row r="159" ht="22" customHeight="1">
      <x:c r="A159" s="3"/>
      <x:c r="B159" s="3"/>
      <x:c r="C159" s="3"/>
      <x:c r="D159" s="3"/>
      <x:c r="E159" s="3"/>
      <x:c r="F159" s="3"/>
      <x:c r="G159" s="3"/>
      <x:c r="H159" s="3"/>
      <x:c r="I159" s="3"/>
      <x:c r="J159" s="3"/>
      <x:c r="K159" s="3"/>
      <x:c r="L159" s="3"/>
      <x:c r="M159" s="3"/>
      <x:c r="N159" s="3"/>
      <x:c r="O159" s="3"/>
      <x:c r="P159" s="3"/>
      <x:c r="Q159" s="3"/>
      <x:c r="R159" s="3"/>
    </x:row>
    <x:row r="160" ht="22" customHeight="1">
      <x:c r="A160" s="3" t="str">
        <x:v>掲載地域の偏り：One2carの取得標本。年式・走行・仕様の構成差を含むため、地域だけの価格効果ではありません。</x:v>
      </x:c>
      <x:c r="B160" s="3"/>
      <x:c r="C160" s="3"/>
      <x:c r="D160" s="3"/>
      <x:c r="E160" s="3"/>
      <x:c r="F160" s="3"/>
      <x:c r="G160" s="3"/>
      <x:c r="H160" s="3"/>
      <x:c r="I160" s="3"/>
      <x:c r="J160" s="3"/>
      <x:c r="K160" s="3"/>
      <x:c r="L160" s="3"/>
      <x:c r="M160" s="3"/>
      <x:c r="N160" s="3"/>
      <x:c r="O160" s="3"/>
      <x:c r="P160" s="3"/>
      <x:c r="Q160" s="3"/>
      <x:c r="R160" s="3"/>
    </x:row>
    <x:row r="161" ht="22" customHeight="1">
      <x:c r="A161" s="3"/>
      <x:c r="B161" s="3"/>
      <x:c r="C161" s="3"/>
      <x:c r="D161" s="3"/>
      <x:c r="E161" s="3"/>
      <x:c r="F161" s="3"/>
      <x:c r="G161" s="3"/>
      <x:c r="H161" s="3"/>
      <x:c r="I161" s="3"/>
      <x:c r="J161" s="3"/>
      <x:c r="K161" s="3"/>
      <x:c r="L161" s="3"/>
      <x:c r="M161" s="3"/>
      <x:c r="N161" s="3"/>
      <x:c r="O161" s="3"/>
      <x:c r="P161" s="3"/>
      <x:c r="Q161" s="3"/>
      <x:c r="R161" s="3"/>
    </x:row>
    <x:row r="162" ht="22" customHeight="1">
      <x:c r="A162" s="3"/>
      <x:c r="B162" s="3"/>
      <x:c r="C162" s="3"/>
      <x:c r="D162" s="3"/>
      <x:c r="E162" s="3"/>
      <x:c r="F162" s="3"/>
      <x:c r="G162" s="3"/>
      <x:c r="H162" s="3"/>
      <x:c r="I162" s="3"/>
      <x:c r="J162" s="3"/>
      <x:c r="K162" s="3"/>
      <x:c r="L162" s="3"/>
      <x:c r="M162" s="3"/>
      <x:c r="N162" s="3"/>
      <x:c r="O162" s="3"/>
      <x:c r="P162" s="3"/>
      <x:c r="Q162" s="3"/>
      <x:c r="R162" s="3"/>
    </x:row>
    <x:row r="163" ht="30" customHeight="1">
      <x:c r="A163" s="3"/>
      <x:c r="B163" s="3"/>
      <x:c r="C163" s="3"/>
      <x:c r="D163" s="3"/>
      <x:c r="E163" s="3"/>
      <x:c r="F163" s="3"/>
      <x:c r="G163" s="3"/>
      <x:c r="H163" s="3"/>
      <x:c r="I163" s="3"/>
      <x:c r="J163" s="16" t="str">
        <x:v>One2car標本</x:v>
      </x:c>
      <x:c r="K163" s="21" t="str">
        <x:v>都市圏N</x:v>
      </x:c>
      <x:c r="L163" s="21" t="str">
        <x:v>都市圏THB</x:v>
      </x:c>
      <x:c r="M163" s="21" t="str">
        <x:v>他県N</x:v>
      </x:c>
      <x:c r="N163" s="21" t="str">
        <x:v>他県THB</x:v>
      </x:c>
      <x:c r="O163" s="17" t="str">
        <x:v>注意</x:v>
      </x:c>
      <x:c r="P163" s="3"/>
      <x:c r="Q163" s="3"/>
      <x:c r="R163" s="3"/>
    </x:row>
    <x:row r="164" ht="22" customHeight="1">
      <x:c r="A164" s="3"/>
      <x:c r="B164" s="3"/>
      <x:c r="C164" s="3"/>
      <x:c r="D164" s="3"/>
      <x:c r="E164" s="3"/>
      <x:c r="F164" s="3"/>
      <x:c r="G164" s="3"/>
      <x:c r="H164" s="3"/>
      <x:c r="I164" s="3"/>
      <x:c r="J164" s="3" t="str">
        <x:f>'条件別集計'!AA116</x:f>
        <x:v>ATTO 3 BEV</x:v>
      </x:c>
      <x:c r="K164" s="22" t="n">
        <x:f>'条件別集計'!AB116</x:f>
        <x:v>15</x:v>
      </x:c>
      <x:c r="L164" s="22" t="n">
        <x:f>IF('条件別集計'!AB116&gt;0,'条件別集計'!AD116,"")</x:f>
        <x:v>469000</x:v>
      </x:c>
      <x:c r="M164" s="22" t="n">
        <x:f>'条件別集計'!AC116</x:f>
        <x:v>0</x:v>
      </x:c>
      <x:c r="N164" s="22" t="str">
        <x:f>IF('条件別集計'!AC116&gt;0,'条件別集計'!AE116,"")</x:f>
      </x:c>
      <x:c r="O164" s="3" t="str">
        <x:v>条件未調整</x:v>
      </x:c>
      <x:c r="P164" s="3"/>
      <x:c r="Q164" s="3"/>
      <x:c r="R164" s="3"/>
    </x:row>
    <x:row r="165" ht="22" customHeight="1">
      <x:c r="A165" s="3"/>
      <x:c r="B165" s="3"/>
      <x:c r="C165" s="3"/>
      <x:c r="D165" s="3"/>
      <x:c r="E165" s="3"/>
      <x:c r="F165" s="3"/>
      <x:c r="G165" s="3"/>
      <x:c r="H165" s="3"/>
      <x:c r="I165" s="3"/>
      <x:c r="J165" s="3" t="str">
        <x:f>'条件別集計'!AA117</x:f>
        <x:v>DOLPHIN BEV</x:v>
      </x:c>
      <x:c r="K165" s="22" t="n">
        <x:f>'条件別集計'!AB117</x:f>
        <x:v>13</x:v>
      </x:c>
      <x:c r="L165" s="22" t="n">
        <x:f>IF('条件別集計'!AB117&gt;0,'条件別集計'!AD117,"")</x:f>
        <x:v>369000</x:v>
      </x:c>
      <x:c r="M165" s="22" t="n">
        <x:f>'条件別集計'!AC117</x:f>
        <x:v>2</x:v>
      </x:c>
      <x:c r="N165" s="22" t="n">
        <x:f>IF('条件別集計'!AC117&gt;0,'条件別集計'!AE117,"")</x:f>
        <x:v>304000</x:v>
      </x:c>
      <x:c r="O165" s="3" t="str">
        <x:v>条件未調整</x:v>
      </x:c>
      <x:c r="P165" s="3"/>
      <x:c r="Q165" s="3"/>
      <x:c r="R165" s="3"/>
    </x:row>
    <x:row r="166" ht="22" customHeight="1">
      <x:c r="A166" s="3"/>
      <x:c r="B166" s="3"/>
      <x:c r="C166" s="3"/>
      <x:c r="D166" s="3"/>
      <x:c r="E166" s="3"/>
      <x:c r="F166" s="3"/>
      <x:c r="G166" s="3"/>
      <x:c r="H166" s="3"/>
      <x:c r="I166" s="3"/>
      <x:c r="J166" s="3" t="str">
        <x:f>'条件別集計'!AA118</x:f>
        <x:v>Corolla Cross HEV</x:v>
      </x:c>
      <x:c r="K166" s="22" t="n">
        <x:f>'条件別集計'!AB118</x:f>
        <x:v>40</x:v>
      </x:c>
      <x:c r="L166" s="22" t="n">
        <x:f>IF('条件別集計'!AB118&gt;0,'条件別集計'!AD118,"")</x:f>
        <x:v>739000</x:v>
      </x:c>
      <x:c r="M166" s="22" t="n">
        <x:f>'条件別集計'!AC118</x:f>
        <x:v>3</x:v>
      </x:c>
      <x:c r="N166" s="22" t="n">
        <x:f>IF('条件別集計'!AC118&gt;0,'条件別集計'!AE118,"")</x:f>
        <x:v>749000</x:v>
      </x:c>
      <x:c r="O166" s="3" t="str">
        <x:v>条件未調整</x:v>
      </x:c>
      <x:c r="P166" s="3"/>
      <x:c r="Q166" s="3"/>
      <x:c r="R166" s="3"/>
    </x:row>
    <x:row r="167" ht="22" customHeight="1">
      <x:c r="A167" s="3"/>
      <x:c r="B167" s="3"/>
      <x:c r="C167" s="3"/>
      <x:c r="D167" s="3"/>
      <x:c r="E167" s="3"/>
      <x:c r="F167" s="3"/>
      <x:c r="G167" s="3"/>
      <x:c r="H167" s="3"/>
      <x:c r="I167" s="3"/>
      <x:c r="J167" s="3" t="str">
        <x:f>'条件別集計'!AA119</x:f>
        <x:v>Hilux Revo ICE</x:v>
      </x:c>
      <x:c r="K167" s="22" t="n">
        <x:f>'条件別集計'!AB119</x:f>
        <x:v>28</x:v>
      </x:c>
      <x:c r="L167" s="22" t="n">
        <x:f>IF('条件別集計'!AB119&gt;0,'条件別集計'!AD119,"")</x:f>
        <x:v>499000</x:v>
      </x:c>
      <x:c r="M167" s="22" t="n">
        <x:f>'条件別集計'!AC119</x:f>
        <x:v>8</x:v>
      </x:c>
      <x:c r="N167" s="22" t="n">
        <x:f>IF('条件別集計'!AC119&gt;0,'条件別集計'!AE119,"")</x:f>
        <x:v>559000</x:v>
      </x:c>
      <x:c r="O167" s="3" t="str">
        <x:v>条件未調整</x:v>
      </x:c>
      <x:c r="P167" s="3"/>
      <x:c r="Q167" s="3"/>
      <x:c r="R167" s="3"/>
    </x:row>
    <x:row r="168" ht="22" customHeight="1">
      <x:c r="A168" s="3"/>
      <x:c r="B168" s="3"/>
      <x:c r="C168" s="3"/>
      <x:c r="D168" s="3"/>
      <x:c r="E168" s="3"/>
      <x:c r="F168" s="3"/>
      <x:c r="G168" s="3"/>
      <x:c r="H168" s="3"/>
      <x:c r="I168" s="3"/>
      <x:c r="J168" s="3"/>
      <x:c r="K168" s="3"/>
      <x:c r="L168" s="3"/>
      <x:c r="M168" s="3"/>
      <x:c r="N168" s="3"/>
      <x:c r="O168" s="3"/>
      <x:c r="P168" s="3"/>
      <x:c r="Q168" s="3"/>
      <x:c r="R168" s="3"/>
    </x:row>
    <x:row r="169" ht="22" customHeight="1">
      <x:c r="A169" s="3"/>
      <x:c r="B169" s="3"/>
      <x:c r="C169" s="3"/>
      <x:c r="D169" s="3"/>
      <x:c r="E169" s="3"/>
      <x:c r="F169" s="3"/>
      <x:c r="G169" s="3"/>
      <x:c r="H169" s="3"/>
      <x:c r="I169" s="3"/>
      <x:c r="J169" s="3"/>
      <x:c r="K169" s="3"/>
      <x:c r="L169" s="3"/>
      <x:c r="M169" s="3"/>
      <x:c r="N169" s="3"/>
      <x:c r="O169" s="3"/>
      <x:c r="P169" s="3"/>
      <x:c r="Q169" s="3"/>
      <x:c r="R169" s="3"/>
    </x:row>
    <x:row r="170" ht="22" customHeight="1">
      <x:c r="A170" s="3"/>
      <x:c r="B170" s="3"/>
      <x:c r="C170" s="3"/>
      <x:c r="D170" s="3"/>
      <x:c r="E170" s="3"/>
      <x:c r="F170" s="3"/>
      <x:c r="G170" s="3"/>
      <x:c r="H170" s="3"/>
      <x:c r="I170" s="3"/>
      <x:c r="J170" s="3" t="str">
        <x:v>都市圏＝Bangkok Metropolitan Regionの6県。</x:v>
      </x:c>
      <x:c r="K170" s="3"/>
      <x:c r="L170" s="3"/>
      <x:c r="M170" s="3"/>
      <x:c r="N170" s="3"/>
      <x:c r="O170" s="3"/>
      <x:c r="P170" s="3"/>
      <x:c r="Q170" s="3"/>
      <x:c r="R170" s="3"/>
    </x:row>
    <x:row r="171" ht="22" customHeight="1">
      <x:c r="A171" s="3"/>
      <x:c r="B171" s="3"/>
      <x:c r="C171" s="3"/>
      <x:c r="D171" s="3"/>
      <x:c r="E171" s="3"/>
      <x:c r="F171" s="3"/>
      <x:c r="G171" s="3"/>
      <x:c r="H171" s="3"/>
      <x:c r="I171" s="3"/>
      <x:c r="J171" s="3" t="str">
        <x:v>Taladrodは多くの県・走行情報が一覧にない。</x:v>
      </x:c>
      <x:c r="K171" s="3"/>
      <x:c r="L171" s="3"/>
      <x:c r="M171" s="3"/>
      <x:c r="N171" s="3"/>
      <x:c r="O171" s="3"/>
      <x:c r="P171" s="3"/>
      <x:c r="Q171" s="3"/>
      <x:c r="R171" s="3"/>
    </x:row>
    <x:row r="172" ht="22" customHeight="1">
      <x:c r="A172" s="3"/>
      <x:c r="B172" s="3"/>
      <x:c r="C172" s="3"/>
      <x:c r="D172" s="3"/>
      <x:c r="E172" s="3"/>
      <x:c r="F172" s="3"/>
      <x:c r="G172" s="3"/>
      <x:c r="H172" s="3"/>
      <x:c r="I172" s="3"/>
      <x:c r="J172" s="3" t="str">
        <x:v>県不明を都市圏へ補完していません。</x:v>
      </x:c>
      <x:c r="K172" s="3"/>
      <x:c r="L172" s="3"/>
      <x:c r="M172" s="3"/>
      <x:c r="N172" s="3"/>
      <x:c r="O172" s="3"/>
      <x:c r="P172" s="3"/>
      <x:c r="Q172" s="3"/>
      <x:c r="R172" s="3"/>
    </x:row>
    <x:row r="173" ht="22" customHeight="1">
      <x:c r="A173" s="3"/>
      <x:c r="B173" s="3"/>
      <x:c r="C173" s="3"/>
      <x:c r="D173" s="3"/>
      <x:c r="E173" s="3"/>
      <x:c r="F173" s="3"/>
      <x:c r="G173" s="3"/>
      <x:c r="H173" s="3"/>
      <x:c r="I173" s="3"/>
      <x:c r="J173" s="3"/>
      <x:c r="K173" s="3"/>
      <x:c r="L173" s="3"/>
      <x:c r="M173" s="3"/>
      <x:c r="N173" s="3"/>
      <x:c r="O173" s="3"/>
      <x:c r="P173" s="3"/>
      <x:c r="Q173" s="3"/>
      <x:c r="R173" s="3"/>
    </x:row>
    <x:row r="174" ht="22" customHeight="1">
      <x:c r="A174" s="3"/>
      <x:c r="B174" s="3"/>
      <x:c r="C174" s="3"/>
      <x:c r="D174" s="3"/>
      <x:c r="E174" s="3"/>
      <x:c r="F174" s="3"/>
      <x:c r="G174" s="3"/>
      <x:c r="H174" s="3"/>
      <x:c r="I174" s="3"/>
      <x:c r="J174" s="3"/>
      <x:c r="K174" s="3"/>
      <x:c r="L174" s="3"/>
      <x:c r="M174" s="3"/>
      <x:c r="N174" s="3"/>
      <x:c r="O174" s="3"/>
      <x:c r="P174" s="3"/>
      <x:c r="Q174" s="3"/>
      <x:c r="R174" s="3"/>
    </x:row>
    <x:row r="175" ht="22" customHeight="1">
      <x:c r="A175" s="3"/>
      <x:c r="B175" s="3"/>
      <x:c r="C175" s="3"/>
      <x:c r="D175" s="3"/>
      <x:c r="E175" s="3"/>
      <x:c r="F175" s="3"/>
      <x:c r="G175" s="3"/>
      <x:c r="H175" s="3"/>
      <x:c r="I175" s="3"/>
      <x:c r="J175" s="3"/>
      <x:c r="K175" s="3"/>
      <x:c r="L175" s="3"/>
      <x:c r="M175" s="3"/>
      <x:c r="N175" s="3"/>
      <x:c r="O175" s="3"/>
      <x:c r="P175" s="3"/>
      <x:c r="Q175" s="3"/>
      <x:c r="R175" s="3"/>
    </x:row>
    <x:row r="176" ht="22" customHeight="1">
      <x:c r="A176" s="3"/>
      <x:c r="B176" s="3"/>
      <x:c r="C176" s="3"/>
      <x:c r="D176" s="3"/>
      <x:c r="E176" s="3"/>
      <x:c r="F176" s="3"/>
      <x:c r="G176" s="3"/>
      <x:c r="H176" s="3"/>
      <x:c r="I176" s="3"/>
      <x:c r="J176" s="3"/>
      <x:c r="K176" s="3"/>
      <x:c r="L176" s="3"/>
      <x:c r="M176" s="3"/>
      <x:c r="N176" s="3"/>
      <x:c r="O176" s="3"/>
      <x:c r="P176" s="3"/>
      <x:c r="Q176" s="3"/>
      <x:c r="R176" s="3"/>
    </x:row>
    <x:row r="177" ht="22" customHeight="1">
      <x:c r="A177" s="3"/>
      <x:c r="B177" s="3"/>
      <x:c r="C177" s="3"/>
      <x:c r="D177" s="3"/>
      <x:c r="E177" s="3"/>
      <x:c r="F177" s="3"/>
      <x:c r="G177" s="3"/>
      <x:c r="H177" s="3"/>
      <x:c r="I177" s="3"/>
      <x:c r="J177" s="3"/>
      <x:c r="K177" s="3"/>
      <x:c r="L177" s="3"/>
      <x:c r="M177" s="3"/>
      <x:c r="N177" s="3"/>
      <x:c r="O177" s="3"/>
      <x:c r="P177" s="3"/>
      <x:c r="Q177" s="3"/>
      <x:c r="R177" s="3"/>
    </x:row>
    <x:row r="178" ht="22" customHeight="1">
      <x:c r="A178" s="3"/>
      <x:c r="B178" s="3"/>
      <x:c r="C178" s="3"/>
      <x:c r="D178" s="3"/>
      <x:c r="E178" s="3"/>
      <x:c r="F178" s="3"/>
      <x:c r="G178" s="3"/>
      <x:c r="H178" s="3"/>
      <x:c r="I178" s="3"/>
      <x:c r="J178" s="3"/>
      <x:c r="K178" s="3"/>
      <x:c r="L178" s="3"/>
      <x:c r="M178" s="3"/>
      <x:c r="N178" s="3"/>
      <x:c r="O178" s="3"/>
      <x:c r="P178" s="3"/>
      <x:c r="Q178" s="3"/>
      <x:c r="R178" s="3"/>
    </x:row>
    <x:row r="179" ht="22" customHeight="1">
      <x:c r="A179" s="3"/>
      <x:c r="B179" s="3"/>
      <x:c r="C179" s="3"/>
      <x:c r="D179" s="3"/>
      <x:c r="E179" s="3"/>
      <x:c r="F179" s="3"/>
      <x:c r="G179" s="3"/>
      <x:c r="H179" s="3"/>
      <x:c r="I179" s="3"/>
      <x:c r="J179" s="3"/>
      <x:c r="K179" s="3"/>
      <x:c r="L179" s="3"/>
      <x:c r="M179" s="3"/>
      <x:c r="N179" s="3"/>
      <x:c r="O179" s="3"/>
      <x:c r="P179" s="3"/>
      <x:c r="Q179" s="3"/>
      <x:c r="R179" s="3"/>
    </x:row>
    <x:row r="180" ht="22" customHeight="1">
      <x:c r="A180" s="3"/>
      <x:c r="B180" s="3"/>
      <x:c r="C180" s="3"/>
      <x:c r="D180" s="3"/>
      <x:c r="E180" s="3"/>
      <x:c r="F180" s="3"/>
      <x:c r="G180" s="3"/>
      <x:c r="H180" s="3"/>
      <x:c r="I180" s="3"/>
      <x:c r="J180" s="3"/>
      <x:c r="K180" s="3"/>
      <x:c r="L180" s="3"/>
      <x:c r="M180" s="3"/>
      <x:c r="N180" s="3"/>
      <x:c r="O180" s="3"/>
      <x:c r="P180" s="3"/>
      <x:c r="Q180" s="3"/>
      <x:c r="R180" s="3"/>
    </x:row>
    <x:row r="181" ht="22" customHeight="1">
      <x:c r="A181" s="3"/>
      <x:c r="B181" s="3"/>
      <x:c r="C181" s="3"/>
      <x:c r="D181" s="3"/>
      <x:c r="E181" s="3"/>
      <x:c r="F181" s="3"/>
      <x:c r="G181" s="3"/>
      <x:c r="H181" s="3"/>
      <x:c r="I181" s="3"/>
      <x:c r="J181" s="3"/>
      <x:c r="K181" s="3"/>
      <x:c r="L181" s="3"/>
      <x:c r="M181" s="3"/>
      <x:c r="N181" s="3"/>
      <x:c r="O181" s="3"/>
      <x:c r="P181" s="3"/>
      <x:c r="Q181" s="3"/>
      <x:c r="R181" s="3"/>
    </x:row>
    <x:row r="182" ht="22" customHeight="1">
      <x:c r="A182" s="3"/>
      <x:c r="B182" s="3"/>
      <x:c r="C182" s="3"/>
      <x:c r="D182" s="3"/>
      <x:c r="E182" s="3"/>
      <x:c r="F182" s="3"/>
      <x:c r="G182" s="3"/>
      <x:c r="H182" s="3"/>
      <x:c r="I182" s="3"/>
      <x:c r="J182" s="3"/>
      <x:c r="K182" s="3"/>
      <x:c r="L182" s="3"/>
      <x:c r="M182" s="3"/>
      <x:c r="N182" s="3"/>
      <x:c r="O182" s="3"/>
      <x:c r="P182" s="3"/>
      <x:c r="Q182" s="3"/>
      <x:c r="R182" s="3"/>
    </x:row>
    <x:row r="183" ht="22" customHeight="1">
      <x:c r="A183" s="3"/>
      <x:c r="B183" s="3"/>
      <x:c r="C183" s="3"/>
      <x:c r="D183" s="3"/>
      <x:c r="E183" s="3"/>
      <x:c r="F183" s="3"/>
      <x:c r="G183" s="3"/>
      <x:c r="H183" s="3"/>
      <x:c r="I183" s="3"/>
      <x:c r="J183" s="3"/>
      <x:c r="K183" s="3"/>
      <x:c r="L183" s="3"/>
      <x:c r="M183" s="3"/>
      <x:c r="N183" s="3"/>
      <x:c r="O183" s="3"/>
      <x:c r="P183" s="3"/>
      <x:c r="Q183" s="3"/>
      <x:c r="R183" s="3"/>
    </x:row>
    <x:row r="184" ht="22" customHeight="1">
      <x:c r="A184" s="3"/>
      <x:c r="B184" s="3"/>
      <x:c r="C184" s="3"/>
      <x:c r="D184" s="3"/>
      <x:c r="E184" s="3"/>
      <x:c r="F184" s="3"/>
      <x:c r="G184" s="3"/>
      <x:c r="H184" s="3"/>
      <x:c r="I184" s="3"/>
      <x:c r="J184" s="3"/>
      <x:c r="K184" s="3"/>
      <x:c r="L184" s="3"/>
      <x:c r="M184" s="3"/>
      <x:c r="N184" s="3"/>
      <x:c r="O184" s="3"/>
      <x:c r="P184" s="3"/>
      <x:c r="Q184" s="3"/>
      <x:c r="R184" s="3"/>
    </x:row>
    <x:row r="185" ht="22" customHeight="1">
      <x:c r="A185" s="3"/>
      <x:c r="B185" s="3"/>
      <x:c r="C185" s="3"/>
      <x:c r="D185" s="3"/>
      <x:c r="E185" s="3"/>
      <x:c r="F185" s="3"/>
      <x:c r="G185" s="3"/>
      <x:c r="H185" s="3"/>
      <x:c r="I185" s="3"/>
      <x:c r="J185" s="3"/>
      <x:c r="K185" s="3"/>
      <x:c r="L185" s="3"/>
      <x:c r="M185" s="3"/>
      <x:c r="N185" s="3"/>
      <x:c r="O185" s="3"/>
      <x:c r="P185" s="3"/>
      <x:c r="Q185" s="3"/>
      <x:c r="R185" s="3"/>
    </x:row>
    <x:row r="186" ht="22" customHeight="1">
      <x:c r="A186" s="3"/>
      <x:c r="B186" s="3"/>
      <x:c r="C186" s="3"/>
      <x:c r="D186" s="3"/>
      <x:c r="E186" s="3"/>
      <x:c r="F186" s="3"/>
      <x:c r="G186" s="3"/>
      <x:c r="H186" s="3"/>
      <x:c r="I186" s="3"/>
      <x:c r="J186" s="3"/>
      <x:c r="K186" s="3"/>
      <x:c r="L186" s="3"/>
      <x:c r="M186" s="3"/>
      <x:c r="N186" s="3"/>
      <x:c r="O186" s="3"/>
      <x:c r="P186" s="3"/>
      <x:c r="Q186" s="3"/>
      <x:c r="R186" s="3"/>
    </x:row>
    <x:row r="187" ht="22" customHeight="1">
      <x:c r="A187" s="3"/>
      <x:c r="B187" s="3"/>
      <x:c r="C187" s="3"/>
      <x:c r="D187" s="3"/>
      <x:c r="E187" s="3"/>
      <x:c r="F187" s="3"/>
      <x:c r="G187" s="3"/>
      <x:c r="H187" s="3"/>
      <x:c r="I187" s="3"/>
      <x:c r="J187" s="3"/>
      <x:c r="K187" s="3"/>
      <x:c r="L187" s="3"/>
      <x:c r="M187" s="3"/>
      <x:c r="N187" s="3"/>
      <x:c r="O187" s="3"/>
      <x:c r="P187" s="3"/>
      <x:c r="Q187" s="3"/>
      <x:c r="R187" s="3"/>
    </x:row>
    <x:row r="188" ht="22" customHeight="1">
      <x:c r="A188" s="3"/>
      <x:c r="B188" s="3"/>
      <x:c r="C188" s="3"/>
      <x:c r="D188" s="3"/>
      <x:c r="E188" s="3"/>
      <x:c r="F188" s="3"/>
      <x:c r="G188" s="3"/>
      <x:c r="H188" s="3"/>
      <x:c r="I188" s="3"/>
      <x:c r="J188" s="3"/>
      <x:c r="K188" s="3"/>
      <x:c r="L188" s="3"/>
      <x:c r="M188" s="3"/>
      <x:c r="N188" s="3"/>
      <x:c r="O188" s="3"/>
      <x:c r="P188" s="3"/>
      <x:c r="Q188" s="3"/>
      <x:c r="R188" s="3"/>
    </x:row>
    <x:row r="189" ht="22" customHeight="1">
      <x:c r="A189" s="3"/>
      <x:c r="B189" s="3"/>
      <x:c r="C189" s="3"/>
      <x:c r="D189" s="3"/>
      <x:c r="E189" s="3"/>
      <x:c r="F189" s="3"/>
      <x:c r="G189" s="3"/>
      <x:c r="H189" s="3"/>
      <x:c r="I189" s="3"/>
      <x:c r="J189" s="3"/>
      <x:c r="K189" s="3"/>
      <x:c r="L189" s="3"/>
      <x:c r="M189" s="3"/>
      <x:c r="N189" s="3"/>
      <x:c r="O189" s="3"/>
      <x:c r="P189" s="3"/>
      <x:c r="Q189" s="3"/>
      <x:c r="R189" s="3"/>
    </x:row>
    <x:row r="190" ht="22" customHeight="1">
      <x:c r="A190" s="3"/>
      <x:c r="B190" s="3"/>
      <x:c r="C190" s="3"/>
      <x:c r="D190" s="3"/>
      <x:c r="E190" s="3"/>
      <x:c r="F190" s="3"/>
      <x:c r="G190" s="3"/>
      <x:c r="H190" s="3"/>
      <x:c r="I190" s="3"/>
      <x:c r="J190" s="3"/>
      <x:c r="K190" s="3"/>
      <x:c r="L190" s="3"/>
      <x:c r="M190" s="3"/>
      <x:c r="N190" s="3"/>
      <x:c r="O190" s="3"/>
      <x:c r="P190" s="3"/>
      <x:c r="Q190" s="3"/>
      <x:c r="R190" s="3"/>
    </x:row>
  </x:sheetData>
  <x:conditionalFormatting sqref="C8:C28">
    <x:cfRule type="cellIs" dxfId="2" priority="1" operator="lessThan">
      <x:formula>5</x:formula>
    </x:cfRule>
  </x:conditionalFormatting>
  <x:conditionalFormatting sqref="M164:M167">
    <x:cfRule type="cellIs" dxfId="3" priority="2" operator="lessThan">
      <x:formula>5</x:formula>
    </x:cfRule>
  </x:conditionalFormatting>
  <x:pageMargins left="0.7" right="0.7" top="0.75" bottom="0.75" header="0.3" footer="0.3"/>
  <x:drawing xmlns:r="http://schemas.openxmlformats.org/officeDocument/2006/relationships" r:id="Re43f615aa7cd4e40"/>
</x:worksheet>
</file>

<file path=xl/worksheets/sheet2.xml><?xml version="1.0" encoding="utf-8"?>
<x:worksheet xmlns:x="http://schemas.openxmlformats.org/spreadsheetml/2006/main">
  <x:sheetPr>
    <x:tabColor rgb="FF6C8CA4"/>
  </x:sheetPr>
  <x:sheetViews>
    <x:sheetView showGridLines="0" workbookViewId="0">
      <x:pane xSplit="3" ySplit="6" topLeftCell="D7" activePane="bottomRight" state="frozen"/>
    </x:sheetView>
  </x:sheetViews>
  <x:sheetFormatPr defaultRowHeight="15"/>
  <x:cols>
    <x:col min="1" max="1" width="22" hidden="0" customWidth="1"/>
    <x:col min="2" max="2" width="12" hidden="0" customWidth="1"/>
    <x:col min="3" max="3" width="12" hidden="0" customWidth="1"/>
    <x:col min="4" max="4" width="14" hidden="0" customWidth="1"/>
    <x:col min="5" max="5" width="14" hidden="0" customWidth="1"/>
    <x:col min="6" max="6" width="14" hidden="0" customWidth="1"/>
    <x:col min="7" max="7" width="35" hidden="0" customWidth="1"/>
    <x:col min="8" max="8" width="26" hidden="0" customWidth="1"/>
    <x:col min="9" max="9" width="19" hidden="0" customWidth="1"/>
    <x:col min="10" max="10" width="15" hidden="0" customWidth="1"/>
    <x:col min="11" max="11" width="15" hidden="0" customWidth="1"/>
    <x:col min="12" max="12" width="15" hidden="0" customWidth="1"/>
    <x:col min="13" max="13" width="15" hidden="0" customWidth="1"/>
    <x:col min="14" max="14" width="15" hidden="0" customWidth="1"/>
    <x:col min="15" max="15" width="15" hidden="0" customWidth="1"/>
    <x:col min="16" max="16" width="14" hidden="0" customWidth="1"/>
    <x:col min="17" max="17" width="14" hidden="0" customWidth="1"/>
    <x:col min="18" max="18" width="19" hidden="0" customWidth="1"/>
    <x:col min="19" max="19" width="24"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4" hidden="0" customWidth="1"/>
    <x:col min="27" max="27" width="34" hidden="0" customWidth="1"/>
    <x:col min="28" max="28" width="19" hidden="0" customWidth="1"/>
    <x:col min="29" max="29" width="19" hidden="0" customWidth="1"/>
    <x:col min="30" max="30" width="19" hidden="0" customWidth="1"/>
    <x:col min="31" max="31" width="19" hidden="0" customWidth="1"/>
    <x:col min="32" max="32" width="19" hidden="0" customWidth="1"/>
    <x:col min="33" max="33" width="19" hidden="0" customWidth="1"/>
    <x:col min="34" max="34" width="19" hidden="0" customWidth="1"/>
    <x:col min="35" max="35" width="19" hidden="0" customWidth="1"/>
    <x:col min="36" max="36" width="19" hidden="0" customWidth="1"/>
    <x:col min="37" max="37" width="19" hidden="0" customWidth="1"/>
    <x:col min="38" max="38" width="96" hidden="0" customWidth="1"/>
    <x:col min="39" max="39" width="14" hidden="0" customWidth="1"/>
    <x:col min="40" max="40" width="14" hidden="0" customWidth="1"/>
    <x:col min="41" max="41" width="14" hidden="0" customWidth="1"/>
    <x:col min="42" max="42" width="14" hidden="0" customWidth="1"/>
    <x:col min="43" max="43" width="14" hidden="0" customWidth="1"/>
    <x:col min="44" max="44" width="14" hidden="0" customWidth="1"/>
    <x:col min="45" max="45" width="14" hidden="0" customWidth="1"/>
    <x:col min="46" max="46" width="14" hidden="0" customWidth="1"/>
    <x:col min="47" max="47" width="14" hidden="0" customWidth="1"/>
    <x:col min="48" max="48" width="14" hidden="0" customWidth="1"/>
    <x:col min="49" max="49" width="14" hidden="0" customWidth="1"/>
    <x:col min="50" max="50" width="14" hidden="0" customWidth="1"/>
    <x:col min="51" max="51" width="14" hidden="0" customWidth="1"/>
    <x:col min="52" max="52" width="14" hidden="0" customWidth="1"/>
    <x:col min="53" max="53" width="14" hidden="0" customWidth="1"/>
    <x:col min="54" max="54" width="14" hidden="0" customWidth="1"/>
    <x:col min="55" max="55" width="14" hidden="0" customWidth="1"/>
    <x:col min="56" max="56" width="14" hidden="0" customWidth="1"/>
    <x:col min="57" max="57" width="14" hidden="0" customWidth="1"/>
    <x:col min="58" max="58" width="14" hidden="0" customWidth="1"/>
    <x:col min="59" max="59" width="14" hidden="0" customWidth="1"/>
    <x:col min="60" max="60" width="14" hidden="0" customWidth="1"/>
    <x:col min="61" max="61" width="56" hidden="0" customWidth="1"/>
    <x:col min="62" max="62" width="20" hidden="0" customWidth="1"/>
    <x:col min="63" max="63" width="20" hidden="0" customWidth="1"/>
    <x:col min="64" max="64" width="20" hidden="0" customWidth="1"/>
    <x:col min="65" max="65" width="20" hidden="0" customWidth="1"/>
    <x:col min="66" max="66" width="20" hidden="0" customWidth="1"/>
    <x:col min="67" max="67" width="20" hidden="0" customWidth="1"/>
    <x:col min="68" max="68" width="20" hidden="0" customWidth="1"/>
    <x:col min="69" max="69" width="14" hidden="0" customWidth="1"/>
    <x:col min="70" max="70" width="14" hidden="0" customWidth="1"/>
  </x:cols>
  <x:sheetData>
    <x:row r="1" ht="22"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3"/>
      <x:c r="BP1" s="3"/>
      <x:c r="BQ1" s="3"/>
      <x:c r="BR1" s="3"/>
    </x:row>
    <x:row r="2" ht="22" customHeight="1">
      <x:c r="A2" s="4" t="str">
        <x:v>条件別の価格分布・比較計算</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c r="AT2" s="3"/>
      <x:c r="AU2" s="3"/>
      <x:c r="AV2" s="3"/>
      <x:c r="AW2" s="3"/>
      <x:c r="AX2" s="3"/>
      <x:c r="AY2" s="3"/>
      <x:c r="AZ2" s="3"/>
      <x:c r="BA2" s="3"/>
      <x:c r="BB2" s="3"/>
      <x:c r="BC2" s="3"/>
      <x:c r="BD2" s="3"/>
      <x:c r="BE2" s="3"/>
      <x:c r="BF2" s="3"/>
      <x:c r="BG2" s="3"/>
      <x:c r="BH2" s="3"/>
      <x:c r="BI2" s="3"/>
      <x:c r="BJ2" s="3"/>
      <x:c r="BK2" s="3"/>
      <x:c r="BL2" s="3"/>
      <x:c r="BM2" s="3"/>
      <x:c r="BN2" s="3"/>
      <x:c r="BO2" s="3"/>
      <x:c r="BP2" s="3"/>
      <x:c r="BQ2" s="3"/>
      <x:c r="BR2" s="3"/>
    </x:row>
    <x:row r="3" ht="22" customHeight="1">
      <x:c r="A3" s="5"/>
      <x:c r="B3" s="5"/>
      <x:c r="C3" s="5"/>
      <x:c r="D3" s="5"/>
      <x:c r="E3" s="5"/>
      <x:c r="F3" s="5"/>
      <x:c r="G3" s="5"/>
      <x:c r="H3" s="5"/>
      <x:c r="I3" s="5"/>
      <x:c r="J3" s="5"/>
      <x:c r="K3" s="5"/>
      <x:c r="L3" s="5"/>
      <x:c r="M3" s="5"/>
      <x:c r="N3" s="5"/>
      <x:c r="O3" s="3"/>
      <x:c r="P3" s="3"/>
      <x:c r="Q3" s="3"/>
      <x:c r="R3" s="3"/>
      <x:c r="S3" s="3"/>
      <x:c r="T3" s="3"/>
      <x:c r="U3" s="3"/>
      <x:c r="V3" s="3"/>
      <x:c r="W3" s="3"/>
      <x:c r="X3" s="3"/>
      <x:c r="Y3" s="3"/>
      <x:c r="Z3" s="3"/>
      <x:c r="AA3" s="3"/>
      <x:c r="AB3" s="3"/>
      <x:c r="AC3" s="3"/>
      <x:c r="AD3" s="3"/>
      <x:c r="AE3" s="3"/>
      <x:c r="AF3" s="3"/>
      <x:c r="AG3" s="3"/>
      <x:c r="AH3" s="3"/>
      <x:c r="AI3" s="3"/>
      <x:c r="AJ3" s="3"/>
      <x:c r="AK3" s="3"/>
      <x:c r="AL3" s="3"/>
      <x:c r="AM3" s="3"/>
      <x:c r="AN3" s="3"/>
      <x:c r="AO3" s="3"/>
      <x:c r="AP3" s="3"/>
      <x:c r="AQ3" s="3"/>
      <x:c r="AR3" s="3"/>
      <x:c r="AS3" s="3"/>
      <x:c r="AT3" s="3"/>
      <x:c r="AU3" s="3"/>
      <x:c r="AV3" s="3"/>
      <x:c r="AW3" s="3"/>
      <x:c r="AX3" s="3"/>
      <x:c r="AY3" s="3"/>
      <x:c r="AZ3" s="3"/>
      <x:c r="BA3" s="3"/>
      <x:c r="BB3" s="3"/>
      <x:c r="BC3" s="3"/>
      <x:c r="BD3" s="3"/>
      <x:c r="BE3" s="3"/>
      <x:c r="BF3" s="3"/>
      <x:c r="BG3" s="3"/>
      <x:c r="BH3" s="3"/>
      <x:c r="BI3" s="3"/>
      <x:c r="BJ3" s="3"/>
      <x:c r="BK3" s="3"/>
      <x:c r="BL3" s="3"/>
      <x:c r="BM3" s="3"/>
      <x:c r="BN3" s="3"/>
      <x:c r="BO3" s="3"/>
      <x:c r="BP3" s="3"/>
      <x:c r="BQ3" s="3"/>
      <x:c r="BR3" s="3"/>
    </x:row>
    <x:row r="4" ht="22" customHeight="1">
      <x:c r="A4" s="3" t="str">
        <x:v>主断面はTaladrod、他サイトは独立集計。価格を編集すると既存集計は更新。新規広告追加/区分変更は再集計が必要。</x:v>
      </x:c>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c r="AQ4" s="3"/>
      <x:c r="AR4" s="3"/>
      <x:c r="AS4" s="3"/>
      <x:c r="AT4" s="3"/>
      <x:c r="AU4" s="3"/>
      <x:c r="AV4" s="3"/>
      <x:c r="AW4" s="3"/>
      <x:c r="AX4" s="3"/>
      <x:c r="AY4" s="3"/>
      <x:c r="AZ4" s="3"/>
      <x:c r="BA4" s="3"/>
      <x:c r="BB4" s="3"/>
      <x:c r="BC4" s="3"/>
      <x:c r="BD4" s="3"/>
      <x:c r="BE4" s="3"/>
      <x:c r="BF4" s="3"/>
      <x:c r="BG4" s="3"/>
      <x:c r="BH4" s="3"/>
      <x:c r="BI4" s="3"/>
      <x:c r="BJ4" s="3"/>
      <x:c r="BK4" s="3"/>
      <x:c r="BL4" s="3"/>
      <x:c r="BM4" s="3"/>
      <x:c r="BN4" s="3"/>
      <x:c r="BO4" s="3"/>
      <x:c r="BP4" s="3"/>
      <x:c r="BQ4" s="3"/>
      <x:c r="BR4" s="3"/>
    </x:row>
    <x:row r="5" ht="22" customHeight="1">
      <x:c r="A5" s="3"/>
      <x:c r="B5" s="3"/>
      <x:c r="C5" s="3"/>
      <x:c r="D5" s="3"/>
      <x:c r="E5" s="3"/>
      <x:c r="F5" s="3"/>
      <x:c r="G5" s="3"/>
      <x:c r="H5" s="3"/>
      <x:c r="I5" s="3"/>
      <x:c r="J5" s="3"/>
      <x:c r="K5" s="3"/>
      <x:c r="L5" s="3"/>
      <x:c r="M5" s="3"/>
      <x:c r="N5" s="3"/>
      <x:c r="O5" s="3"/>
      <x:c r="P5" s="3"/>
      <x:c r="Q5" s="3"/>
      <x:c r="R5" s="3"/>
      <x:c r="S5" s="3"/>
      <x:c r="T5" s="3"/>
      <x:c r="U5" s="3"/>
      <x:c r="V5" s="3"/>
      <x:c r="W5" s="3"/>
      <x:c r="X5" s="3"/>
      <x:c r="Y5" s="3"/>
      <x:c r="Z5" s="3"/>
      <x:c r="AA5" s="3"/>
      <x:c r="AB5" s="3"/>
      <x:c r="AC5" s="3"/>
      <x:c r="AD5" s="3"/>
      <x:c r="AE5" s="3"/>
      <x:c r="AF5" s="3"/>
      <x:c r="AG5" s="3"/>
      <x:c r="AH5" s="3"/>
      <x:c r="AI5" s="3"/>
      <x:c r="AJ5" s="3"/>
      <x:c r="AK5" s="3"/>
      <x:c r="AL5" s="3"/>
      <x:c r="AM5" s="3"/>
      <x:c r="AN5" s="3"/>
      <x:c r="AO5" s="3"/>
      <x:c r="AP5" s="3"/>
      <x:c r="AQ5" s="3"/>
      <x:c r="AR5" s="3"/>
      <x:c r="AS5" s="3"/>
      <x:c r="AT5" s="3"/>
      <x:c r="AU5" s="3"/>
      <x:c r="AV5" s="3"/>
      <x:c r="AW5" s="3"/>
      <x:c r="AX5" s="3"/>
      <x:c r="AY5" s="3"/>
      <x:c r="AZ5" s="3"/>
      <x:c r="BA5" s="3"/>
      <x:c r="BB5" s="3"/>
      <x:c r="BC5" s="3"/>
      <x:c r="BD5" s="3"/>
      <x:c r="BE5" s="3"/>
      <x:c r="BF5" s="3"/>
      <x:c r="BG5" s="3"/>
      <x:c r="BH5" s="3"/>
      <x:c r="BI5" s="3"/>
      <x:c r="BJ5" s="3"/>
      <x:c r="BK5" s="3"/>
      <x:c r="BL5" s="3"/>
      <x:c r="BM5" s="3"/>
      <x:c r="BN5" s="3"/>
      <x:c r="BO5" s="3"/>
      <x:c r="BP5" s="3"/>
      <x:c r="BQ5" s="3"/>
      <x:c r="BR5" s="3"/>
    </x:row>
    <x:row r="6" ht="30" customHeight="1">
      <x:c r="A6" s="16" t="str">
        <x:v>モデル</x:v>
      </x:c>
      <x:c r="B6" s="21" t="str">
        <x:v>動力</x:v>
      </x:c>
      <x:c r="C6" s="21" t="str">
        <x:v>サイト</x:v>
      </x:c>
      <x:c r="D6" s="21" t="str">
        <x:v>N価格</x:v>
      </x:c>
      <x:c r="E6" s="21" t="str">
        <x:v>Q1 THB</x:v>
      </x:c>
      <x:c r="F6" s="21" t="str">
        <x:v>中央値THB</x:v>
      </x:c>
      <x:c r="G6" s="21" t="str">
        <x:v>Q3 THB</x:v>
      </x:c>
      <x:c r="H6" s="21" t="str">
        <x:v>N残価</x:v>
      </x:c>
      <x:c r="I6" s="21" t="str">
        <x:v>残価中央値</x:v>
      </x:c>
      <x:c r="J6" s="17" t="str">
        <x:v>N走行情報</x:v>
      </x:c>
      <x:c r="K6" s="3"/>
      <x:c r="L6" s="3"/>
      <x:c r="M6" s="3"/>
      <x:c r="N6" s="3"/>
      <x:c r="O6" s="3"/>
      <x:c r="P6" s="3"/>
      <x:c r="Q6" s="3"/>
      <x:c r="R6" s="16" t="str">
        <x:v>サイト</x:v>
      </x:c>
      <x:c r="S6" s="21" t="str">
        <x:v>モデル</x:v>
      </x:c>
      <x:c r="T6" s="21" t="str">
        <x:v>動力</x:v>
      </x:c>
      <x:c r="U6" s="21" t="str">
        <x:v>地域</x:v>
      </x:c>
      <x:c r="V6" s="21" t="str">
        <x:v>N価格</x:v>
      </x:c>
      <x:c r="W6" s="21" t="str">
        <x:v>Q1 THB</x:v>
      </x:c>
      <x:c r="X6" s="21" t="str">
        <x:v>中央値THB</x:v>
      </x:c>
      <x:c r="Y6" s="17" t="str">
        <x:v>Q3 THB</x:v>
      </x:c>
      <x:c r="Z6" s="3"/>
      <x:c r="AA6" s="16" t="str">
        <x:v>条件：すべて2023/One2car</x:v>
      </x:c>
      <x:c r="AB6" s="21" t="str">
        <x:v>N</x:v>
      </x:c>
      <x:c r="AC6" s="21" t="str">
        <x:v>Q1 THB</x:v>
      </x:c>
      <x:c r="AD6" s="21" t="str">
        <x:v>中央値THB</x:v>
      </x:c>
      <x:c r="AE6" s="21" t="str">
        <x:v>Q3 THB</x:v>
      </x:c>
      <x:c r="AF6" s="21" t="str">
        <x:v>当時通常価格</x:v>
      </x:c>
      <x:c r="AG6" s="21" t="str">
        <x:v>参考残価率</x:v>
      </x:c>
      <x:c r="AH6" s="21" t="str">
        <x:v>代替特価</x:v>
      </x:c>
      <x:c r="AI6" s="21" t="str">
        <x:v>代替価格比</x:v>
      </x:c>
      <x:c r="AJ6" s="21" t="str">
        <x:v>km下限</x:v>
      </x:c>
      <x:c r="AK6" s="21" t="str">
        <x:v>km上限</x:v>
      </x:c>
      <x:c r="AL6" s="17" t="str">
        <x:v>補足</x:v>
      </x:c>
      <x:c r="AM6" s="3"/>
      <x:c r="AN6" s="3"/>
      <x:c r="AO6" s="3"/>
      <x:c r="AP6" s="3"/>
      <x:c r="AQ6" s="3"/>
      <x:c r="AR6" s="3"/>
      <x:c r="AS6" s="3"/>
      <x:c r="AT6" s="3"/>
      <x:c r="AU6" s="3"/>
      <x:c r="AV6" s="3"/>
      <x:c r="AW6" s="3"/>
      <x:c r="AX6" s="3"/>
      <x:c r="AY6" s="3"/>
      <x:c r="AZ6" s="16" t="str">
        <x:v>ATTO 3 Ext｜20–100k</x:v>
      </x:c>
      <x:c r="BA6" s="21" t="str">
        <x:v>Cross Safety｜20–100k</x:v>
      </x:c>
      <x:c r="BB6" s="21" t="str">
        <x:v>ATTO 3 Ext｜50–100k</x:v>
      </x:c>
      <x:c r="BC6" s="21" t="str">
        <x:v>Cross Safety｜50–100k</x:v>
      </x:c>
      <x:c r="BD6" s="21" t="str">
        <x:v>ATTO 3 Ext｜20–50k</x:v>
      </x:c>
      <x:c r="BE6" s="21" t="str">
        <x:v>Cross Safety｜20–50k</x:v>
      </x:c>
      <x:c r="BF6" s="21" t="str">
        <x:v>Cross Premium｜20–100k</x:v>
      </x:c>
      <x:c r="BG6" s="21" t="str">
        <x:v>Cross GR｜20–100k</x:v>
      </x:c>
      <x:c r="BH6" s="17" t="str">
        <x:v>Dolphin Std｜20–100k</x:v>
      </x:c>
      <x:c r="BI6" s="16" t="str">
        <x:v>地域集計キー</x:v>
      </x:c>
      <x:c r="BJ6" s="21" t="str">
        <x:v>元データ行</x:v>
      </x:c>
      <x:c r="BK6" s="21" t="str">
        <x:v>集計用価格</x:v>
      </x:c>
      <x:c r="BL6" s="17" t="str">
        <x:v>集計用残価</x:v>
      </x:c>
      <x:c r="BM6" s="16" t="str">
        <x:v>Pickupキャブキー</x:v>
      </x:c>
      <x:c r="BN6" s="21" t="str">
        <x:v>元データ行</x:v>
      </x:c>
      <x:c r="BO6" s="21" t="str">
        <x:v>対象価格</x:v>
      </x:c>
      <x:c r="BP6" s="17" t="str">
        <x:v>グレード</x:v>
      </x:c>
      <x:c r="BQ6" s="3"/>
      <x:c r="BR6" s="3"/>
    </x:row>
    <x:row r="7" ht="22" customHeight="1">
      <x:c r="A7" s="3" t="str">
        <x:v>Corolla Cross</x:v>
      </x:c>
      <x:c r="B7" s="3" t="str">
        <x:v>HEV</x:v>
      </x:c>
      <x:c r="C7" s="3" t="str">
        <x:v>Carsome</x:v>
      </x:c>
      <x:c r="D7" s="22" t="n">
        <x:f>COUNT('中古車掲載'!AM8:AM11)</x:f>
        <x:v>4</x:v>
      </x:c>
      <x:c r="E7" s="22" t="n">
        <x:f>IF(COUNT('中古車掲載'!AM8:AM11)=0,"",QUARTILE('中古車掲載'!AM8:AM11,1))</x:f>
        <x:v>688500</x:v>
      </x:c>
      <x:c r="F7" s="22" t="n">
        <x:f>IF(COUNT('中古車掲載'!AM8:AM11)=0,"",MEDIAN('中古車掲載'!AM8:AM11))</x:f>
        <x:v>725000</x:v>
      </x:c>
      <x:c r="G7" s="22" t="n">
        <x:f>IF(COUNT('中古車掲載'!AM8:AM11)=0,"",QUARTILE('中古車掲載'!AM8:AM11,3))</x:f>
        <x:v>781000</x:v>
      </x:c>
      <x:c r="H7" s="22" t="n">
        <x:f>COUNT('中古車掲載'!AN8:AN11)</x:f>
        <x:v>0</x:v>
      </x:c>
      <x:c r="I7" s="23" t="str">
        <x:f>IF(COUNT('中古車掲載'!AN8:AN11)=0,"",MEDIAN('中古車掲載'!AN8:AN11))</x:f>
      </x:c>
      <x:c r="J7" s="3" t="n">
        <x:f>COUNT('中古車掲載'!N8:N11)</x:f>
        <x:v>4</x:v>
      </x:c>
      <x:c r="K7" s="3"/>
      <x:c r="L7" s="3"/>
      <x:c r="M7" s="3"/>
      <x:c r="N7" s="3"/>
      <x:c r="O7" s="3"/>
      <x:c r="P7" s="3"/>
      <x:c r="Q7" s="3"/>
      <x:c r="R7" s="3" t="str">
        <x:v>Carsome</x:v>
      </x:c>
      <x:c r="S7" s="3" t="str">
        <x:v>Corolla Cross</x:v>
      </x:c>
      <x:c r="T7" s="3" t="str">
        <x:v>HEV</x:v>
      </x:c>
      <x:c r="U7" s="3" t="str">
        <x:v>Bangkok metro</x:v>
      </x:c>
      <x:c r="V7" s="22" t="n">
        <x:f>COUNT(BK7:BK9)</x:f>
        <x:v>3</x:v>
      </x:c>
      <x:c r="W7" s="22" t="n">
        <x:f>IF(COUNT(BK7:BK9)=0,"",QUARTILE(BK7:BK9,1))</x:f>
        <x:v>712000</x:v>
      </x:c>
      <x:c r="X7" s="22" t="n">
        <x:f>IF(COUNT(BK7:BK9)=0,"",MEDIAN(BK7:BK9))</x:f>
        <x:v>755000</x:v>
      </x:c>
      <x:c r="Y7" s="22" t="n">
        <x:f>IF(COUNT(BK7:BK9)=0,"",QUARTILE(BK7:BK9,3))</x:f>
        <x:v>807000</x:v>
      </x:c>
      <x:c r="Z7" s="3"/>
      <x:c r="AA7" s="3" t="str">
        <x:v>ATTO 3 Ext｜20–100k</x:v>
      </x:c>
      <x:c r="AB7" s="3" t="n">
        <x:f>COUNT(AZ7:AZ1139)</x:f>
        <x:v>7</x:v>
      </x:c>
      <x:c r="AC7" s="22" t="n">
        <x:f>IF(COUNT(AZ7:AZ1139)=0,"",QUARTILE(AZ7:AZ1139,1))</x:f>
        <x:v>461000</x:v>
      </x:c>
      <x:c r="AD7" s="22" t="n">
        <x:f>IF(COUNT(AZ7:AZ1139)=0,"",MEDIAN(AZ7:AZ1139))</x:f>
        <x:v>467000</x:v>
      </x:c>
      <x:c r="AE7" s="22" t="n">
        <x:f>IF(COUNT(AZ7:AZ1139)=0,"",QUARTILE(AZ7:AZ1139,3))</x:f>
        <x:v>470000</x:v>
      </x:c>
      <x:c r="AF7" s="22" t="n">
        <x:f>'新車価格・特価'!K8</x:f>
        <x:v>1199900</x:v>
      </x:c>
      <x:c r="AG7" s="23" t="n">
        <x:f>IF(ISNUMBER(AD7),AD7/AF7,"")</x:f>
        <x:v>0.38919909992499374</x:v>
      </x:c>
      <x:c r="AH7" s="22" t="n">
        <x:f>'新車価格・特価'!N35</x:f>
        <x:v>769900</x:v>
      </x:c>
      <x:c r="AI7" s="23" t="n">
        <x:f>IF(AND(ISNUMBER(AD7),ISNUMBER(AH7)),AD7/AH7,"")</x:f>
        <x:v>0.6065722821145604</x:v>
      </x:c>
      <x:c r="AJ7" s="3" t="n">
        <x:v>20000</x:v>
      </x:c>
      <x:c r="AK7" s="3" t="n">
        <x:v>100000</x:v>
      </x:c>
      <x:c r="AL7" s="3" t="str">
        <x:v>同じ表示距離帯でも走行分布・保証・税込条件は未統一。Crossはyear-2023ページのみ。</x:v>
      </x:c>
      <x:c r="AM7" s="3"/>
      <x:c r="AN7" s="3"/>
      <x:c r="AO7" s="3"/>
      <x:c r="AP7" s="3"/>
      <x:c r="AQ7" s="3"/>
      <x:c r="AR7" s="3"/>
      <x:c r="AS7" s="3"/>
      <x:c r="AT7" s="3"/>
      <x:c r="AU7" s="3"/>
      <x:c r="AV7" s="3"/>
      <x:c r="AW7" s="3"/>
      <x:c r="AX7" s="3"/>
      <x:c r="AY7" s="3"/>
      <x:c r="AZ7" s="3" t="str">
        <x:f>IF(AND('中古車掲載'!C8="One2car",'中古車掲載'!F8="ATTO 3",'中古車掲載'!L8="EXTENDED RANGE",'中古車掲載'!J8=2023,ISNUMBER('中古車掲載'!N8),'中古車掲載'!N8&gt;=20000,'中古車掲載'!O8&lt;=100000,'中古車掲載'!AL8=1),'中古車掲載'!U8,"")</x:f>
      </x:c>
      <x:c r="BA7" s="3" t="str">
        <x:f>IF(AND('中古車掲載'!C8="One2car",'中古車掲載'!F8="Corolla Cross",'中古車掲載'!L8="HEV PREMIUM SAFETY",'中古車掲載'!J8=2023,ISNUMBER('中古車掲載'!N8),'中古車掲載'!N8&gt;=20000,'中古車掲載'!O8&lt;=100000,'中古車掲載'!AL8=1,'中古車掲載'!Z8="https://www.one2car.com/en/cars-for-sale/toyota/corolla-cross/year-2023"),'中古車掲載'!U8,"")</x:f>
      </x:c>
      <x:c r="BB7" s="3" t="str">
        <x:f>IF(AND('中古車掲載'!C8="One2car",'中古車掲載'!F8="ATTO 3",'中古車掲載'!L8="EXTENDED RANGE",'中古車掲載'!J8=2023,ISNUMBER('中古車掲載'!N8),'中古車掲載'!N8&gt;=50000,'中古車掲載'!O8&lt;=100000,'中古車掲載'!AL8=1),'中古車掲載'!U8,"")</x:f>
      </x:c>
      <x:c r="BC7" s="3" t="str">
        <x:f>IF(AND('中古車掲載'!C8="One2car",'中古車掲載'!F8="Corolla Cross",'中古車掲載'!L8="HEV PREMIUM SAFETY",'中古車掲載'!J8=2023,ISNUMBER('中古車掲載'!N8),'中古車掲載'!N8&gt;=50000,'中古車掲載'!O8&lt;=100000,'中古車掲載'!AL8=1,'中古車掲載'!Z8="https://www.one2car.com/en/cars-for-sale/toyota/corolla-cross/year-2023"),'中古車掲載'!U8,"")</x:f>
      </x:c>
      <x:c r="BD7" s="3" t="str">
        <x:f>IF(AND('中古車掲載'!C8="One2car",'中古車掲載'!F8="ATTO 3",'中古車掲載'!L8="EXTENDED RANGE",'中古車掲載'!J8=2023,ISNUMBER('中古車掲載'!N8),'中古車掲載'!N8&gt;=20000,'中古車掲載'!O8&lt;=50000,'中古車掲載'!AL8=1),'中古車掲載'!U8,"")</x:f>
      </x:c>
      <x:c r="BE7" s="3" t="str">
        <x:f>IF(AND('中古車掲載'!C8="One2car",'中古車掲載'!F8="Corolla Cross",'中古車掲載'!L8="HEV PREMIUM SAFETY",'中古車掲載'!J8=2023,ISNUMBER('中古車掲載'!N8),'中古車掲載'!N8&gt;=20000,'中古車掲載'!O8&lt;=50000,'中古車掲載'!AL8=1,'中古車掲載'!Z8="https://www.one2car.com/en/cars-for-sale/toyota/corolla-cross/year-2023"),'中古車掲載'!U8,"")</x:f>
      </x:c>
      <x:c r="BF7" s="3" t="str">
        <x:f>IF(AND('中古車掲載'!C8="One2car",'中古車掲載'!F8="Corolla Cross",'中古車掲載'!L8="HEV PREMIUM",'中古車掲載'!J8=2023,ISNUMBER('中古車掲載'!N8),'中古車掲載'!N8&gt;=20000,'中古車掲載'!O8&lt;=100000,'中古車掲載'!AL8=1,'中古車掲載'!Z8="https://www.one2car.com/en/cars-for-sale/toyota/corolla-cross/year-2023"),'中古車掲載'!U8,"")</x:f>
      </x:c>
      <x:c r="BG7" s="3" t="str">
        <x:f>IF(AND('中古車掲載'!C8="One2car",'中古車掲載'!F8="Corolla Cross",'中古車掲載'!L8="HEV GR SPORT",'中古車掲載'!J8=2023,ISNUMBER('中古車掲載'!N8),'中古車掲載'!N8&gt;=20000,'中古車掲載'!O8&lt;=100000,'中古車掲載'!AL8=1,'中古車掲載'!Z8="https://www.one2car.com/en/cars-for-sale/toyota/corolla-cross/year-2023"),'中古車掲載'!U8,"")</x:f>
      </x:c>
      <x:c r="BH7" s="3" t="str">
        <x:f>IF(AND('中古車掲載'!C8="One2car",'中古車掲載'!F8="DOLPHIN",'中古車掲載'!L8="STANDARD RANGE",'中古車掲載'!J8=2023,ISNUMBER('中古車掲載'!N8),'中古車掲載'!N8&gt;=20000,'中古車掲載'!O8&lt;=100000,'中古車掲載'!AL8=1),'中古車掲載'!U8,"")</x:f>
      </x:c>
      <x:c r="BI7" s="3" t="str">
        <x:v>Carsome|Corolla Cross|HEV|Bangkok metro</x:v>
      </x:c>
      <x:c r="BJ7" s="3" t="n">
        <x:v>8</x:v>
      </x:c>
      <x:c r="BK7" s="3" t="n">
        <x:f>'中古車掲載'!AM8</x:f>
        <x:v>669000</x:v>
      </x:c>
      <x:c r="BL7" s="3" t="str">
        <x:f>IF(ISNUMBER('中古車掲載'!AN8),'中古車掲載'!AN8,"")</x:f>
      </x:c>
      <x:c r="BM7" s="3" t="str">
        <x:v>2020|Double cab</x:v>
      </x:c>
      <x:c r="BN7" s="3" t="n">
        <x:v>650</x:v>
      </x:c>
      <x:c r="BO7" s="3" t="n">
        <x:f>'中古車掲載'!AM650</x:f>
        <x:v>389000</x:v>
      </x:c>
      <x:c r="BP7" s="3" t="str">
        <x:v>2.4 E DOUBLE CAB</x:v>
      </x:c>
      <x:c r="BQ7" s="3"/>
      <x:c r="BR7" s="3"/>
    </x:row>
    <x:row r="8" ht="22" customHeight="1">
      <x:c r="A8" s="3" t="str">
        <x:v>ATTO 3</x:v>
      </x:c>
      <x:c r="B8" s="3" t="str">
        <x:v>BEV</x:v>
      </x:c>
      <x:c r="C8" s="3" t="str">
        <x:v>One2car</x:v>
      </x:c>
      <x:c r="D8" s="22" t="n">
        <x:f>COUNT('中古車掲載'!AM12:AM26)</x:f>
        <x:v>15</x:v>
      </x:c>
      <x:c r="E8" s="22" t="n">
        <x:f>IF(COUNT('中古車掲載'!AM12:AM26)=0,"",QUARTILE('中古車掲載'!AM12:AM26,1))</x:f>
        <x:v>459500</x:v>
      </x:c>
      <x:c r="F8" s="22" t="n">
        <x:f>IF(COUNT('中古車掲載'!AM12:AM26)=0,"",MEDIAN('中古車掲載'!AM12:AM26))</x:f>
        <x:v>469000</x:v>
      </x:c>
      <x:c r="G8" s="22" t="n">
        <x:f>IF(COUNT('中古車掲載'!AM12:AM26)=0,"",QUARTILE('中古車掲載'!AM12:AM26,3))</x:f>
        <x:v>495000</x:v>
      </x:c>
      <x:c r="H8" s="22" t="n">
        <x:f>COUNT('中古車掲載'!AN12:AN26)</x:f>
        <x:v>12</x:v>
      </x:c>
      <x:c r="I8" s="23" t="n">
        <x:f>IF(COUNT('中古車掲載'!AN12:AN26)=0,"",MEDIAN('中古車掲載'!AN12:AN26))</x:f>
        <x:v>0.39169930827568966</x:v>
      </x:c>
      <x:c r="J8" s="3" t="n">
        <x:f>COUNT('中古車掲載'!N12:N26)</x:f>
        <x:v>15</x:v>
      </x:c>
      <x:c r="K8" s="3"/>
      <x:c r="L8" s="3"/>
      <x:c r="M8" s="3"/>
      <x:c r="N8" s="3"/>
      <x:c r="O8" s="3"/>
      <x:c r="P8" s="3"/>
      <x:c r="Q8" s="3"/>
      <x:c r="R8" s="3" t="str">
        <x:v>Carsome</x:v>
      </x:c>
      <x:c r="S8" s="3" t="str">
        <x:v>Corolla Cross</x:v>
      </x:c>
      <x:c r="T8" s="3" t="str">
        <x:v>HEV</x:v>
      </x:c>
      <x:c r="U8" s="3" t="str">
        <x:v>Other province</x:v>
      </x:c>
      <x:c r="V8" s="22" t="n">
        <x:f>COUNT(BK10:BK10)</x:f>
        <x:v>1</x:v>
      </x:c>
      <x:c r="W8" s="22" t="n">
        <x:f>IF(COUNT(BK10:BK10)=0,"",QUARTILE(BK10:BK10,1))</x:f>
        <x:v>695000</x:v>
      </x:c>
      <x:c r="X8" s="22" t="n">
        <x:f>IF(COUNT(BK10:BK10)=0,"",MEDIAN(BK10:BK10))</x:f>
        <x:v>695000</x:v>
      </x:c>
      <x:c r="Y8" s="22" t="n">
        <x:f>IF(COUNT(BK10:BK10)=0,"",QUARTILE(BK10:BK10,3))</x:f>
        <x:v>695000</x:v>
      </x:c>
      <x:c r="Z8" s="3"/>
      <x:c r="AA8" s="3" t="str">
        <x:v>Cross Safety｜20–100k</x:v>
      </x:c>
      <x:c r="AB8" s="3" t="n">
        <x:f>COUNT(BA7:BA1139)</x:f>
        <x:v>5</x:v>
      </x:c>
      <x:c r="AC8" s="22" t="n">
        <x:f>IF(COUNT(BA7:BA1139)=0,"",QUARTILE(BA7:BA1139,1))</x:f>
        <x:v>759000</x:v>
      </x:c>
      <x:c r="AD8" s="22" t="n">
        <x:f>IF(COUNT(BA7:BA1139)=0,"",MEDIAN(BA7:BA1139))</x:f>
        <x:v>759000</x:v>
      </x:c>
      <x:c r="AE8" s="22" t="n">
        <x:f>IF(COUNT(BA7:BA1139)=0,"",QUARTILE(BA7:BA1139,3))</x:f>
        <x:v>778000</x:v>
      </x:c>
      <x:c r="AF8" s="22" t="n">
        <x:f>'新車価格・特価'!K47</x:f>
        <x:v>1204000</x:v>
      </x:c>
      <x:c r="AG8" s="23" t="n">
        <x:f>IF(ISNUMBER(AD8),AD8/AF8,"")</x:f>
        <x:v>0.6303986710963455</x:v>
      </x:c>
      <x:c r="AH8" s="22" t="n">
        <x:f>'新車価格・特価'!N55</x:f>
        <x:v>1204000</x:v>
      </x:c>
      <x:c r="AI8" s="23" t="n">
        <x:f>IF(AND(ISNUMBER(AD8),ISNUMBER(AH8)),AD8/AH8,"")</x:f>
        <x:v>0.6303986710963455</x:v>
      </x:c>
      <x:c r="AJ8" s="3" t="n">
        <x:v>20000</x:v>
      </x:c>
      <x:c r="AK8" s="3" t="n">
        <x:v>100000</x:v>
      </x:c>
      <x:c r="AL8" s="3" t="str">
        <x:v>同じ表示距離帯でも走行分布・保証・税込条件は未統一。Crossはyear-2023ページのみ。</x:v>
      </x:c>
      <x:c r="AM8" s="3"/>
      <x:c r="AN8" s="3"/>
      <x:c r="AO8" s="3"/>
      <x:c r="AP8" s="3"/>
      <x:c r="AQ8" s="3"/>
      <x:c r="AR8" s="3"/>
      <x:c r="AS8" s="3"/>
      <x:c r="AT8" s="3"/>
      <x:c r="AU8" s="3"/>
      <x:c r="AV8" s="3"/>
      <x:c r="AW8" s="3"/>
      <x:c r="AX8" s="3"/>
      <x:c r="AY8" s="3"/>
      <x:c r="AZ8" s="3" t="str">
        <x:f>IF(AND('中古車掲載'!C9="One2car",'中古車掲載'!F9="ATTO 3",'中古車掲載'!L9="EXTENDED RANGE",'中古車掲載'!J9=2023,ISNUMBER('中古車掲載'!N9),'中古車掲載'!N9&gt;=20000,'中古車掲載'!O9&lt;=100000,'中古車掲載'!AL9=1),'中古車掲載'!U9,"")</x:f>
      </x:c>
      <x:c r="BA8" s="3" t="str">
        <x:f>IF(AND('中古車掲載'!C9="One2car",'中古車掲載'!F9="Corolla Cross",'中古車掲載'!L9="HEV PREMIUM SAFETY",'中古車掲載'!J9=2023,ISNUMBER('中古車掲載'!N9),'中古車掲載'!N9&gt;=20000,'中古車掲載'!O9&lt;=100000,'中古車掲載'!AL9=1,'中古車掲載'!Z9="https://www.one2car.com/en/cars-for-sale/toyota/corolla-cross/year-2023"),'中古車掲載'!U9,"")</x:f>
      </x:c>
      <x:c r="BB8" s="3" t="str">
        <x:f>IF(AND('中古車掲載'!C9="One2car",'中古車掲載'!F9="ATTO 3",'中古車掲載'!L9="EXTENDED RANGE",'中古車掲載'!J9=2023,ISNUMBER('中古車掲載'!N9),'中古車掲載'!N9&gt;=50000,'中古車掲載'!O9&lt;=100000,'中古車掲載'!AL9=1),'中古車掲載'!U9,"")</x:f>
      </x:c>
      <x:c r="BC8" s="3" t="str">
        <x:f>IF(AND('中古車掲載'!C9="One2car",'中古車掲載'!F9="Corolla Cross",'中古車掲載'!L9="HEV PREMIUM SAFETY",'中古車掲載'!J9=2023,ISNUMBER('中古車掲載'!N9),'中古車掲載'!N9&gt;=50000,'中古車掲載'!O9&lt;=100000,'中古車掲載'!AL9=1,'中古車掲載'!Z9="https://www.one2car.com/en/cars-for-sale/toyota/corolla-cross/year-2023"),'中古車掲載'!U9,"")</x:f>
      </x:c>
      <x:c r="BD8" s="3" t="str">
        <x:f>IF(AND('中古車掲載'!C9="One2car",'中古車掲載'!F9="ATTO 3",'中古車掲載'!L9="EXTENDED RANGE",'中古車掲載'!J9=2023,ISNUMBER('中古車掲載'!N9),'中古車掲載'!N9&gt;=20000,'中古車掲載'!O9&lt;=50000,'中古車掲載'!AL9=1),'中古車掲載'!U9,"")</x:f>
      </x:c>
      <x:c r="BE8" s="3" t="str">
        <x:f>IF(AND('中古車掲載'!C9="One2car",'中古車掲載'!F9="Corolla Cross",'中古車掲載'!L9="HEV PREMIUM SAFETY",'中古車掲載'!J9=2023,ISNUMBER('中古車掲載'!N9),'中古車掲載'!N9&gt;=20000,'中古車掲載'!O9&lt;=50000,'中古車掲載'!AL9=1,'中古車掲載'!Z9="https://www.one2car.com/en/cars-for-sale/toyota/corolla-cross/year-2023"),'中古車掲載'!U9,"")</x:f>
      </x:c>
      <x:c r="BF8" s="3" t="str">
        <x:f>IF(AND('中古車掲載'!C9="One2car",'中古車掲載'!F9="Corolla Cross",'中古車掲載'!L9="HEV PREMIUM",'中古車掲載'!J9=2023,ISNUMBER('中古車掲載'!N9),'中古車掲載'!N9&gt;=20000,'中古車掲載'!O9&lt;=100000,'中古車掲載'!AL9=1,'中古車掲載'!Z9="https://www.one2car.com/en/cars-for-sale/toyota/corolla-cross/year-2023"),'中古車掲載'!U9,"")</x:f>
      </x:c>
      <x:c r="BG8" s="3" t="str">
        <x:f>IF(AND('中古車掲載'!C9="One2car",'中古車掲載'!F9="Corolla Cross",'中古車掲載'!L9="HEV GR SPORT",'中古車掲載'!J9=2023,ISNUMBER('中古車掲載'!N9),'中古車掲載'!N9&gt;=20000,'中古車掲載'!O9&lt;=100000,'中古車掲載'!AL9=1,'中古車掲載'!Z9="https://www.one2car.com/en/cars-for-sale/toyota/corolla-cross/year-2023"),'中古車掲載'!U9,"")</x:f>
      </x:c>
      <x:c r="BH8" s="3" t="str">
        <x:f>IF(AND('中古車掲載'!C9="One2car",'中古車掲載'!F9="DOLPHIN",'中古車掲載'!L9="STANDARD RANGE",'中古車掲載'!J9=2023,ISNUMBER('中古車掲載'!N9),'中古車掲載'!N9&gt;=20000,'中古車掲載'!O9&lt;=100000,'中古車掲載'!AL9=1),'中古車掲載'!U9,"")</x:f>
      </x:c>
      <x:c r="BI8" s="3" t="str">
        <x:v>Carsome|Corolla Cross|HEV|Bangkok metro</x:v>
      </x:c>
      <x:c r="BJ8" s="3" t="n">
        <x:v>9</x:v>
      </x:c>
      <x:c r="BK8" s="3" t="n">
        <x:f>'中古車掲載'!AM9</x:f>
        <x:v>755000</x:v>
      </x:c>
      <x:c r="BL8" s="3" t="str">
        <x:f>IF(ISNUMBER('中古車掲載'!AN9),'中古車掲載'!AN9,"")</x:f>
      </x:c>
      <x:c r="BM8" s="3" t="str">
        <x:v>2020|Double cab</x:v>
      </x:c>
      <x:c r="BN8" s="3" t="n">
        <x:v>651</x:v>
      </x:c>
      <x:c r="BO8" s="3" t="n">
        <x:f>'中古車掲載'!AM651</x:f>
        <x:v>570000</x:v>
      </x:c>
      <x:c r="BP8" s="3" t="str">
        <x:v>2.4 E PLUS PRERUNNER DOUBLE CAB</x:v>
      </x:c>
      <x:c r="BQ8" s="3"/>
      <x:c r="BR8" s="3"/>
    </x:row>
    <x:row r="9" ht="22" customHeight="1">
      <x:c r="A9" s="3" t="str">
        <x:v>Corolla Altis</x:v>
      </x:c>
      <x:c r="B9" s="3" t="str">
        <x:v>HEV</x:v>
      </x:c>
      <x:c r="C9" s="3" t="str">
        <x:v>One2car</x:v>
      </x:c>
      <x:c r="D9" s="22" t="n">
        <x:f>COUNT('中古車掲載'!AM27:AM30)</x:f>
        <x:v>4</x:v>
      </x:c>
      <x:c r="E9" s="22" t="n">
        <x:f>IF(COUNT('中古車掲載'!AM27:AM30)=0,"",QUARTILE('中古車掲載'!AM27:AM30,1))</x:f>
        <x:v>539000</x:v>
      </x:c>
      <x:c r="F9" s="22" t="n">
        <x:f>IF(COUNT('中古車掲載'!AM27:AM30)=0,"",MEDIAN('中古車掲載'!AM27:AM30))</x:f>
        <x:v>594000</x:v>
      </x:c>
      <x:c r="G9" s="22" t="n">
        <x:f>IF(COUNT('中古車掲載'!AM27:AM30)=0,"",QUARTILE('中古車掲載'!AM27:AM30,3))</x:f>
        <x:v>670500</x:v>
      </x:c>
      <x:c r="H9" s="22" t="n">
        <x:f>COUNT('中古車掲載'!AN27:AN30)</x:f>
        <x:v>1</x:v>
      </x:c>
      <x:c r="I9" s="23" t="n">
        <x:f>IF(COUNT('中古車掲載'!AN27:AN30)=0,"",MEDIAN('中古車掲載'!AN27:AN30))</x:f>
        <x:v>0.704162976085031</x:v>
      </x:c>
      <x:c r="J9" s="3" t="n">
        <x:f>COUNT('中古車掲載'!N27:N30)</x:f>
        <x:v>4</x:v>
      </x:c>
      <x:c r="K9" s="3"/>
      <x:c r="L9" s="3"/>
      <x:c r="M9" s="3"/>
      <x:c r="N9" s="3"/>
      <x:c r="O9" s="3"/>
      <x:c r="P9" s="3"/>
      <x:c r="Q9" s="3"/>
      <x:c r="R9" s="3" t="str">
        <x:v>One2car</x:v>
      </x:c>
      <x:c r="S9" s="3" t="str">
        <x:v>ATTO 3</x:v>
      </x:c>
      <x:c r="T9" s="3" t="str">
        <x:v>BEV</x:v>
      </x:c>
      <x:c r="U9" s="3" t="str">
        <x:v>Bangkok metro</x:v>
      </x:c>
      <x:c r="V9" s="22" t="n">
        <x:f>COUNT(BK11:BK25)</x:f>
        <x:v>15</x:v>
      </x:c>
      <x:c r="W9" s="22" t="n">
        <x:f>IF(COUNT(BK11:BK25)=0,"",QUARTILE(BK11:BK25,1))</x:f>
        <x:v>459500</x:v>
      </x:c>
      <x:c r="X9" s="22" t="n">
        <x:f>IF(COUNT(BK11:BK25)=0,"",MEDIAN(BK11:BK25))</x:f>
        <x:v>469000</x:v>
      </x:c>
      <x:c r="Y9" s="22" t="n">
        <x:f>IF(COUNT(BK11:BK25)=0,"",QUARTILE(BK11:BK25,3))</x:f>
        <x:v>495000</x:v>
      </x:c>
      <x:c r="Z9" s="3"/>
      <x:c r="AA9" s="3" t="str">
        <x:v>ATTO 3 Ext｜50–100k</x:v>
      </x:c>
      <x:c r="AB9" s="3" t="n">
        <x:f>COUNT(BB7:BB1139)</x:f>
        <x:v>5</x:v>
      </x:c>
      <x:c r="AC9" s="22" t="n">
        <x:f>IF(COUNT(BB7:BB1139)=0,"",QUARTILE(BB7:BB1139,1))</x:f>
        <x:v>459000</x:v>
      </x:c>
      <x:c r="AD9" s="22" t="n">
        <x:f>IF(COUNT(BB7:BB1139)=0,"",MEDIAN(BB7:BB1139))</x:f>
        <x:v>463000</x:v>
      </x:c>
      <x:c r="AE9" s="22" t="n">
        <x:f>IF(COUNT(BB7:BB1139)=0,"",QUARTILE(BB7:BB1139,3))</x:f>
        <x:v>467000</x:v>
      </x:c>
      <x:c r="AF9" s="22" t="n">
        <x:f>'新車価格・特価'!K8</x:f>
        <x:v>1199900</x:v>
      </x:c>
      <x:c r="AG9" s="23" t="n">
        <x:f>IF(ISNUMBER(AD9),AD9/AF9,"")</x:f>
        <x:v>0.38586548879073257</x:v>
      </x:c>
      <x:c r="AH9" s="22" t="n">
        <x:f>'新車価格・特価'!N35</x:f>
        <x:v>769900</x:v>
      </x:c>
      <x:c r="AI9" s="23" t="n">
        <x:f>IF(AND(ISNUMBER(AD9),ISNUMBER(AH9)),AD9/AH9,"")</x:f>
        <x:v>0.6013768021821015</x:v>
      </x:c>
      <x:c r="AJ9" s="3" t="n">
        <x:v>50000</x:v>
      </x:c>
      <x:c r="AK9" s="3" t="n">
        <x:v>100000</x:v>
      </x:c>
      <x:c r="AL9" s="3" t="str">
        <x:v>同じ表示距離帯でも走行分布・保証・税込条件は未統一。Crossはyear-2023ページのみ。</x:v>
      </x:c>
      <x:c r="AM9" s="3"/>
      <x:c r="AN9" s="3"/>
      <x:c r="AO9" s="3"/>
      <x:c r="AP9" s="3"/>
      <x:c r="AQ9" s="3"/>
      <x:c r="AR9" s="3"/>
      <x:c r="AS9" s="3"/>
      <x:c r="AT9" s="3"/>
      <x:c r="AU9" s="3"/>
      <x:c r="AV9" s="3"/>
      <x:c r="AW9" s="3"/>
      <x:c r="AX9" s="3"/>
      <x:c r="AY9" s="3"/>
      <x:c r="AZ9" s="3" t="str">
        <x:f>IF(AND('中古車掲載'!C10="One2car",'中古車掲載'!F10="ATTO 3",'中古車掲載'!L10="EXTENDED RANGE",'中古車掲載'!J10=2023,ISNUMBER('中古車掲載'!N10),'中古車掲載'!N10&gt;=20000,'中古車掲載'!O10&lt;=100000,'中古車掲載'!AL10=1),'中古車掲載'!U10,"")</x:f>
      </x:c>
      <x:c r="BA9" s="3" t="str">
        <x:f>IF(AND('中古車掲載'!C10="One2car",'中古車掲載'!F10="Corolla Cross",'中古車掲載'!L10="HEV PREMIUM SAFETY",'中古車掲載'!J10=2023,ISNUMBER('中古車掲載'!N10),'中古車掲載'!N10&gt;=20000,'中古車掲載'!O10&lt;=100000,'中古車掲載'!AL10=1,'中古車掲載'!Z10="https://www.one2car.com/en/cars-for-sale/toyota/corolla-cross/year-2023"),'中古車掲載'!U10,"")</x:f>
      </x:c>
      <x:c r="BB9" s="3" t="str">
        <x:f>IF(AND('中古車掲載'!C10="One2car",'中古車掲載'!F10="ATTO 3",'中古車掲載'!L10="EXTENDED RANGE",'中古車掲載'!J10=2023,ISNUMBER('中古車掲載'!N10),'中古車掲載'!N10&gt;=50000,'中古車掲載'!O10&lt;=100000,'中古車掲載'!AL10=1),'中古車掲載'!U10,"")</x:f>
      </x:c>
      <x:c r="BC9" s="3" t="str">
        <x:f>IF(AND('中古車掲載'!C10="One2car",'中古車掲載'!F10="Corolla Cross",'中古車掲載'!L10="HEV PREMIUM SAFETY",'中古車掲載'!J10=2023,ISNUMBER('中古車掲載'!N10),'中古車掲載'!N10&gt;=50000,'中古車掲載'!O10&lt;=100000,'中古車掲載'!AL10=1,'中古車掲載'!Z10="https://www.one2car.com/en/cars-for-sale/toyota/corolla-cross/year-2023"),'中古車掲載'!U10,"")</x:f>
      </x:c>
      <x:c r="BD9" s="3" t="str">
        <x:f>IF(AND('中古車掲載'!C10="One2car",'中古車掲載'!F10="ATTO 3",'中古車掲載'!L10="EXTENDED RANGE",'中古車掲載'!J10=2023,ISNUMBER('中古車掲載'!N10),'中古車掲載'!N10&gt;=20000,'中古車掲載'!O10&lt;=50000,'中古車掲載'!AL10=1),'中古車掲載'!U10,"")</x:f>
      </x:c>
      <x:c r="BE9" s="3" t="str">
        <x:f>IF(AND('中古車掲載'!C10="One2car",'中古車掲載'!F10="Corolla Cross",'中古車掲載'!L10="HEV PREMIUM SAFETY",'中古車掲載'!J10=2023,ISNUMBER('中古車掲載'!N10),'中古車掲載'!N10&gt;=20000,'中古車掲載'!O10&lt;=50000,'中古車掲載'!AL10=1,'中古車掲載'!Z10="https://www.one2car.com/en/cars-for-sale/toyota/corolla-cross/year-2023"),'中古車掲載'!U10,"")</x:f>
      </x:c>
      <x:c r="BF9" s="3" t="str">
        <x:f>IF(AND('中古車掲載'!C10="One2car",'中古車掲載'!F10="Corolla Cross",'中古車掲載'!L10="HEV PREMIUM",'中古車掲載'!J10=2023,ISNUMBER('中古車掲載'!N10),'中古車掲載'!N10&gt;=20000,'中古車掲載'!O10&lt;=100000,'中古車掲載'!AL10=1,'中古車掲載'!Z10="https://www.one2car.com/en/cars-for-sale/toyota/corolla-cross/year-2023"),'中古車掲載'!U10,"")</x:f>
      </x:c>
      <x:c r="BG9" s="3" t="str">
        <x:f>IF(AND('中古車掲載'!C10="One2car",'中古車掲載'!F10="Corolla Cross",'中古車掲載'!L10="HEV GR SPORT",'中古車掲載'!J10=2023,ISNUMBER('中古車掲載'!N10),'中古車掲載'!N10&gt;=20000,'中古車掲載'!O10&lt;=100000,'中古車掲載'!AL10=1,'中古車掲載'!Z10="https://www.one2car.com/en/cars-for-sale/toyota/corolla-cross/year-2023"),'中古車掲載'!U10,"")</x:f>
      </x:c>
      <x:c r="BH9" s="3" t="str">
        <x:f>IF(AND('中古車掲載'!C10="One2car",'中古車掲載'!F10="DOLPHIN",'中古車掲載'!L10="STANDARD RANGE",'中古車掲載'!J10=2023,ISNUMBER('中古車掲載'!N10),'中古車掲載'!N10&gt;=20000,'中古車掲載'!O10&lt;=100000,'中古車掲載'!AL10=1),'中古車掲載'!U10,"")</x:f>
      </x:c>
      <x:c r="BI9" s="3" t="str">
        <x:v>Carsome|Corolla Cross|HEV|Bangkok metro</x:v>
      </x:c>
      <x:c r="BJ9" s="3" t="n">
        <x:v>11</x:v>
      </x:c>
      <x:c r="BK9" s="3" t="n">
        <x:f>'中古車掲載'!AM11</x:f>
        <x:v>859000</x:v>
      </x:c>
      <x:c r="BL9" s="3" t="str">
        <x:f>IF(ISNUMBER('中古車掲載'!AN11),'中古車掲載'!AN11,"")</x:f>
      </x:c>
      <x:c r="BM9" s="3" t="str">
        <x:v>2020|Double cab</x:v>
      </x:c>
      <x:c r="BN9" s="3" t="n">
        <x:v>652</x:v>
      </x:c>
      <x:c r="BO9" s="3" t="n">
        <x:f>'中古車掲載'!AM652</x:f>
        <x:v>554000</x:v>
      </x:c>
      <x:c r="BP9" s="3" t="str">
        <x:v>2.4 E PLUS PRERUNNER DOUBLE CAB</x:v>
      </x:c>
      <x:c r="BQ9" s="3"/>
      <x:c r="BR9" s="3"/>
    </x:row>
    <x:row r="10" ht="22" customHeight="1">
      <x:c r="A10" s="3" t="str">
        <x:v>Corolla Altis</x:v>
      </x:c>
      <x:c r="B10" s="3" t="str">
        <x:v>ICE</x:v>
      </x:c>
      <x:c r="C10" s="3" t="str">
        <x:v>One2car</x:v>
      </x:c>
      <x:c r="D10" s="22" t="n">
        <x:f>COUNT('中古車掲載'!AM31:AM37)</x:f>
        <x:v>7</x:v>
      </x:c>
      <x:c r="E10" s="22" t="n">
        <x:f>IF(COUNT('中古車掲載'!AM31:AM37)=0,"",QUARTILE('中古車掲載'!AM31:AM37,1))</x:f>
        <x:v>429000</x:v>
      </x:c>
      <x:c r="F10" s="22" t="n">
        <x:f>IF(COUNT('中古車掲載'!AM31:AM37)=0,"",MEDIAN('中古車掲載'!AM31:AM37))</x:f>
        <x:v>439000</x:v>
      </x:c>
      <x:c r="G10" s="22" t="n">
        <x:f>IF(COUNT('中古車掲載'!AM31:AM37)=0,"",QUARTILE('中古車掲載'!AM31:AM37,3))</x:f>
        <x:v>452000</x:v>
      </x:c>
      <x:c r="H10" s="22" t="n">
        <x:f>COUNT('中古車掲載'!AN31:AN37)</x:f>
        <x:v>0</x:v>
      </x:c>
      <x:c r="I10" s="23" t="str">
        <x:f>IF(COUNT('中古車掲載'!AN31:AN37)=0,"",MEDIAN('中古車掲載'!AN31:AN37))</x:f>
      </x:c>
      <x:c r="J10" s="3" t="n">
        <x:f>COUNT('中古車掲載'!N31:N37)</x:f>
        <x:v>7</x:v>
      </x:c>
      <x:c r="K10" s="3"/>
      <x:c r="L10" s="3"/>
      <x:c r="M10" s="3"/>
      <x:c r="N10" s="3"/>
      <x:c r="O10" s="3"/>
      <x:c r="P10" s="3"/>
      <x:c r="Q10" s="3"/>
      <x:c r="R10" s="3" t="str">
        <x:v>One2car</x:v>
      </x:c>
      <x:c r="S10" s="3" t="str">
        <x:v>Corolla Altis</x:v>
      </x:c>
      <x:c r="T10" s="3" t="str">
        <x:v>HEV</x:v>
      </x:c>
      <x:c r="U10" s="3" t="str">
        <x:v>Bangkok metro</x:v>
      </x:c>
      <x:c r="V10" s="22" t="n">
        <x:f>COUNT(BK26:BK29)</x:f>
        <x:v>4</x:v>
      </x:c>
      <x:c r="W10" s="22" t="n">
        <x:f>IF(COUNT(BK26:BK29)=0,"",QUARTILE(BK26:BK29,1))</x:f>
        <x:v>539000</x:v>
      </x:c>
      <x:c r="X10" s="22" t="n">
        <x:f>IF(COUNT(BK26:BK29)=0,"",MEDIAN(BK26:BK29))</x:f>
        <x:v>594000</x:v>
      </x:c>
      <x:c r="Y10" s="22" t="n">
        <x:f>IF(COUNT(BK26:BK29)=0,"",QUARTILE(BK26:BK29,3))</x:f>
        <x:v>670500</x:v>
      </x:c>
      <x:c r="Z10" s="3"/>
      <x:c r="AA10" s="3" t="str">
        <x:v>Cross Safety｜50–100k</x:v>
      </x:c>
      <x:c r="AB10" s="3" t="n">
        <x:f>COUNT(BC7:BC1139)</x:f>
        <x:v>4</x:v>
      </x:c>
      <x:c r="AC10" s="22" t="n">
        <x:f>IF(COUNT(BC7:BC1139)=0,"",QUARTILE(BC7:BC1139,1))</x:f>
        <x:v>754000</x:v>
      </x:c>
      <x:c r="AD10" s="22" t="n">
        <x:f>IF(COUNT(BC7:BC1139)=0,"",MEDIAN(BC7:BC1139))</x:f>
        <x:v>768500</x:v>
      </x:c>
      <x:c r="AE10" s="22" t="n">
        <x:f>IF(COUNT(BC7:BC1139)=0,"",QUARTILE(BC7:BC1139,3))</x:f>
        <x:v>780750</x:v>
      </x:c>
      <x:c r="AF10" s="22" t="n">
        <x:f>'新車価格・特価'!K47</x:f>
        <x:v>1204000</x:v>
      </x:c>
      <x:c r="AG10" s="23" t="n">
        <x:f>IF(ISNUMBER(AD10),AD10/AF10,"")</x:f>
        <x:v>0.6382890365448505</x:v>
      </x:c>
      <x:c r="AH10" s="22" t="n">
        <x:f>'新車価格・特価'!N55</x:f>
        <x:v>1204000</x:v>
      </x:c>
      <x:c r="AI10" s="23" t="n">
        <x:f>IF(AND(ISNUMBER(AD10),ISNUMBER(AH10)),AD10/AH10,"")</x:f>
        <x:v>0.6382890365448505</x:v>
      </x:c>
      <x:c r="AJ10" s="3" t="n">
        <x:v>50000</x:v>
      </x:c>
      <x:c r="AK10" s="3" t="n">
        <x:v>100000</x:v>
      </x:c>
      <x:c r="AL10" s="3" t="str">
        <x:v>同じ表示距離帯でも走行分布・保証・税込条件は未統一。Crossはyear-2023ページのみ。</x:v>
      </x:c>
      <x:c r="AM10" s="3"/>
      <x:c r="AN10" s="3"/>
      <x:c r="AO10" s="3"/>
      <x:c r="AP10" s="3"/>
      <x:c r="AQ10" s="3"/>
      <x:c r="AR10" s="3"/>
      <x:c r="AS10" s="3"/>
      <x:c r="AT10" s="3"/>
      <x:c r="AU10" s="3"/>
      <x:c r="AV10" s="3"/>
      <x:c r="AW10" s="3"/>
      <x:c r="AX10" s="3"/>
      <x:c r="AY10" s="3"/>
      <x:c r="AZ10" s="3" t="str">
        <x:f>IF(AND('中古車掲載'!C11="One2car",'中古車掲載'!F11="ATTO 3",'中古車掲載'!L11="EXTENDED RANGE",'中古車掲載'!J11=2023,ISNUMBER('中古車掲載'!N11),'中古車掲載'!N11&gt;=20000,'中古車掲載'!O11&lt;=100000,'中古車掲載'!AL11=1),'中古車掲載'!U11,"")</x:f>
      </x:c>
      <x:c r="BA10" s="3" t="str">
        <x:f>IF(AND('中古車掲載'!C11="One2car",'中古車掲載'!F11="Corolla Cross",'中古車掲載'!L11="HEV PREMIUM SAFETY",'中古車掲載'!J11=2023,ISNUMBER('中古車掲載'!N11),'中古車掲載'!N11&gt;=20000,'中古車掲載'!O11&lt;=100000,'中古車掲載'!AL11=1,'中古車掲載'!Z11="https://www.one2car.com/en/cars-for-sale/toyota/corolla-cross/year-2023"),'中古車掲載'!U11,"")</x:f>
      </x:c>
      <x:c r="BB10" s="3" t="str">
        <x:f>IF(AND('中古車掲載'!C11="One2car",'中古車掲載'!F11="ATTO 3",'中古車掲載'!L11="EXTENDED RANGE",'中古車掲載'!J11=2023,ISNUMBER('中古車掲載'!N11),'中古車掲載'!N11&gt;=50000,'中古車掲載'!O11&lt;=100000,'中古車掲載'!AL11=1),'中古車掲載'!U11,"")</x:f>
      </x:c>
      <x:c r="BC10" s="3" t="str">
        <x:f>IF(AND('中古車掲載'!C11="One2car",'中古車掲載'!F11="Corolla Cross",'中古車掲載'!L11="HEV PREMIUM SAFETY",'中古車掲載'!J11=2023,ISNUMBER('中古車掲載'!N11),'中古車掲載'!N11&gt;=50000,'中古車掲載'!O11&lt;=100000,'中古車掲載'!AL11=1,'中古車掲載'!Z11="https://www.one2car.com/en/cars-for-sale/toyota/corolla-cross/year-2023"),'中古車掲載'!U11,"")</x:f>
      </x:c>
      <x:c r="BD10" s="3" t="str">
        <x:f>IF(AND('中古車掲載'!C11="One2car",'中古車掲載'!F11="ATTO 3",'中古車掲載'!L11="EXTENDED RANGE",'中古車掲載'!J11=2023,ISNUMBER('中古車掲載'!N11),'中古車掲載'!N11&gt;=20000,'中古車掲載'!O11&lt;=50000,'中古車掲載'!AL11=1),'中古車掲載'!U11,"")</x:f>
      </x:c>
      <x:c r="BE10" s="3" t="str">
        <x:f>IF(AND('中古車掲載'!C11="One2car",'中古車掲載'!F11="Corolla Cross",'中古車掲載'!L11="HEV PREMIUM SAFETY",'中古車掲載'!J11=2023,ISNUMBER('中古車掲載'!N11),'中古車掲載'!N11&gt;=20000,'中古車掲載'!O11&lt;=50000,'中古車掲載'!AL11=1,'中古車掲載'!Z11="https://www.one2car.com/en/cars-for-sale/toyota/corolla-cross/year-2023"),'中古車掲載'!U11,"")</x:f>
      </x:c>
      <x:c r="BF10" s="3" t="str">
        <x:f>IF(AND('中古車掲載'!C11="One2car",'中古車掲載'!F11="Corolla Cross",'中古車掲載'!L11="HEV PREMIUM",'中古車掲載'!J11=2023,ISNUMBER('中古車掲載'!N11),'中古車掲載'!N11&gt;=20000,'中古車掲載'!O11&lt;=100000,'中古車掲載'!AL11=1,'中古車掲載'!Z11="https://www.one2car.com/en/cars-for-sale/toyota/corolla-cross/year-2023"),'中古車掲載'!U11,"")</x:f>
      </x:c>
      <x:c r="BG10" s="3" t="str">
        <x:f>IF(AND('中古車掲載'!C11="One2car",'中古車掲載'!F11="Corolla Cross",'中古車掲載'!L11="HEV GR SPORT",'中古車掲載'!J11=2023,ISNUMBER('中古車掲載'!N11),'中古車掲載'!N11&gt;=20000,'中古車掲載'!O11&lt;=100000,'中古車掲載'!AL11=1,'中古車掲載'!Z11="https://www.one2car.com/en/cars-for-sale/toyota/corolla-cross/year-2023"),'中古車掲載'!U11,"")</x:f>
      </x:c>
      <x:c r="BH10" s="3" t="str">
        <x:f>IF(AND('中古車掲載'!C11="One2car",'中古車掲載'!F11="DOLPHIN",'中古車掲載'!L11="STANDARD RANGE",'中古車掲載'!J11=2023,ISNUMBER('中古車掲載'!N11),'中古車掲載'!N11&gt;=20000,'中古車掲載'!O11&lt;=100000,'中古車掲載'!AL11=1),'中古車掲載'!U11,"")</x:f>
      </x:c>
      <x:c r="BI10" s="3" t="str">
        <x:v>Carsome|Corolla Cross|HEV|Other province</x:v>
      </x:c>
      <x:c r="BJ10" s="3" t="n">
        <x:v>10</x:v>
      </x:c>
      <x:c r="BK10" s="3" t="n">
        <x:f>'中古車掲載'!AM10</x:f>
        <x:v>695000</x:v>
      </x:c>
      <x:c r="BL10" s="3" t="str">
        <x:f>IF(ISNUMBER('中古車掲載'!AN10),'中古車掲載'!AN10,"")</x:f>
      </x:c>
      <x:c r="BM10" s="3" t="str">
        <x:v>2020|Double cab</x:v>
      </x:c>
      <x:c r="BN10" s="3" t="n">
        <x:v>653</x:v>
      </x:c>
      <x:c r="BO10" s="3" t="n">
        <x:f>'中古車掲載'!AM653</x:f>
        <x:v>539000</x:v>
      </x:c>
      <x:c r="BP10" s="3" t="str">
        <x:v>2.4 E PRERUNNER DOUBLE CAB</x:v>
      </x:c>
      <x:c r="BQ10" s="3"/>
      <x:c r="BR10" s="3"/>
    </x:row>
    <x:row r="11" ht="22" customHeight="1">
      <x:c r="A11" s="3" t="str">
        <x:v>Corolla Cross</x:v>
      </x:c>
      <x:c r="B11" s="3" t="str">
        <x:v>HEV</x:v>
      </x:c>
      <x:c r="C11" s="3" t="str">
        <x:v>One2car</x:v>
      </x:c>
      <x:c r="D11" s="22" t="n">
        <x:f>COUNT('中古車掲載'!AM38:AM80)</x:f>
        <x:v>43</x:v>
      </x:c>
      <x:c r="E11" s="22" t="n">
        <x:f>IF(COUNT('中古車掲載'!AM38:AM80)=0,"",QUARTILE('中古車掲載'!AM38:AM80,1))</x:f>
        <x:v>669000</x:v>
      </x:c>
      <x:c r="F11" s="22" t="n">
        <x:f>IF(COUNT('中古車掲載'!AM38:AM80)=0,"",MEDIAN('中古車掲載'!AM38:AM80))</x:f>
        <x:v>739000</x:v>
      </x:c>
      <x:c r="G11" s="22" t="n">
        <x:f>IF(COUNT('中古車掲載'!AM38:AM80)=0,"",QUARTILE('中古車掲載'!AM38:AM80,3))</x:f>
        <x:v>799450</x:v>
      </x:c>
      <x:c r="H11" s="22" t="n">
        <x:f>COUNT('中古車掲載'!AN38:AN80)</x:f>
        <x:v>30</x:v>
      </x:c>
      <x:c r="I11" s="23" t="n">
        <x:f>IF(COUNT('中古車掲載'!AN38:AN80)=0,"",MEDIAN('中古車掲載'!AN38:AN80))</x:f>
        <x:v>0.665212237202925</x:v>
      </x:c>
      <x:c r="J11" s="3" t="n">
        <x:f>COUNT('中古車掲載'!N38:N80)</x:f>
        <x:v>43</x:v>
      </x:c>
      <x:c r="K11" s="3"/>
      <x:c r="L11" s="3"/>
      <x:c r="M11" s="3"/>
      <x:c r="N11" s="3"/>
      <x:c r="O11" s="3"/>
      <x:c r="P11" s="3"/>
      <x:c r="Q11" s="3"/>
      <x:c r="R11" s="3" t="str">
        <x:v>One2car</x:v>
      </x:c>
      <x:c r="S11" s="3" t="str">
        <x:v>Corolla Altis</x:v>
      </x:c>
      <x:c r="T11" s="3" t="str">
        <x:v>ICE</x:v>
      </x:c>
      <x:c r="U11" s="3" t="str">
        <x:v>Bangkok metro</x:v>
      </x:c>
      <x:c r="V11" s="22" t="n">
        <x:f>COUNT(BK30:BK36)</x:f>
        <x:v>7</x:v>
      </x:c>
      <x:c r="W11" s="22" t="n">
        <x:f>IF(COUNT(BK30:BK36)=0,"",QUARTILE(BK30:BK36,1))</x:f>
        <x:v>429000</x:v>
      </x:c>
      <x:c r="X11" s="22" t="n">
        <x:f>IF(COUNT(BK30:BK36)=0,"",MEDIAN(BK30:BK36))</x:f>
        <x:v>439000</x:v>
      </x:c>
      <x:c r="Y11" s="22" t="n">
        <x:f>IF(COUNT(BK30:BK36)=0,"",QUARTILE(BK30:BK36,3))</x:f>
        <x:v>452000</x:v>
      </x:c>
      <x:c r="Z11" s="3"/>
      <x:c r="AA11" s="3" t="str">
        <x:v>ATTO 3 Ext｜20–50k</x:v>
      </x:c>
      <x:c r="AB11" s="3" t="n">
        <x:f>COUNT(BD7:BD1139)</x:f>
        <x:v>2</x:v>
      </x:c>
      <x:c r="AC11" s="22" t="n">
        <x:f>IF(COUNT(BD7:BD1139)=0,"",QUARTILE(BD7:BD1139,1))</x:f>
        <x:v>478000</x:v>
      </x:c>
      <x:c r="AD11" s="22" t="n">
        <x:f>IF(COUNT(BD7:BD1139)=0,"",MEDIAN(BD7:BD1139))</x:f>
        <x:v>485000</x:v>
      </x:c>
      <x:c r="AE11" s="22" t="n">
        <x:f>IF(COUNT(BD7:BD1139)=0,"",QUARTILE(BD7:BD1139,3))</x:f>
        <x:v>492000</x:v>
      </x:c>
      <x:c r="AF11" s="22" t="n">
        <x:f>'新車価格・特価'!K8</x:f>
        <x:v>1199900</x:v>
      </x:c>
      <x:c r="AG11" s="23" t="n">
        <x:f>IF(ISNUMBER(AD11),AD11/AF11,"")</x:f>
        <x:v>0.4042003500291691</x:v>
      </x:c>
      <x:c r="AH11" s="22" t="n">
        <x:f>'新車価格・特価'!N35</x:f>
        <x:v>769900</x:v>
      </x:c>
      <x:c r="AI11" s="23" t="n">
        <x:f>IF(AND(ISNUMBER(AD11),ISNUMBER(AH11)),AD11/AH11,"")</x:f>
        <x:v>0.6299519418106247</x:v>
      </x:c>
      <x:c r="AJ11" s="3" t="n">
        <x:v>20000</x:v>
      </x:c>
      <x:c r="AK11" s="3" t="n">
        <x:v>50000</x:v>
      </x:c>
      <x:c r="AL11" s="3" t="str">
        <x:v>同じ表示距離帯でも走行分布・保証・税込条件は未統一。Crossはyear-2023ページのみ。</x:v>
      </x:c>
      <x:c r="AM11" s="3"/>
      <x:c r="AN11" s="3"/>
      <x:c r="AO11" s="3"/>
      <x:c r="AP11" s="3"/>
      <x:c r="AQ11" s="3"/>
      <x:c r="AR11" s="3"/>
      <x:c r="AS11" s="3"/>
      <x:c r="AT11" s="3"/>
      <x:c r="AU11" s="3"/>
      <x:c r="AV11" s="3"/>
      <x:c r="AW11" s="3"/>
      <x:c r="AX11" s="3"/>
      <x:c r="AY11" s="3"/>
      <x:c r="AZ11" s="3" t="str">
        <x:f>IF(AND('中古車掲載'!C12="One2car",'中古車掲載'!F12="ATTO 3",'中古車掲載'!L12="EXTENDED RANGE",'中古車掲載'!J12=2023,ISNUMBER('中古車掲載'!N12),'中古車掲載'!N12&gt;=20000,'中古車掲載'!O12&lt;=100000,'中古車掲載'!AL12=1),'中古車掲載'!U12,"")</x:f>
      </x:c>
      <x:c r="BA11" s="3" t="str">
        <x:f>IF(AND('中古車掲載'!C12="One2car",'中古車掲載'!F12="Corolla Cross",'中古車掲載'!L12="HEV PREMIUM SAFETY",'中古車掲載'!J12=2023,ISNUMBER('中古車掲載'!N12),'中古車掲載'!N12&gt;=20000,'中古車掲載'!O12&lt;=100000,'中古車掲載'!AL12=1,'中古車掲載'!Z12="https://www.one2car.com/en/cars-for-sale/toyota/corolla-cross/year-2023"),'中古車掲載'!U12,"")</x:f>
      </x:c>
      <x:c r="BB11" s="3" t="str">
        <x:f>IF(AND('中古車掲載'!C12="One2car",'中古車掲載'!F12="ATTO 3",'中古車掲載'!L12="EXTENDED RANGE",'中古車掲載'!J12=2023,ISNUMBER('中古車掲載'!N12),'中古車掲載'!N12&gt;=50000,'中古車掲載'!O12&lt;=100000,'中古車掲載'!AL12=1),'中古車掲載'!U12,"")</x:f>
      </x:c>
      <x:c r="BC11" s="3" t="str">
        <x:f>IF(AND('中古車掲載'!C12="One2car",'中古車掲載'!F12="Corolla Cross",'中古車掲載'!L12="HEV PREMIUM SAFETY",'中古車掲載'!J12=2023,ISNUMBER('中古車掲載'!N12),'中古車掲載'!N12&gt;=50000,'中古車掲載'!O12&lt;=100000,'中古車掲載'!AL12=1,'中古車掲載'!Z12="https://www.one2car.com/en/cars-for-sale/toyota/corolla-cross/year-2023"),'中古車掲載'!U12,"")</x:f>
      </x:c>
      <x:c r="BD11" s="3" t="str">
        <x:f>IF(AND('中古車掲載'!C12="One2car",'中古車掲載'!F12="ATTO 3",'中古車掲載'!L12="EXTENDED RANGE",'中古車掲載'!J12=2023,ISNUMBER('中古車掲載'!N12),'中古車掲載'!N12&gt;=20000,'中古車掲載'!O12&lt;=50000,'中古車掲載'!AL12=1),'中古車掲載'!U12,"")</x:f>
      </x:c>
      <x:c r="BE11" s="3" t="str">
        <x:f>IF(AND('中古車掲載'!C12="One2car",'中古車掲載'!F12="Corolla Cross",'中古車掲載'!L12="HEV PREMIUM SAFETY",'中古車掲載'!J12=2023,ISNUMBER('中古車掲載'!N12),'中古車掲載'!N12&gt;=20000,'中古車掲載'!O12&lt;=50000,'中古車掲載'!AL12=1,'中古車掲載'!Z12="https://www.one2car.com/en/cars-for-sale/toyota/corolla-cross/year-2023"),'中古車掲載'!U12,"")</x:f>
      </x:c>
      <x:c r="BF11" s="3" t="str">
        <x:f>IF(AND('中古車掲載'!C12="One2car",'中古車掲載'!F12="Corolla Cross",'中古車掲載'!L12="HEV PREMIUM",'中古車掲載'!J12=2023,ISNUMBER('中古車掲載'!N12),'中古車掲載'!N12&gt;=20000,'中古車掲載'!O12&lt;=100000,'中古車掲載'!AL12=1,'中古車掲載'!Z12="https://www.one2car.com/en/cars-for-sale/toyota/corolla-cross/year-2023"),'中古車掲載'!U12,"")</x:f>
      </x:c>
      <x:c r="BG11" s="3" t="str">
        <x:f>IF(AND('中古車掲載'!C12="One2car",'中古車掲載'!F12="Corolla Cross",'中古車掲載'!L12="HEV GR SPORT",'中古車掲載'!J12=2023,ISNUMBER('中古車掲載'!N12),'中古車掲載'!N12&gt;=20000,'中古車掲載'!O12&lt;=100000,'中古車掲載'!AL12=1,'中古車掲載'!Z12="https://www.one2car.com/en/cars-for-sale/toyota/corolla-cross/year-2023"),'中古車掲載'!U12,"")</x:f>
      </x:c>
      <x:c r="BH11" s="3" t="str">
        <x:f>IF(AND('中古車掲載'!C12="One2car",'中古車掲載'!F12="DOLPHIN",'中古車掲載'!L12="STANDARD RANGE",'中古車掲載'!J12=2023,ISNUMBER('中古車掲載'!N12),'中古車掲載'!N12&gt;=20000,'中古車掲載'!O12&lt;=100000,'中古車掲載'!AL12=1),'中古車掲載'!U12,"")</x:f>
      </x:c>
      <x:c r="BI11" s="3" t="str">
        <x:v>One2car|ATTO 3|BEV|Bangkok metro</x:v>
      </x:c>
      <x:c r="BJ11" s="3" t="n">
        <x:v>12</x:v>
      </x:c>
      <x:c r="BK11" s="3" t="n">
        <x:f>'中古車掲載'!AM12</x:f>
        <x:v>519000</x:v>
      </x:c>
      <x:c r="BL11" s="3" t="n">
        <x:f>IF(ISNUMBER('中古車掲載'!AN12),'中古車掲載'!AN12,"")</x:f>
        <x:v>0.47186107827984364</x:v>
      </x:c>
      <x:c r="BM11" s="3" t="str">
        <x:v>2020|Double cab</x:v>
      </x:c>
      <x:c r="BN11" s="3" t="n">
        <x:v>656</x:v>
      </x:c>
      <x:c r="BO11" s="3" t="n">
        <x:f>'中古車掲載'!AM656</x:f>
        <x:v>599000</x:v>
      </x:c>
      <x:c r="BP11" s="3" t="str">
        <x:v>2.4 ENTRY PRERUNNER DOUBLE CAB</x:v>
      </x:c>
      <x:c r="BQ11" s="3"/>
      <x:c r="BR11" s="3"/>
    </x:row>
    <x:row r="12" ht="22" customHeight="1">
      <x:c r="A12" s="3" t="str">
        <x:v>Corolla Cross</x:v>
      </x:c>
      <x:c r="B12" s="3" t="str">
        <x:v>ICE</x:v>
      </x:c>
      <x:c r="C12" s="3" t="str">
        <x:v>One2car</x:v>
      </x:c>
      <x:c r="D12" s="22" t="n">
        <x:f>COUNT('中古車掲載'!AM81:AM83)</x:f>
        <x:v>3</x:v>
      </x:c>
      <x:c r="E12" s="22" t="n">
        <x:f>IF(COUNT('中古車掲載'!AM81:AM83)=0,"",QUARTILE('中古車掲載'!AM81:AM83,1))</x:f>
        <x:v>568500</x:v>
      </x:c>
      <x:c r="F12" s="22" t="n">
        <x:f>IF(COUNT('中古車掲載'!AM81:AM83)=0,"",MEDIAN('中古車掲載'!AM81:AM83))</x:f>
        <x:v>579000</x:v>
      </x:c>
      <x:c r="G12" s="22" t="n">
        <x:f>IF(COUNT('中古車掲載'!AM81:AM83)=0,"",QUARTILE('中古車掲載'!AM81:AM83,3))</x:f>
        <x:v>609000</x:v>
      </x:c>
      <x:c r="H12" s="22" t="n">
        <x:f>COUNT('中古車掲載'!AN81:AN83)</x:f>
        <x:v>1</x:v>
      </x:c>
      <x:c r="I12" s="23" t="n">
        <x:f>IF(COUNT('中古車掲載'!AN81:AN83)=0,"",MEDIAN('中古車掲載'!AN81:AN83))</x:f>
        <x:v>0.6396396396396397</x:v>
      </x:c>
      <x:c r="J12" s="3" t="n">
        <x:f>COUNT('中古車掲載'!N81:N83)</x:f>
        <x:v>3</x:v>
      </x:c>
      <x:c r="K12" s="3"/>
      <x:c r="L12" s="3"/>
      <x:c r="M12" s="3"/>
      <x:c r="N12" s="3"/>
      <x:c r="O12" s="3"/>
      <x:c r="P12" s="3"/>
      <x:c r="Q12" s="3"/>
      <x:c r="R12" s="3" t="str">
        <x:v>One2car</x:v>
      </x:c>
      <x:c r="S12" s="3" t="str">
        <x:v>Corolla Cross</x:v>
      </x:c>
      <x:c r="T12" s="3" t="str">
        <x:v>HEV</x:v>
      </x:c>
      <x:c r="U12" s="3" t="str">
        <x:v>Bangkok metro</x:v>
      </x:c>
      <x:c r="V12" s="22" t="n">
        <x:f>COUNT(BK37:BK76)</x:f>
        <x:v>40</x:v>
      </x:c>
      <x:c r="W12" s="22" t="n">
        <x:f>IF(COUNT(BK37:BK76)=0,"",QUARTILE(BK37:BK76,1))</x:f>
        <x:v>669000</x:v>
      </x:c>
      <x:c r="X12" s="22" t="n">
        <x:f>IF(COUNT(BK37:BK76)=0,"",MEDIAN(BK37:BK76))</x:f>
        <x:v>739000</x:v>
      </x:c>
      <x:c r="Y12" s="22" t="n">
        <x:f>IF(COUNT(BK37:BK76)=0,"",QUARTILE(BK37:BK76,3))</x:f>
        <x:v>799225</x:v>
      </x:c>
      <x:c r="Z12" s="3"/>
      <x:c r="AA12" s="3" t="str">
        <x:v>Cross Safety｜20–50k</x:v>
      </x:c>
      <x:c r="AB12" s="3" t="n">
        <x:f>COUNT(BE7:BE1139)</x:f>
        <x:v>1</x:v>
      </x:c>
      <x:c r="AC12" s="22" t="n">
        <x:f>IF(COUNT(BE7:BE1139)=0,"",QUARTILE(BE7:BE1139,1))</x:f>
        <x:v>759000</x:v>
      </x:c>
      <x:c r="AD12" s="22" t="n">
        <x:f>IF(COUNT(BE7:BE1139)=0,"",MEDIAN(BE7:BE1139))</x:f>
        <x:v>759000</x:v>
      </x:c>
      <x:c r="AE12" s="22" t="n">
        <x:f>IF(COUNT(BE7:BE1139)=0,"",QUARTILE(BE7:BE1139,3))</x:f>
        <x:v>759000</x:v>
      </x:c>
      <x:c r="AF12" s="22" t="n">
        <x:f>'新車価格・特価'!K47</x:f>
        <x:v>1204000</x:v>
      </x:c>
      <x:c r="AG12" s="23" t="n">
        <x:f>IF(ISNUMBER(AD12),AD12/AF12,"")</x:f>
        <x:v>0.6303986710963455</x:v>
      </x:c>
      <x:c r="AH12" s="22" t="n">
        <x:f>'新車価格・特価'!N55</x:f>
        <x:v>1204000</x:v>
      </x:c>
      <x:c r="AI12" s="23" t="n">
        <x:f>IF(AND(ISNUMBER(AD12),ISNUMBER(AH12)),AD12/AH12,"")</x:f>
        <x:v>0.6303986710963455</x:v>
      </x:c>
      <x:c r="AJ12" s="3" t="n">
        <x:v>20000</x:v>
      </x:c>
      <x:c r="AK12" s="3" t="n">
        <x:v>50000</x:v>
      </x:c>
      <x:c r="AL12" s="3" t="str">
        <x:v>同じ表示距離帯でも走行分布・保証・税込条件は未統一。Crossはyear-2023ページのみ。</x:v>
      </x:c>
      <x:c r="AM12" s="3"/>
      <x:c r="AN12" s="3"/>
      <x:c r="AO12" s="3"/>
      <x:c r="AP12" s="3"/>
      <x:c r="AQ12" s="3"/>
      <x:c r="AR12" s="3"/>
      <x:c r="AS12" s="3"/>
      <x:c r="AT12" s="3"/>
      <x:c r="AU12" s="3"/>
      <x:c r="AV12" s="3"/>
      <x:c r="AW12" s="3"/>
      <x:c r="AX12" s="3"/>
      <x:c r="AY12" s="3"/>
      <x:c r="AZ12" s="3" t="str">
        <x:f>IF(AND('中古車掲載'!C13="One2car",'中古車掲載'!F13="ATTO 3",'中古車掲載'!L13="EXTENDED RANGE",'中古車掲載'!J13=2023,ISNUMBER('中古車掲載'!N13),'中古車掲載'!N13&gt;=20000,'中古車掲載'!O13&lt;=100000,'中古車掲載'!AL13=1),'中古車掲載'!U13,"")</x:f>
      </x:c>
      <x:c r="BA12" s="3" t="str">
        <x:f>IF(AND('中古車掲載'!C13="One2car",'中古車掲載'!F13="Corolla Cross",'中古車掲載'!L13="HEV PREMIUM SAFETY",'中古車掲載'!J13=2023,ISNUMBER('中古車掲載'!N13),'中古車掲載'!N13&gt;=20000,'中古車掲載'!O13&lt;=100000,'中古車掲載'!AL13=1,'中古車掲載'!Z13="https://www.one2car.com/en/cars-for-sale/toyota/corolla-cross/year-2023"),'中古車掲載'!U13,"")</x:f>
      </x:c>
      <x:c r="BB12" s="3" t="str">
        <x:f>IF(AND('中古車掲載'!C13="One2car",'中古車掲載'!F13="ATTO 3",'中古車掲載'!L13="EXTENDED RANGE",'中古車掲載'!J13=2023,ISNUMBER('中古車掲載'!N13),'中古車掲載'!N13&gt;=50000,'中古車掲載'!O13&lt;=100000,'中古車掲載'!AL13=1),'中古車掲載'!U13,"")</x:f>
      </x:c>
      <x:c r="BC12" s="3" t="str">
        <x:f>IF(AND('中古車掲載'!C13="One2car",'中古車掲載'!F13="Corolla Cross",'中古車掲載'!L13="HEV PREMIUM SAFETY",'中古車掲載'!J13=2023,ISNUMBER('中古車掲載'!N13),'中古車掲載'!N13&gt;=50000,'中古車掲載'!O13&lt;=100000,'中古車掲載'!AL13=1,'中古車掲載'!Z13="https://www.one2car.com/en/cars-for-sale/toyota/corolla-cross/year-2023"),'中古車掲載'!U13,"")</x:f>
      </x:c>
      <x:c r="BD12" s="3" t="str">
        <x:f>IF(AND('中古車掲載'!C13="One2car",'中古車掲載'!F13="ATTO 3",'中古車掲載'!L13="EXTENDED RANGE",'中古車掲載'!J13=2023,ISNUMBER('中古車掲載'!N13),'中古車掲載'!N13&gt;=20000,'中古車掲載'!O13&lt;=50000,'中古車掲載'!AL13=1),'中古車掲載'!U13,"")</x:f>
      </x:c>
      <x:c r="BE12" s="3" t="str">
        <x:f>IF(AND('中古車掲載'!C13="One2car",'中古車掲載'!F13="Corolla Cross",'中古車掲載'!L13="HEV PREMIUM SAFETY",'中古車掲載'!J13=2023,ISNUMBER('中古車掲載'!N13),'中古車掲載'!N13&gt;=20000,'中古車掲載'!O13&lt;=50000,'中古車掲載'!AL13=1,'中古車掲載'!Z13="https://www.one2car.com/en/cars-for-sale/toyota/corolla-cross/year-2023"),'中古車掲載'!U13,"")</x:f>
      </x:c>
      <x:c r="BF12" s="3" t="str">
        <x:f>IF(AND('中古車掲載'!C13="One2car",'中古車掲載'!F13="Corolla Cross",'中古車掲載'!L13="HEV PREMIUM",'中古車掲載'!J13=2023,ISNUMBER('中古車掲載'!N13),'中古車掲載'!N13&gt;=20000,'中古車掲載'!O13&lt;=100000,'中古車掲載'!AL13=1,'中古車掲載'!Z13="https://www.one2car.com/en/cars-for-sale/toyota/corolla-cross/year-2023"),'中古車掲載'!U13,"")</x:f>
      </x:c>
      <x:c r="BG12" s="3" t="str">
        <x:f>IF(AND('中古車掲載'!C13="One2car",'中古車掲載'!F13="Corolla Cross",'中古車掲載'!L13="HEV GR SPORT",'中古車掲載'!J13=2023,ISNUMBER('中古車掲載'!N13),'中古車掲載'!N13&gt;=20000,'中古車掲載'!O13&lt;=100000,'中古車掲載'!AL13=1,'中古車掲載'!Z13="https://www.one2car.com/en/cars-for-sale/toyota/corolla-cross/year-2023"),'中古車掲載'!U13,"")</x:f>
      </x:c>
      <x:c r="BH12" s="3" t="str">
        <x:f>IF(AND('中古車掲載'!C13="One2car",'中古車掲載'!F13="DOLPHIN",'中古車掲載'!L13="STANDARD RANGE",'中古車掲載'!J13=2023,ISNUMBER('中古車掲載'!N13),'中古車掲載'!N13&gt;=20000,'中古車掲載'!O13&lt;=100000,'中古車掲載'!AL13=1),'中古車掲載'!U13,"")</x:f>
      </x:c>
      <x:c r="BI12" s="3" t="str">
        <x:v>One2car|ATTO 3|BEV|Bangkok metro</x:v>
      </x:c>
      <x:c r="BJ12" s="3" t="n">
        <x:v>13</x:v>
      </x:c>
      <x:c r="BK12" s="3" t="n">
        <x:f>'中古車掲載'!AM13</x:f>
        <x:v>437000</x:v>
      </x:c>
      <x:c r="BL12" s="3" t="n">
        <x:f>IF(ISNUMBER('中古車掲載'!AN13),'中古車掲載'!AN13,"")</x:f>
        <x:v>0.3641970164180348</x:v>
      </x:c>
      <x:c r="BM12" s="3" t="str">
        <x:v>2020|Double cab</x:v>
      </x:c>
      <x:c r="BN12" s="3" t="n">
        <x:v>664</x:v>
      </x:c>
      <x:c r="BO12" s="3" t="n">
        <x:f>'中古車掲載'!AM664</x:f>
        <x:v>399000</x:v>
      </x:c>
      <x:c r="BP12" s="3" t="str">
        <x:v>2.4 ENTRY Z EDITION DOUBLE CAB</x:v>
      </x:c>
      <x:c r="BQ12" s="3"/>
      <x:c r="BR12" s="3"/>
    </x:row>
    <x:row r="13" ht="22" customHeight="1">
      <x:c r="A13" s="3" t="str">
        <x:v>DOLPHIN</x:v>
      </x:c>
      <x:c r="B13" s="3" t="str">
        <x:v>BEV</x:v>
      </x:c>
      <x:c r="C13" s="3" t="str">
        <x:v>One2car</x:v>
      </x:c>
      <x:c r="D13" s="22" t="n">
        <x:f>COUNT('中古車掲載'!AM84:AM99)</x:f>
        <x:v>15</x:v>
      </x:c>
      <x:c r="E13" s="22" t="n">
        <x:f>IF(COUNT('中古車掲載'!AM84:AM99)=0,"",QUARTILE('中古車掲載'!AM84:AM99,1))</x:f>
        <x:v>332000</x:v>
      </x:c>
      <x:c r="F13" s="22" t="n">
        <x:f>IF(COUNT('中古車掲載'!AM84:AM99)=0,"",MEDIAN('中古車掲載'!AM84:AM99))</x:f>
        <x:v>359000</x:v>
      </x:c>
      <x:c r="G13" s="22" t="n">
        <x:f>IF(COUNT('中古車掲載'!AM84:AM99)=0,"",QUARTILE('中古車掲載'!AM84:AM99,3))</x:f>
        <x:v>443000</x:v>
      </x:c>
      <x:c r="H13" s="22" t="n">
        <x:f>COUNT('中古車掲載'!AN84:AN99)</x:f>
        <x:v>8</x:v>
      </x:c>
      <x:c r="I13" s="23" t="n">
        <x:f>IF(COUNT('中古車掲載'!AN84:AN99)=0,"",MEDIAN('中古車掲載'!AN84:AN99))</x:f>
        <x:v>0.44857206938867056</x:v>
      </x:c>
      <x:c r="J13" s="3" t="n">
        <x:f>COUNT('中古車掲載'!N84:N99)</x:f>
        <x:v>16</x:v>
      </x:c>
      <x:c r="K13" s="3"/>
      <x:c r="L13" s="3"/>
      <x:c r="M13" s="3"/>
      <x:c r="N13" s="3"/>
      <x:c r="O13" s="3"/>
      <x:c r="P13" s="3"/>
      <x:c r="Q13" s="3"/>
      <x:c r="R13" s="3" t="str">
        <x:v>One2car</x:v>
      </x:c>
      <x:c r="S13" s="3" t="str">
        <x:v>Corolla Cross</x:v>
      </x:c>
      <x:c r="T13" s="3" t="str">
        <x:v>HEV</x:v>
      </x:c>
      <x:c r="U13" s="3" t="str">
        <x:v>Other province</x:v>
      </x:c>
      <x:c r="V13" s="22" t="n">
        <x:f>COUNT(BK77:BK79)</x:f>
        <x:v>3</x:v>
      </x:c>
      <x:c r="W13" s="22" t="n">
        <x:f>IF(COUNT(BK77:BK79)=0,"",QUARTILE(BK77:BK79,1))</x:f>
        <x:v>739500</x:v>
      </x:c>
      <x:c r="X13" s="22" t="n">
        <x:f>IF(COUNT(BK77:BK79)=0,"",MEDIAN(BK77:BK79))</x:f>
        <x:v>749000</x:v>
      </x:c>
      <x:c r="Y13" s="22" t="n">
        <x:f>IF(COUNT(BK77:BK79)=0,"",QUARTILE(BK77:BK79,3))</x:f>
        <x:v>814000</x:v>
      </x:c>
      <x:c r="Z13" s="3"/>
      <x:c r="AA13" s="3" t="str">
        <x:v>Cross Premium｜20–100k</x:v>
      </x:c>
      <x:c r="AB13" s="3" t="n">
        <x:f>COUNT(BF7:BF1139)</x:f>
        <x:v>6</x:v>
      </x:c>
      <x:c r="AC13" s="22" t="n">
        <x:f>IF(COUNT(BF7:BF1139)=0,"",QUARTILE(BF7:BF1139,1))</x:f>
        <x:v>698250</x:v>
      </x:c>
      <x:c r="AD13" s="22" t="n">
        <x:f>IF(COUNT(BF7:BF1139)=0,"",MEDIAN(BF7:BF1139))</x:f>
        <x:v>734000</x:v>
      </x:c>
      <x:c r="AE13" s="22" t="n">
        <x:f>IF(COUNT(BF7:BF1139)=0,"",QUARTILE(BF7:BF1139,3))</x:f>
        <x:v>739000</x:v>
      </x:c>
      <x:c r="AF13" s="22" t="n">
        <x:f>'新車価格・特価'!K46</x:f>
        <x:v>1094000</x:v>
      </x:c>
      <x:c r="AG13" s="23" t="n">
        <x:f>IF(ISNUMBER(AD13),AD13/AF13,"")</x:f>
        <x:v>0.6709323583180987</x:v>
      </x:c>
      <x:c r="AH13" s="22" t="n">
        <x:f>'新車価格・特価'!N54</x:f>
        <x:v>1094000</x:v>
      </x:c>
      <x:c r="AI13" s="23" t="n">
        <x:f>IF(AND(ISNUMBER(AD13),ISNUMBER(AH13)),AD13/AH13,"")</x:f>
        <x:v>0.6709323583180987</x:v>
      </x:c>
      <x:c r="AJ13" s="3" t="n">
        <x:v>20000</x:v>
      </x:c>
      <x:c r="AK13" s="3" t="n">
        <x:v>100000</x:v>
      </x:c>
      <x:c r="AL13" s="3" t="str">
        <x:v>同じ表示距離帯でも走行分布・保証・税込条件は未統一。Crossはyear-2023ページのみ。</x:v>
      </x:c>
      <x:c r="AM13" s="3"/>
      <x:c r="AN13" s="3"/>
      <x:c r="AO13" s="3"/>
      <x:c r="AP13" s="3"/>
      <x:c r="AQ13" s="3"/>
      <x:c r="AR13" s="3"/>
      <x:c r="AS13" s="3"/>
      <x:c r="AT13" s="3"/>
      <x:c r="AU13" s="3"/>
      <x:c r="AV13" s="3"/>
      <x:c r="AW13" s="3"/>
      <x:c r="AX13" s="3"/>
      <x:c r="AY13" s="3"/>
      <x:c r="AZ13" s="3" t="n">
        <x:f>IF(AND('中古車掲載'!C14="One2car",'中古車掲載'!F14="ATTO 3",'中古車掲載'!L14="EXTENDED RANGE",'中古車掲載'!J14=2023,ISNUMBER('中古車掲載'!N14),'中古車掲載'!N14&gt;=20000,'中古車掲載'!O14&lt;=100000,'中古車掲載'!AL14=1),'中古車掲載'!U14,"")</x:f>
        <x:v>499000</x:v>
      </x:c>
      <x:c r="BA13" s="3" t="str">
        <x:f>IF(AND('中古車掲載'!C14="One2car",'中古車掲載'!F14="Corolla Cross",'中古車掲載'!L14="HEV PREMIUM SAFETY",'中古車掲載'!J14=2023,ISNUMBER('中古車掲載'!N14),'中古車掲載'!N14&gt;=20000,'中古車掲載'!O14&lt;=100000,'中古車掲載'!AL14=1,'中古車掲載'!Z14="https://www.one2car.com/en/cars-for-sale/toyota/corolla-cross/year-2023"),'中古車掲載'!U14,"")</x:f>
      </x:c>
      <x:c r="BB13" s="3" t="str">
        <x:f>IF(AND('中古車掲載'!C14="One2car",'中古車掲載'!F14="ATTO 3",'中古車掲載'!L14="EXTENDED RANGE",'中古車掲載'!J14=2023,ISNUMBER('中古車掲載'!N14),'中古車掲載'!N14&gt;=50000,'中古車掲載'!O14&lt;=100000,'中古車掲載'!AL14=1),'中古車掲載'!U14,"")</x:f>
      </x:c>
      <x:c r="BC13" s="3" t="str">
        <x:f>IF(AND('中古車掲載'!C14="One2car",'中古車掲載'!F14="Corolla Cross",'中古車掲載'!L14="HEV PREMIUM SAFETY",'中古車掲載'!J14=2023,ISNUMBER('中古車掲載'!N14),'中古車掲載'!N14&gt;=50000,'中古車掲載'!O14&lt;=100000,'中古車掲載'!AL14=1,'中古車掲載'!Z14="https://www.one2car.com/en/cars-for-sale/toyota/corolla-cross/year-2023"),'中古車掲載'!U14,"")</x:f>
      </x:c>
      <x:c r="BD13" s="3" t="n">
        <x:f>IF(AND('中古車掲載'!C14="One2car",'中古車掲載'!F14="ATTO 3",'中古車掲載'!L14="EXTENDED RANGE",'中古車掲載'!J14=2023,ISNUMBER('中古車掲載'!N14),'中古車掲載'!N14&gt;=20000,'中古車掲載'!O14&lt;=50000,'中古車掲載'!AL14=1),'中古車掲載'!U14,"")</x:f>
        <x:v>499000</x:v>
      </x:c>
      <x:c r="BE13" s="3" t="str">
        <x:f>IF(AND('中古車掲載'!C14="One2car",'中古車掲載'!F14="Corolla Cross",'中古車掲載'!L14="HEV PREMIUM SAFETY",'中古車掲載'!J14=2023,ISNUMBER('中古車掲載'!N14),'中古車掲載'!N14&gt;=20000,'中古車掲載'!O14&lt;=50000,'中古車掲載'!AL14=1,'中古車掲載'!Z14="https://www.one2car.com/en/cars-for-sale/toyota/corolla-cross/year-2023"),'中古車掲載'!U14,"")</x:f>
      </x:c>
      <x:c r="BF13" s="3" t="str">
        <x:f>IF(AND('中古車掲載'!C14="One2car",'中古車掲載'!F14="Corolla Cross",'中古車掲載'!L14="HEV PREMIUM",'中古車掲載'!J14=2023,ISNUMBER('中古車掲載'!N14),'中古車掲載'!N14&gt;=20000,'中古車掲載'!O14&lt;=100000,'中古車掲載'!AL14=1,'中古車掲載'!Z14="https://www.one2car.com/en/cars-for-sale/toyota/corolla-cross/year-2023"),'中古車掲載'!U14,"")</x:f>
      </x:c>
      <x:c r="BG13" s="3" t="str">
        <x:f>IF(AND('中古車掲載'!C14="One2car",'中古車掲載'!F14="Corolla Cross",'中古車掲載'!L14="HEV GR SPORT",'中古車掲載'!J14=2023,ISNUMBER('中古車掲載'!N14),'中古車掲載'!N14&gt;=20000,'中古車掲載'!O14&lt;=100000,'中古車掲載'!AL14=1,'中古車掲載'!Z14="https://www.one2car.com/en/cars-for-sale/toyota/corolla-cross/year-2023"),'中古車掲載'!U14,"")</x:f>
      </x:c>
      <x:c r="BH13" s="3" t="str">
        <x:f>IF(AND('中古車掲載'!C14="One2car",'中古車掲載'!F14="DOLPHIN",'中古車掲載'!L14="STANDARD RANGE",'中古車掲載'!J14=2023,ISNUMBER('中古車掲載'!N14),'中古車掲載'!N14&gt;=20000,'中古車掲載'!O14&lt;=100000,'中古車掲載'!AL14=1),'中古車掲載'!U14,"")</x:f>
      </x:c>
      <x:c r="BI13" s="3" t="str">
        <x:v>One2car|ATTO 3|BEV|Bangkok metro</x:v>
      </x:c>
      <x:c r="BJ13" s="3" t="n">
        <x:v>14</x:v>
      </x:c>
      <x:c r="BK13" s="3" t="n">
        <x:f>'中古車掲載'!AM14</x:f>
        <x:v>499000</x:v>
      </x:c>
      <x:c r="BL13" s="3" t="n">
        <x:f>IF(ISNUMBER('中古車掲載'!AN14),'中古車掲載'!AN14,"")</x:f>
        <x:v>0.4158679889990833</x:v>
      </x:c>
      <x:c r="BM13" s="3" t="str">
        <x:v>2020|Double cab</x:v>
      </x:c>
      <x:c r="BN13" s="3" t="n">
        <x:v>665</x:v>
      </x:c>
      <x:c r="BO13" s="3" t="n">
        <x:f>'中古車掲載'!AM665</x:f>
        <x:v>425000</x:v>
      </x:c>
      <x:c r="BP13" s="3" t="str">
        <x:v>2.4 ENTRY Z EDITION DOUBLE CAB</x:v>
      </x:c>
      <x:c r="BQ13" s="3"/>
      <x:c r="BR13" s="3"/>
    </x:row>
    <x:row r="14" ht="22" customHeight="1">
      <x:c r="A14" s="3" t="str">
        <x:v>Fortuner</x:v>
      </x:c>
      <x:c r="B14" s="3" t="str">
        <x:v>ICE</x:v>
      </x:c>
      <x:c r="C14" s="3" t="str">
        <x:v>One2car</x:v>
      </x:c>
      <x:c r="D14" s="22" t="n">
        <x:f>COUNT('中古車掲載'!AM100:AM115)</x:f>
        <x:v>16</x:v>
      </x:c>
      <x:c r="E14" s="22" t="n">
        <x:f>IF(COUNT('中古車掲載'!AM100:AM115)=0,"",QUARTILE('中古車掲載'!AM100:AM115,1))</x:f>
        <x:v>799000</x:v>
      </x:c>
      <x:c r="F14" s="22" t="n">
        <x:f>IF(COUNT('中古車掲載'!AM100:AM115)=0,"",MEDIAN('中古車掲載'!AM100:AM115))</x:f>
        <x:v>899000</x:v>
      </x:c>
      <x:c r="G14" s="22" t="n">
        <x:f>IF(COUNT('中古車掲載'!AM100:AM115)=0,"",QUARTILE('中古車掲載'!AM100:AM115,3))</x:f>
        <x:v>1087250</x:v>
      </x:c>
      <x:c r="H14" s="22" t="n">
        <x:f>COUNT('中古車掲載'!AN100:AN115)</x:f>
        <x:v>0</x:v>
      </x:c>
      <x:c r="I14" s="23" t="str">
        <x:f>IF(COUNT('中古車掲載'!AN100:AN115)=0,"",MEDIAN('中古車掲載'!AN100:AN115))</x:f>
      </x:c>
      <x:c r="J14" s="3" t="n">
        <x:f>COUNT('中古車掲載'!N100:N115)</x:f>
        <x:v>16</x:v>
      </x:c>
      <x:c r="K14" s="3"/>
      <x:c r="L14" s="3"/>
      <x:c r="M14" s="3"/>
      <x:c r="N14" s="3"/>
      <x:c r="O14" s="3"/>
      <x:c r="P14" s="3"/>
      <x:c r="Q14" s="3"/>
      <x:c r="R14" s="3" t="str">
        <x:v>One2car</x:v>
      </x:c>
      <x:c r="S14" s="3" t="str">
        <x:v>Corolla Cross</x:v>
      </x:c>
      <x:c r="T14" s="3" t="str">
        <x:v>ICE</x:v>
      </x:c>
      <x:c r="U14" s="3" t="str">
        <x:v>Bangkok metro</x:v>
      </x:c>
      <x:c r="V14" s="22" t="n">
        <x:f>COUNT(BK80:BK82)</x:f>
        <x:v>3</x:v>
      </x:c>
      <x:c r="W14" s="22" t="n">
        <x:f>IF(COUNT(BK80:BK82)=0,"",QUARTILE(BK80:BK82,1))</x:f>
        <x:v>568500</x:v>
      </x:c>
      <x:c r="X14" s="22" t="n">
        <x:f>IF(COUNT(BK80:BK82)=0,"",MEDIAN(BK80:BK82))</x:f>
        <x:v>579000</x:v>
      </x:c>
      <x:c r="Y14" s="22" t="n">
        <x:f>IF(COUNT(BK80:BK82)=0,"",QUARTILE(BK80:BK82,3))</x:f>
        <x:v>609000</x:v>
      </x:c>
      <x:c r="Z14" s="3"/>
      <x:c r="AA14" s="3" t="str">
        <x:v>Cross GR｜20–100k</x:v>
      </x:c>
      <x:c r="AB14" s="3" t="n">
        <x:f>COUNT(BG7:BG1139)</x:f>
        <x:v>6</x:v>
      </x:c>
      <x:c r="AC14" s="22" t="n">
        <x:f>IF(COUNT(BG7:BG1139)=0,"",QUARTILE(BG7:BG1139,1))</x:f>
        <x:v>799225</x:v>
      </x:c>
      <x:c r="AD14" s="22" t="n">
        <x:f>IF(COUNT(BG7:BG1139)=0,"",MEDIAN(BG7:BG1139))</x:f>
        <x:v>819450</x:v>
      </x:c>
      <x:c r="AE14" s="22" t="n">
        <x:f>IF(COUNT(BG7:BG1139)=0,"",QUARTILE(BG7:BG1139,3))</x:f>
        <x:v>846500</x:v>
      </x:c>
      <x:c r="AF14" s="22" t="n">
        <x:f>'新車価格・特価'!K48</x:f>
        <x:v>1254000</x:v>
      </x:c>
      <x:c r="AG14" s="23" t="n">
        <x:f>IF(ISNUMBER(AD14),AD14/AF14,"")</x:f>
        <x:v>0.6534688995215311</x:v>
      </x:c>
      <x:c r="AH14" s="22" t="str">
        <x:f>""</x:f>
      </x:c>
      <x:c r="AI14" s="23" t="str">
        <x:f>IF(AND(ISNUMBER(AD14),ISNUMBER(AH14)),AD14/AH14,"")</x:f>
      </x:c>
      <x:c r="AJ14" s="3" t="n">
        <x:v>20000</x:v>
      </x:c>
      <x:c r="AK14" s="3" t="n">
        <x:v>100000</x:v>
      </x:c>
      <x:c r="AL14" s="3" t="str">
        <x:v>同じ表示距離帯でも走行分布・保証・税込条件は未統一。Crossはyear-2023ページのみ。</x:v>
      </x:c>
      <x:c r="AM14" s="3"/>
      <x:c r="AN14" s="3"/>
      <x:c r="AO14" s="3"/>
      <x:c r="AP14" s="3"/>
      <x:c r="AQ14" s="3"/>
      <x:c r="AR14" s="3"/>
      <x:c r="AS14" s="3"/>
      <x:c r="AT14" s="3"/>
      <x:c r="AU14" s="3"/>
      <x:c r="AV14" s="3"/>
      <x:c r="AW14" s="3"/>
      <x:c r="AX14" s="3"/>
      <x:c r="AY14" s="3"/>
      <x:c r="AZ14" s="3" t="n">
        <x:f>IF(AND('中古車掲載'!C15="One2car",'中古車掲載'!F15="ATTO 3",'中古車掲載'!L15="EXTENDED RANGE",'中古車掲載'!J15=2023,ISNUMBER('中古車掲載'!N15),'中古車掲載'!N15&gt;=20000,'中古車掲載'!O15&lt;=100000,'中古車掲載'!AL15=1),'中古車掲載'!U15,"")</x:f>
        <x:v>471000</x:v>
      </x:c>
      <x:c r="BA14" s="3" t="str">
        <x:f>IF(AND('中古車掲載'!C15="One2car",'中古車掲載'!F15="Corolla Cross",'中古車掲載'!L15="HEV PREMIUM SAFETY",'中古車掲載'!J15=2023,ISNUMBER('中古車掲載'!N15),'中古車掲載'!N15&gt;=20000,'中古車掲載'!O15&lt;=100000,'中古車掲載'!AL15=1,'中古車掲載'!Z15="https://www.one2car.com/en/cars-for-sale/toyota/corolla-cross/year-2023"),'中古車掲載'!U15,"")</x:f>
      </x:c>
      <x:c r="BB14" s="3" t="str">
        <x:f>IF(AND('中古車掲載'!C15="One2car",'中古車掲載'!F15="ATTO 3",'中古車掲載'!L15="EXTENDED RANGE",'中古車掲載'!J15=2023,ISNUMBER('中古車掲載'!N15),'中古車掲載'!N15&gt;=50000,'中古車掲載'!O15&lt;=100000,'中古車掲載'!AL15=1),'中古車掲載'!U15,"")</x:f>
      </x:c>
      <x:c r="BC14" s="3" t="str">
        <x:f>IF(AND('中古車掲載'!C15="One2car",'中古車掲載'!F15="Corolla Cross",'中古車掲載'!L15="HEV PREMIUM SAFETY",'中古車掲載'!J15=2023,ISNUMBER('中古車掲載'!N15),'中古車掲載'!N15&gt;=50000,'中古車掲載'!O15&lt;=100000,'中古車掲載'!AL15=1,'中古車掲載'!Z15="https://www.one2car.com/en/cars-for-sale/toyota/corolla-cross/year-2023"),'中古車掲載'!U15,"")</x:f>
      </x:c>
      <x:c r="BD14" s="3" t="n">
        <x:f>IF(AND('中古車掲載'!C15="One2car",'中古車掲載'!F15="ATTO 3",'中古車掲載'!L15="EXTENDED RANGE",'中古車掲載'!J15=2023,ISNUMBER('中古車掲載'!N15),'中古車掲載'!N15&gt;=20000,'中古車掲載'!O15&lt;=50000,'中古車掲載'!AL15=1),'中古車掲載'!U15,"")</x:f>
        <x:v>471000</x:v>
      </x:c>
      <x:c r="BE14" s="3" t="str">
        <x:f>IF(AND('中古車掲載'!C15="One2car",'中古車掲載'!F15="Corolla Cross",'中古車掲載'!L15="HEV PREMIUM SAFETY",'中古車掲載'!J15=2023,ISNUMBER('中古車掲載'!N15),'中古車掲載'!N15&gt;=20000,'中古車掲載'!O15&lt;=50000,'中古車掲載'!AL15=1,'中古車掲載'!Z15="https://www.one2car.com/en/cars-for-sale/toyota/corolla-cross/year-2023"),'中古車掲載'!U15,"")</x:f>
      </x:c>
      <x:c r="BF14" s="3" t="str">
        <x:f>IF(AND('中古車掲載'!C15="One2car",'中古車掲載'!F15="Corolla Cross",'中古車掲載'!L15="HEV PREMIUM",'中古車掲載'!J15=2023,ISNUMBER('中古車掲載'!N15),'中古車掲載'!N15&gt;=20000,'中古車掲載'!O15&lt;=100000,'中古車掲載'!AL15=1,'中古車掲載'!Z15="https://www.one2car.com/en/cars-for-sale/toyota/corolla-cross/year-2023"),'中古車掲載'!U15,"")</x:f>
      </x:c>
      <x:c r="BG14" s="3" t="str">
        <x:f>IF(AND('中古車掲載'!C15="One2car",'中古車掲載'!F15="Corolla Cross",'中古車掲載'!L15="HEV GR SPORT",'中古車掲載'!J15=2023,ISNUMBER('中古車掲載'!N15),'中古車掲載'!N15&gt;=20000,'中古車掲載'!O15&lt;=100000,'中古車掲載'!AL15=1,'中古車掲載'!Z15="https://www.one2car.com/en/cars-for-sale/toyota/corolla-cross/year-2023"),'中古車掲載'!U15,"")</x:f>
      </x:c>
      <x:c r="BH14" s="3" t="str">
        <x:f>IF(AND('中古車掲載'!C15="One2car",'中古車掲載'!F15="DOLPHIN",'中古車掲載'!L15="STANDARD RANGE",'中古車掲載'!J15=2023,ISNUMBER('中古車掲載'!N15),'中古車掲載'!N15&gt;=20000,'中古車掲載'!O15&lt;=100000,'中古車掲載'!AL15=1),'中古車掲載'!U15,"")</x:f>
      </x:c>
      <x:c r="BI14" s="3" t="str">
        <x:v>One2car|ATTO 3|BEV|Bangkok metro</x:v>
      </x:c>
      <x:c r="BJ14" s="3" t="n">
        <x:v>15</x:v>
      </x:c>
      <x:c r="BK14" s="3" t="n">
        <x:f>'中古車掲載'!AM15</x:f>
        <x:v>471000</x:v>
      </x:c>
      <x:c r="BL14" s="3" t="n">
        <x:f>IF(ISNUMBER('中古車掲載'!AN15),'中古車掲載'!AN15,"")</x:f>
        <x:v>0.3925327110592549</x:v>
      </x:c>
      <x:c r="BM14" s="3" t="str">
        <x:v>2020|Double cab</x:v>
      </x:c>
      <x:c r="BN14" s="3" t="n">
        <x:v>667</x:v>
      </x:c>
      <x:c r="BO14" s="3" t="n">
        <x:f>'中古車掲載'!AM667</x:f>
        <x:v>629000</x:v>
      </x:c>
      <x:c r="BP14" s="3" t="str">
        <x:v>2.4 HIGH PRERUNNER DOUBLE CAB</x:v>
      </x:c>
      <x:c r="BQ14" s="3"/>
      <x:c r="BR14" s="3"/>
    </x:row>
    <x:row r="15" ht="22" customHeight="1">
      <x:c r="A15" s="3" t="str">
        <x:v>Hilux Revo</x:v>
      </x:c>
      <x:c r="B15" s="3" t="str">
        <x:v>ICE</x:v>
      </x:c>
      <x:c r="C15" s="3" t="str">
        <x:v>One2car</x:v>
      </x:c>
      <x:c r="D15" s="22" t="n">
        <x:f>COUNT('中古車掲載'!AM116:AM151)</x:f>
        <x:v>36</x:v>
      </x:c>
      <x:c r="E15" s="22" t="n">
        <x:f>IF(COUNT('中古車掲載'!AM116:AM151)=0,"",QUARTILE('中古車掲載'!AM116:AM151,1))</x:f>
        <x:v>444000</x:v>
      </x:c>
      <x:c r="F15" s="22" t="n">
        <x:f>IF(COUNT('中古車掲載'!AM116:AM151)=0,"",MEDIAN('中古車掲載'!AM116:AM151))</x:f>
        <x:v>499000</x:v>
      </x:c>
      <x:c r="G15" s="22" t="n">
        <x:f>IF(COUNT('中古車掲載'!AM116:AM151)=0,"",QUARTILE('中古車掲載'!AM116:AM151,3))</x:f>
        <x:v>631750</x:v>
      </x:c>
      <x:c r="H15" s="22" t="n">
        <x:f>COUNT('中古車掲載'!AN116:AN151)</x:f>
        <x:v>0</x:v>
      </x:c>
      <x:c r="I15" s="23" t="str">
        <x:f>IF(COUNT('中古車掲載'!AN116:AN151)=0,"",MEDIAN('中古車掲載'!AN116:AN151))</x:f>
      </x:c>
      <x:c r="J15" s="3" t="n">
        <x:f>COUNT('中古車掲載'!N116:N151)</x:f>
        <x:v>36</x:v>
      </x:c>
      <x:c r="K15" s="3"/>
      <x:c r="L15" s="3"/>
      <x:c r="M15" s="3"/>
      <x:c r="N15" s="3"/>
      <x:c r="O15" s="3"/>
      <x:c r="P15" s="3"/>
      <x:c r="Q15" s="3"/>
      <x:c r="R15" s="3" t="str">
        <x:v>One2car</x:v>
      </x:c>
      <x:c r="S15" s="3" t="str">
        <x:v>DOLPHIN</x:v>
      </x:c>
      <x:c r="T15" s="3" t="str">
        <x:v>BEV</x:v>
      </x:c>
      <x:c r="U15" s="3" t="str">
        <x:v>Bangkok metro</x:v>
      </x:c>
      <x:c r="V15" s="22" t="n">
        <x:f>COUNT(BK83:BK96)</x:f>
        <x:v>13</x:v>
      </x:c>
      <x:c r="W15" s="22" t="n">
        <x:f>IF(COUNT(BK83:BK96)=0,"",QUARTILE(BK83:BK96,1))</x:f>
        <x:v>346500</x:v>
      </x:c>
      <x:c r="X15" s="22" t="n">
        <x:f>IF(COUNT(BK83:BK96)=0,"",MEDIAN(BK83:BK96))</x:f>
        <x:v>369000</x:v>
      </x:c>
      <x:c r="Y15" s="22" t="n">
        <x:f>IF(COUNT(BK83:BK96)=0,"",QUARTILE(BK83:BK96,3))</x:f>
        <x:v>447000</x:v>
      </x:c>
      <x:c r="Z15" s="3"/>
      <x:c r="AA15" s="3" t="str">
        <x:v>Dolphin Std｜20–100k</x:v>
      </x:c>
      <x:c r="AB15" s="3" t="n">
        <x:f>COUNT(BH7:BH1139)</x:f>
        <x:v>3</x:v>
      </x:c>
      <x:c r="AC15" s="22" t="n">
        <x:f>IF(COUNT(BH7:BH1139)=0,"",QUARTILE(BH7:BH1139,1))</x:f>
        <x:v>332000</x:v>
      </x:c>
      <x:c r="AD15" s="22" t="n">
        <x:f>IF(COUNT(BH7:BH1139)=0,"",MEDIAN(BH7:BH1139))</x:f>
        <x:v>345000</x:v>
      </x:c>
      <x:c r="AE15" s="22" t="n">
        <x:f>IF(COUNT(BH7:BH1139)=0,"",QUARTILE(BH7:BH1139,3))</x:f>
        <x:v>345750</x:v>
      </x:c>
      <x:c r="AF15" s="22" t="n">
        <x:f>'新車価格・特価'!K9</x:f>
        <x:v>699999</x:v>
      </x:c>
      <x:c r="AG15" s="23" t="n">
        <x:f>IF(ISNUMBER(AD15),AD15/AF15,"")</x:f>
        <x:v>0.49285784693978135</x:v>
      </x:c>
      <x:c r="AH15" s="22" t="n">
        <x:f>'新車価格・特価'!N36</x:f>
        <x:v>509900</x:v>
      </x:c>
      <x:c r="AI15" s="23" t="n">
        <x:f>IF(AND(ISNUMBER(AD15),ISNUMBER(AH15)),AD15/AH15,"")</x:f>
        <x:v>0.676603255540302</x:v>
      </x:c>
      <x:c r="AJ15" s="3" t="n">
        <x:v>20000</x:v>
      </x:c>
      <x:c r="AK15" s="3" t="n">
        <x:v>100000</x:v>
      </x:c>
      <x:c r="AL15" s="3" t="str">
        <x:v>同じ表示距離帯でも走行分布・保証・税込条件は未統一。Crossはyear-2023ページのみ。</x:v>
      </x:c>
      <x:c r="AM15" s="3"/>
      <x:c r="AN15" s="3"/>
      <x:c r="AO15" s="3"/>
      <x:c r="AP15" s="3"/>
      <x:c r="AQ15" s="3"/>
      <x:c r="AR15" s="3"/>
      <x:c r="AS15" s="3"/>
      <x:c r="AT15" s="3"/>
      <x:c r="AU15" s="3"/>
      <x:c r="AV15" s="3"/>
      <x:c r="AW15" s="3"/>
      <x:c r="AX15" s="3"/>
      <x:c r="AY15" s="3"/>
      <x:c r="AZ15" s="3" t="n">
        <x:f>IF(AND('中古車掲載'!C16="One2car",'中古車掲載'!F16="ATTO 3",'中古車掲載'!L16="EXTENDED RANGE",'中古車掲載'!J16=2023,ISNUMBER('中古車掲載'!N16),'中古車掲載'!N16&gt;=20000,'中古車掲載'!O16&lt;=100000,'中古車掲載'!AL16=1),'中古車掲載'!U16,"")</x:f>
        <x:v>459000</x:v>
      </x:c>
      <x:c r="BA15" s="3" t="str">
        <x:f>IF(AND('中古車掲載'!C16="One2car",'中古車掲載'!F16="Corolla Cross",'中古車掲載'!L16="HEV PREMIUM SAFETY",'中古車掲載'!J16=2023,ISNUMBER('中古車掲載'!N16),'中古車掲載'!N16&gt;=20000,'中古車掲載'!O16&lt;=100000,'中古車掲載'!AL16=1,'中古車掲載'!Z16="https://www.one2car.com/en/cars-for-sale/toyota/corolla-cross/year-2023"),'中古車掲載'!U16,"")</x:f>
      </x:c>
      <x:c r="BB15" s="3" t="n">
        <x:f>IF(AND('中古車掲載'!C16="One2car",'中古車掲載'!F16="ATTO 3",'中古車掲載'!L16="EXTENDED RANGE",'中古車掲載'!J16=2023,ISNUMBER('中古車掲載'!N16),'中古車掲載'!N16&gt;=50000,'中古車掲載'!O16&lt;=100000,'中古車掲載'!AL16=1),'中古車掲載'!U16,"")</x:f>
        <x:v>459000</x:v>
      </x:c>
      <x:c r="BC15" s="3" t="str">
        <x:f>IF(AND('中古車掲載'!C16="One2car",'中古車掲載'!F16="Corolla Cross",'中古車掲載'!L16="HEV PREMIUM SAFETY",'中古車掲載'!J16=2023,ISNUMBER('中古車掲載'!N16),'中古車掲載'!N16&gt;=50000,'中古車掲載'!O16&lt;=100000,'中古車掲載'!AL16=1,'中古車掲載'!Z16="https://www.one2car.com/en/cars-for-sale/toyota/corolla-cross/year-2023"),'中古車掲載'!U16,"")</x:f>
      </x:c>
      <x:c r="BD15" s="3" t="str">
        <x:f>IF(AND('中古車掲載'!C16="One2car",'中古車掲載'!F16="ATTO 3",'中古車掲載'!L16="EXTENDED RANGE",'中古車掲載'!J16=2023,ISNUMBER('中古車掲載'!N16),'中古車掲載'!N16&gt;=20000,'中古車掲載'!O16&lt;=50000,'中古車掲載'!AL16=1),'中古車掲載'!U16,"")</x:f>
      </x:c>
      <x:c r="BE15" s="3" t="str">
        <x:f>IF(AND('中古車掲載'!C16="One2car",'中古車掲載'!F16="Corolla Cross",'中古車掲載'!L16="HEV PREMIUM SAFETY",'中古車掲載'!J16=2023,ISNUMBER('中古車掲載'!N16),'中古車掲載'!N16&gt;=20000,'中古車掲載'!O16&lt;=50000,'中古車掲載'!AL16=1,'中古車掲載'!Z16="https://www.one2car.com/en/cars-for-sale/toyota/corolla-cross/year-2023"),'中古車掲載'!U16,"")</x:f>
      </x:c>
      <x:c r="BF15" s="3" t="str">
        <x:f>IF(AND('中古車掲載'!C16="One2car",'中古車掲載'!F16="Corolla Cross",'中古車掲載'!L16="HEV PREMIUM",'中古車掲載'!J16=2023,ISNUMBER('中古車掲載'!N16),'中古車掲載'!N16&gt;=20000,'中古車掲載'!O16&lt;=100000,'中古車掲載'!AL16=1,'中古車掲載'!Z16="https://www.one2car.com/en/cars-for-sale/toyota/corolla-cross/year-2023"),'中古車掲載'!U16,"")</x:f>
      </x:c>
      <x:c r="BG15" s="3" t="str">
        <x:f>IF(AND('中古車掲載'!C16="One2car",'中古車掲載'!F16="Corolla Cross",'中古車掲載'!L16="HEV GR SPORT",'中古車掲載'!J16=2023,ISNUMBER('中古車掲載'!N16),'中古車掲載'!N16&gt;=20000,'中古車掲載'!O16&lt;=100000,'中古車掲載'!AL16=1,'中古車掲載'!Z16="https://www.one2car.com/en/cars-for-sale/toyota/corolla-cross/year-2023"),'中古車掲載'!U16,"")</x:f>
      </x:c>
      <x:c r="BH15" s="3" t="str">
        <x:f>IF(AND('中古車掲載'!C16="One2car",'中古車掲載'!F16="DOLPHIN",'中古車掲載'!L16="STANDARD RANGE",'中古車掲載'!J16=2023,ISNUMBER('中古車掲載'!N16),'中古車掲載'!N16&gt;=20000,'中古車掲載'!O16&lt;=100000,'中古車掲載'!AL16=1),'中古車掲載'!U16,"")</x:f>
      </x:c>
      <x:c r="BI15" s="3" t="str">
        <x:v>One2car|ATTO 3|BEV|Bangkok metro</x:v>
      </x:c>
      <x:c r="BJ15" s="3" t="n">
        <x:v>16</x:v>
      </x:c>
      <x:c r="BK15" s="3" t="n">
        <x:f>'中古車掲載'!AM16</x:f>
        <x:v>459000</x:v>
      </x:c>
      <x:c r="BL15" s="3" t="n">
        <x:f>IF(ISNUMBER('中古車掲載'!AN16),'中古車掲載'!AN16,"")</x:f>
        <x:v>0.3825318776564714</x:v>
      </x:c>
      <x:c r="BM15" s="3" t="str">
        <x:v>2020|Double cab</x:v>
      </x:c>
      <x:c r="BN15" s="3" t="n">
        <x:v>668</x:v>
      </x:c>
      <x:c r="BO15" s="3" t="n">
        <x:f>'中古車掲載'!AM668</x:f>
        <x:v>404000</x:v>
      </x:c>
      <x:c r="BP15" s="3" t="str">
        <x:v>2.4 J PLUS DOUBLE CAB</x:v>
      </x:c>
      <x:c r="BQ15" s="3"/>
      <x:c r="BR15" s="3"/>
    </x:row>
    <x:row r="16" ht="22" customHeight="1">
      <x:c r="A16" s="3" t="str">
        <x:v>SEAL</x:v>
      </x:c>
      <x:c r="B16" s="3" t="str">
        <x:v>BEV</x:v>
      </x:c>
      <x:c r="C16" s="3" t="str">
        <x:v>One2car</x:v>
      </x:c>
      <x:c r="D16" s="22" t="n">
        <x:f>COUNT('中古車掲載'!AM152:AM159)</x:f>
        <x:v>8</x:v>
      </x:c>
      <x:c r="E16" s="22" t="n">
        <x:f>IF(COUNT('中古車掲載'!AM152:AM159)=0,"",QUARTILE('中古車掲載'!AM152:AM159,1))</x:f>
        <x:v>672500</x:v>
      </x:c>
      <x:c r="F16" s="22" t="n">
        <x:f>IF(COUNT('中古車掲載'!AM152:AM159)=0,"",MEDIAN('中古車掲載'!AM152:AM159))</x:f>
        <x:v>703000</x:v>
      </x:c>
      <x:c r="G16" s="22" t="n">
        <x:f>IF(COUNT('中古車掲載'!AM152:AM159)=0,"",QUARTILE('中古車掲載'!AM152:AM159,3))</x:f>
        <x:v>746500</x:v>
      </x:c>
      <x:c r="H16" s="22" t="n">
        <x:f>COUNT('中古車掲載'!AN152:AN159)</x:f>
        <x:v>6</x:v>
      </x:c>
      <x:c r="I16" s="23" t="n">
        <x:f>IF(COUNT('中古車掲載'!AN152:AN159)=0,"",MEDIAN('中古車掲載'!AN152:AN159))</x:f>
        <x:v>0.4829787621912315</x:v>
      </x:c>
      <x:c r="J16" s="3" t="n">
        <x:f>COUNT('中古車掲載'!N152:N159)</x:f>
        <x:v>8</x:v>
      </x:c>
      <x:c r="K16" s="3"/>
      <x:c r="L16" s="3"/>
      <x:c r="M16" s="3"/>
      <x:c r="N16" s="3"/>
      <x:c r="O16" s="3"/>
      <x:c r="P16" s="3"/>
      <x:c r="Q16" s="3"/>
      <x:c r="R16" s="3" t="str">
        <x:v>One2car</x:v>
      </x:c>
      <x:c r="S16" s="3" t="str">
        <x:v>DOLPHIN</x:v>
      </x:c>
      <x:c r="T16" s="3" t="str">
        <x:v>BEV</x:v>
      </x:c>
      <x:c r="U16" s="3" t="str">
        <x:v>Other province</x:v>
      </x:c>
      <x:c r="V16" s="22" t="n">
        <x:f>COUNT(BK97:BK98)</x:f>
        <x:v>2</x:v>
      </x:c>
      <x:c r="W16" s="22" t="n">
        <x:f>IF(COUNT(BK97:BK98)=0,"",QUARTILE(BK97:BK98,1))</x:f>
        <x:v>301500</x:v>
      </x:c>
      <x:c r="X16" s="22" t="n">
        <x:f>IF(COUNT(BK97:BK98)=0,"",MEDIAN(BK97:BK98))</x:f>
        <x:v>304000</x:v>
      </x:c>
      <x:c r="Y16" s="22" t="n">
        <x:f>IF(COUNT(BK97:BK98)=0,"",QUARTILE(BK97:BK98,3))</x:f>
        <x:v>306500</x:v>
      </x:c>
      <x:c r="Z16" s="3"/>
      <x:c r="AA16" s="3"/>
      <x:c r="AB16" s="3"/>
      <x:c r="AC16" s="3"/>
      <x:c r="AD16" s="3"/>
      <x:c r="AE16" s="3"/>
      <x:c r="AF16" s="3"/>
      <x:c r="AG16" s="3"/>
      <x:c r="AH16" s="3"/>
      <x:c r="AI16" s="3"/>
      <x:c r="AJ16" s="3"/>
      <x:c r="AK16" s="3"/>
      <x:c r="AL16" s="3"/>
      <x:c r="AM16" s="3"/>
      <x:c r="AN16" s="3"/>
      <x:c r="AO16" s="3"/>
      <x:c r="AP16" s="3"/>
      <x:c r="AQ16" s="3"/>
      <x:c r="AR16" s="3"/>
      <x:c r="AS16" s="3"/>
      <x:c r="AT16" s="3"/>
      <x:c r="AU16" s="3"/>
      <x:c r="AV16" s="3"/>
      <x:c r="AW16" s="3"/>
      <x:c r="AX16" s="3"/>
      <x:c r="AY16" s="3"/>
      <x:c r="AZ16" s="3" t="n">
        <x:f>IF(AND('中古車掲載'!C17="One2car",'中古車掲載'!F17="ATTO 3",'中古車掲載'!L17="EXTENDED RANGE",'中古車掲載'!J17=2023,ISNUMBER('中古車掲載'!N17),'中古車掲載'!N17&gt;=20000,'中古車掲載'!O17&lt;=100000,'中古車掲載'!AL17=1),'中古車掲載'!U17,"")</x:f>
        <x:v>443000</x:v>
      </x:c>
      <x:c r="BA16" s="3" t="str">
        <x:f>IF(AND('中古車掲載'!C17="One2car",'中古車掲載'!F17="Corolla Cross",'中古車掲載'!L17="HEV PREMIUM SAFETY",'中古車掲載'!J17=2023,ISNUMBER('中古車掲載'!N17),'中古車掲載'!N17&gt;=20000,'中古車掲載'!O17&lt;=100000,'中古車掲載'!AL17=1,'中古車掲載'!Z17="https://www.one2car.com/en/cars-for-sale/toyota/corolla-cross/year-2023"),'中古車掲載'!U17,"")</x:f>
      </x:c>
      <x:c r="BB16" s="3" t="n">
        <x:f>IF(AND('中古車掲載'!C17="One2car",'中古車掲載'!F17="ATTO 3",'中古車掲載'!L17="EXTENDED RANGE",'中古車掲載'!J17=2023,ISNUMBER('中古車掲載'!N17),'中古車掲載'!N17&gt;=50000,'中古車掲載'!O17&lt;=100000,'中古車掲載'!AL17=1),'中古車掲載'!U17,"")</x:f>
        <x:v>443000</x:v>
      </x:c>
      <x:c r="BC16" s="3" t="str">
        <x:f>IF(AND('中古車掲載'!C17="One2car",'中古車掲載'!F17="Corolla Cross",'中古車掲載'!L17="HEV PREMIUM SAFETY",'中古車掲載'!J17=2023,ISNUMBER('中古車掲載'!N17),'中古車掲載'!N17&gt;=50000,'中古車掲載'!O17&lt;=100000,'中古車掲載'!AL17=1,'中古車掲載'!Z17="https://www.one2car.com/en/cars-for-sale/toyota/corolla-cross/year-2023"),'中古車掲載'!U17,"")</x:f>
      </x:c>
      <x:c r="BD16" s="3" t="str">
        <x:f>IF(AND('中古車掲載'!C17="One2car",'中古車掲載'!F17="ATTO 3",'中古車掲載'!L17="EXTENDED RANGE",'中古車掲載'!J17=2023,ISNUMBER('中古車掲載'!N17),'中古車掲載'!N17&gt;=20000,'中古車掲載'!O17&lt;=50000,'中古車掲載'!AL17=1),'中古車掲載'!U17,"")</x:f>
      </x:c>
      <x:c r="BE16" s="3" t="str">
        <x:f>IF(AND('中古車掲載'!C17="One2car",'中古車掲載'!F17="Corolla Cross",'中古車掲載'!L17="HEV PREMIUM SAFETY",'中古車掲載'!J17=2023,ISNUMBER('中古車掲載'!N17),'中古車掲載'!N17&gt;=20000,'中古車掲載'!O17&lt;=50000,'中古車掲載'!AL17=1,'中古車掲載'!Z17="https://www.one2car.com/en/cars-for-sale/toyota/corolla-cross/year-2023"),'中古車掲載'!U17,"")</x:f>
      </x:c>
      <x:c r="BF16" s="3" t="str">
        <x:f>IF(AND('中古車掲載'!C17="One2car",'中古車掲載'!F17="Corolla Cross",'中古車掲載'!L17="HEV PREMIUM",'中古車掲載'!J17=2023,ISNUMBER('中古車掲載'!N17),'中古車掲載'!N17&gt;=20000,'中古車掲載'!O17&lt;=100000,'中古車掲載'!AL17=1,'中古車掲載'!Z17="https://www.one2car.com/en/cars-for-sale/toyota/corolla-cross/year-2023"),'中古車掲載'!U17,"")</x:f>
      </x:c>
      <x:c r="BG16" s="3" t="str">
        <x:f>IF(AND('中古車掲載'!C17="One2car",'中古車掲載'!F17="Corolla Cross",'中古車掲載'!L17="HEV GR SPORT",'中古車掲載'!J17=2023,ISNUMBER('中古車掲載'!N17),'中古車掲載'!N17&gt;=20000,'中古車掲載'!O17&lt;=100000,'中古車掲載'!AL17=1,'中古車掲載'!Z17="https://www.one2car.com/en/cars-for-sale/toyota/corolla-cross/year-2023"),'中古車掲載'!U17,"")</x:f>
      </x:c>
      <x:c r="BH16" s="3" t="str">
        <x:f>IF(AND('中古車掲載'!C17="One2car",'中古車掲載'!F17="DOLPHIN",'中古車掲載'!L17="STANDARD RANGE",'中古車掲載'!J17=2023,ISNUMBER('中古車掲載'!N17),'中古車掲載'!N17&gt;=20000,'中古車掲載'!O17&lt;=100000,'中古車掲載'!AL17=1),'中古車掲載'!U17,"")</x:f>
      </x:c>
      <x:c r="BI16" s="3" t="str">
        <x:v>One2car|ATTO 3|BEV|Bangkok metro</x:v>
      </x:c>
      <x:c r="BJ16" s="3" t="n">
        <x:v>17</x:v>
      </x:c>
      <x:c r="BK16" s="3" t="n">
        <x:f>'中古車掲載'!AM17</x:f>
        <x:v>443000</x:v>
      </x:c>
      <x:c r="BL16" s="3" t="n">
        <x:f>IF(ISNUMBER('中古車掲載'!AN17),'中古車掲載'!AN17,"")</x:f>
        <x:v>0.3691974331194266</x:v>
      </x:c>
      <x:c r="BM16" s="3" t="str">
        <x:v>2020|Double cab</x:v>
      </x:c>
      <x:c r="BN16" s="3" t="n">
        <x:v>673</x:v>
      </x:c>
      <x:c r="BO16" s="3" t="n">
        <x:f>'中古車掲載'!AM673</x:f>
        <x:v>515000</x:v>
      </x:c>
      <x:c r="BP16" s="3" t="str">
        <x:v>2.4 MID PRERUNNER DOUBLE CAB</x:v>
      </x:c>
      <x:c r="BQ16" s="3"/>
      <x:c r="BR16" s="3"/>
    </x:row>
    <x:row r="17" ht="22" customHeight="1">
      <x:c r="A17" s="3" t="str">
        <x:v>SEALION 6</x:v>
      </x:c>
      <x:c r="B17" s="3" t="str">
        <x:v>PHEV</x:v>
      </x:c>
      <x:c r="C17" s="3" t="str">
        <x:v>One2car</x:v>
      </x:c>
      <x:c r="D17" s="22" t="n">
        <x:f>COUNT('中古車掲載'!AM160:AM167)</x:f>
        <x:v>7</x:v>
      </x:c>
      <x:c r="E17" s="22" t="n">
        <x:f>IF(COUNT('中古車掲載'!AM160:AM167)=0,"",QUARTILE('中古車掲載'!AM160:AM167,1))</x:f>
        <x:v>678500</x:v>
      </x:c>
      <x:c r="F17" s="22" t="n">
        <x:f>IF(COUNT('中古車掲載'!AM160:AM167)=0,"",MEDIAN('中古車掲載'!AM160:AM167))</x:f>
        <x:v>679000</x:v>
      </x:c>
      <x:c r="G17" s="22" t="n">
        <x:f>IF(COUNT('中古車掲載'!AM160:AM167)=0,"",QUARTILE('中古車掲載'!AM160:AM167,3))</x:f>
        <x:v>704000</x:v>
      </x:c>
      <x:c r="H17" s="22" t="n">
        <x:f>COUNT('中古車掲載'!AN160:AN167)</x:f>
        <x:v>7</x:v>
      </x:c>
      <x:c r="I17" s="23" t="n">
        <x:f>IF(COUNT('中古車掲載'!AN160:AN167)=0,"",MEDIAN('中古車掲載'!AN160:AN167))</x:f>
        <x:v>0.6173288480770979</x:v>
      </x:c>
      <x:c r="J17" s="3" t="n">
        <x:f>COUNT('中古車掲載'!N160:N167)</x:f>
        <x:v>8</x:v>
      </x:c>
      <x:c r="K17" s="3"/>
      <x:c r="L17" s="3"/>
      <x:c r="M17" s="3"/>
      <x:c r="N17" s="3"/>
      <x:c r="O17" s="3"/>
      <x:c r="P17" s="3"/>
      <x:c r="Q17" s="3"/>
      <x:c r="R17" s="3" t="str">
        <x:v>One2car</x:v>
      </x:c>
      <x:c r="S17" s="3" t="str">
        <x:v>Fortuner</x:v>
      </x:c>
      <x:c r="T17" s="3" t="str">
        <x:v>ICE</x:v>
      </x:c>
      <x:c r="U17" s="3" t="str">
        <x:v>Bangkok metro</x:v>
      </x:c>
      <x:c r="V17" s="22" t="n">
        <x:f>COUNT(BK99:BK113)</x:f>
        <x:v>15</x:v>
      </x:c>
      <x:c r="W17" s="22" t="n">
        <x:f>IF(COUNT(BK99:BK113)=0,"",QUARTILE(BK99:BK113,1))</x:f>
        <x:v>799000</x:v>
      </x:c>
      <x:c r="X17" s="22" t="n">
        <x:f>IF(COUNT(BK99:BK113)=0,"",MEDIAN(BK99:BK113))</x:f>
        <x:v>899000</x:v>
      </x:c>
      <x:c r="Y17" s="22" t="n">
        <x:f>IF(COUNT(BK99:BK113)=0,"",QUARTILE(BK99:BK113,3))</x:f>
        <x:v>1104500</x:v>
      </x:c>
      <x:c r="Z17" s="3"/>
      <x:c r="AA17" s="3"/>
      <x:c r="AB17" s="3"/>
      <x:c r="AC17" s="3"/>
      <x:c r="AD17" s="3"/>
      <x:c r="AE17" s="3"/>
      <x:c r="AF17" s="3"/>
      <x:c r="AG17" s="3"/>
      <x:c r="AH17" s="3"/>
      <x:c r="AI17" s="3"/>
      <x:c r="AJ17" s="3"/>
      <x:c r="AK17" s="3"/>
      <x:c r="AL17" s="3"/>
      <x:c r="AM17" s="3"/>
      <x:c r="AN17" s="3"/>
      <x:c r="AO17" s="3"/>
      <x:c r="AP17" s="3"/>
      <x:c r="AQ17" s="3"/>
      <x:c r="AR17" s="3"/>
      <x:c r="AS17" s="3"/>
      <x:c r="AT17" s="3"/>
      <x:c r="AU17" s="3"/>
      <x:c r="AV17" s="3"/>
      <x:c r="AW17" s="3"/>
      <x:c r="AX17" s="3"/>
      <x:c r="AY17" s="3"/>
      <x:c r="AZ17" s="3" t="n">
        <x:f>IF(AND('中古車掲載'!C18="One2car",'中古車掲載'!F18="ATTO 3",'中古車掲載'!L18="EXTENDED RANGE",'中古車掲載'!J18=2023,ISNUMBER('中古車掲載'!N18),'中古車掲載'!N18&gt;=20000,'中古車掲載'!O18&lt;=100000,'中古車掲載'!AL18=1),'中古車掲載'!U18,"")</x:f>
        <x:v>463000</x:v>
      </x:c>
      <x:c r="BA17" s="3" t="str">
        <x:f>IF(AND('中古車掲載'!C18="One2car",'中古車掲載'!F18="Corolla Cross",'中古車掲載'!L18="HEV PREMIUM SAFETY",'中古車掲載'!J18=2023,ISNUMBER('中古車掲載'!N18),'中古車掲載'!N18&gt;=20000,'中古車掲載'!O18&lt;=100000,'中古車掲載'!AL18=1,'中古車掲載'!Z18="https://www.one2car.com/en/cars-for-sale/toyota/corolla-cross/year-2023"),'中古車掲載'!U18,"")</x:f>
      </x:c>
      <x:c r="BB17" s="3" t="n">
        <x:f>IF(AND('中古車掲載'!C18="One2car",'中古車掲載'!F18="ATTO 3",'中古車掲載'!L18="EXTENDED RANGE",'中古車掲載'!J18=2023,ISNUMBER('中古車掲載'!N18),'中古車掲載'!N18&gt;=50000,'中古車掲載'!O18&lt;=100000,'中古車掲載'!AL18=1),'中古車掲載'!U18,"")</x:f>
        <x:v>463000</x:v>
      </x:c>
      <x:c r="BC17" s="3" t="str">
        <x:f>IF(AND('中古車掲載'!C18="One2car",'中古車掲載'!F18="Corolla Cross",'中古車掲載'!L18="HEV PREMIUM SAFETY",'中古車掲載'!J18=2023,ISNUMBER('中古車掲載'!N18),'中古車掲載'!N18&gt;=50000,'中古車掲載'!O18&lt;=100000,'中古車掲載'!AL18=1,'中古車掲載'!Z18="https://www.one2car.com/en/cars-for-sale/toyota/corolla-cross/year-2023"),'中古車掲載'!U18,"")</x:f>
      </x:c>
      <x:c r="BD17" s="3" t="str">
        <x:f>IF(AND('中古車掲載'!C18="One2car",'中古車掲載'!F18="ATTO 3",'中古車掲載'!L18="EXTENDED RANGE",'中古車掲載'!J18=2023,ISNUMBER('中古車掲載'!N18),'中古車掲載'!N18&gt;=20000,'中古車掲載'!O18&lt;=50000,'中古車掲載'!AL18=1),'中古車掲載'!U18,"")</x:f>
      </x:c>
      <x:c r="BE17" s="3" t="str">
        <x:f>IF(AND('中古車掲載'!C18="One2car",'中古車掲載'!F18="Corolla Cross",'中古車掲載'!L18="HEV PREMIUM SAFETY",'中古車掲載'!J18=2023,ISNUMBER('中古車掲載'!N18),'中古車掲載'!N18&gt;=20000,'中古車掲載'!O18&lt;=50000,'中古車掲載'!AL18=1,'中古車掲載'!Z18="https://www.one2car.com/en/cars-for-sale/toyota/corolla-cross/year-2023"),'中古車掲載'!U18,"")</x:f>
      </x:c>
      <x:c r="BF17" s="3" t="str">
        <x:f>IF(AND('中古車掲載'!C18="One2car",'中古車掲載'!F18="Corolla Cross",'中古車掲載'!L18="HEV PREMIUM",'中古車掲載'!J18=2023,ISNUMBER('中古車掲載'!N18),'中古車掲載'!N18&gt;=20000,'中古車掲載'!O18&lt;=100000,'中古車掲載'!AL18=1,'中古車掲載'!Z18="https://www.one2car.com/en/cars-for-sale/toyota/corolla-cross/year-2023"),'中古車掲載'!U18,"")</x:f>
      </x:c>
      <x:c r="BG17" s="3" t="str">
        <x:f>IF(AND('中古車掲載'!C18="One2car",'中古車掲載'!F18="Corolla Cross",'中古車掲載'!L18="HEV GR SPORT",'中古車掲載'!J18=2023,ISNUMBER('中古車掲載'!N18),'中古車掲載'!N18&gt;=20000,'中古車掲載'!O18&lt;=100000,'中古車掲載'!AL18=1,'中古車掲載'!Z18="https://www.one2car.com/en/cars-for-sale/toyota/corolla-cross/year-2023"),'中古車掲載'!U18,"")</x:f>
      </x:c>
      <x:c r="BH17" s="3" t="str">
        <x:f>IF(AND('中古車掲載'!C18="One2car",'中古車掲載'!F18="DOLPHIN",'中古車掲載'!L18="STANDARD RANGE",'中古車掲載'!J18=2023,ISNUMBER('中古車掲載'!N18),'中古車掲載'!N18&gt;=20000,'中古車掲載'!O18&lt;=100000,'中古車掲載'!AL18=1),'中古車掲載'!U18,"")</x:f>
      </x:c>
      <x:c r="BI17" s="3" t="str">
        <x:v>One2car|ATTO 3|BEV|Bangkok metro</x:v>
      </x:c>
      <x:c r="BJ17" s="3" t="n">
        <x:v>18</x:v>
      </x:c>
      <x:c r="BK17" s="3" t="n">
        <x:f>'中古車掲載'!AM18</x:f>
        <x:v>463000</x:v>
      </x:c>
      <x:c r="BL17" s="3" t="n">
        <x:f>IF(ISNUMBER('中古車掲載'!AN18),'中古車掲載'!AN18,"")</x:f>
        <x:v>0.38586548879073257</x:v>
      </x:c>
      <x:c r="BM17" s="3" t="str">
        <x:v>2020|Double cab</x:v>
      </x:c>
      <x:c r="BN17" s="3" t="n">
        <x:v>674</x:v>
      </x:c>
      <x:c r="BO17" s="3" t="n">
        <x:f>'中古車掲載'!AM674</x:f>
        <x:v>515000</x:v>
      </x:c>
      <x:c r="BP17" s="3" t="str">
        <x:v>2.4 MID PRERUNNER DOUBLE CAB</x:v>
      </x:c>
      <x:c r="BQ17" s="3"/>
      <x:c r="BR17" s="3"/>
    </x:row>
    <x:row r="18" ht="22" customHeight="1">
      <x:c r="A18" s="3" t="str">
        <x:v>ATTO 3</x:v>
      </x:c>
      <x:c r="B18" s="3" t="str">
        <x:v>BEV</x:v>
      </x:c>
      <x:c r="C18" s="3" t="str">
        <x:v>Taladrod</x:v>
      </x:c>
      <x:c r="D18" s="22" t="n">
        <x:f>COUNT('中古車掲載'!AM168:AM184)</x:f>
        <x:v>14</x:v>
      </x:c>
      <x:c r="E18" s="22" t="n">
        <x:f>IF(COUNT('中古車掲載'!AM168:AM184)=0,"",QUARTILE('中古車掲載'!AM168:AM184,1))</x:f>
        <x:v>424750</x:v>
      </x:c>
      <x:c r="F18" s="22" t="n">
        <x:f>IF(COUNT('中古車掲載'!AM168:AM184)=0,"",MEDIAN('中古車掲載'!AM168:AM184))</x:f>
        <x:v>457000</x:v>
      </x:c>
      <x:c r="G18" s="22" t="n">
        <x:f>IF(COUNT('中古車掲載'!AM168:AM184)=0,"",QUARTILE('中古車掲載'!AM168:AM184,3))</x:f>
        <x:v>496500</x:v>
      </x:c>
      <x:c r="H18" s="22" t="n">
        <x:f>COUNT('中古車掲載'!AN168:AN184)</x:f>
        <x:v>11</x:v>
      </x:c>
      <x:c r="I18" s="23" t="n">
        <x:f>IF(COUNT('中古車掲載'!AN168:AN184)=0,"",MEDIAN('中古車掲載'!AN168:AN184))</x:f>
        <x:v>0.3991271933812165</x:v>
      </x:c>
      <x:c r="J18" s="3" t="n">
        <x:f>COUNT('中古車掲載'!N168:N184)</x:f>
        <x:v>16</x:v>
      </x:c>
      <x:c r="K18" s="3"/>
      <x:c r="L18" s="3"/>
      <x:c r="M18" s="3"/>
      <x:c r="N18" s="3"/>
      <x:c r="O18" s="3"/>
      <x:c r="P18" s="3"/>
      <x:c r="Q18" s="3"/>
      <x:c r="R18" s="3" t="str">
        <x:v>One2car</x:v>
      </x:c>
      <x:c r="S18" s="3" t="str">
        <x:v>Fortuner</x:v>
      </x:c>
      <x:c r="T18" s="3" t="str">
        <x:v>ICE</x:v>
      </x:c>
      <x:c r="U18" s="3" t="str">
        <x:v>Other province</x:v>
      </x:c>
      <x:c r="V18" s="22" t="n">
        <x:f>COUNT(BK114:BK114)</x:f>
        <x:v>1</x:v>
      </x:c>
      <x:c r="W18" s="22" t="n">
        <x:f>IF(COUNT(BK114:BK114)=0,"",QUARTILE(BK114:BK114,1))</x:f>
        <x:v>799000</x:v>
      </x:c>
      <x:c r="X18" s="22" t="n">
        <x:f>IF(COUNT(BK114:BK114)=0,"",MEDIAN(BK114:BK114))</x:f>
        <x:v>799000</x:v>
      </x:c>
      <x:c r="Y18" s="22" t="n">
        <x:f>IF(COUNT(BK114:BK114)=0,"",QUARTILE(BK114:BK114,3))</x:f>
        <x:v>799000</x:v>
      </x:c>
      <x:c r="Z18" s="3"/>
      <x:c r="AA18" s="3"/>
      <x:c r="AB18" s="3"/>
      <x:c r="AC18" s="3"/>
      <x:c r="AD18" s="3"/>
      <x:c r="AE18" s="3"/>
      <x:c r="AF18" s="3"/>
      <x:c r="AG18" s="3"/>
      <x:c r="AH18" s="3"/>
      <x:c r="AI18" s="3"/>
      <x:c r="AJ18" s="3"/>
      <x:c r="AK18" s="3"/>
      <x:c r="AL18" s="3"/>
      <x:c r="AM18" s="3"/>
      <x:c r="AN18" s="3"/>
      <x:c r="AO18" s="3"/>
      <x:c r="AP18" s="3"/>
      <x:c r="AQ18" s="3"/>
      <x:c r="AR18" s="3"/>
      <x:c r="AS18" s="3"/>
      <x:c r="AT18" s="3"/>
      <x:c r="AU18" s="3"/>
      <x:c r="AV18" s="3"/>
      <x:c r="AW18" s="3"/>
      <x:c r="AX18" s="3"/>
      <x:c r="AY18" s="3"/>
      <x:c r="AZ18" s="3" t="n">
        <x:f>IF(AND('中古車掲載'!C19="One2car",'中古車掲載'!F19="ATTO 3",'中古車掲載'!L19="EXTENDED RANGE",'中古車掲載'!J19=2023,ISNUMBER('中古車掲載'!N19),'中古車掲載'!N19&gt;=20000,'中古車掲載'!O19&lt;=100000,'中古車掲載'!AL19=1),'中古車掲載'!U19,"")</x:f>
        <x:v>467000</x:v>
      </x:c>
      <x:c r="BA18" s="3" t="str">
        <x:f>IF(AND('中古車掲載'!C19="One2car",'中古車掲載'!F19="Corolla Cross",'中古車掲載'!L19="HEV PREMIUM SAFETY",'中古車掲載'!J19=2023,ISNUMBER('中古車掲載'!N19),'中古車掲載'!N19&gt;=20000,'中古車掲載'!O19&lt;=100000,'中古車掲載'!AL19=1,'中古車掲載'!Z19="https://www.one2car.com/en/cars-for-sale/toyota/corolla-cross/year-2023"),'中古車掲載'!U19,"")</x:f>
      </x:c>
      <x:c r="BB18" s="3" t="n">
        <x:f>IF(AND('中古車掲載'!C19="One2car",'中古車掲載'!F19="ATTO 3",'中古車掲載'!L19="EXTENDED RANGE",'中古車掲載'!J19=2023,ISNUMBER('中古車掲載'!N19),'中古車掲載'!N19&gt;=50000,'中古車掲載'!O19&lt;=100000,'中古車掲載'!AL19=1),'中古車掲載'!U19,"")</x:f>
        <x:v>467000</x:v>
      </x:c>
      <x:c r="BC18" s="3" t="str">
        <x:f>IF(AND('中古車掲載'!C19="One2car",'中古車掲載'!F19="Corolla Cross",'中古車掲載'!L19="HEV PREMIUM SAFETY",'中古車掲載'!J19=2023,ISNUMBER('中古車掲載'!N19),'中古車掲載'!N19&gt;=50000,'中古車掲載'!O19&lt;=100000,'中古車掲載'!AL19=1,'中古車掲載'!Z19="https://www.one2car.com/en/cars-for-sale/toyota/corolla-cross/year-2023"),'中古車掲載'!U19,"")</x:f>
      </x:c>
      <x:c r="BD18" s="3" t="str">
        <x:f>IF(AND('中古車掲載'!C19="One2car",'中古車掲載'!F19="ATTO 3",'中古車掲載'!L19="EXTENDED RANGE",'中古車掲載'!J19=2023,ISNUMBER('中古車掲載'!N19),'中古車掲載'!N19&gt;=20000,'中古車掲載'!O19&lt;=50000,'中古車掲載'!AL19=1),'中古車掲載'!U19,"")</x:f>
      </x:c>
      <x:c r="BE18" s="3" t="str">
        <x:f>IF(AND('中古車掲載'!C19="One2car",'中古車掲載'!F19="Corolla Cross",'中古車掲載'!L19="HEV PREMIUM SAFETY",'中古車掲載'!J19=2023,ISNUMBER('中古車掲載'!N19),'中古車掲載'!N19&gt;=20000,'中古車掲載'!O19&lt;=50000,'中古車掲載'!AL19=1,'中古車掲載'!Z19="https://www.one2car.com/en/cars-for-sale/toyota/corolla-cross/year-2023"),'中古車掲載'!U19,"")</x:f>
      </x:c>
      <x:c r="BF18" s="3" t="str">
        <x:f>IF(AND('中古車掲載'!C19="One2car",'中古車掲載'!F19="Corolla Cross",'中古車掲載'!L19="HEV PREMIUM",'中古車掲載'!J19=2023,ISNUMBER('中古車掲載'!N19),'中古車掲載'!N19&gt;=20000,'中古車掲載'!O19&lt;=100000,'中古車掲載'!AL19=1,'中古車掲載'!Z19="https://www.one2car.com/en/cars-for-sale/toyota/corolla-cross/year-2023"),'中古車掲載'!U19,"")</x:f>
      </x:c>
      <x:c r="BG18" s="3" t="str">
        <x:f>IF(AND('中古車掲載'!C19="One2car",'中古車掲載'!F19="Corolla Cross",'中古車掲載'!L19="HEV GR SPORT",'中古車掲載'!J19=2023,ISNUMBER('中古車掲載'!N19),'中古車掲載'!N19&gt;=20000,'中古車掲載'!O19&lt;=100000,'中古車掲載'!AL19=1,'中古車掲載'!Z19="https://www.one2car.com/en/cars-for-sale/toyota/corolla-cross/year-2023"),'中古車掲載'!U19,"")</x:f>
      </x:c>
      <x:c r="BH18" s="3" t="str">
        <x:f>IF(AND('中古車掲載'!C19="One2car",'中古車掲載'!F19="DOLPHIN",'中古車掲載'!L19="STANDARD RANGE",'中古車掲載'!J19=2023,ISNUMBER('中古車掲載'!N19),'中古車掲載'!N19&gt;=20000,'中古車掲載'!O19&lt;=100000,'中古車掲載'!AL19=1),'中古車掲載'!U19,"")</x:f>
      </x:c>
      <x:c r="BI18" s="3" t="str">
        <x:v>One2car|ATTO 3|BEV|Bangkok metro</x:v>
      </x:c>
      <x:c r="BJ18" s="3" t="n">
        <x:v>19</x:v>
      </x:c>
      <x:c r="BK18" s="3" t="n">
        <x:f>'中古車掲載'!AM19</x:f>
        <x:v>467000</x:v>
      </x:c>
      <x:c r="BL18" s="3" t="n">
        <x:f>IF(ISNUMBER('中古車掲載'!AN19),'中古車掲載'!AN19,"")</x:f>
        <x:v>0.38919909992499374</x:v>
      </x:c>
      <x:c r="BM18" s="3" t="str">
        <x:v>2020|Double cab</x:v>
      </x:c>
      <x:c r="BN18" s="3" t="n">
        <x:v>676</x:v>
      </x:c>
      <x:c r="BO18" s="3" t="n">
        <x:f>'中古車掲載'!AM676</x:f>
        <x:v>464000</x:v>
      </x:c>
      <x:c r="BP18" s="3" t="str">
        <x:v>2.4 MID Z EDITION DOUBLE CAB</x:v>
      </x:c>
      <x:c r="BQ18" s="3"/>
      <x:c r="BR18" s="3"/>
    </x:row>
    <x:row r="19" ht="22" customHeight="1">
      <x:c r="A19" s="3" t="str">
        <x:v>Corolla Altis</x:v>
      </x:c>
      <x:c r="B19" s="3" t="str">
        <x:v>HEV</x:v>
      </x:c>
      <x:c r="C19" s="3" t="str">
        <x:v>Taladrod</x:v>
      </x:c>
      <x:c r="D19" s="22" t="n">
        <x:f>COUNT('中古車掲載'!AM185:AM210)</x:f>
        <x:v>26</x:v>
      </x:c>
      <x:c r="E19" s="22" t="n">
        <x:f>IF(COUNT('中古車掲載'!AM185:AM210)=0,"",QUARTILE('中古車掲載'!AM185:AM210,1))</x:f>
        <x:v>476000</x:v>
      </x:c>
      <x:c r="F19" s="22" t="n">
        <x:f>IF(COUNT('中古車掲載'!AM185:AM210)=0,"",MEDIAN('中古車掲載'!AM185:AM210))</x:f>
        <x:v>509000</x:v>
      </x:c>
      <x:c r="G19" s="22" t="n">
        <x:f>IF(COUNT('中古車掲載'!AM185:AM210)=0,"",QUARTILE('中古車掲載'!AM185:AM210,3))</x:f>
        <x:v>737250</x:v>
      </x:c>
      <x:c r="H19" s="22" t="n">
        <x:f>COUNT('中古車掲載'!AN185:AN210)</x:f>
        <x:v>2</x:v>
      </x:c>
      <x:c r="I19" s="23" t="n">
        <x:f>IF(COUNT('中古車掲載'!AN185:AN210)=0,"",MEDIAN('中古車掲載'!AN185:AN210))</x:f>
        <x:v>0.6886625332152347</x:v>
      </x:c>
      <x:c r="J19" s="3" t="n">
        <x:f>COUNT('中古車掲載'!N185:N210)</x:f>
        <x:v>0</x:v>
      </x:c>
      <x:c r="K19" s="3"/>
      <x:c r="L19" s="3"/>
      <x:c r="M19" s="3"/>
      <x:c r="N19" s="3"/>
      <x:c r="O19" s="3"/>
      <x:c r="P19" s="3"/>
      <x:c r="Q19" s="3"/>
      <x:c r="R19" s="3" t="str">
        <x:v>One2car</x:v>
      </x:c>
      <x:c r="S19" s="3" t="str">
        <x:v>Hilux Revo</x:v>
      </x:c>
      <x:c r="T19" s="3" t="str">
        <x:v>ICE</x:v>
      </x:c>
      <x:c r="U19" s="3" t="str">
        <x:v>Bangkok metro</x:v>
      </x:c>
      <x:c r="V19" s="22" t="n">
        <x:f>COUNT(BK115:BK142)</x:f>
        <x:v>28</x:v>
      </x:c>
      <x:c r="W19" s="22" t="n">
        <x:f>IF(COUNT(BK115:BK142)=0,"",QUARTILE(BK115:BK142,1))</x:f>
        <x:v>429000</x:v>
      </x:c>
      <x:c r="X19" s="22" t="n">
        <x:f>IF(COUNT(BK115:BK142)=0,"",MEDIAN(BK115:BK142))</x:f>
        <x:v>499000</x:v>
      </x:c>
      <x:c r="Y19" s="22" t="n">
        <x:f>IF(COUNT(BK115:BK142)=0,"",QUARTILE(BK115:BK142,3))</x:f>
        <x:v>629000</x:v>
      </x:c>
      <x:c r="Z19" s="3"/>
      <x:c r="AA19" s="3"/>
      <x:c r="AB19" s="3"/>
      <x:c r="AC19" s="3"/>
      <x:c r="AD19" s="3"/>
      <x:c r="AE19" s="3"/>
      <x:c r="AF19" s="3"/>
      <x:c r="AG19" s="3"/>
      <x:c r="AH19" s="3"/>
      <x:c r="AI19" s="3"/>
      <x:c r="AJ19" s="3"/>
      <x:c r="AK19" s="3"/>
      <x:c r="AL19" s="3"/>
      <x:c r="AM19" s="3"/>
      <x:c r="AN19" s="3"/>
      <x:c r="AO19" s="3"/>
      <x:c r="AP19" s="3"/>
      <x:c r="AQ19" s="3"/>
      <x:c r="AR19" s="3"/>
      <x:c r="AS19" s="3"/>
      <x:c r="AT19" s="3"/>
      <x:c r="AU19" s="3"/>
      <x:c r="AV19" s="3"/>
      <x:c r="AW19" s="3"/>
      <x:c r="AX19" s="3"/>
      <x:c r="AY19" s="3"/>
      <x:c r="AZ19" s="3" t="n">
        <x:f>IF(AND('中古車掲載'!C20="One2car",'中古車掲載'!F20="ATTO 3",'中古車掲載'!L20="EXTENDED RANGE",'中古車掲載'!J20=2023,ISNUMBER('中古車掲載'!N20),'中古車掲載'!N20&gt;=20000,'中古車掲載'!O20&lt;=100000,'中古車掲載'!AL20=1),'中古車掲載'!U20,"")</x:f>
        <x:v>469000</x:v>
      </x:c>
      <x:c r="BA19" s="3" t="str">
        <x:f>IF(AND('中古車掲載'!C20="One2car",'中古車掲載'!F20="Corolla Cross",'中古車掲載'!L20="HEV PREMIUM SAFETY",'中古車掲載'!J20=2023,ISNUMBER('中古車掲載'!N20),'中古車掲載'!N20&gt;=20000,'中古車掲載'!O20&lt;=100000,'中古車掲載'!AL20=1,'中古車掲載'!Z20="https://www.one2car.com/en/cars-for-sale/toyota/corolla-cross/year-2023"),'中古車掲載'!U20,"")</x:f>
      </x:c>
      <x:c r="BB19" s="3" t="n">
        <x:f>IF(AND('中古車掲載'!C20="One2car",'中古車掲載'!F20="ATTO 3",'中古車掲載'!L20="EXTENDED RANGE",'中古車掲載'!J20=2023,ISNUMBER('中古車掲載'!N20),'中古車掲載'!N20&gt;=50000,'中古車掲載'!O20&lt;=100000,'中古車掲載'!AL20=1),'中古車掲載'!U20,"")</x:f>
        <x:v>469000</x:v>
      </x:c>
      <x:c r="BC19" s="3" t="str">
        <x:f>IF(AND('中古車掲載'!C20="One2car",'中古車掲載'!F20="Corolla Cross",'中古車掲載'!L20="HEV PREMIUM SAFETY",'中古車掲載'!J20=2023,ISNUMBER('中古車掲載'!N20),'中古車掲載'!N20&gt;=50000,'中古車掲載'!O20&lt;=100000,'中古車掲載'!AL20=1,'中古車掲載'!Z20="https://www.one2car.com/en/cars-for-sale/toyota/corolla-cross/year-2023"),'中古車掲載'!U20,"")</x:f>
      </x:c>
      <x:c r="BD19" s="3" t="str">
        <x:f>IF(AND('中古車掲載'!C20="One2car",'中古車掲載'!F20="ATTO 3",'中古車掲載'!L20="EXTENDED RANGE",'中古車掲載'!J20=2023,ISNUMBER('中古車掲載'!N20),'中古車掲載'!N20&gt;=20000,'中古車掲載'!O20&lt;=50000,'中古車掲載'!AL20=1),'中古車掲載'!U20,"")</x:f>
      </x:c>
      <x:c r="BE19" s="3" t="str">
        <x:f>IF(AND('中古車掲載'!C20="One2car",'中古車掲載'!F20="Corolla Cross",'中古車掲載'!L20="HEV PREMIUM SAFETY",'中古車掲載'!J20=2023,ISNUMBER('中古車掲載'!N20),'中古車掲載'!N20&gt;=20000,'中古車掲載'!O20&lt;=50000,'中古車掲載'!AL20=1,'中古車掲載'!Z20="https://www.one2car.com/en/cars-for-sale/toyota/corolla-cross/year-2023"),'中古車掲載'!U20,"")</x:f>
      </x:c>
      <x:c r="BF19" s="3" t="str">
        <x:f>IF(AND('中古車掲載'!C20="One2car",'中古車掲載'!F20="Corolla Cross",'中古車掲載'!L20="HEV PREMIUM",'中古車掲載'!J20=2023,ISNUMBER('中古車掲載'!N20),'中古車掲載'!N20&gt;=20000,'中古車掲載'!O20&lt;=100000,'中古車掲載'!AL20=1,'中古車掲載'!Z20="https://www.one2car.com/en/cars-for-sale/toyota/corolla-cross/year-2023"),'中古車掲載'!U20,"")</x:f>
      </x:c>
      <x:c r="BG19" s="3" t="str">
        <x:f>IF(AND('中古車掲載'!C20="One2car",'中古車掲載'!F20="Corolla Cross",'中古車掲載'!L20="HEV GR SPORT",'中古車掲載'!J20=2023,ISNUMBER('中古車掲載'!N20),'中古車掲載'!N20&gt;=20000,'中古車掲載'!O20&lt;=100000,'中古車掲載'!AL20=1,'中古車掲載'!Z20="https://www.one2car.com/en/cars-for-sale/toyota/corolla-cross/year-2023"),'中古車掲載'!U20,"")</x:f>
      </x:c>
      <x:c r="BH19" s="3" t="str">
        <x:f>IF(AND('中古車掲載'!C20="One2car",'中古車掲載'!F20="DOLPHIN",'中古車掲載'!L20="STANDARD RANGE",'中古車掲載'!J20=2023,ISNUMBER('中古車掲載'!N20),'中古車掲載'!N20&gt;=20000,'中古車掲載'!O20&lt;=100000,'中古車掲載'!AL20=1),'中古車掲載'!U20,"")</x:f>
      </x:c>
      <x:c r="BI19" s="3" t="str">
        <x:v>One2car|ATTO 3|BEV|Bangkok metro</x:v>
      </x:c>
      <x:c r="BJ19" s="3" t="n">
        <x:v>20</x:v>
      </x:c>
      <x:c r="BK19" s="3" t="n">
        <x:f>'中古車掲載'!AM20</x:f>
        <x:v>469000</x:v>
      </x:c>
      <x:c r="BL19" s="3" t="n">
        <x:f>IF(ISNUMBER('中古車掲載'!AN20),'中古車掲載'!AN20,"")</x:f>
        <x:v>0.39086590549212435</x:v>
      </x:c>
      <x:c r="BM19" s="3" t="str">
        <x:v>2020|Double cab</x:v>
      </x:c>
      <x:c r="BN19" s="3" t="n">
        <x:v>677</x:v>
      </x:c>
      <x:c r="BO19" s="3" t="n">
        <x:f>'中古車掲載'!AM677</x:f>
        <x:v>469000</x:v>
      </x:c>
      <x:c r="BP19" s="3" t="str">
        <x:v>2.4 MID Z EDITION DOUBLE CAB</x:v>
      </x:c>
      <x:c r="BQ19" s="3"/>
      <x:c r="BR19" s="3"/>
    </x:row>
    <x:row r="20" ht="22" customHeight="1">
      <x:c r="A20" s="3" t="str">
        <x:v>Corolla Altis</x:v>
      </x:c>
      <x:c r="B20" s="3" t="str">
        <x:v>ICE</x:v>
      </x:c>
      <x:c r="C20" s="3" t="str">
        <x:v>Taladrod</x:v>
      </x:c>
      <x:c r="D20" s="22" t="n">
        <x:f>COUNT('中古車掲載'!AM211:AM274)</x:f>
        <x:v>64</x:v>
      </x:c>
      <x:c r="E20" s="22" t="n">
        <x:f>IF(COUNT('中古車掲載'!AM211:AM274)=0,"",QUARTILE('中古車掲載'!AM211:AM274,1))</x:f>
        <x:v>425000</x:v>
      </x:c>
      <x:c r="F20" s="22" t="n">
        <x:f>IF(COUNT('中古車掲載'!AM211:AM274)=0,"",MEDIAN('中古車掲載'!AM211:AM274))</x:f>
        <x:v>459000</x:v>
      </x:c>
      <x:c r="G20" s="22" t="n">
        <x:f>IF(COUNT('中古車掲載'!AM211:AM274)=0,"",QUARTILE('中古車掲載'!AM211:AM274,3))</x:f>
        <x:v>499000</x:v>
      </x:c>
      <x:c r="H20" s="22" t="n">
        <x:f>COUNT('中古車掲載'!AN211:AN274)</x:f>
        <x:v>0</x:v>
      </x:c>
      <x:c r="I20" s="23" t="str">
        <x:f>IF(COUNT('中古車掲載'!AN211:AN274)=0,"",MEDIAN('中古車掲載'!AN211:AN274))</x:f>
      </x:c>
      <x:c r="J20" s="3" t="n">
        <x:f>COUNT('中古車掲載'!N211:N274)</x:f>
        <x:v>0</x:v>
      </x:c>
      <x:c r="K20" s="3"/>
      <x:c r="L20" s="3"/>
      <x:c r="M20" s="3"/>
      <x:c r="N20" s="3"/>
      <x:c r="O20" s="3"/>
      <x:c r="P20" s="3"/>
      <x:c r="Q20" s="3"/>
      <x:c r="R20" s="3" t="str">
        <x:v>One2car</x:v>
      </x:c>
      <x:c r="S20" s="3" t="str">
        <x:v>Hilux Revo</x:v>
      </x:c>
      <x:c r="T20" s="3" t="str">
        <x:v>ICE</x:v>
      </x:c>
      <x:c r="U20" s="3" t="str">
        <x:v>Other province</x:v>
      </x:c>
      <x:c r="V20" s="22" t="n">
        <x:f>COUNT(BK143:BK150)</x:f>
        <x:v>8</x:v>
      </x:c>
      <x:c r="W20" s="22" t="n">
        <x:f>IF(COUNT(BK143:BK150)=0,"",QUARTILE(BK143:BK150,1))</x:f>
        <x:v>490500</x:v>
      </x:c>
      <x:c r="X20" s="22" t="n">
        <x:f>IF(COUNT(BK143:BK150)=0,"",MEDIAN(BK143:BK150))</x:f>
        <x:v>559000</x:v>
      </x:c>
      <x:c r="Y20" s="22" t="n">
        <x:f>IF(COUNT(BK143:BK150)=0,"",QUARTILE(BK143:BK150,3))</x:f>
        <x:v>751000</x:v>
      </x:c>
      <x:c r="Z20" s="3"/>
      <x:c r="AA20" s="3"/>
      <x:c r="AB20" s="3"/>
      <x:c r="AC20" s="3"/>
      <x:c r="AD20" s="3"/>
      <x:c r="AE20" s="3"/>
      <x:c r="AF20" s="3"/>
      <x:c r="AG20" s="3"/>
      <x:c r="AH20" s="3"/>
      <x:c r="AI20" s="3"/>
      <x:c r="AJ20" s="3"/>
      <x:c r="AK20" s="3"/>
      <x:c r="AL20" s="3"/>
      <x:c r="AM20" s="3"/>
      <x:c r="AN20" s="3"/>
      <x:c r="AO20" s="3"/>
      <x:c r="AP20" s="3"/>
      <x:c r="AQ20" s="3"/>
      <x:c r="AR20" s="3"/>
      <x:c r="AS20" s="3"/>
      <x:c r="AT20" s="3"/>
      <x:c r="AU20" s="3"/>
      <x:c r="AV20" s="3"/>
      <x:c r="AW20" s="3"/>
      <x:c r="AX20" s="3"/>
      <x:c r="AY20" s="3"/>
      <x:c r="AZ20" s="3" t="str">
        <x:f>IF(AND('中古車掲載'!C21="One2car",'中古車掲載'!F21="ATTO 3",'中古車掲載'!L21="EXTENDED RANGE",'中古車掲載'!J21=2023,ISNUMBER('中古車掲載'!N21),'中古車掲載'!N21&gt;=20000,'中古車掲載'!O21&lt;=100000,'中古車掲載'!AL21=1),'中古車掲載'!U21,"")</x:f>
      </x:c>
      <x:c r="BA20" s="3" t="str">
        <x:f>IF(AND('中古車掲載'!C21="One2car",'中古車掲載'!F21="Corolla Cross",'中古車掲載'!L21="HEV PREMIUM SAFETY",'中古車掲載'!J21=2023,ISNUMBER('中古車掲載'!N21),'中古車掲載'!N21&gt;=20000,'中古車掲載'!O21&lt;=100000,'中古車掲載'!AL21=1,'中古車掲載'!Z21="https://www.one2car.com/en/cars-for-sale/toyota/corolla-cross/year-2023"),'中古車掲載'!U21,"")</x:f>
      </x:c>
      <x:c r="BB20" s="3" t="str">
        <x:f>IF(AND('中古車掲載'!C21="One2car",'中古車掲載'!F21="ATTO 3",'中古車掲載'!L21="EXTENDED RANGE",'中古車掲載'!J21=2023,ISNUMBER('中古車掲載'!N21),'中古車掲載'!N21&gt;=50000,'中古車掲載'!O21&lt;=100000,'中古車掲載'!AL21=1),'中古車掲載'!U21,"")</x:f>
      </x:c>
      <x:c r="BC20" s="3" t="str">
        <x:f>IF(AND('中古車掲載'!C21="One2car",'中古車掲載'!F21="Corolla Cross",'中古車掲載'!L21="HEV PREMIUM SAFETY",'中古車掲載'!J21=2023,ISNUMBER('中古車掲載'!N21),'中古車掲載'!N21&gt;=50000,'中古車掲載'!O21&lt;=100000,'中古車掲載'!AL21=1,'中古車掲載'!Z21="https://www.one2car.com/en/cars-for-sale/toyota/corolla-cross/year-2023"),'中古車掲載'!U21,"")</x:f>
      </x:c>
      <x:c r="BD20" s="3" t="str">
        <x:f>IF(AND('中古車掲載'!C21="One2car",'中古車掲載'!F21="ATTO 3",'中古車掲載'!L21="EXTENDED RANGE",'中古車掲載'!J21=2023,ISNUMBER('中古車掲載'!N21),'中古車掲載'!N21&gt;=20000,'中古車掲載'!O21&lt;=50000,'中古車掲載'!AL21=1),'中古車掲載'!U21,"")</x:f>
      </x:c>
      <x:c r="BE20" s="3" t="str">
        <x:f>IF(AND('中古車掲載'!C21="One2car",'中古車掲載'!F21="Corolla Cross",'中古車掲載'!L21="HEV PREMIUM SAFETY",'中古車掲載'!J21=2023,ISNUMBER('中古車掲載'!N21),'中古車掲載'!N21&gt;=20000,'中古車掲載'!O21&lt;=50000,'中古車掲載'!AL21=1,'中古車掲載'!Z21="https://www.one2car.com/en/cars-for-sale/toyota/corolla-cross/year-2023"),'中古車掲載'!U21,"")</x:f>
      </x:c>
      <x:c r="BF20" s="3" t="str">
        <x:f>IF(AND('中古車掲載'!C21="One2car",'中古車掲載'!F21="Corolla Cross",'中古車掲載'!L21="HEV PREMIUM",'中古車掲載'!J21=2023,ISNUMBER('中古車掲載'!N21),'中古車掲載'!N21&gt;=20000,'中古車掲載'!O21&lt;=100000,'中古車掲載'!AL21=1,'中古車掲載'!Z21="https://www.one2car.com/en/cars-for-sale/toyota/corolla-cross/year-2023"),'中古車掲載'!U21,"")</x:f>
      </x:c>
      <x:c r="BG20" s="3" t="str">
        <x:f>IF(AND('中古車掲載'!C21="One2car",'中古車掲載'!F21="Corolla Cross",'中古車掲載'!L21="HEV GR SPORT",'中古車掲載'!J21=2023,ISNUMBER('中古車掲載'!N21),'中古車掲載'!N21&gt;=20000,'中古車掲載'!O21&lt;=100000,'中古車掲載'!AL21=1,'中古車掲載'!Z21="https://www.one2car.com/en/cars-for-sale/toyota/corolla-cross/year-2023"),'中古車掲載'!U21,"")</x:f>
      </x:c>
      <x:c r="BH20" s="3" t="str">
        <x:f>IF(AND('中古車掲載'!C21="One2car",'中古車掲載'!F21="DOLPHIN",'中古車掲載'!L21="STANDARD RANGE",'中古車掲載'!J21=2023,ISNUMBER('中古車掲載'!N21),'中古車掲載'!N21&gt;=20000,'中古車掲載'!O21&lt;=100000,'中古車掲載'!AL21=1),'中古車掲載'!U21,"")</x:f>
      </x:c>
      <x:c r="BI20" s="3" t="str">
        <x:v>One2car|ATTO 3|BEV|Bangkok metro</x:v>
      </x:c>
      <x:c r="BJ20" s="3" t="n">
        <x:v>21</x:v>
      </x:c>
      <x:c r="BK20" s="3" t="n">
        <x:f>'中古車掲載'!AM21</x:f>
        <x:v>519000</x:v>
      </x:c>
      <x:c r="BL20" s="3" t="n">
        <x:f>IF(ISNUMBER('中古車掲載'!AN21),'中古車掲載'!AN21,"")</x:f>
        <x:v>0.4325360446703892</x:v>
      </x:c>
      <x:c r="BM20" s="3" t="str">
        <x:v>2020|Double cab</x:v>
      </x:c>
      <x:c r="BN20" s="3" t="n">
        <x:v>678</x:v>
      </x:c>
      <x:c r="BO20" s="3" t="n">
        <x:f>'中古車掲載'!AM678</x:f>
        <x:v>439000</x:v>
      </x:c>
      <x:c r="BP20" s="3" t="str">
        <x:v>2.4 MID Z EDITION DOUBLE CAB</x:v>
      </x:c>
      <x:c r="BQ20" s="3"/>
      <x:c r="BR20" s="3"/>
    </x:row>
    <x:row r="21" ht="22" customHeight="1">
      <x:c r="A21" s="3" t="str">
        <x:v>Corolla Cross</x:v>
      </x:c>
      <x:c r="B21" s="3" t="str">
        <x:v>HEV</x:v>
      </x:c>
      <x:c r="C21" s="3" t="str">
        <x:v>Taladrod</x:v>
      </x:c>
      <x:c r="D21" s="22" t="n">
        <x:f>COUNT('中古車掲載'!AM275:AM440)</x:f>
        <x:v>164</x:v>
      </x:c>
      <x:c r="E21" s="22" t="n">
        <x:f>IF(COUNT('中古車掲載'!AM275:AM440)=0,"",QUARTILE('中古車掲載'!AM275:AM440,1))</x:f>
        <x:v>619000</x:v>
      </x:c>
      <x:c r="F21" s="22" t="n">
        <x:f>IF(COUNT('中古車掲載'!AM275:AM440)=0,"",MEDIAN('中古車掲載'!AM275:AM440))</x:f>
        <x:v>689000</x:v>
      </x:c>
      <x:c r="G21" s="22" t="n">
        <x:f>IF(COUNT('中古車掲載'!AM275:AM440)=0,"",QUARTILE('中古車掲載'!AM275:AM440,3))</x:f>
        <x:v>799000</x:v>
      </x:c>
      <x:c r="H21" s="22" t="n">
        <x:f>COUNT('中古車掲載'!AN275:AN440)</x:f>
        <x:v>57</x:v>
      </x:c>
      <x:c r="I21" s="23" t="n">
        <x:f>IF(COUNT('中古車掲載'!AN275:AN440)=0,"",MEDIAN('中古車掲載'!AN275:AN440))</x:f>
        <x:v>0.7169059011164274</x:v>
      </x:c>
      <x:c r="J21" s="3" t="n">
        <x:f>COUNT('中古車掲載'!N275:N440)</x:f>
        <x:v>0</x:v>
      </x:c>
      <x:c r="K21" s="3"/>
      <x:c r="L21" s="3"/>
      <x:c r="M21" s="3"/>
      <x:c r="N21" s="3"/>
      <x:c r="O21" s="3"/>
      <x:c r="P21" s="3"/>
      <x:c r="Q21" s="3"/>
      <x:c r="R21" s="3" t="str">
        <x:v>One2car</x:v>
      </x:c>
      <x:c r="S21" s="3" t="str">
        <x:v>SEAL</x:v>
      </x:c>
      <x:c r="T21" s="3" t="str">
        <x:v>BEV</x:v>
      </x:c>
      <x:c r="U21" s="3" t="str">
        <x:v>Bangkok metro</x:v>
      </x:c>
      <x:c r="V21" s="22" t="n">
        <x:f>COUNT(BK151:BK158)</x:f>
        <x:v>8</x:v>
      </x:c>
      <x:c r="W21" s="22" t="n">
        <x:f>IF(COUNT(BK151:BK158)=0,"",QUARTILE(BK151:BK158,1))</x:f>
        <x:v>672500</x:v>
      </x:c>
      <x:c r="X21" s="22" t="n">
        <x:f>IF(COUNT(BK151:BK158)=0,"",MEDIAN(BK151:BK158))</x:f>
        <x:v>703000</x:v>
      </x:c>
      <x:c r="Y21" s="22" t="n">
        <x:f>IF(COUNT(BK151:BK158)=0,"",QUARTILE(BK151:BK158,3))</x:f>
        <x:v>746500</x:v>
      </x:c>
      <x:c r="Z21" s="3"/>
      <x:c r="AA21" s="3"/>
      <x:c r="AB21" s="3"/>
      <x:c r="AC21" s="3"/>
      <x:c r="AD21" s="3"/>
      <x:c r="AE21" s="3"/>
      <x:c r="AF21" s="3"/>
      <x:c r="AG21" s="3"/>
      <x:c r="AH21" s="3"/>
      <x:c r="AI21" s="3"/>
      <x:c r="AJ21" s="3"/>
      <x:c r="AK21" s="3"/>
      <x:c r="AL21" s="3"/>
      <x:c r="AM21" s="3"/>
      <x:c r="AN21" s="3"/>
      <x:c r="AO21" s="3"/>
      <x:c r="AP21" s="3"/>
      <x:c r="AQ21" s="3"/>
      <x:c r="AR21" s="3"/>
      <x:c r="AS21" s="3"/>
      <x:c r="AT21" s="3"/>
      <x:c r="AU21" s="3"/>
      <x:c r="AV21" s="3"/>
      <x:c r="AW21" s="3"/>
      <x:c r="AX21" s="3"/>
      <x:c r="AY21" s="3"/>
      <x:c r="AZ21" s="3" t="str">
        <x:f>IF(AND('中古車掲載'!C22="One2car",'中古車掲載'!F22="ATTO 3",'中古車掲載'!L22="EXTENDED RANGE",'中古車掲載'!J22=2023,ISNUMBER('中古車掲載'!N22),'中古車掲載'!N22&gt;=20000,'中古車掲載'!O22&lt;=100000,'中古車掲載'!AL22=1),'中古車掲載'!U22,"")</x:f>
      </x:c>
      <x:c r="BA21" s="3" t="str">
        <x:f>IF(AND('中古車掲載'!C22="One2car",'中古車掲載'!F22="Corolla Cross",'中古車掲載'!L22="HEV PREMIUM SAFETY",'中古車掲載'!J22=2023,ISNUMBER('中古車掲載'!N22),'中古車掲載'!N22&gt;=20000,'中古車掲載'!O22&lt;=100000,'中古車掲載'!AL22=1,'中古車掲載'!Z22="https://www.one2car.com/en/cars-for-sale/toyota/corolla-cross/year-2023"),'中古車掲載'!U22,"")</x:f>
      </x:c>
      <x:c r="BB21" s="3" t="str">
        <x:f>IF(AND('中古車掲載'!C22="One2car",'中古車掲載'!F22="ATTO 3",'中古車掲載'!L22="EXTENDED RANGE",'中古車掲載'!J22=2023,ISNUMBER('中古車掲載'!N22),'中古車掲載'!N22&gt;=50000,'中古車掲載'!O22&lt;=100000,'中古車掲載'!AL22=1),'中古車掲載'!U22,"")</x:f>
      </x:c>
      <x:c r="BC21" s="3" t="str">
        <x:f>IF(AND('中古車掲載'!C22="One2car",'中古車掲載'!F22="Corolla Cross",'中古車掲載'!L22="HEV PREMIUM SAFETY",'中古車掲載'!J22=2023,ISNUMBER('中古車掲載'!N22),'中古車掲載'!N22&gt;=50000,'中古車掲載'!O22&lt;=100000,'中古車掲載'!AL22=1,'中古車掲載'!Z22="https://www.one2car.com/en/cars-for-sale/toyota/corolla-cross/year-2023"),'中古車掲載'!U22,"")</x:f>
      </x:c>
      <x:c r="BD21" s="3" t="str">
        <x:f>IF(AND('中古車掲載'!C22="One2car",'中古車掲載'!F22="ATTO 3",'中古車掲載'!L22="EXTENDED RANGE",'中古車掲載'!J22=2023,ISNUMBER('中古車掲載'!N22),'中古車掲載'!N22&gt;=20000,'中古車掲載'!O22&lt;=50000,'中古車掲載'!AL22=1),'中古車掲載'!U22,"")</x:f>
      </x:c>
      <x:c r="BE21" s="3" t="str">
        <x:f>IF(AND('中古車掲載'!C22="One2car",'中古車掲載'!F22="Corolla Cross",'中古車掲載'!L22="HEV PREMIUM SAFETY",'中古車掲載'!J22=2023,ISNUMBER('中古車掲載'!N22),'中古車掲載'!N22&gt;=20000,'中古車掲載'!O22&lt;=50000,'中古車掲載'!AL22=1,'中古車掲載'!Z22="https://www.one2car.com/en/cars-for-sale/toyota/corolla-cross/year-2023"),'中古車掲載'!U22,"")</x:f>
      </x:c>
      <x:c r="BF21" s="3" t="str">
        <x:f>IF(AND('中古車掲載'!C22="One2car",'中古車掲載'!F22="Corolla Cross",'中古車掲載'!L22="HEV PREMIUM",'中古車掲載'!J22=2023,ISNUMBER('中古車掲載'!N22),'中古車掲載'!N22&gt;=20000,'中古車掲載'!O22&lt;=100000,'中古車掲載'!AL22=1,'中古車掲載'!Z22="https://www.one2car.com/en/cars-for-sale/toyota/corolla-cross/year-2023"),'中古車掲載'!U22,"")</x:f>
      </x:c>
      <x:c r="BG21" s="3" t="str">
        <x:f>IF(AND('中古車掲載'!C22="One2car",'中古車掲載'!F22="Corolla Cross",'中古車掲載'!L22="HEV GR SPORT",'中古車掲載'!J22=2023,ISNUMBER('中古車掲載'!N22),'中古車掲載'!N22&gt;=20000,'中古車掲載'!O22&lt;=100000,'中古車掲載'!AL22=1,'中古車掲載'!Z22="https://www.one2car.com/en/cars-for-sale/toyota/corolla-cross/year-2023"),'中古車掲載'!U22,"")</x:f>
      </x:c>
      <x:c r="BH21" s="3" t="str">
        <x:f>IF(AND('中古車掲載'!C22="One2car",'中古車掲載'!F22="DOLPHIN",'中古車掲載'!L22="STANDARD RANGE",'中古車掲載'!J22=2023,ISNUMBER('中古車掲載'!N22),'中古車掲載'!N22&gt;=20000,'中古車掲載'!O22&lt;=100000,'中古車掲載'!AL22=1),'中古車掲載'!U22,"")</x:f>
      </x:c>
      <x:c r="BI21" s="3" t="str">
        <x:v>One2car|ATTO 3|BEV|Bangkok metro</x:v>
      </x:c>
      <x:c r="BJ21" s="3" t="n">
        <x:v>22</x:v>
      </x:c>
      <x:c r="BK21" s="3" t="n">
        <x:f>'中古車掲載'!AM22</x:f>
        <x:v>491000</x:v>
      </x:c>
      <x:c r="BL21" s="3" t="n">
        <x:f>IF(ISNUMBER('中古車掲載'!AN22),'中古車掲載'!AN22,"")</x:f>
        <x:v>0.4092007667305609</x:v>
      </x:c>
      <x:c r="BM21" s="3" t="str">
        <x:v>2020|Double cab</x:v>
      </x:c>
      <x:c r="BN21" s="3" t="n">
        <x:v>679</x:v>
      </x:c>
      <x:c r="BO21" s="3" t="n">
        <x:f>'中古車掲載'!AM679</x:f>
        <x:v>475000</x:v>
      </x:c>
      <x:c r="BP21" s="3" t="str">
        <x:v>2.4 MID Z EDITION DOUBLE CAB</x:v>
      </x:c>
      <x:c r="BQ21" s="3"/>
      <x:c r="BR21" s="3"/>
    </x:row>
    <x:row r="22" ht="22" customHeight="1">
      <x:c r="A22" s="3" t="str">
        <x:v>Corolla Cross</x:v>
      </x:c>
      <x:c r="B22" s="3" t="str">
        <x:v>ICE</x:v>
      </x:c>
      <x:c r="C22" s="3" t="str">
        <x:v>Taladrod</x:v>
      </x:c>
      <x:c r="D22" s="22" t="n">
        <x:f>COUNT('中古車掲載'!AM441:AM462)</x:f>
        <x:v>22</x:v>
      </x:c>
      <x:c r="E22" s="22" t="n">
        <x:f>IF(COUNT('中古車掲載'!AM441:AM462)=0,"",QUARTILE('中古車掲載'!AM441:AM462,1))</x:f>
        <x:v>537750</x:v>
      </x:c>
      <x:c r="F22" s="22" t="n">
        <x:f>IF(COUNT('中古車掲載'!AM441:AM462)=0,"",MEDIAN('中古車掲載'!AM441:AM462))</x:f>
        <x:v>594000</x:v>
      </x:c>
      <x:c r="G22" s="22" t="n">
        <x:f>IF(COUNT('中古車掲載'!AM441:AM462)=0,"",QUARTILE('中古車掲載'!AM441:AM462,3))</x:f>
        <x:v>688750</x:v>
      </x:c>
      <x:c r="H22" s="22" t="n">
        <x:f>COUNT('中古車掲載'!AN441:AN462)</x:f>
        <x:v>6</x:v>
      </x:c>
      <x:c r="I22" s="23" t="n">
        <x:f>IF(COUNT('中古車掲載'!AN441:AN462)=0,"",MEDIAN('中古車掲載'!AN441:AN462))</x:f>
        <x:v>0.7312312312312312</x:v>
      </x:c>
      <x:c r="J22" s="3" t="n">
        <x:f>COUNT('中古車掲載'!N441:N462)</x:f>
        <x:v>0</x:v>
      </x:c>
      <x:c r="K22" s="3"/>
      <x:c r="L22" s="3"/>
      <x:c r="M22" s="3"/>
      <x:c r="N22" s="3"/>
      <x:c r="O22" s="3"/>
      <x:c r="P22" s="3"/>
      <x:c r="Q22" s="3"/>
      <x:c r="R22" s="3" t="str">
        <x:v>One2car</x:v>
      </x:c>
      <x:c r="S22" s="3" t="str">
        <x:v>SEALION 6</x:v>
      </x:c>
      <x:c r="T22" s="3" t="str">
        <x:v>PHEV</x:v>
      </x:c>
      <x:c r="U22" s="3" t="str">
        <x:v>Bangkok metro</x:v>
      </x:c>
      <x:c r="V22" s="22" t="n">
        <x:f>COUNT(BK159:BK166)</x:f>
        <x:v>7</x:v>
      </x:c>
      <x:c r="W22" s="22" t="n">
        <x:f>IF(COUNT(BK159:BK166)=0,"",QUARTILE(BK159:BK166,1))</x:f>
        <x:v>678500</x:v>
      </x:c>
      <x:c r="X22" s="22" t="n">
        <x:f>IF(COUNT(BK159:BK166)=0,"",MEDIAN(BK159:BK166))</x:f>
        <x:v>679000</x:v>
      </x:c>
      <x:c r="Y22" s="22" t="n">
        <x:f>IF(COUNT(BK159:BK166)=0,"",QUARTILE(BK159:BK166,3))</x:f>
        <x:v>704000</x:v>
      </x:c>
      <x:c r="Z22" s="3"/>
      <x:c r="AA22" s="3"/>
      <x:c r="AB22" s="3"/>
      <x:c r="AC22" s="3"/>
      <x:c r="AD22" s="3"/>
      <x:c r="AE22" s="3"/>
      <x:c r="AF22" s="3"/>
      <x:c r="AG22" s="3"/>
      <x:c r="AH22" s="3"/>
      <x:c r="AI22" s="3"/>
      <x:c r="AJ22" s="3"/>
      <x:c r="AK22" s="3"/>
      <x:c r="AL22" s="3"/>
      <x:c r="AM22" s="3"/>
      <x:c r="AN22" s="3"/>
      <x:c r="AO22" s="3"/>
      <x:c r="AP22" s="3"/>
      <x:c r="AQ22" s="3"/>
      <x:c r="AR22" s="3"/>
      <x:c r="AS22" s="3"/>
      <x:c r="AT22" s="3"/>
      <x:c r="AU22" s="3"/>
      <x:c r="AV22" s="3"/>
      <x:c r="AW22" s="3"/>
      <x:c r="AX22" s="3"/>
      <x:c r="AY22" s="3"/>
      <x:c r="AZ22" s="3" t="str">
        <x:f>IF(AND('中古車掲載'!C23="One2car",'中古車掲載'!F23="ATTO 3",'中古車掲載'!L23="EXTENDED RANGE",'中古車掲載'!J23=2023,ISNUMBER('中古車掲載'!N23),'中古車掲載'!N23&gt;=20000,'中古車掲載'!O23&lt;=100000,'中古車掲載'!AL23=1),'中古車掲載'!U23,"")</x:f>
      </x:c>
      <x:c r="BA22" s="3" t="str">
        <x:f>IF(AND('中古車掲載'!C23="One2car",'中古車掲載'!F23="Corolla Cross",'中古車掲載'!L23="HEV PREMIUM SAFETY",'中古車掲載'!J23=2023,ISNUMBER('中古車掲載'!N23),'中古車掲載'!N23&gt;=20000,'中古車掲載'!O23&lt;=100000,'中古車掲載'!AL23=1,'中古車掲載'!Z23="https://www.one2car.com/en/cars-for-sale/toyota/corolla-cross/year-2023"),'中古車掲載'!U23,"")</x:f>
      </x:c>
      <x:c r="BB22" s="3" t="str">
        <x:f>IF(AND('中古車掲載'!C23="One2car",'中古車掲載'!F23="ATTO 3",'中古車掲載'!L23="EXTENDED RANGE",'中古車掲載'!J23=2023,ISNUMBER('中古車掲載'!N23),'中古車掲載'!N23&gt;=50000,'中古車掲載'!O23&lt;=100000,'中古車掲載'!AL23=1),'中古車掲載'!U23,"")</x:f>
      </x:c>
      <x:c r="BC22" s="3" t="str">
        <x:f>IF(AND('中古車掲載'!C23="One2car",'中古車掲載'!F23="Corolla Cross",'中古車掲載'!L23="HEV PREMIUM SAFETY",'中古車掲載'!J23=2023,ISNUMBER('中古車掲載'!N23),'中古車掲載'!N23&gt;=50000,'中古車掲載'!O23&lt;=100000,'中古車掲載'!AL23=1,'中古車掲載'!Z23="https://www.one2car.com/en/cars-for-sale/toyota/corolla-cross/year-2023"),'中古車掲載'!U23,"")</x:f>
      </x:c>
      <x:c r="BD22" s="3" t="str">
        <x:f>IF(AND('中古車掲載'!C23="One2car",'中古車掲載'!F23="ATTO 3",'中古車掲載'!L23="EXTENDED RANGE",'中古車掲載'!J23=2023,ISNUMBER('中古車掲載'!N23),'中古車掲載'!N23&gt;=20000,'中古車掲載'!O23&lt;=50000,'中古車掲載'!AL23=1),'中古車掲載'!U23,"")</x:f>
      </x:c>
      <x:c r="BE22" s="3" t="str">
        <x:f>IF(AND('中古車掲載'!C23="One2car",'中古車掲載'!F23="Corolla Cross",'中古車掲載'!L23="HEV PREMIUM SAFETY",'中古車掲載'!J23=2023,ISNUMBER('中古車掲載'!N23),'中古車掲載'!N23&gt;=20000,'中古車掲載'!O23&lt;=50000,'中古車掲載'!AL23=1,'中古車掲載'!Z23="https://www.one2car.com/en/cars-for-sale/toyota/corolla-cross/year-2023"),'中古車掲載'!U23,"")</x:f>
      </x:c>
      <x:c r="BF22" s="3" t="str">
        <x:f>IF(AND('中古車掲載'!C23="One2car",'中古車掲載'!F23="Corolla Cross",'中古車掲載'!L23="HEV PREMIUM",'中古車掲載'!J23=2023,ISNUMBER('中古車掲載'!N23),'中古車掲載'!N23&gt;=20000,'中古車掲載'!O23&lt;=100000,'中古車掲載'!AL23=1,'中古車掲載'!Z23="https://www.one2car.com/en/cars-for-sale/toyota/corolla-cross/year-2023"),'中古車掲載'!U23,"")</x:f>
      </x:c>
      <x:c r="BG22" s="3" t="str">
        <x:f>IF(AND('中古車掲載'!C23="One2car",'中古車掲載'!F23="Corolla Cross",'中古車掲載'!L23="HEV GR SPORT",'中古車掲載'!J23=2023,ISNUMBER('中古車掲載'!N23),'中古車掲載'!N23&gt;=20000,'中古車掲載'!O23&lt;=100000,'中古車掲載'!AL23=1,'中古車掲載'!Z23="https://www.one2car.com/en/cars-for-sale/toyota/corolla-cross/year-2023"),'中古車掲載'!U23,"")</x:f>
      </x:c>
      <x:c r="BH22" s="3" t="str">
        <x:f>IF(AND('中古車掲載'!C23="One2car",'中古車掲載'!F23="DOLPHIN",'中古車掲載'!L23="STANDARD RANGE",'中古車掲載'!J23=2023,ISNUMBER('中古車掲載'!N23),'中古車掲載'!N23&gt;=20000,'中古車掲載'!O23&lt;=100000,'中古車掲載'!AL23=1),'中古車掲載'!U23,"")</x:f>
      </x:c>
      <x:c r="BI22" s="3" t="str">
        <x:v>One2car|ATTO 3|BEV|Bangkok metro</x:v>
      </x:c>
      <x:c r="BJ22" s="3" t="n">
        <x:v>23</x:v>
      </x:c>
      <x:c r="BK22" s="3" t="n">
        <x:f>'中古車掲載'!AM23</x:f>
        <x:v>489000</x:v>
      </x:c>
      <x:c r="BL22" s="3" t="n">
        <x:f>IF(ISNUMBER('中古車掲載'!AN23),'中古車掲載'!AN23,"")</x:f>
        <x:v>0.543393710412268</x:v>
      </x:c>
      <x:c r="BM22" s="3" t="str">
        <x:v>2020|Double cab</x:v>
      </x:c>
      <x:c r="BN22" s="3" t="n">
        <x:v>680</x:v>
      </x:c>
      <x:c r="BO22" s="3" t="n">
        <x:f>'中古車掲載'!AM680</x:f>
        <x:v>424000</x:v>
      </x:c>
      <x:c r="BP22" s="3" t="str">
        <x:v>2.4 MID Z EDITION DOUBLE CAB</x:v>
      </x:c>
      <x:c r="BQ22" s="3"/>
      <x:c r="BR22" s="3"/>
    </x:row>
    <x:row r="23" ht="22" customHeight="1">
      <x:c r="A23" s="3" t="str">
        <x:v>Corolla Cross</x:v>
      </x:c>
      <x:c r="B23" s="3" t="str">
        <x:v>不明</x:v>
      </x:c>
      <x:c r="C23" s="3" t="str">
        <x:v>Taladrod</x:v>
      </x:c>
      <x:c r="D23" s="22" t="n">
        <x:f>COUNT('中古車掲載'!AM463:AM463)</x:f>
        <x:v>1</x:v>
      </x:c>
      <x:c r="E23" s="22" t="n">
        <x:f>IF(COUNT('中古車掲載'!AM463:AM463)=0,"",QUARTILE('中古車掲載'!AM463:AM463,1))</x:f>
        <x:v>729000</x:v>
      </x:c>
      <x:c r="F23" s="22" t="n">
        <x:f>IF(COUNT('中古車掲載'!AM463:AM463)=0,"",MEDIAN('中古車掲載'!AM463:AM463))</x:f>
        <x:v>729000</x:v>
      </x:c>
      <x:c r="G23" s="22" t="n">
        <x:f>IF(COUNT('中古車掲載'!AM463:AM463)=0,"",QUARTILE('中古車掲載'!AM463:AM463,3))</x:f>
        <x:v>729000</x:v>
      </x:c>
      <x:c r="H23" s="22" t="n">
        <x:f>COUNT('中古車掲載'!AN463:AN463)</x:f>
        <x:v>0</x:v>
      </x:c>
      <x:c r="I23" s="23" t="str">
        <x:f>IF(COUNT('中古車掲載'!AN463:AN463)=0,"",MEDIAN('中古車掲載'!AN463:AN463))</x:f>
      </x:c>
      <x:c r="J23" s="3" t="n">
        <x:f>COUNT('中古車掲載'!N463:N463)</x:f>
        <x:v>0</x:v>
      </x:c>
      <x:c r="K23" s="3"/>
      <x:c r="L23" s="3"/>
      <x:c r="M23" s="3"/>
      <x:c r="N23" s="3"/>
      <x:c r="O23" s="3"/>
      <x:c r="P23" s="3"/>
      <x:c r="Q23" s="3"/>
      <x:c r="R23" s="3" t="str">
        <x:v>Taladrod</x:v>
      </x:c>
      <x:c r="S23" s="3" t="str">
        <x:v>ATTO 3</x:v>
      </x:c>
      <x:c r="T23" s="3" t="str">
        <x:v>BEV</x:v>
      </x:c>
      <x:c r="U23" s="3" t="str">
        <x:v>Bangkok metro</x:v>
      </x:c>
      <x:c r="V23" s="22" t="n">
        <x:f>COUNT(BK167:BK177)</x:f>
        <x:v>9</x:v>
      </x:c>
      <x:c r="W23" s="22" t="n">
        <x:f>IF(COUNT(BK167:BK177)=0,"",QUARTILE(BK167:BK177,1))</x:f>
        <x:v>420000</x:v>
      </x:c>
      <x:c r="X23" s="22" t="n">
        <x:f>IF(COUNT(BK167:BK177)=0,"",MEDIAN(BK167:BK177))</x:f>
        <x:v>445000</x:v>
      </x:c>
      <x:c r="Y23" s="22" t="n">
        <x:f>IF(COUNT(BK167:BK177)=0,"",QUARTILE(BK167:BK177,3))</x:f>
        <x:v>479000</x:v>
      </x:c>
      <x:c r="Z23" s="3"/>
      <x:c r="AA23" s="3"/>
      <x:c r="AB23" s="3"/>
      <x:c r="AC23" s="3"/>
      <x:c r="AD23" s="3"/>
      <x:c r="AE23" s="3"/>
      <x:c r="AF23" s="3"/>
      <x:c r="AG23" s="3"/>
      <x:c r="AH23" s="3"/>
      <x:c r="AI23" s="3"/>
      <x:c r="AJ23" s="3"/>
      <x:c r="AK23" s="3"/>
      <x:c r="AL23" s="3"/>
      <x:c r="AM23" s="3"/>
      <x:c r="AN23" s="3"/>
      <x:c r="AO23" s="3"/>
      <x:c r="AP23" s="3"/>
      <x:c r="AQ23" s="3"/>
      <x:c r="AR23" s="3"/>
      <x:c r="AS23" s="3"/>
      <x:c r="AT23" s="3"/>
      <x:c r="AU23" s="3"/>
      <x:c r="AV23" s="3"/>
      <x:c r="AW23" s="3"/>
      <x:c r="AX23" s="3"/>
      <x:c r="AY23" s="3"/>
      <x:c r="AZ23" s="3" t="str">
        <x:f>IF(AND('中古車掲載'!C24="One2car",'中古車掲載'!F24="ATTO 3",'中古車掲載'!L24="EXTENDED RANGE",'中古車掲載'!J24=2023,ISNUMBER('中古車掲載'!N24),'中古車掲載'!N24&gt;=20000,'中古車掲載'!O24&lt;=100000,'中古車掲載'!AL24=1),'中古車掲載'!U24,"")</x:f>
      </x:c>
      <x:c r="BA23" s="3" t="str">
        <x:f>IF(AND('中古車掲載'!C24="One2car",'中古車掲載'!F24="Corolla Cross",'中古車掲載'!L24="HEV PREMIUM SAFETY",'中古車掲載'!J24=2023,ISNUMBER('中古車掲載'!N24),'中古車掲載'!N24&gt;=20000,'中古車掲載'!O24&lt;=100000,'中古車掲載'!AL24=1,'中古車掲載'!Z24="https://www.one2car.com/en/cars-for-sale/toyota/corolla-cross/year-2023"),'中古車掲載'!U24,"")</x:f>
      </x:c>
      <x:c r="BB23" s="3" t="str">
        <x:f>IF(AND('中古車掲載'!C24="One2car",'中古車掲載'!F24="ATTO 3",'中古車掲載'!L24="EXTENDED RANGE",'中古車掲載'!J24=2023,ISNUMBER('中古車掲載'!N24),'中古車掲載'!N24&gt;=50000,'中古車掲載'!O24&lt;=100000,'中古車掲載'!AL24=1),'中古車掲載'!U24,"")</x:f>
      </x:c>
      <x:c r="BC23" s="3" t="str">
        <x:f>IF(AND('中古車掲載'!C24="One2car",'中古車掲載'!F24="Corolla Cross",'中古車掲載'!L24="HEV PREMIUM SAFETY",'中古車掲載'!J24=2023,ISNUMBER('中古車掲載'!N24),'中古車掲載'!N24&gt;=50000,'中古車掲載'!O24&lt;=100000,'中古車掲載'!AL24=1,'中古車掲載'!Z24="https://www.one2car.com/en/cars-for-sale/toyota/corolla-cross/year-2023"),'中古車掲載'!U24,"")</x:f>
      </x:c>
      <x:c r="BD23" s="3" t="str">
        <x:f>IF(AND('中古車掲載'!C24="One2car",'中古車掲載'!F24="ATTO 3",'中古車掲載'!L24="EXTENDED RANGE",'中古車掲載'!J24=2023,ISNUMBER('中古車掲載'!N24),'中古車掲載'!N24&gt;=20000,'中古車掲載'!O24&lt;=50000,'中古車掲載'!AL24=1),'中古車掲載'!U24,"")</x:f>
      </x:c>
      <x:c r="BE23" s="3" t="str">
        <x:f>IF(AND('中古車掲載'!C24="One2car",'中古車掲載'!F24="Corolla Cross",'中古車掲載'!L24="HEV PREMIUM SAFETY",'中古車掲載'!J24=2023,ISNUMBER('中古車掲載'!N24),'中古車掲載'!N24&gt;=20000,'中古車掲載'!O24&lt;=50000,'中古車掲載'!AL24=1,'中古車掲載'!Z24="https://www.one2car.com/en/cars-for-sale/toyota/corolla-cross/year-2023"),'中古車掲載'!U24,"")</x:f>
      </x:c>
      <x:c r="BF23" s="3" t="str">
        <x:f>IF(AND('中古車掲載'!C24="One2car",'中古車掲載'!F24="Corolla Cross",'中古車掲載'!L24="HEV PREMIUM",'中古車掲載'!J24=2023,ISNUMBER('中古車掲載'!N24),'中古車掲載'!N24&gt;=20000,'中古車掲載'!O24&lt;=100000,'中古車掲載'!AL24=1,'中古車掲載'!Z24="https://www.one2car.com/en/cars-for-sale/toyota/corolla-cross/year-2023"),'中古車掲載'!U24,"")</x:f>
      </x:c>
      <x:c r="BG23" s="3" t="str">
        <x:f>IF(AND('中古車掲載'!C24="One2car",'中古車掲載'!F24="Corolla Cross",'中古車掲載'!L24="HEV GR SPORT",'中古車掲載'!J24=2023,ISNUMBER('中古車掲載'!N24),'中古車掲載'!N24&gt;=20000,'中古車掲載'!O24&lt;=100000,'中古車掲載'!AL24=1,'中古車掲載'!Z24="https://www.one2car.com/en/cars-for-sale/toyota/corolla-cross/year-2023"),'中古車掲載'!U24,"")</x:f>
      </x:c>
      <x:c r="BH23" s="3" t="str">
        <x:f>IF(AND('中古車掲載'!C24="One2car",'中古車掲載'!F24="DOLPHIN",'中古車掲載'!L24="STANDARD RANGE",'中古車掲載'!J24=2023,ISNUMBER('中古車掲載'!N24),'中古車掲載'!N24&gt;=20000,'中古車掲載'!O24&lt;=100000,'中古車掲載'!AL24=1),'中古車掲載'!U24,"")</x:f>
      </x:c>
      <x:c r="BI23" s="3" t="str">
        <x:v>One2car|ATTO 3|BEV|Bangkok metro</x:v>
      </x:c>
      <x:c r="BJ23" s="3" t="n">
        <x:v>24</x:v>
      </x:c>
      <x:c r="BK23" s="3" t="n">
        <x:f>'中古車掲載'!AM24</x:f>
        <x:v>439000</x:v>
      </x:c>
      <x:c r="BL23" s="3" t="str">
        <x:f>IF(ISNUMBER('中古車掲載'!AN24),'中古車掲載'!AN24,"")</x:f>
      </x:c>
      <x:c r="BM23" s="3" t="str">
        <x:v>2020|Double cab</x:v>
      </x:c>
      <x:c r="BN23" s="3" t="n">
        <x:v>681</x:v>
      </x:c>
      <x:c r="BO23" s="3" t="n">
        <x:f>'中古車掲載'!AM681</x:f>
        <x:v>438000</x:v>
      </x:c>
      <x:c r="BP23" s="3" t="str">
        <x:v>2.4 MID Z EDITION DOUBLE CAB</x:v>
      </x:c>
      <x:c r="BQ23" s="3"/>
      <x:c r="BR23" s="3"/>
    </x:row>
    <x:row r="24" ht="22" customHeight="1">
      <x:c r="A24" s="3" t="str">
        <x:v>DOLPHIN</x:v>
      </x:c>
      <x:c r="B24" s="3" t="str">
        <x:v>BEV</x:v>
      </x:c>
      <x:c r="C24" s="3" t="str">
        <x:v>Taladrod</x:v>
      </x:c>
      <x:c r="D24" s="22" t="n">
        <x:f>COUNT('中古車掲載'!AM464:AM485)</x:f>
        <x:v>22</x:v>
      </x:c>
      <x:c r="E24" s="22" t="n">
        <x:f>IF(COUNT('中古車掲載'!AM464:AM485)=0,"",QUARTILE('中古車掲載'!AM464:AM485,1))</x:f>
        <x:v>332000</x:v>
      </x:c>
      <x:c r="F24" s="22" t="n">
        <x:f>IF(COUNT('中古車掲載'!AM464:AM485)=0,"",MEDIAN('中古車掲載'!AM464:AM485))</x:f>
        <x:v>349000</x:v>
      </x:c>
      <x:c r="G24" s="22" t="n">
        <x:f>IF(COUNT('中古車掲載'!AM464:AM485)=0,"",QUARTILE('中古車掲載'!AM464:AM485,3))</x:f>
        <x:v>394000</x:v>
      </x:c>
      <x:c r="H24" s="22" t="n">
        <x:f>COUNT('中古車掲載'!AN464:AN485)</x:f>
        <x:v>12</x:v>
      </x:c>
      <x:c r="I24" s="23" t="n">
        <x:f>IF(COUNT('中古車掲載'!AN464:AN485)=0,"",MEDIAN('中古車掲載'!AN464:AN485))</x:f>
        <x:v>0.4635720908172726</x:v>
      </x:c>
      <x:c r="J24" s="3" t="n">
        <x:f>COUNT('中古車掲載'!N464:N485)</x:f>
        <x:v>3</x:v>
      </x:c>
      <x:c r="K24" s="3"/>
      <x:c r="L24" s="3"/>
      <x:c r="M24" s="3"/>
      <x:c r="N24" s="3"/>
      <x:c r="O24" s="3"/>
      <x:c r="P24" s="3"/>
      <x:c r="Q24" s="3"/>
      <x:c r="R24" s="3" t="str">
        <x:v>Taladrod</x:v>
      </x:c>
      <x:c r="S24" s="3" t="str">
        <x:v>ATTO 3</x:v>
      </x:c>
      <x:c r="T24" s="3" t="str">
        <x:v>BEV</x:v>
      </x:c>
      <x:c r="U24" s="3" t="str">
        <x:v>Other province</x:v>
      </x:c>
      <x:c r="V24" s="22" t="n">
        <x:f>COUNT(BK178:BK178)</x:f>
        <x:v>1</x:v>
      </x:c>
      <x:c r="W24" s="22" t="n">
        <x:f>IF(COUNT(BK178:BK178)=0,"",QUARTILE(BK178:BK178,1))</x:f>
        <x:v>625000</x:v>
      </x:c>
      <x:c r="X24" s="22" t="n">
        <x:f>IF(COUNT(BK178:BK178)=0,"",MEDIAN(BK178:BK178))</x:f>
        <x:v>625000</x:v>
      </x:c>
      <x:c r="Y24" s="22" t="n">
        <x:f>IF(COUNT(BK178:BK178)=0,"",QUARTILE(BK178:BK178,3))</x:f>
        <x:v>625000</x:v>
      </x:c>
      <x:c r="Z24" s="3"/>
      <x:c r="AA24" s="3"/>
      <x:c r="AB24" s="3"/>
      <x:c r="AC24" s="3"/>
      <x:c r="AD24" s="3"/>
      <x:c r="AE24" s="3"/>
      <x:c r="AF24" s="3"/>
      <x:c r="AG24" s="3"/>
      <x:c r="AH24" s="3"/>
      <x:c r="AI24" s="3"/>
      <x:c r="AJ24" s="3"/>
      <x:c r="AK24" s="3"/>
      <x:c r="AL24" s="3"/>
      <x:c r="AM24" s="3"/>
      <x:c r="AN24" s="3"/>
      <x:c r="AO24" s="3"/>
      <x:c r="AP24" s="3"/>
      <x:c r="AQ24" s="3"/>
      <x:c r="AR24" s="3"/>
      <x:c r="AS24" s="3"/>
      <x:c r="AT24" s="3"/>
      <x:c r="AU24" s="3"/>
      <x:c r="AV24" s="3"/>
      <x:c r="AW24" s="3"/>
      <x:c r="AX24" s="3"/>
      <x:c r="AY24" s="3"/>
      <x:c r="AZ24" s="3" t="str">
        <x:f>IF(AND('中古車掲載'!C25="One2car",'中古車掲載'!F25="ATTO 3",'中古車掲載'!L25="EXTENDED RANGE",'中古車掲載'!J25=2023,ISNUMBER('中古車掲載'!N25),'中古車掲載'!N25&gt;=20000,'中古車掲載'!O25&lt;=100000,'中古車掲載'!AL25=1),'中古車掲載'!U25,"")</x:f>
      </x:c>
      <x:c r="BA24" s="3" t="str">
        <x:f>IF(AND('中古車掲載'!C25="One2car",'中古車掲載'!F25="Corolla Cross",'中古車掲載'!L25="HEV PREMIUM SAFETY",'中古車掲載'!J25=2023,ISNUMBER('中古車掲載'!N25),'中古車掲載'!N25&gt;=20000,'中古車掲載'!O25&lt;=100000,'中古車掲載'!AL25=1,'中古車掲載'!Z25="https://www.one2car.com/en/cars-for-sale/toyota/corolla-cross/year-2023"),'中古車掲載'!U25,"")</x:f>
      </x:c>
      <x:c r="BB24" s="3" t="str">
        <x:f>IF(AND('中古車掲載'!C25="One2car",'中古車掲載'!F25="ATTO 3",'中古車掲載'!L25="EXTENDED RANGE",'中古車掲載'!J25=2023,ISNUMBER('中古車掲載'!N25),'中古車掲載'!N25&gt;=50000,'中古車掲載'!O25&lt;=100000,'中古車掲載'!AL25=1),'中古車掲載'!U25,"")</x:f>
      </x:c>
      <x:c r="BC24" s="3" t="str">
        <x:f>IF(AND('中古車掲載'!C25="One2car",'中古車掲載'!F25="Corolla Cross",'中古車掲載'!L25="HEV PREMIUM SAFETY",'中古車掲載'!J25=2023,ISNUMBER('中古車掲載'!N25),'中古車掲載'!N25&gt;=50000,'中古車掲載'!O25&lt;=100000,'中古車掲載'!AL25=1,'中古車掲載'!Z25="https://www.one2car.com/en/cars-for-sale/toyota/corolla-cross/year-2023"),'中古車掲載'!U25,"")</x:f>
      </x:c>
      <x:c r="BD24" s="3" t="str">
        <x:f>IF(AND('中古車掲載'!C25="One2car",'中古車掲載'!F25="ATTO 3",'中古車掲載'!L25="EXTENDED RANGE",'中古車掲載'!J25=2023,ISNUMBER('中古車掲載'!N25),'中古車掲載'!N25&gt;=20000,'中古車掲載'!O25&lt;=50000,'中古車掲載'!AL25=1),'中古車掲載'!U25,"")</x:f>
      </x:c>
      <x:c r="BE24" s="3" t="str">
        <x:f>IF(AND('中古車掲載'!C25="One2car",'中古車掲載'!F25="Corolla Cross",'中古車掲載'!L25="HEV PREMIUM SAFETY",'中古車掲載'!J25=2023,ISNUMBER('中古車掲載'!N25),'中古車掲載'!N25&gt;=20000,'中古車掲載'!O25&lt;=50000,'中古車掲載'!AL25=1,'中古車掲載'!Z25="https://www.one2car.com/en/cars-for-sale/toyota/corolla-cross/year-2023"),'中古車掲載'!U25,"")</x:f>
      </x:c>
      <x:c r="BF24" s="3" t="str">
        <x:f>IF(AND('中古車掲載'!C25="One2car",'中古車掲載'!F25="Corolla Cross",'中古車掲載'!L25="HEV PREMIUM",'中古車掲載'!J25=2023,ISNUMBER('中古車掲載'!N25),'中古車掲載'!N25&gt;=20000,'中古車掲載'!O25&lt;=100000,'中古車掲載'!AL25=1,'中古車掲載'!Z25="https://www.one2car.com/en/cars-for-sale/toyota/corolla-cross/year-2023"),'中古車掲載'!U25,"")</x:f>
      </x:c>
      <x:c r="BG24" s="3" t="str">
        <x:f>IF(AND('中古車掲載'!C25="One2car",'中古車掲載'!F25="Corolla Cross",'中古車掲載'!L25="HEV GR SPORT",'中古車掲載'!J25=2023,ISNUMBER('中古車掲載'!N25),'中古車掲載'!N25&gt;=20000,'中古車掲載'!O25&lt;=100000,'中古車掲載'!AL25=1,'中古車掲載'!Z25="https://www.one2car.com/en/cars-for-sale/toyota/corolla-cross/year-2023"),'中古車掲載'!U25,"")</x:f>
      </x:c>
      <x:c r="BH24" s="3" t="str">
        <x:f>IF(AND('中古車掲載'!C25="One2car",'中古車掲載'!F25="DOLPHIN",'中古車掲載'!L25="STANDARD RANGE",'中古車掲載'!J25=2023,ISNUMBER('中古車掲載'!N25),'中古車掲載'!N25&gt;=20000,'中古車掲載'!O25&lt;=100000,'中古車掲載'!AL25=1),'中古車掲載'!U25,"")</x:f>
      </x:c>
      <x:c r="BI24" s="3" t="str">
        <x:v>One2car|ATTO 3|BEV|Bangkok metro</x:v>
      </x:c>
      <x:c r="BJ24" s="3" t="n">
        <x:v>25</x:v>
      </x:c>
      <x:c r="BK24" s="3" t="n">
        <x:f>'中古車掲載'!AM25</x:f>
        <x:v>460000</x:v>
      </x:c>
      <x:c r="BL24" s="3" t="str">
        <x:f>IF(ISNUMBER('中古車掲載'!AN25),'中古車掲載'!AN25,"")</x:f>
      </x:c>
      <x:c r="BM24" s="3" t="str">
        <x:v>2020|Double cab</x:v>
      </x:c>
      <x:c r="BN24" s="3" t="n">
        <x:v>682</x:v>
      </x:c>
      <x:c r="BO24" s="3" t="n">
        <x:f>'中古車掲載'!AM682</x:f>
        <x:v>469000</x:v>
      </x:c>
      <x:c r="BP24" s="3" t="str">
        <x:v>2.4 MID Z EDITION DOUBLE CAB</x:v>
      </x:c>
      <x:c r="BQ24" s="3"/>
      <x:c r="BR24" s="3"/>
    </x:row>
    <x:row r="25" ht="30" customHeight="1">
      <x:c r="A25" s="3" t="str">
        <x:v>Fortuner</x:v>
      </x:c>
      <x:c r="B25" s="3" t="str">
        <x:v>ICE</x:v>
      </x:c>
      <x:c r="C25" s="3" t="str">
        <x:v>Taladrod</x:v>
      </x:c>
      <x:c r="D25" s="22" t="n">
        <x:f>COUNT('中古車掲載'!AM486:AM623)</x:f>
        <x:v>138</x:v>
      </x:c>
      <x:c r="E25" s="22" t="n">
        <x:f>IF(COUNT('中古車掲載'!AM486:AM623)=0,"",QUARTILE('中古車掲載'!AM486:AM623,1))</x:f>
        <x:v>829250</x:v>
      </x:c>
      <x:c r="F25" s="22" t="n">
        <x:f>IF(COUNT('中古車掲載'!AM486:AM623)=0,"",MEDIAN('中古車掲載'!AM486:AM623))</x:f>
        <x:v>909000</x:v>
      </x:c>
      <x:c r="G25" s="22" t="n">
        <x:f>IF(COUNT('中古車掲載'!AM486:AM623)=0,"",QUARTILE('中古車掲載'!AM486:AM623,3))</x:f>
        <x:v>959000</x:v>
      </x:c>
      <x:c r="H25" s="22" t="n">
        <x:f>COUNT('中古車掲載'!AN486:AN623)</x:f>
        <x:v>0</x:v>
      </x:c>
      <x:c r="I25" s="23" t="str">
        <x:f>IF(COUNT('中古車掲載'!AN486:AN623)=0,"",MEDIAN('中古車掲載'!AN486:AN623))</x:f>
      </x:c>
      <x:c r="J25" s="3" t="n">
        <x:f>COUNT('中古車掲載'!N486:N623)</x:f>
        <x:v>0</x:v>
      </x:c>
      <x:c r="K25" s="3"/>
      <x:c r="L25" s="3"/>
      <x:c r="M25" s="3"/>
      <x:c r="N25" s="3"/>
      <x:c r="O25" s="3"/>
      <x:c r="P25" s="3"/>
      <x:c r="Q25" s="3"/>
      <x:c r="R25" s="3" t="str">
        <x:v>Taladrod</x:v>
      </x:c>
      <x:c r="S25" s="3" t="str">
        <x:v>ATTO 3</x:v>
      </x:c>
      <x:c r="T25" s="3" t="str">
        <x:v>BEV</x:v>
      </x:c>
      <x:c r="U25" s="3" t="str">
        <x:v>Unknown</x:v>
      </x:c>
      <x:c r="V25" s="22" t="n">
        <x:f>COUNT(BK179:BK183)</x:f>
        <x:v>4</x:v>
      </x:c>
      <x:c r="W25" s="22" t="n">
        <x:f>IF(COUNT(BK179:BK183)=0,"",QUARTILE(BK179:BK183,1))</x:f>
        <x:v>434250</x:v>
      </x:c>
      <x:c r="X25" s="22" t="n">
        <x:f>IF(COUNT(BK179:BK183)=0,"",MEDIAN(BK179:BK183))</x:f>
        <x:v>469000</x:v>
      </x:c>
      <x:c r="Y25" s="22" t="n">
        <x:f>IF(COUNT(BK179:BK183)=0,"",QUARTILE(BK179:BK183,3))</x:f>
        <x:v>506500</x:v>
      </x:c>
      <x:c r="Z25" s="3"/>
      <x:c r="AA25" s="16" t="str">
        <x:v>年式差</x:v>
      </x:c>
      <x:c r="AB25" s="21" t="str">
        <x:v>ATTO 3 BEV</x:v>
      </x:c>
      <x:c r="AC25" s="21" t="str">
        <x:v>Corolla Cross HEV</x:v>
      </x:c>
      <x:c r="AD25" s="17" t="str">
        <x:v>Corolla Cross ICE</x:v>
      </x:c>
      <x:c r="AE25" s="3"/>
      <x:c r="AF25" s="3"/>
      <x:c r="AG25" s="3"/>
      <x:c r="AH25" s="3"/>
      <x:c r="AI25" s="3"/>
      <x:c r="AJ25" s="3"/>
      <x:c r="AK25" s="3"/>
      <x:c r="AL25" s="3"/>
      <x:c r="AM25" s="3"/>
      <x:c r="AN25" s="3"/>
      <x:c r="AO25" s="3"/>
      <x:c r="AP25" s="3"/>
      <x:c r="AQ25" s="3"/>
      <x:c r="AR25" s="3"/>
      <x:c r="AS25" s="3"/>
      <x:c r="AT25" s="3"/>
      <x:c r="AU25" s="3"/>
      <x:c r="AV25" s="3"/>
      <x:c r="AW25" s="3"/>
      <x:c r="AX25" s="3"/>
      <x:c r="AY25" s="3"/>
      <x:c r="AZ25" s="3" t="str">
        <x:f>IF(AND('中古車掲載'!C26="One2car",'中古車掲載'!F26="ATTO 3",'中古車掲載'!L26="EXTENDED RANGE",'中古車掲載'!J26=2023,ISNUMBER('中古車掲載'!N26),'中古車掲載'!N26&gt;=20000,'中古車掲載'!O26&lt;=100000,'中古車掲載'!AL26=1),'中古車掲載'!U26,"")</x:f>
      </x:c>
      <x:c r="BA25" s="3" t="str">
        <x:f>IF(AND('中古車掲載'!C26="One2car",'中古車掲載'!F26="Corolla Cross",'中古車掲載'!L26="HEV PREMIUM SAFETY",'中古車掲載'!J26=2023,ISNUMBER('中古車掲載'!N26),'中古車掲載'!N26&gt;=20000,'中古車掲載'!O26&lt;=100000,'中古車掲載'!AL26=1,'中古車掲載'!Z26="https://www.one2car.com/en/cars-for-sale/toyota/corolla-cross/year-2023"),'中古車掲載'!U26,"")</x:f>
      </x:c>
      <x:c r="BB25" s="3" t="str">
        <x:f>IF(AND('中古車掲載'!C26="One2car",'中古車掲載'!F26="ATTO 3",'中古車掲載'!L26="EXTENDED RANGE",'中古車掲載'!J26=2023,ISNUMBER('中古車掲載'!N26),'中古車掲載'!N26&gt;=50000,'中古車掲載'!O26&lt;=100000,'中古車掲載'!AL26=1),'中古車掲載'!U26,"")</x:f>
      </x:c>
      <x:c r="BC25" s="3" t="str">
        <x:f>IF(AND('中古車掲載'!C26="One2car",'中古車掲載'!F26="Corolla Cross",'中古車掲載'!L26="HEV PREMIUM SAFETY",'中古車掲載'!J26=2023,ISNUMBER('中古車掲載'!N26),'中古車掲載'!N26&gt;=50000,'中古車掲載'!O26&lt;=100000,'中古車掲載'!AL26=1,'中古車掲載'!Z26="https://www.one2car.com/en/cars-for-sale/toyota/corolla-cross/year-2023"),'中古車掲載'!U26,"")</x:f>
      </x:c>
      <x:c r="BD25" s="3" t="str">
        <x:f>IF(AND('中古車掲載'!C26="One2car",'中古車掲載'!F26="ATTO 3",'中古車掲載'!L26="EXTENDED RANGE",'中古車掲載'!J26=2023,ISNUMBER('中古車掲載'!N26),'中古車掲載'!N26&gt;=20000,'中古車掲載'!O26&lt;=50000,'中古車掲載'!AL26=1),'中古車掲載'!U26,"")</x:f>
      </x:c>
      <x:c r="BE25" s="3" t="str">
        <x:f>IF(AND('中古車掲載'!C26="One2car",'中古車掲載'!F26="Corolla Cross",'中古車掲載'!L26="HEV PREMIUM SAFETY",'中古車掲載'!J26=2023,ISNUMBER('中古車掲載'!N26),'中古車掲載'!N26&gt;=20000,'中古車掲載'!O26&lt;=50000,'中古車掲載'!AL26=1,'中古車掲載'!Z26="https://www.one2car.com/en/cars-for-sale/toyota/corolla-cross/year-2023"),'中古車掲載'!U26,"")</x:f>
      </x:c>
      <x:c r="BF25" s="3" t="str">
        <x:f>IF(AND('中古車掲載'!C26="One2car",'中古車掲載'!F26="Corolla Cross",'中古車掲載'!L26="HEV PREMIUM",'中古車掲載'!J26=2023,ISNUMBER('中古車掲載'!N26),'中古車掲載'!N26&gt;=20000,'中古車掲載'!O26&lt;=100000,'中古車掲載'!AL26=1,'中古車掲載'!Z26="https://www.one2car.com/en/cars-for-sale/toyota/corolla-cross/year-2023"),'中古車掲載'!U26,"")</x:f>
      </x:c>
      <x:c r="BG25" s="3" t="str">
        <x:f>IF(AND('中古車掲載'!C26="One2car",'中古車掲載'!F26="Corolla Cross",'中古車掲載'!L26="HEV GR SPORT",'中古車掲載'!J26=2023,ISNUMBER('中古車掲載'!N26),'中古車掲載'!N26&gt;=20000,'中古車掲載'!O26&lt;=100000,'中古車掲載'!AL26=1,'中古車掲載'!Z26="https://www.one2car.com/en/cars-for-sale/toyota/corolla-cross/year-2023"),'中古車掲載'!U26,"")</x:f>
      </x:c>
      <x:c r="BH25" s="3" t="str">
        <x:f>IF(AND('中古車掲載'!C26="One2car",'中古車掲載'!F26="DOLPHIN",'中古車掲載'!L26="STANDARD RANGE",'中古車掲載'!J26=2023,ISNUMBER('中古車掲載'!N26),'中古車掲載'!N26&gt;=20000,'中古車掲載'!O26&lt;=100000,'中古車掲載'!AL26=1),'中古車掲載'!U26,"")</x:f>
      </x:c>
      <x:c r="BI25" s="3" t="str">
        <x:v>One2car|ATTO 3|BEV|Bangkok metro</x:v>
      </x:c>
      <x:c r="BJ25" s="3" t="n">
        <x:v>26</x:v>
      </x:c>
      <x:c r="BK25" s="3" t="n">
        <x:f>'中古車掲載'!AM26</x:f>
        <x:v>529000</x:v>
      </x:c>
      <x:c r="BL25" s="3" t="str">
        <x:f>IF(ISNUMBER('中古車掲載'!AN26),'中古車掲載'!AN26,"")</x:f>
      </x:c>
      <x:c r="BM25" s="3" t="str">
        <x:v>2020|Double cab</x:v>
      </x:c>
      <x:c r="BN25" s="3" t="n">
        <x:v>683</x:v>
      </x:c>
      <x:c r="BO25" s="3" t="n">
        <x:f>'中古車掲載'!AM683</x:f>
        <x:v>449000</x:v>
      </x:c>
      <x:c r="BP25" s="3" t="str">
        <x:v>2.4 MID Z EDITION DOUBLE CAB</x:v>
      </x:c>
      <x:c r="BQ25" s="3"/>
      <x:c r="BR25" s="3"/>
    </x:row>
    <x:row r="26" ht="22" customHeight="1">
      <x:c r="A26" s="3" t="str">
        <x:v>Hilux Champ</x:v>
      </x:c>
      <x:c r="B26" s="3" t="str">
        <x:v>ICE</x:v>
      </x:c>
      <x:c r="C26" s="3" t="str">
        <x:v>Taladrod</x:v>
      </x:c>
      <x:c r="D26" s="22" t="n">
        <x:f>COUNT('中古車掲載'!AM624:AM649)</x:f>
        <x:v>26</x:v>
      </x:c>
      <x:c r="E26" s="22" t="n">
        <x:f>IF(COUNT('中古車掲載'!AM624:AM649)=0,"",QUARTILE('中古車掲載'!AM624:AM649,1))</x:f>
        <x:v>449000</x:v>
      </x:c>
      <x:c r="F26" s="22" t="n">
        <x:f>IF(COUNT('中古車掲載'!AM624:AM649)=0,"",MEDIAN('中古車掲載'!AM624:AM649))</x:f>
        <x:v>462000</x:v>
      </x:c>
      <x:c r="G26" s="22" t="n">
        <x:f>IF(COUNT('中古車掲載'!AM624:AM649)=0,"",QUARTILE('中古車掲載'!AM624:AM649,3))</x:f>
        <x:v>469000</x:v>
      </x:c>
      <x:c r="H26" s="22" t="n">
        <x:f>COUNT('中古車掲載'!AN624:AN649)</x:f>
        <x:v>0</x:v>
      </x:c>
      <x:c r="I26" s="23" t="str">
        <x:f>IF(COUNT('中古車掲載'!AN624:AN649)=0,"",MEDIAN('中古車掲載'!AN624:AN649))</x:f>
      </x:c>
      <x:c r="J26" s="3" t="n">
        <x:f>COUNT('中古車掲載'!N624:N649)</x:f>
        <x:v>0</x:v>
      </x:c>
      <x:c r="K26" s="3"/>
      <x:c r="L26" s="3"/>
      <x:c r="M26" s="3"/>
      <x:c r="N26" s="3"/>
      <x:c r="O26" s="3"/>
      <x:c r="P26" s="3"/>
      <x:c r="Q26" s="3"/>
      <x:c r="R26" s="3" t="str">
        <x:v>Taladrod</x:v>
      </x:c>
      <x:c r="S26" s="3" t="str">
        <x:v>Corolla Altis</x:v>
      </x:c>
      <x:c r="T26" s="3" t="str">
        <x:v>HEV</x:v>
      </x:c>
      <x:c r="U26" s="3" t="str">
        <x:v>Unknown</x:v>
      </x:c>
      <x:c r="V26" s="22" t="n">
        <x:f>COUNT(BK184:BK209)</x:f>
        <x:v>26</x:v>
      </x:c>
      <x:c r="W26" s="22" t="n">
        <x:f>IF(COUNT(BK184:BK209)=0,"",QUARTILE(BK184:BK209,1))</x:f>
        <x:v>476000</x:v>
      </x:c>
      <x:c r="X26" s="22" t="n">
        <x:f>IF(COUNT(BK184:BK209)=0,"",MEDIAN(BK184:BK209))</x:f>
        <x:v>509000</x:v>
      </x:c>
      <x:c r="Y26" s="22" t="n">
        <x:f>IF(COUNT(BK184:BK209)=0,"",QUARTILE(BK184:BK209,3))</x:f>
        <x:v>737250</x:v>
      </x:c>
      <x:c r="Z26" s="3"/>
      <x:c r="AA26" s="3" t="str">
        <x:v>1年式差</x:v>
      </x:c>
      <x:c r="AB26" s="3" t="e">
        <x:f>IF(E113&gt;=3,G113,NA())</x:f>
        <x:v>#N/A</x:v>
      </x:c>
      <x:c r="AC26" s="3" t="n">
        <x:f>IF(E130&gt;=3,G130,NA())</x:f>
        <x:v>899000</x:v>
      </x:c>
      <x:c r="AD26" s="3" t="e">
        <x:f>NA()</x:f>
        <x:v>#N/A</x:v>
      </x:c>
      <x:c r="AE26" s="3"/>
      <x:c r="AF26" s="3"/>
      <x:c r="AG26" s="3"/>
      <x:c r="AH26" s="3"/>
      <x:c r="AI26" s="3"/>
      <x:c r="AJ26" s="3"/>
      <x:c r="AK26" s="3"/>
      <x:c r="AL26" s="3"/>
      <x:c r="AM26" s="3"/>
      <x:c r="AN26" s="3"/>
      <x:c r="AO26" s="3"/>
      <x:c r="AP26" s="3"/>
      <x:c r="AQ26" s="3"/>
      <x:c r="AR26" s="3"/>
      <x:c r="AS26" s="3"/>
      <x:c r="AT26" s="3"/>
      <x:c r="AU26" s="3"/>
      <x:c r="AV26" s="3"/>
      <x:c r="AW26" s="3"/>
      <x:c r="AX26" s="3"/>
      <x:c r="AY26" s="3"/>
      <x:c r="AZ26" s="3" t="str">
        <x:f>IF(AND('中古車掲載'!C27="One2car",'中古車掲載'!F27="ATTO 3",'中古車掲載'!L27="EXTENDED RANGE",'中古車掲載'!J27=2023,ISNUMBER('中古車掲載'!N27),'中古車掲載'!N27&gt;=20000,'中古車掲載'!O27&lt;=100000,'中古車掲載'!AL27=1),'中古車掲載'!U27,"")</x:f>
      </x:c>
      <x:c r="BA26" s="3" t="str">
        <x:f>IF(AND('中古車掲載'!C27="One2car",'中古車掲載'!F27="Corolla Cross",'中古車掲載'!L27="HEV PREMIUM SAFETY",'中古車掲載'!J27=2023,ISNUMBER('中古車掲載'!N27),'中古車掲載'!N27&gt;=20000,'中古車掲載'!O27&lt;=100000,'中古車掲載'!AL27=1,'中古車掲載'!Z27="https://www.one2car.com/en/cars-for-sale/toyota/corolla-cross/year-2023"),'中古車掲載'!U27,"")</x:f>
      </x:c>
      <x:c r="BB26" s="3" t="str">
        <x:f>IF(AND('中古車掲載'!C27="One2car",'中古車掲載'!F27="ATTO 3",'中古車掲載'!L27="EXTENDED RANGE",'中古車掲載'!J27=2023,ISNUMBER('中古車掲載'!N27),'中古車掲載'!N27&gt;=50000,'中古車掲載'!O27&lt;=100000,'中古車掲載'!AL27=1),'中古車掲載'!U27,"")</x:f>
      </x:c>
      <x:c r="BC26" s="3" t="str">
        <x:f>IF(AND('中古車掲載'!C27="One2car",'中古車掲載'!F27="Corolla Cross",'中古車掲載'!L27="HEV PREMIUM SAFETY",'中古車掲載'!J27=2023,ISNUMBER('中古車掲載'!N27),'中古車掲載'!N27&gt;=50000,'中古車掲載'!O27&lt;=100000,'中古車掲載'!AL27=1,'中古車掲載'!Z27="https://www.one2car.com/en/cars-for-sale/toyota/corolla-cross/year-2023"),'中古車掲載'!U27,"")</x:f>
      </x:c>
      <x:c r="BD26" s="3" t="str">
        <x:f>IF(AND('中古車掲載'!C27="One2car",'中古車掲載'!F27="ATTO 3",'中古車掲載'!L27="EXTENDED RANGE",'中古車掲載'!J27=2023,ISNUMBER('中古車掲載'!N27),'中古車掲載'!N27&gt;=20000,'中古車掲載'!O27&lt;=50000,'中古車掲載'!AL27=1),'中古車掲載'!U27,"")</x:f>
      </x:c>
      <x:c r="BE26" s="3" t="str">
        <x:f>IF(AND('中古車掲載'!C27="One2car",'中古車掲載'!F27="Corolla Cross",'中古車掲載'!L27="HEV PREMIUM SAFETY",'中古車掲載'!J27=2023,ISNUMBER('中古車掲載'!N27),'中古車掲載'!N27&gt;=20000,'中古車掲載'!O27&lt;=50000,'中古車掲載'!AL27=1,'中古車掲載'!Z27="https://www.one2car.com/en/cars-for-sale/toyota/corolla-cross/year-2023"),'中古車掲載'!U27,"")</x:f>
      </x:c>
      <x:c r="BF26" s="3" t="str">
        <x:f>IF(AND('中古車掲載'!C27="One2car",'中古車掲載'!F27="Corolla Cross",'中古車掲載'!L27="HEV PREMIUM",'中古車掲載'!J27=2023,ISNUMBER('中古車掲載'!N27),'中古車掲載'!N27&gt;=20000,'中古車掲載'!O27&lt;=100000,'中古車掲載'!AL27=1,'中古車掲載'!Z27="https://www.one2car.com/en/cars-for-sale/toyota/corolla-cross/year-2023"),'中古車掲載'!U27,"")</x:f>
      </x:c>
      <x:c r="BG26" s="3" t="str">
        <x:f>IF(AND('中古車掲載'!C27="One2car",'中古車掲載'!F27="Corolla Cross",'中古車掲載'!L27="HEV GR SPORT",'中古車掲載'!J27=2023,ISNUMBER('中古車掲載'!N27),'中古車掲載'!N27&gt;=20000,'中古車掲載'!O27&lt;=100000,'中古車掲載'!AL27=1,'中古車掲載'!Z27="https://www.one2car.com/en/cars-for-sale/toyota/corolla-cross/year-2023"),'中古車掲載'!U27,"")</x:f>
      </x:c>
      <x:c r="BH26" s="3" t="str">
        <x:f>IF(AND('中古車掲載'!C27="One2car",'中古車掲載'!F27="DOLPHIN",'中古車掲載'!L27="STANDARD RANGE",'中古車掲載'!J27=2023,ISNUMBER('中古車掲載'!N27),'中古車掲載'!N27&gt;=20000,'中古車掲載'!O27&lt;=100000,'中古車掲載'!AL27=1),'中古車掲載'!U27,"")</x:f>
      </x:c>
      <x:c r="BI26" s="3" t="str">
        <x:v>One2car|Corolla Altis|HEV|Bangkok metro</x:v>
      </x:c>
      <x:c r="BJ26" s="3" t="n">
        <x:v>27</x:v>
      </x:c>
      <x:c r="BK26" s="3" t="n">
        <x:f>'中古車掲載'!AM27</x:f>
        <x:v>559000</x:v>
      </x:c>
      <x:c r="BL26" s="3" t="str">
        <x:f>IF(ISNUMBER('中古車掲載'!AN27),'中古車掲載'!AN27,"")</x:f>
      </x:c>
      <x:c r="BM26" s="3" t="str">
        <x:v>2020|Double cab</x:v>
      </x:c>
      <x:c r="BN26" s="3" t="n">
        <x:v>691</x:v>
      </x:c>
      <x:c r="BO26" s="3" t="n">
        <x:f>'中古車掲載'!AM691</x:f>
        <x:v>650000</x:v>
      </x:c>
      <x:c r="BP26" s="3" t="str">
        <x:v>2.4 PRERUNNER DOUBLE CAB</x:v>
      </x:c>
      <x:c r="BQ26" s="3"/>
      <x:c r="BR26" s="3"/>
    </x:row>
    <x:row r="27" ht="22" customHeight="1">
      <x:c r="A27" s="3" t="str">
        <x:v>Hilux Revo</x:v>
      </x:c>
      <x:c r="B27" s="3" t="str">
        <x:v>ICE</x:v>
      </x:c>
      <x:c r="C27" s="3" t="str">
        <x:v>Taladrod</x:v>
      </x:c>
      <x:c r="D27" s="22" t="n">
        <x:f>COUNT('中古車掲載'!AM650:AM919)</x:f>
        <x:v>268</x:v>
      </x:c>
      <x:c r="E27" s="22" t="n">
        <x:f>IF(COUNT('中古車掲載'!AM650:AM919)=0,"",QUARTILE('中古車掲載'!AM650:AM919,1))</x:f>
        <x:v>399750</x:v>
      </x:c>
      <x:c r="F27" s="22" t="n">
        <x:f>IF(COUNT('中古車掲載'!AM650:AM919)=0,"",MEDIAN('中古車掲載'!AM650:AM919))</x:f>
        <x:v>479000</x:v>
      </x:c>
      <x:c r="G27" s="22" t="n">
        <x:f>IF(COUNT('中古車掲載'!AM650:AM919)=0,"",QUARTILE('中古車掲載'!AM650:AM919,3))</x:f>
        <x:v>599000</x:v>
      </x:c>
      <x:c r="H27" s="22" t="n">
        <x:f>COUNT('中古車掲載'!AN650:AN919)</x:f>
        <x:v>0</x:v>
      </x:c>
      <x:c r="I27" s="23" t="str">
        <x:f>IF(COUNT('中古車掲載'!AN650:AN919)=0,"",MEDIAN('中古車掲載'!AN650:AN919))</x:f>
      </x:c>
      <x:c r="J27" s="3" t="n">
        <x:f>COUNT('中古車掲載'!N650:N919)</x:f>
        <x:v>0</x:v>
      </x:c>
      <x:c r="K27" s="3"/>
      <x:c r="L27" s="3"/>
      <x:c r="M27" s="3"/>
      <x:c r="N27" s="3"/>
      <x:c r="O27" s="3"/>
      <x:c r="P27" s="3"/>
      <x:c r="Q27" s="3"/>
      <x:c r="R27" s="3" t="str">
        <x:v>Taladrod</x:v>
      </x:c>
      <x:c r="S27" s="3" t="str">
        <x:v>Corolla Altis</x:v>
      </x:c>
      <x:c r="T27" s="3" t="str">
        <x:v>ICE</x:v>
      </x:c>
      <x:c r="U27" s="3" t="str">
        <x:v>Unknown</x:v>
      </x:c>
      <x:c r="V27" s="22" t="n">
        <x:f>COUNT(BK210:BK273)</x:f>
        <x:v>64</x:v>
      </x:c>
      <x:c r="W27" s="22" t="n">
        <x:f>IF(COUNT(BK210:BK273)=0,"",QUARTILE(BK210:BK273,1))</x:f>
        <x:v>425000</x:v>
      </x:c>
      <x:c r="X27" s="22" t="n">
        <x:f>IF(COUNT(BK210:BK273)=0,"",MEDIAN(BK210:BK273))</x:f>
        <x:v>459000</x:v>
      </x:c>
      <x:c r="Y27" s="22" t="n">
        <x:f>IF(COUNT(BK210:BK273)=0,"",QUARTILE(BK210:BK273,3))</x:f>
        <x:v>499000</x:v>
      </x:c>
      <x:c r="Z27" s="3"/>
      <x:c r="AA27" s="3" t="str">
        <x:v>2年式差</x:v>
      </x:c>
      <x:c r="AB27" s="3" t="e">
        <x:f>IF(E112&gt;=3,G112,NA())</x:f>
        <x:v>#N/A</x:v>
      </x:c>
      <x:c r="AC27" s="3" t="n">
        <x:f>IF(E129&gt;=3,G129,NA())</x:f>
        <x:v>878500</x:v>
      </x:c>
      <x:c r="AD27" s="3" t="e">
        <x:f>IF(E136&gt;=3,G136,NA())</x:f>
        <x:v>#N/A</x:v>
      </x:c>
      <x:c r="AE27" s="3"/>
      <x:c r="AF27" s="3"/>
      <x:c r="AG27" s="3"/>
      <x:c r="AH27" s="3"/>
      <x:c r="AI27" s="3"/>
      <x:c r="AJ27" s="3"/>
      <x:c r="AK27" s="3"/>
      <x:c r="AL27" s="3"/>
      <x:c r="AM27" s="3"/>
      <x:c r="AN27" s="3"/>
      <x:c r="AO27" s="3"/>
      <x:c r="AP27" s="3"/>
      <x:c r="AQ27" s="3"/>
      <x:c r="AR27" s="3"/>
      <x:c r="AS27" s="3"/>
      <x:c r="AT27" s="3"/>
      <x:c r="AU27" s="3"/>
      <x:c r="AV27" s="3"/>
      <x:c r="AW27" s="3"/>
      <x:c r="AX27" s="3"/>
      <x:c r="AY27" s="3"/>
      <x:c r="AZ27" s="3" t="str">
        <x:f>IF(AND('中古車掲載'!C28="One2car",'中古車掲載'!F28="ATTO 3",'中古車掲載'!L28="EXTENDED RANGE",'中古車掲載'!J28=2023,ISNUMBER('中古車掲載'!N28),'中古車掲載'!N28&gt;=20000,'中古車掲載'!O28&lt;=100000,'中古車掲載'!AL28=1),'中古車掲載'!U28,"")</x:f>
      </x:c>
      <x:c r="BA27" s="3" t="str">
        <x:f>IF(AND('中古車掲載'!C28="One2car",'中古車掲載'!F28="Corolla Cross",'中古車掲載'!L28="HEV PREMIUM SAFETY",'中古車掲載'!J28=2023,ISNUMBER('中古車掲載'!N28),'中古車掲載'!N28&gt;=20000,'中古車掲載'!O28&lt;=100000,'中古車掲載'!AL28=1,'中古車掲載'!Z28="https://www.one2car.com/en/cars-for-sale/toyota/corolla-cross/year-2023"),'中古車掲載'!U28,"")</x:f>
      </x:c>
      <x:c r="BB27" s="3" t="str">
        <x:f>IF(AND('中古車掲載'!C28="One2car",'中古車掲載'!F28="ATTO 3",'中古車掲載'!L28="EXTENDED RANGE",'中古車掲載'!J28=2023,ISNUMBER('中古車掲載'!N28),'中古車掲載'!N28&gt;=50000,'中古車掲載'!O28&lt;=100000,'中古車掲載'!AL28=1),'中古車掲載'!U28,"")</x:f>
      </x:c>
      <x:c r="BC27" s="3" t="str">
        <x:f>IF(AND('中古車掲載'!C28="One2car",'中古車掲載'!F28="Corolla Cross",'中古車掲載'!L28="HEV PREMIUM SAFETY",'中古車掲載'!J28=2023,ISNUMBER('中古車掲載'!N28),'中古車掲載'!N28&gt;=50000,'中古車掲載'!O28&lt;=100000,'中古車掲載'!AL28=1,'中古車掲載'!Z28="https://www.one2car.com/en/cars-for-sale/toyota/corolla-cross/year-2023"),'中古車掲載'!U28,"")</x:f>
      </x:c>
      <x:c r="BD27" s="3" t="str">
        <x:f>IF(AND('中古車掲載'!C28="One2car",'中古車掲載'!F28="ATTO 3",'中古車掲載'!L28="EXTENDED RANGE",'中古車掲載'!J28=2023,ISNUMBER('中古車掲載'!N28),'中古車掲載'!N28&gt;=20000,'中古車掲載'!O28&lt;=50000,'中古車掲載'!AL28=1),'中古車掲載'!U28,"")</x:f>
      </x:c>
      <x:c r="BE27" s="3" t="str">
        <x:f>IF(AND('中古車掲載'!C28="One2car",'中古車掲載'!F28="Corolla Cross",'中古車掲載'!L28="HEV PREMIUM SAFETY",'中古車掲載'!J28=2023,ISNUMBER('中古車掲載'!N28),'中古車掲載'!N28&gt;=20000,'中古車掲載'!O28&lt;=50000,'中古車掲載'!AL28=1,'中古車掲載'!Z28="https://www.one2car.com/en/cars-for-sale/toyota/corolla-cross/year-2023"),'中古車掲載'!U28,"")</x:f>
      </x:c>
      <x:c r="BF27" s="3" t="str">
        <x:f>IF(AND('中古車掲載'!C28="One2car",'中古車掲載'!F28="Corolla Cross",'中古車掲載'!L28="HEV PREMIUM",'中古車掲載'!J28=2023,ISNUMBER('中古車掲載'!N28),'中古車掲載'!N28&gt;=20000,'中古車掲載'!O28&lt;=100000,'中古車掲載'!AL28=1,'中古車掲載'!Z28="https://www.one2car.com/en/cars-for-sale/toyota/corolla-cross/year-2023"),'中古車掲載'!U28,"")</x:f>
      </x:c>
      <x:c r="BG27" s="3" t="str">
        <x:f>IF(AND('中古車掲載'!C28="One2car",'中古車掲載'!F28="Corolla Cross",'中古車掲載'!L28="HEV GR SPORT",'中古車掲載'!J28=2023,ISNUMBER('中古車掲載'!N28),'中古車掲載'!N28&gt;=20000,'中古車掲載'!O28&lt;=100000,'中古車掲載'!AL28=1,'中古車掲載'!Z28="https://www.one2car.com/en/cars-for-sale/toyota/corolla-cross/year-2023"),'中古車掲載'!U28,"")</x:f>
      </x:c>
      <x:c r="BH27" s="3" t="str">
        <x:f>IF(AND('中古車掲載'!C28="One2car",'中古車掲載'!F28="DOLPHIN",'中古車掲載'!L28="STANDARD RANGE",'中古車掲載'!J28=2023,ISNUMBER('中古車掲載'!N28),'中古車掲載'!N28&gt;=20000,'中古車掲載'!O28&lt;=100000,'中古車掲載'!AL28=1),'中古車掲載'!U28,"")</x:f>
      </x:c>
      <x:c r="BI27" s="3" t="str">
        <x:v>One2car|Corolla Altis|HEV|Bangkok metro</x:v>
      </x:c>
      <x:c r="BJ27" s="3" t="n">
        <x:v>28</x:v>
      </x:c>
      <x:c r="BK27" s="3" t="n">
        <x:f>'中古車掲載'!AM28</x:f>
        <x:v>479000</x:v>
      </x:c>
      <x:c r="BL27" s="3" t="str">
        <x:f>IF(ISNUMBER('中古車掲載'!AN28),'中古車掲載'!AN28,"")</x:f>
      </x:c>
      <x:c r="BM27" s="3" t="str">
        <x:v>2020|Double cab</x:v>
      </x:c>
      <x:c r="BN27" s="3" t="n">
        <x:v>692</x:v>
      </x:c>
      <x:c r="BO27" s="3" t="n">
        <x:f>'中古車掲載'!AM692</x:f>
        <x:v>649000</x:v>
      </x:c>
      <x:c r="BP27" s="3" t="str">
        <x:v>2.4 PRERUNNER DOUBLE CAB</x:v>
      </x:c>
      <x:c r="BQ27" s="3"/>
      <x:c r="BR27" s="3"/>
    </x:row>
    <x:row r="28" ht="22" customHeight="1">
      <x:c r="A28" s="3" t="str">
        <x:v>Hilux Revo</x:v>
      </x:c>
      <x:c r="B28" s="3" t="str">
        <x:v>不明</x:v>
      </x:c>
      <x:c r="C28" s="3" t="str">
        <x:v>Taladrod</x:v>
      </x:c>
      <x:c r="D28" s="22" t="n">
        <x:f>COUNT('中古車掲載'!AM920:AM921)</x:f>
        <x:v>2</x:v>
      </x:c>
      <x:c r="E28" s="22" t="n">
        <x:f>IF(COUNT('中古車掲載'!AM920:AM921)=0,"",QUARTILE('中古車掲載'!AM920:AM921,1))</x:f>
        <x:v>407500</x:v>
      </x:c>
      <x:c r="F28" s="22" t="n">
        <x:f>IF(COUNT('中古車掲載'!AM920:AM921)=0,"",MEDIAN('中古車掲載'!AM920:AM921))</x:f>
        <x:v>455000</x:v>
      </x:c>
      <x:c r="G28" s="22" t="n">
        <x:f>IF(COUNT('中古車掲載'!AM920:AM921)=0,"",QUARTILE('中古車掲載'!AM920:AM921,3))</x:f>
        <x:v>502500</x:v>
      </x:c>
      <x:c r="H28" s="22" t="n">
        <x:f>COUNT('中古車掲載'!AN920:AN921)</x:f>
        <x:v>0</x:v>
      </x:c>
      <x:c r="I28" s="23" t="str">
        <x:f>IF(COUNT('中古車掲載'!AN920:AN921)=0,"",MEDIAN('中古車掲載'!AN920:AN921))</x:f>
      </x:c>
      <x:c r="J28" s="3" t="n">
        <x:f>COUNT('中古車掲載'!N920:N921)</x:f>
        <x:v>0</x:v>
      </x:c>
      <x:c r="K28" s="3"/>
      <x:c r="L28" s="3"/>
      <x:c r="M28" s="3"/>
      <x:c r="N28" s="3"/>
      <x:c r="O28" s="3"/>
      <x:c r="P28" s="3"/>
      <x:c r="Q28" s="3"/>
      <x:c r="R28" s="3" t="str">
        <x:v>Taladrod</x:v>
      </x:c>
      <x:c r="S28" s="3" t="str">
        <x:v>Corolla Cross</x:v>
      </x:c>
      <x:c r="T28" s="3" t="str">
        <x:v>HEV</x:v>
      </x:c>
      <x:c r="U28" s="3" t="str">
        <x:v>Unknown</x:v>
      </x:c>
      <x:c r="V28" s="22" t="n">
        <x:f>COUNT(BK274:BK439)</x:f>
        <x:v>164</x:v>
      </x:c>
      <x:c r="W28" s="22" t="n">
        <x:f>IF(COUNT(BK274:BK439)=0,"",QUARTILE(BK274:BK439,1))</x:f>
        <x:v>619000</x:v>
      </x:c>
      <x:c r="X28" s="22" t="n">
        <x:f>IF(COUNT(BK274:BK439)=0,"",MEDIAN(BK274:BK439))</x:f>
        <x:v>689000</x:v>
      </x:c>
      <x:c r="Y28" s="22" t="n">
        <x:f>IF(COUNT(BK274:BK439)=0,"",QUARTILE(BK274:BK439,3))</x:f>
        <x:v>799000</x:v>
      </x:c>
      <x:c r="Z28" s="3"/>
      <x:c r="AA28" s="3" t="str">
        <x:v>3年式差</x:v>
      </x:c>
      <x:c r="AB28" s="3" t="n">
        <x:f>IF(E111&gt;=3,G111,NA())</x:f>
        <x:v>454000</x:v>
      </x:c>
      <x:c r="AC28" s="3" t="n">
        <x:f>IF(E128&gt;=3,G128,NA())</x:f>
        <x:v>747000</x:v>
      </x:c>
      <x:c r="AD28" s="3" t="n">
        <x:f>IF(E135&gt;=3,G135,NA())</x:f>
        <x:v>700500</x:v>
      </x:c>
      <x:c r="AE28" s="3"/>
      <x:c r="AF28" s="3"/>
      <x:c r="AG28" s="3"/>
      <x:c r="AH28" s="3"/>
      <x:c r="AI28" s="3"/>
      <x:c r="AJ28" s="3"/>
      <x:c r="AK28" s="3"/>
      <x:c r="AL28" s="3"/>
      <x:c r="AM28" s="3"/>
      <x:c r="AN28" s="3"/>
      <x:c r="AO28" s="3"/>
      <x:c r="AP28" s="3"/>
      <x:c r="AQ28" s="3"/>
      <x:c r="AR28" s="3"/>
      <x:c r="AS28" s="3"/>
      <x:c r="AT28" s="3"/>
      <x:c r="AU28" s="3"/>
      <x:c r="AV28" s="3"/>
      <x:c r="AW28" s="3"/>
      <x:c r="AX28" s="3"/>
      <x:c r="AY28" s="3"/>
      <x:c r="AZ28" s="3" t="str">
        <x:f>IF(AND('中古車掲載'!C29="One2car",'中古車掲載'!F29="ATTO 3",'中古車掲載'!L29="EXTENDED RANGE",'中古車掲載'!J29=2023,ISNUMBER('中古車掲載'!N29),'中古車掲載'!N29&gt;=20000,'中古車掲載'!O29&lt;=100000,'中古車掲載'!AL29=1),'中古車掲載'!U29,"")</x:f>
      </x:c>
      <x:c r="BA28" s="3" t="str">
        <x:f>IF(AND('中古車掲載'!C29="One2car",'中古車掲載'!F29="Corolla Cross",'中古車掲載'!L29="HEV PREMIUM SAFETY",'中古車掲載'!J29=2023,ISNUMBER('中古車掲載'!N29),'中古車掲載'!N29&gt;=20000,'中古車掲載'!O29&lt;=100000,'中古車掲載'!AL29=1,'中古車掲載'!Z29="https://www.one2car.com/en/cars-for-sale/toyota/corolla-cross/year-2023"),'中古車掲載'!U29,"")</x:f>
      </x:c>
      <x:c r="BB28" s="3" t="str">
        <x:f>IF(AND('中古車掲載'!C29="One2car",'中古車掲載'!F29="ATTO 3",'中古車掲載'!L29="EXTENDED RANGE",'中古車掲載'!J29=2023,ISNUMBER('中古車掲載'!N29),'中古車掲載'!N29&gt;=50000,'中古車掲載'!O29&lt;=100000,'中古車掲載'!AL29=1),'中古車掲載'!U29,"")</x:f>
      </x:c>
      <x:c r="BC28" s="3" t="str">
        <x:f>IF(AND('中古車掲載'!C29="One2car",'中古車掲載'!F29="Corolla Cross",'中古車掲載'!L29="HEV PREMIUM SAFETY",'中古車掲載'!J29=2023,ISNUMBER('中古車掲載'!N29),'中古車掲載'!N29&gt;=50000,'中古車掲載'!O29&lt;=100000,'中古車掲載'!AL29=1,'中古車掲載'!Z29="https://www.one2car.com/en/cars-for-sale/toyota/corolla-cross/year-2023"),'中古車掲載'!U29,"")</x:f>
      </x:c>
      <x:c r="BD28" s="3" t="str">
        <x:f>IF(AND('中古車掲載'!C29="One2car",'中古車掲載'!F29="ATTO 3",'中古車掲載'!L29="EXTENDED RANGE",'中古車掲載'!J29=2023,ISNUMBER('中古車掲載'!N29),'中古車掲載'!N29&gt;=20000,'中古車掲載'!O29&lt;=50000,'中古車掲載'!AL29=1),'中古車掲載'!U29,"")</x:f>
      </x:c>
      <x:c r="BE28" s="3" t="str">
        <x:f>IF(AND('中古車掲載'!C29="One2car",'中古車掲載'!F29="Corolla Cross",'中古車掲載'!L29="HEV PREMIUM SAFETY",'中古車掲載'!J29=2023,ISNUMBER('中古車掲載'!N29),'中古車掲載'!N29&gt;=20000,'中古車掲載'!O29&lt;=50000,'中古車掲載'!AL29=1,'中古車掲載'!Z29="https://www.one2car.com/en/cars-for-sale/toyota/corolla-cross/year-2023"),'中古車掲載'!U29,"")</x:f>
      </x:c>
      <x:c r="BF28" s="3" t="str">
        <x:f>IF(AND('中古車掲載'!C29="One2car",'中古車掲載'!F29="Corolla Cross",'中古車掲載'!L29="HEV PREMIUM",'中古車掲載'!J29=2023,ISNUMBER('中古車掲載'!N29),'中古車掲載'!N29&gt;=20000,'中古車掲載'!O29&lt;=100000,'中古車掲載'!AL29=1,'中古車掲載'!Z29="https://www.one2car.com/en/cars-for-sale/toyota/corolla-cross/year-2023"),'中古車掲載'!U29,"")</x:f>
      </x:c>
      <x:c r="BG28" s="3" t="str">
        <x:f>IF(AND('中古車掲載'!C29="One2car",'中古車掲載'!F29="Corolla Cross",'中古車掲載'!L29="HEV GR SPORT",'中古車掲載'!J29=2023,ISNUMBER('中古車掲載'!N29),'中古車掲載'!N29&gt;=20000,'中古車掲載'!O29&lt;=100000,'中古車掲載'!AL29=1,'中古車掲載'!Z29="https://www.one2car.com/en/cars-for-sale/toyota/corolla-cross/year-2023"),'中古車掲載'!U29,"")</x:f>
      </x:c>
      <x:c r="BH28" s="3" t="str">
        <x:f>IF(AND('中古車掲載'!C29="One2car",'中古車掲載'!F29="DOLPHIN",'中古車掲載'!L29="STANDARD RANGE",'中古車掲載'!J29=2023,ISNUMBER('中古車掲載'!N29),'中古車掲載'!N29&gt;=20000,'中古車掲載'!O29&lt;=100000,'中古車掲載'!AL29=1),'中古車掲載'!U29,"")</x:f>
      </x:c>
      <x:c r="BI28" s="3" t="str">
        <x:v>One2car|Corolla Altis|HEV|Bangkok metro</x:v>
      </x:c>
      <x:c r="BJ28" s="3" t="n">
        <x:v>29</x:v>
      </x:c>
      <x:c r="BK28" s="3" t="n">
        <x:f>'中古車掲載'!AM29</x:f>
        <x:v>629000</x:v>
      </x:c>
      <x:c r="BL28" s="3" t="str">
        <x:f>IF(ISNUMBER('中古車掲載'!AN29),'中古車掲載'!AN29,"")</x:f>
      </x:c>
      <x:c r="BM28" s="3" t="str">
        <x:v>2020|Double cab</x:v>
      </x:c>
      <x:c r="BN28" s="3" t="n">
        <x:v>693</x:v>
      </x:c>
      <x:c r="BO28" s="3" t="n">
        <x:f>'中古車掲載'!AM693</x:f>
        <x:v>350000</x:v>
      </x:c>
      <x:c r="BP28" s="3" t="str">
        <x:v>2.4 PRERUNNER DOUBLE CAB</x:v>
      </x:c>
      <x:c r="BQ28" s="3"/>
      <x:c r="BR28" s="3"/>
    </x:row>
    <x:row r="29" ht="22" customHeight="1">
      <x:c r="A29" s="3" t="str">
        <x:v>M6</x:v>
      </x:c>
      <x:c r="B29" s="3" t="str">
        <x:v>BEV</x:v>
      </x:c>
      <x:c r="C29" s="3" t="str">
        <x:v>Taladrod</x:v>
      </x:c>
      <x:c r="D29" s="22" t="n">
        <x:f>COUNT('中古車掲載'!AM922:AM923)</x:f>
        <x:v>2</x:v>
      </x:c>
      <x:c r="E29" s="22" t="n">
        <x:f>IF(COUNT('中古車掲載'!AM922:AM923)=0,"",QUARTILE('中古車掲載'!AM922:AM923,1))</x:f>
        <x:v>624000</x:v>
      </x:c>
      <x:c r="F29" s="22" t="n">
        <x:f>IF(COUNT('中古車掲載'!AM922:AM923)=0,"",MEDIAN('中古車掲載'!AM922:AM923))</x:f>
        <x:v>649000</x:v>
      </x:c>
      <x:c r="G29" s="22" t="n">
        <x:f>IF(COUNT('中古車掲載'!AM922:AM923)=0,"",QUARTILE('中古車掲載'!AM922:AM923,3))</x:f>
        <x:v>674000</x:v>
      </x:c>
      <x:c r="H29" s="22" t="n">
        <x:f>COUNT('中古車掲載'!AN922:AN923)</x:f>
        <x:v>1</x:v>
      </x:c>
      <x:c r="I29" s="23" t="n">
        <x:f>IF(COUNT('中古車掲載'!AN922:AN923)=0,"",MEDIAN('中古車掲載'!AN922:AN923))</x:f>
        <x:v>0.7217737076756235</x:v>
      </x:c>
      <x:c r="J29" s="3" t="n">
        <x:f>COUNT('中古車掲載'!N922:N923)</x:f>
        <x:v>0</x:v>
      </x:c>
      <x:c r="K29" s="3"/>
      <x:c r="L29" s="3"/>
      <x:c r="M29" s="3"/>
      <x:c r="N29" s="3"/>
      <x:c r="O29" s="3"/>
      <x:c r="P29" s="3"/>
      <x:c r="Q29" s="3"/>
      <x:c r="R29" s="3" t="str">
        <x:v>Taladrod</x:v>
      </x:c>
      <x:c r="S29" s="3" t="str">
        <x:v>Corolla Cross</x:v>
      </x:c>
      <x:c r="T29" s="3" t="str">
        <x:v>ICE</x:v>
      </x:c>
      <x:c r="U29" s="3" t="str">
        <x:v>Unknown</x:v>
      </x:c>
      <x:c r="V29" s="22" t="n">
        <x:f>COUNT(BK440:BK461)</x:f>
        <x:v>22</x:v>
      </x:c>
      <x:c r="W29" s="22" t="n">
        <x:f>IF(COUNT(BK440:BK461)=0,"",QUARTILE(BK440:BK461,1))</x:f>
        <x:v>537750</x:v>
      </x:c>
      <x:c r="X29" s="22" t="n">
        <x:f>IF(COUNT(BK440:BK461)=0,"",MEDIAN(BK440:BK461))</x:f>
        <x:v>594000</x:v>
      </x:c>
      <x:c r="Y29" s="22" t="n">
        <x:f>IF(COUNT(BK440:BK461)=0,"",QUARTILE(BK440:BK461,3))</x:f>
        <x:v>688750</x:v>
      </x:c>
      <x:c r="Z29" s="3"/>
      <x:c r="AA29" s="3" t="str">
        <x:v>4年式差</x:v>
      </x:c>
      <x:c r="AB29" s="3" t="n">
        <x:f>IF(E110&gt;=3,G110,NA())</x:f>
        <x:v>432500</x:v>
      </x:c>
      <x:c r="AC29" s="3" t="n">
        <x:f>IF(E127&gt;=3,G127,NA())</x:f>
        <x:v>679000</x:v>
      </x:c>
      <x:c r="AD29" s="3" t="n">
        <x:f>IF(E134&gt;=3,G134,NA())</x:f>
        <x:v>529000</x:v>
      </x:c>
      <x:c r="AE29" s="3"/>
      <x:c r="AF29" s="3"/>
      <x:c r="AG29" s="3"/>
      <x:c r="AH29" s="3"/>
      <x:c r="AI29" s="3"/>
      <x:c r="AJ29" s="3"/>
      <x:c r="AK29" s="3"/>
      <x:c r="AL29" s="3"/>
      <x:c r="AM29" s="3"/>
      <x:c r="AN29" s="3"/>
      <x:c r="AO29" s="3"/>
      <x:c r="AP29" s="3"/>
      <x:c r="AQ29" s="3"/>
      <x:c r="AR29" s="3"/>
      <x:c r="AS29" s="3"/>
      <x:c r="AT29" s="3"/>
      <x:c r="AU29" s="3"/>
      <x:c r="AV29" s="3"/>
      <x:c r="AW29" s="3"/>
      <x:c r="AX29" s="3"/>
      <x:c r="AY29" s="3"/>
      <x:c r="AZ29" s="3" t="str">
        <x:f>IF(AND('中古車掲載'!C30="One2car",'中古車掲載'!F30="ATTO 3",'中古車掲載'!L30="EXTENDED RANGE",'中古車掲載'!J30=2023,ISNUMBER('中古車掲載'!N30),'中古車掲載'!N30&gt;=20000,'中古車掲載'!O30&lt;=100000,'中古車掲載'!AL30=1),'中古車掲載'!U30,"")</x:f>
      </x:c>
      <x:c r="BA29" s="3" t="str">
        <x:f>IF(AND('中古車掲載'!C30="One2car",'中古車掲載'!F30="Corolla Cross",'中古車掲載'!L30="HEV PREMIUM SAFETY",'中古車掲載'!J30=2023,ISNUMBER('中古車掲載'!N30),'中古車掲載'!N30&gt;=20000,'中古車掲載'!O30&lt;=100000,'中古車掲載'!AL30=1,'中古車掲載'!Z30="https://www.one2car.com/en/cars-for-sale/toyota/corolla-cross/year-2023"),'中古車掲載'!U30,"")</x:f>
      </x:c>
      <x:c r="BB29" s="3" t="str">
        <x:f>IF(AND('中古車掲載'!C30="One2car",'中古車掲載'!F30="ATTO 3",'中古車掲載'!L30="EXTENDED RANGE",'中古車掲載'!J30=2023,ISNUMBER('中古車掲載'!N30),'中古車掲載'!N30&gt;=50000,'中古車掲載'!O30&lt;=100000,'中古車掲載'!AL30=1),'中古車掲載'!U30,"")</x:f>
      </x:c>
      <x:c r="BC29" s="3" t="str">
        <x:f>IF(AND('中古車掲載'!C30="One2car",'中古車掲載'!F30="Corolla Cross",'中古車掲載'!L30="HEV PREMIUM SAFETY",'中古車掲載'!J30=2023,ISNUMBER('中古車掲載'!N30),'中古車掲載'!N30&gt;=50000,'中古車掲載'!O30&lt;=100000,'中古車掲載'!AL30=1,'中古車掲載'!Z30="https://www.one2car.com/en/cars-for-sale/toyota/corolla-cross/year-2023"),'中古車掲載'!U30,"")</x:f>
      </x:c>
      <x:c r="BD29" s="3" t="str">
        <x:f>IF(AND('中古車掲載'!C30="One2car",'中古車掲載'!F30="ATTO 3",'中古車掲載'!L30="EXTENDED RANGE",'中古車掲載'!J30=2023,ISNUMBER('中古車掲載'!N30),'中古車掲載'!N30&gt;=20000,'中古車掲載'!O30&lt;=50000,'中古車掲載'!AL30=1),'中古車掲載'!U30,"")</x:f>
      </x:c>
      <x:c r="BE29" s="3" t="str">
        <x:f>IF(AND('中古車掲載'!C30="One2car",'中古車掲載'!F30="Corolla Cross",'中古車掲載'!L30="HEV PREMIUM SAFETY",'中古車掲載'!J30=2023,ISNUMBER('中古車掲載'!N30),'中古車掲載'!N30&gt;=20000,'中古車掲載'!O30&lt;=50000,'中古車掲載'!AL30=1,'中古車掲載'!Z30="https://www.one2car.com/en/cars-for-sale/toyota/corolla-cross/year-2023"),'中古車掲載'!U30,"")</x:f>
      </x:c>
      <x:c r="BF29" s="3" t="str">
        <x:f>IF(AND('中古車掲載'!C30="One2car",'中古車掲載'!F30="Corolla Cross",'中古車掲載'!L30="HEV PREMIUM",'中古車掲載'!J30=2023,ISNUMBER('中古車掲載'!N30),'中古車掲載'!N30&gt;=20000,'中古車掲載'!O30&lt;=100000,'中古車掲載'!AL30=1,'中古車掲載'!Z30="https://www.one2car.com/en/cars-for-sale/toyota/corolla-cross/year-2023"),'中古車掲載'!U30,"")</x:f>
      </x:c>
      <x:c r="BG29" s="3" t="str">
        <x:f>IF(AND('中古車掲載'!C30="One2car",'中古車掲載'!F30="Corolla Cross",'中古車掲載'!L30="HEV GR SPORT",'中古車掲載'!J30=2023,ISNUMBER('中古車掲載'!N30),'中古車掲載'!N30&gt;=20000,'中古車掲載'!O30&lt;=100000,'中古車掲載'!AL30=1,'中古車掲載'!Z30="https://www.one2car.com/en/cars-for-sale/toyota/corolla-cross/year-2023"),'中古車掲載'!U30,"")</x:f>
      </x:c>
      <x:c r="BH29" s="3" t="str">
        <x:f>IF(AND('中古車掲載'!C30="One2car",'中古車掲載'!F30="DOLPHIN",'中古車掲載'!L30="STANDARD RANGE",'中古車掲載'!J30=2023,ISNUMBER('中古車掲載'!N30),'中古車掲載'!N30&gt;=20000,'中古車掲載'!O30&lt;=100000,'中古車掲載'!AL30=1),'中古車掲載'!U30,"")</x:f>
      </x:c>
      <x:c r="BI29" s="3" t="str">
        <x:v>One2car|Corolla Altis|HEV|Bangkok metro</x:v>
      </x:c>
      <x:c r="BJ29" s="3" t="n">
        <x:v>30</x:v>
      </x:c>
      <x:c r="BK29" s="3" t="n">
        <x:f>'中古車掲載'!AM30</x:f>
        <x:v>795000</x:v>
      </x:c>
      <x:c r="BL29" s="3" t="n">
        <x:f>IF(ISNUMBER('中古車掲載'!AN30),'中古車掲載'!AN30,"")</x:f>
        <x:v>0.704162976085031</x:v>
      </x:c>
      <x:c r="BM29" s="3" t="str">
        <x:v>2020|Double cab</x:v>
      </x:c>
      <x:c r="BN29" s="3" t="n">
        <x:v>694</x:v>
      </x:c>
      <x:c r="BO29" s="3" t="n">
        <x:f>'中古車掲載'!AM694</x:f>
        <x:v>599000</x:v>
      </x:c>
      <x:c r="BP29" s="3" t="str">
        <x:v>2.4 PRERUNNER DOUBLE CAB</x:v>
      </x:c>
      <x:c r="BQ29" s="3"/>
      <x:c r="BR29" s="3"/>
    </x:row>
    <x:row r="30" ht="22" customHeight="1">
      <x:c r="A30" s="3" t="str">
        <x:v>SEAL</x:v>
      </x:c>
      <x:c r="B30" s="3" t="str">
        <x:v>BEV</x:v>
      </x:c>
      <x:c r="C30" s="3" t="str">
        <x:v>Taladrod</x:v>
      </x:c>
      <x:c r="D30" s="22" t="n">
        <x:f>COUNT('中古車掲載'!AM924:AM926)</x:f>
        <x:v>3</x:v>
      </x:c>
      <x:c r="E30" s="22" t="n">
        <x:f>IF(COUNT('中古車掲載'!AM924:AM926)=0,"",QUARTILE('中古車掲載'!AM924:AM926,1))</x:f>
        <x:v>679000</x:v>
      </x:c>
      <x:c r="F30" s="22" t="n">
        <x:f>IF(COUNT('中古車掲載'!AM924:AM926)=0,"",MEDIAN('中古車掲載'!AM924:AM926))</x:f>
        <x:v>699000</x:v>
      </x:c>
      <x:c r="G30" s="22" t="n">
        <x:f>IF(COUNT('中古車掲載'!AM924:AM926)=0,"",QUARTILE('中古車掲載'!AM924:AM926,3))</x:f>
        <x:v>749000</x:v>
      </x:c>
      <x:c r="H30" s="22" t="n">
        <x:f>COUNT('中古車掲載'!AN924:AN926)</x:f>
        <x:v>3</x:v>
      </x:c>
      <x:c r="I30" s="23" t="n">
        <x:f>IF(COUNT('中古車掲載'!AN924:AN926)=0,"",MEDIAN('中古車掲載'!AN924:AN926))</x:f>
        <x:v>0.49735849056603776</x:v>
      </x:c>
      <x:c r="J30" s="3" t="n">
        <x:f>COUNT('中古車掲載'!N924:N926)</x:f>
        <x:v>0</x:v>
      </x:c>
      <x:c r="K30" s="3"/>
      <x:c r="L30" s="3"/>
      <x:c r="M30" s="3"/>
      <x:c r="N30" s="3"/>
      <x:c r="O30" s="3"/>
      <x:c r="P30" s="3"/>
      <x:c r="Q30" s="3"/>
      <x:c r="R30" s="3" t="str">
        <x:v>Taladrod</x:v>
      </x:c>
      <x:c r="S30" s="3" t="str">
        <x:v>Corolla Cross</x:v>
      </x:c>
      <x:c r="T30" s="3" t="str">
        <x:v>不明</x:v>
      </x:c>
      <x:c r="U30" s="3" t="str">
        <x:v>Unknown</x:v>
      </x:c>
      <x:c r="V30" s="22" t="n">
        <x:f>COUNT(BK462:BK462)</x:f>
        <x:v>1</x:v>
      </x:c>
      <x:c r="W30" s="22" t="n">
        <x:f>IF(COUNT(BK462:BK462)=0,"",QUARTILE(BK462:BK462,1))</x:f>
        <x:v>729000</x:v>
      </x:c>
      <x:c r="X30" s="22" t="n">
        <x:f>IF(COUNT(BK462:BK462)=0,"",MEDIAN(BK462:BK462))</x:f>
        <x:v>729000</x:v>
      </x:c>
      <x:c r="Y30" s="22" t="n">
        <x:f>IF(COUNT(BK462:BK462)=0,"",QUARTILE(BK462:BK462,3))</x:f>
        <x:v>729000</x:v>
      </x:c>
      <x:c r="Z30" s="3"/>
      <x:c r="AA30" s="3" t="str">
        <x:v>5年式差</x:v>
      </x:c>
      <x:c r="AB30" s="3" t="e">
        <x:f>NA()</x:f>
        <x:v>#N/A</x:v>
      </x:c>
      <x:c r="AC30" s="3" t="n">
        <x:f>IF(E126&gt;=3,G126,NA())</x:f>
        <x:v>628500</x:v>
      </x:c>
      <x:c r="AD30" s="3" t="n">
        <x:f>IF(E133&gt;=3,G133,NA())</x:f>
        <x:v>558000</x:v>
      </x:c>
      <x:c r="AE30" s="3"/>
      <x:c r="AF30" s="3"/>
      <x:c r="AG30" s="3"/>
      <x:c r="AH30" s="3"/>
      <x:c r="AI30" s="3"/>
      <x:c r="AJ30" s="3"/>
      <x:c r="AK30" s="3"/>
      <x:c r="AL30" s="3"/>
      <x:c r="AM30" s="3"/>
      <x:c r="AN30" s="3"/>
      <x:c r="AO30" s="3"/>
      <x:c r="AP30" s="3"/>
      <x:c r="AQ30" s="3"/>
      <x:c r="AR30" s="3"/>
      <x:c r="AS30" s="3"/>
      <x:c r="AT30" s="3"/>
      <x:c r="AU30" s="3"/>
      <x:c r="AV30" s="3"/>
      <x:c r="AW30" s="3"/>
      <x:c r="AX30" s="3"/>
      <x:c r="AY30" s="3"/>
      <x:c r="AZ30" s="3" t="str">
        <x:f>IF(AND('中古車掲載'!C31="One2car",'中古車掲載'!F31="ATTO 3",'中古車掲載'!L31="EXTENDED RANGE",'中古車掲載'!J31=2023,ISNUMBER('中古車掲載'!N31),'中古車掲載'!N31&gt;=20000,'中古車掲載'!O31&lt;=100000,'中古車掲載'!AL31=1),'中古車掲載'!U31,"")</x:f>
      </x:c>
      <x:c r="BA30" s="3" t="str">
        <x:f>IF(AND('中古車掲載'!C31="One2car",'中古車掲載'!F31="Corolla Cross",'中古車掲載'!L31="HEV PREMIUM SAFETY",'中古車掲載'!J31=2023,ISNUMBER('中古車掲載'!N31),'中古車掲載'!N31&gt;=20000,'中古車掲載'!O31&lt;=100000,'中古車掲載'!AL31=1,'中古車掲載'!Z31="https://www.one2car.com/en/cars-for-sale/toyota/corolla-cross/year-2023"),'中古車掲載'!U31,"")</x:f>
      </x:c>
      <x:c r="BB30" s="3" t="str">
        <x:f>IF(AND('中古車掲載'!C31="One2car",'中古車掲載'!F31="ATTO 3",'中古車掲載'!L31="EXTENDED RANGE",'中古車掲載'!J31=2023,ISNUMBER('中古車掲載'!N31),'中古車掲載'!N31&gt;=50000,'中古車掲載'!O31&lt;=100000,'中古車掲載'!AL31=1),'中古車掲載'!U31,"")</x:f>
      </x:c>
      <x:c r="BC30" s="3" t="str">
        <x:f>IF(AND('中古車掲載'!C31="One2car",'中古車掲載'!F31="Corolla Cross",'中古車掲載'!L31="HEV PREMIUM SAFETY",'中古車掲載'!J31=2023,ISNUMBER('中古車掲載'!N31),'中古車掲載'!N31&gt;=50000,'中古車掲載'!O31&lt;=100000,'中古車掲載'!AL31=1,'中古車掲載'!Z31="https://www.one2car.com/en/cars-for-sale/toyota/corolla-cross/year-2023"),'中古車掲載'!U31,"")</x:f>
      </x:c>
      <x:c r="BD30" s="3" t="str">
        <x:f>IF(AND('中古車掲載'!C31="One2car",'中古車掲載'!F31="ATTO 3",'中古車掲載'!L31="EXTENDED RANGE",'中古車掲載'!J31=2023,ISNUMBER('中古車掲載'!N31),'中古車掲載'!N31&gt;=20000,'中古車掲載'!O31&lt;=50000,'中古車掲載'!AL31=1),'中古車掲載'!U31,"")</x:f>
      </x:c>
      <x:c r="BE30" s="3" t="str">
        <x:f>IF(AND('中古車掲載'!C31="One2car",'中古車掲載'!F31="Corolla Cross",'中古車掲載'!L31="HEV PREMIUM SAFETY",'中古車掲載'!J31=2023,ISNUMBER('中古車掲載'!N31),'中古車掲載'!N31&gt;=20000,'中古車掲載'!O31&lt;=50000,'中古車掲載'!AL31=1,'中古車掲載'!Z31="https://www.one2car.com/en/cars-for-sale/toyota/corolla-cross/year-2023"),'中古車掲載'!U31,"")</x:f>
      </x:c>
      <x:c r="BF30" s="3" t="str">
        <x:f>IF(AND('中古車掲載'!C31="One2car",'中古車掲載'!F31="Corolla Cross",'中古車掲載'!L31="HEV PREMIUM",'中古車掲載'!J31=2023,ISNUMBER('中古車掲載'!N31),'中古車掲載'!N31&gt;=20000,'中古車掲載'!O31&lt;=100000,'中古車掲載'!AL31=1,'中古車掲載'!Z31="https://www.one2car.com/en/cars-for-sale/toyota/corolla-cross/year-2023"),'中古車掲載'!U31,"")</x:f>
      </x:c>
      <x:c r="BG30" s="3" t="str">
        <x:f>IF(AND('中古車掲載'!C31="One2car",'中古車掲載'!F31="Corolla Cross",'中古車掲載'!L31="HEV GR SPORT",'中古車掲載'!J31=2023,ISNUMBER('中古車掲載'!N31),'中古車掲載'!N31&gt;=20000,'中古車掲載'!O31&lt;=100000,'中古車掲載'!AL31=1,'中古車掲載'!Z31="https://www.one2car.com/en/cars-for-sale/toyota/corolla-cross/year-2023"),'中古車掲載'!U31,"")</x:f>
      </x:c>
      <x:c r="BH30" s="3" t="str">
        <x:f>IF(AND('中古車掲載'!C31="One2car",'中古車掲載'!F31="DOLPHIN",'中古車掲載'!L31="STANDARD RANGE",'中古車掲載'!J31=2023,ISNUMBER('中古車掲載'!N31),'中古車掲載'!N31&gt;=20000,'中古車掲載'!O31&lt;=100000,'中古車掲載'!AL31=1),'中古車掲載'!U31,"")</x:f>
      </x:c>
      <x:c r="BI30" s="3" t="str">
        <x:v>One2car|Corolla Altis|ICE|Bangkok metro</x:v>
      </x:c>
      <x:c r="BJ30" s="3" t="n">
        <x:v>31</x:v>
      </x:c>
      <x:c r="BK30" s="3" t="n">
        <x:f>'中古車掲載'!AM31</x:f>
        <x:v>459000</x:v>
      </x:c>
      <x:c r="BL30" s="3" t="str">
        <x:f>IF(ISNUMBER('中古車掲載'!AN31),'中古車掲載'!AN31,"")</x:f>
      </x:c>
      <x:c r="BM30" s="3" t="str">
        <x:v>2020|Double cab</x:v>
      </x:c>
      <x:c r="BN30" s="3" t="n">
        <x:v>695</x:v>
      </x:c>
      <x:c r="BO30" s="3" t="n">
        <x:f>'中古車掲載'!AM695</x:f>
        <x:v>620000</x:v>
      </x:c>
      <x:c r="BP30" s="3" t="str">
        <x:v>2.4 PRERUNNER DOUBLE CAB</x:v>
      </x:c>
      <x:c r="BQ30" s="3"/>
      <x:c r="BR30" s="3"/>
    </x:row>
    <x:row r="31" ht="22" customHeight="1">
      <x:c r="A31" s="3" t="str">
        <x:v>SEAL 5</x:v>
      </x:c>
      <x:c r="B31" s="3" t="str">
        <x:v>PHEV</x:v>
      </x:c>
      <x:c r="C31" s="3" t="str">
        <x:v>Taladrod</x:v>
      </x:c>
      <x:c r="D31" s="22" t="n">
        <x:f>COUNT('中古車掲載'!AM927:AM928)</x:f>
        <x:v>0</x:v>
      </x:c>
      <x:c r="E31" s="22" t="str">
        <x:f>IF(COUNT('中古車掲載'!AM927:AM928)=0,"",QUARTILE('中古車掲載'!AM927:AM928,1))</x:f>
      </x:c>
      <x:c r="F31" s="22" t="str">
        <x:f>IF(COUNT('中古車掲載'!AM927:AM928)=0,"",MEDIAN('中古車掲載'!AM927:AM928))</x:f>
      </x:c>
      <x:c r="G31" s="22" t="str">
        <x:f>IF(COUNT('中古車掲載'!AM927:AM928)=0,"",QUARTILE('中古車掲載'!AM927:AM928,3))</x:f>
      </x:c>
      <x:c r="H31" s="22" t="n">
        <x:f>COUNT('中古車掲載'!AN927:AN928)</x:f>
        <x:v>0</x:v>
      </x:c>
      <x:c r="I31" s="23" t="str">
        <x:f>IF(COUNT('中古車掲載'!AN927:AN928)=0,"",MEDIAN('中古車掲載'!AN927:AN928))</x:f>
      </x:c>
      <x:c r="J31" s="3" t="n">
        <x:f>COUNT('中古車掲載'!N927:N928)</x:f>
        <x:v>0</x:v>
      </x:c>
      <x:c r="K31" s="3"/>
      <x:c r="L31" s="3"/>
      <x:c r="M31" s="3"/>
      <x:c r="N31" s="3"/>
      <x:c r="O31" s="3"/>
      <x:c r="P31" s="3"/>
      <x:c r="Q31" s="3"/>
      <x:c r="R31" s="3" t="str">
        <x:v>Taladrod</x:v>
      </x:c>
      <x:c r="S31" s="3" t="str">
        <x:v>DOLPHIN</x:v>
      </x:c>
      <x:c r="T31" s="3" t="str">
        <x:v>BEV</x:v>
      </x:c>
      <x:c r="U31" s="3" t="str">
        <x:v>Bangkok metro</x:v>
      </x:c>
      <x:c r="V31" s="22" t="n">
        <x:f>COUNT(BK463:BK463)</x:f>
        <x:v>1</x:v>
      </x:c>
      <x:c r="W31" s="22" t="n">
        <x:f>IF(COUNT(BK463:BK463)=0,"",QUARTILE(BK463:BK463,1))</x:f>
        <x:v>349000</x:v>
      </x:c>
      <x:c r="X31" s="22" t="n">
        <x:f>IF(COUNT(BK463:BK463)=0,"",MEDIAN(BK463:BK463))</x:f>
        <x:v>349000</x:v>
      </x:c>
      <x:c r="Y31" s="22" t="n">
        <x:f>IF(COUNT(BK463:BK463)=0,"",QUARTILE(BK463:BK463,3))</x:f>
        <x:v>349000</x:v>
      </x:c>
      <x:c r="Z31" s="3"/>
      <x:c r="AA31" s="3" t="str">
        <x:v>6年式差</x:v>
      </x:c>
      <x:c r="AB31" s="3" t="e">
        <x:f>NA()</x:f>
        <x:v>#N/A</x:v>
      </x:c>
      <x:c r="AC31" s="3" t="n">
        <x:f>IF(E125&gt;=3,G125,NA())</x:f>
        <x:v>618500</x:v>
      </x:c>
      <x:c r="AD31" s="3" t="e">
        <x:f>IF(E132&gt;=3,G132,NA())</x:f>
        <x:v>#N/A</x:v>
      </x:c>
      <x:c r="AE31" s="3"/>
      <x:c r="AF31" s="3"/>
      <x:c r="AG31" s="3"/>
      <x:c r="AH31" s="3"/>
      <x:c r="AI31" s="3"/>
      <x:c r="AJ31" s="3"/>
      <x:c r="AK31" s="3"/>
      <x:c r="AL31" s="3"/>
      <x:c r="AM31" s="3"/>
      <x:c r="AN31" s="3"/>
      <x:c r="AO31" s="3"/>
      <x:c r="AP31" s="3"/>
      <x:c r="AQ31" s="3"/>
      <x:c r="AR31" s="3"/>
      <x:c r="AS31" s="3"/>
      <x:c r="AT31" s="3"/>
      <x:c r="AU31" s="3"/>
      <x:c r="AV31" s="3"/>
      <x:c r="AW31" s="3"/>
      <x:c r="AX31" s="3"/>
      <x:c r="AY31" s="3"/>
      <x:c r="AZ31" s="3" t="str">
        <x:f>IF(AND('中古車掲載'!C32="One2car",'中古車掲載'!F32="ATTO 3",'中古車掲載'!L32="EXTENDED RANGE",'中古車掲載'!J32=2023,ISNUMBER('中古車掲載'!N32),'中古車掲載'!N32&gt;=20000,'中古車掲載'!O32&lt;=100000,'中古車掲載'!AL32=1),'中古車掲載'!U32,"")</x:f>
      </x:c>
      <x:c r="BA31" s="3" t="str">
        <x:f>IF(AND('中古車掲載'!C32="One2car",'中古車掲載'!F32="Corolla Cross",'中古車掲載'!L32="HEV PREMIUM SAFETY",'中古車掲載'!J32=2023,ISNUMBER('中古車掲載'!N32),'中古車掲載'!N32&gt;=20000,'中古車掲載'!O32&lt;=100000,'中古車掲載'!AL32=1,'中古車掲載'!Z32="https://www.one2car.com/en/cars-for-sale/toyota/corolla-cross/year-2023"),'中古車掲載'!U32,"")</x:f>
      </x:c>
      <x:c r="BB31" s="3" t="str">
        <x:f>IF(AND('中古車掲載'!C32="One2car",'中古車掲載'!F32="ATTO 3",'中古車掲載'!L32="EXTENDED RANGE",'中古車掲載'!J32=2023,ISNUMBER('中古車掲載'!N32),'中古車掲載'!N32&gt;=50000,'中古車掲載'!O32&lt;=100000,'中古車掲載'!AL32=1),'中古車掲載'!U32,"")</x:f>
      </x:c>
      <x:c r="BC31" s="3" t="str">
        <x:f>IF(AND('中古車掲載'!C32="One2car",'中古車掲載'!F32="Corolla Cross",'中古車掲載'!L32="HEV PREMIUM SAFETY",'中古車掲載'!J32=2023,ISNUMBER('中古車掲載'!N32),'中古車掲載'!N32&gt;=50000,'中古車掲載'!O32&lt;=100000,'中古車掲載'!AL32=1,'中古車掲載'!Z32="https://www.one2car.com/en/cars-for-sale/toyota/corolla-cross/year-2023"),'中古車掲載'!U32,"")</x:f>
      </x:c>
      <x:c r="BD31" s="3" t="str">
        <x:f>IF(AND('中古車掲載'!C32="One2car",'中古車掲載'!F32="ATTO 3",'中古車掲載'!L32="EXTENDED RANGE",'中古車掲載'!J32=2023,ISNUMBER('中古車掲載'!N32),'中古車掲載'!N32&gt;=20000,'中古車掲載'!O32&lt;=50000,'中古車掲載'!AL32=1),'中古車掲載'!U32,"")</x:f>
      </x:c>
      <x:c r="BE31" s="3" t="str">
        <x:f>IF(AND('中古車掲載'!C32="One2car",'中古車掲載'!F32="Corolla Cross",'中古車掲載'!L32="HEV PREMIUM SAFETY",'中古車掲載'!J32=2023,ISNUMBER('中古車掲載'!N32),'中古車掲載'!N32&gt;=20000,'中古車掲載'!O32&lt;=50000,'中古車掲載'!AL32=1,'中古車掲載'!Z32="https://www.one2car.com/en/cars-for-sale/toyota/corolla-cross/year-2023"),'中古車掲載'!U32,"")</x:f>
      </x:c>
      <x:c r="BF31" s="3" t="str">
        <x:f>IF(AND('中古車掲載'!C32="One2car",'中古車掲載'!F32="Corolla Cross",'中古車掲載'!L32="HEV PREMIUM",'中古車掲載'!J32=2023,ISNUMBER('中古車掲載'!N32),'中古車掲載'!N32&gt;=20000,'中古車掲載'!O32&lt;=100000,'中古車掲載'!AL32=1,'中古車掲載'!Z32="https://www.one2car.com/en/cars-for-sale/toyota/corolla-cross/year-2023"),'中古車掲載'!U32,"")</x:f>
      </x:c>
      <x:c r="BG31" s="3" t="str">
        <x:f>IF(AND('中古車掲載'!C32="One2car",'中古車掲載'!F32="Corolla Cross",'中古車掲載'!L32="HEV GR SPORT",'中古車掲載'!J32=2023,ISNUMBER('中古車掲載'!N32),'中古車掲載'!N32&gt;=20000,'中古車掲載'!O32&lt;=100000,'中古車掲載'!AL32=1,'中古車掲載'!Z32="https://www.one2car.com/en/cars-for-sale/toyota/corolla-cross/year-2023"),'中古車掲載'!U32,"")</x:f>
      </x:c>
      <x:c r="BH31" s="3" t="str">
        <x:f>IF(AND('中古車掲載'!C32="One2car",'中古車掲載'!F32="DOLPHIN",'中古車掲載'!L32="STANDARD RANGE",'中古車掲載'!J32=2023,ISNUMBER('中古車掲載'!N32),'中古車掲載'!N32&gt;=20000,'中古車掲載'!O32&lt;=100000,'中古車掲載'!AL32=1),'中古車掲載'!U32,"")</x:f>
      </x:c>
      <x:c r="BI31" s="3" t="str">
        <x:v>One2car|Corolla Altis|ICE|Bangkok metro</x:v>
      </x:c>
      <x:c r="BJ31" s="3" t="n">
        <x:v>32</x:v>
      </x:c>
      <x:c r="BK31" s="3" t="n">
        <x:f>'中古車掲載'!AM32</x:f>
        <x:v>445000</x:v>
      </x:c>
      <x:c r="BL31" s="3" t="str">
        <x:f>IF(ISNUMBER('中古車掲載'!AN32),'中古車掲載'!AN32,"")</x:f>
      </x:c>
      <x:c r="BM31" s="3" t="str">
        <x:v>2020|Smart cab</x:v>
      </x:c>
      <x:c r="BN31" s="3" t="n">
        <x:v>654</x:v>
      </x:c>
      <x:c r="BO31" s="3" t="n">
        <x:f>'中古車掲載'!AM654</x:f>
        <x:v>385000</x:v>
      </x:c>
      <x:c r="BP31" s="3" t="str">
        <x:v>2.4 E SMART CAB</x:v>
      </x:c>
      <x:c r="BQ31" s="3"/>
      <x:c r="BR31" s="3"/>
    </x:row>
    <x:row r="32" ht="22" customHeight="1">
      <x:c r="A32" s="3" t="str">
        <x:v>SEALION 6</x:v>
      </x:c>
      <x:c r="B32" s="3" t="str">
        <x:v>PHEV</x:v>
      </x:c>
      <x:c r="C32" s="3" t="str">
        <x:v>Taladrod</x:v>
      </x:c>
      <x:c r="D32" s="22" t="n">
        <x:f>COUNT('中古車掲載'!AM929:AM933)</x:f>
        <x:v>5</x:v>
      </x:c>
      <x:c r="E32" s="22" t="n">
        <x:f>IF(COUNT('中古車掲載'!AM929:AM933)=0,"",QUARTILE('中古車掲載'!AM929:AM933,1))</x:f>
        <x:v>729000</x:v>
      </x:c>
      <x:c r="F32" s="22" t="n">
        <x:f>IF(COUNT('中古車掲載'!AM929:AM933)=0,"",MEDIAN('中古車掲載'!AM929:AM933))</x:f>
        <x:v>790000</x:v>
      </x:c>
      <x:c r="G32" s="22" t="n">
        <x:f>IF(COUNT('中古車掲載'!AM929:AM933)=0,"",QUARTILE('中古車掲載'!AM929:AM933,3))</x:f>
        <x:v>799000</x:v>
      </x:c>
      <x:c r="H32" s="22" t="n">
        <x:f>COUNT('中古車掲載'!AN929:AN933)</x:f>
        <x:v>4</x:v>
      </x:c>
      <x:c r="I32" s="23" t="n">
        <x:f>IF(COUNT('中古車掲載'!AN929:AN933)=0,"",MEDIAN('中古車掲載'!AN929:AN933))</x:f>
        <x:v>0.6946086007818892</x:v>
      </x:c>
      <x:c r="J32" s="3" t="n">
        <x:f>COUNT('中古車掲載'!N929:N933)</x:f>
        <x:v>0</x:v>
      </x:c>
      <x:c r="K32" s="3"/>
      <x:c r="L32" s="3"/>
      <x:c r="M32" s="3"/>
      <x:c r="N32" s="3"/>
      <x:c r="O32" s="3"/>
      <x:c r="P32" s="3"/>
      <x:c r="Q32" s="3"/>
      <x:c r="R32" s="3" t="str">
        <x:v>Taladrod</x:v>
      </x:c>
      <x:c r="S32" s="3" t="str">
        <x:v>DOLPHIN</x:v>
      </x:c>
      <x:c r="T32" s="3" t="str">
        <x:v>BEV</x:v>
      </x:c>
      <x:c r="U32" s="3" t="str">
        <x:v>Unknown</x:v>
      </x:c>
      <x:c r="V32" s="22" t="n">
        <x:f>COUNT(BK464:BK484)</x:f>
        <x:v>21</x:v>
      </x:c>
      <x:c r="W32" s="22" t="n">
        <x:f>IF(COUNT(BK464:BK484)=0,"",QUARTILE(BK464:BK484,1))</x:f>
        <x:v>330000</x:v>
      </x:c>
      <x:c r="X32" s="22" t="n">
        <x:f>IF(COUNT(BK464:BK484)=0,"",MEDIAN(BK464:BK484))</x:f>
        <x:v>349000</x:v>
      </x:c>
      <x:c r="Y32" s="22" t="n">
        <x:f>IF(COUNT(BK464:BK484)=0,"",QUARTILE(BK464:BK484,3))</x:f>
        <x:v>399000</x:v>
      </x:c>
      <x:c r="Z32" s="3"/>
      <x:c r="AA32" s="3"/>
      <x:c r="AB32" s="3"/>
      <x:c r="AC32" s="3"/>
      <x:c r="AD32" s="3"/>
      <x:c r="AE32" s="3"/>
      <x:c r="AF32" s="3"/>
      <x:c r="AG32" s="3"/>
      <x:c r="AH32" s="3"/>
      <x:c r="AI32" s="3"/>
      <x:c r="AJ32" s="3"/>
      <x:c r="AK32" s="3"/>
      <x:c r="AL32" s="3"/>
      <x:c r="AM32" s="3"/>
      <x:c r="AN32" s="3"/>
      <x:c r="AO32" s="3"/>
      <x:c r="AP32" s="3"/>
      <x:c r="AQ32" s="3"/>
      <x:c r="AR32" s="3"/>
      <x:c r="AS32" s="3"/>
      <x:c r="AT32" s="3"/>
      <x:c r="AU32" s="3"/>
      <x:c r="AV32" s="3"/>
      <x:c r="AW32" s="3"/>
      <x:c r="AX32" s="3"/>
      <x:c r="AY32" s="3"/>
      <x:c r="AZ32" s="3" t="str">
        <x:f>IF(AND('中古車掲載'!C33="One2car",'中古車掲載'!F33="ATTO 3",'中古車掲載'!L33="EXTENDED RANGE",'中古車掲載'!J33=2023,ISNUMBER('中古車掲載'!N33),'中古車掲載'!N33&gt;=20000,'中古車掲載'!O33&lt;=100000,'中古車掲載'!AL33=1),'中古車掲載'!U33,"")</x:f>
      </x:c>
      <x:c r="BA32" s="3" t="str">
        <x:f>IF(AND('中古車掲載'!C33="One2car",'中古車掲載'!F33="Corolla Cross",'中古車掲載'!L33="HEV PREMIUM SAFETY",'中古車掲載'!J33=2023,ISNUMBER('中古車掲載'!N33),'中古車掲載'!N33&gt;=20000,'中古車掲載'!O33&lt;=100000,'中古車掲載'!AL33=1,'中古車掲載'!Z33="https://www.one2car.com/en/cars-for-sale/toyota/corolla-cross/year-2023"),'中古車掲載'!U33,"")</x:f>
      </x:c>
      <x:c r="BB32" s="3" t="str">
        <x:f>IF(AND('中古車掲載'!C33="One2car",'中古車掲載'!F33="ATTO 3",'中古車掲載'!L33="EXTENDED RANGE",'中古車掲載'!J33=2023,ISNUMBER('中古車掲載'!N33),'中古車掲載'!N33&gt;=50000,'中古車掲載'!O33&lt;=100000,'中古車掲載'!AL33=1),'中古車掲載'!U33,"")</x:f>
      </x:c>
      <x:c r="BC32" s="3" t="str">
        <x:f>IF(AND('中古車掲載'!C33="One2car",'中古車掲載'!F33="Corolla Cross",'中古車掲載'!L33="HEV PREMIUM SAFETY",'中古車掲載'!J33=2023,ISNUMBER('中古車掲載'!N33),'中古車掲載'!N33&gt;=50000,'中古車掲載'!O33&lt;=100000,'中古車掲載'!AL33=1,'中古車掲載'!Z33="https://www.one2car.com/en/cars-for-sale/toyota/corolla-cross/year-2023"),'中古車掲載'!U33,"")</x:f>
      </x:c>
      <x:c r="BD32" s="3" t="str">
        <x:f>IF(AND('中古車掲載'!C33="One2car",'中古車掲載'!F33="ATTO 3",'中古車掲載'!L33="EXTENDED RANGE",'中古車掲載'!J33=2023,ISNUMBER('中古車掲載'!N33),'中古車掲載'!N33&gt;=20000,'中古車掲載'!O33&lt;=50000,'中古車掲載'!AL33=1),'中古車掲載'!U33,"")</x:f>
      </x:c>
      <x:c r="BE32" s="3" t="str">
        <x:f>IF(AND('中古車掲載'!C33="One2car",'中古車掲載'!F33="Corolla Cross",'中古車掲載'!L33="HEV PREMIUM SAFETY",'中古車掲載'!J33=2023,ISNUMBER('中古車掲載'!N33),'中古車掲載'!N33&gt;=20000,'中古車掲載'!O33&lt;=50000,'中古車掲載'!AL33=1,'中古車掲載'!Z33="https://www.one2car.com/en/cars-for-sale/toyota/corolla-cross/year-2023"),'中古車掲載'!U33,"")</x:f>
      </x:c>
      <x:c r="BF32" s="3" t="str">
        <x:f>IF(AND('中古車掲載'!C33="One2car",'中古車掲載'!F33="Corolla Cross",'中古車掲載'!L33="HEV PREMIUM",'中古車掲載'!J33=2023,ISNUMBER('中古車掲載'!N33),'中古車掲載'!N33&gt;=20000,'中古車掲載'!O33&lt;=100000,'中古車掲載'!AL33=1,'中古車掲載'!Z33="https://www.one2car.com/en/cars-for-sale/toyota/corolla-cross/year-2023"),'中古車掲載'!U33,"")</x:f>
      </x:c>
      <x:c r="BG32" s="3" t="str">
        <x:f>IF(AND('中古車掲載'!C33="One2car",'中古車掲載'!F33="Corolla Cross",'中古車掲載'!L33="HEV GR SPORT",'中古車掲載'!J33=2023,ISNUMBER('中古車掲載'!N33),'中古車掲載'!N33&gt;=20000,'中古車掲載'!O33&lt;=100000,'中古車掲載'!AL33=1,'中古車掲載'!Z33="https://www.one2car.com/en/cars-for-sale/toyota/corolla-cross/year-2023"),'中古車掲載'!U33,"")</x:f>
      </x:c>
      <x:c r="BH32" s="3" t="str">
        <x:f>IF(AND('中古車掲載'!C33="One2car",'中古車掲載'!F33="DOLPHIN",'中古車掲載'!L33="STANDARD RANGE",'中古車掲載'!J33=2023,ISNUMBER('中古車掲載'!N33),'中古車掲載'!N33&gt;=20000,'中古車掲載'!O33&lt;=100000,'中古車掲載'!AL33=1),'中古車掲載'!U33,"")</x:f>
      </x:c>
      <x:c r="BI32" s="3" t="str">
        <x:v>One2car|Corolla Altis|ICE|Bangkok metro</x:v>
      </x:c>
      <x:c r="BJ32" s="3" t="n">
        <x:v>33</x:v>
      </x:c>
      <x:c r="BK32" s="3" t="n">
        <x:f>'中古車掲載'!AM33</x:f>
        <x:v>439000</x:v>
      </x:c>
      <x:c r="BL32" s="3" t="str">
        <x:f>IF(ISNUMBER('中古車掲載'!AN33),'中古車掲載'!AN33,"")</x:f>
      </x:c>
      <x:c r="BM32" s="3" t="str">
        <x:v>2020|Smart cab</x:v>
      </x:c>
      <x:c r="BN32" s="3" t="n">
        <x:v>655</x:v>
      </x:c>
      <x:c r="BO32" s="3" t="n">
        <x:f>'中古車掲載'!AM655</x:f>
        <x:v>359000</x:v>
      </x:c>
      <x:c r="BP32" s="3" t="str">
        <x:v>2.4 E Z EDITION SMART CAB</x:v>
      </x:c>
      <x:c r="BQ32" s="3"/>
      <x:c r="BR32" s="3"/>
    </x:row>
    <x:row r="33" ht="22" customHeight="1">
      <x:c r="A33" s="3" t="str">
        <x:v>SEALION 7</x:v>
      </x:c>
      <x:c r="B33" s="3" t="str">
        <x:v>BEV</x:v>
      </x:c>
      <x:c r="C33" s="3" t="str">
        <x:v>Taladrod</x:v>
      </x:c>
      <x:c r="D33" s="22" t="n">
        <x:f>COUNT('中古車掲載'!AM934:AM937)</x:f>
        <x:v>3</x:v>
      </x:c>
      <x:c r="E33" s="22" t="n">
        <x:f>IF(COUNT('中古車掲載'!AM934:AM937)=0,"",QUARTILE('中古車掲載'!AM934:AM937,1))</x:f>
        <x:v>938500</x:v>
      </x:c>
      <x:c r="F33" s="22" t="n">
        <x:f>IF(COUNT('中古車掲載'!AM934:AM937)=0,"",MEDIAN('中古車掲載'!AM934:AM937))</x:f>
        <x:v>939000</x:v>
      </x:c>
      <x:c r="G33" s="22" t="n">
        <x:f>IF(COUNT('中古車掲載'!AM934:AM937)=0,"",QUARTILE('中古車掲載'!AM934:AM937,3))</x:f>
        <x:v>969000</x:v>
      </x:c>
      <x:c r="H33" s="22" t="n">
        <x:f>COUNT('中古車掲載'!AN934:AN937)</x:f>
        <x:v>3</x:v>
      </x:c>
      <x:c r="I33" s="23" t="n">
        <x:f>IF(COUNT('中古車掲載'!AN934:AN937)=0,"",MEDIAN('中古車掲載'!AN934:AN937))</x:f>
        <x:v>0.6707621972998071</x:v>
      </x:c>
      <x:c r="J33" s="3" t="n">
        <x:f>COUNT('中古車掲載'!N934:N937)</x:f>
        <x:v>0</x:v>
      </x:c>
      <x:c r="K33" s="3"/>
      <x:c r="L33" s="3"/>
      <x:c r="M33" s="3"/>
      <x:c r="N33" s="3"/>
      <x:c r="O33" s="3"/>
      <x:c r="P33" s="3"/>
      <x:c r="Q33" s="3"/>
      <x:c r="R33" s="3" t="str">
        <x:v>Taladrod</x:v>
      </x:c>
      <x:c r="S33" s="3" t="str">
        <x:v>Fortuner</x:v>
      </x:c>
      <x:c r="T33" s="3" t="str">
        <x:v>ICE</x:v>
      </x:c>
      <x:c r="U33" s="3" t="str">
        <x:v>Unknown</x:v>
      </x:c>
      <x:c r="V33" s="22" t="n">
        <x:f>COUNT(BK485:BK622)</x:f>
        <x:v>138</x:v>
      </x:c>
      <x:c r="W33" s="22" t="n">
        <x:f>IF(COUNT(BK485:BK622)=0,"",QUARTILE(BK485:BK622,1))</x:f>
        <x:v>829250</x:v>
      </x:c>
      <x:c r="X33" s="22" t="n">
        <x:f>IF(COUNT(BK485:BK622)=0,"",MEDIAN(BK485:BK622))</x:f>
        <x:v>909000</x:v>
      </x:c>
      <x:c r="Y33" s="22" t="n">
        <x:f>IF(COUNT(BK485:BK622)=0,"",QUARTILE(BK485:BK622,3))</x:f>
        <x:v>959000</x:v>
      </x:c>
      <x:c r="Z33" s="3"/>
      <x:c r="AA33" s="3"/>
      <x:c r="AB33" s="3"/>
      <x:c r="AC33" s="3"/>
      <x:c r="AD33" s="3"/>
      <x:c r="AE33" s="3"/>
      <x:c r="AF33" s="3"/>
      <x:c r="AG33" s="3"/>
      <x:c r="AH33" s="3"/>
      <x:c r="AI33" s="3"/>
      <x:c r="AJ33" s="3"/>
      <x:c r="AK33" s="3"/>
      <x:c r="AL33" s="3"/>
      <x:c r="AM33" s="3"/>
      <x:c r="AN33" s="3"/>
      <x:c r="AO33" s="3"/>
      <x:c r="AP33" s="3"/>
      <x:c r="AQ33" s="3"/>
      <x:c r="AR33" s="3"/>
      <x:c r="AS33" s="3"/>
      <x:c r="AT33" s="3"/>
      <x:c r="AU33" s="3"/>
      <x:c r="AV33" s="3"/>
      <x:c r="AW33" s="3"/>
      <x:c r="AX33" s="3"/>
      <x:c r="AY33" s="3"/>
      <x:c r="AZ33" s="3" t="str">
        <x:f>IF(AND('中古車掲載'!C34="One2car",'中古車掲載'!F34="ATTO 3",'中古車掲載'!L34="EXTENDED RANGE",'中古車掲載'!J34=2023,ISNUMBER('中古車掲載'!N34),'中古車掲載'!N34&gt;=20000,'中古車掲載'!O34&lt;=100000,'中古車掲載'!AL34=1),'中古車掲載'!U34,"")</x:f>
      </x:c>
      <x:c r="BA33" s="3" t="str">
        <x:f>IF(AND('中古車掲載'!C34="One2car",'中古車掲載'!F34="Corolla Cross",'中古車掲載'!L34="HEV PREMIUM SAFETY",'中古車掲載'!J34=2023,ISNUMBER('中古車掲載'!N34),'中古車掲載'!N34&gt;=20000,'中古車掲載'!O34&lt;=100000,'中古車掲載'!AL34=1,'中古車掲載'!Z34="https://www.one2car.com/en/cars-for-sale/toyota/corolla-cross/year-2023"),'中古車掲載'!U34,"")</x:f>
      </x:c>
      <x:c r="BB33" s="3" t="str">
        <x:f>IF(AND('中古車掲載'!C34="One2car",'中古車掲載'!F34="ATTO 3",'中古車掲載'!L34="EXTENDED RANGE",'中古車掲載'!J34=2023,ISNUMBER('中古車掲載'!N34),'中古車掲載'!N34&gt;=50000,'中古車掲載'!O34&lt;=100000,'中古車掲載'!AL34=1),'中古車掲載'!U34,"")</x:f>
      </x:c>
      <x:c r="BC33" s="3" t="str">
        <x:f>IF(AND('中古車掲載'!C34="One2car",'中古車掲載'!F34="Corolla Cross",'中古車掲載'!L34="HEV PREMIUM SAFETY",'中古車掲載'!J34=2023,ISNUMBER('中古車掲載'!N34),'中古車掲載'!N34&gt;=50000,'中古車掲載'!O34&lt;=100000,'中古車掲載'!AL34=1,'中古車掲載'!Z34="https://www.one2car.com/en/cars-for-sale/toyota/corolla-cross/year-2023"),'中古車掲載'!U34,"")</x:f>
      </x:c>
      <x:c r="BD33" s="3" t="str">
        <x:f>IF(AND('中古車掲載'!C34="One2car",'中古車掲載'!F34="ATTO 3",'中古車掲載'!L34="EXTENDED RANGE",'中古車掲載'!J34=2023,ISNUMBER('中古車掲載'!N34),'中古車掲載'!N34&gt;=20000,'中古車掲載'!O34&lt;=50000,'中古車掲載'!AL34=1),'中古車掲載'!U34,"")</x:f>
      </x:c>
      <x:c r="BE33" s="3" t="str">
        <x:f>IF(AND('中古車掲載'!C34="One2car",'中古車掲載'!F34="Corolla Cross",'中古車掲載'!L34="HEV PREMIUM SAFETY",'中古車掲載'!J34=2023,ISNUMBER('中古車掲載'!N34),'中古車掲載'!N34&gt;=20000,'中古車掲載'!O34&lt;=50000,'中古車掲載'!AL34=1,'中古車掲載'!Z34="https://www.one2car.com/en/cars-for-sale/toyota/corolla-cross/year-2023"),'中古車掲載'!U34,"")</x:f>
      </x:c>
      <x:c r="BF33" s="3" t="str">
        <x:f>IF(AND('中古車掲載'!C34="One2car",'中古車掲載'!F34="Corolla Cross",'中古車掲載'!L34="HEV PREMIUM",'中古車掲載'!J34=2023,ISNUMBER('中古車掲載'!N34),'中古車掲載'!N34&gt;=20000,'中古車掲載'!O34&lt;=100000,'中古車掲載'!AL34=1,'中古車掲載'!Z34="https://www.one2car.com/en/cars-for-sale/toyota/corolla-cross/year-2023"),'中古車掲載'!U34,"")</x:f>
      </x:c>
      <x:c r="BG33" s="3" t="str">
        <x:f>IF(AND('中古車掲載'!C34="One2car",'中古車掲載'!F34="Corolla Cross",'中古車掲載'!L34="HEV GR SPORT",'中古車掲載'!J34=2023,ISNUMBER('中古車掲載'!N34),'中古車掲載'!N34&gt;=20000,'中古車掲載'!O34&lt;=100000,'中古車掲載'!AL34=1,'中古車掲載'!Z34="https://www.one2car.com/en/cars-for-sale/toyota/corolla-cross/year-2023"),'中古車掲載'!U34,"")</x:f>
      </x:c>
      <x:c r="BH33" s="3" t="str">
        <x:f>IF(AND('中古車掲載'!C34="One2car",'中古車掲載'!F34="DOLPHIN",'中古車掲載'!L34="STANDARD RANGE",'中古車掲載'!J34=2023,ISNUMBER('中古車掲載'!N34),'中古車掲載'!N34&gt;=20000,'中古車掲載'!O34&lt;=100000,'中古車掲載'!AL34=1),'中古車掲載'!U34,"")</x:f>
      </x:c>
      <x:c r="BI33" s="3" t="str">
        <x:v>One2car|Corolla Altis|ICE|Bangkok metro</x:v>
      </x:c>
      <x:c r="BJ33" s="3" t="n">
        <x:v>34</x:v>
      </x:c>
      <x:c r="BK33" s="3" t="n">
        <x:f>'中古車掲載'!AM34</x:f>
        <x:v>439000</x:v>
      </x:c>
      <x:c r="BL33" s="3" t="str">
        <x:f>IF(ISNUMBER('中古車掲載'!AN34),'中古車掲載'!AN34,"")</x:f>
      </x:c>
      <x:c r="BM33" s="3" t="str">
        <x:v>2020|Smart cab</x:v>
      </x:c>
      <x:c r="BN33" s="3" t="n">
        <x:v>657</x:v>
      </x:c>
      <x:c r="BO33" s="3" t="n">
        <x:f>'中古車掲載'!AM657</x:f>
        <x:v>399000</x:v>
      </x:c>
      <x:c r="BP33" s="3" t="str">
        <x:v>2.4 ENTRY PRERUNNER SMART CAB</x:v>
      </x:c>
      <x:c r="BQ33" s="3"/>
      <x:c r="BR33" s="3"/>
    </x:row>
    <x:row r="34" ht="22" customHeight="1">
      <x:c r="A34" s="3" t="str">
        <x:v>Yaris Ativ</x:v>
      </x:c>
      <x:c r="B34" s="3" t="str">
        <x:v>HEV</x:v>
      </x:c>
      <x:c r="C34" s="3" t="str">
        <x:v>Taladrod</x:v>
      </x:c>
      <x:c r="D34" s="22" t="n">
        <x:f>COUNT('中古車掲載'!AM938:AM941)</x:f>
        <x:v>3</x:v>
      </x:c>
      <x:c r="E34" s="22" t="n">
        <x:f>IF(COUNT('中古車掲載'!AM938:AM941)=0,"",QUARTILE('中古車掲載'!AM938:AM941,1))</x:f>
        <x:v>657000</x:v>
      </x:c>
      <x:c r="F34" s="22" t="n">
        <x:f>IF(COUNT('中古車掲載'!AM938:AM941)=0,"",MEDIAN('中古車掲載'!AM938:AM941))</x:f>
        <x:v>690000</x:v>
      </x:c>
      <x:c r="G34" s="22" t="n">
        <x:f>IF(COUNT('中古車掲載'!AM938:AM941)=0,"",QUARTILE('中古車掲載'!AM938:AM941,3))</x:f>
        <x:v>690000</x:v>
      </x:c>
      <x:c r="H34" s="22" t="n">
        <x:f>COUNT('中古車掲載'!AN938:AN941)</x:f>
        <x:v>0</x:v>
      </x:c>
      <x:c r="I34" s="23" t="str">
        <x:f>IF(COUNT('中古車掲載'!AN938:AN941)=0,"",MEDIAN('中古車掲載'!AN938:AN941))</x:f>
      </x:c>
      <x:c r="J34" s="3" t="n">
        <x:f>COUNT('中古車掲載'!N938:N941)</x:f>
        <x:v>0</x:v>
      </x:c>
      <x:c r="K34" s="3"/>
      <x:c r="L34" s="3"/>
      <x:c r="M34" s="3"/>
      <x:c r="N34" s="3"/>
      <x:c r="O34" s="3"/>
      <x:c r="P34" s="3"/>
      <x:c r="Q34" s="3"/>
      <x:c r="R34" s="3" t="str">
        <x:v>Taladrod</x:v>
      </x:c>
      <x:c r="S34" s="3" t="str">
        <x:v>Hilux Champ</x:v>
      </x:c>
      <x:c r="T34" s="3" t="str">
        <x:v>ICE</x:v>
      </x:c>
      <x:c r="U34" s="3" t="str">
        <x:v>Unknown</x:v>
      </x:c>
      <x:c r="V34" s="22" t="n">
        <x:f>COUNT(BK623:BK648)</x:f>
        <x:v>26</x:v>
      </x:c>
      <x:c r="W34" s="22" t="n">
        <x:f>IF(COUNT(BK623:BK648)=0,"",QUARTILE(BK623:BK648,1))</x:f>
        <x:v>449000</x:v>
      </x:c>
      <x:c r="X34" s="22" t="n">
        <x:f>IF(COUNT(BK623:BK648)=0,"",MEDIAN(BK623:BK648))</x:f>
        <x:v>462000</x:v>
      </x:c>
      <x:c r="Y34" s="22" t="n">
        <x:f>IF(COUNT(BK623:BK648)=0,"",QUARTILE(BK623:BK648,3))</x:f>
        <x:v>469000</x:v>
      </x:c>
      <x:c r="Z34" s="3"/>
      <x:c r="AA34" s="3"/>
      <x:c r="AB34" s="3"/>
      <x:c r="AC34" s="3"/>
      <x:c r="AD34" s="3"/>
      <x:c r="AE34" s="3"/>
      <x:c r="AF34" s="3"/>
      <x:c r="AG34" s="3"/>
      <x:c r="AH34" s="3"/>
      <x:c r="AI34" s="3"/>
      <x:c r="AJ34" s="3"/>
      <x:c r="AK34" s="3"/>
      <x:c r="AL34" s="3"/>
      <x:c r="AM34" s="3"/>
      <x:c r="AN34" s="3"/>
      <x:c r="AO34" s="3"/>
      <x:c r="AP34" s="3"/>
      <x:c r="AQ34" s="3"/>
      <x:c r="AR34" s="3"/>
      <x:c r="AS34" s="3"/>
      <x:c r="AT34" s="3"/>
      <x:c r="AU34" s="3"/>
      <x:c r="AV34" s="3"/>
      <x:c r="AW34" s="3"/>
      <x:c r="AX34" s="3"/>
      <x:c r="AY34" s="3"/>
      <x:c r="AZ34" s="3" t="str">
        <x:f>IF(AND('中古車掲載'!C35="One2car",'中古車掲載'!F35="ATTO 3",'中古車掲載'!L35="EXTENDED RANGE",'中古車掲載'!J35=2023,ISNUMBER('中古車掲載'!N35),'中古車掲載'!N35&gt;=20000,'中古車掲載'!O35&lt;=100000,'中古車掲載'!AL35=1),'中古車掲載'!U35,"")</x:f>
      </x:c>
      <x:c r="BA34" s="3" t="str">
        <x:f>IF(AND('中古車掲載'!C35="One2car",'中古車掲載'!F35="Corolla Cross",'中古車掲載'!L35="HEV PREMIUM SAFETY",'中古車掲載'!J35=2023,ISNUMBER('中古車掲載'!N35),'中古車掲載'!N35&gt;=20000,'中古車掲載'!O35&lt;=100000,'中古車掲載'!AL35=1,'中古車掲載'!Z35="https://www.one2car.com/en/cars-for-sale/toyota/corolla-cross/year-2023"),'中古車掲載'!U35,"")</x:f>
      </x:c>
      <x:c r="BB34" s="3" t="str">
        <x:f>IF(AND('中古車掲載'!C35="One2car",'中古車掲載'!F35="ATTO 3",'中古車掲載'!L35="EXTENDED RANGE",'中古車掲載'!J35=2023,ISNUMBER('中古車掲載'!N35),'中古車掲載'!N35&gt;=50000,'中古車掲載'!O35&lt;=100000,'中古車掲載'!AL35=1),'中古車掲載'!U35,"")</x:f>
      </x:c>
      <x:c r="BC34" s="3" t="str">
        <x:f>IF(AND('中古車掲載'!C35="One2car",'中古車掲載'!F35="Corolla Cross",'中古車掲載'!L35="HEV PREMIUM SAFETY",'中古車掲載'!J35=2023,ISNUMBER('中古車掲載'!N35),'中古車掲載'!N35&gt;=50000,'中古車掲載'!O35&lt;=100000,'中古車掲載'!AL35=1,'中古車掲載'!Z35="https://www.one2car.com/en/cars-for-sale/toyota/corolla-cross/year-2023"),'中古車掲載'!U35,"")</x:f>
      </x:c>
      <x:c r="BD34" s="3" t="str">
        <x:f>IF(AND('中古車掲載'!C35="One2car",'中古車掲載'!F35="ATTO 3",'中古車掲載'!L35="EXTENDED RANGE",'中古車掲載'!J35=2023,ISNUMBER('中古車掲載'!N35),'中古車掲載'!N35&gt;=20000,'中古車掲載'!O35&lt;=50000,'中古車掲載'!AL35=1),'中古車掲載'!U35,"")</x:f>
      </x:c>
      <x:c r="BE34" s="3" t="str">
        <x:f>IF(AND('中古車掲載'!C35="One2car",'中古車掲載'!F35="Corolla Cross",'中古車掲載'!L35="HEV PREMIUM SAFETY",'中古車掲載'!J35=2023,ISNUMBER('中古車掲載'!N35),'中古車掲載'!N35&gt;=20000,'中古車掲載'!O35&lt;=50000,'中古車掲載'!AL35=1,'中古車掲載'!Z35="https://www.one2car.com/en/cars-for-sale/toyota/corolla-cross/year-2023"),'中古車掲載'!U35,"")</x:f>
      </x:c>
      <x:c r="BF34" s="3" t="str">
        <x:f>IF(AND('中古車掲載'!C35="One2car",'中古車掲載'!F35="Corolla Cross",'中古車掲載'!L35="HEV PREMIUM",'中古車掲載'!J35=2023,ISNUMBER('中古車掲載'!N35),'中古車掲載'!N35&gt;=20000,'中古車掲載'!O35&lt;=100000,'中古車掲載'!AL35=1,'中古車掲載'!Z35="https://www.one2car.com/en/cars-for-sale/toyota/corolla-cross/year-2023"),'中古車掲載'!U35,"")</x:f>
      </x:c>
      <x:c r="BG34" s="3" t="str">
        <x:f>IF(AND('中古車掲載'!C35="One2car",'中古車掲載'!F35="Corolla Cross",'中古車掲載'!L35="HEV GR SPORT",'中古車掲載'!J35=2023,ISNUMBER('中古車掲載'!N35),'中古車掲載'!N35&gt;=20000,'中古車掲載'!O35&lt;=100000,'中古車掲載'!AL35=1,'中古車掲載'!Z35="https://www.one2car.com/en/cars-for-sale/toyota/corolla-cross/year-2023"),'中古車掲載'!U35,"")</x:f>
      </x:c>
      <x:c r="BH34" s="3" t="str">
        <x:f>IF(AND('中古車掲載'!C35="One2car",'中古車掲載'!F35="DOLPHIN",'中古車掲載'!L35="STANDARD RANGE",'中古車掲載'!J35=2023,ISNUMBER('中古車掲載'!N35),'中古車掲載'!N35&gt;=20000,'中古車掲載'!O35&lt;=100000,'中古車掲載'!AL35=1),'中古車掲載'!U35,"")</x:f>
      </x:c>
      <x:c r="BI34" s="3" t="str">
        <x:v>One2car|Corolla Altis|ICE|Bangkok metro</x:v>
      </x:c>
      <x:c r="BJ34" s="3" t="n">
        <x:v>35</x:v>
      </x:c>
      <x:c r="BK34" s="3" t="n">
        <x:f>'中古車掲載'!AM35</x:f>
        <x:v>399000</x:v>
      </x:c>
      <x:c r="BL34" s="3" t="str">
        <x:f>IF(ISNUMBER('中古車掲載'!AN35),'中古車掲載'!AN35,"")</x:f>
      </x:c>
      <x:c r="BM34" s="3" t="str">
        <x:v>2020|Smart cab</x:v>
      </x:c>
      <x:c r="BN34" s="3" t="n">
        <x:v>658</x:v>
      </x:c>
      <x:c r="BO34" s="3" t="n">
        <x:f>'中古車掲載'!AM658</x:f>
        <x:v>389000</x:v>
      </x:c>
      <x:c r="BP34" s="3" t="str">
        <x:v>2.4 ENTRY PRERUNNER SMART CAB</x:v>
      </x:c>
      <x:c r="BQ34" s="3"/>
      <x:c r="BR34" s="3"/>
    </x:row>
    <x:row r="35" ht="22" customHeight="1">
      <x:c r="A35" s="3" t="str">
        <x:v>Yaris Ativ</x:v>
      </x:c>
      <x:c r="B35" s="3" t="str">
        <x:v>ICE</x:v>
      </x:c>
      <x:c r="C35" s="3" t="str">
        <x:v>Taladrod</x:v>
      </x:c>
      <x:c r="D35" s="22" t="n">
        <x:f>COUNT('中古車掲載'!AM942:AM1095)</x:f>
        <x:v>151</x:v>
      </x:c>
      <x:c r="E35" s="22" t="n">
        <x:f>IF(COUNT('中古車掲載'!AM942:AM1095)=0,"",QUARTILE('中古車掲載'!AM942:AM1095,1))</x:f>
        <x:v>379000</x:v>
      </x:c>
      <x:c r="F35" s="22" t="n">
        <x:f>IF(COUNT('中古車掲載'!AM942:AM1095)=0,"",MEDIAN('中古車掲載'!AM942:AM1095))</x:f>
        <x:v>439000</x:v>
      </x:c>
      <x:c r="G35" s="22" t="n">
        <x:f>IF(COUNT('中古車掲載'!AM942:AM1095)=0,"",QUARTILE('中古車掲載'!AM942:AM1095,3))</x:f>
        <x:v>479000</x:v>
      </x:c>
      <x:c r="H35" s="22" t="n">
        <x:f>COUNT('中古車掲載'!AN942:AN1095)</x:f>
        <x:v>0</x:v>
      </x:c>
      <x:c r="I35" s="23" t="str">
        <x:f>IF(COUNT('中古車掲載'!AN942:AN1095)=0,"",MEDIAN('中古車掲載'!AN942:AN1095))</x:f>
      </x:c>
      <x:c r="J35" s="3" t="n">
        <x:f>COUNT('中古車掲載'!N942:N1095)</x:f>
        <x:v>0</x:v>
      </x:c>
      <x:c r="K35" s="3"/>
      <x:c r="L35" s="3"/>
      <x:c r="M35" s="3"/>
      <x:c r="N35" s="3"/>
      <x:c r="O35" s="3"/>
      <x:c r="P35" s="3"/>
      <x:c r="Q35" s="3"/>
      <x:c r="R35" s="3" t="str">
        <x:v>Taladrod</x:v>
      </x:c>
      <x:c r="S35" s="3" t="str">
        <x:v>Hilux Revo</x:v>
      </x:c>
      <x:c r="T35" s="3" t="str">
        <x:v>ICE</x:v>
      </x:c>
      <x:c r="U35" s="3" t="str">
        <x:v>Unknown</x:v>
      </x:c>
      <x:c r="V35" s="22" t="n">
        <x:f>COUNT(BK649:BK918)</x:f>
        <x:v>268</x:v>
      </x:c>
      <x:c r="W35" s="22" t="n">
        <x:f>IF(COUNT(BK649:BK918)=0,"",QUARTILE(BK649:BK918,1))</x:f>
        <x:v>399750</x:v>
      </x:c>
      <x:c r="X35" s="22" t="n">
        <x:f>IF(COUNT(BK649:BK918)=0,"",MEDIAN(BK649:BK918))</x:f>
        <x:v>479000</x:v>
      </x:c>
      <x:c r="Y35" s="22" t="n">
        <x:f>IF(COUNT(BK649:BK918)=0,"",QUARTILE(BK649:BK918,3))</x:f>
        <x:v>599000</x:v>
      </x:c>
      <x:c r="Z35" s="3"/>
      <x:c r="AA35" s="3"/>
      <x:c r="AB35" s="3"/>
      <x:c r="AC35" s="3"/>
      <x:c r="AD35" s="3"/>
      <x:c r="AE35" s="3"/>
      <x:c r="AF35" s="3"/>
      <x:c r="AG35" s="3"/>
      <x:c r="AH35" s="3"/>
      <x:c r="AI35" s="3"/>
      <x:c r="AJ35" s="3"/>
      <x:c r="AK35" s="3"/>
      <x:c r="AL35" s="3"/>
      <x:c r="AM35" s="3"/>
      <x:c r="AN35" s="3"/>
      <x:c r="AO35" s="3"/>
      <x:c r="AP35" s="3"/>
      <x:c r="AQ35" s="3"/>
      <x:c r="AR35" s="3"/>
      <x:c r="AS35" s="3"/>
      <x:c r="AT35" s="3"/>
      <x:c r="AU35" s="3"/>
      <x:c r="AV35" s="3"/>
      <x:c r="AW35" s="3"/>
      <x:c r="AX35" s="3"/>
      <x:c r="AY35" s="3"/>
      <x:c r="AZ35" s="3" t="str">
        <x:f>IF(AND('中古車掲載'!C36="One2car",'中古車掲載'!F36="ATTO 3",'中古車掲載'!L36="EXTENDED RANGE",'中古車掲載'!J36=2023,ISNUMBER('中古車掲載'!N36),'中古車掲載'!N36&gt;=20000,'中古車掲載'!O36&lt;=100000,'中古車掲載'!AL36=1),'中古車掲載'!U36,"")</x:f>
      </x:c>
      <x:c r="BA35" s="3" t="str">
        <x:f>IF(AND('中古車掲載'!C36="One2car",'中古車掲載'!F36="Corolla Cross",'中古車掲載'!L36="HEV PREMIUM SAFETY",'中古車掲載'!J36=2023,ISNUMBER('中古車掲載'!N36),'中古車掲載'!N36&gt;=20000,'中古車掲載'!O36&lt;=100000,'中古車掲載'!AL36=1,'中古車掲載'!Z36="https://www.one2car.com/en/cars-for-sale/toyota/corolla-cross/year-2023"),'中古車掲載'!U36,"")</x:f>
      </x:c>
      <x:c r="BB35" s="3" t="str">
        <x:f>IF(AND('中古車掲載'!C36="One2car",'中古車掲載'!F36="ATTO 3",'中古車掲載'!L36="EXTENDED RANGE",'中古車掲載'!J36=2023,ISNUMBER('中古車掲載'!N36),'中古車掲載'!N36&gt;=50000,'中古車掲載'!O36&lt;=100000,'中古車掲載'!AL36=1),'中古車掲載'!U36,"")</x:f>
      </x:c>
      <x:c r="BC35" s="3" t="str">
        <x:f>IF(AND('中古車掲載'!C36="One2car",'中古車掲載'!F36="Corolla Cross",'中古車掲載'!L36="HEV PREMIUM SAFETY",'中古車掲載'!J36=2023,ISNUMBER('中古車掲載'!N36),'中古車掲載'!N36&gt;=50000,'中古車掲載'!O36&lt;=100000,'中古車掲載'!AL36=1,'中古車掲載'!Z36="https://www.one2car.com/en/cars-for-sale/toyota/corolla-cross/year-2023"),'中古車掲載'!U36,"")</x:f>
      </x:c>
      <x:c r="BD35" s="3" t="str">
        <x:f>IF(AND('中古車掲載'!C36="One2car",'中古車掲載'!F36="ATTO 3",'中古車掲載'!L36="EXTENDED RANGE",'中古車掲載'!J36=2023,ISNUMBER('中古車掲載'!N36),'中古車掲載'!N36&gt;=20000,'中古車掲載'!O36&lt;=50000,'中古車掲載'!AL36=1),'中古車掲載'!U36,"")</x:f>
      </x:c>
      <x:c r="BE35" s="3" t="str">
        <x:f>IF(AND('中古車掲載'!C36="One2car",'中古車掲載'!F36="Corolla Cross",'中古車掲載'!L36="HEV PREMIUM SAFETY",'中古車掲載'!J36=2023,ISNUMBER('中古車掲載'!N36),'中古車掲載'!N36&gt;=20000,'中古車掲載'!O36&lt;=50000,'中古車掲載'!AL36=1,'中古車掲載'!Z36="https://www.one2car.com/en/cars-for-sale/toyota/corolla-cross/year-2023"),'中古車掲載'!U36,"")</x:f>
      </x:c>
      <x:c r="BF35" s="3" t="str">
        <x:f>IF(AND('中古車掲載'!C36="One2car",'中古車掲載'!F36="Corolla Cross",'中古車掲載'!L36="HEV PREMIUM",'中古車掲載'!J36=2023,ISNUMBER('中古車掲載'!N36),'中古車掲載'!N36&gt;=20000,'中古車掲載'!O36&lt;=100000,'中古車掲載'!AL36=1,'中古車掲載'!Z36="https://www.one2car.com/en/cars-for-sale/toyota/corolla-cross/year-2023"),'中古車掲載'!U36,"")</x:f>
      </x:c>
      <x:c r="BG35" s="3" t="str">
        <x:f>IF(AND('中古車掲載'!C36="One2car",'中古車掲載'!F36="Corolla Cross",'中古車掲載'!L36="HEV GR SPORT",'中古車掲載'!J36=2023,ISNUMBER('中古車掲載'!N36),'中古車掲載'!N36&gt;=20000,'中古車掲載'!O36&lt;=100000,'中古車掲載'!AL36=1,'中古車掲載'!Z36="https://www.one2car.com/en/cars-for-sale/toyota/corolla-cross/year-2023"),'中古車掲載'!U36,"")</x:f>
      </x:c>
      <x:c r="BH35" s="3" t="str">
        <x:f>IF(AND('中古車掲載'!C36="One2car",'中古車掲載'!F36="DOLPHIN",'中古車掲載'!L36="STANDARD RANGE",'中古車掲載'!J36=2023,ISNUMBER('中古車掲載'!N36),'中古車掲載'!N36&gt;=20000,'中古車掲載'!O36&lt;=100000,'中古車掲載'!AL36=1),'中古車掲載'!U36,"")</x:f>
      </x:c>
      <x:c r="BI35" s="3" t="str">
        <x:v>One2car|Corolla Altis|ICE|Bangkok metro</x:v>
      </x:c>
      <x:c r="BJ35" s="3" t="n">
        <x:v>36</x:v>
      </x:c>
      <x:c r="BK35" s="3" t="n">
        <x:f>'中古車掲載'!AM36</x:f>
        <x:v>419000</x:v>
      </x:c>
      <x:c r="BL35" s="3" t="str">
        <x:f>IF(ISNUMBER('中古車掲載'!AN36),'中古車掲載'!AN36,"")</x:f>
      </x:c>
      <x:c r="BM35" s="3" t="str">
        <x:v>2020|Smart cab</x:v>
      </x:c>
      <x:c r="BN35" s="3" t="n">
        <x:v>659</x:v>
      </x:c>
      <x:c r="BO35" s="3" t="n">
        <x:f>'中古車掲載'!AM659</x:f>
        <x:v>429000</x:v>
      </x:c>
      <x:c r="BP35" s="3" t="str">
        <x:v>2.4 ENTRY PRERUNNER SMART CAB</x:v>
      </x:c>
      <x:c r="BQ35" s="3"/>
      <x:c r="BR35" s="3"/>
    </x:row>
    <x:row r="36" ht="22" customHeight="1">
      <x:c r="A36" s="3" t="str">
        <x:v>Yaris Ativ</x:v>
      </x:c>
      <x:c r="B36" s="3" t="str">
        <x:v>不明</x:v>
      </x:c>
      <x:c r="C36" s="3" t="str">
        <x:v>Taladrod</x:v>
      </x:c>
      <x:c r="D36" s="22" t="n">
        <x:f>COUNT('中古車掲載'!AM1096:AM1096)</x:f>
        <x:v>1</x:v>
      </x:c>
      <x:c r="E36" s="22" t="n">
        <x:f>IF(COUNT('中古車掲載'!AM1096:AM1096)=0,"",QUARTILE('中古車掲載'!AM1096:AM1096,1))</x:f>
        <x:v>390000</x:v>
      </x:c>
      <x:c r="F36" s="22" t="n">
        <x:f>IF(COUNT('中古車掲載'!AM1096:AM1096)=0,"",MEDIAN('中古車掲載'!AM1096:AM1096))</x:f>
        <x:v>390000</x:v>
      </x:c>
      <x:c r="G36" s="22" t="n">
        <x:f>IF(COUNT('中古車掲載'!AM1096:AM1096)=0,"",QUARTILE('中古車掲載'!AM1096:AM1096,3))</x:f>
        <x:v>390000</x:v>
      </x:c>
      <x:c r="H36" s="22" t="n">
        <x:f>COUNT('中古車掲載'!AN1096:AN1096)</x:f>
        <x:v>0</x:v>
      </x:c>
      <x:c r="I36" s="23" t="str">
        <x:f>IF(COUNT('中古車掲載'!AN1096:AN1096)=0,"",MEDIAN('中古車掲載'!AN1096:AN1096))</x:f>
      </x:c>
      <x:c r="J36" s="3" t="n">
        <x:f>COUNT('中古車掲載'!N1096:N1096)</x:f>
        <x:v>0</x:v>
      </x:c>
      <x:c r="K36" s="3"/>
      <x:c r="L36" s="3"/>
      <x:c r="M36" s="3"/>
      <x:c r="N36" s="3"/>
      <x:c r="O36" s="3"/>
      <x:c r="P36" s="3"/>
      <x:c r="Q36" s="3"/>
      <x:c r="R36" s="3" t="str">
        <x:v>Taladrod</x:v>
      </x:c>
      <x:c r="S36" s="3" t="str">
        <x:v>Hilux Revo</x:v>
      </x:c>
      <x:c r="T36" s="3" t="str">
        <x:v>不明</x:v>
      </x:c>
      <x:c r="U36" s="3" t="str">
        <x:v>Unknown</x:v>
      </x:c>
      <x:c r="V36" s="22" t="n">
        <x:f>COUNT(BK919:BK920)</x:f>
        <x:v>2</x:v>
      </x:c>
      <x:c r="W36" s="22" t="n">
        <x:f>IF(COUNT(BK919:BK920)=0,"",QUARTILE(BK919:BK920,1))</x:f>
        <x:v>407500</x:v>
      </x:c>
      <x:c r="X36" s="22" t="n">
        <x:f>IF(COUNT(BK919:BK920)=0,"",MEDIAN(BK919:BK920))</x:f>
        <x:v>455000</x:v>
      </x:c>
      <x:c r="Y36" s="22" t="n">
        <x:f>IF(COUNT(BK919:BK920)=0,"",QUARTILE(BK919:BK920,3))</x:f>
        <x:v>502500</x:v>
      </x:c>
      <x:c r="Z36" s="3"/>
      <x:c r="AA36" s="3"/>
      <x:c r="AB36" s="3"/>
      <x:c r="AC36" s="3"/>
      <x:c r="AD36" s="3"/>
      <x:c r="AE36" s="3"/>
      <x:c r="AF36" s="3"/>
      <x:c r="AG36" s="3"/>
      <x:c r="AH36" s="3"/>
      <x:c r="AI36" s="3"/>
      <x:c r="AJ36" s="3"/>
      <x:c r="AK36" s="3"/>
      <x:c r="AL36" s="3"/>
      <x:c r="AM36" s="3"/>
      <x:c r="AN36" s="3"/>
      <x:c r="AO36" s="3"/>
      <x:c r="AP36" s="3"/>
      <x:c r="AQ36" s="3"/>
      <x:c r="AR36" s="3"/>
      <x:c r="AS36" s="3"/>
      <x:c r="AT36" s="3"/>
      <x:c r="AU36" s="3"/>
      <x:c r="AV36" s="3"/>
      <x:c r="AW36" s="3"/>
      <x:c r="AX36" s="3"/>
      <x:c r="AY36" s="3"/>
      <x:c r="AZ36" s="3" t="str">
        <x:f>IF(AND('中古車掲載'!C37="One2car",'中古車掲載'!F37="ATTO 3",'中古車掲載'!L37="EXTENDED RANGE",'中古車掲載'!J37=2023,ISNUMBER('中古車掲載'!N37),'中古車掲載'!N37&gt;=20000,'中古車掲載'!O37&lt;=100000,'中古車掲載'!AL37=1),'中古車掲載'!U37,"")</x:f>
      </x:c>
      <x:c r="BA36" s="3" t="str">
        <x:f>IF(AND('中古車掲載'!C37="One2car",'中古車掲載'!F37="Corolla Cross",'中古車掲載'!L37="HEV PREMIUM SAFETY",'中古車掲載'!J37=2023,ISNUMBER('中古車掲載'!N37),'中古車掲載'!N37&gt;=20000,'中古車掲載'!O37&lt;=100000,'中古車掲載'!AL37=1,'中古車掲載'!Z37="https://www.one2car.com/en/cars-for-sale/toyota/corolla-cross/year-2023"),'中古車掲載'!U37,"")</x:f>
      </x:c>
      <x:c r="BB36" s="3" t="str">
        <x:f>IF(AND('中古車掲載'!C37="One2car",'中古車掲載'!F37="ATTO 3",'中古車掲載'!L37="EXTENDED RANGE",'中古車掲載'!J37=2023,ISNUMBER('中古車掲載'!N37),'中古車掲載'!N37&gt;=50000,'中古車掲載'!O37&lt;=100000,'中古車掲載'!AL37=1),'中古車掲載'!U37,"")</x:f>
      </x:c>
      <x:c r="BC36" s="3" t="str">
        <x:f>IF(AND('中古車掲載'!C37="One2car",'中古車掲載'!F37="Corolla Cross",'中古車掲載'!L37="HEV PREMIUM SAFETY",'中古車掲載'!J37=2023,ISNUMBER('中古車掲載'!N37),'中古車掲載'!N37&gt;=50000,'中古車掲載'!O37&lt;=100000,'中古車掲載'!AL37=1,'中古車掲載'!Z37="https://www.one2car.com/en/cars-for-sale/toyota/corolla-cross/year-2023"),'中古車掲載'!U37,"")</x:f>
      </x:c>
      <x:c r="BD36" s="3" t="str">
        <x:f>IF(AND('中古車掲載'!C37="One2car",'中古車掲載'!F37="ATTO 3",'中古車掲載'!L37="EXTENDED RANGE",'中古車掲載'!J37=2023,ISNUMBER('中古車掲載'!N37),'中古車掲載'!N37&gt;=20000,'中古車掲載'!O37&lt;=50000,'中古車掲載'!AL37=1),'中古車掲載'!U37,"")</x:f>
      </x:c>
      <x:c r="BE36" s="3" t="str">
        <x:f>IF(AND('中古車掲載'!C37="One2car",'中古車掲載'!F37="Corolla Cross",'中古車掲載'!L37="HEV PREMIUM SAFETY",'中古車掲載'!J37=2023,ISNUMBER('中古車掲載'!N37),'中古車掲載'!N37&gt;=20000,'中古車掲載'!O37&lt;=50000,'中古車掲載'!AL37=1,'中古車掲載'!Z37="https://www.one2car.com/en/cars-for-sale/toyota/corolla-cross/year-2023"),'中古車掲載'!U37,"")</x:f>
      </x:c>
      <x:c r="BF36" s="3" t="str">
        <x:f>IF(AND('中古車掲載'!C37="One2car",'中古車掲載'!F37="Corolla Cross",'中古車掲載'!L37="HEV PREMIUM",'中古車掲載'!J37=2023,ISNUMBER('中古車掲載'!N37),'中古車掲載'!N37&gt;=20000,'中古車掲載'!O37&lt;=100000,'中古車掲載'!AL37=1,'中古車掲載'!Z37="https://www.one2car.com/en/cars-for-sale/toyota/corolla-cross/year-2023"),'中古車掲載'!U37,"")</x:f>
      </x:c>
      <x:c r="BG36" s="3" t="str">
        <x:f>IF(AND('中古車掲載'!C37="One2car",'中古車掲載'!F37="Corolla Cross",'中古車掲載'!L37="HEV GR SPORT",'中古車掲載'!J37=2023,ISNUMBER('中古車掲載'!N37),'中古車掲載'!N37&gt;=20000,'中古車掲載'!O37&lt;=100000,'中古車掲載'!AL37=1,'中古車掲載'!Z37="https://www.one2car.com/en/cars-for-sale/toyota/corolla-cross/year-2023"),'中古車掲載'!U37,"")</x:f>
      </x:c>
      <x:c r="BH36" s="3" t="str">
        <x:f>IF(AND('中古車掲載'!C37="One2car",'中古車掲載'!F37="DOLPHIN",'中古車掲載'!L37="STANDARD RANGE",'中古車掲載'!J37=2023,ISNUMBER('中古車掲載'!N37),'中古車掲載'!N37&gt;=20000,'中古車掲載'!O37&lt;=100000,'中古車掲載'!AL37=1),'中古車掲載'!U37,"")</x:f>
      </x:c>
      <x:c r="BI36" s="3" t="str">
        <x:v>One2car|Corolla Altis|ICE|Bangkok metro</x:v>
      </x:c>
      <x:c r="BJ36" s="3" t="n">
        <x:v>37</x:v>
      </x:c>
      <x:c r="BK36" s="3" t="n">
        <x:f>'中古車掲載'!AM37</x:f>
        <x:v>549000</x:v>
      </x:c>
      <x:c r="BL36" s="3" t="str">
        <x:f>IF(ISNUMBER('中古車掲載'!AN37),'中古車掲載'!AN37,"")</x:f>
      </x:c>
      <x:c r="BM36" s="3" t="str">
        <x:v>2020|Smart cab</x:v>
      </x:c>
      <x:c r="BN36" s="3" t="n">
        <x:v>666</x:v>
      </x:c>
      <x:c r="BO36" s="3" t="n">
        <x:f>'中古車掲載'!AM666</x:f>
        <x:v>419000</x:v>
      </x:c>
      <x:c r="BP36" s="3" t="str">
        <x:v>2.4 ENTRY Z EDITION SMART CAB</x:v>
      </x:c>
      <x:c r="BQ36" s="3"/>
      <x:c r="BR36" s="3"/>
    </x:row>
    <x:row r="37" ht="30" customHeight="1">
      <x:c r="A37" s="3" t="str">
        <x:v>Yaris Cross</x:v>
      </x:c>
      <x:c r="B37" s="3" t="str">
        <x:v>HEV</x:v>
      </x:c>
      <x:c r="C37" s="3" t="str">
        <x:v>Taladrod</x:v>
      </x:c>
      <x:c r="D37" s="22" t="n">
        <x:f>COUNT('中古車掲載'!AM1097:AM1139)</x:f>
        <x:v>41</x:v>
      </x:c>
      <x:c r="E37" s="22" t="n">
        <x:f>IF(COUNT('中古車掲載'!AM1097:AM1139)=0,"",QUARTILE('中古車掲載'!AM1097:AM1139,1))</x:f>
        <x:v>664000</x:v>
      </x:c>
      <x:c r="F37" s="22" t="n">
        <x:f>IF(COUNT('中古車掲載'!AM1097:AM1139)=0,"",MEDIAN('中古車掲載'!AM1097:AM1139))</x:f>
        <x:v>679000</x:v>
      </x:c>
      <x:c r="G37" s="22" t="n">
        <x:f>IF(COUNT('中古車掲載'!AM1097:AM1139)=0,"",QUARTILE('中古車掲載'!AM1097:AM1139,3))</x:f>
        <x:v>709000</x:v>
      </x:c>
      <x:c r="H37" s="22" t="n">
        <x:f>COUNT('中古車掲載'!AN1097:AN1139)</x:f>
        <x:v>0</x:v>
      </x:c>
      <x:c r="I37" s="23" t="str">
        <x:f>IF(COUNT('中古車掲載'!AN1097:AN1139)=0,"",MEDIAN('中古車掲載'!AN1097:AN1139))</x:f>
      </x:c>
      <x:c r="J37" s="3" t="n">
        <x:f>COUNT('中古車掲載'!N1097:N1139)</x:f>
        <x:v>0</x:v>
      </x:c>
      <x:c r="K37" s="3"/>
      <x:c r="L37" s="3"/>
      <x:c r="M37" s="3"/>
      <x:c r="N37" s="3"/>
      <x:c r="O37" s="3"/>
      <x:c r="P37" s="3"/>
      <x:c r="Q37" s="3"/>
      <x:c r="R37" s="3" t="str">
        <x:v>Taladrod</x:v>
      </x:c>
      <x:c r="S37" s="3" t="str">
        <x:v>M6</x:v>
      </x:c>
      <x:c r="T37" s="3" t="str">
        <x:v>BEV</x:v>
      </x:c>
      <x:c r="U37" s="3" t="str">
        <x:v>Unknown</x:v>
      </x:c>
      <x:c r="V37" s="22" t="n">
        <x:f>COUNT(BK921:BK922)</x:f>
        <x:v>2</x:v>
      </x:c>
      <x:c r="W37" s="22" t="n">
        <x:f>IF(COUNT(BK921:BK922)=0,"",QUARTILE(BK921:BK922,1))</x:f>
        <x:v>624000</x:v>
      </x:c>
      <x:c r="X37" s="22" t="n">
        <x:f>IF(COUNT(BK921:BK922)=0,"",MEDIAN(BK921:BK922))</x:f>
        <x:v>649000</x:v>
      </x:c>
      <x:c r="Y37" s="22" t="n">
        <x:f>IF(COUNT(BK921:BK922)=0,"",QUARTILE(BK921:BK922,3))</x:f>
        <x:v>674000</x:v>
      </x:c>
      <x:c r="Z37" s="3"/>
      <x:c r="AA37" s="16" t="str">
        <x:v>年式差</x:v>
      </x:c>
      <x:c r="AB37" s="21" t="str">
        <x:v>DOLPHIN BEV</x:v>
      </x:c>
      <x:c r="AC37" s="17" t="str">
        <x:v>Yaris Ativ ICE</x:v>
      </x:c>
      <x:c r="AD37" s="3"/>
      <x:c r="AE37" s="3"/>
      <x:c r="AF37" s="3"/>
      <x:c r="AG37" s="3"/>
      <x:c r="AH37" s="3"/>
      <x:c r="AI37" s="3"/>
      <x:c r="AJ37" s="3"/>
      <x:c r="AK37" s="3"/>
      <x:c r="AL37" s="3"/>
      <x:c r="AM37" s="3"/>
      <x:c r="AN37" s="3"/>
      <x:c r="AO37" s="3"/>
      <x:c r="AP37" s="3"/>
      <x:c r="AQ37" s="3"/>
      <x:c r="AR37" s="3"/>
      <x:c r="AS37" s="3"/>
      <x:c r="AT37" s="3"/>
      <x:c r="AU37" s="3"/>
      <x:c r="AV37" s="3"/>
      <x:c r="AW37" s="3"/>
      <x:c r="AX37" s="3"/>
      <x:c r="AY37" s="3"/>
      <x:c r="AZ37" s="3" t="str">
        <x:f>IF(AND('中古車掲載'!C38="One2car",'中古車掲載'!F38="ATTO 3",'中古車掲載'!L38="EXTENDED RANGE",'中古車掲載'!J38=2023,ISNUMBER('中古車掲載'!N38),'中古車掲載'!N38&gt;=20000,'中古車掲載'!O38&lt;=100000,'中古車掲載'!AL38=1),'中古車掲載'!U38,"")</x:f>
      </x:c>
      <x:c r="BA37" s="3" t="str">
        <x:f>IF(AND('中古車掲載'!C38="One2car",'中古車掲載'!F38="Corolla Cross",'中古車掲載'!L38="HEV PREMIUM SAFETY",'中古車掲載'!J38=2023,ISNUMBER('中古車掲載'!N38),'中古車掲載'!N38&gt;=20000,'中古車掲載'!O38&lt;=100000,'中古車掲載'!AL38=1,'中古車掲載'!Z38="https://www.one2car.com/en/cars-for-sale/toyota/corolla-cross/year-2023"),'中古車掲載'!U38,"")</x:f>
      </x:c>
      <x:c r="BB37" s="3" t="str">
        <x:f>IF(AND('中古車掲載'!C38="One2car",'中古車掲載'!F38="ATTO 3",'中古車掲載'!L38="EXTENDED RANGE",'中古車掲載'!J38=2023,ISNUMBER('中古車掲載'!N38),'中古車掲載'!N38&gt;=50000,'中古車掲載'!O38&lt;=100000,'中古車掲載'!AL38=1),'中古車掲載'!U38,"")</x:f>
      </x:c>
      <x:c r="BC37" s="3" t="str">
        <x:f>IF(AND('中古車掲載'!C38="One2car",'中古車掲載'!F38="Corolla Cross",'中古車掲載'!L38="HEV PREMIUM SAFETY",'中古車掲載'!J38=2023,ISNUMBER('中古車掲載'!N38),'中古車掲載'!N38&gt;=50000,'中古車掲載'!O38&lt;=100000,'中古車掲載'!AL38=1,'中古車掲載'!Z38="https://www.one2car.com/en/cars-for-sale/toyota/corolla-cross/year-2023"),'中古車掲載'!U38,"")</x:f>
      </x:c>
      <x:c r="BD37" s="3" t="str">
        <x:f>IF(AND('中古車掲載'!C38="One2car",'中古車掲載'!F38="ATTO 3",'中古車掲載'!L38="EXTENDED RANGE",'中古車掲載'!J38=2023,ISNUMBER('中古車掲載'!N38),'中古車掲載'!N38&gt;=20000,'中古車掲載'!O38&lt;=50000,'中古車掲載'!AL38=1),'中古車掲載'!U38,"")</x:f>
      </x:c>
      <x:c r="BE37" s="3" t="str">
        <x:f>IF(AND('中古車掲載'!C38="One2car",'中古車掲載'!F38="Corolla Cross",'中古車掲載'!L38="HEV PREMIUM SAFETY",'中古車掲載'!J38=2023,ISNUMBER('中古車掲載'!N38),'中古車掲載'!N38&gt;=20000,'中古車掲載'!O38&lt;=50000,'中古車掲載'!AL38=1,'中古車掲載'!Z38="https://www.one2car.com/en/cars-for-sale/toyota/corolla-cross/year-2023"),'中古車掲載'!U38,"")</x:f>
      </x:c>
      <x:c r="BF37" s="3" t="str">
        <x:f>IF(AND('中古車掲載'!C38="One2car",'中古車掲載'!F38="Corolla Cross",'中古車掲載'!L38="HEV PREMIUM",'中古車掲載'!J38=2023,ISNUMBER('中古車掲載'!N38),'中古車掲載'!N38&gt;=20000,'中古車掲載'!O38&lt;=100000,'中古車掲載'!AL38=1,'中古車掲載'!Z38="https://www.one2car.com/en/cars-for-sale/toyota/corolla-cross/year-2023"),'中古車掲載'!U38,"")</x:f>
      </x:c>
      <x:c r="BG37" s="3" t="str">
        <x:f>IF(AND('中古車掲載'!C38="One2car",'中古車掲載'!F38="Corolla Cross",'中古車掲載'!L38="HEV GR SPORT",'中古車掲載'!J38=2023,ISNUMBER('中古車掲載'!N38),'中古車掲載'!N38&gt;=20000,'中古車掲載'!O38&lt;=100000,'中古車掲載'!AL38=1,'中古車掲載'!Z38="https://www.one2car.com/en/cars-for-sale/toyota/corolla-cross/year-2023"),'中古車掲載'!U38,"")</x:f>
      </x:c>
      <x:c r="BH37" s="3" t="str">
        <x:f>IF(AND('中古車掲載'!C38="One2car",'中古車掲載'!F38="DOLPHIN",'中古車掲載'!L38="STANDARD RANGE",'中古車掲載'!J38=2023,ISNUMBER('中古車掲載'!N38),'中古車掲載'!N38&gt;=20000,'中古車掲載'!O38&lt;=100000,'中古車掲載'!AL38=1),'中古車掲載'!U38,"")</x:f>
      </x:c>
      <x:c r="BI37" s="3" t="str">
        <x:v>One2car|Corolla Cross|HEV|Bangkok metro</x:v>
      </x:c>
      <x:c r="BJ37" s="3" t="n">
        <x:v>38</x:v>
      </x:c>
      <x:c r="BK37" s="3" t="n">
        <x:f>'中古車掲載'!AM38</x:f>
        <x:v>595000</x:v>
      </x:c>
      <x:c r="BL37" s="3" t="str">
        <x:f>IF(ISNUMBER('中古車掲載'!AN38),'中古車掲載'!AN38,"")</x:f>
      </x:c>
      <x:c r="BM37" s="3" t="str">
        <x:v>2020|Smart cab</x:v>
      </x:c>
      <x:c r="BN37" s="3" t="n">
        <x:v>669</x:v>
      </x:c>
      <x:c r="BO37" s="3" t="n">
        <x:f>'中古車掲載'!AM669</x:f>
        <x:v>398000</x:v>
      </x:c>
      <x:c r="BP37" s="3" t="str">
        <x:v>2.4 J PLUS Z EDITION SMART CAB</x:v>
      </x:c>
      <x:c r="BQ37" s="3"/>
      <x:c r="BR37" s="3"/>
    </x:row>
    <x:row r="38" ht="22" customHeight="1">
      <x:c r="A38" s="3" t="str">
        <x:v>bZ4X</x:v>
      </x:c>
      <x:c r="B38" s="3" t="str">
        <x:v>BEV</x:v>
      </x:c>
      <x:c r="C38" s="3" t="str">
        <x:v>Taladrod</x:v>
      </x:c>
      <x:c r="D38" s="22" t="n">
        <x:f>COUNT('中古車掲載'!AM1140:AM1140)</x:f>
        <x:v>1</x:v>
      </x:c>
      <x:c r="E38" s="22" t="n">
        <x:f>IF(COUNT('中古車掲載'!AM1140:AM1140)=0,"",QUARTILE('中古車掲載'!AM1140:AM1140,1))</x:f>
        <x:v>980000</x:v>
      </x:c>
      <x:c r="F38" s="22" t="n">
        <x:f>IF(COUNT('中古車掲載'!AM1140:AM1140)=0,"",MEDIAN('中古車掲載'!AM1140:AM1140))</x:f>
        <x:v>980000</x:v>
      </x:c>
      <x:c r="G38" s="22" t="n">
        <x:f>IF(COUNT('中古車掲載'!AM1140:AM1140)=0,"",QUARTILE('中古車掲載'!AM1140:AM1140,3))</x:f>
        <x:v>980000</x:v>
      </x:c>
      <x:c r="H38" s="22" t="n">
        <x:f>COUNT('中古車掲載'!AN1140:AN1140)</x:f>
        <x:v>0</x:v>
      </x:c>
      <x:c r="I38" s="23" t="str">
        <x:f>IF(COUNT('中古車掲載'!AN1140:AN1140)=0,"",MEDIAN('中古車掲載'!AN1140:AN1140))</x:f>
      </x:c>
      <x:c r="J38" s="3" t="n">
        <x:f>COUNT('中古車掲載'!N1140:N1140)</x:f>
        <x:v>0</x:v>
      </x:c>
      <x:c r="K38" s="3"/>
      <x:c r="L38" s="3"/>
      <x:c r="M38" s="3"/>
      <x:c r="N38" s="3"/>
      <x:c r="O38" s="3"/>
      <x:c r="P38" s="3"/>
      <x:c r="Q38" s="3"/>
      <x:c r="R38" s="3" t="str">
        <x:v>Taladrod</x:v>
      </x:c>
      <x:c r="S38" s="3" t="str">
        <x:v>SEAL</x:v>
      </x:c>
      <x:c r="T38" s="3" t="str">
        <x:v>BEV</x:v>
      </x:c>
      <x:c r="U38" s="3" t="str">
        <x:v>Unknown</x:v>
      </x:c>
      <x:c r="V38" s="22" t="n">
        <x:f>COUNT(BK923:BK925)</x:f>
        <x:v>3</x:v>
      </x:c>
      <x:c r="W38" s="22" t="n">
        <x:f>IF(COUNT(BK923:BK925)=0,"",QUARTILE(BK923:BK925,1))</x:f>
        <x:v>679000</x:v>
      </x:c>
      <x:c r="X38" s="22" t="n">
        <x:f>IF(COUNT(BK923:BK925)=0,"",MEDIAN(BK923:BK925))</x:f>
        <x:v>699000</x:v>
      </x:c>
      <x:c r="Y38" s="22" t="n">
        <x:f>IF(COUNT(BK923:BK925)=0,"",QUARTILE(BK923:BK925,3))</x:f>
        <x:v>749000</x:v>
      </x:c>
      <x:c r="Z38" s="3"/>
      <x:c r="AA38" s="3" t="str">
        <x:v>1年式差</x:v>
      </x:c>
      <x:c r="AB38" s="3" t="n">
        <x:f>IF(E140&gt;=3,G140,NA())</x:f>
        <x:v>414000</x:v>
      </x:c>
      <x:c r="AC38" s="3" t="n">
        <x:f>IF(E174&gt;=3,G174,NA())</x:f>
        <x:v>484000</x:v>
      </x:c>
      <x:c r="AD38" s="3"/>
      <x:c r="AE38" s="3"/>
      <x:c r="AF38" s="3"/>
      <x:c r="AG38" s="3"/>
      <x:c r="AH38" s="3"/>
      <x:c r="AI38" s="3"/>
      <x:c r="AJ38" s="3"/>
      <x:c r="AK38" s="3"/>
      <x:c r="AL38" s="3"/>
      <x:c r="AM38" s="3"/>
      <x:c r="AN38" s="3"/>
      <x:c r="AO38" s="3"/>
      <x:c r="AP38" s="3"/>
      <x:c r="AQ38" s="3"/>
      <x:c r="AR38" s="3"/>
      <x:c r="AS38" s="3"/>
      <x:c r="AT38" s="3"/>
      <x:c r="AU38" s="3"/>
      <x:c r="AV38" s="3"/>
      <x:c r="AW38" s="3"/>
      <x:c r="AX38" s="3"/>
      <x:c r="AY38" s="3"/>
      <x:c r="AZ38" s="3" t="str">
        <x:f>IF(AND('中古車掲載'!C39="One2car",'中古車掲載'!F39="ATTO 3",'中古車掲載'!L39="EXTENDED RANGE",'中古車掲載'!J39=2023,ISNUMBER('中古車掲載'!N39),'中古車掲載'!N39&gt;=20000,'中古車掲載'!O39&lt;=100000,'中古車掲載'!AL39=1),'中古車掲載'!U39,"")</x:f>
      </x:c>
      <x:c r="BA38" s="3" t="str">
        <x:f>IF(AND('中古車掲載'!C39="One2car",'中古車掲載'!F39="Corolla Cross",'中古車掲載'!L39="HEV PREMIUM SAFETY",'中古車掲載'!J39=2023,ISNUMBER('中古車掲載'!N39),'中古車掲載'!N39&gt;=20000,'中古車掲載'!O39&lt;=100000,'中古車掲載'!AL39=1,'中古車掲載'!Z39="https://www.one2car.com/en/cars-for-sale/toyota/corolla-cross/year-2023"),'中古車掲載'!U39,"")</x:f>
      </x:c>
      <x:c r="BB38" s="3" t="str">
        <x:f>IF(AND('中古車掲載'!C39="One2car",'中古車掲載'!F39="ATTO 3",'中古車掲載'!L39="EXTENDED RANGE",'中古車掲載'!J39=2023,ISNUMBER('中古車掲載'!N39),'中古車掲載'!N39&gt;=50000,'中古車掲載'!O39&lt;=100000,'中古車掲載'!AL39=1),'中古車掲載'!U39,"")</x:f>
      </x:c>
      <x:c r="BC38" s="3" t="str">
        <x:f>IF(AND('中古車掲載'!C39="One2car",'中古車掲載'!F39="Corolla Cross",'中古車掲載'!L39="HEV PREMIUM SAFETY",'中古車掲載'!J39=2023,ISNUMBER('中古車掲載'!N39),'中古車掲載'!N39&gt;=50000,'中古車掲載'!O39&lt;=100000,'中古車掲載'!AL39=1,'中古車掲載'!Z39="https://www.one2car.com/en/cars-for-sale/toyota/corolla-cross/year-2023"),'中古車掲載'!U39,"")</x:f>
      </x:c>
      <x:c r="BD38" s="3" t="str">
        <x:f>IF(AND('中古車掲載'!C39="One2car",'中古車掲載'!F39="ATTO 3",'中古車掲載'!L39="EXTENDED RANGE",'中古車掲載'!J39=2023,ISNUMBER('中古車掲載'!N39),'中古車掲載'!N39&gt;=20000,'中古車掲載'!O39&lt;=50000,'中古車掲載'!AL39=1),'中古車掲載'!U39,"")</x:f>
      </x:c>
      <x:c r="BE38" s="3" t="str">
        <x:f>IF(AND('中古車掲載'!C39="One2car",'中古車掲載'!F39="Corolla Cross",'中古車掲載'!L39="HEV PREMIUM SAFETY",'中古車掲載'!J39=2023,ISNUMBER('中古車掲載'!N39),'中古車掲載'!N39&gt;=20000,'中古車掲載'!O39&lt;=50000,'中古車掲載'!AL39=1,'中古車掲載'!Z39="https://www.one2car.com/en/cars-for-sale/toyota/corolla-cross/year-2023"),'中古車掲載'!U39,"")</x:f>
      </x:c>
      <x:c r="BF38" s="3" t="str">
        <x:f>IF(AND('中古車掲載'!C39="One2car",'中古車掲載'!F39="Corolla Cross",'中古車掲載'!L39="HEV PREMIUM",'中古車掲載'!J39=2023,ISNUMBER('中古車掲載'!N39),'中古車掲載'!N39&gt;=20000,'中古車掲載'!O39&lt;=100000,'中古車掲載'!AL39=1,'中古車掲載'!Z39="https://www.one2car.com/en/cars-for-sale/toyota/corolla-cross/year-2023"),'中古車掲載'!U39,"")</x:f>
      </x:c>
      <x:c r="BG38" s="3" t="str">
        <x:f>IF(AND('中古車掲載'!C39="One2car",'中古車掲載'!F39="Corolla Cross",'中古車掲載'!L39="HEV GR SPORT",'中古車掲載'!J39=2023,ISNUMBER('中古車掲載'!N39),'中古車掲載'!N39&gt;=20000,'中古車掲載'!O39&lt;=100000,'中古車掲載'!AL39=1,'中古車掲載'!Z39="https://www.one2car.com/en/cars-for-sale/toyota/corolla-cross/year-2023"),'中古車掲載'!U39,"")</x:f>
      </x:c>
      <x:c r="BH38" s="3" t="str">
        <x:f>IF(AND('中古車掲載'!C39="One2car",'中古車掲載'!F39="DOLPHIN",'中古車掲載'!L39="STANDARD RANGE",'中古車掲載'!J39=2023,ISNUMBER('中古車掲載'!N39),'中古車掲載'!N39&gt;=20000,'中古車掲載'!O39&lt;=100000,'中古車掲載'!AL39=1),'中古車掲載'!U39,"")</x:f>
      </x:c>
      <x:c r="BI38" s="3" t="str">
        <x:v>One2car|Corolla Cross|HEV|Bangkok metro</x:v>
      </x:c>
      <x:c r="BJ38" s="3" t="n">
        <x:v>39</x:v>
      </x:c>
      <x:c r="BK38" s="3" t="n">
        <x:f>'中古車掲載'!AM39</x:f>
        <x:v>565000</x:v>
      </x:c>
      <x:c r="BL38" s="3" t="str">
        <x:f>IF(ISNUMBER('中古車掲載'!AN39),'中古車掲載'!AN39,"")</x:f>
      </x:c>
      <x:c r="BM38" s="3" t="str">
        <x:v>2020|Smart cab</x:v>
      </x:c>
      <x:c r="BN38" s="3" t="n">
        <x:v>670</x:v>
      </x:c>
      <x:c r="BO38" s="3" t="n">
        <x:f>'中古車掲載'!AM670</x:f>
        <x:v>328000</x:v>
      </x:c>
      <x:c r="BP38" s="3" t="str">
        <x:v>2.4 J PLUS Z EDITION SMART CAB</x:v>
      </x:c>
      <x:c r="BQ38" s="3"/>
      <x:c r="BR38" s="3"/>
    </x:row>
    <x:row r="39" ht="22" customHeight="1">
      <x:c r="A39" s="3"/>
      <x:c r="B39" s="3"/>
      <x:c r="C39" s="3"/>
      <x:c r="D39" s="3"/>
      <x:c r="E39" s="3"/>
      <x:c r="F39" s="3"/>
      <x:c r="G39" s="3"/>
      <x:c r="H39" s="3"/>
      <x:c r="I39" s="3"/>
      <x:c r="J39" s="3"/>
      <x:c r="K39" s="3"/>
      <x:c r="L39" s="3"/>
      <x:c r="M39" s="3"/>
      <x:c r="N39" s="3"/>
      <x:c r="O39" s="3"/>
      <x:c r="P39" s="3"/>
      <x:c r="Q39" s="3"/>
      <x:c r="R39" s="3" t="str">
        <x:v>Taladrod</x:v>
      </x:c>
      <x:c r="S39" s="3" t="str">
        <x:v>SEAL 5</x:v>
      </x:c>
      <x:c r="T39" s="3" t="str">
        <x:v>PHEV</x:v>
      </x:c>
      <x:c r="U39" s="3" t="str">
        <x:v>Unknown</x:v>
      </x:c>
      <x:c r="V39" s="22" t="n">
        <x:f>COUNT(BK926:BK927)</x:f>
        <x:v>0</x:v>
      </x:c>
      <x:c r="W39" s="22" t="str">
        <x:f>IF(COUNT(BK926:BK927)=0,"",QUARTILE(BK926:BK927,1))</x:f>
      </x:c>
      <x:c r="X39" s="22" t="str">
        <x:f>IF(COUNT(BK926:BK927)=0,"",MEDIAN(BK926:BK927))</x:f>
      </x:c>
      <x:c r="Y39" s="22" t="str">
        <x:f>IF(COUNT(BK926:BK927)=0,"",QUARTILE(BK926:BK927,3))</x:f>
      </x:c>
      <x:c r="Z39" s="3"/>
      <x:c r="AA39" s="3" t="str">
        <x:v>2年式差</x:v>
      </x:c>
      <x:c r="AB39" s="3" t="n">
        <x:f>IF(E139&gt;=3,G139,NA())</x:f>
        <x:v>344000</x:v>
      </x:c>
      <x:c r="AC39" s="3" t="n">
        <x:f>IF(E173&gt;=3,G173,NA())</x:f>
        <x:v>475000</x:v>
      </x:c>
      <x:c r="AD39" s="3"/>
      <x:c r="AE39" s="3"/>
      <x:c r="AF39" s="3"/>
      <x:c r="AG39" s="3"/>
      <x:c r="AH39" s="3"/>
      <x:c r="AI39" s="3"/>
      <x:c r="AJ39" s="3"/>
      <x:c r="AK39" s="3"/>
      <x:c r="AL39" s="3"/>
      <x:c r="AM39" s="3"/>
      <x:c r="AN39" s="3"/>
      <x:c r="AO39" s="3"/>
      <x:c r="AP39" s="3"/>
      <x:c r="AQ39" s="3"/>
      <x:c r="AR39" s="3"/>
      <x:c r="AS39" s="3"/>
      <x:c r="AT39" s="3"/>
      <x:c r="AU39" s="3"/>
      <x:c r="AV39" s="3"/>
      <x:c r="AW39" s="3"/>
      <x:c r="AX39" s="3"/>
      <x:c r="AY39" s="3"/>
      <x:c r="AZ39" s="3" t="str">
        <x:f>IF(AND('中古車掲載'!C40="One2car",'中古車掲載'!F40="ATTO 3",'中古車掲載'!L40="EXTENDED RANGE",'中古車掲載'!J40=2023,ISNUMBER('中古車掲載'!N40),'中古車掲載'!N40&gt;=20000,'中古車掲載'!O40&lt;=100000,'中古車掲載'!AL40=1),'中古車掲載'!U40,"")</x:f>
      </x:c>
      <x:c r="BA39" s="3" t="str">
        <x:f>IF(AND('中古車掲載'!C40="One2car",'中古車掲載'!F40="Corolla Cross",'中古車掲載'!L40="HEV PREMIUM SAFETY",'中古車掲載'!J40=2023,ISNUMBER('中古車掲載'!N40),'中古車掲載'!N40&gt;=20000,'中古車掲載'!O40&lt;=100000,'中古車掲載'!AL40=1,'中古車掲載'!Z40="https://www.one2car.com/en/cars-for-sale/toyota/corolla-cross/year-2023"),'中古車掲載'!U40,"")</x:f>
      </x:c>
      <x:c r="BB39" s="3" t="str">
        <x:f>IF(AND('中古車掲載'!C40="One2car",'中古車掲載'!F40="ATTO 3",'中古車掲載'!L40="EXTENDED RANGE",'中古車掲載'!J40=2023,ISNUMBER('中古車掲載'!N40),'中古車掲載'!N40&gt;=50000,'中古車掲載'!O40&lt;=100000,'中古車掲載'!AL40=1),'中古車掲載'!U40,"")</x:f>
      </x:c>
      <x:c r="BC39" s="3" t="str">
        <x:f>IF(AND('中古車掲載'!C40="One2car",'中古車掲載'!F40="Corolla Cross",'中古車掲載'!L40="HEV PREMIUM SAFETY",'中古車掲載'!J40=2023,ISNUMBER('中古車掲載'!N40),'中古車掲載'!N40&gt;=50000,'中古車掲載'!O40&lt;=100000,'中古車掲載'!AL40=1,'中古車掲載'!Z40="https://www.one2car.com/en/cars-for-sale/toyota/corolla-cross/year-2023"),'中古車掲載'!U40,"")</x:f>
      </x:c>
      <x:c r="BD39" s="3" t="str">
        <x:f>IF(AND('中古車掲載'!C40="One2car",'中古車掲載'!F40="ATTO 3",'中古車掲載'!L40="EXTENDED RANGE",'中古車掲載'!J40=2023,ISNUMBER('中古車掲載'!N40),'中古車掲載'!N40&gt;=20000,'中古車掲載'!O40&lt;=50000,'中古車掲載'!AL40=1),'中古車掲載'!U40,"")</x:f>
      </x:c>
      <x:c r="BE39" s="3" t="str">
        <x:f>IF(AND('中古車掲載'!C40="One2car",'中古車掲載'!F40="Corolla Cross",'中古車掲載'!L40="HEV PREMIUM SAFETY",'中古車掲載'!J40=2023,ISNUMBER('中古車掲載'!N40),'中古車掲載'!N40&gt;=20000,'中古車掲載'!O40&lt;=50000,'中古車掲載'!AL40=1,'中古車掲載'!Z40="https://www.one2car.com/en/cars-for-sale/toyota/corolla-cross/year-2023"),'中古車掲載'!U40,"")</x:f>
      </x:c>
      <x:c r="BF39" s="3" t="str">
        <x:f>IF(AND('中古車掲載'!C40="One2car",'中古車掲載'!F40="Corolla Cross",'中古車掲載'!L40="HEV PREMIUM",'中古車掲載'!J40=2023,ISNUMBER('中古車掲載'!N40),'中古車掲載'!N40&gt;=20000,'中古車掲載'!O40&lt;=100000,'中古車掲載'!AL40=1,'中古車掲載'!Z40="https://www.one2car.com/en/cars-for-sale/toyota/corolla-cross/year-2023"),'中古車掲載'!U40,"")</x:f>
      </x:c>
      <x:c r="BG39" s="3" t="str">
        <x:f>IF(AND('中古車掲載'!C40="One2car",'中古車掲載'!F40="Corolla Cross",'中古車掲載'!L40="HEV GR SPORT",'中古車掲載'!J40=2023,ISNUMBER('中古車掲載'!N40),'中古車掲載'!N40&gt;=20000,'中古車掲載'!O40&lt;=100000,'中古車掲載'!AL40=1,'中古車掲載'!Z40="https://www.one2car.com/en/cars-for-sale/toyota/corolla-cross/year-2023"),'中古車掲載'!U40,"")</x:f>
      </x:c>
      <x:c r="BH39" s="3" t="str">
        <x:f>IF(AND('中古車掲載'!C40="One2car",'中古車掲載'!F40="DOLPHIN",'中古車掲載'!L40="STANDARD RANGE",'中古車掲載'!J40=2023,ISNUMBER('中古車掲載'!N40),'中古車掲載'!N40&gt;=20000,'中古車掲載'!O40&lt;=100000,'中古車掲載'!AL40=1),'中古車掲載'!U40,"")</x:f>
      </x:c>
      <x:c r="BI39" s="3" t="str">
        <x:v>One2car|Corolla Cross|HEV|Bangkok metro</x:v>
      </x:c>
      <x:c r="BJ39" s="3" t="n">
        <x:v>40</x:v>
      </x:c>
      <x:c r="BK39" s="3" t="n">
        <x:f>'中古車掲載'!AM40</x:f>
        <x:v>698000</x:v>
      </x:c>
      <x:c r="BL39" s="3" t="str">
        <x:f>IF(ISNUMBER('中古車掲載'!AN40),'中古車掲載'!AN40,"")</x:f>
      </x:c>
      <x:c r="BM39" s="3" t="str">
        <x:v>2020|Smart cab</x:v>
      </x:c>
      <x:c r="BN39" s="3" t="n">
        <x:v>671</x:v>
      </x:c>
      <x:c r="BO39" s="3" t="n">
        <x:f>'中古車掲載'!AM671</x:f>
        <x:v>349000</x:v>
      </x:c>
      <x:c r="BP39" s="3" t="str">
        <x:v>2.4 J PLUS Z EDITION SMART CAB</x:v>
      </x:c>
      <x:c r="BQ39" s="3"/>
      <x:c r="BR39" s="3"/>
    </x:row>
    <x:row r="40" ht="22" customHeight="1">
      <x:c r="A40" s="3"/>
      <x:c r="B40" s="3"/>
      <x:c r="C40" s="3"/>
      <x:c r="D40" s="3"/>
      <x:c r="E40" s="3"/>
      <x:c r="F40" s="3"/>
      <x:c r="G40" s="3"/>
      <x:c r="H40" s="3"/>
      <x:c r="I40" s="3"/>
      <x:c r="J40" s="3"/>
      <x:c r="K40" s="3"/>
      <x:c r="L40" s="3"/>
      <x:c r="M40" s="3"/>
      <x:c r="N40" s="3"/>
      <x:c r="O40" s="3"/>
      <x:c r="P40" s="3"/>
      <x:c r="Q40" s="3"/>
      <x:c r="R40" s="3" t="str">
        <x:v>Taladrod</x:v>
      </x:c>
      <x:c r="S40" s="3" t="str">
        <x:v>SEALION 6</x:v>
      </x:c>
      <x:c r="T40" s="3" t="str">
        <x:v>PHEV</x:v>
      </x:c>
      <x:c r="U40" s="3" t="str">
        <x:v>Unknown</x:v>
      </x:c>
      <x:c r="V40" s="22" t="n">
        <x:f>COUNT(BK928:BK932)</x:f>
        <x:v>5</x:v>
      </x:c>
      <x:c r="W40" s="22" t="n">
        <x:f>IF(COUNT(BK928:BK932)=0,"",QUARTILE(BK928:BK932,1))</x:f>
        <x:v>729000</x:v>
      </x:c>
      <x:c r="X40" s="22" t="n">
        <x:f>IF(COUNT(BK928:BK932)=0,"",MEDIAN(BK928:BK932))</x:f>
        <x:v>790000</x:v>
      </x:c>
      <x:c r="Y40" s="22" t="n">
        <x:f>IF(COUNT(BK928:BK932)=0,"",QUARTILE(BK928:BK932,3))</x:f>
        <x:v>799000</x:v>
      </x:c>
      <x:c r="Z40" s="3"/>
      <x:c r="AA40" s="3" t="str">
        <x:v>3年式差</x:v>
      </x:c>
      <x:c r="AB40" s="3" t="n">
        <x:f>IF(E138&gt;=3,G138,NA())</x:f>
        <x:v>339000</x:v>
      </x:c>
      <x:c r="AC40" s="3" t="n">
        <x:f>IF(E172&gt;=3,G172,NA())</x:f>
        <x:v>459000</x:v>
      </x:c>
      <x:c r="AD40" s="3"/>
      <x:c r="AE40" s="3"/>
      <x:c r="AF40" s="3"/>
      <x:c r="AG40" s="3"/>
      <x:c r="AH40" s="3"/>
      <x:c r="AI40" s="3"/>
      <x:c r="AJ40" s="3"/>
      <x:c r="AK40" s="3"/>
      <x:c r="AL40" s="3"/>
      <x:c r="AM40" s="3"/>
      <x:c r="AN40" s="3"/>
      <x:c r="AO40" s="3"/>
      <x:c r="AP40" s="3"/>
      <x:c r="AQ40" s="3"/>
      <x:c r="AR40" s="3"/>
      <x:c r="AS40" s="3"/>
      <x:c r="AT40" s="3"/>
      <x:c r="AU40" s="3"/>
      <x:c r="AV40" s="3"/>
      <x:c r="AW40" s="3"/>
      <x:c r="AX40" s="3"/>
      <x:c r="AY40" s="3"/>
      <x:c r="AZ40" s="3" t="str">
        <x:f>IF(AND('中古車掲載'!C41="One2car",'中古車掲載'!F41="ATTO 3",'中古車掲載'!L41="EXTENDED RANGE",'中古車掲載'!J41=2023,ISNUMBER('中古車掲載'!N41),'中古車掲載'!N41&gt;=20000,'中古車掲載'!O41&lt;=100000,'中古車掲載'!AL41=1),'中古車掲載'!U41,"")</x:f>
      </x:c>
      <x:c r="BA40" s="3" t="str">
        <x:f>IF(AND('中古車掲載'!C41="One2car",'中古車掲載'!F41="Corolla Cross",'中古車掲載'!L41="HEV PREMIUM SAFETY",'中古車掲載'!J41=2023,ISNUMBER('中古車掲載'!N41),'中古車掲載'!N41&gt;=20000,'中古車掲載'!O41&lt;=100000,'中古車掲載'!AL41=1,'中古車掲載'!Z41="https://www.one2car.com/en/cars-for-sale/toyota/corolla-cross/year-2023"),'中古車掲載'!U41,"")</x:f>
      </x:c>
      <x:c r="BB40" s="3" t="str">
        <x:f>IF(AND('中古車掲載'!C41="One2car",'中古車掲載'!F41="ATTO 3",'中古車掲載'!L41="EXTENDED RANGE",'中古車掲載'!J41=2023,ISNUMBER('中古車掲載'!N41),'中古車掲載'!N41&gt;=50000,'中古車掲載'!O41&lt;=100000,'中古車掲載'!AL41=1),'中古車掲載'!U41,"")</x:f>
      </x:c>
      <x:c r="BC40" s="3" t="str">
        <x:f>IF(AND('中古車掲載'!C41="One2car",'中古車掲載'!F41="Corolla Cross",'中古車掲載'!L41="HEV PREMIUM SAFETY",'中古車掲載'!J41=2023,ISNUMBER('中古車掲載'!N41),'中古車掲載'!N41&gt;=50000,'中古車掲載'!O41&lt;=100000,'中古車掲載'!AL41=1,'中古車掲載'!Z41="https://www.one2car.com/en/cars-for-sale/toyota/corolla-cross/year-2023"),'中古車掲載'!U41,"")</x:f>
      </x:c>
      <x:c r="BD40" s="3" t="str">
        <x:f>IF(AND('中古車掲載'!C41="One2car",'中古車掲載'!F41="ATTO 3",'中古車掲載'!L41="EXTENDED RANGE",'中古車掲載'!J41=2023,ISNUMBER('中古車掲載'!N41),'中古車掲載'!N41&gt;=20000,'中古車掲載'!O41&lt;=50000,'中古車掲載'!AL41=1),'中古車掲載'!U41,"")</x:f>
      </x:c>
      <x:c r="BE40" s="3" t="str">
        <x:f>IF(AND('中古車掲載'!C41="One2car",'中古車掲載'!F41="Corolla Cross",'中古車掲載'!L41="HEV PREMIUM SAFETY",'中古車掲載'!J41=2023,ISNUMBER('中古車掲載'!N41),'中古車掲載'!N41&gt;=20000,'中古車掲載'!O41&lt;=50000,'中古車掲載'!AL41=1,'中古車掲載'!Z41="https://www.one2car.com/en/cars-for-sale/toyota/corolla-cross/year-2023"),'中古車掲載'!U41,"")</x:f>
      </x:c>
      <x:c r="BF40" s="3" t="str">
        <x:f>IF(AND('中古車掲載'!C41="One2car",'中古車掲載'!F41="Corolla Cross",'中古車掲載'!L41="HEV PREMIUM",'中古車掲載'!J41=2023,ISNUMBER('中古車掲載'!N41),'中古車掲載'!N41&gt;=20000,'中古車掲載'!O41&lt;=100000,'中古車掲載'!AL41=1,'中古車掲載'!Z41="https://www.one2car.com/en/cars-for-sale/toyota/corolla-cross/year-2023"),'中古車掲載'!U41,"")</x:f>
      </x:c>
      <x:c r="BG40" s="3" t="str">
        <x:f>IF(AND('中古車掲載'!C41="One2car",'中古車掲載'!F41="Corolla Cross",'中古車掲載'!L41="HEV GR SPORT",'中古車掲載'!J41=2023,ISNUMBER('中古車掲載'!N41),'中古車掲載'!N41&gt;=20000,'中古車掲載'!O41&lt;=100000,'中古車掲載'!AL41=1,'中古車掲載'!Z41="https://www.one2car.com/en/cars-for-sale/toyota/corolla-cross/year-2023"),'中古車掲載'!U41,"")</x:f>
      </x:c>
      <x:c r="BH40" s="3" t="str">
        <x:f>IF(AND('中古車掲載'!C41="One2car",'中古車掲載'!F41="DOLPHIN",'中古車掲載'!L41="STANDARD RANGE",'中古車掲載'!J41=2023,ISNUMBER('中古車掲載'!N41),'中古車掲載'!N41&gt;=20000,'中古車掲載'!O41&lt;=100000,'中古車掲載'!AL41=1),'中古車掲載'!U41,"")</x:f>
      </x:c>
      <x:c r="BI40" s="3" t="str">
        <x:v>One2car|Corolla Cross|HEV|Bangkok metro</x:v>
      </x:c>
      <x:c r="BJ40" s="3" t="n">
        <x:v>41</x:v>
      </x:c>
      <x:c r="BK40" s="3" t="n">
        <x:f>'中古車掲載'!AM41</x:f>
        <x:v>569000</x:v>
      </x:c>
      <x:c r="BL40" s="3" t="str">
        <x:f>IF(ISNUMBER('中古車掲載'!AN41),'中古車掲載'!AN41,"")</x:f>
      </x:c>
      <x:c r="BM40" s="3" t="str">
        <x:v>2020|Smart cab</x:v>
      </x:c>
      <x:c r="BN40" s="3" t="n">
        <x:v>675</x:v>
      </x:c>
      <x:c r="BO40" s="3" t="n">
        <x:f>'中古車掲載'!AM675</x:f>
        <x:v>499000</x:v>
      </x:c>
      <x:c r="BP40" s="3" t="str">
        <x:v>2.4 MID PRERUNNER SMART CAB</x:v>
      </x:c>
      <x:c r="BQ40" s="3"/>
      <x:c r="BR40" s="3"/>
    </x:row>
    <x:row r="41" ht="22" customHeight="1">
      <x:c r="A41" s="3"/>
      <x:c r="B41" s="3"/>
      <x:c r="C41" s="3"/>
      <x:c r="D41" s="3"/>
      <x:c r="E41" s="3"/>
      <x:c r="F41" s="3"/>
      <x:c r="G41" s="3"/>
      <x:c r="H41" s="3"/>
      <x:c r="I41" s="3"/>
      <x:c r="J41" s="3"/>
      <x:c r="K41" s="3"/>
      <x:c r="L41" s="3"/>
      <x:c r="M41" s="3"/>
      <x:c r="N41" s="3"/>
      <x:c r="O41" s="3"/>
      <x:c r="P41" s="3"/>
      <x:c r="Q41" s="3"/>
      <x:c r="R41" s="3" t="str">
        <x:v>Taladrod</x:v>
      </x:c>
      <x:c r="S41" s="3" t="str">
        <x:v>SEALION 7</x:v>
      </x:c>
      <x:c r="T41" s="3" t="str">
        <x:v>BEV</x:v>
      </x:c>
      <x:c r="U41" s="3" t="str">
        <x:v>Unknown</x:v>
      </x:c>
      <x:c r="V41" s="22" t="n">
        <x:f>COUNT(BK933:BK936)</x:f>
        <x:v>3</x:v>
      </x:c>
      <x:c r="W41" s="22" t="n">
        <x:f>IF(COUNT(BK933:BK936)=0,"",QUARTILE(BK933:BK936,1))</x:f>
        <x:v>938500</x:v>
      </x:c>
      <x:c r="X41" s="22" t="n">
        <x:f>IF(COUNT(BK933:BK936)=0,"",MEDIAN(BK933:BK936))</x:f>
        <x:v>939000</x:v>
      </x:c>
      <x:c r="Y41" s="22" t="n">
        <x:f>IF(COUNT(BK933:BK936)=0,"",QUARTILE(BK933:BK936,3))</x:f>
        <x:v>969000</x:v>
      </x:c>
      <x:c r="Z41" s="3"/>
      <x:c r="AA41" s="3" t="str">
        <x:v>4年式差</x:v>
      </x:c>
      <x:c r="AB41" s="3" t="e">
        <x:f>NA()</x:f>
        <x:v>#N/A</x:v>
      </x:c>
      <x:c r="AC41" s="3" t="n">
        <x:f>IF(E171&gt;=3,G171,NA())</x:f>
        <x:v>379000</x:v>
      </x:c>
      <x:c r="AD41" s="3"/>
      <x:c r="AE41" s="3"/>
      <x:c r="AF41" s="3"/>
      <x:c r="AG41" s="3"/>
      <x:c r="AH41" s="3"/>
      <x:c r="AI41" s="3"/>
      <x:c r="AJ41" s="3"/>
      <x:c r="AK41" s="3"/>
      <x:c r="AL41" s="3"/>
      <x:c r="AM41" s="3"/>
      <x:c r="AN41" s="3"/>
      <x:c r="AO41" s="3"/>
      <x:c r="AP41" s="3"/>
      <x:c r="AQ41" s="3"/>
      <x:c r="AR41" s="3"/>
      <x:c r="AS41" s="3"/>
      <x:c r="AT41" s="3"/>
      <x:c r="AU41" s="3"/>
      <x:c r="AV41" s="3"/>
      <x:c r="AW41" s="3"/>
      <x:c r="AX41" s="3"/>
      <x:c r="AY41" s="3"/>
      <x:c r="AZ41" s="3" t="str">
        <x:f>IF(AND('中古車掲載'!C42="One2car",'中古車掲載'!F42="ATTO 3",'中古車掲載'!L42="EXTENDED RANGE",'中古車掲載'!J42=2023,ISNUMBER('中古車掲載'!N42),'中古車掲載'!N42&gt;=20000,'中古車掲載'!O42&lt;=100000,'中古車掲載'!AL42=1),'中古車掲載'!U42,"")</x:f>
      </x:c>
      <x:c r="BA41" s="3" t="str">
        <x:f>IF(AND('中古車掲載'!C42="One2car",'中古車掲載'!F42="Corolla Cross",'中古車掲載'!L42="HEV PREMIUM SAFETY",'中古車掲載'!J42=2023,ISNUMBER('中古車掲載'!N42),'中古車掲載'!N42&gt;=20000,'中古車掲載'!O42&lt;=100000,'中古車掲載'!AL42=1,'中古車掲載'!Z42="https://www.one2car.com/en/cars-for-sale/toyota/corolla-cross/year-2023"),'中古車掲載'!U42,"")</x:f>
      </x:c>
      <x:c r="BB41" s="3" t="str">
        <x:f>IF(AND('中古車掲載'!C42="One2car",'中古車掲載'!F42="ATTO 3",'中古車掲載'!L42="EXTENDED RANGE",'中古車掲載'!J42=2023,ISNUMBER('中古車掲載'!N42),'中古車掲載'!N42&gt;=50000,'中古車掲載'!O42&lt;=100000,'中古車掲載'!AL42=1),'中古車掲載'!U42,"")</x:f>
      </x:c>
      <x:c r="BC41" s="3" t="str">
        <x:f>IF(AND('中古車掲載'!C42="One2car",'中古車掲載'!F42="Corolla Cross",'中古車掲載'!L42="HEV PREMIUM SAFETY",'中古車掲載'!J42=2023,ISNUMBER('中古車掲載'!N42),'中古車掲載'!N42&gt;=50000,'中古車掲載'!O42&lt;=100000,'中古車掲載'!AL42=1,'中古車掲載'!Z42="https://www.one2car.com/en/cars-for-sale/toyota/corolla-cross/year-2023"),'中古車掲載'!U42,"")</x:f>
      </x:c>
      <x:c r="BD41" s="3" t="str">
        <x:f>IF(AND('中古車掲載'!C42="One2car",'中古車掲載'!F42="ATTO 3",'中古車掲載'!L42="EXTENDED RANGE",'中古車掲載'!J42=2023,ISNUMBER('中古車掲載'!N42),'中古車掲載'!N42&gt;=20000,'中古車掲載'!O42&lt;=50000,'中古車掲載'!AL42=1),'中古車掲載'!U42,"")</x:f>
      </x:c>
      <x:c r="BE41" s="3" t="str">
        <x:f>IF(AND('中古車掲載'!C42="One2car",'中古車掲載'!F42="Corolla Cross",'中古車掲載'!L42="HEV PREMIUM SAFETY",'中古車掲載'!J42=2023,ISNUMBER('中古車掲載'!N42),'中古車掲載'!N42&gt;=20000,'中古車掲載'!O42&lt;=50000,'中古車掲載'!AL42=1,'中古車掲載'!Z42="https://www.one2car.com/en/cars-for-sale/toyota/corolla-cross/year-2023"),'中古車掲載'!U42,"")</x:f>
      </x:c>
      <x:c r="BF41" s="3" t="str">
        <x:f>IF(AND('中古車掲載'!C42="One2car",'中古車掲載'!F42="Corolla Cross",'中古車掲載'!L42="HEV PREMIUM",'中古車掲載'!J42=2023,ISNUMBER('中古車掲載'!N42),'中古車掲載'!N42&gt;=20000,'中古車掲載'!O42&lt;=100000,'中古車掲載'!AL42=1,'中古車掲載'!Z42="https://www.one2car.com/en/cars-for-sale/toyota/corolla-cross/year-2023"),'中古車掲載'!U42,"")</x:f>
      </x:c>
      <x:c r="BG41" s="3" t="str">
        <x:f>IF(AND('中古車掲載'!C42="One2car",'中古車掲載'!F42="Corolla Cross",'中古車掲載'!L42="HEV GR SPORT",'中古車掲載'!J42=2023,ISNUMBER('中古車掲載'!N42),'中古車掲載'!N42&gt;=20000,'中古車掲載'!O42&lt;=100000,'中古車掲載'!AL42=1,'中古車掲載'!Z42="https://www.one2car.com/en/cars-for-sale/toyota/corolla-cross/year-2023"),'中古車掲載'!U42,"")</x:f>
      </x:c>
      <x:c r="BH41" s="3" t="str">
        <x:f>IF(AND('中古車掲載'!C42="One2car",'中古車掲載'!F42="DOLPHIN",'中古車掲載'!L42="STANDARD RANGE",'中古車掲載'!J42=2023,ISNUMBER('中古車掲載'!N42),'中古車掲載'!N42&gt;=20000,'中古車掲載'!O42&lt;=100000,'中古車掲載'!AL42=1),'中古車掲載'!U42,"")</x:f>
      </x:c>
      <x:c r="BI41" s="3" t="str">
        <x:v>One2car|Corolla Cross|HEV|Bangkok metro</x:v>
      </x:c>
      <x:c r="BJ41" s="3" t="n">
        <x:v>42</x:v>
      </x:c>
      <x:c r="BK41" s="3" t="n">
        <x:f>'中古車掲載'!AM42</x:f>
        <x:v>584000</x:v>
      </x:c>
      <x:c r="BL41" s="3" t="str">
        <x:f>IF(ISNUMBER('中古車掲載'!AN42),'中古車掲載'!AN42,"")</x:f>
      </x:c>
      <x:c r="BM41" s="3" t="str">
        <x:v>2020|Smart cab</x:v>
      </x:c>
      <x:c r="BN41" s="3" t="n">
        <x:v>684</x:v>
      </x:c>
      <x:c r="BO41" s="3" t="n">
        <x:f>'中古車掲載'!AM684</x:f>
        <x:v>379000</x:v>
      </x:c>
      <x:c r="BP41" s="3" t="str">
        <x:v>2.4 MID Z EDITION SMART CAB</x:v>
      </x:c>
      <x:c r="BQ41" s="3"/>
      <x:c r="BR41" s="3"/>
    </x:row>
    <x:row r="42" ht="22" customHeight="1">
      <x:c r="A42" s="3"/>
      <x:c r="B42" s="3"/>
      <x:c r="C42" s="3"/>
      <x:c r="D42" s="3"/>
      <x:c r="E42" s="3"/>
      <x:c r="F42" s="3"/>
      <x:c r="G42" s="3"/>
      <x:c r="H42" s="3"/>
      <x:c r="I42" s="3"/>
      <x:c r="J42" s="3"/>
      <x:c r="K42" s="3"/>
      <x:c r="L42" s="3"/>
      <x:c r="M42" s="3"/>
      <x:c r="N42" s="3"/>
      <x:c r="O42" s="3"/>
      <x:c r="P42" s="3"/>
      <x:c r="Q42" s="3"/>
      <x:c r="R42" s="3" t="str">
        <x:v>Taladrod</x:v>
      </x:c>
      <x:c r="S42" s="3" t="str">
        <x:v>Yaris Ativ</x:v>
      </x:c>
      <x:c r="T42" s="3" t="str">
        <x:v>HEV</x:v>
      </x:c>
      <x:c r="U42" s="3" t="str">
        <x:v>Unknown</x:v>
      </x:c>
      <x:c r="V42" s="22" t="n">
        <x:f>COUNT(BK937:BK940)</x:f>
        <x:v>3</x:v>
      </x:c>
      <x:c r="W42" s="22" t="n">
        <x:f>IF(COUNT(BK937:BK940)=0,"",QUARTILE(BK937:BK940,1))</x:f>
        <x:v>657000</x:v>
      </x:c>
      <x:c r="X42" s="22" t="n">
        <x:f>IF(COUNT(BK937:BK940)=0,"",MEDIAN(BK937:BK940))</x:f>
        <x:v>690000</x:v>
      </x:c>
      <x:c r="Y42" s="22" t="n">
        <x:f>IF(COUNT(BK937:BK940)=0,"",QUARTILE(BK937:BK940,3))</x:f>
        <x:v>690000</x:v>
      </x:c>
      <x:c r="Z42" s="3"/>
      <x:c r="AA42" s="3" t="str">
        <x:v>5年式差</x:v>
      </x:c>
      <x:c r="AB42" s="3" t="e">
        <x:f>NA()</x:f>
        <x:v>#N/A</x:v>
      </x:c>
      <x:c r="AC42" s="3" t="n">
        <x:f>IF(E170&gt;=3,G170,NA())</x:f>
        <x:v>339000</x:v>
      </x:c>
      <x:c r="AD42" s="3"/>
      <x:c r="AE42" s="3"/>
      <x:c r="AF42" s="3"/>
      <x:c r="AG42" s="3"/>
      <x:c r="AH42" s="3"/>
      <x:c r="AI42" s="3"/>
      <x:c r="AJ42" s="3"/>
      <x:c r="AK42" s="3"/>
      <x:c r="AL42" s="3"/>
      <x:c r="AM42" s="3"/>
      <x:c r="AN42" s="3"/>
      <x:c r="AO42" s="3"/>
      <x:c r="AP42" s="3"/>
      <x:c r="AQ42" s="3"/>
      <x:c r="AR42" s="3"/>
      <x:c r="AS42" s="3"/>
      <x:c r="AT42" s="3"/>
      <x:c r="AU42" s="3"/>
      <x:c r="AV42" s="3"/>
      <x:c r="AW42" s="3"/>
      <x:c r="AX42" s="3"/>
      <x:c r="AY42" s="3"/>
      <x:c r="AZ42" s="3" t="str">
        <x:f>IF(AND('中古車掲載'!C43="One2car",'中古車掲載'!F43="ATTO 3",'中古車掲載'!L43="EXTENDED RANGE",'中古車掲載'!J43=2023,ISNUMBER('中古車掲載'!N43),'中古車掲載'!N43&gt;=20000,'中古車掲載'!O43&lt;=100000,'中古車掲載'!AL43=1),'中古車掲載'!U43,"")</x:f>
      </x:c>
      <x:c r="BA42" s="3" t="str">
        <x:f>IF(AND('中古車掲載'!C43="One2car",'中古車掲載'!F43="Corolla Cross",'中古車掲載'!L43="HEV PREMIUM SAFETY",'中古車掲載'!J43=2023,ISNUMBER('中古車掲載'!N43),'中古車掲載'!N43&gt;=20000,'中古車掲載'!O43&lt;=100000,'中古車掲載'!AL43=1,'中古車掲載'!Z43="https://www.one2car.com/en/cars-for-sale/toyota/corolla-cross/year-2023"),'中古車掲載'!U43,"")</x:f>
      </x:c>
      <x:c r="BB42" s="3" t="str">
        <x:f>IF(AND('中古車掲載'!C43="One2car",'中古車掲載'!F43="ATTO 3",'中古車掲載'!L43="EXTENDED RANGE",'中古車掲載'!J43=2023,ISNUMBER('中古車掲載'!N43),'中古車掲載'!N43&gt;=50000,'中古車掲載'!O43&lt;=100000,'中古車掲載'!AL43=1),'中古車掲載'!U43,"")</x:f>
      </x:c>
      <x:c r="BC42" s="3" t="str">
        <x:f>IF(AND('中古車掲載'!C43="One2car",'中古車掲載'!F43="Corolla Cross",'中古車掲載'!L43="HEV PREMIUM SAFETY",'中古車掲載'!J43=2023,ISNUMBER('中古車掲載'!N43),'中古車掲載'!N43&gt;=50000,'中古車掲載'!O43&lt;=100000,'中古車掲載'!AL43=1,'中古車掲載'!Z43="https://www.one2car.com/en/cars-for-sale/toyota/corolla-cross/year-2023"),'中古車掲載'!U43,"")</x:f>
      </x:c>
      <x:c r="BD42" s="3" t="str">
        <x:f>IF(AND('中古車掲載'!C43="One2car",'中古車掲載'!F43="ATTO 3",'中古車掲載'!L43="EXTENDED RANGE",'中古車掲載'!J43=2023,ISNUMBER('中古車掲載'!N43),'中古車掲載'!N43&gt;=20000,'中古車掲載'!O43&lt;=50000,'中古車掲載'!AL43=1),'中古車掲載'!U43,"")</x:f>
      </x:c>
      <x:c r="BE42" s="3" t="str">
        <x:f>IF(AND('中古車掲載'!C43="One2car",'中古車掲載'!F43="Corolla Cross",'中古車掲載'!L43="HEV PREMIUM SAFETY",'中古車掲載'!J43=2023,ISNUMBER('中古車掲載'!N43),'中古車掲載'!N43&gt;=20000,'中古車掲載'!O43&lt;=50000,'中古車掲載'!AL43=1,'中古車掲載'!Z43="https://www.one2car.com/en/cars-for-sale/toyota/corolla-cross/year-2023"),'中古車掲載'!U43,"")</x:f>
      </x:c>
      <x:c r="BF42" s="3" t="str">
        <x:f>IF(AND('中古車掲載'!C43="One2car",'中古車掲載'!F43="Corolla Cross",'中古車掲載'!L43="HEV PREMIUM",'中古車掲載'!J43=2023,ISNUMBER('中古車掲載'!N43),'中古車掲載'!N43&gt;=20000,'中古車掲載'!O43&lt;=100000,'中古車掲載'!AL43=1,'中古車掲載'!Z43="https://www.one2car.com/en/cars-for-sale/toyota/corolla-cross/year-2023"),'中古車掲載'!U43,"")</x:f>
      </x:c>
      <x:c r="BG42" s="3" t="str">
        <x:f>IF(AND('中古車掲載'!C43="One2car",'中古車掲載'!F43="Corolla Cross",'中古車掲載'!L43="HEV GR SPORT",'中古車掲載'!J43=2023,ISNUMBER('中古車掲載'!N43),'中古車掲載'!N43&gt;=20000,'中古車掲載'!O43&lt;=100000,'中古車掲載'!AL43=1,'中古車掲載'!Z43="https://www.one2car.com/en/cars-for-sale/toyota/corolla-cross/year-2023"),'中古車掲載'!U43,"")</x:f>
      </x:c>
      <x:c r="BH42" s="3" t="str">
        <x:f>IF(AND('中古車掲載'!C43="One2car",'中古車掲載'!F43="DOLPHIN",'中古車掲載'!L43="STANDARD RANGE",'中古車掲載'!J43=2023,ISNUMBER('中古車掲載'!N43),'中古車掲載'!N43&gt;=20000,'中古車掲載'!O43&lt;=100000,'中古車掲載'!AL43=1),'中古車掲載'!U43,"")</x:f>
      </x:c>
      <x:c r="BI42" s="3" t="str">
        <x:v>One2car|Corolla Cross|HEV|Bangkok metro</x:v>
      </x:c>
      <x:c r="BJ42" s="3" t="n">
        <x:v>43</x:v>
      </x:c>
      <x:c r="BK42" s="3" t="n">
        <x:f>'中古車掲載'!AM43</x:f>
        <x:v>579000</x:v>
      </x:c>
      <x:c r="BL42" s="3" t="str">
        <x:f>IF(ISNUMBER('中古車掲載'!AN43),'中古車掲載'!AN43,"")</x:f>
      </x:c>
      <x:c r="BM42" s="3" t="str">
        <x:v>2020|Smart cab</x:v>
      </x:c>
      <x:c r="BN42" s="3" t="n">
        <x:v>685</x:v>
      </x:c>
      <x:c r="BO42" s="3" t="n">
        <x:f>'中古車掲載'!AM685</x:f>
        <x:v>369000</x:v>
      </x:c>
      <x:c r="BP42" s="3" t="str">
        <x:v>2.4 MID Z EDITION SMART CAB</x:v>
      </x:c>
      <x:c r="BQ42" s="3"/>
      <x:c r="BR42" s="3"/>
    </x:row>
    <x:row r="43" ht="22" customHeight="1">
      <x:c r="A43" s="3"/>
      <x:c r="B43" s="3"/>
      <x:c r="C43" s="3"/>
      <x:c r="D43" s="3"/>
      <x:c r="E43" s="3"/>
      <x:c r="F43" s="3"/>
      <x:c r="G43" s="3"/>
      <x:c r="H43" s="3"/>
      <x:c r="I43" s="3"/>
      <x:c r="J43" s="3"/>
      <x:c r="K43" s="3"/>
      <x:c r="L43" s="3"/>
      <x:c r="M43" s="3"/>
      <x:c r="N43" s="3"/>
      <x:c r="O43" s="3"/>
      <x:c r="P43" s="3"/>
      <x:c r="Q43" s="3"/>
      <x:c r="R43" s="3" t="str">
        <x:v>Taladrod</x:v>
      </x:c>
      <x:c r="S43" s="3" t="str">
        <x:v>Yaris Ativ</x:v>
      </x:c>
      <x:c r="T43" s="3" t="str">
        <x:v>ICE</x:v>
      </x:c>
      <x:c r="U43" s="3" t="str">
        <x:v>Unknown</x:v>
      </x:c>
      <x:c r="V43" s="22" t="n">
        <x:f>COUNT(BK941:BK1094)</x:f>
        <x:v>151</x:v>
      </x:c>
      <x:c r="W43" s="22" t="n">
        <x:f>IF(COUNT(BK941:BK1094)=0,"",QUARTILE(BK941:BK1094,1))</x:f>
        <x:v>379000</x:v>
      </x:c>
      <x:c r="X43" s="22" t="n">
        <x:f>IF(COUNT(BK941:BK1094)=0,"",MEDIAN(BK941:BK1094))</x:f>
        <x:v>439000</x:v>
      </x:c>
      <x:c r="Y43" s="22" t="n">
        <x:f>IF(COUNT(BK941:BK1094)=0,"",QUARTILE(BK941:BK1094,3))</x:f>
        <x:v>479000</x:v>
      </x:c>
      <x:c r="Z43" s="3"/>
      <x:c r="AA43" s="3" t="str">
        <x:v>6年式差</x:v>
      </x:c>
      <x:c r="AB43" s="3" t="e">
        <x:f>NA()</x:f>
        <x:v>#N/A</x:v>
      </x:c>
      <x:c r="AC43" s="3" t="n">
        <x:f>IF(E169&gt;=3,G169,NA())</x:f>
        <x:v>350000</x:v>
      </x:c>
      <x:c r="AD43" s="3"/>
      <x:c r="AE43" s="3"/>
      <x:c r="AF43" s="3"/>
      <x:c r="AG43" s="3"/>
      <x:c r="AH43" s="3"/>
      <x:c r="AI43" s="3"/>
      <x:c r="AJ43" s="3"/>
      <x:c r="AK43" s="3"/>
      <x:c r="AL43" s="3"/>
      <x:c r="AM43" s="3"/>
      <x:c r="AN43" s="3"/>
      <x:c r="AO43" s="3"/>
      <x:c r="AP43" s="3"/>
      <x:c r="AQ43" s="3"/>
      <x:c r="AR43" s="3"/>
      <x:c r="AS43" s="3"/>
      <x:c r="AT43" s="3"/>
      <x:c r="AU43" s="3"/>
      <x:c r="AV43" s="3"/>
      <x:c r="AW43" s="3"/>
      <x:c r="AX43" s="3"/>
      <x:c r="AY43" s="3"/>
      <x:c r="AZ43" s="3" t="str">
        <x:f>IF(AND('中古車掲載'!C44="One2car",'中古車掲載'!F44="ATTO 3",'中古車掲載'!L44="EXTENDED RANGE",'中古車掲載'!J44=2023,ISNUMBER('中古車掲載'!N44),'中古車掲載'!N44&gt;=20000,'中古車掲載'!O44&lt;=100000,'中古車掲載'!AL44=1),'中古車掲載'!U44,"")</x:f>
      </x:c>
      <x:c r="BA43" s="3" t="str">
        <x:f>IF(AND('中古車掲載'!C44="One2car",'中古車掲載'!F44="Corolla Cross",'中古車掲載'!L44="HEV PREMIUM SAFETY",'中古車掲載'!J44=2023,ISNUMBER('中古車掲載'!N44),'中古車掲載'!N44&gt;=20000,'中古車掲載'!O44&lt;=100000,'中古車掲載'!AL44=1,'中古車掲載'!Z44="https://www.one2car.com/en/cars-for-sale/toyota/corolla-cross/year-2023"),'中古車掲載'!U44,"")</x:f>
      </x:c>
      <x:c r="BB43" s="3" t="str">
        <x:f>IF(AND('中古車掲載'!C44="One2car",'中古車掲載'!F44="ATTO 3",'中古車掲載'!L44="EXTENDED RANGE",'中古車掲載'!J44=2023,ISNUMBER('中古車掲載'!N44),'中古車掲載'!N44&gt;=50000,'中古車掲載'!O44&lt;=100000,'中古車掲載'!AL44=1),'中古車掲載'!U44,"")</x:f>
      </x:c>
      <x:c r="BC43" s="3" t="str">
        <x:f>IF(AND('中古車掲載'!C44="One2car",'中古車掲載'!F44="Corolla Cross",'中古車掲載'!L44="HEV PREMIUM SAFETY",'中古車掲載'!J44=2023,ISNUMBER('中古車掲載'!N44),'中古車掲載'!N44&gt;=50000,'中古車掲載'!O44&lt;=100000,'中古車掲載'!AL44=1,'中古車掲載'!Z44="https://www.one2car.com/en/cars-for-sale/toyota/corolla-cross/year-2023"),'中古車掲載'!U44,"")</x:f>
      </x:c>
      <x:c r="BD43" s="3" t="str">
        <x:f>IF(AND('中古車掲載'!C44="One2car",'中古車掲載'!F44="ATTO 3",'中古車掲載'!L44="EXTENDED RANGE",'中古車掲載'!J44=2023,ISNUMBER('中古車掲載'!N44),'中古車掲載'!N44&gt;=20000,'中古車掲載'!O44&lt;=50000,'中古車掲載'!AL44=1),'中古車掲載'!U44,"")</x:f>
      </x:c>
      <x:c r="BE43" s="3" t="str">
        <x:f>IF(AND('中古車掲載'!C44="One2car",'中古車掲載'!F44="Corolla Cross",'中古車掲載'!L44="HEV PREMIUM SAFETY",'中古車掲載'!J44=2023,ISNUMBER('中古車掲載'!N44),'中古車掲載'!N44&gt;=20000,'中古車掲載'!O44&lt;=50000,'中古車掲載'!AL44=1,'中古車掲載'!Z44="https://www.one2car.com/en/cars-for-sale/toyota/corolla-cross/year-2023"),'中古車掲載'!U44,"")</x:f>
      </x:c>
      <x:c r="BF43" s="3" t="str">
        <x:f>IF(AND('中古車掲載'!C44="One2car",'中古車掲載'!F44="Corolla Cross",'中古車掲載'!L44="HEV PREMIUM",'中古車掲載'!J44=2023,ISNUMBER('中古車掲載'!N44),'中古車掲載'!N44&gt;=20000,'中古車掲載'!O44&lt;=100000,'中古車掲載'!AL44=1,'中古車掲載'!Z44="https://www.one2car.com/en/cars-for-sale/toyota/corolla-cross/year-2023"),'中古車掲載'!U44,"")</x:f>
      </x:c>
      <x:c r="BG43" s="3" t="str">
        <x:f>IF(AND('中古車掲載'!C44="One2car",'中古車掲載'!F44="Corolla Cross",'中古車掲載'!L44="HEV GR SPORT",'中古車掲載'!J44=2023,ISNUMBER('中古車掲載'!N44),'中古車掲載'!N44&gt;=20000,'中古車掲載'!O44&lt;=100000,'中古車掲載'!AL44=1,'中古車掲載'!Z44="https://www.one2car.com/en/cars-for-sale/toyota/corolla-cross/year-2023"),'中古車掲載'!U44,"")</x:f>
      </x:c>
      <x:c r="BH43" s="3" t="str">
        <x:f>IF(AND('中古車掲載'!C44="One2car",'中古車掲載'!F44="DOLPHIN",'中古車掲載'!L44="STANDARD RANGE",'中古車掲載'!J44=2023,ISNUMBER('中古車掲載'!N44),'中古車掲載'!N44&gt;=20000,'中古車掲載'!O44&lt;=100000,'中古車掲載'!AL44=1),'中古車掲載'!U44,"")</x:f>
      </x:c>
      <x:c r="BI43" s="3" t="str">
        <x:v>One2car|Corolla Cross|HEV|Bangkok metro</x:v>
      </x:c>
      <x:c r="BJ43" s="3" t="n">
        <x:v>44</x:v>
      </x:c>
      <x:c r="BK43" s="3" t="n">
        <x:f>'中古車掲載'!AM44</x:f>
        <x:v>575000</x:v>
      </x:c>
      <x:c r="BL43" s="3" t="str">
        <x:f>IF(ISNUMBER('中古車掲載'!AN44),'中古車掲載'!AN44,"")</x:f>
      </x:c>
      <x:c r="BM43" s="3" t="str">
        <x:v>2020|Smart cab</x:v>
      </x:c>
      <x:c r="BN43" s="3" t="n">
        <x:v>686</x:v>
      </x:c>
      <x:c r="BO43" s="3" t="n">
        <x:f>'中古車掲載'!AM686</x:f>
        <x:v>379000</x:v>
      </x:c>
      <x:c r="BP43" s="3" t="str">
        <x:v>2.4 MID Z EDITION SMART CAB</x:v>
      </x:c>
      <x:c r="BQ43" s="3"/>
      <x:c r="BR43" s="3"/>
    </x:row>
    <x:row r="44" ht="22" customHeight="1">
      <x:c r="A44" s="3"/>
      <x:c r="B44" s="3"/>
      <x:c r="C44" s="3"/>
      <x:c r="D44" s="3"/>
      <x:c r="E44" s="3"/>
      <x:c r="F44" s="3"/>
      <x:c r="G44" s="3"/>
      <x:c r="H44" s="3"/>
      <x:c r="I44" s="3"/>
      <x:c r="J44" s="3"/>
      <x:c r="K44" s="3"/>
      <x:c r="L44" s="3"/>
      <x:c r="M44" s="3"/>
      <x:c r="N44" s="3"/>
      <x:c r="O44" s="3"/>
      <x:c r="P44" s="3"/>
      <x:c r="Q44" s="3"/>
      <x:c r="R44" s="3" t="str">
        <x:v>Taladrod</x:v>
      </x:c>
      <x:c r="S44" s="3" t="str">
        <x:v>Yaris Ativ</x:v>
      </x:c>
      <x:c r="T44" s="3" t="str">
        <x:v>不明</x:v>
      </x:c>
      <x:c r="U44" s="3" t="str">
        <x:v>Unknown</x:v>
      </x:c>
      <x:c r="V44" s="22" t="n">
        <x:f>COUNT(BK1095:BK1095)</x:f>
        <x:v>1</x:v>
      </x:c>
      <x:c r="W44" s="22" t="n">
        <x:f>IF(COUNT(BK1095:BK1095)=0,"",QUARTILE(BK1095:BK1095,1))</x:f>
        <x:v>390000</x:v>
      </x:c>
      <x:c r="X44" s="22" t="n">
        <x:f>IF(COUNT(BK1095:BK1095)=0,"",MEDIAN(BK1095:BK1095))</x:f>
        <x:v>390000</x:v>
      </x:c>
      <x:c r="Y44" s="22" t="n">
        <x:f>IF(COUNT(BK1095:BK1095)=0,"",QUARTILE(BK1095:BK1095,3))</x:f>
        <x:v>390000</x:v>
      </x:c>
      <x:c r="Z44" s="3"/>
      <x:c r="AA44" s="3"/>
      <x:c r="AB44" s="3"/>
      <x:c r="AC44" s="3"/>
      <x:c r="AD44" s="3"/>
      <x:c r="AE44" s="3"/>
      <x:c r="AF44" s="3"/>
      <x:c r="AG44" s="3"/>
      <x:c r="AH44" s="3"/>
      <x:c r="AI44" s="3"/>
      <x:c r="AJ44" s="3"/>
      <x:c r="AK44" s="3"/>
      <x:c r="AL44" s="3"/>
      <x:c r="AM44" s="3"/>
      <x:c r="AN44" s="3"/>
      <x:c r="AO44" s="3"/>
      <x:c r="AP44" s="3"/>
      <x:c r="AQ44" s="3"/>
      <x:c r="AR44" s="3"/>
      <x:c r="AS44" s="3"/>
      <x:c r="AT44" s="3"/>
      <x:c r="AU44" s="3"/>
      <x:c r="AV44" s="3"/>
      <x:c r="AW44" s="3"/>
      <x:c r="AX44" s="3"/>
      <x:c r="AY44" s="3"/>
      <x:c r="AZ44" s="3" t="str">
        <x:f>IF(AND('中古車掲載'!C45="One2car",'中古車掲載'!F45="ATTO 3",'中古車掲載'!L45="EXTENDED RANGE",'中古車掲載'!J45=2023,ISNUMBER('中古車掲載'!N45),'中古車掲載'!N45&gt;=20000,'中古車掲載'!O45&lt;=100000,'中古車掲載'!AL45=1),'中古車掲載'!U45,"")</x:f>
      </x:c>
      <x:c r="BA44" s="3" t="str">
        <x:f>IF(AND('中古車掲載'!C45="One2car",'中古車掲載'!F45="Corolla Cross",'中古車掲載'!L45="HEV PREMIUM SAFETY",'中古車掲載'!J45=2023,ISNUMBER('中古車掲載'!N45),'中古車掲載'!N45&gt;=20000,'中古車掲載'!O45&lt;=100000,'中古車掲載'!AL45=1,'中古車掲載'!Z45="https://www.one2car.com/en/cars-for-sale/toyota/corolla-cross/year-2023"),'中古車掲載'!U45,"")</x:f>
      </x:c>
      <x:c r="BB44" s="3" t="str">
        <x:f>IF(AND('中古車掲載'!C45="One2car",'中古車掲載'!F45="ATTO 3",'中古車掲載'!L45="EXTENDED RANGE",'中古車掲載'!J45=2023,ISNUMBER('中古車掲載'!N45),'中古車掲載'!N45&gt;=50000,'中古車掲載'!O45&lt;=100000,'中古車掲載'!AL45=1),'中古車掲載'!U45,"")</x:f>
      </x:c>
      <x:c r="BC44" s="3" t="str">
        <x:f>IF(AND('中古車掲載'!C45="One2car",'中古車掲載'!F45="Corolla Cross",'中古車掲載'!L45="HEV PREMIUM SAFETY",'中古車掲載'!J45=2023,ISNUMBER('中古車掲載'!N45),'中古車掲載'!N45&gt;=50000,'中古車掲載'!O45&lt;=100000,'中古車掲載'!AL45=1,'中古車掲載'!Z45="https://www.one2car.com/en/cars-for-sale/toyota/corolla-cross/year-2023"),'中古車掲載'!U45,"")</x:f>
      </x:c>
      <x:c r="BD44" s="3" t="str">
        <x:f>IF(AND('中古車掲載'!C45="One2car",'中古車掲載'!F45="ATTO 3",'中古車掲載'!L45="EXTENDED RANGE",'中古車掲載'!J45=2023,ISNUMBER('中古車掲載'!N45),'中古車掲載'!N45&gt;=20000,'中古車掲載'!O45&lt;=50000,'中古車掲載'!AL45=1),'中古車掲載'!U45,"")</x:f>
      </x:c>
      <x:c r="BE44" s="3" t="str">
        <x:f>IF(AND('中古車掲載'!C45="One2car",'中古車掲載'!F45="Corolla Cross",'中古車掲載'!L45="HEV PREMIUM SAFETY",'中古車掲載'!J45=2023,ISNUMBER('中古車掲載'!N45),'中古車掲載'!N45&gt;=20000,'中古車掲載'!O45&lt;=50000,'中古車掲載'!AL45=1,'中古車掲載'!Z45="https://www.one2car.com/en/cars-for-sale/toyota/corolla-cross/year-2023"),'中古車掲載'!U45,"")</x:f>
      </x:c>
      <x:c r="BF44" s="3" t="str">
        <x:f>IF(AND('中古車掲載'!C45="One2car",'中古車掲載'!F45="Corolla Cross",'中古車掲載'!L45="HEV PREMIUM",'中古車掲載'!J45=2023,ISNUMBER('中古車掲載'!N45),'中古車掲載'!N45&gt;=20000,'中古車掲載'!O45&lt;=100000,'中古車掲載'!AL45=1,'中古車掲載'!Z45="https://www.one2car.com/en/cars-for-sale/toyota/corolla-cross/year-2023"),'中古車掲載'!U45,"")</x:f>
      </x:c>
      <x:c r="BG44" s="3" t="str">
        <x:f>IF(AND('中古車掲載'!C45="One2car",'中古車掲載'!F45="Corolla Cross",'中古車掲載'!L45="HEV GR SPORT",'中古車掲載'!J45=2023,ISNUMBER('中古車掲載'!N45),'中古車掲載'!N45&gt;=20000,'中古車掲載'!O45&lt;=100000,'中古車掲載'!AL45=1,'中古車掲載'!Z45="https://www.one2car.com/en/cars-for-sale/toyota/corolla-cross/year-2023"),'中古車掲載'!U45,"")</x:f>
      </x:c>
      <x:c r="BH44" s="3" t="str">
        <x:f>IF(AND('中古車掲載'!C45="One2car",'中古車掲載'!F45="DOLPHIN",'中古車掲載'!L45="STANDARD RANGE",'中古車掲載'!J45=2023,ISNUMBER('中古車掲載'!N45),'中古車掲載'!N45&gt;=20000,'中古車掲載'!O45&lt;=100000,'中古車掲載'!AL45=1),'中古車掲載'!U45,"")</x:f>
      </x:c>
      <x:c r="BI44" s="3" t="str">
        <x:v>One2car|Corolla Cross|HEV|Bangkok metro</x:v>
      </x:c>
      <x:c r="BJ44" s="3" t="n">
        <x:v>45</x:v>
      </x:c>
      <x:c r="BK44" s="3" t="n">
        <x:f>'中古車掲載'!AM45</x:f>
        <x:v>699000</x:v>
      </x:c>
      <x:c r="BL44" s="3" t="str">
        <x:f>IF(ISNUMBER('中古車掲載'!AN45),'中古車掲載'!AN45,"")</x:f>
      </x:c>
      <x:c r="BM44" s="3" t="str">
        <x:v>2020|Smart cab</x:v>
      </x:c>
      <x:c r="BN44" s="3" t="n">
        <x:v>687</x:v>
      </x:c>
      <x:c r="BO44" s="3" t="n">
        <x:f>'中古車掲載'!AM687</x:f>
        <x:v>379000</x:v>
      </x:c>
      <x:c r="BP44" s="3" t="str">
        <x:v>2.4 MID Z EDITION SMART CAB</x:v>
      </x:c>
      <x:c r="BQ44" s="3"/>
      <x:c r="BR44" s="3"/>
    </x:row>
    <x:row r="45" ht="22" customHeight="1">
      <x:c r="A45" s="3"/>
      <x:c r="B45" s="3"/>
      <x:c r="C45" s="3"/>
      <x:c r="D45" s="3"/>
      <x:c r="E45" s="3"/>
      <x:c r="F45" s="3"/>
      <x:c r="G45" s="3"/>
      <x:c r="H45" s="3"/>
      <x:c r="I45" s="3"/>
      <x:c r="J45" s="3"/>
      <x:c r="K45" s="3"/>
      <x:c r="L45" s="3"/>
      <x:c r="M45" s="3"/>
      <x:c r="N45" s="3"/>
      <x:c r="O45" s="3"/>
      <x:c r="P45" s="3"/>
      <x:c r="Q45" s="3"/>
      <x:c r="R45" s="3" t="str">
        <x:v>Taladrod</x:v>
      </x:c>
      <x:c r="S45" s="3" t="str">
        <x:v>Yaris Cross</x:v>
      </x:c>
      <x:c r="T45" s="3" t="str">
        <x:v>HEV</x:v>
      </x:c>
      <x:c r="U45" s="3" t="str">
        <x:v>Unknown</x:v>
      </x:c>
      <x:c r="V45" s="22" t="n">
        <x:f>COUNT(BK1096:BK1138)</x:f>
        <x:v>41</x:v>
      </x:c>
      <x:c r="W45" s="22" t="n">
        <x:f>IF(COUNT(BK1096:BK1138)=0,"",QUARTILE(BK1096:BK1138,1))</x:f>
        <x:v>664000</x:v>
      </x:c>
      <x:c r="X45" s="22" t="n">
        <x:f>IF(COUNT(BK1096:BK1138)=0,"",MEDIAN(BK1096:BK1138))</x:f>
        <x:v>679000</x:v>
      </x:c>
      <x:c r="Y45" s="22" t="n">
        <x:f>IF(COUNT(BK1096:BK1138)=0,"",QUARTILE(BK1096:BK1138,3))</x:f>
        <x:v>709000</x:v>
      </x:c>
      <x:c r="Z45" s="3"/>
      <x:c r="AA45" s="3"/>
      <x:c r="AB45" s="3"/>
      <x:c r="AC45" s="3"/>
      <x:c r="AD45" s="3"/>
      <x:c r="AE45" s="3"/>
      <x:c r="AF45" s="3"/>
      <x:c r="AG45" s="3"/>
      <x:c r="AH45" s="3"/>
      <x:c r="AI45" s="3"/>
      <x:c r="AJ45" s="3"/>
      <x:c r="AK45" s="3"/>
      <x:c r="AL45" s="3"/>
      <x:c r="AM45" s="3"/>
      <x:c r="AN45" s="3"/>
      <x:c r="AO45" s="3"/>
      <x:c r="AP45" s="3"/>
      <x:c r="AQ45" s="3"/>
      <x:c r="AR45" s="3"/>
      <x:c r="AS45" s="3"/>
      <x:c r="AT45" s="3"/>
      <x:c r="AU45" s="3"/>
      <x:c r="AV45" s="3"/>
      <x:c r="AW45" s="3"/>
      <x:c r="AX45" s="3"/>
      <x:c r="AY45" s="3"/>
      <x:c r="AZ45" s="3" t="str">
        <x:f>IF(AND('中古車掲載'!C46="One2car",'中古車掲載'!F46="ATTO 3",'中古車掲載'!L46="EXTENDED RANGE",'中古車掲載'!J46=2023,ISNUMBER('中古車掲載'!N46),'中古車掲載'!N46&gt;=20000,'中古車掲載'!O46&lt;=100000,'中古車掲載'!AL46=1),'中古車掲載'!U46,"")</x:f>
      </x:c>
      <x:c r="BA45" s="3" t="str">
        <x:f>IF(AND('中古車掲載'!C46="One2car",'中古車掲載'!F46="Corolla Cross",'中古車掲載'!L46="HEV PREMIUM SAFETY",'中古車掲載'!J46=2023,ISNUMBER('中古車掲載'!N46),'中古車掲載'!N46&gt;=20000,'中古車掲載'!O46&lt;=100000,'中古車掲載'!AL46=1,'中古車掲載'!Z46="https://www.one2car.com/en/cars-for-sale/toyota/corolla-cross/year-2023"),'中古車掲載'!U46,"")</x:f>
      </x:c>
      <x:c r="BB45" s="3" t="str">
        <x:f>IF(AND('中古車掲載'!C46="One2car",'中古車掲載'!F46="ATTO 3",'中古車掲載'!L46="EXTENDED RANGE",'中古車掲載'!J46=2023,ISNUMBER('中古車掲載'!N46),'中古車掲載'!N46&gt;=50000,'中古車掲載'!O46&lt;=100000,'中古車掲載'!AL46=1),'中古車掲載'!U46,"")</x:f>
      </x:c>
      <x:c r="BC45" s="3" t="str">
        <x:f>IF(AND('中古車掲載'!C46="One2car",'中古車掲載'!F46="Corolla Cross",'中古車掲載'!L46="HEV PREMIUM SAFETY",'中古車掲載'!J46=2023,ISNUMBER('中古車掲載'!N46),'中古車掲載'!N46&gt;=50000,'中古車掲載'!O46&lt;=100000,'中古車掲載'!AL46=1,'中古車掲載'!Z46="https://www.one2car.com/en/cars-for-sale/toyota/corolla-cross/year-2023"),'中古車掲載'!U46,"")</x:f>
      </x:c>
      <x:c r="BD45" s="3" t="str">
        <x:f>IF(AND('中古車掲載'!C46="One2car",'中古車掲載'!F46="ATTO 3",'中古車掲載'!L46="EXTENDED RANGE",'中古車掲載'!J46=2023,ISNUMBER('中古車掲載'!N46),'中古車掲載'!N46&gt;=20000,'中古車掲載'!O46&lt;=50000,'中古車掲載'!AL46=1),'中古車掲載'!U46,"")</x:f>
      </x:c>
      <x:c r="BE45" s="3" t="str">
        <x:f>IF(AND('中古車掲載'!C46="One2car",'中古車掲載'!F46="Corolla Cross",'中古車掲載'!L46="HEV PREMIUM SAFETY",'中古車掲載'!J46=2023,ISNUMBER('中古車掲載'!N46),'中古車掲載'!N46&gt;=20000,'中古車掲載'!O46&lt;=50000,'中古車掲載'!AL46=1,'中古車掲載'!Z46="https://www.one2car.com/en/cars-for-sale/toyota/corolla-cross/year-2023"),'中古車掲載'!U46,"")</x:f>
      </x:c>
      <x:c r="BF45" s="3" t="str">
        <x:f>IF(AND('中古車掲載'!C46="One2car",'中古車掲載'!F46="Corolla Cross",'中古車掲載'!L46="HEV PREMIUM",'中古車掲載'!J46=2023,ISNUMBER('中古車掲載'!N46),'中古車掲載'!N46&gt;=20000,'中古車掲載'!O46&lt;=100000,'中古車掲載'!AL46=1,'中古車掲載'!Z46="https://www.one2car.com/en/cars-for-sale/toyota/corolla-cross/year-2023"),'中古車掲載'!U46,"")</x:f>
      </x:c>
      <x:c r="BG45" s="3" t="str">
        <x:f>IF(AND('中古車掲載'!C46="One2car",'中古車掲載'!F46="Corolla Cross",'中古車掲載'!L46="HEV GR SPORT",'中古車掲載'!J46=2023,ISNUMBER('中古車掲載'!N46),'中古車掲載'!N46&gt;=20000,'中古車掲載'!O46&lt;=100000,'中古車掲載'!AL46=1,'中古車掲載'!Z46="https://www.one2car.com/en/cars-for-sale/toyota/corolla-cross/year-2023"),'中古車掲載'!U46,"")</x:f>
      </x:c>
      <x:c r="BH45" s="3" t="str">
        <x:f>IF(AND('中古車掲載'!C46="One2car",'中古車掲載'!F46="DOLPHIN",'中古車掲載'!L46="STANDARD RANGE",'中古車掲載'!J46=2023,ISNUMBER('中古車掲載'!N46),'中古車掲載'!N46&gt;=20000,'中古車掲載'!O46&lt;=100000,'中古車掲載'!AL46=1),'中古車掲載'!U46,"")</x:f>
      </x:c>
      <x:c r="BI45" s="3" t="str">
        <x:v>One2car|Corolla Cross|HEV|Bangkok metro</x:v>
      </x:c>
      <x:c r="BJ45" s="3" t="n">
        <x:v>46</x:v>
      </x:c>
      <x:c r="BK45" s="3" t="n">
        <x:f>'中古車掲載'!AM46</x:f>
        <x:v>669000</x:v>
      </x:c>
      <x:c r="BL45" s="3" t="str">
        <x:f>IF(ISNUMBER('中古車掲載'!AN46),'中古車掲載'!AN46,"")</x:f>
      </x:c>
      <x:c r="BM45" s="3" t="str">
        <x:v>2020|Smart cab</x:v>
      </x:c>
      <x:c r="BN45" s="3" t="n">
        <x:v>688</x:v>
      </x:c>
      <x:c r="BO45" s="3" t="n">
        <x:f>'中古車掲載'!AM688</x:f>
        <x:v>439000</x:v>
      </x:c>
      <x:c r="BP45" s="3" t="str">
        <x:v>2.4 MID Z EDITION SMART CAB</x:v>
      </x:c>
      <x:c r="BQ45" s="3"/>
      <x:c r="BR45" s="3"/>
    </x:row>
    <x:row r="46" ht="22" customHeight="1">
      <x:c r="A46" s="3"/>
      <x:c r="B46" s="3"/>
      <x:c r="C46" s="3"/>
      <x:c r="D46" s="3"/>
      <x:c r="E46" s="3"/>
      <x:c r="F46" s="3"/>
      <x:c r="G46" s="3"/>
      <x:c r="H46" s="3"/>
      <x:c r="I46" s="3"/>
      <x:c r="J46" s="3"/>
      <x:c r="K46" s="3"/>
      <x:c r="L46" s="3"/>
      <x:c r="M46" s="3"/>
      <x:c r="N46" s="3"/>
      <x:c r="O46" s="3"/>
      <x:c r="P46" s="3"/>
      <x:c r="Q46" s="3"/>
      <x:c r="R46" s="3" t="str">
        <x:v>Taladrod</x:v>
      </x:c>
      <x:c r="S46" s="3" t="str">
        <x:v>bZ4X</x:v>
      </x:c>
      <x:c r="T46" s="3" t="str">
        <x:v>BEV</x:v>
      </x:c>
      <x:c r="U46" s="3" t="str">
        <x:v>Unknown</x:v>
      </x:c>
      <x:c r="V46" s="22" t="n">
        <x:f>COUNT(BK1139:BK1139)</x:f>
        <x:v>1</x:v>
      </x:c>
      <x:c r="W46" s="22" t="n">
        <x:f>IF(COUNT(BK1139:BK1139)=0,"",QUARTILE(BK1139:BK1139,1))</x:f>
        <x:v>980000</x:v>
      </x:c>
      <x:c r="X46" s="22" t="n">
        <x:f>IF(COUNT(BK1139:BK1139)=0,"",MEDIAN(BK1139:BK1139))</x:f>
        <x:v>980000</x:v>
      </x:c>
      <x:c r="Y46" s="22" t="n">
        <x:f>IF(COUNT(BK1139:BK1139)=0,"",QUARTILE(BK1139:BK1139,3))</x:f>
        <x:v>980000</x:v>
      </x:c>
      <x:c r="Z46" s="3"/>
      <x:c r="AA46" s="3"/>
      <x:c r="AB46" s="3"/>
      <x:c r="AC46" s="3"/>
      <x:c r="AD46" s="3"/>
      <x:c r="AE46" s="3"/>
      <x:c r="AF46" s="3"/>
      <x:c r="AG46" s="3"/>
      <x:c r="AH46" s="3"/>
      <x:c r="AI46" s="3"/>
      <x:c r="AJ46" s="3"/>
      <x:c r="AK46" s="3"/>
      <x:c r="AL46" s="3"/>
      <x:c r="AM46" s="3"/>
      <x:c r="AN46" s="3"/>
      <x:c r="AO46" s="3"/>
      <x:c r="AP46" s="3"/>
      <x:c r="AQ46" s="3"/>
      <x:c r="AR46" s="3"/>
      <x:c r="AS46" s="3"/>
      <x:c r="AT46" s="3"/>
      <x:c r="AU46" s="3"/>
      <x:c r="AV46" s="3"/>
      <x:c r="AW46" s="3"/>
      <x:c r="AX46" s="3"/>
      <x:c r="AY46" s="3"/>
      <x:c r="AZ46" s="3" t="str">
        <x:f>IF(AND('中古車掲載'!C47="One2car",'中古車掲載'!F47="ATTO 3",'中古車掲載'!L47="EXTENDED RANGE",'中古車掲載'!J47=2023,ISNUMBER('中古車掲載'!N47),'中古車掲載'!N47&gt;=20000,'中古車掲載'!O47&lt;=100000,'中古車掲載'!AL47=1),'中古車掲載'!U47,"")</x:f>
      </x:c>
      <x:c r="BA46" s="3" t="str">
        <x:f>IF(AND('中古車掲載'!C47="One2car",'中古車掲載'!F47="Corolla Cross",'中古車掲載'!L47="HEV PREMIUM SAFETY",'中古車掲載'!J47=2023,ISNUMBER('中古車掲載'!N47),'中古車掲載'!N47&gt;=20000,'中古車掲載'!O47&lt;=100000,'中古車掲載'!AL47=1,'中古車掲載'!Z47="https://www.one2car.com/en/cars-for-sale/toyota/corolla-cross/year-2023"),'中古車掲載'!U47,"")</x:f>
      </x:c>
      <x:c r="BB46" s="3" t="str">
        <x:f>IF(AND('中古車掲載'!C47="One2car",'中古車掲載'!F47="ATTO 3",'中古車掲載'!L47="EXTENDED RANGE",'中古車掲載'!J47=2023,ISNUMBER('中古車掲載'!N47),'中古車掲載'!N47&gt;=50000,'中古車掲載'!O47&lt;=100000,'中古車掲載'!AL47=1),'中古車掲載'!U47,"")</x:f>
      </x:c>
      <x:c r="BC46" s="3" t="str">
        <x:f>IF(AND('中古車掲載'!C47="One2car",'中古車掲載'!F47="Corolla Cross",'中古車掲載'!L47="HEV PREMIUM SAFETY",'中古車掲載'!J47=2023,ISNUMBER('中古車掲載'!N47),'中古車掲載'!N47&gt;=50000,'中古車掲載'!O47&lt;=100000,'中古車掲載'!AL47=1,'中古車掲載'!Z47="https://www.one2car.com/en/cars-for-sale/toyota/corolla-cross/year-2023"),'中古車掲載'!U47,"")</x:f>
      </x:c>
      <x:c r="BD46" s="3" t="str">
        <x:f>IF(AND('中古車掲載'!C47="One2car",'中古車掲載'!F47="ATTO 3",'中古車掲載'!L47="EXTENDED RANGE",'中古車掲載'!J47=2023,ISNUMBER('中古車掲載'!N47),'中古車掲載'!N47&gt;=20000,'中古車掲載'!O47&lt;=50000,'中古車掲載'!AL47=1),'中古車掲載'!U47,"")</x:f>
      </x:c>
      <x:c r="BE46" s="3" t="str">
        <x:f>IF(AND('中古車掲載'!C47="One2car",'中古車掲載'!F47="Corolla Cross",'中古車掲載'!L47="HEV PREMIUM SAFETY",'中古車掲載'!J47=2023,ISNUMBER('中古車掲載'!N47),'中古車掲載'!N47&gt;=20000,'中古車掲載'!O47&lt;=50000,'中古車掲載'!AL47=1,'中古車掲載'!Z47="https://www.one2car.com/en/cars-for-sale/toyota/corolla-cross/year-2023"),'中古車掲載'!U47,"")</x:f>
      </x:c>
      <x:c r="BF46" s="3" t="str">
        <x:f>IF(AND('中古車掲載'!C47="One2car",'中古車掲載'!F47="Corolla Cross",'中古車掲載'!L47="HEV PREMIUM",'中古車掲載'!J47=2023,ISNUMBER('中古車掲載'!N47),'中古車掲載'!N47&gt;=20000,'中古車掲載'!O47&lt;=100000,'中古車掲載'!AL47=1,'中古車掲載'!Z47="https://www.one2car.com/en/cars-for-sale/toyota/corolla-cross/year-2023"),'中古車掲載'!U47,"")</x:f>
      </x:c>
      <x:c r="BG46" s="3" t="str">
        <x:f>IF(AND('中古車掲載'!C47="One2car",'中古車掲載'!F47="Corolla Cross",'中古車掲載'!L47="HEV GR SPORT",'中古車掲載'!J47=2023,ISNUMBER('中古車掲載'!N47),'中古車掲載'!N47&gt;=20000,'中古車掲載'!O47&lt;=100000,'中古車掲載'!AL47=1,'中古車掲載'!Z47="https://www.one2car.com/en/cars-for-sale/toyota/corolla-cross/year-2023"),'中古車掲載'!U47,"")</x:f>
      </x:c>
      <x:c r="BH46" s="3" t="str">
        <x:f>IF(AND('中古車掲載'!C47="One2car",'中古車掲載'!F47="DOLPHIN",'中古車掲載'!L47="STANDARD RANGE",'中古車掲載'!J47=2023,ISNUMBER('中古車掲載'!N47),'中古車掲載'!N47&gt;=20000,'中古車掲載'!O47&lt;=100000,'中古車掲載'!AL47=1),'中古車掲載'!U47,"")</x:f>
      </x:c>
      <x:c r="BI46" s="3" t="str">
        <x:v>One2car|Corolla Cross|HEV|Bangkok metro</x:v>
      </x:c>
      <x:c r="BJ46" s="3" t="n">
        <x:v>47</x:v>
      </x:c>
      <x:c r="BK46" s="3" t="n">
        <x:f>'中古車掲載'!AM47</x:f>
        <x:v>636000</x:v>
      </x:c>
      <x:c r="BL46" s="3" t="str">
        <x:f>IF(ISNUMBER('中古車掲載'!AN47),'中古車掲載'!AN47,"")</x:f>
      </x:c>
      <x:c r="BM46" s="3" t="str">
        <x:v>2020|Smart cab</x:v>
      </x:c>
      <x:c r="BN46" s="3" t="n">
        <x:v>689</x:v>
      </x:c>
      <x:c r="BO46" s="3" t="n">
        <x:f>'中古車掲載'!AM689</x:f>
        <x:v>399000</x:v>
      </x:c>
      <x:c r="BP46" s="3" t="str">
        <x:v>2.4 MID Z EDITION SMART CAB</x:v>
      </x:c>
      <x:c r="BQ46" s="3"/>
      <x:c r="BR46" s="3"/>
    </x:row>
    <x:row r="47" ht="22"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3"/>
      <x:c r="AF47" s="3"/>
      <x:c r="AG47" s="3"/>
      <x:c r="AH47" s="3"/>
      <x:c r="AI47" s="3"/>
      <x:c r="AJ47" s="3"/>
      <x:c r="AK47" s="3"/>
      <x:c r="AL47" s="3"/>
      <x:c r="AM47" s="3"/>
      <x:c r="AN47" s="3"/>
      <x:c r="AO47" s="3"/>
      <x:c r="AP47" s="3"/>
      <x:c r="AQ47" s="3"/>
      <x:c r="AR47" s="3"/>
      <x:c r="AS47" s="3"/>
      <x:c r="AT47" s="3"/>
      <x:c r="AU47" s="3"/>
      <x:c r="AV47" s="3"/>
      <x:c r="AW47" s="3"/>
      <x:c r="AX47" s="3"/>
      <x:c r="AY47" s="3"/>
      <x:c r="AZ47" s="3" t="str">
        <x:f>IF(AND('中古車掲載'!C48="One2car",'中古車掲載'!F48="ATTO 3",'中古車掲載'!L48="EXTENDED RANGE",'中古車掲載'!J48=2023,ISNUMBER('中古車掲載'!N48),'中古車掲載'!N48&gt;=20000,'中古車掲載'!O48&lt;=100000,'中古車掲載'!AL48=1),'中古車掲載'!U48,"")</x:f>
      </x:c>
      <x:c r="BA47" s="3" t="str">
        <x:f>IF(AND('中古車掲載'!C48="One2car",'中古車掲載'!F48="Corolla Cross",'中古車掲載'!L48="HEV PREMIUM SAFETY",'中古車掲載'!J48=2023,ISNUMBER('中古車掲載'!N48),'中古車掲載'!N48&gt;=20000,'中古車掲載'!O48&lt;=100000,'中古車掲載'!AL48=1,'中古車掲載'!Z48="https://www.one2car.com/en/cars-for-sale/toyota/corolla-cross/year-2023"),'中古車掲載'!U48,"")</x:f>
      </x:c>
      <x:c r="BB47" s="3" t="str">
        <x:f>IF(AND('中古車掲載'!C48="One2car",'中古車掲載'!F48="ATTO 3",'中古車掲載'!L48="EXTENDED RANGE",'中古車掲載'!J48=2023,ISNUMBER('中古車掲載'!N48),'中古車掲載'!N48&gt;=50000,'中古車掲載'!O48&lt;=100000,'中古車掲載'!AL48=1),'中古車掲載'!U48,"")</x:f>
      </x:c>
      <x:c r="BC47" s="3" t="str">
        <x:f>IF(AND('中古車掲載'!C48="One2car",'中古車掲載'!F48="Corolla Cross",'中古車掲載'!L48="HEV PREMIUM SAFETY",'中古車掲載'!J48=2023,ISNUMBER('中古車掲載'!N48),'中古車掲載'!N48&gt;=50000,'中古車掲載'!O48&lt;=100000,'中古車掲載'!AL48=1,'中古車掲載'!Z48="https://www.one2car.com/en/cars-for-sale/toyota/corolla-cross/year-2023"),'中古車掲載'!U48,"")</x:f>
      </x:c>
      <x:c r="BD47" s="3" t="str">
        <x:f>IF(AND('中古車掲載'!C48="One2car",'中古車掲載'!F48="ATTO 3",'中古車掲載'!L48="EXTENDED RANGE",'中古車掲載'!J48=2023,ISNUMBER('中古車掲載'!N48),'中古車掲載'!N48&gt;=20000,'中古車掲載'!O48&lt;=50000,'中古車掲載'!AL48=1),'中古車掲載'!U48,"")</x:f>
      </x:c>
      <x:c r="BE47" s="3" t="str">
        <x:f>IF(AND('中古車掲載'!C48="One2car",'中古車掲載'!F48="Corolla Cross",'中古車掲載'!L48="HEV PREMIUM SAFETY",'中古車掲載'!J48=2023,ISNUMBER('中古車掲載'!N48),'中古車掲載'!N48&gt;=20000,'中古車掲載'!O48&lt;=50000,'中古車掲載'!AL48=1,'中古車掲載'!Z48="https://www.one2car.com/en/cars-for-sale/toyota/corolla-cross/year-2023"),'中古車掲載'!U48,"")</x:f>
      </x:c>
      <x:c r="BF47" s="3" t="str">
        <x:f>IF(AND('中古車掲載'!C48="One2car",'中古車掲載'!F48="Corolla Cross",'中古車掲載'!L48="HEV PREMIUM",'中古車掲載'!J48=2023,ISNUMBER('中古車掲載'!N48),'中古車掲載'!N48&gt;=20000,'中古車掲載'!O48&lt;=100000,'中古車掲載'!AL48=1,'中古車掲載'!Z48="https://www.one2car.com/en/cars-for-sale/toyota/corolla-cross/year-2023"),'中古車掲載'!U48,"")</x:f>
      </x:c>
      <x:c r="BG47" s="3" t="str">
        <x:f>IF(AND('中古車掲載'!C48="One2car",'中古車掲載'!F48="Corolla Cross",'中古車掲載'!L48="HEV GR SPORT",'中古車掲載'!J48=2023,ISNUMBER('中古車掲載'!N48),'中古車掲載'!N48&gt;=20000,'中古車掲載'!O48&lt;=100000,'中古車掲載'!AL48=1,'中古車掲載'!Z48="https://www.one2car.com/en/cars-for-sale/toyota/corolla-cross/year-2023"),'中古車掲載'!U48,"")</x:f>
      </x:c>
      <x:c r="BH47" s="3" t="str">
        <x:f>IF(AND('中古車掲載'!C48="One2car",'中古車掲載'!F48="DOLPHIN",'中古車掲載'!L48="STANDARD RANGE",'中古車掲載'!J48=2023,ISNUMBER('中古車掲載'!N48),'中古車掲載'!N48&gt;=20000,'中古車掲載'!O48&lt;=100000,'中古車掲載'!AL48=1),'中古車掲載'!U48,"")</x:f>
      </x:c>
      <x:c r="BI47" s="3" t="str">
        <x:v>One2car|Corolla Cross|HEV|Bangkok metro</x:v>
      </x:c>
      <x:c r="BJ47" s="3" t="n">
        <x:v>48</x:v>
      </x:c>
      <x:c r="BK47" s="3" t="n">
        <x:f>'中古車掲載'!AM48</x:f>
        <x:v>658000</x:v>
      </x:c>
      <x:c r="BL47" s="3" t="str">
        <x:f>IF(ISNUMBER('中古車掲載'!AN48),'中古車掲載'!AN48,"")</x:f>
      </x:c>
      <x:c r="BM47" s="3" t="str">
        <x:v>2020|Smart cab</x:v>
      </x:c>
      <x:c r="BN47" s="3" t="n">
        <x:v>690</x:v>
      </x:c>
      <x:c r="BO47" s="3" t="n">
        <x:f>'中古車掲載'!AM690</x:f>
        <x:v>358000</x:v>
      </x:c>
      <x:c r="BP47" s="3" t="str">
        <x:v>2.4 MID Z EDITION SMART CAB</x:v>
      </x:c>
      <x:c r="BQ47" s="3"/>
      <x:c r="BR47" s="3"/>
    </x:row>
    <x:row r="48" ht="22"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3"/>
      <x:c r="AF48" s="3"/>
      <x:c r="AG48" s="3"/>
      <x:c r="AH48" s="3"/>
      <x:c r="AI48" s="3"/>
      <x:c r="AJ48" s="3"/>
      <x:c r="AK48" s="3"/>
      <x:c r="AL48" s="3"/>
      <x:c r="AM48" s="3"/>
      <x:c r="AN48" s="3"/>
      <x:c r="AO48" s="3"/>
      <x:c r="AP48" s="3"/>
      <x:c r="AQ48" s="3"/>
      <x:c r="AR48" s="3"/>
      <x:c r="AS48" s="3"/>
      <x:c r="AT48" s="3"/>
      <x:c r="AU48" s="3"/>
      <x:c r="AV48" s="3"/>
      <x:c r="AW48" s="3"/>
      <x:c r="AX48" s="3"/>
      <x:c r="AY48" s="3"/>
      <x:c r="AZ48" s="3" t="str">
        <x:f>IF(AND('中古車掲載'!C49="One2car",'中古車掲載'!F49="ATTO 3",'中古車掲載'!L49="EXTENDED RANGE",'中古車掲載'!J49=2023,ISNUMBER('中古車掲載'!N49),'中古車掲載'!N49&gt;=20000,'中古車掲載'!O49&lt;=100000,'中古車掲載'!AL49=1),'中古車掲載'!U49,"")</x:f>
      </x:c>
      <x:c r="BA48" s="3" t="str">
        <x:f>IF(AND('中古車掲載'!C49="One2car",'中古車掲載'!F49="Corolla Cross",'中古車掲載'!L49="HEV PREMIUM SAFETY",'中古車掲載'!J49=2023,ISNUMBER('中古車掲載'!N49),'中古車掲載'!N49&gt;=20000,'中古車掲載'!O49&lt;=100000,'中古車掲載'!AL49=1,'中古車掲載'!Z49="https://www.one2car.com/en/cars-for-sale/toyota/corolla-cross/year-2023"),'中古車掲載'!U49,"")</x:f>
      </x:c>
      <x:c r="BB48" s="3" t="str">
        <x:f>IF(AND('中古車掲載'!C49="One2car",'中古車掲載'!F49="ATTO 3",'中古車掲載'!L49="EXTENDED RANGE",'中古車掲載'!J49=2023,ISNUMBER('中古車掲載'!N49),'中古車掲載'!N49&gt;=50000,'中古車掲載'!O49&lt;=100000,'中古車掲載'!AL49=1),'中古車掲載'!U49,"")</x:f>
      </x:c>
      <x:c r="BC48" s="3" t="str">
        <x:f>IF(AND('中古車掲載'!C49="One2car",'中古車掲載'!F49="Corolla Cross",'中古車掲載'!L49="HEV PREMIUM SAFETY",'中古車掲載'!J49=2023,ISNUMBER('中古車掲載'!N49),'中古車掲載'!N49&gt;=50000,'中古車掲載'!O49&lt;=100000,'中古車掲載'!AL49=1,'中古車掲載'!Z49="https://www.one2car.com/en/cars-for-sale/toyota/corolla-cross/year-2023"),'中古車掲載'!U49,"")</x:f>
      </x:c>
      <x:c r="BD48" s="3" t="str">
        <x:f>IF(AND('中古車掲載'!C49="One2car",'中古車掲載'!F49="ATTO 3",'中古車掲載'!L49="EXTENDED RANGE",'中古車掲載'!J49=2023,ISNUMBER('中古車掲載'!N49),'中古車掲載'!N49&gt;=20000,'中古車掲載'!O49&lt;=50000,'中古車掲載'!AL49=1),'中古車掲載'!U49,"")</x:f>
      </x:c>
      <x:c r="BE48" s="3" t="str">
        <x:f>IF(AND('中古車掲載'!C49="One2car",'中古車掲載'!F49="Corolla Cross",'中古車掲載'!L49="HEV PREMIUM SAFETY",'中古車掲載'!J49=2023,ISNUMBER('中古車掲載'!N49),'中古車掲載'!N49&gt;=20000,'中古車掲載'!O49&lt;=50000,'中古車掲載'!AL49=1,'中古車掲載'!Z49="https://www.one2car.com/en/cars-for-sale/toyota/corolla-cross/year-2023"),'中古車掲載'!U49,"")</x:f>
      </x:c>
      <x:c r="BF48" s="3" t="str">
        <x:f>IF(AND('中古車掲載'!C49="One2car",'中古車掲載'!F49="Corolla Cross",'中古車掲載'!L49="HEV PREMIUM",'中古車掲載'!J49=2023,ISNUMBER('中古車掲載'!N49),'中古車掲載'!N49&gt;=20000,'中古車掲載'!O49&lt;=100000,'中古車掲載'!AL49=1,'中古車掲載'!Z49="https://www.one2car.com/en/cars-for-sale/toyota/corolla-cross/year-2023"),'中古車掲載'!U49,"")</x:f>
      </x:c>
      <x:c r="BG48" s="3" t="str">
        <x:f>IF(AND('中古車掲載'!C49="One2car",'中古車掲載'!F49="Corolla Cross",'中古車掲載'!L49="HEV GR SPORT",'中古車掲載'!J49=2023,ISNUMBER('中古車掲載'!N49),'中古車掲載'!N49&gt;=20000,'中古車掲載'!O49&lt;=100000,'中古車掲載'!AL49=1,'中古車掲載'!Z49="https://www.one2car.com/en/cars-for-sale/toyota/corolla-cross/year-2023"),'中古車掲載'!U49,"")</x:f>
      </x:c>
      <x:c r="BH48" s="3" t="str">
        <x:f>IF(AND('中古車掲載'!C49="One2car",'中古車掲載'!F49="DOLPHIN",'中古車掲載'!L49="STANDARD RANGE",'中古車掲載'!J49=2023,ISNUMBER('中古車掲載'!N49),'中古車掲載'!N49&gt;=20000,'中古車掲載'!O49&lt;=100000,'中古車掲載'!AL49=1),'中古車掲載'!U49,"")</x:f>
      </x:c>
      <x:c r="BI48" s="3" t="str">
        <x:v>One2car|Corolla Cross|HEV|Bangkok metro</x:v>
      </x:c>
      <x:c r="BJ48" s="3" t="n">
        <x:v>49</x:v>
      </x:c>
      <x:c r="BK48" s="3" t="n">
        <x:f>'中古車掲載'!AM49</x:f>
        <x:v>759000</x:v>
      </x:c>
      <x:c r="BL48" s="3" t="str">
        <x:f>IF(ISNUMBER('中古車掲載'!AN49),'中古車掲載'!AN49,"")</x:f>
      </x:c>
      <x:c r="BM48" s="3" t="str">
        <x:v>2020|Smart cab</x:v>
      </x:c>
      <x:c r="BN48" s="3" t="n">
        <x:v>696</x:v>
      </x:c>
      <x:c r="BO48" s="3" t="n">
        <x:f>'中古車掲載'!AM696</x:f>
        <x:v>514000</x:v>
      </x:c>
      <x:c r="BP48" s="3" t="str">
        <x:v>2.4 PRERUNNER SMART CAB</x:v>
      </x:c>
      <x:c r="BQ48" s="3"/>
      <x:c r="BR48" s="3"/>
    </x:row>
    <x:row r="49" ht="30"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16" t="str">
        <x:v>年式差</x:v>
      </x:c>
      <x:c r="AB49" s="21" t="str">
        <x:v>Corolla Altis HEV</x:v>
      </x:c>
      <x:c r="AC49" s="17" t="str">
        <x:v>Corolla Altis ICE</x:v>
      </x:c>
      <x:c r="AD49" s="3"/>
      <x:c r="AE49" s="3"/>
      <x:c r="AF49" s="3"/>
      <x:c r="AG49" s="3"/>
      <x:c r="AH49" s="3"/>
      <x:c r="AI49" s="3"/>
      <x:c r="AJ49" s="3"/>
      <x:c r="AK49" s="3"/>
      <x:c r="AL49" s="3"/>
      <x:c r="AM49" s="3"/>
      <x:c r="AN49" s="3"/>
      <x:c r="AO49" s="3"/>
      <x:c r="AP49" s="3"/>
      <x:c r="AQ49" s="3"/>
      <x:c r="AR49" s="3"/>
      <x:c r="AS49" s="3"/>
      <x:c r="AT49" s="3"/>
      <x:c r="AU49" s="3"/>
      <x:c r="AV49" s="3"/>
      <x:c r="AW49" s="3"/>
      <x:c r="AX49" s="3"/>
      <x:c r="AY49" s="3"/>
      <x:c r="AZ49" s="3" t="str">
        <x:f>IF(AND('中古車掲載'!C50="One2car",'中古車掲載'!F50="ATTO 3",'中古車掲載'!L50="EXTENDED RANGE",'中古車掲載'!J50=2023,ISNUMBER('中古車掲載'!N50),'中古車掲載'!N50&gt;=20000,'中古車掲載'!O50&lt;=100000,'中古車掲載'!AL50=1),'中古車掲載'!U50,"")</x:f>
      </x:c>
      <x:c r="BA49" s="3" t="str">
        <x:f>IF(AND('中古車掲載'!C50="One2car",'中古車掲載'!F50="Corolla Cross",'中古車掲載'!L50="HEV PREMIUM SAFETY",'中古車掲載'!J50=2023,ISNUMBER('中古車掲載'!N50),'中古車掲載'!N50&gt;=20000,'中古車掲載'!O50&lt;=100000,'中古車掲載'!AL50=1,'中古車掲載'!Z50="https://www.one2car.com/en/cars-for-sale/toyota/corolla-cross/year-2023"),'中古車掲載'!U50,"")</x:f>
      </x:c>
      <x:c r="BB49" s="3" t="str">
        <x:f>IF(AND('中古車掲載'!C50="One2car",'中古車掲載'!F50="ATTO 3",'中古車掲載'!L50="EXTENDED RANGE",'中古車掲載'!J50=2023,ISNUMBER('中古車掲載'!N50),'中古車掲載'!N50&gt;=50000,'中古車掲載'!O50&lt;=100000,'中古車掲載'!AL50=1),'中古車掲載'!U50,"")</x:f>
      </x:c>
      <x:c r="BC49" s="3" t="str">
        <x:f>IF(AND('中古車掲載'!C50="One2car",'中古車掲載'!F50="Corolla Cross",'中古車掲載'!L50="HEV PREMIUM SAFETY",'中古車掲載'!J50=2023,ISNUMBER('中古車掲載'!N50),'中古車掲載'!N50&gt;=50000,'中古車掲載'!O50&lt;=100000,'中古車掲載'!AL50=1,'中古車掲載'!Z50="https://www.one2car.com/en/cars-for-sale/toyota/corolla-cross/year-2023"),'中古車掲載'!U50,"")</x:f>
      </x:c>
      <x:c r="BD49" s="3" t="str">
        <x:f>IF(AND('中古車掲載'!C50="One2car",'中古車掲載'!F50="ATTO 3",'中古車掲載'!L50="EXTENDED RANGE",'中古車掲載'!J50=2023,ISNUMBER('中古車掲載'!N50),'中古車掲載'!N50&gt;=20000,'中古車掲載'!O50&lt;=50000,'中古車掲載'!AL50=1),'中古車掲載'!U50,"")</x:f>
      </x:c>
      <x:c r="BE49" s="3" t="str">
        <x:f>IF(AND('中古車掲載'!C50="One2car",'中古車掲載'!F50="Corolla Cross",'中古車掲載'!L50="HEV PREMIUM SAFETY",'中古車掲載'!J50=2023,ISNUMBER('中古車掲載'!N50),'中古車掲載'!N50&gt;=20000,'中古車掲載'!O50&lt;=50000,'中古車掲載'!AL50=1,'中古車掲載'!Z50="https://www.one2car.com/en/cars-for-sale/toyota/corolla-cross/year-2023"),'中古車掲載'!U50,"")</x:f>
      </x:c>
      <x:c r="BF49" s="3" t="str">
        <x:f>IF(AND('中古車掲載'!C50="One2car",'中古車掲載'!F50="Corolla Cross",'中古車掲載'!L50="HEV PREMIUM",'中古車掲載'!J50=2023,ISNUMBER('中古車掲載'!N50),'中古車掲載'!N50&gt;=20000,'中古車掲載'!O50&lt;=100000,'中古車掲載'!AL50=1,'中古車掲載'!Z50="https://www.one2car.com/en/cars-for-sale/toyota/corolla-cross/year-2023"),'中古車掲載'!U50,"")</x:f>
      </x:c>
      <x:c r="BG49" s="3" t="str">
        <x:f>IF(AND('中古車掲載'!C50="One2car",'中古車掲載'!F50="Corolla Cross",'中古車掲載'!L50="HEV GR SPORT",'中古車掲載'!J50=2023,ISNUMBER('中古車掲載'!N50),'中古車掲載'!N50&gt;=20000,'中古車掲載'!O50&lt;=100000,'中古車掲載'!AL50=1,'中古車掲載'!Z50="https://www.one2car.com/en/cars-for-sale/toyota/corolla-cross/year-2023"),'中古車掲載'!U50,"")</x:f>
      </x:c>
      <x:c r="BH49" s="3" t="str">
        <x:f>IF(AND('中古車掲載'!C50="One2car",'中古車掲載'!F50="DOLPHIN",'中古車掲載'!L50="STANDARD RANGE",'中古車掲載'!J50=2023,ISNUMBER('中古車掲載'!N50),'中古車掲載'!N50&gt;=20000,'中古車掲載'!O50&lt;=100000,'中古車掲載'!AL50=1),'中古車掲載'!U50,"")</x:f>
      </x:c>
      <x:c r="BI49" s="3" t="str">
        <x:v>One2car|Corolla Cross|HEV|Bangkok metro</x:v>
      </x:c>
      <x:c r="BJ49" s="3" t="n">
        <x:v>50</x:v>
      </x:c>
      <x:c r="BK49" s="3" t="n">
        <x:f>'中古車掲載'!AM50</x:f>
        <x:v>699000</x:v>
      </x:c>
      <x:c r="BL49" s="3" t="str">
        <x:f>IF(ISNUMBER('中古車掲載'!AN50),'中古車掲載'!AN50,"")</x:f>
      </x:c>
      <x:c r="BM49" s="3" t="str">
        <x:v>2020|Smart cab</x:v>
      </x:c>
      <x:c r="BN49" s="3" t="n">
        <x:v>697</x:v>
      </x:c>
      <x:c r="BO49" s="3" t="n">
        <x:f>'中古車掲載'!AM697</x:f>
        <x:v>489000</x:v>
      </x:c>
      <x:c r="BP49" s="3" t="str">
        <x:v>2.4 PRERUNNER SMART CAB</x:v>
      </x:c>
      <x:c r="BQ49" s="3"/>
      <x:c r="BR49" s="3"/>
    </x:row>
    <x:row r="50" ht="22"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t="str">
        <x:v>1年式差</x:v>
      </x:c>
      <x:c r="AB50" s="3" t="n">
        <x:f>IF(E120&gt;=3,G120,NA())</x:f>
        <x:v>847000</x:v>
      </x:c>
      <x:c r="AC50" s="3" t="e">
        <x:f>NA()</x:f>
        <x:v>#N/A</x:v>
      </x:c>
      <x:c r="AD50" s="3"/>
      <x:c r="AE50" s="3"/>
      <x:c r="AF50" s="3"/>
      <x:c r="AG50" s="3"/>
      <x:c r="AH50" s="3"/>
      <x:c r="AI50" s="3"/>
      <x:c r="AJ50" s="3"/>
      <x:c r="AK50" s="3"/>
      <x:c r="AL50" s="3"/>
      <x:c r="AM50" s="3"/>
      <x:c r="AN50" s="3"/>
      <x:c r="AO50" s="3"/>
      <x:c r="AP50" s="3"/>
      <x:c r="AQ50" s="3"/>
      <x:c r="AR50" s="3"/>
      <x:c r="AS50" s="3"/>
      <x:c r="AT50" s="3"/>
      <x:c r="AU50" s="3"/>
      <x:c r="AV50" s="3"/>
      <x:c r="AW50" s="3"/>
      <x:c r="AX50" s="3"/>
      <x:c r="AY50" s="3"/>
      <x:c r="AZ50" s="3" t="str">
        <x:f>IF(AND('中古車掲載'!C51="One2car",'中古車掲載'!F51="ATTO 3",'中古車掲載'!L51="EXTENDED RANGE",'中古車掲載'!J51=2023,ISNUMBER('中古車掲載'!N51),'中古車掲載'!N51&gt;=20000,'中古車掲載'!O51&lt;=100000,'中古車掲載'!AL51=1),'中古車掲載'!U51,"")</x:f>
      </x:c>
      <x:c r="BA50" s="3" t="str">
        <x:f>IF(AND('中古車掲載'!C51="One2car",'中古車掲載'!F51="Corolla Cross",'中古車掲載'!L51="HEV PREMIUM SAFETY",'中古車掲載'!J51=2023,ISNUMBER('中古車掲載'!N51),'中古車掲載'!N51&gt;=20000,'中古車掲載'!O51&lt;=100000,'中古車掲載'!AL51=1,'中古車掲載'!Z51="https://www.one2car.com/en/cars-for-sale/toyota/corolla-cross/year-2023"),'中古車掲載'!U51,"")</x:f>
      </x:c>
      <x:c r="BB50" s="3" t="str">
        <x:f>IF(AND('中古車掲載'!C51="One2car",'中古車掲載'!F51="ATTO 3",'中古車掲載'!L51="EXTENDED RANGE",'中古車掲載'!J51=2023,ISNUMBER('中古車掲載'!N51),'中古車掲載'!N51&gt;=50000,'中古車掲載'!O51&lt;=100000,'中古車掲載'!AL51=1),'中古車掲載'!U51,"")</x:f>
      </x:c>
      <x:c r="BC50" s="3" t="str">
        <x:f>IF(AND('中古車掲載'!C51="One2car",'中古車掲載'!F51="Corolla Cross",'中古車掲載'!L51="HEV PREMIUM SAFETY",'中古車掲載'!J51=2023,ISNUMBER('中古車掲載'!N51),'中古車掲載'!N51&gt;=50000,'中古車掲載'!O51&lt;=100000,'中古車掲載'!AL51=1,'中古車掲載'!Z51="https://www.one2car.com/en/cars-for-sale/toyota/corolla-cross/year-2023"),'中古車掲載'!U51,"")</x:f>
      </x:c>
      <x:c r="BD50" s="3" t="str">
        <x:f>IF(AND('中古車掲載'!C51="One2car",'中古車掲載'!F51="ATTO 3",'中古車掲載'!L51="EXTENDED RANGE",'中古車掲載'!J51=2023,ISNUMBER('中古車掲載'!N51),'中古車掲載'!N51&gt;=20000,'中古車掲載'!O51&lt;=50000,'中古車掲載'!AL51=1),'中古車掲載'!U51,"")</x:f>
      </x:c>
      <x:c r="BE50" s="3" t="str">
        <x:f>IF(AND('中古車掲載'!C51="One2car",'中古車掲載'!F51="Corolla Cross",'中古車掲載'!L51="HEV PREMIUM SAFETY",'中古車掲載'!J51=2023,ISNUMBER('中古車掲載'!N51),'中古車掲載'!N51&gt;=20000,'中古車掲載'!O51&lt;=50000,'中古車掲載'!AL51=1,'中古車掲載'!Z51="https://www.one2car.com/en/cars-for-sale/toyota/corolla-cross/year-2023"),'中古車掲載'!U51,"")</x:f>
      </x:c>
      <x:c r="BF50" s="3" t="str">
        <x:f>IF(AND('中古車掲載'!C51="One2car",'中古車掲載'!F51="Corolla Cross",'中古車掲載'!L51="HEV PREMIUM",'中古車掲載'!J51=2023,ISNUMBER('中古車掲載'!N51),'中古車掲載'!N51&gt;=20000,'中古車掲載'!O51&lt;=100000,'中古車掲載'!AL51=1,'中古車掲載'!Z51="https://www.one2car.com/en/cars-for-sale/toyota/corolla-cross/year-2023"),'中古車掲載'!U51,"")</x:f>
      </x:c>
      <x:c r="BG50" s="3" t="n">
        <x:f>IF(AND('中古車掲載'!C51="One2car",'中古車掲載'!F51="Corolla Cross",'中古車掲載'!L51="HEV GR SPORT",'中古車掲載'!J51=2023,ISNUMBER('中古車掲載'!N51),'中古車掲載'!N51&gt;=20000,'中古車掲載'!O51&lt;=100000,'中古車掲載'!AL51=1,'中古車掲載'!Z51="https://www.one2car.com/en/cars-for-sale/toyota/corolla-cross/year-2023"),'中古車掲載'!U51,"")</x:f>
        <x:v>839000</x:v>
      </x:c>
      <x:c r="BH50" s="3" t="str">
        <x:f>IF(AND('中古車掲載'!C51="One2car",'中古車掲載'!F51="DOLPHIN",'中古車掲載'!L51="STANDARD RANGE",'中古車掲載'!J51=2023,ISNUMBER('中古車掲載'!N51),'中古車掲載'!N51&gt;=20000,'中古車掲載'!O51&lt;=100000,'中古車掲載'!AL51=1),'中古車掲載'!U51,"")</x:f>
      </x:c>
      <x:c r="BI50" s="3" t="str">
        <x:v>One2car|Corolla Cross|HEV|Bangkok metro</x:v>
      </x:c>
      <x:c r="BJ50" s="3" t="n">
        <x:v>51</x:v>
      </x:c>
      <x:c r="BK50" s="3" t="n">
        <x:f>'中古車掲載'!AM51</x:f>
        <x:v>839000</x:v>
      </x:c>
      <x:c r="BL50" s="3" t="n">
        <x:f>IF(ISNUMBER('中古車掲載'!AN51),'中古車掲載'!AN51,"")</x:f>
        <x:v>0.6690590111642744</x:v>
      </x:c>
      <x:c r="BM50" s="3" t="str">
        <x:v>2020|Smart cab</x:v>
      </x:c>
      <x:c r="BN50" s="3" t="n">
        <x:v>698</x:v>
      </x:c>
      <x:c r="BO50" s="3" t="n">
        <x:f>'中古車掲載'!AM698</x:f>
        <x:v>589000</x:v>
      </x:c>
      <x:c r="BP50" s="3" t="str">
        <x:v>2.4 PRERUNNER SMART CAB</x:v>
      </x:c>
      <x:c r="BQ50" s="3"/>
      <x:c r="BR50" s="3"/>
    </x:row>
    <x:row r="51" ht="22"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t="str">
        <x:v>2年式差</x:v>
      </x:c>
      <x:c r="AB51" s="3" t="e">
        <x:f>IF(E119&gt;=3,G119,NA())</x:f>
        <x:v>#N/A</x:v>
      </x:c>
      <x:c r="AC51" s="3" t="e">
        <x:f>NA()</x:f>
        <x:v>#N/A</x:v>
      </x:c>
      <x:c r="AD51" s="3"/>
      <x:c r="AE51" s="3"/>
      <x:c r="AF51" s="3"/>
      <x:c r="AG51" s="3"/>
      <x:c r="AH51" s="3"/>
      <x:c r="AI51" s="3"/>
      <x:c r="AJ51" s="3"/>
      <x:c r="AK51" s="3"/>
      <x:c r="AL51" s="3"/>
      <x:c r="AM51" s="3"/>
      <x:c r="AN51" s="3"/>
      <x:c r="AO51" s="3"/>
      <x:c r="AP51" s="3"/>
      <x:c r="AQ51" s="3"/>
      <x:c r="AR51" s="3"/>
      <x:c r="AS51" s="3"/>
      <x:c r="AT51" s="3"/>
      <x:c r="AU51" s="3"/>
      <x:c r="AV51" s="3"/>
      <x:c r="AW51" s="3"/>
      <x:c r="AX51" s="3"/>
      <x:c r="AY51" s="3"/>
      <x:c r="AZ51" s="3" t="str">
        <x:f>IF(AND('中古車掲載'!C52="One2car",'中古車掲載'!F52="ATTO 3",'中古車掲載'!L52="EXTENDED RANGE",'中古車掲載'!J52=2023,ISNUMBER('中古車掲載'!N52),'中古車掲載'!N52&gt;=20000,'中古車掲載'!O52&lt;=100000,'中古車掲載'!AL52=1),'中古車掲載'!U52,"")</x:f>
      </x:c>
      <x:c r="BA51" s="3" t="str">
        <x:f>IF(AND('中古車掲載'!C52="One2car",'中古車掲載'!F52="Corolla Cross",'中古車掲載'!L52="HEV PREMIUM SAFETY",'中古車掲載'!J52=2023,ISNUMBER('中古車掲載'!N52),'中古車掲載'!N52&gt;=20000,'中古車掲載'!O52&lt;=100000,'中古車掲載'!AL52=1,'中古車掲載'!Z52="https://www.one2car.com/en/cars-for-sale/toyota/corolla-cross/year-2023"),'中古車掲載'!U52,"")</x:f>
      </x:c>
      <x:c r="BB51" s="3" t="str">
        <x:f>IF(AND('中古車掲載'!C52="One2car",'中古車掲載'!F52="ATTO 3",'中古車掲載'!L52="EXTENDED RANGE",'中古車掲載'!J52=2023,ISNUMBER('中古車掲載'!N52),'中古車掲載'!N52&gt;=50000,'中古車掲載'!O52&lt;=100000,'中古車掲載'!AL52=1),'中古車掲載'!U52,"")</x:f>
      </x:c>
      <x:c r="BC51" s="3" t="str">
        <x:f>IF(AND('中古車掲載'!C52="One2car",'中古車掲載'!F52="Corolla Cross",'中古車掲載'!L52="HEV PREMIUM SAFETY",'中古車掲載'!J52=2023,ISNUMBER('中古車掲載'!N52),'中古車掲載'!N52&gt;=50000,'中古車掲載'!O52&lt;=100000,'中古車掲載'!AL52=1,'中古車掲載'!Z52="https://www.one2car.com/en/cars-for-sale/toyota/corolla-cross/year-2023"),'中古車掲載'!U52,"")</x:f>
      </x:c>
      <x:c r="BD51" s="3" t="str">
        <x:f>IF(AND('中古車掲載'!C52="One2car",'中古車掲載'!F52="ATTO 3",'中古車掲載'!L52="EXTENDED RANGE",'中古車掲載'!J52=2023,ISNUMBER('中古車掲載'!N52),'中古車掲載'!N52&gt;=20000,'中古車掲載'!O52&lt;=50000,'中古車掲載'!AL52=1),'中古車掲載'!U52,"")</x:f>
      </x:c>
      <x:c r="BE51" s="3" t="str">
        <x:f>IF(AND('中古車掲載'!C52="One2car",'中古車掲載'!F52="Corolla Cross",'中古車掲載'!L52="HEV PREMIUM SAFETY",'中古車掲載'!J52=2023,ISNUMBER('中古車掲載'!N52),'中古車掲載'!N52&gt;=20000,'中古車掲載'!O52&lt;=50000,'中古車掲載'!AL52=1,'中古車掲載'!Z52="https://www.one2car.com/en/cars-for-sale/toyota/corolla-cross/year-2023"),'中古車掲載'!U52,"")</x:f>
      </x:c>
      <x:c r="BF51" s="3" t="str">
        <x:f>IF(AND('中古車掲載'!C52="One2car",'中古車掲載'!F52="Corolla Cross",'中古車掲載'!L52="HEV PREMIUM",'中古車掲載'!J52=2023,ISNUMBER('中古車掲載'!N52),'中古車掲載'!N52&gt;=20000,'中古車掲載'!O52&lt;=100000,'中古車掲載'!AL52=1,'中古車掲載'!Z52="https://www.one2car.com/en/cars-for-sale/toyota/corolla-cross/year-2023"),'中古車掲載'!U52,"")</x:f>
      </x:c>
      <x:c r="BG51" s="3" t="n">
        <x:f>IF(AND('中古車掲載'!C52="One2car",'中古車掲載'!F52="Corolla Cross",'中古車掲載'!L52="HEV GR SPORT",'中古車掲載'!J52=2023,ISNUMBER('中古車掲載'!N52),'中古車掲載'!N52&gt;=20000,'中古車掲載'!O52&lt;=100000,'中古車掲載'!AL52=1,'中古車掲載'!Z52="https://www.one2car.com/en/cars-for-sale/toyota/corolla-cross/year-2023"),'中古車掲載'!U52,"")</x:f>
        <x:v>799900</x:v>
      </x:c>
      <x:c r="BH51" s="3" t="str">
        <x:f>IF(AND('中古車掲載'!C52="One2car",'中古車掲載'!F52="DOLPHIN",'中古車掲載'!L52="STANDARD RANGE",'中古車掲載'!J52=2023,ISNUMBER('中古車掲載'!N52),'中古車掲載'!N52&gt;=20000,'中古車掲載'!O52&lt;=100000,'中古車掲載'!AL52=1),'中古車掲載'!U52,"")</x:f>
      </x:c>
      <x:c r="BI51" s="3" t="str">
        <x:v>One2car|Corolla Cross|HEV|Bangkok metro</x:v>
      </x:c>
      <x:c r="BJ51" s="3" t="n">
        <x:v>52</x:v>
      </x:c>
      <x:c r="BK51" s="3" t="n">
        <x:f>'中古車掲載'!AM52</x:f>
        <x:v>799900</x:v>
      </x:c>
      <x:c r="BL51" s="3" t="n">
        <x:f>IF(ISNUMBER('中古車掲載'!AN52),'中古車掲載'!AN52,"")</x:f>
        <x:v>0.6378787878787879</x:v>
      </x:c>
      <x:c r="BM51" s="3" t="str">
        <x:v>2020|Single cab</x:v>
      </x:c>
      <x:c r="BN51" s="3" t="n">
        <x:v>660</x:v>
      </x:c>
      <x:c r="BO51" s="3" t="n">
        <x:f>'中古車掲載'!AM660</x:f>
        <x:v>389000</x:v>
      </x:c>
      <x:c r="BP51" s="3" t="str">
        <x:v>2.4 ENTRY STANDARD CAB</x:v>
      </x:c>
      <x:c r="BQ51" s="3"/>
      <x:c r="BR51" s="3"/>
    </x:row>
    <x:row r="52" ht="22"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t="str">
        <x:v>3年式差</x:v>
      </x:c>
      <x:c r="AB52" s="3" t="e">
        <x:f>IF(E118&gt;=3,G118,NA())</x:f>
        <x:v>#N/A</x:v>
      </x:c>
      <x:c r="AC52" s="3" t="n">
        <x:f>IF(E124&gt;=3,G124,NA())</x:f>
        <x:v>489000</x:v>
      </x:c>
      <x:c r="AD52" s="3"/>
      <x:c r="AE52" s="3"/>
      <x:c r="AF52" s="3"/>
      <x:c r="AG52" s="3"/>
      <x:c r="AH52" s="3"/>
      <x:c r="AI52" s="3"/>
      <x:c r="AJ52" s="3"/>
      <x:c r="AK52" s="3"/>
      <x:c r="AL52" s="3"/>
      <x:c r="AM52" s="3"/>
      <x:c r="AN52" s="3"/>
      <x:c r="AO52" s="3"/>
      <x:c r="AP52" s="3"/>
      <x:c r="AQ52" s="3"/>
      <x:c r="AR52" s="3"/>
      <x:c r="AS52" s="3"/>
      <x:c r="AT52" s="3"/>
      <x:c r="AU52" s="3"/>
      <x:c r="AV52" s="3"/>
      <x:c r="AW52" s="3"/>
      <x:c r="AX52" s="3"/>
      <x:c r="AY52" s="3"/>
      <x:c r="AZ52" s="3" t="str">
        <x:f>IF(AND('中古車掲載'!C53="One2car",'中古車掲載'!F53="ATTO 3",'中古車掲載'!L53="EXTENDED RANGE",'中古車掲載'!J53=2023,ISNUMBER('中古車掲載'!N53),'中古車掲載'!N53&gt;=20000,'中古車掲載'!O53&lt;=100000,'中古車掲載'!AL53=1),'中古車掲載'!U53,"")</x:f>
      </x:c>
      <x:c r="BA52" s="3" t="str">
        <x:f>IF(AND('中古車掲載'!C53="One2car",'中古車掲載'!F53="Corolla Cross",'中古車掲載'!L53="HEV PREMIUM SAFETY",'中古車掲載'!J53=2023,ISNUMBER('中古車掲載'!N53),'中古車掲載'!N53&gt;=20000,'中古車掲載'!O53&lt;=100000,'中古車掲載'!AL53=1,'中古車掲載'!Z53="https://www.one2car.com/en/cars-for-sale/toyota/corolla-cross/year-2023"),'中古車掲載'!U53,"")</x:f>
      </x:c>
      <x:c r="BB52" s="3" t="str">
        <x:f>IF(AND('中古車掲載'!C53="One2car",'中古車掲載'!F53="ATTO 3",'中古車掲載'!L53="EXTENDED RANGE",'中古車掲載'!J53=2023,ISNUMBER('中古車掲載'!N53),'中古車掲載'!N53&gt;=50000,'中古車掲載'!O53&lt;=100000,'中古車掲載'!AL53=1),'中古車掲載'!U53,"")</x:f>
      </x:c>
      <x:c r="BC52" s="3" t="str">
        <x:f>IF(AND('中古車掲載'!C53="One2car",'中古車掲載'!F53="Corolla Cross",'中古車掲載'!L53="HEV PREMIUM SAFETY",'中古車掲載'!J53=2023,ISNUMBER('中古車掲載'!N53),'中古車掲載'!N53&gt;=50000,'中古車掲載'!O53&lt;=100000,'中古車掲載'!AL53=1,'中古車掲載'!Z53="https://www.one2car.com/en/cars-for-sale/toyota/corolla-cross/year-2023"),'中古車掲載'!U53,"")</x:f>
      </x:c>
      <x:c r="BD52" s="3" t="str">
        <x:f>IF(AND('中古車掲載'!C53="One2car",'中古車掲載'!F53="ATTO 3",'中古車掲載'!L53="EXTENDED RANGE",'中古車掲載'!J53=2023,ISNUMBER('中古車掲載'!N53),'中古車掲載'!N53&gt;=20000,'中古車掲載'!O53&lt;=50000,'中古車掲載'!AL53=1),'中古車掲載'!U53,"")</x:f>
      </x:c>
      <x:c r="BE52" s="3" t="str">
        <x:f>IF(AND('中古車掲載'!C53="One2car",'中古車掲載'!F53="Corolla Cross",'中古車掲載'!L53="HEV PREMIUM SAFETY",'中古車掲載'!J53=2023,ISNUMBER('中古車掲載'!N53),'中古車掲載'!N53&gt;=20000,'中古車掲載'!O53&lt;=50000,'中古車掲載'!AL53=1,'中古車掲載'!Z53="https://www.one2car.com/en/cars-for-sale/toyota/corolla-cross/year-2023"),'中古車掲載'!U53,"")</x:f>
      </x:c>
      <x:c r="BF52" s="3" t="str">
        <x:f>IF(AND('中古車掲載'!C53="One2car",'中古車掲載'!F53="Corolla Cross",'中古車掲載'!L53="HEV PREMIUM",'中古車掲載'!J53=2023,ISNUMBER('中古車掲載'!N53),'中古車掲載'!N53&gt;=20000,'中古車掲載'!O53&lt;=100000,'中古車掲載'!AL53=1,'中古車掲載'!Z53="https://www.one2car.com/en/cars-for-sale/toyota/corolla-cross/year-2023"),'中古車掲載'!U53,"")</x:f>
      </x:c>
      <x:c r="BG52" s="3" t="n">
        <x:f>IF(AND('中古車掲載'!C53="One2car",'中古車掲載'!F53="Corolla Cross",'中古車掲載'!L53="HEV GR SPORT",'中古車掲載'!J53=2023,ISNUMBER('中古車掲載'!N53),'中古車掲載'!N53&gt;=20000,'中古車掲載'!O53&lt;=100000,'中古車掲載'!AL53=1,'中古車掲載'!Z53="https://www.one2car.com/en/cars-for-sale/toyota/corolla-cross/year-2023"),'中古車掲載'!U53,"")</x:f>
        <x:v>795000</x:v>
      </x:c>
      <x:c r="BH52" s="3" t="str">
        <x:f>IF(AND('中古車掲載'!C53="One2car",'中古車掲載'!F53="DOLPHIN",'中古車掲載'!L53="STANDARD RANGE",'中古車掲載'!J53=2023,ISNUMBER('中古車掲載'!N53),'中古車掲載'!N53&gt;=20000,'中古車掲載'!O53&lt;=100000,'中古車掲載'!AL53=1),'中古車掲載'!U53,"")</x:f>
      </x:c>
      <x:c r="BI52" s="3" t="str">
        <x:v>One2car|Corolla Cross|HEV|Bangkok metro</x:v>
      </x:c>
      <x:c r="BJ52" s="3" t="n">
        <x:v>53</x:v>
      </x:c>
      <x:c r="BK52" s="3" t="n">
        <x:f>'中古車掲載'!AM53</x:f>
        <x:v>795000</x:v>
      </x:c>
      <x:c r="BL52" s="3" t="n">
        <x:f>IF(ISNUMBER('中古車掲載'!AN53),'中古車掲載'!AN53,"")</x:f>
        <x:v>0.6339712918660287</x:v>
      </x:c>
      <x:c r="BM52" s="3" t="str">
        <x:v>2020|Single cab</x:v>
      </x:c>
      <x:c r="BN52" s="3" t="n">
        <x:v>661</x:v>
      </x:c>
      <x:c r="BO52" s="3" t="n">
        <x:f>'中古車掲載'!AM661</x:f>
        <x:v>364000</x:v>
      </x:c>
      <x:c r="BP52" s="3" t="str">
        <x:v>2.4 ENTRY STANDARD CAB</x:v>
      </x:c>
      <x:c r="BQ52" s="3"/>
      <x:c r="BR52" s="3"/>
    </x:row>
    <x:row r="53" ht="22"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t="str">
        <x:v>4年式差</x:v>
      </x:c>
      <x:c r="AB53" s="3" t="e">
        <x:f>IF(E117&gt;=3,G117,NA())</x:f>
        <x:v>#N/A</x:v>
      </x:c>
      <x:c r="AC53" s="3" t="n">
        <x:f>IF(E123&gt;=3,G123,NA())</x:f>
        <x:v>460000</x:v>
      </x:c>
      <x:c r="AD53" s="3"/>
      <x:c r="AE53" s="3"/>
      <x:c r="AF53" s="3"/>
      <x:c r="AG53" s="3"/>
      <x:c r="AH53" s="3"/>
      <x:c r="AI53" s="3"/>
      <x:c r="AJ53" s="3"/>
      <x:c r="AK53" s="3"/>
      <x:c r="AL53" s="3"/>
      <x:c r="AM53" s="3"/>
      <x:c r="AN53" s="3"/>
      <x:c r="AO53" s="3"/>
      <x:c r="AP53" s="3"/>
      <x:c r="AQ53" s="3"/>
      <x:c r="AR53" s="3"/>
      <x:c r="AS53" s="3"/>
      <x:c r="AT53" s="3"/>
      <x:c r="AU53" s="3"/>
      <x:c r="AV53" s="3"/>
      <x:c r="AW53" s="3"/>
      <x:c r="AX53" s="3"/>
      <x:c r="AY53" s="3"/>
      <x:c r="AZ53" s="3" t="str">
        <x:f>IF(AND('中古車掲載'!C54="One2car",'中古車掲載'!F54="ATTO 3",'中古車掲載'!L54="EXTENDED RANGE",'中古車掲載'!J54=2023,ISNUMBER('中古車掲載'!N54),'中古車掲載'!N54&gt;=20000,'中古車掲載'!O54&lt;=100000,'中古車掲載'!AL54=1),'中古車掲載'!U54,"")</x:f>
      </x:c>
      <x:c r="BA53" s="3" t="str">
        <x:f>IF(AND('中古車掲載'!C54="One2car",'中古車掲載'!F54="Corolla Cross",'中古車掲載'!L54="HEV PREMIUM SAFETY",'中古車掲載'!J54=2023,ISNUMBER('中古車掲載'!N54),'中古車掲載'!N54&gt;=20000,'中古車掲載'!O54&lt;=100000,'中古車掲載'!AL54=1,'中古車掲載'!Z54="https://www.one2car.com/en/cars-for-sale/toyota/corolla-cross/year-2023"),'中古車掲載'!U54,"")</x:f>
      </x:c>
      <x:c r="BB53" s="3" t="str">
        <x:f>IF(AND('中古車掲載'!C54="One2car",'中古車掲載'!F54="ATTO 3",'中古車掲載'!L54="EXTENDED RANGE",'中古車掲載'!J54=2023,ISNUMBER('中古車掲載'!N54),'中古車掲載'!N54&gt;=50000,'中古車掲載'!O54&lt;=100000,'中古車掲載'!AL54=1),'中古車掲載'!U54,"")</x:f>
      </x:c>
      <x:c r="BC53" s="3" t="str">
        <x:f>IF(AND('中古車掲載'!C54="One2car",'中古車掲載'!F54="Corolla Cross",'中古車掲載'!L54="HEV PREMIUM SAFETY",'中古車掲載'!J54=2023,ISNUMBER('中古車掲載'!N54),'中古車掲載'!N54&gt;=50000,'中古車掲載'!O54&lt;=100000,'中古車掲載'!AL54=1,'中古車掲載'!Z54="https://www.one2car.com/en/cars-for-sale/toyota/corolla-cross/year-2023"),'中古車掲載'!U54,"")</x:f>
      </x:c>
      <x:c r="BD53" s="3" t="str">
        <x:f>IF(AND('中古車掲載'!C54="One2car",'中古車掲載'!F54="ATTO 3",'中古車掲載'!L54="EXTENDED RANGE",'中古車掲載'!J54=2023,ISNUMBER('中古車掲載'!N54),'中古車掲載'!N54&gt;=20000,'中古車掲載'!O54&lt;=50000,'中古車掲載'!AL54=1),'中古車掲載'!U54,"")</x:f>
      </x:c>
      <x:c r="BE53" s="3" t="str">
        <x:f>IF(AND('中古車掲載'!C54="One2car",'中古車掲載'!F54="Corolla Cross",'中古車掲載'!L54="HEV PREMIUM SAFETY",'中古車掲載'!J54=2023,ISNUMBER('中古車掲載'!N54),'中古車掲載'!N54&gt;=20000,'中古車掲載'!O54&lt;=50000,'中古車掲載'!AL54=1,'中古車掲載'!Z54="https://www.one2car.com/en/cars-for-sale/toyota/corolla-cross/year-2023"),'中古車掲載'!U54,"")</x:f>
      </x:c>
      <x:c r="BF53" s="3" t="str">
        <x:f>IF(AND('中古車掲載'!C54="One2car",'中古車掲載'!F54="Corolla Cross",'中古車掲載'!L54="HEV PREMIUM",'中古車掲載'!J54=2023,ISNUMBER('中古車掲載'!N54),'中古車掲載'!N54&gt;=20000,'中古車掲載'!O54&lt;=100000,'中古車掲載'!AL54=1,'中古車掲載'!Z54="https://www.one2car.com/en/cars-for-sale/toyota/corolla-cross/year-2023"),'中古車掲載'!U54,"")</x:f>
      </x:c>
      <x:c r="BG53" s="3" t="n">
        <x:f>IF(AND('中古車掲載'!C54="One2car",'中古車掲載'!F54="Corolla Cross",'中古車掲載'!L54="HEV GR SPORT",'中古車掲載'!J54=2023,ISNUMBER('中古車掲載'!N54),'中古車掲載'!N54&gt;=20000,'中古車掲載'!O54&lt;=100000,'中古車掲載'!AL54=1,'中古車掲載'!Z54="https://www.one2car.com/en/cars-for-sale/toyota/corolla-cross/year-2023"),'中古車掲載'!U54,"")</x:f>
        <x:v>799000</x:v>
      </x:c>
      <x:c r="BH53" s="3" t="str">
        <x:f>IF(AND('中古車掲載'!C54="One2car",'中古車掲載'!F54="DOLPHIN",'中古車掲載'!L54="STANDARD RANGE",'中古車掲載'!J54=2023,ISNUMBER('中古車掲載'!N54),'中古車掲載'!N54&gt;=20000,'中古車掲載'!O54&lt;=100000,'中古車掲載'!AL54=1),'中古車掲載'!U54,"")</x:f>
      </x:c>
      <x:c r="BI53" s="3" t="str">
        <x:v>One2car|Corolla Cross|HEV|Bangkok metro</x:v>
      </x:c>
      <x:c r="BJ53" s="3" t="n">
        <x:v>54</x:v>
      </x:c>
      <x:c r="BK53" s="3" t="n">
        <x:f>'中古車掲載'!AM54</x:f>
        <x:v>799000</x:v>
      </x:c>
      <x:c r="BL53" s="3" t="n">
        <x:f>IF(ISNUMBER('中古車掲載'!AN54),'中古車掲載'!AN54,"")</x:f>
        <x:v>0.6371610845295056</x:v>
      </x:c>
      <x:c r="BM53" s="3" t="str">
        <x:v>2020|Single cab</x:v>
      </x:c>
      <x:c r="BN53" s="3" t="n">
        <x:v>662</x:v>
      </x:c>
      <x:c r="BO53" s="3" t="n">
        <x:f>'中古車掲載'!AM662</x:f>
        <x:v>410000</x:v>
      </x:c>
      <x:c r="BP53" s="3" t="str">
        <x:v>2.4 ENTRY STANDARD CAB</x:v>
      </x:c>
      <x:c r="BQ53" s="3"/>
      <x:c r="BR53" s="3"/>
    </x:row>
    <x:row r="54" ht="22"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t="str">
        <x:v>5年式差</x:v>
      </x:c>
      <x:c r="AB54" s="3" t="n">
        <x:f>IF(E116&gt;=3,G116,NA())</x:f>
        <x:v>489000</x:v>
      </x:c>
      <x:c r="AC54" s="3" t="n">
        <x:f>IF(E122&gt;=3,G122,NA())</x:f>
        <x:v>434000</x:v>
      </x:c>
      <x:c r="AD54" s="3"/>
      <x:c r="AE54" s="3"/>
      <x:c r="AF54" s="3"/>
      <x:c r="AG54" s="3"/>
      <x:c r="AH54" s="3"/>
      <x:c r="AI54" s="3"/>
      <x:c r="AJ54" s="3"/>
      <x:c r="AK54" s="3"/>
      <x:c r="AL54" s="3"/>
      <x:c r="AM54" s="3"/>
      <x:c r="AN54" s="3"/>
      <x:c r="AO54" s="3"/>
      <x:c r="AP54" s="3"/>
      <x:c r="AQ54" s="3"/>
      <x:c r="AR54" s="3"/>
      <x:c r="AS54" s="3"/>
      <x:c r="AT54" s="3"/>
      <x:c r="AU54" s="3"/>
      <x:c r="AV54" s="3"/>
      <x:c r="AW54" s="3"/>
      <x:c r="AX54" s="3"/>
      <x:c r="AY54" s="3"/>
      <x:c r="AZ54" s="3" t="str">
        <x:f>IF(AND('中古車掲載'!C55="One2car",'中古車掲載'!F55="ATTO 3",'中古車掲載'!L55="EXTENDED RANGE",'中古車掲載'!J55=2023,ISNUMBER('中古車掲載'!N55),'中古車掲載'!N55&gt;=20000,'中古車掲載'!O55&lt;=100000,'中古車掲載'!AL55=1),'中古車掲載'!U55,"")</x:f>
      </x:c>
      <x:c r="BA54" s="3" t="str">
        <x:f>IF(AND('中古車掲載'!C55="One2car",'中古車掲載'!F55="Corolla Cross",'中古車掲載'!L55="HEV PREMIUM SAFETY",'中古車掲載'!J55=2023,ISNUMBER('中古車掲載'!N55),'中古車掲載'!N55&gt;=20000,'中古車掲載'!O55&lt;=100000,'中古車掲載'!AL55=1,'中古車掲載'!Z55="https://www.one2car.com/en/cars-for-sale/toyota/corolla-cross/year-2023"),'中古車掲載'!U55,"")</x:f>
      </x:c>
      <x:c r="BB54" s="3" t="str">
        <x:f>IF(AND('中古車掲載'!C55="One2car",'中古車掲載'!F55="ATTO 3",'中古車掲載'!L55="EXTENDED RANGE",'中古車掲載'!J55=2023,ISNUMBER('中古車掲載'!N55),'中古車掲載'!N55&gt;=50000,'中古車掲載'!O55&lt;=100000,'中古車掲載'!AL55=1),'中古車掲載'!U55,"")</x:f>
      </x:c>
      <x:c r="BC54" s="3" t="str">
        <x:f>IF(AND('中古車掲載'!C55="One2car",'中古車掲載'!F55="Corolla Cross",'中古車掲載'!L55="HEV PREMIUM SAFETY",'中古車掲載'!J55=2023,ISNUMBER('中古車掲載'!N55),'中古車掲載'!N55&gt;=50000,'中古車掲載'!O55&lt;=100000,'中古車掲載'!AL55=1,'中古車掲載'!Z55="https://www.one2car.com/en/cars-for-sale/toyota/corolla-cross/year-2023"),'中古車掲載'!U55,"")</x:f>
      </x:c>
      <x:c r="BD54" s="3" t="str">
        <x:f>IF(AND('中古車掲載'!C55="One2car",'中古車掲載'!F55="ATTO 3",'中古車掲載'!L55="EXTENDED RANGE",'中古車掲載'!J55=2023,ISNUMBER('中古車掲載'!N55),'中古車掲載'!N55&gt;=20000,'中古車掲載'!O55&lt;=50000,'中古車掲載'!AL55=1),'中古車掲載'!U55,"")</x:f>
      </x:c>
      <x:c r="BE54" s="3" t="str">
        <x:f>IF(AND('中古車掲載'!C55="One2car",'中古車掲載'!F55="Corolla Cross",'中古車掲載'!L55="HEV PREMIUM SAFETY",'中古車掲載'!J55=2023,ISNUMBER('中古車掲載'!N55),'中古車掲載'!N55&gt;=20000,'中古車掲載'!O55&lt;=50000,'中古車掲載'!AL55=1,'中古車掲載'!Z55="https://www.one2car.com/en/cars-for-sale/toyota/corolla-cross/year-2023"),'中古車掲載'!U55,"")</x:f>
      </x:c>
      <x:c r="BF54" s="3" t="str">
        <x:f>IF(AND('中古車掲載'!C55="One2car",'中古車掲載'!F55="Corolla Cross",'中古車掲載'!L55="HEV PREMIUM",'中古車掲載'!J55=2023,ISNUMBER('中古車掲載'!N55),'中古車掲載'!N55&gt;=20000,'中古車掲載'!O55&lt;=100000,'中古車掲載'!AL55=1,'中古車掲載'!Z55="https://www.one2car.com/en/cars-for-sale/toyota/corolla-cross/year-2023"),'中古車掲載'!U55,"")</x:f>
      </x:c>
      <x:c r="BG54" s="3" t="n">
        <x:f>IF(AND('中古車掲載'!C55="One2car",'中古車掲載'!F55="Corolla Cross",'中古車掲載'!L55="HEV GR SPORT",'中古車掲載'!J55=2023,ISNUMBER('中古車掲載'!N55),'中古車掲載'!N55&gt;=20000,'中古車掲載'!O55&lt;=100000,'中古車掲載'!AL55=1,'中古車掲載'!Z55="https://www.one2car.com/en/cars-for-sale/toyota/corolla-cross/year-2023"),'中古車掲載'!U55,"")</x:f>
        <x:v>879000</x:v>
      </x:c>
      <x:c r="BH54" s="3" t="str">
        <x:f>IF(AND('中古車掲載'!C55="One2car",'中古車掲載'!F55="DOLPHIN",'中古車掲載'!L55="STANDARD RANGE",'中古車掲載'!J55=2023,ISNUMBER('中古車掲載'!N55),'中古車掲載'!N55&gt;=20000,'中古車掲載'!O55&lt;=100000,'中古車掲載'!AL55=1),'中古車掲載'!U55,"")</x:f>
      </x:c>
      <x:c r="BI54" s="3" t="str">
        <x:v>One2car|Corolla Cross|HEV|Bangkok metro</x:v>
      </x:c>
      <x:c r="BJ54" s="3" t="n">
        <x:v>56</x:v>
      </x:c>
      <x:c r="BK54" s="3" t="n">
        <x:f>'中古車掲載'!AM56</x:f>
        <x:v>849000</x:v>
      </x:c>
      <x:c r="BL54" s="3" t="n">
        <x:f>IF(ISNUMBER('中古車掲載'!AN56),'中古車掲載'!AN56,"")</x:f>
        <x:v>0.6770334928229665</x:v>
      </x:c>
      <x:c r="BM54" s="3" t="str">
        <x:v>2020|Single cab</x:v>
      </x:c>
      <x:c r="BN54" s="3" t="n">
        <x:v>663</x:v>
      </x:c>
      <x:c r="BO54" s="3" t="n">
        <x:f>'中古車掲載'!AM663</x:f>
        <x:v>290000</x:v>
      </x:c>
      <x:c r="BP54" s="3" t="str">
        <x:v>2.4 ENTRY STANDARD CAB</x:v>
      </x:c>
      <x:c r="BQ54" s="3"/>
      <x:c r="BR54" s="3"/>
    </x:row>
    <x:row r="55" ht="22"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t="str">
        <x:v>6年式差</x:v>
      </x:c>
      <x:c r="AB55" s="3" t="n">
        <x:f>IF(E115&gt;=3,G115,NA())</x:f>
        <x:v>479000</x:v>
      </x:c>
      <x:c r="AC55" s="3" t="n">
        <x:f>IF(E121&gt;=3,G121,NA())</x:f>
        <x:v>439000</x:v>
      </x:c>
      <x:c r="AD55" s="3"/>
      <x:c r="AE55" s="3"/>
      <x:c r="AF55" s="3"/>
      <x:c r="AG55" s="3"/>
      <x:c r="AH55" s="3"/>
      <x:c r="AI55" s="3"/>
      <x:c r="AJ55" s="3"/>
      <x:c r="AK55" s="3"/>
      <x:c r="AL55" s="3"/>
      <x:c r="AM55" s="3"/>
      <x:c r="AN55" s="3"/>
      <x:c r="AO55" s="3"/>
      <x:c r="AP55" s="3"/>
      <x:c r="AQ55" s="3"/>
      <x:c r="AR55" s="3"/>
      <x:c r="AS55" s="3"/>
      <x:c r="AT55" s="3"/>
      <x:c r="AU55" s="3"/>
      <x:c r="AV55" s="3"/>
      <x:c r="AW55" s="3"/>
      <x:c r="AX55" s="3"/>
      <x:c r="AY55" s="3"/>
      <x:c r="AZ55" s="3" t="str">
        <x:f>IF(AND('中古車掲載'!C56="One2car",'中古車掲載'!F56="ATTO 3",'中古車掲載'!L56="EXTENDED RANGE",'中古車掲載'!J56=2023,ISNUMBER('中古車掲載'!N56),'中古車掲載'!N56&gt;=20000,'中古車掲載'!O56&lt;=100000,'中古車掲載'!AL56=1),'中古車掲載'!U56,"")</x:f>
      </x:c>
      <x:c r="BA55" s="3" t="str">
        <x:f>IF(AND('中古車掲載'!C56="One2car",'中古車掲載'!F56="Corolla Cross",'中古車掲載'!L56="HEV PREMIUM SAFETY",'中古車掲載'!J56=2023,ISNUMBER('中古車掲載'!N56),'中古車掲載'!N56&gt;=20000,'中古車掲載'!O56&lt;=100000,'中古車掲載'!AL56=1,'中古車掲載'!Z56="https://www.one2car.com/en/cars-for-sale/toyota/corolla-cross/year-2023"),'中古車掲載'!U56,"")</x:f>
      </x:c>
      <x:c r="BB55" s="3" t="str">
        <x:f>IF(AND('中古車掲載'!C56="One2car",'中古車掲載'!F56="ATTO 3",'中古車掲載'!L56="EXTENDED RANGE",'中古車掲載'!J56=2023,ISNUMBER('中古車掲載'!N56),'中古車掲載'!N56&gt;=50000,'中古車掲載'!O56&lt;=100000,'中古車掲載'!AL56=1),'中古車掲載'!U56,"")</x:f>
      </x:c>
      <x:c r="BC55" s="3" t="str">
        <x:f>IF(AND('中古車掲載'!C56="One2car",'中古車掲載'!F56="Corolla Cross",'中古車掲載'!L56="HEV PREMIUM SAFETY",'中古車掲載'!J56=2023,ISNUMBER('中古車掲載'!N56),'中古車掲載'!N56&gt;=50000,'中古車掲載'!O56&lt;=100000,'中古車掲載'!AL56=1,'中古車掲載'!Z56="https://www.one2car.com/en/cars-for-sale/toyota/corolla-cross/year-2023"),'中古車掲載'!U56,"")</x:f>
      </x:c>
      <x:c r="BD55" s="3" t="str">
        <x:f>IF(AND('中古車掲載'!C56="One2car",'中古車掲載'!F56="ATTO 3",'中古車掲載'!L56="EXTENDED RANGE",'中古車掲載'!J56=2023,ISNUMBER('中古車掲載'!N56),'中古車掲載'!N56&gt;=20000,'中古車掲載'!O56&lt;=50000,'中古車掲載'!AL56=1),'中古車掲載'!U56,"")</x:f>
      </x:c>
      <x:c r="BE55" s="3" t="str">
        <x:f>IF(AND('中古車掲載'!C56="One2car",'中古車掲載'!F56="Corolla Cross",'中古車掲載'!L56="HEV PREMIUM SAFETY",'中古車掲載'!J56=2023,ISNUMBER('中古車掲載'!N56),'中古車掲載'!N56&gt;=20000,'中古車掲載'!O56&lt;=50000,'中古車掲載'!AL56=1,'中古車掲載'!Z56="https://www.one2car.com/en/cars-for-sale/toyota/corolla-cross/year-2023"),'中古車掲載'!U56,"")</x:f>
      </x:c>
      <x:c r="BF55" s="3" t="str">
        <x:f>IF(AND('中古車掲載'!C56="One2car",'中古車掲載'!F56="Corolla Cross",'中古車掲載'!L56="HEV PREMIUM",'中古車掲載'!J56=2023,ISNUMBER('中古車掲載'!N56),'中古車掲載'!N56&gt;=20000,'中古車掲載'!O56&lt;=100000,'中古車掲載'!AL56=1,'中古車掲載'!Z56="https://www.one2car.com/en/cars-for-sale/toyota/corolla-cross/year-2023"),'中古車掲載'!U56,"")</x:f>
      </x:c>
      <x:c r="BG55" s="3" t="n">
        <x:f>IF(AND('中古車掲載'!C56="One2car",'中古車掲載'!F56="Corolla Cross",'中古車掲載'!L56="HEV GR SPORT",'中古車掲載'!J56=2023,ISNUMBER('中古車掲載'!N56),'中古車掲載'!N56&gt;=20000,'中古車掲載'!O56&lt;=100000,'中古車掲載'!AL56=1,'中古車掲載'!Z56="https://www.one2car.com/en/cars-for-sale/toyota/corolla-cross/year-2023"),'中古車掲載'!U56,"")</x:f>
        <x:v>849000</x:v>
      </x:c>
      <x:c r="BH55" s="3" t="str">
        <x:f>IF(AND('中古車掲載'!C56="One2car",'中古車掲載'!F56="DOLPHIN",'中古車掲載'!L56="STANDARD RANGE",'中古車掲載'!J56=2023,ISNUMBER('中古車掲載'!N56),'中古車掲載'!N56&gt;=20000,'中古車掲載'!O56&lt;=100000,'中古車掲載'!AL56=1),'中古車掲載'!U56,"")</x:f>
      </x:c>
      <x:c r="BI55" s="3" t="str">
        <x:v>One2car|Corolla Cross|HEV|Bangkok metro</x:v>
      </x:c>
      <x:c r="BJ55" s="3" t="n">
        <x:v>57</x:v>
      </x:c>
      <x:c r="BK55" s="3" t="n">
        <x:f>'中古車掲載'!AM57</x:f>
        <x:v>739000</x:v>
      </x:c>
      <x:c r="BL55" s="3" t="n">
        <x:f>IF(ISNUMBER('中古車掲載'!AN57),'中古車掲載'!AN57,"")</x:f>
        <x:v>0.6755027422303473</x:v>
      </x:c>
      <x:c r="BM55" s="3" t="str">
        <x:v>2020|Single cab</x:v>
      </x:c>
      <x:c r="BN55" s="3" t="n">
        <x:v>672</x:v>
      </x:c>
      <x:c r="BO55" s="3" t="n">
        <x:f>'中古車掲載'!AM672</x:f>
        <x:v>299000</x:v>
      </x:c>
      <x:c r="BP55" s="3" t="str">
        <x:v>2.4 J STANDARD CAB</x:v>
      </x:c>
      <x:c r="BQ55" s="3"/>
      <x:c r="BR55" s="3"/>
    </x:row>
    <x:row r="56" ht="22"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3"/>
      <x:c r="AF56" s="3"/>
      <x:c r="AG56" s="3"/>
      <x:c r="AH56" s="3"/>
      <x:c r="AI56" s="3"/>
      <x:c r="AJ56" s="3"/>
      <x:c r="AK56" s="3"/>
      <x:c r="AL56" s="3"/>
      <x:c r="AM56" s="3"/>
      <x:c r="AN56" s="3"/>
      <x:c r="AO56" s="3"/>
      <x:c r="AP56" s="3"/>
      <x:c r="AQ56" s="3"/>
      <x:c r="AR56" s="3"/>
      <x:c r="AS56" s="3"/>
      <x:c r="AT56" s="3"/>
      <x:c r="AU56" s="3"/>
      <x:c r="AV56" s="3"/>
      <x:c r="AW56" s="3"/>
      <x:c r="AX56" s="3"/>
      <x:c r="AY56" s="3"/>
      <x:c r="AZ56" s="3" t="str">
        <x:f>IF(AND('中古車掲載'!C57="One2car",'中古車掲載'!F57="ATTO 3",'中古車掲載'!L57="EXTENDED RANGE",'中古車掲載'!J57=2023,ISNUMBER('中古車掲載'!N57),'中古車掲載'!N57&gt;=20000,'中古車掲載'!O57&lt;=100000,'中古車掲載'!AL57=1),'中古車掲載'!U57,"")</x:f>
      </x:c>
      <x:c r="BA56" s="3" t="str">
        <x:f>IF(AND('中古車掲載'!C57="One2car",'中古車掲載'!F57="Corolla Cross",'中古車掲載'!L57="HEV PREMIUM SAFETY",'中古車掲載'!J57=2023,ISNUMBER('中古車掲載'!N57),'中古車掲載'!N57&gt;=20000,'中古車掲載'!O57&lt;=100000,'中古車掲載'!AL57=1,'中古車掲載'!Z57="https://www.one2car.com/en/cars-for-sale/toyota/corolla-cross/year-2023"),'中古車掲載'!U57,"")</x:f>
      </x:c>
      <x:c r="BB56" s="3" t="str">
        <x:f>IF(AND('中古車掲載'!C57="One2car",'中古車掲載'!F57="ATTO 3",'中古車掲載'!L57="EXTENDED RANGE",'中古車掲載'!J57=2023,ISNUMBER('中古車掲載'!N57),'中古車掲載'!N57&gt;=50000,'中古車掲載'!O57&lt;=100000,'中古車掲載'!AL57=1),'中古車掲載'!U57,"")</x:f>
      </x:c>
      <x:c r="BC56" s="3" t="str">
        <x:f>IF(AND('中古車掲載'!C57="One2car",'中古車掲載'!F57="Corolla Cross",'中古車掲載'!L57="HEV PREMIUM SAFETY",'中古車掲載'!J57=2023,ISNUMBER('中古車掲載'!N57),'中古車掲載'!N57&gt;=50000,'中古車掲載'!O57&lt;=100000,'中古車掲載'!AL57=1,'中古車掲載'!Z57="https://www.one2car.com/en/cars-for-sale/toyota/corolla-cross/year-2023"),'中古車掲載'!U57,"")</x:f>
      </x:c>
      <x:c r="BD56" s="3" t="str">
        <x:f>IF(AND('中古車掲載'!C57="One2car",'中古車掲載'!F57="ATTO 3",'中古車掲載'!L57="EXTENDED RANGE",'中古車掲載'!J57=2023,ISNUMBER('中古車掲載'!N57),'中古車掲載'!N57&gt;=20000,'中古車掲載'!O57&lt;=50000,'中古車掲載'!AL57=1),'中古車掲載'!U57,"")</x:f>
      </x:c>
      <x:c r="BE56" s="3" t="str">
        <x:f>IF(AND('中古車掲載'!C57="One2car",'中古車掲載'!F57="Corolla Cross",'中古車掲載'!L57="HEV PREMIUM SAFETY",'中古車掲載'!J57=2023,ISNUMBER('中古車掲載'!N57),'中古車掲載'!N57&gt;=20000,'中古車掲載'!O57&lt;=50000,'中古車掲載'!AL57=1,'中古車掲載'!Z57="https://www.one2car.com/en/cars-for-sale/toyota/corolla-cross/year-2023"),'中古車掲載'!U57,"")</x:f>
      </x:c>
      <x:c r="BF56" s="3" t="n">
        <x:f>IF(AND('中古車掲載'!C57="One2car",'中古車掲載'!F57="Corolla Cross",'中古車掲載'!L57="HEV PREMIUM",'中古車掲載'!J57=2023,ISNUMBER('中古車掲載'!N57),'中古車掲載'!N57&gt;=20000,'中古車掲載'!O57&lt;=100000,'中古車掲載'!AL57=1,'中古車掲載'!Z57="https://www.one2car.com/en/cars-for-sale/toyota/corolla-cross/year-2023"),'中古車掲載'!U57,"")</x:f>
        <x:v>739000</x:v>
      </x:c>
      <x:c r="BG56" s="3" t="str">
        <x:f>IF(AND('中古車掲載'!C57="One2car",'中古車掲載'!F57="Corolla Cross",'中古車掲載'!L57="HEV GR SPORT",'中古車掲載'!J57=2023,ISNUMBER('中古車掲載'!N57),'中古車掲載'!N57&gt;=20000,'中古車掲載'!O57&lt;=100000,'中古車掲載'!AL57=1,'中古車掲載'!Z57="https://www.one2car.com/en/cars-for-sale/toyota/corolla-cross/year-2023"),'中古車掲載'!U57,"")</x:f>
      </x:c>
      <x:c r="BH56" s="3" t="str">
        <x:f>IF(AND('中古車掲載'!C57="One2car",'中古車掲載'!F57="DOLPHIN",'中古車掲載'!L57="STANDARD RANGE",'中古車掲載'!J57=2023,ISNUMBER('中古車掲載'!N57),'中古車掲載'!N57&gt;=20000,'中古車掲載'!O57&lt;=100000,'中古車掲載'!AL57=1),'中古車掲載'!U57,"")</x:f>
      </x:c>
      <x:c r="BI56" s="3" t="str">
        <x:v>One2car|Corolla Cross|HEV|Bangkok metro</x:v>
      </x:c>
      <x:c r="BJ56" s="3" t="n">
        <x:v>58</x:v>
      </x:c>
      <x:c r="BK56" s="3" t="n">
        <x:f>'中古車掲載'!AM58</x:f>
        <x:v>729000</x:v>
      </x:c>
      <x:c r="BL56" s="3" t="n">
        <x:f>IF(ISNUMBER('中古車掲載'!AN58),'中古車掲載'!AN58,"")</x:f>
        <x:v>0.6663619744058501</x:v>
      </x:c>
      <x:c r="BM56" s="3" t="str">
        <x:v>2020|Single cab</x:v>
      </x:c>
      <x:c r="BN56" s="3" t="n">
        <x:v>699</x:v>
      </x:c>
      <x:c r="BO56" s="3" t="n">
        <x:f>'中古車掲載'!AM699</x:f>
        <x:v>539000</x:v>
      </x:c>
      <x:c r="BP56" s="3" t="str">
        <x:v>2.8 ENTRY 4WD STANDARD CAB</x:v>
      </x:c>
      <x:c r="BQ56" s="3"/>
      <x:c r="BR56" s="3"/>
    </x:row>
    <x:row r="57" ht="22"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3"/>
      <x:c r="AF57" s="3"/>
      <x:c r="AG57" s="3"/>
      <x:c r="AH57" s="3"/>
      <x:c r="AI57" s="3"/>
      <x:c r="AJ57" s="3"/>
      <x:c r="AK57" s="3"/>
      <x:c r="AL57" s="3"/>
      <x:c r="AM57" s="3"/>
      <x:c r="AN57" s="3"/>
      <x:c r="AO57" s="3"/>
      <x:c r="AP57" s="3"/>
      <x:c r="AQ57" s="3"/>
      <x:c r="AR57" s="3"/>
      <x:c r="AS57" s="3"/>
      <x:c r="AT57" s="3"/>
      <x:c r="AU57" s="3"/>
      <x:c r="AV57" s="3"/>
      <x:c r="AW57" s="3"/>
      <x:c r="AX57" s="3"/>
      <x:c r="AY57" s="3"/>
      <x:c r="AZ57" s="3" t="str">
        <x:f>IF(AND('中古車掲載'!C58="One2car",'中古車掲載'!F58="ATTO 3",'中古車掲載'!L58="EXTENDED RANGE",'中古車掲載'!J58=2023,ISNUMBER('中古車掲載'!N58),'中古車掲載'!N58&gt;=20000,'中古車掲載'!O58&lt;=100000,'中古車掲載'!AL58=1),'中古車掲載'!U58,"")</x:f>
      </x:c>
      <x:c r="BA57" s="3" t="str">
        <x:f>IF(AND('中古車掲載'!C58="One2car",'中古車掲載'!F58="Corolla Cross",'中古車掲載'!L58="HEV PREMIUM SAFETY",'中古車掲載'!J58=2023,ISNUMBER('中古車掲載'!N58),'中古車掲載'!N58&gt;=20000,'中古車掲載'!O58&lt;=100000,'中古車掲載'!AL58=1,'中古車掲載'!Z58="https://www.one2car.com/en/cars-for-sale/toyota/corolla-cross/year-2023"),'中古車掲載'!U58,"")</x:f>
      </x:c>
      <x:c r="BB57" s="3" t="str">
        <x:f>IF(AND('中古車掲載'!C58="One2car",'中古車掲載'!F58="ATTO 3",'中古車掲載'!L58="EXTENDED RANGE",'中古車掲載'!J58=2023,ISNUMBER('中古車掲載'!N58),'中古車掲載'!N58&gt;=50000,'中古車掲載'!O58&lt;=100000,'中古車掲載'!AL58=1),'中古車掲載'!U58,"")</x:f>
      </x:c>
      <x:c r="BC57" s="3" t="str">
        <x:f>IF(AND('中古車掲載'!C58="One2car",'中古車掲載'!F58="Corolla Cross",'中古車掲載'!L58="HEV PREMIUM SAFETY",'中古車掲載'!J58=2023,ISNUMBER('中古車掲載'!N58),'中古車掲載'!N58&gt;=50000,'中古車掲載'!O58&lt;=100000,'中古車掲載'!AL58=1,'中古車掲載'!Z58="https://www.one2car.com/en/cars-for-sale/toyota/corolla-cross/year-2023"),'中古車掲載'!U58,"")</x:f>
      </x:c>
      <x:c r="BD57" s="3" t="str">
        <x:f>IF(AND('中古車掲載'!C58="One2car",'中古車掲載'!F58="ATTO 3",'中古車掲載'!L58="EXTENDED RANGE",'中古車掲載'!J58=2023,ISNUMBER('中古車掲載'!N58),'中古車掲載'!N58&gt;=20000,'中古車掲載'!O58&lt;=50000,'中古車掲載'!AL58=1),'中古車掲載'!U58,"")</x:f>
      </x:c>
      <x:c r="BE57" s="3" t="str">
        <x:f>IF(AND('中古車掲載'!C58="One2car",'中古車掲載'!F58="Corolla Cross",'中古車掲載'!L58="HEV PREMIUM SAFETY",'中古車掲載'!J58=2023,ISNUMBER('中古車掲載'!N58),'中古車掲載'!N58&gt;=20000,'中古車掲載'!O58&lt;=50000,'中古車掲載'!AL58=1,'中古車掲載'!Z58="https://www.one2car.com/en/cars-for-sale/toyota/corolla-cross/year-2023"),'中古車掲載'!U58,"")</x:f>
      </x:c>
      <x:c r="BF57" s="3" t="n">
        <x:f>IF(AND('中古車掲載'!C58="One2car",'中古車掲載'!F58="Corolla Cross",'中古車掲載'!L58="HEV PREMIUM",'中古車掲載'!J58=2023,ISNUMBER('中古車掲載'!N58),'中古車掲載'!N58&gt;=20000,'中古車掲載'!O58&lt;=100000,'中古車掲載'!AL58=1,'中古車掲載'!Z58="https://www.one2car.com/en/cars-for-sale/toyota/corolla-cross/year-2023"),'中古車掲載'!U58,"")</x:f>
        <x:v>729000</x:v>
      </x:c>
      <x:c r="BG57" s="3" t="str">
        <x:f>IF(AND('中古車掲載'!C58="One2car",'中古車掲載'!F58="Corolla Cross",'中古車掲載'!L58="HEV GR SPORT",'中古車掲載'!J58=2023,ISNUMBER('中古車掲載'!N58),'中古車掲載'!N58&gt;=20000,'中古車掲載'!O58&lt;=100000,'中古車掲載'!AL58=1,'中古車掲載'!Z58="https://www.one2car.com/en/cars-for-sale/toyota/corolla-cross/year-2023"),'中古車掲載'!U58,"")</x:f>
      </x:c>
      <x:c r="BH57" s="3" t="str">
        <x:f>IF(AND('中古車掲載'!C58="One2car",'中古車掲載'!F58="DOLPHIN",'中古車掲載'!L58="STANDARD RANGE",'中古車掲載'!J58=2023,ISNUMBER('中古車掲載'!N58),'中古車掲載'!N58&gt;=20000,'中古車掲載'!O58&lt;=100000,'中古車掲載'!AL58=1),'中古車掲載'!U58,"")</x:f>
      </x:c>
      <x:c r="BI57" s="3" t="str">
        <x:v>One2car|Corolla Cross|HEV|Bangkok metro</x:v>
      </x:c>
      <x:c r="BJ57" s="3" t="n">
        <x:v>59</x:v>
      </x:c>
      <x:c r="BK57" s="3" t="n">
        <x:f>'中古車掲載'!AM59</x:f>
        <x:v>739000</x:v>
      </x:c>
      <x:c r="BL57" s="3" t="n">
        <x:f>IF(ISNUMBER('中古車掲載'!AN59),'中古車掲載'!AN59,"")</x:f>
        <x:v>0.6755027422303473</x:v>
      </x:c>
      <x:c r="BM57" s="3" t="str">
        <x:v>2020|Single cab</x:v>
      </x:c>
      <x:c r="BN57" s="3" t="n">
        <x:v>700</x:v>
      </x:c>
      <x:c r="BO57" s="3" t="n">
        <x:f>'中古車掲載'!AM700</x:f>
        <x:v>320000</x:v>
      </x:c>
      <x:c r="BP57" s="3" t="str">
        <x:v>2.8 J PLUS STANDARD CAB</x:v>
      </x:c>
      <x:c r="BQ57" s="3"/>
      <x:c r="BR57" s="3"/>
    </x:row>
    <x:row r="58" ht="22"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3"/>
      <x:c r="AF58" s="3"/>
      <x:c r="AG58" s="3"/>
      <x:c r="AH58" s="3"/>
      <x:c r="AI58" s="3"/>
      <x:c r="AJ58" s="3"/>
      <x:c r="AK58" s="3"/>
      <x:c r="AL58" s="3"/>
      <x:c r="AM58" s="3"/>
      <x:c r="AN58" s="3"/>
      <x:c r="AO58" s="3"/>
      <x:c r="AP58" s="3"/>
      <x:c r="AQ58" s="3"/>
      <x:c r="AR58" s="3"/>
      <x:c r="AS58" s="3"/>
      <x:c r="AT58" s="3"/>
      <x:c r="AU58" s="3"/>
      <x:c r="AV58" s="3"/>
      <x:c r="AW58" s="3"/>
      <x:c r="AX58" s="3"/>
      <x:c r="AY58" s="3"/>
      <x:c r="AZ58" s="3" t="str">
        <x:f>IF(AND('中古車掲載'!C59="One2car",'中古車掲載'!F59="ATTO 3",'中古車掲載'!L59="EXTENDED RANGE",'中古車掲載'!J59=2023,ISNUMBER('中古車掲載'!N59),'中古車掲載'!N59&gt;=20000,'中古車掲載'!O59&lt;=100000,'中古車掲載'!AL59=1),'中古車掲載'!U59,"")</x:f>
      </x:c>
      <x:c r="BA58" s="3" t="str">
        <x:f>IF(AND('中古車掲載'!C59="One2car",'中古車掲載'!F59="Corolla Cross",'中古車掲載'!L59="HEV PREMIUM SAFETY",'中古車掲載'!J59=2023,ISNUMBER('中古車掲載'!N59),'中古車掲載'!N59&gt;=20000,'中古車掲載'!O59&lt;=100000,'中古車掲載'!AL59=1,'中古車掲載'!Z59="https://www.one2car.com/en/cars-for-sale/toyota/corolla-cross/year-2023"),'中古車掲載'!U59,"")</x:f>
      </x:c>
      <x:c r="BB58" s="3" t="str">
        <x:f>IF(AND('中古車掲載'!C59="One2car",'中古車掲載'!F59="ATTO 3",'中古車掲載'!L59="EXTENDED RANGE",'中古車掲載'!J59=2023,ISNUMBER('中古車掲載'!N59),'中古車掲載'!N59&gt;=50000,'中古車掲載'!O59&lt;=100000,'中古車掲載'!AL59=1),'中古車掲載'!U59,"")</x:f>
      </x:c>
      <x:c r="BC58" s="3" t="str">
        <x:f>IF(AND('中古車掲載'!C59="One2car",'中古車掲載'!F59="Corolla Cross",'中古車掲載'!L59="HEV PREMIUM SAFETY",'中古車掲載'!J59=2023,ISNUMBER('中古車掲載'!N59),'中古車掲載'!N59&gt;=50000,'中古車掲載'!O59&lt;=100000,'中古車掲載'!AL59=1,'中古車掲載'!Z59="https://www.one2car.com/en/cars-for-sale/toyota/corolla-cross/year-2023"),'中古車掲載'!U59,"")</x:f>
      </x:c>
      <x:c r="BD58" s="3" t="str">
        <x:f>IF(AND('中古車掲載'!C59="One2car",'中古車掲載'!F59="ATTO 3",'中古車掲載'!L59="EXTENDED RANGE",'中古車掲載'!J59=2023,ISNUMBER('中古車掲載'!N59),'中古車掲載'!N59&gt;=20000,'中古車掲載'!O59&lt;=50000,'中古車掲載'!AL59=1),'中古車掲載'!U59,"")</x:f>
      </x:c>
      <x:c r="BE58" s="3" t="str">
        <x:f>IF(AND('中古車掲載'!C59="One2car",'中古車掲載'!F59="Corolla Cross",'中古車掲載'!L59="HEV PREMIUM SAFETY",'中古車掲載'!J59=2023,ISNUMBER('中古車掲載'!N59),'中古車掲載'!N59&gt;=20000,'中古車掲載'!O59&lt;=50000,'中古車掲載'!AL59=1,'中古車掲載'!Z59="https://www.one2car.com/en/cars-for-sale/toyota/corolla-cross/year-2023"),'中古車掲載'!U59,"")</x:f>
      </x:c>
      <x:c r="BF58" s="3" t="n">
        <x:f>IF(AND('中古車掲載'!C59="One2car",'中古車掲載'!F59="Corolla Cross",'中古車掲載'!L59="HEV PREMIUM",'中古車掲載'!J59=2023,ISNUMBER('中古車掲載'!N59),'中古車掲載'!N59&gt;=20000,'中古車掲載'!O59&lt;=100000,'中古車掲載'!AL59=1,'中古車掲載'!Z59="https://www.one2car.com/en/cars-for-sale/toyota/corolla-cross/year-2023"),'中古車掲載'!U59,"")</x:f>
        <x:v>739000</x:v>
      </x:c>
      <x:c r="BG58" s="3" t="str">
        <x:f>IF(AND('中古車掲載'!C59="One2car",'中古車掲載'!F59="Corolla Cross",'中古車掲載'!L59="HEV GR SPORT",'中古車掲載'!J59=2023,ISNUMBER('中古車掲載'!N59),'中古車掲載'!N59&gt;=20000,'中古車掲載'!O59&lt;=100000,'中古車掲載'!AL59=1,'中古車掲載'!Z59="https://www.one2car.com/en/cars-for-sale/toyota/corolla-cross/year-2023"),'中古車掲載'!U59,"")</x:f>
      </x:c>
      <x:c r="BH58" s="3" t="str">
        <x:f>IF(AND('中古車掲載'!C59="One2car",'中古車掲載'!F59="DOLPHIN",'中古車掲載'!L59="STANDARD RANGE",'中古車掲載'!J59=2023,ISNUMBER('中古車掲載'!N59),'中古車掲載'!N59&gt;=20000,'中古車掲載'!O59&lt;=100000,'中古車掲載'!AL59=1),'中古車掲載'!U59,"")</x:f>
      </x:c>
      <x:c r="BI58" s="3" t="str">
        <x:v>One2car|Corolla Cross|HEV|Bangkok metro</x:v>
      </x:c>
      <x:c r="BJ58" s="3" t="n">
        <x:v>60</x:v>
      </x:c>
      <x:c r="BK58" s="3" t="n">
        <x:f>'中古車掲載'!AM60</x:f>
        <x:v>688000</x:v>
      </x:c>
      <x:c r="BL58" s="3" t="n">
        <x:f>IF(ISNUMBER('中古車掲載'!AN60),'中古車掲載'!AN60,"")</x:f>
        <x:v>0.6288848263254113</x:v>
      </x:c>
      <x:c r="BM58" s="3" t="str">
        <x:v>2021|Double cab</x:v>
      </x:c>
      <x:c r="BN58" s="3" t="n">
        <x:v>703</x:v>
      </x:c>
      <x:c r="BO58" s="3" t="n">
        <x:f>'中古車掲載'!AM703</x:f>
        <x:v>539000</x:v>
      </x:c>
      <x:c r="BP58" s="3" t="str">
        <x:v>2.4 ENTRY PRERUNNER DOUBLE CAB</x:v>
      </x:c>
      <x:c r="BQ58" s="3"/>
      <x:c r="BR58" s="3"/>
    </x:row>
    <x:row r="59" ht="22"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3"/>
      <x:c r="AF59" s="3"/>
      <x:c r="AG59" s="3"/>
      <x:c r="AH59" s="3"/>
      <x:c r="AI59" s="3"/>
      <x:c r="AJ59" s="3"/>
      <x:c r="AK59" s="3"/>
      <x:c r="AL59" s="3"/>
      <x:c r="AM59" s="3"/>
      <x:c r="AN59" s="3"/>
      <x:c r="AO59" s="3"/>
      <x:c r="AP59" s="3"/>
      <x:c r="AQ59" s="3"/>
      <x:c r="AR59" s="3"/>
      <x:c r="AS59" s="3"/>
      <x:c r="AT59" s="3"/>
      <x:c r="AU59" s="3"/>
      <x:c r="AV59" s="3"/>
      <x:c r="AW59" s="3"/>
      <x:c r="AX59" s="3"/>
      <x:c r="AY59" s="3"/>
      <x:c r="AZ59" s="3" t="str">
        <x:f>IF(AND('中古車掲載'!C60="One2car",'中古車掲載'!F60="ATTO 3",'中古車掲載'!L60="EXTENDED RANGE",'中古車掲載'!J60=2023,ISNUMBER('中古車掲載'!N60),'中古車掲載'!N60&gt;=20000,'中古車掲載'!O60&lt;=100000,'中古車掲載'!AL60=1),'中古車掲載'!U60,"")</x:f>
      </x:c>
      <x:c r="BA59" s="3" t="str">
        <x:f>IF(AND('中古車掲載'!C60="One2car",'中古車掲載'!F60="Corolla Cross",'中古車掲載'!L60="HEV PREMIUM SAFETY",'中古車掲載'!J60=2023,ISNUMBER('中古車掲載'!N60),'中古車掲載'!N60&gt;=20000,'中古車掲載'!O60&lt;=100000,'中古車掲載'!AL60=1,'中古車掲載'!Z60="https://www.one2car.com/en/cars-for-sale/toyota/corolla-cross/year-2023"),'中古車掲載'!U60,"")</x:f>
      </x:c>
      <x:c r="BB59" s="3" t="str">
        <x:f>IF(AND('中古車掲載'!C60="One2car",'中古車掲載'!F60="ATTO 3",'中古車掲載'!L60="EXTENDED RANGE",'中古車掲載'!J60=2023,ISNUMBER('中古車掲載'!N60),'中古車掲載'!N60&gt;=50000,'中古車掲載'!O60&lt;=100000,'中古車掲載'!AL60=1),'中古車掲載'!U60,"")</x:f>
      </x:c>
      <x:c r="BC59" s="3" t="str">
        <x:f>IF(AND('中古車掲載'!C60="One2car",'中古車掲載'!F60="Corolla Cross",'中古車掲載'!L60="HEV PREMIUM SAFETY",'中古車掲載'!J60=2023,ISNUMBER('中古車掲載'!N60),'中古車掲載'!N60&gt;=50000,'中古車掲載'!O60&lt;=100000,'中古車掲載'!AL60=1,'中古車掲載'!Z60="https://www.one2car.com/en/cars-for-sale/toyota/corolla-cross/year-2023"),'中古車掲載'!U60,"")</x:f>
      </x:c>
      <x:c r="BD59" s="3" t="str">
        <x:f>IF(AND('中古車掲載'!C60="One2car",'中古車掲載'!F60="ATTO 3",'中古車掲載'!L60="EXTENDED RANGE",'中古車掲載'!J60=2023,ISNUMBER('中古車掲載'!N60),'中古車掲載'!N60&gt;=20000,'中古車掲載'!O60&lt;=50000,'中古車掲載'!AL60=1),'中古車掲載'!U60,"")</x:f>
      </x:c>
      <x:c r="BE59" s="3" t="str">
        <x:f>IF(AND('中古車掲載'!C60="One2car",'中古車掲載'!F60="Corolla Cross",'中古車掲載'!L60="HEV PREMIUM SAFETY",'中古車掲載'!J60=2023,ISNUMBER('中古車掲載'!N60),'中古車掲載'!N60&gt;=20000,'中古車掲載'!O60&lt;=50000,'中古車掲載'!AL60=1,'中古車掲載'!Z60="https://www.one2car.com/en/cars-for-sale/toyota/corolla-cross/year-2023"),'中古車掲載'!U60,"")</x:f>
      </x:c>
      <x:c r="BF59" s="3" t="n">
        <x:f>IF(AND('中古車掲載'!C60="One2car",'中古車掲載'!F60="Corolla Cross",'中古車掲載'!L60="HEV PREMIUM",'中古車掲載'!J60=2023,ISNUMBER('中古車掲載'!N60),'中古車掲載'!N60&gt;=20000,'中古車掲載'!O60&lt;=100000,'中古車掲載'!AL60=1,'中古車掲載'!Z60="https://www.one2car.com/en/cars-for-sale/toyota/corolla-cross/year-2023"),'中古車掲載'!U60,"")</x:f>
        <x:v>688000</x:v>
      </x:c>
      <x:c r="BG59" s="3" t="str">
        <x:f>IF(AND('中古車掲載'!C60="One2car",'中古車掲載'!F60="Corolla Cross",'中古車掲載'!L60="HEV GR SPORT",'中古車掲載'!J60=2023,ISNUMBER('中古車掲載'!N60),'中古車掲載'!N60&gt;=20000,'中古車掲載'!O60&lt;=100000,'中古車掲載'!AL60=1,'中古車掲載'!Z60="https://www.one2car.com/en/cars-for-sale/toyota/corolla-cross/year-2023"),'中古車掲載'!U60,"")</x:f>
      </x:c>
      <x:c r="BH59" s="3" t="str">
        <x:f>IF(AND('中古車掲載'!C60="One2car",'中古車掲載'!F60="DOLPHIN",'中古車掲載'!L60="STANDARD RANGE",'中古車掲載'!J60=2023,ISNUMBER('中古車掲載'!N60),'中古車掲載'!N60&gt;=20000,'中古車掲載'!O60&lt;=100000,'中古車掲載'!AL60=1),'中古車掲載'!U60,"")</x:f>
      </x:c>
      <x:c r="BI59" s="3" t="str">
        <x:v>One2car|Corolla Cross|HEV|Bangkok metro</x:v>
      </x:c>
      <x:c r="BJ59" s="3" t="n">
        <x:v>61</x:v>
      </x:c>
      <x:c r="BK59" s="3" t="n">
        <x:f>'中古車掲載'!AM61</x:f>
        <x:v>669000</x:v>
      </x:c>
      <x:c r="BL59" s="3" t="n">
        <x:f>IF(ISNUMBER('中古車掲載'!AN61),'中古車掲載'!AN61,"")</x:f>
        <x:v>0.6115173674588665</x:v>
      </x:c>
      <x:c r="BM59" s="3" t="str">
        <x:v>2021|Double cab</x:v>
      </x:c>
      <x:c r="BN59" s="3" t="n">
        <x:v>704</x:v>
      </x:c>
      <x:c r="BO59" s="3" t="n">
        <x:f>'中古車掲載'!AM704</x:f>
        <x:v>504000</x:v>
      </x:c>
      <x:c r="BP59" s="3" t="str">
        <x:v>2.4 ENTRY PRERUNNER DOUBLE CAB</x:v>
      </x:c>
      <x:c r="BQ59" s="3"/>
      <x:c r="BR59" s="3"/>
    </x:row>
    <x:row r="60" ht="22"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3"/>
      <x:c r="AF60" s="3"/>
      <x:c r="AG60" s="3"/>
      <x:c r="AH60" s="3"/>
      <x:c r="AI60" s="3"/>
      <x:c r="AJ60" s="3"/>
      <x:c r="AK60" s="3"/>
      <x:c r="AL60" s="3"/>
      <x:c r="AM60" s="3"/>
      <x:c r="AN60" s="3"/>
      <x:c r="AO60" s="3"/>
      <x:c r="AP60" s="3"/>
      <x:c r="AQ60" s="3"/>
      <x:c r="AR60" s="3"/>
      <x:c r="AS60" s="3"/>
      <x:c r="AT60" s="3"/>
      <x:c r="AU60" s="3"/>
      <x:c r="AV60" s="3"/>
      <x:c r="AW60" s="3"/>
      <x:c r="AX60" s="3"/>
      <x:c r="AY60" s="3"/>
      <x:c r="AZ60" s="3" t="str">
        <x:f>IF(AND('中古車掲載'!C61="One2car",'中古車掲載'!F61="ATTO 3",'中古車掲載'!L61="EXTENDED RANGE",'中古車掲載'!J61=2023,ISNUMBER('中古車掲載'!N61),'中古車掲載'!N61&gt;=20000,'中古車掲載'!O61&lt;=100000,'中古車掲載'!AL61=1),'中古車掲載'!U61,"")</x:f>
      </x:c>
      <x:c r="BA60" s="3" t="str">
        <x:f>IF(AND('中古車掲載'!C61="One2car",'中古車掲載'!F61="Corolla Cross",'中古車掲載'!L61="HEV PREMIUM SAFETY",'中古車掲載'!J61=2023,ISNUMBER('中古車掲載'!N61),'中古車掲載'!N61&gt;=20000,'中古車掲載'!O61&lt;=100000,'中古車掲載'!AL61=1,'中古車掲載'!Z61="https://www.one2car.com/en/cars-for-sale/toyota/corolla-cross/year-2023"),'中古車掲載'!U61,"")</x:f>
      </x:c>
      <x:c r="BB60" s="3" t="str">
        <x:f>IF(AND('中古車掲載'!C61="One2car",'中古車掲載'!F61="ATTO 3",'中古車掲載'!L61="EXTENDED RANGE",'中古車掲載'!J61=2023,ISNUMBER('中古車掲載'!N61),'中古車掲載'!N61&gt;=50000,'中古車掲載'!O61&lt;=100000,'中古車掲載'!AL61=1),'中古車掲載'!U61,"")</x:f>
      </x:c>
      <x:c r="BC60" s="3" t="str">
        <x:f>IF(AND('中古車掲載'!C61="One2car",'中古車掲載'!F61="Corolla Cross",'中古車掲載'!L61="HEV PREMIUM SAFETY",'中古車掲載'!J61=2023,ISNUMBER('中古車掲載'!N61),'中古車掲載'!N61&gt;=50000,'中古車掲載'!O61&lt;=100000,'中古車掲載'!AL61=1,'中古車掲載'!Z61="https://www.one2car.com/en/cars-for-sale/toyota/corolla-cross/year-2023"),'中古車掲載'!U61,"")</x:f>
      </x:c>
      <x:c r="BD60" s="3" t="str">
        <x:f>IF(AND('中古車掲載'!C61="One2car",'中古車掲載'!F61="ATTO 3",'中古車掲載'!L61="EXTENDED RANGE",'中古車掲載'!J61=2023,ISNUMBER('中古車掲載'!N61),'中古車掲載'!N61&gt;=20000,'中古車掲載'!O61&lt;=50000,'中古車掲載'!AL61=1),'中古車掲載'!U61,"")</x:f>
      </x:c>
      <x:c r="BE60" s="3" t="str">
        <x:f>IF(AND('中古車掲載'!C61="One2car",'中古車掲載'!F61="Corolla Cross",'中古車掲載'!L61="HEV PREMIUM SAFETY",'中古車掲載'!J61=2023,ISNUMBER('中古車掲載'!N61),'中古車掲載'!N61&gt;=20000,'中古車掲載'!O61&lt;=50000,'中古車掲載'!AL61=1,'中古車掲載'!Z61="https://www.one2car.com/en/cars-for-sale/toyota/corolla-cross/year-2023"),'中古車掲載'!U61,"")</x:f>
      </x:c>
      <x:c r="BF60" s="3" t="n">
        <x:f>IF(AND('中古車掲載'!C61="One2car",'中古車掲載'!F61="Corolla Cross",'中古車掲載'!L61="HEV PREMIUM",'中古車掲載'!J61=2023,ISNUMBER('中古車掲載'!N61),'中古車掲載'!N61&gt;=20000,'中古車掲載'!O61&lt;=100000,'中古車掲載'!AL61=1,'中古車掲載'!Z61="https://www.one2car.com/en/cars-for-sale/toyota/corolla-cross/year-2023"),'中古車掲載'!U61,"")</x:f>
        <x:v>669000</x:v>
      </x:c>
      <x:c r="BG60" s="3" t="str">
        <x:f>IF(AND('中古車掲載'!C61="One2car",'中古車掲載'!F61="Corolla Cross",'中古車掲載'!L61="HEV GR SPORT",'中古車掲載'!J61=2023,ISNUMBER('中古車掲載'!N61),'中古車掲載'!N61&gt;=20000,'中古車掲載'!O61&lt;=100000,'中古車掲載'!AL61=1,'中古車掲載'!Z61="https://www.one2car.com/en/cars-for-sale/toyota/corolla-cross/year-2023"),'中古車掲載'!U61,"")</x:f>
      </x:c>
      <x:c r="BH60" s="3" t="str">
        <x:f>IF(AND('中古車掲載'!C61="One2car",'中古車掲載'!F61="DOLPHIN",'中古車掲載'!L61="STANDARD RANGE",'中古車掲載'!J61=2023,ISNUMBER('中古車掲載'!N61),'中古車掲載'!N61&gt;=20000,'中古車掲載'!O61&lt;=100000,'中古車掲載'!AL61=1),'中古車掲載'!U61,"")</x:f>
      </x:c>
      <x:c r="BI60" s="3" t="str">
        <x:v>One2car|Corolla Cross|HEV|Bangkok metro</x:v>
      </x:c>
      <x:c r="BJ60" s="3" t="n">
        <x:v>62</x:v>
      </x:c>
      <x:c r="BK60" s="3" t="n">
        <x:f>'中古車掲載'!AM62</x:f>
        <x:v>798000</x:v>
      </x:c>
      <x:c r="BL60" s="3" t="n">
        <x:f>IF(ISNUMBER('中古車掲載'!AN62),'中古車掲載'!AN62,"")</x:f>
        <x:v>0.7294332723948812</x:v>
      </x:c>
      <x:c r="BM60" s="3" t="str">
        <x:v>2021|Double cab</x:v>
      </x:c>
      <x:c r="BN60" s="3" t="n">
        <x:v>705</x:v>
      </x:c>
      <x:c r="BO60" s="3" t="n">
        <x:f>'中古車掲載'!AM705</x:f>
        <x:v>549000</x:v>
      </x:c>
      <x:c r="BP60" s="3" t="str">
        <x:v>2.4 ENTRY PRERUNNER DOUBLE CAB</x:v>
      </x:c>
      <x:c r="BQ60" s="3"/>
      <x:c r="BR60" s="3"/>
    </x:row>
    <x:row r="61" ht="22"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3"/>
      <x:c r="AF61" s="3"/>
      <x:c r="AG61" s="3"/>
      <x:c r="AH61" s="3"/>
      <x:c r="AI61" s="3"/>
      <x:c r="AJ61" s="3"/>
      <x:c r="AK61" s="3"/>
      <x:c r="AL61" s="3"/>
      <x:c r="AM61" s="3"/>
      <x:c r="AN61" s="3"/>
      <x:c r="AO61" s="3"/>
      <x:c r="AP61" s="3"/>
      <x:c r="AQ61" s="3"/>
      <x:c r="AR61" s="3"/>
      <x:c r="AS61" s="3"/>
      <x:c r="AT61" s="3"/>
      <x:c r="AU61" s="3"/>
      <x:c r="AV61" s="3"/>
      <x:c r="AW61" s="3"/>
      <x:c r="AX61" s="3"/>
      <x:c r="AY61" s="3"/>
      <x:c r="AZ61" s="3" t="str">
        <x:f>IF(AND('中古車掲載'!C62="One2car",'中古車掲載'!F62="ATTO 3",'中古車掲載'!L62="EXTENDED RANGE",'中古車掲載'!J62=2023,ISNUMBER('中古車掲載'!N62),'中古車掲載'!N62&gt;=20000,'中古車掲載'!O62&lt;=100000,'中古車掲載'!AL62=1),'中古車掲載'!U62,"")</x:f>
      </x:c>
      <x:c r="BA61" s="3" t="str">
        <x:f>IF(AND('中古車掲載'!C62="One2car",'中古車掲載'!F62="Corolla Cross",'中古車掲載'!L62="HEV PREMIUM SAFETY",'中古車掲載'!J62=2023,ISNUMBER('中古車掲載'!N62),'中古車掲載'!N62&gt;=20000,'中古車掲載'!O62&lt;=100000,'中古車掲載'!AL62=1,'中古車掲載'!Z62="https://www.one2car.com/en/cars-for-sale/toyota/corolla-cross/year-2023"),'中古車掲載'!U62,"")</x:f>
      </x:c>
      <x:c r="BB61" s="3" t="str">
        <x:f>IF(AND('中古車掲載'!C62="One2car",'中古車掲載'!F62="ATTO 3",'中古車掲載'!L62="EXTENDED RANGE",'中古車掲載'!J62=2023,ISNUMBER('中古車掲載'!N62),'中古車掲載'!N62&gt;=50000,'中古車掲載'!O62&lt;=100000,'中古車掲載'!AL62=1),'中古車掲載'!U62,"")</x:f>
      </x:c>
      <x:c r="BC61" s="3" t="str">
        <x:f>IF(AND('中古車掲載'!C62="One2car",'中古車掲載'!F62="Corolla Cross",'中古車掲載'!L62="HEV PREMIUM SAFETY",'中古車掲載'!J62=2023,ISNUMBER('中古車掲載'!N62),'中古車掲載'!N62&gt;=50000,'中古車掲載'!O62&lt;=100000,'中古車掲載'!AL62=1,'中古車掲載'!Z62="https://www.one2car.com/en/cars-for-sale/toyota/corolla-cross/year-2023"),'中古車掲載'!U62,"")</x:f>
      </x:c>
      <x:c r="BD61" s="3" t="str">
        <x:f>IF(AND('中古車掲載'!C62="One2car",'中古車掲載'!F62="ATTO 3",'中古車掲載'!L62="EXTENDED RANGE",'中古車掲載'!J62=2023,ISNUMBER('中古車掲載'!N62),'中古車掲載'!N62&gt;=20000,'中古車掲載'!O62&lt;=50000,'中古車掲載'!AL62=1),'中古車掲載'!U62,"")</x:f>
      </x:c>
      <x:c r="BE61" s="3" t="str">
        <x:f>IF(AND('中古車掲載'!C62="One2car",'中古車掲載'!F62="Corolla Cross",'中古車掲載'!L62="HEV PREMIUM SAFETY",'中古車掲載'!J62=2023,ISNUMBER('中古車掲載'!N62),'中古車掲載'!N62&gt;=20000,'中古車掲載'!O62&lt;=50000,'中古車掲載'!AL62=1,'中古車掲載'!Z62="https://www.one2car.com/en/cars-for-sale/toyota/corolla-cross/year-2023"),'中古車掲載'!U62,"")</x:f>
      </x:c>
      <x:c r="BF61" s="3" t="n">
        <x:f>IF(AND('中古車掲載'!C62="One2car",'中古車掲載'!F62="Corolla Cross",'中古車掲載'!L62="HEV PREMIUM",'中古車掲載'!J62=2023,ISNUMBER('中古車掲載'!N62),'中古車掲載'!N62&gt;=20000,'中古車掲載'!O62&lt;=100000,'中古車掲載'!AL62=1,'中古車掲載'!Z62="https://www.one2car.com/en/cars-for-sale/toyota/corolla-cross/year-2023"),'中古車掲載'!U62,"")</x:f>
        <x:v>798000</x:v>
      </x:c>
      <x:c r="BG61" s="3" t="str">
        <x:f>IF(AND('中古車掲載'!C62="One2car",'中古車掲載'!F62="Corolla Cross",'中古車掲載'!L62="HEV GR SPORT",'中古車掲載'!J62=2023,ISNUMBER('中古車掲載'!N62),'中古車掲載'!N62&gt;=20000,'中古車掲載'!O62&lt;=100000,'中古車掲載'!AL62=1,'中古車掲載'!Z62="https://www.one2car.com/en/cars-for-sale/toyota/corolla-cross/year-2023"),'中古車掲載'!U62,"")</x:f>
      </x:c>
      <x:c r="BH61" s="3" t="str">
        <x:f>IF(AND('中古車掲載'!C62="One2car",'中古車掲載'!F62="DOLPHIN",'中古車掲載'!L62="STANDARD RANGE",'中古車掲載'!J62=2023,ISNUMBER('中古車掲載'!N62),'中古車掲載'!N62&gt;=20000,'中古車掲載'!O62&lt;=100000,'中古車掲載'!AL62=1),'中古車掲載'!U62,"")</x:f>
      </x:c>
      <x:c r="BI61" s="3" t="str">
        <x:v>One2car|Corolla Cross|HEV|Bangkok metro</x:v>
      </x:c>
      <x:c r="BJ61" s="3" t="n">
        <x:v>63</x:v>
      </x:c>
      <x:c r="BK61" s="3" t="n">
        <x:f>'中古車掲載'!AM63</x:f>
        <x:v>669000</x:v>
      </x:c>
      <x:c r="BL61" s="3" t="n">
        <x:f>IF(ISNUMBER('中古車掲載'!AN63),'中古車掲載'!AN63,"")</x:f>
        <x:v>0.6115173674588665</x:v>
      </x:c>
      <x:c r="BM61" s="3" t="str">
        <x:v>2021|Double cab</x:v>
      </x:c>
      <x:c r="BN61" s="3" t="n">
        <x:v>706</x:v>
      </x:c>
      <x:c r="BO61" s="3" t="n">
        <x:f>'中古車掲載'!AM706</x:f>
        <x:v>575000</x:v>
      </x:c>
      <x:c r="BP61" s="3" t="str">
        <x:v>2.4 ENTRY PRERUNNER DOUBLE CAB</x:v>
      </x:c>
      <x:c r="BQ61" s="3"/>
      <x:c r="BR61" s="3"/>
    </x:row>
    <x:row r="62" ht="22"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3"/>
      <x:c r="AF62" s="3"/>
      <x:c r="AG62" s="3"/>
      <x:c r="AH62" s="3"/>
      <x:c r="AI62" s="3"/>
      <x:c r="AJ62" s="3"/>
      <x:c r="AK62" s="3"/>
      <x:c r="AL62" s="3"/>
      <x:c r="AM62" s="3"/>
      <x:c r="AN62" s="3"/>
      <x:c r="AO62" s="3"/>
      <x:c r="AP62" s="3"/>
      <x:c r="AQ62" s="3"/>
      <x:c r="AR62" s="3"/>
      <x:c r="AS62" s="3"/>
      <x:c r="AT62" s="3"/>
      <x:c r="AU62" s="3"/>
      <x:c r="AV62" s="3"/>
      <x:c r="AW62" s="3"/>
      <x:c r="AX62" s="3"/>
      <x:c r="AY62" s="3"/>
      <x:c r="AZ62" s="3" t="str">
        <x:f>IF(AND('中古車掲載'!C63="One2car",'中古車掲載'!F63="ATTO 3",'中古車掲載'!L63="EXTENDED RANGE",'中古車掲載'!J63=2023,ISNUMBER('中古車掲載'!N63),'中古車掲載'!N63&gt;=20000,'中古車掲載'!O63&lt;=100000,'中古車掲載'!AL63=1),'中古車掲載'!U63,"")</x:f>
      </x:c>
      <x:c r="BA62" s="3" t="str">
        <x:f>IF(AND('中古車掲載'!C63="One2car",'中古車掲載'!F63="Corolla Cross",'中古車掲載'!L63="HEV PREMIUM SAFETY",'中古車掲載'!J63=2023,ISNUMBER('中古車掲載'!N63),'中古車掲載'!N63&gt;=20000,'中古車掲載'!O63&lt;=100000,'中古車掲載'!AL63=1,'中古車掲載'!Z63="https://www.one2car.com/en/cars-for-sale/toyota/corolla-cross/year-2023"),'中古車掲載'!U63,"")</x:f>
      </x:c>
      <x:c r="BB62" s="3" t="str">
        <x:f>IF(AND('中古車掲載'!C63="One2car",'中古車掲載'!F63="ATTO 3",'中古車掲載'!L63="EXTENDED RANGE",'中古車掲載'!J63=2023,ISNUMBER('中古車掲載'!N63),'中古車掲載'!N63&gt;=50000,'中古車掲載'!O63&lt;=100000,'中古車掲載'!AL63=1),'中古車掲載'!U63,"")</x:f>
      </x:c>
      <x:c r="BC62" s="3" t="str">
        <x:f>IF(AND('中古車掲載'!C63="One2car",'中古車掲載'!F63="Corolla Cross",'中古車掲載'!L63="HEV PREMIUM SAFETY",'中古車掲載'!J63=2023,ISNUMBER('中古車掲載'!N63),'中古車掲載'!N63&gt;=50000,'中古車掲載'!O63&lt;=100000,'中古車掲載'!AL63=1,'中古車掲載'!Z63="https://www.one2car.com/en/cars-for-sale/toyota/corolla-cross/year-2023"),'中古車掲載'!U63,"")</x:f>
      </x:c>
      <x:c r="BD62" s="3" t="str">
        <x:f>IF(AND('中古車掲載'!C63="One2car",'中古車掲載'!F63="ATTO 3",'中古車掲載'!L63="EXTENDED RANGE",'中古車掲載'!J63=2023,ISNUMBER('中古車掲載'!N63),'中古車掲載'!N63&gt;=20000,'中古車掲載'!O63&lt;=50000,'中古車掲載'!AL63=1),'中古車掲載'!U63,"")</x:f>
      </x:c>
      <x:c r="BE62" s="3" t="str">
        <x:f>IF(AND('中古車掲載'!C63="One2car",'中古車掲載'!F63="Corolla Cross",'中古車掲載'!L63="HEV PREMIUM SAFETY",'中古車掲載'!J63=2023,ISNUMBER('中古車掲載'!N63),'中古車掲載'!N63&gt;=20000,'中古車掲載'!O63&lt;=50000,'中古車掲載'!AL63=1,'中古車掲載'!Z63="https://www.one2car.com/en/cars-for-sale/toyota/corolla-cross/year-2023"),'中古車掲載'!U63,"")</x:f>
      </x:c>
      <x:c r="BF62" s="3" t="str">
        <x:f>IF(AND('中古車掲載'!C63="One2car",'中古車掲載'!F63="Corolla Cross",'中古車掲載'!L63="HEV PREMIUM",'中古車掲載'!J63=2023,ISNUMBER('中古車掲載'!N63),'中古車掲載'!N63&gt;=20000,'中古車掲載'!O63&lt;=100000,'中古車掲載'!AL63=1,'中古車掲載'!Z63="https://www.one2car.com/en/cars-for-sale/toyota/corolla-cross/year-2023"),'中古車掲載'!U63,"")</x:f>
      </x:c>
      <x:c r="BG62" s="3" t="str">
        <x:f>IF(AND('中古車掲載'!C63="One2car",'中古車掲載'!F63="Corolla Cross",'中古車掲載'!L63="HEV GR SPORT",'中古車掲載'!J63=2023,ISNUMBER('中古車掲載'!N63),'中古車掲載'!N63&gt;=20000,'中古車掲載'!O63&lt;=100000,'中古車掲載'!AL63=1,'中古車掲載'!Z63="https://www.one2car.com/en/cars-for-sale/toyota/corolla-cross/year-2023"),'中古車掲載'!U63,"")</x:f>
      </x:c>
      <x:c r="BH62" s="3" t="str">
        <x:f>IF(AND('中古車掲載'!C63="One2car",'中古車掲載'!F63="DOLPHIN",'中古車掲載'!L63="STANDARD RANGE",'中古車掲載'!J63=2023,ISNUMBER('中古車掲載'!N63),'中古車掲載'!N63&gt;=20000,'中古車掲載'!O63&lt;=100000,'中古車掲載'!AL63=1),'中古車掲載'!U63,"")</x:f>
      </x:c>
      <x:c r="BI62" s="3" t="str">
        <x:v>One2car|Corolla Cross|HEV|Bangkok metro</x:v>
      </x:c>
      <x:c r="BJ62" s="3" t="n">
        <x:v>64</x:v>
      </x:c>
      <x:c r="BK62" s="3" t="n">
        <x:f>'中古車掲載'!AM64</x:f>
        <x:v>669000</x:v>
      </x:c>
      <x:c r="BL62" s="3" t="n">
        <x:f>IF(ISNUMBER('中古車掲載'!AN64),'中古車掲載'!AN64,"")</x:f>
        <x:v>0.6115173674588665</x:v>
      </x:c>
      <x:c r="BM62" s="3" t="str">
        <x:v>2021|Double cab</x:v>
      </x:c>
      <x:c r="BN62" s="3" t="n">
        <x:v>707</x:v>
      </x:c>
      <x:c r="BO62" s="3" t="n">
        <x:f>'中古車掲載'!AM707</x:f>
        <x:v>655000</x:v>
      </x:c>
      <x:c r="BP62" s="3" t="str">
        <x:v>2.4 ENTRY PRERUNNER DOUBLE CAB</x:v>
      </x:c>
      <x:c r="BQ62" s="3"/>
      <x:c r="BR62" s="3"/>
    </x:row>
    <x:row r="63" ht="22"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3"/>
      <x:c r="AF63" s="3"/>
      <x:c r="AG63" s="3"/>
      <x:c r="AH63" s="3"/>
      <x:c r="AI63" s="3"/>
      <x:c r="AJ63" s="3"/>
      <x:c r="AK63" s="3"/>
      <x:c r="AL63" s="3"/>
      <x:c r="AM63" s="3"/>
      <x:c r="AN63" s="3"/>
      <x:c r="AO63" s="3"/>
      <x:c r="AP63" s="3"/>
      <x:c r="AQ63" s="3"/>
      <x:c r="AR63" s="3"/>
      <x:c r="AS63" s="3"/>
      <x:c r="AT63" s="3"/>
      <x:c r="AU63" s="3"/>
      <x:c r="AV63" s="3"/>
      <x:c r="AW63" s="3"/>
      <x:c r="AX63" s="3"/>
      <x:c r="AY63" s="3"/>
      <x:c r="AZ63" s="3" t="str">
        <x:f>IF(AND('中古車掲載'!C64="One2car",'中古車掲載'!F64="ATTO 3",'中古車掲載'!L64="EXTENDED RANGE",'中古車掲載'!J64=2023,ISNUMBER('中古車掲載'!N64),'中古車掲載'!N64&gt;=20000,'中古車掲載'!O64&lt;=100000,'中古車掲載'!AL64=1),'中古車掲載'!U64,"")</x:f>
      </x:c>
      <x:c r="BA63" s="3" t="str">
        <x:f>IF(AND('中古車掲載'!C64="One2car",'中古車掲載'!F64="Corolla Cross",'中古車掲載'!L64="HEV PREMIUM SAFETY",'中古車掲載'!J64=2023,ISNUMBER('中古車掲載'!N64),'中古車掲載'!N64&gt;=20000,'中古車掲載'!O64&lt;=100000,'中古車掲載'!AL64=1,'中古車掲載'!Z64="https://www.one2car.com/en/cars-for-sale/toyota/corolla-cross/year-2023"),'中古車掲載'!U64,"")</x:f>
      </x:c>
      <x:c r="BB63" s="3" t="str">
        <x:f>IF(AND('中古車掲載'!C64="One2car",'中古車掲載'!F64="ATTO 3",'中古車掲載'!L64="EXTENDED RANGE",'中古車掲載'!J64=2023,ISNUMBER('中古車掲載'!N64),'中古車掲載'!N64&gt;=50000,'中古車掲載'!O64&lt;=100000,'中古車掲載'!AL64=1),'中古車掲載'!U64,"")</x:f>
      </x:c>
      <x:c r="BC63" s="3" t="str">
        <x:f>IF(AND('中古車掲載'!C64="One2car",'中古車掲載'!F64="Corolla Cross",'中古車掲載'!L64="HEV PREMIUM SAFETY",'中古車掲載'!J64=2023,ISNUMBER('中古車掲載'!N64),'中古車掲載'!N64&gt;=50000,'中古車掲載'!O64&lt;=100000,'中古車掲載'!AL64=1,'中古車掲載'!Z64="https://www.one2car.com/en/cars-for-sale/toyota/corolla-cross/year-2023"),'中古車掲載'!U64,"")</x:f>
      </x:c>
      <x:c r="BD63" s="3" t="str">
        <x:f>IF(AND('中古車掲載'!C64="One2car",'中古車掲載'!F64="ATTO 3",'中古車掲載'!L64="EXTENDED RANGE",'中古車掲載'!J64=2023,ISNUMBER('中古車掲載'!N64),'中古車掲載'!N64&gt;=20000,'中古車掲載'!O64&lt;=50000,'中古車掲載'!AL64=1),'中古車掲載'!U64,"")</x:f>
      </x:c>
      <x:c r="BE63" s="3" t="str">
        <x:f>IF(AND('中古車掲載'!C64="One2car",'中古車掲載'!F64="Corolla Cross",'中古車掲載'!L64="HEV PREMIUM SAFETY",'中古車掲載'!J64=2023,ISNUMBER('中古車掲載'!N64),'中古車掲載'!N64&gt;=20000,'中古車掲載'!O64&lt;=50000,'中古車掲載'!AL64=1,'中古車掲載'!Z64="https://www.one2car.com/en/cars-for-sale/toyota/corolla-cross/year-2023"),'中古車掲載'!U64,"")</x:f>
      </x:c>
      <x:c r="BF63" s="3" t="str">
        <x:f>IF(AND('中古車掲載'!C64="One2car",'中古車掲載'!F64="Corolla Cross",'中古車掲載'!L64="HEV PREMIUM",'中古車掲載'!J64=2023,ISNUMBER('中古車掲載'!N64),'中古車掲載'!N64&gt;=20000,'中古車掲載'!O64&lt;=100000,'中古車掲載'!AL64=1,'中古車掲載'!Z64="https://www.one2car.com/en/cars-for-sale/toyota/corolla-cross/year-2023"),'中古車掲載'!U64,"")</x:f>
      </x:c>
      <x:c r="BG63" s="3" t="str">
        <x:f>IF(AND('中古車掲載'!C64="One2car",'中古車掲載'!F64="Corolla Cross",'中古車掲載'!L64="HEV GR SPORT",'中古車掲載'!J64=2023,ISNUMBER('中古車掲載'!N64),'中古車掲載'!N64&gt;=20000,'中古車掲載'!O64&lt;=100000,'中古車掲載'!AL64=1,'中古車掲載'!Z64="https://www.one2car.com/en/cars-for-sale/toyota/corolla-cross/year-2023"),'中古車掲載'!U64,"")</x:f>
      </x:c>
      <x:c r="BH63" s="3" t="str">
        <x:f>IF(AND('中古車掲載'!C64="One2car",'中古車掲載'!F64="DOLPHIN",'中古車掲載'!L64="STANDARD RANGE",'中古車掲載'!J64=2023,ISNUMBER('中古車掲載'!N64),'中古車掲載'!N64&gt;=20000,'中古車掲載'!O64&lt;=100000,'中古車掲載'!AL64=1),'中古車掲載'!U64,"")</x:f>
      </x:c>
      <x:c r="BI63" s="3" t="str">
        <x:v>One2car|Corolla Cross|HEV|Bangkok metro</x:v>
      </x:c>
      <x:c r="BJ63" s="3" t="n">
        <x:v>65</x:v>
      </x:c>
      <x:c r="BK63" s="3" t="n">
        <x:f>'中古車掲載'!AM65</x:f>
        <x:v>759000</x:v>
      </x:c>
      <x:c r="BL63" s="3" t="n">
        <x:f>IF(ISNUMBER('中古車掲載'!AN65),'中古車掲載'!AN65,"")</x:f>
        <x:v>0.6303986710963455</x:v>
      </x:c>
      <x:c r="BM63" s="3" t="str">
        <x:v>2021|Double cab</x:v>
      </x:c>
      <x:c r="BN63" s="3" t="n">
        <x:v>708</x:v>
      </x:c>
      <x:c r="BO63" s="3" t="n">
        <x:f>'中古車掲載'!AM708</x:f>
        <x:v>565000</x:v>
      </x:c>
      <x:c r="BP63" s="3" t="str">
        <x:v>2.4 ENTRY PRERUNNER DOUBLE CAB</x:v>
      </x:c>
      <x:c r="BQ63" s="3"/>
      <x:c r="BR63" s="3"/>
    </x:row>
    <x:row r="64" ht="22" customHeight="1">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c r="AA64" s="3"/>
      <x:c r="AB64" s="3"/>
      <x:c r="AC64" s="3"/>
      <x:c r="AD64" s="3"/>
      <x:c r="AE64" s="3"/>
      <x:c r="AF64" s="3"/>
      <x:c r="AG64" s="3"/>
      <x:c r="AH64" s="3"/>
      <x:c r="AI64" s="3"/>
      <x:c r="AJ64" s="3"/>
      <x:c r="AK64" s="3"/>
      <x:c r="AL64" s="3"/>
      <x:c r="AM64" s="3"/>
      <x:c r="AN64" s="3"/>
      <x:c r="AO64" s="3"/>
      <x:c r="AP64" s="3"/>
      <x:c r="AQ64" s="3"/>
      <x:c r="AR64" s="3"/>
      <x:c r="AS64" s="3"/>
      <x:c r="AT64" s="3"/>
      <x:c r="AU64" s="3"/>
      <x:c r="AV64" s="3"/>
      <x:c r="AW64" s="3"/>
      <x:c r="AX64" s="3"/>
      <x:c r="AY64" s="3"/>
      <x:c r="AZ64" s="3" t="str">
        <x:f>IF(AND('中古車掲載'!C65="One2car",'中古車掲載'!F65="ATTO 3",'中古車掲載'!L65="EXTENDED RANGE",'中古車掲載'!J65=2023,ISNUMBER('中古車掲載'!N65),'中古車掲載'!N65&gt;=20000,'中古車掲載'!O65&lt;=100000,'中古車掲載'!AL65=1),'中古車掲載'!U65,"")</x:f>
      </x:c>
      <x:c r="BA64" s="3" t="n">
        <x:f>IF(AND('中古車掲載'!C65="One2car",'中古車掲載'!F65="Corolla Cross",'中古車掲載'!L65="HEV PREMIUM SAFETY",'中古車掲載'!J65=2023,ISNUMBER('中古車掲載'!N65),'中古車掲載'!N65&gt;=20000,'中古車掲載'!O65&lt;=100000,'中古車掲載'!AL65=1,'中古車掲載'!Z65="https://www.one2car.com/en/cars-for-sale/toyota/corolla-cross/year-2023"),'中古車掲載'!U65,"")</x:f>
        <x:v>759000</x:v>
      </x:c>
      <x:c r="BB64" s="3" t="str">
        <x:f>IF(AND('中古車掲載'!C65="One2car",'中古車掲載'!F65="ATTO 3",'中古車掲載'!L65="EXTENDED RANGE",'中古車掲載'!J65=2023,ISNUMBER('中古車掲載'!N65),'中古車掲載'!N65&gt;=50000,'中古車掲載'!O65&lt;=100000,'中古車掲載'!AL65=1),'中古車掲載'!U65,"")</x:f>
      </x:c>
      <x:c r="BC64" s="3" t="str">
        <x:f>IF(AND('中古車掲載'!C65="One2car",'中古車掲載'!F65="Corolla Cross",'中古車掲載'!L65="HEV PREMIUM SAFETY",'中古車掲載'!J65=2023,ISNUMBER('中古車掲載'!N65),'中古車掲載'!N65&gt;=50000,'中古車掲載'!O65&lt;=100000,'中古車掲載'!AL65=1,'中古車掲載'!Z65="https://www.one2car.com/en/cars-for-sale/toyota/corolla-cross/year-2023"),'中古車掲載'!U65,"")</x:f>
      </x:c>
      <x:c r="BD64" s="3" t="str">
        <x:f>IF(AND('中古車掲載'!C65="One2car",'中古車掲載'!F65="ATTO 3",'中古車掲載'!L65="EXTENDED RANGE",'中古車掲載'!J65=2023,ISNUMBER('中古車掲載'!N65),'中古車掲載'!N65&gt;=20000,'中古車掲載'!O65&lt;=50000,'中古車掲載'!AL65=1),'中古車掲載'!U65,"")</x:f>
      </x:c>
      <x:c r="BE64" s="3" t="n">
        <x:f>IF(AND('中古車掲載'!C65="One2car",'中古車掲載'!F65="Corolla Cross",'中古車掲載'!L65="HEV PREMIUM SAFETY",'中古車掲載'!J65=2023,ISNUMBER('中古車掲載'!N65),'中古車掲載'!N65&gt;=20000,'中古車掲載'!O65&lt;=50000,'中古車掲載'!AL65=1,'中古車掲載'!Z65="https://www.one2car.com/en/cars-for-sale/toyota/corolla-cross/year-2023"),'中古車掲載'!U65,"")</x:f>
        <x:v>759000</x:v>
      </x:c>
      <x:c r="BF64" s="3" t="str">
        <x:f>IF(AND('中古車掲載'!C65="One2car",'中古車掲載'!F65="Corolla Cross",'中古車掲載'!L65="HEV PREMIUM",'中古車掲載'!J65=2023,ISNUMBER('中古車掲載'!N65),'中古車掲載'!N65&gt;=20000,'中古車掲載'!O65&lt;=100000,'中古車掲載'!AL65=1,'中古車掲載'!Z65="https://www.one2car.com/en/cars-for-sale/toyota/corolla-cross/year-2023"),'中古車掲載'!U65,"")</x:f>
      </x:c>
      <x:c r="BG64" s="3" t="str">
        <x:f>IF(AND('中古車掲載'!C65="One2car",'中古車掲載'!F65="Corolla Cross",'中古車掲載'!L65="HEV GR SPORT",'中古車掲載'!J65=2023,ISNUMBER('中古車掲載'!N65),'中古車掲載'!N65&gt;=20000,'中古車掲載'!O65&lt;=100000,'中古車掲載'!AL65=1,'中古車掲載'!Z65="https://www.one2car.com/en/cars-for-sale/toyota/corolla-cross/year-2023"),'中古車掲載'!U65,"")</x:f>
      </x:c>
      <x:c r="BH64" s="3" t="str">
        <x:f>IF(AND('中古車掲載'!C65="One2car",'中古車掲載'!F65="DOLPHIN",'中古車掲載'!L65="STANDARD RANGE",'中古車掲載'!J65=2023,ISNUMBER('中古車掲載'!N65),'中古車掲載'!N65&gt;=20000,'中古車掲載'!O65&lt;=100000,'中古車掲載'!AL65=1),'中古車掲載'!U65,"")</x:f>
      </x:c>
      <x:c r="BI64" s="3" t="str">
        <x:v>One2car|Corolla Cross|HEV|Bangkok metro</x:v>
      </x:c>
      <x:c r="BJ64" s="3" t="n">
        <x:v>66</x:v>
      </x:c>
      <x:c r="BK64" s="3" t="n">
        <x:f>'中古車掲載'!AM66</x:f>
        <x:v>778000</x:v>
      </x:c>
      <x:c r="BL64" s="3" t="n">
        <x:f>IF(ISNUMBER('中古車掲載'!AN66),'中古車掲載'!AN66,"")</x:f>
        <x:v>0.6461794019933554</x:v>
      </x:c>
      <x:c r="BM64" s="3" t="str">
        <x:v>2021|Double cab</x:v>
      </x:c>
      <x:c r="BN64" s="3" t="n">
        <x:v>709</x:v>
      </x:c>
      <x:c r="BO64" s="3" t="n">
        <x:f>'中古車掲載'!AM709</x:f>
        <x:v>659000</x:v>
      </x:c>
      <x:c r="BP64" s="3" t="str">
        <x:v>2.4 ENTRY PRERUNNER DOUBLE CAB</x:v>
      </x:c>
      <x:c r="BQ64" s="3"/>
      <x:c r="BR64" s="3"/>
    </x:row>
    <x:row r="65" ht="30" customHeight="1">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c r="AA65" s="16" t="str">
        <x:v>年式差</x:v>
      </x:c>
      <x:c r="AB65" s="21" t="str">
        <x:v>Double cab</x:v>
      </x:c>
      <x:c r="AC65" s="21" t="str">
        <x:v>Smart cab</x:v>
      </x:c>
      <x:c r="AD65" s="17" t="str">
        <x:v>Single cab</x:v>
      </x:c>
      <x:c r="AE65" s="3"/>
      <x:c r="AF65" s="3"/>
      <x:c r="AG65" s="3"/>
      <x:c r="AH65" s="3"/>
      <x:c r="AI65" s="3"/>
      <x:c r="AJ65" s="3"/>
      <x:c r="AK65" s="3"/>
      <x:c r="AL65" s="3"/>
      <x:c r="AM65" s="3"/>
      <x:c r="AN65" s="3"/>
      <x:c r="AO65" s="3"/>
      <x:c r="AP65" s="3"/>
      <x:c r="AQ65" s="3"/>
      <x:c r="AR65" s="3"/>
      <x:c r="AS65" s="3"/>
      <x:c r="AT65" s="3"/>
      <x:c r="AU65" s="3"/>
      <x:c r="AV65" s="3"/>
      <x:c r="AW65" s="3"/>
      <x:c r="AX65" s="3"/>
      <x:c r="AY65" s="3"/>
      <x:c r="AZ65" s="3" t="str">
        <x:f>IF(AND('中古車掲載'!C66="One2car",'中古車掲載'!F66="ATTO 3",'中古車掲載'!L66="EXTENDED RANGE",'中古車掲載'!J66=2023,ISNUMBER('中古車掲載'!N66),'中古車掲載'!N66&gt;=20000,'中古車掲載'!O66&lt;=100000,'中古車掲載'!AL66=1),'中古車掲載'!U66,"")</x:f>
      </x:c>
      <x:c r="BA65" s="3" t="n">
        <x:f>IF(AND('中古車掲載'!C66="One2car",'中古車掲載'!F66="Corolla Cross",'中古車掲載'!L66="HEV PREMIUM SAFETY",'中古車掲載'!J66=2023,ISNUMBER('中古車掲載'!N66),'中古車掲載'!N66&gt;=20000,'中古車掲載'!O66&lt;=100000,'中古車掲載'!AL66=1,'中古車掲載'!Z66="https://www.one2car.com/en/cars-for-sale/toyota/corolla-cross/year-2023"),'中古車掲載'!U66,"")</x:f>
        <x:v>778000</x:v>
      </x:c>
      <x:c r="BB65" s="3" t="str">
        <x:f>IF(AND('中古車掲載'!C66="One2car",'中古車掲載'!F66="ATTO 3",'中古車掲載'!L66="EXTENDED RANGE",'中古車掲載'!J66=2023,ISNUMBER('中古車掲載'!N66),'中古車掲載'!N66&gt;=50000,'中古車掲載'!O66&lt;=100000,'中古車掲載'!AL66=1),'中古車掲載'!U66,"")</x:f>
      </x:c>
      <x:c r="BC65" s="3" t="n">
        <x:f>IF(AND('中古車掲載'!C66="One2car",'中古車掲載'!F66="Corolla Cross",'中古車掲載'!L66="HEV PREMIUM SAFETY",'中古車掲載'!J66=2023,ISNUMBER('中古車掲載'!N66),'中古車掲載'!N66&gt;=50000,'中古車掲載'!O66&lt;=100000,'中古車掲載'!AL66=1,'中古車掲載'!Z66="https://www.one2car.com/en/cars-for-sale/toyota/corolla-cross/year-2023"),'中古車掲載'!U66,"")</x:f>
        <x:v>778000</x:v>
      </x:c>
      <x:c r="BD65" s="3" t="str">
        <x:f>IF(AND('中古車掲載'!C66="One2car",'中古車掲載'!F66="ATTO 3",'中古車掲載'!L66="EXTENDED RANGE",'中古車掲載'!J66=2023,ISNUMBER('中古車掲載'!N66),'中古車掲載'!N66&gt;=20000,'中古車掲載'!O66&lt;=50000,'中古車掲載'!AL66=1),'中古車掲載'!U66,"")</x:f>
      </x:c>
      <x:c r="BE65" s="3" t="str">
        <x:f>IF(AND('中古車掲載'!C66="One2car",'中古車掲載'!F66="Corolla Cross",'中古車掲載'!L66="HEV PREMIUM SAFETY",'中古車掲載'!J66=2023,ISNUMBER('中古車掲載'!N66),'中古車掲載'!N66&gt;=20000,'中古車掲載'!O66&lt;=50000,'中古車掲載'!AL66=1,'中古車掲載'!Z66="https://www.one2car.com/en/cars-for-sale/toyota/corolla-cross/year-2023"),'中古車掲載'!U66,"")</x:f>
      </x:c>
      <x:c r="BF65" s="3" t="str">
        <x:f>IF(AND('中古車掲載'!C66="One2car",'中古車掲載'!F66="Corolla Cross",'中古車掲載'!L66="HEV PREMIUM",'中古車掲載'!J66=2023,ISNUMBER('中古車掲載'!N66),'中古車掲載'!N66&gt;=20000,'中古車掲載'!O66&lt;=100000,'中古車掲載'!AL66=1,'中古車掲載'!Z66="https://www.one2car.com/en/cars-for-sale/toyota/corolla-cross/year-2023"),'中古車掲載'!U66,"")</x:f>
      </x:c>
      <x:c r="BG65" s="3" t="str">
        <x:f>IF(AND('中古車掲載'!C66="One2car",'中古車掲載'!F66="Corolla Cross",'中古車掲載'!L66="HEV GR SPORT",'中古車掲載'!J66=2023,ISNUMBER('中古車掲載'!N66),'中古車掲載'!N66&gt;=20000,'中古車掲載'!O66&lt;=100000,'中古車掲載'!AL66=1,'中古車掲載'!Z66="https://www.one2car.com/en/cars-for-sale/toyota/corolla-cross/year-2023"),'中古車掲載'!U66,"")</x:f>
      </x:c>
      <x:c r="BH65" s="3" t="str">
        <x:f>IF(AND('中古車掲載'!C66="One2car",'中古車掲載'!F66="DOLPHIN",'中古車掲載'!L66="STANDARD RANGE",'中古車掲載'!J66=2023,ISNUMBER('中古車掲載'!N66),'中古車掲載'!N66&gt;=20000,'中古車掲載'!O66&lt;=100000,'中古車掲載'!AL66=1),'中古車掲載'!U66,"")</x:f>
      </x:c>
      <x:c r="BI65" s="3" t="str">
        <x:v>One2car|Corolla Cross|HEV|Bangkok metro</x:v>
      </x:c>
      <x:c r="BJ65" s="3" t="n">
        <x:v>67</x:v>
      </x:c>
      <x:c r="BK65" s="3" t="n">
        <x:f>'中古車掲載'!AM67</x:f>
        <x:v>759000</x:v>
      </x:c>
      <x:c r="BL65" s="3" t="n">
        <x:f>IF(ISNUMBER('中古車掲載'!AN67),'中古車掲載'!AN67,"")</x:f>
        <x:v>0.6303986710963455</x:v>
      </x:c>
      <x:c r="BM65" s="3" t="str">
        <x:v>2021|Double cab</x:v>
      </x:c>
      <x:c r="BN65" s="3" t="n">
        <x:v>724</x:v>
      </x:c>
      <x:c r="BO65" s="3" t="n">
        <x:f>'中古車掲載'!AM724</x:f>
        <x:v>469000</x:v>
      </x:c>
      <x:c r="BP65" s="3" t="str">
        <x:v>2.4 ENTRY Z EDITION DOUBLE CAB</x:v>
      </x:c>
      <x:c r="BQ65" s="3"/>
      <x:c r="BR65" s="3"/>
    </x:row>
    <x:row r="66" ht="22" customHeight="1">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c r="AA66" s="3" t="str">
        <x:v>1年式差</x:v>
      </x:c>
      <x:c r="AB66" s="3" t="n">
        <x:f>IF(COUNT(BO251:BO262)&gt;=3,MEDIAN(BO251:BO262),NA())</x:f>
        <x:v>699000</x:v>
      </x:c>
      <x:c r="AC66" s="3" t="n">
        <x:f>IF(COUNT(BO263:BO268)&gt;=3,MEDIAN(BO263:BO268),NA())</x:f>
        <x:v>589000</x:v>
      </x:c>
      <x:c r="AD66" s="3" t="n">
        <x:f>IF(COUNT(BO269:BO274)&gt;=3,MEDIAN(BO269:BO274),NA())</x:f>
        <x:v>534000</x:v>
      </x:c>
      <x:c r="AE66" s="3"/>
      <x:c r="AF66" s="3"/>
      <x:c r="AG66" s="3"/>
      <x:c r="AH66" s="3"/>
      <x:c r="AI66" s="3"/>
      <x:c r="AJ66" s="3"/>
      <x:c r="AK66" s="3"/>
      <x:c r="AL66" s="3"/>
      <x:c r="AM66" s="3"/>
      <x:c r="AN66" s="3"/>
      <x:c r="AO66" s="3"/>
      <x:c r="AP66" s="3"/>
      <x:c r="AQ66" s="3"/>
      <x:c r="AR66" s="3"/>
      <x:c r="AS66" s="3"/>
      <x:c r="AT66" s="3"/>
      <x:c r="AU66" s="3"/>
      <x:c r="AV66" s="3"/>
      <x:c r="AW66" s="3"/>
      <x:c r="AX66" s="3"/>
      <x:c r="AY66" s="3"/>
      <x:c r="AZ66" s="3" t="str">
        <x:f>IF(AND('中古車掲載'!C67="One2car",'中古車掲載'!F67="ATTO 3",'中古車掲載'!L67="EXTENDED RANGE",'中古車掲載'!J67=2023,ISNUMBER('中古車掲載'!N67),'中古車掲載'!N67&gt;=20000,'中古車掲載'!O67&lt;=100000,'中古車掲載'!AL67=1),'中古車掲載'!U67,"")</x:f>
      </x:c>
      <x:c r="BA66" s="3" t="n">
        <x:f>IF(AND('中古車掲載'!C67="One2car",'中古車掲載'!F67="Corolla Cross",'中古車掲載'!L67="HEV PREMIUM SAFETY",'中古車掲載'!J67=2023,ISNUMBER('中古車掲載'!N67),'中古車掲載'!N67&gt;=20000,'中古車掲載'!O67&lt;=100000,'中古車掲載'!AL67=1,'中古車掲載'!Z67="https://www.one2car.com/en/cars-for-sale/toyota/corolla-cross/year-2023"),'中古車掲載'!U67,"")</x:f>
        <x:v>759000</x:v>
      </x:c>
      <x:c r="BB66" s="3" t="str">
        <x:f>IF(AND('中古車掲載'!C67="One2car",'中古車掲載'!F67="ATTO 3",'中古車掲載'!L67="EXTENDED RANGE",'中古車掲載'!J67=2023,ISNUMBER('中古車掲載'!N67),'中古車掲載'!N67&gt;=50000,'中古車掲載'!O67&lt;=100000,'中古車掲載'!AL67=1),'中古車掲載'!U67,"")</x:f>
      </x:c>
      <x:c r="BC66" s="3" t="n">
        <x:f>IF(AND('中古車掲載'!C67="One2car",'中古車掲載'!F67="Corolla Cross",'中古車掲載'!L67="HEV PREMIUM SAFETY",'中古車掲載'!J67=2023,ISNUMBER('中古車掲載'!N67),'中古車掲載'!N67&gt;=50000,'中古車掲載'!O67&lt;=100000,'中古車掲載'!AL67=1,'中古車掲載'!Z67="https://www.one2car.com/en/cars-for-sale/toyota/corolla-cross/year-2023"),'中古車掲載'!U67,"")</x:f>
        <x:v>759000</x:v>
      </x:c>
      <x:c r="BD66" s="3" t="str">
        <x:f>IF(AND('中古車掲載'!C67="One2car",'中古車掲載'!F67="ATTO 3",'中古車掲載'!L67="EXTENDED RANGE",'中古車掲載'!J67=2023,ISNUMBER('中古車掲載'!N67),'中古車掲載'!N67&gt;=20000,'中古車掲載'!O67&lt;=50000,'中古車掲載'!AL67=1),'中古車掲載'!U67,"")</x:f>
      </x:c>
      <x:c r="BE66" s="3" t="str">
        <x:f>IF(AND('中古車掲載'!C67="One2car",'中古車掲載'!F67="Corolla Cross",'中古車掲載'!L67="HEV PREMIUM SAFETY",'中古車掲載'!J67=2023,ISNUMBER('中古車掲載'!N67),'中古車掲載'!N67&gt;=20000,'中古車掲載'!O67&lt;=50000,'中古車掲載'!AL67=1,'中古車掲載'!Z67="https://www.one2car.com/en/cars-for-sale/toyota/corolla-cross/year-2023"),'中古車掲載'!U67,"")</x:f>
      </x:c>
      <x:c r="BF66" s="3" t="str">
        <x:f>IF(AND('中古車掲載'!C67="One2car",'中古車掲載'!F67="Corolla Cross",'中古車掲載'!L67="HEV PREMIUM",'中古車掲載'!J67=2023,ISNUMBER('中古車掲載'!N67),'中古車掲載'!N67&gt;=20000,'中古車掲載'!O67&lt;=100000,'中古車掲載'!AL67=1,'中古車掲載'!Z67="https://www.one2car.com/en/cars-for-sale/toyota/corolla-cross/year-2023"),'中古車掲載'!U67,"")</x:f>
      </x:c>
      <x:c r="BG66" s="3" t="str">
        <x:f>IF(AND('中古車掲載'!C67="One2car",'中古車掲載'!F67="Corolla Cross",'中古車掲載'!L67="HEV GR SPORT",'中古車掲載'!J67=2023,ISNUMBER('中古車掲載'!N67),'中古車掲載'!N67&gt;=20000,'中古車掲載'!O67&lt;=100000,'中古車掲載'!AL67=1,'中古車掲載'!Z67="https://www.one2car.com/en/cars-for-sale/toyota/corolla-cross/year-2023"),'中古車掲載'!U67,"")</x:f>
      </x:c>
      <x:c r="BH66" s="3" t="str">
        <x:f>IF(AND('中古車掲載'!C67="One2car",'中古車掲載'!F67="DOLPHIN",'中古車掲載'!L67="STANDARD RANGE",'中古車掲載'!J67=2023,ISNUMBER('中古車掲載'!N67),'中古車掲載'!N67&gt;=20000,'中古車掲載'!O67&lt;=100000,'中古車掲載'!AL67=1),'中古車掲載'!U67,"")</x:f>
      </x:c>
      <x:c r="BI66" s="3" t="str">
        <x:v>One2car|Corolla Cross|HEV|Bangkok metro</x:v>
      </x:c>
      <x:c r="BJ66" s="3" t="n">
        <x:v>68</x:v>
      </x:c>
      <x:c r="BK66" s="3" t="n">
        <x:f>'中古車掲載'!AM68</x:f>
        <x:v>739000</x:v>
      </x:c>
      <x:c r="BL66" s="3" t="n">
        <x:f>IF(ISNUMBER('中古車掲載'!AN68),'中古車掲載'!AN68,"")</x:f>
        <x:v>0.6137873754152824</x:v>
      </x:c>
      <x:c r="BM66" s="3" t="str">
        <x:v>2021|Double cab</x:v>
      </x:c>
      <x:c r="BN66" s="3" t="n">
        <x:v>725</x:v>
      </x:c>
      <x:c r="BO66" s="3" t="n">
        <x:f>'中古車掲載'!AM725</x:f>
        <x:v>448000</x:v>
      </x:c>
      <x:c r="BP66" s="3" t="str">
        <x:v>2.4 ENTRY Z EDITION DOUBLE CAB</x:v>
      </x:c>
      <x:c r="BQ66" s="3"/>
      <x:c r="BR66" s="3"/>
    </x:row>
    <x:row r="67" ht="22" customHeight="1">
      <x:c r="A67" s="3"/>
      <x:c r="B67" s="3"/>
      <x:c r="C67" s="3"/>
      <x:c r="D67" s="3"/>
      <x:c r="E67" s="3"/>
      <x:c r="F67" s="3"/>
      <x:c r="G67" s="3"/>
      <x:c r="H67" s="3"/>
      <x:c r="I67" s="3"/>
      <x:c r="J67" s="3"/>
      <x:c r="K67" s="3"/>
      <x:c r="L67" s="3"/>
      <x:c r="M67" s="3"/>
      <x:c r="N67" s="3"/>
      <x:c r="O67" s="3"/>
      <x:c r="P67" s="3"/>
      <x:c r="Q67" s="3"/>
      <x:c r="R67" s="3"/>
      <x:c r="S67" s="3"/>
      <x:c r="T67" s="3"/>
      <x:c r="U67" s="3"/>
      <x:c r="V67" s="3"/>
      <x:c r="W67" s="3"/>
      <x:c r="X67" s="3"/>
      <x:c r="Y67" s="3"/>
      <x:c r="Z67" s="3"/>
      <x:c r="AA67" s="3" t="str">
        <x:v>2年式差</x:v>
      </x:c>
      <x:c r="AB67" s="3" t="n">
        <x:f>IF(COUNT(BO225:BO236)&gt;=3,MEDIAN(BO225:BO236),NA())</x:f>
        <x:v>699000</x:v>
      </x:c>
      <x:c r="AC67" s="3" t="n">
        <x:f>IF(COUNT(BO237:BO242)&gt;=3,MEDIAN(BO237:BO242),NA())</x:f>
        <x:v>542000</x:v>
      </x:c>
      <x:c r="AD67" s="3" t="n">
        <x:f>IF(COUNT(BO243:BO250)&gt;=3,MEDIAN(BO243:BO250),NA())</x:f>
        <x:v>479000</x:v>
      </x:c>
      <x:c r="AE67" s="3"/>
      <x:c r="AF67" s="3"/>
      <x:c r="AG67" s="3"/>
      <x:c r="AH67" s="3"/>
      <x:c r="AI67" s="3"/>
      <x:c r="AJ67" s="3"/>
      <x:c r="AK67" s="3"/>
      <x:c r="AL67" s="3"/>
      <x:c r="AM67" s="3"/>
      <x:c r="AN67" s="3"/>
      <x:c r="AO67" s="3"/>
      <x:c r="AP67" s="3"/>
      <x:c r="AQ67" s="3"/>
      <x:c r="AR67" s="3"/>
      <x:c r="AS67" s="3"/>
      <x:c r="AT67" s="3"/>
      <x:c r="AU67" s="3"/>
      <x:c r="AV67" s="3"/>
      <x:c r="AW67" s="3"/>
      <x:c r="AX67" s="3"/>
      <x:c r="AY67" s="3"/>
      <x:c r="AZ67" s="3" t="str">
        <x:f>IF(AND('中古車掲載'!C68="One2car",'中古車掲載'!F68="ATTO 3",'中古車掲載'!L68="EXTENDED RANGE",'中古車掲載'!J68=2023,ISNUMBER('中古車掲載'!N68),'中古車掲載'!N68&gt;=20000,'中古車掲載'!O68&lt;=100000,'中古車掲載'!AL68=1),'中古車掲載'!U68,"")</x:f>
      </x:c>
      <x:c r="BA67" s="3" t="n">
        <x:f>IF(AND('中古車掲載'!C68="One2car",'中古車掲載'!F68="Corolla Cross",'中古車掲載'!L68="HEV PREMIUM SAFETY",'中古車掲載'!J68=2023,ISNUMBER('中古車掲載'!N68),'中古車掲載'!N68&gt;=20000,'中古車掲載'!O68&lt;=100000,'中古車掲載'!AL68=1,'中古車掲載'!Z68="https://www.one2car.com/en/cars-for-sale/toyota/corolla-cross/year-2023"),'中古車掲載'!U68,"")</x:f>
        <x:v>739000</x:v>
      </x:c>
      <x:c r="BB67" s="3" t="str">
        <x:f>IF(AND('中古車掲載'!C68="One2car",'中古車掲載'!F68="ATTO 3",'中古車掲載'!L68="EXTENDED RANGE",'中古車掲載'!J68=2023,ISNUMBER('中古車掲載'!N68),'中古車掲載'!N68&gt;=50000,'中古車掲載'!O68&lt;=100000,'中古車掲載'!AL68=1),'中古車掲載'!U68,"")</x:f>
      </x:c>
      <x:c r="BC67" s="3" t="n">
        <x:f>IF(AND('中古車掲載'!C68="One2car",'中古車掲載'!F68="Corolla Cross",'中古車掲載'!L68="HEV PREMIUM SAFETY",'中古車掲載'!J68=2023,ISNUMBER('中古車掲載'!N68),'中古車掲載'!N68&gt;=50000,'中古車掲載'!O68&lt;=100000,'中古車掲載'!AL68=1,'中古車掲載'!Z68="https://www.one2car.com/en/cars-for-sale/toyota/corolla-cross/year-2023"),'中古車掲載'!U68,"")</x:f>
        <x:v>739000</x:v>
      </x:c>
      <x:c r="BD67" s="3" t="str">
        <x:f>IF(AND('中古車掲載'!C68="One2car",'中古車掲載'!F68="ATTO 3",'中古車掲載'!L68="EXTENDED RANGE",'中古車掲載'!J68=2023,ISNUMBER('中古車掲載'!N68),'中古車掲載'!N68&gt;=20000,'中古車掲載'!O68&lt;=50000,'中古車掲載'!AL68=1),'中古車掲載'!U68,"")</x:f>
      </x:c>
      <x:c r="BE67" s="3" t="str">
        <x:f>IF(AND('中古車掲載'!C68="One2car",'中古車掲載'!F68="Corolla Cross",'中古車掲載'!L68="HEV PREMIUM SAFETY",'中古車掲載'!J68=2023,ISNUMBER('中古車掲載'!N68),'中古車掲載'!N68&gt;=20000,'中古車掲載'!O68&lt;=50000,'中古車掲載'!AL68=1,'中古車掲載'!Z68="https://www.one2car.com/en/cars-for-sale/toyota/corolla-cross/year-2023"),'中古車掲載'!U68,"")</x:f>
      </x:c>
      <x:c r="BF67" s="3" t="str">
        <x:f>IF(AND('中古車掲載'!C68="One2car",'中古車掲載'!F68="Corolla Cross",'中古車掲載'!L68="HEV PREMIUM",'中古車掲載'!J68=2023,ISNUMBER('中古車掲載'!N68),'中古車掲載'!N68&gt;=20000,'中古車掲載'!O68&lt;=100000,'中古車掲載'!AL68=1,'中古車掲載'!Z68="https://www.one2car.com/en/cars-for-sale/toyota/corolla-cross/year-2023"),'中古車掲載'!U68,"")</x:f>
      </x:c>
      <x:c r="BG67" s="3" t="str">
        <x:f>IF(AND('中古車掲載'!C68="One2car",'中古車掲載'!F68="Corolla Cross",'中古車掲載'!L68="HEV GR SPORT",'中古車掲載'!J68=2023,ISNUMBER('中古車掲載'!N68),'中古車掲載'!N68&gt;=20000,'中古車掲載'!O68&lt;=100000,'中古車掲載'!AL68=1,'中古車掲載'!Z68="https://www.one2car.com/en/cars-for-sale/toyota/corolla-cross/year-2023"),'中古車掲載'!U68,"")</x:f>
      </x:c>
      <x:c r="BH67" s="3" t="str">
        <x:f>IF(AND('中古車掲載'!C68="One2car",'中古車掲載'!F68="DOLPHIN",'中古車掲載'!L68="STANDARD RANGE",'中古車掲載'!J68=2023,ISNUMBER('中古車掲載'!N68),'中古車掲載'!N68&gt;=20000,'中古車掲載'!O68&lt;=100000,'中古車掲載'!AL68=1),'中古車掲載'!U68,"")</x:f>
      </x:c>
      <x:c r="BI67" s="3" t="str">
        <x:v>One2car|Corolla Cross|HEV|Bangkok metro</x:v>
      </x:c>
      <x:c r="BJ67" s="3" t="n">
        <x:v>69</x:v>
      </x:c>
      <x:c r="BK67" s="3" t="n">
        <x:f>'中古車掲載'!AM69</x:f>
        <x:v>789000</x:v>
      </x:c>
      <x:c r="BL67" s="3" t="n">
        <x:f>IF(ISNUMBER('中古車掲載'!AN69),'中古車掲載'!AN69,"")</x:f>
        <x:v>0.6553156146179402</x:v>
      </x:c>
      <x:c r="BM67" s="3" t="str">
        <x:v>2021|Double cab</x:v>
      </x:c>
      <x:c r="BN67" s="3" t="n">
        <x:v>726</x:v>
      </x:c>
      <x:c r="BO67" s="3" t="n">
        <x:f>'中古車掲載'!AM726</x:f>
        <x:v>469000</x:v>
      </x:c>
      <x:c r="BP67" s="3" t="str">
        <x:v>2.4 ENTRY Z EDITION DOUBLE CAB</x:v>
      </x:c>
      <x:c r="BQ67" s="3"/>
      <x:c r="BR67" s="3"/>
    </x:row>
    <x:row r="68" ht="22" customHeight="1">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c r="AA68" s="3" t="str">
        <x:v>3年式差</x:v>
      </x:c>
      <x:c r="AB68" s="3" t="n">
        <x:f>IF(COUNT(BO187:BO203)&gt;=3,MEDIAN(BO187:BO203),NA())</x:f>
        <x:v>650000</x:v>
      </x:c>
      <x:c r="AC68" s="3" t="n">
        <x:f>IF(COUNT(BO204:BO215)&gt;=3,MEDIAN(BO204:BO215),NA())</x:f>
        <x:v>488500</x:v>
      </x:c>
      <x:c r="AD68" s="3" t="n">
        <x:f>IF(COUNT(BO216:BO224)&gt;=3,MEDIAN(BO216:BO224),NA())</x:f>
        <x:v>479000</x:v>
      </x:c>
      <x:c r="AE68" s="3"/>
      <x:c r="AF68" s="3"/>
      <x:c r="AG68" s="3"/>
      <x:c r="AH68" s="3"/>
      <x:c r="AI68" s="3"/>
      <x:c r="AJ68" s="3"/>
      <x:c r="AK68" s="3"/>
      <x:c r="AL68" s="3"/>
      <x:c r="AM68" s="3"/>
      <x:c r="AN68" s="3"/>
      <x:c r="AO68" s="3"/>
      <x:c r="AP68" s="3"/>
      <x:c r="AQ68" s="3"/>
      <x:c r="AR68" s="3"/>
      <x:c r="AS68" s="3"/>
      <x:c r="AT68" s="3"/>
      <x:c r="AU68" s="3"/>
      <x:c r="AV68" s="3"/>
      <x:c r="AW68" s="3"/>
      <x:c r="AX68" s="3"/>
      <x:c r="AY68" s="3"/>
      <x:c r="AZ68" s="3" t="str">
        <x:f>IF(AND('中古車掲載'!C69="One2car",'中古車掲載'!F69="ATTO 3",'中古車掲載'!L69="EXTENDED RANGE",'中古車掲載'!J69=2023,ISNUMBER('中古車掲載'!N69),'中古車掲載'!N69&gt;=20000,'中古車掲載'!O69&lt;=100000,'中古車掲載'!AL69=1),'中古車掲載'!U69,"")</x:f>
      </x:c>
      <x:c r="BA68" s="3" t="n">
        <x:f>IF(AND('中古車掲載'!C69="One2car",'中古車掲載'!F69="Corolla Cross",'中古車掲載'!L69="HEV PREMIUM SAFETY",'中古車掲載'!J69=2023,ISNUMBER('中古車掲載'!N69),'中古車掲載'!N69&gt;=20000,'中古車掲載'!O69&lt;=100000,'中古車掲載'!AL69=1,'中古車掲載'!Z69="https://www.one2car.com/en/cars-for-sale/toyota/corolla-cross/year-2023"),'中古車掲載'!U69,"")</x:f>
        <x:v>789000</x:v>
      </x:c>
      <x:c r="BB68" s="3" t="str">
        <x:f>IF(AND('中古車掲載'!C69="One2car",'中古車掲載'!F69="ATTO 3",'中古車掲載'!L69="EXTENDED RANGE",'中古車掲載'!J69=2023,ISNUMBER('中古車掲載'!N69),'中古車掲載'!N69&gt;=50000,'中古車掲載'!O69&lt;=100000,'中古車掲載'!AL69=1),'中古車掲載'!U69,"")</x:f>
      </x:c>
      <x:c r="BC68" s="3" t="n">
        <x:f>IF(AND('中古車掲載'!C69="One2car",'中古車掲載'!F69="Corolla Cross",'中古車掲載'!L69="HEV PREMIUM SAFETY",'中古車掲載'!J69=2023,ISNUMBER('中古車掲載'!N69),'中古車掲載'!N69&gt;=50000,'中古車掲載'!O69&lt;=100000,'中古車掲載'!AL69=1,'中古車掲載'!Z69="https://www.one2car.com/en/cars-for-sale/toyota/corolla-cross/year-2023"),'中古車掲載'!U69,"")</x:f>
        <x:v>789000</x:v>
      </x:c>
      <x:c r="BD68" s="3" t="str">
        <x:f>IF(AND('中古車掲載'!C69="One2car",'中古車掲載'!F69="ATTO 3",'中古車掲載'!L69="EXTENDED RANGE",'中古車掲載'!J69=2023,ISNUMBER('中古車掲載'!N69),'中古車掲載'!N69&gt;=20000,'中古車掲載'!O69&lt;=50000,'中古車掲載'!AL69=1),'中古車掲載'!U69,"")</x:f>
      </x:c>
      <x:c r="BE68" s="3" t="str">
        <x:f>IF(AND('中古車掲載'!C69="One2car",'中古車掲載'!F69="Corolla Cross",'中古車掲載'!L69="HEV PREMIUM SAFETY",'中古車掲載'!J69=2023,ISNUMBER('中古車掲載'!N69),'中古車掲載'!N69&gt;=20000,'中古車掲載'!O69&lt;=50000,'中古車掲載'!AL69=1,'中古車掲載'!Z69="https://www.one2car.com/en/cars-for-sale/toyota/corolla-cross/year-2023"),'中古車掲載'!U69,"")</x:f>
      </x:c>
      <x:c r="BF68" s="3" t="str">
        <x:f>IF(AND('中古車掲載'!C69="One2car",'中古車掲載'!F69="Corolla Cross",'中古車掲載'!L69="HEV PREMIUM",'中古車掲載'!J69=2023,ISNUMBER('中古車掲載'!N69),'中古車掲載'!N69&gt;=20000,'中古車掲載'!O69&lt;=100000,'中古車掲載'!AL69=1,'中古車掲載'!Z69="https://www.one2car.com/en/cars-for-sale/toyota/corolla-cross/year-2023"),'中古車掲載'!U69,"")</x:f>
      </x:c>
      <x:c r="BG68" s="3" t="str">
        <x:f>IF(AND('中古車掲載'!C69="One2car",'中古車掲載'!F69="Corolla Cross",'中古車掲載'!L69="HEV GR SPORT",'中古車掲載'!J69=2023,ISNUMBER('中古車掲載'!N69),'中古車掲載'!N69&gt;=20000,'中古車掲載'!O69&lt;=100000,'中古車掲載'!AL69=1,'中古車掲載'!Z69="https://www.one2car.com/en/cars-for-sale/toyota/corolla-cross/year-2023"),'中古車掲載'!U69,"")</x:f>
      </x:c>
      <x:c r="BH68" s="3" t="str">
        <x:f>IF(AND('中古車掲載'!C69="One2car",'中古車掲載'!F69="DOLPHIN",'中古車掲載'!L69="STANDARD RANGE",'中古車掲載'!J69=2023,ISNUMBER('中古車掲載'!N69),'中古車掲載'!N69&gt;=20000,'中古車掲載'!O69&lt;=100000,'中古車掲載'!AL69=1),'中古車掲載'!U69,"")</x:f>
      </x:c>
      <x:c r="BI68" s="3" t="str">
        <x:v>One2car|Corolla Cross|HEV|Bangkok metro</x:v>
      </x:c>
      <x:c r="BJ68" s="3" t="n">
        <x:v>71</x:v>
      </x:c>
      <x:c r="BK68" s="3" t="n">
        <x:f>'中古車掲載'!AM71</x:f>
        <x:v>609000</x:v>
      </x:c>
      <x:c r="BL68" s="3" t="n">
        <x:f>IF(ISNUMBER('中古車掲載'!AN71),'中古車掲載'!AN71,"")</x:f>
        <x:v>0.5947265625</x:v>
      </x:c>
      <x:c r="BM68" s="3" t="str">
        <x:v>2021|Double cab</x:v>
      </x:c>
      <x:c r="BN68" s="3" t="n">
        <x:v>727</x:v>
      </x:c>
      <x:c r="BO68" s="3" t="n">
        <x:f>'中古車掲載'!AM727</x:f>
        <x:v>399000</x:v>
      </x:c>
      <x:c r="BP68" s="3" t="str">
        <x:v>2.4 ENTRY Z EDITION DOUBLE CAB</x:v>
      </x:c>
      <x:c r="BQ68" s="3"/>
      <x:c r="BR68" s="3"/>
    </x:row>
    <x:row r="69" ht="22" customHeight="1">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c r="AA69" s="3" t="str">
        <x:v>4年式差</x:v>
      </x:c>
      <x:c r="AB69" s="3" t="n">
        <x:f>IF(COUNT(BO124:BO148)&gt;=3,MEDIAN(BO124:BO148),NA())</x:f>
        <x:v>599000</x:v>
      </x:c>
      <x:c r="AC69" s="3" t="n">
        <x:f>IF(COUNT(BO149:BO173)&gt;=3,MEDIAN(BO149:BO173),NA())</x:f>
        <x:v>399000</x:v>
      </x:c>
      <x:c r="AD69" s="3" t="n">
        <x:f>IF(COUNT(BO174:BO186)&gt;=3,MEDIAN(BO174:BO186),NA())</x:f>
        <x:v>399000</x:v>
      </x:c>
      <x:c r="AE69" s="3"/>
      <x:c r="AF69" s="3"/>
      <x:c r="AG69" s="3"/>
      <x:c r="AH69" s="3"/>
      <x:c r="AI69" s="3"/>
      <x:c r="AJ69" s="3"/>
      <x:c r="AK69" s="3"/>
      <x:c r="AL69" s="3"/>
      <x:c r="AM69" s="3"/>
      <x:c r="AN69" s="3"/>
      <x:c r="AO69" s="3"/>
      <x:c r="AP69" s="3"/>
      <x:c r="AQ69" s="3"/>
      <x:c r="AR69" s="3"/>
      <x:c r="AS69" s="3"/>
      <x:c r="AT69" s="3"/>
      <x:c r="AU69" s="3"/>
      <x:c r="AV69" s="3"/>
      <x:c r="AW69" s="3"/>
      <x:c r="AX69" s="3"/>
      <x:c r="AY69" s="3"/>
      <x:c r="AZ69" s="3" t="str">
        <x:f>IF(AND('中古車掲載'!C70="One2car",'中古車掲載'!F70="ATTO 3",'中古車掲載'!L70="EXTENDED RANGE",'中古車掲載'!J70=2023,ISNUMBER('中古車掲載'!N70),'中古車掲載'!N70&gt;=20000,'中古車掲載'!O70&lt;=100000,'中古車掲載'!AL70=1),'中古車掲載'!U70,"")</x:f>
      </x:c>
      <x:c r="BA69" s="3" t="str">
        <x:f>IF(AND('中古車掲載'!C70="One2car",'中古車掲載'!F70="Corolla Cross",'中古車掲載'!L70="HEV PREMIUM SAFETY",'中古車掲載'!J70=2023,ISNUMBER('中古車掲載'!N70),'中古車掲載'!N70&gt;=20000,'中古車掲載'!O70&lt;=100000,'中古車掲載'!AL70=1,'中古車掲載'!Z70="https://www.one2car.com/en/cars-for-sale/toyota/corolla-cross/year-2023"),'中古車掲載'!U70,"")</x:f>
      </x:c>
      <x:c r="BB69" s="3" t="str">
        <x:f>IF(AND('中古車掲載'!C70="One2car",'中古車掲載'!F70="ATTO 3",'中古車掲載'!L70="EXTENDED RANGE",'中古車掲載'!J70=2023,ISNUMBER('中古車掲載'!N70),'中古車掲載'!N70&gt;=50000,'中古車掲載'!O70&lt;=100000,'中古車掲載'!AL70=1),'中古車掲載'!U70,"")</x:f>
      </x:c>
      <x:c r="BC69" s="3" t="str">
        <x:f>IF(AND('中古車掲載'!C70="One2car",'中古車掲載'!F70="Corolla Cross",'中古車掲載'!L70="HEV PREMIUM SAFETY",'中古車掲載'!J70=2023,ISNUMBER('中古車掲載'!N70),'中古車掲載'!N70&gt;=50000,'中古車掲載'!O70&lt;=100000,'中古車掲載'!AL70=1,'中古車掲載'!Z70="https://www.one2car.com/en/cars-for-sale/toyota/corolla-cross/year-2023"),'中古車掲載'!U70,"")</x:f>
      </x:c>
      <x:c r="BD69" s="3" t="str">
        <x:f>IF(AND('中古車掲載'!C70="One2car",'中古車掲載'!F70="ATTO 3",'中古車掲載'!L70="EXTENDED RANGE",'中古車掲載'!J70=2023,ISNUMBER('中古車掲載'!N70),'中古車掲載'!N70&gt;=20000,'中古車掲載'!O70&lt;=50000,'中古車掲載'!AL70=1),'中古車掲載'!U70,"")</x:f>
      </x:c>
      <x:c r="BE69" s="3" t="str">
        <x:f>IF(AND('中古車掲載'!C70="One2car",'中古車掲載'!F70="Corolla Cross",'中古車掲載'!L70="HEV PREMIUM SAFETY",'中古車掲載'!J70=2023,ISNUMBER('中古車掲載'!N70),'中古車掲載'!N70&gt;=20000,'中古車掲載'!O70&lt;=50000,'中古車掲載'!AL70=1,'中古車掲載'!Z70="https://www.one2car.com/en/cars-for-sale/toyota/corolla-cross/year-2023"),'中古車掲載'!U70,"")</x:f>
      </x:c>
      <x:c r="BF69" s="3" t="str">
        <x:f>IF(AND('中古車掲載'!C70="One2car",'中古車掲載'!F70="Corolla Cross",'中古車掲載'!L70="HEV PREMIUM",'中古車掲載'!J70=2023,ISNUMBER('中古車掲載'!N70),'中古車掲載'!N70&gt;=20000,'中古車掲載'!O70&lt;=100000,'中古車掲載'!AL70=1,'中古車掲載'!Z70="https://www.one2car.com/en/cars-for-sale/toyota/corolla-cross/year-2023"),'中古車掲載'!U70,"")</x:f>
      </x:c>
      <x:c r="BG69" s="3" t="str">
        <x:f>IF(AND('中古車掲載'!C70="One2car",'中古車掲載'!F70="Corolla Cross",'中古車掲載'!L70="HEV GR SPORT",'中古車掲載'!J70=2023,ISNUMBER('中古車掲載'!N70),'中古車掲載'!N70&gt;=20000,'中古車掲載'!O70&lt;=100000,'中古車掲載'!AL70=1,'中古車掲載'!Z70="https://www.one2car.com/en/cars-for-sale/toyota/corolla-cross/year-2023"),'中古車掲載'!U70,"")</x:f>
      </x:c>
      <x:c r="BH69" s="3" t="str">
        <x:f>IF(AND('中古車掲載'!C70="One2car",'中古車掲載'!F70="DOLPHIN",'中古車掲載'!L70="STANDARD RANGE",'中古車掲載'!J70=2023,ISNUMBER('中古車掲載'!N70),'中古車掲載'!N70&gt;=20000,'中古車掲載'!O70&lt;=100000,'中古車掲載'!AL70=1),'中古車掲載'!U70,"")</x:f>
      </x:c>
      <x:c r="BI69" s="3" t="str">
        <x:v>One2car|Corolla Cross|HEV|Bangkok metro</x:v>
      </x:c>
      <x:c r="BJ69" s="3" t="n">
        <x:v>72</x:v>
      </x:c>
      <x:c r="BK69" s="3" t="n">
        <x:f>'中古車掲載'!AM72</x:f>
        <x:v>680000</x:v>
      </x:c>
      <x:c r="BL69" s="3" t="n">
        <x:f>IF(ISNUMBER('中古車掲載'!AN72),'中古車掲載'!AN72,"")</x:f>
        <x:v>0.6640625</x:v>
      </x:c>
      <x:c r="BM69" s="3" t="str">
        <x:v>2021|Double cab</x:v>
      </x:c>
      <x:c r="BN69" s="3" t="n">
        <x:v>728</x:v>
      </x:c>
      <x:c r="BO69" s="3" t="n">
        <x:f>'中古車掲載'!AM728</x:f>
        <x:v>489000</x:v>
      </x:c>
      <x:c r="BP69" s="3" t="str">
        <x:v>2.4 ENTRY Z EDITION DOUBLE CAB</x:v>
      </x:c>
      <x:c r="BQ69" s="3"/>
      <x:c r="BR69" s="3"/>
    </x:row>
    <x:row r="70" ht="30" customHeight="1">
      <x:c r="A70" s="16" t="str">
        <x:v>モデル</x:v>
      </x:c>
      <x:c r="B70" s="21" t="str">
        <x:v>動力</x:v>
      </x:c>
      <x:c r="C70" s="21" t="str">
        <x:v>サイト</x:v>
      </x:c>
      <x:c r="D70" s="21" t="str">
        <x:v>掲載年式</x:v>
      </x:c>
      <x:c r="E70" s="21" t="str">
        <x:v>N価格</x:v>
      </x:c>
      <x:c r="F70" s="21" t="str">
        <x:v>Q1 THB</x:v>
      </x:c>
      <x:c r="G70" s="21" t="str">
        <x:v>中央値THB</x:v>
      </x:c>
      <x:c r="H70" s="21" t="str">
        <x:v>Q3 THB</x:v>
      </x:c>
      <x:c r="I70" s="21" t="str">
        <x:v>N残価</x:v>
      </x:c>
      <x:c r="J70" s="17" t="str">
        <x:v>残価中央値</x:v>
      </x:c>
      <x:c r="K70" s="3"/>
      <x:c r="L70" s="3"/>
      <x:c r="M70" s="3"/>
      <x:c r="N70" s="3"/>
      <x:c r="O70" s="3"/>
      <x:c r="P70" s="3"/>
      <x:c r="Q70" s="3"/>
      <x:c r="R70" s="3"/>
      <x:c r="S70" s="3"/>
      <x:c r="T70" s="3"/>
      <x:c r="U70" s="3"/>
      <x:c r="V70" s="3"/>
      <x:c r="W70" s="3"/>
      <x:c r="X70" s="3"/>
      <x:c r="Y70" s="3"/>
      <x:c r="Z70" s="3"/>
      <x:c r="AA70" s="3" t="str">
        <x:v>5年式差</x:v>
      </x:c>
      <x:c r="AB70" s="3" t="n">
        <x:f>IF(COUNT(BO58:BO87)&gt;=3,MEDIAN(BO58:BO87),NA())</x:f>
        <x:v>496500</x:v>
      </x:c>
      <x:c r="AC70" s="3" t="n">
        <x:f>IF(COUNT(BO88:BO110)&gt;=3,MEDIAN(BO88:BO110),NA())</x:f>
        <x:v>408000</x:v>
      </x:c>
      <x:c r="AD70" s="3" t="n">
        <x:f>IF(COUNT(BO111:BO123)&gt;=3,MEDIAN(BO111:BO123),NA())</x:f>
        <x:v>419000</x:v>
      </x:c>
      <x:c r="AE70" s="3"/>
      <x:c r="AF70" s="3"/>
      <x:c r="AG70" s="3"/>
      <x:c r="AH70" s="3"/>
      <x:c r="AI70" s="3"/>
      <x:c r="AJ70" s="3"/>
      <x:c r="AK70" s="3"/>
      <x:c r="AL70" s="3"/>
      <x:c r="AM70" s="3"/>
      <x:c r="AN70" s="3"/>
      <x:c r="AO70" s="3"/>
      <x:c r="AP70" s="3"/>
      <x:c r="AQ70" s="3"/>
      <x:c r="AR70" s="3"/>
      <x:c r="AS70" s="3"/>
      <x:c r="AT70" s="3"/>
      <x:c r="AU70" s="3"/>
      <x:c r="AV70" s="3"/>
      <x:c r="AW70" s="3"/>
      <x:c r="AX70" s="3"/>
      <x:c r="AY70" s="3"/>
      <x:c r="AZ70" s="3" t="str">
        <x:f>IF(AND('中古車掲載'!C71="One2car",'中古車掲載'!F71="ATTO 3",'中古車掲載'!L71="EXTENDED RANGE",'中古車掲載'!J71=2023,ISNUMBER('中古車掲載'!N71),'中古車掲載'!N71&gt;=20000,'中古車掲載'!O71&lt;=100000,'中古車掲載'!AL71=1),'中古車掲載'!U71,"")</x:f>
      </x:c>
      <x:c r="BA70" s="3" t="str">
        <x:f>IF(AND('中古車掲載'!C71="One2car",'中古車掲載'!F71="Corolla Cross",'中古車掲載'!L71="HEV PREMIUM SAFETY",'中古車掲載'!J71=2023,ISNUMBER('中古車掲載'!N71),'中古車掲載'!N71&gt;=20000,'中古車掲載'!O71&lt;=100000,'中古車掲載'!AL71=1,'中古車掲載'!Z71="https://www.one2car.com/en/cars-for-sale/toyota/corolla-cross/year-2023"),'中古車掲載'!U71,"")</x:f>
      </x:c>
      <x:c r="BB70" s="3" t="str">
        <x:f>IF(AND('中古車掲載'!C71="One2car",'中古車掲載'!F71="ATTO 3",'中古車掲載'!L71="EXTENDED RANGE",'中古車掲載'!J71=2023,ISNUMBER('中古車掲載'!N71),'中古車掲載'!N71&gt;=50000,'中古車掲載'!O71&lt;=100000,'中古車掲載'!AL71=1),'中古車掲載'!U71,"")</x:f>
      </x:c>
      <x:c r="BC70" s="3" t="str">
        <x:f>IF(AND('中古車掲載'!C71="One2car",'中古車掲載'!F71="Corolla Cross",'中古車掲載'!L71="HEV PREMIUM SAFETY",'中古車掲載'!J71=2023,ISNUMBER('中古車掲載'!N71),'中古車掲載'!N71&gt;=50000,'中古車掲載'!O71&lt;=100000,'中古車掲載'!AL71=1,'中古車掲載'!Z71="https://www.one2car.com/en/cars-for-sale/toyota/corolla-cross/year-2023"),'中古車掲載'!U71,"")</x:f>
      </x:c>
      <x:c r="BD70" s="3" t="str">
        <x:f>IF(AND('中古車掲載'!C71="One2car",'中古車掲載'!F71="ATTO 3",'中古車掲載'!L71="EXTENDED RANGE",'中古車掲載'!J71=2023,ISNUMBER('中古車掲載'!N71),'中古車掲載'!N71&gt;=20000,'中古車掲載'!O71&lt;=50000,'中古車掲載'!AL71=1),'中古車掲載'!U71,"")</x:f>
      </x:c>
      <x:c r="BE70" s="3" t="str">
        <x:f>IF(AND('中古車掲載'!C71="One2car",'中古車掲載'!F71="Corolla Cross",'中古車掲載'!L71="HEV PREMIUM SAFETY",'中古車掲載'!J71=2023,ISNUMBER('中古車掲載'!N71),'中古車掲載'!N71&gt;=20000,'中古車掲載'!O71&lt;=50000,'中古車掲載'!AL71=1,'中古車掲載'!Z71="https://www.one2car.com/en/cars-for-sale/toyota/corolla-cross/year-2023"),'中古車掲載'!U71,"")</x:f>
      </x:c>
      <x:c r="BF70" s="3" t="str">
        <x:f>IF(AND('中古車掲載'!C71="One2car",'中古車掲載'!F71="Corolla Cross",'中古車掲載'!L71="HEV PREMIUM",'中古車掲載'!J71=2023,ISNUMBER('中古車掲載'!N71),'中古車掲載'!N71&gt;=20000,'中古車掲載'!O71&lt;=100000,'中古車掲載'!AL71=1,'中古車掲載'!Z71="https://www.one2car.com/en/cars-for-sale/toyota/corolla-cross/year-2023"),'中古車掲載'!U71,"")</x:f>
      </x:c>
      <x:c r="BG70" s="3" t="str">
        <x:f>IF(AND('中古車掲載'!C71="One2car",'中古車掲載'!F71="Corolla Cross",'中古車掲載'!L71="HEV GR SPORT",'中古車掲載'!J71=2023,ISNUMBER('中古車掲載'!N71),'中古車掲載'!N71&gt;=20000,'中古車掲載'!O71&lt;=100000,'中古車掲載'!AL71=1,'中古車掲載'!Z71="https://www.one2car.com/en/cars-for-sale/toyota/corolla-cross/year-2023"),'中古車掲載'!U71,"")</x:f>
      </x:c>
      <x:c r="BH70" s="3" t="str">
        <x:f>IF(AND('中古車掲載'!C71="One2car",'中古車掲載'!F71="DOLPHIN",'中古車掲載'!L71="STANDARD RANGE",'中古車掲載'!J71=2023,ISNUMBER('中古車掲載'!N71),'中古車掲載'!N71&gt;=20000,'中古車掲載'!O71&lt;=100000,'中古車掲載'!AL71=1),'中古車掲載'!U71,"")</x:f>
      </x:c>
      <x:c r="BI70" s="3" t="str">
        <x:v>One2car|Corolla Cross|HEV|Bangkok metro</x:v>
      </x:c>
      <x:c r="BJ70" s="3" t="n">
        <x:v>73</x:v>
      </x:c>
      <x:c r="BK70" s="3" t="n">
        <x:f>'中古車掲載'!AM73</x:f>
        <x:v>858000</x:v>
      </x:c>
      <x:c r="BL70" s="3" t="n">
        <x:f>IF(ISNUMBER('中古車掲載'!AN73),'中古車掲載'!AN73,"")</x:f>
        <x:v>0.6842105263157895</x:v>
      </x:c>
      <x:c r="BM70" s="3" t="str">
        <x:v>2021|Double cab</x:v>
      </x:c>
      <x:c r="BN70" s="3" t="n">
        <x:v>729</x:v>
      </x:c>
      <x:c r="BO70" s="3" t="n">
        <x:f>'中古車掲載'!AM729</x:f>
        <x:v>488000</x:v>
      </x:c>
      <x:c r="BP70" s="3" t="str">
        <x:v>2.4 ENTRY Z EDITION DOUBLE CAB</x:v>
      </x:c>
      <x:c r="BQ70" s="3"/>
      <x:c r="BR70" s="3"/>
    </x:row>
    <x:row r="71" ht="22" customHeight="1">
      <x:c r="A71" s="3" t="str">
        <x:v>Corolla Cross</x:v>
      </x:c>
      <x:c r="B71" s="3" t="str">
        <x:v>HEV</x:v>
      </x:c>
      <x:c r="C71" s="3" t="str">
        <x:v>Carsome</x:v>
      </x:c>
      <x:c r="D71" s="3" t="n">
        <x:v>2021</x:v>
      </x:c>
      <x:c r="E71" s="22" t="n">
        <x:f>COUNT('中古車掲載'!AM8:AM10)</x:f>
        <x:v>3</x:v>
      </x:c>
      <x:c r="F71" s="22" t="n">
        <x:f>IF(COUNT('中古車掲載'!AM8:AM10)=0,"",QUARTILE('中古車掲載'!AM8:AM10,1))</x:f>
        <x:v>682000</x:v>
      </x:c>
      <x:c r="G71" s="22" t="n">
        <x:f>IF(COUNT('中古車掲載'!AM8:AM10)=0,"",MEDIAN('中古車掲載'!AM8:AM10))</x:f>
        <x:v>695000</x:v>
      </x:c>
      <x:c r="H71" s="22" t="n">
        <x:f>IF(COUNT('中古車掲載'!AM8:AM10)=0,"",QUARTILE('中古車掲載'!AM8:AM10,3))</x:f>
        <x:v>725000</x:v>
      </x:c>
      <x:c r="I71" s="22" t="n">
        <x:f>COUNT('中古車掲載'!AN8:AN10)</x:f>
        <x:v>0</x:v>
      </x:c>
      <x:c r="J71" s="23" t="str">
        <x:f>IF(COUNT('中古車掲載'!AN8:AN10)=0,"",MEDIAN('中古車掲載'!AN8:AN10))</x:f>
      </x:c>
      <x:c r="K71" s="3"/>
      <x:c r="L71" s="3"/>
      <x:c r="M71" s="3"/>
      <x:c r="N71" s="3"/>
      <x:c r="O71" s="3"/>
      <x:c r="P71" s="3"/>
      <x:c r="Q71" s="3"/>
      <x:c r="R71" s="3"/>
      <x:c r="S71" s="3"/>
      <x:c r="T71" s="3"/>
      <x:c r="U71" s="3"/>
      <x:c r="V71" s="3"/>
      <x:c r="W71" s="3"/>
      <x:c r="X71" s="3"/>
      <x:c r="Y71" s="3"/>
      <x:c r="Z71" s="3"/>
      <x:c r="AA71" s="3" t="str">
        <x:v>6年式差</x:v>
      </x:c>
      <x:c r="AB71" s="3" t="n">
        <x:f>IF(COUNT(BO7:BO30)&gt;=3,MEDIAN(BO7:BO30),NA())</x:f>
        <x:v>472000</x:v>
      </x:c>
      <x:c r="AC71" s="3" t="n">
        <x:f>IF(COUNT(BO31:BO50)&gt;=3,MEDIAN(BO31:BO50),NA())</x:f>
        <x:v>393500</x:v>
      </x:c>
      <x:c r="AD71" s="3" t="n">
        <x:f>IF(COUNT(BO51:BO57)&gt;=3,MEDIAN(BO51:BO57),NA())</x:f>
        <x:v>364000</x:v>
      </x:c>
      <x:c r="AE71" s="3"/>
      <x:c r="AF71" s="3"/>
      <x:c r="AG71" s="3"/>
      <x:c r="AH71" s="3"/>
      <x:c r="AI71" s="3"/>
      <x:c r="AJ71" s="3"/>
      <x:c r="AK71" s="3"/>
      <x:c r="AL71" s="3"/>
      <x:c r="AM71" s="3"/>
      <x:c r="AN71" s="3"/>
      <x:c r="AO71" s="3"/>
      <x:c r="AP71" s="3"/>
      <x:c r="AQ71" s="3"/>
      <x:c r="AR71" s="3"/>
      <x:c r="AS71" s="3"/>
      <x:c r="AT71" s="3"/>
      <x:c r="AU71" s="3"/>
      <x:c r="AV71" s="3"/>
      <x:c r="AW71" s="3"/>
      <x:c r="AX71" s="3"/>
      <x:c r="AY71" s="3"/>
      <x:c r="AZ71" s="3" t="str">
        <x:f>IF(AND('中古車掲載'!C72="One2car",'中古車掲載'!F72="ATTO 3",'中古車掲載'!L72="EXTENDED RANGE",'中古車掲載'!J72=2023,ISNUMBER('中古車掲載'!N72),'中古車掲載'!N72&gt;=20000,'中古車掲載'!O72&lt;=100000,'中古車掲載'!AL72=1),'中古車掲載'!U72,"")</x:f>
      </x:c>
      <x:c r="BA71" s="3" t="str">
        <x:f>IF(AND('中古車掲載'!C72="One2car",'中古車掲載'!F72="Corolla Cross",'中古車掲載'!L72="HEV PREMIUM SAFETY",'中古車掲載'!J72=2023,ISNUMBER('中古車掲載'!N72),'中古車掲載'!N72&gt;=20000,'中古車掲載'!O72&lt;=100000,'中古車掲載'!AL72=1,'中古車掲載'!Z72="https://www.one2car.com/en/cars-for-sale/toyota/corolla-cross/year-2023"),'中古車掲載'!U72,"")</x:f>
      </x:c>
      <x:c r="BB71" s="3" t="str">
        <x:f>IF(AND('中古車掲載'!C72="One2car",'中古車掲載'!F72="ATTO 3",'中古車掲載'!L72="EXTENDED RANGE",'中古車掲載'!J72=2023,ISNUMBER('中古車掲載'!N72),'中古車掲載'!N72&gt;=50000,'中古車掲載'!O72&lt;=100000,'中古車掲載'!AL72=1),'中古車掲載'!U72,"")</x:f>
      </x:c>
      <x:c r="BC71" s="3" t="str">
        <x:f>IF(AND('中古車掲載'!C72="One2car",'中古車掲載'!F72="Corolla Cross",'中古車掲載'!L72="HEV PREMIUM SAFETY",'中古車掲載'!J72=2023,ISNUMBER('中古車掲載'!N72),'中古車掲載'!N72&gt;=50000,'中古車掲載'!O72&lt;=100000,'中古車掲載'!AL72=1,'中古車掲載'!Z72="https://www.one2car.com/en/cars-for-sale/toyota/corolla-cross/year-2023"),'中古車掲載'!U72,"")</x:f>
      </x:c>
      <x:c r="BD71" s="3" t="str">
        <x:f>IF(AND('中古車掲載'!C72="One2car",'中古車掲載'!F72="ATTO 3",'中古車掲載'!L72="EXTENDED RANGE",'中古車掲載'!J72=2023,ISNUMBER('中古車掲載'!N72),'中古車掲載'!N72&gt;=20000,'中古車掲載'!O72&lt;=50000,'中古車掲載'!AL72=1),'中古車掲載'!U72,"")</x:f>
      </x:c>
      <x:c r="BE71" s="3" t="str">
        <x:f>IF(AND('中古車掲載'!C72="One2car",'中古車掲載'!F72="Corolla Cross",'中古車掲載'!L72="HEV PREMIUM SAFETY",'中古車掲載'!J72=2023,ISNUMBER('中古車掲載'!N72),'中古車掲載'!N72&gt;=20000,'中古車掲載'!O72&lt;=50000,'中古車掲載'!AL72=1,'中古車掲載'!Z72="https://www.one2car.com/en/cars-for-sale/toyota/corolla-cross/year-2023"),'中古車掲載'!U72,"")</x:f>
      </x:c>
      <x:c r="BF71" s="3" t="str">
        <x:f>IF(AND('中古車掲載'!C72="One2car",'中古車掲載'!F72="Corolla Cross",'中古車掲載'!L72="HEV PREMIUM",'中古車掲載'!J72=2023,ISNUMBER('中古車掲載'!N72),'中古車掲載'!N72&gt;=20000,'中古車掲載'!O72&lt;=100000,'中古車掲載'!AL72=1,'中古車掲載'!Z72="https://www.one2car.com/en/cars-for-sale/toyota/corolla-cross/year-2023"),'中古車掲載'!U72,"")</x:f>
      </x:c>
      <x:c r="BG71" s="3" t="str">
        <x:f>IF(AND('中古車掲載'!C72="One2car",'中古車掲載'!F72="Corolla Cross",'中古車掲載'!L72="HEV GR SPORT",'中古車掲載'!J72=2023,ISNUMBER('中古車掲載'!N72),'中古車掲載'!N72&gt;=20000,'中古車掲載'!O72&lt;=100000,'中古車掲載'!AL72=1,'中古車掲載'!Z72="https://www.one2car.com/en/cars-for-sale/toyota/corolla-cross/year-2023"),'中古車掲載'!U72,"")</x:f>
      </x:c>
      <x:c r="BH71" s="3" t="str">
        <x:f>IF(AND('中古車掲載'!C72="One2car",'中古車掲載'!F72="DOLPHIN",'中古車掲載'!L72="STANDARD RANGE",'中古車掲載'!J72=2023,ISNUMBER('中古車掲載'!N72),'中古車掲載'!N72&gt;=20000,'中古車掲載'!O72&lt;=100000,'中古車掲載'!AL72=1),'中古車掲載'!U72,"")</x:f>
      </x:c>
      <x:c r="BI71" s="3" t="str">
        <x:v>One2car|Corolla Cross|HEV|Bangkok metro</x:v>
      </x:c>
      <x:c r="BJ71" s="3" t="n">
        <x:v>74</x:v>
      </x:c>
      <x:c r="BK71" s="3" t="n">
        <x:f>'中古車掲載'!AM74</x:f>
        <x:v>847000</x:v>
      </x:c>
      <x:c r="BL71" s="3" t="n">
        <x:f>IF(ISNUMBER('中古車掲載'!AN74),'中古車掲載'!AN74,"")</x:f>
        <x:v>0.7742230347349177</x:v>
      </x:c>
      <x:c r="BM71" s="3" t="str">
        <x:v>2021|Double cab</x:v>
      </x:c>
      <x:c r="BN71" s="3" t="n">
        <x:v>730</x:v>
      </x:c>
      <x:c r="BO71" s="3" t="n">
        <x:f>'中古車掲載'!AM730</x:f>
        <x:v>439000</x:v>
      </x:c>
      <x:c r="BP71" s="3" t="str">
        <x:v>2.4 ENTRY Z EDITION DOUBLE CAB</x:v>
      </x:c>
      <x:c r="BQ71" s="3"/>
      <x:c r="BR71" s="3"/>
    </x:row>
    <x:row r="72" ht="22" customHeight="1">
      <x:c r="A72" s="3" t="str">
        <x:v>Corolla Cross</x:v>
      </x:c>
      <x:c r="B72" s="3" t="str">
        <x:v>HEV</x:v>
      </x:c>
      <x:c r="C72" s="3" t="str">
        <x:v>Carsome</x:v>
      </x:c>
      <x:c r="D72" s="3" t="n">
        <x:v>2022</x:v>
      </x:c>
      <x:c r="E72" s="22" t="n">
        <x:f>COUNT('中古車掲載'!AM11:AM11)</x:f>
        <x:v>1</x:v>
      </x:c>
      <x:c r="F72" s="22" t="n">
        <x:f>IF(COUNT('中古車掲載'!AM11:AM11)=0,"",QUARTILE('中古車掲載'!AM11:AM11,1))</x:f>
        <x:v>859000</x:v>
      </x:c>
      <x:c r="G72" s="22" t="n">
        <x:f>IF(COUNT('中古車掲載'!AM11:AM11)=0,"",MEDIAN('中古車掲載'!AM11:AM11))</x:f>
        <x:v>859000</x:v>
      </x:c>
      <x:c r="H72" s="22" t="n">
        <x:f>IF(COUNT('中古車掲載'!AM11:AM11)=0,"",QUARTILE('中古車掲載'!AM11:AM11,3))</x:f>
        <x:v>859000</x:v>
      </x:c>
      <x:c r="I72" s="22" t="n">
        <x:f>COUNT('中古車掲載'!AN11:AN11)</x:f>
        <x:v>0</x:v>
      </x:c>
      <x:c r="J72" s="23" t="str">
        <x:f>IF(COUNT('中古車掲載'!AN11:AN11)=0,"",MEDIAN('中古車掲載'!AN11:AN11))</x:f>
      </x:c>
      <x:c r="K72" s="3"/>
      <x:c r="L72" s="3"/>
      <x:c r="M72" s="3"/>
      <x:c r="N72" s="3"/>
      <x:c r="O72" s="3"/>
      <x:c r="P72" s="3"/>
      <x:c r="Q72" s="3"/>
      <x:c r="R72" s="3"/>
      <x:c r="S72" s="3"/>
      <x:c r="T72" s="3"/>
      <x:c r="U72" s="3"/>
      <x:c r="V72" s="3"/>
      <x:c r="W72" s="3"/>
      <x:c r="X72" s="3"/>
      <x:c r="Y72" s="3"/>
      <x:c r="Z72" s="3"/>
      <x:c r="AA72" s="3"/>
      <x:c r="AB72" s="3"/>
      <x:c r="AC72" s="3"/>
      <x:c r="AD72" s="3"/>
      <x:c r="AE72" s="3"/>
      <x:c r="AF72" s="3"/>
      <x:c r="AG72" s="3"/>
      <x:c r="AH72" s="3"/>
      <x:c r="AI72" s="3"/>
      <x:c r="AJ72" s="3"/>
      <x:c r="AK72" s="3"/>
      <x:c r="AL72" s="3"/>
      <x:c r="AM72" s="3"/>
      <x:c r="AN72" s="3"/>
      <x:c r="AO72" s="3"/>
      <x:c r="AP72" s="3"/>
      <x:c r="AQ72" s="3"/>
      <x:c r="AR72" s="3"/>
      <x:c r="AS72" s="3"/>
      <x:c r="AT72" s="3"/>
      <x:c r="AU72" s="3"/>
      <x:c r="AV72" s="3"/>
      <x:c r="AW72" s="3"/>
      <x:c r="AX72" s="3"/>
      <x:c r="AY72" s="3"/>
      <x:c r="AZ72" s="3" t="str">
        <x:f>IF(AND('中古車掲載'!C73="One2car",'中古車掲載'!F73="ATTO 3",'中古車掲載'!L73="EXTENDED RANGE",'中古車掲載'!J73=2023,ISNUMBER('中古車掲載'!N73),'中古車掲載'!N73&gt;=20000,'中古車掲載'!O73&lt;=100000,'中古車掲載'!AL73=1),'中古車掲載'!U73,"")</x:f>
      </x:c>
      <x:c r="BA72" s="3" t="str">
        <x:f>IF(AND('中古車掲載'!C73="One2car",'中古車掲載'!F73="Corolla Cross",'中古車掲載'!L73="HEV PREMIUM SAFETY",'中古車掲載'!J73=2023,ISNUMBER('中古車掲載'!N73),'中古車掲載'!N73&gt;=20000,'中古車掲載'!O73&lt;=100000,'中古車掲載'!AL73=1,'中古車掲載'!Z73="https://www.one2car.com/en/cars-for-sale/toyota/corolla-cross/year-2023"),'中古車掲載'!U73,"")</x:f>
      </x:c>
      <x:c r="BB72" s="3" t="str">
        <x:f>IF(AND('中古車掲載'!C73="One2car",'中古車掲載'!F73="ATTO 3",'中古車掲載'!L73="EXTENDED RANGE",'中古車掲載'!J73=2023,ISNUMBER('中古車掲載'!N73),'中古車掲載'!N73&gt;=50000,'中古車掲載'!O73&lt;=100000,'中古車掲載'!AL73=1),'中古車掲載'!U73,"")</x:f>
      </x:c>
      <x:c r="BC72" s="3" t="str">
        <x:f>IF(AND('中古車掲載'!C73="One2car",'中古車掲載'!F73="Corolla Cross",'中古車掲載'!L73="HEV PREMIUM SAFETY",'中古車掲載'!J73=2023,ISNUMBER('中古車掲載'!N73),'中古車掲載'!N73&gt;=50000,'中古車掲載'!O73&lt;=100000,'中古車掲載'!AL73=1,'中古車掲載'!Z73="https://www.one2car.com/en/cars-for-sale/toyota/corolla-cross/year-2023"),'中古車掲載'!U73,"")</x:f>
      </x:c>
      <x:c r="BD72" s="3" t="str">
        <x:f>IF(AND('中古車掲載'!C73="One2car",'中古車掲載'!F73="ATTO 3",'中古車掲載'!L73="EXTENDED RANGE",'中古車掲載'!J73=2023,ISNUMBER('中古車掲載'!N73),'中古車掲載'!N73&gt;=20000,'中古車掲載'!O73&lt;=50000,'中古車掲載'!AL73=1),'中古車掲載'!U73,"")</x:f>
      </x:c>
      <x:c r="BE72" s="3" t="str">
        <x:f>IF(AND('中古車掲載'!C73="One2car",'中古車掲載'!F73="Corolla Cross",'中古車掲載'!L73="HEV PREMIUM SAFETY",'中古車掲載'!J73=2023,ISNUMBER('中古車掲載'!N73),'中古車掲載'!N73&gt;=20000,'中古車掲載'!O73&lt;=50000,'中古車掲載'!AL73=1,'中古車掲載'!Z73="https://www.one2car.com/en/cars-for-sale/toyota/corolla-cross/year-2023"),'中古車掲載'!U73,"")</x:f>
      </x:c>
      <x:c r="BF72" s="3" t="str">
        <x:f>IF(AND('中古車掲載'!C73="One2car",'中古車掲載'!F73="Corolla Cross",'中古車掲載'!L73="HEV PREMIUM",'中古車掲載'!J73=2023,ISNUMBER('中古車掲載'!N73),'中古車掲載'!N73&gt;=20000,'中古車掲載'!O73&lt;=100000,'中古車掲載'!AL73=1,'中古車掲載'!Z73="https://www.one2car.com/en/cars-for-sale/toyota/corolla-cross/year-2023"),'中古車掲載'!U73,"")</x:f>
      </x:c>
      <x:c r="BG72" s="3" t="str">
        <x:f>IF(AND('中古車掲載'!C73="One2car",'中古車掲載'!F73="Corolla Cross",'中古車掲載'!L73="HEV GR SPORT",'中古車掲載'!J73=2023,ISNUMBER('中古車掲載'!N73),'中古車掲載'!N73&gt;=20000,'中古車掲載'!O73&lt;=100000,'中古車掲載'!AL73=1,'中古車掲載'!Z73="https://www.one2car.com/en/cars-for-sale/toyota/corolla-cross/year-2023"),'中古車掲載'!U73,"")</x:f>
      </x:c>
      <x:c r="BH72" s="3" t="str">
        <x:f>IF(AND('中古車掲載'!C73="One2car",'中古車掲載'!F73="DOLPHIN",'中古車掲載'!L73="STANDARD RANGE",'中古車掲載'!J73=2023,ISNUMBER('中古車掲載'!N73),'中古車掲載'!N73&gt;=20000,'中古車掲載'!O73&lt;=100000,'中古車掲載'!AL73=1),'中古車掲載'!U73,"")</x:f>
      </x:c>
      <x:c r="BI72" s="3" t="str">
        <x:v>One2car|Corolla Cross|HEV|Bangkok metro</x:v>
      </x:c>
      <x:c r="BJ72" s="3" t="n">
        <x:v>75</x:v>
      </x:c>
      <x:c r="BK72" s="3" t="n">
        <x:f>'中古車掲載'!AM75</x:f>
        <x:v>899000</x:v>
      </x:c>
      <x:c r="BL72" s="3" t="n">
        <x:f>IF(ISNUMBER('中古車掲載'!AN75),'中古車掲載'!AN75,"")</x:f>
        <x:v>0.8217550274223034</x:v>
      </x:c>
      <x:c r="BM72" s="3" t="str">
        <x:v>2021|Double cab</x:v>
      </x:c>
      <x:c r="BN72" s="3" t="n">
        <x:v>731</x:v>
      </x:c>
      <x:c r="BO72" s="3" t="n">
        <x:f>'中古車掲載'!AM731</x:f>
        <x:v>435000</x:v>
      </x:c>
      <x:c r="BP72" s="3" t="str">
        <x:v>2.4 ENTRY Z EDITION DOUBLE CAB</x:v>
      </x:c>
      <x:c r="BQ72" s="3"/>
      <x:c r="BR72" s="3"/>
    </x:row>
    <x:row r="73" ht="22" customHeight="1">
      <x:c r="A73" s="3" t="str">
        <x:v>ATTO 3</x:v>
      </x:c>
      <x:c r="B73" s="3" t="str">
        <x:v>BEV</x:v>
      </x:c>
      <x:c r="C73" s="3" t="str">
        <x:v>One2car</x:v>
      </x:c>
      <x:c r="D73" s="3" t="n">
        <x:v>2022</x:v>
      </x:c>
      <x:c r="E73" s="22" t="n">
        <x:f>COUNT('中古車掲載'!AM12:AM12)</x:f>
        <x:v>1</x:v>
      </x:c>
      <x:c r="F73" s="22" t="n">
        <x:f>IF(COUNT('中古車掲載'!AM12:AM12)=0,"",QUARTILE('中古車掲載'!AM12:AM12,1))</x:f>
        <x:v>519000</x:v>
      </x:c>
      <x:c r="G73" s="22" t="n">
        <x:f>IF(COUNT('中古車掲載'!AM12:AM12)=0,"",MEDIAN('中古車掲載'!AM12:AM12))</x:f>
        <x:v>519000</x:v>
      </x:c>
      <x:c r="H73" s="22" t="n">
        <x:f>IF(COUNT('中古車掲載'!AM12:AM12)=0,"",QUARTILE('中古車掲載'!AM12:AM12,3))</x:f>
        <x:v>519000</x:v>
      </x:c>
      <x:c r="I73" s="22" t="n">
        <x:f>COUNT('中古車掲載'!AN12:AN12)</x:f>
        <x:v>1</x:v>
      </x:c>
      <x:c r="J73" s="23" t="n">
        <x:f>IF(COUNT('中古車掲載'!AN12:AN12)=0,"",MEDIAN('中古車掲載'!AN12:AN12))</x:f>
        <x:v>0.47186107827984364</x:v>
      </x:c>
      <x:c r="K73" s="3"/>
      <x:c r="L73" s="3"/>
      <x:c r="M73" s="3"/>
      <x:c r="N73" s="3"/>
      <x:c r="O73" s="3"/>
      <x:c r="P73" s="3"/>
      <x:c r="Q73" s="3"/>
      <x:c r="R73" s="3"/>
      <x:c r="S73" s="3"/>
      <x:c r="T73" s="3"/>
      <x:c r="U73" s="3"/>
      <x:c r="V73" s="3"/>
      <x:c r="W73" s="3"/>
      <x:c r="X73" s="3"/>
      <x:c r="Y73" s="3"/>
      <x:c r="Z73" s="3"/>
      <x:c r="AA73" s="3"/>
      <x:c r="AB73" s="3"/>
      <x:c r="AC73" s="3"/>
      <x:c r="AD73" s="3"/>
      <x:c r="AE73" s="3"/>
      <x:c r="AF73" s="3"/>
      <x:c r="AG73" s="3"/>
      <x:c r="AH73" s="3"/>
      <x:c r="AI73" s="3"/>
      <x:c r="AJ73" s="3"/>
      <x:c r="AK73" s="3"/>
      <x:c r="AL73" s="3"/>
      <x:c r="AM73" s="3"/>
      <x:c r="AN73" s="3"/>
      <x:c r="AO73" s="3"/>
      <x:c r="AP73" s="3"/>
      <x:c r="AQ73" s="3"/>
      <x:c r="AR73" s="3"/>
      <x:c r="AS73" s="3"/>
      <x:c r="AT73" s="3"/>
      <x:c r="AU73" s="3"/>
      <x:c r="AV73" s="3"/>
      <x:c r="AW73" s="3"/>
      <x:c r="AX73" s="3"/>
      <x:c r="AY73" s="3"/>
      <x:c r="AZ73" s="3" t="str">
        <x:f>IF(AND('中古車掲載'!C74="One2car",'中古車掲載'!F74="ATTO 3",'中古車掲載'!L74="EXTENDED RANGE",'中古車掲載'!J74=2023,ISNUMBER('中古車掲載'!N74),'中古車掲載'!N74&gt;=20000,'中古車掲載'!O74&lt;=100000,'中古車掲載'!AL74=1),'中古車掲載'!U74,"")</x:f>
      </x:c>
      <x:c r="BA73" s="3" t="str">
        <x:f>IF(AND('中古車掲載'!C74="One2car",'中古車掲載'!F74="Corolla Cross",'中古車掲載'!L74="HEV PREMIUM SAFETY",'中古車掲載'!J74=2023,ISNUMBER('中古車掲載'!N74),'中古車掲載'!N74&gt;=20000,'中古車掲載'!O74&lt;=100000,'中古車掲載'!AL74=1,'中古車掲載'!Z74="https://www.one2car.com/en/cars-for-sale/toyota/corolla-cross/year-2023"),'中古車掲載'!U74,"")</x:f>
      </x:c>
      <x:c r="BB73" s="3" t="str">
        <x:f>IF(AND('中古車掲載'!C74="One2car",'中古車掲載'!F74="ATTO 3",'中古車掲載'!L74="EXTENDED RANGE",'中古車掲載'!J74=2023,ISNUMBER('中古車掲載'!N74),'中古車掲載'!N74&gt;=50000,'中古車掲載'!O74&lt;=100000,'中古車掲載'!AL74=1),'中古車掲載'!U74,"")</x:f>
      </x:c>
      <x:c r="BC73" s="3" t="str">
        <x:f>IF(AND('中古車掲載'!C74="One2car",'中古車掲載'!F74="Corolla Cross",'中古車掲載'!L74="HEV PREMIUM SAFETY",'中古車掲載'!J74=2023,ISNUMBER('中古車掲載'!N74),'中古車掲載'!N74&gt;=50000,'中古車掲載'!O74&lt;=100000,'中古車掲載'!AL74=1,'中古車掲載'!Z74="https://www.one2car.com/en/cars-for-sale/toyota/corolla-cross/year-2023"),'中古車掲載'!U74,"")</x:f>
      </x:c>
      <x:c r="BD73" s="3" t="str">
        <x:f>IF(AND('中古車掲載'!C74="One2car",'中古車掲載'!F74="ATTO 3",'中古車掲載'!L74="EXTENDED RANGE",'中古車掲載'!J74=2023,ISNUMBER('中古車掲載'!N74),'中古車掲載'!N74&gt;=20000,'中古車掲載'!O74&lt;=50000,'中古車掲載'!AL74=1),'中古車掲載'!U74,"")</x:f>
      </x:c>
      <x:c r="BE73" s="3" t="str">
        <x:f>IF(AND('中古車掲載'!C74="One2car",'中古車掲載'!F74="Corolla Cross",'中古車掲載'!L74="HEV PREMIUM SAFETY",'中古車掲載'!J74=2023,ISNUMBER('中古車掲載'!N74),'中古車掲載'!N74&gt;=20000,'中古車掲載'!O74&lt;=50000,'中古車掲載'!AL74=1,'中古車掲載'!Z74="https://www.one2car.com/en/cars-for-sale/toyota/corolla-cross/year-2023"),'中古車掲載'!U74,"")</x:f>
      </x:c>
      <x:c r="BF73" s="3" t="str">
        <x:f>IF(AND('中古車掲載'!C74="One2car",'中古車掲載'!F74="Corolla Cross",'中古車掲載'!L74="HEV PREMIUM",'中古車掲載'!J74=2023,ISNUMBER('中古車掲載'!N74),'中古車掲載'!N74&gt;=20000,'中古車掲載'!O74&lt;=100000,'中古車掲載'!AL74=1,'中古車掲載'!Z74="https://www.one2car.com/en/cars-for-sale/toyota/corolla-cross/year-2023"),'中古車掲載'!U74,"")</x:f>
      </x:c>
      <x:c r="BG73" s="3" t="str">
        <x:f>IF(AND('中古車掲載'!C74="One2car",'中古車掲載'!F74="Corolla Cross",'中古車掲載'!L74="HEV GR SPORT",'中古車掲載'!J74=2023,ISNUMBER('中古車掲載'!N74),'中古車掲載'!N74&gt;=20000,'中古車掲載'!O74&lt;=100000,'中古車掲載'!AL74=1,'中古車掲載'!Z74="https://www.one2car.com/en/cars-for-sale/toyota/corolla-cross/year-2023"),'中古車掲載'!U74,"")</x:f>
      </x:c>
      <x:c r="BH73" s="3" t="str">
        <x:f>IF(AND('中古車掲載'!C74="One2car",'中古車掲載'!F74="DOLPHIN",'中古車掲載'!L74="STANDARD RANGE",'中古車掲載'!J74=2023,ISNUMBER('中古車掲載'!N74),'中古車掲載'!N74&gt;=20000,'中古車掲載'!O74&lt;=100000,'中古車掲載'!AL74=1),'中古車掲載'!U74,"")</x:f>
      </x:c>
      <x:c r="BI73" s="3" t="str">
        <x:v>One2car|Corolla Cross|HEV|Bangkok metro</x:v>
      </x:c>
      <x:c r="BJ73" s="3" t="n">
        <x:v>77</x:v>
      </x:c>
      <x:c r="BK73" s="3" t="n">
        <x:f>'中古車掲載'!AM77</x:f>
        <x:v>899000</x:v>
      </x:c>
      <x:c r="BL73" s="3" t="n">
        <x:f>IF(ISNUMBER('中古車掲載'!AN77),'中古車掲載'!AN77,"")</x:f>
        <x:v>0.7466777408637874</x:v>
      </x:c>
      <x:c r="BM73" s="3" t="str">
        <x:v>2021|Double cab</x:v>
      </x:c>
      <x:c r="BN73" s="3" t="n">
        <x:v>741</x:v>
      </x:c>
      <x:c r="BO73" s="3" t="n">
        <x:f>'中古車掲載'!AM741</x:f>
        <x:v>550000</x:v>
      </x:c>
      <x:c r="BP73" s="3" t="str">
        <x:v>2.4 MID PRERUNNER DOUBLE CAB</x:v>
      </x:c>
      <x:c r="BQ73" s="3"/>
      <x:c r="BR73" s="3"/>
    </x:row>
    <x:row r="74" ht="22" customHeight="1">
      <x:c r="A74" s="3" t="str">
        <x:v>ATTO 3</x:v>
      </x:c>
      <x:c r="B74" s="3" t="str">
        <x:v>BEV</x:v>
      </x:c>
      <x:c r="C74" s="3" t="str">
        <x:v>One2car</x:v>
      </x:c>
      <x:c r="D74" s="3" t="n">
        <x:v>2023</x:v>
      </x:c>
      <x:c r="E74" s="22" t="n">
        <x:f>COUNT('中古車掲載'!AM13:AM22)</x:f>
        <x:v>10</x:v>
      </x:c>
      <x:c r="F74" s="22" t="n">
        <x:f>IF(COUNT('中古車掲載'!AM13:AM22)=0,"",QUARTILE('中古車掲載'!AM13:AM22,1))</x:f>
        <x:v>460000</x:v>
      </x:c>
      <x:c r="G74" s="22" t="n">
        <x:f>IF(COUNT('中古車掲載'!AM13:AM22)=0,"",MEDIAN('中古車掲載'!AM13:AM22))</x:f>
        <x:v>468000</x:v>
      </x:c>
      <x:c r="H74" s="22" t="n">
        <x:f>IF(COUNT('中古車掲載'!AM13:AM22)=0,"",QUARTILE('中古車掲載'!AM13:AM22,3))</x:f>
        <x:v>486000</x:v>
      </x:c>
      <x:c r="I74" s="22" t="n">
        <x:f>COUNT('中古車掲載'!AN13:AN22)</x:f>
        <x:v>10</x:v>
      </x:c>
      <x:c r="J74" s="23" t="n">
        <x:f>IF(COUNT('中古車掲載'!AN13:AN22)=0,"",MEDIAN('中古車掲載'!AN13:AN22))</x:f>
        <x:v>0.39003250270855905</x:v>
      </x:c>
      <x:c r="K74" s="3"/>
      <x:c r="L74" s="3"/>
      <x:c r="M74" s="3"/>
      <x:c r="N74" s="3"/>
      <x:c r="O74" s="3"/>
      <x:c r="P74" s="3"/>
      <x:c r="Q74" s="3"/>
      <x:c r="R74" s="3"/>
      <x:c r="S74" s="3"/>
      <x:c r="T74" s="3"/>
      <x:c r="U74" s="3"/>
      <x:c r="V74" s="3"/>
      <x:c r="W74" s="3"/>
      <x:c r="X74" s="3"/>
      <x:c r="Y74" s="3"/>
      <x:c r="Z74" s="3"/>
      <x:c r="AA74" s="3"/>
      <x:c r="AB74" s="3"/>
      <x:c r="AC74" s="3"/>
      <x:c r="AD74" s="3"/>
      <x:c r="AE74" s="3"/>
      <x:c r="AF74" s="3"/>
      <x:c r="AG74" s="3"/>
      <x:c r="AH74" s="3"/>
      <x:c r="AI74" s="3"/>
      <x:c r="AJ74" s="3"/>
      <x:c r="AK74" s="3"/>
      <x:c r="AL74" s="3"/>
      <x:c r="AM74" s="3"/>
      <x:c r="AN74" s="3"/>
      <x:c r="AO74" s="3"/>
      <x:c r="AP74" s="3"/>
      <x:c r="AQ74" s="3"/>
      <x:c r="AR74" s="3"/>
      <x:c r="AS74" s="3"/>
      <x:c r="AT74" s="3"/>
      <x:c r="AU74" s="3"/>
      <x:c r="AV74" s="3"/>
      <x:c r="AW74" s="3"/>
      <x:c r="AX74" s="3"/>
      <x:c r="AY74" s="3"/>
      <x:c r="AZ74" s="3" t="str">
        <x:f>IF(AND('中古車掲載'!C75="One2car",'中古車掲載'!F75="ATTO 3",'中古車掲載'!L75="EXTENDED RANGE",'中古車掲載'!J75=2023,ISNUMBER('中古車掲載'!N75),'中古車掲載'!N75&gt;=20000,'中古車掲載'!O75&lt;=100000,'中古車掲載'!AL75=1),'中古車掲載'!U75,"")</x:f>
      </x:c>
      <x:c r="BA74" s="3" t="str">
        <x:f>IF(AND('中古車掲載'!C75="One2car",'中古車掲載'!F75="Corolla Cross",'中古車掲載'!L75="HEV PREMIUM SAFETY",'中古車掲載'!J75=2023,ISNUMBER('中古車掲載'!N75),'中古車掲載'!N75&gt;=20000,'中古車掲載'!O75&lt;=100000,'中古車掲載'!AL75=1,'中古車掲載'!Z75="https://www.one2car.com/en/cars-for-sale/toyota/corolla-cross/year-2023"),'中古車掲載'!U75,"")</x:f>
      </x:c>
      <x:c r="BB74" s="3" t="str">
        <x:f>IF(AND('中古車掲載'!C75="One2car",'中古車掲載'!F75="ATTO 3",'中古車掲載'!L75="EXTENDED RANGE",'中古車掲載'!J75=2023,ISNUMBER('中古車掲載'!N75),'中古車掲載'!N75&gt;=50000,'中古車掲載'!O75&lt;=100000,'中古車掲載'!AL75=1),'中古車掲載'!U75,"")</x:f>
      </x:c>
      <x:c r="BC74" s="3" t="str">
        <x:f>IF(AND('中古車掲載'!C75="One2car",'中古車掲載'!F75="Corolla Cross",'中古車掲載'!L75="HEV PREMIUM SAFETY",'中古車掲載'!J75=2023,ISNUMBER('中古車掲載'!N75),'中古車掲載'!N75&gt;=50000,'中古車掲載'!O75&lt;=100000,'中古車掲載'!AL75=1,'中古車掲載'!Z75="https://www.one2car.com/en/cars-for-sale/toyota/corolla-cross/year-2023"),'中古車掲載'!U75,"")</x:f>
      </x:c>
      <x:c r="BD74" s="3" t="str">
        <x:f>IF(AND('中古車掲載'!C75="One2car",'中古車掲載'!F75="ATTO 3",'中古車掲載'!L75="EXTENDED RANGE",'中古車掲載'!J75=2023,ISNUMBER('中古車掲載'!N75),'中古車掲載'!N75&gt;=20000,'中古車掲載'!O75&lt;=50000,'中古車掲載'!AL75=1),'中古車掲載'!U75,"")</x:f>
      </x:c>
      <x:c r="BE74" s="3" t="str">
        <x:f>IF(AND('中古車掲載'!C75="One2car",'中古車掲載'!F75="Corolla Cross",'中古車掲載'!L75="HEV PREMIUM SAFETY",'中古車掲載'!J75=2023,ISNUMBER('中古車掲載'!N75),'中古車掲載'!N75&gt;=20000,'中古車掲載'!O75&lt;=50000,'中古車掲載'!AL75=1,'中古車掲載'!Z75="https://www.one2car.com/en/cars-for-sale/toyota/corolla-cross/year-2023"),'中古車掲載'!U75,"")</x:f>
      </x:c>
      <x:c r="BF74" s="3" t="str">
        <x:f>IF(AND('中古車掲載'!C75="One2car",'中古車掲載'!F75="Corolla Cross",'中古車掲載'!L75="HEV PREMIUM",'中古車掲載'!J75=2023,ISNUMBER('中古車掲載'!N75),'中古車掲載'!N75&gt;=20000,'中古車掲載'!O75&lt;=100000,'中古車掲載'!AL75=1,'中古車掲載'!Z75="https://www.one2car.com/en/cars-for-sale/toyota/corolla-cross/year-2023"),'中古車掲載'!U75,"")</x:f>
      </x:c>
      <x:c r="BG74" s="3" t="str">
        <x:f>IF(AND('中古車掲載'!C75="One2car",'中古車掲載'!F75="Corolla Cross",'中古車掲載'!L75="HEV GR SPORT",'中古車掲載'!J75=2023,ISNUMBER('中古車掲載'!N75),'中古車掲載'!N75&gt;=20000,'中古車掲載'!O75&lt;=100000,'中古車掲載'!AL75=1,'中古車掲載'!Z75="https://www.one2car.com/en/cars-for-sale/toyota/corolla-cross/year-2023"),'中古車掲載'!U75,"")</x:f>
      </x:c>
      <x:c r="BH74" s="3" t="str">
        <x:f>IF(AND('中古車掲載'!C75="One2car",'中古車掲載'!F75="DOLPHIN",'中古車掲載'!L75="STANDARD RANGE",'中古車掲載'!J75=2023,ISNUMBER('中古車掲載'!N75),'中古車掲載'!N75&gt;=20000,'中古車掲載'!O75&lt;=100000,'中古車掲載'!AL75=1),'中古車掲載'!U75,"")</x:f>
      </x:c>
      <x:c r="BI74" s="3" t="str">
        <x:v>One2car|Corolla Cross|HEV|Bangkok metro</x:v>
      </x:c>
      <x:c r="BJ74" s="3" t="n">
        <x:v>78</x:v>
      </x:c>
      <x:c r="BK74" s="3" t="n">
        <x:f>'中古車掲載'!AM78</x:f>
        <x:v>899000</x:v>
      </x:c>
      <x:c r="BL74" s="3" t="n">
        <x:f>IF(ISNUMBER('中古車掲載'!AN78),'中古車掲載'!AN78,"")</x:f>
        <x:v>0.7466777408637874</x:v>
      </x:c>
      <x:c r="BM74" s="3" t="str">
        <x:v>2021|Double cab</x:v>
      </x:c>
      <x:c r="BN74" s="3" t="n">
        <x:v>742</x:v>
      </x:c>
      <x:c r="BO74" s="3" t="n">
        <x:f>'中古車掲載'!AM742</x:f>
        <x:v>579000</x:v>
      </x:c>
      <x:c r="BP74" s="3" t="str">
        <x:v>2.4 MID PRERUNNER DOUBLE CAB</x:v>
      </x:c>
      <x:c r="BQ74" s="3"/>
      <x:c r="BR74" s="3"/>
    </x:row>
    <x:row r="75" ht="22" customHeight="1">
      <x:c r="A75" s="3" t="str">
        <x:v>ATTO 3</x:v>
      </x:c>
      <x:c r="B75" s="3" t="str">
        <x:v>BEV</x:v>
      </x:c>
      <x:c r="C75" s="3" t="str">
        <x:v>One2car</x:v>
      </x:c>
      <x:c r="D75" s="3" t="n">
        <x:v>2024</x:v>
      </x:c>
      <x:c r="E75" s="22" t="n">
        <x:f>COUNT('中古車掲載'!AM23:AM25)</x:f>
        <x:v>3</x:v>
      </x:c>
      <x:c r="F75" s="22" t="n">
        <x:f>IF(COUNT('中古車掲載'!AM23:AM25)=0,"",QUARTILE('中古車掲載'!AM23:AM25,1))</x:f>
        <x:v>449500</x:v>
      </x:c>
      <x:c r="G75" s="22" t="n">
        <x:f>IF(COUNT('中古車掲載'!AM23:AM25)=0,"",MEDIAN('中古車掲載'!AM23:AM25))</x:f>
        <x:v>460000</x:v>
      </x:c>
      <x:c r="H75" s="22" t="n">
        <x:f>IF(COUNT('中古車掲載'!AM23:AM25)=0,"",QUARTILE('中古車掲載'!AM23:AM25,3))</x:f>
        <x:v>474500</x:v>
      </x:c>
      <x:c r="I75" s="22" t="n">
        <x:f>COUNT('中古車掲載'!AN23:AN25)</x:f>
        <x:v>1</x:v>
      </x:c>
      <x:c r="J75" s="23" t="n">
        <x:f>IF(COUNT('中古車掲載'!AN23:AN25)=0,"",MEDIAN('中古車掲載'!AN23:AN25))</x:f>
        <x:v>0.543393710412268</x:v>
      </x:c>
      <x:c r="K75" s="3"/>
      <x:c r="L75" s="3"/>
      <x:c r="M75" s="3"/>
      <x:c r="N75" s="3"/>
      <x:c r="O75" s="3"/>
      <x:c r="P75" s="3"/>
      <x:c r="Q75" s="3"/>
      <x:c r="R75" s="3"/>
      <x:c r="S75" s="3"/>
      <x:c r="T75" s="3"/>
      <x:c r="U75" s="3"/>
      <x:c r="V75" s="3"/>
      <x:c r="W75" s="3"/>
      <x:c r="X75" s="3"/>
      <x:c r="Y75" s="3"/>
      <x:c r="Z75" s="3"/>
      <x:c r="AA75" s="3"/>
      <x:c r="AB75" s="3"/>
      <x:c r="AC75" s="3"/>
      <x:c r="AD75" s="3"/>
      <x:c r="AE75" s="3"/>
      <x:c r="AF75" s="3"/>
      <x:c r="AG75" s="3"/>
      <x:c r="AH75" s="3"/>
      <x:c r="AI75" s="3"/>
      <x:c r="AJ75" s="3"/>
      <x:c r="AK75" s="3"/>
      <x:c r="AL75" s="3"/>
      <x:c r="AM75" s="3"/>
      <x:c r="AN75" s="3"/>
      <x:c r="AO75" s="3"/>
      <x:c r="AP75" s="3"/>
      <x:c r="AQ75" s="3"/>
      <x:c r="AR75" s="3"/>
      <x:c r="AS75" s="3"/>
      <x:c r="AT75" s="3"/>
      <x:c r="AU75" s="3"/>
      <x:c r="AV75" s="3"/>
      <x:c r="AW75" s="3"/>
      <x:c r="AX75" s="3"/>
      <x:c r="AY75" s="3"/>
      <x:c r="AZ75" s="3" t="str">
        <x:f>IF(AND('中古車掲載'!C76="One2car",'中古車掲載'!F76="ATTO 3",'中古車掲載'!L76="EXTENDED RANGE",'中古車掲載'!J76=2023,ISNUMBER('中古車掲載'!N76),'中古車掲載'!N76&gt;=20000,'中古車掲載'!O76&lt;=100000,'中古車掲載'!AL76=1),'中古車掲載'!U76,"")</x:f>
      </x:c>
      <x:c r="BA75" s="3" t="str">
        <x:f>IF(AND('中古車掲載'!C76="One2car",'中古車掲載'!F76="Corolla Cross",'中古車掲載'!L76="HEV PREMIUM SAFETY",'中古車掲載'!J76=2023,ISNUMBER('中古車掲載'!N76),'中古車掲載'!N76&gt;=20000,'中古車掲載'!O76&lt;=100000,'中古車掲載'!AL76=1,'中古車掲載'!Z76="https://www.one2car.com/en/cars-for-sale/toyota/corolla-cross/year-2023"),'中古車掲載'!U76,"")</x:f>
      </x:c>
      <x:c r="BB75" s="3" t="str">
        <x:f>IF(AND('中古車掲載'!C76="One2car",'中古車掲載'!F76="ATTO 3",'中古車掲載'!L76="EXTENDED RANGE",'中古車掲載'!J76=2023,ISNUMBER('中古車掲載'!N76),'中古車掲載'!N76&gt;=50000,'中古車掲載'!O76&lt;=100000,'中古車掲載'!AL76=1),'中古車掲載'!U76,"")</x:f>
      </x:c>
      <x:c r="BC75" s="3" t="str">
        <x:f>IF(AND('中古車掲載'!C76="One2car",'中古車掲載'!F76="Corolla Cross",'中古車掲載'!L76="HEV PREMIUM SAFETY",'中古車掲載'!J76=2023,ISNUMBER('中古車掲載'!N76),'中古車掲載'!N76&gt;=50000,'中古車掲載'!O76&lt;=100000,'中古車掲載'!AL76=1,'中古車掲載'!Z76="https://www.one2car.com/en/cars-for-sale/toyota/corolla-cross/year-2023"),'中古車掲載'!U76,"")</x:f>
      </x:c>
      <x:c r="BD75" s="3" t="str">
        <x:f>IF(AND('中古車掲載'!C76="One2car",'中古車掲載'!F76="ATTO 3",'中古車掲載'!L76="EXTENDED RANGE",'中古車掲載'!J76=2023,ISNUMBER('中古車掲載'!N76),'中古車掲載'!N76&gt;=20000,'中古車掲載'!O76&lt;=50000,'中古車掲載'!AL76=1),'中古車掲載'!U76,"")</x:f>
      </x:c>
      <x:c r="BE75" s="3" t="str">
        <x:f>IF(AND('中古車掲載'!C76="One2car",'中古車掲載'!F76="Corolla Cross",'中古車掲載'!L76="HEV PREMIUM SAFETY",'中古車掲載'!J76=2023,ISNUMBER('中古車掲載'!N76),'中古車掲載'!N76&gt;=20000,'中古車掲載'!O76&lt;=50000,'中古車掲載'!AL76=1,'中古車掲載'!Z76="https://www.one2car.com/en/cars-for-sale/toyota/corolla-cross/year-2023"),'中古車掲載'!U76,"")</x:f>
      </x:c>
      <x:c r="BF75" s="3" t="str">
        <x:f>IF(AND('中古車掲載'!C76="One2car",'中古車掲載'!F76="Corolla Cross",'中古車掲載'!L76="HEV PREMIUM",'中古車掲載'!J76=2023,ISNUMBER('中古車掲載'!N76),'中古車掲載'!N76&gt;=20000,'中古車掲載'!O76&lt;=100000,'中古車掲載'!AL76=1,'中古車掲載'!Z76="https://www.one2car.com/en/cars-for-sale/toyota/corolla-cross/year-2023"),'中古車掲載'!U76,"")</x:f>
      </x:c>
      <x:c r="BG75" s="3" t="str">
        <x:f>IF(AND('中古車掲載'!C76="One2car",'中古車掲載'!F76="Corolla Cross",'中古車掲載'!L76="HEV GR SPORT",'中古車掲載'!J76=2023,ISNUMBER('中古車掲載'!N76),'中古車掲載'!N76&gt;=20000,'中古車掲載'!O76&lt;=100000,'中古車掲載'!AL76=1,'中古車掲載'!Z76="https://www.one2car.com/en/cars-for-sale/toyota/corolla-cross/year-2023"),'中古車掲載'!U76,"")</x:f>
      </x:c>
      <x:c r="BH75" s="3" t="str">
        <x:f>IF(AND('中古車掲載'!C76="One2car",'中古車掲載'!F76="DOLPHIN",'中古車掲載'!L76="STANDARD RANGE",'中古車掲載'!J76=2023,ISNUMBER('中古車掲載'!N76),'中古車掲載'!N76&gt;=20000,'中古車掲載'!O76&lt;=100000,'中古車掲載'!AL76=1),'中古車掲載'!U76,"")</x:f>
      </x:c>
      <x:c r="BI75" s="3" t="str">
        <x:v>One2car|Corolla Cross|HEV|Bangkok metro</x:v>
      </x:c>
      <x:c r="BJ75" s="3" t="n">
        <x:v>79</x:v>
      </x:c>
      <x:c r="BK75" s="3" t="n">
        <x:f>'中古車掲載'!AM79</x:f>
        <x:v>898000</x:v>
      </x:c>
      <x:c r="BL75" s="3" t="n">
        <x:f>IF(ISNUMBER('中古車掲載'!AN79),'中古車掲載'!AN79,"")</x:f>
        <x:v>0.7458471760797342</x:v>
      </x:c>
      <x:c r="BM75" s="3" t="str">
        <x:v>2021|Double cab</x:v>
      </x:c>
      <x:c r="BN75" s="3" t="n">
        <x:v>743</x:v>
      </x:c>
      <x:c r="BO75" s="3" t="n">
        <x:f>'中古車掲載'!AM743</x:f>
        <x:v>589000</x:v>
      </x:c>
      <x:c r="BP75" s="3" t="str">
        <x:v>2.4 MID PRERUNNER DOUBLE CAB</x:v>
      </x:c>
      <x:c r="BQ75" s="3"/>
      <x:c r="BR75" s="3"/>
    </x:row>
    <x:row r="76" ht="30" customHeight="1">
      <x:c r="A76" s="3" t="str">
        <x:v>ATTO 3</x:v>
      </x:c>
      <x:c r="B76" s="3" t="str">
        <x:v>BEV</x:v>
      </x:c>
      <x:c r="C76" s="3" t="str">
        <x:v>One2car</x:v>
      </x:c>
      <x:c r="D76" s="3" t="n">
        <x:v>2025</x:v>
      </x:c>
      <x:c r="E76" s="22" t="n">
        <x:f>COUNT('中古車掲載'!AM26:AM26)</x:f>
        <x:v>1</x:v>
      </x:c>
      <x:c r="F76" s="22" t="n">
        <x:f>IF(COUNT('中古車掲載'!AM26:AM26)=0,"",QUARTILE('中古車掲載'!AM26:AM26,1))</x:f>
        <x:v>529000</x:v>
      </x:c>
      <x:c r="G76" s="22" t="n">
        <x:f>IF(COUNT('中古車掲載'!AM26:AM26)=0,"",MEDIAN('中古車掲載'!AM26:AM26))</x:f>
        <x:v>529000</x:v>
      </x:c>
      <x:c r="H76" s="22" t="n">
        <x:f>IF(COUNT('中古車掲載'!AM26:AM26)=0,"",QUARTILE('中古車掲載'!AM26:AM26,3))</x:f>
        <x:v>529000</x:v>
      </x:c>
      <x:c r="I76" s="22" t="n">
        <x:f>COUNT('中古車掲載'!AN26:AN26)</x:f>
        <x:v>0</x:v>
      </x:c>
      <x:c r="J76" s="23" t="str">
        <x:f>IF(COUNT('中古車掲載'!AN26:AN26)=0,"",MEDIAN('中古車掲載'!AN26:AN26))</x:f>
      </x:c>
      <x:c r="K76" s="3"/>
      <x:c r="L76" s="3"/>
      <x:c r="M76" s="3"/>
      <x:c r="N76" s="3"/>
      <x:c r="O76" s="3"/>
      <x:c r="P76" s="3"/>
      <x:c r="Q76" s="3"/>
      <x:c r="R76" s="3"/>
      <x:c r="S76" s="3"/>
      <x:c r="T76" s="3"/>
      <x:c r="U76" s="3"/>
      <x:c r="V76" s="3"/>
      <x:c r="W76" s="3"/>
      <x:c r="X76" s="3"/>
      <x:c r="Y76" s="3"/>
      <x:c r="Z76" s="3"/>
      <x:c r="AA76" s="16" t="str">
        <x:v>サイト・モデル</x:v>
      </x:c>
      <x:c r="AB76" s="21" t="str">
        <x:v>N</x:v>
      </x:c>
      <x:c r="AC76" s="21" t="str">
        <x:v>Q1 THB</x:v>
      </x:c>
      <x:c r="AD76" s="21" t="str">
        <x:v>中央値THB</x:v>
      </x:c>
      <x:c r="AE76" s="21" t="str">
        <x:v>Q3 THB</x:v>
      </x:c>
      <x:c r="AF76" s="21" t="str">
        <x:v>N走行</x:v>
      </x:c>
      <x:c r="AG76" s="21" t="str">
        <x:v>備考</x:v>
      </x:c>
      <x:c r="AH76" s="17" t="str">
        <x:v>参照</x:v>
      </x:c>
      <x:c r="AI76" s="3"/>
      <x:c r="AJ76" s="3"/>
      <x:c r="AK76" s="3"/>
      <x:c r="AL76" s="3"/>
      <x:c r="AM76" s="3"/>
      <x:c r="AN76" s="3"/>
      <x:c r="AO76" s="3"/>
      <x:c r="AP76" s="3"/>
      <x:c r="AQ76" s="3"/>
      <x:c r="AR76" s="3"/>
      <x:c r="AS76" s="3"/>
      <x:c r="AT76" s="3"/>
      <x:c r="AU76" s="3"/>
      <x:c r="AV76" s="3"/>
      <x:c r="AW76" s="3"/>
      <x:c r="AX76" s="3"/>
      <x:c r="AY76" s="3"/>
      <x:c r="AZ76" s="3" t="str">
        <x:f>IF(AND('中古車掲載'!C77="One2car",'中古車掲載'!F77="ATTO 3",'中古車掲載'!L77="EXTENDED RANGE",'中古車掲載'!J77=2023,ISNUMBER('中古車掲載'!N77),'中古車掲載'!N77&gt;=20000,'中古車掲載'!O77&lt;=100000,'中古車掲載'!AL77=1),'中古車掲載'!U77,"")</x:f>
      </x:c>
      <x:c r="BA76" s="3" t="str">
        <x:f>IF(AND('中古車掲載'!C77="One2car",'中古車掲載'!F77="Corolla Cross",'中古車掲載'!L77="HEV PREMIUM SAFETY",'中古車掲載'!J77=2023,ISNUMBER('中古車掲載'!N77),'中古車掲載'!N77&gt;=20000,'中古車掲載'!O77&lt;=100000,'中古車掲載'!AL77=1,'中古車掲載'!Z77="https://www.one2car.com/en/cars-for-sale/toyota/corolla-cross/year-2023"),'中古車掲載'!U77,"")</x:f>
      </x:c>
      <x:c r="BB76" s="3" t="str">
        <x:f>IF(AND('中古車掲載'!C77="One2car",'中古車掲載'!F77="ATTO 3",'中古車掲載'!L77="EXTENDED RANGE",'中古車掲載'!J77=2023,ISNUMBER('中古車掲載'!N77),'中古車掲載'!N77&gt;=50000,'中古車掲載'!O77&lt;=100000,'中古車掲載'!AL77=1),'中古車掲載'!U77,"")</x:f>
      </x:c>
      <x:c r="BC76" s="3" t="str">
        <x:f>IF(AND('中古車掲載'!C77="One2car",'中古車掲載'!F77="Corolla Cross",'中古車掲載'!L77="HEV PREMIUM SAFETY",'中古車掲載'!J77=2023,ISNUMBER('中古車掲載'!N77),'中古車掲載'!N77&gt;=50000,'中古車掲載'!O77&lt;=100000,'中古車掲載'!AL77=1,'中古車掲載'!Z77="https://www.one2car.com/en/cars-for-sale/toyota/corolla-cross/year-2023"),'中古車掲載'!U77,"")</x:f>
      </x:c>
      <x:c r="BD76" s="3" t="str">
        <x:f>IF(AND('中古車掲載'!C77="One2car",'中古車掲載'!F77="ATTO 3",'中古車掲載'!L77="EXTENDED RANGE",'中古車掲載'!J77=2023,ISNUMBER('中古車掲載'!N77),'中古車掲載'!N77&gt;=20000,'中古車掲載'!O77&lt;=50000,'中古車掲載'!AL77=1),'中古車掲載'!U77,"")</x:f>
      </x:c>
      <x:c r="BE76" s="3" t="str">
        <x:f>IF(AND('中古車掲載'!C77="One2car",'中古車掲載'!F77="Corolla Cross",'中古車掲載'!L77="HEV PREMIUM SAFETY",'中古車掲載'!J77=2023,ISNUMBER('中古車掲載'!N77),'中古車掲載'!N77&gt;=20000,'中古車掲載'!O77&lt;=50000,'中古車掲載'!AL77=1,'中古車掲載'!Z77="https://www.one2car.com/en/cars-for-sale/toyota/corolla-cross/year-2023"),'中古車掲載'!U77,"")</x:f>
      </x:c>
      <x:c r="BF76" s="3" t="str">
        <x:f>IF(AND('中古車掲載'!C77="One2car",'中古車掲載'!F77="Corolla Cross",'中古車掲載'!L77="HEV PREMIUM",'中古車掲載'!J77=2023,ISNUMBER('中古車掲載'!N77),'中古車掲載'!N77&gt;=20000,'中古車掲載'!O77&lt;=100000,'中古車掲載'!AL77=1,'中古車掲載'!Z77="https://www.one2car.com/en/cars-for-sale/toyota/corolla-cross/year-2023"),'中古車掲載'!U77,"")</x:f>
      </x:c>
      <x:c r="BG76" s="3" t="str">
        <x:f>IF(AND('中古車掲載'!C77="One2car",'中古車掲載'!F77="Corolla Cross",'中古車掲載'!L77="HEV GR SPORT",'中古車掲載'!J77=2023,ISNUMBER('中古車掲載'!N77),'中古車掲載'!N77&gt;=20000,'中古車掲載'!O77&lt;=100000,'中古車掲載'!AL77=1,'中古車掲載'!Z77="https://www.one2car.com/en/cars-for-sale/toyota/corolla-cross/year-2023"),'中古車掲載'!U77,"")</x:f>
      </x:c>
      <x:c r="BH76" s="3" t="str">
        <x:f>IF(AND('中古車掲載'!C77="One2car",'中古車掲載'!F77="DOLPHIN",'中古車掲載'!L77="STANDARD RANGE",'中古車掲載'!J77=2023,ISNUMBER('中古車掲載'!N77),'中古車掲載'!N77&gt;=20000,'中古車掲載'!O77&lt;=100000,'中古車掲載'!AL77=1),'中古車掲載'!U77,"")</x:f>
      </x:c>
      <x:c r="BI76" s="3" t="str">
        <x:v>One2car|Corolla Cross|HEV|Bangkok metro</x:v>
      </x:c>
      <x:c r="BJ76" s="3" t="n">
        <x:v>80</x:v>
      </x:c>
      <x:c r="BK76" s="3" t="n">
        <x:f>'中古車掲載'!AM80</x:f>
        <x:v>959000</x:v>
      </x:c>
      <x:c r="BL76" s="3" t="n">
        <x:f>IF(ISNUMBER('中古車掲載'!AN80),'中古車掲載'!AN80,"")</x:f>
        <x:v>0.7965116279069767</x:v>
      </x:c>
      <x:c r="BM76" s="3" t="str">
        <x:v>2021|Double cab</x:v>
      </x:c>
      <x:c r="BN76" s="3" t="n">
        <x:v>744</x:v>
      </x:c>
      <x:c r="BO76" s="3" t="n">
        <x:f>'中古車掲載'!AM744</x:f>
        <x:v>609000</x:v>
      </x:c>
      <x:c r="BP76" s="3" t="str">
        <x:v>2.4 MID PRERUNNER DOUBLE CAB</x:v>
      </x:c>
      <x:c r="BQ76" s="3"/>
      <x:c r="BR76" s="3"/>
    </x:row>
    <x:row r="77" ht="22" customHeight="1">
      <x:c r="A77" s="3" t="str">
        <x:v>Corolla Altis</x:v>
      </x:c>
      <x:c r="B77" s="3" t="str">
        <x:v>HEV</x:v>
      </x:c>
      <x:c r="C77" s="3" t="str">
        <x:v>One2car</x:v>
      </x:c>
      <x:c r="D77" s="3" t="n">
        <x:v>2020</x:v>
      </x:c>
      <x:c r="E77" s="22" t="n">
        <x:f>COUNT('中古車掲載'!AM27:AM28)</x:f>
        <x:v>2</x:v>
      </x:c>
      <x:c r="F77" s="22" t="n">
        <x:f>IF(COUNT('中古車掲載'!AM27:AM28)=0,"",QUARTILE('中古車掲載'!AM27:AM28,1))</x:f>
        <x:v>499000</x:v>
      </x:c>
      <x:c r="G77" s="22" t="n">
        <x:f>IF(COUNT('中古車掲載'!AM27:AM28)=0,"",MEDIAN('中古車掲載'!AM27:AM28))</x:f>
        <x:v>519000</x:v>
      </x:c>
      <x:c r="H77" s="22" t="n">
        <x:f>IF(COUNT('中古車掲載'!AM27:AM28)=0,"",QUARTILE('中古車掲載'!AM27:AM28,3))</x:f>
        <x:v>539000</x:v>
      </x:c>
      <x:c r="I77" s="22" t="n">
        <x:f>COUNT('中古車掲載'!AN27:AN28)</x:f>
        <x:v>0</x:v>
      </x:c>
      <x:c r="J77" s="23" t="str">
        <x:f>IF(COUNT('中古車掲載'!AN27:AN28)=0,"",MEDIAN('中古車掲載'!AN27:AN28))</x:f>
      </x:c>
      <x:c r="K77" s="3"/>
      <x:c r="L77" s="3"/>
      <x:c r="M77" s="3"/>
      <x:c r="N77" s="3"/>
      <x:c r="O77" s="3"/>
      <x:c r="P77" s="3"/>
      <x:c r="Q77" s="3"/>
      <x:c r="R77" s="3"/>
      <x:c r="S77" s="3"/>
      <x:c r="T77" s="3"/>
      <x:c r="U77" s="3"/>
      <x:c r="V77" s="3"/>
      <x:c r="W77" s="3"/>
      <x:c r="X77" s="3"/>
      <x:c r="Y77" s="3"/>
      <x:c r="Z77" s="3"/>
      <x:c r="AA77" s="3" t="str">
        <x:v>ATTO 3／Taladrod</x:v>
      </x:c>
      <x:c r="AB77" s="3" t="n">
        <x:f>D18</x:f>
        <x:v>14</x:v>
      </x:c>
      <x:c r="AC77" s="22" t="n">
        <x:f>E18</x:f>
        <x:v>424750</x:v>
      </x:c>
      <x:c r="AD77" s="22" t="n">
        <x:f>F18</x:f>
        <x:v>457000</x:v>
      </x:c>
      <x:c r="AE77" s="22" t="n">
        <x:f>G18</x:f>
        <x:v>496500</x:v>
      </x:c>
      <x:c r="AF77" s="3" t="n">
        <x:f>J18</x:f>
        <x:v>16</x:v>
      </x:c>
      <x:c r="AG77" s="3" t="str">
        <x:v>年式/仕様構成が異なる未調整比較。</x:v>
      </x:c>
      <x:c r="AH77" s="3" t="n">
        <x:v>18</x:v>
      </x:c>
      <x:c r="AI77" s="3"/>
      <x:c r="AJ77" s="3"/>
      <x:c r="AK77" s="3"/>
      <x:c r="AL77" s="3"/>
      <x:c r="AM77" s="3"/>
      <x:c r="AN77" s="3"/>
      <x:c r="AO77" s="3"/>
      <x:c r="AP77" s="3"/>
      <x:c r="AQ77" s="3"/>
      <x:c r="AR77" s="3"/>
      <x:c r="AS77" s="3"/>
      <x:c r="AT77" s="3"/>
      <x:c r="AU77" s="3"/>
      <x:c r="AV77" s="3"/>
      <x:c r="AW77" s="3"/>
      <x:c r="AX77" s="3"/>
      <x:c r="AY77" s="3"/>
      <x:c r="AZ77" s="3" t="str">
        <x:f>IF(AND('中古車掲載'!C78="One2car",'中古車掲載'!F78="ATTO 3",'中古車掲載'!L78="EXTENDED RANGE",'中古車掲載'!J78=2023,ISNUMBER('中古車掲載'!N78),'中古車掲載'!N78&gt;=20000,'中古車掲載'!O78&lt;=100000,'中古車掲載'!AL78=1),'中古車掲載'!U78,"")</x:f>
      </x:c>
      <x:c r="BA77" s="3" t="str">
        <x:f>IF(AND('中古車掲載'!C78="One2car",'中古車掲載'!F78="Corolla Cross",'中古車掲載'!L78="HEV PREMIUM SAFETY",'中古車掲載'!J78=2023,ISNUMBER('中古車掲載'!N78),'中古車掲載'!N78&gt;=20000,'中古車掲載'!O78&lt;=100000,'中古車掲載'!AL78=1,'中古車掲載'!Z78="https://www.one2car.com/en/cars-for-sale/toyota/corolla-cross/year-2023"),'中古車掲載'!U78,"")</x:f>
      </x:c>
      <x:c r="BB77" s="3" t="str">
        <x:f>IF(AND('中古車掲載'!C78="One2car",'中古車掲載'!F78="ATTO 3",'中古車掲載'!L78="EXTENDED RANGE",'中古車掲載'!J78=2023,ISNUMBER('中古車掲載'!N78),'中古車掲載'!N78&gt;=50000,'中古車掲載'!O78&lt;=100000,'中古車掲載'!AL78=1),'中古車掲載'!U78,"")</x:f>
      </x:c>
      <x:c r="BC77" s="3" t="str">
        <x:f>IF(AND('中古車掲載'!C78="One2car",'中古車掲載'!F78="Corolla Cross",'中古車掲載'!L78="HEV PREMIUM SAFETY",'中古車掲載'!J78=2023,ISNUMBER('中古車掲載'!N78),'中古車掲載'!N78&gt;=50000,'中古車掲載'!O78&lt;=100000,'中古車掲載'!AL78=1,'中古車掲載'!Z78="https://www.one2car.com/en/cars-for-sale/toyota/corolla-cross/year-2023"),'中古車掲載'!U78,"")</x:f>
      </x:c>
      <x:c r="BD77" s="3" t="str">
        <x:f>IF(AND('中古車掲載'!C78="One2car",'中古車掲載'!F78="ATTO 3",'中古車掲載'!L78="EXTENDED RANGE",'中古車掲載'!J78=2023,ISNUMBER('中古車掲載'!N78),'中古車掲載'!N78&gt;=20000,'中古車掲載'!O78&lt;=50000,'中古車掲載'!AL78=1),'中古車掲載'!U78,"")</x:f>
      </x:c>
      <x:c r="BE77" s="3" t="str">
        <x:f>IF(AND('中古車掲載'!C78="One2car",'中古車掲載'!F78="Corolla Cross",'中古車掲載'!L78="HEV PREMIUM SAFETY",'中古車掲載'!J78=2023,ISNUMBER('中古車掲載'!N78),'中古車掲載'!N78&gt;=20000,'中古車掲載'!O78&lt;=50000,'中古車掲載'!AL78=1,'中古車掲載'!Z78="https://www.one2car.com/en/cars-for-sale/toyota/corolla-cross/year-2023"),'中古車掲載'!U78,"")</x:f>
      </x:c>
      <x:c r="BF77" s="3" t="str">
        <x:f>IF(AND('中古車掲載'!C78="One2car",'中古車掲載'!F78="Corolla Cross",'中古車掲載'!L78="HEV PREMIUM",'中古車掲載'!J78=2023,ISNUMBER('中古車掲載'!N78),'中古車掲載'!N78&gt;=20000,'中古車掲載'!O78&lt;=100000,'中古車掲載'!AL78=1,'中古車掲載'!Z78="https://www.one2car.com/en/cars-for-sale/toyota/corolla-cross/year-2023"),'中古車掲載'!U78,"")</x:f>
      </x:c>
      <x:c r="BG77" s="3" t="str">
        <x:f>IF(AND('中古車掲載'!C78="One2car",'中古車掲載'!F78="Corolla Cross",'中古車掲載'!L78="HEV GR SPORT",'中古車掲載'!J78=2023,ISNUMBER('中古車掲載'!N78),'中古車掲載'!N78&gt;=20000,'中古車掲載'!O78&lt;=100000,'中古車掲載'!AL78=1,'中古車掲載'!Z78="https://www.one2car.com/en/cars-for-sale/toyota/corolla-cross/year-2023"),'中古車掲載'!U78,"")</x:f>
      </x:c>
      <x:c r="BH77" s="3" t="str">
        <x:f>IF(AND('中古車掲載'!C78="One2car",'中古車掲載'!F78="DOLPHIN",'中古車掲載'!L78="STANDARD RANGE",'中古車掲載'!J78=2023,ISNUMBER('中古車掲載'!N78),'中古車掲載'!N78&gt;=20000,'中古車掲載'!O78&lt;=100000,'中古車掲載'!AL78=1),'中古車掲載'!U78,"")</x:f>
      </x:c>
      <x:c r="BI77" s="3" t="str">
        <x:v>One2car|Corolla Cross|HEV|Other province</x:v>
      </x:c>
      <x:c r="BJ77" s="3" t="n">
        <x:v>55</x:v>
      </x:c>
      <x:c r="BK77" s="3" t="n">
        <x:f>'中古車掲載'!AM55</x:f>
        <x:v>879000</x:v>
      </x:c>
      <x:c r="BL77" s="3" t="n">
        <x:f>IF(ISNUMBER('中古車掲載'!AN55),'中古車掲載'!AN55,"")</x:f>
        <x:v>0.7009569377990431</x:v>
      </x:c>
      <x:c r="BM77" s="3" t="str">
        <x:v>2021|Double cab</x:v>
      </x:c>
      <x:c r="BN77" s="3" t="n">
        <x:v>748</x:v>
      </x:c>
      <x:c r="BO77" s="3" t="n">
        <x:f>'中古車掲載'!AM748</x:f>
        <x:v>489000</x:v>
      </x:c>
      <x:c r="BP77" s="3" t="str">
        <x:v>2.4 MID Z EDITION DOUBLE CAB</x:v>
      </x:c>
      <x:c r="BQ77" s="3"/>
      <x:c r="BR77" s="3"/>
    </x:row>
    <x:row r="78" ht="22" customHeight="1">
      <x:c r="A78" s="3" t="str">
        <x:v>Corolla Altis</x:v>
      </x:c>
      <x:c r="B78" s="3" t="str">
        <x:v>HEV</x:v>
      </x:c>
      <x:c r="C78" s="3" t="str">
        <x:v>One2car</x:v>
      </x:c>
      <x:c r="D78" s="3" t="n">
        <x:v>2021</x:v>
      </x:c>
      <x:c r="E78" s="22" t="n">
        <x:f>COUNT('中古車掲載'!AM29:AM29)</x:f>
        <x:v>1</x:v>
      </x:c>
      <x:c r="F78" s="22" t="n">
        <x:f>IF(COUNT('中古車掲載'!AM29:AM29)=0,"",QUARTILE('中古車掲載'!AM29:AM29,1))</x:f>
        <x:v>629000</x:v>
      </x:c>
      <x:c r="G78" s="22" t="n">
        <x:f>IF(COUNT('中古車掲載'!AM29:AM29)=0,"",MEDIAN('中古車掲載'!AM29:AM29))</x:f>
        <x:v>629000</x:v>
      </x:c>
      <x:c r="H78" s="22" t="n">
        <x:f>IF(COUNT('中古車掲載'!AM29:AM29)=0,"",QUARTILE('中古車掲載'!AM29:AM29,3))</x:f>
        <x:v>629000</x:v>
      </x:c>
      <x:c r="I78" s="22" t="n">
        <x:f>COUNT('中古車掲載'!AN29:AN29)</x:f>
        <x:v>0</x:v>
      </x:c>
      <x:c r="J78" s="23" t="str">
        <x:f>IF(COUNT('中古車掲載'!AN29:AN29)=0,"",MEDIAN('中古車掲載'!AN29:AN29))</x:f>
      </x:c>
      <x:c r="K78" s="3"/>
      <x:c r="L78" s="3"/>
      <x:c r="M78" s="3"/>
      <x:c r="N78" s="3"/>
      <x:c r="O78" s="3"/>
      <x:c r="P78" s="3"/>
      <x:c r="Q78" s="3"/>
      <x:c r="R78" s="3"/>
      <x:c r="S78" s="3"/>
      <x:c r="T78" s="3"/>
      <x:c r="U78" s="3"/>
      <x:c r="V78" s="3"/>
      <x:c r="W78" s="3"/>
      <x:c r="X78" s="3"/>
      <x:c r="Y78" s="3"/>
      <x:c r="Z78" s="3"/>
      <x:c r="AA78" s="3" t="str">
        <x:v>ATTO 3／One2car</x:v>
      </x:c>
      <x:c r="AB78" s="3" t="n">
        <x:f>D8</x:f>
        <x:v>15</x:v>
      </x:c>
      <x:c r="AC78" s="22" t="n">
        <x:f>E8</x:f>
        <x:v>459500</x:v>
      </x:c>
      <x:c r="AD78" s="22" t="n">
        <x:f>F8</x:f>
        <x:v>469000</x:v>
      </x:c>
      <x:c r="AE78" s="22" t="n">
        <x:f>G8</x:f>
        <x:v>495000</x:v>
      </x:c>
      <x:c r="AF78" s="3" t="n">
        <x:f>J8</x:f>
        <x:v>15</x:v>
      </x:c>
      <x:c r="AG78" s="3" t="str">
        <x:v>年式/仕様構成が異なる未調整比較。</x:v>
      </x:c>
      <x:c r="AH78" s="3" t="n">
        <x:v>8</x:v>
      </x:c>
      <x:c r="AI78" s="3"/>
      <x:c r="AJ78" s="3"/>
      <x:c r="AK78" s="3"/>
      <x:c r="AL78" s="3"/>
      <x:c r="AM78" s="3"/>
      <x:c r="AN78" s="3"/>
      <x:c r="AO78" s="3"/>
      <x:c r="AP78" s="3"/>
      <x:c r="AQ78" s="3"/>
      <x:c r="AR78" s="3"/>
      <x:c r="AS78" s="3"/>
      <x:c r="AT78" s="3"/>
      <x:c r="AU78" s="3"/>
      <x:c r="AV78" s="3"/>
      <x:c r="AW78" s="3"/>
      <x:c r="AX78" s="3"/>
      <x:c r="AY78" s="3"/>
      <x:c r="AZ78" s="3" t="str">
        <x:f>IF(AND('中古車掲載'!C79="One2car",'中古車掲載'!F79="ATTO 3",'中古車掲載'!L79="EXTENDED RANGE",'中古車掲載'!J79=2023,ISNUMBER('中古車掲載'!N79),'中古車掲載'!N79&gt;=20000,'中古車掲載'!O79&lt;=100000,'中古車掲載'!AL79=1),'中古車掲載'!U79,"")</x:f>
      </x:c>
      <x:c r="BA78" s="3" t="str">
        <x:f>IF(AND('中古車掲載'!C79="One2car",'中古車掲載'!F79="Corolla Cross",'中古車掲載'!L79="HEV PREMIUM SAFETY",'中古車掲載'!J79=2023,ISNUMBER('中古車掲載'!N79),'中古車掲載'!N79&gt;=20000,'中古車掲載'!O79&lt;=100000,'中古車掲載'!AL79=1,'中古車掲載'!Z79="https://www.one2car.com/en/cars-for-sale/toyota/corolla-cross/year-2023"),'中古車掲載'!U79,"")</x:f>
      </x:c>
      <x:c r="BB78" s="3" t="str">
        <x:f>IF(AND('中古車掲載'!C79="One2car",'中古車掲載'!F79="ATTO 3",'中古車掲載'!L79="EXTENDED RANGE",'中古車掲載'!J79=2023,ISNUMBER('中古車掲載'!N79),'中古車掲載'!N79&gt;=50000,'中古車掲載'!O79&lt;=100000,'中古車掲載'!AL79=1),'中古車掲載'!U79,"")</x:f>
      </x:c>
      <x:c r="BC78" s="3" t="str">
        <x:f>IF(AND('中古車掲載'!C79="One2car",'中古車掲載'!F79="Corolla Cross",'中古車掲載'!L79="HEV PREMIUM SAFETY",'中古車掲載'!J79=2023,ISNUMBER('中古車掲載'!N79),'中古車掲載'!N79&gt;=50000,'中古車掲載'!O79&lt;=100000,'中古車掲載'!AL79=1,'中古車掲載'!Z79="https://www.one2car.com/en/cars-for-sale/toyota/corolla-cross/year-2023"),'中古車掲載'!U79,"")</x:f>
      </x:c>
      <x:c r="BD78" s="3" t="str">
        <x:f>IF(AND('中古車掲載'!C79="One2car",'中古車掲載'!F79="ATTO 3",'中古車掲載'!L79="EXTENDED RANGE",'中古車掲載'!J79=2023,ISNUMBER('中古車掲載'!N79),'中古車掲載'!N79&gt;=20000,'中古車掲載'!O79&lt;=50000,'中古車掲載'!AL79=1),'中古車掲載'!U79,"")</x:f>
      </x:c>
      <x:c r="BE78" s="3" t="str">
        <x:f>IF(AND('中古車掲載'!C79="One2car",'中古車掲載'!F79="Corolla Cross",'中古車掲載'!L79="HEV PREMIUM SAFETY",'中古車掲載'!J79=2023,ISNUMBER('中古車掲載'!N79),'中古車掲載'!N79&gt;=20000,'中古車掲載'!O79&lt;=50000,'中古車掲載'!AL79=1,'中古車掲載'!Z79="https://www.one2car.com/en/cars-for-sale/toyota/corolla-cross/year-2023"),'中古車掲載'!U79,"")</x:f>
      </x:c>
      <x:c r="BF78" s="3" t="str">
        <x:f>IF(AND('中古車掲載'!C79="One2car",'中古車掲載'!F79="Corolla Cross",'中古車掲載'!L79="HEV PREMIUM",'中古車掲載'!J79=2023,ISNUMBER('中古車掲載'!N79),'中古車掲載'!N79&gt;=20000,'中古車掲載'!O79&lt;=100000,'中古車掲載'!AL79=1,'中古車掲載'!Z79="https://www.one2car.com/en/cars-for-sale/toyota/corolla-cross/year-2023"),'中古車掲載'!U79,"")</x:f>
      </x:c>
      <x:c r="BG78" s="3" t="str">
        <x:f>IF(AND('中古車掲載'!C79="One2car",'中古車掲載'!F79="Corolla Cross",'中古車掲載'!L79="HEV GR SPORT",'中古車掲載'!J79=2023,ISNUMBER('中古車掲載'!N79),'中古車掲載'!N79&gt;=20000,'中古車掲載'!O79&lt;=100000,'中古車掲載'!AL79=1,'中古車掲載'!Z79="https://www.one2car.com/en/cars-for-sale/toyota/corolla-cross/year-2023"),'中古車掲載'!U79,"")</x:f>
      </x:c>
      <x:c r="BH78" s="3" t="str">
        <x:f>IF(AND('中古車掲載'!C79="One2car",'中古車掲載'!F79="DOLPHIN",'中古車掲載'!L79="STANDARD RANGE",'中古車掲載'!J79=2023,ISNUMBER('中古車掲載'!N79),'中古車掲載'!N79&gt;=20000,'中古車掲載'!O79&lt;=100000,'中古車掲載'!AL79=1),'中古車掲載'!U79,"")</x:f>
      </x:c>
      <x:c r="BI78" s="3" t="str">
        <x:v>One2car|Corolla Cross|HEV|Other province</x:v>
      </x:c>
      <x:c r="BJ78" s="3" t="n">
        <x:v>70</x:v>
      </x:c>
      <x:c r="BK78" s="3" t="n">
        <x:f>'中古車掲載'!AM70</x:f>
        <x:v>730000</x:v>
      </x:c>
      <x:c r="BL78" s="3" t="n">
        <x:f>IF(ISNUMBER('中古車掲載'!AN70),'中古車掲載'!AN70,"")</x:f>
        <x:v>0.606312292358804</x:v>
      </x:c>
      <x:c r="BM78" s="3" t="str">
        <x:v>2021|Double cab</x:v>
      </x:c>
      <x:c r="BN78" s="3" t="n">
        <x:v>749</x:v>
      </x:c>
      <x:c r="BO78" s="3" t="n">
        <x:f>'中古車掲載'!AM749</x:f>
        <x:v>459000</x:v>
      </x:c>
      <x:c r="BP78" s="3" t="str">
        <x:v>2.4 MID Z EDITION DOUBLE CAB</x:v>
      </x:c>
      <x:c r="BQ78" s="3"/>
      <x:c r="BR78" s="3"/>
    </x:row>
    <x:row r="79" ht="22" customHeight="1">
      <x:c r="A79" s="3" t="str">
        <x:v>Corolla Altis</x:v>
      </x:c>
      <x:c r="B79" s="3" t="str">
        <x:v>HEV</x:v>
      </x:c>
      <x:c r="C79" s="3" t="str">
        <x:v>One2car</x:v>
      </x:c>
      <x:c r="D79" s="3" t="n">
        <x:v>2024</x:v>
      </x:c>
      <x:c r="E79" s="22" t="n">
        <x:f>COUNT('中古車掲載'!AM30:AM30)</x:f>
        <x:v>1</x:v>
      </x:c>
      <x:c r="F79" s="22" t="n">
        <x:f>IF(COUNT('中古車掲載'!AM30:AM30)=0,"",QUARTILE('中古車掲載'!AM30:AM30,1))</x:f>
        <x:v>795000</x:v>
      </x:c>
      <x:c r="G79" s="22" t="n">
        <x:f>IF(COUNT('中古車掲載'!AM30:AM30)=0,"",MEDIAN('中古車掲載'!AM30:AM30))</x:f>
        <x:v>795000</x:v>
      </x:c>
      <x:c r="H79" s="22" t="n">
        <x:f>IF(COUNT('中古車掲載'!AM30:AM30)=0,"",QUARTILE('中古車掲載'!AM30:AM30,3))</x:f>
        <x:v>795000</x:v>
      </x:c>
      <x:c r="I79" s="22" t="n">
        <x:f>COUNT('中古車掲載'!AN30:AN30)</x:f>
        <x:v>1</x:v>
      </x:c>
      <x:c r="J79" s="23" t="n">
        <x:f>IF(COUNT('中古車掲載'!AN30:AN30)=0,"",MEDIAN('中古車掲載'!AN30:AN30))</x:f>
        <x:v>0.704162976085031</x:v>
      </x:c>
      <x:c r="K79" s="3"/>
      <x:c r="L79" s="3"/>
      <x:c r="M79" s="3"/>
      <x:c r="N79" s="3"/>
      <x:c r="O79" s="3"/>
      <x:c r="P79" s="3"/>
      <x:c r="Q79" s="3"/>
      <x:c r="R79" s="3"/>
      <x:c r="S79" s="3"/>
      <x:c r="T79" s="3"/>
      <x:c r="U79" s="3"/>
      <x:c r="V79" s="3"/>
      <x:c r="W79" s="3"/>
      <x:c r="X79" s="3"/>
      <x:c r="Y79" s="3"/>
      <x:c r="Z79" s="3"/>
      <x:c r="AA79" s="3" t="str">
        <x:v>DOLPHIN／Taladrod</x:v>
      </x:c>
      <x:c r="AB79" s="3" t="n">
        <x:f>D24</x:f>
        <x:v>22</x:v>
      </x:c>
      <x:c r="AC79" s="22" t="n">
        <x:f>E24</x:f>
        <x:v>332000</x:v>
      </x:c>
      <x:c r="AD79" s="22" t="n">
        <x:f>F24</x:f>
        <x:v>349000</x:v>
      </x:c>
      <x:c r="AE79" s="22" t="n">
        <x:f>G24</x:f>
        <x:v>394000</x:v>
      </x:c>
      <x:c r="AF79" s="3" t="n">
        <x:f>J24</x:f>
        <x:v>3</x:v>
      </x:c>
      <x:c r="AG79" s="3" t="str">
        <x:v>年式/仕様構成が異なる未調整比較。</x:v>
      </x:c>
      <x:c r="AH79" s="3" t="n">
        <x:v>24</x:v>
      </x:c>
      <x:c r="AI79" s="3"/>
      <x:c r="AJ79" s="3"/>
      <x:c r="AK79" s="3"/>
      <x:c r="AL79" s="3"/>
      <x:c r="AM79" s="3"/>
      <x:c r="AN79" s="3"/>
      <x:c r="AO79" s="3"/>
      <x:c r="AP79" s="3"/>
      <x:c r="AQ79" s="3"/>
      <x:c r="AR79" s="3"/>
      <x:c r="AS79" s="3"/>
      <x:c r="AT79" s="3"/>
      <x:c r="AU79" s="3"/>
      <x:c r="AV79" s="3"/>
      <x:c r="AW79" s="3"/>
      <x:c r="AX79" s="3"/>
      <x:c r="AY79" s="3"/>
      <x:c r="AZ79" s="3" t="str">
        <x:f>IF(AND('中古車掲載'!C80="One2car",'中古車掲載'!F80="ATTO 3",'中古車掲載'!L80="EXTENDED RANGE",'中古車掲載'!J80=2023,ISNUMBER('中古車掲載'!N80),'中古車掲載'!N80&gt;=20000,'中古車掲載'!O80&lt;=100000,'中古車掲載'!AL80=1),'中古車掲載'!U80,"")</x:f>
      </x:c>
      <x:c r="BA79" s="3" t="str">
        <x:f>IF(AND('中古車掲載'!C80="One2car",'中古車掲載'!F80="Corolla Cross",'中古車掲載'!L80="HEV PREMIUM SAFETY",'中古車掲載'!J80=2023,ISNUMBER('中古車掲載'!N80),'中古車掲載'!N80&gt;=20000,'中古車掲載'!O80&lt;=100000,'中古車掲載'!AL80=1,'中古車掲載'!Z80="https://www.one2car.com/en/cars-for-sale/toyota/corolla-cross/year-2023"),'中古車掲載'!U80,"")</x:f>
      </x:c>
      <x:c r="BB79" s="3" t="str">
        <x:f>IF(AND('中古車掲載'!C80="One2car",'中古車掲載'!F80="ATTO 3",'中古車掲載'!L80="EXTENDED RANGE",'中古車掲載'!J80=2023,ISNUMBER('中古車掲載'!N80),'中古車掲載'!N80&gt;=50000,'中古車掲載'!O80&lt;=100000,'中古車掲載'!AL80=1),'中古車掲載'!U80,"")</x:f>
      </x:c>
      <x:c r="BC79" s="3" t="str">
        <x:f>IF(AND('中古車掲載'!C80="One2car",'中古車掲載'!F80="Corolla Cross",'中古車掲載'!L80="HEV PREMIUM SAFETY",'中古車掲載'!J80=2023,ISNUMBER('中古車掲載'!N80),'中古車掲載'!N80&gt;=50000,'中古車掲載'!O80&lt;=100000,'中古車掲載'!AL80=1,'中古車掲載'!Z80="https://www.one2car.com/en/cars-for-sale/toyota/corolla-cross/year-2023"),'中古車掲載'!U80,"")</x:f>
      </x:c>
      <x:c r="BD79" s="3" t="str">
        <x:f>IF(AND('中古車掲載'!C80="One2car",'中古車掲載'!F80="ATTO 3",'中古車掲載'!L80="EXTENDED RANGE",'中古車掲載'!J80=2023,ISNUMBER('中古車掲載'!N80),'中古車掲載'!N80&gt;=20000,'中古車掲載'!O80&lt;=50000,'中古車掲載'!AL80=1),'中古車掲載'!U80,"")</x:f>
      </x:c>
      <x:c r="BE79" s="3" t="str">
        <x:f>IF(AND('中古車掲載'!C80="One2car",'中古車掲載'!F80="Corolla Cross",'中古車掲載'!L80="HEV PREMIUM SAFETY",'中古車掲載'!J80=2023,ISNUMBER('中古車掲載'!N80),'中古車掲載'!N80&gt;=20000,'中古車掲載'!O80&lt;=50000,'中古車掲載'!AL80=1,'中古車掲載'!Z80="https://www.one2car.com/en/cars-for-sale/toyota/corolla-cross/year-2023"),'中古車掲載'!U80,"")</x:f>
      </x:c>
      <x:c r="BF79" s="3" t="str">
        <x:f>IF(AND('中古車掲載'!C80="One2car",'中古車掲載'!F80="Corolla Cross",'中古車掲載'!L80="HEV PREMIUM",'中古車掲載'!J80=2023,ISNUMBER('中古車掲載'!N80),'中古車掲載'!N80&gt;=20000,'中古車掲載'!O80&lt;=100000,'中古車掲載'!AL80=1,'中古車掲載'!Z80="https://www.one2car.com/en/cars-for-sale/toyota/corolla-cross/year-2023"),'中古車掲載'!U80,"")</x:f>
      </x:c>
      <x:c r="BG79" s="3" t="str">
        <x:f>IF(AND('中古車掲載'!C80="One2car",'中古車掲載'!F80="Corolla Cross",'中古車掲載'!L80="HEV GR SPORT",'中古車掲載'!J80=2023,ISNUMBER('中古車掲載'!N80),'中古車掲載'!N80&gt;=20000,'中古車掲載'!O80&lt;=100000,'中古車掲載'!AL80=1,'中古車掲載'!Z80="https://www.one2car.com/en/cars-for-sale/toyota/corolla-cross/year-2023"),'中古車掲載'!U80,"")</x:f>
      </x:c>
      <x:c r="BH79" s="3" t="str">
        <x:f>IF(AND('中古車掲載'!C80="One2car",'中古車掲載'!F80="DOLPHIN",'中古車掲載'!L80="STANDARD RANGE",'中古車掲載'!J80=2023,ISNUMBER('中古車掲載'!N80),'中古車掲載'!N80&gt;=20000,'中古車掲載'!O80&lt;=100000,'中古車掲載'!AL80=1),'中古車掲載'!U80,"")</x:f>
      </x:c>
      <x:c r="BI79" s="3" t="str">
        <x:v>One2car|Corolla Cross|HEV|Other province</x:v>
      </x:c>
      <x:c r="BJ79" s="3" t="n">
        <x:v>76</x:v>
      </x:c>
      <x:c r="BK79" s="3" t="n">
        <x:f>'中古車掲載'!AM76</x:f>
        <x:v>749000</x:v>
      </x:c>
      <x:c r="BL79" s="3" t="n">
        <x:f>IF(ISNUMBER('中古車掲載'!AN76),'中古車掲載'!AN76,"")</x:f>
        <x:v>0.6846435100548446</x:v>
      </x:c>
      <x:c r="BM79" s="3" t="str">
        <x:v>2021|Double cab</x:v>
      </x:c>
      <x:c r="BN79" s="3" t="n">
        <x:v>750</x:v>
      </x:c>
      <x:c r="BO79" s="3" t="n">
        <x:f>'中古車掲載'!AM750</x:f>
        <x:v>459000</x:v>
      </x:c>
      <x:c r="BP79" s="3" t="str">
        <x:v>2.4 MID Z EDITION DOUBLE CAB</x:v>
      </x:c>
      <x:c r="BQ79" s="3"/>
      <x:c r="BR79" s="3"/>
    </x:row>
    <x:row r="80" ht="22" customHeight="1">
      <x:c r="A80" s="3" t="str">
        <x:v>Corolla Altis</x:v>
      </x:c>
      <x:c r="B80" s="3" t="str">
        <x:v>ICE</x:v>
      </x:c>
      <x:c r="C80" s="3" t="str">
        <x:v>One2car</x:v>
      </x:c>
      <x:c r="D80" s="3" t="n">
        <x:v>2020</x:v>
      </x:c>
      <x:c r="E80" s="22" t="n">
        <x:f>COUNT('中古車掲載'!AM31:AM31)</x:f>
        <x:v>1</x:v>
      </x:c>
      <x:c r="F80" s="22" t="n">
        <x:f>IF(COUNT('中古車掲載'!AM31:AM31)=0,"",QUARTILE('中古車掲載'!AM31:AM31,1))</x:f>
        <x:v>459000</x:v>
      </x:c>
      <x:c r="G80" s="22" t="n">
        <x:f>IF(COUNT('中古車掲載'!AM31:AM31)=0,"",MEDIAN('中古車掲載'!AM31:AM31))</x:f>
        <x:v>459000</x:v>
      </x:c>
      <x:c r="H80" s="22" t="n">
        <x:f>IF(COUNT('中古車掲載'!AM31:AM31)=0,"",QUARTILE('中古車掲載'!AM31:AM31,3))</x:f>
        <x:v>459000</x:v>
      </x:c>
      <x:c r="I80" s="22" t="n">
        <x:f>COUNT('中古車掲載'!AN31:AN31)</x:f>
        <x:v>0</x:v>
      </x:c>
      <x:c r="J80" s="23" t="str">
        <x:f>IF(COUNT('中古車掲載'!AN31:AN31)=0,"",MEDIAN('中古車掲載'!AN31:AN31))</x:f>
      </x:c>
      <x:c r="K80" s="3"/>
      <x:c r="L80" s="3"/>
      <x:c r="M80" s="3"/>
      <x:c r="N80" s="3"/>
      <x:c r="O80" s="3"/>
      <x:c r="P80" s="3"/>
      <x:c r="Q80" s="3"/>
      <x:c r="R80" s="3"/>
      <x:c r="S80" s="3"/>
      <x:c r="T80" s="3"/>
      <x:c r="U80" s="3"/>
      <x:c r="V80" s="3"/>
      <x:c r="W80" s="3"/>
      <x:c r="X80" s="3"/>
      <x:c r="Y80" s="3"/>
      <x:c r="Z80" s="3"/>
      <x:c r="AA80" s="3" t="str">
        <x:v>DOLPHIN／One2car</x:v>
      </x:c>
      <x:c r="AB80" s="3" t="n">
        <x:f>D13</x:f>
        <x:v>15</x:v>
      </x:c>
      <x:c r="AC80" s="22" t="n">
        <x:f>E13</x:f>
        <x:v>332000</x:v>
      </x:c>
      <x:c r="AD80" s="22" t="n">
        <x:f>F13</x:f>
        <x:v>359000</x:v>
      </x:c>
      <x:c r="AE80" s="22" t="n">
        <x:f>G13</x:f>
        <x:v>443000</x:v>
      </x:c>
      <x:c r="AF80" s="3" t="n">
        <x:f>J13</x:f>
        <x:v>16</x:v>
      </x:c>
      <x:c r="AG80" s="3" t="str">
        <x:v>年式/仕様構成が異なる未調整比較。</x:v>
      </x:c>
      <x:c r="AH80" s="3" t="n">
        <x:v>13</x:v>
      </x:c>
      <x:c r="AI80" s="3"/>
      <x:c r="AJ80" s="3"/>
      <x:c r="AK80" s="3"/>
      <x:c r="AL80" s="3"/>
      <x:c r="AM80" s="3"/>
      <x:c r="AN80" s="3"/>
      <x:c r="AO80" s="3"/>
      <x:c r="AP80" s="3"/>
      <x:c r="AQ80" s="3"/>
      <x:c r="AR80" s="3"/>
      <x:c r="AS80" s="3"/>
      <x:c r="AT80" s="3"/>
      <x:c r="AU80" s="3"/>
      <x:c r="AV80" s="3"/>
      <x:c r="AW80" s="3"/>
      <x:c r="AX80" s="3"/>
      <x:c r="AY80" s="3"/>
      <x:c r="AZ80" s="3" t="str">
        <x:f>IF(AND('中古車掲載'!C81="One2car",'中古車掲載'!F81="ATTO 3",'中古車掲載'!L81="EXTENDED RANGE",'中古車掲載'!J81=2023,ISNUMBER('中古車掲載'!N81),'中古車掲載'!N81&gt;=20000,'中古車掲載'!O81&lt;=100000,'中古車掲載'!AL81=1),'中古車掲載'!U81,"")</x:f>
      </x:c>
      <x:c r="BA80" s="3" t="str">
        <x:f>IF(AND('中古車掲載'!C81="One2car",'中古車掲載'!F81="Corolla Cross",'中古車掲載'!L81="HEV PREMIUM SAFETY",'中古車掲載'!J81=2023,ISNUMBER('中古車掲載'!N81),'中古車掲載'!N81&gt;=20000,'中古車掲載'!O81&lt;=100000,'中古車掲載'!AL81=1,'中古車掲載'!Z81="https://www.one2car.com/en/cars-for-sale/toyota/corolla-cross/year-2023"),'中古車掲載'!U81,"")</x:f>
      </x:c>
      <x:c r="BB80" s="3" t="str">
        <x:f>IF(AND('中古車掲載'!C81="One2car",'中古車掲載'!F81="ATTO 3",'中古車掲載'!L81="EXTENDED RANGE",'中古車掲載'!J81=2023,ISNUMBER('中古車掲載'!N81),'中古車掲載'!N81&gt;=50000,'中古車掲載'!O81&lt;=100000,'中古車掲載'!AL81=1),'中古車掲載'!U81,"")</x:f>
      </x:c>
      <x:c r="BC80" s="3" t="str">
        <x:f>IF(AND('中古車掲載'!C81="One2car",'中古車掲載'!F81="Corolla Cross",'中古車掲載'!L81="HEV PREMIUM SAFETY",'中古車掲載'!J81=2023,ISNUMBER('中古車掲載'!N81),'中古車掲載'!N81&gt;=50000,'中古車掲載'!O81&lt;=100000,'中古車掲載'!AL81=1,'中古車掲載'!Z81="https://www.one2car.com/en/cars-for-sale/toyota/corolla-cross/year-2023"),'中古車掲載'!U81,"")</x:f>
      </x:c>
      <x:c r="BD80" s="3" t="str">
        <x:f>IF(AND('中古車掲載'!C81="One2car",'中古車掲載'!F81="ATTO 3",'中古車掲載'!L81="EXTENDED RANGE",'中古車掲載'!J81=2023,ISNUMBER('中古車掲載'!N81),'中古車掲載'!N81&gt;=20000,'中古車掲載'!O81&lt;=50000,'中古車掲載'!AL81=1),'中古車掲載'!U81,"")</x:f>
      </x:c>
      <x:c r="BE80" s="3" t="str">
        <x:f>IF(AND('中古車掲載'!C81="One2car",'中古車掲載'!F81="Corolla Cross",'中古車掲載'!L81="HEV PREMIUM SAFETY",'中古車掲載'!J81=2023,ISNUMBER('中古車掲載'!N81),'中古車掲載'!N81&gt;=20000,'中古車掲載'!O81&lt;=50000,'中古車掲載'!AL81=1,'中古車掲載'!Z81="https://www.one2car.com/en/cars-for-sale/toyota/corolla-cross/year-2023"),'中古車掲載'!U81,"")</x:f>
      </x:c>
      <x:c r="BF80" s="3" t="str">
        <x:f>IF(AND('中古車掲載'!C81="One2car",'中古車掲載'!F81="Corolla Cross",'中古車掲載'!L81="HEV PREMIUM",'中古車掲載'!J81=2023,ISNUMBER('中古車掲載'!N81),'中古車掲載'!N81&gt;=20000,'中古車掲載'!O81&lt;=100000,'中古車掲載'!AL81=1,'中古車掲載'!Z81="https://www.one2car.com/en/cars-for-sale/toyota/corolla-cross/year-2023"),'中古車掲載'!U81,"")</x:f>
      </x:c>
      <x:c r="BG80" s="3" t="str">
        <x:f>IF(AND('中古車掲載'!C81="One2car",'中古車掲載'!F81="Corolla Cross",'中古車掲載'!L81="HEV GR SPORT",'中古車掲載'!J81=2023,ISNUMBER('中古車掲載'!N81),'中古車掲載'!N81&gt;=20000,'中古車掲載'!O81&lt;=100000,'中古車掲載'!AL81=1,'中古車掲載'!Z81="https://www.one2car.com/en/cars-for-sale/toyota/corolla-cross/year-2023"),'中古車掲載'!U81,"")</x:f>
      </x:c>
      <x:c r="BH80" s="3" t="str">
        <x:f>IF(AND('中古車掲載'!C81="One2car",'中古車掲載'!F81="DOLPHIN",'中古車掲載'!L81="STANDARD RANGE",'中古車掲載'!J81=2023,ISNUMBER('中古車掲載'!N81),'中古車掲載'!N81&gt;=20000,'中古車掲載'!O81&lt;=100000,'中古車掲載'!AL81=1),'中古車掲載'!U81,"")</x:f>
      </x:c>
      <x:c r="BI80" s="3" t="str">
        <x:v>One2car|Corolla Cross|ICE|Bangkok metro</x:v>
      </x:c>
      <x:c r="BJ80" s="3" t="n">
        <x:v>81</x:v>
      </x:c>
      <x:c r="BK80" s="3" t="n">
        <x:f>'中古車掲載'!AM81</x:f>
        <x:v>558000</x:v>
      </x:c>
      <x:c r="BL80" s="3" t="str">
        <x:f>IF(ISNUMBER('中古車掲載'!AN81),'中古車掲載'!AN81,"")</x:f>
      </x:c>
      <x:c r="BM80" s="3" t="str">
        <x:v>2021|Double cab</x:v>
      </x:c>
      <x:c r="BN80" s="3" t="n">
        <x:v>751</x:v>
      </x:c>
      <x:c r="BO80" s="3" t="n">
        <x:f>'中古車掲載'!AM751</x:f>
        <x:v>449000</x:v>
      </x:c>
      <x:c r="BP80" s="3" t="str">
        <x:v>2.4 MID Z EDITION DOUBLE CAB</x:v>
      </x:c>
      <x:c r="BQ80" s="3"/>
      <x:c r="BR80" s="3"/>
    </x:row>
    <x:row r="81" ht="22" customHeight="1">
      <x:c r="A81" s="3" t="str">
        <x:v>Corolla Altis</x:v>
      </x:c>
      <x:c r="B81" s="3" t="str">
        <x:v>ICE</x:v>
      </x:c>
      <x:c r="C81" s="3" t="str">
        <x:v>One2car</x:v>
      </x:c>
      <x:c r="D81" s="3" t="n">
        <x:v>2021</x:v>
      </x:c>
      <x:c r="E81" s="22" t="n">
        <x:f>COUNT('中古車掲載'!AM32:AM35)</x:f>
        <x:v>4</x:v>
      </x:c>
      <x:c r="F81" s="22" t="n">
        <x:f>IF(COUNT('中古車掲載'!AM32:AM35)=0,"",QUARTILE('中古車掲載'!AM32:AM35,1))</x:f>
        <x:v>429000</x:v>
      </x:c>
      <x:c r="G81" s="22" t="n">
        <x:f>IF(COUNT('中古車掲載'!AM32:AM35)=0,"",MEDIAN('中古車掲載'!AM32:AM35))</x:f>
        <x:v>439000</x:v>
      </x:c>
      <x:c r="H81" s="22" t="n">
        <x:f>IF(COUNT('中古車掲載'!AM32:AM35)=0,"",QUARTILE('中古車掲載'!AM32:AM35,3))</x:f>
        <x:v>440500</x:v>
      </x:c>
      <x:c r="I81" s="22" t="n">
        <x:f>COUNT('中古車掲載'!AN32:AN35)</x:f>
        <x:v>0</x:v>
      </x:c>
      <x:c r="J81" s="23" t="str">
        <x:f>IF(COUNT('中古車掲載'!AN32:AN35)=0,"",MEDIAN('中古車掲載'!AN32:AN35))</x:f>
      </x:c>
      <x:c r="K81" s="3"/>
      <x:c r="L81" s="3"/>
      <x:c r="M81" s="3"/>
      <x:c r="N81" s="3"/>
      <x:c r="O81" s="3"/>
      <x:c r="P81" s="3"/>
      <x:c r="Q81" s="3"/>
      <x:c r="R81" s="3"/>
      <x:c r="S81" s="3"/>
      <x:c r="T81" s="3"/>
      <x:c r="U81" s="3"/>
      <x:c r="V81" s="3"/>
      <x:c r="W81" s="3"/>
      <x:c r="X81" s="3"/>
      <x:c r="Y81" s="3"/>
      <x:c r="Z81" s="3"/>
      <x:c r="AA81" s="3" t="str">
        <x:v>Corolla Cross／Taladrod</x:v>
      </x:c>
      <x:c r="AB81" s="3" t="n">
        <x:f>D21</x:f>
        <x:v>164</x:v>
      </x:c>
      <x:c r="AC81" s="22" t="n">
        <x:f>E21</x:f>
        <x:v>619000</x:v>
      </x:c>
      <x:c r="AD81" s="22" t="n">
        <x:f>F21</x:f>
        <x:v>689000</x:v>
      </x:c>
      <x:c r="AE81" s="22" t="n">
        <x:f>G21</x:f>
        <x:v>799000</x:v>
      </x:c>
      <x:c r="AF81" s="3" t="n">
        <x:f>J21</x:f>
        <x:v>0</x:v>
      </x:c>
      <x:c r="AG81" s="3" t="str">
        <x:v>年式/仕様構成が異なる未調整比較。</x:v>
      </x:c>
      <x:c r="AH81" s="3" t="n">
        <x:v>21</x:v>
      </x:c>
      <x:c r="AI81" s="3"/>
      <x:c r="AJ81" s="3"/>
      <x:c r="AK81" s="3"/>
      <x:c r="AL81" s="3"/>
      <x:c r="AM81" s="3"/>
      <x:c r="AN81" s="3"/>
      <x:c r="AO81" s="3"/>
      <x:c r="AP81" s="3"/>
      <x:c r="AQ81" s="3"/>
      <x:c r="AR81" s="3"/>
      <x:c r="AS81" s="3"/>
      <x:c r="AT81" s="3"/>
      <x:c r="AU81" s="3"/>
      <x:c r="AV81" s="3"/>
      <x:c r="AW81" s="3"/>
      <x:c r="AX81" s="3"/>
      <x:c r="AY81" s="3"/>
      <x:c r="AZ81" s="3" t="str">
        <x:f>IF(AND('中古車掲載'!C82="One2car",'中古車掲載'!F82="ATTO 3",'中古車掲載'!L82="EXTENDED RANGE",'中古車掲載'!J82=2023,ISNUMBER('中古車掲載'!N82),'中古車掲載'!N82&gt;=20000,'中古車掲載'!O82&lt;=100000,'中古車掲載'!AL82=1),'中古車掲載'!U82,"")</x:f>
      </x:c>
      <x:c r="BA81" s="3" t="str">
        <x:f>IF(AND('中古車掲載'!C82="One2car",'中古車掲載'!F82="Corolla Cross",'中古車掲載'!L82="HEV PREMIUM SAFETY",'中古車掲載'!J82=2023,ISNUMBER('中古車掲載'!N82),'中古車掲載'!N82&gt;=20000,'中古車掲載'!O82&lt;=100000,'中古車掲載'!AL82=1,'中古車掲載'!Z82="https://www.one2car.com/en/cars-for-sale/toyota/corolla-cross/year-2023"),'中古車掲載'!U82,"")</x:f>
      </x:c>
      <x:c r="BB81" s="3" t="str">
        <x:f>IF(AND('中古車掲載'!C82="One2car",'中古車掲載'!F82="ATTO 3",'中古車掲載'!L82="EXTENDED RANGE",'中古車掲載'!J82=2023,ISNUMBER('中古車掲載'!N82),'中古車掲載'!N82&gt;=50000,'中古車掲載'!O82&lt;=100000,'中古車掲載'!AL82=1),'中古車掲載'!U82,"")</x:f>
      </x:c>
      <x:c r="BC81" s="3" t="str">
        <x:f>IF(AND('中古車掲載'!C82="One2car",'中古車掲載'!F82="Corolla Cross",'中古車掲載'!L82="HEV PREMIUM SAFETY",'中古車掲載'!J82=2023,ISNUMBER('中古車掲載'!N82),'中古車掲載'!N82&gt;=50000,'中古車掲載'!O82&lt;=100000,'中古車掲載'!AL82=1,'中古車掲載'!Z82="https://www.one2car.com/en/cars-for-sale/toyota/corolla-cross/year-2023"),'中古車掲載'!U82,"")</x:f>
      </x:c>
      <x:c r="BD81" s="3" t="str">
        <x:f>IF(AND('中古車掲載'!C82="One2car",'中古車掲載'!F82="ATTO 3",'中古車掲載'!L82="EXTENDED RANGE",'中古車掲載'!J82=2023,ISNUMBER('中古車掲載'!N82),'中古車掲載'!N82&gt;=20000,'中古車掲載'!O82&lt;=50000,'中古車掲載'!AL82=1),'中古車掲載'!U82,"")</x:f>
      </x:c>
      <x:c r="BE81" s="3" t="str">
        <x:f>IF(AND('中古車掲載'!C82="One2car",'中古車掲載'!F82="Corolla Cross",'中古車掲載'!L82="HEV PREMIUM SAFETY",'中古車掲載'!J82=2023,ISNUMBER('中古車掲載'!N82),'中古車掲載'!N82&gt;=20000,'中古車掲載'!O82&lt;=50000,'中古車掲載'!AL82=1,'中古車掲載'!Z82="https://www.one2car.com/en/cars-for-sale/toyota/corolla-cross/year-2023"),'中古車掲載'!U82,"")</x:f>
      </x:c>
      <x:c r="BF81" s="3" t="str">
        <x:f>IF(AND('中古車掲載'!C82="One2car",'中古車掲載'!F82="Corolla Cross",'中古車掲載'!L82="HEV PREMIUM",'中古車掲載'!J82=2023,ISNUMBER('中古車掲載'!N82),'中古車掲載'!N82&gt;=20000,'中古車掲載'!O82&lt;=100000,'中古車掲載'!AL82=1,'中古車掲載'!Z82="https://www.one2car.com/en/cars-for-sale/toyota/corolla-cross/year-2023"),'中古車掲載'!U82,"")</x:f>
      </x:c>
      <x:c r="BG81" s="3" t="str">
        <x:f>IF(AND('中古車掲載'!C82="One2car",'中古車掲載'!F82="Corolla Cross",'中古車掲載'!L82="HEV GR SPORT",'中古車掲載'!J82=2023,ISNUMBER('中古車掲載'!N82),'中古車掲載'!N82&gt;=20000,'中古車掲載'!O82&lt;=100000,'中古車掲載'!AL82=1,'中古車掲載'!Z82="https://www.one2car.com/en/cars-for-sale/toyota/corolla-cross/year-2023"),'中古車掲載'!U82,"")</x:f>
      </x:c>
      <x:c r="BH81" s="3" t="str">
        <x:f>IF(AND('中古車掲載'!C82="One2car",'中古車掲載'!F82="DOLPHIN",'中古車掲載'!L82="STANDARD RANGE",'中古車掲載'!J82=2023,ISNUMBER('中古車掲載'!N82),'中古車掲載'!N82&gt;=20000,'中古車掲載'!O82&lt;=100000,'中古車掲載'!AL82=1),'中古車掲載'!U82,"")</x:f>
      </x:c>
      <x:c r="BI81" s="3" t="str">
        <x:v>One2car|Corolla Cross|ICE|Bangkok metro</x:v>
      </x:c>
      <x:c r="BJ81" s="3" t="n">
        <x:v>82</x:v>
      </x:c>
      <x:c r="BK81" s="3" t="n">
        <x:f>'中古車掲載'!AM82</x:f>
        <x:v>579000</x:v>
      </x:c>
      <x:c r="BL81" s="3" t="str">
        <x:f>IF(ISNUMBER('中古車掲載'!AN82),'中古車掲載'!AN82,"")</x:f>
      </x:c>
      <x:c r="BM81" s="3" t="str">
        <x:v>2021|Double cab</x:v>
      </x:c>
      <x:c r="BN81" s="3" t="n">
        <x:v>752</x:v>
      </x:c>
      <x:c r="BO81" s="3" t="n">
        <x:f>'中古車掲載'!AM752</x:f>
        <x:v>485000</x:v>
      </x:c>
      <x:c r="BP81" s="3" t="str">
        <x:v>2.4 MID Z EDITION DOUBLE CAB</x:v>
      </x:c>
      <x:c r="BQ81" s="3"/>
      <x:c r="BR81" s="3"/>
    </x:row>
    <x:row r="82" ht="22" customHeight="1">
      <x:c r="A82" s="3" t="str">
        <x:v>Corolla Altis</x:v>
      </x:c>
      <x:c r="B82" s="3" t="str">
        <x:v>ICE</x:v>
      </x:c>
      <x:c r="C82" s="3" t="str">
        <x:v>One2car</x:v>
      </x:c>
      <x:c r="D82" s="3" t="n">
        <x:v>2022</x:v>
      </x:c>
      <x:c r="E82" s="22" t="n">
        <x:f>COUNT('中古車掲載'!AM36:AM36)</x:f>
        <x:v>1</x:v>
      </x:c>
      <x:c r="F82" s="22" t="n">
        <x:f>IF(COUNT('中古車掲載'!AM36:AM36)=0,"",QUARTILE('中古車掲載'!AM36:AM36,1))</x:f>
        <x:v>419000</x:v>
      </x:c>
      <x:c r="G82" s="22" t="n">
        <x:f>IF(COUNT('中古車掲載'!AM36:AM36)=0,"",MEDIAN('中古車掲載'!AM36:AM36))</x:f>
        <x:v>419000</x:v>
      </x:c>
      <x:c r="H82" s="22" t="n">
        <x:f>IF(COUNT('中古車掲載'!AM36:AM36)=0,"",QUARTILE('中古車掲載'!AM36:AM36,3))</x:f>
        <x:v>419000</x:v>
      </x:c>
      <x:c r="I82" s="22" t="n">
        <x:f>COUNT('中古車掲載'!AN36:AN36)</x:f>
        <x:v>0</x:v>
      </x:c>
      <x:c r="J82" s="23" t="str">
        <x:f>IF(COUNT('中古車掲載'!AN36:AN36)=0,"",MEDIAN('中古車掲載'!AN36:AN36))</x:f>
      </x:c>
      <x:c r="K82" s="3"/>
      <x:c r="L82" s="3"/>
      <x:c r="M82" s="3"/>
      <x:c r="N82" s="3"/>
      <x:c r="O82" s="3"/>
      <x:c r="P82" s="3"/>
      <x:c r="Q82" s="3"/>
      <x:c r="R82" s="3"/>
      <x:c r="S82" s="3"/>
      <x:c r="T82" s="3"/>
      <x:c r="U82" s="3"/>
      <x:c r="V82" s="3"/>
      <x:c r="W82" s="3"/>
      <x:c r="X82" s="3"/>
      <x:c r="Y82" s="3"/>
      <x:c r="Z82" s="3"/>
      <x:c r="AA82" s="3" t="str">
        <x:v>Corolla Cross／One2car</x:v>
      </x:c>
      <x:c r="AB82" s="3" t="n">
        <x:f>D11</x:f>
        <x:v>43</x:v>
      </x:c>
      <x:c r="AC82" s="22" t="n">
        <x:f>E11</x:f>
        <x:v>669000</x:v>
      </x:c>
      <x:c r="AD82" s="22" t="n">
        <x:f>F11</x:f>
        <x:v>739000</x:v>
      </x:c>
      <x:c r="AE82" s="22" t="n">
        <x:f>G11</x:f>
        <x:v>799450</x:v>
      </x:c>
      <x:c r="AF82" s="3" t="n">
        <x:f>J11</x:f>
        <x:v>43</x:v>
      </x:c>
      <x:c r="AG82" s="3" t="str">
        <x:v>年式/仕様構成が異なる未調整比較。</x:v>
      </x:c>
      <x:c r="AH82" s="3" t="n">
        <x:v>11</x:v>
      </x:c>
      <x:c r="AI82" s="3"/>
      <x:c r="AJ82" s="3"/>
      <x:c r="AK82" s="3"/>
      <x:c r="AL82" s="3"/>
      <x:c r="AM82" s="3"/>
      <x:c r="AN82" s="3"/>
      <x:c r="AO82" s="3"/>
      <x:c r="AP82" s="3"/>
      <x:c r="AQ82" s="3"/>
      <x:c r="AR82" s="3"/>
      <x:c r="AS82" s="3"/>
      <x:c r="AT82" s="3"/>
      <x:c r="AU82" s="3"/>
      <x:c r="AV82" s="3"/>
      <x:c r="AW82" s="3"/>
      <x:c r="AX82" s="3"/>
      <x:c r="AY82" s="3"/>
      <x:c r="AZ82" s="3" t="str">
        <x:f>IF(AND('中古車掲載'!C83="One2car",'中古車掲載'!F83="ATTO 3",'中古車掲載'!L83="EXTENDED RANGE",'中古車掲載'!J83=2023,ISNUMBER('中古車掲載'!N83),'中古車掲載'!N83&gt;=20000,'中古車掲載'!O83&lt;=100000,'中古車掲載'!AL83=1),'中古車掲載'!U83,"")</x:f>
      </x:c>
      <x:c r="BA82" s="3" t="str">
        <x:f>IF(AND('中古車掲載'!C83="One2car",'中古車掲載'!F83="Corolla Cross",'中古車掲載'!L83="HEV PREMIUM SAFETY",'中古車掲載'!J83=2023,ISNUMBER('中古車掲載'!N83),'中古車掲載'!N83&gt;=20000,'中古車掲載'!O83&lt;=100000,'中古車掲載'!AL83=1,'中古車掲載'!Z83="https://www.one2car.com/en/cars-for-sale/toyota/corolla-cross/year-2023"),'中古車掲載'!U83,"")</x:f>
      </x:c>
      <x:c r="BB82" s="3" t="str">
        <x:f>IF(AND('中古車掲載'!C83="One2car",'中古車掲載'!F83="ATTO 3",'中古車掲載'!L83="EXTENDED RANGE",'中古車掲載'!J83=2023,ISNUMBER('中古車掲載'!N83),'中古車掲載'!N83&gt;=50000,'中古車掲載'!O83&lt;=100000,'中古車掲載'!AL83=1),'中古車掲載'!U83,"")</x:f>
      </x:c>
      <x:c r="BC82" s="3" t="str">
        <x:f>IF(AND('中古車掲載'!C83="One2car",'中古車掲載'!F83="Corolla Cross",'中古車掲載'!L83="HEV PREMIUM SAFETY",'中古車掲載'!J83=2023,ISNUMBER('中古車掲載'!N83),'中古車掲載'!N83&gt;=50000,'中古車掲載'!O83&lt;=100000,'中古車掲載'!AL83=1,'中古車掲載'!Z83="https://www.one2car.com/en/cars-for-sale/toyota/corolla-cross/year-2023"),'中古車掲載'!U83,"")</x:f>
      </x:c>
      <x:c r="BD82" s="3" t="str">
        <x:f>IF(AND('中古車掲載'!C83="One2car",'中古車掲載'!F83="ATTO 3",'中古車掲載'!L83="EXTENDED RANGE",'中古車掲載'!J83=2023,ISNUMBER('中古車掲載'!N83),'中古車掲載'!N83&gt;=20000,'中古車掲載'!O83&lt;=50000,'中古車掲載'!AL83=1),'中古車掲載'!U83,"")</x:f>
      </x:c>
      <x:c r="BE82" s="3" t="str">
        <x:f>IF(AND('中古車掲載'!C83="One2car",'中古車掲載'!F83="Corolla Cross",'中古車掲載'!L83="HEV PREMIUM SAFETY",'中古車掲載'!J83=2023,ISNUMBER('中古車掲載'!N83),'中古車掲載'!N83&gt;=20000,'中古車掲載'!O83&lt;=50000,'中古車掲載'!AL83=1,'中古車掲載'!Z83="https://www.one2car.com/en/cars-for-sale/toyota/corolla-cross/year-2023"),'中古車掲載'!U83,"")</x:f>
      </x:c>
      <x:c r="BF82" s="3" t="str">
        <x:f>IF(AND('中古車掲載'!C83="One2car",'中古車掲載'!F83="Corolla Cross",'中古車掲載'!L83="HEV PREMIUM",'中古車掲載'!J83=2023,ISNUMBER('中古車掲載'!N83),'中古車掲載'!N83&gt;=20000,'中古車掲載'!O83&lt;=100000,'中古車掲載'!AL83=1,'中古車掲載'!Z83="https://www.one2car.com/en/cars-for-sale/toyota/corolla-cross/year-2023"),'中古車掲載'!U83,"")</x:f>
      </x:c>
      <x:c r="BG82" s="3" t="str">
        <x:f>IF(AND('中古車掲載'!C83="One2car",'中古車掲載'!F83="Corolla Cross",'中古車掲載'!L83="HEV GR SPORT",'中古車掲載'!J83=2023,ISNUMBER('中古車掲載'!N83),'中古車掲載'!N83&gt;=20000,'中古車掲載'!O83&lt;=100000,'中古車掲載'!AL83=1,'中古車掲載'!Z83="https://www.one2car.com/en/cars-for-sale/toyota/corolla-cross/year-2023"),'中古車掲載'!U83,"")</x:f>
      </x:c>
      <x:c r="BH82" s="3" t="str">
        <x:f>IF(AND('中古車掲載'!C83="One2car",'中古車掲載'!F83="DOLPHIN",'中古車掲載'!L83="STANDARD RANGE",'中古車掲載'!J83=2023,ISNUMBER('中古車掲載'!N83),'中古車掲載'!N83&gt;=20000,'中古車掲載'!O83&lt;=100000,'中古車掲載'!AL83=1),'中古車掲載'!U83,"")</x:f>
      </x:c>
      <x:c r="BI82" s="3" t="str">
        <x:v>One2car|Corolla Cross|ICE|Bangkok metro</x:v>
      </x:c>
      <x:c r="BJ82" s="3" t="n">
        <x:v>83</x:v>
      </x:c>
      <x:c r="BK82" s="3" t="n">
        <x:f>'中古車掲載'!AM83</x:f>
        <x:v>639000</x:v>
      </x:c>
      <x:c r="BL82" s="3" t="n">
        <x:f>IF(ISNUMBER('中古車掲載'!AN83),'中古車掲載'!AN83,"")</x:f>
        <x:v>0.6396396396396397</x:v>
      </x:c>
      <x:c r="BM82" s="3" t="str">
        <x:v>2021|Double cab</x:v>
      </x:c>
      <x:c r="BN82" s="3" t="n">
        <x:v>753</x:v>
      </x:c>
      <x:c r="BO82" s="3" t="n">
        <x:f>'中古車掲載'!AM753</x:f>
        <x:v>489000</x:v>
      </x:c>
      <x:c r="BP82" s="3" t="str">
        <x:v>2.4 MID Z EDITION DOUBLE CAB</x:v>
      </x:c>
      <x:c r="BQ82" s="3"/>
      <x:c r="BR82" s="3"/>
    </x:row>
    <x:row r="83" ht="22" customHeight="1">
      <x:c r="A83" s="3" t="str">
        <x:v>Corolla Altis</x:v>
      </x:c>
      <x:c r="B83" s="3" t="str">
        <x:v>ICE</x:v>
      </x:c>
      <x:c r="C83" s="3" t="str">
        <x:v>One2car</x:v>
      </x:c>
      <x:c r="D83" s="3" t="n">
        <x:v>2023</x:v>
      </x:c>
      <x:c r="E83" s="22" t="n">
        <x:f>COUNT('中古車掲載'!AM37:AM37)</x:f>
        <x:v>1</x:v>
      </x:c>
      <x:c r="F83" s="22" t="n">
        <x:f>IF(COUNT('中古車掲載'!AM37:AM37)=0,"",QUARTILE('中古車掲載'!AM37:AM37,1))</x:f>
        <x:v>549000</x:v>
      </x:c>
      <x:c r="G83" s="22" t="n">
        <x:f>IF(COUNT('中古車掲載'!AM37:AM37)=0,"",MEDIAN('中古車掲載'!AM37:AM37))</x:f>
        <x:v>549000</x:v>
      </x:c>
      <x:c r="H83" s="22" t="n">
        <x:f>IF(COUNT('中古車掲載'!AM37:AM37)=0,"",QUARTILE('中古車掲載'!AM37:AM37,3))</x:f>
        <x:v>549000</x:v>
      </x:c>
      <x:c r="I83" s="22" t="n">
        <x:f>COUNT('中古車掲載'!AN37:AN37)</x:f>
        <x:v>0</x:v>
      </x:c>
      <x:c r="J83" s="23" t="str">
        <x:f>IF(COUNT('中古車掲載'!AN37:AN37)=0,"",MEDIAN('中古車掲載'!AN37:AN37))</x:f>
      </x:c>
      <x:c r="K83" s="3"/>
      <x:c r="L83" s="3"/>
      <x:c r="M83" s="3"/>
      <x:c r="N83" s="3"/>
      <x:c r="O83" s="3"/>
      <x:c r="P83" s="3"/>
      <x:c r="Q83" s="3"/>
      <x:c r="R83" s="3"/>
      <x:c r="S83" s="3"/>
      <x:c r="T83" s="3"/>
      <x:c r="U83" s="3"/>
      <x:c r="V83" s="3"/>
      <x:c r="W83" s="3"/>
      <x:c r="X83" s="3"/>
      <x:c r="Y83" s="3"/>
      <x:c r="Z83" s="3"/>
      <x:c r="AA83" s="3" t="str">
        <x:v>Corolla Cross／Carsome</x:v>
      </x:c>
      <x:c r="AB83" s="3" t="n">
        <x:f>D7</x:f>
        <x:v>4</x:v>
      </x:c>
      <x:c r="AC83" s="22" t="n">
        <x:f>E7</x:f>
        <x:v>688500</x:v>
      </x:c>
      <x:c r="AD83" s="22" t="n">
        <x:f>F7</x:f>
        <x:v>725000</x:v>
      </x:c>
      <x:c r="AE83" s="22" t="n">
        <x:f>G7</x:f>
        <x:v>781000</x:v>
      </x:c>
      <x:c r="AF83" s="3" t="n">
        <x:f>J7</x:f>
        <x:v>4</x:v>
      </x:c>
      <x:c r="AG83" s="3" t="str">
        <x:v>年式/仕様構成が異なる未調整比較。</x:v>
      </x:c>
      <x:c r="AH83" s="3" t="n">
        <x:v>7</x:v>
      </x:c>
      <x:c r="AI83" s="3"/>
      <x:c r="AJ83" s="3"/>
      <x:c r="AK83" s="3"/>
      <x:c r="AL83" s="3"/>
      <x:c r="AM83" s="3"/>
      <x:c r="AN83" s="3"/>
      <x:c r="AO83" s="3"/>
      <x:c r="AP83" s="3"/>
      <x:c r="AQ83" s="3"/>
      <x:c r="AR83" s="3"/>
      <x:c r="AS83" s="3"/>
      <x:c r="AT83" s="3"/>
      <x:c r="AU83" s="3"/>
      <x:c r="AV83" s="3"/>
      <x:c r="AW83" s="3"/>
      <x:c r="AX83" s="3"/>
      <x:c r="AY83" s="3"/>
      <x:c r="AZ83" s="3" t="str">
        <x:f>IF(AND('中古車掲載'!C84="One2car",'中古車掲載'!F84="ATTO 3",'中古車掲載'!L84="EXTENDED RANGE",'中古車掲載'!J84=2023,ISNUMBER('中古車掲載'!N84),'中古車掲載'!N84&gt;=20000,'中古車掲載'!O84&lt;=100000,'中古車掲載'!AL84=1),'中古車掲載'!U84,"")</x:f>
      </x:c>
      <x:c r="BA83" s="3" t="str">
        <x:f>IF(AND('中古車掲載'!C84="One2car",'中古車掲載'!F84="Corolla Cross",'中古車掲載'!L84="HEV PREMIUM SAFETY",'中古車掲載'!J84=2023,ISNUMBER('中古車掲載'!N84),'中古車掲載'!N84&gt;=20000,'中古車掲載'!O84&lt;=100000,'中古車掲載'!AL84=1,'中古車掲載'!Z84="https://www.one2car.com/en/cars-for-sale/toyota/corolla-cross/year-2023"),'中古車掲載'!U84,"")</x:f>
      </x:c>
      <x:c r="BB83" s="3" t="str">
        <x:f>IF(AND('中古車掲載'!C84="One2car",'中古車掲載'!F84="ATTO 3",'中古車掲載'!L84="EXTENDED RANGE",'中古車掲載'!J84=2023,ISNUMBER('中古車掲載'!N84),'中古車掲載'!N84&gt;=50000,'中古車掲載'!O84&lt;=100000,'中古車掲載'!AL84=1),'中古車掲載'!U84,"")</x:f>
      </x:c>
      <x:c r="BC83" s="3" t="str">
        <x:f>IF(AND('中古車掲載'!C84="One2car",'中古車掲載'!F84="Corolla Cross",'中古車掲載'!L84="HEV PREMIUM SAFETY",'中古車掲載'!J84=2023,ISNUMBER('中古車掲載'!N84),'中古車掲載'!N84&gt;=50000,'中古車掲載'!O84&lt;=100000,'中古車掲載'!AL84=1,'中古車掲載'!Z84="https://www.one2car.com/en/cars-for-sale/toyota/corolla-cross/year-2023"),'中古車掲載'!U84,"")</x:f>
      </x:c>
      <x:c r="BD83" s="3" t="str">
        <x:f>IF(AND('中古車掲載'!C84="One2car",'中古車掲載'!F84="ATTO 3",'中古車掲載'!L84="EXTENDED RANGE",'中古車掲載'!J84=2023,ISNUMBER('中古車掲載'!N84),'中古車掲載'!N84&gt;=20000,'中古車掲載'!O84&lt;=50000,'中古車掲載'!AL84=1),'中古車掲載'!U84,"")</x:f>
      </x:c>
      <x:c r="BE83" s="3" t="str">
        <x:f>IF(AND('中古車掲載'!C84="One2car",'中古車掲載'!F84="Corolla Cross",'中古車掲載'!L84="HEV PREMIUM SAFETY",'中古車掲載'!J84=2023,ISNUMBER('中古車掲載'!N84),'中古車掲載'!N84&gt;=20000,'中古車掲載'!O84&lt;=50000,'中古車掲載'!AL84=1,'中古車掲載'!Z84="https://www.one2car.com/en/cars-for-sale/toyota/corolla-cross/year-2023"),'中古車掲載'!U84,"")</x:f>
      </x:c>
      <x:c r="BF83" s="3" t="str">
        <x:f>IF(AND('中古車掲載'!C84="One2car",'中古車掲載'!F84="Corolla Cross",'中古車掲載'!L84="HEV PREMIUM",'中古車掲載'!J84=2023,ISNUMBER('中古車掲載'!N84),'中古車掲載'!N84&gt;=20000,'中古車掲載'!O84&lt;=100000,'中古車掲載'!AL84=1,'中古車掲載'!Z84="https://www.one2car.com/en/cars-for-sale/toyota/corolla-cross/year-2023"),'中古車掲載'!U84,"")</x:f>
      </x:c>
      <x:c r="BG83" s="3" t="str">
        <x:f>IF(AND('中古車掲載'!C84="One2car",'中古車掲載'!F84="Corolla Cross",'中古車掲載'!L84="HEV GR SPORT",'中古車掲載'!J84=2023,ISNUMBER('中古車掲載'!N84),'中古車掲載'!N84&gt;=20000,'中古車掲載'!O84&lt;=100000,'中古車掲載'!AL84=1,'中古車掲載'!Z84="https://www.one2car.com/en/cars-for-sale/toyota/corolla-cross/year-2023"),'中古車掲載'!U84,"")</x:f>
      </x:c>
      <x:c r="BH83" s="3" t="str">
        <x:f>IF(AND('中古車掲載'!C84="One2car",'中古車掲載'!F84="DOLPHIN",'中古車掲載'!L84="STANDARD RANGE",'中古車掲載'!J84=2023,ISNUMBER('中古車掲載'!N84),'中古車掲載'!N84&gt;=20000,'中古車掲載'!O84&lt;=100000,'中古車掲載'!AL84=1),'中古車掲載'!U84,"")</x:f>
      </x:c>
      <x:c r="BI83" s="3" t="str">
        <x:v>One2car|DOLPHIN|BEV|Bangkok metro</x:v>
      </x:c>
      <x:c r="BJ83" s="3" t="n">
        <x:v>84</x:v>
      </x:c>
      <x:c r="BK83" s="3" t="n">
        <x:f>'中古車掲載'!AM84</x:f>
        <x:v>349000</x:v>
      </x:c>
      <x:c r="BL83" s="3" t="n">
        <x:f>IF(ISNUMBER('中古車掲載'!AN84),'中古車掲載'!AN84,"")</x:f>
        <x:v>0.4058144253656109</x:v>
      </x:c>
      <x:c r="BM83" s="3" t="str">
        <x:v>2021|Double cab</x:v>
      </x:c>
      <x:c r="BN83" s="3" t="n">
        <x:v>754</x:v>
      </x:c>
      <x:c r="BO83" s="3" t="n">
        <x:f>'中古車掲載'!AM754</x:f>
        <x:v>469000</x:v>
      </x:c>
      <x:c r="BP83" s="3" t="str">
        <x:v>2.4 MID Z EDITION DOUBLE CAB</x:v>
      </x:c>
      <x:c r="BQ83" s="3"/>
      <x:c r="BR83" s="3"/>
    </x:row>
    <x:row r="84" ht="22" customHeight="1">
      <x:c r="A84" s="3" t="str">
        <x:v>Corolla Cross</x:v>
      </x:c>
      <x:c r="B84" s="3" t="str">
        <x:v>HEV</x:v>
      </x:c>
      <x:c r="C84" s="3" t="str">
        <x:v>One2car</x:v>
      </x:c>
      <x:c r="D84" s="3" t="n">
        <x:v>2020</x:v>
      </x:c>
      <x:c r="E84" s="22" t="n">
        <x:f>COUNT('中古車掲載'!AM38:AM41)</x:f>
        <x:v>4</x:v>
      </x:c>
      <x:c r="F84" s="22" t="n">
        <x:f>IF(COUNT('中古車掲載'!AM38:AM41)=0,"",QUARTILE('中古車掲載'!AM38:AM41,1))</x:f>
        <x:v>568000</x:v>
      </x:c>
      <x:c r="G84" s="22" t="n">
        <x:f>IF(COUNT('中古車掲載'!AM38:AM41)=0,"",MEDIAN('中古車掲載'!AM38:AM41))</x:f>
        <x:v>582000</x:v>
      </x:c>
      <x:c r="H84" s="22" t="n">
        <x:f>IF(COUNT('中古車掲載'!AM38:AM41)=0,"",QUARTILE('中古車掲載'!AM38:AM41,3))</x:f>
        <x:v>620750</x:v>
      </x:c>
      <x:c r="I84" s="22" t="n">
        <x:f>COUNT('中古車掲載'!AN38:AN41)</x:f>
        <x:v>0</x:v>
      </x:c>
      <x:c r="J84" s="23" t="str">
        <x:f>IF(COUNT('中古車掲載'!AN38:AN41)=0,"",MEDIAN('中古車掲載'!AN38:AN41))</x:f>
      </x:c>
      <x:c r="K84" s="3"/>
      <x:c r="L84" s="3"/>
      <x:c r="M84" s="3"/>
      <x:c r="N84" s="3"/>
      <x:c r="O84" s="3"/>
      <x:c r="P84" s="3"/>
      <x:c r="Q84" s="3"/>
      <x:c r="R84" s="3"/>
      <x:c r="S84" s="3"/>
      <x:c r="T84" s="3"/>
      <x:c r="U84" s="3"/>
      <x:c r="V84" s="3"/>
      <x:c r="W84" s="3"/>
      <x:c r="X84" s="3"/>
      <x:c r="Y84" s="3"/>
      <x:c r="Z84" s="3"/>
      <x:c r="AA84" s="3"/>
      <x:c r="AB84" s="3"/>
      <x:c r="AC84" s="3"/>
      <x:c r="AD84" s="3"/>
      <x:c r="AE84" s="3"/>
      <x:c r="AF84" s="3"/>
      <x:c r="AG84" s="3"/>
      <x:c r="AH84" s="3"/>
      <x:c r="AI84" s="3"/>
      <x:c r="AJ84" s="3"/>
      <x:c r="AK84" s="3"/>
      <x:c r="AL84" s="3"/>
      <x:c r="AM84" s="3"/>
      <x:c r="AN84" s="3"/>
      <x:c r="AO84" s="3"/>
      <x:c r="AP84" s="3"/>
      <x:c r="AQ84" s="3"/>
      <x:c r="AR84" s="3"/>
      <x:c r="AS84" s="3"/>
      <x:c r="AT84" s="3"/>
      <x:c r="AU84" s="3"/>
      <x:c r="AV84" s="3"/>
      <x:c r="AW84" s="3"/>
      <x:c r="AX84" s="3"/>
      <x:c r="AY84" s="3"/>
      <x:c r="AZ84" s="3" t="str">
        <x:f>IF(AND('中古車掲載'!C85="One2car",'中古車掲載'!F85="ATTO 3",'中古車掲載'!L85="EXTENDED RANGE",'中古車掲載'!J85=2023,ISNUMBER('中古車掲載'!N85),'中古車掲載'!N85&gt;=20000,'中古車掲載'!O85&lt;=100000,'中古車掲載'!AL85=1),'中古車掲載'!U85,"")</x:f>
      </x:c>
      <x:c r="BA84" s="3" t="str">
        <x:f>IF(AND('中古車掲載'!C85="One2car",'中古車掲載'!F85="Corolla Cross",'中古車掲載'!L85="HEV PREMIUM SAFETY",'中古車掲載'!J85=2023,ISNUMBER('中古車掲載'!N85),'中古車掲載'!N85&gt;=20000,'中古車掲載'!O85&lt;=100000,'中古車掲載'!AL85=1,'中古車掲載'!Z85="https://www.one2car.com/en/cars-for-sale/toyota/corolla-cross/year-2023"),'中古車掲載'!U85,"")</x:f>
      </x:c>
      <x:c r="BB84" s="3" t="str">
        <x:f>IF(AND('中古車掲載'!C85="One2car",'中古車掲載'!F85="ATTO 3",'中古車掲載'!L85="EXTENDED RANGE",'中古車掲載'!J85=2023,ISNUMBER('中古車掲載'!N85),'中古車掲載'!N85&gt;=50000,'中古車掲載'!O85&lt;=100000,'中古車掲載'!AL85=1),'中古車掲載'!U85,"")</x:f>
      </x:c>
      <x:c r="BC84" s="3" t="str">
        <x:f>IF(AND('中古車掲載'!C85="One2car",'中古車掲載'!F85="Corolla Cross",'中古車掲載'!L85="HEV PREMIUM SAFETY",'中古車掲載'!J85=2023,ISNUMBER('中古車掲載'!N85),'中古車掲載'!N85&gt;=50000,'中古車掲載'!O85&lt;=100000,'中古車掲載'!AL85=1,'中古車掲載'!Z85="https://www.one2car.com/en/cars-for-sale/toyota/corolla-cross/year-2023"),'中古車掲載'!U85,"")</x:f>
      </x:c>
      <x:c r="BD84" s="3" t="str">
        <x:f>IF(AND('中古車掲載'!C85="One2car",'中古車掲載'!F85="ATTO 3",'中古車掲載'!L85="EXTENDED RANGE",'中古車掲載'!J85=2023,ISNUMBER('中古車掲載'!N85),'中古車掲載'!N85&gt;=20000,'中古車掲載'!O85&lt;=50000,'中古車掲載'!AL85=1),'中古車掲載'!U85,"")</x:f>
      </x:c>
      <x:c r="BE84" s="3" t="str">
        <x:f>IF(AND('中古車掲載'!C85="One2car",'中古車掲載'!F85="Corolla Cross",'中古車掲載'!L85="HEV PREMIUM SAFETY",'中古車掲載'!J85=2023,ISNUMBER('中古車掲載'!N85),'中古車掲載'!N85&gt;=20000,'中古車掲載'!O85&lt;=50000,'中古車掲載'!AL85=1,'中古車掲載'!Z85="https://www.one2car.com/en/cars-for-sale/toyota/corolla-cross/year-2023"),'中古車掲載'!U85,"")</x:f>
      </x:c>
      <x:c r="BF84" s="3" t="str">
        <x:f>IF(AND('中古車掲載'!C85="One2car",'中古車掲載'!F85="Corolla Cross",'中古車掲載'!L85="HEV PREMIUM",'中古車掲載'!J85=2023,ISNUMBER('中古車掲載'!N85),'中古車掲載'!N85&gt;=20000,'中古車掲載'!O85&lt;=100000,'中古車掲載'!AL85=1,'中古車掲載'!Z85="https://www.one2car.com/en/cars-for-sale/toyota/corolla-cross/year-2023"),'中古車掲載'!U85,"")</x:f>
      </x:c>
      <x:c r="BG84" s="3" t="str">
        <x:f>IF(AND('中古車掲載'!C85="One2car",'中古車掲載'!F85="Corolla Cross",'中古車掲載'!L85="HEV GR SPORT",'中古車掲載'!J85=2023,ISNUMBER('中古車掲載'!N85),'中古車掲載'!N85&gt;=20000,'中古車掲載'!O85&lt;=100000,'中古車掲載'!AL85=1,'中古車掲載'!Z85="https://www.one2car.com/en/cars-for-sale/toyota/corolla-cross/year-2023"),'中古車掲載'!U85,"")</x:f>
      </x:c>
      <x:c r="BH84" s="3" t="str">
        <x:f>IF(AND('中古車掲載'!C85="One2car",'中古車掲載'!F85="DOLPHIN",'中古車掲載'!L85="STANDARD RANGE",'中古車掲載'!J85=2023,ISNUMBER('中古車掲載'!N85),'中古車掲載'!N85&gt;=20000,'中古車掲載'!O85&lt;=100000,'中古車掲載'!AL85=1),'中古車掲載'!U85,"")</x:f>
      </x:c>
      <x:c r="BI84" s="3" t="str">
        <x:v>One2car|DOLPHIN|BEV|Bangkok metro</x:v>
      </x:c>
      <x:c r="BJ84" s="3" t="n">
        <x:v>85</x:v>
      </x:c>
      <x:c r="BK84" s="3" t="n">
        <x:f>'中古車掲載'!AM85</x:f>
        <x:v>439000</x:v>
      </x:c>
      <x:c r="BL84" s="3" t="n">
        <x:f>IF(ISNUMBER('中古車掲載'!AN85),'中古車掲載'!AN85,"")</x:f>
        <x:v>0.5104657098438486</x:v>
      </x:c>
      <x:c r="BM84" s="3" t="str">
        <x:v>2021|Double cab</x:v>
      </x:c>
      <x:c r="BN84" s="3" t="n">
        <x:v>762</x:v>
      </x:c>
      <x:c r="BO84" s="3" t="n">
        <x:f>'中古車掲載'!AM762</x:f>
        <x:v>760000</x:v>
      </x:c>
      <x:c r="BP84" s="3" t="str">
        <x:v>2.4 PRERUNNER DOUBLE CAB</x:v>
      </x:c>
      <x:c r="BQ84" s="3"/>
      <x:c r="BR84" s="3"/>
    </x:row>
    <x:row r="85" ht="22" customHeight="1">
      <x:c r="A85" s="3" t="str">
        <x:v>Corolla Cross</x:v>
      </x:c>
      <x:c r="B85" s="3" t="str">
        <x:v>HEV</x:v>
      </x:c>
      <x:c r="C85" s="3" t="str">
        <x:v>One2car</x:v>
      </x:c>
      <x:c r="D85" s="3" t="n">
        <x:v>2021</x:v>
      </x:c>
      <x:c r="E85" s="22" t="n">
        <x:f>COUNT('中古車掲載'!AM42:AM48)</x:f>
        <x:v>7</x:v>
      </x:c>
      <x:c r="F85" s="22" t="n">
        <x:f>IF(COUNT('中古車掲載'!AM42:AM48)=0,"",QUARTILE('中古車掲載'!AM42:AM48,1))</x:f>
        <x:v>581500</x:v>
      </x:c>
      <x:c r="G85" s="22" t="n">
        <x:f>IF(COUNT('中古車掲載'!AM42:AM48)=0,"",MEDIAN('中古車掲載'!AM42:AM48))</x:f>
        <x:v>636000</x:v>
      </x:c>
      <x:c r="H85" s="22" t="n">
        <x:f>IF(COUNT('中古車掲載'!AM42:AM48)=0,"",QUARTILE('中古車掲載'!AM42:AM48,3))</x:f>
        <x:v>663500</x:v>
      </x:c>
      <x:c r="I85" s="22" t="n">
        <x:f>COUNT('中古車掲載'!AN42:AN48)</x:f>
        <x:v>0</x:v>
      </x:c>
      <x:c r="J85" s="23" t="str">
        <x:f>IF(COUNT('中古車掲載'!AN42:AN48)=0,"",MEDIAN('中古車掲載'!AN42:AN48))</x:f>
      </x:c>
      <x:c r="K85" s="3"/>
      <x:c r="L85" s="3"/>
      <x:c r="M85" s="3"/>
      <x:c r="N85" s="3"/>
      <x:c r="O85" s="3"/>
      <x:c r="P85" s="3"/>
      <x:c r="Q85" s="3"/>
      <x:c r="R85" s="3"/>
      <x:c r="S85" s="3"/>
      <x:c r="T85" s="3"/>
      <x:c r="U85" s="3"/>
      <x:c r="V85" s="3"/>
      <x:c r="W85" s="3"/>
      <x:c r="X85" s="3"/>
      <x:c r="Y85" s="3"/>
      <x:c r="Z85" s="3"/>
      <x:c r="AA85" s="3"/>
      <x:c r="AB85" s="3"/>
      <x:c r="AC85" s="3"/>
      <x:c r="AD85" s="3"/>
      <x:c r="AE85" s="3"/>
      <x:c r="AF85" s="3"/>
      <x:c r="AG85" s="3"/>
      <x:c r="AH85" s="3"/>
      <x:c r="AI85" s="3"/>
      <x:c r="AJ85" s="3"/>
      <x:c r="AK85" s="3"/>
      <x:c r="AL85" s="3"/>
      <x:c r="AM85" s="3"/>
      <x:c r="AN85" s="3"/>
      <x:c r="AO85" s="3"/>
      <x:c r="AP85" s="3"/>
      <x:c r="AQ85" s="3"/>
      <x:c r="AR85" s="3"/>
      <x:c r="AS85" s="3"/>
      <x:c r="AT85" s="3"/>
      <x:c r="AU85" s="3"/>
      <x:c r="AV85" s="3"/>
      <x:c r="AW85" s="3"/>
      <x:c r="AX85" s="3"/>
      <x:c r="AY85" s="3"/>
      <x:c r="AZ85" s="3" t="str">
        <x:f>IF(AND('中古車掲載'!C86="One2car",'中古車掲載'!F86="ATTO 3",'中古車掲載'!L86="EXTENDED RANGE",'中古車掲載'!J86=2023,ISNUMBER('中古車掲載'!N86),'中古車掲載'!N86&gt;=20000,'中古車掲載'!O86&lt;=100000,'中古車掲載'!AL86=1),'中古車掲載'!U86,"")</x:f>
      </x:c>
      <x:c r="BA85" s="3" t="str">
        <x:f>IF(AND('中古車掲載'!C86="One2car",'中古車掲載'!F86="Corolla Cross",'中古車掲載'!L86="HEV PREMIUM SAFETY",'中古車掲載'!J86=2023,ISNUMBER('中古車掲載'!N86),'中古車掲載'!N86&gt;=20000,'中古車掲載'!O86&lt;=100000,'中古車掲載'!AL86=1,'中古車掲載'!Z86="https://www.one2car.com/en/cars-for-sale/toyota/corolla-cross/year-2023"),'中古車掲載'!U86,"")</x:f>
      </x:c>
      <x:c r="BB85" s="3" t="str">
        <x:f>IF(AND('中古車掲載'!C86="One2car",'中古車掲載'!F86="ATTO 3",'中古車掲載'!L86="EXTENDED RANGE",'中古車掲載'!J86=2023,ISNUMBER('中古車掲載'!N86),'中古車掲載'!N86&gt;=50000,'中古車掲載'!O86&lt;=100000,'中古車掲載'!AL86=1),'中古車掲載'!U86,"")</x:f>
      </x:c>
      <x:c r="BC85" s="3" t="str">
        <x:f>IF(AND('中古車掲載'!C86="One2car",'中古車掲載'!F86="Corolla Cross",'中古車掲載'!L86="HEV PREMIUM SAFETY",'中古車掲載'!J86=2023,ISNUMBER('中古車掲載'!N86),'中古車掲載'!N86&gt;=50000,'中古車掲載'!O86&lt;=100000,'中古車掲載'!AL86=1,'中古車掲載'!Z86="https://www.one2car.com/en/cars-for-sale/toyota/corolla-cross/year-2023"),'中古車掲載'!U86,"")</x:f>
      </x:c>
      <x:c r="BD85" s="3" t="str">
        <x:f>IF(AND('中古車掲載'!C86="One2car",'中古車掲載'!F86="ATTO 3",'中古車掲載'!L86="EXTENDED RANGE",'中古車掲載'!J86=2023,ISNUMBER('中古車掲載'!N86),'中古車掲載'!N86&gt;=20000,'中古車掲載'!O86&lt;=50000,'中古車掲載'!AL86=1),'中古車掲載'!U86,"")</x:f>
      </x:c>
      <x:c r="BE85" s="3" t="str">
        <x:f>IF(AND('中古車掲載'!C86="One2car",'中古車掲載'!F86="Corolla Cross",'中古車掲載'!L86="HEV PREMIUM SAFETY",'中古車掲載'!J86=2023,ISNUMBER('中古車掲載'!N86),'中古車掲載'!N86&gt;=20000,'中古車掲載'!O86&lt;=50000,'中古車掲載'!AL86=1,'中古車掲載'!Z86="https://www.one2car.com/en/cars-for-sale/toyota/corolla-cross/year-2023"),'中古車掲載'!U86,"")</x:f>
      </x:c>
      <x:c r="BF85" s="3" t="str">
        <x:f>IF(AND('中古車掲載'!C86="One2car",'中古車掲載'!F86="Corolla Cross",'中古車掲載'!L86="HEV PREMIUM",'中古車掲載'!J86=2023,ISNUMBER('中古車掲載'!N86),'中古車掲載'!N86&gt;=20000,'中古車掲載'!O86&lt;=100000,'中古車掲載'!AL86=1,'中古車掲載'!Z86="https://www.one2car.com/en/cars-for-sale/toyota/corolla-cross/year-2023"),'中古車掲載'!U86,"")</x:f>
      </x:c>
      <x:c r="BG85" s="3" t="str">
        <x:f>IF(AND('中古車掲載'!C86="One2car",'中古車掲載'!F86="Corolla Cross",'中古車掲載'!L86="HEV GR SPORT",'中古車掲載'!J86=2023,ISNUMBER('中古車掲載'!N86),'中古車掲載'!N86&gt;=20000,'中古車掲載'!O86&lt;=100000,'中古車掲載'!AL86=1,'中古車掲載'!Z86="https://www.one2car.com/en/cars-for-sale/toyota/corolla-cross/year-2023"),'中古車掲載'!U86,"")</x:f>
      </x:c>
      <x:c r="BH85" s="3" t="str">
        <x:f>IF(AND('中古車掲載'!C86="One2car",'中古車掲載'!F86="DOLPHIN",'中古車掲載'!L86="STANDARD RANGE",'中古車掲載'!J86=2023,ISNUMBER('中古車掲載'!N86),'中古車掲載'!N86&gt;=20000,'中古車掲載'!O86&lt;=100000,'中古車掲載'!AL86=1),'中古車掲載'!U86,"")</x:f>
      </x:c>
      <x:c r="BI85" s="3" t="str">
        <x:v>One2car|DOLPHIN|BEV|Bangkok metro</x:v>
      </x:c>
      <x:c r="BJ85" s="3" t="n">
        <x:v>86</x:v>
      </x:c>
      <x:c r="BK85" s="3" t="n">
        <x:f>'中古車掲載'!AM86</x:f>
        <x:v>289000</x:v>
      </x:c>
      <x:c r="BL85" s="3" t="n">
        <x:f>IF(ISNUMBER('中古車掲載'!AN86),'中古車掲載'!AN86,"")</x:f>
        <x:v>0.4128577326539038</x:v>
      </x:c>
      <x:c r="BM85" s="3" t="str">
        <x:v>2021|Double cab</x:v>
      </x:c>
      <x:c r="BN85" s="3" t="n">
        <x:v>763</x:v>
      </x:c>
      <x:c r="BO85" s="3" t="n">
        <x:f>'中古車掲載'!AM763</x:f>
        <x:v>750000</x:v>
      </x:c>
      <x:c r="BP85" s="3" t="str">
        <x:v>2.4 PRERUNNER DOUBLE CAB</x:v>
      </x:c>
      <x:c r="BQ85" s="3"/>
      <x:c r="BR85" s="3"/>
    </x:row>
    <x:row r="86" ht="22" customHeight="1">
      <x:c r="A86" s="3" t="str">
        <x:v>Corolla Cross</x:v>
      </x:c>
      <x:c r="B86" s="3" t="str">
        <x:v>HEV</x:v>
      </x:c>
      <x:c r="C86" s="3" t="str">
        <x:v>One2car</x:v>
      </x:c>
      <x:c r="D86" s="3" t="n">
        <x:v>2022</x:v>
      </x:c>
      <x:c r="E86" s="22" t="n">
        <x:f>COUNT('中古車掲載'!AM49:AM50)</x:f>
        <x:v>2</x:v>
      </x:c>
      <x:c r="F86" s="22" t="n">
        <x:f>IF(COUNT('中古車掲載'!AM49:AM50)=0,"",QUARTILE('中古車掲載'!AM49:AM50,1))</x:f>
        <x:v>714000</x:v>
      </x:c>
      <x:c r="G86" s="22" t="n">
        <x:f>IF(COUNT('中古車掲載'!AM49:AM50)=0,"",MEDIAN('中古車掲載'!AM49:AM50))</x:f>
        <x:v>729000</x:v>
      </x:c>
      <x:c r="H86" s="22" t="n">
        <x:f>IF(COUNT('中古車掲載'!AM49:AM50)=0,"",QUARTILE('中古車掲載'!AM49:AM50,3))</x:f>
        <x:v>744000</x:v>
      </x:c>
      <x:c r="I86" s="22" t="n">
        <x:f>COUNT('中古車掲載'!AN49:AN50)</x:f>
        <x:v>0</x:v>
      </x:c>
      <x:c r="J86" s="23" t="str">
        <x:f>IF(COUNT('中古車掲載'!AN49:AN50)=0,"",MEDIAN('中古車掲載'!AN49:AN50))</x:f>
      </x:c>
      <x:c r="K86" s="3"/>
      <x:c r="L86" s="3"/>
      <x:c r="M86" s="3"/>
      <x:c r="N86" s="3"/>
      <x:c r="O86" s="3"/>
      <x:c r="P86" s="3"/>
      <x:c r="Q86" s="3"/>
      <x:c r="R86" s="3"/>
      <x:c r="S86" s="3"/>
      <x:c r="T86" s="3"/>
      <x:c r="U86" s="3"/>
      <x:c r="V86" s="3"/>
      <x:c r="W86" s="3"/>
      <x:c r="X86" s="3"/>
      <x:c r="Y86" s="3"/>
      <x:c r="Z86" s="3"/>
      <x:c r="AA86" s="3"/>
      <x:c r="AB86" s="3"/>
      <x:c r="AC86" s="3"/>
      <x:c r="AD86" s="3"/>
      <x:c r="AE86" s="3"/>
      <x:c r="AF86" s="3"/>
      <x:c r="AG86" s="3"/>
      <x:c r="AH86" s="3"/>
      <x:c r="AI86" s="3"/>
      <x:c r="AJ86" s="3"/>
      <x:c r="AK86" s="3"/>
      <x:c r="AL86" s="3"/>
      <x:c r="AM86" s="3"/>
      <x:c r="AN86" s="3"/>
      <x:c r="AO86" s="3"/>
      <x:c r="AP86" s="3"/>
      <x:c r="AQ86" s="3"/>
      <x:c r="AR86" s="3"/>
      <x:c r="AS86" s="3"/>
      <x:c r="AT86" s="3"/>
      <x:c r="AU86" s="3"/>
      <x:c r="AV86" s="3"/>
      <x:c r="AW86" s="3"/>
      <x:c r="AX86" s="3"/>
      <x:c r="AY86" s="3"/>
      <x:c r="AZ86" s="3" t="str">
        <x:f>IF(AND('中古車掲載'!C87="One2car",'中古車掲載'!F87="ATTO 3",'中古車掲載'!L87="EXTENDED RANGE",'中古車掲載'!J87=2023,ISNUMBER('中古車掲載'!N87),'中古車掲載'!N87&gt;=20000,'中古車掲載'!O87&lt;=100000,'中古車掲載'!AL87=1),'中古車掲載'!U87,"")</x:f>
      </x:c>
      <x:c r="BA86" s="3" t="str">
        <x:f>IF(AND('中古車掲載'!C87="One2car",'中古車掲載'!F87="Corolla Cross",'中古車掲載'!L87="HEV PREMIUM SAFETY",'中古車掲載'!J87=2023,ISNUMBER('中古車掲載'!N87),'中古車掲載'!N87&gt;=20000,'中古車掲載'!O87&lt;=100000,'中古車掲載'!AL87=1,'中古車掲載'!Z87="https://www.one2car.com/en/cars-for-sale/toyota/corolla-cross/year-2023"),'中古車掲載'!U87,"")</x:f>
      </x:c>
      <x:c r="BB86" s="3" t="str">
        <x:f>IF(AND('中古車掲載'!C87="One2car",'中古車掲載'!F87="ATTO 3",'中古車掲載'!L87="EXTENDED RANGE",'中古車掲載'!J87=2023,ISNUMBER('中古車掲載'!N87),'中古車掲載'!N87&gt;=50000,'中古車掲載'!O87&lt;=100000,'中古車掲載'!AL87=1),'中古車掲載'!U87,"")</x:f>
      </x:c>
      <x:c r="BC86" s="3" t="str">
        <x:f>IF(AND('中古車掲載'!C87="One2car",'中古車掲載'!F87="Corolla Cross",'中古車掲載'!L87="HEV PREMIUM SAFETY",'中古車掲載'!J87=2023,ISNUMBER('中古車掲載'!N87),'中古車掲載'!N87&gt;=50000,'中古車掲載'!O87&lt;=100000,'中古車掲載'!AL87=1,'中古車掲載'!Z87="https://www.one2car.com/en/cars-for-sale/toyota/corolla-cross/year-2023"),'中古車掲載'!U87,"")</x:f>
      </x:c>
      <x:c r="BD86" s="3" t="str">
        <x:f>IF(AND('中古車掲載'!C87="One2car",'中古車掲載'!F87="ATTO 3",'中古車掲載'!L87="EXTENDED RANGE",'中古車掲載'!J87=2023,ISNUMBER('中古車掲載'!N87),'中古車掲載'!N87&gt;=20000,'中古車掲載'!O87&lt;=50000,'中古車掲載'!AL87=1),'中古車掲載'!U87,"")</x:f>
      </x:c>
      <x:c r="BE86" s="3" t="str">
        <x:f>IF(AND('中古車掲載'!C87="One2car",'中古車掲載'!F87="Corolla Cross",'中古車掲載'!L87="HEV PREMIUM SAFETY",'中古車掲載'!J87=2023,ISNUMBER('中古車掲載'!N87),'中古車掲載'!N87&gt;=20000,'中古車掲載'!O87&lt;=50000,'中古車掲載'!AL87=1,'中古車掲載'!Z87="https://www.one2car.com/en/cars-for-sale/toyota/corolla-cross/year-2023"),'中古車掲載'!U87,"")</x:f>
      </x:c>
      <x:c r="BF86" s="3" t="str">
        <x:f>IF(AND('中古車掲載'!C87="One2car",'中古車掲載'!F87="Corolla Cross",'中古車掲載'!L87="HEV PREMIUM",'中古車掲載'!J87=2023,ISNUMBER('中古車掲載'!N87),'中古車掲載'!N87&gt;=20000,'中古車掲載'!O87&lt;=100000,'中古車掲載'!AL87=1,'中古車掲載'!Z87="https://www.one2car.com/en/cars-for-sale/toyota/corolla-cross/year-2023"),'中古車掲載'!U87,"")</x:f>
      </x:c>
      <x:c r="BG86" s="3" t="str">
        <x:f>IF(AND('中古車掲載'!C87="One2car",'中古車掲載'!F87="Corolla Cross",'中古車掲載'!L87="HEV GR SPORT",'中古車掲載'!J87=2023,ISNUMBER('中古車掲載'!N87),'中古車掲載'!N87&gt;=20000,'中古車掲載'!O87&lt;=100000,'中古車掲載'!AL87=1,'中古車掲載'!Z87="https://www.one2car.com/en/cars-for-sale/toyota/corolla-cross/year-2023"),'中古車掲載'!U87,"")</x:f>
      </x:c>
      <x:c r="BH86" s="3" t="str">
        <x:f>IF(AND('中古車掲載'!C87="One2car",'中古車掲載'!F87="DOLPHIN",'中古車掲載'!L87="STANDARD RANGE",'中古車掲載'!J87=2023,ISNUMBER('中古車掲載'!N87),'中古車掲載'!N87&gt;=20000,'中古車掲載'!O87&lt;=100000,'中古車掲載'!AL87=1),'中古車掲載'!U87,"")</x:f>
      </x:c>
      <x:c r="BI86" s="3" t="str">
        <x:v>One2car|DOLPHIN|BEV|Bangkok metro</x:v>
      </x:c>
      <x:c r="BJ86" s="3" t="n">
        <x:v>89</x:v>
      </x:c>
      <x:c r="BK86" s="3" t="n">
        <x:f>'中古車掲載'!AM89</x:f>
        <x:v>319000</x:v>
      </x:c>
      <x:c r="BL86" s="3" t="n">
        <x:f>IF(ISNUMBER('中古車掲載'!AN89),'中古車掲載'!AN89,"")</x:f>
        <x:v>0.4557149367356239</x:v>
      </x:c>
      <x:c r="BM86" s="3" t="str">
        <x:v>2021|Double cab</x:v>
      </x:c>
      <x:c r="BN86" s="3" t="n">
        <x:v>765</x:v>
      </x:c>
      <x:c r="BO86" s="3" t="n">
        <x:f>'中古車掲載'!AM765</x:f>
        <x:v>655000</x:v>
      </x:c>
      <x:c r="BP86" s="3" t="str">
        <x:v>2.8 GR SPORT DOUBLE CAB</x:v>
      </x:c>
      <x:c r="BQ86" s="3"/>
      <x:c r="BR86" s="3"/>
    </x:row>
    <x:row r="87" ht="22" customHeight="1">
      <x:c r="A87" s="3" t="str">
        <x:v>Corolla Cross</x:v>
      </x:c>
      <x:c r="B87" s="3" t="str">
        <x:v>HEV</x:v>
      </x:c>
      <x:c r="C87" s="3" t="str">
        <x:v>One2car</x:v>
      </x:c>
      <x:c r="D87" s="3" t="n">
        <x:v>2023</x:v>
      </x:c>
      <x:c r="E87" s="22" t="n">
        <x:f>COUNT('中古車掲載'!AM51:AM72)</x:f>
        <x:v>22</x:v>
      </x:c>
      <x:c r="F87" s="22" t="n">
        <x:f>IF(COUNT('中古車掲載'!AM51:AM72)=0,"",QUARTILE('中古車掲載'!AM51:AM72,1))</x:f>
        <x:v>698250</x:v>
      </x:c>
      <x:c r="G87" s="22" t="n">
        <x:f>IF(COUNT('中古車掲載'!AM51:AM72)=0,"",MEDIAN('中古車掲載'!AM51:AM72))</x:f>
        <x:v>749000</x:v>
      </x:c>
      <x:c r="H87" s="22" t="n">
        <x:f>IF(COUNT('中古車掲載'!AM51:AM72)=0,"",QUARTILE('中古車掲載'!AM51:AM72,3))</x:f>
        <x:v>797250</x:v>
      </x:c>
      <x:c r="I87" s="22" t="n">
        <x:f>COUNT('中古車掲載'!AN51:AN72)</x:f>
        <x:v>22</x:v>
      </x:c>
      <x:c r="J87" s="23" t="n">
        <x:f>IF(COUNT('中古車掲載'!AN51:AN72)=0,"",MEDIAN('中古車掲載'!AN51:AN72))</x:f>
        <x:v>0.6375199362041468</x:v>
      </x:c>
      <x:c r="K87" s="3"/>
      <x:c r="L87" s="3"/>
      <x:c r="M87" s="3"/>
      <x:c r="N87" s="3"/>
      <x:c r="O87" s="3"/>
      <x:c r="P87" s="3"/>
      <x:c r="Q87" s="3"/>
      <x:c r="R87" s="3"/>
      <x:c r="S87" s="3"/>
      <x:c r="T87" s="3"/>
      <x:c r="U87" s="3"/>
      <x:c r="V87" s="3"/>
      <x:c r="W87" s="3"/>
      <x:c r="X87" s="3"/>
      <x:c r="Y87" s="3"/>
      <x:c r="Z87" s="3"/>
      <x:c r="AA87" s="3"/>
      <x:c r="AB87" s="3"/>
      <x:c r="AC87" s="3"/>
      <x:c r="AD87" s="3"/>
      <x:c r="AE87" s="3"/>
      <x:c r="AF87" s="3"/>
      <x:c r="AG87" s="3"/>
      <x:c r="AH87" s="3"/>
      <x:c r="AI87" s="3"/>
      <x:c r="AJ87" s="3"/>
      <x:c r="AK87" s="3"/>
      <x:c r="AL87" s="3"/>
      <x:c r="AM87" s="3"/>
      <x:c r="AN87" s="3"/>
      <x:c r="AO87" s="3"/>
      <x:c r="AP87" s="3"/>
      <x:c r="AQ87" s="3"/>
      <x:c r="AR87" s="3"/>
      <x:c r="AS87" s="3"/>
      <x:c r="AT87" s="3"/>
      <x:c r="AU87" s="3"/>
      <x:c r="AV87" s="3"/>
      <x:c r="AW87" s="3"/>
      <x:c r="AX87" s="3"/>
      <x:c r="AY87" s="3"/>
      <x:c r="AZ87" s="3" t="str">
        <x:f>IF(AND('中古車掲載'!C88="One2car",'中古車掲載'!F88="ATTO 3",'中古車掲載'!L88="EXTENDED RANGE",'中古車掲載'!J88=2023,ISNUMBER('中古車掲載'!N88),'中古車掲載'!N88&gt;=20000,'中古車掲載'!O88&lt;=100000,'中古車掲載'!AL88=1),'中古車掲載'!U88,"")</x:f>
      </x:c>
      <x:c r="BA87" s="3" t="str">
        <x:f>IF(AND('中古車掲載'!C88="One2car",'中古車掲載'!F88="Corolla Cross",'中古車掲載'!L88="HEV PREMIUM SAFETY",'中古車掲載'!J88=2023,ISNUMBER('中古車掲載'!N88),'中古車掲載'!N88&gt;=20000,'中古車掲載'!O88&lt;=100000,'中古車掲載'!AL88=1,'中古車掲載'!Z88="https://www.one2car.com/en/cars-for-sale/toyota/corolla-cross/year-2023"),'中古車掲載'!U88,"")</x:f>
      </x:c>
      <x:c r="BB87" s="3" t="str">
        <x:f>IF(AND('中古車掲載'!C88="One2car",'中古車掲載'!F88="ATTO 3",'中古車掲載'!L88="EXTENDED RANGE",'中古車掲載'!J88=2023,ISNUMBER('中古車掲載'!N88),'中古車掲載'!N88&gt;=50000,'中古車掲載'!O88&lt;=100000,'中古車掲載'!AL88=1),'中古車掲載'!U88,"")</x:f>
      </x:c>
      <x:c r="BC87" s="3" t="str">
        <x:f>IF(AND('中古車掲載'!C88="One2car",'中古車掲載'!F88="Corolla Cross",'中古車掲載'!L88="HEV PREMIUM SAFETY",'中古車掲載'!J88=2023,ISNUMBER('中古車掲載'!N88),'中古車掲載'!N88&gt;=50000,'中古車掲載'!O88&lt;=100000,'中古車掲載'!AL88=1,'中古車掲載'!Z88="https://www.one2car.com/en/cars-for-sale/toyota/corolla-cross/year-2023"),'中古車掲載'!U88,"")</x:f>
      </x:c>
      <x:c r="BD87" s="3" t="str">
        <x:f>IF(AND('中古車掲載'!C88="One2car",'中古車掲載'!F88="ATTO 3",'中古車掲載'!L88="EXTENDED RANGE",'中古車掲載'!J88=2023,ISNUMBER('中古車掲載'!N88),'中古車掲載'!N88&gt;=20000,'中古車掲載'!O88&lt;=50000,'中古車掲載'!AL88=1),'中古車掲載'!U88,"")</x:f>
      </x:c>
      <x:c r="BE87" s="3" t="str">
        <x:f>IF(AND('中古車掲載'!C88="One2car",'中古車掲載'!F88="Corolla Cross",'中古車掲載'!L88="HEV PREMIUM SAFETY",'中古車掲載'!J88=2023,ISNUMBER('中古車掲載'!N88),'中古車掲載'!N88&gt;=20000,'中古車掲載'!O88&lt;=50000,'中古車掲載'!AL88=1,'中古車掲載'!Z88="https://www.one2car.com/en/cars-for-sale/toyota/corolla-cross/year-2023"),'中古車掲載'!U88,"")</x:f>
      </x:c>
      <x:c r="BF87" s="3" t="str">
        <x:f>IF(AND('中古車掲載'!C88="One2car",'中古車掲載'!F88="Corolla Cross",'中古車掲載'!L88="HEV PREMIUM",'中古車掲載'!J88=2023,ISNUMBER('中古車掲載'!N88),'中古車掲載'!N88&gt;=20000,'中古車掲載'!O88&lt;=100000,'中古車掲載'!AL88=1,'中古車掲載'!Z88="https://www.one2car.com/en/cars-for-sale/toyota/corolla-cross/year-2023"),'中古車掲載'!U88,"")</x:f>
      </x:c>
      <x:c r="BG87" s="3" t="str">
        <x:f>IF(AND('中古車掲載'!C88="One2car",'中古車掲載'!F88="Corolla Cross",'中古車掲載'!L88="HEV GR SPORT",'中古車掲載'!J88=2023,ISNUMBER('中古車掲載'!N88),'中古車掲載'!N88&gt;=20000,'中古車掲載'!O88&lt;=100000,'中古車掲載'!AL88=1,'中古車掲載'!Z88="https://www.one2car.com/en/cars-for-sale/toyota/corolla-cross/year-2023"),'中古車掲載'!U88,"")</x:f>
      </x:c>
      <x:c r="BH87" s="3" t="str">
        <x:f>IF(AND('中古車掲載'!C88="One2car",'中古車掲載'!F88="DOLPHIN",'中古車掲載'!L88="STANDARD RANGE",'中古車掲載'!J88=2023,ISNUMBER('中古車掲載'!N88),'中古車掲載'!N88&gt;=20000,'中古車掲載'!O88&lt;=100000,'中古車掲載'!AL88=1),'中古車掲載'!U88,"")</x:f>
      </x:c>
      <x:c r="BI87" s="3" t="str">
        <x:v>One2car|DOLPHIN|BEV|Bangkok metro</x:v>
      </x:c>
      <x:c r="BJ87" s="3" t="n">
        <x:v>90</x:v>
      </x:c>
      <x:c r="BK87" s="3" t="n">
        <x:f>'中古車掲載'!AM90</x:f>
        <x:v>346500</x:v>
      </x:c>
      <x:c r="BL87" s="3" t="n">
        <x:f>IF(ISNUMBER('中古車掲載'!AN90),'中古車掲載'!AN90,"")</x:f>
        <x:v>0.49500070714386735</x:v>
      </x:c>
      <x:c r="BM87" s="3" t="str">
        <x:v>2021|Double cab</x:v>
      </x:c>
      <x:c r="BN87" s="3" t="n">
        <x:v>766</x:v>
      </x:c>
      <x:c r="BO87" s="3" t="n">
        <x:f>'中古車掲載'!AM766</x:f>
        <x:v>949000</x:v>
      </x:c>
      <x:c r="BP87" s="3" t="str">
        <x:v>2.8 HIGH 4WD DOUBLE CAB</x:v>
      </x:c>
      <x:c r="BQ87" s="3"/>
      <x:c r="BR87" s="3"/>
    </x:row>
    <x:row r="88" ht="22" customHeight="1">
      <x:c r="A88" s="3" t="str">
        <x:v>Corolla Cross</x:v>
      </x:c>
      <x:c r="B88" s="3" t="str">
        <x:v>HEV</x:v>
      </x:c>
      <x:c r="C88" s="3" t="str">
        <x:v>One2car</x:v>
      </x:c>
      <x:c r="D88" s="3" t="n">
        <x:v>2024</x:v>
      </x:c>
      <x:c r="E88" s="22" t="n">
        <x:f>COUNT('中古車掲載'!AM73:AM79)</x:f>
        <x:v>7</x:v>
      </x:c>
      <x:c r="F88" s="22" t="n">
        <x:f>IF(COUNT('中古車掲載'!AM73:AM79)=0,"",QUARTILE('中古車掲載'!AM73:AM79,1))</x:f>
        <x:v>852500</x:v>
      </x:c>
      <x:c r="G88" s="22" t="n">
        <x:f>IF(COUNT('中古車掲載'!AM73:AM79)=0,"",MEDIAN('中古車掲載'!AM73:AM79))</x:f>
        <x:v>898000</x:v>
      </x:c>
      <x:c r="H88" s="22" t="n">
        <x:f>IF(COUNT('中古車掲載'!AM73:AM79)=0,"",QUARTILE('中古車掲載'!AM73:AM79,3))</x:f>
        <x:v>899000</x:v>
      </x:c>
      <x:c r="I88" s="22" t="n">
        <x:f>COUNT('中古車掲載'!AN73:AN79)</x:f>
        <x:v>7</x:v>
      </x:c>
      <x:c r="J88" s="23" t="n">
        <x:f>IF(COUNT('中古車掲載'!AN73:AN79)=0,"",MEDIAN('中古車掲載'!AN73:AN79))</x:f>
        <x:v>0.7466777408637874</x:v>
      </x:c>
      <x:c r="K88" s="3"/>
      <x:c r="L88" s="3"/>
      <x:c r="M88" s="3"/>
      <x:c r="N88" s="3"/>
      <x:c r="O88" s="3"/>
      <x:c r="P88" s="3"/>
      <x:c r="Q88" s="3"/>
      <x:c r="R88" s="3"/>
      <x:c r="S88" s="3"/>
      <x:c r="T88" s="3"/>
      <x:c r="U88" s="3"/>
      <x:c r="V88" s="3"/>
      <x:c r="W88" s="3"/>
      <x:c r="X88" s="3"/>
      <x:c r="Y88" s="3"/>
      <x:c r="Z88" s="3"/>
      <x:c r="AA88" s="3"/>
      <x:c r="AB88" s="3"/>
      <x:c r="AC88" s="3"/>
      <x:c r="AD88" s="3"/>
      <x:c r="AE88" s="3"/>
      <x:c r="AF88" s="3"/>
      <x:c r="AG88" s="3"/>
      <x:c r="AH88" s="3"/>
      <x:c r="AI88" s="3"/>
      <x:c r="AJ88" s="3"/>
      <x:c r="AK88" s="3"/>
      <x:c r="AL88" s="3"/>
      <x:c r="AM88" s="3"/>
      <x:c r="AN88" s="3"/>
      <x:c r="AO88" s="3"/>
      <x:c r="AP88" s="3"/>
      <x:c r="AQ88" s="3"/>
      <x:c r="AR88" s="3"/>
      <x:c r="AS88" s="3"/>
      <x:c r="AT88" s="3"/>
      <x:c r="AU88" s="3"/>
      <x:c r="AV88" s="3"/>
      <x:c r="AW88" s="3"/>
      <x:c r="AX88" s="3"/>
      <x:c r="AY88" s="3"/>
      <x:c r="AZ88" s="3" t="str">
        <x:f>IF(AND('中古車掲載'!C89="One2car",'中古車掲載'!F89="ATTO 3",'中古車掲載'!L89="EXTENDED RANGE",'中古車掲載'!J89=2023,ISNUMBER('中古車掲載'!N89),'中古車掲載'!N89&gt;=20000,'中古車掲載'!O89&lt;=100000,'中古車掲載'!AL89=1),'中古車掲載'!U89,"")</x:f>
      </x:c>
      <x:c r="BA88" s="3" t="str">
        <x:f>IF(AND('中古車掲載'!C89="One2car",'中古車掲載'!F89="Corolla Cross",'中古車掲載'!L89="HEV PREMIUM SAFETY",'中古車掲載'!J89=2023,ISNUMBER('中古車掲載'!N89),'中古車掲載'!N89&gt;=20000,'中古車掲載'!O89&lt;=100000,'中古車掲載'!AL89=1,'中古車掲載'!Z89="https://www.one2car.com/en/cars-for-sale/toyota/corolla-cross/year-2023"),'中古車掲載'!U89,"")</x:f>
      </x:c>
      <x:c r="BB88" s="3" t="str">
        <x:f>IF(AND('中古車掲載'!C89="One2car",'中古車掲載'!F89="ATTO 3",'中古車掲載'!L89="EXTENDED RANGE",'中古車掲載'!J89=2023,ISNUMBER('中古車掲載'!N89),'中古車掲載'!N89&gt;=50000,'中古車掲載'!O89&lt;=100000,'中古車掲載'!AL89=1),'中古車掲載'!U89,"")</x:f>
      </x:c>
      <x:c r="BC88" s="3" t="str">
        <x:f>IF(AND('中古車掲載'!C89="One2car",'中古車掲載'!F89="Corolla Cross",'中古車掲載'!L89="HEV PREMIUM SAFETY",'中古車掲載'!J89=2023,ISNUMBER('中古車掲載'!N89),'中古車掲載'!N89&gt;=50000,'中古車掲載'!O89&lt;=100000,'中古車掲載'!AL89=1,'中古車掲載'!Z89="https://www.one2car.com/en/cars-for-sale/toyota/corolla-cross/year-2023"),'中古車掲載'!U89,"")</x:f>
      </x:c>
      <x:c r="BD88" s="3" t="str">
        <x:f>IF(AND('中古車掲載'!C89="One2car",'中古車掲載'!F89="ATTO 3",'中古車掲載'!L89="EXTENDED RANGE",'中古車掲載'!J89=2023,ISNUMBER('中古車掲載'!N89),'中古車掲載'!N89&gt;=20000,'中古車掲載'!O89&lt;=50000,'中古車掲載'!AL89=1),'中古車掲載'!U89,"")</x:f>
      </x:c>
      <x:c r="BE88" s="3" t="str">
        <x:f>IF(AND('中古車掲載'!C89="One2car",'中古車掲載'!F89="Corolla Cross",'中古車掲載'!L89="HEV PREMIUM SAFETY",'中古車掲載'!J89=2023,ISNUMBER('中古車掲載'!N89),'中古車掲載'!N89&gt;=20000,'中古車掲載'!O89&lt;=50000,'中古車掲載'!AL89=1,'中古車掲載'!Z89="https://www.one2car.com/en/cars-for-sale/toyota/corolla-cross/year-2023"),'中古車掲載'!U89,"")</x:f>
      </x:c>
      <x:c r="BF88" s="3" t="str">
        <x:f>IF(AND('中古車掲載'!C89="One2car",'中古車掲載'!F89="Corolla Cross",'中古車掲載'!L89="HEV PREMIUM",'中古車掲載'!J89=2023,ISNUMBER('中古車掲載'!N89),'中古車掲載'!N89&gt;=20000,'中古車掲載'!O89&lt;=100000,'中古車掲載'!AL89=1,'中古車掲載'!Z89="https://www.one2car.com/en/cars-for-sale/toyota/corolla-cross/year-2023"),'中古車掲載'!U89,"")</x:f>
      </x:c>
      <x:c r="BG88" s="3" t="str">
        <x:f>IF(AND('中古車掲載'!C89="One2car",'中古車掲載'!F89="Corolla Cross",'中古車掲載'!L89="HEV GR SPORT",'中古車掲載'!J89=2023,ISNUMBER('中古車掲載'!N89),'中古車掲載'!N89&gt;=20000,'中古車掲載'!O89&lt;=100000,'中古車掲載'!AL89=1,'中古車掲載'!Z89="https://www.one2car.com/en/cars-for-sale/toyota/corolla-cross/year-2023"),'中古車掲載'!U89,"")</x:f>
      </x:c>
      <x:c r="BH88" s="3" t="n">
        <x:f>IF(AND('中古車掲載'!C89="One2car",'中古車掲載'!F89="DOLPHIN",'中古車掲載'!L89="STANDARD RANGE",'中古車掲載'!J89=2023,ISNUMBER('中古車掲載'!N89),'中古車掲載'!N89&gt;=20000,'中古車掲載'!O89&lt;=100000,'中古車掲載'!AL89=1),'中古車掲載'!U89,"")</x:f>
        <x:v>319000</x:v>
      </x:c>
      <x:c r="BI88" s="3" t="str">
        <x:v>One2car|DOLPHIN|BEV|Bangkok metro</x:v>
      </x:c>
      <x:c r="BJ88" s="3" t="n">
        <x:v>91</x:v>
      </x:c>
      <x:c r="BK88" s="3" t="n">
        <x:f>'中古車掲載'!AM91</x:f>
        <x:v>345000</x:v>
      </x:c>
      <x:c r="BL88" s="3" t="n">
        <x:f>IF(ISNUMBER('中古車掲載'!AN91),'中古車掲載'!AN91,"")</x:f>
        <x:v>0.49285784693978135</x:v>
      </x:c>
      <x:c r="BM88" s="3" t="str">
        <x:v>2021|Smart cab</x:v>
      </x:c>
      <x:c r="BN88" s="3" t="n">
        <x:v>701</x:v>
      </x:c>
      <x:c r="BO88" s="3" t="n">
        <x:f>'中古車掲載'!AM701</x:f>
        <x:v>355000</x:v>
      </x:c>
      <x:c r="BP88" s="3" t="str">
        <x:v>2.4 E Z EDITION SMART CAB</x:v>
      </x:c>
      <x:c r="BQ88" s="3"/>
      <x:c r="BR88" s="3"/>
    </x:row>
    <x:row r="89" ht="22" customHeight="1">
      <x:c r="A89" s="3" t="str">
        <x:v>Corolla Cross</x:v>
      </x:c>
      <x:c r="B89" s="3" t="str">
        <x:v>HEV</x:v>
      </x:c>
      <x:c r="C89" s="3" t="str">
        <x:v>One2car</x:v>
      </x:c>
      <x:c r="D89" s="3" t="n">
        <x:v>2025</x:v>
      </x:c>
      <x:c r="E89" s="22" t="n">
        <x:f>COUNT('中古車掲載'!AM80:AM80)</x:f>
        <x:v>1</x:v>
      </x:c>
      <x:c r="F89" s="22" t="n">
        <x:f>IF(COUNT('中古車掲載'!AM80:AM80)=0,"",QUARTILE('中古車掲載'!AM80:AM80,1))</x:f>
        <x:v>959000</x:v>
      </x:c>
      <x:c r="G89" s="22" t="n">
        <x:f>IF(COUNT('中古車掲載'!AM80:AM80)=0,"",MEDIAN('中古車掲載'!AM80:AM80))</x:f>
        <x:v>959000</x:v>
      </x:c>
      <x:c r="H89" s="22" t="n">
        <x:f>IF(COUNT('中古車掲載'!AM80:AM80)=0,"",QUARTILE('中古車掲載'!AM80:AM80,3))</x:f>
        <x:v>959000</x:v>
      </x:c>
      <x:c r="I89" s="22" t="n">
        <x:f>COUNT('中古車掲載'!AN80:AN80)</x:f>
        <x:v>1</x:v>
      </x:c>
      <x:c r="J89" s="23" t="n">
        <x:f>IF(COUNT('中古車掲載'!AN80:AN80)=0,"",MEDIAN('中古車掲載'!AN80:AN80))</x:f>
        <x:v>0.7965116279069767</x:v>
      </x:c>
      <x:c r="K89" s="3"/>
      <x:c r="L89" s="3"/>
      <x:c r="M89" s="3"/>
      <x:c r="N89" s="3"/>
      <x:c r="O89" s="3"/>
      <x:c r="P89" s="3"/>
      <x:c r="Q89" s="3"/>
      <x:c r="R89" s="3"/>
      <x:c r="S89" s="3"/>
      <x:c r="T89" s="3"/>
      <x:c r="U89" s="3"/>
      <x:c r="V89" s="3"/>
      <x:c r="W89" s="3"/>
      <x:c r="X89" s="3"/>
      <x:c r="Y89" s="3"/>
      <x:c r="Z89" s="3"/>
      <x:c r="AA89" s="3"/>
      <x:c r="AB89" s="3"/>
      <x:c r="AC89" s="3"/>
      <x:c r="AD89" s="3"/>
      <x:c r="AE89" s="3"/>
      <x:c r="AF89" s="3"/>
      <x:c r="AG89" s="3"/>
      <x:c r="AH89" s="3"/>
      <x:c r="AI89" s="3"/>
      <x:c r="AJ89" s="3"/>
      <x:c r="AK89" s="3"/>
      <x:c r="AL89" s="3"/>
      <x:c r="AM89" s="3"/>
      <x:c r="AN89" s="3"/>
      <x:c r="AO89" s="3"/>
      <x:c r="AP89" s="3"/>
      <x:c r="AQ89" s="3"/>
      <x:c r="AR89" s="3"/>
      <x:c r="AS89" s="3"/>
      <x:c r="AT89" s="3"/>
      <x:c r="AU89" s="3"/>
      <x:c r="AV89" s="3"/>
      <x:c r="AW89" s="3"/>
      <x:c r="AX89" s="3"/>
      <x:c r="AY89" s="3"/>
      <x:c r="AZ89" s="3" t="str">
        <x:f>IF(AND('中古車掲載'!C90="One2car",'中古車掲載'!F90="ATTO 3",'中古車掲載'!L90="EXTENDED RANGE",'中古車掲載'!J90=2023,ISNUMBER('中古車掲載'!N90),'中古車掲載'!N90&gt;=20000,'中古車掲載'!O90&lt;=100000,'中古車掲載'!AL90=1),'中古車掲載'!U90,"")</x:f>
      </x:c>
      <x:c r="BA89" s="3" t="str">
        <x:f>IF(AND('中古車掲載'!C90="One2car",'中古車掲載'!F90="Corolla Cross",'中古車掲載'!L90="HEV PREMIUM SAFETY",'中古車掲載'!J90=2023,ISNUMBER('中古車掲載'!N90),'中古車掲載'!N90&gt;=20000,'中古車掲載'!O90&lt;=100000,'中古車掲載'!AL90=1,'中古車掲載'!Z90="https://www.one2car.com/en/cars-for-sale/toyota/corolla-cross/year-2023"),'中古車掲載'!U90,"")</x:f>
      </x:c>
      <x:c r="BB89" s="3" t="str">
        <x:f>IF(AND('中古車掲載'!C90="One2car",'中古車掲載'!F90="ATTO 3",'中古車掲載'!L90="EXTENDED RANGE",'中古車掲載'!J90=2023,ISNUMBER('中古車掲載'!N90),'中古車掲載'!N90&gt;=50000,'中古車掲載'!O90&lt;=100000,'中古車掲載'!AL90=1),'中古車掲載'!U90,"")</x:f>
      </x:c>
      <x:c r="BC89" s="3" t="str">
        <x:f>IF(AND('中古車掲載'!C90="One2car",'中古車掲載'!F90="Corolla Cross",'中古車掲載'!L90="HEV PREMIUM SAFETY",'中古車掲載'!J90=2023,ISNUMBER('中古車掲載'!N90),'中古車掲載'!N90&gt;=50000,'中古車掲載'!O90&lt;=100000,'中古車掲載'!AL90=1,'中古車掲載'!Z90="https://www.one2car.com/en/cars-for-sale/toyota/corolla-cross/year-2023"),'中古車掲載'!U90,"")</x:f>
      </x:c>
      <x:c r="BD89" s="3" t="str">
        <x:f>IF(AND('中古車掲載'!C90="One2car",'中古車掲載'!F90="ATTO 3",'中古車掲載'!L90="EXTENDED RANGE",'中古車掲載'!J90=2023,ISNUMBER('中古車掲載'!N90),'中古車掲載'!N90&gt;=20000,'中古車掲載'!O90&lt;=50000,'中古車掲載'!AL90=1),'中古車掲載'!U90,"")</x:f>
      </x:c>
      <x:c r="BE89" s="3" t="str">
        <x:f>IF(AND('中古車掲載'!C90="One2car",'中古車掲載'!F90="Corolla Cross",'中古車掲載'!L90="HEV PREMIUM SAFETY",'中古車掲載'!J90=2023,ISNUMBER('中古車掲載'!N90),'中古車掲載'!N90&gt;=20000,'中古車掲載'!O90&lt;=50000,'中古車掲載'!AL90=1,'中古車掲載'!Z90="https://www.one2car.com/en/cars-for-sale/toyota/corolla-cross/year-2023"),'中古車掲載'!U90,"")</x:f>
      </x:c>
      <x:c r="BF89" s="3" t="str">
        <x:f>IF(AND('中古車掲載'!C90="One2car",'中古車掲載'!F90="Corolla Cross",'中古車掲載'!L90="HEV PREMIUM",'中古車掲載'!J90=2023,ISNUMBER('中古車掲載'!N90),'中古車掲載'!N90&gt;=20000,'中古車掲載'!O90&lt;=100000,'中古車掲載'!AL90=1,'中古車掲載'!Z90="https://www.one2car.com/en/cars-for-sale/toyota/corolla-cross/year-2023"),'中古車掲載'!U90,"")</x:f>
      </x:c>
      <x:c r="BG89" s="3" t="str">
        <x:f>IF(AND('中古車掲載'!C90="One2car",'中古車掲載'!F90="Corolla Cross",'中古車掲載'!L90="HEV GR SPORT",'中古車掲載'!J90=2023,ISNUMBER('中古車掲載'!N90),'中古車掲載'!N90&gt;=20000,'中古車掲載'!O90&lt;=100000,'中古車掲載'!AL90=1,'中古車掲載'!Z90="https://www.one2car.com/en/cars-for-sale/toyota/corolla-cross/year-2023"),'中古車掲載'!U90,"")</x:f>
      </x:c>
      <x:c r="BH89" s="3" t="n">
        <x:f>IF(AND('中古車掲載'!C90="One2car",'中古車掲載'!F90="DOLPHIN",'中古車掲載'!L90="STANDARD RANGE",'中古車掲載'!J90=2023,ISNUMBER('中古車掲載'!N90),'中古車掲載'!N90&gt;=20000,'中古車掲載'!O90&lt;=100000,'中古車掲載'!AL90=1),'中古車掲載'!U90,"")</x:f>
        <x:v>346500</x:v>
      </x:c>
      <x:c r="BI89" s="3" t="str">
        <x:v>One2car|DOLPHIN|BEV|Bangkok metro</x:v>
      </x:c>
      <x:c r="BJ89" s="3" t="n">
        <x:v>92</x:v>
      </x:c>
      <x:c r="BK89" s="3" t="n">
        <x:f>'中古車掲載'!AM92</x:f>
        <x:v>369000</x:v>
      </x:c>
      <x:c r="BL89" s="3" t="str">
        <x:f>IF(ISNUMBER('中古車掲載'!AN92),'中古車掲載'!AN92,"")</x:f>
      </x:c>
      <x:c r="BM89" s="3" t="str">
        <x:v>2021|Smart cab</x:v>
      </x:c>
      <x:c r="BN89" s="3" t="n">
        <x:v>710</x:v>
      </x:c>
      <x:c r="BO89" s="3" t="n">
        <x:f>'中古車掲載'!AM710</x:f>
        <x:v>555000</x:v>
      </x:c>
      <x:c r="BP89" s="3" t="str">
        <x:v>2.4 ENTRY PRERUNNER SMART CAB</x:v>
      </x:c>
      <x:c r="BQ89" s="3"/>
      <x:c r="BR89" s="3"/>
    </x:row>
    <x:row r="90" ht="30" customHeight="1">
      <x:c r="A90" s="3" t="str">
        <x:v>Corolla Cross</x:v>
      </x:c>
      <x:c r="B90" s="3" t="str">
        <x:v>ICE</x:v>
      </x:c>
      <x:c r="C90" s="3" t="str">
        <x:v>One2car</x:v>
      </x:c>
      <x:c r="D90" s="3" t="n">
        <x:v>2021</x:v>
      </x:c>
      <x:c r="E90" s="22" t="n">
        <x:f>COUNT('中古車掲載'!AM81:AM81)</x:f>
        <x:v>1</x:v>
      </x:c>
      <x:c r="F90" s="22" t="n">
        <x:f>IF(COUNT('中古車掲載'!AM81:AM81)=0,"",QUARTILE('中古車掲載'!AM81:AM81,1))</x:f>
        <x:v>558000</x:v>
      </x:c>
      <x:c r="G90" s="22" t="n">
        <x:f>IF(COUNT('中古車掲載'!AM81:AM81)=0,"",MEDIAN('中古車掲載'!AM81:AM81))</x:f>
        <x:v>558000</x:v>
      </x:c>
      <x:c r="H90" s="22" t="n">
        <x:f>IF(COUNT('中古車掲載'!AM81:AM81)=0,"",QUARTILE('中古車掲載'!AM81:AM81,3))</x:f>
        <x:v>558000</x:v>
      </x:c>
      <x:c r="I90" s="22" t="n">
        <x:f>COUNT('中古車掲載'!AN81:AN81)</x:f>
        <x:v>0</x:v>
      </x:c>
      <x:c r="J90" s="23" t="str">
        <x:f>IF(COUNT('中古車掲載'!AN81:AN81)=0,"",MEDIAN('中古車掲載'!AN81:AN81))</x:f>
      </x:c>
      <x:c r="K90" s="3"/>
      <x:c r="L90" s="3"/>
      <x:c r="M90" s="3"/>
      <x:c r="N90" s="3"/>
      <x:c r="O90" s="3"/>
      <x:c r="P90" s="3"/>
      <x:c r="Q90" s="3"/>
      <x:c r="R90" s="3"/>
      <x:c r="S90" s="3"/>
      <x:c r="T90" s="3"/>
      <x:c r="U90" s="3"/>
      <x:c r="V90" s="3"/>
      <x:c r="W90" s="3"/>
      <x:c r="X90" s="3"/>
      <x:c r="Y90" s="3"/>
      <x:c r="Z90" s="3"/>
      <x:c r="AA90" s="16" t="str">
        <x:v>価格観測</x:v>
      </x:c>
      <x:c r="AB90" s="21" t="str">
        <x:v>Dolphin Std公表通常</x:v>
      </x:c>
      <x:c r="AC90" s="21" t="str">
        <x:v>Dolphin Std提示特価</x:v>
      </x:c>
      <x:c r="AD90" s="17" t="str">
        <x:v>Cross HEV Premium公表通常</x:v>
      </x:c>
      <x:c r="AE90" s="3"/>
      <x:c r="AF90" s="3"/>
      <x:c r="AG90" s="3"/>
      <x:c r="AH90" s="3"/>
      <x:c r="AI90" s="3"/>
      <x:c r="AJ90" s="3"/>
      <x:c r="AK90" s="3"/>
      <x:c r="AL90" s="3"/>
      <x:c r="AM90" s="3"/>
      <x:c r="AN90" s="3"/>
      <x:c r="AO90" s="3"/>
      <x:c r="AP90" s="3"/>
      <x:c r="AQ90" s="3"/>
      <x:c r="AR90" s="3"/>
      <x:c r="AS90" s="3"/>
      <x:c r="AT90" s="3"/>
      <x:c r="AU90" s="3"/>
      <x:c r="AV90" s="3"/>
      <x:c r="AW90" s="3"/>
      <x:c r="AX90" s="3"/>
      <x:c r="AY90" s="3"/>
      <x:c r="AZ90" s="3" t="str">
        <x:f>IF(AND('中古車掲載'!C91="One2car",'中古車掲載'!F91="ATTO 3",'中古車掲載'!L91="EXTENDED RANGE",'中古車掲載'!J91=2023,ISNUMBER('中古車掲載'!N91),'中古車掲載'!N91&gt;=20000,'中古車掲載'!O91&lt;=100000,'中古車掲載'!AL91=1),'中古車掲載'!U91,"")</x:f>
      </x:c>
      <x:c r="BA90" s="3" t="str">
        <x:f>IF(AND('中古車掲載'!C91="One2car",'中古車掲載'!F91="Corolla Cross",'中古車掲載'!L91="HEV PREMIUM SAFETY",'中古車掲載'!J91=2023,ISNUMBER('中古車掲載'!N91),'中古車掲載'!N91&gt;=20000,'中古車掲載'!O91&lt;=100000,'中古車掲載'!AL91=1,'中古車掲載'!Z91="https://www.one2car.com/en/cars-for-sale/toyota/corolla-cross/year-2023"),'中古車掲載'!U91,"")</x:f>
      </x:c>
      <x:c r="BB90" s="3" t="str">
        <x:f>IF(AND('中古車掲載'!C91="One2car",'中古車掲載'!F91="ATTO 3",'中古車掲載'!L91="EXTENDED RANGE",'中古車掲載'!J91=2023,ISNUMBER('中古車掲載'!N91),'中古車掲載'!N91&gt;=50000,'中古車掲載'!O91&lt;=100000,'中古車掲載'!AL91=1),'中古車掲載'!U91,"")</x:f>
      </x:c>
      <x:c r="BC90" s="3" t="str">
        <x:f>IF(AND('中古車掲載'!C91="One2car",'中古車掲載'!F91="Corolla Cross",'中古車掲載'!L91="HEV PREMIUM SAFETY",'中古車掲載'!J91=2023,ISNUMBER('中古車掲載'!N91),'中古車掲載'!N91&gt;=50000,'中古車掲載'!O91&lt;=100000,'中古車掲載'!AL91=1,'中古車掲載'!Z91="https://www.one2car.com/en/cars-for-sale/toyota/corolla-cross/year-2023"),'中古車掲載'!U91,"")</x:f>
      </x:c>
      <x:c r="BD90" s="3" t="str">
        <x:f>IF(AND('中古車掲載'!C91="One2car",'中古車掲載'!F91="ATTO 3",'中古車掲載'!L91="EXTENDED RANGE",'中古車掲載'!J91=2023,ISNUMBER('中古車掲載'!N91),'中古車掲載'!N91&gt;=20000,'中古車掲載'!O91&lt;=50000,'中古車掲載'!AL91=1),'中古車掲載'!U91,"")</x:f>
      </x:c>
      <x:c r="BE90" s="3" t="str">
        <x:f>IF(AND('中古車掲載'!C91="One2car",'中古車掲載'!F91="Corolla Cross",'中古車掲載'!L91="HEV PREMIUM SAFETY",'中古車掲載'!J91=2023,ISNUMBER('中古車掲載'!N91),'中古車掲載'!N91&gt;=20000,'中古車掲載'!O91&lt;=50000,'中古車掲載'!AL91=1,'中古車掲載'!Z91="https://www.one2car.com/en/cars-for-sale/toyota/corolla-cross/year-2023"),'中古車掲載'!U91,"")</x:f>
      </x:c>
      <x:c r="BF90" s="3" t="str">
        <x:f>IF(AND('中古車掲載'!C91="One2car",'中古車掲載'!F91="Corolla Cross",'中古車掲載'!L91="HEV PREMIUM",'中古車掲載'!J91=2023,ISNUMBER('中古車掲載'!N91),'中古車掲載'!N91&gt;=20000,'中古車掲載'!O91&lt;=100000,'中古車掲載'!AL91=1,'中古車掲載'!Z91="https://www.one2car.com/en/cars-for-sale/toyota/corolla-cross/year-2023"),'中古車掲載'!U91,"")</x:f>
      </x:c>
      <x:c r="BG90" s="3" t="str">
        <x:f>IF(AND('中古車掲載'!C91="One2car",'中古車掲載'!F91="Corolla Cross",'中古車掲載'!L91="HEV GR SPORT",'中古車掲載'!J91=2023,ISNUMBER('中古車掲載'!N91),'中古車掲載'!N91&gt;=20000,'中古車掲載'!O91&lt;=100000,'中古車掲載'!AL91=1,'中古車掲載'!Z91="https://www.one2car.com/en/cars-for-sale/toyota/corolla-cross/year-2023"),'中古車掲載'!U91,"")</x:f>
      </x:c>
      <x:c r="BH90" s="3" t="n">
        <x:f>IF(AND('中古車掲載'!C91="One2car",'中古車掲載'!F91="DOLPHIN",'中古車掲載'!L91="STANDARD RANGE",'中古車掲載'!J91=2023,ISNUMBER('中古車掲載'!N91),'中古車掲載'!N91&gt;=20000,'中古車掲載'!O91&lt;=100000,'中古車掲載'!AL91=1),'中古車掲載'!U91,"")</x:f>
        <x:v>345000</x:v>
      </x:c>
      <x:c r="BI90" s="3" t="str">
        <x:v>One2car|DOLPHIN|BEV|Bangkok metro</x:v>
      </x:c>
      <x:c r="BJ90" s="3" t="n">
        <x:v>93</x:v>
      </x:c>
      <x:c r="BK90" s="3" t="n">
        <x:f>'中古車掲載'!AM93</x:f>
        <x:v>359000</x:v>
      </x:c>
      <x:c r="BL90" s="3" t="str">
        <x:f>IF(ISNUMBER('中古車掲載'!AN93),'中古車掲載'!AN93,"")</x:f>
      </x:c>
      <x:c r="BM90" s="3" t="str">
        <x:v>2021|Smart cab</x:v>
      </x:c>
      <x:c r="BN90" s="3" t="n">
        <x:v>711</x:v>
      </x:c>
      <x:c r="BO90" s="3" t="n">
        <x:f>'中古車掲載'!AM711</x:f>
        <x:v>449000</x:v>
      </x:c>
      <x:c r="BP90" s="3" t="str">
        <x:v>2.4 ENTRY PRERUNNER SMART CAB</x:v>
      </x:c>
      <x:c r="BQ90" s="3"/>
      <x:c r="BR90" s="3"/>
    </x:row>
    <x:row r="91" ht="22" customHeight="1">
      <x:c r="A91" s="3" t="str">
        <x:v>Corolla Cross</x:v>
      </x:c>
      <x:c r="B91" s="3" t="str">
        <x:v>ICE</x:v>
      </x:c>
      <x:c r="C91" s="3" t="str">
        <x:v>One2car</x:v>
      </x:c>
      <x:c r="D91" s="3" t="n">
        <x:v>2022</x:v>
      </x:c>
      <x:c r="E91" s="22" t="n">
        <x:f>COUNT('中古車掲載'!AM82:AM82)</x:f>
        <x:v>1</x:v>
      </x:c>
      <x:c r="F91" s="22" t="n">
        <x:f>IF(COUNT('中古車掲載'!AM82:AM82)=0,"",QUARTILE('中古車掲載'!AM82:AM82,1))</x:f>
        <x:v>579000</x:v>
      </x:c>
      <x:c r="G91" s="22" t="n">
        <x:f>IF(COUNT('中古車掲載'!AM82:AM82)=0,"",MEDIAN('中古車掲載'!AM82:AM82))</x:f>
        <x:v>579000</x:v>
      </x:c>
      <x:c r="H91" s="22" t="n">
        <x:f>IF(COUNT('中古車掲載'!AM82:AM82)=0,"",QUARTILE('中古車掲載'!AM82:AM82,3))</x:f>
        <x:v>579000</x:v>
      </x:c>
      <x:c r="I91" s="22" t="n">
        <x:f>COUNT('中古車掲載'!AN82:AN82)</x:f>
        <x:v>0</x:v>
      </x:c>
      <x:c r="J91" s="23" t="str">
        <x:f>IF(COUNT('中古車掲載'!AN82:AN82)=0,"",MEDIAN('中古車掲載'!AN82:AN82))</x:f>
      </x:c>
      <x:c r="K91" s="3"/>
      <x:c r="L91" s="3"/>
      <x:c r="M91" s="3"/>
      <x:c r="N91" s="3"/>
      <x:c r="O91" s="3"/>
      <x:c r="P91" s="3"/>
      <x:c r="Q91" s="3"/>
      <x:c r="R91" s="3"/>
      <x:c r="S91" s="3"/>
      <x:c r="T91" s="3"/>
      <x:c r="U91" s="3"/>
      <x:c r="V91" s="3"/>
      <x:c r="W91" s="3"/>
      <x:c r="X91" s="3"/>
      <x:c r="Y91" s="3"/>
      <x:c r="Z91" s="3"/>
      <x:c r="AA91" s="3" t="str">
        <x:v>2023/07発売</x:v>
      </x:c>
      <x:c r="AB91" s="22" t="n">
        <x:f>'新車価格・特価'!K9</x:f>
        <x:v>699999</x:v>
      </x:c>
      <x:c r="AC91" s="22" t="n">
        <x:f>'新車価格・特価'!N9</x:f>
        <x:v>699999</x:v>
      </x:c>
      <x:c r="AD91" s="22" t="n">
        <x:f>'新車価格・特価'!K46</x:f>
        <x:v>1094000</x:v>
      </x:c>
      <x:c r="AE91" s="3"/>
      <x:c r="AF91" s="3"/>
      <x:c r="AG91" s="3"/>
      <x:c r="AH91" s="3"/>
      <x:c r="AI91" s="3"/>
      <x:c r="AJ91" s="3"/>
      <x:c r="AK91" s="3"/>
      <x:c r="AL91" s="3"/>
      <x:c r="AM91" s="3"/>
      <x:c r="AN91" s="3"/>
      <x:c r="AO91" s="3"/>
      <x:c r="AP91" s="3"/>
      <x:c r="AQ91" s="3"/>
      <x:c r="AR91" s="3"/>
      <x:c r="AS91" s="3"/>
      <x:c r="AT91" s="3"/>
      <x:c r="AU91" s="3"/>
      <x:c r="AV91" s="3"/>
      <x:c r="AW91" s="3"/>
      <x:c r="AX91" s="3"/>
      <x:c r="AY91" s="3"/>
      <x:c r="AZ91" s="3" t="str">
        <x:f>IF(AND('中古車掲載'!C92="One2car",'中古車掲載'!F92="ATTO 3",'中古車掲載'!L92="EXTENDED RANGE",'中古車掲載'!J92=2023,ISNUMBER('中古車掲載'!N92),'中古車掲載'!N92&gt;=20000,'中古車掲載'!O92&lt;=100000,'中古車掲載'!AL92=1),'中古車掲載'!U92,"")</x:f>
      </x:c>
      <x:c r="BA91" s="3" t="str">
        <x:f>IF(AND('中古車掲載'!C92="One2car",'中古車掲載'!F92="Corolla Cross",'中古車掲載'!L92="HEV PREMIUM SAFETY",'中古車掲載'!J92=2023,ISNUMBER('中古車掲載'!N92),'中古車掲載'!N92&gt;=20000,'中古車掲載'!O92&lt;=100000,'中古車掲載'!AL92=1,'中古車掲載'!Z92="https://www.one2car.com/en/cars-for-sale/toyota/corolla-cross/year-2023"),'中古車掲載'!U92,"")</x:f>
      </x:c>
      <x:c r="BB91" s="3" t="str">
        <x:f>IF(AND('中古車掲載'!C92="One2car",'中古車掲載'!F92="ATTO 3",'中古車掲載'!L92="EXTENDED RANGE",'中古車掲載'!J92=2023,ISNUMBER('中古車掲載'!N92),'中古車掲載'!N92&gt;=50000,'中古車掲載'!O92&lt;=100000,'中古車掲載'!AL92=1),'中古車掲載'!U92,"")</x:f>
      </x:c>
      <x:c r="BC91" s="3" t="str">
        <x:f>IF(AND('中古車掲載'!C92="One2car",'中古車掲載'!F92="Corolla Cross",'中古車掲載'!L92="HEV PREMIUM SAFETY",'中古車掲載'!J92=2023,ISNUMBER('中古車掲載'!N92),'中古車掲載'!N92&gt;=50000,'中古車掲載'!O92&lt;=100000,'中古車掲載'!AL92=1,'中古車掲載'!Z92="https://www.one2car.com/en/cars-for-sale/toyota/corolla-cross/year-2023"),'中古車掲載'!U92,"")</x:f>
      </x:c>
      <x:c r="BD91" s="3" t="str">
        <x:f>IF(AND('中古車掲載'!C92="One2car",'中古車掲載'!F92="ATTO 3",'中古車掲載'!L92="EXTENDED RANGE",'中古車掲載'!J92=2023,ISNUMBER('中古車掲載'!N92),'中古車掲載'!N92&gt;=20000,'中古車掲載'!O92&lt;=50000,'中古車掲載'!AL92=1),'中古車掲載'!U92,"")</x:f>
      </x:c>
      <x:c r="BE91" s="3" t="str">
        <x:f>IF(AND('中古車掲載'!C92="One2car",'中古車掲載'!F92="Corolla Cross",'中古車掲載'!L92="HEV PREMIUM SAFETY",'中古車掲載'!J92=2023,ISNUMBER('中古車掲載'!N92),'中古車掲載'!N92&gt;=20000,'中古車掲載'!O92&lt;=50000,'中古車掲載'!AL92=1,'中古車掲載'!Z92="https://www.one2car.com/en/cars-for-sale/toyota/corolla-cross/year-2023"),'中古車掲載'!U92,"")</x:f>
      </x:c>
      <x:c r="BF91" s="3" t="str">
        <x:f>IF(AND('中古車掲載'!C92="One2car",'中古車掲載'!F92="Corolla Cross",'中古車掲載'!L92="HEV PREMIUM",'中古車掲載'!J92=2023,ISNUMBER('中古車掲載'!N92),'中古車掲載'!N92&gt;=20000,'中古車掲載'!O92&lt;=100000,'中古車掲載'!AL92=1,'中古車掲載'!Z92="https://www.one2car.com/en/cars-for-sale/toyota/corolla-cross/year-2023"),'中古車掲載'!U92,"")</x:f>
      </x:c>
      <x:c r="BG91" s="3" t="str">
        <x:f>IF(AND('中古車掲載'!C92="One2car",'中古車掲載'!F92="Corolla Cross",'中古車掲載'!L92="HEV GR SPORT",'中古車掲載'!J92=2023,ISNUMBER('中古車掲載'!N92),'中古車掲載'!N92&gt;=20000,'中古車掲載'!O92&lt;=100000,'中古車掲載'!AL92=1,'中古車掲載'!Z92="https://www.one2car.com/en/cars-for-sale/toyota/corolla-cross/year-2023"),'中古車掲載'!U92,"")</x:f>
      </x:c>
      <x:c r="BH91" s="3" t="str">
        <x:f>IF(AND('中古車掲載'!C92="One2car",'中古車掲載'!F92="DOLPHIN",'中古車掲載'!L92="STANDARD RANGE",'中古車掲載'!J92=2023,ISNUMBER('中古車掲載'!N92),'中古車掲載'!N92&gt;=20000,'中古車掲載'!O92&lt;=100000,'中古車掲載'!AL92=1),'中古車掲載'!U92,"")</x:f>
      </x:c>
      <x:c r="BI91" s="3" t="str">
        <x:v>One2car|DOLPHIN|BEV|Bangkok metro</x:v>
      </x:c>
      <x:c r="BJ91" s="3" t="n">
        <x:v>94</x:v>
      </x:c>
      <x:c r="BK91" s="3" t="n">
        <x:f>'中古車掲載'!AM94</x:f>
        <x:v>455000</x:v>
      </x:c>
      <x:c r="BL91" s="3" t="str">
        <x:f>IF(ISNUMBER('中古車掲載'!AN94),'中古車掲載'!AN94,"")</x:f>
      </x:c>
      <x:c r="BM91" s="3" t="str">
        <x:v>2021|Smart cab</x:v>
      </x:c>
      <x:c r="BN91" s="3" t="n">
        <x:v>712</x:v>
      </x:c>
      <x:c r="BO91" s="3" t="n">
        <x:f>'中古車掲載'!AM712</x:f>
        <x:v>488000</x:v>
      </x:c>
      <x:c r="BP91" s="3" t="str">
        <x:v>2.4 ENTRY PRERUNNER SMART CAB</x:v>
      </x:c>
      <x:c r="BQ91" s="3"/>
      <x:c r="BR91" s="3"/>
    </x:row>
    <x:row r="92" ht="22" customHeight="1">
      <x:c r="A92" s="3" t="str">
        <x:v>Corolla Cross</x:v>
      </x:c>
      <x:c r="B92" s="3" t="str">
        <x:v>ICE</x:v>
      </x:c>
      <x:c r="C92" s="3" t="str">
        <x:v>One2car</x:v>
      </x:c>
      <x:c r="D92" s="3" t="n">
        <x:v>2023</x:v>
      </x:c>
      <x:c r="E92" s="22" t="n">
        <x:f>COUNT('中古車掲載'!AM83:AM83)</x:f>
        <x:v>1</x:v>
      </x:c>
      <x:c r="F92" s="22" t="n">
        <x:f>IF(COUNT('中古車掲載'!AM83:AM83)=0,"",QUARTILE('中古車掲載'!AM83:AM83,1))</x:f>
        <x:v>639000</x:v>
      </x:c>
      <x:c r="G92" s="22" t="n">
        <x:f>IF(COUNT('中古車掲載'!AM83:AM83)=0,"",MEDIAN('中古車掲載'!AM83:AM83))</x:f>
        <x:v>639000</x:v>
      </x:c>
      <x:c r="H92" s="22" t="n">
        <x:f>IF(COUNT('中古車掲載'!AM83:AM83)=0,"",QUARTILE('中古車掲載'!AM83:AM83,3))</x:f>
        <x:v>639000</x:v>
      </x:c>
      <x:c r="I92" s="22" t="n">
        <x:f>COUNT('中古車掲載'!AN83:AN83)</x:f>
        <x:v>1</x:v>
      </x:c>
      <x:c r="J92" s="23" t="n">
        <x:f>IF(COUNT('中古車掲載'!AN83:AN83)=0,"",MEDIAN('中古車掲載'!AN83:AN83))</x:f>
        <x:v>0.6396396396396397</x:v>
      </x:c>
      <x:c r="K92" s="3"/>
      <x:c r="L92" s="3"/>
      <x:c r="M92" s="3"/>
      <x:c r="N92" s="3"/>
      <x:c r="O92" s="3"/>
      <x:c r="P92" s="3"/>
      <x:c r="Q92" s="3"/>
      <x:c r="R92" s="3"/>
      <x:c r="S92" s="3"/>
      <x:c r="T92" s="3"/>
      <x:c r="U92" s="3"/>
      <x:c r="V92" s="3"/>
      <x:c r="W92" s="3"/>
      <x:c r="X92" s="3"/>
      <x:c r="Y92" s="3"/>
      <x:c r="Z92" s="3"/>
      <x:c r="AA92" s="3" t="str">
        <x:v>2025/01–02</x:v>
      </x:c>
      <x:c r="AB92" s="22" t="n">
        <x:f>'新車価格・特価'!K21</x:f>
        <x:v>569900</x:v>
      </x:c>
      <x:c r="AC92" s="22" t="n">
        <x:f>'新車価格・特価'!N21</x:f>
        <x:v>569900</x:v>
      </x:c>
      <x:c r="AD92" s="22" t="e">
        <x:f>NA()</x:f>
        <x:v>#N/A</x:v>
      </x:c>
      <x:c r="AE92" s="3"/>
      <x:c r="AF92" s="3"/>
      <x:c r="AG92" s="3"/>
      <x:c r="AH92" s="3"/>
      <x:c r="AI92" s="3"/>
      <x:c r="AJ92" s="3"/>
      <x:c r="AK92" s="3"/>
      <x:c r="AL92" s="3"/>
      <x:c r="AM92" s="3"/>
      <x:c r="AN92" s="3"/>
      <x:c r="AO92" s="3"/>
      <x:c r="AP92" s="3"/>
      <x:c r="AQ92" s="3"/>
      <x:c r="AR92" s="3"/>
      <x:c r="AS92" s="3"/>
      <x:c r="AT92" s="3"/>
      <x:c r="AU92" s="3"/>
      <x:c r="AV92" s="3"/>
      <x:c r="AW92" s="3"/>
      <x:c r="AX92" s="3"/>
      <x:c r="AY92" s="3"/>
      <x:c r="AZ92" s="3" t="str">
        <x:f>IF(AND('中古車掲載'!C93="One2car",'中古車掲載'!F93="ATTO 3",'中古車掲載'!L93="EXTENDED RANGE",'中古車掲載'!J93=2023,ISNUMBER('中古車掲載'!N93),'中古車掲載'!N93&gt;=20000,'中古車掲載'!O93&lt;=100000,'中古車掲載'!AL93=1),'中古車掲載'!U93,"")</x:f>
      </x:c>
      <x:c r="BA92" s="3" t="str">
        <x:f>IF(AND('中古車掲載'!C93="One2car",'中古車掲載'!F93="Corolla Cross",'中古車掲載'!L93="HEV PREMIUM SAFETY",'中古車掲載'!J93=2023,ISNUMBER('中古車掲載'!N93),'中古車掲載'!N93&gt;=20000,'中古車掲載'!O93&lt;=100000,'中古車掲載'!AL93=1,'中古車掲載'!Z93="https://www.one2car.com/en/cars-for-sale/toyota/corolla-cross/year-2023"),'中古車掲載'!U93,"")</x:f>
      </x:c>
      <x:c r="BB92" s="3" t="str">
        <x:f>IF(AND('中古車掲載'!C93="One2car",'中古車掲載'!F93="ATTO 3",'中古車掲載'!L93="EXTENDED RANGE",'中古車掲載'!J93=2023,ISNUMBER('中古車掲載'!N93),'中古車掲載'!N93&gt;=50000,'中古車掲載'!O93&lt;=100000,'中古車掲載'!AL93=1),'中古車掲載'!U93,"")</x:f>
      </x:c>
      <x:c r="BC92" s="3" t="str">
        <x:f>IF(AND('中古車掲載'!C93="One2car",'中古車掲載'!F93="Corolla Cross",'中古車掲載'!L93="HEV PREMIUM SAFETY",'中古車掲載'!J93=2023,ISNUMBER('中古車掲載'!N93),'中古車掲載'!N93&gt;=50000,'中古車掲載'!O93&lt;=100000,'中古車掲載'!AL93=1,'中古車掲載'!Z93="https://www.one2car.com/en/cars-for-sale/toyota/corolla-cross/year-2023"),'中古車掲載'!U93,"")</x:f>
      </x:c>
      <x:c r="BD92" s="3" t="str">
        <x:f>IF(AND('中古車掲載'!C93="One2car",'中古車掲載'!F93="ATTO 3",'中古車掲載'!L93="EXTENDED RANGE",'中古車掲載'!J93=2023,ISNUMBER('中古車掲載'!N93),'中古車掲載'!N93&gt;=20000,'中古車掲載'!O93&lt;=50000,'中古車掲載'!AL93=1),'中古車掲載'!U93,"")</x:f>
      </x:c>
      <x:c r="BE92" s="3" t="str">
        <x:f>IF(AND('中古車掲載'!C93="One2car",'中古車掲載'!F93="Corolla Cross",'中古車掲載'!L93="HEV PREMIUM SAFETY",'中古車掲載'!J93=2023,ISNUMBER('中古車掲載'!N93),'中古車掲載'!N93&gt;=20000,'中古車掲載'!O93&lt;=50000,'中古車掲載'!AL93=1,'中古車掲載'!Z93="https://www.one2car.com/en/cars-for-sale/toyota/corolla-cross/year-2023"),'中古車掲載'!U93,"")</x:f>
      </x:c>
      <x:c r="BF92" s="3" t="str">
        <x:f>IF(AND('中古車掲載'!C93="One2car",'中古車掲載'!F93="Corolla Cross",'中古車掲載'!L93="HEV PREMIUM",'中古車掲載'!J93=2023,ISNUMBER('中古車掲載'!N93),'中古車掲載'!N93&gt;=20000,'中古車掲載'!O93&lt;=100000,'中古車掲載'!AL93=1,'中古車掲載'!Z93="https://www.one2car.com/en/cars-for-sale/toyota/corolla-cross/year-2023"),'中古車掲載'!U93,"")</x:f>
      </x:c>
      <x:c r="BG92" s="3" t="str">
        <x:f>IF(AND('中古車掲載'!C93="One2car",'中古車掲載'!F93="Corolla Cross",'中古車掲載'!L93="HEV GR SPORT",'中古車掲載'!J93=2023,ISNUMBER('中古車掲載'!N93),'中古車掲載'!N93&gt;=20000,'中古車掲載'!O93&lt;=100000,'中古車掲載'!AL93=1,'中古車掲載'!Z93="https://www.one2car.com/en/cars-for-sale/toyota/corolla-cross/year-2023"),'中古車掲載'!U93,"")</x:f>
      </x:c>
      <x:c r="BH92" s="3" t="str">
        <x:f>IF(AND('中古車掲載'!C93="One2car",'中古車掲載'!F93="DOLPHIN",'中古車掲載'!L93="STANDARD RANGE",'中古車掲載'!J93=2023,ISNUMBER('中古車掲載'!N93),'中古車掲載'!N93&gt;=20000,'中古車掲載'!O93&lt;=100000,'中古車掲載'!AL93=1),'中古車掲載'!U93,"")</x:f>
      </x:c>
      <x:c r="BI92" s="3" t="str">
        <x:v>One2car|DOLPHIN|BEV|Bangkok metro</x:v>
      </x:c>
      <x:c r="BJ92" s="3" t="n">
        <x:v>95</x:v>
      </x:c>
      <x:c r="BK92" s="3" t="n">
        <x:f>'中古車掲載'!AM95</x:f>
        <x:v>447000</x:v>
      </x:c>
      <x:c r="BL92" s="3" t="str">
        <x:f>IF(ISNUMBER('中古車掲載'!AN95),'中古車掲載'!AN95,"")</x:f>
      </x:c>
      <x:c r="BM92" s="3" t="str">
        <x:v>2021|Smart cab</x:v>
      </x:c>
      <x:c r="BN92" s="3" t="n">
        <x:v>732</x:v>
      </x:c>
      <x:c r="BO92" s="3" t="n">
        <x:f>'中古車掲載'!AM732</x:f>
        <x:v>439000</x:v>
      </x:c>
      <x:c r="BP92" s="3" t="str">
        <x:v>2.4 ENTRY Z EDITION SMART CAB</x:v>
      </x:c>
      <x:c r="BQ92" s="3"/>
      <x:c r="BR92" s="3"/>
    </x:row>
    <x:row r="93" ht="22" customHeight="1">
      <x:c r="A93" s="3" t="str">
        <x:v>DOLPHIN</x:v>
      </x:c>
      <x:c r="B93" s="3" t="str">
        <x:v>BEV</x:v>
      </x:c>
      <x:c r="C93" s="3" t="str">
        <x:v>One2car</x:v>
      </x:c>
      <x:c r="D93" s="3" t="n">
        <x:v>2023</x:v>
      </x:c>
      <x:c r="E93" s="22" t="n">
        <x:f>COUNT('中古車掲載'!AM84:AM91)</x:f>
        <x:v>8</x:v>
      </x:c>
      <x:c r="F93" s="22" t="n">
        <x:f>IF(COUNT('中古車掲載'!AM84:AM91)=0,"",QUARTILE('中古車掲載'!AM84:AM91,1))</x:f>
        <x:v>306500</x:v>
      </x:c>
      <x:c r="G93" s="22" t="n">
        <x:f>IF(COUNT('中古車掲載'!AM84:AM91)=0,"",MEDIAN('中古車掲載'!AM84:AM91))</x:f>
        <x:v>332000</x:v>
      </x:c>
      <x:c r="H93" s="22" t="n">
        <x:f>IF(COUNT('中古車掲載'!AM84:AM91)=0,"",QUARTILE('中古車掲載'!AM84:AM91,3))</x:f>
        <x:v>347125</x:v>
      </x:c>
      <x:c r="I93" s="22" t="n">
        <x:f>COUNT('中古車掲載'!AN84:AN91)</x:f>
        <x:v>8</x:v>
      </x:c>
      <x:c r="J93" s="23" t="n">
        <x:f>IF(COUNT('中古車掲載'!AN84:AN91)=0,"",MEDIAN('中古車掲載'!AN84:AN91))</x:f>
        <x:v>0.44857206938867056</x:v>
      </x:c>
      <x:c r="K93" s="3"/>
      <x:c r="L93" s="3"/>
      <x:c r="M93" s="3"/>
      <x:c r="N93" s="3"/>
      <x:c r="O93" s="3"/>
      <x:c r="P93" s="3"/>
      <x:c r="Q93" s="3"/>
      <x:c r="R93" s="3"/>
      <x:c r="S93" s="3"/>
      <x:c r="T93" s="3"/>
      <x:c r="U93" s="3"/>
      <x:c r="V93" s="3"/>
      <x:c r="W93" s="3"/>
      <x:c r="X93" s="3"/>
      <x:c r="Y93" s="3"/>
      <x:c r="Z93" s="3"/>
      <x:c r="AA93" s="3" t="str">
        <x:v>2026/10</x:v>
      </x:c>
      <x:c r="AB93" s="22" t="n">
        <x:f>'新車価格・特価'!K36</x:f>
        <x:v>599900</x:v>
      </x:c>
      <x:c r="AC93" s="22" t="n">
        <x:f>'新車価格・特価'!N36</x:f>
        <x:v>509900</x:v>
      </x:c>
      <x:c r="AD93" s="22" t="n">
        <x:f>'新車価格・特価'!K54</x:f>
        <x:v>1094000</x:v>
      </x:c>
      <x:c r="AE93" s="3"/>
      <x:c r="AF93" s="3"/>
      <x:c r="AG93" s="3"/>
      <x:c r="AH93" s="3"/>
      <x:c r="AI93" s="3"/>
      <x:c r="AJ93" s="3"/>
      <x:c r="AK93" s="3"/>
      <x:c r="AL93" s="3"/>
      <x:c r="AM93" s="3"/>
      <x:c r="AN93" s="3"/>
      <x:c r="AO93" s="3"/>
      <x:c r="AP93" s="3"/>
      <x:c r="AQ93" s="3"/>
      <x:c r="AR93" s="3"/>
      <x:c r="AS93" s="3"/>
      <x:c r="AT93" s="3"/>
      <x:c r="AU93" s="3"/>
      <x:c r="AV93" s="3"/>
      <x:c r="AW93" s="3"/>
      <x:c r="AX93" s="3"/>
      <x:c r="AY93" s="3"/>
      <x:c r="AZ93" s="3" t="str">
        <x:f>IF(AND('中古車掲載'!C94="One2car",'中古車掲載'!F94="ATTO 3",'中古車掲載'!L94="EXTENDED RANGE",'中古車掲載'!J94=2023,ISNUMBER('中古車掲載'!N94),'中古車掲載'!N94&gt;=20000,'中古車掲載'!O94&lt;=100000,'中古車掲載'!AL94=1),'中古車掲載'!U94,"")</x:f>
      </x:c>
      <x:c r="BA93" s="3" t="str">
        <x:f>IF(AND('中古車掲載'!C94="One2car",'中古車掲載'!F94="Corolla Cross",'中古車掲載'!L94="HEV PREMIUM SAFETY",'中古車掲載'!J94=2023,ISNUMBER('中古車掲載'!N94),'中古車掲載'!N94&gt;=20000,'中古車掲載'!O94&lt;=100000,'中古車掲載'!AL94=1,'中古車掲載'!Z94="https://www.one2car.com/en/cars-for-sale/toyota/corolla-cross/year-2023"),'中古車掲載'!U94,"")</x:f>
      </x:c>
      <x:c r="BB93" s="3" t="str">
        <x:f>IF(AND('中古車掲載'!C94="One2car",'中古車掲載'!F94="ATTO 3",'中古車掲載'!L94="EXTENDED RANGE",'中古車掲載'!J94=2023,ISNUMBER('中古車掲載'!N94),'中古車掲載'!N94&gt;=50000,'中古車掲載'!O94&lt;=100000,'中古車掲載'!AL94=1),'中古車掲載'!U94,"")</x:f>
      </x:c>
      <x:c r="BC93" s="3" t="str">
        <x:f>IF(AND('中古車掲載'!C94="One2car",'中古車掲載'!F94="Corolla Cross",'中古車掲載'!L94="HEV PREMIUM SAFETY",'中古車掲載'!J94=2023,ISNUMBER('中古車掲載'!N94),'中古車掲載'!N94&gt;=50000,'中古車掲載'!O94&lt;=100000,'中古車掲載'!AL94=1,'中古車掲載'!Z94="https://www.one2car.com/en/cars-for-sale/toyota/corolla-cross/year-2023"),'中古車掲載'!U94,"")</x:f>
      </x:c>
      <x:c r="BD93" s="3" t="str">
        <x:f>IF(AND('中古車掲載'!C94="One2car",'中古車掲載'!F94="ATTO 3",'中古車掲載'!L94="EXTENDED RANGE",'中古車掲載'!J94=2023,ISNUMBER('中古車掲載'!N94),'中古車掲載'!N94&gt;=20000,'中古車掲載'!O94&lt;=50000,'中古車掲載'!AL94=1),'中古車掲載'!U94,"")</x:f>
      </x:c>
      <x:c r="BE93" s="3" t="str">
        <x:f>IF(AND('中古車掲載'!C94="One2car",'中古車掲載'!F94="Corolla Cross",'中古車掲載'!L94="HEV PREMIUM SAFETY",'中古車掲載'!J94=2023,ISNUMBER('中古車掲載'!N94),'中古車掲載'!N94&gt;=20000,'中古車掲載'!O94&lt;=50000,'中古車掲載'!AL94=1,'中古車掲載'!Z94="https://www.one2car.com/en/cars-for-sale/toyota/corolla-cross/year-2023"),'中古車掲載'!U94,"")</x:f>
      </x:c>
      <x:c r="BF93" s="3" t="str">
        <x:f>IF(AND('中古車掲載'!C94="One2car",'中古車掲載'!F94="Corolla Cross",'中古車掲載'!L94="HEV PREMIUM",'中古車掲載'!J94=2023,ISNUMBER('中古車掲載'!N94),'中古車掲載'!N94&gt;=20000,'中古車掲載'!O94&lt;=100000,'中古車掲載'!AL94=1,'中古車掲載'!Z94="https://www.one2car.com/en/cars-for-sale/toyota/corolla-cross/year-2023"),'中古車掲載'!U94,"")</x:f>
      </x:c>
      <x:c r="BG93" s="3" t="str">
        <x:f>IF(AND('中古車掲載'!C94="One2car",'中古車掲載'!F94="Corolla Cross",'中古車掲載'!L94="HEV GR SPORT",'中古車掲載'!J94=2023,ISNUMBER('中古車掲載'!N94),'中古車掲載'!N94&gt;=20000,'中古車掲載'!O94&lt;=100000,'中古車掲載'!AL94=1,'中古車掲載'!Z94="https://www.one2car.com/en/cars-for-sale/toyota/corolla-cross/year-2023"),'中古車掲載'!U94,"")</x:f>
      </x:c>
      <x:c r="BH93" s="3" t="str">
        <x:f>IF(AND('中古車掲載'!C94="One2car",'中古車掲載'!F94="DOLPHIN",'中古車掲載'!L94="STANDARD RANGE",'中古車掲載'!J94=2023,ISNUMBER('中古車掲載'!N94),'中古車掲載'!N94&gt;=20000,'中古車掲載'!O94&lt;=100000,'中古車掲載'!AL94=1),'中古車掲載'!U94,"")</x:f>
      </x:c>
      <x:c r="BI93" s="3" t="str">
        <x:v>One2car|DOLPHIN|BEV|Bangkok metro</x:v>
      </x:c>
      <x:c r="BJ93" s="3" t="n">
        <x:v>96</x:v>
      </x:c>
      <x:c r="BK93" s="3" t="n">
        <x:f>'中古車掲載'!AM96</x:f>
        <x:v>447000</x:v>
      </x:c>
      <x:c r="BL93" s="3" t="str">
        <x:f>IF(ISNUMBER('中古車掲載'!AN96),'中古車掲載'!AN96,"")</x:f>
      </x:c>
      <x:c r="BM93" s="3" t="str">
        <x:v>2021|Smart cab</x:v>
      </x:c>
      <x:c r="BN93" s="3" t="n">
        <x:v>733</x:v>
      </x:c>
      <x:c r="BO93" s="3" t="n">
        <x:f>'中古車掲載'!AM733</x:f>
        <x:v>375000</x:v>
      </x:c>
      <x:c r="BP93" s="3" t="str">
        <x:v>2.4 ENTRY Z EDITION SMART CAB</x:v>
      </x:c>
      <x:c r="BQ93" s="3"/>
      <x:c r="BR93" s="3"/>
    </x:row>
    <x:row r="94" ht="22" customHeight="1">
      <x:c r="A94" s="3" t="str">
        <x:v>DOLPHIN</x:v>
      </x:c>
      <x:c r="B94" s="3" t="str">
        <x:v>BEV</x:v>
      </x:c>
      <x:c r="C94" s="3" t="str">
        <x:v>One2car</x:v>
      </x:c>
      <x:c r="D94" s="3" t="n">
        <x:v>2024</x:v>
      </x:c>
      <x:c r="E94" s="22" t="n">
        <x:f>COUNT('中古車掲載'!AM92:AM97)</x:f>
        <x:v>6</x:v>
      </x:c>
      <x:c r="F94" s="22" t="n">
        <x:f>IF(COUNT('中古車掲載'!AM92:AM97)=0,"",QUARTILE('中古車掲載'!AM92:AM97,1))</x:f>
        <x:v>386000</x:v>
      </x:c>
      <x:c r="G94" s="22" t="n">
        <x:f>IF(COUNT('中古車掲載'!AM92:AM97)=0,"",MEDIAN('中古車掲載'!AM92:AM97))</x:f>
        <x:v>442000</x:v>
      </x:c>
      <x:c r="H94" s="22" t="n">
        <x:f>IF(COUNT('中古車掲載'!AM92:AM97)=0,"",QUARTILE('中古車掲載'!AM92:AM97,3))</x:f>
        <x:v>447000</x:v>
      </x:c>
      <x:c r="I94" s="22" t="n">
        <x:f>COUNT('中古車掲載'!AN92:AN97)</x:f>
        <x:v>0</x:v>
      </x:c>
      <x:c r="J94" s="23" t="str">
        <x:f>IF(COUNT('中古車掲載'!AN92:AN97)=0,"",MEDIAN('中古車掲載'!AN92:AN97))</x:f>
      </x:c>
      <x:c r="K94" s="3"/>
      <x:c r="L94" s="3"/>
      <x:c r="M94" s="3"/>
      <x:c r="N94" s="3"/>
      <x:c r="O94" s="3"/>
      <x:c r="P94" s="3"/>
      <x:c r="Q94" s="3"/>
      <x:c r="R94" s="3"/>
      <x:c r="S94" s="3"/>
      <x:c r="T94" s="3"/>
      <x:c r="U94" s="3"/>
      <x:c r="V94" s="3"/>
      <x:c r="W94" s="3"/>
      <x:c r="X94" s="3"/>
      <x:c r="Y94" s="3"/>
      <x:c r="Z94" s="3"/>
      <x:c r="AA94" s="3"/>
      <x:c r="AB94" s="3"/>
      <x:c r="AC94" s="3"/>
      <x:c r="AD94" s="3"/>
      <x:c r="AE94" s="3"/>
      <x:c r="AF94" s="3"/>
      <x:c r="AG94" s="3"/>
      <x:c r="AH94" s="3"/>
      <x:c r="AI94" s="3"/>
      <x:c r="AJ94" s="3"/>
      <x:c r="AK94" s="3"/>
      <x:c r="AL94" s="3"/>
      <x:c r="AM94" s="3"/>
      <x:c r="AN94" s="3"/>
      <x:c r="AO94" s="3"/>
      <x:c r="AP94" s="3"/>
      <x:c r="AQ94" s="3"/>
      <x:c r="AR94" s="3"/>
      <x:c r="AS94" s="3"/>
      <x:c r="AT94" s="3"/>
      <x:c r="AU94" s="3"/>
      <x:c r="AV94" s="3"/>
      <x:c r="AW94" s="3"/>
      <x:c r="AX94" s="3"/>
      <x:c r="AY94" s="3"/>
      <x:c r="AZ94" s="3" t="str">
        <x:f>IF(AND('中古車掲載'!C95="One2car",'中古車掲載'!F95="ATTO 3",'中古車掲載'!L95="EXTENDED RANGE",'中古車掲載'!J95=2023,ISNUMBER('中古車掲載'!N95),'中古車掲載'!N95&gt;=20000,'中古車掲載'!O95&lt;=100000,'中古車掲載'!AL95=1),'中古車掲載'!U95,"")</x:f>
      </x:c>
      <x:c r="BA94" s="3" t="str">
        <x:f>IF(AND('中古車掲載'!C95="One2car",'中古車掲載'!F95="Corolla Cross",'中古車掲載'!L95="HEV PREMIUM SAFETY",'中古車掲載'!J95=2023,ISNUMBER('中古車掲載'!N95),'中古車掲載'!N95&gt;=20000,'中古車掲載'!O95&lt;=100000,'中古車掲載'!AL95=1,'中古車掲載'!Z95="https://www.one2car.com/en/cars-for-sale/toyota/corolla-cross/year-2023"),'中古車掲載'!U95,"")</x:f>
      </x:c>
      <x:c r="BB94" s="3" t="str">
        <x:f>IF(AND('中古車掲載'!C95="One2car",'中古車掲載'!F95="ATTO 3",'中古車掲載'!L95="EXTENDED RANGE",'中古車掲載'!J95=2023,ISNUMBER('中古車掲載'!N95),'中古車掲載'!N95&gt;=50000,'中古車掲載'!O95&lt;=100000,'中古車掲載'!AL95=1),'中古車掲載'!U95,"")</x:f>
      </x:c>
      <x:c r="BC94" s="3" t="str">
        <x:f>IF(AND('中古車掲載'!C95="One2car",'中古車掲載'!F95="Corolla Cross",'中古車掲載'!L95="HEV PREMIUM SAFETY",'中古車掲載'!J95=2023,ISNUMBER('中古車掲載'!N95),'中古車掲載'!N95&gt;=50000,'中古車掲載'!O95&lt;=100000,'中古車掲載'!AL95=1,'中古車掲載'!Z95="https://www.one2car.com/en/cars-for-sale/toyota/corolla-cross/year-2023"),'中古車掲載'!U95,"")</x:f>
      </x:c>
      <x:c r="BD94" s="3" t="str">
        <x:f>IF(AND('中古車掲載'!C95="One2car",'中古車掲載'!F95="ATTO 3",'中古車掲載'!L95="EXTENDED RANGE",'中古車掲載'!J95=2023,ISNUMBER('中古車掲載'!N95),'中古車掲載'!N95&gt;=20000,'中古車掲載'!O95&lt;=50000,'中古車掲載'!AL95=1),'中古車掲載'!U95,"")</x:f>
      </x:c>
      <x:c r="BE94" s="3" t="str">
        <x:f>IF(AND('中古車掲載'!C95="One2car",'中古車掲載'!F95="Corolla Cross",'中古車掲載'!L95="HEV PREMIUM SAFETY",'中古車掲載'!J95=2023,ISNUMBER('中古車掲載'!N95),'中古車掲載'!N95&gt;=20000,'中古車掲載'!O95&lt;=50000,'中古車掲載'!AL95=1,'中古車掲載'!Z95="https://www.one2car.com/en/cars-for-sale/toyota/corolla-cross/year-2023"),'中古車掲載'!U95,"")</x:f>
      </x:c>
      <x:c r="BF94" s="3" t="str">
        <x:f>IF(AND('中古車掲載'!C95="One2car",'中古車掲載'!F95="Corolla Cross",'中古車掲載'!L95="HEV PREMIUM",'中古車掲載'!J95=2023,ISNUMBER('中古車掲載'!N95),'中古車掲載'!N95&gt;=20000,'中古車掲載'!O95&lt;=100000,'中古車掲載'!AL95=1,'中古車掲載'!Z95="https://www.one2car.com/en/cars-for-sale/toyota/corolla-cross/year-2023"),'中古車掲載'!U95,"")</x:f>
      </x:c>
      <x:c r="BG94" s="3" t="str">
        <x:f>IF(AND('中古車掲載'!C95="One2car",'中古車掲載'!F95="Corolla Cross",'中古車掲載'!L95="HEV GR SPORT",'中古車掲載'!J95=2023,ISNUMBER('中古車掲載'!N95),'中古車掲載'!N95&gt;=20000,'中古車掲載'!O95&lt;=100000,'中古車掲載'!AL95=1,'中古車掲載'!Z95="https://www.one2car.com/en/cars-for-sale/toyota/corolla-cross/year-2023"),'中古車掲載'!U95,"")</x:f>
      </x:c>
      <x:c r="BH94" s="3" t="str">
        <x:f>IF(AND('中古車掲載'!C95="One2car",'中古車掲載'!F95="DOLPHIN",'中古車掲載'!L95="STANDARD RANGE",'中古車掲載'!J95=2023,ISNUMBER('中古車掲載'!N95),'中古車掲載'!N95&gt;=20000,'中古車掲載'!O95&lt;=100000,'中古車掲載'!AL95=1),'中古車掲載'!U95,"")</x:f>
      </x:c>
      <x:c r="BI94" s="3" t="str">
        <x:v>One2car|DOLPHIN|BEV|Bangkok metro</x:v>
      </x:c>
      <x:c r="BJ94" s="3" t="n">
        <x:v>97</x:v>
      </x:c>
      <x:c r="BK94" s="3" t="n">
        <x:f>'中古車掲載'!AM97</x:f>
        <x:v>437000</x:v>
      </x:c>
      <x:c r="BL94" s="3" t="str">
        <x:f>IF(ISNUMBER('中古車掲載'!AN97),'中古車掲載'!AN97,"")</x:f>
      </x:c>
      <x:c r="BM94" s="3" t="str">
        <x:v>2021|Smart cab</x:v>
      </x:c>
      <x:c r="BN94" s="3" t="n">
        <x:v>734</x:v>
      </x:c>
      <x:c r="BO94" s="3" t="n">
        <x:f>'中古車掲載'!AM734</x:f>
        <x:v>379000</x:v>
      </x:c>
      <x:c r="BP94" s="3" t="str">
        <x:v>2.4 ENTRY Z EDITION SMART CAB</x:v>
      </x:c>
      <x:c r="BQ94" s="3"/>
      <x:c r="BR94" s="3"/>
    </x:row>
    <x:row r="95" ht="22" customHeight="1">
      <x:c r="A95" s="3" t="str">
        <x:v>DOLPHIN</x:v>
      </x:c>
      <x:c r="B95" s="3" t="str">
        <x:v>BEV</x:v>
      </x:c>
      <x:c r="C95" s="3" t="str">
        <x:v>One2car</x:v>
      </x:c>
      <x:c r="D95" s="3" t="n">
        <x:v>2025</x:v>
      </x:c>
      <x:c r="E95" s="22" t="n">
        <x:f>COUNT('中古車掲載'!AM98:AM98)</x:f>
        <x:v>1</x:v>
      </x:c>
      <x:c r="F95" s="22" t="n">
        <x:f>IF(COUNT('中古車掲載'!AM98:AM98)=0,"",QUARTILE('中古車掲載'!AM98:AM98,1))</x:f>
        <x:v>447000</x:v>
      </x:c>
      <x:c r="G95" s="22" t="n">
        <x:f>IF(COUNT('中古車掲載'!AM98:AM98)=0,"",MEDIAN('中古車掲載'!AM98:AM98))</x:f>
        <x:v>447000</x:v>
      </x:c>
      <x:c r="H95" s="22" t="n">
        <x:f>IF(COUNT('中古車掲載'!AM98:AM98)=0,"",QUARTILE('中古車掲載'!AM98:AM98,3))</x:f>
        <x:v>447000</x:v>
      </x:c>
      <x:c r="I95" s="22" t="n">
        <x:f>COUNT('中古車掲載'!AN98:AN98)</x:f>
        <x:v>0</x:v>
      </x:c>
      <x:c r="J95" s="23" t="str">
        <x:f>IF(COUNT('中古車掲載'!AN98:AN98)=0,"",MEDIAN('中古車掲載'!AN98:AN98))</x:f>
      </x:c>
      <x:c r="K95" s="3"/>
      <x:c r="L95" s="3"/>
      <x:c r="M95" s="3"/>
      <x:c r="N95" s="3"/>
      <x:c r="O95" s="3"/>
      <x:c r="P95" s="3"/>
      <x:c r="Q95" s="3"/>
      <x:c r="R95" s="3"/>
      <x:c r="S95" s="3"/>
      <x:c r="T95" s="3"/>
      <x:c r="U95" s="3"/>
      <x:c r="V95" s="3"/>
      <x:c r="W95" s="3"/>
      <x:c r="X95" s="3"/>
      <x:c r="Y95" s="3"/>
      <x:c r="Z95" s="3"/>
      <x:c r="AA95" s="3"/>
      <x:c r="AB95" s="3"/>
      <x:c r="AC95" s="3"/>
      <x:c r="AD95" s="3"/>
      <x:c r="AE95" s="3"/>
      <x:c r="AF95" s="3"/>
      <x:c r="AG95" s="3"/>
      <x:c r="AH95" s="3"/>
      <x:c r="AI95" s="3"/>
      <x:c r="AJ95" s="3"/>
      <x:c r="AK95" s="3"/>
      <x:c r="AL95" s="3"/>
      <x:c r="AM95" s="3"/>
      <x:c r="AN95" s="3"/>
      <x:c r="AO95" s="3"/>
      <x:c r="AP95" s="3"/>
      <x:c r="AQ95" s="3"/>
      <x:c r="AR95" s="3"/>
      <x:c r="AS95" s="3"/>
      <x:c r="AT95" s="3"/>
      <x:c r="AU95" s="3"/>
      <x:c r="AV95" s="3"/>
      <x:c r="AW95" s="3"/>
      <x:c r="AX95" s="3"/>
      <x:c r="AY95" s="3"/>
      <x:c r="AZ95" s="3" t="str">
        <x:f>IF(AND('中古車掲載'!C96="One2car",'中古車掲載'!F96="ATTO 3",'中古車掲載'!L96="EXTENDED RANGE",'中古車掲載'!J96=2023,ISNUMBER('中古車掲載'!N96),'中古車掲載'!N96&gt;=20000,'中古車掲載'!O96&lt;=100000,'中古車掲載'!AL96=1),'中古車掲載'!U96,"")</x:f>
      </x:c>
      <x:c r="BA95" s="3" t="str">
        <x:f>IF(AND('中古車掲載'!C96="One2car",'中古車掲載'!F96="Corolla Cross",'中古車掲載'!L96="HEV PREMIUM SAFETY",'中古車掲載'!J96=2023,ISNUMBER('中古車掲載'!N96),'中古車掲載'!N96&gt;=20000,'中古車掲載'!O96&lt;=100000,'中古車掲載'!AL96=1,'中古車掲載'!Z96="https://www.one2car.com/en/cars-for-sale/toyota/corolla-cross/year-2023"),'中古車掲載'!U96,"")</x:f>
      </x:c>
      <x:c r="BB95" s="3" t="str">
        <x:f>IF(AND('中古車掲載'!C96="One2car",'中古車掲載'!F96="ATTO 3",'中古車掲載'!L96="EXTENDED RANGE",'中古車掲載'!J96=2023,ISNUMBER('中古車掲載'!N96),'中古車掲載'!N96&gt;=50000,'中古車掲載'!O96&lt;=100000,'中古車掲載'!AL96=1),'中古車掲載'!U96,"")</x:f>
      </x:c>
      <x:c r="BC95" s="3" t="str">
        <x:f>IF(AND('中古車掲載'!C96="One2car",'中古車掲載'!F96="Corolla Cross",'中古車掲載'!L96="HEV PREMIUM SAFETY",'中古車掲載'!J96=2023,ISNUMBER('中古車掲載'!N96),'中古車掲載'!N96&gt;=50000,'中古車掲載'!O96&lt;=100000,'中古車掲載'!AL96=1,'中古車掲載'!Z96="https://www.one2car.com/en/cars-for-sale/toyota/corolla-cross/year-2023"),'中古車掲載'!U96,"")</x:f>
      </x:c>
      <x:c r="BD95" s="3" t="str">
        <x:f>IF(AND('中古車掲載'!C96="One2car",'中古車掲載'!F96="ATTO 3",'中古車掲載'!L96="EXTENDED RANGE",'中古車掲載'!J96=2023,ISNUMBER('中古車掲載'!N96),'中古車掲載'!N96&gt;=20000,'中古車掲載'!O96&lt;=50000,'中古車掲載'!AL96=1),'中古車掲載'!U96,"")</x:f>
      </x:c>
      <x:c r="BE95" s="3" t="str">
        <x:f>IF(AND('中古車掲載'!C96="One2car",'中古車掲載'!F96="Corolla Cross",'中古車掲載'!L96="HEV PREMIUM SAFETY",'中古車掲載'!J96=2023,ISNUMBER('中古車掲載'!N96),'中古車掲載'!N96&gt;=20000,'中古車掲載'!O96&lt;=50000,'中古車掲載'!AL96=1,'中古車掲載'!Z96="https://www.one2car.com/en/cars-for-sale/toyota/corolla-cross/year-2023"),'中古車掲載'!U96,"")</x:f>
      </x:c>
      <x:c r="BF95" s="3" t="str">
        <x:f>IF(AND('中古車掲載'!C96="One2car",'中古車掲載'!F96="Corolla Cross",'中古車掲載'!L96="HEV PREMIUM",'中古車掲載'!J96=2023,ISNUMBER('中古車掲載'!N96),'中古車掲載'!N96&gt;=20000,'中古車掲載'!O96&lt;=100000,'中古車掲載'!AL96=1,'中古車掲載'!Z96="https://www.one2car.com/en/cars-for-sale/toyota/corolla-cross/year-2023"),'中古車掲載'!U96,"")</x:f>
      </x:c>
      <x:c r="BG95" s="3" t="str">
        <x:f>IF(AND('中古車掲載'!C96="One2car",'中古車掲載'!F96="Corolla Cross",'中古車掲載'!L96="HEV GR SPORT",'中古車掲載'!J96=2023,ISNUMBER('中古車掲載'!N96),'中古車掲載'!N96&gt;=20000,'中古車掲載'!O96&lt;=100000,'中古車掲載'!AL96=1,'中古車掲載'!Z96="https://www.one2car.com/en/cars-for-sale/toyota/corolla-cross/year-2023"),'中古車掲載'!U96,"")</x:f>
      </x:c>
      <x:c r="BH95" s="3" t="str">
        <x:f>IF(AND('中古車掲載'!C96="One2car",'中古車掲載'!F96="DOLPHIN",'中古車掲載'!L96="STANDARD RANGE",'中古車掲載'!J96=2023,ISNUMBER('中古車掲載'!N96),'中古車掲載'!N96&gt;=20000,'中古車掲載'!O96&lt;=100000,'中古車掲載'!AL96=1),'中古車掲載'!U96,"")</x:f>
      </x:c>
      <x:c r="BI95" s="3" t="str">
        <x:v>One2car|DOLPHIN|BEV|Bangkok metro</x:v>
      </x:c>
      <x:c r="BJ95" s="3" t="n">
        <x:v>98</x:v>
      </x:c>
      <x:c r="BK95" s="3" t="n">
        <x:f>'中古車掲載'!AM98</x:f>
        <x:v>447000</x:v>
      </x:c>
      <x:c r="BL95" s="3" t="str">
        <x:f>IF(ISNUMBER('中古車掲載'!AN98),'中古車掲載'!AN98,"")</x:f>
      </x:c>
      <x:c r="BM95" s="3" t="str">
        <x:v>2021|Smart cab</x:v>
      </x:c>
      <x:c r="BN95" s="3" t="n">
        <x:v>735</x:v>
      </x:c>
      <x:c r="BO95" s="3" t="n">
        <x:f>'中古車掲載'!AM735</x:f>
        <x:v>340000</x:v>
      </x:c>
      <x:c r="BP95" s="3" t="str">
        <x:v>2.4 ENTRY Z EDITION SMART CAB</x:v>
      </x:c>
      <x:c r="BQ95" s="3"/>
      <x:c r="BR95" s="3"/>
    </x:row>
    <x:row r="96" ht="22" customHeight="1">
      <x:c r="A96" s="3" t="str">
        <x:v>DOLPHIN</x:v>
      </x:c>
      <x:c r="B96" s="3" t="str">
        <x:v>BEV</x:v>
      </x:c>
      <x:c r="C96" s="3" t="str">
        <x:v>One2car</x:v>
      </x:c>
      <x:c r="D96" s="3" t="n">
        <x:v>2026</x:v>
      </x:c>
      <x:c r="E96" s="22" t="n">
        <x:f>COUNT('中古車掲載'!AM99:AM99)</x:f>
        <x:v>0</x:v>
      </x:c>
      <x:c r="F96" s="22" t="str">
        <x:f>IF(COUNT('中古車掲載'!AM99:AM99)=0,"",QUARTILE('中古車掲載'!AM99:AM99,1))</x:f>
      </x:c>
      <x:c r="G96" s="22" t="str">
        <x:f>IF(COUNT('中古車掲載'!AM99:AM99)=0,"",MEDIAN('中古車掲載'!AM99:AM99))</x:f>
      </x:c>
      <x:c r="H96" s="22" t="str">
        <x:f>IF(COUNT('中古車掲載'!AM99:AM99)=0,"",QUARTILE('中古車掲載'!AM99:AM99,3))</x:f>
      </x:c>
      <x:c r="I96" s="22" t="n">
        <x:f>COUNT('中古車掲載'!AN99:AN99)</x:f>
        <x:v>0</x:v>
      </x:c>
      <x:c r="J96" s="23" t="str">
        <x:f>IF(COUNT('中古車掲載'!AN99:AN99)=0,"",MEDIAN('中古車掲載'!AN99:AN99))</x:f>
      </x:c>
      <x:c r="K96" s="3"/>
      <x:c r="L96" s="3"/>
      <x:c r="M96" s="3"/>
      <x:c r="N96" s="3"/>
      <x:c r="O96" s="3"/>
      <x:c r="P96" s="3"/>
      <x:c r="Q96" s="3"/>
      <x:c r="R96" s="3"/>
      <x:c r="S96" s="3"/>
      <x:c r="T96" s="3"/>
      <x:c r="U96" s="3"/>
      <x:c r="V96" s="3"/>
      <x:c r="W96" s="3"/>
      <x:c r="X96" s="3"/>
      <x:c r="Y96" s="3"/>
      <x:c r="Z96" s="3"/>
      <x:c r="AA96" s="3"/>
      <x:c r="AB96" s="3"/>
      <x:c r="AC96" s="3"/>
      <x:c r="AD96" s="3"/>
      <x:c r="AE96" s="3"/>
      <x:c r="AF96" s="3"/>
      <x:c r="AG96" s="3"/>
      <x:c r="AH96" s="3"/>
      <x:c r="AI96" s="3"/>
      <x:c r="AJ96" s="3"/>
      <x:c r="AK96" s="3"/>
      <x:c r="AL96" s="3"/>
      <x:c r="AM96" s="3"/>
      <x:c r="AN96" s="3"/>
      <x:c r="AO96" s="3"/>
      <x:c r="AP96" s="3"/>
      <x:c r="AQ96" s="3"/>
      <x:c r="AR96" s="3"/>
      <x:c r="AS96" s="3"/>
      <x:c r="AT96" s="3"/>
      <x:c r="AU96" s="3"/>
      <x:c r="AV96" s="3"/>
      <x:c r="AW96" s="3"/>
      <x:c r="AX96" s="3"/>
      <x:c r="AY96" s="3"/>
      <x:c r="AZ96" s="3" t="str">
        <x:f>IF(AND('中古車掲載'!C97="One2car",'中古車掲載'!F97="ATTO 3",'中古車掲載'!L97="EXTENDED RANGE",'中古車掲載'!J97=2023,ISNUMBER('中古車掲載'!N97),'中古車掲載'!N97&gt;=20000,'中古車掲載'!O97&lt;=100000,'中古車掲載'!AL97=1),'中古車掲載'!U97,"")</x:f>
      </x:c>
      <x:c r="BA96" s="3" t="str">
        <x:f>IF(AND('中古車掲載'!C97="One2car",'中古車掲載'!F97="Corolla Cross",'中古車掲載'!L97="HEV PREMIUM SAFETY",'中古車掲載'!J97=2023,ISNUMBER('中古車掲載'!N97),'中古車掲載'!N97&gt;=20000,'中古車掲載'!O97&lt;=100000,'中古車掲載'!AL97=1,'中古車掲載'!Z97="https://www.one2car.com/en/cars-for-sale/toyota/corolla-cross/year-2023"),'中古車掲載'!U97,"")</x:f>
      </x:c>
      <x:c r="BB96" s="3" t="str">
        <x:f>IF(AND('中古車掲載'!C97="One2car",'中古車掲載'!F97="ATTO 3",'中古車掲載'!L97="EXTENDED RANGE",'中古車掲載'!J97=2023,ISNUMBER('中古車掲載'!N97),'中古車掲載'!N97&gt;=50000,'中古車掲載'!O97&lt;=100000,'中古車掲載'!AL97=1),'中古車掲載'!U97,"")</x:f>
      </x:c>
      <x:c r="BC96" s="3" t="str">
        <x:f>IF(AND('中古車掲載'!C97="One2car",'中古車掲載'!F97="Corolla Cross",'中古車掲載'!L97="HEV PREMIUM SAFETY",'中古車掲載'!J97=2023,ISNUMBER('中古車掲載'!N97),'中古車掲載'!N97&gt;=50000,'中古車掲載'!O97&lt;=100000,'中古車掲載'!AL97=1,'中古車掲載'!Z97="https://www.one2car.com/en/cars-for-sale/toyota/corolla-cross/year-2023"),'中古車掲載'!U97,"")</x:f>
      </x:c>
      <x:c r="BD96" s="3" t="str">
        <x:f>IF(AND('中古車掲載'!C97="One2car",'中古車掲載'!F97="ATTO 3",'中古車掲載'!L97="EXTENDED RANGE",'中古車掲載'!J97=2023,ISNUMBER('中古車掲載'!N97),'中古車掲載'!N97&gt;=20000,'中古車掲載'!O97&lt;=50000,'中古車掲載'!AL97=1),'中古車掲載'!U97,"")</x:f>
      </x:c>
      <x:c r="BE96" s="3" t="str">
        <x:f>IF(AND('中古車掲載'!C97="One2car",'中古車掲載'!F97="Corolla Cross",'中古車掲載'!L97="HEV PREMIUM SAFETY",'中古車掲載'!J97=2023,ISNUMBER('中古車掲載'!N97),'中古車掲載'!N97&gt;=20000,'中古車掲載'!O97&lt;=50000,'中古車掲載'!AL97=1,'中古車掲載'!Z97="https://www.one2car.com/en/cars-for-sale/toyota/corolla-cross/year-2023"),'中古車掲載'!U97,"")</x:f>
      </x:c>
      <x:c r="BF96" s="3" t="str">
        <x:f>IF(AND('中古車掲載'!C97="One2car",'中古車掲載'!F97="Corolla Cross",'中古車掲載'!L97="HEV PREMIUM",'中古車掲載'!J97=2023,ISNUMBER('中古車掲載'!N97),'中古車掲載'!N97&gt;=20000,'中古車掲載'!O97&lt;=100000,'中古車掲載'!AL97=1,'中古車掲載'!Z97="https://www.one2car.com/en/cars-for-sale/toyota/corolla-cross/year-2023"),'中古車掲載'!U97,"")</x:f>
      </x:c>
      <x:c r="BG96" s="3" t="str">
        <x:f>IF(AND('中古車掲載'!C97="One2car",'中古車掲載'!F97="Corolla Cross",'中古車掲載'!L97="HEV GR SPORT",'中古車掲載'!J97=2023,ISNUMBER('中古車掲載'!N97),'中古車掲載'!N97&gt;=20000,'中古車掲載'!O97&lt;=100000,'中古車掲載'!AL97=1,'中古車掲載'!Z97="https://www.one2car.com/en/cars-for-sale/toyota/corolla-cross/year-2023"),'中古車掲載'!U97,"")</x:f>
      </x:c>
      <x:c r="BH96" s="3" t="str">
        <x:f>IF(AND('中古車掲載'!C97="One2car",'中古車掲載'!F97="DOLPHIN",'中古車掲載'!L97="STANDARD RANGE",'中古車掲載'!J97=2023,ISNUMBER('中古車掲載'!N97),'中古車掲載'!N97&gt;=20000,'中古車掲載'!O97&lt;=100000,'中古車掲載'!AL97=1),'中古車掲載'!U97,"")</x:f>
      </x:c>
      <x:c r="BI96" s="3" t="str">
        <x:v>One2car|DOLPHIN|BEV|Bangkok metro</x:v>
      </x:c>
      <x:c r="BJ96" s="3" t="n">
        <x:v>99</x:v>
      </x:c>
      <x:c r="BK96" s="3" t="str">
        <x:f>'中古車掲載'!AM99</x:f>
      </x:c>
      <x:c r="BL96" s="3" t="str">
        <x:f>IF(ISNUMBER('中古車掲載'!AN99),'中古車掲載'!AN99,"")</x:f>
      </x:c>
      <x:c r="BM96" s="3" t="str">
        <x:v>2021|Smart cab</x:v>
      </x:c>
      <x:c r="BN96" s="3" t="n">
        <x:v>736</x:v>
      </x:c>
      <x:c r="BO96" s="3" t="n">
        <x:f>'中古車掲載'!AM736</x:f>
        <x:v>399000</x:v>
      </x:c>
      <x:c r="BP96" s="3" t="str">
        <x:v>2.4 ENTRY Z EDITION SMART CAB</x:v>
      </x:c>
      <x:c r="BQ96" s="3"/>
      <x:c r="BR96" s="3"/>
    </x:row>
    <x:row r="97" ht="22" customHeight="1">
      <x:c r="A97" s="3" t="str">
        <x:v>Fortuner</x:v>
      </x:c>
      <x:c r="B97" s="3" t="str">
        <x:v>ICE</x:v>
      </x:c>
      <x:c r="C97" s="3" t="str">
        <x:v>One2car</x:v>
      </x:c>
      <x:c r="D97" s="3" t="n">
        <x:v>2020</x:v>
      </x:c>
      <x:c r="E97" s="22" t="n">
        <x:f>COUNT('中古車掲載'!AM100:AM103)</x:f>
        <x:v>4</x:v>
      </x:c>
      <x:c r="F97" s="22" t="n">
        <x:f>IF(COUNT('中古車掲載'!AM100:AM103)=0,"",QUARTILE('中古車掲載'!AM100:AM103,1))</x:f>
        <x:v>791500</x:v>
      </x:c>
      <x:c r="G97" s="22" t="n">
        <x:f>IF(COUNT('中古車掲載'!AM100:AM103)=0,"",MEDIAN('中古車掲載'!AM100:AM103))</x:f>
        <x:v>849000</x:v>
      </x:c>
      <x:c r="H97" s="22" t="n">
        <x:f>IF(COUNT('中古車掲載'!AM100:AM103)=0,"",QUARTILE('中古車掲載'!AM100:AM103,3))</x:f>
        <x:v>899000</x:v>
      </x:c>
      <x:c r="I97" s="22" t="n">
        <x:f>COUNT('中古車掲載'!AN100:AN103)</x:f>
        <x:v>0</x:v>
      </x:c>
      <x:c r="J97" s="23" t="str">
        <x:f>IF(COUNT('中古車掲載'!AN100:AN103)=0,"",MEDIAN('中古車掲載'!AN100:AN103))</x:f>
      </x:c>
      <x:c r="K97" s="3"/>
      <x:c r="L97" s="3"/>
      <x:c r="M97" s="3"/>
      <x:c r="N97" s="3"/>
      <x:c r="O97" s="3"/>
      <x:c r="P97" s="3"/>
      <x:c r="Q97" s="3"/>
      <x:c r="R97" s="3"/>
      <x:c r="S97" s="3"/>
      <x:c r="T97" s="3"/>
      <x:c r="U97" s="3"/>
      <x:c r="V97" s="3"/>
      <x:c r="W97" s="3"/>
      <x:c r="X97" s="3"/>
      <x:c r="Y97" s="3"/>
      <x:c r="Z97" s="3"/>
      <x:c r="AA97" s="3"/>
      <x:c r="AB97" s="3"/>
      <x:c r="AC97" s="3"/>
      <x:c r="AD97" s="3"/>
      <x:c r="AE97" s="3"/>
      <x:c r="AF97" s="3"/>
      <x:c r="AG97" s="3"/>
      <x:c r="AH97" s="3"/>
      <x:c r="AI97" s="3"/>
      <x:c r="AJ97" s="3"/>
      <x:c r="AK97" s="3"/>
      <x:c r="AL97" s="3"/>
      <x:c r="AM97" s="3"/>
      <x:c r="AN97" s="3"/>
      <x:c r="AO97" s="3"/>
      <x:c r="AP97" s="3"/>
      <x:c r="AQ97" s="3"/>
      <x:c r="AR97" s="3"/>
      <x:c r="AS97" s="3"/>
      <x:c r="AT97" s="3"/>
      <x:c r="AU97" s="3"/>
      <x:c r="AV97" s="3"/>
      <x:c r="AW97" s="3"/>
      <x:c r="AX97" s="3"/>
      <x:c r="AY97" s="3"/>
      <x:c r="AZ97" s="3" t="str">
        <x:f>IF(AND('中古車掲載'!C98="One2car",'中古車掲載'!F98="ATTO 3",'中古車掲載'!L98="EXTENDED RANGE",'中古車掲載'!J98=2023,ISNUMBER('中古車掲載'!N98),'中古車掲載'!N98&gt;=20000,'中古車掲載'!O98&lt;=100000,'中古車掲載'!AL98=1),'中古車掲載'!U98,"")</x:f>
      </x:c>
      <x:c r="BA97" s="3" t="str">
        <x:f>IF(AND('中古車掲載'!C98="One2car",'中古車掲載'!F98="Corolla Cross",'中古車掲載'!L98="HEV PREMIUM SAFETY",'中古車掲載'!J98=2023,ISNUMBER('中古車掲載'!N98),'中古車掲載'!N98&gt;=20000,'中古車掲載'!O98&lt;=100000,'中古車掲載'!AL98=1,'中古車掲載'!Z98="https://www.one2car.com/en/cars-for-sale/toyota/corolla-cross/year-2023"),'中古車掲載'!U98,"")</x:f>
      </x:c>
      <x:c r="BB97" s="3" t="str">
        <x:f>IF(AND('中古車掲載'!C98="One2car",'中古車掲載'!F98="ATTO 3",'中古車掲載'!L98="EXTENDED RANGE",'中古車掲載'!J98=2023,ISNUMBER('中古車掲載'!N98),'中古車掲載'!N98&gt;=50000,'中古車掲載'!O98&lt;=100000,'中古車掲載'!AL98=1),'中古車掲載'!U98,"")</x:f>
      </x:c>
      <x:c r="BC97" s="3" t="str">
        <x:f>IF(AND('中古車掲載'!C98="One2car",'中古車掲載'!F98="Corolla Cross",'中古車掲載'!L98="HEV PREMIUM SAFETY",'中古車掲載'!J98=2023,ISNUMBER('中古車掲載'!N98),'中古車掲載'!N98&gt;=50000,'中古車掲載'!O98&lt;=100000,'中古車掲載'!AL98=1,'中古車掲載'!Z98="https://www.one2car.com/en/cars-for-sale/toyota/corolla-cross/year-2023"),'中古車掲載'!U98,"")</x:f>
      </x:c>
      <x:c r="BD97" s="3" t="str">
        <x:f>IF(AND('中古車掲載'!C98="One2car",'中古車掲載'!F98="ATTO 3",'中古車掲載'!L98="EXTENDED RANGE",'中古車掲載'!J98=2023,ISNUMBER('中古車掲載'!N98),'中古車掲載'!N98&gt;=20000,'中古車掲載'!O98&lt;=50000,'中古車掲載'!AL98=1),'中古車掲載'!U98,"")</x:f>
      </x:c>
      <x:c r="BE97" s="3" t="str">
        <x:f>IF(AND('中古車掲載'!C98="One2car",'中古車掲載'!F98="Corolla Cross",'中古車掲載'!L98="HEV PREMIUM SAFETY",'中古車掲載'!J98=2023,ISNUMBER('中古車掲載'!N98),'中古車掲載'!N98&gt;=20000,'中古車掲載'!O98&lt;=50000,'中古車掲載'!AL98=1,'中古車掲載'!Z98="https://www.one2car.com/en/cars-for-sale/toyota/corolla-cross/year-2023"),'中古車掲載'!U98,"")</x:f>
      </x:c>
      <x:c r="BF97" s="3" t="str">
        <x:f>IF(AND('中古車掲載'!C98="One2car",'中古車掲載'!F98="Corolla Cross",'中古車掲載'!L98="HEV PREMIUM",'中古車掲載'!J98=2023,ISNUMBER('中古車掲載'!N98),'中古車掲載'!N98&gt;=20000,'中古車掲載'!O98&lt;=100000,'中古車掲載'!AL98=1,'中古車掲載'!Z98="https://www.one2car.com/en/cars-for-sale/toyota/corolla-cross/year-2023"),'中古車掲載'!U98,"")</x:f>
      </x:c>
      <x:c r="BG97" s="3" t="str">
        <x:f>IF(AND('中古車掲載'!C98="One2car",'中古車掲載'!F98="Corolla Cross",'中古車掲載'!L98="HEV GR SPORT",'中古車掲載'!J98=2023,ISNUMBER('中古車掲載'!N98),'中古車掲載'!N98&gt;=20000,'中古車掲載'!O98&lt;=100000,'中古車掲載'!AL98=1,'中古車掲載'!Z98="https://www.one2car.com/en/cars-for-sale/toyota/corolla-cross/year-2023"),'中古車掲載'!U98,"")</x:f>
      </x:c>
      <x:c r="BH97" s="3" t="str">
        <x:f>IF(AND('中古車掲載'!C98="One2car",'中古車掲載'!F98="DOLPHIN",'中古車掲載'!L98="STANDARD RANGE",'中古車掲載'!J98=2023,ISNUMBER('中古車掲載'!N98),'中古車掲載'!N98&gt;=20000,'中古車掲載'!O98&lt;=100000,'中古車掲載'!AL98=1),'中古車掲載'!U98,"")</x:f>
      </x:c>
      <x:c r="BI97" s="3" t="str">
        <x:v>One2car|DOLPHIN|BEV|Other province</x:v>
      </x:c>
      <x:c r="BJ97" s="3" t="n">
        <x:v>87</x:v>
      </x:c>
      <x:c r="BK97" s="3" t="n">
        <x:f>'中古車掲載'!AM87</x:f>
        <x:v>299000</x:v>
      </x:c>
      <x:c r="BL97" s="3" t="n">
        <x:f>IF(ISNUMBER('中古車掲載'!AN87),'中古車掲載'!AN87,"")</x:f>
        <x:v>0.4271434673478105</x:v>
      </x:c>
      <x:c r="BM97" s="3" t="str">
        <x:v>2021|Smart cab</x:v>
      </x:c>
      <x:c r="BN97" s="3" t="n">
        <x:v>737</x:v>
      </x:c>
      <x:c r="BO97" s="3" t="n">
        <x:f>'中古車掲載'!AM737</x:f>
        <x:v>319000</x:v>
      </x:c>
      <x:c r="BP97" s="3" t="str">
        <x:v>2.4 ENTRY Z EDITION SMART CAB</x:v>
      </x:c>
      <x:c r="BQ97" s="3"/>
      <x:c r="BR97" s="3"/>
    </x:row>
    <x:row r="98" ht="30" customHeight="1">
      <x:c r="A98" s="3" t="str">
        <x:v>Fortuner</x:v>
      </x:c>
      <x:c r="B98" s="3" t="str">
        <x:v>ICE</x:v>
      </x:c>
      <x:c r="C98" s="3" t="str">
        <x:v>One2car</x:v>
      </x:c>
      <x:c r="D98" s="3" t="n">
        <x:v>2021</x:v>
      </x:c>
      <x:c r="E98" s="22" t="n">
        <x:f>COUNT('中古車掲載'!AM104:AM108)</x:f>
        <x:v>5</x:v>
      </x:c>
      <x:c r="F98" s="22" t="n">
        <x:f>IF(COUNT('中古車掲載'!AM104:AM108)=0,"",QUARTILE('中古車掲載'!AM104:AM108,1))</x:f>
        <x:v>779000</x:v>
      </x:c>
      <x:c r="G98" s="22" t="n">
        <x:f>IF(COUNT('中古車掲載'!AM104:AM108)=0,"",MEDIAN('中古車掲載'!AM104:AM108))</x:f>
        <x:v>799000</x:v>
      </x:c>
      <x:c r="H98" s="22" t="n">
        <x:f>IF(COUNT('中古車掲載'!AM104:AM108)=0,"",QUARTILE('中古車掲載'!AM104:AM108,3))</x:f>
        <x:v>1070000</x:v>
      </x:c>
      <x:c r="I98" s="22" t="n">
        <x:f>COUNT('中古車掲載'!AN104:AN108)</x:f>
        <x:v>0</x:v>
      </x:c>
      <x:c r="J98" s="23" t="str">
        <x:f>IF(COUNT('中古車掲載'!AN104:AN108)=0,"",MEDIAN('中古車掲載'!AN104:AN108))</x:f>
      </x:c>
      <x:c r="K98" s="3"/>
      <x:c r="L98" s="3"/>
      <x:c r="M98" s="3"/>
      <x:c r="N98" s="3"/>
      <x:c r="O98" s="3"/>
      <x:c r="P98" s="3"/>
      <x:c r="Q98" s="3"/>
      <x:c r="R98" s="3"/>
      <x:c r="S98" s="3"/>
      <x:c r="T98" s="3"/>
      <x:c r="U98" s="3"/>
      <x:c r="V98" s="3"/>
      <x:c r="W98" s="3"/>
      <x:c r="X98" s="3"/>
      <x:c r="Y98" s="3"/>
      <x:c r="Z98" s="3"/>
      <x:c r="AA98" s="16" t="str">
        <x:v>中古／当時公表通常価格</x:v>
      </x:c>
      <x:c r="AB98" s="21" t="str">
        <x:v>ATTO 3 Ext（N=7）</x:v>
      </x:c>
      <x:c r="AC98" s="17" t="str">
        <x:v>Cross Safety（N=5）</x:v>
      </x:c>
      <x:c r="AD98" s="3"/>
      <x:c r="AE98" s="3"/>
      <x:c r="AF98" s="3"/>
      <x:c r="AG98" s="3"/>
      <x:c r="AH98" s="3"/>
      <x:c r="AI98" s="3"/>
      <x:c r="AJ98" s="3"/>
      <x:c r="AK98" s="3"/>
      <x:c r="AL98" s="3"/>
      <x:c r="AM98" s="3"/>
      <x:c r="AN98" s="3"/>
      <x:c r="AO98" s="3"/>
      <x:c r="AP98" s="3"/>
      <x:c r="AQ98" s="3"/>
      <x:c r="AR98" s="3"/>
      <x:c r="AS98" s="3"/>
      <x:c r="AT98" s="3"/>
      <x:c r="AU98" s="3"/>
      <x:c r="AV98" s="3"/>
      <x:c r="AW98" s="3"/>
      <x:c r="AX98" s="3"/>
      <x:c r="AY98" s="3"/>
      <x:c r="AZ98" s="3" t="str">
        <x:f>IF(AND('中古車掲載'!C99="One2car",'中古車掲載'!F99="ATTO 3",'中古車掲載'!L99="EXTENDED RANGE",'中古車掲載'!J99=2023,ISNUMBER('中古車掲載'!N99),'中古車掲載'!N99&gt;=20000,'中古車掲載'!O99&lt;=100000,'中古車掲載'!AL99=1),'中古車掲載'!U99,"")</x:f>
      </x:c>
      <x:c r="BA98" s="3" t="str">
        <x:f>IF(AND('中古車掲載'!C99="One2car",'中古車掲載'!F99="Corolla Cross",'中古車掲載'!L99="HEV PREMIUM SAFETY",'中古車掲載'!J99=2023,ISNUMBER('中古車掲載'!N99),'中古車掲載'!N99&gt;=20000,'中古車掲載'!O99&lt;=100000,'中古車掲載'!AL99=1,'中古車掲載'!Z99="https://www.one2car.com/en/cars-for-sale/toyota/corolla-cross/year-2023"),'中古車掲載'!U99,"")</x:f>
      </x:c>
      <x:c r="BB98" s="3" t="str">
        <x:f>IF(AND('中古車掲載'!C99="One2car",'中古車掲載'!F99="ATTO 3",'中古車掲載'!L99="EXTENDED RANGE",'中古車掲載'!J99=2023,ISNUMBER('中古車掲載'!N99),'中古車掲載'!N99&gt;=50000,'中古車掲載'!O99&lt;=100000,'中古車掲載'!AL99=1),'中古車掲載'!U99,"")</x:f>
      </x:c>
      <x:c r="BC98" s="3" t="str">
        <x:f>IF(AND('中古車掲載'!C99="One2car",'中古車掲載'!F99="Corolla Cross",'中古車掲載'!L99="HEV PREMIUM SAFETY",'中古車掲載'!J99=2023,ISNUMBER('中古車掲載'!N99),'中古車掲載'!N99&gt;=50000,'中古車掲載'!O99&lt;=100000,'中古車掲載'!AL99=1,'中古車掲載'!Z99="https://www.one2car.com/en/cars-for-sale/toyota/corolla-cross/year-2023"),'中古車掲載'!U99,"")</x:f>
      </x:c>
      <x:c r="BD98" s="3" t="str">
        <x:f>IF(AND('中古車掲載'!C99="One2car",'中古車掲載'!F99="ATTO 3",'中古車掲載'!L99="EXTENDED RANGE",'中古車掲載'!J99=2023,ISNUMBER('中古車掲載'!N99),'中古車掲載'!N99&gt;=20000,'中古車掲載'!O99&lt;=50000,'中古車掲載'!AL99=1),'中古車掲載'!U99,"")</x:f>
      </x:c>
      <x:c r="BE98" s="3" t="str">
        <x:f>IF(AND('中古車掲載'!C99="One2car",'中古車掲載'!F99="Corolla Cross",'中古車掲載'!L99="HEV PREMIUM SAFETY",'中古車掲載'!J99=2023,ISNUMBER('中古車掲載'!N99),'中古車掲載'!N99&gt;=20000,'中古車掲載'!O99&lt;=50000,'中古車掲載'!AL99=1,'中古車掲載'!Z99="https://www.one2car.com/en/cars-for-sale/toyota/corolla-cross/year-2023"),'中古車掲載'!U99,"")</x:f>
      </x:c>
      <x:c r="BF98" s="3" t="str">
        <x:f>IF(AND('中古車掲載'!C99="One2car",'中古車掲載'!F99="Corolla Cross",'中古車掲載'!L99="HEV PREMIUM",'中古車掲載'!J99=2023,ISNUMBER('中古車掲載'!N99),'中古車掲載'!N99&gt;=20000,'中古車掲載'!O99&lt;=100000,'中古車掲載'!AL99=1,'中古車掲載'!Z99="https://www.one2car.com/en/cars-for-sale/toyota/corolla-cross/year-2023"),'中古車掲載'!U99,"")</x:f>
      </x:c>
      <x:c r="BG98" s="3" t="str">
        <x:f>IF(AND('中古車掲載'!C99="One2car",'中古車掲載'!F99="Corolla Cross",'中古車掲載'!L99="HEV GR SPORT",'中古車掲載'!J99=2023,ISNUMBER('中古車掲載'!N99),'中古車掲載'!N99&gt;=20000,'中古車掲載'!O99&lt;=100000,'中古車掲載'!AL99=1,'中古車掲載'!Z99="https://www.one2car.com/en/cars-for-sale/toyota/corolla-cross/year-2023"),'中古車掲載'!U99,"")</x:f>
      </x:c>
      <x:c r="BH98" s="3" t="str">
        <x:f>IF(AND('中古車掲載'!C99="One2car",'中古車掲載'!F99="DOLPHIN",'中古車掲載'!L99="STANDARD RANGE",'中古車掲載'!J99=2023,ISNUMBER('中古車掲載'!N99),'中古車掲載'!N99&gt;=20000,'中古車掲載'!O99&lt;=100000,'中古車掲載'!AL99=1),'中古車掲載'!U99,"")</x:f>
      </x:c>
      <x:c r="BI98" s="3" t="str">
        <x:v>One2car|DOLPHIN|BEV|Other province</x:v>
      </x:c>
      <x:c r="BJ98" s="3" t="n">
        <x:v>88</x:v>
      </x:c>
      <x:c r="BK98" s="3" t="n">
        <x:f>'中古車掲載'!AM88</x:f>
        <x:v>309000</x:v>
      </x:c>
      <x:c r="BL98" s="3" t="n">
        <x:f>IF(ISNUMBER('中古車掲載'!AN88),'中古車掲載'!AN88,"")</x:f>
        <x:v>0.4414292020417172</x:v>
      </x:c>
      <x:c r="BM98" s="3" t="str">
        <x:v>2021|Smart cab</x:v>
      </x:c>
      <x:c r="BN98" s="3" t="n">
        <x:v>738</x:v>
      </x:c>
      <x:c r="BO98" s="3" t="n">
        <x:f>'中古車掲載'!AM738</x:f>
        <x:v>439000</x:v>
      </x:c>
      <x:c r="BP98" s="3" t="str">
        <x:v>2.4 ENTRY Z EDITION SMART CAB</x:v>
      </x:c>
      <x:c r="BQ98" s="3"/>
      <x:c r="BR98" s="3"/>
    </x:row>
    <x:row r="99" ht="22" customHeight="1">
      <x:c r="A99" s="3" t="str">
        <x:v>Fortuner</x:v>
      </x:c>
      <x:c r="B99" s="3" t="str">
        <x:v>ICE</x:v>
      </x:c>
      <x:c r="C99" s="3" t="str">
        <x:v>One2car</x:v>
      </x:c>
      <x:c r="D99" s="3" t="n">
        <x:v>2022</x:v>
      </x:c>
      <x:c r="E99" s="22" t="n">
        <x:f>COUNT('中古車掲載'!AM109:AM112)</x:f>
        <x:v>4</x:v>
      </x:c>
      <x:c r="F99" s="22" t="n">
        <x:f>IF(COUNT('中古車掲載'!AM109:AM112)=0,"",QUARTILE('中古車掲載'!AM109:AM112,1))</x:f>
        <x:v>874000</x:v>
      </x:c>
      <x:c r="G99" s="22" t="n">
        <x:f>IF(COUNT('中古車掲載'!AM109:AM112)=0,"",MEDIAN('中古車掲載'!AM109:AM112))</x:f>
        <x:v>939000</x:v>
      </x:c>
      <x:c r="H99" s="22" t="n">
        <x:f>IF(COUNT('中古車掲載'!AM109:AM112)=0,"",QUARTILE('中古車掲載'!AM109:AM112,3))</x:f>
        <x:v>1021750</x:v>
      </x:c>
      <x:c r="I99" s="22" t="n">
        <x:f>COUNT('中古車掲載'!AN109:AN112)</x:f>
        <x:v>0</x:v>
      </x:c>
      <x:c r="J99" s="23" t="str">
        <x:f>IF(COUNT('中古車掲載'!AN109:AN112)=0,"",MEDIAN('中古車掲載'!AN109:AN112))</x:f>
      </x:c>
      <x:c r="K99" s="3"/>
      <x:c r="L99" s="3"/>
      <x:c r="M99" s="3"/>
      <x:c r="N99" s="3"/>
      <x:c r="O99" s="3"/>
      <x:c r="P99" s="3"/>
      <x:c r="Q99" s="3"/>
      <x:c r="R99" s="3"/>
      <x:c r="S99" s="3"/>
      <x:c r="T99" s="3"/>
      <x:c r="U99" s="3"/>
      <x:c r="V99" s="3"/>
      <x:c r="W99" s="3"/>
      <x:c r="X99" s="3"/>
      <x:c r="Y99" s="3"/>
      <x:c r="Z99" s="3"/>
      <x:c r="AA99" s="3" t="str">
        <x:v>2023年式／20–100千km</x:v>
      </x:c>
      <x:c r="AB99" s="23" t="n">
        <x:f>AG7</x:f>
        <x:v>0.38919909992499374</x:v>
      </x:c>
      <x:c r="AC99" s="23" t="n">
        <x:f>AG8</x:f>
        <x:v>0.6303986710963455</x:v>
      </x:c>
      <x:c r="AD99" s="3"/>
      <x:c r="AE99" s="3"/>
      <x:c r="AF99" s="3"/>
      <x:c r="AG99" s="3"/>
      <x:c r="AH99" s="3"/>
      <x:c r="AI99" s="3"/>
      <x:c r="AJ99" s="3"/>
      <x:c r="AK99" s="3"/>
      <x:c r="AL99" s="3"/>
      <x:c r="AM99" s="3"/>
      <x:c r="AN99" s="3"/>
      <x:c r="AO99" s="3"/>
      <x:c r="AP99" s="3"/>
      <x:c r="AQ99" s="3"/>
      <x:c r="AR99" s="3"/>
      <x:c r="AS99" s="3"/>
      <x:c r="AT99" s="3"/>
      <x:c r="AU99" s="3"/>
      <x:c r="AV99" s="3"/>
      <x:c r="AW99" s="3"/>
      <x:c r="AX99" s="3"/>
      <x:c r="AY99" s="3"/>
      <x:c r="AZ99" s="3" t="str">
        <x:f>IF(AND('中古車掲載'!C100="One2car",'中古車掲載'!F100="ATTO 3",'中古車掲載'!L100="EXTENDED RANGE",'中古車掲載'!J100=2023,ISNUMBER('中古車掲載'!N100),'中古車掲載'!N100&gt;=20000,'中古車掲載'!O100&lt;=100000,'中古車掲載'!AL100=1),'中古車掲載'!U100,"")</x:f>
      </x:c>
      <x:c r="BA99" s="3" t="str">
        <x:f>IF(AND('中古車掲載'!C100="One2car",'中古車掲載'!F100="Corolla Cross",'中古車掲載'!L100="HEV PREMIUM SAFETY",'中古車掲載'!J100=2023,ISNUMBER('中古車掲載'!N100),'中古車掲載'!N100&gt;=20000,'中古車掲載'!O100&lt;=100000,'中古車掲載'!AL100=1,'中古車掲載'!Z100="https://www.one2car.com/en/cars-for-sale/toyota/corolla-cross/year-2023"),'中古車掲載'!U100,"")</x:f>
      </x:c>
      <x:c r="BB99" s="3" t="str">
        <x:f>IF(AND('中古車掲載'!C100="One2car",'中古車掲載'!F100="ATTO 3",'中古車掲載'!L100="EXTENDED RANGE",'中古車掲載'!J100=2023,ISNUMBER('中古車掲載'!N100),'中古車掲載'!N100&gt;=50000,'中古車掲載'!O100&lt;=100000,'中古車掲載'!AL100=1),'中古車掲載'!U100,"")</x:f>
      </x:c>
      <x:c r="BC99" s="3" t="str">
        <x:f>IF(AND('中古車掲載'!C100="One2car",'中古車掲載'!F100="Corolla Cross",'中古車掲載'!L100="HEV PREMIUM SAFETY",'中古車掲載'!J100=2023,ISNUMBER('中古車掲載'!N100),'中古車掲載'!N100&gt;=50000,'中古車掲載'!O100&lt;=100000,'中古車掲載'!AL100=1,'中古車掲載'!Z100="https://www.one2car.com/en/cars-for-sale/toyota/corolla-cross/year-2023"),'中古車掲載'!U100,"")</x:f>
      </x:c>
      <x:c r="BD99" s="3" t="str">
        <x:f>IF(AND('中古車掲載'!C100="One2car",'中古車掲載'!F100="ATTO 3",'中古車掲載'!L100="EXTENDED RANGE",'中古車掲載'!J100=2023,ISNUMBER('中古車掲載'!N100),'中古車掲載'!N100&gt;=20000,'中古車掲載'!O100&lt;=50000,'中古車掲載'!AL100=1),'中古車掲載'!U100,"")</x:f>
      </x:c>
      <x:c r="BE99" s="3" t="str">
        <x:f>IF(AND('中古車掲載'!C100="One2car",'中古車掲載'!F100="Corolla Cross",'中古車掲載'!L100="HEV PREMIUM SAFETY",'中古車掲載'!J100=2023,ISNUMBER('中古車掲載'!N100),'中古車掲載'!N100&gt;=20000,'中古車掲載'!O100&lt;=50000,'中古車掲載'!AL100=1,'中古車掲載'!Z100="https://www.one2car.com/en/cars-for-sale/toyota/corolla-cross/year-2023"),'中古車掲載'!U100,"")</x:f>
      </x:c>
      <x:c r="BF99" s="3" t="str">
        <x:f>IF(AND('中古車掲載'!C100="One2car",'中古車掲載'!F100="Corolla Cross",'中古車掲載'!L100="HEV PREMIUM",'中古車掲載'!J100=2023,ISNUMBER('中古車掲載'!N100),'中古車掲載'!N100&gt;=20000,'中古車掲載'!O100&lt;=100000,'中古車掲載'!AL100=1,'中古車掲載'!Z100="https://www.one2car.com/en/cars-for-sale/toyota/corolla-cross/year-2023"),'中古車掲載'!U100,"")</x:f>
      </x:c>
      <x:c r="BG99" s="3" t="str">
        <x:f>IF(AND('中古車掲載'!C100="One2car",'中古車掲載'!F100="Corolla Cross",'中古車掲載'!L100="HEV GR SPORT",'中古車掲載'!J100=2023,ISNUMBER('中古車掲載'!N100),'中古車掲載'!N100&gt;=20000,'中古車掲載'!O100&lt;=100000,'中古車掲載'!AL100=1,'中古車掲載'!Z100="https://www.one2car.com/en/cars-for-sale/toyota/corolla-cross/year-2023"),'中古車掲載'!U100,"")</x:f>
      </x:c>
      <x:c r="BH99" s="3" t="str">
        <x:f>IF(AND('中古車掲載'!C100="One2car",'中古車掲載'!F100="DOLPHIN",'中古車掲載'!L100="STANDARD RANGE",'中古車掲載'!J100=2023,ISNUMBER('中古車掲載'!N100),'中古車掲載'!N100&gt;=20000,'中古車掲載'!O100&lt;=100000,'中古車掲載'!AL100=1),'中古車掲載'!U100,"")</x:f>
      </x:c>
      <x:c r="BI99" s="3" t="str">
        <x:v>One2car|Fortuner|ICE|Bangkok metro</x:v>
      </x:c>
      <x:c r="BJ99" s="3" t="n">
        <x:v>100</x:v>
      </x:c>
      <x:c r="BK99" s="3" t="n">
        <x:f>'中古車掲載'!AM100</x:f>
        <x:v>799000</x:v>
      </x:c>
      <x:c r="BL99" s="3" t="str">
        <x:f>IF(ISNUMBER('中古車掲載'!AN100),'中古車掲載'!AN100,"")</x:f>
      </x:c>
      <x:c r="BM99" s="3" t="str">
        <x:v>2021|Smart cab</x:v>
      </x:c>
      <x:c r="BN99" s="3" t="n">
        <x:v>739</x:v>
      </x:c>
      <x:c r="BO99" s="3" t="n">
        <x:f>'中古車掲載'!AM739</x:f>
        <x:v>409000</x:v>
      </x:c>
      <x:c r="BP99" s="3" t="str">
        <x:v>2.4 ENTRY Z EDITION SMART CAB</x:v>
      </x:c>
      <x:c r="BQ99" s="3"/>
      <x:c r="BR99" s="3"/>
    </x:row>
    <x:row r="100" ht="22" customHeight="1">
      <x:c r="A100" s="3" t="str">
        <x:v>Fortuner</x:v>
      </x:c>
      <x:c r="B100" s="3" t="str">
        <x:v>ICE</x:v>
      </x:c>
      <x:c r="C100" s="3" t="str">
        <x:v>One2car</x:v>
      </x:c>
      <x:c r="D100" s="3" t="n">
        <x:v>2024</x:v>
      </x:c>
      <x:c r="E100" s="22" t="n">
        <x:f>COUNT('中古車掲載'!AM113:AM115)</x:f>
        <x:v>3</x:v>
      </x:c>
      <x:c r="F100" s="22" t="n">
        <x:f>IF(COUNT('中古車掲載'!AM113:AM115)=0,"",QUARTILE('中古車掲載'!AM113:AM115,1))</x:f>
        <x:v>1054500</x:v>
      </x:c>
      <x:c r="G100" s="22" t="n">
        <x:f>IF(COUNT('中古車掲載'!AM113:AM115)=0,"",MEDIAN('中古車掲載'!AM113:AM115))</x:f>
        <x:v>1150000</x:v>
      </x:c>
      <x:c r="H100" s="22" t="n">
        <x:f>IF(COUNT('中古車掲載'!AM113:AM115)=0,"",QUARTILE('中古車掲載'!AM113:AM115,3))</x:f>
        <x:v>1285000</x:v>
      </x:c>
      <x:c r="I100" s="22" t="n">
        <x:f>COUNT('中古車掲載'!AN113:AN115)</x:f>
        <x:v>0</x:v>
      </x:c>
      <x:c r="J100" s="23" t="str">
        <x:f>IF(COUNT('中古車掲載'!AN113:AN115)=0,"",MEDIAN('中古車掲載'!AN113:AN115))</x:f>
      </x:c>
      <x:c r="K100" s="3"/>
      <x:c r="L100" s="3"/>
      <x:c r="M100" s="3"/>
      <x:c r="N100" s="3"/>
      <x:c r="O100" s="3"/>
      <x:c r="P100" s="3"/>
      <x:c r="Q100" s="3"/>
      <x:c r="R100" s="3"/>
      <x:c r="S100" s="3"/>
      <x:c r="T100" s="3"/>
      <x:c r="U100" s="3"/>
      <x:c r="V100" s="3"/>
      <x:c r="W100" s="3"/>
      <x:c r="X100" s="3"/>
      <x:c r="Y100" s="3"/>
      <x:c r="Z100" s="3"/>
      <x:c r="AA100" s="3"/>
      <x:c r="AB100" s="3"/>
      <x:c r="AC100" s="3"/>
      <x:c r="AD100" s="3"/>
      <x:c r="AE100" s="3"/>
      <x:c r="AF100" s="3"/>
      <x:c r="AG100" s="3"/>
      <x:c r="AH100" s="3"/>
      <x:c r="AI100" s="3"/>
      <x:c r="AJ100" s="3"/>
      <x:c r="AK100" s="3"/>
      <x:c r="AL100" s="3"/>
      <x:c r="AM100" s="3"/>
      <x:c r="AN100" s="3"/>
      <x:c r="AO100" s="3"/>
      <x:c r="AP100" s="3"/>
      <x:c r="AQ100" s="3"/>
      <x:c r="AR100" s="3"/>
      <x:c r="AS100" s="3"/>
      <x:c r="AT100" s="3"/>
      <x:c r="AU100" s="3"/>
      <x:c r="AV100" s="3"/>
      <x:c r="AW100" s="3"/>
      <x:c r="AX100" s="3"/>
      <x:c r="AY100" s="3"/>
      <x:c r="AZ100" s="3" t="str">
        <x:f>IF(AND('中古車掲載'!C101="One2car",'中古車掲載'!F101="ATTO 3",'中古車掲載'!L101="EXTENDED RANGE",'中古車掲載'!J101=2023,ISNUMBER('中古車掲載'!N101),'中古車掲載'!N101&gt;=20000,'中古車掲載'!O101&lt;=100000,'中古車掲載'!AL101=1),'中古車掲載'!U101,"")</x:f>
      </x:c>
      <x:c r="BA100" s="3" t="str">
        <x:f>IF(AND('中古車掲載'!C101="One2car",'中古車掲載'!F101="Corolla Cross",'中古車掲載'!L101="HEV PREMIUM SAFETY",'中古車掲載'!J101=2023,ISNUMBER('中古車掲載'!N101),'中古車掲載'!N101&gt;=20000,'中古車掲載'!O101&lt;=100000,'中古車掲載'!AL101=1,'中古車掲載'!Z101="https://www.one2car.com/en/cars-for-sale/toyota/corolla-cross/year-2023"),'中古車掲載'!U101,"")</x:f>
      </x:c>
      <x:c r="BB100" s="3" t="str">
        <x:f>IF(AND('中古車掲載'!C101="One2car",'中古車掲載'!F101="ATTO 3",'中古車掲載'!L101="EXTENDED RANGE",'中古車掲載'!J101=2023,ISNUMBER('中古車掲載'!N101),'中古車掲載'!N101&gt;=50000,'中古車掲載'!O101&lt;=100000,'中古車掲載'!AL101=1),'中古車掲載'!U101,"")</x:f>
      </x:c>
      <x:c r="BC100" s="3" t="str">
        <x:f>IF(AND('中古車掲載'!C101="One2car",'中古車掲載'!F101="Corolla Cross",'中古車掲載'!L101="HEV PREMIUM SAFETY",'中古車掲載'!J101=2023,ISNUMBER('中古車掲載'!N101),'中古車掲載'!N101&gt;=50000,'中古車掲載'!O101&lt;=100000,'中古車掲載'!AL101=1,'中古車掲載'!Z101="https://www.one2car.com/en/cars-for-sale/toyota/corolla-cross/year-2023"),'中古車掲載'!U101,"")</x:f>
      </x:c>
      <x:c r="BD100" s="3" t="str">
        <x:f>IF(AND('中古車掲載'!C101="One2car",'中古車掲載'!F101="ATTO 3",'中古車掲載'!L101="EXTENDED RANGE",'中古車掲載'!J101=2023,ISNUMBER('中古車掲載'!N101),'中古車掲載'!N101&gt;=20000,'中古車掲載'!O101&lt;=50000,'中古車掲載'!AL101=1),'中古車掲載'!U101,"")</x:f>
      </x:c>
      <x:c r="BE100" s="3" t="str">
        <x:f>IF(AND('中古車掲載'!C101="One2car",'中古車掲載'!F101="Corolla Cross",'中古車掲載'!L101="HEV PREMIUM SAFETY",'中古車掲載'!J101=2023,ISNUMBER('中古車掲載'!N101),'中古車掲載'!N101&gt;=20000,'中古車掲載'!O101&lt;=50000,'中古車掲載'!AL101=1,'中古車掲載'!Z101="https://www.one2car.com/en/cars-for-sale/toyota/corolla-cross/year-2023"),'中古車掲載'!U101,"")</x:f>
      </x:c>
      <x:c r="BF100" s="3" t="str">
        <x:f>IF(AND('中古車掲載'!C101="One2car",'中古車掲載'!F101="Corolla Cross",'中古車掲載'!L101="HEV PREMIUM",'中古車掲載'!J101=2023,ISNUMBER('中古車掲載'!N101),'中古車掲載'!N101&gt;=20000,'中古車掲載'!O101&lt;=100000,'中古車掲載'!AL101=1,'中古車掲載'!Z101="https://www.one2car.com/en/cars-for-sale/toyota/corolla-cross/year-2023"),'中古車掲載'!U101,"")</x:f>
      </x:c>
      <x:c r="BG100" s="3" t="str">
        <x:f>IF(AND('中古車掲載'!C101="One2car",'中古車掲載'!F101="Corolla Cross",'中古車掲載'!L101="HEV GR SPORT",'中古車掲載'!J101=2023,ISNUMBER('中古車掲載'!N101),'中古車掲載'!N101&gt;=20000,'中古車掲載'!O101&lt;=100000,'中古車掲載'!AL101=1,'中古車掲載'!Z101="https://www.one2car.com/en/cars-for-sale/toyota/corolla-cross/year-2023"),'中古車掲載'!U101,"")</x:f>
      </x:c>
      <x:c r="BH100" s="3" t="str">
        <x:f>IF(AND('中古車掲載'!C101="One2car",'中古車掲載'!F101="DOLPHIN",'中古車掲載'!L101="STANDARD RANGE",'中古車掲載'!J101=2023,ISNUMBER('中古車掲載'!N101),'中古車掲載'!N101&gt;=20000,'中古車掲載'!O101&lt;=100000,'中古車掲載'!AL101=1),'中古車掲載'!U101,"")</x:f>
      </x:c>
      <x:c r="BI100" s="3" t="str">
        <x:v>One2car|Fortuner|ICE|Bangkok metro</x:v>
      </x:c>
      <x:c r="BJ100" s="3" t="n">
        <x:v>101</x:v>
      </x:c>
      <x:c r="BK100" s="3" t="n">
        <x:f>'中古車掲載'!AM101</x:f>
        <x:v>899000</x:v>
      </x:c>
      <x:c r="BL100" s="3" t="str">
        <x:f>IF(ISNUMBER('中古車掲載'!AN101),'中古車掲載'!AN101,"")</x:f>
      </x:c>
      <x:c r="BM100" s="3" t="str">
        <x:v>2021|Smart cab</x:v>
      </x:c>
      <x:c r="BN100" s="3" t="n">
        <x:v>740</x:v>
      </x:c>
      <x:c r="BO100" s="3" t="n">
        <x:f>'中古車掲載'!AM740</x:f>
        <x:v>408000</x:v>
      </x:c>
      <x:c r="BP100" s="3" t="str">
        <x:v>2.4 J PLUS SMART CAB</x:v>
      </x:c>
      <x:c r="BQ100" s="3"/>
      <x:c r="BR100" s="3"/>
    </x:row>
    <x:row r="101" ht="22" customHeight="1">
      <x:c r="A101" s="3" t="str">
        <x:v>Hilux Revo</x:v>
      </x:c>
      <x:c r="B101" s="3" t="str">
        <x:v>ICE</x:v>
      </x:c>
      <x:c r="C101" s="3" t="str">
        <x:v>One2car</x:v>
      </x:c>
      <x:c r="D101" s="3" t="n">
        <x:v>2020</x:v>
      </x:c>
      <x:c r="E101" s="22" t="n">
        <x:f>COUNT('中古車掲載'!AM116:AM117)</x:f>
        <x:v>2</x:v>
      </x:c>
      <x:c r="F101" s="22" t="n">
        <x:f>IF(COUNT('中古車掲載'!AM116:AM117)=0,"",QUARTILE('中古車掲載'!AM116:AM117,1))</x:f>
        <x:v>456500</x:v>
      </x:c>
      <x:c r="G101" s="22" t="n">
        <x:f>IF(COUNT('中古車掲載'!AM116:AM117)=0,"",MEDIAN('中古車掲載'!AM116:AM117))</x:f>
        <x:v>514000</x:v>
      </x:c>
      <x:c r="H101" s="22" t="n">
        <x:f>IF(COUNT('中古車掲載'!AM116:AM117)=0,"",QUARTILE('中古車掲載'!AM116:AM117,3))</x:f>
        <x:v>571500</x:v>
      </x:c>
      <x:c r="I101" s="22" t="n">
        <x:f>COUNT('中古車掲載'!AN116:AN117)</x:f>
        <x:v>0</x:v>
      </x:c>
      <x:c r="J101" s="23" t="str">
        <x:f>IF(COUNT('中古車掲載'!AN116:AN117)=0,"",MEDIAN('中古車掲載'!AN116:AN117))</x:f>
      </x:c>
      <x:c r="K101" s="3"/>
      <x:c r="L101" s="3"/>
      <x:c r="M101" s="3"/>
      <x:c r="N101" s="3"/>
      <x:c r="O101" s="3"/>
      <x:c r="P101" s="3"/>
      <x:c r="Q101" s="3"/>
      <x:c r="R101" s="3"/>
      <x:c r="S101" s="3"/>
      <x:c r="T101" s="3"/>
      <x:c r="U101" s="3"/>
      <x:c r="V101" s="3"/>
      <x:c r="W101" s="3"/>
      <x:c r="X101" s="3"/>
      <x:c r="Y101" s="3"/>
      <x:c r="Z101" s="3"/>
      <x:c r="AA101" s="3"/>
      <x:c r="AB101" s="3"/>
      <x:c r="AC101" s="3"/>
      <x:c r="AD101" s="3"/>
      <x:c r="AE101" s="3"/>
      <x:c r="AF101" s="3"/>
      <x:c r="AG101" s="3"/>
      <x:c r="AH101" s="3"/>
      <x:c r="AI101" s="3"/>
      <x:c r="AJ101" s="3"/>
      <x:c r="AK101" s="3"/>
      <x:c r="AL101" s="3"/>
      <x:c r="AM101" s="3"/>
      <x:c r="AN101" s="3"/>
      <x:c r="AO101" s="3"/>
      <x:c r="AP101" s="3"/>
      <x:c r="AQ101" s="3"/>
      <x:c r="AR101" s="3"/>
      <x:c r="AS101" s="3"/>
      <x:c r="AT101" s="3"/>
      <x:c r="AU101" s="3"/>
      <x:c r="AV101" s="3"/>
      <x:c r="AW101" s="3"/>
      <x:c r="AX101" s="3"/>
      <x:c r="AY101" s="3"/>
      <x:c r="AZ101" s="3" t="str">
        <x:f>IF(AND('中古車掲載'!C102="One2car",'中古車掲載'!F102="ATTO 3",'中古車掲載'!L102="EXTENDED RANGE",'中古車掲載'!J102=2023,ISNUMBER('中古車掲載'!N102),'中古車掲載'!N102&gt;=20000,'中古車掲載'!O102&lt;=100000,'中古車掲載'!AL102=1),'中古車掲載'!U102,"")</x:f>
      </x:c>
      <x:c r="BA101" s="3" t="str">
        <x:f>IF(AND('中古車掲載'!C102="One2car",'中古車掲載'!F102="Corolla Cross",'中古車掲載'!L102="HEV PREMIUM SAFETY",'中古車掲載'!J102=2023,ISNUMBER('中古車掲載'!N102),'中古車掲載'!N102&gt;=20000,'中古車掲載'!O102&lt;=100000,'中古車掲載'!AL102=1,'中古車掲載'!Z102="https://www.one2car.com/en/cars-for-sale/toyota/corolla-cross/year-2023"),'中古車掲載'!U102,"")</x:f>
      </x:c>
      <x:c r="BB101" s="3" t="str">
        <x:f>IF(AND('中古車掲載'!C102="One2car",'中古車掲載'!F102="ATTO 3",'中古車掲載'!L102="EXTENDED RANGE",'中古車掲載'!J102=2023,ISNUMBER('中古車掲載'!N102),'中古車掲載'!N102&gt;=50000,'中古車掲載'!O102&lt;=100000,'中古車掲載'!AL102=1),'中古車掲載'!U102,"")</x:f>
      </x:c>
      <x:c r="BC101" s="3" t="str">
        <x:f>IF(AND('中古車掲載'!C102="One2car",'中古車掲載'!F102="Corolla Cross",'中古車掲載'!L102="HEV PREMIUM SAFETY",'中古車掲載'!J102=2023,ISNUMBER('中古車掲載'!N102),'中古車掲載'!N102&gt;=50000,'中古車掲載'!O102&lt;=100000,'中古車掲載'!AL102=1,'中古車掲載'!Z102="https://www.one2car.com/en/cars-for-sale/toyota/corolla-cross/year-2023"),'中古車掲載'!U102,"")</x:f>
      </x:c>
      <x:c r="BD101" s="3" t="str">
        <x:f>IF(AND('中古車掲載'!C102="One2car",'中古車掲載'!F102="ATTO 3",'中古車掲載'!L102="EXTENDED RANGE",'中古車掲載'!J102=2023,ISNUMBER('中古車掲載'!N102),'中古車掲載'!N102&gt;=20000,'中古車掲載'!O102&lt;=50000,'中古車掲載'!AL102=1),'中古車掲載'!U102,"")</x:f>
      </x:c>
      <x:c r="BE101" s="3" t="str">
        <x:f>IF(AND('中古車掲載'!C102="One2car",'中古車掲載'!F102="Corolla Cross",'中古車掲載'!L102="HEV PREMIUM SAFETY",'中古車掲載'!J102=2023,ISNUMBER('中古車掲載'!N102),'中古車掲載'!N102&gt;=20000,'中古車掲載'!O102&lt;=50000,'中古車掲載'!AL102=1,'中古車掲載'!Z102="https://www.one2car.com/en/cars-for-sale/toyota/corolla-cross/year-2023"),'中古車掲載'!U102,"")</x:f>
      </x:c>
      <x:c r="BF101" s="3" t="str">
        <x:f>IF(AND('中古車掲載'!C102="One2car",'中古車掲載'!F102="Corolla Cross",'中古車掲載'!L102="HEV PREMIUM",'中古車掲載'!J102=2023,ISNUMBER('中古車掲載'!N102),'中古車掲載'!N102&gt;=20000,'中古車掲載'!O102&lt;=100000,'中古車掲載'!AL102=1,'中古車掲載'!Z102="https://www.one2car.com/en/cars-for-sale/toyota/corolla-cross/year-2023"),'中古車掲載'!U102,"")</x:f>
      </x:c>
      <x:c r="BG101" s="3" t="str">
        <x:f>IF(AND('中古車掲載'!C102="One2car",'中古車掲載'!F102="Corolla Cross",'中古車掲載'!L102="HEV GR SPORT",'中古車掲載'!J102=2023,ISNUMBER('中古車掲載'!N102),'中古車掲載'!N102&gt;=20000,'中古車掲載'!O102&lt;=100000,'中古車掲載'!AL102=1,'中古車掲載'!Z102="https://www.one2car.com/en/cars-for-sale/toyota/corolla-cross/year-2023"),'中古車掲載'!U102,"")</x:f>
      </x:c>
      <x:c r="BH101" s="3" t="str">
        <x:f>IF(AND('中古車掲載'!C102="One2car",'中古車掲載'!F102="DOLPHIN",'中古車掲載'!L102="STANDARD RANGE",'中古車掲載'!J102=2023,ISNUMBER('中古車掲載'!N102),'中古車掲載'!N102&gt;=20000,'中古車掲載'!O102&lt;=100000,'中古車掲載'!AL102=1),'中古車掲載'!U102,"")</x:f>
      </x:c>
      <x:c r="BI101" s="3" t="str">
        <x:v>One2car|Fortuner|ICE|Bangkok metro</x:v>
      </x:c>
      <x:c r="BJ101" s="3" t="n">
        <x:v>102</x:v>
      </x:c>
      <x:c r="BK101" s="3" t="n">
        <x:f>'中古車掲載'!AM102</x:f>
        <x:v>769000</x:v>
      </x:c>
      <x:c r="BL101" s="3" t="str">
        <x:f>IF(ISNUMBER('中古車掲載'!AN102),'中古車掲載'!AN102,"")</x:f>
      </x:c>
      <x:c r="BM101" s="3" t="str">
        <x:v>2021|Smart cab</x:v>
      </x:c>
      <x:c r="BN101" s="3" t="n">
        <x:v>745</x:v>
      </x:c>
      <x:c r="BO101" s="3" t="n">
        <x:f>'中古車掲載'!AM745</x:f>
        <x:v>439000</x:v>
      </x:c>
      <x:c r="BP101" s="3" t="str">
        <x:v>2.4 MID PRERUNNER SMART CAB</x:v>
      </x:c>
      <x:c r="BQ101" s="3"/>
      <x:c r="BR101" s="3"/>
    </x:row>
    <x:row r="102" ht="22" customHeight="1">
      <x:c r="A102" s="3" t="str">
        <x:v>Hilux Revo</x:v>
      </x:c>
      <x:c r="B102" s="3" t="str">
        <x:v>ICE</x:v>
      </x:c>
      <x:c r="C102" s="3" t="str">
        <x:v>One2car</x:v>
      </x:c>
      <x:c r="D102" s="3" t="n">
        <x:v>2021</x:v>
      </x:c>
      <x:c r="E102" s="22" t="n">
        <x:f>COUNT('中古車掲載'!AM118:AM125)</x:f>
        <x:v>8</x:v>
      </x:c>
      <x:c r="F102" s="22" t="n">
        <x:f>IF(COUNT('中古車掲載'!AM118:AM125)=0,"",QUARTILE('中古車掲載'!AM118:AM125,1))</x:f>
        <x:v>399000</x:v>
      </x:c>
      <x:c r="G102" s="22" t="n">
        <x:f>IF(COUNT('中古車掲載'!AM118:AM125)=0,"",MEDIAN('中古車掲載'!AM118:AM125))</x:f>
        <x:v>439000</x:v>
      </x:c>
      <x:c r="H102" s="22" t="n">
        <x:f>IF(COUNT('中古車掲載'!AM118:AM125)=0,"",QUARTILE('中古車掲載'!AM118:AM125,3))</x:f>
        <x:v>529000</x:v>
      </x:c>
      <x:c r="I102" s="22" t="n">
        <x:f>COUNT('中古車掲載'!AN118:AN125)</x:f>
        <x:v>0</x:v>
      </x:c>
      <x:c r="J102" s="23" t="str">
        <x:f>IF(COUNT('中古車掲載'!AN118:AN125)=0,"",MEDIAN('中古車掲載'!AN118:AN125))</x:f>
      </x:c>
      <x:c r="K102" s="3"/>
      <x:c r="L102" s="3"/>
      <x:c r="M102" s="3"/>
      <x:c r="N102" s="3"/>
      <x:c r="O102" s="3"/>
      <x:c r="P102" s="3"/>
      <x:c r="Q102" s="3"/>
      <x:c r="R102" s="3"/>
      <x:c r="S102" s="3"/>
      <x:c r="T102" s="3"/>
      <x:c r="U102" s="3"/>
      <x:c r="V102" s="3"/>
      <x:c r="W102" s="3"/>
      <x:c r="X102" s="3"/>
      <x:c r="Y102" s="3"/>
      <x:c r="Z102" s="3"/>
      <x:c r="AA102" s="3"/>
      <x:c r="AB102" s="3"/>
      <x:c r="AC102" s="3"/>
      <x:c r="AD102" s="3"/>
      <x:c r="AE102" s="3"/>
      <x:c r="AF102" s="3"/>
      <x:c r="AG102" s="3"/>
      <x:c r="AH102" s="3"/>
      <x:c r="AI102" s="3"/>
      <x:c r="AJ102" s="3"/>
      <x:c r="AK102" s="3"/>
      <x:c r="AL102" s="3"/>
      <x:c r="AM102" s="3"/>
      <x:c r="AN102" s="3"/>
      <x:c r="AO102" s="3"/>
      <x:c r="AP102" s="3"/>
      <x:c r="AQ102" s="3"/>
      <x:c r="AR102" s="3"/>
      <x:c r="AS102" s="3"/>
      <x:c r="AT102" s="3"/>
      <x:c r="AU102" s="3"/>
      <x:c r="AV102" s="3"/>
      <x:c r="AW102" s="3"/>
      <x:c r="AX102" s="3"/>
      <x:c r="AY102" s="3"/>
      <x:c r="AZ102" s="3" t="str">
        <x:f>IF(AND('中古車掲載'!C103="One2car",'中古車掲載'!F103="ATTO 3",'中古車掲載'!L103="EXTENDED RANGE",'中古車掲載'!J103=2023,ISNUMBER('中古車掲載'!N103),'中古車掲載'!N103&gt;=20000,'中古車掲載'!O103&lt;=100000,'中古車掲載'!AL103=1),'中古車掲載'!U103,"")</x:f>
      </x:c>
      <x:c r="BA102" s="3" t="str">
        <x:f>IF(AND('中古車掲載'!C103="One2car",'中古車掲載'!F103="Corolla Cross",'中古車掲載'!L103="HEV PREMIUM SAFETY",'中古車掲載'!J103=2023,ISNUMBER('中古車掲載'!N103),'中古車掲載'!N103&gt;=20000,'中古車掲載'!O103&lt;=100000,'中古車掲載'!AL103=1,'中古車掲載'!Z103="https://www.one2car.com/en/cars-for-sale/toyota/corolla-cross/year-2023"),'中古車掲載'!U103,"")</x:f>
      </x:c>
      <x:c r="BB102" s="3" t="str">
        <x:f>IF(AND('中古車掲載'!C103="One2car",'中古車掲載'!F103="ATTO 3",'中古車掲載'!L103="EXTENDED RANGE",'中古車掲載'!J103=2023,ISNUMBER('中古車掲載'!N103),'中古車掲載'!N103&gt;=50000,'中古車掲載'!O103&lt;=100000,'中古車掲載'!AL103=1),'中古車掲載'!U103,"")</x:f>
      </x:c>
      <x:c r="BC102" s="3" t="str">
        <x:f>IF(AND('中古車掲載'!C103="One2car",'中古車掲載'!F103="Corolla Cross",'中古車掲載'!L103="HEV PREMIUM SAFETY",'中古車掲載'!J103=2023,ISNUMBER('中古車掲載'!N103),'中古車掲載'!N103&gt;=50000,'中古車掲載'!O103&lt;=100000,'中古車掲載'!AL103=1,'中古車掲載'!Z103="https://www.one2car.com/en/cars-for-sale/toyota/corolla-cross/year-2023"),'中古車掲載'!U103,"")</x:f>
      </x:c>
      <x:c r="BD102" s="3" t="str">
        <x:f>IF(AND('中古車掲載'!C103="One2car",'中古車掲載'!F103="ATTO 3",'中古車掲載'!L103="EXTENDED RANGE",'中古車掲載'!J103=2023,ISNUMBER('中古車掲載'!N103),'中古車掲載'!N103&gt;=20000,'中古車掲載'!O103&lt;=50000,'中古車掲載'!AL103=1),'中古車掲載'!U103,"")</x:f>
      </x:c>
      <x:c r="BE102" s="3" t="str">
        <x:f>IF(AND('中古車掲載'!C103="One2car",'中古車掲載'!F103="Corolla Cross",'中古車掲載'!L103="HEV PREMIUM SAFETY",'中古車掲載'!J103=2023,ISNUMBER('中古車掲載'!N103),'中古車掲載'!N103&gt;=20000,'中古車掲載'!O103&lt;=50000,'中古車掲載'!AL103=1,'中古車掲載'!Z103="https://www.one2car.com/en/cars-for-sale/toyota/corolla-cross/year-2023"),'中古車掲載'!U103,"")</x:f>
      </x:c>
      <x:c r="BF102" s="3" t="str">
        <x:f>IF(AND('中古車掲載'!C103="One2car",'中古車掲載'!F103="Corolla Cross",'中古車掲載'!L103="HEV PREMIUM",'中古車掲載'!J103=2023,ISNUMBER('中古車掲載'!N103),'中古車掲載'!N103&gt;=20000,'中古車掲載'!O103&lt;=100000,'中古車掲載'!AL103=1,'中古車掲載'!Z103="https://www.one2car.com/en/cars-for-sale/toyota/corolla-cross/year-2023"),'中古車掲載'!U103,"")</x:f>
      </x:c>
      <x:c r="BG102" s="3" t="str">
        <x:f>IF(AND('中古車掲載'!C103="One2car",'中古車掲載'!F103="Corolla Cross",'中古車掲載'!L103="HEV GR SPORT",'中古車掲載'!J103=2023,ISNUMBER('中古車掲載'!N103),'中古車掲載'!N103&gt;=20000,'中古車掲載'!O103&lt;=100000,'中古車掲載'!AL103=1,'中古車掲載'!Z103="https://www.one2car.com/en/cars-for-sale/toyota/corolla-cross/year-2023"),'中古車掲載'!U103,"")</x:f>
      </x:c>
      <x:c r="BH102" s="3" t="str">
        <x:f>IF(AND('中古車掲載'!C103="One2car",'中古車掲載'!F103="DOLPHIN",'中古車掲載'!L103="STANDARD RANGE",'中古車掲載'!J103=2023,ISNUMBER('中古車掲載'!N103),'中古車掲載'!N103&gt;=20000,'中古車掲載'!O103&lt;=100000,'中古車掲載'!AL103=1),'中古車掲載'!U103,"")</x:f>
      </x:c>
      <x:c r="BI102" s="3" t="str">
        <x:v>One2car|Fortuner|ICE|Bangkok metro</x:v>
      </x:c>
      <x:c r="BJ102" s="3" t="n">
        <x:v>103</x:v>
      </x:c>
      <x:c r="BK102" s="3" t="n">
        <x:f>'中古車掲載'!AM103</x:f>
        <x:v>899000</x:v>
      </x:c>
      <x:c r="BL102" s="3" t="str">
        <x:f>IF(ISNUMBER('中古車掲載'!AN103),'中古車掲載'!AN103,"")</x:f>
      </x:c>
      <x:c r="BM102" s="3" t="str">
        <x:v>2021|Smart cab</x:v>
      </x:c>
      <x:c r="BN102" s="3" t="n">
        <x:v>746</x:v>
      </x:c>
      <x:c r="BO102" s="3" t="n">
        <x:f>'中古車掲載'!AM746</x:f>
        <x:v>489000</x:v>
      </x:c>
      <x:c r="BP102" s="3" t="str">
        <x:v>2.4 MID PRERUNNER SMART CAB</x:v>
      </x:c>
      <x:c r="BQ102" s="3"/>
      <x:c r="BR102" s="3"/>
    </x:row>
    <x:row r="103" ht="22" customHeight="1">
      <x:c r="A103" s="3" t="str">
        <x:v>Hilux Revo</x:v>
      </x:c>
      <x:c r="B103" s="3" t="str">
        <x:v>ICE</x:v>
      </x:c>
      <x:c r="C103" s="3" t="str">
        <x:v>One2car</x:v>
      </x:c>
      <x:c r="D103" s="3" t="n">
        <x:v>2022</x:v>
      </x:c>
      <x:c r="E103" s="22" t="n">
        <x:f>COUNT('中古車掲載'!AM126:AM128)</x:f>
        <x:v>3</x:v>
      </x:c>
      <x:c r="F103" s="22" t="n">
        <x:f>IF(COUNT('中古車掲載'!AM126:AM128)=0,"",QUARTILE('中古車掲載'!AM126:AM128,1))</x:f>
        <x:v>449000</x:v>
      </x:c>
      <x:c r="G103" s="22" t="n">
        <x:f>IF(COUNT('中古車掲載'!AM126:AM128)=0,"",MEDIAN('中古車掲載'!AM126:AM128))</x:f>
        <x:v>479000</x:v>
      </x:c>
      <x:c r="H103" s="22" t="n">
        <x:f>IF(COUNT('中古車掲載'!AM126:AM128)=0,"",QUARTILE('中古車掲載'!AM126:AM128,3))</x:f>
        <x:v>507000</x:v>
      </x:c>
      <x:c r="I103" s="22" t="n">
        <x:f>COUNT('中古車掲載'!AN126:AN128)</x:f>
        <x:v>0</x:v>
      </x:c>
      <x:c r="J103" s="23" t="str">
        <x:f>IF(COUNT('中古車掲載'!AN126:AN128)=0,"",MEDIAN('中古車掲載'!AN126:AN128))</x:f>
      </x:c>
      <x:c r="K103" s="3"/>
      <x:c r="L103" s="3"/>
      <x:c r="M103" s="3"/>
      <x:c r="N103" s="3"/>
      <x:c r="O103" s="3"/>
      <x:c r="P103" s="3"/>
      <x:c r="Q103" s="3"/>
      <x:c r="R103" s="3"/>
      <x:c r="S103" s="3"/>
      <x:c r="T103" s="3"/>
      <x:c r="U103" s="3"/>
      <x:c r="V103" s="3"/>
      <x:c r="W103" s="3"/>
      <x:c r="X103" s="3"/>
      <x:c r="Y103" s="3"/>
      <x:c r="Z103" s="3"/>
      <x:c r="AA103" s="3"/>
      <x:c r="AB103" s="3"/>
      <x:c r="AC103" s="3"/>
      <x:c r="AD103" s="3"/>
      <x:c r="AE103" s="3"/>
      <x:c r="AF103" s="3"/>
      <x:c r="AG103" s="3"/>
      <x:c r="AH103" s="3"/>
      <x:c r="AI103" s="3"/>
      <x:c r="AJ103" s="3"/>
      <x:c r="AK103" s="3"/>
      <x:c r="AL103" s="3"/>
      <x:c r="AM103" s="3"/>
      <x:c r="AN103" s="3"/>
      <x:c r="AO103" s="3"/>
      <x:c r="AP103" s="3"/>
      <x:c r="AQ103" s="3"/>
      <x:c r="AR103" s="3"/>
      <x:c r="AS103" s="3"/>
      <x:c r="AT103" s="3"/>
      <x:c r="AU103" s="3"/>
      <x:c r="AV103" s="3"/>
      <x:c r="AW103" s="3"/>
      <x:c r="AX103" s="3"/>
      <x:c r="AY103" s="3"/>
      <x:c r="AZ103" s="3" t="str">
        <x:f>IF(AND('中古車掲載'!C104="One2car",'中古車掲載'!F104="ATTO 3",'中古車掲載'!L104="EXTENDED RANGE",'中古車掲載'!J104=2023,ISNUMBER('中古車掲載'!N104),'中古車掲載'!N104&gt;=20000,'中古車掲載'!O104&lt;=100000,'中古車掲載'!AL104=1),'中古車掲載'!U104,"")</x:f>
      </x:c>
      <x:c r="BA103" s="3" t="str">
        <x:f>IF(AND('中古車掲載'!C104="One2car",'中古車掲載'!F104="Corolla Cross",'中古車掲載'!L104="HEV PREMIUM SAFETY",'中古車掲載'!J104=2023,ISNUMBER('中古車掲載'!N104),'中古車掲載'!N104&gt;=20000,'中古車掲載'!O104&lt;=100000,'中古車掲載'!AL104=1,'中古車掲載'!Z104="https://www.one2car.com/en/cars-for-sale/toyota/corolla-cross/year-2023"),'中古車掲載'!U104,"")</x:f>
      </x:c>
      <x:c r="BB103" s="3" t="str">
        <x:f>IF(AND('中古車掲載'!C104="One2car",'中古車掲載'!F104="ATTO 3",'中古車掲載'!L104="EXTENDED RANGE",'中古車掲載'!J104=2023,ISNUMBER('中古車掲載'!N104),'中古車掲載'!N104&gt;=50000,'中古車掲載'!O104&lt;=100000,'中古車掲載'!AL104=1),'中古車掲載'!U104,"")</x:f>
      </x:c>
      <x:c r="BC103" s="3" t="str">
        <x:f>IF(AND('中古車掲載'!C104="One2car",'中古車掲載'!F104="Corolla Cross",'中古車掲載'!L104="HEV PREMIUM SAFETY",'中古車掲載'!J104=2023,ISNUMBER('中古車掲載'!N104),'中古車掲載'!N104&gt;=50000,'中古車掲載'!O104&lt;=100000,'中古車掲載'!AL104=1,'中古車掲載'!Z104="https://www.one2car.com/en/cars-for-sale/toyota/corolla-cross/year-2023"),'中古車掲載'!U104,"")</x:f>
      </x:c>
      <x:c r="BD103" s="3" t="str">
        <x:f>IF(AND('中古車掲載'!C104="One2car",'中古車掲載'!F104="ATTO 3",'中古車掲載'!L104="EXTENDED RANGE",'中古車掲載'!J104=2023,ISNUMBER('中古車掲載'!N104),'中古車掲載'!N104&gt;=20000,'中古車掲載'!O104&lt;=50000,'中古車掲載'!AL104=1),'中古車掲載'!U104,"")</x:f>
      </x:c>
      <x:c r="BE103" s="3" t="str">
        <x:f>IF(AND('中古車掲載'!C104="One2car",'中古車掲載'!F104="Corolla Cross",'中古車掲載'!L104="HEV PREMIUM SAFETY",'中古車掲載'!J104=2023,ISNUMBER('中古車掲載'!N104),'中古車掲載'!N104&gt;=20000,'中古車掲載'!O104&lt;=50000,'中古車掲載'!AL104=1,'中古車掲載'!Z104="https://www.one2car.com/en/cars-for-sale/toyota/corolla-cross/year-2023"),'中古車掲載'!U104,"")</x:f>
      </x:c>
      <x:c r="BF103" s="3" t="str">
        <x:f>IF(AND('中古車掲載'!C104="One2car",'中古車掲載'!F104="Corolla Cross",'中古車掲載'!L104="HEV PREMIUM",'中古車掲載'!J104=2023,ISNUMBER('中古車掲載'!N104),'中古車掲載'!N104&gt;=20000,'中古車掲載'!O104&lt;=100000,'中古車掲載'!AL104=1,'中古車掲載'!Z104="https://www.one2car.com/en/cars-for-sale/toyota/corolla-cross/year-2023"),'中古車掲載'!U104,"")</x:f>
      </x:c>
      <x:c r="BG103" s="3" t="str">
        <x:f>IF(AND('中古車掲載'!C104="One2car",'中古車掲載'!F104="Corolla Cross",'中古車掲載'!L104="HEV GR SPORT",'中古車掲載'!J104=2023,ISNUMBER('中古車掲載'!N104),'中古車掲載'!N104&gt;=20000,'中古車掲載'!O104&lt;=100000,'中古車掲載'!AL104=1,'中古車掲載'!Z104="https://www.one2car.com/en/cars-for-sale/toyota/corolla-cross/year-2023"),'中古車掲載'!U104,"")</x:f>
      </x:c>
      <x:c r="BH103" s="3" t="str">
        <x:f>IF(AND('中古車掲載'!C104="One2car",'中古車掲載'!F104="DOLPHIN",'中古車掲載'!L104="STANDARD RANGE",'中古車掲載'!J104=2023,ISNUMBER('中古車掲載'!N104),'中古車掲載'!N104&gt;=20000,'中古車掲載'!O104&lt;=100000,'中古車掲載'!AL104=1),'中古車掲載'!U104,"")</x:f>
      </x:c>
      <x:c r="BI103" s="3" t="str">
        <x:v>One2car|Fortuner|ICE|Bangkok metro</x:v>
      </x:c>
      <x:c r="BJ103" s="3" t="n">
        <x:v>104</x:v>
      </x:c>
      <x:c r="BK103" s="3" t="n">
        <x:f>'中古車掲載'!AM104</x:f>
        <x:v>750000</x:v>
      </x:c>
      <x:c r="BL103" s="3" t="str">
        <x:f>IF(ISNUMBER('中古車掲載'!AN104),'中古車掲載'!AN104,"")</x:f>
      </x:c>
      <x:c r="BM103" s="3" t="str">
        <x:v>2021|Smart cab</x:v>
      </x:c>
      <x:c r="BN103" s="3" t="n">
        <x:v>747</x:v>
      </x:c>
      <x:c r="BO103" s="3" t="n">
        <x:f>'中古車掲載'!AM747</x:f>
        <x:v>589000</x:v>
      </x:c>
      <x:c r="BP103" s="3" t="str">
        <x:v>2.4 MID PRERUNNER SMART CAB</x:v>
      </x:c>
      <x:c r="BQ103" s="3"/>
      <x:c r="BR103" s="3"/>
    </x:row>
    <x:row r="104" ht="22" customHeight="1">
      <x:c r="A104" s="3" t="str">
        <x:v>Hilux Revo</x:v>
      </x:c>
      <x:c r="B104" s="3" t="str">
        <x:v>ICE</x:v>
      </x:c>
      <x:c r="C104" s="3" t="str">
        <x:v>One2car</x:v>
      </x:c>
      <x:c r="D104" s="3" t="n">
        <x:v>2023</x:v>
      </x:c>
      <x:c r="E104" s="22" t="n">
        <x:f>COUNT('中古車掲載'!AM129:AM150)</x:f>
        <x:v>22</x:v>
      </x:c>
      <x:c r="F104" s="22" t="n">
        <x:f>IF(COUNT('中古車掲載'!AM129:AM150)=0,"",QUARTILE('中古車掲載'!AM129:AM150,1))</x:f>
        <x:v>471000</x:v>
      </x:c>
      <x:c r="G104" s="22" t="n">
        <x:f>IF(COUNT('中古車掲載'!AM129:AM150)=0,"",MEDIAN('中古車掲載'!AM129:AM150))</x:f>
        <x:v>559000</x:v>
      </x:c>
      <x:c r="H104" s="22" t="n">
        <x:f>IF(COUNT('中古車掲載'!AM129:AM150)=0,"",QUARTILE('中古車掲載'!AM129:AM150,3))</x:f>
        <x:v>673000</x:v>
      </x:c>
      <x:c r="I104" s="22" t="n">
        <x:f>COUNT('中古車掲載'!AN129:AN150)</x:f>
        <x:v>0</x:v>
      </x:c>
      <x:c r="J104" s="23" t="str">
        <x:f>IF(COUNT('中古車掲載'!AN129:AN150)=0,"",MEDIAN('中古車掲載'!AN129:AN150))</x:f>
      </x:c>
      <x:c r="K104" s="3"/>
      <x:c r="L104" s="3"/>
      <x:c r="M104" s="3"/>
      <x:c r="N104" s="3"/>
      <x:c r="O104" s="3"/>
      <x:c r="P104" s="3"/>
      <x:c r="Q104" s="3"/>
      <x:c r="R104" s="3"/>
      <x:c r="S104" s="3"/>
      <x:c r="T104" s="3"/>
      <x:c r="U104" s="3"/>
      <x:c r="V104" s="3"/>
      <x:c r="W104" s="3"/>
      <x:c r="X104" s="3"/>
      <x:c r="Y104" s="3"/>
      <x:c r="Z104" s="3"/>
      <x:c r="AA104" s="3"/>
      <x:c r="AB104" s="3"/>
      <x:c r="AC104" s="3"/>
      <x:c r="AD104" s="3"/>
      <x:c r="AE104" s="3"/>
      <x:c r="AF104" s="3"/>
      <x:c r="AG104" s="3"/>
      <x:c r="AH104" s="3"/>
      <x:c r="AI104" s="3"/>
      <x:c r="AJ104" s="3"/>
      <x:c r="AK104" s="3"/>
      <x:c r="AL104" s="3"/>
      <x:c r="AM104" s="3"/>
      <x:c r="AN104" s="3"/>
      <x:c r="AO104" s="3"/>
      <x:c r="AP104" s="3"/>
      <x:c r="AQ104" s="3"/>
      <x:c r="AR104" s="3"/>
      <x:c r="AS104" s="3"/>
      <x:c r="AT104" s="3"/>
      <x:c r="AU104" s="3"/>
      <x:c r="AV104" s="3"/>
      <x:c r="AW104" s="3"/>
      <x:c r="AX104" s="3"/>
      <x:c r="AY104" s="3"/>
      <x:c r="AZ104" s="3" t="str">
        <x:f>IF(AND('中古車掲載'!C105="One2car",'中古車掲載'!F105="ATTO 3",'中古車掲載'!L105="EXTENDED RANGE",'中古車掲載'!J105=2023,ISNUMBER('中古車掲載'!N105),'中古車掲載'!N105&gt;=20000,'中古車掲載'!O105&lt;=100000,'中古車掲載'!AL105=1),'中古車掲載'!U105,"")</x:f>
      </x:c>
      <x:c r="BA104" s="3" t="str">
        <x:f>IF(AND('中古車掲載'!C105="One2car",'中古車掲載'!F105="Corolla Cross",'中古車掲載'!L105="HEV PREMIUM SAFETY",'中古車掲載'!J105=2023,ISNUMBER('中古車掲載'!N105),'中古車掲載'!N105&gt;=20000,'中古車掲載'!O105&lt;=100000,'中古車掲載'!AL105=1,'中古車掲載'!Z105="https://www.one2car.com/en/cars-for-sale/toyota/corolla-cross/year-2023"),'中古車掲載'!U105,"")</x:f>
      </x:c>
      <x:c r="BB104" s="3" t="str">
        <x:f>IF(AND('中古車掲載'!C105="One2car",'中古車掲載'!F105="ATTO 3",'中古車掲載'!L105="EXTENDED RANGE",'中古車掲載'!J105=2023,ISNUMBER('中古車掲載'!N105),'中古車掲載'!N105&gt;=50000,'中古車掲載'!O105&lt;=100000,'中古車掲載'!AL105=1),'中古車掲載'!U105,"")</x:f>
      </x:c>
      <x:c r="BC104" s="3" t="str">
        <x:f>IF(AND('中古車掲載'!C105="One2car",'中古車掲載'!F105="Corolla Cross",'中古車掲載'!L105="HEV PREMIUM SAFETY",'中古車掲載'!J105=2023,ISNUMBER('中古車掲載'!N105),'中古車掲載'!N105&gt;=50000,'中古車掲載'!O105&lt;=100000,'中古車掲載'!AL105=1,'中古車掲載'!Z105="https://www.one2car.com/en/cars-for-sale/toyota/corolla-cross/year-2023"),'中古車掲載'!U105,"")</x:f>
      </x:c>
      <x:c r="BD104" s="3" t="str">
        <x:f>IF(AND('中古車掲載'!C105="One2car",'中古車掲載'!F105="ATTO 3",'中古車掲載'!L105="EXTENDED RANGE",'中古車掲載'!J105=2023,ISNUMBER('中古車掲載'!N105),'中古車掲載'!N105&gt;=20000,'中古車掲載'!O105&lt;=50000,'中古車掲載'!AL105=1),'中古車掲載'!U105,"")</x:f>
      </x:c>
      <x:c r="BE104" s="3" t="str">
        <x:f>IF(AND('中古車掲載'!C105="One2car",'中古車掲載'!F105="Corolla Cross",'中古車掲載'!L105="HEV PREMIUM SAFETY",'中古車掲載'!J105=2023,ISNUMBER('中古車掲載'!N105),'中古車掲載'!N105&gt;=20000,'中古車掲載'!O105&lt;=50000,'中古車掲載'!AL105=1,'中古車掲載'!Z105="https://www.one2car.com/en/cars-for-sale/toyota/corolla-cross/year-2023"),'中古車掲載'!U105,"")</x:f>
      </x:c>
      <x:c r="BF104" s="3" t="str">
        <x:f>IF(AND('中古車掲載'!C105="One2car",'中古車掲載'!F105="Corolla Cross",'中古車掲載'!L105="HEV PREMIUM",'中古車掲載'!J105=2023,ISNUMBER('中古車掲載'!N105),'中古車掲載'!N105&gt;=20000,'中古車掲載'!O105&lt;=100000,'中古車掲載'!AL105=1,'中古車掲載'!Z105="https://www.one2car.com/en/cars-for-sale/toyota/corolla-cross/year-2023"),'中古車掲載'!U105,"")</x:f>
      </x:c>
      <x:c r="BG104" s="3" t="str">
        <x:f>IF(AND('中古車掲載'!C105="One2car",'中古車掲載'!F105="Corolla Cross",'中古車掲載'!L105="HEV GR SPORT",'中古車掲載'!J105=2023,ISNUMBER('中古車掲載'!N105),'中古車掲載'!N105&gt;=20000,'中古車掲載'!O105&lt;=100000,'中古車掲載'!AL105=1,'中古車掲載'!Z105="https://www.one2car.com/en/cars-for-sale/toyota/corolla-cross/year-2023"),'中古車掲載'!U105,"")</x:f>
      </x:c>
      <x:c r="BH104" s="3" t="str">
        <x:f>IF(AND('中古車掲載'!C105="One2car",'中古車掲載'!F105="DOLPHIN",'中古車掲載'!L105="STANDARD RANGE",'中古車掲載'!J105=2023,ISNUMBER('中古車掲載'!N105),'中古車掲載'!N105&gt;=20000,'中古車掲載'!O105&lt;=100000,'中古車掲載'!AL105=1),'中古車掲載'!U105,"")</x:f>
      </x:c>
      <x:c r="BI104" s="3" t="str">
        <x:v>One2car|Fortuner|ICE|Bangkok metro</x:v>
      </x:c>
      <x:c r="BJ104" s="3" t="n">
        <x:v>105</x:v>
      </x:c>
      <x:c r="BK104" s="3" t="n">
        <x:f>'中古車掲載'!AM105</x:f>
        <x:v>779000</x:v>
      </x:c>
      <x:c r="BL104" s="3" t="str">
        <x:f>IF(ISNUMBER('中古車掲載'!AN105),'中古車掲載'!AN105,"")</x:f>
      </x:c>
      <x:c r="BM104" s="3" t="str">
        <x:v>2021|Smart cab</x:v>
      </x:c>
      <x:c r="BN104" s="3" t="n">
        <x:v>755</x:v>
      </x:c>
      <x:c r="BO104" s="3" t="n">
        <x:f>'中古車掲載'!AM755</x:f>
        <x:v>379000</x:v>
      </x:c>
      <x:c r="BP104" s="3" t="str">
        <x:v>2.4 MID Z EDITION SMART CAB</x:v>
      </x:c>
      <x:c r="BQ104" s="3"/>
      <x:c r="BR104" s="3"/>
    </x:row>
    <x:row r="105" ht="30" customHeight="1">
      <x:c r="A105" s="3" t="str">
        <x:v>Hilux Revo</x:v>
      </x:c>
      <x:c r="B105" s="3" t="str">
        <x:v>ICE</x:v>
      </x:c>
      <x:c r="C105" s="3" t="str">
        <x:v>One2car</x:v>
      </x:c>
      <x:c r="D105" s="3" t="n">
        <x:v>2025</x:v>
      </x:c>
      <x:c r="E105" s="22" t="n">
        <x:f>COUNT('中古車掲載'!AM151:AM151)</x:f>
        <x:v>1</x:v>
      </x:c>
      <x:c r="F105" s="22" t="n">
        <x:f>IF(COUNT('中古車掲載'!AM151:AM151)=0,"",QUARTILE('中古車掲載'!AM151:AM151,1))</x:f>
        <x:v>779000</x:v>
      </x:c>
      <x:c r="G105" s="22" t="n">
        <x:f>IF(COUNT('中古車掲載'!AM151:AM151)=0,"",MEDIAN('中古車掲載'!AM151:AM151))</x:f>
        <x:v>779000</x:v>
      </x:c>
      <x:c r="H105" s="22" t="n">
        <x:f>IF(COUNT('中古車掲載'!AM151:AM151)=0,"",QUARTILE('中古車掲載'!AM151:AM151,3))</x:f>
        <x:v>779000</x:v>
      </x:c>
      <x:c r="I105" s="22" t="n">
        <x:f>COUNT('中古車掲載'!AN151:AN151)</x:f>
        <x:v>0</x:v>
      </x:c>
      <x:c r="J105" s="23" t="str">
        <x:f>IF(COUNT('中古車掲載'!AN151:AN151)=0,"",MEDIAN('中古車掲載'!AN151:AN151))</x:f>
      </x:c>
      <x:c r="K105" s="3"/>
      <x:c r="L105" s="3"/>
      <x:c r="M105" s="3"/>
      <x:c r="N105" s="3"/>
      <x:c r="O105" s="3"/>
      <x:c r="P105" s="3"/>
      <x:c r="Q105" s="3"/>
      <x:c r="R105" s="3"/>
      <x:c r="S105" s="3"/>
      <x:c r="T105" s="3"/>
      <x:c r="U105" s="3"/>
      <x:c r="V105" s="3"/>
      <x:c r="W105" s="3"/>
      <x:c r="X105" s="3"/>
      <x:c r="Y105" s="3"/>
      <x:c r="Z105" s="3"/>
      <x:c r="AA105" s="16" t="str">
        <x:v>比較分母</x:v>
      </x:c>
      <x:c r="AB105" s="21" t="str">
        <x:v>ATTO 3 Ext</x:v>
      </x:c>
      <x:c r="AC105" s="17" t="str">
        <x:v>Cross Safety</x:v>
      </x:c>
      <x:c r="AD105" s="3"/>
      <x:c r="AE105" s="3"/>
      <x:c r="AF105" s="3"/>
      <x:c r="AG105" s="3"/>
      <x:c r="AH105" s="3"/>
      <x:c r="AI105" s="3"/>
      <x:c r="AJ105" s="3"/>
      <x:c r="AK105" s="3"/>
      <x:c r="AL105" s="3"/>
      <x:c r="AM105" s="3"/>
      <x:c r="AN105" s="3"/>
      <x:c r="AO105" s="3"/>
      <x:c r="AP105" s="3"/>
      <x:c r="AQ105" s="3"/>
      <x:c r="AR105" s="3"/>
      <x:c r="AS105" s="3"/>
      <x:c r="AT105" s="3"/>
      <x:c r="AU105" s="3"/>
      <x:c r="AV105" s="3"/>
      <x:c r="AW105" s="3"/>
      <x:c r="AX105" s="3"/>
      <x:c r="AY105" s="3"/>
      <x:c r="AZ105" s="3" t="str">
        <x:f>IF(AND('中古車掲載'!C106="One2car",'中古車掲載'!F106="ATTO 3",'中古車掲載'!L106="EXTENDED RANGE",'中古車掲載'!J106=2023,ISNUMBER('中古車掲載'!N106),'中古車掲載'!N106&gt;=20000,'中古車掲載'!O106&lt;=100000,'中古車掲載'!AL106=1),'中古車掲載'!U106,"")</x:f>
      </x:c>
      <x:c r="BA105" s="3" t="str">
        <x:f>IF(AND('中古車掲載'!C106="One2car",'中古車掲載'!F106="Corolla Cross",'中古車掲載'!L106="HEV PREMIUM SAFETY",'中古車掲載'!J106=2023,ISNUMBER('中古車掲載'!N106),'中古車掲載'!N106&gt;=20000,'中古車掲載'!O106&lt;=100000,'中古車掲載'!AL106=1,'中古車掲載'!Z106="https://www.one2car.com/en/cars-for-sale/toyota/corolla-cross/year-2023"),'中古車掲載'!U106,"")</x:f>
      </x:c>
      <x:c r="BB105" s="3" t="str">
        <x:f>IF(AND('中古車掲載'!C106="One2car",'中古車掲載'!F106="ATTO 3",'中古車掲載'!L106="EXTENDED RANGE",'中古車掲載'!J106=2023,ISNUMBER('中古車掲載'!N106),'中古車掲載'!N106&gt;=50000,'中古車掲載'!O106&lt;=100000,'中古車掲載'!AL106=1),'中古車掲載'!U106,"")</x:f>
      </x:c>
      <x:c r="BC105" s="3" t="str">
        <x:f>IF(AND('中古車掲載'!C106="One2car",'中古車掲載'!F106="Corolla Cross",'中古車掲載'!L106="HEV PREMIUM SAFETY",'中古車掲載'!J106=2023,ISNUMBER('中古車掲載'!N106),'中古車掲載'!N106&gt;=50000,'中古車掲載'!O106&lt;=100000,'中古車掲載'!AL106=1,'中古車掲載'!Z106="https://www.one2car.com/en/cars-for-sale/toyota/corolla-cross/year-2023"),'中古車掲載'!U106,"")</x:f>
      </x:c>
      <x:c r="BD105" s="3" t="str">
        <x:f>IF(AND('中古車掲載'!C106="One2car",'中古車掲載'!F106="ATTO 3",'中古車掲載'!L106="EXTENDED RANGE",'中古車掲載'!J106=2023,ISNUMBER('中古車掲載'!N106),'中古車掲載'!N106&gt;=20000,'中古車掲載'!O106&lt;=50000,'中古車掲載'!AL106=1),'中古車掲載'!U106,"")</x:f>
      </x:c>
      <x:c r="BE105" s="3" t="str">
        <x:f>IF(AND('中古車掲載'!C106="One2car",'中古車掲載'!F106="Corolla Cross",'中古車掲載'!L106="HEV PREMIUM SAFETY",'中古車掲載'!J106=2023,ISNUMBER('中古車掲載'!N106),'中古車掲載'!N106&gt;=20000,'中古車掲載'!O106&lt;=50000,'中古車掲載'!AL106=1,'中古車掲載'!Z106="https://www.one2car.com/en/cars-for-sale/toyota/corolla-cross/year-2023"),'中古車掲載'!U106,"")</x:f>
      </x:c>
      <x:c r="BF105" s="3" t="str">
        <x:f>IF(AND('中古車掲載'!C106="One2car",'中古車掲載'!F106="Corolla Cross",'中古車掲載'!L106="HEV PREMIUM",'中古車掲載'!J106=2023,ISNUMBER('中古車掲載'!N106),'中古車掲載'!N106&gt;=20000,'中古車掲載'!O106&lt;=100000,'中古車掲載'!AL106=1,'中古車掲載'!Z106="https://www.one2car.com/en/cars-for-sale/toyota/corolla-cross/year-2023"),'中古車掲載'!U106,"")</x:f>
      </x:c>
      <x:c r="BG105" s="3" t="str">
        <x:f>IF(AND('中古車掲載'!C106="One2car",'中古車掲載'!F106="Corolla Cross",'中古車掲載'!L106="HEV GR SPORT",'中古車掲載'!J106=2023,ISNUMBER('中古車掲載'!N106),'中古車掲載'!N106&gt;=20000,'中古車掲載'!O106&lt;=100000,'中古車掲載'!AL106=1,'中古車掲載'!Z106="https://www.one2car.com/en/cars-for-sale/toyota/corolla-cross/year-2023"),'中古車掲載'!U106,"")</x:f>
      </x:c>
      <x:c r="BH105" s="3" t="str">
        <x:f>IF(AND('中古車掲載'!C106="One2car",'中古車掲載'!F106="DOLPHIN",'中古車掲載'!L106="STANDARD RANGE",'中古車掲載'!J106=2023,ISNUMBER('中古車掲載'!N106),'中古車掲載'!N106&gt;=20000,'中古車掲載'!O106&lt;=100000,'中古車掲載'!AL106=1),'中古車掲載'!U106,"")</x:f>
      </x:c>
      <x:c r="BI105" s="3" t="str">
        <x:v>One2car|Fortuner|ICE|Bangkok metro</x:v>
      </x:c>
      <x:c r="BJ105" s="3" t="n">
        <x:v>107</x:v>
      </x:c>
      <x:c r="BK105" s="3" t="n">
        <x:f>'中古車掲載'!AM107</x:f>
        <x:v>1070000</x:v>
      </x:c>
      <x:c r="BL105" s="3" t="str">
        <x:f>IF(ISNUMBER('中古車掲載'!AN107),'中古車掲載'!AN107,"")</x:f>
      </x:c>
      <x:c r="BM105" s="3" t="str">
        <x:v>2021|Smart cab</x:v>
      </x:c>
      <x:c r="BN105" s="3" t="n">
        <x:v>756</x:v>
      </x:c>
      <x:c r="BO105" s="3" t="n">
        <x:f>'中古車掲載'!AM756</x:f>
        <x:v>399000</x:v>
      </x:c>
      <x:c r="BP105" s="3" t="str">
        <x:v>2.4 MID Z EDITION SMART CAB</x:v>
      </x:c>
      <x:c r="BQ105" s="3"/>
      <x:c r="BR105" s="3"/>
    </x:row>
    <x:row r="106" ht="22" customHeight="1">
      <x:c r="A106" s="3" t="str">
        <x:v>SEAL</x:v>
      </x:c>
      <x:c r="B106" s="3" t="str">
        <x:v>BEV</x:v>
      </x:c>
      <x:c r="C106" s="3" t="str">
        <x:v>One2car</x:v>
      </x:c>
      <x:c r="D106" s="3" t="n">
        <x:v>2023</x:v>
      </x:c>
      <x:c r="E106" s="22" t="n">
        <x:f>COUNT('中古車掲載'!AM152:AM153)</x:f>
        <x:v>2</x:v>
      </x:c>
      <x:c r="F106" s="22" t="n">
        <x:f>IF(COUNT('中古車掲載'!AM152:AM153)=0,"",QUARTILE('中古車掲載'!AM152:AM153,1))</x:f>
        <x:v>623500</x:v>
      </x:c>
      <x:c r="G106" s="22" t="n">
        <x:f>IF(COUNT('中古車掲載'!AM152:AM153)=0,"",MEDIAN('中古車掲載'!AM152:AM153))</x:f>
        <x:v>658000</x:v>
      </x:c>
      <x:c r="H106" s="22" t="n">
        <x:f>IF(COUNT('中古車掲載'!AM152:AM153)=0,"",QUARTILE('中古車掲載'!AM152:AM153,3))</x:f>
        <x:v>692500</x:v>
      </x:c>
      <x:c r="I106" s="22" t="n">
        <x:f>COUNT('中古車掲載'!AN152:AN153)</x:f>
        <x:v>2</x:v>
      </x:c>
      <x:c r="J106" s="23" t="n">
        <x:f>IF(COUNT('中古車掲載'!AN152:AN153)=0,"",MEDIAN('中古車掲載'!AN152:AN153))</x:f>
        <x:v>0.47312681484953834</x:v>
      </x:c>
      <x:c r="K106" s="3"/>
      <x:c r="L106" s="3"/>
      <x:c r="M106" s="3"/>
      <x:c r="N106" s="3"/>
      <x:c r="O106" s="3"/>
      <x:c r="P106" s="3"/>
      <x:c r="Q106" s="3"/>
      <x:c r="R106" s="3"/>
      <x:c r="S106" s="3"/>
      <x:c r="T106" s="3"/>
      <x:c r="U106" s="3"/>
      <x:c r="V106" s="3"/>
      <x:c r="W106" s="3"/>
      <x:c r="X106" s="3"/>
      <x:c r="Y106" s="3"/>
      <x:c r="Z106" s="3"/>
      <x:c r="AA106" s="3" t="str">
        <x:v>当時公表通常価格</x:v>
      </x:c>
      <x:c r="AB106" s="23" t="n">
        <x:f>AG7</x:f>
        <x:v>0.38919909992499374</x:v>
      </x:c>
      <x:c r="AC106" s="23" t="n">
        <x:f>AG8</x:f>
        <x:v>0.6303986710963455</x:v>
      </x:c>
      <x:c r="AD106" s="3"/>
      <x:c r="AE106" s="3"/>
      <x:c r="AF106" s="3"/>
      <x:c r="AG106" s="3"/>
      <x:c r="AH106" s="3"/>
      <x:c r="AI106" s="3"/>
      <x:c r="AJ106" s="3"/>
      <x:c r="AK106" s="3"/>
      <x:c r="AL106" s="3"/>
      <x:c r="AM106" s="3"/>
      <x:c r="AN106" s="3"/>
      <x:c r="AO106" s="3"/>
      <x:c r="AP106" s="3"/>
      <x:c r="AQ106" s="3"/>
      <x:c r="AR106" s="3"/>
      <x:c r="AS106" s="3"/>
      <x:c r="AT106" s="3"/>
      <x:c r="AU106" s="3"/>
      <x:c r="AV106" s="3"/>
      <x:c r="AW106" s="3"/>
      <x:c r="AX106" s="3"/>
      <x:c r="AY106" s="3"/>
      <x:c r="AZ106" s="3" t="str">
        <x:f>IF(AND('中古車掲載'!C107="One2car",'中古車掲載'!F107="ATTO 3",'中古車掲載'!L107="EXTENDED RANGE",'中古車掲載'!J107=2023,ISNUMBER('中古車掲載'!N107),'中古車掲載'!N107&gt;=20000,'中古車掲載'!O107&lt;=100000,'中古車掲載'!AL107=1),'中古車掲載'!U107,"")</x:f>
      </x:c>
      <x:c r="BA106" s="3" t="str">
        <x:f>IF(AND('中古車掲載'!C107="One2car",'中古車掲載'!F107="Corolla Cross",'中古車掲載'!L107="HEV PREMIUM SAFETY",'中古車掲載'!J107=2023,ISNUMBER('中古車掲載'!N107),'中古車掲載'!N107&gt;=20000,'中古車掲載'!O107&lt;=100000,'中古車掲載'!AL107=1,'中古車掲載'!Z107="https://www.one2car.com/en/cars-for-sale/toyota/corolla-cross/year-2023"),'中古車掲載'!U107,"")</x:f>
      </x:c>
      <x:c r="BB106" s="3" t="str">
        <x:f>IF(AND('中古車掲載'!C107="One2car",'中古車掲載'!F107="ATTO 3",'中古車掲載'!L107="EXTENDED RANGE",'中古車掲載'!J107=2023,ISNUMBER('中古車掲載'!N107),'中古車掲載'!N107&gt;=50000,'中古車掲載'!O107&lt;=100000,'中古車掲載'!AL107=1),'中古車掲載'!U107,"")</x:f>
      </x:c>
      <x:c r="BC106" s="3" t="str">
        <x:f>IF(AND('中古車掲載'!C107="One2car",'中古車掲載'!F107="Corolla Cross",'中古車掲載'!L107="HEV PREMIUM SAFETY",'中古車掲載'!J107=2023,ISNUMBER('中古車掲載'!N107),'中古車掲載'!N107&gt;=50000,'中古車掲載'!O107&lt;=100000,'中古車掲載'!AL107=1,'中古車掲載'!Z107="https://www.one2car.com/en/cars-for-sale/toyota/corolla-cross/year-2023"),'中古車掲載'!U107,"")</x:f>
      </x:c>
      <x:c r="BD106" s="3" t="str">
        <x:f>IF(AND('中古車掲載'!C107="One2car",'中古車掲載'!F107="ATTO 3",'中古車掲載'!L107="EXTENDED RANGE",'中古車掲載'!J107=2023,ISNUMBER('中古車掲載'!N107),'中古車掲載'!N107&gt;=20000,'中古車掲載'!O107&lt;=50000,'中古車掲載'!AL107=1),'中古車掲載'!U107,"")</x:f>
      </x:c>
      <x:c r="BE106" s="3" t="str">
        <x:f>IF(AND('中古車掲載'!C107="One2car",'中古車掲載'!F107="Corolla Cross",'中古車掲載'!L107="HEV PREMIUM SAFETY",'中古車掲載'!J107=2023,ISNUMBER('中古車掲載'!N107),'中古車掲載'!N107&gt;=20000,'中古車掲載'!O107&lt;=50000,'中古車掲載'!AL107=1,'中古車掲載'!Z107="https://www.one2car.com/en/cars-for-sale/toyota/corolla-cross/year-2023"),'中古車掲載'!U107,"")</x:f>
      </x:c>
      <x:c r="BF106" s="3" t="str">
        <x:f>IF(AND('中古車掲載'!C107="One2car",'中古車掲載'!F107="Corolla Cross",'中古車掲載'!L107="HEV PREMIUM",'中古車掲載'!J107=2023,ISNUMBER('中古車掲載'!N107),'中古車掲載'!N107&gt;=20000,'中古車掲載'!O107&lt;=100000,'中古車掲載'!AL107=1,'中古車掲載'!Z107="https://www.one2car.com/en/cars-for-sale/toyota/corolla-cross/year-2023"),'中古車掲載'!U107,"")</x:f>
      </x:c>
      <x:c r="BG106" s="3" t="str">
        <x:f>IF(AND('中古車掲載'!C107="One2car",'中古車掲載'!F107="Corolla Cross",'中古車掲載'!L107="HEV GR SPORT",'中古車掲載'!J107=2023,ISNUMBER('中古車掲載'!N107),'中古車掲載'!N107&gt;=20000,'中古車掲載'!O107&lt;=100000,'中古車掲載'!AL107=1,'中古車掲載'!Z107="https://www.one2car.com/en/cars-for-sale/toyota/corolla-cross/year-2023"),'中古車掲載'!U107,"")</x:f>
      </x:c>
      <x:c r="BH106" s="3" t="str">
        <x:f>IF(AND('中古車掲載'!C107="One2car",'中古車掲載'!F107="DOLPHIN",'中古車掲載'!L107="STANDARD RANGE",'中古車掲載'!J107=2023,ISNUMBER('中古車掲載'!N107),'中古車掲載'!N107&gt;=20000,'中古車掲載'!O107&lt;=100000,'中古車掲載'!AL107=1),'中古車掲載'!U107,"")</x:f>
      </x:c>
      <x:c r="BI106" s="3" t="str">
        <x:v>One2car|Fortuner|ICE|Bangkok metro</x:v>
      </x:c>
      <x:c r="BJ106" s="3" t="n">
        <x:v>108</x:v>
      </x:c>
      <x:c r="BK106" s="3" t="n">
        <x:f>'中古車掲載'!AM108</x:f>
        <x:v>1139000</x:v>
      </x:c>
      <x:c r="BL106" s="3" t="str">
        <x:f>IF(ISNUMBER('中古車掲載'!AN108),'中古車掲載'!AN108,"")</x:f>
      </x:c>
      <x:c r="BM106" s="3" t="str">
        <x:v>2021|Smart cab</x:v>
      </x:c>
      <x:c r="BN106" s="3" t="n">
        <x:v>757</x:v>
      </x:c>
      <x:c r="BO106" s="3" t="n">
        <x:f>'中古車掲載'!AM757</x:f>
        <x:v>429000</x:v>
      </x:c>
      <x:c r="BP106" s="3" t="str">
        <x:v>2.4 MID Z EDITION SMART CAB</x:v>
      </x:c>
      <x:c r="BQ106" s="3"/>
      <x:c r="BR106" s="3"/>
    </x:row>
    <x:row r="107" ht="22" customHeight="1">
      <x:c r="A107" s="3" t="str">
        <x:v>SEAL</x:v>
      </x:c>
      <x:c r="B107" s="3" t="str">
        <x:v>BEV</x:v>
      </x:c>
      <x:c r="C107" s="3" t="str">
        <x:v>One2car</x:v>
      </x:c>
      <x:c r="D107" s="3" t="n">
        <x:v>2024</x:v>
      </x:c>
      <x:c r="E107" s="22" t="n">
        <x:f>COUNT('中古車掲載'!AM154:AM159)</x:f>
        <x:v>6</x:v>
      </x:c>
      <x:c r="F107" s="22" t="n">
        <x:f>IF(COUNT('中古車掲載'!AM154:AM159)=0,"",QUARTILE('中古車掲載'!AM154:AM159,1))</x:f>
        <x:v>677500</x:v>
      </x:c>
      <x:c r="G107" s="22" t="n">
        <x:f>IF(COUNT('中古車掲載'!AM154:AM159)=0,"",MEDIAN('中古車掲載'!AM154:AM159))</x:f>
        <x:v>704000</x:v>
      </x:c>
      <x:c r="H107" s="22" t="n">
        <x:f>IF(COUNT('中古車掲載'!AM154:AM159)=0,"",QUARTILE('中古車掲載'!AM154:AM159,3))</x:f>
        <x:v>781500</x:v>
      </x:c>
      <x:c r="I107" s="22" t="n">
        <x:f>COUNT('中古車掲載'!AN154:AN159)</x:f>
        <x:v>4</x:v>
      </x:c>
      <x:c r="J107" s="23" t="n">
        <x:f>IF(COUNT('中古車掲載'!AN154:AN159)=0,"",MEDIAN('中古車掲載'!AN154:AN159))</x:f>
        <x:v>0.4829787621912315</x:v>
      </x:c>
      <x:c r="K107" s="3"/>
      <x:c r="L107" s="3"/>
      <x:c r="M107" s="3"/>
      <x:c r="N107" s="3"/>
      <x:c r="O107" s="3"/>
      <x:c r="P107" s="3"/>
      <x:c r="Q107" s="3"/>
      <x:c r="R107" s="3"/>
      <x:c r="S107" s="3"/>
      <x:c r="T107" s="3"/>
      <x:c r="U107" s="3"/>
      <x:c r="V107" s="3"/>
      <x:c r="W107" s="3"/>
      <x:c r="X107" s="3"/>
      <x:c r="Y107" s="3"/>
      <x:c r="Z107" s="3"/>
      <x:c r="AA107" s="3" t="str">
        <x:v>現在の近似代替特価</x:v>
      </x:c>
      <x:c r="AB107" s="23" t="n">
        <x:f>AI7</x:f>
        <x:v>0.6065722821145604</x:v>
      </x:c>
      <x:c r="AC107" s="23" t="n">
        <x:f>AI8</x:f>
        <x:v>0.6303986710963455</x:v>
      </x:c>
      <x:c r="AD107" s="3"/>
      <x:c r="AE107" s="3"/>
      <x:c r="AF107" s="3"/>
      <x:c r="AG107" s="3"/>
      <x:c r="AH107" s="3"/>
      <x:c r="AI107" s="3"/>
      <x:c r="AJ107" s="3"/>
      <x:c r="AK107" s="3"/>
      <x:c r="AL107" s="3"/>
      <x:c r="AM107" s="3"/>
      <x:c r="AN107" s="3"/>
      <x:c r="AO107" s="3"/>
      <x:c r="AP107" s="3"/>
      <x:c r="AQ107" s="3"/>
      <x:c r="AR107" s="3"/>
      <x:c r="AS107" s="3"/>
      <x:c r="AT107" s="3"/>
      <x:c r="AU107" s="3"/>
      <x:c r="AV107" s="3"/>
      <x:c r="AW107" s="3"/>
      <x:c r="AX107" s="3"/>
      <x:c r="AY107" s="3"/>
      <x:c r="AZ107" s="3" t="str">
        <x:f>IF(AND('中古車掲載'!C108="One2car",'中古車掲載'!F108="ATTO 3",'中古車掲載'!L108="EXTENDED RANGE",'中古車掲載'!J108=2023,ISNUMBER('中古車掲載'!N108),'中古車掲載'!N108&gt;=20000,'中古車掲載'!O108&lt;=100000,'中古車掲載'!AL108=1),'中古車掲載'!U108,"")</x:f>
      </x:c>
      <x:c r="BA107" s="3" t="str">
        <x:f>IF(AND('中古車掲載'!C108="One2car",'中古車掲載'!F108="Corolla Cross",'中古車掲載'!L108="HEV PREMIUM SAFETY",'中古車掲載'!J108=2023,ISNUMBER('中古車掲載'!N108),'中古車掲載'!N108&gt;=20000,'中古車掲載'!O108&lt;=100000,'中古車掲載'!AL108=1,'中古車掲載'!Z108="https://www.one2car.com/en/cars-for-sale/toyota/corolla-cross/year-2023"),'中古車掲載'!U108,"")</x:f>
      </x:c>
      <x:c r="BB107" s="3" t="str">
        <x:f>IF(AND('中古車掲載'!C108="One2car",'中古車掲載'!F108="ATTO 3",'中古車掲載'!L108="EXTENDED RANGE",'中古車掲載'!J108=2023,ISNUMBER('中古車掲載'!N108),'中古車掲載'!N108&gt;=50000,'中古車掲載'!O108&lt;=100000,'中古車掲載'!AL108=1),'中古車掲載'!U108,"")</x:f>
      </x:c>
      <x:c r="BC107" s="3" t="str">
        <x:f>IF(AND('中古車掲載'!C108="One2car",'中古車掲載'!F108="Corolla Cross",'中古車掲載'!L108="HEV PREMIUM SAFETY",'中古車掲載'!J108=2023,ISNUMBER('中古車掲載'!N108),'中古車掲載'!N108&gt;=50000,'中古車掲載'!O108&lt;=100000,'中古車掲載'!AL108=1,'中古車掲載'!Z108="https://www.one2car.com/en/cars-for-sale/toyota/corolla-cross/year-2023"),'中古車掲載'!U108,"")</x:f>
      </x:c>
      <x:c r="BD107" s="3" t="str">
        <x:f>IF(AND('中古車掲載'!C108="One2car",'中古車掲載'!F108="ATTO 3",'中古車掲載'!L108="EXTENDED RANGE",'中古車掲載'!J108=2023,ISNUMBER('中古車掲載'!N108),'中古車掲載'!N108&gt;=20000,'中古車掲載'!O108&lt;=50000,'中古車掲載'!AL108=1),'中古車掲載'!U108,"")</x:f>
      </x:c>
      <x:c r="BE107" s="3" t="str">
        <x:f>IF(AND('中古車掲載'!C108="One2car",'中古車掲載'!F108="Corolla Cross",'中古車掲載'!L108="HEV PREMIUM SAFETY",'中古車掲載'!J108=2023,ISNUMBER('中古車掲載'!N108),'中古車掲載'!N108&gt;=20000,'中古車掲載'!O108&lt;=50000,'中古車掲載'!AL108=1,'中古車掲載'!Z108="https://www.one2car.com/en/cars-for-sale/toyota/corolla-cross/year-2023"),'中古車掲載'!U108,"")</x:f>
      </x:c>
      <x:c r="BF107" s="3" t="str">
        <x:f>IF(AND('中古車掲載'!C108="One2car",'中古車掲載'!F108="Corolla Cross",'中古車掲載'!L108="HEV PREMIUM",'中古車掲載'!J108=2023,ISNUMBER('中古車掲載'!N108),'中古車掲載'!N108&gt;=20000,'中古車掲載'!O108&lt;=100000,'中古車掲載'!AL108=1,'中古車掲載'!Z108="https://www.one2car.com/en/cars-for-sale/toyota/corolla-cross/year-2023"),'中古車掲載'!U108,"")</x:f>
      </x:c>
      <x:c r="BG107" s="3" t="str">
        <x:f>IF(AND('中古車掲載'!C108="One2car",'中古車掲載'!F108="Corolla Cross",'中古車掲載'!L108="HEV GR SPORT",'中古車掲載'!J108=2023,ISNUMBER('中古車掲載'!N108),'中古車掲載'!N108&gt;=20000,'中古車掲載'!O108&lt;=100000,'中古車掲載'!AL108=1,'中古車掲載'!Z108="https://www.one2car.com/en/cars-for-sale/toyota/corolla-cross/year-2023"),'中古車掲載'!U108,"")</x:f>
      </x:c>
      <x:c r="BH107" s="3" t="str">
        <x:f>IF(AND('中古車掲載'!C108="One2car",'中古車掲載'!F108="DOLPHIN",'中古車掲載'!L108="STANDARD RANGE",'中古車掲載'!J108=2023,ISNUMBER('中古車掲載'!N108),'中古車掲載'!N108&gt;=20000,'中古車掲載'!O108&lt;=100000,'中古車掲載'!AL108=1),'中古車掲載'!U108,"")</x:f>
      </x:c>
      <x:c r="BI107" s="3" t="str">
        <x:v>One2car|Fortuner|ICE|Bangkok metro</x:v>
      </x:c>
      <x:c r="BJ107" s="3" t="n">
        <x:v>109</x:v>
      </x:c>
      <x:c r="BK107" s="3" t="n">
        <x:f>'中古車掲載'!AM109</x:f>
        <x:v>1150000</x:v>
      </x:c>
      <x:c r="BL107" s="3" t="str">
        <x:f>IF(ISNUMBER('中古車掲載'!AN109),'中古車掲載'!AN109,"")</x:f>
      </x:c>
      <x:c r="BM107" s="3" t="str">
        <x:v>2021|Smart cab</x:v>
      </x:c>
      <x:c r="BN107" s="3" t="n">
        <x:v>758</x:v>
      </x:c>
      <x:c r="BO107" s="3" t="n">
        <x:f>'中古車掲載'!AM758</x:f>
        <x:v>429000</x:v>
      </x:c>
      <x:c r="BP107" s="3" t="str">
        <x:v>2.4 MID Z EDITION SMART CAB</x:v>
      </x:c>
      <x:c r="BQ107" s="3"/>
      <x:c r="BR107" s="3"/>
    </x:row>
    <x:row r="108" ht="22" customHeight="1">
      <x:c r="A108" s="3" t="str">
        <x:v>SEALION 6</x:v>
      </x:c>
      <x:c r="B108" s="3" t="str">
        <x:v>PHEV</x:v>
      </x:c>
      <x:c r="C108" s="3" t="str">
        <x:v>One2car</x:v>
      </x:c>
      <x:c r="D108" s="3" t="n">
        <x:v>2025</x:v>
      </x:c>
      <x:c r="E108" s="22" t="n">
        <x:f>COUNT('中古車掲載'!AM160:AM166)</x:f>
        <x:v>7</x:v>
      </x:c>
      <x:c r="F108" s="22" t="n">
        <x:f>IF(COUNT('中古車掲載'!AM160:AM166)=0,"",QUARTILE('中古車掲載'!AM160:AM166,1))</x:f>
        <x:v>678500</x:v>
      </x:c>
      <x:c r="G108" s="22" t="n">
        <x:f>IF(COUNT('中古車掲載'!AM160:AM166)=0,"",MEDIAN('中古車掲載'!AM160:AM166))</x:f>
        <x:v>679000</x:v>
      </x:c>
      <x:c r="H108" s="22" t="n">
        <x:f>IF(COUNT('中古車掲載'!AM160:AM166)=0,"",QUARTILE('中古車掲載'!AM160:AM166,3))</x:f>
        <x:v>704000</x:v>
      </x:c>
      <x:c r="I108" s="22" t="n">
        <x:f>COUNT('中古車掲載'!AN160:AN166)</x:f>
        <x:v>7</x:v>
      </x:c>
      <x:c r="J108" s="23" t="n">
        <x:f>IF(COUNT('中古車掲載'!AN160:AN166)=0,"",MEDIAN('中古車掲載'!AN160:AN166))</x:f>
        <x:v>0.6173288480770979</x:v>
      </x:c>
      <x:c r="K108" s="3"/>
      <x:c r="L108" s="3"/>
      <x:c r="M108" s="3"/>
      <x:c r="N108" s="3"/>
      <x:c r="O108" s="3"/>
      <x:c r="P108" s="3"/>
      <x:c r="Q108" s="3"/>
      <x:c r="R108" s="3"/>
      <x:c r="S108" s="3"/>
      <x:c r="T108" s="3"/>
      <x:c r="U108" s="3"/>
      <x:c r="V108" s="3"/>
      <x:c r="W108" s="3"/>
      <x:c r="X108" s="3"/>
      <x:c r="Y108" s="3"/>
      <x:c r="Z108" s="3"/>
      <x:c r="AA108" s="3"/>
      <x:c r="AB108" s="3"/>
      <x:c r="AC108" s="3"/>
      <x:c r="AD108" s="3"/>
      <x:c r="AE108" s="3"/>
      <x:c r="AF108" s="3"/>
      <x:c r="AG108" s="3"/>
      <x:c r="AH108" s="3"/>
      <x:c r="AI108" s="3"/>
      <x:c r="AJ108" s="3"/>
      <x:c r="AK108" s="3"/>
      <x:c r="AL108" s="3"/>
      <x:c r="AM108" s="3"/>
      <x:c r="AN108" s="3"/>
      <x:c r="AO108" s="3"/>
      <x:c r="AP108" s="3"/>
      <x:c r="AQ108" s="3"/>
      <x:c r="AR108" s="3"/>
      <x:c r="AS108" s="3"/>
      <x:c r="AT108" s="3"/>
      <x:c r="AU108" s="3"/>
      <x:c r="AV108" s="3"/>
      <x:c r="AW108" s="3"/>
      <x:c r="AX108" s="3"/>
      <x:c r="AY108" s="3"/>
      <x:c r="AZ108" s="3" t="str">
        <x:f>IF(AND('中古車掲載'!C109="One2car",'中古車掲載'!F109="ATTO 3",'中古車掲載'!L109="EXTENDED RANGE",'中古車掲載'!J109=2023,ISNUMBER('中古車掲載'!N109),'中古車掲載'!N109&gt;=20000,'中古車掲載'!O109&lt;=100000,'中古車掲載'!AL109=1),'中古車掲載'!U109,"")</x:f>
      </x:c>
      <x:c r="BA108" s="3" t="str">
        <x:f>IF(AND('中古車掲載'!C109="One2car",'中古車掲載'!F109="Corolla Cross",'中古車掲載'!L109="HEV PREMIUM SAFETY",'中古車掲載'!J109=2023,ISNUMBER('中古車掲載'!N109),'中古車掲載'!N109&gt;=20000,'中古車掲載'!O109&lt;=100000,'中古車掲載'!AL109=1,'中古車掲載'!Z109="https://www.one2car.com/en/cars-for-sale/toyota/corolla-cross/year-2023"),'中古車掲載'!U109,"")</x:f>
      </x:c>
      <x:c r="BB108" s="3" t="str">
        <x:f>IF(AND('中古車掲載'!C109="One2car",'中古車掲載'!F109="ATTO 3",'中古車掲載'!L109="EXTENDED RANGE",'中古車掲載'!J109=2023,ISNUMBER('中古車掲載'!N109),'中古車掲載'!N109&gt;=50000,'中古車掲載'!O109&lt;=100000,'中古車掲載'!AL109=1),'中古車掲載'!U109,"")</x:f>
      </x:c>
      <x:c r="BC108" s="3" t="str">
        <x:f>IF(AND('中古車掲載'!C109="One2car",'中古車掲載'!F109="Corolla Cross",'中古車掲載'!L109="HEV PREMIUM SAFETY",'中古車掲載'!J109=2023,ISNUMBER('中古車掲載'!N109),'中古車掲載'!N109&gt;=50000,'中古車掲載'!O109&lt;=100000,'中古車掲載'!AL109=1,'中古車掲載'!Z109="https://www.one2car.com/en/cars-for-sale/toyota/corolla-cross/year-2023"),'中古車掲載'!U109,"")</x:f>
      </x:c>
      <x:c r="BD108" s="3" t="str">
        <x:f>IF(AND('中古車掲載'!C109="One2car",'中古車掲載'!F109="ATTO 3",'中古車掲載'!L109="EXTENDED RANGE",'中古車掲載'!J109=2023,ISNUMBER('中古車掲載'!N109),'中古車掲載'!N109&gt;=20000,'中古車掲載'!O109&lt;=50000,'中古車掲載'!AL109=1),'中古車掲載'!U109,"")</x:f>
      </x:c>
      <x:c r="BE108" s="3" t="str">
        <x:f>IF(AND('中古車掲載'!C109="One2car",'中古車掲載'!F109="Corolla Cross",'中古車掲載'!L109="HEV PREMIUM SAFETY",'中古車掲載'!J109=2023,ISNUMBER('中古車掲載'!N109),'中古車掲載'!N109&gt;=20000,'中古車掲載'!O109&lt;=50000,'中古車掲載'!AL109=1,'中古車掲載'!Z109="https://www.one2car.com/en/cars-for-sale/toyota/corolla-cross/year-2023"),'中古車掲載'!U109,"")</x:f>
      </x:c>
      <x:c r="BF108" s="3" t="str">
        <x:f>IF(AND('中古車掲載'!C109="One2car",'中古車掲載'!F109="Corolla Cross",'中古車掲載'!L109="HEV PREMIUM",'中古車掲載'!J109=2023,ISNUMBER('中古車掲載'!N109),'中古車掲載'!N109&gt;=20000,'中古車掲載'!O109&lt;=100000,'中古車掲載'!AL109=1,'中古車掲載'!Z109="https://www.one2car.com/en/cars-for-sale/toyota/corolla-cross/year-2023"),'中古車掲載'!U109,"")</x:f>
      </x:c>
      <x:c r="BG108" s="3" t="str">
        <x:f>IF(AND('中古車掲載'!C109="One2car",'中古車掲載'!F109="Corolla Cross",'中古車掲載'!L109="HEV GR SPORT",'中古車掲載'!J109=2023,ISNUMBER('中古車掲載'!N109),'中古車掲載'!N109&gt;=20000,'中古車掲載'!O109&lt;=100000,'中古車掲載'!AL109=1,'中古車掲載'!Z109="https://www.one2car.com/en/cars-for-sale/toyota/corolla-cross/year-2023"),'中古車掲載'!U109,"")</x:f>
      </x:c>
      <x:c r="BH108" s="3" t="str">
        <x:f>IF(AND('中古車掲載'!C109="One2car",'中古車掲載'!F109="DOLPHIN",'中古車掲載'!L109="STANDARD RANGE",'中古車掲載'!J109=2023,ISNUMBER('中古車掲載'!N109),'中古車掲載'!N109&gt;=20000,'中古車掲載'!O109&lt;=100000,'中古車掲載'!AL109=1),'中古車掲載'!U109,"")</x:f>
      </x:c>
      <x:c r="BI108" s="3" t="str">
        <x:v>One2car|Fortuner|ICE|Bangkok metro</x:v>
      </x:c>
      <x:c r="BJ108" s="3" t="n">
        <x:v>110</x:v>
      </x:c>
      <x:c r="BK108" s="3" t="n">
        <x:f>'中古車掲載'!AM110</x:f>
        <x:v>979000</x:v>
      </x:c>
      <x:c r="BL108" s="3" t="str">
        <x:f>IF(ISNUMBER('中古車掲載'!AN110),'中古車掲載'!AN110,"")</x:f>
      </x:c>
      <x:c r="BM108" s="3" t="str">
        <x:v>2021|Smart cab</x:v>
      </x:c>
      <x:c r="BN108" s="3" t="n">
        <x:v>759</x:v>
      </x:c>
      <x:c r="BO108" s="3" t="n">
        <x:f>'中古車掲載'!AM759</x:f>
        <x:v>355000</x:v>
      </x:c>
      <x:c r="BP108" s="3" t="str">
        <x:v>2.4 MID Z EDITION SMART CAB</x:v>
      </x:c>
      <x:c r="BQ108" s="3"/>
      <x:c r="BR108" s="3"/>
    </x:row>
    <x:row r="109" ht="22" customHeight="1">
      <x:c r="A109" s="3" t="str">
        <x:v>SEALION 6</x:v>
      </x:c>
      <x:c r="B109" s="3" t="str">
        <x:v>PHEV</x:v>
      </x:c>
      <x:c r="C109" s="3" t="str">
        <x:v>One2car</x:v>
      </x:c>
      <x:c r="D109" s="3" t="n">
        <x:v>2026</x:v>
      </x:c>
      <x:c r="E109" s="22" t="n">
        <x:f>COUNT('中古車掲載'!AM167:AM167)</x:f>
        <x:v>0</x:v>
      </x:c>
      <x:c r="F109" s="22" t="str">
        <x:f>IF(COUNT('中古車掲載'!AM167:AM167)=0,"",QUARTILE('中古車掲載'!AM167:AM167,1))</x:f>
      </x:c>
      <x:c r="G109" s="22" t="str">
        <x:f>IF(COUNT('中古車掲載'!AM167:AM167)=0,"",MEDIAN('中古車掲載'!AM167:AM167))</x:f>
      </x:c>
      <x:c r="H109" s="22" t="str">
        <x:f>IF(COUNT('中古車掲載'!AM167:AM167)=0,"",QUARTILE('中古車掲載'!AM167:AM167,3))</x:f>
      </x:c>
      <x:c r="I109" s="22" t="n">
        <x:f>COUNT('中古車掲載'!AN167:AN167)</x:f>
        <x:v>0</x:v>
      </x:c>
      <x:c r="J109" s="23" t="str">
        <x:f>IF(COUNT('中古車掲載'!AN167:AN167)=0,"",MEDIAN('中古車掲載'!AN167:AN167))</x:f>
      </x:c>
      <x:c r="K109" s="3"/>
      <x:c r="L109" s="3"/>
      <x:c r="M109" s="3"/>
      <x:c r="N109" s="3"/>
      <x:c r="O109" s="3"/>
      <x:c r="P109" s="3"/>
      <x:c r="Q109" s="3"/>
      <x:c r="R109" s="3"/>
      <x:c r="S109" s="3"/>
      <x:c r="T109" s="3"/>
      <x:c r="U109" s="3"/>
      <x:c r="V109" s="3"/>
      <x:c r="W109" s="3"/>
      <x:c r="X109" s="3"/>
      <x:c r="Y109" s="3"/>
      <x:c r="Z109" s="3"/>
      <x:c r="AA109" s="3"/>
      <x:c r="AB109" s="3"/>
      <x:c r="AC109" s="3"/>
      <x:c r="AD109" s="3"/>
      <x:c r="AE109" s="3"/>
      <x:c r="AF109" s="3"/>
      <x:c r="AG109" s="3"/>
      <x:c r="AH109" s="3"/>
      <x:c r="AI109" s="3"/>
      <x:c r="AJ109" s="3"/>
      <x:c r="AK109" s="3"/>
      <x:c r="AL109" s="3"/>
      <x:c r="AM109" s="3"/>
      <x:c r="AN109" s="3"/>
      <x:c r="AO109" s="3"/>
      <x:c r="AP109" s="3"/>
      <x:c r="AQ109" s="3"/>
      <x:c r="AR109" s="3"/>
      <x:c r="AS109" s="3"/>
      <x:c r="AT109" s="3"/>
      <x:c r="AU109" s="3"/>
      <x:c r="AV109" s="3"/>
      <x:c r="AW109" s="3"/>
      <x:c r="AX109" s="3"/>
      <x:c r="AY109" s="3"/>
      <x:c r="AZ109" s="3" t="str">
        <x:f>IF(AND('中古車掲載'!C110="One2car",'中古車掲載'!F110="ATTO 3",'中古車掲載'!L110="EXTENDED RANGE",'中古車掲載'!J110=2023,ISNUMBER('中古車掲載'!N110),'中古車掲載'!N110&gt;=20000,'中古車掲載'!O110&lt;=100000,'中古車掲載'!AL110=1),'中古車掲載'!U110,"")</x:f>
      </x:c>
      <x:c r="BA109" s="3" t="str">
        <x:f>IF(AND('中古車掲載'!C110="One2car",'中古車掲載'!F110="Corolla Cross",'中古車掲載'!L110="HEV PREMIUM SAFETY",'中古車掲載'!J110=2023,ISNUMBER('中古車掲載'!N110),'中古車掲載'!N110&gt;=20000,'中古車掲載'!O110&lt;=100000,'中古車掲載'!AL110=1,'中古車掲載'!Z110="https://www.one2car.com/en/cars-for-sale/toyota/corolla-cross/year-2023"),'中古車掲載'!U110,"")</x:f>
      </x:c>
      <x:c r="BB109" s="3" t="str">
        <x:f>IF(AND('中古車掲載'!C110="One2car",'中古車掲載'!F110="ATTO 3",'中古車掲載'!L110="EXTENDED RANGE",'中古車掲載'!J110=2023,ISNUMBER('中古車掲載'!N110),'中古車掲載'!N110&gt;=50000,'中古車掲載'!O110&lt;=100000,'中古車掲載'!AL110=1),'中古車掲載'!U110,"")</x:f>
      </x:c>
      <x:c r="BC109" s="3" t="str">
        <x:f>IF(AND('中古車掲載'!C110="One2car",'中古車掲載'!F110="Corolla Cross",'中古車掲載'!L110="HEV PREMIUM SAFETY",'中古車掲載'!J110=2023,ISNUMBER('中古車掲載'!N110),'中古車掲載'!N110&gt;=50000,'中古車掲載'!O110&lt;=100000,'中古車掲載'!AL110=1,'中古車掲載'!Z110="https://www.one2car.com/en/cars-for-sale/toyota/corolla-cross/year-2023"),'中古車掲載'!U110,"")</x:f>
      </x:c>
      <x:c r="BD109" s="3" t="str">
        <x:f>IF(AND('中古車掲載'!C110="One2car",'中古車掲載'!F110="ATTO 3",'中古車掲載'!L110="EXTENDED RANGE",'中古車掲載'!J110=2023,ISNUMBER('中古車掲載'!N110),'中古車掲載'!N110&gt;=20000,'中古車掲載'!O110&lt;=50000,'中古車掲載'!AL110=1),'中古車掲載'!U110,"")</x:f>
      </x:c>
      <x:c r="BE109" s="3" t="str">
        <x:f>IF(AND('中古車掲載'!C110="One2car",'中古車掲載'!F110="Corolla Cross",'中古車掲載'!L110="HEV PREMIUM SAFETY",'中古車掲載'!J110=2023,ISNUMBER('中古車掲載'!N110),'中古車掲載'!N110&gt;=20000,'中古車掲載'!O110&lt;=50000,'中古車掲載'!AL110=1,'中古車掲載'!Z110="https://www.one2car.com/en/cars-for-sale/toyota/corolla-cross/year-2023"),'中古車掲載'!U110,"")</x:f>
      </x:c>
      <x:c r="BF109" s="3" t="str">
        <x:f>IF(AND('中古車掲載'!C110="One2car",'中古車掲載'!F110="Corolla Cross",'中古車掲載'!L110="HEV PREMIUM",'中古車掲載'!J110=2023,ISNUMBER('中古車掲載'!N110),'中古車掲載'!N110&gt;=20000,'中古車掲載'!O110&lt;=100000,'中古車掲載'!AL110=1,'中古車掲載'!Z110="https://www.one2car.com/en/cars-for-sale/toyota/corolla-cross/year-2023"),'中古車掲載'!U110,"")</x:f>
      </x:c>
      <x:c r="BG109" s="3" t="str">
        <x:f>IF(AND('中古車掲載'!C110="One2car",'中古車掲載'!F110="Corolla Cross",'中古車掲載'!L110="HEV GR SPORT",'中古車掲載'!J110=2023,ISNUMBER('中古車掲載'!N110),'中古車掲載'!N110&gt;=20000,'中古車掲載'!O110&lt;=100000,'中古車掲載'!AL110=1,'中古車掲載'!Z110="https://www.one2car.com/en/cars-for-sale/toyota/corolla-cross/year-2023"),'中古車掲載'!U110,"")</x:f>
      </x:c>
      <x:c r="BH109" s="3" t="str">
        <x:f>IF(AND('中古車掲載'!C110="One2car",'中古車掲載'!F110="DOLPHIN",'中古車掲載'!L110="STANDARD RANGE",'中古車掲載'!J110=2023,ISNUMBER('中古車掲載'!N110),'中古車掲載'!N110&gt;=20000,'中古車掲載'!O110&lt;=100000,'中古車掲載'!AL110=1),'中古車掲載'!U110,"")</x:f>
      </x:c>
      <x:c r="BI109" s="3" t="str">
        <x:v>One2car|Fortuner|ICE|Bangkok metro</x:v>
      </x:c>
      <x:c r="BJ109" s="3" t="n">
        <x:v>111</x:v>
      </x:c>
      <x:c r="BK109" s="3" t="n">
        <x:f>'中古車掲載'!AM111</x:f>
        <x:v>799000</x:v>
      </x:c>
      <x:c r="BL109" s="3" t="str">
        <x:f>IF(ISNUMBER('中古車掲載'!AN111),'中古車掲載'!AN111,"")</x:f>
      </x:c>
      <x:c r="BM109" s="3" t="str">
        <x:v>2021|Smart cab</x:v>
      </x:c>
      <x:c r="BN109" s="3" t="n">
        <x:v>760</x:v>
      </x:c>
      <x:c r="BO109" s="3" t="n">
        <x:f>'中古車掲載'!AM760</x:f>
        <x:v>368000</x:v>
      </x:c>
      <x:c r="BP109" s="3" t="str">
        <x:v>2.4 MID Z EDITION SMART CAB</x:v>
      </x:c>
      <x:c r="BQ109" s="3"/>
      <x:c r="BR109" s="3"/>
    </x:row>
    <x:row r="110" ht="22" customHeight="1">
      <x:c r="A110" s="3" t="str">
        <x:v>ATTO 3</x:v>
      </x:c>
      <x:c r="B110" s="3" t="str">
        <x:v>BEV</x:v>
      </x:c>
      <x:c r="C110" s="3" t="str">
        <x:v>Taladrod</x:v>
      </x:c>
      <x:c r="D110" s="3" t="n">
        <x:v>2022</x:v>
      </x:c>
      <x:c r="E110" s="22" t="n">
        <x:f>COUNT('中古車掲載'!AM168:AM173)</x:f>
        <x:v>6</x:v>
      </x:c>
      <x:c r="F110" s="22" t="n">
        <x:f>IF(COUNT('中古車掲載'!AM168:AM173)=0,"",QUARTILE('中古車掲載'!AM168:AM173,1))</x:f>
        <x:v>401250</x:v>
      </x:c>
      <x:c r="G110" s="22" t="n">
        <x:f>IF(COUNT('中古車掲載'!AM168:AM173)=0,"",MEDIAN('中古車掲載'!AM168:AM173))</x:f>
        <x:v>432500</x:v>
      </x:c>
      <x:c r="H110" s="22" t="n">
        <x:f>IF(COUNT('中古車掲載'!AM168:AM173)=0,"",QUARTILE('中古車掲載'!AM168:AM173,3))</x:f>
        <x:v>485500</x:v>
      </x:c>
      <x:c r="I110" s="22" t="n">
        <x:f>COUNT('中古車掲載'!AN168:AN173)</x:f>
        <x:v>5</x:v>
      </x:c>
      <x:c r="J110" s="23" t="n">
        <x:f>IF(COUNT('中古車掲載'!AN168:AN173)=0,"",MEDIAN('中古車掲載'!AN168:AN173))</x:f>
        <x:v>0.3818528957177925</x:v>
      </x:c>
      <x:c r="K110" s="3"/>
      <x:c r="L110" s="3"/>
      <x:c r="M110" s="3"/>
      <x:c r="N110" s="3"/>
      <x:c r="O110" s="3"/>
      <x:c r="P110" s="3"/>
      <x:c r="Q110" s="3"/>
      <x:c r="R110" s="3"/>
      <x:c r="S110" s="3"/>
      <x:c r="T110" s="3"/>
      <x:c r="U110" s="3"/>
      <x:c r="V110" s="3"/>
      <x:c r="W110" s="3"/>
      <x:c r="X110" s="3"/>
      <x:c r="Y110" s="3"/>
      <x:c r="Z110" s="3"/>
      <x:c r="AA110" s="3"/>
      <x:c r="AB110" s="3"/>
      <x:c r="AC110" s="3"/>
      <x:c r="AD110" s="3"/>
      <x:c r="AE110" s="3"/>
      <x:c r="AF110" s="3"/>
      <x:c r="AG110" s="3"/>
      <x:c r="AH110" s="3"/>
      <x:c r="AI110" s="3"/>
      <x:c r="AJ110" s="3"/>
      <x:c r="AK110" s="3"/>
      <x:c r="AL110" s="3"/>
      <x:c r="AM110" s="3"/>
      <x:c r="AN110" s="3"/>
      <x:c r="AO110" s="3"/>
      <x:c r="AP110" s="3"/>
      <x:c r="AQ110" s="3"/>
      <x:c r="AR110" s="3"/>
      <x:c r="AS110" s="3"/>
      <x:c r="AT110" s="3"/>
      <x:c r="AU110" s="3"/>
      <x:c r="AV110" s="3"/>
      <x:c r="AW110" s="3"/>
      <x:c r="AX110" s="3"/>
      <x:c r="AY110" s="3"/>
      <x:c r="AZ110" s="3" t="str">
        <x:f>IF(AND('中古車掲載'!C111="One2car",'中古車掲載'!F111="ATTO 3",'中古車掲載'!L111="EXTENDED RANGE",'中古車掲載'!J111=2023,ISNUMBER('中古車掲載'!N111),'中古車掲載'!N111&gt;=20000,'中古車掲載'!O111&lt;=100000,'中古車掲載'!AL111=1),'中古車掲載'!U111,"")</x:f>
      </x:c>
      <x:c r="BA110" s="3" t="str">
        <x:f>IF(AND('中古車掲載'!C111="One2car",'中古車掲載'!F111="Corolla Cross",'中古車掲載'!L111="HEV PREMIUM SAFETY",'中古車掲載'!J111=2023,ISNUMBER('中古車掲載'!N111),'中古車掲載'!N111&gt;=20000,'中古車掲載'!O111&lt;=100000,'中古車掲載'!AL111=1,'中古車掲載'!Z111="https://www.one2car.com/en/cars-for-sale/toyota/corolla-cross/year-2023"),'中古車掲載'!U111,"")</x:f>
      </x:c>
      <x:c r="BB110" s="3" t="str">
        <x:f>IF(AND('中古車掲載'!C111="One2car",'中古車掲載'!F111="ATTO 3",'中古車掲載'!L111="EXTENDED RANGE",'中古車掲載'!J111=2023,ISNUMBER('中古車掲載'!N111),'中古車掲載'!N111&gt;=50000,'中古車掲載'!O111&lt;=100000,'中古車掲載'!AL111=1),'中古車掲載'!U111,"")</x:f>
      </x:c>
      <x:c r="BC110" s="3" t="str">
        <x:f>IF(AND('中古車掲載'!C111="One2car",'中古車掲載'!F111="Corolla Cross",'中古車掲載'!L111="HEV PREMIUM SAFETY",'中古車掲載'!J111=2023,ISNUMBER('中古車掲載'!N111),'中古車掲載'!N111&gt;=50000,'中古車掲載'!O111&lt;=100000,'中古車掲載'!AL111=1,'中古車掲載'!Z111="https://www.one2car.com/en/cars-for-sale/toyota/corolla-cross/year-2023"),'中古車掲載'!U111,"")</x:f>
      </x:c>
      <x:c r="BD110" s="3" t="str">
        <x:f>IF(AND('中古車掲載'!C111="One2car",'中古車掲載'!F111="ATTO 3",'中古車掲載'!L111="EXTENDED RANGE",'中古車掲載'!J111=2023,ISNUMBER('中古車掲載'!N111),'中古車掲載'!N111&gt;=20000,'中古車掲載'!O111&lt;=50000,'中古車掲載'!AL111=1),'中古車掲載'!U111,"")</x:f>
      </x:c>
      <x:c r="BE110" s="3" t="str">
        <x:f>IF(AND('中古車掲載'!C111="One2car",'中古車掲載'!F111="Corolla Cross",'中古車掲載'!L111="HEV PREMIUM SAFETY",'中古車掲載'!J111=2023,ISNUMBER('中古車掲載'!N111),'中古車掲載'!N111&gt;=20000,'中古車掲載'!O111&lt;=50000,'中古車掲載'!AL111=1,'中古車掲載'!Z111="https://www.one2car.com/en/cars-for-sale/toyota/corolla-cross/year-2023"),'中古車掲載'!U111,"")</x:f>
      </x:c>
      <x:c r="BF110" s="3" t="str">
        <x:f>IF(AND('中古車掲載'!C111="One2car",'中古車掲載'!F111="Corolla Cross",'中古車掲載'!L111="HEV PREMIUM",'中古車掲載'!J111=2023,ISNUMBER('中古車掲載'!N111),'中古車掲載'!N111&gt;=20000,'中古車掲載'!O111&lt;=100000,'中古車掲載'!AL111=1,'中古車掲載'!Z111="https://www.one2car.com/en/cars-for-sale/toyota/corolla-cross/year-2023"),'中古車掲載'!U111,"")</x:f>
      </x:c>
      <x:c r="BG110" s="3" t="str">
        <x:f>IF(AND('中古車掲載'!C111="One2car",'中古車掲載'!F111="Corolla Cross",'中古車掲載'!L111="HEV GR SPORT",'中古車掲載'!J111=2023,ISNUMBER('中古車掲載'!N111),'中古車掲載'!N111&gt;=20000,'中古車掲載'!O111&lt;=100000,'中古車掲載'!AL111=1,'中古車掲載'!Z111="https://www.one2car.com/en/cars-for-sale/toyota/corolla-cross/year-2023"),'中古車掲載'!U111,"")</x:f>
      </x:c>
      <x:c r="BH110" s="3" t="str">
        <x:f>IF(AND('中古車掲載'!C111="One2car",'中古車掲載'!F111="DOLPHIN",'中古車掲載'!L111="STANDARD RANGE",'中古車掲載'!J111=2023,ISNUMBER('中古車掲載'!N111),'中古車掲載'!N111&gt;=20000,'中古車掲載'!O111&lt;=100000,'中古車掲載'!AL111=1),'中古車掲載'!U111,"")</x:f>
      </x:c>
      <x:c r="BI110" s="3" t="str">
        <x:v>One2car|Fortuner|ICE|Bangkok metro</x:v>
      </x:c>
      <x:c r="BJ110" s="3" t="n">
        <x:v>112</x:v>
      </x:c>
      <x:c r="BK110" s="3" t="n">
        <x:f>'中古車掲載'!AM112</x:f>
        <x:v>899000</x:v>
      </x:c>
      <x:c r="BL110" s="3" t="str">
        <x:f>IF(ISNUMBER('中古車掲載'!AN112),'中古車掲載'!AN112,"")</x:f>
      </x:c>
      <x:c r="BM110" s="3" t="str">
        <x:v>2021|Smart cab</x:v>
      </x:c>
      <x:c r="BN110" s="3" t="n">
        <x:v>761</x:v>
      </x:c>
      <x:c r="BO110" s="3" t="n">
        <x:f>'中古車掲載'!AM761</x:f>
        <x:v>369000</x:v>
      </x:c>
      <x:c r="BP110" s="3" t="str">
        <x:v>2.4 MID Z EDITION SMART CAB</x:v>
      </x:c>
      <x:c r="BQ110" s="3"/>
      <x:c r="BR110" s="3"/>
    </x:row>
    <x:row r="111" ht="22" customHeight="1">
      <x:c r="A111" s="3" t="str">
        <x:v>ATTO 3</x:v>
      </x:c>
      <x:c r="B111" s="3" t="str">
        <x:v>BEV</x:v>
      </x:c>
      <x:c r="C111" s="3" t="str">
        <x:v>Taladrod</x:v>
      </x:c>
      <x:c r="D111" s="3" t="n">
        <x:v>2023</x:v>
      </x:c>
      <x:c r="E111" s="22" t="n">
        <x:f>COUNT('中古車掲載'!AM174:AM179)</x:f>
        <x:v>6</x:v>
      </x:c>
      <x:c r="F111" s="22" t="n">
        <x:f>IF(COUNT('中古車掲載'!AM174:AM179)=0,"",QUARTILE('中古車掲載'!AM174:AM179,1))</x:f>
        <x:v>439000</x:v>
      </x:c>
      <x:c r="G111" s="22" t="n">
        <x:f>IF(COUNT('中古車掲載'!AM174:AM179)=0,"",MEDIAN('中古車掲載'!AM174:AM179))</x:f>
        <x:v>454000</x:v>
      </x:c>
      <x:c r="H111" s="22" t="n">
        <x:f>IF(COUNT('中古車掲載'!AM174:AM179)=0,"",QUARTILE('中古車掲載'!AM174:AM179,3))</x:f>
        <x:v>476500</x:v>
      </x:c>
      <x:c r="I111" s="22" t="n">
        <x:f>COUNT('中古車掲載'!AN174:AN179)</x:f>
        <x:v>5</x:v>
      </x:c>
      <x:c r="J111" s="23" t="n">
        <x:f>IF(COUNT('中古車掲載'!AN174:AN179)=0,"",MEDIAN('中古車掲載'!AN174:AN179))</x:f>
        <x:v>0.3991271933812165</x:v>
      </x:c>
      <x:c r="K111" s="3"/>
      <x:c r="L111" s="3"/>
      <x:c r="M111" s="3"/>
      <x:c r="N111" s="3"/>
      <x:c r="O111" s="3"/>
      <x:c r="P111" s="3"/>
      <x:c r="Q111" s="3"/>
      <x:c r="R111" s="3"/>
      <x:c r="S111" s="3"/>
      <x:c r="T111" s="3"/>
      <x:c r="U111" s="3"/>
      <x:c r="V111" s="3"/>
      <x:c r="W111" s="3"/>
      <x:c r="X111" s="3"/>
      <x:c r="Y111" s="3"/>
      <x:c r="Z111" s="3"/>
      <x:c r="AA111" s="3"/>
      <x:c r="AB111" s="3"/>
      <x:c r="AC111" s="3"/>
      <x:c r="AD111" s="3"/>
      <x:c r="AE111" s="3"/>
      <x:c r="AF111" s="3"/>
      <x:c r="AG111" s="3"/>
      <x:c r="AH111" s="3"/>
      <x:c r="AI111" s="3"/>
      <x:c r="AJ111" s="3"/>
      <x:c r="AK111" s="3"/>
      <x:c r="AL111" s="3"/>
      <x:c r="AM111" s="3"/>
      <x:c r="AN111" s="3"/>
      <x:c r="AO111" s="3"/>
      <x:c r="AP111" s="3"/>
      <x:c r="AQ111" s="3"/>
      <x:c r="AR111" s="3"/>
      <x:c r="AS111" s="3"/>
      <x:c r="AT111" s="3"/>
      <x:c r="AU111" s="3"/>
      <x:c r="AV111" s="3"/>
      <x:c r="AW111" s="3"/>
      <x:c r="AX111" s="3"/>
      <x:c r="AY111" s="3"/>
      <x:c r="AZ111" s="3" t="str">
        <x:f>IF(AND('中古車掲載'!C112="One2car",'中古車掲載'!F112="ATTO 3",'中古車掲載'!L112="EXTENDED RANGE",'中古車掲載'!J112=2023,ISNUMBER('中古車掲載'!N112),'中古車掲載'!N112&gt;=20000,'中古車掲載'!O112&lt;=100000,'中古車掲載'!AL112=1),'中古車掲載'!U112,"")</x:f>
      </x:c>
      <x:c r="BA111" s="3" t="str">
        <x:f>IF(AND('中古車掲載'!C112="One2car",'中古車掲載'!F112="Corolla Cross",'中古車掲載'!L112="HEV PREMIUM SAFETY",'中古車掲載'!J112=2023,ISNUMBER('中古車掲載'!N112),'中古車掲載'!N112&gt;=20000,'中古車掲載'!O112&lt;=100000,'中古車掲載'!AL112=1,'中古車掲載'!Z112="https://www.one2car.com/en/cars-for-sale/toyota/corolla-cross/year-2023"),'中古車掲載'!U112,"")</x:f>
      </x:c>
      <x:c r="BB111" s="3" t="str">
        <x:f>IF(AND('中古車掲載'!C112="One2car",'中古車掲載'!F112="ATTO 3",'中古車掲載'!L112="EXTENDED RANGE",'中古車掲載'!J112=2023,ISNUMBER('中古車掲載'!N112),'中古車掲載'!N112&gt;=50000,'中古車掲載'!O112&lt;=100000,'中古車掲載'!AL112=1),'中古車掲載'!U112,"")</x:f>
      </x:c>
      <x:c r="BC111" s="3" t="str">
        <x:f>IF(AND('中古車掲載'!C112="One2car",'中古車掲載'!F112="Corolla Cross",'中古車掲載'!L112="HEV PREMIUM SAFETY",'中古車掲載'!J112=2023,ISNUMBER('中古車掲載'!N112),'中古車掲載'!N112&gt;=50000,'中古車掲載'!O112&lt;=100000,'中古車掲載'!AL112=1,'中古車掲載'!Z112="https://www.one2car.com/en/cars-for-sale/toyota/corolla-cross/year-2023"),'中古車掲載'!U112,"")</x:f>
      </x:c>
      <x:c r="BD111" s="3" t="str">
        <x:f>IF(AND('中古車掲載'!C112="One2car",'中古車掲載'!F112="ATTO 3",'中古車掲載'!L112="EXTENDED RANGE",'中古車掲載'!J112=2023,ISNUMBER('中古車掲載'!N112),'中古車掲載'!N112&gt;=20000,'中古車掲載'!O112&lt;=50000,'中古車掲載'!AL112=1),'中古車掲載'!U112,"")</x:f>
      </x:c>
      <x:c r="BE111" s="3" t="str">
        <x:f>IF(AND('中古車掲載'!C112="One2car",'中古車掲載'!F112="Corolla Cross",'中古車掲載'!L112="HEV PREMIUM SAFETY",'中古車掲載'!J112=2023,ISNUMBER('中古車掲載'!N112),'中古車掲載'!N112&gt;=20000,'中古車掲載'!O112&lt;=50000,'中古車掲載'!AL112=1,'中古車掲載'!Z112="https://www.one2car.com/en/cars-for-sale/toyota/corolla-cross/year-2023"),'中古車掲載'!U112,"")</x:f>
      </x:c>
      <x:c r="BF111" s="3" t="str">
        <x:f>IF(AND('中古車掲載'!C112="One2car",'中古車掲載'!F112="Corolla Cross",'中古車掲載'!L112="HEV PREMIUM",'中古車掲載'!J112=2023,ISNUMBER('中古車掲載'!N112),'中古車掲載'!N112&gt;=20000,'中古車掲載'!O112&lt;=100000,'中古車掲載'!AL112=1,'中古車掲載'!Z112="https://www.one2car.com/en/cars-for-sale/toyota/corolla-cross/year-2023"),'中古車掲載'!U112,"")</x:f>
      </x:c>
      <x:c r="BG111" s="3" t="str">
        <x:f>IF(AND('中古車掲載'!C112="One2car",'中古車掲載'!F112="Corolla Cross",'中古車掲載'!L112="HEV GR SPORT",'中古車掲載'!J112=2023,ISNUMBER('中古車掲載'!N112),'中古車掲載'!N112&gt;=20000,'中古車掲載'!O112&lt;=100000,'中古車掲載'!AL112=1,'中古車掲載'!Z112="https://www.one2car.com/en/cars-for-sale/toyota/corolla-cross/year-2023"),'中古車掲載'!U112,"")</x:f>
      </x:c>
      <x:c r="BH111" s="3" t="str">
        <x:f>IF(AND('中古車掲載'!C112="One2car",'中古車掲載'!F112="DOLPHIN",'中古車掲載'!L112="STANDARD RANGE",'中古車掲載'!J112=2023,ISNUMBER('中古車掲載'!N112),'中古車掲載'!N112&gt;=20000,'中古車掲載'!O112&lt;=100000,'中古車掲載'!AL112=1),'中古車掲載'!U112,"")</x:f>
      </x:c>
      <x:c r="BI111" s="3" t="str">
        <x:v>One2car|Fortuner|ICE|Bangkok metro</x:v>
      </x:c>
      <x:c r="BJ111" s="3" t="n">
        <x:v>113</x:v>
      </x:c>
      <x:c r="BK111" s="3" t="n">
        <x:f>'中古車掲載'!AM113</x:f>
        <x:v>1420000</x:v>
      </x:c>
      <x:c r="BL111" s="3" t="str">
        <x:f>IF(ISNUMBER('中古車掲載'!AN113),'中古車掲載'!AN113,"")</x:f>
      </x:c>
      <x:c r="BM111" s="3" t="str">
        <x:v>2021|Single cab</x:v>
      </x:c>
      <x:c r="BN111" s="3" t="n">
        <x:v>702</x:v>
      </x:c>
      <x:c r="BO111" s="3" t="n">
        <x:f>'中古車掲載'!AM702</x:f>
        <x:v>330000</x:v>
      </x:c>
      <x:c r="BP111" s="3" t="str">
        <x:v>2.4 ENTRY CHASSIS</x:v>
      </x:c>
      <x:c r="BQ111" s="3"/>
      <x:c r="BR111" s="3"/>
    </x:row>
    <x:row r="112" ht="22" customHeight="1">
      <x:c r="A112" s="3" t="str">
        <x:v>ATTO 3</x:v>
      </x:c>
      <x:c r="B112" s="3" t="str">
        <x:v>BEV</x:v>
      </x:c>
      <x:c r="C112" s="3" t="str">
        <x:v>Taladrod</x:v>
      </x:c>
      <x:c r="D112" s="3" t="n">
        <x:v>2024</x:v>
      </x:c>
      <x:c r="E112" s="22" t="n">
        <x:f>COUNT('中古車掲載'!AM180:AM180)</x:f>
        <x:v>1</x:v>
      </x:c>
      <x:c r="F112" s="22" t="n">
        <x:f>IF(COUNT('中古車掲載'!AM180:AM180)=0,"",QUARTILE('中古車掲載'!AM180:AM180,1))</x:f>
        <x:v>489000</x:v>
      </x:c>
      <x:c r="G112" s="22" t="n">
        <x:f>IF(COUNT('中古車掲載'!AM180:AM180)=0,"",MEDIAN('中古車掲載'!AM180:AM180))</x:f>
        <x:v>489000</x:v>
      </x:c>
      <x:c r="H112" s="22" t="n">
        <x:f>IF(COUNT('中古車掲載'!AM180:AM180)=0,"",QUARTILE('中古車掲載'!AM180:AM180,3))</x:f>
        <x:v>489000</x:v>
      </x:c>
      <x:c r="I112" s="22" t="n">
        <x:f>COUNT('中古車掲載'!AN180:AN180)</x:f>
        <x:v>1</x:v>
      </x:c>
      <x:c r="J112" s="23" t="n">
        <x:f>IF(COUNT('中古車掲載'!AN180:AN180)=0,"",MEDIAN('中古車掲載'!AN180:AN180))</x:f>
        <x:v>0.543393710412268</x:v>
      </x:c>
      <x:c r="K112" s="3"/>
      <x:c r="L112" s="3"/>
      <x:c r="M112" s="3"/>
      <x:c r="N112" s="3"/>
      <x:c r="O112" s="3"/>
      <x:c r="P112" s="3"/>
      <x:c r="Q112" s="3"/>
      <x:c r="R112" s="3"/>
      <x:c r="S112" s="3"/>
      <x:c r="T112" s="3"/>
      <x:c r="U112" s="3"/>
      <x:c r="V112" s="3"/>
      <x:c r="W112" s="3"/>
      <x:c r="X112" s="3"/>
      <x:c r="Y112" s="3"/>
      <x:c r="Z112" s="3"/>
      <x:c r="AA112" s="3"/>
      <x:c r="AB112" s="3"/>
      <x:c r="AC112" s="3"/>
      <x:c r="AD112" s="3"/>
      <x:c r="AE112" s="3"/>
      <x:c r="AF112" s="3"/>
      <x:c r="AG112" s="3"/>
      <x:c r="AH112" s="3"/>
      <x:c r="AI112" s="3"/>
      <x:c r="AJ112" s="3"/>
      <x:c r="AK112" s="3"/>
      <x:c r="AL112" s="3"/>
      <x:c r="AM112" s="3"/>
      <x:c r="AN112" s="3"/>
      <x:c r="AO112" s="3"/>
      <x:c r="AP112" s="3"/>
      <x:c r="AQ112" s="3"/>
      <x:c r="AR112" s="3"/>
      <x:c r="AS112" s="3"/>
      <x:c r="AT112" s="3"/>
      <x:c r="AU112" s="3"/>
      <x:c r="AV112" s="3"/>
      <x:c r="AW112" s="3"/>
      <x:c r="AX112" s="3"/>
      <x:c r="AY112" s="3"/>
      <x:c r="AZ112" s="3" t="str">
        <x:f>IF(AND('中古車掲載'!C113="One2car",'中古車掲載'!F113="ATTO 3",'中古車掲載'!L113="EXTENDED RANGE",'中古車掲載'!J113=2023,ISNUMBER('中古車掲載'!N113),'中古車掲載'!N113&gt;=20000,'中古車掲載'!O113&lt;=100000,'中古車掲載'!AL113=1),'中古車掲載'!U113,"")</x:f>
      </x:c>
      <x:c r="BA112" s="3" t="str">
        <x:f>IF(AND('中古車掲載'!C113="One2car",'中古車掲載'!F113="Corolla Cross",'中古車掲載'!L113="HEV PREMIUM SAFETY",'中古車掲載'!J113=2023,ISNUMBER('中古車掲載'!N113),'中古車掲載'!N113&gt;=20000,'中古車掲載'!O113&lt;=100000,'中古車掲載'!AL113=1,'中古車掲載'!Z113="https://www.one2car.com/en/cars-for-sale/toyota/corolla-cross/year-2023"),'中古車掲載'!U113,"")</x:f>
      </x:c>
      <x:c r="BB112" s="3" t="str">
        <x:f>IF(AND('中古車掲載'!C113="One2car",'中古車掲載'!F113="ATTO 3",'中古車掲載'!L113="EXTENDED RANGE",'中古車掲載'!J113=2023,ISNUMBER('中古車掲載'!N113),'中古車掲載'!N113&gt;=50000,'中古車掲載'!O113&lt;=100000,'中古車掲載'!AL113=1),'中古車掲載'!U113,"")</x:f>
      </x:c>
      <x:c r="BC112" s="3" t="str">
        <x:f>IF(AND('中古車掲載'!C113="One2car",'中古車掲載'!F113="Corolla Cross",'中古車掲載'!L113="HEV PREMIUM SAFETY",'中古車掲載'!J113=2023,ISNUMBER('中古車掲載'!N113),'中古車掲載'!N113&gt;=50000,'中古車掲載'!O113&lt;=100000,'中古車掲載'!AL113=1,'中古車掲載'!Z113="https://www.one2car.com/en/cars-for-sale/toyota/corolla-cross/year-2023"),'中古車掲載'!U113,"")</x:f>
      </x:c>
      <x:c r="BD112" s="3" t="str">
        <x:f>IF(AND('中古車掲載'!C113="One2car",'中古車掲載'!F113="ATTO 3",'中古車掲載'!L113="EXTENDED RANGE",'中古車掲載'!J113=2023,ISNUMBER('中古車掲載'!N113),'中古車掲載'!N113&gt;=20000,'中古車掲載'!O113&lt;=50000,'中古車掲載'!AL113=1),'中古車掲載'!U113,"")</x:f>
      </x:c>
      <x:c r="BE112" s="3" t="str">
        <x:f>IF(AND('中古車掲載'!C113="One2car",'中古車掲載'!F113="Corolla Cross",'中古車掲載'!L113="HEV PREMIUM SAFETY",'中古車掲載'!J113=2023,ISNUMBER('中古車掲載'!N113),'中古車掲載'!N113&gt;=20000,'中古車掲載'!O113&lt;=50000,'中古車掲載'!AL113=1,'中古車掲載'!Z113="https://www.one2car.com/en/cars-for-sale/toyota/corolla-cross/year-2023"),'中古車掲載'!U113,"")</x:f>
      </x:c>
      <x:c r="BF112" s="3" t="str">
        <x:f>IF(AND('中古車掲載'!C113="One2car",'中古車掲載'!F113="Corolla Cross",'中古車掲載'!L113="HEV PREMIUM",'中古車掲載'!J113=2023,ISNUMBER('中古車掲載'!N113),'中古車掲載'!N113&gt;=20000,'中古車掲載'!O113&lt;=100000,'中古車掲載'!AL113=1,'中古車掲載'!Z113="https://www.one2car.com/en/cars-for-sale/toyota/corolla-cross/year-2023"),'中古車掲載'!U113,"")</x:f>
      </x:c>
      <x:c r="BG112" s="3" t="str">
        <x:f>IF(AND('中古車掲載'!C113="One2car",'中古車掲載'!F113="Corolla Cross",'中古車掲載'!L113="HEV GR SPORT",'中古車掲載'!J113=2023,ISNUMBER('中古車掲載'!N113),'中古車掲載'!N113&gt;=20000,'中古車掲載'!O113&lt;=100000,'中古車掲載'!AL113=1,'中古車掲載'!Z113="https://www.one2car.com/en/cars-for-sale/toyota/corolla-cross/year-2023"),'中古車掲載'!U113,"")</x:f>
      </x:c>
      <x:c r="BH112" s="3" t="str">
        <x:f>IF(AND('中古車掲載'!C113="One2car",'中古車掲載'!F113="DOLPHIN",'中古車掲載'!L113="STANDARD RANGE",'中古車掲載'!J113=2023,ISNUMBER('中古車掲載'!N113),'中古車掲載'!N113&gt;=20000,'中古車掲載'!O113&lt;=100000,'中古車掲載'!AL113=1),'中古車掲載'!U113,"")</x:f>
      </x:c>
      <x:c r="BI112" s="3" t="str">
        <x:v>One2car|Fortuner|ICE|Bangkok metro</x:v>
      </x:c>
      <x:c r="BJ112" s="3" t="n">
        <x:v>114</x:v>
      </x:c>
      <x:c r="BK112" s="3" t="n">
        <x:f>'中古車掲載'!AM114</x:f>
        <x:v>959000</x:v>
      </x:c>
      <x:c r="BL112" s="3" t="str">
        <x:f>IF(ISNUMBER('中古車掲載'!AN114),'中古車掲載'!AN114,"")</x:f>
      </x:c>
      <x:c r="BM112" s="3" t="str">
        <x:v>2021|Single cab</x:v>
      </x:c>
      <x:c r="BN112" s="3" t="n">
        <x:v>713</x:v>
      </x:c>
      <x:c r="BO112" s="3" t="n">
        <x:f>'中古車掲載'!AM713</x:f>
        <x:v>309000</x:v>
      </x:c>
      <x:c r="BP112" s="3" t="str">
        <x:v>2.4 ENTRY STANDARD CAB</x:v>
      </x:c>
      <x:c r="BQ112" s="3"/>
      <x:c r="BR112" s="3"/>
    </x:row>
    <x:row r="113" ht="22" customHeight="1">
      <x:c r="A113" s="3" t="str">
        <x:v>ATTO 3</x:v>
      </x:c>
      <x:c r="B113" s="3" t="str">
        <x:v>BEV</x:v>
      </x:c>
      <x:c r="C113" s="3" t="str">
        <x:v>Taladrod</x:v>
      </x:c>
      <x:c r="D113" s="3" t="n">
        <x:v>2025</x:v>
      </x:c>
      <x:c r="E113" s="22" t="n">
        <x:f>COUNT('中古車掲載'!AM181:AM181)</x:f>
        <x:v>1</x:v>
      </x:c>
      <x:c r="F113" s="22" t="n">
        <x:f>IF(COUNT('中古車掲載'!AM181:AM181)=0,"",QUARTILE('中古車掲載'!AM181:AM181,1))</x:f>
        <x:v>529000</x:v>
      </x:c>
      <x:c r="G113" s="22" t="n">
        <x:f>IF(COUNT('中古車掲載'!AM181:AM181)=0,"",MEDIAN('中古車掲載'!AM181:AM181))</x:f>
        <x:v>529000</x:v>
      </x:c>
      <x:c r="H113" s="22" t="n">
        <x:f>IF(COUNT('中古車掲載'!AM181:AM181)=0,"",QUARTILE('中古車掲載'!AM181:AM181,3))</x:f>
        <x:v>529000</x:v>
      </x:c>
      <x:c r="I113" s="22" t="n">
        <x:f>COUNT('中古車掲載'!AN181:AN181)</x:f>
        <x:v>0</x:v>
      </x:c>
      <x:c r="J113" s="23" t="str">
        <x:f>IF(COUNT('中古車掲載'!AN181:AN181)=0,"",MEDIAN('中古車掲載'!AN181:AN181))</x:f>
      </x:c>
      <x:c r="K113" s="3"/>
      <x:c r="L113" s="3"/>
      <x:c r="M113" s="3"/>
      <x:c r="N113" s="3"/>
      <x:c r="O113" s="3"/>
      <x:c r="P113" s="3"/>
      <x:c r="Q113" s="3"/>
      <x:c r="R113" s="3"/>
      <x:c r="S113" s="3"/>
      <x:c r="T113" s="3"/>
      <x:c r="U113" s="3"/>
      <x:c r="V113" s="3"/>
      <x:c r="W113" s="3"/>
      <x:c r="X113" s="3"/>
      <x:c r="Y113" s="3"/>
      <x:c r="Z113" s="3"/>
      <x:c r="AA113" s="3"/>
      <x:c r="AB113" s="3"/>
      <x:c r="AC113" s="3"/>
      <x:c r="AD113" s="3"/>
      <x:c r="AE113" s="3"/>
      <x:c r="AF113" s="3"/>
      <x:c r="AG113" s="3"/>
      <x:c r="AH113" s="3"/>
      <x:c r="AI113" s="3"/>
      <x:c r="AJ113" s="3"/>
      <x:c r="AK113" s="3"/>
      <x:c r="AL113" s="3"/>
      <x:c r="AM113" s="3"/>
      <x:c r="AN113" s="3"/>
      <x:c r="AO113" s="3"/>
      <x:c r="AP113" s="3"/>
      <x:c r="AQ113" s="3"/>
      <x:c r="AR113" s="3"/>
      <x:c r="AS113" s="3"/>
      <x:c r="AT113" s="3"/>
      <x:c r="AU113" s="3"/>
      <x:c r="AV113" s="3"/>
      <x:c r="AW113" s="3"/>
      <x:c r="AX113" s="3"/>
      <x:c r="AY113" s="3"/>
      <x:c r="AZ113" s="3" t="str">
        <x:f>IF(AND('中古車掲載'!C114="One2car",'中古車掲載'!F114="ATTO 3",'中古車掲載'!L114="EXTENDED RANGE",'中古車掲載'!J114=2023,ISNUMBER('中古車掲載'!N114),'中古車掲載'!N114&gt;=20000,'中古車掲載'!O114&lt;=100000,'中古車掲載'!AL114=1),'中古車掲載'!U114,"")</x:f>
      </x:c>
      <x:c r="BA113" s="3" t="str">
        <x:f>IF(AND('中古車掲載'!C114="One2car",'中古車掲載'!F114="Corolla Cross",'中古車掲載'!L114="HEV PREMIUM SAFETY",'中古車掲載'!J114=2023,ISNUMBER('中古車掲載'!N114),'中古車掲載'!N114&gt;=20000,'中古車掲載'!O114&lt;=100000,'中古車掲載'!AL114=1,'中古車掲載'!Z114="https://www.one2car.com/en/cars-for-sale/toyota/corolla-cross/year-2023"),'中古車掲載'!U114,"")</x:f>
      </x:c>
      <x:c r="BB113" s="3" t="str">
        <x:f>IF(AND('中古車掲載'!C114="One2car",'中古車掲載'!F114="ATTO 3",'中古車掲載'!L114="EXTENDED RANGE",'中古車掲載'!J114=2023,ISNUMBER('中古車掲載'!N114),'中古車掲載'!N114&gt;=50000,'中古車掲載'!O114&lt;=100000,'中古車掲載'!AL114=1),'中古車掲載'!U114,"")</x:f>
      </x:c>
      <x:c r="BC113" s="3" t="str">
        <x:f>IF(AND('中古車掲載'!C114="One2car",'中古車掲載'!F114="Corolla Cross",'中古車掲載'!L114="HEV PREMIUM SAFETY",'中古車掲載'!J114=2023,ISNUMBER('中古車掲載'!N114),'中古車掲載'!N114&gt;=50000,'中古車掲載'!O114&lt;=100000,'中古車掲載'!AL114=1,'中古車掲載'!Z114="https://www.one2car.com/en/cars-for-sale/toyota/corolla-cross/year-2023"),'中古車掲載'!U114,"")</x:f>
      </x:c>
      <x:c r="BD113" s="3" t="str">
        <x:f>IF(AND('中古車掲載'!C114="One2car",'中古車掲載'!F114="ATTO 3",'中古車掲載'!L114="EXTENDED RANGE",'中古車掲載'!J114=2023,ISNUMBER('中古車掲載'!N114),'中古車掲載'!N114&gt;=20000,'中古車掲載'!O114&lt;=50000,'中古車掲載'!AL114=1),'中古車掲載'!U114,"")</x:f>
      </x:c>
      <x:c r="BE113" s="3" t="str">
        <x:f>IF(AND('中古車掲載'!C114="One2car",'中古車掲載'!F114="Corolla Cross",'中古車掲載'!L114="HEV PREMIUM SAFETY",'中古車掲載'!J114=2023,ISNUMBER('中古車掲載'!N114),'中古車掲載'!N114&gt;=20000,'中古車掲載'!O114&lt;=50000,'中古車掲載'!AL114=1,'中古車掲載'!Z114="https://www.one2car.com/en/cars-for-sale/toyota/corolla-cross/year-2023"),'中古車掲載'!U114,"")</x:f>
      </x:c>
      <x:c r="BF113" s="3" t="str">
        <x:f>IF(AND('中古車掲載'!C114="One2car",'中古車掲載'!F114="Corolla Cross",'中古車掲載'!L114="HEV PREMIUM",'中古車掲載'!J114=2023,ISNUMBER('中古車掲載'!N114),'中古車掲載'!N114&gt;=20000,'中古車掲載'!O114&lt;=100000,'中古車掲載'!AL114=1,'中古車掲載'!Z114="https://www.one2car.com/en/cars-for-sale/toyota/corolla-cross/year-2023"),'中古車掲載'!U114,"")</x:f>
      </x:c>
      <x:c r="BG113" s="3" t="str">
        <x:f>IF(AND('中古車掲載'!C114="One2car",'中古車掲載'!F114="Corolla Cross",'中古車掲載'!L114="HEV GR SPORT",'中古車掲載'!J114=2023,ISNUMBER('中古車掲載'!N114),'中古車掲載'!N114&gt;=20000,'中古車掲載'!O114&lt;=100000,'中古車掲載'!AL114=1,'中古車掲載'!Z114="https://www.one2car.com/en/cars-for-sale/toyota/corolla-cross/year-2023"),'中古車掲載'!U114,"")</x:f>
      </x:c>
      <x:c r="BH113" s="3" t="str">
        <x:f>IF(AND('中古車掲載'!C114="One2car",'中古車掲載'!F114="DOLPHIN",'中古車掲載'!L114="STANDARD RANGE",'中古車掲載'!J114=2023,ISNUMBER('中古車掲載'!N114),'中古車掲載'!N114&gt;=20000,'中古車掲載'!O114&lt;=100000,'中古車掲載'!AL114=1),'中古車掲載'!U114,"")</x:f>
      </x:c>
      <x:c r="BI113" s="3" t="str">
        <x:v>One2car|Fortuner|ICE|Bangkok metro</x:v>
      </x:c>
      <x:c r="BJ113" s="3" t="n">
        <x:v>115</x:v>
      </x:c>
      <x:c r="BK113" s="3" t="n">
        <x:f>'中古車掲載'!AM115</x:f>
        <x:v>1150000</x:v>
      </x:c>
      <x:c r="BL113" s="3" t="str">
        <x:f>IF(ISNUMBER('中古車掲載'!AN115),'中古車掲載'!AN115,"")</x:f>
      </x:c>
      <x:c r="BM113" s="3" t="str">
        <x:v>2021|Single cab</x:v>
      </x:c>
      <x:c r="BN113" s="3" t="n">
        <x:v>714</x:v>
      </x:c>
      <x:c r="BO113" s="3" t="n">
        <x:f>'中古車掲載'!AM714</x:f>
        <x:v>344000</x:v>
      </x:c>
      <x:c r="BP113" s="3" t="str">
        <x:v>2.4 ENTRY STANDARD CAB</x:v>
      </x:c>
      <x:c r="BQ113" s="3"/>
      <x:c r="BR113" s="3"/>
    </x:row>
    <x:row r="114" ht="22" customHeight="1">
      <x:c r="A114" s="3" t="str">
        <x:v>ATTO 3</x:v>
      </x:c>
      <x:c r="B114" s="3" t="str">
        <x:v>BEV</x:v>
      </x:c>
      <x:c r="C114" s="3" t="str">
        <x:v>Taladrod</x:v>
      </x:c>
      <x:c r="D114" s="3" t="n">
        <x:v>2026</x:v>
      </x:c>
      <x:c r="E114" s="22" t="n">
        <x:f>COUNT('中古車掲載'!AM182:AM184)</x:f>
        <x:v>0</x:v>
      </x:c>
      <x:c r="F114" s="22" t="str">
        <x:f>IF(COUNT('中古車掲載'!AM182:AM184)=0,"",QUARTILE('中古車掲載'!AM182:AM184,1))</x:f>
      </x:c>
      <x:c r="G114" s="22" t="str">
        <x:f>IF(COUNT('中古車掲載'!AM182:AM184)=0,"",MEDIAN('中古車掲載'!AM182:AM184))</x:f>
      </x:c>
      <x:c r="H114" s="22" t="str">
        <x:f>IF(COUNT('中古車掲載'!AM182:AM184)=0,"",QUARTILE('中古車掲載'!AM182:AM184,3))</x:f>
      </x:c>
      <x:c r="I114" s="22" t="n">
        <x:f>COUNT('中古車掲載'!AN182:AN184)</x:f>
        <x:v>0</x:v>
      </x:c>
      <x:c r="J114" s="23" t="str">
        <x:f>IF(COUNT('中古車掲載'!AN182:AN184)=0,"",MEDIAN('中古車掲載'!AN182:AN184))</x:f>
      </x:c>
      <x:c r="K114" s="3"/>
      <x:c r="L114" s="3"/>
      <x:c r="M114" s="3"/>
      <x:c r="N114" s="3"/>
      <x:c r="O114" s="3"/>
      <x:c r="P114" s="3"/>
      <x:c r="Q114" s="3"/>
      <x:c r="R114" s="3"/>
      <x:c r="S114" s="3"/>
      <x:c r="T114" s="3"/>
      <x:c r="U114" s="3"/>
      <x:c r="V114" s="3"/>
      <x:c r="W114" s="3"/>
      <x:c r="X114" s="3"/>
      <x:c r="Y114" s="3"/>
      <x:c r="Z114" s="3"/>
      <x:c r="AA114" s="3"/>
      <x:c r="AB114" s="3"/>
      <x:c r="AC114" s="3"/>
      <x:c r="AD114" s="3"/>
      <x:c r="AE114" s="3"/>
      <x:c r="AF114" s="3"/>
      <x:c r="AG114" s="3"/>
      <x:c r="AH114" s="3"/>
      <x:c r="AI114" s="3"/>
      <x:c r="AJ114" s="3"/>
      <x:c r="AK114" s="3"/>
      <x:c r="AL114" s="3"/>
      <x:c r="AM114" s="3"/>
      <x:c r="AN114" s="3"/>
      <x:c r="AO114" s="3"/>
      <x:c r="AP114" s="3"/>
      <x:c r="AQ114" s="3"/>
      <x:c r="AR114" s="3"/>
      <x:c r="AS114" s="3"/>
      <x:c r="AT114" s="3"/>
      <x:c r="AU114" s="3"/>
      <x:c r="AV114" s="3"/>
      <x:c r="AW114" s="3"/>
      <x:c r="AX114" s="3"/>
      <x:c r="AY114" s="3"/>
      <x:c r="AZ114" s="3" t="str">
        <x:f>IF(AND('中古車掲載'!C115="One2car",'中古車掲載'!F115="ATTO 3",'中古車掲載'!L115="EXTENDED RANGE",'中古車掲載'!J115=2023,ISNUMBER('中古車掲載'!N115),'中古車掲載'!N115&gt;=20000,'中古車掲載'!O115&lt;=100000,'中古車掲載'!AL115=1),'中古車掲載'!U115,"")</x:f>
      </x:c>
      <x:c r="BA114" s="3" t="str">
        <x:f>IF(AND('中古車掲載'!C115="One2car",'中古車掲載'!F115="Corolla Cross",'中古車掲載'!L115="HEV PREMIUM SAFETY",'中古車掲載'!J115=2023,ISNUMBER('中古車掲載'!N115),'中古車掲載'!N115&gt;=20000,'中古車掲載'!O115&lt;=100000,'中古車掲載'!AL115=1,'中古車掲載'!Z115="https://www.one2car.com/en/cars-for-sale/toyota/corolla-cross/year-2023"),'中古車掲載'!U115,"")</x:f>
      </x:c>
      <x:c r="BB114" s="3" t="str">
        <x:f>IF(AND('中古車掲載'!C115="One2car",'中古車掲載'!F115="ATTO 3",'中古車掲載'!L115="EXTENDED RANGE",'中古車掲載'!J115=2023,ISNUMBER('中古車掲載'!N115),'中古車掲載'!N115&gt;=50000,'中古車掲載'!O115&lt;=100000,'中古車掲載'!AL115=1),'中古車掲載'!U115,"")</x:f>
      </x:c>
      <x:c r="BC114" s="3" t="str">
        <x:f>IF(AND('中古車掲載'!C115="One2car",'中古車掲載'!F115="Corolla Cross",'中古車掲載'!L115="HEV PREMIUM SAFETY",'中古車掲載'!J115=2023,ISNUMBER('中古車掲載'!N115),'中古車掲載'!N115&gt;=50000,'中古車掲載'!O115&lt;=100000,'中古車掲載'!AL115=1,'中古車掲載'!Z115="https://www.one2car.com/en/cars-for-sale/toyota/corolla-cross/year-2023"),'中古車掲載'!U115,"")</x:f>
      </x:c>
      <x:c r="BD114" s="3" t="str">
        <x:f>IF(AND('中古車掲載'!C115="One2car",'中古車掲載'!F115="ATTO 3",'中古車掲載'!L115="EXTENDED RANGE",'中古車掲載'!J115=2023,ISNUMBER('中古車掲載'!N115),'中古車掲載'!N115&gt;=20000,'中古車掲載'!O115&lt;=50000,'中古車掲載'!AL115=1),'中古車掲載'!U115,"")</x:f>
      </x:c>
      <x:c r="BE114" s="3" t="str">
        <x:f>IF(AND('中古車掲載'!C115="One2car",'中古車掲載'!F115="Corolla Cross",'中古車掲載'!L115="HEV PREMIUM SAFETY",'中古車掲載'!J115=2023,ISNUMBER('中古車掲載'!N115),'中古車掲載'!N115&gt;=20000,'中古車掲載'!O115&lt;=50000,'中古車掲載'!AL115=1,'中古車掲載'!Z115="https://www.one2car.com/en/cars-for-sale/toyota/corolla-cross/year-2023"),'中古車掲載'!U115,"")</x:f>
      </x:c>
      <x:c r="BF114" s="3" t="str">
        <x:f>IF(AND('中古車掲載'!C115="One2car",'中古車掲載'!F115="Corolla Cross",'中古車掲載'!L115="HEV PREMIUM",'中古車掲載'!J115=2023,ISNUMBER('中古車掲載'!N115),'中古車掲載'!N115&gt;=20000,'中古車掲載'!O115&lt;=100000,'中古車掲載'!AL115=1,'中古車掲載'!Z115="https://www.one2car.com/en/cars-for-sale/toyota/corolla-cross/year-2023"),'中古車掲載'!U115,"")</x:f>
      </x:c>
      <x:c r="BG114" s="3" t="str">
        <x:f>IF(AND('中古車掲載'!C115="One2car",'中古車掲載'!F115="Corolla Cross",'中古車掲載'!L115="HEV GR SPORT",'中古車掲載'!J115=2023,ISNUMBER('中古車掲載'!N115),'中古車掲載'!N115&gt;=20000,'中古車掲載'!O115&lt;=100000,'中古車掲載'!AL115=1,'中古車掲載'!Z115="https://www.one2car.com/en/cars-for-sale/toyota/corolla-cross/year-2023"),'中古車掲載'!U115,"")</x:f>
      </x:c>
      <x:c r="BH114" s="3" t="str">
        <x:f>IF(AND('中古車掲載'!C115="One2car",'中古車掲載'!F115="DOLPHIN",'中古車掲載'!L115="STANDARD RANGE",'中古車掲載'!J115=2023,ISNUMBER('中古車掲載'!N115),'中古車掲載'!N115&gt;=20000,'中古車掲載'!O115&lt;=100000,'中古車掲載'!AL115=1),'中古車掲載'!U115,"")</x:f>
      </x:c>
      <x:c r="BI114" s="3" t="str">
        <x:v>One2car|Fortuner|ICE|Other province</x:v>
      </x:c>
      <x:c r="BJ114" s="3" t="n">
        <x:v>106</x:v>
      </x:c>
      <x:c r="BK114" s="3" t="n">
        <x:f>'中古車掲載'!AM106</x:f>
        <x:v>799000</x:v>
      </x:c>
      <x:c r="BL114" s="3" t="str">
        <x:f>IF(ISNUMBER('中古車掲載'!AN106),'中古車掲載'!AN106,"")</x:f>
      </x:c>
      <x:c r="BM114" s="3" t="str">
        <x:v>2021|Single cab</x:v>
      </x:c>
      <x:c r="BN114" s="3" t="n">
        <x:v>715</x:v>
      </x:c>
      <x:c r="BO114" s="3" t="n">
        <x:f>'中古車掲載'!AM715</x:f>
        <x:v>334000</x:v>
      </x:c>
      <x:c r="BP114" s="3" t="str">
        <x:v>2.4 ENTRY STANDARD CAB</x:v>
      </x:c>
      <x:c r="BQ114" s="3"/>
      <x:c r="BR114" s="3"/>
    </x:row>
    <x:row r="115" ht="30" customHeight="1">
      <x:c r="A115" s="3" t="str">
        <x:v>Corolla Altis</x:v>
      </x:c>
      <x:c r="B115" s="3" t="str">
        <x:v>HEV</x:v>
      </x:c>
      <x:c r="C115" s="3" t="str">
        <x:v>Taladrod</x:v>
      </x:c>
      <x:c r="D115" s="3" t="n">
        <x:v>2020</x:v>
      </x:c>
      <x:c r="E115" s="22" t="n">
        <x:f>COUNT('中古車掲載'!AM185:AM193)</x:f>
        <x:v>9</x:v>
      </x:c>
      <x:c r="F115" s="22" t="n">
        <x:f>IF(COUNT('中古車掲載'!AM185:AM193)=0,"",QUARTILE('中古車掲載'!AM185:AM193,1))</x:f>
        <x:v>459000</x:v>
      </x:c>
      <x:c r="G115" s="22" t="n">
        <x:f>IF(COUNT('中古車掲載'!AM185:AM193)=0,"",MEDIAN('中古車掲載'!AM185:AM193))</x:f>
        <x:v>479000</x:v>
      </x:c>
      <x:c r="H115" s="22" t="n">
        <x:f>IF(COUNT('中古車掲載'!AM185:AM193)=0,"",QUARTILE('中古車掲載'!AM185:AM193,3))</x:f>
        <x:v>499000</x:v>
      </x:c>
      <x:c r="I115" s="22" t="n">
        <x:f>COUNT('中古車掲載'!AN185:AN193)</x:f>
        <x:v>0</x:v>
      </x:c>
      <x:c r="J115" s="23" t="str">
        <x:f>IF(COUNT('中古車掲載'!AN185:AN193)=0,"",MEDIAN('中古車掲載'!AN185:AN193))</x:f>
      </x:c>
      <x:c r="K115" s="3"/>
      <x:c r="L115" s="3"/>
      <x:c r="M115" s="3"/>
      <x:c r="N115" s="3"/>
      <x:c r="O115" s="3"/>
      <x:c r="P115" s="3"/>
      <x:c r="Q115" s="3"/>
      <x:c r="R115" s="3"/>
      <x:c r="S115" s="3"/>
      <x:c r="T115" s="3"/>
      <x:c r="U115" s="3"/>
      <x:c r="V115" s="3"/>
      <x:c r="W115" s="3"/>
      <x:c r="X115" s="3"/>
      <x:c r="Y115" s="3"/>
      <x:c r="Z115" s="3"/>
      <x:c r="AA115" s="16" t="str">
        <x:v>モデル/動力</x:v>
      </x:c>
      <x:c r="AB115" s="21" t="str">
        <x:v>都市圏N</x:v>
      </x:c>
      <x:c r="AC115" s="21" t="str">
        <x:v>他県N</x:v>
      </x:c>
      <x:c r="AD115" s="21" t="str">
        <x:v>都市圏中央値</x:v>
      </x:c>
      <x:c r="AE115" s="17" t="str">
        <x:v>他県中央値</x:v>
      </x:c>
      <x:c r="AF115" s="3"/>
      <x:c r="AG115" s="3"/>
      <x:c r="AH115" s="3"/>
      <x:c r="AI115" s="3"/>
      <x:c r="AJ115" s="3"/>
      <x:c r="AK115" s="3"/>
      <x:c r="AL115" s="3"/>
      <x:c r="AM115" s="3"/>
      <x:c r="AN115" s="3"/>
      <x:c r="AO115" s="3"/>
      <x:c r="AP115" s="3"/>
      <x:c r="AQ115" s="3"/>
      <x:c r="AR115" s="3"/>
      <x:c r="AS115" s="3"/>
      <x:c r="AT115" s="3"/>
      <x:c r="AU115" s="3"/>
      <x:c r="AV115" s="3"/>
      <x:c r="AW115" s="3"/>
      <x:c r="AX115" s="3"/>
      <x:c r="AY115" s="3"/>
      <x:c r="AZ115" s="3" t="str">
        <x:f>IF(AND('中古車掲載'!C116="One2car",'中古車掲載'!F116="ATTO 3",'中古車掲載'!L116="EXTENDED RANGE",'中古車掲載'!J116=2023,ISNUMBER('中古車掲載'!N116),'中古車掲載'!N116&gt;=20000,'中古車掲載'!O116&lt;=100000,'中古車掲載'!AL116=1),'中古車掲載'!U116,"")</x:f>
      </x:c>
      <x:c r="BA115" s="3" t="str">
        <x:f>IF(AND('中古車掲載'!C116="One2car",'中古車掲載'!F116="Corolla Cross",'中古車掲載'!L116="HEV PREMIUM SAFETY",'中古車掲載'!J116=2023,ISNUMBER('中古車掲載'!N116),'中古車掲載'!N116&gt;=20000,'中古車掲載'!O116&lt;=100000,'中古車掲載'!AL116=1,'中古車掲載'!Z116="https://www.one2car.com/en/cars-for-sale/toyota/corolla-cross/year-2023"),'中古車掲載'!U116,"")</x:f>
      </x:c>
      <x:c r="BB115" s="3" t="str">
        <x:f>IF(AND('中古車掲載'!C116="One2car",'中古車掲載'!F116="ATTO 3",'中古車掲載'!L116="EXTENDED RANGE",'中古車掲載'!J116=2023,ISNUMBER('中古車掲載'!N116),'中古車掲載'!N116&gt;=50000,'中古車掲載'!O116&lt;=100000,'中古車掲載'!AL116=1),'中古車掲載'!U116,"")</x:f>
      </x:c>
      <x:c r="BC115" s="3" t="str">
        <x:f>IF(AND('中古車掲載'!C116="One2car",'中古車掲載'!F116="Corolla Cross",'中古車掲載'!L116="HEV PREMIUM SAFETY",'中古車掲載'!J116=2023,ISNUMBER('中古車掲載'!N116),'中古車掲載'!N116&gt;=50000,'中古車掲載'!O116&lt;=100000,'中古車掲載'!AL116=1,'中古車掲載'!Z116="https://www.one2car.com/en/cars-for-sale/toyota/corolla-cross/year-2023"),'中古車掲載'!U116,"")</x:f>
      </x:c>
      <x:c r="BD115" s="3" t="str">
        <x:f>IF(AND('中古車掲載'!C116="One2car",'中古車掲載'!F116="ATTO 3",'中古車掲載'!L116="EXTENDED RANGE",'中古車掲載'!J116=2023,ISNUMBER('中古車掲載'!N116),'中古車掲載'!N116&gt;=20000,'中古車掲載'!O116&lt;=50000,'中古車掲載'!AL116=1),'中古車掲載'!U116,"")</x:f>
      </x:c>
      <x:c r="BE115" s="3" t="str">
        <x:f>IF(AND('中古車掲載'!C116="One2car",'中古車掲載'!F116="Corolla Cross",'中古車掲載'!L116="HEV PREMIUM SAFETY",'中古車掲載'!J116=2023,ISNUMBER('中古車掲載'!N116),'中古車掲載'!N116&gt;=20000,'中古車掲載'!O116&lt;=50000,'中古車掲載'!AL116=1,'中古車掲載'!Z116="https://www.one2car.com/en/cars-for-sale/toyota/corolla-cross/year-2023"),'中古車掲載'!U116,"")</x:f>
      </x:c>
      <x:c r="BF115" s="3" t="str">
        <x:f>IF(AND('中古車掲載'!C116="One2car",'中古車掲載'!F116="Corolla Cross",'中古車掲載'!L116="HEV PREMIUM",'中古車掲載'!J116=2023,ISNUMBER('中古車掲載'!N116),'中古車掲載'!N116&gt;=20000,'中古車掲載'!O116&lt;=100000,'中古車掲載'!AL116=1,'中古車掲載'!Z116="https://www.one2car.com/en/cars-for-sale/toyota/corolla-cross/year-2023"),'中古車掲載'!U116,"")</x:f>
      </x:c>
      <x:c r="BG115" s="3" t="str">
        <x:f>IF(AND('中古車掲載'!C116="One2car",'中古車掲載'!F116="Corolla Cross",'中古車掲載'!L116="HEV GR SPORT",'中古車掲載'!J116=2023,ISNUMBER('中古車掲載'!N116),'中古車掲載'!N116&gt;=20000,'中古車掲載'!O116&lt;=100000,'中古車掲載'!AL116=1,'中古車掲載'!Z116="https://www.one2car.com/en/cars-for-sale/toyota/corolla-cross/year-2023"),'中古車掲載'!U116,"")</x:f>
      </x:c>
      <x:c r="BH115" s="3" t="str">
        <x:f>IF(AND('中古車掲載'!C116="One2car",'中古車掲載'!F116="DOLPHIN",'中古車掲載'!L116="STANDARD RANGE",'中古車掲載'!J116=2023,ISNUMBER('中古車掲載'!N116),'中古車掲載'!N116&gt;=20000,'中古車掲載'!O116&lt;=100000,'中古車掲載'!AL116=1),'中古車掲載'!U116,"")</x:f>
      </x:c>
      <x:c r="BI115" s="3" t="str">
        <x:v>One2car|Hilux Revo|ICE|Bangkok metro</x:v>
      </x:c>
      <x:c r="BJ115" s="3" t="n">
        <x:v>116</x:v>
      </x:c>
      <x:c r="BK115" s="3" t="n">
        <x:f>'中古車掲載'!AM116</x:f>
        <x:v>399000</x:v>
      </x:c>
      <x:c r="BL115" s="3" t="str">
        <x:f>IF(ISNUMBER('中古車掲載'!AN116),'中古車掲載'!AN116,"")</x:f>
      </x:c>
      <x:c r="BM115" s="3" t="str">
        <x:v>2021|Single cab</x:v>
      </x:c>
      <x:c r="BN115" s="3" t="n">
        <x:v>716</x:v>
      </x:c>
      <x:c r="BO115" s="3" t="n">
        <x:f>'中古車掲載'!AM716</x:f>
        <x:v>429000</x:v>
      </x:c>
      <x:c r="BP115" s="3" t="str">
        <x:v>2.4 ENTRY STANDARD CAB</x:v>
      </x:c>
      <x:c r="BQ115" s="3"/>
      <x:c r="BR115" s="3"/>
    </x:row>
    <x:row r="116" ht="22" customHeight="1">
      <x:c r="A116" s="3" t="str">
        <x:v>Corolla Altis</x:v>
      </x:c>
      <x:c r="B116" s="3" t="str">
        <x:v>HEV</x:v>
      </x:c>
      <x:c r="C116" s="3" t="str">
        <x:v>Taladrod</x:v>
      </x:c>
      <x:c r="D116" s="3" t="n">
        <x:v>2021</x:v>
      </x:c>
      <x:c r="E116" s="22" t="n">
        <x:f>COUNT('中古車掲載'!AM194:AM200)</x:f>
        <x:v>7</x:v>
      </x:c>
      <x:c r="F116" s="22" t="n">
        <x:f>IF(COUNT('中古車掲載'!AM194:AM200)=0,"",QUARTILE('中古車掲載'!AM194:AM200,1))</x:f>
        <x:v>477000</x:v>
      </x:c>
      <x:c r="G116" s="22" t="n">
        <x:f>IF(COUNT('中古車掲載'!AM194:AM200)=0,"",MEDIAN('中古車掲載'!AM194:AM200))</x:f>
        <x:v>489000</x:v>
      </x:c>
      <x:c r="H116" s="22" t="n">
        <x:f>IF(COUNT('中古車掲載'!AM194:AM200)=0,"",QUARTILE('中古車掲載'!AM194:AM200,3))</x:f>
        <x:v>574000</x:v>
      </x:c>
      <x:c r="I116" s="22" t="n">
        <x:f>COUNT('中古車掲載'!AN194:AN200)</x:f>
        <x:v>0</x:v>
      </x:c>
      <x:c r="J116" s="23" t="str">
        <x:f>IF(COUNT('中古車掲載'!AN194:AN200)=0,"",MEDIAN('中古車掲載'!AN194:AN200))</x:f>
      </x:c>
      <x:c r="K116" s="3"/>
      <x:c r="L116" s="3"/>
      <x:c r="M116" s="3"/>
      <x:c r="N116" s="3"/>
      <x:c r="O116" s="3"/>
      <x:c r="P116" s="3"/>
      <x:c r="Q116" s="3"/>
      <x:c r="R116" s="3"/>
      <x:c r="S116" s="3"/>
      <x:c r="T116" s="3"/>
      <x:c r="U116" s="3"/>
      <x:c r="V116" s="3"/>
      <x:c r="W116" s="3"/>
      <x:c r="X116" s="3"/>
      <x:c r="Y116" s="3"/>
      <x:c r="Z116" s="3"/>
      <x:c r="AA116" s="3" t="str">
        <x:v>ATTO 3 BEV</x:v>
      </x:c>
      <x:c r="AB116" s="3" t="n">
        <x:f>V9</x:f>
        <x:v>15</x:v>
      </x:c>
      <x:c r="AC116" s="3" t="n">
        <x:f>0</x:f>
        <x:v>0</x:v>
      </x:c>
      <x:c r="AD116" s="3" t="n">
        <x:f>IF(V9&gt;0,X9,"")</x:f>
        <x:v>469000</x:v>
      </x:c>
      <x:c r="AE116" s="3" t="str">
        <x:f>""</x:f>
      </x:c>
      <x:c r="AF116" s="3"/>
      <x:c r="AG116" s="3"/>
      <x:c r="AH116" s="3"/>
      <x:c r="AI116" s="3"/>
      <x:c r="AJ116" s="3"/>
      <x:c r="AK116" s="3"/>
      <x:c r="AL116" s="3"/>
      <x:c r="AM116" s="3"/>
      <x:c r="AN116" s="3"/>
      <x:c r="AO116" s="3"/>
      <x:c r="AP116" s="3"/>
      <x:c r="AQ116" s="3"/>
      <x:c r="AR116" s="3"/>
      <x:c r="AS116" s="3"/>
      <x:c r="AT116" s="3"/>
      <x:c r="AU116" s="3"/>
      <x:c r="AV116" s="3"/>
      <x:c r="AW116" s="3"/>
      <x:c r="AX116" s="3"/>
      <x:c r="AY116" s="3"/>
      <x:c r="AZ116" s="3" t="str">
        <x:f>IF(AND('中古車掲載'!C117="One2car",'中古車掲載'!F117="ATTO 3",'中古車掲載'!L117="EXTENDED RANGE",'中古車掲載'!J117=2023,ISNUMBER('中古車掲載'!N117),'中古車掲載'!N117&gt;=20000,'中古車掲載'!O117&lt;=100000,'中古車掲載'!AL117=1),'中古車掲載'!U117,"")</x:f>
      </x:c>
      <x:c r="BA116" s="3" t="str">
        <x:f>IF(AND('中古車掲載'!C117="One2car",'中古車掲載'!F117="Corolla Cross",'中古車掲載'!L117="HEV PREMIUM SAFETY",'中古車掲載'!J117=2023,ISNUMBER('中古車掲載'!N117),'中古車掲載'!N117&gt;=20000,'中古車掲載'!O117&lt;=100000,'中古車掲載'!AL117=1,'中古車掲載'!Z117="https://www.one2car.com/en/cars-for-sale/toyota/corolla-cross/year-2023"),'中古車掲載'!U117,"")</x:f>
      </x:c>
      <x:c r="BB116" s="3" t="str">
        <x:f>IF(AND('中古車掲載'!C117="One2car",'中古車掲載'!F117="ATTO 3",'中古車掲載'!L117="EXTENDED RANGE",'中古車掲載'!J117=2023,ISNUMBER('中古車掲載'!N117),'中古車掲載'!N117&gt;=50000,'中古車掲載'!O117&lt;=100000,'中古車掲載'!AL117=1),'中古車掲載'!U117,"")</x:f>
      </x:c>
      <x:c r="BC116" s="3" t="str">
        <x:f>IF(AND('中古車掲載'!C117="One2car",'中古車掲載'!F117="Corolla Cross",'中古車掲載'!L117="HEV PREMIUM SAFETY",'中古車掲載'!J117=2023,ISNUMBER('中古車掲載'!N117),'中古車掲載'!N117&gt;=50000,'中古車掲載'!O117&lt;=100000,'中古車掲載'!AL117=1,'中古車掲載'!Z117="https://www.one2car.com/en/cars-for-sale/toyota/corolla-cross/year-2023"),'中古車掲載'!U117,"")</x:f>
      </x:c>
      <x:c r="BD116" s="3" t="str">
        <x:f>IF(AND('中古車掲載'!C117="One2car",'中古車掲載'!F117="ATTO 3",'中古車掲載'!L117="EXTENDED RANGE",'中古車掲載'!J117=2023,ISNUMBER('中古車掲載'!N117),'中古車掲載'!N117&gt;=20000,'中古車掲載'!O117&lt;=50000,'中古車掲載'!AL117=1),'中古車掲載'!U117,"")</x:f>
      </x:c>
      <x:c r="BE116" s="3" t="str">
        <x:f>IF(AND('中古車掲載'!C117="One2car",'中古車掲載'!F117="Corolla Cross",'中古車掲載'!L117="HEV PREMIUM SAFETY",'中古車掲載'!J117=2023,ISNUMBER('中古車掲載'!N117),'中古車掲載'!N117&gt;=20000,'中古車掲載'!O117&lt;=50000,'中古車掲載'!AL117=1,'中古車掲載'!Z117="https://www.one2car.com/en/cars-for-sale/toyota/corolla-cross/year-2023"),'中古車掲載'!U117,"")</x:f>
      </x:c>
      <x:c r="BF116" s="3" t="str">
        <x:f>IF(AND('中古車掲載'!C117="One2car",'中古車掲載'!F117="Corolla Cross",'中古車掲載'!L117="HEV PREMIUM",'中古車掲載'!J117=2023,ISNUMBER('中古車掲載'!N117),'中古車掲載'!N117&gt;=20000,'中古車掲載'!O117&lt;=100000,'中古車掲載'!AL117=1,'中古車掲載'!Z117="https://www.one2car.com/en/cars-for-sale/toyota/corolla-cross/year-2023"),'中古車掲載'!U117,"")</x:f>
      </x:c>
      <x:c r="BG116" s="3" t="str">
        <x:f>IF(AND('中古車掲載'!C117="One2car",'中古車掲載'!F117="Corolla Cross",'中古車掲載'!L117="HEV GR SPORT",'中古車掲載'!J117=2023,ISNUMBER('中古車掲載'!N117),'中古車掲載'!N117&gt;=20000,'中古車掲載'!O117&lt;=100000,'中古車掲載'!AL117=1,'中古車掲載'!Z117="https://www.one2car.com/en/cars-for-sale/toyota/corolla-cross/year-2023"),'中古車掲載'!U117,"")</x:f>
      </x:c>
      <x:c r="BH116" s="3" t="str">
        <x:f>IF(AND('中古車掲載'!C117="One2car",'中古車掲載'!F117="DOLPHIN",'中古車掲載'!L117="STANDARD RANGE",'中古車掲載'!J117=2023,ISNUMBER('中古車掲載'!N117),'中古車掲載'!N117&gt;=20000,'中古車掲載'!O117&lt;=100000,'中古車掲載'!AL117=1),'中古車掲載'!U117,"")</x:f>
      </x:c>
      <x:c r="BI116" s="3" t="str">
        <x:v>One2car|Hilux Revo|ICE|Bangkok metro</x:v>
      </x:c>
      <x:c r="BJ116" s="3" t="n">
        <x:v>117</x:v>
      </x:c>
      <x:c r="BK116" s="3" t="n">
        <x:f>'中古車掲載'!AM117</x:f>
        <x:v>629000</x:v>
      </x:c>
      <x:c r="BL116" s="3" t="str">
        <x:f>IF(ISNUMBER('中古車掲載'!AN117),'中古車掲載'!AN117,"")</x:f>
      </x:c>
      <x:c r="BM116" s="3" t="str">
        <x:v>2021|Single cab</x:v>
      </x:c>
      <x:c r="BN116" s="3" t="n">
        <x:v>717</x:v>
      </x:c>
      <x:c r="BO116" s="3" t="n">
        <x:f>'中古車掲載'!AM717</x:f>
        <x:v>449000</x:v>
      </x:c>
      <x:c r="BP116" s="3" t="str">
        <x:v>2.4 ENTRY STANDARD CAB</x:v>
      </x:c>
      <x:c r="BQ116" s="3"/>
      <x:c r="BR116" s="3"/>
    </x:row>
    <x:row r="117" ht="22" customHeight="1">
      <x:c r="A117" s="3" t="str">
        <x:v>Corolla Altis</x:v>
      </x:c>
      <x:c r="B117" s="3" t="str">
        <x:v>HEV</x:v>
      </x:c>
      <x:c r="C117" s="3" t="str">
        <x:v>Taladrod</x:v>
      </x:c>
      <x:c r="D117" s="3" t="n">
        <x:v>2022</x:v>
      </x:c>
      <x:c r="E117" s="22" t="n">
        <x:f>COUNT('中古車掲載'!AM201:AM202)</x:f>
        <x:v>2</x:v>
      </x:c>
      <x:c r="F117" s="22" t="n">
        <x:f>IF(COUNT('中古車掲載'!AM201:AM202)=0,"",QUARTILE('中古車掲載'!AM201:AM202,1))</x:f>
        <x:v>604250</x:v>
      </x:c>
      <x:c r="G117" s="22" t="n">
        <x:f>IF(COUNT('中古車掲載'!AM201:AM202)=0,"",MEDIAN('中古車掲載'!AM201:AM202))</x:f>
        <x:v>609500</x:v>
      </x:c>
      <x:c r="H117" s="22" t="n">
        <x:f>IF(COUNT('中古車掲載'!AM201:AM202)=0,"",QUARTILE('中古車掲載'!AM201:AM202,3))</x:f>
        <x:v>614750</x:v>
      </x:c>
      <x:c r="I117" s="22" t="n">
        <x:f>COUNT('中古車掲載'!AN201:AN202)</x:f>
        <x:v>0</x:v>
      </x:c>
      <x:c r="J117" s="23" t="str">
        <x:f>IF(COUNT('中古車掲載'!AN201:AN202)=0,"",MEDIAN('中古車掲載'!AN201:AN202))</x:f>
      </x:c>
      <x:c r="K117" s="3"/>
      <x:c r="L117" s="3"/>
      <x:c r="M117" s="3"/>
      <x:c r="N117" s="3"/>
      <x:c r="O117" s="3"/>
      <x:c r="P117" s="3"/>
      <x:c r="Q117" s="3"/>
      <x:c r="R117" s="3"/>
      <x:c r="S117" s="3"/>
      <x:c r="T117" s="3"/>
      <x:c r="U117" s="3"/>
      <x:c r="V117" s="3"/>
      <x:c r="W117" s="3"/>
      <x:c r="X117" s="3"/>
      <x:c r="Y117" s="3"/>
      <x:c r="Z117" s="3"/>
      <x:c r="AA117" s="3" t="str">
        <x:v>DOLPHIN BEV</x:v>
      </x:c>
      <x:c r="AB117" s="3" t="n">
        <x:f>V15</x:f>
        <x:v>13</x:v>
      </x:c>
      <x:c r="AC117" s="3" t="n">
        <x:f>V16</x:f>
        <x:v>2</x:v>
      </x:c>
      <x:c r="AD117" s="3" t="n">
        <x:f>IF(V15&gt;0,X15,"")</x:f>
        <x:v>369000</x:v>
      </x:c>
      <x:c r="AE117" s="3" t="n">
        <x:f>IF(V16&gt;0,X16,"")</x:f>
        <x:v>304000</x:v>
      </x:c>
      <x:c r="AF117" s="3"/>
      <x:c r="AG117" s="3"/>
      <x:c r="AH117" s="3"/>
      <x:c r="AI117" s="3"/>
      <x:c r="AJ117" s="3"/>
      <x:c r="AK117" s="3"/>
      <x:c r="AL117" s="3"/>
      <x:c r="AM117" s="3"/>
      <x:c r="AN117" s="3"/>
      <x:c r="AO117" s="3"/>
      <x:c r="AP117" s="3"/>
      <x:c r="AQ117" s="3"/>
      <x:c r="AR117" s="3"/>
      <x:c r="AS117" s="3"/>
      <x:c r="AT117" s="3"/>
      <x:c r="AU117" s="3"/>
      <x:c r="AV117" s="3"/>
      <x:c r="AW117" s="3"/>
      <x:c r="AX117" s="3"/>
      <x:c r="AY117" s="3"/>
      <x:c r="AZ117" s="3" t="str">
        <x:f>IF(AND('中古車掲載'!C118="One2car",'中古車掲載'!F118="ATTO 3",'中古車掲載'!L118="EXTENDED RANGE",'中古車掲載'!J118=2023,ISNUMBER('中古車掲載'!N118),'中古車掲載'!N118&gt;=20000,'中古車掲載'!O118&lt;=100000,'中古車掲載'!AL118=1),'中古車掲載'!U118,"")</x:f>
      </x:c>
      <x:c r="BA117" s="3" t="str">
        <x:f>IF(AND('中古車掲載'!C118="One2car",'中古車掲載'!F118="Corolla Cross",'中古車掲載'!L118="HEV PREMIUM SAFETY",'中古車掲載'!J118=2023,ISNUMBER('中古車掲載'!N118),'中古車掲載'!N118&gt;=20000,'中古車掲載'!O118&lt;=100000,'中古車掲載'!AL118=1,'中古車掲載'!Z118="https://www.one2car.com/en/cars-for-sale/toyota/corolla-cross/year-2023"),'中古車掲載'!U118,"")</x:f>
      </x:c>
      <x:c r="BB117" s="3" t="str">
        <x:f>IF(AND('中古車掲載'!C118="One2car",'中古車掲載'!F118="ATTO 3",'中古車掲載'!L118="EXTENDED RANGE",'中古車掲載'!J118=2023,ISNUMBER('中古車掲載'!N118),'中古車掲載'!N118&gt;=50000,'中古車掲載'!O118&lt;=100000,'中古車掲載'!AL118=1),'中古車掲載'!U118,"")</x:f>
      </x:c>
      <x:c r="BC117" s="3" t="str">
        <x:f>IF(AND('中古車掲載'!C118="One2car",'中古車掲載'!F118="Corolla Cross",'中古車掲載'!L118="HEV PREMIUM SAFETY",'中古車掲載'!J118=2023,ISNUMBER('中古車掲載'!N118),'中古車掲載'!N118&gt;=50000,'中古車掲載'!O118&lt;=100000,'中古車掲載'!AL118=1,'中古車掲載'!Z118="https://www.one2car.com/en/cars-for-sale/toyota/corolla-cross/year-2023"),'中古車掲載'!U118,"")</x:f>
      </x:c>
      <x:c r="BD117" s="3" t="str">
        <x:f>IF(AND('中古車掲載'!C118="One2car",'中古車掲載'!F118="ATTO 3",'中古車掲載'!L118="EXTENDED RANGE",'中古車掲載'!J118=2023,ISNUMBER('中古車掲載'!N118),'中古車掲載'!N118&gt;=20000,'中古車掲載'!O118&lt;=50000,'中古車掲載'!AL118=1),'中古車掲載'!U118,"")</x:f>
      </x:c>
      <x:c r="BE117" s="3" t="str">
        <x:f>IF(AND('中古車掲載'!C118="One2car",'中古車掲載'!F118="Corolla Cross",'中古車掲載'!L118="HEV PREMIUM SAFETY",'中古車掲載'!J118=2023,ISNUMBER('中古車掲載'!N118),'中古車掲載'!N118&gt;=20000,'中古車掲載'!O118&lt;=50000,'中古車掲載'!AL118=1,'中古車掲載'!Z118="https://www.one2car.com/en/cars-for-sale/toyota/corolla-cross/year-2023"),'中古車掲載'!U118,"")</x:f>
      </x:c>
      <x:c r="BF117" s="3" t="str">
        <x:f>IF(AND('中古車掲載'!C118="One2car",'中古車掲載'!F118="Corolla Cross",'中古車掲載'!L118="HEV PREMIUM",'中古車掲載'!J118=2023,ISNUMBER('中古車掲載'!N118),'中古車掲載'!N118&gt;=20000,'中古車掲載'!O118&lt;=100000,'中古車掲載'!AL118=1,'中古車掲載'!Z118="https://www.one2car.com/en/cars-for-sale/toyota/corolla-cross/year-2023"),'中古車掲載'!U118,"")</x:f>
      </x:c>
      <x:c r="BG117" s="3" t="str">
        <x:f>IF(AND('中古車掲載'!C118="One2car",'中古車掲載'!F118="Corolla Cross",'中古車掲載'!L118="HEV GR SPORT",'中古車掲載'!J118=2023,ISNUMBER('中古車掲載'!N118),'中古車掲載'!N118&gt;=20000,'中古車掲載'!O118&lt;=100000,'中古車掲載'!AL118=1,'中古車掲載'!Z118="https://www.one2car.com/en/cars-for-sale/toyota/corolla-cross/year-2023"),'中古車掲載'!U118,"")</x:f>
      </x:c>
      <x:c r="BH117" s="3" t="str">
        <x:f>IF(AND('中古車掲載'!C118="One2car",'中古車掲載'!F118="DOLPHIN",'中古車掲載'!L118="STANDARD RANGE",'中古車掲載'!J118=2023,ISNUMBER('中古車掲載'!N118),'中古車掲載'!N118&gt;=20000,'中古車掲載'!O118&lt;=100000,'中古車掲載'!AL118=1),'中古車掲載'!U118,"")</x:f>
      </x:c>
      <x:c r="BI117" s="3" t="str">
        <x:v>One2car|Hilux Revo|ICE|Bangkok metro</x:v>
      </x:c>
      <x:c r="BJ117" s="3" t="n">
        <x:v>119</x:v>
      </x:c>
      <x:c r="BK117" s="3" t="n">
        <x:f>'中古車掲載'!AM119</x:f>
        <x:v>629000</x:v>
      </x:c>
      <x:c r="BL117" s="3" t="str">
        <x:f>IF(ISNUMBER('中古車掲載'!AN119),'中古車掲載'!AN119,"")</x:f>
      </x:c>
      <x:c r="BM117" s="3" t="str">
        <x:v>2021|Single cab</x:v>
      </x:c>
      <x:c r="BN117" s="3" t="n">
        <x:v>718</x:v>
      </x:c>
      <x:c r="BO117" s="3" t="n">
        <x:f>'中古車掲載'!AM718</x:f>
        <x:v>297000</x:v>
      </x:c>
      <x:c r="BP117" s="3" t="str">
        <x:v>2.4 ENTRY STANDARD CAB</x:v>
      </x:c>
      <x:c r="BQ117" s="3"/>
      <x:c r="BR117" s="3"/>
    </x:row>
    <x:row r="118" ht="22" customHeight="1">
      <x:c r="A118" s="3" t="str">
        <x:v>Corolla Altis</x:v>
      </x:c>
      <x:c r="B118" s="3" t="str">
        <x:v>HEV</x:v>
      </x:c>
      <x:c r="C118" s="3" t="str">
        <x:v>Taladrod</x:v>
      </x:c>
      <x:c r="D118" s="3" t="n">
        <x:v>2023</x:v>
      </x:c>
      <x:c r="E118" s="22" t="n">
        <x:f>COUNT('中古車掲載'!AM203:AM204)</x:f>
        <x:v>2</x:v>
      </x:c>
      <x:c r="F118" s="22" t="n">
        <x:f>IF(COUNT('中古車掲載'!AM203:AM204)=0,"",QUARTILE('中古車掲載'!AM203:AM204,1))</x:f>
        <x:v>531000</x:v>
      </x:c>
      <x:c r="G118" s="22" t="n">
        <x:f>IF(COUNT('中古車掲載'!AM203:AM204)=0,"",MEDIAN('中古車掲載'!AM203:AM204))</x:f>
        <x:v>587000</x:v>
      </x:c>
      <x:c r="H118" s="22" t="n">
        <x:f>IF(COUNT('中古車掲載'!AM203:AM204)=0,"",QUARTILE('中古車掲載'!AM203:AM204,3))</x:f>
        <x:v>643000</x:v>
      </x:c>
      <x:c r="I118" s="22" t="n">
        <x:f>COUNT('中古車掲載'!AN203:AN204)</x:f>
        <x:v>0</x:v>
      </x:c>
      <x:c r="J118" s="23" t="str">
        <x:f>IF(COUNT('中古車掲載'!AN203:AN204)=0,"",MEDIAN('中古車掲載'!AN203:AN204))</x:f>
      </x:c>
      <x:c r="K118" s="3"/>
      <x:c r="L118" s="3"/>
      <x:c r="M118" s="3"/>
      <x:c r="N118" s="3"/>
      <x:c r="O118" s="3"/>
      <x:c r="P118" s="3"/>
      <x:c r="Q118" s="3"/>
      <x:c r="R118" s="3"/>
      <x:c r="S118" s="3"/>
      <x:c r="T118" s="3"/>
      <x:c r="U118" s="3"/>
      <x:c r="V118" s="3"/>
      <x:c r="W118" s="3"/>
      <x:c r="X118" s="3"/>
      <x:c r="Y118" s="3"/>
      <x:c r="Z118" s="3"/>
      <x:c r="AA118" s="3" t="str">
        <x:v>Corolla Cross HEV</x:v>
      </x:c>
      <x:c r="AB118" s="3" t="n">
        <x:f>V12</x:f>
        <x:v>40</x:v>
      </x:c>
      <x:c r="AC118" s="3" t="n">
        <x:f>V13</x:f>
        <x:v>3</x:v>
      </x:c>
      <x:c r="AD118" s="3" t="n">
        <x:f>IF(V12&gt;0,X12,"")</x:f>
        <x:v>739000</x:v>
      </x:c>
      <x:c r="AE118" s="3" t="n">
        <x:f>IF(V13&gt;0,X13,"")</x:f>
        <x:v>749000</x:v>
      </x:c>
      <x:c r="AF118" s="3"/>
      <x:c r="AG118" s="3"/>
      <x:c r="AH118" s="3"/>
      <x:c r="AI118" s="3"/>
      <x:c r="AJ118" s="3"/>
      <x:c r="AK118" s="3"/>
      <x:c r="AL118" s="3"/>
      <x:c r="AM118" s="3"/>
      <x:c r="AN118" s="3"/>
      <x:c r="AO118" s="3"/>
      <x:c r="AP118" s="3"/>
      <x:c r="AQ118" s="3"/>
      <x:c r="AR118" s="3"/>
      <x:c r="AS118" s="3"/>
      <x:c r="AT118" s="3"/>
      <x:c r="AU118" s="3"/>
      <x:c r="AV118" s="3"/>
      <x:c r="AW118" s="3"/>
      <x:c r="AX118" s="3"/>
      <x:c r="AY118" s="3"/>
      <x:c r="AZ118" s="3" t="str">
        <x:f>IF(AND('中古車掲載'!C119="One2car",'中古車掲載'!F119="ATTO 3",'中古車掲載'!L119="EXTENDED RANGE",'中古車掲載'!J119=2023,ISNUMBER('中古車掲載'!N119),'中古車掲載'!N119&gt;=20000,'中古車掲載'!O119&lt;=100000,'中古車掲載'!AL119=1),'中古車掲載'!U119,"")</x:f>
      </x:c>
      <x:c r="BA118" s="3" t="str">
        <x:f>IF(AND('中古車掲載'!C119="One2car",'中古車掲載'!F119="Corolla Cross",'中古車掲載'!L119="HEV PREMIUM SAFETY",'中古車掲載'!J119=2023,ISNUMBER('中古車掲載'!N119),'中古車掲載'!N119&gt;=20000,'中古車掲載'!O119&lt;=100000,'中古車掲載'!AL119=1,'中古車掲載'!Z119="https://www.one2car.com/en/cars-for-sale/toyota/corolla-cross/year-2023"),'中古車掲載'!U119,"")</x:f>
      </x:c>
      <x:c r="BB118" s="3" t="str">
        <x:f>IF(AND('中古車掲載'!C119="One2car",'中古車掲載'!F119="ATTO 3",'中古車掲載'!L119="EXTENDED RANGE",'中古車掲載'!J119=2023,ISNUMBER('中古車掲載'!N119),'中古車掲載'!N119&gt;=50000,'中古車掲載'!O119&lt;=100000,'中古車掲載'!AL119=1),'中古車掲載'!U119,"")</x:f>
      </x:c>
      <x:c r="BC118" s="3" t="str">
        <x:f>IF(AND('中古車掲載'!C119="One2car",'中古車掲載'!F119="Corolla Cross",'中古車掲載'!L119="HEV PREMIUM SAFETY",'中古車掲載'!J119=2023,ISNUMBER('中古車掲載'!N119),'中古車掲載'!N119&gt;=50000,'中古車掲載'!O119&lt;=100000,'中古車掲載'!AL119=1,'中古車掲載'!Z119="https://www.one2car.com/en/cars-for-sale/toyota/corolla-cross/year-2023"),'中古車掲載'!U119,"")</x:f>
      </x:c>
      <x:c r="BD118" s="3" t="str">
        <x:f>IF(AND('中古車掲載'!C119="One2car",'中古車掲載'!F119="ATTO 3",'中古車掲載'!L119="EXTENDED RANGE",'中古車掲載'!J119=2023,ISNUMBER('中古車掲載'!N119),'中古車掲載'!N119&gt;=20000,'中古車掲載'!O119&lt;=50000,'中古車掲載'!AL119=1),'中古車掲載'!U119,"")</x:f>
      </x:c>
      <x:c r="BE118" s="3" t="str">
        <x:f>IF(AND('中古車掲載'!C119="One2car",'中古車掲載'!F119="Corolla Cross",'中古車掲載'!L119="HEV PREMIUM SAFETY",'中古車掲載'!J119=2023,ISNUMBER('中古車掲載'!N119),'中古車掲載'!N119&gt;=20000,'中古車掲載'!O119&lt;=50000,'中古車掲載'!AL119=1,'中古車掲載'!Z119="https://www.one2car.com/en/cars-for-sale/toyota/corolla-cross/year-2023"),'中古車掲載'!U119,"")</x:f>
      </x:c>
      <x:c r="BF118" s="3" t="str">
        <x:f>IF(AND('中古車掲載'!C119="One2car",'中古車掲載'!F119="Corolla Cross",'中古車掲載'!L119="HEV PREMIUM",'中古車掲載'!J119=2023,ISNUMBER('中古車掲載'!N119),'中古車掲載'!N119&gt;=20000,'中古車掲載'!O119&lt;=100000,'中古車掲載'!AL119=1,'中古車掲載'!Z119="https://www.one2car.com/en/cars-for-sale/toyota/corolla-cross/year-2023"),'中古車掲載'!U119,"")</x:f>
      </x:c>
      <x:c r="BG118" s="3" t="str">
        <x:f>IF(AND('中古車掲載'!C119="One2car",'中古車掲載'!F119="Corolla Cross",'中古車掲載'!L119="HEV GR SPORT",'中古車掲載'!J119=2023,ISNUMBER('中古車掲載'!N119),'中古車掲載'!N119&gt;=20000,'中古車掲載'!O119&lt;=100000,'中古車掲載'!AL119=1,'中古車掲載'!Z119="https://www.one2car.com/en/cars-for-sale/toyota/corolla-cross/year-2023"),'中古車掲載'!U119,"")</x:f>
      </x:c>
      <x:c r="BH118" s="3" t="str">
        <x:f>IF(AND('中古車掲載'!C119="One2car",'中古車掲載'!F119="DOLPHIN",'中古車掲載'!L119="STANDARD RANGE",'中古車掲載'!J119=2023,ISNUMBER('中古車掲載'!N119),'中古車掲載'!N119&gt;=20000,'中古車掲載'!O119&lt;=100000,'中古車掲載'!AL119=1),'中古車掲載'!U119,"")</x:f>
      </x:c>
      <x:c r="BI118" s="3" t="str">
        <x:v>One2car|Hilux Revo|ICE|Bangkok metro</x:v>
      </x:c>
      <x:c r="BJ118" s="3" t="n">
        <x:v>120</x:v>
      </x:c>
      <x:c r="BK118" s="3" t="n">
        <x:f>'中古車掲載'!AM120</x:f>
        <x:v>449000</x:v>
      </x:c>
      <x:c r="BL118" s="3" t="str">
        <x:f>IF(ISNUMBER('中古車掲載'!AN120),'中古車掲載'!AN120,"")</x:f>
      </x:c>
      <x:c r="BM118" s="3" t="str">
        <x:v>2021|Single cab</x:v>
      </x:c>
      <x:c r="BN118" s="3" t="n">
        <x:v>719</x:v>
      </x:c>
      <x:c r="BO118" s="3" t="n">
        <x:f>'中古車掲載'!AM719</x:f>
        <x:v>459000</x:v>
      </x:c>
      <x:c r="BP118" s="3" t="str">
        <x:v>2.4 ENTRY STANDARD CAB</x:v>
      </x:c>
      <x:c r="BQ118" s="3"/>
      <x:c r="BR118" s="3"/>
    </x:row>
    <x:row r="119" ht="22" customHeight="1">
      <x:c r="A119" s="3" t="str">
        <x:v>Corolla Altis</x:v>
      </x:c>
      <x:c r="B119" s="3" t="str">
        <x:v>HEV</x:v>
      </x:c>
      <x:c r="C119" s="3" t="str">
        <x:v>Taladrod</x:v>
      </x:c>
      <x:c r="D119" s="3" t="n">
        <x:v>2024</x:v>
      </x:c>
      <x:c r="E119" s="22" t="n">
        <x:f>COUNT('中古車掲載'!AM205:AM206)</x:f>
        <x:v>2</x:v>
      </x:c>
      <x:c r="F119" s="22" t="n">
        <x:f>IF(COUNT('中古車掲載'!AM205:AM206)=0,"",QUARTILE('中古車掲載'!AM205:AM206,1))</x:f>
        <x:v>768750</x:v>
      </x:c>
      <x:c r="G119" s="22" t="n">
        <x:f>IF(COUNT('中古車掲載'!AM205:AM206)=0,"",MEDIAN('中古車掲載'!AM205:AM206))</x:f>
        <x:v>777500</x:v>
      </x:c>
      <x:c r="H119" s="22" t="n">
        <x:f>IF(COUNT('中古車掲載'!AM205:AM206)=0,"",QUARTILE('中古車掲載'!AM205:AM206,3))</x:f>
        <x:v>786250</x:v>
      </x:c>
      <x:c r="I119" s="22" t="n">
        <x:f>COUNT('中古車掲載'!AN205:AN206)</x:f>
        <x:v>2</x:v>
      </x:c>
      <x:c r="J119" s="23" t="n">
        <x:f>IF(COUNT('中古車掲載'!AN205:AN206)=0,"",MEDIAN('中古車掲載'!AN205:AN206))</x:f>
        <x:v>0.6886625332152347</x:v>
      </x:c>
      <x:c r="K119" s="3"/>
      <x:c r="L119" s="3"/>
      <x:c r="M119" s="3"/>
      <x:c r="N119" s="3"/>
      <x:c r="O119" s="3"/>
      <x:c r="P119" s="3"/>
      <x:c r="Q119" s="3"/>
      <x:c r="R119" s="3"/>
      <x:c r="S119" s="3"/>
      <x:c r="T119" s="3"/>
      <x:c r="U119" s="3"/>
      <x:c r="V119" s="3"/>
      <x:c r="W119" s="3"/>
      <x:c r="X119" s="3"/>
      <x:c r="Y119" s="3"/>
      <x:c r="Z119" s="3"/>
      <x:c r="AA119" s="3" t="str">
        <x:v>Hilux Revo ICE</x:v>
      </x:c>
      <x:c r="AB119" s="3" t="n">
        <x:f>V19</x:f>
        <x:v>28</x:v>
      </x:c>
      <x:c r="AC119" s="3" t="n">
        <x:f>V20</x:f>
        <x:v>8</x:v>
      </x:c>
      <x:c r="AD119" s="3" t="n">
        <x:f>IF(V19&gt;0,X19,"")</x:f>
        <x:v>499000</x:v>
      </x:c>
      <x:c r="AE119" s="3" t="n">
        <x:f>IF(V20&gt;0,X20,"")</x:f>
        <x:v>559000</x:v>
      </x:c>
      <x:c r="AF119" s="3"/>
      <x:c r="AG119" s="3"/>
      <x:c r="AH119" s="3"/>
      <x:c r="AI119" s="3"/>
      <x:c r="AJ119" s="3"/>
      <x:c r="AK119" s="3"/>
      <x:c r="AL119" s="3"/>
      <x:c r="AM119" s="3"/>
      <x:c r="AN119" s="3"/>
      <x:c r="AO119" s="3"/>
      <x:c r="AP119" s="3"/>
      <x:c r="AQ119" s="3"/>
      <x:c r="AR119" s="3"/>
      <x:c r="AS119" s="3"/>
      <x:c r="AT119" s="3"/>
      <x:c r="AU119" s="3"/>
      <x:c r="AV119" s="3"/>
      <x:c r="AW119" s="3"/>
      <x:c r="AX119" s="3"/>
      <x:c r="AY119" s="3"/>
      <x:c r="AZ119" s="3" t="str">
        <x:f>IF(AND('中古車掲載'!C120="One2car",'中古車掲載'!F120="ATTO 3",'中古車掲載'!L120="EXTENDED RANGE",'中古車掲載'!J120=2023,ISNUMBER('中古車掲載'!N120),'中古車掲載'!N120&gt;=20000,'中古車掲載'!O120&lt;=100000,'中古車掲載'!AL120=1),'中古車掲載'!U120,"")</x:f>
      </x:c>
      <x:c r="BA119" s="3" t="str">
        <x:f>IF(AND('中古車掲載'!C120="One2car",'中古車掲載'!F120="Corolla Cross",'中古車掲載'!L120="HEV PREMIUM SAFETY",'中古車掲載'!J120=2023,ISNUMBER('中古車掲載'!N120),'中古車掲載'!N120&gt;=20000,'中古車掲載'!O120&lt;=100000,'中古車掲載'!AL120=1,'中古車掲載'!Z120="https://www.one2car.com/en/cars-for-sale/toyota/corolla-cross/year-2023"),'中古車掲載'!U120,"")</x:f>
      </x:c>
      <x:c r="BB119" s="3" t="str">
        <x:f>IF(AND('中古車掲載'!C120="One2car",'中古車掲載'!F120="ATTO 3",'中古車掲載'!L120="EXTENDED RANGE",'中古車掲載'!J120=2023,ISNUMBER('中古車掲載'!N120),'中古車掲載'!N120&gt;=50000,'中古車掲載'!O120&lt;=100000,'中古車掲載'!AL120=1),'中古車掲載'!U120,"")</x:f>
      </x:c>
      <x:c r="BC119" s="3" t="str">
        <x:f>IF(AND('中古車掲載'!C120="One2car",'中古車掲載'!F120="Corolla Cross",'中古車掲載'!L120="HEV PREMIUM SAFETY",'中古車掲載'!J120=2023,ISNUMBER('中古車掲載'!N120),'中古車掲載'!N120&gt;=50000,'中古車掲載'!O120&lt;=100000,'中古車掲載'!AL120=1,'中古車掲載'!Z120="https://www.one2car.com/en/cars-for-sale/toyota/corolla-cross/year-2023"),'中古車掲載'!U120,"")</x:f>
      </x:c>
      <x:c r="BD119" s="3" t="str">
        <x:f>IF(AND('中古車掲載'!C120="One2car",'中古車掲載'!F120="ATTO 3",'中古車掲載'!L120="EXTENDED RANGE",'中古車掲載'!J120=2023,ISNUMBER('中古車掲載'!N120),'中古車掲載'!N120&gt;=20000,'中古車掲載'!O120&lt;=50000,'中古車掲載'!AL120=1),'中古車掲載'!U120,"")</x:f>
      </x:c>
      <x:c r="BE119" s="3" t="str">
        <x:f>IF(AND('中古車掲載'!C120="One2car",'中古車掲載'!F120="Corolla Cross",'中古車掲載'!L120="HEV PREMIUM SAFETY",'中古車掲載'!J120=2023,ISNUMBER('中古車掲載'!N120),'中古車掲載'!N120&gt;=20000,'中古車掲載'!O120&lt;=50000,'中古車掲載'!AL120=1,'中古車掲載'!Z120="https://www.one2car.com/en/cars-for-sale/toyota/corolla-cross/year-2023"),'中古車掲載'!U120,"")</x:f>
      </x:c>
      <x:c r="BF119" s="3" t="str">
        <x:f>IF(AND('中古車掲載'!C120="One2car",'中古車掲載'!F120="Corolla Cross",'中古車掲載'!L120="HEV PREMIUM",'中古車掲載'!J120=2023,ISNUMBER('中古車掲載'!N120),'中古車掲載'!N120&gt;=20000,'中古車掲載'!O120&lt;=100000,'中古車掲載'!AL120=1,'中古車掲載'!Z120="https://www.one2car.com/en/cars-for-sale/toyota/corolla-cross/year-2023"),'中古車掲載'!U120,"")</x:f>
      </x:c>
      <x:c r="BG119" s="3" t="str">
        <x:f>IF(AND('中古車掲載'!C120="One2car",'中古車掲載'!F120="Corolla Cross",'中古車掲載'!L120="HEV GR SPORT",'中古車掲載'!J120=2023,ISNUMBER('中古車掲載'!N120),'中古車掲載'!N120&gt;=20000,'中古車掲載'!O120&lt;=100000,'中古車掲載'!AL120=1,'中古車掲載'!Z120="https://www.one2car.com/en/cars-for-sale/toyota/corolla-cross/year-2023"),'中古車掲載'!U120,"")</x:f>
      </x:c>
      <x:c r="BH119" s="3" t="str">
        <x:f>IF(AND('中古車掲載'!C120="One2car",'中古車掲載'!F120="DOLPHIN",'中古車掲載'!L120="STANDARD RANGE",'中古車掲載'!J120=2023,ISNUMBER('中古車掲載'!N120),'中古車掲載'!N120&gt;=20000,'中古車掲載'!O120&lt;=100000,'中古車掲載'!AL120=1),'中古車掲載'!U120,"")</x:f>
      </x:c>
      <x:c r="BI119" s="3" t="str">
        <x:v>One2car|Hilux Revo|ICE|Bangkok metro</x:v>
      </x:c>
      <x:c r="BJ119" s="3" t="n">
        <x:v>121</x:v>
      </x:c>
      <x:c r="BK119" s="3" t="n">
        <x:f>'中古車掲載'!AM121</x:f>
        <x:v>499000</x:v>
      </x:c>
      <x:c r="BL119" s="3" t="str">
        <x:f>IF(ISNUMBER('中古車掲載'!AN121),'中古車掲載'!AN121,"")</x:f>
      </x:c>
      <x:c r="BM119" s="3" t="str">
        <x:v>2021|Single cab</x:v>
      </x:c>
      <x:c r="BN119" s="3" t="n">
        <x:v>720</x:v>
      </x:c>
      <x:c r="BO119" s="3" t="n">
        <x:f>'中古車掲載'!AM720</x:f>
        <x:v>459000</x:v>
      </x:c>
      <x:c r="BP119" s="3" t="str">
        <x:v>2.4 ENTRY STANDARD CAB</x:v>
      </x:c>
      <x:c r="BQ119" s="3"/>
      <x:c r="BR119" s="3"/>
    </x:row>
    <x:row r="120" ht="22" customHeight="1">
      <x:c r="A120" s="3" t="str">
        <x:v>Corolla Altis</x:v>
      </x:c>
      <x:c r="B120" s="3" t="str">
        <x:v>HEV</x:v>
      </x:c>
      <x:c r="C120" s="3" t="str">
        <x:v>Taladrod</x:v>
      </x:c>
      <x:c r="D120" s="3" t="n">
        <x:v>2025</x:v>
      </x:c>
      <x:c r="E120" s="22" t="n">
        <x:f>COUNT('中古車掲載'!AM207:AM210)</x:f>
        <x:v>4</x:v>
      </x:c>
      <x:c r="F120" s="22" t="n">
        <x:f>IF(COUNT('中古車掲載'!AM207:AM210)=0,"",QUARTILE('中古車掲載'!AM207:AM210,1))</x:f>
        <x:v>803000</x:v>
      </x:c>
      <x:c r="G120" s="22" t="n">
        <x:f>IF(COUNT('中古車掲載'!AM207:AM210)=0,"",MEDIAN('中古車掲載'!AM207:AM210))</x:f>
        <x:v>847000</x:v>
      </x:c>
      <x:c r="H120" s="22" t="n">
        <x:f>IF(COUNT('中古車掲載'!AM207:AM210)=0,"",QUARTILE('中古車掲載'!AM207:AM210,3))</x:f>
        <x:v>880000</x:v>
      </x:c>
      <x:c r="I120" s="22" t="n">
        <x:f>COUNT('中古車掲載'!AN207:AN210)</x:f>
        <x:v>0</x:v>
      </x:c>
      <x:c r="J120" s="23" t="str">
        <x:f>IF(COUNT('中古車掲載'!AN207:AN210)=0,"",MEDIAN('中古車掲載'!AN207:AN210))</x:f>
      </x:c>
      <x:c r="K120" s="3"/>
      <x:c r="L120" s="3"/>
      <x:c r="M120" s="3"/>
      <x:c r="N120" s="3"/>
      <x:c r="O120" s="3"/>
      <x:c r="P120" s="3"/>
      <x:c r="Q120" s="3"/>
      <x:c r="R120" s="3"/>
      <x:c r="S120" s="3"/>
      <x:c r="T120" s="3"/>
      <x:c r="U120" s="3"/>
      <x:c r="V120" s="3"/>
      <x:c r="W120" s="3"/>
      <x:c r="X120" s="3"/>
      <x:c r="Y120" s="3"/>
      <x:c r="Z120" s="3"/>
      <x:c r="AA120" s="3"/>
      <x:c r="AB120" s="3"/>
      <x:c r="AC120" s="3"/>
      <x:c r="AD120" s="3"/>
      <x:c r="AE120" s="3"/>
      <x:c r="AF120" s="3"/>
      <x:c r="AG120" s="3"/>
      <x:c r="AH120" s="3"/>
      <x:c r="AI120" s="3"/>
      <x:c r="AJ120" s="3"/>
      <x:c r="AK120" s="3"/>
      <x:c r="AL120" s="3"/>
      <x:c r="AM120" s="3"/>
      <x:c r="AN120" s="3"/>
      <x:c r="AO120" s="3"/>
      <x:c r="AP120" s="3"/>
      <x:c r="AQ120" s="3"/>
      <x:c r="AR120" s="3"/>
      <x:c r="AS120" s="3"/>
      <x:c r="AT120" s="3"/>
      <x:c r="AU120" s="3"/>
      <x:c r="AV120" s="3"/>
      <x:c r="AW120" s="3"/>
      <x:c r="AX120" s="3"/>
      <x:c r="AY120" s="3"/>
      <x:c r="AZ120" s="3" t="str">
        <x:f>IF(AND('中古車掲載'!C121="One2car",'中古車掲載'!F121="ATTO 3",'中古車掲載'!L121="EXTENDED RANGE",'中古車掲載'!J121=2023,ISNUMBER('中古車掲載'!N121),'中古車掲載'!N121&gt;=20000,'中古車掲載'!O121&lt;=100000,'中古車掲載'!AL121=1),'中古車掲載'!U121,"")</x:f>
      </x:c>
      <x:c r="BA120" s="3" t="str">
        <x:f>IF(AND('中古車掲載'!C121="One2car",'中古車掲載'!F121="Corolla Cross",'中古車掲載'!L121="HEV PREMIUM SAFETY",'中古車掲載'!J121=2023,ISNUMBER('中古車掲載'!N121),'中古車掲載'!N121&gt;=20000,'中古車掲載'!O121&lt;=100000,'中古車掲載'!AL121=1,'中古車掲載'!Z121="https://www.one2car.com/en/cars-for-sale/toyota/corolla-cross/year-2023"),'中古車掲載'!U121,"")</x:f>
      </x:c>
      <x:c r="BB120" s="3" t="str">
        <x:f>IF(AND('中古車掲載'!C121="One2car",'中古車掲載'!F121="ATTO 3",'中古車掲載'!L121="EXTENDED RANGE",'中古車掲載'!J121=2023,ISNUMBER('中古車掲載'!N121),'中古車掲載'!N121&gt;=50000,'中古車掲載'!O121&lt;=100000,'中古車掲載'!AL121=1),'中古車掲載'!U121,"")</x:f>
      </x:c>
      <x:c r="BC120" s="3" t="str">
        <x:f>IF(AND('中古車掲載'!C121="One2car",'中古車掲載'!F121="Corolla Cross",'中古車掲載'!L121="HEV PREMIUM SAFETY",'中古車掲載'!J121=2023,ISNUMBER('中古車掲載'!N121),'中古車掲載'!N121&gt;=50000,'中古車掲載'!O121&lt;=100000,'中古車掲載'!AL121=1,'中古車掲載'!Z121="https://www.one2car.com/en/cars-for-sale/toyota/corolla-cross/year-2023"),'中古車掲載'!U121,"")</x:f>
      </x:c>
      <x:c r="BD120" s="3" t="str">
        <x:f>IF(AND('中古車掲載'!C121="One2car",'中古車掲載'!F121="ATTO 3",'中古車掲載'!L121="EXTENDED RANGE",'中古車掲載'!J121=2023,ISNUMBER('中古車掲載'!N121),'中古車掲載'!N121&gt;=20000,'中古車掲載'!O121&lt;=50000,'中古車掲載'!AL121=1),'中古車掲載'!U121,"")</x:f>
      </x:c>
      <x:c r="BE120" s="3" t="str">
        <x:f>IF(AND('中古車掲載'!C121="One2car",'中古車掲載'!F121="Corolla Cross",'中古車掲載'!L121="HEV PREMIUM SAFETY",'中古車掲載'!J121=2023,ISNUMBER('中古車掲載'!N121),'中古車掲載'!N121&gt;=20000,'中古車掲載'!O121&lt;=50000,'中古車掲載'!AL121=1,'中古車掲載'!Z121="https://www.one2car.com/en/cars-for-sale/toyota/corolla-cross/year-2023"),'中古車掲載'!U121,"")</x:f>
      </x:c>
      <x:c r="BF120" s="3" t="str">
        <x:f>IF(AND('中古車掲載'!C121="One2car",'中古車掲載'!F121="Corolla Cross",'中古車掲載'!L121="HEV PREMIUM",'中古車掲載'!J121=2023,ISNUMBER('中古車掲載'!N121),'中古車掲載'!N121&gt;=20000,'中古車掲載'!O121&lt;=100000,'中古車掲載'!AL121=1,'中古車掲載'!Z121="https://www.one2car.com/en/cars-for-sale/toyota/corolla-cross/year-2023"),'中古車掲載'!U121,"")</x:f>
      </x:c>
      <x:c r="BG120" s="3" t="str">
        <x:f>IF(AND('中古車掲載'!C121="One2car",'中古車掲載'!F121="Corolla Cross",'中古車掲載'!L121="HEV GR SPORT",'中古車掲載'!J121=2023,ISNUMBER('中古車掲載'!N121),'中古車掲載'!N121&gt;=20000,'中古車掲載'!O121&lt;=100000,'中古車掲載'!AL121=1,'中古車掲載'!Z121="https://www.one2car.com/en/cars-for-sale/toyota/corolla-cross/year-2023"),'中古車掲載'!U121,"")</x:f>
      </x:c>
      <x:c r="BH120" s="3" t="str">
        <x:f>IF(AND('中古車掲載'!C121="One2car",'中古車掲載'!F121="DOLPHIN",'中古車掲載'!L121="STANDARD RANGE",'中古車掲載'!J121=2023,ISNUMBER('中古車掲載'!N121),'中古車掲載'!N121&gt;=20000,'中古車掲載'!O121&lt;=100000,'中古車掲載'!AL121=1),'中古車掲載'!U121,"")</x:f>
      </x:c>
      <x:c r="BI120" s="3" t="str">
        <x:v>One2car|Hilux Revo|ICE|Bangkok metro</x:v>
      </x:c>
      <x:c r="BJ120" s="3" t="n">
        <x:v>122</x:v>
      </x:c>
      <x:c r="BK120" s="3" t="n">
        <x:f>'中古車掲載'!AM122</x:f>
        <x:v>429000</x:v>
      </x:c>
      <x:c r="BL120" s="3" t="str">
        <x:f>IF(ISNUMBER('中古車掲載'!AN122),'中古車掲載'!AN122,"")</x:f>
      </x:c>
      <x:c r="BM120" s="3" t="str">
        <x:v>2021|Single cab</x:v>
      </x:c>
      <x:c r="BN120" s="3" t="n">
        <x:v>721</x:v>
      </x:c>
      <x:c r="BO120" s="3" t="n">
        <x:f>'中古車掲載'!AM721</x:f>
        <x:v>459000</x:v>
      </x:c>
      <x:c r="BP120" s="3" t="str">
        <x:v>2.4 ENTRY STANDARD CAB</x:v>
      </x:c>
      <x:c r="BQ120" s="3"/>
      <x:c r="BR120" s="3"/>
    </x:row>
    <x:row r="121" ht="22" customHeight="1">
      <x:c r="A121" s="3" t="str">
        <x:v>Corolla Altis</x:v>
      </x:c>
      <x:c r="B121" s="3" t="str">
        <x:v>ICE</x:v>
      </x:c>
      <x:c r="C121" s="3" t="str">
        <x:v>Taladrod</x:v>
      </x:c>
      <x:c r="D121" s="3" t="n">
        <x:v>2020</x:v>
      </x:c>
      <x:c r="E121" s="22" t="n">
        <x:f>COUNT('中古車掲載'!AM211:AM233)</x:f>
        <x:v>23</x:v>
      </x:c>
      <x:c r="F121" s="22" t="n">
        <x:f>IF(COUNT('中古車掲載'!AM211:AM233)=0,"",QUARTILE('中古車掲載'!AM211:AM233,1))</x:f>
        <x:v>418500</x:v>
      </x:c>
      <x:c r="G121" s="22" t="n">
        <x:f>IF(COUNT('中古車掲載'!AM211:AM233)=0,"",MEDIAN('中古車掲載'!AM211:AM233))</x:f>
        <x:v>439000</x:v>
      </x:c>
      <x:c r="H121" s="22" t="n">
        <x:f>IF(COUNT('中古車掲載'!AM211:AM233)=0,"",QUARTILE('中古車掲載'!AM211:AM233,3))</x:f>
        <x:v>489000</x:v>
      </x:c>
      <x:c r="I121" s="22" t="n">
        <x:f>COUNT('中古車掲載'!AN211:AN233)</x:f>
        <x:v>0</x:v>
      </x:c>
      <x:c r="J121" s="23" t="str">
        <x:f>IF(COUNT('中古車掲載'!AN211:AN233)=0,"",MEDIAN('中古車掲載'!AN211:AN233))</x:f>
      </x:c>
      <x:c r="K121" s="3"/>
      <x:c r="L121" s="3"/>
      <x:c r="M121" s="3"/>
      <x:c r="N121" s="3"/>
      <x:c r="O121" s="3"/>
      <x:c r="P121" s="3"/>
      <x:c r="Q121" s="3"/>
      <x:c r="R121" s="3"/>
      <x:c r="S121" s="3"/>
      <x:c r="T121" s="3"/>
      <x:c r="U121" s="3"/>
      <x:c r="V121" s="3"/>
      <x:c r="W121" s="3"/>
      <x:c r="X121" s="3"/>
      <x:c r="Y121" s="3"/>
      <x:c r="Z121" s="3"/>
      <x:c r="AA121" s="3"/>
      <x:c r="AB121" s="3"/>
      <x:c r="AC121" s="3"/>
      <x:c r="AD121" s="3"/>
      <x:c r="AE121" s="3"/>
      <x:c r="AF121" s="3"/>
      <x:c r="AG121" s="3"/>
      <x:c r="AH121" s="3"/>
      <x:c r="AI121" s="3"/>
      <x:c r="AJ121" s="3"/>
      <x:c r="AK121" s="3"/>
      <x:c r="AL121" s="3"/>
      <x:c r="AM121" s="3"/>
      <x:c r="AN121" s="3"/>
      <x:c r="AO121" s="3"/>
      <x:c r="AP121" s="3"/>
      <x:c r="AQ121" s="3"/>
      <x:c r="AR121" s="3"/>
      <x:c r="AS121" s="3"/>
      <x:c r="AT121" s="3"/>
      <x:c r="AU121" s="3"/>
      <x:c r="AV121" s="3"/>
      <x:c r="AW121" s="3"/>
      <x:c r="AX121" s="3"/>
      <x:c r="AY121" s="3"/>
      <x:c r="AZ121" s="3" t="str">
        <x:f>IF(AND('中古車掲載'!C122="One2car",'中古車掲載'!F122="ATTO 3",'中古車掲載'!L122="EXTENDED RANGE",'中古車掲載'!J122=2023,ISNUMBER('中古車掲載'!N122),'中古車掲載'!N122&gt;=20000,'中古車掲載'!O122&lt;=100000,'中古車掲載'!AL122=1),'中古車掲載'!U122,"")</x:f>
      </x:c>
      <x:c r="BA121" s="3" t="str">
        <x:f>IF(AND('中古車掲載'!C122="One2car",'中古車掲載'!F122="Corolla Cross",'中古車掲載'!L122="HEV PREMIUM SAFETY",'中古車掲載'!J122=2023,ISNUMBER('中古車掲載'!N122),'中古車掲載'!N122&gt;=20000,'中古車掲載'!O122&lt;=100000,'中古車掲載'!AL122=1,'中古車掲載'!Z122="https://www.one2car.com/en/cars-for-sale/toyota/corolla-cross/year-2023"),'中古車掲載'!U122,"")</x:f>
      </x:c>
      <x:c r="BB121" s="3" t="str">
        <x:f>IF(AND('中古車掲載'!C122="One2car",'中古車掲載'!F122="ATTO 3",'中古車掲載'!L122="EXTENDED RANGE",'中古車掲載'!J122=2023,ISNUMBER('中古車掲載'!N122),'中古車掲載'!N122&gt;=50000,'中古車掲載'!O122&lt;=100000,'中古車掲載'!AL122=1),'中古車掲載'!U122,"")</x:f>
      </x:c>
      <x:c r="BC121" s="3" t="str">
        <x:f>IF(AND('中古車掲載'!C122="One2car",'中古車掲載'!F122="Corolla Cross",'中古車掲載'!L122="HEV PREMIUM SAFETY",'中古車掲載'!J122=2023,ISNUMBER('中古車掲載'!N122),'中古車掲載'!N122&gt;=50000,'中古車掲載'!O122&lt;=100000,'中古車掲載'!AL122=1,'中古車掲載'!Z122="https://www.one2car.com/en/cars-for-sale/toyota/corolla-cross/year-2023"),'中古車掲載'!U122,"")</x:f>
      </x:c>
      <x:c r="BD121" s="3" t="str">
        <x:f>IF(AND('中古車掲載'!C122="One2car",'中古車掲載'!F122="ATTO 3",'中古車掲載'!L122="EXTENDED RANGE",'中古車掲載'!J122=2023,ISNUMBER('中古車掲載'!N122),'中古車掲載'!N122&gt;=20000,'中古車掲載'!O122&lt;=50000,'中古車掲載'!AL122=1),'中古車掲載'!U122,"")</x:f>
      </x:c>
      <x:c r="BE121" s="3" t="str">
        <x:f>IF(AND('中古車掲載'!C122="One2car",'中古車掲載'!F122="Corolla Cross",'中古車掲載'!L122="HEV PREMIUM SAFETY",'中古車掲載'!J122=2023,ISNUMBER('中古車掲載'!N122),'中古車掲載'!N122&gt;=20000,'中古車掲載'!O122&lt;=50000,'中古車掲載'!AL122=1,'中古車掲載'!Z122="https://www.one2car.com/en/cars-for-sale/toyota/corolla-cross/year-2023"),'中古車掲載'!U122,"")</x:f>
      </x:c>
      <x:c r="BF121" s="3" t="str">
        <x:f>IF(AND('中古車掲載'!C122="One2car",'中古車掲載'!F122="Corolla Cross",'中古車掲載'!L122="HEV PREMIUM",'中古車掲載'!J122=2023,ISNUMBER('中古車掲載'!N122),'中古車掲載'!N122&gt;=20000,'中古車掲載'!O122&lt;=100000,'中古車掲載'!AL122=1,'中古車掲載'!Z122="https://www.one2car.com/en/cars-for-sale/toyota/corolla-cross/year-2023"),'中古車掲載'!U122,"")</x:f>
      </x:c>
      <x:c r="BG121" s="3" t="str">
        <x:f>IF(AND('中古車掲載'!C122="One2car",'中古車掲載'!F122="Corolla Cross",'中古車掲載'!L122="HEV GR SPORT",'中古車掲載'!J122=2023,ISNUMBER('中古車掲載'!N122),'中古車掲載'!N122&gt;=20000,'中古車掲載'!O122&lt;=100000,'中古車掲載'!AL122=1,'中古車掲載'!Z122="https://www.one2car.com/en/cars-for-sale/toyota/corolla-cross/year-2023"),'中古車掲載'!U122,"")</x:f>
      </x:c>
      <x:c r="BH121" s="3" t="str">
        <x:f>IF(AND('中古車掲載'!C122="One2car",'中古車掲載'!F122="DOLPHIN",'中古車掲載'!L122="STANDARD RANGE",'中古車掲載'!J122=2023,ISNUMBER('中古車掲載'!N122),'中古車掲載'!N122&gt;=20000,'中古車掲載'!O122&lt;=100000,'中古車掲載'!AL122=1),'中古車掲載'!U122,"")</x:f>
      </x:c>
      <x:c r="BI121" s="3" t="str">
        <x:v>One2car|Hilux Revo|ICE|Bangkok metro</x:v>
      </x:c>
      <x:c r="BJ121" s="3" t="n">
        <x:v>123</x:v>
      </x:c>
      <x:c r="BK121" s="3" t="n">
        <x:f>'中古車掲載'!AM123</x:f>
        <x:v>299000</x:v>
      </x:c>
      <x:c r="BL121" s="3" t="str">
        <x:f>IF(ISNUMBER('中古車掲載'!AN123),'中古車掲載'!AN123,"")</x:f>
      </x:c>
      <x:c r="BM121" s="3" t="str">
        <x:v>2021|Single cab</x:v>
      </x:c>
      <x:c r="BN121" s="3" t="n">
        <x:v>722</x:v>
      </x:c>
      <x:c r="BO121" s="3" t="n">
        <x:f>'中古車掲載'!AM722</x:f>
        <x:v>419000</x:v>
      </x:c>
      <x:c r="BP121" s="3" t="str">
        <x:v>2.4 ENTRY STANDARD CAB</x:v>
      </x:c>
      <x:c r="BQ121" s="3"/>
      <x:c r="BR121" s="3"/>
    </x:row>
    <x:row r="122" ht="22" customHeight="1">
      <x:c r="A122" s="3" t="str">
        <x:v>Corolla Altis</x:v>
      </x:c>
      <x:c r="B122" s="3" t="str">
        <x:v>ICE</x:v>
      </x:c>
      <x:c r="C122" s="3" t="str">
        <x:v>Taladrod</x:v>
      </x:c>
      <x:c r="D122" s="3" t="n">
        <x:v>2021</x:v>
      </x:c>
      <x:c r="E122" s="22" t="n">
        <x:f>COUNT('中古車掲載'!AM234:AM253)</x:f>
        <x:v>20</x:v>
      </x:c>
      <x:c r="F122" s="22" t="n">
        <x:f>IF(COUNT('中古車掲載'!AM234:AM253)=0,"",QUARTILE('中古車掲載'!AM234:AM253,1))</x:f>
        <x:v>423500</x:v>
      </x:c>
      <x:c r="G122" s="22" t="n">
        <x:f>IF(COUNT('中古車掲載'!AM234:AM253)=0,"",MEDIAN('中古車掲載'!AM234:AM253))</x:f>
        <x:v>434000</x:v>
      </x:c>
      <x:c r="H122" s="22" t="n">
        <x:f>IF(COUNT('中古車掲載'!AM234:AM253)=0,"",QUARTILE('中古車掲載'!AM234:AM253,3))</x:f>
        <x:v>499000</x:v>
      </x:c>
      <x:c r="I122" s="22" t="n">
        <x:f>COUNT('中古車掲載'!AN234:AN253)</x:f>
        <x:v>0</x:v>
      </x:c>
      <x:c r="J122" s="23" t="str">
        <x:f>IF(COUNT('中古車掲載'!AN234:AN253)=0,"",MEDIAN('中古車掲載'!AN234:AN253))</x:f>
      </x:c>
      <x:c r="K122" s="3"/>
      <x:c r="L122" s="3"/>
      <x:c r="M122" s="3"/>
      <x:c r="N122" s="3"/>
      <x:c r="O122" s="3"/>
      <x:c r="P122" s="3"/>
      <x:c r="Q122" s="3"/>
      <x:c r="R122" s="3"/>
      <x:c r="S122" s="3"/>
      <x:c r="T122" s="3"/>
      <x:c r="U122" s="3"/>
      <x:c r="V122" s="3"/>
      <x:c r="W122" s="3"/>
      <x:c r="X122" s="3"/>
      <x:c r="Y122" s="3"/>
      <x:c r="Z122" s="3"/>
      <x:c r="AA122" s="3"/>
      <x:c r="AB122" s="3"/>
      <x:c r="AC122" s="3"/>
      <x:c r="AD122" s="3"/>
      <x:c r="AE122" s="3"/>
      <x:c r="AF122" s="3"/>
      <x:c r="AG122" s="3"/>
      <x:c r="AH122" s="3"/>
      <x:c r="AI122" s="3"/>
      <x:c r="AJ122" s="3"/>
      <x:c r="AK122" s="3"/>
      <x:c r="AL122" s="3"/>
      <x:c r="AM122" s="3"/>
      <x:c r="AN122" s="3"/>
      <x:c r="AO122" s="3"/>
      <x:c r="AP122" s="3"/>
      <x:c r="AQ122" s="3"/>
      <x:c r="AR122" s="3"/>
      <x:c r="AS122" s="3"/>
      <x:c r="AT122" s="3"/>
      <x:c r="AU122" s="3"/>
      <x:c r="AV122" s="3"/>
      <x:c r="AW122" s="3"/>
      <x:c r="AX122" s="3"/>
      <x:c r="AY122" s="3"/>
      <x:c r="AZ122" s="3" t="str">
        <x:f>IF(AND('中古車掲載'!C123="One2car",'中古車掲載'!F123="ATTO 3",'中古車掲載'!L123="EXTENDED RANGE",'中古車掲載'!J123=2023,ISNUMBER('中古車掲載'!N123),'中古車掲載'!N123&gt;=20000,'中古車掲載'!O123&lt;=100000,'中古車掲載'!AL123=1),'中古車掲載'!U123,"")</x:f>
      </x:c>
      <x:c r="BA122" s="3" t="str">
        <x:f>IF(AND('中古車掲載'!C123="One2car",'中古車掲載'!F123="Corolla Cross",'中古車掲載'!L123="HEV PREMIUM SAFETY",'中古車掲載'!J123=2023,ISNUMBER('中古車掲載'!N123),'中古車掲載'!N123&gt;=20000,'中古車掲載'!O123&lt;=100000,'中古車掲載'!AL123=1,'中古車掲載'!Z123="https://www.one2car.com/en/cars-for-sale/toyota/corolla-cross/year-2023"),'中古車掲載'!U123,"")</x:f>
      </x:c>
      <x:c r="BB122" s="3" t="str">
        <x:f>IF(AND('中古車掲載'!C123="One2car",'中古車掲載'!F123="ATTO 3",'中古車掲載'!L123="EXTENDED RANGE",'中古車掲載'!J123=2023,ISNUMBER('中古車掲載'!N123),'中古車掲載'!N123&gt;=50000,'中古車掲載'!O123&lt;=100000,'中古車掲載'!AL123=1),'中古車掲載'!U123,"")</x:f>
      </x:c>
      <x:c r="BC122" s="3" t="str">
        <x:f>IF(AND('中古車掲載'!C123="One2car",'中古車掲載'!F123="Corolla Cross",'中古車掲載'!L123="HEV PREMIUM SAFETY",'中古車掲載'!J123=2023,ISNUMBER('中古車掲載'!N123),'中古車掲載'!N123&gt;=50000,'中古車掲載'!O123&lt;=100000,'中古車掲載'!AL123=1,'中古車掲載'!Z123="https://www.one2car.com/en/cars-for-sale/toyota/corolla-cross/year-2023"),'中古車掲載'!U123,"")</x:f>
      </x:c>
      <x:c r="BD122" s="3" t="str">
        <x:f>IF(AND('中古車掲載'!C123="One2car",'中古車掲載'!F123="ATTO 3",'中古車掲載'!L123="EXTENDED RANGE",'中古車掲載'!J123=2023,ISNUMBER('中古車掲載'!N123),'中古車掲載'!N123&gt;=20000,'中古車掲載'!O123&lt;=50000,'中古車掲載'!AL123=1),'中古車掲載'!U123,"")</x:f>
      </x:c>
      <x:c r="BE122" s="3" t="str">
        <x:f>IF(AND('中古車掲載'!C123="One2car",'中古車掲載'!F123="Corolla Cross",'中古車掲載'!L123="HEV PREMIUM SAFETY",'中古車掲載'!J123=2023,ISNUMBER('中古車掲載'!N123),'中古車掲載'!N123&gt;=20000,'中古車掲載'!O123&lt;=50000,'中古車掲載'!AL123=1,'中古車掲載'!Z123="https://www.one2car.com/en/cars-for-sale/toyota/corolla-cross/year-2023"),'中古車掲載'!U123,"")</x:f>
      </x:c>
      <x:c r="BF122" s="3" t="str">
        <x:f>IF(AND('中古車掲載'!C123="One2car",'中古車掲載'!F123="Corolla Cross",'中古車掲載'!L123="HEV PREMIUM",'中古車掲載'!J123=2023,ISNUMBER('中古車掲載'!N123),'中古車掲載'!N123&gt;=20000,'中古車掲載'!O123&lt;=100000,'中古車掲載'!AL123=1,'中古車掲載'!Z123="https://www.one2car.com/en/cars-for-sale/toyota/corolla-cross/year-2023"),'中古車掲載'!U123,"")</x:f>
      </x:c>
      <x:c r="BG122" s="3" t="str">
        <x:f>IF(AND('中古車掲載'!C123="One2car",'中古車掲載'!F123="Corolla Cross",'中古車掲載'!L123="HEV GR SPORT",'中古車掲載'!J123=2023,ISNUMBER('中古車掲載'!N123),'中古車掲載'!N123&gt;=20000,'中古車掲載'!O123&lt;=100000,'中古車掲載'!AL123=1,'中古車掲載'!Z123="https://www.one2car.com/en/cars-for-sale/toyota/corolla-cross/year-2023"),'中古車掲載'!U123,"")</x:f>
      </x:c>
      <x:c r="BH122" s="3" t="str">
        <x:f>IF(AND('中古車掲載'!C123="One2car",'中古車掲載'!F123="DOLPHIN",'中古車掲載'!L123="STANDARD RANGE",'中古車掲載'!J123=2023,ISNUMBER('中古車掲載'!N123),'中古車掲載'!N123&gt;=20000,'中古車掲載'!O123&lt;=100000,'中古車掲載'!AL123=1),'中古車掲載'!U123,"")</x:f>
      </x:c>
      <x:c r="BI122" s="3" t="str">
        <x:v>One2car|Hilux Revo|ICE|Bangkok metro</x:v>
      </x:c>
      <x:c r="BJ122" s="3" t="n">
        <x:v>124</x:v>
      </x:c>
      <x:c r="BK122" s="3" t="n">
        <x:f>'中古車掲載'!AM124</x:f>
        <x:v>399000</x:v>
      </x:c>
      <x:c r="BL122" s="3" t="str">
        <x:f>IF(ISNUMBER('中古車掲載'!AN124),'中古車掲載'!AN124,"")</x:f>
      </x:c>
      <x:c r="BM122" s="3" t="str">
        <x:v>2021|Single cab</x:v>
      </x:c>
      <x:c r="BN122" s="3" t="n">
        <x:v>723</x:v>
      </x:c>
      <x:c r="BO122" s="3" t="n">
        <x:f>'中古車掲載'!AM723</x:f>
        <x:v>459000</x:v>
      </x:c>
      <x:c r="BP122" s="3" t="str">
        <x:v>2.4 ENTRY SWB STANDARD CAB</x:v>
      </x:c>
      <x:c r="BQ122" s="3"/>
      <x:c r="BR122" s="3"/>
    </x:row>
    <x:row r="123" ht="22" customHeight="1">
      <x:c r="A123" s="3" t="str">
        <x:v>Corolla Altis</x:v>
      </x:c>
      <x:c r="B123" s="3" t="str">
        <x:v>ICE</x:v>
      </x:c>
      <x:c r="C123" s="3" t="str">
        <x:v>Taladrod</x:v>
      </x:c>
      <x:c r="D123" s="3" t="n">
        <x:v>2022</x:v>
      </x:c>
      <x:c r="E123" s="22" t="n">
        <x:f>COUNT('中古車掲載'!AM254:AM268)</x:f>
        <x:v>15</x:v>
      </x:c>
      <x:c r="F123" s="22" t="n">
        <x:f>IF(COUNT('中古車掲載'!AM254:AM268)=0,"",QUARTILE('中古車掲載'!AM254:AM268,1))</x:f>
        <x:v>454500</x:v>
      </x:c>
      <x:c r="G123" s="22" t="n">
        <x:f>IF(COUNT('中古車掲載'!AM254:AM268)=0,"",MEDIAN('中古車掲載'!AM254:AM268))</x:f>
        <x:v>460000</x:v>
      </x:c>
      <x:c r="H123" s="22" t="n">
        <x:f>IF(COUNT('中古車掲載'!AM254:AM268)=0,"",QUARTILE('中古車掲載'!AM254:AM268,3))</x:f>
        <x:v>504000</x:v>
      </x:c>
      <x:c r="I123" s="22" t="n">
        <x:f>COUNT('中古車掲載'!AN254:AN268)</x:f>
        <x:v>0</x:v>
      </x:c>
      <x:c r="J123" s="23" t="str">
        <x:f>IF(COUNT('中古車掲載'!AN254:AN268)=0,"",MEDIAN('中古車掲載'!AN254:AN268))</x:f>
      </x:c>
      <x:c r="K123" s="3"/>
      <x:c r="L123" s="3"/>
      <x:c r="M123" s="3"/>
      <x:c r="N123" s="3"/>
      <x:c r="O123" s="3"/>
      <x:c r="P123" s="3"/>
      <x:c r="Q123" s="3"/>
      <x:c r="R123" s="3"/>
      <x:c r="S123" s="3"/>
      <x:c r="T123" s="3"/>
      <x:c r="U123" s="3"/>
      <x:c r="V123" s="3"/>
      <x:c r="W123" s="3"/>
      <x:c r="X123" s="3"/>
      <x:c r="Y123" s="3"/>
      <x:c r="Z123" s="3"/>
      <x:c r="AA123" s="3"/>
      <x:c r="AB123" s="3"/>
      <x:c r="AC123" s="3"/>
      <x:c r="AD123" s="3"/>
      <x:c r="AE123" s="3"/>
      <x:c r="AF123" s="3"/>
      <x:c r="AG123" s="3"/>
      <x:c r="AH123" s="3"/>
      <x:c r="AI123" s="3"/>
      <x:c r="AJ123" s="3"/>
      <x:c r="AK123" s="3"/>
      <x:c r="AL123" s="3"/>
      <x:c r="AM123" s="3"/>
      <x:c r="AN123" s="3"/>
      <x:c r="AO123" s="3"/>
      <x:c r="AP123" s="3"/>
      <x:c r="AQ123" s="3"/>
      <x:c r="AR123" s="3"/>
      <x:c r="AS123" s="3"/>
      <x:c r="AT123" s="3"/>
      <x:c r="AU123" s="3"/>
      <x:c r="AV123" s="3"/>
      <x:c r="AW123" s="3"/>
      <x:c r="AX123" s="3"/>
      <x:c r="AY123" s="3"/>
      <x:c r="AZ123" s="3" t="str">
        <x:f>IF(AND('中古車掲載'!C124="One2car",'中古車掲載'!F124="ATTO 3",'中古車掲載'!L124="EXTENDED RANGE",'中古車掲載'!J124=2023,ISNUMBER('中古車掲載'!N124),'中古車掲載'!N124&gt;=20000,'中古車掲載'!O124&lt;=100000,'中古車掲載'!AL124=1),'中古車掲載'!U124,"")</x:f>
      </x:c>
      <x:c r="BA123" s="3" t="str">
        <x:f>IF(AND('中古車掲載'!C124="One2car",'中古車掲載'!F124="Corolla Cross",'中古車掲載'!L124="HEV PREMIUM SAFETY",'中古車掲載'!J124=2023,ISNUMBER('中古車掲載'!N124),'中古車掲載'!N124&gt;=20000,'中古車掲載'!O124&lt;=100000,'中古車掲載'!AL124=1,'中古車掲載'!Z124="https://www.one2car.com/en/cars-for-sale/toyota/corolla-cross/year-2023"),'中古車掲載'!U124,"")</x:f>
      </x:c>
      <x:c r="BB123" s="3" t="str">
        <x:f>IF(AND('中古車掲載'!C124="One2car",'中古車掲載'!F124="ATTO 3",'中古車掲載'!L124="EXTENDED RANGE",'中古車掲載'!J124=2023,ISNUMBER('中古車掲載'!N124),'中古車掲載'!N124&gt;=50000,'中古車掲載'!O124&lt;=100000,'中古車掲載'!AL124=1),'中古車掲載'!U124,"")</x:f>
      </x:c>
      <x:c r="BC123" s="3" t="str">
        <x:f>IF(AND('中古車掲載'!C124="One2car",'中古車掲載'!F124="Corolla Cross",'中古車掲載'!L124="HEV PREMIUM SAFETY",'中古車掲載'!J124=2023,ISNUMBER('中古車掲載'!N124),'中古車掲載'!N124&gt;=50000,'中古車掲載'!O124&lt;=100000,'中古車掲載'!AL124=1,'中古車掲載'!Z124="https://www.one2car.com/en/cars-for-sale/toyota/corolla-cross/year-2023"),'中古車掲載'!U124,"")</x:f>
      </x:c>
      <x:c r="BD123" s="3" t="str">
        <x:f>IF(AND('中古車掲載'!C124="One2car",'中古車掲載'!F124="ATTO 3",'中古車掲載'!L124="EXTENDED RANGE",'中古車掲載'!J124=2023,ISNUMBER('中古車掲載'!N124),'中古車掲載'!N124&gt;=20000,'中古車掲載'!O124&lt;=50000,'中古車掲載'!AL124=1),'中古車掲載'!U124,"")</x:f>
      </x:c>
      <x:c r="BE123" s="3" t="str">
        <x:f>IF(AND('中古車掲載'!C124="One2car",'中古車掲載'!F124="Corolla Cross",'中古車掲載'!L124="HEV PREMIUM SAFETY",'中古車掲載'!J124=2023,ISNUMBER('中古車掲載'!N124),'中古車掲載'!N124&gt;=20000,'中古車掲載'!O124&lt;=50000,'中古車掲載'!AL124=1,'中古車掲載'!Z124="https://www.one2car.com/en/cars-for-sale/toyota/corolla-cross/year-2023"),'中古車掲載'!U124,"")</x:f>
      </x:c>
      <x:c r="BF123" s="3" t="str">
        <x:f>IF(AND('中古車掲載'!C124="One2car",'中古車掲載'!F124="Corolla Cross",'中古車掲載'!L124="HEV PREMIUM",'中古車掲載'!J124=2023,ISNUMBER('中古車掲載'!N124),'中古車掲載'!N124&gt;=20000,'中古車掲載'!O124&lt;=100000,'中古車掲載'!AL124=1,'中古車掲載'!Z124="https://www.one2car.com/en/cars-for-sale/toyota/corolla-cross/year-2023"),'中古車掲載'!U124,"")</x:f>
      </x:c>
      <x:c r="BG123" s="3" t="str">
        <x:f>IF(AND('中古車掲載'!C124="One2car",'中古車掲載'!F124="Corolla Cross",'中古車掲載'!L124="HEV GR SPORT",'中古車掲載'!J124=2023,ISNUMBER('中古車掲載'!N124),'中古車掲載'!N124&gt;=20000,'中古車掲載'!O124&lt;=100000,'中古車掲載'!AL124=1,'中古車掲載'!Z124="https://www.one2car.com/en/cars-for-sale/toyota/corolla-cross/year-2023"),'中古車掲載'!U124,"")</x:f>
      </x:c>
      <x:c r="BH123" s="3" t="str">
        <x:f>IF(AND('中古車掲載'!C124="One2car",'中古車掲載'!F124="DOLPHIN",'中古車掲載'!L124="STANDARD RANGE",'中古車掲載'!J124=2023,ISNUMBER('中古車掲載'!N124),'中古車掲載'!N124&gt;=20000,'中古車掲載'!O124&lt;=100000,'中古車掲載'!AL124=1),'中古車掲載'!U124,"")</x:f>
      </x:c>
      <x:c r="BI123" s="3" t="str">
        <x:v>One2car|Hilux Revo|ICE|Bangkok metro</x:v>
      </x:c>
      <x:c r="BJ123" s="3" t="n">
        <x:v>126</x:v>
      </x:c>
      <x:c r="BK123" s="3" t="n">
        <x:f>'中古車掲載'!AM126</x:f>
        <x:v>419000</x:v>
      </x:c>
      <x:c r="BL123" s="3" t="str">
        <x:f>IF(ISNUMBER('中古車掲載'!AN126),'中古車掲載'!AN126,"")</x:f>
      </x:c>
      <x:c r="BM123" s="3" t="str">
        <x:v>2021|Single cab</x:v>
      </x:c>
      <x:c r="BN123" s="3" t="n">
        <x:v>764</x:v>
      </x:c>
      <x:c r="BO123" s="3" t="n">
        <x:f>'中古車掲載'!AM764</x:f>
        <x:v>364000</x:v>
      </x:c>
      <x:c r="BP123" s="3" t="str">
        <x:v>2.8 ENTRY STANDARD CAB</x:v>
      </x:c>
      <x:c r="BQ123" s="3"/>
      <x:c r="BR123" s="3"/>
    </x:row>
    <x:row r="124" ht="22" customHeight="1">
      <x:c r="A124" s="3" t="str">
        <x:v>Corolla Altis</x:v>
      </x:c>
      <x:c r="B124" s="3" t="str">
        <x:v>ICE</x:v>
      </x:c>
      <x:c r="C124" s="3" t="str">
        <x:v>Taladrod</x:v>
      </x:c>
      <x:c r="D124" s="3" t="n">
        <x:v>2023</x:v>
      </x:c>
      <x:c r="E124" s="22" t="n">
        <x:f>COUNT('中古車掲載'!AM269:AM274)</x:f>
        <x:v>6</x:v>
      </x:c>
      <x:c r="F124" s="22" t="n">
        <x:f>IF(COUNT('中古車掲載'!AM269:AM274)=0,"",QUARTILE('中古車掲載'!AM269:AM274,1))</x:f>
        <x:v>464000</x:v>
      </x:c>
      <x:c r="G124" s="22" t="n">
        <x:f>IF(COUNT('中古車掲載'!AM269:AM274)=0,"",MEDIAN('中古車掲載'!AM269:AM274))</x:f>
        <x:v>489000</x:v>
      </x:c>
      <x:c r="H124" s="22" t="n">
        <x:f>IF(COUNT('中古車掲載'!AM269:AM274)=0,"",QUARTILE('中古車掲載'!AM269:AM274,3))</x:f>
        <x:v>521500</x:v>
      </x:c>
      <x:c r="I124" s="22" t="n">
        <x:f>COUNT('中古車掲載'!AN269:AN274)</x:f>
        <x:v>0</x:v>
      </x:c>
      <x:c r="J124" s="23" t="str">
        <x:f>IF(COUNT('中古車掲載'!AN269:AN274)=0,"",MEDIAN('中古車掲載'!AN269:AN274))</x:f>
      </x:c>
      <x:c r="K124" s="3"/>
      <x:c r="L124" s="3"/>
      <x:c r="M124" s="3"/>
      <x:c r="N124" s="3"/>
      <x:c r="O124" s="3"/>
      <x:c r="P124" s="3"/>
      <x:c r="Q124" s="3"/>
      <x:c r="R124" s="3"/>
      <x:c r="S124" s="3"/>
      <x:c r="T124" s="3"/>
      <x:c r="U124" s="3"/>
      <x:c r="V124" s="3"/>
      <x:c r="W124" s="3"/>
      <x:c r="X124" s="3"/>
      <x:c r="Y124" s="3"/>
      <x:c r="Z124" s="3"/>
      <x:c r="AA124" s="3"/>
      <x:c r="AB124" s="3"/>
      <x:c r="AC124" s="3"/>
      <x:c r="AD124" s="3"/>
      <x:c r="AE124" s="3"/>
      <x:c r="AF124" s="3"/>
      <x:c r="AG124" s="3"/>
      <x:c r="AH124" s="3"/>
      <x:c r="AI124" s="3"/>
      <x:c r="AJ124" s="3"/>
      <x:c r="AK124" s="3"/>
      <x:c r="AL124" s="3"/>
      <x:c r="AM124" s="3"/>
      <x:c r="AN124" s="3"/>
      <x:c r="AO124" s="3"/>
      <x:c r="AP124" s="3"/>
      <x:c r="AQ124" s="3"/>
      <x:c r="AR124" s="3"/>
      <x:c r="AS124" s="3"/>
      <x:c r="AT124" s="3"/>
      <x:c r="AU124" s="3"/>
      <x:c r="AV124" s="3"/>
      <x:c r="AW124" s="3"/>
      <x:c r="AX124" s="3"/>
      <x:c r="AY124" s="3"/>
      <x:c r="AZ124" s="3" t="str">
        <x:f>IF(AND('中古車掲載'!C125="One2car",'中古車掲載'!F125="ATTO 3",'中古車掲載'!L125="EXTENDED RANGE",'中古車掲載'!J125=2023,ISNUMBER('中古車掲載'!N125),'中古車掲載'!N125&gt;=20000,'中古車掲載'!O125&lt;=100000,'中古車掲載'!AL125=1),'中古車掲載'!U125,"")</x:f>
      </x:c>
      <x:c r="BA124" s="3" t="str">
        <x:f>IF(AND('中古車掲載'!C125="One2car",'中古車掲載'!F125="Corolla Cross",'中古車掲載'!L125="HEV PREMIUM SAFETY",'中古車掲載'!J125=2023,ISNUMBER('中古車掲載'!N125),'中古車掲載'!N125&gt;=20000,'中古車掲載'!O125&lt;=100000,'中古車掲載'!AL125=1,'中古車掲載'!Z125="https://www.one2car.com/en/cars-for-sale/toyota/corolla-cross/year-2023"),'中古車掲載'!U125,"")</x:f>
      </x:c>
      <x:c r="BB124" s="3" t="str">
        <x:f>IF(AND('中古車掲載'!C125="One2car",'中古車掲載'!F125="ATTO 3",'中古車掲載'!L125="EXTENDED RANGE",'中古車掲載'!J125=2023,ISNUMBER('中古車掲載'!N125),'中古車掲載'!N125&gt;=50000,'中古車掲載'!O125&lt;=100000,'中古車掲載'!AL125=1),'中古車掲載'!U125,"")</x:f>
      </x:c>
      <x:c r="BC124" s="3" t="str">
        <x:f>IF(AND('中古車掲載'!C125="One2car",'中古車掲載'!F125="Corolla Cross",'中古車掲載'!L125="HEV PREMIUM SAFETY",'中古車掲載'!J125=2023,ISNUMBER('中古車掲載'!N125),'中古車掲載'!N125&gt;=50000,'中古車掲載'!O125&lt;=100000,'中古車掲載'!AL125=1,'中古車掲載'!Z125="https://www.one2car.com/en/cars-for-sale/toyota/corolla-cross/year-2023"),'中古車掲載'!U125,"")</x:f>
      </x:c>
      <x:c r="BD124" s="3" t="str">
        <x:f>IF(AND('中古車掲載'!C125="One2car",'中古車掲載'!F125="ATTO 3",'中古車掲載'!L125="EXTENDED RANGE",'中古車掲載'!J125=2023,ISNUMBER('中古車掲載'!N125),'中古車掲載'!N125&gt;=20000,'中古車掲載'!O125&lt;=50000,'中古車掲載'!AL125=1),'中古車掲載'!U125,"")</x:f>
      </x:c>
      <x:c r="BE124" s="3" t="str">
        <x:f>IF(AND('中古車掲載'!C125="One2car",'中古車掲載'!F125="Corolla Cross",'中古車掲載'!L125="HEV PREMIUM SAFETY",'中古車掲載'!J125=2023,ISNUMBER('中古車掲載'!N125),'中古車掲載'!N125&gt;=20000,'中古車掲載'!O125&lt;=50000,'中古車掲載'!AL125=1,'中古車掲載'!Z125="https://www.one2car.com/en/cars-for-sale/toyota/corolla-cross/year-2023"),'中古車掲載'!U125,"")</x:f>
      </x:c>
      <x:c r="BF124" s="3" t="str">
        <x:f>IF(AND('中古車掲載'!C125="One2car",'中古車掲載'!F125="Corolla Cross",'中古車掲載'!L125="HEV PREMIUM",'中古車掲載'!J125=2023,ISNUMBER('中古車掲載'!N125),'中古車掲載'!N125&gt;=20000,'中古車掲載'!O125&lt;=100000,'中古車掲載'!AL125=1,'中古車掲載'!Z125="https://www.one2car.com/en/cars-for-sale/toyota/corolla-cross/year-2023"),'中古車掲載'!U125,"")</x:f>
      </x:c>
      <x:c r="BG124" s="3" t="str">
        <x:f>IF(AND('中古車掲載'!C125="One2car",'中古車掲載'!F125="Corolla Cross",'中古車掲載'!L125="HEV GR SPORT",'中古車掲載'!J125=2023,ISNUMBER('中古車掲載'!N125),'中古車掲載'!N125&gt;=20000,'中古車掲載'!O125&lt;=100000,'中古車掲載'!AL125=1,'中古車掲載'!Z125="https://www.one2car.com/en/cars-for-sale/toyota/corolla-cross/year-2023"),'中古車掲載'!U125,"")</x:f>
      </x:c>
      <x:c r="BH124" s="3" t="str">
        <x:f>IF(AND('中古車掲載'!C125="One2car",'中古車掲載'!F125="DOLPHIN",'中古車掲載'!L125="STANDARD RANGE",'中古車掲載'!J125=2023,ISNUMBER('中古車掲載'!N125),'中古車掲載'!N125&gt;=20000,'中古車掲載'!O125&lt;=100000,'中古車掲載'!AL125=1),'中古車掲載'!U125,"")</x:f>
      </x:c>
      <x:c r="BI124" s="3" t="str">
        <x:v>One2car|Hilux Revo|ICE|Bangkok metro</x:v>
      </x:c>
      <x:c r="BJ124" s="3" t="n">
        <x:v>127</x:v>
      </x:c>
      <x:c r="BK124" s="3" t="n">
        <x:f>'中古車掲載'!AM127</x:f>
        <x:v>535000</x:v>
      </x:c>
      <x:c r="BL124" s="3" t="str">
        <x:f>IF(ISNUMBER('中古車掲載'!AN127),'中古車掲載'!AN127,"")</x:f>
      </x:c>
      <x:c r="BM124" s="3" t="str">
        <x:v>2022|Double cab</x:v>
      </x:c>
      <x:c r="BN124" s="3" t="n">
        <x:v>767</x:v>
      </x:c>
      <x:c r="BO124" s="3" t="n">
        <x:f>'中古車掲載'!AM767</x:f>
        <x:v>570000</x:v>
      </x:c>
      <x:c r="BP124" s="3" t="str">
        <x:v>2.4 E PRERUNNER DOUBLE CAB</x:v>
      </x:c>
      <x:c r="BQ124" s="3"/>
      <x:c r="BR124" s="3"/>
    </x:row>
    <x:row r="125" ht="22" customHeight="1">
      <x:c r="A125" s="3" t="str">
        <x:v>Corolla Cross</x:v>
      </x:c>
      <x:c r="B125" s="3" t="str">
        <x:v>HEV</x:v>
      </x:c>
      <x:c r="C125" s="3" t="str">
        <x:v>Taladrod</x:v>
      </x:c>
      <x:c r="D125" s="3" t="n">
        <x:v>2020</x:v>
      </x:c>
      <x:c r="E125" s="22" t="n">
        <x:f>COUNT('中古車掲載'!AM275:AM294)</x:f>
        <x:v>20</x:v>
      </x:c>
      <x:c r="F125" s="22" t="n">
        <x:f>IF(COUNT('中古車掲載'!AM275:AM294)=0,"",QUARTILE('中古車掲載'!AM275:AM294,1))</x:f>
        <x:v>599000</x:v>
      </x:c>
      <x:c r="G125" s="22" t="n">
        <x:f>IF(COUNT('中古車掲載'!AM275:AM294)=0,"",MEDIAN('中古車掲載'!AM275:AM294))</x:f>
        <x:v>618500</x:v>
      </x:c>
      <x:c r="H125" s="22" t="n">
        <x:f>IF(COUNT('中古車掲載'!AM275:AM294)=0,"",QUARTILE('中古車掲載'!AM275:AM294,3))</x:f>
        <x:v>634000</x:v>
      </x:c>
      <x:c r="I125" s="22" t="n">
        <x:f>COUNT('中古車掲載'!AN275:AN294)</x:f>
        <x:v>0</x:v>
      </x:c>
      <x:c r="J125" s="23" t="str">
        <x:f>IF(COUNT('中古車掲載'!AN275:AN294)=0,"",MEDIAN('中古車掲載'!AN275:AN294))</x:f>
      </x:c>
      <x:c r="K125" s="3"/>
      <x:c r="L125" s="3"/>
      <x:c r="M125" s="3"/>
      <x:c r="N125" s="3"/>
      <x:c r="O125" s="3"/>
      <x:c r="P125" s="3"/>
      <x:c r="Q125" s="3"/>
      <x:c r="R125" s="3"/>
      <x:c r="S125" s="3"/>
      <x:c r="T125" s="3"/>
      <x:c r="U125" s="3"/>
      <x:c r="V125" s="3"/>
      <x:c r="W125" s="3"/>
      <x:c r="X125" s="3"/>
      <x:c r="Y125" s="3"/>
      <x:c r="Z125" s="3"/>
      <x:c r="AA125" s="3"/>
      <x:c r="AB125" s="3"/>
      <x:c r="AC125" s="3"/>
      <x:c r="AD125" s="3"/>
      <x:c r="AE125" s="3"/>
      <x:c r="AF125" s="3"/>
      <x:c r="AG125" s="3"/>
      <x:c r="AH125" s="3"/>
      <x:c r="AI125" s="3"/>
      <x:c r="AJ125" s="3"/>
      <x:c r="AK125" s="3"/>
      <x:c r="AL125" s="3"/>
      <x:c r="AM125" s="3"/>
      <x:c r="AN125" s="3"/>
      <x:c r="AO125" s="3"/>
      <x:c r="AP125" s="3"/>
      <x:c r="AQ125" s="3"/>
      <x:c r="AR125" s="3"/>
      <x:c r="AS125" s="3"/>
      <x:c r="AT125" s="3"/>
      <x:c r="AU125" s="3"/>
      <x:c r="AV125" s="3"/>
      <x:c r="AW125" s="3"/>
      <x:c r="AX125" s="3"/>
      <x:c r="AY125" s="3"/>
      <x:c r="AZ125" s="3" t="str">
        <x:f>IF(AND('中古車掲載'!C126="One2car",'中古車掲載'!F126="ATTO 3",'中古車掲載'!L126="EXTENDED RANGE",'中古車掲載'!J126=2023,ISNUMBER('中古車掲載'!N126),'中古車掲載'!N126&gt;=20000,'中古車掲載'!O126&lt;=100000,'中古車掲載'!AL126=1),'中古車掲載'!U126,"")</x:f>
      </x:c>
      <x:c r="BA125" s="3" t="str">
        <x:f>IF(AND('中古車掲載'!C126="One2car",'中古車掲載'!F126="Corolla Cross",'中古車掲載'!L126="HEV PREMIUM SAFETY",'中古車掲載'!J126=2023,ISNUMBER('中古車掲載'!N126),'中古車掲載'!N126&gt;=20000,'中古車掲載'!O126&lt;=100000,'中古車掲載'!AL126=1,'中古車掲載'!Z126="https://www.one2car.com/en/cars-for-sale/toyota/corolla-cross/year-2023"),'中古車掲載'!U126,"")</x:f>
      </x:c>
      <x:c r="BB125" s="3" t="str">
        <x:f>IF(AND('中古車掲載'!C126="One2car",'中古車掲載'!F126="ATTO 3",'中古車掲載'!L126="EXTENDED RANGE",'中古車掲載'!J126=2023,ISNUMBER('中古車掲載'!N126),'中古車掲載'!N126&gt;=50000,'中古車掲載'!O126&lt;=100000,'中古車掲載'!AL126=1),'中古車掲載'!U126,"")</x:f>
      </x:c>
      <x:c r="BC125" s="3" t="str">
        <x:f>IF(AND('中古車掲載'!C126="One2car",'中古車掲載'!F126="Corolla Cross",'中古車掲載'!L126="HEV PREMIUM SAFETY",'中古車掲載'!J126=2023,ISNUMBER('中古車掲載'!N126),'中古車掲載'!N126&gt;=50000,'中古車掲載'!O126&lt;=100000,'中古車掲載'!AL126=1,'中古車掲載'!Z126="https://www.one2car.com/en/cars-for-sale/toyota/corolla-cross/year-2023"),'中古車掲載'!U126,"")</x:f>
      </x:c>
      <x:c r="BD125" s="3" t="str">
        <x:f>IF(AND('中古車掲載'!C126="One2car",'中古車掲載'!F126="ATTO 3",'中古車掲載'!L126="EXTENDED RANGE",'中古車掲載'!J126=2023,ISNUMBER('中古車掲載'!N126),'中古車掲載'!N126&gt;=20000,'中古車掲載'!O126&lt;=50000,'中古車掲載'!AL126=1),'中古車掲載'!U126,"")</x:f>
      </x:c>
      <x:c r="BE125" s="3" t="str">
        <x:f>IF(AND('中古車掲載'!C126="One2car",'中古車掲載'!F126="Corolla Cross",'中古車掲載'!L126="HEV PREMIUM SAFETY",'中古車掲載'!J126=2023,ISNUMBER('中古車掲載'!N126),'中古車掲載'!N126&gt;=20000,'中古車掲載'!O126&lt;=50000,'中古車掲載'!AL126=1,'中古車掲載'!Z126="https://www.one2car.com/en/cars-for-sale/toyota/corolla-cross/year-2023"),'中古車掲載'!U126,"")</x:f>
      </x:c>
      <x:c r="BF125" s="3" t="str">
        <x:f>IF(AND('中古車掲載'!C126="One2car",'中古車掲載'!F126="Corolla Cross",'中古車掲載'!L126="HEV PREMIUM",'中古車掲載'!J126=2023,ISNUMBER('中古車掲載'!N126),'中古車掲載'!N126&gt;=20000,'中古車掲載'!O126&lt;=100000,'中古車掲載'!AL126=1,'中古車掲載'!Z126="https://www.one2car.com/en/cars-for-sale/toyota/corolla-cross/year-2023"),'中古車掲載'!U126,"")</x:f>
      </x:c>
      <x:c r="BG125" s="3" t="str">
        <x:f>IF(AND('中古車掲載'!C126="One2car",'中古車掲載'!F126="Corolla Cross",'中古車掲載'!L126="HEV GR SPORT",'中古車掲載'!J126=2023,ISNUMBER('中古車掲載'!N126),'中古車掲載'!N126&gt;=20000,'中古車掲載'!O126&lt;=100000,'中古車掲載'!AL126=1,'中古車掲載'!Z126="https://www.one2car.com/en/cars-for-sale/toyota/corolla-cross/year-2023"),'中古車掲載'!U126,"")</x:f>
      </x:c>
      <x:c r="BH125" s="3" t="str">
        <x:f>IF(AND('中古車掲載'!C126="One2car",'中古車掲載'!F126="DOLPHIN",'中古車掲載'!L126="STANDARD RANGE",'中古車掲載'!J126=2023,ISNUMBER('中古車掲載'!N126),'中古車掲載'!N126&gt;=20000,'中古車掲載'!O126&lt;=100000,'中古車掲載'!AL126=1),'中古車掲載'!U126,"")</x:f>
      </x:c>
      <x:c r="BI125" s="3" t="str">
        <x:v>One2car|Hilux Revo|ICE|Bangkok metro</x:v>
      </x:c>
      <x:c r="BJ125" s="3" t="n">
        <x:v>128</x:v>
      </x:c>
      <x:c r="BK125" s="3" t="n">
        <x:f>'中古車掲載'!AM128</x:f>
        <x:v>479000</x:v>
      </x:c>
      <x:c r="BL125" s="3" t="str">
        <x:f>IF(ISNUMBER('中古車掲載'!AN128),'中古車掲載'!AN128,"")</x:f>
      </x:c>
      <x:c r="BM125" s="3" t="str">
        <x:v>2022|Double cab</x:v>
      </x:c>
      <x:c r="BN125" s="3" t="n">
        <x:v>771</x:v>
      </x:c>
      <x:c r="BO125" s="3" t="n">
        <x:f>'中古車掲載'!AM771</x:f>
        <x:v>699000</x:v>
      </x:c>
      <x:c r="BP125" s="3" t="str">
        <x:v>2.4 ENTRY PRERUNNER DOUBLE CAB</x:v>
      </x:c>
      <x:c r="BQ125" s="3"/>
      <x:c r="BR125" s="3"/>
    </x:row>
    <x:row r="126" ht="22" customHeight="1">
      <x:c r="A126" s="3" t="str">
        <x:v>Corolla Cross</x:v>
      </x:c>
      <x:c r="B126" s="3" t="str">
        <x:v>HEV</x:v>
      </x:c>
      <x:c r="C126" s="3" t="str">
        <x:v>Taladrod</x:v>
      </x:c>
      <x:c r="D126" s="3" t="n">
        <x:v>2021</x:v>
      </x:c>
      <x:c r="E126" s="22" t="n">
        <x:f>COUNT('中古車掲載'!AM295:AM340)</x:f>
        <x:v>46</x:v>
      </x:c>
      <x:c r="F126" s="22" t="n">
        <x:f>IF(COUNT('中古車掲載'!AM295:AM340)=0,"",QUARTILE('中古車掲載'!AM295:AM340,1))</x:f>
        <x:v>571500</x:v>
      </x:c>
      <x:c r="G126" s="22" t="n">
        <x:f>IF(COUNT('中古車掲載'!AM295:AM340)=0,"",MEDIAN('中古車掲載'!AM295:AM340))</x:f>
        <x:v>628500</x:v>
      </x:c>
      <x:c r="H126" s="22" t="n">
        <x:f>IF(COUNT('中古車掲載'!AM295:AM340)=0,"",QUARTILE('中古車掲載'!AM295:AM340,3))</x:f>
        <x:v>676500</x:v>
      </x:c>
      <x:c r="I126" s="22" t="n">
        <x:f>COUNT('中古車掲載'!AN295:AN340)</x:f>
        <x:v>0</x:v>
      </x:c>
      <x:c r="J126" s="23" t="str">
        <x:f>IF(COUNT('中古車掲載'!AN295:AN340)=0,"",MEDIAN('中古車掲載'!AN295:AN340))</x:f>
      </x:c>
      <x:c r="K126" s="3"/>
      <x:c r="L126" s="3"/>
      <x:c r="M126" s="3"/>
      <x:c r="N126" s="3"/>
      <x:c r="O126" s="3"/>
      <x:c r="P126" s="3"/>
      <x:c r="Q126" s="3"/>
      <x:c r="R126" s="3"/>
      <x:c r="S126" s="3"/>
      <x:c r="T126" s="3"/>
      <x:c r="U126" s="3"/>
      <x:c r="V126" s="3"/>
      <x:c r="W126" s="3"/>
      <x:c r="X126" s="3"/>
      <x:c r="Y126" s="3"/>
      <x:c r="Z126" s="3"/>
      <x:c r="AA126" s="3"/>
      <x:c r="AB126" s="3"/>
      <x:c r="AC126" s="3"/>
      <x:c r="AD126" s="3"/>
      <x:c r="AE126" s="3"/>
      <x:c r="AF126" s="3"/>
      <x:c r="AG126" s="3"/>
      <x:c r="AH126" s="3"/>
      <x:c r="AI126" s="3"/>
      <x:c r="AJ126" s="3"/>
      <x:c r="AK126" s="3"/>
      <x:c r="AL126" s="3"/>
      <x:c r="AM126" s="3"/>
      <x:c r="AN126" s="3"/>
      <x:c r="AO126" s="3"/>
      <x:c r="AP126" s="3"/>
      <x:c r="AQ126" s="3"/>
      <x:c r="AR126" s="3"/>
      <x:c r="AS126" s="3"/>
      <x:c r="AT126" s="3"/>
      <x:c r="AU126" s="3"/>
      <x:c r="AV126" s="3"/>
      <x:c r="AW126" s="3"/>
      <x:c r="AX126" s="3"/>
      <x:c r="AY126" s="3"/>
      <x:c r="AZ126" s="3" t="str">
        <x:f>IF(AND('中古車掲載'!C127="One2car",'中古車掲載'!F127="ATTO 3",'中古車掲載'!L127="EXTENDED RANGE",'中古車掲載'!J127=2023,ISNUMBER('中古車掲載'!N127),'中古車掲載'!N127&gt;=20000,'中古車掲載'!O127&lt;=100000,'中古車掲載'!AL127=1),'中古車掲載'!U127,"")</x:f>
      </x:c>
      <x:c r="BA126" s="3" t="str">
        <x:f>IF(AND('中古車掲載'!C127="One2car",'中古車掲載'!F127="Corolla Cross",'中古車掲載'!L127="HEV PREMIUM SAFETY",'中古車掲載'!J127=2023,ISNUMBER('中古車掲載'!N127),'中古車掲載'!N127&gt;=20000,'中古車掲載'!O127&lt;=100000,'中古車掲載'!AL127=1,'中古車掲載'!Z127="https://www.one2car.com/en/cars-for-sale/toyota/corolla-cross/year-2023"),'中古車掲載'!U127,"")</x:f>
      </x:c>
      <x:c r="BB126" s="3" t="str">
        <x:f>IF(AND('中古車掲載'!C127="One2car",'中古車掲載'!F127="ATTO 3",'中古車掲載'!L127="EXTENDED RANGE",'中古車掲載'!J127=2023,ISNUMBER('中古車掲載'!N127),'中古車掲載'!N127&gt;=50000,'中古車掲載'!O127&lt;=100000,'中古車掲載'!AL127=1),'中古車掲載'!U127,"")</x:f>
      </x:c>
      <x:c r="BC126" s="3" t="str">
        <x:f>IF(AND('中古車掲載'!C127="One2car",'中古車掲載'!F127="Corolla Cross",'中古車掲載'!L127="HEV PREMIUM SAFETY",'中古車掲載'!J127=2023,ISNUMBER('中古車掲載'!N127),'中古車掲載'!N127&gt;=50000,'中古車掲載'!O127&lt;=100000,'中古車掲載'!AL127=1,'中古車掲載'!Z127="https://www.one2car.com/en/cars-for-sale/toyota/corolla-cross/year-2023"),'中古車掲載'!U127,"")</x:f>
      </x:c>
      <x:c r="BD126" s="3" t="str">
        <x:f>IF(AND('中古車掲載'!C127="One2car",'中古車掲載'!F127="ATTO 3",'中古車掲載'!L127="EXTENDED RANGE",'中古車掲載'!J127=2023,ISNUMBER('中古車掲載'!N127),'中古車掲載'!N127&gt;=20000,'中古車掲載'!O127&lt;=50000,'中古車掲載'!AL127=1),'中古車掲載'!U127,"")</x:f>
      </x:c>
      <x:c r="BE126" s="3" t="str">
        <x:f>IF(AND('中古車掲載'!C127="One2car",'中古車掲載'!F127="Corolla Cross",'中古車掲載'!L127="HEV PREMIUM SAFETY",'中古車掲載'!J127=2023,ISNUMBER('中古車掲載'!N127),'中古車掲載'!N127&gt;=20000,'中古車掲載'!O127&lt;=50000,'中古車掲載'!AL127=1,'中古車掲載'!Z127="https://www.one2car.com/en/cars-for-sale/toyota/corolla-cross/year-2023"),'中古車掲載'!U127,"")</x:f>
      </x:c>
      <x:c r="BF126" s="3" t="str">
        <x:f>IF(AND('中古車掲載'!C127="One2car",'中古車掲載'!F127="Corolla Cross",'中古車掲載'!L127="HEV PREMIUM",'中古車掲載'!J127=2023,ISNUMBER('中古車掲載'!N127),'中古車掲載'!N127&gt;=20000,'中古車掲載'!O127&lt;=100000,'中古車掲載'!AL127=1,'中古車掲載'!Z127="https://www.one2car.com/en/cars-for-sale/toyota/corolla-cross/year-2023"),'中古車掲載'!U127,"")</x:f>
      </x:c>
      <x:c r="BG126" s="3" t="str">
        <x:f>IF(AND('中古車掲載'!C127="One2car",'中古車掲載'!F127="Corolla Cross",'中古車掲載'!L127="HEV GR SPORT",'中古車掲載'!J127=2023,ISNUMBER('中古車掲載'!N127),'中古車掲載'!N127&gt;=20000,'中古車掲載'!O127&lt;=100000,'中古車掲載'!AL127=1,'中古車掲載'!Z127="https://www.one2car.com/en/cars-for-sale/toyota/corolla-cross/year-2023"),'中古車掲載'!U127,"")</x:f>
      </x:c>
      <x:c r="BH126" s="3" t="str">
        <x:f>IF(AND('中古車掲載'!C127="One2car",'中古車掲載'!F127="DOLPHIN",'中古車掲載'!L127="STANDARD RANGE",'中古車掲載'!J127=2023,ISNUMBER('中古車掲載'!N127),'中古車掲載'!N127&gt;=20000,'中古車掲載'!O127&lt;=100000,'中古車掲載'!AL127=1),'中古車掲載'!U127,"")</x:f>
      </x:c>
      <x:c r="BI126" s="3" t="str">
        <x:v>One2car|Hilux Revo|ICE|Bangkok metro</x:v>
      </x:c>
      <x:c r="BJ126" s="3" t="n">
        <x:v>130</x:v>
      </x:c>
      <x:c r="BK126" s="3" t="n">
        <x:f>'中古車掲載'!AM130</x:f>
        <x:v>628000</x:v>
      </x:c>
      <x:c r="BL126" s="3" t="str">
        <x:f>IF(ISNUMBER('中古車掲載'!AN130),'中古車掲載'!AN130,"")</x:f>
      </x:c>
      <x:c r="BM126" s="3" t="str">
        <x:v>2022|Double cab</x:v>
      </x:c>
      <x:c r="BN126" s="3" t="n">
        <x:v>772</x:v>
      </x:c>
      <x:c r="BO126" s="3" t="n">
        <x:f>'中古車掲載'!AM772</x:f>
        <x:v>588000</x:v>
      </x:c>
      <x:c r="BP126" s="3" t="str">
        <x:v>2.4 ENTRY PRERUNNER DOUBLE CAB</x:v>
      </x:c>
      <x:c r="BQ126" s="3"/>
      <x:c r="BR126" s="3"/>
    </x:row>
    <x:row r="127" ht="22" customHeight="1">
      <x:c r="A127" s="3" t="str">
        <x:v>Corolla Cross</x:v>
      </x:c>
      <x:c r="B127" s="3" t="str">
        <x:v>HEV</x:v>
      </x:c>
      <x:c r="C127" s="3" t="str">
        <x:v>Taladrod</x:v>
      </x:c>
      <x:c r="D127" s="3" t="n">
        <x:v>2022</x:v>
      </x:c>
      <x:c r="E127" s="22" t="n">
        <x:f>COUNT('中古車掲載'!AM341:AM381)</x:f>
        <x:v>41</x:v>
      </x:c>
      <x:c r="F127" s="22" t="n">
        <x:f>IF(COUNT('中古車掲載'!AM341:AM381)=0,"",QUARTILE('中古車掲載'!AM341:AM381,1))</x:f>
        <x:v>634000</x:v>
      </x:c>
      <x:c r="G127" s="22" t="n">
        <x:f>IF(COUNT('中古車掲載'!AM341:AM381)=0,"",MEDIAN('中古車掲載'!AM341:AM381))</x:f>
        <x:v>679000</x:v>
      </x:c>
      <x:c r="H127" s="22" t="n">
        <x:f>IF(COUNT('中古車掲載'!AM341:AM381)=0,"",QUARTILE('中古車掲載'!AM341:AM381,3))</x:f>
        <x:v>719000</x:v>
      </x:c>
      <x:c r="I127" s="22" t="n">
        <x:f>COUNT('中古車掲載'!AN341:AN381)</x:f>
        <x:v>0</x:v>
      </x:c>
      <x:c r="J127" s="23" t="str">
        <x:f>IF(COUNT('中古車掲載'!AN341:AN381)=0,"",MEDIAN('中古車掲載'!AN341:AN381))</x:f>
      </x:c>
      <x:c r="K127" s="3"/>
      <x:c r="L127" s="3"/>
      <x:c r="M127" s="3"/>
      <x:c r="N127" s="3"/>
      <x:c r="O127" s="3"/>
      <x:c r="P127" s="3"/>
      <x:c r="Q127" s="3"/>
      <x:c r="R127" s="3"/>
      <x:c r="S127" s="3"/>
      <x:c r="T127" s="3"/>
      <x:c r="U127" s="3"/>
      <x:c r="V127" s="3"/>
      <x:c r="W127" s="3"/>
      <x:c r="X127" s="3"/>
      <x:c r="Y127" s="3"/>
      <x:c r="Z127" s="3"/>
      <x:c r="AA127" s="3"/>
      <x:c r="AB127" s="3"/>
      <x:c r="AC127" s="3"/>
      <x:c r="AD127" s="3"/>
      <x:c r="AE127" s="3"/>
      <x:c r="AF127" s="3"/>
      <x:c r="AG127" s="3"/>
      <x:c r="AH127" s="3"/>
      <x:c r="AI127" s="3"/>
      <x:c r="AJ127" s="3"/>
      <x:c r="AK127" s="3"/>
      <x:c r="AL127" s="3"/>
      <x:c r="AM127" s="3"/>
      <x:c r="AN127" s="3"/>
      <x:c r="AO127" s="3"/>
      <x:c r="AP127" s="3"/>
      <x:c r="AQ127" s="3"/>
      <x:c r="AR127" s="3"/>
      <x:c r="AS127" s="3"/>
      <x:c r="AT127" s="3"/>
      <x:c r="AU127" s="3"/>
      <x:c r="AV127" s="3"/>
      <x:c r="AW127" s="3"/>
      <x:c r="AX127" s="3"/>
      <x:c r="AY127" s="3"/>
      <x:c r="AZ127" s="3" t="str">
        <x:f>IF(AND('中古車掲載'!C128="One2car",'中古車掲載'!F128="ATTO 3",'中古車掲載'!L128="EXTENDED RANGE",'中古車掲載'!J128=2023,ISNUMBER('中古車掲載'!N128),'中古車掲載'!N128&gt;=20000,'中古車掲載'!O128&lt;=100000,'中古車掲載'!AL128=1),'中古車掲載'!U128,"")</x:f>
      </x:c>
      <x:c r="BA127" s="3" t="str">
        <x:f>IF(AND('中古車掲載'!C128="One2car",'中古車掲載'!F128="Corolla Cross",'中古車掲載'!L128="HEV PREMIUM SAFETY",'中古車掲載'!J128=2023,ISNUMBER('中古車掲載'!N128),'中古車掲載'!N128&gt;=20000,'中古車掲載'!O128&lt;=100000,'中古車掲載'!AL128=1,'中古車掲載'!Z128="https://www.one2car.com/en/cars-for-sale/toyota/corolla-cross/year-2023"),'中古車掲載'!U128,"")</x:f>
      </x:c>
      <x:c r="BB127" s="3" t="str">
        <x:f>IF(AND('中古車掲載'!C128="One2car",'中古車掲載'!F128="ATTO 3",'中古車掲載'!L128="EXTENDED RANGE",'中古車掲載'!J128=2023,ISNUMBER('中古車掲載'!N128),'中古車掲載'!N128&gt;=50000,'中古車掲載'!O128&lt;=100000,'中古車掲載'!AL128=1),'中古車掲載'!U128,"")</x:f>
      </x:c>
      <x:c r="BC127" s="3" t="str">
        <x:f>IF(AND('中古車掲載'!C128="One2car",'中古車掲載'!F128="Corolla Cross",'中古車掲載'!L128="HEV PREMIUM SAFETY",'中古車掲載'!J128=2023,ISNUMBER('中古車掲載'!N128),'中古車掲載'!N128&gt;=50000,'中古車掲載'!O128&lt;=100000,'中古車掲載'!AL128=1,'中古車掲載'!Z128="https://www.one2car.com/en/cars-for-sale/toyota/corolla-cross/year-2023"),'中古車掲載'!U128,"")</x:f>
      </x:c>
      <x:c r="BD127" s="3" t="str">
        <x:f>IF(AND('中古車掲載'!C128="One2car",'中古車掲載'!F128="ATTO 3",'中古車掲載'!L128="EXTENDED RANGE",'中古車掲載'!J128=2023,ISNUMBER('中古車掲載'!N128),'中古車掲載'!N128&gt;=20000,'中古車掲載'!O128&lt;=50000,'中古車掲載'!AL128=1),'中古車掲載'!U128,"")</x:f>
      </x:c>
      <x:c r="BE127" s="3" t="str">
        <x:f>IF(AND('中古車掲載'!C128="One2car",'中古車掲載'!F128="Corolla Cross",'中古車掲載'!L128="HEV PREMIUM SAFETY",'中古車掲載'!J128=2023,ISNUMBER('中古車掲載'!N128),'中古車掲載'!N128&gt;=20000,'中古車掲載'!O128&lt;=50000,'中古車掲載'!AL128=1,'中古車掲載'!Z128="https://www.one2car.com/en/cars-for-sale/toyota/corolla-cross/year-2023"),'中古車掲載'!U128,"")</x:f>
      </x:c>
      <x:c r="BF127" s="3" t="str">
        <x:f>IF(AND('中古車掲載'!C128="One2car",'中古車掲載'!F128="Corolla Cross",'中古車掲載'!L128="HEV PREMIUM",'中古車掲載'!J128=2023,ISNUMBER('中古車掲載'!N128),'中古車掲載'!N128&gt;=20000,'中古車掲載'!O128&lt;=100000,'中古車掲載'!AL128=1,'中古車掲載'!Z128="https://www.one2car.com/en/cars-for-sale/toyota/corolla-cross/year-2023"),'中古車掲載'!U128,"")</x:f>
      </x:c>
      <x:c r="BG127" s="3" t="str">
        <x:f>IF(AND('中古車掲載'!C128="One2car",'中古車掲載'!F128="Corolla Cross",'中古車掲載'!L128="HEV GR SPORT",'中古車掲載'!J128=2023,ISNUMBER('中古車掲載'!N128),'中古車掲載'!N128&gt;=20000,'中古車掲載'!O128&lt;=100000,'中古車掲載'!AL128=1,'中古車掲載'!Z128="https://www.one2car.com/en/cars-for-sale/toyota/corolla-cross/year-2023"),'中古車掲載'!U128,"")</x:f>
      </x:c>
      <x:c r="BH127" s="3" t="str">
        <x:f>IF(AND('中古車掲載'!C128="One2car",'中古車掲載'!F128="DOLPHIN",'中古車掲載'!L128="STANDARD RANGE",'中古車掲載'!J128=2023,ISNUMBER('中古車掲載'!N128),'中古車掲載'!N128&gt;=20000,'中古車掲載'!O128&lt;=100000,'中古車掲載'!AL128=1),'中古車掲載'!U128,"")</x:f>
      </x:c>
      <x:c r="BI127" s="3" t="str">
        <x:v>One2car|Hilux Revo|ICE|Bangkok metro</x:v>
      </x:c>
      <x:c r="BJ127" s="3" t="n">
        <x:v>131</x:v>
      </x:c>
      <x:c r="BK127" s="3" t="n">
        <x:f>'中古車掲載'!AM131</x:f>
        <x:v>719000</x:v>
      </x:c>
      <x:c r="BL127" s="3" t="str">
        <x:f>IF(ISNUMBER('中古車掲載'!AN131),'中古車掲載'!AN131,"")</x:f>
      </x:c>
      <x:c r="BM127" s="3" t="str">
        <x:v>2022|Double cab</x:v>
      </x:c>
      <x:c r="BN127" s="3" t="n">
        <x:v>773</x:v>
      </x:c>
      <x:c r="BO127" s="3" t="n">
        <x:f>'中古車掲載'!AM773</x:f>
        <x:v>629000</x:v>
      </x:c>
      <x:c r="BP127" s="3" t="str">
        <x:v>2.4 ENTRY PRERUNNER DOUBLE CAB</x:v>
      </x:c>
      <x:c r="BQ127" s="3"/>
      <x:c r="BR127" s="3"/>
    </x:row>
    <x:row r="128" ht="22" customHeight="1">
      <x:c r="A128" s="3" t="str">
        <x:v>Corolla Cross</x:v>
      </x:c>
      <x:c r="B128" s="3" t="str">
        <x:v>HEV</x:v>
      </x:c>
      <x:c r="C128" s="3" t="str">
        <x:v>Taladrod</x:v>
      </x:c>
      <x:c r="D128" s="3" t="n">
        <x:v>2023</x:v>
      </x:c>
      <x:c r="E128" s="22" t="n">
        <x:f>COUNT('中古車掲載'!AM382:AM405)</x:f>
        <x:v>24</x:v>
      </x:c>
      <x:c r="F128" s="22" t="n">
        <x:f>IF(COUNT('中古車掲載'!AM382:AM405)=0,"",QUARTILE('中古車掲載'!AM382:AM405,1))</x:f>
        <x:v>669750</x:v>
      </x:c>
      <x:c r="G128" s="22" t="n">
        <x:f>IF(COUNT('中古車掲載'!AM382:AM405)=0,"",MEDIAN('中古車掲載'!AM382:AM405))</x:f>
        <x:v>747000</x:v>
      </x:c>
      <x:c r="H128" s="22" t="n">
        <x:f>IF(COUNT('中古車掲載'!AM382:AM405)=0,"",QUARTILE('中古車掲載'!AM382:AM405,3))</x:f>
        <x:v>804250</x:v>
      </x:c>
      <x:c r="I128" s="22" t="n">
        <x:f>COUNT('中古車掲載'!AN382:AN405)</x:f>
        <x:v>24</x:v>
      </x:c>
      <x:c r="J128" s="23" t="n">
        <x:f>IF(COUNT('中古車掲載'!AN382:AN405)=0,"",MEDIAN('中古車掲載'!AN382:AN405))</x:f>
        <x:v>0.6371610845295056</x:v>
      </x:c>
      <x:c r="K128" s="3"/>
      <x:c r="L128" s="3"/>
      <x:c r="M128" s="3"/>
      <x:c r="N128" s="3"/>
      <x:c r="O128" s="3"/>
      <x:c r="P128" s="3"/>
      <x:c r="Q128" s="3"/>
      <x:c r="R128" s="3"/>
      <x:c r="S128" s="3"/>
      <x:c r="T128" s="3"/>
      <x:c r="U128" s="3"/>
      <x:c r="V128" s="3"/>
      <x:c r="W128" s="3"/>
      <x:c r="X128" s="3"/>
      <x:c r="Y128" s="3"/>
      <x:c r="Z128" s="3"/>
      <x:c r="AA128" s="3"/>
      <x:c r="AB128" s="3"/>
      <x:c r="AC128" s="3"/>
      <x:c r="AD128" s="3"/>
      <x:c r="AE128" s="3"/>
      <x:c r="AF128" s="3"/>
      <x:c r="AG128" s="3"/>
      <x:c r="AH128" s="3"/>
      <x:c r="AI128" s="3"/>
      <x:c r="AJ128" s="3"/>
      <x:c r="AK128" s="3"/>
      <x:c r="AL128" s="3"/>
      <x:c r="AM128" s="3"/>
      <x:c r="AN128" s="3"/>
      <x:c r="AO128" s="3"/>
      <x:c r="AP128" s="3"/>
      <x:c r="AQ128" s="3"/>
      <x:c r="AR128" s="3"/>
      <x:c r="AS128" s="3"/>
      <x:c r="AT128" s="3"/>
      <x:c r="AU128" s="3"/>
      <x:c r="AV128" s="3"/>
      <x:c r="AW128" s="3"/>
      <x:c r="AX128" s="3"/>
      <x:c r="AY128" s="3"/>
      <x:c r="AZ128" s="3" t="str">
        <x:f>IF(AND('中古車掲載'!C129="One2car",'中古車掲載'!F129="ATTO 3",'中古車掲載'!L129="EXTENDED RANGE",'中古車掲載'!J129=2023,ISNUMBER('中古車掲載'!N129),'中古車掲載'!N129&gt;=20000,'中古車掲載'!O129&lt;=100000,'中古車掲載'!AL129=1),'中古車掲載'!U129,"")</x:f>
      </x:c>
      <x:c r="BA128" s="3" t="str">
        <x:f>IF(AND('中古車掲載'!C129="One2car",'中古車掲載'!F129="Corolla Cross",'中古車掲載'!L129="HEV PREMIUM SAFETY",'中古車掲載'!J129=2023,ISNUMBER('中古車掲載'!N129),'中古車掲載'!N129&gt;=20000,'中古車掲載'!O129&lt;=100000,'中古車掲載'!AL129=1,'中古車掲載'!Z129="https://www.one2car.com/en/cars-for-sale/toyota/corolla-cross/year-2023"),'中古車掲載'!U129,"")</x:f>
      </x:c>
      <x:c r="BB128" s="3" t="str">
        <x:f>IF(AND('中古車掲載'!C129="One2car",'中古車掲載'!F129="ATTO 3",'中古車掲載'!L129="EXTENDED RANGE",'中古車掲載'!J129=2023,ISNUMBER('中古車掲載'!N129),'中古車掲載'!N129&gt;=50000,'中古車掲載'!O129&lt;=100000,'中古車掲載'!AL129=1),'中古車掲載'!U129,"")</x:f>
      </x:c>
      <x:c r="BC128" s="3" t="str">
        <x:f>IF(AND('中古車掲載'!C129="One2car",'中古車掲載'!F129="Corolla Cross",'中古車掲載'!L129="HEV PREMIUM SAFETY",'中古車掲載'!J129=2023,ISNUMBER('中古車掲載'!N129),'中古車掲載'!N129&gt;=50000,'中古車掲載'!O129&lt;=100000,'中古車掲載'!AL129=1,'中古車掲載'!Z129="https://www.one2car.com/en/cars-for-sale/toyota/corolla-cross/year-2023"),'中古車掲載'!U129,"")</x:f>
      </x:c>
      <x:c r="BD128" s="3" t="str">
        <x:f>IF(AND('中古車掲載'!C129="One2car",'中古車掲載'!F129="ATTO 3",'中古車掲載'!L129="EXTENDED RANGE",'中古車掲載'!J129=2023,ISNUMBER('中古車掲載'!N129),'中古車掲載'!N129&gt;=20000,'中古車掲載'!O129&lt;=50000,'中古車掲載'!AL129=1),'中古車掲載'!U129,"")</x:f>
      </x:c>
      <x:c r="BE128" s="3" t="str">
        <x:f>IF(AND('中古車掲載'!C129="One2car",'中古車掲載'!F129="Corolla Cross",'中古車掲載'!L129="HEV PREMIUM SAFETY",'中古車掲載'!J129=2023,ISNUMBER('中古車掲載'!N129),'中古車掲載'!N129&gt;=20000,'中古車掲載'!O129&lt;=50000,'中古車掲載'!AL129=1,'中古車掲載'!Z129="https://www.one2car.com/en/cars-for-sale/toyota/corolla-cross/year-2023"),'中古車掲載'!U129,"")</x:f>
      </x:c>
      <x:c r="BF128" s="3" t="str">
        <x:f>IF(AND('中古車掲載'!C129="One2car",'中古車掲載'!F129="Corolla Cross",'中古車掲載'!L129="HEV PREMIUM",'中古車掲載'!J129=2023,ISNUMBER('中古車掲載'!N129),'中古車掲載'!N129&gt;=20000,'中古車掲載'!O129&lt;=100000,'中古車掲載'!AL129=1,'中古車掲載'!Z129="https://www.one2car.com/en/cars-for-sale/toyota/corolla-cross/year-2023"),'中古車掲載'!U129,"")</x:f>
      </x:c>
      <x:c r="BG128" s="3" t="str">
        <x:f>IF(AND('中古車掲載'!C129="One2car",'中古車掲載'!F129="Corolla Cross",'中古車掲載'!L129="HEV GR SPORT",'中古車掲載'!J129=2023,ISNUMBER('中古車掲載'!N129),'中古車掲載'!N129&gt;=20000,'中古車掲載'!O129&lt;=100000,'中古車掲載'!AL129=1,'中古車掲載'!Z129="https://www.one2car.com/en/cars-for-sale/toyota/corolla-cross/year-2023"),'中古車掲載'!U129,"")</x:f>
      </x:c>
      <x:c r="BH128" s="3" t="str">
        <x:f>IF(AND('中古車掲載'!C129="One2car",'中古車掲載'!F129="DOLPHIN",'中古車掲載'!L129="STANDARD RANGE",'中古車掲載'!J129=2023,ISNUMBER('中古車掲載'!N129),'中古車掲載'!N129&gt;=20000,'中古車掲載'!O129&lt;=100000,'中古車掲載'!AL129=1),'中古車掲載'!U129,"")</x:f>
      </x:c>
      <x:c r="BI128" s="3" t="str">
        <x:v>One2car|Hilux Revo|ICE|Bangkok metro</x:v>
      </x:c>
      <x:c r="BJ128" s="3" t="n">
        <x:v>132</x:v>
      </x:c>
      <x:c r="BK128" s="3" t="n">
        <x:f>'中古車掲載'!AM132</x:f>
        <x:v>640000</x:v>
      </x:c>
      <x:c r="BL128" s="3" t="str">
        <x:f>IF(ISNUMBER('中古車掲載'!AN132),'中古車掲載'!AN132,"")</x:f>
      </x:c>
      <x:c r="BM128" s="3" t="str">
        <x:v>2022|Double cab</x:v>
      </x:c>
      <x:c r="BN128" s="3" t="n">
        <x:v>787</x:v>
      </x:c>
      <x:c r="BO128" s="3" t="n">
        <x:f>'中古車掲載'!AM787</x:f>
        <x:v>449000</x:v>
      </x:c>
      <x:c r="BP128" s="3" t="str">
        <x:v>2.4 ENTRY Z EDITION DOUBLE CAB</x:v>
      </x:c>
      <x:c r="BQ128" s="3"/>
      <x:c r="BR128" s="3"/>
    </x:row>
    <x:row r="129" ht="22" customHeight="1">
      <x:c r="A129" s="3" t="str">
        <x:v>Corolla Cross</x:v>
      </x:c>
      <x:c r="B129" s="3" t="str">
        <x:v>HEV</x:v>
      </x:c>
      <x:c r="C129" s="3" t="str">
        <x:v>Taladrod</x:v>
      </x:c>
      <x:c r="D129" s="3" t="n">
        <x:v>2024</x:v>
      </x:c>
      <x:c r="E129" s="22" t="n">
        <x:f>COUNT('中古車掲載'!AM406:AM425)</x:f>
        <x:v>20</x:v>
      </x:c>
      <x:c r="F129" s="22" t="n">
        <x:f>IF(COUNT('中古車掲載'!AM406:AM425)=0,"",QUARTILE('中古車掲載'!AM406:AM425,1))</x:f>
        <x:v>829000</x:v>
      </x:c>
      <x:c r="G129" s="22" t="n">
        <x:f>IF(COUNT('中古車掲載'!AM406:AM425)=0,"",MEDIAN('中古車掲載'!AM406:AM425))</x:f>
        <x:v>878500</x:v>
      </x:c>
      <x:c r="H129" s="22" t="n">
        <x:f>IF(COUNT('中古車掲載'!AM406:AM425)=0,"",QUARTILE('中古車掲載'!AM406:AM425,3))</x:f>
        <x:v>899000</x:v>
      </x:c>
      <x:c r="I129" s="22" t="n">
        <x:f>COUNT('中古車掲載'!AN406:AN425)</x:f>
        <x:v>20</x:v>
      </x:c>
      <x:c r="J129" s="23" t="n">
        <x:f>IF(COUNT('中古車掲載'!AN406:AN425)=0,"",MEDIAN('中古車掲載'!AN406:AN425))</x:f>
        <x:v>0.7302068971800275</x:v>
      </x:c>
      <x:c r="K129" s="3"/>
      <x:c r="L129" s="3"/>
      <x:c r="M129" s="3"/>
      <x:c r="N129" s="3"/>
      <x:c r="O129" s="3"/>
      <x:c r="P129" s="3"/>
      <x:c r="Q129" s="3"/>
      <x:c r="R129" s="3"/>
      <x:c r="S129" s="3"/>
      <x:c r="T129" s="3"/>
      <x:c r="U129" s="3"/>
      <x:c r="V129" s="3"/>
      <x:c r="W129" s="3"/>
      <x:c r="X129" s="3"/>
      <x:c r="Y129" s="3"/>
      <x:c r="Z129" s="3"/>
      <x:c r="AA129" s="3"/>
      <x:c r="AB129" s="3"/>
      <x:c r="AC129" s="3"/>
      <x:c r="AD129" s="3"/>
      <x:c r="AE129" s="3"/>
      <x:c r="AF129" s="3"/>
      <x:c r="AG129" s="3"/>
      <x:c r="AH129" s="3"/>
      <x:c r="AI129" s="3"/>
      <x:c r="AJ129" s="3"/>
      <x:c r="AK129" s="3"/>
      <x:c r="AL129" s="3"/>
      <x:c r="AM129" s="3"/>
      <x:c r="AN129" s="3"/>
      <x:c r="AO129" s="3"/>
      <x:c r="AP129" s="3"/>
      <x:c r="AQ129" s="3"/>
      <x:c r="AR129" s="3"/>
      <x:c r="AS129" s="3"/>
      <x:c r="AT129" s="3"/>
      <x:c r="AU129" s="3"/>
      <x:c r="AV129" s="3"/>
      <x:c r="AW129" s="3"/>
      <x:c r="AX129" s="3"/>
      <x:c r="AY129" s="3"/>
      <x:c r="AZ129" s="3" t="str">
        <x:f>IF(AND('中古車掲載'!C130="One2car",'中古車掲載'!F130="ATTO 3",'中古車掲載'!L130="EXTENDED RANGE",'中古車掲載'!J130=2023,ISNUMBER('中古車掲載'!N130),'中古車掲載'!N130&gt;=20000,'中古車掲載'!O130&lt;=100000,'中古車掲載'!AL130=1),'中古車掲載'!U130,"")</x:f>
      </x:c>
      <x:c r="BA129" s="3" t="str">
        <x:f>IF(AND('中古車掲載'!C130="One2car",'中古車掲載'!F130="Corolla Cross",'中古車掲載'!L130="HEV PREMIUM SAFETY",'中古車掲載'!J130=2023,ISNUMBER('中古車掲載'!N130),'中古車掲載'!N130&gt;=20000,'中古車掲載'!O130&lt;=100000,'中古車掲載'!AL130=1,'中古車掲載'!Z130="https://www.one2car.com/en/cars-for-sale/toyota/corolla-cross/year-2023"),'中古車掲載'!U130,"")</x:f>
      </x:c>
      <x:c r="BB129" s="3" t="str">
        <x:f>IF(AND('中古車掲載'!C130="One2car",'中古車掲載'!F130="ATTO 3",'中古車掲載'!L130="EXTENDED RANGE",'中古車掲載'!J130=2023,ISNUMBER('中古車掲載'!N130),'中古車掲載'!N130&gt;=50000,'中古車掲載'!O130&lt;=100000,'中古車掲載'!AL130=1),'中古車掲載'!U130,"")</x:f>
      </x:c>
      <x:c r="BC129" s="3" t="str">
        <x:f>IF(AND('中古車掲載'!C130="One2car",'中古車掲載'!F130="Corolla Cross",'中古車掲載'!L130="HEV PREMIUM SAFETY",'中古車掲載'!J130=2023,ISNUMBER('中古車掲載'!N130),'中古車掲載'!N130&gt;=50000,'中古車掲載'!O130&lt;=100000,'中古車掲載'!AL130=1,'中古車掲載'!Z130="https://www.one2car.com/en/cars-for-sale/toyota/corolla-cross/year-2023"),'中古車掲載'!U130,"")</x:f>
      </x:c>
      <x:c r="BD129" s="3" t="str">
        <x:f>IF(AND('中古車掲載'!C130="One2car",'中古車掲載'!F130="ATTO 3",'中古車掲載'!L130="EXTENDED RANGE",'中古車掲載'!J130=2023,ISNUMBER('中古車掲載'!N130),'中古車掲載'!N130&gt;=20000,'中古車掲載'!O130&lt;=50000,'中古車掲載'!AL130=1),'中古車掲載'!U130,"")</x:f>
      </x:c>
      <x:c r="BE129" s="3" t="str">
        <x:f>IF(AND('中古車掲載'!C130="One2car",'中古車掲載'!F130="Corolla Cross",'中古車掲載'!L130="HEV PREMIUM SAFETY",'中古車掲載'!J130=2023,ISNUMBER('中古車掲載'!N130),'中古車掲載'!N130&gt;=20000,'中古車掲載'!O130&lt;=50000,'中古車掲載'!AL130=1,'中古車掲載'!Z130="https://www.one2car.com/en/cars-for-sale/toyota/corolla-cross/year-2023"),'中古車掲載'!U130,"")</x:f>
      </x:c>
      <x:c r="BF129" s="3" t="str">
        <x:f>IF(AND('中古車掲載'!C130="One2car",'中古車掲載'!F130="Corolla Cross",'中古車掲載'!L130="HEV PREMIUM",'中古車掲載'!J130=2023,ISNUMBER('中古車掲載'!N130),'中古車掲載'!N130&gt;=20000,'中古車掲載'!O130&lt;=100000,'中古車掲載'!AL130=1,'中古車掲載'!Z130="https://www.one2car.com/en/cars-for-sale/toyota/corolla-cross/year-2023"),'中古車掲載'!U130,"")</x:f>
      </x:c>
      <x:c r="BG129" s="3" t="str">
        <x:f>IF(AND('中古車掲載'!C130="One2car",'中古車掲載'!F130="Corolla Cross",'中古車掲載'!L130="HEV GR SPORT",'中古車掲載'!J130=2023,ISNUMBER('中古車掲載'!N130),'中古車掲載'!N130&gt;=20000,'中古車掲載'!O130&lt;=100000,'中古車掲載'!AL130=1,'中古車掲載'!Z130="https://www.one2car.com/en/cars-for-sale/toyota/corolla-cross/year-2023"),'中古車掲載'!U130,"")</x:f>
      </x:c>
      <x:c r="BH129" s="3" t="str">
        <x:f>IF(AND('中古車掲載'!C130="One2car",'中古車掲載'!F130="DOLPHIN",'中古車掲載'!L130="STANDARD RANGE",'中古車掲載'!J130=2023,ISNUMBER('中古車掲載'!N130),'中古車掲載'!N130&gt;=20000,'中古車掲載'!O130&lt;=100000,'中古車掲載'!AL130=1),'中古車掲載'!U130,"")</x:f>
      </x:c>
      <x:c r="BI129" s="3" t="str">
        <x:v>One2car|Hilux Revo|ICE|Bangkok metro</x:v>
      </x:c>
      <x:c r="BJ129" s="3" t="n">
        <x:v>133</x:v>
      </x:c>
      <x:c r="BK129" s="3" t="n">
        <x:f>'中古車掲載'!AM133</x:f>
        <x:v>699000</x:v>
      </x:c>
      <x:c r="BL129" s="3" t="str">
        <x:f>IF(ISNUMBER('中古車掲載'!AN133),'中古車掲載'!AN133,"")</x:f>
      </x:c>
      <x:c r="BM129" s="3" t="str">
        <x:v>2022|Double cab</x:v>
      </x:c>
      <x:c r="BN129" s="3" t="n">
        <x:v>788</x:v>
      </x:c>
      <x:c r="BO129" s="3" t="n">
        <x:f>'中古車掲載'!AM788</x:f>
        <x:v>399000</x:v>
      </x:c>
      <x:c r="BP129" s="3" t="str">
        <x:v>2.4 ENTRY Z EDITION DOUBLE CAB</x:v>
      </x:c>
      <x:c r="BQ129" s="3"/>
      <x:c r="BR129" s="3"/>
    </x:row>
    <x:row r="130" ht="22" customHeight="1">
      <x:c r="A130" s="3" t="str">
        <x:v>Corolla Cross</x:v>
      </x:c>
      <x:c r="B130" s="3" t="str">
        <x:v>HEV</x:v>
      </x:c>
      <x:c r="C130" s="3" t="str">
        <x:v>Taladrod</x:v>
      </x:c>
      <x:c r="D130" s="3" t="n">
        <x:v>2025</x:v>
      </x:c>
      <x:c r="E130" s="22" t="n">
        <x:f>COUNT('中古車掲載'!AM426:AM438)</x:f>
        <x:v>13</x:v>
      </x:c>
      <x:c r="F130" s="22" t="n">
        <x:f>IF(COUNT('中古車掲載'!AM426:AM438)=0,"",QUARTILE('中古車掲載'!AM426:AM438,1))</x:f>
        <x:v>898000</x:v>
      </x:c>
      <x:c r="G130" s="22" t="n">
        <x:f>IF(COUNT('中古車掲載'!AM426:AM438)=0,"",MEDIAN('中古車掲載'!AM426:AM438))</x:f>
        <x:v>899000</x:v>
      </x:c>
      <x:c r="H130" s="22" t="n">
        <x:f>IF(COUNT('中古車掲載'!AM426:AM438)=0,"",QUARTILE('中古車掲載'!AM426:AM438,3))</x:f>
        <x:v>958000</x:v>
      </x:c>
      <x:c r="I130" s="22" t="n">
        <x:f>COUNT('中古車掲載'!AN426:AN438)</x:f>
        <x:v>13</x:v>
      </x:c>
      <x:c r="J130" s="23" t="n">
        <x:f>IF(COUNT('中古車掲載'!AN426:AN438)=0,"",MEDIAN('中古車掲載'!AN426:AN438))</x:f>
        <x:v>0.7886762360446571</x:v>
      </x:c>
      <x:c r="K130" s="3"/>
      <x:c r="L130" s="3"/>
      <x:c r="M130" s="3"/>
      <x:c r="N130" s="3"/>
      <x:c r="O130" s="3"/>
      <x:c r="P130" s="3"/>
      <x:c r="Q130" s="3"/>
      <x:c r="R130" s="3"/>
      <x:c r="S130" s="3"/>
      <x:c r="T130" s="3"/>
      <x:c r="U130" s="3"/>
      <x:c r="V130" s="3"/>
      <x:c r="W130" s="3"/>
      <x:c r="X130" s="3"/>
      <x:c r="Y130" s="3"/>
      <x:c r="Z130" s="3"/>
      <x:c r="AA130" s="3"/>
      <x:c r="AB130" s="3"/>
      <x:c r="AC130" s="3"/>
      <x:c r="AD130" s="3"/>
      <x:c r="AE130" s="3"/>
      <x:c r="AF130" s="3"/>
      <x:c r="AG130" s="3"/>
      <x:c r="AH130" s="3"/>
      <x:c r="AI130" s="3"/>
      <x:c r="AJ130" s="3"/>
      <x:c r="AK130" s="3"/>
      <x:c r="AL130" s="3"/>
      <x:c r="AM130" s="3"/>
      <x:c r="AN130" s="3"/>
      <x:c r="AO130" s="3"/>
      <x:c r="AP130" s="3"/>
      <x:c r="AQ130" s="3"/>
      <x:c r="AR130" s="3"/>
      <x:c r="AS130" s="3"/>
      <x:c r="AT130" s="3"/>
      <x:c r="AU130" s="3"/>
      <x:c r="AV130" s="3"/>
      <x:c r="AW130" s="3"/>
      <x:c r="AX130" s="3"/>
      <x:c r="AY130" s="3"/>
      <x:c r="AZ130" s="3" t="str">
        <x:f>IF(AND('中古車掲載'!C131="One2car",'中古車掲載'!F131="ATTO 3",'中古車掲載'!L131="EXTENDED RANGE",'中古車掲載'!J131=2023,ISNUMBER('中古車掲載'!N131),'中古車掲載'!N131&gt;=20000,'中古車掲載'!O131&lt;=100000,'中古車掲載'!AL131=1),'中古車掲載'!U131,"")</x:f>
      </x:c>
      <x:c r="BA130" s="3" t="str">
        <x:f>IF(AND('中古車掲載'!C131="One2car",'中古車掲載'!F131="Corolla Cross",'中古車掲載'!L131="HEV PREMIUM SAFETY",'中古車掲載'!J131=2023,ISNUMBER('中古車掲載'!N131),'中古車掲載'!N131&gt;=20000,'中古車掲載'!O131&lt;=100000,'中古車掲載'!AL131=1,'中古車掲載'!Z131="https://www.one2car.com/en/cars-for-sale/toyota/corolla-cross/year-2023"),'中古車掲載'!U131,"")</x:f>
      </x:c>
      <x:c r="BB130" s="3" t="str">
        <x:f>IF(AND('中古車掲載'!C131="One2car",'中古車掲載'!F131="ATTO 3",'中古車掲載'!L131="EXTENDED RANGE",'中古車掲載'!J131=2023,ISNUMBER('中古車掲載'!N131),'中古車掲載'!N131&gt;=50000,'中古車掲載'!O131&lt;=100000,'中古車掲載'!AL131=1),'中古車掲載'!U131,"")</x:f>
      </x:c>
      <x:c r="BC130" s="3" t="str">
        <x:f>IF(AND('中古車掲載'!C131="One2car",'中古車掲載'!F131="Corolla Cross",'中古車掲載'!L131="HEV PREMIUM SAFETY",'中古車掲載'!J131=2023,ISNUMBER('中古車掲載'!N131),'中古車掲載'!N131&gt;=50000,'中古車掲載'!O131&lt;=100000,'中古車掲載'!AL131=1,'中古車掲載'!Z131="https://www.one2car.com/en/cars-for-sale/toyota/corolla-cross/year-2023"),'中古車掲載'!U131,"")</x:f>
      </x:c>
      <x:c r="BD130" s="3" t="str">
        <x:f>IF(AND('中古車掲載'!C131="One2car",'中古車掲載'!F131="ATTO 3",'中古車掲載'!L131="EXTENDED RANGE",'中古車掲載'!J131=2023,ISNUMBER('中古車掲載'!N131),'中古車掲載'!N131&gt;=20000,'中古車掲載'!O131&lt;=50000,'中古車掲載'!AL131=1),'中古車掲載'!U131,"")</x:f>
      </x:c>
      <x:c r="BE130" s="3" t="str">
        <x:f>IF(AND('中古車掲載'!C131="One2car",'中古車掲載'!F131="Corolla Cross",'中古車掲載'!L131="HEV PREMIUM SAFETY",'中古車掲載'!J131=2023,ISNUMBER('中古車掲載'!N131),'中古車掲載'!N131&gt;=20000,'中古車掲載'!O131&lt;=50000,'中古車掲載'!AL131=1,'中古車掲載'!Z131="https://www.one2car.com/en/cars-for-sale/toyota/corolla-cross/year-2023"),'中古車掲載'!U131,"")</x:f>
      </x:c>
      <x:c r="BF130" s="3" t="str">
        <x:f>IF(AND('中古車掲載'!C131="One2car",'中古車掲載'!F131="Corolla Cross",'中古車掲載'!L131="HEV PREMIUM",'中古車掲載'!J131=2023,ISNUMBER('中古車掲載'!N131),'中古車掲載'!N131&gt;=20000,'中古車掲載'!O131&lt;=100000,'中古車掲載'!AL131=1,'中古車掲載'!Z131="https://www.one2car.com/en/cars-for-sale/toyota/corolla-cross/year-2023"),'中古車掲載'!U131,"")</x:f>
      </x:c>
      <x:c r="BG130" s="3" t="str">
        <x:f>IF(AND('中古車掲載'!C131="One2car",'中古車掲載'!F131="Corolla Cross",'中古車掲載'!L131="HEV GR SPORT",'中古車掲載'!J131=2023,ISNUMBER('中古車掲載'!N131),'中古車掲載'!N131&gt;=20000,'中古車掲載'!O131&lt;=100000,'中古車掲載'!AL131=1,'中古車掲載'!Z131="https://www.one2car.com/en/cars-for-sale/toyota/corolla-cross/year-2023"),'中古車掲載'!U131,"")</x:f>
      </x:c>
      <x:c r="BH130" s="3" t="str">
        <x:f>IF(AND('中古車掲載'!C131="One2car",'中古車掲載'!F131="DOLPHIN",'中古車掲載'!L131="STANDARD RANGE",'中古車掲載'!J131=2023,ISNUMBER('中古車掲載'!N131),'中古車掲載'!N131&gt;=20000,'中古車掲載'!O131&lt;=100000,'中古車掲載'!AL131=1),'中古車掲載'!U131,"")</x:f>
      </x:c>
      <x:c r="BI130" s="3" t="str">
        <x:v>One2car|Hilux Revo|ICE|Bangkok metro</x:v>
      </x:c>
      <x:c r="BJ130" s="3" t="n">
        <x:v>134</x:v>
      </x:c>
      <x:c r="BK130" s="3" t="n">
        <x:f>'中古車掲載'!AM134</x:f>
        <x:v>679000</x:v>
      </x:c>
      <x:c r="BL130" s="3" t="str">
        <x:f>IF(ISNUMBER('中古車掲載'!AN134),'中古車掲載'!AN134,"")</x:f>
      </x:c>
      <x:c r="BM130" s="3" t="str">
        <x:v>2022|Double cab</x:v>
      </x:c>
      <x:c r="BN130" s="3" t="n">
        <x:v>789</x:v>
      </x:c>
      <x:c r="BO130" s="3" t="n">
        <x:f>'中古車掲載'!AM789</x:f>
        <x:v>399000</x:v>
      </x:c>
      <x:c r="BP130" s="3" t="str">
        <x:v>2.4 ENTRY Z EDITION DOUBLE CAB</x:v>
      </x:c>
      <x:c r="BQ130" s="3"/>
      <x:c r="BR130" s="3"/>
    </x:row>
    <x:row r="131" ht="22" customHeight="1">
      <x:c r="A131" s="3" t="str">
        <x:v>Corolla Cross</x:v>
      </x:c>
      <x:c r="B131" s="3" t="str">
        <x:v>HEV</x:v>
      </x:c>
      <x:c r="C131" s="3" t="str">
        <x:v>Taladrod</x:v>
      </x:c>
      <x:c r="D131" s="3" t="n">
        <x:v>2026</x:v>
      </x:c>
      <x:c r="E131" s="22" t="n">
        <x:f>COUNT('中古車掲載'!AM439:AM440)</x:f>
        <x:v>0</x:v>
      </x:c>
      <x:c r="F131" s="22" t="str">
        <x:f>IF(COUNT('中古車掲載'!AM439:AM440)=0,"",QUARTILE('中古車掲載'!AM439:AM440,1))</x:f>
      </x:c>
      <x:c r="G131" s="22" t="str">
        <x:f>IF(COUNT('中古車掲載'!AM439:AM440)=0,"",MEDIAN('中古車掲載'!AM439:AM440))</x:f>
      </x:c>
      <x:c r="H131" s="22" t="str">
        <x:f>IF(COUNT('中古車掲載'!AM439:AM440)=0,"",QUARTILE('中古車掲載'!AM439:AM440,3))</x:f>
      </x:c>
      <x:c r="I131" s="22" t="n">
        <x:f>COUNT('中古車掲載'!AN439:AN440)</x:f>
        <x:v>0</x:v>
      </x:c>
      <x:c r="J131" s="23" t="str">
        <x:f>IF(COUNT('中古車掲載'!AN439:AN440)=0,"",MEDIAN('中古車掲載'!AN439:AN440))</x:f>
      </x:c>
      <x:c r="K131" s="3"/>
      <x:c r="L131" s="3"/>
      <x:c r="M131" s="3"/>
      <x:c r="N131" s="3"/>
      <x:c r="O131" s="3"/>
      <x:c r="P131" s="3"/>
      <x:c r="Q131" s="3"/>
      <x:c r="R131" s="3"/>
      <x:c r="S131" s="3"/>
      <x:c r="T131" s="3"/>
      <x:c r="U131" s="3"/>
      <x:c r="V131" s="3"/>
      <x:c r="W131" s="3"/>
      <x:c r="X131" s="3"/>
      <x:c r="Y131" s="3"/>
      <x:c r="Z131" s="3"/>
      <x:c r="AA131" s="3"/>
      <x:c r="AB131" s="3"/>
      <x:c r="AC131" s="3"/>
      <x:c r="AD131" s="3"/>
      <x:c r="AE131" s="3"/>
      <x:c r="AF131" s="3"/>
      <x:c r="AG131" s="3"/>
      <x:c r="AH131" s="3"/>
      <x:c r="AI131" s="3"/>
      <x:c r="AJ131" s="3"/>
      <x:c r="AK131" s="3"/>
      <x:c r="AL131" s="3"/>
      <x:c r="AM131" s="3"/>
      <x:c r="AN131" s="3"/>
      <x:c r="AO131" s="3"/>
      <x:c r="AP131" s="3"/>
      <x:c r="AQ131" s="3"/>
      <x:c r="AR131" s="3"/>
      <x:c r="AS131" s="3"/>
      <x:c r="AT131" s="3"/>
      <x:c r="AU131" s="3"/>
      <x:c r="AV131" s="3"/>
      <x:c r="AW131" s="3"/>
      <x:c r="AX131" s="3"/>
      <x:c r="AY131" s="3"/>
      <x:c r="AZ131" s="3" t="str">
        <x:f>IF(AND('中古車掲載'!C132="One2car",'中古車掲載'!F132="ATTO 3",'中古車掲載'!L132="EXTENDED RANGE",'中古車掲載'!J132=2023,ISNUMBER('中古車掲載'!N132),'中古車掲載'!N132&gt;=20000,'中古車掲載'!O132&lt;=100000,'中古車掲載'!AL132=1),'中古車掲載'!U132,"")</x:f>
      </x:c>
      <x:c r="BA131" s="3" t="str">
        <x:f>IF(AND('中古車掲載'!C132="One2car",'中古車掲載'!F132="Corolla Cross",'中古車掲載'!L132="HEV PREMIUM SAFETY",'中古車掲載'!J132=2023,ISNUMBER('中古車掲載'!N132),'中古車掲載'!N132&gt;=20000,'中古車掲載'!O132&lt;=100000,'中古車掲載'!AL132=1,'中古車掲載'!Z132="https://www.one2car.com/en/cars-for-sale/toyota/corolla-cross/year-2023"),'中古車掲載'!U132,"")</x:f>
      </x:c>
      <x:c r="BB131" s="3" t="str">
        <x:f>IF(AND('中古車掲載'!C132="One2car",'中古車掲載'!F132="ATTO 3",'中古車掲載'!L132="EXTENDED RANGE",'中古車掲載'!J132=2023,ISNUMBER('中古車掲載'!N132),'中古車掲載'!N132&gt;=50000,'中古車掲載'!O132&lt;=100000,'中古車掲載'!AL132=1),'中古車掲載'!U132,"")</x:f>
      </x:c>
      <x:c r="BC131" s="3" t="str">
        <x:f>IF(AND('中古車掲載'!C132="One2car",'中古車掲載'!F132="Corolla Cross",'中古車掲載'!L132="HEV PREMIUM SAFETY",'中古車掲載'!J132=2023,ISNUMBER('中古車掲載'!N132),'中古車掲載'!N132&gt;=50000,'中古車掲載'!O132&lt;=100000,'中古車掲載'!AL132=1,'中古車掲載'!Z132="https://www.one2car.com/en/cars-for-sale/toyota/corolla-cross/year-2023"),'中古車掲載'!U132,"")</x:f>
      </x:c>
      <x:c r="BD131" s="3" t="str">
        <x:f>IF(AND('中古車掲載'!C132="One2car",'中古車掲載'!F132="ATTO 3",'中古車掲載'!L132="EXTENDED RANGE",'中古車掲載'!J132=2023,ISNUMBER('中古車掲載'!N132),'中古車掲載'!N132&gt;=20000,'中古車掲載'!O132&lt;=50000,'中古車掲載'!AL132=1),'中古車掲載'!U132,"")</x:f>
      </x:c>
      <x:c r="BE131" s="3" t="str">
        <x:f>IF(AND('中古車掲載'!C132="One2car",'中古車掲載'!F132="Corolla Cross",'中古車掲載'!L132="HEV PREMIUM SAFETY",'中古車掲載'!J132=2023,ISNUMBER('中古車掲載'!N132),'中古車掲載'!N132&gt;=20000,'中古車掲載'!O132&lt;=50000,'中古車掲載'!AL132=1,'中古車掲載'!Z132="https://www.one2car.com/en/cars-for-sale/toyota/corolla-cross/year-2023"),'中古車掲載'!U132,"")</x:f>
      </x:c>
      <x:c r="BF131" s="3" t="str">
        <x:f>IF(AND('中古車掲載'!C132="One2car",'中古車掲載'!F132="Corolla Cross",'中古車掲載'!L132="HEV PREMIUM",'中古車掲載'!J132=2023,ISNUMBER('中古車掲載'!N132),'中古車掲載'!N132&gt;=20000,'中古車掲載'!O132&lt;=100000,'中古車掲載'!AL132=1,'中古車掲載'!Z132="https://www.one2car.com/en/cars-for-sale/toyota/corolla-cross/year-2023"),'中古車掲載'!U132,"")</x:f>
      </x:c>
      <x:c r="BG131" s="3" t="str">
        <x:f>IF(AND('中古車掲載'!C132="One2car",'中古車掲載'!F132="Corolla Cross",'中古車掲載'!L132="HEV GR SPORT",'中古車掲載'!J132=2023,ISNUMBER('中古車掲載'!N132),'中古車掲載'!N132&gt;=20000,'中古車掲載'!O132&lt;=100000,'中古車掲載'!AL132=1,'中古車掲載'!Z132="https://www.one2car.com/en/cars-for-sale/toyota/corolla-cross/year-2023"),'中古車掲載'!U132,"")</x:f>
      </x:c>
      <x:c r="BH131" s="3" t="str">
        <x:f>IF(AND('中古車掲載'!C132="One2car",'中古車掲載'!F132="DOLPHIN",'中古車掲載'!L132="STANDARD RANGE",'中古車掲載'!J132=2023,ISNUMBER('中古車掲載'!N132),'中古車掲載'!N132&gt;=20000,'中古車掲載'!O132&lt;=100000,'中古車掲載'!AL132=1),'中古車掲載'!U132,"")</x:f>
      </x:c>
      <x:c r="BI131" s="3" t="str">
        <x:v>One2car|Hilux Revo|ICE|Bangkok metro</x:v>
      </x:c>
      <x:c r="BJ131" s="3" t="n">
        <x:v>135</x:v>
      </x:c>
      <x:c r="BK131" s="3" t="n">
        <x:f>'中古車掲載'!AM135</x:f>
        <x:v>499000</x:v>
      </x:c>
      <x:c r="BL131" s="3" t="str">
        <x:f>IF(ISNUMBER('中古車掲載'!AN135),'中古車掲載'!AN135,"")</x:f>
      </x:c>
      <x:c r="BM131" s="3" t="str">
        <x:v>2022|Double cab</x:v>
      </x:c>
      <x:c r="BN131" s="3" t="n">
        <x:v>790</x:v>
      </x:c>
      <x:c r="BO131" s="3" t="n">
        <x:f>'中古車掲載'!AM790</x:f>
        <x:v>485000</x:v>
      </x:c>
      <x:c r="BP131" s="3" t="str">
        <x:v>2.4 ENTRY Z EDITION DOUBLE CAB</x:v>
      </x:c>
      <x:c r="BQ131" s="3"/>
      <x:c r="BR131" s="3"/>
    </x:row>
    <x:row r="132" ht="22" customHeight="1">
      <x:c r="A132" s="3" t="str">
        <x:v>Corolla Cross</x:v>
      </x:c>
      <x:c r="B132" s="3" t="str">
        <x:v>ICE</x:v>
      </x:c>
      <x:c r="C132" s="3" t="str">
        <x:v>Taladrod</x:v>
      </x:c>
      <x:c r="D132" s="3" t="n">
        <x:v>2020</x:v>
      </x:c>
      <x:c r="E132" s="22" t="n">
        <x:f>COUNT('中古車掲載'!AM441:AM441)</x:f>
        <x:v>1</x:v>
      </x:c>
      <x:c r="F132" s="22" t="n">
        <x:f>IF(COUNT('中古車掲載'!AM441:AM441)=0,"",QUARTILE('中古車掲載'!AM441:AM441,1))</x:f>
        <x:v>499000</x:v>
      </x:c>
      <x:c r="G132" s="22" t="n">
        <x:f>IF(COUNT('中古車掲載'!AM441:AM441)=0,"",MEDIAN('中古車掲載'!AM441:AM441))</x:f>
        <x:v>499000</x:v>
      </x:c>
      <x:c r="H132" s="22" t="n">
        <x:f>IF(COUNT('中古車掲載'!AM441:AM441)=0,"",QUARTILE('中古車掲載'!AM441:AM441,3))</x:f>
        <x:v>499000</x:v>
      </x:c>
      <x:c r="I132" s="22" t="n">
        <x:f>COUNT('中古車掲載'!AN441:AN441)</x:f>
        <x:v>0</x:v>
      </x:c>
      <x:c r="J132" s="23" t="str">
        <x:f>IF(COUNT('中古車掲載'!AN441:AN441)=0,"",MEDIAN('中古車掲載'!AN441:AN441))</x:f>
      </x:c>
      <x:c r="K132" s="3"/>
      <x:c r="L132" s="3"/>
      <x:c r="M132" s="3"/>
      <x:c r="N132" s="3"/>
      <x:c r="O132" s="3"/>
      <x:c r="P132" s="3"/>
      <x:c r="Q132" s="3"/>
      <x:c r="R132" s="3"/>
      <x:c r="S132" s="3"/>
      <x:c r="T132" s="3"/>
      <x:c r="U132" s="3"/>
      <x:c r="V132" s="3"/>
      <x:c r="W132" s="3"/>
      <x:c r="X132" s="3"/>
      <x:c r="Y132" s="3"/>
      <x:c r="Z132" s="3"/>
      <x:c r="AA132" s="3"/>
      <x:c r="AB132" s="3"/>
      <x:c r="AC132" s="3"/>
      <x:c r="AD132" s="3"/>
      <x:c r="AE132" s="3"/>
      <x:c r="AF132" s="3"/>
      <x:c r="AG132" s="3"/>
      <x:c r="AH132" s="3"/>
      <x:c r="AI132" s="3"/>
      <x:c r="AJ132" s="3"/>
      <x:c r="AK132" s="3"/>
      <x:c r="AL132" s="3"/>
      <x:c r="AM132" s="3"/>
      <x:c r="AN132" s="3"/>
      <x:c r="AO132" s="3"/>
      <x:c r="AP132" s="3"/>
      <x:c r="AQ132" s="3"/>
      <x:c r="AR132" s="3"/>
      <x:c r="AS132" s="3"/>
      <x:c r="AT132" s="3"/>
      <x:c r="AU132" s="3"/>
      <x:c r="AV132" s="3"/>
      <x:c r="AW132" s="3"/>
      <x:c r="AX132" s="3"/>
      <x:c r="AY132" s="3"/>
      <x:c r="AZ132" s="3" t="str">
        <x:f>IF(AND('中古車掲載'!C133="One2car",'中古車掲載'!F133="ATTO 3",'中古車掲載'!L133="EXTENDED RANGE",'中古車掲載'!J133=2023,ISNUMBER('中古車掲載'!N133),'中古車掲載'!N133&gt;=20000,'中古車掲載'!O133&lt;=100000,'中古車掲載'!AL133=1),'中古車掲載'!U133,"")</x:f>
      </x:c>
      <x:c r="BA132" s="3" t="str">
        <x:f>IF(AND('中古車掲載'!C133="One2car",'中古車掲載'!F133="Corolla Cross",'中古車掲載'!L133="HEV PREMIUM SAFETY",'中古車掲載'!J133=2023,ISNUMBER('中古車掲載'!N133),'中古車掲載'!N133&gt;=20000,'中古車掲載'!O133&lt;=100000,'中古車掲載'!AL133=1,'中古車掲載'!Z133="https://www.one2car.com/en/cars-for-sale/toyota/corolla-cross/year-2023"),'中古車掲載'!U133,"")</x:f>
      </x:c>
      <x:c r="BB132" s="3" t="str">
        <x:f>IF(AND('中古車掲載'!C133="One2car",'中古車掲載'!F133="ATTO 3",'中古車掲載'!L133="EXTENDED RANGE",'中古車掲載'!J133=2023,ISNUMBER('中古車掲載'!N133),'中古車掲載'!N133&gt;=50000,'中古車掲載'!O133&lt;=100000,'中古車掲載'!AL133=1),'中古車掲載'!U133,"")</x:f>
      </x:c>
      <x:c r="BC132" s="3" t="str">
        <x:f>IF(AND('中古車掲載'!C133="One2car",'中古車掲載'!F133="Corolla Cross",'中古車掲載'!L133="HEV PREMIUM SAFETY",'中古車掲載'!J133=2023,ISNUMBER('中古車掲載'!N133),'中古車掲載'!N133&gt;=50000,'中古車掲載'!O133&lt;=100000,'中古車掲載'!AL133=1,'中古車掲載'!Z133="https://www.one2car.com/en/cars-for-sale/toyota/corolla-cross/year-2023"),'中古車掲載'!U133,"")</x:f>
      </x:c>
      <x:c r="BD132" s="3" t="str">
        <x:f>IF(AND('中古車掲載'!C133="One2car",'中古車掲載'!F133="ATTO 3",'中古車掲載'!L133="EXTENDED RANGE",'中古車掲載'!J133=2023,ISNUMBER('中古車掲載'!N133),'中古車掲載'!N133&gt;=20000,'中古車掲載'!O133&lt;=50000,'中古車掲載'!AL133=1),'中古車掲載'!U133,"")</x:f>
      </x:c>
      <x:c r="BE132" s="3" t="str">
        <x:f>IF(AND('中古車掲載'!C133="One2car",'中古車掲載'!F133="Corolla Cross",'中古車掲載'!L133="HEV PREMIUM SAFETY",'中古車掲載'!J133=2023,ISNUMBER('中古車掲載'!N133),'中古車掲載'!N133&gt;=20000,'中古車掲載'!O133&lt;=50000,'中古車掲載'!AL133=1,'中古車掲載'!Z133="https://www.one2car.com/en/cars-for-sale/toyota/corolla-cross/year-2023"),'中古車掲載'!U133,"")</x:f>
      </x:c>
      <x:c r="BF132" s="3" t="str">
        <x:f>IF(AND('中古車掲載'!C133="One2car",'中古車掲載'!F133="Corolla Cross",'中古車掲載'!L133="HEV PREMIUM",'中古車掲載'!J133=2023,ISNUMBER('中古車掲載'!N133),'中古車掲載'!N133&gt;=20000,'中古車掲載'!O133&lt;=100000,'中古車掲載'!AL133=1,'中古車掲載'!Z133="https://www.one2car.com/en/cars-for-sale/toyota/corolla-cross/year-2023"),'中古車掲載'!U133,"")</x:f>
      </x:c>
      <x:c r="BG132" s="3" t="str">
        <x:f>IF(AND('中古車掲載'!C133="One2car",'中古車掲載'!F133="Corolla Cross",'中古車掲載'!L133="HEV GR SPORT",'中古車掲載'!J133=2023,ISNUMBER('中古車掲載'!N133),'中古車掲載'!N133&gt;=20000,'中古車掲載'!O133&lt;=100000,'中古車掲載'!AL133=1,'中古車掲載'!Z133="https://www.one2car.com/en/cars-for-sale/toyota/corolla-cross/year-2023"),'中古車掲載'!U133,"")</x:f>
      </x:c>
      <x:c r="BH132" s="3" t="str">
        <x:f>IF(AND('中古車掲載'!C133="One2car",'中古車掲載'!F133="DOLPHIN",'中古車掲載'!L133="STANDARD RANGE",'中古車掲載'!J133=2023,ISNUMBER('中古車掲載'!N133),'中古車掲載'!N133&gt;=20000,'中古車掲載'!O133&lt;=100000,'中古車掲載'!AL133=1),'中古車掲載'!U133,"")</x:f>
      </x:c>
      <x:c r="BI132" s="3" t="str">
        <x:v>One2car|Hilux Revo|ICE|Bangkok metro</x:v>
      </x:c>
      <x:c r="BJ132" s="3" t="n">
        <x:v>137</x:v>
      </x:c>
      <x:c r="BK132" s="3" t="n">
        <x:f>'中古車掲載'!AM137</x:f>
        <x:v>599000</x:v>
      </x:c>
      <x:c r="BL132" s="3" t="str">
        <x:f>IF(ISNUMBER('中古車掲載'!AN137),'中古車掲載'!AN137,"")</x:f>
      </x:c>
      <x:c r="BM132" s="3" t="str">
        <x:v>2022|Double cab</x:v>
      </x:c>
      <x:c r="BN132" s="3" t="n">
        <x:v>801</x:v>
      </x:c>
      <x:c r="BO132" s="3" t="n">
        <x:f>'中古車掲載'!AM801</x:f>
        <x:v>599000</x:v>
      </x:c>
      <x:c r="BP132" s="3" t="str">
        <x:v>2.4 HIGH PRERUNNER DOUBLE CAB</x:v>
      </x:c>
      <x:c r="BQ132" s="3"/>
      <x:c r="BR132" s="3"/>
    </x:row>
    <x:row r="133" ht="22" customHeight="1">
      <x:c r="A133" s="3" t="str">
        <x:v>Corolla Cross</x:v>
      </x:c>
      <x:c r="B133" s="3" t="str">
        <x:v>ICE</x:v>
      </x:c>
      <x:c r="C133" s="3" t="str">
        <x:v>Taladrod</x:v>
      </x:c>
      <x:c r="D133" s="3" t="n">
        <x:v>2021</x:v>
      </x:c>
      <x:c r="E133" s="22" t="n">
        <x:f>COUNT('中古車掲載'!AM442:AM448)</x:f>
        <x:v>7</x:v>
      </x:c>
      <x:c r="F133" s="22" t="n">
        <x:f>IF(COUNT('中古車掲載'!AM442:AM448)=0,"",QUARTILE('中古車掲載'!AM442:AM448,1))</x:f>
        <x:v>541500</x:v>
      </x:c>
      <x:c r="G133" s="22" t="n">
        <x:f>IF(COUNT('中古車掲載'!AM442:AM448)=0,"",MEDIAN('中古車掲載'!AM442:AM448))</x:f>
        <x:v>558000</x:v>
      </x:c>
      <x:c r="H133" s="22" t="n">
        <x:f>IF(COUNT('中古車掲載'!AM442:AM448)=0,"",QUARTILE('中古車掲載'!AM442:AM448,3))</x:f>
        <x:v>579000</x:v>
      </x:c>
      <x:c r="I133" s="22" t="n">
        <x:f>COUNT('中古車掲載'!AN442:AN448)</x:f>
        <x:v>0</x:v>
      </x:c>
      <x:c r="J133" s="23" t="str">
        <x:f>IF(COUNT('中古車掲載'!AN442:AN448)=0,"",MEDIAN('中古車掲載'!AN442:AN448))</x:f>
      </x:c>
      <x:c r="K133" s="3"/>
      <x:c r="L133" s="3"/>
      <x:c r="M133" s="3"/>
      <x:c r="N133" s="3"/>
      <x:c r="O133" s="3"/>
      <x:c r="P133" s="3"/>
      <x:c r="Q133" s="3"/>
      <x:c r="R133" s="3"/>
      <x:c r="S133" s="3"/>
      <x:c r="T133" s="3"/>
      <x:c r="U133" s="3"/>
      <x:c r="V133" s="3"/>
      <x:c r="W133" s="3"/>
      <x:c r="X133" s="3"/>
      <x:c r="Y133" s="3"/>
      <x:c r="Z133" s="3"/>
      <x:c r="AA133" s="3"/>
      <x:c r="AB133" s="3"/>
      <x:c r="AC133" s="3"/>
      <x:c r="AD133" s="3"/>
      <x:c r="AE133" s="3"/>
      <x:c r="AF133" s="3"/>
      <x:c r="AG133" s="3"/>
      <x:c r="AH133" s="3"/>
      <x:c r="AI133" s="3"/>
      <x:c r="AJ133" s="3"/>
      <x:c r="AK133" s="3"/>
      <x:c r="AL133" s="3"/>
      <x:c r="AM133" s="3"/>
      <x:c r="AN133" s="3"/>
      <x:c r="AO133" s="3"/>
      <x:c r="AP133" s="3"/>
      <x:c r="AQ133" s="3"/>
      <x:c r="AR133" s="3"/>
      <x:c r="AS133" s="3"/>
      <x:c r="AT133" s="3"/>
      <x:c r="AU133" s="3"/>
      <x:c r="AV133" s="3"/>
      <x:c r="AW133" s="3"/>
      <x:c r="AX133" s="3"/>
      <x:c r="AY133" s="3"/>
      <x:c r="AZ133" s="3" t="str">
        <x:f>IF(AND('中古車掲載'!C134="One2car",'中古車掲載'!F134="ATTO 3",'中古車掲載'!L134="EXTENDED RANGE",'中古車掲載'!J134=2023,ISNUMBER('中古車掲載'!N134),'中古車掲載'!N134&gt;=20000,'中古車掲載'!O134&lt;=100000,'中古車掲載'!AL134=1),'中古車掲載'!U134,"")</x:f>
      </x:c>
      <x:c r="BA133" s="3" t="str">
        <x:f>IF(AND('中古車掲載'!C134="One2car",'中古車掲載'!F134="Corolla Cross",'中古車掲載'!L134="HEV PREMIUM SAFETY",'中古車掲載'!J134=2023,ISNUMBER('中古車掲載'!N134),'中古車掲載'!N134&gt;=20000,'中古車掲載'!O134&lt;=100000,'中古車掲載'!AL134=1,'中古車掲載'!Z134="https://www.one2car.com/en/cars-for-sale/toyota/corolla-cross/year-2023"),'中古車掲載'!U134,"")</x:f>
      </x:c>
      <x:c r="BB133" s="3" t="str">
        <x:f>IF(AND('中古車掲載'!C134="One2car",'中古車掲載'!F134="ATTO 3",'中古車掲載'!L134="EXTENDED RANGE",'中古車掲載'!J134=2023,ISNUMBER('中古車掲載'!N134),'中古車掲載'!N134&gt;=50000,'中古車掲載'!O134&lt;=100000,'中古車掲載'!AL134=1),'中古車掲載'!U134,"")</x:f>
      </x:c>
      <x:c r="BC133" s="3" t="str">
        <x:f>IF(AND('中古車掲載'!C134="One2car",'中古車掲載'!F134="Corolla Cross",'中古車掲載'!L134="HEV PREMIUM SAFETY",'中古車掲載'!J134=2023,ISNUMBER('中古車掲載'!N134),'中古車掲載'!N134&gt;=50000,'中古車掲載'!O134&lt;=100000,'中古車掲載'!AL134=1,'中古車掲載'!Z134="https://www.one2car.com/en/cars-for-sale/toyota/corolla-cross/year-2023"),'中古車掲載'!U134,"")</x:f>
      </x:c>
      <x:c r="BD133" s="3" t="str">
        <x:f>IF(AND('中古車掲載'!C134="One2car",'中古車掲載'!F134="ATTO 3",'中古車掲載'!L134="EXTENDED RANGE",'中古車掲載'!J134=2023,ISNUMBER('中古車掲載'!N134),'中古車掲載'!N134&gt;=20000,'中古車掲載'!O134&lt;=50000,'中古車掲載'!AL134=1),'中古車掲載'!U134,"")</x:f>
      </x:c>
      <x:c r="BE133" s="3" t="str">
        <x:f>IF(AND('中古車掲載'!C134="One2car",'中古車掲載'!F134="Corolla Cross",'中古車掲載'!L134="HEV PREMIUM SAFETY",'中古車掲載'!J134=2023,ISNUMBER('中古車掲載'!N134),'中古車掲載'!N134&gt;=20000,'中古車掲載'!O134&lt;=50000,'中古車掲載'!AL134=1,'中古車掲載'!Z134="https://www.one2car.com/en/cars-for-sale/toyota/corolla-cross/year-2023"),'中古車掲載'!U134,"")</x:f>
      </x:c>
      <x:c r="BF133" s="3" t="str">
        <x:f>IF(AND('中古車掲載'!C134="One2car",'中古車掲載'!F134="Corolla Cross",'中古車掲載'!L134="HEV PREMIUM",'中古車掲載'!J134=2023,ISNUMBER('中古車掲載'!N134),'中古車掲載'!N134&gt;=20000,'中古車掲載'!O134&lt;=100000,'中古車掲載'!AL134=1,'中古車掲載'!Z134="https://www.one2car.com/en/cars-for-sale/toyota/corolla-cross/year-2023"),'中古車掲載'!U134,"")</x:f>
      </x:c>
      <x:c r="BG133" s="3" t="str">
        <x:f>IF(AND('中古車掲載'!C134="One2car",'中古車掲載'!F134="Corolla Cross",'中古車掲載'!L134="HEV GR SPORT",'中古車掲載'!J134=2023,ISNUMBER('中古車掲載'!N134),'中古車掲載'!N134&gt;=20000,'中古車掲載'!O134&lt;=100000,'中古車掲載'!AL134=1,'中古車掲載'!Z134="https://www.one2car.com/en/cars-for-sale/toyota/corolla-cross/year-2023"),'中古車掲載'!U134,"")</x:f>
      </x:c>
      <x:c r="BH133" s="3" t="str">
        <x:f>IF(AND('中古車掲載'!C134="One2car",'中古車掲載'!F134="DOLPHIN",'中古車掲載'!L134="STANDARD RANGE",'中古車掲載'!J134=2023,ISNUMBER('中古車掲載'!N134),'中古車掲載'!N134&gt;=20000,'中古車掲載'!O134&lt;=100000,'中古車掲載'!AL134=1),'中古車掲載'!U134,"")</x:f>
      </x:c>
      <x:c r="BI133" s="3" t="str">
        <x:v>One2car|Hilux Revo|ICE|Bangkok metro</x:v>
      </x:c>
      <x:c r="BJ133" s="3" t="n">
        <x:v>138</x:v>
      </x:c>
      <x:c r="BK133" s="3" t="n">
        <x:f>'中古車掲載'!AM138</x:f>
        <x:v>489000</x:v>
      </x:c>
      <x:c r="BL133" s="3" t="str">
        <x:f>IF(ISNUMBER('中古車掲載'!AN138),'中古車掲載'!AN138,"")</x:f>
      </x:c>
      <x:c r="BM133" s="3" t="str">
        <x:v>2022|Double cab</x:v>
      </x:c>
      <x:c r="BN133" s="3" t="n">
        <x:v>802</x:v>
      </x:c>
      <x:c r="BO133" s="3" t="n">
        <x:f>'中古車掲載'!AM802</x:f>
        <x:v>739000</x:v>
      </x:c>
      <x:c r="BP133" s="3" t="str">
        <x:v>2.4 MID 4WD DOUBLE CAB</x:v>
      </x:c>
      <x:c r="BQ133" s="3"/>
      <x:c r="BR133" s="3"/>
    </x:row>
    <x:row r="134" ht="22" customHeight="1">
      <x:c r="A134" s="3" t="str">
        <x:v>Corolla Cross</x:v>
      </x:c>
      <x:c r="B134" s="3" t="str">
        <x:v>ICE</x:v>
      </x:c>
      <x:c r="C134" s="3" t="str">
        <x:v>Taladrod</x:v>
      </x:c>
      <x:c r="D134" s="3" t="n">
        <x:v>2022</x:v>
      </x:c>
      <x:c r="E134" s="22" t="n">
        <x:f>COUNT('中古車掲載'!AM449:AM453)</x:f>
        <x:v>5</x:v>
      </x:c>
      <x:c r="F134" s="22" t="n">
        <x:f>IF(COUNT('中古車掲載'!AM449:AM453)=0,"",QUARTILE('中古車掲載'!AM449:AM453,1))</x:f>
        <x:v>499000</x:v>
      </x:c>
      <x:c r="G134" s="22" t="n">
        <x:f>IF(COUNT('中古車掲載'!AM449:AM453)=0,"",MEDIAN('中古車掲載'!AM449:AM453))</x:f>
        <x:v>529000</x:v>
      </x:c>
      <x:c r="H134" s="22" t="n">
        <x:f>IF(COUNT('中古車掲載'!AM449:AM453)=0,"",QUARTILE('中古車掲載'!AM449:AM453,3))</x:f>
        <x:v>579000</x:v>
      </x:c>
      <x:c r="I134" s="22" t="n">
        <x:f>COUNT('中古車掲載'!AN449:AN453)</x:f>
        <x:v>0</x:v>
      </x:c>
      <x:c r="J134" s="23" t="str">
        <x:f>IF(COUNT('中古車掲載'!AN449:AN453)=0,"",MEDIAN('中古車掲載'!AN449:AN453))</x:f>
      </x:c>
      <x:c r="K134" s="3"/>
      <x:c r="L134" s="3"/>
      <x:c r="M134" s="3"/>
      <x:c r="N134" s="3"/>
      <x:c r="O134" s="3"/>
      <x:c r="P134" s="3"/>
      <x:c r="Q134" s="3"/>
      <x:c r="R134" s="3"/>
      <x:c r="S134" s="3"/>
      <x:c r="T134" s="3"/>
      <x:c r="U134" s="3"/>
      <x:c r="V134" s="3"/>
      <x:c r="W134" s="3"/>
      <x:c r="X134" s="3"/>
      <x:c r="Y134" s="3"/>
      <x:c r="Z134" s="3"/>
      <x:c r="AA134" s="3"/>
      <x:c r="AB134" s="3"/>
      <x:c r="AC134" s="3"/>
      <x:c r="AD134" s="3"/>
      <x:c r="AE134" s="3"/>
      <x:c r="AF134" s="3"/>
      <x:c r="AG134" s="3"/>
      <x:c r="AH134" s="3"/>
      <x:c r="AI134" s="3"/>
      <x:c r="AJ134" s="3"/>
      <x:c r="AK134" s="3"/>
      <x:c r="AL134" s="3"/>
      <x:c r="AM134" s="3"/>
      <x:c r="AN134" s="3"/>
      <x:c r="AO134" s="3"/>
      <x:c r="AP134" s="3"/>
      <x:c r="AQ134" s="3"/>
      <x:c r="AR134" s="3"/>
      <x:c r="AS134" s="3"/>
      <x:c r="AT134" s="3"/>
      <x:c r="AU134" s="3"/>
      <x:c r="AV134" s="3"/>
      <x:c r="AW134" s="3"/>
      <x:c r="AX134" s="3"/>
      <x:c r="AY134" s="3"/>
      <x:c r="AZ134" s="3" t="str">
        <x:f>IF(AND('中古車掲載'!C135="One2car",'中古車掲載'!F135="ATTO 3",'中古車掲載'!L135="EXTENDED RANGE",'中古車掲載'!J135=2023,ISNUMBER('中古車掲載'!N135),'中古車掲載'!N135&gt;=20000,'中古車掲載'!O135&lt;=100000,'中古車掲載'!AL135=1),'中古車掲載'!U135,"")</x:f>
      </x:c>
      <x:c r="BA134" s="3" t="str">
        <x:f>IF(AND('中古車掲載'!C135="One2car",'中古車掲載'!F135="Corolla Cross",'中古車掲載'!L135="HEV PREMIUM SAFETY",'中古車掲載'!J135=2023,ISNUMBER('中古車掲載'!N135),'中古車掲載'!N135&gt;=20000,'中古車掲載'!O135&lt;=100000,'中古車掲載'!AL135=1,'中古車掲載'!Z135="https://www.one2car.com/en/cars-for-sale/toyota/corolla-cross/year-2023"),'中古車掲載'!U135,"")</x:f>
      </x:c>
      <x:c r="BB134" s="3" t="str">
        <x:f>IF(AND('中古車掲載'!C135="One2car",'中古車掲載'!F135="ATTO 3",'中古車掲載'!L135="EXTENDED RANGE",'中古車掲載'!J135=2023,ISNUMBER('中古車掲載'!N135),'中古車掲載'!N135&gt;=50000,'中古車掲載'!O135&lt;=100000,'中古車掲載'!AL135=1),'中古車掲載'!U135,"")</x:f>
      </x:c>
      <x:c r="BC134" s="3" t="str">
        <x:f>IF(AND('中古車掲載'!C135="One2car",'中古車掲載'!F135="Corolla Cross",'中古車掲載'!L135="HEV PREMIUM SAFETY",'中古車掲載'!J135=2023,ISNUMBER('中古車掲載'!N135),'中古車掲載'!N135&gt;=50000,'中古車掲載'!O135&lt;=100000,'中古車掲載'!AL135=1,'中古車掲載'!Z135="https://www.one2car.com/en/cars-for-sale/toyota/corolla-cross/year-2023"),'中古車掲載'!U135,"")</x:f>
      </x:c>
      <x:c r="BD134" s="3" t="str">
        <x:f>IF(AND('中古車掲載'!C135="One2car",'中古車掲載'!F135="ATTO 3",'中古車掲載'!L135="EXTENDED RANGE",'中古車掲載'!J135=2023,ISNUMBER('中古車掲載'!N135),'中古車掲載'!N135&gt;=20000,'中古車掲載'!O135&lt;=50000,'中古車掲載'!AL135=1),'中古車掲載'!U135,"")</x:f>
      </x:c>
      <x:c r="BE134" s="3" t="str">
        <x:f>IF(AND('中古車掲載'!C135="One2car",'中古車掲載'!F135="Corolla Cross",'中古車掲載'!L135="HEV PREMIUM SAFETY",'中古車掲載'!J135=2023,ISNUMBER('中古車掲載'!N135),'中古車掲載'!N135&gt;=20000,'中古車掲載'!O135&lt;=50000,'中古車掲載'!AL135=1,'中古車掲載'!Z135="https://www.one2car.com/en/cars-for-sale/toyota/corolla-cross/year-2023"),'中古車掲載'!U135,"")</x:f>
      </x:c>
      <x:c r="BF134" s="3" t="str">
        <x:f>IF(AND('中古車掲載'!C135="One2car",'中古車掲載'!F135="Corolla Cross",'中古車掲載'!L135="HEV PREMIUM",'中古車掲載'!J135=2023,ISNUMBER('中古車掲載'!N135),'中古車掲載'!N135&gt;=20000,'中古車掲載'!O135&lt;=100000,'中古車掲載'!AL135=1,'中古車掲載'!Z135="https://www.one2car.com/en/cars-for-sale/toyota/corolla-cross/year-2023"),'中古車掲載'!U135,"")</x:f>
      </x:c>
      <x:c r="BG134" s="3" t="str">
        <x:f>IF(AND('中古車掲載'!C135="One2car",'中古車掲載'!F135="Corolla Cross",'中古車掲載'!L135="HEV GR SPORT",'中古車掲載'!J135=2023,ISNUMBER('中古車掲載'!N135),'中古車掲載'!N135&gt;=20000,'中古車掲載'!O135&lt;=100000,'中古車掲載'!AL135=1,'中古車掲載'!Z135="https://www.one2car.com/en/cars-for-sale/toyota/corolla-cross/year-2023"),'中古車掲載'!U135,"")</x:f>
      </x:c>
      <x:c r="BH134" s="3" t="str">
        <x:f>IF(AND('中古車掲載'!C135="One2car",'中古車掲載'!F135="DOLPHIN",'中古車掲載'!L135="STANDARD RANGE",'中古車掲載'!J135=2023,ISNUMBER('中古車掲載'!N135),'中古車掲載'!N135&gt;=20000,'中古車掲載'!O135&lt;=100000,'中古車掲載'!AL135=1),'中古車掲載'!U135,"")</x:f>
      </x:c>
      <x:c r="BI134" s="3" t="str">
        <x:v>One2car|Hilux Revo|ICE|Bangkok metro</x:v>
      </x:c>
      <x:c r="BJ134" s="3" t="n">
        <x:v>139</x:v>
      </x:c>
      <x:c r="BK134" s="3" t="n">
        <x:f>'中古車掲載'!AM139</x:f>
        <x:v>449000</x:v>
      </x:c>
      <x:c r="BL134" s="3" t="str">
        <x:f>IF(ISNUMBER('中古車掲載'!AN139),'中古車掲載'!AN139,"")</x:f>
      </x:c>
      <x:c r="BM134" s="3" t="str">
        <x:v>2022|Double cab</x:v>
      </x:c>
      <x:c r="BN134" s="3" t="n">
        <x:v>804</x:v>
      </x:c>
      <x:c r="BO134" s="3" t="n">
        <x:f>'中古車掲載'!AM804</x:f>
        <x:v>599000</x:v>
      </x:c>
      <x:c r="BP134" s="3" t="str">
        <x:v>2.4 MID PRERUNNER DOUBLE CAB</x:v>
      </x:c>
      <x:c r="BQ134" s="3"/>
      <x:c r="BR134" s="3"/>
    </x:row>
    <x:row r="135" ht="22" customHeight="1">
      <x:c r="A135" s="3" t="str">
        <x:v>Corolla Cross</x:v>
      </x:c>
      <x:c r="B135" s="3" t="str">
        <x:v>ICE</x:v>
      </x:c>
      <x:c r="C135" s="3" t="str">
        <x:v>Taladrod</x:v>
      </x:c>
      <x:c r="D135" s="3" t="n">
        <x:v>2023</x:v>
      </x:c>
      <x:c r="E135" s="22" t="n">
        <x:f>COUNT('中古車掲載'!AM454:AM461)</x:f>
        <x:v>8</x:v>
      </x:c>
      <x:c r="F135" s="22" t="n">
        <x:f>IF(COUNT('中古車掲載'!AM454:AM461)=0,"",QUARTILE('中古車掲載'!AM454:AM461,1))</x:f>
        <x:v>655750</x:v>
      </x:c>
      <x:c r="G135" s="22" t="n">
        <x:f>IF(COUNT('中古車掲載'!AM454:AM461)=0,"",MEDIAN('中古車掲載'!AM454:AM461))</x:f>
        <x:v>700500</x:v>
      </x:c>
      <x:c r="H135" s="22" t="n">
        <x:f>IF(COUNT('中古車掲載'!AM454:AM461)=0,"",QUARTILE('中古車掲載'!AM454:AM461,3))</x:f>
        <x:v>736500</x:v>
      </x:c>
      <x:c r="I135" s="22" t="n">
        <x:f>COUNT('中古車掲載'!AN454:AN461)</x:f>
        <x:v>5</x:v>
      </x:c>
      <x:c r="J135" s="23" t="n">
        <x:f>IF(COUNT('中古車掲載'!AN454:AN461)=0,"",MEDIAN('中古車掲載'!AN454:AN461))</x:f>
        <x:v>0.7027027027027027</x:v>
      </x:c>
      <x:c r="K135" s="3"/>
      <x:c r="L135" s="3"/>
      <x:c r="M135" s="3"/>
      <x:c r="N135" s="3"/>
      <x:c r="O135" s="3"/>
      <x:c r="P135" s="3"/>
      <x:c r="Q135" s="3"/>
      <x:c r="R135" s="3"/>
      <x:c r="S135" s="3"/>
      <x:c r="T135" s="3"/>
      <x:c r="U135" s="3"/>
      <x:c r="V135" s="3"/>
      <x:c r="W135" s="3"/>
      <x:c r="X135" s="3"/>
      <x:c r="Y135" s="3"/>
      <x:c r="Z135" s="3"/>
      <x:c r="AA135" s="3"/>
      <x:c r="AB135" s="3"/>
      <x:c r="AC135" s="3"/>
      <x:c r="AD135" s="3"/>
      <x:c r="AE135" s="3"/>
      <x:c r="AF135" s="3"/>
      <x:c r="AG135" s="3"/>
      <x:c r="AH135" s="3"/>
      <x:c r="AI135" s="3"/>
      <x:c r="AJ135" s="3"/>
      <x:c r="AK135" s="3"/>
      <x:c r="AL135" s="3"/>
      <x:c r="AM135" s="3"/>
      <x:c r="AN135" s="3"/>
      <x:c r="AO135" s="3"/>
      <x:c r="AP135" s="3"/>
      <x:c r="AQ135" s="3"/>
      <x:c r="AR135" s="3"/>
      <x:c r="AS135" s="3"/>
      <x:c r="AT135" s="3"/>
      <x:c r="AU135" s="3"/>
      <x:c r="AV135" s="3"/>
      <x:c r="AW135" s="3"/>
      <x:c r="AX135" s="3"/>
      <x:c r="AY135" s="3"/>
      <x:c r="AZ135" s="3" t="str">
        <x:f>IF(AND('中古車掲載'!C136="One2car",'中古車掲載'!F136="ATTO 3",'中古車掲載'!L136="EXTENDED RANGE",'中古車掲載'!J136=2023,ISNUMBER('中古車掲載'!N136),'中古車掲載'!N136&gt;=20000,'中古車掲載'!O136&lt;=100000,'中古車掲載'!AL136=1),'中古車掲載'!U136,"")</x:f>
      </x:c>
      <x:c r="BA135" s="3" t="str">
        <x:f>IF(AND('中古車掲載'!C136="One2car",'中古車掲載'!F136="Corolla Cross",'中古車掲載'!L136="HEV PREMIUM SAFETY",'中古車掲載'!J136=2023,ISNUMBER('中古車掲載'!N136),'中古車掲載'!N136&gt;=20000,'中古車掲載'!O136&lt;=100000,'中古車掲載'!AL136=1,'中古車掲載'!Z136="https://www.one2car.com/en/cars-for-sale/toyota/corolla-cross/year-2023"),'中古車掲載'!U136,"")</x:f>
      </x:c>
      <x:c r="BB135" s="3" t="str">
        <x:f>IF(AND('中古車掲載'!C136="One2car",'中古車掲載'!F136="ATTO 3",'中古車掲載'!L136="EXTENDED RANGE",'中古車掲載'!J136=2023,ISNUMBER('中古車掲載'!N136),'中古車掲載'!N136&gt;=50000,'中古車掲載'!O136&lt;=100000,'中古車掲載'!AL136=1),'中古車掲載'!U136,"")</x:f>
      </x:c>
      <x:c r="BC135" s="3" t="str">
        <x:f>IF(AND('中古車掲載'!C136="One2car",'中古車掲載'!F136="Corolla Cross",'中古車掲載'!L136="HEV PREMIUM SAFETY",'中古車掲載'!J136=2023,ISNUMBER('中古車掲載'!N136),'中古車掲載'!N136&gt;=50000,'中古車掲載'!O136&lt;=100000,'中古車掲載'!AL136=1,'中古車掲載'!Z136="https://www.one2car.com/en/cars-for-sale/toyota/corolla-cross/year-2023"),'中古車掲載'!U136,"")</x:f>
      </x:c>
      <x:c r="BD135" s="3" t="str">
        <x:f>IF(AND('中古車掲載'!C136="One2car",'中古車掲載'!F136="ATTO 3",'中古車掲載'!L136="EXTENDED RANGE",'中古車掲載'!J136=2023,ISNUMBER('中古車掲載'!N136),'中古車掲載'!N136&gt;=20000,'中古車掲載'!O136&lt;=50000,'中古車掲載'!AL136=1),'中古車掲載'!U136,"")</x:f>
      </x:c>
      <x:c r="BE135" s="3" t="str">
        <x:f>IF(AND('中古車掲載'!C136="One2car",'中古車掲載'!F136="Corolla Cross",'中古車掲載'!L136="HEV PREMIUM SAFETY",'中古車掲載'!J136=2023,ISNUMBER('中古車掲載'!N136),'中古車掲載'!N136&gt;=20000,'中古車掲載'!O136&lt;=50000,'中古車掲載'!AL136=1,'中古車掲載'!Z136="https://www.one2car.com/en/cars-for-sale/toyota/corolla-cross/year-2023"),'中古車掲載'!U136,"")</x:f>
      </x:c>
      <x:c r="BF135" s="3" t="str">
        <x:f>IF(AND('中古車掲載'!C136="One2car",'中古車掲載'!F136="Corolla Cross",'中古車掲載'!L136="HEV PREMIUM",'中古車掲載'!J136=2023,ISNUMBER('中古車掲載'!N136),'中古車掲載'!N136&gt;=20000,'中古車掲載'!O136&lt;=100000,'中古車掲載'!AL136=1,'中古車掲載'!Z136="https://www.one2car.com/en/cars-for-sale/toyota/corolla-cross/year-2023"),'中古車掲載'!U136,"")</x:f>
      </x:c>
      <x:c r="BG135" s="3" t="str">
        <x:f>IF(AND('中古車掲載'!C136="One2car",'中古車掲載'!F136="Corolla Cross",'中古車掲載'!L136="HEV GR SPORT",'中古車掲載'!J136=2023,ISNUMBER('中古車掲載'!N136),'中古車掲載'!N136&gt;=20000,'中古車掲載'!O136&lt;=100000,'中古車掲載'!AL136=1,'中古車掲載'!Z136="https://www.one2car.com/en/cars-for-sale/toyota/corolla-cross/year-2023"),'中古車掲載'!U136,"")</x:f>
      </x:c>
      <x:c r="BH135" s="3" t="str">
        <x:f>IF(AND('中古車掲載'!C136="One2car",'中古車掲載'!F136="DOLPHIN",'中古車掲載'!L136="STANDARD RANGE",'中古車掲載'!J136=2023,ISNUMBER('中古車掲載'!N136),'中古車掲載'!N136&gt;=20000,'中古車掲載'!O136&lt;=100000,'中古車掲載'!AL136=1),'中古車掲載'!U136,"")</x:f>
      </x:c>
      <x:c r="BI135" s="3" t="str">
        <x:v>One2car|Hilux Revo|ICE|Bangkok metro</x:v>
      </x:c>
      <x:c r="BJ135" s="3" t="n">
        <x:v>140</x:v>
      </x:c>
      <x:c r="BK135" s="3" t="n">
        <x:f>'中古車掲載'!AM140</x:f>
        <x:v>419000</x:v>
      </x:c>
      <x:c r="BL135" s="3" t="str">
        <x:f>IF(ISNUMBER('中古車掲載'!AN140),'中古車掲載'!AN140,"")</x:f>
      </x:c>
      <x:c r="BM135" s="3" t="str">
        <x:v>2022|Double cab</x:v>
      </x:c>
      <x:c r="BN135" s="3" t="n">
        <x:v>805</x:v>
      </x:c>
      <x:c r="BO135" s="3" t="n">
        <x:f>'中古車掲載'!AM805</x:f>
        <x:v>649000</x:v>
      </x:c>
      <x:c r="BP135" s="3" t="str">
        <x:v>2.4 MID PRERUNNER DOUBLE CAB</x:v>
      </x:c>
      <x:c r="BQ135" s="3"/>
      <x:c r="BR135" s="3"/>
    </x:row>
    <x:row r="136" ht="22" customHeight="1">
      <x:c r="A136" s="3" t="str">
        <x:v>Corolla Cross</x:v>
      </x:c>
      <x:c r="B136" s="3" t="str">
        <x:v>ICE</x:v>
      </x:c>
      <x:c r="C136" s="3" t="str">
        <x:v>Taladrod</x:v>
      </x:c>
      <x:c r="D136" s="3" t="n">
        <x:v>2024</x:v>
      </x:c>
      <x:c r="E136" s="22" t="n">
        <x:f>COUNT('中古車掲載'!AM462:AM462)</x:f>
        <x:v>1</x:v>
      </x:c>
      <x:c r="F136" s="22" t="n">
        <x:f>IF(COUNT('中古車掲載'!AM462:AM462)=0,"",QUARTILE('中古車掲載'!AM462:AM462,1))</x:f>
        <x:v>799000</x:v>
      </x:c>
      <x:c r="G136" s="22" t="n">
        <x:f>IF(COUNT('中古車掲載'!AM462:AM462)=0,"",MEDIAN('中古車掲載'!AM462:AM462))</x:f>
        <x:v>799000</x:v>
      </x:c>
      <x:c r="H136" s="22" t="n">
        <x:f>IF(COUNT('中古車掲載'!AM462:AM462)=0,"",QUARTILE('中古車掲載'!AM462:AM462,3))</x:f>
        <x:v>799000</x:v>
      </x:c>
      <x:c r="I136" s="22" t="n">
        <x:f>COUNT('中古車掲載'!AN462:AN462)</x:f>
        <x:v>1</x:v>
      </x:c>
      <x:c r="J136" s="23" t="n">
        <x:f>IF(COUNT('中古車掲載'!AN462:AN462)=0,"",MEDIAN('中古車掲載'!AN462:AN462))</x:f>
        <x:v>0.7997997997997998</x:v>
      </x:c>
      <x:c r="K136" s="3"/>
      <x:c r="L136" s="3"/>
      <x:c r="M136" s="3"/>
      <x:c r="N136" s="3"/>
      <x:c r="O136" s="3"/>
      <x:c r="P136" s="3"/>
      <x:c r="Q136" s="3"/>
      <x:c r="R136" s="3"/>
      <x:c r="S136" s="3"/>
      <x:c r="T136" s="3"/>
      <x:c r="U136" s="3"/>
      <x:c r="V136" s="3"/>
      <x:c r="W136" s="3"/>
      <x:c r="X136" s="3"/>
      <x:c r="Y136" s="3"/>
      <x:c r="Z136" s="3"/>
      <x:c r="AA136" s="3"/>
      <x:c r="AB136" s="3"/>
      <x:c r="AC136" s="3"/>
      <x:c r="AD136" s="3"/>
      <x:c r="AE136" s="3"/>
      <x:c r="AF136" s="3"/>
      <x:c r="AG136" s="3"/>
      <x:c r="AH136" s="3"/>
      <x:c r="AI136" s="3"/>
      <x:c r="AJ136" s="3"/>
      <x:c r="AK136" s="3"/>
      <x:c r="AL136" s="3"/>
      <x:c r="AM136" s="3"/>
      <x:c r="AN136" s="3"/>
      <x:c r="AO136" s="3"/>
      <x:c r="AP136" s="3"/>
      <x:c r="AQ136" s="3"/>
      <x:c r="AR136" s="3"/>
      <x:c r="AS136" s="3"/>
      <x:c r="AT136" s="3"/>
      <x:c r="AU136" s="3"/>
      <x:c r="AV136" s="3"/>
      <x:c r="AW136" s="3"/>
      <x:c r="AX136" s="3"/>
      <x:c r="AY136" s="3"/>
      <x:c r="AZ136" s="3" t="str">
        <x:f>IF(AND('中古車掲載'!C137="One2car",'中古車掲載'!F137="ATTO 3",'中古車掲載'!L137="EXTENDED RANGE",'中古車掲載'!J137=2023,ISNUMBER('中古車掲載'!N137),'中古車掲載'!N137&gt;=20000,'中古車掲載'!O137&lt;=100000,'中古車掲載'!AL137=1),'中古車掲載'!U137,"")</x:f>
      </x:c>
      <x:c r="BA136" s="3" t="str">
        <x:f>IF(AND('中古車掲載'!C137="One2car",'中古車掲載'!F137="Corolla Cross",'中古車掲載'!L137="HEV PREMIUM SAFETY",'中古車掲載'!J137=2023,ISNUMBER('中古車掲載'!N137),'中古車掲載'!N137&gt;=20000,'中古車掲載'!O137&lt;=100000,'中古車掲載'!AL137=1,'中古車掲載'!Z137="https://www.one2car.com/en/cars-for-sale/toyota/corolla-cross/year-2023"),'中古車掲載'!U137,"")</x:f>
      </x:c>
      <x:c r="BB136" s="3" t="str">
        <x:f>IF(AND('中古車掲載'!C137="One2car",'中古車掲載'!F137="ATTO 3",'中古車掲載'!L137="EXTENDED RANGE",'中古車掲載'!J137=2023,ISNUMBER('中古車掲載'!N137),'中古車掲載'!N137&gt;=50000,'中古車掲載'!O137&lt;=100000,'中古車掲載'!AL137=1),'中古車掲載'!U137,"")</x:f>
      </x:c>
      <x:c r="BC136" s="3" t="str">
        <x:f>IF(AND('中古車掲載'!C137="One2car",'中古車掲載'!F137="Corolla Cross",'中古車掲載'!L137="HEV PREMIUM SAFETY",'中古車掲載'!J137=2023,ISNUMBER('中古車掲載'!N137),'中古車掲載'!N137&gt;=50000,'中古車掲載'!O137&lt;=100000,'中古車掲載'!AL137=1,'中古車掲載'!Z137="https://www.one2car.com/en/cars-for-sale/toyota/corolla-cross/year-2023"),'中古車掲載'!U137,"")</x:f>
      </x:c>
      <x:c r="BD136" s="3" t="str">
        <x:f>IF(AND('中古車掲載'!C137="One2car",'中古車掲載'!F137="ATTO 3",'中古車掲載'!L137="EXTENDED RANGE",'中古車掲載'!J137=2023,ISNUMBER('中古車掲載'!N137),'中古車掲載'!N137&gt;=20000,'中古車掲載'!O137&lt;=50000,'中古車掲載'!AL137=1),'中古車掲載'!U137,"")</x:f>
      </x:c>
      <x:c r="BE136" s="3" t="str">
        <x:f>IF(AND('中古車掲載'!C137="One2car",'中古車掲載'!F137="Corolla Cross",'中古車掲載'!L137="HEV PREMIUM SAFETY",'中古車掲載'!J137=2023,ISNUMBER('中古車掲載'!N137),'中古車掲載'!N137&gt;=20000,'中古車掲載'!O137&lt;=50000,'中古車掲載'!AL137=1,'中古車掲載'!Z137="https://www.one2car.com/en/cars-for-sale/toyota/corolla-cross/year-2023"),'中古車掲載'!U137,"")</x:f>
      </x:c>
      <x:c r="BF136" s="3" t="str">
        <x:f>IF(AND('中古車掲載'!C137="One2car",'中古車掲載'!F137="Corolla Cross",'中古車掲載'!L137="HEV PREMIUM",'中古車掲載'!J137=2023,ISNUMBER('中古車掲載'!N137),'中古車掲載'!N137&gt;=20000,'中古車掲載'!O137&lt;=100000,'中古車掲載'!AL137=1,'中古車掲載'!Z137="https://www.one2car.com/en/cars-for-sale/toyota/corolla-cross/year-2023"),'中古車掲載'!U137,"")</x:f>
      </x:c>
      <x:c r="BG136" s="3" t="str">
        <x:f>IF(AND('中古車掲載'!C137="One2car",'中古車掲載'!F137="Corolla Cross",'中古車掲載'!L137="HEV GR SPORT",'中古車掲載'!J137=2023,ISNUMBER('中古車掲載'!N137),'中古車掲載'!N137&gt;=20000,'中古車掲載'!O137&lt;=100000,'中古車掲載'!AL137=1,'中古車掲載'!Z137="https://www.one2car.com/en/cars-for-sale/toyota/corolla-cross/year-2023"),'中古車掲載'!U137,"")</x:f>
      </x:c>
      <x:c r="BH136" s="3" t="str">
        <x:f>IF(AND('中古車掲載'!C137="One2car",'中古車掲載'!F137="DOLPHIN",'中古車掲載'!L137="STANDARD RANGE",'中古車掲載'!J137=2023,ISNUMBER('中古車掲載'!N137),'中古車掲載'!N137&gt;=20000,'中古車掲載'!O137&lt;=100000,'中古車掲載'!AL137=1),'中古車掲載'!U137,"")</x:f>
      </x:c>
      <x:c r="BI136" s="3" t="str">
        <x:v>One2car|Hilux Revo|ICE|Bangkok metro</x:v>
      </x:c>
      <x:c r="BJ136" s="3" t="n">
        <x:v>141</x:v>
      </x:c>
      <x:c r="BK136" s="3" t="n">
        <x:f>'中古車掲載'!AM141</x:f>
        <x:v>449000</x:v>
      </x:c>
      <x:c r="BL136" s="3" t="str">
        <x:f>IF(ISNUMBER('中古車掲載'!AN141),'中古車掲載'!AN141,"")</x:f>
      </x:c>
      <x:c r="BM136" s="3" t="str">
        <x:v>2022|Double cab</x:v>
      </x:c>
      <x:c r="BN136" s="3" t="n">
        <x:v>806</x:v>
      </x:c>
      <x:c r="BO136" s="3" t="n">
        <x:f>'中古車掲載'!AM806</x:f>
        <x:v>639000</x:v>
      </x:c>
      <x:c r="BP136" s="3" t="str">
        <x:v>2.4 MID PRERUNNER DOUBLE CAB</x:v>
      </x:c>
      <x:c r="BQ136" s="3"/>
      <x:c r="BR136" s="3"/>
    </x:row>
    <x:row r="137" ht="22" customHeight="1">
      <x:c r="A137" s="3" t="str">
        <x:v>Corolla Cross</x:v>
      </x:c>
      <x:c r="B137" s="3" t="str">
        <x:v>不明</x:v>
      </x:c>
      <x:c r="C137" s="3" t="str">
        <x:v>Taladrod</x:v>
      </x:c>
      <x:c r="D137" s="3" t="n">
        <x:v>2022</x:v>
      </x:c>
      <x:c r="E137" s="22" t="n">
        <x:f>COUNT('中古車掲載'!AM463:AM463)</x:f>
        <x:v>1</x:v>
      </x:c>
      <x:c r="F137" s="22" t="n">
        <x:f>IF(COUNT('中古車掲載'!AM463:AM463)=0,"",QUARTILE('中古車掲載'!AM463:AM463,1))</x:f>
        <x:v>729000</x:v>
      </x:c>
      <x:c r="G137" s="22" t="n">
        <x:f>IF(COUNT('中古車掲載'!AM463:AM463)=0,"",MEDIAN('中古車掲載'!AM463:AM463))</x:f>
        <x:v>729000</x:v>
      </x:c>
      <x:c r="H137" s="22" t="n">
        <x:f>IF(COUNT('中古車掲載'!AM463:AM463)=0,"",QUARTILE('中古車掲載'!AM463:AM463,3))</x:f>
        <x:v>729000</x:v>
      </x:c>
      <x:c r="I137" s="22" t="n">
        <x:f>COUNT('中古車掲載'!AN463:AN463)</x:f>
        <x:v>0</x:v>
      </x:c>
      <x:c r="J137" s="23" t="str">
        <x:f>IF(COUNT('中古車掲載'!AN463:AN463)=0,"",MEDIAN('中古車掲載'!AN463:AN463))</x:f>
      </x:c>
      <x:c r="K137" s="3"/>
      <x:c r="L137" s="3"/>
      <x:c r="M137" s="3"/>
      <x:c r="N137" s="3"/>
      <x:c r="O137" s="3"/>
      <x:c r="P137" s="3"/>
      <x:c r="Q137" s="3"/>
      <x:c r="R137" s="3"/>
      <x:c r="S137" s="3"/>
      <x:c r="T137" s="3"/>
      <x:c r="U137" s="3"/>
      <x:c r="V137" s="3"/>
      <x:c r="W137" s="3"/>
      <x:c r="X137" s="3"/>
      <x:c r="Y137" s="3"/>
      <x:c r="Z137" s="3"/>
      <x:c r="AA137" s="3"/>
      <x:c r="AB137" s="3"/>
      <x:c r="AC137" s="3"/>
      <x:c r="AD137" s="3"/>
      <x:c r="AE137" s="3"/>
      <x:c r="AF137" s="3"/>
      <x:c r="AG137" s="3"/>
      <x:c r="AH137" s="3"/>
      <x:c r="AI137" s="3"/>
      <x:c r="AJ137" s="3"/>
      <x:c r="AK137" s="3"/>
      <x:c r="AL137" s="3"/>
      <x:c r="AM137" s="3"/>
      <x:c r="AN137" s="3"/>
      <x:c r="AO137" s="3"/>
      <x:c r="AP137" s="3"/>
      <x:c r="AQ137" s="3"/>
      <x:c r="AR137" s="3"/>
      <x:c r="AS137" s="3"/>
      <x:c r="AT137" s="3"/>
      <x:c r="AU137" s="3"/>
      <x:c r="AV137" s="3"/>
      <x:c r="AW137" s="3"/>
      <x:c r="AX137" s="3"/>
      <x:c r="AY137" s="3"/>
      <x:c r="AZ137" s="3" t="str">
        <x:f>IF(AND('中古車掲載'!C138="One2car",'中古車掲載'!F138="ATTO 3",'中古車掲載'!L138="EXTENDED RANGE",'中古車掲載'!J138=2023,ISNUMBER('中古車掲載'!N138),'中古車掲載'!N138&gt;=20000,'中古車掲載'!O138&lt;=100000,'中古車掲載'!AL138=1),'中古車掲載'!U138,"")</x:f>
      </x:c>
      <x:c r="BA137" s="3" t="str">
        <x:f>IF(AND('中古車掲載'!C138="One2car",'中古車掲載'!F138="Corolla Cross",'中古車掲載'!L138="HEV PREMIUM SAFETY",'中古車掲載'!J138=2023,ISNUMBER('中古車掲載'!N138),'中古車掲載'!N138&gt;=20000,'中古車掲載'!O138&lt;=100000,'中古車掲載'!AL138=1,'中古車掲載'!Z138="https://www.one2car.com/en/cars-for-sale/toyota/corolla-cross/year-2023"),'中古車掲載'!U138,"")</x:f>
      </x:c>
      <x:c r="BB137" s="3" t="str">
        <x:f>IF(AND('中古車掲載'!C138="One2car",'中古車掲載'!F138="ATTO 3",'中古車掲載'!L138="EXTENDED RANGE",'中古車掲載'!J138=2023,ISNUMBER('中古車掲載'!N138),'中古車掲載'!N138&gt;=50000,'中古車掲載'!O138&lt;=100000,'中古車掲載'!AL138=1),'中古車掲載'!U138,"")</x:f>
      </x:c>
      <x:c r="BC137" s="3" t="str">
        <x:f>IF(AND('中古車掲載'!C138="One2car",'中古車掲載'!F138="Corolla Cross",'中古車掲載'!L138="HEV PREMIUM SAFETY",'中古車掲載'!J138=2023,ISNUMBER('中古車掲載'!N138),'中古車掲載'!N138&gt;=50000,'中古車掲載'!O138&lt;=100000,'中古車掲載'!AL138=1,'中古車掲載'!Z138="https://www.one2car.com/en/cars-for-sale/toyota/corolla-cross/year-2023"),'中古車掲載'!U138,"")</x:f>
      </x:c>
      <x:c r="BD137" s="3" t="str">
        <x:f>IF(AND('中古車掲載'!C138="One2car",'中古車掲載'!F138="ATTO 3",'中古車掲載'!L138="EXTENDED RANGE",'中古車掲載'!J138=2023,ISNUMBER('中古車掲載'!N138),'中古車掲載'!N138&gt;=20000,'中古車掲載'!O138&lt;=50000,'中古車掲載'!AL138=1),'中古車掲載'!U138,"")</x:f>
      </x:c>
      <x:c r="BE137" s="3" t="str">
        <x:f>IF(AND('中古車掲載'!C138="One2car",'中古車掲載'!F138="Corolla Cross",'中古車掲載'!L138="HEV PREMIUM SAFETY",'中古車掲載'!J138=2023,ISNUMBER('中古車掲載'!N138),'中古車掲載'!N138&gt;=20000,'中古車掲載'!O138&lt;=50000,'中古車掲載'!AL138=1,'中古車掲載'!Z138="https://www.one2car.com/en/cars-for-sale/toyota/corolla-cross/year-2023"),'中古車掲載'!U138,"")</x:f>
      </x:c>
      <x:c r="BF137" s="3" t="str">
        <x:f>IF(AND('中古車掲載'!C138="One2car",'中古車掲載'!F138="Corolla Cross",'中古車掲載'!L138="HEV PREMIUM",'中古車掲載'!J138=2023,ISNUMBER('中古車掲載'!N138),'中古車掲載'!N138&gt;=20000,'中古車掲載'!O138&lt;=100000,'中古車掲載'!AL138=1,'中古車掲載'!Z138="https://www.one2car.com/en/cars-for-sale/toyota/corolla-cross/year-2023"),'中古車掲載'!U138,"")</x:f>
      </x:c>
      <x:c r="BG137" s="3" t="str">
        <x:f>IF(AND('中古車掲載'!C138="One2car",'中古車掲載'!F138="Corolla Cross",'中古車掲載'!L138="HEV GR SPORT",'中古車掲載'!J138=2023,ISNUMBER('中古車掲載'!N138),'中古車掲載'!N138&gt;=20000,'中古車掲載'!O138&lt;=100000,'中古車掲載'!AL138=1,'中古車掲載'!Z138="https://www.one2car.com/en/cars-for-sale/toyota/corolla-cross/year-2023"),'中古車掲載'!U138,"")</x:f>
      </x:c>
      <x:c r="BH137" s="3" t="str">
        <x:f>IF(AND('中古車掲載'!C138="One2car",'中古車掲載'!F138="DOLPHIN",'中古車掲載'!L138="STANDARD RANGE",'中古車掲載'!J138=2023,ISNUMBER('中古車掲載'!N138),'中古車掲載'!N138&gt;=20000,'中古車掲載'!O138&lt;=100000,'中古車掲載'!AL138=1),'中古車掲載'!U138,"")</x:f>
      </x:c>
      <x:c r="BI137" s="3" t="str">
        <x:v>One2car|Hilux Revo|ICE|Bangkok metro</x:v>
      </x:c>
      <x:c r="BJ137" s="3" t="n">
        <x:v>142</x:v>
      </x:c>
      <x:c r="BK137" s="3" t="n">
        <x:f>'中古車掲載'!AM142</x:f>
        <x:v>599000</x:v>
      </x:c>
      <x:c r="BL137" s="3" t="str">
        <x:f>IF(ISNUMBER('中古車掲載'!AN142),'中古車掲載'!AN142,"")</x:f>
      </x:c>
      <x:c r="BM137" s="3" t="str">
        <x:v>2022|Double cab</x:v>
      </x:c>
      <x:c r="BN137" s="3" t="n">
        <x:v>807</x:v>
      </x:c>
      <x:c r="BO137" s="3" t="n">
        <x:f>'中古車掲載'!AM807</x:f>
        <x:v>710000</x:v>
      </x:c>
      <x:c r="BP137" s="3" t="str">
        <x:v>2.4 MID PRERUNNER DOUBLE CAB</x:v>
      </x:c>
      <x:c r="BQ137" s="3"/>
      <x:c r="BR137" s="3"/>
    </x:row>
    <x:row r="138" ht="22" customHeight="1">
      <x:c r="A138" s="3" t="str">
        <x:v>DOLPHIN</x:v>
      </x:c>
      <x:c r="B138" s="3" t="str">
        <x:v>BEV</x:v>
      </x:c>
      <x:c r="C138" s="3" t="str">
        <x:v>Taladrod</x:v>
      </x:c>
      <x:c r="D138" s="3" t="n">
        <x:v>2023</x:v>
      </x:c>
      <x:c r="E138" s="22" t="n">
        <x:f>COUNT('中古車掲載'!AM464:AM475)</x:f>
        <x:v>12</x:v>
      </x:c>
      <x:c r="F138" s="22" t="n">
        <x:f>IF(COUNT('中古車掲載'!AM464:AM475)=0,"",QUARTILE('中古車掲載'!AM464:AM475,1))</x:f>
        <x:v>327250</x:v>
      </x:c>
      <x:c r="G138" s="22" t="n">
        <x:f>IF(COUNT('中古車掲載'!AM464:AM475)=0,"",MEDIAN('中古車掲載'!AM464:AM475))</x:f>
        <x:v>339000</x:v>
      </x:c>
      <x:c r="H138" s="22" t="n">
        <x:f>IF(COUNT('中古車掲載'!AM464:AM475)=0,"",QUARTILE('中古車掲載'!AM464:AM475,3))</x:f>
        <x:v>356000</x:v>
      </x:c>
      <x:c r="I138" s="22" t="n">
        <x:f>COUNT('中古車掲載'!AN464:AN475)</x:f>
        <x:v>12</x:v>
      </x:c>
      <x:c r="J138" s="23" t="n">
        <x:f>IF(COUNT('中古車掲載'!AN464:AN475)=0,"",MEDIAN('中古車掲載'!AN464:AN475))</x:f>
        <x:v>0.4635720908172726</x:v>
      </x:c>
      <x:c r="K138" s="3"/>
      <x:c r="L138" s="3"/>
      <x:c r="M138" s="3"/>
      <x:c r="N138" s="3"/>
      <x:c r="O138" s="3"/>
      <x:c r="P138" s="3"/>
      <x:c r="Q138" s="3"/>
      <x:c r="R138" s="3"/>
      <x:c r="S138" s="3"/>
      <x:c r="T138" s="3"/>
      <x:c r="U138" s="3"/>
      <x:c r="V138" s="3"/>
      <x:c r="W138" s="3"/>
      <x:c r="X138" s="3"/>
      <x:c r="Y138" s="3"/>
      <x:c r="Z138" s="3"/>
      <x:c r="AA138" s="3"/>
      <x:c r="AB138" s="3"/>
      <x:c r="AC138" s="3"/>
      <x:c r="AD138" s="3"/>
      <x:c r="AE138" s="3"/>
      <x:c r="AF138" s="3"/>
      <x:c r="AG138" s="3"/>
      <x:c r="AH138" s="3"/>
      <x:c r="AI138" s="3"/>
      <x:c r="AJ138" s="3"/>
      <x:c r="AK138" s="3"/>
      <x:c r="AL138" s="3"/>
      <x:c r="AM138" s="3"/>
      <x:c r="AN138" s="3"/>
      <x:c r="AO138" s="3"/>
      <x:c r="AP138" s="3"/>
      <x:c r="AQ138" s="3"/>
      <x:c r="AR138" s="3"/>
      <x:c r="AS138" s="3"/>
      <x:c r="AT138" s="3"/>
      <x:c r="AU138" s="3"/>
      <x:c r="AV138" s="3"/>
      <x:c r="AW138" s="3"/>
      <x:c r="AX138" s="3"/>
      <x:c r="AY138" s="3"/>
      <x:c r="AZ138" s="3" t="str">
        <x:f>IF(AND('中古車掲載'!C139="One2car",'中古車掲載'!F139="ATTO 3",'中古車掲載'!L139="EXTENDED RANGE",'中古車掲載'!J139=2023,ISNUMBER('中古車掲載'!N139),'中古車掲載'!N139&gt;=20000,'中古車掲載'!O139&lt;=100000,'中古車掲載'!AL139=1),'中古車掲載'!U139,"")</x:f>
      </x:c>
      <x:c r="BA138" s="3" t="str">
        <x:f>IF(AND('中古車掲載'!C139="One2car",'中古車掲載'!F139="Corolla Cross",'中古車掲載'!L139="HEV PREMIUM SAFETY",'中古車掲載'!J139=2023,ISNUMBER('中古車掲載'!N139),'中古車掲載'!N139&gt;=20000,'中古車掲載'!O139&lt;=100000,'中古車掲載'!AL139=1,'中古車掲載'!Z139="https://www.one2car.com/en/cars-for-sale/toyota/corolla-cross/year-2023"),'中古車掲載'!U139,"")</x:f>
      </x:c>
      <x:c r="BB138" s="3" t="str">
        <x:f>IF(AND('中古車掲載'!C139="One2car",'中古車掲載'!F139="ATTO 3",'中古車掲載'!L139="EXTENDED RANGE",'中古車掲載'!J139=2023,ISNUMBER('中古車掲載'!N139),'中古車掲載'!N139&gt;=50000,'中古車掲載'!O139&lt;=100000,'中古車掲載'!AL139=1),'中古車掲載'!U139,"")</x:f>
      </x:c>
      <x:c r="BC138" s="3" t="str">
        <x:f>IF(AND('中古車掲載'!C139="One2car",'中古車掲載'!F139="Corolla Cross",'中古車掲載'!L139="HEV PREMIUM SAFETY",'中古車掲載'!J139=2023,ISNUMBER('中古車掲載'!N139),'中古車掲載'!N139&gt;=50000,'中古車掲載'!O139&lt;=100000,'中古車掲載'!AL139=1,'中古車掲載'!Z139="https://www.one2car.com/en/cars-for-sale/toyota/corolla-cross/year-2023"),'中古車掲載'!U139,"")</x:f>
      </x:c>
      <x:c r="BD138" s="3" t="str">
        <x:f>IF(AND('中古車掲載'!C139="One2car",'中古車掲載'!F139="ATTO 3",'中古車掲載'!L139="EXTENDED RANGE",'中古車掲載'!J139=2023,ISNUMBER('中古車掲載'!N139),'中古車掲載'!N139&gt;=20000,'中古車掲載'!O139&lt;=50000,'中古車掲載'!AL139=1),'中古車掲載'!U139,"")</x:f>
      </x:c>
      <x:c r="BE138" s="3" t="str">
        <x:f>IF(AND('中古車掲載'!C139="One2car",'中古車掲載'!F139="Corolla Cross",'中古車掲載'!L139="HEV PREMIUM SAFETY",'中古車掲載'!J139=2023,ISNUMBER('中古車掲載'!N139),'中古車掲載'!N139&gt;=20000,'中古車掲載'!O139&lt;=50000,'中古車掲載'!AL139=1,'中古車掲載'!Z139="https://www.one2car.com/en/cars-for-sale/toyota/corolla-cross/year-2023"),'中古車掲載'!U139,"")</x:f>
      </x:c>
      <x:c r="BF138" s="3" t="str">
        <x:f>IF(AND('中古車掲載'!C139="One2car",'中古車掲載'!F139="Corolla Cross",'中古車掲載'!L139="HEV PREMIUM",'中古車掲載'!J139=2023,ISNUMBER('中古車掲載'!N139),'中古車掲載'!N139&gt;=20000,'中古車掲載'!O139&lt;=100000,'中古車掲載'!AL139=1,'中古車掲載'!Z139="https://www.one2car.com/en/cars-for-sale/toyota/corolla-cross/year-2023"),'中古車掲載'!U139,"")</x:f>
      </x:c>
      <x:c r="BG138" s="3" t="str">
        <x:f>IF(AND('中古車掲載'!C139="One2car",'中古車掲載'!F139="Corolla Cross",'中古車掲載'!L139="HEV GR SPORT",'中古車掲載'!J139=2023,ISNUMBER('中古車掲載'!N139),'中古車掲載'!N139&gt;=20000,'中古車掲載'!O139&lt;=100000,'中古車掲載'!AL139=1,'中古車掲載'!Z139="https://www.one2car.com/en/cars-for-sale/toyota/corolla-cross/year-2023"),'中古車掲載'!U139,"")</x:f>
      </x:c>
      <x:c r="BH138" s="3" t="str">
        <x:f>IF(AND('中古車掲載'!C139="One2car",'中古車掲載'!F139="DOLPHIN",'中古車掲載'!L139="STANDARD RANGE",'中古車掲載'!J139=2023,ISNUMBER('中古車掲載'!N139),'中古車掲載'!N139&gt;=20000,'中古車掲載'!O139&lt;=100000,'中古車掲載'!AL139=1),'中古車掲載'!U139,"")</x:f>
      </x:c>
      <x:c r="BI138" s="3" t="str">
        <x:v>One2car|Hilux Revo|ICE|Bangkok metro</x:v>
      </x:c>
      <x:c r="BJ138" s="3" t="n">
        <x:v>143</x:v>
      </x:c>
      <x:c r="BK138" s="3" t="n">
        <x:f>'中古車掲載'!AM143</x:f>
        <x:v>419000</x:v>
      </x:c>
      <x:c r="BL138" s="3" t="str">
        <x:f>IF(ISNUMBER('中古車掲載'!AN143),'中古車掲載'!AN143,"")</x:f>
      </x:c>
      <x:c r="BM138" s="3" t="str">
        <x:v>2022|Double cab</x:v>
      </x:c>
      <x:c r="BN138" s="3" t="n">
        <x:v>808</x:v>
      </x:c>
      <x:c r="BO138" s="3" t="n">
        <x:f>'中古車掲載'!AM808</x:f>
        <x:v>659000</x:v>
      </x:c>
      <x:c r="BP138" s="3" t="str">
        <x:v>2.4 MID PRERUNNER DOUBLE CAB</x:v>
      </x:c>
      <x:c r="BQ138" s="3"/>
      <x:c r="BR138" s="3"/>
    </x:row>
    <x:row r="139" ht="22" customHeight="1">
      <x:c r="A139" s="3" t="str">
        <x:v>DOLPHIN</x:v>
      </x:c>
      <x:c r="B139" s="3" t="str">
        <x:v>BEV</x:v>
      </x:c>
      <x:c r="C139" s="3" t="str">
        <x:v>Taladrod</x:v>
      </x:c>
      <x:c r="D139" s="3" t="n">
        <x:v>2024</x:v>
      </x:c>
      <x:c r="E139" s="22" t="n">
        <x:f>COUNT('中古車掲載'!AM476:AM481)</x:f>
        <x:v>6</x:v>
      </x:c>
      <x:c r="F139" s="22" t="n">
        <x:f>IF(COUNT('中古車掲載'!AM476:AM481)=0,"",QUARTILE('中古車掲載'!AM476:AM481,1))</x:f>
        <x:v>332250</x:v>
      </x:c>
      <x:c r="G139" s="22" t="n">
        <x:f>IF(COUNT('中古車掲載'!AM476:AM481)=0,"",MEDIAN('中古車掲載'!AM476:AM481))</x:f>
        <x:v>344000</x:v>
      </x:c>
      <x:c r="H139" s="22" t="n">
        <x:f>IF(COUNT('中古車掲載'!AM476:AM481)=0,"",QUARTILE('中古車掲載'!AM476:AM481,3))</x:f>
        <x:v>371500</x:v>
      </x:c>
      <x:c r="I139" s="22" t="n">
        <x:f>COUNT('中古車掲載'!AN476:AN481)</x:f>
        <x:v>0</x:v>
      </x:c>
      <x:c r="J139" s="23" t="str">
        <x:f>IF(COUNT('中古車掲載'!AN476:AN481)=0,"",MEDIAN('中古車掲載'!AN476:AN481))</x:f>
      </x:c>
      <x:c r="K139" s="3"/>
      <x:c r="L139" s="3"/>
      <x:c r="M139" s="3"/>
      <x:c r="N139" s="3"/>
      <x:c r="O139" s="3"/>
      <x:c r="P139" s="3"/>
      <x:c r="Q139" s="3"/>
      <x:c r="R139" s="3"/>
      <x:c r="S139" s="3"/>
      <x:c r="T139" s="3"/>
      <x:c r="U139" s="3"/>
      <x:c r="V139" s="3"/>
      <x:c r="W139" s="3"/>
      <x:c r="X139" s="3"/>
      <x:c r="Y139" s="3"/>
      <x:c r="Z139" s="3"/>
      <x:c r="AA139" s="3"/>
      <x:c r="AB139" s="3"/>
      <x:c r="AC139" s="3"/>
      <x:c r="AD139" s="3"/>
      <x:c r="AE139" s="3"/>
      <x:c r="AF139" s="3"/>
      <x:c r="AG139" s="3"/>
      <x:c r="AH139" s="3"/>
      <x:c r="AI139" s="3"/>
      <x:c r="AJ139" s="3"/>
      <x:c r="AK139" s="3"/>
      <x:c r="AL139" s="3"/>
      <x:c r="AM139" s="3"/>
      <x:c r="AN139" s="3"/>
      <x:c r="AO139" s="3"/>
      <x:c r="AP139" s="3"/>
      <x:c r="AQ139" s="3"/>
      <x:c r="AR139" s="3"/>
      <x:c r="AS139" s="3"/>
      <x:c r="AT139" s="3"/>
      <x:c r="AU139" s="3"/>
      <x:c r="AV139" s="3"/>
      <x:c r="AW139" s="3"/>
      <x:c r="AX139" s="3"/>
      <x:c r="AY139" s="3"/>
      <x:c r="AZ139" s="3" t="str">
        <x:f>IF(AND('中古車掲載'!C140="One2car",'中古車掲載'!F140="ATTO 3",'中古車掲載'!L140="EXTENDED RANGE",'中古車掲載'!J140=2023,ISNUMBER('中古車掲載'!N140),'中古車掲載'!N140&gt;=20000,'中古車掲載'!O140&lt;=100000,'中古車掲載'!AL140=1),'中古車掲載'!U140,"")</x:f>
      </x:c>
      <x:c r="BA139" s="3" t="str">
        <x:f>IF(AND('中古車掲載'!C140="One2car",'中古車掲載'!F140="Corolla Cross",'中古車掲載'!L140="HEV PREMIUM SAFETY",'中古車掲載'!J140=2023,ISNUMBER('中古車掲載'!N140),'中古車掲載'!N140&gt;=20000,'中古車掲載'!O140&lt;=100000,'中古車掲載'!AL140=1,'中古車掲載'!Z140="https://www.one2car.com/en/cars-for-sale/toyota/corolla-cross/year-2023"),'中古車掲載'!U140,"")</x:f>
      </x:c>
      <x:c r="BB139" s="3" t="str">
        <x:f>IF(AND('中古車掲載'!C140="One2car",'中古車掲載'!F140="ATTO 3",'中古車掲載'!L140="EXTENDED RANGE",'中古車掲載'!J140=2023,ISNUMBER('中古車掲載'!N140),'中古車掲載'!N140&gt;=50000,'中古車掲載'!O140&lt;=100000,'中古車掲載'!AL140=1),'中古車掲載'!U140,"")</x:f>
      </x:c>
      <x:c r="BC139" s="3" t="str">
        <x:f>IF(AND('中古車掲載'!C140="One2car",'中古車掲載'!F140="Corolla Cross",'中古車掲載'!L140="HEV PREMIUM SAFETY",'中古車掲載'!J140=2023,ISNUMBER('中古車掲載'!N140),'中古車掲載'!N140&gt;=50000,'中古車掲載'!O140&lt;=100000,'中古車掲載'!AL140=1,'中古車掲載'!Z140="https://www.one2car.com/en/cars-for-sale/toyota/corolla-cross/year-2023"),'中古車掲載'!U140,"")</x:f>
      </x:c>
      <x:c r="BD139" s="3" t="str">
        <x:f>IF(AND('中古車掲載'!C140="One2car",'中古車掲載'!F140="ATTO 3",'中古車掲載'!L140="EXTENDED RANGE",'中古車掲載'!J140=2023,ISNUMBER('中古車掲載'!N140),'中古車掲載'!N140&gt;=20000,'中古車掲載'!O140&lt;=50000,'中古車掲載'!AL140=1),'中古車掲載'!U140,"")</x:f>
      </x:c>
      <x:c r="BE139" s="3" t="str">
        <x:f>IF(AND('中古車掲載'!C140="One2car",'中古車掲載'!F140="Corolla Cross",'中古車掲載'!L140="HEV PREMIUM SAFETY",'中古車掲載'!J140=2023,ISNUMBER('中古車掲載'!N140),'中古車掲載'!N140&gt;=20000,'中古車掲載'!O140&lt;=50000,'中古車掲載'!AL140=1,'中古車掲載'!Z140="https://www.one2car.com/en/cars-for-sale/toyota/corolla-cross/year-2023"),'中古車掲載'!U140,"")</x:f>
      </x:c>
      <x:c r="BF139" s="3" t="str">
        <x:f>IF(AND('中古車掲載'!C140="One2car",'中古車掲載'!F140="Corolla Cross",'中古車掲載'!L140="HEV PREMIUM",'中古車掲載'!J140=2023,ISNUMBER('中古車掲載'!N140),'中古車掲載'!N140&gt;=20000,'中古車掲載'!O140&lt;=100000,'中古車掲載'!AL140=1,'中古車掲載'!Z140="https://www.one2car.com/en/cars-for-sale/toyota/corolla-cross/year-2023"),'中古車掲載'!U140,"")</x:f>
      </x:c>
      <x:c r="BG139" s="3" t="str">
        <x:f>IF(AND('中古車掲載'!C140="One2car",'中古車掲載'!F140="Corolla Cross",'中古車掲載'!L140="HEV GR SPORT",'中古車掲載'!J140=2023,ISNUMBER('中古車掲載'!N140),'中古車掲載'!N140&gt;=20000,'中古車掲載'!O140&lt;=100000,'中古車掲載'!AL140=1,'中古車掲載'!Z140="https://www.one2car.com/en/cars-for-sale/toyota/corolla-cross/year-2023"),'中古車掲載'!U140,"")</x:f>
      </x:c>
      <x:c r="BH139" s="3" t="str">
        <x:f>IF(AND('中古車掲載'!C140="One2car",'中古車掲載'!F140="DOLPHIN",'中古車掲載'!L140="STANDARD RANGE",'中古車掲載'!J140=2023,ISNUMBER('中古車掲載'!N140),'中古車掲載'!N140&gt;=20000,'中古車掲載'!O140&lt;=100000,'中古車掲載'!AL140=1),'中古車掲載'!U140,"")</x:f>
      </x:c>
      <x:c r="BI139" s="3" t="str">
        <x:v>One2car|Hilux Revo|ICE|Bangkok metro</x:v>
      </x:c>
      <x:c r="BJ139" s="3" t="n">
        <x:v>144</x:v>
      </x:c>
      <x:c r="BK139" s="3" t="n">
        <x:f>'中古車掲載'!AM144</x:f>
        <x:v>429000</x:v>
      </x:c>
      <x:c r="BL139" s="3" t="str">
        <x:f>IF(ISNUMBER('中古車掲載'!AN144),'中古車掲載'!AN144,"")</x:f>
      </x:c>
      <x:c r="BM139" s="3" t="str">
        <x:v>2022|Double cab</x:v>
      </x:c>
      <x:c r="BN139" s="3" t="n">
        <x:v>814</x:v>
      </x:c>
      <x:c r="BO139" s="3" t="n">
        <x:f>'中古車掲載'!AM814</x:f>
        <x:v>459000</x:v>
      </x:c>
      <x:c r="BP139" s="3" t="str">
        <x:v>2.4 MID Z EDITION DOUBLE CAB</x:v>
      </x:c>
      <x:c r="BQ139" s="3"/>
      <x:c r="BR139" s="3"/>
    </x:row>
    <x:row r="140" ht="22" customHeight="1">
      <x:c r="A140" s="3" t="str">
        <x:v>DOLPHIN</x:v>
      </x:c>
      <x:c r="B140" s="3" t="str">
        <x:v>BEV</x:v>
      </x:c>
      <x:c r="C140" s="3" t="str">
        <x:v>Taladrod</x:v>
      </x:c>
      <x:c r="D140" s="3" t="n">
        <x:v>2025</x:v>
      </x:c>
      <x:c r="E140" s="22" t="n">
        <x:f>COUNT('中古車掲載'!AM482:AM485)</x:f>
        <x:v>4</x:v>
      </x:c>
      <x:c r="F140" s="22" t="n">
        <x:f>IF(COUNT('中古車掲載'!AM482:AM485)=0,"",QUARTILE('中古車掲載'!AM482:AM485,1))</x:f>
        <x:v>391500</x:v>
      </x:c>
      <x:c r="G140" s="22" t="n">
        <x:f>IF(COUNT('中古車掲載'!AM482:AM485)=0,"",MEDIAN('中古車掲載'!AM482:AM485))</x:f>
        <x:v>414000</x:v>
      </x:c>
      <x:c r="H140" s="22" t="n">
        <x:f>IF(COUNT('中古車掲載'!AM482:AM485)=0,"",QUARTILE('中古車掲載'!AM482:AM485,3))</x:f>
        <x:v>435500</x:v>
      </x:c>
      <x:c r="I140" s="22" t="n">
        <x:f>COUNT('中古車掲載'!AN482:AN485)</x:f>
        <x:v>0</x:v>
      </x:c>
      <x:c r="J140" s="23" t="str">
        <x:f>IF(COUNT('中古車掲載'!AN482:AN485)=0,"",MEDIAN('中古車掲載'!AN482:AN485))</x:f>
      </x:c>
      <x:c r="K140" s="3"/>
      <x:c r="L140" s="3"/>
      <x:c r="M140" s="3"/>
      <x:c r="N140" s="3"/>
      <x:c r="O140" s="3"/>
      <x:c r="P140" s="3"/>
      <x:c r="Q140" s="3"/>
      <x:c r="R140" s="3"/>
      <x:c r="S140" s="3"/>
      <x:c r="T140" s="3"/>
      <x:c r="U140" s="3"/>
      <x:c r="V140" s="3"/>
      <x:c r="W140" s="3"/>
      <x:c r="X140" s="3"/>
      <x:c r="Y140" s="3"/>
      <x:c r="Z140" s="3"/>
      <x:c r="AA140" s="3"/>
      <x:c r="AB140" s="3"/>
      <x:c r="AC140" s="3"/>
      <x:c r="AD140" s="3"/>
      <x:c r="AE140" s="3"/>
      <x:c r="AF140" s="3"/>
      <x:c r="AG140" s="3"/>
      <x:c r="AH140" s="3"/>
      <x:c r="AI140" s="3"/>
      <x:c r="AJ140" s="3"/>
      <x:c r="AK140" s="3"/>
      <x:c r="AL140" s="3"/>
      <x:c r="AM140" s="3"/>
      <x:c r="AN140" s="3"/>
      <x:c r="AO140" s="3"/>
      <x:c r="AP140" s="3"/>
      <x:c r="AQ140" s="3"/>
      <x:c r="AR140" s="3"/>
      <x:c r="AS140" s="3"/>
      <x:c r="AT140" s="3"/>
      <x:c r="AU140" s="3"/>
      <x:c r="AV140" s="3"/>
      <x:c r="AW140" s="3"/>
      <x:c r="AX140" s="3"/>
      <x:c r="AY140" s="3"/>
      <x:c r="AZ140" s="3" t="str">
        <x:f>IF(AND('中古車掲載'!C141="One2car",'中古車掲載'!F141="ATTO 3",'中古車掲載'!L141="EXTENDED RANGE",'中古車掲載'!J141=2023,ISNUMBER('中古車掲載'!N141),'中古車掲載'!N141&gt;=20000,'中古車掲載'!O141&lt;=100000,'中古車掲載'!AL141=1),'中古車掲載'!U141,"")</x:f>
      </x:c>
      <x:c r="BA140" s="3" t="str">
        <x:f>IF(AND('中古車掲載'!C141="One2car",'中古車掲載'!F141="Corolla Cross",'中古車掲載'!L141="HEV PREMIUM SAFETY",'中古車掲載'!J141=2023,ISNUMBER('中古車掲載'!N141),'中古車掲載'!N141&gt;=20000,'中古車掲載'!O141&lt;=100000,'中古車掲載'!AL141=1,'中古車掲載'!Z141="https://www.one2car.com/en/cars-for-sale/toyota/corolla-cross/year-2023"),'中古車掲載'!U141,"")</x:f>
      </x:c>
      <x:c r="BB140" s="3" t="str">
        <x:f>IF(AND('中古車掲載'!C141="One2car",'中古車掲載'!F141="ATTO 3",'中古車掲載'!L141="EXTENDED RANGE",'中古車掲載'!J141=2023,ISNUMBER('中古車掲載'!N141),'中古車掲載'!N141&gt;=50000,'中古車掲載'!O141&lt;=100000,'中古車掲載'!AL141=1),'中古車掲載'!U141,"")</x:f>
      </x:c>
      <x:c r="BC140" s="3" t="str">
        <x:f>IF(AND('中古車掲載'!C141="One2car",'中古車掲載'!F141="Corolla Cross",'中古車掲載'!L141="HEV PREMIUM SAFETY",'中古車掲載'!J141=2023,ISNUMBER('中古車掲載'!N141),'中古車掲載'!N141&gt;=50000,'中古車掲載'!O141&lt;=100000,'中古車掲載'!AL141=1,'中古車掲載'!Z141="https://www.one2car.com/en/cars-for-sale/toyota/corolla-cross/year-2023"),'中古車掲載'!U141,"")</x:f>
      </x:c>
      <x:c r="BD140" s="3" t="str">
        <x:f>IF(AND('中古車掲載'!C141="One2car",'中古車掲載'!F141="ATTO 3",'中古車掲載'!L141="EXTENDED RANGE",'中古車掲載'!J141=2023,ISNUMBER('中古車掲載'!N141),'中古車掲載'!N141&gt;=20000,'中古車掲載'!O141&lt;=50000,'中古車掲載'!AL141=1),'中古車掲載'!U141,"")</x:f>
      </x:c>
      <x:c r="BE140" s="3" t="str">
        <x:f>IF(AND('中古車掲載'!C141="One2car",'中古車掲載'!F141="Corolla Cross",'中古車掲載'!L141="HEV PREMIUM SAFETY",'中古車掲載'!J141=2023,ISNUMBER('中古車掲載'!N141),'中古車掲載'!N141&gt;=20000,'中古車掲載'!O141&lt;=50000,'中古車掲載'!AL141=1,'中古車掲載'!Z141="https://www.one2car.com/en/cars-for-sale/toyota/corolla-cross/year-2023"),'中古車掲載'!U141,"")</x:f>
      </x:c>
      <x:c r="BF140" s="3" t="str">
        <x:f>IF(AND('中古車掲載'!C141="One2car",'中古車掲載'!F141="Corolla Cross",'中古車掲載'!L141="HEV PREMIUM",'中古車掲載'!J141=2023,ISNUMBER('中古車掲載'!N141),'中古車掲載'!N141&gt;=20000,'中古車掲載'!O141&lt;=100000,'中古車掲載'!AL141=1,'中古車掲載'!Z141="https://www.one2car.com/en/cars-for-sale/toyota/corolla-cross/year-2023"),'中古車掲載'!U141,"")</x:f>
      </x:c>
      <x:c r="BG140" s="3" t="str">
        <x:f>IF(AND('中古車掲載'!C141="One2car",'中古車掲載'!F141="Corolla Cross",'中古車掲載'!L141="HEV GR SPORT",'中古車掲載'!J141=2023,ISNUMBER('中古車掲載'!N141),'中古車掲載'!N141&gt;=20000,'中古車掲載'!O141&lt;=100000,'中古車掲載'!AL141=1,'中古車掲載'!Z141="https://www.one2car.com/en/cars-for-sale/toyota/corolla-cross/year-2023"),'中古車掲載'!U141,"")</x:f>
      </x:c>
      <x:c r="BH140" s="3" t="str">
        <x:f>IF(AND('中古車掲載'!C141="One2car",'中古車掲載'!F141="DOLPHIN",'中古車掲載'!L141="STANDARD RANGE",'中古車掲載'!J141=2023,ISNUMBER('中古車掲載'!N141),'中古車掲載'!N141&gt;=20000,'中古車掲載'!O141&lt;=100000,'中古車掲載'!AL141=1),'中古車掲載'!U141,"")</x:f>
      </x:c>
      <x:c r="BI140" s="3" t="str">
        <x:v>One2car|Hilux Revo|ICE|Bangkok metro</x:v>
      </x:c>
      <x:c r="BJ140" s="3" t="n">
        <x:v>149</x:v>
      </x:c>
      <x:c r="BK140" s="3" t="n">
        <x:f>'中古車掲載'!AM149</x:f>
        <x:v>519000</x:v>
      </x:c>
      <x:c r="BL140" s="3" t="str">
        <x:f>IF(ISNUMBER('中古車掲載'!AN149),'中古車掲載'!AN149,"")</x:f>
      </x:c>
      <x:c r="BM140" s="3" t="str">
        <x:v>2022|Double cab</x:v>
      </x:c>
      <x:c r="BN140" s="3" t="n">
        <x:v>815</x:v>
      </x:c>
      <x:c r="BO140" s="3" t="n">
        <x:f>'中古車掲載'!AM815</x:f>
        <x:v>465000</x:v>
      </x:c>
      <x:c r="BP140" s="3" t="str">
        <x:v>2.4 MID Z EDITION DOUBLE CAB</x:v>
      </x:c>
      <x:c r="BQ140" s="3"/>
      <x:c r="BR140" s="3"/>
    </x:row>
    <x:row r="141" ht="22" customHeight="1">
      <x:c r="A141" s="3" t="str">
        <x:v>Fortuner</x:v>
      </x:c>
      <x:c r="B141" s="3" t="str">
        <x:v>ICE</x:v>
      </x:c>
      <x:c r="C141" s="3" t="str">
        <x:v>Taladrod</x:v>
      </x:c>
      <x:c r="D141" s="3" t="n">
        <x:v>2020</x:v>
      </x:c>
      <x:c r="E141" s="22" t="n">
        <x:f>COUNT('中古車掲載'!AM486:AM520)</x:f>
        <x:v>35</x:v>
      </x:c>
      <x:c r="F141" s="22" t="n">
        <x:f>IF(COUNT('中古車掲載'!AM486:AM520)=0,"",QUARTILE('中古車掲載'!AM486:AM520,1))</x:f>
        <x:v>779000</x:v>
      </x:c>
      <x:c r="G141" s="22" t="n">
        <x:f>IF(COUNT('中古車掲載'!AM486:AM520)=0,"",MEDIAN('中古車掲載'!AM486:AM520))</x:f>
        <x:v>824000</x:v>
      </x:c>
      <x:c r="H141" s="22" t="n">
        <x:f>IF(COUNT('中古車掲載'!AM486:AM520)=0,"",QUARTILE('中古車掲載'!AM486:AM520,3))</x:f>
        <x:v>894000</x:v>
      </x:c>
      <x:c r="I141" s="22" t="n">
        <x:f>COUNT('中古車掲載'!AN486:AN520)</x:f>
        <x:v>0</x:v>
      </x:c>
      <x:c r="J141" s="23" t="str">
        <x:f>IF(COUNT('中古車掲載'!AN486:AN520)=0,"",MEDIAN('中古車掲載'!AN486:AN520))</x:f>
      </x:c>
      <x:c r="K141" s="3"/>
      <x:c r="L141" s="3"/>
      <x:c r="M141" s="3"/>
      <x:c r="N141" s="3"/>
      <x:c r="O141" s="3"/>
      <x:c r="P141" s="3"/>
      <x:c r="Q141" s="3"/>
      <x:c r="R141" s="3"/>
      <x:c r="S141" s="3"/>
      <x:c r="T141" s="3"/>
      <x:c r="U141" s="3"/>
      <x:c r="V141" s="3"/>
      <x:c r="W141" s="3"/>
      <x:c r="X141" s="3"/>
      <x:c r="Y141" s="3"/>
      <x:c r="Z141" s="3"/>
      <x:c r="AA141" s="3"/>
      <x:c r="AB141" s="3"/>
      <x:c r="AC141" s="3"/>
      <x:c r="AD141" s="3"/>
      <x:c r="AE141" s="3"/>
      <x:c r="AF141" s="3"/>
      <x:c r="AG141" s="3"/>
      <x:c r="AH141" s="3"/>
      <x:c r="AI141" s="3"/>
      <x:c r="AJ141" s="3"/>
      <x:c r="AK141" s="3"/>
      <x:c r="AL141" s="3"/>
      <x:c r="AM141" s="3"/>
      <x:c r="AN141" s="3"/>
      <x:c r="AO141" s="3"/>
      <x:c r="AP141" s="3"/>
      <x:c r="AQ141" s="3"/>
      <x:c r="AR141" s="3"/>
      <x:c r="AS141" s="3"/>
      <x:c r="AT141" s="3"/>
      <x:c r="AU141" s="3"/>
      <x:c r="AV141" s="3"/>
      <x:c r="AW141" s="3"/>
      <x:c r="AX141" s="3"/>
      <x:c r="AY141" s="3"/>
      <x:c r="AZ141" s="3" t="str">
        <x:f>IF(AND('中古車掲載'!C142="One2car",'中古車掲載'!F142="ATTO 3",'中古車掲載'!L142="EXTENDED RANGE",'中古車掲載'!J142=2023,ISNUMBER('中古車掲載'!N142),'中古車掲載'!N142&gt;=20000,'中古車掲載'!O142&lt;=100000,'中古車掲載'!AL142=1),'中古車掲載'!U142,"")</x:f>
      </x:c>
      <x:c r="BA141" s="3" t="str">
        <x:f>IF(AND('中古車掲載'!C142="One2car",'中古車掲載'!F142="Corolla Cross",'中古車掲載'!L142="HEV PREMIUM SAFETY",'中古車掲載'!J142=2023,ISNUMBER('中古車掲載'!N142),'中古車掲載'!N142&gt;=20000,'中古車掲載'!O142&lt;=100000,'中古車掲載'!AL142=1,'中古車掲載'!Z142="https://www.one2car.com/en/cars-for-sale/toyota/corolla-cross/year-2023"),'中古車掲載'!U142,"")</x:f>
      </x:c>
      <x:c r="BB141" s="3" t="str">
        <x:f>IF(AND('中古車掲載'!C142="One2car",'中古車掲載'!F142="ATTO 3",'中古車掲載'!L142="EXTENDED RANGE",'中古車掲載'!J142=2023,ISNUMBER('中古車掲載'!N142),'中古車掲載'!N142&gt;=50000,'中古車掲載'!O142&lt;=100000,'中古車掲載'!AL142=1),'中古車掲載'!U142,"")</x:f>
      </x:c>
      <x:c r="BC141" s="3" t="str">
        <x:f>IF(AND('中古車掲載'!C142="One2car",'中古車掲載'!F142="Corolla Cross",'中古車掲載'!L142="HEV PREMIUM SAFETY",'中古車掲載'!J142=2023,ISNUMBER('中古車掲載'!N142),'中古車掲載'!N142&gt;=50000,'中古車掲載'!O142&lt;=100000,'中古車掲載'!AL142=1,'中古車掲載'!Z142="https://www.one2car.com/en/cars-for-sale/toyota/corolla-cross/year-2023"),'中古車掲載'!U142,"")</x:f>
      </x:c>
      <x:c r="BD141" s="3" t="str">
        <x:f>IF(AND('中古車掲載'!C142="One2car",'中古車掲載'!F142="ATTO 3",'中古車掲載'!L142="EXTENDED RANGE",'中古車掲載'!J142=2023,ISNUMBER('中古車掲載'!N142),'中古車掲載'!N142&gt;=20000,'中古車掲載'!O142&lt;=50000,'中古車掲載'!AL142=1),'中古車掲載'!U142,"")</x:f>
      </x:c>
      <x:c r="BE141" s="3" t="str">
        <x:f>IF(AND('中古車掲載'!C142="One2car",'中古車掲載'!F142="Corolla Cross",'中古車掲載'!L142="HEV PREMIUM SAFETY",'中古車掲載'!J142=2023,ISNUMBER('中古車掲載'!N142),'中古車掲載'!N142&gt;=20000,'中古車掲載'!O142&lt;=50000,'中古車掲載'!AL142=1,'中古車掲載'!Z142="https://www.one2car.com/en/cars-for-sale/toyota/corolla-cross/year-2023"),'中古車掲載'!U142,"")</x:f>
      </x:c>
      <x:c r="BF141" s="3" t="str">
        <x:f>IF(AND('中古車掲載'!C142="One2car",'中古車掲載'!F142="Corolla Cross",'中古車掲載'!L142="HEV PREMIUM",'中古車掲載'!J142=2023,ISNUMBER('中古車掲載'!N142),'中古車掲載'!N142&gt;=20000,'中古車掲載'!O142&lt;=100000,'中古車掲載'!AL142=1,'中古車掲載'!Z142="https://www.one2car.com/en/cars-for-sale/toyota/corolla-cross/year-2023"),'中古車掲載'!U142,"")</x:f>
      </x:c>
      <x:c r="BG141" s="3" t="str">
        <x:f>IF(AND('中古車掲載'!C142="One2car",'中古車掲載'!F142="Corolla Cross",'中古車掲載'!L142="HEV GR SPORT",'中古車掲載'!J142=2023,ISNUMBER('中古車掲載'!N142),'中古車掲載'!N142&gt;=20000,'中古車掲載'!O142&lt;=100000,'中古車掲載'!AL142=1,'中古車掲載'!Z142="https://www.one2car.com/en/cars-for-sale/toyota/corolla-cross/year-2023"),'中古車掲載'!U142,"")</x:f>
      </x:c>
      <x:c r="BH141" s="3" t="str">
        <x:f>IF(AND('中古車掲載'!C142="One2car",'中古車掲載'!F142="DOLPHIN",'中古車掲載'!L142="STANDARD RANGE",'中古車掲載'!J142=2023,ISNUMBER('中古車掲載'!N142),'中古車掲載'!N142&gt;=20000,'中古車掲載'!O142&lt;=100000,'中古車掲載'!AL142=1),'中古車掲載'!U142,"")</x:f>
      </x:c>
      <x:c r="BI141" s="3" t="str">
        <x:v>One2car|Hilux Revo|ICE|Bangkok metro</x:v>
      </x:c>
      <x:c r="BJ141" s="3" t="n">
        <x:v>150</x:v>
      </x:c>
      <x:c r="BK141" s="3" t="n">
        <x:f>'中古車掲載'!AM150</x:f>
        <x:v>834000</x:v>
      </x:c>
      <x:c r="BL141" s="3" t="str">
        <x:f>IF(ISNUMBER('中古車掲載'!AN150),'中古車掲載'!AN150,"")</x:f>
      </x:c>
      <x:c r="BM141" s="3" t="str">
        <x:v>2022|Double cab</x:v>
      </x:c>
      <x:c r="BN141" s="3" t="n">
        <x:v>816</x:v>
      </x:c>
      <x:c r="BO141" s="3" t="n">
        <x:f>'中古車掲載'!AM816</x:f>
        <x:v>475000</x:v>
      </x:c>
      <x:c r="BP141" s="3" t="str">
        <x:v>2.4 MID Z EDITION DOUBLE CAB</x:v>
      </x:c>
      <x:c r="BQ141" s="3"/>
      <x:c r="BR141" s="3"/>
    </x:row>
    <x:row r="142" ht="22" customHeight="1">
      <x:c r="A142" s="3" t="str">
        <x:v>Fortuner</x:v>
      </x:c>
      <x:c r="B142" s="3" t="str">
        <x:v>ICE</x:v>
      </x:c>
      <x:c r="C142" s="3" t="str">
        <x:v>Taladrod</x:v>
      </x:c>
      <x:c r="D142" s="3" t="n">
        <x:v>2021</x:v>
      </x:c>
      <x:c r="E142" s="22" t="n">
        <x:f>COUNT('中古車掲載'!AM521:AM562)</x:f>
        <x:v>42</x:v>
      </x:c>
      <x:c r="F142" s="22" t="n">
        <x:f>IF(COUNT('中古車掲載'!AM521:AM562)=0,"",QUARTILE('中古車掲載'!AM521:AM562,1))</x:f>
        <x:v>849000</x:v>
      </x:c>
      <x:c r="G142" s="22" t="n">
        <x:f>IF(COUNT('中古車掲載'!AM521:AM562)=0,"",MEDIAN('中古車掲載'!AM521:AM562))</x:f>
        <x:v>929000</x:v>
      </x:c>
      <x:c r="H142" s="22" t="n">
        <x:f>IF(COUNT('中古車掲載'!AM521:AM562)=0,"",QUARTILE('中古車掲載'!AM521:AM562,3))</x:f>
        <x:v>977750</x:v>
      </x:c>
      <x:c r="I142" s="22" t="n">
        <x:f>COUNT('中古車掲載'!AN521:AN562)</x:f>
        <x:v>0</x:v>
      </x:c>
      <x:c r="J142" s="23" t="str">
        <x:f>IF(COUNT('中古車掲載'!AN521:AN562)=0,"",MEDIAN('中古車掲載'!AN521:AN562))</x:f>
      </x:c>
      <x:c r="K142" s="3"/>
      <x:c r="L142" s="3"/>
      <x:c r="M142" s="3"/>
      <x:c r="N142" s="3"/>
      <x:c r="O142" s="3"/>
      <x:c r="P142" s="3"/>
      <x:c r="Q142" s="3"/>
      <x:c r="R142" s="3"/>
      <x:c r="S142" s="3"/>
      <x:c r="T142" s="3"/>
      <x:c r="U142" s="3"/>
      <x:c r="V142" s="3"/>
      <x:c r="W142" s="3"/>
      <x:c r="X142" s="3"/>
      <x:c r="Y142" s="3"/>
      <x:c r="Z142" s="3"/>
      <x:c r="AA142" s="3"/>
      <x:c r="AB142" s="3"/>
      <x:c r="AC142" s="3"/>
      <x:c r="AD142" s="3"/>
      <x:c r="AE142" s="3"/>
      <x:c r="AF142" s="3"/>
      <x:c r="AG142" s="3"/>
      <x:c r="AH142" s="3"/>
      <x:c r="AI142" s="3"/>
      <x:c r="AJ142" s="3"/>
      <x:c r="AK142" s="3"/>
      <x:c r="AL142" s="3"/>
      <x:c r="AM142" s="3"/>
      <x:c r="AN142" s="3"/>
      <x:c r="AO142" s="3"/>
      <x:c r="AP142" s="3"/>
      <x:c r="AQ142" s="3"/>
      <x:c r="AR142" s="3"/>
      <x:c r="AS142" s="3"/>
      <x:c r="AT142" s="3"/>
      <x:c r="AU142" s="3"/>
      <x:c r="AV142" s="3"/>
      <x:c r="AW142" s="3"/>
      <x:c r="AX142" s="3"/>
      <x:c r="AY142" s="3"/>
      <x:c r="AZ142" s="3" t="str">
        <x:f>IF(AND('中古車掲載'!C143="One2car",'中古車掲載'!F143="ATTO 3",'中古車掲載'!L143="EXTENDED RANGE",'中古車掲載'!J143=2023,ISNUMBER('中古車掲載'!N143),'中古車掲載'!N143&gt;=20000,'中古車掲載'!O143&lt;=100000,'中古車掲載'!AL143=1),'中古車掲載'!U143,"")</x:f>
      </x:c>
      <x:c r="BA142" s="3" t="str">
        <x:f>IF(AND('中古車掲載'!C143="One2car",'中古車掲載'!F143="Corolla Cross",'中古車掲載'!L143="HEV PREMIUM SAFETY",'中古車掲載'!J143=2023,ISNUMBER('中古車掲載'!N143),'中古車掲載'!N143&gt;=20000,'中古車掲載'!O143&lt;=100000,'中古車掲載'!AL143=1,'中古車掲載'!Z143="https://www.one2car.com/en/cars-for-sale/toyota/corolla-cross/year-2023"),'中古車掲載'!U143,"")</x:f>
      </x:c>
      <x:c r="BB142" s="3" t="str">
        <x:f>IF(AND('中古車掲載'!C143="One2car",'中古車掲載'!F143="ATTO 3",'中古車掲載'!L143="EXTENDED RANGE",'中古車掲載'!J143=2023,ISNUMBER('中古車掲載'!N143),'中古車掲載'!N143&gt;=50000,'中古車掲載'!O143&lt;=100000,'中古車掲載'!AL143=1),'中古車掲載'!U143,"")</x:f>
      </x:c>
      <x:c r="BC142" s="3" t="str">
        <x:f>IF(AND('中古車掲載'!C143="One2car",'中古車掲載'!F143="Corolla Cross",'中古車掲載'!L143="HEV PREMIUM SAFETY",'中古車掲載'!J143=2023,ISNUMBER('中古車掲載'!N143),'中古車掲載'!N143&gt;=50000,'中古車掲載'!O143&lt;=100000,'中古車掲載'!AL143=1,'中古車掲載'!Z143="https://www.one2car.com/en/cars-for-sale/toyota/corolla-cross/year-2023"),'中古車掲載'!U143,"")</x:f>
      </x:c>
      <x:c r="BD142" s="3" t="str">
        <x:f>IF(AND('中古車掲載'!C143="One2car",'中古車掲載'!F143="ATTO 3",'中古車掲載'!L143="EXTENDED RANGE",'中古車掲載'!J143=2023,ISNUMBER('中古車掲載'!N143),'中古車掲載'!N143&gt;=20000,'中古車掲載'!O143&lt;=50000,'中古車掲載'!AL143=1),'中古車掲載'!U143,"")</x:f>
      </x:c>
      <x:c r="BE142" s="3" t="str">
        <x:f>IF(AND('中古車掲載'!C143="One2car",'中古車掲載'!F143="Corolla Cross",'中古車掲載'!L143="HEV PREMIUM SAFETY",'中古車掲載'!J143=2023,ISNUMBER('中古車掲載'!N143),'中古車掲載'!N143&gt;=20000,'中古車掲載'!O143&lt;=50000,'中古車掲載'!AL143=1,'中古車掲載'!Z143="https://www.one2car.com/en/cars-for-sale/toyota/corolla-cross/year-2023"),'中古車掲載'!U143,"")</x:f>
      </x:c>
      <x:c r="BF142" s="3" t="str">
        <x:f>IF(AND('中古車掲載'!C143="One2car",'中古車掲載'!F143="Corolla Cross",'中古車掲載'!L143="HEV PREMIUM",'中古車掲載'!J143=2023,ISNUMBER('中古車掲載'!N143),'中古車掲載'!N143&gt;=20000,'中古車掲載'!O143&lt;=100000,'中古車掲載'!AL143=1,'中古車掲載'!Z143="https://www.one2car.com/en/cars-for-sale/toyota/corolla-cross/year-2023"),'中古車掲載'!U143,"")</x:f>
      </x:c>
      <x:c r="BG142" s="3" t="str">
        <x:f>IF(AND('中古車掲載'!C143="One2car",'中古車掲載'!F143="Corolla Cross",'中古車掲載'!L143="HEV GR SPORT",'中古車掲載'!J143=2023,ISNUMBER('中古車掲載'!N143),'中古車掲載'!N143&gt;=20000,'中古車掲載'!O143&lt;=100000,'中古車掲載'!AL143=1,'中古車掲載'!Z143="https://www.one2car.com/en/cars-for-sale/toyota/corolla-cross/year-2023"),'中古車掲載'!U143,"")</x:f>
      </x:c>
      <x:c r="BH142" s="3" t="str">
        <x:f>IF(AND('中古車掲載'!C143="One2car",'中古車掲載'!F143="DOLPHIN",'中古車掲載'!L143="STANDARD RANGE",'中古車掲載'!J143=2023,ISNUMBER('中古車掲載'!N143),'中古車掲載'!N143&gt;=20000,'中古車掲載'!O143&lt;=100000,'中古車掲載'!AL143=1),'中古車掲載'!U143,"")</x:f>
      </x:c>
      <x:c r="BI142" s="3" t="str">
        <x:v>One2car|Hilux Revo|ICE|Bangkok metro</x:v>
      </x:c>
      <x:c r="BJ142" s="3" t="n">
        <x:v>151</x:v>
      </x:c>
      <x:c r="BK142" s="3" t="n">
        <x:f>'中古車掲載'!AM151</x:f>
        <x:v>779000</x:v>
      </x:c>
      <x:c r="BL142" s="3" t="str">
        <x:f>IF(ISNUMBER('中古車掲載'!AN151),'中古車掲載'!AN151,"")</x:f>
      </x:c>
      <x:c r="BM142" s="3" t="str">
        <x:v>2022|Double cab</x:v>
      </x:c>
      <x:c r="BN142" s="3" t="n">
        <x:v>817</x:v>
      </x:c>
      <x:c r="BO142" s="3" t="n">
        <x:f>'中古車掲載'!AM817</x:f>
        <x:v>448000</x:v>
      </x:c>
      <x:c r="BP142" s="3" t="str">
        <x:v>2.4 MID Z EDITION DOUBLE CAB</x:v>
      </x:c>
      <x:c r="BQ142" s="3"/>
      <x:c r="BR142" s="3"/>
    </x:row>
    <x:row r="143" ht="22" customHeight="1">
      <x:c r="A143" s="3" t="str">
        <x:v>Fortuner</x:v>
      </x:c>
      <x:c r="B143" s="3" t="str">
        <x:v>ICE</x:v>
      </x:c>
      <x:c r="C143" s="3" t="str">
        <x:v>Taladrod</x:v>
      </x:c>
      <x:c r="D143" s="3" t="n">
        <x:v>2022</x:v>
      </x:c>
      <x:c r="E143" s="22" t="n">
        <x:f>COUNT('中古車掲載'!AM563:AM605)</x:f>
        <x:v>43</x:v>
      </x:c>
      <x:c r="F143" s="22" t="n">
        <x:f>IF(COUNT('中古車掲載'!AM563:AM605)=0,"",QUARTILE('中古車掲載'!AM563:AM605,1))</x:f>
        <x:v>896500</x:v>
      </x:c>
      <x:c r="G143" s="22" t="n">
        <x:f>IF(COUNT('中古車掲載'!AM563:AM605)=0,"",MEDIAN('中古車掲載'!AM563:AM605))</x:f>
        <x:v>929000</x:v>
      </x:c>
      <x:c r="H143" s="22" t="n">
        <x:f>IF(COUNT('中古車掲載'!AM563:AM605)=0,"",QUARTILE('中古車掲載'!AM563:AM605,3))</x:f>
        <x:v>974000</x:v>
      </x:c>
      <x:c r="I143" s="22" t="n">
        <x:f>COUNT('中古車掲載'!AN563:AN605)</x:f>
        <x:v>0</x:v>
      </x:c>
      <x:c r="J143" s="23" t="str">
        <x:f>IF(COUNT('中古車掲載'!AN563:AN605)=0,"",MEDIAN('中古車掲載'!AN563:AN605))</x:f>
      </x:c>
      <x:c r="K143" s="3"/>
      <x:c r="L143" s="3"/>
      <x:c r="M143" s="3"/>
      <x:c r="N143" s="3"/>
      <x:c r="O143" s="3"/>
      <x:c r="P143" s="3"/>
      <x:c r="Q143" s="3"/>
      <x:c r="R143" s="3"/>
      <x:c r="S143" s="3"/>
      <x:c r="T143" s="3"/>
      <x:c r="U143" s="3"/>
      <x:c r="V143" s="3"/>
      <x:c r="W143" s="3"/>
      <x:c r="X143" s="3"/>
      <x:c r="Y143" s="3"/>
      <x:c r="Z143" s="3"/>
      <x:c r="AA143" s="3"/>
      <x:c r="AB143" s="3"/>
      <x:c r="AC143" s="3"/>
      <x:c r="AD143" s="3"/>
      <x:c r="AE143" s="3"/>
      <x:c r="AF143" s="3"/>
      <x:c r="AG143" s="3"/>
      <x:c r="AH143" s="3"/>
      <x:c r="AI143" s="3"/>
      <x:c r="AJ143" s="3"/>
      <x:c r="AK143" s="3"/>
      <x:c r="AL143" s="3"/>
      <x:c r="AM143" s="3"/>
      <x:c r="AN143" s="3"/>
      <x:c r="AO143" s="3"/>
      <x:c r="AP143" s="3"/>
      <x:c r="AQ143" s="3"/>
      <x:c r="AR143" s="3"/>
      <x:c r="AS143" s="3"/>
      <x:c r="AT143" s="3"/>
      <x:c r="AU143" s="3"/>
      <x:c r="AV143" s="3"/>
      <x:c r="AW143" s="3"/>
      <x:c r="AX143" s="3"/>
      <x:c r="AY143" s="3"/>
      <x:c r="AZ143" s="3" t="str">
        <x:f>IF(AND('中古車掲載'!C144="One2car",'中古車掲載'!F144="ATTO 3",'中古車掲載'!L144="EXTENDED RANGE",'中古車掲載'!J144=2023,ISNUMBER('中古車掲載'!N144),'中古車掲載'!N144&gt;=20000,'中古車掲載'!O144&lt;=100000,'中古車掲載'!AL144=1),'中古車掲載'!U144,"")</x:f>
      </x:c>
      <x:c r="BA143" s="3" t="str">
        <x:f>IF(AND('中古車掲載'!C144="One2car",'中古車掲載'!F144="Corolla Cross",'中古車掲載'!L144="HEV PREMIUM SAFETY",'中古車掲載'!J144=2023,ISNUMBER('中古車掲載'!N144),'中古車掲載'!N144&gt;=20000,'中古車掲載'!O144&lt;=100000,'中古車掲載'!AL144=1,'中古車掲載'!Z144="https://www.one2car.com/en/cars-for-sale/toyota/corolla-cross/year-2023"),'中古車掲載'!U144,"")</x:f>
      </x:c>
      <x:c r="BB143" s="3" t="str">
        <x:f>IF(AND('中古車掲載'!C144="One2car",'中古車掲載'!F144="ATTO 3",'中古車掲載'!L144="EXTENDED RANGE",'中古車掲載'!J144=2023,ISNUMBER('中古車掲載'!N144),'中古車掲載'!N144&gt;=50000,'中古車掲載'!O144&lt;=100000,'中古車掲載'!AL144=1),'中古車掲載'!U144,"")</x:f>
      </x:c>
      <x:c r="BC143" s="3" t="str">
        <x:f>IF(AND('中古車掲載'!C144="One2car",'中古車掲載'!F144="Corolla Cross",'中古車掲載'!L144="HEV PREMIUM SAFETY",'中古車掲載'!J144=2023,ISNUMBER('中古車掲載'!N144),'中古車掲載'!N144&gt;=50000,'中古車掲載'!O144&lt;=100000,'中古車掲載'!AL144=1,'中古車掲載'!Z144="https://www.one2car.com/en/cars-for-sale/toyota/corolla-cross/year-2023"),'中古車掲載'!U144,"")</x:f>
      </x:c>
      <x:c r="BD143" s="3" t="str">
        <x:f>IF(AND('中古車掲載'!C144="One2car",'中古車掲載'!F144="ATTO 3",'中古車掲載'!L144="EXTENDED RANGE",'中古車掲載'!J144=2023,ISNUMBER('中古車掲載'!N144),'中古車掲載'!N144&gt;=20000,'中古車掲載'!O144&lt;=50000,'中古車掲載'!AL144=1),'中古車掲載'!U144,"")</x:f>
      </x:c>
      <x:c r="BE143" s="3" t="str">
        <x:f>IF(AND('中古車掲載'!C144="One2car",'中古車掲載'!F144="Corolla Cross",'中古車掲載'!L144="HEV PREMIUM SAFETY",'中古車掲載'!J144=2023,ISNUMBER('中古車掲載'!N144),'中古車掲載'!N144&gt;=20000,'中古車掲載'!O144&lt;=50000,'中古車掲載'!AL144=1,'中古車掲載'!Z144="https://www.one2car.com/en/cars-for-sale/toyota/corolla-cross/year-2023"),'中古車掲載'!U144,"")</x:f>
      </x:c>
      <x:c r="BF143" s="3" t="str">
        <x:f>IF(AND('中古車掲載'!C144="One2car",'中古車掲載'!F144="Corolla Cross",'中古車掲載'!L144="HEV PREMIUM",'中古車掲載'!J144=2023,ISNUMBER('中古車掲載'!N144),'中古車掲載'!N144&gt;=20000,'中古車掲載'!O144&lt;=100000,'中古車掲載'!AL144=1,'中古車掲載'!Z144="https://www.one2car.com/en/cars-for-sale/toyota/corolla-cross/year-2023"),'中古車掲載'!U144,"")</x:f>
      </x:c>
      <x:c r="BG143" s="3" t="str">
        <x:f>IF(AND('中古車掲載'!C144="One2car",'中古車掲載'!F144="Corolla Cross",'中古車掲載'!L144="HEV GR SPORT",'中古車掲載'!J144=2023,ISNUMBER('中古車掲載'!N144),'中古車掲載'!N144&gt;=20000,'中古車掲載'!O144&lt;=100000,'中古車掲載'!AL144=1,'中古車掲載'!Z144="https://www.one2car.com/en/cars-for-sale/toyota/corolla-cross/year-2023"),'中古車掲載'!U144,"")</x:f>
      </x:c>
      <x:c r="BH143" s="3" t="str">
        <x:f>IF(AND('中古車掲載'!C144="One2car",'中古車掲載'!F144="DOLPHIN",'中古車掲載'!L144="STANDARD RANGE",'中古車掲載'!J144=2023,ISNUMBER('中古車掲載'!N144),'中古車掲載'!N144&gt;=20000,'中古車掲載'!O144&lt;=100000,'中古車掲載'!AL144=1),'中古車掲載'!U144,"")</x:f>
      </x:c>
      <x:c r="BI143" s="3" t="str">
        <x:v>One2car|Hilux Revo|ICE|Other province</x:v>
      </x:c>
      <x:c r="BJ143" s="3" t="n">
        <x:v>118</x:v>
      </x:c>
      <x:c r="BK143" s="3" t="n">
        <x:f>'中古車掲載'!AM118</x:f>
        <x:v>619000</x:v>
      </x:c>
      <x:c r="BL143" s="3" t="str">
        <x:f>IF(ISNUMBER('中古車掲載'!AN118),'中古車掲載'!AN118,"")</x:f>
      </x:c>
      <x:c r="BM143" s="3" t="str">
        <x:v>2022|Double cab</x:v>
      </x:c>
      <x:c r="BN143" s="3" t="n">
        <x:v>822</x:v>
      </x:c>
      <x:c r="BO143" s="3" t="n">
        <x:f>'中古車掲載'!AM822</x:f>
        <x:v>771000</x:v>
      </x:c>
      <x:c r="BP143" s="3" t="str">
        <x:v>2.4 PRERUNNER DOUBLE CAB</x:v>
      </x:c>
      <x:c r="BQ143" s="3"/>
      <x:c r="BR143" s="3"/>
    </x:row>
    <x:row r="144" ht="22" customHeight="1">
      <x:c r="A144" s="3" t="str">
        <x:v>Fortuner</x:v>
      </x:c>
      <x:c r="B144" s="3" t="str">
        <x:v>ICE</x:v>
      </x:c>
      <x:c r="C144" s="3" t="str">
        <x:v>Taladrod</x:v>
      </x:c>
      <x:c r="D144" s="3" t="n">
        <x:v>2023</x:v>
      </x:c>
      <x:c r="E144" s="22" t="n">
        <x:f>COUNT('中古車掲載'!AM606:AM619)</x:f>
        <x:v>14</x:v>
      </x:c>
      <x:c r="F144" s="22" t="n">
        <x:f>IF(COUNT('中古車掲載'!AM606:AM619)=0,"",QUARTILE('中古車掲載'!AM606:AM619,1))</x:f>
        <x:v>890750</x:v>
      </x:c>
      <x:c r="G144" s="22" t="n">
        <x:f>IF(COUNT('中古車掲載'!AM606:AM619)=0,"",MEDIAN('中古車掲載'!AM606:AM619))</x:f>
        <x:v>939000</x:v>
      </x:c>
      <x:c r="H144" s="22" t="n">
        <x:f>IF(COUNT('中古車掲載'!AM606:AM619)=0,"",QUARTILE('中古車掲載'!AM606:AM619,3))</x:f>
        <x:v>976500</x:v>
      </x:c>
      <x:c r="I144" s="22" t="n">
        <x:f>COUNT('中古車掲載'!AN606:AN619)</x:f>
        <x:v>0</x:v>
      </x:c>
      <x:c r="J144" s="23" t="str">
        <x:f>IF(COUNT('中古車掲載'!AN606:AN619)=0,"",MEDIAN('中古車掲載'!AN606:AN619))</x:f>
      </x:c>
      <x:c r="K144" s="3"/>
      <x:c r="L144" s="3"/>
      <x:c r="M144" s="3"/>
      <x:c r="N144" s="3"/>
      <x:c r="O144" s="3"/>
      <x:c r="P144" s="3"/>
      <x:c r="Q144" s="3"/>
      <x:c r="R144" s="3"/>
      <x:c r="S144" s="3"/>
      <x:c r="T144" s="3"/>
      <x:c r="U144" s="3"/>
      <x:c r="V144" s="3"/>
      <x:c r="W144" s="3"/>
      <x:c r="X144" s="3"/>
      <x:c r="Y144" s="3"/>
      <x:c r="Z144" s="3"/>
      <x:c r="AA144" s="3"/>
      <x:c r="AB144" s="3"/>
      <x:c r="AC144" s="3"/>
      <x:c r="AD144" s="3"/>
      <x:c r="AE144" s="3"/>
      <x:c r="AF144" s="3"/>
      <x:c r="AG144" s="3"/>
      <x:c r="AH144" s="3"/>
      <x:c r="AI144" s="3"/>
      <x:c r="AJ144" s="3"/>
      <x:c r="AK144" s="3"/>
      <x:c r="AL144" s="3"/>
      <x:c r="AM144" s="3"/>
      <x:c r="AN144" s="3"/>
      <x:c r="AO144" s="3"/>
      <x:c r="AP144" s="3"/>
      <x:c r="AQ144" s="3"/>
      <x:c r="AR144" s="3"/>
      <x:c r="AS144" s="3"/>
      <x:c r="AT144" s="3"/>
      <x:c r="AU144" s="3"/>
      <x:c r="AV144" s="3"/>
      <x:c r="AW144" s="3"/>
      <x:c r="AX144" s="3"/>
      <x:c r="AY144" s="3"/>
      <x:c r="AZ144" s="3" t="str">
        <x:f>IF(AND('中古車掲載'!C145="One2car",'中古車掲載'!F145="ATTO 3",'中古車掲載'!L145="EXTENDED RANGE",'中古車掲載'!J145=2023,ISNUMBER('中古車掲載'!N145),'中古車掲載'!N145&gt;=20000,'中古車掲載'!O145&lt;=100000,'中古車掲載'!AL145=1),'中古車掲載'!U145,"")</x:f>
      </x:c>
      <x:c r="BA144" s="3" t="str">
        <x:f>IF(AND('中古車掲載'!C145="One2car",'中古車掲載'!F145="Corolla Cross",'中古車掲載'!L145="HEV PREMIUM SAFETY",'中古車掲載'!J145=2023,ISNUMBER('中古車掲載'!N145),'中古車掲載'!N145&gt;=20000,'中古車掲載'!O145&lt;=100000,'中古車掲載'!AL145=1,'中古車掲載'!Z145="https://www.one2car.com/en/cars-for-sale/toyota/corolla-cross/year-2023"),'中古車掲載'!U145,"")</x:f>
      </x:c>
      <x:c r="BB144" s="3" t="str">
        <x:f>IF(AND('中古車掲載'!C145="One2car",'中古車掲載'!F145="ATTO 3",'中古車掲載'!L145="EXTENDED RANGE",'中古車掲載'!J145=2023,ISNUMBER('中古車掲載'!N145),'中古車掲載'!N145&gt;=50000,'中古車掲載'!O145&lt;=100000,'中古車掲載'!AL145=1),'中古車掲載'!U145,"")</x:f>
      </x:c>
      <x:c r="BC144" s="3" t="str">
        <x:f>IF(AND('中古車掲載'!C145="One2car",'中古車掲載'!F145="Corolla Cross",'中古車掲載'!L145="HEV PREMIUM SAFETY",'中古車掲載'!J145=2023,ISNUMBER('中古車掲載'!N145),'中古車掲載'!N145&gt;=50000,'中古車掲載'!O145&lt;=100000,'中古車掲載'!AL145=1,'中古車掲載'!Z145="https://www.one2car.com/en/cars-for-sale/toyota/corolla-cross/year-2023"),'中古車掲載'!U145,"")</x:f>
      </x:c>
      <x:c r="BD144" s="3" t="str">
        <x:f>IF(AND('中古車掲載'!C145="One2car",'中古車掲載'!F145="ATTO 3",'中古車掲載'!L145="EXTENDED RANGE",'中古車掲載'!J145=2023,ISNUMBER('中古車掲載'!N145),'中古車掲載'!N145&gt;=20000,'中古車掲載'!O145&lt;=50000,'中古車掲載'!AL145=1),'中古車掲載'!U145,"")</x:f>
      </x:c>
      <x:c r="BE144" s="3" t="str">
        <x:f>IF(AND('中古車掲載'!C145="One2car",'中古車掲載'!F145="Corolla Cross",'中古車掲載'!L145="HEV PREMIUM SAFETY",'中古車掲載'!J145=2023,ISNUMBER('中古車掲載'!N145),'中古車掲載'!N145&gt;=20000,'中古車掲載'!O145&lt;=50000,'中古車掲載'!AL145=1,'中古車掲載'!Z145="https://www.one2car.com/en/cars-for-sale/toyota/corolla-cross/year-2023"),'中古車掲載'!U145,"")</x:f>
      </x:c>
      <x:c r="BF144" s="3" t="str">
        <x:f>IF(AND('中古車掲載'!C145="One2car",'中古車掲載'!F145="Corolla Cross",'中古車掲載'!L145="HEV PREMIUM",'中古車掲載'!J145=2023,ISNUMBER('中古車掲載'!N145),'中古車掲載'!N145&gt;=20000,'中古車掲載'!O145&lt;=100000,'中古車掲載'!AL145=1,'中古車掲載'!Z145="https://www.one2car.com/en/cars-for-sale/toyota/corolla-cross/year-2023"),'中古車掲載'!U145,"")</x:f>
      </x:c>
      <x:c r="BG144" s="3" t="str">
        <x:f>IF(AND('中古車掲載'!C145="One2car",'中古車掲載'!F145="Corolla Cross",'中古車掲載'!L145="HEV GR SPORT",'中古車掲載'!J145=2023,ISNUMBER('中古車掲載'!N145),'中古車掲載'!N145&gt;=20000,'中古車掲載'!O145&lt;=100000,'中古車掲載'!AL145=1,'中古車掲載'!Z145="https://www.one2car.com/en/cars-for-sale/toyota/corolla-cross/year-2023"),'中古車掲載'!U145,"")</x:f>
      </x:c>
      <x:c r="BH144" s="3" t="str">
        <x:f>IF(AND('中古車掲載'!C145="One2car",'中古車掲載'!F145="DOLPHIN",'中古車掲載'!L145="STANDARD RANGE",'中古車掲載'!J145=2023,ISNUMBER('中古車掲載'!N145),'中古車掲載'!N145&gt;=20000,'中古車掲載'!O145&lt;=100000,'中古車掲載'!AL145=1),'中古車掲載'!U145,"")</x:f>
      </x:c>
      <x:c r="BI144" s="3" t="str">
        <x:v>One2car|Hilux Revo|ICE|Other province</x:v>
      </x:c>
      <x:c r="BJ144" s="3" t="n">
        <x:v>125</x:v>
      </x:c>
      <x:c r="BK144" s="3" t="n">
        <x:f>'中古車掲載'!AM125</x:f>
        <x:v>399000</x:v>
      </x:c>
      <x:c r="BL144" s="3" t="str">
        <x:f>IF(ISNUMBER('中古車掲載'!AN125),'中古車掲載'!AN125,"")</x:f>
      </x:c>
      <x:c r="BM144" s="3" t="str">
        <x:v>2022|Double cab</x:v>
      </x:c>
      <x:c r="BN144" s="3" t="n">
        <x:v>823</x:v>
      </x:c>
      <x:c r="BO144" s="3" t="n">
        <x:f>'中古車掲載'!AM823</x:f>
        <x:v>749000</x:v>
      </x:c>
      <x:c r="BP144" s="3" t="str">
        <x:v>2.4 PRERUNNER DOUBLE CAB</x:v>
      </x:c>
      <x:c r="BQ144" s="3"/>
      <x:c r="BR144" s="3"/>
    </x:row>
    <x:row r="145" ht="22" customHeight="1">
      <x:c r="A145" s="3" t="str">
        <x:v>Fortuner</x:v>
      </x:c>
      <x:c r="B145" s="3" t="str">
        <x:v>ICE</x:v>
      </x:c>
      <x:c r="C145" s="3" t="str">
        <x:v>Taladrod</x:v>
      </x:c>
      <x:c r="D145" s="3" t="n">
        <x:v>2024</x:v>
      </x:c>
      <x:c r="E145" s="22" t="n">
        <x:f>COUNT('中古車掲載'!AM620:AM622)</x:f>
        <x:v>3</x:v>
      </x:c>
      <x:c r="F145" s="22" t="n">
        <x:f>IF(COUNT('中古車掲載'!AM620:AM622)=0,"",QUARTILE('中古車掲載'!AM620:AM622,1))</x:f>
        <x:v>989000</x:v>
      </x:c>
      <x:c r="G145" s="22" t="n">
        <x:f>IF(COUNT('中古車掲載'!AM620:AM622)=0,"",MEDIAN('中古車掲載'!AM620:AM622))</x:f>
        <x:v>999000</x:v>
      </x:c>
      <x:c r="H145" s="22" t="n">
        <x:f>IF(COUNT('中古車掲載'!AM620:AM622)=0,"",QUARTILE('中古車掲載'!AM620:AM622,3))</x:f>
        <x:v>999000</x:v>
      </x:c>
      <x:c r="I145" s="22" t="n">
        <x:f>COUNT('中古車掲載'!AN620:AN622)</x:f>
        <x:v>0</x:v>
      </x:c>
      <x:c r="J145" s="23" t="str">
        <x:f>IF(COUNT('中古車掲載'!AN620:AN622)=0,"",MEDIAN('中古車掲載'!AN620:AN622))</x:f>
      </x:c>
      <x:c r="K145" s="3"/>
      <x:c r="L145" s="3"/>
      <x:c r="M145" s="3"/>
      <x:c r="N145" s="3"/>
      <x:c r="O145" s="3"/>
      <x:c r="P145" s="3"/>
      <x:c r="Q145" s="3"/>
      <x:c r="R145" s="3"/>
      <x:c r="S145" s="3"/>
      <x:c r="T145" s="3"/>
      <x:c r="U145" s="3"/>
      <x:c r="V145" s="3"/>
      <x:c r="W145" s="3"/>
      <x:c r="X145" s="3"/>
      <x:c r="Y145" s="3"/>
      <x:c r="Z145" s="3"/>
      <x:c r="AA145" s="3"/>
      <x:c r="AB145" s="3"/>
      <x:c r="AC145" s="3"/>
      <x:c r="AD145" s="3"/>
      <x:c r="AE145" s="3"/>
      <x:c r="AF145" s="3"/>
      <x:c r="AG145" s="3"/>
      <x:c r="AH145" s="3"/>
      <x:c r="AI145" s="3"/>
      <x:c r="AJ145" s="3"/>
      <x:c r="AK145" s="3"/>
      <x:c r="AL145" s="3"/>
      <x:c r="AM145" s="3"/>
      <x:c r="AN145" s="3"/>
      <x:c r="AO145" s="3"/>
      <x:c r="AP145" s="3"/>
      <x:c r="AQ145" s="3"/>
      <x:c r="AR145" s="3"/>
      <x:c r="AS145" s="3"/>
      <x:c r="AT145" s="3"/>
      <x:c r="AU145" s="3"/>
      <x:c r="AV145" s="3"/>
      <x:c r="AW145" s="3"/>
      <x:c r="AX145" s="3"/>
      <x:c r="AY145" s="3"/>
      <x:c r="AZ145" s="3" t="str">
        <x:f>IF(AND('中古車掲載'!C146="One2car",'中古車掲載'!F146="ATTO 3",'中古車掲載'!L146="EXTENDED RANGE",'中古車掲載'!J146=2023,ISNUMBER('中古車掲載'!N146),'中古車掲載'!N146&gt;=20000,'中古車掲載'!O146&lt;=100000,'中古車掲載'!AL146=1),'中古車掲載'!U146,"")</x:f>
      </x:c>
      <x:c r="BA145" s="3" t="str">
        <x:f>IF(AND('中古車掲載'!C146="One2car",'中古車掲載'!F146="Corolla Cross",'中古車掲載'!L146="HEV PREMIUM SAFETY",'中古車掲載'!J146=2023,ISNUMBER('中古車掲載'!N146),'中古車掲載'!N146&gt;=20000,'中古車掲載'!O146&lt;=100000,'中古車掲載'!AL146=1,'中古車掲載'!Z146="https://www.one2car.com/en/cars-for-sale/toyota/corolla-cross/year-2023"),'中古車掲載'!U146,"")</x:f>
      </x:c>
      <x:c r="BB145" s="3" t="str">
        <x:f>IF(AND('中古車掲載'!C146="One2car",'中古車掲載'!F146="ATTO 3",'中古車掲載'!L146="EXTENDED RANGE",'中古車掲載'!J146=2023,ISNUMBER('中古車掲載'!N146),'中古車掲載'!N146&gt;=50000,'中古車掲載'!O146&lt;=100000,'中古車掲載'!AL146=1),'中古車掲載'!U146,"")</x:f>
      </x:c>
      <x:c r="BC145" s="3" t="str">
        <x:f>IF(AND('中古車掲載'!C146="One2car",'中古車掲載'!F146="Corolla Cross",'中古車掲載'!L146="HEV PREMIUM SAFETY",'中古車掲載'!J146=2023,ISNUMBER('中古車掲載'!N146),'中古車掲載'!N146&gt;=50000,'中古車掲載'!O146&lt;=100000,'中古車掲載'!AL146=1,'中古車掲載'!Z146="https://www.one2car.com/en/cars-for-sale/toyota/corolla-cross/year-2023"),'中古車掲載'!U146,"")</x:f>
      </x:c>
      <x:c r="BD145" s="3" t="str">
        <x:f>IF(AND('中古車掲載'!C146="One2car",'中古車掲載'!F146="ATTO 3",'中古車掲載'!L146="EXTENDED RANGE",'中古車掲載'!J146=2023,ISNUMBER('中古車掲載'!N146),'中古車掲載'!N146&gt;=20000,'中古車掲載'!O146&lt;=50000,'中古車掲載'!AL146=1),'中古車掲載'!U146,"")</x:f>
      </x:c>
      <x:c r="BE145" s="3" t="str">
        <x:f>IF(AND('中古車掲載'!C146="One2car",'中古車掲載'!F146="Corolla Cross",'中古車掲載'!L146="HEV PREMIUM SAFETY",'中古車掲載'!J146=2023,ISNUMBER('中古車掲載'!N146),'中古車掲載'!N146&gt;=20000,'中古車掲載'!O146&lt;=50000,'中古車掲載'!AL146=1,'中古車掲載'!Z146="https://www.one2car.com/en/cars-for-sale/toyota/corolla-cross/year-2023"),'中古車掲載'!U146,"")</x:f>
      </x:c>
      <x:c r="BF145" s="3" t="str">
        <x:f>IF(AND('中古車掲載'!C146="One2car",'中古車掲載'!F146="Corolla Cross",'中古車掲載'!L146="HEV PREMIUM",'中古車掲載'!J146=2023,ISNUMBER('中古車掲載'!N146),'中古車掲載'!N146&gt;=20000,'中古車掲載'!O146&lt;=100000,'中古車掲載'!AL146=1,'中古車掲載'!Z146="https://www.one2car.com/en/cars-for-sale/toyota/corolla-cross/year-2023"),'中古車掲載'!U146,"")</x:f>
      </x:c>
      <x:c r="BG145" s="3" t="str">
        <x:f>IF(AND('中古車掲載'!C146="One2car",'中古車掲載'!F146="Corolla Cross",'中古車掲載'!L146="HEV GR SPORT",'中古車掲載'!J146=2023,ISNUMBER('中古車掲載'!N146),'中古車掲載'!N146&gt;=20000,'中古車掲載'!O146&lt;=100000,'中古車掲載'!AL146=1,'中古車掲載'!Z146="https://www.one2car.com/en/cars-for-sale/toyota/corolla-cross/year-2023"),'中古車掲載'!U146,"")</x:f>
      </x:c>
      <x:c r="BH145" s="3" t="str">
        <x:f>IF(AND('中古車掲載'!C146="One2car",'中古車掲載'!F146="DOLPHIN",'中古車掲載'!L146="STANDARD RANGE",'中古車掲載'!J146=2023,ISNUMBER('中古車掲載'!N146),'中古車掲載'!N146&gt;=20000,'中古車掲載'!O146&lt;=100000,'中古車掲載'!AL146=1),'中古車掲載'!U146,"")</x:f>
      </x:c>
      <x:c r="BI145" s="3" t="str">
        <x:v>One2car|Hilux Revo|ICE|Other province</x:v>
      </x:c>
      <x:c r="BJ145" s="3" t="n">
        <x:v>129</x:v>
      </x:c>
      <x:c r="BK145" s="3" t="n">
        <x:f>'中古車掲載'!AM129</x:f>
        <x:v>655000</x:v>
      </x:c>
      <x:c r="BL145" s="3" t="str">
        <x:f>IF(ISNUMBER('中古車掲載'!AN129),'中古車掲載'!AN129,"")</x:f>
      </x:c>
      <x:c r="BM145" s="3" t="str">
        <x:v>2022|Double cab</x:v>
      </x:c>
      <x:c r="BN145" s="3" t="n">
        <x:v>824</x:v>
      </x:c>
      <x:c r="BO145" s="3" t="n">
        <x:f>'中古車掲載'!AM824</x:f>
        <x:v>749000</x:v>
      </x:c>
      <x:c r="BP145" s="3" t="str">
        <x:v>2.4 PRERUNNER DOUBLE CAB</x:v>
      </x:c>
      <x:c r="BQ145" s="3"/>
      <x:c r="BR145" s="3"/>
    </x:row>
    <x:row r="146" ht="22" customHeight="1">
      <x:c r="A146" s="3" t="str">
        <x:v>Fortuner</x:v>
      </x:c>
      <x:c r="B146" s="3" t="str">
        <x:v>ICE</x:v>
      </x:c>
      <x:c r="C146" s="3" t="str">
        <x:v>Taladrod</x:v>
      </x:c>
      <x:c r="D146" s="3" t="n">
        <x:v>2025</x:v>
      </x:c>
      <x:c r="E146" s="22" t="n">
        <x:f>COUNT('中古車掲載'!AM623:AM623)</x:f>
        <x:v>1</x:v>
      </x:c>
      <x:c r="F146" s="22" t="n">
        <x:f>IF(COUNT('中古車掲載'!AM623:AM623)=0,"",QUARTILE('中古車掲載'!AM623:AM623,1))</x:f>
        <x:v>979000</x:v>
      </x:c>
      <x:c r="G146" s="22" t="n">
        <x:f>IF(COUNT('中古車掲載'!AM623:AM623)=0,"",MEDIAN('中古車掲載'!AM623:AM623))</x:f>
        <x:v>979000</x:v>
      </x:c>
      <x:c r="H146" s="22" t="n">
        <x:f>IF(COUNT('中古車掲載'!AM623:AM623)=0,"",QUARTILE('中古車掲載'!AM623:AM623,3))</x:f>
        <x:v>979000</x:v>
      </x:c>
      <x:c r="I146" s="22" t="n">
        <x:f>COUNT('中古車掲載'!AN623:AN623)</x:f>
        <x:v>0</x:v>
      </x:c>
      <x:c r="J146" s="23" t="str">
        <x:f>IF(COUNT('中古車掲載'!AN623:AN623)=0,"",MEDIAN('中古車掲載'!AN623:AN623))</x:f>
      </x:c>
      <x:c r="K146" s="3"/>
      <x:c r="L146" s="3"/>
      <x:c r="M146" s="3"/>
      <x:c r="N146" s="3"/>
      <x:c r="O146" s="3"/>
      <x:c r="P146" s="3"/>
      <x:c r="Q146" s="3"/>
      <x:c r="R146" s="3"/>
      <x:c r="S146" s="3"/>
      <x:c r="T146" s="3"/>
      <x:c r="U146" s="3"/>
      <x:c r="V146" s="3"/>
      <x:c r="W146" s="3"/>
      <x:c r="X146" s="3"/>
      <x:c r="Y146" s="3"/>
      <x:c r="Z146" s="3"/>
      <x:c r="AA146" s="3"/>
      <x:c r="AB146" s="3"/>
      <x:c r="AC146" s="3"/>
      <x:c r="AD146" s="3"/>
      <x:c r="AE146" s="3"/>
      <x:c r="AF146" s="3"/>
      <x:c r="AG146" s="3"/>
      <x:c r="AH146" s="3"/>
      <x:c r="AI146" s="3"/>
      <x:c r="AJ146" s="3"/>
      <x:c r="AK146" s="3"/>
      <x:c r="AL146" s="3"/>
      <x:c r="AM146" s="3"/>
      <x:c r="AN146" s="3"/>
      <x:c r="AO146" s="3"/>
      <x:c r="AP146" s="3"/>
      <x:c r="AQ146" s="3"/>
      <x:c r="AR146" s="3"/>
      <x:c r="AS146" s="3"/>
      <x:c r="AT146" s="3"/>
      <x:c r="AU146" s="3"/>
      <x:c r="AV146" s="3"/>
      <x:c r="AW146" s="3"/>
      <x:c r="AX146" s="3"/>
      <x:c r="AY146" s="3"/>
      <x:c r="AZ146" s="3" t="str">
        <x:f>IF(AND('中古車掲載'!C147="One2car",'中古車掲載'!F147="ATTO 3",'中古車掲載'!L147="EXTENDED RANGE",'中古車掲載'!J147=2023,ISNUMBER('中古車掲載'!N147),'中古車掲載'!N147&gt;=20000,'中古車掲載'!O147&lt;=100000,'中古車掲載'!AL147=1),'中古車掲載'!U147,"")</x:f>
      </x:c>
      <x:c r="BA146" s="3" t="str">
        <x:f>IF(AND('中古車掲載'!C147="One2car",'中古車掲載'!F147="Corolla Cross",'中古車掲載'!L147="HEV PREMIUM SAFETY",'中古車掲載'!J147=2023,ISNUMBER('中古車掲載'!N147),'中古車掲載'!N147&gt;=20000,'中古車掲載'!O147&lt;=100000,'中古車掲載'!AL147=1,'中古車掲載'!Z147="https://www.one2car.com/en/cars-for-sale/toyota/corolla-cross/year-2023"),'中古車掲載'!U147,"")</x:f>
      </x:c>
      <x:c r="BB146" s="3" t="str">
        <x:f>IF(AND('中古車掲載'!C147="One2car",'中古車掲載'!F147="ATTO 3",'中古車掲載'!L147="EXTENDED RANGE",'中古車掲載'!J147=2023,ISNUMBER('中古車掲載'!N147),'中古車掲載'!N147&gt;=50000,'中古車掲載'!O147&lt;=100000,'中古車掲載'!AL147=1),'中古車掲載'!U147,"")</x:f>
      </x:c>
      <x:c r="BC146" s="3" t="str">
        <x:f>IF(AND('中古車掲載'!C147="One2car",'中古車掲載'!F147="Corolla Cross",'中古車掲載'!L147="HEV PREMIUM SAFETY",'中古車掲載'!J147=2023,ISNUMBER('中古車掲載'!N147),'中古車掲載'!N147&gt;=50000,'中古車掲載'!O147&lt;=100000,'中古車掲載'!AL147=1,'中古車掲載'!Z147="https://www.one2car.com/en/cars-for-sale/toyota/corolla-cross/year-2023"),'中古車掲載'!U147,"")</x:f>
      </x:c>
      <x:c r="BD146" s="3" t="str">
        <x:f>IF(AND('中古車掲載'!C147="One2car",'中古車掲載'!F147="ATTO 3",'中古車掲載'!L147="EXTENDED RANGE",'中古車掲載'!J147=2023,ISNUMBER('中古車掲載'!N147),'中古車掲載'!N147&gt;=20000,'中古車掲載'!O147&lt;=50000,'中古車掲載'!AL147=1),'中古車掲載'!U147,"")</x:f>
      </x:c>
      <x:c r="BE146" s="3" t="str">
        <x:f>IF(AND('中古車掲載'!C147="One2car",'中古車掲載'!F147="Corolla Cross",'中古車掲載'!L147="HEV PREMIUM SAFETY",'中古車掲載'!J147=2023,ISNUMBER('中古車掲載'!N147),'中古車掲載'!N147&gt;=20000,'中古車掲載'!O147&lt;=50000,'中古車掲載'!AL147=1,'中古車掲載'!Z147="https://www.one2car.com/en/cars-for-sale/toyota/corolla-cross/year-2023"),'中古車掲載'!U147,"")</x:f>
      </x:c>
      <x:c r="BF146" s="3" t="str">
        <x:f>IF(AND('中古車掲載'!C147="One2car",'中古車掲載'!F147="Corolla Cross",'中古車掲載'!L147="HEV PREMIUM",'中古車掲載'!J147=2023,ISNUMBER('中古車掲載'!N147),'中古車掲載'!N147&gt;=20000,'中古車掲載'!O147&lt;=100000,'中古車掲載'!AL147=1,'中古車掲載'!Z147="https://www.one2car.com/en/cars-for-sale/toyota/corolla-cross/year-2023"),'中古車掲載'!U147,"")</x:f>
      </x:c>
      <x:c r="BG146" s="3" t="str">
        <x:f>IF(AND('中古車掲載'!C147="One2car",'中古車掲載'!F147="Corolla Cross",'中古車掲載'!L147="HEV GR SPORT",'中古車掲載'!J147=2023,ISNUMBER('中古車掲載'!N147),'中古車掲載'!N147&gt;=20000,'中古車掲載'!O147&lt;=100000,'中古車掲載'!AL147=1,'中古車掲載'!Z147="https://www.one2car.com/en/cars-for-sale/toyota/corolla-cross/year-2023"),'中古車掲載'!U147,"")</x:f>
      </x:c>
      <x:c r="BH146" s="3" t="str">
        <x:f>IF(AND('中古車掲載'!C147="One2car",'中古車掲載'!F147="DOLPHIN",'中古車掲載'!L147="STANDARD RANGE",'中古車掲載'!J147=2023,ISNUMBER('中古車掲載'!N147),'中古車掲載'!N147&gt;=20000,'中古車掲載'!O147&lt;=100000,'中古車掲載'!AL147=1),'中古車掲載'!U147,"")</x:f>
      </x:c>
      <x:c r="BI146" s="3" t="str">
        <x:v>One2car|Hilux Revo|ICE|Other province</x:v>
      </x:c>
      <x:c r="BJ146" s="3" t="n">
        <x:v>136</x:v>
      </x:c>
      <x:c r="BK146" s="3" t="n">
        <x:f>'中古車掲載'!AM136</x:f>
        <x:v>499000</x:v>
      </x:c>
      <x:c r="BL146" s="3" t="str">
        <x:f>IF(ISNUMBER('中古車掲載'!AN136),'中古車掲載'!AN136,"")</x:f>
      </x:c>
      <x:c r="BM146" s="3" t="str">
        <x:v>2022|Double cab</x:v>
      </x:c>
      <x:c r="BN146" s="3" t="n">
        <x:v>827</x:v>
      </x:c>
      <x:c r="BO146" s="3" t="n">
        <x:f>'中古車掲載'!AM827</x:f>
        <x:v>599000</x:v>
      </x:c>
      <x:c r="BP146" s="3" t="str">
        <x:v>2.8 GR SPORT DOUBLE CAB</x:v>
      </x:c>
      <x:c r="BQ146" s="3"/>
      <x:c r="BR146" s="3"/>
    </x:row>
    <x:row r="147" ht="22" customHeight="1">
      <x:c r="A147" s="3" t="str">
        <x:v>Hilux Champ</x:v>
      </x:c>
      <x:c r="B147" s="3" t="str">
        <x:v>ICE</x:v>
      </x:c>
      <x:c r="C147" s="3" t="str">
        <x:v>Taladrod</x:v>
      </x:c>
      <x:c r="D147" s="3" t="n">
        <x:v>2024</x:v>
      </x:c>
      <x:c r="E147" s="22" t="n">
        <x:f>COUNT('中古車掲載'!AM624:AM637)</x:f>
        <x:v>14</x:v>
      </x:c>
      <x:c r="F147" s="22" t="n">
        <x:f>IF(COUNT('中古車掲載'!AM624:AM637)=0,"",QUARTILE('中古車掲載'!AM624:AM637,1))</x:f>
        <x:v>445000</x:v>
      </x:c>
      <x:c r="G147" s="22" t="n">
        <x:f>IF(COUNT('中古車掲載'!AM624:AM637)=0,"",MEDIAN('中古車掲載'!AM624:AM637))</x:f>
        <x:v>449000</x:v>
      </x:c>
      <x:c r="H147" s="22" t="n">
        <x:f>IF(COUNT('中古車掲載'!AM624:AM637)=0,"",QUARTILE('中古車掲載'!AM624:AM637,3))</x:f>
        <x:v>456750</x:v>
      </x:c>
      <x:c r="I147" s="22" t="n">
        <x:f>COUNT('中古車掲載'!AN624:AN637)</x:f>
        <x:v>0</x:v>
      </x:c>
      <x:c r="J147" s="23" t="str">
        <x:f>IF(COUNT('中古車掲載'!AN624:AN637)=0,"",MEDIAN('中古車掲載'!AN624:AN637))</x:f>
      </x:c>
      <x:c r="K147" s="3"/>
      <x:c r="L147" s="3"/>
      <x:c r="M147" s="3"/>
      <x:c r="N147" s="3"/>
      <x:c r="O147" s="3"/>
      <x:c r="P147" s="3"/>
      <x:c r="Q147" s="3"/>
      <x:c r="R147" s="3"/>
      <x:c r="S147" s="3"/>
      <x:c r="T147" s="3"/>
      <x:c r="U147" s="3"/>
      <x:c r="V147" s="3"/>
      <x:c r="W147" s="3"/>
      <x:c r="X147" s="3"/>
      <x:c r="Y147" s="3"/>
      <x:c r="Z147" s="3"/>
      <x:c r="AA147" s="3"/>
      <x:c r="AB147" s="3"/>
      <x:c r="AC147" s="3"/>
      <x:c r="AD147" s="3"/>
      <x:c r="AE147" s="3"/>
      <x:c r="AF147" s="3"/>
      <x:c r="AG147" s="3"/>
      <x:c r="AH147" s="3"/>
      <x:c r="AI147" s="3"/>
      <x:c r="AJ147" s="3"/>
      <x:c r="AK147" s="3"/>
      <x:c r="AL147" s="3"/>
      <x:c r="AM147" s="3"/>
      <x:c r="AN147" s="3"/>
      <x:c r="AO147" s="3"/>
      <x:c r="AP147" s="3"/>
      <x:c r="AQ147" s="3"/>
      <x:c r="AR147" s="3"/>
      <x:c r="AS147" s="3"/>
      <x:c r="AT147" s="3"/>
      <x:c r="AU147" s="3"/>
      <x:c r="AV147" s="3"/>
      <x:c r="AW147" s="3"/>
      <x:c r="AX147" s="3"/>
      <x:c r="AY147" s="3"/>
      <x:c r="AZ147" s="3" t="str">
        <x:f>IF(AND('中古車掲載'!C148="One2car",'中古車掲載'!F148="ATTO 3",'中古車掲載'!L148="EXTENDED RANGE",'中古車掲載'!J148=2023,ISNUMBER('中古車掲載'!N148),'中古車掲載'!N148&gt;=20000,'中古車掲載'!O148&lt;=100000,'中古車掲載'!AL148=1),'中古車掲載'!U148,"")</x:f>
      </x:c>
      <x:c r="BA147" s="3" t="str">
        <x:f>IF(AND('中古車掲載'!C148="One2car",'中古車掲載'!F148="Corolla Cross",'中古車掲載'!L148="HEV PREMIUM SAFETY",'中古車掲載'!J148=2023,ISNUMBER('中古車掲載'!N148),'中古車掲載'!N148&gt;=20000,'中古車掲載'!O148&lt;=100000,'中古車掲載'!AL148=1,'中古車掲載'!Z148="https://www.one2car.com/en/cars-for-sale/toyota/corolla-cross/year-2023"),'中古車掲載'!U148,"")</x:f>
      </x:c>
      <x:c r="BB147" s="3" t="str">
        <x:f>IF(AND('中古車掲載'!C148="One2car",'中古車掲載'!F148="ATTO 3",'中古車掲載'!L148="EXTENDED RANGE",'中古車掲載'!J148=2023,ISNUMBER('中古車掲載'!N148),'中古車掲載'!N148&gt;=50000,'中古車掲載'!O148&lt;=100000,'中古車掲載'!AL148=1),'中古車掲載'!U148,"")</x:f>
      </x:c>
      <x:c r="BC147" s="3" t="str">
        <x:f>IF(AND('中古車掲載'!C148="One2car",'中古車掲載'!F148="Corolla Cross",'中古車掲載'!L148="HEV PREMIUM SAFETY",'中古車掲載'!J148=2023,ISNUMBER('中古車掲載'!N148),'中古車掲載'!N148&gt;=50000,'中古車掲載'!O148&lt;=100000,'中古車掲載'!AL148=1,'中古車掲載'!Z148="https://www.one2car.com/en/cars-for-sale/toyota/corolla-cross/year-2023"),'中古車掲載'!U148,"")</x:f>
      </x:c>
      <x:c r="BD147" s="3" t="str">
        <x:f>IF(AND('中古車掲載'!C148="One2car",'中古車掲載'!F148="ATTO 3",'中古車掲載'!L148="EXTENDED RANGE",'中古車掲載'!J148=2023,ISNUMBER('中古車掲載'!N148),'中古車掲載'!N148&gt;=20000,'中古車掲載'!O148&lt;=50000,'中古車掲載'!AL148=1),'中古車掲載'!U148,"")</x:f>
      </x:c>
      <x:c r="BE147" s="3" t="str">
        <x:f>IF(AND('中古車掲載'!C148="One2car",'中古車掲載'!F148="Corolla Cross",'中古車掲載'!L148="HEV PREMIUM SAFETY",'中古車掲載'!J148=2023,ISNUMBER('中古車掲載'!N148),'中古車掲載'!N148&gt;=20000,'中古車掲載'!O148&lt;=50000,'中古車掲載'!AL148=1,'中古車掲載'!Z148="https://www.one2car.com/en/cars-for-sale/toyota/corolla-cross/year-2023"),'中古車掲載'!U148,"")</x:f>
      </x:c>
      <x:c r="BF147" s="3" t="str">
        <x:f>IF(AND('中古車掲載'!C148="One2car",'中古車掲載'!F148="Corolla Cross",'中古車掲載'!L148="HEV PREMIUM",'中古車掲載'!J148=2023,ISNUMBER('中古車掲載'!N148),'中古車掲載'!N148&gt;=20000,'中古車掲載'!O148&lt;=100000,'中古車掲載'!AL148=1,'中古車掲載'!Z148="https://www.one2car.com/en/cars-for-sale/toyota/corolla-cross/year-2023"),'中古車掲載'!U148,"")</x:f>
      </x:c>
      <x:c r="BG147" s="3" t="str">
        <x:f>IF(AND('中古車掲載'!C148="One2car",'中古車掲載'!F148="Corolla Cross",'中古車掲載'!L148="HEV GR SPORT",'中古車掲載'!J148=2023,ISNUMBER('中古車掲載'!N148),'中古車掲載'!N148&gt;=20000,'中古車掲載'!O148&lt;=100000,'中古車掲載'!AL148=1,'中古車掲載'!Z148="https://www.one2car.com/en/cars-for-sale/toyota/corolla-cross/year-2023"),'中古車掲載'!U148,"")</x:f>
      </x:c>
      <x:c r="BH147" s="3" t="str">
        <x:f>IF(AND('中古車掲載'!C148="One2car",'中古車掲載'!F148="DOLPHIN",'中古車掲載'!L148="STANDARD RANGE",'中古車掲載'!J148=2023,ISNUMBER('中古車掲載'!N148),'中古車掲載'!N148&gt;=20000,'中古車掲載'!O148&lt;=100000,'中古車掲載'!AL148=1),'中古車掲載'!U148,"")</x:f>
      </x:c>
      <x:c r="BI147" s="3" t="str">
        <x:v>One2car|Hilux Revo|ICE|Other province</x:v>
      </x:c>
      <x:c r="BJ147" s="3" t="n">
        <x:v>145</x:v>
      </x:c>
      <x:c r="BK147" s="3" t="n">
        <x:f>'中古車掲載'!AM145</x:f>
        <x:v>499000</x:v>
      </x:c>
      <x:c r="BL147" s="3" t="str">
        <x:f>IF(ISNUMBER('中古車掲載'!AN145),'中古車掲載'!AN145,"")</x:f>
      </x:c>
      <x:c r="BM147" s="3" t="str">
        <x:v>2022|Double cab</x:v>
      </x:c>
      <x:c r="BN147" s="3" t="n">
        <x:v>828</x:v>
      </x:c>
      <x:c r="BO147" s="3" t="n">
        <x:f>'中古車掲載'!AM828</x:f>
        <x:v>579000</x:v>
      </x:c>
      <x:c r="BP147" s="3" t="str">
        <x:v>2.8 GR SPORT DOUBLE CAB</x:v>
      </x:c>
      <x:c r="BQ147" s="3"/>
      <x:c r="BR147" s="3"/>
    </x:row>
    <x:row r="148" ht="22" customHeight="1">
      <x:c r="A148" s="3" t="str">
        <x:v>Hilux Champ</x:v>
      </x:c>
      <x:c r="B148" s="3" t="str">
        <x:v>ICE</x:v>
      </x:c>
      <x:c r="C148" s="3" t="str">
        <x:v>Taladrod</x:v>
      </x:c>
      <x:c r="D148" s="3" t="n">
        <x:v>2025</x:v>
      </x:c>
      <x:c r="E148" s="22" t="n">
        <x:f>COUNT('中古車掲載'!AM638:AM649)</x:f>
        <x:v>12</x:v>
      </x:c>
      <x:c r="F148" s="22" t="n">
        <x:f>IF(COUNT('中古車掲載'!AM638:AM649)=0,"",QUARTILE('中古車掲載'!AM638:AM649,1))</x:f>
        <x:v>464000</x:v>
      </x:c>
      <x:c r="G148" s="22" t="n">
        <x:f>IF(COUNT('中古車掲載'!AM638:AM649)=0,"",MEDIAN('中古車掲載'!AM638:AM649))</x:f>
        <x:v>467500</x:v>
      </x:c>
      <x:c r="H148" s="22" t="n">
        <x:f>IF(COUNT('中古車掲載'!AM638:AM649)=0,"",QUARTILE('中古車掲載'!AM638:AM649,3))</x:f>
        <x:v>488250</x:v>
      </x:c>
      <x:c r="I148" s="22" t="n">
        <x:f>COUNT('中古車掲載'!AN638:AN649)</x:f>
        <x:v>0</x:v>
      </x:c>
      <x:c r="J148" s="23" t="str">
        <x:f>IF(COUNT('中古車掲載'!AN638:AN649)=0,"",MEDIAN('中古車掲載'!AN638:AN649))</x:f>
      </x:c>
      <x:c r="K148" s="3"/>
      <x:c r="L148" s="3"/>
      <x:c r="M148" s="3"/>
      <x:c r="N148" s="3"/>
      <x:c r="O148" s="3"/>
      <x:c r="P148" s="3"/>
      <x:c r="Q148" s="3"/>
      <x:c r="R148" s="3"/>
      <x:c r="S148" s="3"/>
      <x:c r="T148" s="3"/>
      <x:c r="U148" s="3"/>
      <x:c r="V148" s="3"/>
      <x:c r="W148" s="3"/>
      <x:c r="X148" s="3"/>
      <x:c r="Y148" s="3"/>
      <x:c r="Z148" s="3"/>
      <x:c r="AA148" s="3"/>
      <x:c r="AB148" s="3"/>
      <x:c r="AC148" s="3"/>
      <x:c r="AD148" s="3"/>
      <x:c r="AE148" s="3"/>
      <x:c r="AF148" s="3"/>
      <x:c r="AG148" s="3"/>
      <x:c r="AH148" s="3"/>
      <x:c r="AI148" s="3"/>
      <x:c r="AJ148" s="3"/>
      <x:c r="AK148" s="3"/>
      <x:c r="AL148" s="3"/>
      <x:c r="AM148" s="3"/>
      <x:c r="AN148" s="3"/>
      <x:c r="AO148" s="3"/>
      <x:c r="AP148" s="3"/>
      <x:c r="AQ148" s="3"/>
      <x:c r="AR148" s="3"/>
      <x:c r="AS148" s="3"/>
      <x:c r="AT148" s="3"/>
      <x:c r="AU148" s="3"/>
      <x:c r="AV148" s="3"/>
      <x:c r="AW148" s="3"/>
      <x:c r="AX148" s="3"/>
      <x:c r="AY148" s="3"/>
      <x:c r="AZ148" s="3" t="str">
        <x:f>IF(AND('中古車掲載'!C149="One2car",'中古車掲載'!F149="ATTO 3",'中古車掲載'!L149="EXTENDED RANGE",'中古車掲載'!J149=2023,ISNUMBER('中古車掲載'!N149),'中古車掲載'!N149&gt;=20000,'中古車掲載'!O149&lt;=100000,'中古車掲載'!AL149=1),'中古車掲載'!U149,"")</x:f>
      </x:c>
      <x:c r="BA148" s="3" t="str">
        <x:f>IF(AND('中古車掲載'!C149="One2car",'中古車掲載'!F149="Corolla Cross",'中古車掲載'!L149="HEV PREMIUM SAFETY",'中古車掲載'!J149=2023,ISNUMBER('中古車掲載'!N149),'中古車掲載'!N149&gt;=20000,'中古車掲載'!O149&lt;=100000,'中古車掲載'!AL149=1,'中古車掲載'!Z149="https://www.one2car.com/en/cars-for-sale/toyota/corolla-cross/year-2023"),'中古車掲載'!U149,"")</x:f>
      </x:c>
      <x:c r="BB148" s="3" t="str">
        <x:f>IF(AND('中古車掲載'!C149="One2car",'中古車掲載'!F149="ATTO 3",'中古車掲載'!L149="EXTENDED RANGE",'中古車掲載'!J149=2023,ISNUMBER('中古車掲載'!N149),'中古車掲載'!N149&gt;=50000,'中古車掲載'!O149&lt;=100000,'中古車掲載'!AL149=1),'中古車掲載'!U149,"")</x:f>
      </x:c>
      <x:c r="BC148" s="3" t="str">
        <x:f>IF(AND('中古車掲載'!C149="One2car",'中古車掲載'!F149="Corolla Cross",'中古車掲載'!L149="HEV PREMIUM SAFETY",'中古車掲載'!J149=2023,ISNUMBER('中古車掲載'!N149),'中古車掲載'!N149&gt;=50000,'中古車掲載'!O149&lt;=100000,'中古車掲載'!AL149=1,'中古車掲載'!Z149="https://www.one2car.com/en/cars-for-sale/toyota/corolla-cross/year-2023"),'中古車掲載'!U149,"")</x:f>
      </x:c>
      <x:c r="BD148" s="3" t="str">
        <x:f>IF(AND('中古車掲載'!C149="One2car",'中古車掲載'!F149="ATTO 3",'中古車掲載'!L149="EXTENDED RANGE",'中古車掲載'!J149=2023,ISNUMBER('中古車掲載'!N149),'中古車掲載'!N149&gt;=20000,'中古車掲載'!O149&lt;=50000,'中古車掲載'!AL149=1),'中古車掲載'!U149,"")</x:f>
      </x:c>
      <x:c r="BE148" s="3" t="str">
        <x:f>IF(AND('中古車掲載'!C149="One2car",'中古車掲載'!F149="Corolla Cross",'中古車掲載'!L149="HEV PREMIUM SAFETY",'中古車掲載'!J149=2023,ISNUMBER('中古車掲載'!N149),'中古車掲載'!N149&gt;=20000,'中古車掲載'!O149&lt;=50000,'中古車掲載'!AL149=1,'中古車掲載'!Z149="https://www.one2car.com/en/cars-for-sale/toyota/corolla-cross/year-2023"),'中古車掲載'!U149,"")</x:f>
      </x:c>
      <x:c r="BF148" s="3" t="str">
        <x:f>IF(AND('中古車掲載'!C149="One2car",'中古車掲載'!F149="Corolla Cross",'中古車掲載'!L149="HEV PREMIUM",'中古車掲載'!J149=2023,ISNUMBER('中古車掲載'!N149),'中古車掲載'!N149&gt;=20000,'中古車掲載'!O149&lt;=100000,'中古車掲載'!AL149=1,'中古車掲載'!Z149="https://www.one2car.com/en/cars-for-sale/toyota/corolla-cross/year-2023"),'中古車掲載'!U149,"")</x:f>
      </x:c>
      <x:c r="BG148" s="3" t="str">
        <x:f>IF(AND('中古車掲載'!C149="One2car",'中古車掲載'!F149="Corolla Cross",'中古車掲載'!L149="HEV GR SPORT",'中古車掲載'!J149=2023,ISNUMBER('中古車掲載'!N149),'中古車掲載'!N149&gt;=20000,'中古車掲載'!O149&lt;=100000,'中古車掲載'!AL149=1,'中古車掲載'!Z149="https://www.one2car.com/en/cars-for-sale/toyota/corolla-cross/year-2023"),'中古車掲載'!U149,"")</x:f>
      </x:c>
      <x:c r="BH148" s="3" t="str">
        <x:f>IF(AND('中古車掲載'!C149="One2car",'中古車掲載'!F149="DOLPHIN",'中古車掲載'!L149="STANDARD RANGE",'中古車掲載'!J149=2023,ISNUMBER('中古車掲載'!N149),'中古車掲載'!N149&gt;=20000,'中古車掲載'!O149&lt;=100000,'中古車掲載'!AL149=1),'中古車掲載'!U149,"")</x:f>
      </x:c>
      <x:c r="BI148" s="3" t="str">
        <x:v>One2car|Hilux Revo|ICE|Other province</x:v>
      </x:c>
      <x:c r="BJ148" s="3" t="n">
        <x:v>146</x:v>
      </x:c>
      <x:c r="BK148" s="3" t="n">
        <x:f>'中古車掲載'!AM146</x:f>
        <x:v>465000</x:v>
      </x:c>
      <x:c r="BL148" s="3" t="str">
        <x:f>IF(ISNUMBER('中古車掲載'!AN146),'中古車掲載'!AN146,"")</x:f>
      </x:c>
      <x:c r="BM148" s="3" t="str">
        <x:v>2022|Double cab</x:v>
      </x:c>
      <x:c r="BN148" s="3" t="n">
        <x:v>829</x:v>
      </x:c>
      <x:c r="BO148" s="3" t="n">
        <x:f>'中古車掲載'!AM829</x:f>
        <x:v>899000</x:v>
      </x:c>
      <x:c r="BP148" s="3" t="str">
        <x:v>2.8 HIGH 4WD DOUBLE CAB</x:v>
      </x:c>
      <x:c r="BQ148" s="3"/>
      <x:c r="BR148" s="3"/>
    </x:row>
    <x:row r="149" ht="22" customHeight="1">
      <x:c r="A149" s="3" t="str">
        <x:v>Hilux Revo</x:v>
      </x:c>
      <x:c r="B149" s="3" t="str">
        <x:v>ICE</x:v>
      </x:c>
      <x:c r="C149" s="3" t="str">
        <x:v>Taladrod</x:v>
      </x:c>
      <x:c r="D149" s="3" t="n">
        <x:v>2020</x:v>
      </x:c>
      <x:c r="E149" s="22" t="n">
        <x:f>COUNT('中古車掲載'!AM650:AM700)</x:f>
        <x:v>51</x:v>
      </x:c>
      <x:c r="F149" s="22" t="n">
        <x:f>IF(COUNT('中古車掲載'!AM650:AM700)=0,"",QUARTILE('中古車掲載'!AM650:AM700,1))</x:f>
        <x:v>382000</x:v>
      </x:c>
      <x:c r="G149" s="22" t="n">
        <x:f>IF(COUNT('中古車掲載'!AM650:AM700)=0,"",MEDIAN('中古車掲載'!AM650:AM700))</x:f>
        <x:v>425000</x:v>
      </x:c>
      <x:c r="H149" s="22" t="n">
        <x:f>IF(COUNT('中古車掲載'!AM650:AM700)=0,"",QUARTILE('中古車掲載'!AM650:AM700,3))</x:f>
        <x:v>514500</x:v>
      </x:c>
      <x:c r="I149" s="22" t="n">
        <x:f>COUNT('中古車掲載'!AN650:AN700)</x:f>
        <x:v>0</x:v>
      </x:c>
      <x:c r="J149" s="23" t="str">
        <x:f>IF(COUNT('中古車掲載'!AN650:AN700)=0,"",MEDIAN('中古車掲載'!AN650:AN700))</x:f>
      </x:c>
      <x:c r="K149" s="3"/>
      <x:c r="L149" s="3"/>
      <x:c r="M149" s="3"/>
      <x:c r="N149" s="3"/>
      <x:c r="O149" s="3"/>
      <x:c r="P149" s="3"/>
      <x:c r="Q149" s="3"/>
      <x:c r="R149" s="3"/>
      <x:c r="S149" s="3"/>
      <x:c r="T149" s="3"/>
      <x:c r="U149" s="3"/>
      <x:c r="V149" s="3"/>
      <x:c r="W149" s="3"/>
      <x:c r="X149" s="3"/>
      <x:c r="Y149" s="3"/>
      <x:c r="Z149" s="3"/>
      <x:c r="AA149" s="3"/>
      <x:c r="AB149" s="3"/>
      <x:c r="AC149" s="3"/>
      <x:c r="AD149" s="3"/>
      <x:c r="AE149" s="3"/>
      <x:c r="AF149" s="3"/>
      <x:c r="AG149" s="3"/>
      <x:c r="AH149" s="3"/>
      <x:c r="AI149" s="3"/>
      <x:c r="AJ149" s="3"/>
      <x:c r="AK149" s="3"/>
      <x:c r="AL149" s="3"/>
      <x:c r="AM149" s="3"/>
      <x:c r="AN149" s="3"/>
      <x:c r="AO149" s="3"/>
      <x:c r="AP149" s="3"/>
      <x:c r="AQ149" s="3"/>
      <x:c r="AR149" s="3"/>
      <x:c r="AS149" s="3"/>
      <x:c r="AT149" s="3"/>
      <x:c r="AU149" s="3"/>
      <x:c r="AV149" s="3"/>
      <x:c r="AW149" s="3"/>
      <x:c r="AX149" s="3"/>
      <x:c r="AY149" s="3"/>
      <x:c r="AZ149" s="3" t="str">
        <x:f>IF(AND('中古車掲載'!C150="One2car",'中古車掲載'!F150="ATTO 3",'中古車掲載'!L150="EXTENDED RANGE",'中古車掲載'!J150=2023,ISNUMBER('中古車掲載'!N150),'中古車掲載'!N150&gt;=20000,'中古車掲載'!O150&lt;=100000,'中古車掲載'!AL150=1),'中古車掲載'!U150,"")</x:f>
      </x:c>
      <x:c r="BA149" s="3" t="str">
        <x:f>IF(AND('中古車掲載'!C150="One2car",'中古車掲載'!F150="Corolla Cross",'中古車掲載'!L150="HEV PREMIUM SAFETY",'中古車掲載'!J150=2023,ISNUMBER('中古車掲載'!N150),'中古車掲載'!N150&gt;=20000,'中古車掲載'!O150&lt;=100000,'中古車掲載'!AL150=1,'中古車掲載'!Z150="https://www.one2car.com/en/cars-for-sale/toyota/corolla-cross/year-2023"),'中古車掲載'!U150,"")</x:f>
      </x:c>
      <x:c r="BB149" s="3" t="str">
        <x:f>IF(AND('中古車掲載'!C150="One2car",'中古車掲載'!F150="ATTO 3",'中古車掲載'!L150="EXTENDED RANGE",'中古車掲載'!J150=2023,ISNUMBER('中古車掲載'!N150),'中古車掲載'!N150&gt;=50000,'中古車掲載'!O150&lt;=100000,'中古車掲載'!AL150=1),'中古車掲載'!U150,"")</x:f>
      </x:c>
      <x:c r="BC149" s="3" t="str">
        <x:f>IF(AND('中古車掲載'!C150="One2car",'中古車掲載'!F150="Corolla Cross",'中古車掲載'!L150="HEV PREMIUM SAFETY",'中古車掲載'!J150=2023,ISNUMBER('中古車掲載'!N150),'中古車掲載'!N150&gt;=50000,'中古車掲載'!O150&lt;=100000,'中古車掲載'!AL150=1,'中古車掲載'!Z150="https://www.one2car.com/en/cars-for-sale/toyota/corolla-cross/year-2023"),'中古車掲載'!U150,"")</x:f>
      </x:c>
      <x:c r="BD149" s="3" t="str">
        <x:f>IF(AND('中古車掲載'!C150="One2car",'中古車掲載'!F150="ATTO 3",'中古車掲載'!L150="EXTENDED RANGE",'中古車掲載'!J150=2023,ISNUMBER('中古車掲載'!N150),'中古車掲載'!N150&gt;=20000,'中古車掲載'!O150&lt;=50000,'中古車掲載'!AL150=1),'中古車掲載'!U150,"")</x:f>
      </x:c>
      <x:c r="BE149" s="3" t="str">
        <x:f>IF(AND('中古車掲載'!C150="One2car",'中古車掲載'!F150="Corolla Cross",'中古車掲載'!L150="HEV PREMIUM SAFETY",'中古車掲載'!J150=2023,ISNUMBER('中古車掲載'!N150),'中古車掲載'!N150&gt;=20000,'中古車掲載'!O150&lt;=50000,'中古車掲載'!AL150=1,'中古車掲載'!Z150="https://www.one2car.com/en/cars-for-sale/toyota/corolla-cross/year-2023"),'中古車掲載'!U150,"")</x:f>
      </x:c>
      <x:c r="BF149" s="3" t="str">
        <x:f>IF(AND('中古車掲載'!C150="One2car",'中古車掲載'!F150="Corolla Cross",'中古車掲載'!L150="HEV PREMIUM",'中古車掲載'!J150=2023,ISNUMBER('中古車掲載'!N150),'中古車掲載'!N150&gt;=20000,'中古車掲載'!O150&lt;=100000,'中古車掲載'!AL150=1,'中古車掲載'!Z150="https://www.one2car.com/en/cars-for-sale/toyota/corolla-cross/year-2023"),'中古車掲載'!U150,"")</x:f>
      </x:c>
      <x:c r="BG149" s="3" t="str">
        <x:f>IF(AND('中古車掲載'!C150="One2car",'中古車掲載'!F150="Corolla Cross",'中古車掲載'!L150="HEV GR SPORT",'中古車掲載'!J150=2023,ISNUMBER('中古車掲載'!N150),'中古車掲載'!N150&gt;=20000,'中古車掲載'!O150&lt;=100000,'中古車掲載'!AL150=1,'中古車掲載'!Z150="https://www.one2car.com/en/cars-for-sale/toyota/corolla-cross/year-2023"),'中古車掲載'!U150,"")</x:f>
      </x:c>
      <x:c r="BH149" s="3" t="str">
        <x:f>IF(AND('中古車掲載'!C150="One2car",'中古車掲載'!F150="DOLPHIN",'中古車掲載'!L150="STANDARD RANGE",'中古車掲載'!J150=2023,ISNUMBER('中古車掲載'!N150),'中古車掲載'!N150&gt;=20000,'中古車掲載'!O150&lt;=100000,'中古車掲載'!AL150=1),'中古車掲載'!U150,"")</x:f>
      </x:c>
      <x:c r="BI149" s="3" t="str">
        <x:v>One2car|Hilux Revo|ICE|Other province</x:v>
      </x:c>
      <x:c r="BJ149" s="3" t="n">
        <x:v>147</x:v>
      </x:c>
      <x:c r="BK149" s="3" t="n">
        <x:f>'中古車掲載'!AM147</x:f>
        <x:v>1039000</x:v>
      </x:c>
      <x:c r="BL149" s="3" t="str">
        <x:f>IF(ISNUMBER('中古車掲載'!AN147),'中古車掲載'!AN147,"")</x:f>
      </x:c>
      <x:c r="BM149" s="3" t="str">
        <x:v>2022|Smart cab</x:v>
      </x:c>
      <x:c r="BN149" s="3" t="n">
        <x:v>768</x:v>
      </x:c>
      <x:c r="BO149" s="3" t="n">
        <x:f>'中古車掲載'!AM768</x:f>
        <x:v>389000</x:v>
      </x:c>
      <x:c r="BP149" s="3" t="str">
        <x:v>2.4 E SMART CAB</x:v>
      </x:c>
      <x:c r="BQ149" s="3"/>
      <x:c r="BR149" s="3"/>
    </x:row>
    <x:row r="150" ht="22" customHeight="1">
      <x:c r="A150" s="3" t="str">
        <x:v>Hilux Revo</x:v>
      </x:c>
      <x:c r="B150" s="3" t="str">
        <x:v>ICE</x:v>
      </x:c>
      <x:c r="C150" s="3" t="str">
        <x:v>Taladrod</x:v>
      </x:c>
      <x:c r="D150" s="3" t="n">
        <x:v>2021</x:v>
      </x:c>
      <x:c r="E150" s="22" t="n">
        <x:f>COUNT('中古車掲載'!AM701:AM766)</x:f>
        <x:v>66</x:v>
      </x:c>
      <x:c r="F150" s="22" t="n">
        <x:f>IF(COUNT('中古車掲載'!AM701:AM766)=0,"",QUARTILE('中古車掲載'!AM701:AM766,1))</x:f>
        <x:v>399000</x:v>
      </x:c>
      <x:c r="G150" s="22" t="n">
        <x:f>IF(COUNT('中古車掲載'!AM701:AM766)=0,"",MEDIAN('中古車掲載'!AM701:AM766))</x:f>
        <x:v>454000</x:v>
      </x:c>
      <x:c r="H150" s="22" t="n">
        <x:f>IF(COUNT('中古車掲載'!AM701:AM766)=0,"",QUARTILE('中古車掲載'!AM701:AM766,3))</x:f>
        <x:v>500250</x:v>
      </x:c>
      <x:c r="I150" s="22" t="n">
        <x:f>COUNT('中古車掲載'!AN701:AN766)</x:f>
        <x:v>0</x:v>
      </x:c>
      <x:c r="J150" s="23" t="str">
        <x:f>IF(COUNT('中古車掲載'!AN701:AN766)=0,"",MEDIAN('中古車掲載'!AN701:AN766))</x:f>
      </x:c>
      <x:c r="K150" s="3"/>
      <x:c r="L150" s="3"/>
      <x:c r="M150" s="3"/>
      <x:c r="N150" s="3"/>
      <x:c r="O150" s="3"/>
      <x:c r="P150" s="3"/>
      <x:c r="Q150" s="3"/>
      <x:c r="R150" s="3"/>
      <x:c r="S150" s="3"/>
      <x:c r="T150" s="3"/>
      <x:c r="U150" s="3"/>
      <x:c r="V150" s="3"/>
      <x:c r="W150" s="3"/>
      <x:c r="X150" s="3"/>
      <x:c r="Y150" s="3"/>
      <x:c r="Z150" s="3"/>
      <x:c r="AA150" s="3"/>
      <x:c r="AB150" s="3"/>
      <x:c r="AC150" s="3"/>
      <x:c r="AD150" s="3"/>
      <x:c r="AE150" s="3"/>
      <x:c r="AF150" s="3"/>
      <x:c r="AG150" s="3"/>
      <x:c r="AH150" s="3"/>
      <x:c r="AI150" s="3"/>
      <x:c r="AJ150" s="3"/>
      <x:c r="AK150" s="3"/>
      <x:c r="AL150" s="3"/>
      <x:c r="AM150" s="3"/>
      <x:c r="AN150" s="3"/>
      <x:c r="AO150" s="3"/>
      <x:c r="AP150" s="3"/>
      <x:c r="AQ150" s="3"/>
      <x:c r="AR150" s="3"/>
      <x:c r="AS150" s="3"/>
      <x:c r="AT150" s="3"/>
      <x:c r="AU150" s="3"/>
      <x:c r="AV150" s="3"/>
      <x:c r="AW150" s="3"/>
      <x:c r="AX150" s="3"/>
      <x:c r="AY150" s="3"/>
      <x:c r="AZ150" s="3" t="str">
        <x:f>IF(AND('中古車掲載'!C151="One2car",'中古車掲載'!F151="ATTO 3",'中古車掲載'!L151="EXTENDED RANGE",'中古車掲載'!J151=2023,ISNUMBER('中古車掲載'!N151),'中古車掲載'!N151&gt;=20000,'中古車掲載'!O151&lt;=100000,'中古車掲載'!AL151=1),'中古車掲載'!U151,"")</x:f>
      </x:c>
      <x:c r="BA150" s="3" t="str">
        <x:f>IF(AND('中古車掲載'!C151="One2car",'中古車掲載'!F151="Corolla Cross",'中古車掲載'!L151="HEV PREMIUM SAFETY",'中古車掲載'!J151=2023,ISNUMBER('中古車掲載'!N151),'中古車掲載'!N151&gt;=20000,'中古車掲載'!O151&lt;=100000,'中古車掲載'!AL151=1,'中古車掲載'!Z151="https://www.one2car.com/en/cars-for-sale/toyota/corolla-cross/year-2023"),'中古車掲載'!U151,"")</x:f>
      </x:c>
      <x:c r="BB150" s="3" t="str">
        <x:f>IF(AND('中古車掲載'!C151="One2car",'中古車掲載'!F151="ATTO 3",'中古車掲載'!L151="EXTENDED RANGE",'中古車掲載'!J151=2023,ISNUMBER('中古車掲載'!N151),'中古車掲載'!N151&gt;=50000,'中古車掲載'!O151&lt;=100000,'中古車掲載'!AL151=1),'中古車掲載'!U151,"")</x:f>
      </x:c>
      <x:c r="BC150" s="3" t="str">
        <x:f>IF(AND('中古車掲載'!C151="One2car",'中古車掲載'!F151="Corolla Cross",'中古車掲載'!L151="HEV PREMIUM SAFETY",'中古車掲載'!J151=2023,ISNUMBER('中古車掲載'!N151),'中古車掲載'!N151&gt;=50000,'中古車掲載'!O151&lt;=100000,'中古車掲載'!AL151=1,'中古車掲載'!Z151="https://www.one2car.com/en/cars-for-sale/toyota/corolla-cross/year-2023"),'中古車掲載'!U151,"")</x:f>
      </x:c>
      <x:c r="BD150" s="3" t="str">
        <x:f>IF(AND('中古車掲載'!C151="One2car",'中古車掲載'!F151="ATTO 3",'中古車掲載'!L151="EXTENDED RANGE",'中古車掲載'!J151=2023,ISNUMBER('中古車掲載'!N151),'中古車掲載'!N151&gt;=20000,'中古車掲載'!O151&lt;=50000,'中古車掲載'!AL151=1),'中古車掲載'!U151,"")</x:f>
      </x:c>
      <x:c r="BE150" s="3" t="str">
        <x:f>IF(AND('中古車掲載'!C151="One2car",'中古車掲載'!F151="Corolla Cross",'中古車掲載'!L151="HEV PREMIUM SAFETY",'中古車掲載'!J151=2023,ISNUMBER('中古車掲載'!N151),'中古車掲載'!N151&gt;=20000,'中古車掲載'!O151&lt;=50000,'中古車掲載'!AL151=1,'中古車掲載'!Z151="https://www.one2car.com/en/cars-for-sale/toyota/corolla-cross/year-2023"),'中古車掲載'!U151,"")</x:f>
      </x:c>
      <x:c r="BF150" s="3" t="str">
        <x:f>IF(AND('中古車掲載'!C151="One2car",'中古車掲載'!F151="Corolla Cross",'中古車掲載'!L151="HEV PREMIUM",'中古車掲載'!J151=2023,ISNUMBER('中古車掲載'!N151),'中古車掲載'!N151&gt;=20000,'中古車掲載'!O151&lt;=100000,'中古車掲載'!AL151=1,'中古車掲載'!Z151="https://www.one2car.com/en/cars-for-sale/toyota/corolla-cross/year-2023"),'中古車掲載'!U151,"")</x:f>
      </x:c>
      <x:c r="BG150" s="3" t="str">
        <x:f>IF(AND('中古車掲載'!C151="One2car",'中古車掲載'!F151="Corolla Cross",'中古車掲載'!L151="HEV GR SPORT",'中古車掲載'!J151=2023,ISNUMBER('中古車掲載'!N151),'中古車掲載'!N151&gt;=20000,'中古車掲載'!O151&lt;=100000,'中古車掲載'!AL151=1,'中古車掲載'!Z151="https://www.one2car.com/en/cars-for-sale/toyota/corolla-cross/year-2023"),'中古車掲載'!U151,"")</x:f>
      </x:c>
      <x:c r="BH150" s="3" t="str">
        <x:f>IF(AND('中古車掲載'!C151="One2car",'中古車掲載'!F151="DOLPHIN",'中古車掲載'!L151="STANDARD RANGE",'中古車掲載'!J151=2023,ISNUMBER('中古車掲載'!N151),'中古車掲載'!N151&gt;=20000,'中古車掲載'!O151&lt;=100000,'中古車掲載'!AL151=1),'中古車掲載'!U151,"")</x:f>
      </x:c>
      <x:c r="BI150" s="3" t="str">
        <x:v>One2car|Hilux Revo|ICE|Other province</x:v>
      </x:c>
      <x:c r="BJ150" s="3" t="n">
        <x:v>148</x:v>
      </x:c>
      <x:c r="BK150" s="3" t="n">
        <x:f>'中古車掲載'!AM148</x:f>
        <x:v>1079000</x:v>
      </x:c>
      <x:c r="BL150" s="3" t="str">
        <x:f>IF(ISNUMBER('中古車掲載'!AN148),'中古車掲載'!AN148,"")</x:f>
      </x:c>
      <x:c r="BM150" s="3" t="str">
        <x:v>2022|Smart cab</x:v>
      </x:c>
      <x:c r="BN150" s="3" t="n">
        <x:v>769</x:v>
      </x:c>
      <x:c r="BO150" s="3" t="n">
        <x:f>'中古車掲載'!AM769</x:f>
        <x:v>368000</x:v>
      </x:c>
      <x:c r="BP150" s="3" t="str">
        <x:v>2.4 E Z EDITION SMART CAB</x:v>
      </x:c>
      <x:c r="BQ150" s="3"/>
      <x:c r="BR150" s="3"/>
    </x:row>
    <x:row r="151" ht="22" customHeight="1">
      <x:c r="A151" s="3" t="str">
        <x:v>Hilux Revo</x:v>
      </x:c>
      <x:c r="B151" s="3" t="str">
        <x:v>ICE</x:v>
      </x:c>
      <x:c r="C151" s="3" t="str">
        <x:v>Taladrod</x:v>
      </x:c>
      <x:c r="D151" s="3" t="n">
        <x:v>2022</x:v>
      </x:c>
      <x:c r="E151" s="22" t="n">
        <x:f>COUNT('中古車掲載'!AM767:AM829)</x:f>
        <x:v>63</x:v>
      </x:c>
      <x:c r="F151" s="22" t="n">
        <x:f>IF(COUNT('中古車掲載'!AM767:AM829)=0,"",QUARTILE('中古車掲載'!AM767:AM829,1))</x:f>
        <x:v>399000</x:v>
      </x:c>
      <x:c r="G151" s="22" t="n">
        <x:f>IF(COUNT('中古車掲載'!AM767:AM829)=0,"",MEDIAN('中古車掲載'!AM767:AM829))</x:f>
        <x:v>465000</x:v>
      </x:c>
      <x:c r="H151" s="22" t="n">
        <x:f>IF(COUNT('中古車掲載'!AM767:AM829)=0,"",QUARTILE('中古車掲載'!AM767:AM829,3))</x:f>
        <x:v>599000</x:v>
      </x:c>
      <x:c r="I151" s="22" t="n">
        <x:f>COUNT('中古車掲載'!AN767:AN829)</x:f>
        <x:v>0</x:v>
      </x:c>
      <x:c r="J151" s="23" t="str">
        <x:f>IF(COUNT('中古車掲載'!AN767:AN829)=0,"",MEDIAN('中古車掲載'!AN767:AN829))</x:f>
      </x:c>
      <x:c r="K151" s="3"/>
      <x:c r="L151" s="3"/>
      <x:c r="M151" s="3"/>
      <x:c r="N151" s="3"/>
      <x:c r="O151" s="3"/>
      <x:c r="P151" s="3"/>
      <x:c r="Q151" s="3"/>
      <x:c r="R151" s="3"/>
      <x:c r="S151" s="3"/>
      <x:c r="T151" s="3"/>
      <x:c r="U151" s="3"/>
      <x:c r="V151" s="3"/>
      <x:c r="W151" s="3"/>
      <x:c r="X151" s="3"/>
      <x:c r="Y151" s="3"/>
      <x:c r="Z151" s="3"/>
      <x:c r="AA151" s="3"/>
      <x:c r="AB151" s="3"/>
      <x:c r="AC151" s="3"/>
      <x:c r="AD151" s="3"/>
      <x:c r="AE151" s="3"/>
      <x:c r="AF151" s="3"/>
      <x:c r="AG151" s="3"/>
      <x:c r="AH151" s="3"/>
      <x:c r="AI151" s="3"/>
      <x:c r="AJ151" s="3"/>
      <x:c r="AK151" s="3"/>
      <x:c r="AL151" s="3"/>
      <x:c r="AM151" s="3"/>
      <x:c r="AN151" s="3"/>
      <x:c r="AO151" s="3"/>
      <x:c r="AP151" s="3"/>
      <x:c r="AQ151" s="3"/>
      <x:c r="AR151" s="3"/>
      <x:c r="AS151" s="3"/>
      <x:c r="AT151" s="3"/>
      <x:c r="AU151" s="3"/>
      <x:c r="AV151" s="3"/>
      <x:c r="AW151" s="3"/>
      <x:c r="AX151" s="3"/>
      <x:c r="AY151" s="3"/>
      <x:c r="AZ151" s="3" t="str">
        <x:f>IF(AND('中古車掲載'!C152="One2car",'中古車掲載'!F152="ATTO 3",'中古車掲載'!L152="EXTENDED RANGE",'中古車掲載'!J152=2023,ISNUMBER('中古車掲載'!N152),'中古車掲載'!N152&gt;=20000,'中古車掲載'!O152&lt;=100000,'中古車掲載'!AL152=1),'中古車掲載'!U152,"")</x:f>
      </x:c>
      <x:c r="BA151" s="3" t="str">
        <x:f>IF(AND('中古車掲載'!C152="One2car",'中古車掲載'!F152="Corolla Cross",'中古車掲載'!L152="HEV PREMIUM SAFETY",'中古車掲載'!J152=2023,ISNUMBER('中古車掲載'!N152),'中古車掲載'!N152&gt;=20000,'中古車掲載'!O152&lt;=100000,'中古車掲載'!AL152=1,'中古車掲載'!Z152="https://www.one2car.com/en/cars-for-sale/toyota/corolla-cross/year-2023"),'中古車掲載'!U152,"")</x:f>
      </x:c>
      <x:c r="BB151" s="3" t="str">
        <x:f>IF(AND('中古車掲載'!C152="One2car",'中古車掲載'!F152="ATTO 3",'中古車掲載'!L152="EXTENDED RANGE",'中古車掲載'!J152=2023,ISNUMBER('中古車掲載'!N152),'中古車掲載'!N152&gt;=50000,'中古車掲載'!O152&lt;=100000,'中古車掲載'!AL152=1),'中古車掲載'!U152,"")</x:f>
      </x:c>
      <x:c r="BC151" s="3" t="str">
        <x:f>IF(AND('中古車掲載'!C152="One2car",'中古車掲載'!F152="Corolla Cross",'中古車掲載'!L152="HEV PREMIUM SAFETY",'中古車掲載'!J152=2023,ISNUMBER('中古車掲載'!N152),'中古車掲載'!N152&gt;=50000,'中古車掲載'!O152&lt;=100000,'中古車掲載'!AL152=1,'中古車掲載'!Z152="https://www.one2car.com/en/cars-for-sale/toyota/corolla-cross/year-2023"),'中古車掲載'!U152,"")</x:f>
      </x:c>
      <x:c r="BD151" s="3" t="str">
        <x:f>IF(AND('中古車掲載'!C152="One2car",'中古車掲載'!F152="ATTO 3",'中古車掲載'!L152="EXTENDED RANGE",'中古車掲載'!J152=2023,ISNUMBER('中古車掲載'!N152),'中古車掲載'!N152&gt;=20000,'中古車掲載'!O152&lt;=50000,'中古車掲載'!AL152=1),'中古車掲載'!U152,"")</x:f>
      </x:c>
      <x:c r="BE151" s="3" t="str">
        <x:f>IF(AND('中古車掲載'!C152="One2car",'中古車掲載'!F152="Corolla Cross",'中古車掲載'!L152="HEV PREMIUM SAFETY",'中古車掲載'!J152=2023,ISNUMBER('中古車掲載'!N152),'中古車掲載'!N152&gt;=20000,'中古車掲載'!O152&lt;=50000,'中古車掲載'!AL152=1,'中古車掲載'!Z152="https://www.one2car.com/en/cars-for-sale/toyota/corolla-cross/year-2023"),'中古車掲載'!U152,"")</x:f>
      </x:c>
      <x:c r="BF151" s="3" t="str">
        <x:f>IF(AND('中古車掲載'!C152="One2car",'中古車掲載'!F152="Corolla Cross",'中古車掲載'!L152="HEV PREMIUM",'中古車掲載'!J152=2023,ISNUMBER('中古車掲載'!N152),'中古車掲載'!N152&gt;=20000,'中古車掲載'!O152&lt;=100000,'中古車掲載'!AL152=1,'中古車掲載'!Z152="https://www.one2car.com/en/cars-for-sale/toyota/corolla-cross/year-2023"),'中古車掲載'!U152,"")</x:f>
      </x:c>
      <x:c r="BG151" s="3" t="str">
        <x:f>IF(AND('中古車掲載'!C152="One2car",'中古車掲載'!F152="Corolla Cross",'中古車掲載'!L152="HEV GR SPORT",'中古車掲載'!J152=2023,ISNUMBER('中古車掲載'!N152),'中古車掲載'!N152&gt;=20000,'中古車掲載'!O152&lt;=100000,'中古車掲載'!AL152=1,'中古車掲載'!Z152="https://www.one2car.com/en/cars-for-sale/toyota/corolla-cross/year-2023"),'中古車掲載'!U152,"")</x:f>
      </x:c>
      <x:c r="BH151" s="3" t="str">
        <x:f>IF(AND('中古車掲載'!C152="One2car",'中古車掲載'!F152="DOLPHIN",'中古車掲載'!L152="STANDARD RANGE",'中古車掲載'!J152=2023,ISNUMBER('中古車掲載'!N152),'中古車掲載'!N152&gt;=20000,'中古車掲載'!O152&lt;=100000,'中古車掲載'!AL152=1),'中古車掲載'!U152,"")</x:f>
      </x:c>
      <x:c r="BI151" s="3" t="str">
        <x:v>One2car|SEAL|BEV|Bangkok metro</x:v>
      </x:c>
      <x:c r="BJ151" s="3" t="n">
        <x:v>152</x:v>
      </x:c>
      <x:c r="BK151" s="3" t="n">
        <x:f>'中古車掲載'!AM152</x:f>
        <x:v>589000</x:v>
      </x:c>
      <x:c r="BL151" s="3" t="n">
        <x:f>IF(ISNUMBER('中古車掲載'!AN152),'中古車掲載'!AN152,"")</x:f>
        <x:v>0.44452830188679243</x:v>
      </x:c>
      <x:c r="BM151" s="3" t="str">
        <x:v>2022|Smart cab</x:v>
      </x:c>
      <x:c r="BN151" s="3" t="n">
        <x:v>770</x:v>
      </x:c>
      <x:c r="BO151" s="3" t="n">
        <x:f>'中古車掲載'!AM770</x:f>
        <x:v>399000</x:v>
      </x:c>
      <x:c r="BP151" s="3" t="str">
        <x:v>2.4 E Z EDITION SMART CAB</x:v>
      </x:c>
      <x:c r="BQ151" s="3"/>
      <x:c r="BR151" s="3"/>
    </x:row>
    <x:row r="152" ht="22" customHeight="1">
      <x:c r="A152" s="3" t="str">
        <x:v>Hilux Revo</x:v>
      </x:c>
      <x:c r="B152" s="3" t="str">
        <x:v>ICE</x:v>
      </x:c>
      <x:c r="C152" s="3" t="str">
        <x:v>Taladrod</x:v>
      </x:c>
      <x:c r="D152" s="3" t="n">
        <x:v>2023</x:v>
      </x:c>
      <x:c r="E152" s="22" t="n">
        <x:f>COUNT('中古車掲載'!AM830:AM867)</x:f>
        <x:v>38</x:v>
      </x:c>
      <x:c r="F152" s="22" t="n">
        <x:f>IF(COUNT('中古車掲載'!AM830:AM867)=0,"",QUARTILE('中古車掲載'!AM830:AM867,1))</x:f>
        <x:v>468250</x:v>
      </x:c>
      <x:c r="G152" s="22" t="n">
        <x:f>IF(COUNT('中古車掲載'!AM830:AM867)=0,"",MEDIAN('中古車掲載'!AM830:AM867))</x:f>
        <x:v>569000</x:v>
      </x:c>
      <x:c r="H152" s="22" t="n">
        <x:f>IF(COUNT('中古車掲載'!AM830:AM867)=0,"",QUARTILE('中古車掲載'!AM830:AM867,3))</x:f>
        <x:v>649750</x:v>
      </x:c>
      <x:c r="I152" s="22" t="n">
        <x:f>COUNT('中古車掲載'!AN830:AN867)</x:f>
        <x:v>0</x:v>
      </x:c>
      <x:c r="J152" s="23" t="str">
        <x:f>IF(COUNT('中古車掲載'!AN830:AN867)=0,"",MEDIAN('中古車掲載'!AN830:AN867))</x:f>
      </x:c>
      <x:c r="K152" s="3"/>
      <x:c r="L152" s="3"/>
      <x:c r="M152" s="3"/>
      <x:c r="N152" s="3"/>
      <x:c r="O152" s="3"/>
      <x:c r="P152" s="3"/>
      <x:c r="Q152" s="3"/>
      <x:c r="R152" s="3"/>
      <x:c r="S152" s="3"/>
      <x:c r="T152" s="3"/>
      <x:c r="U152" s="3"/>
      <x:c r="V152" s="3"/>
      <x:c r="W152" s="3"/>
      <x:c r="X152" s="3"/>
      <x:c r="Y152" s="3"/>
      <x:c r="Z152" s="3"/>
      <x:c r="AA152" s="3"/>
      <x:c r="AB152" s="3"/>
      <x:c r="AC152" s="3"/>
      <x:c r="AD152" s="3"/>
      <x:c r="AE152" s="3"/>
      <x:c r="AF152" s="3"/>
      <x:c r="AG152" s="3"/>
      <x:c r="AH152" s="3"/>
      <x:c r="AI152" s="3"/>
      <x:c r="AJ152" s="3"/>
      <x:c r="AK152" s="3"/>
      <x:c r="AL152" s="3"/>
      <x:c r="AM152" s="3"/>
      <x:c r="AN152" s="3"/>
      <x:c r="AO152" s="3"/>
      <x:c r="AP152" s="3"/>
      <x:c r="AQ152" s="3"/>
      <x:c r="AR152" s="3"/>
      <x:c r="AS152" s="3"/>
      <x:c r="AT152" s="3"/>
      <x:c r="AU152" s="3"/>
      <x:c r="AV152" s="3"/>
      <x:c r="AW152" s="3"/>
      <x:c r="AX152" s="3"/>
      <x:c r="AY152" s="3"/>
      <x:c r="AZ152" s="3" t="str">
        <x:f>IF(AND('中古車掲載'!C153="One2car",'中古車掲載'!F153="ATTO 3",'中古車掲載'!L153="EXTENDED RANGE",'中古車掲載'!J153=2023,ISNUMBER('中古車掲載'!N153),'中古車掲載'!N153&gt;=20000,'中古車掲載'!O153&lt;=100000,'中古車掲載'!AL153=1),'中古車掲載'!U153,"")</x:f>
      </x:c>
      <x:c r="BA152" s="3" t="str">
        <x:f>IF(AND('中古車掲載'!C153="One2car",'中古車掲載'!F153="Corolla Cross",'中古車掲載'!L153="HEV PREMIUM SAFETY",'中古車掲載'!J153=2023,ISNUMBER('中古車掲載'!N153),'中古車掲載'!N153&gt;=20000,'中古車掲載'!O153&lt;=100000,'中古車掲載'!AL153=1,'中古車掲載'!Z153="https://www.one2car.com/en/cars-for-sale/toyota/corolla-cross/year-2023"),'中古車掲載'!U153,"")</x:f>
      </x:c>
      <x:c r="BB152" s="3" t="str">
        <x:f>IF(AND('中古車掲載'!C153="One2car",'中古車掲載'!F153="ATTO 3",'中古車掲載'!L153="EXTENDED RANGE",'中古車掲載'!J153=2023,ISNUMBER('中古車掲載'!N153),'中古車掲載'!N153&gt;=50000,'中古車掲載'!O153&lt;=100000,'中古車掲載'!AL153=1),'中古車掲載'!U153,"")</x:f>
      </x:c>
      <x:c r="BC152" s="3" t="str">
        <x:f>IF(AND('中古車掲載'!C153="One2car",'中古車掲載'!F153="Corolla Cross",'中古車掲載'!L153="HEV PREMIUM SAFETY",'中古車掲載'!J153=2023,ISNUMBER('中古車掲載'!N153),'中古車掲載'!N153&gt;=50000,'中古車掲載'!O153&lt;=100000,'中古車掲載'!AL153=1,'中古車掲載'!Z153="https://www.one2car.com/en/cars-for-sale/toyota/corolla-cross/year-2023"),'中古車掲載'!U153,"")</x:f>
      </x:c>
      <x:c r="BD152" s="3" t="str">
        <x:f>IF(AND('中古車掲載'!C153="One2car",'中古車掲載'!F153="ATTO 3",'中古車掲載'!L153="EXTENDED RANGE",'中古車掲載'!J153=2023,ISNUMBER('中古車掲載'!N153),'中古車掲載'!N153&gt;=20000,'中古車掲載'!O153&lt;=50000,'中古車掲載'!AL153=1),'中古車掲載'!U153,"")</x:f>
      </x:c>
      <x:c r="BE152" s="3" t="str">
        <x:f>IF(AND('中古車掲載'!C153="One2car",'中古車掲載'!F153="Corolla Cross",'中古車掲載'!L153="HEV PREMIUM SAFETY",'中古車掲載'!J153=2023,ISNUMBER('中古車掲載'!N153),'中古車掲載'!N153&gt;=20000,'中古車掲載'!O153&lt;=50000,'中古車掲載'!AL153=1,'中古車掲載'!Z153="https://www.one2car.com/en/cars-for-sale/toyota/corolla-cross/year-2023"),'中古車掲載'!U153,"")</x:f>
      </x:c>
      <x:c r="BF152" s="3" t="str">
        <x:f>IF(AND('中古車掲載'!C153="One2car",'中古車掲載'!F153="Corolla Cross",'中古車掲載'!L153="HEV PREMIUM",'中古車掲載'!J153=2023,ISNUMBER('中古車掲載'!N153),'中古車掲載'!N153&gt;=20000,'中古車掲載'!O153&lt;=100000,'中古車掲載'!AL153=1,'中古車掲載'!Z153="https://www.one2car.com/en/cars-for-sale/toyota/corolla-cross/year-2023"),'中古車掲載'!U153,"")</x:f>
      </x:c>
      <x:c r="BG152" s="3" t="str">
        <x:f>IF(AND('中古車掲載'!C153="One2car",'中古車掲載'!F153="Corolla Cross",'中古車掲載'!L153="HEV GR SPORT",'中古車掲載'!J153=2023,ISNUMBER('中古車掲載'!N153),'中古車掲載'!N153&gt;=20000,'中古車掲載'!O153&lt;=100000,'中古車掲載'!AL153=1,'中古車掲載'!Z153="https://www.one2car.com/en/cars-for-sale/toyota/corolla-cross/year-2023"),'中古車掲載'!U153,"")</x:f>
      </x:c>
      <x:c r="BH152" s="3" t="str">
        <x:f>IF(AND('中古車掲載'!C153="One2car",'中古車掲載'!F153="DOLPHIN",'中古車掲載'!L153="STANDARD RANGE",'中古車掲載'!J153=2023,ISNUMBER('中古車掲載'!N153),'中古車掲載'!N153&gt;=20000,'中古車掲載'!O153&lt;=100000,'中古車掲載'!AL153=1),'中古車掲載'!U153,"")</x:f>
      </x:c>
      <x:c r="BI152" s="3" t="str">
        <x:v>One2car|SEAL|BEV|Bangkok metro</x:v>
      </x:c>
      <x:c r="BJ152" s="3" t="n">
        <x:v>153</x:v>
      </x:c>
      <x:c r="BK152" s="3" t="n">
        <x:f>'中古車掲載'!AM153</x:f>
        <x:v>727000</x:v>
      </x:c>
      <x:c r="BL152" s="3" t="n">
        <x:f>IF(ISNUMBER('中古車掲載'!AN153),'中古車掲載'!AN153,"")</x:f>
        <x:v>0.5017253278122843</x:v>
      </x:c>
      <x:c r="BM152" s="3" t="str">
        <x:v>2022|Smart cab</x:v>
      </x:c>
      <x:c r="BN152" s="3" t="n">
        <x:v>774</x:v>
      </x:c>
      <x:c r="BO152" s="3" t="n">
        <x:f>'中古車掲載'!AM774</x:f>
        <x:v>479000</x:v>
      </x:c>
      <x:c r="BP152" s="3" t="str">
        <x:v>2.4 ENTRY PRERUNNER SMART CAB</x:v>
      </x:c>
      <x:c r="BQ152" s="3"/>
      <x:c r="BR152" s="3"/>
    </x:row>
    <x:row r="153" ht="22" customHeight="1">
      <x:c r="A153" s="3" t="str">
        <x:v>Hilux Revo</x:v>
      </x:c>
      <x:c r="B153" s="3" t="str">
        <x:v>ICE</x:v>
      </x:c>
      <x:c r="C153" s="3" t="str">
        <x:v>Taladrod</x:v>
      </x:c>
      <x:c r="D153" s="3" t="n">
        <x:v>2024</x:v>
      </x:c>
      <x:c r="E153" s="22" t="n">
        <x:f>COUNT('中古車掲載'!AM868:AM893)</x:f>
        <x:v>26</x:v>
      </x:c>
      <x:c r="F153" s="22" t="n">
        <x:f>IF(COUNT('中古車掲載'!AM868:AM893)=0,"",QUARTILE('中古車掲載'!AM868:AM893,1))</x:f>
        <x:v>479000</x:v>
      </x:c>
      <x:c r="G153" s="22" t="n">
        <x:f>IF(COUNT('中古車掲載'!AM868:AM893)=0,"",MEDIAN('中古車掲載'!AM868:AM893))</x:f>
        <x:v>589000</x:v>
      </x:c>
      <x:c r="H153" s="22" t="n">
        <x:f>IF(COUNT('中古車掲載'!AM868:AM893)=0,"",QUARTILE('中古車掲載'!AM868:AM893,3))</x:f>
        <x:v>694000</x:v>
      </x:c>
      <x:c r="I153" s="22" t="n">
        <x:f>COUNT('中古車掲載'!AN868:AN893)</x:f>
        <x:v>0</x:v>
      </x:c>
      <x:c r="J153" s="23" t="str">
        <x:f>IF(COUNT('中古車掲載'!AN868:AN893)=0,"",MEDIAN('中古車掲載'!AN868:AN893))</x:f>
      </x:c>
      <x:c r="K153" s="3"/>
      <x:c r="L153" s="3"/>
      <x:c r="M153" s="3"/>
      <x:c r="N153" s="3"/>
      <x:c r="O153" s="3"/>
      <x:c r="P153" s="3"/>
      <x:c r="Q153" s="3"/>
      <x:c r="R153" s="3"/>
      <x:c r="S153" s="3"/>
      <x:c r="T153" s="3"/>
      <x:c r="U153" s="3"/>
      <x:c r="V153" s="3"/>
      <x:c r="W153" s="3"/>
      <x:c r="X153" s="3"/>
      <x:c r="Y153" s="3"/>
      <x:c r="Z153" s="3"/>
      <x:c r="AA153" s="3"/>
      <x:c r="AB153" s="3"/>
      <x:c r="AC153" s="3"/>
      <x:c r="AD153" s="3"/>
      <x:c r="AE153" s="3"/>
      <x:c r="AF153" s="3"/>
      <x:c r="AG153" s="3"/>
      <x:c r="AH153" s="3"/>
      <x:c r="AI153" s="3"/>
      <x:c r="AJ153" s="3"/>
      <x:c r="AK153" s="3"/>
      <x:c r="AL153" s="3"/>
      <x:c r="AM153" s="3"/>
      <x:c r="AN153" s="3"/>
      <x:c r="AO153" s="3"/>
      <x:c r="AP153" s="3"/>
      <x:c r="AQ153" s="3"/>
      <x:c r="AR153" s="3"/>
      <x:c r="AS153" s="3"/>
      <x:c r="AT153" s="3"/>
      <x:c r="AU153" s="3"/>
      <x:c r="AV153" s="3"/>
      <x:c r="AW153" s="3"/>
      <x:c r="AX153" s="3"/>
      <x:c r="AY153" s="3"/>
      <x:c r="AZ153" s="3" t="str">
        <x:f>IF(AND('中古車掲載'!C154="One2car",'中古車掲載'!F154="ATTO 3",'中古車掲載'!L154="EXTENDED RANGE",'中古車掲載'!J154=2023,ISNUMBER('中古車掲載'!N154),'中古車掲載'!N154&gt;=20000,'中古車掲載'!O154&lt;=100000,'中古車掲載'!AL154=1),'中古車掲載'!U154,"")</x:f>
      </x:c>
      <x:c r="BA153" s="3" t="str">
        <x:f>IF(AND('中古車掲載'!C154="One2car",'中古車掲載'!F154="Corolla Cross",'中古車掲載'!L154="HEV PREMIUM SAFETY",'中古車掲載'!J154=2023,ISNUMBER('中古車掲載'!N154),'中古車掲載'!N154&gt;=20000,'中古車掲載'!O154&lt;=100000,'中古車掲載'!AL154=1,'中古車掲載'!Z154="https://www.one2car.com/en/cars-for-sale/toyota/corolla-cross/year-2023"),'中古車掲載'!U154,"")</x:f>
      </x:c>
      <x:c r="BB153" s="3" t="str">
        <x:f>IF(AND('中古車掲載'!C154="One2car",'中古車掲載'!F154="ATTO 3",'中古車掲載'!L154="EXTENDED RANGE",'中古車掲載'!J154=2023,ISNUMBER('中古車掲載'!N154),'中古車掲載'!N154&gt;=50000,'中古車掲載'!O154&lt;=100000,'中古車掲載'!AL154=1),'中古車掲載'!U154,"")</x:f>
      </x:c>
      <x:c r="BC153" s="3" t="str">
        <x:f>IF(AND('中古車掲載'!C154="One2car",'中古車掲載'!F154="Corolla Cross",'中古車掲載'!L154="HEV PREMIUM SAFETY",'中古車掲載'!J154=2023,ISNUMBER('中古車掲載'!N154),'中古車掲載'!N154&gt;=50000,'中古車掲載'!O154&lt;=100000,'中古車掲載'!AL154=1,'中古車掲載'!Z154="https://www.one2car.com/en/cars-for-sale/toyota/corolla-cross/year-2023"),'中古車掲載'!U154,"")</x:f>
      </x:c>
      <x:c r="BD153" s="3" t="str">
        <x:f>IF(AND('中古車掲載'!C154="One2car",'中古車掲載'!F154="ATTO 3",'中古車掲載'!L154="EXTENDED RANGE",'中古車掲載'!J154=2023,ISNUMBER('中古車掲載'!N154),'中古車掲載'!N154&gt;=20000,'中古車掲載'!O154&lt;=50000,'中古車掲載'!AL154=1),'中古車掲載'!U154,"")</x:f>
      </x:c>
      <x:c r="BE153" s="3" t="str">
        <x:f>IF(AND('中古車掲載'!C154="One2car",'中古車掲載'!F154="Corolla Cross",'中古車掲載'!L154="HEV PREMIUM SAFETY",'中古車掲載'!J154=2023,ISNUMBER('中古車掲載'!N154),'中古車掲載'!N154&gt;=20000,'中古車掲載'!O154&lt;=50000,'中古車掲載'!AL154=1,'中古車掲載'!Z154="https://www.one2car.com/en/cars-for-sale/toyota/corolla-cross/year-2023"),'中古車掲載'!U154,"")</x:f>
      </x:c>
      <x:c r="BF153" s="3" t="str">
        <x:f>IF(AND('中古車掲載'!C154="One2car",'中古車掲載'!F154="Corolla Cross",'中古車掲載'!L154="HEV PREMIUM",'中古車掲載'!J154=2023,ISNUMBER('中古車掲載'!N154),'中古車掲載'!N154&gt;=20000,'中古車掲載'!O154&lt;=100000,'中古車掲載'!AL154=1,'中古車掲載'!Z154="https://www.one2car.com/en/cars-for-sale/toyota/corolla-cross/year-2023"),'中古車掲載'!U154,"")</x:f>
      </x:c>
      <x:c r="BG153" s="3" t="str">
        <x:f>IF(AND('中古車掲載'!C154="One2car",'中古車掲載'!F154="Corolla Cross",'中古車掲載'!L154="HEV GR SPORT",'中古車掲載'!J154=2023,ISNUMBER('中古車掲載'!N154),'中古車掲載'!N154&gt;=20000,'中古車掲載'!O154&lt;=100000,'中古車掲載'!AL154=1,'中古車掲載'!Z154="https://www.one2car.com/en/cars-for-sale/toyota/corolla-cross/year-2023"),'中古車掲載'!U154,"")</x:f>
      </x:c>
      <x:c r="BH153" s="3" t="str">
        <x:f>IF(AND('中古車掲載'!C154="One2car",'中古車掲載'!F154="DOLPHIN",'中古車掲載'!L154="STANDARD RANGE",'中古車掲載'!J154=2023,ISNUMBER('中古車掲載'!N154),'中古車掲載'!N154&gt;=20000,'中古車掲載'!O154&lt;=100000,'中古車掲載'!AL154=1),'中古車掲載'!U154,"")</x:f>
      </x:c>
      <x:c r="BI153" s="3" t="str">
        <x:v>One2car|SEAL|BEV|Bangkok metro</x:v>
      </x:c>
      <x:c r="BJ153" s="3" t="n">
        <x:v>154</x:v>
      </x:c>
      <x:c r="BK153" s="3" t="n">
        <x:f>'中古車掲載'!AM154</x:f>
        <x:v>659000</x:v>
      </x:c>
      <x:c r="BL153" s="3" t="n">
        <x:f>IF(ISNUMBER('中古車掲載'!AN154),'中古車掲載'!AN154,"")</x:f>
        <x:v>0.49735849056603776</x:v>
      </x:c>
      <x:c r="BM153" s="3" t="str">
        <x:v>2022|Smart cab</x:v>
      </x:c>
      <x:c r="BN153" s="3" t="n">
        <x:v>791</x:v>
      </x:c>
      <x:c r="BO153" s="3" t="n">
        <x:f>'中古車掲載'!AM791</x:f>
        <x:v>374000</x:v>
      </x:c>
      <x:c r="BP153" s="3" t="str">
        <x:v>2.4 ENTRY Z EDITION SMART CAB</x:v>
      </x:c>
      <x:c r="BQ153" s="3"/>
      <x:c r="BR153" s="3"/>
    </x:row>
    <x:row r="154" ht="22" customHeight="1">
      <x:c r="A154" s="3" t="str">
        <x:v>Hilux Revo</x:v>
      </x:c>
      <x:c r="B154" s="3" t="str">
        <x:v>ICE</x:v>
      </x:c>
      <x:c r="C154" s="3" t="str">
        <x:v>Taladrod</x:v>
      </x:c>
      <x:c r="D154" s="3" t="n">
        <x:v>2025</x:v>
      </x:c>
      <x:c r="E154" s="22" t="n">
        <x:f>COUNT('中古車掲載'!AM894:AM917)</x:f>
        <x:v>24</x:v>
      </x:c>
      <x:c r="F154" s="22" t="n">
        <x:f>IF(COUNT('中古車掲載'!AM894:AM917)=0,"",QUARTILE('中古車掲載'!AM894:AM917,1))</x:f>
        <x:v>576500</x:v>
      </x:c>
      <x:c r="G154" s="22" t="n">
        <x:f>IF(COUNT('中古車掲載'!AM894:AM917)=0,"",MEDIAN('中古車掲載'!AM894:AM917))</x:f>
        <x:v>624000</x:v>
      </x:c>
      <x:c r="H154" s="22" t="n">
        <x:f>IF(COUNT('中古車掲載'!AM894:AM917)=0,"",QUARTILE('中古車掲載'!AM894:AM917,3))</x:f>
        <x:v>699000</x:v>
      </x:c>
      <x:c r="I154" s="22" t="n">
        <x:f>COUNT('中古車掲載'!AN894:AN917)</x:f>
        <x:v>0</x:v>
      </x:c>
      <x:c r="J154" s="23" t="str">
        <x:f>IF(COUNT('中古車掲載'!AN894:AN917)=0,"",MEDIAN('中古車掲載'!AN894:AN917))</x:f>
      </x:c>
      <x:c r="K154" s="3"/>
      <x:c r="L154" s="3"/>
      <x:c r="M154" s="3"/>
      <x:c r="N154" s="3"/>
      <x:c r="O154" s="3"/>
      <x:c r="P154" s="3"/>
      <x:c r="Q154" s="3"/>
      <x:c r="R154" s="3"/>
      <x:c r="S154" s="3"/>
      <x:c r="T154" s="3"/>
      <x:c r="U154" s="3"/>
      <x:c r="V154" s="3"/>
      <x:c r="W154" s="3"/>
      <x:c r="X154" s="3"/>
      <x:c r="Y154" s="3"/>
      <x:c r="Z154" s="3"/>
      <x:c r="AA154" s="3"/>
      <x:c r="AB154" s="3"/>
      <x:c r="AC154" s="3"/>
      <x:c r="AD154" s="3"/>
      <x:c r="AE154" s="3"/>
      <x:c r="AF154" s="3"/>
      <x:c r="AG154" s="3"/>
      <x:c r="AH154" s="3"/>
      <x:c r="AI154" s="3"/>
      <x:c r="AJ154" s="3"/>
      <x:c r="AK154" s="3"/>
      <x:c r="AL154" s="3"/>
      <x:c r="AM154" s="3"/>
      <x:c r="AN154" s="3"/>
      <x:c r="AO154" s="3"/>
      <x:c r="AP154" s="3"/>
      <x:c r="AQ154" s="3"/>
      <x:c r="AR154" s="3"/>
      <x:c r="AS154" s="3"/>
      <x:c r="AT154" s="3"/>
      <x:c r="AU154" s="3"/>
      <x:c r="AV154" s="3"/>
      <x:c r="AW154" s="3"/>
      <x:c r="AX154" s="3"/>
      <x:c r="AY154" s="3"/>
      <x:c r="AZ154" s="3" t="str">
        <x:f>IF(AND('中古車掲載'!C155="One2car",'中古車掲載'!F155="ATTO 3",'中古車掲載'!L155="EXTENDED RANGE",'中古車掲載'!J155=2023,ISNUMBER('中古車掲載'!N155),'中古車掲載'!N155&gt;=20000,'中古車掲載'!O155&lt;=100000,'中古車掲載'!AL155=1),'中古車掲載'!U155,"")</x:f>
      </x:c>
      <x:c r="BA154" s="3" t="str">
        <x:f>IF(AND('中古車掲載'!C155="One2car",'中古車掲載'!F155="Corolla Cross",'中古車掲載'!L155="HEV PREMIUM SAFETY",'中古車掲載'!J155=2023,ISNUMBER('中古車掲載'!N155),'中古車掲載'!N155&gt;=20000,'中古車掲載'!O155&lt;=100000,'中古車掲載'!AL155=1,'中古車掲載'!Z155="https://www.one2car.com/en/cars-for-sale/toyota/corolla-cross/year-2023"),'中古車掲載'!U155,"")</x:f>
      </x:c>
      <x:c r="BB154" s="3" t="str">
        <x:f>IF(AND('中古車掲載'!C155="One2car",'中古車掲載'!F155="ATTO 3",'中古車掲載'!L155="EXTENDED RANGE",'中古車掲載'!J155=2023,ISNUMBER('中古車掲載'!N155),'中古車掲載'!N155&gt;=50000,'中古車掲載'!O155&lt;=100000,'中古車掲載'!AL155=1),'中古車掲載'!U155,"")</x:f>
      </x:c>
      <x:c r="BC154" s="3" t="str">
        <x:f>IF(AND('中古車掲載'!C155="One2car",'中古車掲載'!F155="Corolla Cross",'中古車掲載'!L155="HEV PREMIUM SAFETY",'中古車掲載'!J155=2023,ISNUMBER('中古車掲載'!N155),'中古車掲載'!N155&gt;=50000,'中古車掲載'!O155&lt;=100000,'中古車掲載'!AL155=1,'中古車掲載'!Z155="https://www.one2car.com/en/cars-for-sale/toyota/corolla-cross/year-2023"),'中古車掲載'!U155,"")</x:f>
      </x:c>
      <x:c r="BD154" s="3" t="str">
        <x:f>IF(AND('中古車掲載'!C155="One2car",'中古車掲載'!F155="ATTO 3",'中古車掲載'!L155="EXTENDED RANGE",'中古車掲載'!J155=2023,ISNUMBER('中古車掲載'!N155),'中古車掲載'!N155&gt;=20000,'中古車掲載'!O155&lt;=50000,'中古車掲載'!AL155=1),'中古車掲載'!U155,"")</x:f>
      </x:c>
      <x:c r="BE154" s="3" t="str">
        <x:f>IF(AND('中古車掲載'!C155="One2car",'中古車掲載'!F155="Corolla Cross",'中古車掲載'!L155="HEV PREMIUM SAFETY",'中古車掲載'!J155=2023,ISNUMBER('中古車掲載'!N155),'中古車掲載'!N155&gt;=20000,'中古車掲載'!O155&lt;=50000,'中古車掲載'!AL155=1,'中古車掲載'!Z155="https://www.one2car.com/en/cars-for-sale/toyota/corolla-cross/year-2023"),'中古車掲載'!U155,"")</x:f>
      </x:c>
      <x:c r="BF154" s="3" t="str">
        <x:f>IF(AND('中古車掲載'!C155="One2car",'中古車掲載'!F155="Corolla Cross",'中古車掲載'!L155="HEV PREMIUM",'中古車掲載'!J155=2023,ISNUMBER('中古車掲載'!N155),'中古車掲載'!N155&gt;=20000,'中古車掲載'!O155&lt;=100000,'中古車掲載'!AL155=1,'中古車掲載'!Z155="https://www.one2car.com/en/cars-for-sale/toyota/corolla-cross/year-2023"),'中古車掲載'!U155,"")</x:f>
      </x:c>
      <x:c r="BG154" s="3" t="str">
        <x:f>IF(AND('中古車掲載'!C155="One2car",'中古車掲載'!F155="Corolla Cross",'中古車掲載'!L155="HEV GR SPORT",'中古車掲載'!J155=2023,ISNUMBER('中古車掲載'!N155),'中古車掲載'!N155&gt;=20000,'中古車掲載'!O155&lt;=100000,'中古車掲載'!AL155=1,'中古車掲載'!Z155="https://www.one2car.com/en/cars-for-sale/toyota/corolla-cross/year-2023"),'中古車掲載'!U155,"")</x:f>
      </x:c>
      <x:c r="BH154" s="3" t="str">
        <x:f>IF(AND('中古車掲載'!C155="One2car",'中古車掲載'!F155="DOLPHIN",'中古車掲載'!L155="STANDARD RANGE",'中古車掲載'!J155=2023,ISNUMBER('中古車掲載'!N155),'中古車掲載'!N155&gt;=20000,'中古車掲載'!O155&lt;=100000,'中古車掲載'!AL155=1),'中古車掲載'!U155,"")</x:f>
      </x:c>
      <x:c r="BI154" s="3" t="str">
        <x:v>One2car|SEAL|BEV|Bangkok metro</x:v>
      </x:c>
      <x:c r="BJ154" s="3" t="n">
        <x:v>155</x:v>
      </x:c>
      <x:c r="BK154" s="3" t="n">
        <x:f>'中古車掲載'!AM155</x:f>
        <x:v>799000</x:v>
      </x:c>
      <x:c r="BL154" s="3" t="str">
        <x:f>IF(ISNUMBER('中古車掲載'!AN155),'中古車掲載'!AN155,"")</x:f>
      </x:c>
      <x:c r="BM154" s="3" t="str">
        <x:v>2022|Smart cab</x:v>
      </x:c>
      <x:c r="BN154" s="3" t="n">
        <x:v>792</x:v>
      </x:c>
      <x:c r="BO154" s="3" t="n">
        <x:f>'中古車掲載'!AM792</x:f>
        <x:v>379000</x:v>
      </x:c>
      <x:c r="BP154" s="3" t="str">
        <x:v>2.4 ENTRY Z EDITION SMART CAB</x:v>
      </x:c>
      <x:c r="BQ154" s="3"/>
      <x:c r="BR154" s="3"/>
    </x:row>
    <x:row r="155" ht="22" customHeight="1">
      <x:c r="A155" s="3" t="str">
        <x:v>Hilux Revo</x:v>
      </x:c>
      <x:c r="B155" s="3" t="str">
        <x:v>ICE</x:v>
      </x:c>
      <x:c r="C155" s="3" t="str">
        <x:v>Taladrod</x:v>
      </x:c>
      <x:c r="D155" s="3" t="n">
        <x:v>2026</x:v>
      </x:c>
      <x:c r="E155" s="22" t="n">
        <x:f>COUNT('中古車掲載'!AM918:AM919)</x:f>
        <x:v>0</x:v>
      </x:c>
      <x:c r="F155" s="22" t="str">
        <x:f>IF(COUNT('中古車掲載'!AM918:AM919)=0,"",QUARTILE('中古車掲載'!AM918:AM919,1))</x:f>
      </x:c>
      <x:c r="G155" s="22" t="str">
        <x:f>IF(COUNT('中古車掲載'!AM918:AM919)=0,"",MEDIAN('中古車掲載'!AM918:AM919))</x:f>
      </x:c>
      <x:c r="H155" s="22" t="str">
        <x:f>IF(COUNT('中古車掲載'!AM918:AM919)=0,"",QUARTILE('中古車掲載'!AM918:AM919,3))</x:f>
      </x:c>
      <x:c r="I155" s="22" t="n">
        <x:f>COUNT('中古車掲載'!AN918:AN919)</x:f>
        <x:v>0</x:v>
      </x:c>
      <x:c r="J155" s="23" t="str">
        <x:f>IF(COUNT('中古車掲載'!AN918:AN919)=0,"",MEDIAN('中古車掲載'!AN918:AN919))</x:f>
      </x:c>
      <x:c r="K155" s="3"/>
      <x:c r="L155" s="3"/>
      <x:c r="M155" s="3"/>
      <x:c r="N155" s="3"/>
      <x:c r="O155" s="3"/>
      <x:c r="P155" s="3"/>
      <x:c r="Q155" s="3"/>
      <x:c r="R155" s="3"/>
      <x:c r="S155" s="3"/>
      <x:c r="T155" s="3"/>
      <x:c r="U155" s="3"/>
      <x:c r="V155" s="3"/>
      <x:c r="W155" s="3"/>
      <x:c r="X155" s="3"/>
      <x:c r="Y155" s="3"/>
      <x:c r="Z155" s="3"/>
      <x:c r="AA155" s="3"/>
      <x:c r="AB155" s="3"/>
      <x:c r="AC155" s="3"/>
      <x:c r="AD155" s="3"/>
      <x:c r="AE155" s="3"/>
      <x:c r="AF155" s="3"/>
      <x:c r="AG155" s="3"/>
      <x:c r="AH155" s="3"/>
      <x:c r="AI155" s="3"/>
      <x:c r="AJ155" s="3"/>
      <x:c r="AK155" s="3"/>
      <x:c r="AL155" s="3"/>
      <x:c r="AM155" s="3"/>
      <x:c r="AN155" s="3"/>
      <x:c r="AO155" s="3"/>
      <x:c r="AP155" s="3"/>
      <x:c r="AQ155" s="3"/>
      <x:c r="AR155" s="3"/>
      <x:c r="AS155" s="3"/>
      <x:c r="AT155" s="3"/>
      <x:c r="AU155" s="3"/>
      <x:c r="AV155" s="3"/>
      <x:c r="AW155" s="3"/>
      <x:c r="AX155" s="3"/>
      <x:c r="AY155" s="3"/>
      <x:c r="AZ155" s="3" t="str">
        <x:f>IF(AND('中古車掲載'!C156="One2car",'中古車掲載'!F156="ATTO 3",'中古車掲載'!L156="EXTENDED RANGE",'中古車掲載'!J156=2023,ISNUMBER('中古車掲載'!N156),'中古車掲載'!N156&gt;=20000,'中古車掲載'!O156&lt;=100000,'中古車掲載'!AL156=1),'中古車掲載'!U156,"")</x:f>
      </x:c>
      <x:c r="BA155" s="3" t="str">
        <x:f>IF(AND('中古車掲載'!C156="One2car",'中古車掲載'!F156="Corolla Cross",'中古車掲載'!L156="HEV PREMIUM SAFETY",'中古車掲載'!J156=2023,ISNUMBER('中古車掲載'!N156),'中古車掲載'!N156&gt;=20000,'中古車掲載'!O156&lt;=100000,'中古車掲載'!AL156=1,'中古車掲載'!Z156="https://www.one2car.com/en/cars-for-sale/toyota/corolla-cross/year-2023"),'中古車掲載'!U156,"")</x:f>
      </x:c>
      <x:c r="BB155" s="3" t="str">
        <x:f>IF(AND('中古車掲載'!C156="One2car",'中古車掲載'!F156="ATTO 3",'中古車掲載'!L156="EXTENDED RANGE",'中古車掲載'!J156=2023,ISNUMBER('中古車掲載'!N156),'中古車掲載'!N156&gt;=50000,'中古車掲載'!O156&lt;=100000,'中古車掲載'!AL156=1),'中古車掲載'!U156,"")</x:f>
      </x:c>
      <x:c r="BC155" s="3" t="str">
        <x:f>IF(AND('中古車掲載'!C156="One2car",'中古車掲載'!F156="Corolla Cross",'中古車掲載'!L156="HEV PREMIUM SAFETY",'中古車掲載'!J156=2023,ISNUMBER('中古車掲載'!N156),'中古車掲載'!N156&gt;=50000,'中古車掲載'!O156&lt;=100000,'中古車掲載'!AL156=1,'中古車掲載'!Z156="https://www.one2car.com/en/cars-for-sale/toyota/corolla-cross/year-2023"),'中古車掲載'!U156,"")</x:f>
      </x:c>
      <x:c r="BD155" s="3" t="str">
        <x:f>IF(AND('中古車掲載'!C156="One2car",'中古車掲載'!F156="ATTO 3",'中古車掲載'!L156="EXTENDED RANGE",'中古車掲載'!J156=2023,ISNUMBER('中古車掲載'!N156),'中古車掲載'!N156&gt;=20000,'中古車掲載'!O156&lt;=50000,'中古車掲載'!AL156=1),'中古車掲載'!U156,"")</x:f>
      </x:c>
      <x:c r="BE155" s="3" t="str">
        <x:f>IF(AND('中古車掲載'!C156="One2car",'中古車掲載'!F156="Corolla Cross",'中古車掲載'!L156="HEV PREMIUM SAFETY",'中古車掲載'!J156=2023,ISNUMBER('中古車掲載'!N156),'中古車掲載'!N156&gt;=20000,'中古車掲載'!O156&lt;=50000,'中古車掲載'!AL156=1,'中古車掲載'!Z156="https://www.one2car.com/en/cars-for-sale/toyota/corolla-cross/year-2023"),'中古車掲載'!U156,"")</x:f>
      </x:c>
      <x:c r="BF155" s="3" t="str">
        <x:f>IF(AND('中古車掲載'!C156="One2car",'中古車掲載'!F156="Corolla Cross",'中古車掲載'!L156="HEV PREMIUM",'中古車掲載'!J156=2023,ISNUMBER('中古車掲載'!N156),'中古車掲載'!N156&gt;=20000,'中古車掲載'!O156&lt;=100000,'中古車掲載'!AL156=1,'中古車掲載'!Z156="https://www.one2car.com/en/cars-for-sale/toyota/corolla-cross/year-2023"),'中古車掲載'!U156,"")</x:f>
      </x:c>
      <x:c r="BG155" s="3" t="str">
        <x:f>IF(AND('中古車掲載'!C156="One2car",'中古車掲載'!F156="Corolla Cross",'中古車掲載'!L156="HEV GR SPORT",'中古車掲載'!J156=2023,ISNUMBER('中古車掲載'!N156),'中古車掲載'!N156&gt;=20000,'中古車掲載'!O156&lt;=100000,'中古車掲載'!AL156=1,'中古車掲載'!Z156="https://www.one2car.com/en/cars-for-sale/toyota/corolla-cross/year-2023"),'中古車掲載'!U156,"")</x:f>
      </x:c>
      <x:c r="BH155" s="3" t="str">
        <x:f>IF(AND('中古車掲載'!C156="One2car",'中古車掲載'!F156="DOLPHIN",'中古車掲載'!L156="STANDARD RANGE",'中古車掲載'!J156=2023,ISNUMBER('中古車掲載'!N156),'中古車掲載'!N156&gt;=20000,'中古車掲載'!O156&lt;=100000,'中古車掲載'!AL156=1),'中古車掲載'!U156,"")</x:f>
      </x:c>
      <x:c r="BI155" s="3" t="str">
        <x:v>One2car|SEAL|BEV|Bangkok metro</x:v>
      </x:c>
      <x:c r="BJ155" s="3" t="n">
        <x:v>156</x:v>
      </x:c>
      <x:c r="BK155" s="3" t="n">
        <x:f>'中古車掲載'!AM156</x:f>
        <x:v>829000</x:v>
      </x:c>
      <x:c r="BL155" s="3" t="str">
        <x:f>IF(ISNUMBER('中古車掲載'!AN156),'中古車掲載'!AN156,"")</x:f>
      </x:c>
      <x:c r="BM155" s="3" t="str">
        <x:v>2022|Smart cab</x:v>
      </x:c>
      <x:c r="BN155" s="3" t="n">
        <x:v>793</x:v>
      </x:c>
      <x:c r="BO155" s="3" t="n">
        <x:f>'中古車掲載'!AM793</x:f>
        <x:v>409000</x:v>
      </x:c>
      <x:c r="BP155" s="3" t="str">
        <x:v>2.4 ENTRY Z EDITION SMART CAB</x:v>
      </x:c>
      <x:c r="BQ155" s="3"/>
      <x:c r="BR155" s="3"/>
    </x:row>
    <x:row r="156" ht="22" customHeight="1">
      <x:c r="A156" s="3" t="str">
        <x:v>Hilux Revo</x:v>
      </x:c>
      <x:c r="B156" s="3" t="str">
        <x:v>不明</x:v>
      </x:c>
      <x:c r="C156" s="3" t="str">
        <x:v>Taladrod</x:v>
      </x:c>
      <x:c r="D156" s="3" t="n">
        <x:v>2020</x:v>
      </x:c>
      <x:c r="E156" s="22" t="n">
        <x:f>COUNT('中古車掲載'!AM920:AM920)</x:f>
        <x:v>1</x:v>
      </x:c>
      <x:c r="F156" s="22" t="n">
        <x:f>IF(COUNT('中古車掲載'!AM920:AM920)=0,"",QUARTILE('中古車掲載'!AM920:AM920,1))</x:f>
        <x:v>550000</x:v>
      </x:c>
      <x:c r="G156" s="22" t="n">
        <x:f>IF(COUNT('中古車掲載'!AM920:AM920)=0,"",MEDIAN('中古車掲載'!AM920:AM920))</x:f>
        <x:v>550000</x:v>
      </x:c>
      <x:c r="H156" s="22" t="n">
        <x:f>IF(COUNT('中古車掲載'!AM920:AM920)=0,"",QUARTILE('中古車掲載'!AM920:AM920,3))</x:f>
        <x:v>550000</x:v>
      </x:c>
      <x:c r="I156" s="22" t="n">
        <x:f>COUNT('中古車掲載'!AN920:AN920)</x:f>
        <x:v>0</x:v>
      </x:c>
      <x:c r="J156" s="23" t="str">
        <x:f>IF(COUNT('中古車掲載'!AN920:AN920)=0,"",MEDIAN('中古車掲載'!AN920:AN920))</x:f>
      </x:c>
      <x:c r="K156" s="3"/>
      <x:c r="L156" s="3"/>
      <x:c r="M156" s="3"/>
      <x:c r="N156" s="3"/>
      <x:c r="O156" s="3"/>
      <x:c r="P156" s="3"/>
      <x:c r="Q156" s="3"/>
      <x:c r="R156" s="3"/>
      <x:c r="S156" s="3"/>
      <x:c r="T156" s="3"/>
      <x:c r="U156" s="3"/>
      <x:c r="V156" s="3"/>
      <x:c r="W156" s="3"/>
      <x:c r="X156" s="3"/>
      <x:c r="Y156" s="3"/>
      <x:c r="Z156" s="3"/>
      <x:c r="AA156" s="3"/>
      <x:c r="AB156" s="3"/>
      <x:c r="AC156" s="3"/>
      <x:c r="AD156" s="3"/>
      <x:c r="AE156" s="3"/>
      <x:c r="AF156" s="3"/>
      <x:c r="AG156" s="3"/>
      <x:c r="AH156" s="3"/>
      <x:c r="AI156" s="3"/>
      <x:c r="AJ156" s="3"/>
      <x:c r="AK156" s="3"/>
      <x:c r="AL156" s="3"/>
      <x:c r="AM156" s="3"/>
      <x:c r="AN156" s="3"/>
      <x:c r="AO156" s="3"/>
      <x:c r="AP156" s="3"/>
      <x:c r="AQ156" s="3"/>
      <x:c r="AR156" s="3"/>
      <x:c r="AS156" s="3"/>
      <x:c r="AT156" s="3"/>
      <x:c r="AU156" s="3"/>
      <x:c r="AV156" s="3"/>
      <x:c r="AW156" s="3"/>
      <x:c r="AX156" s="3"/>
      <x:c r="AY156" s="3"/>
      <x:c r="AZ156" s="3" t="str">
        <x:f>IF(AND('中古車掲載'!C157="One2car",'中古車掲載'!F157="ATTO 3",'中古車掲載'!L157="EXTENDED RANGE",'中古車掲載'!J157=2023,ISNUMBER('中古車掲載'!N157),'中古車掲載'!N157&gt;=20000,'中古車掲載'!O157&lt;=100000,'中古車掲載'!AL157=1),'中古車掲載'!U157,"")</x:f>
      </x:c>
      <x:c r="BA156" s="3" t="str">
        <x:f>IF(AND('中古車掲載'!C157="One2car",'中古車掲載'!F157="Corolla Cross",'中古車掲載'!L157="HEV PREMIUM SAFETY",'中古車掲載'!J157=2023,ISNUMBER('中古車掲載'!N157),'中古車掲載'!N157&gt;=20000,'中古車掲載'!O157&lt;=100000,'中古車掲載'!AL157=1,'中古車掲載'!Z157="https://www.one2car.com/en/cars-for-sale/toyota/corolla-cross/year-2023"),'中古車掲載'!U157,"")</x:f>
      </x:c>
      <x:c r="BB156" s="3" t="str">
        <x:f>IF(AND('中古車掲載'!C157="One2car",'中古車掲載'!F157="ATTO 3",'中古車掲載'!L157="EXTENDED RANGE",'中古車掲載'!J157=2023,ISNUMBER('中古車掲載'!N157),'中古車掲載'!N157&gt;=50000,'中古車掲載'!O157&lt;=100000,'中古車掲載'!AL157=1),'中古車掲載'!U157,"")</x:f>
      </x:c>
      <x:c r="BC156" s="3" t="str">
        <x:f>IF(AND('中古車掲載'!C157="One2car",'中古車掲載'!F157="Corolla Cross",'中古車掲載'!L157="HEV PREMIUM SAFETY",'中古車掲載'!J157=2023,ISNUMBER('中古車掲載'!N157),'中古車掲載'!N157&gt;=50000,'中古車掲載'!O157&lt;=100000,'中古車掲載'!AL157=1,'中古車掲載'!Z157="https://www.one2car.com/en/cars-for-sale/toyota/corolla-cross/year-2023"),'中古車掲載'!U157,"")</x:f>
      </x:c>
      <x:c r="BD156" s="3" t="str">
        <x:f>IF(AND('中古車掲載'!C157="One2car",'中古車掲載'!F157="ATTO 3",'中古車掲載'!L157="EXTENDED RANGE",'中古車掲載'!J157=2023,ISNUMBER('中古車掲載'!N157),'中古車掲載'!N157&gt;=20000,'中古車掲載'!O157&lt;=50000,'中古車掲載'!AL157=1),'中古車掲載'!U157,"")</x:f>
      </x:c>
      <x:c r="BE156" s="3" t="str">
        <x:f>IF(AND('中古車掲載'!C157="One2car",'中古車掲載'!F157="Corolla Cross",'中古車掲載'!L157="HEV PREMIUM SAFETY",'中古車掲載'!J157=2023,ISNUMBER('中古車掲載'!N157),'中古車掲載'!N157&gt;=20000,'中古車掲載'!O157&lt;=50000,'中古車掲載'!AL157=1,'中古車掲載'!Z157="https://www.one2car.com/en/cars-for-sale/toyota/corolla-cross/year-2023"),'中古車掲載'!U157,"")</x:f>
      </x:c>
      <x:c r="BF156" s="3" t="str">
        <x:f>IF(AND('中古車掲載'!C157="One2car",'中古車掲載'!F157="Corolla Cross",'中古車掲載'!L157="HEV PREMIUM",'中古車掲載'!J157=2023,ISNUMBER('中古車掲載'!N157),'中古車掲載'!N157&gt;=20000,'中古車掲載'!O157&lt;=100000,'中古車掲載'!AL157=1,'中古車掲載'!Z157="https://www.one2car.com/en/cars-for-sale/toyota/corolla-cross/year-2023"),'中古車掲載'!U157,"")</x:f>
      </x:c>
      <x:c r="BG156" s="3" t="str">
        <x:f>IF(AND('中古車掲載'!C157="One2car",'中古車掲載'!F157="Corolla Cross",'中古車掲載'!L157="HEV GR SPORT",'中古車掲載'!J157=2023,ISNUMBER('中古車掲載'!N157),'中古車掲載'!N157&gt;=20000,'中古車掲載'!O157&lt;=100000,'中古車掲載'!AL157=1,'中古車掲載'!Z157="https://www.one2car.com/en/cars-for-sale/toyota/corolla-cross/year-2023"),'中古車掲載'!U157,"")</x:f>
      </x:c>
      <x:c r="BH156" s="3" t="str">
        <x:f>IF(AND('中古車掲載'!C157="One2car",'中古車掲載'!F157="DOLPHIN",'中古車掲載'!L157="STANDARD RANGE",'中古車掲載'!J157=2023,ISNUMBER('中古車掲載'!N157),'中古車掲載'!N157&gt;=20000,'中古車掲載'!O157&lt;=100000,'中古車掲載'!AL157=1),'中古車掲載'!U157,"")</x:f>
      </x:c>
      <x:c r="BI156" s="3" t="str">
        <x:v>One2car|SEAL|BEV|Bangkok metro</x:v>
      </x:c>
      <x:c r="BJ156" s="3" t="n">
        <x:v>157</x:v>
      </x:c>
      <x:c r="BK156" s="3" t="n">
        <x:f>'中古車掲載'!AM157</x:f>
        <x:v>679000</x:v>
      </x:c>
      <x:c r="BL156" s="3" t="n">
        <x:f>IF(ISNUMBER('中古車掲載'!AN157),'中古車掲載'!AN157,"")</x:f>
        <x:v>0.46859903381642515</x:v>
      </x:c>
      <x:c r="BM156" s="3" t="str">
        <x:v>2022|Smart cab</x:v>
      </x:c>
      <x:c r="BN156" s="3" t="n">
        <x:v>794</x:v>
      </x:c>
      <x:c r="BO156" s="3" t="n">
        <x:f>'中古車掲載'!AM794</x:f>
        <x:v>379000</x:v>
      </x:c>
      <x:c r="BP156" s="3" t="str">
        <x:v>2.4 ENTRY Z EDITION SMART CAB</x:v>
      </x:c>
      <x:c r="BQ156" s="3"/>
      <x:c r="BR156" s="3"/>
    </x:row>
    <x:row r="157" ht="22" customHeight="1">
      <x:c r="A157" s="3" t="str">
        <x:v>Hilux Revo</x:v>
      </x:c>
      <x:c r="B157" s="3" t="str">
        <x:v>不明</x:v>
      </x:c>
      <x:c r="C157" s="3" t="str">
        <x:v>Taladrod</x:v>
      </x:c>
      <x:c r="D157" s="3" t="n">
        <x:v>2021</x:v>
      </x:c>
      <x:c r="E157" s="22" t="n">
        <x:f>COUNT('中古車掲載'!AM921:AM921)</x:f>
        <x:v>1</x:v>
      </x:c>
      <x:c r="F157" s="22" t="n">
        <x:f>IF(COUNT('中古車掲載'!AM921:AM921)=0,"",QUARTILE('中古車掲載'!AM921:AM921,1))</x:f>
        <x:v>360000</x:v>
      </x:c>
      <x:c r="G157" s="22" t="n">
        <x:f>IF(COUNT('中古車掲載'!AM921:AM921)=0,"",MEDIAN('中古車掲載'!AM921:AM921))</x:f>
        <x:v>360000</x:v>
      </x:c>
      <x:c r="H157" s="22" t="n">
        <x:f>IF(COUNT('中古車掲載'!AM921:AM921)=0,"",QUARTILE('中古車掲載'!AM921:AM921,3))</x:f>
        <x:v>360000</x:v>
      </x:c>
      <x:c r="I157" s="22" t="n">
        <x:f>COUNT('中古車掲載'!AN921:AN921)</x:f>
        <x:v>0</x:v>
      </x:c>
      <x:c r="J157" s="23" t="str">
        <x:f>IF(COUNT('中古車掲載'!AN921:AN921)=0,"",MEDIAN('中古車掲載'!AN921:AN921))</x:f>
      </x:c>
      <x:c r="K157" s="3"/>
      <x:c r="L157" s="3"/>
      <x:c r="M157" s="3"/>
      <x:c r="N157" s="3"/>
      <x:c r="O157" s="3"/>
      <x:c r="P157" s="3"/>
      <x:c r="Q157" s="3"/>
      <x:c r="R157" s="3"/>
      <x:c r="S157" s="3"/>
      <x:c r="T157" s="3"/>
      <x:c r="U157" s="3"/>
      <x:c r="V157" s="3"/>
      <x:c r="W157" s="3"/>
      <x:c r="X157" s="3"/>
      <x:c r="Y157" s="3"/>
      <x:c r="Z157" s="3"/>
      <x:c r="AA157" s="3"/>
      <x:c r="AB157" s="3"/>
      <x:c r="AC157" s="3"/>
      <x:c r="AD157" s="3"/>
      <x:c r="AE157" s="3"/>
      <x:c r="AF157" s="3"/>
      <x:c r="AG157" s="3"/>
      <x:c r="AH157" s="3"/>
      <x:c r="AI157" s="3"/>
      <x:c r="AJ157" s="3"/>
      <x:c r="AK157" s="3"/>
      <x:c r="AL157" s="3"/>
      <x:c r="AM157" s="3"/>
      <x:c r="AN157" s="3"/>
      <x:c r="AO157" s="3"/>
      <x:c r="AP157" s="3"/>
      <x:c r="AQ157" s="3"/>
      <x:c r="AR157" s="3"/>
      <x:c r="AS157" s="3"/>
      <x:c r="AT157" s="3"/>
      <x:c r="AU157" s="3"/>
      <x:c r="AV157" s="3"/>
      <x:c r="AW157" s="3"/>
      <x:c r="AX157" s="3"/>
      <x:c r="AY157" s="3"/>
      <x:c r="AZ157" s="3" t="str">
        <x:f>IF(AND('中古車掲載'!C158="One2car",'中古車掲載'!F158="ATTO 3",'中古車掲載'!L158="EXTENDED RANGE",'中古車掲載'!J158=2023,ISNUMBER('中古車掲載'!N158),'中古車掲載'!N158&gt;=20000,'中古車掲載'!O158&lt;=100000,'中古車掲載'!AL158=1),'中古車掲載'!U158,"")</x:f>
      </x:c>
      <x:c r="BA157" s="3" t="str">
        <x:f>IF(AND('中古車掲載'!C158="One2car",'中古車掲載'!F158="Corolla Cross",'中古車掲載'!L158="HEV PREMIUM SAFETY",'中古車掲載'!J158=2023,ISNUMBER('中古車掲載'!N158),'中古車掲載'!N158&gt;=20000,'中古車掲載'!O158&lt;=100000,'中古車掲載'!AL158=1,'中古車掲載'!Z158="https://www.one2car.com/en/cars-for-sale/toyota/corolla-cross/year-2023"),'中古車掲載'!U158,"")</x:f>
      </x:c>
      <x:c r="BB157" s="3" t="str">
        <x:f>IF(AND('中古車掲載'!C158="One2car",'中古車掲載'!F158="ATTO 3",'中古車掲載'!L158="EXTENDED RANGE",'中古車掲載'!J158=2023,ISNUMBER('中古車掲載'!N158),'中古車掲載'!N158&gt;=50000,'中古車掲載'!O158&lt;=100000,'中古車掲載'!AL158=1),'中古車掲載'!U158,"")</x:f>
      </x:c>
      <x:c r="BC157" s="3" t="str">
        <x:f>IF(AND('中古車掲載'!C158="One2car",'中古車掲載'!F158="Corolla Cross",'中古車掲載'!L158="HEV PREMIUM SAFETY",'中古車掲載'!J158=2023,ISNUMBER('中古車掲載'!N158),'中古車掲載'!N158&gt;=50000,'中古車掲載'!O158&lt;=100000,'中古車掲載'!AL158=1,'中古車掲載'!Z158="https://www.one2car.com/en/cars-for-sale/toyota/corolla-cross/year-2023"),'中古車掲載'!U158,"")</x:f>
      </x:c>
      <x:c r="BD157" s="3" t="str">
        <x:f>IF(AND('中古車掲載'!C158="One2car",'中古車掲載'!F158="ATTO 3",'中古車掲載'!L158="EXTENDED RANGE",'中古車掲載'!J158=2023,ISNUMBER('中古車掲載'!N158),'中古車掲載'!N158&gt;=20000,'中古車掲載'!O158&lt;=50000,'中古車掲載'!AL158=1),'中古車掲載'!U158,"")</x:f>
      </x:c>
      <x:c r="BE157" s="3" t="str">
        <x:f>IF(AND('中古車掲載'!C158="One2car",'中古車掲載'!F158="Corolla Cross",'中古車掲載'!L158="HEV PREMIUM SAFETY",'中古車掲載'!J158=2023,ISNUMBER('中古車掲載'!N158),'中古車掲載'!N158&gt;=20000,'中古車掲載'!O158&lt;=50000,'中古車掲載'!AL158=1,'中古車掲載'!Z158="https://www.one2car.com/en/cars-for-sale/toyota/corolla-cross/year-2023"),'中古車掲載'!U158,"")</x:f>
      </x:c>
      <x:c r="BF157" s="3" t="str">
        <x:f>IF(AND('中古車掲載'!C158="One2car",'中古車掲載'!F158="Corolla Cross",'中古車掲載'!L158="HEV PREMIUM",'中古車掲載'!J158=2023,ISNUMBER('中古車掲載'!N158),'中古車掲載'!N158&gt;=20000,'中古車掲載'!O158&lt;=100000,'中古車掲載'!AL158=1,'中古車掲載'!Z158="https://www.one2car.com/en/cars-for-sale/toyota/corolla-cross/year-2023"),'中古車掲載'!U158,"")</x:f>
      </x:c>
      <x:c r="BG157" s="3" t="str">
        <x:f>IF(AND('中古車掲載'!C158="One2car",'中古車掲載'!F158="Corolla Cross",'中古車掲載'!L158="HEV GR SPORT",'中古車掲載'!J158=2023,ISNUMBER('中古車掲載'!N158),'中古車掲載'!N158&gt;=20000,'中古車掲載'!O158&lt;=100000,'中古車掲載'!AL158=1,'中古車掲載'!Z158="https://www.one2car.com/en/cars-for-sale/toyota/corolla-cross/year-2023"),'中古車掲載'!U158,"")</x:f>
      </x:c>
      <x:c r="BH157" s="3" t="str">
        <x:f>IF(AND('中古車掲載'!C158="One2car",'中古車掲載'!F158="DOLPHIN",'中古車掲載'!L158="STANDARD RANGE",'中古車掲載'!J158=2023,ISNUMBER('中古車掲載'!N158),'中古車掲載'!N158&gt;=20000,'中古車掲載'!O158&lt;=100000,'中古車掲載'!AL158=1),'中古車掲載'!U158,"")</x:f>
      </x:c>
      <x:c r="BI157" s="3" t="str">
        <x:v>One2car|SEAL|BEV|Bangkok metro</x:v>
      </x:c>
      <x:c r="BJ157" s="3" t="n">
        <x:v>158</x:v>
      </x:c>
      <x:c r="BK157" s="3" t="n">
        <x:f>'中古車掲載'!AM158</x:f>
        <x:v>729000</x:v>
      </x:c>
      <x:c r="BL157" s="3" t="n">
        <x:f>IF(ISNUMBER('中古車掲載'!AN158),'中古車掲載'!AN158,"")</x:f>
        <x:v>0.5031055900621118</x:v>
      </x:c>
      <x:c r="BM157" s="3" t="str">
        <x:v>2022|Smart cab</x:v>
      </x:c>
      <x:c r="BN157" s="3" t="n">
        <x:v>795</x:v>
      </x:c>
      <x:c r="BO157" s="3" t="n">
        <x:f>'中古車掲載'!AM795</x:f>
        <x:v>389000</x:v>
      </x:c>
      <x:c r="BP157" s="3" t="str">
        <x:v>2.4 ENTRY Z EDITION SMART CAB</x:v>
      </x:c>
      <x:c r="BQ157" s="3"/>
      <x:c r="BR157" s="3"/>
    </x:row>
    <x:row r="158" ht="22" customHeight="1">
      <x:c r="A158" s="3" t="str">
        <x:v>M6</x:v>
      </x:c>
      <x:c r="B158" s="3" t="str">
        <x:v>BEV</x:v>
      </x:c>
      <x:c r="C158" s="3" t="str">
        <x:v>Taladrod</x:v>
      </x:c>
      <x:c r="D158" s="3" t="n">
        <x:v>2024</x:v>
      </x:c>
      <x:c r="E158" s="22" t="n">
        <x:f>COUNT('中古車掲載'!AM922:AM922)</x:f>
        <x:v>1</x:v>
      </x:c>
      <x:c r="F158" s="22" t="n">
        <x:f>IF(COUNT('中古車掲載'!AM922:AM922)=0,"",QUARTILE('中古車掲載'!AM922:AM922,1))</x:f>
        <x:v>699000</x:v>
      </x:c>
      <x:c r="G158" s="22" t="n">
        <x:f>IF(COUNT('中古車掲載'!AM922:AM922)=0,"",MEDIAN('中古車掲載'!AM922:AM922))</x:f>
        <x:v>699000</x:v>
      </x:c>
      <x:c r="H158" s="22" t="n">
        <x:f>IF(COUNT('中古車掲載'!AM922:AM922)=0,"",QUARTILE('中古車掲載'!AM922:AM922,3))</x:f>
        <x:v>699000</x:v>
      </x:c>
      <x:c r="I158" s="22" t="n">
        <x:f>COUNT('中古車掲載'!AN922:AN922)</x:f>
        <x:v>0</x:v>
      </x:c>
      <x:c r="J158" s="23" t="str">
        <x:f>IF(COUNT('中古車掲載'!AN922:AN922)=0,"",MEDIAN('中古車掲載'!AN922:AN922))</x:f>
      </x:c>
      <x:c r="K158" s="3"/>
      <x:c r="L158" s="3"/>
      <x:c r="M158" s="3"/>
      <x:c r="N158" s="3"/>
      <x:c r="O158" s="3"/>
      <x:c r="P158" s="3"/>
      <x:c r="Q158" s="3"/>
      <x:c r="R158" s="3"/>
      <x:c r="S158" s="3"/>
      <x:c r="T158" s="3"/>
      <x:c r="U158" s="3"/>
      <x:c r="V158" s="3"/>
      <x:c r="W158" s="3"/>
      <x:c r="X158" s="3"/>
      <x:c r="Y158" s="3"/>
      <x:c r="Z158" s="3"/>
      <x:c r="AA158" s="3"/>
      <x:c r="AB158" s="3"/>
      <x:c r="AC158" s="3"/>
      <x:c r="AD158" s="3"/>
      <x:c r="AE158" s="3"/>
      <x:c r="AF158" s="3"/>
      <x:c r="AG158" s="3"/>
      <x:c r="AH158" s="3"/>
      <x:c r="AI158" s="3"/>
      <x:c r="AJ158" s="3"/>
      <x:c r="AK158" s="3"/>
      <x:c r="AL158" s="3"/>
      <x:c r="AM158" s="3"/>
      <x:c r="AN158" s="3"/>
      <x:c r="AO158" s="3"/>
      <x:c r="AP158" s="3"/>
      <x:c r="AQ158" s="3"/>
      <x:c r="AR158" s="3"/>
      <x:c r="AS158" s="3"/>
      <x:c r="AT158" s="3"/>
      <x:c r="AU158" s="3"/>
      <x:c r="AV158" s="3"/>
      <x:c r="AW158" s="3"/>
      <x:c r="AX158" s="3"/>
      <x:c r="AY158" s="3"/>
      <x:c r="AZ158" s="3" t="str">
        <x:f>IF(AND('中古車掲載'!C159="One2car",'中古車掲載'!F159="ATTO 3",'中古車掲載'!L159="EXTENDED RANGE",'中古車掲載'!J159=2023,ISNUMBER('中古車掲載'!N159),'中古車掲載'!N159&gt;=20000,'中古車掲載'!O159&lt;=100000,'中古車掲載'!AL159=1),'中古車掲載'!U159,"")</x:f>
      </x:c>
      <x:c r="BA158" s="3" t="str">
        <x:f>IF(AND('中古車掲載'!C159="One2car",'中古車掲載'!F159="Corolla Cross",'中古車掲載'!L159="HEV PREMIUM SAFETY",'中古車掲載'!J159=2023,ISNUMBER('中古車掲載'!N159),'中古車掲載'!N159&gt;=20000,'中古車掲載'!O159&lt;=100000,'中古車掲載'!AL159=1,'中古車掲載'!Z159="https://www.one2car.com/en/cars-for-sale/toyota/corolla-cross/year-2023"),'中古車掲載'!U159,"")</x:f>
      </x:c>
      <x:c r="BB158" s="3" t="str">
        <x:f>IF(AND('中古車掲載'!C159="One2car",'中古車掲載'!F159="ATTO 3",'中古車掲載'!L159="EXTENDED RANGE",'中古車掲載'!J159=2023,ISNUMBER('中古車掲載'!N159),'中古車掲載'!N159&gt;=50000,'中古車掲載'!O159&lt;=100000,'中古車掲載'!AL159=1),'中古車掲載'!U159,"")</x:f>
      </x:c>
      <x:c r="BC158" s="3" t="str">
        <x:f>IF(AND('中古車掲載'!C159="One2car",'中古車掲載'!F159="Corolla Cross",'中古車掲載'!L159="HEV PREMIUM SAFETY",'中古車掲載'!J159=2023,ISNUMBER('中古車掲載'!N159),'中古車掲載'!N159&gt;=50000,'中古車掲載'!O159&lt;=100000,'中古車掲載'!AL159=1,'中古車掲載'!Z159="https://www.one2car.com/en/cars-for-sale/toyota/corolla-cross/year-2023"),'中古車掲載'!U159,"")</x:f>
      </x:c>
      <x:c r="BD158" s="3" t="str">
        <x:f>IF(AND('中古車掲載'!C159="One2car",'中古車掲載'!F159="ATTO 3",'中古車掲載'!L159="EXTENDED RANGE",'中古車掲載'!J159=2023,ISNUMBER('中古車掲載'!N159),'中古車掲載'!N159&gt;=20000,'中古車掲載'!O159&lt;=50000,'中古車掲載'!AL159=1),'中古車掲載'!U159,"")</x:f>
      </x:c>
      <x:c r="BE158" s="3" t="str">
        <x:f>IF(AND('中古車掲載'!C159="One2car",'中古車掲載'!F159="Corolla Cross",'中古車掲載'!L159="HEV PREMIUM SAFETY",'中古車掲載'!J159=2023,ISNUMBER('中古車掲載'!N159),'中古車掲載'!N159&gt;=20000,'中古車掲載'!O159&lt;=50000,'中古車掲載'!AL159=1,'中古車掲載'!Z159="https://www.one2car.com/en/cars-for-sale/toyota/corolla-cross/year-2023"),'中古車掲載'!U159,"")</x:f>
      </x:c>
      <x:c r="BF158" s="3" t="str">
        <x:f>IF(AND('中古車掲載'!C159="One2car",'中古車掲載'!F159="Corolla Cross",'中古車掲載'!L159="HEV PREMIUM",'中古車掲載'!J159=2023,ISNUMBER('中古車掲載'!N159),'中古車掲載'!N159&gt;=20000,'中古車掲載'!O159&lt;=100000,'中古車掲載'!AL159=1,'中古車掲載'!Z159="https://www.one2car.com/en/cars-for-sale/toyota/corolla-cross/year-2023"),'中古車掲載'!U159,"")</x:f>
      </x:c>
      <x:c r="BG158" s="3" t="str">
        <x:f>IF(AND('中古車掲載'!C159="One2car",'中古車掲載'!F159="Corolla Cross",'中古車掲載'!L159="HEV GR SPORT",'中古車掲載'!J159=2023,ISNUMBER('中古車掲載'!N159),'中古車掲載'!N159&gt;=20000,'中古車掲載'!O159&lt;=100000,'中古車掲載'!AL159=1,'中古車掲載'!Z159="https://www.one2car.com/en/cars-for-sale/toyota/corolla-cross/year-2023"),'中古車掲載'!U159,"")</x:f>
      </x:c>
      <x:c r="BH158" s="3" t="str">
        <x:f>IF(AND('中古車掲載'!C159="One2car",'中古車掲載'!F159="DOLPHIN",'中古車掲載'!L159="STANDARD RANGE",'中古車掲載'!J159=2023,ISNUMBER('中古車掲載'!N159),'中古車掲載'!N159&gt;=20000,'中古車掲載'!O159&lt;=100000,'中古車掲載'!AL159=1),'中古車掲載'!U159,"")</x:f>
      </x:c>
      <x:c r="BI158" s="3" t="str">
        <x:v>One2car|SEAL|BEV|Bangkok metro</x:v>
      </x:c>
      <x:c r="BJ158" s="3" t="n">
        <x:v>159</x:v>
      </x:c>
      <x:c r="BK158" s="3" t="n">
        <x:f>'中古車掲載'!AM159</x:f>
        <x:v>677000</x:v>
      </x:c>
      <x:c r="BL158" s="3" t="n">
        <x:f>IF(ISNUMBER('中古車掲載'!AN159),'中古車掲載'!AN159,"")</x:f>
        <x:v>0.46721877156659763</x:v>
      </x:c>
      <x:c r="BM158" s="3" t="str">
        <x:v>2022|Smart cab</x:v>
      </x:c>
      <x:c r="BN158" s="3" t="n">
        <x:v>796</x:v>
      </x:c>
      <x:c r="BO158" s="3" t="n">
        <x:f>'中古車掲載'!AM796</x:f>
        <x:v>399000</x:v>
      </x:c>
      <x:c r="BP158" s="3" t="str">
        <x:v>2.4 ENTRY Z EDITION SMART CAB</x:v>
      </x:c>
      <x:c r="BQ158" s="3"/>
      <x:c r="BR158" s="3"/>
    </x:row>
    <x:row r="159" ht="22" customHeight="1">
      <x:c r="A159" s="3" t="str">
        <x:v>M6</x:v>
      </x:c>
      <x:c r="B159" s="3" t="str">
        <x:v>BEV</x:v>
      </x:c>
      <x:c r="C159" s="3" t="str">
        <x:v>Taladrod</x:v>
      </x:c>
      <x:c r="D159" s="3" t="n">
        <x:v>2025</x:v>
      </x:c>
      <x:c r="E159" s="22" t="n">
        <x:f>COUNT('中古車掲載'!AM923:AM923)</x:f>
        <x:v>1</x:v>
      </x:c>
      <x:c r="F159" s="22" t="n">
        <x:f>IF(COUNT('中古車掲載'!AM923:AM923)=0,"",QUARTILE('中古車掲載'!AM923:AM923,1))</x:f>
        <x:v>599000</x:v>
      </x:c>
      <x:c r="G159" s="22" t="n">
        <x:f>IF(COUNT('中古車掲載'!AM923:AM923)=0,"",MEDIAN('中古車掲載'!AM923:AM923))</x:f>
        <x:v>599000</x:v>
      </x:c>
      <x:c r="H159" s="22" t="n">
        <x:f>IF(COUNT('中古車掲載'!AM923:AM923)=0,"",QUARTILE('中古車掲載'!AM923:AM923,3))</x:f>
        <x:v>599000</x:v>
      </x:c>
      <x:c r="I159" s="22" t="n">
        <x:f>COUNT('中古車掲載'!AN923:AN923)</x:f>
        <x:v>1</x:v>
      </x:c>
      <x:c r="J159" s="23" t="n">
        <x:f>IF(COUNT('中古車掲載'!AN923:AN923)=0,"",MEDIAN('中古車掲載'!AN923:AN923))</x:f>
        <x:v>0.7217737076756235</x:v>
      </x:c>
      <x:c r="K159" s="3"/>
      <x:c r="L159" s="3"/>
      <x:c r="M159" s="3"/>
      <x:c r="N159" s="3"/>
      <x:c r="O159" s="3"/>
      <x:c r="P159" s="3"/>
      <x:c r="Q159" s="3"/>
      <x:c r="R159" s="3"/>
      <x:c r="S159" s="3"/>
      <x:c r="T159" s="3"/>
      <x:c r="U159" s="3"/>
      <x:c r="V159" s="3"/>
      <x:c r="W159" s="3"/>
      <x:c r="X159" s="3"/>
      <x:c r="Y159" s="3"/>
      <x:c r="Z159" s="3"/>
      <x:c r="AA159" s="3"/>
      <x:c r="AB159" s="3"/>
      <x:c r="AC159" s="3"/>
      <x:c r="AD159" s="3"/>
      <x:c r="AE159" s="3"/>
      <x:c r="AF159" s="3"/>
      <x:c r="AG159" s="3"/>
      <x:c r="AH159" s="3"/>
      <x:c r="AI159" s="3"/>
      <x:c r="AJ159" s="3"/>
      <x:c r="AK159" s="3"/>
      <x:c r="AL159" s="3"/>
      <x:c r="AM159" s="3"/>
      <x:c r="AN159" s="3"/>
      <x:c r="AO159" s="3"/>
      <x:c r="AP159" s="3"/>
      <x:c r="AQ159" s="3"/>
      <x:c r="AR159" s="3"/>
      <x:c r="AS159" s="3"/>
      <x:c r="AT159" s="3"/>
      <x:c r="AU159" s="3"/>
      <x:c r="AV159" s="3"/>
      <x:c r="AW159" s="3"/>
      <x:c r="AX159" s="3"/>
      <x:c r="AY159" s="3"/>
      <x:c r="AZ159" s="3" t="str">
        <x:f>IF(AND('中古車掲載'!C160="One2car",'中古車掲載'!F160="ATTO 3",'中古車掲載'!L160="EXTENDED RANGE",'中古車掲載'!J160=2023,ISNUMBER('中古車掲載'!N160),'中古車掲載'!N160&gt;=20000,'中古車掲載'!O160&lt;=100000,'中古車掲載'!AL160=1),'中古車掲載'!U160,"")</x:f>
      </x:c>
      <x:c r="BA159" s="3" t="str">
        <x:f>IF(AND('中古車掲載'!C160="One2car",'中古車掲載'!F160="Corolla Cross",'中古車掲載'!L160="HEV PREMIUM SAFETY",'中古車掲載'!J160=2023,ISNUMBER('中古車掲載'!N160),'中古車掲載'!N160&gt;=20000,'中古車掲載'!O160&lt;=100000,'中古車掲載'!AL160=1,'中古車掲載'!Z160="https://www.one2car.com/en/cars-for-sale/toyota/corolla-cross/year-2023"),'中古車掲載'!U160,"")</x:f>
      </x:c>
      <x:c r="BB159" s="3" t="str">
        <x:f>IF(AND('中古車掲載'!C160="One2car",'中古車掲載'!F160="ATTO 3",'中古車掲載'!L160="EXTENDED RANGE",'中古車掲載'!J160=2023,ISNUMBER('中古車掲載'!N160),'中古車掲載'!N160&gt;=50000,'中古車掲載'!O160&lt;=100000,'中古車掲載'!AL160=1),'中古車掲載'!U160,"")</x:f>
      </x:c>
      <x:c r="BC159" s="3" t="str">
        <x:f>IF(AND('中古車掲載'!C160="One2car",'中古車掲載'!F160="Corolla Cross",'中古車掲載'!L160="HEV PREMIUM SAFETY",'中古車掲載'!J160=2023,ISNUMBER('中古車掲載'!N160),'中古車掲載'!N160&gt;=50000,'中古車掲載'!O160&lt;=100000,'中古車掲載'!AL160=1,'中古車掲載'!Z160="https://www.one2car.com/en/cars-for-sale/toyota/corolla-cross/year-2023"),'中古車掲載'!U160,"")</x:f>
      </x:c>
      <x:c r="BD159" s="3" t="str">
        <x:f>IF(AND('中古車掲載'!C160="One2car",'中古車掲載'!F160="ATTO 3",'中古車掲載'!L160="EXTENDED RANGE",'中古車掲載'!J160=2023,ISNUMBER('中古車掲載'!N160),'中古車掲載'!N160&gt;=20000,'中古車掲載'!O160&lt;=50000,'中古車掲載'!AL160=1),'中古車掲載'!U160,"")</x:f>
      </x:c>
      <x:c r="BE159" s="3" t="str">
        <x:f>IF(AND('中古車掲載'!C160="One2car",'中古車掲載'!F160="Corolla Cross",'中古車掲載'!L160="HEV PREMIUM SAFETY",'中古車掲載'!J160=2023,ISNUMBER('中古車掲載'!N160),'中古車掲載'!N160&gt;=20000,'中古車掲載'!O160&lt;=50000,'中古車掲載'!AL160=1,'中古車掲載'!Z160="https://www.one2car.com/en/cars-for-sale/toyota/corolla-cross/year-2023"),'中古車掲載'!U160,"")</x:f>
      </x:c>
      <x:c r="BF159" s="3" t="str">
        <x:f>IF(AND('中古車掲載'!C160="One2car",'中古車掲載'!F160="Corolla Cross",'中古車掲載'!L160="HEV PREMIUM",'中古車掲載'!J160=2023,ISNUMBER('中古車掲載'!N160),'中古車掲載'!N160&gt;=20000,'中古車掲載'!O160&lt;=100000,'中古車掲載'!AL160=1,'中古車掲載'!Z160="https://www.one2car.com/en/cars-for-sale/toyota/corolla-cross/year-2023"),'中古車掲載'!U160,"")</x:f>
      </x:c>
      <x:c r="BG159" s="3" t="str">
        <x:f>IF(AND('中古車掲載'!C160="One2car",'中古車掲載'!F160="Corolla Cross",'中古車掲載'!L160="HEV GR SPORT",'中古車掲載'!J160=2023,ISNUMBER('中古車掲載'!N160),'中古車掲載'!N160&gt;=20000,'中古車掲載'!O160&lt;=100000,'中古車掲載'!AL160=1,'中古車掲載'!Z160="https://www.one2car.com/en/cars-for-sale/toyota/corolla-cross/year-2023"),'中古車掲載'!U160,"")</x:f>
      </x:c>
      <x:c r="BH159" s="3" t="str">
        <x:f>IF(AND('中古車掲載'!C160="One2car",'中古車掲載'!F160="DOLPHIN",'中古車掲載'!L160="STANDARD RANGE",'中古車掲載'!J160=2023,ISNUMBER('中古車掲載'!N160),'中古車掲載'!N160&gt;=20000,'中古車掲載'!O160&lt;=100000,'中古車掲載'!AL160=1),'中古車掲載'!U160,"")</x:f>
      </x:c>
      <x:c r="BI159" s="3" t="str">
        <x:v>One2car|SEALION 6|PHEV|Bangkok metro</x:v>
      </x:c>
      <x:c r="BJ159" s="3" t="n">
        <x:v>160</x:v>
      </x:c>
      <x:c r="BK159" s="3" t="n">
        <x:f>'中古車掲載'!AM160</x:f>
        <x:v>739000</x:v>
      </x:c>
      <x:c r="BL159" s="3" t="n">
        <x:f>IF(ISNUMBER('中古車掲載'!AN160),'中古車掲載'!AN160,"")</x:f>
        <x:v>0.6718792617510683</x:v>
      </x:c>
      <x:c r="BM159" s="3" t="str">
        <x:v>2022|Smart cab</x:v>
      </x:c>
      <x:c r="BN159" s="3" t="n">
        <x:v>797</x:v>
      </x:c>
      <x:c r="BO159" s="3" t="n">
        <x:f>'中古車掲載'!AM797</x:f>
        <x:v>349000</x:v>
      </x:c>
      <x:c r="BP159" s="3" t="str">
        <x:v>2.4 ENTRY Z EDITION SMART CAB</x:v>
      </x:c>
      <x:c r="BQ159" s="3"/>
      <x:c r="BR159" s="3"/>
    </x:row>
    <x:row r="160" ht="22" customHeight="1">
      <x:c r="A160" s="3" t="str">
        <x:v>SEAL</x:v>
      </x:c>
      <x:c r="B160" s="3" t="str">
        <x:v>BEV</x:v>
      </x:c>
      <x:c r="C160" s="3" t="str">
        <x:v>Taladrod</x:v>
      </x:c>
      <x:c r="D160" s="3" t="n">
        <x:v>2023</x:v>
      </x:c>
      <x:c r="E160" s="22" t="n">
        <x:f>COUNT('中古車掲載'!AM924:AM924)</x:f>
        <x:v>1</x:v>
      </x:c>
      <x:c r="F160" s="22" t="n">
        <x:f>IF(COUNT('中古車掲載'!AM924:AM924)=0,"",QUARTILE('中古車掲載'!AM924:AM924,1))</x:f>
        <x:v>699000</x:v>
      </x:c>
      <x:c r="G160" s="22" t="n">
        <x:f>IF(COUNT('中古車掲載'!AM924:AM924)=0,"",MEDIAN('中古車掲載'!AM924:AM924))</x:f>
        <x:v>699000</x:v>
      </x:c>
      <x:c r="H160" s="22" t="n">
        <x:f>IF(COUNT('中古車掲載'!AM924:AM924)=0,"",QUARTILE('中古車掲載'!AM924:AM924,3))</x:f>
        <x:v>699000</x:v>
      </x:c>
      <x:c r="I160" s="22" t="n">
        <x:f>COUNT('中古車掲載'!AN924:AN924)</x:f>
        <x:v>1</x:v>
      </x:c>
      <x:c r="J160" s="23" t="n">
        <x:f>IF(COUNT('中古車掲載'!AN924:AN924)=0,"",MEDIAN('中古車掲載'!AN924:AN924))</x:f>
        <x:v>0.4824016563146998</x:v>
      </x:c>
      <x:c r="K160" s="3"/>
      <x:c r="L160" s="3"/>
      <x:c r="M160" s="3"/>
      <x:c r="N160" s="3"/>
      <x:c r="O160" s="3"/>
      <x:c r="P160" s="3"/>
      <x:c r="Q160" s="3"/>
      <x:c r="R160" s="3"/>
      <x:c r="S160" s="3"/>
      <x:c r="T160" s="3"/>
      <x:c r="U160" s="3"/>
      <x:c r="V160" s="3"/>
      <x:c r="W160" s="3"/>
      <x:c r="X160" s="3"/>
      <x:c r="Y160" s="3"/>
      <x:c r="Z160" s="3"/>
      <x:c r="AA160" s="3"/>
      <x:c r="AB160" s="3"/>
      <x:c r="AC160" s="3"/>
      <x:c r="AD160" s="3"/>
      <x:c r="AE160" s="3"/>
      <x:c r="AF160" s="3"/>
      <x:c r="AG160" s="3"/>
      <x:c r="AH160" s="3"/>
      <x:c r="AI160" s="3"/>
      <x:c r="AJ160" s="3"/>
      <x:c r="AK160" s="3"/>
      <x:c r="AL160" s="3"/>
      <x:c r="AM160" s="3"/>
      <x:c r="AN160" s="3"/>
      <x:c r="AO160" s="3"/>
      <x:c r="AP160" s="3"/>
      <x:c r="AQ160" s="3"/>
      <x:c r="AR160" s="3"/>
      <x:c r="AS160" s="3"/>
      <x:c r="AT160" s="3"/>
      <x:c r="AU160" s="3"/>
      <x:c r="AV160" s="3"/>
      <x:c r="AW160" s="3"/>
      <x:c r="AX160" s="3"/>
      <x:c r="AY160" s="3"/>
      <x:c r="AZ160" s="3" t="str">
        <x:f>IF(AND('中古車掲載'!C161="One2car",'中古車掲載'!F161="ATTO 3",'中古車掲載'!L161="EXTENDED RANGE",'中古車掲載'!J161=2023,ISNUMBER('中古車掲載'!N161),'中古車掲載'!N161&gt;=20000,'中古車掲載'!O161&lt;=100000,'中古車掲載'!AL161=1),'中古車掲載'!U161,"")</x:f>
      </x:c>
      <x:c r="BA160" s="3" t="str">
        <x:f>IF(AND('中古車掲載'!C161="One2car",'中古車掲載'!F161="Corolla Cross",'中古車掲載'!L161="HEV PREMIUM SAFETY",'中古車掲載'!J161=2023,ISNUMBER('中古車掲載'!N161),'中古車掲載'!N161&gt;=20000,'中古車掲載'!O161&lt;=100000,'中古車掲載'!AL161=1,'中古車掲載'!Z161="https://www.one2car.com/en/cars-for-sale/toyota/corolla-cross/year-2023"),'中古車掲載'!U161,"")</x:f>
      </x:c>
      <x:c r="BB160" s="3" t="str">
        <x:f>IF(AND('中古車掲載'!C161="One2car",'中古車掲載'!F161="ATTO 3",'中古車掲載'!L161="EXTENDED RANGE",'中古車掲載'!J161=2023,ISNUMBER('中古車掲載'!N161),'中古車掲載'!N161&gt;=50000,'中古車掲載'!O161&lt;=100000,'中古車掲載'!AL161=1),'中古車掲載'!U161,"")</x:f>
      </x:c>
      <x:c r="BC160" s="3" t="str">
        <x:f>IF(AND('中古車掲載'!C161="One2car",'中古車掲載'!F161="Corolla Cross",'中古車掲載'!L161="HEV PREMIUM SAFETY",'中古車掲載'!J161=2023,ISNUMBER('中古車掲載'!N161),'中古車掲載'!N161&gt;=50000,'中古車掲載'!O161&lt;=100000,'中古車掲載'!AL161=1,'中古車掲載'!Z161="https://www.one2car.com/en/cars-for-sale/toyota/corolla-cross/year-2023"),'中古車掲載'!U161,"")</x:f>
      </x:c>
      <x:c r="BD160" s="3" t="str">
        <x:f>IF(AND('中古車掲載'!C161="One2car",'中古車掲載'!F161="ATTO 3",'中古車掲載'!L161="EXTENDED RANGE",'中古車掲載'!J161=2023,ISNUMBER('中古車掲載'!N161),'中古車掲載'!N161&gt;=20000,'中古車掲載'!O161&lt;=50000,'中古車掲載'!AL161=1),'中古車掲載'!U161,"")</x:f>
      </x:c>
      <x:c r="BE160" s="3" t="str">
        <x:f>IF(AND('中古車掲載'!C161="One2car",'中古車掲載'!F161="Corolla Cross",'中古車掲載'!L161="HEV PREMIUM SAFETY",'中古車掲載'!J161=2023,ISNUMBER('中古車掲載'!N161),'中古車掲載'!N161&gt;=20000,'中古車掲載'!O161&lt;=50000,'中古車掲載'!AL161=1,'中古車掲載'!Z161="https://www.one2car.com/en/cars-for-sale/toyota/corolla-cross/year-2023"),'中古車掲載'!U161,"")</x:f>
      </x:c>
      <x:c r="BF160" s="3" t="str">
        <x:f>IF(AND('中古車掲載'!C161="One2car",'中古車掲載'!F161="Corolla Cross",'中古車掲載'!L161="HEV PREMIUM",'中古車掲載'!J161=2023,ISNUMBER('中古車掲載'!N161),'中古車掲載'!N161&gt;=20000,'中古車掲載'!O161&lt;=100000,'中古車掲載'!AL161=1,'中古車掲載'!Z161="https://www.one2car.com/en/cars-for-sale/toyota/corolla-cross/year-2023"),'中古車掲載'!U161,"")</x:f>
      </x:c>
      <x:c r="BG160" s="3" t="str">
        <x:f>IF(AND('中古車掲載'!C161="One2car",'中古車掲載'!F161="Corolla Cross",'中古車掲載'!L161="HEV GR SPORT",'中古車掲載'!J161=2023,ISNUMBER('中古車掲載'!N161),'中古車掲載'!N161&gt;=20000,'中古車掲載'!O161&lt;=100000,'中古車掲載'!AL161=1,'中古車掲載'!Z161="https://www.one2car.com/en/cars-for-sale/toyota/corolla-cross/year-2023"),'中古車掲載'!U161,"")</x:f>
      </x:c>
      <x:c r="BH160" s="3" t="str">
        <x:f>IF(AND('中古車掲載'!C161="One2car",'中古車掲載'!F161="DOLPHIN",'中古車掲載'!L161="STANDARD RANGE",'中古車掲載'!J161=2023,ISNUMBER('中古車掲載'!N161),'中古車掲載'!N161&gt;=20000,'中古車掲載'!O161&lt;=100000,'中古車掲載'!AL161=1),'中古車掲載'!U161,"")</x:f>
      </x:c>
      <x:c r="BI160" s="3" t="str">
        <x:v>One2car|SEALION 6|PHEV|Bangkok metro</x:v>
      </x:c>
      <x:c r="BJ160" s="3" t="n">
        <x:v>161</x:v>
      </x:c>
      <x:c r="BK160" s="3" t="n">
        <x:f>'中古車掲載'!AM161</x:f>
        <x:v>729000</x:v>
      </x:c>
      <x:c r="BL160" s="3" t="n">
        <x:f>IF(ISNUMBER('中古車掲載'!AN161),'中古車掲載'!AN161,"")</x:f>
        <x:v>0.6627875261387399</x:v>
      </x:c>
      <x:c r="BM160" s="3" t="str">
        <x:v>2022|Smart cab</x:v>
      </x:c>
      <x:c r="BN160" s="3" t="n">
        <x:v>798</x:v>
      </x:c>
      <x:c r="BO160" s="3" t="n">
        <x:f>'中古車掲載'!AM798</x:f>
        <x:v>469000</x:v>
      </x:c>
      <x:c r="BP160" s="3" t="str">
        <x:v>2.4 ENTRY Z EDITION SMART CAB</x:v>
      </x:c>
      <x:c r="BQ160" s="3"/>
      <x:c r="BR160" s="3"/>
    </x:row>
    <x:row r="161" ht="22" customHeight="1">
      <x:c r="A161" s="3" t="str">
        <x:v>SEAL</x:v>
      </x:c>
      <x:c r="B161" s="3" t="str">
        <x:v>BEV</x:v>
      </x:c>
      <x:c r="C161" s="3" t="str">
        <x:v>Taladrod</x:v>
      </x:c>
      <x:c r="D161" s="3" t="n">
        <x:v>2024</x:v>
      </x:c>
      <x:c r="E161" s="22" t="n">
        <x:f>COUNT('中古車掲載'!AM925:AM926)</x:f>
        <x:v>2</x:v>
      </x:c>
      <x:c r="F161" s="22" t="n">
        <x:f>IF(COUNT('中古車掲載'!AM925:AM926)=0,"",QUARTILE('中古車掲載'!AM925:AM926,1))</x:f>
        <x:v>694000</x:v>
      </x:c>
      <x:c r="G161" s="22" t="n">
        <x:f>IF(COUNT('中古車掲載'!AM925:AM926)=0,"",MEDIAN('中古車掲載'!AM925:AM926))</x:f>
        <x:v>729000</x:v>
      </x:c>
      <x:c r="H161" s="22" t="n">
        <x:f>IF(COUNT('中古車掲載'!AM925:AM926)=0,"",QUARTILE('中古車掲載'!AM925:AM926,3))</x:f>
        <x:v>764000</x:v>
      </x:c>
      <x:c r="I161" s="22" t="n">
        <x:f>COUNT('中古車掲載'!AN925:AN926)</x:f>
        <x:v>2</x:v>
      </x:c>
      <x:c r="J161" s="23" t="n">
        <x:f>IF(COUNT('中古車掲載'!AN925:AN926)=0,"",MEDIAN('中古車掲載'!AN925:AN926))</x:f>
        <x:v>0.49852289756569557</x:v>
      </x:c>
      <x:c r="K161" s="3"/>
      <x:c r="L161" s="3"/>
      <x:c r="M161" s="3"/>
      <x:c r="N161" s="3"/>
      <x:c r="O161" s="3"/>
      <x:c r="P161" s="3"/>
      <x:c r="Q161" s="3"/>
      <x:c r="R161" s="3"/>
      <x:c r="S161" s="3"/>
      <x:c r="T161" s="3"/>
      <x:c r="U161" s="3"/>
      <x:c r="V161" s="3"/>
      <x:c r="W161" s="3"/>
      <x:c r="X161" s="3"/>
      <x:c r="Y161" s="3"/>
      <x:c r="Z161" s="3"/>
      <x:c r="AA161" s="3"/>
      <x:c r="AB161" s="3"/>
      <x:c r="AC161" s="3"/>
      <x:c r="AD161" s="3"/>
      <x:c r="AE161" s="3"/>
      <x:c r="AF161" s="3"/>
      <x:c r="AG161" s="3"/>
      <x:c r="AH161" s="3"/>
      <x:c r="AI161" s="3"/>
      <x:c r="AJ161" s="3"/>
      <x:c r="AK161" s="3"/>
      <x:c r="AL161" s="3"/>
      <x:c r="AM161" s="3"/>
      <x:c r="AN161" s="3"/>
      <x:c r="AO161" s="3"/>
      <x:c r="AP161" s="3"/>
      <x:c r="AQ161" s="3"/>
      <x:c r="AR161" s="3"/>
      <x:c r="AS161" s="3"/>
      <x:c r="AT161" s="3"/>
      <x:c r="AU161" s="3"/>
      <x:c r="AV161" s="3"/>
      <x:c r="AW161" s="3"/>
      <x:c r="AX161" s="3"/>
      <x:c r="AY161" s="3"/>
      <x:c r="AZ161" s="3" t="str">
        <x:f>IF(AND('中古車掲載'!C162="One2car",'中古車掲載'!F162="ATTO 3",'中古車掲載'!L162="EXTENDED RANGE",'中古車掲載'!J162=2023,ISNUMBER('中古車掲載'!N162),'中古車掲載'!N162&gt;=20000,'中古車掲載'!O162&lt;=100000,'中古車掲載'!AL162=1),'中古車掲載'!U162,"")</x:f>
      </x:c>
      <x:c r="BA161" s="3" t="str">
        <x:f>IF(AND('中古車掲載'!C162="One2car",'中古車掲載'!F162="Corolla Cross",'中古車掲載'!L162="HEV PREMIUM SAFETY",'中古車掲載'!J162=2023,ISNUMBER('中古車掲載'!N162),'中古車掲載'!N162&gt;=20000,'中古車掲載'!O162&lt;=100000,'中古車掲載'!AL162=1,'中古車掲載'!Z162="https://www.one2car.com/en/cars-for-sale/toyota/corolla-cross/year-2023"),'中古車掲載'!U162,"")</x:f>
      </x:c>
      <x:c r="BB161" s="3" t="str">
        <x:f>IF(AND('中古車掲載'!C162="One2car",'中古車掲載'!F162="ATTO 3",'中古車掲載'!L162="EXTENDED RANGE",'中古車掲載'!J162=2023,ISNUMBER('中古車掲載'!N162),'中古車掲載'!N162&gt;=50000,'中古車掲載'!O162&lt;=100000,'中古車掲載'!AL162=1),'中古車掲載'!U162,"")</x:f>
      </x:c>
      <x:c r="BC161" s="3" t="str">
        <x:f>IF(AND('中古車掲載'!C162="One2car",'中古車掲載'!F162="Corolla Cross",'中古車掲載'!L162="HEV PREMIUM SAFETY",'中古車掲載'!J162=2023,ISNUMBER('中古車掲載'!N162),'中古車掲載'!N162&gt;=50000,'中古車掲載'!O162&lt;=100000,'中古車掲載'!AL162=1,'中古車掲載'!Z162="https://www.one2car.com/en/cars-for-sale/toyota/corolla-cross/year-2023"),'中古車掲載'!U162,"")</x:f>
      </x:c>
      <x:c r="BD161" s="3" t="str">
        <x:f>IF(AND('中古車掲載'!C162="One2car",'中古車掲載'!F162="ATTO 3",'中古車掲載'!L162="EXTENDED RANGE",'中古車掲載'!J162=2023,ISNUMBER('中古車掲載'!N162),'中古車掲載'!N162&gt;=20000,'中古車掲載'!O162&lt;=50000,'中古車掲載'!AL162=1),'中古車掲載'!U162,"")</x:f>
      </x:c>
      <x:c r="BE161" s="3" t="str">
        <x:f>IF(AND('中古車掲載'!C162="One2car",'中古車掲載'!F162="Corolla Cross",'中古車掲載'!L162="HEV PREMIUM SAFETY",'中古車掲載'!J162=2023,ISNUMBER('中古車掲載'!N162),'中古車掲載'!N162&gt;=20000,'中古車掲載'!O162&lt;=50000,'中古車掲載'!AL162=1,'中古車掲載'!Z162="https://www.one2car.com/en/cars-for-sale/toyota/corolla-cross/year-2023"),'中古車掲載'!U162,"")</x:f>
      </x:c>
      <x:c r="BF161" s="3" t="str">
        <x:f>IF(AND('中古車掲載'!C162="One2car",'中古車掲載'!F162="Corolla Cross",'中古車掲載'!L162="HEV PREMIUM",'中古車掲載'!J162=2023,ISNUMBER('中古車掲載'!N162),'中古車掲載'!N162&gt;=20000,'中古車掲載'!O162&lt;=100000,'中古車掲載'!AL162=1,'中古車掲載'!Z162="https://www.one2car.com/en/cars-for-sale/toyota/corolla-cross/year-2023"),'中古車掲載'!U162,"")</x:f>
      </x:c>
      <x:c r="BG161" s="3" t="str">
        <x:f>IF(AND('中古車掲載'!C162="One2car",'中古車掲載'!F162="Corolla Cross",'中古車掲載'!L162="HEV GR SPORT",'中古車掲載'!J162=2023,ISNUMBER('中古車掲載'!N162),'中古車掲載'!N162&gt;=20000,'中古車掲載'!O162&lt;=100000,'中古車掲載'!AL162=1,'中古車掲載'!Z162="https://www.one2car.com/en/cars-for-sale/toyota/corolla-cross/year-2023"),'中古車掲載'!U162,"")</x:f>
      </x:c>
      <x:c r="BH161" s="3" t="str">
        <x:f>IF(AND('中古車掲載'!C162="One2car",'中古車掲載'!F162="DOLPHIN",'中古車掲載'!L162="STANDARD RANGE",'中古車掲載'!J162=2023,ISNUMBER('中古車掲載'!N162),'中古車掲載'!N162&gt;=20000,'中古車掲載'!O162&lt;=100000,'中古車掲載'!AL162=1),'中古車掲載'!U162,"")</x:f>
      </x:c>
      <x:c r="BI161" s="3" t="str">
        <x:v>One2car|SEALION 6|PHEV|Bangkok metro</x:v>
      </x:c>
      <x:c r="BJ161" s="3" t="n">
        <x:v>162</x:v>
      </x:c>
      <x:c r="BK161" s="3" t="n">
        <x:f>'中古車掲載'!AM162</x:f>
        <x:v>678000</x:v>
      </x:c>
      <x:c r="BL161" s="3" t="n">
        <x:f>IF(ISNUMBER('中古車掲載'!AN162),'中古車掲載'!AN162,"")</x:f>
        <x:v>0.6164196745158651</x:v>
      </x:c>
      <x:c r="BM161" s="3" t="str">
        <x:v>2022|Smart cab</x:v>
      </x:c>
      <x:c r="BN161" s="3" t="n">
        <x:v>799</x:v>
      </x:c>
      <x:c r="BO161" s="3" t="n">
        <x:f>'中古車掲載'!AM799</x:f>
        <x:v>458000</x:v>
      </x:c>
      <x:c r="BP161" s="3" t="str">
        <x:v>2.4 ENTRY Z EDITION SMART CAB</x:v>
      </x:c>
      <x:c r="BQ161" s="3"/>
      <x:c r="BR161" s="3"/>
    </x:row>
    <x:row r="162" ht="22" customHeight="1">
      <x:c r="A162" s="3" t="str">
        <x:v>SEAL 5</x:v>
      </x:c>
      <x:c r="B162" s="3" t="str">
        <x:v>PHEV</x:v>
      </x:c>
      <x:c r="C162" s="3" t="str">
        <x:v>Taladrod</x:v>
      </x:c>
      <x:c r="D162" s="3" t="n">
        <x:v>2026</x:v>
      </x:c>
      <x:c r="E162" s="22" t="n">
        <x:f>COUNT('中古車掲載'!AM927:AM928)</x:f>
        <x:v>0</x:v>
      </x:c>
      <x:c r="F162" s="22" t="str">
        <x:f>IF(COUNT('中古車掲載'!AM927:AM928)=0,"",QUARTILE('中古車掲載'!AM927:AM928,1))</x:f>
      </x:c>
      <x:c r="G162" s="22" t="str">
        <x:f>IF(COUNT('中古車掲載'!AM927:AM928)=0,"",MEDIAN('中古車掲載'!AM927:AM928))</x:f>
      </x:c>
      <x:c r="H162" s="22" t="str">
        <x:f>IF(COUNT('中古車掲載'!AM927:AM928)=0,"",QUARTILE('中古車掲載'!AM927:AM928,3))</x:f>
      </x:c>
      <x:c r="I162" s="22" t="n">
        <x:f>COUNT('中古車掲載'!AN927:AN928)</x:f>
        <x:v>0</x:v>
      </x:c>
      <x:c r="J162" s="23" t="str">
        <x:f>IF(COUNT('中古車掲載'!AN927:AN928)=0,"",MEDIAN('中古車掲載'!AN927:AN928))</x:f>
      </x:c>
      <x:c r="K162" s="3"/>
      <x:c r="L162" s="3"/>
      <x:c r="M162" s="3"/>
      <x:c r="N162" s="3"/>
      <x:c r="O162" s="3"/>
      <x:c r="P162" s="3"/>
      <x:c r="Q162" s="3"/>
      <x:c r="R162" s="3"/>
      <x:c r="S162" s="3"/>
      <x:c r="T162" s="3"/>
      <x:c r="U162" s="3"/>
      <x:c r="V162" s="3"/>
      <x:c r="W162" s="3"/>
      <x:c r="X162" s="3"/>
      <x:c r="Y162" s="3"/>
      <x:c r="Z162" s="3"/>
      <x:c r="AA162" s="3"/>
      <x:c r="AB162" s="3"/>
      <x:c r="AC162" s="3"/>
      <x:c r="AD162" s="3"/>
      <x:c r="AE162" s="3"/>
      <x:c r="AF162" s="3"/>
      <x:c r="AG162" s="3"/>
      <x:c r="AH162" s="3"/>
      <x:c r="AI162" s="3"/>
      <x:c r="AJ162" s="3"/>
      <x:c r="AK162" s="3"/>
      <x:c r="AL162" s="3"/>
      <x:c r="AM162" s="3"/>
      <x:c r="AN162" s="3"/>
      <x:c r="AO162" s="3"/>
      <x:c r="AP162" s="3"/>
      <x:c r="AQ162" s="3"/>
      <x:c r="AR162" s="3"/>
      <x:c r="AS162" s="3"/>
      <x:c r="AT162" s="3"/>
      <x:c r="AU162" s="3"/>
      <x:c r="AV162" s="3"/>
      <x:c r="AW162" s="3"/>
      <x:c r="AX162" s="3"/>
      <x:c r="AY162" s="3"/>
      <x:c r="AZ162" s="3" t="str">
        <x:f>IF(AND('中古車掲載'!C163="One2car",'中古車掲載'!F163="ATTO 3",'中古車掲載'!L163="EXTENDED RANGE",'中古車掲載'!J163=2023,ISNUMBER('中古車掲載'!N163),'中古車掲載'!N163&gt;=20000,'中古車掲載'!O163&lt;=100000,'中古車掲載'!AL163=1),'中古車掲載'!U163,"")</x:f>
      </x:c>
      <x:c r="BA162" s="3" t="str">
        <x:f>IF(AND('中古車掲載'!C163="One2car",'中古車掲載'!F163="Corolla Cross",'中古車掲載'!L163="HEV PREMIUM SAFETY",'中古車掲載'!J163=2023,ISNUMBER('中古車掲載'!N163),'中古車掲載'!N163&gt;=20000,'中古車掲載'!O163&lt;=100000,'中古車掲載'!AL163=1,'中古車掲載'!Z163="https://www.one2car.com/en/cars-for-sale/toyota/corolla-cross/year-2023"),'中古車掲載'!U163,"")</x:f>
      </x:c>
      <x:c r="BB162" s="3" t="str">
        <x:f>IF(AND('中古車掲載'!C163="One2car",'中古車掲載'!F163="ATTO 3",'中古車掲載'!L163="EXTENDED RANGE",'中古車掲載'!J163=2023,ISNUMBER('中古車掲載'!N163),'中古車掲載'!N163&gt;=50000,'中古車掲載'!O163&lt;=100000,'中古車掲載'!AL163=1),'中古車掲載'!U163,"")</x:f>
      </x:c>
      <x:c r="BC162" s="3" t="str">
        <x:f>IF(AND('中古車掲載'!C163="One2car",'中古車掲載'!F163="Corolla Cross",'中古車掲載'!L163="HEV PREMIUM SAFETY",'中古車掲載'!J163=2023,ISNUMBER('中古車掲載'!N163),'中古車掲載'!N163&gt;=50000,'中古車掲載'!O163&lt;=100000,'中古車掲載'!AL163=1,'中古車掲載'!Z163="https://www.one2car.com/en/cars-for-sale/toyota/corolla-cross/year-2023"),'中古車掲載'!U163,"")</x:f>
      </x:c>
      <x:c r="BD162" s="3" t="str">
        <x:f>IF(AND('中古車掲載'!C163="One2car",'中古車掲載'!F163="ATTO 3",'中古車掲載'!L163="EXTENDED RANGE",'中古車掲載'!J163=2023,ISNUMBER('中古車掲載'!N163),'中古車掲載'!N163&gt;=20000,'中古車掲載'!O163&lt;=50000,'中古車掲載'!AL163=1),'中古車掲載'!U163,"")</x:f>
      </x:c>
      <x:c r="BE162" s="3" t="str">
        <x:f>IF(AND('中古車掲載'!C163="One2car",'中古車掲載'!F163="Corolla Cross",'中古車掲載'!L163="HEV PREMIUM SAFETY",'中古車掲載'!J163=2023,ISNUMBER('中古車掲載'!N163),'中古車掲載'!N163&gt;=20000,'中古車掲載'!O163&lt;=50000,'中古車掲載'!AL163=1,'中古車掲載'!Z163="https://www.one2car.com/en/cars-for-sale/toyota/corolla-cross/year-2023"),'中古車掲載'!U163,"")</x:f>
      </x:c>
      <x:c r="BF162" s="3" t="str">
        <x:f>IF(AND('中古車掲載'!C163="One2car",'中古車掲載'!F163="Corolla Cross",'中古車掲載'!L163="HEV PREMIUM",'中古車掲載'!J163=2023,ISNUMBER('中古車掲載'!N163),'中古車掲載'!N163&gt;=20000,'中古車掲載'!O163&lt;=100000,'中古車掲載'!AL163=1,'中古車掲載'!Z163="https://www.one2car.com/en/cars-for-sale/toyota/corolla-cross/year-2023"),'中古車掲載'!U163,"")</x:f>
      </x:c>
      <x:c r="BG162" s="3" t="str">
        <x:f>IF(AND('中古車掲載'!C163="One2car",'中古車掲載'!F163="Corolla Cross",'中古車掲載'!L163="HEV GR SPORT",'中古車掲載'!J163=2023,ISNUMBER('中古車掲載'!N163),'中古車掲載'!N163&gt;=20000,'中古車掲載'!O163&lt;=100000,'中古車掲載'!AL163=1,'中古車掲載'!Z163="https://www.one2car.com/en/cars-for-sale/toyota/corolla-cross/year-2023"),'中古車掲載'!U163,"")</x:f>
      </x:c>
      <x:c r="BH162" s="3" t="str">
        <x:f>IF(AND('中古車掲載'!C163="One2car",'中古車掲載'!F163="DOLPHIN",'中古車掲載'!L163="STANDARD RANGE",'中古車掲載'!J163=2023,ISNUMBER('中古車掲載'!N163),'中古車掲載'!N163&gt;=20000,'中古車掲載'!O163&lt;=100000,'中古車掲載'!AL163=1),'中古車掲載'!U163,"")</x:f>
      </x:c>
      <x:c r="BI162" s="3" t="str">
        <x:v>One2car|SEALION 6|PHEV|Bangkok metro</x:v>
      </x:c>
      <x:c r="BJ162" s="3" t="n">
        <x:v>163</x:v>
      </x:c>
      <x:c r="BK162" s="3" t="n">
        <x:f>'中古車掲載'!AM163</x:f>
        <x:v>678000</x:v>
      </x:c>
      <x:c r="BL162" s="3" t="n">
        <x:f>IF(ISNUMBER('中古車掲載'!AN163),'中古車掲載'!AN163,"")</x:f>
        <x:v>0.6164196745158651</x:v>
      </x:c>
      <x:c r="BM162" s="3" t="str">
        <x:v>2022|Smart cab</x:v>
      </x:c>
      <x:c r="BN162" s="3" t="n">
        <x:v>800</x:v>
      </x:c>
      <x:c r="BO162" s="3" t="n">
        <x:f>'中古車掲載'!AM800</x:f>
        <x:v>359000</x:v>
      </x:c>
      <x:c r="BP162" s="3" t="str">
        <x:v>2.4 ENTRY Z EDITION SMART CAB</x:v>
      </x:c>
      <x:c r="BQ162" s="3"/>
      <x:c r="BR162" s="3"/>
    </x:row>
    <x:row r="163" ht="22" customHeight="1">
      <x:c r="A163" s="3" t="str">
        <x:v>SEALION 6</x:v>
      </x:c>
      <x:c r="B163" s="3" t="str">
        <x:v>PHEV</x:v>
      </x:c>
      <x:c r="C163" s="3" t="str">
        <x:v>Taladrod</x:v>
      </x:c>
      <x:c r="D163" s="3" t="n">
        <x:v>2024</x:v>
      </x:c>
      <x:c r="E163" s="22" t="n">
        <x:f>COUNT('中古車掲載'!AM929:AM929)</x:f>
        <x:v>1</x:v>
      </x:c>
      <x:c r="F163" s="22" t="n">
        <x:f>IF(COUNT('中古車掲載'!AM929:AM929)=0,"",QUARTILE('中古車掲載'!AM929:AM929,1))</x:f>
        <x:v>790000</x:v>
      </x:c>
      <x:c r="G163" s="22" t="n">
        <x:f>IF(COUNT('中古車掲載'!AM929:AM929)=0,"",MEDIAN('中古車掲載'!AM929:AM929))</x:f>
        <x:v>790000</x:v>
      </x:c>
      <x:c r="H163" s="22" t="n">
        <x:f>IF(COUNT('中古車掲載'!AM929:AM929)=0,"",QUARTILE('中古車掲載'!AM929:AM929,3))</x:f>
        <x:v>790000</x:v>
      </x:c>
      <x:c r="I163" s="22" t="n">
        <x:f>COUNT('中古車掲載'!AN929:AN929)</x:f>
        <x:v>0</x:v>
      </x:c>
      <x:c r="J163" s="23" t="str">
        <x:f>IF(COUNT('中古車掲載'!AN929:AN929)=0,"",MEDIAN('中古車掲載'!AN929:AN929))</x:f>
      </x:c>
      <x:c r="K163" s="3"/>
      <x:c r="L163" s="3"/>
      <x:c r="M163" s="3"/>
      <x:c r="N163" s="3"/>
      <x:c r="O163" s="3"/>
      <x:c r="P163" s="3"/>
      <x:c r="Q163" s="3"/>
      <x:c r="R163" s="3"/>
      <x:c r="S163" s="3"/>
      <x:c r="T163" s="3"/>
      <x:c r="U163" s="3"/>
      <x:c r="V163" s="3"/>
      <x:c r="W163" s="3"/>
      <x:c r="X163" s="3"/>
      <x:c r="Y163" s="3"/>
      <x:c r="Z163" s="3"/>
      <x:c r="AA163" s="3"/>
      <x:c r="AB163" s="3"/>
      <x:c r="AC163" s="3"/>
      <x:c r="AD163" s="3"/>
      <x:c r="AE163" s="3"/>
      <x:c r="AF163" s="3"/>
      <x:c r="AG163" s="3"/>
      <x:c r="AH163" s="3"/>
      <x:c r="AI163" s="3"/>
      <x:c r="AJ163" s="3"/>
      <x:c r="AK163" s="3"/>
      <x:c r="AL163" s="3"/>
      <x:c r="AM163" s="3"/>
      <x:c r="AN163" s="3"/>
      <x:c r="AO163" s="3"/>
      <x:c r="AP163" s="3"/>
      <x:c r="AQ163" s="3"/>
      <x:c r="AR163" s="3"/>
      <x:c r="AS163" s="3"/>
      <x:c r="AT163" s="3"/>
      <x:c r="AU163" s="3"/>
      <x:c r="AV163" s="3"/>
      <x:c r="AW163" s="3"/>
      <x:c r="AX163" s="3"/>
      <x:c r="AY163" s="3"/>
      <x:c r="AZ163" s="3" t="str">
        <x:f>IF(AND('中古車掲載'!C164="One2car",'中古車掲載'!F164="ATTO 3",'中古車掲載'!L164="EXTENDED RANGE",'中古車掲載'!J164=2023,ISNUMBER('中古車掲載'!N164),'中古車掲載'!N164&gt;=20000,'中古車掲載'!O164&lt;=100000,'中古車掲載'!AL164=1),'中古車掲載'!U164,"")</x:f>
      </x:c>
      <x:c r="BA163" s="3" t="str">
        <x:f>IF(AND('中古車掲載'!C164="One2car",'中古車掲載'!F164="Corolla Cross",'中古車掲載'!L164="HEV PREMIUM SAFETY",'中古車掲載'!J164=2023,ISNUMBER('中古車掲載'!N164),'中古車掲載'!N164&gt;=20000,'中古車掲載'!O164&lt;=100000,'中古車掲載'!AL164=1,'中古車掲載'!Z164="https://www.one2car.com/en/cars-for-sale/toyota/corolla-cross/year-2023"),'中古車掲載'!U164,"")</x:f>
      </x:c>
      <x:c r="BB163" s="3" t="str">
        <x:f>IF(AND('中古車掲載'!C164="One2car",'中古車掲載'!F164="ATTO 3",'中古車掲載'!L164="EXTENDED RANGE",'中古車掲載'!J164=2023,ISNUMBER('中古車掲載'!N164),'中古車掲載'!N164&gt;=50000,'中古車掲載'!O164&lt;=100000,'中古車掲載'!AL164=1),'中古車掲載'!U164,"")</x:f>
      </x:c>
      <x:c r="BC163" s="3" t="str">
        <x:f>IF(AND('中古車掲載'!C164="One2car",'中古車掲載'!F164="Corolla Cross",'中古車掲載'!L164="HEV PREMIUM SAFETY",'中古車掲載'!J164=2023,ISNUMBER('中古車掲載'!N164),'中古車掲載'!N164&gt;=50000,'中古車掲載'!O164&lt;=100000,'中古車掲載'!AL164=1,'中古車掲載'!Z164="https://www.one2car.com/en/cars-for-sale/toyota/corolla-cross/year-2023"),'中古車掲載'!U164,"")</x:f>
      </x:c>
      <x:c r="BD163" s="3" t="str">
        <x:f>IF(AND('中古車掲載'!C164="One2car",'中古車掲載'!F164="ATTO 3",'中古車掲載'!L164="EXTENDED RANGE",'中古車掲載'!J164=2023,ISNUMBER('中古車掲載'!N164),'中古車掲載'!N164&gt;=20000,'中古車掲載'!O164&lt;=50000,'中古車掲載'!AL164=1),'中古車掲載'!U164,"")</x:f>
      </x:c>
      <x:c r="BE163" s="3" t="str">
        <x:f>IF(AND('中古車掲載'!C164="One2car",'中古車掲載'!F164="Corolla Cross",'中古車掲載'!L164="HEV PREMIUM SAFETY",'中古車掲載'!J164=2023,ISNUMBER('中古車掲載'!N164),'中古車掲載'!N164&gt;=20000,'中古車掲載'!O164&lt;=50000,'中古車掲載'!AL164=1,'中古車掲載'!Z164="https://www.one2car.com/en/cars-for-sale/toyota/corolla-cross/year-2023"),'中古車掲載'!U164,"")</x:f>
      </x:c>
      <x:c r="BF163" s="3" t="str">
        <x:f>IF(AND('中古車掲載'!C164="One2car",'中古車掲載'!F164="Corolla Cross",'中古車掲載'!L164="HEV PREMIUM",'中古車掲載'!J164=2023,ISNUMBER('中古車掲載'!N164),'中古車掲載'!N164&gt;=20000,'中古車掲載'!O164&lt;=100000,'中古車掲載'!AL164=1,'中古車掲載'!Z164="https://www.one2car.com/en/cars-for-sale/toyota/corolla-cross/year-2023"),'中古車掲載'!U164,"")</x:f>
      </x:c>
      <x:c r="BG163" s="3" t="str">
        <x:f>IF(AND('中古車掲載'!C164="One2car",'中古車掲載'!F164="Corolla Cross",'中古車掲載'!L164="HEV GR SPORT",'中古車掲載'!J164=2023,ISNUMBER('中古車掲載'!N164),'中古車掲載'!N164&gt;=20000,'中古車掲載'!O164&lt;=100000,'中古車掲載'!AL164=1,'中古車掲載'!Z164="https://www.one2car.com/en/cars-for-sale/toyota/corolla-cross/year-2023"),'中古車掲載'!U164,"")</x:f>
      </x:c>
      <x:c r="BH163" s="3" t="str">
        <x:f>IF(AND('中古車掲載'!C164="One2car",'中古車掲載'!F164="DOLPHIN",'中古車掲載'!L164="STANDARD RANGE",'中古車掲載'!J164=2023,ISNUMBER('中古車掲載'!N164),'中古車掲載'!N164&gt;=20000,'中古車掲載'!O164&lt;=100000,'中古車掲載'!AL164=1),'中古車掲載'!U164,"")</x:f>
      </x:c>
      <x:c r="BI163" s="3" t="str">
        <x:v>One2car|SEALION 6|PHEV|Bangkok metro</x:v>
      </x:c>
      <x:c r="BJ163" s="3" t="n">
        <x:v>164</x:v>
      </x:c>
      <x:c r="BK163" s="3" t="n">
        <x:f>'中古車掲載'!AM164</x:f>
        <x:v>679000</x:v>
      </x:c>
      <x:c r="BL163" s="3" t="n">
        <x:f>IF(ISNUMBER('中古車掲載'!AN164),'中古車掲載'!AN164,"")</x:f>
        <x:v>0.6173288480770979</x:v>
      </x:c>
      <x:c r="BM163" s="3" t="str">
        <x:v>2022|Smart cab</x:v>
      </x:c>
      <x:c r="BN163" s="3" t="n">
        <x:v>803</x:v>
      </x:c>
      <x:c r="BO163" s="3" t="n">
        <x:f>'中古車掲載'!AM803</x:f>
        <x:v>579000</x:v>
      </x:c>
      <x:c r="BP163" s="3" t="str">
        <x:v>2.4 MID 4WD SMART CAB</x:v>
      </x:c>
      <x:c r="BQ163" s="3"/>
      <x:c r="BR163" s="3"/>
    </x:row>
    <x:row r="164" ht="22" customHeight="1">
      <x:c r="A164" s="3" t="str">
        <x:v>SEALION 6</x:v>
      </x:c>
      <x:c r="B164" s="3" t="str">
        <x:v>PHEV</x:v>
      </x:c>
      <x:c r="C164" s="3" t="str">
        <x:v>Taladrod</x:v>
      </x:c>
      <x:c r="D164" s="3" t="n">
        <x:v>2025</x:v>
      </x:c>
      <x:c r="E164" s="22" t="n">
        <x:f>COUNT('中古車掲載'!AM930:AM933)</x:f>
        <x:v>4</x:v>
      </x:c>
      <x:c r="F164" s="22" t="n">
        <x:f>IF(COUNT('中古車掲載'!AM930:AM933)=0,"",QUARTILE('中古車掲載'!AM930:AM933,1))</x:f>
        <x:v>716500</x:v>
      </x:c>
      <x:c r="G164" s="22" t="n">
        <x:f>IF(COUNT('中古車掲載'!AM930:AM933)=0,"",MEDIAN('中古車掲載'!AM930:AM933))</x:f>
        <x:v>764000</x:v>
      </x:c>
      <x:c r="H164" s="22" t="n">
        <x:f>IF(COUNT('中古車掲載'!AM930:AM933)=0,"",QUARTILE('中古車掲載'!AM930:AM933,3))</x:f>
        <x:v>801750</x:v>
      </x:c>
      <x:c r="I164" s="22" t="n">
        <x:f>COUNT('中古車掲載'!AN930:AN933)</x:f>
        <x:v>4</x:v>
      </x:c>
      <x:c r="J164" s="23" t="n">
        <x:f>IF(COUNT('中古車掲載'!AN930:AN933)=0,"",MEDIAN('中古車掲載'!AN930:AN933))</x:f>
        <x:v>0.6946086007818892</x:v>
      </x:c>
      <x:c r="K164" s="3"/>
      <x:c r="L164" s="3"/>
      <x:c r="M164" s="3"/>
      <x:c r="N164" s="3"/>
      <x:c r="O164" s="3"/>
      <x:c r="P164" s="3"/>
      <x:c r="Q164" s="3"/>
      <x:c r="R164" s="3"/>
      <x:c r="S164" s="3"/>
      <x:c r="T164" s="3"/>
      <x:c r="U164" s="3"/>
      <x:c r="V164" s="3"/>
      <x:c r="W164" s="3"/>
      <x:c r="X164" s="3"/>
      <x:c r="Y164" s="3"/>
      <x:c r="Z164" s="3"/>
      <x:c r="AA164" s="3"/>
      <x:c r="AB164" s="3"/>
      <x:c r="AC164" s="3"/>
      <x:c r="AD164" s="3"/>
      <x:c r="AE164" s="3"/>
      <x:c r="AF164" s="3"/>
      <x:c r="AG164" s="3"/>
      <x:c r="AH164" s="3"/>
      <x:c r="AI164" s="3"/>
      <x:c r="AJ164" s="3"/>
      <x:c r="AK164" s="3"/>
      <x:c r="AL164" s="3"/>
      <x:c r="AM164" s="3"/>
      <x:c r="AN164" s="3"/>
      <x:c r="AO164" s="3"/>
      <x:c r="AP164" s="3"/>
      <x:c r="AQ164" s="3"/>
      <x:c r="AR164" s="3"/>
      <x:c r="AS164" s="3"/>
      <x:c r="AT164" s="3"/>
      <x:c r="AU164" s="3"/>
      <x:c r="AV164" s="3"/>
      <x:c r="AW164" s="3"/>
      <x:c r="AX164" s="3"/>
      <x:c r="AY164" s="3"/>
      <x:c r="AZ164" s="3" t="str">
        <x:f>IF(AND('中古車掲載'!C165="One2car",'中古車掲載'!F165="ATTO 3",'中古車掲載'!L165="EXTENDED RANGE",'中古車掲載'!J165=2023,ISNUMBER('中古車掲載'!N165),'中古車掲載'!N165&gt;=20000,'中古車掲載'!O165&lt;=100000,'中古車掲載'!AL165=1),'中古車掲載'!U165,"")</x:f>
      </x:c>
      <x:c r="BA164" s="3" t="str">
        <x:f>IF(AND('中古車掲載'!C165="One2car",'中古車掲載'!F165="Corolla Cross",'中古車掲載'!L165="HEV PREMIUM SAFETY",'中古車掲載'!J165=2023,ISNUMBER('中古車掲載'!N165),'中古車掲載'!N165&gt;=20000,'中古車掲載'!O165&lt;=100000,'中古車掲載'!AL165=1,'中古車掲載'!Z165="https://www.one2car.com/en/cars-for-sale/toyota/corolla-cross/year-2023"),'中古車掲載'!U165,"")</x:f>
      </x:c>
      <x:c r="BB164" s="3" t="str">
        <x:f>IF(AND('中古車掲載'!C165="One2car",'中古車掲載'!F165="ATTO 3",'中古車掲載'!L165="EXTENDED RANGE",'中古車掲載'!J165=2023,ISNUMBER('中古車掲載'!N165),'中古車掲載'!N165&gt;=50000,'中古車掲載'!O165&lt;=100000,'中古車掲載'!AL165=1),'中古車掲載'!U165,"")</x:f>
      </x:c>
      <x:c r="BC164" s="3" t="str">
        <x:f>IF(AND('中古車掲載'!C165="One2car",'中古車掲載'!F165="Corolla Cross",'中古車掲載'!L165="HEV PREMIUM SAFETY",'中古車掲載'!J165=2023,ISNUMBER('中古車掲載'!N165),'中古車掲載'!N165&gt;=50000,'中古車掲載'!O165&lt;=100000,'中古車掲載'!AL165=1,'中古車掲載'!Z165="https://www.one2car.com/en/cars-for-sale/toyota/corolla-cross/year-2023"),'中古車掲載'!U165,"")</x:f>
      </x:c>
      <x:c r="BD164" s="3" t="str">
        <x:f>IF(AND('中古車掲載'!C165="One2car",'中古車掲載'!F165="ATTO 3",'中古車掲載'!L165="EXTENDED RANGE",'中古車掲載'!J165=2023,ISNUMBER('中古車掲載'!N165),'中古車掲載'!N165&gt;=20000,'中古車掲載'!O165&lt;=50000,'中古車掲載'!AL165=1),'中古車掲載'!U165,"")</x:f>
      </x:c>
      <x:c r="BE164" s="3" t="str">
        <x:f>IF(AND('中古車掲載'!C165="One2car",'中古車掲載'!F165="Corolla Cross",'中古車掲載'!L165="HEV PREMIUM SAFETY",'中古車掲載'!J165=2023,ISNUMBER('中古車掲載'!N165),'中古車掲載'!N165&gt;=20000,'中古車掲載'!O165&lt;=50000,'中古車掲載'!AL165=1,'中古車掲載'!Z165="https://www.one2car.com/en/cars-for-sale/toyota/corolla-cross/year-2023"),'中古車掲載'!U165,"")</x:f>
      </x:c>
      <x:c r="BF164" s="3" t="str">
        <x:f>IF(AND('中古車掲載'!C165="One2car",'中古車掲載'!F165="Corolla Cross",'中古車掲載'!L165="HEV PREMIUM",'中古車掲載'!J165=2023,ISNUMBER('中古車掲載'!N165),'中古車掲載'!N165&gt;=20000,'中古車掲載'!O165&lt;=100000,'中古車掲載'!AL165=1,'中古車掲載'!Z165="https://www.one2car.com/en/cars-for-sale/toyota/corolla-cross/year-2023"),'中古車掲載'!U165,"")</x:f>
      </x:c>
      <x:c r="BG164" s="3" t="str">
        <x:f>IF(AND('中古車掲載'!C165="One2car",'中古車掲載'!F165="Corolla Cross",'中古車掲載'!L165="HEV GR SPORT",'中古車掲載'!J165=2023,ISNUMBER('中古車掲載'!N165),'中古車掲載'!N165&gt;=20000,'中古車掲載'!O165&lt;=100000,'中古車掲載'!AL165=1,'中古車掲載'!Z165="https://www.one2car.com/en/cars-for-sale/toyota/corolla-cross/year-2023"),'中古車掲載'!U165,"")</x:f>
      </x:c>
      <x:c r="BH164" s="3" t="str">
        <x:f>IF(AND('中古車掲載'!C165="One2car",'中古車掲載'!F165="DOLPHIN",'中古車掲載'!L165="STANDARD RANGE",'中古車掲載'!J165=2023,ISNUMBER('中古車掲載'!N165),'中古車掲載'!N165&gt;=20000,'中古車掲載'!O165&lt;=100000,'中古車掲載'!AL165=1),'中古車掲載'!U165,"")</x:f>
      </x:c>
      <x:c r="BI164" s="3" t="str">
        <x:v>One2car|SEALION 6|PHEV|Bangkok metro</x:v>
      </x:c>
      <x:c r="BJ164" s="3" t="n">
        <x:v>165</x:v>
      </x:c>
      <x:c r="BK164" s="3" t="n">
        <x:f>'中古車掲載'!AM165</x:f>
        <x:v>679000</x:v>
      </x:c>
      <x:c r="BL164" s="3" t="n">
        <x:f>IF(ISNUMBER('中古車掲載'!AN165),'中古車掲載'!AN165,"")</x:f>
        <x:v>0.6173288480770979</x:v>
      </x:c>
      <x:c r="BM164" s="3" t="str">
        <x:v>2022|Smart cab</x:v>
      </x:c>
      <x:c r="BN164" s="3" t="n">
        <x:v>809</x:v>
      </x:c>
      <x:c r="BO164" s="3" t="n">
        <x:f>'中古車掲載'!AM809</x:f>
        <x:v>494000</x:v>
      </x:c>
      <x:c r="BP164" s="3" t="str">
        <x:v>2.4 MID PRERUNNER SMART CAB</x:v>
      </x:c>
      <x:c r="BQ164" s="3"/>
      <x:c r="BR164" s="3"/>
    </x:row>
    <x:row r="165" ht="22" customHeight="1">
      <x:c r="A165" s="3" t="str">
        <x:v>SEALION 7</x:v>
      </x:c>
      <x:c r="B165" s="3" t="str">
        <x:v>BEV</x:v>
      </x:c>
      <x:c r="C165" s="3" t="str">
        <x:v>Taladrod</x:v>
      </x:c>
      <x:c r="D165" s="3" t="n">
        <x:v>2025</x:v>
      </x:c>
      <x:c r="E165" s="22" t="n">
        <x:f>COUNT('中古車掲載'!AM934:AM936)</x:f>
        <x:v>3</x:v>
      </x:c>
      <x:c r="F165" s="22" t="n">
        <x:f>IF(COUNT('中古車掲載'!AM934:AM936)=0,"",QUARTILE('中古車掲載'!AM934:AM936,1))</x:f>
        <x:v>938500</x:v>
      </x:c>
      <x:c r="G165" s="22" t="n">
        <x:f>IF(COUNT('中古車掲載'!AM934:AM936)=0,"",MEDIAN('中古車掲載'!AM934:AM936))</x:f>
        <x:v>939000</x:v>
      </x:c>
      <x:c r="H165" s="22" t="n">
        <x:f>IF(COUNT('中古車掲載'!AM934:AM936)=0,"",QUARTILE('中古車掲載'!AM934:AM936,3))</x:f>
        <x:v>969000</x:v>
      </x:c>
      <x:c r="I165" s="22" t="n">
        <x:f>COUNT('中古車掲載'!AN934:AN936)</x:f>
        <x:v>3</x:v>
      </x:c>
      <x:c r="J165" s="23" t="n">
        <x:f>IF(COUNT('中古車掲載'!AN934:AN936)=0,"",MEDIAN('中古車掲載'!AN934:AN936))</x:f>
        <x:v>0.6707621972998071</x:v>
      </x:c>
      <x:c r="K165" s="3"/>
      <x:c r="L165" s="3"/>
      <x:c r="M165" s="3"/>
      <x:c r="N165" s="3"/>
      <x:c r="O165" s="3"/>
      <x:c r="P165" s="3"/>
      <x:c r="Q165" s="3"/>
      <x:c r="R165" s="3"/>
      <x:c r="S165" s="3"/>
      <x:c r="T165" s="3"/>
      <x:c r="U165" s="3"/>
      <x:c r="V165" s="3"/>
      <x:c r="W165" s="3"/>
      <x:c r="X165" s="3"/>
      <x:c r="Y165" s="3"/>
      <x:c r="Z165" s="3"/>
      <x:c r="AA165" s="3"/>
      <x:c r="AB165" s="3"/>
      <x:c r="AC165" s="3"/>
      <x:c r="AD165" s="3"/>
      <x:c r="AE165" s="3"/>
      <x:c r="AF165" s="3"/>
      <x:c r="AG165" s="3"/>
      <x:c r="AH165" s="3"/>
      <x:c r="AI165" s="3"/>
      <x:c r="AJ165" s="3"/>
      <x:c r="AK165" s="3"/>
      <x:c r="AL165" s="3"/>
      <x:c r="AM165" s="3"/>
      <x:c r="AN165" s="3"/>
      <x:c r="AO165" s="3"/>
      <x:c r="AP165" s="3"/>
      <x:c r="AQ165" s="3"/>
      <x:c r="AR165" s="3"/>
      <x:c r="AS165" s="3"/>
      <x:c r="AT165" s="3"/>
      <x:c r="AU165" s="3"/>
      <x:c r="AV165" s="3"/>
      <x:c r="AW165" s="3"/>
      <x:c r="AX165" s="3"/>
      <x:c r="AY165" s="3"/>
      <x:c r="AZ165" s="3" t="str">
        <x:f>IF(AND('中古車掲載'!C166="One2car",'中古車掲載'!F166="ATTO 3",'中古車掲載'!L166="EXTENDED RANGE",'中古車掲載'!J166=2023,ISNUMBER('中古車掲載'!N166),'中古車掲載'!N166&gt;=20000,'中古車掲載'!O166&lt;=100000,'中古車掲載'!AL166=1),'中古車掲載'!U166,"")</x:f>
      </x:c>
      <x:c r="BA165" s="3" t="str">
        <x:f>IF(AND('中古車掲載'!C166="One2car",'中古車掲載'!F166="Corolla Cross",'中古車掲載'!L166="HEV PREMIUM SAFETY",'中古車掲載'!J166=2023,ISNUMBER('中古車掲載'!N166),'中古車掲載'!N166&gt;=20000,'中古車掲載'!O166&lt;=100000,'中古車掲載'!AL166=1,'中古車掲載'!Z166="https://www.one2car.com/en/cars-for-sale/toyota/corolla-cross/year-2023"),'中古車掲載'!U166,"")</x:f>
      </x:c>
      <x:c r="BB165" s="3" t="str">
        <x:f>IF(AND('中古車掲載'!C166="One2car",'中古車掲載'!F166="ATTO 3",'中古車掲載'!L166="EXTENDED RANGE",'中古車掲載'!J166=2023,ISNUMBER('中古車掲載'!N166),'中古車掲載'!N166&gt;=50000,'中古車掲載'!O166&lt;=100000,'中古車掲載'!AL166=1),'中古車掲載'!U166,"")</x:f>
      </x:c>
      <x:c r="BC165" s="3" t="str">
        <x:f>IF(AND('中古車掲載'!C166="One2car",'中古車掲載'!F166="Corolla Cross",'中古車掲載'!L166="HEV PREMIUM SAFETY",'中古車掲載'!J166=2023,ISNUMBER('中古車掲載'!N166),'中古車掲載'!N166&gt;=50000,'中古車掲載'!O166&lt;=100000,'中古車掲載'!AL166=1,'中古車掲載'!Z166="https://www.one2car.com/en/cars-for-sale/toyota/corolla-cross/year-2023"),'中古車掲載'!U166,"")</x:f>
      </x:c>
      <x:c r="BD165" s="3" t="str">
        <x:f>IF(AND('中古車掲載'!C166="One2car",'中古車掲載'!F166="ATTO 3",'中古車掲載'!L166="EXTENDED RANGE",'中古車掲載'!J166=2023,ISNUMBER('中古車掲載'!N166),'中古車掲載'!N166&gt;=20000,'中古車掲載'!O166&lt;=50000,'中古車掲載'!AL166=1),'中古車掲載'!U166,"")</x:f>
      </x:c>
      <x:c r="BE165" s="3" t="str">
        <x:f>IF(AND('中古車掲載'!C166="One2car",'中古車掲載'!F166="Corolla Cross",'中古車掲載'!L166="HEV PREMIUM SAFETY",'中古車掲載'!J166=2023,ISNUMBER('中古車掲載'!N166),'中古車掲載'!N166&gt;=20000,'中古車掲載'!O166&lt;=50000,'中古車掲載'!AL166=1,'中古車掲載'!Z166="https://www.one2car.com/en/cars-for-sale/toyota/corolla-cross/year-2023"),'中古車掲載'!U166,"")</x:f>
      </x:c>
      <x:c r="BF165" s="3" t="str">
        <x:f>IF(AND('中古車掲載'!C166="One2car",'中古車掲載'!F166="Corolla Cross",'中古車掲載'!L166="HEV PREMIUM",'中古車掲載'!J166=2023,ISNUMBER('中古車掲載'!N166),'中古車掲載'!N166&gt;=20000,'中古車掲載'!O166&lt;=100000,'中古車掲載'!AL166=1,'中古車掲載'!Z166="https://www.one2car.com/en/cars-for-sale/toyota/corolla-cross/year-2023"),'中古車掲載'!U166,"")</x:f>
      </x:c>
      <x:c r="BG165" s="3" t="str">
        <x:f>IF(AND('中古車掲載'!C166="One2car",'中古車掲載'!F166="Corolla Cross",'中古車掲載'!L166="HEV GR SPORT",'中古車掲載'!J166=2023,ISNUMBER('中古車掲載'!N166),'中古車掲載'!N166&gt;=20000,'中古車掲載'!O166&lt;=100000,'中古車掲載'!AL166=1,'中古車掲載'!Z166="https://www.one2car.com/en/cars-for-sale/toyota/corolla-cross/year-2023"),'中古車掲載'!U166,"")</x:f>
      </x:c>
      <x:c r="BH165" s="3" t="str">
        <x:f>IF(AND('中古車掲載'!C166="One2car",'中古車掲載'!F166="DOLPHIN",'中古車掲載'!L166="STANDARD RANGE",'中古車掲載'!J166=2023,ISNUMBER('中古車掲載'!N166),'中古車掲載'!N166&gt;=20000,'中古車掲載'!O166&lt;=100000,'中古車掲載'!AL166=1),'中古車掲載'!U166,"")</x:f>
      </x:c>
      <x:c r="BI165" s="3" t="str">
        <x:v>One2car|SEALION 6|PHEV|Bangkok metro</x:v>
      </x:c>
      <x:c r="BJ165" s="3" t="n">
        <x:v>166</x:v>
      </x:c>
      <x:c r="BK165" s="3" t="n">
        <x:f>'中古車掲載'!AM166</x:f>
        <x:v>679000</x:v>
      </x:c>
      <x:c r="BL165" s="3" t="n">
        <x:f>IF(ISNUMBER('中古車掲載'!AN166),'中古車掲載'!AN166,"")</x:f>
        <x:v>0.6173288480770979</x:v>
      </x:c>
      <x:c r="BM165" s="3" t="str">
        <x:v>2022|Smart cab</x:v>
      </x:c>
      <x:c r="BN165" s="3" t="n">
        <x:v>810</x:v>
      </x:c>
      <x:c r="BO165" s="3" t="n">
        <x:f>'中古車掲載'!AM810</x:f>
        <x:v>600000</x:v>
      </x:c>
      <x:c r="BP165" s="3" t="str">
        <x:v>2.4 MID PRERUNNER SMART CAB</x:v>
      </x:c>
      <x:c r="BQ165" s="3"/>
      <x:c r="BR165" s="3"/>
    </x:row>
    <x:row r="166" ht="22" customHeight="1">
      <x:c r="A166" s="3" t="str">
        <x:v>SEALION 7</x:v>
      </x:c>
      <x:c r="B166" s="3" t="str">
        <x:v>BEV</x:v>
      </x:c>
      <x:c r="C166" s="3" t="str">
        <x:v>Taladrod</x:v>
      </x:c>
      <x:c r="D166" s="3" t="n">
        <x:v>2026</x:v>
      </x:c>
      <x:c r="E166" s="22" t="n">
        <x:f>COUNT('中古車掲載'!AM937:AM937)</x:f>
        <x:v>0</x:v>
      </x:c>
      <x:c r="F166" s="22" t="str">
        <x:f>IF(COUNT('中古車掲載'!AM937:AM937)=0,"",QUARTILE('中古車掲載'!AM937:AM937,1))</x:f>
      </x:c>
      <x:c r="G166" s="22" t="str">
        <x:f>IF(COUNT('中古車掲載'!AM937:AM937)=0,"",MEDIAN('中古車掲載'!AM937:AM937))</x:f>
      </x:c>
      <x:c r="H166" s="22" t="str">
        <x:f>IF(COUNT('中古車掲載'!AM937:AM937)=0,"",QUARTILE('中古車掲載'!AM937:AM937,3))</x:f>
      </x:c>
      <x:c r="I166" s="22" t="n">
        <x:f>COUNT('中古車掲載'!AN937:AN937)</x:f>
        <x:v>0</x:v>
      </x:c>
      <x:c r="J166" s="23" t="str">
        <x:f>IF(COUNT('中古車掲載'!AN937:AN937)=0,"",MEDIAN('中古車掲載'!AN937:AN937))</x:f>
      </x:c>
      <x:c r="K166" s="3"/>
      <x:c r="L166" s="3"/>
      <x:c r="M166" s="3"/>
      <x:c r="N166" s="3"/>
      <x:c r="O166" s="3"/>
      <x:c r="P166" s="3"/>
      <x:c r="Q166" s="3"/>
      <x:c r="R166" s="3"/>
      <x:c r="S166" s="3"/>
      <x:c r="T166" s="3"/>
      <x:c r="U166" s="3"/>
      <x:c r="V166" s="3"/>
      <x:c r="W166" s="3"/>
      <x:c r="X166" s="3"/>
      <x:c r="Y166" s="3"/>
      <x:c r="Z166" s="3"/>
      <x:c r="AA166" s="3"/>
      <x:c r="AB166" s="3"/>
      <x:c r="AC166" s="3"/>
      <x:c r="AD166" s="3"/>
      <x:c r="AE166" s="3"/>
      <x:c r="AF166" s="3"/>
      <x:c r="AG166" s="3"/>
      <x:c r="AH166" s="3"/>
      <x:c r="AI166" s="3"/>
      <x:c r="AJ166" s="3"/>
      <x:c r="AK166" s="3"/>
      <x:c r="AL166" s="3"/>
      <x:c r="AM166" s="3"/>
      <x:c r="AN166" s="3"/>
      <x:c r="AO166" s="3"/>
      <x:c r="AP166" s="3"/>
      <x:c r="AQ166" s="3"/>
      <x:c r="AR166" s="3"/>
      <x:c r="AS166" s="3"/>
      <x:c r="AT166" s="3"/>
      <x:c r="AU166" s="3"/>
      <x:c r="AV166" s="3"/>
      <x:c r="AW166" s="3"/>
      <x:c r="AX166" s="3"/>
      <x:c r="AY166" s="3"/>
      <x:c r="AZ166" s="3" t="str">
        <x:f>IF(AND('中古車掲載'!C167="One2car",'中古車掲載'!F167="ATTO 3",'中古車掲載'!L167="EXTENDED RANGE",'中古車掲載'!J167=2023,ISNUMBER('中古車掲載'!N167),'中古車掲載'!N167&gt;=20000,'中古車掲載'!O167&lt;=100000,'中古車掲載'!AL167=1),'中古車掲載'!U167,"")</x:f>
      </x:c>
      <x:c r="BA166" s="3" t="str">
        <x:f>IF(AND('中古車掲載'!C167="One2car",'中古車掲載'!F167="Corolla Cross",'中古車掲載'!L167="HEV PREMIUM SAFETY",'中古車掲載'!J167=2023,ISNUMBER('中古車掲載'!N167),'中古車掲載'!N167&gt;=20000,'中古車掲載'!O167&lt;=100000,'中古車掲載'!AL167=1,'中古車掲載'!Z167="https://www.one2car.com/en/cars-for-sale/toyota/corolla-cross/year-2023"),'中古車掲載'!U167,"")</x:f>
      </x:c>
      <x:c r="BB166" s="3" t="str">
        <x:f>IF(AND('中古車掲載'!C167="One2car",'中古車掲載'!F167="ATTO 3",'中古車掲載'!L167="EXTENDED RANGE",'中古車掲載'!J167=2023,ISNUMBER('中古車掲載'!N167),'中古車掲載'!N167&gt;=50000,'中古車掲載'!O167&lt;=100000,'中古車掲載'!AL167=1),'中古車掲載'!U167,"")</x:f>
      </x:c>
      <x:c r="BC166" s="3" t="str">
        <x:f>IF(AND('中古車掲載'!C167="One2car",'中古車掲載'!F167="Corolla Cross",'中古車掲載'!L167="HEV PREMIUM SAFETY",'中古車掲載'!J167=2023,ISNUMBER('中古車掲載'!N167),'中古車掲載'!N167&gt;=50000,'中古車掲載'!O167&lt;=100000,'中古車掲載'!AL167=1,'中古車掲載'!Z167="https://www.one2car.com/en/cars-for-sale/toyota/corolla-cross/year-2023"),'中古車掲載'!U167,"")</x:f>
      </x:c>
      <x:c r="BD166" s="3" t="str">
        <x:f>IF(AND('中古車掲載'!C167="One2car",'中古車掲載'!F167="ATTO 3",'中古車掲載'!L167="EXTENDED RANGE",'中古車掲載'!J167=2023,ISNUMBER('中古車掲載'!N167),'中古車掲載'!N167&gt;=20000,'中古車掲載'!O167&lt;=50000,'中古車掲載'!AL167=1),'中古車掲載'!U167,"")</x:f>
      </x:c>
      <x:c r="BE166" s="3" t="str">
        <x:f>IF(AND('中古車掲載'!C167="One2car",'中古車掲載'!F167="Corolla Cross",'中古車掲載'!L167="HEV PREMIUM SAFETY",'中古車掲載'!J167=2023,ISNUMBER('中古車掲載'!N167),'中古車掲載'!N167&gt;=20000,'中古車掲載'!O167&lt;=50000,'中古車掲載'!AL167=1,'中古車掲載'!Z167="https://www.one2car.com/en/cars-for-sale/toyota/corolla-cross/year-2023"),'中古車掲載'!U167,"")</x:f>
      </x:c>
      <x:c r="BF166" s="3" t="str">
        <x:f>IF(AND('中古車掲載'!C167="One2car",'中古車掲載'!F167="Corolla Cross",'中古車掲載'!L167="HEV PREMIUM",'中古車掲載'!J167=2023,ISNUMBER('中古車掲載'!N167),'中古車掲載'!N167&gt;=20000,'中古車掲載'!O167&lt;=100000,'中古車掲載'!AL167=1,'中古車掲載'!Z167="https://www.one2car.com/en/cars-for-sale/toyota/corolla-cross/year-2023"),'中古車掲載'!U167,"")</x:f>
      </x:c>
      <x:c r="BG166" s="3" t="str">
        <x:f>IF(AND('中古車掲載'!C167="One2car",'中古車掲載'!F167="Corolla Cross",'中古車掲載'!L167="HEV GR SPORT",'中古車掲載'!J167=2023,ISNUMBER('中古車掲載'!N167),'中古車掲載'!N167&gt;=20000,'中古車掲載'!O167&lt;=100000,'中古車掲載'!AL167=1,'中古車掲載'!Z167="https://www.one2car.com/en/cars-for-sale/toyota/corolla-cross/year-2023"),'中古車掲載'!U167,"")</x:f>
      </x:c>
      <x:c r="BH166" s="3" t="str">
        <x:f>IF(AND('中古車掲載'!C167="One2car",'中古車掲載'!F167="DOLPHIN",'中古車掲載'!L167="STANDARD RANGE",'中古車掲載'!J167=2023,ISNUMBER('中古車掲載'!N167),'中古車掲載'!N167&gt;=20000,'中古車掲載'!O167&lt;=100000,'中古車掲載'!AL167=1),'中古車掲載'!U167,"")</x:f>
      </x:c>
      <x:c r="BI166" s="3" t="str">
        <x:v>One2car|SEALION 6|PHEV|Bangkok metro</x:v>
      </x:c>
      <x:c r="BJ166" s="3" t="n">
        <x:v>167</x:v>
      </x:c>
      <x:c r="BK166" s="3" t="str">
        <x:f>'中古車掲載'!AM167</x:f>
      </x:c>
      <x:c r="BL166" s="3" t="str">
        <x:f>IF(ISNUMBER('中古車掲載'!AN167),'中古車掲載'!AN167,"")</x:f>
      </x:c>
      <x:c r="BM166" s="3" t="str">
        <x:v>2022|Smart cab</x:v>
      </x:c>
      <x:c r="BN166" s="3" t="n">
        <x:v>811</x:v>
      </x:c>
      <x:c r="BO166" s="3" t="n">
        <x:f>'中古車掲載'!AM811</x:f>
        <x:v>499000</x:v>
      </x:c>
      <x:c r="BP166" s="3" t="str">
        <x:v>2.4 MID PRERUNNER SMART CAB</x:v>
      </x:c>
      <x:c r="BQ166" s="3"/>
      <x:c r="BR166" s="3"/>
    </x:row>
    <x:row r="167" ht="22" customHeight="1">
      <x:c r="A167" s="3" t="str">
        <x:v>Yaris Ativ</x:v>
      </x:c>
      <x:c r="B167" s="3" t="str">
        <x:v>HEV</x:v>
      </x:c>
      <x:c r="C167" s="3" t="str">
        <x:v>Taladrod</x:v>
      </x:c>
      <x:c r="D167" s="3" t="n">
        <x:v>2025</x:v>
      </x:c>
      <x:c r="E167" s="22" t="n">
        <x:f>COUNT('中古車掲載'!AM938:AM940)</x:f>
        <x:v>3</x:v>
      </x:c>
      <x:c r="F167" s="22" t="n">
        <x:f>IF(COUNT('中古車掲載'!AM938:AM940)=0,"",QUARTILE('中古車掲載'!AM938:AM940,1))</x:f>
        <x:v>657000</x:v>
      </x:c>
      <x:c r="G167" s="22" t="n">
        <x:f>IF(COUNT('中古車掲載'!AM938:AM940)=0,"",MEDIAN('中古車掲載'!AM938:AM940))</x:f>
        <x:v>690000</x:v>
      </x:c>
      <x:c r="H167" s="22" t="n">
        <x:f>IF(COUNT('中古車掲載'!AM938:AM940)=0,"",QUARTILE('中古車掲載'!AM938:AM940,3))</x:f>
        <x:v>690000</x:v>
      </x:c>
      <x:c r="I167" s="22" t="n">
        <x:f>COUNT('中古車掲載'!AN938:AN940)</x:f>
        <x:v>0</x:v>
      </x:c>
      <x:c r="J167" s="23" t="str">
        <x:f>IF(COUNT('中古車掲載'!AN938:AN940)=0,"",MEDIAN('中古車掲載'!AN938:AN940))</x:f>
      </x:c>
      <x:c r="K167" s="3"/>
      <x:c r="L167" s="3"/>
      <x:c r="M167" s="3"/>
      <x:c r="N167" s="3"/>
      <x:c r="O167" s="3"/>
      <x:c r="P167" s="3"/>
      <x:c r="Q167" s="3"/>
      <x:c r="R167" s="3"/>
      <x:c r="S167" s="3"/>
      <x:c r="T167" s="3"/>
      <x:c r="U167" s="3"/>
      <x:c r="V167" s="3"/>
      <x:c r="W167" s="3"/>
      <x:c r="X167" s="3"/>
      <x:c r="Y167" s="3"/>
      <x:c r="Z167" s="3"/>
      <x:c r="AA167" s="3"/>
      <x:c r="AB167" s="3"/>
      <x:c r="AC167" s="3"/>
      <x:c r="AD167" s="3"/>
      <x:c r="AE167" s="3"/>
      <x:c r="AF167" s="3"/>
      <x:c r="AG167" s="3"/>
      <x:c r="AH167" s="3"/>
      <x:c r="AI167" s="3"/>
      <x:c r="AJ167" s="3"/>
      <x:c r="AK167" s="3"/>
      <x:c r="AL167" s="3"/>
      <x:c r="AM167" s="3"/>
      <x:c r="AN167" s="3"/>
      <x:c r="AO167" s="3"/>
      <x:c r="AP167" s="3"/>
      <x:c r="AQ167" s="3"/>
      <x:c r="AR167" s="3"/>
      <x:c r="AS167" s="3"/>
      <x:c r="AT167" s="3"/>
      <x:c r="AU167" s="3"/>
      <x:c r="AV167" s="3"/>
      <x:c r="AW167" s="3"/>
      <x:c r="AX167" s="3"/>
      <x:c r="AY167" s="3"/>
      <x:c r="AZ167" s="3" t="str">
        <x:f>IF(AND('中古車掲載'!C168="One2car",'中古車掲載'!F168="ATTO 3",'中古車掲載'!L168="EXTENDED RANGE",'中古車掲載'!J168=2023,ISNUMBER('中古車掲載'!N168),'中古車掲載'!N168&gt;=20000,'中古車掲載'!O168&lt;=100000,'中古車掲載'!AL168=1),'中古車掲載'!U168,"")</x:f>
      </x:c>
      <x:c r="BA167" s="3" t="str">
        <x:f>IF(AND('中古車掲載'!C168="One2car",'中古車掲載'!F168="Corolla Cross",'中古車掲載'!L168="HEV PREMIUM SAFETY",'中古車掲載'!J168=2023,ISNUMBER('中古車掲載'!N168),'中古車掲載'!N168&gt;=20000,'中古車掲載'!O168&lt;=100000,'中古車掲載'!AL168=1,'中古車掲載'!Z168="https://www.one2car.com/en/cars-for-sale/toyota/corolla-cross/year-2023"),'中古車掲載'!U168,"")</x:f>
      </x:c>
      <x:c r="BB167" s="3" t="str">
        <x:f>IF(AND('中古車掲載'!C168="One2car",'中古車掲載'!F168="ATTO 3",'中古車掲載'!L168="EXTENDED RANGE",'中古車掲載'!J168=2023,ISNUMBER('中古車掲載'!N168),'中古車掲載'!N168&gt;=50000,'中古車掲載'!O168&lt;=100000,'中古車掲載'!AL168=1),'中古車掲載'!U168,"")</x:f>
      </x:c>
      <x:c r="BC167" s="3" t="str">
        <x:f>IF(AND('中古車掲載'!C168="One2car",'中古車掲載'!F168="Corolla Cross",'中古車掲載'!L168="HEV PREMIUM SAFETY",'中古車掲載'!J168=2023,ISNUMBER('中古車掲載'!N168),'中古車掲載'!N168&gt;=50000,'中古車掲載'!O168&lt;=100000,'中古車掲載'!AL168=1,'中古車掲載'!Z168="https://www.one2car.com/en/cars-for-sale/toyota/corolla-cross/year-2023"),'中古車掲載'!U168,"")</x:f>
      </x:c>
      <x:c r="BD167" s="3" t="str">
        <x:f>IF(AND('中古車掲載'!C168="One2car",'中古車掲載'!F168="ATTO 3",'中古車掲載'!L168="EXTENDED RANGE",'中古車掲載'!J168=2023,ISNUMBER('中古車掲載'!N168),'中古車掲載'!N168&gt;=20000,'中古車掲載'!O168&lt;=50000,'中古車掲載'!AL168=1),'中古車掲載'!U168,"")</x:f>
      </x:c>
      <x:c r="BE167" s="3" t="str">
        <x:f>IF(AND('中古車掲載'!C168="One2car",'中古車掲載'!F168="Corolla Cross",'中古車掲載'!L168="HEV PREMIUM SAFETY",'中古車掲載'!J168=2023,ISNUMBER('中古車掲載'!N168),'中古車掲載'!N168&gt;=20000,'中古車掲載'!O168&lt;=50000,'中古車掲載'!AL168=1,'中古車掲載'!Z168="https://www.one2car.com/en/cars-for-sale/toyota/corolla-cross/year-2023"),'中古車掲載'!U168,"")</x:f>
      </x:c>
      <x:c r="BF167" s="3" t="str">
        <x:f>IF(AND('中古車掲載'!C168="One2car",'中古車掲載'!F168="Corolla Cross",'中古車掲載'!L168="HEV PREMIUM",'中古車掲載'!J168=2023,ISNUMBER('中古車掲載'!N168),'中古車掲載'!N168&gt;=20000,'中古車掲載'!O168&lt;=100000,'中古車掲載'!AL168=1,'中古車掲載'!Z168="https://www.one2car.com/en/cars-for-sale/toyota/corolla-cross/year-2023"),'中古車掲載'!U168,"")</x:f>
      </x:c>
      <x:c r="BG167" s="3" t="str">
        <x:f>IF(AND('中古車掲載'!C168="One2car",'中古車掲載'!F168="Corolla Cross",'中古車掲載'!L168="HEV GR SPORT",'中古車掲載'!J168=2023,ISNUMBER('中古車掲載'!N168),'中古車掲載'!N168&gt;=20000,'中古車掲載'!O168&lt;=100000,'中古車掲載'!AL168=1,'中古車掲載'!Z168="https://www.one2car.com/en/cars-for-sale/toyota/corolla-cross/year-2023"),'中古車掲載'!U168,"")</x:f>
      </x:c>
      <x:c r="BH167" s="3" t="str">
        <x:f>IF(AND('中古車掲載'!C168="One2car",'中古車掲載'!F168="DOLPHIN",'中古車掲載'!L168="STANDARD RANGE",'中古車掲載'!J168=2023,ISNUMBER('中古車掲載'!N168),'中古車掲載'!N168&gt;=20000,'中古車掲載'!O168&lt;=100000,'中古車掲載'!AL168=1),'中古車掲載'!U168,"")</x:f>
      </x:c>
      <x:c r="BI167" s="3" t="str">
        <x:v>Taladrod|ATTO 3|BEV|Bangkok metro</x:v>
      </x:c>
      <x:c r="BJ167" s="3" t="n">
        <x:v>168</x:v>
      </x:c>
      <x:c r="BK167" s="3" t="n">
        <x:f>'中古車掲載'!AM168</x:f>
        <x:v>445000</x:v>
      </x:c>
      <x:c r="BL167" s="3" t="str">
        <x:f>IF(ISNUMBER('中古車掲載'!AN168),'中古車掲載'!AN168,"")</x:f>
      </x:c>
      <x:c r="BM167" s="3" t="str">
        <x:v>2022|Smart cab</x:v>
      </x:c>
      <x:c r="BN167" s="3" t="n">
        <x:v>812</x:v>
      </x:c>
      <x:c r="BO167" s="3" t="n">
        <x:f>'中古車掲載'!AM812</x:f>
        <x:v>479000</x:v>
      </x:c>
      <x:c r="BP167" s="3" t="str">
        <x:v>2.4 MID PRERUNNER SMART CAB</x:v>
      </x:c>
      <x:c r="BQ167" s="3"/>
      <x:c r="BR167" s="3"/>
    </x:row>
    <x:row r="168" ht="22" customHeight="1">
      <x:c r="A168" s="3" t="str">
        <x:v>Yaris Ativ</x:v>
      </x:c>
      <x:c r="B168" s="3" t="str">
        <x:v>HEV</x:v>
      </x:c>
      <x:c r="C168" s="3" t="str">
        <x:v>Taladrod</x:v>
      </x:c>
      <x:c r="D168" s="3" t="n">
        <x:v>2026</x:v>
      </x:c>
      <x:c r="E168" s="22" t="n">
        <x:f>COUNT('中古車掲載'!AM941:AM941)</x:f>
        <x:v>0</x:v>
      </x:c>
      <x:c r="F168" s="22" t="str">
        <x:f>IF(COUNT('中古車掲載'!AM941:AM941)=0,"",QUARTILE('中古車掲載'!AM941:AM941,1))</x:f>
      </x:c>
      <x:c r="G168" s="22" t="str">
        <x:f>IF(COUNT('中古車掲載'!AM941:AM941)=0,"",MEDIAN('中古車掲載'!AM941:AM941))</x:f>
      </x:c>
      <x:c r="H168" s="22" t="str">
        <x:f>IF(COUNT('中古車掲載'!AM941:AM941)=0,"",QUARTILE('中古車掲載'!AM941:AM941,3))</x:f>
      </x:c>
      <x:c r="I168" s="22" t="n">
        <x:f>COUNT('中古車掲載'!AN941:AN941)</x:f>
        <x:v>0</x:v>
      </x:c>
      <x:c r="J168" s="23" t="str">
        <x:f>IF(COUNT('中古車掲載'!AN941:AN941)=0,"",MEDIAN('中古車掲載'!AN941:AN941))</x:f>
      </x:c>
      <x:c r="K168" s="3"/>
      <x:c r="L168" s="3"/>
      <x:c r="M168" s="3"/>
      <x:c r="N168" s="3"/>
      <x:c r="O168" s="3"/>
      <x:c r="P168" s="3"/>
      <x:c r="Q168" s="3"/>
      <x:c r="R168" s="3"/>
      <x:c r="S168" s="3"/>
      <x:c r="T168" s="3"/>
      <x:c r="U168" s="3"/>
      <x:c r="V168" s="3"/>
      <x:c r="W168" s="3"/>
      <x:c r="X168" s="3"/>
      <x:c r="Y168" s="3"/>
      <x:c r="Z168" s="3"/>
      <x:c r="AA168" s="3"/>
      <x:c r="AB168" s="3"/>
      <x:c r="AC168" s="3"/>
      <x:c r="AD168" s="3"/>
      <x:c r="AE168" s="3"/>
      <x:c r="AF168" s="3"/>
      <x:c r="AG168" s="3"/>
      <x:c r="AH168" s="3"/>
      <x:c r="AI168" s="3"/>
      <x:c r="AJ168" s="3"/>
      <x:c r="AK168" s="3"/>
      <x:c r="AL168" s="3"/>
      <x:c r="AM168" s="3"/>
      <x:c r="AN168" s="3"/>
      <x:c r="AO168" s="3"/>
      <x:c r="AP168" s="3"/>
      <x:c r="AQ168" s="3"/>
      <x:c r="AR168" s="3"/>
      <x:c r="AS168" s="3"/>
      <x:c r="AT168" s="3"/>
      <x:c r="AU168" s="3"/>
      <x:c r="AV168" s="3"/>
      <x:c r="AW168" s="3"/>
      <x:c r="AX168" s="3"/>
      <x:c r="AY168" s="3"/>
      <x:c r="AZ168" s="3" t="str">
        <x:f>IF(AND('中古車掲載'!C169="One2car",'中古車掲載'!F169="ATTO 3",'中古車掲載'!L169="EXTENDED RANGE",'中古車掲載'!J169=2023,ISNUMBER('中古車掲載'!N169),'中古車掲載'!N169&gt;=20000,'中古車掲載'!O169&lt;=100000,'中古車掲載'!AL169=1),'中古車掲載'!U169,"")</x:f>
      </x:c>
      <x:c r="BA168" s="3" t="str">
        <x:f>IF(AND('中古車掲載'!C169="One2car",'中古車掲載'!F169="Corolla Cross",'中古車掲載'!L169="HEV PREMIUM SAFETY",'中古車掲載'!J169=2023,ISNUMBER('中古車掲載'!N169),'中古車掲載'!N169&gt;=20000,'中古車掲載'!O169&lt;=100000,'中古車掲載'!AL169=1,'中古車掲載'!Z169="https://www.one2car.com/en/cars-for-sale/toyota/corolla-cross/year-2023"),'中古車掲載'!U169,"")</x:f>
      </x:c>
      <x:c r="BB168" s="3" t="str">
        <x:f>IF(AND('中古車掲載'!C169="One2car",'中古車掲載'!F169="ATTO 3",'中古車掲載'!L169="EXTENDED RANGE",'中古車掲載'!J169=2023,ISNUMBER('中古車掲載'!N169),'中古車掲載'!N169&gt;=50000,'中古車掲載'!O169&lt;=100000,'中古車掲載'!AL169=1),'中古車掲載'!U169,"")</x:f>
      </x:c>
      <x:c r="BC168" s="3" t="str">
        <x:f>IF(AND('中古車掲載'!C169="One2car",'中古車掲載'!F169="Corolla Cross",'中古車掲載'!L169="HEV PREMIUM SAFETY",'中古車掲載'!J169=2023,ISNUMBER('中古車掲載'!N169),'中古車掲載'!N169&gt;=50000,'中古車掲載'!O169&lt;=100000,'中古車掲載'!AL169=1,'中古車掲載'!Z169="https://www.one2car.com/en/cars-for-sale/toyota/corolla-cross/year-2023"),'中古車掲載'!U169,"")</x:f>
      </x:c>
      <x:c r="BD168" s="3" t="str">
        <x:f>IF(AND('中古車掲載'!C169="One2car",'中古車掲載'!F169="ATTO 3",'中古車掲載'!L169="EXTENDED RANGE",'中古車掲載'!J169=2023,ISNUMBER('中古車掲載'!N169),'中古車掲載'!N169&gt;=20000,'中古車掲載'!O169&lt;=50000,'中古車掲載'!AL169=1),'中古車掲載'!U169,"")</x:f>
      </x:c>
      <x:c r="BE168" s="3" t="str">
        <x:f>IF(AND('中古車掲載'!C169="One2car",'中古車掲載'!F169="Corolla Cross",'中古車掲載'!L169="HEV PREMIUM SAFETY",'中古車掲載'!J169=2023,ISNUMBER('中古車掲載'!N169),'中古車掲載'!N169&gt;=20000,'中古車掲載'!O169&lt;=50000,'中古車掲載'!AL169=1,'中古車掲載'!Z169="https://www.one2car.com/en/cars-for-sale/toyota/corolla-cross/year-2023"),'中古車掲載'!U169,"")</x:f>
      </x:c>
      <x:c r="BF168" s="3" t="str">
        <x:f>IF(AND('中古車掲載'!C169="One2car",'中古車掲載'!F169="Corolla Cross",'中古車掲載'!L169="HEV PREMIUM",'中古車掲載'!J169=2023,ISNUMBER('中古車掲載'!N169),'中古車掲載'!N169&gt;=20000,'中古車掲載'!O169&lt;=100000,'中古車掲載'!AL169=1,'中古車掲載'!Z169="https://www.one2car.com/en/cars-for-sale/toyota/corolla-cross/year-2023"),'中古車掲載'!U169,"")</x:f>
      </x:c>
      <x:c r="BG168" s="3" t="str">
        <x:f>IF(AND('中古車掲載'!C169="One2car",'中古車掲載'!F169="Corolla Cross",'中古車掲載'!L169="HEV GR SPORT",'中古車掲載'!J169=2023,ISNUMBER('中古車掲載'!N169),'中古車掲載'!N169&gt;=20000,'中古車掲載'!O169&lt;=100000,'中古車掲載'!AL169=1,'中古車掲載'!Z169="https://www.one2car.com/en/cars-for-sale/toyota/corolla-cross/year-2023"),'中古車掲載'!U169,"")</x:f>
      </x:c>
      <x:c r="BH168" s="3" t="str">
        <x:f>IF(AND('中古車掲載'!C169="One2car",'中古車掲載'!F169="DOLPHIN",'中古車掲載'!L169="STANDARD RANGE",'中古車掲載'!J169=2023,ISNUMBER('中古車掲載'!N169),'中古車掲載'!N169&gt;=20000,'中古車掲載'!O169&lt;=100000,'中古車掲載'!AL169=1),'中古車掲載'!U169,"")</x:f>
      </x:c>
      <x:c r="BI168" s="3" t="str">
        <x:v>Taladrod|ATTO 3|BEV|Bangkok metro</x:v>
      </x:c>
      <x:c r="BJ168" s="3" t="n">
        <x:v>169</x:v>
      </x:c>
      <x:c r="BK168" s="3" t="n">
        <x:f>'中古車掲載'!AM169</x:f>
        <x:v>395000</x:v>
      </x:c>
      <x:c r="BL168" s="3" t="n">
        <x:f>IF(ISNUMBER('中古車掲載'!AN169),'中古車掲載'!AN169,"")</x:f>
        <x:v>0.32919409950829237</x:v>
      </x:c>
      <x:c r="BM168" s="3" t="str">
        <x:v>2022|Smart cab</x:v>
      </x:c>
      <x:c r="BN168" s="3" t="n">
        <x:v>813</x:v>
      </x:c>
      <x:c r="BO168" s="3" t="n">
        <x:f>'中古車掲載'!AM813</x:f>
        <x:v>569000</x:v>
      </x:c>
      <x:c r="BP168" s="3" t="str">
        <x:v>2.4 MID PRERUNNER SMART CAB</x:v>
      </x:c>
      <x:c r="BQ168" s="3"/>
      <x:c r="BR168" s="3"/>
    </x:row>
    <x:row r="169" ht="22" customHeight="1">
      <x:c r="A169" s="3" t="str">
        <x:v>Yaris Ativ</x:v>
      </x:c>
      <x:c r="B169" s="3" t="str">
        <x:v>ICE</x:v>
      </x:c>
      <x:c r="C169" s="3" t="str">
        <x:v>Taladrod</x:v>
      </x:c>
      <x:c r="D169" s="3" t="n">
        <x:v>2020</x:v>
      </x:c>
      <x:c r="E169" s="22" t="n">
        <x:f>COUNT('中古車掲載'!AM942:AM956)</x:f>
        <x:v>15</x:v>
      </x:c>
      <x:c r="F169" s="22" t="n">
        <x:f>IF(COUNT('中古車掲載'!AM942:AM956)=0,"",QUARTILE('中古車掲載'!AM942:AM956,1))</x:f>
        <x:v>314000</x:v>
      </x:c>
      <x:c r="G169" s="22" t="n">
        <x:f>IF(COUNT('中古車掲載'!AM942:AM956)=0,"",MEDIAN('中古車掲載'!AM942:AM956))</x:f>
        <x:v>350000</x:v>
      </x:c>
      <x:c r="H169" s="22" t="n">
        <x:f>IF(COUNT('中古車掲載'!AM942:AM956)=0,"",QUARTILE('中古車掲載'!AM942:AM956,3))</x:f>
        <x:v>359000</x:v>
      </x:c>
      <x:c r="I169" s="22" t="n">
        <x:f>COUNT('中古車掲載'!AN942:AN956)</x:f>
        <x:v>0</x:v>
      </x:c>
      <x:c r="J169" s="23" t="str">
        <x:f>IF(COUNT('中古車掲載'!AN942:AN956)=0,"",MEDIAN('中古車掲載'!AN942:AN956))</x:f>
      </x:c>
      <x:c r="K169" s="3"/>
      <x:c r="L169" s="3"/>
      <x:c r="M169" s="3"/>
      <x:c r="N169" s="3"/>
      <x:c r="O169" s="3"/>
      <x:c r="P169" s="3"/>
      <x:c r="Q169" s="3"/>
      <x:c r="R169" s="3"/>
      <x:c r="S169" s="3"/>
      <x:c r="T169" s="3"/>
      <x:c r="U169" s="3"/>
      <x:c r="V169" s="3"/>
      <x:c r="W169" s="3"/>
      <x:c r="X169" s="3"/>
      <x:c r="Y169" s="3"/>
      <x:c r="Z169" s="3"/>
      <x:c r="AA169" s="3"/>
      <x:c r="AB169" s="3"/>
      <x:c r="AC169" s="3"/>
      <x:c r="AD169" s="3"/>
      <x:c r="AE169" s="3"/>
      <x:c r="AF169" s="3"/>
      <x:c r="AG169" s="3"/>
      <x:c r="AH169" s="3"/>
      <x:c r="AI169" s="3"/>
      <x:c r="AJ169" s="3"/>
      <x:c r="AK169" s="3"/>
      <x:c r="AL169" s="3"/>
      <x:c r="AM169" s="3"/>
      <x:c r="AN169" s="3"/>
      <x:c r="AO169" s="3"/>
      <x:c r="AP169" s="3"/>
      <x:c r="AQ169" s="3"/>
      <x:c r="AR169" s="3"/>
      <x:c r="AS169" s="3"/>
      <x:c r="AT169" s="3"/>
      <x:c r="AU169" s="3"/>
      <x:c r="AV169" s="3"/>
      <x:c r="AW169" s="3"/>
      <x:c r="AX169" s="3"/>
      <x:c r="AY169" s="3"/>
      <x:c r="AZ169" s="3" t="str">
        <x:f>IF(AND('中古車掲載'!C170="One2car",'中古車掲載'!F170="ATTO 3",'中古車掲載'!L170="EXTENDED RANGE",'中古車掲載'!J170=2023,ISNUMBER('中古車掲載'!N170),'中古車掲載'!N170&gt;=20000,'中古車掲載'!O170&lt;=100000,'中古車掲載'!AL170=1),'中古車掲載'!U170,"")</x:f>
      </x:c>
      <x:c r="BA169" s="3" t="str">
        <x:f>IF(AND('中古車掲載'!C170="One2car",'中古車掲載'!F170="Corolla Cross",'中古車掲載'!L170="HEV PREMIUM SAFETY",'中古車掲載'!J170=2023,ISNUMBER('中古車掲載'!N170),'中古車掲載'!N170&gt;=20000,'中古車掲載'!O170&lt;=100000,'中古車掲載'!AL170=1,'中古車掲載'!Z170="https://www.one2car.com/en/cars-for-sale/toyota/corolla-cross/year-2023"),'中古車掲載'!U170,"")</x:f>
      </x:c>
      <x:c r="BB169" s="3" t="str">
        <x:f>IF(AND('中古車掲載'!C170="One2car",'中古車掲載'!F170="ATTO 3",'中古車掲載'!L170="EXTENDED RANGE",'中古車掲載'!J170=2023,ISNUMBER('中古車掲載'!N170),'中古車掲載'!N170&gt;=50000,'中古車掲載'!O170&lt;=100000,'中古車掲載'!AL170=1),'中古車掲載'!U170,"")</x:f>
      </x:c>
      <x:c r="BC169" s="3" t="str">
        <x:f>IF(AND('中古車掲載'!C170="One2car",'中古車掲載'!F170="Corolla Cross",'中古車掲載'!L170="HEV PREMIUM SAFETY",'中古車掲載'!J170=2023,ISNUMBER('中古車掲載'!N170),'中古車掲載'!N170&gt;=50000,'中古車掲載'!O170&lt;=100000,'中古車掲載'!AL170=1,'中古車掲載'!Z170="https://www.one2car.com/en/cars-for-sale/toyota/corolla-cross/year-2023"),'中古車掲載'!U170,"")</x:f>
      </x:c>
      <x:c r="BD169" s="3" t="str">
        <x:f>IF(AND('中古車掲載'!C170="One2car",'中古車掲載'!F170="ATTO 3",'中古車掲載'!L170="EXTENDED RANGE",'中古車掲載'!J170=2023,ISNUMBER('中古車掲載'!N170),'中古車掲載'!N170&gt;=20000,'中古車掲載'!O170&lt;=50000,'中古車掲載'!AL170=1),'中古車掲載'!U170,"")</x:f>
      </x:c>
      <x:c r="BE169" s="3" t="str">
        <x:f>IF(AND('中古車掲載'!C170="One2car",'中古車掲載'!F170="Corolla Cross",'中古車掲載'!L170="HEV PREMIUM SAFETY",'中古車掲載'!J170=2023,ISNUMBER('中古車掲載'!N170),'中古車掲載'!N170&gt;=20000,'中古車掲載'!O170&lt;=50000,'中古車掲載'!AL170=1,'中古車掲載'!Z170="https://www.one2car.com/en/cars-for-sale/toyota/corolla-cross/year-2023"),'中古車掲載'!U170,"")</x:f>
      </x:c>
      <x:c r="BF169" s="3" t="str">
        <x:f>IF(AND('中古車掲載'!C170="One2car",'中古車掲載'!F170="Corolla Cross",'中古車掲載'!L170="HEV PREMIUM",'中古車掲載'!J170=2023,ISNUMBER('中古車掲載'!N170),'中古車掲載'!N170&gt;=20000,'中古車掲載'!O170&lt;=100000,'中古車掲載'!AL170=1,'中古車掲載'!Z170="https://www.one2car.com/en/cars-for-sale/toyota/corolla-cross/year-2023"),'中古車掲載'!U170,"")</x:f>
      </x:c>
      <x:c r="BG169" s="3" t="str">
        <x:f>IF(AND('中古車掲載'!C170="One2car",'中古車掲載'!F170="Corolla Cross",'中古車掲載'!L170="HEV GR SPORT",'中古車掲載'!J170=2023,ISNUMBER('中古車掲載'!N170),'中古車掲載'!N170&gt;=20000,'中古車掲載'!O170&lt;=100000,'中古車掲載'!AL170=1,'中古車掲載'!Z170="https://www.one2car.com/en/cars-for-sale/toyota/corolla-cross/year-2023"),'中古車掲載'!U170,"")</x:f>
      </x:c>
      <x:c r="BH169" s="3" t="str">
        <x:f>IF(AND('中古車掲載'!C170="One2car",'中古車掲載'!F170="DOLPHIN",'中古車掲載'!L170="STANDARD RANGE",'中古車掲載'!J170=2023,ISNUMBER('中古車掲載'!N170),'中古車掲載'!N170&gt;=20000,'中古車掲載'!O170&lt;=100000,'中古車掲載'!AL170=1),'中古車掲載'!U170,"")</x:f>
      </x:c>
      <x:c r="BI169" s="3" t="str">
        <x:v>Taladrod|ATTO 3|BEV|Bangkok metro</x:v>
      </x:c>
      <x:c r="BJ169" s="3" t="n">
        <x:v>170</x:v>
      </x:c>
      <x:c r="BK169" s="3" t="n">
        <x:f>'中古車掲載'!AM170</x:f>
        <x:v>320000</x:v>
      </x:c>
      <x:c r="BL169" s="3" t="n">
        <x:f>IF(ISNUMBER('中古車掲載'!AN170),'中古車掲載'!AN170,"")</x:f>
        <x:v>0.2666888907408951</x:v>
      </x:c>
      <x:c r="BM169" s="3" t="str">
        <x:v>2022|Smart cab</x:v>
      </x:c>
      <x:c r="BN169" s="3" t="n">
        <x:v>818</x:v>
      </x:c>
      <x:c r="BO169" s="3" t="n">
        <x:f>'中古車掲載'!AM818</x:f>
        <x:v>379000</x:v>
      </x:c>
      <x:c r="BP169" s="3" t="str">
        <x:v>2.4 MID Z EDITION SMART CAB</x:v>
      </x:c>
      <x:c r="BQ169" s="3"/>
      <x:c r="BR169" s="3"/>
    </x:row>
    <x:row r="170" ht="22" customHeight="1">
      <x:c r="A170" s="3" t="str">
        <x:v>Yaris Ativ</x:v>
      </x:c>
      <x:c r="B170" s="3" t="str">
        <x:v>ICE</x:v>
      </x:c>
      <x:c r="C170" s="3" t="str">
        <x:v>Taladrod</x:v>
      </x:c>
      <x:c r="D170" s="3" t="n">
        <x:v>2021</x:v>
      </x:c>
      <x:c r="E170" s="22" t="n">
        <x:f>COUNT('中古車掲載'!AM957:AM969)</x:f>
        <x:v>13</x:v>
      </x:c>
      <x:c r="F170" s="22" t="n">
        <x:f>IF(COUNT('中古車掲載'!AM957:AM969)=0,"",QUARTILE('中古車掲載'!AM957:AM969,1))</x:f>
        <x:v>324000</x:v>
      </x:c>
      <x:c r="G170" s="22" t="n">
        <x:f>IF(COUNT('中古車掲載'!AM957:AM969)=0,"",MEDIAN('中古車掲載'!AM957:AM969))</x:f>
        <x:v>339000</x:v>
      </x:c>
      <x:c r="H170" s="22" t="n">
        <x:f>IF(COUNT('中古車掲載'!AM957:AM969)=0,"",QUARTILE('中古車掲載'!AM957:AM969,3))</x:f>
        <x:v>349000</x:v>
      </x:c>
      <x:c r="I170" s="22" t="n">
        <x:f>COUNT('中古車掲載'!AN957:AN969)</x:f>
        <x:v>0</x:v>
      </x:c>
      <x:c r="J170" s="23" t="str">
        <x:f>IF(COUNT('中古車掲載'!AN957:AN969)=0,"",MEDIAN('中古車掲載'!AN957:AN969))</x:f>
      </x:c>
      <x:c r="K170" s="3"/>
      <x:c r="L170" s="3"/>
      <x:c r="M170" s="3"/>
      <x:c r="N170" s="3"/>
      <x:c r="O170" s="3"/>
      <x:c r="P170" s="3"/>
      <x:c r="Q170" s="3"/>
      <x:c r="R170" s="3"/>
      <x:c r="S170" s="3"/>
      <x:c r="T170" s="3"/>
      <x:c r="U170" s="3"/>
      <x:c r="V170" s="3"/>
      <x:c r="W170" s="3"/>
      <x:c r="X170" s="3"/>
      <x:c r="Y170" s="3"/>
      <x:c r="Z170" s="3"/>
      <x:c r="AA170" s="3"/>
      <x:c r="AB170" s="3"/>
      <x:c r="AC170" s="3"/>
      <x:c r="AD170" s="3"/>
      <x:c r="AE170" s="3"/>
      <x:c r="AF170" s="3"/>
      <x:c r="AG170" s="3"/>
      <x:c r="AH170" s="3"/>
      <x:c r="AI170" s="3"/>
      <x:c r="AJ170" s="3"/>
      <x:c r="AK170" s="3"/>
      <x:c r="AL170" s="3"/>
      <x:c r="AM170" s="3"/>
      <x:c r="AN170" s="3"/>
      <x:c r="AO170" s="3"/>
      <x:c r="AP170" s="3"/>
      <x:c r="AQ170" s="3"/>
      <x:c r="AR170" s="3"/>
      <x:c r="AS170" s="3"/>
      <x:c r="AT170" s="3"/>
      <x:c r="AU170" s="3"/>
      <x:c r="AV170" s="3"/>
      <x:c r="AW170" s="3"/>
      <x:c r="AX170" s="3"/>
      <x:c r="AY170" s="3"/>
      <x:c r="AZ170" s="3" t="str">
        <x:f>IF(AND('中古車掲載'!C171="One2car",'中古車掲載'!F171="ATTO 3",'中古車掲載'!L171="EXTENDED RANGE",'中古車掲載'!J171=2023,ISNUMBER('中古車掲載'!N171),'中古車掲載'!N171&gt;=20000,'中古車掲載'!O171&lt;=100000,'中古車掲載'!AL171=1),'中古車掲載'!U171,"")</x:f>
      </x:c>
      <x:c r="BA170" s="3" t="str">
        <x:f>IF(AND('中古車掲載'!C171="One2car",'中古車掲載'!F171="Corolla Cross",'中古車掲載'!L171="HEV PREMIUM SAFETY",'中古車掲載'!J171=2023,ISNUMBER('中古車掲載'!N171),'中古車掲載'!N171&gt;=20000,'中古車掲載'!O171&lt;=100000,'中古車掲載'!AL171=1,'中古車掲載'!Z171="https://www.one2car.com/en/cars-for-sale/toyota/corolla-cross/year-2023"),'中古車掲載'!U171,"")</x:f>
      </x:c>
      <x:c r="BB170" s="3" t="str">
        <x:f>IF(AND('中古車掲載'!C171="One2car",'中古車掲載'!F171="ATTO 3",'中古車掲載'!L171="EXTENDED RANGE",'中古車掲載'!J171=2023,ISNUMBER('中古車掲載'!N171),'中古車掲載'!N171&gt;=50000,'中古車掲載'!O171&lt;=100000,'中古車掲載'!AL171=1),'中古車掲載'!U171,"")</x:f>
      </x:c>
      <x:c r="BC170" s="3" t="str">
        <x:f>IF(AND('中古車掲載'!C171="One2car",'中古車掲載'!F171="Corolla Cross",'中古車掲載'!L171="HEV PREMIUM SAFETY",'中古車掲載'!J171=2023,ISNUMBER('中古車掲載'!N171),'中古車掲載'!N171&gt;=50000,'中古車掲載'!O171&lt;=100000,'中古車掲載'!AL171=1,'中古車掲載'!Z171="https://www.one2car.com/en/cars-for-sale/toyota/corolla-cross/year-2023"),'中古車掲載'!U171,"")</x:f>
      </x:c>
      <x:c r="BD170" s="3" t="str">
        <x:f>IF(AND('中古車掲載'!C171="One2car",'中古車掲載'!F171="ATTO 3",'中古車掲載'!L171="EXTENDED RANGE",'中古車掲載'!J171=2023,ISNUMBER('中古車掲載'!N171),'中古車掲載'!N171&gt;=20000,'中古車掲載'!O171&lt;=50000,'中古車掲載'!AL171=1),'中古車掲載'!U171,"")</x:f>
      </x:c>
      <x:c r="BE170" s="3" t="str">
        <x:f>IF(AND('中古車掲載'!C171="One2car",'中古車掲載'!F171="Corolla Cross",'中古車掲載'!L171="HEV PREMIUM SAFETY",'中古車掲載'!J171=2023,ISNUMBER('中古車掲載'!N171),'中古車掲載'!N171&gt;=20000,'中古車掲載'!O171&lt;=50000,'中古車掲載'!AL171=1,'中古車掲載'!Z171="https://www.one2car.com/en/cars-for-sale/toyota/corolla-cross/year-2023"),'中古車掲載'!U171,"")</x:f>
      </x:c>
      <x:c r="BF170" s="3" t="str">
        <x:f>IF(AND('中古車掲載'!C171="One2car",'中古車掲載'!F171="Corolla Cross",'中古車掲載'!L171="HEV PREMIUM",'中古車掲載'!J171=2023,ISNUMBER('中古車掲載'!N171),'中古車掲載'!N171&gt;=20000,'中古車掲載'!O171&lt;=100000,'中古車掲載'!AL171=1,'中古車掲載'!Z171="https://www.one2car.com/en/cars-for-sale/toyota/corolla-cross/year-2023"),'中古車掲載'!U171,"")</x:f>
      </x:c>
      <x:c r="BG170" s="3" t="str">
        <x:f>IF(AND('中古車掲載'!C171="One2car",'中古車掲載'!F171="Corolla Cross",'中古車掲載'!L171="HEV GR SPORT",'中古車掲載'!J171=2023,ISNUMBER('中古車掲載'!N171),'中古車掲載'!N171&gt;=20000,'中古車掲載'!O171&lt;=100000,'中古車掲載'!AL171=1,'中古車掲載'!Z171="https://www.one2car.com/en/cars-for-sale/toyota/corolla-cross/year-2023"),'中古車掲載'!U171,"")</x:f>
      </x:c>
      <x:c r="BH170" s="3" t="str">
        <x:f>IF(AND('中古車掲載'!C171="One2car",'中古車掲載'!F171="DOLPHIN",'中古車掲載'!L171="STANDARD RANGE",'中古車掲載'!J171=2023,ISNUMBER('中古車掲載'!N171),'中古車掲載'!N171&gt;=20000,'中古車掲載'!O171&lt;=100000,'中古車掲載'!AL171=1),'中古車掲載'!U171,"")</x:f>
      </x:c>
      <x:c r="BI170" s="3" t="str">
        <x:v>Taladrod|ATTO 3|BEV|Bangkok metro</x:v>
      </x:c>
      <x:c r="BJ170" s="3" t="n">
        <x:v>173</x:v>
      </x:c>
      <x:c r="BK170" s="3" t="n">
        <x:f>'中古車掲載'!AM173</x:f>
        <x:v>420000</x:v>
      </x:c>
      <x:c r="BL170" s="3" t="n">
        <x:f>IF(ISNUMBER('中古車掲載'!AN173),'中古車掲載'!AN173,"")</x:f>
        <x:v>0.3818528957177925</x:v>
      </x:c>
      <x:c r="BM170" s="3" t="str">
        <x:v>2022|Smart cab</x:v>
      </x:c>
      <x:c r="BN170" s="3" t="n">
        <x:v>819</x:v>
      </x:c>
      <x:c r="BO170" s="3" t="n">
        <x:f>'中古車掲載'!AM819</x:f>
        <x:v>394000</x:v>
      </x:c>
      <x:c r="BP170" s="3" t="str">
        <x:v>2.4 MID Z EDITION SMART CAB</x:v>
      </x:c>
      <x:c r="BQ170" s="3"/>
      <x:c r="BR170" s="3"/>
    </x:row>
    <x:row r="171" ht="22" customHeight="1">
      <x:c r="A171" s="3" t="str">
        <x:v>Yaris Ativ</x:v>
      </x:c>
      <x:c r="B171" s="3" t="str">
        <x:v>ICE</x:v>
      </x:c>
      <x:c r="C171" s="3" t="str">
        <x:v>Taladrod</x:v>
      </x:c>
      <x:c r="D171" s="3" t="n">
        <x:v>2022</x:v>
      </x:c>
      <x:c r="E171" s="22" t="n">
        <x:f>COUNT('中古車掲載'!AM970:AM992)</x:f>
        <x:v>23</x:v>
      </x:c>
      <x:c r="F171" s="22" t="n">
        <x:f>IF(COUNT('中古車掲載'!AM970:AM992)=0,"",QUARTILE('中古車掲載'!AM970:AM992,1))</x:f>
        <x:v>359500</x:v>
      </x:c>
      <x:c r="G171" s="22" t="n">
        <x:f>IF(COUNT('中古車掲載'!AM970:AM992)=0,"",MEDIAN('中古車掲載'!AM970:AM992))</x:f>
        <x:v>379000</x:v>
      </x:c>
      <x:c r="H171" s="22" t="n">
        <x:f>IF(COUNT('中古車掲載'!AM970:AM992)=0,"",QUARTILE('中古車掲載'!AM970:AM992,3))</x:f>
        <x:v>427000</x:v>
      </x:c>
      <x:c r="I171" s="22" t="n">
        <x:f>COUNT('中古車掲載'!AN970:AN992)</x:f>
        <x:v>0</x:v>
      </x:c>
      <x:c r="J171" s="23" t="str">
        <x:f>IF(COUNT('中古車掲載'!AN970:AN992)=0,"",MEDIAN('中古車掲載'!AN970:AN992))</x:f>
      </x:c>
      <x:c r="K171" s="3"/>
      <x:c r="L171" s="3"/>
      <x:c r="M171" s="3"/>
      <x:c r="N171" s="3"/>
      <x:c r="O171" s="3"/>
      <x:c r="P171" s="3"/>
      <x:c r="Q171" s="3"/>
      <x:c r="R171" s="3"/>
      <x:c r="S171" s="3"/>
      <x:c r="T171" s="3"/>
      <x:c r="U171" s="3"/>
      <x:c r="V171" s="3"/>
      <x:c r="W171" s="3"/>
      <x:c r="X171" s="3"/>
      <x:c r="Y171" s="3"/>
      <x:c r="Z171" s="3"/>
      <x:c r="AA171" s="3"/>
      <x:c r="AB171" s="3"/>
      <x:c r="AC171" s="3"/>
      <x:c r="AD171" s="3"/>
      <x:c r="AE171" s="3"/>
      <x:c r="AF171" s="3"/>
      <x:c r="AG171" s="3"/>
      <x:c r="AH171" s="3"/>
      <x:c r="AI171" s="3"/>
      <x:c r="AJ171" s="3"/>
      <x:c r="AK171" s="3"/>
      <x:c r="AL171" s="3"/>
      <x:c r="AM171" s="3"/>
      <x:c r="AN171" s="3"/>
      <x:c r="AO171" s="3"/>
      <x:c r="AP171" s="3"/>
      <x:c r="AQ171" s="3"/>
      <x:c r="AR171" s="3"/>
      <x:c r="AS171" s="3"/>
      <x:c r="AT171" s="3"/>
      <x:c r="AU171" s="3"/>
      <x:c r="AV171" s="3"/>
      <x:c r="AW171" s="3"/>
      <x:c r="AX171" s="3"/>
      <x:c r="AY171" s="3"/>
      <x:c r="AZ171" s="3" t="str">
        <x:f>IF(AND('中古車掲載'!C172="One2car",'中古車掲載'!F172="ATTO 3",'中古車掲載'!L172="EXTENDED RANGE",'中古車掲載'!J172=2023,ISNUMBER('中古車掲載'!N172),'中古車掲載'!N172&gt;=20000,'中古車掲載'!O172&lt;=100000,'中古車掲載'!AL172=1),'中古車掲載'!U172,"")</x:f>
      </x:c>
      <x:c r="BA171" s="3" t="str">
        <x:f>IF(AND('中古車掲載'!C172="One2car",'中古車掲載'!F172="Corolla Cross",'中古車掲載'!L172="HEV PREMIUM SAFETY",'中古車掲載'!J172=2023,ISNUMBER('中古車掲載'!N172),'中古車掲載'!N172&gt;=20000,'中古車掲載'!O172&lt;=100000,'中古車掲載'!AL172=1,'中古車掲載'!Z172="https://www.one2car.com/en/cars-for-sale/toyota/corolla-cross/year-2023"),'中古車掲載'!U172,"")</x:f>
      </x:c>
      <x:c r="BB171" s="3" t="str">
        <x:f>IF(AND('中古車掲載'!C172="One2car",'中古車掲載'!F172="ATTO 3",'中古車掲載'!L172="EXTENDED RANGE",'中古車掲載'!J172=2023,ISNUMBER('中古車掲載'!N172),'中古車掲載'!N172&gt;=50000,'中古車掲載'!O172&lt;=100000,'中古車掲載'!AL172=1),'中古車掲載'!U172,"")</x:f>
      </x:c>
      <x:c r="BC171" s="3" t="str">
        <x:f>IF(AND('中古車掲載'!C172="One2car",'中古車掲載'!F172="Corolla Cross",'中古車掲載'!L172="HEV PREMIUM SAFETY",'中古車掲載'!J172=2023,ISNUMBER('中古車掲載'!N172),'中古車掲載'!N172&gt;=50000,'中古車掲載'!O172&lt;=100000,'中古車掲載'!AL172=1,'中古車掲載'!Z172="https://www.one2car.com/en/cars-for-sale/toyota/corolla-cross/year-2023"),'中古車掲載'!U172,"")</x:f>
      </x:c>
      <x:c r="BD171" s="3" t="str">
        <x:f>IF(AND('中古車掲載'!C172="One2car",'中古車掲載'!F172="ATTO 3",'中古車掲載'!L172="EXTENDED RANGE",'中古車掲載'!J172=2023,ISNUMBER('中古車掲載'!N172),'中古車掲載'!N172&gt;=20000,'中古車掲載'!O172&lt;=50000,'中古車掲載'!AL172=1),'中古車掲載'!U172,"")</x:f>
      </x:c>
      <x:c r="BE171" s="3" t="str">
        <x:f>IF(AND('中古車掲載'!C172="One2car",'中古車掲載'!F172="Corolla Cross",'中古車掲載'!L172="HEV PREMIUM SAFETY",'中古車掲載'!J172=2023,ISNUMBER('中古車掲載'!N172),'中古車掲載'!N172&gt;=20000,'中古車掲載'!O172&lt;=50000,'中古車掲載'!AL172=1,'中古車掲載'!Z172="https://www.one2car.com/en/cars-for-sale/toyota/corolla-cross/year-2023"),'中古車掲載'!U172,"")</x:f>
      </x:c>
      <x:c r="BF171" s="3" t="str">
        <x:f>IF(AND('中古車掲載'!C172="One2car",'中古車掲載'!F172="Corolla Cross",'中古車掲載'!L172="HEV PREMIUM",'中古車掲載'!J172=2023,ISNUMBER('中古車掲載'!N172),'中古車掲載'!N172&gt;=20000,'中古車掲載'!O172&lt;=100000,'中古車掲載'!AL172=1,'中古車掲載'!Z172="https://www.one2car.com/en/cars-for-sale/toyota/corolla-cross/year-2023"),'中古車掲載'!U172,"")</x:f>
      </x:c>
      <x:c r="BG171" s="3" t="str">
        <x:f>IF(AND('中古車掲載'!C172="One2car",'中古車掲載'!F172="Corolla Cross",'中古車掲載'!L172="HEV GR SPORT",'中古車掲載'!J172=2023,ISNUMBER('中古車掲載'!N172),'中古車掲載'!N172&gt;=20000,'中古車掲載'!O172&lt;=100000,'中古車掲載'!AL172=1,'中古車掲載'!Z172="https://www.one2car.com/en/cars-for-sale/toyota/corolla-cross/year-2023"),'中古車掲載'!U172,"")</x:f>
      </x:c>
      <x:c r="BH171" s="3" t="str">
        <x:f>IF(AND('中古車掲載'!C172="One2car",'中古車掲載'!F172="DOLPHIN",'中古車掲載'!L172="STANDARD RANGE",'中古車掲載'!J172=2023,ISNUMBER('中古車掲載'!N172),'中古車掲載'!N172&gt;=20000,'中古車掲載'!O172&lt;=100000,'中古車掲載'!AL172=1),'中古車掲載'!U172,"")</x:f>
      </x:c>
      <x:c r="BI171" s="3" t="str">
        <x:v>Taladrod|ATTO 3|BEV|Bangkok metro</x:v>
      </x:c>
      <x:c r="BJ171" s="3" t="n">
        <x:v>174</x:v>
      </x:c>
      <x:c r="BK171" s="3" t="n">
        <x:f>'中古車掲載'!AM174</x:f>
        <x:v>479000</x:v>
      </x:c>
      <x:c r="BL171" s="3" t="n">
        <x:f>IF(ISNUMBER('中古車掲載'!AN174),'中古車掲載'!AN174,"")</x:f>
        <x:v>0.3991999333277773</x:v>
      </x:c>
      <x:c r="BM171" s="3" t="str">
        <x:v>2022|Smart cab</x:v>
      </x:c>
      <x:c r="BN171" s="3" t="n">
        <x:v>820</x:v>
      </x:c>
      <x:c r="BO171" s="3" t="n">
        <x:f>'中古車掲載'!AM820</x:f>
        <x:v>500000</x:v>
      </x:c>
      <x:c r="BP171" s="3" t="str">
        <x:v>2.4 MID Z EDITION SMART CAB</x:v>
      </x:c>
      <x:c r="BQ171" s="3"/>
      <x:c r="BR171" s="3"/>
    </x:row>
    <x:row r="172" ht="22" customHeight="1">
      <x:c r="A172" s="3" t="str">
        <x:v>Yaris Ativ</x:v>
      </x:c>
      <x:c r="B172" s="3" t="str">
        <x:v>ICE</x:v>
      </x:c>
      <x:c r="C172" s="3" t="str">
        <x:v>Taladrod</x:v>
      </x:c>
      <x:c r="D172" s="3" t="n">
        <x:v>2023</x:v>
      </x:c>
      <x:c r="E172" s="22" t="n">
        <x:f>COUNT('中古車掲載'!AM993:AM1037)</x:f>
        <x:v>45</x:v>
      </x:c>
      <x:c r="F172" s="22" t="n">
        <x:f>IF(COUNT('中古車掲載'!AM993:AM1037)=0,"",QUARTILE('中古車掲載'!AM993:AM1037,1))</x:f>
        <x:v>419000</x:v>
      </x:c>
      <x:c r="G172" s="22" t="n">
        <x:f>IF(COUNT('中古車掲載'!AM993:AM1037)=0,"",MEDIAN('中古車掲載'!AM993:AM1037))</x:f>
        <x:v>459000</x:v>
      </x:c>
      <x:c r="H172" s="22" t="n">
        <x:f>IF(COUNT('中古車掲載'!AM993:AM1037)=0,"",QUARTILE('中古車掲載'!AM993:AM1037,3))</x:f>
        <x:v>479000</x:v>
      </x:c>
      <x:c r="I172" s="22" t="n">
        <x:f>COUNT('中古車掲載'!AN993:AN1037)</x:f>
        <x:v>0</x:v>
      </x:c>
      <x:c r="J172" s="23" t="str">
        <x:f>IF(COUNT('中古車掲載'!AN993:AN1037)=0,"",MEDIAN('中古車掲載'!AN993:AN1037))</x:f>
      </x:c>
      <x:c r="K172" s="3"/>
      <x:c r="L172" s="3"/>
      <x:c r="M172" s="3"/>
      <x:c r="N172" s="3"/>
      <x:c r="O172" s="3"/>
      <x:c r="P172" s="3"/>
      <x:c r="Q172" s="3"/>
      <x:c r="R172" s="3"/>
      <x:c r="S172" s="3"/>
      <x:c r="T172" s="3"/>
      <x:c r="U172" s="3"/>
      <x:c r="V172" s="3"/>
      <x:c r="W172" s="3"/>
      <x:c r="X172" s="3"/>
      <x:c r="Y172" s="3"/>
      <x:c r="Z172" s="3"/>
      <x:c r="AA172" s="3"/>
      <x:c r="AB172" s="3"/>
      <x:c r="AC172" s="3"/>
      <x:c r="AD172" s="3"/>
      <x:c r="AE172" s="3"/>
      <x:c r="AF172" s="3"/>
      <x:c r="AG172" s="3"/>
      <x:c r="AH172" s="3"/>
      <x:c r="AI172" s="3"/>
      <x:c r="AJ172" s="3"/>
      <x:c r="AK172" s="3"/>
      <x:c r="AL172" s="3"/>
      <x:c r="AM172" s="3"/>
      <x:c r="AN172" s="3"/>
      <x:c r="AO172" s="3"/>
      <x:c r="AP172" s="3"/>
      <x:c r="AQ172" s="3"/>
      <x:c r="AR172" s="3"/>
      <x:c r="AS172" s="3"/>
      <x:c r="AT172" s="3"/>
      <x:c r="AU172" s="3"/>
      <x:c r="AV172" s="3"/>
      <x:c r="AW172" s="3"/>
      <x:c r="AX172" s="3"/>
      <x:c r="AY172" s="3"/>
      <x:c r="AZ172" s="3" t="str">
        <x:f>IF(AND('中古車掲載'!C173="One2car",'中古車掲載'!F173="ATTO 3",'中古車掲載'!L173="EXTENDED RANGE",'中古車掲載'!J173=2023,ISNUMBER('中古車掲載'!N173),'中古車掲載'!N173&gt;=20000,'中古車掲載'!O173&lt;=100000,'中古車掲載'!AL173=1),'中古車掲載'!U173,"")</x:f>
      </x:c>
      <x:c r="BA172" s="3" t="str">
        <x:f>IF(AND('中古車掲載'!C173="One2car",'中古車掲載'!F173="Corolla Cross",'中古車掲載'!L173="HEV PREMIUM SAFETY",'中古車掲載'!J173=2023,ISNUMBER('中古車掲載'!N173),'中古車掲載'!N173&gt;=20000,'中古車掲載'!O173&lt;=100000,'中古車掲載'!AL173=1,'中古車掲載'!Z173="https://www.one2car.com/en/cars-for-sale/toyota/corolla-cross/year-2023"),'中古車掲載'!U173,"")</x:f>
      </x:c>
      <x:c r="BB172" s="3" t="str">
        <x:f>IF(AND('中古車掲載'!C173="One2car",'中古車掲載'!F173="ATTO 3",'中古車掲載'!L173="EXTENDED RANGE",'中古車掲載'!J173=2023,ISNUMBER('中古車掲載'!N173),'中古車掲載'!N173&gt;=50000,'中古車掲載'!O173&lt;=100000,'中古車掲載'!AL173=1),'中古車掲載'!U173,"")</x:f>
      </x:c>
      <x:c r="BC172" s="3" t="str">
        <x:f>IF(AND('中古車掲載'!C173="One2car",'中古車掲載'!F173="Corolla Cross",'中古車掲載'!L173="HEV PREMIUM SAFETY",'中古車掲載'!J173=2023,ISNUMBER('中古車掲載'!N173),'中古車掲載'!N173&gt;=50000,'中古車掲載'!O173&lt;=100000,'中古車掲載'!AL173=1,'中古車掲載'!Z173="https://www.one2car.com/en/cars-for-sale/toyota/corolla-cross/year-2023"),'中古車掲載'!U173,"")</x:f>
      </x:c>
      <x:c r="BD172" s="3" t="str">
        <x:f>IF(AND('中古車掲載'!C173="One2car",'中古車掲載'!F173="ATTO 3",'中古車掲載'!L173="EXTENDED RANGE",'中古車掲載'!J173=2023,ISNUMBER('中古車掲載'!N173),'中古車掲載'!N173&gt;=20000,'中古車掲載'!O173&lt;=50000,'中古車掲載'!AL173=1),'中古車掲載'!U173,"")</x:f>
      </x:c>
      <x:c r="BE172" s="3" t="str">
        <x:f>IF(AND('中古車掲載'!C173="One2car",'中古車掲載'!F173="Corolla Cross",'中古車掲載'!L173="HEV PREMIUM SAFETY",'中古車掲載'!J173=2023,ISNUMBER('中古車掲載'!N173),'中古車掲載'!N173&gt;=20000,'中古車掲載'!O173&lt;=50000,'中古車掲載'!AL173=1,'中古車掲載'!Z173="https://www.one2car.com/en/cars-for-sale/toyota/corolla-cross/year-2023"),'中古車掲載'!U173,"")</x:f>
      </x:c>
      <x:c r="BF172" s="3" t="str">
        <x:f>IF(AND('中古車掲載'!C173="One2car",'中古車掲載'!F173="Corolla Cross",'中古車掲載'!L173="HEV PREMIUM",'中古車掲載'!J173=2023,ISNUMBER('中古車掲載'!N173),'中古車掲載'!N173&gt;=20000,'中古車掲載'!O173&lt;=100000,'中古車掲載'!AL173=1,'中古車掲載'!Z173="https://www.one2car.com/en/cars-for-sale/toyota/corolla-cross/year-2023"),'中古車掲載'!U173,"")</x:f>
      </x:c>
      <x:c r="BG172" s="3" t="str">
        <x:f>IF(AND('中古車掲載'!C173="One2car",'中古車掲載'!F173="Corolla Cross",'中古車掲載'!L173="HEV GR SPORT",'中古車掲載'!J173=2023,ISNUMBER('中古車掲載'!N173),'中古車掲載'!N173&gt;=20000,'中古車掲載'!O173&lt;=100000,'中古車掲載'!AL173=1,'中古車掲載'!Z173="https://www.one2car.com/en/cars-for-sale/toyota/corolla-cross/year-2023"),'中古車掲載'!U173,"")</x:f>
      </x:c>
      <x:c r="BH172" s="3" t="str">
        <x:f>IF(AND('中古車掲載'!C173="One2car",'中古車掲載'!F173="DOLPHIN",'中古車掲載'!L173="STANDARD RANGE",'中古車掲載'!J173=2023,ISNUMBER('中古車掲載'!N173),'中古車掲載'!N173&gt;=20000,'中古車掲載'!O173&lt;=100000,'中古車掲載'!AL173=1),'中古車掲載'!U173,"")</x:f>
      </x:c>
      <x:c r="BI172" s="3" t="str">
        <x:v>Taladrod|ATTO 3|BEV|Bangkok metro</x:v>
      </x:c>
      <x:c r="BJ172" s="3" t="n">
        <x:v>175</x:v>
      </x:c>
      <x:c r="BK172" s="3" t="n">
        <x:f>'中古車掲載'!AM175</x:f>
        <x:v>469000</x:v>
      </x:c>
      <x:c r="BL172" s="3" t="n">
        <x:f>IF(ISNUMBER('中古車掲載'!AN175),'中古車掲載'!AN175,"")</x:f>
        <x:v>0.39086590549212435</x:v>
      </x:c>
      <x:c r="BM172" s="3" t="str">
        <x:v>2022|Smart cab</x:v>
      </x:c>
      <x:c r="BN172" s="3" t="n">
        <x:v>821</x:v>
      </x:c>
      <x:c r="BO172" s="3" t="n">
        <x:f>'中古車掲載'!AM821</x:f>
        <x:v>395000</x:v>
      </x:c>
      <x:c r="BP172" s="3" t="str">
        <x:v>2.4 MID Z EDITION SMART CAB</x:v>
      </x:c>
      <x:c r="BQ172" s="3"/>
      <x:c r="BR172" s="3"/>
    </x:row>
    <x:row r="173" ht="22" customHeight="1">
      <x:c r="A173" s="3" t="str">
        <x:v>Yaris Ativ</x:v>
      </x:c>
      <x:c r="B173" s="3" t="str">
        <x:v>ICE</x:v>
      </x:c>
      <x:c r="C173" s="3" t="str">
        <x:v>Taladrod</x:v>
      </x:c>
      <x:c r="D173" s="3" t="n">
        <x:v>2024</x:v>
      </x:c>
      <x:c r="E173" s="22" t="n">
        <x:f>COUNT('中古車掲載'!AM1038:AM1077)</x:f>
        <x:v>40</x:v>
      </x:c>
      <x:c r="F173" s="22" t="n">
        <x:f>IF(COUNT('中古車掲載'!AM1038:AM1077)=0,"",QUARTILE('中古車掲載'!AM1038:AM1077,1))</x:f>
        <x:v>445750</x:v>
      </x:c>
      <x:c r="G173" s="22" t="n">
        <x:f>IF(COUNT('中古車掲載'!AM1038:AM1077)=0,"",MEDIAN('中古車掲載'!AM1038:AM1077))</x:f>
        <x:v>475000</x:v>
      </x:c>
      <x:c r="H173" s="22" t="n">
        <x:f>IF(COUNT('中古車掲載'!AM1038:AM1077)=0,"",QUARTILE('中古車掲載'!AM1038:AM1077,3))</x:f>
        <x:v>499000</x:v>
      </x:c>
      <x:c r="I173" s="22" t="n">
        <x:f>COUNT('中古車掲載'!AN1038:AN1077)</x:f>
        <x:v>0</x:v>
      </x:c>
      <x:c r="J173" s="23" t="str">
        <x:f>IF(COUNT('中古車掲載'!AN1038:AN1077)=0,"",MEDIAN('中古車掲載'!AN1038:AN1077))</x:f>
      </x:c>
      <x:c r="K173" s="3"/>
      <x:c r="L173" s="3"/>
      <x:c r="M173" s="3"/>
      <x:c r="N173" s="3"/>
      <x:c r="O173" s="3"/>
      <x:c r="P173" s="3"/>
      <x:c r="Q173" s="3"/>
      <x:c r="R173" s="3"/>
      <x:c r="S173" s="3"/>
      <x:c r="T173" s="3"/>
      <x:c r="U173" s="3"/>
      <x:c r="V173" s="3"/>
      <x:c r="W173" s="3"/>
      <x:c r="X173" s="3"/>
      <x:c r="Y173" s="3"/>
      <x:c r="Z173" s="3"/>
      <x:c r="AA173" s="3"/>
      <x:c r="AB173" s="3"/>
      <x:c r="AC173" s="3"/>
      <x:c r="AD173" s="3"/>
      <x:c r="AE173" s="3"/>
      <x:c r="AF173" s="3"/>
      <x:c r="AG173" s="3"/>
      <x:c r="AH173" s="3"/>
      <x:c r="AI173" s="3"/>
      <x:c r="AJ173" s="3"/>
      <x:c r="AK173" s="3"/>
      <x:c r="AL173" s="3"/>
      <x:c r="AM173" s="3"/>
      <x:c r="AN173" s="3"/>
      <x:c r="AO173" s="3"/>
      <x:c r="AP173" s="3"/>
      <x:c r="AQ173" s="3"/>
      <x:c r="AR173" s="3"/>
      <x:c r="AS173" s="3"/>
      <x:c r="AT173" s="3"/>
      <x:c r="AU173" s="3"/>
      <x:c r="AV173" s="3"/>
      <x:c r="AW173" s="3"/>
      <x:c r="AX173" s="3"/>
      <x:c r="AY173" s="3"/>
      <x:c r="AZ173" s="3" t="str">
        <x:f>IF(AND('中古車掲載'!C174="One2car",'中古車掲載'!F174="ATTO 3",'中古車掲載'!L174="EXTENDED RANGE",'中古車掲載'!J174=2023,ISNUMBER('中古車掲載'!N174),'中古車掲載'!N174&gt;=20000,'中古車掲載'!O174&lt;=100000,'中古車掲載'!AL174=1),'中古車掲載'!U174,"")</x:f>
      </x:c>
      <x:c r="BA173" s="3" t="str">
        <x:f>IF(AND('中古車掲載'!C174="One2car",'中古車掲載'!F174="Corolla Cross",'中古車掲載'!L174="HEV PREMIUM SAFETY",'中古車掲載'!J174=2023,ISNUMBER('中古車掲載'!N174),'中古車掲載'!N174&gt;=20000,'中古車掲載'!O174&lt;=100000,'中古車掲載'!AL174=1,'中古車掲載'!Z174="https://www.one2car.com/en/cars-for-sale/toyota/corolla-cross/year-2023"),'中古車掲載'!U174,"")</x:f>
      </x:c>
      <x:c r="BB173" s="3" t="str">
        <x:f>IF(AND('中古車掲載'!C174="One2car",'中古車掲載'!F174="ATTO 3",'中古車掲載'!L174="EXTENDED RANGE",'中古車掲載'!J174=2023,ISNUMBER('中古車掲載'!N174),'中古車掲載'!N174&gt;=50000,'中古車掲載'!O174&lt;=100000,'中古車掲載'!AL174=1),'中古車掲載'!U174,"")</x:f>
      </x:c>
      <x:c r="BC173" s="3" t="str">
        <x:f>IF(AND('中古車掲載'!C174="One2car",'中古車掲載'!F174="Corolla Cross",'中古車掲載'!L174="HEV PREMIUM SAFETY",'中古車掲載'!J174=2023,ISNUMBER('中古車掲載'!N174),'中古車掲載'!N174&gt;=50000,'中古車掲載'!O174&lt;=100000,'中古車掲載'!AL174=1,'中古車掲載'!Z174="https://www.one2car.com/en/cars-for-sale/toyota/corolla-cross/year-2023"),'中古車掲載'!U174,"")</x:f>
      </x:c>
      <x:c r="BD173" s="3" t="str">
        <x:f>IF(AND('中古車掲載'!C174="One2car",'中古車掲載'!F174="ATTO 3",'中古車掲載'!L174="EXTENDED RANGE",'中古車掲載'!J174=2023,ISNUMBER('中古車掲載'!N174),'中古車掲載'!N174&gt;=20000,'中古車掲載'!O174&lt;=50000,'中古車掲載'!AL174=1),'中古車掲載'!U174,"")</x:f>
      </x:c>
      <x:c r="BE173" s="3" t="str">
        <x:f>IF(AND('中古車掲載'!C174="One2car",'中古車掲載'!F174="Corolla Cross",'中古車掲載'!L174="HEV PREMIUM SAFETY",'中古車掲載'!J174=2023,ISNUMBER('中古車掲載'!N174),'中古車掲載'!N174&gt;=20000,'中古車掲載'!O174&lt;=50000,'中古車掲載'!AL174=1,'中古車掲載'!Z174="https://www.one2car.com/en/cars-for-sale/toyota/corolla-cross/year-2023"),'中古車掲載'!U174,"")</x:f>
      </x:c>
      <x:c r="BF173" s="3" t="str">
        <x:f>IF(AND('中古車掲載'!C174="One2car",'中古車掲載'!F174="Corolla Cross",'中古車掲載'!L174="HEV PREMIUM",'中古車掲載'!J174=2023,ISNUMBER('中古車掲載'!N174),'中古車掲載'!N174&gt;=20000,'中古車掲載'!O174&lt;=100000,'中古車掲載'!AL174=1,'中古車掲載'!Z174="https://www.one2car.com/en/cars-for-sale/toyota/corolla-cross/year-2023"),'中古車掲載'!U174,"")</x:f>
      </x:c>
      <x:c r="BG173" s="3" t="str">
        <x:f>IF(AND('中古車掲載'!C174="One2car",'中古車掲載'!F174="Corolla Cross",'中古車掲載'!L174="HEV GR SPORT",'中古車掲載'!J174=2023,ISNUMBER('中古車掲載'!N174),'中古車掲載'!N174&gt;=20000,'中古車掲載'!O174&lt;=100000,'中古車掲載'!AL174=1,'中古車掲載'!Z174="https://www.one2car.com/en/cars-for-sale/toyota/corolla-cross/year-2023"),'中古車掲載'!U174,"")</x:f>
      </x:c>
      <x:c r="BH173" s="3" t="str">
        <x:f>IF(AND('中古車掲載'!C174="One2car",'中古車掲載'!F174="DOLPHIN",'中古車掲載'!L174="STANDARD RANGE",'中古車掲載'!J174=2023,ISNUMBER('中古車掲載'!N174),'中古車掲載'!N174&gt;=20000,'中古車掲載'!O174&lt;=100000,'中古車掲載'!AL174=1),'中古車掲載'!U174,"")</x:f>
      </x:c>
      <x:c r="BI173" s="3" t="str">
        <x:v>Taladrod|ATTO 3|BEV|Bangkok metro</x:v>
      </x:c>
      <x:c r="BJ173" s="3" t="n">
        <x:v>176</x:v>
      </x:c>
      <x:c r="BK173" s="3" t="n">
        <x:f>'中古車掲載'!AM176</x:f>
        <x:v>439000</x:v>
      </x:c>
      <x:c r="BL173" s="3" t="n">
        <x:f>IF(ISNUMBER('中古車掲載'!AN176),'中古車掲載'!AN176,"")</x:f>
        <x:v>0.3658638219851654</x:v>
      </x:c>
      <x:c r="BM173" s="3" t="str">
        <x:v>2022|Smart cab</x:v>
      </x:c>
      <x:c r="BN173" s="3" t="n">
        <x:v>825</x:v>
      </x:c>
      <x:c r="BO173" s="3" t="n">
        <x:f>'中古車掲載'!AM825</x:f>
        <x:v>619000</x:v>
      </x:c>
      <x:c r="BP173" s="3" t="str">
        <x:v>2.4 PRERUNNER SMART CAB</x:v>
      </x:c>
      <x:c r="BQ173" s="3"/>
      <x:c r="BR173" s="3"/>
    </x:row>
    <x:row r="174" ht="22" customHeight="1">
      <x:c r="A174" s="3" t="str">
        <x:v>Yaris Ativ</x:v>
      </x:c>
      <x:c r="B174" s="3" t="str">
        <x:v>ICE</x:v>
      </x:c>
      <x:c r="C174" s="3" t="str">
        <x:v>Taladrod</x:v>
      </x:c>
      <x:c r="D174" s="3" t="n">
        <x:v>2025</x:v>
      </x:c>
      <x:c r="E174" s="22" t="n">
        <x:f>COUNT('中古車掲載'!AM1078:AM1092)</x:f>
        <x:v>15</x:v>
      </x:c>
      <x:c r="F174" s="22" t="n">
        <x:f>IF(COUNT('中古車掲載'!AM1078:AM1092)=0,"",QUARTILE('中古車掲載'!AM1078:AM1092,1))</x:f>
        <x:v>467000</x:v>
      </x:c>
      <x:c r="G174" s="22" t="n">
        <x:f>IF(COUNT('中古車掲載'!AM1078:AM1092)=0,"",MEDIAN('中古車掲載'!AM1078:AM1092))</x:f>
        <x:v>484000</x:v>
      </x:c>
      <x:c r="H174" s="22" t="n">
        <x:f>IF(COUNT('中古車掲載'!AM1078:AM1092)=0,"",QUARTILE('中古車掲載'!AM1078:AM1092,3))</x:f>
        <x:v>529000</x:v>
      </x:c>
      <x:c r="I174" s="22" t="n">
        <x:f>COUNT('中古車掲載'!AN1078:AN1092)</x:f>
        <x:v>0</x:v>
      </x:c>
      <x:c r="J174" s="23" t="str">
        <x:f>IF(COUNT('中古車掲載'!AN1078:AN1092)=0,"",MEDIAN('中古車掲載'!AN1078:AN1092))</x:f>
      </x:c>
      <x:c r="K174" s="3"/>
      <x:c r="L174" s="3"/>
      <x:c r="M174" s="3"/>
      <x:c r="N174" s="3"/>
      <x:c r="O174" s="3"/>
      <x:c r="P174" s="3"/>
      <x:c r="Q174" s="3"/>
      <x:c r="R174" s="3"/>
      <x:c r="S174" s="3"/>
      <x:c r="T174" s="3"/>
      <x:c r="U174" s="3"/>
      <x:c r="V174" s="3"/>
      <x:c r="W174" s="3"/>
      <x:c r="X174" s="3"/>
      <x:c r="Y174" s="3"/>
      <x:c r="Z174" s="3"/>
      <x:c r="AA174" s="3"/>
      <x:c r="AB174" s="3"/>
      <x:c r="AC174" s="3"/>
      <x:c r="AD174" s="3"/>
      <x:c r="AE174" s="3"/>
      <x:c r="AF174" s="3"/>
      <x:c r="AG174" s="3"/>
      <x:c r="AH174" s="3"/>
      <x:c r="AI174" s="3"/>
      <x:c r="AJ174" s="3"/>
      <x:c r="AK174" s="3"/>
      <x:c r="AL174" s="3"/>
      <x:c r="AM174" s="3"/>
      <x:c r="AN174" s="3"/>
      <x:c r="AO174" s="3"/>
      <x:c r="AP174" s="3"/>
      <x:c r="AQ174" s="3"/>
      <x:c r="AR174" s="3"/>
      <x:c r="AS174" s="3"/>
      <x:c r="AT174" s="3"/>
      <x:c r="AU174" s="3"/>
      <x:c r="AV174" s="3"/>
      <x:c r="AW174" s="3"/>
      <x:c r="AX174" s="3"/>
      <x:c r="AY174" s="3"/>
      <x:c r="AZ174" s="3" t="str">
        <x:f>IF(AND('中古車掲載'!C175="One2car",'中古車掲載'!F175="ATTO 3",'中古車掲載'!L175="EXTENDED RANGE",'中古車掲載'!J175=2023,ISNUMBER('中古車掲載'!N175),'中古車掲載'!N175&gt;=20000,'中古車掲載'!O175&lt;=100000,'中古車掲載'!AL175=1),'中古車掲載'!U175,"")</x:f>
      </x:c>
      <x:c r="BA174" s="3" t="str">
        <x:f>IF(AND('中古車掲載'!C175="One2car",'中古車掲載'!F175="Corolla Cross",'中古車掲載'!L175="HEV PREMIUM SAFETY",'中古車掲載'!J175=2023,ISNUMBER('中古車掲載'!N175),'中古車掲載'!N175&gt;=20000,'中古車掲載'!O175&lt;=100000,'中古車掲載'!AL175=1,'中古車掲載'!Z175="https://www.one2car.com/en/cars-for-sale/toyota/corolla-cross/year-2023"),'中古車掲載'!U175,"")</x:f>
      </x:c>
      <x:c r="BB174" s="3" t="str">
        <x:f>IF(AND('中古車掲載'!C175="One2car",'中古車掲載'!F175="ATTO 3",'中古車掲載'!L175="EXTENDED RANGE",'中古車掲載'!J175=2023,ISNUMBER('中古車掲載'!N175),'中古車掲載'!N175&gt;=50000,'中古車掲載'!O175&lt;=100000,'中古車掲載'!AL175=1),'中古車掲載'!U175,"")</x:f>
      </x:c>
      <x:c r="BC174" s="3" t="str">
        <x:f>IF(AND('中古車掲載'!C175="One2car",'中古車掲載'!F175="Corolla Cross",'中古車掲載'!L175="HEV PREMIUM SAFETY",'中古車掲載'!J175=2023,ISNUMBER('中古車掲載'!N175),'中古車掲載'!N175&gt;=50000,'中古車掲載'!O175&lt;=100000,'中古車掲載'!AL175=1,'中古車掲載'!Z175="https://www.one2car.com/en/cars-for-sale/toyota/corolla-cross/year-2023"),'中古車掲載'!U175,"")</x:f>
      </x:c>
      <x:c r="BD174" s="3" t="str">
        <x:f>IF(AND('中古車掲載'!C175="One2car",'中古車掲載'!F175="ATTO 3",'中古車掲載'!L175="EXTENDED RANGE",'中古車掲載'!J175=2023,ISNUMBER('中古車掲載'!N175),'中古車掲載'!N175&gt;=20000,'中古車掲載'!O175&lt;=50000,'中古車掲載'!AL175=1),'中古車掲載'!U175,"")</x:f>
      </x:c>
      <x:c r="BE174" s="3" t="str">
        <x:f>IF(AND('中古車掲載'!C175="One2car",'中古車掲載'!F175="Corolla Cross",'中古車掲載'!L175="HEV PREMIUM SAFETY",'中古車掲載'!J175=2023,ISNUMBER('中古車掲載'!N175),'中古車掲載'!N175&gt;=20000,'中古車掲載'!O175&lt;=50000,'中古車掲載'!AL175=1,'中古車掲載'!Z175="https://www.one2car.com/en/cars-for-sale/toyota/corolla-cross/year-2023"),'中古車掲載'!U175,"")</x:f>
      </x:c>
      <x:c r="BF174" s="3" t="str">
        <x:f>IF(AND('中古車掲載'!C175="One2car",'中古車掲載'!F175="Corolla Cross",'中古車掲載'!L175="HEV PREMIUM",'中古車掲載'!J175=2023,ISNUMBER('中古車掲載'!N175),'中古車掲載'!N175&gt;=20000,'中古車掲載'!O175&lt;=100000,'中古車掲載'!AL175=1,'中古車掲載'!Z175="https://www.one2car.com/en/cars-for-sale/toyota/corolla-cross/year-2023"),'中古車掲載'!U175,"")</x:f>
      </x:c>
      <x:c r="BG174" s="3" t="str">
        <x:f>IF(AND('中古車掲載'!C175="One2car",'中古車掲載'!F175="Corolla Cross",'中古車掲載'!L175="HEV GR SPORT",'中古車掲載'!J175=2023,ISNUMBER('中古車掲載'!N175),'中古車掲載'!N175&gt;=20000,'中古車掲載'!O175&lt;=100000,'中古車掲載'!AL175=1,'中古車掲載'!Z175="https://www.one2car.com/en/cars-for-sale/toyota/corolla-cross/year-2023"),'中古車掲載'!U175,"")</x:f>
      </x:c>
      <x:c r="BH174" s="3" t="str">
        <x:f>IF(AND('中古車掲載'!C175="One2car",'中古車掲載'!F175="DOLPHIN",'中古車掲載'!L175="STANDARD RANGE",'中古車掲載'!J175=2023,ISNUMBER('中古車掲載'!N175),'中古車掲載'!N175&gt;=20000,'中古車掲載'!O175&lt;=100000,'中古車掲載'!AL175=1),'中古車掲載'!U175,"")</x:f>
      </x:c>
      <x:c r="BI174" s="3" t="str">
        <x:v>Taladrod|ATTO 3|BEV|Bangkok metro</x:v>
      </x:c>
      <x:c r="BJ174" s="3" t="n">
        <x:v>177</x:v>
      </x:c>
      <x:c r="BK174" s="3" t="n">
        <x:f>'中古車掲載'!AM177</x:f>
        <x:v>519000</x:v>
      </x:c>
      <x:c r="BL174" s="3" t="n">
        <x:f>IF(ISNUMBER('中古車掲載'!AN177),'中古車掲載'!AN177,"")</x:f>
        <x:v>0.4325360446703892</x:v>
      </x:c>
      <x:c r="BM174" s="3" t="str">
        <x:v>2022|Single cab</x:v>
      </x:c>
      <x:c r="BN174" s="3" t="n">
        <x:v>775</x:v>
      </x:c>
      <x:c r="BO174" s="3" t="n">
        <x:f>'中古車掲載'!AM775</x:f>
        <x:v>599000</x:v>
      </x:c>
      <x:c r="BP174" s="3" t="str">
        <x:v>2.4 ENTRY STANDARD CAB</x:v>
      </x:c>
      <x:c r="BQ174" s="3"/>
      <x:c r="BR174" s="3"/>
    </x:row>
    <x:row r="175" ht="22" customHeight="1">
      <x:c r="A175" s="3" t="str">
        <x:v>Yaris Ativ</x:v>
      </x:c>
      <x:c r="B175" s="3" t="str">
        <x:v>ICE</x:v>
      </x:c>
      <x:c r="C175" s="3" t="str">
        <x:v>Taladrod</x:v>
      </x:c>
      <x:c r="D175" s="3" t="n">
        <x:v>2026</x:v>
      </x:c>
      <x:c r="E175" s="22" t="n">
        <x:f>COUNT('中古車掲載'!AM1093:AM1095)</x:f>
        <x:v>0</x:v>
      </x:c>
      <x:c r="F175" s="22" t="str">
        <x:f>IF(COUNT('中古車掲載'!AM1093:AM1095)=0,"",QUARTILE('中古車掲載'!AM1093:AM1095,1))</x:f>
      </x:c>
      <x:c r="G175" s="22" t="str">
        <x:f>IF(COUNT('中古車掲載'!AM1093:AM1095)=0,"",MEDIAN('中古車掲載'!AM1093:AM1095))</x:f>
      </x:c>
      <x:c r="H175" s="22" t="str">
        <x:f>IF(COUNT('中古車掲載'!AM1093:AM1095)=0,"",QUARTILE('中古車掲載'!AM1093:AM1095,3))</x:f>
      </x:c>
      <x:c r="I175" s="22" t="n">
        <x:f>COUNT('中古車掲載'!AN1093:AN1095)</x:f>
        <x:v>0</x:v>
      </x:c>
      <x:c r="J175" s="23" t="str">
        <x:f>IF(COUNT('中古車掲載'!AN1093:AN1095)=0,"",MEDIAN('中古車掲載'!AN1093:AN1095))</x:f>
      </x:c>
      <x:c r="K175" s="3"/>
      <x:c r="L175" s="3"/>
      <x:c r="M175" s="3"/>
      <x:c r="N175" s="3"/>
      <x:c r="O175" s="3"/>
      <x:c r="P175" s="3"/>
      <x:c r="Q175" s="3"/>
      <x:c r="R175" s="3"/>
      <x:c r="S175" s="3"/>
      <x:c r="T175" s="3"/>
      <x:c r="U175" s="3"/>
      <x:c r="V175" s="3"/>
      <x:c r="W175" s="3"/>
      <x:c r="X175" s="3"/>
      <x:c r="Y175" s="3"/>
      <x:c r="Z175" s="3"/>
      <x:c r="AA175" s="3"/>
      <x:c r="AB175" s="3"/>
      <x:c r="AC175" s="3"/>
      <x:c r="AD175" s="3"/>
      <x:c r="AE175" s="3"/>
      <x:c r="AF175" s="3"/>
      <x:c r="AG175" s="3"/>
      <x:c r="AH175" s="3"/>
      <x:c r="AI175" s="3"/>
      <x:c r="AJ175" s="3"/>
      <x:c r="AK175" s="3"/>
      <x:c r="AL175" s="3"/>
      <x:c r="AM175" s="3"/>
      <x:c r="AN175" s="3"/>
      <x:c r="AO175" s="3"/>
      <x:c r="AP175" s="3"/>
      <x:c r="AQ175" s="3"/>
      <x:c r="AR175" s="3"/>
      <x:c r="AS175" s="3"/>
      <x:c r="AT175" s="3"/>
      <x:c r="AU175" s="3"/>
      <x:c r="AV175" s="3"/>
      <x:c r="AW175" s="3"/>
      <x:c r="AX175" s="3"/>
      <x:c r="AY175" s="3"/>
      <x:c r="AZ175" s="3" t="str">
        <x:f>IF(AND('中古車掲載'!C176="One2car",'中古車掲載'!F176="ATTO 3",'中古車掲載'!L176="EXTENDED RANGE",'中古車掲載'!J176=2023,ISNUMBER('中古車掲載'!N176),'中古車掲載'!N176&gt;=20000,'中古車掲載'!O176&lt;=100000,'中古車掲載'!AL176=1),'中古車掲載'!U176,"")</x:f>
      </x:c>
      <x:c r="BA175" s="3" t="str">
        <x:f>IF(AND('中古車掲載'!C176="One2car",'中古車掲載'!F176="Corolla Cross",'中古車掲載'!L176="HEV PREMIUM SAFETY",'中古車掲載'!J176=2023,ISNUMBER('中古車掲載'!N176),'中古車掲載'!N176&gt;=20000,'中古車掲載'!O176&lt;=100000,'中古車掲載'!AL176=1,'中古車掲載'!Z176="https://www.one2car.com/en/cars-for-sale/toyota/corolla-cross/year-2023"),'中古車掲載'!U176,"")</x:f>
      </x:c>
      <x:c r="BB175" s="3" t="str">
        <x:f>IF(AND('中古車掲載'!C176="One2car",'中古車掲載'!F176="ATTO 3",'中古車掲載'!L176="EXTENDED RANGE",'中古車掲載'!J176=2023,ISNUMBER('中古車掲載'!N176),'中古車掲載'!N176&gt;=50000,'中古車掲載'!O176&lt;=100000,'中古車掲載'!AL176=1),'中古車掲載'!U176,"")</x:f>
      </x:c>
      <x:c r="BC175" s="3" t="str">
        <x:f>IF(AND('中古車掲載'!C176="One2car",'中古車掲載'!F176="Corolla Cross",'中古車掲載'!L176="HEV PREMIUM SAFETY",'中古車掲載'!J176=2023,ISNUMBER('中古車掲載'!N176),'中古車掲載'!N176&gt;=50000,'中古車掲載'!O176&lt;=100000,'中古車掲載'!AL176=1,'中古車掲載'!Z176="https://www.one2car.com/en/cars-for-sale/toyota/corolla-cross/year-2023"),'中古車掲載'!U176,"")</x:f>
      </x:c>
      <x:c r="BD175" s="3" t="str">
        <x:f>IF(AND('中古車掲載'!C176="One2car",'中古車掲載'!F176="ATTO 3",'中古車掲載'!L176="EXTENDED RANGE",'中古車掲載'!J176=2023,ISNUMBER('中古車掲載'!N176),'中古車掲載'!N176&gt;=20000,'中古車掲載'!O176&lt;=50000,'中古車掲載'!AL176=1),'中古車掲載'!U176,"")</x:f>
      </x:c>
      <x:c r="BE175" s="3" t="str">
        <x:f>IF(AND('中古車掲載'!C176="One2car",'中古車掲載'!F176="Corolla Cross",'中古車掲載'!L176="HEV PREMIUM SAFETY",'中古車掲載'!J176=2023,ISNUMBER('中古車掲載'!N176),'中古車掲載'!N176&gt;=20000,'中古車掲載'!O176&lt;=50000,'中古車掲載'!AL176=1,'中古車掲載'!Z176="https://www.one2car.com/en/cars-for-sale/toyota/corolla-cross/year-2023"),'中古車掲載'!U176,"")</x:f>
      </x:c>
      <x:c r="BF175" s="3" t="str">
        <x:f>IF(AND('中古車掲載'!C176="One2car",'中古車掲載'!F176="Corolla Cross",'中古車掲載'!L176="HEV PREMIUM",'中古車掲載'!J176=2023,ISNUMBER('中古車掲載'!N176),'中古車掲載'!N176&gt;=20000,'中古車掲載'!O176&lt;=100000,'中古車掲載'!AL176=1,'中古車掲載'!Z176="https://www.one2car.com/en/cars-for-sale/toyota/corolla-cross/year-2023"),'中古車掲載'!U176,"")</x:f>
      </x:c>
      <x:c r="BG175" s="3" t="str">
        <x:f>IF(AND('中古車掲載'!C176="One2car",'中古車掲載'!F176="Corolla Cross",'中古車掲載'!L176="HEV GR SPORT",'中古車掲載'!J176=2023,ISNUMBER('中古車掲載'!N176),'中古車掲載'!N176&gt;=20000,'中古車掲載'!O176&lt;=100000,'中古車掲載'!AL176=1,'中古車掲載'!Z176="https://www.one2car.com/en/cars-for-sale/toyota/corolla-cross/year-2023"),'中古車掲載'!U176,"")</x:f>
      </x:c>
      <x:c r="BH175" s="3" t="str">
        <x:f>IF(AND('中古車掲載'!C176="One2car",'中古車掲載'!F176="DOLPHIN",'中古車掲載'!L176="STANDARD RANGE",'中古車掲載'!J176=2023,ISNUMBER('中古車掲載'!N176),'中古車掲載'!N176&gt;=20000,'中古車掲載'!O176&lt;=100000,'中古車掲載'!AL176=1),'中古車掲載'!U176,"")</x:f>
      </x:c>
      <x:c r="BI175" s="3" t="str">
        <x:v>Taladrod|ATTO 3|BEV|Bangkok metro</x:v>
      </x:c>
      <x:c r="BJ175" s="3" t="n">
        <x:v>180</x:v>
      </x:c>
      <x:c r="BK175" s="3" t="n">
        <x:f>'中古車掲載'!AM180</x:f>
        <x:v>489000</x:v>
      </x:c>
      <x:c r="BL175" s="3" t="n">
        <x:f>IF(ISNUMBER('中古車掲載'!AN180),'中古車掲載'!AN180,"")</x:f>
        <x:v>0.543393710412268</x:v>
      </x:c>
      <x:c r="BM175" s="3" t="str">
        <x:v>2022|Single cab</x:v>
      </x:c>
      <x:c r="BN175" s="3" t="n">
        <x:v>776</x:v>
      </x:c>
      <x:c r="BO175" s="3" t="n">
        <x:f>'中古車掲載'!AM776</x:f>
        <x:v>375000</x:v>
      </x:c>
      <x:c r="BP175" s="3" t="str">
        <x:v>2.4 ENTRY STANDARD CAB</x:v>
      </x:c>
      <x:c r="BQ175" s="3"/>
      <x:c r="BR175" s="3"/>
    </x:row>
    <x:row r="176" ht="22" customHeight="1">
      <x:c r="A176" s="3" t="str">
        <x:v>Yaris Ativ</x:v>
      </x:c>
      <x:c r="B176" s="3" t="str">
        <x:v>不明</x:v>
      </x:c>
      <x:c r="C176" s="3" t="str">
        <x:v>Taladrod</x:v>
      </x:c>
      <x:c r="D176" s="3" t="n">
        <x:v>2022</x:v>
      </x:c>
      <x:c r="E176" s="22" t="n">
        <x:f>COUNT('中古車掲載'!AM1096:AM1096)</x:f>
        <x:v>1</x:v>
      </x:c>
      <x:c r="F176" s="22" t="n">
        <x:f>IF(COUNT('中古車掲載'!AM1096:AM1096)=0,"",QUARTILE('中古車掲載'!AM1096:AM1096,1))</x:f>
        <x:v>390000</x:v>
      </x:c>
      <x:c r="G176" s="22" t="n">
        <x:f>IF(COUNT('中古車掲載'!AM1096:AM1096)=0,"",MEDIAN('中古車掲載'!AM1096:AM1096))</x:f>
        <x:v>390000</x:v>
      </x:c>
      <x:c r="H176" s="22" t="n">
        <x:f>IF(COUNT('中古車掲載'!AM1096:AM1096)=0,"",QUARTILE('中古車掲載'!AM1096:AM1096,3))</x:f>
        <x:v>390000</x:v>
      </x:c>
      <x:c r="I176" s="22" t="n">
        <x:f>COUNT('中古車掲載'!AN1096:AN1096)</x:f>
        <x:v>0</x:v>
      </x:c>
      <x:c r="J176" s="23" t="str">
        <x:f>IF(COUNT('中古車掲載'!AN1096:AN1096)=0,"",MEDIAN('中古車掲載'!AN1096:AN1096))</x:f>
      </x:c>
      <x:c r="K176" s="3"/>
      <x:c r="L176" s="3"/>
      <x:c r="M176" s="3"/>
      <x:c r="N176" s="3"/>
      <x:c r="O176" s="3"/>
      <x:c r="P176" s="3"/>
      <x:c r="Q176" s="3"/>
      <x:c r="R176" s="3"/>
      <x:c r="S176" s="3"/>
      <x:c r="T176" s="3"/>
      <x:c r="U176" s="3"/>
      <x:c r="V176" s="3"/>
      <x:c r="W176" s="3"/>
      <x:c r="X176" s="3"/>
      <x:c r="Y176" s="3"/>
      <x:c r="Z176" s="3"/>
      <x:c r="AA176" s="3"/>
      <x:c r="AB176" s="3"/>
      <x:c r="AC176" s="3"/>
      <x:c r="AD176" s="3"/>
      <x:c r="AE176" s="3"/>
      <x:c r="AF176" s="3"/>
      <x:c r="AG176" s="3"/>
      <x:c r="AH176" s="3"/>
      <x:c r="AI176" s="3"/>
      <x:c r="AJ176" s="3"/>
      <x:c r="AK176" s="3"/>
      <x:c r="AL176" s="3"/>
      <x:c r="AM176" s="3"/>
      <x:c r="AN176" s="3"/>
      <x:c r="AO176" s="3"/>
      <x:c r="AP176" s="3"/>
      <x:c r="AQ176" s="3"/>
      <x:c r="AR176" s="3"/>
      <x:c r="AS176" s="3"/>
      <x:c r="AT176" s="3"/>
      <x:c r="AU176" s="3"/>
      <x:c r="AV176" s="3"/>
      <x:c r="AW176" s="3"/>
      <x:c r="AX176" s="3"/>
      <x:c r="AY176" s="3"/>
      <x:c r="AZ176" s="3" t="str">
        <x:f>IF(AND('中古車掲載'!C177="One2car",'中古車掲載'!F177="ATTO 3",'中古車掲載'!L177="EXTENDED RANGE",'中古車掲載'!J177=2023,ISNUMBER('中古車掲載'!N177),'中古車掲載'!N177&gt;=20000,'中古車掲載'!O177&lt;=100000,'中古車掲載'!AL177=1),'中古車掲載'!U177,"")</x:f>
      </x:c>
      <x:c r="BA176" s="3" t="str">
        <x:f>IF(AND('中古車掲載'!C177="One2car",'中古車掲載'!F177="Corolla Cross",'中古車掲載'!L177="HEV PREMIUM SAFETY",'中古車掲載'!J177=2023,ISNUMBER('中古車掲載'!N177),'中古車掲載'!N177&gt;=20000,'中古車掲載'!O177&lt;=100000,'中古車掲載'!AL177=1,'中古車掲載'!Z177="https://www.one2car.com/en/cars-for-sale/toyota/corolla-cross/year-2023"),'中古車掲載'!U177,"")</x:f>
      </x:c>
      <x:c r="BB176" s="3" t="str">
        <x:f>IF(AND('中古車掲載'!C177="One2car",'中古車掲載'!F177="ATTO 3",'中古車掲載'!L177="EXTENDED RANGE",'中古車掲載'!J177=2023,ISNUMBER('中古車掲載'!N177),'中古車掲載'!N177&gt;=50000,'中古車掲載'!O177&lt;=100000,'中古車掲載'!AL177=1),'中古車掲載'!U177,"")</x:f>
      </x:c>
      <x:c r="BC176" s="3" t="str">
        <x:f>IF(AND('中古車掲載'!C177="One2car",'中古車掲載'!F177="Corolla Cross",'中古車掲載'!L177="HEV PREMIUM SAFETY",'中古車掲載'!J177=2023,ISNUMBER('中古車掲載'!N177),'中古車掲載'!N177&gt;=50000,'中古車掲載'!O177&lt;=100000,'中古車掲載'!AL177=1,'中古車掲載'!Z177="https://www.one2car.com/en/cars-for-sale/toyota/corolla-cross/year-2023"),'中古車掲載'!U177,"")</x:f>
      </x:c>
      <x:c r="BD176" s="3" t="str">
        <x:f>IF(AND('中古車掲載'!C177="One2car",'中古車掲載'!F177="ATTO 3",'中古車掲載'!L177="EXTENDED RANGE",'中古車掲載'!J177=2023,ISNUMBER('中古車掲載'!N177),'中古車掲載'!N177&gt;=20000,'中古車掲載'!O177&lt;=50000,'中古車掲載'!AL177=1),'中古車掲載'!U177,"")</x:f>
      </x:c>
      <x:c r="BE176" s="3" t="str">
        <x:f>IF(AND('中古車掲載'!C177="One2car",'中古車掲載'!F177="Corolla Cross",'中古車掲載'!L177="HEV PREMIUM SAFETY",'中古車掲載'!J177=2023,ISNUMBER('中古車掲載'!N177),'中古車掲載'!N177&gt;=20000,'中古車掲載'!O177&lt;=50000,'中古車掲載'!AL177=1,'中古車掲載'!Z177="https://www.one2car.com/en/cars-for-sale/toyota/corolla-cross/year-2023"),'中古車掲載'!U177,"")</x:f>
      </x:c>
      <x:c r="BF176" s="3" t="str">
        <x:f>IF(AND('中古車掲載'!C177="One2car",'中古車掲載'!F177="Corolla Cross",'中古車掲載'!L177="HEV PREMIUM",'中古車掲載'!J177=2023,ISNUMBER('中古車掲載'!N177),'中古車掲載'!N177&gt;=20000,'中古車掲載'!O177&lt;=100000,'中古車掲載'!AL177=1,'中古車掲載'!Z177="https://www.one2car.com/en/cars-for-sale/toyota/corolla-cross/year-2023"),'中古車掲載'!U177,"")</x:f>
      </x:c>
      <x:c r="BG176" s="3" t="str">
        <x:f>IF(AND('中古車掲載'!C177="One2car",'中古車掲載'!F177="Corolla Cross",'中古車掲載'!L177="HEV GR SPORT",'中古車掲載'!J177=2023,ISNUMBER('中古車掲載'!N177),'中古車掲載'!N177&gt;=20000,'中古車掲載'!O177&lt;=100000,'中古車掲載'!AL177=1,'中古車掲載'!Z177="https://www.one2car.com/en/cars-for-sale/toyota/corolla-cross/year-2023"),'中古車掲載'!U177,"")</x:f>
      </x:c>
      <x:c r="BH176" s="3" t="str">
        <x:f>IF(AND('中古車掲載'!C177="One2car",'中古車掲載'!F177="DOLPHIN",'中古車掲載'!L177="STANDARD RANGE",'中古車掲載'!J177=2023,ISNUMBER('中古車掲載'!N177),'中古車掲載'!N177&gt;=20000,'中古車掲載'!O177&lt;=100000,'中古車掲載'!AL177=1),'中古車掲載'!U177,"")</x:f>
      </x:c>
      <x:c r="BI176" s="3" t="str">
        <x:v>Taladrod|ATTO 3|BEV|Bangkok metro</x:v>
      </x:c>
      <x:c r="BJ176" s="3" t="n">
        <x:v>182</x:v>
      </x:c>
      <x:c r="BK176" s="3" t="str">
        <x:f>'中古車掲載'!AM182</x:f>
      </x:c>
      <x:c r="BL176" s="3" t="str">
        <x:f>IF(ISNUMBER('中古車掲載'!AN182),'中古車掲載'!AN182,"")</x:f>
      </x:c>
      <x:c r="BM176" s="3" t="str">
        <x:v>2022|Single cab</x:v>
      </x:c>
      <x:c r="BN176" s="3" t="n">
        <x:v>777</x:v>
      </x:c>
      <x:c r="BO176" s="3" t="n">
        <x:f>'中古車掲載'!AM777</x:f>
        <x:v>415000</x:v>
      </x:c>
      <x:c r="BP176" s="3" t="str">
        <x:v>2.4 ENTRY STANDARD CAB</x:v>
      </x:c>
      <x:c r="BQ176" s="3"/>
      <x:c r="BR176" s="3"/>
    </x:row>
    <x:row r="177" ht="22" customHeight="1">
      <x:c r="A177" s="3" t="str">
        <x:v>Yaris Cross</x:v>
      </x:c>
      <x:c r="B177" s="3" t="str">
        <x:v>HEV</x:v>
      </x:c>
      <x:c r="C177" s="3" t="str">
        <x:v>Taladrod</x:v>
      </x:c>
      <x:c r="D177" s="3" t="n">
        <x:v>2023</x:v>
      </x:c>
      <x:c r="E177" s="22" t="n">
        <x:f>COUNT('中古車掲載'!AM1097:AM1102)</x:f>
        <x:v>6</x:v>
      </x:c>
      <x:c r="F177" s="22" t="n">
        <x:f>IF(COUNT('中古車掲載'!AM1097:AM1102)=0,"",QUARTILE('中古車掲載'!AM1097:AM1102,1))</x:f>
        <x:v>670250</x:v>
      </x:c>
      <x:c r="G177" s="22" t="n">
        <x:f>IF(COUNT('中古車掲載'!AM1097:AM1102)=0,"",MEDIAN('中古車掲載'!AM1097:AM1102))</x:f>
        <x:v>694000</x:v>
      </x:c>
      <x:c r="H177" s="22" t="n">
        <x:f>IF(COUNT('中古車掲載'!AM1097:AM1102)=0,"",QUARTILE('中古車掲載'!AM1097:AM1102,3))</x:f>
        <x:v>721500</x:v>
      </x:c>
      <x:c r="I177" s="22" t="n">
        <x:f>COUNT('中古車掲載'!AN1097:AN1102)</x:f>
        <x:v>0</x:v>
      </x:c>
      <x:c r="J177" s="23" t="str">
        <x:f>IF(COUNT('中古車掲載'!AN1097:AN1102)=0,"",MEDIAN('中古車掲載'!AN1097:AN1102))</x:f>
      </x:c>
      <x:c r="K177" s="3"/>
      <x:c r="L177" s="3"/>
      <x:c r="M177" s="3"/>
      <x:c r="N177" s="3"/>
      <x:c r="O177" s="3"/>
      <x:c r="P177" s="3"/>
      <x:c r="Q177" s="3"/>
      <x:c r="R177" s="3"/>
      <x:c r="S177" s="3"/>
      <x:c r="T177" s="3"/>
      <x:c r="U177" s="3"/>
      <x:c r="V177" s="3"/>
      <x:c r="W177" s="3"/>
      <x:c r="X177" s="3"/>
      <x:c r="Y177" s="3"/>
      <x:c r="Z177" s="3"/>
      <x:c r="AA177" s="3"/>
      <x:c r="AB177" s="3"/>
      <x:c r="AC177" s="3"/>
      <x:c r="AD177" s="3"/>
      <x:c r="AE177" s="3"/>
      <x:c r="AF177" s="3"/>
      <x:c r="AG177" s="3"/>
      <x:c r="AH177" s="3"/>
      <x:c r="AI177" s="3"/>
      <x:c r="AJ177" s="3"/>
      <x:c r="AK177" s="3"/>
      <x:c r="AL177" s="3"/>
      <x:c r="AM177" s="3"/>
      <x:c r="AN177" s="3"/>
      <x:c r="AO177" s="3"/>
      <x:c r="AP177" s="3"/>
      <x:c r="AQ177" s="3"/>
      <x:c r="AR177" s="3"/>
      <x:c r="AS177" s="3"/>
      <x:c r="AT177" s="3"/>
      <x:c r="AU177" s="3"/>
      <x:c r="AV177" s="3"/>
      <x:c r="AW177" s="3"/>
      <x:c r="AX177" s="3"/>
      <x:c r="AY177" s="3"/>
      <x:c r="AZ177" s="3" t="str">
        <x:f>IF(AND('中古車掲載'!C178="One2car",'中古車掲載'!F178="ATTO 3",'中古車掲載'!L178="EXTENDED RANGE",'中古車掲載'!J178=2023,ISNUMBER('中古車掲載'!N178),'中古車掲載'!N178&gt;=20000,'中古車掲載'!O178&lt;=100000,'中古車掲載'!AL178=1),'中古車掲載'!U178,"")</x:f>
      </x:c>
      <x:c r="BA177" s="3" t="str">
        <x:f>IF(AND('中古車掲載'!C178="One2car",'中古車掲載'!F178="Corolla Cross",'中古車掲載'!L178="HEV PREMIUM SAFETY",'中古車掲載'!J178=2023,ISNUMBER('中古車掲載'!N178),'中古車掲載'!N178&gt;=20000,'中古車掲載'!O178&lt;=100000,'中古車掲載'!AL178=1,'中古車掲載'!Z178="https://www.one2car.com/en/cars-for-sale/toyota/corolla-cross/year-2023"),'中古車掲載'!U178,"")</x:f>
      </x:c>
      <x:c r="BB177" s="3" t="str">
        <x:f>IF(AND('中古車掲載'!C178="One2car",'中古車掲載'!F178="ATTO 3",'中古車掲載'!L178="EXTENDED RANGE",'中古車掲載'!J178=2023,ISNUMBER('中古車掲載'!N178),'中古車掲載'!N178&gt;=50000,'中古車掲載'!O178&lt;=100000,'中古車掲載'!AL178=1),'中古車掲載'!U178,"")</x:f>
      </x:c>
      <x:c r="BC177" s="3" t="str">
        <x:f>IF(AND('中古車掲載'!C178="One2car",'中古車掲載'!F178="Corolla Cross",'中古車掲載'!L178="HEV PREMIUM SAFETY",'中古車掲載'!J178=2023,ISNUMBER('中古車掲載'!N178),'中古車掲載'!N178&gt;=50000,'中古車掲載'!O178&lt;=100000,'中古車掲載'!AL178=1,'中古車掲載'!Z178="https://www.one2car.com/en/cars-for-sale/toyota/corolla-cross/year-2023"),'中古車掲載'!U178,"")</x:f>
      </x:c>
      <x:c r="BD177" s="3" t="str">
        <x:f>IF(AND('中古車掲載'!C178="One2car",'中古車掲載'!F178="ATTO 3",'中古車掲載'!L178="EXTENDED RANGE",'中古車掲載'!J178=2023,ISNUMBER('中古車掲載'!N178),'中古車掲載'!N178&gt;=20000,'中古車掲載'!O178&lt;=50000,'中古車掲載'!AL178=1),'中古車掲載'!U178,"")</x:f>
      </x:c>
      <x:c r="BE177" s="3" t="str">
        <x:f>IF(AND('中古車掲載'!C178="One2car",'中古車掲載'!F178="Corolla Cross",'中古車掲載'!L178="HEV PREMIUM SAFETY",'中古車掲載'!J178=2023,ISNUMBER('中古車掲載'!N178),'中古車掲載'!N178&gt;=20000,'中古車掲載'!O178&lt;=50000,'中古車掲載'!AL178=1,'中古車掲載'!Z178="https://www.one2car.com/en/cars-for-sale/toyota/corolla-cross/year-2023"),'中古車掲載'!U178,"")</x:f>
      </x:c>
      <x:c r="BF177" s="3" t="str">
        <x:f>IF(AND('中古車掲載'!C178="One2car",'中古車掲載'!F178="Corolla Cross",'中古車掲載'!L178="HEV PREMIUM",'中古車掲載'!J178=2023,ISNUMBER('中古車掲載'!N178),'中古車掲載'!N178&gt;=20000,'中古車掲載'!O178&lt;=100000,'中古車掲載'!AL178=1,'中古車掲載'!Z178="https://www.one2car.com/en/cars-for-sale/toyota/corolla-cross/year-2023"),'中古車掲載'!U178,"")</x:f>
      </x:c>
      <x:c r="BG177" s="3" t="str">
        <x:f>IF(AND('中古車掲載'!C178="One2car",'中古車掲載'!F178="Corolla Cross",'中古車掲載'!L178="HEV GR SPORT",'中古車掲載'!J178=2023,ISNUMBER('中古車掲載'!N178),'中古車掲載'!N178&gt;=20000,'中古車掲載'!O178&lt;=100000,'中古車掲載'!AL178=1,'中古車掲載'!Z178="https://www.one2car.com/en/cars-for-sale/toyota/corolla-cross/year-2023"),'中古車掲載'!U178,"")</x:f>
      </x:c>
      <x:c r="BH177" s="3" t="str">
        <x:f>IF(AND('中古車掲載'!C178="One2car",'中古車掲載'!F178="DOLPHIN",'中古車掲載'!L178="STANDARD RANGE",'中古車掲載'!J178=2023,ISNUMBER('中古車掲載'!N178),'中古車掲載'!N178&gt;=20000,'中古車掲載'!O178&lt;=100000,'中古車掲載'!AL178=1),'中古車掲載'!U178,"")</x:f>
      </x:c>
      <x:c r="BI177" s="3" t="str">
        <x:v>Taladrod|ATTO 3|BEV|Bangkok metro</x:v>
      </x:c>
      <x:c r="BJ177" s="3" t="n">
        <x:v>183</x:v>
      </x:c>
      <x:c r="BK177" s="3" t="str">
        <x:f>'中古車掲載'!AM183</x:f>
      </x:c>
      <x:c r="BL177" s="3" t="str">
        <x:f>IF(ISNUMBER('中古車掲載'!AN183),'中古車掲載'!AN183,"")</x:f>
      </x:c>
      <x:c r="BM177" s="3" t="str">
        <x:v>2022|Single cab</x:v>
      </x:c>
      <x:c r="BN177" s="3" t="n">
        <x:v>778</x:v>
      </x:c>
      <x:c r="BO177" s="3" t="n">
        <x:f>'中古車掲載'!AM778</x:f>
        <x:v>399000</x:v>
      </x:c>
      <x:c r="BP177" s="3" t="str">
        <x:v>2.4 ENTRY STANDARD CAB</x:v>
      </x:c>
      <x:c r="BQ177" s="3"/>
      <x:c r="BR177" s="3"/>
    </x:row>
    <x:row r="178" ht="22" customHeight="1">
      <x:c r="A178" s="3" t="str">
        <x:v>Yaris Cross</x:v>
      </x:c>
      <x:c r="B178" s="3" t="str">
        <x:v>HEV</x:v>
      </x:c>
      <x:c r="C178" s="3" t="str">
        <x:v>Taladrod</x:v>
      </x:c>
      <x:c r="D178" s="3" t="n">
        <x:v>2024</x:v>
      </x:c>
      <x:c r="E178" s="22" t="n">
        <x:f>COUNT('中古車掲載'!AM1103:AM1126)</x:f>
        <x:v>24</x:v>
      </x:c>
      <x:c r="F178" s="22" t="n">
        <x:f>IF(COUNT('中古車掲載'!AM1103:AM1126)=0,"",QUARTILE('中古車掲載'!AM1103:AM1126,1))</x:f>
        <x:v>659000</x:v>
      </x:c>
      <x:c r="G178" s="22" t="n">
        <x:f>IF(COUNT('中古車掲載'!AM1103:AM1126)=0,"",MEDIAN('中古車掲載'!AM1103:AM1126))</x:f>
        <x:v>678500</x:v>
      </x:c>
      <x:c r="H178" s="22" t="n">
        <x:f>IF(COUNT('中古車掲載'!AM1103:AM1126)=0,"",QUARTILE('中古車掲載'!AM1103:AM1126,3))</x:f>
        <x:v>698000</x:v>
      </x:c>
      <x:c r="I178" s="22" t="n">
        <x:f>COUNT('中古車掲載'!AN1103:AN1126)</x:f>
        <x:v>0</x:v>
      </x:c>
      <x:c r="J178" s="23" t="str">
        <x:f>IF(COUNT('中古車掲載'!AN1103:AN1126)=0,"",MEDIAN('中古車掲載'!AN1103:AN1126))</x:f>
      </x:c>
      <x:c r="K178" s="3"/>
      <x:c r="L178" s="3"/>
      <x:c r="M178" s="3"/>
      <x:c r="N178" s="3"/>
      <x:c r="O178" s="3"/>
      <x:c r="P178" s="3"/>
      <x:c r="Q178" s="3"/>
      <x:c r="R178" s="3"/>
      <x:c r="S178" s="3"/>
      <x:c r="T178" s="3"/>
      <x:c r="U178" s="3"/>
      <x:c r="V178" s="3"/>
      <x:c r="W178" s="3"/>
      <x:c r="X178" s="3"/>
      <x:c r="Y178" s="3"/>
      <x:c r="Z178" s="3"/>
      <x:c r="AA178" s="3"/>
      <x:c r="AB178" s="3"/>
      <x:c r="AC178" s="3"/>
      <x:c r="AD178" s="3"/>
      <x:c r="AE178" s="3"/>
      <x:c r="AF178" s="3"/>
      <x:c r="AG178" s="3"/>
      <x:c r="AH178" s="3"/>
      <x:c r="AI178" s="3"/>
      <x:c r="AJ178" s="3"/>
      <x:c r="AK178" s="3"/>
      <x:c r="AL178" s="3"/>
      <x:c r="AM178" s="3"/>
      <x:c r="AN178" s="3"/>
      <x:c r="AO178" s="3"/>
      <x:c r="AP178" s="3"/>
      <x:c r="AQ178" s="3"/>
      <x:c r="AR178" s="3"/>
      <x:c r="AS178" s="3"/>
      <x:c r="AT178" s="3"/>
      <x:c r="AU178" s="3"/>
      <x:c r="AV178" s="3"/>
      <x:c r="AW178" s="3"/>
      <x:c r="AX178" s="3"/>
      <x:c r="AY178" s="3"/>
      <x:c r="AZ178" s="3" t="str">
        <x:f>IF(AND('中古車掲載'!C179="One2car",'中古車掲載'!F179="ATTO 3",'中古車掲載'!L179="EXTENDED RANGE",'中古車掲載'!J179=2023,ISNUMBER('中古車掲載'!N179),'中古車掲載'!N179&gt;=20000,'中古車掲載'!O179&lt;=100000,'中古車掲載'!AL179=1),'中古車掲載'!U179,"")</x:f>
      </x:c>
      <x:c r="BA178" s="3" t="str">
        <x:f>IF(AND('中古車掲載'!C179="One2car",'中古車掲載'!F179="Corolla Cross",'中古車掲載'!L179="HEV PREMIUM SAFETY",'中古車掲載'!J179=2023,ISNUMBER('中古車掲載'!N179),'中古車掲載'!N179&gt;=20000,'中古車掲載'!O179&lt;=100000,'中古車掲載'!AL179=1,'中古車掲載'!Z179="https://www.one2car.com/en/cars-for-sale/toyota/corolla-cross/year-2023"),'中古車掲載'!U179,"")</x:f>
      </x:c>
      <x:c r="BB178" s="3" t="str">
        <x:f>IF(AND('中古車掲載'!C179="One2car",'中古車掲載'!F179="ATTO 3",'中古車掲載'!L179="EXTENDED RANGE",'中古車掲載'!J179=2023,ISNUMBER('中古車掲載'!N179),'中古車掲載'!N179&gt;=50000,'中古車掲載'!O179&lt;=100000,'中古車掲載'!AL179=1),'中古車掲載'!U179,"")</x:f>
      </x:c>
      <x:c r="BC178" s="3" t="str">
        <x:f>IF(AND('中古車掲載'!C179="One2car",'中古車掲載'!F179="Corolla Cross",'中古車掲載'!L179="HEV PREMIUM SAFETY",'中古車掲載'!J179=2023,ISNUMBER('中古車掲載'!N179),'中古車掲載'!N179&gt;=50000,'中古車掲載'!O179&lt;=100000,'中古車掲載'!AL179=1,'中古車掲載'!Z179="https://www.one2car.com/en/cars-for-sale/toyota/corolla-cross/year-2023"),'中古車掲載'!U179,"")</x:f>
      </x:c>
      <x:c r="BD178" s="3" t="str">
        <x:f>IF(AND('中古車掲載'!C179="One2car",'中古車掲載'!F179="ATTO 3",'中古車掲載'!L179="EXTENDED RANGE",'中古車掲載'!J179=2023,ISNUMBER('中古車掲載'!N179),'中古車掲載'!N179&gt;=20000,'中古車掲載'!O179&lt;=50000,'中古車掲載'!AL179=1),'中古車掲載'!U179,"")</x:f>
      </x:c>
      <x:c r="BE178" s="3" t="str">
        <x:f>IF(AND('中古車掲載'!C179="One2car",'中古車掲載'!F179="Corolla Cross",'中古車掲載'!L179="HEV PREMIUM SAFETY",'中古車掲載'!J179=2023,ISNUMBER('中古車掲載'!N179),'中古車掲載'!N179&gt;=20000,'中古車掲載'!O179&lt;=50000,'中古車掲載'!AL179=1,'中古車掲載'!Z179="https://www.one2car.com/en/cars-for-sale/toyota/corolla-cross/year-2023"),'中古車掲載'!U179,"")</x:f>
      </x:c>
      <x:c r="BF178" s="3" t="str">
        <x:f>IF(AND('中古車掲載'!C179="One2car",'中古車掲載'!F179="Corolla Cross",'中古車掲載'!L179="HEV PREMIUM",'中古車掲載'!J179=2023,ISNUMBER('中古車掲載'!N179),'中古車掲載'!N179&gt;=20000,'中古車掲載'!O179&lt;=100000,'中古車掲載'!AL179=1,'中古車掲載'!Z179="https://www.one2car.com/en/cars-for-sale/toyota/corolla-cross/year-2023"),'中古車掲載'!U179,"")</x:f>
      </x:c>
      <x:c r="BG178" s="3" t="str">
        <x:f>IF(AND('中古車掲載'!C179="One2car",'中古車掲載'!F179="Corolla Cross",'中古車掲載'!L179="HEV GR SPORT",'中古車掲載'!J179=2023,ISNUMBER('中古車掲載'!N179),'中古車掲載'!N179&gt;=20000,'中古車掲載'!O179&lt;=100000,'中古車掲載'!AL179=1,'中古車掲載'!Z179="https://www.one2car.com/en/cars-for-sale/toyota/corolla-cross/year-2023"),'中古車掲載'!U179,"")</x:f>
      </x:c>
      <x:c r="BH178" s="3" t="str">
        <x:f>IF(AND('中古車掲載'!C179="One2car",'中古車掲載'!F179="DOLPHIN",'中古車掲載'!L179="STANDARD RANGE",'中古車掲載'!J179=2023,ISNUMBER('中古車掲載'!N179),'中古車掲載'!N179&gt;=20000,'中古車掲載'!O179&lt;=100000,'中古車掲載'!AL179=1),'中古車掲載'!U179,"")</x:f>
      </x:c>
      <x:c r="BI178" s="3" t="str">
        <x:v>Taladrod|ATTO 3|BEV|Other province</x:v>
      </x:c>
      <x:c r="BJ178" s="3" t="n">
        <x:v>172</x:v>
      </x:c>
      <x:c r="BK178" s="3" t="n">
        <x:f>'中古車掲載'!AM172</x:f>
        <x:v>625000</x:v>
      </x:c>
      <x:c r="BL178" s="3" t="n">
        <x:f>IF(ISNUMBER('中古車掲載'!AN172),'中古車掲載'!AN172,"")</x:f>
        <x:v>0.5682334757705246</x:v>
      </x:c>
      <x:c r="BM178" s="3" t="str">
        <x:v>2022|Single cab</x:v>
      </x:c>
      <x:c r="BN178" s="3" t="n">
        <x:v>779</x:v>
      </x:c>
      <x:c r="BO178" s="3" t="n">
        <x:f>'中古車掲載'!AM779</x:f>
        <x:v>369000</x:v>
      </x:c>
      <x:c r="BP178" s="3" t="str">
        <x:v>2.4 ENTRY STANDARD CAB</x:v>
      </x:c>
      <x:c r="BQ178" s="3"/>
      <x:c r="BR178" s="3"/>
    </x:row>
    <x:row r="179" ht="22" customHeight="1">
      <x:c r="A179" s="3" t="str">
        <x:v>Yaris Cross</x:v>
      </x:c>
      <x:c r="B179" s="3" t="str">
        <x:v>HEV</x:v>
      </x:c>
      <x:c r="C179" s="3" t="str">
        <x:v>Taladrod</x:v>
      </x:c>
      <x:c r="D179" s="3" t="n">
        <x:v>2025</x:v>
      </x:c>
      <x:c r="E179" s="22" t="n">
        <x:f>COUNT('中古車掲載'!AM1127:AM1137)</x:f>
        <x:v>11</x:v>
      </x:c>
      <x:c r="F179" s="22" t="n">
        <x:f>IF(COUNT('中古車掲載'!AM1127:AM1137)=0,"",QUARTILE('中古車掲載'!AM1127:AM1137,1))</x:f>
        <x:v>669000</x:v>
      </x:c>
      <x:c r="G179" s="22" t="n">
        <x:f>IF(COUNT('中古車掲載'!AM1127:AM1137)=0,"",MEDIAN('中古車掲載'!AM1127:AM1137))</x:f>
        <x:v>674000</x:v>
      </x:c>
      <x:c r="H179" s="22" t="n">
        <x:f>IF(COUNT('中古車掲載'!AM1127:AM1137)=0,"",QUARTILE('中古車掲載'!AM1127:AM1137,3))</x:f>
        <x:v>726500</x:v>
      </x:c>
      <x:c r="I179" s="22" t="n">
        <x:f>COUNT('中古車掲載'!AN1127:AN1137)</x:f>
        <x:v>0</x:v>
      </x:c>
      <x:c r="J179" s="23" t="str">
        <x:f>IF(COUNT('中古車掲載'!AN1127:AN1137)=0,"",MEDIAN('中古車掲載'!AN1127:AN1137))</x:f>
      </x:c>
      <x:c r="K179" s="3"/>
      <x:c r="L179" s="3"/>
      <x:c r="M179" s="3"/>
      <x:c r="N179" s="3"/>
      <x:c r="O179" s="3"/>
      <x:c r="P179" s="3"/>
      <x:c r="Q179" s="3"/>
      <x:c r="R179" s="3"/>
      <x:c r="S179" s="3"/>
      <x:c r="T179" s="3"/>
      <x:c r="U179" s="3"/>
      <x:c r="V179" s="3"/>
      <x:c r="W179" s="3"/>
      <x:c r="X179" s="3"/>
      <x:c r="Y179" s="3"/>
      <x:c r="Z179" s="3"/>
      <x:c r="AA179" s="3"/>
      <x:c r="AB179" s="3"/>
      <x:c r="AC179" s="3"/>
      <x:c r="AD179" s="3"/>
      <x:c r="AE179" s="3"/>
      <x:c r="AF179" s="3"/>
      <x:c r="AG179" s="3"/>
      <x:c r="AH179" s="3"/>
      <x:c r="AI179" s="3"/>
      <x:c r="AJ179" s="3"/>
      <x:c r="AK179" s="3"/>
      <x:c r="AL179" s="3"/>
      <x:c r="AM179" s="3"/>
      <x:c r="AN179" s="3"/>
      <x:c r="AO179" s="3"/>
      <x:c r="AP179" s="3"/>
      <x:c r="AQ179" s="3"/>
      <x:c r="AR179" s="3"/>
      <x:c r="AS179" s="3"/>
      <x:c r="AT179" s="3"/>
      <x:c r="AU179" s="3"/>
      <x:c r="AV179" s="3"/>
      <x:c r="AW179" s="3"/>
      <x:c r="AX179" s="3"/>
      <x:c r="AY179" s="3"/>
      <x:c r="AZ179" s="3" t="str">
        <x:f>IF(AND('中古車掲載'!C180="One2car",'中古車掲載'!F180="ATTO 3",'中古車掲載'!L180="EXTENDED RANGE",'中古車掲載'!J180=2023,ISNUMBER('中古車掲載'!N180),'中古車掲載'!N180&gt;=20000,'中古車掲載'!O180&lt;=100000,'中古車掲載'!AL180=1),'中古車掲載'!U180,"")</x:f>
      </x:c>
      <x:c r="BA179" s="3" t="str">
        <x:f>IF(AND('中古車掲載'!C180="One2car",'中古車掲載'!F180="Corolla Cross",'中古車掲載'!L180="HEV PREMIUM SAFETY",'中古車掲載'!J180=2023,ISNUMBER('中古車掲載'!N180),'中古車掲載'!N180&gt;=20000,'中古車掲載'!O180&lt;=100000,'中古車掲載'!AL180=1,'中古車掲載'!Z180="https://www.one2car.com/en/cars-for-sale/toyota/corolla-cross/year-2023"),'中古車掲載'!U180,"")</x:f>
      </x:c>
      <x:c r="BB179" s="3" t="str">
        <x:f>IF(AND('中古車掲載'!C180="One2car",'中古車掲載'!F180="ATTO 3",'中古車掲載'!L180="EXTENDED RANGE",'中古車掲載'!J180=2023,ISNUMBER('中古車掲載'!N180),'中古車掲載'!N180&gt;=50000,'中古車掲載'!O180&lt;=100000,'中古車掲載'!AL180=1),'中古車掲載'!U180,"")</x:f>
      </x:c>
      <x:c r="BC179" s="3" t="str">
        <x:f>IF(AND('中古車掲載'!C180="One2car",'中古車掲載'!F180="Corolla Cross",'中古車掲載'!L180="HEV PREMIUM SAFETY",'中古車掲載'!J180=2023,ISNUMBER('中古車掲載'!N180),'中古車掲載'!N180&gt;=50000,'中古車掲載'!O180&lt;=100000,'中古車掲載'!AL180=1,'中古車掲載'!Z180="https://www.one2car.com/en/cars-for-sale/toyota/corolla-cross/year-2023"),'中古車掲載'!U180,"")</x:f>
      </x:c>
      <x:c r="BD179" s="3" t="str">
        <x:f>IF(AND('中古車掲載'!C180="One2car",'中古車掲載'!F180="ATTO 3",'中古車掲載'!L180="EXTENDED RANGE",'中古車掲載'!J180=2023,ISNUMBER('中古車掲載'!N180),'中古車掲載'!N180&gt;=20000,'中古車掲載'!O180&lt;=50000,'中古車掲載'!AL180=1),'中古車掲載'!U180,"")</x:f>
      </x:c>
      <x:c r="BE179" s="3" t="str">
        <x:f>IF(AND('中古車掲載'!C180="One2car",'中古車掲載'!F180="Corolla Cross",'中古車掲載'!L180="HEV PREMIUM SAFETY",'中古車掲載'!J180=2023,ISNUMBER('中古車掲載'!N180),'中古車掲載'!N180&gt;=20000,'中古車掲載'!O180&lt;=50000,'中古車掲載'!AL180=1,'中古車掲載'!Z180="https://www.one2car.com/en/cars-for-sale/toyota/corolla-cross/year-2023"),'中古車掲載'!U180,"")</x:f>
      </x:c>
      <x:c r="BF179" s="3" t="str">
        <x:f>IF(AND('中古車掲載'!C180="One2car",'中古車掲載'!F180="Corolla Cross",'中古車掲載'!L180="HEV PREMIUM",'中古車掲載'!J180=2023,ISNUMBER('中古車掲載'!N180),'中古車掲載'!N180&gt;=20000,'中古車掲載'!O180&lt;=100000,'中古車掲載'!AL180=1,'中古車掲載'!Z180="https://www.one2car.com/en/cars-for-sale/toyota/corolla-cross/year-2023"),'中古車掲載'!U180,"")</x:f>
      </x:c>
      <x:c r="BG179" s="3" t="str">
        <x:f>IF(AND('中古車掲載'!C180="One2car",'中古車掲載'!F180="Corolla Cross",'中古車掲載'!L180="HEV GR SPORT",'中古車掲載'!J180=2023,ISNUMBER('中古車掲載'!N180),'中古車掲載'!N180&gt;=20000,'中古車掲載'!O180&lt;=100000,'中古車掲載'!AL180=1,'中古車掲載'!Z180="https://www.one2car.com/en/cars-for-sale/toyota/corolla-cross/year-2023"),'中古車掲載'!U180,"")</x:f>
      </x:c>
      <x:c r="BH179" s="3" t="str">
        <x:f>IF(AND('中古車掲載'!C180="One2car",'中古車掲載'!F180="DOLPHIN",'中古車掲載'!L180="STANDARD RANGE",'中古車掲載'!J180=2023,ISNUMBER('中古車掲載'!N180),'中古車掲載'!N180&gt;=20000,'中古車掲載'!O180&lt;=100000,'中古車掲載'!AL180=1),'中古車掲載'!U180,"")</x:f>
      </x:c>
      <x:c r="BI179" s="3" t="str">
        <x:v>Taladrod|ATTO 3|BEV|Unknown</x:v>
      </x:c>
      <x:c r="BJ179" s="3" t="n">
        <x:v>171</x:v>
      </x:c>
      <x:c r="BK179" s="3" t="n">
        <x:f>'中古車掲載'!AM171</x:f>
        <x:v>499000</x:v>
      </x:c>
      <x:c r="BL179" s="3" t="n">
        <x:f>IF(ISNUMBER('中古車掲載'!AN171),'中古車掲載'!AN171,"")</x:f>
        <x:v>0.4158679889990833</x:v>
      </x:c>
      <x:c r="BM179" s="3" t="str">
        <x:v>2022|Single cab</x:v>
      </x:c>
      <x:c r="BN179" s="3" t="n">
        <x:v>780</x:v>
      </x:c>
      <x:c r="BO179" s="3" t="n">
        <x:f>'中古車掲載'!AM780</x:f>
        <x:v>379000</x:v>
      </x:c>
      <x:c r="BP179" s="3" t="str">
        <x:v>2.4 ENTRY STANDARD CAB</x:v>
      </x:c>
      <x:c r="BQ179" s="3"/>
      <x:c r="BR179" s="3"/>
    </x:row>
    <x:row r="180" ht="22" customHeight="1">
      <x:c r="A180" s="3" t="str">
        <x:v>Yaris Cross</x:v>
      </x:c>
      <x:c r="B180" s="3" t="str">
        <x:v>HEV</x:v>
      </x:c>
      <x:c r="C180" s="3" t="str">
        <x:v>Taladrod</x:v>
      </x:c>
      <x:c r="D180" s="3" t="n">
        <x:v>2026</x:v>
      </x:c>
      <x:c r="E180" s="22" t="n">
        <x:f>COUNT('中古車掲載'!AM1138:AM1139)</x:f>
        <x:v>0</x:v>
      </x:c>
      <x:c r="F180" s="22" t="str">
        <x:f>IF(COUNT('中古車掲載'!AM1138:AM1139)=0,"",QUARTILE('中古車掲載'!AM1138:AM1139,1))</x:f>
      </x:c>
      <x:c r="G180" s="22" t="str">
        <x:f>IF(COUNT('中古車掲載'!AM1138:AM1139)=0,"",MEDIAN('中古車掲載'!AM1138:AM1139))</x:f>
      </x:c>
      <x:c r="H180" s="22" t="str">
        <x:f>IF(COUNT('中古車掲載'!AM1138:AM1139)=0,"",QUARTILE('中古車掲載'!AM1138:AM1139,3))</x:f>
      </x:c>
      <x:c r="I180" s="22" t="n">
        <x:f>COUNT('中古車掲載'!AN1138:AN1139)</x:f>
        <x:v>0</x:v>
      </x:c>
      <x:c r="J180" s="23" t="str">
        <x:f>IF(COUNT('中古車掲載'!AN1138:AN1139)=0,"",MEDIAN('中古車掲載'!AN1138:AN1139))</x:f>
      </x:c>
      <x:c r="K180" s="3"/>
      <x:c r="L180" s="3"/>
      <x:c r="M180" s="3"/>
      <x:c r="N180" s="3"/>
      <x:c r="O180" s="3"/>
      <x:c r="P180" s="3"/>
      <x:c r="Q180" s="3"/>
      <x:c r="R180" s="3"/>
      <x:c r="S180" s="3"/>
      <x:c r="T180" s="3"/>
      <x:c r="U180" s="3"/>
      <x:c r="V180" s="3"/>
      <x:c r="W180" s="3"/>
      <x:c r="X180" s="3"/>
      <x:c r="Y180" s="3"/>
      <x:c r="Z180" s="3"/>
      <x:c r="AA180" s="3"/>
      <x:c r="AB180" s="3"/>
      <x:c r="AC180" s="3"/>
      <x:c r="AD180" s="3"/>
      <x:c r="AE180" s="3"/>
      <x:c r="AF180" s="3"/>
      <x:c r="AG180" s="3"/>
      <x:c r="AH180" s="3"/>
      <x:c r="AI180" s="3"/>
      <x:c r="AJ180" s="3"/>
      <x:c r="AK180" s="3"/>
      <x:c r="AL180" s="3"/>
      <x:c r="AM180" s="3"/>
      <x:c r="AN180" s="3"/>
      <x:c r="AO180" s="3"/>
      <x:c r="AP180" s="3"/>
      <x:c r="AQ180" s="3"/>
      <x:c r="AR180" s="3"/>
      <x:c r="AS180" s="3"/>
      <x:c r="AT180" s="3"/>
      <x:c r="AU180" s="3"/>
      <x:c r="AV180" s="3"/>
      <x:c r="AW180" s="3"/>
      <x:c r="AX180" s="3"/>
      <x:c r="AY180" s="3"/>
      <x:c r="AZ180" s="3" t="str">
        <x:f>IF(AND('中古車掲載'!C181="One2car",'中古車掲載'!F181="ATTO 3",'中古車掲載'!L181="EXTENDED RANGE",'中古車掲載'!J181=2023,ISNUMBER('中古車掲載'!N181),'中古車掲載'!N181&gt;=20000,'中古車掲載'!O181&lt;=100000,'中古車掲載'!AL181=1),'中古車掲載'!U181,"")</x:f>
      </x:c>
      <x:c r="BA180" s="3" t="str">
        <x:f>IF(AND('中古車掲載'!C181="One2car",'中古車掲載'!F181="Corolla Cross",'中古車掲載'!L181="HEV PREMIUM SAFETY",'中古車掲載'!J181=2023,ISNUMBER('中古車掲載'!N181),'中古車掲載'!N181&gt;=20000,'中古車掲載'!O181&lt;=100000,'中古車掲載'!AL181=1,'中古車掲載'!Z181="https://www.one2car.com/en/cars-for-sale/toyota/corolla-cross/year-2023"),'中古車掲載'!U181,"")</x:f>
      </x:c>
      <x:c r="BB180" s="3" t="str">
        <x:f>IF(AND('中古車掲載'!C181="One2car",'中古車掲載'!F181="ATTO 3",'中古車掲載'!L181="EXTENDED RANGE",'中古車掲載'!J181=2023,ISNUMBER('中古車掲載'!N181),'中古車掲載'!N181&gt;=50000,'中古車掲載'!O181&lt;=100000,'中古車掲載'!AL181=1),'中古車掲載'!U181,"")</x:f>
      </x:c>
      <x:c r="BC180" s="3" t="str">
        <x:f>IF(AND('中古車掲載'!C181="One2car",'中古車掲載'!F181="Corolla Cross",'中古車掲載'!L181="HEV PREMIUM SAFETY",'中古車掲載'!J181=2023,ISNUMBER('中古車掲載'!N181),'中古車掲載'!N181&gt;=50000,'中古車掲載'!O181&lt;=100000,'中古車掲載'!AL181=1,'中古車掲載'!Z181="https://www.one2car.com/en/cars-for-sale/toyota/corolla-cross/year-2023"),'中古車掲載'!U181,"")</x:f>
      </x:c>
      <x:c r="BD180" s="3" t="str">
        <x:f>IF(AND('中古車掲載'!C181="One2car",'中古車掲載'!F181="ATTO 3",'中古車掲載'!L181="EXTENDED RANGE",'中古車掲載'!J181=2023,ISNUMBER('中古車掲載'!N181),'中古車掲載'!N181&gt;=20000,'中古車掲載'!O181&lt;=50000,'中古車掲載'!AL181=1),'中古車掲載'!U181,"")</x:f>
      </x:c>
      <x:c r="BE180" s="3" t="str">
        <x:f>IF(AND('中古車掲載'!C181="One2car",'中古車掲載'!F181="Corolla Cross",'中古車掲載'!L181="HEV PREMIUM SAFETY",'中古車掲載'!J181=2023,ISNUMBER('中古車掲載'!N181),'中古車掲載'!N181&gt;=20000,'中古車掲載'!O181&lt;=50000,'中古車掲載'!AL181=1,'中古車掲載'!Z181="https://www.one2car.com/en/cars-for-sale/toyota/corolla-cross/year-2023"),'中古車掲載'!U181,"")</x:f>
      </x:c>
      <x:c r="BF180" s="3" t="str">
        <x:f>IF(AND('中古車掲載'!C181="One2car",'中古車掲載'!F181="Corolla Cross",'中古車掲載'!L181="HEV PREMIUM",'中古車掲載'!J181=2023,ISNUMBER('中古車掲載'!N181),'中古車掲載'!N181&gt;=20000,'中古車掲載'!O181&lt;=100000,'中古車掲載'!AL181=1,'中古車掲載'!Z181="https://www.one2car.com/en/cars-for-sale/toyota/corolla-cross/year-2023"),'中古車掲載'!U181,"")</x:f>
      </x:c>
      <x:c r="BG180" s="3" t="str">
        <x:f>IF(AND('中古車掲載'!C181="One2car",'中古車掲載'!F181="Corolla Cross",'中古車掲載'!L181="HEV GR SPORT",'中古車掲載'!J181=2023,ISNUMBER('中古車掲載'!N181),'中古車掲載'!N181&gt;=20000,'中古車掲載'!O181&lt;=100000,'中古車掲載'!AL181=1,'中古車掲載'!Z181="https://www.one2car.com/en/cars-for-sale/toyota/corolla-cross/year-2023"),'中古車掲載'!U181,"")</x:f>
      </x:c>
      <x:c r="BH180" s="3" t="str">
        <x:f>IF(AND('中古車掲載'!C181="One2car",'中古車掲載'!F181="DOLPHIN",'中古車掲載'!L181="STANDARD RANGE",'中古車掲載'!J181=2023,ISNUMBER('中古車掲載'!N181),'中古車掲載'!N181&gt;=20000,'中古車掲載'!O181&lt;=100000,'中古車掲載'!AL181=1),'中古車掲載'!U181,"")</x:f>
      </x:c>
      <x:c r="BI180" s="3" t="str">
        <x:v>Taladrod|ATTO 3|BEV|Unknown</x:v>
      </x:c>
      <x:c r="BJ180" s="3" t="n">
        <x:v>178</x:v>
      </x:c>
      <x:c r="BK180" s="3" t="n">
        <x:f>'中古車掲載'!AM178</x:f>
        <x:v>439000</x:v>
      </x:c>
      <x:c r="BL180" s="3" t="n">
        <x:f>IF(ISNUMBER('中古車掲載'!AN178),'中古車掲載'!AN178,"")</x:f>
        <x:v>0.3991271933812165</x:v>
      </x:c>
      <x:c r="BM180" s="3" t="str">
        <x:v>2022|Single cab</x:v>
      </x:c>
      <x:c r="BN180" s="3" t="n">
        <x:v>781</x:v>
      </x:c>
      <x:c r="BO180" s="3" t="n">
        <x:f>'中古車掲載'!AM781</x:f>
        <x:v>399000</x:v>
      </x:c>
      <x:c r="BP180" s="3" t="str">
        <x:v>2.4 ENTRY STANDARD CAB</x:v>
      </x:c>
      <x:c r="BQ180" s="3"/>
      <x:c r="BR180" s="3"/>
    </x:row>
    <x:row r="181" ht="22" customHeight="1">
      <x:c r="A181" s="3" t="str">
        <x:v>bZ4X</x:v>
      </x:c>
      <x:c r="B181" s="3" t="str">
        <x:v>BEV</x:v>
      </x:c>
      <x:c r="C181" s="3" t="str">
        <x:v>Taladrod</x:v>
      </x:c>
      <x:c r="D181" s="3" t="n">
        <x:v>2023</x:v>
      </x:c>
      <x:c r="E181" s="22" t="n">
        <x:f>COUNT('中古車掲載'!AM1140:AM1140)</x:f>
        <x:v>1</x:v>
      </x:c>
      <x:c r="F181" s="22" t="n">
        <x:f>IF(COUNT('中古車掲載'!AM1140:AM1140)=0,"",QUARTILE('中古車掲載'!AM1140:AM1140,1))</x:f>
        <x:v>980000</x:v>
      </x:c>
      <x:c r="G181" s="22" t="n">
        <x:f>IF(COUNT('中古車掲載'!AM1140:AM1140)=0,"",MEDIAN('中古車掲載'!AM1140:AM1140))</x:f>
        <x:v>980000</x:v>
      </x:c>
      <x:c r="H181" s="22" t="n">
        <x:f>IF(COUNT('中古車掲載'!AM1140:AM1140)=0,"",QUARTILE('中古車掲載'!AM1140:AM1140,3))</x:f>
        <x:v>980000</x:v>
      </x:c>
      <x:c r="I181" s="22" t="n">
        <x:f>COUNT('中古車掲載'!AN1140:AN1140)</x:f>
        <x:v>0</x:v>
      </x:c>
      <x:c r="J181" s="23" t="str">
        <x:f>IF(COUNT('中古車掲載'!AN1140:AN1140)=0,"",MEDIAN('中古車掲載'!AN1140:AN1140))</x:f>
      </x:c>
      <x:c r="K181" s="3"/>
      <x:c r="L181" s="3"/>
      <x:c r="M181" s="3"/>
      <x:c r="N181" s="3"/>
      <x:c r="O181" s="3"/>
      <x:c r="P181" s="3"/>
      <x:c r="Q181" s="3"/>
      <x:c r="R181" s="3"/>
      <x:c r="S181" s="3"/>
      <x:c r="T181" s="3"/>
      <x:c r="U181" s="3"/>
      <x:c r="V181" s="3"/>
      <x:c r="W181" s="3"/>
      <x:c r="X181" s="3"/>
      <x:c r="Y181" s="3"/>
      <x:c r="Z181" s="3"/>
      <x:c r="AA181" s="3"/>
      <x:c r="AB181" s="3"/>
      <x:c r="AC181" s="3"/>
      <x:c r="AD181" s="3"/>
      <x:c r="AE181" s="3"/>
      <x:c r="AF181" s="3"/>
      <x:c r="AG181" s="3"/>
      <x:c r="AH181" s="3"/>
      <x:c r="AI181" s="3"/>
      <x:c r="AJ181" s="3"/>
      <x:c r="AK181" s="3"/>
      <x:c r="AL181" s="3"/>
      <x:c r="AM181" s="3"/>
      <x:c r="AN181" s="3"/>
      <x:c r="AO181" s="3"/>
      <x:c r="AP181" s="3"/>
      <x:c r="AQ181" s="3"/>
      <x:c r="AR181" s="3"/>
      <x:c r="AS181" s="3"/>
      <x:c r="AT181" s="3"/>
      <x:c r="AU181" s="3"/>
      <x:c r="AV181" s="3"/>
      <x:c r="AW181" s="3"/>
      <x:c r="AX181" s="3"/>
      <x:c r="AY181" s="3"/>
      <x:c r="AZ181" s="3" t="str">
        <x:f>IF(AND('中古車掲載'!C182="One2car",'中古車掲載'!F182="ATTO 3",'中古車掲載'!L182="EXTENDED RANGE",'中古車掲載'!J182=2023,ISNUMBER('中古車掲載'!N182),'中古車掲載'!N182&gt;=20000,'中古車掲載'!O182&lt;=100000,'中古車掲載'!AL182=1),'中古車掲載'!U182,"")</x:f>
      </x:c>
      <x:c r="BA181" s="3" t="str">
        <x:f>IF(AND('中古車掲載'!C182="One2car",'中古車掲載'!F182="Corolla Cross",'中古車掲載'!L182="HEV PREMIUM SAFETY",'中古車掲載'!J182=2023,ISNUMBER('中古車掲載'!N182),'中古車掲載'!N182&gt;=20000,'中古車掲載'!O182&lt;=100000,'中古車掲載'!AL182=1,'中古車掲載'!Z182="https://www.one2car.com/en/cars-for-sale/toyota/corolla-cross/year-2023"),'中古車掲載'!U182,"")</x:f>
      </x:c>
      <x:c r="BB181" s="3" t="str">
        <x:f>IF(AND('中古車掲載'!C182="One2car",'中古車掲載'!F182="ATTO 3",'中古車掲載'!L182="EXTENDED RANGE",'中古車掲載'!J182=2023,ISNUMBER('中古車掲載'!N182),'中古車掲載'!N182&gt;=50000,'中古車掲載'!O182&lt;=100000,'中古車掲載'!AL182=1),'中古車掲載'!U182,"")</x:f>
      </x:c>
      <x:c r="BC181" s="3" t="str">
        <x:f>IF(AND('中古車掲載'!C182="One2car",'中古車掲載'!F182="Corolla Cross",'中古車掲載'!L182="HEV PREMIUM SAFETY",'中古車掲載'!J182=2023,ISNUMBER('中古車掲載'!N182),'中古車掲載'!N182&gt;=50000,'中古車掲載'!O182&lt;=100000,'中古車掲載'!AL182=1,'中古車掲載'!Z182="https://www.one2car.com/en/cars-for-sale/toyota/corolla-cross/year-2023"),'中古車掲載'!U182,"")</x:f>
      </x:c>
      <x:c r="BD181" s="3" t="str">
        <x:f>IF(AND('中古車掲載'!C182="One2car",'中古車掲載'!F182="ATTO 3",'中古車掲載'!L182="EXTENDED RANGE",'中古車掲載'!J182=2023,ISNUMBER('中古車掲載'!N182),'中古車掲載'!N182&gt;=20000,'中古車掲載'!O182&lt;=50000,'中古車掲載'!AL182=1),'中古車掲載'!U182,"")</x:f>
      </x:c>
      <x:c r="BE181" s="3" t="str">
        <x:f>IF(AND('中古車掲載'!C182="One2car",'中古車掲載'!F182="Corolla Cross",'中古車掲載'!L182="HEV PREMIUM SAFETY",'中古車掲載'!J182=2023,ISNUMBER('中古車掲載'!N182),'中古車掲載'!N182&gt;=20000,'中古車掲載'!O182&lt;=50000,'中古車掲載'!AL182=1,'中古車掲載'!Z182="https://www.one2car.com/en/cars-for-sale/toyota/corolla-cross/year-2023"),'中古車掲載'!U182,"")</x:f>
      </x:c>
      <x:c r="BF181" s="3" t="str">
        <x:f>IF(AND('中古車掲載'!C182="One2car",'中古車掲載'!F182="Corolla Cross",'中古車掲載'!L182="HEV PREMIUM",'中古車掲載'!J182=2023,ISNUMBER('中古車掲載'!N182),'中古車掲載'!N182&gt;=20000,'中古車掲載'!O182&lt;=100000,'中古車掲載'!AL182=1,'中古車掲載'!Z182="https://www.one2car.com/en/cars-for-sale/toyota/corolla-cross/year-2023"),'中古車掲載'!U182,"")</x:f>
      </x:c>
      <x:c r="BG181" s="3" t="str">
        <x:f>IF(AND('中古車掲載'!C182="One2car",'中古車掲載'!F182="Corolla Cross",'中古車掲載'!L182="HEV GR SPORT",'中古車掲載'!J182=2023,ISNUMBER('中古車掲載'!N182),'中古車掲載'!N182&gt;=20000,'中古車掲載'!O182&lt;=100000,'中古車掲載'!AL182=1,'中古車掲載'!Z182="https://www.one2car.com/en/cars-for-sale/toyota/corolla-cross/year-2023"),'中古車掲載'!U182,"")</x:f>
      </x:c>
      <x:c r="BH181" s="3" t="str">
        <x:f>IF(AND('中古車掲載'!C182="One2car",'中古車掲載'!F182="DOLPHIN",'中古車掲載'!L182="STANDARD RANGE",'中古車掲載'!J182=2023,ISNUMBER('中古車掲載'!N182),'中古車掲載'!N182&gt;=20000,'中古車掲載'!O182&lt;=100000,'中古車掲載'!AL182=1),'中古車掲載'!U182,"")</x:f>
      </x:c>
      <x:c r="BI181" s="3" t="str">
        <x:v>Taladrod|ATTO 3|BEV|Unknown</x:v>
      </x:c>
      <x:c r="BJ181" s="3" t="n">
        <x:v>179</x:v>
      </x:c>
      <x:c r="BK181" s="3" t="n">
        <x:f>'中古車掲載'!AM179</x:f>
        <x:v>420000</x:v>
      </x:c>
      <x:c r="BL181" s="3" t="str">
        <x:f>IF(ISNUMBER('中古車掲載'!AN179),'中古車掲載'!AN179,"")</x:f>
      </x:c>
      <x:c r="BM181" s="3" t="str">
        <x:v>2022|Single cab</x:v>
      </x:c>
      <x:c r="BN181" s="3" t="n">
        <x:v>782</x:v>
      </x:c>
      <x:c r="BO181" s="3" t="n">
        <x:f>'中古車掲載'!AM782</x:f>
        <x:v>399000</x:v>
      </x:c>
      <x:c r="BP181" s="3" t="str">
        <x:v>2.4 ENTRY STANDARD CAB</x:v>
      </x:c>
      <x:c r="BQ181" s="3"/>
      <x:c r="BR181" s="3"/>
    </x:row>
    <x:row r="182" ht="22" customHeight="1">
      <x:c r="A182" s="3"/>
      <x:c r="B182" s="3"/>
      <x:c r="C182" s="3"/>
      <x:c r="D182" s="3"/>
      <x:c r="E182" s="3"/>
      <x:c r="F182" s="3"/>
      <x:c r="G182" s="3"/>
      <x:c r="H182" s="3"/>
      <x:c r="I182" s="3"/>
      <x:c r="J182" s="3"/>
      <x:c r="K182" s="3"/>
      <x:c r="L182" s="3"/>
      <x:c r="M182" s="3"/>
      <x:c r="N182" s="3"/>
      <x:c r="O182" s="3"/>
      <x:c r="P182" s="3"/>
      <x:c r="Q182" s="3"/>
      <x:c r="R182" s="3"/>
      <x:c r="S182" s="3"/>
      <x:c r="T182" s="3"/>
      <x:c r="U182" s="3"/>
      <x:c r="V182" s="3"/>
      <x:c r="W182" s="3"/>
      <x:c r="X182" s="3"/>
      <x:c r="Y182" s="3"/>
      <x:c r="Z182" s="3"/>
      <x:c r="AA182" s="3"/>
      <x:c r="AB182" s="3"/>
      <x:c r="AC182" s="3"/>
      <x:c r="AD182" s="3"/>
      <x:c r="AE182" s="3"/>
      <x:c r="AF182" s="3"/>
      <x:c r="AG182" s="3"/>
      <x:c r="AH182" s="3"/>
      <x:c r="AI182" s="3"/>
      <x:c r="AJ182" s="3"/>
      <x:c r="AK182" s="3"/>
      <x:c r="AL182" s="3"/>
      <x:c r="AM182" s="3"/>
      <x:c r="AN182" s="3"/>
      <x:c r="AO182" s="3"/>
      <x:c r="AP182" s="3"/>
      <x:c r="AQ182" s="3"/>
      <x:c r="AR182" s="3"/>
      <x:c r="AS182" s="3"/>
      <x:c r="AT182" s="3"/>
      <x:c r="AU182" s="3"/>
      <x:c r="AV182" s="3"/>
      <x:c r="AW182" s="3"/>
      <x:c r="AX182" s="3"/>
      <x:c r="AY182" s="3"/>
      <x:c r="AZ182" s="3" t="str">
        <x:f>IF(AND('中古車掲載'!C183="One2car",'中古車掲載'!F183="ATTO 3",'中古車掲載'!L183="EXTENDED RANGE",'中古車掲載'!J183=2023,ISNUMBER('中古車掲載'!N183),'中古車掲載'!N183&gt;=20000,'中古車掲載'!O183&lt;=100000,'中古車掲載'!AL183=1),'中古車掲載'!U183,"")</x:f>
      </x:c>
      <x:c r="BA182" s="3" t="str">
        <x:f>IF(AND('中古車掲載'!C183="One2car",'中古車掲載'!F183="Corolla Cross",'中古車掲載'!L183="HEV PREMIUM SAFETY",'中古車掲載'!J183=2023,ISNUMBER('中古車掲載'!N183),'中古車掲載'!N183&gt;=20000,'中古車掲載'!O183&lt;=100000,'中古車掲載'!AL183=1,'中古車掲載'!Z183="https://www.one2car.com/en/cars-for-sale/toyota/corolla-cross/year-2023"),'中古車掲載'!U183,"")</x:f>
      </x:c>
      <x:c r="BB182" s="3" t="str">
        <x:f>IF(AND('中古車掲載'!C183="One2car",'中古車掲載'!F183="ATTO 3",'中古車掲載'!L183="EXTENDED RANGE",'中古車掲載'!J183=2023,ISNUMBER('中古車掲載'!N183),'中古車掲載'!N183&gt;=50000,'中古車掲載'!O183&lt;=100000,'中古車掲載'!AL183=1),'中古車掲載'!U183,"")</x:f>
      </x:c>
      <x:c r="BC182" s="3" t="str">
        <x:f>IF(AND('中古車掲載'!C183="One2car",'中古車掲載'!F183="Corolla Cross",'中古車掲載'!L183="HEV PREMIUM SAFETY",'中古車掲載'!J183=2023,ISNUMBER('中古車掲載'!N183),'中古車掲載'!N183&gt;=50000,'中古車掲載'!O183&lt;=100000,'中古車掲載'!AL183=1,'中古車掲載'!Z183="https://www.one2car.com/en/cars-for-sale/toyota/corolla-cross/year-2023"),'中古車掲載'!U183,"")</x:f>
      </x:c>
      <x:c r="BD182" s="3" t="str">
        <x:f>IF(AND('中古車掲載'!C183="One2car",'中古車掲載'!F183="ATTO 3",'中古車掲載'!L183="EXTENDED RANGE",'中古車掲載'!J183=2023,ISNUMBER('中古車掲載'!N183),'中古車掲載'!N183&gt;=20000,'中古車掲載'!O183&lt;=50000,'中古車掲載'!AL183=1),'中古車掲載'!U183,"")</x:f>
      </x:c>
      <x:c r="BE182" s="3" t="str">
        <x:f>IF(AND('中古車掲載'!C183="One2car",'中古車掲載'!F183="Corolla Cross",'中古車掲載'!L183="HEV PREMIUM SAFETY",'中古車掲載'!J183=2023,ISNUMBER('中古車掲載'!N183),'中古車掲載'!N183&gt;=20000,'中古車掲載'!O183&lt;=50000,'中古車掲載'!AL183=1,'中古車掲載'!Z183="https://www.one2car.com/en/cars-for-sale/toyota/corolla-cross/year-2023"),'中古車掲載'!U183,"")</x:f>
      </x:c>
      <x:c r="BF182" s="3" t="str">
        <x:f>IF(AND('中古車掲載'!C183="One2car",'中古車掲載'!F183="Corolla Cross",'中古車掲載'!L183="HEV PREMIUM",'中古車掲載'!J183=2023,ISNUMBER('中古車掲載'!N183),'中古車掲載'!N183&gt;=20000,'中古車掲載'!O183&lt;=100000,'中古車掲載'!AL183=1,'中古車掲載'!Z183="https://www.one2car.com/en/cars-for-sale/toyota/corolla-cross/year-2023"),'中古車掲載'!U183,"")</x:f>
      </x:c>
      <x:c r="BG182" s="3" t="str">
        <x:f>IF(AND('中古車掲載'!C183="One2car",'中古車掲載'!F183="Corolla Cross",'中古車掲載'!L183="HEV GR SPORT",'中古車掲載'!J183=2023,ISNUMBER('中古車掲載'!N183),'中古車掲載'!N183&gt;=20000,'中古車掲載'!O183&lt;=100000,'中古車掲載'!AL183=1,'中古車掲載'!Z183="https://www.one2car.com/en/cars-for-sale/toyota/corolla-cross/year-2023"),'中古車掲載'!U183,"")</x:f>
      </x:c>
      <x:c r="BH182" s="3" t="str">
        <x:f>IF(AND('中古車掲載'!C183="One2car",'中古車掲載'!F183="DOLPHIN",'中古車掲載'!L183="STANDARD RANGE",'中古車掲載'!J183=2023,ISNUMBER('中古車掲載'!N183),'中古車掲載'!N183&gt;=20000,'中古車掲載'!O183&lt;=100000,'中古車掲載'!AL183=1),'中古車掲載'!U183,"")</x:f>
      </x:c>
      <x:c r="BI182" s="3" t="str">
        <x:v>Taladrod|ATTO 3|BEV|Unknown</x:v>
      </x:c>
      <x:c r="BJ182" s="3" t="n">
        <x:v>181</x:v>
      </x:c>
      <x:c r="BK182" s="3" t="n">
        <x:f>'中古車掲載'!AM181</x:f>
        <x:v>529000</x:v>
      </x:c>
      <x:c r="BL182" s="3" t="str">
        <x:f>IF(ISNUMBER('中古車掲載'!AN181),'中古車掲載'!AN181,"")</x:f>
      </x:c>
      <x:c r="BM182" s="3" t="str">
        <x:v>2022|Single cab</x:v>
      </x:c>
      <x:c r="BN182" s="3" t="n">
        <x:v>783</x:v>
      </x:c>
      <x:c r="BO182" s="3" t="n">
        <x:f>'中古車掲載'!AM783</x:f>
        <x:v>429000</x:v>
      </x:c>
      <x:c r="BP182" s="3" t="str">
        <x:v>2.4 ENTRY STANDARD CAB</x:v>
      </x:c>
      <x:c r="BQ182" s="3"/>
      <x:c r="BR182" s="3"/>
    </x:row>
    <x:row r="183" ht="22" customHeight="1">
      <x:c r="A183" s="3"/>
      <x:c r="B183" s="3"/>
      <x:c r="C183" s="3"/>
      <x:c r="D183" s="3"/>
      <x:c r="E183" s="3"/>
      <x:c r="F183" s="3"/>
      <x:c r="G183" s="3"/>
      <x:c r="H183" s="3"/>
      <x:c r="I183" s="3"/>
      <x:c r="J183" s="3"/>
      <x:c r="K183" s="3"/>
      <x:c r="L183" s="3"/>
      <x:c r="M183" s="3"/>
      <x:c r="N183" s="3"/>
      <x:c r="O183" s="3"/>
      <x:c r="P183" s="3"/>
      <x:c r="Q183" s="3"/>
      <x:c r="R183" s="3"/>
      <x:c r="S183" s="3"/>
      <x:c r="T183" s="3"/>
      <x:c r="U183" s="3"/>
      <x:c r="V183" s="3"/>
      <x:c r="W183" s="3"/>
      <x:c r="X183" s="3"/>
      <x:c r="Y183" s="3"/>
      <x:c r="Z183" s="3"/>
      <x:c r="AA183" s="3"/>
      <x:c r="AB183" s="3"/>
      <x:c r="AC183" s="3"/>
      <x:c r="AD183" s="3"/>
      <x:c r="AE183" s="3"/>
      <x:c r="AF183" s="3"/>
      <x:c r="AG183" s="3"/>
      <x:c r="AH183" s="3"/>
      <x:c r="AI183" s="3"/>
      <x:c r="AJ183" s="3"/>
      <x:c r="AK183" s="3"/>
      <x:c r="AL183" s="3"/>
      <x:c r="AM183" s="3"/>
      <x:c r="AN183" s="3"/>
      <x:c r="AO183" s="3"/>
      <x:c r="AP183" s="3"/>
      <x:c r="AQ183" s="3"/>
      <x:c r="AR183" s="3"/>
      <x:c r="AS183" s="3"/>
      <x:c r="AT183" s="3"/>
      <x:c r="AU183" s="3"/>
      <x:c r="AV183" s="3"/>
      <x:c r="AW183" s="3"/>
      <x:c r="AX183" s="3"/>
      <x:c r="AY183" s="3"/>
      <x:c r="AZ183" s="3" t="str">
        <x:f>IF(AND('中古車掲載'!C184="One2car",'中古車掲載'!F184="ATTO 3",'中古車掲載'!L184="EXTENDED RANGE",'中古車掲載'!J184=2023,ISNUMBER('中古車掲載'!N184),'中古車掲載'!N184&gt;=20000,'中古車掲載'!O184&lt;=100000,'中古車掲載'!AL184=1),'中古車掲載'!U184,"")</x:f>
      </x:c>
      <x:c r="BA183" s="3" t="str">
        <x:f>IF(AND('中古車掲載'!C184="One2car",'中古車掲載'!F184="Corolla Cross",'中古車掲載'!L184="HEV PREMIUM SAFETY",'中古車掲載'!J184=2023,ISNUMBER('中古車掲載'!N184),'中古車掲載'!N184&gt;=20000,'中古車掲載'!O184&lt;=100000,'中古車掲載'!AL184=1,'中古車掲載'!Z184="https://www.one2car.com/en/cars-for-sale/toyota/corolla-cross/year-2023"),'中古車掲載'!U184,"")</x:f>
      </x:c>
      <x:c r="BB183" s="3" t="str">
        <x:f>IF(AND('中古車掲載'!C184="One2car",'中古車掲載'!F184="ATTO 3",'中古車掲載'!L184="EXTENDED RANGE",'中古車掲載'!J184=2023,ISNUMBER('中古車掲載'!N184),'中古車掲載'!N184&gt;=50000,'中古車掲載'!O184&lt;=100000,'中古車掲載'!AL184=1),'中古車掲載'!U184,"")</x:f>
      </x:c>
      <x:c r="BC183" s="3" t="str">
        <x:f>IF(AND('中古車掲載'!C184="One2car",'中古車掲載'!F184="Corolla Cross",'中古車掲載'!L184="HEV PREMIUM SAFETY",'中古車掲載'!J184=2023,ISNUMBER('中古車掲載'!N184),'中古車掲載'!N184&gt;=50000,'中古車掲載'!O184&lt;=100000,'中古車掲載'!AL184=1,'中古車掲載'!Z184="https://www.one2car.com/en/cars-for-sale/toyota/corolla-cross/year-2023"),'中古車掲載'!U184,"")</x:f>
      </x:c>
      <x:c r="BD183" s="3" t="str">
        <x:f>IF(AND('中古車掲載'!C184="One2car",'中古車掲載'!F184="ATTO 3",'中古車掲載'!L184="EXTENDED RANGE",'中古車掲載'!J184=2023,ISNUMBER('中古車掲載'!N184),'中古車掲載'!N184&gt;=20000,'中古車掲載'!O184&lt;=50000,'中古車掲載'!AL184=1),'中古車掲載'!U184,"")</x:f>
      </x:c>
      <x:c r="BE183" s="3" t="str">
        <x:f>IF(AND('中古車掲載'!C184="One2car",'中古車掲載'!F184="Corolla Cross",'中古車掲載'!L184="HEV PREMIUM SAFETY",'中古車掲載'!J184=2023,ISNUMBER('中古車掲載'!N184),'中古車掲載'!N184&gt;=20000,'中古車掲載'!O184&lt;=50000,'中古車掲載'!AL184=1,'中古車掲載'!Z184="https://www.one2car.com/en/cars-for-sale/toyota/corolla-cross/year-2023"),'中古車掲載'!U184,"")</x:f>
      </x:c>
      <x:c r="BF183" s="3" t="str">
        <x:f>IF(AND('中古車掲載'!C184="One2car",'中古車掲載'!F184="Corolla Cross",'中古車掲載'!L184="HEV PREMIUM",'中古車掲載'!J184=2023,ISNUMBER('中古車掲載'!N184),'中古車掲載'!N184&gt;=20000,'中古車掲載'!O184&lt;=100000,'中古車掲載'!AL184=1,'中古車掲載'!Z184="https://www.one2car.com/en/cars-for-sale/toyota/corolla-cross/year-2023"),'中古車掲載'!U184,"")</x:f>
      </x:c>
      <x:c r="BG183" s="3" t="str">
        <x:f>IF(AND('中古車掲載'!C184="One2car",'中古車掲載'!F184="Corolla Cross",'中古車掲載'!L184="HEV GR SPORT",'中古車掲載'!J184=2023,ISNUMBER('中古車掲載'!N184),'中古車掲載'!N184&gt;=20000,'中古車掲載'!O184&lt;=100000,'中古車掲載'!AL184=1,'中古車掲載'!Z184="https://www.one2car.com/en/cars-for-sale/toyota/corolla-cross/year-2023"),'中古車掲載'!U184,"")</x:f>
      </x:c>
      <x:c r="BH183" s="3" t="str">
        <x:f>IF(AND('中古車掲載'!C184="One2car",'中古車掲載'!F184="DOLPHIN",'中古車掲載'!L184="STANDARD RANGE",'中古車掲載'!J184=2023,ISNUMBER('中古車掲載'!N184),'中古車掲載'!N184&gt;=20000,'中古車掲載'!O184&lt;=100000,'中古車掲載'!AL184=1),'中古車掲載'!U184,"")</x:f>
      </x:c>
      <x:c r="BI183" s="3" t="str">
        <x:v>Taladrod|ATTO 3|BEV|Unknown</x:v>
      </x:c>
      <x:c r="BJ183" s="3" t="n">
        <x:v>184</x:v>
      </x:c>
      <x:c r="BK183" s="3" t="str">
        <x:f>'中古車掲載'!AM184</x:f>
      </x:c>
      <x:c r="BL183" s="3" t="str">
        <x:f>IF(ISNUMBER('中古車掲載'!AN184),'中古車掲載'!AN184,"")</x:f>
      </x:c>
      <x:c r="BM183" s="3" t="str">
        <x:v>2022|Single cab</x:v>
      </x:c>
      <x:c r="BN183" s="3" t="n">
        <x:v>784</x:v>
      </x:c>
      <x:c r="BO183" s="3" t="n">
        <x:f>'中古車掲載'!AM784</x:f>
        <x:v>339000</x:v>
      </x:c>
      <x:c r="BP183" s="3" t="str">
        <x:v>2.4 ENTRY STANDARD CAB</x:v>
      </x:c>
      <x:c r="BQ183" s="3"/>
      <x:c r="BR183" s="3"/>
    </x:row>
    <x:row r="184" ht="22" customHeight="1">
      <x:c r="A184" s="3"/>
      <x:c r="B184" s="3"/>
      <x:c r="C184" s="3"/>
      <x:c r="D184" s="3"/>
      <x:c r="E184" s="3"/>
      <x:c r="F184" s="3"/>
      <x:c r="G184" s="3"/>
      <x:c r="H184" s="3"/>
      <x:c r="I184" s="3"/>
      <x:c r="J184" s="3"/>
      <x:c r="K184" s="3"/>
      <x:c r="L184" s="3"/>
      <x:c r="M184" s="3"/>
      <x:c r="N184" s="3"/>
      <x:c r="O184" s="3"/>
      <x:c r="P184" s="3"/>
      <x:c r="Q184" s="3"/>
      <x:c r="R184" s="3"/>
      <x:c r="S184" s="3"/>
      <x:c r="T184" s="3"/>
      <x:c r="U184" s="3"/>
      <x:c r="V184" s="3"/>
      <x:c r="W184" s="3"/>
      <x:c r="X184" s="3"/>
      <x:c r="Y184" s="3"/>
      <x:c r="Z184" s="3"/>
      <x:c r="AA184" s="3"/>
      <x:c r="AB184" s="3"/>
      <x:c r="AC184" s="3"/>
      <x:c r="AD184" s="3"/>
      <x:c r="AE184" s="3"/>
      <x:c r="AF184" s="3"/>
      <x:c r="AG184" s="3"/>
      <x:c r="AH184" s="3"/>
      <x:c r="AI184" s="3"/>
      <x:c r="AJ184" s="3"/>
      <x:c r="AK184" s="3"/>
      <x:c r="AL184" s="3"/>
      <x:c r="AM184" s="3"/>
      <x:c r="AN184" s="3"/>
      <x:c r="AO184" s="3"/>
      <x:c r="AP184" s="3"/>
      <x:c r="AQ184" s="3"/>
      <x:c r="AR184" s="3"/>
      <x:c r="AS184" s="3"/>
      <x:c r="AT184" s="3"/>
      <x:c r="AU184" s="3"/>
      <x:c r="AV184" s="3"/>
      <x:c r="AW184" s="3"/>
      <x:c r="AX184" s="3"/>
      <x:c r="AY184" s="3"/>
      <x:c r="AZ184" s="3" t="str">
        <x:f>IF(AND('中古車掲載'!C185="One2car",'中古車掲載'!F185="ATTO 3",'中古車掲載'!L185="EXTENDED RANGE",'中古車掲載'!J185=2023,ISNUMBER('中古車掲載'!N185),'中古車掲載'!N185&gt;=20000,'中古車掲載'!O185&lt;=100000,'中古車掲載'!AL185=1),'中古車掲載'!U185,"")</x:f>
      </x:c>
      <x:c r="BA184" s="3" t="str">
        <x:f>IF(AND('中古車掲載'!C185="One2car",'中古車掲載'!F185="Corolla Cross",'中古車掲載'!L185="HEV PREMIUM SAFETY",'中古車掲載'!J185=2023,ISNUMBER('中古車掲載'!N185),'中古車掲載'!N185&gt;=20000,'中古車掲載'!O185&lt;=100000,'中古車掲載'!AL185=1,'中古車掲載'!Z185="https://www.one2car.com/en/cars-for-sale/toyota/corolla-cross/year-2023"),'中古車掲載'!U185,"")</x:f>
      </x:c>
      <x:c r="BB184" s="3" t="str">
        <x:f>IF(AND('中古車掲載'!C185="One2car",'中古車掲載'!F185="ATTO 3",'中古車掲載'!L185="EXTENDED RANGE",'中古車掲載'!J185=2023,ISNUMBER('中古車掲載'!N185),'中古車掲載'!N185&gt;=50000,'中古車掲載'!O185&lt;=100000,'中古車掲載'!AL185=1),'中古車掲載'!U185,"")</x:f>
      </x:c>
      <x:c r="BC184" s="3" t="str">
        <x:f>IF(AND('中古車掲載'!C185="One2car",'中古車掲載'!F185="Corolla Cross",'中古車掲載'!L185="HEV PREMIUM SAFETY",'中古車掲載'!J185=2023,ISNUMBER('中古車掲載'!N185),'中古車掲載'!N185&gt;=50000,'中古車掲載'!O185&lt;=100000,'中古車掲載'!AL185=1,'中古車掲載'!Z185="https://www.one2car.com/en/cars-for-sale/toyota/corolla-cross/year-2023"),'中古車掲載'!U185,"")</x:f>
      </x:c>
      <x:c r="BD184" s="3" t="str">
        <x:f>IF(AND('中古車掲載'!C185="One2car",'中古車掲載'!F185="ATTO 3",'中古車掲載'!L185="EXTENDED RANGE",'中古車掲載'!J185=2023,ISNUMBER('中古車掲載'!N185),'中古車掲載'!N185&gt;=20000,'中古車掲載'!O185&lt;=50000,'中古車掲載'!AL185=1),'中古車掲載'!U185,"")</x:f>
      </x:c>
      <x:c r="BE184" s="3" t="str">
        <x:f>IF(AND('中古車掲載'!C185="One2car",'中古車掲載'!F185="Corolla Cross",'中古車掲載'!L185="HEV PREMIUM SAFETY",'中古車掲載'!J185=2023,ISNUMBER('中古車掲載'!N185),'中古車掲載'!N185&gt;=20000,'中古車掲載'!O185&lt;=50000,'中古車掲載'!AL185=1,'中古車掲載'!Z185="https://www.one2car.com/en/cars-for-sale/toyota/corolla-cross/year-2023"),'中古車掲載'!U185,"")</x:f>
      </x:c>
      <x:c r="BF184" s="3" t="str">
        <x:f>IF(AND('中古車掲載'!C185="One2car",'中古車掲載'!F185="Corolla Cross",'中古車掲載'!L185="HEV PREMIUM",'中古車掲載'!J185=2023,ISNUMBER('中古車掲載'!N185),'中古車掲載'!N185&gt;=20000,'中古車掲載'!O185&lt;=100000,'中古車掲載'!AL185=1,'中古車掲載'!Z185="https://www.one2car.com/en/cars-for-sale/toyota/corolla-cross/year-2023"),'中古車掲載'!U185,"")</x:f>
      </x:c>
      <x:c r="BG184" s="3" t="str">
        <x:f>IF(AND('中古車掲載'!C185="One2car",'中古車掲載'!F185="Corolla Cross",'中古車掲載'!L185="HEV GR SPORT",'中古車掲載'!J185=2023,ISNUMBER('中古車掲載'!N185),'中古車掲載'!N185&gt;=20000,'中古車掲載'!O185&lt;=100000,'中古車掲載'!AL185=1,'中古車掲載'!Z185="https://www.one2car.com/en/cars-for-sale/toyota/corolla-cross/year-2023"),'中古車掲載'!U185,"")</x:f>
      </x:c>
      <x:c r="BH184" s="3" t="str">
        <x:f>IF(AND('中古車掲載'!C185="One2car",'中古車掲載'!F185="DOLPHIN",'中古車掲載'!L185="STANDARD RANGE",'中古車掲載'!J185=2023,ISNUMBER('中古車掲載'!N185),'中古車掲載'!N185&gt;=20000,'中古車掲載'!O185&lt;=100000,'中古車掲載'!AL185=1),'中古車掲載'!U185,"")</x:f>
      </x:c>
      <x:c r="BI184" s="3" t="str">
        <x:v>Taladrod|Corolla Altis|HEV|Unknown</x:v>
      </x:c>
      <x:c r="BJ184" s="3" t="n">
        <x:v>185</x:v>
      </x:c>
      <x:c r="BK184" s="3" t="n">
        <x:f>'中古車掲載'!AM185</x:f>
        <x:v>479000</x:v>
      </x:c>
      <x:c r="BL184" s="3" t="str">
        <x:f>IF(ISNUMBER('中古車掲載'!AN185),'中古車掲載'!AN185,"")</x:f>
      </x:c>
      <x:c r="BM184" s="3" t="str">
        <x:v>2022|Single cab</x:v>
      </x:c>
      <x:c r="BN184" s="3" t="n">
        <x:v>785</x:v>
      </x:c>
      <x:c r="BO184" s="3" t="n">
        <x:f>'中古車掲載'!AM785</x:f>
        <x:v>459000</x:v>
      </x:c>
      <x:c r="BP184" s="3" t="str">
        <x:v>2.4 ENTRY STANDARD CAB</x:v>
      </x:c>
      <x:c r="BQ184" s="3"/>
      <x:c r="BR184" s="3"/>
    </x:row>
    <x:row r="185" ht="22" customHeight="1">
      <x:c r="A185" s="3"/>
      <x:c r="B185" s="3"/>
      <x:c r="C185" s="3"/>
      <x:c r="D185" s="3"/>
      <x:c r="E185" s="3"/>
      <x:c r="F185" s="3"/>
      <x:c r="G185" s="3"/>
      <x:c r="H185" s="3"/>
      <x:c r="I185" s="3"/>
      <x:c r="J185" s="3"/>
      <x:c r="K185" s="3"/>
      <x:c r="L185" s="3"/>
      <x:c r="M185" s="3"/>
      <x:c r="N185" s="3"/>
      <x:c r="O185" s="3"/>
      <x:c r="P185" s="3"/>
      <x:c r="Q185" s="3"/>
      <x:c r="R185" s="3"/>
      <x:c r="S185" s="3"/>
      <x:c r="T185" s="3"/>
      <x:c r="U185" s="3"/>
      <x:c r="V185" s="3"/>
      <x:c r="W185" s="3"/>
      <x:c r="X185" s="3"/>
      <x:c r="Y185" s="3"/>
      <x:c r="Z185" s="3"/>
      <x:c r="AA185" s="3"/>
      <x:c r="AB185" s="3"/>
      <x:c r="AC185" s="3"/>
      <x:c r="AD185" s="3"/>
      <x:c r="AE185" s="3"/>
      <x:c r="AF185" s="3"/>
      <x:c r="AG185" s="3"/>
      <x:c r="AH185" s="3"/>
      <x:c r="AI185" s="3"/>
      <x:c r="AJ185" s="3"/>
      <x:c r="AK185" s="3"/>
      <x:c r="AL185" s="3"/>
      <x:c r="AM185" s="3"/>
      <x:c r="AN185" s="3"/>
      <x:c r="AO185" s="3"/>
      <x:c r="AP185" s="3"/>
      <x:c r="AQ185" s="3"/>
      <x:c r="AR185" s="3"/>
      <x:c r="AS185" s="3"/>
      <x:c r="AT185" s="3"/>
      <x:c r="AU185" s="3"/>
      <x:c r="AV185" s="3"/>
      <x:c r="AW185" s="3"/>
      <x:c r="AX185" s="3"/>
      <x:c r="AY185" s="3"/>
      <x:c r="AZ185" s="3" t="str">
        <x:f>IF(AND('中古車掲載'!C186="One2car",'中古車掲載'!F186="ATTO 3",'中古車掲載'!L186="EXTENDED RANGE",'中古車掲載'!J186=2023,ISNUMBER('中古車掲載'!N186),'中古車掲載'!N186&gt;=20000,'中古車掲載'!O186&lt;=100000,'中古車掲載'!AL186=1),'中古車掲載'!U186,"")</x:f>
      </x:c>
      <x:c r="BA185" s="3" t="str">
        <x:f>IF(AND('中古車掲載'!C186="One2car",'中古車掲載'!F186="Corolla Cross",'中古車掲載'!L186="HEV PREMIUM SAFETY",'中古車掲載'!J186=2023,ISNUMBER('中古車掲載'!N186),'中古車掲載'!N186&gt;=20000,'中古車掲載'!O186&lt;=100000,'中古車掲載'!AL186=1,'中古車掲載'!Z186="https://www.one2car.com/en/cars-for-sale/toyota/corolla-cross/year-2023"),'中古車掲載'!U186,"")</x:f>
      </x:c>
      <x:c r="BB185" s="3" t="str">
        <x:f>IF(AND('中古車掲載'!C186="One2car",'中古車掲載'!F186="ATTO 3",'中古車掲載'!L186="EXTENDED RANGE",'中古車掲載'!J186=2023,ISNUMBER('中古車掲載'!N186),'中古車掲載'!N186&gt;=50000,'中古車掲載'!O186&lt;=100000,'中古車掲載'!AL186=1),'中古車掲載'!U186,"")</x:f>
      </x:c>
      <x:c r="BC185" s="3" t="str">
        <x:f>IF(AND('中古車掲載'!C186="One2car",'中古車掲載'!F186="Corolla Cross",'中古車掲載'!L186="HEV PREMIUM SAFETY",'中古車掲載'!J186=2023,ISNUMBER('中古車掲載'!N186),'中古車掲載'!N186&gt;=50000,'中古車掲載'!O186&lt;=100000,'中古車掲載'!AL186=1,'中古車掲載'!Z186="https://www.one2car.com/en/cars-for-sale/toyota/corolla-cross/year-2023"),'中古車掲載'!U186,"")</x:f>
      </x:c>
      <x:c r="BD185" s="3" t="str">
        <x:f>IF(AND('中古車掲載'!C186="One2car",'中古車掲載'!F186="ATTO 3",'中古車掲載'!L186="EXTENDED RANGE",'中古車掲載'!J186=2023,ISNUMBER('中古車掲載'!N186),'中古車掲載'!N186&gt;=20000,'中古車掲載'!O186&lt;=50000,'中古車掲載'!AL186=1),'中古車掲載'!U186,"")</x:f>
      </x:c>
      <x:c r="BE185" s="3" t="str">
        <x:f>IF(AND('中古車掲載'!C186="One2car",'中古車掲載'!F186="Corolla Cross",'中古車掲載'!L186="HEV PREMIUM SAFETY",'中古車掲載'!J186=2023,ISNUMBER('中古車掲載'!N186),'中古車掲載'!N186&gt;=20000,'中古車掲載'!O186&lt;=50000,'中古車掲載'!AL186=1,'中古車掲載'!Z186="https://www.one2car.com/en/cars-for-sale/toyota/corolla-cross/year-2023"),'中古車掲載'!U186,"")</x:f>
      </x:c>
      <x:c r="BF185" s="3" t="str">
        <x:f>IF(AND('中古車掲載'!C186="One2car",'中古車掲載'!F186="Corolla Cross",'中古車掲載'!L186="HEV PREMIUM",'中古車掲載'!J186=2023,ISNUMBER('中古車掲載'!N186),'中古車掲載'!N186&gt;=20000,'中古車掲載'!O186&lt;=100000,'中古車掲載'!AL186=1,'中古車掲載'!Z186="https://www.one2car.com/en/cars-for-sale/toyota/corolla-cross/year-2023"),'中古車掲載'!U186,"")</x:f>
      </x:c>
      <x:c r="BG185" s="3" t="str">
        <x:f>IF(AND('中古車掲載'!C186="One2car",'中古車掲載'!F186="Corolla Cross",'中古車掲載'!L186="HEV GR SPORT",'中古車掲載'!J186=2023,ISNUMBER('中古車掲載'!N186),'中古車掲載'!N186&gt;=20000,'中古車掲載'!O186&lt;=100000,'中古車掲載'!AL186=1,'中古車掲載'!Z186="https://www.one2car.com/en/cars-for-sale/toyota/corolla-cross/year-2023"),'中古車掲載'!U186,"")</x:f>
      </x:c>
      <x:c r="BH185" s="3" t="str">
        <x:f>IF(AND('中古車掲載'!C186="One2car",'中古車掲載'!F186="DOLPHIN",'中古車掲載'!L186="STANDARD RANGE",'中古車掲載'!J186=2023,ISNUMBER('中古車掲載'!N186),'中古車掲載'!N186&gt;=20000,'中古車掲載'!O186&lt;=100000,'中古車掲載'!AL186=1),'中古車掲載'!U186,"")</x:f>
      </x:c>
      <x:c r="BI185" s="3" t="str">
        <x:v>Taladrod|Corolla Altis|HEV|Unknown</x:v>
      </x:c>
      <x:c r="BJ185" s="3" t="n">
        <x:v>186</x:v>
      </x:c>
      <x:c r="BK185" s="3" t="n">
        <x:f>'中古車掲載'!AM186</x:f>
        <x:v>459000</x:v>
      </x:c>
      <x:c r="BL185" s="3" t="str">
        <x:f>IF(ISNUMBER('中古車掲載'!AN186),'中古車掲載'!AN186,"")</x:f>
      </x:c>
      <x:c r="BM185" s="3" t="str">
        <x:v>2022|Single cab</x:v>
      </x:c>
      <x:c r="BN185" s="3" t="n">
        <x:v>786</x:v>
      </x:c>
      <x:c r="BO185" s="3" t="n">
        <x:f>'中古車掲載'!AM786</x:f>
        <x:v>400000</x:v>
      </x:c>
      <x:c r="BP185" s="3" t="str">
        <x:v>2.4 ENTRY STANDARD CAB</x:v>
      </x:c>
      <x:c r="BQ185" s="3"/>
      <x:c r="BR185" s="3"/>
    </x:row>
    <x:row r="186" ht="22" customHeight="1">
      <x:c r="A186" s="3"/>
      <x:c r="B186" s="3"/>
      <x:c r="C186" s="3"/>
      <x:c r="D186" s="3"/>
      <x:c r="E186" s="3"/>
      <x:c r="F186" s="3"/>
      <x:c r="G186" s="3"/>
      <x:c r="H186" s="3"/>
      <x:c r="I186" s="3"/>
      <x:c r="J186" s="3"/>
      <x:c r="K186" s="3"/>
      <x:c r="L186" s="3"/>
      <x:c r="M186" s="3"/>
      <x:c r="N186" s="3"/>
      <x:c r="O186" s="3"/>
      <x:c r="P186" s="3"/>
      <x:c r="Q186" s="3"/>
      <x:c r="R186" s="3"/>
      <x:c r="S186" s="3"/>
      <x:c r="T186" s="3"/>
      <x:c r="U186" s="3"/>
      <x:c r="V186" s="3"/>
      <x:c r="W186" s="3"/>
      <x:c r="X186" s="3"/>
      <x:c r="Y186" s="3"/>
      <x:c r="Z186" s="3"/>
      <x:c r="AA186" s="3"/>
      <x:c r="AB186" s="3"/>
      <x:c r="AC186" s="3"/>
      <x:c r="AD186" s="3"/>
      <x:c r="AE186" s="3"/>
      <x:c r="AF186" s="3"/>
      <x:c r="AG186" s="3"/>
      <x:c r="AH186" s="3"/>
      <x:c r="AI186" s="3"/>
      <x:c r="AJ186" s="3"/>
      <x:c r="AK186" s="3"/>
      <x:c r="AL186" s="3"/>
      <x:c r="AM186" s="3"/>
      <x:c r="AN186" s="3"/>
      <x:c r="AO186" s="3"/>
      <x:c r="AP186" s="3"/>
      <x:c r="AQ186" s="3"/>
      <x:c r="AR186" s="3"/>
      <x:c r="AS186" s="3"/>
      <x:c r="AT186" s="3"/>
      <x:c r="AU186" s="3"/>
      <x:c r="AV186" s="3"/>
      <x:c r="AW186" s="3"/>
      <x:c r="AX186" s="3"/>
      <x:c r="AY186" s="3"/>
      <x:c r="AZ186" s="3" t="str">
        <x:f>IF(AND('中古車掲載'!C187="One2car",'中古車掲載'!F187="ATTO 3",'中古車掲載'!L187="EXTENDED RANGE",'中古車掲載'!J187=2023,ISNUMBER('中古車掲載'!N187),'中古車掲載'!N187&gt;=20000,'中古車掲載'!O187&lt;=100000,'中古車掲載'!AL187=1),'中古車掲載'!U187,"")</x:f>
      </x:c>
      <x:c r="BA186" s="3" t="str">
        <x:f>IF(AND('中古車掲載'!C187="One2car",'中古車掲載'!F187="Corolla Cross",'中古車掲載'!L187="HEV PREMIUM SAFETY",'中古車掲載'!J187=2023,ISNUMBER('中古車掲載'!N187),'中古車掲載'!N187&gt;=20000,'中古車掲載'!O187&lt;=100000,'中古車掲載'!AL187=1,'中古車掲載'!Z187="https://www.one2car.com/en/cars-for-sale/toyota/corolla-cross/year-2023"),'中古車掲載'!U187,"")</x:f>
      </x:c>
      <x:c r="BB186" s="3" t="str">
        <x:f>IF(AND('中古車掲載'!C187="One2car",'中古車掲載'!F187="ATTO 3",'中古車掲載'!L187="EXTENDED RANGE",'中古車掲載'!J187=2023,ISNUMBER('中古車掲載'!N187),'中古車掲載'!N187&gt;=50000,'中古車掲載'!O187&lt;=100000,'中古車掲載'!AL187=1),'中古車掲載'!U187,"")</x:f>
      </x:c>
      <x:c r="BC186" s="3" t="str">
        <x:f>IF(AND('中古車掲載'!C187="One2car",'中古車掲載'!F187="Corolla Cross",'中古車掲載'!L187="HEV PREMIUM SAFETY",'中古車掲載'!J187=2023,ISNUMBER('中古車掲載'!N187),'中古車掲載'!N187&gt;=50000,'中古車掲載'!O187&lt;=100000,'中古車掲載'!AL187=1,'中古車掲載'!Z187="https://www.one2car.com/en/cars-for-sale/toyota/corolla-cross/year-2023"),'中古車掲載'!U187,"")</x:f>
      </x:c>
      <x:c r="BD186" s="3" t="str">
        <x:f>IF(AND('中古車掲載'!C187="One2car",'中古車掲載'!F187="ATTO 3",'中古車掲載'!L187="EXTENDED RANGE",'中古車掲載'!J187=2023,ISNUMBER('中古車掲載'!N187),'中古車掲載'!N187&gt;=20000,'中古車掲載'!O187&lt;=50000,'中古車掲載'!AL187=1),'中古車掲載'!U187,"")</x:f>
      </x:c>
      <x:c r="BE186" s="3" t="str">
        <x:f>IF(AND('中古車掲載'!C187="One2car",'中古車掲載'!F187="Corolla Cross",'中古車掲載'!L187="HEV PREMIUM SAFETY",'中古車掲載'!J187=2023,ISNUMBER('中古車掲載'!N187),'中古車掲載'!N187&gt;=20000,'中古車掲載'!O187&lt;=50000,'中古車掲載'!AL187=1,'中古車掲載'!Z187="https://www.one2car.com/en/cars-for-sale/toyota/corolla-cross/year-2023"),'中古車掲載'!U187,"")</x:f>
      </x:c>
      <x:c r="BF186" s="3" t="str">
        <x:f>IF(AND('中古車掲載'!C187="One2car",'中古車掲載'!F187="Corolla Cross",'中古車掲載'!L187="HEV PREMIUM",'中古車掲載'!J187=2023,ISNUMBER('中古車掲載'!N187),'中古車掲載'!N187&gt;=20000,'中古車掲載'!O187&lt;=100000,'中古車掲載'!AL187=1,'中古車掲載'!Z187="https://www.one2car.com/en/cars-for-sale/toyota/corolla-cross/year-2023"),'中古車掲載'!U187,"")</x:f>
      </x:c>
      <x:c r="BG186" s="3" t="str">
        <x:f>IF(AND('中古車掲載'!C187="One2car",'中古車掲載'!F187="Corolla Cross",'中古車掲載'!L187="HEV GR SPORT",'中古車掲載'!J187=2023,ISNUMBER('中古車掲載'!N187),'中古車掲載'!N187&gt;=20000,'中古車掲載'!O187&lt;=100000,'中古車掲載'!AL187=1,'中古車掲載'!Z187="https://www.one2car.com/en/cars-for-sale/toyota/corolla-cross/year-2023"),'中古車掲載'!U187,"")</x:f>
      </x:c>
      <x:c r="BH186" s="3" t="str">
        <x:f>IF(AND('中古車掲載'!C187="One2car",'中古車掲載'!F187="DOLPHIN",'中古車掲載'!L187="STANDARD RANGE",'中古車掲載'!J187=2023,ISNUMBER('中古車掲載'!N187),'中古車掲載'!N187&gt;=20000,'中古車掲載'!O187&lt;=100000,'中古車掲載'!AL187=1),'中古車掲載'!U187,"")</x:f>
      </x:c>
      <x:c r="BI186" s="3" t="str">
        <x:v>Taladrod|Corolla Altis|HEV|Unknown</x:v>
      </x:c>
      <x:c r="BJ186" s="3" t="n">
        <x:v>187</x:v>
      </x:c>
      <x:c r="BK186" s="3" t="n">
        <x:f>'中古車掲載'!AM187</x:f>
        <x:v>559000</x:v>
      </x:c>
      <x:c r="BL186" s="3" t="str">
        <x:f>IF(ISNUMBER('中古車掲載'!AN187),'中古車掲載'!AN187,"")</x:f>
      </x:c>
      <x:c r="BM186" s="3" t="str">
        <x:v>2022|Single cab</x:v>
      </x:c>
      <x:c r="BN186" s="3" t="n">
        <x:v>826</x:v>
      </x:c>
      <x:c r="BO186" s="3" t="n">
        <x:f>'中古車掲載'!AM826</x:f>
        <x:v>585000</x:v>
      </x:c>
      <x:c r="BP186" s="3" t="str">
        <x:v>2.8 ENTRY 4WD STANDARD CAB</x:v>
      </x:c>
      <x:c r="BQ186" s="3"/>
      <x:c r="BR186" s="3"/>
    </x:row>
    <x:row r="187" ht="22" customHeight="1">
      <x:c r="A187" s="3"/>
      <x:c r="B187" s="3"/>
      <x:c r="C187" s="3"/>
      <x:c r="D187" s="3"/>
      <x:c r="E187" s="3"/>
      <x:c r="F187" s="3"/>
      <x:c r="G187" s="3"/>
      <x:c r="H187" s="3"/>
      <x:c r="I187" s="3"/>
      <x:c r="J187" s="3"/>
      <x:c r="K187" s="3"/>
      <x:c r="L187" s="3"/>
      <x:c r="M187" s="3"/>
      <x:c r="N187" s="3"/>
      <x:c r="O187" s="3"/>
      <x:c r="P187" s="3"/>
      <x:c r="Q187" s="3"/>
      <x:c r="R187" s="3"/>
      <x:c r="S187" s="3"/>
      <x:c r="T187" s="3"/>
      <x:c r="U187" s="3"/>
      <x:c r="V187" s="3"/>
      <x:c r="W187" s="3"/>
      <x:c r="X187" s="3"/>
      <x:c r="Y187" s="3"/>
      <x:c r="Z187" s="3"/>
      <x:c r="AA187" s="3"/>
      <x:c r="AB187" s="3"/>
      <x:c r="AC187" s="3"/>
      <x:c r="AD187" s="3"/>
      <x:c r="AE187" s="3"/>
      <x:c r="AF187" s="3"/>
      <x:c r="AG187" s="3"/>
      <x:c r="AH187" s="3"/>
      <x:c r="AI187" s="3"/>
      <x:c r="AJ187" s="3"/>
      <x:c r="AK187" s="3"/>
      <x:c r="AL187" s="3"/>
      <x:c r="AM187" s="3"/>
      <x:c r="AN187" s="3"/>
      <x:c r="AO187" s="3"/>
      <x:c r="AP187" s="3"/>
      <x:c r="AQ187" s="3"/>
      <x:c r="AR187" s="3"/>
      <x:c r="AS187" s="3"/>
      <x:c r="AT187" s="3"/>
      <x:c r="AU187" s="3"/>
      <x:c r="AV187" s="3"/>
      <x:c r="AW187" s="3"/>
      <x:c r="AX187" s="3"/>
      <x:c r="AY187" s="3"/>
      <x:c r="AZ187" s="3" t="str">
        <x:f>IF(AND('中古車掲載'!C188="One2car",'中古車掲載'!F188="ATTO 3",'中古車掲載'!L188="EXTENDED RANGE",'中古車掲載'!J188=2023,ISNUMBER('中古車掲載'!N188),'中古車掲載'!N188&gt;=20000,'中古車掲載'!O188&lt;=100000,'中古車掲載'!AL188=1),'中古車掲載'!U188,"")</x:f>
      </x:c>
      <x:c r="BA187" s="3" t="str">
        <x:f>IF(AND('中古車掲載'!C188="One2car",'中古車掲載'!F188="Corolla Cross",'中古車掲載'!L188="HEV PREMIUM SAFETY",'中古車掲載'!J188=2023,ISNUMBER('中古車掲載'!N188),'中古車掲載'!N188&gt;=20000,'中古車掲載'!O188&lt;=100000,'中古車掲載'!AL188=1,'中古車掲載'!Z188="https://www.one2car.com/en/cars-for-sale/toyota/corolla-cross/year-2023"),'中古車掲載'!U188,"")</x:f>
      </x:c>
      <x:c r="BB187" s="3" t="str">
        <x:f>IF(AND('中古車掲載'!C188="One2car",'中古車掲載'!F188="ATTO 3",'中古車掲載'!L188="EXTENDED RANGE",'中古車掲載'!J188=2023,ISNUMBER('中古車掲載'!N188),'中古車掲載'!N188&gt;=50000,'中古車掲載'!O188&lt;=100000,'中古車掲載'!AL188=1),'中古車掲載'!U188,"")</x:f>
      </x:c>
      <x:c r="BC187" s="3" t="str">
        <x:f>IF(AND('中古車掲載'!C188="One2car",'中古車掲載'!F188="Corolla Cross",'中古車掲載'!L188="HEV PREMIUM SAFETY",'中古車掲載'!J188=2023,ISNUMBER('中古車掲載'!N188),'中古車掲載'!N188&gt;=50000,'中古車掲載'!O188&lt;=100000,'中古車掲載'!AL188=1,'中古車掲載'!Z188="https://www.one2car.com/en/cars-for-sale/toyota/corolla-cross/year-2023"),'中古車掲載'!U188,"")</x:f>
      </x:c>
      <x:c r="BD187" s="3" t="str">
        <x:f>IF(AND('中古車掲載'!C188="One2car",'中古車掲載'!F188="ATTO 3",'中古車掲載'!L188="EXTENDED RANGE",'中古車掲載'!J188=2023,ISNUMBER('中古車掲載'!N188),'中古車掲載'!N188&gt;=20000,'中古車掲載'!O188&lt;=50000,'中古車掲載'!AL188=1),'中古車掲載'!U188,"")</x:f>
      </x:c>
      <x:c r="BE187" s="3" t="str">
        <x:f>IF(AND('中古車掲載'!C188="One2car",'中古車掲載'!F188="Corolla Cross",'中古車掲載'!L188="HEV PREMIUM SAFETY",'中古車掲載'!J188=2023,ISNUMBER('中古車掲載'!N188),'中古車掲載'!N188&gt;=20000,'中古車掲載'!O188&lt;=50000,'中古車掲載'!AL188=1,'中古車掲載'!Z188="https://www.one2car.com/en/cars-for-sale/toyota/corolla-cross/year-2023"),'中古車掲載'!U188,"")</x:f>
      </x:c>
      <x:c r="BF187" s="3" t="str">
        <x:f>IF(AND('中古車掲載'!C188="One2car",'中古車掲載'!F188="Corolla Cross",'中古車掲載'!L188="HEV PREMIUM",'中古車掲載'!J188=2023,ISNUMBER('中古車掲載'!N188),'中古車掲載'!N188&gt;=20000,'中古車掲載'!O188&lt;=100000,'中古車掲載'!AL188=1,'中古車掲載'!Z188="https://www.one2car.com/en/cars-for-sale/toyota/corolla-cross/year-2023"),'中古車掲載'!U188,"")</x:f>
      </x:c>
      <x:c r="BG187" s="3" t="str">
        <x:f>IF(AND('中古車掲載'!C188="One2car",'中古車掲載'!F188="Corolla Cross",'中古車掲載'!L188="HEV GR SPORT",'中古車掲載'!J188=2023,ISNUMBER('中古車掲載'!N188),'中古車掲載'!N188&gt;=20000,'中古車掲載'!O188&lt;=100000,'中古車掲載'!AL188=1,'中古車掲載'!Z188="https://www.one2car.com/en/cars-for-sale/toyota/corolla-cross/year-2023"),'中古車掲載'!U188,"")</x:f>
      </x:c>
      <x:c r="BH187" s="3" t="str">
        <x:f>IF(AND('中古車掲載'!C188="One2car",'中古車掲載'!F188="DOLPHIN",'中古車掲載'!L188="STANDARD RANGE",'中古車掲載'!J188=2023,ISNUMBER('中古車掲載'!N188),'中古車掲載'!N188&gt;=20000,'中古車掲載'!O188&lt;=100000,'中古車掲載'!AL188=1),'中古車掲載'!U188,"")</x:f>
      </x:c>
      <x:c r="BI187" s="3" t="str">
        <x:v>Taladrod|Corolla Altis|HEV|Unknown</x:v>
      </x:c>
      <x:c r="BJ187" s="3" t="n">
        <x:v>188</x:v>
      </x:c>
      <x:c r="BK187" s="3" t="n">
        <x:f>'中古車掲載'!AM188</x:f>
        <x:v>499000</x:v>
      </x:c>
      <x:c r="BL187" s="3" t="str">
        <x:f>IF(ISNUMBER('中古車掲載'!AN188),'中古車掲載'!AN188,"")</x:f>
      </x:c>
      <x:c r="BM187" s="3" t="str">
        <x:v>2023|Double cab</x:v>
      </x:c>
      <x:c r="BN187" s="3" t="n">
        <x:v>831</x:v>
      </x:c>
      <x:c r="BO187" s="3" t="n">
        <x:f>'中古車掲載'!AM831</x:f>
        <x:v>639000</x:v>
      </x:c>
      <x:c r="BP187" s="3" t="str">
        <x:v>2.4 ENTRY PRERUNNER DOUBLE CAB</x:v>
      </x:c>
      <x:c r="BQ187" s="3"/>
      <x:c r="BR187" s="3"/>
    </x:row>
    <x:row r="188" ht="22" customHeight="1">
      <x:c r="A188" s="3"/>
      <x:c r="B188" s="3"/>
      <x:c r="C188" s="3"/>
      <x:c r="D188" s="3"/>
      <x:c r="E188" s="3"/>
      <x:c r="F188" s="3"/>
      <x:c r="G188" s="3"/>
      <x:c r="H188" s="3"/>
      <x:c r="I188" s="3"/>
      <x:c r="J188" s="3"/>
      <x:c r="K188" s="3"/>
      <x:c r="L188" s="3"/>
      <x:c r="M188" s="3"/>
      <x:c r="N188" s="3"/>
      <x:c r="O188" s="3"/>
      <x:c r="P188" s="3"/>
      <x:c r="Q188" s="3"/>
      <x:c r="R188" s="3"/>
      <x:c r="S188" s="3"/>
      <x:c r="T188" s="3"/>
      <x:c r="U188" s="3"/>
      <x:c r="V188" s="3"/>
      <x:c r="W188" s="3"/>
      <x:c r="X188" s="3"/>
      <x:c r="Y188" s="3"/>
      <x:c r="Z188" s="3"/>
      <x:c r="AA188" s="3"/>
      <x:c r="AB188" s="3"/>
      <x:c r="AC188" s="3"/>
      <x:c r="AD188" s="3"/>
      <x:c r="AE188" s="3"/>
      <x:c r="AF188" s="3"/>
      <x:c r="AG188" s="3"/>
      <x:c r="AH188" s="3"/>
      <x:c r="AI188" s="3"/>
      <x:c r="AJ188" s="3"/>
      <x:c r="AK188" s="3"/>
      <x:c r="AL188" s="3"/>
      <x:c r="AM188" s="3"/>
      <x:c r="AN188" s="3"/>
      <x:c r="AO188" s="3"/>
      <x:c r="AP188" s="3"/>
      <x:c r="AQ188" s="3"/>
      <x:c r="AR188" s="3"/>
      <x:c r="AS188" s="3"/>
      <x:c r="AT188" s="3"/>
      <x:c r="AU188" s="3"/>
      <x:c r="AV188" s="3"/>
      <x:c r="AW188" s="3"/>
      <x:c r="AX188" s="3"/>
      <x:c r="AY188" s="3"/>
      <x:c r="AZ188" s="3" t="str">
        <x:f>IF(AND('中古車掲載'!C189="One2car",'中古車掲載'!F189="ATTO 3",'中古車掲載'!L189="EXTENDED RANGE",'中古車掲載'!J189=2023,ISNUMBER('中古車掲載'!N189),'中古車掲載'!N189&gt;=20000,'中古車掲載'!O189&lt;=100000,'中古車掲載'!AL189=1),'中古車掲載'!U189,"")</x:f>
      </x:c>
      <x:c r="BA188" s="3" t="str">
        <x:f>IF(AND('中古車掲載'!C189="One2car",'中古車掲載'!F189="Corolla Cross",'中古車掲載'!L189="HEV PREMIUM SAFETY",'中古車掲載'!J189=2023,ISNUMBER('中古車掲載'!N189),'中古車掲載'!N189&gt;=20000,'中古車掲載'!O189&lt;=100000,'中古車掲載'!AL189=1,'中古車掲載'!Z189="https://www.one2car.com/en/cars-for-sale/toyota/corolla-cross/year-2023"),'中古車掲載'!U189,"")</x:f>
      </x:c>
      <x:c r="BB188" s="3" t="str">
        <x:f>IF(AND('中古車掲載'!C189="One2car",'中古車掲載'!F189="ATTO 3",'中古車掲載'!L189="EXTENDED RANGE",'中古車掲載'!J189=2023,ISNUMBER('中古車掲載'!N189),'中古車掲載'!N189&gt;=50000,'中古車掲載'!O189&lt;=100000,'中古車掲載'!AL189=1),'中古車掲載'!U189,"")</x:f>
      </x:c>
      <x:c r="BC188" s="3" t="str">
        <x:f>IF(AND('中古車掲載'!C189="One2car",'中古車掲載'!F189="Corolla Cross",'中古車掲載'!L189="HEV PREMIUM SAFETY",'中古車掲載'!J189=2023,ISNUMBER('中古車掲載'!N189),'中古車掲載'!N189&gt;=50000,'中古車掲載'!O189&lt;=100000,'中古車掲載'!AL189=1,'中古車掲載'!Z189="https://www.one2car.com/en/cars-for-sale/toyota/corolla-cross/year-2023"),'中古車掲載'!U189,"")</x:f>
      </x:c>
      <x:c r="BD188" s="3" t="str">
        <x:f>IF(AND('中古車掲載'!C189="One2car",'中古車掲載'!F189="ATTO 3",'中古車掲載'!L189="EXTENDED RANGE",'中古車掲載'!J189=2023,ISNUMBER('中古車掲載'!N189),'中古車掲載'!N189&gt;=20000,'中古車掲載'!O189&lt;=50000,'中古車掲載'!AL189=1),'中古車掲載'!U189,"")</x:f>
      </x:c>
      <x:c r="BE188" s="3" t="str">
        <x:f>IF(AND('中古車掲載'!C189="One2car",'中古車掲載'!F189="Corolla Cross",'中古車掲載'!L189="HEV PREMIUM SAFETY",'中古車掲載'!J189=2023,ISNUMBER('中古車掲載'!N189),'中古車掲載'!N189&gt;=20000,'中古車掲載'!O189&lt;=50000,'中古車掲載'!AL189=1,'中古車掲載'!Z189="https://www.one2car.com/en/cars-for-sale/toyota/corolla-cross/year-2023"),'中古車掲載'!U189,"")</x:f>
      </x:c>
      <x:c r="BF188" s="3" t="str">
        <x:f>IF(AND('中古車掲載'!C189="One2car",'中古車掲載'!F189="Corolla Cross",'中古車掲載'!L189="HEV PREMIUM",'中古車掲載'!J189=2023,ISNUMBER('中古車掲載'!N189),'中古車掲載'!N189&gt;=20000,'中古車掲載'!O189&lt;=100000,'中古車掲載'!AL189=1,'中古車掲載'!Z189="https://www.one2car.com/en/cars-for-sale/toyota/corolla-cross/year-2023"),'中古車掲載'!U189,"")</x:f>
      </x:c>
      <x:c r="BG188" s="3" t="str">
        <x:f>IF(AND('中古車掲載'!C189="One2car",'中古車掲載'!F189="Corolla Cross",'中古車掲載'!L189="HEV GR SPORT",'中古車掲載'!J189=2023,ISNUMBER('中古車掲載'!N189),'中古車掲載'!N189&gt;=20000,'中古車掲載'!O189&lt;=100000,'中古車掲載'!AL189=1,'中古車掲載'!Z189="https://www.one2car.com/en/cars-for-sale/toyota/corolla-cross/year-2023"),'中古車掲載'!U189,"")</x:f>
      </x:c>
      <x:c r="BH188" s="3" t="str">
        <x:f>IF(AND('中古車掲載'!C189="One2car",'中古車掲載'!F189="DOLPHIN",'中古車掲載'!L189="STANDARD RANGE",'中古車掲載'!J189=2023,ISNUMBER('中古車掲載'!N189),'中古車掲載'!N189&gt;=20000,'中古車掲載'!O189&lt;=100000,'中古車掲載'!AL189=1),'中古車掲載'!U189,"")</x:f>
      </x:c>
      <x:c r="BI188" s="3" t="str">
        <x:v>Taladrod|Corolla Altis|HEV|Unknown</x:v>
      </x:c>
      <x:c r="BJ188" s="3" t="n">
        <x:v>189</x:v>
      </x:c>
      <x:c r="BK188" s="3" t="n">
        <x:f>'中古車掲載'!AM189</x:f>
        <x:v>469000</x:v>
      </x:c>
      <x:c r="BL188" s="3" t="str">
        <x:f>IF(ISNUMBER('中古車掲載'!AN189),'中古車掲載'!AN189,"")</x:f>
      </x:c>
      <x:c r="BM188" s="3" t="str">
        <x:v>2023|Double cab</x:v>
      </x:c>
      <x:c r="BN188" s="3" t="n">
        <x:v>832</x:v>
      </x:c>
      <x:c r="BO188" s="3" t="n">
        <x:f>'中古車掲載'!AM832</x:f>
        <x:v>628000</x:v>
      </x:c>
      <x:c r="BP188" s="3" t="str">
        <x:v>2.4 ENTRY PRERUNNER DOUBLE CAB</x:v>
      </x:c>
      <x:c r="BQ188" s="3"/>
      <x:c r="BR188" s="3"/>
    </x:row>
    <x:row r="189" ht="22" customHeight="1">
      <x:c r="A189" s="3"/>
      <x:c r="B189" s="3"/>
      <x:c r="C189" s="3"/>
      <x:c r="D189" s="3"/>
      <x:c r="E189" s="3"/>
      <x:c r="F189" s="3"/>
      <x:c r="G189" s="3"/>
      <x:c r="H189" s="3"/>
      <x:c r="I189" s="3"/>
      <x:c r="J189" s="3"/>
      <x:c r="K189" s="3"/>
      <x:c r="L189" s="3"/>
      <x:c r="M189" s="3"/>
      <x:c r="N189" s="3"/>
      <x:c r="O189" s="3"/>
      <x:c r="P189" s="3"/>
      <x:c r="Q189" s="3"/>
      <x:c r="R189" s="3"/>
      <x:c r="S189" s="3"/>
      <x:c r="T189" s="3"/>
      <x:c r="U189" s="3"/>
      <x:c r="V189" s="3"/>
      <x:c r="W189" s="3"/>
      <x:c r="X189" s="3"/>
      <x:c r="Y189" s="3"/>
      <x:c r="Z189" s="3"/>
      <x:c r="AA189" s="3"/>
      <x:c r="AB189" s="3"/>
      <x:c r="AC189" s="3"/>
      <x:c r="AD189" s="3"/>
      <x:c r="AE189" s="3"/>
      <x:c r="AF189" s="3"/>
      <x:c r="AG189" s="3"/>
      <x:c r="AH189" s="3"/>
      <x:c r="AI189" s="3"/>
      <x:c r="AJ189" s="3"/>
      <x:c r="AK189" s="3"/>
      <x:c r="AL189" s="3"/>
      <x:c r="AM189" s="3"/>
      <x:c r="AN189" s="3"/>
      <x:c r="AO189" s="3"/>
      <x:c r="AP189" s="3"/>
      <x:c r="AQ189" s="3"/>
      <x:c r="AR189" s="3"/>
      <x:c r="AS189" s="3"/>
      <x:c r="AT189" s="3"/>
      <x:c r="AU189" s="3"/>
      <x:c r="AV189" s="3"/>
      <x:c r="AW189" s="3"/>
      <x:c r="AX189" s="3"/>
      <x:c r="AY189" s="3"/>
      <x:c r="AZ189" s="3" t="str">
        <x:f>IF(AND('中古車掲載'!C190="One2car",'中古車掲載'!F190="ATTO 3",'中古車掲載'!L190="EXTENDED RANGE",'中古車掲載'!J190=2023,ISNUMBER('中古車掲載'!N190),'中古車掲載'!N190&gt;=20000,'中古車掲載'!O190&lt;=100000,'中古車掲載'!AL190=1),'中古車掲載'!U190,"")</x:f>
      </x:c>
      <x:c r="BA189" s="3" t="str">
        <x:f>IF(AND('中古車掲載'!C190="One2car",'中古車掲載'!F190="Corolla Cross",'中古車掲載'!L190="HEV PREMIUM SAFETY",'中古車掲載'!J190=2023,ISNUMBER('中古車掲載'!N190),'中古車掲載'!N190&gt;=20000,'中古車掲載'!O190&lt;=100000,'中古車掲載'!AL190=1,'中古車掲載'!Z190="https://www.one2car.com/en/cars-for-sale/toyota/corolla-cross/year-2023"),'中古車掲載'!U190,"")</x:f>
      </x:c>
      <x:c r="BB189" s="3" t="str">
        <x:f>IF(AND('中古車掲載'!C190="One2car",'中古車掲載'!F190="ATTO 3",'中古車掲載'!L190="EXTENDED RANGE",'中古車掲載'!J190=2023,ISNUMBER('中古車掲載'!N190),'中古車掲載'!N190&gt;=50000,'中古車掲載'!O190&lt;=100000,'中古車掲載'!AL190=1),'中古車掲載'!U190,"")</x:f>
      </x:c>
      <x:c r="BC189" s="3" t="str">
        <x:f>IF(AND('中古車掲載'!C190="One2car",'中古車掲載'!F190="Corolla Cross",'中古車掲載'!L190="HEV PREMIUM SAFETY",'中古車掲載'!J190=2023,ISNUMBER('中古車掲載'!N190),'中古車掲載'!N190&gt;=50000,'中古車掲載'!O190&lt;=100000,'中古車掲載'!AL190=1,'中古車掲載'!Z190="https://www.one2car.com/en/cars-for-sale/toyota/corolla-cross/year-2023"),'中古車掲載'!U190,"")</x:f>
      </x:c>
      <x:c r="BD189" s="3" t="str">
        <x:f>IF(AND('中古車掲載'!C190="One2car",'中古車掲載'!F190="ATTO 3",'中古車掲載'!L190="EXTENDED RANGE",'中古車掲載'!J190=2023,ISNUMBER('中古車掲載'!N190),'中古車掲載'!N190&gt;=20000,'中古車掲載'!O190&lt;=50000,'中古車掲載'!AL190=1),'中古車掲載'!U190,"")</x:f>
      </x:c>
      <x:c r="BE189" s="3" t="str">
        <x:f>IF(AND('中古車掲載'!C190="One2car",'中古車掲載'!F190="Corolla Cross",'中古車掲載'!L190="HEV PREMIUM SAFETY",'中古車掲載'!J190=2023,ISNUMBER('中古車掲載'!N190),'中古車掲載'!N190&gt;=20000,'中古車掲載'!O190&lt;=50000,'中古車掲載'!AL190=1,'中古車掲載'!Z190="https://www.one2car.com/en/cars-for-sale/toyota/corolla-cross/year-2023"),'中古車掲載'!U190,"")</x:f>
      </x:c>
      <x:c r="BF189" s="3" t="str">
        <x:f>IF(AND('中古車掲載'!C190="One2car",'中古車掲載'!F190="Corolla Cross",'中古車掲載'!L190="HEV PREMIUM",'中古車掲載'!J190=2023,ISNUMBER('中古車掲載'!N190),'中古車掲載'!N190&gt;=20000,'中古車掲載'!O190&lt;=100000,'中古車掲載'!AL190=1,'中古車掲載'!Z190="https://www.one2car.com/en/cars-for-sale/toyota/corolla-cross/year-2023"),'中古車掲載'!U190,"")</x:f>
      </x:c>
      <x:c r="BG189" s="3" t="str">
        <x:f>IF(AND('中古車掲載'!C190="One2car",'中古車掲載'!F190="Corolla Cross",'中古車掲載'!L190="HEV GR SPORT",'中古車掲載'!J190=2023,ISNUMBER('中古車掲載'!N190),'中古車掲載'!N190&gt;=20000,'中古車掲載'!O190&lt;=100000,'中古車掲載'!AL190=1,'中古車掲載'!Z190="https://www.one2car.com/en/cars-for-sale/toyota/corolla-cross/year-2023"),'中古車掲載'!U190,"")</x:f>
      </x:c>
      <x:c r="BH189" s="3" t="str">
        <x:f>IF(AND('中古車掲載'!C190="One2car",'中古車掲載'!F190="DOLPHIN",'中古車掲載'!L190="STANDARD RANGE",'中古車掲載'!J190=2023,ISNUMBER('中古車掲載'!N190),'中古車掲載'!N190&gt;=20000,'中古車掲載'!O190&lt;=100000,'中古車掲載'!AL190=1),'中古車掲載'!U190,"")</x:f>
      </x:c>
      <x:c r="BI189" s="3" t="str">
        <x:v>Taladrod|Corolla Altis|HEV|Unknown</x:v>
      </x:c>
      <x:c r="BJ189" s="3" t="n">
        <x:v>190</x:v>
      </x:c>
      <x:c r="BK189" s="3" t="n">
        <x:f>'中古車掲載'!AM190</x:f>
        <x:v>499000</x:v>
      </x:c>
      <x:c r="BL189" s="3" t="str">
        <x:f>IF(ISNUMBER('中古車掲載'!AN190),'中古車掲載'!AN190,"")</x:f>
      </x:c>
      <x:c r="BM189" s="3" t="str">
        <x:v>2023|Double cab</x:v>
      </x:c>
      <x:c r="BN189" s="3" t="n">
        <x:v>840</x:v>
      </x:c>
      <x:c r="BO189" s="3" t="n">
        <x:f>'中古車掲載'!AM840</x:f>
        <x:v>515000</x:v>
      </x:c>
      <x:c r="BP189" s="3" t="str">
        <x:v>2.4 ENTRY Z EDITION DOUBLE CAB</x:v>
      </x:c>
      <x:c r="BQ189" s="3"/>
      <x:c r="BR189" s="3"/>
    </x:row>
    <x:row r="190" ht="22" customHeight="1">
      <x:c r="A190" s="3"/>
      <x:c r="B190" s="3"/>
      <x:c r="C190" s="3"/>
      <x:c r="D190" s="3"/>
      <x:c r="E190" s="3"/>
      <x:c r="F190" s="3"/>
      <x:c r="G190" s="3"/>
      <x:c r="H190" s="3"/>
      <x:c r="I190" s="3"/>
      <x:c r="J190" s="3"/>
      <x:c r="K190" s="3"/>
      <x:c r="L190" s="3"/>
      <x:c r="M190" s="3"/>
      <x:c r="N190" s="3"/>
      <x:c r="O190" s="3"/>
      <x:c r="P190" s="3"/>
      <x:c r="Q190" s="3"/>
      <x:c r="R190" s="3"/>
      <x:c r="S190" s="3"/>
      <x:c r="T190" s="3"/>
      <x:c r="U190" s="3"/>
      <x:c r="V190" s="3"/>
      <x:c r="W190" s="3"/>
      <x:c r="X190" s="3"/>
      <x:c r="Y190" s="3"/>
      <x:c r="Z190" s="3"/>
      <x:c r="AA190" s="3"/>
      <x:c r="AB190" s="3"/>
      <x:c r="AC190" s="3"/>
      <x:c r="AD190" s="3"/>
      <x:c r="AE190" s="3"/>
      <x:c r="AF190" s="3"/>
      <x:c r="AG190" s="3"/>
      <x:c r="AH190" s="3"/>
      <x:c r="AI190" s="3"/>
      <x:c r="AJ190" s="3"/>
      <x:c r="AK190" s="3"/>
      <x:c r="AL190" s="3"/>
      <x:c r="AM190" s="3"/>
      <x:c r="AN190" s="3"/>
      <x:c r="AO190" s="3"/>
      <x:c r="AP190" s="3"/>
      <x:c r="AQ190" s="3"/>
      <x:c r="AR190" s="3"/>
      <x:c r="AS190" s="3"/>
      <x:c r="AT190" s="3"/>
      <x:c r="AU190" s="3"/>
      <x:c r="AV190" s="3"/>
      <x:c r="AW190" s="3"/>
      <x:c r="AX190" s="3"/>
      <x:c r="AY190" s="3"/>
      <x:c r="AZ190" s="3" t="str">
        <x:f>IF(AND('中古車掲載'!C191="One2car",'中古車掲載'!F191="ATTO 3",'中古車掲載'!L191="EXTENDED RANGE",'中古車掲載'!J191=2023,ISNUMBER('中古車掲載'!N191),'中古車掲載'!N191&gt;=20000,'中古車掲載'!O191&lt;=100000,'中古車掲載'!AL191=1),'中古車掲載'!U191,"")</x:f>
      </x:c>
      <x:c r="BA190" s="3" t="str">
        <x:f>IF(AND('中古車掲載'!C191="One2car",'中古車掲載'!F191="Corolla Cross",'中古車掲載'!L191="HEV PREMIUM SAFETY",'中古車掲載'!J191=2023,ISNUMBER('中古車掲載'!N191),'中古車掲載'!N191&gt;=20000,'中古車掲載'!O191&lt;=100000,'中古車掲載'!AL191=1,'中古車掲載'!Z191="https://www.one2car.com/en/cars-for-sale/toyota/corolla-cross/year-2023"),'中古車掲載'!U191,"")</x:f>
      </x:c>
      <x:c r="BB190" s="3" t="str">
        <x:f>IF(AND('中古車掲載'!C191="One2car",'中古車掲載'!F191="ATTO 3",'中古車掲載'!L191="EXTENDED RANGE",'中古車掲載'!J191=2023,ISNUMBER('中古車掲載'!N191),'中古車掲載'!N191&gt;=50000,'中古車掲載'!O191&lt;=100000,'中古車掲載'!AL191=1),'中古車掲載'!U191,"")</x:f>
      </x:c>
      <x:c r="BC190" s="3" t="str">
        <x:f>IF(AND('中古車掲載'!C191="One2car",'中古車掲載'!F191="Corolla Cross",'中古車掲載'!L191="HEV PREMIUM SAFETY",'中古車掲載'!J191=2023,ISNUMBER('中古車掲載'!N191),'中古車掲載'!N191&gt;=50000,'中古車掲載'!O191&lt;=100000,'中古車掲載'!AL191=1,'中古車掲載'!Z191="https://www.one2car.com/en/cars-for-sale/toyota/corolla-cross/year-2023"),'中古車掲載'!U191,"")</x:f>
      </x:c>
      <x:c r="BD190" s="3" t="str">
        <x:f>IF(AND('中古車掲載'!C191="One2car",'中古車掲載'!F191="ATTO 3",'中古車掲載'!L191="EXTENDED RANGE",'中古車掲載'!J191=2023,ISNUMBER('中古車掲載'!N191),'中古車掲載'!N191&gt;=20000,'中古車掲載'!O191&lt;=50000,'中古車掲載'!AL191=1),'中古車掲載'!U191,"")</x:f>
      </x:c>
      <x:c r="BE190" s="3" t="str">
        <x:f>IF(AND('中古車掲載'!C191="One2car",'中古車掲載'!F191="Corolla Cross",'中古車掲載'!L191="HEV PREMIUM SAFETY",'中古車掲載'!J191=2023,ISNUMBER('中古車掲載'!N191),'中古車掲載'!N191&gt;=20000,'中古車掲載'!O191&lt;=50000,'中古車掲載'!AL191=1,'中古車掲載'!Z191="https://www.one2car.com/en/cars-for-sale/toyota/corolla-cross/year-2023"),'中古車掲載'!U191,"")</x:f>
      </x:c>
      <x:c r="BF190" s="3" t="str">
        <x:f>IF(AND('中古車掲載'!C191="One2car",'中古車掲載'!F191="Corolla Cross",'中古車掲載'!L191="HEV PREMIUM",'中古車掲載'!J191=2023,ISNUMBER('中古車掲載'!N191),'中古車掲載'!N191&gt;=20000,'中古車掲載'!O191&lt;=100000,'中古車掲載'!AL191=1,'中古車掲載'!Z191="https://www.one2car.com/en/cars-for-sale/toyota/corolla-cross/year-2023"),'中古車掲載'!U191,"")</x:f>
      </x:c>
      <x:c r="BG190" s="3" t="str">
        <x:f>IF(AND('中古車掲載'!C191="One2car",'中古車掲載'!F191="Corolla Cross",'中古車掲載'!L191="HEV GR SPORT",'中古車掲載'!J191=2023,ISNUMBER('中古車掲載'!N191),'中古車掲載'!N191&gt;=20000,'中古車掲載'!O191&lt;=100000,'中古車掲載'!AL191=1,'中古車掲載'!Z191="https://www.one2car.com/en/cars-for-sale/toyota/corolla-cross/year-2023"),'中古車掲載'!U191,"")</x:f>
      </x:c>
      <x:c r="BH190" s="3" t="str">
        <x:f>IF(AND('中古車掲載'!C191="One2car",'中古車掲載'!F191="DOLPHIN",'中古車掲載'!L191="STANDARD RANGE",'中古車掲載'!J191=2023,ISNUMBER('中古車掲載'!N191),'中古車掲載'!N191&gt;=20000,'中古車掲載'!O191&lt;=100000,'中古車掲載'!AL191=1),'中古車掲載'!U191,"")</x:f>
      </x:c>
      <x:c r="BI190" s="3" t="str">
        <x:v>Taladrod|Corolla Altis|HEV|Unknown</x:v>
      </x:c>
      <x:c r="BJ190" s="3" t="n">
        <x:v>191</x:v>
      </x:c>
      <x:c r="BK190" s="3" t="n">
        <x:f>'中古車掲載'!AM191</x:f>
        <x:v>449000</x:v>
      </x:c>
      <x:c r="BL190" s="3" t="str">
        <x:f>IF(ISNUMBER('中古車掲載'!AN191),'中古車掲載'!AN191,"")</x:f>
      </x:c>
      <x:c r="BM190" s="3" t="str">
        <x:v>2023|Double cab</x:v>
      </x:c>
      <x:c r="BN190" s="3" t="n">
        <x:v>841</x:v>
      </x:c>
      <x:c r="BO190" s="3" t="n">
        <x:f>'中古車掲載'!AM841</x:f>
        <x:v>495000</x:v>
      </x:c>
      <x:c r="BP190" s="3" t="str">
        <x:v>2.4 ENTRY Z EDITION DOUBLE CAB</x:v>
      </x:c>
      <x:c r="BQ190" s="3"/>
      <x:c r="BR190" s="3"/>
    </x:row>
    <x:row r="191" ht="22"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3"/>
      <x:c r="AF191" s="3"/>
      <x:c r="AG191" s="3"/>
      <x:c r="AH191" s="3"/>
      <x:c r="AI191" s="3"/>
      <x:c r="AJ191" s="3"/>
      <x:c r="AK191" s="3"/>
      <x:c r="AL191" s="3"/>
      <x:c r="AM191" s="3"/>
      <x:c r="AN191" s="3"/>
      <x:c r="AO191" s="3"/>
      <x:c r="AP191" s="3"/>
      <x:c r="AQ191" s="3"/>
      <x:c r="AR191" s="3"/>
      <x:c r="AS191" s="3"/>
      <x:c r="AT191" s="3"/>
      <x:c r="AU191" s="3"/>
      <x:c r="AV191" s="3"/>
      <x:c r="AW191" s="3"/>
      <x:c r="AX191" s="3"/>
      <x:c r="AY191" s="3"/>
      <x:c r="AZ191" s="3" t="str">
        <x:f>IF(AND('中古車掲載'!C192="One2car",'中古車掲載'!F192="ATTO 3",'中古車掲載'!L192="EXTENDED RANGE",'中古車掲載'!J192=2023,ISNUMBER('中古車掲載'!N192),'中古車掲載'!N192&gt;=20000,'中古車掲載'!O192&lt;=100000,'中古車掲載'!AL192=1),'中古車掲載'!U192,"")</x:f>
      </x:c>
      <x:c r="BA191" s="3" t="str">
        <x:f>IF(AND('中古車掲載'!C192="One2car",'中古車掲載'!F192="Corolla Cross",'中古車掲載'!L192="HEV PREMIUM SAFETY",'中古車掲載'!J192=2023,ISNUMBER('中古車掲載'!N192),'中古車掲載'!N192&gt;=20000,'中古車掲載'!O192&lt;=100000,'中古車掲載'!AL192=1,'中古車掲載'!Z192="https://www.one2car.com/en/cars-for-sale/toyota/corolla-cross/year-2023"),'中古車掲載'!U192,"")</x:f>
      </x:c>
      <x:c r="BB191" s="3" t="str">
        <x:f>IF(AND('中古車掲載'!C192="One2car",'中古車掲載'!F192="ATTO 3",'中古車掲載'!L192="EXTENDED RANGE",'中古車掲載'!J192=2023,ISNUMBER('中古車掲載'!N192),'中古車掲載'!N192&gt;=50000,'中古車掲載'!O192&lt;=100000,'中古車掲載'!AL192=1),'中古車掲載'!U192,"")</x:f>
      </x:c>
      <x:c r="BC191" s="3" t="str">
        <x:f>IF(AND('中古車掲載'!C192="One2car",'中古車掲載'!F192="Corolla Cross",'中古車掲載'!L192="HEV PREMIUM SAFETY",'中古車掲載'!J192=2023,ISNUMBER('中古車掲載'!N192),'中古車掲載'!N192&gt;=50000,'中古車掲載'!O192&lt;=100000,'中古車掲載'!AL192=1,'中古車掲載'!Z192="https://www.one2car.com/en/cars-for-sale/toyota/corolla-cross/year-2023"),'中古車掲載'!U192,"")</x:f>
      </x:c>
      <x:c r="BD191" s="3" t="str">
        <x:f>IF(AND('中古車掲載'!C192="One2car",'中古車掲載'!F192="ATTO 3",'中古車掲載'!L192="EXTENDED RANGE",'中古車掲載'!J192=2023,ISNUMBER('中古車掲載'!N192),'中古車掲載'!N192&gt;=20000,'中古車掲載'!O192&lt;=50000,'中古車掲載'!AL192=1),'中古車掲載'!U192,"")</x:f>
      </x:c>
      <x:c r="BE191" s="3" t="str">
        <x:f>IF(AND('中古車掲載'!C192="One2car",'中古車掲載'!F192="Corolla Cross",'中古車掲載'!L192="HEV PREMIUM SAFETY",'中古車掲載'!J192=2023,ISNUMBER('中古車掲載'!N192),'中古車掲載'!N192&gt;=20000,'中古車掲載'!O192&lt;=50000,'中古車掲載'!AL192=1,'中古車掲載'!Z192="https://www.one2car.com/en/cars-for-sale/toyota/corolla-cross/year-2023"),'中古車掲載'!U192,"")</x:f>
      </x:c>
      <x:c r="BF191" s="3" t="str">
        <x:f>IF(AND('中古車掲載'!C192="One2car",'中古車掲載'!F192="Corolla Cross",'中古車掲載'!L192="HEV PREMIUM",'中古車掲載'!J192=2023,ISNUMBER('中古車掲載'!N192),'中古車掲載'!N192&gt;=20000,'中古車掲載'!O192&lt;=100000,'中古車掲載'!AL192=1,'中古車掲載'!Z192="https://www.one2car.com/en/cars-for-sale/toyota/corolla-cross/year-2023"),'中古車掲載'!U192,"")</x:f>
      </x:c>
      <x:c r="BG191" s="3" t="str">
        <x:f>IF(AND('中古車掲載'!C192="One2car",'中古車掲載'!F192="Corolla Cross",'中古車掲載'!L192="HEV GR SPORT",'中古車掲載'!J192=2023,ISNUMBER('中古車掲載'!N192),'中古車掲載'!N192&gt;=20000,'中古車掲載'!O192&lt;=100000,'中古車掲載'!AL192=1,'中古車掲載'!Z192="https://www.one2car.com/en/cars-for-sale/toyota/corolla-cross/year-2023"),'中古車掲載'!U192,"")</x:f>
      </x:c>
      <x:c r="BH191" s="3" t="str">
        <x:f>IF(AND('中古車掲載'!C192="One2car",'中古車掲載'!F192="DOLPHIN",'中古車掲載'!L192="STANDARD RANGE",'中古車掲載'!J192=2023,ISNUMBER('中古車掲載'!N192),'中古車掲載'!N192&gt;=20000,'中古車掲載'!O192&lt;=100000,'中古車掲載'!AL192=1),'中古車掲載'!U192,"")</x:f>
      </x:c>
      <x:c r="BI191" s="3" t="str">
        <x:v>Taladrod|Corolla Altis|HEV|Unknown</x:v>
      </x:c>
      <x:c r="BJ191" s="3" t="n">
        <x:v>192</x:v>
      </x:c>
      <x:c r="BK191" s="3" t="n">
        <x:f>'中古車掲載'!AM192</x:f>
        <x:v>424000</x:v>
      </x:c>
      <x:c r="BL191" s="3" t="str">
        <x:f>IF(ISNUMBER('中古車掲載'!AN192),'中古車掲載'!AN192,"")</x:f>
      </x:c>
      <x:c r="BM191" s="3" t="str">
        <x:v>2023|Double cab</x:v>
      </x:c>
      <x:c r="BN191" s="3" t="n">
        <x:v>842</x:v>
      </x:c>
      <x:c r="BO191" s="3" t="n">
        <x:f>'中古車掲載'!AM842</x:f>
        <x:v>568000</x:v>
      </x:c>
      <x:c r="BP191" s="3" t="str">
        <x:v>2.4 ENTRY Z EDITION DOUBLE CAB</x:v>
      </x:c>
      <x:c r="BQ191" s="3"/>
      <x:c r="BR191" s="3"/>
    </x:row>
    <x:row r="192" ht="22" customHeight="1">
      <x:c r="A192" s="3"/>
      <x:c r="B192" s="3"/>
      <x:c r="C192" s="3"/>
      <x:c r="D192" s="3"/>
      <x:c r="E192" s="3"/>
      <x:c r="F192" s="3"/>
      <x:c r="G192" s="3"/>
      <x:c r="H192" s="3"/>
      <x:c r="I192" s="3"/>
      <x:c r="J192" s="3"/>
      <x:c r="K192" s="3"/>
      <x:c r="L192" s="3"/>
      <x:c r="M192" s="3"/>
      <x:c r="N192" s="3"/>
      <x:c r="O192" s="3"/>
      <x:c r="P192" s="3"/>
      <x:c r="Q192" s="3"/>
      <x:c r="R192" s="3"/>
      <x:c r="S192" s="3"/>
      <x:c r="T192" s="3"/>
      <x:c r="U192" s="3"/>
      <x:c r="V192" s="3"/>
      <x:c r="W192" s="3"/>
      <x:c r="X192" s="3"/>
      <x:c r="Y192" s="3"/>
      <x:c r="Z192" s="3"/>
      <x:c r="AA192" s="3"/>
      <x:c r="AB192" s="3"/>
      <x:c r="AC192" s="3"/>
      <x:c r="AD192" s="3"/>
      <x:c r="AE192" s="3"/>
      <x:c r="AF192" s="3"/>
      <x:c r="AG192" s="3"/>
      <x:c r="AH192" s="3"/>
      <x:c r="AI192" s="3"/>
      <x:c r="AJ192" s="3"/>
      <x:c r="AK192" s="3"/>
      <x:c r="AL192" s="3"/>
      <x:c r="AM192" s="3"/>
      <x:c r="AN192" s="3"/>
      <x:c r="AO192" s="3"/>
      <x:c r="AP192" s="3"/>
      <x:c r="AQ192" s="3"/>
      <x:c r="AR192" s="3"/>
      <x:c r="AS192" s="3"/>
      <x:c r="AT192" s="3"/>
      <x:c r="AU192" s="3"/>
      <x:c r="AV192" s="3"/>
      <x:c r="AW192" s="3"/>
      <x:c r="AX192" s="3"/>
      <x:c r="AY192" s="3"/>
      <x:c r="AZ192" s="3" t="str">
        <x:f>IF(AND('中古車掲載'!C193="One2car",'中古車掲載'!F193="ATTO 3",'中古車掲載'!L193="EXTENDED RANGE",'中古車掲載'!J193=2023,ISNUMBER('中古車掲載'!N193),'中古車掲載'!N193&gt;=20000,'中古車掲載'!O193&lt;=100000,'中古車掲載'!AL193=1),'中古車掲載'!U193,"")</x:f>
      </x:c>
      <x:c r="BA192" s="3" t="str">
        <x:f>IF(AND('中古車掲載'!C193="One2car",'中古車掲載'!F193="Corolla Cross",'中古車掲載'!L193="HEV PREMIUM SAFETY",'中古車掲載'!J193=2023,ISNUMBER('中古車掲載'!N193),'中古車掲載'!N193&gt;=20000,'中古車掲載'!O193&lt;=100000,'中古車掲載'!AL193=1,'中古車掲載'!Z193="https://www.one2car.com/en/cars-for-sale/toyota/corolla-cross/year-2023"),'中古車掲載'!U193,"")</x:f>
      </x:c>
      <x:c r="BB192" s="3" t="str">
        <x:f>IF(AND('中古車掲載'!C193="One2car",'中古車掲載'!F193="ATTO 3",'中古車掲載'!L193="EXTENDED RANGE",'中古車掲載'!J193=2023,ISNUMBER('中古車掲載'!N193),'中古車掲載'!N193&gt;=50000,'中古車掲載'!O193&lt;=100000,'中古車掲載'!AL193=1),'中古車掲載'!U193,"")</x:f>
      </x:c>
      <x:c r="BC192" s="3" t="str">
        <x:f>IF(AND('中古車掲載'!C193="One2car",'中古車掲載'!F193="Corolla Cross",'中古車掲載'!L193="HEV PREMIUM SAFETY",'中古車掲載'!J193=2023,ISNUMBER('中古車掲載'!N193),'中古車掲載'!N193&gt;=50000,'中古車掲載'!O193&lt;=100000,'中古車掲載'!AL193=1,'中古車掲載'!Z193="https://www.one2car.com/en/cars-for-sale/toyota/corolla-cross/year-2023"),'中古車掲載'!U193,"")</x:f>
      </x:c>
      <x:c r="BD192" s="3" t="str">
        <x:f>IF(AND('中古車掲載'!C193="One2car",'中古車掲載'!F193="ATTO 3",'中古車掲載'!L193="EXTENDED RANGE",'中古車掲載'!J193=2023,ISNUMBER('中古車掲載'!N193),'中古車掲載'!N193&gt;=20000,'中古車掲載'!O193&lt;=50000,'中古車掲載'!AL193=1),'中古車掲載'!U193,"")</x:f>
      </x:c>
      <x:c r="BE192" s="3" t="str">
        <x:f>IF(AND('中古車掲載'!C193="One2car",'中古車掲載'!F193="Corolla Cross",'中古車掲載'!L193="HEV PREMIUM SAFETY",'中古車掲載'!J193=2023,ISNUMBER('中古車掲載'!N193),'中古車掲載'!N193&gt;=20000,'中古車掲載'!O193&lt;=50000,'中古車掲載'!AL193=1,'中古車掲載'!Z193="https://www.one2car.com/en/cars-for-sale/toyota/corolla-cross/year-2023"),'中古車掲載'!U193,"")</x:f>
      </x:c>
      <x:c r="BF192" s="3" t="str">
        <x:f>IF(AND('中古車掲載'!C193="One2car",'中古車掲載'!F193="Corolla Cross",'中古車掲載'!L193="HEV PREMIUM",'中古車掲載'!J193=2023,ISNUMBER('中古車掲載'!N193),'中古車掲載'!N193&gt;=20000,'中古車掲載'!O193&lt;=100000,'中古車掲載'!AL193=1,'中古車掲載'!Z193="https://www.one2car.com/en/cars-for-sale/toyota/corolla-cross/year-2023"),'中古車掲載'!U193,"")</x:f>
      </x:c>
      <x:c r="BG192" s="3" t="str">
        <x:f>IF(AND('中古車掲載'!C193="One2car",'中古車掲載'!F193="Corolla Cross",'中古車掲載'!L193="HEV GR SPORT",'中古車掲載'!J193=2023,ISNUMBER('中古車掲載'!N193),'中古車掲載'!N193&gt;=20000,'中古車掲載'!O193&lt;=100000,'中古車掲載'!AL193=1,'中古車掲載'!Z193="https://www.one2car.com/en/cars-for-sale/toyota/corolla-cross/year-2023"),'中古車掲載'!U193,"")</x:f>
      </x:c>
      <x:c r="BH192" s="3" t="str">
        <x:f>IF(AND('中古車掲載'!C193="One2car",'中古車掲載'!F193="DOLPHIN",'中古車掲載'!L193="STANDARD RANGE",'中古車掲載'!J193=2023,ISNUMBER('中古車掲載'!N193),'中古車掲載'!N193&gt;=20000,'中古車掲載'!O193&lt;=100000,'中古車掲載'!AL193=1),'中古車掲載'!U193,"")</x:f>
      </x:c>
      <x:c r="BI192" s="3" t="str">
        <x:v>Taladrod|Corolla Altis|HEV|Unknown</x:v>
      </x:c>
      <x:c r="BJ192" s="3" t="n">
        <x:v>193</x:v>
      </x:c>
      <x:c r="BK192" s="3" t="n">
        <x:f>'中古車掲載'!AM193</x:f>
        <x:v>499000</x:v>
      </x:c>
      <x:c r="BL192" s="3" t="str">
        <x:f>IF(ISNUMBER('中古車掲載'!AN193),'中古車掲載'!AN193,"")</x:f>
      </x:c>
      <x:c r="BM192" s="3" t="str">
        <x:v>2023|Double cab</x:v>
      </x:c>
      <x:c r="BN192" s="3" t="n">
        <x:v>850</x:v>
      </x:c>
      <x:c r="BO192" s="3" t="n">
        <x:f>'中古車掲載'!AM850</x:f>
        <x:v>719000</x:v>
      </x:c>
      <x:c r="BP192" s="3" t="str">
        <x:v>2.4 MID PRERUNNER DOUBLE CAB</x:v>
      </x:c>
      <x:c r="BQ192" s="3"/>
      <x:c r="BR192" s="3"/>
    </x:row>
    <x:row r="193" ht="22" customHeight="1">
      <x:c r="A193" s="3"/>
      <x:c r="B193" s="3"/>
      <x:c r="C193" s="3"/>
      <x:c r="D193" s="3"/>
      <x:c r="E193" s="3"/>
      <x:c r="F193" s="3"/>
      <x:c r="G193" s="3"/>
      <x:c r="H193" s="3"/>
      <x:c r="I193" s="3"/>
      <x:c r="J193" s="3"/>
      <x:c r="K193" s="3"/>
      <x:c r="L193" s="3"/>
      <x:c r="M193" s="3"/>
      <x:c r="N193" s="3"/>
      <x:c r="O193" s="3"/>
      <x:c r="P193" s="3"/>
      <x:c r="Q193" s="3"/>
      <x:c r="R193" s="3"/>
      <x:c r="S193" s="3"/>
      <x:c r="T193" s="3"/>
      <x:c r="U193" s="3"/>
      <x:c r="V193" s="3"/>
      <x:c r="W193" s="3"/>
      <x:c r="X193" s="3"/>
      <x:c r="Y193" s="3"/>
      <x:c r="Z193" s="3"/>
      <x:c r="AA193" s="3"/>
      <x:c r="AB193" s="3"/>
      <x:c r="AC193" s="3"/>
      <x:c r="AD193" s="3"/>
      <x:c r="AE193" s="3"/>
      <x:c r="AF193" s="3"/>
      <x:c r="AG193" s="3"/>
      <x:c r="AH193" s="3"/>
      <x:c r="AI193" s="3"/>
      <x:c r="AJ193" s="3"/>
      <x:c r="AK193" s="3"/>
      <x:c r="AL193" s="3"/>
      <x:c r="AM193" s="3"/>
      <x:c r="AN193" s="3"/>
      <x:c r="AO193" s="3"/>
      <x:c r="AP193" s="3"/>
      <x:c r="AQ193" s="3"/>
      <x:c r="AR193" s="3"/>
      <x:c r="AS193" s="3"/>
      <x:c r="AT193" s="3"/>
      <x:c r="AU193" s="3"/>
      <x:c r="AV193" s="3"/>
      <x:c r="AW193" s="3"/>
      <x:c r="AX193" s="3"/>
      <x:c r="AY193" s="3"/>
      <x:c r="AZ193" s="3" t="str">
        <x:f>IF(AND('中古車掲載'!C194="One2car",'中古車掲載'!F194="ATTO 3",'中古車掲載'!L194="EXTENDED RANGE",'中古車掲載'!J194=2023,ISNUMBER('中古車掲載'!N194),'中古車掲載'!N194&gt;=20000,'中古車掲載'!O194&lt;=100000,'中古車掲載'!AL194=1),'中古車掲載'!U194,"")</x:f>
      </x:c>
      <x:c r="BA193" s="3" t="str">
        <x:f>IF(AND('中古車掲載'!C194="One2car",'中古車掲載'!F194="Corolla Cross",'中古車掲載'!L194="HEV PREMIUM SAFETY",'中古車掲載'!J194=2023,ISNUMBER('中古車掲載'!N194),'中古車掲載'!N194&gt;=20000,'中古車掲載'!O194&lt;=100000,'中古車掲載'!AL194=1,'中古車掲載'!Z194="https://www.one2car.com/en/cars-for-sale/toyota/corolla-cross/year-2023"),'中古車掲載'!U194,"")</x:f>
      </x:c>
      <x:c r="BB193" s="3" t="str">
        <x:f>IF(AND('中古車掲載'!C194="One2car",'中古車掲載'!F194="ATTO 3",'中古車掲載'!L194="EXTENDED RANGE",'中古車掲載'!J194=2023,ISNUMBER('中古車掲載'!N194),'中古車掲載'!N194&gt;=50000,'中古車掲載'!O194&lt;=100000,'中古車掲載'!AL194=1),'中古車掲載'!U194,"")</x:f>
      </x:c>
      <x:c r="BC193" s="3" t="str">
        <x:f>IF(AND('中古車掲載'!C194="One2car",'中古車掲載'!F194="Corolla Cross",'中古車掲載'!L194="HEV PREMIUM SAFETY",'中古車掲載'!J194=2023,ISNUMBER('中古車掲載'!N194),'中古車掲載'!N194&gt;=50000,'中古車掲載'!O194&lt;=100000,'中古車掲載'!AL194=1,'中古車掲載'!Z194="https://www.one2car.com/en/cars-for-sale/toyota/corolla-cross/year-2023"),'中古車掲載'!U194,"")</x:f>
      </x:c>
      <x:c r="BD193" s="3" t="str">
        <x:f>IF(AND('中古車掲載'!C194="One2car",'中古車掲載'!F194="ATTO 3",'中古車掲載'!L194="EXTENDED RANGE",'中古車掲載'!J194=2023,ISNUMBER('中古車掲載'!N194),'中古車掲載'!N194&gt;=20000,'中古車掲載'!O194&lt;=50000,'中古車掲載'!AL194=1),'中古車掲載'!U194,"")</x:f>
      </x:c>
      <x:c r="BE193" s="3" t="str">
        <x:f>IF(AND('中古車掲載'!C194="One2car",'中古車掲載'!F194="Corolla Cross",'中古車掲載'!L194="HEV PREMIUM SAFETY",'中古車掲載'!J194=2023,ISNUMBER('中古車掲載'!N194),'中古車掲載'!N194&gt;=20000,'中古車掲載'!O194&lt;=50000,'中古車掲載'!AL194=1,'中古車掲載'!Z194="https://www.one2car.com/en/cars-for-sale/toyota/corolla-cross/year-2023"),'中古車掲載'!U194,"")</x:f>
      </x:c>
      <x:c r="BF193" s="3" t="str">
        <x:f>IF(AND('中古車掲載'!C194="One2car",'中古車掲載'!F194="Corolla Cross",'中古車掲載'!L194="HEV PREMIUM",'中古車掲載'!J194=2023,ISNUMBER('中古車掲載'!N194),'中古車掲載'!N194&gt;=20000,'中古車掲載'!O194&lt;=100000,'中古車掲載'!AL194=1,'中古車掲載'!Z194="https://www.one2car.com/en/cars-for-sale/toyota/corolla-cross/year-2023"),'中古車掲載'!U194,"")</x:f>
      </x:c>
      <x:c r="BG193" s="3" t="str">
        <x:f>IF(AND('中古車掲載'!C194="One2car",'中古車掲載'!F194="Corolla Cross",'中古車掲載'!L194="HEV GR SPORT",'中古車掲載'!J194=2023,ISNUMBER('中古車掲載'!N194),'中古車掲載'!N194&gt;=20000,'中古車掲載'!O194&lt;=100000,'中古車掲載'!AL194=1,'中古車掲載'!Z194="https://www.one2car.com/en/cars-for-sale/toyota/corolla-cross/year-2023"),'中古車掲載'!U194,"")</x:f>
      </x:c>
      <x:c r="BH193" s="3" t="str">
        <x:f>IF(AND('中古車掲載'!C194="One2car",'中古車掲載'!F194="DOLPHIN",'中古車掲載'!L194="STANDARD RANGE",'中古車掲載'!J194=2023,ISNUMBER('中古車掲載'!N194),'中古車掲載'!N194&gt;=20000,'中古車掲載'!O194&lt;=100000,'中古車掲載'!AL194=1),'中古車掲載'!U194,"")</x:f>
      </x:c>
      <x:c r="BI193" s="3" t="str">
        <x:v>Taladrod|Corolla Altis|HEV|Unknown</x:v>
      </x:c>
      <x:c r="BJ193" s="3" t="n">
        <x:v>194</x:v>
      </x:c>
      <x:c r="BK193" s="3" t="n">
        <x:f>'中古車掲載'!AM194</x:f>
        <x:v>489000</x:v>
      </x:c>
      <x:c r="BL193" s="3" t="str">
        <x:f>IF(ISNUMBER('中古車掲載'!AN194),'中古車掲載'!AN194,"")</x:f>
      </x:c>
      <x:c r="BM193" s="3" t="str">
        <x:v>2023|Double cab</x:v>
      </x:c>
      <x:c r="BN193" s="3" t="n">
        <x:v>851</x:v>
      </x:c>
      <x:c r="BO193" s="3" t="n">
        <x:f>'中古車掲載'!AM851</x:f>
        <x:v>679000</x:v>
      </x:c>
      <x:c r="BP193" s="3" t="str">
        <x:v>2.4 MID PRERUNNER DOUBLE CAB</x:v>
      </x:c>
      <x:c r="BQ193" s="3"/>
      <x:c r="BR193" s="3"/>
    </x:row>
    <x:row r="194" ht="22" customHeight="1">
      <x:c r="A194" s="3"/>
      <x:c r="B194" s="3"/>
      <x:c r="C194" s="3"/>
      <x:c r="D194" s="3"/>
      <x:c r="E194" s="3"/>
      <x:c r="F194" s="3"/>
      <x:c r="G194" s="3"/>
      <x:c r="H194" s="3"/>
      <x:c r="I194" s="3"/>
      <x:c r="J194" s="3"/>
      <x:c r="K194" s="3"/>
      <x:c r="L194" s="3"/>
      <x:c r="M194" s="3"/>
      <x:c r="N194" s="3"/>
      <x:c r="O194" s="3"/>
      <x:c r="P194" s="3"/>
      <x:c r="Q194" s="3"/>
      <x:c r="R194" s="3"/>
      <x:c r="S194" s="3"/>
      <x:c r="T194" s="3"/>
      <x:c r="U194" s="3"/>
      <x:c r="V194" s="3"/>
      <x:c r="W194" s="3"/>
      <x:c r="X194" s="3"/>
      <x:c r="Y194" s="3"/>
      <x:c r="Z194" s="3"/>
      <x:c r="AA194" s="3"/>
      <x:c r="AB194" s="3"/>
      <x:c r="AC194" s="3"/>
      <x:c r="AD194" s="3"/>
      <x:c r="AE194" s="3"/>
      <x:c r="AF194" s="3"/>
      <x:c r="AG194" s="3"/>
      <x:c r="AH194" s="3"/>
      <x:c r="AI194" s="3"/>
      <x:c r="AJ194" s="3"/>
      <x:c r="AK194" s="3"/>
      <x:c r="AL194" s="3"/>
      <x:c r="AM194" s="3"/>
      <x:c r="AN194" s="3"/>
      <x:c r="AO194" s="3"/>
      <x:c r="AP194" s="3"/>
      <x:c r="AQ194" s="3"/>
      <x:c r="AR194" s="3"/>
      <x:c r="AS194" s="3"/>
      <x:c r="AT194" s="3"/>
      <x:c r="AU194" s="3"/>
      <x:c r="AV194" s="3"/>
      <x:c r="AW194" s="3"/>
      <x:c r="AX194" s="3"/>
      <x:c r="AY194" s="3"/>
      <x:c r="AZ194" s="3" t="str">
        <x:f>IF(AND('中古車掲載'!C195="One2car",'中古車掲載'!F195="ATTO 3",'中古車掲載'!L195="EXTENDED RANGE",'中古車掲載'!J195=2023,ISNUMBER('中古車掲載'!N195),'中古車掲載'!N195&gt;=20000,'中古車掲載'!O195&lt;=100000,'中古車掲載'!AL195=1),'中古車掲載'!U195,"")</x:f>
      </x:c>
      <x:c r="BA194" s="3" t="str">
        <x:f>IF(AND('中古車掲載'!C195="One2car",'中古車掲載'!F195="Corolla Cross",'中古車掲載'!L195="HEV PREMIUM SAFETY",'中古車掲載'!J195=2023,ISNUMBER('中古車掲載'!N195),'中古車掲載'!N195&gt;=20000,'中古車掲載'!O195&lt;=100000,'中古車掲載'!AL195=1,'中古車掲載'!Z195="https://www.one2car.com/en/cars-for-sale/toyota/corolla-cross/year-2023"),'中古車掲載'!U195,"")</x:f>
      </x:c>
      <x:c r="BB194" s="3" t="str">
        <x:f>IF(AND('中古車掲載'!C195="One2car",'中古車掲載'!F195="ATTO 3",'中古車掲載'!L195="EXTENDED RANGE",'中古車掲載'!J195=2023,ISNUMBER('中古車掲載'!N195),'中古車掲載'!N195&gt;=50000,'中古車掲載'!O195&lt;=100000,'中古車掲載'!AL195=1),'中古車掲載'!U195,"")</x:f>
      </x:c>
      <x:c r="BC194" s="3" t="str">
        <x:f>IF(AND('中古車掲載'!C195="One2car",'中古車掲載'!F195="Corolla Cross",'中古車掲載'!L195="HEV PREMIUM SAFETY",'中古車掲載'!J195=2023,ISNUMBER('中古車掲載'!N195),'中古車掲載'!N195&gt;=50000,'中古車掲載'!O195&lt;=100000,'中古車掲載'!AL195=1,'中古車掲載'!Z195="https://www.one2car.com/en/cars-for-sale/toyota/corolla-cross/year-2023"),'中古車掲載'!U195,"")</x:f>
      </x:c>
      <x:c r="BD194" s="3" t="str">
        <x:f>IF(AND('中古車掲載'!C195="One2car",'中古車掲載'!F195="ATTO 3",'中古車掲載'!L195="EXTENDED RANGE",'中古車掲載'!J195=2023,ISNUMBER('中古車掲載'!N195),'中古車掲載'!N195&gt;=20000,'中古車掲載'!O195&lt;=50000,'中古車掲載'!AL195=1),'中古車掲載'!U195,"")</x:f>
      </x:c>
      <x:c r="BE194" s="3" t="str">
        <x:f>IF(AND('中古車掲載'!C195="One2car",'中古車掲載'!F195="Corolla Cross",'中古車掲載'!L195="HEV PREMIUM SAFETY",'中古車掲載'!J195=2023,ISNUMBER('中古車掲載'!N195),'中古車掲載'!N195&gt;=20000,'中古車掲載'!O195&lt;=50000,'中古車掲載'!AL195=1,'中古車掲載'!Z195="https://www.one2car.com/en/cars-for-sale/toyota/corolla-cross/year-2023"),'中古車掲載'!U195,"")</x:f>
      </x:c>
      <x:c r="BF194" s="3" t="str">
        <x:f>IF(AND('中古車掲載'!C195="One2car",'中古車掲載'!F195="Corolla Cross",'中古車掲載'!L195="HEV PREMIUM",'中古車掲載'!J195=2023,ISNUMBER('中古車掲載'!N195),'中古車掲載'!N195&gt;=20000,'中古車掲載'!O195&lt;=100000,'中古車掲載'!AL195=1,'中古車掲載'!Z195="https://www.one2car.com/en/cars-for-sale/toyota/corolla-cross/year-2023"),'中古車掲載'!U195,"")</x:f>
      </x:c>
      <x:c r="BG194" s="3" t="str">
        <x:f>IF(AND('中古車掲載'!C195="One2car",'中古車掲載'!F195="Corolla Cross",'中古車掲載'!L195="HEV GR SPORT",'中古車掲載'!J195=2023,ISNUMBER('中古車掲載'!N195),'中古車掲載'!N195&gt;=20000,'中古車掲載'!O195&lt;=100000,'中古車掲載'!AL195=1,'中古車掲載'!Z195="https://www.one2car.com/en/cars-for-sale/toyota/corolla-cross/year-2023"),'中古車掲載'!U195,"")</x:f>
      </x:c>
      <x:c r="BH194" s="3" t="str">
        <x:f>IF(AND('中古車掲載'!C195="One2car",'中古車掲載'!F195="DOLPHIN",'中古車掲載'!L195="STANDARD RANGE",'中古車掲載'!J195=2023,ISNUMBER('中古車掲載'!N195),'中古車掲載'!N195&gt;=20000,'中古車掲載'!O195&lt;=100000,'中古車掲載'!AL195=1),'中古車掲載'!U195,"")</x:f>
      </x:c>
      <x:c r="BI194" s="3" t="str">
        <x:v>Taladrod|Corolla Altis|HEV|Unknown</x:v>
      </x:c>
      <x:c r="BJ194" s="3" t="n">
        <x:v>195</x:v>
      </x:c>
      <x:c r="BK194" s="3" t="n">
        <x:f>'中古車掲載'!AM195</x:f>
        <x:v>519000</x:v>
      </x:c>
      <x:c r="BL194" s="3" t="str">
        <x:f>IF(ISNUMBER('中古車掲載'!AN195),'中古車掲載'!AN195,"")</x:f>
      </x:c>
      <x:c r="BM194" s="3" t="str">
        <x:v>2023|Double cab</x:v>
      </x:c>
      <x:c r="BN194" s="3" t="n">
        <x:v>852</x:v>
      </x:c>
      <x:c r="BO194" s="3" t="n">
        <x:f>'中古車掲載'!AM852</x:f>
        <x:v>699000</x:v>
      </x:c>
      <x:c r="BP194" s="3" t="str">
        <x:v>2.4 MID PRERUNNER DOUBLE CAB</x:v>
      </x:c>
      <x:c r="BQ194" s="3"/>
      <x:c r="BR194" s="3"/>
    </x:row>
    <x:row r="195" ht="22"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3"/>
      <x:c r="AF195" s="3"/>
      <x:c r="AG195" s="3"/>
      <x:c r="AH195" s="3"/>
      <x:c r="AI195" s="3"/>
      <x:c r="AJ195" s="3"/>
      <x:c r="AK195" s="3"/>
      <x:c r="AL195" s="3"/>
      <x:c r="AM195" s="3"/>
      <x:c r="AN195" s="3"/>
      <x:c r="AO195" s="3"/>
      <x:c r="AP195" s="3"/>
      <x:c r="AQ195" s="3"/>
      <x:c r="AR195" s="3"/>
      <x:c r="AS195" s="3"/>
      <x:c r="AT195" s="3"/>
      <x:c r="AU195" s="3"/>
      <x:c r="AV195" s="3"/>
      <x:c r="AW195" s="3"/>
      <x:c r="AX195" s="3"/>
      <x:c r="AY195" s="3"/>
      <x:c r="AZ195" s="3" t="str">
        <x:f>IF(AND('中古車掲載'!C196="One2car",'中古車掲載'!F196="ATTO 3",'中古車掲載'!L196="EXTENDED RANGE",'中古車掲載'!J196=2023,ISNUMBER('中古車掲載'!N196),'中古車掲載'!N196&gt;=20000,'中古車掲載'!O196&lt;=100000,'中古車掲載'!AL196=1),'中古車掲載'!U196,"")</x:f>
      </x:c>
      <x:c r="BA195" s="3" t="str">
        <x:f>IF(AND('中古車掲載'!C196="One2car",'中古車掲載'!F196="Corolla Cross",'中古車掲載'!L196="HEV PREMIUM SAFETY",'中古車掲載'!J196=2023,ISNUMBER('中古車掲載'!N196),'中古車掲載'!N196&gt;=20000,'中古車掲載'!O196&lt;=100000,'中古車掲載'!AL196=1,'中古車掲載'!Z196="https://www.one2car.com/en/cars-for-sale/toyota/corolla-cross/year-2023"),'中古車掲載'!U196,"")</x:f>
      </x:c>
      <x:c r="BB195" s="3" t="str">
        <x:f>IF(AND('中古車掲載'!C196="One2car",'中古車掲載'!F196="ATTO 3",'中古車掲載'!L196="EXTENDED RANGE",'中古車掲載'!J196=2023,ISNUMBER('中古車掲載'!N196),'中古車掲載'!N196&gt;=50000,'中古車掲載'!O196&lt;=100000,'中古車掲載'!AL196=1),'中古車掲載'!U196,"")</x:f>
      </x:c>
      <x:c r="BC195" s="3" t="str">
        <x:f>IF(AND('中古車掲載'!C196="One2car",'中古車掲載'!F196="Corolla Cross",'中古車掲載'!L196="HEV PREMIUM SAFETY",'中古車掲載'!J196=2023,ISNUMBER('中古車掲載'!N196),'中古車掲載'!N196&gt;=50000,'中古車掲載'!O196&lt;=100000,'中古車掲載'!AL196=1,'中古車掲載'!Z196="https://www.one2car.com/en/cars-for-sale/toyota/corolla-cross/year-2023"),'中古車掲載'!U196,"")</x:f>
      </x:c>
      <x:c r="BD195" s="3" t="str">
        <x:f>IF(AND('中古車掲載'!C196="One2car",'中古車掲載'!F196="ATTO 3",'中古車掲載'!L196="EXTENDED RANGE",'中古車掲載'!J196=2023,ISNUMBER('中古車掲載'!N196),'中古車掲載'!N196&gt;=20000,'中古車掲載'!O196&lt;=50000,'中古車掲載'!AL196=1),'中古車掲載'!U196,"")</x:f>
      </x:c>
      <x:c r="BE195" s="3" t="str">
        <x:f>IF(AND('中古車掲載'!C196="One2car",'中古車掲載'!F196="Corolla Cross",'中古車掲載'!L196="HEV PREMIUM SAFETY",'中古車掲載'!J196=2023,ISNUMBER('中古車掲載'!N196),'中古車掲載'!N196&gt;=20000,'中古車掲載'!O196&lt;=50000,'中古車掲載'!AL196=1,'中古車掲載'!Z196="https://www.one2car.com/en/cars-for-sale/toyota/corolla-cross/year-2023"),'中古車掲載'!U196,"")</x:f>
      </x:c>
      <x:c r="BF195" s="3" t="str">
        <x:f>IF(AND('中古車掲載'!C196="One2car",'中古車掲載'!F196="Corolla Cross",'中古車掲載'!L196="HEV PREMIUM",'中古車掲載'!J196=2023,ISNUMBER('中古車掲載'!N196),'中古車掲載'!N196&gt;=20000,'中古車掲載'!O196&lt;=100000,'中古車掲載'!AL196=1,'中古車掲載'!Z196="https://www.one2car.com/en/cars-for-sale/toyota/corolla-cross/year-2023"),'中古車掲載'!U196,"")</x:f>
      </x:c>
      <x:c r="BG195" s="3" t="str">
        <x:f>IF(AND('中古車掲載'!C196="One2car",'中古車掲載'!F196="Corolla Cross",'中古車掲載'!L196="HEV GR SPORT",'中古車掲載'!J196=2023,ISNUMBER('中古車掲載'!N196),'中古車掲載'!N196&gt;=20000,'中古車掲載'!O196&lt;=100000,'中古車掲載'!AL196=1,'中古車掲載'!Z196="https://www.one2car.com/en/cars-for-sale/toyota/corolla-cross/year-2023"),'中古車掲載'!U196,"")</x:f>
      </x:c>
      <x:c r="BH195" s="3" t="str">
        <x:f>IF(AND('中古車掲載'!C196="One2car",'中古車掲載'!F196="DOLPHIN",'中古車掲載'!L196="STANDARD RANGE",'中古車掲載'!J196=2023,ISNUMBER('中古車掲載'!N196),'中古車掲載'!N196&gt;=20000,'中古車掲載'!O196&lt;=100000,'中古車掲載'!AL196=1),'中古車掲載'!U196,"")</x:f>
      </x:c>
      <x:c r="BI195" s="3" t="str">
        <x:v>Taladrod|Corolla Altis|HEV|Unknown</x:v>
      </x:c>
      <x:c r="BJ195" s="3" t="n">
        <x:v>196</x:v>
      </x:c>
      <x:c r="BK195" s="3" t="n">
        <x:f>'中古車掲載'!AM196</x:f>
        <x:v>750000</x:v>
      </x:c>
      <x:c r="BL195" s="3" t="str">
        <x:f>IF(ISNUMBER('中古車掲載'!AN196),'中古車掲載'!AN196,"")</x:f>
      </x:c>
      <x:c r="BM195" s="3" t="str">
        <x:v>2023|Double cab</x:v>
      </x:c>
      <x:c r="BN195" s="3" t="n">
        <x:v>853</x:v>
      </x:c>
      <x:c r="BO195" s="3" t="n">
        <x:f>'中古車掲載'!AM853</x:f>
        <x:v>649000</x:v>
      </x:c>
      <x:c r="BP195" s="3" t="str">
        <x:v>2.4 MID PRERUNNER DOUBLE CAB</x:v>
      </x:c>
      <x:c r="BQ195" s="3"/>
      <x:c r="BR195" s="3"/>
    </x:row>
    <x:row r="196" ht="22" customHeight="1">
      <x:c r="A196" s="3"/>
      <x:c r="B196" s="3"/>
      <x:c r="C196" s="3"/>
      <x:c r="D196" s="3"/>
      <x:c r="E196" s="3"/>
      <x:c r="F196" s="3"/>
      <x:c r="G196" s="3"/>
      <x:c r="H196" s="3"/>
      <x:c r="I196" s="3"/>
      <x:c r="J196" s="3"/>
      <x:c r="K196" s="3"/>
      <x:c r="L196" s="3"/>
      <x:c r="M196" s="3"/>
      <x:c r="N196" s="3"/>
      <x:c r="O196" s="3"/>
      <x:c r="P196" s="3"/>
      <x:c r="Q196" s="3"/>
      <x:c r="R196" s="3"/>
      <x:c r="S196" s="3"/>
      <x:c r="T196" s="3"/>
      <x:c r="U196" s="3"/>
      <x:c r="V196" s="3"/>
      <x:c r="W196" s="3"/>
      <x:c r="X196" s="3"/>
      <x:c r="Y196" s="3"/>
      <x:c r="Z196" s="3"/>
      <x:c r="AA196" s="3"/>
      <x:c r="AB196" s="3"/>
      <x:c r="AC196" s="3"/>
      <x:c r="AD196" s="3"/>
      <x:c r="AE196" s="3"/>
      <x:c r="AF196" s="3"/>
      <x:c r="AG196" s="3"/>
      <x:c r="AH196" s="3"/>
      <x:c r="AI196" s="3"/>
      <x:c r="AJ196" s="3"/>
      <x:c r="AK196" s="3"/>
      <x:c r="AL196" s="3"/>
      <x:c r="AM196" s="3"/>
      <x:c r="AN196" s="3"/>
      <x:c r="AO196" s="3"/>
      <x:c r="AP196" s="3"/>
      <x:c r="AQ196" s="3"/>
      <x:c r="AR196" s="3"/>
      <x:c r="AS196" s="3"/>
      <x:c r="AT196" s="3"/>
      <x:c r="AU196" s="3"/>
      <x:c r="AV196" s="3"/>
      <x:c r="AW196" s="3"/>
      <x:c r="AX196" s="3"/>
      <x:c r="AY196" s="3"/>
      <x:c r="AZ196" s="3" t="str">
        <x:f>IF(AND('中古車掲載'!C197="One2car",'中古車掲載'!F197="ATTO 3",'中古車掲載'!L197="EXTENDED RANGE",'中古車掲載'!J197=2023,ISNUMBER('中古車掲載'!N197),'中古車掲載'!N197&gt;=20000,'中古車掲載'!O197&lt;=100000,'中古車掲載'!AL197=1),'中古車掲載'!U197,"")</x:f>
      </x:c>
      <x:c r="BA196" s="3" t="str">
        <x:f>IF(AND('中古車掲載'!C197="One2car",'中古車掲載'!F197="Corolla Cross",'中古車掲載'!L197="HEV PREMIUM SAFETY",'中古車掲載'!J197=2023,ISNUMBER('中古車掲載'!N197),'中古車掲載'!N197&gt;=20000,'中古車掲載'!O197&lt;=100000,'中古車掲載'!AL197=1,'中古車掲載'!Z197="https://www.one2car.com/en/cars-for-sale/toyota/corolla-cross/year-2023"),'中古車掲載'!U197,"")</x:f>
      </x:c>
      <x:c r="BB196" s="3" t="str">
        <x:f>IF(AND('中古車掲載'!C197="One2car",'中古車掲載'!F197="ATTO 3",'中古車掲載'!L197="EXTENDED RANGE",'中古車掲載'!J197=2023,ISNUMBER('中古車掲載'!N197),'中古車掲載'!N197&gt;=50000,'中古車掲載'!O197&lt;=100000,'中古車掲載'!AL197=1),'中古車掲載'!U197,"")</x:f>
      </x:c>
      <x:c r="BC196" s="3" t="str">
        <x:f>IF(AND('中古車掲載'!C197="One2car",'中古車掲載'!F197="Corolla Cross",'中古車掲載'!L197="HEV PREMIUM SAFETY",'中古車掲載'!J197=2023,ISNUMBER('中古車掲載'!N197),'中古車掲載'!N197&gt;=50000,'中古車掲載'!O197&lt;=100000,'中古車掲載'!AL197=1,'中古車掲載'!Z197="https://www.one2car.com/en/cars-for-sale/toyota/corolla-cross/year-2023"),'中古車掲載'!U197,"")</x:f>
      </x:c>
      <x:c r="BD196" s="3" t="str">
        <x:f>IF(AND('中古車掲載'!C197="One2car",'中古車掲載'!F197="ATTO 3",'中古車掲載'!L197="EXTENDED RANGE",'中古車掲載'!J197=2023,ISNUMBER('中古車掲載'!N197),'中古車掲載'!N197&gt;=20000,'中古車掲載'!O197&lt;=50000,'中古車掲載'!AL197=1),'中古車掲載'!U197,"")</x:f>
      </x:c>
      <x:c r="BE196" s="3" t="str">
        <x:f>IF(AND('中古車掲載'!C197="One2car",'中古車掲載'!F197="Corolla Cross",'中古車掲載'!L197="HEV PREMIUM SAFETY",'中古車掲載'!J197=2023,ISNUMBER('中古車掲載'!N197),'中古車掲載'!N197&gt;=20000,'中古車掲載'!O197&lt;=50000,'中古車掲載'!AL197=1,'中古車掲載'!Z197="https://www.one2car.com/en/cars-for-sale/toyota/corolla-cross/year-2023"),'中古車掲載'!U197,"")</x:f>
      </x:c>
      <x:c r="BF196" s="3" t="str">
        <x:f>IF(AND('中古車掲載'!C197="One2car",'中古車掲載'!F197="Corolla Cross",'中古車掲載'!L197="HEV PREMIUM",'中古車掲載'!J197=2023,ISNUMBER('中古車掲載'!N197),'中古車掲載'!N197&gt;=20000,'中古車掲載'!O197&lt;=100000,'中古車掲載'!AL197=1,'中古車掲載'!Z197="https://www.one2car.com/en/cars-for-sale/toyota/corolla-cross/year-2023"),'中古車掲載'!U197,"")</x:f>
      </x:c>
      <x:c r="BG196" s="3" t="str">
        <x:f>IF(AND('中古車掲載'!C197="One2car",'中古車掲載'!F197="Corolla Cross",'中古車掲載'!L197="HEV GR SPORT",'中古車掲載'!J197=2023,ISNUMBER('中古車掲載'!N197),'中古車掲載'!N197&gt;=20000,'中古車掲載'!O197&lt;=100000,'中古車掲載'!AL197=1,'中古車掲載'!Z197="https://www.one2car.com/en/cars-for-sale/toyota/corolla-cross/year-2023"),'中古車掲載'!U197,"")</x:f>
      </x:c>
      <x:c r="BH196" s="3" t="str">
        <x:f>IF(AND('中古車掲載'!C197="One2car",'中古車掲載'!F197="DOLPHIN",'中古車掲載'!L197="STANDARD RANGE",'中古車掲載'!J197=2023,ISNUMBER('中古車掲載'!N197),'中古車掲載'!N197&gt;=20000,'中古車掲載'!O197&lt;=100000,'中古車掲載'!AL197=1),'中古車掲載'!U197,"")</x:f>
      </x:c>
      <x:c r="BI196" s="3" t="str">
        <x:v>Taladrod|Corolla Altis|HEV|Unknown</x:v>
      </x:c>
      <x:c r="BJ196" s="3" t="n">
        <x:v>197</x:v>
      </x:c>
      <x:c r="BK196" s="3" t="n">
        <x:f>'中古車掲載'!AM197</x:f>
        <x:v>469000</x:v>
      </x:c>
      <x:c r="BL196" s="3" t="str">
        <x:f>IF(ISNUMBER('中古車掲載'!AN197),'中古車掲載'!AN197,"")</x:f>
      </x:c>
      <x:c r="BM196" s="3" t="str">
        <x:v>2023|Double cab</x:v>
      </x:c>
      <x:c r="BN196" s="3" t="n">
        <x:v>854</x:v>
      </x:c>
      <x:c r="BO196" s="3" t="n">
        <x:f>'中古車掲載'!AM854</x:f>
        <x:v>650000</x:v>
      </x:c>
      <x:c r="BP196" s="3" t="str">
        <x:v>2.4 MID PRERUNNER DOUBLE CAB</x:v>
      </x:c>
      <x:c r="BQ196" s="3"/>
      <x:c r="BR196" s="3"/>
    </x:row>
    <x:row r="197" ht="22" customHeight="1">
      <x:c r="A197" s="3"/>
      <x:c r="B197" s="3"/>
      <x:c r="C197" s="3"/>
      <x:c r="D197" s="3"/>
      <x:c r="E197" s="3"/>
      <x:c r="F197" s="3"/>
      <x:c r="G197" s="3"/>
      <x:c r="H197" s="3"/>
      <x:c r="I197" s="3"/>
      <x:c r="J197" s="3"/>
      <x:c r="K197" s="3"/>
      <x:c r="L197" s="3"/>
      <x:c r="M197" s="3"/>
      <x:c r="N197" s="3"/>
      <x:c r="O197" s="3"/>
      <x:c r="P197" s="3"/>
      <x:c r="Q197" s="3"/>
      <x:c r="R197" s="3"/>
      <x:c r="S197" s="3"/>
      <x:c r="T197" s="3"/>
      <x:c r="U197" s="3"/>
      <x:c r="V197" s="3"/>
      <x:c r="W197" s="3"/>
      <x:c r="X197" s="3"/>
      <x:c r="Y197" s="3"/>
      <x:c r="Z197" s="3"/>
      <x:c r="AA197" s="3"/>
      <x:c r="AB197" s="3"/>
      <x:c r="AC197" s="3"/>
      <x:c r="AD197" s="3"/>
      <x:c r="AE197" s="3"/>
      <x:c r="AF197" s="3"/>
      <x:c r="AG197" s="3"/>
      <x:c r="AH197" s="3"/>
      <x:c r="AI197" s="3"/>
      <x:c r="AJ197" s="3"/>
      <x:c r="AK197" s="3"/>
      <x:c r="AL197" s="3"/>
      <x:c r="AM197" s="3"/>
      <x:c r="AN197" s="3"/>
      <x:c r="AO197" s="3"/>
      <x:c r="AP197" s="3"/>
      <x:c r="AQ197" s="3"/>
      <x:c r="AR197" s="3"/>
      <x:c r="AS197" s="3"/>
      <x:c r="AT197" s="3"/>
      <x:c r="AU197" s="3"/>
      <x:c r="AV197" s="3"/>
      <x:c r="AW197" s="3"/>
      <x:c r="AX197" s="3"/>
      <x:c r="AY197" s="3"/>
      <x:c r="AZ197" s="3" t="str">
        <x:f>IF(AND('中古車掲載'!C198="One2car",'中古車掲載'!F198="ATTO 3",'中古車掲載'!L198="EXTENDED RANGE",'中古車掲載'!J198=2023,ISNUMBER('中古車掲載'!N198),'中古車掲載'!N198&gt;=20000,'中古車掲載'!O198&lt;=100000,'中古車掲載'!AL198=1),'中古車掲載'!U198,"")</x:f>
      </x:c>
      <x:c r="BA197" s="3" t="str">
        <x:f>IF(AND('中古車掲載'!C198="One2car",'中古車掲載'!F198="Corolla Cross",'中古車掲載'!L198="HEV PREMIUM SAFETY",'中古車掲載'!J198=2023,ISNUMBER('中古車掲載'!N198),'中古車掲載'!N198&gt;=20000,'中古車掲載'!O198&lt;=100000,'中古車掲載'!AL198=1,'中古車掲載'!Z198="https://www.one2car.com/en/cars-for-sale/toyota/corolla-cross/year-2023"),'中古車掲載'!U198,"")</x:f>
      </x:c>
      <x:c r="BB197" s="3" t="str">
        <x:f>IF(AND('中古車掲載'!C198="One2car",'中古車掲載'!F198="ATTO 3",'中古車掲載'!L198="EXTENDED RANGE",'中古車掲載'!J198=2023,ISNUMBER('中古車掲載'!N198),'中古車掲載'!N198&gt;=50000,'中古車掲載'!O198&lt;=100000,'中古車掲載'!AL198=1),'中古車掲載'!U198,"")</x:f>
      </x:c>
      <x:c r="BC197" s="3" t="str">
        <x:f>IF(AND('中古車掲載'!C198="One2car",'中古車掲載'!F198="Corolla Cross",'中古車掲載'!L198="HEV PREMIUM SAFETY",'中古車掲載'!J198=2023,ISNUMBER('中古車掲載'!N198),'中古車掲載'!N198&gt;=50000,'中古車掲載'!O198&lt;=100000,'中古車掲載'!AL198=1,'中古車掲載'!Z198="https://www.one2car.com/en/cars-for-sale/toyota/corolla-cross/year-2023"),'中古車掲載'!U198,"")</x:f>
      </x:c>
      <x:c r="BD197" s="3" t="str">
        <x:f>IF(AND('中古車掲載'!C198="One2car",'中古車掲載'!F198="ATTO 3",'中古車掲載'!L198="EXTENDED RANGE",'中古車掲載'!J198=2023,ISNUMBER('中古車掲載'!N198),'中古車掲載'!N198&gt;=20000,'中古車掲載'!O198&lt;=50000,'中古車掲載'!AL198=1),'中古車掲載'!U198,"")</x:f>
      </x:c>
      <x:c r="BE197" s="3" t="str">
        <x:f>IF(AND('中古車掲載'!C198="One2car",'中古車掲載'!F198="Corolla Cross",'中古車掲載'!L198="HEV PREMIUM SAFETY",'中古車掲載'!J198=2023,ISNUMBER('中古車掲載'!N198),'中古車掲載'!N198&gt;=20000,'中古車掲載'!O198&lt;=50000,'中古車掲載'!AL198=1,'中古車掲載'!Z198="https://www.one2car.com/en/cars-for-sale/toyota/corolla-cross/year-2023"),'中古車掲載'!U198,"")</x:f>
      </x:c>
      <x:c r="BF197" s="3" t="str">
        <x:f>IF(AND('中古車掲載'!C198="One2car",'中古車掲載'!F198="Corolla Cross",'中古車掲載'!L198="HEV PREMIUM",'中古車掲載'!J198=2023,ISNUMBER('中古車掲載'!N198),'中古車掲載'!N198&gt;=20000,'中古車掲載'!O198&lt;=100000,'中古車掲載'!AL198=1,'中古車掲載'!Z198="https://www.one2car.com/en/cars-for-sale/toyota/corolla-cross/year-2023"),'中古車掲載'!U198,"")</x:f>
      </x:c>
      <x:c r="BG197" s="3" t="str">
        <x:f>IF(AND('中古車掲載'!C198="One2car",'中古車掲載'!F198="Corolla Cross",'中古車掲載'!L198="HEV GR SPORT",'中古車掲載'!J198=2023,ISNUMBER('中古車掲載'!N198),'中古車掲載'!N198&gt;=20000,'中古車掲載'!O198&lt;=100000,'中古車掲載'!AL198=1,'中古車掲載'!Z198="https://www.one2car.com/en/cars-for-sale/toyota/corolla-cross/year-2023"),'中古車掲載'!U198,"")</x:f>
      </x:c>
      <x:c r="BH197" s="3" t="str">
        <x:f>IF(AND('中古車掲載'!C198="One2car",'中古車掲載'!F198="DOLPHIN",'中古車掲載'!L198="STANDARD RANGE",'中古車掲載'!J198=2023,ISNUMBER('中古車掲載'!N198),'中古車掲載'!N198&gt;=20000,'中古車掲載'!O198&lt;=100000,'中古車掲載'!AL198=1),'中古車掲載'!U198,"")</x:f>
      </x:c>
      <x:c r="BI197" s="3" t="str">
        <x:v>Taladrod|Corolla Altis|HEV|Unknown</x:v>
      </x:c>
      <x:c r="BJ197" s="3" t="n">
        <x:v>198</x:v>
      </x:c>
      <x:c r="BK197" s="3" t="n">
        <x:f>'中古車掲載'!AM198</x:f>
        <x:v>629000</x:v>
      </x:c>
      <x:c r="BL197" s="3" t="str">
        <x:f>IF(ISNUMBER('中古車掲載'!AN198),'中古車掲載'!AN198,"")</x:f>
      </x:c>
      <x:c r="BM197" s="3" t="str">
        <x:v>2023|Double cab</x:v>
      </x:c>
      <x:c r="BN197" s="3" t="n">
        <x:v>855</x:v>
      </x:c>
      <x:c r="BO197" s="3" t="n">
        <x:f>'中古車掲載'!AM855</x:f>
        <x:v>779000</x:v>
      </x:c>
      <x:c r="BP197" s="3" t="str">
        <x:v>2.4 MID PRERUNNER DOUBLE CAB</x:v>
      </x:c>
      <x:c r="BQ197" s="3"/>
      <x:c r="BR197" s="3"/>
    </x:row>
    <x:row r="198" ht="22" customHeight="1">
      <x:c r="A198" s="3"/>
      <x:c r="B198" s="3"/>
      <x:c r="C198" s="3"/>
      <x:c r="D198" s="3"/>
      <x:c r="E198" s="3"/>
      <x:c r="F198" s="3"/>
      <x:c r="G198" s="3"/>
      <x:c r="H198" s="3"/>
      <x:c r="I198" s="3"/>
      <x:c r="J198" s="3"/>
      <x:c r="K198" s="3"/>
      <x:c r="L198" s="3"/>
      <x:c r="M198" s="3"/>
      <x:c r="N198" s="3"/>
      <x:c r="O198" s="3"/>
      <x:c r="P198" s="3"/>
      <x:c r="Q198" s="3"/>
      <x:c r="R198" s="3"/>
      <x:c r="S198" s="3"/>
      <x:c r="T198" s="3"/>
      <x:c r="U198" s="3"/>
      <x:c r="V198" s="3"/>
      <x:c r="W198" s="3"/>
      <x:c r="X198" s="3"/>
      <x:c r="Y198" s="3"/>
      <x:c r="Z198" s="3"/>
      <x:c r="AA198" s="3"/>
      <x:c r="AB198" s="3"/>
      <x:c r="AC198" s="3"/>
      <x:c r="AD198" s="3"/>
      <x:c r="AE198" s="3"/>
      <x:c r="AF198" s="3"/>
      <x:c r="AG198" s="3"/>
      <x:c r="AH198" s="3"/>
      <x:c r="AI198" s="3"/>
      <x:c r="AJ198" s="3"/>
      <x:c r="AK198" s="3"/>
      <x:c r="AL198" s="3"/>
      <x:c r="AM198" s="3"/>
      <x:c r="AN198" s="3"/>
      <x:c r="AO198" s="3"/>
      <x:c r="AP198" s="3"/>
      <x:c r="AQ198" s="3"/>
      <x:c r="AR198" s="3"/>
      <x:c r="AS198" s="3"/>
      <x:c r="AT198" s="3"/>
      <x:c r="AU198" s="3"/>
      <x:c r="AV198" s="3"/>
      <x:c r="AW198" s="3"/>
      <x:c r="AX198" s="3"/>
      <x:c r="AY198" s="3"/>
      <x:c r="AZ198" s="3" t="str">
        <x:f>IF(AND('中古車掲載'!C199="One2car",'中古車掲載'!F199="ATTO 3",'中古車掲載'!L199="EXTENDED RANGE",'中古車掲載'!J199=2023,ISNUMBER('中古車掲載'!N199),'中古車掲載'!N199&gt;=20000,'中古車掲載'!O199&lt;=100000,'中古車掲載'!AL199=1),'中古車掲載'!U199,"")</x:f>
      </x:c>
      <x:c r="BA198" s="3" t="str">
        <x:f>IF(AND('中古車掲載'!C199="One2car",'中古車掲載'!F199="Corolla Cross",'中古車掲載'!L199="HEV PREMIUM SAFETY",'中古車掲載'!J199=2023,ISNUMBER('中古車掲載'!N199),'中古車掲載'!N199&gt;=20000,'中古車掲載'!O199&lt;=100000,'中古車掲載'!AL199=1,'中古車掲載'!Z199="https://www.one2car.com/en/cars-for-sale/toyota/corolla-cross/year-2023"),'中古車掲載'!U199,"")</x:f>
      </x:c>
      <x:c r="BB198" s="3" t="str">
        <x:f>IF(AND('中古車掲載'!C199="One2car",'中古車掲載'!F199="ATTO 3",'中古車掲載'!L199="EXTENDED RANGE",'中古車掲載'!J199=2023,ISNUMBER('中古車掲載'!N199),'中古車掲載'!N199&gt;=50000,'中古車掲載'!O199&lt;=100000,'中古車掲載'!AL199=1),'中古車掲載'!U199,"")</x:f>
      </x:c>
      <x:c r="BC198" s="3" t="str">
        <x:f>IF(AND('中古車掲載'!C199="One2car",'中古車掲載'!F199="Corolla Cross",'中古車掲載'!L199="HEV PREMIUM SAFETY",'中古車掲載'!J199=2023,ISNUMBER('中古車掲載'!N199),'中古車掲載'!N199&gt;=50000,'中古車掲載'!O199&lt;=100000,'中古車掲載'!AL199=1,'中古車掲載'!Z199="https://www.one2car.com/en/cars-for-sale/toyota/corolla-cross/year-2023"),'中古車掲載'!U199,"")</x:f>
      </x:c>
      <x:c r="BD198" s="3" t="str">
        <x:f>IF(AND('中古車掲載'!C199="One2car",'中古車掲載'!F199="ATTO 3",'中古車掲載'!L199="EXTENDED RANGE",'中古車掲載'!J199=2023,ISNUMBER('中古車掲載'!N199),'中古車掲載'!N199&gt;=20000,'中古車掲載'!O199&lt;=50000,'中古車掲載'!AL199=1),'中古車掲載'!U199,"")</x:f>
      </x:c>
      <x:c r="BE198" s="3" t="str">
        <x:f>IF(AND('中古車掲載'!C199="One2car",'中古車掲載'!F199="Corolla Cross",'中古車掲載'!L199="HEV PREMIUM SAFETY",'中古車掲載'!J199=2023,ISNUMBER('中古車掲載'!N199),'中古車掲載'!N199&gt;=20000,'中古車掲載'!O199&lt;=50000,'中古車掲載'!AL199=1,'中古車掲載'!Z199="https://www.one2car.com/en/cars-for-sale/toyota/corolla-cross/year-2023"),'中古車掲載'!U199,"")</x:f>
      </x:c>
      <x:c r="BF198" s="3" t="str">
        <x:f>IF(AND('中古車掲載'!C199="One2car",'中古車掲載'!F199="Corolla Cross",'中古車掲載'!L199="HEV PREMIUM",'中古車掲載'!J199=2023,ISNUMBER('中古車掲載'!N199),'中古車掲載'!N199&gt;=20000,'中古車掲載'!O199&lt;=100000,'中古車掲載'!AL199=1,'中古車掲載'!Z199="https://www.one2car.com/en/cars-for-sale/toyota/corolla-cross/year-2023"),'中古車掲載'!U199,"")</x:f>
      </x:c>
      <x:c r="BG198" s="3" t="str">
        <x:f>IF(AND('中古車掲載'!C199="One2car",'中古車掲載'!F199="Corolla Cross",'中古車掲載'!L199="HEV GR SPORT",'中古車掲載'!J199=2023,ISNUMBER('中古車掲載'!N199),'中古車掲載'!N199&gt;=20000,'中古車掲載'!O199&lt;=100000,'中古車掲載'!AL199=1,'中古車掲載'!Z199="https://www.one2car.com/en/cars-for-sale/toyota/corolla-cross/year-2023"),'中古車掲載'!U199,"")</x:f>
      </x:c>
      <x:c r="BH198" s="3" t="str">
        <x:f>IF(AND('中古車掲載'!C199="One2car",'中古車掲載'!F199="DOLPHIN",'中古車掲載'!L199="STANDARD RANGE",'中古車掲載'!J199=2023,ISNUMBER('中古車掲載'!N199),'中古車掲載'!N199&gt;=20000,'中古車掲載'!O199&lt;=100000,'中古車掲載'!AL199=1),'中古車掲載'!U199,"")</x:f>
      </x:c>
      <x:c r="BI198" s="3" t="str">
        <x:v>Taladrod|Corolla Altis|HEV|Unknown</x:v>
      </x:c>
      <x:c r="BJ198" s="3" t="n">
        <x:v>199</x:v>
      </x:c>
      <x:c r="BK198" s="3" t="n">
        <x:f>'中古車掲載'!AM199</x:f>
        <x:v>485000</x:v>
      </x:c>
      <x:c r="BL198" s="3" t="str">
        <x:f>IF(ISNUMBER('中古車掲載'!AN199),'中古車掲載'!AN199,"")</x:f>
      </x:c>
      <x:c r="BM198" s="3" t="str">
        <x:v>2023|Double cab</x:v>
      </x:c>
      <x:c r="BN198" s="3" t="n">
        <x:v>856</x:v>
      </x:c>
      <x:c r="BO198" s="3" t="n">
        <x:f>'中古車掲載'!AM856</x:f>
        <x:v>729000</x:v>
      </x:c>
      <x:c r="BP198" s="3" t="str">
        <x:v>2.4 MID PRERUNNER DOUBLE CAB</x:v>
      </x:c>
      <x:c r="BQ198" s="3"/>
      <x:c r="BR198" s="3"/>
    </x:row>
    <x:row r="199" ht="22"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3"/>
      <x:c r="AF199" s="3"/>
      <x:c r="AG199" s="3"/>
      <x:c r="AH199" s="3"/>
      <x:c r="AI199" s="3"/>
      <x:c r="AJ199" s="3"/>
      <x:c r="AK199" s="3"/>
      <x:c r="AL199" s="3"/>
      <x:c r="AM199" s="3"/>
      <x:c r="AN199" s="3"/>
      <x:c r="AO199" s="3"/>
      <x:c r="AP199" s="3"/>
      <x:c r="AQ199" s="3"/>
      <x:c r="AR199" s="3"/>
      <x:c r="AS199" s="3"/>
      <x:c r="AT199" s="3"/>
      <x:c r="AU199" s="3"/>
      <x:c r="AV199" s="3"/>
      <x:c r="AW199" s="3"/>
      <x:c r="AX199" s="3"/>
      <x:c r="AY199" s="3"/>
      <x:c r="AZ199" s="3" t="str">
        <x:f>IF(AND('中古車掲載'!C200="One2car",'中古車掲載'!F200="ATTO 3",'中古車掲載'!L200="EXTENDED RANGE",'中古車掲載'!J200=2023,ISNUMBER('中古車掲載'!N200),'中古車掲載'!N200&gt;=20000,'中古車掲載'!O200&lt;=100000,'中古車掲載'!AL200=1),'中古車掲載'!U200,"")</x:f>
      </x:c>
      <x:c r="BA199" s="3" t="str">
        <x:f>IF(AND('中古車掲載'!C200="One2car",'中古車掲載'!F200="Corolla Cross",'中古車掲載'!L200="HEV PREMIUM SAFETY",'中古車掲載'!J200=2023,ISNUMBER('中古車掲載'!N200),'中古車掲載'!N200&gt;=20000,'中古車掲載'!O200&lt;=100000,'中古車掲載'!AL200=1,'中古車掲載'!Z200="https://www.one2car.com/en/cars-for-sale/toyota/corolla-cross/year-2023"),'中古車掲載'!U200,"")</x:f>
      </x:c>
      <x:c r="BB199" s="3" t="str">
        <x:f>IF(AND('中古車掲載'!C200="One2car",'中古車掲載'!F200="ATTO 3",'中古車掲載'!L200="EXTENDED RANGE",'中古車掲載'!J200=2023,ISNUMBER('中古車掲載'!N200),'中古車掲載'!N200&gt;=50000,'中古車掲載'!O200&lt;=100000,'中古車掲載'!AL200=1),'中古車掲載'!U200,"")</x:f>
      </x:c>
      <x:c r="BC199" s="3" t="str">
        <x:f>IF(AND('中古車掲載'!C200="One2car",'中古車掲載'!F200="Corolla Cross",'中古車掲載'!L200="HEV PREMIUM SAFETY",'中古車掲載'!J200=2023,ISNUMBER('中古車掲載'!N200),'中古車掲載'!N200&gt;=50000,'中古車掲載'!O200&lt;=100000,'中古車掲載'!AL200=1,'中古車掲載'!Z200="https://www.one2car.com/en/cars-for-sale/toyota/corolla-cross/year-2023"),'中古車掲載'!U200,"")</x:f>
      </x:c>
      <x:c r="BD199" s="3" t="str">
        <x:f>IF(AND('中古車掲載'!C200="One2car",'中古車掲載'!F200="ATTO 3",'中古車掲載'!L200="EXTENDED RANGE",'中古車掲載'!J200=2023,ISNUMBER('中古車掲載'!N200),'中古車掲載'!N200&gt;=20000,'中古車掲載'!O200&lt;=50000,'中古車掲載'!AL200=1),'中古車掲載'!U200,"")</x:f>
      </x:c>
      <x:c r="BE199" s="3" t="str">
        <x:f>IF(AND('中古車掲載'!C200="One2car",'中古車掲載'!F200="Corolla Cross",'中古車掲載'!L200="HEV PREMIUM SAFETY",'中古車掲載'!J200=2023,ISNUMBER('中古車掲載'!N200),'中古車掲載'!N200&gt;=20000,'中古車掲載'!O200&lt;=50000,'中古車掲載'!AL200=1,'中古車掲載'!Z200="https://www.one2car.com/en/cars-for-sale/toyota/corolla-cross/year-2023"),'中古車掲載'!U200,"")</x:f>
      </x:c>
      <x:c r="BF199" s="3" t="str">
        <x:f>IF(AND('中古車掲載'!C200="One2car",'中古車掲載'!F200="Corolla Cross",'中古車掲載'!L200="HEV PREMIUM",'中古車掲載'!J200=2023,ISNUMBER('中古車掲載'!N200),'中古車掲載'!N200&gt;=20000,'中古車掲載'!O200&lt;=100000,'中古車掲載'!AL200=1,'中古車掲載'!Z200="https://www.one2car.com/en/cars-for-sale/toyota/corolla-cross/year-2023"),'中古車掲載'!U200,"")</x:f>
      </x:c>
      <x:c r="BG199" s="3" t="str">
        <x:f>IF(AND('中古車掲載'!C200="One2car",'中古車掲載'!F200="Corolla Cross",'中古車掲載'!L200="HEV GR SPORT",'中古車掲載'!J200=2023,ISNUMBER('中古車掲載'!N200),'中古車掲載'!N200&gt;=20000,'中古車掲載'!O200&lt;=100000,'中古車掲載'!AL200=1,'中古車掲載'!Z200="https://www.one2car.com/en/cars-for-sale/toyota/corolla-cross/year-2023"),'中古車掲載'!U200,"")</x:f>
      </x:c>
      <x:c r="BH199" s="3" t="str">
        <x:f>IF(AND('中古車掲載'!C200="One2car",'中古車掲載'!F200="DOLPHIN",'中古車掲載'!L200="STANDARD RANGE",'中古車掲載'!J200=2023,ISNUMBER('中古車掲載'!N200),'中古車掲載'!N200&gt;=20000,'中古車掲載'!O200&lt;=100000,'中古車掲載'!AL200=1),'中古車掲載'!U200,"")</x:f>
      </x:c>
      <x:c r="BI199" s="3" t="str">
        <x:v>Taladrod|Corolla Altis|HEV|Unknown</x:v>
      </x:c>
      <x:c r="BJ199" s="3" t="n">
        <x:v>200</x:v>
      </x:c>
      <x:c r="BK199" s="3" t="n">
        <x:f>'中古車掲載'!AM200</x:f>
        <x:v>459000</x:v>
      </x:c>
      <x:c r="BL199" s="3" t="str">
        <x:f>IF(ISNUMBER('中古車掲載'!AN200),'中古車掲載'!AN200,"")</x:f>
      </x:c>
      <x:c r="BM199" s="3" t="str">
        <x:v>2023|Double cab</x:v>
      </x:c>
      <x:c r="BN199" s="3" t="n">
        <x:v>859</x:v>
      </x:c>
      <x:c r="BO199" s="3" t="n">
        <x:f>'中古車掲載'!AM859</x:f>
        <x:v>620000</x:v>
      </x:c>
      <x:c r="BP199" s="3" t="str">
        <x:v>2.4 MID Z EDITION DOUBLE CAB</x:v>
      </x:c>
      <x:c r="BQ199" s="3"/>
      <x:c r="BR199" s="3"/>
    </x:row>
    <x:row r="200" ht="22" customHeight="1">
      <x:c r="A200" s="3"/>
      <x:c r="B200" s="3"/>
      <x:c r="C200" s="3"/>
      <x:c r="D200" s="3"/>
      <x:c r="E200" s="3"/>
      <x:c r="F200" s="3"/>
      <x:c r="G200" s="3"/>
      <x:c r="H200" s="3"/>
      <x:c r="I200" s="3"/>
      <x:c r="J200" s="3"/>
      <x:c r="K200" s="3"/>
      <x:c r="L200" s="3"/>
      <x:c r="M200" s="3"/>
      <x:c r="N200" s="3"/>
      <x:c r="O200" s="3"/>
      <x:c r="P200" s="3"/>
      <x:c r="Q200" s="3"/>
      <x:c r="R200" s="3"/>
      <x:c r="S200" s="3"/>
      <x:c r="T200" s="3"/>
      <x:c r="U200" s="3"/>
      <x:c r="V200" s="3"/>
      <x:c r="W200" s="3"/>
      <x:c r="X200" s="3"/>
      <x:c r="Y200" s="3"/>
      <x:c r="Z200" s="3"/>
      <x:c r="AA200" s="3"/>
      <x:c r="AB200" s="3"/>
      <x:c r="AC200" s="3"/>
      <x:c r="AD200" s="3"/>
      <x:c r="AE200" s="3"/>
      <x:c r="AF200" s="3"/>
      <x:c r="AG200" s="3"/>
      <x:c r="AH200" s="3"/>
      <x:c r="AI200" s="3"/>
      <x:c r="AJ200" s="3"/>
      <x:c r="AK200" s="3"/>
      <x:c r="AL200" s="3"/>
      <x:c r="AM200" s="3"/>
      <x:c r="AN200" s="3"/>
      <x:c r="AO200" s="3"/>
      <x:c r="AP200" s="3"/>
      <x:c r="AQ200" s="3"/>
      <x:c r="AR200" s="3"/>
      <x:c r="AS200" s="3"/>
      <x:c r="AT200" s="3"/>
      <x:c r="AU200" s="3"/>
      <x:c r="AV200" s="3"/>
      <x:c r="AW200" s="3"/>
      <x:c r="AX200" s="3"/>
      <x:c r="AY200" s="3"/>
      <x:c r="AZ200" s="3" t="str">
        <x:f>IF(AND('中古車掲載'!C201="One2car",'中古車掲載'!F201="ATTO 3",'中古車掲載'!L201="EXTENDED RANGE",'中古車掲載'!J201=2023,ISNUMBER('中古車掲載'!N201),'中古車掲載'!N201&gt;=20000,'中古車掲載'!O201&lt;=100000,'中古車掲載'!AL201=1),'中古車掲載'!U201,"")</x:f>
      </x:c>
      <x:c r="BA200" s="3" t="str">
        <x:f>IF(AND('中古車掲載'!C201="One2car",'中古車掲載'!F201="Corolla Cross",'中古車掲載'!L201="HEV PREMIUM SAFETY",'中古車掲載'!J201=2023,ISNUMBER('中古車掲載'!N201),'中古車掲載'!N201&gt;=20000,'中古車掲載'!O201&lt;=100000,'中古車掲載'!AL201=1,'中古車掲載'!Z201="https://www.one2car.com/en/cars-for-sale/toyota/corolla-cross/year-2023"),'中古車掲載'!U201,"")</x:f>
      </x:c>
      <x:c r="BB200" s="3" t="str">
        <x:f>IF(AND('中古車掲載'!C201="One2car",'中古車掲載'!F201="ATTO 3",'中古車掲載'!L201="EXTENDED RANGE",'中古車掲載'!J201=2023,ISNUMBER('中古車掲載'!N201),'中古車掲載'!N201&gt;=50000,'中古車掲載'!O201&lt;=100000,'中古車掲載'!AL201=1),'中古車掲載'!U201,"")</x:f>
      </x:c>
      <x:c r="BC200" s="3" t="str">
        <x:f>IF(AND('中古車掲載'!C201="One2car",'中古車掲載'!F201="Corolla Cross",'中古車掲載'!L201="HEV PREMIUM SAFETY",'中古車掲載'!J201=2023,ISNUMBER('中古車掲載'!N201),'中古車掲載'!N201&gt;=50000,'中古車掲載'!O201&lt;=100000,'中古車掲載'!AL201=1,'中古車掲載'!Z201="https://www.one2car.com/en/cars-for-sale/toyota/corolla-cross/year-2023"),'中古車掲載'!U201,"")</x:f>
      </x:c>
      <x:c r="BD200" s="3" t="str">
        <x:f>IF(AND('中古車掲載'!C201="One2car",'中古車掲載'!F201="ATTO 3",'中古車掲載'!L201="EXTENDED RANGE",'中古車掲載'!J201=2023,ISNUMBER('中古車掲載'!N201),'中古車掲載'!N201&gt;=20000,'中古車掲載'!O201&lt;=50000,'中古車掲載'!AL201=1),'中古車掲載'!U201,"")</x:f>
      </x:c>
      <x:c r="BE200" s="3" t="str">
        <x:f>IF(AND('中古車掲載'!C201="One2car",'中古車掲載'!F201="Corolla Cross",'中古車掲載'!L201="HEV PREMIUM SAFETY",'中古車掲載'!J201=2023,ISNUMBER('中古車掲載'!N201),'中古車掲載'!N201&gt;=20000,'中古車掲載'!O201&lt;=50000,'中古車掲載'!AL201=1,'中古車掲載'!Z201="https://www.one2car.com/en/cars-for-sale/toyota/corolla-cross/year-2023"),'中古車掲載'!U201,"")</x:f>
      </x:c>
      <x:c r="BF200" s="3" t="str">
        <x:f>IF(AND('中古車掲載'!C201="One2car",'中古車掲載'!F201="Corolla Cross",'中古車掲載'!L201="HEV PREMIUM",'中古車掲載'!J201=2023,ISNUMBER('中古車掲載'!N201),'中古車掲載'!N201&gt;=20000,'中古車掲載'!O201&lt;=100000,'中古車掲載'!AL201=1,'中古車掲載'!Z201="https://www.one2car.com/en/cars-for-sale/toyota/corolla-cross/year-2023"),'中古車掲載'!U201,"")</x:f>
      </x:c>
      <x:c r="BG200" s="3" t="str">
        <x:f>IF(AND('中古車掲載'!C201="One2car",'中古車掲載'!F201="Corolla Cross",'中古車掲載'!L201="HEV GR SPORT",'中古車掲載'!J201=2023,ISNUMBER('中古車掲載'!N201),'中古車掲載'!N201&gt;=20000,'中古車掲載'!O201&lt;=100000,'中古車掲載'!AL201=1,'中古車掲載'!Z201="https://www.one2car.com/en/cars-for-sale/toyota/corolla-cross/year-2023"),'中古車掲載'!U201,"")</x:f>
      </x:c>
      <x:c r="BH200" s="3" t="str">
        <x:f>IF(AND('中古車掲載'!C201="One2car",'中古車掲載'!F201="DOLPHIN",'中古車掲載'!L201="STANDARD RANGE",'中古車掲載'!J201=2023,ISNUMBER('中古車掲載'!N201),'中古車掲載'!N201&gt;=20000,'中古車掲載'!O201&lt;=100000,'中古車掲載'!AL201=1),'中古車掲載'!U201,"")</x:f>
      </x:c>
      <x:c r="BI200" s="3" t="str">
        <x:v>Taladrod|Corolla Altis|HEV|Unknown</x:v>
      </x:c>
      <x:c r="BJ200" s="3" t="n">
        <x:v>201</x:v>
      </x:c>
      <x:c r="BK200" s="3" t="n">
        <x:f>'中古車掲載'!AM201</x:f>
        <x:v>620000</x:v>
      </x:c>
      <x:c r="BL200" s="3" t="str">
        <x:f>IF(ISNUMBER('中古車掲載'!AN201),'中古車掲載'!AN201,"")</x:f>
      </x:c>
      <x:c r="BM200" s="3" t="str">
        <x:v>2023|Double cab</x:v>
      </x:c>
      <x:c r="BN200" s="3" t="n">
        <x:v>860</x:v>
      </x:c>
      <x:c r="BO200" s="3" t="n">
        <x:f>'中古車掲載'!AM860</x:f>
        <x:v>460000</x:v>
      </x:c>
      <x:c r="BP200" s="3" t="str">
        <x:v>2.4 MID Z EDITION DOUBLE CAB</x:v>
      </x:c>
      <x:c r="BQ200" s="3"/>
      <x:c r="BR200" s="3"/>
    </x:row>
    <x:row r="201" ht="22" customHeight="1">
      <x:c r="A201" s="3"/>
      <x:c r="B201" s="3"/>
      <x:c r="C201" s="3"/>
      <x:c r="D201" s="3"/>
      <x:c r="E201" s="3"/>
      <x:c r="F201" s="3"/>
      <x:c r="G201" s="3"/>
      <x:c r="H201" s="3"/>
      <x:c r="I201" s="3"/>
      <x:c r="J201" s="3"/>
      <x:c r="K201" s="3"/>
      <x:c r="L201" s="3"/>
      <x:c r="M201" s="3"/>
      <x:c r="N201" s="3"/>
      <x:c r="O201" s="3"/>
      <x:c r="P201" s="3"/>
      <x:c r="Q201" s="3"/>
      <x:c r="R201" s="3"/>
      <x:c r="S201" s="3"/>
      <x:c r="T201" s="3"/>
      <x:c r="U201" s="3"/>
      <x:c r="V201" s="3"/>
      <x:c r="W201" s="3"/>
      <x:c r="X201" s="3"/>
      <x:c r="Y201" s="3"/>
      <x:c r="Z201" s="3"/>
      <x:c r="AA201" s="3"/>
      <x:c r="AB201" s="3"/>
      <x:c r="AC201" s="3"/>
      <x:c r="AD201" s="3"/>
      <x:c r="AE201" s="3"/>
      <x:c r="AF201" s="3"/>
      <x:c r="AG201" s="3"/>
      <x:c r="AH201" s="3"/>
      <x:c r="AI201" s="3"/>
      <x:c r="AJ201" s="3"/>
      <x:c r="AK201" s="3"/>
      <x:c r="AL201" s="3"/>
      <x:c r="AM201" s="3"/>
      <x:c r="AN201" s="3"/>
      <x:c r="AO201" s="3"/>
      <x:c r="AP201" s="3"/>
      <x:c r="AQ201" s="3"/>
      <x:c r="AR201" s="3"/>
      <x:c r="AS201" s="3"/>
      <x:c r="AT201" s="3"/>
      <x:c r="AU201" s="3"/>
      <x:c r="AV201" s="3"/>
      <x:c r="AW201" s="3"/>
      <x:c r="AX201" s="3"/>
      <x:c r="AY201" s="3"/>
      <x:c r="AZ201" s="3" t="str">
        <x:f>IF(AND('中古車掲載'!C202="One2car",'中古車掲載'!F202="ATTO 3",'中古車掲載'!L202="EXTENDED RANGE",'中古車掲載'!J202=2023,ISNUMBER('中古車掲載'!N202),'中古車掲載'!N202&gt;=20000,'中古車掲載'!O202&lt;=100000,'中古車掲載'!AL202=1),'中古車掲載'!U202,"")</x:f>
      </x:c>
      <x:c r="BA201" s="3" t="str">
        <x:f>IF(AND('中古車掲載'!C202="One2car",'中古車掲載'!F202="Corolla Cross",'中古車掲載'!L202="HEV PREMIUM SAFETY",'中古車掲載'!J202=2023,ISNUMBER('中古車掲載'!N202),'中古車掲載'!N202&gt;=20000,'中古車掲載'!O202&lt;=100000,'中古車掲載'!AL202=1,'中古車掲載'!Z202="https://www.one2car.com/en/cars-for-sale/toyota/corolla-cross/year-2023"),'中古車掲載'!U202,"")</x:f>
      </x:c>
      <x:c r="BB201" s="3" t="str">
        <x:f>IF(AND('中古車掲載'!C202="One2car",'中古車掲載'!F202="ATTO 3",'中古車掲載'!L202="EXTENDED RANGE",'中古車掲載'!J202=2023,ISNUMBER('中古車掲載'!N202),'中古車掲載'!N202&gt;=50000,'中古車掲載'!O202&lt;=100000,'中古車掲載'!AL202=1),'中古車掲載'!U202,"")</x:f>
      </x:c>
      <x:c r="BC201" s="3" t="str">
        <x:f>IF(AND('中古車掲載'!C202="One2car",'中古車掲載'!F202="Corolla Cross",'中古車掲載'!L202="HEV PREMIUM SAFETY",'中古車掲載'!J202=2023,ISNUMBER('中古車掲載'!N202),'中古車掲載'!N202&gt;=50000,'中古車掲載'!O202&lt;=100000,'中古車掲載'!AL202=1,'中古車掲載'!Z202="https://www.one2car.com/en/cars-for-sale/toyota/corolla-cross/year-2023"),'中古車掲載'!U202,"")</x:f>
      </x:c>
      <x:c r="BD201" s="3" t="str">
        <x:f>IF(AND('中古車掲載'!C202="One2car",'中古車掲載'!F202="ATTO 3",'中古車掲載'!L202="EXTENDED RANGE",'中古車掲載'!J202=2023,ISNUMBER('中古車掲載'!N202),'中古車掲載'!N202&gt;=20000,'中古車掲載'!O202&lt;=50000,'中古車掲載'!AL202=1),'中古車掲載'!U202,"")</x:f>
      </x:c>
      <x:c r="BE201" s="3" t="str">
        <x:f>IF(AND('中古車掲載'!C202="One2car",'中古車掲載'!F202="Corolla Cross",'中古車掲載'!L202="HEV PREMIUM SAFETY",'中古車掲載'!J202=2023,ISNUMBER('中古車掲載'!N202),'中古車掲載'!N202&gt;=20000,'中古車掲載'!O202&lt;=50000,'中古車掲載'!AL202=1,'中古車掲載'!Z202="https://www.one2car.com/en/cars-for-sale/toyota/corolla-cross/year-2023"),'中古車掲載'!U202,"")</x:f>
      </x:c>
      <x:c r="BF201" s="3" t="str">
        <x:f>IF(AND('中古車掲載'!C202="One2car",'中古車掲載'!F202="Corolla Cross",'中古車掲載'!L202="HEV PREMIUM",'中古車掲載'!J202=2023,ISNUMBER('中古車掲載'!N202),'中古車掲載'!N202&gt;=20000,'中古車掲載'!O202&lt;=100000,'中古車掲載'!AL202=1,'中古車掲載'!Z202="https://www.one2car.com/en/cars-for-sale/toyota/corolla-cross/year-2023"),'中古車掲載'!U202,"")</x:f>
      </x:c>
      <x:c r="BG201" s="3" t="str">
        <x:f>IF(AND('中古車掲載'!C202="One2car",'中古車掲載'!F202="Corolla Cross",'中古車掲載'!L202="HEV GR SPORT",'中古車掲載'!J202=2023,ISNUMBER('中古車掲載'!N202),'中古車掲載'!N202&gt;=20000,'中古車掲載'!O202&lt;=100000,'中古車掲載'!AL202=1,'中古車掲載'!Z202="https://www.one2car.com/en/cars-for-sale/toyota/corolla-cross/year-2023"),'中古車掲載'!U202,"")</x:f>
      </x:c>
      <x:c r="BH201" s="3" t="str">
        <x:f>IF(AND('中古車掲載'!C202="One2car",'中古車掲載'!F202="DOLPHIN",'中古車掲載'!L202="STANDARD RANGE",'中古車掲載'!J202=2023,ISNUMBER('中古車掲載'!N202),'中古車掲載'!N202&gt;=20000,'中古車掲載'!O202&lt;=100000,'中古車掲載'!AL202=1),'中古車掲載'!U202,"")</x:f>
      </x:c>
      <x:c r="BI201" s="3" t="str">
        <x:v>Taladrod|Corolla Altis|HEV|Unknown</x:v>
      </x:c>
      <x:c r="BJ201" s="3" t="n">
        <x:v>202</x:v>
      </x:c>
      <x:c r="BK201" s="3" t="n">
        <x:f>'中古車掲載'!AM202</x:f>
        <x:v>599000</x:v>
      </x:c>
      <x:c r="BL201" s="3" t="str">
        <x:f>IF(ISNUMBER('中古車掲載'!AN202),'中古車掲載'!AN202,"")</x:f>
      </x:c>
      <x:c r="BM201" s="3" t="str">
        <x:v>2023|Double cab</x:v>
      </x:c>
      <x:c r="BN201" s="3" t="n">
        <x:v>861</x:v>
      </x:c>
      <x:c r="BO201" s="3" t="n">
        <x:f>'中古車掲載'!AM861</x:f>
        <x:v>799000</x:v>
      </x:c>
      <x:c r="BP201" s="3" t="str">
        <x:v>2.4 PRERUNNER DOUBLE CAB</x:v>
      </x:c>
      <x:c r="BQ201" s="3"/>
      <x:c r="BR201" s="3"/>
    </x:row>
    <x:row r="202" ht="22" customHeight="1">
      <x:c r="A202" s="3"/>
      <x:c r="B202" s="3"/>
      <x:c r="C202" s="3"/>
      <x:c r="D202" s="3"/>
      <x:c r="E202" s="3"/>
      <x:c r="F202" s="3"/>
      <x:c r="G202" s="3"/>
      <x:c r="H202" s="3"/>
      <x:c r="I202" s="3"/>
      <x:c r="J202" s="3"/>
      <x:c r="K202" s="3"/>
      <x:c r="L202" s="3"/>
      <x:c r="M202" s="3"/>
      <x:c r="N202" s="3"/>
      <x:c r="O202" s="3"/>
      <x:c r="P202" s="3"/>
      <x:c r="Q202" s="3"/>
      <x:c r="R202" s="3"/>
      <x:c r="S202" s="3"/>
      <x:c r="T202" s="3"/>
      <x:c r="U202" s="3"/>
      <x:c r="V202" s="3"/>
      <x:c r="W202" s="3"/>
      <x:c r="X202" s="3"/>
      <x:c r="Y202" s="3"/>
      <x:c r="Z202" s="3"/>
      <x:c r="AA202" s="3"/>
      <x:c r="AB202" s="3"/>
      <x:c r="AC202" s="3"/>
      <x:c r="AD202" s="3"/>
      <x:c r="AE202" s="3"/>
      <x:c r="AF202" s="3"/>
      <x:c r="AG202" s="3"/>
      <x:c r="AH202" s="3"/>
      <x:c r="AI202" s="3"/>
      <x:c r="AJ202" s="3"/>
      <x:c r="AK202" s="3"/>
      <x:c r="AL202" s="3"/>
      <x:c r="AM202" s="3"/>
      <x:c r="AN202" s="3"/>
      <x:c r="AO202" s="3"/>
      <x:c r="AP202" s="3"/>
      <x:c r="AQ202" s="3"/>
      <x:c r="AR202" s="3"/>
      <x:c r="AS202" s="3"/>
      <x:c r="AT202" s="3"/>
      <x:c r="AU202" s="3"/>
      <x:c r="AV202" s="3"/>
      <x:c r="AW202" s="3"/>
      <x:c r="AX202" s="3"/>
      <x:c r="AY202" s="3"/>
      <x:c r="AZ202" s="3" t="str">
        <x:f>IF(AND('中古車掲載'!C203="One2car",'中古車掲載'!F203="ATTO 3",'中古車掲載'!L203="EXTENDED RANGE",'中古車掲載'!J203=2023,ISNUMBER('中古車掲載'!N203),'中古車掲載'!N203&gt;=20000,'中古車掲載'!O203&lt;=100000,'中古車掲載'!AL203=1),'中古車掲載'!U203,"")</x:f>
      </x:c>
      <x:c r="BA202" s="3" t="str">
        <x:f>IF(AND('中古車掲載'!C203="One2car",'中古車掲載'!F203="Corolla Cross",'中古車掲載'!L203="HEV PREMIUM SAFETY",'中古車掲載'!J203=2023,ISNUMBER('中古車掲載'!N203),'中古車掲載'!N203&gt;=20000,'中古車掲載'!O203&lt;=100000,'中古車掲載'!AL203=1,'中古車掲載'!Z203="https://www.one2car.com/en/cars-for-sale/toyota/corolla-cross/year-2023"),'中古車掲載'!U203,"")</x:f>
      </x:c>
      <x:c r="BB202" s="3" t="str">
        <x:f>IF(AND('中古車掲載'!C203="One2car",'中古車掲載'!F203="ATTO 3",'中古車掲載'!L203="EXTENDED RANGE",'中古車掲載'!J203=2023,ISNUMBER('中古車掲載'!N203),'中古車掲載'!N203&gt;=50000,'中古車掲載'!O203&lt;=100000,'中古車掲載'!AL203=1),'中古車掲載'!U203,"")</x:f>
      </x:c>
      <x:c r="BC202" s="3" t="str">
        <x:f>IF(AND('中古車掲載'!C203="One2car",'中古車掲載'!F203="Corolla Cross",'中古車掲載'!L203="HEV PREMIUM SAFETY",'中古車掲載'!J203=2023,ISNUMBER('中古車掲載'!N203),'中古車掲載'!N203&gt;=50000,'中古車掲載'!O203&lt;=100000,'中古車掲載'!AL203=1,'中古車掲載'!Z203="https://www.one2car.com/en/cars-for-sale/toyota/corolla-cross/year-2023"),'中古車掲載'!U203,"")</x:f>
      </x:c>
      <x:c r="BD202" s="3" t="str">
        <x:f>IF(AND('中古車掲載'!C203="One2car",'中古車掲載'!F203="ATTO 3",'中古車掲載'!L203="EXTENDED RANGE",'中古車掲載'!J203=2023,ISNUMBER('中古車掲載'!N203),'中古車掲載'!N203&gt;=20000,'中古車掲載'!O203&lt;=50000,'中古車掲載'!AL203=1),'中古車掲載'!U203,"")</x:f>
      </x:c>
      <x:c r="BE202" s="3" t="str">
        <x:f>IF(AND('中古車掲載'!C203="One2car",'中古車掲載'!F203="Corolla Cross",'中古車掲載'!L203="HEV PREMIUM SAFETY",'中古車掲載'!J203=2023,ISNUMBER('中古車掲載'!N203),'中古車掲載'!N203&gt;=20000,'中古車掲載'!O203&lt;=50000,'中古車掲載'!AL203=1,'中古車掲載'!Z203="https://www.one2car.com/en/cars-for-sale/toyota/corolla-cross/year-2023"),'中古車掲載'!U203,"")</x:f>
      </x:c>
      <x:c r="BF202" s="3" t="str">
        <x:f>IF(AND('中古車掲載'!C203="One2car",'中古車掲載'!F203="Corolla Cross",'中古車掲載'!L203="HEV PREMIUM",'中古車掲載'!J203=2023,ISNUMBER('中古車掲載'!N203),'中古車掲載'!N203&gt;=20000,'中古車掲載'!O203&lt;=100000,'中古車掲載'!AL203=1,'中古車掲載'!Z203="https://www.one2car.com/en/cars-for-sale/toyota/corolla-cross/year-2023"),'中古車掲載'!U203,"")</x:f>
      </x:c>
      <x:c r="BG202" s="3" t="str">
        <x:f>IF(AND('中古車掲載'!C203="One2car",'中古車掲載'!F203="Corolla Cross",'中古車掲載'!L203="HEV GR SPORT",'中古車掲載'!J203=2023,ISNUMBER('中古車掲載'!N203),'中古車掲載'!N203&gt;=20000,'中古車掲載'!O203&lt;=100000,'中古車掲載'!AL203=1,'中古車掲載'!Z203="https://www.one2car.com/en/cars-for-sale/toyota/corolla-cross/year-2023"),'中古車掲載'!U203,"")</x:f>
      </x:c>
      <x:c r="BH202" s="3" t="str">
        <x:f>IF(AND('中古車掲載'!C203="One2car",'中古車掲載'!F203="DOLPHIN",'中古車掲載'!L203="STANDARD RANGE",'中古車掲載'!J203=2023,ISNUMBER('中古車掲載'!N203),'中古車掲載'!N203&gt;=20000,'中古車掲載'!O203&lt;=100000,'中古車掲載'!AL203=1),'中古車掲載'!U203,"")</x:f>
      </x:c>
      <x:c r="BI202" s="3" t="str">
        <x:v>Taladrod|Corolla Altis|HEV|Unknown</x:v>
      </x:c>
      <x:c r="BJ202" s="3" t="n">
        <x:v>203</x:v>
      </x:c>
      <x:c r="BK202" s="3" t="n">
        <x:f>'中古車掲載'!AM203</x:f>
        <x:v>699000</x:v>
      </x:c>
      <x:c r="BL202" s="3" t="str">
        <x:f>IF(ISNUMBER('中古車掲載'!AN203),'中古車掲載'!AN203,"")</x:f>
      </x:c>
      <x:c r="BM202" s="3" t="str">
        <x:v>2023|Double cab</x:v>
      </x:c>
      <x:c r="BN202" s="3" t="n">
        <x:v>862</x:v>
      </x:c>
      <x:c r="BO202" s="3" t="n">
        <x:f>'中古車掲載'!AM862</x:f>
        <x:v>760000</x:v>
      </x:c>
      <x:c r="BP202" s="3" t="str">
        <x:v>2.4 PRERUNNER DOUBLE CAB</x:v>
      </x:c>
      <x:c r="BQ202" s="3"/>
      <x:c r="BR202" s="3"/>
    </x:row>
    <x:row r="203" ht="22"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3"/>
      <x:c r="AF203" s="3"/>
      <x:c r="AG203" s="3"/>
      <x:c r="AH203" s="3"/>
      <x:c r="AI203" s="3"/>
      <x:c r="AJ203" s="3"/>
      <x:c r="AK203" s="3"/>
      <x:c r="AL203" s="3"/>
      <x:c r="AM203" s="3"/>
      <x:c r="AN203" s="3"/>
      <x:c r="AO203" s="3"/>
      <x:c r="AP203" s="3"/>
      <x:c r="AQ203" s="3"/>
      <x:c r="AR203" s="3"/>
      <x:c r="AS203" s="3"/>
      <x:c r="AT203" s="3"/>
      <x:c r="AU203" s="3"/>
      <x:c r="AV203" s="3"/>
      <x:c r="AW203" s="3"/>
      <x:c r="AX203" s="3"/>
      <x:c r="AY203" s="3"/>
      <x:c r="AZ203" s="3" t="str">
        <x:f>IF(AND('中古車掲載'!C204="One2car",'中古車掲載'!F204="ATTO 3",'中古車掲載'!L204="EXTENDED RANGE",'中古車掲載'!J204=2023,ISNUMBER('中古車掲載'!N204),'中古車掲載'!N204&gt;=20000,'中古車掲載'!O204&lt;=100000,'中古車掲載'!AL204=1),'中古車掲載'!U204,"")</x:f>
      </x:c>
      <x:c r="BA203" s="3" t="str">
        <x:f>IF(AND('中古車掲載'!C204="One2car",'中古車掲載'!F204="Corolla Cross",'中古車掲載'!L204="HEV PREMIUM SAFETY",'中古車掲載'!J204=2023,ISNUMBER('中古車掲載'!N204),'中古車掲載'!N204&gt;=20000,'中古車掲載'!O204&lt;=100000,'中古車掲載'!AL204=1,'中古車掲載'!Z204="https://www.one2car.com/en/cars-for-sale/toyota/corolla-cross/year-2023"),'中古車掲載'!U204,"")</x:f>
      </x:c>
      <x:c r="BB203" s="3" t="str">
        <x:f>IF(AND('中古車掲載'!C204="One2car",'中古車掲載'!F204="ATTO 3",'中古車掲載'!L204="EXTENDED RANGE",'中古車掲載'!J204=2023,ISNUMBER('中古車掲載'!N204),'中古車掲載'!N204&gt;=50000,'中古車掲載'!O204&lt;=100000,'中古車掲載'!AL204=1),'中古車掲載'!U204,"")</x:f>
      </x:c>
      <x:c r="BC203" s="3" t="str">
        <x:f>IF(AND('中古車掲載'!C204="One2car",'中古車掲載'!F204="Corolla Cross",'中古車掲載'!L204="HEV PREMIUM SAFETY",'中古車掲載'!J204=2023,ISNUMBER('中古車掲載'!N204),'中古車掲載'!N204&gt;=50000,'中古車掲載'!O204&lt;=100000,'中古車掲載'!AL204=1,'中古車掲載'!Z204="https://www.one2car.com/en/cars-for-sale/toyota/corolla-cross/year-2023"),'中古車掲載'!U204,"")</x:f>
      </x:c>
      <x:c r="BD203" s="3" t="str">
        <x:f>IF(AND('中古車掲載'!C204="One2car",'中古車掲載'!F204="ATTO 3",'中古車掲載'!L204="EXTENDED RANGE",'中古車掲載'!J204=2023,ISNUMBER('中古車掲載'!N204),'中古車掲載'!N204&gt;=20000,'中古車掲載'!O204&lt;=50000,'中古車掲載'!AL204=1),'中古車掲載'!U204,"")</x:f>
      </x:c>
      <x:c r="BE203" s="3" t="str">
        <x:f>IF(AND('中古車掲載'!C204="One2car",'中古車掲載'!F204="Corolla Cross",'中古車掲載'!L204="HEV PREMIUM SAFETY",'中古車掲載'!J204=2023,ISNUMBER('中古車掲載'!N204),'中古車掲載'!N204&gt;=20000,'中古車掲載'!O204&lt;=50000,'中古車掲載'!AL204=1,'中古車掲載'!Z204="https://www.one2car.com/en/cars-for-sale/toyota/corolla-cross/year-2023"),'中古車掲載'!U204,"")</x:f>
      </x:c>
      <x:c r="BF203" s="3" t="str">
        <x:f>IF(AND('中古車掲載'!C204="One2car",'中古車掲載'!F204="Corolla Cross",'中古車掲載'!L204="HEV PREMIUM",'中古車掲載'!J204=2023,ISNUMBER('中古車掲載'!N204),'中古車掲載'!N204&gt;=20000,'中古車掲載'!O204&lt;=100000,'中古車掲載'!AL204=1,'中古車掲載'!Z204="https://www.one2car.com/en/cars-for-sale/toyota/corolla-cross/year-2023"),'中古車掲載'!U204,"")</x:f>
      </x:c>
      <x:c r="BG203" s="3" t="str">
        <x:f>IF(AND('中古車掲載'!C204="One2car",'中古車掲載'!F204="Corolla Cross",'中古車掲載'!L204="HEV GR SPORT",'中古車掲載'!J204=2023,ISNUMBER('中古車掲載'!N204),'中古車掲載'!N204&gt;=20000,'中古車掲載'!O204&lt;=100000,'中古車掲載'!AL204=1,'中古車掲載'!Z204="https://www.one2car.com/en/cars-for-sale/toyota/corolla-cross/year-2023"),'中古車掲載'!U204,"")</x:f>
      </x:c>
      <x:c r="BH203" s="3" t="str">
        <x:f>IF(AND('中古車掲載'!C204="One2car",'中古車掲載'!F204="DOLPHIN",'中古車掲載'!L204="STANDARD RANGE",'中古車掲載'!J204=2023,ISNUMBER('中古車掲載'!N204),'中古車掲載'!N204&gt;=20000,'中古車掲載'!O204&lt;=100000,'中古車掲載'!AL204=1),'中古車掲載'!U204,"")</x:f>
      </x:c>
      <x:c r="BI203" s="3" t="str">
        <x:v>Taladrod|Corolla Altis|HEV|Unknown</x:v>
      </x:c>
      <x:c r="BJ203" s="3" t="n">
        <x:v>204</x:v>
      </x:c>
      <x:c r="BK203" s="3" t="n">
        <x:f>'中古車掲載'!AM204</x:f>
        <x:v>475000</x:v>
      </x:c>
      <x:c r="BL203" s="3" t="str">
        <x:f>IF(ISNUMBER('中古車掲載'!AN204),'中古車掲載'!AN204,"")</x:f>
      </x:c>
      <x:c r="BM203" s="3" t="str">
        <x:v>2023|Double cab</x:v>
      </x:c>
      <x:c r="BN203" s="3" t="n">
        <x:v>866</x:v>
      </x:c>
      <x:c r="BO203" s="3" t="n">
        <x:f>'中古車掲載'!AM866</x:f>
        <x:v>899000</x:v>
      </x:c>
      <x:c r="BP203" s="3" t="str">
        <x:v>2.8 HIGH 4WD DOUBLE CAB</x:v>
      </x:c>
      <x:c r="BQ203" s="3"/>
      <x:c r="BR203" s="3"/>
    </x:row>
    <x:row r="204" ht="22"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3"/>
      <x:c r="AF204" s="3"/>
      <x:c r="AG204" s="3"/>
      <x:c r="AH204" s="3"/>
      <x:c r="AI204" s="3"/>
      <x:c r="AJ204" s="3"/>
      <x:c r="AK204" s="3"/>
      <x:c r="AL204" s="3"/>
      <x:c r="AM204" s="3"/>
      <x:c r="AN204" s="3"/>
      <x:c r="AO204" s="3"/>
      <x:c r="AP204" s="3"/>
      <x:c r="AQ204" s="3"/>
      <x:c r="AR204" s="3"/>
      <x:c r="AS204" s="3"/>
      <x:c r="AT204" s="3"/>
      <x:c r="AU204" s="3"/>
      <x:c r="AV204" s="3"/>
      <x:c r="AW204" s="3"/>
      <x:c r="AX204" s="3"/>
      <x:c r="AY204" s="3"/>
      <x:c r="AZ204" s="3" t="str">
        <x:f>IF(AND('中古車掲載'!C205="One2car",'中古車掲載'!F205="ATTO 3",'中古車掲載'!L205="EXTENDED RANGE",'中古車掲載'!J205=2023,ISNUMBER('中古車掲載'!N205),'中古車掲載'!N205&gt;=20000,'中古車掲載'!O205&lt;=100000,'中古車掲載'!AL205=1),'中古車掲載'!U205,"")</x:f>
      </x:c>
      <x:c r="BA204" s="3" t="str">
        <x:f>IF(AND('中古車掲載'!C205="One2car",'中古車掲載'!F205="Corolla Cross",'中古車掲載'!L205="HEV PREMIUM SAFETY",'中古車掲載'!J205=2023,ISNUMBER('中古車掲載'!N205),'中古車掲載'!N205&gt;=20000,'中古車掲載'!O205&lt;=100000,'中古車掲載'!AL205=1,'中古車掲載'!Z205="https://www.one2car.com/en/cars-for-sale/toyota/corolla-cross/year-2023"),'中古車掲載'!U205,"")</x:f>
      </x:c>
      <x:c r="BB204" s="3" t="str">
        <x:f>IF(AND('中古車掲載'!C205="One2car",'中古車掲載'!F205="ATTO 3",'中古車掲載'!L205="EXTENDED RANGE",'中古車掲載'!J205=2023,ISNUMBER('中古車掲載'!N205),'中古車掲載'!N205&gt;=50000,'中古車掲載'!O205&lt;=100000,'中古車掲載'!AL205=1),'中古車掲載'!U205,"")</x:f>
      </x:c>
      <x:c r="BC204" s="3" t="str">
        <x:f>IF(AND('中古車掲載'!C205="One2car",'中古車掲載'!F205="Corolla Cross",'中古車掲載'!L205="HEV PREMIUM SAFETY",'中古車掲載'!J205=2023,ISNUMBER('中古車掲載'!N205),'中古車掲載'!N205&gt;=50000,'中古車掲載'!O205&lt;=100000,'中古車掲載'!AL205=1,'中古車掲載'!Z205="https://www.one2car.com/en/cars-for-sale/toyota/corolla-cross/year-2023"),'中古車掲載'!U205,"")</x:f>
      </x:c>
      <x:c r="BD204" s="3" t="str">
        <x:f>IF(AND('中古車掲載'!C205="One2car",'中古車掲載'!F205="ATTO 3",'中古車掲載'!L205="EXTENDED RANGE",'中古車掲載'!J205=2023,ISNUMBER('中古車掲載'!N205),'中古車掲載'!N205&gt;=20000,'中古車掲載'!O205&lt;=50000,'中古車掲載'!AL205=1),'中古車掲載'!U205,"")</x:f>
      </x:c>
      <x:c r="BE204" s="3" t="str">
        <x:f>IF(AND('中古車掲載'!C205="One2car",'中古車掲載'!F205="Corolla Cross",'中古車掲載'!L205="HEV PREMIUM SAFETY",'中古車掲載'!J205=2023,ISNUMBER('中古車掲載'!N205),'中古車掲載'!N205&gt;=20000,'中古車掲載'!O205&lt;=50000,'中古車掲載'!AL205=1,'中古車掲載'!Z205="https://www.one2car.com/en/cars-for-sale/toyota/corolla-cross/year-2023"),'中古車掲載'!U205,"")</x:f>
      </x:c>
      <x:c r="BF204" s="3" t="str">
        <x:f>IF(AND('中古車掲載'!C205="One2car",'中古車掲載'!F205="Corolla Cross",'中古車掲載'!L205="HEV PREMIUM",'中古車掲載'!J205=2023,ISNUMBER('中古車掲載'!N205),'中古車掲載'!N205&gt;=20000,'中古車掲載'!O205&lt;=100000,'中古車掲載'!AL205=1,'中古車掲載'!Z205="https://www.one2car.com/en/cars-for-sale/toyota/corolla-cross/year-2023"),'中古車掲載'!U205,"")</x:f>
      </x:c>
      <x:c r="BG204" s="3" t="str">
        <x:f>IF(AND('中古車掲載'!C205="One2car",'中古車掲載'!F205="Corolla Cross",'中古車掲載'!L205="HEV GR SPORT",'中古車掲載'!J205=2023,ISNUMBER('中古車掲載'!N205),'中古車掲載'!N205&gt;=20000,'中古車掲載'!O205&lt;=100000,'中古車掲載'!AL205=1,'中古車掲載'!Z205="https://www.one2car.com/en/cars-for-sale/toyota/corolla-cross/year-2023"),'中古車掲載'!U205,"")</x:f>
      </x:c>
      <x:c r="BH204" s="3" t="str">
        <x:f>IF(AND('中古車掲載'!C205="One2car",'中古車掲載'!F205="DOLPHIN",'中古車掲載'!L205="STANDARD RANGE",'中古車掲載'!J205=2023,ISNUMBER('中古車掲載'!N205),'中古車掲載'!N205&gt;=20000,'中古車掲載'!O205&lt;=100000,'中古車掲載'!AL205=1),'中古車掲載'!U205,"")</x:f>
      </x:c>
      <x:c r="BI204" s="3" t="str">
        <x:v>Taladrod|Corolla Altis|HEV|Unknown</x:v>
      </x:c>
      <x:c r="BJ204" s="3" t="n">
        <x:v>205</x:v>
      </x:c>
      <x:c r="BK204" s="3" t="n">
        <x:f>'中古車掲載'!AM205</x:f>
        <x:v>760000</x:v>
      </x:c>
      <x:c r="BL204" s="3" t="n">
        <x:f>IF(ISNUMBER('中古車掲載'!AN205),'中古車掲載'!AN205,"")</x:f>
        <x:v>0.6731620903454384</x:v>
      </x:c>
      <x:c r="BM204" s="3" t="str">
        <x:v>2023|Smart cab</x:v>
      </x:c>
      <x:c r="BN204" s="3" t="n">
        <x:v>830</x:v>
      </x:c>
      <x:c r="BO204" s="3" t="n">
        <x:f>'中古車掲載'!AM830</x:f>
        <x:v>499000</x:v>
      </x:c>
      <x:c r="BP204" s="3" t="str">
        <x:v>2.4 E Z EDITION SMART CAB</x:v>
      </x:c>
      <x:c r="BQ204" s="3"/>
      <x:c r="BR204" s="3"/>
    </x:row>
    <x:row r="205" ht="22" customHeight="1">
      <x:c r="A205" s="3"/>
      <x:c r="B205" s="3"/>
      <x:c r="C205" s="3"/>
      <x:c r="D205" s="3"/>
      <x:c r="E205" s="3"/>
      <x:c r="F205" s="3"/>
      <x:c r="G205" s="3"/>
      <x:c r="H205" s="3"/>
      <x:c r="I205" s="3"/>
      <x:c r="J205" s="3"/>
      <x:c r="K205" s="3"/>
      <x:c r="L205" s="3"/>
      <x:c r="M205" s="3"/>
      <x:c r="N205" s="3"/>
      <x:c r="O205" s="3"/>
      <x:c r="P205" s="3"/>
      <x:c r="Q205" s="3"/>
      <x:c r="R205" s="3"/>
      <x:c r="S205" s="3"/>
      <x:c r="T205" s="3"/>
      <x:c r="U205" s="3"/>
      <x:c r="V205" s="3"/>
      <x:c r="W205" s="3"/>
      <x:c r="X205" s="3"/>
      <x:c r="Y205" s="3"/>
      <x:c r="Z205" s="3"/>
      <x:c r="AA205" s="3"/>
      <x:c r="AB205" s="3"/>
      <x:c r="AC205" s="3"/>
      <x:c r="AD205" s="3"/>
      <x:c r="AE205" s="3"/>
      <x:c r="AF205" s="3"/>
      <x:c r="AG205" s="3"/>
      <x:c r="AH205" s="3"/>
      <x:c r="AI205" s="3"/>
      <x:c r="AJ205" s="3"/>
      <x:c r="AK205" s="3"/>
      <x:c r="AL205" s="3"/>
      <x:c r="AM205" s="3"/>
      <x:c r="AN205" s="3"/>
      <x:c r="AO205" s="3"/>
      <x:c r="AP205" s="3"/>
      <x:c r="AQ205" s="3"/>
      <x:c r="AR205" s="3"/>
      <x:c r="AS205" s="3"/>
      <x:c r="AT205" s="3"/>
      <x:c r="AU205" s="3"/>
      <x:c r="AV205" s="3"/>
      <x:c r="AW205" s="3"/>
      <x:c r="AX205" s="3"/>
      <x:c r="AY205" s="3"/>
      <x:c r="AZ205" s="3" t="str">
        <x:f>IF(AND('中古車掲載'!C206="One2car",'中古車掲載'!F206="ATTO 3",'中古車掲載'!L206="EXTENDED RANGE",'中古車掲載'!J206=2023,ISNUMBER('中古車掲載'!N206),'中古車掲載'!N206&gt;=20000,'中古車掲載'!O206&lt;=100000,'中古車掲載'!AL206=1),'中古車掲載'!U206,"")</x:f>
      </x:c>
      <x:c r="BA205" s="3" t="str">
        <x:f>IF(AND('中古車掲載'!C206="One2car",'中古車掲載'!F206="Corolla Cross",'中古車掲載'!L206="HEV PREMIUM SAFETY",'中古車掲載'!J206=2023,ISNUMBER('中古車掲載'!N206),'中古車掲載'!N206&gt;=20000,'中古車掲載'!O206&lt;=100000,'中古車掲載'!AL206=1,'中古車掲載'!Z206="https://www.one2car.com/en/cars-for-sale/toyota/corolla-cross/year-2023"),'中古車掲載'!U206,"")</x:f>
      </x:c>
      <x:c r="BB205" s="3" t="str">
        <x:f>IF(AND('中古車掲載'!C206="One2car",'中古車掲載'!F206="ATTO 3",'中古車掲載'!L206="EXTENDED RANGE",'中古車掲載'!J206=2023,ISNUMBER('中古車掲載'!N206),'中古車掲載'!N206&gt;=50000,'中古車掲載'!O206&lt;=100000,'中古車掲載'!AL206=1),'中古車掲載'!U206,"")</x:f>
      </x:c>
      <x:c r="BC205" s="3" t="str">
        <x:f>IF(AND('中古車掲載'!C206="One2car",'中古車掲載'!F206="Corolla Cross",'中古車掲載'!L206="HEV PREMIUM SAFETY",'中古車掲載'!J206=2023,ISNUMBER('中古車掲載'!N206),'中古車掲載'!N206&gt;=50000,'中古車掲載'!O206&lt;=100000,'中古車掲載'!AL206=1,'中古車掲載'!Z206="https://www.one2car.com/en/cars-for-sale/toyota/corolla-cross/year-2023"),'中古車掲載'!U206,"")</x:f>
      </x:c>
      <x:c r="BD205" s="3" t="str">
        <x:f>IF(AND('中古車掲載'!C206="One2car",'中古車掲載'!F206="ATTO 3",'中古車掲載'!L206="EXTENDED RANGE",'中古車掲載'!J206=2023,ISNUMBER('中古車掲載'!N206),'中古車掲載'!N206&gt;=20000,'中古車掲載'!O206&lt;=50000,'中古車掲載'!AL206=1),'中古車掲載'!U206,"")</x:f>
      </x:c>
      <x:c r="BE205" s="3" t="str">
        <x:f>IF(AND('中古車掲載'!C206="One2car",'中古車掲載'!F206="Corolla Cross",'中古車掲載'!L206="HEV PREMIUM SAFETY",'中古車掲載'!J206=2023,ISNUMBER('中古車掲載'!N206),'中古車掲載'!N206&gt;=20000,'中古車掲載'!O206&lt;=50000,'中古車掲載'!AL206=1,'中古車掲載'!Z206="https://www.one2car.com/en/cars-for-sale/toyota/corolla-cross/year-2023"),'中古車掲載'!U206,"")</x:f>
      </x:c>
      <x:c r="BF205" s="3" t="str">
        <x:f>IF(AND('中古車掲載'!C206="One2car",'中古車掲載'!F206="Corolla Cross",'中古車掲載'!L206="HEV PREMIUM",'中古車掲載'!J206=2023,ISNUMBER('中古車掲載'!N206),'中古車掲載'!N206&gt;=20000,'中古車掲載'!O206&lt;=100000,'中古車掲載'!AL206=1,'中古車掲載'!Z206="https://www.one2car.com/en/cars-for-sale/toyota/corolla-cross/year-2023"),'中古車掲載'!U206,"")</x:f>
      </x:c>
      <x:c r="BG205" s="3" t="str">
        <x:f>IF(AND('中古車掲載'!C206="One2car",'中古車掲載'!F206="Corolla Cross",'中古車掲載'!L206="HEV GR SPORT",'中古車掲載'!J206=2023,ISNUMBER('中古車掲載'!N206),'中古車掲載'!N206&gt;=20000,'中古車掲載'!O206&lt;=100000,'中古車掲載'!AL206=1,'中古車掲載'!Z206="https://www.one2car.com/en/cars-for-sale/toyota/corolla-cross/year-2023"),'中古車掲載'!U206,"")</x:f>
      </x:c>
      <x:c r="BH205" s="3" t="str">
        <x:f>IF(AND('中古車掲載'!C206="One2car",'中古車掲載'!F206="DOLPHIN",'中古車掲載'!L206="STANDARD RANGE",'中古車掲載'!J206=2023,ISNUMBER('中古車掲載'!N206),'中古車掲載'!N206&gt;=20000,'中古車掲載'!O206&lt;=100000,'中古車掲載'!AL206=1),'中古車掲載'!U206,"")</x:f>
      </x:c>
      <x:c r="BI205" s="3" t="str">
        <x:v>Taladrod|Corolla Altis|HEV|Unknown</x:v>
      </x:c>
      <x:c r="BJ205" s="3" t="n">
        <x:v>206</x:v>
      </x:c>
      <x:c r="BK205" s="3" t="n">
        <x:f>'中古車掲載'!AM206</x:f>
        <x:v>795000</x:v>
      </x:c>
      <x:c r="BL205" s="3" t="n">
        <x:f>IF(ISNUMBER('中古車掲載'!AN206),'中古車掲載'!AN206,"")</x:f>
        <x:v>0.704162976085031</x:v>
      </x:c>
      <x:c r="BM205" s="3" t="str">
        <x:v>2023|Smart cab</x:v>
      </x:c>
      <x:c r="BN205" s="3" t="n">
        <x:v>833</x:v>
      </x:c>
      <x:c r="BO205" s="3" t="n">
        <x:f>'中古車掲載'!AM833</x:f>
        <x:v>504000</x:v>
      </x:c>
      <x:c r="BP205" s="3" t="str">
        <x:v>2.4 ENTRY PRERUNNER SMART CAB</x:v>
      </x:c>
      <x:c r="BQ205" s="3"/>
      <x:c r="BR205" s="3"/>
    </x:row>
    <x:row r="206" ht="22" customHeight="1">
      <x:c r="A206" s="3"/>
      <x:c r="B206" s="3"/>
      <x:c r="C206" s="3"/>
      <x:c r="D206" s="3"/>
      <x:c r="E206" s="3"/>
      <x:c r="F206" s="3"/>
      <x:c r="G206" s="3"/>
      <x:c r="H206" s="3"/>
      <x:c r="I206" s="3"/>
      <x:c r="J206" s="3"/>
      <x:c r="K206" s="3"/>
      <x:c r="L206" s="3"/>
      <x:c r="M206" s="3"/>
      <x:c r="N206" s="3"/>
      <x:c r="O206" s="3"/>
      <x:c r="P206" s="3"/>
      <x:c r="Q206" s="3"/>
      <x:c r="R206" s="3"/>
      <x:c r="S206" s="3"/>
      <x:c r="T206" s="3"/>
      <x:c r="U206" s="3"/>
      <x:c r="V206" s="3"/>
      <x:c r="W206" s="3"/>
      <x:c r="X206" s="3"/>
      <x:c r="Y206" s="3"/>
      <x:c r="Z206" s="3"/>
      <x:c r="AA206" s="3"/>
      <x:c r="AB206" s="3"/>
      <x:c r="AC206" s="3"/>
      <x:c r="AD206" s="3"/>
      <x:c r="AE206" s="3"/>
      <x:c r="AF206" s="3"/>
      <x:c r="AG206" s="3"/>
      <x:c r="AH206" s="3"/>
      <x:c r="AI206" s="3"/>
      <x:c r="AJ206" s="3"/>
      <x:c r="AK206" s="3"/>
      <x:c r="AL206" s="3"/>
      <x:c r="AM206" s="3"/>
      <x:c r="AN206" s="3"/>
      <x:c r="AO206" s="3"/>
      <x:c r="AP206" s="3"/>
      <x:c r="AQ206" s="3"/>
      <x:c r="AR206" s="3"/>
      <x:c r="AS206" s="3"/>
      <x:c r="AT206" s="3"/>
      <x:c r="AU206" s="3"/>
      <x:c r="AV206" s="3"/>
      <x:c r="AW206" s="3"/>
      <x:c r="AX206" s="3"/>
      <x:c r="AY206" s="3"/>
      <x:c r="AZ206" s="3" t="str">
        <x:f>IF(AND('中古車掲載'!C207="One2car",'中古車掲載'!F207="ATTO 3",'中古車掲載'!L207="EXTENDED RANGE",'中古車掲載'!J207=2023,ISNUMBER('中古車掲載'!N207),'中古車掲載'!N207&gt;=20000,'中古車掲載'!O207&lt;=100000,'中古車掲載'!AL207=1),'中古車掲載'!U207,"")</x:f>
      </x:c>
      <x:c r="BA206" s="3" t="str">
        <x:f>IF(AND('中古車掲載'!C207="One2car",'中古車掲載'!F207="Corolla Cross",'中古車掲載'!L207="HEV PREMIUM SAFETY",'中古車掲載'!J207=2023,ISNUMBER('中古車掲載'!N207),'中古車掲載'!N207&gt;=20000,'中古車掲載'!O207&lt;=100000,'中古車掲載'!AL207=1,'中古車掲載'!Z207="https://www.one2car.com/en/cars-for-sale/toyota/corolla-cross/year-2023"),'中古車掲載'!U207,"")</x:f>
      </x:c>
      <x:c r="BB206" s="3" t="str">
        <x:f>IF(AND('中古車掲載'!C207="One2car",'中古車掲載'!F207="ATTO 3",'中古車掲載'!L207="EXTENDED RANGE",'中古車掲載'!J207=2023,ISNUMBER('中古車掲載'!N207),'中古車掲載'!N207&gt;=50000,'中古車掲載'!O207&lt;=100000,'中古車掲載'!AL207=1),'中古車掲載'!U207,"")</x:f>
      </x:c>
      <x:c r="BC206" s="3" t="str">
        <x:f>IF(AND('中古車掲載'!C207="One2car",'中古車掲載'!F207="Corolla Cross",'中古車掲載'!L207="HEV PREMIUM SAFETY",'中古車掲載'!J207=2023,ISNUMBER('中古車掲載'!N207),'中古車掲載'!N207&gt;=50000,'中古車掲載'!O207&lt;=100000,'中古車掲載'!AL207=1,'中古車掲載'!Z207="https://www.one2car.com/en/cars-for-sale/toyota/corolla-cross/year-2023"),'中古車掲載'!U207,"")</x:f>
      </x:c>
      <x:c r="BD206" s="3" t="str">
        <x:f>IF(AND('中古車掲載'!C207="One2car",'中古車掲載'!F207="ATTO 3",'中古車掲載'!L207="EXTENDED RANGE",'中古車掲載'!J207=2023,ISNUMBER('中古車掲載'!N207),'中古車掲載'!N207&gt;=20000,'中古車掲載'!O207&lt;=50000,'中古車掲載'!AL207=1),'中古車掲載'!U207,"")</x:f>
      </x:c>
      <x:c r="BE206" s="3" t="str">
        <x:f>IF(AND('中古車掲載'!C207="One2car",'中古車掲載'!F207="Corolla Cross",'中古車掲載'!L207="HEV PREMIUM SAFETY",'中古車掲載'!J207=2023,ISNUMBER('中古車掲載'!N207),'中古車掲載'!N207&gt;=20000,'中古車掲載'!O207&lt;=50000,'中古車掲載'!AL207=1,'中古車掲載'!Z207="https://www.one2car.com/en/cars-for-sale/toyota/corolla-cross/year-2023"),'中古車掲載'!U207,"")</x:f>
      </x:c>
      <x:c r="BF206" s="3" t="str">
        <x:f>IF(AND('中古車掲載'!C207="One2car",'中古車掲載'!F207="Corolla Cross",'中古車掲載'!L207="HEV PREMIUM",'中古車掲載'!J207=2023,ISNUMBER('中古車掲載'!N207),'中古車掲載'!N207&gt;=20000,'中古車掲載'!O207&lt;=100000,'中古車掲載'!AL207=1,'中古車掲載'!Z207="https://www.one2car.com/en/cars-for-sale/toyota/corolla-cross/year-2023"),'中古車掲載'!U207,"")</x:f>
      </x:c>
      <x:c r="BG206" s="3" t="str">
        <x:f>IF(AND('中古車掲載'!C207="One2car",'中古車掲載'!F207="Corolla Cross",'中古車掲載'!L207="HEV GR SPORT",'中古車掲載'!J207=2023,ISNUMBER('中古車掲載'!N207),'中古車掲載'!N207&gt;=20000,'中古車掲載'!O207&lt;=100000,'中古車掲載'!AL207=1,'中古車掲載'!Z207="https://www.one2car.com/en/cars-for-sale/toyota/corolla-cross/year-2023"),'中古車掲載'!U207,"")</x:f>
      </x:c>
      <x:c r="BH206" s="3" t="str">
        <x:f>IF(AND('中古車掲載'!C207="One2car",'中古車掲載'!F207="DOLPHIN",'中古車掲載'!L207="STANDARD RANGE",'中古車掲載'!J207=2023,ISNUMBER('中古車掲載'!N207),'中古車掲載'!N207&gt;=20000,'中古車掲載'!O207&lt;=100000,'中古車掲載'!AL207=1),'中古車掲載'!U207,"")</x:f>
      </x:c>
      <x:c r="BI206" s="3" t="str">
        <x:v>Taladrod|Corolla Altis|HEV|Unknown</x:v>
      </x:c>
      <x:c r="BJ206" s="3" t="n">
        <x:v>207</x:v>
      </x:c>
      <x:c r="BK206" s="3" t="n">
        <x:f>'中古車掲載'!AM207</x:f>
        <x:v>895000</x:v>
      </x:c>
      <x:c r="BL206" s="3" t="str">
        <x:f>IF(ISNUMBER('中古車掲載'!AN207),'中古車掲載'!AN207,"")</x:f>
      </x:c>
      <x:c r="BM206" s="3" t="str">
        <x:v>2023|Smart cab</x:v>
      </x:c>
      <x:c r="BN206" s="3" t="n">
        <x:v>843</x:v>
      </x:c>
      <x:c r="BO206" s="3" t="n">
        <x:f>'中古車掲載'!AM843</x:f>
        <x:v>465000</x:v>
      </x:c>
      <x:c r="BP206" s="3" t="str">
        <x:v>2.4 ENTRY Z EDITION SMART CAB</x:v>
      </x:c>
      <x:c r="BQ206" s="3"/>
      <x:c r="BR206" s="3"/>
    </x:row>
    <x:row r="207" ht="22" customHeight="1">
      <x:c r="A207" s="3"/>
      <x:c r="B207" s="3"/>
      <x:c r="C207" s="3"/>
      <x:c r="D207" s="3"/>
      <x:c r="E207" s="3"/>
      <x:c r="F207" s="3"/>
      <x:c r="G207" s="3"/>
      <x:c r="H207" s="3"/>
      <x:c r="I207" s="3"/>
      <x:c r="J207" s="3"/>
      <x:c r="K207" s="3"/>
      <x:c r="L207" s="3"/>
      <x:c r="M207" s="3"/>
      <x:c r="N207" s="3"/>
      <x:c r="O207" s="3"/>
      <x:c r="P207" s="3"/>
      <x:c r="Q207" s="3"/>
      <x:c r="R207" s="3"/>
      <x:c r="S207" s="3"/>
      <x:c r="T207" s="3"/>
      <x:c r="U207" s="3"/>
      <x:c r="V207" s="3"/>
      <x:c r="W207" s="3"/>
      <x:c r="X207" s="3"/>
      <x:c r="Y207" s="3"/>
      <x:c r="Z207" s="3"/>
      <x:c r="AA207" s="3"/>
      <x:c r="AB207" s="3"/>
      <x:c r="AC207" s="3"/>
      <x:c r="AD207" s="3"/>
      <x:c r="AE207" s="3"/>
      <x:c r="AF207" s="3"/>
      <x:c r="AG207" s="3"/>
      <x:c r="AH207" s="3"/>
      <x:c r="AI207" s="3"/>
      <x:c r="AJ207" s="3"/>
      <x:c r="AK207" s="3"/>
      <x:c r="AL207" s="3"/>
      <x:c r="AM207" s="3"/>
      <x:c r="AN207" s="3"/>
      <x:c r="AO207" s="3"/>
      <x:c r="AP207" s="3"/>
      <x:c r="AQ207" s="3"/>
      <x:c r="AR207" s="3"/>
      <x:c r="AS207" s="3"/>
      <x:c r="AT207" s="3"/>
      <x:c r="AU207" s="3"/>
      <x:c r="AV207" s="3"/>
      <x:c r="AW207" s="3"/>
      <x:c r="AX207" s="3"/>
      <x:c r="AY207" s="3"/>
      <x:c r="AZ207" s="3" t="str">
        <x:f>IF(AND('中古車掲載'!C208="One2car",'中古車掲載'!F208="ATTO 3",'中古車掲載'!L208="EXTENDED RANGE",'中古車掲載'!J208=2023,ISNUMBER('中古車掲載'!N208),'中古車掲載'!N208&gt;=20000,'中古車掲載'!O208&lt;=100000,'中古車掲載'!AL208=1),'中古車掲載'!U208,"")</x:f>
      </x:c>
      <x:c r="BA207" s="3" t="str">
        <x:f>IF(AND('中古車掲載'!C208="One2car",'中古車掲載'!F208="Corolla Cross",'中古車掲載'!L208="HEV PREMIUM SAFETY",'中古車掲載'!J208=2023,ISNUMBER('中古車掲載'!N208),'中古車掲載'!N208&gt;=20000,'中古車掲載'!O208&lt;=100000,'中古車掲載'!AL208=1,'中古車掲載'!Z208="https://www.one2car.com/en/cars-for-sale/toyota/corolla-cross/year-2023"),'中古車掲載'!U208,"")</x:f>
      </x:c>
      <x:c r="BB207" s="3" t="str">
        <x:f>IF(AND('中古車掲載'!C208="One2car",'中古車掲載'!F208="ATTO 3",'中古車掲載'!L208="EXTENDED RANGE",'中古車掲載'!J208=2023,ISNUMBER('中古車掲載'!N208),'中古車掲載'!N208&gt;=50000,'中古車掲載'!O208&lt;=100000,'中古車掲載'!AL208=1),'中古車掲載'!U208,"")</x:f>
      </x:c>
      <x:c r="BC207" s="3" t="str">
        <x:f>IF(AND('中古車掲載'!C208="One2car",'中古車掲載'!F208="Corolla Cross",'中古車掲載'!L208="HEV PREMIUM SAFETY",'中古車掲載'!J208=2023,ISNUMBER('中古車掲載'!N208),'中古車掲載'!N208&gt;=50000,'中古車掲載'!O208&lt;=100000,'中古車掲載'!AL208=1,'中古車掲載'!Z208="https://www.one2car.com/en/cars-for-sale/toyota/corolla-cross/year-2023"),'中古車掲載'!U208,"")</x:f>
      </x:c>
      <x:c r="BD207" s="3" t="str">
        <x:f>IF(AND('中古車掲載'!C208="One2car",'中古車掲載'!F208="ATTO 3",'中古車掲載'!L208="EXTENDED RANGE",'中古車掲載'!J208=2023,ISNUMBER('中古車掲載'!N208),'中古車掲載'!N208&gt;=20000,'中古車掲載'!O208&lt;=50000,'中古車掲載'!AL208=1),'中古車掲載'!U208,"")</x:f>
      </x:c>
      <x:c r="BE207" s="3" t="str">
        <x:f>IF(AND('中古車掲載'!C208="One2car",'中古車掲載'!F208="Corolla Cross",'中古車掲載'!L208="HEV PREMIUM SAFETY",'中古車掲載'!J208=2023,ISNUMBER('中古車掲載'!N208),'中古車掲載'!N208&gt;=20000,'中古車掲載'!O208&lt;=50000,'中古車掲載'!AL208=1,'中古車掲載'!Z208="https://www.one2car.com/en/cars-for-sale/toyota/corolla-cross/year-2023"),'中古車掲載'!U208,"")</x:f>
      </x:c>
      <x:c r="BF207" s="3" t="str">
        <x:f>IF(AND('中古車掲載'!C208="One2car",'中古車掲載'!F208="Corolla Cross",'中古車掲載'!L208="HEV PREMIUM",'中古車掲載'!J208=2023,ISNUMBER('中古車掲載'!N208),'中古車掲載'!N208&gt;=20000,'中古車掲載'!O208&lt;=100000,'中古車掲載'!AL208=1,'中古車掲載'!Z208="https://www.one2car.com/en/cars-for-sale/toyota/corolla-cross/year-2023"),'中古車掲載'!U208,"")</x:f>
      </x:c>
      <x:c r="BG207" s="3" t="str">
        <x:f>IF(AND('中古車掲載'!C208="One2car",'中古車掲載'!F208="Corolla Cross",'中古車掲載'!L208="HEV GR SPORT",'中古車掲載'!J208=2023,ISNUMBER('中古車掲載'!N208),'中古車掲載'!N208&gt;=20000,'中古車掲載'!O208&lt;=100000,'中古車掲載'!AL208=1,'中古車掲載'!Z208="https://www.one2car.com/en/cars-for-sale/toyota/corolla-cross/year-2023"),'中古車掲載'!U208,"")</x:f>
      </x:c>
      <x:c r="BH207" s="3" t="str">
        <x:f>IF(AND('中古車掲載'!C208="One2car",'中古車掲載'!F208="DOLPHIN",'中古車掲載'!L208="STANDARD RANGE",'中古車掲載'!J208=2023,ISNUMBER('中古車掲載'!N208),'中古車掲載'!N208&gt;=20000,'中古車掲載'!O208&lt;=100000,'中古車掲載'!AL208=1),'中古車掲載'!U208,"")</x:f>
      </x:c>
      <x:c r="BI207" s="3" t="str">
        <x:v>Taladrod|Corolla Altis|HEV|Unknown</x:v>
      </x:c>
      <x:c r="BJ207" s="3" t="n">
        <x:v>208</x:v>
      </x:c>
      <x:c r="BK207" s="3" t="n">
        <x:f>'中古車掲載'!AM208</x:f>
        <x:v>875000</x:v>
      </x:c>
      <x:c r="BL207" s="3" t="str">
        <x:f>IF(ISNUMBER('中古車掲載'!AN208),'中古車掲載'!AN208,"")</x:f>
      </x:c>
      <x:c r="BM207" s="3" t="str">
        <x:v>2023|Smart cab</x:v>
      </x:c>
      <x:c r="BN207" s="3" t="n">
        <x:v>844</x:v>
      </x:c>
      <x:c r="BO207" s="3" t="n">
        <x:f>'中古車掲載'!AM844</x:f>
        <x:v>379000</x:v>
      </x:c>
      <x:c r="BP207" s="3" t="str">
        <x:v>2.4 ENTRY Z EDITION SMART CAB</x:v>
      </x:c>
      <x:c r="BQ207" s="3"/>
      <x:c r="BR207" s="3"/>
    </x:row>
    <x:row r="208" ht="22" customHeight="1">
      <x:c r="A208" s="3"/>
      <x:c r="B208" s="3"/>
      <x:c r="C208" s="3"/>
      <x:c r="D208" s="3"/>
      <x:c r="E208" s="3"/>
      <x:c r="F208" s="3"/>
      <x:c r="G208" s="3"/>
      <x:c r="H208" s="3"/>
      <x:c r="I208" s="3"/>
      <x:c r="J208" s="3"/>
      <x:c r="K208" s="3"/>
      <x:c r="L208" s="3"/>
      <x:c r="M208" s="3"/>
      <x:c r="N208" s="3"/>
      <x:c r="O208" s="3"/>
      <x:c r="P208" s="3"/>
      <x:c r="Q208" s="3"/>
      <x:c r="R208" s="3"/>
      <x:c r="S208" s="3"/>
      <x:c r="T208" s="3"/>
      <x:c r="U208" s="3"/>
      <x:c r="V208" s="3"/>
      <x:c r="W208" s="3"/>
      <x:c r="X208" s="3"/>
      <x:c r="Y208" s="3"/>
      <x:c r="Z208" s="3"/>
      <x:c r="AA208" s="3"/>
      <x:c r="AB208" s="3"/>
      <x:c r="AC208" s="3"/>
      <x:c r="AD208" s="3"/>
      <x:c r="AE208" s="3"/>
      <x:c r="AF208" s="3"/>
      <x:c r="AG208" s="3"/>
      <x:c r="AH208" s="3"/>
      <x:c r="AI208" s="3"/>
      <x:c r="AJ208" s="3"/>
      <x:c r="AK208" s="3"/>
      <x:c r="AL208" s="3"/>
      <x:c r="AM208" s="3"/>
      <x:c r="AN208" s="3"/>
      <x:c r="AO208" s="3"/>
      <x:c r="AP208" s="3"/>
      <x:c r="AQ208" s="3"/>
      <x:c r="AR208" s="3"/>
      <x:c r="AS208" s="3"/>
      <x:c r="AT208" s="3"/>
      <x:c r="AU208" s="3"/>
      <x:c r="AV208" s="3"/>
      <x:c r="AW208" s="3"/>
      <x:c r="AX208" s="3"/>
      <x:c r="AY208" s="3"/>
      <x:c r="AZ208" s="3" t="str">
        <x:f>IF(AND('中古車掲載'!C209="One2car",'中古車掲載'!F209="ATTO 3",'中古車掲載'!L209="EXTENDED RANGE",'中古車掲載'!J209=2023,ISNUMBER('中古車掲載'!N209),'中古車掲載'!N209&gt;=20000,'中古車掲載'!O209&lt;=100000,'中古車掲載'!AL209=1),'中古車掲載'!U209,"")</x:f>
      </x:c>
      <x:c r="BA208" s="3" t="str">
        <x:f>IF(AND('中古車掲載'!C209="One2car",'中古車掲載'!F209="Corolla Cross",'中古車掲載'!L209="HEV PREMIUM SAFETY",'中古車掲載'!J209=2023,ISNUMBER('中古車掲載'!N209),'中古車掲載'!N209&gt;=20000,'中古車掲載'!O209&lt;=100000,'中古車掲載'!AL209=1,'中古車掲載'!Z209="https://www.one2car.com/en/cars-for-sale/toyota/corolla-cross/year-2023"),'中古車掲載'!U209,"")</x:f>
      </x:c>
      <x:c r="BB208" s="3" t="str">
        <x:f>IF(AND('中古車掲載'!C209="One2car",'中古車掲載'!F209="ATTO 3",'中古車掲載'!L209="EXTENDED RANGE",'中古車掲載'!J209=2023,ISNUMBER('中古車掲載'!N209),'中古車掲載'!N209&gt;=50000,'中古車掲載'!O209&lt;=100000,'中古車掲載'!AL209=1),'中古車掲載'!U209,"")</x:f>
      </x:c>
      <x:c r="BC208" s="3" t="str">
        <x:f>IF(AND('中古車掲載'!C209="One2car",'中古車掲載'!F209="Corolla Cross",'中古車掲載'!L209="HEV PREMIUM SAFETY",'中古車掲載'!J209=2023,ISNUMBER('中古車掲載'!N209),'中古車掲載'!N209&gt;=50000,'中古車掲載'!O209&lt;=100000,'中古車掲載'!AL209=1,'中古車掲載'!Z209="https://www.one2car.com/en/cars-for-sale/toyota/corolla-cross/year-2023"),'中古車掲載'!U209,"")</x:f>
      </x:c>
      <x:c r="BD208" s="3" t="str">
        <x:f>IF(AND('中古車掲載'!C209="One2car",'中古車掲載'!F209="ATTO 3",'中古車掲載'!L209="EXTENDED RANGE",'中古車掲載'!J209=2023,ISNUMBER('中古車掲載'!N209),'中古車掲載'!N209&gt;=20000,'中古車掲載'!O209&lt;=50000,'中古車掲載'!AL209=1),'中古車掲載'!U209,"")</x:f>
      </x:c>
      <x:c r="BE208" s="3" t="str">
        <x:f>IF(AND('中古車掲載'!C209="One2car",'中古車掲載'!F209="Corolla Cross",'中古車掲載'!L209="HEV PREMIUM SAFETY",'中古車掲載'!J209=2023,ISNUMBER('中古車掲載'!N209),'中古車掲載'!N209&gt;=20000,'中古車掲載'!O209&lt;=50000,'中古車掲載'!AL209=1,'中古車掲載'!Z209="https://www.one2car.com/en/cars-for-sale/toyota/corolla-cross/year-2023"),'中古車掲載'!U209,"")</x:f>
      </x:c>
      <x:c r="BF208" s="3" t="str">
        <x:f>IF(AND('中古車掲載'!C209="One2car",'中古車掲載'!F209="Corolla Cross",'中古車掲載'!L209="HEV PREMIUM",'中古車掲載'!J209=2023,ISNUMBER('中古車掲載'!N209),'中古車掲載'!N209&gt;=20000,'中古車掲載'!O209&lt;=100000,'中古車掲載'!AL209=1,'中古車掲載'!Z209="https://www.one2car.com/en/cars-for-sale/toyota/corolla-cross/year-2023"),'中古車掲載'!U209,"")</x:f>
      </x:c>
      <x:c r="BG208" s="3" t="str">
        <x:f>IF(AND('中古車掲載'!C209="One2car",'中古車掲載'!F209="Corolla Cross",'中古車掲載'!L209="HEV GR SPORT",'中古車掲載'!J209=2023,ISNUMBER('中古車掲載'!N209),'中古車掲載'!N209&gt;=20000,'中古車掲載'!O209&lt;=100000,'中古車掲載'!AL209=1,'中古車掲載'!Z209="https://www.one2car.com/en/cars-for-sale/toyota/corolla-cross/year-2023"),'中古車掲載'!U209,"")</x:f>
      </x:c>
      <x:c r="BH208" s="3" t="str">
        <x:f>IF(AND('中古車掲載'!C209="One2car",'中古車掲載'!F209="DOLPHIN",'中古車掲載'!L209="STANDARD RANGE",'中古車掲載'!J209=2023,ISNUMBER('中古車掲載'!N209),'中古車掲載'!N209&gt;=20000,'中古車掲載'!O209&lt;=100000,'中古車掲載'!AL209=1),'中古車掲載'!U209,"")</x:f>
      </x:c>
      <x:c r="BI208" s="3" t="str">
        <x:v>Taladrod|Corolla Altis|HEV|Unknown</x:v>
      </x:c>
      <x:c r="BJ208" s="3" t="n">
        <x:v>209</x:v>
      </x:c>
      <x:c r="BK208" s="3" t="n">
        <x:f>'中古車掲載'!AM209</x:f>
        <x:v>819000</x:v>
      </x:c>
      <x:c r="BL208" s="3" t="str">
        <x:f>IF(ISNUMBER('中古車掲載'!AN209),'中古車掲載'!AN209,"")</x:f>
      </x:c>
      <x:c r="BM208" s="3" t="str">
        <x:v>2023|Smart cab</x:v>
      </x:c>
      <x:c r="BN208" s="3" t="n">
        <x:v>845</x:v>
      </x:c>
      <x:c r="BO208" s="3" t="n">
        <x:f>'中古車掲載'!AM845</x:f>
        <x:v>398000</x:v>
      </x:c>
      <x:c r="BP208" s="3" t="str">
        <x:v>2.4 ENTRY Z EDITION SMART CAB</x:v>
      </x:c>
      <x:c r="BQ208" s="3"/>
      <x:c r="BR208" s="3"/>
    </x:row>
    <x:row r="209" ht="22" customHeight="1">
      <x:c r="A209" s="3"/>
      <x:c r="B209" s="3"/>
      <x:c r="C209" s="3"/>
      <x:c r="D209" s="3"/>
      <x:c r="E209" s="3"/>
      <x:c r="F209" s="3"/>
      <x:c r="G209" s="3"/>
      <x:c r="H209" s="3"/>
      <x:c r="I209" s="3"/>
      <x:c r="J209" s="3"/>
      <x:c r="K209" s="3"/>
      <x:c r="L209" s="3"/>
      <x:c r="M209" s="3"/>
      <x:c r="N209" s="3"/>
      <x:c r="O209" s="3"/>
      <x:c r="P209" s="3"/>
      <x:c r="Q209" s="3"/>
      <x:c r="R209" s="3"/>
      <x:c r="S209" s="3"/>
      <x:c r="T209" s="3"/>
      <x:c r="U209" s="3"/>
      <x:c r="V209" s="3"/>
      <x:c r="W209" s="3"/>
      <x:c r="X209" s="3"/>
      <x:c r="Y209" s="3"/>
      <x:c r="Z209" s="3"/>
      <x:c r="AA209" s="3"/>
      <x:c r="AB209" s="3"/>
      <x:c r="AC209" s="3"/>
      <x:c r="AD209" s="3"/>
      <x:c r="AE209" s="3"/>
      <x:c r="AF209" s="3"/>
      <x:c r="AG209" s="3"/>
      <x:c r="AH209" s="3"/>
      <x:c r="AI209" s="3"/>
      <x:c r="AJ209" s="3"/>
      <x:c r="AK209" s="3"/>
      <x:c r="AL209" s="3"/>
      <x:c r="AM209" s="3"/>
      <x:c r="AN209" s="3"/>
      <x:c r="AO209" s="3"/>
      <x:c r="AP209" s="3"/>
      <x:c r="AQ209" s="3"/>
      <x:c r="AR209" s="3"/>
      <x:c r="AS209" s="3"/>
      <x:c r="AT209" s="3"/>
      <x:c r="AU209" s="3"/>
      <x:c r="AV209" s="3"/>
      <x:c r="AW209" s="3"/>
      <x:c r="AX209" s="3"/>
      <x:c r="AY209" s="3"/>
      <x:c r="AZ209" s="3" t="str">
        <x:f>IF(AND('中古車掲載'!C210="One2car",'中古車掲載'!F210="ATTO 3",'中古車掲載'!L210="EXTENDED RANGE",'中古車掲載'!J210=2023,ISNUMBER('中古車掲載'!N210),'中古車掲載'!N210&gt;=20000,'中古車掲載'!O210&lt;=100000,'中古車掲載'!AL210=1),'中古車掲載'!U210,"")</x:f>
      </x:c>
      <x:c r="BA209" s="3" t="str">
        <x:f>IF(AND('中古車掲載'!C210="One2car",'中古車掲載'!F210="Corolla Cross",'中古車掲載'!L210="HEV PREMIUM SAFETY",'中古車掲載'!J210=2023,ISNUMBER('中古車掲載'!N210),'中古車掲載'!N210&gt;=20000,'中古車掲載'!O210&lt;=100000,'中古車掲載'!AL210=1,'中古車掲載'!Z210="https://www.one2car.com/en/cars-for-sale/toyota/corolla-cross/year-2023"),'中古車掲載'!U210,"")</x:f>
      </x:c>
      <x:c r="BB209" s="3" t="str">
        <x:f>IF(AND('中古車掲載'!C210="One2car",'中古車掲載'!F210="ATTO 3",'中古車掲載'!L210="EXTENDED RANGE",'中古車掲載'!J210=2023,ISNUMBER('中古車掲載'!N210),'中古車掲載'!N210&gt;=50000,'中古車掲載'!O210&lt;=100000,'中古車掲載'!AL210=1),'中古車掲載'!U210,"")</x:f>
      </x:c>
      <x:c r="BC209" s="3" t="str">
        <x:f>IF(AND('中古車掲載'!C210="One2car",'中古車掲載'!F210="Corolla Cross",'中古車掲載'!L210="HEV PREMIUM SAFETY",'中古車掲載'!J210=2023,ISNUMBER('中古車掲載'!N210),'中古車掲載'!N210&gt;=50000,'中古車掲載'!O210&lt;=100000,'中古車掲載'!AL210=1,'中古車掲載'!Z210="https://www.one2car.com/en/cars-for-sale/toyota/corolla-cross/year-2023"),'中古車掲載'!U210,"")</x:f>
      </x:c>
      <x:c r="BD209" s="3" t="str">
        <x:f>IF(AND('中古車掲載'!C210="One2car",'中古車掲載'!F210="ATTO 3",'中古車掲載'!L210="EXTENDED RANGE",'中古車掲載'!J210=2023,ISNUMBER('中古車掲載'!N210),'中古車掲載'!N210&gt;=20000,'中古車掲載'!O210&lt;=50000,'中古車掲載'!AL210=1),'中古車掲載'!U210,"")</x:f>
      </x:c>
      <x:c r="BE209" s="3" t="str">
        <x:f>IF(AND('中古車掲載'!C210="One2car",'中古車掲載'!F210="Corolla Cross",'中古車掲載'!L210="HEV PREMIUM SAFETY",'中古車掲載'!J210=2023,ISNUMBER('中古車掲載'!N210),'中古車掲載'!N210&gt;=20000,'中古車掲載'!O210&lt;=50000,'中古車掲載'!AL210=1,'中古車掲載'!Z210="https://www.one2car.com/en/cars-for-sale/toyota/corolla-cross/year-2023"),'中古車掲載'!U210,"")</x:f>
      </x:c>
      <x:c r="BF209" s="3" t="str">
        <x:f>IF(AND('中古車掲載'!C210="One2car",'中古車掲載'!F210="Corolla Cross",'中古車掲載'!L210="HEV PREMIUM",'中古車掲載'!J210=2023,ISNUMBER('中古車掲載'!N210),'中古車掲載'!N210&gt;=20000,'中古車掲載'!O210&lt;=100000,'中古車掲載'!AL210=1,'中古車掲載'!Z210="https://www.one2car.com/en/cars-for-sale/toyota/corolla-cross/year-2023"),'中古車掲載'!U210,"")</x:f>
      </x:c>
      <x:c r="BG209" s="3" t="str">
        <x:f>IF(AND('中古車掲載'!C210="One2car",'中古車掲載'!F210="Corolla Cross",'中古車掲載'!L210="HEV GR SPORT",'中古車掲載'!J210=2023,ISNUMBER('中古車掲載'!N210),'中古車掲載'!N210&gt;=20000,'中古車掲載'!O210&lt;=100000,'中古車掲載'!AL210=1,'中古車掲載'!Z210="https://www.one2car.com/en/cars-for-sale/toyota/corolla-cross/year-2023"),'中古車掲載'!U210,"")</x:f>
      </x:c>
      <x:c r="BH209" s="3" t="str">
        <x:f>IF(AND('中古車掲載'!C210="One2car",'中古車掲載'!F210="DOLPHIN",'中古車掲載'!L210="STANDARD RANGE",'中古車掲載'!J210=2023,ISNUMBER('中古車掲載'!N210),'中古車掲載'!N210&gt;=20000,'中古車掲載'!O210&lt;=100000,'中古車掲載'!AL210=1),'中古車掲載'!U210,"")</x:f>
      </x:c>
      <x:c r="BI209" s="3" t="str">
        <x:v>Taladrod|Corolla Altis|HEV|Unknown</x:v>
      </x:c>
      <x:c r="BJ209" s="3" t="n">
        <x:v>210</x:v>
      </x:c>
      <x:c r="BK209" s="3" t="n">
        <x:f>'中古車掲載'!AM210</x:f>
        <x:v>755000</x:v>
      </x:c>
      <x:c r="BL209" s="3" t="str">
        <x:f>IF(ISNUMBER('中古車掲載'!AN210),'中古車掲載'!AN210,"")</x:f>
      </x:c>
      <x:c r="BM209" s="3" t="str">
        <x:v>2023|Smart cab</x:v>
      </x:c>
      <x:c r="BN209" s="3" t="n">
        <x:v>846</x:v>
      </x:c>
      <x:c r="BO209" s="3" t="n">
        <x:f>'中古車掲載'!AM846</x:f>
        <x:v>478000</x:v>
      </x:c>
      <x:c r="BP209" s="3" t="str">
        <x:v>2.4 ENTRY Z EDITION SMART CAB</x:v>
      </x:c>
      <x:c r="BQ209" s="3"/>
      <x:c r="BR209" s="3"/>
    </x:row>
    <x:row r="210" ht="22" customHeight="1">
      <x:c r="A210" s="3"/>
      <x:c r="B210" s="3"/>
      <x:c r="C210" s="3"/>
      <x:c r="D210" s="3"/>
      <x:c r="E210" s="3"/>
      <x:c r="F210" s="3"/>
      <x:c r="G210" s="3"/>
      <x:c r="H210" s="3"/>
      <x:c r="I210" s="3"/>
      <x:c r="J210" s="3"/>
      <x:c r="K210" s="3"/>
      <x:c r="L210" s="3"/>
      <x:c r="M210" s="3"/>
      <x:c r="N210" s="3"/>
      <x:c r="O210" s="3"/>
      <x:c r="P210" s="3"/>
      <x:c r="Q210" s="3"/>
      <x:c r="R210" s="3"/>
      <x:c r="S210" s="3"/>
      <x:c r="T210" s="3"/>
      <x:c r="U210" s="3"/>
      <x:c r="V210" s="3"/>
      <x:c r="W210" s="3"/>
      <x:c r="X210" s="3"/>
      <x:c r="Y210" s="3"/>
      <x:c r="Z210" s="3"/>
      <x:c r="AA210" s="3"/>
      <x:c r="AB210" s="3"/>
      <x:c r="AC210" s="3"/>
      <x:c r="AD210" s="3"/>
      <x:c r="AE210" s="3"/>
      <x:c r="AF210" s="3"/>
      <x:c r="AG210" s="3"/>
      <x:c r="AH210" s="3"/>
      <x:c r="AI210" s="3"/>
      <x:c r="AJ210" s="3"/>
      <x:c r="AK210" s="3"/>
      <x:c r="AL210" s="3"/>
      <x:c r="AM210" s="3"/>
      <x:c r="AN210" s="3"/>
      <x:c r="AO210" s="3"/>
      <x:c r="AP210" s="3"/>
      <x:c r="AQ210" s="3"/>
      <x:c r="AR210" s="3"/>
      <x:c r="AS210" s="3"/>
      <x:c r="AT210" s="3"/>
      <x:c r="AU210" s="3"/>
      <x:c r="AV210" s="3"/>
      <x:c r="AW210" s="3"/>
      <x:c r="AX210" s="3"/>
      <x:c r="AY210" s="3"/>
      <x:c r="AZ210" s="3" t="str">
        <x:f>IF(AND('中古車掲載'!C211="One2car",'中古車掲載'!F211="ATTO 3",'中古車掲載'!L211="EXTENDED RANGE",'中古車掲載'!J211=2023,ISNUMBER('中古車掲載'!N211),'中古車掲載'!N211&gt;=20000,'中古車掲載'!O211&lt;=100000,'中古車掲載'!AL211=1),'中古車掲載'!U211,"")</x:f>
      </x:c>
      <x:c r="BA210" s="3" t="str">
        <x:f>IF(AND('中古車掲載'!C211="One2car",'中古車掲載'!F211="Corolla Cross",'中古車掲載'!L211="HEV PREMIUM SAFETY",'中古車掲載'!J211=2023,ISNUMBER('中古車掲載'!N211),'中古車掲載'!N211&gt;=20000,'中古車掲載'!O211&lt;=100000,'中古車掲載'!AL211=1,'中古車掲載'!Z211="https://www.one2car.com/en/cars-for-sale/toyota/corolla-cross/year-2023"),'中古車掲載'!U211,"")</x:f>
      </x:c>
      <x:c r="BB210" s="3" t="str">
        <x:f>IF(AND('中古車掲載'!C211="One2car",'中古車掲載'!F211="ATTO 3",'中古車掲載'!L211="EXTENDED RANGE",'中古車掲載'!J211=2023,ISNUMBER('中古車掲載'!N211),'中古車掲載'!N211&gt;=50000,'中古車掲載'!O211&lt;=100000,'中古車掲載'!AL211=1),'中古車掲載'!U211,"")</x:f>
      </x:c>
      <x:c r="BC210" s="3" t="str">
        <x:f>IF(AND('中古車掲載'!C211="One2car",'中古車掲載'!F211="Corolla Cross",'中古車掲載'!L211="HEV PREMIUM SAFETY",'中古車掲載'!J211=2023,ISNUMBER('中古車掲載'!N211),'中古車掲載'!N211&gt;=50000,'中古車掲載'!O211&lt;=100000,'中古車掲載'!AL211=1,'中古車掲載'!Z211="https://www.one2car.com/en/cars-for-sale/toyota/corolla-cross/year-2023"),'中古車掲載'!U211,"")</x:f>
      </x:c>
      <x:c r="BD210" s="3" t="str">
        <x:f>IF(AND('中古車掲載'!C211="One2car",'中古車掲載'!F211="ATTO 3",'中古車掲載'!L211="EXTENDED RANGE",'中古車掲載'!J211=2023,ISNUMBER('中古車掲載'!N211),'中古車掲載'!N211&gt;=20000,'中古車掲載'!O211&lt;=50000,'中古車掲載'!AL211=1),'中古車掲載'!U211,"")</x:f>
      </x:c>
      <x:c r="BE210" s="3" t="str">
        <x:f>IF(AND('中古車掲載'!C211="One2car",'中古車掲載'!F211="Corolla Cross",'中古車掲載'!L211="HEV PREMIUM SAFETY",'中古車掲載'!J211=2023,ISNUMBER('中古車掲載'!N211),'中古車掲載'!N211&gt;=20000,'中古車掲載'!O211&lt;=50000,'中古車掲載'!AL211=1,'中古車掲載'!Z211="https://www.one2car.com/en/cars-for-sale/toyota/corolla-cross/year-2023"),'中古車掲載'!U211,"")</x:f>
      </x:c>
      <x:c r="BF210" s="3" t="str">
        <x:f>IF(AND('中古車掲載'!C211="One2car",'中古車掲載'!F211="Corolla Cross",'中古車掲載'!L211="HEV PREMIUM",'中古車掲載'!J211=2023,ISNUMBER('中古車掲載'!N211),'中古車掲載'!N211&gt;=20000,'中古車掲載'!O211&lt;=100000,'中古車掲載'!AL211=1,'中古車掲載'!Z211="https://www.one2car.com/en/cars-for-sale/toyota/corolla-cross/year-2023"),'中古車掲載'!U211,"")</x:f>
      </x:c>
      <x:c r="BG210" s="3" t="str">
        <x:f>IF(AND('中古車掲載'!C211="One2car",'中古車掲載'!F211="Corolla Cross",'中古車掲載'!L211="HEV GR SPORT",'中古車掲載'!J211=2023,ISNUMBER('中古車掲載'!N211),'中古車掲載'!N211&gt;=20000,'中古車掲載'!O211&lt;=100000,'中古車掲載'!AL211=1,'中古車掲載'!Z211="https://www.one2car.com/en/cars-for-sale/toyota/corolla-cross/year-2023"),'中古車掲載'!U211,"")</x:f>
      </x:c>
      <x:c r="BH210" s="3" t="str">
        <x:f>IF(AND('中古車掲載'!C211="One2car",'中古車掲載'!F211="DOLPHIN",'中古車掲載'!L211="STANDARD RANGE",'中古車掲載'!J211=2023,ISNUMBER('中古車掲載'!N211),'中古車掲載'!N211&gt;=20000,'中古車掲載'!O211&lt;=100000,'中古車掲載'!AL211=1),'中古車掲載'!U211,"")</x:f>
      </x:c>
      <x:c r="BI210" s="3" t="str">
        <x:v>Taladrod|Corolla Altis|ICE|Unknown</x:v>
      </x:c>
      <x:c r="BJ210" s="3" t="n">
        <x:v>211</x:v>
      </x:c>
      <x:c r="BK210" s="3" t="n">
        <x:f>'中古車掲載'!AM211</x:f>
        <x:v>439000</x:v>
      </x:c>
      <x:c r="BL210" s="3" t="str">
        <x:f>IF(ISNUMBER('中古車掲載'!AN211),'中古車掲載'!AN211,"")</x:f>
      </x:c>
      <x:c r="BM210" s="3" t="str">
        <x:v>2023|Smart cab</x:v>
      </x:c>
      <x:c r="BN210" s="3" t="n">
        <x:v>847</x:v>
      </x:c>
      <x:c r="BO210" s="3" t="n">
        <x:f>'中古車掲載'!AM847</x:f>
        <x:v>439000</x:v>
      </x:c>
      <x:c r="BP210" s="3" t="str">
        <x:v>2.4 ENTRY Z EDITION SMART CAB</x:v>
      </x:c>
      <x:c r="BQ210" s="3"/>
      <x:c r="BR210" s="3"/>
    </x:row>
    <x:row r="211" ht="22" customHeight="1">
      <x:c r="A211" s="3"/>
      <x:c r="B211" s="3"/>
      <x:c r="C211" s="3"/>
      <x:c r="D211" s="3"/>
      <x:c r="E211" s="3"/>
      <x:c r="F211" s="3"/>
      <x:c r="G211" s="3"/>
      <x:c r="H211" s="3"/>
      <x:c r="I211" s="3"/>
      <x:c r="J211" s="3"/>
      <x:c r="K211" s="3"/>
      <x:c r="L211" s="3"/>
      <x:c r="M211" s="3"/>
      <x:c r="N211" s="3"/>
      <x:c r="O211" s="3"/>
      <x:c r="P211" s="3"/>
      <x:c r="Q211" s="3"/>
      <x:c r="R211" s="3"/>
      <x:c r="S211" s="3"/>
      <x:c r="T211" s="3"/>
      <x:c r="U211" s="3"/>
      <x:c r="V211" s="3"/>
      <x:c r="W211" s="3"/>
      <x:c r="X211" s="3"/>
      <x:c r="Y211" s="3"/>
      <x:c r="Z211" s="3"/>
      <x:c r="AA211" s="3"/>
      <x:c r="AB211" s="3"/>
      <x:c r="AC211" s="3"/>
      <x:c r="AD211" s="3"/>
      <x:c r="AE211" s="3"/>
      <x:c r="AF211" s="3"/>
      <x:c r="AG211" s="3"/>
      <x:c r="AH211" s="3"/>
      <x:c r="AI211" s="3"/>
      <x:c r="AJ211" s="3"/>
      <x:c r="AK211" s="3"/>
      <x:c r="AL211" s="3"/>
      <x:c r="AM211" s="3"/>
      <x:c r="AN211" s="3"/>
      <x:c r="AO211" s="3"/>
      <x:c r="AP211" s="3"/>
      <x:c r="AQ211" s="3"/>
      <x:c r="AR211" s="3"/>
      <x:c r="AS211" s="3"/>
      <x:c r="AT211" s="3"/>
      <x:c r="AU211" s="3"/>
      <x:c r="AV211" s="3"/>
      <x:c r="AW211" s="3"/>
      <x:c r="AX211" s="3"/>
      <x:c r="AY211" s="3"/>
      <x:c r="AZ211" s="3" t="str">
        <x:f>IF(AND('中古車掲載'!C212="One2car",'中古車掲載'!F212="ATTO 3",'中古車掲載'!L212="EXTENDED RANGE",'中古車掲載'!J212=2023,ISNUMBER('中古車掲載'!N212),'中古車掲載'!N212&gt;=20000,'中古車掲載'!O212&lt;=100000,'中古車掲載'!AL212=1),'中古車掲載'!U212,"")</x:f>
      </x:c>
      <x:c r="BA211" s="3" t="str">
        <x:f>IF(AND('中古車掲載'!C212="One2car",'中古車掲載'!F212="Corolla Cross",'中古車掲載'!L212="HEV PREMIUM SAFETY",'中古車掲載'!J212=2023,ISNUMBER('中古車掲載'!N212),'中古車掲載'!N212&gt;=20000,'中古車掲載'!O212&lt;=100000,'中古車掲載'!AL212=1,'中古車掲載'!Z212="https://www.one2car.com/en/cars-for-sale/toyota/corolla-cross/year-2023"),'中古車掲載'!U212,"")</x:f>
      </x:c>
      <x:c r="BB211" s="3" t="str">
        <x:f>IF(AND('中古車掲載'!C212="One2car",'中古車掲載'!F212="ATTO 3",'中古車掲載'!L212="EXTENDED RANGE",'中古車掲載'!J212=2023,ISNUMBER('中古車掲載'!N212),'中古車掲載'!N212&gt;=50000,'中古車掲載'!O212&lt;=100000,'中古車掲載'!AL212=1),'中古車掲載'!U212,"")</x:f>
      </x:c>
      <x:c r="BC211" s="3" t="str">
        <x:f>IF(AND('中古車掲載'!C212="One2car",'中古車掲載'!F212="Corolla Cross",'中古車掲載'!L212="HEV PREMIUM SAFETY",'中古車掲載'!J212=2023,ISNUMBER('中古車掲載'!N212),'中古車掲載'!N212&gt;=50000,'中古車掲載'!O212&lt;=100000,'中古車掲載'!AL212=1,'中古車掲載'!Z212="https://www.one2car.com/en/cars-for-sale/toyota/corolla-cross/year-2023"),'中古車掲載'!U212,"")</x:f>
      </x:c>
      <x:c r="BD211" s="3" t="str">
        <x:f>IF(AND('中古車掲載'!C212="One2car",'中古車掲載'!F212="ATTO 3",'中古車掲載'!L212="EXTENDED RANGE",'中古車掲載'!J212=2023,ISNUMBER('中古車掲載'!N212),'中古車掲載'!N212&gt;=20000,'中古車掲載'!O212&lt;=50000,'中古車掲載'!AL212=1),'中古車掲載'!U212,"")</x:f>
      </x:c>
      <x:c r="BE211" s="3" t="str">
        <x:f>IF(AND('中古車掲載'!C212="One2car",'中古車掲載'!F212="Corolla Cross",'中古車掲載'!L212="HEV PREMIUM SAFETY",'中古車掲載'!J212=2023,ISNUMBER('中古車掲載'!N212),'中古車掲載'!N212&gt;=20000,'中古車掲載'!O212&lt;=50000,'中古車掲載'!AL212=1,'中古車掲載'!Z212="https://www.one2car.com/en/cars-for-sale/toyota/corolla-cross/year-2023"),'中古車掲載'!U212,"")</x:f>
      </x:c>
      <x:c r="BF211" s="3" t="str">
        <x:f>IF(AND('中古車掲載'!C212="One2car",'中古車掲載'!F212="Corolla Cross",'中古車掲載'!L212="HEV PREMIUM",'中古車掲載'!J212=2023,ISNUMBER('中古車掲載'!N212),'中古車掲載'!N212&gt;=20000,'中古車掲載'!O212&lt;=100000,'中古車掲載'!AL212=1,'中古車掲載'!Z212="https://www.one2car.com/en/cars-for-sale/toyota/corolla-cross/year-2023"),'中古車掲載'!U212,"")</x:f>
      </x:c>
      <x:c r="BG211" s="3" t="str">
        <x:f>IF(AND('中古車掲載'!C212="One2car",'中古車掲載'!F212="Corolla Cross",'中古車掲載'!L212="HEV GR SPORT",'中古車掲載'!J212=2023,ISNUMBER('中古車掲載'!N212),'中古車掲載'!N212&gt;=20000,'中古車掲載'!O212&lt;=100000,'中古車掲載'!AL212=1,'中古車掲載'!Z212="https://www.one2car.com/en/cars-for-sale/toyota/corolla-cross/year-2023"),'中古車掲載'!U212,"")</x:f>
      </x:c>
      <x:c r="BH211" s="3" t="str">
        <x:f>IF(AND('中古車掲載'!C212="One2car",'中古車掲載'!F212="DOLPHIN",'中古車掲載'!L212="STANDARD RANGE",'中古車掲載'!J212=2023,ISNUMBER('中古車掲載'!N212),'中古車掲載'!N212&gt;=20000,'中古車掲載'!O212&lt;=100000,'中古車掲載'!AL212=1),'中古車掲載'!U212,"")</x:f>
      </x:c>
      <x:c r="BI211" s="3" t="str">
        <x:v>Taladrod|Corolla Altis|ICE|Unknown</x:v>
      </x:c>
      <x:c r="BJ211" s="3" t="n">
        <x:v>212</x:v>
      </x:c>
      <x:c r="BK211" s="3" t="n">
        <x:f>'中古車掲載'!AM212</x:f>
        <x:v>418000</x:v>
      </x:c>
      <x:c r="BL211" s="3" t="str">
        <x:f>IF(ISNUMBER('中古車掲載'!AN212),'中古車掲載'!AN212,"")</x:f>
      </x:c>
      <x:c r="BM211" s="3" t="str">
        <x:v>2023|Smart cab</x:v>
      </x:c>
      <x:c r="BN211" s="3" t="n">
        <x:v>848</x:v>
      </x:c>
      <x:c r="BO211" s="3" t="n">
        <x:f>'中古車掲載'!AM848</x:f>
        <x:v>429000</x:v>
      </x:c>
      <x:c r="BP211" s="3" t="str">
        <x:v>2.4 ENTRY Z EDITION SMART CAB</x:v>
      </x:c>
      <x:c r="BQ211" s="3"/>
      <x:c r="BR211" s="3"/>
    </x:row>
    <x:row r="212" ht="22" customHeight="1">
      <x:c r="A212" s="3"/>
      <x:c r="B212" s="3"/>
      <x:c r="C212" s="3"/>
      <x:c r="D212" s="3"/>
      <x:c r="E212" s="3"/>
      <x:c r="F212" s="3"/>
      <x:c r="G212" s="3"/>
      <x:c r="H212" s="3"/>
      <x:c r="I212" s="3"/>
      <x:c r="J212" s="3"/>
      <x:c r="K212" s="3"/>
      <x:c r="L212" s="3"/>
      <x:c r="M212" s="3"/>
      <x:c r="N212" s="3"/>
      <x:c r="O212" s="3"/>
      <x:c r="P212" s="3"/>
      <x:c r="Q212" s="3"/>
      <x:c r="R212" s="3"/>
      <x:c r="S212" s="3"/>
      <x:c r="T212" s="3"/>
      <x:c r="U212" s="3"/>
      <x:c r="V212" s="3"/>
      <x:c r="W212" s="3"/>
      <x:c r="X212" s="3"/>
      <x:c r="Y212" s="3"/>
      <x:c r="Z212" s="3"/>
      <x:c r="AA212" s="3"/>
      <x:c r="AB212" s="3"/>
      <x:c r="AC212" s="3"/>
      <x:c r="AD212" s="3"/>
      <x:c r="AE212" s="3"/>
      <x:c r="AF212" s="3"/>
      <x:c r="AG212" s="3"/>
      <x:c r="AH212" s="3"/>
      <x:c r="AI212" s="3"/>
      <x:c r="AJ212" s="3"/>
      <x:c r="AK212" s="3"/>
      <x:c r="AL212" s="3"/>
      <x:c r="AM212" s="3"/>
      <x:c r="AN212" s="3"/>
      <x:c r="AO212" s="3"/>
      <x:c r="AP212" s="3"/>
      <x:c r="AQ212" s="3"/>
      <x:c r="AR212" s="3"/>
      <x:c r="AS212" s="3"/>
      <x:c r="AT212" s="3"/>
      <x:c r="AU212" s="3"/>
      <x:c r="AV212" s="3"/>
      <x:c r="AW212" s="3"/>
      <x:c r="AX212" s="3"/>
      <x:c r="AY212" s="3"/>
      <x:c r="AZ212" s="3" t="str">
        <x:f>IF(AND('中古車掲載'!C213="One2car",'中古車掲載'!F213="ATTO 3",'中古車掲載'!L213="EXTENDED RANGE",'中古車掲載'!J213=2023,ISNUMBER('中古車掲載'!N213),'中古車掲載'!N213&gt;=20000,'中古車掲載'!O213&lt;=100000,'中古車掲載'!AL213=1),'中古車掲載'!U213,"")</x:f>
      </x:c>
      <x:c r="BA212" s="3" t="str">
        <x:f>IF(AND('中古車掲載'!C213="One2car",'中古車掲載'!F213="Corolla Cross",'中古車掲載'!L213="HEV PREMIUM SAFETY",'中古車掲載'!J213=2023,ISNUMBER('中古車掲載'!N213),'中古車掲載'!N213&gt;=20000,'中古車掲載'!O213&lt;=100000,'中古車掲載'!AL213=1,'中古車掲載'!Z213="https://www.one2car.com/en/cars-for-sale/toyota/corolla-cross/year-2023"),'中古車掲載'!U213,"")</x:f>
      </x:c>
      <x:c r="BB212" s="3" t="str">
        <x:f>IF(AND('中古車掲載'!C213="One2car",'中古車掲載'!F213="ATTO 3",'中古車掲載'!L213="EXTENDED RANGE",'中古車掲載'!J213=2023,ISNUMBER('中古車掲載'!N213),'中古車掲載'!N213&gt;=50000,'中古車掲載'!O213&lt;=100000,'中古車掲載'!AL213=1),'中古車掲載'!U213,"")</x:f>
      </x:c>
      <x:c r="BC212" s="3" t="str">
        <x:f>IF(AND('中古車掲載'!C213="One2car",'中古車掲載'!F213="Corolla Cross",'中古車掲載'!L213="HEV PREMIUM SAFETY",'中古車掲載'!J213=2023,ISNUMBER('中古車掲載'!N213),'中古車掲載'!N213&gt;=50000,'中古車掲載'!O213&lt;=100000,'中古車掲載'!AL213=1,'中古車掲載'!Z213="https://www.one2car.com/en/cars-for-sale/toyota/corolla-cross/year-2023"),'中古車掲載'!U213,"")</x:f>
      </x:c>
      <x:c r="BD212" s="3" t="str">
        <x:f>IF(AND('中古車掲載'!C213="One2car",'中古車掲載'!F213="ATTO 3",'中古車掲載'!L213="EXTENDED RANGE",'中古車掲載'!J213=2023,ISNUMBER('中古車掲載'!N213),'中古車掲載'!N213&gt;=20000,'中古車掲載'!O213&lt;=50000,'中古車掲載'!AL213=1),'中古車掲載'!U213,"")</x:f>
      </x:c>
      <x:c r="BE212" s="3" t="str">
        <x:f>IF(AND('中古車掲載'!C213="One2car",'中古車掲載'!F213="Corolla Cross",'中古車掲載'!L213="HEV PREMIUM SAFETY",'中古車掲載'!J213=2023,ISNUMBER('中古車掲載'!N213),'中古車掲載'!N213&gt;=20000,'中古車掲載'!O213&lt;=50000,'中古車掲載'!AL213=1,'中古車掲載'!Z213="https://www.one2car.com/en/cars-for-sale/toyota/corolla-cross/year-2023"),'中古車掲載'!U213,"")</x:f>
      </x:c>
      <x:c r="BF212" s="3" t="str">
        <x:f>IF(AND('中古車掲載'!C213="One2car",'中古車掲載'!F213="Corolla Cross",'中古車掲載'!L213="HEV PREMIUM",'中古車掲載'!J213=2023,ISNUMBER('中古車掲載'!N213),'中古車掲載'!N213&gt;=20000,'中古車掲載'!O213&lt;=100000,'中古車掲載'!AL213=1,'中古車掲載'!Z213="https://www.one2car.com/en/cars-for-sale/toyota/corolla-cross/year-2023"),'中古車掲載'!U213,"")</x:f>
      </x:c>
      <x:c r="BG212" s="3" t="str">
        <x:f>IF(AND('中古車掲載'!C213="One2car",'中古車掲載'!F213="Corolla Cross",'中古車掲載'!L213="HEV GR SPORT",'中古車掲載'!J213=2023,ISNUMBER('中古車掲載'!N213),'中古車掲載'!N213&gt;=20000,'中古車掲載'!O213&lt;=100000,'中古車掲載'!AL213=1,'中古車掲載'!Z213="https://www.one2car.com/en/cars-for-sale/toyota/corolla-cross/year-2023"),'中古車掲載'!U213,"")</x:f>
      </x:c>
      <x:c r="BH212" s="3" t="str">
        <x:f>IF(AND('中古車掲載'!C213="One2car",'中古車掲載'!F213="DOLPHIN",'中古車掲載'!L213="STANDARD RANGE",'中古車掲載'!J213=2023,ISNUMBER('中古車掲載'!N213),'中古車掲載'!N213&gt;=20000,'中古車掲載'!O213&lt;=100000,'中古車掲載'!AL213=1),'中古車掲載'!U213,"")</x:f>
      </x:c>
      <x:c r="BI212" s="3" t="str">
        <x:v>Taladrod|Corolla Altis|ICE|Unknown</x:v>
      </x:c>
      <x:c r="BJ212" s="3" t="n">
        <x:v>213</x:v>
      </x:c>
      <x:c r="BK212" s="3" t="n">
        <x:f>'中古車掲載'!AM213</x:f>
        <x:v>435000</x:v>
      </x:c>
      <x:c r="BL212" s="3" t="str">
        <x:f>IF(ISNUMBER('中古車掲載'!AN213),'中古車掲載'!AN213,"")</x:f>
      </x:c>
      <x:c r="BM212" s="3" t="str">
        <x:v>2023|Smart cab</x:v>
      </x:c>
      <x:c r="BN212" s="3" t="n">
        <x:v>849</x:v>
      </x:c>
      <x:c r="BO212" s="3" t="n">
        <x:f>'中古車掲載'!AM849</x:f>
        <x:v>569000</x:v>
      </x:c>
      <x:c r="BP212" s="3" t="str">
        <x:v>2.4 ENTRY Z EDITION SMART CAB</x:v>
      </x:c>
      <x:c r="BQ212" s="3"/>
      <x:c r="BR212" s="3"/>
    </x:row>
    <x:row r="213" ht="22" customHeight="1">
      <x:c r="A213" s="3"/>
      <x:c r="B213" s="3"/>
      <x:c r="C213" s="3"/>
      <x:c r="D213" s="3"/>
      <x:c r="E213" s="3"/>
      <x:c r="F213" s="3"/>
      <x:c r="G213" s="3"/>
      <x:c r="H213" s="3"/>
      <x:c r="I213" s="3"/>
      <x:c r="J213" s="3"/>
      <x:c r="K213" s="3"/>
      <x:c r="L213" s="3"/>
      <x:c r="M213" s="3"/>
      <x:c r="N213" s="3"/>
      <x:c r="O213" s="3"/>
      <x:c r="P213" s="3"/>
      <x:c r="Q213" s="3"/>
      <x:c r="R213" s="3"/>
      <x:c r="S213" s="3"/>
      <x:c r="T213" s="3"/>
      <x:c r="U213" s="3"/>
      <x:c r="V213" s="3"/>
      <x:c r="W213" s="3"/>
      <x:c r="X213" s="3"/>
      <x:c r="Y213" s="3"/>
      <x:c r="Z213" s="3"/>
      <x:c r="AA213" s="3"/>
      <x:c r="AB213" s="3"/>
      <x:c r="AC213" s="3"/>
      <x:c r="AD213" s="3"/>
      <x:c r="AE213" s="3"/>
      <x:c r="AF213" s="3"/>
      <x:c r="AG213" s="3"/>
      <x:c r="AH213" s="3"/>
      <x:c r="AI213" s="3"/>
      <x:c r="AJ213" s="3"/>
      <x:c r="AK213" s="3"/>
      <x:c r="AL213" s="3"/>
      <x:c r="AM213" s="3"/>
      <x:c r="AN213" s="3"/>
      <x:c r="AO213" s="3"/>
      <x:c r="AP213" s="3"/>
      <x:c r="AQ213" s="3"/>
      <x:c r="AR213" s="3"/>
      <x:c r="AS213" s="3"/>
      <x:c r="AT213" s="3"/>
      <x:c r="AU213" s="3"/>
      <x:c r="AV213" s="3"/>
      <x:c r="AW213" s="3"/>
      <x:c r="AX213" s="3"/>
      <x:c r="AY213" s="3"/>
      <x:c r="AZ213" s="3" t="str">
        <x:f>IF(AND('中古車掲載'!C214="One2car",'中古車掲載'!F214="ATTO 3",'中古車掲載'!L214="EXTENDED RANGE",'中古車掲載'!J214=2023,ISNUMBER('中古車掲載'!N214),'中古車掲載'!N214&gt;=20000,'中古車掲載'!O214&lt;=100000,'中古車掲載'!AL214=1),'中古車掲載'!U214,"")</x:f>
      </x:c>
      <x:c r="BA213" s="3" t="str">
        <x:f>IF(AND('中古車掲載'!C214="One2car",'中古車掲載'!F214="Corolla Cross",'中古車掲載'!L214="HEV PREMIUM SAFETY",'中古車掲載'!J214=2023,ISNUMBER('中古車掲載'!N214),'中古車掲載'!N214&gt;=20000,'中古車掲載'!O214&lt;=100000,'中古車掲載'!AL214=1,'中古車掲載'!Z214="https://www.one2car.com/en/cars-for-sale/toyota/corolla-cross/year-2023"),'中古車掲載'!U214,"")</x:f>
      </x:c>
      <x:c r="BB213" s="3" t="str">
        <x:f>IF(AND('中古車掲載'!C214="One2car",'中古車掲載'!F214="ATTO 3",'中古車掲載'!L214="EXTENDED RANGE",'中古車掲載'!J214=2023,ISNUMBER('中古車掲載'!N214),'中古車掲載'!N214&gt;=50000,'中古車掲載'!O214&lt;=100000,'中古車掲載'!AL214=1),'中古車掲載'!U214,"")</x:f>
      </x:c>
      <x:c r="BC213" s="3" t="str">
        <x:f>IF(AND('中古車掲載'!C214="One2car",'中古車掲載'!F214="Corolla Cross",'中古車掲載'!L214="HEV PREMIUM SAFETY",'中古車掲載'!J214=2023,ISNUMBER('中古車掲載'!N214),'中古車掲載'!N214&gt;=50000,'中古車掲載'!O214&lt;=100000,'中古車掲載'!AL214=1,'中古車掲載'!Z214="https://www.one2car.com/en/cars-for-sale/toyota/corolla-cross/year-2023"),'中古車掲載'!U214,"")</x:f>
      </x:c>
      <x:c r="BD213" s="3" t="str">
        <x:f>IF(AND('中古車掲載'!C214="One2car",'中古車掲載'!F214="ATTO 3",'中古車掲載'!L214="EXTENDED RANGE",'中古車掲載'!J214=2023,ISNUMBER('中古車掲載'!N214),'中古車掲載'!N214&gt;=20000,'中古車掲載'!O214&lt;=50000,'中古車掲載'!AL214=1),'中古車掲載'!U214,"")</x:f>
      </x:c>
      <x:c r="BE213" s="3" t="str">
        <x:f>IF(AND('中古車掲載'!C214="One2car",'中古車掲載'!F214="Corolla Cross",'中古車掲載'!L214="HEV PREMIUM SAFETY",'中古車掲載'!J214=2023,ISNUMBER('中古車掲載'!N214),'中古車掲載'!N214&gt;=20000,'中古車掲載'!O214&lt;=50000,'中古車掲載'!AL214=1,'中古車掲載'!Z214="https://www.one2car.com/en/cars-for-sale/toyota/corolla-cross/year-2023"),'中古車掲載'!U214,"")</x:f>
      </x:c>
      <x:c r="BF213" s="3" t="str">
        <x:f>IF(AND('中古車掲載'!C214="One2car",'中古車掲載'!F214="Corolla Cross",'中古車掲載'!L214="HEV PREMIUM",'中古車掲載'!J214=2023,ISNUMBER('中古車掲載'!N214),'中古車掲載'!N214&gt;=20000,'中古車掲載'!O214&lt;=100000,'中古車掲載'!AL214=1,'中古車掲載'!Z214="https://www.one2car.com/en/cars-for-sale/toyota/corolla-cross/year-2023"),'中古車掲載'!U214,"")</x:f>
      </x:c>
      <x:c r="BG213" s="3" t="str">
        <x:f>IF(AND('中古車掲載'!C214="One2car",'中古車掲載'!F214="Corolla Cross",'中古車掲載'!L214="HEV GR SPORT",'中古車掲載'!J214=2023,ISNUMBER('中古車掲載'!N214),'中古車掲載'!N214&gt;=20000,'中古車掲載'!O214&lt;=100000,'中古車掲載'!AL214=1,'中古車掲載'!Z214="https://www.one2car.com/en/cars-for-sale/toyota/corolla-cross/year-2023"),'中古車掲載'!U214,"")</x:f>
      </x:c>
      <x:c r="BH213" s="3" t="str">
        <x:f>IF(AND('中古車掲載'!C214="One2car",'中古車掲載'!F214="DOLPHIN",'中古車掲載'!L214="STANDARD RANGE",'中古車掲載'!J214=2023,ISNUMBER('中古車掲載'!N214),'中古車掲載'!N214&gt;=20000,'中古車掲載'!O214&lt;=100000,'中古車掲載'!AL214=1),'中古車掲載'!U214,"")</x:f>
      </x:c>
      <x:c r="BI213" s="3" t="str">
        <x:v>Taladrod|Corolla Altis|ICE|Unknown</x:v>
      </x:c>
      <x:c r="BJ213" s="3" t="n">
        <x:v>214</x:v>
      </x:c>
      <x:c r="BK213" s="3" t="n">
        <x:f>'中古車掲載'!AM214</x:f>
        <x:v>499000</x:v>
      </x:c>
      <x:c r="BL213" s="3" t="str">
        <x:f>IF(ISNUMBER('中古車掲載'!AN214),'中古車掲載'!AN214,"")</x:f>
      </x:c>
      <x:c r="BM213" s="3" t="str">
        <x:v>2023|Smart cab</x:v>
      </x:c>
      <x:c r="BN213" s="3" t="n">
        <x:v>857</x:v>
      </x:c>
      <x:c r="BO213" s="3" t="n">
        <x:f>'中古車掲載'!AM857</x:f>
        <x:v>599000</x:v>
      </x:c>
      <x:c r="BP213" s="3" t="str">
        <x:v>2.4 MID PRERUNNER SMART CAB</x:v>
      </x:c>
      <x:c r="BQ213" s="3"/>
      <x:c r="BR213" s="3"/>
    </x:row>
    <x:row r="214" ht="22" customHeight="1">
      <x:c r="A214" s="3"/>
      <x:c r="B214" s="3"/>
      <x:c r="C214" s="3"/>
      <x:c r="D214" s="3"/>
      <x:c r="E214" s="3"/>
      <x:c r="F214" s="3"/>
      <x:c r="G214" s="3"/>
      <x:c r="H214" s="3"/>
      <x:c r="I214" s="3"/>
      <x:c r="J214" s="3"/>
      <x:c r="K214" s="3"/>
      <x:c r="L214" s="3"/>
      <x:c r="M214" s="3"/>
      <x:c r="N214" s="3"/>
      <x:c r="O214" s="3"/>
      <x:c r="P214" s="3"/>
      <x:c r="Q214" s="3"/>
      <x:c r="R214" s="3"/>
      <x:c r="S214" s="3"/>
      <x:c r="T214" s="3"/>
      <x:c r="U214" s="3"/>
      <x:c r="V214" s="3"/>
      <x:c r="W214" s="3"/>
      <x:c r="X214" s="3"/>
      <x:c r="Y214" s="3"/>
      <x:c r="Z214" s="3"/>
      <x:c r="AA214" s="3"/>
      <x:c r="AB214" s="3"/>
      <x:c r="AC214" s="3"/>
      <x:c r="AD214" s="3"/>
      <x:c r="AE214" s="3"/>
      <x:c r="AF214" s="3"/>
      <x:c r="AG214" s="3"/>
      <x:c r="AH214" s="3"/>
      <x:c r="AI214" s="3"/>
      <x:c r="AJ214" s="3"/>
      <x:c r="AK214" s="3"/>
      <x:c r="AL214" s="3"/>
      <x:c r="AM214" s="3"/>
      <x:c r="AN214" s="3"/>
      <x:c r="AO214" s="3"/>
      <x:c r="AP214" s="3"/>
      <x:c r="AQ214" s="3"/>
      <x:c r="AR214" s="3"/>
      <x:c r="AS214" s="3"/>
      <x:c r="AT214" s="3"/>
      <x:c r="AU214" s="3"/>
      <x:c r="AV214" s="3"/>
      <x:c r="AW214" s="3"/>
      <x:c r="AX214" s="3"/>
      <x:c r="AY214" s="3"/>
      <x:c r="AZ214" s="3" t="str">
        <x:f>IF(AND('中古車掲載'!C215="One2car",'中古車掲載'!F215="ATTO 3",'中古車掲載'!L215="EXTENDED RANGE",'中古車掲載'!J215=2023,ISNUMBER('中古車掲載'!N215),'中古車掲載'!N215&gt;=20000,'中古車掲載'!O215&lt;=100000,'中古車掲載'!AL215=1),'中古車掲載'!U215,"")</x:f>
      </x:c>
      <x:c r="BA214" s="3" t="str">
        <x:f>IF(AND('中古車掲載'!C215="One2car",'中古車掲載'!F215="Corolla Cross",'中古車掲載'!L215="HEV PREMIUM SAFETY",'中古車掲載'!J215=2023,ISNUMBER('中古車掲載'!N215),'中古車掲載'!N215&gt;=20000,'中古車掲載'!O215&lt;=100000,'中古車掲載'!AL215=1,'中古車掲載'!Z215="https://www.one2car.com/en/cars-for-sale/toyota/corolla-cross/year-2023"),'中古車掲載'!U215,"")</x:f>
      </x:c>
      <x:c r="BB214" s="3" t="str">
        <x:f>IF(AND('中古車掲載'!C215="One2car",'中古車掲載'!F215="ATTO 3",'中古車掲載'!L215="EXTENDED RANGE",'中古車掲載'!J215=2023,ISNUMBER('中古車掲載'!N215),'中古車掲載'!N215&gt;=50000,'中古車掲載'!O215&lt;=100000,'中古車掲載'!AL215=1),'中古車掲載'!U215,"")</x:f>
      </x:c>
      <x:c r="BC214" s="3" t="str">
        <x:f>IF(AND('中古車掲載'!C215="One2car",'中古車掲載'!F215="Corolla Cross",'中古車掲載'!L215="HEV PREMIUM SAFETY",'中古車掲載'!J215=2023,ISNUMBER('中古車掲載'!N215),'中古車掲載'!N215&gt;=50000,'中古車掲載'!O215&lt;=100000,'中古車掲載'!AL215=1,'中古車掲載'!Z215="https://www.one2car.com/en/cars-for-sale/toyota/corolla-cross/year-2023"),'中古車掲載'!U215,"")</x:f>
      </x:c>
      <x:c r="BD214" s="3" t="str">
        <x:f>IF(AND('中古車掲載'!C215="One2car",'中古車掲載'!F215="ATTO 3",'中古車掲載'!L215="EXTENDED RANGE",'中古車掲載'!J215=2023,ISNUMBER('中古車掲載'!N215),'中古車掲載'!N215&gt;=20000,'中古車掲載'!O215&lt;=50000,'中古車掲載'!AL215=1),'中古車掲載'!U215,"")</x:f>
      </x:c>
      <x:c r="BE214" s="3" t="str">
        <x:f>IF(AND('中古車掲載'!C215="One2car",'中古車掲載'!F215="Corolla Cross",'中古車掲載'!L215="HEV PREMIUM SAFETY",'中古車掲載'!J215=2023,ISNUMBER('中古車掲載'!N215),'中古車掲載'!N215&gt;=20000,'中古車掲載'!O215&lt;=50000,'中古車掲載'!AL215=1,'中古車掲載'!Z215="https://www.one2car.com/en/cars-for-sale/toyota/corolla-cross/year-2023"),'中古車掲載'!U215,"")</x:f>
      </x:c>
      <x:c r="BF214" s="3" t="str">
        <x:f>IF(AND('中古車掲載'!C215="One2car",'中古車掲載'!F215="Corolla Cross",'中古車掲載'!L215="HEV PREMIUM",'中古車掲載'!J215=2023,ISNUMBER('中古車掲載'!N215),'中古車掲載'!N215&gt;=20000,'中古車掲載'!O215&lt;=100000,'中古車掲載'!AL215=1,'中古車掲載'!Z215="https://www.one2car.com/en/cars-for-sale/toyota/corolla-cross/year-2023"),'中古車掲載'!U215,"")</x:f>
      </x:c>
      <x:c r="BG214" s="3" t="str">
        <x:f>IF(AND('中古車掲載'!C215="One2car",'中古車掲載'!F215="Corolla Cross",'中古車掲載'!L215="HEV GR SPORT",'中古車掲載'!J215=2023,ISNUMBER('中古車掲載'!N215),'中古車掲載'!N215&gt;=20000,'中古車掲載'!O215&lt;=100000,'中古車掲載'!AL215=1,'中古車掲載'!Z215="https://www.one2car.com/en/cars-for-sale/toyota/corolla-cross/year-2023"),'中古車掲載'!U215,"")</x:f>
      </x:c>
      <x:c r="BH214" s="3" t="str">
        <x:f>IF(AND('中古車掲載'!C215="One2car",'中古車掲載'!F215="DOLPHIN",'中古車掲載'!L215="STANDARD RANGE",'中古車掲載'!J215=2023,ISNUMBER('中古車掲載'!N215),'中古車掲載'!N215&gt;=20000,'中古車掲載'!O215&lt;=100000,'中古車掲載'!AL215=1),'中古車掲載'!U215,"")</x:f>
      </x:c>
      <x:c r="BI214" s="3" t="str">
        <x:v>Taladrod|Corolla Altis|ICE|Unknown</x:v>
      </x:c>
      <x:c r="BJ214" s="3" t="n">
        <x:v>215</x:v>
      </x:c>
      <x:c r="BK214" s="3" t="n">
        <x:f>'中古車掲載'!AM215</x:f>
        <x:v>459000</x:v>
      </x:c>
      <x:c r="BL214" s="3" t="str">
        <x:f>IF(ISNUMBER('中古車掲載'!AN215),'中古車掲載'!AN215,"")</x:f>
      </x:c>
      <x:c r="BM214" s="3" t="str">
        <x:v>2023|Smart cab</x:v>
      </x:c>
      <x:c r="BN214" s="3" t="n">
        <x:v>858</x:v>
      </x:c>
      <x:c r="BO214" s="3" t="n">
        <x:f>'中古車掲載'!AM858</x:f>
        <x:v>599000</x:v>
      </x:c>
      <x:c r="BP214" s="3" t="str">
        <x:v>2.4 MID PRERUNNER SMART CAB</x:v>
      </x:c>
      <x:c r="BQ214" s="3"/>
      <x:c r="BR214" s="3"/>
    </x:row>
    <x:row r="215" ht="22" customHeight="1">
      <x:c r="A215" s="3"/>
      <x:c r="B215" s="3"/>
      <x:c r="C215" s="3"/>
      <x:c r="D215" s="3"/>
      <x:c r="E215" s="3"/>
      <x:c r="F215" s="3"/>
      <x:c r="G215" s="3"/>
      <x:c r="H215" s="3"/>
      <x:c r="I215" s="3"/>
      <x:c r="J215" s="3"/>
      <x:c r="K215" s="3"/>
      <x:c r="L215" s="3"/>
      <x:c r="M215" s="3"/>
      <x:c r="N215" s="3"/>
      <x:c r="O215" s="3"/>
      <x:c r="P215" s="3"/>
      <x:c r="Q215" s="3"/>
      <x:c r="R215" s="3"/>
      <x:c r="S215" s="3"/>
      <x:c r="T215" s="3"/>
      <x:c r="U215" s="3"/>
      <x:c r="V215" s="3"/>
      <x:c r="W215" s="3"/>
      <x:c r="X215" s="3"/>
      <x:c r="Y215" s="3"/>
      <x:c r="Z215" s="3"/>
      <x:c r="AA215" s="3"/>
      <x:c r="AB215" s="3"/>
      <x:c r="AC215" s="3"/>
      <x:c r="AD215" s="3"/>
      <x:c r="AE215" s="3"/>
      <x:c r="AF215" s="3"/>
      <x:c r="AG215" s="3"/>
      <x:c r="AH215" s="3"/>
      <x:c r="AI215" s="3"/>
      <x:c r="AJ215" s="3"/>
      <x:c r="AK215" s="3"/>
      <x:c r="AL215" s="3"/>
      <x:c r="AM215" s="3"/>
      <x:c r="AN215" s="3"/>
      <x:c r="AO215" s="3"/>
      <x:c r="AP215" s="3"/>
      <x:c r="AQ215" s="3"/>
      <x:c r="AR215" s="3"/>
      <x:c r="AS215" s="3"/>
      <x:c r="AT215" s="3"/>
      <x:c r="AU215" s="3"/>
      <x:c r="AV215" s="3"/>
      <x:c r="AW215" s="3"/>
      <x:c r="AX215" s="3"/>
      <x:c r="AY215" s="3"/>
      <x:c r="AZ215" s="3" t="str">
        <x:f>IF(AND('中古車掲載'!C216="One2car",'中古車掲載'!F216="ATTO 3",'中古車掲載'!L216="EXTENDED RANGE",'中古車掲載'!J216=2023,ISNUMBER('中古車掲載'!N216),'中古車掲載'!N216&gt;=20000,'中古車掲載'!O216&lt;=100000,'中古車掲載'!AL216=1),'中古車掲載'!U216,"")</x:f>
      </x:c>
      <x:c r="BA215" s="3" t="str">
        <x:f>IF(AND('中古車掲載'!C216="One2car",'中古車掲載'!F216="Corolla Cross",'中古車掲載'!L216="HEV PREMIUM SAFETY",'中古車掲載'!J216=2023,ISNUMBER('中古車掲載'!N216),'中古車掲載'!N216&gt;=20000,'中古車掲載'!O216&lt;=100000,'中古車掲載'!AL216=1,'中古車掲載'!Z216="https://www.one2car.com/en/cars-for-sale/toyota/corolla-cross/year-2023"),'中古車掲載'!U216,"")</x:f>
      </x:c>
      <x:c r="BB215" s="3" t="str">
        <x:f>IF(AND('中古車掲載'!C216="One2car",'中古車掲載'!F216="ATTO 3",'中古車掲載'!L216="EXTENDED RANGE",'中古車掲載'!J216=2023,ISNUMBER('中古車掲載'!N216),'中古車掲載'!N216&gt;=50000,'中古車掲載'!O216&lt;=100000,'中古車掲載'!AL216=1),'中古車掲載'!U216,"")</x:f>
      </x:c>
      <x:c r="BC215" s="3" t="str">
        <x:f>IF(AND('中古車掲載'!C216="One2car",'中古車掲載'!F216="Corolla Cross",'中古車掲載'!L216="HEV PREMIUM SAFETY",'中古車掲載'!J216=2023,ISNUMBER('中古車掲載'!N216),'中古車掲載'!N216&gt;=50000,'中古車掲載'!O216&lt;=100000,'中古車掲載'!AL216=1,'中古車掲載'!Z216="https://www.one2car.com/en/cars-for-sale/toyota/corolla-cross/year-2023"),'中古車掲載'!U216,"")</x:f>
      </x:c>
      <x:c r="BD215" s="3" t="str">
        <x:f>IF(AND('中古車掲載'!C216="One2car",'中古車掲載'!F216="ATTO 3",'中古車掲載'!L216="EXTENDED RANGE",'中古車掲載'!J216=2023,ISNUMBER('中古車掲載'!N216),'中古車掲載'!N216&gt;=20000,'中古車掲載'!O216&lt;=50000,'中古車掲載'!AL216=1),'中古車掲載'!U216,"")</x:f>
      </x:c>
      <x:c r="BE215" s="3" t="str">
        <x:f>IF(AND('中古車掲載'!C216="One2car",'中古車掲載'!F216="Corolla Cross",'中古車掲載'!L216="HEV PREMIUM SAFETY",'中古車掲載'!J216=2023,ISNUMBER('中古車掲載'!N216),'中古車掲載'!N216&gt;=20000,'中古車掲載'!O216&lt;=50000,'中古車掲載'!AL216=1,'中古車掲載'!Z216="https://www.one2car.com/en/cars-for-sale/toyota/corolla-cross/year-2023"),'中古車掲載'!U216,"")</x:f>
      </x:c>
      <x:c r="BF215" s="3" t="str">
        <x:f>IF(AND('中古車掲載'!C216="One2car",'中古車掲載'!F216="Corolla Cross",'中古車掲載'!L216="HEV PREMIUM",'中古車掲載'!J216=2023,ISNUMBER('中古車掲載'!N216),'中古車掲載'!N216&gt;=20000,'中古車掲載'!O216&lt;=100000,'中古車掲載'!AL216=1,'中古車掲載'!Z216="https://www.one2car.com/en/cars-for-sale/toyota/corolla-cross/year-2023"),'中古車掲載'!U216,"")</x:f>
      </x:c>
      <x:c r="BG215" s="3" t="str">
        <x:f>IF(AND('中古車掲載'!C216="One2car",'中古車掲載'!F216="Corolla Cross",'中古車掲載'!L216="HEV GR SPORT",'中古車掲載'!J216=2023,ISNUMBER('中古車掲載'!N216),'中古車掲載'!N216&gt;=20000,'中古車掲載'!O216&lt;=100000,'中古車掲載'!AL216=1,'中古車掲載'!Z216="https://www.one2car.com/en/cars-for-sale/toyota/corolla-cross/year-2023"),'中古車掲載'!U216,"")</x:f>
      </x:c>
      <x:c r="BH215" s="3" t="str">
        <x:f>IF(AND('中古車掲載'!C216="One2car",'中古車掲載'!F216="DOLPHIN",'中古車掲載'!L216="STANDARD RANGE",'中古車掲載'!J216=2023,ISNUMBER('中古車掲載'!N216),'中古車掲載'!N216&gt;=20000,'中古車掲載'!O216&lt;=100000,'中古車掲載'!AL216=1),'中古車掲載'!U216,"")</x:f>
      </x:c>
      <x:c r="BI215" s="3" t="str">
        <x:v>Taladrod|Corolla Altis|ICE|Unknown</x:v>
      </x:c>
      <x:c r="BJ215" s="3" t="n">
        <x:v>216</x:v>
      </x:c>
      <x:c r="BK215" s="3" t="n">
        <x:f>'中古車掲載'!AM216</x:f>
        <x:v>395000</x:v>
      </x:c>
      <x:c r="BL215" s="3" t="str">
        <x:f>IF(ISNUMBER('中古車掲載'!AN216),'中古車掲載'!AN216,"")</x:f>
      </x:c>
      <x:c r="BM215" s="3" t="str">
        <x:v>2023|Smart cab</x:v>
      </x:c>
      <x:c r="BN215" s="3" t="n">
        <x:v>867</x:v>
      </x:c>
      <x:c r="BO215" s="3" t="n">
        <x:f>'中古車掲載'!AM867</x:f>
        <x:v>834000</x:v>
      </x:c>
      <x:c r="BP215" s="3" t="str">
        <x:v>2.8 HIGH 4WD SMART CAB</x:v>
      </x:c>
      <x:c r="BQ215" s="3"/>
      <x:c r="BR215" s="3"/>
    </x:row>
    <x:row r="216" ht="22" customHeight="1">
      <x:c r="A216" s="3"/>
      <x:c r="B216" s="3"/>
      <x:c r="C216" s="3"/>
      <x:c r="D216" s="3"/>
      <x:c r="E216" s="3"/>
      <x:c r="F216" s="3"/>
      <x:c r="G216" s="3"/>
      <x:c r="H216" s="3"/>
      <x:c r="I216" s="3"/>
      <x:c r="J216" s="3"/>
      <x:c r="K216" s="3"/>
      <x:c r="L216" s="3"/>
      <x:c r="M216" s="3"/>
      <x:c r="N216" s="3"/>
      <x:c r="O216" s="3"/>
      <x:c r="P216" s="3"/>
      <x:c r="Q216" s="3"/>
      <x:c r="R216" s="3"/>
      <x:c r="S216" s="3"/>
      <x:c r="T216" s="3"/>
      <x:c r="U216" s="3"/>
      <x:c r="V216" s="3"/>
      <x:c r="W216" s="3"/>
      <x:c r="X216" s="3"/>
      <x:c r="Y216" s="3"/>
      <x:c r="Z216" s="3"/>
      <x:c r="AA216" s="3"/>
      <x:c r="AB216" s="3"/>
      <x:c r="AC216" s="3"/>
      <x:c r="AD216" s="3"/>
      <x:c r="AE216" s="3"/>
      <x:c r="AF216" s="3"/>
      <x:c r="AG216" s="3"/>
      <x:c r="AH216" s="3"/>
      <x:c r="AI216" s="3"/>
      <x:c r="AJ216" s="3"/>
      <x:c r="AK216" s="3"/>
      <x:c r="AL216" s="3"/>
      <x:c r="AM216" s="3"/>
      <x:c r="AN216" s="3"/>
      <x:c r="AO216" s="3"/>
      <x:c r="AP216" s="3"/>
      <x:c r="AQ216" s="3"/>
      <x:c r="AR216" s="3"/>
      <x:c r="AS216" s="3"/>
      <x:c r="AT216" s="3"/>
      <x:c r="AU216" s="3"/>
      <x:c r="AV216" s="3"/>
      <x:c r="AW216" s="3"/>
      <x:c r="AX216" s="3"/>
      <x:c r="AY216" s="3"/>
      <x:c r="AZ216" s="3" t="str">
        <x:f>IF(AND('中古車掲載'!C217="One2car",'中古車掲載'!F217="ATTO 3",'中古車掲載'!L217="EXTENDED RANGE",'中古車掲載'!J217=2023,ISNUMBER('中古車掲載'!N217),'中古車掲載'!N217&gt;=20000,'中古車掲載'!O217&lt;=100000,'中古車掲載'!AL217=1),'中古車掲載'!U217,"")</x:f>
      </x:c>
      <x:c r="BA216" s="3" t="str">
        <x:f>IF(AND('中古車掲載'!C217="One2car",'中古車掲載'!F217="Corolla Cross",'中古車掲載'!L217="HEV PREMIUM SAFETY",'中古車掲載'!J217=2023,ISNUMBER('中古車掲載'!N217),'中古車掲載'!N217&gt;=20000,'中古車掲載'!O217&lt;=100000,'中古車掲載'!AL217=1,'中古車掲載'!Z217="https://www.one2car.com/en/cars-for-sale/toyota/corolla-cross/year-2023"),'中古車掲載'!U217,"")</x:f>
      </x:c>
      <x:c r="BB216" s="3" t="str">
        <x:f>IF(AND('中古車掲載'!C217="One2car",'中古車掲載'!F217="ATTO 3",'中古車掲載'!L217="EXTENDED RANGE",'中古車掲載'!J217=2023,ISNUMBER('中古車掲載'!N217),'中古車掲載'!N217&gt;=50000,'中古車掲載'!O217&lt;=100000,'中古車掲載'!AL217=1),'中古車掲載'!U217,"")</x:f>
      </x:c>
      <x:c r="BC216" s="3" t="str">
        <x:f>IF(AND('中古車掲載'!C217="One2car",'中古車掲載'!F217="Corolla Cross",'中古車掲載'!L217="HEV PREMIUM SAFETY",'中古車掲載'!J217=2023,ISNUMBER('中古車掲載'!N217),'中古車掲載'!N217&gt;=50000,'中古車掲載'!O217&lt;=100000,'中古車掲載'!AL217=1,'中古車掲載'!Z217="https://www.one2car.com/en/cars-for-sale/toyota/corolla-cross/year-2023"),'中古車掲載'!U217,"")</x:f>
      </x:c>
      <x:c r="BD216" s="3" t="str">
        <x:f>IF(AND('中古車掲載'!C217="One2car",'中古車掲載'!F217="ATTO 3",'中古車掲載'!L217="EXTENDED RANGE",'中古車掲載'!J217=2023,ISNUMBER('中古車掲載'!N217),'中古車掲載'!N217&gt;=20000,'中古車掲載'!O217&lt;=50000,'中古車掲載'!AL217=1),'中古車掲載'!U217,"")</x:f>
      </x:c>
      <x:c r="BE216" s="3" t="str">
        <x:f>IF(AND('中古車掲載'!C217="One2car",'中古車掲載'!F217="Corolla Cross",'中古車掲載'!L217="HEV PREMIUM SAFETY",'中古車掲載'!J217=2023,ISNUMBER('中古車掲載'!N217),'中古車掲載'!N217&gt;=20000,'中古車掲載'!O217&lt;=50000,'中古車掲載'!AL217=1,'中古車掲載'!Z217="https://www.one2car.com/en/cars-for-sale/toyota/corolla-cross/year-2023"),'中古車掲載'!U217,"")</x:f>
      </x:c>
      <x:c r="BF216" s="3" t="str">
        <x:f>IF(AND('中古車掲載'!C217="One2car",'中古車掲載'!F217="Corolla Cross",'中古車掲載'!L217="HEV PREMIUM",'中古車掲載'!J217=2023,ISNUMBER('中古車掲載'!N217),'中古車掲載'!N217&gt;=20000,'中古車掲載'!O217&lt;=100000,'中古車掲載'!AL217=1,'中古車掲載'!Z217="https://www.one2car.com/en/cars-for-sale/toyota/corolla-cross/year-2023"),'中古車掲載'!U217,"")</x:f>
      </x:c>
      <x:c r="BG216" s="3" t="str">
        <x:f>IF(AND('中古車掲載'!C217="One2car",'中古車掲載'!F217="Corolla Cross",'中古車掲載'!L217="HEV GR SPORT",'中古車掲載'!J217=2023,ISNUMBER('中古車掲載'!N217),'中古車掲載'!N217&gt;=20000,'中古車掲載'!O217&lt;=100000,'中古車掲載'!AL217=1,'中古車掲載'!Z217="https://www.one2car.com/en/cars-for-sale/toyota/corolla-cross/year-2023"),'中古車掲載'!U217,"")</x:f>
      </x:c>
      <x:c r="BH216" s="3" t="str">
        <x:f>IF(AND('中古車掲載'!C217="One2car",'中古車掲載'!F217="DOLPHIN",'中古車掲載'!L217="STANDARD RANGE",'中古車掲載'!J217=2023,ISNUMBER('中古車掲載'!N217),'中古車掲載'!N217&gt;=20000,'中古車掲載'!O217&lt;=100000,'中古車掲載'!AL217=1),'中古車掲載'!U217,"")</x:f>
      </x:c>
      <x:c r="BI216" s="3" t="str">
        <x:v>Taladrod|Corolla Altis|ICE|Unknown</x:v>
      </x:c>
      <x:c r="BJ216" s="3" t="n">
        <x:v>217</x:v>
      </x:c>
      <x:c r="BK216" s="3" t="n">
        <x:f>'中古車掲載'!AM217</x:f>
        <x:v>439000</x:v>
      </x:c>
      <x:c r="BL216" s="3" t="str">
        <x:f>IF(ISNUMBER('中古車掲載'!AN217),'中古車掲載'!AN217,"")</x:f>
      </x:c>
      <x:c r="BM216" s="3" t="str">
        <x:v>2023|Single cab</x:v>
      </x:c>
      <x:c r="BN216" s="3" t="n">
        <x:v>834</x:v>
      </x:c>
      <x:c r="BO216" s="3" t="n">
        <x:f>'中古車掲載'!AM834</x:f>
        <x:v>429000</x:v>
      </x:c>
      <x:c r="BP216" s="3" t="str">
        <x:v>2.4 ENTRY STANDARD CAB</x:v>
      </x:c>
      <x:c r="BQ216" s="3"/>
      <x:c r="BR216" s="3"/>
    </x:row>
    <x:row r="217" ht="22" customHeight="1">
      <x:c r="A217" s="3"/>
      <x:c r="B217" s="3"/>
      <x:c r="C217" s="3"/>
      <x:c r="D217" s="3"/>
      <x:c r="E217" s="3"/>
      <x:c r="F217" s="3"/>
      <x:c r="G217" s="3"/>
      <x:c r="H217" s="3"/>
      <x:c r="I217" s="3"/>
      <x:c r="J217" s="3"/>
      <x:c r="K217" s="3"/>
      <x:c r="L217" s="3"/>
      <x:c r="M217" s="3"/>
      <x:c r="N217" s="3"/>
      <x:c r="O217" s="3"/>
      <x:c r="P217" s="3"/>
      <x:c r="Q217" s="3"/>
      <x:c r="R217" s="3"/>
      <x:c r="S217" s="3"/>
      <x:c r="T217" s="3"/>
      <x:c r="U217" s="3"/>
      <x:c r="V217" s="3"/>
      <x:c r="W217" s="3"/>
      <x:c r="X217" s="3"/>
      <x:c r="Y217" s="3"/>
      <x:c r="Z217" s="3"/>
      <x:c r="AA217" s="3"/>
      <x:c r="AB217" s="3"/>
      <x:c r="AC217" s="3"/>
      <x:c r="AD217" s="3"/>
      <x:c r="AE217" s="3"/>
      <x:c r="AF217" s="3"/>
      <x:c r="AG217" s="3"/>
      <x:c r="AH217" s="3"/>
      <x:c r="AI217" s="3"/>
      <x:c r="AJ217" s="3"/>
      <x:c r="AK217" s="3"/>
      <x:c r="AL217" s="3"/>
      <x:c r="AM217" s="3"/>
      <x:c r="AN217" s="3"/>
      <x:c r="AO217" s="3"/>
      <x:c r="AP217" s="3"/>
      <x:c r="AQ217" s="3"/>
      <x:c r="AR217" s="3"/>
      <x:c r="AS217" s="3"/>
      <x:c r="AT217" s="3"/>
      <x:c r="AU217" s="3"/>
      <x:c r="AV217" s="3"/>
      <x:c r="AW217" s="3"/>
      <x:c r="AX217" s="3"/>
      <x:c r="AY217" s="3"/>
      <x:c r="AZ217" s="3" t="str">
        <x:f>IF(AND('中古車掲載'!C218="One2car",'中古車掲載'!F218="ATTO 3",'中古車掲載'!L218="EXTENDED RANGE",'中古車掲載'!J218=2023,ISNUMBER('中古車掲載'!N218),'中古車掲載'!N218&gt;=20000,'中古車掲載'!O218&lt;=100000,'中古車掲載'!AL218=1),'中古車掲載'!U218,"")</x:f>
      </x:c>
      <x:c r="BA217" s="3" t="str">
        <x:f>IF(AND('中古車掲載'!C218="One2car",'中古車掲載'!F218="Corolla Cross",'中古車掲載'!L218="HEV PREMIUM SAFETY",'中古車掲載'!J218=2023,ISNUMBER('中古車掲載'!N218),'中古車掲載'!N218&gt;=20000,'中古車掲載'!O218&lt;=100000,'中古車掲載'!AL218=1,'中古車掲載'!Z218="https://www.one2car.com/en/cars-for-sale/toyota/corolla-cross/year-2023"),'中古車掲載'!U218,"")</x:f>
      </x:c>
      <x:c r="BB217" s="3" t="str">
        <x:f>IF(AND('中古車掲載'!C218="One2car",'中古車掲載'!F218="ATTO 3",'中古車掲載'!L218="EXTENDED RANGE",'中古車掲載'!J218=2023,ISNUMBER('中古車掲載'!N218),'中古車掲載'!N218&gt;=50000,'中古車掲載'!O218&lt;=100000,'中古車掲載'!AL218=1),'中古車掲載'!U218,"")</x:f>
      </x:c>
      <x:c r="BC217" s="3" t="str">
        <x:f>IF(AND('中古車掲載'!C218="One2car",'中古車掲載'!F218="Corolla Cross",'中古車掲載'!L218="HEV PREMIUM SAFETY",'中古車掲載'!J218=2023,ISNUMBER('中古車掲載'!N218),'中古車掲載'!N218&gt;=50000,'中古車掲載'!O218&lt;=100000,'中古車掲載'!AL218=1,'中古車掲載'!Z218="https://www.one2car.com/en/cars-for-sale/toyota/corolla-cross/year-2023"),'中古車掲載'!U218,"")</x:f>
      </x:c>
      <x:c r="BD217" s="3" t="str">
        <x:f>IF(AND('中古車掲載'!C218="One2car",'中古車掲載'!F218="ATTO 3",'中古車掲載'!L218="EXTENDED RANGE",'中古車掲載'!J218=2023,ISNUMBER('中古車掲載'!N218),'中古車掲載'!N218&gt;=20000,'中古車掲載'!O218&lt;=50000,'中古車掲載'!AL218=1),'中古車掲載'!U218,"")</x:f>
      </x:c>
      <x:c r="BE217" s="3" t="str">
        <x:f>IF(AND('中古車掲載'!C218="One2car",'中古車掲載'!F218="Corolla Cross",'中古車掲載'!L218="HEV PREMIUM SAFETY",'中古車掲載'!J218=2023,ISNUMBER('中古車掲載'!N218),'中古車掲載'!N218&gt;=20000,'中古車掲載'!O218&lt;=50000,'中古車掲載'!AL218=1,'中古車掲載'!Z218="https://www.one2car.com/en/cars-for-sale/toyota/corolla-cross/year-2023"),'中古車掲載'!U218,"")</x:f>
      </x:c>
      <x:c r="BF217" s="3" t="str">
        <x:f>IF(AND('中古車掲載'!C218="One2car",'中古車掲載'!F218="Corolla Cross",'中古車掲載'!L218="HEV PREMIUM",'中古車掲載'!J218=2023,ISNUMBER('中古車掲載'!N218),'中古車掲載'!N218&gt;=20000,'中古車掲載'!O218&lt;=100000,'中古車掲載'!AL218=1,'中古車掲載'!Z218="https://www.one2car.com/en/cars-for-sale/toyota/corolla-cross/year-2023"),'中古車掲載'!U218,"")</x:f>
      </x:c>
      <x:c r="BG217" s="3" t="str">
        <x:f>IF(AND('中古車掲載'!C218="One2car",'中古車掲載'!F218="Corolla Cross",'中古車掲載'!L218="HEV GR SPORT",'中古車掲載'!J218=2023,ISNUMBER('中古車掲載'!N218),'中古車掲載'!N218&gt;=20000,'中古車掲載'!O218&lt;=100000,'中古車掲載'!AL218=1,'中古車掲載'!Z218="https://www.one2car.com/en/cars-for-sale/toyota/corolla-cross/year-2023"),'中古車掲載'!U218,"")</x:f>
      </x:c>
      <x:c r="BH217" s="3" t="str">
        <x:f>IF(AND('中古車掲載'!C218="One2car",'中古車掲載'!F218="DOLPHIN",'中古車掲載'!L218="STANDARD RANGE",'中古車掲載'!J218=2023,ISNUMBER('中古車掲載'!N218),'中古車掲載'!N218&gt;=20000,'中古車掲載'!O218&lt;=100000,'中古車掲載'!AL218=1),'中古車掲載'!U218,"")</x:f>
      </x:c>
      <x:c r="BI217" s="3" t="str">
        <x:v>Taladrod|Corolla Altis|ICE|Unknown</x:v>
      </x:c>
      <x:c r="BJ217" s="3" t="n">
        <x:v>218</x:v>
      </x:c>
      <x:c r="BK217" s="3" t="n">
        <x:f>'中古車掲載'!AM218</x:f>
        <x:v>419000</x:v>
      </x:c>
      <x:c r="BL217" s="3" t="str">
        <x:f>IF(ISNUMBER('中古車掲載'!AN218),'中古車掲載'!AN218,"")</x:f>
      </x:c>
      <x:c r="BM217" s="3" t="str">
        <x:v>2023|Single cab</x:v>
      </x:c>
      <x:c r="BN217" s="3" t="n">
        <x:v>835</x:v>
      </x:c>
      <x:c r="BO217" s="3" t="n">
        <x:f>'中古車掲載'!AM835</x:f>
        <x:v>479000</x:v>
      </x:c>
      <x:c r="BP217" s="3" t="str">
        <x:v>2.4 ENTRY STANDARD CAB</x:v>
      </x:c>
      <x:c r="BQ217" s="3"/>
      <x:c r="BR217" s="3"/>
    </x:row>
    <x:row r="218" ht="22" customHeight="1">
      <x:c r="A218" s="3"/>
      <x:c r="B218" s="3"/>
      <x:c r="C218" s="3"/>
      <x:c r="D218" s="3"/>
      <x:c r="E218" s="3"/>
      <x:c r="F218" s="3"/>
      <x:c r="G218" s="3"/>
      <x:c r="H218" s="3"/>
      <x:c r="I218" s="3"/>
      <x:c r="J218" s="3"/>
      <x:c r="K218" s="3"/>
      <x:c r="L218" s="3"/>
      <x:c r="M218" s="3"/>
      <x:c r="N218" s="3"/>
      <x:c r="O218" s="3"/>
      <x:c r="P218" s="3"/>
      <x:c r="Q218" s="3"/>
      <x:c r="R218" s="3"/>
      <x:c r="S218" s="3"/>
      <x:c r="T218" s="3"/>
      <x:c r="U218" s="3"/>
      <x:c r="V218" s="3"/>
      <x:c r="W218" s="3"/>
      <x:c r="X218" s="3"/>
      <x:c r="Y218" s="3"/>
      <x:c r="Z218" s="3"/>
      <x:c r="AA218" s="3"/>
      <x:c r="AB218" s="3"/>
      <x:c r="AC218" s="3"/>
      <x:c r="AD218" s="3"/>
      <x:c r="AE218" s="3"/>
      <x:c r="AF218" s="3"/>
      <x:c r="AG218" s="3"/>
      <x:c r="AH218" s="3"/>
      <x:c r="AI218" s="3"/>
      <x:c r="AJ218" s="3"/>
      <x:c r="AK218" s="3"/>
      <x:c r="AL218" s="3"/>
      <x:c r="AM218" s="3"/>
      <x:c r="AN218" s="3"/>
      <x:c r="AO218" s="3"/>
      <x:c r="AP218" s="3"/>
      <x:c r="AQ218" s="3"/>
      <x:c r="AR218" s="3"/>
      <x:c r="AS218" s="3"/>
      <x:c r="AT218" s="3"/>
      <x:c r="AU218" s="3"/>
      <x:c r="AV218" s="3"/>
      <x:c r="AW218" s="3"/>
      <x:c r="AX218" s="3"/>
      <x:c r="AY218" s="3"/>
      <x:c r="AZ218" s="3" t="str">
        <x:f>IF(AND('中古車掲載'!C219="One2car",'中古車掲載'!F219="ATTO 3",'中古車掲載'!L219="EXTENDED RANGE",'中古車掲載'!J219=2023,ISNUMBER('中古車掲載'!N219),'中古車掲載'!N219&gt;=20000,'中古車掲載'!O219&lt;=100000,'中古車掲載'!AL219=1),'中古車掲載'!U219,"")</x:f>
      </x:c>
      <x:c r="BA218" s="3" t="str">
        <x:f>IF(AND('中古車掲載'!C219="One2car",'中古車掲載'!F219="Corolla Cross",'中古車掲載'!L219="HEV PREMIUM SAFETY",'中古車掲載'!J219=2023,ISNUMBER('中古車掲載'!N219),'中古車掲載'!N219&gt;=20000,'中古車掲載'!O219&lt;=100000,'中古車掲載'!AL219=1,'中古車掲載'!Z219="https://www.one2car.com/en/cars-for-sale/toyota/corolla-cross/year-2023"),'中古車掲載'!U219,"")</x:f>
      </x:c>
      <x:c r="BB218" s="3" t="str">
        <x:f>IF(AND('中古車掲載'!C219="One2car",'中古車掲載'!F219="ATTO 3",'中古車掲載'!L219="EXTENDED RANGE",'中古車掲載'!J219=2023,ISNUMBER('中古車掲載'!N219),'中古車掲載'!N219&gt;=50000,'中古車掲載'!O219&lt;=100000,'中古車掲載'!AL219=1),'中古車掲載'!U219,"")</x:f>
      </x:c>
      <x:c r="BC218" s="3" t="str">
        <x:f>IF(AND('中古車掲載'!C219="One2car",'中古車掲載'!F219="Corolla Cross",'中古車掲載'!L219="HEV PREMIUM SAFETY",'中古車掲載'!J219=2023,ISNUMBER('中古車掲載'!N219),'中古車掲載'!N219&gt;=50000,'中古車掲載'!O219&lt;=100000,'中古車掲載'!AL219=1,'中古車掲載'!Z219="https://www.one2car.com/en/cars-for-sale/toyota/corolla-cross/year-2023"),'中古車掲載'!U219,"")</x:f>
      </x:c>
      <x:c r="BD218" s="3" t="str">
        <x:f>IF(AND('中古車掲載'!C219="One2car",'中古車掲載'!F219="ATTO 3",'中古車掲載'!L219="EXTENDED RANGE",'中古車掲載'!J219=2023,ISNUMBER('中古車掲載'!N219),'中古車掲載'!N219&gt;=20000,'中古車掲載'!O219&lt;=50000,'中古車掲載'!AL219=1),'中古車掲載'!U219,"")</x:f>
      </x:c>
      <x:c r="BE218" s="3" t="str">
        <x:f>IF(AND('中古車掲載'!C219="One2car",'中古車掲載'!F219="Corolla Cross",'中古車掲載'!L219="HEV PREMIUM SAFETY",'中古車掲載'!J219=2023,ISNUMBER('中古車掲載'!N219),'中古車掲載'!N219&gt;=20000,'中古車掲載'!O219&lt;=50000,'中古車掲載'!AL219=1,'中古車掲載'!Z219="https://www.one2car.com/en/cars-for-sale/toyota/corolla-cross/year-2023"),'中古車掲載'!U219,"")</x:f>
      </x:c>
      <x:c r="BF218" s="3" t="str">
        <x:f>IF(AND('中古車掲載'!C219="One2car",'中古車掲載'!F219="Corolla Cross",'中古車掲載'!L219="HEV PREMIUM",'中古車掲載'!J219=2023,ISNUMBER('中古車掲載'!N219),'中古車掲載'!N219&gt;=20000,'中古車掲載'!O219&lt;=100000,'中古車掲載'!AL219=1,'中古車掲載'!Z219="https://www.one2car.com/en/cars-for-sale/toyota/corolla-cross/year-2023"),'中古車掲載'!U219,"")</x:f>
      </x:c>
      <x:c r="BG218" s="3" t="str">
        <x:f>IF(AND('中古車掲載'!C219="One2car",'中古車掲載'!F219="Corolla Cross",'中古車掲載'!L219="HEV GR SPORT",'中古車掲載'!J219=2023,ISNUMBER('中古車掲載'!N219),'中古車掲載'!N219&gt;=20000,'中古車掲載'!O219&lt;=100000,'中古車掲載'!AL219=1,'中古車掲載'!Z219="https://www.one2car.com/en/cars-for-sale/toyota/corolla-cross/year-2023"),'中古車掲載'!U219,"")</x:f>
      </x:c>
      <x:c r="BH218" s="3" t="str">
        <x:f>IF(AND('中古車掲載'!C219="One2car",'中古車掲載'!F219="DOLPHIN",'中古車掲載'!L219="STANDARD RANGE",'中古車掲載'!J219=2023,ISNUMBER('中古車掲載'!N219),'中古車掲載'!N219&gt;=20000,'中古車掲載'!O219&lt;=100000,'中古車掲載'!AL219=1),'中古車掲載'!U219,"")</x:f>
      </x:c>
      <x:c r="BI218" s="3" t="str">
        <x:v>Taladrod|Corolla Altis|ICE|Unknown</x:v>
      </x:c>
      <x:c r="BJ218" s="3" t="n">
        <x:v>219</x:v>
      </x:c>
      <x:c r="BK218" s="3" t="n">
        <x:f>'中古車掲載'!AM219</x:f>
        <x:v>499000</x:v>
      </x:c>
      <x:c r="BL218" s="3" t="str">
        <x:f>IF(ISNUMBER('中古車掲載'!AN219),'中古車掲載'!AN219,"")</x:f>
      </x:c>
      <x:c r="BM218" s="3" t="str">
        <x:v>2023|Single cab</x:v>
      </x:c>
      <x:c r="BN218" s="3" t="n">
        <x:v>836</x:v>
      </x:c>
      <x:c r="BO218" s="3" t="n">
        <x:f>'中古車掲載'!AM836</x:f>
        <x:v>599000</x:v>
      </x:c>
      <x:c r="BP218" s="3" t="str">
        <x:v>2.4 ENTRY STANDARD CAB</x:v>
      </x:c>
      <x:c r="BQ218" s="3"/>
      <x:c r="BR218" s="3"/>
    </x:row>
    <x:row r="219" ht="22" customHeight="1">
      <x:c r="A219" s="3"/>
      <x:c r="B219" s="3"/>
      <x:c r="C219" s="3"/>
      <x:c r="D219" s="3"/>
      <x:c r="E219" s="3"/>
      <x:c r="F219" s="3"/>
      <x:c r="G219" s="3"/>
      <x:c r="H219" s="3"/>
      <x:c r="I219" s="3"/>
      <x:c r="J219" s="3"/>
      <x:c r="K219" s="3"/>
      <x:c r="L219" s="3"/>
      <x:c r="M219" s="3"/>
      <x:c r="N219" s="3"/>
      <x:c r="O219" s="3"/>
      <x:c r="P219" s="3"/>
      <x:c r="Q219" s="3"/>
      <x:c r="R219" s="3"/>
      <x:c r="S219" s="3"/>
      <x:c r="T219" s="3"/>
      <x:c r="U219" s="3"/>
      <x:c r="V219" s="3"/>
      <x:c r="W219" s="3"/>
      <x:c r="X219" s="3"/>
      <x:c r="Y219" s="3"/>
      <x:c r="Z219" s="3"/>
      <x:c r="AA219" s="3"/>
      <x:c r="AB219" s="3"/>
      <x:c r="AC219" s="3"/>
      <x:c r="AD219" s="3"/>
      <x:c r="AE219" s="3"/>
      <x:c r="AF219" s="3"/>
      <x:c r="AG219" s="3"/>
      <x:c r="AH219" s="3"/>
      <x:c r="AI219" s="3"/>
      <x:c r="AJ219" s="3"/>
      <x:c r="AK219" s="3"/>
      <x:c r="AL219" s="3"/>
      <x:c r="AM219" s="3"/>
      <x:c r="AN219" s="3"/>
      <x:c r="AO219" s="3"/>
      <x:c r="AP219" s="3"/>
      <x:c r="AQ219" s="3"/>
      <x:c r="AR219" s="3"/>
      <x:c r="AS219" s="3"/>
      <x:c r="AT219" s="3"/>
      <x:c r="AU219" s="3"/>
      <x:c r="AV219" s="3"/>
      <x:c r="AW219" s="3"/>
      <x:c r="AX219" s="3"/>
      <x:c r="AY219" s="3"/>
      <x:c r="AZ219" s="3" t="str">
        <x:f>IF(AND('中古車掲載'!C220="One2car",'中古車掲載'!F220="ATTO 3",'中古車掲載'!L220="EXTENDED RANGE",'中古車掲載'!J220=2023,ISNUMBER('中古車掲載'!N220),'中古車掲載'!N220&gt;=20000,'中古車掲載'!O220&lt;=100000,'中古車掲載'!AL220=1),'中古車掲載'!U220,"")</x:f>
      </x:c>
      <x:c r="BA219" s="3" t="str">
        <x:f>IF(AND('中古車掲載'!C220="One2car",'中古車掲載'!F220="Corolla Cross",'中古車掲載'!L220="HEV PREMIUM SAFETY",'中古車掲載'!J220=2023,ISNUMBER('中古車掲載'!N220),'中古車掲載'!N220&gt;=20000,'中古車掲載'!O220&lt;=100000,'中古車掲載'!AL220=1,'中古車掲載'!Z220="https://www.one2car.com/en/cars-for-sale/toyota/corolla-cross/year-2023"),'中古車掲載'!U220,"")</x:f>
      </x:c>
      <x:c r="BB219" s="3" t="str">
        <x:f>IF(AND('中古車掲載'!C220="One2car",'中古車掲載'!F220="ATTO 3",'中古車掲載'!L220="EXTENDED RANGE",'中古車掲載'!J220=2023,ISNUMBER('中古車掲載'!N220),'中古車掲載'!N220&gt;=50000,'中古車掲載'!O220&lt;=100000,'中古車掲載'!AL220=1),'中古車掲載'!U220,"")</x:f>
      </x:c>
      <x:c r="BC219" s="3" t="str">
        <x:f>IF(AND('中古車掲載'!C220="One2car",'中古車掲載'!F220="Corolla Cross",'中古車掲載'!L220="HEV PREMIUM SAFETY",'中古車掲載'!J220=2023,ISNUMBER('中古車掲載'!N220),'中古車掲載'!N220&gt;=50000,'中古車掲載'!O220&lt;=100000,'中古車掲載'!AL220=1,'中古車掲載'!Z220="https://www.one2car.com/en/cars-for-sale/toyota/corolla-cross/year-2023"),'中古車掲載'!U220,"")</x:f>
      </x:c>
      <x:c r="BD219" s="3" t="str">
        <x:f>IF(AND('中古車掲載'!C220="One2car",'中古車掲載'!F220="ATTO 3",'中古車掲載'!L220="EXTENDED RANGE",'中古車掲載'!J220=2023,ISNUMBER('中古車掲載'!N220),'中古車掲載'!N220&gt;=20000,'中古車掲載'!O220&lt;=50000,'中古車掲載'!AL220=1),'中古車掲載'!U220,"")</x:f>
      </x:c>
      <x:c r="BE219" s="3" t="str">
        <x:f>IF(AND('中古車掲載'!C220="One2car",'中古車掲載'!F220="Corolla Cross",'中古車掲載'!L220="HEV PREMIUM SAFETY",'中古車掲載'!J220=2023,ISNUMBER('中古車掲載'!N220),'中古車掲載'!N220&gt;=20000,'中古車掲載'!O220&lt;=50000,'中古車掲載'!AL220=1,'中古車掲載'!Z220="https://www.one2car.com/en/cars-for-sale/toyota/corolla-cross/year-2023"),'中古車掲載'!U220,"")</x:f>
      </x:c>
      <x:c r="BF219" s="3" t="str">
        <x:f>IF(AND('中古車掲載'!C220="One2car",'中古車掲載'!F220="Corolla Cross",'中古車掲載'!L220="HEV PREMIUM",'中古車掲載'!J220=2023,ISNUMBER('中古車掲載'!N220),'中古車掲載'!N220&gt;=20000,'中古車掲載'!O220&lt;=100000,'中古車掲載'!AL220=1,'中古車掲載'!Z220="https://www.one2car.com/en/cars-for-sale/toyota/corolla-cross/year-2023"),'中古車掲載'!U220,"")</x:f>
      </x:c>
      <x:c r="BG219" s="3" t="str">
        <x:f>IF(AND('中古車掲載'!C220="One2car",'中古車掲載'!F220="Corolla Cross",'中古車掲載'!L220="HEV GR SPORT",'中古車掲載'!J220=2023,ISNUMBER('中古車掲載'!N220),'中古車掲載'!N220&gt;=20000,'中古車掲載'!O220&lt;=100000,'中古車掲載'!AL220=1,'中古車掲載'!Z220="https://www.one2car.com/en/cars-for-sale/toyota/corolla-cross/year-2023"),'中古車掲載'!U220,"")</x:f>
      </x:c>
      <x:c r="BH219" s="3" t="str">
        <x:f>IF(AND('中古車掲載'!C220="One2car",'中古車掲載'!F220="DOLPHIN",'中古車掲載'!L220="STANDARD RANGE",'中古車掲載'!J220=2023,ISNUMBER('中古車掲載'!N220),'中古車掲載'!N220&gt;=20000,'中古車掲載'!O220&lt;=100000,'中古車掲載'!AL220=1),'中古車掲載'!U220,"")</x:f>
      </x:c>
      <x:c r="BI219" s="3" t="str">
        <x:v>Taladrod|Corolla Altis|ICE|Unknown</x:v>
      </x:c>
      <x:c r="BJ219" s="3" t="n">
        <x:v>220</x:v>
      </x:c>
      <x:c r="BK219" s="3" t="n">
        <x:f>'中古車掲載'!AM220</x:f>
        <x:v>348000</x:v>
      </x:c>
      <x:c r="BL219" s="3" t="str">
        <x:f>IF(ISNUMBER('中古車掲載'!AN220),'中古車掲載'!AN220,"")</x:f>
      </x:c>
      <x:c r="BM219" s="3" t="str">
        <x:v>2023|Single cab</x:v>
      </x:c>
      <x:c r="BN219" s="3" t="n">
        <x:v>837</x:v>
      </x:c>
      <x:c r="BO219" s="3" t="n">
        <x:f>'中古車掲載'!AM837</x:f>
        <x:v>479000</x:v>
      </x:c>
      <x:c r="BP219" s="3" t="str">
        <x:v>2.4 ENTRY STANDARD CAB</x:v>
      </x:c>
      <x:c r="BQ219" s="3"/>
      <x:c r="BR219" s="3"/>
    </x:row>
    <x:row r="220" ht="22" customHeight="1">
      <x:c r="A220" s="3"/>
      <x:c r="B220" s="3"/>
      <x:c r="C220" s="3"/>
      <x:c r="D220" s="3"/>
      <x:c r="E220" s="3"/>
      <x:c r="F220" s="3"/>
      <x:c r="G220" s="3"/>
      <x:c r="H220" s="3"/>
      <x:c r="I220" s="3"/>
      <x:c r="J220" s="3"/>
      <x:c r="K220" s="3"/>
      <x:c r="L220" s="3"/>
      <x:c r="M220" s="3"/>
      <x:c r="N220" s="3"/>
      <x:c r="O220" s="3"/>
      <x:c r="P220" s="3"/>
      <x:c r="Q220" s="3"/>
      <x:c r="R220" s="3"/>
      <x:c r="S220" s="3"/>
      <x:c r="T220" s="3"/>
      <x:c r="U220" s="3"/>
      <x:c r="V220" s="3"/>
      <x:c r="W220" s="3"/>
      <x:c r="X220" s="3"/>
      <x:c r="Y220" s="3"/>
      <x:c r="Z220" s="3"/>
      <x:c r="AA220" s="3"/>
      <x:c r="AB220" s="3"/>
      <x:c r="AC220" s="3"/>
      <x:c r="AD220" s="3"/>
      <x:c r="AE220" s="3"/>
      <x:c r="AF220" s="3"/>
      <x:c r="AG220" s="3"/>
      <x:c r="AH220" s="3"/>
      <x:c r="AI220" s="3"/>
      <x:c r="AJ220" s="3"/>
      <x:c r="AK220" s="3"/>
      <x:c r="AL220" s="3"/>
      <x:c r="AM220" s="3"/>
      <x:c r="AN220" s="3"/>
      <x:c r="AO220" s="3"/>
      <x:c r="AP220" s="3"/>
      <x:c r="AQ220" s="3"/>
      <x:c r="AR220" s="3"/>
      <x:c r="AS220" s="3"/>
      <x:c r="AT220" s="3"/>
      <x:c r="AU220" s="3"/>
      <x:c r="AV220" s="3"/>
      <x:c r="AW220" s="3"/>
      <x:c r="AX220" s="3"/>
      <x:c r="AY220" s="3"/>
      <x:c r="AZ220" s="3" t="str">
        <x:f>IF(AND('中古車掲載'!C221="One2car",'中古車掲載'!F221="ATTO 3",'中古車掲載'!L221="EXTENDED RANGE",'中古車掲載'!J221=2023,ISNUMBER('中古車掲載'!N221),'中古車掲載'!N221&gt;=20000,'中古車掲載'!O221&lt;=100000,'中古車掲載'!AL221=1),'中古車掲載'!U221,"")</x:f>
      </x:c>
      <x:c r="BA220" s="3" t="str">
        <x:f>IF(AND('中古車掲載'!C221="One2car",'中古車掲載'!F221="Corolla Cross",'中古車掲載'!L221="HEV PREMIUM SAFETY",'中古車掲載'!J221=2023,ISNUMBER('中古車掲載'!N221),'中古車掲載'!N221&gt;=20000,'中古車掲載'!O221&lt;=100000,'中古車掲載'!AL221=1,'中古車掲載'!Z221="https://www.one2car.com/en/cars-for-sale/toyota/corolla-cross/year-2023"),'中古車掲載'!U221,"")</x:f>
      </x:c>
      <x:c r="BB220" s="3" t="str">
        <x:f>IF(AND('中古車掲載'!C221="One2car",'中古車掲載'!F221="ATTO 3",'中古車掲載'!L221="EXTENDED RANGE",'中古車掲載'!J221=2023,ISNUMBER('中古車掲載'!N221),'中古車掲載'!N221&gt;=50000,'中古車掲載'!O221&lt;=100000,'中古車掲載'!AL221=1),'中古車掲載'!U221,"")</x:f>
      </x:c>
      <x:c r="BC220" s="3" t="str">
        <x:f>IF(AND('中古車掲載'!C221="One2car",'中古車掲載'!F221="Corolla Cross",'中古車掲載'!L221="HEV PREMIUM SAFETY",'中古車掲載'!J221=2023,ISNUMBER('中古車掲載'!N221),'中古車掲載'!N221&gt;=50000,'中古車掲載'!O221&lt;=100000,'中古車掲載'!AL221=1,'中古車掲載'!Z221="https://www.one2car.com/en/cars-for-sale/toyota/corolla-cross/year-2023"),'中古車掲載'!U221,"")</x:f>
      </x:c>
      <x:c r="BD220" s="3" t="str">
        <x:f>IF(AND('中古車掲載'!C221="One2car",'中古車掲載'!F221="ATTO 3",'中古車掲載'!L221="EXTENDED RANGE",'中古車掲載'!J221=2023,ISNUMBER('中古車掲載'!N221),'中古車掲載'!N221&gt;=20000,'中古車掲載'!O221&lt;=50000,'中古車掲載'!AL221=1),'中古車掲載'!U221,"")</x:f>
      </x:c>
      <x:c r="BE220" s="3" t="str">
        <x:f>IF(AND('中古車掲載'!C221="One2car",'中古車掲載'!F221="Corolla Cross",'中古車掲載'!L221="HEV PREMIUM SAFETY",'中古車掲載'!J221=2023,ISNUMBER('中古車掲載'!N221),'中古車掲載'!N221&gt;=20000,'中古車掲載'!O221&lt;=50000,'中古車掲載'!AL221=1,'中古車掲載'!Z221="https://www.one2car.com/en/cars-for-sale/toyota/corolla-cross/year-2023"),'中古車掲載'!U221,"")</x:f>
      </x:c>
      <x:c r="BF220" s="3" t="str">
        <x:f>IF(AND('中古車掲載'!C221="One2car",'中古車掲載'!F221="Corolla Cross",'中古車掲載'!L221="HEV PREMIUM",'中古車掲載'!J221=2023,ISNUMBER('中古車掲載'!N221),'中古車掲載'!N221&gt;=20000,'中古車掲載'!O221&lt;=100000,'中古車掲載'!AL221=1,'中古車掲載'!Z221="https://www.one2car.com/en/cars-for-sale/toyota/corolla-cross/year-2023"),'中古車掲載'!U221,"")</x:f>
      </x:c>
      <x:c r="BG220" s="3" t="str">
        <x:f>IF(AND('中古車掲載'!C221="One2car",'中古車掲載'!F221="Corolla Cross",'中古車掲載'!L221="HEV GR SPORT",'中古車掲載'!J221=2023,ISNUMBER('中古車掲載'!N221),'中古車掲載'!N221&gt;=20000,'中古車掲載'!O221&lt;=100000,'中古車掲載'!AL221=1,'中古車掲載'!Z221="https://www.one2car.com/en/cars-for-sale/toyota/corolla-cross/year-2023"),'中古車掲載'!U221,"")</x:f>
      </x:c>
      <x:c r="BH220" s="3" t="str">
        <x:f>IF(AND('中古車掲載'!C221="One2car",'中古車掲載'!F221="DOLPHIN",'中古車掲載'!L221="STANDARD RANGE",'中古車掲載'!J221=2023,ISNUMBER('中古車掲載'!N221),'中古車掲載'!N221&gt;=20000,'中古車掲載'!O221&lt;=100000,'中古車掲載'!AL221=1),'中古車掲載'!U221,"")</x:f>
      </x:c>
      <x:c r="BI220" s="3" t="str">
        <x:v>Taladrod|Corolla Altis|ICE|Unknown</x:v>
      </x:c>
      <x:c r="BJ220" s="3" t="n">
        <x:v>221</x:v>
      </x:c>
      <x:c r="BK220" s="3" t="n">
        <x:f>'中古車掲載'!AM221</x:f>
        <x:v>399000</x:v>
      </x:c>
      <x:c r="BL220" s="3" t="str">
        <x:f>IF(ISNUMBER('中古車掲載'!AN221),'中古車掲載'!AN221,"")</x:f>
      </x:c>
      <x:c r="BM220" s="3" t="str">
        <x:v>2023|Single cab</x:v>
      </x:c>
      <x:c r="BN220" s="3" t="n">
        <x:v>838</x:v>
      </x:c>
      <x:c r="BO220" s="3" t="n">
        <x:f>'中古車掲載'!AM838</x:f>
        <x:v>429000</x:v>
      </x:c>
      <x:c r="BP220" s="3" t="str">
        <x:v>2.4 ENTRY STANDARD CAB</x:v>
      </x:c>
      <x:c r="BQ220" s="3"/>
      <x:c r="BR220" s="3"/>
    </x:row>
    <x:row r="221" ht="22" customHeight="1">
      <x:c r="A221" s="3"/>
      <x:c r="B221" s="3"/>
      <x:c r="C221" s="3"/>
      <x:c r="D221" s="3"/>
      <x:c r="E221" s="3"/>
      <x:c r="F221" s="3"/>
      <x:c r="G221" s="3"/>
      <x:c r="H221" s="3"/>
      <x:c r="I221" s="3"/>
      <x:c r="J221" s="3"/>
      <x:c r="K221" s="3"/>
      <x:c r="L221" s="3"/>
      <x:c r="M221" s="3"/>
      <x:c r="N221" s="3"/>
      <x:c r="O221" s="3"/>
      <x:c r="P221" s="3"/>
      <x:c r="Q221" s="3"/>
      <x:c r="R221" s="3"/>
      <x:c r="S221" s="3"/>
      <x:c r="T221" s="3"/>
      <x:c r="U221" s="3"/>
      <x:c r="V221" s="3"/>
      <x:c r="W221" s="3"/>
      <x:c r="X221" s="3"/>
      <x:c r="Y221" s="3"/>
      <x:c r="Z221" s="3"/>
      <x:c r="AA221" s="3"/>
      <x:c r="AB221" s="3"/>
      <x:c r="AC221" s="3"/>
      <x:c r="AD221" s="3"/>
      <x:c r="AE221" s="3"/>
      <x:c r="AF221" s="3"/>
      <x:c r="AG221" s="3"/>
      <x:c r="AH221" s="3"/>
      <x:c r="AI221" s="3"/>
      <x:c r="AJ221" s="3"/>
      <x:c r="AK221" s="3"/>
      <x:c r="AL221" s="3"/>
      <x:c r="AM221" s="3"/>
      <x:c r="AN221" s="3"/>
      <x:c r="AO221" s="3"/>
      <x:c r="AP221" s="3"/>
      <x:c r="AQ221" s="3"/>
      <x:c r="AR221" s="3"/>
      <x:c r="AS221" s="3"/>
      <x:c r="AT221" s="3"/>
      <x:c r="AU221" s="3"/>
      <x:c r="AV221" s="3"/>
      <x:c r="AW221" s="3"/>
      <x:c r="AX221" s="3"/>
      <x:c r="AY221" s="3"/>
      <x:c r="AZ221" s="3" t="str">
        <x:f>IF(AND('中古車掲載'!C222="One2car",'中古車掲載'!F222="ATTO 3",'中古車掲載'!L222="EXTENDED RANGE",'中古車掲載'!J222=2023,ISNUMBER('中古車掲載'!N222),'中古車掲載'!N222&gt;=20000,'中古車掲載'!O222&lt;=100000,'中古車掲載'!AL222=1),'中古車掲載'!U222,"")</x:f>
      </x:c>
      <x:c r="BA221" s="3" t="str">
        <x:f>IF(AND('中古車掲載'!C222="One2car",'中古車掲載'!F222="Corolla Cross",'中古車掲載'!L222="HEV PREMIUM SAFETY",'中古車掲載'!J222=2023,ISNUMBER('中古車掲載'!N222),'中古車掲載'!N222&gt;=20000,'中古車掲載'!O222&lt;=100000,'中古車掲載'!AL222=1,'中古車掲載'!Z222="https://www.one2car.com/en/cars-for-sale/toyota/corolla-cross/year-2023"),'中古車掲載'!U222,"")</x:f>
      </x:c>
      <x:c r="BB221" s="3" t="str">
        <x:f>IF(AND('中古車掲載'!C222="One2car",'中古車掲載'!F222="ATTO 3",'中古車掲載'!L222="EXTENDED RANGE",'中古車掲載'!J222=2023,ISNUMBER('中古車掲載'!N222),'中古車掲載'!N222&gt;=50000,'中古車掲載'!O222&lt;=100000,'中古車掲載'!AL222=1),'中古車掲載'!U222,"")</x:f>
      </x:c>
      <x:c r="BC221" s="3" t="str">
        <x:f>IF(AND('中古車掲載'!C222="One2car",'中古車掲載'!F222="Corolla Cross",'中古車掲載'!L222="HEV PREMIUM SAFETY",'中古車掲載'!J222=2023,ISNUMBER('中古車掲載'!N222),'中古車掲載'!N222&gt;=50000,'中古車掲載'!O222&lt;=100000,'中古車掲載'!AL222=1,'中古車掲載'!Z222="https://www.one2car.com/en/cars-for-sale/toyota/corolla-cross/year-2023"),'中古車掲載'!U222,"")</x:f>
      </x:c>
      <x:c r="BD221" s="3" t="str">
        <x:f>IF(AND('中古車掲載'!C222="One2car",'中古車掲載'!F222="ATTO 3",'中古車掲載'!L222="EXTENDED RANGE",'中古車掲載'!J222=2023,ISNUMBER('中古車掲載'!N222),'中古車掲載'!N222&gt;=20000,'中古車掲載'!O222&lt;=50000,'中古車掲載'!AL222=1),'中古車掲載'!U222,"")</x:f>
      </x:c>
      <x:c r="BE221" s="3" t="str">
        <x:f>IF(AND('中古車掲載'!C222="One2car",'中古車掲載'!F222="Corolla Cross",'中古車掲載'!L222="HEV PREMIUM SAFETY",'中古車掲載'!J222=2023,ISNUMBER('中古車掲載'!N222),'中古車掲載'!N222&gt;=20000,'中古車掲載'!O222&lt;=50000,'中古車掲載'!AL222=1,'中古車掲載'!Z222="https://www.one2car.com/en/cars-for-sale/toyota/corolla-cross/year-2023"),'中古車掲載'!U222,"")</x:f>
      </x:c>
      <x:c r="BF221" s="3" t="str">
        <x:f>IF(AND('中古車掲載'!C222="One2car",'中古車掲載'!F222="Corolla Cross",'中古車掲載'!L222="HEV PREMIUM",'中古車掲載'!J222=2023,ISNUMBER('中古車掲載'!N222),'中古車掲載'!N222&gt;=20000,'中古車掲載'!O222&lt;=100000,'中古車掲載'!AL222=1,'中古車掲載'!Z222="https://www.one2car.com/en/cars-for-sale/toyota/corolla-cross/year-2023"),'中古車掲載'!U222,"")</x:f>
      </x:c>
      <x:c r="BG221" s="3" t="str">
        <x:f>IF(AND('中古車掲載'!C222="One2car",'中古車掲載'!F222="Corolla Cross",'中古車掲載'!L222="HEV GR SPORT",'中古車掲載'!J222=2023,ISNUMBER('中古車掲載'!N222),'中古車掲載'!N222&gt;=20000,'中古車掲載'!O222&lt;=100000,'中古車掲載'!AL222=1,'中古車掲載'!Z222="https://www.one2car.com/en/cars-for-sale/toyota/corolla-cross/year-2023"),'中古車掲載'!U222,"")</x:f>
      </x:c>
      <x:c r="BH221" s="3" t="str">
        <x:f>IF(AND('中古車掲載'!C222="One2car",'中古車掲載'!F222="DOLPHIN",'中古車掲載'!L222="STANDARD RANGE",'中古車掲載'!J222=2023,ISNUMBER('中古車掲載'!N222),'中古車掲載'!N222&gt;=20000,'中古車掲載'!O222&lt;=100000,'中古車掲載'!AL222=1),'中古車掲載'!U222,"")</x:f>
      </x:c>
      <x:c r="BI221" s="3" t="str">
        <x:v>Taladrod|Corolla Altis|ICE|Unknown</x:v>
      </x:c>
      <x:c r="BJ221" s="3" t="n">
        <x:v>222</x:v>
      </x:c>
      <x:c r="BK221" s="3" t="n">
        <x:f>'中古車掲載'!AM222</x:f>
        <x:v>455000</x:v>
      </x:c>
      <x:c r="BL221" s="3" t="str">
        <x:f>IF(ISNUMBER('中古車掲載'!AN222),'中古車掲載'!AN222,"")</x:f>
      </x:c>
      <x:c r="BM221" s="3" t="str">
        <x:v>2023|Single cab</x:v>
      </x:c>
      <x:c r="BN221" s="3" t="n">
        <x:v>839</x:v>
      </x:c>
      <x:c r="BO221" s="3" t="n">
        <x:f>'中古車掲載'!AM839</x:f>
        <x:v>459000</x:v>
      </x:c>
      <x:c r="BP221" s="3" t="str">
        <x:v>2.4 ENTRY SWB STANDARD CAB</x:v>
      </x:c>
      <x:c r="BQ221" s="3"/>
      <x:c r="BR221" s="3"/>
    </x:row>
    <x:row r="222" ht="22" customHeight="1">
      <x:c r="A222" s="3"/>
      <x:c r="B222" s="3"/>
      <x:c r="C222" s="3"/>
      <x:c r="D222" s="3"/>
      <x:c r="E222" s="3"/>
      <x:c r="F222" s="3"/>
      <x:c r="G222" s="3"/>
      <x:c r="H222" s="3"/>
      <x:c r="I222" s="3"/>
      <x:c r="J222" s="3"/>
      <x:c r="K222" s="3"/>
      <x:c r="L222" s="3"/>
      <x:c r="M222" s="3"/>
      <x:c r="N222" s="3"/>
      <x:c r="O222" s="3"/>
      <x:c r="P222" s="3"/>
      <x:c r="Q222" s="3"/>
      <x:c r="R222" s="3"/>
      <x:c r="S222" s="3"/>
      <x:c r="T222" s="3"/>
      <x:c r="U222" s="3"/>
      <x:c r="V222" s="3"/>
      <x:c r="W222" s="3"/>
      <x:c r="X222" s="3"/>
      <x:c r="Y222" s="3"/>
      <x:c r="Z222" s="3"/>
      <x:c r="AA222" s="3"/>
      <x:c r="AB222" s="3"/>
      <x:c r="AC222" s="3"/>
      <x:c r="AD222" s="3"/>
      <x:c r="AE222" s="3"/>
      <x:c r="AF222" s="3"/>
      <x:c r="AG222" s="3"/>
      <x:c r="AH222" s="3"/>
      <x:c r="AI222" s="3"/>
      <x:c r="AJ222" s="3"/>
      <x:c r="AK222" s="3"/>
      <x:c r="AL222" s="3"/>
      <x:c r="AM222" s="3"/>
      <x:c r="AN222" s="3"/>
      <x:c r="AO222" s="3"/>
      <x:c r="AP222" s="3"/>
      <x:c r="AQ222" s="3"/>
      <x:c r="AR222" s="3"/>
      <x:c r="AS222" s="3"/>
      <x:c r="AT222" s="3"/>
      <x:c r="AU222" s="3"/>
      <x:c r="AV222" s="3"/>
      <x:c r="AW222" s="3"/>
      <x:c r="AX222" s="3"/>
      <x:c r="AY222" s="3"/>
      <x:c r="AZ222" s="3" t="str">
        <x:f>IF(AND('中古車掲載'!C223="One2car",'中古車掲載'!F223="ATTO 3",'中古車掲載'!L223="EXTENDED RANGE",'中古車掲載'!J223=2023,ISNUMBER('中古車掲載'!N223),'中古車掲載'!N223&gt;=20000,'中古車掲載'!O223&lt;=100000,'中古車掲載'!AL223=1),'中古車掲載'!U223,"")</x:f>
      </x:c>
      <x:c r="BA222" s="3" t="str">
        <x:f>IF(AND('中古車掲載'!C223="One2car",'中古車掲載'!F223="Corolla Cross",'中古車掲載'!L223="HEV PREMIUM SAFETY",'中古車掲載'!J223=2023,ISNUMBER('中古車掲載'!N223),'中古車掲載'!N223&gt;=20000,'中古車掲載'!O223&lt;=100000,'中古車掲載'!AL223=1,'中古車掲載'!Z223="https://www.one2car.com/en/cars-for-sale/toyota/corolla-cross/year-2023"),'中古車掲載'!U223,"")</x:f>
      </x:c>
      <x:c r="BB222" s="3" t="str">
        <x:f>IF(AND('中古車掲載'!C223="One2car",'中古車掲載'!F223="ATTO 3",'中古車掲載'!L223="EXTENDED RANGE",'中古車掲載'!J223=2023,ISNUMBER('中古車掲載'!N223),'中古車掲載'!N223&gt;=50000,'中古車掲載'!O223&lt;=100000,'中古車掲載'!AL223=1),'中古車掲載'!U223,"")</x:f>
      </x:c>
      <x:c r="BC222" s="3" t="str">
        <x:f>IF(AND('中古車掲載'!C223="One2car",'中古車掲載'!F223="Corolla Cross",'中古車掲載'!L223="HEV PREMIUM SAFETY",'中古車掲載'!J223=2023,ISNUMBER('中古車掲載'!N223),'中古車掲載'!N223&gt;=50000,'中古車掲載'!O223&lt;=100000,'中古車掲載'!AL223=1,'中古車掲載'!Z223="https://www.one2car.com/en/cars-for-sale/toyota/corolla-cross/year-2023"),'中古車掲載'!U223,"")</x:f>
      </x:c>
      <x:c r="BD222" s="3" t="str">
        <x:f>IF(AND('中古車掲載'!C223="One2car",'中古車掲載'!F223="ATTO 3",'中古車掲載'!L223="EXTENDED RANGE",'中古車掲載'!J223=2023,ISNUMBER('中古車掲載'!N223),'中古車掲載'!N223&gt;=20000,'中古車掲載'!O223&lt;=50000,'中古車掲載'!AL223=1),'中古車掲載'!U223,"")</x:f>
      </x:c>
      <x:c r="BE222" s="3" t="str">
        <x:f>IF(AND('中古車掲載'!C223="One2car",'中古車掲載'!F223="Corolla Cross",'中古車掲載'!L223="HEV PREMIUM SAFETY",'中古車掲載'!J223=2023,ISNUMBER('中古車掲載'!N223),'中古車掲載'!N223&gt;=20000,'中古車掲載'!O223&lt;=50000,'中古車掲載'!AL223=1,'中古車掲載'!Z223="https://www.one2car.com/en/cars-for-sale/toyota/corolla-cross/year-2023"),'中古車掲載'!U223,"")</x:f>
      </x:c>
      <x:c r="BF222" s="3" t="str">
        <x:f>IF(AND('中古車掲載'!C223="One2car",'中古車掲載'!F223="Corolla Cross",'中古車掲載'!L223="HEV PREMIUM",'中古車掲載'!J223=2023,ISNUMBER('中古車掲載'!N223),'中古車掲載'!N223&gt;=20000,'中古車掲載'!O223&lt;=100000,'中古車掲載'!AL223=1,'中古車掲載'!Z223="https://www.one2car.com/en/cars-for-sale/toyota/corolla-cross/year-2023"),'中古車掲載'!U223,"")</x:f>
      </x:c>
      <x:c r="BG222" s="3" t="str">
        <x:f>IF(AND('中古車掲載'!C223="One2car",'中古車掲載'!F223="Corolla Cross",'中古車掲載'!L223="HEV GR SPORT",'中古車掲載'!J223=2023,ISNUMBER('中古車掲載'!N223),'中古車掲載'!N223&gt;=20000,'中古車掲載'!O223&lt;=100000,'中古車掲載'!AL223=1,'中古車掲載'!Z223="https://www.one2car.com/en/cars-for-sale/toyota/corolla-cross/year-2023"),'中古車掲載'!U223,"")</x:f>
      </x:c>
      <x:c r="BH222" s="3" t="str">
        <x:f>IF(AND('中古車掲載'!C223="One2car",'中古車掲載'!F223="DOLPHIN",'中古車掲載'!L223="STANDARD RANGE",'中古車掲載'!J223=2023,ISNUMBER('中古車掲載'!N223),'中古車掲載'!N223&gt;=20000,'中古車掲載'!O223&lt;=100000,'中古車掲載'!AL223=1),'中古車掲載'!U223,"")</x:f>
      </x:c>
      <x:c r="BI222" s="3" t="str">
        <x:v>Taladrod|Corolla Altis|ICE|Unknown</x:v>
      </x:c>
      <x:c r="BJ222" s="3" t="n">
        <x:v>223</x:v>
      </x:c>
      <x:c r="BK222" s="3" t="n">
        <x:f>'中古車掲載'!AM223</x:f>
        <x:v>499000</x:v>
      </x:c>
      <x:c r="BL222" s="3" t="str">
        <x:f>IF(ISNUMBER('中古車掲載'!AN223),'中古車掲載'!AN223,"")</x:f>
      </x:c>
      <x:c r="BM222" s="3" t="str">
        <x:v>2023|Single cab</x:v>
      </x:c>
      <x:c r="BN222" s="3" t="n">
        <x:v>863</x:v>
      </x:c>
      <x:c r="BO222" s="3" t="n">
        <x:f>'中古車掲載'!AM863</x:f>
        <x:v>569000</x:v>
      </x:c>
      <x:c r="BP222" s="3" t="str">
        <x:v>2.8 ENTRY 4WD STANDARD CAB</x:v>
      </x:c>
      <x:c r="BQ222" s="3"/>
      <x:c r="BR222" s="3"/>
    </x:row>
    <x:row r="223" ht="22" customHeight="1">
      <x:c r="A223" s="3"/>
      <x:c r="B223" s="3"/>
      <x:c r="C223" s="3"/>
      <x:c r="D223" s="3"/>
      <x:c r="E223" s="3"/>
      <x:c r="F223" s="3"/>
      <x:c r="G223" s="3"/>
      <x:c r="H223" s="3"/>
      <x:c r="I223" s="3"/>
      <x:c r="J223" s="3"/>
      <x:c r="K223" s="3"/>
      <x:c r="L223" s="3"/>
      <x:c r="M223" s="3"/>
      <x:c r="N223" s="3"/>
      <x:c r="O223" s="3"/>
      <x:c r="P223" s="3"/>
      <x:c r="Q223" s="3"/>
      <x:c r="R223" s="3"/>
      <x:c r="S223" s="3"/>
      <x:c r="T223" s="3"/>
      <x:c r="U223" s="3"/>
      <x:c r="V223" s="3"/>
      <x:c r="W223" s="3"/>
      <x:c r="X223" s="3"/>
      <x:c r="Y223" s="3"/>
      <x:c r="Z223" s="3"/>
      <x:c r="AA223" s="3"/>
      <x:c r="AB223" s="3"/>
      <x:c r="AC223" s="3"/>
      <x:c r="AD223" s="3"/>
      <x:c r="AE223" s="3"/>
      <x:c r="AF223" s="3"/>
      <x:c r="AG223" s="3"/>
      <x:c r="AH223" s="3"/>
      <x:c r="AI223" s="3"/>
      <x:c r="AJ223" s="3"/>
      <x:c r="AK223" s="3"/>
      <x:c r="AL223" s="3"/>
      <x:c r="AM223" s="3"/>
      <x:c r="AN223" s="3"/>
      <x:c r="AO223" s="3"/>
      <x:c r="AP223" s="3"/>
      <x:c r="AQ223" s="3"/>
      <x:c r="AR223" s="3"/>
      <x:c r="AS223" s="3"/>
      <x:c r="AT223" s="3"/>
      <x:c r="AU223" s="3"/>
      <x:c r="AV223" s="3"/>
      <x:c r="AW223" s="3"/>
      <x:c r="AX223" s="3"/>
      <x:c r="AY223" s="3"/>
      <x:c r="AZ223" s="3" t="str">
        <x:f>IF(AND('中古車掲載'!C224="One2car",'中古車掲載'!F224="ATTO 3",'中古車掲載'!L224="EXTENDED RANGE",'中古車掲載'!J224=2023,ISNUMBER('中古車掲載'!N224),'中古車掲載'!N224&gt;=20000,'中古車掲載'!O224&lt;=100000,'中古車掲載'!AL224=1),'中古車掲載'!U224,"")</x:f>
      </x:c>
      <x:c r="BA223" s="3" t="str">
        <x:f>IF(AND('中古車掲載'!C224="One2car",'中古車掲載'!F224="Corolla Cross",'中古車掲載'!L224="HEV PREMIUM SAFETY",'中古車掲載'!J224=2023,ISNUMBER('中古車掲載'!N224),'中古車掲載'!N224&gt;=20000,'中古車掲載'!O224&lt;=100000,'中古車掲載'!AL224=1,'中古車掲載'!Z224="https://www.one2car.com/en/cars-for-sale/toyota/corolla-cross/year-2023"),'中古車掲載'!U224,"")</x:f>
      </x:c>
      <x:c r="BB223" s="3" t="str">
        <x:f>IF(AND('中古車掲載'!C224="One2car",'中古車掲載'!F224="ATTO 3",'中古車掲載'!L224="EXTENDED RANGE",'中古車掲載'!J224=2023,ISNUMBER('中古車掲載'!N224),'中古車掲載'!N224&gt;=50000,'中古車掲載'!O224&lt;=100000,'中古車掲載'!AL224=1),'中古車掲載'!U224,"")</x:f>
      </x:c>
      <x:c r="BC223" s="3" t="str">
        <x:f>IF(AND('中古車掲載'!C224="One2car",'中古車掲載'!F224="Corolla Cross",'中古車掲載'!L224="HEV PREMIUM SAFETY",'中古車掲載'!J224=2023,ISNUMBER('中古車掲載'!N224),'中古車掲載'!N224&gt;=50000,'中古車掲載'!O224&lt;=100000,'中古車掲載'!AL224=1,'中古車掲載'!Z224="https://www.one2car.com/en/cars-for-sale/toyota/corolla-cross/year-2023"),'中古車掲載'!U224,"")</x:f>
      </x:c>
      <x:c r="BD223" s="3" t="str">
        <x:f>IF(AND('中古車掲載'!C224="One2car",'中古車掲載'!F224="ATTO 3",'中古車掲載'!L224="EXTENDED RANGE",'中古車掲載'!J224=2023,ISNUMBER('中古車掲載'!N224),'中古車掲載'!N224&gt;=20000,'中古車掲載'!O224&lt;=50000,'中古車掲載'!AL224=1),'中古車掲載'!U224,"")</x:f>
      </x:c>
      <x:c r="BE223" s="3" t="str">
        <x:f>IF(AND('中古車掲載'!C224="One2car",'中古車掲載'!F224="Corolla Cross",'中古車掲載'!L224="HEV PREMIUM SAFETY",'中古車掲載'!J224=2023,ISNUMBER('中古車掲載'!N224),'中古車掲載'!N224&gt;=20000,'中古車掲載'!O224&lt;=50000,'中古車掲載'!AL224=1,'中古車掲載'!Z224="https://www.one2car.com/en/cars-for-sale/toyota/corolla-cross/year-2023"),'中古車掲載'!U224,"")</x:f>
      </x:c>
      <x:c r="BF223" s="3" t="str">
        <x:f>IF(AND('中古車掲載'!C224="One2car",'中古車掲載'!F224="Corolla Cross",'中古車掲載'!L224="HEV PREMIUM",'中古車掲載'!J224=2023,ISNUMBER('中古車掲載'!N224),'中古車掲載'!N224&gt;=20000,'中古車掲載'!O224&lt;=100000,'中古車掲載'!AL224=1,'中古車掲載'!Z224="https://www.one2car.com/en/cars-for-sale/toyota/corolla-cross/year-2023"),'中古車掲載'!U224,"")</x:f>
      </x:c>
      <x:c r="BG223" s="3" t="str">
        <x:f>IF(AND('中古車掲載'!C224="One2car",'中古車掲載'!F224="Corolla Cross",'中古車掲載'!L224="HEV GR SPORT",'中古車掲載'!J224=2023,ISNUMBER('中古車掲載'!N224),'中古車掲載'!N224&gt;=20000,'中古車掲載'!O224&lt;=100000,'中古車掲載'!AL224=1,'中古車掲載'!Z224="https://www.one2car.com/en/cars-for-sale/toyota/corolla-cross/year-2023"),'中古車掲載'!U224,"")</x:f>
      </x:c>
      <x:c r="BH223" s="3" t="str">
        <x:f>IF(AND('中古車掲載'!C224="One2car",'中古車掲載'!F224="DOLPHIN",'中古車掲載'!L224="STANDARD RANGE",'中古車掲載'!J224=2023,ISNUMBER('中古車掲載'!N224),'中古車掲載'!N224&gt;=20000,'中古車掲載'!O224&lt;=100000,'中古車掲載'!AL224=1),'中古車掲載'!U224,"")</x:f>
      </x:c>
      <x:c r="BI223" s="3" t="str">
        <x:v>Taladrod|Corolla Altis|ICE|Unknown</x:v>
      </x:c>
      <x:c r="BJ223" s="3" t="n">
        <x:v>224</x:v>
      </x:c>
      <x:c r="BK223" s="3" t="n">
        <x:f>'中古車掲載'!AM224</x:f>
        <x:v>499000</x:v>
      </x:c>
      <x:c r="BL223" s="3" t="str">
        <x:f>IF(ISNUMBER('中古車掲載'!AN224),'中古車掲載'!AN224,"")</x:f>
      </x:c>
      <x:c r="BM223" s="3" t="str">
        <x:v>2023|Single cab</x:v>
      </x:c>
      <x:c r="BN223" s="3" t="n">
        <x:v>864</x:v>
      </x:c>
      <x:c r="BO223" s="3" t="n">
        <x:f>'中古車掲載'!AM864</x:f>
        <x:v>595000</x:v>
      </x:c>
      <x:c r="BP223" s="3" t="str">
        <x:v>2.8 ENTRY 4WD STANDARD CAB</x:v>
      </x:c>
      <x:c r="BQ223" s="3"/>
      <x:c r="BR223" s="3"/>
    </x:row>
    <x:row r="224" ht="22" customHeight="1">
      <x:c r="A224" s="3"/>
      <x:c r="B224" s="3"/>
      <x:c r="C224" s="3"/>
      <x:c r="D224" s="3"/>
      <x:c r="E224" s="3"/>
      <x:c r="F224" s="3"/>
      <x:c r="G224" s="3"/>
      <x:c r="H224" s="3"/>
      <x:c r="I224" s="3"/>
      <x:c r="J224" s="3"/>
      <x:c r="K224" s="3"/>
      <x:c r="L224" s="3"/>
      <x:c r="M224" s="3"/>
      <x:c r="N224" s="3"/>
      <x:c r="O224" s="3"/>
      <x:c r="P224" s="3"/>
      <x:c r="Q224" s="3"/>
      <x:c r="R224" s="3"/>
      <x:c r="S224" s="3"/>
      <x:c r="T224" s="3"/>
      <x:c r="U224" s="3"/>
      <x:c r="V224" s="3"/>
      <x:c r="W224" s="3"/>
      <x:c r="X224" s="3"/>
      <x:c r="Y224" s="3"/>
      <x:c r="Z224" s="3"/>
      <x:c r="AA224" s="3"/>
      <x:c r="AB224" s="3"/>
      <x:c r="AC224" s="3"/>
      <x:c r="AD224" s="3"/>
      <x:c r="AE224" s="3"/>
      <x:c r="AF224" s="3"/>
      <x:c r="AG224" s="3"/>
      <x:c r="AH224" s="3"/>
      <x:c r="AI224" s="3"/>
      <x:c r="AJ224" s="3"/>
      <x:c r="AK224" s="3"/>
      <x:c r="AL224" s="3"/>
      <x:c r="AM224" s="3"/>
      <x:c r="AN224" s="3"/>
      <x:c r="AO224" s="3"/>
      <x:c r="AP224" s="3"/>
      <x:c r="AQ224" s="3"/>
      <x:c r="AR224" s="3"/>
      <x:c r="AS224" s="3"/>
      <x:c r="AT224" s="3"/>
      <x:c r="AU224" s="3"/>
      <x:c r="AV224" s="3"/>
      <x:c r="AW224" s="3"/>
      <x:c r="AX224" s="3"/>
      <x:c r="AY224" s="3"/>
      <x:c r="AZ224" s="3" t="str">
        <x:f>IF(AND('中古車掲載'!C225="One2car",'中古車掲載'!F225="ATTO 3",'中古車掲載'!L225="EXTENDED RANGE",'中古車掲載'!J225=2023,ISNUMBER('中古車掲載'!N225),'中古車掲載'!N225&gt;=20000,'中古車掲載'!O225&lt;=100000,'中古車掲載'!AL225=1),'中古車掲載'!U225,"")</x:f>
      </x:c>
      <x:c r="BA224" s="3" t="str">
        <x:f>IF(AND('中古車掲載'!C225="One2car",'中古車掲載'!F225="Corolla Cross",'中古車掲載'!L225="HEV PREMIUM SAFETY",'中古車掲載'!J225=2023,ISNUMBER('中古車掲載'!N225),'中古車掲載'!N225&gt;=20000,'中古車掲載'!O225&lt;=100000,'中古車掲載'!AL225=1,'中古車掲載'!Z225="https://www.one2car.com/en/cars-for-sale/toyota/corolla-cross/year-2023"),'中古車掲載'!U225,"")</x:f>
      </x:c>
      <x:c r="BB224" s="3" t="str">
        <x:f>IF(AND('中古車掲載'!C225="One2car",'中古車掲載'!F225="ATTO 3",'中古車掲載'!L225="EXTENDED RANGE",'中古車掲載'!J225=2023,ISNUMBER('中古車掲載'!N225),'中古車掲載'!N225&gt;=50000,'中古車掲載'!O225&lt;=100000,'中古車掲載'!AL225=1),'中古車掲載'!U225,"")</x:f>
      </x:c>
      <x:c r="BC224" s="3" t="str">
        <x:f>IF(AND('中古車掲載'!C225="One2car",'中古車掲載'!F225="Corolla Cross",'中古車掲載'!L225="HEV PREMIUM SAFETY",'中古車掲載'!J225=2023,ISNUMBER('中古車掲載'!N225),'中古車掲載'!N225&gt;=50000,'中古車掲載'!O225&lt;=100000,'中古車掲載'!AL225=1,'中古車掲載'!Z225="https://www.one2car.com/en/cars-for-sale/toyota/corolla-cross/year-2023"),'中古車掲載'!U225,"")</x:f>
      </x:c>
      <x:c r="BD224" s="3" t="str">
        <x:f>IF(AND('中古車掲載'!C225="One2car",'中古車掲載'!F225="ATTO 3",'中古車掲載'!L225="EXTENDED RANGE",'中古車掲載'!J225=2023,ISNUMBER('中古車掲載'!N225),'中古車掲載'!N225&gt;=20000,'中古車掲載'!O225&lt;=50000,'中古車掲載'!AL225=1),'中古車掲載'!U225,"")</x:f>
      </x:c>
      <x:c r="BE224" s="3" t="str">
        <x:f>IF(AND('中古車掲載'!C225="One2car",'中古車掲載'!F225="Corolla Cross",'中古車掲載'!L225="HEV PREMIUM SAFETY",'中古車掲載'!J225=2023,ISNUMBER('中古車掲載'!N225),'中古車掲載'!N225&gt;=20000,'中古車掲載'!O225&lt;=50000,'中古車掲載'!AL225=1,'中古車掲載'!Z225="https://www.one2car.com/en/cars-for-sale/toyota/corolla-cross/year-2023"),'中古車掲載'!U225,"")</x:f>
      </x:c>
      <x:c r="BF224" s="3" t="str">
        <x:f>IF(AND('中古車掲載'!C225="One2car",'中古車掲載'!F225="Corolla Cross",'中古車掲載'!L225="HEV PREMIUM",'中古車掲載'!J225=2023,ISNUMBER('中古車掲載'!N225),'中古車掲載'!N225&gt;=20000,'中古車掲載'!O225&lt;=100000,'中古車掲載'!AL225=1,'中古車掲載'!Z225="https://www.one2car.com/en/cars-for-sale/toyota/corolla-cross/year-2023"),'中古車掲載'!U225,"")</x:f>
      </x:c>
      <x:c r="BG224" s="3" t="str">
        <x:f>IF(AND('中古車掲載'!C225="One2car",'中古車掲載'!F225="Corolla Cross",'中古車掲載'!L225="HEV GR SPORT",'中古車掲載'!J225=2023,ISNUMBER('中古車掲載'!N225),'中古車掲載'!N225&gt;=20000,'中古車掲載'!O225&lt;=100000,'中古車掲載'!AL225=1,'中古車掲載'!Z225="https://www.one2car.com/en/cars-for-sale/toyota/corolla-cross/year-2023"),'中古車掲載'!U225,"")</x:f>
      </x:c>
      <x:c r="BH224" s="3" t="str">
        <x:f>IF(AND('中古車掲載'!C225="One2car",'中古車掲載'!F225="DOLPHIN",'中古車掲載'!L225="STANDARD RANGE",'中古車掲載'!J225=2023,ISNUMBER('中古車掲載'!N225),'中古車掲載'!N225&gt;=20000,'中古車掲載'!O225&lt;=100000,'中古車掲載'!AL225=1),'中古車掲載'!U225,"")</x:f>
      </x:c>
      <x:c r="BI224" s="3" t="str">
        <x:v>Taladrod|Corolla Altis|ICE|Unknown</x:v>
      </x:c>
      <x:c r="BJ224" s="3" t="n">
        <x:v>225</x:v>
      </x:c>
      <x:c r="BK224" s="3" t="n">
        <x:f>'中古車掲載'!AM225</x:f>
        <x:v>399000</x:v>
      </x:c>
      <x:c r="BL224" s="3" t="str">
        <x:f>IF(ISNUMBER('中古車掲載'!AN225),'中古車掲載'!AN225,"")</x:f>
      </x:c>
      <x:c r="BM224" s="3" t="str">
        <x:v>2023|Single cab</x:v>
      </x:c>
      <x:c r="BN224" s="3" t="n">
        <x:v>865</x:v>
      </x:c>
      <x:c r="BO224" s="3" t="n">
        <x:f>'中古車掲載'!AM865</x:f>
        <x:v>450000</x:v>
      </x:c>
      <x:c r="BP224" s="3" t="str">
        <x:v>2.8 ENTRY STANDARD CAB</x:v>
      </x:c>
      <x:c r="BQ224" s="3"/>
      <x:c r="BR224" s="3"/>
    </x:row>
    <x:row r="225" ht="22" customHeight="1">
      <x:c r="A225" s="3"/>
      <x:c r="B225" s="3"/>
      <x:c r="C225" s="3"/>
      <x:c r="D225" s="3"/>
      <x:c r="E225" s="3"/>
      <x:c r="F225" s="3"/>
      <x:c r="G225" s="3"/>
      <x:c r="H225" s="3"/>
      <x:c r="I225" s="3"/>
      <x:c r="J225" s="3"/>
      <x:c r="K225" s="3"/>
      <x:c r="L225" s="3"/>
      <x:c r="M225" s="3"/>
      <x:c r="N225" s="3"/>
      <x:c r="O225" s="3"/>
      <x:c r="P225" s="3"/>
      <x:c r="Q225" s="3"/>
      <x:c r="R225" s="3"/>
      <x:c r="S225" s="3"/>
      <x:c r="T225" s="3"/>
      <x:c r="U225" s="3"/>
      <x:c r="V225" s="3"/>
      <x:c r="W225" s="3"/>
      <x:c r="X225" s="3"/>
      <x:c r="Y225" s="3"/>
      <x:c r="Z225" s="3"/>
      <x:c r="AA225" s="3"/>
      <x:c r="AB225" s="3"/>
      <x:c r="AC225" s="3"/>
      <x:c r="AD225" s="3"/>
      <x:c r="AE225" s="3"/>
      <x:c r="AF225" s="3"/>
      <x:c r="AG225" s="3"/>
      <x:c r="AH225" s="3"/>
      <x:c r="AI225" s="3"/>
      <x:c r="AJ225" s="3"/>
      <x:c r="AK225" s="3"/>
      <x:c r="AL225" s="3"/>
      <x:c r="AM225" s="3"/>
      <x:c r="AN225" s="3"/>
      <x:c r="AO225" s="3"/>
      <x:c r="AP225" s="3"/>
      <x:c r="AQ225" s="3"/>
      <x:c r="AR225" s="3"/>
      <x:c r="AS225" s="3"/>
      <x:c r="AT225" s="3"/>
      <x:c r="AU225" s="3"/>
      <x:c r="AV225" s="3"/>
      <x:c r="AW225" s="3"/>
      <x:c r="AX225" s="3"/>
      <x:c r="AY225" s="3"/>
      <x:c r="AZ225" s="3" t="str">
        <x:f>IF(AND('中古車掲載'!C226="One2car",'中古車掲載'!F226="ATTO 3",'中古車掲載'!L226="EXTENDED RANGE",'中古車掲載'!J226=2023,ISNUMBER('中古車掲載'!N226),'中古車掲載'!N226&gt;=20000,'中古車掲載'!O226&lt;=100000,'中古車掲載'!AL226=1),'中古車掲載'!U226,"")</x:f>
      </x:c>
      <x:c r="BA225" s="3" t="str">
        <x:f>IF(AND('中古車掲載'!C226="One2car",'中古車掲載'!F226="Corolla Cross",'中古車掲載'!L226="HEV PREMIUM SAFETY",'中古車掲載'!J226=2023,ISNUMBER('中古車掲載'!N226),'中古車掲載'!N226&gt;=20000,'中古車掲載'!O226&lt;=100000,'中古車掲載'!AL226=1,'中古車掲載'!Z226="https://www.one2car.com/en/cars-for-sale/toyota/corolla-cross/year-2023"),'中古車掲載'!U226,"")</x:f>
      </x:c>
      <x:c r="BB225" s="3" t="str">
        <x:f>IF(AND('中古車掲載'!C226="One2car",'中古車掲載'!F226="ATTO 3",'中古車掲載'!L226="EXTENDED RANGE",'中古車掲載'!J226=2023,ISNUMBER('中古車掲載'!N226),'中古車掲載'!N226&gt;=50000,'中古車掲載'!O226&lt;=100000,'中古車掲載'!AL226=1),'中古車掲載'!U226,"")</x:f>
      </x:c>
      <x:c r="BC225" s="3" t="str">
        <x:f>IF(AND('中古車掲載'!C226="One2car",'中古車掲載'!F226="Corolla Cross",'中古車掲載'!L226="HEV PREMIUM SAFETY",'中古車掲載'!J226=2023,ISNUMBER('中古車掲載'!N226),'中古車掲載'!N226&gt;=50000,'中古車掲載'!O226&lt;=100000,'中古車掲載'!AL226=1,'中古車掲載'!Z226="https://www.one2car.com/en/cars-for-sale/toyota/corolla-cross/year-2023"),'中古車掲載'!U226,"")</x:f>
      </x:c>
      <x:c r="BD225" s="3" t="str">
        <x:f>IF(AND('中古車掲載'!C226="One2car",'中古車掲載'!F226="ATTO 3",'中古車掲載'!L226="EXTENDED RANGE",'中古車掲載'!J226=2023,ISNUMBER('中古車掲載'!N226),'中古車掲載'!N226&gt;=20000,'中古車掲載'!O226&lt;=50000,'中古車掲載'!AL226=1),'中古車掲載'!U226,"")</x:f>
      </x:c>
      <x:c r="BE225" s="3" t="str">
        <x:f>IF(AND('中古車掲載'!C226="One2car",'中古車掲載'!F226="Corolla Cross",'中古車掲載'!L226="HEV PREMIUM SAFETY",'中古車掲載'!J226=2023,ISNUMBER('中古車掲載'!N226),'中古車掲載'!N226&gt;=20000,'中古車掲載'!O226&lt;=50000,'中古車掲載'!AL226=1,'中古車掲載'!Z226="https://www.one2car.com/en/cars-for-sale/toyota/corolla-cross/year-2023"),'中古車掲載'!U226,"")</x:f>
      </x:c>
      <x:c r="BF225" s="3" t="str">
        <x:f>IF(AND('中古車掲載'!C226="One2car",'中古車掲載'!F226="Corolla Cross",'中古車掲載'!L226="HEV PREMIUM",'中古車掲載'!J226=2023,ISNUMBER('中古車掲載'!N226),'中古車掲載'!N226&gt;=20000,'中古車掲載'!O226&lt;=100000,'中古車掲載'!AL226=1,'中古車掲載'!Z226="https://www.one2car.com/en/cars-for-sale/toyota/corolla-cross/year-2023"),'中古車掲載'!U226,"")</x:f>
      </x:c>
      <x:c r="BG225" s="3" t="str">
        <x:f>IF(AND('中古車掲載'!C226="One2car",'中古車掲載'!F226="Corolla Cross",'中古車掲載'!L226="HEV GR SPORT",'中古車掲載'!J226=2023,ISNUMBER('中古車掲載'!N226),'中古車掲載'!N226&gt;=20000,'中古車掲載'!O226&lt;=100000,'中古車掲載'!AL226=1,'中古車掲載'!Z226="https://www.one2car.com/en/cars-for-sale/toyota/corolla-cross/year-2023"),'中古車掲載'!U226,"")</x:f>
      </x:c>
      <x:c r="BH225" s="3" t="str">
        <x:f>IF(AND('中古車掲載'!C226="One2car",'中古車掲載'!F226="DOLPHIN",'中古車掲載'!L226="STANDARD RANGE",'中古車掲載'!J226=2023,ISNUMBER('中古車掲載'!N226),'中古車掲載'!N226&gt;=20000,'中古車掲載'!O226&lt;=100000,'中古車掲載'!AL226=1),'中古車掲載'!U226,"")</x:f>
      </x:c>
      <x:c r="BI225" s="3" t="str">
        <x:v>Taladrod|Corolla Altis|ICE|Unknown</x:v>
      </x:c>
      <x:c r="BJ225" s="3" t="n">
        <x:v>226</x:v>
      </x:c>
      <x:c r="BK225" s="3" t="n">
        <x:f>'中古車掲載'!AM226</x:f>
        <x:v>378000</x:v>
      </x:c>
      <x:c r="BL225" s="3" t="str">
        <x:f>IF(ISNUMBER('中古車掲載'!AN226),'中古車掲載'!AN226,"")</x:f>
      </x:c>
      <x:c r="BM225" s="3" t="str">
        <x:v>2024|Double cab</x:v>
      </x:c>
      <x:c r="BN225" s="3" t="n">
        <x:v>868</x:v>
      </x:c>
      <x:c r="BO225" s="3" t="n">
        <x:f>'中古車掲載'!AM868</x:f>
        <x:v>699000</x:v>
      </x:c>
      <x:c r="BP225" s="3" t="str">
        <x:v>2.4 ENTRY PRERUNNER DOUBLE CAB</x:v>
      </x:c>
      <x:c r="BQ225" s="3"/>
      <x:c r="BR225" s="3"/>
    </x:row>
    <x:row r="226" ht="22" customHeight="1">
      <x:c r="A226" s="3"/>
      <x:c r="B226" s="3"/>
      <x:c r="C226" s="3"/>
      <x:c r="D226" s="3"/>
      <x:c r="E226" s="3"/>
      <x:c r="F226" s="3"/>
      <x:c r="G226" s="3"/>
      <x:c r="H226" s="3"/>
      <x:c r="I226" s="3"/>
      <x:c r="J226" s="3"/>
      <x:c r="K226" s="3"/>
      <x:c r="L226" s="3"/>
      <x:c r="M226" s="3"/>
      <x:c r="N226" s="3"/>
      <x:c r="O226" s="3"/>
      <x:c r="P226" s="3"/>
      <x:c r="Q226" s="3"/>
      <x:c r="R226" s="3"/>
      <x:c r="S226" s="3"/>
      <x:c r="T226" s="3"/>
      <x:c r="U226" s="3"/>
      <x:c r="V226" s="3"/>
      <x:c r="W226" s="3"/>
      <x:c r="X226" s="3"/>
      <x:c r="Y226" s="3"/>
      <x:c r="Z226" s="3"/>
      <x:c r="AA226" s="3"/>
      <x:c r="AB226" s="3"/>
      <x:c r="AC226" s="3"/>
      <x:c r="AD226" s="3"/>
      <x:c r="AE226" s="3"/>
      <x:c r="AF226" s="3"/>
      <x:c r="AG226" s="3"/>
      <x:c r="AH226" s="3"/>
      <x:c r="AI226" s="3"/>
      <x:c r="AJ226" s="3"/>
      <x:c r="AK226" s="3"/>
      <x:c r="AL226" s="3"/>
      <x:c r="AM226" s="3"/>
      <x:c r="AN226" s="3"/>
      <x:c r="AO226" s="3"/>
      <x:c r="AP226" s="3"/>
      <x:c r="AQ226" s="3"/>
      <x:c r="AR226" s="3"/>
      <x:c r="AS226" s="3"/>
      <x:c r="AT226" s="3"/>
      <x:c r="AU226" s="3"/>
      <x:c r="AV226" s="3"/>
      <x:c r="AW226" s="3"/>
      <x:c r="AX226" s="3"/>
      <x:c r="AY226" s="3"/>
      <x:c r="AZ226" s="3" t="str">
        <x:f>IF(AND('中古車掲載'!C227="One2car",'中古車掲載'!F227="ATTO 3",'中古車掲載'!L227="EXTENDED RANGE",'中古車掲載'!J227=2023,ISNUMBER('中古車掲載'!N227),'中古車掲載'!N227&gt;=20000,'中古車掲載'!O227&lt;=100000,'中古車掲載'!AL227=1),'中古車掲載'!U227,"")</x:f>
      </x:c>
      <x:c r="BA226" s="3" t="str">
        <x:f>IF(AND('中古車掲載'!C227="One2car",'中古車掲載'!F227="Corolla Cross",'中古車掲載'!L227="HEV PREMIUM SAFETY",'中古車掲載'!J227=2023,ISNUMBER('中古車掲載'!N227),'中古車掲載'!N227&gt;=20000,'中古車掲載'!O227&lt;=100000,'中古車掲載'!AL227=1,'中古車掲載'!Z227="https://www.one2car.com/en/cars-for-sale/toyota/corolla-cross/year-2023"),'中古車掲載'!U227,"")</x:f>
      </x:c>
      <x:c r="BB226" s="3" t="str">
        <x:f>IF(AND('中古車掲載'!C227="One2car",'中古車掲載'!F227="ATTO 3",'中古車掲載'!L227="EXTENDED RANGE",'中古車掲載'!J227=2023,ISNUMBER('中古車掲載'!N227),'中古車掲載'!N227&gt;=50000,'中古車掲載'!O227&lt;=100000,'中古車掲載'!AL227=1),'中古車掲載'!U227,"")</x:f>
      </x:c>
      <x:c r="BC226" s="3" t="str">
        <x:f>IF(AND('中古車掲載'!C227="One2car",'中古車掲載'!F227="Corolla Cross",'中古車掲載'!L227="HEV PREMIUM SAFETY",'中古車掲載'!J227=2023,ISNUMBER('中古車掲載'!N227),'中古車掲載'!N227&gt;=50000,'中古車掲載'!O227&lt;=100000,'中古車掲載'!AL227=1,'中古車掲載'!Z227="https://www.one2car.com/en/cars-for-sale/toyota/corolla-cross/year-2023"),'中古車掲載'!U227,"")</x:f>
      </x:c>
      <x:c r="BD226" s="3" t="str">
        <x:f>IF(AND('中古車掲載'!C227="One2car",'中古車掲載'!F227="ATTO 3",'中古車掲載'!L227="EXTENDED RANGE",'中古車掲載'!J227=2023,ISNUMBER('中古車掲載'!N227),'中古車掲載'!N227&gt;=20000,'中古車掲載'!O227&lt;=50000,'中古車掲載'!AL227=1),'中古車掲載'!U227,"")</x:f>
      </x:c>
      <x:c r="BE226" s="3" t="str">
        <x:f>IF(AND('中古車掲載'!C227="One2car",'中古車掲載'!F227="Corolla Cross",'中古車掲載'!L227="HEV PREMIUM SAFETY",'中古車掲載'!J227=2023,ISNUMBER('中古車掲載'!N227),'中古車掲載'!N227&gt;=20000,'中古車掲載'!O227&lt;=50000,'中古車掲載'!AL227=1,'中古車掲載'!Z227="https://www.one2car.com/en/cars-for-sale/toyota/corolla-cross/year-2023"),'中古車掲載'!U227,"")</x:f>
      </x:c>
      <x:c r="BF226" s="3" t="str">
        <x:f>IF(AND('中古車掲載'!C227="One2car",'中古車掲載'!F227="Corolla Cross",'中古車掲載'!L227="HEV PREMIUM",'中古車掲載'!J227=2023,ISNUMBER('中古車掲載'!N227),'中古車掲載'!N227&gt;=20000,'中古車掲載'!O227&lt;=100000,'中古車掲載'!AL227=1,'中古車掲載'!Z227="https://www.one2car.com/en/cars-for-sale/toyota/corolla-cross/year-2023"),'中古車掲載'!U227,"")</x:f>
      </x:c>
      <x:c r="BG226" s="3" t="str">
        <x:f>IF(AND('中古車掲載'!C227="One2car",'中古車掲載'!F227="Corolla Cross",'中古車掲載'!L227="HEV GR SPORT",'中古車掲載'!J227=2023,ISNUMBER('中古車掲載'!N227),'中古車掲載'!N227&gt;=20000,'中古車掲載'!O227&lt;=100000,'中古車掲載'!AL227=1,'中古車掲載'!Z227="https://www.one2car.com/en/cars-for-sale/toyota/corolla-cross/year-2023"),'中古車掲載'!U227,"")</x:f>
      </x:c>
      <x:c r="BH226" s="3" t="str">
        <x:f>IF(AND('中古車掲載'!C227="One2car",'中古車掲載'!F227="DOLPHIN",'中古車掲載'!L227="STANDARD RANGE",'中古車掲載'!J227=2023,ISNUMBER('中古車掲載'!N227),'中古車掲載'!N227&gt;=20000,'中古車掲載'!O227&lt;=100000,'中古車掲載'!AL227=1),'中古車掲載'!U227,"")</x:f>
      </x:c>
      <x:c r="BI226" s="3" t="str">
        <x:v>Taladrod|Corolla Altis|ICE|Unknown</x:v>
      </x:c>
      <x:c r="BJ226" s="3" t="n">
        <x:v>227</x:v>
      </x:c>
      <x:c r="BK226" s="3" t="n">
        <x:f>'中古車掲載'!AM227</x:f>
        <x:v>459000</x:v>
      </x:c>
      <x:c r="BL226" s="3" t="str">
        <x:f>IF(ISNUMBER('中古車掲載'!AN227),'中古車掲載'!AN227,"")</x:f>
      </x:c>
      <x:c r="BM226" s="3" t="str">
        <x:v>2024|Double cab</x:v>
      </x:c>
      <x:c r="BN226" s="3" t="n">
        <x:v>877</x:v>
      </x:c>
      <x:c r="BO226" s="3" t="n">
        <x:f>'中古車掲載'!AM877</x:f>
        <x:v>529000</x:v>
      </x:c>
      <x:c r="BP226" s="3" t="str">
        <x:v>2.4 ENTRY Z EDITION DOUBLE CAB</x:v>
      </x:c>
      <x:c r="BQ226" s="3"/>
      <x:c r="BR226" s="3"/>
    </x:row>
    <x:row r="227" ht="22" customHeight="1">
      <x:c r="A227" s="3"/>
      <x:c r="B227" s="3"/>
      <x:c r="C227" s="3"/>
      <x:c r="D227" s="3"/>
      <x:c r="E227" s="3"/>
      <x:c r="F227" s="3"/>
      <x:c r="G227" s="3"/>
      <x:c r="H227" s="3"/>
      <x:c r="I227" s="3"/>
      <x:c r="J227" s="3"/>
      <x:c r="K227" s="3"/>
      <x:c r="L227" s="3"/>
      <x:c r="M227" s="3"/>
      <x:c r="N227" s="3"/>
      <x:c r="O227" s="3"/>
      <x:c r="P227" s="3"/>
      <x:c r="Q227" s="3"/>
      <x:c r="R227" s="3"/>
      <x:c r="S227" s="3"/>
      <x:c r="T227" s="3"/>
      <x:c r="U227" s="3"/>
      <x:c r="V227" s="3"/>
      <x:c r="W227" s="3"/>
      <x:c r="X227" s="3"/>
      <x:c r="Y227" s="3"/>
      <x:c r="Z227" s="3"/>
      <x:c r="AA227" s="3"/>
      <x:c r="AB227" s="3"/>
      <x:c r="AC227" s="3"/>
      <x:c r="AD227" s="3"/>
      <x:c r="AE227" s="3"/>
      <x:c r="AF227" s="3"/>
      <x:c r="AG227" s="3"/>
      <x:c r="AH227" s="3"/>
      <x:c r="AI227" s="3"/>
      <x:c r="AJ227" s="3"/>
      <x:c r="AK227" s="3"/>
      <x:c r="AL227" s="3"/>
      <x:c r="AM227" s="3"/>
      <x:c r="AN227" s="3"/>
      <x:c r="AO227" s="3"/>
      <x:c r="AP227" s="3"/>
      <x:c r="AQ227" s="3"/>
      <x:c r="AR227" s="3"/>
      <x:c r="AS227" s="3"/>
      <x:c r="AT227" s="3"/>
      <x:c r="AU227" s="3"/>
      <x:c r="AV227" s="3"/>
      <x:c r="AW227" s="3"/>
      <x:c r="AX227" s="3"/>
      <x:c r="AY227" s="3"/>
      <x:c r="AZ227" s="3" t="str">
        <x:f>IF(AND('中古車掲載'!C228="One2car",'中古車掲載'!F228="ATTO 3",'中古車掲載'!L228="EXTENDED RANGE",'中古車掲載'!J228=2023,ISNUMBER('中古車掲載'!N228),'中古車掲載'!N228&gt;=20000,'中古車掲載'!O228&lt;=100000,'中古車掲載'!AL228=1),'中古車掲載'!U228,"")</x:f>
      </x:c>
      <x:c r="BA227" s="3" t="str">
        <x:f>IF(AND('中古車掲載'!C228="One2car",'中古車掲載'!F228="Corolla Cross",'中古車掲載'!L228="HEV PREMIUM SAFETY",'中古車掲載'!J228=2023,ISNUMBER('中古車掲載'!N228),'中古車掲載'!N228&gt;=20000,'中古車掲載'!O228&lt;=100000,'中古車掲載'!AL228=1,'中古車掲載'!Z228="https://www.one2car.com/en/cars-for-sale/toyota/corolla-cross/year-2023"),'中古車掲載'!U228,"")</x:f>
      </x:c>
      <x:c r="BB227" s="3" t="str">
        <x:f>IF(AND('中古車掲載'!C228="One2car",'中古車掲載'!F228="ATTO 3",'中古車掲載'!L228="EXTENDED RANGE",'中古車掲載'!J228=2023,ISNUMBER('中古車掲載'!N228),'中古車掲載'!N228&gt;=50000,'中古車掲載'!O228&lt;=100000,'中古車掲載'!AL228=1),'中古車掲載'!U228,"")</x:f>
      </x:c>
      <x:c r="BC227" s="3" t="str">
        <x:f>IF(AND('中古車掲載'!C228="One2car",'中古車掲載'!F228="Corolla Cross",'中古車掲載'!L228="HEV PREMIUM SAFETY",'中古車掲載'!J228=2023,ISNUMBER('中古車掲載'!N228),'中古車掲載'!N228&gt;=50000,'中古車掲載'!O228&lt;=100000,'中古車掲載'!AL228=1,'中古車掲載'!Z228="https://www.one2car.com/en/cars-for-sale/toyota/corolla-cross/year-2023"),'中古車掲載'!U228,"")</x:f>
      </x:c>
      <x:c r="BD227" s="3" t="str">
        <x:f>IF(AND('中古車掲載'!C228="One2car",'中古車掲載'!F228="ATTO 3",'中古車掲載'!L228="EXTENDED RANGE",'中古車掲載'!J228=2023,ISNUMBER('中古車掲載'!N228),'中古車掲載'!N228&gt;=20000,'中古車掲載'!O228&lt;=50000,'中古車掲載'!AL228=1),'中古車掲載'!U228,"")</x:f>
      </x:c>
      <x:c r="BE227" s="3" t="str">
        <x:f>IF(AND('中古車掲載'!C228="One2car",'中古車掲載'!F228="Corolla Cross",'中古車掲載'!L228="HEV PREMIUM SAFETY",'中古車掲載'!J228=2023,ISNUMBER('中古車掲載'!N228),'中古車掲載'!N228&gt;=20000,'中古車掲載'!O228&lt;=50000,'中古車掲載'!AL228=1,'中古車掲載'!Z228="https://www.one2car.com/en/cars-for-sale/toyota/corolla-cross/year-2023"),'中古車掲載'!U228,"")</x:f>
      </x:c>
      <x:c r="BF227" s="3" t="str">
        <x:f>IF(AND('中古車掲載'!C228="One2car",'中古車掲載'!F228="Corolla Cross",'中古車掲載'!L228="HEV PREMIUM",'中古車掲載'!J228=2023,ISNUMBER('中古車掲載'!N228),'中古車掲載'!N228&gt;=20000,'中古車掲載'!O228&lt;=100000,'中古車掲載'!AL228=1,'中古車掲載'!Z228="https://www.one2car.com/en/cars-for-sale/toyota/corolla-cross/year-2023"),'中古車掲載'!U228,"")</x:f>
      </x:c>
      <x:c r="BG227" s="3" t="str">
        <x:f>IF(AND('中古車掲載'!C228="One2car",'中古車掲載'!F228="Corolla Cross",'中古車掲載'!L228="HEV GR SPORT",'中古車掲載'!J228=2023,ISNUMBER('中古車掲載'!N228),'中古車掲載'!N228&gt;=20000,'中古車掲載'!O228&lt;=100000,'中古車掲載'!AL228=1,'中古車掲載'!Z228="https://www.one2car.com/en/cars-for-sale/toyota/corolla-cross/year-2023"),'中古車掲載'!U228,"")</x:f>
      </x:c>
      <x:c r="BH227" s="3" t="str">
        <x:f>IF(AND('中古車掲載'!C228="One2car",'中古車掲載'!F228="DOLPHIN",'中古車掲載'!L228="STANDARD RANGE",'中古車掲載'!J228=2023,ISNUMBER('中古車掲載'!N228),'中古車掲載'!N228&gt;=20000,'中古車掲載'!O228&lt;=100000,'中古車掲載'!AL228=1),'中古車掲載'!U228,"")</x:f>
      </x:c>
      <x:c r="BI227" s="3" t="str">
        <x:v>Taladrod|Corolla Altis|ICE|Unknown</x:v>
      </x:c>
      <x:c r="BJ227" s="3" t="n">
        <x:v>228</x:v>
      </x:c>
      <x:c r="BK227" s="3" t="n">
        <x:f>'中古車掲載'!AM228</x:f>
        <x:v>419000</x:v>
      </x:c>
      <x:c r="BL227" s="3" t="str">
        <x:f>IF(ISNUMBER('中古車掲載'!AN228),'中古車掲載'!AN228,"")</x:f>
      </x:c>
      <x:c r="BM227" s="3" t="str">
        <x:v>2024|Double cab</x:v>
      </x:c>
      <x:c r="BN227" s="3" t="n">
        <x:v>878</x:v>
      </x:c>
      <x:c r="BO227" s="3" t="n">
        <x:f>'中古車掲載'!AM878</x:f>
        <x:v>589000</x:v>
      </x:c>
      <x:c r="BP227" s="3" t="str">
        <x:v>2.4 ENTRY Z EDITION DOUBLE CAB</x:v>
      </x:c>
      <x:c r="BQ227" s="3"/>
      <x:c r="BR227" s="3"/>
    </x:row>
    <x:row r="228" ht="22" customHeight="1">
      <x:c r="A228" s="3"/>
      <x:c r="B228" s="3"/>
      <x:c r="C228" s="3"/>
      <x:c r="D228" s="3"/>
      <x:c r="E228" s="3"/>
      <x:c r="F228" s="3"/>
      <x:c r="G228" s="3"/>
      <x:c r="H228" s="3"/>
      <x:c r="I228" s="3"/>
      <x:c r="J228" s="3"/>
      <x:c r="K228" s="3"/>
      <x:c r="L228" s="3"/>
      <x:c r="M228" s="3"/>
      <x:c r="N228" s="3"/>
      <x:c r="O228" s="3"/>
      <x:c r="P228" s="3"/>
      <x:c r="Q228" s="3"/>
      <x:c r="R228" s="3"/>
      <x:c r="S228" s="3"/>
      <x:c r="T228" s="3"/>
      <x:c r="U228" s="3"/>
      <x:c r="V228" s="3"/>
      <x:c r="W228" s="3"/>
      <x:c r="X228" s="3"/>
      <x:c r="Y228" s="3"/>
      <x:c r="Z228" s="3"/>
      <x:c r="AA228" s="3"/>
      <x:c r="AB228" s="3"/>
      <x:c r="AC228" s="3"/>
      <x:c r="AD228" s="3"/>
      <x:c r="AE228" s="3"/>
      <x:c r="AF228" s="3"/>
      <x:c r="AG228" s="3"/>
      <x:c r="AH228" s="3"/>
      <x:c r="AI228" s="3"/>
      <x:c r="AJ228" s="3"/>
      <x:c r="AK228" s="3"/>
      <x:c r="AL228" s="3"/>
      <x:c r="AM228" s="3"/>
      <x:c r="AN228" s="3"/>
      <x:c r="AO228" s="3"/>
      <x:c r="AP228" s="3"/>
      <x:c r="AQ228" s="3"/>
      <x:c r="AR228" s="3"/>
      <x:c r="AS228" s="3"/>
      <x:c r="AT228" s="3"/>
      <x:c r="AU228" s="3"/>
      <x:c r="AV228" s="3"/>
      <x:c r="AW228" s="3"/>
      <x:c r="AX228" s="3"/>
      <x:c r="AY228" s="3"/>
      <x:c r="AZ228" s="3" t="str">
        <x:f>IF(AND('中古車掲載'!C229="One2car",'中古車掲載'!F229="ATTO 3",'中古車掲載'!L229="EXTENDED RANGE",'中古車掲載'!J229=2023,ISNUMBER('中古車掲載'!N229),'中古車掲載'!N229&gt;=20000,'中古車掲載'!O229&lt;=100000,'中古車掲載'!AL229=1),'中古車掲載'!U229,"")</x:f>
      </x:c>
      <x:c r="BA228" s="3" t="str">
        <x:f>IF(AND('中古車掲載'!C229="One2car",'中古車掲載'!F229="Corolla Cross",'中古車掲載'!L229="HEV PREMIUM SAFETY",'中古車掲載'!J229=2023,ISNUMBER('中古車掲載'!N229),'中古車掲載'!N229&gt;=20000,'中古車掲載'!O229&lt;=100000,'中古車掲載'!AL229=1,'中古車掲載'!Z229="https://www.one2car.com/en/cars-for-sale/toyota/corolla-cross/year-2023"),'中古車掲載'!U229,"")</x:f>
      </x:c>
      <x:c r="BB228" s="3" t="str">
        <x:f>IF(AND('中古車掲載'!C229="One2car",'中古車掲載'!F229="ATTO 3",'中古車掲載'!L229="EXTENDED RANGE",'中古車掲載'!J229=2023,ISNUMBER('中古車掲載'!N229),'中古車掲載'!N229&gt;=50000,'中古車掲載'!O229&lt;=100000,'中古車掲載'!AL229=1),'中古車掲載'!U229,"")</x:f>
      </x:c>
      <x:c r="BC228" s="3" t="str">
        <x:f>IF(AND('中古車掲載'!C229="One2car",'中古車掲載'!F229="Corolla Cross",'中古車掲載'!L229="HEV PREMIUM SAFETY",'中古車掲載'!J229=2023,ISNUMBER('中古車掲載'!N229),'中古車掲載'!N229&gt;=50000,'中古車掲載'!O229&lt;=100000,'中古車掲載'!AL229=1,'中古車掲載'!Z229="https://www.one2car.com/en/cars-for-sale/toyota/corolla-cross/year-2023"),'中古車掲載'!U229,"")</x:f>
      </x:c>
      <x:c r="BD228" s="3" t="str">
        <x:f>IF(AND('中古車掲載'!C229="One2car",'中古車掲載'!F229="ATTO 3",'中古車掲載'!L229="EXTENDED RANGE",'中古車掲載'!J229=2023,ISNUMBER('中古車掲載'!N229),'中古車掲載'!N229&gt;=20000,'中古車掲載'!O229&lt;=50000,'中古車掲載'!AL229=1),'中古車掲載'!U229,"")</x:f>
      </x:c>
      <x:c r="BE228" s="3" t="str">
        <x:f>IF(AND('中古車掲載'!C229="One2car",'中古車掲載'!F229="Corolla Cross",'中古車掲載'!L229="HEV PREMIUM SAFETY",'中古車掲載'!J229=2023,ISNUMBER('中古車掲載'!N229),'中古車掲載'!N229&gt;=20000,'中古車掲載'!O229&lt;=50000,'中古車掲載'!AL229=1,'中古車掲載'!Z229="https://www.one2car.com/en/cars-for-sale/toyota/corolla-cross/year-2023"),'中古車掲載'!U229,"")</x:f>
      </x:c>
      <x:c r="BF228" s="3" t="str">
        <x:f>IF(AND('中古車掲載'!C229="One2car",'中古車掲載'!F229="Corolla Cross",'中古車掲載'!L229="HEV PREMIUM",'中古車掲載'!J229=2023,ISNUMBER('中古車掲載'!N229),'中古車掲載'!N229&gt;=20000,'中古車掲載'!O229&lt;=100000,'中古車掲載'!AL229=1,'中古車掲載'!Z229="https://www.one2car.com/en/cars-for-sale/toyota/corolla-cross/year-2023"),'中古車掲載'!U229,"")</x:f>
      </x:c>
      <x:c r="BG228" s="3" t="str">
        <x:f>IF(AND('中古車掲載'!C229="One2car",'中古車掲載'!F229="Corolla Cross",'中古車掲載'!L229="HEV GR SPORT",'中古車掲載'!J229=2023,ISNUMBER('中古車掲載'!N229),'中古車掲載'!N229&gt;=20000,'中古車掲載'!O229&lt;=100000,'中古車掲載'!AL229=1,'中古車掲載'!Z229="https://www.one2car.com/en/cars-for-sale/toyota/corolla-cross/year-2023"),'中古車掲載'!U229,"")</x:f>
      </x:c>
      <x:c r="BH228" s="3" t="str">
        <x:f>IF(AND('中古車掲載'!C229="One2car",'中古車掲載'!F229="DOLPHIN",'中古車掲載'!L229="STANDARD RANGE",'中古車掲載'!J229=2023,ISNUMBER('中古車掲載'!N229),'中古車掲載'!N229&gt;=20000,'中古車掲載'!O229&lt;=100000,'中古車掲載'!AL229=1),'中古車掲載'!U229,"")</x:f>
      </x:c>
      <x:c r="BI228" s="3" t="str">
        <x:v>Taladrod|Corolla Altis|ICE|Unknown</x:v>
      </x:c>
      <x:c r="BJ228" s="3" t="n">
        <x:v>229</x:v>
      </x:c>
      <x:c r="BK228" s="3" t="n">
        <x:f>'中古車掲載'!AM229</x:f>
        <x:v>439000</x:v>
      </x:c>
      <x:c r="BL228" s="3" t="str">
        <x:f>IF(ISNUMBER('中古車掲載'!AN229),'中古車掲載'!AN229,"")</x:f>
      </x:c>
      <x:c r="BM228" s="3" t="str">
        <x:v>2024|Double cab</x:v>
      </x:c>
      <x:c r="BN228" s="3" t="n">
        <x:v>879</x:v>
      </x:c>
      <x:c r="BO228" s="3" t="n">
        <x:f>'中古車掲載'!AM879</x:f>
        <x:v>468000</x:v>
      </x:c>
      <x:c r="BP228" s="3" t="str">
        <x:v>2.4 ENTRY Z EDITION DOUBLE CAB</x:v>
      </x:c>
      <x:c r="BQ228" s="3"/>
      <x:c r="BR228" s="3"/>
    </x:row>
    <x:row r="229" ht="22" customHeight="1">
      <x:c r="A229" s="3"/>
      <x:c r="B229" s="3"/>
      <x:c r="C229" s="3"/>
      <x:c r="D229" s="3"/>
      <x:c r="E229" s="3"/>
      <x:c r="F229" s="3"/>
      <x:c r="G229" s="3"/>
      <x:c r="H229" s="3"/>
      <x:c r="I229" s="3"/>
      <x:c r="J229" s="3"/>
      <x:c r="K229" s="3"/>
      <x:c r="L229" s="3"/>
      <x:c r="M229" s="3"/>
      <x:c r="N229" s="3"/>
      <x:c r="O229" s="3"/>
      <x:c r="P229" s="3"/>
      <x:c r="Q229" s="3"/>
      <x:c r="R229" s="3"/>
      <x:c r="S229" s="3"/>
      <x:c r="T229" s="3"/>
      <x:c r="U229" s="3"/>
      <x:c r="V229" s="3"/>
      <x:c r="W229" s="3"/>
      <x:c r="X229" s="3"/>
      <x:c r="Y229" s="3"/>
      <x:c r="Z229" s="3"/>
      <x:c r="AA229" s="3"/>
      <x:c r="AB229" s="3"/>
      <x:c r="AC229" s="3"/>
      <x:c r="AD229" s="3"/>
      <x:c r="AE229" s="3"/>
      <x:c r="AF229" s="3"/>
      <x:c r="AG229" s="3"/>
      <x:c r="AH229" s="3"/>
      <x:c r="AI229" s="3"/>
      <x:c r="AJ229" s="3"/>
      <x:c r="AK229" s="3"/>
      <x:c r="AL229" s="3"/>
      <x:c r="AM229" s="3"/>
      <x:c r="AN229" s="3"/>
      <x:c r="AO229" s="3"/>
      <x:c r="AP229" s="3"/>
      <x:c r="AQ229" s="3"/>
      <x:c r="AR229" s="3"/>
      <x:c r="AS229" s="3"/>
      <x:c r="AT229" s="3"/>
      <x:c r="AU229" s="3"/>
      <x:c r="AV229" s="3"/>
      <x:c r="AW229" s="3"/>
      <x:c r="AX229" s="3"/>
      <x:c r="AY229" s="3"/>
      <x:c r="AZ229" s="3" t="str">
        <x:f>IF(AND('中古車掲載'!C230="One2car",'中古車掲載'!F230="ATTO 3",'中古車掲載'!L230="EXTENDED RANGE",'中古車掲載'!J230=2023,ISNUMBER('中古車掲載'!N230),'中古車掲載'!N230&gt;=20000,'中古車掲載'!O230&lt;=100000,'中古車掲載'!AL230=1),'中古車掲載'!U230,"")</x:f>
      </x:c>
      <x:c r="BA229" s="3" t="str">
        <x:f>IF(AND('中古車掲載'!C230="One2car",'中古車掲載'!F230="Corolla Cross",'中古車掲載'!L230="HEV PREMIUM SAFETY",'中古車掲載'!J230=2023,ISNUMBER('中古車掲載'!N230),'中古車掲載'!N230&gt;=20000,'中古車掲載'!O230&lt;=100000,'中古車掲載'!AL230=1,'中古車掲載'!Z230="https://www.one2car.com/en/cars-for-sale/toyota/corolla-cross/year-2023"),'中古車掲載'!U230,"")</x:f>
      </x:c>
      <x:c r="BB229" s="3" t="str">
        <x:f>IF(AND('中古車掲載'!C230="One2car",'中古車掲載'!F230="ATTO 3",'中古車掲載'!L230="EXTENDED RANGE",'中古車掲載'!J230=2023,ISNUMBER('中古車掲載'!N230),'中古車掲載'!N230&gt;=50000,'中古車掲載'!O230&lt;=100000,'中古車掲載'!AL230=1),'中古車掲載'!U230,"")</x:f>
      </x:c>
      <x:c r="BC229" s="3" t="str">
        <x:f>IF(AND('中古車掲載'!C230="One2car",'中古車掲載'!F230="Corolla Cross",'中古車掲載'!L230="HEV PREMIUM SAFETY",'中古車掲載'!J230=2023,ISNUMBER('中古車掲載'!N230),'中古車掲載'!N230&gt;=50000,'中古車掲載'!O230&lt;=100000,'中古車掲載'!AL230=1,'中古車掲載'!Z230="https://www.one2car.com/en/cars-for-sale/toyota/corolla-cross/year-2023"),'中古車掲載'!U230,"")</x:f>
      </x:c>
      <x:c r="BD229" s="3" t="str">
        <x:f>IF(AND('中古車掲載'!C230="One2car",'中古車掲載'!F230="ATTO 3",'中古車掲載'!L230="EXTENDED RANGE",'中古車掲載'!J230=2023,ISNUMBER('中古車掲載'!N230),'中古車掲載'!N230&gt;=20000,'中古車掲載'!O230&lt;=50000,'中古車掲載'!AL230=1),'中古車掲載'!U230,"")</x:f>
      </x:c>
      <x:c r="BE229" s="3" t="str">
        <x:f>IF(AND('中古車掲載'!C230="One2car",'中古車掲載'!F230="Corolla Cross",'中古車掲載'!L230="HEV PREMIUM SAFETY",'中古車掲載'!J230=2023,ISNUMBER('中古車掲載'!N230),'中古車掲載'!N230&gt;=20000,'中古車掲載'!O230&lt;=50000,'中古車掲載'!AL230=1,'中古車掲載'!Z230="https://www.one2car.com/en/cars-for-sale/toyota/corolla-cross/year-2023"),'中古車掲載'!U230,"")</x:f>
      </x:c>
      <x:c r="BF229" s="3" t="str">
        <x:f>IF(AND('中古車掲載'!C230="One2car",'中古車掲載'!F230="Corolla Cross",'中古車掲載'!L230="HEV PREMIUM",'中古車掲載'!J230=2023,ISNUMBER('中古車掲載'!N230),'中古車掲載'!N230&gt;=20000,'中古車掲載'!O230&lt;=100000,'中古車掲載'!AL230=1,'中古車掲載'!Z230="https://www.one2car.com/en/cars-for-sale/toyota/corolla-cross/year-2023"),'中古車掲載'!U230,"")</x:f>
      </x:c>
      <x:c r="BG229" s="3" t="str">
        <x:f>IF(AND('中古車掲載'!C230="One2car",'中古車掲載'!F230="Corolla Cross",'中古車掲載'!L230="HEV GR SPORT",'中古車掲載'!J230=2023,ISNUMBER('中古車掲載'!N230),'中古車掲載'!N230&gt;=20000,'中古車掲載'!O230&lt;=100000,'中古車掲載'!AL230=1,'中古車掲載'!Z230="https://www.one2car.com/en/cars-for-sale/toyota/corolla-cross/year-2023"),'中古車掲載'!U230,"")</x:f>
      </x:c>
      <x:c r="BH229" s="3" t="str">
        <x:f>IF(AND('中古車掲載'!C230="One2car",'中古車掲載'!F230="DOLPHIN",'中古車掲載'!L230="STANDARD RANGE",'中古車掲載'!J230=2023,ISNUMBER('中古車掲載'!N230),'中古車掲載'!N230&gt;=20000,'中古車掲載'!O230&lt;=100000,'中古車掲載'!AL230=1),'中古車掲載'!U230,"")</x:f>
      </x:c>
      <x:c r="BI229" s="3" t="str">
        <x:v>Taladrod|Corolla Altis|ICE|Unknown</x:v>
      </x:c>
      <x:c r="BJ229" s="3" t="n">
        <x:v>230</x:v>
      </x:c>
      <x:c r="BK229" s="3" t="n">
        <x:f>'中古車掲載'!AM230</x:f>
        <x:v>479000</x:v>
      </x:c>
      <x:c r="BL229" s="3" t="str">
        <x:f>IF(ISNUMBER('中古車掲載'!AN230),'中古車掲載'!AN230,"")</x:f>
      </x:c>
      <x:c r="BM229" s="3" t="str">
        <x:v>2024|Double cab</x:v>
      </x:c>
      <x:c r="BN229" s="3" t="n">
        <x:v>882</x:v>
      </x:c>
      <x:c r="BO229" s="3" t="n">
        <x:f>'中古車掲載'!AM882</x:f>
        <x:v>799000</x:v>
      </x:c>
      <x:c r="BP229" s="3" t="str">
        <x:v>2.4 HIGH PRERUNNER DOUBLE CAB</x:v>
      </x:c>
      <x:c r="BQ229" s="3"/>
      <x:c r="BR229" s="3"/>
    </x:row>
    <x:row r="230" ht="22" customHeight="1">
      <x:c r="A230" s="3"/>
      <x:c r="B230" s="3"/>
      <x:c r="C230" s="3"/>
      <x:c r="D230" s="3"/>
      <x:c r="E230" s="3"/>
      <x:c r="F230" s="3"/>
      <x:c r="G230" s="3"/>
      <x:c r="H230" s="3"/>
      <x:c r="I230" s="3"/>
      <x:c r="J230" s="3"/>
      <x:c r="K230" s="3"/>
      <x:c r="L230" s="3"/>
      <x:c r="M230" s="3"/>
      <x:c r="N230" s="3"/>
      <x:c r="O230" s="3"/>
      <x:c r="P230" s="3"/>
      <x:c r="Q230" s="3"/>
      <x:c r="R230" s="3"/>
      <x:c r="S230" s="3"/>
      <x:c r="T230" s="3"/>
      <x:c r="U230" s="3"/>
      <x:c r="V230" s="3"/>
      <x:c r="W230" s="3"/>
      <x:c r="X230" s="3"/>
      <x:c r="Y230" s="3"/>
      <x:c r="Z230" s="3"/>
      <x:c r="AA230" s="3"/>
      <x:c r="AB230" s="3"/>
      <x:c r="AC230" s="3"/>
      <x:c r="AD230" s="3"/>
      <x:c r="AE230" s="3"/>
      <x:c r="AF230" s="3"/>
      <x:c r="AG230" s="3"/>
      <x:c r="AH230" s="3"/>
      <x:c r="AI230" s="3"/>
      <x:c r="AJ230" s="3"/>
      <x:c r="AK230" s="3"/>
      <x:c r="AL230" s="3"/>
      <x:c r="AM230" s="3"/>
      <x:c r="AN230" s="3"/>
      <x:c r="AO230" s="3"/>
      <x:c r="AP230" s="3"/>
      <x:c r="AQ230" s="3"/>
      <x:c r="AR230" s="3"/>
      <x:c r="AS230" s="3"/>
      <x:c r="AT230" s="3"/>
      <x:c r="AU230" s="3"/>
      <x:c r="AV230" s="3"/>
      <x:c r="AW230" s="3"/>
      <x:c r="AX230" s="3"/>
      <x:c r="AY230" s="3"/>
      <x:c r="AZ230" s="3" t="str">
        <x:f>IF(AND('中古車掲載'!C231="One2car",'中古車掲載'!F231="ATTO 3",'中古車掲載'!L231="EXTENDED RANGE",'中古車掲載'!J231=2023,ISNUMBER('中古車掲載'!N231),'中古車掲載'!N231&gt;=20000,'中古車掲載'!O231&lt;=100000,'中古車掲載'!AL231=1),'中古車掲載'!U231,"")</x:f>
      </x:c>
      <x:c r="BA230" s="3" t="str">
        <x:f>IF(AND('中古車掲載'!C231="One2car",'中古車掲載'!F231="Corolla Cross",'中古車掲載'!L231="HEV PREMIUM SAFETY",'中古車掲載'!J231=2023,ISNUMBER('中古車掲載'!N231),'中古車掲載'!N231&gt;=20000,'中古車掲載'!O231&lt;=100000,'中古車掲載'!AL231=1,'中古車掲載'!Z231="https://www.one2car.com/en/cars-for-sale/toyota/corolla-cross/year-2023"),'中古車掲載'!U231,"")</x:f>
      </x:c>
      <x:c r="BB230" s="3" t="str">
        <x:f>IF(AND('中古車掲載'!C231="One2car",'中古車掲載'!F231="ATTO 3",'中古車掲載'!L231="EXTENDED RANGE",'中古車掲載'!J231=2023,ISNUMBER('中古車掲載'!N231),'中古車掲載'!N231&gt;=50000,'中古車掲載'!O231&lt;=100000,'中古車掲載'!AL231=1),'中古車掲載'!U231,"")</x:f>
      </x:c>
      <x:c r="BC230" s="3" t="str">
        <x:f>IF(AND('中古車掲載'!C231="One2car",'中古車掲載'!F231="Corolla Cross",'中古車掲載'!L231="HEV PREMIUM SAFETY",'中古車掲載'!J231=2023,ISNUMBER('中古車掲載'!N231),'中古車掲載'!N231&gt;=50000,'中古車掲載'!O231&lt;=100000,'中古車掲載'!AL231=1,'中古車掲載'!Z231="https://www.one2car.com/en/cars-for-sale/toyota/corolla-cross/year-2023"),'中古車掲載'!U231,"")</x:f>
      </x:c>
      <x:c r="BD230" s="3" t="str">
        <x:f>IF(AND('中古車掲載'!C231="One2car",'中古車掲載'!F231="ATTO 3",'中古車掲載'!L231="EXTENDED RANGE",'中古車掲載'!J231=2023,ISNUMBER('中古車掲載'!N231),'中古車掲載'!N231&gt;=20000,'中古車掲載'!O231&lt;=50000,'中古車掲載'!AL231=1),'中古車掲載'!U231,"")</x:f>
      </x:c>
      <x:c r="BE230" s="3" t="str">
        <x:f>IF(AND('中古車掲載'!C231="One2car",'中古車掲載'!F231="Corolla Cross",'中古車掲載'!L231="HEV PREMIUM SAFETY",'中古車掲載'!J231=2023,ISNUMBER('中古車掲載'!N231),'中古車掲載'!N231&gt;=20000,'中古車掲載'!O231&lt;=50000,'中古車掲載'!AL231=1,'中古車掲載'!Z231="https://www.one2car.com/en/cars-for-sale/toyota/corolla-cross/year-2023"),'中古車掲載'!U231,"")</x:f>
      </x:c>
      <x:c r="BF230" s="3" t="str">
        <x:f>IF(AND('中古車掲載'!C231="One2car",'中古車掲載'!F231="Corolla Cross",'中古車掲載'!L231="HEV PREMIUM",'中古車掲載'!J231=2023,ISNUMBER('中古車掲載'!N231),'中古車掲載'!N231&gt;=20000,'中古車掲載'!O231&lt;=100000,'中古車掲載'!AL231=1,'中古車掲載'!Z231="https://www.one2car.com/en/cars-for-sale/toyota/corolla-cross/year-2023"),'中古車掲載'!U231,"")</x:f>
      </x:c>
      <x:c r="BG230" s="3" t="str">
        <x:f>IF(AND('中古車掲載'!C231="One2car",'中古車掲載'!F231="Corolla Cross",'中古車掲載'!L231="HEV GR SPORT",'中古車掲載'!J231=2023,ISNUMBER('中古車掲載'!N231),'中古車掲載'!N231&gt;=20000,'中古車掲載'!O231&lt;=100000,'中古車掲載'!AL231=1,'中古車掲載'!Z231="https://www.one2car.com/en/cars-for-sale/toyota/corolla-cross/year-2023"),'中古車掲載'!U231,"")</x:f>
      </x:c>
      <x:c r="BH230" s="3" t="str">
        <x:f>IF(AND('中古車掲載'!C231="One2car",'中古車掲載'!F231="DOLPHIN",'中古車掲載'!L231="STANDARD RANGE",'中古車掲載'!J231=2023,ISNUMBER('中古車掲載'!N231),'中古車掲載'!N231&gt;=20000,'中古車掲載'!O231&lt;=100000,'中古車掲載'!AL231=1),'中古車掲載'!U231,"")</x:f>
      </x:c>
      <x:c r="BI230" s="3" t="str">
        <x:v>Taladrod|Corolla Altis|ICE|Unknown</x:v>
      </x:c>
      <x:c r="BJ230" s="3" t="n">
        <x:v>231</x:v>
      </x:c>
      <x:c r="BK230" s="3" t="n">
        <x:f>'中古車掲載'!AM231</x:f>
        <x:v>555000</x:v>
      </x:c>
      <x:c r="BL230" s="3" t="str">
        <x:f>IF(ISNUMBER('中古車掲載'!AN231),'中古車掲載'!AN231,"")</x:f>
      </x:c>
      <x:c r="BM230" s="3" t="str">
        <x:v>2024|Double cab</x:v>
      </x:c>
      <x:c r="BN230" s="3" t="n">
        <x:v>883</x:v>
      </x:c>
      <x:c r="BO230" s="3" t="n">
        <x:f>'中古車掲載'!AM883</x:f>
        <x:v>719000</x:v>
      </x:c>
      <x:c r="BP230" s="3" t="str">
        <x:v>2.4 MID PRERUNNER DOUBLE CAB</x:v>
      </x:c>
      <x:c r="BQ230" s="3"/>
      <x:c r="BR230" s="3"/>
    </x:row>
    <x:row r="231" ht="22" customHeight="1">
      <x:c r="A231" s="3"/>
      <x:c r="B231" s="3"/>
      <x:c r="C231" s="3"/>
      <x:c r="D231" s="3"/>
      <x:c r="E231" s="3"/>
      <x:c r="F231" s="3"/>
      <x:c r="G231" s="3"/>
      <x:c r="H231" s="3"/>
      <x:c r="I231" s="3"/>
      <x:c r="J231" s="3"/>
      <x:c r="K231" s="3"/>
      <x:c r="L231" s="3"/>
      <x:c r="M231" s="3"/>
      <x:c r="N231" s="3"/>
      <x:c r="O231" s="3"/>
      <x:c r="P231" s="3"/>
      <x:c r="Q231" s="3"/>
      <x:c r="R231" s="3"/>
      <x:c r="S231" s="3"/>
      <x:c r="T231" s="3"/>
      <x:c r="U231" s="3"/>
      <x:c r="V231" s="3"/>
      <x:c r="W231" s="3"/>
      <x:c r="X231" s="3"/>
      <x:c r="Y231" s="3"/>
      <x:c r="Z231" s="3"/>
      <x:c r="AA231" s="3"/>
      <x:c r="AB231" s="3"/>
      <x:c r="AC231" s="3"/>
      <x:c r="AD231" s="3"/>
      <x:c r="AE231" s="3"/>
      <x:c r="AF231" s="3"/>
      <x:c r="AG231" s="3"/>
      <x:c r="AH231" s="3"/>
      <x:c r="AI231" s="3"/>
      <x:c r="AJ231" s="3"/>
      <x:c r="AK231" s="3"/>
      <x:c r="AL231" s="3"/>
      <x:c r="AM231" s="3"/>
      <x:c r="AN231" s="3"/>
      <x:c r="AO231" s="3"/>
      <x:c r="AP231" s="3"/>
      <x:c r="AQ231" s="3"/>
      <x:c r="AR231" s="3"/>
      <x:c r="AS231" s="3"/>
      <x:c r="AT231" s="3"/>
      <x:c r="AU231" s="3"/>
      <x:c r="AV231" s="3"/>
      <x:c r="AW231" s="3"/>
      <x:c r="AX231" s="3"/>
      <x:c r="AY231" s="3"/>
      <x:c r="AZ231" s="3" t="str">
        <x:f>IF(AND('中古車掲載'!C232="One2car",'中古車掲載'!F232="ATTO 3",'中古車掲載'!L232="EXTENDED RANGE",'中古車掲載'!J232=2023,ISNUMBER('中古車掲載'!N232),'中古車掲載'!N232&gt;=20000,'中古車掲載'!O232&lt;=100000,'中古車掲載'!AL232=1),'中古車掲載'!U232,"")</x:f>
      </x:c>
      <x:c r="BA231" s="3" t="str">
        <x:f>IF(AND('中古車掲載'!C232="One2car",'中古車掲載'!F232="Corolla Cross",'中古車掲載'!L232="HEV PREMIUM SAFETY",'中古車掲載'!J232=2023,ISNUMBER('中古車掲載'!N232),'中古車掲載'!N232&gt;=20000,'中古車掲載'!O232&lt;=100000,'中古車掲載'!AL232=1,'中古車掲載'!Z232="https://www.one2car.com/en/cars-for-sale/toyota/corolla-cross/year-2023"),'中古車掲載'!U232,"")</x:f>
      </x:c>
      <x:c r="BB231" s="3" t="str">
        <x:f>IF(AND('中古車掲載'!C232="One2car",'中古車掲載'!F232="ATTO 3",'中古車掲載'!L232="EXTENDED RANGE",'中古車掲載'!J232=2023,ISNUMBER('中古車掲載'!N232),'中古車掲載'!N232&gt;=50000,'中古車掲載'!O232&lt;=100000,'中古車掲載'!AL232=1),'中古車掲載'!U232,"")</x:f>
      </x:c>
      <x:c r="BC231" s="3" t="str">
        <x:f>IF(AND('中古車掲載'!C232="One2car",'中古車掲載'!F232="Corolla Cross",'中古車掲載'!L232="HEV PREMIUM SAFETY",'中古車掲載'!J232=2023,ISNUMBER('中古車掲載'!N232),'中古車掲載'!N232&gt;=50000,'中古車掲載'!O232&lt;=100000,'中古車掲載'!AL232=1,'中古車掲載'!Z232="https://www.one2car.com/en/cars-for-sale/toyota/corolla-cross/year-2023"),'中古車掲載'!U232,"")</x:f>
      </x:c>
      <x:c r="BD231" s="3" t="str">
        <x:f>IF(AND('中古車掲載'!C232="One2car",'中古車掲載'!F232="ATTO 3",'中古車掲載'!L232="EXTENDED RANGE",'中古車掲載'!J232=2023,ISNUMBER('中古車掲載'!N232),'中古車掲載'!N232&gt;=20000,'中古車掲載'!O232&lt;=50000,'中古車掲載'!AL232=1),'中古車掲載'!U232,"")</x:f>
      </x:c>
      <x:c r="BE231" s="3" t="str">
        <x:f>IF(AND('中古車掲載'!C232="One2car",'中古車掲載'!F232="Corolla Cross",'中古車掲載'!L232="HEV PREMIUM SAFETY",'中古車掲載'!J232=2023,ISNUMBER('中古車掲載'!N232),'中古車掲載'!N232&gt;=20000,'中古車掲載'!O232&lt;=50000,'中古車掲載'!AL232=1,'中古車掲載'!Z232="https://www.one2car.com/en/cars-for-sale/toyota/corolla-cross/year-2023"),'中古車掲載'!U232,"")</x:f>
      </x:c>
      <x:c r="BF231" s="3" t="str">
        <x:f>IF(AND('中古車掲載'!C232="One2car",'中古車掲載'!F232="Corolla Cross",'中古車掲載'!L232="HEV PREMIUM",'中古車掲載'!J232=2023,ISNUMBER('中古車掲載'!N232),'中古車掲載'!N232&gt;=20000,'中古車掲載'!O232&lt;=100000,'中古車掲載'!AL232=1,'中古車掲載'!Z232="https://www.one2car.com/en/cars-for-sale/toyota/corolla-cross/year-2023"),'中古車掲載'!U232,"")</x:f>
      </x:c>
      <x:c r="BG231" s="3" t="str">
        <x:f>IF(AND('中古車掲載'!C232="One2car",'中古車掲載'!F232="Corolla Cross",'中古車掲載'!L232="HEV GR SPORT",'中古車掲載'!J232=2023,ISNUMBER('中古車掲載'!N232),'中古車掲載'!N232&gt;=20000,'中古車掲載'!O232&lt;=100000,'中古車掲載'!AL232=1,'中古車掲載'!Z232="https://www.one2car.com/en/cars-for-sale/toyota/corolla-cross/year-2023"),'中古車掲載'!U232,"")</x:f>
      </x:c>
      <x:c r="BH231" s="3" t="str">
        <x:f>IF(AND('中古車掲載'!C232="One2car",'中古車掲載'!F232="DOLPHIN",'中古車掲載'!L232="STANDARD RANGE",'中古車掲載'!J232=2023,ISNUMBER('中古車掲載'!N232),'中古車掲載'!N232&gt;=20000,'中古車掲載'!O232&lt;=100000,'中古車掲載'!AL232=1),'中古車掲載'!U232,"")</x:f>
      </x:c>
      <x:c r="BI231" s="3" t="str">
        <x:v>Taladrod|Corolla Altis|ICE|Unknown</x:v>
      </x:c>
      <x:c r="BJ231" s="3" t="n">
        <x:v>232</x:v>
      </x:c>
      <x:c r="BK231" s="3" t="n">
        <x:f>'中古車掲載'!AM232</x:f>
        <x:v>478000</x:v>
      </x:c>
      <x:c r="BL231" s="3" t="str">
        <x:f>IF(ISNUMBER('中古車掲載'!AN232),'中古車掲載'!AN232,"")</x:f>
      </x:c>
      <x:c r="BM231" s="3" t="str">
        <x:v>2024|Double cab</x:v>
      </x:c>
      <x:c r="BN231" s="3" t="n">
        <x:v>884</x:v>
      </x:c>
      <x:c r="BO231" s="3" t="n">
        <x:f>'中古車掲載'!AM884</x:f>
        <x:v>755000</x:v>
      </x:c>
      <x:c r="BP231" s="3" t="str">
        <x:v>2.4 MID PRERUNNER DOUBLE CAB</x:v>
      </x:c>
      <x:c r="BQ231" s="3"/>
      <x:c r="BR231" s="3"/>
    </x:row>
    <x:row r="232" ht="22" customHeight="1">
      <x:c r="A232" s="3"/>
      <x:c r="B232" s="3"/>
      <x:c r="C232" s="3"/>
      <x:c r="D232" s="3"/>
      <x:c r="E232" s="3"/>
      <x:c r="F232" s="3"/>
      <x:c r="G232" s="3"/>
      <x:c r="H232" s="3"/>
      <x:c r="I232" s="3"/>
      <x:c r="J232" s="3"/>
      <x:c r="K232" s="3"/>
      <x:c r="L232" s="3"/>
      <x:c r="M232" s="3"/>
      <x:c r="N232" s="3"/>
      <x:c r="O232" s="3"/>
      <x:c r="P232" s="3"/>
      <x:c r="Q232" s="3"/>
      <x:c r="R232" s="3"/>
      <x:c r="S232" s="3"/>
      <x:c r="T232" s="3"/>
      <x:c r="U232" s="3"/>
      <x:c r="V232" s="3"/>
      <x:c r="W232" s="3"/>
      <x:c r="X232" s="3"/>
      <x:c r="Y232" s="3"/>
      <x:c r="Z232" s="3"/>
      <x:c r="AA232" s="3"/>
      <x:c r="AB232" s="3"/>
      <x:c r="AC232" s="3"/>
      <x:c r="AD232" s="3"/>
      <x:c r="AE232" s="3"/>
      <x:c r="AF232" s="3"/>
      <x:c r="AG232" s="3"/>
      <x:c r="AH232" s="3"/>
      <x:c r="AI232" s="3"/>
      <x:c r="AJ232" s="3"/>
      <x:c r="AK232" s="3"/>
      <x:c r="AL232" s="3"/>
      <x:c r="AM232" s="3"/>
      <x:c r="AN232" s="3"/>
      <x:c r="AO232" s="3"/>
      <x:c r="AP232" s="3"/>
      <x:c r="AQ232" s="3"/>
      <x:c r="AR232" s="3"/>
      <x:c r="AS232" s="3"/>
      <x:c r="AT232" s="3"/>
      <x:c r="AU232" s="3"/>
      <x:c r="AV232" s="3"/>
      <x:c r="AW232" s="3"/>
      <x:c r="AX232" s="3"/>
      <x:c r="AY232" s="3"/>
      <x:c r="AZ232" s="3" t="str">
        <x:f>IF(AND('中古車掲載'!C233="One2car",'中古車掲載'!F233="ATTO 3",'中古車掲載'!L233="EXTENDED RANGE",'中古車掲載'!J233=2023,ISNUMBER('中古車掲載'!N233),'中古車掲載'!N233&gt;=20000,'中古車掲載'!O233&lt;=100000,'中古車掲載'!AL233=1),'中古車掲載'!U233,"")</x:f>
      </x:c>
      <x:c r="BA232" s="3" t="str">
        <x:f>IF(AND('中古車掲載'!C233="One2car",'中古車掲載'!F233="Corolla Cross",'中古車掲載'!L233="HEV PREMIUM SAFETY",'中古車掲載'!J233=2023,ISNUMBER('中古車掲載'!N233),'中古車掲載'!N233&gt;=20000,'中古車掲載'!O233&lt;=100000,'中古車掲載'!AL233=1,'中古車掲載'!Z233="https://www.one2car.com/en/cars-for-sale/toyota/corolla-cross/year-2023"),'中古車掲載'!U233,"")</x:f>
      </x:c>
      <x:c r="BB232" s="3" t="str">
        <x:f>IF(AND('中古車掲載'!C233="One2car",'中古車掲載'!F233="ATTO 3",'中古車掲載'!L233="EXTENDED RANGE",'中古車掲載'!J233=2023,ISNUMBER('中古車掲載'!N233),'中古車掲載'!N233&gt;=50000,'中古車掲載'!O233&lt;=100000,'中古車掲載'!AL233=1),'中古車掲載'!U233,"")</x:f>
      </x:c>
      <x:c r="BC232" s="3" t="str">
        <x:f>IF(AND('中古車掲載'!C233="One2car",'中古車掲載'!F233="Corolla Cross",'中古車掲載'!L233="HEV PREMIUM SAFETY",'中古車掲載'!J233=2023,ISNUMBER('中古車掲載'!N233),'中古車掲載'!N233&gt;=50000,'中古車掲載'!O233&lt;=100000,'中古車掲載'!AL233=1,'中古車掲載'!Z233="https://www.one2car.com/en/cars-for-sale/toyota/corolla-cross/year-2023"),'中古車掲載'!U233,"")</x:f>
      </x:c>
      <x:c r="BD232" s="3" t="str">
        <x:f>IF(AND('中古車掲載'!C233="One2car",'中古車掲載'!F233="ATTO 3",'中古車掲載'!L233="EXTENDED RANGE",'中古車掲載'!J233=2023,ISNUMBER('中古車掲載'!N233),'中古車掲載'!N233&gt;=20000,'中古車掲載'!O233&lt;=50000,'中古車掲載'!AL233=1),'中古車掲載'!U233,"")</x:f>
      </x:c>
      <x:c r="BE232" s="3" t="str">
        <x:f>IF(AND('中古車掲載'!C233="One2car",'中古車掲載'!F233="Corolla Cross",'中古車掲載'!L233="HEV PREMIUM SAFETY",'中古車掲載'!J233=2023,ISNUMBER('中古車掲載'!N233),'中古車掲載'!N233&gt;=20000,'中古車掲載'!O233&lt;=50000,'中古車掲載'!AL233=1,'中古車掲載'!Z233="https://www.one2car.com/en/cars-for-sale/toyota/corolla-cross/year-2023"),'中古車掲載'!U233,"")</x:f>
      </x:c>
      <x:c r="BF232" s="3" t="str">
        <x:f>IF(AND('中古車掲載'!C233="One2car",'中古車掲載'!F233="Corolla Cross",'中古車掲載'!L233="HEV PREMIUM",'中古車掲載'!J233=2023,ISNUMBER('中古車掲載'!N233),'中古車掲載'!N233&gt;=20000,'中古車掲載'!O233&lt;=100000,'中古車掲載'!AL233=1,'中古車掲載'!Z233="https://www.one2car.com/en/cars-for-sale/toyota/corolla-cross/year-2023"),'中古車掲載'!U233,"")</x:f>
      </x:c>
      <x:c r="BG232" s="3" t="str">
        <x:f>IF(AND('中古車掲載'!C233="One2car",'中古車掲載'!F233="Corolla Cross",'中古車掲載'!L233="HEV GR SPORT",'中古車掲載'!J233=2023,ISNUMBER('中古車掲載'!N233),'中古車掲載'!N233&gt;=20000,'中古車掲載'!O233&lt;=100000,'中古車掲載'!AL233=1,'中古車掲載'!Z233="https://www.one2car.com/en/cars-for-sale/toyota/corolla-cross/year-2023"),'中古車掲載'!U233,"")</x:f>
      </x:c>
      <x:c r="BH232" s="3" t="str">
        <x:f>IF(AND('中古車掲載'!C233="One2car",'中古車掲載'!F233="DOLPHIN",'中古車掲載'!L233="STANDARD RANGE",'中古車掲載'!J233=2023,ISNUMBER('中古車掲載'!N233),'中古車掲載'!N233&gt;=20000,'中古車掲載'!O233&lt;=100000,'中古車掲載'!AL233=1),'中古車掲載'!U233,"")</x:f>
      </x:c>
      <x:c r="BI232" s="3" t="str">
        <x:v>Taladrod|Corolla Altis|ICE|Unknown</x:v>
      </x:c>
      <x:c r="BJ232" s="3" t="n">
        <x:v>233</x:v>
      </x:c>
      <x:c r="BK232" s="3" t="n">
        <x:f>'中古車掲載'!AM233</x:f>
        <x:v>499000</x:v>
      </x:c>
      <x:c r="BL232" s="3" t="str">
        <x:f>IF(ISNUMBER('中古車掲載'!AN233),'中古車掲載'!AN233,"")</x:f>
      </x:c>
      <x:c r="BM232" s="3" t="str">
        <x:v>2024|Double cab</x:v>
      </x:c>
      <x:c r="BN232" s="3" t="n">
        <x:v>885</x:v>
      </x:c>
      <x:c r="BO232" s="3" t="n">
        <x:f>'中古車掲載'!AM885</x:f>
        <x:v>739000</x:v>
      </x:c>
      <x:c r="BP232" s="3" t="str">
        <x:v>2.4 MID PRERUNNER DOUBLE CAB</x:v>
      </x:c>
      <x:c r="BQ232" s="3"/>
      <x:c r="BR232" s="3"/>
    </x:row>
    <x:row r="233" ht="22" customHeight="1">
      <x:c r="A233" s="3"/>
      <x:c r="B233" s="3"/>
      <x:c r="C233" s="3"/>
      <x:c r="D233" s="3"/>
      <x:c r="E233" s="3"/>
      <x:c r="F233" s="3"/>
      <x:c r="G233" s="3"/>
      <x:c r="H233" s="3"/>
      <x:c r="I233" s="3"/>
      <x:c r="J233" s="3"/>
      <x:c r="K233" s="3"/>
      <x:c r="L233" s="3"/>
      <x:c r="M233" s="3"/>
      <x:c r="N233" s="3"/>
      <x:c r="O233" s="3"/>
      <x:c r="P233" s="3"/>
      <x:c r="Q233" s="3"/>
      <x:c r="R233" s="3"/>
      <x:c r="S233" s="3"/>
      <x:c r="T233" s="3"/>
      <x:c r="U233" s="3"/>
      <x:c r="V233" s="3"/>
      <x:c r="W233" s="3"/>
      <x:c r="X233" s="3"/>
      <x:c r="Y233" s="3"/>
      <x:c r="Z233" s="3"/>
      <x:c r="AA233" s="3"/>
      <x:c r="AB233" s="3"/>
      <x:c r="AC233" s="3"/>
      <x:c r="AD233" s="3"/>
      <x:c r="AE233" s="3"/>
      <x:c r="AF233" s="3"/>
      <x:c r="AG233" s="3"/>
      <x:c r="AH233" s="3"/>
      <x:c r="AI233" s="3"/>
      <x:c r="AJ233" s="3"/>
      <x:c r="AK233" s="3"/>
      <x:c r="AL233" s="3"/>
      <x:c r="AM233" s="3"/>
      <x:c r="AN233" s="3"/>
      <x:c r="AO233" s="3"/>
      <x:c r="AP233" s="3"/>
      <x:c r="AQ233" s="3"/>
      <x:c r="AR233" s="3"/>
      <x:c r="AS233" s="3"/>
      <x:c r="AT233" s="3"/>
      <x:c r="AU233" s="3"/>
      <x:c r="AV233" s="3"/>
      <x:c r="AW233" s="3"/>
      <x:c r="AX233" s="3"/>
      <x:c r="AY233" s="3"/>
      <x:c r="AZ233" s="3" t="str">
        <x:f>IF(AND('中古車掲載'!C234="One2car",'中古車掲載'!F234="ATTO 3",'中古車掲載'!L234="EXTENDED RANGE",'中古車掲載'!J234=2023,ISNUMBER('中古車掲載'!N234),'中古車掲載'!N234&gt;=20000,'中古車掲載'!O234&lt;=100000,'中古車掲載'!AL234=1),'中古車掲載'!U234,"")</x:f>
      </x:c>
      <x:c r="BA233" s="3" t="str">
        <x:f>IF(AND('中古車掲載'!C234="One2car",'中古車掲載'!F234="Corolla Cross",'中古車掲載'!L234="HEV PREMIUM SAFETY",'中古車掲載'!J234=2023,ISNUMBER('中古車掲載'!N234),'中古車掲載'!N234&gt;=20000,'中古車掲載'!O234&lt;=100000,'中古車掲載'!AL234=1,'中古車掲載'!Z234="https://www.one2car.com/en/cars-for-sale/toyota/corolla-cross/year-2023"),'中古車掲載'!U234,"")</x:f>
      </x:c>
      <x:c r="BB233" s="3" t="str">
        <x:f>IF(AND('中古車掲載'!C234="One2car",'中古車掲載'!F234="ATTO 3",'中古車掲載'!L234="EXTENDED RANGE",'中古車掲載'!J234=2023,ISNUMBER('中古車掲載'!N234),'中古車掲載'!N234&gt;=50000,'中古車掲載'!O234&lt;=100000,'中古車掲載'!AL234=1),'中古車掲載'!U234,"")</x:f>
      </x:c>
      <x:c r="BC233" s="3" t="str">
        <x:f>IF(AND('中古車掲載'!C234="One2car",'中古車掲載'!F234="Corolla Cross",'中古車掲載'!L234="HEV PREMIUM SAFETY",'中古車掲載'!J234=2023,ISNUMBER('中古車掲載'!N234),'中古車掲載'!N234&gt;=50000,'中古車掲載'!O234&lt;=100000,'中古車掲載'!AL234=1,'中古車掲載'!Z234="https://www.one2car.com/en/cars-for-sale/toyota/corolla-cross/year-2023"),'中古車掲載'!U234,"")</x:f>
      </x:c>
      <x:c r="BD233" s="3" t="str">
        <x:f>IF(AND('中古車掲載'!C234="One2car",'中古車掲載'!F234="ATTO 3",'中古車掲載'!L234="EXTENDED RANGE",'中古車掲載'!J234=2023,ISNUMBER('中古車掲載'!N234),'中古車掲載'!N234&gt;=20000,'中古車掲載'!O234&lt;=50000,'中古車掲載'!AL234=1),'中古車掲載'!U234,"")</x:f>
      </x:c>
      <x:c r="BE233" s="3" t="str">
        <x:f>IF(AND('中古車掲載'!C234="One2car",'中古車掲載'!F234="Corolla Cross",'中古車掲載'!L234="HEV PREMIUM SAFETY",'中古車掲載'!J234=2023,ISNUMBER('中古車掲載'!N234),'中古車掲載'!N234&gt;=20000,'中古車掲載'!O234&lt;=50000,'中古車掲載'!AL234=1,'中古車掲載'!Z234="https://www.one2car.com/en/cars-for-sale/toyota/corolla-cross/year-2023"),'中古車掲載'!U234,"")</x:f>
      </x:c>
      <x:c r="BF233" s="3" t="str">
        <x:f>IF(AND('中古車掲載'!C234="One2car",'中古車掲載'!F234="Corolla Cross",'中古車掲載'!L234="HEV PREMIUM",'中古車掲載'!J234=2023,ISNUMBER('中古車掲載'!N234),'中古車掲載'!N234&gt;=20000,'中古車掲載'!O234&lt;=100000,'中古車掲載'!AL234=1,'中古車掲載'!Z234="https://www.one2car.com/en/cars-for-sale/toyota/corolla-cross/year-2023"),'中古車掲載'!U234,"")</x:f>
      </x:c>
      <x:c r="BG233" s="3" t="str">
        <x:f>IF(AND('中古車掲載'!C234="One2car",'中古車掲載'!F234="Corolla Cross",'中古車掲載'!L234="HEV GR SPORT",'中古車掲載'!J234=2023,ISNUMBER('中古車掲載'!N234),'中古車掲載'!N234&gt;=20000,'中古車掲載'!O234&lt;=100000,'中古車掲載'!AL234=1,'中古車掲載'!Z234="https://www.one2car.com/en/cars-for-sale/toyota/corolla-cross/year-2023"),'中古車掲載'!U234,"")</x:f>
      </x:c>
      <x:c r="BH233" s="3" t="str">
        <x:f>IF(AND('中古車掲載'!C234="One2car",'中古車掲載'!F234="DOLPHIN",'中古車掲載'!L234="STANDARD RANGE",'中古車掲載'!J234=2023,ISNUMBER('中古車掲載'!N234),'中古車掲載'!N234&gt;=20000,'中古車掲載'!O234&lt;=100000,'中古車掲載'!AL234=1),'中古車掲載'!U234,"")</x:f>
      </x:c>
      <x:c r="BI233" s="3" t="str">
        <x:v>Taladrod|Corolla Altis|ICE|Unknown</x:v>
      </x:c>
      <x:c r="BJ233" s="3" t="n">
        <x:v>234</x:v>
      </x:c>
      <x:c r="BK233" s="3" t="n">
        <x:f>'中古車掲載'!AM234</x:f>
        <x:v>460000</x:v>
      </x:c>
      <x:c r="BL233" s="3" t="str">
        <x:f>IF(ISNUMBER('中古車掲載'!AN234),'中古車掲載'!AN234,"")</x:f>
      </x:c>
      <x:c r="BM233" s="3" t="str">
        <x:v>2024|Double cab</x:v>
      </x:c>
      <x:c r="BN233" s="3" t="n">
        <x:v>886</x:v>
      </x:c>
      <x:c r="BO233" s="3" t="n">
        <x:f>'中古車掲載'!AM886</x:f>
        <x:v>659000</x:v>
      </x:c>
      <x:c r="BP233" s="3" t="str">
        <x:v>2.4 MID PRERUNNER DOUBLE CAB</x:v>
      </x:c>
      <x:c r="BQ233" s="3"/>
      <x:c r="BR233" s="3"/>
    </x:row>
    <x:row r="234" ht="22" customHeight="1">
      <x:c r="A234" s="3"/>
      <x:c r="B234" s="3"/>
      <x:c r="C234" s="3"/>
      <x:c r="D234" s="3"/>
      <x:c r="E234" s="3"/>
      <x:c r="F234" s="3"/>
      <x:c r="G234" s="3"/>
      <x:c r="H234" s="3"/>
      <x:c r="I234" s="3"/>
      <x:c r="J234" s="3"/>
      <x:c r="K234" s="3"/>
      <x:c r="L234" s="3"/>
      <x:c r="M234" s="3"/>
      <x:c r="N234" s="3"/>
      <x:c r="O234" s="3"/>
      <x:c r="P234" s="3"/>
      <x:c r="Q234" s="3"/>
      <x:c r="R234" s="3"/>
      <x:c r="S234" s="3"/>
      <x:c r="T234" s="3"/>
      <x:c r="U234" s="3"/>
      <x:c r="V234" s="3"/>
      <x:c r="W234" s="3"/>
      <x:c r="X234" s="3"/>
      <x:c r="Y234" s="3"/>
      <x:c r="Z234" s="3"/>
      <x:c r="AA234" s="3"/>
      <x:c r="AB234" s="3"/>
      <x:c r="AC234" s="3"/>
      <x:c r="AD234" s="3"/>
      <x:c r="AE234" s="3"/>
      <x:c r="AF234" s="3"/>
      <x:c r="AG234" s="3"/>
      <x:c r="AH234" s="3"/>
      <x:c r="AI234" s="3"/>
      <x:c r="AJ234" s="3"/>
      <x:c r="AK234" s="3"/>
      <x:c r="AL234" s="3"/>
      <x:c r="AM234" s="3"/>
      <x:c r="AN234" s="3"/>
      <x:c r="AO234" s="3"/>
      <x:c r="AP234" s="3"/>
      <x:c r="AQ234" s="3"/>
      <x:c r="AR234" s="3"/>
      <x:c r="AS234" s="3"/>
      <x:c r="AT234" s="3"/>
      <x:c r="AU234" s="3"/>
      <x:c r="AV234" s="3"/>
      <x:c r="AW234" s="3"/>
      <x:c r="AX234" s="3"/>
      <x:c r="AY234" s="3"/>
      <x:c r="AZ234" s="3" t="str">
        <x:f>IF(AND('中古車掲載'!C235="One2car",'中古車掲載'!F235="ATTO 3",'中古車掲載'!L235="EXTENDED RANGE",'中古車掲載'!J235=2023,ISNUMBER('中古車掲載'!N235),'中古車掲載'!N235&gt;=20000,'中古車掲載'!O235&lt;=100000,'中古車掲載'!AL235=1),'中古車掲載'!U235,"")</x:f>
      </x:c>
      <x:c r="BA234" s="3" t="str">
        <x:f>IF(AND('中古車掲載'!C235="One2car",'中古車掲載'!F235="Corolla Cross",'中古車掲載'!L235="HEV PREMIUM SAFETY",'中古車掲載'!J235=2023,ISNUMBER('中古車掲載'!N235),'中古車掲載'!N235&gt;=20000,'中古車掲載'!O235&lt;=100000,'中古車掲載'!AL235=1,'中古車掲載'!Z235="https://www.one2car.com/en/cars-for-sale/toyota/corolla-cross/year-2023"),'中古車掲載'!U235,"")</x:f>
      </x:c>
      <x:c r="BB234" s="3" t="str">
        <x:f>IF(AND('中古車掲載'!C235="One2car",'中古車掲載'!F235="ATTO 3",'中古車掲載'!L235="EXTENDED RANGE",'中古車掲載'!J235=2023,ISNUMBER('中古車掲載'!N235),'中古車掲載'!N235&gt;=50000,'中古車掲載'!O235&lt;=100000,'中古車掲載'!AL235=1),'中古車掲載'!U235,"")</x:f>
      </x:c>
      <x:c r="BC234" s="3" t="str">
        <x:f>IF(AND('中古車掲載'!C235="One2car",'中古車掲載'!F235="Corolla Cross",'中古車掲載'!L235="HEV PREMIUM SAFETY",'中古車掲載'!J235=2023,ISNUMBER('中古車掲載'!N235),'中古車掲載'!N235&gt;=50000,'中古車掲載'!O235&lt;=100000,'中古車掲載'!AL235=1,'中古車掲載'!Z235="https://www.one2car.com/en/cars-for-sale/toyota/corolla-cross/year-2023"),'中古車掲載'!U235,"")</x:f>
      </x:c>
      <x:c r="BD234" s="3" t="str">
        <x:f>IF(AND('中古車掲載'!C235="One2car",'中古車掲載'!F235="ATTO 3",'中古車掲載'!L235="EXTENDED RANGE",'中古車掲載'!J235=2023,ISNUMBER('中古車掲載'!N235),'中古車掲載'!N235&gt;=20000,'中古車掲載'!O235&lt;=50000,'中古車掲載'!AL235=1),'中古車掲載'!U235,"")</x:f>
      </x:c>
      <x:c r="BE234" s="3" t="str">
        <x:f>IF(AND('中古車掲載'!C235="One2car",'中古車掲載'!F235="Corolla Cross",'中古車掲載'!L235="HEV PREMIUM SAFETY",'中古車掲載'!J235=2023,ISNUMBER('中古車掲載'!N235),'中古車掲載'!N235&gt;=20000,'中古車掲載'!O235&lt;=50000,'中古車掲載'!AL235=1,'中古車掲載'!Z235="https://www.one2car.com/en/cars-for-sale/toyota/corolla-cross/year-2023"),'中古車掲載'!U235,"")</x:f>
      </x:c>
      <x:c r="BF234" s="3" t="str">
        <x:f>IF(AND('中古車掲載'!C235="One2car",'中古車掲載'!F235="Corolla Cross",'中古車掲載'!L235="HEV PREMIUM",'中古車掲載'!J235=2023,ISNUMBER('中古車掲載'!N235),'中古車掲載'!N235&gt;=20000,'中古車掲載'!O235&lt;=100000,'中古車掲載'!AL235=1,'中古車掲載'!Z235="https://www.one2car.com/en/cars-for-sale/toyota/corolla-cross/year-2023"),'中古車掲載'!U235,"")</x:f>
      </x:c>
      <x:c r="BG234" s="3" t="str">
        <x:f>IF(AND('中古車掲載'!C235="One2car",'中古車掲載'!F235="Corolla Cross",'中古車掲載'!L235="HEV GR SPORT",'中古車掲載'!J235=2023,ISNUMBER('中古車掲載'!N235),'中古車掲載'!N235&gt;=20000,'中古車掲載'!O235&lt;=100000,'中古車掲載'!AL235=1,'中古車掲載'!Z235="https://www.one2car.com/en/cars-for-sale/toyota/corolla-cross/year-2023"),'中古車掲載'!U235,"")</x:f>
      </x:c>
      <x:c r="BH234" s="3" t="str">
        <x:f>IF(AND('中古車掲載'!C235="One2car",'中古車掲載'!F235="DOLPHIN",'中古車掲載'!L235="STANDARD RANGE",'中古車掲載'!J235=2023,ISNUMBER('中古車掲載'!N235),'中古車掲載'!N235&gt;=20000,'中古車掲載'!O235&lt;=100000,'中古車掲載'!AL235=1),'中古車掲載'!U235,"")</x:f>
      </x:c>
      <x:c r="BI234" s="3" t="str">
        <x:v>Taladrod|Corolla Altis|ICE|Unknown</x:v>
      </x:c>
      <x:c r="BJ234" s="3" t="n">
        <x:v>235</x:v>
      </x:c>
      <x:c r="BK234" s="3" t="n">
        <x:f>'中古車掲載'!AM235</x:f>
        <x:v>425000</x:v>
      </x:c>
      <x:c r="BL234" s="3" t="str">
        <x:f>IF(ISNUMBER('中古車掲載'!AN235),'中古車掲載'!AN235,"")</x:f>
      </x:c>
      <x:c r="BM234" s="3" t="str">
        <x:v>2024|Double cab</x:v>
      </x:c>
      <x:c r="BN234" s="3" t="n">
        <x:v>887</x:v>
      </x:c>
      <x:c r="BO234" s="3" t="n">
        <x:f>'中古車掲載'!AM887</x:f>
        <x:v>699000</x:v>
      </x:c>
      <x:c r="BP234" s="3" t="str">
        <x:v>2.4 MID PRERUNNER DOUBLE CAB</x:v>
      </x:c>
      <x:c r="BQ234" s="3"/>
      <x:c r="BR234" s="3"/>
    </x:row>
    <x:row r="235" ht="22" customHeight="1">
      <x:c r="A235" s="3"/>
      <x:c r="B235" s="3"/>
      <x:c r="C235" s="3"/>
      <x:c r="D235" s="3"/>
      <x:c r="E235" s="3"/>
      <x:c r="F235" s="3"/>
      <x:c r="G235" s="3"/>
      <x:c r="H235" s="3"/>
      <x:c r="I235" s="3"/>
      <x:c r="J235" s="3"/>
      <x:c r="K235" s="3"/>
      <x:c r="L235" s="3"/>
      <x:c r="M235" s="3"/>
      <x:c r="N235" s="3"/>
      <x:c r="O235" s="3"/>
      <x:c r="P235" s="3"/>
      <x:c r="Q235" s="3"/>
      <x:c r="R235" s="3"/>
      <x:c r="S235" s="3"/>
      <x:c r="T235" s="3"/>
      <x:c r="U235" s="3"/>
      <x:c r="V235" s="3"/>
      <x:c r="W235" s="3"/>
      <x:c r="X235" s="3"/>
      <x:c r="Y235" s="3"/>
      <x:c r="Z235" s="3"/>
      <x:c r="AA235" s="3"/>
      <x:c r="AB235" s="3"/>
      <x:c r="AC235" s="3"/>
      <x:c r="AD235" s="3"/>
      <x:c r="AE235" s="3"/>
      <x:c r="AF235" s="3"/>
      <x:c r="AG235" s="3"/>
      <x:c r="AH235" s="3"/>
      <x:c r="AI235" s="3"/>
      <x:c r="AJ235" s="3"/>
      <x:c r="AK235" s="3"/>
      <x:c r="AL235" s="3"/>
      <x:c r="AM235" s="3"/>
      <x:c r="AN235" s="3"/>
      <x:c r="AO235" s="3"/>
      <x:c r="AP235" s="3"/>
      <x:c r="AQ235" s="3"/>
      <x:c r="AR235" s="3"/>
      <x:c r="AS235" s="3"/>
      <x:c r="AT235" s="3"/>
      <x:c r="AU235" s="3"/>
      <x:c r="AV235" s="3"/>
      <x:c r="AW235" s="3"/>
      <x:c r="AX235" s="3"/>
      <x:c r="AY235" s="3"/>
      <x:c r="AZ235" s="3" t="str">
        <x:f>IF(AND('中古車掲載'!C236="One2car",'中古車掲載'!F236="ATTO 3",'中古車掲載'!L236="EXTENDED RANGE",'中古車掲載'!J236=2023,ISNUMBER('中古車掲載'!N236),'中古車掲載'!N236&gt;=20000,'中古車掲載'!O236&lt;=100000,'中古車掲載'!AL236=1),'中古車掲載'!U236,"")</x:f>
      </x:c>
      <x:c r="BA235" s="3" t="str">
        <x:f>IF(AND('中古車掲載'!C236="One2car",'中古車掲載'!F236="Corolla Cross",'中古車掲載'!L236="HEV PREMIUM SAFETY",'中古車掲載'!J236=2023,ISNUMBER('中古車掲載'!N236),'中古車掲載'!N236&gt;=20000,'中古車掲載'!O236&lt;=100000,'中古車掲載'!AL236=1,'中古車掲載'!Z236="https://www.one2car.com/en/cars-for-sale/toyota/corolla-cross/year-2023"),'中古車掲載'!U236,"")</x:f>
      </x:c>
      <x:c r="BB235" s="3" t="str">
        <x:f>IF(AND('中古車掲載'!C236="One2car",'中古車掲載'!F236="ATTO 3",'中古車掲載'!L236="EXTENDED RANGE",'中古車掲載'!J236=2023,ISNUMBER('中古車掲載'!N236),'中古車掲載'!N236&gt;=50000,'中古車掲載'!O236&lt;=100000,'中古車掲載'!AL236=1),'中古車掲載'!U236,"")</x:f>
      </x:c>
      <x:c r="BC235" s="3" t="str">
        <x:f>IF(AND('中古車掲載'!C236="One2car",'中古車掲載'!F236="Corolla Cross",'中古車掲載'!L236="HEV PREMIUM SAFETY",'中古車掲載'!J236=2023,ISNUMBER('中古車掲載'!N236),'中古車掲載'!N236&gt;=50000,'中古車掲載'!O236&lt;=100000,'中古車掲載'!AL236=1,'中古車掲載'!Z236="https://www.one2car.com/en/cars-for-sale/toyota/corolla-cross/year-2023"),'中古車掲載'!U236,"")</x:f>
      </x:c>
      <x:c r="BD235" s="3" t="str">
        <x:f>IF(AND('中古車掲載'!C236="One2car",'中古車掲載'!F236="ATTO 3",'中古車掲載'!L236="EXTENDED RANGE",'中古車掲載'!J236=2023,ISNUMBER('中古車掲載'!N236),'中古車掲載'!N236&gt;=20000,'中古車掲載'!O236&lt;=50000,'中古車掲載'!AL236=1),'中古車掲載'!U236,"")</x:f>
      </x:c>
      <x:c r="BE235" s="3" t="str">
        <x:f>IF(AND('中古車掲載'!C236="One2car",'中古車掲載'!F236="Corolla Cross",'中古車掲載'!L236="HEV PREMIUM SAFETY",'中古車掲載'!J236=2023,ISNUMBER('中古車掲載'!N236),'中古車掲載'!N236&gt;=20000,'中古車掲載'!O236&lt;=50000,'中古車掲載'!AL236=1,'中古車掲載'!Z236="https://www.one2car.com/en/cars-for-sale/toyota/corolla-cross/year-2023"),'中古車掲載'!U236,"")</x:f>
      </x:c>
      <x:c r="BF235" s="3" t="str">
        <x:f>IF(AND('中古車掲載'!C236="One2car",'中古車掲載'!F236="Corolla Cross",'中古車掲載'!L236="HEV PREMIUM",'中古車掲載'!J236=2023,ISNUMBER('中古車掲載'!N236),'中古車掲載'!N236&gt;=20000,'中古車掲載'!O236&lt;=100000,'中古車掲載'!AL236=1,'中古車掲載'!Z236="https://www.one2car.com/en/cars-for-sale/toyota/corolla-cross/year-2023"),'中古車掲載'!U236,"")</x:f>
      </x:c>
      <x:c r="BG235" s="3" t="str">
        <x:f>IF(AND('中古車掲載'!C236="One2car",'中古車掲載'!F236="Corolla Cross",'中古車掲載'!L236="HEV GR SPORT",'中古車掲載'!J236=2023,ISNUMBER('中古車掲載'!N236),'中古車掲載'!N236&gt;=20000,'中古車掲載'!O236&lt;=100000,'中古車掲載'!AL236=1,'中古車掲載'!Z236="https://www.one2car.com/en/cars-for-sale/toyota/corolla-cross/year-2023"),'中古車掲載'!U236,"")</x:f>
      </x:c>
      <x:c r="BH235" s="3" t="str">
        <x:f>IF(AND('中古車掲載'!C236="One2car",'中古車掲載'!F236="DOLPHIN",'中古車掲載'!L236="STANDARD RANGE",'中古車掲載'!J236=2023,ISNUMBER('中古車掲載'!N236),'中古車掲載'!N236&gt;=20000,'中古車掲載'!O236&lt;=100000,'中古車掲載'!AL236=1),'中古車掲載'!U236,"")</x:f>
      </x:c>
      <x:c r="BI235" s="3" t="str">
        <x:v>Taladrod|Corolla Altis|ICE|Unknown</x:v>
      </x:c>
      <x:c r="BJ235" s="3" t="n">
        <x:v>236</x:v>
      </x:c>
      <x:c r="BK235" s="3" t="n">
        <x:f>'中古車掲載'!AM236</x:f>
        <x:v>379000</x:v>
      </x:c>
      <x:c r="BL235" s="3" t="str">
        <x:f>IF(ISNUMBER('中古車掲載'!AN236),'中古車掲載'!AN236,"")</x:f>
      </x:c>
      <x:c r="BM235" s="3" t="str">
        <x:v>2024|Double cab</x:v>
      </x:c>
      <x:c r="BN235" s="3" t="n">
        <x:v>889</x:v>
      </x:c>
      <x:c r="BO235" s="3" t="n">
        <x:f>'中古車掲載'!AM889</x:f>
        <x:v>829000</x:v>
      </x:c>
      <x:c r="BP235" s="3" t="str">
        <x:v>2.4 PRERUNNER DOUBLE CAB</x:v>
      </x:c>
      <x:c r="BQ235" s="3"/>
      <x:c r="BR235" s="3"/>
    </x:row>
    <x:row r="236" ht="22" customHeight="1">
      <x:c r="A236" s="3"/>
      <x:c r="B236" s="3"/>
      <x:c r="C236" s="3"/>
      <x:c r="D236" s="3"/>
      <x:c r="E236" s="3"/>
      <x:c r="F236" s="3"/>
      <x:c r="G236" s="3"/>
      <x:c r="H236" s="3"/>
      <x:c r="I236" s="3"/>
      <x:c r="J236" s="3"/>
      <x:c r="K236" s="3"/>
      <x:c r="L236" s="3"/>
      <x:c r="M236" s="3"/>
      <x:c r="N236" s="3"/>
      <x:c r="O236" s="3"/>
      <x:c r="P236" s="3"/>
      <x:c r="Q236" s="3"/>
      <x:c r="R236" s="3"/>
      <x:c r="S236" s="3"/>
      <x:c r="T236" s="3"/>
      <x:c r="U236" s="3"/>
      <x:c r="V236" s="3"/>
      <x:c r="W236" s="3"/>
      <x:c r="X236" s="3"/>
      <x:c r="Y236" s="3"/>
      <x:c r="Z236" s="3"/>
      <x:c r="AA236" s="3"/>
      <x:c r="AB236" s="3"/>
      <x:c r="AC236" s="3"/>
      <x:c r="AD236" s="3"/>
      <x:c r="AE236" s="3"/>
      <x:c r="AF236" s="3"/>
      <x:c r="AG236" s="3"/>
      <x:c r="AH236" s="3"/>
      <x:c r="AI236" s="3"/>
      <x:c r="AJ236" s="3"/>
      <x:c r="AK236" s="3"/>
      <x:c r="AL236" s="3"/>
      <x:c r="AM236" s="3"/>
      <x:c r="AN236" s="3"/>
      <x:c r="AO236" s="3"/>
      <x:c r="AP236" s="3"/>
      <x:c r="AQ236" s="3"/>
      <x:c r="AR236" s="3"/>
      <x:c r="AS236" s="3"/>
      <x:c r="AT236" s="3"/>
      <x:c r="AU236" s="3"/>
      <x:c r="AV236" s="3"/>
      <x:c r="AW236" s="3"/>
      <x:c r="AX236" s="3"/>
      <x:c r="AY236" s="3"/>
      <x:c r="AZ236" s="3" t="str">
        <x:f>IF(AND('中古車掲載'!C237="One2car",'中古車掲載'!F237="ATTO 3",'中古車掲載'!L237="EXTENDED RANGE",'中古車掲載'!J237=2023,ISNUMBER('中古車掲載'!N237),'中古車掲載'!N237&gt;=20000,'中古車掲載'!O237&lt;=100000,'中古車掲載'!AL237=1),'中古車掲載'!U237,"")</x:f>
      </x:c>
      <x:c r="BA236" s="3" t="str">
        <x:f>IF(AND('中古車掲載'!C237="One2car",'中古車掲載'!F237="Corolla Cross",'中古車掲載'!L237="HEV PREMIUM SAFETY",'中古車掲載'!J237=2023,ISNUMBER('中古車掲載'!N237),'中古車掲載'!N237&gt;=20000,'中古車掲載'!O237&lt;=100000,'中古車掲載'!AL237=1,'中古車掲載'!Z237="https://www.one2car.com/en/cars-for-sale/toyota/corolla-cross/year-2023"),'中古車掲載'!U237,"")</x:f>
      </x:c>
      <x:c r="BB236" s="3" t="str">
        <x:f>IF(AND('中古車掲載'!C237="One2car",'中古車掲載'!F237="ATTO 3",'中古車掲載'!L237="EXTENDED RANGE",'中古車掲載'!J237=2023,ISNUMBER('中古車掲載'!N237),'中古車掲載'!N237&gt;=50000,'中古車掲載'!O237&lt;=100000,'中古車掲載'!AL237=1),'中古車掲載'!U237,"")</x:f>
      </x:c>
      <x:c r="BC236" s="3" t="str">
        <x:f>IF(AND('中古車掲載'!C237="One2car",'中古車掲載'!F237="Corolla Cross",'中古車掲載'!L237="HEV PREMIUM SAFETY",'中古車掲載'!J237=2023,ISNUMBER('中古車掲載'!N237),'中古車掲載'!N237&gt;=50000,'中古車掲載'!O237&lt;=100000,'中古車掲載'!AL237=1,'中古車掲載'!Z237="https://www.one2car.com/en/cars-for-sale/toyota/corolla-cross/year-2023"),'中古車掲載'!U237,"")</x:f>
      </x:c>
      <x:c r="BD236" s="3" t="str">
        <x:f>IF(AND('中古車掲載'!C237="One2car",'中古車掲載'!F237="ATTO 3",'中古車掲載'!L237="EXTENDED RANGE",'中古車掲載'!J237=2023,ISNUMBER('中古車掲載'!N237),'中古車掲載'!N237&gt;=20000,'中古車掲載'!O237&lt;=50000,'中古車掲載'!AL237=1),'中古車掲載'!U237,"")</x:f>
      </x:c>
      <x:c r="BE236" s="3" t="str">
        <x:f>IF(AND('中古車掲載'!C237="One2car",'中古車掲載'!F237="Corolla Cross",'中古車掲載'!L237="HEV PREMIUM SAFETY",'中古車掲載'!J237=2023,ISNUMBER('中古車掲載'!N237),'中古車掲載'!N237&gt;=20000,'中古車掲載'!O237&lt;=50000,'中古車掲載'!AL237=1,'中古車掲載'!Z237="https://www.one2car.com/en/cars-for-sale/toyota/corolla-cross/year-2023"),'中古車掲載'!U237,"")</x:f>
      </x:c>
      <x:c r="BF236" s="3" t="str">
        <x:f>IF(AND('中古車掲載'!C237="One2car",'中古車掲載'!F237="Corolla Cross",'中古車掲載'!L237="HEV PREMIUM",'中古車掲載'!J237=2023,ISNUMBER('中古車掲載'!N237),'中古車掲載'!N237&gt;=20000,'中古車掲載'!O237&lt;=100000,'中古車掲載'!AL237=1,'中古車掲載'!Z237="https://www.one2car.com/en/cars-for-sale/toyota/corolla-cross/year-2023"),'中古車掲載'!U237,"")</x:f>
      </x:c>
      <x:c r="BG236" s="3" t="str">
        <x:f>IF(AND('中古車掲載'!C237="One2car",'中古車掲載'!F237="Corolla Cross",'中古車掲載'!L237="HEV GR SPORT",'中古車掲載'!J237=2023,ISNUMBER('中古車掲載'!N237),'中古車掲載'!N237&gt;=20000,'中古車掲載'!O237&lt;=100000,'中古車掲載'!AL237=1,'中古車掲載'!Z237="https://www.one2car.com/en/cars-for-sale/toyota/corolla-cross/year-2023"),'中古車掲載'!U237,"")</x:f>
      </x:c>
      <x:c r="BH236" s="3" t="str">
        <x:f>IF(AND('中古車掲載'!C237="One2car",'中古車掲載'!F237="DOLPHIN",'中古車掲載'!L237="STANDARD RANGE",'中古車掲載'!J237=2023,ISNUMBER('中古車掲載'!N237),'中古車掲載'!N237&gt;=20000,'中古車掲載'!O237&lt;=100000,'中古車掲載'!AL237=1),'中古車掲載'!U237,"")</x:f>
      </x:c>
      <x:c r="BI236" s="3" t="str">
        <x:v>Taladrod|Corolla Altis|ICE|Unknown</x:v>
      </x:c>
      <x:c r="BJ236" s="3" t="n">
        <x:v>237</x:v>
      </x:c>
      <x:c r="BK236" s="3" t="n">
        <x:f>'中古車掲載'!AM237</x:f>
        <x:v>425000</x:v>
      </x:c>
      <x:c r="BL236" s="3" t="str">
        <x:f>IF(ISNUMBER('中古車掲載'!AN237),'中古車掲載'!AN237,"")</x:f>
      </x:c>
      <x:c r="BM236" s="3" t="str">
        <x:v>2024|Double cab</x:v>
      </x:c>
      <x:c r="BN236" s="3" t="n">
        <x:v>893</x:v>
      </x:c>
      <x:c r="BO236" s="3" t="n">
        <x:f>'中古車掲載'!AM893</x:f>
        <x:v>678000</x:v>
      </x:c>
      <x:c r="BP236" s="3" t="str">
        <x:v>2.8 GR SPORT DOUBLE CAB</x:v>
      </x:c>
      <x:c r="BQ236" s="3"/>
      <x:c r="BR236" s="3"/>
    </x:row>
    <x:row r="237" ht="22" customHeight="1">
      <x:c r="A237" s="3"/>
      <x:c r="B237" s="3"/>
      <x:c r="C237" s="3"/>
      <x:c r="D237" s="3"/>
      <x:c r="E237" s="3"/>
      <x:c r="F237" s="3"/>
      <x:c r="G237" s="3"/>
      <x:c r="H237" s="3"/>
      <x:c r="I237" s="3"/>
      <x:c r="J237" s="3"/>
      <x:c r="K237" s="3"/>
      <x:c r="L237" s="3"/>
      <x:c r="M237" s="3"/>
      <x:c r="N237" s="3"/>
      <x:c r="O237" s="3"/>
      <x:c r="P237" s="3"/>
      <x:c r="Q237" s="3"/>
      <x:c r="R237" s="3"/>
      <x:c r="S237" s="3"/>
      <x:c r="T237" s="3"/>
      <x:c r="U237" s="3"/>
      <x:c r="V237" s="3"/>
      <x:c r="W237" s="3"/>
      <x:c r="X237" s="3"/>
      <x:c r="Y237" s="3"/>
      <x:c r="Z237" s="3"/>
      <x:c r="AA237" s="3"/>
      <x:c r="AB237" s="3"/>
      <x:c r="AC237" s="3"/>
      <x:c r="AD237" s="3"/>
      <x:c r="AE237" s="3"/>
      <x:c r="AF237" s="3"/>
      <x:c r="AG237" s="3"/>
      <x:c r="AH237" s="3"/>
      <x:c r="AI237" s="3"/>
      <x:c r="AJ237" s="3"/>
      <x:c r="AK237" s="3"/>
      <x:c r="AL237" s="3"/>
      <x:c r="AM237" s="3"/>
      <x:c r="AN237" s="3"/>
      <x:c r="AO237" s="3"/>
      <x:c r="AP237" s="3"/>
      <x:c r="AQ237" s="3"/>
      <x:c r="AR237" s="3"/>
      <x:c r="AS237" s="3"/>
      <x:c r="AT237" s="3"/>
      <x:c r="AU237" s="3"/>
      <x:c r="AV237" s="3"/>
      <x:c r="AW237" s="3"/>
      <x:c r="AX237" s="3"/>
      <x:c r="AY237" s="3"/>
      <x:c r="AZ237" s="3" t="str">
        <x:f>IF(AND('中古車掲載'!C238="One2car",'中古車掲載'!F238="ATTO 3",'中古車掲載'!L238="EXTENDED RANGE",'中古車掲載'!J238=2023,ISNUMBER('中古車掲載'!N238),'中古車掲載'!N238&gt;=20000,'中古車掲載'!O238&lt;=100000,'中古車掲載'!AL238=1),'中古車掲載'!U238,"")</x:f>
      </x:c>
      <x:c r="BA237" s="3" t="str">
        <x:f>IF(AND('中古車掲載'!C238="One2car",'中古車掲載'!F238="Corolla Cross",'中古車掲載'!L238="HEV PREMIUM SAFETY",'中古車掲載'!J238=2023,ISNUMBER('中古車掲載'!N238),'中古車掲載'!N238&gt;=20000,'中古車掲載'!O238&lt;=100000,'中古車掲載'!AL238=1,'中古車掲載'!Z238="https://www.one2car.com/en/cars-for-sale/toyota/corolla-cross/year-2023"),'中古車掲載'!U238,"")</x:f>
      </x:c>
      <x:c r="BB237" s="3" t="str">
        <x:f>IF(AND('中古車掲載'!C238="One2car",'中古車掲載'!F238="ATTO 3",'中古車掲載'!L238="EXTENDED RANGE",'中古車掲載'!J238=2023,ISNUMBER('中古車掲載'!N238),'中古車掲載'!N238&gt;=50000,'中古車掲載'!O238&lt;=100000,'中古車掲載'!AL238=1),'中古車掲載'!U238,"")</x:f>
      </x:c>
      <x:c r="BC237" s="3" t="str">
        <x:f>IF(AND('中古車掲載'!C238="One2car",'中古車掲載'!F238="Corolla Cross",'中古車掲載'!L238="HEV PREMIUM SAFETY",'中古車掲載'!J238=2023,ISNUMBER('中古車掲載'!N238),'中古車掲載'!N238&gt;=50000,'中古車掲載'!O238&lt;=100000,'中古車掲載'!AL238=1,'中古車掲載'!Z238="https://www.one2car.com/en/cars-for-sale/toyota/corolla-cross/year-2023"),'中古車掲載'!U238,"")</x:f>
      </x:c>
      <x:c r="BD237" s="3" t="str">
        <x:f>IF(AND('中古車掲載'!C238="One2car",'中古車掲載'!F238="ATTO 3",'中古車掲載'!L238="EXTENDED RANGE",'中古車掲載'!J238=2023,ISNUMBER('中古車掲載'!N238),'中古車掲載'!N238&gt;=20000,'中古車掲載'!O238&lt;=50000,'中古車掲載'!AL238=1),'中古車掲載'!U238,"")</x:f>
      </x:c>
      <x:c r="BE237" s="3" t="str">
        <x:f>IF(AND('中古車掲載'!C238="One2car",'中古車掲載'!F238="Corolla Cross",'中古車掲載'!L238="HEV PREMIUM SAFETY",'中古車掲載'!J238=2023,ISNUMBER('中古車掲載'!N238),'中古車掲載'!N238&gt;=20000,'中古車掲載'!O238&lt;=50000,'中古車掲載'!AL238=1,'中古車掲載'!Z238="https://www.one2car.com/en/cars-for-sale/toyota/corolla-cross/year-2023"),'中古車掲載'!U238,"")</x:f>
      </x:c>
      <x:c r="BF237" s="3" t="str">
        <x:f>IF(AND('中古車掲載'!C238="One2car",'中古車掲載'!F238="Corolla Cross",'中古車掲載'!L238="HEV PREMIUM",'中古車掲載'!J238=2023,ISNUMBER('中古車掲載'!N238),'中古車掲載'!N238&gt;=20000,'中古車掲載'!O238&lt;=100000,'中古車掲載'!AL238=1,'中古車掲載'!Z238="https://www.one2car.com/en/cars-for-sale/toyota/corolla-cross/year-2023"),'中古車掲載'!U238,"")</x:f>
      </x:c>
      <x:c r="BG237" s="3" t="str">
        <x:f>IF(AND('中古車掲載'!C238="One2car",'中古車掲載'!F238="Corolla Cross",'中古車掲載'!L238="HEV GR SPORT",'中古車掲載'!J238=2023,ISNUMBER('中古車掲載'!N238),'中古車掲載'!N238&gt;=20000,'中古車掲載'!O238&lt;=100000,'中古車掲載'!AL238=1,'中古車掲載'!Z238="https://www.one2car.com/en/cars-for-sale/toyota/corolla-cross/year-2023"),'中古車掲載'!U238,"")</x:f>
      </x:c>
      <x:c r="BH237" s="3" t="str">
        <x:f>IF(AND('中古車掲載'!C238="One2car",'中古車掲載'!F238="DOLPHIN",'中古車掲載'!L238="STANDARD RANGE",'中古車掲載'!J238=2023,ISNUMBER('中古車掲載'!N238),'中古車掲載'!N238&gt;=20000,'中古車掲載'!O238&lt;=100000,'中古車掲載'!AL238=1),'中古車掲載'!U238,"")</x:f>
      </x:c>
      <x:c r="BI237" s="3" t="str">
        <x:v>Taladrod|Corolla Altis|ICE|Unknown</x:v>
      </x:c>
      <x:c r="BJ237" s="3" t="n">
        <x:v>238</x:v>
      </x:c>
      <x:c r="BK237" s="3" t="n">
        <x:f>'中古車掲載'!AM238</x:f>
        <x:v>379000</x:v>
      </x:c>
      <x:c r="BL237" s="3" t="str">
        <x:f>IF(ISNUMBER('中古車掲載'!AN238),'中古車掲載'!AN238,"")</x:f>
      </x:c>
      <x:c r="BM237" s="3" t="str">
        <x:v>2024|Smart cab</x:v>
      </x:c>
      <x:c r="BN237" s="3" t="n">
        <x:v>869</x:v>
      </x:c>
      <x:c r="BO237" s="3" t="n">
        <x:f>'中古車掲載'!AM869</x:f>
        <x:v>519000</x:v>
      </x:c>
      <x:c r="BP237" s="3" t="str">
        <x:v>2.4 ENTRY PRERUNNER SMART CAB</x:v>
      </x:c>
      <x:c r="BQ237" s="3"/>
      <x:c r="BR237" s="3"/>
    </x:row>
    <x:row r="238" ht="22" customHeight="1">
      <x:c r="A238" s="3"/>
      <x:c r="B238" s="3"/>
      <x:c r="C238" s="3"/>
      <x:c r="D238" s="3"/>
      <x:c r="E238" s="3"/>
      <x:c r="F238" s="3"/>
      <x:c r="G238" s="3"/>
      <x:c r="H238" s="3"/>
      <x:c r="I238" s="3"/>
      <x:c r="J238" s="3"/>
      <x:c r="K238" s="3"/>
      <x:c r="L238" s="3"/>
      <x:c r="M238" s="3"/>
      <x:c r="N238" s="3"/>
      <x:c r="O238" s="3"/>
      <x:c r="P238" s="3"/>
      <x:c r="Q238" s="3"/>
      <x:c r="R238" s="3"/>
      <x:c r="S238" s="3"/>
      <x:c r="T238" s="3"/>
      <x:c r="U238" s="3"/>
      <x:c r="V238" s="3"/>
      <x:c r="W238" s="3"/>
      <x:c r="X238" s="3"/>
      <x:c r="Y238" s="3"/>
      <x:c r="Z238" s="3"/>
      <x:c r="AA238" s="3"/>
      <x:c r="AB238" s="3"/>
      <x:c r="AC238" s="3"/>
      <x:c r="AD238" s="3"/>
      <x:c r="AE238" s="3"/>
      <x:c r="AF238" s="3"/>
      <x:c r="AG238" s="3"/>
      <x:c r="AH238" s="3"/>
      <x:c r="AI238" s="3"/>
      <x:c r="AJ238" s="3"/>
      <x:c r="AK238" s="3"/>
      <x:c r="AL238" s="3"/>
      <x:c r="AM238" s="3"/>
      <x:c r="AN238" s="3"/>
      <x:c r="AO238" s="3"/>
      <x:c r="AP238" s="3"/>
      <x:c r="AQ238" s="3"/>
      <x:c r="AR238" s="3"/>
      <x:c r="AS238" s="3"/>
      <x:c r="AT238" s="3"/>
      <x:c r="AU238" s="3"/>
      <x:c r="AV238" s="3"/>
      <x:c r="AW238" s="3"/>
      <x:c r="AX238" s="3"/>
      <x:c r="AY238" s="3"/>
      <x:c r="AZ238" s="3" t="str">
        <x:f>IF(AND('中古車掲載'!C239="One2car",'中古車掲載'!F239="ATTO 3",'中古車掲載'!L239="EXTENDED RANGE",'中古車掲載'!J239=2023,ISNUMBER('中古車掲載'!N239),'中古車掲載'!N239&gt;=20000,'中古車掲載'!O239&lt;=100000,'中古車掲載'!AL239=1),'中古車掲載'!U239,"")</x:f>
      </x:c>
      <x:c r="BA238" s="3" t="str">
        <x:f>IF(AND('中古車掲載'!C239="One2car",'中古車掲載'!F239="Corolla Cross",'中古車掲載'!L239="HEV PREMIUM SAFETY",'中古車掲載'!J239=2023,ISNUMBER('中古車掲載'!N239),'中古車掲載'!N239&gt;=20000,'中古車掲載'!O239&lt;=100000,'中古車掲載'!AL239=1,'中古車掲載'!Z239="https://www.one2car.com/en/cars-for-sale/toyota/corolla-cross/year-2023"),'中古車掲載'!U239,"")</x:f>
      </x:c>
      <x:c r="BB238" s="3" t="str">
        <x:f>IF(AND('中古車掲載'!C239="One2car",'中古車掲載'!F239="ATTO 3",'中古車掲載'!L239="EXTENDED RANGE",'中古車掲載'!J239=2023,ISNUMBER('中古車掲載'!N239),'中古車掲載'!N239&gt;=50000,'中古車掲載'!O239&lt;=100000,'中古車掲載'!AL239=1),'中古車掲載'!U239,"")</x:f>
      </x:c>
      <x:c r="BC238" s="3" t="str">
        <x:f>IF(AND('中古車掲載'!C239="One2car",'中古車掲載'!F239="Corolla Cross",'中古車掲載'!L239="HEV PREMIUM SAFETY",'中古車掲載'!J239=2023,ISNUMBER('中古車掲載'!N239),'中古車掲載'!N239&gt;=50000,'中古車掲載'!O239&lt;=100000,'中古車掲載'!AL239=1,'中古車掲載'!Z239="https://www.one2car.com/en/cars-for-sale/toyota/corolla-cross/year-2023"),'中古車掲載'!U239,"")</x:f>
      </x:c>
      <x:c r="BD238" s="3" t="str">
        <x:f>IF(AND('中古車掲載'!C239="One2car",'中古車掲載'!F239="ATTO 3",'中古車掲載'!L239="EXTENDED RANGE",'中古車掲載'!J239=2023,ISNUMBER('中古車掲載'!N239),'中古車掲載'!N239&gt;=20000,'中古車掲載'!O239&lt;=50000,'中古車掲載'!AL239=1),'中古車掲載'!U239,"")</x:f>
      </x:c>
      <x:c r="BE238" s="3" t="str">
        <x:f>IF(AND('中古車掲載'!C239="One2car",'中古車掲載'!F239="Corolla Cross",'中古車掲載'!L239="HEV PREMIUM SAFETY",'中古車掲載'!J239=2023,ISNUMBER('中古車掲載'!N239),'中古車掲載'!N239&gt;=20000,'中古車掲載'!O239&lt;=50000,'中古車掲載'!AL239=1,'中古車掲載'!Z239="https://www.one2car.com/en/cars-for-sale/toyota/corolla-cross/year-2023"),'中古車掲載'!U239,"")</x:f>
      </x:c>
      <x:c r="BF238" s="3" t="str">
        <x:f>IF(AND('中古車掲載'!C239="One2car",'中古車掲載'!F239="Corolla Cross",'中古車掲載'!L239="HEV PREMIUM",'中古車掲載'!J239=2023,ISNUMBER('中古車掲載'!N239),'中古車掲載'!N239&gt;=20000,'中古車掲載'!O239&lt;=100000,'中古車掲載'!AL239=1,'中古車掲載'!Z239="https://www.one2car.com/en/cars-for-sale/toyota/corolla-cross/year-2023"),'中古車掲載'!U239,"")</x:f>
      </x:c>
      <x:c r="BG238" s="3" t="str">
        <x:f>IF(AND('中古車掲載'!C239="One2car",'中古車掲載'!F239="Corolla Cross",'中古車掲載'!L239="HEV GR SPORT",'中古車掲載'!J239=2023,ISNUMBER('中古車掲載'!N239),'中古車掲載'!N239&gt;=20000,'中古車掲載'!O239&lt;=100000,'中古車掲載'!AL239=1,'中古車掲載'!Z239="https://www.one2car.com/en/cars-for-sale/toyota/corolla-cross/year-2023"),'中古車掲載'!U239,"")</x:f>
      </x:c>
      <x:c r="BH238" s="3" t="str">
        <x:f>IF(AND('中古車掲載'!C239="One2car",'中古車掲載'!F239="DOLPHIN",'中古車掲載'!L239="STANDARD RANGE",'中古車掲載'!J239=2023,ISNUMBER('中古車掲載'!N239),'中古車掲載'!N239&gt;=20000,'中古車掲載'!O239&lt;=100000,'中古車掲載'!AL239=1),'中古車掲載'!U239,"")</x:f>
      </x:c>
      <x:c r="BI238" s="3" t="str">
        <x:v>Taladrod|Corolla Altis|ICE|Unknown</x:v>
      </x:c>
      <x:c r="BJ238" s="3" t="n">
        <x:v>239</x:v>
      </x:c>
      <x:c r="BK238" s="3" t="n">
        <x:f>'中古車掲載'!AM239</x:f>
        <x:v>458000</x:v>
      </x:c>
      <x:c r="BL238" s="3" t="str">
        <x:f>IF(ISNUMBER('中古車掲載'!AN239),'中古車掲載'!AN239,"")</x:f>
      </x:c>
      <x:c r="BM238" s="3" t="str">
        <x:v>2024|Smart cab</x:v>
      </x:c>
      <x:c r="BN238" s="3" t="n">
        <x:v>870</x:v>
      </x:c>
      <x:c r="BO238" s="3" t="n">
        <x:f>'中古車掲載'!AM870</x:f>
        <x:v>565000</x:v>
      </x:c>
      <x:c r="BP238" s="3" t="str">
        <x:v>2.4 ENTRY PRERUNNER SMART CAB</x:v>
      </x:c>
      <x:c r="BQ238" s="3"/>
      <x:c r="BR238" s="3"/>
    </x:row>
    <x:row r="239" ht="22" customHeight="1">
      <x:c r="A239" s="3"/>
      <x:c r="B239" s="3"/>
      <x:c r="C239" s="3"/>
      <x:c r="D239" s="3"/>
      <x:c r="E239" s="3"/>
      <x:c r="F239" s="3"/>
      <x:c r="G239" s="3"/>
      <x:c r="H239" s="3"/>
      <x:c r="I239" s="3"/>
      <x:c r="J239" s="3"/>
      <x:c r="K239" s="3"/>
      <x:c r="L239" s="3"/>
      <x:c r="M239" s="3"/>
      <x:c r="N239" s="3"/>
      <x:c r="O239" s="3"/>
      <x:c r="P239" s="3"/>
      <x:c r="Q239" s="3"/>
      <x:c r="R239" s="3"/>
      <x:c r="S239" s="3"/>
      <x:c r="T239" s="3"/>
      <x:c r="U239" s="3"/>
      <x:c r="V239" s="3"/>
      <x:c r="W239" s="3"/>
      <x:c r="X239" s="3"/>
      <x:c r="Y239" s="3"/>
      <x:c r="Z239" s="3"/>
      <x:c r="AA239" s="3"/>
      <x:c r="AB239" s="3"/>
      <x:c r="AC239" s="3"/>
      <x:c r="AD239" s="3"/>
      <x:c r="AE239" s="3"/>
      <x:c r="AF239" s="3"/>
      <x:c r="AG239" s="3"/>
      <x:c r="AH239" s="3"/>
      <x:c r="AI239" s="3"/>
      <x:c r="AJ239" s="3"/>
      <x:c r="AK239" s="3"/>
      <x:c r="AL239" s="3"/>
      <x:c r="AM239" s="3"/>
      <x:c r="AN239" s="3"/>
      <x:c r="AO239" s="3"/>
      <x:c r="AP239" s="3"/>
      <x:c r="AQ239" s="3"/>
      <x:c r="AR239" s="3"/>
      <x:c r="AS239" s="3"/>
      <x:c r="AT239" s="3"/>
      <x:c r="AU239" s="3"/>
      <x:c r="AV239" s="3"/>
      <x:c r="AW239" s="3"/>
      <x:c r="AX239" s="3"/>
      <x:c r="AY239" s="3"/>
      <x:c r="AZ239" s="3" t="str">
        <x:f>IF(AND('中古車掲載'!C240="One2car",'中古車掲載'!F240="ATTO 3",'中古車掲載'!L240="EXTENDED RANGE",'中古車掲載'!J240=2023,ISNUMBER('中古車掲載'!N240),'中古車掲載'!N240&gt;=20000,'中古車掲載'!O240&lt;=100000,'中古車掲載'!AL240=1),'中古車掲載'!U240,"")</x:f>
      </x:c>
      <x:c r="BA239" s="3" t="str">
        <x:f>IF(AND('中古車掲載'!C240="One2car",'中古車掲載'!F240="Corolla Cross",'中古車掲載'!L240="HEV PREMIUM SAFETY",'中古車掲載'!J240=2023,ISNUMBER('中古車掲載'!N240),'中古車掲載'!N240&gt;=20000,'中古車掲載'!O240&lt;=100000,'中古車掲載'!AL240=1,'中古車掲載'!Z240="https://www.one2car.com/en/cars-for-sale/toyota/corolla-cross/year-2023"),'中古車掲載'!U240,"")</x:f>
      </x:c>
      <x:c r="BB239" s="3" t="str">
        <x:f>IF(AND('中古車掲載'!C240="One2car",'中古車掲載'!F240="ATTO 3",'中古車掲載'!L240="EXTENDED RANGE",'中古車掲載'!J240=2023,ISNUMBER('中古車掲載'!N240),'中古車掲載'!N240&gt;=50000,'中古車掲載'!O240&lt;=100000,'中古車掲載'!AL240=1),'中古車掲載'!U240,"")</x:f>
      </x:c>
      <x:c r="BC239" s="3" t="str">
        <x:f>IF(AND('中古車掲載'!C240="One2car",'中古車掲載'!F240="Corolla Cross",'中古車掲載'!L240="HEV PREMIUM SAFETY",'中古車掲載'!J240=2023,ISNUMBER('中古車掲載'!N240),'中古車掲載'!N240&gt;=50000,'中古車掲載'!O240&lt;=100000,'中古車掲載'!AL240=1,'中古車掲載'!Z240="https://www.one2car.com/en/cars-for-sale/toyota/corolla-cross/year-2023"),'中古車掲載'!U240,"")</x:f>
      </x:c>
      <x:c r="BD239" s="3" t="str">
        <x:f>IF(AND('中古車掲載'!C240="One2car",'中古車掲載'!F240="ATTO 3",'中古車掲載'!L240="EXTENDED RANGE",'中古車掲載'!J240=2023,ISNUMBER('中古車掲載'!N240),'中古車掲載'!N240&gt;=20000,'中古車掲載'!O240&lt;=50000,'中古車掲載'!AL240=1),'中古車掲載'!U240,"")</x:f>
      </x:c>
      <x:c r="BE239" s="3" t="str">
        <x:f>IF(AND('中古車掲載'!C240="One2car",'中古車掲載'!F240="Corolla Cross",'中古車掲載'!L240="HEV PREMIUM SAFETY",'中古車掲載'!J240=2023,ISNUMBER('中古車掲載'!N240),'中古車掲載'!N240&gt;=20000,'中古車掲載'!O240&lt;=50000,'中古車掲載'!AL240=1,'中古車掲載'!Z240="https://www.one2car.com/en/cars-for-sale/toyota/corolla-cross/year-2023"),'中古車掲載'!U240,"")</x:f>
      </x:c>
      <x:c r="BF239" s="3" t="str">
        <x:f>IF(AND('中古車掲載'!C240="One2car",'中古車掲載'!F240="Corolla Cross",'中古車掲載'!L240="HEV PREMIUM",'中古車掲載'!J240=2023,ISNUMBER('中古車掲載'!N240),'中古車掲載'!N240&gt;=20000,'中古車掲載'!O240&lt;=100000,'中古車掲載'!AL240=1,'中古車掲載'!Z240="https://www.one2car.com/en/cars-for-sale/toyota/corolla-cross/year-2023"),'中古車掲載'!U240,"")</x:f>
      </x:c>
      <x:c r="BG239" s="3" t="str">
        <x:f>IF(AND('中古車掲載'!C240="One2car",'中古車掲載'!F240="Corolla Cross",'中古車掲載'!L240="HEV GR SPORT",'中古車掲載'!J240=2023,ISNUMBER('中古車掲載'!N240),'中古車掲載'!N240&gt;=20000,'中古車掲載'!O240&lt;=100000,'中古車掲載'!AL240=1,'中古車掲載'!Z240="https://www.one2car.com/en/cars-for-sale/toyota/corolla-cross/year-2023"),'中古車掲載'!U240,"")</x:f>
      </x:c>
      <x:c r="BH239" s="3" t="str">
        <x:f>IF(AND('中古車掲載'!C240="One2car",'中古車掲載'!F240="DOLPHIN",'中古車掲載'!L240="STANDARD RANGE",'中古車掲載'!J240=2023,ISNUMBER('中古車掲載'!N240),'中古車掲載'!N240&gt;=20000,'中古車掲載'!O240&lt;=100000,'中古車掲載'!AL240=1),'中古車掲載'!U240,"")</x:f>
      </x:c>
      <x:c r="BI239" s="3" t="str">
        <x:v>Taladrod|Corolla Altis|ICE|Unknown</x:v>
      </x:c>
      <x:c r="BJ239" s="3" t="n">
        <x:v>240</x:v>
      </x:c>
      <x:c r="BK239" s="3" t="n">
        <x:f>'中古車掲載'!AM240</x:f>
        <x:v>429000</x:v>
      </x:c>
      <x:c r="BL239" s="3" t="str">
        <x:f>IF(ISNUMBER('中古車掲載'!AN240),'中古車掲載'!AN240,"")</x:f>
      </x:c>
      <x:c r="BM239" s="3" t="str">
        <x:v>2024|Smart cab</x:v>
      </x:c>
      <x:c r="BN239" s="3" t="n">
        <x:v>871</x:v>
      </x:c>
      <x:c r="BO239" s="3" t="n">
        <x:f>'中古車掲載'!AM871</x:f>
        <x:v>565000</x:v>
      </x:c>
      <x:c r="BP239" s="3" t="str">
        <x:v>2.4 ENTRY PRERUNNER SMART CAB</x:v>
      </x:c>
      <x:c r="BQ239" s="3"/>
      <x:c r="BR239" s="3"/>
    </x:row>
    <x:row r="240" ht="22" customHeight="1">
      <x:c r="A240" s="3"/>
      <x:c r="B240" s="3"/>
      <x:c r="C240" s="3"/>
      <x:c r="D240" s="3"/>
      <x:c r="E240" s="3"/>
      <x:c r="F240" s="3"/>
      <x:c r="G240" s="3"/>
      <x:c r="H240" s="3"/>
      <x:c r="I240" s="3"/>
      <x:c r="J240" s="3"/>
      <x:c r="K240" s="3"/>
      <x:c r="L240" s="3"/>
      <x:c r="M240" s="3"/>
      <x:c r="N240" s="3"/>
      <x:c r="O240" s="3"/>
      <x:c r="P240" s="3"/>
      <x:c r="Q240" s="3"/>
      <x:c r="R240" s="3"/>
      <x:c r="S240" s="3"/>
      <x:c r="T240" s="3"/>
      <x:c r="U240" s="3"/>
      <x:c r="V240" s="3"/>
      <x:c r="W240" s="3"/>
      <x:c r="X240" s="3"/>
      <x:c r="Y240" s="3"/>
      <x:c r="Z240" s="3"/>
      <x:c r="AA240" s="3"/>
      <x:c r="AB240" s="3"/>
      <x:c r="AC240" s="3"/>
      <x:c r="AD240" s="3"/>
      <x:c r="AE240" s="3"/>
      <x:c r="AF240" s="3"/>
      <x:c r="AG240" s="3"/>
      <x:c r="AH240" s="3"/>
      <x:c r="AI240" s="3"/>
      <x:c r="AJ240" s="3"/>
      <x:c r="AK240" s="3"/>
      <x:c r="AL240" s="3"/>
      <x:c r="AM240" s="3"/>
      <x:c r="AN240" s="3"/>
      <x:c r="AO240" s="3"/>
      <x:c r="AP240" s="3"/>
      <x:c r="AQ240" s="3"/>
      <x:c r="AR240" s="3"/>
      <x:c r="AS240" s="3"/>
      <x:c r="AT240" s="3"/>
      <x:c r="AU240" s="3"/>
      <x:c r="AV240" s="3"/>
      <x:c r="AW240" s="3"/>
      <x:c r="AX240" s="3"/>
      <x:c r="AY240" s="3"/>
      <x:c r="AZ240" s="3" t="str">
        <x:f>IF(AND('中古車掲載'!C241="One2car",'中古車掲載'!F241="ATTO 3",'中古車掲載'!L241="EXTENDED RANGE",'中古車掲載'!J241=2023,ISNUMBER('中古車掲載'!N241),'中古車掲載'!N241&gt;=20000,'中古車掲載'!O241&lt;=100000,'中古車掲載'!AL241=1),'中古車掲載'!U241,"")</x:f>
      </x:c>
      <x:c r="BA240" s="3" t="str">
        <x:f>IF(AND('中古車掲載'!C241="One2car",'中古車掲載'!F241="Corolla Cross",'中古車掲載'!L241="HEV PREMIUM SAFETY",'中古車掲載'!J241=2023,ISNUMBER('中古車掲載'!N241),'中古車掲載'!N241&gt;=20000,'中古車掲載'!O241&lt;=100000,'中古車掲載'!AL241=1,'中古車掲載'!Z241="https://www.one2car.com/en/cars-for-sale/toyota/corolla-cross/year-2023"),'中古車掲載'!U241,"")</x:f>
      </x:c>
      <x:c r="BB240" s="3" t="str">
        <x:f>IF(AND('中古車掲載'!C241="One2car",'中古車掲載'!F241="ATTO 3",'中古車掲載'!L241="EXTENDED RANGE",'中古車掲載'!J241=2023,ISNUMBER('中古車掲載'!N241),'中古車掲載'!N241&gt;=50000,'中古車掲載'!O241&lt;=100000,'中古車掲載'!AL241=1),'中古車掲載'!U241,"")</x:f>
      </x:c>
      <x:c r="BC240" s="3" t="str">
        <x:f>IF(AND('中古車掲載'!C241="One2car",'中古車掲載'!F241="Corolla Cross",'中古車掲載'!L241="HEV PREMIUM SAFETY",'中古車掲載'!J241=2023,ISNUMBER('中古車掲載'!N241),'中古車掲載'!N241&gt;=50000,'中古車掲載'!O241&lt;=100000,'中古車掲載'!AL241=1,'中古車掲載'!Z241="https://www.one2car.com/en/cars-for-sale/toyota/corolla-cross/year-2023"),'中古車掲載'!U241,"")</x:f>
      </x:c>
      <x:c r="BD240" s="3" t="str">
        <x:f>IF(AND('中古車掲載'!C241="One2car",'中古車掲載'!F241="ATTO 3",'中古車掲載'!L241="EXTENDED RANGE",'中古車掲載'!J241=2023,ISNUMBER('中古車掲載'!N241),'中古車掲載'!N241&gt;=20000,'中古車掲載'!O241&lt;=50000,'中古車掲載'!AL241=1),'中古車掲載'!U241,"")</x:f>
      </x:c>
      <x:c r="BE240" s="3" t="str">
        <x:f>IF(AND('中古車掲載'!C241="One2car",'中古車掲載'!F241="Corolla Cross",'中古車掲載'!L241="HEV PREMIUM SAFETY",'中古車掲載'!J241=2023,ISNUMBER('中古車掲載'!N241),'中古車掲載'!N241&gt;=20000,'中古車掲載'!O241&lt;=50000,'中古車掲載'!AL241=1,'中古車掲載'!Z241="https://www.one2car.com/en/cars-for-sale/toyota/corolla-cross/year-2023"),'中古車掲載'!U241,"")</x:f>
      </x:c>
      <x:c r="BF240" s="3" t="str">
        <x:f>IF(AND('中古車掲載'!C241="One2car",'中古車掲載'!F241="Corolla Cross",'中古車掲載'!L241="HEV PREMIUM",'中古車掲載'!J241=2023,ISNUMBER('中古車掲載'!N241),'中古車掲載'!N241&gt;=20000,'中古車掲載'!O241&lt;=100000,'中古車掲載'!AL241=1,'中古車掲載'!Z241="https://www.one2car.com/en/cars-for-sale/toyota/corolla-cross/year-2023"),'中古車掲載'!U241,"")</x:f>
      </x:c>
      <x:c r="BG240" s="3" t="str">
        <x:f>IF(AND('中古車掲載'!C241="One2car",'中古車掲載'!F241="Corolla Cross",'中古車掲載'!L241="HEV GR SPORT",'中古車掲載'!J241=2023,ISNUMBER('中古車掲載'!N241),'中古車掲載'!N241&gt;=20000,'中古車掲載'!O241&lt;=100000,'中古車掲載'!AL241=1,'中古車掲載'!Z241="https://www.one2car.com/en/cars-for-sale/toyota/corolla-cross/year-2023"),'中古車掲載'!U241,"")</x:f>
      </x:c>
      <x:c r="BH240" s="3" t="str">
        <x:f>IF(AND('中古車掲載'!C241="One2car",'中古車掲載'!F241="DOLPHIN",'中古車掲載'!L241="STANDARD RANGE",'中古車掲載'!J241=2023,ISNUMBER('中古車掲載'!N241),'中古車掲載'!N241&gt;=20000,'中古車掲載'!O241&lt;=100000,'中古車掲載'!AL241=1),'中古車掲載'!U241,"")</x:f>
      </x:c>
      <x:c r="BI240" s="3" t="str">
        <x:v>Taladrod|Corolla Altis|ICE|Unknown</x:v>
      </x:c>
      <x:c r="BJ240" s="3" t="n">
        <x:v>241</x:v>
      </x:c>
      <x:c r="BK240" s="3" t="n">
        <x:f>'中古車掲載'!AM241</x:f>
        <x:v>499000</x:v>
      </x:c>
      <x:c r="BL240" s="3" t="str">
        <x:f>IF(ISNUMBER('中古車掲載'!AN241),'中古車掲載'!AN241,"")</x:f>
      </x:c>
      <x:c r="BM240" s="3" t="str">
        <x:v>2024|Smart cab</x:v>
      </x:c>
      <x:c r="BN240" s="3" t="n">
        <x:v>880</x:v>
      </x:c>
      <x:c r="BO240" s="3" t="n">
        <x:f>'中古車掲載'!AM880</x:f>
        <x:v>364000</x:v>
      </x:c>
      <x:c r="BP240" s="3" t="str">
        <x:v>2.4 ENTRY Z EDITION SMART CAB</x:v>
      </x:c>
      <x:c r="BQ240" s="3"/>
      <x:c r="BR240" s="3"/>
    </x:row>
    <x:row r="241" ht="22" customHeight="1">
      <x:c r="A241" s="3"/>
      <x:c r="B241" s="3"/>
      <x:c r="C241" s="3"/>
      <x:c r="D241" s="3"/>
      <x:c r="E241" s="3"/>
      <x:c r="F241" s="3"/>
      <x:c r="G241" s="3"/>
      <x:c r="H241" s="3"/>
      <x:c r="I241" s="3"/>
      <x:c r="J241" s="3"/>
      <x:c r="K241" s="3"/>
      <x:c r="L241" s="3"/>
      <x:c r="M241" s="3"/>
      <x:c r="N241" s="3"/>
      <x:c r="O241" s="3"/>
      <x:c r="P241" s="3"/>
      <x:c r="Q241" s="3"/>
      <x:c r="R241" s="3"/>
      <x:c r="S241" s="3"/>
      <x:c r="T241" s="3"/>
      <x:c r="U241" s="3"/>
      <x:c r="V241" s="3"/>
      <x:c r="W241" s="3"/>
      <x:c r="X241" s="3"/>
      <x:c r="Y241" s="3"/>
      <x:c r="Z241" s="3"/>
      <x:c r="AA241" s="3"/>
      <x:c r="AB241" s="3"/>
      <x:c r="AC241" s="3"/>
      <x:c r="AD241" s="3"/>
      <x:c r="AE241" s="3"/>
      <x:c r="AF241" s="3"/>
      <x:c r="AG241" s="3"/>
      <x:c r="AH241" s="3"/>
      <x:c r="AI241" s="3"/>
      <x:c r="AJ241" s="3"/>
      <x:c r="AK241" s="3"/>
      <x:c r="AL241" s="3"/>
      <x:c r="AM241" s="3"/>
      <x:c r="AN241" s="3"/>
      <x:c r="AO241" s="3"/>
      <x:c r="AP241" s="3"/>
      <x:c r="AQ241" s="3"/>
      <x:c r="AR241" s="3"/>
      <x:c r="AS241" s="3"/>
      <x:c r="AT241" s="3"/>
      <x:c r="AU241" s="3"/>
      <x:c r="AV241" s="3"/>
      <x:c r="AW241" s="3"/>
      <x:c r="AX241" s="3"/>
      <x:c r="AY241" s="3"/>
      <x:c r="AZ241" s="3" t="str">
        <x:f>IF(AND('中古車掲載'!C242="One2car",'中古車掲載'!F242="ATTO 3",'中古車掲載'!L242="EXTENDED RANGE",'中古車掲載'!J242=2023,ISNUMBER('中古車掲載'!N242),'中古車掲載'!N242&gt;=20000,'中古車掲載'!O242&lt;=100000,'中古車掲載'!AL242=1),'中古車掲載'!U242,"")</x:f>
      </x:c>
      <x:c r="BA241" s="3" t="str">
        <x:f>IF(AND('中古車掲載'!C242="One2car",'中古車掲載'!F242="Corolla Cross",'中古車掲載'!L242="HEV PREMIUM SAFETY",'中古車掲載'!J242=2023,ISNUMBER('中古車掲載'!N242),'中古車掲載'!N242&gt;=20000,'中古車掲載'!O242&lt;=100000,'中古車掲載'!AL242=1,'中古車掲載'!Z242="https://www.one2car.com/en/cars-for-sale/toyota/corolla-cross/year-2023"),'中古車掲載'!U242,"")</x:f>
      </x:c>
      <x:c r="BB241" s="3" t="str">
        <x:f>IF(AND('中古車掲載'!C242="One2car",'中古車掲載'!F242="ATTO 3",'中古車掲載'!L242="EXTENDED RANGE",'中古車掲載'!J242=2023,ISNUMBER('中古車掲載'!N242),'中古車掲載'!N242&gt;=50000,'中古車掲載'!O242&lt;=100000,'中古車掲載'!AL242=1),'中古車掲載'!U242,"")</x:f>
      </x:c>
      <x:c r="BC241" s="3" t="str">
        <x:f>IF(AND('中古車掲載'!C242="One2car",'中古車掲載'!F242="Corolla Cross",'中古車掲載'!L242="HEV PREMIUM SAFETY",'中古車掲載'!J242=2023,ISNUMBER('中古車掲載'!N242),'中古車掲載'!N242&gt;=50000,'中古車掲載'!O242&lt;=100000,'中古車掲載'!AL242=1,'中古車掲載'!Z242="https://www.one2car.com/en/cars-for-sale/toyota/corolla-cross/year-2023"),'中古車掲載'!U242,"")</x:f>
      </x:c>
      <x:c r="BD241" s="3" t="str">
        <x:f>IF(AND('中古車掲載'!C242="One2car",'中古車掲載'!F242="ATTO 3",'中古車掲載'!L242="EXTENDED RANGE",'中古車掲載'!J242=2023,ISNUMBER('中古車掲載'!N242),'中古車掲載'!N242&gt;=20000,'中古車掲載'!O242&lt;=50000,'中古車掲載'!AL242=1),'中古車掲載'!U242,"")</x:f>
      </x:c>
      <x:c r="BE241" s="3" t="str">
        <x:f>IF(AND('中古車掲載'!C242="One2car",'中古車掲載'!F242="Corolla Cross",'中古車掲載'!L242="HEV PREMIUM SAFETY",'中古車掲載'!J242=2023,ISNUMBER('中古車掲載'!N242),'中古車掲載'!N242&gt;=20000,'中古車掲載'!O242&lt;=50000,'中古車掲載'!AL242=1,'中古車掲載'!Z242="https://www.one2car.com/en/cars-for-sale/toyota/corolla-cross/year-2023"),'中古車掲載'!U242,"")</x:f>
      </x:c>
      <x:c r="BF241" s="3" t="str">
        <x:f>IF(AND('中古車掲載'!C242="One2car",'中古車掲載'!F242="Corolla Cross",'中古車掲載'!L242="HEV PREMIUM",'中古車掲載'!J242=2023,ISNUMBER('中古車掲載'!N242),'中古車掲載'!N242&gt;=20000,'中古車掲載'!O242&lt;=100000,'中古車掲載'!AL242=1,'中古車掲載'!Z242="https://www.one2car.com/en/cars-for-sale/toyota/corolla-cross/year-2023"),'中古車掲載'!U242,"")</x:f>
      </x:c>
      <x:c r="BG241" s="3" t="str">
        <x:f>IF(AND('中古車掲載'!C242="One2car",'中古車掲載'!F242="Corolla Cross",'中古車掲載'!L242="HEV GR SPORT",'中古車掲載'!J242=2023,ISNUMBER('中古車掲載'!N242),'中古車掲載'!N242&gt;=20000,'中古車掲載'!O242&lt;=100000,'中古車掲載'!AL242=1,'中古車掲載'!Z242="https://www.one2car.com/en/cars-for-sale/toyota/corolla-cross/year-2023"),'中古車掲載'!U242,"")</x:f>
      </x:c>
      <x:c r="BH241" s="3" t="str">
        <x:f>IF(AND('中古車掲載'!C242="One2car",'中古車掲載'!F242="DOLPHIN",'中古車掲載'!L242="STANDARD RANGE",'中古車掲載'!J242=2023,ISNUMBER('中古車掲載'!N242),'中古車掲載'!N242&gt;=20000,'中古車掲載'!O242&lt;=100000,'中古車掲載'!AL242=1),'中古車掲載'!U242,"")</x:f>
      </x:c>
      <x:c r="BI241" s="3" t="str">
        <x:v>Taladrod|Corolla Altis|ICE|Unknown</x:v>
      </x:c>
      <x:c r="BJ241" s="3" t="n">
        <x:v>242</x:v>
      </x:c>
      <x:c r="BK241" s="3" t="n">
        <x:f>'中古車掲載'!AM242</x:f>
        <x:v>419000</x:v>
      </x:c>
      <x:c r="BL241" s="3" t="str">
        <x:f>IF(ISNUMBER('中古車掲載'!AN242),'中古車掲載'!AN242,"")</x:f>
      </x:c>
      <x:c r="BM241" s="3" t="str">
        <x:v>2024|Smart cab</x:v>
      </x:c>
      <x:c r="BN241" s="3" t="n">
        <x:v>881</x:v>
      </x:c>
      <x:c r="BO241" s="3" t="n">
        <x:f>'中古車掲載'!AM881</x:f>
        <x:v>399000</x:v>
      </x:c>
      <x:c r="BP241" s="3" t="str">
        <x:v>2.4 ENTRY Z EDITION SMART CAB</x:v>
      </x:c>
      <x:c r="BQ241" s="3"/>
      <x:c r="BR241" s="3"/>
    </x:row>
    <x:row r="242" ht="22" customHeight="1">
      <x:c r="A242" s="3"/>
      <x:c r="B242" s="3"/>
      <x:c r="C242" s="3"/>
      <x:c r="D242" s="3"/>
      <x:c r="E242" s="3"/>
      <x:c r="F242" s="3"/>
      <x:c r="G242" s="3"/>
      <x:c r="H242" s="3"/>
      <x:c r="I242" s="3"/>
      <x:c r="J242" s="3"/>
      <x:c r="K242" s="3"/>
      <x:c r="L242" s="3"/>
      <x:c r="M242" s="3"/>
      <x:c r="N242" s="3"/>
      <x:c r="O242" s="3"/>
      <x:c r="P242" s="3"/>
      <x:c r="Q242" s="3"/>
      <x:c r="R242" s="3"/>
      <x:c r="S242" s="3"/>
      <x:c r="T242" s="3"/>
      <x:c r="U242" s="3"/>
      <x:c r="V242" s="3"/>
      <x:c r="W242" s="3"/>
      <x:c r="X242" s="3"/>
      <x:c r="Y242" s="3"/>
      <x:c r="Z242" s="3"/>
      <x:c r="AA242" s="3"/>
      <x:c r="AB242" s="3"/>
      <x:c r="AC242" s="3"/>
      <x:c r="AD242" s="3"/>
      <x:c r="AE242" s="3"/>
      <x:c r="AF242" s="3"/>
      <x:c r="AG242" s="3"/>
      <x:c r="AH242" s="3"/>
      <x:c r="AI242" s="3"/>
      <x:c r="AJ242" s="3"/>
      <x:c r="AK242" s="3"/>
      <x:c r="AL242" s="3"/>
      <x:c r="AM242" s="3"/>
      <x:c r="AN242" s="3"/>
      <x:c r="AO242" s="3"/>
      <x:c r="AP242" s="3"/>
      <x:c r="AQ242" s="3"/>
      <x:c r="AR242" s="3"/>
      <x:c r="AS242" s="3"/>
      <x:c r="AT242" s="3"/>
      <x:c r="AU242" s="3"/>
      <x:c r="AV242" s="3"/>
      <x:c r="AW242" s="3"/>
      <x:c r="AX242" s="3"/>
      <x:c r="AY242" s="3"/>
      <x:c r="AZ242" s="3" t="str">
        <x:f>IF(AND('中古車掲載'!C243="One2car",'中古車掲載'!F243="ATTO 3",'中古車掲載'!L243="EXTENDED RANGE",'中古車掲載'!J243=2023,ISNUMBER('中古車掲載'!N243),'中古車掲載'!N243&gt;=20000,'中古車掲載'!O243&lt;=100000,'中古車掲載'!AL243=1),'中古車掲載'!U243,"")</x:f>
      </x:c>
      <x:c r="BA242" s="3" t="str">
        <x:f>IF(AND('中古車掲載'!C243="One2car",'中古車掲載'!F243="Corolla Cross",'中古車掲載'!L243="HEV PREMIUM SAFETY",'中古車掲載'!J243=2023,ISNUMBER('中古車掲載'!N243),'中古車掲載'!N243&gt;=20000,'中古車掲載'!O243&lt;=100000,'中古車掲載'!AL243=1,'中古車掲載'!Z243="https://www.one2car.com/en/cars-for-sale/toyota/corolla-cross/year-2023"),'中古車掲載'!U243,"")</x:f>
      </x:c>
      <x:c r="BB242" s="3" t="str">
        <x:f>IF(AND('中古車掲載'!C243="One2car",'中古車掲載'!F243="ATTO 3",'中古車掲載'!L243="EXTENDED RANGE",'中古車掲載'!J243=2023,ISNUMBER('中古車掲載'!N243),'中古車掲載'!N243&gt;=50000,'中古車掲載'!O243&lt;=100000,'中古車掲載'!AL243=1),'中古車掲載'!U243,"")</x:f>
      </x:c>
      <x:c r="BC242" s="3" t="str">
        <x:f>IF(AND('中古車掲載'!C243="One2car",'中古車掲載'!F243="Corolla Cross",'中古車掲載'!L243="HEV PREMIUM SAFETY",'中古車掲載'!J243=2023,ISNUMBER('中古車掲載'!N243),'中古車掲載'!N243&gt;=50000,'中古車掲載'!O243&lt;=100000,'中古車掲載'!AL243=1,'中古車掲載'!Z243="https://www.one2car.com/en/cars-for-sale/toyota/corolla-cross/year-2023"),'中古車掲載'!U243,"")</x:f>
      </x:c>
      <x:c r="BD242" s="3" t="str">
        <x:f>IF(AND('中古車掲載'!C243="One2car",'中古車掲載'!F243="ATTO 3",'中古車掲載'!L243="EXTENDED RANGE",'中古車掲載'!J243=2023,ISNUMBER('中古車掲載'!N243),'中古車掲載'!N243&gt;=20000,'中古車掲載'!O243&lt;=50000,'中古車掲載'!AL243=1),'中古車掲載'!U243,"")</x:f>
      </x:c>
      <x:c r="BE242" s="3" t="str">
        <x:f>IF(AND('中古車掲載'!C243="One2car",'中古車掲載'!F243="Corolla Cross",'中古車掲載'!L243="HEV PREMIUM SAFETY",'中古車掲載'!J243=2023,ISNUMBER('中古車掲載'!N243),'中古車掲載'!N243&gt;=20000,'中古車掲載'!O243&lt;=50000,'中古車掲載'!AL243=1,'中古車掲載'!Z243="https://www.one2car.com/en/cars-for-sale/toyota/corolla-cross/year-2023"),'中古車掲載'!U243,"")</x:f>
      </x:c>
      <x:c r="BF242" s="3" t="str">
        <x:f>IF(AND('中古車掲載'!C243="One2car",'中古車掲載'!F243="Corolla Cross",'中古車掲載'!L243="HEV PREMIUM",'中古車掲載'!J243=2023,ISNUMBER('中古車掲載'!N243),'中古車掲載'!N243&gt;=20000,'中古車掲載'!O243&lt;=100000,'中古車掲載'!AL243=1,'中古車掲載'!Z243="https://www.one2car.com/en/cars-for-sale/toyota/corolla-cross/year-2023"),'中古車掲載'!U243,"")</x:f>
      </x:c>
      <x:c r="BG242" s="3" t="str">
        <x:f>IF(AND('中古車掲載'!C243="One2car",'中古車掲載'!F243="Corolla Cross",'中古車掲載'!L243="HEV GR SPORT",'中古車掲載'!J243=2023,ISNUMBER('中古車掲載'!N243),'中古車掲載'!N243&gt;=20000,'中古車掲載'!O243&lt;=100000,'中古車掲載'!AL243=1,'中古車掲載'!Z243="https://www.one2car.com/en/cars-for-sale/toyota/corolla-cross/year-2023"),'中古車掲載'!U243,"")</x:f>
      </x:c>
      <x:c r="BH242" s="3" t="str">
        <x:f>IF(AND('中古車掲載'!C243="One2car",'中古車掲載'!F243="DOLPHIN",'中古車掲載'!L243="STANDARD RANGE",'中古車掲載'!J243=2023,ISNUMBER('中古車掲載'!N243),'中古車掲載'!N243&gt;=20000,'中古車掲載'!O243&lt;=100000,'中古車掲載'!AL243=1),'中古車掲載'!U243,"")</x:f>
      </x:c>
      <x:c r="BI242" s="3" t="str">
        <x:v>Taladrod|Corolla Altis|ICE|Unknown</x:v>
      </x:c>
      <x:c r="BJ242" s="3" t="n">
        <x:v>243</x:v>
      </x:c>
      <x:c r="BK242" s="3" t="n">
        <x:f>'中古車掲載'!AM243</x:f>
        <x:v>459000</x:v>
      </x:c>
      <x:c r="BL242" s="3" t="str">
        <x:f>IF(ISNUMBER('中古車掲載'!AN243),'中古車掲載'!AN243,"")</x:f>
      </x:c>
      <x:c r="BM242" s="3" t="str">
        <x:v>2024|Smart cab</x:v>
      </x:c>
      <x:c r="BN242" s="3" t="n">
        <x:v>888</x:v>
      </x:c>
      <x:c r="BO242" s="3" t="n">
        <x:f>'中古車掲載'!AM888</x:f>
        <x:v>679000</x:v>
      </x:c>
      <x:c r="BP242" s="3" t="str">
        <x:v>2.4 MID PRERUNNER SMART CAB</x:v>
      </x:c>
      <x:c r="BQ242" s="3"/>
      <x:c r="BR242" s="3"/>
    </x:row>
    <x:row r="243" ht="22" customHeight="1">
      <x:c r="A243" s="3"/>
      <x:c r="B243" s="3"/>
      <x:c r="C243" s="3"/>
      <x:c r="D243" s="3"/>
      <x:c r="E243" s="3"/>
      <x:c r="F243" s="3"/>
      <x:c r="G243" s="3"/>
      <x:c r="H243" s="3"/>
      <x:c r="I243" s="3"/>
      <x:c r="J243" s="3"/>
      <x:c r="K243" s="3"/>
      <x:c r="L243" s="3"/>
      <x:c r="M243" s="3"/>
      <x:c r="N243" s="3"/>
      <x:c r="O243" s="3"/>
      <x:c r="P243" s="3"/>
      <x:c r="Q243" s="3"/>
      <x:c r="R243" s="3"/>
      <x:c r="S243" s="3"/>
      <x:c r="T243" s="3"/>
      <x:c r="U243" s="3"/>
      <x:c r="V243" s="3"/>
      <x:c r="W243" s="3"/>
      <x:c r="X243" s="3"/>
      <x:c r="Y243" s="3"/>
      <x:c r="Z243" s="3"/>
      <x:c r="AA243" s="3"/>
      <x:c r="AB243" s="3"/>
      <x:c r="AC243" s="3"/>
      <x:c r="AD243" s="3"/>
      <x:c r="AE243" s="3"/>
      <x:c r="AF243" s="3"/>
      <x:c r="AG243" s="3"/>
      <x:c r="AH243" s="3"/>
      <x:c r="AI243" s="3"/>
      <x:c r="AJ243" s="3"/>
      <x:c r="AK243" s="3"/>
      <x:c r="AL243" s="3"/>
      <x:c r="AM243" s="3"/>
      <x:c r="AN243" s="3"/>
      <x:c r="AO243" s="3"/>
      <x:c r="AP243" s="3"/>
      <x:c r="AQ243" s="3"/>
      <x:c r="AR243" s="3"/>
      <x:c r="AS243" s="3"/>
      <x:c r="AT243" s="3"/>
      <x:c r="AU243" s="3"/>
      <x:c r="AV243" s="3"/>
      <x:c r="AW243" s="3"/>
      <x:c r="AX243" s="3"/>
      <x:c r="AY243" s="3"/>
      <x:c r="AZ243" s="3" t="str">
        <x:f>IF(AND('中古車掲載'!C244="One2car",'中古車掲載'!F244="ATTO 3",'中古車掲載'!L244="EXTENDED RANGE",'中古車掲載'!J244=2023,ISNUMBER('中古車掲載'!N244),'中古車掲載'!N244&gt;=20000,'中古車掲載'!O244&lt;=100000,'中古車掲載'!AL244=1),'中古車掲載'!U244,"")</x:f>
      </x:c>
      <x:c r="BA243" s="3" t="str">
        <x:f>IF(AND('中古車掲載'!C244="One2car",'中古車掲載'!F244="Corolla Cross",'中古車掲載'!L244="HEV PREMIUM SAFETY",'中古車掲載'!J244=2023,ISNUMBER('中古車掲載'!N244),'中古車掲載'!N244&gt;=20000,'中古車掲載'!O244&lt;=100000,'中古車掲載'!AL244=1,'中古車掲載'!Z244="https://www.one2car.com/en/cars-for-sale/toyota/corolla-cross/year-2023"),'中古車掲載'!U244,"")</x:f>
      </x:c>
      <x:c r="BB243" s="3" t="str">
        <x:f>IF(AND('中古車掲載'!C244="One2car",'中古車掲載'!F244="ATTO 3",'中古車掲載'!L244="EXTENDED RANGE",'中古車掲載'!J244=2023,ISNUMBER('中古車掲載'!N244),'中古車掲載'!N244&gt;=50000,'中古車掲載'!O244&lt;=100000,'中古車掲載'!AL244=1),'中古車掲載'!U244,"")</x:f>
      </x:c>
      <x:c r="BC243" s="3" t="str">
        <x:f>IF(AND('中古車掲載'!C244="One2car",'中古車掲載'!F244="Corolla Cross",'中古車掲載'!L244="HEV PREMIUM SAFETY",'中古車掲載'!J244=2023,ISNUMBER('中古車掲載'!N244),'中古車掲載'!N244&gt;=50000,'中古車掲載'!O244&lt;=100000,'中古車掲載'!AL244=1,'中古車掲載'!Z244="https://www.one2car.com/en/cars-for-sale/toyota/corolla-cross/year-2023"),'中古車掲載'!U244,"")</x:f>
      </x:c>
      <x:c r="BD243" s="3" t="str">
        <x:f>IF(AND('中古車掲載'!C244="One2car",'中古車掲載'!F244="ATTO 3",'中古車掲載'!L244="EXTENDED RANGE",'中古車掲載'!J244=2023,ISNUMBER('中古車掲載'!N244),'中古車掲載'!N244&gt;=20000,'中古車掲載'!O244&lt;=50000,'中古車掲載'!AL244=1),'中古車掲載'!U244,"")</x:f>
      </x:c>
      <x:c r="BE243" s="3" t="str">
        <x:f>IF(AND('中古車掲載'!C244="One2car",'中古車掲載'!F244="Corolla Cross",'中古車掲載'!L244="HEV PREMIUM SAFETY",'中古車掲載'!J244=2023,ISNUMBER('中古車掲載'!N244),'中古車掲載'!N244&gt;=20000,'中古車掲載'!O244&lt;=50000,'中古車掲載'!AL244=1,'中古車掲載'!Z244="https://www.one2car.com/en/cars-for-sale/toyota/corolla-cross/year-2023"),'中古車掲載'!U244,"")</x:f>
      </x:c>
      <x:c r="BF243" s="3" t="str">
        <x:f>IF(AND('中古車掲載'!C244="One2car",'中古車掲載'!F244="Corolla Cross",'中古車掲載'!L244="HEV PREMIUM",'中古車掲載'!J244=2023,ISNUMBER('中古車掲載'!N244),'中古車掲載'!N244&gt;=20000,'中古車掲載'!O244&lt;=100000,'中古車掲載'!AL244=1,'中古車掲載'!Z244="https://www.one2car.com/en/cars-for-sale/toyota/corolla-cross/year-2023"),'中古車掲載'!U244,"")</x:f>
      </x:c>
      <x:c r="BG243" s="3" t="str">
        <x:f>IF(AND('中古車掲載'!C244="One2car",'中古車掲載'!F244="Corolla Cross",'中古車掲載'!L244="HEV GR SPORT",'中古車掲載'!J244=2023,ISNUMBER('中古車掲載'!N244),'中古車掲載'!N244&gt;=20000,'中古車掲載'!O244&lt;=100000,'中古車掲載'!AL244=1,'中古車掲載'!Z244="https://www.one2car.com/en/cars-for-sale/toyota/corolla-cross/year-2023"),'中古車掲載'!U244,"")</x:f>
      </x:c>
      <x:c r="BH243" s="3" t="str">
        <x:f>IF(AND('中古車掲載'!C244="One2car",'中古車掲載'!F244="DOLPHIN",'中古車掲載'!L244="STANDARD RANGE",'中古車掲載'!J244=2023,ISNUMBER('中古車掲載'!N244),'中古車掲載'!N244&gt;=20000,'中古車掲載'!O244&lt;=100000,'中古車掲載'!AL244=1),'中古車掲載'!U244,"")</x:f>
      </x:c>
      <x:c r="BI243" s="3" t="str">
        <x:v>Taladrod|Corolla Altis|ICE|Unknown</x:v>
      </x:c>
      <x:c r="BJ243" s="3" t="n">
        <x:v>244</x:v>
      </x:c>
      <x:c r="BK243" s="3" t="n">
        <x:f>'中古車掲載'!AM244</x:f>
        <x:v>425000</x:v>
      </x:c>
      <x:c r="BL243" s="3" t="str">
        <x:f>IF(ISNUMBER('中古車掲載'!AN244),'中古車掲載'!AN244,"")</x:f>
      </x:c>
      <x:c r="BM243" s="3" t="str">
        <x:v>2024|Single cab</x:v>
      </x:c>
      <x:c r="BN243" s="3" t="n">
        <x:v>872</x:v>
      </x:c>
      <x:c r="BO243" s="3" t="n">
        <x:f>'中古車掲載'!AM872</x:f>
        <x:v>479000</x:v>
      </x:c>
      <x:c r="BP243" s="3" t="str">
        <x:v>2.4 ENTRY STANDARD CAB</x:v>
      </x:c>
      <x:c r="BQ243" s="3"/>
      <x:c r="BR243" s="3"/>
    </x:row>
    <x:row r="244" ht="22" customHeight="1">
      <x:c r="A244" s="3"/>
      <x:c r="B244" s="3"/>
      <x:c r="C244" s="3"/>
      <x:c r="D244" s="3"/>
      <x:c r="E244" s="3"/>
      <x:c r="F244" s="3"/>
      <x:c r="G244" s="3"/>
      <x:c r="H244" s="3"/>
      <x:c r="I244" s="3"/>
      <x:c r="J244" s="3"/>
      <x:c r="K244" s="3"/>
      <x:c r="L244" s="3"/>
      <x:c r="M244" s="3"/>
      <x:c r="N244" s="3"/>
      <x:c r="O244" s="3"/>
      <x:c r="P244" s="3"/>
      <x:c r="Q244" s="3"/>
      <x:c r="R244" s="3"/>
      <x:c r="S244" s="3"/>
      <x:c r="T244" s="3"/>
      <x:c r="U244" s="3"/>
      <x:c r="V244" s="3"/>
      <x:c r="W244" s="3"/>
      <x:c r="X244" s="3"/>
      <x:c r="Y244" s="3"/>
      <x:c r="Z244" s="3"/>
      <x:c r="AA244" s="3"/>
      <x:c r="AB244" s="3"/>
      <x:c r="AC244" s="3"/>
      <x:c r="AD244" s="3"/>
      <x:c r="AE244" s="3"/>
      <x:c r="AF244" s="3"/>
      <x:c r="AG244" s="3"/>
      <x:c r="AH244" s="3"/>
      <x:c r="AI244" s="3"/>
      <x:c r="AJ244" s="3"/>
      <x:c r="AK244" s="3"/>
      <x:c r="AL244" s="3"/>
      <x:c r="AM244" s="3"/>
      <x:c r="AN244" s="3"/>
      <x:c r="AO244" s="3"/>
      <x:c r="AP244" s="3"/>
      <x:c r="AQ244" s="3"/>
      <x:c r="AR244" s="3"/>
      <x:c r="AS244" s="3"/>
      <x:c r="AT244" s="3"/>
      <x:c r="AU244" s="3"/>
      <x:c r="AV244" s="3"/>
      <x:c r="AW244" s="3"/>
      <x:c r="AX244" s="3"/>
      <x:c r="AY244" s="3"/>
      <x:c r="AZ244" s="3" t="str">
        <x:f>IF(AND('中古車掲載'!C245="One2car",'中古車掲載'!F245="ATTO 3",'中古車掲載'!L245="EXTENDED RANGE",'中古車掲載'!J245=2023,ISNUMBER('中古車掲載'!N245),'中古車掲載'!N245&gt;=20000,'中古車掲載'!O245&lt;=100000,'中古車掲載'!AL245=1),'中古車掲載'!U245,"")</x:f>
      </x:c>
      <x:c r="BA244" s="3" t="str">
        <x:f>IF(AND('中古車掲載'!C245="One2car",'中古車掲載'!F245="Corolla Cross",'中古車掲載'!L245="HEV PREMIUM SAFETY",'中古車掲載'!J245=2023,ISNUMBER('中古車掲載'!N245),'中古車掲載'!N245&gt;=20000,'中古車掲載'!O245&lt;=100000,'中古車掲載'!AL245=1,'中古車掲載'!Z245="https://www.one2car.com/en/cars-for-sale/toyota/corolla-cross/year-2023"),'中古車掲載'!U245,"")</x:f>
      </x:c>
      <x:c r="BB244" s="3" t="str">
        <x:f>IF(AND('中古車掲載'!C245="One2car",'中古車掲載'!F245="ATTO 3",'中古車掲載'!L245="EXTENDED RANGE",'中古車掲載'!J245=2023,ISNUMBER('中古車掲載'!N245),'中古車掲載'!N245&gt;=50000,'中古車掲載'!O245&lt;=100000,'中古車掲載'!AL245=1),'中古車掲載'!U245,"")</x:f>
      </x:c>
      <x:c r="BC244" s="3" t="str">
        <x:f>IF(AND('中古車掲載'!C245="One2car",'中古車掲載'!F245="Corolla Cross",'中古車掲載'!L245="HEV PREMIUM SAFETY",'中古車掲載'!J245=2023,ISNUMBER('中古車掲載'!N245),'中古車掲載'!N245&gt;=50000,'中古車掲載'!O245&lt;=100000,'中古車掲載'!AL245=1,'中古車掲載'!Z245="https://www.one2car.com/en/cars-for-sale/toyota/corolla-cross/year-2023"),'中古車掲載'!U245,"")</x:f>
      </x:c>
      <x:c r="BD244" s="3" t="str">
        <x:f>IF(AND('中古車掲載'!C245="One2car",'中古車掲載'!F245="ATTO 3",'中古車掲載'!L245="EXTENDED RANGE",'中古車掲載'!J245=2023,ISNUMBER('中古車掲載'!N245),'中古車掲載'!N245&gt;=20000,'中古車掲載'!O245&lt;=50000,'中古車掲載'!AL245=1),'中古車掲載'!U245,"")</x:f>
      </x:c>
      <x:c r="BE244" s="3" t="str">
        <x:f>IF(AND('中古車掲載'!C245="One2car",'中古車掲載'!F245="Corolla Cross",'中古車掲載'!L245="HEV PREMIUM SAFETY",'中古車掲載'!J245=2023,ISNUMBER('中古車掲載'!N245),'中古車掲載'!N245&gt;=20000,'中古車掲載'!O245&lt;=50000,'中古車掲載'!AL245=1,'中古車掲載'!Z245="https://www.one2car.com/en/cars-for-sale/toyota/corolla-cross/year-2023"),'中古車掲載'!U245,"")</x:f>
      </x:c>
      <x:c r="BF244" s="3" t="str">
        <x:f>IF(AND('中古車掲載'!C245="One2car",'中古車掲載'!F245="Corolla Cross",'中古車掲載'!L245="HEV PREMIUM",'中古車掲載'!J245=2023,ISNUMBER('中古車掲載'!N245),'中古車掲載'!N245&gt;=20000,'中古車掲載'!O245&lt;=100000,'中古車掲載'!AL245=1,'中古車掲載'!Z245="https://www.one2car.com/en/cars-for-sale/toyota/corolla-cross/year-2023"),'中古車掲載'!U245,"")</x:f>
      </x:c>
      <x:c r="BG244" s="3" t="str">
        <x:f>IF(AND('中古車掲載'!C245="One2car",'中古車掲載'!F245="Corolla Cross",'中古車掲載'!L245="HEV GR SPORT",'中古車掲載'!J245=2023,ISNUMBER('中古車掲載'!N245),'中古車掲載'!N245&gt;=20000,'中古車掲載'!O245&lt;=100000,'中古車掲載'!AL245=1,'中古車掲載'!Z245="https://www.one2car.com/en/cars-for-sale/toyota/corolla-cross/year-2023"),'中古車掲載'!U245,"")</x:f>
      </x:c>
      <x:c r="BH244" s="3" t="str">
        <x:f>IF(AND('中古車掲載'!C245="One2car",'中古車掲載'!F245="DOLPHIN",'中古車掲載'!L245="STANDARD RANGE",'中古車掲載'!J245=2023,ISNUMBER('中古車掲載'!N245),'中古車掲載'!N245&gt;=20000,'中古車掲載'!O245&lt;=100000,'中古車掲載'!AL245=1),'中古車掲載'!U245,"")</x:f>
      </x:c>
      <x:c r="BI244" s="3" t="str">
        <x:v>Taladrod|Corolla Altis|ICE|Unknown</x:v>
      </x:c>
      <x:c r="BJ244" s="3" t="n">
        <x:v>245</x:v>
      </x:c>
      <x:c r="BK244" s="3" t="n">
        <x:f>'中古車掲載'!AM245</x:f>
        <x:v>425000</x:v>
      </x:c>
      <x:c r="BL244" s="3" t="str">
        <x:f>IF(ISNUMBER('中古車掲載'!AN245),'中古車掲載'!AN245,"")</x:f>
      </x:c>
      <x:c r="BM244" s="3" t="str">
        <x:v>2024|Single cab</x:v>
      </x:c>
      <x:c r="BN244" s="3" t="n">
        <x:v>873</x:v>
      </x:c>
      <x:c r="BO244" s="3" t="n">
        <x:f>'中古車掲載'!AM873</x:f>
        <x:v>399000</x:v>
      </x:c>
      <x:c r="BP244" s="3" t="str">
        <x:v>2.4 ENTRY STANDARD CAB</x:v>
      </x:c>
      <x:c r="BQ244" s="3"/>
      <x:c r="BR244" s="3"/>
    </x:row>
    <x:row r="245" ht="22" customHeight="1">
      <x:c r="A245" s="3"/>
      <x:c r="B245" s="3"/>
      <x:c r="C245" s="3"/>
      <x:c r="D245" s="3"/>
      <x:c r="E245" s="3"/>
      <x:c r="F245" s="3"/>
      <x:c r="G245" s="3"/>
      <x:c r="H245" s="3"/>
      <x:c r="I245" s="3"/>
      <x:c r="J245" s="3"/>
      <x:c r="K245" s="3"/>
      <x:c r="L245" s="3"/>
      <x:c r="M245" s="3"/>
      <x:c r="N245" s="3"/>
      <x:c r="O245" s="3"/>
      <x:c r="P245" s="3"/>
      <x:c r="Q245" s="3"/>
      <x:c r="R245" s="3"/>
      <x:c r="S245" s="3"/>
      <x:c r="T245" s="3"/>
      <x:c r="U245" s="3"/>
      <x:c r="V245" s="3"/>
      <x:c r="W245" s="3"/>
      <x:c r="X245" s="3"/>
      <x:c r="Y245" s="3"/>
      <x:c r="Z245" s="3"/>
      <x:c r="AA245" s="3"/>
      <x:c r="AB245" s="3"/>
      <x:c r="AC245" s="3"/>
      <x:c r="AD245" s="3"/>
      <x:c r="AE245" s="3"/>
      <x:c r="AF245" s="3"/>
      <x:c r="AG245" s="3"/>
      <x:c r="AH245" s="3"/>
      <x:c r="AI245" s="3"/>
      <x:c r="AJ245" s="3"/>
      <x:c r="AK245" s="3"/>
      <x:c r="AL245" s="3"/>
      <x:c r="AM245" s="3"/>
      <x:c r="AN245" s="3"/>
      <x:c r="AO245" s="3"/>
      <x:c r="AP245" s="3"/>
      <x:c r="AQ245" s="3"/>
      <x:c r="AR245" s="3"/>
      <x:c r="AS245" s="3"/>
      <x:c r="AT245" s="3"/>
      <x:c r="AU245" s="3"/>
      <x:c r="AV245" s="3"/>
      <x:c r="AW245" s="3"/>
      <x:c r="AX245" s="3"/>
      <x:c r="AY245" s="3"/>
      <x:c r="AZ245" s="3" t="str">
        <x:f>IF(AND('中古車掲載'!C246="One2car",'中古車掲載'!F246="ATTO 3",'中古車掲載'!L246="EXTENDED RANGE",'中古車掲載'!J246=2023,ISNUMBER('中古車掲載'!N246),'中古車掲載'!N246&gt;=20000,'中古車掲載'!O246&lt;=100000,'中古車掲載'!AL246=1),'中古車掲載'!U246,"")</x:f>
      </x:c>
      <x:c r="BA245" s="3" t="str">
        <x:f>IF(AND('中古車掲載'!C246="One2car",'中古車掲載'!F246="Corolla Cross",'中古車掲載'!L246="HEV PREMIUM SAFETY",'中古車掲載'!J246=2023,ISNUMBER('中古車掲載'!N246),'中古車掲載'!N246&gt;=20000,'中古車掲載'!O246&lt;=100000,'中古車掲載'!AL246=1,'中古車掲載'!Z246="https://www.one2car.com/en/cars-for-sale/toyota/corolla-cross/year-2023"),'中古車掲載'!U246,"")</x:f>
      </x:c>
      <x:c r="BB245" s="3" t="str">
        <x:f>IF(AND('中古車掲載'!C246="One2car",'中古車掲載'!F246="ATTO 3",'中古車掲載'!L246="EXTENDED RANGE",'中古車掲載'!J246=2023,ISNUMBER('中古車掲載'!N246),'中古車掲載'!N246&gt;=50000,'中古車掲載'!O246&lt;=100000,'中古車掲載'!AL246=1),'中古車掲載'!U246,"")</x:f>
      </x:c>
      <x:c r="BC245" s="3" t="str">
        <x:f>IF(AND('中古車掲載'!C246="One2car",'中古車掲載'!F246="Corolla Cross",'中古車掲載'!L246="HEV PREMIUM SAFETY",'中古車掲載'!J246=2023,ISNUMBER('中古車掲載'!N246),'中古車掲載'!N246&gt;=50000,'中古車掲載'!O246&lt;=100000,'中古車掲載'!AL246=1,'中古車掲載'!Z246="https://www.one2car.com/en/cars-for-sale/toyota/corolla-cross/year-2023"),'中古車掲載'!U246,"")</x:f>
      </x:c>
      <x:c r="BD245" s="3" t="str">
        <x:f>IF(AND('中古車掲載'!C246="One2car",'中古車掲載'!F246="ATTO 3",'中古車掲載'!L246="EXTENDED RANGE",'中古車掲載'!J246=2023,ISNUMBER('中古車掲載'!N246),'中古車掲載'!N246&gt;=20000,'中古車掲載'!O246&lt;=50000,'中古車掲載'!AL246=1),'中古車掲載'!U246,"")</x:f>
      </x:c>
      <x:c r="BE245" s="3" t="str">
        <x:f>IF(AND('中古車掲載'!C246="One2car",'中古車掲載'!F246="Corolla Cross",'中古車掲載'!L246="HEV PREMIUM SAFETY",'中古車掲載'!J246=2023,ISNUMBER('中古車掲載'!N246),'中古車掲載'!N246&gt;=20000,'中古車掲載'!O246&lt;=50000,'中古車掲載'!AL246=1,'中古車掲載'!Z246="https://www.one2car.com/en/cars-for-sale/toyota/corolla-cross/year-2023"),'中古車掲載'!U246,"")</x:f>
      </x:c>
      <x:c r="BF245" s="3" t="str">
        <x:f>IF(AND('中古車掲載'!C246="One2car",'中古車掲載'!F246="Corolla Cross",'中古車掲載'!L246="HEV PREMIUM",'中古車掲載'!J246=2023,ISNUMBER('中古車掲載'!N246),'中古車掲載'!N246&gt;=20000,'中古車掲載'!O246&lt;=100000,'中古車掲載'!AL246=1,'中古車掲載'!Z246="https://www.one2car.com/en/cars-for-sale/toyota/corolla-cross/year-2023"),'中古車掲載'!U246,"")</x:f>
      </x:c>
      <x:c r="BG245" s="3" t="str">
        <x:f>IF(AND('中古車掲載'!C246="One2car",'中古車掲載'!F246="Corolla Cross",'中古車掲載'!L246="HEV GR SPORT",'中古車掲載'!J246=2023,ISNUMBER('中古車掲載'!N246),'中古車掲載'!N246&gt;=20000,'中古車掲載'!O246&lt;=100000,'中古車掲載'!AL246=1,'中古車掲載'!Z246="https://www.one2car.com/en/cars-for-sale/toyota/corolla-cross/year-2023"),'中古車掲載'!U246,"")</x:f>
      </x:c>
      <x:c r="BH245" s="3" t="str">
        <x:f>IF(AND('中古車掲載'!C246="One2car",'中古車掲載'!F246="DOLPHIN",'中古車掲載'!L246="STANDARD RANGE",'中古車掲載'!J246=2023,ISNUMBER('中古車掲載'!N246),'中古車掲載'!N246&gt;=20000,'中古車掲載'!O246&lt;=100000,'中古車掲載'!AL246=1),'中古車掲載'!U246,"")</x:f>
      </x:c>
      <x:c r="BI245" s="3" t="str">
        <x:v>Taladrod|Corolla Altis|ICE|Unknown</x:v>
      </x:c>
      <x:c r="BJ245" s="3" t="n">
        <x:v>246</x:v>
      </x:c>
      <x:c r="BK245" s="3" t="n">
        <x:f>'中古車掲載'!AM246</x:f>
        <x:v>419000</x:v>
      </x:c>
      <x:c r="BL245" s="3" t="str">
        <x:f>IF(ISNUMBER('中古車掲載'!AN246),'中古車掲載'!AN246,"")</x:f>
      </x:c>
      <x:c r="BM245" s="3" t="str">
        <x:v>2024|Single cab</x:v>
      </x:c>
      <x:c r="BN245" s="3" t="n">
        <x:v>874</x:v>
      </x:c>
      <x:c r="BO245" s="3" t="n">
        <x:f>'中古車掲載'!AM874</x:f>
        <x:v>375000</x:v>
      </x:c>
      <x:c r="BP245" s="3" t="str">
        <x:v>2.4 ENTRY STANDARD CAB</x:v>
      </x:c>
      <x:c r="BQ245" s="3"/>
      <x:c r="BR245" s="3"/>
    </x:row>
    <x:row r="246" ht="22" customHeight="1">
      <x:c r="A246" s="3"/>
      <x:c r="B246" s="3"/>
      <x:c r="C246" s="3"/>
      <x:c r="D246" s="3"/>
      <x:c r="E246" s="3"/>
      <x:c r="F246" s="3"/>
      <x:c r="G246" s="3"/>
      <x:c r="H246" s="3"/>
      <x:c r="I246" s="3"/>
      <x:c r="J246" s="3"/>
      <x:c r="K246" s="3"/>
      <x:c r="L246" s="3"/>
      <x:c r="M246" s="3"/>
      <x:c r="N246" s="3"/>
      <x:c r="O246" s="3"/>
      <x:c r="P246" s="3"/>
      <x:c r="Q246" s="3"/>
      <x:c r="R246" s="3"/>
      <x:c r="S246" s="3"/>
      <x:c r="T246" s="3"/>
      <x:c r="U246" s="3"/>
      <x:c r="V246" s="3"/>
      <x:c r="W246" s="3"/>
      <x:c r="X246" s="3"/>
      <x:c r="Y246" s="3"/>
      <x:c r="Z246" s="3"/>
      <x:c r="AA246" s="3"/>
      <x:c r="AB246" s="3"/>
      <x:c r="AC246" s="3"/>
      <x:c r="AD246" s="3"/>
      <x:c r="AE246" s="3"/>
      <x:c r="AF246" s="3"/>
      <x:c r="AG246" s="3"/>
      <x:c r="AH246" s="3"/>
      <x:c r="AI246" s="3"/>
      <x:c r="AJ246" s="3"/>
      <x:c r="AK246" s="3"/>
      <x:c r="AL246" s="3"/>
      <x:c r="AM246" s="3"/>
      <x:c r="AN246" s="3"/>
      <x:c r="AO246" s="3"/>
      <x:c r="AP246" s="3"/>
      <x:c r="AQ246" s="3"/>
      <x:c r="AR246" s="3"/>
      <x:c r="AS246" s="3"/>
      <x:c r="AT246" s="3"/>
      <x:c r="AU246" s="3"/>
      <x:c r="AV246" s="3"/>
      <x:c r="AW246" s="3"/>
      <x:c r="AX246" s="3"/>
      <x:c r="AY246" s="3"/>
      <x:c r="AZ246" s="3" t="str">
        <x:f>IF(AND('中古車掲載'!C247="One2car",'中古車掲載'!F247="ATTO 3",'中古車掲載'!L247="EXTENDED RANGE",'中古車掲載'!J247=2023,ISNUMBER('中古車掲載'!N247),'中古車掲載'!N247&gt;=20000,'中古車掲載'!O247&lt;=100000,'中古車掲載'!AL247=1),'中古車掲載'!U247,"")</x:f>
      </x:c>
      <x:c r="BA246" s="3" t="str">
        <x:f>IF(AND('中古車掲載'!C247="One2car",'中古車掲載'!F247="Corolla Cross",'中古車掲載'!L247="HEV PREMIUM SAFETY",'中古車掲載'!J247=2023,ISNUMBER('中古車掲載'!N247),'中古車掲載'!N247&gt;=20000,'中古車掲載'!O247&lt;=100000,'中古車掲載'!AL247=1,'中古車掲載'!Z247="https://www.one2car.com/en/cars-for-sale/toyota/corolla-cross/year-2023"),'中古車掲載'!U247,"")</x:f>
      </x:c>
      <x:c r="BB246" s="3" t="str">
        <x:f>IF(AND('中古車掲載'!C247="One2car",'中古車掲載'!F247="ATTO 3",'中古車掲載'!L247="EXTENDED RANGE",'中古車掲載'!J247=2023,ISNUMBER('中古車掲載'!N247),'中古車掲載'!N247&gt;=50000,'中古車掲載'!O247&lt;=100000,'中古車掲載'!AL247=1),'中古車掲載'!U247,"")</x:f>
      </x:c>
      <x:c r="BC246" s="3" t="str">
        <x:f>IF(AND('中古車掲載'!C247="One2car",'中古車掲載'!F247="Corolla Cross",'中古車掲載'!L247="HEV PREMIUM SAFETY",'中古車掲載'!J247=2023,ISNUMBER('中古車掲載'!N247),'中古車掲載'!N247&gt;=50000,'中古車掲載'!O247&lt;=100000,'中古車掲載'!AL247=1,'中古車掲載'!Z247="https://www.one2car.com/en/cars-for-sale/toyota/corolla-cross/year-2023"),'中古車掲載'!U247,"")</x:f>
      </x:c>
      <x:c r="BD246" s="3" t="str">
        <x:f>IF(AND('中古車掲載'!C247="One2car",'中古車掲載'!F247="ATTO 3",'中古車掲載'!L247="EXTENDED RANGE",'中古車掲載'!J247=2023,ISNUMBER('中古車掲載'!N247),'中古車掲載'!N247&gt;=20000,'中古車掲載'!O247&lt;=50000,'中古車掲載'!AL247=1),'中古車掲載'!U247,"")</x:f>
      </x:c>
      <x:c r="BE246" s="3" t="str">
        <x:f>IF(AND('中古車掲載'!C247="One2car",'中古車掲載'!F247="Corolla Cross",'中古車掲載'!L247="HEV PREMIUM SAFETY",'中古車掲載'!J247=2023,ISNUMBER('中古車掲載'!N247),'中古車掲載'!N247&gt;=20000,'中古車掲載'!O247&lt;=50000,'中古車掲載'!AL247=1,'中古車掲載'!Z247="https://www.one2car.com/en/cars-for-sale/toyota/corolla-cross/year-2023"),'中古車掲載'!U247,"")</x:f>
      </x:c>
      <x:c r="BF246" s="3" t="str">
        <x:f>IF(AND('中古車掲載'!C247="One2car",'中古車掲載'!F247="Corolla Cross",'中古車掲載'!L247="HEV PREMIUM",'中古車掲載'!J247=2023,ISNUMBER('中古車掲載'!N247),'中古車掲載'!N247&gt;=20000,'中古車掲載'!O247&lt;=100000,'中古車掲載'!AL247=1,'中古車掲載'!Z247="https://www.one2car.com/en/cars-for-sale/toyota/corolla-cross/year-2023"),'中古車掲載'!U247,"")</x:f>
      </x:c>
      <x:c r="BG246" s="3" t="str">
        <x:f>IF(AND('中古車掲載'!C247="One2car",'中古車掲載'!F247="Corolla Cross",'中古車掲載'!L247="HEV GR SPORT",'中古車掲載'!J247=2023,ISNUMBER('中古車掲載'!N247),'中古車掲載'!N247&gt;=20000,'中古車掲載'!O247&lt;=100000,'中古車掲載'!AL247=1,'中古車掲載'!Z247="https://www.one2car.com/en/cars-for-sale/toyota/corolla-cross/year-2023"),'中古車掲載'!U247,"")</x:f>
      </x:c>
      <x:c r="BH246" s="3" t="str">
        <x:f>IF(AND('中古車掲載'!C247="One2car",'中古車掲載'!F247="DOLPHIN",'中古車掲載'!L247="STANDARD RANGE",'中古車掲載'!J247=2023,ISNUMBER('中古車掲載'!N247),'中古車掲載'!N247&gt;=20000,'中古車掲載'!O247&lt;=100000,'中古車掲載'!AL247=1),'中古車掲載'!U247,"")</x:f>
      </x:c>
      <x:c r="BI246" s="3" t="str">
        <x:v>Taladrod|Corolla Altis|ICE|Unknown</x:v>
      </x:c>
      <x:c r="BJ246" s="3" t="n">
        <x:v>247</x:v>
      </x:c>
      <x:c r="BK246" s="3" t="n">
        <x:f>'中古車掲載'!AM247</x:f>
        <x:v>399000</x:v>
      </x:c>
      <x:c r="BL246" s="3" t="str">
        <x:f>IF(ISNUMBER('中古車掲載'!AN247),'中古車掲載'!AN247,"")</x:f>
      </x:c>
      <x:c r="BM246" s="3" t="str">
        <x:v>2024|Single cab</x:v>
      </x:c>
      <x:c r="BN246" s="3" t="n">
        <x:v>875</x:v>
      </x:c>
      <x:c r="BO246" s="3" t="n">
        <x:f>'中古車掲載'!AM875</x:f>
        <x:v>419000</x:v>
      </x:c>
      <x:c r="BP246" s="3" t="str">
        <x:v>2.4 ENTRY STANDARD CAB</x:v>
      </x:c>
      <x:c r="BQ246" s="3"/>
      <x:c r="BR246" s="3"/>
    </x:row>
    <x:row r="247" ht="22" customHeight="1">
      <x:c r="A247" s="3"/>
      <x:c r="B247" s="3"/>
      <x:c r="C247" s="3"/>
      <x:c r="D247" s="3"/>
      <x:c r="E247" s="3"/>
      <x:c r="F247" s="3"/>
      <x:c r="G247" s="3"/>
      <x:c r="H247" s="3"/>
      <x:c r="I247" s="3"/>
      <x:c r="J247" s="3"/>
      <x:c r="K247" s="3"/>
      <x:c r="L247" s="3"/>
      <x:c r="M247" s="3"/>
      <x:c r="N247" s="3"/>
      <x:c r="O247" s="3"/>
      <x:c r="P247" s="3"/>
      <x:c r="Q247" s="3"/>
      <x:c r="R247" s="3"/>
      <x:c r="S247" s="3"/>
      <x:c r="T247" s="3"/>
      <x:c r="U247" s="3"/>
      <x:c r="V247" s="3"/>
      <x:c r="W247" s="3"/>
      <x:c r="X247" s="3"/>
      <x:c r="Y247" s="3"/>
      <x:c r="Z247" s="3"/>
      <x:c r="AA247" s="3"/>
      <x:c r="AB247" s="3"/>
      <x:c r="AC247" s="3"/>
      <x:c r="AD247" s="3"/>
      <x:c r="AE247" s="3"/>
      <x:c r="AF247" s="3"/>
      <x:c r="AG247" s="3"/>
      <x:c r="AH247" s="3"/>
      <x:c r="AI247" s="3"/>
      <x:c r="AJ247" s="3"/>
      <x:c r="AK247" s="3"/>
      <x:c r="AL247" s="3"/>
      <x:c r="AM247" s="3"/>
      <x:c r="AN247" s="3"/>
      <x:c r="AO247" s="3"/>
      <x:c r="AP247" s="3"/>
      <x:c r="AQ247" s="3"/>
      <x:c r="AR247" s="3"/>
      <x:c r="AS247" s="3"/>
      <x:c r="AT247" s="3"/>
      <x:c r="AU247" s="3"/>
      <x:c r="AV247" s="3"/>
      <x:c r="AW247" s="3"/>
      <x:c r="AX247" s="3"/>
      <x:c r="AY247" s="3"/>
      <x:c r="AZ247" s="3" t="str">
        <x:f>IF(AND('中古車掲載'!C248="One2car",'中古車掲載'!F248="ATTO 3",'中古車掲載'!L248="EXTENDED RANGE",'中古車掲載'!J248=2023,ISNUMBER('中古車掲載'!N248),'中古車掲載'!N248&gt;=20000,'中古車掲載'!O248&lt;=100000,'中古車掲載'!AL248=1),'中古車掲載'!U248,"")</x:f>
      </x:c>
      <x:c r="BA247" s="3" t="str">
        <x:f>IF(AND('中古車掲載'!C248="One2car",'中古車掲載'!F248="Corolla Cross",'中古車掲載'!L248="HEV PREMIUM SAFETY",'中古車掲載'!J248=2023,ISNUMBER('中古車掲載'!N248),'中古車掲載'!N248&gt;=20000,'中古車掲載'!O248&lt;=100000,'中古車掲載'!AL248=1,'中古車掲載'!Z248="https://www.one2car.com/en/cars-for-sale/toyota/corolla-cross/year-2023"),'中古車掲載'!U248,"")</x:f>
      </x:c>
      <x:c r="BB247" s="3" t="str">
        <x:f>IF(AND('中古車掲載'!C248="One2car",'中古車掲載'!F248="ATTO 3",'中古車掲載'!L248="EXTENDED RANGE",'中古車掲載'!J248=2023,ISNUMBER('中古車掲載'!N248),'中古車掲載'!N248&gt;=50000,'中古車掲載'!O248&lt;=100000,'中古車掲載'!AL248=1),'中古車掲載'!U248,"")</x:f>
      </x:c>
      <x:c r="BC247" s="3" t="str">
        <x:f>IF(AND('中古車掲載'!C248="One2car",'中古車掲載'!F248="Corolla Cross",'中古車掲載'!L248="HEV PREMIUM SAFETY",'中古車掲載'!J248=2023,ISNUMBER('中古車掲載'!N248),'中古車掲載'!N248&gt;=50000,'中古車掲載'!O248&lt;=100000,'中古車掲載'!AL248=1,'中古車掲載'!Z248="https://www.one2car.com/en/cars-for-sale/toyota/corolla-cross/year-2023"),'中古車掲載'!U248,"")</x:f>
      </x:c>
      <x:c r="BD247" s="3" t="str">
        <x:f>IF(AND('中古車掲載'!C248="One2car",'中古車掲載'!F248="ATTO 3",'中古車掲載'!L248="EXTENDED RANGE",'中古車掲載'!J248=2023,ISNUMBER('中古車掲載'!N248),'中古車掲載'!N248&gt;=20000,'中古車掲載'!O248&lt;=50000,'中古車掲載'!AL248=1),'中古車掲載'!U248,"")</x:f>
      </x:c>
      <x:c r="BE247" s="3" t="str">
        <x:f>IF(AND('中古車掲載'!C248="One2car",'中古車掲載'!F248="Corolla Cross",'中古車掲載'!L248="HEV PREMIUM SAFETY",'中古車掲載'!J248=2023,ISNUMBER('中古車掲載'!N248),'中古車掲載'!N248&gt;=20000,'中古車掲載'!O248&lt;=50000,'中古車掲載'!AL248=1,'中古車掲載'!Z248="https://www.one2car.com/en/cars-for-sale/toyota/corolla-cross/year-2023"),'中古車掲載'!U248,"")</x:f>
      </x:c>
      <x:c r="BF247" s="3" t="str">
        <x:f>IF(AND('中古車掲載'!C248="One2car",'中古車掲載'!F248="Corolla Cross",'中古車掲載'!L248="HEV PREMIUM",'中古車掲載'!J248=2023,ISNUMBER('中古車掲載'!N248),'中古車掲載'!N248&gt;=20000,'中古車掲載'!O248&lt;=100000,'中古車掲載'!AL248=1,'中古車掲載'!Z248="https://www.one2car.com/en/cars-for-sale/toyota/corolla-cross/year-2023"),'中古車掲載'!U248,"")</x:f>
      </x:c>
      <x:c r="BG247" s="3" t="str">
        <x:f>IF(AND('中古車掲載'!C248="One2car",'中古車掲載'!F248="Corolla Cross",'中古車掲載'!L248="HEV GR SPORT",'中古車掲載'!J248=2023,ISNUMBER('中古車掲載'!N248),'中古車掲載'!N248&gt;=20000,'中古車掲載'!O248&lt;=100000,'中古車掲載'!AL248=1,'中古車掲載'!Z248="https://www.one2car.com/en/cars-for-sale/toyota/corolla-cross/year-2023"),'中古車掲載'!U248,"")</x:f>
      </x:c>
      <x:c r="BH247" s="3" t="str">
        <x:f>IF(AND('中古車掲載'!C248="One2car",'中古車掲載'!F248="DOLPHIN",'中古車掲載'!L248="STANDARD RANGE",'中古車掲載'!J248=2023,ISNUMBER('中古車掲載'!N248),'中古車掲載'!N248&gt;=20000,'中古車掲載'!O248&lt;=100000,'中古車掲載'!AL248=1),'中古車掲載'!U248,"")</x:f>
      </x:c>
      <x:c r="BI247" s="3" t="str">
        <x:v>Taladrod|Corolla Altis|ICE|Unknown</x:v>
      </x:c>
      <x:c r="BJ247" s="3" t="n">
        <x:v>248</x:v>
      </x:c>
      <x:c r="BK247" s="3" t="n">
        <x:f>'中古車掲載'!AM248</x:f>
        <x:v>519000</x:v>
      </x:c>
      <x:c r="BL247" s="3" t="str">
        <x:f>IF(ISNUMBER('中古車掲載'!AN248),'中古車掲載'!AN248,"")</x:f>
      </x:c>
      <x:c r="BM247" s="3" t="str">
        <x:v>2024|Single cab</x:v>
      </x:c>
      <x:c r="BN247" s="3" t="n">
        <x:v>876</x:v>
      </x:c>
      <x:c r="BO247" s="3" t="n">
        <x:f>'中古車掲載'!AM876</x:f>
        <x:v>479000</x:v>
      </x:c>
      <x:c r="BP247" s="3" t="str">
        <x:v>2.4 ENTRY STANDARD CAB</x:v>
      </x:c>
      <x:c r="BQ247" s="3"/>
      <x:c r="BR247" s="3"/>
    </x:row>
    <x:row r="248" ht="22" customHeight="1">
      <x:c r="A248" s="3"/>
      <x:c r="B248" s="3"/>
      <x:c r="C248" s="3"/>
      <x:c r="D248" s="3"/>
      <x:c r="E248" s="3"/>
      <x:c r="F248" s="3"/>
      <x:c r="G248" s="3"/>
      <x:c r="H248" s="3"/>
      <x:c r="I248" s="3"/>
      <x:c r="J248" s="3"/>
      <x:c r="K248" s="3"/>
      <x:c r="L248" s="3"/>
      <x:c r="M248" s="3"/>
      <x:c r="N248" s="3"/>
      <x:c r="O248" s="3"/>
      <x:c r="P248" s="3"/>
      <x:c r="Q248" s="3"/>
      <x:c r="R248" s="3"/>
      <x:c r="S248" s="3"/>
      <x:c r="T248" s="3"/>
      <x:c r="U248" s="3"/>
      <x:c r="V248" s="3"/>
      <x:c r="W248" s="3"/>
      <x:c r="X248" s="3"/>
      <x:c r="Y248" s="3"/>
      <x:c r="Z248" s="3"/>
      <x:c r="AA248" s="3"/>
      <x:c r="AB248" s="3"/>
      <x:c r="AC248" s="3"/>
      <x:c r="AD248" s="3"/>
      <x:c r="AE248" s="3"/>
      <x:c r="AF248" s="3"/>
      <x:c r="AG248" s="3"/>
      <x:c r="AH248" s="3"/>
      <x:c r="AI248" s="3"/>
      <x:c r="AJ248" s="3"/>
      <x:c r="AK248" s="3"/>
      <x:c r="AL248" s="3"/>
      <x:c r="AM248" s="3"/>
      <x:c r="AN248" s="3"/>
      <x:c r="AO248" s="3"/>
      <x:c r="AP248" s="3"/>
      <x:c r="AQ248" s="3"/>
      <x:c r="AR248" s="3"/>
      <x:c r="AS248" s="3"/>
      <x:c r="AT248" s="3"/>
      <x:c r="AU248" s="3"/>
      <x:c r="AV248" s="3"/>
      <x:c r="AW248" s="3"/>
      <x:c r="AX248" s="3"/>
      <x:c r="AY248" s="3"/>
      <x:c r="AZ248" s="3" t="str">
        <x:f>IF(AND('中古車掲載'!C249="One2car",'中古車掲載'!F249="ATTO 3",'中古車掲載'!L249="EXTENDED RANGE",'中古車掲載'!J249=2023,ISNUMBER('中古車掲載'!N249),'中古車掲載'!N249&gt;=20000,'中古車掲載'!O249&lt;=100000,'中古車掲載'!AL249=1),'中古車掲載'!U249,"")</x:f>
      </x:c>
      <x:c r="BA248" s="3" t="str">
        <x:f>IF(AND('中古車掲載'!C249="One2car",'中古車掲載'!F249="Corolla Cross",'中古車掲載'!L249="HEV PREMIUM SAFETY",'中古車掲載'!J249=2023,ISNUMBER('中古車掲載'!N249),'中古車掲載'!N249&gt;=20000,'中古車掲載'!O249&lt;=100000,'中古車掲載'!AL249=1,'中古車掲載'!Z249="https://www.one2car.com/en/cars-for-sale/toyota/corolla-cross/year-2023"),'中古車掲載'!U249,"")</x:f>
      </x:c>
      <x:c r="BB248" s="3" t="str">
        <x:f>IF(AND('中古車掲載'!C249="One2car",'中古車掲載'!F249="ATTO 3",'中古車掲載'!L249="EXTENDED RANGE",'中古車掲載'!J249=2023,ISNUMBER('中古車掲載'!N249),'中古車掲載'!N249&gt;=50000,'中古車掲載'!O249&lt;=100000,'中古車掲載'!AL249=1),'中古車掲載'!U249,"")</x:f>
      </x:c>
      <x:c r="BC248" s="3" t="str">
        <x:f>IF(AND('中古車掲載'!C249="One2car",'中古車掲載'!F249="Corolla Cross",'中古車掲載'!L249="HEV PREMIUM SAFETY",'中古車掲載'!J249=2023,ISNUMBER('中古車掲載'!N249),'中古車掲載'!N249&gt;=50000,'中古車掲載'!O249&lt;=100000,'中古車掲載'!AL249=1,'中古車掲載'!Z249="https://www.one2car.com/en/cars-for-sale/toyota/corolla-cross/year-2023"),'中古車掲載'!U249,"")</x:f>
      </x:c>
      <x:c r="BD248" s="3" t="str">
        <x:f>IF(AND('中古車掲載'!C249="One2car",'中古車掲載'!F249="ATTO 3",'中古車掲載'!L249="EXTENDED RANGE",'中古車掲載'!J249=2023,ISNUMBER('中古車掲載'!N249),'中古車掲載'!N249&gt;=20000,'中古車掲載'!O249&lt;=50000,'中古車掲載'!AL249=1),'中古車掲載'!U249,"")</x:f>
      </x:c>
      <x:c r="BE248" s="3" t="str">
        <x:f>IF(AND('中古車掲載'!C249="One2car",'中古車掲載'!F249="Corolla Cross",'中古車掲載'!L249="HEV PREMIUM SAFETY",'中古車掲載'!J249=2023,ISNUMBER('中古車掲載'!N249),'中古車掲載'!N249&gt;=20000,'中古車掲載'!O249&lt;=50000,'中古車掲載'!AL249=1,'中古車掲載'!Z249="https://www.one2car.com/en/cars-for-sale/toyota/corolla-cross/year-2023"),'中古車掲載'!U249,"")</x:f>
      </x:c>
      <x:c r="BF248" s="3" t="str">
        <x:f>IF(AND('中古車掲載'!C249="One2car",'中古車掲載'!F249="Corolla Cross",'中古車掲載'!L249="HEV PREMIUM",'中古車掲載'!J249=2023,ISNUMBER('中古車掲載'!N249),'中古車掲載'!N249&gt;=20000,'中古車掲載'!O249&lt;=100000,'中古車掲載'!AL249=1,'中古車掲載'!Z249="https://www.one2car.com/en/cars-for-sale/toyota/corolla-cross/year-2023"),'中古車掲載'!U249,"")</x:f>
      </x:c>
      <x:c r="BG248" s="3" t="str">
        <x:f>IF(AND('中古車掲載'!C249="One2car",'中古車掲載'!F249="Corolla Cross",'中古車掲載'!L249="HEV GR SPORT",'中古車掲載'!J249=2023,ISNUMBER('中古車掲載'!N249),'中古車掲載'!N249&gt;=20000,'中古車掲載'!O249&lt;=100000,'中古車掲載'!AL249=1,'中古車掲載'!Z249="https://www.one2car.com/en/cars-for-sale/toyota/corolla-cross/year-2023"),'中古車掲載'!U249,"")</x:f>
      </x:c>
      <x:c r="BH248" s="3" t="str">
        <x:f>IF(AND('中古車掲載'!C249="One2car",'中古車掲載'!F249="DOLPHIN",'中古車掲載'!L249="STANDARD RANGE",'中古車掲載'!J249=2023,ISNUMBER('中古車掲載'!N249),'中古車掲載'!N249&gt;=20000,'中古車掲載'!O249&lt;=100000,'中古車掲載'!AL249=1),'中古車掲載'!U249,"")</x:f>
      </x:c>
      <x:c r="BI248" s="3" t="str">
        <x:v>Taladrod|Corolla Altis|ICE|Unknown</x:v>
      </x:c>
      <x:c r="BJ248" s="3" t="n">
        <x:v>249</x:v>
      </x:c>
      <x:c r="BK248" s="3" t="n">
        <x:f>'中古車掲載'!AM249</x:f>
        <x:v>439000</x:v>
      </x:c>
      <x:c r="BL248" s="3" t="str">
        <x:f>IF(ISNUMBER('中古車掲載'!AN249),'中古車掲載'!AN249,"")</x:f>
      </x:c>
      <x:c r="BM248" s="3" t="str">
        <x:v>2024|Single cab</x:v>
      </x:c>
      <x:c r="BN248" s="3" t="n">
        <x:v>890</x:v>
      </x:c>
      <x:c r="BO248" s="3" t="n">
        <x:f>'中古車掲載'!AM890</x:f>
        <x:v>589000</x:v>
      </x:c>
      <x:c r="BP248" s="3" t="str">
        <x:v>2.8 ENTRY 4WD STANDARD CAB</x:v>
      </x:c>
      <x:c r="BQ248" s="3"/>
      <x:c r="BR248" s="3"/>
    </x:row>
    <x:row r="249" ht="22" customHeight="1">
      <x:c r="A249" s="3"/>
      <x:c r="B249" s="3"/>
      <x:c r="C249" s="3"/>
      <x:c r="D249" s="3"/>
      <x:c r="E249" s="3"/>
      <x:c r="F249" s="3"/>
      <x:c r="G249" s="3"/>
      <x:c r="H249" s="3"/>
      <x:c r="I249" s="3"/>
      <x:c r="J249" s="3"/>
      <x:c r="K249" s="3"/>
      <x:c r="L249" s="3"/>
      <x:c r="M249" s="3"/>
      <x:c r="N249" s="3"/>
      <x:c r="O249" s="3"/>
      <x:c r="P249" s="3"/>
      <x:c r="Q249" s="3"/>
      <x:c r="R249" s="3"/>
      <x:c r="S249" s="3"/>
      <x:c r="T249" s="3"/>
      <x:c r="U249" s="3"/>
      <x:c r="V249" s="3"/>
      <x:c r="W249" s="3"/>
      <x:c r="X249" s="3"/>
      <x:c r="Y249" s="3"/>
      <x:c r="Z249" s="3"/>
      <x:c r="AA249" s="3"/>
      <x:c r="AB249" s="3"/>
      <x:c r="AC249" s="3"/>
      <x:c r="AD249" s="3"/>
      <x:c r="AE249" s="3"/>
      <x:c r="AF249" s="3"/>
      <x:c r="AG249" s="3"/>
      <x:c r="AH249" s="3"/>
      <x:c r="AI249" s="3"/>
      <x:c r="AJ249" s="3"/>
      <x:c r="AK249" s="3"/>
      <x:c r="AL249" s="3"/>
      <x:c r="AM249" s="3"/>
      <x:c r="AN249" s="3"/>
      <x:c r="AO249" s="3"/>
      <x:c r="AP249" s="3"/>
      <x:c r="AQ249" s="3"/>
      <x:c r="AR249" s="3"/>
      <x:c r="AS249" s="3"/>
      <x:c r="AT249" s="3"/>
      <x:c r="AU249" s="3"/>
      <x:c r="AV249" s="3"/>
      <x:c r="AW249" s="3"/>
      <x:c r="AX249" s="3"/>
      <x:c r="AY249" s="3"/>
      <x:c r="AZ249" s="3" t="str">
        <x:f>IF(AND('中古車掲載'!C250="One2car",'中古車掲載'!F250="ATTO 3",'中古車掲載'!L250="EXTENDED RANGE",'中古車掲載'!J250=2023,ISNUMBER('中古車掲載'!N250),'中古車掲載'!N250&gt;=20000,'中古車掲載'!O250&lt;=100000,'中古車掲載'!AL250=1),'中古車掲載'!U250,"")</x:f>
      </x:c>
      <x:c r="BA249" s="3" t="str">
        <x:f>IF(AND('中古車掲載'!C250="One2car",'中古車掲載'!F250="Corolla Cross",'中古車掲載'!L250="HEV PREMIUM SAFETY",'中古車掲載'!J250=2023,ISNUMBER('中古車掲載'!N250),'中古車掲載'!N250&gt;=20000,'中古車掲載'!O250&lt;=100000,'中古車掲載'!AL250=1,'中古車掲載'!Z250="https://www.one2car.com/en/cars-for-sale/toyota/corolla-cross/year-2023"),'中古車掲載'!U250,"")</x:f>
      </x:c>
      <x:c r="BB249" s="3" t="str">
        <x:f>IF(AND('中古車掲載'!C250="One2car",'中古車掲載'!F250="ATTO 3",'中古車掲載'!L250="EXTENDED RANGE",'中古車掲載'!J250=2023,ISNUMBER('中古車掲載'!N250),'中古車掲載'!N250&gt;=50000,'中古車掲載'!O250&lt;=100000,'中古車掲載'!AL250=1),'中古車掲載'!U250,"")</x:f>
      </x:c>
      <x:c r="BC249" s="3" t="str">
        <x:f>IF(AND('中古車掲載'!C250="One2car",'中古車掲載'!F250="Corolla Cross",'中古車掲載'!L250="HEV PREMIUM SAFETY",'中古車掲載'!J250=2023,ISNUMBER('中古車掲載'!N250),'中古車掲載'!N250&gt;=50000,'中古車掲載'!O250&lt;=100000,'中古車掲載'!AL250=1,'中古車掲載'!Z250="https://www.one2car.com/en/cars-for-sale/toyota/corolla-cross/year-2023"),'中古車掲載'!U250,"")</x:f>
      </x:c>
      <x:c r="BD249" s="3" t="str">
        <x:f>IF(AND('中古車掲載'!C250="One2car",'中古車掲載'!F250="ATTO 3",'中古車掲載'!L250="EXTENDED RANGE",'中古車掲載'!J250=2023,ISNUMBER('中古車掲載'!N250),'中古車掲載'!N250&gt;=20000,'中古車掲載'!O250&lt;=50000,'中古車掲載'!AL250=1),'中古車掲載'!U250,"")</x:f>
      </x:c>
      <x:c r="BE249" s="3" t="str">
        <x:f>IF(AND('中古車掲載'!C250="One2car",'中古車掲載'!F250="Corolla Cross",'中古車掲載'!L250="HEV PREMIUM SAFETY",'中古車掲載'!J250=2023,ISNUMBER('中古車掲載'!N250),'中古車掲載'!N250&gt;=20000,'中古車掲載'!O250&lt;=50000,'中古車掲載'!AL250=1,'中古車掲載'!Z250="https://www.one2car.com/en/cars-for-sale/toyota/corolla-cross/year-2023"),'中古車掲載'!U250,"")</x:f>
      </x:c>
      <x:c r="BF249" s="3" t="str">
        <x:f>IF(AND('中古車掲載'!C250="One2car",'中古車掲載'!F250="Corolla Cross",'中古車掲載'!L250="HEV PREMIUM",'中古車掲載'!J250=2023,ISNUMBER('中古車掲載'!N250),'中古車掲載'!N250&gt;=20000,'中古車掲載'!O250&lt;=100000,'中古車掲載'!AL250=1,'中古車掲載'!Z250="https://www.one2car.com/en/cars-for-sale/toyota/corolla-cross/year-2023"),'中古車掲載'!U250,"")</x:f>
      </x:c>
      <x:c r="BG249" s="3" t="str">
        <x:f>IF(AND('中古車掲載'!C250="One2car",'中古車掲載'!F250="Corolla Cross",'中古車掲載'!L250="HEV GR SPORT",'中古車掲載'!J250=2023,ISNUMBER('中古車掲載'!N250),'中古車掲載'!N250&gt;=20000,'中古車掲載'!O250&lt;=100000,'中古車掲載'!AL250=1,'中古車掲載'!Z250="https://www.one2car.com/en/cars-for-sale/toyota/corolla-cross/year-2023"),'中古車掲載'!U250,"")</x:f>
      </x:c>
      <x:c r="BH249" s="3" t="str">
        <x:f>IF(AND('中古車掲載'!C250="One2car",'中古車掲載'!F250="DOLPHIN",'中古車掲載'!L250="STANDARD RANGE",'中古車掲載'!J250=2023,ISNUMBER('中古車掲載'!N250),'中古車掲載'!N250&gt;=20000,'中古車掲載'!O250&lt;=100000,'中古車掲載'!AL250=1),'中古車掲載'!U250,"")</x:f>
      </x:c>
      <x:c r="BI249" s="3" t="str">
        <x:v>Taladrod|Corolla Altis|ICE|Unknown</x:v>
      </x:c>
      <x:c r="BJ249" s="3" t="n">
        <x:v>250</x:v>
      </x:c>
      <x:c r="BK249" s="3" t="n">
        <x:f>'中古車掲載'!AM250</x:f>
        <x:v>519000</x:v>
      </x:c>
      <x:c r="BL249" s="3" t="str">
        <x:f>IF(ISNUMBER('中古車掲載'!AN250),'中古車掲載'!AN250,"")</x:f>
      </x:c>
      <x:c r="BM249" s="3" t="str">
        <x:v>2024|Single cab</x:v>
      </x:c>
      <x:c r="BN249" s="3" t="n">
        <x:v>891</x:v>
      </x:c>
      <x:c r="BO249" s="3" t="n">
        <x:f>'中古車掲載'!AM891</x:f>
        <x:v>589000</x:v>
      </x:c>
      <x:c r="BP249" s="3" t="str">
        <x:v>2.8 ENTRY 4WD STANDARD CAB</x:v>
      </x:c>
      <x:c r="BQ249" s="3"/>
      <x:c r="BR249" s="3"/>
    </x:row>
    <x:row r="250" ht="22" customHeight="1">
      <x:c r="A250" s="3"/>
      <x:c r="B250" s="3"/>
      <x:c r="C250" s="3"/>
      <x:c r="D250" s="3"/>
      <x:c r="E250" s="3"/>
      <x:c r="F250" s="3"/>
      <x:c r="G250" s="3"/>
      <x:c r="H250" s="3"/>
      <x:c r="I250" s="3"/>
      <x:c r="J250" s="3"/>
      <x:c r="K250" s="3"/>
      <x:c r="L250" s="3"/>
      <x:c r="M250" s="3"/>
      <x:c r="N250" s="3"/>
      <x:c r="O250" s="3"/>
      <x:c r="P250" s="3"/>
      <x:c r="Q250" s="3"/>
      <x:c r="R250" s="3"/>
      <x:c r="S250" s="3"/>
      <x:c r="T250" s="3"/>
      <x:c r="U250" s="3"/>
      <x:c r="V250" s="3"/>
      <x:c r="W250" s="3"/>
      <x:c r="X250" s="3"/>
      <x:c r="Y250" s="3"/>
      <x:c r="Z250" s="3"/>
      <x:c r="AA250" s="3"/>
      <x:c r="AB250" s="3"/>
      <x:c r="AC250" s="3"/>
      <x:c r="AD250" s="3"/>
      <x:c r="AE250" s="3"/>
      <x:c r="AF250" s="3"/>
      <x:c r="AG250" s="3"/>
      <x:c r="AH250" s="3"/>
      <x:c r="AI250" s="3"/>
      <x:c r="AJ250" s="3"/>
      <x:c r="AK250" s="3"/>
      <x:c r="AL250" s="3"/>
      <x:c r="AM250" s="3"/>
      <x:c r="AN250" s="3"/>
      <x:c r="AO250" s="3"/>
      <x:c r="AP250" s="3"/>
      <x:c r="AQ250" s="3"/>
      <x:c r="AR250" s="3"/>
      <x:c r="AS250" s="3"/>
      <x:c r="AT250" s="3"/>
      <x:c r="AU250" s="3"/>
      <x:c r="AV250" s="3"/>
      <x:c r="AW250" s="3"/>
      <x:c r="AX250" s="3"/>
      <x:c r="AY250" s="3"/>
      <x:c r="AZ250" s="3" t="str">
        <x:f>IF(AND('中古車掲載'!C251="One2car",'中古車掲載'!F251="ATTO 3",'中古車掲載'!L251="EXTENDED RANGE",'中古車掲載'!J251=2023,ISNUMBER('中古車掲載'!N251),'中古車掲載'!N251&gt;=20000,'中古車掲載'!O251&lt;=100000,'中古車掲載'!AL251=1),'中古車掲載'!U251,"")</x:f>
      </x:c>
      <x:c r="BA250" s="3" t="str">
        <x:f>IF(AND('中古車掲載'!C251="One2car",'中古車掲載'!F251="Corolla Cross",'中古車掲載'!L251="HEV PREMIUM SAFETY",'中古車掲載'!J251=2023,ISNUMBER('中古車掲載'!N251),'中古車掲載'!N251&gt;=20000,'中古車掲載'!O251&lt;=100000,'中古車掲載'!AL251=1,'中古車掲載'!Z251="https://www.one2car.com/en/cars-for-sale/toyota/corolla-cross/year-2023"),'中古車掲載'!U251,"")</x:f>
      </x:c>
      <x:c r="BB250" s="3" t="str">
        <x:f>IF(AND('中古車掲載'!C251="One2car",'中古車掲載'!F251="ATTO 3",'中古車掲載'!L251="EXTENDED RANGE",'中古車掲載'!J251=2023,ISNUMBER('中古車掲載'!N251),'中古車掲載'!N251&gt;=50000,'中古車掲載'!O251&lt;=100000,'中古車掲載'!AL251=1),'中古車掲載'!U251,"")</x:f>
      </x:c>
      <x:c r="BC250" s="3" t="str">
        <x:f>IF(AND('中古車掲載'!C251="One2car",'中古車掲載'!F251="Corolla Cross",'中古車掲載'!L251="HEV PREMIUM SAFETY",'中古車掲載'!J251=2023,ISNUMBER('中古車掲載'!N251),'中古車掲載'!N251&gt;=50000,'中古車掲載'!O251&lt;=100000,'中古車掲載'!AL251=1,'中古車掲載'!Z251="https://www.one2car.com/en/cars-for-sale/toyota/corolla-cross/year-2023"),'中古車掲載'!U251,"")</x:f>
      </x:c>
      <x:c r="BD250" s="3" t="str">
        <x:f>IF(AND('中古車掲載'!C251="One2car",'中古車掲載'!F251="ATTO 3",'中古車掲載'!L251="EXTENDED RANGE",'中古車掲載'!J251=2023,ISNUMBER('中古車掲載'!N251),'中古車掲載'!N251&gt;=20000,'中古車掲載'!O251&lt;=50000,'中古車掲載'!AL251=1),'中古車掲載'!U251,"")</x:f>
      </x:c>
      <x:c r="BE250" s="3" t="str">
        <x:f>IF(AND('中古車掲載'!C251="One2car",'中古車掲載'!F251="Corolla Cross",'中古車掲載'!L251="HEV PREMIUM SAFETY",'中古車掲載'!J251=2023,ISNUMBER('中古車掲載'!N251),'中古車掲載'!N251&gt;=20000,'中古車掲載'!O251&lt;=50000,'中古車掲載'!AL251=1,'中古車掲載'!Z251="https://www.one2car.com/en/cars-for-sale/toyota/corolla-cross/year-2023"),'中古車掲載'!U251,"")</x:f>
      </x:c>
      <x:c r="BF250" s="3" t="str">
        <x:f>IF(AND('中古車掲載'!C251="One2car",'中古車掲載'!F251="Corolla Cross",'中古車掲載'!L251="HEV PREMIUM",'中古車掲載'!J251=2023,ISNUMBER('中古車掲載'!N251),'中古車掲載'!N251&gt;=20000,'中古車掲載'!O251&lt;=100000,'中古車掲載'!AL251=1,'中古車掲載'!Z251="https://www.one2car.com/en/cars-for-sale/toyota/corolla-cross/year-2023"),'中古車掲載'!U251,"")</x:f>
      </x:c>
      <x:c r="BG250" s="3" t="str">
        <x:f>IF(AND('中古車掲載'!C251="One2car",'中古車掲載'!F251="Corolla Cross",'中古車掲載'!L251="HEV GR SPORT",'中古車掲載'!J251=2023,ISNUMBER('中古車掲載'!N251),'中古車掲載'!N251&gt;=20000,'中古車掲載'!O251&lt;=100000,'中古車掲載'!AL251=1,'中古車掲載'!Z251="https://www.one2car.com/en/cars-for-sale/toyota/corolla-cross/year-2023"),'中古車掲載'!U251,"")</x:f>
      </x:c>
      <x:c r="BH250" s="3" t="str">
        <x:f>IF(AND('中古車掲載'!C251="One2car",'中古車掲載'!F251="DOLPHIN",'中古車掲載'!L251="STANDARD RANGE",'中古車掲載'!J251=2023,ISNUMBER('中古車掲載'!N251),'中古車掲載'!N251&gt;=20000,'中古車掲載'!O251&lt;=100000,'中古車掲載'!AL251=1),'中古車掲載'!U251,"")</x:f>
      </x:c>
      <x:c r="BI250" s="3" t="str">
        <x:v>Taladrod|Corolla Altis|ICE|Unknown</x:v>
      </x:c>
      <x:c r="BJ250" s="3" t="n">
        <x:v>251</x:v>
      </x:c>
      <x:c r="BK250" s="3" t="n">
        <x:f>'中古車掲載'!AM251</x:f>
        <x:v>499000</x:v>
      </x:c>
      <x:c r="BL250" s="3" t="str">
        <x:f>IF(ISNUMBER('中古車掲載'!AN251),'中古車掲載'!AN251,"")</x:f>
      </x:c>
      <x:c r="BM250" s="3" t="str">
        <x:v>2024|Single cab</x:v>
      </x:c>
      <x:c r="BN250" s="3" t="n">
        <x:v>892</x:v>
      </x:c>
      <x:c r="BO250" s="3" t="n">
        <x:f>'中古車掲載'!AM892</x:f>
        <x:v>659000</x:v>
      </x:c>
      <x:c r="BP250" s="3" t="str">
        <x:v>2.8 ENTRY STANDARD CAB</x:v>
      </x:c>
      <x:c r="BQ250" s="3"/>
      <x:c r="BR250" s="3"/>
    </x:row>
    <x:row r="251" ht="22" customHeight="1">
      <x:c r="A251" s="3"/>
      <x:c r="B251" s="3"/>
      <x:c r="C251" s="3"/>
      <x:c r="D251" s="3"/>
      <x:c r="E251" s="3"/>
      <x:c r="F251" s="3"/>
      <x:c r="G251" s="3"/>
      <x:c r="H251" s="3"/>
      <x:c r="I251" s="3"/>
      <x:c r="J251" s="3"/>
      <x:c r="K251" s="3"/>
      <x:c r="L251" s="3"/>
      <x:c r="M251" s="3"/>
      <x:c r="N251" s="3"/>
      <x:c r="O251" s="3"/>
      <x:c r="P251" s="3"/>
      <x:c r="Q251" s="3"/>
      <x:c r="R251" s="3"/>
      <x:c r="S251" s="3"/>
      <x:c r="T251" s="3"/>
      <x:c r="U251" s="3"/>
      <x:c r="V251" s="3"/>
      <x:c r="W251" s="3"/>
      <x:c r="X251" s="3"/>
      <x:c r="Y251" s="3"/>
      <x:c r="Z251" s="3"/>
      <x:c r="AA251" s="3"/>
      <x:c r="AB251" s="3"/>
      <x:c r="AC251" s="3"/>
      <x:c r="AD251" s="3"/>
      <x:c r="AE251" s="3"/>
      <x:c r="AF251" s="3"/>
      <x:c r="AG251" s="3"/>
      <x:c r="AH251" s="3"/>
      <x:c r="AI251" s="3"/>
      <x:c r="AJ251" s="3"/>
      <x:c r="AK251" s="3"/>
      <x:c r="AL251" s="3"/>
      <x:c r="AM251" s="3"/>
      <x:c r="AN251" s="3"/>
      <x:c r="AO251" s="3"/>
      <x:c r="AP251" s="3"/>
      <x:c r="AQ251" s="3"/>
      <x:c r="AR251" s="3"/>
      <x:c r="AS251" s="3"/>
      <x:c r="AT251" s="3"/>
      <x:c r="AU251" s="3"/>
      <x:c r="AV251" s="3"/>
      <x:c r="AW251" s="3"/>
      <x:c r="AX251" s="3"/>
      <x:c r="AY251" s="3"/>
      <x:c r="AZ251" s="3" t="str">
        <x:f>IF(AND('中古車掲載'!C252="One2car",'中古車掲載'!F252="ATTO 3",'中古車掲載'!L252="EXTENDED RANGE",'中古車掲載'!J252=2023,ISNUMBER('中古車掲載'!N252),'中古車掲載'!N252&gt;=20000,'中古車掲載'!O252&lt;=100000,'中古車掲載'!AL252=1),'中古車掲載'!U252,"")</x:f>
      </x:c>
      <x:c r="BA251" s="3" t="str">
        <x:f>IF(AND('中古車掲載'!C252="One2car",'中古車掲載'!F252="Corolla Cross",'中古車掲載'!L252="HEV PREMIUM SAFETY",'中古車掲載'!J252=2023,ISNUMBER('中古車掲載'!N252),'中古車掲載'!N252&gt;=20000,'中古車掲載'!O252&lt;=100000,'中古車掲載'!AL252=1,'中古車掲載'!Z252="https://www.one2car.com/en/cars-for-sale/toyota/corolla-cross/year-2023"),'中古車掲載'!U252,"")</x:f>
      </x:c>
      <x:c r="BB251" s="3" t="str">
        <x:f>IF(AND('中古車掲載'!C252="One2car",'中古車掲載'!F252="ATTO 3",'中古車掲載'!L252="EXTENDED RANGE",'中古車掲載'!J252=2023,ISNUMBER('中古車掲載'!N252),'中古車掲載'!N252&gt;=50000,'中古車掲載'!O252&lt;=100000,'中古車掲載'!AL252=1),'中古車掲載'!U252,"")</x:f>
      </x:c>
      <x:c r="BC251" s="3" t="str">
        <x:f>IF(AND('中古車掲載'!C252="One2car",'中古車掲載'!F252="Corolla Cross",'中古車掲載'!L252="HEV PREMIUM SAFETY",'中古車掲載'!J252=2023,ISNUMBER('中古車掲載'!N252),'中古車掲載'!N252&gt;=50000,'中古車掲載'!O252&lt;=100000,'中古車掲載'!AL252=1,'中古車掲載'!Z252="https://www.one2car.com/en/cars-for-sale/toyota/corolla-cross/year-2023"),'中古車掲載'!U252,"")</x:f>
      </x:c>
      <x:c r="BD251" s="3" t="str">
        <x:f>IF(AND('中古車掲載'!C252="One2car",'中古車掲載'!F252="ATTO 3",'中古車掲載'!L252="EXTENDED RANGE",'中古車掲載'!J252=2023,ISNUMBER('中古車掲載'!N252),'中古車掲載'!N252&gt;=20000,'中古車掲載'!O252&lt;=50000,'中古車掲載'!AL252=1),'中古車掲載'!U252,"")</x:f>
      </x:c>
      <x:c r="BE251" s="3" t="str">
        <x:f>IF(AND('中古車掲載'!C252="One2car",'中古車掲載'!F252="Corolla Cross",'中古車掲載'!L252="HEV PREMIUM SAFETY",'中古車掲載'!J252=2023,ISNUMBER('中古車掲載'!N252),'中古車掲載'!N252&gt;=20000,'中古車掲載'!O252&lt;=50000,'中古車掲載'!AL252=1,'中古車掲載'!Z252="https://www.one2car.com/en/cars-for-sale/toyota/corolla-cross/year-2023"),'中古車掲載'!U252,"")</x:f>
      </x:c>
      <x:c r="BF251" s="3" t="str">
        <x:f>IF(AND('中古車掲載'!C252="One2car",'中古車掲載'!F252="Corolla Cross",'中古車掲載'!L252="HEV PREMIUM",'中古車掲載'!J252=2023,ISNUMBER('中古車掲載'!N252),'中古車掲載'!N252&gt;=20000,'中古車掲載'!O252&lt;=100000,'中古車掲載'!AL252=1,'中古車掲載'!Z252="https://www.one2car.com/en/cars-for-sale/toyota/corolla-cross/year-2023"),'中古車掲載'!U252,"")</x:f>
      </x:c>
      <x:c r="BG251" s="3" t="str">
        <x:f>IF(AND('中古車掲載'!C252="One2car",'中古車掲載'!F252="Corolla Cross",'中古車掲載'!L252="HEV GR SPORT",'中古車掲載'!J252=2023,ISNUMBER('中古車掲載'!N252),'中古車掲載'!N252&gt;=20000,'中古車掲載'!O252&lt;=100000,'中古車掲載'!AL252=1,'中古車掲載'!Z252="https://www.one2car.com/en/cars-for-sale/toyota/corolla-cross/year-2023"),'中古車掲載'!U252,"")</x:f>
      </x:c>
      <x:c r="BH251" s="3" t="str">
        <x:f>IF(AND('中古車掲載'!C252="One2car",'中古車掲載'!F252="DOLPHIN",'中古車掲載'!L252="STANDARD RANGE",'中古車掲載'!J252=2023,ISNUMBER('中古車掲載'!N252),'中古車掲載'!N252&gt;=20000,'中古車掲載'!O252&lt;=100000,'中古車掲載'!AL252=1),'中古車掲載'!U252,"")</x:f>
      </x:c>
      <x:c r="BI251" s="3" t="str">
        <x:v>Taladrod|Corolla Altis|ICE|Unknown</x:v>
      </x:c>
      <x:c r="BJ251" s="3" t="n">
        <x:v>252</x:v>
      </x:c>
      <x:c r="BK251" s="3" t="n">
        <x:f>'中古車掲載'!AM252</x:f>
        <x:v>499000</x:v>
      </x:c>
      <x:c r="BL251" s="3" t="str">
        <x:f>IF(ISNUMBER('中古車掲載'!AN252),'中古車掲載'!AN252,"")</x:f>
      </x:c>
      <x:c r="BM251" s="3" t="str">
        <x:v>2025|Double cab</x:v>
      </x:c>
      <x:c r="BN251" s="3" t="n">
        <x:v>894</x:v>
      </x:c>
      <x:c r="BO251" s="3" t="n">
        <x:f>'中古車掲載'!AM894</x:f>
        <x:v>699000</x:v>
      </x:c>
      <x:c r="BP251" s="3" t="str">
        <x:v>2.4 ENTRY PRERUNNER DOUBLE CAB</x:v>
      </x:c>
      <x:c r="BQ251" s="3"/>
      <x:c r="BR251" s="3"/>
    </x:row>
    <x:row r="252" ht="22" customHeight="1">
      <x:c r="A252" s="3"/>
      <x:c r="B252" s="3"/>
      <x:c r="C252" s="3"/>
      <x:c r="D252" s="3"/>
      <x:c r="E252" s="3"/>
      <x:c r="F252" s="3"/>
      <x:c r="G252" s="3"/>
      <x:c r="H252" s="3"/>
      <x:c r="I252" s="3"/>
      <x:c r="J252" s="3"/>
      <x:c r="K252" s="3"/>
      <x:c r="L252" s="3"/>
      <x:c r="M252" s="3"/>
      <x:c r="N252" s="3"/>
      <x:c r="O252" s="3"/>
      <x:c r="P252" s="3"/>
      <x:c r="Q252" s="3"/>
      <x:c r="R252" s="3"/>
      <x:c r="S252" s="3"/>
      <x:c r="T252" s="3"/>
      <x:c r="U252" s="3"/>
      <x:c r="V252" s="3"/>
      <x:c r="W252" s="3"/>
      <x:c r="X252" s="3"/>
      <x:c r="Y252" s="3"/>
      <x:c r="Z252" s="3"/>
      <x:c r="AA252" s="3"/>
      <x:c r="AB252" s="3"/>
      <x:c r="AC252" s="3"/>
      <x:c r="AD252" s="3"/>
      <x:c r="AE252" s="3"/>
      <x:c r="AF252" s="3"/>
      <x:c r="AG252" s="3"/>
      <x:c r="AH252" s="3"/>
      <x:c r="AI252" s="3"/>
      <x:c r="AJ252" s="3"/>
      <x:c r="AK252" s="3"/>
      <x:c r="AL252" s="3"/>
      <x:c r="AM252" s="3"/>
      <x:c r="AN252" s="3"/>
      <x:c r="AO252" s="3"/>
      <x:c r="AP252" s="3"/>
      <x:c r="AQ252" s="3"/>
      <x:c r="AR252" s="3"/>
      <x:c r="AS252" s="3"/>
      <x:c r="AT252" s="3"/>
      <x:c r="AU252" s="3"/>
      <x:c r="AV252" s="3"/>
      <x:c r="AW252" s="3"/>
      <x:c r="AX252" s="3"/>
      <x:c r="AY252" s="3"/>
      <x:c r="AZ252" s="3" t="str">
        <x:f>IF(AND('中古車掲載'!C253="One2car",'中古車掲載'!F253="ATTO 3",'中古車掲載'!L253="EXTENDED RANGE",'中古車掲載'!J253=2023,ISNUMBER('中古車掲載'!N253),'中古車掲載'!N253&gt;=20000,'中古車掲載'!O253&lt;=100000,'中古車掲載'!AL253=1),'中古車掲載'!U253,"")</x:f>
      </x:c>
      <x:c r="BA252" s="3" t="str">
        <x:f>IF(AND('中古車掲載'!C253="One2car",'中古車掲載'!F253="Corolla Cross",'中古車掲載'!L253="HEV PREMIUM SAFETY",'中古車掲載'!J253=2023,ISNUMBER('中古車掲載'!N253),'中古車掲載'!N253&gt;=20000,'中古車掲載'!O253&lt;=100000,'中古車掲載'!AL253=1,'中古車掲載'!Z253="https://www.one2car.com/en/cars-for-sale/toyota/corolla-cross/year-2023"),'中古車掲載'!U253,"")</x:f>
      </x:c>
      <x:c r="BB252" s="3" t="str">
        <x:f>IF(AND('中古車掲載'!C253="One2car",'中古車掲載'!F253="ATTO 3",'中古車掲載'!L253="EXTENDED RANGE",'中古車掲載'!J253=2023,ISNUMBER('中古車掲載'!N253),'中古車掲載'!N253&gt;=50000,'中古車掲載'!O253&lt;=100000,'中古車掲載'!AL253=1),'中古車掲載'!U253,"")</x:f>
      </x:c>
      <x:c r="BC252" s="3" t="str">
        <x:f>IF(AND('中古車掲載'!C253="One2car",'中古車掲載'!F253="Corolla Cross",'中古車掲載'!L253="HEV PREMIUM SAFETY",'中古車掲載'!J253=2023,ISNUMBER('中古車掲載'!N253),'中古車掲載'!N253&gt;=50000,'中古車掲載'!O253&lt;=100000,'中古車掲載'!AL253=1,'中古車掲載'!Z253="https://www.one2car.com/en/cars-for-sale/toyota/corolla-cross/year-2023"),'中古車掲載'!U253,"")</x:f>
      </x:c>
      <x:c r="BD252" s="3" t="str">
        <x:f>IF(AND('中古車掲載'!C253="One2car",'中古車掲載'!F253="ATTO 3",'中古車掲載'!L253="EXTENDED RANGE",'中古車掲載'!J253=2023,ISNUMBER('中古車掲載'!N253),'中古車掲載'!N253&gt;=20000,'中古車掲載'!O253&lt;=50000,'中古車掲載'!AL253=1),'中古車掲載'!U253,"")</x:f>
      </x:c>
      <x:c r="BE252" s="3" t="str">
        <x:f>IF(AND('中古車掲載'!C253="One2car",'中古車掲載'!F253="Corolla Cross",'中古車掲載'!L253="HEV PREMIUM SAFETY",'中古車掲載'!J253=2023,ISNUMBER('中古車掲載'!N253),'中古車掲載'!N253&gt;=20000,'中古車掲載'!O253&lt;=50000,'中古車掲載'!AL253=1,'中古車掲載'!Z253="https://www.one2car.com/en/cars-for-sale/toyota/corolla-cross/year-2023"),'中古車掲載'!U253,"")</x:f>
      </x:c>
      <x:c r="BF252" s="3" t="str">
        <x:f>IF(AND('中古車掲載'!C253="One2car",'中古車掲載'!F253="Corolla Cross",'中古車掲載'!L253="HEV PREMIUM",'中古車掲載'!J253=2023,ISNUMBER('中古車掲載'!N253),'中古車掲載'!N253&gt;=20000,'中古車掲載'!O253&lt;=100000,'中古車掲載'!AL253=1,'中古車掲載'!Z253="https://www.one2car.com/en/cars-for-sale/toyota/corolla-cross/year-2023"),'中古車掲載'!U253,"")</x:f>
      </x:c>
      <x:c r="BG252" s="3" t="str">
        <x:f>IF(AND('中古車掲載'!C253="One2car",'中古車掲載'!F253="Corolla Cross",'中古車掲載'!L253="HEV GR SPORT",'中古車掲載'!J253=2023,ISNUMBER('中古車掲載'!N253),'中古車掲載'!N253&gt;=20000,'中古車掲載'!O253&lt;=100000,'中古車掲載'!AL253=1,'中古車掲載'!Z253="https://www.one2car.com/en/cars-for-sale/toyota/corolla-cross/year-2023"),'中古車掲載'!U253,"")</x:f>
      </x:c>
      <x:c r="BH252" s="3" t="str">
        <x:f>IF(AND('中古車掲載'!C253="One2car",'中古車掲載'!F253="DOLPHIN",'中古車掲載'!L253="STANDARD RANGE",'中古車掲載'!J253=2023,ISNUMBER('中古車掲載'!N253),'中古車掲載'!N253&gt;=20000,'中古車掲載'!O253&lt;=100000,'中古車掲載'!AL253=1),'中古車掲載'!U253,"")</x:f>
      </x:c>
      <x:c r="BI252" s="3" t="str">
        <x:v>Taladrod|Corolla Altis|ICE|Unknown</x:v>
      </x:c>
      <x:c r="BJ252" s="3" t="n">
        <x:v>253</x:v>
      </x:c>
      <x:c r="BK252" s="3" t="n">
        <x:f>'中古車掲載'!AM253</x:f>
        <x:v>499000</x:v>
      </x:c>
      <x:c r="BL252" s="3" t="str">
        <x:f>IF(ISNUMBER('中古車掲載'!AN253),'中古車掲載'!AN253,"")</x:f>
      </x:c>
      <x:c r="BM252" s="3" t="str">
        <x:v>2025|Double cab</x:v>
      </x:c>
      <x:c r="BN252" s="3" t="n">
        <x:v>895</x:v>
      </x:c>
      <x:c r="BO252" s="3" t="n">
        <x:f>'中古車掲載'!AM895</x:f>
        <x:v>679000</x:v>
      </x:c>
      <x:c r="BP252" s="3" t="str">
        <x:v>2.4 ENTRY PRERUNNER DOUBLE CAB</x:v>
      </x:c>
      <x:c r="BQ252" s="3"/>
      <x:c r="BR252" s="3"/>
    </x:row>
    <x:row r="253" ht="22" customHeight="1">
      <x:c r="A253" s="3"/>
      <x:c r="B253" s="3"/>
      <x:c r="C253" s="3"/>
      <x:c r="D253" s="3"/>
      <x:c r="E253" s="3"/>
      <x:c r="F253" s="3"/>
      <x:c r="G253" s="3"/>
      <x:c r="H253" s="3"/>
      <x:c r="I253" s="3"/>
      <x:c r="J253" s="3"/>
      <x:c r="K253" s="3"/>
      <x:c r="L253" s="3"/>
      <x:c r="M253" s="3"/>
      <x:c r="N253" s="3"/>
      <x:c r="O253" s="3"/>
      <x:c r="P253" s="3"/>
      <x:c r="Q253" s="3"/>
      <x:c r="R253" s="3"/>
      <x:c r="S253" s="3"/>
      <x:c r="T253" s="3"/>
      <x:c r="U253" s="3"/>
      <x:c r="V253" s="3"/>
      <x:c r="W253" s="3"/>
      <x:c r="X253" s="3"/>
      <x:c r="Y253" s="3"/>
      <x:c r="Z253" s="3"/>
      <x:c r="AA253" s="3"/>
      <x:c r="AB253" s="3"/>
      <x:c r="AC253" s="3"/>
      <x:c r="AD253" s="3"/>
      <x:c r="AE253" s="3"/>
      <x:c r="AF253" s="3"/>
      <x:c r="AG253" s="3"/>
      <x:c r="AH253" s="3"/>
      <x:c r="AI253" s="3"/>
      <x:c r="AJ253" s="3"/>
      <x:c r="AK253" s="3"/>
      <x:c r="AL253" s="3"/>
      <x:c r="AM253" s="3"/>
      <x:c r="AN253" s="3"/>
      <x:c r="AO253" s="3"/>
      <x:c r="AP253" s="3"/>
      <x:c r="AQ253" s="3"/>
      <x:c r="AR253" s="3"/>
      <x:c r="AS253" s="3"/>
      <x:c r="AT253" s="3"/>
      <x:c r="AU253" s="3"/>
      <x:c r="AV253" s="3"/>
      <x:c r="AW253" s="3"/>
      <x:c r="AX253" s="3"/>
      <x:c r="AY253" s="3"/>
      <x:c r="AZ253" s="3" t="str">
        <x:f>IF(AND('中古車掲載'!C254="One2car",'中古車掲載'!F254="ATTO 3",'中古車掲載'!L254="EXTENDED RANGE",'中古車掲載'!J254=2023,ISNUMBER('中古車掲載'!N254),'中古車掲載'!N254&gt;=20000,'中古車掲載'!O254&lt;=100000,'中古車掲載'!AL254=1),'中古車掲載'!U254,"")</x:f>
      </x:c>
      <x:c r="BA253" s="3" t="str">
        <x:f>IF(AND('中古車掲載'!C254="One2car",'中古車掲載'!F254="Corolla Cross",'中古車掲載'!L254="HEV PREMIUM SAFETY",'中古車掲載'!J254=2023,ISNUMBER('中古車掲載'!N254),'中古車掲載'!N254&gt;=20000,'中古車掲載'!O254&lt;=100000,'中古車掲載'!AL254=1,'中古車掲載'!Z254="https://www.one2car.com/en/cars-for-sale/toyota/corolla-cross/year-2023"),'中古車掲載'!U254,"")</x:f>
      </x:c>
      <x:c r="BB253" s="3" t="str">
        <x:f>IF(AND('中古車掲載'!C254="One2car",'中古車掲載'!F254="ATTO 3",'中古車掲載'!L254="EXTENDED RANGE",'中古車掲載'!J254=2023,ISNUMBER('中古車掲載'!N254),'中古車掲載'!N254&gt;=50000,'中古車掲載'!O254&lt;=100000,'中古車掲載'!AL254=1),'中古車掲載'!U254,"")</x:f>
      </x:c>
      <x:c r="BC253" s="3" t="str">
        <x:f>IF(AND('中古車掲載'!C254="One2car",'中古車掲載'!F254="Corolla Cross",'中古車掲載'!L254="HEV PREMIUM SAFETY",'中古車掲載'!J254=2023,ISNUMBER('中古車掲載'!N254),'中古車掲載'!N254&gt;=50000,'中古車掲載'!O254&lt;=100000,'中古車掲載'!AL254=1,'中古車掲載'!Z254="https://www.one2car.com/en/cars-for-sale/toyota/corolla-cross/year-2023"),'中古車掲載'!U254,"")</x:f>
      </x:c>
      <x:c r="BD253" s="3" t="str">
        <x:f>IF(AND('中古車掲載'!C254="One2car",'中古車掲載'!F254="ATTO 3",'中古車掲載'!L254="EXTENDED RANGE",'中古車掲載'!J254=2023,ISNUMBER('中古車掲載'!N254),'中古車掲載'!N254&gt;=20000,'中古車掲載'!O254&lt;=50000,'中古車掲載'!AL254=1),'中古車掲載'!U254,"")</x:f>
      </x:c>
      <x:c r="BE253" s="3" t="str">
        <x:f>IF(AND('中古車掲載'!C254="One2car",'中古車掲載'!F254="Corolla Cross",'中古車掲載'!L254="HEV PREMIUM SAFETY",'中古車掲載'!J254=2023,ISNUMBER('中古車掲載'!N254),'中古車掲載'!N254&gt;=20000,'中古車掲載'!O254&lt;=50000,'中古車掲載'!AL254=1,'中古車掲載'!Z254="https://www.one2car.com/en/cars-for-sale/toyota/corolla-cross/year-2023"),'中古車掲載'!U254,"")</x:f>
      </x:c>
      <x:c r="BF253" s="3" t="str">
        <x:f>IF(AND('中古車掲載'!C254="One2car",'中古車掲載'!F254="Corolla Cross",'中古車掲載'!L254="HEV PREMIUM",'中古車掲載'!J254=2023,ISNUMBER('中古車掲載'!N254),'中古車掲載'!N254&gt;=20000,'中古車掲載'!O254&lt;=100000,'中古車掲載'!AL254=1,'中古車掲載'!Z254="https://www.one2car.com/en/cars-for-sale/toyota/corolla-cross/year-2023"),'中古車掲載'!U254,"")</x:f>
      </x:c>
      <x:c r="BG253" s="3" t="str">
        <x:f>IF(AND('中古車掲載'!C254="One2car",'中古車掲載'!F254="Corolla Cross",'中古車掲載'!L254="HEV GR SPORT",'中古車掲載'!J254=2023,ISNUMBER('中古車掲載'!N254),'中古車掲載'!N254&gt;=20000,'中古車掲載'!O254&lt;=100000,'中古車掲載'!AL254=1,'中古車掲載'!Z254="https://www.one2car.com/en/cars-for-sale/toyota/corolla-cross/year-2023"),'中古車掲載'!U254,"")</x:f>
      </x:c>
      <x:c r="BH253" s="3" t="str">
        <x:f>IF(AND('中古車掲載'!C254="One2car",'中古車掲載'!F254="DOLPHIN",'中古車掲載'!L254="STANDARD RANGE",'中古車掲載'!J254=2023,ISNUMBER('中古車掲載'!N254),'中古車掲載'!N254&gt;=20000,'中古車掲載'!O254&lt;=100000,'中古車掲載'!AL254=1),'中古車掲載'!U254,"")</x:f>
      </x:c>
      <x:c r="BI253" s="3" t="str">
        <x:v>Taladrod|Corolla Altis|ICE|Unknown</x:v>
      </x:c>
      <x:c r="BJ253" s="3" t="n">
        <x:v>254</x:v>
      </x:c>
      <x:c r="BK253" s="3" t="n">
        <x:f>'中古車掲載'!AM254</x:f>
        <x:v>444000</x:v>
      </x:c>
      <x:c r="BL253" s="3" t="str">
        <x:f>IF(ISNUMBER('中古車掲載'!AN254),'中古車掲載'!AN254,"")</x:f>
      </x:c>
      <x:c r="BM253" s="3" t="str">
        <x:v>2025|Double cab</x:v>
      </x:c>
      <x:c r="BN253" s="3" t="n">
        <x:v>896</x:v>
      </x:c>
      <x:c r="BO253" s="3" t="n">
        <x:f>'中古車掲載'!AM896</x:f>
        <x:v>699000</x:v>
      </x:c>
      <x:c r="BP253" s="3" t="str">
        <x:v>2.4 ENTRY PRERUNNER DOUBLE CAB</x:v>
      </x:c>
      <x:c r="BQ253" s="3"/>
      <x:c r="BR253" s="3"/>
    </x:row>
    <x:row r="254" ht="22" customHeight="1">
      <x:c r="A254" s="3"/>
      <x:c r="B254" s="3"/>
      <x:c r="C254" s="3"/>
      <x:c r="D254" s="3"/>
      <x:c r="E254" s="3"/>
      <x:c r="F254" s="3"/>
      <x:c r="G254" s="3"/>
      <x:c r="H254" s="3"/>
      <x:c r="I254" s="3"/>
      <x:c r="J254" s="3"/>
      <x:c r="K254" s="3"/>
      <x:c r="L254" s="3"/>
      <x:c r="M254" s="3"/>
      <x:c r="N254" s="3"/>
      <x:c r="O254" s="3"/>
      <x:c r="P254" s="3"/>
      <x:c r="Q254" s="3"/>
      <x:c r="R254" s="3"/>
      <x:c r="S254" s="3"/>
      <x:c r="T254" s="3"/>
      <x:c r="U254" s="3"/>
      <x:c r="V254" s="3"/>
      <x:c r="W254" s="3"/>
      <x:c r="X254" s="3"/>
      <x:c r="Y254" s="3"/>
      <x:c r="Z254" s="3"/>
      <x:c r="AA254" s="3"/>
      <x:c r="AB254" s="3"/>
      <x:c r="AC254" s="3"/>
      <x:c r="AD254" s="3"/>
      <x:c r="AE254" s="3"/>
      <x:c r="AF254" s="3"/>
      <x:c r="AG254" s="3"/>
      <x:c r="AH254" s="3"/>
      <x:c r="AI254" s="3"/>
      <x:c r="AJ254" s="3"/>
      <x:c r="AK254" s="3"/>
      <x:c r="AL254" s="3"/>
      <x:c r="AM254" s="3"/>
      <x:c r="AN254" s="3"/>
      <x:c r="AO254" s="3"/>
      <x:c r="AP254" s="3"/>
      <x:c r="AQ254" s="3"/>
      <x:c r="AR254" s="3"/>
      <x:c r="AS254" s="3"/>
      <x:c r="AT254" s="3"/>
      <x:c r="AU254" s="3"/>
      <x:c r="AV254" s="3"/>
      <x:c r="AW254" s="3"/>
      <x:c r="AX254" s="3"/>
      <x:c r="AY254" s="3"/>
      <x:c r="AZ254" s="3" t="str">
        <x:f>IF(AND('中古車掲載'!C255="One2car",'中古車掲載'!F255="ATTO 3",'中古車掲載'!L255="EXTENDED RANGE",'中古車掲載'!J255=2023,ISNUMBER('中古車掲載'!N255),'中古車掲載'!N255&gt;=20000,'中古車掲載'!O255&lt;=100000,'中古車掲載'!AL255=1),'中古車掲載'!U255,"")</x:f>
      </x:c>
      <x:c r="BA254" s="3" t="str">
        <x:f>IF(AND('中古車掲載'!C255="One2car",'中古車掲載'!F255="Corolla Cross",'中古車掲載'!L255="HEV PREMIUM SAFETY",'中古車掲載'!J255=2023,ISNUMBER('中古車掲載'!N255),'中古車掲載'!N255&gt;=20000,'中古車掲載'!O255&lt;=100000,'中古車掲載'!AL255=1,'中古車掲載'!Z255="https://www.one2car.com/en/cars-for-sale/toyota/corolla-cross/year-2023"),'中古車掲載'!U255,"")</x:f>
      </x:c>
      <x:c r="BB254" s="3" t="str">
        <x:f>IF(AND('中古車掲載'!C255="One2car",'中古車掲載'!F255="ATTO 3",'中古車掲載'!L255="EXTENDED RANGE",'中古車掲載'!J255=2023,ISNUMBER('中古車掲載'!N255),'中古車掲載'!N255&gt;=50000,'中古車掲載'!O255&lt;=100000,'中古車掲載'!AL255=1),'中古車掲載'!U255,"")</x:f>
      </x:c>
      <x:c r="BC254" s="3" t="str">
        <x:f>IF(AND('中古車掲載'!C255="One2car",'中古車掲載'!F255="Corolla Cross",'中古車掲載'!L255="HEV PREMIUM SAFETY",'中古車掲載'!J255=2023,ISNUMBER('中古車掲載'!N255),'中古車掲載'!N255&gt;=50000,'中古車掲載'!O255&lt;=100000,'中古車掲載'!AL255=1,'中古車掲載'!Z255="https://www.one2car.com/en/cars-for-sale/toyota/corolla-cross/year-2023"),'中古車掲載'!U255,"")</x:f>
      </x:c>
      <x:c r="BD254" s="3" t="str">
        <x:f>IF(AND('中古車掲載'!C255="One2car",'中古車掲載'!F255="ATTO 3",'中古車掲載'!L255="EXTENDED RANGE",'中古車掲載'!J255=2023,ISNUMBER('中古車掲載'!N255),'中古車掲載'!N255&gt;=20000,'中古車掲載'!O255&lt;=50000,'中古車掲載'!AL255=1),'中古車掲載'!U255,"")</x:f>
      </x:c>
      <x:c r="BE254" s="3" t="str">
        <x:f>IF(AND('中古車掲載'!C255="One2car",'中古車掲載'!F255="Corolla Cross",'中古車掲載'!L255="HEV PREMIUM SAFETY",'中古車掲載'!J255=2023,ISNUMBER('中古車掲載'!N255),'中古車掲載'!N255&gt;=20000,'中古車掲載'!O255&lt;=50000,'中古車掲載'!AL255=1,'中古車掲載'!Z255="https://www.one2car.com/en/cars-for-sale/toyota/corolla-cross/year-2023"),'中古車掲載'!U255,"")</x:f>
      </x:c>
      <x:c r="BF254" s="3" t="str">
        <x:f>IF(AND('中古車掲載'!C255="One2car",'中古車掲載'!F255="Corolla Cross",'中古車掲載'!L255="HEV PREMIUM",'中古車掲載'!J255=2023,ISNUMBER('中古車掲載'!N255),'中古車掲載'!N255&gt;=20000,'中古車掲載'!O255&lt;=100000,'中古車掲載'!AL255=1,'中古車掲載'!Z255="https://www.one2car.com/en/cars-for-sale/toyota/corolla-cross/year-2023"),'中古車掲載'!U255,"")</x:f>
      </x:c>
      <x:c r="BG254" s="3" t="str">
        <x:f>IF(AND('中古車掲載'!C255="One2car",'中古車掲載'!F255="Corolla Cross",'中古車掲載'!L255="HEV GR SPORT",'中古車掲載'!J255=2023,ISNUMBER('中古車掲載'!N255),'中古車掲載'!N255&gt;=20000,'中古車掲載'!O255&lt;=100000,'中古車掲載'!AL255=1,'中古車掲載'!Z255="https://www.one2car.com/en/cars-for-sale/toyota/corolla-cross/year-2023"),'中古車掲載'!U255,"")</x:f>
      </x:c>
      <x:c r="BH254" s="3" t="str">
        <x:f>IF(AND('中古車掲載'!C255="One2car",'中古車掲載'!F255="DOLPHIN",'中古車掲載'!L255="STANDARD RANGE",'中古車掲載'!J255=2023,ISNUMBER('中古車掲載'!N255),'中古車掲載'!N255&gt;=20000,'中古車掲載'!O255&lt;=100000,'中古車掲載'!AL255=1),'中古車掲載'!U255,"")</x:f>
      </x:c>
      <x:c r="BI254" s="3" t="str">
        <x:v>Taladrod|Corolla Altis|ICE|Unknown</x:v>
      </x:c>
      <x:c r="BJ254" s="3" t="n">
        <x:v>255</x:v>
      </x:c>
      <x:c r="BK254" s="3" t="n">
        <x:f>'中古車掲載'!AM255</x:f>
        <x:v>460000</x:v>
      </x:c>
      <x:c r="BL254" s="3" t="str">
        <x:f>IF(ISNUMBER('中古車掲載'!AN255),'中古車掲載'!AN255,"")</x:f>
      </x:c>
      <x:c r="BM254" s="3" t="str">
        <x:v>2025|Double cab</x:v>
      </x:c>
      <x:c r="BN254" s="3" t="n">
        <x:v>897</x:v>
      </x:c>
      <x:c r="BO254" s="3" t="n">
        <x:f>'中古車掲載'!AM897</x:f>
        <x:v>699000</x:v>
      </x:c>
      <x:c r="BP254" s="3" t="str">
        <x:v>2.4 ENTRY PRERUNNER DOUBLE CAB</x:v>
      </x:c>
      <x:c r="BQ254" s="3"/>
      <x:c r="BR254" s="3"/>
    </x:row>
    <x:row r="255" ht="22" customHeight="1">
      <x:c r="A255" s="3"/>
      <x:c r="B255" s="3"/>
      <x:c r="C255" s="3"/>
      <x:c r="D255" s="3"/>
      <x:c r="E255" s="3"/>
      <x:c r="F255" s="3"/>
      <x:c r="G255" s="3"/>
      <x:c r="H255" s="3"/>
      <x:c r="I255" s="3"/>
      <x:c r="J255" s="3"/>
      <x:c r="K255" s="3"/>
      <x:c r="L255" s="3"/>
      <x:c r="M255" s="3"/>
      <x:c r="N255" s="3"/>
      <x:c r="O255" s="3"/>
      <x:c r="P255" s="3"/>
      <x:c r="Q255" s="3"/>
      <x:c r="R255" s="3"/>
      <x:c r="S255" s="3"/>
      <x:c r="T255" s="3"/>
      <x:c r="U255" s="3"/>
      <x:c r="V255" s="3"/>
      <x:c r="W255" s="3"/>
      <x:c r="X255" s="3"/>
      <x:c r="Y255" s="3"/>
      <x:c r="Z255" s="3"/>
      <x:c r="AA255" s="3"/>
      <x:c r="AB255" s="3"/>
      <x:c r="AC255" s="3"/>
      <x:c r="AD255" s="3"/>
      <x:c r="AE255" s="3"/>
      <x:c r="AF255" s="3"/>
      <x:c r="AG255" s="3"/>
      <x:c r="AH255" s="3"/>
      <x:c r="AI255" s="3"/>
      <x:c r="AJ255" s="3"/>
      <x:c r="AK255" s="3"/>
      <x:c r="AL255" s="3"/>
      <x:c r="AM255" s="3"/>
      <x:c r="AN255" s="3"/>
      <x:c r="AO255" s="3"/>
      <x:c r="AP255" s="3"/>
      <x:c r="AQ255" s="3"/>
      <x:c r="AR255" s="3"/>
      <x:c r="AS255" s="3"/>
      <x:c r="AT255" s="3"/>
      <x:c r="AU255" s="3"/>
      <x:c r="AV255" s="3"/>
      <x:c r="AW255" s="3"/>
      <x:c r="AX255" s="3"/>
      <x:c r="AY255" s="3"/>
      <x:c r="AZ255" s="3" t="str">
        <x:f>IF(AND('中古車掲載'!C256="One2car",'中古車掲載'!F256="ATTO 3",'中古車掲載'!L256="EXTENDED RANGE",'中古車掲載'!J256=2023,ISNUMBER('中古車掲載'!N256),'中古車掲載'!N256&gt;=20000,'中古車掲載'!O256&lt;=100000,'中古車掲載'!AL256=1),'中古車掲載'!U256,"")</x:f>
      </x:c>
      <x:c r="BA255" s="3" t="str">
        <x:f>IF(AND('中古車掲載'!C256="One2car",'中古車掲載'!F256="Corolla Cross",'中古車掲載'!L256="HEV PREMIUM SAFETY",'中古車掲載'!J256=2023,ISNUMBER('中古車掲載'!N256),'中古車掲載'!N256&gt;=20000,'中古車掲載'!O256&lt;=100000,'中古車掲載'!AL256=1,'中古車掲載'!Z256="https://www.one2car.com/en/cars-for-sale/toyota/corolla-cross/year-2023"),'中古車掲載'!U256,"")</x:f>
      </x:c>
      <x:c r="BB255" s="3" t="str">
        <x:f>IF(AND('中古車掲載'!C256="One2car",'中古車掲載'!F256="ATTO 3",'中古車掲載'!L256="EXTENDED RANGE",'中古車掲載'!J256=2023,ISNUMBER('中古車掲載'!N256),'中古車掲載'!N256&gt;=50000,'中古車掲載'!O256&lt;=100000,'中古車掲載'!AL256=1),'中古車掲載'!U256,"")</x:f>
      </x:c>
      <x:c r="BC255" s="3" t="str">
        <x:f>IF(AND('中古車掲載'!C256="One2car",'中古車掲載'!F256="Corolla Cross",'中古車掲載'!L256="HEV PREMIUM SAFETY",'中古車掲載'!J256=2023,ISNUMBER('中古車掲載'!N256),'中古車掲載'!N256&gt;=50000,'中古車掲載'!O256&lt;=100000,'中古車掲載'!AL256=1,'中古車掲載'!Z256="https://www.one2car.com/en/cars-for-sale/toyota/corolla-cross/year-2023"),'中古車掲載'!U256,"")</x:f>
      </x:c>
      <x:c r="BD255" s="3" t="str">
        <x:f>IF(AND('中古車掲載'!C256="One2car",'中古車掲載'!F256="ATTO 3",'中古車掲載'!L256="EXTENDED RANGE",'中古車掲載'!J256=2023,ISNUMBER('中古車掲載'!N256),'中古車掲載'!N256&gt;=20000,'中古車掲載'!O256&lt;=50000,'中古車掲載'!AL256=1),'中古車掲載'!U256,"")</x:f>
      </x:c>
      <x:c r="BE255" s="3" t="str">
        <x:f>IF(AND('中古車掲載'!C256="One2car",'中古車掲載'!F256="Corolla Cross",'中古車掲載'!L256="HEV PREMIUM SAFETY",'中古車掲載'!J256=2023,ISNUMBER('中古車掲載'!N256),'中古車掲載'!N256&gt;=20000,'中古車掲載'!O256&lt;=50000,'中古車掲載'!AL256=1,'中古車掲載'!Z256="https://www.one2car.com/en/cars-for-sale/toyota/corolla-cross/year-2023"),'中古車掲載'!U256,"")</x:f>
      </x:c>
      <x:c r="BF255" s="3" t="str">
        <x:f>IF(AND('中古車掲載'!C256="One2car",'中古車掲載'!F256="Corolla Cross",'中古車掲載'!L256="HEV PREMIUM",'中古車掲載'!J256=2023,ISNUMBER('中古車掲載'!N256),'中古車掲載'!N256&gt;=20000,'中古車掲載'!O256&lt;=100000,'中古車掲載'!AL256=1,'中古車掲載'!Z256="https://www.one2car.com/en/cars-for-sale/toyota/corolla-cross/year-2023"),'中古車掲載'!U256,"")</x:f>
      </x:c>
      <x:c r="BG255" s="3" t="str">
        <x:f>IF(AND('中古車掲載'!C256="One2car",'中古車掲載'!F256="Corolla Cross",'中古車掲載'!L256="HEV GR SPORT",'中古車掲載'!J256=2023,ISNUMBER('中古車掲載'!N256),'中古車掲載'!N256&gt;=20000,'中古車掲載'!O256&lt;=100000,'中古車掲載'!AL256=1,'中古車掲載'!Z256="https://www.one2car.com/en/cars-for-sale/toyota/corolla-cross/year-2023"),'中古車掲載'!U256,"")</x:f>
      </x:c>
      <x:c r="BH255" s="3" t="str">
        <x:f>IF(AND('中古車掲載'!C256="One2car",'中古車掲載'!F256="DOLPHIN",'中古車掲載'!L256="STANDARD RANGE",'中古車掲載'!J256=2023,ISNUMBER('中古車掲載'!N256),'中古車掲載'!N256&gt;=20000,'中古車掲載'!O256&lt;=100000,'中古車掲載'!AL256=1),'中古車掲載'!U256,"")</x:f>
      </x:c>
      <x:c r="BI255" s="3" t="str">
        <x:v>Taladrod|Corolla Altis|ICE|Unknown</x:v>
      </x:c>
      <x:c r="BJ255" s="3" t="n">
        <x:v>256</x:v>
      </x:c>
      <x:c r="BK255" s="3" t="n">
        <x:f>'中古車掲載'!AM256</x:f>
        <x:v>459000</x:v>
      </x:c>
      <x:c r="BL255" s="3" t="str">
        <x:f>IF(ISNUMBER('中古車掲載'!AN256),'中古車掲載'!AN256,"")</x:f>
      </x:c>
      <x:c r="BM255" s="3" t="str">
        <x:v>2025|Double cab</x:v>
      </x:c>
      <x:c r="BN255" s="3" t="n">
        <x:v>907</x:v>
      </x:c>
      <x:c r="BO255" s="3" t="n">
        <x:f>'中古車掲載'!AM907</x:f>
        <x:v>519000</x:v>
      </x:c>
      <x:c r="BP255" s="3" t="str">
        <x:v>2.4 ENTRY Z EDITION DOUBLE CAB</x:v>
      </x:c>
      <x:c r="BQ255" s="3"/>
      <x:c r="BR255" s="3"/>
    </x:row>
    <x:row r="256" ht="22" customHeight="1">
      <x:c r="A256" s="3"/>
      <x:c r="B256" s="3"/>
      <x:c r="C256" s="3"/>
      <x:c r="D256" s="3"/>
      <x:c r="E256" s="3"/>
      <x:c r="F256" s="3"/>
      <x:c r="G256" s="3"/>
      <x:c r="H256" s="3"/>
      <x:c r="I256" s="3"/>
      <x:c r="J256" s="3"/>
      <x:c r="K256" s="3"/>
      <x:c r="L256" s="3"/>
      <x:c r="M256" s="3"/>
      <x:c r="N256" s="3"/>
      <x:c r="O256" s="3"/>
      <x:c r="P256" s="3"/>
      <x:c r="Q256" s="3"/>
      <x:c r="R256" s="3"/>
      <x:c r="S256" s="3"/>
      <x:c r="T256" s="3"/>
      <x:c r="U256" s="3"/>
      <x:c r="V256" s="3"/>
      <x:c r="W256" s="3"/>
      <x:c r="X256" s="3"/>
      <x:c r="Y256" s="3"/>
      <x:c r="Z256" s="3"/>
      <x:c r="AA256" s="3"/>
      <x:c r="AB256" s="3"/>
      <x:c r="AC256" s="3"/>
      <x:c r="AD256" s="3"/>
      <x:c r="AE256" s="3"/>
      <x:c r="AF256" s="3"/>
      <x:c r="AG256" s="3"/>
      <x:c r="AH256" s="3"/>
      <x:c r="AI256" s="3"/>
      <x:c r="AJ256" s="3"/>
      <x:c r="AK256" s="3"/>
      <x:c r="AL256" s="3"/>
      <x:c r="AM256" s="3"/>
      <x:c r="AN256" s="3"/>
      <x:c r="AO256" s="3"/>
      <x:c r="AP256" s="3"/>
      <x:c r="AQ256" s="3"/>
      <x:c r="AR256" s="3"/>
      <x:c r="AS256" s="3"/>
      <x:c r="AT256" s="3"/>
      <x:c r="AU256" s="3"/>
      <x:c r="AV256" s="3"/>
      <x:c r="AW256" s="3"/>
      <x:c r="AX256" s="3"/>
      <x:c r="AY256" s="3"/>
      <x:c r="AZ256" s="3" t="str">
        <x:f>IF(AND('中古車掲載'!C257="One2car",'中古車掲載'!F257="ATTO 3",'中古車掲載'!L257="EXTENDED RANGE",'中古車掲載'!J257=2023,ISNUMBER('中古車掲載'!N257),'中古車掲載'!N257&gt;=20000,'中古車掲載'!O257&lt;=100000,'中古車掲載'!AL257=1),'中古車掲載'!U257,"")</x:f>
      </x:c>
      <x:c r="BA256" s="3" t="str">
        <x:f>IF(AND('中古車掲載'!C257="One2car",'中古車掲載'!F257="Corolla Cross",'中古車掲載'!L257="HEV PREMIUM SAFETY",'中古車掲載'!J257=2023,ISNUMBER('中古車掲載'!N257),'中古車掲載'!N257&gt;=20000,'中古車掲載'!O257&lt;=100000,'中古車掲載'!AL257=1,'中古車掲載'!Z257="https://www.one2car.com/en/cars-for-sale/toyota/corolla-cross/year-2023"),'中古車掲載'!U257,"")</x:f>
      </x:c>
      <x:c r="BB256" s="3" t="str">
        <x:f>IF(AND('中古車掲載'!C257="One2car",'中古車掲載'!F257="ATTO 3",'中古車掲載'!L257="EXTENDED RANGE",'中古車掲載'!J257=2023,ISNUMBER('中古車掲載'!N257),'中古車掲載'!N257&gt;=50000,'中古車掲載'!O257&lt;=100000,'中古車掲載'!AL257=1),'中古車掲載'!U257,"")</x:f>
      </x:c>
      <x:c r="BC256" s="3" t="str">
        <x:f>IF(AND('中古車掲載'!C257="One2car",'中古車掲載'!F257="Corolla Cross",'中古車掲載'!L257="HEV PREMIUM SAFETY",'中古車掲載'!J257=2023,ISNUMBER('中古車掲載'!N257),'中古車掲載'!N257&gt;=50000,'中古車掲載'!O257&lt;=100000,'中古車掲載'!AL257=1,'中古車掲載'!Z257="https://www.one2car.com/en/cars-for-sale/toyota/corolla-cross/year-2023"),'中古車掲載'!U257,"")</x:f>
      </x:c>
      <x:c r="BD256" s="3" t="str">
        <x:f>IF(AND('中古車掲載'!C257="One2car",'中古車掲載'!F257="ATTO 3",'中古車掲載'!L257="EXTENDED RANGE",'中古車掲載'!J257=2023,ISNUMBER('中古車掲載'!N257),'中古車掲載'!N257&gt;=20000,'中古車掲載'!O257&lt;=50000,'中古車掲載'!AL257=1),'中古車掲載'!U257,"")</x:f>
      </x:c>
      <x:c r="BE256" s="3" t="str">
        <x:f>IF(AND('中古車掲載'!C257="One2car",'中古車掲載'!F257="Corolla Cross",'中古車掲載'!L257="HEV PREMIUM SAFETY",'中古車掲載'!J257=2023,ISNUMBER('中古車掲載'!N257),'中古車掲載'!N257&gt;=20000,'中古車掲載'!O257&lt;=50000,'中古車掲載'!AL257=1,'中古車掲載'!Z257="https://www.one2car.com/en/cars-for-sale/toyota/corolla-cross/year-2023"),'中古車掲載'!U257,"")</x:f>
      </x:c>
      <x:c r="BF256" s="3" t="str">
        <x:f>IF(AND('中古車掲載'!C257="One2car",'中古車掲載'!F257="Corolla Cross",'中古車掲載'!L257="HEV PREMIUM",'中古車掲載'!J257=2023,ISNUMBER('中古車掲載'!N257),'中古車掲載'!N257&gt;=20000,'中古車掲載'!O257&lt;=100000,'中古車掲載'!AL257=1,'中古車掲載'!Z257="https://www.one2car.com/en/cars-for-sale/toyota/corolla-cross/year-2023"),'中古車掲載'!U257,"")</x:f>
      </x:c>
      <x:c r="BG256" s="3" t="str">
        <x:f>IF(AND('中古車掲載'!C257="One2car",'中古車掲載'!F257="Corolla Cross",'中古車掲載'!L257="HEV GR SPORT",'中古車掲載'!J257=2023,ISNUMBER('中古車掲載'!N257),'中古車掲載'!N257&gt;=20000,'中古車掲載'!O257&lt;=100000,'中古車掲載'!AL257=1,'中古車掲載'!Z257="https://www.one2car.com/en/cars-for-sale/toyota/corolla-cross/year-2023"),'中古車掲載'!U257,"")</x:f>
      </x:c>
      <x:c r="BH256" s="3" t="str">
        <x:f>IF(AND('中古車掲載'!C257="One2car",'中古車掲載'!F257="DOLPHIN",'中古車掲載'!L257="STANDARD RANGE",'中古車掲載'!J257=2023,ISNUMBER('中古車掲載'!N257),'中古車掲載'!N257&gt;=20000,'中古車掲載'!O257&lt;=100000,'中古車掲載'!AL257=1),'中古車掲載'!U257,"")</x:f>
      </x:c>
      <x:c r="BI256" s="3" t="str">
        <x:v>Taladrod|Corolla Altis|ICE|Unknown</x:v>
      </x:c>
      <x:c r="BJ256" s="3" t="n">
        <x:v>257</x:v>
      </x:c>
      <x:c r="BK256" s="3" t="n">
        <x:f>'中古車掲載'!AM257</x:f>
        <x:v>529000</x:v>
      </x:c>
      <x:c r="BL256" s="3" t="str">
        <x:f>IF(ISNUMBER('中古車掲載'!AN257),'中古車掲載'!AN257,"")</x:f>
      </x:c>
      <x:c r="BM256" s="3" t="str">
        <x:v>2025|Double cab</x:v>
      </x:c>
      <x:c r="BN256" s="3" t="n">
        <x:v>908</x:v>
      </x:c>
      <x:c r="BO256" s="3" t="n">
        <x:f>'中古車掲載'!AM908</x:f>
        <x:v>589000</x:v>
      </x:c>
      <x:c r="BP256" s="3" t="str">
        <x:v>2.4 ENTRY Z EDITION DOUBLE CAB</x:v>
      </x:c>
      <x:c r="BQ256" s="3"/>
      <x:c r="BR256" s="3"/>
    </x:row>
    <x:row r="257" ht="22" customHeight="1">
      <x:c r="A257" s="3"/>
      <x:c r="B257" s="3"/>
      <x:c r="C257" s="3"/>
      <x:c r="D257" s="3"/>
      <x:c r="E257" s="3"/>
      <x:c r="F257" s="3"/>
      <x:c r="G257" s="3"/>
      <x:c r="H257" s="3"/>
      <x:c r="I257" s="3"/>
      <x:c r="J257" s="3"/>
      <x:c r="K257" s="3"/>
      <x:c r="L257" s="3"/>
      <x:c r="M257" s="3"/>
      <x:c r="N257" s="3"/>
      <x:c r="O257" s="3"/>
      <x:c r="P257" s="3"/>
      <x:c r="Q257" s="3"/>
      <x:c r="R257" s="3"/>
      <x:c r="S257" s="3"/>
      <x:c r="T257" s="3"/>
      <x:c r="U257" s="3"/>
      <x:c r="V257" s="3"/>
      <x:c r="W257" s="3"/>
      <x:c r="X257" s="3"/>
      <x:c r="Y257" s="3"/>
      <x:c r="Z257" s="3"/>
      <x:c r="AA257" s="3"/>
      <x:c r="AB257" s="3"/>
      <x:c r="AC257" s="3"/>
      <x:c r="AD257" s="3"/>
      <x:c r="AE257" s="3"/>
      <x:c r="AF257" s="3"/>
      <x:c r="AG257" s="3"/>
      <x:c r="AH257" s="3"/>
      <x:c r="AI257" s="3"/>
      <x:c r="AJ257" s="3"/>
      <x:c r="AK257" s="3"/>
      <x:c r="AL257" s="3"/>
      <x:c r="AM257" s="3"/>
      <x:c r="AN257" s="3"/>
      <x:c r="AO257" s="3"/>
      <x:c r="AP257" s="3"/>
      <x:c r="AQ257" s="3"/>
      <x:c r="AR257" s="3"/>
      <x:c r="AS257" s="3"/>
      <x:c r="AT257" s="3"/>
      <x:c r="AU257" s="3"/>
      <x:c r="AV257" s="3"/>
      <x:c r="AW257" s="3"/>
      <x:c r="AX257" s="3"/>
      <x:c r="AY257" s="3"/>
      <x:c r="AZ257" s="3" t="str">
        <x:f>IF(AND('中古車掲載'!C258="One2car",'中古車掲載'!F258="ATTO 3",'中古車掲載'!L258="EXTENDED RANGE",'中古車掲載'!J258=2023,ISNUMBER('中古車掲載'!N258),'中古車掲載'!N258&gt;=20000,'中古車掲載'!O258&lt;=100000,'中古車掲載'!AL258=1),'中古車掲載'!U258,"")</x:f>
      </x:c>
      <x:c r="BA257" s="3" t="str">
        <x:f>IF(AND('中古車掲載'!C258="One2car",'中古車掲載'!F258="Corolla Cross",'中古車掲載'!L258="HEV PREMIUM SAFETY",'中古車掲載'!J258=2023,ISNUMBER('中古車掲載'!N258),'中古車掲載'!N258&gt;=20000,'中古車掲載'!O258&lt;=100000,'中古車掲載'!AL258=1,'中古車掲載'!Z258="https://www.one2car.com/en/cars-for-sale/toyota/corolla-cross/year-2023"),'中古車掲載'!U258,"")</x:f>
      </x:c>
      <x:c r="BB257" s="3" t="str">
        <x:f>IF(AND('中古車掲載'!C258="One2car",'中古車掲載'!F258="ATTO 3",'中古車掲載'!L258="EXTENDED RANGE",'中古車掲載'!J258=2023,ISNUMBER('中古車掲載'!N258),'中古車掲載'!N258&gt;=50000,'中古車掲載'!O258&lt;=100000,'中古車掲載'!AL258=1),'中古車掲載'!U258,"")</x:f>
      </x:c>
      <x:c r="BC257" s="3" t="str">
        <x:f>IF(AND('中古車掲載'!C258="One2car",'中古車掲載'!F258="Corolla Cross",'中古車掲載'!L258="HEV PREMIUM SAFETY",'中古車掲載'!J258=2023,ISNUMBER('中古車掲載'!N258),'中古車掲載'!N258&gt;=50000,'中古車掲載'!O258&lt;=100000,'中古車掲載'!AL258=1,'中古車掲載'!Z258="https://www.one2car.com/en/cars-for-sale/toyota/corolla-cross/year-2023"),'中古車掲載'!U258,"")</x:f>
      </x:c>
      <x:c r="BD257" s="3" t="str">
        <x:f>IF(AND('中古車掲載'!C258="One2car",'中古車掲載'!F258="ATTO 3",'中古車掲載'!L258="EXTENDED RANGE",'中古車掲載'!J258=2023,ISNUMBER('中古車掲載'!N258),'中古車掲載'!N258&gt;=20000,'中古車掲載'!O258&lt;=50000,'中古車掲載'!AL258=1),'中古車掲載'!U258,"")</x:f>
      </x:c>
      <x:c r="BE257" s="3" t="str">
        <x:f>IF(AND('中古車掲載'!C258="One2car",'中古車掲載'!F258="Corolla Cross",'中古車掲載'!L258="HEV PREMIUM SAFETY",'中古車掲載'!J258=2023,ISNUMBER('中古車掲載'!N258),'中古車掲載'!N258&gt;=20000,'中古車掲載'!O258&lt;=50000,'中古車掲載'!AL258=1,'中古車掲載'!Z258="https://www.one2car.com/en/cars-for-sale/toyota/corolla-cross/year-2023"),'中古車掲載'!U258,"")</x:f>
      </x:c>
      <x:c r="BF257" s="3" t="str">
        <x:f>IF(AND('中古車掲載'!C258="One2car",'中古車掲載'!F258="Corolla Cross",'中古車掲載'!L258="HEV PREMIUM",'中古車掲載'!J258=2023,ISNUMBER('中古車掲載'!N258),'中古車掲載'!N258&gt;=20000,'中古車掲載'!O258&lt;=100000,'中古車掲載'!AL258=1,'中古車掲載'!Z258="https://www.one2car.com/en/cars-for-sale/toyota/corolla-cross/year-2023"),'中古車掲載'!U258,"")</x:f>
      </x:c>
      <x:c r="BG257" s="3" t="str">
        <x:f>IF(AND('中古車掲載'!C258="One2car",'中古車掲載'!F258="Corolla Cross",'中古車掲載'!L258="HEV GR SPORT",'中古車掲載'!J258=2023,ISNUMBER('中古車掲載'!N258),'中古車掲載'!N258&gt;=20000,'中古車掲載'!O258&lt;=100000,'中古車掲載'!AL258=1,'中古車掲載'!Z258="https://www.one2car.com/en/cars-for-sale/toyota/corolla-cross/year-2023"),'中古車掲載'!U258,"")</x:f>
      </x:c>
      <x:c r="BH257" s="3" t="str">
        <x:f>IF(AND('中古車掲載'!C258="One2car",'中古車掲載'!F258="DOLPHIN",'中古車掲載'!L258="STANDARD RANGE",'中古車掲載'!J258=2023,ISNUMBER('中古車掲載'!N258),'中古車掲載'!N258&gt;=20000,'中古車掲載'!O258&lt;=100000,'中古車掲載'!AL258=1),'中古車掲載'!U258,"")</x:f>
      </x:c>
      <x:c r="BI257" s="3" t="str">
        <x:v>Taladrod|Corolla Altis|ICE|Unknown</x:v>
      </x:c>
      <x:c r="BJ257" s="3" t="n">
        <x:v>258</x:v>
      </x:c>
      <x:c r="BK257" s="3" t="n">
        <x:f>'中古車掲載'!AM258</x:f>
        <x:v>450000</x:v>
      </x:c>
      <x:c r="BL257" s="3" t="str">
        <x:f>IF(ISNUMBER('中古車掲載'!AN258),'中古車掲載'!AN258,"")</x:f>
      </x:c>
      <x:c r="BM257" s="3" t="str">
        <x:v>2025|Double cab</x:v>
      </x:c>
      <x:c r="BN257" s="3" t="n">
        <x:v>909</x:v>
      </x:c>
      <x:c r="BO257" s="3" t="n">
        <x:f>'中古車掲載'!AM909</x:f>
        <x:v>599000</x:v>
      </x:c>
      <x:c r="BP257" s="3" t="str">
        <x:v>2.4 ENTRY Z EDITION DOUBLE CAB</x:v>
      </x:c>
      <x:c r="BQ257" s="3"/>
      <x:c r="BR257" s="3"/>
    </x:row>
    <x:row r="258" ht="22" customHeight="1">
      <x:c r="A258" s="3"/>
      <x:c r="B258" s="3"/>
      <x:c r="C258" s="3"/>
      <x:c r="D258" s="3"/>
      <x:c r="E258" s="3"/>
      <x:c r="F258" s="3"/>
      <x:c r="G258" s="3"/>
      <x:c r="H258" s="3"/>
      <x:c r="I258" s="3"/>
      <x:c r="J258" s="3"/>
      <x:c r="K258" s="3"/>
      <x:c r="L258" s="3"/>
      <x:c r="M258" s="3"/>
      <x:c r="N258" s="3"/>
      <x:c r="O258" s="3"/>
      <x:c r="P258" s="3"/>
      <x:c r="Q258" s="3"/>
      <x:c r="R258" s="3"/>
      <x:c r="S258" s="3"/>
      <x:c r="T258" s="3"/>
      <x:c r="U258" s="3"/>
      <x:c r="V258" s="3"/>
      <x:c r="W258" s="3"/>
      <x:c r="X258" s="3"/>
      <x:c r="Y258" s="3"/>
      <x:c r="Z258" s="3"/>
      <x:c r="AA258" s="3"/>
      <x:c r="AB258" s="3"/>
      <x:c r="AC258" s="3"/>
      <x:c r="AD258" s="3"/>
      <x:c r="AE258" s="3"/>
      <x:c r="AF258" s="3"/>
      <x:c r="AG258" s="3"/>
      <x:c r="AH258" s="3"/>
      <x:c r="AI258" s="3"/>
      <x:c r="AJ258" s="3"/>
      <x:c r="AK258" s="3"/>
      <x:c r="AL258" s="3"/>
      <x:c r="AM258" s="3"/>
      <x:c r="AN258" s="3"/>
      <x:c r="AO258" s="3"/>
      <x:c r="AP258" s="3"/>
      <x:c r="AQ258" s="3"/>
      <x:c r="AR258" s="3"/>
      <x:c r="AS258" s="3"/>
      <x:c r="AT258" s="3"/>
      <x:c r="AU258" s="3"/>
      <x:c r="AV258" s="3"/>
      <x:c r="AW258" s="3"/>
      <x:c r="AX258" s="3"/>
      <x:c r="AY258" s="3"/>
      <x:c r="AZ258" s="3" t="str">
        <x:f>IF(AND('中古車掲載'!C259="One2car",'中古車掲載'!F259="ATTO 3",'中古車掲載'!L259="EXTENDED RANGE",'中古車掲載'!J259=2023,ISNUMBER('中古車掲載'!N259),'中古車掲載'!N259&gt;=20000,'中古車掲載'!O259&lt;=100000,'中古車掲載'!AL259=1),'中古車掲載'!U259,"")</x:f>
      </x:c>
      <x:c r="BA258" s="3" t="str">
        <x:f>IF(AND('中古車掲載'!C259="One2car",'中古車掲載'!F259="Corolla Cross",'中古車掲載'!L259="HEV PREMIUM SAFETY",'中古車掲載'!J259=2023,ISNUMBER('中古車掲載'!N259),'中古車掲載'!N259&gt;=20000,'中古車掲載'!O259&lt;=100000,'中古車掲載'!AL259=1,'中古車掲載'!Z259="https://www.one2car.com/en/cars-for-sale/toyota/corolla-cross/year-2023"),'中古車掲載'!U259,"")</x:f>
      </x:c>
      <x:c r="BB258" s="3" t="str">
        <x:f>IF(AND('中古車掲載'!C259="One2car",'中古車掲載'!F259="ATTO 3",'中古車掲載'!L259="EXTENDED RANGE",'中古車掲載'!J259=2023,ISNUMBER('中古車掲載'!N259),'中古車掲載'!N259&gt;=50000,'中古車掲載'!O259&lt;=100000,'中古車掲載'!AL259=1),'中古車掲載'!U259,"")</x:f>
      </x:c>
      <x:c r="BC258" s="3" t="str">
        <x:f>IF(AND('中古車掲載'!C259="One2car",'中古車掲載'!F259="Corolla Cross",'中古車掲載'!L259="HEV PREMIUM SAFETY",'中古車掲載'!J259=2023,ISNUMBER('中古車掲載'!N259),'中古車掲載'!N259&gt;=50000,'中古車掲載'!O259&lt;=100000,'中古車掲載'!AL259=1,'中古車掲載'!Z259="https://www.one2car.com/en/cars-for-sale/toyota/corolla-cross/year-2023"),'中古車掲載'!U259,"")</x:f>
      </x:c>
      <x:c r="BD258" s="3" t="str">
        <x:f>IF(AND('中古車掲載'!C259="One2car",'中古車掲載'!F259="ATTO 3",'中古車掲載'!L259="EXTENDED RANGE",'中古車掲載'!J259=2023,ISNUMBER('中古車掲載'!N259),'中古車掲載'!N259&gt;=20000,'中古車掲載'!O259&lt;=50000,'中古車掲載'!AL259=1),'中古車掲載'!U259,"")</x:f>
      </x:c>
      <x:c r="BE258" s="3" t="str">
        <x:f>IF(AND('中古車掲載'!C259="One2car",'中古車掲載'!F259="Corolla Cross",'中古車掲載'!L259="HEV PREMIUM SAFETY",'中古車掲載'!J259=2023,ISNUMBER('中古車掲載'!N259),'中古車掲載'!N259&gt;=20000,'中古車掲載'!O259&lt;=50000,'中古車掲載'!AL259=1,'中古車掲載'!Z259="https://www.one2car.com/en/cars-for-sale/toyota/corolla-cross/year-2023"),'中古車掲載'!U259,"")</x:f>
      </x:c>
      <x:c r="BF258" s="3" t="str">
        <x:f>IF(AND('中古車掲載'!C259="One2car",'中古車掲載'!F259="Corolla Cross",'中古車掲載'!L259="HEV PREMIUM",'中古車掲載'!J259=2023,ISNUMBER('中古車掲載'!N259),'中古車掲載'!N259&gt;=20000,'中古車掲載'!O259&lt;=100000,'中古車掲載'!AL259=1,'中古車掲載'!Z259="https://www.one2car.com/en/cars-for-sale/toyota/corolla-cross/year-2023"),'中古車掲載'!U259,"")</x:f>
      </x:c>
      <x:c r="BG258" s="3" t="str">
        <x:f>IF(AND('中古車掲載'!C259="One2car",'中古車掲載'!F259="Corolla Cross",'中古車掲載'!L259="HEV GR SPORT",'中古車掲載'!J259=2023,ISNUMBER('中古車掲載'!N259),'中古車掲載'!N259&gt;=20000,'中古車掲載'!O259&lt;=100000,'中古車掲載'!AL259=1,'中古車掲載'!Z259="https://www.one2car.com/en/cars-for-sale/toyota/corolla-cross/year-2023"),'中古車掲載'!U259,"")</x:f>
      </x:c>
      <x:c r="BH258" s="3" t="str">
        <x:f>IF(AND('中古車掲載'!C259="One2car",'中古車掲載'!F259="DOLPHIN",'中古車掲載'!L259="STANDARD RANGE",'中古車掲載'!J259=2023,ISNUMBER('中古車掲載'!N259),'中古車掲載'!N259&gt;=20000,'中古車掲載'!O259&lt;=100000,'中古車掲載'!AL259=1),'中古車掲載'!U259,"")</x:f>
      </x:c>
      <x:c r="BI258" s="3" t="str">
        <x:v>Taladrod|Corolla Altis|ICE|Unknown</x:v>
      </x:c>
      <x:c r="BJ258" s="3" t="n">
        <x:v>259</x:v>
      </x:c>
      <x:c r="BK258" s="3" t="n">
        <x:f>'中古車掲載'!AM259</x:f>
        <x:v>460000</x:v>
      </x:c>
      <x:c r="BL258" s="3" t="str">
        <x:f>IF(ISNUMBER('中古車掲載'!AN259),'中古車掲載'!AN259,"")</x:f>
      </x:c>
      <x:c r="BM258" s="3" t="str">
        <x:v>2025|Double cab</x:v>
      </x:c>
      <x:c r="BN258" s="3" t="n">
        <x:v>910</x:v>
      </x:c>
      <x:c r="BO258" s="3" t="n">
        <x:f>'中古車掲載'!AM910</x:f>
        <x:v>779000</x:v>
      </x:c>
      <x:c r="BP258" s="3" t="str">
        <x:v>2.4 MID PRERUNNER DOUBLE CAB</x:v>
      </x:c>
      <x:c r="BQ258" s="3"/>
      <x:c r="BR258" s="3"/>
    </x:row>
    <x:row r="259" ht="22" customHeight="1">
      <x:c r="A259" s="3"/>
      <x:c r="B259" s="3"/>
      <x:c r="C259" s="3"/>
      <x:c r="D259" s="3"/>
      <x:c r="E259" s="3"/>
      <x:c r="F259" s="3"/>
      <x:c r="G259" s="3"/>
      <x:c r="H259" s="3"/>
      <x:c r="I259" s="3"/>
      <x:c r="J259" s="3"/>
      <x:c r="K259" s="3"/>
      <x:c r="L259" s="3"/>
      <x:c r="M259" s="3"/>
      <x:c r="N259" s="3"/>
      <x:c r="O259" s="3"/>
      <x:c r="P259" s="3"/>
      <x:c r="Q259" s="3"/>
      <x:c r="R259" s="3"/>
      <x:c r="S259" s="3"/>
      <x:c r="T259" s="3"/>
      <x:c r="U259" s="3"/>
      <x:c r="V259" s="3"/>
      <x:c r="W259" s="3"/>
      <x:c r="X259" s="3"/>
      <x:c r="Y259" s="3"/>
      <x:c r="Z259" s="3"/>
      <x:c r="AA259" s="3"/>
      <x:c r="AB259" s="3"/>
      <x:c r="AC259" s="3"/>
      <x:c r="AD259" s="3"/>
      <x:c r="AE259" s="3"/>
      <x:c r="AF259" s="3"/>
      <x:c r="AG259" s="3"/>
      <x:c r="AH259" s="3"/>
      <x:c r="AI259" s="3"/>
      <x:c r="AJ259" s="3"/>
      <x:c r="AK259" s="3"/>
      <x:c r="AL259" s="3"/>
      <x:c r="AM259" s="3"/>
      <x:c r="AN259" s="3"/>
      <x:c r="AO259" s="3"/>
      <x:c r="AP259" s="3"/>
      <x:c r="AQ259" s="3"/>
      <x:c r="AR259" s="3"/>
      <x:c r="AS259" s="3"/>
      <x:c r="AT259" s="3"/>
      <x:c r="AU259" s="3"/>
      <x:c r="AV259" s="3"/>
      <x:c r="AW259" s="3"/>
      <x:c r="AX259" s="3"/>
      <x:c r="AY259" s="3"/>
      <x:c r="AZ259" s="3" t="str">
        <x:f>IF(AND('中古車掲載'!C260="One2car",'中古車掲載'!F260="ATTO 3",'中古車掲載'!L260="EXTENDED RANGE",'中古車掲載'!J260=2023,ISNUMBER('中古車掲載'!N260),'中古車掲載'!N260&gt;=20000,'中古車掲載'!O260&lt;=100000,'中古車掲載'!AL260=1),'中古車掲載'!U260,"")</x:f>
      </x:c>
      <x:c r="BA259" s="3" t="str">
        <x:f>IF(AND('中古車掲載'!C260="One2car",'中古車掲載'!F260="Corolla Cross",'中古車掲載'!L260="HEV PREMIUM SAFETY",'中古車掲載'!J260=2023,ISNUMBER('中古車掲載'!N260),'中古車掲載'!N260&gt;=20000,'中古車掲載'!O260&lt;=100000,'中古車掲載'!AL260=1,'中古車掲載'!Z260="https://www.one2car.com/en/cars-for-sale/toyota/corolla-cross/year-2023"),'中古車掲載'!U260,"")</x:f>
      </x:c>
      <x:c r="BB259" s="3" t="str">
        <x:f>IF(AND('中古車掲載'!C260="One2car",'中古車掲載'!F260="ATTO 3",'中古車掲載'!L260="EXTENDED RANGE",'中古車掲載'!J260=2023,ISNUMBER('中古車掲載'!N260),'中古車掲載'!N260&gt;=50000,'中古車掲載'!O260&lt;=100000,'中古車掲載'!AL260=1),'中古車掲載'!U260,"")</x:f>
      </x:c>
      <x:c r="BC259" s="3" t="str">
        <x:f>IF(AND('中古車掲載'!C260="One2car",'中古車掲載'!F260="Corolla Cross",'中古車掲載'!L260="HEV PREMIUM SAFETY",'中古車掲載'!J260=2023,ISNUMBER('中古車掲載'!N260),'中古車掲載'!N260&gt;=50000,'中古車掲載'!O260&lt;=100000,'中古車掲載'!AL260=1,'中古車掲載'!Z260="https://www.one2car.com/en/cars-for-sale/toyota/corolla-cross/year-2023"),'中古車掲載'!U260,"")</x:f>
      </x:c>
      <x:c r="BD259" s="3" t="str">
        <x:f>IF(AND('中古車掲載'!C260="One2car",'中古車掲載'!F260="ATTO 3",'中古車掲載'!L260="EXTENDED RANGE",'中古車掲載'!J260=2023,ISNUMBER('中古車掲載'!N260),'中古車掲載'!N260&gt;=20000,'中古車掲載'!O260&lt;=50000,'中古車掲載'!AL260=1),'中古車掲載'!U260,"")</x:f>
      </x:c>
      <x:c r="BE259" s="3" t="str">
        <x:f>IF(AND('中古車掲載'!C260="One2car",'中古車掲載'!F260="Corolla Cross",'中古車掲載'!L260="HEV PREMIUM SAFETY",'中古車掲載'!J260=2023,ISNUMBER('中古車掲載'!N260),'中古車掲載'!N260&gt;=20000,'中古車掲載'!O260&lt;=50000,'中古車掲載'!AL260=1,'中古車掲載'!Z260="https://www.one2car.com/en/cars-for-sale/toyota/corolla-cross/year-2023"),'中古車掲載'!U260,"")</x:f>
      </x:c>
      <x:c r="BF259" s="3" t="str">
        <x:f>IF(AND('中古車掲載'!C260="One2car",'中古車掲載'!F260="Corolla Cross",'中古車掲載'!L260="HEV PREMIUM",'中古車掲載'!J260=2023,ISNUMBER('中古車掲載'!N260),'中古車掲載'!N260&gt;=20000,'中古車掲載'!O260&lt;=100000,'中古車掲載'!AL260=1,'中古車掲載'!Z260="https://www.one2car.com/en/cars-for-sale/toyota/corolla-cross/year-2023"),'中古車掲載'!U260,"")</x:f>
      </x:c>
      <x:c r="BG259" s="3" t="str">
        <x:f>IF(AND('中古車掲載'!C260="One2car",'中古車掲載'!F260="Corolla Cross",'中古車掲載'!L260="HEV GR SPORT",'中古車掲載'!J260=2023,ISNUMBER('中古車掲載'!N260),'中古車掲載'!N260&gt;=20000,'中古車掲載'!O260&lt;=100000,'中古車掲載'!AL260=1,'中古車掲載'!Z260="https://www.one2car.com/en/cars-for-sale/toyota/corolla-cross/year-2023"),'中古車掲載'!U260,"")</x:f>
      </x:c>
      <x:c r="BH259" s="3" t="str">
        <x:f>IF(AND('中古車掲載'!C260="One2car",'中古車掲載'!F260="DOLPHIN",'中古車掲載'!L260="STANDARD RANGE",'中古車掲載'!J260=2023,ISNUMBER('中古車掲載'!N260),'中古車掲載'!N260&gt;=20000,'中古車掲載'!O260&lt;=100000,'中古車掲載'!AL260=1),'中古車掲載'!U260,"")</x:f>
      </x:c>
      <x:c r="BI259" s="3" t="str">
        <x:v>Taladrod|Corolla Altis|ICE|Unknown</x:v>
      </x:c>
      <x:c r="BJ259" s="3" t="n">
        <x:v>260</x:v>
      </x:c>
      <x:c r="BK259" s="3" t="n">
        <x:f>'中古車掲載'!AM260</x:f>
        <x:v>469000</x:v>
      </x:c>
      <x:c r="BL259" s="3" t="str">
        <x:f>IF(ISNUMBER('中古車掲載'!AN260),'中古車掲載'!AN260,"")</x:f>
      </x:c>
      <x:c r="BM259" s="3" t="str">
        <x:v>2025|Double cab</x:v>
      </x:c>
      <x:c r="BN259" s="3" t="n">
        <x:v>911</x:v>
      </x:c>
      <x:c r="BO259" s="3" t="n">
        <x:f>'中古車掲載'!AM911</x:f>
        <x:v>769000</x:v>
      </x:c>
      <x:c r="BP259" s="3" t="str">
        <x:v>2.4 MID PRERUNNER DOUBLE CAB</x:v>
      </x:c>
      <x:c r="BQ259" s="3"/>
      <x:c r="BR259" s="3"/>
    </x:row>
    <x:row r="260" ht="22" customHeight="1">
      <x:c r="A260" s="3"/>
      <x:c r="B260" s="3"/>
      <x:c r="C260" s="3"/>
      <x:c r="D260" s="3"/>
      <x:c r="E260" s="3"/>
      <x:c r="F260" s="3"/>
      <x:c r="G260" s="3"/>
      <x:c r="H260" s="3"/>
      <x:c r="I260" s="3"/>
      <x:c r="J260" s="3"/>
      <x:c r="K260" s="3"/>
      <x:c r="L260" s="3"/>
      <x:c r="M260" s="3"/>
      <x:c r="N260" s="3"/>
      <x:c r="O260" s="3"/>
      <x:c r="P260" s="3"/>
      <x:c r="Q260" s="3"/>
      <x:c r="R260" s="3"/>
      <x:c r="S260" s="3"/>
      <x:c r="T260" s="3"/>
      <x:c r="U260" s="3"/>
      <x:c r="V260" s="3"/>
      <x:c r="W260" s="3"/>
      <x:c r="X260" s="3"/>
      <x:c r="Y260" s="3"/>
      <x:c r="Z260" s="3"/>
      <x:c r="AA260" s="3"/>
      <x:c r="AB260" s="3"/>
      <x:c r="AC260" s="3"/>
      <x:c r="AD260" s="3"/>
      <x:c r="AE260" s="3"/>
      <x:c r="AF260" s="3"/>
      <x:c r="AG260" s="3"/>
      <x:c r="AH260" s="3"/>
      <x:c r="AI260" s="3"/>
      <x:c r="AJ260" s="3"/>
      <x:c r="AK260" s="3"/>
      <x:c r="AL260" s="3"/>
      <x:c r="AM260" s="3"/>
      <x:c r="AN260" s="3"/>
      <x:c r="AO260" s="3"/>
      <x:c r="AP260" s="3"/>
      <x:c r="AQ260" s="3"/>
      <x:c r="AR260" s="3"/>
      <x:c r="AS260" s="3"/>
      <x:c r="AT260" s="3"/>
      <x:c r="AU260" s="3"/>
      <x:c r="AV260" s="3"/>
      <x:c r="AW260" s="3"/>
      <x:c r="AX260" s="3"/>
      <x:c r="AY260" s="3"/>
      <x:c r="AZ260" s="3" t="str">
        <x:f>IF(AND('中古車掲載'!C261="One2car",'中古車掲載'!F261="ATTO 3",'中古車掲載'!L261="EXTENDED RANGE",'中古車掲載'!J261=2023,ISNUMBER('中古車掲載'!N261),'中古車掲載'!N261&gt;=20000,'中古車掲載'!O261&lt;=100000,'中古車掲載'!AL261=1),'中古車掲載'!U261,"")</x:f>
      </x:c>
      <x:c r="BA260" s="3" t="str">
        <x:f>IF(AND('中古車掲載'!C261="One2car",'中古車掲載'!F261="Corolla Cross",'中古車掲載'!L261="HEV PREMIUM SAFETY",'中古車掲載'!J261=2023,ISNUMBER('中古車掲載'!N261),'中古車掲載'!N261&gt;=20000,'中古車掲載'!O261&lt;=100000,'中古車掲載'!AL261=1,'中古車掲載'!Z261="https://www.one2car.com/en/cars-for-sale/toyota/corolla-cross/year-2023"),'中古車掲載'!U261,"")</x:f>
      </x:c>
      <x:c r="BB260" s="3" t="str">
        <x:f>IF(AND('中古車掲載'!C261="One2car",'中古車掲載'!F261="ATTO 3",'中古車掲載'!L261="EXTENDED RANGE",'中古車掲載'!J261=2023,ISNUMBER('中古車掲載'!N261),'中古車掲載'!N261&gt;=50000,'中古車掲載'!O261&lt;=100000,'中古車掲載'!AL261=1),'中古車掲載'!U261,"")</x:f>
      </x:c>
      <x:c r="BC260" s="3" t="str">
        <x:f>IF(AND('中古車掲載'!C261="One2car",'中古車掲載'!F261="Corolla Cross",'中古車掲載'!L261="HEV PREMIUM SAFETY",'中古車掲載'!J261=2023,ISNUMBER('中古車掲載'!N261),'中古車掲載'!N261&gt;=50000,'中古車掲載'!O261&lt;=100000,'中古車掲載'!AL261=1,'中古車掲載'!Z261="https://www.one2car.com/en/cars-for-sale/toyota/corolla-cross/year-2023"),'中古車掲載'!U261,"")</x:f>
      </x:c>
      <x:c r="BD260" s="3" t="str">
        <x:f>IF(AND('中古車掲載'!C261="One2car",'中古車掲載'!F261="ATTO 3",'中古車掲載'!L261="EXTENDED RANGE",'中古車掲載'!J261=2023,ISNUMBER('中古車掲載'!N261),'中古車掲載'!N261&gt;=20000,'中古車掲載'!O261&lt;=50000,'中古車掲載'!AL261=1),'中古車掲載'!U261,"")</x:f>
      </x:c>
      <x:c r="BE260" s="3" t="str">
        <x:f>IF(AND('中古車掲載'!C261="One2car",'中古車掲載'!F261="Corolla Cross",'中古車掲載'!L261="HEV PREMIUM SAFETY",'中古車掲載'!J261=2023,ISNUMBER('中古車掲載'!N261),'中古車掲載'!N261&gt;=20000,'中古車掲載'!O261&lt;=50000,'中古車掲載'!AL261=1,'中古車掲載'!Z261="https://www.one2car.com/en/cars-for-sale/toyota/corolla-cross/year-2023"),'中古車掲載'!U261,"")</x:f>
      </x:c>
      <x:c r="BF260" s="3" t="str">
        <x:f>IF(AND('中古車掲載'!C261="One2car",'中古車掲載'!F261="Corolla Cross",'中古車掲載'!L261="HEV PREMIUM",'中古車掲載'!J261=2023,ISNUMBER('中古車掲載'!N261),'中古車掲載'!N261&gt;=20000,'中古車掲載'!O261&lt;=100000,'中古車掲載'!AL261=1,'中古車掲載'!Z261="https://www.one2car.com/en/cars-for-sale/toyota/corolla-cross/year-2023"),'中古車掲載'!U261,"")</x:f>
      </x:c>
      <x:c r="BG260" s="3" t="str">
        <x:f>IF(AND('中古車掲載'!C261="One2car",'中古車掲載'!F261="Corolla Cross",'中古車掲載'!L261="HEV GR SPORT",'中古車掲載'!J261=2023,ISNUMBER('中古車掲載'!N261),'中古車掲載'!N261&gt;=20000,'中古車掲載'!O261&lt;=100000,'中古車掲載'!AL261=1,'中古車掲載'!Z261="https://www.one2car.com/en/cars-for-sale/toyota/corolla-cross/year-2023"),'中古車掲載'!U261,"")</x:f>
      </x:c>
      <x:c r="BH260" s="3" t="str">
        <x:f>IF(AND('中古車掲載'!C261="One2car",'中古車掲載'!F261="DOLPHIN",'中古車掲載'!L261="STANDARD RANGE",'中古車掲載'!J261=2023,ISNUMBER('中古車掲載'!N261),'中古車掲載'!N261&gt;=20000,'中古車掲載'!O261&lt;=100000,'中古車掲載'!AL261=1),'中古車掲載'!U261,"")</x:f>
      </x:c>
      <x:c r="BI260" s="3" t="str">
        <x:v>Taladrod|Corolla Altis|ICE|Unknown</x:v>
      </x:c>
      <x:c r="BJ260" s="3" t="n">
        <x:v>261</x:v>
      </x:c>
      <x:c r="BK260" s="3" t="n">
        <x:f>'中古車掲載'!AM261</x:f>
        <x:v>419000</x:v>
      </x:c>
      <x:c r="BL260" s="3" t="str">
        <x:f>IF(ISNUMBER('中古車掲載'!AN261),'中古車掲載'!AN261,"")</x:f>
      </x:c>
      <x:c r="BM260" s="3" t="str">
        <x:v>2025|Double cab</x:v>
      </x:c>
      <x:c r="BN260" s="3" t="n">
        <x:v>912</x:v>
      </x:c>
      <x:c r="BO260" s="3" t="n">
        <x:f>'中古車掲載'!AM912</x:f>
        <x:v>719000</x:v>
      </x:c>
      <x:c r="BP260" s="3" t="str">
        <x:v>2.4 MID PRERUNNER DOUBLE CAB</x:v>
      </x:c>
      <x:c r="BQ260" s="3"/>
      <x:c r="BR260" s="3"/>
    </x:row>
    <x:row r="261" ht="22" customHeight="1">
      <x:c r="A261" s="3"/>
      <x:c r="B261" s="3"/>
      <x:c r="C261" s="3"/>
      <x:c r="D261" s="3"/>
      <x:c r="E261" s="3"/>
      <x:c r="F261" s="3"/>
      <x:c r="G261" s="3"/>
      <x:c r="H261" s="3"/>
      <x:c r="I261" s="3"/>
      <x:c r="J261" s="3"/>
      <x:c r="K261" s="3"/>
      <x:c r="L261" s="3"/>
      <x:c r="M261" s="3"/>
      <x:c r="N261" s="3"/>
      <x:c r="O261" s="3"/>
      <x:c r="P261" s="3"/>
      <x:c r="Q261" s="3"/>
      <x:c r="R261" s="3"/>
      <x:c r="S261" s="3"/>
      <x:c r="T261" s="3"/>
      <x:c r="U261" s="3"/>
      <x:c r="V261" s="3"/>
      <x:c r="W261" s="3"/>
      <x:c r="X261" s="3"/>
      <x:c r="Y261" s="3"/>
      <x:c r="Z261" s="3"/>
      <x:c r="AA261" s="3"/>
      <x:c r="AB261" s="3"/>
      <x:c r="AC261" s="3"/>
      <x:c r="AD261" s="3"/>
      <x:c r="AE261" s="3"/>
      <x:c r="AF261" s="3"/>
      <x:c r="AG261" s="3"/>
      <x:c r="AH261" s="3"/>
      <x:c r="AI261" s="3"/>
      <x:c r="AJ261" s="3"/>
      <x:c r="AK261" s="3"/>
      <x:c r="AL261" s="3"/>
      <x:c r="AM261" s="3"/>
      <x:c r="AN261" s="3"/>
      <x:c r="AO261" s="3"/>
      <x:c r="AP261" s="3"/>
      <x:c r="AQ261" s="3"/>
      <x:c r="AR261" s="3"/>
      <x:c r="AS261" s="3"/>
      <x:c r="AT261" s="3"/>
      <x:c r="AU261" s="3"/>
      <x:c r="AV261" s="3"/>
      <x:c r="AW261" s="3"/>
      <x:c r="AX261" s="3"/>
      <x:c r="AY261" s="3"/>
      <x:c r="AZ261" s="3" t="str">
        <x:f>IF(AND('中古車掲載'!C262="One2car",'中古車掲載'!F262="ATTO 3",'中古車掲載'!L262="EXTENDED RANGE",'中古車掲載'!J262=2023,ISNUMBER('中古車掲載'!N262),'中古車掲載'!N262&gt;=20000,'中古車掲載'!O262&lt;=100000,'中古車掲載'!AL262=1),'中古車掲載'!U262,"")</x:f>
      </x:c>
      <x:c r="BA261" s="3" t="str">
        <x:f>IF(AND('中古車掲載'!C262="One2car",'中古車掲載'!F262="Corolla Cross",'中古車掲載'!L262="HEV PREMIUM SAFETY",'中古車掲載'!J262=2023,ISNUMBER('中古車掲載'!N262),'中古車掲載'!N262&gt;=20000,'中古車掲載'!O262&lt;=100000,'中古車掲載'!AL262=1,'中古車掲載'!Z262="https://www.one2car.com/en/cars-for-sale/toyota/corolla-cross/year-2023"),'中古車掲載'!U262,"")</x:f>
      </x:c>
      <x:c r="BB261" s="3" t="str">
        <x:f>IF(AND('中古車掲載'!C262="One2car",'中古車掲載'!F262="ATTO 3",'中古車掲載'!L262="EXTENDED RANGE",'中古車掲載'!J262=2023,ISNUMBER('中古車掲載'!N262),'中古車掲載'!N262&gt;=50000,'中古車掲載'!O262&lt;=100000,'中古車掲載'!AL262=1),'中古車掲載'!U262,"")</x:f>
      </x:c>
      <x:c r="BC261" s="3" t="str">
        <x:f>IF(AND('中古車掲載'!C262="One2car",'中古車掲載'!F262="Corolla Cross",'中古車掲載'!L262="HEV PREMIUM SAFETY",'中古車掲載'!J262=2023,ISNUMBER('中古車掲載'!N262),'中古車掲載'!N262&gt;=50000,'中古車掲載'!O262&lt;=100000,'中古車掲載'!AL262=1,'中古車掲載'!Z262="https://www.one2car.com/en/cars-for-sale/toyota/corolla-cross/year-2023"),'中古車掲載'!U262,"")</x:f>
      </x:c>
      <x:c r="BD261" s="3" t="str">
        <x:f>IF(AND('中古車掲載'!C262="One2car",'中古車掲載'!F262="ATTO 3",'中古車掲載'!L262="EXTENDED RANGE",'中古車掲載'!J262=2023,ISNUMBER('中古車掲載'!N262),'中古車掲載'!N262&gt;=20000,'中古車掲載'!O262&lt;=50000,'中古車掲載'!AL262=1),'中古車掲載'!U262,"")</x:f>
      </x:c>
      <x:c r="BE261" s="3" t="str">
        <x:f>IF(AND('中古車掲載'!C262="One2car",'中古車掲載'!F262="Corolla Cross",'中古車掲載'!L262="HEV PREMIUM SAFETY",'中古車掲載'!J262=2023,ISNUMBER('中古車掲載'!N262),'中古車掲載'!N262&gt;=20000,'中古車掲載'!O262&lt;=50000,'中古車掲載'!AL262=1,'中古車掲載'!Z262="https://www.one2car.com/en/cars-for-sale/toyota/corolla-cross/year-2023"),'中古車掲載'!U262,"")</x:f>
      </x:c>
      <x:c r="BF261" s="3" t="str">
        <x:f>IF(AND('中古車掲載'!C262="One2car",'中古車掲載'!F262="Corolla Cross",'中古車掲載'!L262="HEV PREMIUM",'中古車掲載'!J262=2023,ISNUMBER('中古車掲載'!N262),'中古車掲載'!N262&gt;=20000,'中古車掲載'!O262&lt;=100000,'中古車掲載'!AL262=1,'中古車掲載'!Z262="https://www.one2car.com/en/cars-for-sale/toyota/corolla-cross/year-2023"),'中古車掲載'!U262,"")</x:f>
      </x:c>
      <x:c r="BG261" s="3" t="str">
        <x:f>IF(AND('中古車掲載'!C262="One2car",'中古車掲載'!F262="Corolla Cross",'中古車掲載'!L262="HEV GR SPORT",'中古車掲載'!J262=2023,ISNUMBER('中古車掲載'!N262),'中古車掲載'!N262&gt;=20000,'中古車掲載'!O262&lt;=100000,'中古車掲載'!AL262=1,'中古車掲載'!Z262="https://www.one2car.com/en/cars-for-sale/toyota/corolla-cross/year-2023"),'中古車掲載'!U262,"")</x:f>
      </x:c>
      <x:c r="BH261" s="3" t="str">
        <x:f>IF(AND('中古車掲載'!C262="One2car",'中古車掲載'!F262="DOLPHIN",'中古車掲載'!L262="STANDARD RANGE",'中古車掲載'!J262=2023,ISNUMBER('中古車掲載'!N262),'中古車掲載'!N262&gt;=20000,'中古車掲載'!O262&lt;=100000,'中古車掲載'!AL262=1),'中古車掲載'!U262,"")</x:f>
      </x:c>
      <x:c r="BI261" s="3" t="str">
        <x:v>Taladrod|Corolla Altis|ICE|Unknown</x:v>
      </x:c>
      <x:c r="BJ261" s="3" t="n">
        <x:v>262</x:v>
      </x:c>
      <x:c r="BK261" s="3" t="n">
        <x:f>'中古車掲載'!AM262</x:f>
        <x:v>435000</x:v>
      </x:c>
      <x:c r="BL261" s="3" t="str">
        <x:f>IF(ISNUMBER('中古車掲載'!AN262),'中古車掲載'!AN262,"")</x:f>
      </x:c>
      <x:c r="BM261" s="3" t="str">
        <x:v>2025|Double cab</x:v>
      </x:c>
      <x:c r="BN261" s="3" t="n">
        <x:v>913</x:v>
      </x:c>
      <x:c r="BO261" s="3" t="n">
        <x:f>'中古車掲載'!AM913</x:f>
        <x:v>729000</x:v>
      </x:c>
      <x:c r="BP261" s="3" t="str">
        <x:v>2.4 MID PRERUNNER DOUBLE CAB</x:v>
      </x:c>
      <x:c r="BQ261" s="3"/>
      <x:c r="BR261" s="3"/>
    </x:row>
    <x:row r="262" ht="22" customHeight="1">
      <x:c r="A262" s="3"/>
      <x:c r="B262" s="3"/>
      <x:c r="C262" s="3"/>
      <x:c r="D262" s="3"/>
      <x:c r="E262" s="3"/>
      <x:c r="F262" s="3"/>
      <x:c r="G262" s="3"/>
      <x:c r="H262" s="3"/>
      <x:c r="I262" s="3"/>
      <x:c r="J262" s="3"/>
      <x:c r="K262" s="3"/>
      <x:c r="L262" s="3"/>
      <x:c r="M262" s="3"/>
      <x:c r="N262" s="3"/>
      <x:c r="O262" s="3"/>
      <x:c r="P262" s="3"/>
      <x:c r="Q262" s="3"/>
      <x:c r="R262" s="3"/>
      <x:c r="S262" s="3"/>
      <x:c r="T262" s="3"/>
      <x:c r="U262" s="3"/>
      <x:c r="V262" s="3"/>
      <x:c r="W262" s="3"/>
      <x:c r="X262" s="3"/>
      <x:c r="Y262" s="3"/>
      <x:c r="Z262" s="3"/>
      <x:c r="AA262" s="3"/>
      <x:c r="AB262" s="3"/>
      <x:c r="AC262" s="3"/>
      <x:c r="AD262" s="3"/>
      <x:c r="AE262" s="3"/>
      <x:c r="AF262" s="3"/>
      <x:c r="AG262" s="3"/>
      <x:c r="AH262" s="3"/>
      <x:c r="AI262" s="3"/>
      <x:c r="AJ262" s="3"/>
      <x:c r="AK262" s="3"/>
      <x:c r="AL262" s="3"/>
      <x:c r="AM262" s="3"/>
      <x:c r="AN262" s="3"/>
      <x:c r="AO262" s="3"/>
      <x:c r="AP262" s="3"/>
      <x:c r="AQ262" s="3"/>
      <x:c r="AR262" s="3"/>
      <x:c r="AS262" s="3"/>
      <x:c r="AT262" s="3"/>
      <x:c r="AU262" s="3"/>
      <x:c r="AV262" s="3"/>
      <x:c r="AW262" s="3"/>
      <x:c r="AX262" s="3"/>
      <x:c r="AY262" s="3"/>
      <x:c r="AZ262" s="3" t="str">
        <x:f>IF(AND('中古車掲載'!C263="One2car",'中古車掲載'!F263="ATTO 3",'中古車掲載'!L263="EXTENDED RANGE",'中古車掲載'!J263=2023,ISNUMBER('中古車掲載'!N263),'中古車掲載'!N263&gt;=20000,'中古車掲載'!O263&lt;=100000,'中古車掲載'!AL263=1),'中古車掲載'!U263,"")</x:f>
      </x:c>
      <x:c r="BA262" s="3" t="str">
        <x:f>IF(AND('中古車掲載'!C263="One2car",'中古車掲載'!F263="Corolla Cross",'中古車掲載'!L263="HEV PREMIUM SAFETY",'中古車掲載'!J263=2023,ISNUMBER('中古車掲載'!N263),'中古車掲載'!N263&gt;=20000,'中古車掲載'!O263&lt;=100000,'中古車掲載'!AL263=1,'中古車掲載'!Z263="https://www.one2car.com/en/cars-for-sale/toyota/corolla-cross/year-2023"),'中古車掲載'!U263,"")</x:f>
      </x:c>
      <x:c r="BB262" s="3" t="str">
        <x:f>IF(AND('中古車掲載'!C263="One2car",'中古車掲載'!F263="ATTO 3",'中古車掲載'!L263="EXTENDED RANGE",'中古車掲載'!J263=2023,ISNUMBER('中古車掲載'!N263),'中古車掲載'!N263&gt;=50000,'中古車掲載'!O263&lt;=100000,'中古車掲載'!AL263=1),'中古車掲載'!U263,"")</x:f>
      </x:c>
      <x:c r="BC262" s="3" t="str">
        <x:f>IF(AND('中古車掲載'!C263="One2car",'中古車掲載'!F263="Corolla Cross",'中古車掲載'!L263="HEV PREMIUM SAFETY",'中古車掲載'!J263=2023,ISNUMBER('中古車掲載'!N263),'中古車掲載'!N263&gt;=50000,'中古車掲載'!O263&lt;=100000,'中古車掲載'!AL263=1,'中古車掲載'!Z263="https://www.one2car.com/en/cars-for-sale/toyota/corolla-cross/year-2023"),'中古車掲載'!U263,"")</x:f>
      </x:c>
      <x:c r="BD262" s="3" t="str">
        <x:f>IF(AND('中古車掲載'!C263="One2car",'中古車掲載'!F263="ATTO 3",'中古車掲載'!L263="EXTENDED RANGE",'中古車掲載'!J263=2023,ISNUMBER('中古車掲載'!N263),'中古車掲載'!N263&gt;=20000,'中古車掲載'!O263&lt;=50000,'中古車掲載'!AL263=1),'中古車掲載'!U263,"")</x:f>
      </x:c>
      <x:c r="BE262" s="3" t="str">
        <x:f>IF(AND('中古車掲載'!C263="One2car",'中古車掲載'!F263="Corolla Cross",'中古車掲載'!L263="HEV PREMIUM SAFETY",'中古車掲載'!J263=2023,ISNUMBER('中古車掲載'!N263),'中古車掲載'!N263&gt;=20000,'中古車掲載'!O263&lt;=50000,'中古車掲載'!AL263=1,'中古車掲載'!Z263="https://www.one2car.com/en/cars-for-sale/toyota/corolla-cross/year-2023"),'中古車掲載'!U263,"")</x:f>
      </x:c>
      <x:c r="BF262" s="3" t="str">
        <x:f>IF(AND('中古車掲載'!C263="One2car",'中古車掲載'!F263="Corolla Cross",'中古車掲載'!L263="HEV PREMIUM",'中古車掲載'!J263=2023,ISNUMBER('中古車掲載'!N263),'中古車掲載'!N263&gt;=20000,'中古車掲載'!O263&lt;=100000,'中古車掲載'!AL263=1,'中古車掲載'!Z263="https://www.one2car.com/en/cars-for-sale/toyota/corolla-cross/year-2023"),'中古車掲載'!U263,"")</x:f>
      </x:c>
      <x:c r="BG262" s="3" t="str">
        <x:f>IF(AND('中古車掲載'!C263="One2car",'中古車掲載'!F263="Corolla Cross",'中古車掲載'!L263="HEV GR SPORT",'中古車掲載'!J263=2023,ISNUMBER('中古車掲載'!N263),'中古車掲載'!N263&gt;=20000,'中古車掲載'!O263&lt;=100000,'中古車掲載'!AL263=1,'中古車掲載'!Z263="https://www.one2car.com/en/cars-for-sale/toyota/corolla-cross/year-2023"),'中古車掲載'!U263,"")</x:f>
      </x:c>
      <x:c r="BH262" s="3" t="str">
        <x:f>IF(AND('中古車掲載'!C263="One2car",'中古車掲載'!F263="DOLPHIN",'中古車掲載'!L263="STANDARD RANGE",'中古車掲載'!J263=2023,ISNUMBER('中古車掲載'!N263),'中古車掲載'!N263&gt;=20000,'中古車掲載'!O263&lt;=100000,'中古車掲載'!AL263=1),'中古車掲載'!U263,"")</x:f>
      </x:c>
      <x:c r="BI262" s="3" t="str">
        <x:v>Taladrod|Corolla Altis|ICE|Unknown</x:v>
      </x:c>
      <x:c r="BJ262" s="3" t="n">
        <x:v>263</x:v>
      </x:c>
      <x:c r="BK262" s="3" t="n">
        <x:f>'中古車掲載'!AM263</x:f>
        <x:v>479000</x:v>
      </x:c>
      <x:c r="BL262" s="3" t="str">
        <x:f>IF(ISNUMBER('中古車掲載'!AN263),'中古車掲載'!AN263,"")</x:f>
      </x:c>
      <x:c r="BM262" s="3" t="str">
        <x:v>2025|Double cab</x:v>
      </x:c>
      <x:c r="BN262" s="3" t="n">
        <x:v>917</x:v>
      </x:c>
      <x:c r="BO262" s="3" t="n">
        <x:f>'中古車掲載'!AM917</x:f>
        <x:v>649000</x:v>
      </x:c>
      <x:c r="BP262" s="3" t="str">
        <x:v>2.4 MID Z EDITION DOUBLE CAB</x:v>
      </x:c>
      <x:c r="BQ262" s="3"/>
      <x:c r="BR262" s="3"/>
    </x:row>
    <x:row r="263" ht="22" customHeight="1">
      <x:c r="A263" s="3"/>
      <x:c r="B263" s="3"/>
      <x:c r="C263" s="3"/>
      <x:c r="D263" s="3"/>
      <x:c r="E263" s="3"/>
      <x:c r="F263" s="3"/>
      <x:c r="G263" s="3"/>
      <x:c r="H263" s="3"/>
      <x:c r="I263" s="3"/>
      <x:c r="J263" s="3"/>
      <x:c r="K263" s="3"/>
      <x:c r="L263" s="3"/>
      <x:c r="M263" s="3"/>
      <x:c r="N263" s="3"/>
      <x:c r="O263" s="3"/>
      <x:c r="P263" s="3"/>
      <x:c r="Q263" s="3"/>
      <x:c r="R263" s="3"/>
      <x:c r="S263" s="3"/>
      <x:c r="T263" s="3"/>
      <x:c r="U263" s="3"/>
      <x:c r="V263" s="3"/>
      <x:c r="W263" s="3"/>
      <x:c r="X263" s="3"/>
      <x:c r="Y263" s="3"/>
      <x:c r="Z263" s="3"/>
      <x:c r="AA263" s="3"/>
      <x:c r="AB263" s="3"/>
      <x:c r="AC263" s="3"/>
      <x:c r="AD263" s="3"/>
      <x:c r="AE263" s="3"/>
      <x:c r="AF263" s="3"/>
      <x:c r="AG263" s="3"/>
      <x:c r="AH263" s="3"/>
      <x:c r="AI263" s="3"/>
      <x:c r="AJ263" s="3"/>
      <x:c r="AK263" s="3"/>
      <x:c r="AL263" s="3"/>
      <x:c r="AM263" s="3"/>
      <x:c r="AN263" s="3"/>
      <x:c r="AO263" s="3"/>
      <x:c r="AP263" s="3"/>
      <x:c r="AQ263" s="3"/>
      <x:c r="AR263" s="3"/>
      <x:c r="AS263" s="3"/>
      <x:c r="AT263" s="3"/>
      <x:c r="AU263" s="3"/>
      <x:c r="AV263" s="3"/>
      <x:c r="AW263" s="3"/>
      <x:c r="AX263" s="3"/>
      <x:c r="AY263" s="3"/>
      <x:c r="AZ263" s="3" t="str">
        <x:f>IF(AND('中古車掲載'!C264="One2car",'中古車掲載'!F264="ATTO 3",'中古車掲載'!L264="EXTENDED RANGE",'中古車掲載'!J264=2023,ISNUMBER('中古車掲載'!N264),'中古車掲載'!N264&gt;=20000,'中古車掲載'!O264&lt;=100000,'中古車掲載'!AL264=1),'中古車掲載'!U264,"")</x:f>
      </x:c>
      <x:c r="BA263" s="3" t="str">
        <x:f>IF(AND('中古車掲載'!C264="One2car",'中古車掲載'!F264="Corolla Cross",'中古車掲載'!L264="HEV PREMIUM SAFETY",'中古車掲載'!J264=2023,ISNUMBER('中古車掲載'!N264),'中古車掲載'!N264&gt;=20000,'中古車掲載'!O264&lt;=100000,'中古車掲載'!AL264=1,'中古車掲載'!Z264="https://www.one2car.com/en/cars-for-sale/toyota/corolla-cross/year-2023"),'中古車掲載'!U264,"")</x:f>
      </x:c>
      <x:c r="BB263" s="3" t="str">
        <x:f>IF(AND('中古車掲載'!C264="One2car",'中古車掲載'!F264="ATTO 3",'中古車掲載'!L264="EXTENDED RANGE",'中古車掲載'!J264=2023,ISNUMBER('中古車掲載'!N264),'中古車掲載'!N264&gt;=50000,'中古車掲載'!O264&lt;=100000,'中古車掲載'!AL264=1),'中古車掲載'!U264,"")</x:f>
      </x:c>
      <x:c r="BC263" s="3" t="str">
        <x:f>IF(AND('中古車掲載'!C264="One2car",'中古車掲載'!F264="Corolla Cross",'中古車掲載'!L264="HEV PREMIUM SAFETY",'中古車掲載'!J264=2023,ISNUMBER('中古車掲載'!N264),'中古車掲載'!N264&gt;=50000,'中古車掲載'!O264&lt;=100000,'中古車掲載'!AL264=1,'中古車掲載'!Z264="https://www.one2car.com/en/cars-for-sale/toyota/corolla-cross/year-2023"),'中古車掲載'!U264,"")</x:f>
      </x:c>
      <x:c r="BD263" s="3" t="str">
        <x:f>IF(AND('中古車掲載'!C264="One2car",'中古車掲載'!F264="ATTO 3",'中古車掲載'!L264="EXTENDED RANGE",'中古車掲載'!J264=2023,ISNUMBER('中古車掲載'!N264),'中古車掲載'!N264&gt;=20000,'中古車掲載'!O264&lt;=50000,'中古車掲載'!AL264=1),'中古車掲載'!U264,"")</x:f>
      </x:c>
      <x:c r="BE263" s="3" t="str">
        <x:f>IF(AND('中古車掲載'!C264="One2car",'中古車掲載'!F264="Corolla Cross",'中古車掲載'!L264="HEV PREMIUM SAFETY",'中古車掲載'!J264=2023,ISNUMBER('中古車掲載'!N264),'中古車掲載'!N264&gt;=20000,'中古車掲載'!O264&lt;=50000,'中古車掲載'!AL264=1,'中古車掲載'!Z264="https://www.one2car.com/en/cars-for-sale/toyota/corolla-cross/year-2023"),'中古車掲載'!U264,"")</x:f>
      </x:c>
      <x:c r="BF263" s="3" t="str">
        <x:f>IF(AND('中古車掲載'!C264="One2car",'中古車掲載'!F264="Corolla Cross",'中古車掲載'!L264="HEV PREMIUM",'中古車掲載'!J264=2023,ISNUMBER('中古車掲載'!N264),'中古車掲載'!N264&gt;=20000,'中古車掲載'!O264&lt;=100000,'中古車掲載'!AL264=1,'中古車掲載'!Z264="https://www.one2car.com/en/cars-for-sale/toyota/corolla-cross/year-2023"),'中古車掲載'!U264,"")</x:f>
      </x:c>
      <x:c r="BG263" s="3" t="str">
        <x:f>IF(AND('中古車掲載'!C264="One2car",'中古車掲載'!F264="Corolla Cross",'中古車掲載'!L264="HEV GR SPORT",'中古車掲載'!J264=2023,ISNUMBER('中古車掲載'!N264),'中古車掲載'!N264&gt;=20000,'中古車掲載'!O264&lt;=100000,'中古車掲載'!AL264=1,'中古車掲載'!Z264="https://www.one2car.com/en/cars-for-sale/toyota/corolla-cross/year-2023"),'中古車掲載'!U264,"")</x:f>
      </x:c>
      <x:c r="BH263" s="3" t="str">
        <x:f>IF(AND('中古車掲載'!C264="One2car",'中古車掲載'!F264="DOLPHIN",'中古車掲載'!L264="STANDARD RANGE",'中古車掲載'!J264=2023,ISNUMBER('中古車掲載'!N264),'中古車掲載'!N264&gt;=20000,'中古車掲載'!O264&lt;=100000,'中古車掲載'!AL264=1),'中古車掲載'!U264,"")</x:f>
      </x:c>
      <x:c r="BI263" s="3" t="str">
        <x:v>Taladrod|Corolla Altis|ICE|Unknown</x:v>
      </x:c>
      <x:c r="BJ263" s="3" t="n">
        <x:v>264</x:v>
      </x:c>
      <x:c r="BK263" s="3" t="n">
        <x:f>'中古車掲載'!AM264</x:f>
        <x:v>489000</x:v>
      </x:c>
      <x:c r="BL263" s="3" t="str">
        <x:f>IF(ISNUMBER('中古車掲載'!AN264),'中古車掲載'!AN264,"")</x:f>
      </x:c>
      <x:c r="BM263" s="3" t="str">
        <x:v>2025|Smart cab</x:v>
      </x:c>
      <x:c r="BN263" s="3" t="n">
        <x:v>898</x:v>
      </x:c>
      <x:c r="BO263" s="3" t="n">
        <x:f>'中古車掲載'!AM898</x:f>
        <x:v>569000</x:v>
      </x:c>
      <x:c r="BP263" s="3" t="str">
        <x:v>2.4 ENTRY PRERUNNER SMART CAB</x:v>
      </x:c>
      <x:c r="BQ263" s="3"/>
      <x:c r="BR263" s="3"/>
    </x:row>
    <x:row r="264" ht="22" customHeight="1">
      <x:c r="A264" s="3"/>
      <x:c r="B264" s="3"/>
      <x:c r="C264" s="3"/>
      <x:c r="D264" s="3"/>
      <x:c r="E264" s="3"/>
      <x:c r="F264" s="3"/>
      <x:c r="G264" s="3"/>
      <x:c r="H264" s="3"/>
      <x:c r="I264" s="3"/>
      <x:c r="J264" s="3"/>
      <x:c r="K264" s="3"/>
      <x:c r="L264" s="3"/>
      <x:c r="M264" s="3"/>
      <x:c r="N264" s="3"/>
      <x:c r="O264" s="3"/>
      <x:c r="P264" s="3"/>
      <x:c r="Q264" s="3"/>
      <x:c r="R264" s="3"/>
      <x:c r="S264" s="3"/>
      <x:c r="T264" s="3"/>
      <x:c r="U264" s="3"/>
      <x:c r="V264" s="3"/>
      <x:c r="W264" s="3"/>
      <x:c r="X264" s="3"/>
      <x:c r="Y264" s="3"/>
      <x:c r="Z264" s="3"/>
      <x:c r="AA264" s="3"/>
      <x:c r="AB264" s="3"/>
      <x:c r="AC264" s="3"/>
      <x:c r="AD264" s="3"/>
      <x:c r="AE264" s="3"/>
      <x:c r="AF264" s="3"/>
      <x:c r="AG264" s="3"/>
      <x:c r="AH264" s="3"/>
      <x:c r="AI264" s="3"/>
      <x:c r="AJ264" s="3"/>
      <x:c r="AK264" s="3"/>
      <x:c r="AL264" s="3"/>
      <x:c r="AM264" s="3"/>
      <x:c r="AN264" s="3"/>
      <x:c r="AO264" s="3"/>
      <x:c r="AP264" s="3"/>
      <x:c r="AQ264" s="3"/>
      <x:c r="AR264" s="3"/>
      <x:c r="AS264" s="3"/>
      <x:c r="AT264" s="3"/>
      <x:c r="AU264" s="3"/>
      <x:c r="AV264" s="3"/>
      <x:c r="AW264" s="3"/>
      <x:c r="AX264" s="3"/>
      <x:c r="AY264" s="3"/>
      <x:c r="AZ264" s="3" t="str">
        <x:f>IF(AND('中古車掲載'!C265="One2car",'中古車掲載'!F265="ATTO 3",'中古車掲載'!L265="EXTENDED RANGE",'中古車掲載'!J265=2023,ISNUMBER('中古車掲載'!N265),'中古車掲載'!N265&gt;=20000,'中古車掲載'!O265&lt;=100000,'中古車掲載'!AL265=1),'中古車掲載'!U265,"")</x:f>
      </x:c>
      <x:c r="BA264" s="3" t="str">
        <x:f>IF(AND('中古車掲載'!C265="One2car",'中古車掲載'!F265="Corolla Cross",'中古車掲載'!L265="HEV PREMIUM SAFETY",'中古車掲載'!J265=2023,ISNUMBER('中古車掲載'!N265),'中古車掲載'!N265&gt;=20000,'中古車掲載'!O265&lt;=100000,'中古車掲載'!AL265=1,'中古車掲載'!Z265="https://www.one2car.com/en/cars-for-sale/toyota/corolla-cross/year-2023"),'中古車掲載'!U265,"")</x:f>
      </x:c>
      <x:c r="BB264" s="3" t="str">
        <x:f>IF(AND('中古車掲載'!C265="One2car",'中古車掲載'!F265="ATTO 3",'中古車掲載'!L265="EXTENDED RANGE",'中古車掲載'!J265=2023,ISNUMBER('中古車掲載'!N265),'中古車掲載'!N265&gt;=50000,'中古車掲載'!O265&lt;=100000,'中古車掲載'!AL265=1),'中古車掲載'!U265,"")</x:f>
      </x:c>
      <x:c r="BC264" s="3" t="str">
        <x:f>IF(AND('中古車掲載'!C265="One2car",'中古車掲載'!F265="Corolla Cross",'中古車掲載'!L265="HEV PREMIUM SAFETY",'中古車掲載'!J265=2023,ISNUMBER('中古車掲載'!N265),'中古車掲載'!N265&gt;=50000,'中古車掲載'!O265&lt;=100000,'中古車掲載'!AL265=1,'中古車掲載'!Z265="https://www.one2car.com/en/cars-for-sale/toyota/corolla-cross/year-2023"),'中古車掲載'!U265,"")</x:f>
      </x:c>
      <x:c r="BD264" s="3" t="str">
        <x:f>IF(AND('中古車掲載'!C265="One2car",'中古車掲載'!F265="ATTO 3",'中古車掲載'!L265="EXTENDED RANGE",'中古車掲載'!J265=2023,ISNUMBER('中古車掲載'!N265),'中古車掲載'!N265&gt;=20000,'中古車掲載'!O265&lt;=50000,'中古車掲載'!AL265=1),'中古車掲載'!U265,"")</x:f>
      </x:c>
      <x:c r="BE264" s="3" t="str">
        <x:f>IF(AND('中古車掲載'!C265="One2car",'中古車掲載'!F265="Corolla Cross",'中古車掲載'!L265="HEV PREMIUM SAFETY",'中古車掲載'!J265=2023,ISNUMBER('中古車掲載'!N265),'中古車掲載'!N265&gt;=20000,'中古車掲載'!O265&lt;=50000,'中古車掲載'!AL265=1,'中古車掲載'!Z265="https://www.one2car.com/en/cars-for-sale/toyota/corolla-cross/year-2023"),'中古車掲載'!U265,"")</x:f>
      </x:c>
      <x:c r="BF264" s="3" t="str">
        <x:f>IF(AND('中古車掲載'!C265="One2car",'中古車掲載'!F265="Corolla Cross",'中古車掲載'!L265="HEV PREMIUM",'中古車掲載'!J265=2023,ISNUMBER('中古車掲載'!N265),'中古車掲載'!N265&gt;=20000,'中古車掲載'!O265&lt;=100000,'中古車掲載'!AL265=1,'中古車掲載'!Z265="https://www.one2car.com/en/cars-for-sale/toyota/corolla-cross/year-2023"),'中古車掲載'!U265,"")</x:f>
      </x:c>
      <x:c r="BG264" s="3" t="str">
        <x:f>IF(AND('中古車掲載'!C265="One2car",'中古車掲載'!F265="Corolla Cross",'中古車掲載'!L265="HEV GR SPORT",'中古車掲載'!J265=2023,ISNUMBER('中古車掲載'!N265),'中古車掲載'!N265&gt;=20000,'中古車掲載'!O265&lt;=100000,'中古車掲載'!AL265=1,'中古車掲載'!Z265="https://www.one2car.com/en/cars-for-sale/toyota/corolla-cross/year-2023"),'中古車掲載'!U265,"")</x:f>
      </x:c>
      <x:c r="BH264" s="3" t="str">
        <x:f>IF(AND('中古車掲載'!C265="One2car",'中古車掲載'!F265="DOLPHIN",'中古車掲載'!L265="STANDARD RANGE",'中古車掲載'!J265=2023,ISNUMBER('中古車掲載'!N265),'中古車掲載'!N265&gt;=20000,'中古車掲載'!O265&lt;=100000,'中古車掲載'!AL265=1),'中古車掲載'!U265,"")</x:f>
      </x:c>
      <x:c r="BI264" s="3" t="str">
        <x:v>Taladrod|Corolla Altis|ICE|Unknown</x:v>
      </x:c>
      <x:c r="BJ264" s="3" t="n">
        <x:v>265</x:v>
      </x:c>
      <x:c r="BK264" s="3" t="n">
        <x:f>'中古車掲載'!AM265</x:f>
        <x:v>459000</x:v>
      </x:c>
      <x:c r="BL264" s="3" t="str">
        <x:f>IF(ISNUMBER('中古車掲載'!AN265),'中古車掲載'!AN265,"")</x:f>
      </x:c>
      <x:c r="BM264" s="3" t="str">
        <x:v>2025|Smart cab</x:v>
      </x:c>
      <x:c r="BN264" s="3" t="n">
        <x:v>899</x:v>
      </x:c>
      <x:c r="BO264" s="3" t="n">
        <x:f>'中古車掲載'!AM899</x:f>
        <x:v>579000</x:v>
      </x:c>
      <x:c r="BP264" s="3" t="str">
        <x:v>2.4 ENTRY PRERUNNER SMART CAB</x:v>
      </x:c>
      <x:c r="BQ264" s="3"/>
      <x:c r="BR264" s="3"/>
    </x:row>
    <x:row r="265" ht="22" customHeight="1">
      <x:c r="A265" s="3"/>
      <x:c r="B265" s="3"/>
      <x:c r="C265" s="3"/>
      <x:c r="D265" s="3"/>
      <x:c r="E265" s="3"/>
      <x:c r="F265" s="3"/>
      <x:c r="G265" s="3"/>
      <x:c r="H265" s="3"/>
      <x:c r="I265" s="3"/>
      <x:c r="J265" s="3"/>
      <x:c r="K265" s="3"/>
      <x:c r="L265" s="3"/>
      <x:c r="M265" s="3"/>
      <x:c r="N265" s="3"/>
      <x:c r="O265" s="3"/>
      <x:c r="P265" s="3"/>
      <x:c r="Q265" s="3"/>
      <x:c r="R265" s="3"/>
      <x:c r="S265" s="3"/>
      <x:c r="T265" s="3"/>
      <x:c r="U265" s="3"/>
      <x:c r="V265" s="3"/>
      <x:c r="W265" s="3"/>
      <x:c r="X265" s="3"/>
      <x:c r="Y265" s="3"/>
      <x:c r="Z265" s="3"/>
      <x:c r="AA265" s="3"/>
      <x:c r="AB265" s="3"/>
      <x:c r="AC265" s="3"/>
      <x:c r="AD265" s="3"/>
      <x:c r="AE265" s="3"/>
      <x:c r="AF265" s="3"/>
      <x:c r="AG265" s="3"/>
      <x:c r="AH265" s="3"/>
      <x:c r="AI265" s="3"/>
      <x:c r="AJ265" s="3"/>
      <x:c r="AK265" s="3"/>
      <x:c r="AL265" s="3"/>
      <x:c r="AM265" s="3"/>
      <x:c r="AN265" s="3"/>
      <x:c r="AO265" s="3"/>
      <x:c r="AP265" s="3"/>
      <x:c r="AQ265" s="3"/>
      <x:c r="AR265" s="3"/>
      <x:c r="AS265" s="3"/>
      <x:c r="AT265" s="3"/>
      <x:c r="AU265" s="3"/>
      <x:c r="AV265" s="3"/>
      <x:c r="AW265" s="3"/>
      <x:c r="AX265" s="3"/>
      <x:c r="AY265" s="3"/>
      <x:c r="AZ265" s="3" t="str">
        <x:f>IF(AND('中古車掲載'!C266="One2car",'中古車掲載'!F266="ATTO 3",'中古車掲載'!L266="EXTENDED RANGE",'中古車掲載'!J266=2023,ISNUMBER('中古車掲載'!N266),'中古車掲載'!N266&gt;=20000,'中古車掲載'!O266&lt;=100000,'中古車掲載'!AL266=1),'中古車掲載'!U266,"")</x:f>
      </x:c>
      <x:c r="BA265" s="3" t="str">
        <x:f>IF(AND('中古車掲載'!C266="One2car",'中古車掲載'!F266="Corolla Cross",'中古車掲載'!L266="HEV PREMIUM SAFETY",'中古車掲載'!J266=2023,ISNUMBER('中古車掲載'!N266),'中古車掲載'!N266&gt;=20000,'中古車掲載'!O266&lt;=100000,'中古車掲載'!AL266=1,'中古車掲載'!Z266="https://www.one2car.com/en/cars-for-sale/toyota/corolla-cross/year-2023"),'中古車掲載'!U266,"")</x:f>
      </x:c>
      <x:c r="BB265" s="3" t="str">
        <x:f>IF(AND('中古車掲載'!C266="One2car",'中古車掲載'!F266="ATTO 3",'中古車掲載'!L266="EXTENDED RANGE",'中古車掲載'!J266=2023,ISNUMBER('中古車掲載'!N266),'中古車掲載'!N266&gt;=50000,'中古車掲載'!O266&lt;=100000,'中古車掲載'!AL266=1),'中古車掲載'!U266,"")</x:f>
      </x:c>
      <x:c r="BC265" s="3" t="str">
        <x:f>IF(AND('中古車掲載'!C266="One2car",'中古車掲載'!F266="Corolla Cross",'中古車掲載'!L266="HEV PREMIUM SAFETY",'中古車掲載'!J266=2023,ISNUMBER('中古車掲載'!N266),'中古車掲載'!N266&gt;=50000,'中古車掲載'!O266&lt;=100000,'中古車掲載'!AL266=1,'中古車掲載'!Z266="https://www.one2car.com/en/cars-for-sale/toyota/corolla-cross/year-2023"),'中古車掲載'!U266,"")</x:f>
      </x:c>
      <x:c r="BD265" s="3" t="str">
        <x:f>IF(AND('中古車掲載'!C266="One2car",'中古車掲載'!F266="ATTO 3",'中古車掲載'!L266="EXTENDED RANGE",'中古車掲載'!J266=2023,ISNUMBER('中古車掲載'!N266),'中古車掲載'!N266&gt;=20000,'中古車掲載'!O266&lt;=50000,'中古車掲載'!AL266=1),'中古車掲載'!U266,"")</x:f>
      </x:c>
      <x:c r="BE265" s="3" t="str">
        <x:f>IF(AND('中古車掲載'!C266="One2car",'中古車掲載'!F266="Corolla Cross",'中古車掲載'!L266="HEV PREMIUM SAFETY",'中古車掲載'!J266=2023,ISNUMBER('中古車掲載'!N266),'中古車掲載'!N266&gt;=20000,'中古車掲載'!O266&lt;=50000,'中古車掲載'!AL266=1,'中古車掲載'!Z266="https://www.one2car.com/en/cars-for-sale/toyota/corolla-cross/year-2023"),'中古車掲載'!U266,"")</x:f>
      </x:c>
      <x:c r="BF265" s="3" t="str">
        <x:f>IF(AND('中古車掲載'!C266="One2car",'中古車掲載'!F266="Corolla Cross",'中古車掲載'!L266="HEV PREMIUM",'中古車掲載'!J266=2023,ISNUMBER('中古車掲載'!N266),'中古車掲載'!N266&gt;=20000,'中古車掲載'!O266&lt;=100000,'中古車掲載'!AL266=1,'中古車掲載'!Z266="https://www.one2car.com/en/cars-for-sale/toyota/corolla-cross/year-2023"),'中古車掲載'!U266,"")</x:f>
      </x:c>
      <x:c r="BG265" s="3" t="str">
        <x:f>IF(AND('中古車掲載'!C266="One2car",'中古車掲載'!F266="Corolla Cross",'中古車掲載'!L266="HEV GR SPORT",'中古車掲載'!J266=2023,ISNUMBER('中古車掲載'!N266),'中古車掲載'!N266&gt;=20000,'中古車掲載'!O266&lt;=100000,'中古車掲載'!AL266=1,'中古車掲載'!Z266="https://www.one2car.com/en/cars-for-sale/toyota/corolla-cross/year-2023"),'中古車掲載'!U266,"")</x:f>
      </x:c>
      <x:c r="BH265" s="3" t="str">
        <x:f>IF(AND('中古車掲載'!C266="One2car",'中古車掲載'!F266="DOLPHIN",'中古車掲載'!L266="STANDARD RANGE",'中古車掲載'!J266=2023,ISNUMBER('中古車掲載'!N266),'中古車掲載'!N266&gt;=20000,'中古車掲載'!O266&lt;=100000,'中古車掲載'!AL266=1),'中古車掲載'!U266,"")</x:f>
      </x:c>
      <x:c r="BI265" s="3" t="str">
        <x:v>Taladrod|Corolla Altis|ICE|Unknown</x:v>
      </x:c>
      <x:c r="BJ265" s="3" t="n">
        <x:v>266</x:v>
      </x:c>
      <x:c r="BK265" s="3" t="n">
        <x:f>'中古車掲載'!AM266</x:f>
        <x:v>529000</x:v>
      </x:c>
      <x:c r="BL265" s="3" t="str">
        <x:f>IF(ISNUMBER('中古車掲載'!AN266),'中古車掲載'!AN266,"")</x:f>
      </x:c>
      <x:c r="BM265" s="3" t="str">
        <x:v>2025|Smart cab</x:v>
      </x:c>
      <x:c r="BN265" s="3" t="n">
        <x:v>900</x:v>
      </x:c>
      <x:c r="BO265" s="3" t="n">
        <x:f>'中古車掲載'!AM900</x:f>
        <x:v>579000</x:v>
      </x:c>
      <x:c r="BP265" s="3" t="str">
        <x:v>2.4 ENTRY PRERUNNER SMART CAB</x:v>
      </x:c>
      <x:c r="BQ265" s="3"/>
      <x:c r="BR265" s="3"/>
    </x:row>
    <x:row r="266" ht="22" customHeight="1">
      <x:c r="A266" s="3"/>
      <x:c r="B266" s="3"/>
      <x:c r="C266" s="3"/>
      <x:c r="D266" s="3"/>
      <x:c r="E266" s="3"/>
      <x:c r="F266" s="3"/>
      <x:c r="G266" s="3"/>
      <x:c r="H266" s="3"/>
      <x:c r="I266" s="3"/>
      <x:c r="J266" s="3"/>
      <x:c r="K266" s="3"/>
      <x:c r="L266" s="3"/>
      <x:c r="M266" s="3"/>
      <x:c r="N266" s="3"/>
      <x:c r="O266" s="3"/>
      <x:c r="P266" s="3"/>
      <x:c r="Q266" s="3"/>
      <x:c r="R266" s="3"/>
      <x:c r="S266" s="3"/>
      <x:c r="T266" s="3"/>
      <x:c r="U266" s="3"/>
      <x:c r="V266" s="3"/>
      <x:c r="W266" s="3"/>
      <x:c r="X266" s="3"/>
      <x:c r="Y266" s="3"/>
      <x:c r="Z266" s="3"/>
      <x:c r="AA266" s="3"/>
      <x:c r="AB266" s="3"/>
      <x:c r="AC266" s="3"/>
      <x:c r="AD266" s="3"/>
      <x:c r="AE266" s="3"/>
      <x:c r="AF266" s="3"/>
      <x:c r="AG266" s="3"/>
      <x:c r="AH266" s="3"/>
      <x:c r="AI266" s="3"/>
      <x:c r="AJ266" s="3"/>
      <x:c r="AK266" s="3"/>
      <x:c r="AL266" s="3"/>
      <x:c r="AM266" s="3"/>
      <x:c r="AN266" s="3"/>
      <x:c r="AO266" s="3"/>
      <x:c r="AP266" s="3"/>
      <x:c r="AQ266" s="3"/>
      <x:c r="AR266" s="3"/>
      <x:c r="AS266" s="3"/>
      <x:c r="AT266" s="3"/>
      <x:c r="AU266" s="3"/>
      <x:c r="AV266" s="3"/>
      <x:c r="AW266" s="3"/>
      <x:c r="AX266" s="3"/>
      <x:c r="AY266" s="3"/>
      <x:c r="AZ266" s="3" t="str">
        <x:f>IF(AND('中古車掲載'!C267="One2car",'中古車掲載'!F267="ATTO 3",'中古車掲載'!L267="EXTENDED RANGE",'中古車掲載'!J267=2023,ISNUMBER('中古車掲載'!N267),'中古車掲載'!N267&gt;=20000,'中古車掲載'!O267&lt;=100000,'中古車掲載'!AL267=1),'中古車掲載'!U267,"")</x:f>
      </x:c>
      <x:c r="BA266" s="3" t="str">
        <x:f>IF(AND('中古車掲載'!C267="One2car",'中古車掲載'!F267="Corolla Cross",'中古車掲載'!L267="HEV PREMIUM SAFETY",'中古車掲載'!J267=2023,ISNUMBER('中古車掲載'!N267),'中古車掲載'!N267&gt;=20000,'中古車掲載'!O267&lt;=100000,'中古車掲載'!AL267=1,'中古車掲載'!Z267="https://www.one2car.com/en/cars-for-sale/toyota/corolla-cross/year-2023"),'中古車掲載'!U267,"")</x:f>
      </x:c>
      <x:c r="BB266" s="3" t="str">
        <x:f>IF(AND('中古車掲載'!C267="One2car",'中古車掲載'!F267="ATTO 3",'中古車掲載'!L267="EXTENDED RANGE",'中古車掲載'!J267=2023,ISNUMBER('中古車掲載'!N267),'中古車掲載'!N267&gt;=50000,'中古車掲載'!O267&lt;=100000,'中古車掲載'!AL267=1),'中古車掲載'!U267,"")</x:f>
      </x:c>
      <x:c r="BC266" s="3" t="str">
        <x:f>IF(AND('中古車掲載'!C267="One2car",'中古車掲載'!F267="Corolla Cross",'中古車掲載'!L267="HEV PREMIUM SAFETY",'中古車掲載'!J267=2023,ISNUMBER('中古車掲載'!N267),'中古車掲載'!N267&gt;=50000,'中古車掲載'!O267&lt;=100000,'中古車掲載'!AL267=1,'中古車掲載'!Z267="https://www.one2car.com/en/cars-for-sale/toyota/corolla-cross/year-2023"),'中古車掲載'!U267,"")</x:f>
      </x:c>
      <x:c r="BD266" s="3" t="str">
        <x:f>IF(AND('中古車掲載'!C267="One2car",'中古車掲載'!F267="ATTO 3",'中古車掲載'!L267="EXTENDED RANGE",'中古車掲載'!J267=2023,ISNUMBER('中古車掲載'!N267),'中古車掲載'!N267&gt;=20000,'中古車掲載'!O267&lt;=50000,'中古車掲載'!AL267=1),'中古車掲載'!U267,"")</x:f>
      </x:c>
      <x:c r="BE266" s="3" t="str">
        <x:f>IF(AND('中古車掲載'!C267="One2car",'中古車掲載'!F267="Corolla Cross",'中古車掲載'!L267="HEV PREMIUM SAFETY",'中古車掲載'!J267=2023,ISNUMBER('中古車掲載'!N267),'中古車掲載'!N267&gt;=20000,'中古車掲載'!O267&lt;=50000,'中古車掲載'!AL267=1,'中古車掲載'!Z267="https://www.one2car.com/en/cars-for-sale/toyota/corolla-cross/year-2023"),'中古車掲載'!U267,"")</x:f>
      </x:c>
      <x:c r="BF266" s="3" t="str">
        <x:f>IF(AND('中古車掲載'!C267="One2car",'中古車掲載'!F267="Corolla Cross",'中古車掲載'!L267="HEV PREMIUM",'中古車掲載'!J267=2023,ISNUMBER('中古車掲載'!N267),'中古車掲載'!N267&gt;=20000,'中古車掲載'!O267&lt;=100000,'中古車掲載'!AL267=1,'中古車掲載'!Z267="https://www.one2car.com/en/cars-for-sale/toyota/corolla-cross/year-2023"),'中古車掲載'!U267,"")</x:f>
      </x:c>
      <x:c r="BG266" s="3" t="str">
        <x:f>IF(AND('中古車掲載'!C267="One2car",'中古車掲載'!F267="Corolla Cross",'中古車掲載'!L267="HEV GR SPORT",'中古車掲載'!J267=2023,ISNUMBER('中古車掲載'!N267),'中古車掲載'!N267&gt;=20000,'中古車掲載'!O267&lt;=100000,'中古車掲載'!AL267=1,'中古車掲載'!Z267="https://www.one2car.com/en/cars-for-sale/toyota/corolla-cross/year-2023"),'中古車掲載'!U267,"")</x:f>
      </x:c>
      <x:c r="BH266" s="3" t="str">
        <x:f>IF(AND('中古車掲載'!C267="One2car",'中古車掲載'!F267="DOLPHIN",'中古車掲載'!L267="STANDARD RANGE",'中古車掲載'!J267=2023,ISNUMBER('中古車掲載'!N267),'中古車掲載'!N267&gt;=20000,'中古車掲載'!O267&lt;=100000,'中古車掲載'!AL267=1),'中古車掲載'!U267,"")</x:f>
      </x:c>
      <x:c r="BI266" s="3" t="str">
        <x:v>Taladrod|Corolla Altis|ICE|Unknown</x:v>
      </x:c>
      <x:c r="BJ266" s="3" t="n">
        <x:v>267</x:v>
      </x:c>
      <x:c r="BK266" s="3" t="n">
        <x:f>'中古車掲載'!AM267</x:f>
        <x:v>519000</x:v>
      </x:c>
      <x:c r="BL266" s="3" t="str">
        <x:f>IF(ISNUMBER('中古車掲載'!AN267),'中古車掲載'!AN267,"")</x:f>
      </x:c>
      <x:c r="BM266" s="3" t="str">
        <x:v>2025|Smart cab</x:v>
      </x:c>
      <x:c r="BN266" s="3" t="n">
        <x:v>914</x:v>
      </x:c>
      <x:c r="BO266" s="3" t="n">
        <x:f>'中古車掲載'!AM914</x:f>
        <x:v>679000</x:v>
      </x:c>
      <x:c r="BP266" s="3" t="str">
        <x:v>2.4 MID PRERUNNER SMART CAB</x:v>
      </x:c>
      <x:c r="BQ266" s="3"/>
      <x:c r="BR266" s="3"/>
    </x:row>
    <x:row r="267" ht="22" customHeight="1">
      <x:c r="A267" s="3"/>
      <x:c r="B267" s="3"/>
      <x:c r="C267" s="3"/>
      <x:c r="D267" s="3"/>
      <x:c r="E267" s="3"/>
      <x:c r="F267" s="3"/>
      <x:c r="G267" s="3"/>
      <x:c r="H267" s="3"/>
      <x:c r="I267" s="3"/>
      <x:c r="J267" s="3"/>
      <x:c r="K267" s="3"/>
      <x:c r="L267" s="3"/>
      <x:c r="M267" s="3"/>
      <x:c r="N267" s="3"/>
      <x:c r="O267" s="3"/>
      <x:c r="P267" s="3"/>
      <x:c r="Q267" s="3"/>
      <x:c r="R267" s="3"/>
      <x:c r="S267" s="3"/>
      <x:c r="T267" s="3"/>
      <x:c r="U267" s="3"/>
      <x:c r="V267" s="3"/>
      <x:c r="W267" s="3"/>
      <x:c r="X267" s="3"/>
      <x:c r="Y267" s="3"/>
      <x:c r="Z267" s="3"/>
      <x:c r="AA267" s="3"/>
      <x:c r="AB267" s="3"/>
      <x:c r="AC267" s="3"/>
      <x:c r="AD267" s="3"/>
      <x:c r="AE267" s="3"/>
      <x:c r="AF267" s="3"/>
      <x:c r="AG267" s="3"/>
      <x:c r="AH267" s="3"/>
      <x:c r="AI267" s="3"/>
      <x:c r="AJ267" s="3"/>
      <x:c r="AK267" s="3"/>
      <x:c r="AL267" s="3"/>
      <x:c r="AM267" s="3"/>
      <x:c r="AN267" s="3"/>
      <x:c r="AO267" s="3"/>
      <x:c r="AP267" s="3"/>
      <x:c r="AQ267" s="3"/>
      <x:c r="AR267" s="3"/>
      <x:c r="AS267" s="3"/>
      <x:c r="AT267" s="3"/>
      <x:c r="AU267" s="3"/>
      <x:c r="AV267" s="3"/>
      <x:c r="AW267" s="3"/>
      <x:c r="AX267" s="3"/>
      <x:c r="AY267" s="3"/>
      <x:c r="AZ267" s="3" t="str">
        <x:f>IF(AND('中古車掲載'!C268="One2car",'中古車掲載'!F268="ATTO 3",'中古車掲載'!L268="EXTENDED RANGE",'中古車掲載'!J268=2023,ISNUMBER('中古車掲載'!N268),'中古車掲載'!N268&gt;=20000,'中古車掲載'!O268&lt;=100000,'中古車掲載'!AL268=1),'中古車掲載'!U268,"")</x:f>
      </x:c>
      <x:c r="BA267" s="3" t="str">
        <x:f>IF(AND('中古車掲載'!C268="One2car",'中古車掲載'!F268="Corolla Cross",'中古車掲載'!L268="HEV PREMIUM SAFETY",'中古車掲載'!J268=2023,ISNUMBER('中古車掲載'!N268),'中古車掲載'!N268&gt;=20000,'中古車掲載'!O268&lt;=100000,'中古車掲載'!AL268=1,'中古車掲載'!Z268="https://www.one2car.com/en/cars-for-sale/toyota/corolla-cross/year-2023"),'中古車掲載'!U268,"")</x:f>
      </x:c>
      <x:c r="BB267" s="3" t="str">
        <x:f>IF(AND('中古車掲載'!C268="One2car",'中古車掲載'!F268="ATTO 3",'中古車掲載'!L268="EXTENDED RANGE",'中古車掲載'!J268=2023,ISNUMBER('中古車掲載'!N268),'中古車掲載'!N268&gt;=50000,'中古車掲載'!O268&lt;=100000,'中古車掲載'!AL268=1),'中古車掲載'!U268,"")</x:f>
      </x:c>
      <x:c r="BC267" s="3" t="str">
        <x:f>IF(AND('中古車掲載'!C268="One2car",'中古車掲載'!F268="Corolla Cross",'中古車掲載'!L268="HEV PREMIUM SAFETY",'中古車掲載'!J268=2023,ISNUMBER('中古車掲載'!N268),'中古車掲載'!N268&gt;=50000,'中古車掲載'!O268&lt;=100000,'中古車掲載'!AL268=1,'中古車掲載'!Z268="https://www.one2car.com/en/cars-for-sale/toyota/corolla-cross/year-2023"),'中古車掲載'!U268,"")</x:f>
      </x:c>
      <x:c r="BD267" s="3" t="str">
        <x:f>IF(AND('中古車掲載'!C268="One2car",'中古車掲載'!F268="ATTO 3",'中古車掲載'!L268="EXTENDED RANGE",'中古車掲載'!J268=2023,ISNUMBER('中古車掲載'!N268),'中古車掲載'!N268&gt;=20000,'中古車掲載'!O268&lt;=50000,'中古車掲載'!AL268=1),'中古車掲載'!U268,"")</x:f>
      </x:c>
      <x:c r="BE267" s="3" t="str">
        <x:f>IF(AND('中古車掲載'!C268="One2car",'中古車掲載'!F268="Corolla Cross",'中古車掲載'!L268="HEV PREMIUM SAFETY",'中古車掲載'!J268=2023,ISNUMBER('中古車掲載'!N268),'中古車掲載'!N268&gt;=20000,'中古車掲載'!O268&lt;=50000,'中古車掲載'!AL268=1,'中古車掲載'!Z268="https://www.one2car.com/en/cars-for-sale/toyota/corolla-cross/year-2023"),'中古車掲載'!U268,"")</x:f>
      </x:c>
      <x:c r="BF267" s="3" t="str">
        <x:f>IF(AND('中古車掲載'!C268="One2car",'中古車掲載'!F268="Corolla Cross",'中古車掲載'!L268="HEV PREMIUM",'中古車掲載'!J268=2023,ISNUMBER('中古車掲載'!N268),'中古車掲載'!N268&gt;=20000,'中古車掲載'!O268&lt;=100000,'中古車掲載'!AL268=1,'中古車掲載'!Z268="https://www.one2car.com/en/cars-for-sale/toyota/corolla-cross/year-2023"),'中古車掲載'!U268,"")</x:f>
      </x:c>
      <x:c r="BG267" s="3" t="str">
        <x:f>IF(AND('中古車掲載'!C268="One2car",'中古車掲載'!F268="Corolla Cross",'中古車掲載'!L268="HEV GR SPORT",'中古車掲載'!J268=2023,ISNUMBER('中古車掲載'!N268),'中古車掲載'!N268&gt;=20000,'中古車掲載'!O268&lt;=100000,'中古車掲載'!AL268=1,'中古車掲載'!Z268="https://www.one2car.com/en/cars-for-sale/toyota/corolla-cross/year-2023"),'中古車掲載'!U268,"")</x:f>
      </x:c>
      <x:c r="BH267" s="3" t="str">
        <x:f>IF(AND('中古車掲載'!C268="One2car",'中古車掲載'!F268="DOLPHIN",'中古車掲載'!L268="STANDARD RANGE",'中古車掲載'!J268=2023,ISNUMBER('中古車掲載'!N268),'中古車掲載'!N268&gt;=20000,'中古車掲載'!O268&lt;=100000,'中古車掲載'!AL268=1),'中古車掲載'!U268,"")</x:f>
      </x:c>
      <x:c r="BI267" s="3" t="str">
        <x:v>Taladrod|Corolla Altis|ICE|Unknown</x:v>
      </x:c>
      <x:c r="BJ267" s="3" t="n">
        <x:v>268</x:v>
      </x:c>
      <x:c r="BK267" s="3" t="n">
        <x:f>'中古車掲載'!AM268</x:f>
        <x:v>529000</x:v>
      </x:c>
      <x:c r="BL267" s="3" t="str">
        <x:f>IF(ISNUMBER('中古車掲載'!AN268),'中古車掲載'!AN268,"")</x:f>
      </x:c>
      <x:c r="BM267" s="3" t="str">
        <x:v>2025|Smart cab</x:v>
      </x:c>
      <x:c r="BN267" s="3" t="n">
        <x:v>915</x:v>
      </x:c>
      <x:c r="BO267" s="3" t="n">
        <x:f>'中古車掲載'!AM915</x:f>
        <x:v>599000</x:v>
      </x:c>
      <x:c r="BP267" s="3" t="str">
        <x:v>2.4 MID PRERUNNER SMART CAB</x:v>
      </x:c>
      <x:c r="BQ267" s="3"/>
      <x:c r="BR267" s="3"/>
    </x:row>
    <x:row r="268" ht="22" customHeight="1">
      <x:c r="A268" s="3"/>
      <x:c r="B268" s="3"/>
      <x:c r="C268" s="3"/>
      <x:c r="D268" s="3"/>
      <x:c r="E268" s="3"/>
      <x:c r="F268" s="3"/>
      <x:c r="G268" s="3"/>
      <x:c r="H268" s="3"/>
      <x:c r="I268" s="3"/>
      <x:c r="J268" s="3"/>
      <x:c r="K268" s="3"/>
      <x:c r="L268" s="3"/>
      <x:c r="M268" s="3"/>
      <x:c r="N268" s="3"/>
      <x:c r="O268" s="3"/>
      <x:c r="P268" s="3"/>
      <x:c r="Q268" s="3"/>
      <x:c r="R268" s="3"/>
      <x:c r="S268" s="3"/>
      <x:c r="T268" s="3"/>
      <x:c r="U268" s="3"/>
      <x:c r="V268" s="3"/>
      <x:c r="W268" s="3"/>
      <x:c r="X268" s="3"/>
      <x:c r="Y268" s="3"/>
      <x:c r="Z268" s="3"/>
      <x:c r="AA268" s="3"/>
      <x:c r="AB268" s="3"/>
      <x:c r="AC268" s="3"/>
      <x:c r="AD268" s="3"/>
      <x:c r="AE268" s="3"/>
      <x:c r="AF268" s="3"/>
      <x:c r="AG268" s="3"/>
      <x:c r="AH268" s="3"/>
      <x:c r="AI268" s="3"/>
      <x:c r="AJ268" s="3"/>
      <x:c r="AK268" s="3"/>
      <x:c r="AL268" s="3"/>
      <x:c r="AM268" s="3"/>
      <x:c r="AN268" s="3"/>
      <x:c r="AO268" s="3"/>
      <x:c r="AP268" s="3"/>
      <x:c r="AQ268" s="3"/>
      <x:c r="AR268" s="3"/>
      <x:c r="AS268" s="3"/>
      <x:c r="AT268" s="3"/>
      <x:c r="AU268" s="3"/>
      <x:c r="AV268" s="3"/>
      <x:c r="AW268" s="3"/>
      <x:c r="AX268" s="3"/>
      <x:c r="AY268" s="3"/>
      <x:c r="AZ268" s="3" t="str">
        <x:f>IF(AND('中古車掲載'!C269="One2car",'中古車掲載'!F269="ATTO 3",'中古車掲載'!L269="EXTENDED RANGE",'中古車掲載'!J269=2023,ISNUMBER('中古車掲載'!N269),'中古車掲載'!N269&gt;=20000,'中古車掲載'!O269&lt;=100000,'中古車掲載'!AL269=1),'中古車掲載'!U269,"")</x:f>
      </x:c>
      <x:c r="BA268" s="3" t="str">
        <x:f>IF(AND('中古車掲載'!C269="One2car",'中古車掲載'!F269="Corolla Cross",'中古車掲載'!L269="HEV PREMIUM SAFETY",'中古車掲載'!J269=2023,ISNUMBER('中古車掲載'!N269),'中古車掲載'!N269&gt;=20000,'中古車掲載'!O269&lt;=100000,'中古車掲載'!AL269=1,'中古車掲載'!Z269="https://www.one2car.com/en/cars-for-sale/toyota/corolla-cross/year-2023"),'中古車掲載'!U269,"")</x:f>
      </x:c>
      <x:c r="BB268" s="3" t="str">
        <x:f>IF(AND('中古車掲載'!C269="One2car",'中古車掲載'!F269="ATTO 3",'中古車掲載'!L269="EXTENDED RANGE",'中古車掲載'!J269=2023,ISNUMBER('中古車掲載'!N269),'中古車掲載'!N269&gt;=50000,'中古車掲載'!O269&lt;=100000,'中古車掲載'!AL269=1),'中古車掲載'!U269,"")</x:f>
      </x:c>
      <x:c r="BC268" s="3" t="str">
        <x:f>IF(AND('中古車掲載'!C269="One2car",'中古車掲載'!F269="Corolla Cross",'中古車掲載'!L269="HEV PREMIUM SAFETY",'中古車掲載'!J269=2023,ISNUMBER('中古車掲載'!N269),'中古車掲載'!N269&gt;=50000,'中古車掲載'!O269&lt;=100000,'中古車掲載'!AL269=1,'中古車掲載'!Z269="https://www.one2car.com/en/cars-for-sale/toyota/corolla-cross/year-2023"),'中古車掲載'!U269,"")</x:f>
      </x:c>
      <x:c r="BD268" s="3" t="str">
        <x:f>IF(AND('中古車掲載'!C269="One2car",'中古車掲載'!F269="ATTO 3",'中古車掲載'!L269="EXTENDED RANGE",'中古車掲載'!J269=2023,ISNUMBER('中古車掲載'!N269),'中古車掲載'!N269&gt;=20000,'中古車掲載'!O269&lt;=50000,'中古車掲載'!AL269=1),'中古車掲載'!U269,"")</x:f>
      </x:c>
      <x:c r="BE268" s="3" t="str">
        <x:f>IF(AND('中古車掲載'!C269="One2car",'中古車掲載'!F269="Corolla Cross",'中古車掲載'!L269="HEV PREMIUM SAFETY",'中古車掲載'!J269=2023,ISNUMBER('中古車掲載'!N269),'中古車掲載'!N269&gt;=20000,'中古車掲載'!O269&lt;=50000,'中古車掲載'!AL269=1,'中古車掲載'!Z269="https://www.one2car.com/en/cars-for-sale/toyota/corolla-cross/year-2023"),'中古車掲載'!U269,"")</x:f>
      </x:c>
      <x:c r="BF268" s="3" t="str">
        <x:f>IF(AND('中古車掲載'!C269="One2car",'中古車掲載'!F269="Corolla Cross",'中古車掲載'!L269="HEV PREMIUM",'中古車掲載'!J269=2023,ISNUMBER('中古車掲載'!N269),'中古車掲載'!N269&gt;=20000,'中古車掲載'!O269&lt;=100000,'中古車掲載'!AL269=1,'中古車掲載'!Z269="https://www.one2car.com/en/cars-for-sale/toyota/corolla-cross/year-2023"),'中古車掲載'!U269,"")</x:f>
      </x:c>
      <x:c r="BG268" s="3" t="str">
        <x:f>IF(AND('中古車掲載'!C269="One2car",'中古車掲載'!F269="Corolla Cross",'中古車掲載'!L269="HEV GR SPORT",'中古車掲載'!J269=2023,ISNUMBER('中古車掲載'!N269),'中古車掲載'!N269&gt;=20000,'中古車掲載'!O269&lt;=100000,'中古車掲載'!AL269=1,'中古車掲載'!Z269="https://www.one2car.com/en/cars-for-sale/toyota/corolla-cross/year-2023"),'中古車掲載'!U269,"")</x:f>
      </x:c>
      <x:c r="BH268" s="3" t="str">
        <x:f>IF(AND('中古車掲載'!C269="One2car",'中古車掲載'!F269="DOLPHIN",'中古車掲載'!L269="STANDARD RANGE",'中古車掲載'!J269=2023,ISNUMBER('中古車掲載'!N269),'中古車掲載'!N269&gt;=20000,'中古車掲載'!O269&lt;=100000,'中古車掲載'!AL269=1),'中古車掲載'!U269,"")</x:f>
      </x:c>
      <x:c r="BI268" s="3" t="str">
        <x:v>Taladrod|Corolla Altis|ICE|Unknown</x:v>
      </x:c>
      <x:c r="BJ268" s="3" t="n">
        <x:v>269</x:v>
      </x:c>
      <x:c r="BK268" s="3" t="n">
        <x:f>'中古車掲載'!AM269</x:f>
        <x:v>479000</x:v>
      </x:c>
      <x:c r="BL268" s="3" t="str">
        <x:f>IF(ISNUMBER('中古車掲載'!AN269),'中古車掲載'!AN269,"")</x:f>
      </x:c>
      <x:c r="BM268" s="3" t="str">
        <x:v>2025|Smart cab</x:v>
      </x:c>
      <x:c r="BN268" s="3" t="n">
        <x:v>916</x:v>
      </x:c>
      <x:c r="BO268" s="3" t="n">
        <x:f>'中古車掲載'!AM916</x:f>
        <x:v>699000</x:v>
      </x:c>
      <x:c r="BP268" s="3" t="str">
        <x:v>2.4 MID PRERUNNER SMART CAB</x:v>
      </x:c>
      <x:c r="BQ268" s="3"/>
      <x:c r="BR268" s="3"/>
    </x:row>
    <x:row r="269" ht="22" customHeight="1">
      <x:c r="A269" s="3"/>
      <x:c r="B269" s="3"/>
      <x:c r="C269" s="3"/>
      <x:c r="D269" s="3"/>
      <x:c r="E269" s="3"/>
      <x:c r="F269" s="3"/>
      <x:c r="G269" s="3"/>
      <x:c r="H269" s="3"/>
      <x:c r="I269" s="3"/>
      <x:c r="J269" s="3"/>
      <x:c r="K269" s="3"/>
      <x:c r="L269" s="3"/>
      <x:c r="M269" s="3"/>
      <x:c r="N269" s="3"/>
      <x:c r="O269" s="3"/>
      <x:c r="P269" s="3"/>
      <x:c r="Q269" s="3"/>
      <x:c r="R269" s="3"/>
      <x:c r="S269" s="3"/>
      <x:c r="T269" s="3"/>
      <x:c r="U269" s="3"/>
      <x:c r="V269" s="3"/>
      <x:c r="W269" s="3"/>
      <x:c r="X269" s="3"/>
      <x:c r="Y269" s="3"/>
      <x:c r="Z269" s="3"/>
      <x:c r="AA269" s="3"/>
      <x:c r="AB269" s="3"/>
      <x:c r="AC269" s="3"/>
      <x:c r="AD269" s="3"/>
      <x:c r="AE269" s="3"/>
      <x:c r="AF269" s="3"/>
      <x:c r="AG269" s="3"/>
      <x:c r="AH269" s="3"/>
      <x:c r="AI269" s="3"/>
      <x:c r="AJ269" s="3"/>
      <x:c r="AK269" s="3"/>
      <x:c r="AL269" s="3"/>
      <x:c r="AM269" s="3"/>
      <x:c r="AN269" s="3"/>
      <x:c r="AO269" s="3"/>
      <x:c r="AP269" s="3"/>
      <x:c r="AQ269" s="3"/>
      <x:c r="AR269" s="3"/>
      <x:c r="AS269" s="3"/>
      <x:c r="AT269" s="3"/>
      <x:c r="AU269" s="3"/>
      <x:c r="AV269" s="3"/>
      <x:c r="AW269" s="3"/>
      <x:c r="AX269" s="3"/>
      <x:c r="AY269" s="3"/>
      <x:c r="AZ269" s="3" t="str">
        <x:f>IF(AND('中古車掲載'!C270="One2car",'中古車掲載'!F270="ATTO 3",'中古車掲載'!L270="EXTENDED RANGE",'中古車掲載'!J270=2023,ISNUMBER('中古車掲載'!N270),'中古車掲載'!N270&gt;=20000,'中古車掲載'!O270&lt;=100000,'中古車掲載'!AL270=1),'中古車掲載'!U270,"")</x:f>
      </x:c>
      <x:c r="BA269" s="3" t="str">
        <x:f>IF(AND('中古車掲載'!C270="One2car",'中古車掲載'!F270="Corolla Cross",'中古車掲載'!L270="HEV PREMIUM SAFETY",'中古車掲載'!J270=2023,ISNUMBER('中古車掲載'!N270),'中古車掲載'!N270&gt;=20000,'中古車掲載'!O270&lt;=100000,'中古車掲載'!AL270=1,'中古車掲載'!Z270="https://www.one2car.com/en/cars-for-sale/toyota/corolla-cross/year-2023"),'中古車掲載'!U270,"")</x:f>
      </x:c>
      <x:c r="BB269" s="3" t="str">
        <x:f>IF(AND('中古車掲載'!C270="One2car",'中古車掲載'!F270="ATTO 3",'中古車掲載'!L270="EXTENDED RANGE",'中古車掲載'!J270=2023,ISNUMBER('中古車掲載'!N270),'中古車掲載'!N270&gt;=50000,'中古車掲載'!O270&lt;=100000,'中古車掲載'!AL270=1),'中古車掲載'!U270,"")</x:f>
      </x:c>
      <x:c r="BC269" s="3" t="str">
        <x:f>IF(AND('中古車掲載'!C270="One2car",'中古車掲載'!F270="Corolla Cross",'中古車掲載'!L270="HEV PREMIUM SAFETY",'中古車掲載'!J270=2023,ISNUMBER('中古車掲載'!N270),'中古車掲載'!N270&gt;=50000,'中古車掲載'!O270&lt;=100000,'中古車掲載'!AL270=1,'中古車掲載'!Z270="https://www.one2car.com/en/cars-for-sale/toyota/corolla-cross/year-2023"),'中古車掲載'!U270,"")</x:f>
      </x:c>
      <x:c r="BD269" s="3" t="str">
        <x:f>IF(AND('中古車掲載'!C270="One2car",'中古車掲載'!F270="ATTO 3",'中古車掲載'!L270="EXTENDED RANGE",'中古車掲載'!J270=2023,ISNUMBER('中古車掲載'!N270),'中古車掲載'!N270&gt;=20000,'中古車掲載'!O270&lt;=50000,'中古車掲載'!AL270=1),'中古車掲載'!U270,"")</x:f>
      </x:c>
      <x:c r="BE269" s="3" t="str">
        <x:f>IF(AND('中古車掲載'!C270="One2car",'中古車掲載'!F270="Corolla Cross",'中古車掲載'!L270="HEV PREMIUM SAFETY",'中古車掲載'!J270=2023,ISNUMBER('中古車掲載'!N270),'中古車掲載'!N270&gt;=20000,'中古車掲載'!O270&lt;=50000,'中古車掲載'!AL270=1,'中古車掲載'!Z270="https://www.one2car.com/en/cars-for-sale/toyota/corolla-cross/year-2023"),'中古車掲載'!U270,"")</x:f>
      </x:c>
      <x:c r="BF269" s="3" t="str">
        <x:f>IF(AND('中古車掲載'!C270="One2car",'中古車掲載'!F270="Corolla Cross",'中古車掲載'!L270="HEV PREMIUM",'中古車掲載'!J270=2023,ISNUMBER('中古車掲載'!N270),'中古車掲載'!N270&gt;=20000,'中古車掲載'!O270&lt;=100000,'中古車掲載'!AL270=1,'中古車掲載'!Z270="https://www.one2car.com/en/cars-for-sale/toyota/corolla-cross/year-2023"),'中古車掲載'!U270,"")</x:f>
      </x:c>
      <x:c r="BG269" s="3" t="str">
        <x:f>IF(AND('中古車掲載'!C270="One2car",'中古車掲載'!F270="Corolla Cross",'中古車掲載'!L270="HEV GR SPORT",'中古車掲載'!J270=2023,ISNUMBER('中古車掲載'!N270),'中古車掲載'!N270&gt;=20000,'中古車掲載'!O270&lt;=100000,'中古車掲載'!AL270=1,'中古車掲載'!Z270="https://www.one2car.com/en/cars-for-sale/toyota/corolla-cross/year-2023"),'中古車掲載'!U270,"")</x:f>
      </x:c>
      <x:c r="BH269" s="3" t="str">
        <x:f>IF(AND('中古車掲載'!C270="One2car",'中古車掲載'!F270="DOLPHIN",'中古車掲載'!L270="STANDARD RANGE",'中古車掲載'!J270=2023,ISNUMBER('中古車掲載'!N270),'中古車掲載'!N270&gt;=20000,'中古車掲載'!O270&lt;=100000,'中古車掲載'!AL270=1),'中古車掲載'!U270,"")</x:f>
      </x:c>
      <x:c r="BI269" s="3" t="str">
        <x:v>Taladrod|Corolla Altis|ICE|Unknown</x:v>
      </x:c>
      <x:c r="BJ269" s="3" t="n">
        <x:v>270</x:v>
      </x:c>
      <x:c r="BK269" s="3" t="n">
        <x:f>'中古車掲載'!AM270</x:f>
        <x:v>449000</x:v>
      </x:c>
      <x:c r="BL269" s="3" t="str">
        <x:f>IF(ISNUMBER('中古車掲載'!AN270),'中古車掲載'!AN270,"")</x:f>
      </x:c>
      <x:c r="BM269" s="3" t="str">
        <x:v>2025|Single cab</x:v>
      </x:c>
      <x:c r="BN269" s="3" t="n">
        <x:v>901</x:v>
      </x:c>
      <x:c r="BO269" s="3" t="n">
        <x:f>'中古車掲載'!AM901</x:f>
        <x:v>679000</x:v>
      </x:c>
      <x:c r="BP269" s="3" t="str">
        <x:v>2.4 ENTRY STANDARD CAB</x:v>
      </x:c>
      <x:c r="BQ269" s="3"/>
      <x:c r="BR269" s="3"/>
    </x:row>
    <x:row r="270" ht="22" customHeight="1">
      <x:c r="A270" s="3"/>
      <x:c r="B270" s="3"/>
      <x:c r="C270" s="3"/>
      <x:c r="D270" s="3"/>
      <x:c r="E270" s="3"/>
      <x:c r="F270" s="3"/>
      <x:c r="G270" s="3"/>
      <x:c r="H270" s="3"/>
      <x:c r="I270" s="3"/>
      <x:c r="J270" s="3"/>
      <x:c r="K270" s="3"/>
      <x:c r="L270" s="3"/>
      <x:c r="M270" s="3"/>
      <x:c r="N270" s="3"/>
      <x:c r="O270" s="3"/>
      <x:c r="P270" s="3"/>
      <x:c r="Q270" s="3"/>
      <x:c r="R270" s="3"/>
      <x:c r="S270" s="3"/>
      <x:c r="T270" s="3"/>
      <x:c r="U270" s="3"/>
      <x:c r="V270" s="3"/>
      <x:c r="W270" s="3"/>
      <x:c r="X270" s="3"/>
      <x:c r="Y270" s="3"/>
      <x:c r="Z270" s="3"/>
      <x:c r="AA270" s="3"/>
      <x:c r="AB270" s="3"/>
      <x:c r="AC270" s="3"/>
      <x:c r="AD270" s="3"/>
      <x:c r="AE270" s="3"/>
      <x:c r="AF270" s="3"/>
      <x:c r="AG270" s="3"/>
      <x:c r="AH270" s="3"/>
      <x:c r="AI270" s="3"/>
      <x:c r="AJ270" s="3"/>
      <x:c r="AK270" s="3"/>
      <x:c r="AL270" s="3"/>
      <x:c r="AM270" s="3"/>
      <x:c r="AN270" s="3"/>
      <x:c r="AO270" s="3"/>
      <x:c r="AP270" s="3"/>
      <x:c r="AQ270" s="3"/>
      <x:c r="AR270" s="3"/>
      <x:c r="AS270" s="3"/>
      <x:c r="AT270" s="3"/>
      <x:c r="AU270" s="3"/>
      <x:c r="AV270" s="3"/>
      <x:c r="AW270" s="3"/>
      <x:c r="AX270" s="3"/>
      <x:c r="AY270" s="3"/>
      <x:c r="AZ270" s="3" t="str">
        <x:f>IF(AND('中古車掲載'!C271="One2car",'中古車掲載'!F271="ATTO 3",'中古車掲載'!L271="EXTENDED RANGE",'中古車掲載'!J271=2023,ISNUMBER('中古車掲載'!N271),'中古車掲載'!N271&gt;=20000,'中古車掲載'!O271&lt;=100000,'中古車掲載'!AL271=1),'中古車掲載'!U271,"")</x:f>
      </x:c>
      <x:c r="BA270" s="3" t="str">
        <x:f>IF(AND('中古車掲載'!C271="One2car",'中古車掲載'!F271="Corolla Cross",'中古車掲載'!L271="HEV PREMIUM SAFETY",'中古車掲載'!J271=2023,ISNUMBER('中古車掲載'!N271),'中古車掲載'!N271&gt;=20000,'中古車掲載'!O271&lt;=100000,'中古車掲載'!AL271=1,'中古車掲載'!Z271="https://www.one2car.com/en/cars-for-sale/toyota/corolla-cross/year-2023"),'中古車掲載'!U271,"")</x:f>
      </x:c>
      <x:c r="BB270" s="3" t="str">
        <x:f>IF(AND('中古車掲載'!C271="One2car",'中古車掲載'!F271="ATTO 3",'中古車掲載'!L271="EXTENDED RANGE",'中古車掲載'!J271=2023,ISNUMBER('中古車掲載'!N271),'中古車掲載'!N271&gt;=50000,'中古車掲載'!O271&lt;=100000,'中古車掲載'!AL271=1),'中古車掲載'!U271,"")</x:f>
      </x:c>
      <x:c r="BC270" s="3" t="str">
        <x:f>IF(AND('中古車掲載'!C271="One2car",'中古車掲載'!F271="Corolla Cross",'中古車掲載'!L271="HEV PREMIUM SAFETY",'中古車掲載'!J271=2023,ISNUMBER('中古車掲載'!N271),'中古車掲載'!N271&gt;=50000,'中古車掲載'!O271&lt;=100000,'中古車掲載'!AL271=1,'中古車掲載'!Z271="https://www.one2car.com/en/cars-for-sale/toyota/corolla-cross/year-2023"),'中古車掲載'!U271,"")</x:f>
      </x:c>
      <x:c r="BD270" s="3" t="str">
        <x:f>IF(AND('中古車掲載'!C271="One2car",'中古車掲載'!F271="ATTO 3",'中古車掲載'!L271="EXTENDED RANGE",'中古車掲載'!J271=2023,ISNUMBER('中古車掲載'!N271),'中古車掲載'!N271&gt;=20000,'中古車掲載'!O271&lt;=50000,'中古車掲載'!AL271=1),'中古車掲載'!U271,"")</x:f>
      </x:c>
      <x:c r="BE270" s="3" t="str">
        <x:f>IF(AND('中古車掲載'!C271="One2car",'中古車掲載'!F271="Corolla Cross",'中古車掲載'!L271="HEV PREMIUM SAFETY",'中古車掲載'!J271=2023,ISNUMBER('中古車掲載'!N271),'中古車掲載'!N271&gt;=20000,'中古車掲載'!O271&lt;=50000,'中古車掲載'!AL271=1,'中古車掲載'!Z271="https://www.one2car.com/en/cars-for-sale/toyota/corolla-cross/year-2023"),'中古車掲載'!U271,"")</x:f>
      </x:c>
      <x:c r="BF270" s="3" t="str">
        <x:f>IF(AND('中古車掲載'!C271="One2car",'中古車掲載'!F271="Corolla Cross",'中古車掲載'!L271="HEV PREMIUM",'中古車掲載'!J271=2023,ISNUMBER('中古車掲載'!N271),'中古車掲載'!N271&gt;=20000,'中古車掲載'!O271&lt;=100000,'中古車掲載'!AL271=1,'中古車掲載'!Z271="https://www.one2car.com/en/cars-for-sale/toyota/corolla-cross/year-2023"),'中古車掲載'!U271,"")</x:f>
      </x:c>
      <x:c r="BG270" s="3" t="str">
        <x:f>IF(AND('中古車掲載'!C271="One2car",'中古車掲載'!F271="Corolla Cross",'中古車掲載'!L271="HEV GR SPORT",'中古車掲載'!J271=2023,ISNUMBER('中古車掲載'!N271),'中古車掲載'!N271&gt;=20000,'中古車掲載'!O271&lt;=100000,'中古車掲載'!AL271=1,'中古車掲載'!Z271="https://www.one2car.com/en/cars-for-sale/toyota/corolla-cross/year-2023"),'中古車掲載'!U271,"")</x:f>
      </x:c>
      <x:c r="BH270" s="3" t="str">
        <x:f>IF(AND('中古車掲載'!C271="One2car",'中古車掲載'!F271="DOLPHIN",'中古車掲載'!L271="STANDARD RANGE",'中古車掲載'!J271=2023,ISNUMBER('中古車掲載'!N271),'中古車掲載'!N271&gt;=20000,'中古車掲載'!O271&lt;=100000,'中古車掲載'!AL271=1),'中古車掲載'!U271,"")</x:f>
      </x:c>
      <x:c r="BI270" s="3" t="str">
        <x:v>Taladrod|Corolla Altis|ICE|Unknown</x:v>
      </x:c>
      <x:c r="BJ270" s="3" t="n">
        <x:v>271</x:v>
      </x:c>
      <x:c r="BK270" s="3" t="n">
        <x:f>'中古車掲載'!AM271</x:f>
        <x:v>499000</x:v>
      </x:c>
      <x:c r="BL270" s="3" t="str">
        <x:f>IF(ISNUMBER('中古車掲載'!AN271),'中古車掲載'!AN271,"")</x:f>
      </x:c>
      <x:c r="BM270" s="3" t="str">
        <x:v>2025|Single cab</x:v>
      </x:c>
      <x:c r="BN270" s="3" t="n">
        <x:v>902</x:v>
      </x:c>
      <x:c r="BO270" s="3" t="n">
        <x:f>'中古車掲載'!AM902</x:f>
        <x:v>599000</x:v>
      </x:c>
      <x:c r="BP270" s="3" t="str">
        <x:v>2.4 ENTRY STANDARD CAB</x:v>
      </x:c>
      <x:c r="BQ270" s="3"/>
      <x:c r="BR270" s="3"/>
    </x:row>
    <x:row r="271" ht="22" customHeight="1">
      <x:c r="A271" s="3"/>
      <x:c r="B271" s="3"/>
      <x:c r="C271" s="3"/>
      <x:c r="D271" s="3"/>
      <x:c r="E271" s="3"/>
      <x:c r="F271" s="3"/>
      <x:c r="G271" s="3"/>
      <x:c r="H271" s="3"/>
      <x:c r="I271" s="3"/>
      <x:c r="J271" s="3"/>
      <x:c r="K271" s="3"/>
      <x:c r="L271" s="3"/>
      <x:c r="M271" s="3"/>
      <x:c r="N271" s="3"/>
      <x:c r="O271" s="3"/>
      <x:c r="P271" s="3"/>
      <x:c r="Q271" s="3"/>
      <x:c r="R271" s="3"/>
      <x:c r="S271" s="3"/>
      <x:c r="T271" s="3"/>
      <x:c r="U271" s="3"/>
      <x:c r="V271" s="3"/>
      <x:c r="W271" s="3"/>
      <x:c r="X271" s="3"/>
      <x:c r="Y271" s="3"/>
      <x:c r="Z271" s="3"/>
      <x:c r="AA271" s="3"/>
      <x:c r="AB271" s="3"/>
      <x:c r="AC271" s="3"/>
      <x:c r="AD271" s="3"/>
      <x:c r="AE271" s="3"/>
      <x:c r="AF271" s="3"/>
      <x:c r="AG271" s="3"/>
      <x:c r="AH271" s="3"/>
      <x:c r="AI271" s="3"/>
      <x:c r="AJ271" s="3"/>
      <x:c r="AK271" s="3"/>
      <x:c r="AL271" s="3"/>
      <x:c r="AM271" s="3"/>
      <x:c r="AN271" s="3"/>
      <x:c r="AO271" s="3"/>
      <x:c r="AP271" s="3"/>
      <x:c r="AQ271" s="3"/>
      <x:c r="AR271" s="3"/>
      <x:c r="AS271" s="3"/>
      <x:c r="AT271" s="3"/>
      <x:c r="AU271" s="3"/>
      <x:c r="AV271" s="3"/>
      <x:c r="AW271" s="3"/>
      <x:c r="AX271" s="3"/>
      <x:c r="AY271" s="3"/>
      <x:c r="AZ271" s="3" t="str">
        <x:f>IF(AND('中古車掲載'!C272="One2car",'中古車掲載'!F272="ATTO 3",'中古車掲載'!L272="EXTENDED RANGE",'中古車掲載'!J272=2023,ISNUMBER('中古車掲載'!N272),'中古車掲載'!N272&gt;=20000,'中古車掲載'!O272&lt;=100000,'中古車掲載'!AL272=1),'中古車掲載'!U272,"")</x:f>
      </x:c>
      <x:c r="BA271" s="3" t="str">
        <x:f>IF(AND('中古車掲載'!C272="One2car",'中古車掲載'!F272="Corolla Cross",'中古車掲載'!L272="HEV PREMIUM SAFETY",'中古車掲載'!J272=2023,ISNUMBER('中古車掲載'!N272),'中古車掲載'!N272&gt;=20000,'中古車掲載'!O272&lt;=100000,'中古車掲載'!AL272=1,'中古車掲載'!Z272="https://www.one2car.com/en/cars-for-sale/toyota/corolla-cross/year-2023"),'中古車掲載'!U272,"")</x:f>
      </x:c>
      <x:c r="BB271" s="3" t="str">
        <x:f>IF(AND('中古車掲載'!C272="One2car",'中古車掲載'!F272="ATTO 3",'中古車掲載'!L272="EXTENDED RANGE",'中古車掲載'!J272=2023,ISNUMBER('中古車掲載'!N272),'中古車掲載'!N272&gt;=50000,'中古車掲載'!O272&lt;=100000,'中古車掲載'!AL272=1),'中古車掲載'!U272,"")</x:f>
      </x:c>
      <x:c r="BC271" s="3" t="str">
        <x:f>IF(AND('中古車掲載'!C272="One2car",'中古車掲載'!F272="Corolla Cross",'中古車掲載'!L272="HEV PREMIUM SAFETY",'中古車掲載'!J272=2023,ISNUMBER('中古車掲載'!N272),'中古車掲載'!N272&gt;=50000,'中古車掲載'!O272&lt;=100000,'中古車掲載'!AL272=1,'中古車掲載'!Z272="https://www.one2car.com/en/cars-for-sale/toyota/corolla-cross/year-2023"),'中古車掲載'!U272,"")</x:f>
      </x:c>
      <x:c r="BD271" s="3" t="str">
        <x:f>IF(AND('中古車掲載'!C272="One2car",'中古車掲載'!F272="ATTO 3",'中古車掲載'!L272="EXTENDED RANGE",'中古車掲載'!J272=2023,ISNUMBER('中古車掲載'!N272),'中古車掲載'!N272&gt;=20000,'中古車掲載'!O272&lt;=50000,'中古車掲載'!AL272=1),'中古車掲載'!U272,"")</x:f>
      </x:c>
      <x:c r="BE271" s="3" t="str">
        <x:f>IF(AND('中古車掲載'!C272="One2car",'中古車掲載'!F272="Corolla Cross",'中古車掲載'!L272="HEV PREMIUM SAFETY",'中古車掲載'!J272=2023,ISNUMBER('中古車掲載'!N272),'中古車掲載'!N272&gt;=20000,'中古車掲載'!O272&lt;=50000,'中古車掲載'!AL272=1,'中古車掲載'!Z272="https://www.one2car.com/en/cars-for-sale/toyota/corolla-cross/year-2023"),'中古車掲載'!U272,"")</x:f>
      </x:c>
      <x:c r="BF271" s="3" t="str">
        <x:f>IF(AND('中古車掲載'!C272="One2car",'中古車掲載'!F272="Corolla Cross",'中古車掲載'!L272="HEV PREMIUM",'中古車掲載'!J272=2023,ISNUMBER('中古車掲載'!N272),'中古車掲載'!N272&gt;=20000,'中古車掲載'!O272&lt;=100000,'中古車掲載'!AL272=1,'中古車掲載'!Z272="https://www.one2car.com/en/cars-for-sale/toyota/corolla-cross/year-2023"),'中古車掲載'!U272,"")</x:f>
      </x:c>
      <x:c r="BG271" s="3" t="str">
        <x:f>IF(AND('中古車掲載'!C272="One2car",'中古車掲載'!F272="Corolla Cross",'中古車掲載'!L272="HEV GR SPORT",'中古車掲載'!J272=2023,ISNUMBER('中古車掲載'!N272),'中古車掲載'!N272&gt;=20000,'中古車掲載'!O272&lt;=100000,'中古車掲載'!AL272=1,'中古車掲載'!Z272="https://www.one2car.com/en/cars-for-sale/toyota/corolla-cross/year-2023"),'中古車掲載'!U272,"")</x:f>
      </x:c>
      <x:c r="BH271" s="3" t="str">
        <x:f>IF(AND('中古車掲載'!C272="One2car",'中古車掲載'!F272="DOLPHIN",'中古車掲載'!L272="STANDARD RANGE",'中古車掲載'!J272=2023,ISNUMBER('中古車掲載'!N272),'中古車掲載'!N272&gt;=20000,'中古車掲載'!O272&lt;=100000,'中古車掲載'!AL272=1),'中古車掲載'!U272,"")</x:f>
      </x:c>
      <x:c r="BI271" s="3" t="str">
        <x:v>Taladrod|Corolla Altis|ICE|Unknown</x:v>
      </x:c>
      <x:c r="BJ271" s="3" t="n">
        <x:v>272</x:v>
      </x:c>
      <x:c r="BK271" s="3" t="n">
        <x:f>'中古車掲載'!AM272</x:f>
        <x:v>459000</x:v>
      </x:c>
      <x:c r="BL271" s="3" t="str">
        <x:f>IF(ISNUMBER('中古車掲載'!AN272),'中古車掲載'!AN272,"")</x:f>
      </x:c>
      <x:c r="BM271" s="3" t="str">
        <x:v>2025|Single cab</x:v>
      </x:c>
      <x:c r="BN271" s="3" t="n">
        <x:v>903</x:v>
      </x:c>
      <x:c r="BO271" s="3" t="n">
        <x:f>'中古車掲載'!AM903</x:f>
        <x:v>499000</x:v>
      </x:c>
      <x:c r="BP271" s="3" t="str">
        <x:v>2.4 ENTRY STANDARD CAB</x:v>
      </x:c>
      <x:c r="BQ271" s="3"/>
      <x:c r="BR271" s="3"/>
    </x:row>
    <x:row r="272" ht="22" customHeight="1">
      <x:c r="A272" s="3"/>
      <x:c r="B272" s="3"/>
      <x:c r="C272" s="3"/>
      <x:c r="D272" s="3"/>
      <x:c r="E272" s="3"/>
      <x:c r="F272" s="3"/>
      <x:c r="G272" s="3"/>
      <x:c r="H272" s="3"/>
      <x:c r="I272" s="3"/>
      <x:c r="J272" s="3"/>
      <x:c r="K272" s="3"/>
      <x:c r="L272" s="3"/>
      <x:c r="M272" s="3"/>
      <x:c r="N272" s="3"/>
      <x:c r="O272" s="3"/>
      <x:c r="P272" s="3"/>
      <x:c r="Q272" s="3"/>
      <x:c r="R272" s="3"/>
      <x:c r="S272" s="3"/>
      <x:c r="T272" s="3"/>
      <x:c r="U272" s="3"/>
      <x:c r="V272" s="3"/>
      <x:c r="W272" s="3"/>
      <x:c r="X272" s="3"/>
      <x:c r="Y272" s="3"/>
      <x:c r="Z272" s="3"/>
      <x:c r="AA272" s="3"/>
      <x:c r="AB272" s="3"/>
      <x:c r="AC272" s="3"/>
      <x:c r="AD272" s="3"/>
      <x:c r="AE272" s="3"/>
      <x:c r="AF272" s="3"/>
      <x:c r="AG272" s="3"/>
      <x:c r="AH272" s="3"/>
      <x:c r="AI272" s="3"/>
      <x:c r="AJ272" s="3"/>
      <x:c r="AK272" s="3"/>
      <x:c r="AL272" s="3"/>
      <x:c r="AM272" s="3"/>
      <x:c r="AN272" s="3"/>
      <x:c r="AO272" s="3"/>
      <x:c r="AP272" s="3"/>
      <x:c r="AQ272" s="3"/>
      <x:c r="AR272" s="3"/>
      <x:c r="AS272" s="3"/>
      <x:c r="AT272" s="3"/>
      <x:c r="AU272" s="3"/>
      <x:c r="AV272" s="3"/>
      <x:c r="AW272" s="3"/>
      <x:c r="AX272" s="3"/>
      <x:c r="AY272" s="3"/>
      <x:c r="AZ272" s="3" t="str">
        <x:f>IF(AND('中古車掲載'!C273="One2car",'中古車掲載'!F273="ATTO 3",'中古車掲載'!L273="EXTENDED RANGE",'中古車掲載'!J273=2023,ISNUMBER('中古車掲載'!N273),'中古車掲載'!N273&gt;=20000,'中古車掲載'!O273&lt;=100000,'中古車掲載'!AL273=1),'中古車掲載'!U273,"")</x:f>
      </x:c>
      <x:c r="BA272" s="3" t="str">
        <x:f>IF(AND('中古車掲載'!C273="One2car",'中古車掲載'!F273="Corolla Cross",'中古車掲載'!L273="HEV PREMIUM SAFETY",'中古車掲載'!J273=2023,ISNUMBER('中古車掲載'!N273),'中古車掲載'!N273&gt;=20000,'中古車掲載'!O273&lt;=100000,'中古車掲載'!AL273=1,'中古車掲載'!Z273="https://www.one2car.com/en/cars-for-sale/toyota/corolla-cross/year-2023"),'中古車掲載'!U273,"")</x:f>
      </x:c>
      <x:c r="BB272" s="3" t="str">
        <x:f>IF(AND('中古車掲載'!C273="One2car",'中古車掲載'!F273="ATTO 3",'中古車掲載'!L273="EXTENDED RANGE",'中古車掲載'!J273=2023,ISNUMBER('中古車掲載'!N273),'中古車掲載'!N273&gt;=50000,'中古車掲載'!O273&lt;=100000,'中古車掲載'!AL273=1),'中古車掲載'!U273,"")</x:f>
      </x:c>
      <x:c r="BC272" s="3" t="str">
        <x:f>IF(AND('中古車掲載'!C273="One2car",'中古車掲載'!F273="Corolla Cross",'中古車掲載'!L273="HEV PREMIUM SAFETY",'中古車掲載'!J273=2023,ISNUMBER('中古車掲載'!N273),'中古車掲載'!N273&gt;=50000,'中古車掲載'!O273&lt;=100000,'中古車掲載'!AL273=1,'中古車掲載'!Z273="https://www.one2car.com/en/cars-for-sale/toyota/corolla-cross/year-2023"),'中古車掲載'!U273,"")</x:f>
      </x:c>
      <x:c r="BD272" s="3" t="str">
        <x:f>IF(AND('中古車掲載'!C273="One2car",'中古車掲載'!F273="ATTO 3",'中古車掲載'!L273="EXTENDED RANGE",'中古車掲載'!J273=2023,ISNUMBER('中古車掲載'!N273),'中古車掲載'!N273&gt;=20000,'中古車掲載'!O273&lt;=50000,'中古車掲載'!AL273=1),'中古車掲載'!U273,"")</x:f>
      </x:c>
      <x:c r="BE272" s="3" t="str">
        <x:f>IF(AND('中古車掲載'!C273="One2car",'中古車掲載'!F273="Corolla Cross",'中古車掲載'!L273="HEV PREMIUM SAFETY",'中古車掲載'!J273=2023,ISNUMBER('中古車掲載'!N273),'中古車掲載'!N273&gt;=20000,'中古車掲載'!O273&lt;=50000,'中古車掲載'!AL273=1,'中古車掲載'!Z273="https://www.one2car.com/en/cars-for-sale/toyota/corolla-cross/year-2023"),'中古車掲載'!U273,"")</x:f>
      </x:c>
      <x:c r="BF272" s="3" t="str">
        <x:f>IF(AND('中古車掲載'!C273="One2car",'中古車掲載'!F273="Corolla Cross",'中古車掲載'!L273="HEV PREMIUM",'中古車掲載'!J273=2023,ISNUMBER('中古車掲載'!N273),'中古車掲載'!N273&gt;=20000,'中古車掲載'!O273&lt;=100000,'中古車掲載'!AL273=1,'中古車掲載'!Z273="https://www.one2car.com/en/cars-for-sale/toyota/corolla-cross/year-2023"),'中古車掲載'!U273,"")</x:f>
      </x:c>
      <x:c r="BG272" s="3" t="str">
        <x:f>IF(AND('中古車掲載'!C273="One2car",'中古車掲載'!F273="Corolla Cross",'中古車掲載'!L273="HEV GR SPORT",'中古車掲載'!J273=2023,ISNUMBER('中古車掲載'!N273),'中古車掲載'!N273&gt;=20000,'中古車掲載'!O273&lt;=100000,'中古車掲載'!AL273=1,'中古車掲載'!Z273="https://www.one2car.com/en/cars-for-sale/toyota/corolla-cross/year-2023"),'中古車掲載'!U273,"")</x:f>
      </x:c>
      <x:c r="BH272" s="3" t="str">
        <x:f>IF(AND('中古車掲載'!C273="One2car",'中古車掲載'!F273="DOLPHIN",'中古車掲載'!L273="STANDARD RANGE",'中古車掲載'!J273=2023,ISNUMBER('中古車掲載'!N273),'中古車掲載'!N273&gt;=20000,'中古車掲載'!O273&lt;=100000,'中古車掲載'!AL273=1),'中古車掲載'!U273,"")</x:f>
      </x:c>
      <x:c r="BI272" s="3" t="str">
        <x:v>Taladrod|Corolla Altis|ICE|Unknown</x:v>
      </x:c>
      <x:c r="BJ272" s="3" t="n">
        <x:v>273</x:v>
      </x:c>
      <x:c r="BK272" s="3" t="n">
        <x:f>'中古車掲載'!AM273</x:f>
        <x:v>529000</x:v>
      </x:c>
      <x:c r="BL272" s="3" t="str">
        <x:f>IF(ISNUMBER('中古車掲載'!AN273),'中古車掲載'!AN273,"")</x:f>
      </x:c>
      <x:c r="BM272" s="3" t="str">
        <x:v>2025|Single cab</x:v>
      </x:c>
      <x:c r="BN272" s="3" t="n">
        <x:v>904</x:v>
      </x:c>
      <x:c r="BO272" s="3" t="n">
        <x:f>'中古車掲載'!AM904</x:f>
        <x:v>549000</x:v>
      </x:c>
      <x:c r="BP272" s="3" t="str">
        <x:v>2.4 ENTRY STANDARD CAB</x:v>
      </x:c>
      <x:c r="BQ272" s="3"/>
      <x:c r="BR272" s="3"/>
    </x:row>
    <x:row r="273" ht="22" customHeight="1">
      <x:c r="A273" s="3"/>
      <x:c r="B273" s="3"/>
      <x:c r="C273" s="3"/>
      <x:c r="D273" s="3"/>
      <x:c r="E273" s="3"/>
      <x:c r="F273" s="3"/>
      <x:c r="G273" s="3"/>
      <x:c r="H273" s="3"/>
      <x:c r="I273" s="3"/>
      <x:c r="J273" s="3"/>
      <x:c r="K273" s="3"/>
      <x:c r="L273" s="3"/>
      <x:c r="M273" s="3"/>
      <x:c r="N273" s="3"/>
      <x:c r="O273" s="3"/>
      <x:c r="P273" s="3"/>
      <x:c r="Q273" s="3"/>
      <x:c r="R273" s="3"/>
      <x:c r="S273" s="3"/>
      <x:c r="T273" s="3"/>
      <x:c r="U273" s="3"/>
      <x:c r="V273" s="3"/>
      <x:c r="W273" s="3"/>
      <x:c r="X273" s="3"/>
      <x:c r="Y273" s="3"/>
      <x:c r="Z273" s="3"/>
      <x:c r="AA273" s="3"/>
      <x:c r="AB273" s="3"/>
      <x:c r="AC273" s="3"/>
      <x:c r="AD273" s="3"/>
      <x:c r="AE273" s="3"/>
      <x:c r="AF273" s="3"/>
      <x:c r="AG273" s="3"/>
      <x:c r="AH273" s="3"/>
      <x:c r="AI273" s="3"/>
      <x:c r="AJ273" s="3"/>
      <x:c r="AK273" s="3"/>
      <x:c r="AL273" s="3"/>
      <x:c r="AM273" s="3"/>
      <x:c r="AN273" s="3"/>
      <x:c r="AO273" s="3"/>
      <x:c r="AP273" s="3"/>
      <x:c r="AQ273" s="3"/>
      <x:c r="AR273" s="3"/>
      <x:c r="AS273" s="3"/>
      <x:c r="AT273" s="3"/>
      <x:c r="AU273" s="3"/>
      <x:c r="AV273" s="3"/>
      <x:c r="AW273" s="3"/>
      <x:c r="AX273" s="3"/>
      <x:c r="AY273" s="3"/>
      <x:c r="AZ273" s="3" t="str">
        <x:f>IF(AND('中古車掲載'!C274="One2car",'中古車掲載'!F274="ATTO 3",'中古車掲載'!L274="EXTENDED RANGE",'中古車掲載'!J274=2023,ISNUMBER('中古車掲載'!N274),'中古車掲載'!N274&gt;=20000,'中古車掲載'!O274&lt;=100000,'中古車掲載'!AL274=1),'中古車掲載'!U274,"")</x:f>
      </x:c>
      <x:c r="BA273" s="3" t="str">
        <x:f>IF(AND('中古車掲載'!C274="One2car",'中古車掲載'!F274="Corolla Cross",'中古車掲載'!L274="HEV PREMIUM SAFETY",'中古車掲載'!J274=2023,ISNUMBER('中古車掲載'!N274),'中古車掲載'!N274&gt;=20000,'中古車掲載'!O274&lt;=100000,'中古車掲載'!AL274=1,'中古車掲載'!Z274="https://www.one2car.com/en/cars-for-sale/toyota/corolla-cross/year-2023"),'中古車掲載'!U274,"")</x:f>
      </x:c>
      <x:c r="BB273" s="3" t="str">
        <x:f>IF(AND('中古車掲載'!C274="One2car",'中古車掲載'!F274="ATTO 3",'中古車掲載'!L274="EXTENDED RANGE",'中古車掲載'!J274=2023,ISNUMBER('中古車掲載'!N274),'中古車掲載'!N274&gt;=50000,'中古車掲載'!O274&lt;=100000,'中古車掲載'!AL274=1),'中古車掲載'!U274,"")</x:f>
      </x:c>
      <x:c r="BC273" s="3" t="str">
        <x:f>IF(AND('中古車掲載'!C274="One2car",'中古車掲載'!F274="Corolla Cross",'中古車掲載'!L274="HEV PREMIUM SAFETY",'中古車掲載'!J274=2023,ISNUMBER('中古車掲載'!N274),'中古車掲載'!N274&gt;=50000,'中古車掲載'!O274&lt;=100000,'中古車掲載'!AL274=1,'中古車掲載'!Z274="https://www.one2car.com/en/cars-for-sale/toyota/corolla-cross/year-2023"),'中古車掲載'!U274,"")</x:f>
      </x:c>
      <x:c r="BD273" s="3" t="str">
        <x:f>IF(AND('中古車掲載'!C274="One2car",'中古車掲載'!F274="ATTO 3",'中古車掲載'!L274="EXTENDED RANGE",'中古車掲載'!J274=2023,ISNUMBER('中古車掲載'!N274),'中古車掲載'!N274&gt;=20000,'中古車掲載'!O274&lt;=50000,'中古車掲載'!AL274=1),'中古車掲載'!U274,"")</x:f>
      </x:c>
      <x:c r="BE273" s="3" t="str">
        <x:f>IF(AND('中古車掲載'!C274="One2car",'中古車掲載'!F274="Corolla Cross",'中古車掲載'!L274="HEV PREMIUM SAFETY",'中古車掲載'!J274=2023,ISNUMBER('中古車掲載'!N274),'中古車掲載'!N274&gt;=20000,'中古車掲載'!O274&lt;=50000,'中古車掲載'!AL274=1,'中古車掲載'!Z274="https://www.one2car.com/en/cars-for-sale/toyota/corolla-cross/year-2023"),'中古車掲載'!U274,"")</x:f>
      </x:c>
      <x:c r="BF273" s="3" t="str">
        <x:f>IF(AND('中古車掲載'!C274="One2car",'中古車掲載'!F274="Corolla Cross",'中古車掲載'!L274="HEV PREMIUM",'中古車掲載'!J274=2023,ISNUMBER('中古車掲載'!N274),'中古車掲載'!N274&gt;=20000,'中古車掲載'!O274&lt;=100000,'中古車掲載'!AL274=1,'中古車掲載'!Z274="https://www.one2car.com/en/cars-for-sale/toyota/corolla-cross/year-2023"),'中古車掲載'!U274,"")</x:f>
      </x:c>
      <x:c r="BG273" s="3" t="str">
        <x:f>IF(AND('中古車掲載'!C274="One2car",'中古車掲載'!F274="Corolla Cross",'中古車掲載'!L274="HEV GR SPORT",'中古車掲載'!J274=2023,ISNUMBER('中古車掲載'!N274),'中古車掲載'!N274&gt;=20000,'中古車掲載'!O274&lt;=100000,'中古車掲載'!AL274=1,'中古車掲載'!Z274="https://www.one2car.com/en/cars-for-sale/toyota/corolla-cross/year-2023"),'中古車掲載'!U274,"")</x:f>
      </x:c>
      <x:c r="BH273" s="3" t="str">
        <x:f>IF(AND('中古車掲載'!C274="One2car",'中古車掲載'!F274="DOLPHIN",'中古車掲載'!L274="STANDARD RANGE",'中古車掲載'!J274=2023,ISNUMBER('中古車掲載'!N274),'中古車掲載'!N274&gt;=20000,'中古車掲載'!O274&lt;=100000,'中古車掲載'!AL274=1),'中古車掲載'!U274,"")</x:f>
      </x:c>
      <x:c r="BI273" s="3" t="str">
        <x:v>Taladrod|Corolla Altis|ICE|Unknown</x:v>
      </x:c>
      <x:c r="BJ273" s="3" t="n">
        <x:v>274</x:v>
      </x:c>
      <x:c r="BK273" s="3" t="n">
        <x:f>'中古車掲載'!AM274</x:f>
        <x:v>559000</x:v>
      </x:c>
      <x:c r="BL273" s="3" t="str">
        <x:f>IF(ISNUMBER('中古車掲載'!AN274),'中古車掲載'!AN274,"")</x:f>
      </x:c>
      <x:c r="BM273" s="3" t="str">
        <x:v>2025|Single cab</x:v>
      </x:c>
      <x:c r="BN273" s="3" t="n">
        <x:v>905</x:v>
      </x:c>
      <x:c r="BO273" s="3" t="n">
        <x:f>'中古車掲載'!AM905</x:f>
        <x:v>455000</x:v>
      </x:c>
      <x:c r="BP273" s="3" t="str">
        <x:v>2.4 ENTRY STANDARD CAB</x:v>
      </x:c>
      <x:c r="BQ273" s="3"/>
      <x:c r="BR273" s="3"/>
    </x:row>
    <x:row r="274" ht="22" customHeight="1">
      <x:c r="A274" s="3"/>
      <x:c r="B274" s="3"/>
      <x:c r="C274" s="3"/>
      <x:c r="D274" s="3"/>
      <x:c r="E274" s="3"/>
      <x:c r="F274" s="3"/>
      <x:c r="G274" s="3"/>
      <x:c r="H274" s="3"/>
      <x:c r="I274" s="3"/>
      <x:c r="J274" s="3"/>
      <x:c r="K274" s="3"/>
      <x:c r="L274" s="3"/>
      <x:c r="M274" s="3"/>
      <x:c r="N274" s="3"/>
      <x:c r="O274" s="3"/>
      <x:c r="P274" s="3"/>
      <x:c r="Q274" s="3"/>
      <x:c r="R274" s="3"/>
      <x:c r="S274" s="3"/>
      <x:c r="T274" s="3"/>
      <x:c r="U274" s="3"/>
      <x:c r="V274" s="3"/>
      <x:c r="W274" s="3"/>
      <x:c r="X274" s="3"/>
      <x:c r="Y274" s="3"/>
      <x:c r="Z274" s="3"/>
      <x:c r="AA274" s="3"/>
      <x:c r="AB274" s="3"/>
      <x:c r="AC274" s="3"/>
      <x:c r="AD274" s="3"/>
      <x:c r="AE274" s="3"/>
      <x:c r="AF274" s="3"/>
      <x:c r="AG274" s="3"/>
      <x:c r="AH274" s="3"/>
      <x:c r="AI274" s="3"/>
      <x:c r="AJ274" s="3"/>
      <x:c r="AK274" s="3"/>
      <x:c r="AL274" s="3"/>
      <x:c r="AM274" s="3"/>
      <x:c r="AN274" s="3"/>
      <x:c r="AO274" s="3"/>
      <x:c r="AP274" s="3"/>
      <x:c r="AQ274" s="3"/>
      <x:c r="AR274" s="3"/>
      <x:c r="AS274" s="3"/>
      <x:c r="AT274" s="3"/>
      <x:c r="AU274" s="3"/>
      <x:c r="AV274" s="3"/>
      <x:c r="AW274" s="3"/>
      <x:c r="AX274" s="3"/>
      <x:c r="AY274" s="3"/>
      <x:c r="AZ274" s="3" t="str">
        <x:f>IF(AND('中古車掲載'!C275="One2car",'中古車掲載'!F275="ATTO 3",'中古車掲載'!L275="EXTENDED RANGE",'中古車掲載'!J275=2023,ISNUMBER('中古車掲載'!N275),'中古車掲載'!N275&gt;=20000,'中古車掲載'!O275&lt;=100000,'中古車掲載'!AL275=1),'中古車掲載'!U275,"")</x:f>
      </x:c>
      <x:c r="BA274" s="3" t="str">
        <x:f>IF(AND('中古車掲載'!C275="One2car",'中古車掲載'!F275="Corolla Cross",'中古車掲載'!L275="HEV PREMIUM SAFETY",'中古車掲載'!J275=2023,ISNUMBER('中古車掲載'!N275),'中古車掲載'!N275&gt;=20000,'中古車掲載'!O275&lt;=100000,'中古車掲載'!AL275=1,'中古車掲載'!Z275="https://www.one2car.com/en/cars-for-sale/toyota/corolla-cross/year-2023"),'中古車掲載'!U275,"")</x:f>
      </x:c>
      <x:c r="BB274" s="3" t="str">
        <x:f>IF(AND('中古車掲載'!C275="One2car",'中古車掲載'!F275="ATTO 3",'中古車掲載'!L275="EXTENDED RANGE",'中古車掲載'!J275=2023,ISNUMBER('中古車掲載'!N275),'中古車掲載'!N275&gt;=50000,'中古車掲載'!O275&lt;=100000,'中古車掲載'!AL275=1),'中古車掲載'!U275,"")</x:f>
      </x:c>
      <x:c r="BC274" s="3" t="str">
        <x:f>IF(AND('中古車掲載'!C275="One2car",'中古車掲載'!F275="Corolla Cross",'中古車掲載'!L275="HEV PREMIUM SAFETY",'中古車掲載'!J275=2023,ISNUMBER('中古車掲載'!N275),'中古車掲載'!N275&gt;=50000,'中古車掲載'!O275&lt;=100000,'中古車掲載'!AL275=1,'中古車掲載'!Z275="https://www.one2car.com/en/cars-for-sale/toyota/corolla-cross/year-2023"),'中古車掲載'!U275,"")</x:f>
      </x:c>
      <x:c r="BD274" s="3" t="str">
        <x:f>IF(AND('中古車掲載'!C275="One2car",'中古車掲載'!F275="ATTO 3",'中古車掲載'!L275="EXTENDED RANGE",'中古車掲載'!J275=2023,ISNUMBER('中古車掲載'!N275),'中古車掲載'!N275&gt;=20000,'中古車掲載'!O275&lt;=50000,'中古車掲載'!AL275=1),'中古車掲載'!U275,"")</x:f>
      </x:c>
      <x:c r="BE274" s="3" t="str">
        <x:f>IF(AND('中古車掲載'!C275="One2car",'中古車掲載'!F275="Corolla Cross",'中古車掲載'!L275="HEV PREMIUM SAFETY",'中古車掲載'!J275=2023,ISNUMBER('中古車掲載'!N275),'中古車掲載'!N275&gt;=20000,'中古車掲載'!O275&lt;=50000,'中古車掲載'!AL275=1,'中古車掲載'!Z275="https://www.one2car.com/en/cars-for-sale/toyota/corolla-cross/year-2023"),'中古車掲載'!U275,"")</x:f>
      </x:c>
      <x:c r="BF274" s="3" t="str">
        <x:f>IF(AND('中古車掲載'!C275="One2car",'中古車掲載'!F275="Corolla Cross",'中古車掲載'!L275="HEV PREMIUM",'中古車掲載'!J275=2023,ISNUMBER('中古車掲載'!N275),'中古車掲載'!N275&gt;=20000,'中古車掲載'!O275&lt;=100000,'中古車掲載'!AL275=1,'中古車掲載'!Z275="https://www.one2car.com/en/cars-for-sale/toyota/corolla-cross/year-2023"),'中古車掲載'!U275,"")</x:f>
      </x:c>
      <x:c r="BG274" s="3" t="str">
        <x:f>IF(AND('中古車掲載'!C275="One2car",'中古車掲載'!F275="Corolla Cross",'中古車掲載'!L275="HEV GR SPORT",'中古車掲載'!J275=2023,ISNUMBER('中古車掲載'!N275),'中古車掲載'!N275&gt;=20000,'中古車掲載'!O275&lt;=100000,'中古車掲載'!AL275=1,'中古車掲載'!Z275="https://www.one2car.com/en/cars-for-sale/toyota/corolla-cross/year-2023"),'中古車掲載'!U275,"")</x:f>
      </x:c>
      <x:c r="BH274" s="3" t="str">
        <x:f>IF(AND('中古車掲載'!C275="One2car",'中古車掲載'!F275="DOLPHIN",'中古車掲載'!L275="STANDARD RANGE",'中古車掲載'!J275=2023,ISNUMBER('中古車掲載'!N275),'中古車掲載'!N275&gt;=20000,'中古車掲載'!O275&lt;=100000,'中古車掲載'!AL275=1),'中古車掲載'!U275,"")</x:f>
      </x:c>
      <x:c r="BI274" s="3" t="str">
        <x:v>Taladrod|Corolla Cross|HEV|Unknown</x:v>
      </x:c>
      <x:c r="BJ274" s="3" t="n">
        <x:v>275</x:v>
      </x:c>
      <x:c r="BK274" s="3" t="n">
        <x:f>'中古車掲載'!AM275</x:f>
        <x:v>599000</x:v>
      </x:c>
      <x:c r="BL274" s="3" t="str">
        <x:f>IF(ISNUMBER('中古車掲載'!AN275),'中古車掲載'!AN275,"")</x:f>
      </x:c>
      <x:c r="BM274" s="3" t="str">
        <x:v>2025|Single cab</x:v>
      </x:c>
      <x:c r="BN274" s="3" t="n">
        <x:v>906</x:v>
      </x:c>
      <x:c r="BO274" s="3" t="n">
        <x:f>'中古車掲載'!AM906</x:f>
        <x:v>519000</x:v>
      </x:c>
      <x:c r="BP274" s="3" t="str">
        <x:v>2.4 ENTRY STANDARD CAB</x:v>
      </x:c>
      <x:c r="BQ274" s="3"/>
      <x:c r="BR274" s="3"/>
    </x:row>
    <x:row r="275" ht="22" customHeight="1">
      <x:c r="A275" s="3"/>
      <x:c r="B275" s="3"/>
      <x:c r="C275" s="3"/>
      <x:c r="D275" s="3"/>
      <x:c r="E275" s="3"/>
      <x:c r="F275" s="3"/>
      <x:c r="G275" s="3"/>
      <x:c r="H275" s="3"/>
      <x:c r="I275" s="3"/>
      <x:c r="J275" s="3"/>
      <x:c r="K275" s="3"/>
      <x:c r="L275" s="3"/>
      <x:c r="M275" s="3"/>
      <x:c r="N275" s="3"/>
      <x:c r="O275" s="3"/>
      <x:c r="P275" s="3"/>
      <x:c r="Q275" s="3"/>
      <x:c r="R275" s="3"/>
      <x:c r="S275" s="3"/>
      <x:c r="T275" s="3"/>
      <x:c r="U275" s="3"/>
      <x:c r="V275" s="3"/>
      <x:c r="W275" s="3"/>
      <x:c r="X275" s="3"/>
      <x:c r="Y275" s="3"/>
      <x:c r="Z275" s="3"/>
      <x:c r="AA275" s="3"/>
      <x:c r="AB275" s="3"/>
      <x:c r="AC275" s="3"/>
      <x:c r="AD275" s="3"/>
      <x:c r="AE275" s="3"/>
      <x:c r="AF275" s="3"/>
      <x:c r="AG275" s="3"/>
      <x:c r="AH275" s="3"/>
      <x:c r="AI275" s="3"/>
      <x:c r="AJ275" s="3"/>
      <x:c r="AK275" s="3"/>
      <x:c r="AL275" s="3"/>
      <x:c r="AM275" s="3"/>
      <x:c r="AN275" s="3"/>
      <x:c r="AO275" s="3"/>
      <x:c r="AP275" s="3"/>
      <x:c r="AQ275" s="3"/>
      <x:c r="AR275" s="3"/>
      <x:c r="AS275" s="3"/>
      <x:c r="AT275" s="3"/>
      <x:c r="AU275" s="3"/>
      <x:c r="AV275" s="3"/>
      <x:c r="AW275" s="3"/>
      <x:c r="AX275" s="3"/>
      <x:c r="AY275" s="3"/>
      <x:c r="AZ275" s="3" t="str">
        <x:f>IF(AND('中古車掲載'!C276="One2car",'中古車掲載'!F276="ATTO 3",'中古車掲載'!L276="EXTENDED RANGE",'中古車掲載'!J276=2023,ISNUMBER('中古車掲載'!N276),'中古車掲載'!N276&gt;=20000,'中古車掲載'!O276&lt;=100000,'中古車掲載'!AL276=1),'中古車掲載'!U276,"")</x:f>
      </x:c>
      <x:c r="BA275" s="3" t="str">
        <x:f>IF(AND('中古車掲載'!C276="One2car",'中古車掲載'!F276="Corolla Cross",'中古車掲載'!L276="HEV PREMIUM SAFETY",'中古車掲載'!J276=2023,ISNUMBER('中古車掲載'!N276),'中古車掲載'!N276&gt;=20000,'中古車掲載'!O276&lt;=100000,'中古車掲載'!AL276=1,'中古車掲載'!Z276="https://www.one2car.com/en/cars-for-sale/toyota/corolla-cross/year-2023"),'中古車掲載'!U276,"")</x:f>
      </x:c>
      <x:c r="BB275" s="3" t="str">
        <x:f>IF(AND('中古車掲載'!C276="One2car",'中古車掲載'!F276="ATTO 3",'中古車掲載'!L276="EXTENDED RANGE",'中古車掲載'!J276=2023,ISNUMBER('中古車掲載'!N276),'中古車掲載'!N276&gt;=50000,'中古車掲載'!O276&lt;=100000,'中古車掲載'!AL276=1),'中古車掲載'!U276,"")</x:f>
      </x:c>
      <x:c r="BC275" s="3" t="str">
        <x:f>IF(AND('中古車掲載'!C276="One2car",'中古車掲載'!F276="Corolla Cross",'中古車掲載'!L276="HEV PREMIUM SAFETY",'中古車掲載'!J276=2023,ISNUMBER('中古車掲載'!N276),'中古車掲載'!N276&gt;=50000,'中古車掲載'!O276&lt;=100000,'中古車掲載'!AL276=1,'中古車掲載'!Z276="https://www.one2car.com/en/cars-for-sale/toyota/corolla-cross/year-2023"),'中古車掲載'!U276,"")</x:f>
      </x:c>
      <x:c r="BD275" s="3" t="str">
        <x:f>IF(AND('中古車掲載'!C276="One2car",'中古車掲載'!F276="ATTO 3",'中古車掲載'!L276="EXTENDED RANGE",'中古車掲載'!J276=2023,ISNUMBER('中古車掲載'!N276),'中古車掲載'!N276&gt;=20000,'中古車掲載'!O276&lt;=50000,'中古車掲載'!AL276=1),'中古車掲載'!U276,"")</x:f>
      </x:c>
      <x:c r="BE275" s="3" t="str">
        <x:f>IF(AND('中古車掲載'!C276="One2car",'中古車掲載'!F276="Corolla Cross",'中古車掲載'!L276="HEV PREMIUM SAFETY",'中古車掲載'!J276=2023,ISNUMBER('中古車掲載'!N276),'中古車掲載'!N276&gt;=20000,'中古車掲載'!O276&lt;=50000,'中古車掲載'!AL276=1,'中古車掲載'!Z276="https://www.one2car.com/en/cars-for-sale/toyota/corolla-cross/year-2023"),'中古車掲載'!U276,"")</x:f>
      </x:c>
      <x:c r="BF275" s="3" t="str">
        <x:f>IF(AND('中古車掲載'!C276="One2car",'中古車掲載'!F276="Corolla Cross",'中古車掲載'!L276="HEV PREMIUM",'中古車掲載'!J276=2023,ISNUMBER('中古車掲載'!N276),'中古車掲載'!N276&gt;=20000,'中古車掲載'!O276&lt;=100000,'中古車掲載'!AL276=1,'中古車掲載'!Z276="https://www.one2car.com/en/cars-for-sale/toyota/corolla-cross/year-2023"),'中古車掲載'!U276,"")</x:f>
      </x:c>
      <x:c r="BG275" s="3" t="str">
        <x:f>IF(AND('中古車掲載'!C276="One2car",'中古車掲載'!F276="Corolla Cross",'中古車掲載'!L276="HEV GR SPORT",'中古車掲載'!J276=2023,ISNUMBER('中古車掲載'!N276),'中古車掲載'!N276&gt;=20000,'中古車掲載'!O276&lt;=100000,'中古車掲載'!AL276=1,'中古車掲載'!Z276="https://www.one2car.com/en/cars-for-sale/toyota/corolla-cross/year-2023"),'中古車掲載'!U276,"")</x:f>
      </x:c>
      <x:c r="BH275" s="3" t="str">
        <x:f>IF(AND('中古車掲載'!C276="One2car",'中古車掲載'!F276="DOLPHIN",'中古車掲載'!L276="STANDARD RANGE",'中古車掲載'!J276=2023,ISNUMBER('中古車掲載'!N276),'中古車掲載'!N276&gt;=20000,'中古車掲載'!O276&lt;=100000,'中古車掲載'!AL276=1),'中古車掲載'!U276,"")</x:f>
      </x:c>
      <x:c r="BI275" s="3" t="str">
        <x:v>Taladrod|Corolla Cross|HEV|Unknown</x:v>
      </x:c>
      <x:c r="BJ275" s="3" t="n">
        <x:v>276</x:v>
      </x:c>
      <x:c r="BK275" s="3" t="n">
        <x:f>'中古車掲載'!AM276</x:f>
        <x:v>618000</x:v>
      </x:c>
      <x:c r="BL275" s="3" t="str">
        <x:f>IF(ISNUMBER('中古車掲載'!AN276),'中古車掲載'!AN276,"")</x:f>
      </x:c>
      <x:c r="BM275" s="3"/>
      <x:c r="BN275" s="3"/>
      <x:c r="BO275" s="3"/>
      <x:c r="BP275" s="3"/>
      <x:c r="BQ275" s="3"/>
      <x:c r="BR275" s="3"/>
    </x:row>
    <x:row r="276" ht="22" customHeight="1">
      <x:c r="A276" s="3"/>
      <x:c r="B276" s="3"/>
      <x:c r="C276" s="3"/>
      <x:c r="D276" s="3"/>
      <x:c r="E276" s="3"/>
      <x:c r="F276" s="3"/>
      <x:c r="G276" s="3"/>
      <x:c r="H276" s="3"/>
      <x:c r="I276" s="3"/>
      <x:c r="J276" s="3"/>
      <x:c r="K276" s="3"/>
      <x:c r="L276" s="3"/>
      <x:c r="M276" s="3"/>
      <x:c r="N276" s="3"/>
      <x:c r="O276" s="3"/>
      <x:c r="P276" s="3"/>
      <x:c r="Q276" s="3"/>
      <x:c r="R276" s="3"/>
      <x:c r="S276" s="3"/>
      <x:c r="T276" s="3"/>
      <x:c r="U276" s="3"/>
      <x:c r="V276" s="3"/>
      <x:c r="W276" s="3"/>
      <x:c r="X276" s="3"/>
      <x:c r="Y276" s="3"/>
      <x:c r="Z276" s="3"/>
      <x:c r="AA276" s="3"/>
      <x:c r="AB276" s="3"/>
      <x:c r="AC276" s="3"/>
      <x:c r="AD276" s="3"/>
      <x:c r="AE276" s="3"/>
      <x:c r="AF276" s="3"/>
      <x:c r="AG276" s="3"/>
      <x:c r="AH276" s="3"/>
      <x:c r="AI276" s="3"/>
      <x:c r="AJ276" s="3"/>
      <x:c r="AK276" s="3"/>
      <x:c r="AL276" s="3"/>
      <x:c r="AM276" s="3"/>
      <x:c r="AN276" s="3"/>
      <x:c r="AO276" s="3"/>
      <x:c r="AP276" s="3"/>
      <x:c r="AQ276" s="3"/>
      <x:c r="AR276" s="3"/>
      <x:c r="AS276" s="3"/>
      <x:c r="AT276" s="3"/>
      <x:c r="AU276" s="3"/>
      <x:c r="AV276" s="3"/>
      <x:c r="AW276" s="3"/>
      <x:c r="AX276" s="3"/>
      <x:c r="AY276" s="3"/>
      <x:c r="AZ276" s="3" t="str">
        <x:f>IF(AND('中古車掲載'!C277="One2car",'中古車掲載'!F277="ATTO 3",'中古車掲載'!L277="EXTENDED RANGE",'中古車掲載'!J277=2023,ISNUMBER('中古車掲載'!N277),'中古車掲載'!N277&gt;=20000,'中古車掲載'!O277&lt;=100000,'中古車掲載'!AL277=1),'中古車掲載'!U277,"")</x:f>
      </x:c>
      <x:c r="BA276" s="3" t="str">
        <x:f>IF(AND('中古車掲載'!C277="One2car",'中古車掲載'!F277="Corolla Cross",'中古車掲載'!L277="HEV PREMIUM SAFETY",'中古車掲載'!J277=2023,ISNUMBER('中古車掲載'!N277),'中古車掲載'!N277&gt;=20000,'中古車掲載'!O277&lt;=100000,'中古車掲載'!AL277=1,'中古車掲載'!Z277="https://www.one2car.com/en/cars-for-sale/toyota/corolla-cross/year-2023"),'中古車掲載'!U277,"")</x:f>
      </x:c>
      <x:c r="BB276" s="3" t="str">
        <x:f>IF(AND('中古車掲載'!C277="One2car",'中古車掲載'!F277="ATTO 3",'中古車掲載'!L277="EXTENDED RANGE",'中古車掲載'!J277=2023,ISNUMBER('中古車掲載'!N277),'中古車掲載'!N277&gt;=50000,'中古車掲載'!O277&lt;=100000,'中古車掲載'!AL277=1),'中古車掲載'!U277,"")</x:f>
      </x:c>
      <x:c r="BC276" s="3" t="str">
        <x:f>IF(AND('中古車掲載'!C277="One2car",'中古車掲載'!F277="Corolla Cross",'中古車掲載'!L277="HEV PREMIUM SAFETY",'中古車掲載'!J277=2023,ISNUMBER('中古車掲載'!N277),'中古車掲載'!N277&gt;=50000,'中古車掲載'!O277&lt;=100000,'中古車掲載'!AL277=1,'中古車掲載'!Z277="https://www.one2car.com/en/cars-for-sale/toyota/corolla-cross/year-2023"),'中古車掲載'!U277,"")</x:f>
      </x:c>
      <x:c r="BD276" s="3" t="str">
        <x:f>IF(AND('中古車掲載'!C277="One2car",'中古車掲載'!F277="ATTO 3",'中古車掲載'!L277="EXTENDED RANGE",'中古車掲載'!J277=2023,ISNUMBER('中古車掲載'!N277),'中古車掲載'!N277&gt;=20000,'中古車掲載'!O277&lt;=50000,'中古車掲載'!AL277=1),'中古車掲載'!U277,"")</x:f>
      </x:c>
      <x:c r="BE276" s="3" t="str">
        <x:f>IF(AND('中古車掲載'!C277="One2car",'中古車掲載'!F277="Corolla Cross",'中古車掲載'!L277="HEV PREMIUM SAFETY",'中古車掲載'!J277=2023,ISNUMBER('中古車掲載'!N277),'中古車掲載'!N277&gt;=20000,'中古車掲載'!O277&lt;=50000,'中古車掲載'!AL277=1,'中古車掲載'!Z277="https://www.one2car.com/en/cars-for-sale/toyota/corolla-cross/year-2023"),'中古車掲載'!U277,"")</x:f>
      </x:c>
      <x:c r="BF276" s="3" t="str">
        <x:f>IF(AND('中古車掲載'!C277="One2car",'中古車掲載'!F277="Corolla Cross",'中古車掲載'!L277="HEV PREMIUM",'中古車掲載'!J277=2023,ISNUMBER('中古車掲載'!N277),'中古車掲載'!N277&gt;=20000,'中古車掲載'!O277&lt;=100000,'中古車掲載'!AL277=1,'中古車掲載'!Z277="https://www.one2car.com/en/cars-for-sale/toyota/corolla-cross/year-2023"),'中古車掲載'!U277,"")</x:f>
      </x:c>
      <x:c r="BG276" s="3" t="str">
        <x:f>IF(AND('中古車掲載'!C277="One2car",'中古車掲載'!F277="Corolla Cross",'中古車掲載'!L277="HEV GR SPORT",'中古車掲載'!J277=2023,ISNUMBER('中古車掲載'!N277),'中古車掲載'!N277&gt;=20000,'中古車掲載'!O277&lt;=100000,'中古車掲載'!AL277=1,'中古車掲載'!Z277="https://www.one2car.com/en/cars-for-sale/toyota/corolla-cross/year-2023"),'中古車掲載'!U277,"")</x:f>
      </x:c>
      <x:c r="BH276" s="3" t="str">
        <x:f>IF(AND('中古車掲載'!C277="One2car",'中古車掲載'!F277="DOLPHIN",'中古車掲載'!L277="STANDARD RANGE",'中古車掲載'!J277=2023,ISNUMBER('中古車掲載'!N277),'中古車掲載'!N277&gt;=20000,'中古車掲載'!O277&lt;=100000,'中古車掲載'!AL277=1),'中古車掲載'!U277,"")</x:f>
      </x:c>
      <x:c r="BI276" s="3" t="str">
        <x:v>Taladrod|Corolla Cross|HEV|Unknown</x:v>
      </x:c>
      <x:c r="BJ276" s="3" t="n">
        <x:v>277</x:v>
      </x:c>
      <x:c r="BK276" s="3" t="n">
        <x:f>'中古車掲載'!AM277</x:f>
        <x:v>599000</x:v>
      </x:c>
      <x:c r="BL276" s="3" t="str">
        <x:f>IF(ISNUMBER('中古車掲載'!AN277),'中古車掲載'!AN277,"")</x:f>
      </x:c>
      <x:c r="BM276" s="3"/>
      <x:c r="BN276" s="3"/>
      <x:c r="BO276" s="3"/>
      <x:c r="BP276" s="3"/>
      <x:c r="BQ276" s="3"/>
      <x:c r="BR276" s="3"/>
    </x:row>
    <x:row r="277" ht="22" customHeight="1">
      <x:c r="A277" s="3"/>
      <x:c r="B277" s="3"/>
      <x:c r="C277" s="3"/>
      <x:c r="D277" s="3"/>
      <x:c r="E277" s="3"/>
      <x:c r="F277" s="3"/>
      <x:c r="G277" s="3"/>
      <x:c r="H277" s="3"/>
      <x:c r="I277" s="3"/>
      <x:c r="J277" s="3"/>
      <x:c r="K277" s="3"/>
      <x:c r="L277" s="3"/>
      <x:c r="M277" s="3"/>
      <x:c r="N277" s="3"/>
      <x:c r="O277" s="3"/>
      <x:c r="P277" s="3"/>
      <x:c r="Q277" s="3"/>
      <x:c r="R277" s="3"/>
      <x:c r="S277" s="3"/>
      <x:c r="T277" s="3"/>
      <x:c r="U277" s="3"/>
      <x:c r="V277" s="3"/>
      <x:c r="W277" s="3"/>
      <x:c r="X277" s="3"/>
      <x:c r="Y277" s="3"/>
      <x:c r="Z277" s="3"/>
      <x:c r="AA277" s="3"/>
      <x:c r="AB277" s="3"/>
      <x:c r="AC277" s="3"/>
      <x:c r="AD277" s="3"/>
      <x:c r="AE277" s="3"/>
      <x:c r="AF277" s="3"/>
      <x:c r="AG277" s="3"/>
      <x:c r="AH277" s="3"/>
      <x:c r="AI277" s="3"/>
      <x:c r="AJ277" s="3"/>
      <x:c r="AK277" s="3"/>
      <x:c r="AL277" s="3"/>
      <x:c r="AM277" s="3"/>
      <x:c r="AN277" s="3"/>
      <x:c r="AO277" s="3"/>
      <x:c r="AP277" s="3"/>
      <x:c r="AQ277" s="3"/>
      <x:c r="AR277" s="3"/>
      <x:c r="AS277" s="3"/>
      <x:c r="AT277" s="3"/>
      <x:c r="AU277" s="3"/>
      <x:c r="AV277" s="3"/>
      <x:c r="AW277" s="3"/>
      <x:c r="AX277" s="3"/>
      <x:c r="AY277" s="3"/>
      <x:c r="AZ277" s="3" t="str">
        <x:f>IF(AND('中古車掲載'!C278="One2car",'中古車掲載'!F278="ATTO 3",'中古車掲載'!L278="EXTENDED RANGE",'中古車掲載'!J278=2023,ISNUMBER('中古車掲載'!N278),'中古車掲載'!N278&gt;=20000,'中古車掲載'!O278&lt;=100000,'中古車掲載'!AL278=1),'中古車掲載'!U278,"")</x:f>
      </x:c>
      <x:c r="BA277" s="3" t="str">
        <x:f>IF(AND('中古車掲載'!C278="One2car",'中古車掲載'!F278="Corolla Cross",'中古車掲載'!L278="HEV PREMIUM SAFETY",'中古車掲載'!J278=2023,ISNUMBER('中古車掲載'!N278),'中古車掲載'!N278&gt;=20000,'中古車掲載'!O278&lt;=100000,'中古車掲載'!AL278=1,'中古車掲載'!Z278="https://www.one2car.com/en/cars-for-sale/toyota/corolla-cross/year-2023"),'中古車掲載'!U278,"")</x:f>
      </x:c>
      <x:c r="BB277" s="3" t="str">
        <x:f>IF(AND('中古車掲載'!C278="One2car",'中古車掲載'!F278="ATTO 3",'中古車掲載'!L278="EXTENDED RANGE",'中古車掲載'!J278=2023,ISNUMBER('中古車掲載'!N278),'中古車掲載'!N278&gt;=50000,'中古車掲載'!O278&lt;=100000,'中古車掲載'!AL278=1),'中古車掲載'!U278,"")</x:f>
      </x:c>
      <x:c r="BC277" s="3" t="str">
        <x:f>IF(AND('中古車掲載'!C278="One2car",'中古車掲載'!F278="Corolla Cross",'中古車掲載'!L278="HEV PREMIUM SAFETY",'中古車掲載'!J278=2023,ISNUMBER('中古車掲載'!N278),'中古車掲載'!N278&gt;=50000,'中古車掲載'!O278&lt;=100000,'中古車掲載'!AL278=1,'中古車掲載'!Z278="https://www.one2car.com/en/cars-for-sale/toyota/corolla-cross/year-2023"),'中古車掲載'!U278,"")</x:f>
      </x:c>
      <x:c r="BD277" s="3" t="str">
        <x:f>IF(AND('中古車掲載'!C278="One2car",'中古車掲載'!F278="ATTO 3",'中古車掲載'!L278="EXTENDED RANGE",'中古車掲載'!J278=2023,ISNUMBER('中古車掲載'!N278),'中古車掲載'!N278&gt;=20000,'中古車掲載'!O278&lt;=50000,'中古車掲載'!AL278=1),'中古車掲載'!U278,"")</x:f>
      </x:c>
      <x:c r="BE277" s="3" t="str">
        <x:f>IF(AND('中古車掲載'!C278="One2car",'中古車掲載'!F278="Corolla Cross",'中古車掲載'!L278="HEV PREMIUM SAFETY",'中古車掲載'!J278=2023,ISNUMBER('中古車掲載'!N278),'中古車掲載'!N278&gt;=20000,'中古車掲載'!O278&lt;=50000,'中古車掲載'!AL278=1,'中古車掲載'!Z278="https://www.one2car.com/en/cars-for-sale/toyota/corolla-cross/year-2023"),'中古車掲載'!U278,"")</x:f>
      </x:c>
      <x:c r="BF277" s="3" t="str">
        <x:f>IF(AND('中古車掲載'!C278="One2car",'中古車掲載'!F278="Corolla Cross",'中古車掲載'!L278="HEV PREMIUM",'中古車掲載'!J278=2023,ISNUMBER('中古車掲載'!N278),'中古車掲載'!N278&gt;=20000,'中古車掲載'!O278&lt;=100000,'中古車掲載'!AL278=1,'中古車掲載'!Z278="https://www.one2car.com/en/cars-for-sale/toyota/corolla-cross/year-2023"),'中古車掲載'!U278,"")</x:f>
      </x:c>
      <x:c r="BG277" s="3" t="str">
        <x:f>IF(AND('中古車掲載'!C278="One2car",'中古車掲載'!F278="Corolla Cross",'中古車掲載'!L278="HEV GR SPORT",'中古車掲載'!J278=2023,ISNUMBER('中古車掲載'!N278),'中古車掲載'!N278&gt;=20000,'中古車掲載'!O278&lt;=100000,'中古車掲載'!AL278=1,'中古車掲載'!Z278="https://www.one2car.com/en/cars-for-sale/toyota/corolla-cross/year-2023"),'中古車掲載'!U278,"")</x:f>
      </x:c>
      <x:c r="BH277" s="3" t="str">
        <x:f>IF(AND('中古車掲載'!C278="One2car",'中古車掲載'!F278="DOLPHIN",'中古車掲載'!L278="STANDARD RANGE",'中古車掲載'!J278=2023,ISNUMBER('中古車掲載'!N278),'中古車掲載'!N278&gt;=20000,'中古車掲載'!O278&lt;=100000,'中古車掲載'!AL278=1),'中古車掲載'!U278,"")</x:f>
      </x:c>
      <x:c r="BI277" s="3" t="str">
        <x:v>Taladrod|Corolla Cross|HEV|Unknown</x:v>
      </x:c>
      <x:c r="BJ277" s="3" t="n">
        <x:v>278</x:v>
      </x:c>
      <x:c r="BK277" s="3" t="n">
        <x:f>'中古車掲載'!AM278</x:f>
        <x:v>609000</x:v>
      </x:c>
      <x:c r="BL277" s="3" t="str">
        <x:f>IF(ISNUMBER('中古車掲載'!AN278),'中古車掲載'!AN278,"")</x:f>
      </x:c>
      <x:c r="BM277" s="3"/>
      <x:c r="BN277" s="3"/>
      <x:c r="BO277" s="3"/>
      <x:c r="BP277" s="3"/>
      <x:c r="BQ277" s="3"/>
      <x:c r="BR277" s="3"/>
    </x:row>
    <x:row r="278" ht="22" customHeight="1">
      <x:c r="A278" s="3"/>
      <x:c r="B278" s="3"/>
      <x:c r="C278" s="3"/>
      <x:c r="D278" s="3"/>
      <x:c r="E278" s="3"/>
      <x:c r="F278" s="3"/>
      <x:c r="G278" s="3"/>
      <x:c r="H278" s="3"/>
      <x:c r="I278" s="3"/>
      <x:c r="J278" s="3"/>
      <x:c r="K278" s="3"/>
      <x:c r="L278" s="3"/>
      <x:c r="M278" s="3"/>
      <x:c r="N278" s="3"/>
      <x:c r="O278" s="3"/>
      <x:c r="P278" s="3"/>
      <x:c r="Q278" s="3"/>
      <x:c r="R278" s="3"/>
      <x:c r="S278" s="3"/>
      <x:c r="T278" s="3"/>
      <x:c r="U278" s="3"/>
      <x:c r="V278" s="3"/>
      <x:c r="W278" s="3"/>
      <x:c r="X278" s="3"/>
      <x:c r="Y278" s="3"/>
      <x:c r="Z278" s="3"/>
      <x:c r="AA278" s="3"/>
      <x:c r="AB278" s="3"/>
      <x:c r="AC278" s="3"/>
      <x:c r="AD278" s="3"/>
      <x:c r="AE278" s="3"/>
      <x:c r="AF278" s="3"/>
      <x:c r="AG278" s="3"/>
      <x:c r="AH278" s="3"/>
      <x:c r="AI278" s="3"/>
      <x:c r="AJ278" s="3"/>
      <x:c r="AK278" s="3"/>
      <x:c r="AL278" s="3"/>
      <x:c r="AM278" s="3"/>
      <x:c r="AN278" s="3"/>
      <x:c r="AO278" s="3"/>
      <x:c r="AP278" s="3"/>
      <x:c r="AQ278" s="3"/>
      <x:c r="AR278" s="3"/>
      <x:c r="AS278" s="3"/>
      <x:c r="AT278" s="3"/>
      <x:c r="AU278" s="3"/>
      <x:c r="AV278" s="3"/>
      <x:c r="AW278" s="3"/>
      <x:c r="AX278" s="3"/>
      <x:c r="AY278" s="3"/>
      <x:c r="AZ278" s="3" t="str">
        <x:f>IF(AND('中古車掲載'!C279="One2car",'中古車掲載'!F279="ATTO 3",'中古車掲載'!L279="EXTENDED RANGE",'中古車掲載'!J279=2023,ISNUMBER('中古車掲載'!N279),'中古車掲載'!N279&gt;=20000,'中古車掲載'!O279&lt;=100000,'中古車掲載'!AL279=1),'中古車掲載'!U279,"")</x:f>
      </x:c>
      <x:c r="BA278" s="3" t="str">
        <x:f>IF(AND('中古車掲載'!C279="One2car",'中古車掲載'!F279="Corolla Cross",'中古車掲載'!L279="HEV PREMIUM SAFETY",'中古車掲載'!J279=2023,ISNUMBER('中古車掲載'!N279),'中古車掲載'!N279&gt;=20000,'中古車掲載'!O279&lt;=100000,'中古車掲載'!AL279=1,'中古車掲載'!Z279="https://www.one2car.com/en/cars-for-sale/toyota/corolla-cross/year-2023"),'中古車掲載'!U279,"")</x:f>
      </x:c>
      <x:c r="BB278" s="3" t="str">
        <x:f>IF(AND('中古車掲載'!C279="One2car",'中古車掲載'!F279="ATTO 3",'中古車掲載'!L279="EXTENDED RANGE",'中古車掲載'!J279=2023,ISNUMBER('中古車掲載'!N279),'中古車掲載'!N279&gt;=50000,'中古車掲載'!O279&lt;=100000,'中古車掲載'!AL279=1),'中古車掲載'!U279,"")</x:f>
      </x:c>
      <x:c r="BC278" s="3" t="str">
        <x:f>IF(AND('中古車掲載'!C279="One2car",'中古車掲載'!F279="Corolla Cross",'中古車掲載'!L279="HEV PREMIUM SAFETY",'中古車掲載'!J279=2023,ISNUMBER('中古車掲載'!N279),'中古車掲載'!N279&gt;=50000,'中古車掲載'!O279&lt;=100000,'中古車掲載'!AL279=1,'中古車掲載'!Z279="https://www.one2car.com/en/cars-for-sale/toyota/corolla-cross/year-2023"),'中古車掲載'!U279,"")</x:f>
      </x:c>
      <x:c r="BD278" s="3" t="str">
        <x:f>IF(AND('中古車掲載'!C279="One2car",'中古車掲載'!F279="ATTO 3",'中古車掲載'!L279="EXTENDED RANGE",'中古車掲載'!J279=2023,ISNUMBER('中古車掲載'!N279),'中古車掲載'!N279&gt;=20000,'中古車掲載'!O279&lt;=50000,'中古車掲載'!AL279=1),'中古車掲載'!U279,"")</x:f>
      </x:c>
      <x:c r="BE278" s="3" t="str">
        <x:f>IF(AND('中古車掲載'!C279="One2car",'中古車掲載'!F279="Corolla Cross",'中古車掲載'!L279="HEV PREMIUM SAFETY",'中古車掲載'!J279=2023,ISNUMBER('中古車掲載'!N279),'中古車掲載'!N279&gt;=20000,'中古車掲載'!O279&lt;=50000,'中古車掲載'!AL279=1,'中古車掲載'!Z279="https://www.one2car.com/en/cars-for-sale/toyota/corolla-cross/year-2023"),'中古車掲載'!U279,"")</x:f>
      </x:c>
      <x:c r="BF278" s="3" t="str">
        <x:f>IF(AND('中古車掲載'!C279="One2car",'中古車掲載'!F279="Corolla Cross",'中古車掲載'!L279="HEV PREMIUM",'中古車掲載'!J279=2023,ISNUMBER('中古車掲載'!N279),'中古車掲載'!N279&gt;=20000,'中古車掲載'!O279&lt;=100000,'中古車掲載'!AL279=1,'中古車掲載'!Z279="https://www.one2car.com/en/cars-for-sale/toyota/corolla-cross/year-2023"),'中古車掲載'!U279,"")</x:f>
      </x:c>
      <x:c r="BG278" s="3" t="str">
        <x:f>IF(AND('中古車掲載'!C279="One2car",'中古車掲載'!F279="Corolla Cross",'中古車掲載'!L279="HEV GR SPORT",'中古車掲載'!J279=2023,ISNUMBER('中古車掲載'!N279),'中古車掲載'!N279&gt;=20000,'中古車掲載'!O279&lt;=100000,'中古車掲載'!AL279=1,'中古車掲載'!Z279="https://www.one2car.com/en/cars-for-sale/toyota/corolla-cross/year-2023"),'中古車掲載'!U279,"")</x:f>
      </x:c>
      <x:c r="BH278" s="3" t="str">
        <x:f>IF(AND('中古車掲載'!C279="One2car",'中古車掲載'!F279="DOLPHIN",'中古車掲載'!L279="STANDARD RANGE",'中古車掲載'!J279=2023,ISNUMBER('中古車掲載'!N279),'中古車掲載'!N279&gt;=20000,'中古車掲載'!O279&lt;=100000,'中古車掲載'!AL279=1),'中古車掲載'!U279,"")</x:f>
      </x:c>
      <x:c r="BI278" s="3" t="str">
        <x:v>Taladrod|Corolla Cross|HEV|Unknown</x:v>
      </x:c>
      <x:c r="BJ278" s="3" t="n">
        <x:v>279</x:v>
      </x:c>
      <x:c r="BK278" s="3" t="n">
        <x:f>'中古車掲載'!AM279</x:f>
        <x:v>584000</x:v>
      </x:c>
      <x:c r="BL278" s="3" t="str">
        <x:f>IF(ISNUMBER('中古車掲載'!AN279),'中古車掲載'!AN279,"")</x:f>
      </x:c>
      <x:c r="BM278" s="3"/>
      <x:c r="BN278" s="3"/>
      <x:c r="BO278" s="3"/>
      <x:c r="BP278" s="3"/>
      <x:c r="BQ278" s="3"/>
      <x:c r="BR278" s="3"/>
    </x:row>
    <x:row r="279" ht="22" customHeight="1">
      <x:c r="A279" s="3"/>
      <x:c r="B279" s="3"/>
      <x:c r="C279" s="3"/>
      <x:c r="D279" s="3"/>
      <x:c r="E279" s="3"/>
      <x:c r="F279" s="3"/>
      <x:c r="G279" s="3"/>
      <x:c r="H279" s="3"/>
      <x:c r="I279" s="3"/>
      <x:c r="J279" s="3"/>
      <x:c r="K279" s="3"/>
      <x:c r="L279" s="3"/>
      <x:c r="M279" s="3"/>
      <x:c r="N279" s="3"/>
      <x:c r="O279" s="3"/>
      <x:c r="P279" s="3"/>
      <x:c r="Q279" s="3"/>
      <x:c r="R279" s="3"/>
      <x:c r="S279" s="3"/>
      <x:c r="T279" s="3"/>
      <x:c r="U279" s="3"/>
      <x:c r="V279" s="3"/>
      <x:c r="W279" s="3"/>
      <x:c r="X279" s="3"/>
      <x:c r="Y279" s="3"/>
      <x:c r="Z279" s="3"/>
      <x:c r="AA279" s="3"/>
      <x:c r="AB279" s="3"/>
      <x:c r="AC279" s="3"/>
      <x:c r="AD279" s="3"/>
      <x:c r="AE279" s="3"/>
      <x:c r="AF279" s="3"/>
      <x:c r="AG279" s="3"/>
      <x:c r="AH279" s="3"/>
      <x:c r="AI279" s="3"/>
      <x:c r="AJ279" s="3"/>
      <x:c r="AK279" s="3"/>
      <x:c r="AL279" s="3"/>
      <x:c r="AM279" s="3"/>
      <x:c r="AN279" s="3"/>
      <x:c r="AO279" s="3"/>
      <x:c r="AP279" s="3"/>
      <x:c r="AQ279" s="3"/>
      <x:c r="AR279" s="3"/>
      <x:c r="AS279" s="3"/>
      <x:c r="AT279" s="3"/>
      <x:c r="AU279" s="3"/>
      <x:c r="AV279" s="3"/>
      <x:c r="AW279" s="3"/>
      <x:c r="AX279" s="3"/>
      <x:c r="AY279" s="3"/>
      <x:c r="AZ279" s="3" t="str">
        <x:f>IF(AND('中古車掲載'!C280="One2car",'中古車掲載'!F280="ATTO 3",'中古車掲載'!L280="EXTENDED RANGE",'中古車掲載'!J280=2023,ISNUMBER('中古車掲載'!N280),'中古車掲載'!N280&gt;=20000,'中古車掲載'!O280&lt;=100000,'中古車掲載'!AL280=1),'中古車掲載'!U280,"")</x:f>
      </x:c>
      <x:c r="BA279" s="3" t="str">
        <x:f>IF(AND('中古車掲載'!C280="One2car",'中古車掲載'!F280="Corolla Cross",'中古車掲載'!L280="HEV PREMIUM SAFETY",'中古車掲載'!J280=2023,ISNUMBER('中古車掲載'!N280),'中古車掲載'!N280&gt;=20000,'中古車掲載'!O280&lt;=100000,'中古車掲載'!AL280=1,'中古車掲載'!Z280="https://www.one2car.com/en/cars-for-sale/toyota/corolla-cross/year-2023"),'中古車掲載'!U280,"")</x:f>
      </x:c>
      <x:c r="BB279" s="3" t="str">
        <x:f>IF(AND('中古車掲載'!C280="One2car",'中古車掲載'!F280="ATTO 3",'中古車掲載'!L280="EXTENDED RANGE",'中古車掲載'!J280=2023,ISNUMBER('中古車掲載'!N280),'中古車掲載'!N280&gt;=50000,'中古車掲載'!O280&lt;=100000,'中古車掲載'!AL280=1),'中古車掲載'!U280,"")</x:f>
      </x:c>
      <x:c r="BC279" s="3" t="str">
        <x:f>IF(AND('中古車掲載'!C280="One2car",'中古車掲載'!F280="Corolla Cross",'中古車掲載'!L280="HEV PREMIUM SAFETY",'中古車掲載'!J280=2023,ISNUMBER('中古車掲載'!N280),'中古車掲載'!N280&gt;=50000,'中古車掲載'!O280&lt;=100000,'中古車掲載'!AL280=1,'中古車掲載'!Z280="https://www.one2car.com/en/cars-for-sale/toyota/corolla-cross/year-2023"),'中古車掲載'!U280,"")</x:f>
      </x:c>
      <x:c r="BD279" s="3" t="str">
        <x:f>IF(AND('中古車掲載'!C280="One2car",'中古車掲載'!F280="ATTO 3",'中古車掲載'!L280="EXTENDED RANGE",'中古車掲載'!J280=2023,ISNUMBER('中古車掲載'!N280),'中古車掲載'!N280&gt;=20000,'中古車掲載'!O280&lt;=50000,'中古車掲載'!AL280=1),'中古車掲載'!U280,"")</x:f>
      </x:c>
      <x:c r="BE279" s="3" t="str">
        <x:f>IF(AND('中古車掲載'!C280="One2car",'中古車掲載'!F280="Corolla Cross",'中古車掲載'!L280="HEV PREMIUM SAFETY",'中古車掲載'!J280=2023,ISNUMBER('中古車掲載'!N280),'中古車掲載'!N280&gt;=20000,'中古車掲載'!O280&lt;=50000,'中古車掲載'!AL280=1,'中古車掲載'!Z280="https://www.one2car.com/en/cars-for-sale/toyota/corolla-cross/year-2023"),'中古車掲載'!U280,"")</x:f>
      </x:c>
      <x:c r="BF279" s="3" t="str">
        <x:f>IF(AND('中古車掲載'!C280="One2car",'中古車掲載'!F280="Corolla Cross",'中古車掲載'!L280="HEV PREMIUM",'中古車掲載'!J280=2023,ISNUMBER('中古車掲載'!N280),'中古車掲載'!N280&gt;=20000,'中古車掲載'!O280&lt;=100000,'中古車掲載'!AL280=1,'中古車掲載'!Z280="https://www.one2car.com/en/cars-for-sale/toyota/corolla-cross/year-2023"),'中古車掲載'!U280,"")</x:f>
      </x:c>
      <x:c r="BG279" s="3" t="str">
        <x:f>IF(AND('中古車掲載'!C280="One2car",'中古車掲載'!F280="Corolla Cross",'中古車掲載'!L280="HEV GR SPORT",'中古車掲載'!J280=2023,ISNUMBER('中古車掲載'!N280),'中古車掲載'!N280&gt;=20000,'中古車掲載'!O280&lt;=100000,'中古車掲載'!AL280=1,'中古車掲載'!Z280="https://www.one2car.com/en/cars-for-sale/toyota/corolla-cross/year-2023"),'中古車掲載'!U280,"")</x:f>
      </x:c>
      <x:c r="BH279" s="3" t="str">
        <x:f>IF(AND('中古車掲載'!C280="One2car",'中古車掲載'!F280="DOLPHIN",'中古車掲載'!L280="STANDARD RANGE",'中古車掲載'!J280=2023,ISNUMBER('中古車掲載'!N280),'中古車掲載'!N280&gt;=20000,'中古車掲載'!O280&lt;=100000,'中古車掲載'!AL280=1),'中古車掲載'!U280,"")</x:f>
      </x:c>
      <x:c r="BI279" s="3" t="str">
        <x:v>Taladrod|Corolla Cross|HEV|Unknown</x:v>
      </x:c>
      <x:c r="BJ279" s="3" t="n">
        <x:v>280</x:v>
      </x:c>
      <x:c r="BK279" s="3" t="n">
        <x:f>'中古車掲載'!AM280</x:f>
        <x:v>629000</x:v>
      </x:c>
      <x:c r="BL279" s="3" t="str">
        <x:f>IF(ISNUMBER('中古車掲載'!AN280),'中古車掲載'!AN280,"")</x:f>
      </x:c>
      <x:c r="BM279" s="3"/>
      <x:c r="BN279" s="3"/>
      <x:c r="BO279" s="3"/>
      <x:c r="BP279" s="3"/>
      <x:c r="BQ279" s="3"/>
      <x:c r="BR279" s="3"/>
    </x:row>
    <x:row r="280" ht="30" customHeight="1">
      <x:c r="A280" s="16" t="str">
        <x:v>モデル</x:v>
      </x:c>
      <x:c r="B280" s="21" t="str">
        <x:v>動力</x:v>
      </x:c>
      <x:c r="C280" s="21" t="str">
        <x:v>サイト</x:v>
      </x:c>
      <x:c r="D280" s="21" t="str">
        <x:v>車体</x:v>
      </x:c>
      <x:c r="E280" s="21" t="str">
        <x:v>キャブ</x:v>
      </x:c>
      <x:c r="F280" s="21" t="str">
        <x:v>年式</x:v>
      </x:c>
      <x:c r="G280" s="21" t="str">
        <x:v>統一グレード</x:v>
      </x:c>
      <x:c r="H280" s="21" t="str">
        <x:v>走行距離帯</x:v>
      </x:c>
      <x:c r="I280" s="21" t="str">
        <x:v>世代</x:v>
      </x:c>
      <x:c r="J280" s="21" t="str">
        <x:v>N価格</x:v>
      </x:c>
      <x:c r="K280" s="21" t="str">
        <x:v>Q1 THB</x:v>
      </x:c>
      <x:c r="L280" s="21" t="str">
        <x:v>中央値THB</x:v>
      </x:c>
      <x:c r="M280" s="21" t="str">
        <x:v>Q3 THB</x:v>
      </x:c>
      <x:c r="N280" s="21" t="str">
        <x:v>N残価</x:v>
      </x:c>
      <x:c r="O280" s="17" t="str">
        <x:v>残価中央値</x:v>
      </x:c>
      <x:c r="P280" s="3"/>
      <x:c r="Q280" s="3"/>
      <x:c r="R280" s="3"/>
      <x:c r="S280" s="3"/>
      <x:c r="T280" s="3"/>
      <x:c r="U280" s="3"/>
      <x:c r="V280" s="3"/>
      <x:c r="W280" s="3"/>
      <x:c r="X280" s="3"/>
      <x:c r="Y280" s="3"/>
      <x:c r="Z280" s="3"/>
      <x:c r="AA280" s="3"/>
      <x:c r="AB280" s="3"/>
      <x:c r="AC280" s="3"/>
      <x:c r="AD280" s="3"/>
      <x:c r="AE280" s="3"/>
      <x:c r="AF280" s="3"/>
      <x:c r="AG280" s="3"/>
      <x:c r="AH280" s="3"/>
      <x:c r="AI280" s="3"/>
      <x:c r="AJ280" s="3"/>
      <x:c r="AK280" s="3"/>
      <x:c r="AL280" s="3"/>
      <x:c r="AM280" s="3"/>
      <x:c r="AN280" s="3"/>
      <x:c r="AO280" s="3"/>
      <x:c r="AP280" s="3"/>
      <x:c r="AQ280" s="3"/>
      <x:c r="AR280" s="3"/>
      <x:c r="AS280" s="3"/>
      <x:c r="AT280" s="3"/>
      <x:c r="AU280" s="3"/>
      <x:c r="AV280" s="3"/>
      <x:c r="AW280" s="3"/>
      <x:c r="AX280" s="3"/>
      <x:c r="AY280" s="3"/>
      <x:c r="AZ280" s="3" t="str">
        <x:f>IF(AND('中古車掲載'!C281="One2car",'中古車掲載'!F281="ATTO 3",'中古車掲載'!L281="EXTENDED RANGE",'中古車掲載'!J281=2023,ISNUMBER('中古車掲載'!N281),'中古車掲載'!N281&gt;=20000,'中古車掲載'!O281&lt;=100000,'中古車掲載'!AL281=1),'中古車掲載'!U281,"")</x:f>
      </x:c>
      <x:c r="BA280" s="3" t="str">
        <x:f>IF(AND('中古車掲載'!C281="One2car",'中古車掲載'!F281="Corolla Cross",'中古車掲載'!L281="HEV PREMIUM SAFETY",'中古車掲載'!J281=2023,ISNUMBER('中古車掲載'!N281),'中古車掲載'!N281&gt;=20000,'中古車掲載'!O281&lt;=100000,'中古車掲載'!AL281=1,'中古車掲載'!Z281="https://www.one2car.com/en/cars-for-sale/toyota/corolla-cross/year-2023"),'中古車掲載'!U281,"")</x:f>
      </x:c>
      <x:c r="BB280" s="3" t="str">
        <x:f>IF(AND('中古車掲載'!C281="One2car",'中古車掲載'!F281="ATTO 3",'中古車掲載'!L281="EXTENDED RANGE",'中古車掲載'!J281=2023,ISNUMBER('中古車掲載'!N281),'中古車掲載'!N281&gt;=50000,'中古車掲載'!O281&lt;=100000,'中古車掲載'!AL281=1),'中古車掲載'!U281,"")</x:f>
      </x:c>
      <x:c r="BC280" s="3" t="str">
        <x:f>IF(AND('中古車掲載'!C281="One2car",'中古車掲載'!F281="Corolla Cross",'中古車掲載'!L281="HEV PREMIUM SAFETY",'中古車掲載'!J281=2023,ISNUMBER('中古車掲載'!N281),'中古車掲載'!N281&gt;=50000,'中古車掲載'!O281&lt;=100000,'中古車掲載'!AL281=1,'中古車掲載'!Z281="https://www.one2car.com/en/cars-for-sale/toyota/corolla-cross/year-2023"),'中古車掲載'!U281,"")</x:f>
      </x:c>
      <x:c r="BD280" s="3" t="str">
        <x:f>IF(AND('中古車掲載'!C281="One2car",'中古車掲載'!F281="ATTO 3",'中古車掲載'!L281="EXTENDED RANGE",'中古車掲載'!J281=2023,ISNUMBER('中古車掲載'!N281),'中古車掲載'!N281&gt;=20000,'中古車掲載'!O281&lt;=50000,'中古車掲載'!AL281=1),'中古車掲載'!U281,"")</x:f>
      </x:c>
      <x:c r="BE280" s="3" t="str">
        <x:f>IF(AND('中古車掲載'!C281="One2car",'中古車掲載'!F281="Corolla Cross",'中古車掲載'!L281="HEV PREMIUM SAFETY",'中古車掲載'!J281=2023,ISNUMBER('中古車掲載'!N281),'中古車掲載'!N281&gt;=20000,'中古車掲載'!O281&lt;=50000,'中古車掲載'!AL281=1,'中古車掲載'!Z281="https://www.one2car.com/en/cars-for-sale/toyota/corolla-cross/year-2023"),'中古車掲載'!U281,"")</x:f>
      </x:c>
      <x:c r="BF280" s="3" t="str">
        <x:f>IF(AND('中古車掲載'!C281="One2car",'中古車掲載'!F281="Corolla Cross",'中古車掲載'!L281="HEV PREMIUM",'中古車掲載'!J281=2023,ISNUMBER('中古車掲載'!N281),'中古車掲載'!N281&gt;=20000,'中古車掲載'!O281&lt;=100000,'中古車掲載'!AL281=1,'中古車掲載'!Z281="https://www.one2car.com/en/cars-for-sale/toyota/corolla-cross/year-2023"),'中古車掲載'!U281,"")</x:f>
      </x:c>
      <x:c r="BG280" s="3" t="str">
        <x:f>IF(AND('中古車掲載'!C281="One2car",'中古車掲載'!F281="Corolla Cross",'中古車掲載'!L281="HEV GR SPORT",'中古車掲載'!J281=2023,ISNUMBER('中古車掲載'!N281),'中古車掲載'!N281&gt;=20000,'中古車掲載'!O281&lt;=100000,'中古車掲載'!AL281=1,'中古車掲載'!Z281="https://www.one2car.com/en/cars-for-sale/toyota/corolla-cross/year-2023"),'中古車掲載'!U281,"")</x:f>
      </x:c>
      <x:c r="BH280" s="3" t="str">
        <x:f>IF(AND('中古車掲載'!C281="One2car",'中古車掲載'!F281="DOLPHIN",'中古車掲載'!L281="STANDARD RANGE",'中古車掲載'!J281=2023,ISNUMBER('中古車掲載'!N281),'中古車掲載'!N281&gt;=20000,'中古車掲載'!O281&lt;=100000,'中古車掲載'!AL281=1),'中古車掲載'!U281,"")</x:f>
      </x:c>
      <x:c r="BI280" s="3" t="str">
        <x:v>Taladrod|Corolla Cross|HEV|Unknown</x:v>
      </x:c>
      <x:c r="BJ280" s="3" t="n">
        <x:v>281</x:v>
      </x:c>
      <x:c r="BK280" s="3" t="n">
        <x:f>'中古車掲載'!AM281</x:f>
        <x:v>599000</x:v>
      </x:c>
      <x:c r="BL280" s="3" t="str">
        <x:f>IF(ISNUMBER('中古車掲載'!AN281),'中古車掲載'!AN281,"")</x:f>
      </x:c>
      <x:c r="BM280" s="3"/>
      <x:c r="BN280" s="3"/>
      <x:c r="BO280" s="3"/>
      <x:c r="BP280" s="3"/>
      <x:c r="BQ280" s="3"/>
      <x:c r="BR280" s="3"/>
    </x:row>
    <x:row r="281" ht="22" customHeight="1">
      <x:c r="A281" s="3" t="str">
        <x:v>Corolla Cross</x:v>
      </x:c>
      <x:c r="B281" s="3" t="str">
        <x:v>HEV</x:v>
      </x:c>
      <x:c r="C281" s="3" t="str">
        <x:v>Carsome</x:v>
      </x:c>
      <x:c r="D281" s="3" t="str">
        <x:v>SUV</x:v>
      </x:c>
      <x:c r="E281" s="3" t="str"/>
      <x:c r="F281" s="3" t="n">
        <x:v>2021</x:v>
      </x:c>
      <x:c r="G281" s="3" t="str">
        <x:v>HEV PREMIUM SAFETY</x:v>
      </x:c>
      <x:c r="H281" s="3" t="str">
        <x:v>100–150千km</x:v>
      </x:c>
      <x:c r="I281" s="3" t="str">
        <x:v>世代不明</x:v>
      </x:c>
      <x:c r="J281" s="22" t="n">
        <x:f>COUNT('中古車掲載'!AM8:AM8)</x:f>
        <x:v>1</x:v>
      </x:c>
      <x:c r="K281" s="22" t="n">
        <x:f>IF(COUNT('中古車掲載'!AM8:AM8)=0,"",QUARTILE('中古車掲載'!AM8:AM8,1))</x:f>
        <x:v>669000</x:v>
      </x:c>
      <x:c r="L281" s="22" t="n">
        <x:f>IF(COUNT('中古車掲載'!AM8:AM8)=0,"",MEDIAN('中古車掲載'!AM8:AM8))</x:f>
        <x:v>669000</x:v>
      </x:c>
      <x:c r="M281" s="22" t="n">
        <x:f>IF(COUNT('中古車掲載'!AM8:AM8)=0,"",QUARTILE('中古車掲載'!AM8:AM8,3))</x:f>
        <x:v>669000</x:v>
      </x:c>
      <x:c r="N281" s="22" t="n">
        <x:f>COUNT('中古車掲載'!AN8:AN8)</x:f>
        <x:v>0</x:v>
      </x:c>
      <x:c r="O281" s="23" t="str">
        <x:f>IF(COUNT('中古車掲載'!AN8:AN8)=0,"",MEDIAN('中古車掲載'!AN8:AN8))</x:f>
      </x:c>
      <x:c r="P281" s="3"/>
      <x:c r="Q281" s="3"/>
      <x:c r="R281" s="3"/>
      <x:c r="S281" s="3"/>
      <x:c r="T281" s="3"/>
      <x:c r="U281" s="3"/>
      <x:c r="V281" s="3"/>
      <x:c r="W281" s="3"/>
      <x:c r="X281" s="3"/>
      <x:c r="Y281" s="3"/>
      <x:c r="Z281" s="3"/>
      <x:c r="AA281" s="3"/>
      <x:c r="AB281" s="3"/>
      <x:c r="AC281" s="3"/>
      <x:c r="AD281" s="3"/>
      <x:c r="AE281" s="3"/>
      <x:c r="AF281" s="3"/>
      <x:c r="AG281" s="3"/>
      <x:c r="AH281" s="3"/>
      <x:c r="AI281" s="3"/>
      <x:c r="AJ281" s="3"/>
      <x:c r="AK281" s="3"/>
      <x:c r="AL281" s="3"/>
      <x:c r="AM281" s="3"/>
      <x:c r="AN281" s="3"/>
      <x:c r="AO281" s="3"/>
      <x:c r="AP281" s="3"/>
      <x:c r="AQ281" s="3"/>
      <x:c r="AR281" s="3"/>
      <x:c r="AS281" s="3"/>
      <x:c r="AT281" s="3"/>
      <x:c r="AU281" s="3"/>
      <x:c r="AV281" s="3"/>
      <x:c r="AW281" s="3"/>
      <x:c r="AX281" s="3"/>
      <x:c r="AY281" s="3"/>
      <x:c r="AZ281" s="3" t="str">
        <x:f>IF(AND('中古車掲載'!C282="One2car",'中古車掲載'!F282="ATTO 3",'中古車掲載'!L282="EXTENDED RANGE",'中古車掲載'!J282=2023,ISNUMBER('中古車掲載'!N282),'中古車掲載'!N282&gt;=20000,'中古車掲載'!O282&lt;=100000,'中古車掲載'!AL282=1),'中古車掲載'!U282,"")</x:f>
      </x:c>
      <x:c r="BA281" s="3" t="str">
        <x:f>IF(AND('中古車掲載'!C282="One2car",'中古車掲載'!F282="Corolla Cross",'中古車掲載'!L282="HEV PREMIUM SAFETY",'中古車掲載'!J282=2023,ISNUMBER('中古車掲載'!N282),'中古車掲載'!N282&gt;=20000,'中古車掲載'!O282&lt;=100000,'中古車掲載'!AL282=1,'中古車掲載'!Z282="https://www.one2car.com/en/cars-for-sale/toyota/corolla-cross/year-2023"),'中古車掲載'!U282,"")</x:f>
      </x:c>
      <x:c r="BB281" s="3" t="str">
        <x:f>IF(AND('中古車掲載'!C282="One2car",'中古車掲載'!F282="ATTO 3",'中古車掲載'!L282="EXTENDED RANGE",'中古車掲載'!J282=2023,ISNUMBER('中古車掲載'!N282),'中古車掲載'!N282&gt;=50000,'中古車掲載'!O282&lt;=100000,'中古車掲載'!AL282=1),'中古車掲載'!U282,"")</x:f>
      </x:c>
      <x:c r="BC281" s="3" t="str">
        <x:f>IF(AND('中古車掲載'!C282="One2car",'中古車掲載'!F282="Corolla Cross",'中古車掲載'!L282="HEV PREMIUM SAFETY",'中古車掲載'!J282=2023,ISNUMBER('中古車掲載'!N282),'中古車掲載'!N282&gt;=50000,'中古車掲載'!O282&lt;=100000,'中古車掲載'!AL282=1,'中古車掲載'!Z282="https://www.one2car.com/en/cars-for-sale/toyota/corolla-cross/year-2023"),'中古車掲載'!U282,"")</x:f>
      </x:c>
      <x:c r="BD281" s="3" t="str">
        <x:f>IF(AND('中古車掲載'!C282="One2car",'中古車掲載'!F282="ATTO 3",'中古車掲載'!L282="EXTENDED RANGE",'中古車掲載'!J282=2023,ISNUMBER('中古車掲載'!N282),'中古車掲載'!N282&gt;=20000,'中古車掲載'!O282&lt;=50000,'中古車掲載'!AL282=1),'中古車掲載'!U282,"")</x:f>
      </x:c>
      <x:c r="BE281" s="3" t="str">
        <x:f>IF(AND('中古車掲載'!C282="One2car",'中古車掲載'!F282="Corolla Cross",'中古車掲載'!L282="HEV PREMIUM SAFETY",'中古車掲載'!J282=2023,ISNUMBER('中古車掲載'!N282),'中古車掲載'!N282&gt;=20000,'中古車掲載'!O282&lt;=50000,'中古車掲載'!AL282=1,'中古車掲載'!Z282="https://www.one2car.com/en/cars-for-sale/toyota/corolla-cross/year-2023"),'中古車掲載'!U282,"")</x:f>
      </x:c>
      <x:c r="BF281" s="3" t="str">
        <x:f>IF(AND('中古車掲載'!C282="One2car",'中古車掲載'!F282="Corolla Cross",'中古車掲載'!L282="HEV PREMIUM",'中古車掲載'!J282=2023,ISNUMBER('中古車掲載'!N282),'中古車掲載'!N282&gt;=20000,'中古車掲載'!O282&lt;=100000,'中古車掲載'!AL282=1,'中古車掲載'!Z282="https://www.one2car.com/en/cars-for-sale/toyota/corolla-cross/year-2023"),'中古車掲載'!U282,"")</x:f>
      </x:c>
      <x:c r="BG281" s="3" t="str">
        <x:f>IF(AND('中古車掲載'!C282="One2car",'中古車掲載'!F282="Corolla Cross",'中古車掲載'!L282="HEV GR SPORT",'中古車掲載'!J282=2023,ISNUMBER('中古車掲載'!N282),'中古車掲載'!N282&gt;=20000,'中古車掲載'!O282&lt;=100000,'中古車掲載'!AL282=1,'中古車掲載'!Z282="https://www.one2car.com/en/cars-for-sale/toyota/corolla-cross/year-2023"),'中古車掲載'!U282,"")</x:f>
      </x:c>
      <x:c r="BH281" s="3" t="str">
        <x:f>IF(AND('中古車掲載'!C282="One2car",'中古車掲載'!F282="DOLPHIN",'中古車掲載'!L282="STANDARD RANGE",'中古車掲載'!J282=2023,ISNUMBER('中古車掲載'!N282),'中古車掲載'!N282&gt;=20000,'中古車掲載'!O282&lt;=100000,'中古車掲載'!AL282=1),'中古車掲載'!U282,"")</x:f>
      </x:c>
      <x:c r="BI281" s="3" t="str">
        <x:v>Taladrod|Corolla Cross|HEV|Unknown</x:v>
      </x:c>
      <x:c r="BJ281" s="3" t="n">
        <x:v>282</x:v>
      </x:c>
      <x:c r="BK281" s="3" t="n">
        <x:f>'中古車掲載'!AM282</x:f>
        <x:v>689000</x:v>
      </x:c>
      <x:c r="BL281" s="3" t="str">
        <x:f>IF(ISNUMBER('中古車掲載'!AN282),'中古車掲載'!AN282,"")</x:f>
      </x:c>
      <x:c r="BM281" s="3"/>
      <x:c r="BN281" s="3"/>
      <x:c r="BO281" s="3"/>
      <x:c r="BP281" s="3"/>
      <x:c r="BQ281" s="3"/>
      <x:c r="BR281" s="3"/>
    </x:row>
    <x:row r="282" ht="22" customHeight="1">
      <x:c r="A282" s="3" t="str">
        <x:v>Corolla Cross</x:v>
      </x:c>
      <x:c r="B282" s="3" t="str">
        <x:v>HEV</x:v>
      </x:c>
      <x:c r="C282" s="3" t="str">
        <x:v>Carsome</x:v>
      </x:c>
      <x:c r="D282" s="3" t="str">
        <x:v>SUV</x:v>
      </x:c>
      <x:c r="E282" s="3" t="str"/>
      <x:c r="F282" s="3" t="n">
        <x:v>2021</x:v>
      </x:c>
      <x:c r="G282" s="3" t="str">
        <x:v>HEV PREMIUM SAFETY</x:v>
      </x:c>
      <x:c r="H282" s="3" t="str">
        <x:v>50–100千km</x:v>
      </x:c>
      <x:c r="I282" s="3" t="str">
        <x:v>世代不明</x:v>
      </x:c>
      <x:c r="J282" s="22" t="n">
        <x:f>COUNT('中古車掲載'!AM9:AM9)</x:f>
        <x:v>1</x:v>
      </x:c>
      <x:c r="K282" s="22" t="n">
        <x:f>IF(COUNT('中古車掲載'!AM9:AM9)=0,"",QUARTILE('中古車掲載'!AM9:AM9,1))</x:f>
        <x:v>755000</x:v>
      </x:c>
      <x:c r="L282" s="22" t="n">
        <x:f>IF(COUNT('中古車掲載'!AM9:AM9)=0,"",MEDIAN('中古車掲載'!AM9:AM9))</x:f>
        <x:v>755000</x:v>
      </x:c>
      <x:c r="M282" s="22" t="n">
        <x:f>IF(COUNT('中古車掲載'!AM9:AM9)=0,"",QUARTILE('中古車掲載'!AM9:AM9,3))</x:f>
        <x:v>755000</x:v>
      </x:c>
      <x:c r="N282" s="22" t="n">
        <x:f>COUNT('中古車掲載'!AN9:AN9)</x:f>
        <x:v>0</x:v>
      </x:c>
      <x:c r="O282" s="23" t="str">
        <x:f>IF(COUNT('中古車掲載'!AN9:AN9)=0,"",MEDIAN('中古車掲載'!AN9:AN9))</x:f>
      </x:c>
      <x:c r="P282" s="3"/>
      <x:c r="Q282" s="3"/>
      <x:c r="R282" s="3"/>
      <x:c r="S282" s="3"/>
      <x:c r="T282" s="3"/>
      <x:c r="U282" s="3"/>
      <x:c r="V282" s="3"/>
      <x:c r="W282" s="3"/>
      <x:c r="X282" s="3"/>
      <x:c r="Y282" s="3"/>
      <x:c r="Z282" s="3"/>
      <x:c r="AA282" s="3"/>
      <x:c r="AB282" s="3"/>
      <x:c r="AC282" s="3"/>
      <x:c r="AD282" s="3"/>
      <x:c r="AE282" s="3"/>
      <x:c r="AF282" s="3"/>
      <x:c r="AG282" s="3"/>
      <x:c r="AH282" s="3"/>
      <x:c r="AI282" s="3"/>
      <x:c r="AJ282" s="3"/>
      <x:c r="AK282" s="3"/>
      <x:c r="AL282" s="3"/>
      <x:c r="AM282" s="3"/>
      <x:c r="AN282" s="3"/>
      <x:c r="AO282" s="3"/>
      <x:c r="AP282" s="3"/>
      <x:c r="AQ282" s="3"/>
      <x:c r="AR282" s="3"/>
      <x:c r="AS282" s="3"/>
      <x:c r="AT282" s="3"/>
      <x:c r="AU282" s="3"/>
      <x:c r="AV282" s="3"/>
      <x:c r="AW282" s="3"/>
      <x:c r="AX282" s="3"/>
      <x:c r="AY282" s="3"/>
      <x:c r="AZ282" s="3" t="str">
        <x:f>IF(AND('中古車掲載'!C283="One2car",'中古車掲載'!F283="ATTO 3",'中古車掲載'!L283="EXTENDED RANGE",'中古車掲載'!J283=2023,ISNUMBER('中古車掲載'!N283),'中古車掲載'!N283&gt;=20000,'中古車掲載'!O283&lt;=100000,'中古車掲載'!AL283=1),'中古車掲載'!U283,"")</x:f>
      </x:c>
      <x:c r="BA282" s="3" t="str">
        <x:f>IF(AND('中古車掲載'!C283="One2car",'中古車掲載'!F283="Corolla Cross",'中古車掲載'!L283="HEV PREMIUM SAFETY",'中古車掲載'!J283=2023,ISNUMBER('中古車掲載'!N283),'中古車掲載'!N283&gt;=20000,'中古車掲載'!O283&lt;=100000,'中古車掲載'!AL283=1,'中古車掲載'!Z283="https://www.one2car.com/en/cars-for-sale/toyota/corolla-cross/year-2023"),'中古車掲載'!U283,"")</x:f>
      </x:c>
      <x:c r="BB282" s="3" t="str">
        <x:f>IF(AND('中古車掲載'!C283="One2car",'中古車掲載'!F283="ATTO 3",'中古車掲載'!L283="EXTENDED RANGE",'中古車掲載'!J283=2023,ISNUMBER('中古車掲載'!N283),'中古車掲載'!N283&gt;=50000,'中古車掲載'!O283&lt;=100000,'中古車掲載'!AL283=1),'中古車掲載'!U283,"")</x:f>
      </x:c>
      <x:c r="BC282" s="3" t="str">
        <x:f>IF(AND('中古車掲載'!C283="One2car",'中古車掲載'!F283="Corolla Cross",'中古車掲載'!L283="HEV PREMIUM SAFETY",'中古車掲載'!J283=2023,ISNUMBER('中古車掲載'!N283),'中古車掲載'!N283&gt;=50000,'中古車掲載'!O283&lt;=100000,'中古車掲載'!AL283=1,'中古車掲載'!Z283="https://www.one2car.com/en/cars-for-sale/toyota/corolla-cross/year-2023"),'中古車掲載'!U283,"")</x:f>
      </x:c>
      <x:c r="BD282" s="3" t="str">
        <x:f>IF(AND('中古車掲載'!C283="One2car",'中古車掲載'!F283="ATTO 3",'中古車掲載'!L283="EXTENDED RANGE",'中古車掲載'!J283=2023,ISNUMBER('中古車掲載'!N283),'中古車掲載'!N283&gt;=20000,'中古車掲載'!O283&lt;=50000,'中古車掲載'!AL283=1),'中古車掲載'!U283,"")</x:f>
      </x:c>
      <x:c r="BE282" s="3" t="str">
        <x:f>IF(AND('中古車掲載'!C283="One2car",'中古車掲載'!F283="Corolla Cross",'中古車掲載'!L283="HEV PREMIUM SAFETY",'中古車掲載'!J283=2023,ISNUMBER('中古車掲載'!N283),'中古車掲載'!N283&gt;=20000,'中古車掲載'!O283&lt;=50000,'中古車掲載'!AL283=1,'中古車掲載'!Z283="https://www.one2car.com/en/cars-for-sale/toyota/corolla-cross/year-2023"),'中古車掲載'!U283,"")</x:f>
      </x:c>
      <x:c r="BF282" s="3" t="str">
        <x:f>IF(AND('中古車掲載'!C283="One2car",'中古車掲載'!F283="Corolla Cross",'中古車掲載'!L283="HEV PREMIUM",'中古車掲載'!J283=2023,ISNUMBER('中古車掲載'!N283),'中古車掲載'!N283&gt;=20000,'中古車掲載'!O283&lt;=100000,'中古車掲載'!AL283=1,'中古車掲載'!Z283="https://www.one2car.com/en/cars-for-sale/toyota/corolla-cross/year-2023"),'中古車掲載'!U283,"")</x:f>
      </x:c>
      <x:c r="BG282" s="3" t="str">
        <x:f>IF(AND('中古車掲載'!C283="One2car",'中古車掲載'!F283="Corolla Cross",'中古車掲載'!L283="HEV GR SPORT",'中古車掲載'!J283=2023,ISNUMBER('中古車掲載'!N283),'中古車掲載'!N283&gt;=20000,'中古車掲載'!O283&lt;=100000,'中古車掲載'!AL283=1,'中古車掲載'!Z283="https://www.one2car.com/en/cars-for-sale/toyota/corolla-cross/year-2023"),'中古車掲載'!U283,"")</x:f>
      </x:c>
      <x:c r="BH282" s="3" t="str">
        <x:f>IF(AND('中古車掲載'!C283="One2car",'中古車掲載'!F283="DOLPHIN",'中古車掲載'!L283="STANDARD RANGE",'中古車掲載'!J283=2023,ISNUMBER('中古車掲載'!N283),'中古車掲載'!N283&gt;=20000,'中古車掲載'!O283&lt;=100000,'中古車掲載'!AL283=1),'中古車掲載'!U283,"")</x:f>
      </x:c>
      <x:c r="BI282" s="3" t="str">
        <x:v>Taladrod|Corolla Cross|HEV|Unknown</x:v>
      </x:c>
      <x:c r="BJ282" s="3" t="n">
        <x:v>283</x:v>
      </x:c>
      <x:c r="BK282" s="3" t="n">
        <x:f>'中古車掲載'!AM283</x:f>
        <x:v>619000</x:v>
      </x:c>
      <x:c r="BL282" s="3" t="str">
        <x:f>IF(ISNUMBER('中古車掲載'!AN283),'中古車掲載'!AN283,"")</x:f>
      </x:c>
      <x:c r="BM282" s="3"/>
      <x:c r="BN282" s="3"/>
      <x:c r="BO282" s="3"/>
      <x:c r="BP282" s="3"/>
      <x:c r="BQ282" s="3"/>
      <x:c r="BR282" s="3"/>
    </x:row>
    <x:row r="283" ht="22" customHeight="1">
      <x:c r="A283" s="3" t="str">
        <x:v>Corolla Cross</x:v>
      </x:c>
      <x:c r="B283" s="3" t="str">
        <x:v>HEV</x:v>
      </x:c>
      <x:c r="C283" s="3" t="str">
        <x:v>Carsome</x:v>
      </x:c>
      <x:c r="D283" s="3" t="str">
        <x:v>SUV</x:v>
      </x:c>
      <x:c r="E283" s="3" t="str"/>
      <x:c r="F283" s="3" t="n">
        <x:v>2021</x:v>
      </x:c>
      <x:c r="G283" s="3" t="str">
        <x:v>HEV SMART</x:v>
      </x:c>
      <x:c r="H283" s="3" t="str">
        <x:v>150千km以上</x:v>
      </x:c>
      <x:c r="I283" s="3" t="str">
        <x:v>世代不明</x:v>
      </x:c>
      <x:c r="J283" s="22" t="n">
        <x:f>COUNT('中古車掲載'!AM10:AM10)</x:f>
        <x:v>1</x:v>
      </x:c>
      <x:c r="K283" s="22" t="n">
        <x:f>IF(COUNT('中古車掲載'!AM10:AM10)=0,"",QUARTILE('中古車掲載'!AM10:AM10,1))</x:f>
        <x:v>695000</x:v>
      </x:c>
      <x:c r="L283" s="22" t="n">
        <x:f>IF(COUNT('中古車掲載'!AM10:AM10)=0,"",MEDIAN('中古車掲載'!AM10:AM10))</x:f>
        <x:v>695000</x:v>
      </x:c>
      <x:c r="M283" s="22" t="n">
        <x:f>IF(COUNT('中古車掲載'!AM10:AM10)=0,"",QUARTILE('中古車掲載'!AM10:AM10,3))</x:f>
        <x:v>695000</x:v>
      </x:c>
      <x:c r="N283" s="22" t="n">
        <x:f>COUNT('中古車掲載'!AN10:AN10)</x:f>
        <x:v>0</x:v>
      </x:c>
      <x:c r="O283" s="23" t="str">
        <x:f>IF(COUNT('中古車掲載'!AN10:AN10)=0,"",MEDIAN('中古車掲載'!AN10:AN10))</x:f>
      </x:c>
      <x:c r="P283" s="3"/>
      <x:c r="Q283" s="3"/>
      <x:c r="R283" s="3"/>
      <x:c r="S283" s="3"/>
      <x:c r="T283" s="3"/>
      <x:c r="U283" s="3"/>
      <x:c r="V283" s="3"/>
      <x:c r="W283" s="3"/>
      <x:c r="X283" s="3"/>
      <x:c r="Y283" s="3"/>
      <x:c r="Z283" s="3"/>
      <x:c r="AA283" s="3"/>
      <x:c r="AB283" s="3"/>
      <x:c r="AC283" s="3"/>
      <x:c r="AD283" s="3"/>
      <x:c r="AE283" s="3"/>
      <x:c r="AF283" s="3"/>
      <x:c r="AG283" s="3"/>
      <x:c r="AH283" s="3"/>
      <x:c r="AI283" s="3"/>
      <x:c r="AJ283" s="3"/>
      <x:c r="AK283" s="3"/>
      <x:c r="AL283" s="3"/>
      <x:c r="AM283" s="3"/>
      <x:c r="AN283" s="3"/>
      <x:c r="AO283" s="3"/>
      <x:c r="AP283" s="3"/>
      <x:c r="AQ283" s="3"/>
      <x:c r="AR283" s="3"/>
      <x:c r="AS283" s="3"/>
      <x:c r="AT283" s="3"/>
      <x:c r="AU283" s="3"/>
      <x:c r="AV283" s="3"/>
      <x:c r="AW283" s="3"/>
      <x:c r="AX283" s="3"/>
      <x:c r="AY283" s="3"/>
      <x:c r="AZ283" s="3" t="str">
        <x:f>IF(AND('中古車掲載'!C284="One2car",'中古車掲載'!F284="ATTO 3",'中古車掲載'!L284="EXTENDED RANGE",'中古車掲載'!J284=2023,ISNUMBER('中古車掲載'!N284),'中古車掲載'!N284&gt;=20000,'中古車掲載'!O284&lt;=100000,'中古車掲載'!AL284=1),'中古車掲載'!U284,"")</x:f>
      </x:c>
      <x:c r="BA283" s="3" t="str">
        <x:f>IF(AND('中古車掲載'!C284="One2car",'中古車掲載'!F284="Corolla Cross",'中古車掲載'!L284="HEV PREMIUM SAFETY",'中古車掲載'!J284=2023,ISNUMBER('中古車掲載'!N284),'中古車掲載'!N284&gt;=20000,'中古車掲載'!O284&lt;=100000,'中古車掲載'!AL284=1,'中古車掲載'!Z284="https://www.one2car.com/en/cars-for-sale/toyota/corolla-cross/year-2023"),'中古車掲載'!U284,"")</x:f>
      </x:c>
      <x:c r="BB283" s="3" t="str">
        <x:f>IF(AND('中古車掲載'!C284="One2car",'中古車掲載'!F284="ATTO 3",'中古車掲載'!L284="EXTENDED RANGE",'中古車掲載'!J284=2023,ISNUMBER('中古車掲載'!N284),'中古車掲載'!N284&gt;=50000,'中古車掲載'!O284&lt;=100000,'中古車掲載'!AL284=1),'中古車掲載'!U284,"")</x:f>
      </x:c>
      <x:c r="BC283" s="3" t="str">
        <x:f>IF(AND('中古車掲載'!C284="One2car",'中古車掲載'!F284="Corolla Cross",'中古車掲載'!L284="HEV PREMIUM SAFETY",'中古車掲載'!J284=2023,ISNUMBER('中古車掲載'!N284),'中古車掲載'!N284&gt;=50000,'中古車掲載'!O284&lt;=100000,'中古車掲載'!AL284=1,'中古車掲載'!Z284="https://www.one2car.com/en/cars-for-sale/toyota/corolla-cross/year-2023"),'中古車掲載'!U284,"")</x:f>
      </x:c>
      <x:c r="BD283" s="3" t="str">
        <x:f>IF(AND('中古車掲載'!C284="One2car",'中古車掲載'!F284="ATTO 3",'中古車掲載'!L284="EXTENDED RANGE",'中古車掲載'!J284=2023,ISNUMBER('中古車掲載'!N284),'中古車掲載'!N284&gt;=20000,'中古車掲載'!O284&lt;=50000,'中古車掲載'!AL284=1),'中古車掲載'!U284,"")</x:f>
      </x:c>
      <x:c r="BE283" s="3" t="str">
        <x:f>IF(AND('中古車掲載'!C284="One2car",'中古車掲載'!F284="Corolla Cross",'中古車掲載'!L284="HEV PREMIUM SAFETY",'中古車掲載'!J284=2023,ISNUMBER('中古車掲載'!N284),'中古車掲載'!N284&gt;=20000,'中古車掲載'!O284&lt;=50000,'中古車掲載'!AL284=1,'中古車掲載'!Z284="https://www.one2car.com/en/cars-for-sale/toyota/corolla-cross/year-2023"),'中古車掲載'!U284,"")</x:f>
      </x:c>
      <x:c r="BF283" s="3" t="str">
        <x:f>IF(AND('中古車掲載'!C284="One2car",'中古車掲載'!F284="Corolla Cross",'中古車掲載'!L284="HEV PREMIUM",'中古車掲載'!J284=2023,ISNUMBER('中古車掲載'!N284),'中古車掲載'!N284&gt;=20000,'中古車掲載'!O284&lt;=100000,'中古車掲載'!AL284=1,'中古車掲載'!Z284="https://www.one2car.com/en/cars-for-sale/toyota/corolla-cross/year-2023"),'中古車掲載'!U284,"")</x:f>
      </x:c>
      <x:c r="BG283" s="3" t="str">
        <x:f>IF(AND('中古車掲載'!C284="One2car",'中古車掲載'!F284="Corolla Cross",'中古車掲載'!L284="HEV GR SPORT",'中古車掲載'!J284=2023,ISNUMBER('中古車掲載'!N284),'中古車掲載'!N284&gt;=20000,'中古車掲載'!O284&lt;=100000,'中古車掲載'!AL284=1,'中古車掲載'!Z284="https://www.one2car.com/en/cars-for-sale/toyota/corolla-cross/year-2023"),'中古車掲載'!U284,"")</x:f>
      </x:c>
      <x:c r="BH283" s="3" t="str">
        <x:f>IF(AND('中古車掲載'!C284="One2car",'中古車掲載'!F284="DOLPHIN",'中古車掲載'!L284="STANDARD RANGE",'中古車掲載'!J284=2023,ISNUMBER('中古車掲載'!N284),'中古車掲載'!N284&gt;=20000,'中古車掲載'!O284&lt;=100000,'中古車掲載'!AL284=1),'中古車掲載'!U284,"")</x:f>
      </x:c>
      <x:c r="BI283" s="3" t="str">
        <x:v>Taladrod|Corolla Cross|HEV|Unknown</x:v>
      </x:c>
      <x:c r="BJ283" s="3" t="n">
        <x:v>284</x:v>
      </x:c>
      <x:c r="BK283" s="3" t="n">
        <x:f>'中古車掲載'!AM284</x:f>
        <x:v>589000</x:v>
      </x:c>
      <x:c r="BL283" s="3" t="str">
        <x:f>IF(ISNUMBER('中古車掲載'!AN284),'中古車掲載'!AN284,"")</x:f>
      </x:c>
      <x:c r="BM283" s="3"/>
      <x:c r="BN283" s="3"/>
      <x:c r="BO283" s="3"/>
      <x:c r="BP283" s="3"/>
      <x:c r="BQ283" s="3"/>
      <x:c r="BR283" s="3"/>
    </x:row>
    <x:row r="284" ht="22" customHeight="1">
      <x:c r="A284" s="3" t="str">
        <x:v>Corolla Cross</x:v>
      </x:c>
      <x:c r="B284" s="3" t="str">
        <x:v>HEV</x:v>
      </x:c>
      <x:c r="C284" s="3" t="str">
        <x:v>Carsome</x:v>
      </x:c>
      <x:c r="D284" s="3" t="str">
        <x:v>SUV</x:v>
      </x:c>
      <x:c r="E284" s="3" t="str"/>
      <x:c r="F284" s="3" t="n">
        <x:v>2022</x:v>
      </x:c>
      <x:c r="G284" s="3" t="str">
        <x:v>HEV PREMIUM SAFETY</x:v>
      </x:c>
      <x:c r="H284" s="3" t="str">
        <x:v>50–100千km</x:v>
      </x:c>
      <x:c r="I284" s="3" t="str">
        <x:v>世代不明</x:v>
      </x:c>
      <x:c r="J284" s="22" t="n">
        <x:f>COUNT('中古車掲載'!AM11:AM11)</x:f>
        <x:v>1</x:v>
      </x:c>
      <x:c r="K284" s="22" t="n">
        <x:f>IF(COUNT('中古車掲載'!AM11:AM11)=0,"",QUARTILE('中古車掲載'!AM11:AM11,1))</x:f>
        <x:v>859000</x:v>
      </x:c>
      <x:c r="L284" s="22" t="n">
        <x:f>IF(COUNT('中古車掲載'!AM11:AM11)=0,"",MEDIAN('中古車掲載'!AM11:AM11))</x:f>
        <x:v>859000</x:v>
      </x:c>
      <x:c r="M284" s="22" t="n">
        <x:f>IF(COUNT('中古車掲載'!AM11:AM11)=0,"",QUARTILE('中古車掲載'!AM11:AM11,3))</x:f>
        <x:v>859000</x:v>
      </x:c>
      <x:c r="N284" s="22" t="n">
        <x:f>COUNT('中古車掲載'!AN11:AN11)</x:f>
        <x:v>0</x:v>
      </x:c>
      <x:c r="O284" s="23" t="str">
        <x:f>IF(COUNT('中古車掲載'!AN11:AN11)=0,"",MEDIAN('中古車掲載'!AN11:AN11))</x:f>
      </x:c>
      <x:c r="P284" s="3"/>
      <x:c r="Q284" s="3"/>
      <x:c r="R284" s="3"/>
      <x:c r="S284" s="3"/>
      <x:c r="T284" s="3"/>
      <x:c r="U284" s="3"/>
      <x:c r="V284" s="3"/>
      <x:c r="W284" s="3"/>
      <x:c r="X284" s="3"/>
      <x:c r="Y284" s="3"/>
      <x:c r="Z284" s="3"/>
      <x:c r="AA284" s="3"/>
      <x:c r="AB284" s="3"/>
      <x:c r="AC284" s="3"/>
      <x:c r="AD284" s="3"/>
      <x:c r="AE284" s="3"/>
      <x:c r="AF284" s="3"/>
      <x:c r="AG284" s="3"/>
      <x:c r="AH284" s="3"/>
      <x:c r="AI284" s="3"/>
      <x:c r="AJ284" s="3"/>
      <x:c r="AK284" s="3"/>
      <x:c r="AL284" s="3"/>
      <x:c r="AM284" s="3"/>
      <x:c r="AN284" s="3"/>
      <x:c r="AO284" s="3"/>
      <x:c r="AP284" s="3"/>
      <x:c r="AQ284" s="3"/>
      <x:c r="AR284" s="3"/>
      <x:c r="AS284" s="3"/>
      <x:c r="AT284" s="3"/>
      <x:c r="AU284" s="3"/>
      <x:c r="AV284" s="3"/>
      <x:c r="AW284" s="3"/>
      <x:c r="AX284" s="3"/>
      <x:c r="AY284" s="3"/>
      <x:c r="AZ284" s="3" t="str">
        <x:f>IF(AND('中古車掲載'!C285="One2car",'中古車掲載'!F285="ATTO 3",'中古車掲載'!L285="EXTENDED RANGE",'中古車掲載'!J285=2023,ISNUMBER('中古車掲載'!N285),'中古車掲載'!N285&gt;=20000,'中古車掲載'!O285&lt;=100000,'中古車掲載'!AL285=1),'中古車掲載'!U285,"")</x:f>
      </x:c>
      <x:c r="BA284" s="3" t="str">
        <x:f>IF(AND('中古車掲載'!C285="One2car",'中古車掲載'!F285="Corolla Cross",'中古車掲載'!L285="HEV PREMIUM SAFETY",'中古車掲載'!J285=2023,ISNUMBER('中古車掲載'!N285),'中古車掲載'!N285&gt;=20000,'中古車掲載'!O285&lt;=100000,'中古車掲載'!AL285=1,'中古車掲載'!Z285="https://www.one2car.com/en/cars-for-sale/toyota/corolla-cross/year-2023"),'中古車掲載'!U285,"")</x:f>
      </x:c>
      <x:c r="BB284" s="3" t="str">
        <x:f>IF(AND('中古車掲載'!C285="One2car",'中古車掲載'!F285="ATTO 3",'中古車掲載'!L285="EXTENDED RANGE",'中古車掲載'!J285=2023,ISNUMBER('中古車掲載'!N285),'中古車掲載'!N285&gt;=50000,'中古車掲載'!O285&lt;=100000,'中古車掲載'!AL285=1),'中古車掲載'!U285,"")</x:f>
      </x:c>
      <x:c r="BC284" s="3" t="str">
        <x:f>IF(AND('中古車掲載'!C285="One2car",'中古車掲載'!F285="Corolla Cross",'中古車掲載'!L285="HEV PREMIUM SAFETY",'中古車掲載'!J285=2023,ISNUMBER('中古車掲載'!N285),'中古車掲載'!N285&gt;=50000,'中古車掲載'!O285&lt;=100000,'中古車掲載'!AL285=1,'中古車掲載'!Z285="https://www.one2car.com/en/cars-for-sale/toyota/corolla-cross/year-2023"),'中古車掲載'!U285,"")</x:f>
      </x:c>
      <x:c r="BD284" s="3" t="str">
        <x:f>IF(AND('中古車掲載'!C285="One2car",'中古車掲載'!F285="ATTO 3",'中古車掲載'!L285="EXTENDED RANGE",'中古車掲載'!J285=2023,ISNUMBER('中古車掲載'!N285),'中古車掲載'!N285&gt;=20000,'中古車掲載'!O285&lt;=50000,'中古車掲載'!AL285=1),'中古車掲載'!U285,"")</x:f>
      </x:c>
      <x:c r="BE284" s="3" t="str">
        <x:f>IF(AND('中古車掲載'!C285="One2car",'中古車掲載'!F285="Corolla Cross",'中古車掲載'!L285="HEV PREMIUM SAFETY",'中古車掲載'!J285=2023,ISNUMBER('中古車掲載'!N285),'中古車掲載'!N285&gt;=20000,'中古車掲載'!O285&lt;=50000,'中古車掲載'!AL285=1,'中古車掲載'!Z285="https://www.one2car.com/en/cars-for-sale/toyota/corolla-cross/year-2023"),'中古車掲載'!U285,"")</x:f>
      </x:c>
      <x:c r="BF284" s="3" t="str">
        <x:f>IF(AND('中古車掲載'!C285="One2car",'中古車掲載'!F285="Corolla Cross",'中古車掲載'!L285="HEV PREMIUM",'中古車掲載'!J285=2023,ISNUMBER('中古車掲載'!N285),'中古車掲載'!N285&gt;=20000,'中古車掲載'!O285&lt;=100000,'中古車掲載'!AL285=1,'中古車掲載'!Z285="https://www.one2car.com/en/cars-for-sale/toyota/corolla-cross/year-2023"),'中古車掲載'!U285,"")</x:f>
      </x:c>
      <x:c r="BG284" s="3" t="str">
        <x:f>IF(AND('中古車掲載'!C285="One2car",'中古車掲載'!F285="Corolla Cross",'中古車掲載'!L285="HEV GR SPORT",'中古車掲載'!J285=2023,ISNUMBER('中古車掲載'!N285),'中古車掲載'!N285&gt;=20000,'中古車掲載'!O285&lt;=100000,'中古車掲載'!AL285=1,'中古車掲載'!Z285="https://www.one2car.com/en/cars-for-sale/toyota/corolla-cross/year-2023"),'中古車掲載'!U285,"")</x:f>
      </x:c>
      <x:c r="BH284" s="3" t="str">
        <x:f>IF(AND('中古車掲載'!C285="One2car",'中古車掲載'!F285="DOLPHIN",'中古車掲載'!L285="STANDARD RANGE",'中古車掲載'!J285=2023,ISNUMBER('中古車掲載'!N285),'中古車掲載'!N285&gt;=20000,'中古車掲載'!O285&lt;=100000,'中古車掲載'!AL285=1),'中古車掲載'!U285,"")</x:f>
      </x:c>
      <x:c r="BI284" s="3" t="str">
        <x:v>Taladrod|Corolla Cross|HEV|Unknown</x:v>
      </x:c>
      <x:c r="BJ284" s="3" t="n">
        <x:v>285</x:v>
      </x:c>
      <x:c r="BK284" s="3" t="n">
        <x:f>'中古車掲載'!AM285</x:f>
        <x:v>619000</x:v>
      </x:c>
      <x:c r="BL284" s="3" t="str">
        <x:f>IF(ISNUMBER('中古車掲載'!AN285),'中古車掲載'!AN285,"")</x:f>
      </x:c>
      <x:c r="BM284" s="3"/>
      <x:c r="BN284" s="3"/>
      <x:c r="BO284" s="3"/>
      <x:c r="BP284" s="3"/>
      <x:c r="BQ284" s="3"/>
      <x:c r="BR284" s="3"/>
    </x:row>
    <x:row r="285" ht="22" customHeight="1">
      <x:c r="A285" s="3" t="str">
        <x:v>ATTO 3</x:v>
      </x:c>
      <x:c r="B285" s="3" t="str">
        <x:v>BEV</x:v>
      </x:c>
      <x:c r="C285" s="3" t="str">
        <x:v>One2car</x:v>
      </x:c>
      <x:c r="D285" s="3" t="str">
        <x:v>SUV</x:v>
      </x:c>
      <x:c r="E285" s="3" t="str"/>
      <x:c r="F285" s="3" t="n">
        <x:v>2022</x:v>
      </x:c>
      <x:c r="G285" s="3" t="str">
        <x:v>STANDARD RANGE</x:v>
      </x:c>
      <x:c r="H285" s="3" t="str">
        <x:v>50–100千km</x:v>
      </x:c>
      <x:c r="I285" s="3" t="str">
        <x:v>世代不明</x:v>
      </x:c>
      <x:c r="J285" s="22" t="n">
        <x:f>COUNT('中古車掲載'!AM12:AM12)</x:f>
        <x:v>1</x:v>
      </x:c>
      <x:c r="K285" s="22" t="n">
        <x:f>IF(COUNT('中古車掲載'!AM12:AM12)=0,"",QUARTILE('中古車掲載'!AM12:AM12,1))</x:f>
        <x:v>519000</x:v>
      </x:c>
      <x:c r="L285" s="22" t="n">
        <x:f>IF(COUNT('中古車掲載'!AM12:AM12)=0,"",MEDIAN('中古車掲載'!AM12:AM12))</x:f>
        <x:v>519000</x:v>
      </x:c>
      <x:c r="M285" s="22" t="n">
        <x:f>IF(COUNT('中古車掲載'!AM12:AM12)=0,"",QUARTILE('中古車掲載'!AM12:AM12,3))</x:f>
        <x:v>519000</x:v>
      </x:c>
      <x:c r="N285" s="22" t="n">
        <x:f>COUNT('中古車掲載'!AN12:AN12)</x:f>
        <x:v>1</x:v>
      </x:c>
      <x:c r="O285" s="23" t="n">
        <x:f>IF(COUNT('中古車掲載'!AN12:AN12)=0,"",MEDIAN('中古車掲載'!AN12:AN12))</x:f>
        <x:v>0.47186107827984364</x:v>
      </x:c>
      <x:c r="P285" s="3"/>
      <x:c r="Q285" s="3"/>
      <x:c r="R285" s="3"/>
      <x:c r="S285" s="3"/>
      <x:c r="T285" s="3"/>
      <x:c r="U285" s="3"/>
      <x:c r="V285" s="3"/>
      <x:c r="W285" s="3"/>
      <x:c r="X285" s="3"/>
      <x:c r="Y285" s="3"/>
      <x:c r="Z285" s="3"/>
      <x:c r="AA285" s="3"/>
      <x:c r="AB285" s="3"/>
      <x:c r="AC285" s="3"/>
      <x:c r="AD285" s="3"/>
      <x:c r="AE285" s="3"/>
      <x:c r="AF285" s="3"/>
      <x:c r="AG285" s="3"/>
      <x:c r="AH285" s="3"/>
      <x:c r="AI285" s="3"/>
      <x:c r="AJ285" s="3"/>
      <x:c r="AK285" s="3"/>
      <x:c r="AL285" s="3"/>
      <x:c r="AM285" s="3"/>
      <x:c r="AN285" s="3"/>
      <x:c r="AO285" s="3"/>
      <x:c r="AP285" s="3"/>
      <x:c r="AQ285" s="3"/>
      <x:c r="AR285" s="3"/>
      <x:c r="AS285" s="3"/>
      <x:c r="AT285" s="3"/>
      <x:c r="AU285" s="3"/>
      <x:c r="AV285" s="3"/>
      <x:c r="AW285" s="3"/>
      <x:c r="AX285" s="3"/>
      <x:c r="AY285" s="3"/>
      <x:c r="AZ285" s="3" t="str">
        <x:f>IF(AND('中古車掲載'!C286="One2car",'中古車掲載'!F286="ATTO 3",'中古車掲載'!L286="EXTENDED RANGE",'中古車掲載'!J286=2023,ISNUMBER('中古車掲載'!N286),'中古車掲載'!N286&gt;=20000,'中古車掲載'!O286&lt;=100000,'中古車掲載'!AL286=1),'中古車掲載'!U286,"")</x:f>
      </x:c>
      <x:c r="BA285" s="3" t="str">
        <x:f>IF(AND('中古車掲載'!C286="One2car",'中古車掲載'!F286="Corolla Cross",'中古車掲載'!L286="HEV PREMIUM SAFETY",'中古車掲載'!J286=2023,ISNUMBER('中古車掲載'!N286),'中古車掲載'!N286&gt;=20000,'中古車掲載'!O286&lt;=100000,'中古車掲載'!AL286=1,'中古車掲載'!Z286="https://www.one2car.com/en/cars-for-sale/toyota/corolla-cross/year-2023"),'中古車掲載'!U286,"")</x:f>
      </x:c>
      <x:c r="BB285" s="3" t="str">
        <x:f>IF(AND('中古車掲載'!C286="One2car",'中古車掲載'!F286="ATTO 3",'中古車掲載'!L286="EXTENDED RANGE",'中古車掲載'!J286=2023,ISNUMBER('中古車掲載'!N286),'中古車掲載'!N286&gt;=50000,'中古車掲載'!O286&lt;=100000,'中古車掲載'!AL286=1),'中古車掲載'!U286,"")</x:f>
      </x:c>
      <x:c r="BC285" s="3" t="str">
        <x:f>IF(AND('中古車掲載'!C286="One2car",'中古車掲載'!F286="Corolla Cross",'中古車掲載'!L286="HEV PREMIUM SAFETY",'中古車掲載'!J286=2023,ISNUMBER('中古車掲載'!N286),'中古車掲載'!N286&gt;=50000,'中古車掲載'!O286&lt;=100000,'中古車掲載'!AL286=1,'中古車掲載'!Z286="https://www.one2car.com/en/cars-for-sale/toyota/corolla-cross/year-2023"),'中古車掲載'!U286,"")</x:f>
      </x:c>
      <x:c r="BD285" s="3" t="str">
        <x:f>IF(AND('中古車掲載'!C286="One2car",'中古車掲載'!F286="ATTO 3",'中古車掲載'!L286="EXTENDED RANGE",'中古車掲載'!J286=2023,ISNUMBER('中古車掲載'!N286),'中古車掲載'!N286&gt;=20000,'中古車掲載'!O286&lt;=50000,'中古車掲載'!AL286=1),'中古車掲載'!U286,"")</x:f>
      </x:c>
      <x:c r="BE285" s="3" t="str">
        <x:f>IF(AND('中古車掲載'!C286="One2car",'中古車掲載'!F286="Corolla Cross",'中古車掲載'!L286="HEV PREMIUM SAFETY",'中古車掲載'!J286=2023,ISNUMBER('中古車掲載'!N286),'中古車掲載'!N286&gt;=20000,'中古車掲載'!O286&lt;=50000,'中古車掲載'!AL286=1,'中古車掲載'!Z286="https://www.one2car.com/en/cars-for-sale/toyota/corolla-cross/year-2023"),'中古車掲載'!U286,"")</x:f>
      </x:c>
      <x:c r="BF285" s="3" t="str">
        <x:f>IF(AND('中古車掲載'!C286="One2car",'中古車掲載'!F286="Corolla Cross",'中古車掲載'!L286="HEV PREMIUM",'中古車掲載'!J286=2023,ISNUMBER('中古車掲載'!N286),'中古車掲載'!N286&gt;=20000,'中古車掲載'!O286&lt;=100000,'中古車掲載'!AL286=1,'中古車掲載'!Z286="https://www.one2car.com/en/cars-for-sale/toyota/corolla-cross/year-2023"),'中古車掲載'!U286,"")</x:f>
      </x:c>
      <x:c r="BG285" s="3" t="str">
        <x:f>IF(AND('中古車掲載'!C286="One2car",'中古車掲載'!F286="Corolla Cross",'中古車掲載'!L286="HEV GR SPORT",'中古車掲載'!J286=2023,ISNUMBER('中古車掲載'!N286),'中古車掲載'!N286&gt;=20000,'中古車掲載'!O286&lt;=100000,'中古車掲載'!AL286=1,'中古車掲載'!Z286="https://www.one2car.com/en/cars-for-sale/toyota/corolla-cross/year-2023"),'中古車掲載'!U286,"")</x:f>
      </x:c>
      <x:c r="BH285" s="3" t="str">
        <x:f>IF(AND('中古車掲載'!C286="One2car",'中古車掲載'!F286="DOLPHIN",'中古車掲載'!L286="STANDARD RANGE",'中古車掲載'!J286=2023,ISNUMBER('中古車掲載'!N286),'中古車掲載'!N286&gt;=20000,'中古車掲載'!O286&lt;=100000,'中古車掲載'!AL286=1),'中古車掲載'!U286,"")</x:f>
      </x:c>
      <x:c r="BI285" s="3" t="str">
        <x:v>Taladrod|Corolla Cross|HEV|Unknown</x:v>
      </x:c>
      <x:c r="BJ285" s="3" t="n">
        <x:v>286</x:v>
      </x:c>
      <x:c r="BK285" s="3" t="n">
        <x:f>'中古車掲載'!AM286</x:f>
        <x:v>618000</x:v>
      </x:c>
      <x:c r="BL285" s="3" t="str">
        <x:f>IF(ISNUMBER('中古車掲載'!AN286),'中古車掲載'!AN286,"")</x:f>
      </x:c>
      <x:c r="BM285" s="3"/>
      <x:c r="BN285" s="3"/>
      <x:c r="BO285" s="3"/>
      <x:c r="BP285" s="3"/>
      <x:c r="BQ285" s="3"/>
      <x:c r="BR285" s="3"/>
    </x:row>
    <x:row r="286" ht="22" customHeight="1">
      <x:c r="A286" s="3" t="str">
        <x:v>ATTO 3</x:v>
      </x:c>
      <x:c r="B286" s="3" t="str">
        <x:v>BEV</x:v>
      </x:c>
      <x:c r="C286" s="3" t="str">
        <x:v>One2car</x:v>
      </x:c>
      <x:c r="D286" s="3" t="str">
        <x:v>SUV</x:v>
      </x:c>
      <x:c r="E286" s="3" t="str"/>
      <x:c r="F286" s="3" t="n">
        <x:v>2023</x:v>
      </x:c>
      <x:c r="G286" s="3" t="str">
        <x:v>EXTENDED RANGE</x:v>
      </x:c>
      <x:c r="H286" s="3" t="str">
        <x:v>100–150千km</x:v>
      </x:c>
      <x:c r="I286" s="3" t="str">
        <x:v>世代不明</x:v>
      </x:c>
      <x:c r="J286" s="22" t="n">
        <x:f>COUNT('中古車掲載'!AM13:AM13)</x:f>
        <x:v>1</x:v>
      </x:c>
      <x:c r="K286" s="22" t="n">
        <x:f>IF(COUNT('中古車掲載'!AM13:AM13)=0,"",QUARTILE('中古車掲載'!AM13:AM13,1))</x:f>
        <x:v>437000</x:v>
      </x:c>
      <x:c r="L286" s="22" t="n">
        <x:f>IF(COUNT('中古車掲載'!AM13:AM13)=0,"",MEDIAN('中古車掲載'!AM13:AM13))</x:f>
        <x:v>437000</x:v>
      </x:c>
      <x:c r="M286" s="22" t="n">
        <x:f>IF(COUNT('中古車掲載'!AM13:AM13)=0,"",QUARTILE('中古車掲載'!AM13:AM13,3))</x:f>
        <x:v>437000</x:v>
      </x:c>
      <x:c r="N286" s="22" t="n">
        <x:f>COUNT('中古車掲載'!AN13:AN13)</x:f>
        <x:v>1</x:v>
      </x:c>
      <x:c r="O286" s="23" t="n">
        <x:f>IF(COUNT('中古車掲載'!AN13:AN13)=0,"",MEDIAN('中古車掲載'!AN13:AN13))</x:f>
        <x:v>0.3641970164180348</x:v>
      </x:c>
      <x:c r="P286" s="3"/>
      <x:c r="Q286" s="3"/>
      <x:c r="R286" s="3"/>
      <x:c r="S286" s="3"/>
      <x:c r="T286" s="3"/>
      <x:c r="U286" s="3"/>
      <x:c r="V286" s="3"/>
      <x:c r="W286" s="3"/>
      <x:c r="X286" s="3"/>
      <x:c r="Y286" s="3"/>
      <x:c r="Z286" s="3"/>
      <x:c r="AA286" s="3"/>
      <x:c r="AB286" s="3"/>
      <x:c r="AC286" s="3"/>
      <x:c r="AD286" s="3"/>
      <x:c r="AE286" s="3"/>
      <x:c r="AF286" s="3"/>
      <x:c r="AG286" s="3"/>
      <x:c r="AH286" s="3"/>
      <x:c r="AI286" s="3"/>
      <x:c r="AJ286" s="3"/>
      <x:c r="AK286" s="3"/>
      <x:c r="AL286" s="3"/>
      <x:c r="AM286" s="3"/>
      <x:c r="AN286" s="3"/>
      <x:c r="AO286" s="3"/>
      <x:c r="AP286" s="3"/>
      <x:c r="AQ286" s="3"/>
      <x:c r="AR286" s="3"/>
      <x:c r="AS286" s="3"/>
      <x:c r="AT286" s="3"/>
      <x:c r="AU286" s="3"/>
      <x:c r="AV286" s="3"/>
      <x:c r="AW286" s="3"/>
      <x:c r="AX286" s="3"/>
      <x:c r="AY286" s="3"/>
      <x:c r="AZ286" s="3" t="str">
        <x:f>IF(AND('中古車掲載'!C287="One2car",'中古車掲載'!F287="ATTO 3",'中古車掲載'!L287="EXTENDED RANGE",'中古車掲載'!J287=2023,ISNUMBER('中古車掲載'!N287),'中古車掲載'!N287&gt;=20000,'中古車掲載'!O287&lt;=100000,'中古車掲載'!AL287=1),'中古車掲載'!U287,"")</x:f>
      </x:c>
      <x:c r="BA286" s="3" t="str">
        <x:f>IF(AND('中古車掲載'!C287="One2car",'中古車掲載'!F287="Corolla Cross",'中古車掲載'!L287="HEV PREMIUM SAFETY",'中古車掲載'!J287=2023,ISNUMBER('中古車掲載'!N287),'中古車掲載'!N287&gt;=20000,'中古車掲載'!O287&lt;=100000,'中古車掲載'!AL287=1,'中古車掲載'!Z287="https://www.one2car.com/en/cars-for-sale/toyota/corolla-cross/year-2023"),'中古車掲載'!U287,"")</x:f>
      </x:c>
      <x:c r="BB286" s="3" t="str">
        <x:f>IF(AND('中古車掲載'!C287="One2car",'中古車掲載'!F287="ATTO 3",'中古車掲載'!L287="EXTENDED RANGE",'中古車掲載'!J287=2023,ISNUMBER('中古車掲載'!N287),'中古車掲載'!N287&gt;=50000,'中古車掲載'!O287&lt;=100000,'中古車掲載'!AL287=1),'中古車掲載'!U287,"")</x:f>
      </x:c>
      <x:c r="BC286" s="3" t="str">
        <x:f>IF(AND('中古車掲載'!C287="One2car",'中古車掲載'!F287="Corolla Cross",'中古車掲載'!L287="HEV PREMIUM SAFETY",'中古車掲載'!J287=2023,ISNUMBER('中古車掲載'!N287),'中古車掲載'!N287&gt;=50000,'中古車掲載'!O287&lt;=100000,'中古車掲載'!AL287=1,'中古車掲載'!Z287="https://www.one2car.com/en/cars-for-sale/toyota/corolla-cross/year-2023"),'中古車掲載'!U287,"")</x:f>
      </x:c>
      <x:c r="BD286" s="3" t="str">
        <x:f>IF(AND('中古車掲載'!C287="One2car",'中古車掲載'!F287="ATTO 3",'中古車掲載'!L287="EXTENDED RANGE",'中古車掲載'!J287=2023,ISNUMBER('中古車掲載'!N287),'中古車掲載'!N287&gt;=20000,'中古車掲載'!O287&lt;=50000,'中古車掲載'!AL287=1),'中古車掲載'!U287,"")</x:f>
      </x:c>
      <x:c r="BE286" s="3" t="str">
        <x:f>IF(AND('中古車掲載'!C287="One2car",'中古車掲載'!F287="Corolla Cross",'中古車掲載'!L287="HEV PREMIUM SAFETY",'中古車掲載'!J287=2023,ISNUMBER('中古車掲載'!N287),'中古車掲載'!N287&gt;=20000,'中古車掲載'!O287&lt;=50000,'中古車掲載'!AL287=1,'中古車掲載'!Z287="https://www.one2car.com/en/cars-for-sale/toyota/corolla-cross/year-2023"),'中古車掲載'!U287,"")</x:f>
      </x:c>
      <x:c r="BF286" s="3" t="str">
        <x:f>IF(AND('中古車掲載'!C287="One2car",'中古車掲載'!F287="Corolla Cross",'中古車掲載'!L287="HEV PREMIUM",'中古車掲載'!J287=2023,ISNUMBER('中古車掲載'!N287),'中古車掲載'!N287&gt;=20000,'中古車掲載'!O287&lt;=100000,'中古車掲載'!AL287=1,'中古車掲載'!Z287="https://www.one2car.com/en/cars-for-sale/toyota/corolla-cross/year-2023"),'中古車掲載'!U287,"")</x:f>
      </x:c>
      <x:c r="BG286" s="3" t="str">
        <x:f>IF(AND('中古車掲載'!C287="One2car",'中古車掲載'!F287="Corolla Cross",'中古車掲載'!L287="HEV GR SPORT",'中古車掲載'!J287=2023,ISNUMBER('中古車掲載'!N287),'中古車掲載'!N287&gt;=20000,'中古車掲載'!O287&lt;=100000,'中古車掲載'!AL287=1,'中古車掲載'!Z287="https://www.one2car.com/en/cars-for-sale/toyota/corolla-cross/year-2023"),'中古車掲載'!U287,"")</x:f>
      </x:c>
      <x:c r="BH286" s="3" t="str">
        <x:f>IF(AND('中古車掲載'!C287="One2car",'中古車掲載'!F287="DOLPHIN",'中古車掲載'!L287="STANDARD RANGE",'中古車掲載'!J287=2023,ISNUMBER('中古車掲載'!N287),'中古車掲載'!N287&gt;=20000,'中古車掲載'!O287&lt;=100000,'中古車掲載'!AL287=1),'中古車掲載'!U287,"")</x:f>
      </x:c>
      <x:c r="BI286" s="3" t="str">
        <x:v>Taladrod|Corolla Cross|HEV|Unknown</x:v>
      </x:c>
      <x:c r="BJ286" s="3" t="n">
        <x:v>287</x:v>
      </x:c>
      <x:c r="BK286" s="3" t="n">
        <x:f>'中古車掲載'!AM287</x:f>
        <x:v>649000</x:v>
      </x:c>
      <x:c r="BL286" s="3" t="str">
        <x:f>IF(ISNUMBER('中古車掲載'!AN287),'中古車掲載'!AN287,"")</x:f>
      </x:c>
      <x:c r="BM286" s="3"/>
      <x:c r="BN286" s="3"/>
      <x:c r="BO286" s="3"/>
      <x:c r="BP286" s="3"/>
      <x:c r="BQ286" s="3"/>
      <x:c r="BR286" s="3"/>
    </x:row>
    <x:row r="287" ht="22" customHeight="1">
      <x:c r="A287" s="3" t="str">
        <x:v>ATTO 3</x:v>
      </x:c>
      <x:c r="B287" s="3" t="str">
        <x:v>BEV</x:v>
      </x:c>
      <x:c r="C287" s="3" t="str">
        <x:v>One2car</x:v>
      </x:c>
      <x:c r="D287" s="3" t="str">
        <x:v>SUV</x:v>
      </x:c>
      <x:c r="E287" s="3" t="str"/>
      <x:c r="F287" s="3" t="n">
        <x:v>2023</x:v>
      </x:c>
      <x:c r="G287" s="3" t="str">
        <x:v>EXTENDED RANGE</x:v>
      </x:c>
      <x:c r="H287" s="3" t="str">
        <x:v>20–50千km</x:v>
      </x:c>
      <x:c r="I287" s="3" t="str">
        <x:v>世代不明</x:v>
      </x:c>
      <x:c r="J287" s="22" t="n">
        <x:f>COUNT('中古車掲載'!AM14:AM15)</x:f>
        <x:v>2</x:v>
      </x:c>
      <x:c r="K287" s="22" t="n">
        <x:f>IF(COUNT('中古車掲載'!AM14:AM15)=0,"",QUARTILE('中古車掲載'!AM14:AM15,1))</x:f>
        <x:v>478000</x:v>
      </x:c>
      <x:c r="L287" s="22" t="n">
        <x:f>IF(COUNT('中古車掲載'!AM14:AM15)=0,"",MEDIAN('中古車掲載'!AM14:AM15))</x:f>
        <x:v>485000</x:v>
      </x:c>
      <x:c r="M287" s="22" t="n">
        <x:f>IF(COUNT('中古車掲載'!AM14:AM15)=0,"",QUARTILE('中古車掲載'!AM14:AM15,3))</x:f>
        <x:v>492000</x:v>
      </x:c>
      <x:c r="N287" s="22" t="n">
        <x:f>COUNT('中古車掲載'!AN14:AN15)</x:f>
        <x:v>2</x:v>
      </x:c>
      <x:c r="O287" s="23" t="n">
        <x:f>IF(COUNT('中古車掲載'!AN14:AN15)=0,"",MEDIAN('中古車掲載'!AN14:AN15))</x:f>
        <x:v>0.4042003500291691</x:v>
      </x:c>
      <x:c r="P287" s="3"/>
      <x:c r="Q287" s="3"/>
      <x:c r="R287" s="3"/>
      <x:c r="S287" s="3"/>
      <x:c r="T287" s="3"/>
      <x:c r="U287" s="3"/>
      <x:c r="V287" s="3"/>
      <x:c r="W287" s="3"/>
      <x:c r="X287" s="3"/>
      <x:c r="Y287" s="3"/>
      <x:c r="Z287" s="3"/>
      <x:c r="AA287" s="3"/>
      <x:c r="AB287" s="3"/>
      <x:c r="AC287" s="3"/>
      <x:c r="AD287" s="3"/>
      <x:c r="AE287" s="3"/>
      <x:c r="AF287" s="3"/>
      <x:c r="AG287" s="3"/>
      <x:c r="AH287" s="3"/>
      <x:c r="AI287" s="3"/>
      <x:c r="AJ287" s="3"/>
      <x:c r="AK287" s="3"/>
      <x:c r="AL287" s="3"/>
      <x:c r="AM287" s="3"/>
      <x:c r="AN287" s="3"/>
      <x:c r="AO287" s="3"/>
      <x:c r="AP287" s="3"/>
      <x:c r="AQ287" s="3"/>
      <x:c r="AR287" s="3"/>
      <x:c r="AS287" s="3"/>
      <x:c r="AT287" s="3"/>
      <x:c r="AU287" s="3"/>
      <x:c r="AV287" s="3"/>
      <x:c r="AW287" s="3"/>
      <x:c r="AX287" s="3"/>
      <x:c r="AY287" s="3"/>
      <x:c r="AZ287" s="3" t="str">
        <x:f>IF(AND('中古車掲載'!C288="One2car",'中古車掲載'!F288="ATTO 3",'中古車掲載'!L288="EXTENDED RANGE",'中古車掲載'!J288=2023,ISNUMBER('中古車掲載'!N288),'中古車掲載'!N288&gt;=20000,'中古車掲載'!O288&lt;=100000,'中古車掲載'!AL288=1),'中古車掲載'!U288,"")</x:f>
      </x:c>
      <x:c r="BA287" s="3" t="str">
        <x:f>IF(AND('中古車掲載'!C288="One2car",'中古車掲載'!F288="Corolla Cross",'中古車掲載'!L288="HEV PREMIUM SAFETY",'中古車掲載'!J288=2023,ISNUMBER('中古車掲載'!N288),'中古車掲載'!N288&gt;=20000,'中古車掲載'!O288&lt;=100000,'中古車掲載'!AL288=1,'中古車掲載'!Z288="https://www.one2car.com/en/cars-for-sale/toyota/corolla-cross/year-2023"),'中古車掲載'!U288,"")</x:f>
      </x:c>
      <x:c r="BB287" s="3" t="str">
        <x:f>IF(AND('中古車掲載'!C288="One2car",'中古車掲載'!F288="ATTO 3",'中古車掲載'!L288="EXTENDED RANGE",'中古車掲載'!J288=2023,ISNUMBER('中古車掲載'!N288),'中古車掲載'!N288&gt;=50000,'中古車掲載'!O288&lt;=100000,'中古車掲載'!AL288=1),'中古車掲載'!U288,"")</x:f>
      </x:c>
      <x:c r="BC287" s="3" t="str">
        <x:f>IF(AND('中古車掲載'!C288="One2car",'中古車掲載'!F288="Corolla Cross",'中古車掲載'!L288="HEV PREMIUM SAFETY",'中古車掲載'!J288=2023,ISNUMBER('中古車掲載'!N288),'中古車掲載'!N288&gt;=50000,'中古車掲載'!O288&lt;=100000,'中古車掲載'!AL288=1,'中古車掲載'!Z288="https://www.one2car.com/en/cars-for-sale/toyota/corolla-cross/year-2023"),'中古車掲載'!U288,"")</x:f>
      </x:c>
      <x:c r="BD287" s="3" t="str">
        <x:f>IF(AND('中古車掲載'!C288="One2car",'中古車掲載'!F288="ATTO 3",'中古車掲載'!L288="EXTENDED RANGE",'中古車掲載'!J288=2023,ISNUMBER('中古車掲載'!N288),'中古車掲載'!N288&gt;=20000,'中古車掲載'!O288&lt;=50000,'中古車掲載'!AL288=1),'中古車掲載'!U288,"")</x:f>
      </x:c>
      <x:c r="BE287" s="3" t="str">
        <x:f>IF(AND('中古車掲載'!C288="One2car",'中古車掲載'!F288="Corolla Cross",'中古車掲載'!L288="HEV PREMIUM SAFETY",'中古車掲載'!J288=2023,ISNUMBER('中古車掲載'!N288),'中古車掲載'!N288&gt;=20000,'中古車掲載'!O288&lt;=50000,'中古車掲載'!AL288=1,'中古車掲載'!Z288="https://www.one2car.com/en/cars-for-sale/toyota/corolla-cross/year-2023"),'中古車掲載'!U288,"")</x:f>
      </x:c>
      <x:c r="BF287" s="3" t="str">
        <x:f>IF(AND('中古車掲載'!C288="One2car",'中古車掲載'!F288="Corolla Cross",'中古車掲載'!L288="HEV PREMIUM",'中古車掲載'!J288=2023,ISNUMBER('中古車掲載'!N288),'中古車掲載'!N288&gt;=20000,'中古車掲載'!O288&lt;=100000,'中古車掲載'!AL288=1,'中古車掲載'!Z288="https://www.one2car.com/en/cars-for-sale/toyota/corolla-cross/year-2023"),'中古車掲載'!U288,"")</x:f>
      </x:c>
      <x:c r="BG287" s="3" t="str">
        <x:f>IF(AND('中古車掲載'!C288="One2car",'中古車掲載'!F288="Corolla Cross",'中古車掲載'!L288="HEV GR SPORT",'中古車掲載'!J288=2023,ISNUMBER('中古車掲載'!N288),'中古車掲載'!N288&gt;=20000,'中古車掲載'!O288&lt;=100000,'中古車掲載'!AL288=1,'中古車掲載'!Z288="https://www.one2car.com/en/cars-for-sale/toyota/corolla-cross/year-2023"),'中古車掲載'!U288,"")</x:f>
      </x:c>
      <x:c r="BH287" s="3" t="str">
        <x:f>IF(AND('中古車掲載'!C288="One2car",'中古車掲載'!F288="DOLPHIN",'中古車掲載'!L288="STANDARD RANGE",'中古車掲載'!J288=2023,ISNUMBER('中古車掲載'!N288),'中古車掲載'!N288&gt;=20000,'中古車掲載'!O288&lt;=100000,'中古車掲載'!AL288=1),'中古車掲載'!U288,"")</x:f>
      </x:c>
      <x:c r="BI287" s="3" t="str">
        <x:v>Taladrod|Corolla Cross|HEV|Unknown</x:v>
      </x:c>
      <x:c r="BJ287" s="3" t="n">
        <x:v>288</x:v>
      </x:c>
      <x:c r="BK287" s="3" t="n">
        <x:f>'中古車掲載'!AM288</x:f>
        <x:v>599000</x:v>
      </x:c>
      <x:c r="BL287" s="3" t="str">
        <x:f>IF(ISNUMBER('中古車掲載'!AN288),'中古車掲載'!AN288,"")</x:f>
      </x:c>
      <x:c r="BM287" s="3"/>
      <x:c r="BN287" s="3"/>
      <x:c r="BO287" s="3"/>
      <x:c r="BP287" s="3"/>
      <x:c r="BQ287" s="3"/>
      <x:c r="BR287" s="3"/>
    </x:row>
    <x:row r="288" ht="22" customHeight="1">
      <x:c r="A288" s="3" t="str">
        <x:v>ATTO 3</x:v>
      </x:c>
      <x:c r="B288" s="3" t="str">
        <x:v>BEV</x:v>
      </x:c>
      <x:c r="C288" s="3" t="str">
        <x:v>One2car</x:v>
      </x:c>
      <x:c r="D288" s="3" t="str">
        <x:v>SUV</x:v>
      </x:c>
      <x:c r="E288" s="3" t="str"/>
      <x:c r="F288" s="3" t="n">
        <x:v>2023</x:v>
      </x:c>
      <x:c r="G288" s="3" t="str">
        <x:v>EXTENDED RANGE</x:v>
      </x:c>
      <x:c r="H288" s="3" t="str">
        <x:v>50–100千km</x:v>
      </x:c>
      <x:c r="I288" s="3" t="str">
        <x:v>世代不明</x:v>
      </x:c>
      <x:c r="J288" s="22" t="n">
        <x:f>COUNT('中古車掲載'!AM16:AM20)</x:f>
        <x:v>5</x:v>
      </x:c>
      <x:c r="K288" s="22" t="n">
        <x:f>IF(COUNT('中古車掲載'!AM16:AM20)=0,"",QUARTILE('中古車掲載'!AM16:AM20,1))</x:f>
        <x:v>459000</x:v>
      </x:c>
      <x:c r="L288" s="22" t="n">
        <x:f>IF(COUNT('中古車掲載'!AM16:AM20)=0,"",MEDIAN('中古車掲載'!AM16:AM20))</x:f>
        <x:v>463000</x:v>
      </x:c>
      <x:c r="M288" s="22" t="n">
        <x:f>IF(COUNT('中古車掲載'!AM16:AM20)=0,"",QUARTILE('中古車掲載'!AM16:AM20,3))</x:f>
        <x:v>467000</x:v>
      </x:c>
      <x:c r="N288" s="22" t="n">
        <x:f>COUNT('中古車掲載'!AN16:AN20)</x:f>
        <x:v>5</x:v>
      </x:c>
      <x:c r="O288" s="23" t="n">
        <x:f>IF(COUNT('中古車掲載'!AN16:AN20)=0,"",MEDIAN('中古車掲載'!AN16:AN20))</x:f>
        <x:v>0.38586548879073257</x:v>
      </x:c>
      <x:c r="P288" s="3"/>
      <x:c r="Q288" s="3"/>
      <x:c r="R288" s="3"/>
      <x:c r="S288" s="3"/>
      <x:c r="T288" s="3"/>
      <x:c r="U288" s="3"/>
      <x:c r="V288" s="3"/>
      <x:c r="W288" s="3"/>
      <x:c r="X288" s="3"/>
      <x:c r="Y288" s="3"/>
      <x:c r="Z288" s="3"/>
      <x:c r="AA288" s="3"/>
      <x:c r="AB288" s="3"/>
      <x:c r="AC288" s="3"/>
      <x:c r="AD288" s="3"/>
      <x:c r="AE288" s="3"/>
      <x:c r="AF288" s="3"/>
      <x:c r="AG288" s="3"/>
      <x:c r="AH288" s="3"/>
      <x:c r="AI288" s="3"/>
      <x:c r="AJ288" s="3"/>
      <x:c r="AK288" s="3"/>
      <x:c r="AL288" s="3"/>
      <x:c r="AM288" s="3"/>
      <x:c r="AN288" s="3"/>
      <x:c r="AO288" s="3"/>
      <x:c r="AP288" s="3"/>
      <x:c r="AQ288" s="3"/>
      <x:c r="AR288" s="3"/>
      <x:c r="AS288" s="3"/>
      <x:c r="AT288" s="3"/>
      <x:c r="AU288" s="3"/>
      <x:c r="AV288" s="3"/>
      <x:c r="AW288" s="3"/>
      <x:c r="AX288" s="3"/>
      <x:c r="AY288" s="3"/>
      <x:c r="AZ288" s="3" t="str">
        <x:f>IF(AND('中古車掲載'!C289="One2car",'中古車掲載'!F289="ATTO 3",'中古車掲載'!L289="EXTENDED RANGE",'中古車掲載'!J289=2023,ISNUMBER('中古車掲載'!N289),'中古車掲載'!N289&gt;=20000,'中古車掲載'!O289&lt;=100000,'中古車掲載'!AL289=1),'中古車掲載'!U289,"")</x:f>
      </x:c>
      <x:c r="BA288" s="3" t="str">
        <x:f>IF(AND('中古車掲載'!C289="One2car",'中古車掲載'!F289="Corolla Cross",'中古車掲載'!L289="HEV PREMIUM SAFETY",'中古車掲載'!J289=2023,ISNUMBER('中古車掲載'!N289),'中古車掲載'!N289&gt;=20000,'中古車掲載'!O289&lt;=100000,'中古車掲載'!AL289=1,'中古車掲載'!Z289="https://www.one2car.com/en/cars-for-sale/toyota/corolla-cross/year-2023"),'中古車掲載'!U289,"")</x:f>
      </x:c>
      <x:c r="BB288" s="3" t="str">
        <x:f>IF(AND('中古車掲載'!C289="One2car",'中古車掲載'!F289="ATTO 3",'中古車掲載'!L289="EXTENDED RANGE",'中古車掲載'!J289=2023,ISNUMBER('中古車掲載'!N289),'中古車掲載'!N289&gt;=50000,'中古車掲載'!O289&lt;=100000,'中古車掲載'!AL289=1),'中古車掲載'!U289,"")</x:f>
      </x:c>
      <x:c r="BC288" s="3" t="str">
        <x:f>IF(AND('中古車掲載'!C289="One2car",'中古車掲載'!F289="Corolla Cross",'中古車掲載'!L289="HEV PREMIUM SAFETY",'中古車掲載'!J289=2023,ISNUMBER('中古車掲載'!N289),'中古車掲載'!N289&gt;=50000,'中古車掲載'!O289&lt;=100000,'中古車掲載'!AL289=1,'中古車掲載'!Z289="https://www.one2car.com/en/cars-for-sale/toyota/corolla-cross/year-2023"),'中古車掲載'!U289,"")</x:f>
      </x:c>
      <x:c r="BD288" s="3" t="str">
        <x:f>IF(AND('中古車掲載'!C289="One2car",'中古車掲載'!F289="ATTO 3",'中古車掲載'!L289="EXTENDED RANGE",'中古車掲載'!J289=2023,ISNUMBER('中古車掲載'!N289),'中古車掲載'!N289&gt;=20000,'中古車掲載'!O289&lt;=50000,'中古車掲載'!AL289=1),'中古車掲載'!U289,"")</x:f>
      </x:c>
      <x:c r="BE288" s="3" t="str">
        <x:f>IF(AND('中古車掲載'!C289="One2car",'中古車掲載'!F289="Corolla Cross",'中古車掲載'!L289="HEV PREMIUM SAFETY",'中古車掲載'!J289=2023,ISNUMBER('中古車掲載'!N289),'中古車掲載'!N289&gt;=20000,'中古車掲載'!O289&lt;=50000,'中古車掲載'!AL289=1,'中古車掲載'!Z289="https://www.one2car.com/en/cars-for-sale/toyota/corolla-cross/year-2023"),'中古車掲載'!U289,"")</x:f>
      </x:c>
      <x:c r="BF288" s="3" t="str">
        <x:f>IF(AND('中古車掲載'!C289="One2car",'中古車掲載'!F289="Corolla Cross",'中古車掲載'!L289="HEV PREMIUM",'中古車掲載'!J289=2023,ISNUMBER('中古車掲載'!N289),'中古車掲載'!N289&gt;=20000,'中古車掲載'!O289&lt;=100000,'中古車掲載'!AL289=1,'中古車掲載'!Z289="https://www.one2car.com/en/cars-for-sale/toyota/corolla-cross/year-2023"),'中古車掲載'!U289,"")</x:f>
      </x:c>
      <x:c r="BG288" s="3" t="str">
        <x:f>IF(AND('中古車掲載'!C289="One2car",'中古車掲載'!F289="Corolla Cross",'中古車掲載'!L289="HEV GR SPORT",'中古車掲載'!J289=2023,ISNUMBER('中古車掲載'!N289),'中古車掲載'!N289&gt;=20000,'中古車掲載'!O289&lt;=100000,'中古車掲載'!AL289=1,'中古車掲載'!Z289="https://www.one2car.com/en/cars-for-sale/toyota/corolla-cross/year-2023"),'中古車掲載'!U289,"")</x:f>
      </x:c>
      <x:c r="BH288" s="3" t="str">
        <x:f>IF(AND('中古車掲載'!C289="One2car",'中古車掲載'!F289="DOLPHIN",'中古車掲載'!L289="STANDARD RANGE",'中古車掲載'!J289=2023,ISNUMBER('中古車掲載'!N289),'中古車掲載'!N289&gt;=20000,'中古車掲載'!O289&lt;=100000,'中古車掲載'!AL289=1),'中古車掲載'!U289,"")</x:f>
      </x:c>
      <x:c r="BI288" s="3" t="str">
        <x:v>Taladrod|Corolla Cross|HEV|Unknown</x:v>
      </x:c>
      <x:c r="BJ288" s="3" t="n">
        <x:v>289</x:v>
      </x:c>
      <x:c r="BK288" s="3" t="n">
        <x:f>'中古車掲載'!AM289</x:f>
        <x:v>599000</x:v>
      </x:c>
      <x:c r="BL288" s="3" t="str">
        <x:f>IF(ISNUMBER('中古車掲載'!AN289),'中古車掲載'!AN289,"")</x:f>
      </x:c>
      <x:c r="BM288" s="3"/>
      <x:c r="BN288" s="3"/>
      <x:c r="BO288" s="3"/>
      <x:c r="BP288" s="3"/>
      <x:c r="BQ288" s="3"/>
      <x:c r="BR288" s="3"/>
    </x:row>
    <x:row r="289" ht="22" customHeight="1">
      <x:c r="A289" s="3" t="str">
        <x:v>ATTO 3</x:v>
      </x:c>
      <x:c r="B289" s="3" t="str">
        <x:v>BEV</x:v>
      </x:c>
      <x:c r="C289" s="3" t="str">
        <x:v>One2car</x:v>
      </x:c>
      <x:c r="D289" s="3" t="str">
        <x:v>SUV</x:v>
      </x:c>
      <x:c r="E289" s="3" t="str"/>
      <x:c r="F289" s="3" t="n">
        <x:v>2023</x:v>
      </x:c>
      <x:c r="G289" s="3" t="str">
        <x:v>EXTENDED RANGE</x:v>
      </x:c>
      <x:c r="H289" s="3" t="str">
        <x:v>&lt;20千km</x:v>
      </x:c>
      <x:c r="I289" s="3" t="str">
        <x:v>世代不明</x:v>
      </x:c>
      <x:c r="J289" s="22" t="n">
        <x:f>COUNT('中古車掲載'!AM21:AM22)</x:f>
        <x:v>2</x:v>
      </x:c>
      <x:c r="K289" s="22" t="n">
        <x:f>IF(COUNT('中古車掲載'!AM21:AM22)=0,"",QUARTILE('中古車掲載'!AM21:AM22,1))</x:f>
        <x:v>498000</x:v>
      </x:c>
      <x:c r="L289" s="22" t="n">
        <x:f>IF(COUNT('中古車掲載'!AM21:AM22)=0,"",MEDIAN('中古車掲載'!AM21:AM22))</x:f>
        <x:v>505000</x:v>
      </x:c>
      <x:c r="M289" s="22" t="n">
        <x:f>IF(COUNT('中古車掲載'!AM21:AM22)=0,"",QUARTILE('中古車掲載'!AM21:AM22,3))</x:f>
        <x:v>512000</x:v>
      </x:c>
      <x:c r="N289" s="22" t="n">
        <x:f>COUNT('中古車掲載'!AN21:AN22)</x:f>
        <x:v>2</x:v>
      </x:c>
      <x:c r="O289" s="23" t="n">
        <x:f>IF(COUNT('中古車掲載'!AN21:AN22)=0,"",MEDIAN('中古車掲載'!AN21:AN22))</x:f>
        <x:v>0.420868405700475</x:v>
      </x:c>
      <x:c r="P289" s="3"/>
      <x:c r="Q289" s="3"/>
      <x:c r="R289" s="3"/>
      <x:c r="S289" s="3"/>
      <x:c r="T289" s="3"/>
      <x:c r="U289" s="3"/>
      <x:c r="V289" s="3"/>
      <x:c r="W289" s="3"/>
      <x:c r="X289" s="3"/>
      <x:c r="Y289" s="3"/>
      <x:c r="Z289" s="3"/>
      <x:c r="AA289" s="3"/>
      <x:c r="AB289" s="3"/>
      <x:c r="AC289" s="3"/>
      <x:c r="AD289" s="3"/>
      <x:c r="AE289" s="3"/>
      <x:c r="AF289" s="3"/>
      <x:c r="AG289" s="3"/>
      <x:c r="AH289" s="3"/>
      <x:c r="AI289" s="3"/>
      <x:c r="AJ289" s="3"/>
      <x:c r="AK289" s="3"/>
      <x:c r="AL289" s="3"/>
      <x:c r="AM289" s="3"/>
      <x:c r="AN289" s="3"/>
      <x:c r="AO289" s="3"/>
      <x:c r="AP289" s="3"/>
      <x:c r="AQ289" s="3"/>
      <x:c r="AR289" s="3"/>
      <x:c r="AS289" s="3"/>
      <x:c r="AT289" s="3"/>
      <x:c r="AU289" s="3"/>
      <x:c r="AV289" s="3"/>
      <x:c r="AW289" s="3"/>
      <x:c r="AX289" s="3"/>
      <x:c r="AY289" s="3"/>
      <x:c r="AZ289" s="3" t="str">
        <x:f>IF(AND('中古車掲載'!C290="One2car",'中古車掲載'!F290="ATTO 3",'中古車掲載'!L290="EXTENDED RANGE",'中古車掲載'!J290=2023,ISNUMBER('中古車掲載'!N290),'中古車掲載'!N290&gt;=20000,'中古車掲載'!O290&lt;=100000,'中古車掲載'!AL290=1),'中古車掲載'!U290,"")</x:f>
      </x:c>
      <x:c r="BA289" s="3" t="str">
        <x:f>IF(AND('中古車掲載'!C290="One2car",'中古車掲載'!F290="Corolla Cross",'中古車掲載'!L290="HEV PREMIUM SAFETY",'中古車掲載'!J290=2023,ISNUMBER('中古車掲載'!N290),'中古車掲載'!N290&gt;=20000,'中古車掲載'!O290&lt;=100000,'中古車掲載'!AL290=1,'中古車掲載'!Z290="https://www.one2car.com/en/cars-for-sale/toyota/corolla-cross/year-2023"),'中古車掲載'!U290,"")</x:f>
      </x:c>
      <x:c r="BB289" s="3" t="str">
        <x:f>IF(AND('中古車掲載'!C290="One2car",'中古車掲載'!F290="ATTO 3",'中古車掲載'!L290="EXTENDED RANGE",'中古車掲載'!J290=2023,ISNUMBER('中古車掲載'!N290),'中古車掲載'!N290&gt;=50000,'中古車掲載'!O290&lt;=100000,'中古車掲載'!AL290=1),'中古車掲載'!U290,"")</x:f>
      </x:c>
      <x:c r="BC289" s="3" t="str">
        <x:f>IF(AND('中古車掲載'!C290="One2car",'中古車掲載'!F290="Corolla Cross",'中古車掲載'!L290="HEV PREMIUM SAFETY",'中古車掲載'!J290=2023,ISNUMBER('中古車掲載'!N290),'中古車掲載'!N290&gt;=50000,'中古車掲載'!O290&lt;=100000,'中古車掲載'!AL290=1,'中古車掲載'!Z290="https://www.one2car.com/en/cars-for-sale/toyota/corolla-cross/year-2023"),'中古車掲載'!U290,"")</x:f>
      </x:c>
      <x:c r="BD289" s="3" t="str">
        <x:f>IF(AND('中古車掲載'!C290="One2car",'中古車掲載'!F290="ATTO 3",'中古車掲載'!L290="EXTENDED RANGE",'中古車掲載'!J290=2023,ISNUMBER('中古車掲載'!N290),'中古車掲載'!N290&gt;=20000,'中古車掲載'!O290&lt;=50000,'中古車掲載'!AL290=1),'中古車掲載'!U290,"")</x:f>
      </x:c>
      <x:c r="BE289" s="3" t="str">
        <x:f>IF(AND('中古車掲載'!C290="One2car",'中古車掲載'!F290="Corolla Cross",'中古車掲載'!L290="HEV PREMIUM SAFETY",'中古車掲載'!J290=2023,ISNUMBER('中古車掲載'!N290),'中古車掲載'!N290&gt;=20000,'中古車掲載'!O290&lt;=50000,'中古車掲載'!AL290=1,'中古車掲載'!Z290="https://www.one2car.com/en/cars-for-sale/toyota/corolla-cross/year-2023"),'中古車掲載'!U290,"")</x:f>
      </x:c>
      <x:c r="BF289" s="3" t="str">
        <x:f>IF(AND('中古車掲載'!C290="One2car",'中古車掲載'!F290="Corolla Cross",'中古車掲載'!L290="HEV PREMIUM",'中古車掲載'!J290=2023,ISNUMBER('中古車掲載'!N290),'中古車掲載'!N290&gt;=20000,'中古車掲載'!O290&lt;=100000,'中古車掲載'!AL290=1,'中古車掲載'!Z290="https://www.one2car.com/en/cars-for-sale/toyota/corolla-cross/year-2023"),'中古車掲載'!U290,"")</x:f>
      </x:c>
      <x:c r="BG289" s="3" t="str">
        <x:f>IF(AND('中古車掲載'!C290="One2car",'中古車掲載'!F290="Corolla Cross",'中古車掲載'!L290="HEV GR SPORT",'中古車掲載'!J290=2023,ISNUMBER('中古車掲載'!N290),'中古車掲載'!N290&gt;=20000,'中古車掲載'!O290&lt;=100000,'中古車掲載'!AL290=1,'中古車掲載'!Z290="https://www.one2car.com/en/cars-for-sale/toyota/corolla-cross/year-2023"),'中古車掲載'!U290,"")</x:f>
      </x:c>
      <x:c r="BH289" s="3" t="str">
        <x:f>IF(AND('中古車掲載'!C290="One2car",'中古車掲載'!F290="DOLPHIN",'中古車掲載'!L290="STANDARD RANGE",'中古車掲載'!J290=2023,ISNUMBER('中古車掲載'!N290),'中古車掲載'!N290&gt;=20000,'中古車掲載'!O290&lt;=100000,'中古車掲載'!AL290=1),'中古車掲載'!U290,"")</x:f>
      </x:c>
      <x:c r="BI289" s="3" t="str">
        <x:v>Taladrod|Corolla Cross|HEV|Unknown</x:v>
      </x:c>
      <x:c r="BJ289" s="3" t="n">
        <x:v>290</x:v>
      </x:c>
      <x:c r="BK289" s="3" t="n">
        <x:f>'中古車掲載'!AM290</x:f>
        <x:v>659000</x:v>
      </x:c>
      <x:c r="BL289" s="3" t="str">
        <x:f>IF(ISNUMBER('中古車掲載'!AN290),'中古車掲載'!AN290,"")</x:f>
      </x:c>
      <x:c r="BM289" s="3"/>
      <x:c r="BN289" s="3"/>
      <x:c r="BO289" s="3"/>
      <x:c r="BP289" s="3"/>
      <x:c r="BQ289" s="3"/>
      <x:c r="BR289" s="3"/>
    </x:row>
    <x:row r="290" ht="22" customHeight="1">
      <x:c r="A290" s="3" t="str">
        <x:v>ATTO 3</x:v>
      </x:c>
      <x:c r="B290" s="3" t="str">
        <x:v>BEV</x:v>
      </x:c>
      <x:c r="C290" s="3" t="str">
        <x:v>One2car</x:v>
      </x:c>
      <x:c r="D290" s="3" t="str">
        <x:v>SUV</x:v>
      </x:c>
      <x:c r="E290" s="3" t="str"/>
      <x:c r="F290" s="3" t="n">
        <x:v>2024</x:v>
      </x:c>
      <x:c r="G290" s="3" t="str">
        <x:v>DYNAMIC</x:v>
      </x:c>
      <x:c r="H290" s="3" t="str">
        <x:v>20–50千km</x:v>
      </x:c>
      <x:c r="I290" s="3" t="str">
        <x:v>世代不明</x:v>
      </x:c>
      <x:c r="J290" s="22" t="n">
        <x:f>COUNT('中古車掲載'!AM23:AM23)</x:f>
        <x:v>1</x:v>
      </x:c>
      <x:c r="K290" s="22" t="n">
        <x:f>IF(COUNT('中古車掲載'!AM23:AM23)=0,"",QUARTILE('中古車掲載'!AM23:AM23,1))</x:f>
        <x:v>489000</x:v>
      </x:c>
      <x:c r="L290" s="22" t="n">
        <x:f>IF(COUNT('中古車掲載'!AM23:AM23)=0,"",MEDIAN('中古車掲載'!AM23:AM23))</x:f>
        <x:v>489000</x:v>
      </x:c>
      <x:c r="M290" s="22" t="n">
        <x:f>IF(COUNT('中古車掲載'!AM23:AM23)=0,"",QUARTILE('中古車掲載'!AM23:AM23,3))</x:f>
        <x:v>489000</x:v>
      </x:c>
      <x:c r="N290" s="22" t="n">
        <x:f>COUNT('中古車掲載'!AN23:AN23)</x:f>
        <x:v>1</x:v>
      </x:c>
      <x:c r="O290" s="23" t="n">
        <x:f>IF(COUNT('中古車掲載'!AN23:AN23)=0,"",MEDIAN('中古車掲載'!AN23:AN23))</x:f>
        <x:v>0.543393710412268</x:v>
      </x:c>
      <x:c r="P290" s="3"/>
      <x:c r="Q290" s="3"/>
      <x:c r="R290" s="3"/>
      <x:c r="S290" s="3"/>
      <x:c r="T290" s="3"/>
      <x:c r="U290" s="3"/>
      <x:c r="V290" s="3"/>
      <x:c r="W290" s="3"/>
      <x:c r="X290" s="3"/>
      <x:c r="Y290" s="3"/>
      <x:c r="Z290" s="3"/>
      <x:c r="AA290" s="3"/>
      <x:c r="AB290" s="3"/>
      <x:c r="AC290" s="3"/>
      <x:c r="AD290" s="3"/>
      <x:c r="AE290" s="3"/>
      <x:c r="AF290" s="3"/>
      <x:c r="AG290" s="3"/>
      <x:c r="AH290" s="3"/>
      <x:c r="AI290" s="3"/>
      <x:c r="AJ290" s="3"/>
      <x:c r="AK290" s="3"/>
      <x:c r="AL290" s="3"/>
      <x:c r="AM290" s="3"/>
      <x:c r="AN290" s="3"/>
      <x:c r="AO290" s="3"/>
      <x:c r="AP290" s="3"/>
      <x:c r="AQ290" s="3"/>
      <x:c r="AR290" s="3"/>
      <x:c r="AS290" s="3"/>
      <x:c r="AT290" s="3"/>
      <x:c r="AU290" s="3"/>
      <x:c r="AV290" s="3"/>
      <x:c r="AW290" s="3"/>
      <x:c r="AX290" s="3"/>
      <x:c r="AY290" s="3"/>
      <x:c r="AZ290" s="3" t="str">
        <x:f>IF(AND('中古車掲載'!C291="One2car",'中古車掲載'!F291="ATTO 3",'中古車掲載'!L291="EXTENDED RANGE",'中古車掲載'!J291=2023,ISNUMBER('中古車掲載'!N291),'中古車掲載'!N291&gt;=20000,'中古車掲載'!O291&lt;=100000,'中古車掲載'!AL291=1),'中古車掲載'!U291,"")</x:f>
      </x:c>
      <x:c r="BA290" s="3" t="str">
        <x:f>IF(AND('中古車掲載'!C291="One2car",'中古車掲載'!F291="Corolla Cross",'中古車掲載'!L291="HEV PREMIUM SAFETY",'中古車掲載'!J291=2023,ISNUMBER('中古車掲載'!N291),'中古車掲載'!N291&gt;=20000,'中古車掲載'!O291&lt;=100000,'中古車掲載'!AL291=1,'中古車掲載'!Z291="https://www.one2car.com/en/cars-for-sale/toyota/corolla-cross/year-2023"),'中古車掲載'!U291,"")</x:f>
      </x:c>
      <x:c r="BB290" s="3" t="str">
        <x:f>IF(AND('中古車掲載'!C291="One2car",'中古車掲載'!F291="ATTO 3",'中古車掲載'!L291="EXTENDED RANGE",'中古車掲載'!J291=2023,ISNUMBER('中古車掲載'!N291),'中古車掲載'!N291&gt;=50000,'中古車掲載'!O291&lt;=100000,'中古車掲載'!AL291=1),'中古車掲載'!U291,"")</x:f>
      </x:c>
      <x:c r="BC290" s="3" t="str">
        <x:f>IF(AND('中古車掲載'!C291="One2car",'中古車掲載'!F291="Corolla Cross",'中古車掲載'!L291="HEV PREMIUM SAFETY",'中古車掲載'!J291=2023,ISNUMBER('中古車掲載'!N291),'中古車掲載'!N291&gt;=50000,'中古車掲載'!O291&lt;=100000,'中古車掲載'!AL291=1,'中古車掲載'!Z291="https://www.one2car.com/en/cars-for-sale/toyota/corolla-cross/year-2023"),'中古車掲載'!U291,"")</x:f>
      </x:c>
      <x:c r="BD290" s="3" t="str">
        <x:f>IF(AND('中古車掲載'!C291="One2car",'中古車掲載'!F291="ATTO 3",'中古車掲載'!L291="EXTENDED RANGE",'中古車掲載'!J291=2023,ISNUMBER('中古車掲載'!N291),'中古車掲載'!N291&gt;=20000,'中古車掲載'!O291&lt;=50000,'中古車掲載'!AL291=1),'中古車掲載'!U291,"")</x:f>
      </x:c>
      <x:c r="BE290" s="3" t="str">
        <x:f>IF(AND('中古車掲載'!C291="One2car",'中古車掲載'!F291="Corolla Cross",'中古車掲載'!L291="HEV PREMIUM SAFETY",'中古車掲載'!J291=2023,ISNUMBER('中古車掲載'!N291),'中古車掲載'!N291&gt;=20000,'中古車掲載'!O291&lt;=50000,'中古車掲載'!AL291=1,'中古車掲載'!Z291="https://www.one2car.com/en/cars-for-sale/toyota/corolla-cross/year-2023"),'中古車掲載'!U291,"")</x:f>
      </x:c>
      <x:c r="BF290" s="3" t="str">
        <x:f>IF(AND('中古車掲載'!C291="One2car",'中古車掲載'!F291="Corolla Cross",'中古車掲載'!L291="HEV PREMIUM",'中古車掲載'!J291=2023,ISNUMBER('中古車掲載'!N291),'中古車掲載'!N291&gt;=20000,'中古車掲載'!O291&lt;=100000,'中古車掲載'!AL291=1,'中古車掲載'!Z291="https://www.one2car.com/en/cars-for-sale/toyota/corolla-cross/year-2023"),'中古車掲載'!U291,"")</x:f>
      </x:c>
      <x:c r="BG290" s="3" t="str">
        <x:f>IF(AND('中古車掲載'!C291="One2car",'中古車掲載'!F291="Corolla Cross",'中古車掲載'!L291="HEV GR SPORT",'中古車掲載'!J291=2023,ISNUMBER('中古車掲載'!N291),'中古車掲載'!N291&gt;=20000,'中古車掲載'!O291&lt;=100000,'中古車掲載'!AL291=1,'中古車掲載'!Z291="https://www.one2car.com/en/cars-for-sale/toyota/corolla-cross/year-2023"),'中古車掲載'!U291,"")</x:f>
      </x:c>
      <x:c r="BH290" s="3" t="str">
        <x:f>IF(AND('中古車掲載'!C291="One2car",'中古車掲載'!F291="DOLPHIN",'中古車掲載'!L291="STANDARD RANGE",'中古車掲載'!J291=2023,ISNUMBER('中古車掲載'!N291),'中古車掲載'!N291&gt;=20000,'中古車掲載'!O291&lt;=100000,'中古車掲載'!AL291=1),'中古車掲載'!U291,"")</x:f>
      </x:c>
      <x:c r="BI290" s="3" t="str">
        <x:v>Taladrod|Corolla Cross|HEV|Unknown</x:v>
      </x:c>
      <x:c r="BJ290" s="3" t="n">
        <x:v>291</x:v>
      </x:c>
      <x:c r="BK290" s="3" t="n">
        <x:f>'中古車掲載'!AM291</x:f>
        <x:v>624000</x:v>
      </x:c>
      <x:c r="BL290" s="3" t="str">
        <x:f>IF(ISNUMBER('中古車掲載'!AN291),'中古車掲載'!AN291,"")</x:f>
      </x:c>
      <x:c r="BM290" s="3"/>
      <x:c r="BN290" s="3"/>
      <x:c r="BO290" s="3"/>
      <x:c r="BP290" s="3"/>
      <x:c r="BQ290" s="3"/>
      <x:c r="BR290" s="3"/>
    </x:row>
    <x:row r="291" ht="22" customHeight="1">
      <x:c r="A291" s="3" t="str">
        <x:v>ATTO 3</x:v>
      </x:c>
      <x:c r="B291" s="3" t="str">
        <x:v>BEV</x:v>
      </x:c>
      <x:c r="C291" s="3" t="str">
        <x:v>One2car</x:v>
      </x:c>
      <x:c r="D291" s="3" t="str">
        <x:v>SUV</x:v>
      </x:c>
      <x:c r="E291" s="3" t="str"/>
      <x:c r="F291" s="3" t="n">
        <x:v>2024</x:v>
      </x:c>
      <x:c r="G291" s="3" t="str">
        <x:v>EXTENDED RANGE</x:v>
      </x:c>
      <x:c r="H291" s="3" t="str">
        <x:v>100–150千km</x:v>
      </x:c>
      <x:c r="I291" s="3" t="str">
        <x:v>世代不明</x:v>
      </x:c>
      <x:c r="J291" s="22" t="n">
        <x:f>COUNT('中古車掲載'!AM24:AM24)</x:f>
        <x:v>1</x:v>
      </x:c>
      <x:c r="K291" s="22" t="n">
        <x:f>IF(COUNT('中古車掲載'!AM24:AM24)=0,"",QUARTILE('中古車掲載'!AM24:AM24,1))</x:f>
        <x:v>439000</x:v>
      </x:c>
      <x:c r="L291" s="22" t="n">
        <x:f>IF(COUNT('中古車掲載'!AM24:AM24)=0,"",MEDIAN('中古車掲載'!AM24:AM24))</x:f>
        <x:v>439000</x:v>
      </x:c>
      <x:c r="M291" s="22" t="n">
        <x:f>IF(COUNT('中古車掲載'!AM24:AM24)=0,"",QUARTILE('中古車掲載'!AM24:AM24,3))</x:f>
        <x:v>439000</x:v>
      </x:c>
      <x:c r="N291" s="22" t="n">
        <x:f>COUNT('中古車掲載'!AN24:AN24)</x:f>
        <x:v>0</x:v>
      </x:c>
      <x:c r="O291" s="23" t="str">
        <x:f>IF(COUNT('中古車掲載'!AN24:AN24)=0,"",MEDIAN('中古車掲載'!AN24:AN24))</x:f>
      </x:c>
      <x:c r="P291" s="3"/>
      <x:c r="Q291" s="3"/>
      <x:c r="R291" s="3"/>
      <x:c r="S291" s="3"/>
      <x:c r="T291" s="3"/>
      <x:c r="U291" s="3"/>
      <x:c r="V291" s="3"/>
      <x:c r="W291" s="3"/>
      <x:c r="X291" s="3"/>
      <x:c r="Y291" s="3"/>
      <x:c r="Z291" s="3"/>
      <x:c r="AA291" s="3"/>
      <x:c r="AB291" s="3"/>
      <x:c r="AC291" s="3"/>
      <x:c r="AD291" s="3"/>
      <x:c r="AE291" s="3"/>
      <x:c r="AF291" s="3"/>
      <x:c r="AG291" s="3"/>
      <x:c r="AH291" s="3"/>
      <x:c r="AI291" s="3"/>
      <x:c r="AJ291" s="3"/>
      <x:c r="AK291" s="3"/>
      <x:c r="AL291" s="3"/>
      <x:c r="AM291" s="3"/>
      <x:c r="AN291" s="3"/>
      <x:c r="AO291" s="3"/>
      <x:c r="AP291" s="3"/>
      <x:c r="AQ291" s="3"/>
      <x:c r="AR291" s="3"/>
      <x:c r="AS291" s="3"/>
      <x:c r="AT291" s="3"/>
      <x:c r="AU291" s="3"/>
      <x:c r="AV291" s="3"/>
      <x:c r="AW291" s="3"/>
      <x:c r="AX291" s="3"/>
      <x:c r="AY291" s="3"/>
      <x:c r="AZ291" s="3" t="str">
        <x:f>IF(AND('中古車掲載'!C292="One2car",'中古車掲載'!F292="ATTO 3",'中古車掲載'!L292="EXTENDED RANGE",'中古車掲載'!J292=2023,ISNUMBER('中古車掲載'!N292),'中古車掲載'!N292&gt;=20000,'中古車掲載'!O292&lt;=100000,'中古車掲載'!AL292=1),'中古車掲載'!U292,"")</x:f>
      </x:c>
      <x:c r="BA291" s="3" t="str">
        <x:f>IF(AND('中古車掲載'!C292="One2car",'中古車掲載'!F292="Corolla Cross",'中古車掲載'!L292="HEV PREMIUM SAFETY",'中古車掲載'!J292=2023,ISNUMBER('中古車掲載'!N292),'中古車掲載'!N292&gt;=20000,'中古車掲載'!O292&lt;=100000,'中古車掲載'!AL292=1,'中古車掲載'!Z292="https://www.one2car.com/en/cars-for-sale/toyota/corolla-cross/year-2023"),'中古車掲載'!U292,"")</x:f>
      </x:c>
      <x:c r="BB291" s="3" t="str">
        <x:f>IF(AND('中古車掲載'!C292="One2car",'中古車掲載'!F292="ATTO 3",'中古車掲載'!L292="EXTENDED RANGE",'中古車掲載'!J292=2023,ISNUMBER('中古車掲載'!N292),'中古車掲載'!N292&gt;=50000,'中古車掲載'!O292&lt;=100000,'中古車掲載'!AL292=1),'中古車掲載'!U292,"")</x:f>
      </x:c>
      <x:c r="BC291" s="3" t="str">
        <x:f>IF(AND('中古車掲載'!C292="One2car",'中古車掲載'!F292="Corolla Cross",'中古車掲載'!L292="HEV PREMIUM SAFETY",'中古車掲載'!J292=2023,ISNUMBER('中古車掲載'!N292),'中古車掲載'!N292&gt;=50000,'中古車掲載'!O292&lt;=100000,'中古車掲載'!AL292=1,'中古車掲載'!Z292="https://www.one2car.com/en/cars-for-sale/toyota/corolla-cross/year-2023"),'中古車掲載'!U292,"")</x:f>
      </x:c>
      <x:c r="BD291" s="3" t="str">
        <x:f>IF(AND('中古車掲載'!C292="One2car",'中古車掲載'!F292="ATTO 3",'中古車掲載'!L292="EXTENDED RANGE",'中古車掲載'!J292=2023,ISNUMBER('中古車掲載'!N292),'中古車掲載'!N292&gt;=20000,'中古車掲載'!O292&lt;=50000,'中古車掲載'!AL292=1),'中古車掲載'!U292,"")</x:f>
      </x:c>
      <x:c r="BE291" s="3" t="str">
        <x:f>IF(AND('中古車掲載'!C292="One2car",'中古車掲載'!F292="Corolla Cross",'中古車掲載'!L292="HEV PREMIUM SAFETY",'中古車掲載'!J292=2023,ISNUMBER('中古車掲載'!N292),'中古車掲載'!N292&gt;=20000,'中古車掲載'!O292&lt;=50000,'中古車掲載'!AL292=1,'中古車掲載'!Z292="https://www.one2car.com/en/cars-for-sale/toyota/corolla-cross/year-2023"),'中古車掲載'!U292,"")</x:f>
      </x:c>
      <x:c r="BF291" s="3" t="str">
        <x:f>IF(AND('中古車掲載'!C292="One2car",'中古車掲載'!F292="Corolla Cross",'中古車掲載'!L292="HEV PREMIUM",'中古車掲載'!J292=2023,ISNUMBER('中古車掲載'!N292),'中古車掲載'!N292&gt;=20000,'中古車掲載'!O292&lt;=100000,'中古車掲載'!AL292=1,'中古車掲載'!Z292="https://www.one2car.com/en/cars-for-sale/toyota/corolla-cross/year-2023"),'中古車掲載'!U292,"")</x:f>
      </x:c>
      <x:c r="BG291" s="3" t="str">
        <x:f>IF(AND('中古車掲載'!C292="One2car",'中古車掲載'!F292="Corolla Cross",'中古車掲載'!L292="HEV GR SPORT",'中古車掲載'!J292=2023,ISNUMBER('中古車掲載'!N292),'中古車掲載'!N292&gt;=20000,'中古車掲載'!O292&lt;=100000,'中古車掲載'!AL292=1,'中古車掲載'!Z292="https://www.one2car.com/en/cars-for-sale/toyota/corolla-cross/year-2023"),'中古車掲載'!U292,"")</x:f>
      </x:c>
      <x:c r="BH291" s="3" t="str">
        <x:f>IF(AND('中古車掲載'!C292="One2car",'中古車掲載'!F292="DOLPHIN",'中古車掲載'!L292="STANDARD RANGE",'中古車掲載'!J292=2023,ISNUMBER('中古車掲載'!N292),'中古車掲載'!N292&gt;=20000,'中古車掲載'!O292&lt;=100000,'中古車掲載'!AL292=1),'中古車掲載'!U292,"")</x:f>
      </x:c>
      <x:c r="BI291" s="3" t="str">
        <x:v>Taladrod|Corolla Cross|HEV|Unknown</x:v>
      </x:c>
      <x:c r="BJ291" s="3" t="n">
        <x:v>292</x:v>
      </x:c>
      <x:c r="BK291" s="3" t="n">
        <x:f>'中古車掲載'!AM292</x:f>
        <x:v>619000</x:v>
      </x:c>
      <x:c r="BL291" s="3" t="str">
        <x:f>IF(ISNUMBER('中古車掲載'!AN292),'中古車掲載'!AN292,"")</x:f>
      </x:c>
      <x:c r="BM291" s="3"/>
      <x:c r="BN291" s="3"/>
      <x:c r="BO291" s="3"/>
      <x:c r="BP291" s="3"/>
      <x:c r="BQ291" s="3"/>
      <x:c r="BR291" s="3"/>
    </x:row>
    <x:row r="292" ht="22" customHeight="1">
      <x:c r="A292" s="3" t="str">
        <x:v>ATTO 3</x:v>
      </x:c>
      <x:c r="B292" s="3" t="str">
        <x:v>BEV</x:v>
      </x:c>
      <x:c r="C292" s="3" t="str">
        <x:v>One2car</x:v>
      </x:c>
      <x:c r="D292" s="3" t="str">
        <x:v>SUV</x:v>
      </x:c>
      <x:c r="E292" s="3" t="str"/>
      <x:c r="F292" s="3" t="n">
        <x:v>2024</x:v>
      </x:c>
      <x:c r="G292" s="3" t="str">
        <x:v>STANDARD RANGE</x:v>
      </x:c>
      <x:c r="H292" s="3" t="str">
        <x:v>20–50千km</x:v>
      </x:c>
      <x:c r="I292" s="3" t="str">
        <x:v>世代不明</x:v>
      </x:c>
      <x:c r="J292" s="22" t="n">
        <x:f>COUNT('中古車掲載'!AM25:AM25)</x:f>
        <x:v>1</x:v>
      </x:c>
      <x:c r="K292" s="22" t="n">
        <x:f>IF(COUNT('中古車掲載'!AM25:AM25)=0,"",QUARTILE('中古車掲載'!AM25:AM25,1))</x:f>
        <x:v>460000</x:v>
      </x:c>
      <x:c r="L292" s="22" t="n">
        <x:f>IF(COUNT('中古車掲載'!AM25:AM25)=0,"",MEDIAN('中古車掲載'!AM25:AM25))</x:f>
        <x:v>460000</x:v>
      </x:c>
      <x:c r="M292" s="22" t="n">
        <x:f>IF(COUNT('中古車掲載'!AM25:AM25)=0,"",QUARTILE('中古車掲載'!AM25:AM25,3))</x:f>
        <x:v>460000</x:v>
      </x:c>
      <x:c r="N292" s="22" t="n">
        <x:f>COUNT('中古車掲載'!AN25:AN25)</x:f>
        <x:v>0</x:v>
      </x:c>
      <x:c r="O292" s="23" t="str">
        <x:f>IF(COUNT('中古車掲載'!AN25:AN25)=0,"",MEDIAN('中古車掲載'!AN25:AN25))</x:f>
      </x:c>
      <x:c r="P292" s="3"/>
      <x:c r="Q292" s="3"/>
      <x:c r="R292" s="3"/>
      <x:c r="S292" s="3"/>
      <x:c r="T292" s="3"/>
      <x:c r="U292" s="3"/>
      <x:c r="V292" s="3"/>
      <x:c r="W292" s="3"/>
      <x:c r="X292" s="3"/>
      <x:c r="Y292" s="3"/>
      <x:c r="Z292" s="3"/>
      <x:c r="AA292" s="3"/>
      <x:c r="AB292" s="3"/>
      <x:c r="AC292" s="3"/>
      <x:c r="AD292" s="3"/>
      <x:c r="AE292" s="3"/>
      <x:c r="AF292" s="3"/>
      <x:c r="AG292" s="3"/>
      <x:c r="AH292" s="3"/>
      <x:c r="AI292" s="3"/>
      <x:c r="AJ292" s="3"/>
      <x:c r="AK292" s="3"/>
      <x:c r="AL292" s="3"/>
      <x:c r="AM292" s="3"/>
      <x:c r="AN292" s="3"/>
      <x:c r="AO292" s="3"/>
      <x:c r="AP292" s="3"/>
      <x:c r="AQ292" s="3"/>
      <x:c r="AR292" s="3"/>
      <x:c r="AS292" s="3"/>
      <x:c r="AT292" s="3"/>
      <x:c r="AU292" s="3"/>
      <x:c r="AV292" s="3"/>
      <x:c r="AW292" s="3"/>
      <x:c r="AX292" s="3"/>
      <x:c r="AY292" s="3"/>
      <x:c r="AZ292" s="3" t="str">
        <x:f>IF(AND('中古車掲載'!C293="One2car",'中古車掲載'!F293="ATTO 3",'中古車掲載'!L293="EXTENDED RANGE",'中古車掲載'!J293=2023,ISNUMBER('中古車掲載'!N293),'中古車掲載'!N293&gt;=20000,'中古車掲載'!O293&lt;=100000,'中古車掲載'!AL293=1),'中古車掲載'!U293,"")</x:f>
      </x:c>
      <x:c r="BA292" s="3" t="str">
        <x:f>IF(AND('中古車掲載'!C293="One2car",'中古車掲載'!F293="Corolla Cross",'中古車掲載'!L293="HEV PREMIUM SAFETY",'中古車掲載'!J293=2023,ISNUMBER('中古車掲載'!N293),'中古車掲載'!N293&gt;=20000,'中古車掲載'!O293&lt;=100000,'中古車掲載'!AL293=1,'中古車掲載'!Z293="https://www.one2car.com/en/cars-for-sale/toyota/corolla-cross/year-2023"),'中古車掲載'!U293,"")</x:f>
      </x:c>
      <x:c r="BB292" s="3" t="str">
        <x:f>IF(AND('中古車掲載'!C293="One2car",'中古車掲載'!F293="ATTO 3",'中古車掲載'!L293="EXTENDED RANGE",'中古車掲載'!J293=2023,ISNUMBER('中古車掲載'!N293),'中古車掲載'!N293&gt;=50000,'中古車掲載'!O293&lt;=100000,'中古車掲載'!AL293=1),'中古車掲載'!U293,"")</x:f>
      </x:c>
      <x:c r="BC292" s="3" t="str">
        <x:f>IF(AND('中古車掲載'!C293="One2car",'中古車掲載'!F293="Corolla Cross",'中古車掲載'!L293="HEV PREMIUM SAFETY",'中古車掲載'!J293=2023,ISNUMBER('中古車掲載'!N293),'中古車掲載'!N293&gt;=50000,'中古車掲載'!O293&lt;=100000,'中古車掲載'!AL293=1,'中古車掲載'!Z293="https://www.one2car.com/en/cars-for-sale/toyota/corolla-cross/year-2023"),'中古車掲載'!U293,"")</x:f>
      </x:c>
      <x:c r="BD292" s="3" t="str">
        <x:f>IF(AND('中古車掲載'!C293="One2car",'中古車掲載'!F293="ATTO 3",'中古車掲載'!L293="EXTENDED RANGE",'中古車掲載'!J293=2023,ISNUMBER('中古車掲載'!N293),'中古車掲載'!N293&gt;=20000,'中古車掲載'!O293&lt;=50000,'中古車掲載'!AL293=1),'中古車掲載'!U293,"")</x:f>
      </x:c>
      <x:c r="BE292" s="3" t="str">
        <x:f>IF(AND('中古車掲載'!C293="One2car",'中古車掲載'!F293="Corolla Cross",'中古車掲載'!L293="HEV PREMIUM SAFETY",'中古車掲載'!J293=2023,ISNUMBER('中古車掲載'!N293),'中古車掲載'!N293&gt;=20000,'中古車掲載'!O293&lt;=50000,'中古車掲載'!AL293=1,'中古車掲載'!Z293="https://www.one2car.com/en/cars-for-sale/toyota/corolla-cross/year-2023"),'中古車掲載'!U293,"")</x:f>
      </x:c>
      <x:c r="BF292" s="3" t="str">
        <x:f>IF(AND('中古車掲載'!C293="One2car",'中古車掲載'!F293="Corolla Cross",'中古車掲載'!L293="HEV PREMIUM",'中古車掲載'!J293=2023,ISNUMBER('中古車掲載'!N293),'中古車掲載'!N293&gt;=20000,'中古車掲載'!O293&lt;=100000,'中古車掲載'!AL293=1,'中古車掲載'!Z293="https://www.one2car.com/en/cars-for-sale/toyota/corolla-cross/year-2023"),'中古車掲載'!U293,"")</x:f>
      </x:c>
      <x:c r="BG292" s="3" t="str">
        <x:f>IF(AND('中古車掲載'!C293="One2car",'中古車掲載'!F293="Corolla Cross",'中古車掲載'!L293="HEV GR SPORT",'中古車掲載'!J293=2023,ISNUMBER('中古車掲載'!N293),'中古車掲載'!N293&gt;=20000,'中古車掲載'!O293&lt;=100000,'中古車掲載'!AL293=1,'中古車掲載'!Z293="https://www.one2car.com/en/cars-for-sale/toyota/corolla-cross/year-2023"),'中古車掲載'!U293,"")</x:f>
      </x:c>
      <x:c r="BH292" s="3" t="str">
        <x:f>IF(AND('中古車掲載'!C293="One2car",'中古車掲載'!F293="DOLPHIN",'中古車掲載'!L293="STANDARD RANGE",'中古車掲載'!J293=2023,ISNUMBER('中古車掲載'!N293),'中古車掲載'!N293&gt;=20000,'中古車掲載'!O293&lt;=100000,'中古車掲載'!AL293=1),'中古車掲載'!U293,"")</x:f>
      </x:c>
      <x:c r="BI292" s="3" t="str">
        <x:v>Taladrod|Corolla Cross|HEV|Unknown</x:v>
      </x:c>
      <x:c r="BJ292" s="3" t="n">
        <x:v>293</x:v>
      </x:c>
      <x:c r="BK292" s="3" t="n">
        <x:f>'中古車掲載'!AM293</x:f>
        <x:v>720000</x:v>
      </x:c>
      <x:c r="BL292" s="3" t="str">
        <x:f>IF(ISNUMBER('中古車掲載'!AN293),'中古車掲載'!AN293,"")</x:f>
      </x:c>
      <x:c r="BM292" s="3"/>
      <x:c r="BN292" s="3"/>
      <x:c r="BO292" s="3"/>
      <x:c r="BP292" s="3"/>
      <x:c r="BQ292" s="3"/>
      <x:c r="BR292" s="3"/>
    </x:row>
    <x:row r="293" ht="22" customHeight="1">
      <x:c r="A293" s="3" t="str">
        <x:v>ATTO 3</x:v>
      </x:c>
      <x:c r="B293" s="3" t="str">
        <x:v>BEV</x:v>
      </x:c>
      <x:c r="C293" s="3" t="str">
        <x:v>One2car</x:v>
      </x:c>
      <x:c r="D293" s="3" t="str">
        <x:v>SUV</x:v>
      </x:c>
      <x:c r="E293" s="3" t="str"/>
      <x:c r="F293" s="3" t="n">
        <x:v>2025</x:v>
      </x:c>
      <x:c r="G293" s="3" t="str">
        <x:v>EXTENDED</x:v>
      </x:c>
      <x:c r="H293" s="3" t="str">
        <x:v>50–100千km</x:v>
      </x:c>
      <x:c r="I293" s="3" t="str">
        <x:v>世代不明</x:v>
      </x:c>
      <x:c r="J293" s="22" t="n">
        <x:f>COUNT('中古車掲載'!AM26:AM26)</x:f>
        <x:v>1</x:v>
      </x:c>
      <x:c r="K293" s="22" t="n">
        <x:f>IF(COUNT('中古車掲載'!AM26:AM26)=0,"",QUARTILE('中古車掲載'!AM26:AM26,1))</x:f>
        <x:v>529000</x:v>
      </x:c>
      <x:c r="L293" s="22" t="n">
        <x:f>IF(COUNT('中古車掲載'!AM26:AM26)=0,"",MEDIAN('中古車掲載'!AM26:AM26))</x:f>
        <x:v>529000</x:v>
      </x:c>
      <x:c r="M293" s="22" t="n">
        <x:f>IF(COUNT('中古車掲載'!AM26:AM26)=0,"",QUARTILE('中古車掲載'!AM26:AM26,3))</x:f>
        <x:v>529000</x:v>
      </x:c>
      <x:c r="N293" s="22" t="n">
        <x:f>COUNT('中古車掲載'!AN26:AN26)</x:f>
        <x:v>0</x:v>
      </x:c>
      <x:c r="O293" s="23" t="str">
        <x:f>IF(COUNT('中古車掲載'!AN26:AN26)=0,"",MEDIAN('中古車掲載'!AN26:AN26))</x:f>
      </x:c>
      <x:c r="P293" s="3"/>
      <x:c r="Q293" s="3"/>
      <x:c r="R293" s="3"/>
      <x:c r="S293" s="3"/>
      <x:c r="T293" s="3"/>
      <x:c r="U293" s="3"/>
      <x:c r="V293" s="3"/>
      <x:c r="W293" s="3"/>
      <x:c r="X293" s="3"/>
      <x:c r="Y293" s="3"/>
      <x:c r="Z293" s="3"/>
      <x:c r="AA293" s="3"/>
      <x:c r="AB293" s="3"/>
      <x:c r="AC293" s="3"/>
      <x:c r="AD293" s="3"/>
      <x:c r="AE293" s="3"/>
      <x:c r="AF293" s="3"/>
      <x:c r="AG293" s="3"/>
      <x:c r="AH293" s="3"/>
      <x:c r="AI293" s="3"/>
      <x:c r="AJ293" s="3"/>
      <x:c r="AK293" s="3"/>
      <x:c r="AL293" s="3"/>
      <x:c r="AM293" s="3"/>
      <x:c r="AN293" s="3"/>
      <x:c r="AO293" s="3"/>
      <x:c r="AP293" s="3"/>
      <x:c r="AQ293" s="3"/>
      <x:c r="AR293" s="3"/>
      <x:c r="AS293" s="3"/>
      <x:c r="AT293" s="3"/>
      <x:c r="AU293" s="3"/>
      <x:c r="AV293" s="3"/>
      <x:c r="AW293" s="3"/>
      <x:c r="AX293" s="3"/>
      <x:c r="AY293" s="3"/>
      <x:c r="AZ293" s="3" t="str">
        <x:f>IF(AND('中古車掲載'!C294="One2car",'中古車掲載'!F294="ATTO 3",'中古車掲載'!L294="EXTENDED RANGE",'中古車掲載'!J294=2023,ISNUMBER('中古車掲載'!N294),'中古車掲載'!N294&gt;=20000,'中古車掲載'!O294&lt;=100000,'中古車掲載'!AL294=1),'中古車掲載'!U294,"")</x:f>
      </x:c>
      <x:c r="BA293" s="3" t="str">
        <x:f>IF(AND('中古車掲載'!C294="One2car",'中古車掲載'!F294="Corolla Cross",'中古車掲載'!L294="HEV PREMIUM SAFETY",'中古車掲載'!J294=2023,ISNUMBER('中古車掲載'!N294),'中古車掲載'!N294&gt;=20000,'中古車掲載'!O294&lt;=100000,'中古車掲載'!AL294=1,'中古車掲載'!Z294="https://www.one2car.com/en/cars-for-sale/toyota/corolla-cross/year-2023"),'中古車掲載'!U294,"")</x:f>
      </x:c>
      <x:c r="BB293" s="3" t="str">
        <x:f>IF(AND('中古車掲載'!C294="One2car",'中古車掲載'!F294="ATTO 3",'中古車掲載'!L294="EXTENDED RANGE",'中古車掲載'!J294=2023,ISNUMBER('中古車掲載'!N294),'中古車掲載'!N294&gt;=50000,'中古車掲載'!O294&lt;=100000,'中古車掲載'!AL294=1),'中古車掲載'!U294,"")</x:f>
      </x:c>
      <x:c r="BC293" s="3" t="str">
        <x:f>IF(AND('中古車掲載'!C294="One2car",'中古車掲載'!F294="Corolla Cross",'中古車掲載'!L294="HEV PREMIUM SAFETY",'中古車掲載'!J294=2023,ISNUMBER('中古車掲載'!N294),'中古車掲載'!N294&gt;=50000,'中古車掲載'!O294&lt;=100000,'中古車掲載'!AL294=1,'中古車掲載'!Z294="https://www.one2car.com/en/cars-for-sale/toyota/corolla-cross/year-2023"),'中古車掲載'!U294,"")</x:f>
      </x:c>
      <x:c r="BD293" s="3" t="str">
        <x:f>IF(AND('中古車掲載'!C294="One2car",'中古車掲載'!F294="ATTO 3",'中古車掲載'!L294="EXTENDED RANGE",'中古車掲載'!J294=2023,ISNUMBER('中古車掲載'!N294),'中古車掲載'!N294&gt;=20000,'中古車掲載'!O294&lt;=50000,'中古車掲載'!AL294=1),'中古車掲載'!U294,"")</x:f>
      </x:c>
      <x:c r="BE293" s="3" t="str">
        <x:f>IF(AND('中古車掲載'!C294="One2car",'中古車掲載'!F294="Corolla Cross",'中古車掲載'!L294="HEV PREMIUM SAFETY",'中古車掲載'!J294=2023,ISNUMBER('中古車掲載'!N294),'中古車掲載'!N294&gt;=20000,'中古車掲載'!O294&lt;=50000,'中古車掲載'!AL294=1,'中古車掲載'!Z294="https://www.one2car.com/en/cars-for-sale/toyota/corolla-cross/year-2023"),'中古車掲載'!U294,"")</x:f>
      </x:c>
      <x:c r="BF293" s="3" t="str">
        <x:f>IF(AND('中古車掲載'!C294="One2car",'中古車掲載'!F294="Corolla Cross",'中古車掲載'!L294="HEV PREMIUM",'中古車掲載'!J294=2023,ISNUMBER('中古車掲載'!N294),'中古車掲載'!N294&gt;=20000,'中古車掲載'!O294&lt;=100000,'中古車掲載'!AL294=1,'中古車掲載'!Z294="https://www.one2car.com/en/cars-for-sale/toyota/corolla-cross/year-2023"),'中古車掲載'!U294,"")</x:f>
      </x:c>
      <x:c r="BG293" s="3" t="str">
        <x:f>IF(AND('中古車掲載'!C294="One2car",'中古車掲載'!F294="Corolla Cross",'中古車掲載'!L294="HEV GR SPORT",'中古車掲載'!J294=2023,ISNUMBER('中古車掲載'!N294),'中古車掲載'!N294&gt;=20000,'中古車掲載'!O294&lt;=100000,'中古車掲載'!AL294=1,'中古車掲載'!Z294="https://www.one2car.com/en/cars-for-sale/toyota/corolla-cross/year-2023"),'中古車掲載'!U294,"")</x:f>
      </x:c>
      <x:c r="BH293" s="3" t="str">
        <x:f>IF(AND('中古車掲載'!C294="One2car",'中古車掲載'!F294="DOLPHIN",'中古車掲載'!L294="STANDARD RANGE",'中古車掲載'!J294=2023,ISNUMBER('中古車掲載'!N294),'中古車掲載'!N294&gt;=20000,'中古車掲載'!O294&lt;=100000,'中古車掲載'!AL294=1),'中古車掲載'!U294,"")</x:f>
      </x:c>
      <x:c r="BI293" s="3" t="str">
        <x:v>Taladrod|Corolla Cross|HEV|Unknown</x:v>
      </x:c>
      <x:c r="BJ293" s="3" t="n">
        <x:v>294</x:v>
      </x:c>
      <x:c r="BK293" s="3" t="n">
        <x:f>'中古車掲載'!AM294</x:f>
        <x:v>699000</x:v>
      </x:c>
      <x:c r="BL293" s="3" t="str">
        <x:f>IF(ISNUMBER('中古車掲載'!AN294),'中古車掲載'!AN294,"")</x:f>
      </x:c>
      <x:c r="BM293" s="3"/>
      <x:c r="BN293" s="3"/>
      <x:c r="BO293" s="3"/>
      <x:c r="BP293" s="3"/>
      <x:c r="BQ293" s="3"/>
      <x:c r="BR293" s="3"/>
    </x:row>
    <x:row r="294" ht="22" customHeight="1">
      <x:c r="A294" s="3" t="str">
        <x:v>Corolla Altis</x:v>
      </x:c>
      <x:c r="B294" s="3" t="str">
        <x:v>HEV</x:v>
      </x:c>
      <x:c r="C294" s="3" t="str">
        <x:v>One2car</x:v>
      </x:c>
      <x:c r="D294" s="3" t="str">
        <x:v>Sedan</x:v>
      </x:c>
      <x:c r="E294" s="3" t="str"/>
      <x:c r="F294" s="3" t="n">
        <x:v>2020</x:v>
      </x:c>
      <x:c r="G294" s="3" t="str">
        <x:v>HEV HIGH</x:v>
      </x:c>
      <x:c r="H294" s="3" t="str">
        <x:v>50–100千km</x:v>
      </x:c>
      <x:c r="I294" s="3" t="str">
        <x:v>世代不明</x:v>
      </x:c>
      <x:c r="J294" s="22" t="n">
        <x:f>COUNT('中古車掲載'!AM27:AM27)</x:f>
        <x:v>1</x:v>
      </x:c>
      <x:c r="K294" s="22" t="n">
        <x:f>IF(COUNT('中古車掲載'!AM27:AM27)=0,"",QUARTILE('中古車掲載'!AM27:AM27,1))</x:f>
        <x:v>559000</x:v>
      </x:c>
      <x:c r="L294" s="22" t="n">
        <x:f>IF(COUNT('中古車掲載'!AM27:AM27)=0,"",MEDIAN('中古車掲載'!AM27:AM27))</x:f>
        <x:v>559000</x:v>
      </x:c>
      <x:c r="M294" s="22" t="n">
        <x:f>IF(COUNT('中古車掲載'!AM27:AM27)=0,"",QUARTILE('中古車掲載'!AM27:AM27,3))</x:f>
        <x:v>559000</x:v>
      </x:c>
      <x:c r="N294" s="22" t="n">
        <x:f>COUNT('中古車掲載'!AN27:AN27)</x:f>
        <x:v>0</x:v>
      </x:c>
      <x:c r="O294" s="23" t="str">
        <x:f>IF(COUNT('中古車掲載'!AN27:AN27)=0,"",MEDIAN('中古車掲載'!AN27:AN27))</x:f>
      </x:c>
      <x:c r="P294" s="3"/>
      <x:c r="Q294" s="3"/>
      <x:c r="R294" s="3"/>
      <x:c r="S294" s="3"/>
      <x:c r="T294" s="3"/>
      <x:c r="U294" s="3"/>
      <x:c r="V294" s="3"/>
      <x:c r="W294" s="3"/>
      <x:c r="X294" s="3"/>
      <x:c r="Y294" s="3"/>
      <x:c r="Z294" s="3"/>
      <x:c r="AA294" s="3"/>
      <x:c r="AB294" s="3"/>
      <x:c r="AC294" s="3"/>
      <x:c r="AD294" s="3"/>
      <x:c r="AE294" s="3"/>
      <x:c r="AF294" s="3"/>
      <x:c r="AG294" s="3"/>
      <x:c r="AH294" s="3"/>
      <x:c r="AI294" s="3"/>
      <x:c r="AJ294" s="3"/>
      <x:c r="AK294" s="3"/>
      <x:c r="AL294" s="3"/>
      <x:c r="AM294" s="3"/>
      <x:c r="AN294" s="3"/>
      <x:c r="AO294" s="3"/>
      <x:c r="AP294" s="3"/>
      <x:c r="AQ294" s="3"/>
      <x:c r="AR294" s="3"/>
      <x:c r="AS294" s="3"/>
      <x:c r="AT294" s="3"/>
      <x:c r="AU294" s="3"/>
      <x:c r="AV294" s="3"/>
      <x:c r="AW294" s="3"/>
      <x:c r="AX294" s="3"/>
      <x:c r="AY294" s="3"/>
      <x:c r="AZ294" s="3" t="str">
        <x:f>IF(AND('中古車掲載'!C295="One2car",'中古車掲載'!F295="ATTO 3",'中古車掲載'!L295="EXTENDED RANGE",'中古車掲載'!J295=2023,ISNUMBER('中古車掲載'!N295),'中古車掲載'!N295&gt;=20000,'中古車掲載'!O295&lt;=100000,'中古車掲載'!AL295=1),'中古車掲載'!U295,"")</x:f>
      </x:c>
      <x:c r="BA294" s="3" t="str">
        <x:f>IF(AND('中古車掲載'!C295="One2car",'中古車掲載'!F295="Corolla Cross",'中古車掲載'!L295="HEV PREMIUM SAFETY",'中古車掲載'!J295=2023,ISNUMBER('中古車掲載'!N295),'中古車掲載'!N295&gt;=20000,'中古車掲載'!O295&lt;=100000,'中古車掲載'!AL295=1,'中古車掲載'!Z295="https://www.one2car.com/en/cars-for-sale/toyota/corolla-cross/year-2023"),'中古車掲載'!U295,"")</x:f>
      </x:c>
      <x:c r="BB294" s="3" t="str">
        <x:f>IF(AND('中古車掲載'!C295="One2car",'中古車掲載'!F295="ATTO 3",'中古車掲載'!L295="EXTENDED RANGE",'中古車掲載'!J295=2023,ISNUMBER('中古車掲載'!N295),'中古車掲載'!N295&gt;=50000,'中古車掲載'!O295&lt;=100000,'中古車掲載'!AL295=1),'中古車掲載'!U295,"")</x:f>
      </x:c>
      <x:c r="BC294" s="3" t="str">
        <x:f>IF(AND('中古車掲載'!C295="One2car",'中古車掲載'!F295="Corolla Cross",'中古車掲載'!L295="HEV PREMIUM SAFETY",'中古車掲載'!J295=2023,ISNUMBER('中古車掲載'!N295),'中古車掲載'!N295&gt;=50000,'中古車掲載'!O295&lt;=100000,'中古車掲載'!AL295=1,'中古車掲載'!Z295="https://www.one2car.com/en/cars-for-sale/toyota/corolla-cross/year-2023"),'中古車掲載'!U295,"")</x:f>
      </x:c>
      <x:c r="BD294" s="3" t="str">
        <x:f>IF(AND('中古車掲載'!C295="One2car",'中古車掲載'!F295="ATTO 3",'中古車掲載'!L295="EXTENDED RANGE",'中古車掲載'!J295=2023,ISNUMBER('中古車掲載'!N295),'中古車掲載'!N295&gt;=20000,'中古車掲載'!O295&lt;=50000,'中古車掲載'!AL295=1),'中古車掲載'!U295,"")</x:f>
      </x:c>
      <x:c r="BE294" s="3" t="str">
        <x:f>IF(AND('中古車掲載'!C295="One2car",'中古車掲載'!F295="Corolla Cross",'中古車掲載'!L295="HEV PREMIUM SAFETY",'中古車掲載'!J295=2023,ISNUMBER('中古車掲載'!N295),'中古車掲載'!N295&gt;=20000,'中古車掲載'!O295&lt;=50000,'中古車掲載'!AL295=1,'中古車掲載'!Z295="https://www.one2car.com/en/cars-for-sale/toyota/corolla-cross/year-2023"),'中古車掲載'!U295,"")</x:f>
      </x:c>
      <x:c r="BF294" s="3" t="str">
        <x:f>IF(AND('中古車掲載'!C295="One2car",'中古車掲載'!F295="Corolla Cross",'中古車掲載'!L295="HEV PREMIUM",'中古車掲載'!J295=2023,ISNUMBER('中古車掲載'!N295),'中古車掲載'!N295&gt;=20000,'中古車掲載'!O295&lt;=100000,'中古車掲載'!AL295=1,'中古車掲載'!Z295="https://www.one2car.com/en/cars-for-sale/toyota/corolla-cross/year-2023"),'中古車掲載'!U295,"")</x:f>
      </x:c>
      <x:c r="BG294" s="3" t="str">
        <x:f>IF(AND('中古車掲載'!C295="One2car",'中古車掲載'!F295="Corolla Cross",'中古車掲載'!L295="HEV GR SPORT",'中古車掲載'!J295=2023,ISNUMBER('中古車掲載'!N295),'中古車掲載'!N295&gt;=20000,'中古車掲載'!O295&lt;=100000,'中古車掲載'!AL295=1,'中古車掲載'!Z295="https://www.one2car.com/en/cars-for-sale/toyota/corolla-cross/year-2023"),'中古車掲載'!U295,"")</x:f>
      </x:c>
      <x:c r="BH294" s="3" t="str">
        <x:f>IF(AND('中古車掲載'!C295="One2car",'中古車掲載'!F295="DOLPHIN",'中古車掲載'!L295="STANDARD RANGE",'中古車掲載'!J295=2023,ISNUMBER('中古車掲載'!N295),'中古車掲載'!N295&gt;=20000,'中古車掲載'!O295&lt;=100000,'中古車掲載'!AL295=1),'中古車掲載'!U295,"")</x:f>
      </x:c>
      <x:c r="BI294" s="3" t="str">
        <x:v>Taladrod|Corolla Cross|HEV|Unknown</x:v>
      </x:c>
      <x:c r="BJ294" s="3" t="n">
        <x:v>295</x:v>
      </x:c>
      <x:c r="BK294" s="3" t="n">
        <x:f>'中古車掲載'!AM295</x:f>
        <x:v>579000</x:v>
      </x:c>
      <x:c r="BL294" s="3" t="str">
        <x:f>IF(ISNUMBER('中古車掲載'!AN295),'中古車掲載'!AN295,"")</x:f>
      </x:c>
      <x:c r="BM294" s="3"/>
      <x:c r="BN294" s="3"/>
      <x:c r="BO294" s="3"/>
      <x:c r="BP294" s="3"/>
      <x:c r="BQ294" s="3"/>
      <x:c r="BR294" s="3"/>
    </x:row>
    <x:row r="295" ht="22" customHeight="1">
      <x:c r="A295" s="3" t="str">
        <x:v>Corolla Altis</x:v>
      </x:c>
      <x:c r="B295" s="3" t="str">
        <x:v>HEV</x:v>
      </x:c>
      <x:c r="C295" s="3" t="str">
        <x:v>One2car</x:v>
      </x:c>
      <x:c r="D295" s="3" t="str">
        <x:v>Sedan</x:v>
      </x:c>
      <x:c r="E295" s="3" t="str"/>
      <x:c r="F295" s="3" t="n">
        <x:v>2020</x:v>
      </x:c>
      <x:c r="G295" s="3" t="str">
        <x:v>HEV MID</x:v>
      </x:c>
      <x:c r="H295" s="3" t="str">
        <x:v>100–150千km</x:v>
      </x:c>
      <x:c r="I295" s="3" t="str">
        <x:v>世代不明</x:v>
      </x:c>
      <x:c r="J295" s="22" t="n">
        <x:f>COUNT('中古車掲載'!AM28:AM28)</x:f>
        <x:v>1</x:v>
      </x:c>
      <x:c r="K295" s="22" t="n">
        <x:f>IF(COUNT('中古車掲載'!AM28:AM28)=0,"",QUARTILE('中古車掲載'!AM28:AM28,1))</x:f>
        <x:v>479000</x:v>
      </x:c>
      <x:c r="L295" s="22" t="n">
        <x:f>IF(COUNT('中古車掲載'!AM28:AM28)=0,"",MEDIAN('中古車掲載'!AM28:AM28))</x:f>
        <x:v>479000</x:v>
      </x:c>
      <x:c r="M295" s="22" t="n">
        <x:f>IF(COUNT('中古車掲載'!AM28:AM28)=0,"",QUARTILE('中古車掲載'!AM28:AM28,3))</x:f>
        <x:v>479000</x:v>
      </x:c>
      <x:c r="N295" s="22" t="n">
        <x:f>COUNT('中古車掲載'!AN28:AN28)</x:f>
        <x:v>0</x:v>
      </x:c>
      <x:c r="O295" s="23" t="str">
        <x:f>IF(COUNT('中古車掲載'!AN28:AN28)=0,"",MEDIAN('中古車掲載'!AN28:AN28))</x:f>
      </x:c>
      <x:c r="P295" s="3"/>
      <x:c r="Q295" s="3"/>
      <x:c r="R295" s="3"/>
      <x:c r="S295" s="3"/>
      <x:c r="T295" s="3"/>
      <x:c r="U295" s="3"/>
      <x:c r="V295" s="3"/>
      <x:c r="W295" s="3"/>
      <x:c r="X295" s="3"/>
      <x:c r="Y295" s="3"/>
      <x:c r="Z295" s="3"/>
      <x:c r="AA295" s="3"/>
      <x:c r="AB295" s="3"/>
      <x:c r="AC295" s="3"/>
      <x:c r="AD295" s="3"/>
      <x:c r="AE295" s="3"/>
      <x:c r="AF295" s="3"/>
      <x:c r="AG295" s="3"/>
      <x:c r="AH295" s="3"/>
      <x:c r="AI295" s="3"/>
      <x:c r="AJ295" s="3"/>
      <x:c r="AK295" s="3"/>
      <x:c r="AL295" s="3"/>
      <x:c r="AM295" s="3"/>
      <x:c r="AN295" s="3"/>
      <x:c r="AO295" s="3"/>
      <x:c r="AP295" s="3"/>
      <x:c r="AQ295" s="3"/>
      <x:c r="AR295" s="3"/>
      <x:c r="AS295" s="3"/>
      <x:c r="AT295" s="3"/>
      <x:c r="AU295" s="3"/>
      <x:c r="AV295" s="3"/>
      <x:c r="AW295" s="3"/>
      <x:c r="AX295" s="3"/>
      <x:c r="AY295" s="3"/>
      <x:c r="AZ295" s="3" t="str">
        <x:f>IF(AND('中古車掲載'!C296="One2car",'中古車掲載'!F296="ATTO 3",'中古車掲載'!L296="EXTENDED RANGE",'中古車掲載'!J296=2023,ISNUMBER('中古車掲載'!N296),'中古車掲載'!N296&gt;=20000,'中古車掲載'!O296&lt;=100000,'中古車掲載'!AL296=1),'中古車掲載'!U296,"")</x:f>
      </x:c>
      <x:c r="BA295" s="3" t="str">
        <x:f>IF(AND('中古車掲載'!C296="One2car",'中古車掲載'!F296="Corolla Cross",'中古車掲載'!L296="HEV PREMIUM SAFETY",'中古車掲載'!J296=2023,ISNUMBER('中古車掲載'!N296),'中古車掲載'!N296&gt;=20000,'中古車掲載'!O296&lt;=100000,'中古車掲載'!AL296=1,'中古車掲載'!Z296="https://www.one2car.com/en/cars-for-sale/toyota/corolla-cross/year-2023"),'中古車掲載'!U296,"")</x:f>
      </x:c>
      <x:c r="BB295" s="3" t="str">
        <x:f>IF(AND('中古車掲載'!C296="One2car",'中古車掲載'!F296="ATTO 3",'中古車掲載'!L296="EXTENDED RANGE",'中古車掲載'!J296=2023,ISNUMBER('中古車掲載'!N296),'中古車掲載'!N296&gt;=50000,'中古車掲載'!O296&lt;=100000,'中古車掲載'!AL296=1),'中古車掲載'!U296,"")</x:f>
      </x:c>
      <x:c r="BC295" s="3" t="str">
        <x:f>IF(AND('中古車掲載'!C296="One2car",'中古車掲載'!F296="Corolla Cross",'中古車掲載'!L296="HEV PREMIUM SAFETY",'中古車掲載'!J296=2023,ISNUMBER('中古車掲載'!N296),'中古車掲載'!N296&gt;=50000,'中古車掲載'!O296&lt;=100000,'中古車掲載'!AL296=1,'中古車掲載'!Z296="https://www.one2car.com/en/cars-for-sale/toyota/corolla-cross/year-2023"),'中古車掲載'!U296,"")</x:f>
      </x:c>
      <x:c r="BD295" s="3" t="str">
        <x:f>IF(AND('中古車掲載'!C296="One2car",'中古車掲載'!F296="ATTO 3",'中古車掲載'!L296="EXTENDED RANGE",'中古車掲載'!J296=2023,ISNUMBER('中古車掲載'!N296),'中古車掲載'!N296&gt;=20000,'中古車掲載'!O296&lt;=50000,'中古車掲載'!AL296=1),'中古車掲載'!U296,"")</x:f>
      </x:c>
      <x:c r="BE295" s="3" t="str">
        <x:f>IF(AND('中古車掲載'!C296="One2car",'中古車掲載'!F296="Corolla Cross",'中古車掲載'!L296="HEV PREMIUM SAFETY",'中古車掲載'!J296=2023,ISNUMBER('中古車掲載'!N296),'中古車掲載'!N296&gt;=20000,'中古車掲載'!O296&lt;=50000,'中古車掲載'!AL296=1,'中古車掲載'!Z296="https://www.one2car.com/en/cars-for-sale/toyota/corolla-cross/year-2023"),'中古車掲載'!U296,"")</x:f>
      </x:c>
      <x:c r="BF295" s="3" t="str">
        <x:f>IF(AND('中古車掲載'!C296="One2car",'中古車掲載'!F296="Corolla Cross",'中古車掲載'!L296="HEV PREMIUM",'中古車掲載'!J296=2023,ISNUMBER('中古車掲載'!N296),'中古車掲載'!N296&gt;=20000,'中古車掲載'!O296&lt;=100000,'中古車掲載'!AL296=1,'中古車掲載'!Z296="https://www.one2car.com/en/cars-for-sale/toyota/corolla-cross/year-2023"),'中古車掲載'!U296,"")</x:f>
      </x:c>
      <x:c r="BG295" s="3" t="str">
        <x:f>IF(AND('中古車掲載'!C296="One2car",'中古車掲載'!F296="Corolla Cross",'中古車掲載'!L296="HEV GR SPORT",'中古車掲載'!J296=2023,ISNUMBER('中古車掲載'!N296),'中古車掲載'!N296&gt;=20000,'中古車掲載'!O296&lt;=100000,'中古車掲載'!AL296=1,'中古車掲載'!Z296="https://www.one2car.com/en/cars-for-sale/toyota/corolla-cross/year-2023"),'中古車掲載'!U296,"")</x:f>
      </x:c>
      <x:c r="BH295" s="3" t="str">
        <x:f>IF(AND('中古車掲載'!C296="One2car",'中古車掲載'!F296="DOLPHIN",'中古車掲載'!L296="STANDARD RANGE",'中古車掲載'!J296=2023,ISNUMBER('中古車掲載'!N296),'中古車掲載'!N296&gt;=20000,'中古車掲載'!O296&lt;=100000,'中古車掲載'!AL296=1),'中古車掲載'!U296,"")</x:f>
      </x:c>
      <x:c r="BI295" s="3" t="str">
        <x:v>Taladrod|Corolla Cross|HEV|Unknown</x:v>
      </x:c>
      <x:c r="BJ295" s="3" t="n">
        <x:v>296</x:v>
      </x:c>
      <x:c r="BK295" s="3" t="n">
        <x:f>'中古車掲載'!AM296</x:f>
        <x:v>639000</x:v>
      </x:c>
      <x:c r="BL295" s="3" t="str">
        <x:f>IF(ISNUMBER('中古車掲載'!AN296),'中古車掲載'!AN296,"")</x:f>
      </x:c>
      <x:c r="BM295" s="3"/>
      <x:c r="BN295" s="3"/>
      <x:c r="BO295" s="3"/>
      <x:c r="BP295" s="3"/>
      <x:c r="BQ295" s="3"/>
      <x:c r="BR295" s="3"/>
    </x:row>
    <x:row r="296" ht="22" customHeight="1">
      <x:c r="A296" s="3" t="str">
        <x:v>Corolla Altis</x:v>
      </x:c>
      <x:c r="B296" s="3" t="str">
        <x:v>HEV</x:v>
      </x:c>
      <x:c r="C296" s="3" t="str">
        <x:v>One2car</x:v>
      </x:c>
      <x:c r="D296" s="3" t="str">
        <x:v>Sedan</x:v>
      </x:c>
      <x:c r="E296" s="3" t="str"/>
      <x:c r="F296" s="3" t="n">
        <x:v>2021</x:v>
      </x:c>
      <x:c r="G296" s="3" t="str">
        <x:v>HEV PREMIUM SAFETY</x:v>
      </x:c>
      <x:c r="H296" s="3" t="str">
        <x:v>50–100千km</x:v>
      </x:c>
      <x:c r="I296" s="3" t="str">
        <x:v>世代不明</x:v>
      </x:c>
      <x:c r="J296" s="22" t="n">
        <x:f>COUNT('中古車掲載'!AM29:AM29)</x:f>
        <x:v>1</x:v>
      </x:c>
      <x:c r="K296" s="22" t="n">
        <x:f>IF(COUNT('中古車掲載'!AM29:AM29)=0,"",QUARTILE('中古車掲載'!AM29:AM29,1))</x:f>
        <x:v>629000</x:v>
      </x:c>
      <x:c r="L296" s="22" t="n">
        <x:f>IF(COUNT('中古車掲載'!AM29:AM29)=0,"",MEDIAN('中古車掲載'!AM29:AM29))</x:f>
        <x:v>629000</x:v>
      </x:c>
      <x:c r="M296" s="22" t="n">
        <x:f>IF(COUNT('中古車掲載'!AM29:AM29)=0,"",QUARTILE('中古車掲載'!AM29:AM29,3))</x:f>
        <x:v>629000</x:v>
      </x:c>
      <x:c r="N296" s="22" t="n">
        <x:f>COUNT('中古車掲載'!AN29:AN29)</x:f>
        <x:v>0</x:v>
      </x:c>
      <x:c r="O296" s="23" t="str">
        <x:f>IF(COUNT('中古車掲載'!AN29:AN29)=0,"",MEDIAN('中古車掲載'!AN29:AN29))</x:f>
      </x:c>
      <x:c r="P296" s="3"/>
      <x:c r="Q296" s="3"/>
      <x:c r="R296" s="3"/>
      <x:c r="S296" s="3"/>
      <x:c r="T296" s="3"/>
      <x:c r="U296" s="3"/>
      <x:c r="V296" s="3"/>
      <x:c r="W296" s="3"/>
      <x:c r="X296" s="3"/>
      <x:c r="Y296" s="3"/>
      <x:c r="Z296" s="3"/>
      <x:c r="AA296" s="3"/>
      <x:c r="AB296" s="3"/>
      <x:c r="AC296" s="3"/>
      <x:c r="AD296" s="3"/>
      <x:c r="AE296" s="3"/>
      <x:c r="AF296" s="3"/>
      <x:c r="AG296" s="3"/>
      <x:c r="AH296" s="3"/>
      <x:c r="AI296" s="3"/>
      <x:c r="AJ296" s="3"/>
      <x:c r="AK296" s="3"/>
      <x:c r="AL296" s="3"/>
      <x:c r="AM296" s="3"/>
      <x:c r="AN296" s="3"/>
      <x:c r="AO296" s="3"/>
      <x:c r="AP296" s="3"/>
      <x:c r="AQ296" s="3"/>
      <x:c r="AR296" s="3"/>
      <x:c r="AS296" s="3"/>
      <x:c r="AT296" s="3"/>
      <x:c r="AU296" s="3"/>
      <x:c r="AV296" s="3"/>
      <x:c r="AW296" s="3"/>
      <x:c r="AX296" s="3"/>
      <x:c r="AY296" s="3"/>
      <x:c r="AZ296" s="3" t="str">
        <x:f>IF(AND('中古車掲載'!C297="One2car",'中古車掲載'!F297="ATTO 3",'中古車掲載'!L297="EXTENDED RANGE",'中古車掲載'!J297=2023,ISNUMBER('中古車掲載'!N297),'中古車掲載'!N297&gt;=20000,'中古車掲載'!O297&lt;=100000,'中古車掲載'!AL297=1),'中古車掲載'!U297,"")</x:f>
      </x:c>
      <x:c r="BA296" s="3" t="str">
        <x:f>IF(AND('中古車掲載'!C297="One2car",'中古車掲載'!F297="Corolla Cross",'中古車掲載'!L297="HEV PREMIUM SAFETY",'中古車掲載'!J297=2023,ISNUMBER('中古車掲載'!N297),'中古車掲載'!N297&gt;=20000,'中古車掲載'!O297&lt;=100000,'中古車掲載'!AL297=1,'中古車掲載'!Z297="https://www.one2car.com/en/cars-for-sale/toyota/corolla-cross/year-2023"),'中古車掲載'!U297,"")</x:f>
      </x:c>
      <x:c r="BB296" s="3" t="str">
        <x:f>IF(AND('中古車掲載'!C297="One2car",'中古車掲載'!F297="ATTO 3",'中古車掲載'!L297="EXTENDED RANGE",'中古車掲載'!J297=2023,ISNUMBER('中古車掲載'!N297),'中古車掲載'!N297&gt;=50000,'中古車掲載'!O297&lt;=100000,'中古車掲載'!AL297=1),'中古車掲載'!U297,"")</x:f>
      </x:c>
      <x:c r="BC296" s="3" t="str">
        <x:f>IF(AND('中古車掲載'!C297="One2car",'中古車掲載'!F297="Corolla Cross",'中古車掲載'!L297="HEV PREMIUM SAFETY",'中古車掲載'!J297=2023,ISNUMBER('中古車掲載'!N297),'中古車掲載'!N297&gt;=50000,'中古車掲載'!O297&lt;=100000,'中古車掲載'!AL297=1,'中古車掲載'!Z297="https://www.one2car.com/en/cars-for-sale/toyota/corolla-cross/year-2023"),'中古車掲載'!U297,"")</x:f>
      </x:c>
      <x:c r="BD296" s="3" t="str">
        <x:f>IF(AND('中古車掲載'!C297="One2car",'中古車掲載'!F297="ATTO 3",'中古車掲載'!L297="EXTENDED RANGE",'中古車掲載'!J297=2023,ISNUMBER('中古車掲載'!N297),'中古車掲載'!N297&gt;=20000,'中古車掲載'!O297&lt;=50000,'中古車掲載'!AL297=1),'中古車掲載'!U297,"")</x:f>
      </x:c>
      <x:c r="BE296" s="3" t="str">
        <x:f>IF(AND('中古車掲載'!C297="One2car",'中古車掲載'!F297="Corolla Cross",'中古車掲載'!L297="HEV PREMIUM SAFETY",'中古車掲載'!J297=2023,ISNUMBER('中古車掲載'!N297),'中古車掲載'!N297&gt;=20000,'中古車掲載'!O297&lt;=50000,'中古車掲載'!AL297=1,'中古車掲載'!Z297="https://www.one2car.com/en/cars-for-sale/toyota/corolla-cross/year-2023"),'中古車掲載'!U297,"")</x:f>
      </x:c>
      <x:c r="BF296" s="3" t="str">
        <x:f>IF(AND('中古車掲載'!C297="One2car",'中古車掲載'!F297="Corolla Cross",'中古車掲載'!L297="HEV PREMIUM",'中古車掲載'!J297=2023,ISNUMBER('中古車掲載'!N297),'中古車掲載'!N297&gt;=20000,'中古車掲載'!O297&lt;=100000,'中古車掲載'!AL297=1,'中古車掲載'!Z297="https://www.one2car.com/en/cars-for-sale/toyota/corolla-cross/year-2023"),'中古車掲載'!U297,"")</x:f>
      </x:c>
      <x:c r="BG296" s="3" t="str">
        <x:f>IF(AND('中古車掲載'!C297="One2car",'中古車掲載'!F297="Corolla Cross",'中古車掲載'!L297="HEV GR SPORT",'中古車掲載'!J297=2023,ISNUMBER('中古車掲載'!N297),'中古車掲載'!N297&gt;=20000,'中古車掲載'!O297&lt;=100000,'中古車掲載'!AL297=1,'中古車掲載'!Z297="https://www.one2car.com/en/cars-for-sale/toyota/corolla-cross/year-2023"),'中古車掲載'!U297,"")</x:f>
      </x:c>
      <x:c r="BH296" s="3" t="str">
        <x:f>IF(AND('中古車掲載'!C297="One2car",'中古車掲載'!F297="DOLPHIN",'中古車掲載'!L297="STANDARD RANGE",'中古車掲載'!J297=2023,ISNUMBER('中古車掲載'!N297),'中古車掲載'!N297&gt;=20000,'中古車掲載'!O297&lt;=100000,'中古車掲載'!AL297=1),'中古車掲載'!U297,"")</x:f>
      </x:c>
      <x:c r="BI296" s="3" t="str">
        <x:v>Taladrod|Corolla Cross|HEV|Unknown</x:v>
      </x:c>
      <x:c r="BJ296" s="3" t="n">
        <x:v>297</x:v>
      </x:c>
      <x:c r="BK296" s="3" t="n">
        <x:f>'中古車掲載'!AM297</x:f>
        <x:v>628000</x:v>
      </x:c>
      <x:c r="BL296" s="3" t="str">
        <x:f>IF(ISNUMBER('中古車掲載'!AN297),'中古車掲載'!AN297,"")</x:f>
      </x:c>
      <x:c r="BM296" s="3"/>
      <x:c r="BN296" s="3"/>
      <x:c r="BO296" s="3"/>
      <x:c r="BP296" s="3"/>
      <x:c r="BQ296" s="3"/>
      <x:c r="BR296" s="3"/>
    </x:row>
    <x:row r="297" ht="22" customHeight="1">
      <x:c r="A297" s="3" t="str">
        <x:v>Corolla Altis</x:v>
      </x:c>
      <x:c r="B297" s="3" t="str">
        <x:v>HEV</x:v>
      </x:c>
      <x:c r="C297" s="3" t="str">
        <x:v>One2car</x:v>
      </x:c>
      <x:c r="D297" s="3" t="str">
        <x:v>Sedan</x:v>
      </x:c>
      <x:c r="E297" s="3" t="str"/>
      <x:c r="F297" s="3" t="n">
        <x:v>2024</x:v>
      </x:c>
      <x:c r="G297" s="3" t="str">
        <x:v>HEV GR SPORT</x:v>
      </x:c>
      <x:c r="H297" s="3" t="str">
        <x:v>&lt;20千km</x:v>
      </x:c>
      <x:c r="I297" s="3" t="str">
        <x:v>世代不明</x:v>
      </x:c>
      <x:c r="J297" s="22" t="n">
        <x:f>COUNT('中古車掲載'!AM30:AM30)</x:f>
        <x:v>1</x:v>
      </x:c>
      <x:c r="K297" s="22" t="n">
        <x:f>IF(COUNT('中古車掲載'!AM30:AM30)=0,"",QUARTILE('中古車掲載'!AM30:AM30,1))</x:f>
        <x:v>795000</x:v>
      </x:c>
      <x:c r="L297" s="22" t="n">
        <x:f>IF(COUNT('中古車掲載'!AM30:AM30)=0,"",MEDIAN('中古車掲載'!AM30:AM30))</x:f>
        <x:v>795000</x:v>
      </x:c>
      <x:c r="M297" s="22" t="n">
        <x:f>IF(COUNT('中古車掲載'!AM30:AM30)=0,"",QUARTILE('中古車掲載'!AM30:AM30,3))</x:f>
        <x:v>795000</x:v>
      </x:c>
      <x:c r="N297" s="22" t="n">
        <x:f>COUNT('中古車掲載'!AN30:AN30)</x:f>
        <x:v>1</x:v>
      </x:c>
      <x:c r="O297" s="23" t="n">
        <x:f>IF(COUNT('中古車掲載'!AN30:AN30)=0,"",MEDIAN('中古車掲載'!AN30:AN30))</x:f>
        <x:v>0.704162976085031</x:v>
      </x:c>
      <x:c r="P297" s="3"/>
      <x:c r="Q297" s="3"/>
      <x:c r="R297" s="3"/>
      <x:c r="S297" s="3"/>
      <x:c r="T297" s="3"/>
      <x:c r="U297" s="3"/>
      <x:c r="V297" s="3"/>
      <x:c r="W297" s="3"/>
      <x:c r="X297" s="3"/>
      <x:c r="Y297" s="3"/>
      <x:c r="Z297" s="3"/>
      <x:c r="AA297" s="3"/>
      <x:c r="AB297" s="3"/>
      <x:c r="AC297" s="3"/>
      <x:c r="AD297" s="3"/>
      <x:c r="AE297" s="3"/>
      <x:c r="AF297" s="3"/>
      <x:c r="AG297" s="3"/>
      <x:c r="AH297" s="3"/>
      <x:c r="AI297" s="3"/>
      <x:c r="AJ297" s="3"/>
      <x:c r="AK297" s="3"/>
      <x:c r="AL297" s="3"/>
      <x:c r="AM297" s="3"/>
      <x:c r="AN297" s="3"/>
      <x:c r="AO297" s="3"/>
      <x:c r="AP297" s="3"/>
      <x:c r="AQ297" s="3"/>
      <x:c r="AR297" s="3"/>
      <x:c r="AS297" s="3"/>
      <x:c r="AT297" s="3"/>
      <x:c r="AU297" s="3"/>
      <x:c r="AV297" s="3"/>
      <x:c r="AW297" s="3"/>
      <x:c r="AX297" s="3"/>
      <x:c r="AY297" s="3"/>
      <x:c r="AZ297" s="3" t="str">
        <x:f>IF(AND('中古車掲載'!C298="One2car",'中古車掲載'!F298="ATTO 3",'中古車掲載'!L298="EXTENDED RANGE",'中古車掲載'!J298=2023,ISNUMBER('中古車掲載'!N298),'中古車掲載'!N298&gt;=20000,'中古車掲載'!O298&lt;=100000,'中古車掲載'!AL298=1),'中古車掲載'!U298,"")</x:f>
      </x:c>
      <x:c r="BA297" s="3" t="str">
        <x:f>IF(AND('中古車掲載'!C298="One2car",'中古車掲載'!F298="Corolla Cross",'中古車掲載'!L298="HEV PREMIUM SAFETY",'中古車掲載'!J298=2023,ISNUMBER('中古車掲載'!N298),'中古車掲載'!N298&gt;=20000,'中古車掲載'!O298&lt;=100000,'中古車掲載'!AL298=1,'中古車掲載'!Z298="https://www.one2car.com/en/cars-for-sale/toyota/corolla-cross/year-2023"),'中古車掲載'!U298,"")</x:f>
      </x:c>
      <x:c r="BB297" s="3" t="str">
        <x:f>IF(AND('中古車掲載'!C298="One2car",'中古車掲載'!F298="ATTO 3",'中古車掲載'!L298="EXTENDED RANGE",'中古車掲載'!J298=2023,ISNUMBER('中古車掲載'!N298),'中古車掲載'!N298&gt;=50000,'中古車掲載'!O298&lt;=100000,'中古車掲載'!AL298=1),'中古車掲載'!U298,"")</x:f>
      </x:c>
      <x:c r="BC297" s="3" t="str">
        <x:f>IF(AND('中古車掲載'!C298="One2car",'中古車掲載'!F298="Corolla Cross",'中古車掲載'!L298="HEV PREMIUM SAFETY",'中古車掲載'!J298=2023,ISNUMBER('中古車掲載'!N298),'中古車掲載'!N298&gt;=50000,'中古車掲載'!O298&lt;=100000,'中古車掲載'!AL298=1,'中古車掲載'!Z298="https://www.one2car.com/en/cars-for-sale/toyota/corolla-cross/year-2023"),'中古車掲載'!U298,"")</x:f>
      </x:c>
      <x:c r="BD297" s="3" t="str">
        <x:f>IF(AND('中古車掲載'!C298="One2car",'中古車掲載'!F298="ATTO 3",'中古車掲載'!L298="EXTENDED RANGE",'中古車掲載'!J298=2023,ISNUMBER('中古車掲載'!N298),'中古車掲載'!N298&gt;=20000,'中古車掲載'!O298&lt;=50000,'中古車掲載'!AL298=1),'中古車掲載'!U298,"")</x:f>
      </x:c>
      <x:c r="BE297" s="3" t="str">
        <x:f>IF(AND('中古車掲載'!C298="One2car",'中古車掲載'!F298="Corolla Cross",'中古車掲載'!L298="HEV PREMIUM SAFETY",'中古車掲載'!J298=2023,ISNUMBER('中古車掲載'!N298),'中古車掲載'!N298&gt;=20000,'中古車掲載'!O298&lt;=50000,'中古車掲載'!AL298=1,'中古車掲載'!Z298="https://www.one2car.com/en/cars-for-sale/toyota/corolla-cross/year-2023"),'中古車掲載'!U298,"")</x:f>
      </x:c>
      <x:c r="BF297" s="3" t="str">
        <x:f>IF(AND('中古車掲載'!C298="One2car",'中古車掲載'!F298="Corolla Cross",'中古車掲載'!L298="HEV PREMIUM",'中古車掲載'!J298=2023,ISNUMBER('中古車掲載'!N298),'中古車掲載'!N298&gt;=20000,'中古車掲載'!O298&lt;=100000,'中古車掲載'!AL298=1,'中古車掲載'!Z298="https://www.one2car.com/en/cars-for-sale/toyota/corolla-cross/year-2023"),'中古車掲載'!U298,"")</x:f>
      </x:c>
      <x:c r="BG297" s="3" t="str">
        <x:f>IF(AND('中古車掲載'!C298="One2car",'中古車掲載'!F298="Corolla Cross",'中古車掲載'!L298="HEV GR SPORT",'中古車掲載'!J298=2023,ISNUMBER('中古車掲載'!N298),'中古車掲載'!N298&gt;=20000,'中古車掲載'!O298&lt;=100000,'中古車掲載'!AL298=1,'中古車掲載'!Z298="https://www.one2car.com/en/cars-for-sale/toyota/corolla-cross/year-2023"),'中古車掲載'!U298,"")</x:f>
      </x:c>
      <x:c r="BH297" s="3" t="str">
        <x:f>IF(AND('中古車掲載'!C298="One2car",'中古車掲載'!F298="DOLPHIN",'中古車掲載'!L298="STANDARD RANGE",'中古車掲載'!J298=2023,ISNUMBER('中古車掲載'!N298),'中古車掲載'!N298&gt;=20000,'中古車掲載'!O298&lt;=100000,'中古車掲載'!AL298=1),'中古車掲載'!U298,"")</x:f>
      </x:c>
      <x:c r="BI297" s="3" t="str">
        <x:v>Taladrod|Corolla Cross|HEV|Unknown</x:v>
      </x:c>
      <x:c r="BJ297" s="3" t="n">
        <x:v>298</x:v>
      </x:c>
      <x:c r="BK297" s="3" t="n">
        <x:f>'中古車掲載'!AM298</x:f>
        <x:v>669000</x:v>
      </x:c>
      <x:c r="BL297" s="3" t="str">
        <x:f>IF(ISNUMBER('中古車掲載'!AN298),'中古車掲載'!AN298,"")</x:f>
      </x:c>
      <x:c r="BM297" s="3"/>
      <x:c r="BN297" s="3"/>
      <x:c r="BO297" s="3"/>
      <x:c r="BP297" s="3"/>
      <x:c r="BQ297" s="3"/>
      <x:c r="BR297" s="3"/>
    </x:row>
    <x:row r="298" ht="22" customHeight="1">
      <x:c r="A298" s="3" t="str">
        <x:v>Corolla Altis</x:v>
      </x:c>
      <x:c r="B298" s="3" t="str">
        <x:v>ICE</x:v>
      </x:c>
      <x:c r="C298" s="3" t="str">
        <x:v>One2car</x:v>
      </x:c>
      <x:c r="D298" s="3" t="str">
        <x:v>Sedan</x:v>
      </x:c>
      <x:c r="E298" s="3" t="str"/>
      <x:c r="F298" s="3" t="n">
        <x:v>2020</x:v>
      </x:c>
      <x:c r="G298" s="3" t="str">
        <x:v>G</x:v>
      </x:c>
      <x:c r="H298" s="3" t="str">
        <x:v>50–100千km</x:v>
      </x:c>
      <x:c r="I298" s="3" t="str">
        <x:v>世代不明</x:v>
      </x:c>
      <x:c r="J298" s="22" t="n">
        <x:f>COUNT('中古車掲載'!AM31:AM31)</x:f>
        <x:v>1</x:v>
      </x:c>
      <x:c r="K298" s="22" t="n">
        <x:f>IF(COUNT('中古車掲載'!AM31:AM31)=0,"",QUARTILE('中古車掲載'!AM31:AM31,1))</x:f>
        <x:v>459000</x:v>
      </x:c>
      <x:c r="L298" s="22" t="n">
        <x:f>IF(COUNT('中古車掲載'!AM31:AM31)=0,"",MEDIAN('中古車掲載'!AM31:AM31))</x:f>
        <x:v>459000</x:v>
      </x:c>
      <x:c r="M298" s="22" t="n">
        <x:f>IF(COUNT('中古車掲載'!AM31:AM31)=0,"",QUARTILE('中古車掲載'!AM31:AM31,3))</x:f>
        <x:v>459000</x:v>
      </x:c>
      <x:c r="N298" s="22" t="n">
        <x:f>COUNT('中古車掲載'!AN31:AN31)</x:f>
        <x:v>0</x:v>
      </x:c>
      <x:c r="O298" s="23" t="str">
        <x:f>IF(COUNT('中古車掲載'!AN31:AN31)=0,"",MEDIAN('中古車掲載'!AN31:AN31))</x:f>
      </x:c>
      <x:c r="P298" s="3"/>
      <x:c r="Q298" s="3"/>
      <x:c r="R298" s="3"/>
      <x:c r="S298" s="3"/>
      <x:c r="T298" s="3"/>
      <x:c r="U298" s="3"/>
      <x:c r="V298" s="3"/>
      <x:c r="W298" s="3"/>
      <x:c r="X298" s="3"/>
      <x:c r="Y298" s="3"/>
      <x:c r="Z298" s="3"/>
      <x:c r="AA298" s="3"/>
      <x:c r="AB298" s="3"/>
      <x:c r="AC298" s="3"/>
      <x:c r="AD298" s="3"/>
      <x:c r="AE298" s="3"/>
      <x:c r="AF298" s="3"/>
      <x:c r="AG298" s="3"/>
      <x:c r="AH298" s="3"/>
      <x:c r="AI298" s="3"/>
      <x:c r="AJ298" s="3"/>
      <x:c r="AK298" s="3"/>
      <x:c r="AL298" s="3"/>
      <x:c r="AM298" s="3"/>
      <x:c r="AN298" s="3"/>
      <x:c r="AO298" s="3"/>
      <x:c r="AP298" s="3"/>
      <x:c r="AQ298" s="3"/>
      <x:c r="AR298" s="3"/>
      <x:c r="AS298" s="3"/>
      <x:c r="AT298" s="3"/>
      <x:c r="AU298" s="3"/>
      <x:c r="AV298" s="3"/>
      <x:c r="AW298" s="3"/>
      <x:c r="AX298" s="3"/>
      <x:c r="AY298" s="3"/>
      <x:c r="AZ298" s="3" t="str">
        <x:f>IF(AND('中古車掲載'!C299="One2car",'中古車掲載'!F299="ATTO 3",'中古車掲載'!L299="EXTENDED RANGE",'中古車掲載'!J299=2023,ISNUMBER('中古車掲載'!N299),'中古車掲載'!N299&gt;=20000,'中古車掲載'!O299&lt;=100000,'中古車掲載'!AL299=1),'中古車掲載'!U299,"")</x:f>
      </x:c>
      <x:c r="BA298" s="3" t="str">
        <x:f>IF(AND('中古車掲載'!C299="One2car",'中古車掲載'!F299="Corolla Cross",'中古車掲載'!L299="HEV PREMIUM SAFETY",'中古車掲載'!J299=2023,ISNUMBER('中古車掲載'!N299),'中古車掲載'!N299&gt;=20000,'中古車掲載'!O299&lt;=100000,'中古車掲載'!AL299=1,'中古車掲載'!Z299="https://www.one2car.com/en/cars-for-sale/toyota/corolla-cross/year-2023"),'中古車掲載'!U299,"")</x:f>
      </x:c>
      <x:c r="BB298" s="3" t="str">
        <x:f>IF(AND('中古車掲載'!C299="One2car",'中古車掲載'!F299="ATTO 3",'中古車掲載'!L299="EXTENDED RANGE",'中古車掲載'!J299=2023,ISNUMBER('中古車掲載'!N299),'中古車掲載'!N299&gt;=50000,'中古車掲載'!O299&lt;=100000,'中古車掲載'!AL299=1),'中古車掲載'!U299,"")</x:f>
      </x:c>
      <x:c r="BC298" s="3" t="str">
        <x:f>IF(AND('中古車掲載'!C299="One2car",'中古車掲載'!F299="Corolla Cross",'中古車掲載'!L299="HEV PREMIUM SAFETY",'中古車掲載'!J299=2023,ISNUMBER('中古車掲載'!N299),'中古車掲載'!N299&gt;=50000,'中古車掲載'!O299&lt;=100000,'中古車掲載'!AL299=1,'中古車掲載'!Z299="https://www.one2car.com/en/cars-for-sale/toyota/corolla-cross/year-2023"),'中古車掲載'!U299,"")</x:f>
      </x:c>
      <x:c r="BD298" s="3" t="str">
        <x:f>IF(AND('中古車掲載'!C299="One2car",'中古車掲載'!F299="ATTO 3",'中古車掲載'!L299="EXTENDED RANGE",'中古車掲載'!J299=2023,ISNUMBER('中古車掲載'!N299),'中古車掲載'!N299&gt;=20000,'中古車掲載'!O299&lt;=50000,'中古車掲載'!AL299=1),'中古車掲載'!U299,"")</x:f>
      </x:c>
      <x:c r="BE298" s="3" t="str">
        <x:f>IF(AND('中古車掲載'!C299="One2car",'中古車掲載'!F299="Corolla Cross",'中古車掲載'!L299="HEV PREMIUM SAFETY",'中古車掲載'!J299=2023,ISNUMBER('中古車掲載'!N299),'中古車掲載'!N299&gt;=20000,'中古車掲載'!O299&lt;=50000,'中古車掲載'!AL299=1,'中古車掲載'!Z299="https://www.one2car.com/en/cars-for-sale/toyota/corolla-cross/year-2023"),'中古車掲載'!U299,"")</x:f>
      </x:c>
      <x:c r="BF298" s="3" t="str">
        <x:f>IF(AND('中古車掲載'!C299="One2car",'中古車掲載'!F299="Corolla Cross",'中古車掲載'!L299="HEV PREMIUM",'中古車掲載'!J299=2023,ISNUMBER('中古車掲載'!N299),'中古車掲載'!N299&gt;=20000,'中古車掲載'!O299&lt;=100000,'中古車掲載'!AL299=1,'中古車掲載'!Z299="https://www.one2car.com/en/cars-for-sale/toyota/corolla-cross/year-2023"),'中古車掲載'!U299,"")</x:f>
      </x:c>
      <x:c r="BG298" s="3" t="str">
        <x:f>IF(AND('中古車掲載'!C299="One2car",'中古車掲載'!F299="Corolla Cross",'中古車掲載'!L299="HEV GR SPORT",'中古車掲載'!J299=2023,ISNUMBER('中古車掲載'!N299),'中古車掲載'!N299&gt;=20000,'中古車掲載'!O299&lt;=100000,'中古車掲載'!AL299=1,'中古車掲載'!Z299="https://www.one2car.com/en/cars-for-sale/toyota/corolla-cross/year-2023"),'中古車掲載'!U299,"")</x:f>
      </x:c>
      <x:c r="BH298" s="3" t="str">
        <x:f>IF(AND('中古車掲載'!C299="One2car",'中古車掲載'!F299="DOLPHIN",'中古車掲載'!L299="STANDARD RANGE",'中古車掲載'!J299=2023,ISNUMBER('中古車掲載'!N299),'中古車掲載'!N299&gt;=20000,'中古車掲載'!O299&lt;=100000,'中古車掲載'!AL299=1),'中古車掲載'!U299,"")</x:f>
      </x:c>
      <x:c r="BI298" s="3" t="str">
        <x:v>Taladrod|Corolla Cross|HEV|Unknown</x:v>
      </x:c>
      <x:c r="BJ298" s="3" t="n">
        <x:v>299</x:v>
      </x:c>
      <x:c r="BK298" s="3" t="n">
        <x:f>'中古車掲載'!AM299</x:f>
        <x:v>579000</x:v>
      </x:c>
      <x:c r="BL298" s="3" t="str">
        <x:f>IF(ISNUMBER('中古車掲載'!AN299),'中古車掲載'!AN299,"")</x:f>
      </x:c>
      <x:c r="BM298" s="3"/>
      <x:c r="BN298" s="3"/>
      <x:c r="BO298" s="3"/>
      <x:c r="BP298" s="3"/>
      <x:c r="BQ298" s="3"/>
      <x:c r="BR298" s="3"/>
    </x:row>
    <x:row r="299" ht="22" customHeight="1">
      <x:c r="A299" s="3" t="str">
        <x:v>Corolla Altis</x:v>
      </x:c>
      <x:c r="B299" s="3" t="str">
        <x:v>ICE</x:v>
      </x:c>
      <x:c r="C299" s="3" t="str">
        <x:v>One2car</x:v>
      </x:c>
      <x:c r="D299" s="3" t="str">
        <x:v>Sedan</x:v>
      </x:c>
      <x:c r="E299" s="3" t="str"/>
      <x:c r="F299" s="3" t="n">
        <x:v>2021</x:v>
      </x:c>
      <x:c r="G299" s="3" t="str">
        <x:v>G</x:v>
      </x:c>
      <x:c r="H299" s="3" t="str">
        <x:v>50–100千km</x:v>
      </x:c>
      <x:c r="I299" s="3" t="str">
        <x:v>世代不明</x:v>
      </x:c>
      <x:c r="J299" s="22" t="n">
        <x:f>COUNT('中古車掲載'!AM32:AM35)</x:f>
        <x:v>4</x:v>
      </x:c>
      <x:c r="K299" s="22" t="n">
        <x:f>IF(COUNT('中古車掲載'!AM32:AM35)=0,"",QUARTILE('中古車掲載'!AM32:AM35,1))</x:f>
        <x:v>429000</x:v>
      </x:c>
      <x:c r="L299" s="22" t="n">
        <x:f>IF(COUNT('中古車掲載'!AM32:AM35)=0,"",MEDIAN('中古車掲載'!AM32:AM35))</x:f>
        <x:v>439000</x:v>
      </x:c>
      <x:c r="M299" s="22" t="n">
        <x:f>IF(COUNT('中古車掲載'!AM32:AM35)=0,"",QUARTILE('中古車掲載'!AM32:AM35,3))</x:f>
        <x:v>440500</x:v>
      </x:c>
      <x:c r="N299" s="22" t="n">
        <x:f>COUNT('中古車掲載'!AN32:AN35)</x:f>
        <x:v>0</x:v>
      </x:c>
      <x:c r="O299" s="23" t="str">
        <x:f>IF(COUNT('中古車掲載'!AN32:AN35)=0,"",MEDIAN('中古車掲載'!AN32:AN35))</x:f>
      </x:c>
      <x:c r="P299" s="3"/>
      <x:c r="Q299" s="3"/>
      <x:c r="R299" s="3"/>
      <x:c r="S299" s="3"/>
      <x:c r="T299" s="3"/>
      <x:c r="U299" s="3"/>
      <x:c r="V299" s="3"/>
      <x:c r="W299" s="3"/>
      <x:c r="X299" s="3"/>
      <x:c r="Y299" s="3"/>
      <x:c r="Z299" s="3"/>
      <x:c r="AA299" s="3"/>
      <x:c r="AB299" s="3"/>
      <x:c r="AC299" s="3"/>
      <x:c r="AD299" s="3"/>
      <x:c r="AE299" s="3"/>
      <x:c r="AF299" s="3"/>
      <x:c r="AG299" s="3"/>
      <x:c r="AH299" s="3"/>
      <x:c r="AI299" s="3"/>
      <x:c r="AJ299" s="3"/>
      <x:c r="AK299" s="3"/>
      <x:c r="AL299" s="3"/>
      <x:c r="AM299" s="3"/>
      <x:c r="AN299" s="3"/>
      <x:c r="AO299" s="3"/>
      <x:c r="AP299" s="3"/>
      <x:c r="AQ299" s="3"/>
      <x:c r="AR299" s="3"/>
      <x:c r="AS299" s="3"/>
      <x:c r="AT299" s="3"/>
      <x:c r="AU299" s="3"/>
      <x:c r="AV299" s="3"/>
      <x:c r="AW299" s="3"/>
      <x:c r="AX299" s="3"/>
      <x:c r="AY299" s="3"/>
      <x:c r="AZ299" s="3" t="str">
        <x:f>IF(AND('中古車掲載'!C300="One2car",'中古車掲載'!F300="ATTO 3",'中古車掲載'!L300="EXTENDED RANGE",'中古車掲載'!J300=2023,ISNUMBER('中古車掲載'!N300),'中古車掲載'!N300&gt;=20000,'中古車掲載'!O300&lt;=100000,'中古車掲載'!AL300=1),'中古車掲載'!U300,"")</x:f>
      </x:c>
      <x:c r="BA299" s="3" t="str">
        <x:f>IF(AND('中古車掲載'!C300="One2car",'中古車掲載'!F300="Corolla Cross",'中古車掲載'!L300="HEV PREMIUM SAFETY",'中古車掲載'!J300=2023,ISNUMBER('中古車掲載'!N300),'中古車掲載'!N300&gt;=20000,'中古車掲載'!O300&lt;=100000,'中古車掲載'!AL300=1,'中古車掲載'!Z300="https://www.one2car.com/en/cars-for-sale/toyota/corolla-cross/year-2023"),'中古車掲載'!U300,"")</x:f>
      </x:c>
      <x:c r="BB299" s="3" t="str">
        <x:f>IF(AND('中古車掲載'!C300="One2car",'中古車掲載'!F300="ATTO 3",'中古車掲載'!L300="EXTENDED RANGE",'中古車掲載'!J300=2023,ISNUMBER('中古車掲載'!N300),'中古車掲載'!N300&gt;=50000,'中古車掲載'!O300&lt;=100000,'中古車掲載'!AL300=1),'中古車掲載'!U300,"")</x:f>
      </x:c>
      <x:c r="BC299" s="3" t="str">
        <x:f>IF(AND('中古車掲載'!C300="One2car",'中古車掲載'!F300="Corolla Cross",'中古車掲載'!L300="HEV PREMIUM SAFETY",'中古車掲載'!J300=2023,ISNUMBER('中古車掲載'!N300),'中古車掲載'!N300&gt;=50000,'中古車掲載'!O300&lt;=100000,'中古車掲載'!AL300=1,'中古車掲載'!Z300="https://www.one2car.com/en/cars-for-sale/toyota/corolla-cross/year-2023"),'中古車掲載'!U300,"")</x:f>
      </x:c>
      <x:c r="BD299" s="3" t="str">
        <x:f>IF(AND('中古車掲載'!C300="One2car",'中古車掲載'!F300="ATTO 3",'中古車掲載'!L300="EXTENDED RANGE",'中古車掲載'!J300=2023,ISNUMBER('中古車掲載'!N300),'中古車掲載'!N300&gt;=20000,'中古車掲載'!O300&lt;=50000,'中古車掲載'!AL300=1),'中古車掲載'!U300,"")</x:f>
      </x:c>
      <x:c r="BE299" s="3" t="str">
        <x:f>IF(AND('中古車掲載'!C300="One2car",'中古車掲載'!F300="Corolla Cross",'中古車掲載'!L300="HEV PREMIUM SAFETY",'中古車掲載'!J300=2023,ISNUMBER('中古車掲載'!N300),'中古車掲載'!N300&gt;=20000,'中古車掲載'!O300&lt;=50000,'中古車掲載'!AL300=1,'中古車掲載'!Z300="https://www.one2car.com/en/cars-for-sale/toyota/corolla-cross/year-2023"),'中古車掲載'!U300,"")</x:f>
      </x:c>
      <x:c r="BF299" s="3" t="str">
        <x:f>IF(AND('中古車掲載'!C300="One2car",'中古車掲載'!F300="Corolla Cross",'中古車掲載'!L300="HEV PREMIUM",'中古車掲載'!J300=2023,ISNUMBER('中古車掲載'!N300),'中古車掲載'!N300&gt;=20000,'中古車掲載'!O300&lt;=100000,'中古車掲載'!AL300=1,'中古車掲載'!Z300="https://www.one2car.com/en/cars-for-sale/toyota/corolla-cross/year-2023"),'中古車掲載'!U300,"")</x:f>
      </x:c>
      <x:c r="BG299" s="3" t="str">
        <x:f>IF(AND('中古車掲載'!C300="One2car",'中古車掲載'!F300="Corolla Cross",'中古車掲載'!L300="HEV GR SPORT",'中古車掲載'!J300=2023,ISNUMBER('中古車掲載'!N300),'中古車掲載'!N300&gt;=20000,'中古車掲載'!O300&lt;=100000,'中古車掲載'!AL300=1,'中古車掲載'!Z300="https://www.one2car.com/en/cars-for-sale/toyota/corolla-cross/year-2023"),'中古車掲載'!U300,"")</x:f>
      </x:c>
      <x:c r="BH299" s="3" t="str">
        <x:f>IF(AND('中古車掲載'!C300="One2car",'中古車掲載'!F300="DOLPHIN",'中古車掲載'!L300="STANDARD RANGE",'中古車掲載'!J300=2023,ISNUMBER('中古車掲載'!N300),'中古車掲載'!N300&gt;=20000,'中古車掲載'!O300&lt;=100000,'中古車掲載'!AL300=1),'中古車掲載'!U300,"")</x:f>
      </x:c>
      <x:c r="BI299" s="3" t="str">
        <x:v>Taladrod|Corolla Cross|HEV|Unknown</x:v>
      </x:c>
      <x:c r="BJ299" s="3" t="n">
        <x:v>300</x:v>
      </x:c>
      <x:c r="BK299" s="3" t="n">
        <x:f>'中古車掲載'!AM300</x:f>
        <x:v>589000</x:v>
      </x:c>
      <x:c r="BL299" s="3" t="str">
        <x:f>IF(ISNUMBER('中古車掲載'!AN300),'中古車掲載'!AN300,"")</x:f>
      </x:c>
      <x:c r="BM299" s="3"/>
      <x:c r="BN299" s="3"/>
      <x:c r="BO299" s="3"/>
      <x:c r="BP299" s="3"/>
      <x:c r="BQ299" s="3"/>
      <x:c r="BR299" s="3"/>
    </x:row>
    <x:row r="300" ht="22" customHeight="1">
      <x:c r="A300" s="3" t="str">
        <x:v>Corolla Altis</x:v>
      </x:c>
      <x:c r="B300" s="3" t="str">
        <x:v>ICE</x:v>
      </x:c>
      <x:c r="C300" s="3" t="str">
        <x:v>One2car</x:v>
      </x:c>
      <x:c r="D300" s="3" t="str">
        <x:v>Sedan</x:v>
      </x:c>
      <x:c r="E300" s="3" t="str"/>
      <x:c r="F300" s="3" t="n">
        <x:v>2022</x:v>
      </x:c>
      <x:c r="G300" s="3" t="str">
        <x:v>G</x:v>
      </x:c>
      <x:c r="H300" s="3" t="str">
        <x:v>100–150千km</x:v>
      </x:c>
      <x:c r="I300" s="3" t="str">
        <x:v>世代不明</x:v>
      </x:c>
      <x:c r="J300" s="22" t="n">
        <x:f>COUNT('中古車掲載'!AM36:AM36)</x:f>
        <x:v>1</x:v>
      </x:c>
      <x:c r="K300" s="22" t="n">
        <x:f>IF(COUNT('中古車掲載'!AM36:AM36)=0,"",QUARTILE('中古車掲載'!AM36:AM36,1))</x:f>
        <x:v>419000</x:v>
      </x:c>
      <x:c r="L300" s="22" t="n">
        <x:f>IF(COUNT('中古車掲載'!AM36:AM36)=0,"",MEDIAN('中古車掲載'!AM36:AM36))</x:f>
        <x:v>419000</x:v>
      </x:c>
      <x:c r="M300" s="22" t="n">
        <x:f>IF(COUNT('中古車掲載'!AM36:AM36)=0,"",QUARTILE('中古車掲載'!AM36:AM36,3))</x:f>
        <x:v>419000</x:v>
      </x:c>
      <x:c r="N300" s="22" t="n">
        <x:f>COUNT('中古車掲載'!AN36:AN36)</x:f>
        <x:v>0</x:v>
      </x:c>
      <x:c r="O300" s="23" t="str">
        <x:f>IF(COUNT('中古車掲載'!AN36:AN36)=0,"",MEDIAN('中古車掲載'!AN36:AN36))</x:f>
      </x:c>
      <x:c r="P300" s="3"/>
      <x:c r="Q300" s="3"/>
      <x:c r="R300" s="3"/>
      <x:c r="S300" s="3"/>
      <x:c r="T300" s="3"/>
      <x:c r="U300" s="3"/>
      <x:c r="V300" s="3"/>
      <x:c r="W300" s="3"/>
      <x:c r="X300" s="3"/>
      <x:c r="Y300" s="3"/>
      <x:c r="Z300" s="3"/>
      <x:c r="AA300" s="3"/>
      <x:c r="AB300" s="3"/>
      <x:c r="AC300" s="3"/>
      <x:c r="AD300" s="3"/>
      <x:c r="AE300" s="3"/>
      <x:c r="AF300" s="3"/>
      <x:c r="AG300" s="3"/>
      <x:c r="AH300" s="3"/>
      <x:c r="AI300" s="3"/>
      <x:c r="AJ300" s="3"/>
      <x:c r="AK300" s="3"/>
      <x:c r="AL300" s="3"/>
      <x:c r="AM300" s="3"/>
      <x:c r="AN300" s="3"/>
      <x:c r="AO300" s="3"/>
      <x:c r="AP300" s="3"/>
      <x:c r="AQ300" s="3"/>
      <x:c r="AR300" s="3"/>
      <x:c r="AS300" s="3"/>
      <x:c r="AT300" s="3"/>
      <x:c r="AU300" s="3"/>
      <x:c r="AV300" s="3"/>
      <x:c r="AW300" s="3"/>
      <x:c r="AX300" s="3"/>
      <x:c r="AY300" s="3"/>
      <x:c r="AZ300" s="3" t="str">
        <x:f>IF(AND('中古車掲載'!C301="One2car",'中古車掲載'!F301="ATTO 3",'中古車掲載'!L301="EXTENDED RANGE",'中古車掲載'!J301=2023,ISNUMBER('中古車掲載'!N301),'中古車掲載'!N301&gt;=20000,'中古車掲載'!O301&lt;=100000,'中古車掲載'!AL301=1),'中古車掲載'!U301,"")</x:f>
      </x:c>
      <x:c r="BA300" s="3" t="str">
        <x:f>IF(AND('中古車掲載'!C301="One2car",'中古車掲載'!F301="Corolla Cross",'中古車掲載'!L301="HEV PREMIUM SAFETY",'中古車掲載'!J301=2023,ISNUMBER('中古車掲載'!N301),'中古車掲載'!N301&gt;=20000,'中古車掲載'!O301&lt;=100000,'中古車掲載'!AL301=1,'中古車掲載'!Z301="https://www.one2car.com/en/cars-for-sale/toyota/corolla-cross/year-2023"),'中古車掲載'!U301,"")</x:f>
      </x:c>
      <x:c r="BB300" s="3" t="str">
        <x:f>IF(AND('中古車掲載'!C301="One2car",'中古車掲載'!F301="ATTO 3",'中古車掲載'!L301="EXTENDED RANGE",'中古車掲載'!J301=2023,ISNUMBER('中古車掲載'!N301),'中古車掲載'!N301&gt;=50000,'中古車掲載'!O301&lt;=100000,'中古車掲載'!AL301=1),'中古車掲載'!U301,"")</x:f>
      </x:c>
      <x:c r="BC300" s="3" t="str">
        <x:f>IF(AND('中古車掲載'!C301="One2car",'中古車掲載'!F301="Corolla Cross",'中古車掲載'!L301="HEV PREMIUM SAFETY",'中古車掲載'!J301=2023,ISNUMBER('中古車掲載'!N301),'中古車掲載'!N301&gt;=50000,'中古車掲載'!O301&lt;=100000,'中古車掲載'!AL301=1,'中古車掲載'!Z301="https://www.one2car.com/en/cars-for-sale/toyota/corolla-cross/year-2023"),'中古車掲載'!U301,"")</x:f>
      </x:c>
      <x:c r="BD300" s="3" t="str">
        <x:f>IF(AND('中古車掲載'!C301="One2car",'中古車掲載'!F301="ATTO 3",'中古車掲載'!L301="EXTENDED RANGE",'中古車掲載'!J301=2023,ISNUMBER('中古車掲載'!N301),'中古車掲載'!N301&gt;=20000,'中古車掲載'!O301&lt;=50000,'中古車掲載'!AL301=1),'中古車掲載'!U301,"")</x:f>
      </x:c>
      <x:c r="BE300" s="3" t="str">
        <x:f>IF(AND('中古車掲載'!C301="One2car",'中古車掲載'!F301="Corolla Cross",'中古車掲載'!L301="HEV PREMIUM SAFETY",'中古車掲載'!J301=2023,ISNUMBER('中古車掲載'!N301),'中古車掲載'!N301&gt;=20000,'中古車掲載'!O301&lt;=50000,'中古車掲載'!AL301=1,'中古車掲載'!Z301="https://www.one2car.com/en/cars-for-sale/toyota/corolla-cross/year-2023"),'中古車掲載'!U301,"")</x:f>
      </x:c>
      <x:c r="BF300" s="3" t="str">
        <x:f>IF(AND('中古車掲載'!C301="One2car",'中古車掲載'!F301="Corolla Cross",'中古車掲載'!L301="HEV PREMIUM",'中古車掲載'!J301=2023,ISNUMBER('中古車掲載'!N301),'中古車掲載'!N301&gt;=20000,'中古車掲載'!O301&lt;=100000,'中古車掲載'!AL301=1,'中古車掲載'!Z301="https://www.one2car.com/en/cars-for-sale/toyota/corolla-cross/year-2023"),'中古車掲載'!U301,"")</x:f>
      </x:c>
      <x:c r="BG300" s="3" t="str">
        <x:f>IF(AND('中古車掲載'!C301="One2car",'中古車掲載'!F301="Corolla Cross",'中古車掲載'!L301="HEV GR SPORT",'中古車掲載'!J301=2023,ISNUMBER('中古車掲載'!N301),'中古車掲載'!N301&gt;=20000,'中古車掲載'!O301&lt;=100000,'中古車掲載'!AL301=1,'中古車掲載'!Z301="https://www.one2car.com/en/cars-for-sale/toyota/corolla-cross/year-2023"),'中古車掲載'!U301,"")</x:f>
      </x:c>
      <x:c r="BH300" s="3" t="str">
        <x:f>IF(AND('中古車掲載'!C301="One2car",'中古車掲載'!F301="DOLPHIN",'中古車掲載'!L301="STANDARD RANGE",'中古車掲載'!J301=2023,ISNUMBER('中古車掲載'!N301),'中古車掲載'!N301&gt;=20000,'中古車掲載'!O301&lt;=100000,'中古車掲載'!AL301=1),'中古車掲載'!U301,"")</x:f>
      </x:c>
      <x:c r="BI300" s="3" t="str">
        <x:v>Taladrod|Corolla Cross|HEV|Unknown</x:v>
      </x:c>
      <x:c r="BJ300" s="3" t="n">
        <x:v>301</x:v>
      </x:c>
      <x:c r="BK300" s="3" t="n">
        <x:f>'中古車掲載'!AM301</x:f>
        <x:v>559000</x:v>
      </x:c>
      <x:c r="BL300" s="3" t="str">
        <x:f>IF(ISNUMBER('中古車掲載'!AN301),'中古車掲載'!AN301,"")</x:f>
      </x:c>
      <x:c r="BM300" s="3"/>
      <x:c r="BN300" s="3"/>
      <x:c r="BO300" s="3"/>
      <x:c r="BP300" s="3"/>
      <x:c r="BQ300" s="3"/>
      <x:c r="BR300" s="3"/>
    </x:row>
    <x:row r="301" ht="22" customHeight="1">
      <x:c r="A301" s="3" t="str">
        <x:v>Corolla Altis</x:v>
      </x:c>
      <x:c r="B301" s="3" t="str">
        <x:v>ICE</x:v>
      </x:c>
      <x:c r="C301" s="3" t="str">
        <x:v>One2car</x:v>
      </x:c>
      <x:c r="D301" s="3" t="str">
        <x:v>Sedan</x:v>
      </x:c>
      <x:c r="E301" s="3" t="str"/>
      <x:c r="F301" s="3" t="n">
        <x:v>2023</x:v>
      </x:c>
      <x:c r="G301" s="3" t="str">
        <x:v>G</x:v>
      </x:c>
      <x:c r="H301" s="3" t="str">
        <x:v>50–100千km</x:v>
      </x:c>
      <x:c r="I301" s="3" t="str">
        <x:v>世代不明</x:v>
      </x:c>
      <x:c r="J301" s="22" t="n">
        <x:f>COUNT('中古車掲載'!AM37:AM37)</x:f>
        <x:v>1</x:v>
      </x:c>
      <x:c r="K301" s="22" t="n">
        <x:f>IF(COUNT('中古車掲載'!AM37:AM37)=0,"",QUARTILE('中古車掲載'!AM37:AM37,1))</x:f>
        <x:v>549000</x:v>
      </x:c>
      <x:c r="L301" s="22" t="n">
        <x:f>IF(COUNT('中古車掲載'!AM37:AM37)=0,"",MEDIAN('中古車掲載'!AM37:AM37))</x:f>
        <x:v>549000</x:v>
      </x:c>
      <x:c r="M301" s="22" t="n">
        <x:f>IF(COUNT('中古車掲載'!AM37:AM37)=0,"",QUARTILE('中古車掲載'!AM37:AM37,3))</x:f>
        <x:v>549000</x:v>
      </x:c>
      <x:c r="N301" s="22" t="n">
        <x:f>COUNT('中古車掲載'!AN37:AN37)</x:f>
        <x:v>0</x:v>
      </x:c>
      <x:c r="O301" s="23" t="str">
        <x:f>IF(COUNT('中古車掲載'!AN37:AN37)=0,"",MEDIAN('中古車掲載'!AN37:AN37))</x:f>
      </x:c>
      <x:c r="P301" s="3"/>
      <x:c r="Q301" s="3"/>
      <x:c r="R301" s="3"/>
      <x:c r="S301" s="3"/>
      <x:c r="T301" s="3"/>
      <x:c r="U301" s="3"/>
      <x:c r="V301" s="3"/>
      <x:c r="W301" s="3"/>
      <x:c r="X301" s="3"/>
      <x:c r="Y301" s="3"/>
      <x:c r="Z301" s="3"/>
      <x:c r="AA301" s="3"/>
      <x:c r="AB301" s="3"/>
      <x:c r="AC301" s="3"/>
      <x:c r="AD301" s="3"/>
      <x:c r="AE301" s="3"/>
      <x:c r="AF301" s="3"/>
      <x:c r="AG301" s="3"/>
      <x:c r="AH301" s="3"/>
      <x:c r="AI301" s="3"/>
      <x:c r="AJ301" s="3"/>
      <x:c r="AK301" s="3"/>
      <x:c r="AL301" s="3"/>
      <x:c r="AM301" s="3"/>
      <x:c r="AN301" s="3"/>
      <x:c r="AO301" s="3"/>
      <x:c r="AP301" s="3"/>
      <x:c r="AQ301" s="3"/>
      <x:c r="AR301" s="3"/>
      <x:c r="AS301" s="3"/>
      <x:c r="AT301" s="3"/>
      <x:c r="AU301" s="3"/>
      <x:c r="AV301" s="3"/>
      <x:c r="AW301" s="3"/>
      <x:c r="AX301" s="3"/>
      <x:c r="AY301" s="3"/>
      <x:c r="AZ301" s="3" t="str">
        <x:f>IF(AND('中古車掲載'!C302="One2car",'中古車掲載'!F302="ATTO 3",'中古車掲載'!L302="EXTENDED RANGE",'中古車掲載'!J302=2023,ISNUMBER('中古車掲載'!N302),'中古車掲載'!N302&gt;=20000,'中古車掲載'!O302&lt;=100000,'中古車掲載'!AL302=1),'中古車掲載'!U302,"")</x:f>
      </x:c>
      <x:c r="BA301" s="3" t="str">
        <x:f>IF(AND('中古車掲載'!C302="One2car",'中古車掲載'!F302="Corolla Cross",'中古車掲載'!L302="HEV PREMIUM SAFETY",'中古車掲載'!J302=2023,ISNUMBER('中古車掲載'!N302),'中古車掲載'!N302&gt;=20000,'中古車掲載'!O302&lt;=100000,'中古車掲載'!AL302=1,'中古車掲載'!Z302="https://www.one2car.com/en/cars-for-sale/toyota/corolla-cross/year-2023"),'中古車掲載'!U302,"")</x:f>
      </x:c>
      <x:c r="BB301" s="3" t="str">
        <x:f>IF(AND('中古車掲載'!C302="One2car",'中古車掲載'!F302="ATTO 3",'中古車掲載'!L302="EXTENDED RANGE",'中古車掲載'!J302=2023,ISNUMBER('中古車掲載'!N302),'中古車掲載'!N302&gt;=50000,'中古車掲載'!O302&lt;=100000,'中古車掲載'!AL302=1),'中古車掲載'!U302,"")</x:f>
      </x:c>
      <x:c r="BC301" s="3" t="str">
        <x:f>IF(AND('中古車掲載'!C302="One2car",'中古車掲載'!F302="Corolla Cross",'中古車掲載'!L302="HEV PREMIUM SAFETY",'中古車掲載'!J302=2023,ISNUMBER('中古車掲載'!N302),'中古車掲載'!N302&gt;=50000,'中古車掲載'!O302&lt;=100000,'中古車掲載'!AL302=1,'中古車掲載'!Z302="https://www.one2car.com/en/cars-for-sale/toyota/corolla-cross/year-2023"),'中古車掲載'!U302,"")</x:f>
      </x:c>
      <x:c r="BD301" s="3" t="str">
        <x:f>IF(AND('中古車掲載'!C302="One2car",'中古車掲載'!F302="ATTO 3",'中古車掲載'!L302="EXTENDED RANGE",'中古車掲載'!J302=2023,ISNUMBER('中古車掲載'!N302),'中古車掲載'!N302&gt;=20000,'中古車掲載'!O302&lt;=50000,'中古車掲載'!AL302=1),'中古車掲載'!U302,"")</x:f>
      </x:c>
      <x:c r="BE301" s="3" t="str">
        <x:f>IF(AND('中古車掲載'!C302="One2car",'中古車掲載'!F302="Corolla Cross",'中古車掲載'!L302="HEV PREMIUM SAFETY",'中古車掲載'!J302=2023,ISNUMBER('中古車掲載'!N302),'中古車掲載'!N302&gt;=20000,'中古車掲載'!O302&lt;=50000,'中古車掲載'!AL302=1,'中古車掲載'!Z302="https://www.one2car.com/en/cars-for-sale/toyota/corolla-cross/year-2023"),'中古車掲載'!U302,"")</x:f>
      </x:c>
      <x:c r="BF301" s="3" t="str">
        <x:f>IF(AND('中古車掲載'!C302="One2car",'中古車掲載'!F302="Corolla Cross",'中古車掲載'!L302="HEV PREMIUM",'中古車掲載'!J302=2023,ISNUMBER('中古車掲載'!N302),'中古車掲載'!N302&gt;=20000,'中古車掲載'!O302&lt;=100000,'中古車掲載'!AL302=1,'中古車掲載'!Z302="https://www.one2car.com/en/cars-for-sale/toyota/corolla-cross/year-2023"),'中古車掲載'!U302,"")</x:f>
      </x:c>
      <x:c r="BG301" s="3" t="str">
        <x:f>IF(AND('中古車掲載'!C302="One2car",'中古車掲載'!F302="Corolla Cross",'中古車掲載'!L302="HEV GR SPORT",'中古車掲載'!J302=2023,ISNUMBER('中古車掲載'!N302),'中古車掲載'!N302&gt;=20000,'中古車掲載'!O302&lt;=100000,'中古車掲載'!AL302=1,'中古車掲載'!Z302="https://www.one2car.com/en/cars-for-sale/toyota/corolla-cross/year-2023"),'中古車掲載'!U302,"")</x:f>
      </x:c>
      <x:c r="BH301" s="3" t="str">
        <x:f>IF(AND('中古車掲載'!C302="One2car",'中古車掲載'!F302="DOLPHIN",'中古車掲載'!L302="STANDARD RANGE",'中古車掲載'!J302=2023,ISNUMBER('中古車掲載'!N302),'中古車掲載'!N302&gt;=20000,'中古車掲載'!O302&lt;=100000,'中古車掲載'!AL302=1),'中古車掲載'!U302,"")</x:f>
      </x:c>
      <x:c r="BI301" s="3" t="str">
        <x:v>Taladrod|Corolla Cross|HEV|Unknown</x:v>
      </x:c>
      <x:c r="BJ301" s="3" t="n">
        <x:v>302</x:v>
      </x:c>
      <x:c r="BK301" s="3" t="n">
        <x:f>'中古車掲載'!AM302</x:f>
        <x:v>638000</x:v>
      </x:c>
      <x:c r="BL301" s="3" t="str">
        <x:f>IF(ISNUMBER('中古車掲載'!AN302),'中古車掲載'!AN302,"")</x:f>
      </x:c>
      <x:c r="BM301" s="3"/>
      <x:c r="BN301" s="3"/>
      <x:c r="BO301" s="3"/>
      <x:c r="BP301" s="3"/>
      <x:c r="BQ301" s="3"/>
      <x:c r="BR301" s="3"/>
    </x:row>
    <x:row r="302" ht="22" customHeight="1">
      <x:c r="A302" s="3" t="str">
        <x:v>Corolla Cross</x:v>
      </x:c>
      <x:c r="B302" s="3" t="str">
        <x:v>HEV</x:v>
      </x:c>
      <x:c r="C302" s="3" t="str">
        <x:v>One2car</x:v>
      </x:c>
      <x:c r="D302" s="3" t="str">
        <x:v>SUV</x:v>
      </x:c>
      <x:c r="E302" s="3" t="str"/>
      <x:c r="F302" s="3" t="n">
        <x:v>2020</x:v>
      </x:c>
      <x:c r="G302" s="3" t="str">
        <x:v>HEV PREMIUM SAFETY</x:v>
      </x:c>
      <x:c r="H302" s="3" t="str">
        <x:v>100–150千km</x:v>
      </x:c>
      <x:c r="I302" s="3" t="str">
        <x:v>世代不明</x:v>
      </x:c>
      <x:c r="J302" s="22" t="n">
        <x:f>COUNT('中古車掲載'!AM38:AM38)</x:f>
        <x:v>1</x:v>
      </x:c>
      <x:c r="K302" s="22" t="n">
        <x:f>IF(COUNT('中古車掲載'!AM38:AM38)=0,"",QUARTILE('中古車掲載'!AM38:AM38,1))</x:f>
        <x:v>595000</x:v>
      </x:c>
      <x:c r="L302" s="22" t="n">
        <x:f>IF(COUNT('中古車掲載'!AM38:AM38)=0,"",MEDIAN('中古車掲載'!AM38:AM38))</x:f>
        <x:v>595000</x:v>
      </x:c>
      <x:c r="M302" s="22" t="n">
        <x:f>IF(COUNT('中古車掲載'!AM38:AM38)=0,"",QUARTILE('中古車掲載'!AM38:AM38,3))</x:f>
        <x:v>595000</x:v>
      </x:c>
      <x:c r="N302" s="22" t="n">
        <x:f>COUNT('中古車掲載'!AN38:AN38)</x:f>
        <x:v>0</x:v>
      </x:c>
      <x:c r="O302" s="23" t="str">
        <x:f>IF(COUNT('中古車掲載'!AN38:AN38)=0,"",MEDIAN('中古車掲載'!AN38:AN38))</x:f>
      </x:c>
      <x:c r="P302" s="3"/>
      <x:c r="Q302" s="3"/>
      <x:c r="R302" s="3"/>
      <x:c r="S302" s="3"/>
      <x:c r="T302" s="3"/>
      <x:c r="U302" s="3"/>
      <x:c r="V302" s="3"/>
      <x:c r="W302" s="3"/>
      <x:c r="X302" s="3"/>
      <x:c r="Y302" s="3"/>
      <x:c r="Z302" s="3"/>
      <x:c r="AA302" s="3"/>
      <x:c r="AB302" s="3"/>
      <x:c r="AC302" s="3"/>
      <x:c r="AD302" s="3"/>
      <x:c r="AE302" s="3"/>
      <x:c r="AF302" s="3"/>
      <x:c r="AG302" s="3"/>
      <x:c r="AH302" s="3"/>
      <x:c r="AI302" s="3"/>
      <x:c r="AJ302" s="3"/>
      <x:c r="AK302" s="3"/>
      <x:c r="AL302" s="3"/>
      <x:c r="AM302" s="3"/>
      <x:c r="AN302" s="3"/>
      <x:c r="AO302" s="3"/>
      <x:c r="AP302" s="3"/>
      <x:c r="AQ302" s="3"/>
      <x:c r="AR302" s="3"/>
      <x:c r="AS302" s="3"/>
      <x:c r="AT302" s="3"/>
      <x:c r="AU302" s="3"/>
      <x:c r="AV302" s="3"/>
      <x:c r="AW302" s="3"/>
      <x:c r="AX302" s="3"/>
      <x:c r="AY302" s="3"/>
      <x:c r="AZ302" s="3" t="str">
        <x:f>IF(AND('中古車掲載'!C303="One2car",'中古車掲載'!F303="ATTO 3",'中古車掲載'!L303="EXTENDED RANGE",'中古車掲載'!J303=2023,ISNUMBER('中古車掲載'!N303),'中古車掲載'!N303&gt;=20000,'中古車掲載'!O303&lt;=100000,'中古車掲載'!AL303=1),'中古車掲載'!U303,"")</x:f>
      </x:c>
      <x:c r="BA302" s="3" t="str">
        <x:f>IF(AND('中古車掲載'!C303="One2car",'中古車掲載'!F303="Corolla Cross",'中古車掲載'!L303="HEV PREMIUM SAFETY",'中古車掲載'!J303=2023,ISNUMBER('中古車掲載'!N303),'中古車掲載'!N303&gt;=20000,'中古車掲載'!O303&lt;=100000,'中古車掲載'!AL303=1,'中古車掲載'!Z303="https://www.one2car.com/en/cars-for-sale/toyota/corolla-cross/year-2023"),'中古車掲載'!U303,"")</x:f>
      </x:c>
      <x:c r="BB302" s="3" t="str">
        <x:f>IF(AND('中古車掲載'!C303="One2car",'中古車掲載'!F303="ATTO 3",'中古車掲載'!L303="EXTENDED RANGE",'中古車掲載'!J303=2023,ISNUMBER('中古車掲載'!N303),'中古車掲載'!N303&gt;=50000,'中古車掲載'!O303&lt;=100000,'中古車掲載'!AL303=1),'中古車掲載'!U303,"")</x:f>
      </x:c>
      <x:c r="BC302" s="3" t="str">
        <x:f>IF(AND('中古車掲載'!C303="One2car",'中古車掲載'!F303="Corolla Cross",'中古車掲載'!L303="HEV PREMIUM SAFETY",'中古車掲載'!J303=2023,ISNUMBER('中古車掲載'!N303),'中古車掲載'!N303&gt;=50000,'中古車掲載'!O303&lt;=100000,'中古車掲載'!AL303=1,'中古車掲載'!Z303="https://www.one2car.com/en/cars-for-sale/toyota/corolla-cross/year-2023"),'中古車掲載'!U303,"")</x:f>
      </x:c>
      <x:c r="BD302" s="3" t="str">
        <x:f>IF(AND('中古車掲載'!C303="One2car",'中古車掲載'!F303="ATTO 3",'中古車掲載'!L303="EXTENDED RANGE",'中古車掲載'!J303=2023,ISNUMBER('中古車掲載'!N303),'中古車掲載'!N303&gt;=20000,'中古車掲載'!O303&lt;=50000,'中古車掲載'!AL303=1),'中古車掲載'!U303,"")</x:f>
      </x:c>
      <x:c r="BE302" s="3" t="str">
        <x:f>IF(AND('中古車掲載'!C303="One2car",'中古車掲載'!F303="Corolla Cross",'中古車掲載'!L303="HEV PREMIUM SAFETY",'中古車掲載'!J303=2023,ISNUMBER('中古車掲載'!N303),'中古車掲載'!N303&gt;=20000,'中古車掲載'!O303&lt;=50000,'中古車掲載'!AL303=1,'中古車掲載'!Z303="https://www.one2car.com/en/cars-for-sale/toyota/corolla-cross/year-2023"),'中古車掲載'!U303,"")</x:f>
      </x:c>
      <x:c r="BF302" s="3" t="str">
        <x:f>IF(AND('中古車掲載'!C303="One2car",'中古車掲載'!F303="Corolla Cross",'中古車掲載'!L303="HEV PREMIUM",'中古車掲載'!J303=2023,ISNUMBER('中古車掲載'!N303),'中古車掲載'!N303&gt;=20000,'中古車掲載'!O303&lt;=100000,'中古車掲載'!AL303=1,'中古車掲載'!Z303="https://www.one2car.com/en/cars-for-sale/toyota/corolla-cross/year-2023"),'中古車掲載'!U303,"")</x:f>
      </x:c>
      <x:c r="BG302" s="3" t="str">
        <x:f>IF(AND('中古車掲載'!C303="One2car",'中古車掲載'!F303="Corolla Cross",'中古車掲載'!L303="HEV GR SPORT",'中古車掲載'!J303=2023,ISNUMBER('中古車掲載'!N303),'中古車掲載'!N303&gt;=20000,'中古車掲載'!O303&lt;=100000,'中古車掲載'!AL303=1,'中古車掲載'!Z303="https://www.one2car.com/en/cars-for-sale/toyota/corolla-cross/year-2023"),'中古車掲載'!U303,"")</x:f>
      </x:c>
      <x:c r="BH302" s="3" t="str">
        <x:f>IF(AND('中古車掲載'!C303="One2car",'中古車掲載'!F303="DOLPHIN",'中古車掲載'!L303="STANDARD RANGE",'中古車掲載'!J303=2023,ISNUMBER('中古車掲載'!N303),'中古車掲載'!N303&gt;=20000,'中古車掲載'!O303&lt;=100000,'中古車掲載'!AL303=1),'中古車掲載'!U303,"")</x:f>
      </x:c>
      <x:c r="BI302" s="3" t="str">
        <x:v>Taladrod|Corolla Cross|HEV|Unknown</x:v>
      </x:c>
      <x:c r="BJ302" s="3" t="n">
        <x:v>303</x:v>
      </x:c>
      <x:c r="BK302" s="3" t="n">
        <x:f>'中古車掲載'!AM303</x:f>
        <x:v>608000</x:v>
      </x:c>
      <x:c r="BL302" s="3" t="str">
        <x:f>IF(ISNUMBER('中古車掲載'!AN303),'中古車掲載'!AN303,"")</x:f>
      </x:c>
      <x:c r="BM302" s="3"/>
      <x:c r="BN302" s="3"/>
      <x:c r="BO302" s="3"/>
      <x:c r="BP302" s="3"/>
      <x:c r="BQ302" s="3"/>
      <x:c r="BR302" s="3"/>
    </x:row>
    <x:row r="303" ht="22" customHeight="1">
      <x:c r="A303" s="3" t="str">
        <x:v>Corolla Cross</x:v>
      </x:c>
      <x:c r="B303" s="3" t="str">
        <x:v>HEV</x:v>
      </x:c>
      <x:c r="C303" s="3" t="str">
        <x:v>One2car</x:v>
      </x:c>
      <x:c r="D303" s="3" t="str">
        <x:v>SUV</x:v>
      </x:c>
      <x:c r="E303" s="3" t="str"/>
      <x:c r="F303" s="3" t="n">
        <x:v>2020</x:v>
      </x:c>
      <x:c r="G303" s="3" t="str">
        <x:v>HEV PREMIUM SAFETY</x:v>
      </x:c>
      <x:c r="H303" s="3" t="str">
        <x:v>150千km以上</x:v>
      </x:c>
      <x:c r="I303" s="3" t="str">
        <x:v>世代不明</x:v>
      </x:c>
      <x:c r="J303" s="22" t="n">
        <x:f>COUNT('中古車掲載'!AM39:AM39)</x:f>
        <x:v>1</x:v>
      </x:c>
      <x:c r="K303" s="22" t="n">
        <x:f>IF(COUNT('中古車掲載'!AM39:AM39)=0,"",QUARTILE('中古車掲載'!AM39:AM39,1))</x:f>
        <x:v>565000</x:v>
      </x:c>
      <x:c r="L303" s="22" t="n">
        <x:f>IF(COUNT('中古車掲載'!AM39:AM39)=0,"",MEDIAN('中古車掲載'!AM39:AM39))</x:f>
        <x:v>565000</x:v>
      </x:c>
      <x:c r="M303" s="22" t="n">
        <x:f>IF(COUNT('中古車掲載'!AM39:AM39)=0,"",QUARTILE('中古車掲載'!AM39:AM39,3))</x:f>
        <x:v>565000</x:v>
      </x:c>
      <x:c r="N303" s="22" t="n">
        <x:f>COUNT('中古車掲載'!AN39:AN39)</x:f>
        <x:v>0</x:v>
      </x:c>
      <x:c r="O303" s="23" t="str">
        <x:f>IF(COUNT('中古車掲載'!AN39:AN39)=0,"",MEDIAN('中古車掲載'!AN39:AN39))</x:f>
      </x:c>
      <x:c r="P303" s="3"/>
      <x:c r="Q303" s="3"/>
      <x:c r="R303" s="3"/>
      <x:c r="S303" s="3"/>
      <x:c r="T303" s="3"/>
      <x:c r="U303" s="3"/>
      <x:c r="V303" s="3"/>
      <x:c r="W303" s="3"/>
      <x:c r="X303" s="3"/>
      <x:c r="Y303" s="3"/>
      <x:c r="Z303" s="3"/>
      <x:c r="AA303" s="3"/>
      <x:c r="AB303" s="3"/>
      <x:c r="AC303" s="3"/>
      <x:c r="AD303" s="3"/>
      <x:c r="AE303" s="3"/>
      <x:c r="AF303" s="3"/>
      <x:c r="AG303" s="3"/>
      <x:c r="AH303" s="3"/>
      <x:c r="AI303" s="3"/>
      <x:c r="AJ303" s="3"/>
      <x:c r="AK303" s="3"/>
      <x:c r="AL303" s="3"/>
      <x:c r="AM303" s="3"/>
      <x:c r="AN303" s="3"/>
      <x:c r="AO303" s="3"/>
      <x:c r="AP303" s="3"/>
      <x:c r="AQ303" s="3"/>
      <x:c r="AR303" s="3"/>
      <x:c r="AS303" s="3"/>
      <x:c r="AT303" s="3"/>
      <x:c r="AU303" s="3"/>
      <x:c r="AV303" s="3"/>
      <x:c r="AW303" s="3"/>
      <x:c r="AX303" s="3"/>
      <x:c r="AY303" s="3"/>
      <x:c r="AZ303" s="3" t="str">
        <x:f>IF(AND('中古車掲載'!C304="One2car",'中古車掲載'!F304="ATTO 3",'中古車掲載'!L304="EXTENDED RANGE",'中古車掲載'!J304=2023,ISNUMBER('中古車掲載'!N304),'中古車掲載'!N304&gt;=20000,'中古車掲載'!O304&lt;=100000,'中古車掲載'!AL304=1),'中古車掲載'!U304,"")</x:f>
      </x:c>
      <x:c r="BA303" s="3" t="str">
        <x:f>IF(AND('中古車掲載'!C304="One2car",'中古車掲載'!F304="Corolla Cross",'中古車掲載'!L304="HEV PREMIUM SAFETY",'中古車掲載'!J304=2023,ISNUMBER('中古車掲載'!N304),'中古車掲載'!N304&gt;=20000,'中古車掲載'!O304&lt;=100000,'中古車掲載'!AL304=1,'中古車掲載'!Z304="https://www.one2car.com/en/cars-for-sale/toyota/corolla-cross/year-2023"),'中古車掲載'!U304,"")</x:f>
      </x:c>
      <x:c r="BB303" s="3" t="str">
        <x:f>IF(AND('中古車掲載'!C304="One2car",'中古車掲載'!F304="ATTO 3",'中古車掲載'!L304="EXTENDED RANGE",'中古車掲載'!J304=2023,ISNUMBER('中古車掲載'!N304),'中古車掲載'!N304&gt;=50000,'中古車掲載'!O304&lt;=100000,'中古車掲載'!AL304=1),'中古車掲載'!U304,"")</x:f>
      </x:c>
      <x:c r="BC303" s="3" t="str">
        <x:f>IF(AND('中古車掲載'!C304="One2car",'中古車掲載'!F304="Corolla Cross",'中古車掲載'!L304="HEV PREMIUM SAFETY",'中古車掲載'!J304=2023,ISNUMBER('中古車掲載'!N304),'中古車掲載'!N304&gt;=50000,'中古車掲載'!O304&lt;=100000,'中古車掲載'!AL304=1,'中古車掲載'!Z304="https://www.one2car.com/en/cars-for-sale/toyota/corolla-cross/year-2023"),'中古車掲載'!U304,"")</x:f>
      </x:c>
      <x:c r="BD303" s="3" t="str">
        <x:f>IF(AND('中古車掲載'!C304="One2car",'中古車掲載'!F304="ATTO 3",'中古車掲載'!L304="EXTENDED RANGE",'中古車掲載'!J304=2023,ISNUMBER('中古車掲載'!N304),'中古車掲載'!N304&gt;=20000,'中古車掲載'!O304&lt;=50000,'中古車掲載'!AL304=1),'中古車掲載'!U304,"")</x:f>
      </x:c>
      <x:c r="BE303" s="3" t="str">
        <x:f>IF(AND('中古車掲載'!C304="One2car",'中古車掲載'!F304="Corolla Cross",'中古車掲載'!L304="HEV PREMIUM SAFETY",'中古車掲載'!J304=2023,ISNUMBER('中古車掲載'!N304),'中古車掲載'!N304&gt;=20000,'中古車掲載'!O304&lt;=50000,'中古車掲載'!AL304=1,'中古車掲載'!Z304="https://www.one2car.com/en/cars-for-sale/toyota/corolla-cross/year-2023"),'中古車掲載'!U304,"")</x:f>
      </x:c>
      <x:c r="BF303" s="3" t="str">
        <x:f>IF(AND('中古車掲載'!C304="One2car",'中古車掲載'!F304="Corolla Cross",'中古車掲載'!L304="HEV PREMIUM",'中古車掲載'!J304=2023,ISNUMBER('中古車掲載'!N304),'中古車掲載'!N304&gt;=20000,'中古車掲載'!O304&lt;=100000,'中古車掲載'!AL304=1,'中古車掲載'!Z304="https://www.one2car.com/en/cars-for-sale/toyota/corolla-cross/year-2023"),'中古車掲載'!U304,"")</x:f>
      </x:c>
      <x:c r="BG303" s="3" t="str">
        <x:f>IF(AND('中古車掲載'!C304="One2car",'中古車掲載'!F304="Corolla Cross",'中古車掲載'!L304="HEV GR SPORT",'中古車掲載'!J304=2023,ISNUMBER('中古車掲載'!N304),'中古車掲載'!N304&gt;=20000,'中古車掲載'!O304&lt;=100000,'中古車掲載'!AL304=1,'中古車掲載'!Z304="https://www.one2car.com/en/cars-for-sale/toyota/corolla-cross/year-2023"),'中古車掲載'!U304,"")</x:f>
      </x:c>
      <x:c r="BH303" s="3" t="str">
        <x:f>IF(AND('中古車掲載'!C304="One2car",'中古車掲載'!F304="DOLPHIN",'中古車掲載'!L304="STANDARD RANGE",'中古車掲載'!J304=2023,ISNUMBER('中古車掲載'!N304),'中古車掲載'!N304&gt;=20000,'中古車掲載'!O304&lt;=100000,'中古車掲載'!AL304=1),'中古車掲載'!U304,"")</x:f>
      </x:c>
      <x:c r="BI303" s="3" t="str">
        <x:v>Taladrod|Corolla Cross|HEV|Unknown</x:v>
      </x:c>
      <x:c r="BJ303" s="3" t="n">
        <x:v>304</x:v>
      </x:c>
      <x:c r="BK303" s="3" t="n">
        <x:f>'中古車掲載'!AM304</x:f>
        <x:v>569000</x:v>
      </x:c>
      <x:c r="BL303" s="3" t="str">
        <x:f>IF(ISNUMBER('中古車掲載'!AN304),'中古車掲載'!AN304,"")</x:f>
      </x:c>
      <x:c r="BM303" s="3"/>
      <x:c r="BN303" s="3"/>
      <x:c r="BO303" s="3"/>
      <x:c r="BP303" s="3"/>
      <x:c r="BQ303" s="3"/>
      <x:c r="BR303" s="3"/>
    </x:row>
    <x:row r="304" ht="22" customHeight="1">
      <x:c r="A304" s="3" t="str">
        <x:v>Corolla Cross</x:v>
      </x:c>
      <x:c r="B304" s="3" t="str">
        <x:v>HEV</x:v>
      </x:c>
      <x:c r="C304" s="3" t="str">
        <x:v>One2car</x:v>
      </x:c>
      <x:c r="D304" s="3" t="str">
        <x:v>SUV</x:v>
      </x:c>
      <x:c r="E304" s="3" t="str"/>
      <x:c r="F304" s="3" t="n">
        <x:v>2020</x:v>
      </x:c>
      <x:c r="G304" s="3" t="str">
        <x:v>HEV PREMIUM SAFETY</x:v>
      </x:c>
      <x:c r="H304" s="3" t="str">
        <x:v>50–100千km</x:v>
      </x:c>
      <x:c r="I304" s="3" t="str">
        <x:v>世代不明</x:v>
      </x:c>
      <x:c r="J304" s="22" t="n">
        <x:f>COUNT('中古車掲載'!AM40:AM40)</x:f>
        <x:v>1</x:v>
      </x:c>
      <x:c r="K304" s="22" t="n">
        <x:f>IF(COUNT('中古車掲載'!AM40:AM40)=0,"",QUARTILE('中古車掲載'!AM40:AM40,1))</x:f>
        <x:v>698000</x:v>
      </x:c>
      <x:c r="L304" s="22" t="n">
        <x:f>IF(COUNT('中古車掲載'!AM40:AM40)=0,"",MEDIAN('中古車掲載'!AM40:AM40))</x:f>
        <x:v>698000</x:v>
      </x:c>
      <x:c r="M304" s="22" t="n">
        <x:f>IF(COUNT('中古車掲載'!AM40:AM40)=0,"",QUARTILE('中古車掲載'!AM40:AM40,3))</x:f>
        <x:v>698000</x:v>
      </x:c>
      <x:c r="N304" s="22" t="n">
        <x:f>COUNT('中古車掲載'!AN40:AN40)</x:f>
        <x:v>0</x:v>
      </x:c>
      <x:c r="O304" s="23" t="str">
        <x:f>IF(COUNT('中古車掲載'!AN40:AN40)=0,"",MEDIAN('中古車掲載'!AN40:AN40))</x:f>
      </x:c>
      <x:c r="P304" s="3"/>
      <x:c r="Q304" s="3"/>
      <x:c r="R304" s="3"/>
      <x:c r="S304" s="3"/>
      <x:c r="T304" s="3"/>
      <x:c r="U304" s="3"/>
      <x:c r="V304" s="3"/>
      <x:c r="W304" s="3"/>
      <x:c r="X304" s="3"/>
      <x:c r="Y304" s="3"/>
      <x:c r="Z304" s="3"/>
      <x:c r="AA304" s="3"/>
      <x:c r="AB304" s="3"/>
      <x:c r="AC304" s="3"/>
      <x:c r="AD304" s="3"/>
      <x:c r="AE304" s="3"/>
      <x:c r="AF304" s="3"/>
      <x:c r="AG304" s="3"/>
      <x:c r="AH304" s="3"/>
      <x:c r="AI304" s="3"/>
      <x:c r="AJ304" s="3"/>
      <x:c r="AK304" s="3"/>
      <x:c r="AL304" s="3"/>
      <x:c r="AM304" s="3"/>
      <x:c r="AN304" s="3"/>
      <x:c r="AO304" s="3"/>
      <x:c r="AP304" s="3"/>
      <x:c r="AQ304" s="3"/>
      <x:c r="AR304" s="3"/>
      <x:c r="AS304" s="3"/>
      <x:c r="AT304" s="3"/>
      <x:c r="AU304" s="3"/>
      <x:c r="AV304" s="3"/>
      <x:c r="AW304" s="3"/>
      <x:c r="AX304" s="3"/>
      <x:c r="AY304" s="3"/>
      <x:c r="AZ304" s="3" t="str">
        <x:f>IF(AND('中古車掲載'!C305="One2car",'中古車掲載'!F305="ATTO 3",'中古車掲載'!L305="EXTENDED RANGE",'中古車掲載'!J305=2023,ISNUMBER('中古車掲載'!N305),'中古車掲載'!N305&gt;=20000,'中古車掲載'!O305&lt;=100000,'中古車掲載'!AL305=1),'中古車掲載'!U305,"")</x:f>
      </x:c>
      <x:c r="BA304" s="3" t="str">
        <x:f>IF(AND('中古車掲載'!C305="One2car",'中古車掲載'!F305="Corolla Cross",'中古車掲載'!L305="HEV PREMIUM SAFETY",'中古車掲載'!J305=2023,ISNUMBER('中古車掲載'!N305),'中古車掲載'!N305&gt;=20000,'中古車掲載'!O305&lt;=100000,'中古車掲載'!AL305=1,'中古車掲載'!Z305="https://www.one2car.com/en/cars-for-sale/toyota/corolla-cross/year-2023"),'中古車掲載'!U305,"")</x:f>
      </x:c>
      <x:c r="BB304" s="3" t="str">
        <x:f>IF(AND('中古車掲載'!C305="One2car",'中古車掲載'!F305="ATTO 3",'中古車掲載'!L305="EXTENDED RANGE",'中古車掲載'!J305=2023,ISNUMBER('中古車掲載'!N305),'中古車掲載'!N305&gt;=50000,'中古車掲載'!O305&lt;=100000,'中古車掲載'!AL305=1),'中古車掲載'!U305,"")</x:f>
      </x:c>
      <x:c r="BC304" s="3" t="str">
        <x:f>IF(AND('中古車掲載'!C305="One2car",'中古車掲載'!F305="Corolla Cross",'中古車掲載'!L305="HEV PREMIUM SAFETY",'中古車掲載'!J305=2023,ISNUMBER('中古車掲載'!N305),'中古車掲載'!N305&gt;=50000,'中古車掲載'!O305&lt;=100000,'中古車掲載'!AL305=1,'中古車掲載'!Z305="https://www.one2car.com/en/cars-for-sale/toyota/corolla-cross/year-2023"),'中古車掲載'!U305,"")</x:f>
      </x:c>
      <x:c r="BD304" s="3" t="str">
        <x:f>IF(AND('中古車掲載'!C305="One2car",'中古車掲載'!F305="ATTO 3",'中古車掲載'!L305="EXTENDED RANGE",'中古車掲載'!J305=2023,ISNUMBER('中古車掲載'!N305),'中古車掲載'!N305&gt;=20000,'中古車掲載'!O305&lt;=50000,'中古車掲載'!AL305=1),'中古車掲載'!U305,"")</x:f>
      </x:c>
      <x:c r="BE304" s="3" t="str">
        <x:f>IF(AND('中古車掲載'!C305="One2car",'中古車掲載'!F305="Corolla Cross",'中古車掲載'!L305="HEV PREMIUM SAFETY",'中古車掲載'!J305=2023,ISNUMBER('中古車掲載'!N305),'中古車掲載'!N305&gt;=20000,'中古車掲載'!O305&lt;=50000,'中古車掲載'!AL305=1,'中古車掲載'!Z305="https://www.one2car.com/en/cars-for-sale/toyota/corolla-cross/year-2023"),'中古車掲載'!U305,"")</x:f>
      </x:c>
      <x:c r="BF304" s="3" t="str">
        <x:f>IF(AND('中古車掲載'!C305="One2car",'中古車掲載'!F305="Corolla Cross",'中古車掲載'!L305="HEV PREMIUM",'中古車掲載'!J305=2023,ISNUMBER('中古車掲載'!N305),'中古車掲載'!N305&gt;=20000,'中古車掲載'!O305&lt;=100000,'中古車掲載'!AL305=1,'中古車掲載'!Z305="https://www.one2car.com/en/cars-for-sale/toyota/corolla-cross/year-2023"),'中古車掲載'!U305,"")</x:f>
      </x:c>
      <x:c r="BG304" s="3" t="str">
        <x:f>IF(AND('中古車掲載'!C305="One2car",'中古車掲載'!F305="Corolla Cross",'中古車掲載'!L305="HEV GR SPORT",'中古車掲載'!J305=2023,ISNUMBER('中古車掲載'!N305),'中古車掲載'!N305&gt;=20000,'中古車掲載'!O305&lt;=100000,'中古車掲載'!AL305=1,'中古車掲載'!Z305="https://www.one2car.com/en/cars-for-sale/toyota/corolla-cross/year-2023"),'中古車掲載'!U305,"")</x:f>
      </x:c>
      <x:c r="BH304" s="3" t="str">
        <x:f>IF(AND('中古車掲載'!C305="One2car",'中古車掲載'!F305="DOLPHIN",'中古車掲載'!L305="STANDARD RANGE",'中古車掲載'!J305=2023,ISNUMBER('中古車掲載'!N305),'中古車掲載'!N305&gt;=20000,'中古車掲載'!O305&lt;=100000,'中古車掲載'!AL305=1),'中古車掲載'!U305,"")</x:f>
      </x:c>
      <x:c r="BI304" s="3" t="str">
        <x:v>Taladrod|Corolla Cross|HEV|Unknown</x:v>
      </x:c>
      <x:c r="BJ304" s="3" t="n">
        <x:v>305</x:v>
      </x:c>
      <x:c r="BK304" s="3" t="n">
        <x:f>'中古車掲載'!AM305</x:f>
        <x:v>599000</x:v>
      </x:c>
      <x:c r="BL304" s="3" t="str">
        <x:f>IF(ISNUMBER('中古車掲載'!AN305),'中古車掲載'!AN305,"")</x:f>
      </x:c>
      <x:c r="BM304" s="3"/>
      <x:c r="BN304" s="3"/>
      <x:c r="BO304" s="3"/>
      <x:c r="BP304" s="3"/>
      <x:c r="BQ304" s="3"/>
      <x:c r="BR304" s="3"/>
    </x:row>
    <x:row r="305" ht="22" customHeight="1">
      <x:c r="A305" s="3" t="str">
        <x:v>Corolla Cross</x:v>
      </x:c>
      <x:c r="B305" s="3" t="str">
        <x:v>HEV</x:v>
      </x:c>
      <x:c r="C305" s="3" t="str">
        <x:v>One2car</x:v>
      </x:c>
      <x:c r="D305" s="3" t="str">
        <x:v>SUV</x:v>
      </x:c>
      <x:c r="E305" s="3" t="str"/>
      <x:c r="F305" s="3" t="n">
        <x:v>2020</x:v>
      </x:c>
      <x:c r="G305" s="3" t="str">
        <x:v>HEV SMART</x:v>
      </x:c>
      <x:c r="H305" s="3" t="str">
        <x:v>50–100千km</x:v>
      </x:c>
      <x:c r="I305" s="3" t="str">
        <x:v>世代不明</x:v>
      </x:c>
      <x:c r="J305" s="22" t="n">
        <x:f>COUNT('中古車掲載'!AM41:AM41)</x:f>
        <x:v>1</x:v>
      </x:c>
      <x:c r="K305" s="22" t="n">
        <x:f>IF(COUNT('中古車掲載'!AM41:AM41)=0,"",QUARTILE('中古車掲載'!AM41:AM41,1))</x:f>
        <x:v>569000</x:v>
      </x:c>
      <x:c r="L305" s="22" t="n">
        <x:f>IF(COUNT('中古車掲載'!AM41:AM41)=0,"",MEDIAN('中古車掲載'!AM41:AM41))</x:f>
        <x:v>569000</x:v>
      </x:c>
      <x:c r="M305" s="22" t="n">
        <x:f>IF(COUNT('中古車掲載'!AM41:AM41)=0,"",QUARTILE('中古車掲載'!AM41:AM41,3))</x:f>
        <x:v>569000</x:v>
      </x:c>
      <x:c r="N305" s="22" t="n">
        <x:f>COUNT('中古車掲載'!AN41:AN41)</x:f>
        <x:v>0</x:v>
      </x:c>
      <x:c r="O305" s="23" t="str">
        <x:f>IF(COUNT('中古車掲載'!AN41:AN41)=0,"",MEDIAN('中古車掲載'!AN41:AN41))</x:f>
      </x:c>
      <x:c r="P305" s="3"/>
      <x:c r="Q305" s="3"/>
      <x:c r="R305" s="3"/>
      <x:c r="S305" s="3"/>
      <x:c r="T305" s="3"/>
      <x:c r="U305" s="3"/>
      <x:c r="V305" s="3"/>
      <x:c r="W305" s="3"/>
      <x:c r="X305" s="3"/>
      <x:c r="Y305" s="3"/>
      <x:c r="Z305" s="3"/>
      <x:c r="AA305" s="3"/>
      <x:c r="AB305" s="3"/>
      <x:c r="AC305" s="3"/>
      <x:c r="AD305" s="3"/>
      <x:c r="AE305" s="3"/>
      <x:c r="AF305" s="3"/>
      <x:c r="AG305" s="3"/>
      <x:c r="AH305" s="3"/>
      <x:c r="AI305" s="3"/>
      <x:c r="AJ305" s="3"/>
      <x:c r="AK305" s="3"/>
      <x:c r="AL305" s="3"/>
      <x:c r="AM305" s="3"/>
      <x:c r="AN305" s="3"/>
      <x:c r="AO305" s="3"/>
      <x:c r="AP305" s="3"/>
      <x:c r="AQ305" s="3"/>
      <x:c r="AR305" s="3"/>
      <x:c r="AS305" s="3"/>
      <x:c r="AT305" s="3"/>
      <x:c r="AU305" s="3"/>
      <x:c r="AV305" s="3"/>
      <x:c r="AW305" s="3"/>
      <x:c r="AX305" s="3"/>
      <x:c r="AY305" s="3"/>
      <x:c r="AZ305" s="3" t="str">
        <x:f>IF(AND('中古車掲載'!C306="One2car",'中古車掲載'!F306="ATTO 3",'中古車掲載'!L306="EXTENDED RANGE",'中古車掲載'!J306=2023,ISNUMBER('中古車掲載'!N306),'中古車掲載'!N306&gt;=20000,'中古車掲載'!O306&lt;=100000,'中古車掲載'!AL306=1),'中古車掲載'!U306,"")</x:f>
      </x:c>
      <x:c r="BA305" s="3" t="str">
        <x:f>IF(AND('中古車掲載'!C306="One2car",'中古車掲載'!F306="Corolla Cross",'中古車掲載'!L306="HEV PREMIUM SAFETY",'中古車掲載'!J306=2023,ISNUMBER('中古車掲載'!N306),'中古車掲載'!N306&gt;=20000,'中古車掲載'!O306&lt;=100000,'中古車掲載'!AL306=1,'中古車掲載'!Z306="https://www.one2car.com/en/cars-for-sale/toyota/corolla-cross/year-2023"),'中古車掲載'!U306,"")</x:f>
      </x:c>
      <x:c r="BB305" s="3" t="str">
        <x:f>IF(AND('中古車掲載'!C306="One2car",'中古車掲載'!F306="ATTO 3",'中古車掲載'!L306="EXTENDED RANGE",'中古車掲載'!J306=2023,ISNUMBER('中古車掲載'!N306),'中古車掲載'!N306&gt;=50000,'中古車掲載'!O306&lt;=100000,'中古車掲載'!AL306=1),'中古車掲載'!U306,"")</x:f>
      </x:c>
      <x:c r="BC305" s="3" t="str">
        <x:f>IF(AND('中古車掲載'!C306="One2car",'中古車掲載'!F306="Corolla Cross",'中古車掲載'!L306="HEV PREMIUM SAFETY",'中古車掲載'!J306=2023,ISNUMBER('中古車掲載'!N306),'中古車掲載'!N306&gt;=50000,'中古車掲載'!O306&lt;=100000,'中古車掲載'!AL306=1,'中古車掲載'!Z306="https://www.one2car.com/en/cars-for-sale/toyota/corolla-cross/year-2023"),'中古車掲載'!U306,"")</x:f>
      </x:c>
      <x:c r="BD305" s="3" t="str">
        <x:f>IF(AND('中古車掲載'!C306="One2car",'中古車掲載'!F306="ATTO 3",'中古車掲載'!L306="EXTENDED RANGE",'中古車掲載'!J306=2023,ISNUMBER('中古車掲載'!N306),'中古車掲載'!N306&gt;=20000,'中古車掲載'!O306&lt;=50000,'中古車掲載'!AL306=1),'中古車掲載'!U306,"")</x:f>
      </x:c>
      <x:c r="BE305" s="3" t="str">
        <x:f>IF(AND('中古車掲載'!C306="One2car",'中古車掲載'!F306="Corolla Cross",'中古車掲載'!L306="HEV PREMIUM SAFETY",'中古車掲載'!J306=2023,ISNUMBER('中古車掲載'!N306),'中古車掲載'!N306&gt;=20000,'中古車掲載'!O306&lt;=50000,'中古車掲載'!AL306=1,'中古車掲載'!Z306="https://www.one2car.com/en/cars-for-sale/toyota/corolla-cross/year-2023"),'中古車掲載'!U306,"")</x:f>
      </x:c>
      <x:c r="BF305" s="3" t="str">
        <x:f>IF(AND('中古車掲載'!C306="One2car",'中古車掲載'!F306="Corolla Cross",'中古車掲載'!L306="HEV PREMIUM",'中古車掲載'!J306=2023,ISNUMBER('中古車掲載'!N306),'中古車掲載'!N306&gt;=20000,'中古車掲載'!O306&lt;=100000,'中古車掲載'!AL306=1,'中古車掲載'!Z306="https://www.one2car.com/en/cars-for-sale/toyota/corolla-cross/year-2023"),'中古車掲載'!U306,"")</x:f>
      </x:c>
      <x:c r="BG305" s="3" t="str">
        <x:f>IF(AND('中古車掲載'!C306="One2car",'中古車掲載'!F306="Corolla Cross",'中古車掲載'!L306="HEV GR SPORT",'中古車掲載'!J306=2023,ISNUMBER('中古車掲載'!N306),'中古車掲載'!N306&gt;=20000,'中古車掲載'!O306&lt;=100000,'中古車掲載'!AL306=1,'中古車掲載'!Z306="https://www.one2car.com/en/cars-for-sale/toyota/corolla-cross/year-2023"),'中古車掲載'!U306,"")</x:f>
      </x:c>
      <x:c r="BH305" s="3" t="str">
        <x:f>IF(AND('中古車掲載'!C306="One2car",'中古車掲載'!F306="DOLPHIN",'中古車掲載'!L306="STANDARD RANGE",'中古車掲載'!J306=2023,ISNUMBER('中古車掲載'!N306),'中古車掲載'!N306&gt;=20000,'中古車掲載'!O306&lt;=100000,'中古車掲載'!AL306=1),'中古車掲載'!U306,"")</x:f>
      </x:c>
      <x:c r="BI305" s="3" t="str">
        <x:v>Taladrod|Corolla Cross|HEV|Unknown</x:v>
      </x:c>
      <x:c r="BJ305" s="3" t="n">
        <x:v>306</x:v>
      </x:c>
      <x:c r="BK305" s="3" t="n">
        <x:f>'中古車掲載'!AM306</x:f>
        <x:v>669000</x:v>
      </x:c>
      <x:c r="BL305" s="3" t="str">
        <x:f>IF(ISNUMBER('中古車掲載'!AN306),'中古車掲載'!AN306,"")</x:f>
      </x:c>
      <x:c r="BM305" s="3"/>
      <x:c r="BN305" s="3"/>
      <x:c r="BO305" s="3"/>
      <x:c r="BP305" s="3"/>
      <x:c r="BQ305" s="3"/>
      <x:c r="BR305" s="3"/>
    </x:row>
    <x:row r="306" ht="22" customHeight="1">
      <x:c r="A306" s="3" t="str">
        <x:v>Corolla Cross</x:v>
      </x:c>
      <x:c r="B306" s="3" t="str">
        <x:v>HEV</x:v>
      </x:c>
      <x:c r="C306" s="3" t="str">
        <x:v>One2car</x:v>
      </x:c>
      <x:c r="D306" s="3" t="str">
        <x:v>SUV</x:v>
      </x:c>
      <x:c r="E306" s="3" t="str"/>
      <x:c r="F306" s="3" t="n">
        <x:v>2021</x:v>
      </x:c>
      <x:c r="G306" s="3" t="str">
        <x:v>HEV PREMIUM</x:v>
      </x:c>
      <x:c r="H306" s="3" t="str">
        <x:v>150千km以上</x:v>
      </x:c>
      <x:c r="I306" s="3" t="str">
        <x:v>世代不明</x:v>
      </x:c>
      <x:c r="J306" s="22" t="n">
        <x:f>COUNT('中古車掲載'!AM42:AM44)</x:f>
        <x:v>3</x:v>
      </x:c>
      <x:c r="K306" s="22" t="n">
        <x:f>IF(COUNT('中古車掲載'!AM42:AM44)=0,"",QUARTILE('中古車掲載'!AM42:AM44,1))</x:f>
        <x:v>577000</x:v>
      </x:c>
      <x:c r="L306" s="22" t="n">
        <x:f>IF(COUNT('中古車掲載'!AM42:AM44)=0,"",MEDIAN('中古車掲載'!AM42:AM44))</x:f>
        <x:v>579000</x:v>
      </x:c>
      <x:c r="M306" s="22" t="n">
        <x:f>IF(COUNT('中古車掲載'!AM42:AM44)=0,"",QUARTILE('中古車掲載'!AM42:AM44,3))</x:f>
        <x:v>581500</x:v>
      </x:c>
      <x:c r="N306" s="22" t="n">
        <x:f>COUNT('中古車掲載'!AN42:AN44)</x:f>
        <x:v>0</x:v>
      </x:c>
      <x:c r="O306" s="23" t="str">
        <x:f>IF(COUNT('中古車掲載'!AN42:AN44)=0,"",MEDIAN('中古車掲載'!AN42:AN44))</x:f>
      </x:c>
      <x:c r="P306" s="3"/>
      <x:c r="Q306" s="3"/>
      <x:c r="R306" s="3"/>
      <x:c r="S306" s="3"/>
      <x:c r="T306" s="3"/>
      <x:c r="U306" s="3"/>
      <x:c r="V306" s="3"/>
      <x:c r="W306" s="3"/>
      <x:c r="X306" s="3"/>
      <x:c r="Y306" s="3"/>
      <x:c r="Z306" s="3"/>
      <x:c r="AA306" s="3"/>
      <x:c r="AB306" s="3"/>
      <x:c r="AC306" s="3"/>
      <x:c r="AD306" s="3"/>
      <x:c r="AE306" s="3"/>
      <x:c r="AF306" s="3"/>
      <x:c r="AG306" s="3"/>
      <x:c r="AH306" s="3"/>
      <x:c r="AI306" s="3"/>
      <x:c r="AJ306" s="3"/>
      <x:c r="AK306" s="3"/>
      <x:c r="AL306" s="3"/>
      <x:c r="AM306" s="3"/>
      <x:c r="AN306" s="3"/>
      <x:c r="AO306" s="3"/>
      <x:c r="AP306" s="3"/>
      <x:c r="AQ306" s="3"/>
      <x:c r="AR306" s="3"/>
      <x:c r="AS306" s="3"/>
      <x:c r="AT306" s="3"/>
      <x:c r="AU306" s="3"/>
      <x:c r="AV306" s="3"/>
      <x:c r="AW306" s="3"/>
      <x:c r="AX306" s="3"/>
      <x:c r="AY306" s="3"/>
      <x:c r="AZ306" s="3" t="str">
        <x:f>IF(AND('中古車掲載'!C307="One2car",'中古車掲載'!F307="ATTO 3",'中古車掲載'!L307="EXTENDED RANGE",'中古車掲載'!J307=2023,ISNUMBER('中古車掲載'!N307),'中古車掲載'!N307&gt;=20000,'中古車掲載'!O307&lt;=100000,'中古車掲載'!AL307=1),'中古車掲載'!U307,"")</x:f>
      </x:c>
      <x:c r="BA306" s="3" t="str">
        <x:f>IF(AND('中古車掲載'!C307="One2car",'中古車掲載'!F307="Corolla Cross",'中古車掲載'!L307="HEV PREMIUM SAFETY",'中古車掲載'!J307=2023,ISNUMBER('中古車掲載'!N307),'中古車掲載'!N307&gt;=20000,'中古車掲載'!O307&lt;=100000,'中古車掲載'!AL307=1,'中古車掲載'!Z307="https://www.one2car.com/en/cars-for-sale/toyota/corolla-cross/year-2023"),'中古車掲載'!U307,"")</x:f>
      </x:c>
      <x:c r="BB306" s="3" t="str">
        <x:f>IF(AND('中古車掲載'!C307="One2car",'中古車掲載'!F307="ATTO 3",'中古車掲載'!L307="EXTENDED RANGE",'中古車掲載'!J307=2023,ISNUMBER('中古車掲載'!N307),'中古車掲載'!N307&gt;=50000,'中古車掲載'!O307&lt;=100000,'中古車掲載'!AL307=1),'中古車掲載'!U307,"")</x:f>
      </x:c>
      <x:c r="BC306" s="3" t="str">
        <x:f>IF(AND('中古車掲載'!C307="One2car",'中古車掲載'!F307="Corolla Cross",'中古車掲載'!L307="HEV PREMIUM SAFETY",'中古車掲載'!J307=2023,ISNUMBER('中古車掲載'!N307),'中古車掲載'!N307&gt;=50000,'中古車掲載'!O307&lt;=100000,'中古車掲載'!AL307=1,'中古車掲載'!Z307="https://www.one2car.com/en/cars-for-sale/toyota/corolla-cross/year-2023"),'中古車掲載'!U307,"")</x:f>
      </x:c>
      <x:c r="BD306" s="3" t="str">
        <x:f>IF(AND('中古車掲載'!C307="One2car",'中古車掲載'!F307="ATTO 3",'中古車掲載'!L307="EXTENDED RANGE",'中古車掲載'!J307=2023,ISNUMBER('中古車掲載'!N307),'中古車掲載'!N307&gt;=20000,'中古車掲載'!O307&lt;=50000,'中古車掲載'!AL307=1),'中古車掲載'!U307,"")</x:f>
      </x:c>
      <x:c r="BE306" s="3" t="str">
        <x:f>IF(AND('中古車掲載'!C307="One2car",'中古車掲載'!F307="Corolla Cross",'中古車掲載'!L307="HEV PREMIUM SAFETY",'中古車掲載'!J307=2023,ISNUMBER('中古車掲載'!N307),'中古車掲載'!N307&gt;=20000,'中古車掲載'!O307&lt;=50000,'中古車掲載'!AL307=1,'中古車掲載'!Z307="https://www.one2car.com/en/cars-for-sale/toyota/corolla-cross/year-2023"),'中古車掲載'!U307,"")</x:f>
      </x:c>
      <x:c r="BF306" s="3" t="str">
        <x:f>IF(AND('中古車掲載'!C307="One2car",'中古車掲載'!F307="Corolla Cross",'中古車掲載'!L307="HEV PREMIUM",'中古車掲載'!J307=2023,ISNUMBER('中古車掲載'!N307),'中古車掲載'!N307&gt;=20000,'中古車掲載'!O307&lt;=100000,'中古車掲載'!AL307=1,'中古車掲載'!Z307="https://www.one2car.com/en/cars-for-sale/toyota/corolla-cross/year-2023"),'中古車掲載'!U307,"")</x:f>
      </x:c>
      <x:c r="BG306" s="3" t="str">
        <x:f>IF(AND('中古車掲載'!C307="One2car",'中古車掲載'!F307="Corolla Cross",'中古車掲載'!L307="HEV GR SPORT",'中古車掲載'!J307=2023,ISNUMBER('中古車掲載'!N307),'中古車掲載'!N307&gt;=20000,'中古車掲載'!O307&lt;=100000,'中古車掲載'!AL307=1,'中古車掲載'!Z307="https://www.one2car.com/en/cars-for-sale/toyota/corolla-cross/year-2023"),'中古車掲載'!U307,"")</x:f>
      </x:c>
      <x:c r="BH306" s="3" t="str">
        <x:f>IF(AND('中古車掲載'!C307="One2car",'中古車掲載'!F307="DOLPHIN",'中古車掲載'!L307="STANDARD RANGE",'中古車掲載'!J307=2023,ISNUMBER('中古車掲載'!N307),'中古車掲載'!N307&gt;=20000,'中古車掲載'!O307&lt;=100000,'中古車掲載'!AL307=1),'中古車掲載'!U307,"")</x:f>
      </x:c>
      <x:c r="BI306" s="3" t="str">
        <x:v>Taladrod|Corolla Cross|HEV|Unknown</x:v>
      </x:c>
      <x:c r="BJ306" s="3" t="n">
        <x:v>307</x:v>
      </x:c>
      <x:c r="BK306" s="3" t="n">
        <x:f>'中古車掲載'!AM307</x:f>
        <x:v>599000</x:v>
      </x:c>
      <x:c r="BL306" s="3" t="str">
        <x:f>IF(ISNUMBER('中古車掲載'!AN307),'中古車掲載'!AN307,"")</x:f>
      </x:c>
      <x:c r="BM306" s="3"/>
      <x:c r="BN306" s="3"/>
      <x:c r="BO306" s="3"/>
      <x:c r="BP306" s="3"/>
      <x:c r="BQ306" s="3"/>
      <x:c r="BR306" s="3"/>
    </x:row>
    <x:row r="307" ht="22" customHeight="1">
      <x:c r="A307" s="3" t="str">
        <x:v>Corolla Cross</x:v>
      </x:c>
      <x:c r="B307" s="3" t="str">
        <x:v>HEV</x:v>
      </x:c>
      <x:c r="C307" s="3" t="str">
        <x:v>One2car</x:v>
      </x:c>
      <x:c r="D307" s="3" t="str">
        <x:v>SUV</x:v>
      </x:c>
      <x:c r="E307" s="3" t="str"/>
      <x:c r="F307" s="3" t="n">
        <x:v>2021</x:v>
      </x:c>
      <x:c r="G307" s="3" t="str">
        <x:v>HEV PREMIUM</x:v>
      </x:c>
      <x:c r="H307" s="3" t="str">
        <x:v>50–100千km</x:v>
      </x:c>
      <x:c r="I307" s="3" t="str">
        <x:v>世代不明</x:v>
      </x:c>
      <x:c r="J307" s="22" t="n">
        <x:f>COUNT('中古車掲載'!AM45:AM46)</x:f>
        <x:v>2</x:v>
      </x:c>
      <x:c r="K307" s="22" t="n">
        <x:f>IF(COUNT('中古車掲載'!AM45:AM46)=0,"",QUARTILE('中古車掲載'!AM45:AM46,1))</x:f>
        <x:v>676500</x:v>
      </x:c>
      <x:c r="L307" s="22" t="n">
        <x:f>IF(COUNT('中古車掲載'!AM45:AM46)=0,"",MEDIAN('中古車掲載'!AM45:AM46))</x:f>
        <x:v>684000</x:v>
      </x:c>
      <x:c r="M307" s="22" t="n">
        <x:f>IF(COUNT('中古車掲載'!AM45:AM46)=0,"",QUARTILE('中古車掲載'!AM45:AM46,3))</x:f>
        <x:v>691500</x:v>
      </x:c>
      <x:c r="N307" s="22" t="n">
        <x:f>COUNT('中古車掲載'!AN45:AN46)</x:f>
        <x:v>0</x:v>
      </x:c>
      <x:c r="O307" s="23" t="str">
        <x:f>IF(COUNT('中古車掲載'!AN45:AN46)=0,"",MEDIAN('中古車掲載'!AN45:AN46))</x:f>
      </x:c>
      <x:c r="P307" s="3"/>
      <x:c r="Q307" s="3"/>
      <x:c r="R307" s="3"/>
      <x:c r="S307" s="3"/>
      <x:c r="T307" s="3"/>
      <x:c r="U307" s="3"/>
      <x:c r="V307" s="3"/>
      <x:c r="W307" s="3"/>
      <x:c r="X307" s="3"/>
      <x:c r="Y307" s="3"/>
      <x:c r="Z307" s="3"/>
      <x:c r="AA307" s="3"/>
      <x:c r="AB307" s="3"/>
      <x:c r="AC307" s="3"/>
      <x:c r="AD307" s="3"/>
      <x:c r="AE307" s="3"/>
      <x:c r="AF307" s="3"/>
      <x:c r="AG307" s="3"/>
      <x:c r="AH307" s="3"/>
      <x:c r="AI307" s="3"/>
      <x:c r="AJ307" s="3"/>
      <x:c r="AK307" s="3"/>
      <x:c r="AL307" s="3"/>
      <x:c r="AM307" s="3"/>
      <x:c r="AN307" s="3"/>
      <x:c r="AO307" s="3"/>
      <x:c r="AP307" s="3"/>
      <x:c r="AQ307" s="3"/>
      <x:c r="AR307" s="3"/>
      <x:c r="AS307" s="3"/>
      <x:c r="AT307" s="3"/>
      <x:c r="AU307" s="3"/>
      <x:c r="AV307" s="3"/>
      <x:c r="AW307" s="3"/>
      <x:c r="AX307" s="3"/>
      <x:c r="AY307" s="3"/>
      <x:c r="AZ307" s="3" t="str">
        <x:f>IF(AND('中古車掲載'!C308="One2car",'中古車掲載'!F308="ATTO 3",'中古車掲載'!L308="EXTENDED RANGE",'中古車掲載'!J308=2023,ISNUMBER('中古車掲載'!N308),'中古車掲載'!N308&gt;=20000,'中古車掲載'!O308&lt;=100000,'中古車掲載'!AL308=1),'中古車掲載'!U308,"")</x:f>
      </x:c>
      <x:c r="BA307" s="3" t="str">
        <x:f>IF(AND('中古車掲載'!C308="One2car",'中古車掲載'!F308="Corolla Cross",'中古車掲載'!L308="HEV PREMIUM SAFETY",'中古車掲載'!J308=2023,ISNUMBER('中古車掲載'!N308),'中古車掲載'!N308&gt;=20000,'中古車掲載'!O308&lt;=100000,'中古車掲載'!AL308=1,'中古車掲載'!Z308="https://www.one2car.com/en/cars-for-sale/toyota/corolla-cross/year-2023"),'中古車掲載'!U308,"")</x:f>
      </x:c>
      <x:c r="BB307" s="3" t="str">
        <x:f>IF(AND('中古車掲載'!C308="One2car",'中古車掲載'!F308="ATTO 3",'中古車掲載'!L308="EXTENDED RANGE",'中古車掲載'!J308=2023,ISNUMBER('中古車掲載'!N308),'中古車掲載'!N308&gt;=50000,'中古車掲載'!O308&lt;=100000,'中古車掲載'!AL308=1),'中古車掲載'!U308,"")</x:f>
      </x:c>
      <x:c r="BC307" s="3" t="str">
        <x:f>IF(AND('中古車掲載'!C308="One2car",'中古車掲載'!F308="Corolla Cross",'中古車掲載'!L308="HEV PREMIUM SAFETY",'中古車掲載'!J308=2023,ISNUMBER('中古車掲載'!N308),'中古車掲載'!N308&gt;=50000,'中古車掲載'!O308&lt;=100000,'中古車掲載'!AL308=1,'中古車掲載'!Z308="https://www.one2car.com/en/cars-for-sale/toyota/corolla-cross/year-2023"),'中古車掲載'!U308,"")</x:f>
      </x:c>
      <x:c r="BD307" s="3" t="str">
        <x:f>IF(AND('中古車掲載'!C308="One2car",'中古車掲載'!F308="ATTO 3",'中古車掲載'!L308="EXTENDED RANGE",'中古車掲載'!J308=2023,ISNUMBER('中古車掲載'!N308),'中古車掲載'!N308&gt;=20000,'中古車掲載'!O308&lt;=50000,'中古車掲載'!AL308=1),'中古車掲載'!U308,"")</x:f>
      </x:c>
      <x:c r="BE307" s="3" t="str">
        <x:f>IF(AND('中古車掲載'!C308="One2car",'中古車掲載'!F308="Corolla Cross",'中古車掲載'!L308="HEV PREMIUM SAFETY",'中古車掲載'!J308=2023,ISNUMBER('中古車掲載'!N308),'中古車掲載'!N308&gt;=20000,'中古車掲載'!O308&lt;=50000,'中古車掲載'!AL308=1,'中古車掲載'!Z308="https://www.one2car.com/en/cars-for-sale/toyota/corolla-cross/year-2023"),'中古車掲載'!U308,"")</x:f>
      </x:c>
      <x:c r="BF307" s="3" t="str">
        <x:f>IF(AND('中古車掲載'!C308="One2car",'中古車掲載'!F308="Corolla Cross",'中古車掲載'!L308="HEV PREMIUM",'中古車掲載'!J308=2023,ISNUMBER('中古車掲載'!N308),'中古車掲載'!N308&gt;=20000,'中古車掲載'!O308&lt;=100000,'中古車掲載'!AL308=1,'中古車掲載'!Z308="https://www.one2car.com/en/cars-for-sale/toyota/corolla-cross/year-2023"),'中古車掲載'!U308,"")</x:f>
      </x:c>
      <x:c r="BG307" s="3" t="str">
        <x:f>IF(AND('中古車掲載'!C308="One2car",'中古車掲載'!F308="Corolla Cross",'中古車掲載'!L308="HEV GR SPORT",'中古車掲載'!J308=2023,ISNUMBER('中古車掲載'!N308),'中古車掲載'!N308&gt;=20000,'中古車掲載'!O308&lt;=100000,'中古車掲載'!AL308=1,'中古車掲載'!Z308="https://www.one2car.com/en/cars-for-sale/toyota/corolla-cross/year-2023"),'中古車掲載'!U308,"")</x:f>
      </x:c>
      <x:c r="BH307" s="3" t="str">
        <x:f>IF(AND('中古車掲載'!C308="One2car",'中古車掲載'!F308="DOLPHIN",'中古車掲載'!L308="STANDARD RANGE",'中古車掲載'!J308=2023,ISNUMBER('中古車掲載'!N308),'中古車掲載'!N308&gt;=20000,'中古車掲載'!O308&lt;=100000,'中古車掲載'!AL308=1),'中古車掲載'!U308,"")</x:f>
      </x:c>
      <x:c r="BI307" s="3" t="str">
        <x:v>Taladrod|Corolla Cross|HEV|Unknown</x:v>
      </x:c>
      <x:c r="BJ307" s="3" t="n">
        <x:v>308</x:v>
      </x:c>
      <x:c r="BK307" s="3" t="n">
        <x:f>'中古車掲載'!AM308</x:f>
        <x:v>599000</x:v>
      </x:c>
      <x:c r="BL307" s="3" t="str">
        <x:f>IF(ISNUMBER('中古車掲載'!AN308),'中古車掲載'!AN308,"")</x:f>
      </x:c>
      <x:c r="BM307" s="3"/>
      <x:c r="BN307" s="3"/>
      <x:c r="BO307" s="3"/>
      <x:c r="BP307" s="3"/>
      <x:c r="BQ307" s="3"/>
      <x:c r="BR307" s="3"/>
    </x:row>
    <x:row r="308" ht="22" customHeight="1">
      <x:c r="A308" s="3" t="str">
        <x:v>Corolla Cross</x:v>
      </x:c>
      <x:c r="B308" s="3" t="str">
        <x:v>HEV</x:v>
      </x:c>
      <x:c r="C308" s="3" t="str">
        <x:v>One2car</x:v>
      </x:c>
      <x:c r="D308" s="3" t="str">
        <x:v>SUV</x:v>
      </x:c>
      <x:c r="E308" s="3" t="str"/>
      <x:c r="F308" s="3" t="n">
        <x:v>2021</x:v>
      </x:c>
      <x:c r="G308" s="3" t="str">
        <x:v>HEV PREMIUM SAFETY</x:v>
      </x:c>
      <x:c r="H308" s="3" t="str">
        <x:v>50–100千km</x:v>
      </x:c>
      <x:c r="I308" s="3" t="str">
        <x:v>世代不明</x:v>
      </x:c>
      <x:c r="J308" s="22" t="n">
        <x:f>COUNT('中古車掲載'!AM47:AM48)</x:f>
        <x:v>2</x:v>
      </x:c>
      <x:c r="K308" s="22" t="n">
        <x:f>IF(COUNT('中古車掲載'!AM47:AM48)=0,"",QUARTILE('中古車掲載'!AM47:AM48,1))</x:f>
        <x:v>641500</x:v>
      </x:c>
      <x:c r="L308" s="22" t="n">
        <x:f>IF(COUNT('中古車掲載'!AM47:AM48)=0,"",MEDIAN('中古車掲載'!AM47:AM48))</x:f>
        <x:v>647000</x:v>
      </x:c>
      <x:c r="M308" s="22" t="n">
        <x:f>IF(COUNT('中古車掲載'!AM47:AM48)=0,"",QUARTILE('中古車掲載'!AM47:AM48,3))</x:f>
        <x:v>652500</x:v>
      </x:c>
      <x:c r="N308" s="22" t="n">
        <x:f>COUNT('中古車掲載'!AN47:AN48)</x:f>
        <x:v>0</x:v>
      </x:c>
      <x:c r="O308" s="23" t="str">
        <x:f>IF(COUNT('中古車掲載'!AN47:AN48)=0,"",MEDIAN('中古車掲載'!AN47:AN48))</x:f>
      </x:c>
      <x:c r="P308" s="3"/>
      <x:c r="Q308" s="3"/>
      <x:c r="R308" s="3"/>
      <x:c r="S308" s="3"/>
      <x:c r="T308" s="3"/>
      <x:c r="U308" s="3"/>
      <x:c r="V308" s="3"/>
      <x:c r="W308" s="3"/>
      <x:c r="X308" s="3"/>
      <x:c r="Y308" s="3"/>
      <x:c r="Z308" s="3"/>
      <x:c r="AA308" s="3"/>
      <x:c r="AB308" s="3"/>
      <x:c r="AC308" s="3"/>
      <x:c r="AD308" s="3"/>
      <x:c r="AE308" s="3"/>
      <x:c r="AF308" s="3"/>
      <x:c r="AG308" s="3"/>
      <x:c r="AH308" s="3"/>
      <x:c r="AI308" s="3"/>
      <x:c r="AJ308" s="3"/>
      <x:c r="AK308" s="3"/>
      <x:c r="AL308" s="3"/>
      <x:c r="AM308" s="3"/>
      <x:c r="AN308" s="3"/>
      <x:c r="AO308" s="3"/>
      <x:c r="AP308" s="3"/>
      <x:c r="AQ308" s="3"/>
      <x:c r="AR308" s="3"/>
      <x:c r="AS308" s="3"/>
      <x:c r="AT308" s="3"/>
      <x:c r="AU308" s="3"/>
      <x:c r="AV308" s="3"/>
      <x:c r="AW308" s="3"/>
      <x:c r="AX308" s="3"/>
      <x:c r="AY308" s="3"/>
      <x:c r="AZ308" s="3" t="str">
        <x:f>IF(AND('中古車掲載'!C309="One2car",'中古車掲載'!F309="ATTO 3",'中古車掲載'!L309="EXTENDED RANGE",'中古車掲載'!J309=2023,ISNUMBER('中古車掲載'!N309),'中古車掲載'!N309&gt;=20000,'中古車掲載'!O309&lt;=100000,'中古車掲載'!AL309=1),'中古車掲載'!U309,"")</x:f>
      </x:c>
      <x:c r="BA308" s="3" t="str">
        <x:f>IF(AND('中古車掲載'!C309="One2car",'中古車掲載'!F309="Corolla Cross",'中古車掲載'!L309="HEV PREMIUM SAFETY",'中古車掲載'!J309=2023,ISNUMBER('中古車掲載'!N309),'中古車掲載'!N309&gt;=20000,'中古車掲載'!O309&lt;=100000,'中古車掲載'!AL309=1,'中古車掲載'!Z309="https://www.one2car.com/en/cars-for-sale/toyota/corolla-cross/year-2023"),'中古車掲載'!U309,"")</x:f>
      </x:c>
      <x:c r="BB308" s="3" t="str">
        <x:f>IF(AND('中古車掲載'!C309="One2car",'中古車掲載'!F309="ATTO 3",'中古車掲載'!L309="EXTENDED RANGE",'中古車掲載'!J309=2023,ISNUMBER('中古車掲載'!N309),'中古車掲載'!N309&gt;=50000,'中古車掲載'!O309&lt;=100000,'中古車掲載'!AL309=1),'中古車掲載'!U309,"")</x:f>
      </x:c>
      <x:c r="BC308" s="3" t="str">
        <x:f>IF(AND('中古車掲載'!C309="One2car",'中古車掲載'!F309="Corolla Cross",'中古車掲載'!L309="HEV PREMIUM SAFETY",'中古車掲載'!J309=2023,ISNUMBER('中古車掲載'!N309),'中古車掲載'!N309&gt;=50000,'中古車掲載'!O309&lt;=100000,'中古車掲載'!AL309=1,'中古車掲載'!Z309="https://www.one2car.com/en/cars-for-sale/toyota/corolla-cross/year-2023"),'中古車掲載'!U309,"")</x:f>
      </x:c>
      <x:c r="BD308" s="3" t="str">
        <x:f>IF(AND('中古車掲載'!C309="One2car",'中古車掲載'!F309="ATTO 3",'中古車掲載'!L309="EXTENDED RANGE",'中古車掲載'!J309=2023,ISNUMBER('中古車掲載'!N309),'中古車掲載'!N309&gt;=20000,'中古車掲載'!O309&lt;=50000,'中古車掲載'!AL309=1),'中古車掲載'!U309,"")</x:f>
      </x:c>
      <x:c r="BE308" s="3" t="str">
        <x:f>IF(AND('中古車掲載'!C309="One2car",'中古車掲載'!F309="Corolla Cross",'中古車掲載'!L309="HEV PREMIUM SAFETY",'中古車掲載'!J309=2023,ISNUMBER('中古車掲載'!N309),'中古車掲載'!N309&gt;=20000,'中古車掲載'!O309&lt;=50000,'中古車掲載'!AL309=1,'中古車掲載'!Z309="https://www.one2car.com/en/cars-for-sale/toyota/corolla-cross/year-2023"),'中古車掲載'!U309,"")</x:f>
      </x:c>
      <x:c r="BF308" s="3" t="str">
        <x:f>IF(AND('中古車掲載'!C309="One2car",'中古車掲載'!F309="Corolla Cross",'中古車掲載'!L309="HEV PREMIUM",'中古車掲載'!J309=2023,ISNUMBER('中古車掲載'!N309),'中古車掲載'!N309&gt;=20000,'中古車掲載'!O309&lt;=100000,'中古車掲載'!AL309=1,'中古車掲載'!Z309="https://www.one2car.com/en/cars-for-sale/toyota/corolla-cross/year-2023"),'中古車掲載'!U309,"")</x:f>
      </x:c>
      <x:c r="BG308" s="3" t="str">
        <x:f>IF(AND('中古車掲載'!C309="One2car",'中古車掲載'!F309="Corolla Cross",'中古車掲載'!L309="HEV GR SPORT",'中古車掲載'!J309=2023,ISNUMBER('中古車掲載'!N309),'中古車掲載'!N309&gt;=20000,'中古車掲載'!O309&lt;=100000,'中古車掲載'!AL309=1,'中古車掲載'!Z309="https://www.one2car.com/en/cars-for-sale/toyota/corolla-cross/year-2023"),'中古車掲載'!U309,"")</x:f>
      </x:c>
      <x:c r="BH308" s="3" t="str">
        <x:f>IF(AND('中古車掲載'!C309="One2car",'中古車掲載'!F309="DOLPHIN",'中古車掲載'!L309="STANDARD RANGE",'中古車掲載'!J309=2023,ISNUMBER('中古車掲載'!N309),'中古車掲載'!N309&gt;=20000,'中古車掲載'!O309&lt;=100000,'中古車掲載'!AL309=1),'中古車掲載'!U309,"")</x:f>
      </x:c>
      <x:c r="BI308" s="3" t="str">
        <x:v>Taladrod|Corolla Cross|HEV|Unknown</x:v>
      </x:c>
      <x:c r="BJ308" s="3" t="n">
        <x:v>309</x:v>
      </x:c>
      <x:c r="BK308" s="3" t="n">
        <x:f>'中古車掲載'!AM309</x:f>
        <x:v>679000</x:v>
      </x:c>
      <x:c r="BL308" s="3" t="str">
        <x:f>IF(ISNUMBER('中古車掲載'!AN309),'中古車掲載'!AN309,"")</x:f>
      </x:c>
      <x:c r="BM308" s="3"/>
      <x:c r="BN308" s="3"/>
      <x:c r="BO308" s="3"/>
      <x:c r="BP308" s="3"/>
      <x:c r="BQ308" s="3"/>
      <x:c r="BR308" s="3"/>
    </x:row>
    <x:row r="309" ht="22" customHeight="1">
      <x:c r="A309" s="3" t="str">
        <x:v>Corolla Cross</x:v>
      </x:c>
      <x:c r="B309" s="3" t="str">
        <x:v>HEV</x:v>
      </x:c>
      <x:c r="C309" s="3" t="str">
        <x:v>One2car</x:v>
      </x:c>
      <x:c r="D309" s="3" t="str">
        <x:v>SUV</x:v>
      </x:c>
      <x:c r="E309" s="3" t="str"/>
      <x:c r="F309" s="3" t="n">
        <x:v>2022</x:v>
      </x:c>
      <x:c r="G309" s="3" t="str">
        <x:v>HEV PREMIUM SAFETY</x:v>
      </x:c>
      <x:c r="H309" s="3" t="str">
        <x:v>&lt;20千km</x:v>
      </x:c>
      <x:c r="I309" s="3" t="str">
        <x:v>世代不明</x:v>
      </x:c>
      <x:c r="J309" s="22" t="n">
        <x:f>COUNT('中古車掲載'!AM49:AM49)</x:f>
        <x:v>1</x:v>
      </x:c>
      <x:c r="K309" s="22" t="n">
        <x:f>IF(COUNT('中古車掲載'!AM49:AM49)=0,"",QUARTILE('中古車掲載'!AM49:AM49,1))</x:f>
        <x:v>759000</x:v>
      </x:c>
      <x:c r="L309" s="22" t="n">
        <x:f>IF(COUNT('中古車掲載'!AM49:AM49)=0,"",MEDIAN('中古車掲載'!AM49:AM49))</x:f>
        <x:v>759000</x:v>
      </x:c>
      <x:c r="M309" s="22" t="n">
        <x:f>IF(COUNT('中古車掲載'!AM49:AM49)=0,"",QUARTILE('中古車掲載'!AM49:AM49,3))</x:f>
        <x:v>759000</x:v>
      </x:c>
      <x:c r="N309" s="22" t="n">
        <x:f>COUNT('中古車掲載'!AN49:AN49)</x:f>
        <x:v>0</x:v>
      </x:c>
      <x:c r="O309" s="23" t="str">
        <x:f>IF(COUNT('中古車掲載'!AN49:AN49)=0,"",MEDIAN('中古車掲載'!AN49:AN49))</x:f>
      </x:c>
      <x:c r="P309" s="3"/>
      <x:c r="Q309" s="3"/>
      <x:c r="R309" s="3"/>
      <x:c r="S309" s="3"/>
      <x:c r="T309" s="3"/>
      <x:c r="U309" s="3"/>
      <x:c r="V309" s="3"/>
      <x:c r="W309" s="3"/>
      <x:c r="X309" s="3"/>
      <x:c r="Y309" s="3"/>
      <x:c r="Z309" s="3"/>
      <x:c r="AA309" s="3"/>
      <x:c r="AB309" s="3"/>
      <x:c r="AC309" s="3"/>
      <x:c r="AD309" s="3"/>
      <x:c r="AE309" s="3"/>
      <x:c r="AF309" s="3"/>
      <x:c r="AG309" s="3"/>
      <x:c r="AH309" s="3"/>
      <x:c r="AI309" s="3"/>
      <x:c r="AJ309" s="3"/>
      <x:c r="AK309" s="3"/>
      <x:c r="AL309" s="3"/>
      <x:c r="AM309" s="3"/>
      <x:c r="AN309" s="3"/>
      <x:c r="AO309" s="3"/>
      <x:c r="AP309" s="3"/>
      <x:c r="AQ309" s="3"/>
      <x:c r="AR309" s="3"/>
      <x:c r="AS309" s="3"/>
      <x:c r="AT309" s="3"/>
      <x:c r="AU309" s="3"/>
      <x:c r="AV309" s="3"/>
      <x:c r="AW309" s="3"/>
      <x:c r="AX309" s="3"/>
      <x:c r="AY309" s="3"/>
      <x:c r="AZ309" s="3" t="str">
        <x:f>IF(AND('中古車掲載'!C310="One2car",'中古車掲載'!F310="ATTO 3",'中古車掲載'!L310="EXTENDED RANGE",'中古車掲載'!J310=2023,ISNUMBER('中古車掲載'!N310),'中古車掲載'!N310&gt;=20000,'中古車掲載'!O310&lt;=100000,'中古車掲載'!AL310=1),'中古車掲載'!U310,"")</x:f>
      </x:c>
      <x:c r="BA309" s="3" t="str">
        <x:f>IF(AND('中古車掲載'!C310="One2car",'中古車掲載'!F310="Corolla Cross",'中古車掲載'!L310="HEV PREMIUM SAFETY",'中古車掲載'!J310=2023,ISNUMBER('中古車掲載'!N310),'中古車掲載'!N310&gt;=20000,'中古車掲載'!O310&lt;=100000,'中古車掲載'!AL310=1,'中古車掲載'!Z310="https://www.one2car.com/en/cars-for-sale/toyota/corolla-cross/year-2023"),'中古車掲載'!U310,"")</x:f>
      </x:c>
      <x:c r="BB309" s="3" t="str">
        <x:f>IF(AND('中古車掲載'!C310="One2car",'中古車掲載'!F310="ATTO 3",'中古車掲載'!L310="EXTENDED RANGE",'中古車掲載'!J310=2023,ISNUMBER('中古車掲載'!N310),'中古車掲載'!N310&gt;=50000,'中古車掲載'!O310&lt;=100000,'中古車掲載'!AL310=1),'中古車掲載'!U310,"")</x:f>
      </x:c>
      <x:c r="BC309" s="3" t="str">
        <x:f>IF(AND('中古車掲載'!C310="One2car",'中古車掲載'!F310="Corolla Cross",'中古車掲載'!L310="HEV PREMIUM SAFETY",'中古車掲載'!J310=2023,ISNUMBER('中古車掲載'!N310),'中古車掲載'!N310&gt;=50000,'中古車掲載'!O310&lt;=100000,'中古車掲載'!AL310=1,'中古車掲載'!Z310="https://www.one2car.com/en/cars-for-sale/toyota/corolla-cross/year-2023"),'中古車掲載'!U310,"")</x:f>
      </x:c>
      <x:c r="BD309" s="3" t="str">
        <x:f>IF(AND('中古車掲載'!C310="One2car",'中古車掲載'!F310="ATTO 3",'中古車掲載'!L310="EXTENDED RANGE",'中古車掲載'!J310=2023,ISNUMBER('中古車掲載'!N310),'中古車掲載'!N310&gt;=20000,'中古車掲載'!O310&lt;=50000,'中古車掲載'!AL310=1),'中古車掲載'!U310,"")</x:f>
      </x:c>
      <x:c r="BE309" s="3" t="str">
        <x:f>IF(AND('中古車掲載'!C310="One2car",'中古車掲載'!F310="Corolla Cross",'中古車掲載'!L310="HEV PREMIUM SAFETY",'中古車掲載'!J310=2023,ISNUMBER('中古車掲載'!N310),'中古車掲載'!N310&gt;=20000,'中古車掲載'!O310&lt;=50000,'中古車掲載'!AL310=1,'中古車掲載'!Z310="https://www.one2car.com/en/cars-for-sale/toyota/corolla-cross/year-2023"),'中古車掲載'!U310,"")</x:f>
      </x:c>
      <x:c r="BF309" s="3" t="str">
        <x:f>IF(AND('中古車掲載'!C310="One2car",'中古車掲載'!F310="Corolla Cross",'中古車掲載'!L310="HEV PREMIUM",'中古車掲載'!J310=2023,ISNUMBER('中古車掲載'!N310),'中古車掲載'!N310&gt;=20000,'中古車掲載'!O310&lt;=100000,'中古車掲載'!AL310=1,'中古車掲載'!Z310="https://www.one2car.com/en/cars-for-sale/toyota/corolla-cross/year-2023"),'中古車掲載'!U310,"")</x:f>
      </x:c>
      <x:c r="BG309" s="3" t="str">
        <x:f>IF(AND('中古車掲載'!C310="One2car",'中古車掲載'!F310="Corolla Cross",'中古車掲載'!L310="HEV GR SPORT",'中古車掲載'!J310=2023,ISNUMBER('中古車掲載'!N310),'中古車掲載'!N310&gt;=20000,'中古車掲載'!O310&lt;=100000,'中古車掲載'!AL310=1,'中古車掲載'!Z310="https://www.one2car.com/en/cars-for-sale/toyota/corolla-cross/year-2023"),'中古車掲載'!U310,"")</x:f>
      </x:c>
      <x:c r="BH309" s="3" t="str">
        <x:f>IF(AND('中古車掲載'!C310="One2car",'中古車掲載'!F310="DOLPHIN",'中古車掲載'!L310="STANDARD RANGE",'中古車掲載'!J310=2023,ISNUMBER('中古車掲載'!N310),'中古車掲載'!N310&gt;=20000,'中古車掲載'!O310&lt;=100000,'中古車掲載'!AL310=1),'中古車掲載'!U310,"")</x:f>
      </x:c>
      <x:c r="BI309" s="3" t="str">
        <x:v>Taladrod|Corolla Cross|HEV|Unknown</x:v>
      </x:c>
      <x:c r="BJ309" s="3" t="n">
        <x:v>310</x:v>
      </x:c>
      <x:c r="BK309" s="3" t="n">
        <x:f>'中古車掲載'!AM310</x:f>
        <x:v>560000</x:v>
      </x:c>
      <x:c r="BL309" s="3" t="str">
        <x:f>IF(ISNUMBER('中古車掲載'!AN310),'中古車掲載'!AN310,"")</x:f>
      </x:c>
      <x:c r="BM309" s="3"/>
      <x:c r="BN309" s="3"/>
      <x:c r="BO309" s="3"/>
      <x:c r="BP309" s="3"/>
      <x:c r="BQ309" s="3"/>
      <x:c r="BR309" s="3"/>
    </x:row>
    <x:row r="310" ht="22" customHeight="1">
      <x:c r="A310" s="3" t="str">
        <x:v>Corolla Cross</x:v>
      </x:c>
      <x:c r="B310" s="3" t="str">
        <x:v>HEV</x:v>
      </x:c>
      <x:c r="C310" s="3" t="str">
        <x:v>One2car</x:v>
      </x:c>
      <x:c r="D310" s="3" t="str">
        <x:v>SUV</x:v>
      </x:c>
      <x:c r="E310" s="3" t="str"/>
      <x:c r="F310" s="3" t="n">
        <x:v>2022</x:v>
      </x:c>
      <x:c r="G310" s="3" t="str">
        <x:v>HEV SMART</x:v>
      </x:c>
      <x:c r="H310" s="3" t="str">
        <x:v>&lt;20千km</x:v>
      </x:c>
      <x:c r="I310" s="3" t="str">
        <x:v>世代不明</x:v>
      </x:c>
      <x:c r="J310" s="22" t="n">
        <x:f>COUNT('中古車掲載'!AM50:AM50)</x:f>
        <x:v>1</x:v>
      </x:c>
      <x:c r="K310" s="22" t="n">
        <x:f>IF(COUNT('中古車掲載'!AM50:AM50)=0,"",QUARTILE('中古車掲載'!AM50:AM50,1))</x:f>
        <x:v>699000</x:v>
      </x:c>
      <x:c r="L310" s="22" t="n">
        <x:f>IF(COUNT('中古車掲載'!AM50:AM50)=0,"",MEDIAN('中古車掲載'!AM50:AM50))</x:f>
        <x:v>699000</x:v>
      </x:c>
      <x:c r="M310" s="22" t="n">
        <x:f>IF(COUNT('中古車掲載'!AM50:AM50)=0,"",QUARTILE('中古車掲載'!AM50:AM50,3))</x:f>
        <x:v>699000</x:v>
      </x:c>
      <x:c r="N310" s="22" t="n">
        <x:f>COUNT('中古車掲載'!AN50:AN50)</x:f>
        <x:v>0</x:v>
      </x:c>
      <x:c r="O310" s="23" t="str">
        <x:f>IF(COUNT('中古車掲載'!AN50:AN50)=0,"",MEDIAN('中古車掲載'!AN50:AN50))</x:f>
      </x:c>
      <x:c r="P310" s="3"/>
      <x:c r="Q310" s="3"/>
      <x:c r="R310" s="3"/>
      <x:c r="S310" s="3"/>
      <x:c r="T310" s="3"/>
      <x:c r="U310" s="3"/>
      <x:c r="V310" s="3"/>
      <x:c r="W310" s="3"/>
      <x:c r="X310" s="3"/>
      <x:c r="Y310" s="3"/>
      <x:c r="Z310" s="3"/>
      <x:c r="AA310" s="3"/>
      <x:c r="AB310" s="3"/>
      <x:c r="AC310" s="3"/>
      <x:c r="AD310" s="3"/>
      <x:c r="AE310" s="3"/>
      <x:c r="AF310" s="3"/>
      <x:c r="AG310" s="3"/>
      <x:c r="AH310" s="3"/>
      <x:c r="AI310" s="3"/>
      <x:c r="AJ310" s="3"/>
      <x:c r="AK310" s="3"/>
      <x:c r="AL310" s="3"/>
      <x:c r="AM310" s="3"/>
      <x:c r="AN310" s="3"/>
      <x:c r="AO310" s="3"/>
      <x:c r="AP310" s="3"/>
      <x:c r="AQ310" s="3"/>
      <x:c r="AR310" s="3"/>
      <x:c r="AS310" s="3"/>
      <x:c r="AT310" s="3"/>
      <x:c r="AU310" s="3"/>
      <x:c r="AV310" s="3"/>
      <x:c r="AW310" s="3"/>
      <x:c r="AX310" s="3"/>
      <x:c r="AY310" s="3"/>
      <x:c r="AZ310" s="3" t="str">
        <x:f>IF(AND('中古車掲載'!C311="One2car",'中古車掲載'!F311="ATTO 3",'中古車掲載'!L311="EXTENDED RANGE",'中古車掲載'!J311=2023,ISNUMBER('中古車掲載'!N311),'中古車掲載'!N311&gt;=20000,'中古車掲載'!O311&lt;=100000,'中古車掲載'!AL311=1),'中古車掲載'!U311,"")</x:f>
      </x:c>
      <x:c r="BA310" s="3" t="str">
        <x:f>IF(AND('中古車掲載'!C311="One2car",'中古車掲載'!F311="Corolla Cross",'中古車掲載'!L311="HEV PREMIUM SAFETY",'中古車掲載'!J311=2023,ISNUMBER('中古車掲載'!N311),'中古車掲載'!N311&gt;=20000,'中古車掲載'!O311&lt;=100000,'中古車掲載'!AL311=1,'中古車掲載'!Z311="https://www.one2car.com/en/cars-for-sale/toyota/corolla-cross/year-2023"),'中古車掲載'!U311,"")</x:f>
      </x:c>
      <x:c r="BB310" s="3" t="str">
        <x:f>IF(AND('中古車掲載'!C311="One2car",'中古車掲載'!F311="ATTO 3",'中古車掲載'!L311="EXTENDED RANGE",'中古車掲載'!J311=2023,ISNUMBER('中古車掲載'!N311),'中古車掲載'!N311&gt;=50000,'中古車掲載'!O311&lt;=100000,'中古車掲載'!AL311=1),'中古車掲載'!U311,"")</x:f>
      </x:c>
      <x:c r="BC310" s="3" t="str">
        <x:f>IF(AND('中古車掲載'!C311="One2car",'中古車掲載'!F311="Corolla Cross",'中古車掲載'!L311="HEV PREMIUM SAFETY",'中古車掲載'!J311=2023,ISNUMBER('中古車掲載'!N311),'中古車掲載'!N311&gt;=50000,'中古車掲載'!O311&lt;=100000,'中古車掲載'!AL311=1,'中古車掲載'!Z311="https://www.one2car.com/en/cars-for-sale/toyota/corolla-cross/year-2023"),'中古車掲載'!U311,"")</x:f>
      </x:c>
      <x:c r="BD310" s="3" t="str">
        <x:f>IF(AND('中古車掲載'!C311="One2car",'中古車掲載'!F311="ATTO 3",'中古車掲載'!L311="EXTENDED RANGE",'中古車掲載'!J311=2023,ISNUMBER('中古車掲載'!N311),'中古車掲載'!N311&gt;=20000,'中古車掲載'!O311&lt;=50000,'中古車掲載'!AL311=1),'中古車掲載'!U311,"")</x:f>
      </x:c>
      <x:c r="BE310" s="3" t="str">
        <x:f>IF(AND('中古車掲載'!C311="One2car",'中古車掲載'!F311="Corolla Cross",'中古車掲載'!L311="HEV PREMIUM SAFETY",'中古車掲載'!J311=2023,ISNUMBER('中古車掲載'!N311),'中古車掲載'!N311&gt;=20000,'中古車掲載'!O311&lt;=50000,'中古車掲載'!AL311=1,'中古車掲載'!Z311="https://www.one2car.com/en/cars-for-sale/toyota/corolla-cross/year-2023"),'中古車掲載'!U311,"")</x:f>
      </x:c>
      <x:c r="BF310" s="3" t="str">
        <x:f>IF(AND('中古車掲載'!C311="One2car",'中古車掲載'!F311="Corolla Cross",'中古車掲載'!L311="HEV PREMIUM",'中古車掲載'!J311=2023,ISNUMBER('中古車掲載'!N311),'中古車掲載'!N311&gt;=20000,'中古車掲載'!O311&lt;=100000,'中古車掲載'!AL311=1,'中古車掲載'!Z311="https://www.one2car.com/en/cars-for-sale/toyota/corolla-cross/year-2023"),'中古車掲載'!U311,"")</x:f>
      </x:c>
      <x:c r="BG310" s="3" t="str">
        <x:f>IF(AND('中古車掲載'!C311="One2car",'中古車掲載'!F311="Corolla Cross",'中古車掲載'!L311="HEV GR SPORT",'中古車掲載'!J311=2023,ISNUMBER('中古車掲載'!N311),'中古車掲載'!N311&gt;=20000,'中古車掲載'!O311&lt;=100000,'中古車掲載'!AL311=1,'中古車掲載'!Z311="https://www.one2car.com/en/cars-for-sale/toyota/corolla-cross/year-2023"),'中古車掲載'!U311,"")</x:f>
      </x:c>
      <x:c r="BH310" s="3" t="str">
        <x:f>IF(AND('中古車掲載'!C311="One2car",'中古車掲載'!F311="DOLPHIN",'中古車掲載'!L311="STANDARD RANGE",'中古車掲載'!J311=2023,ISNUMBER('中古車掲載'!N311),'中古車掲載'!N311&gt;=20000,'中古車掲載'!O311&lt;=100000,'中古車掲載'!AL311=1),'中古車掲載'!U311,"")</x:f>
      </x:c>
      <x:c r="BI310" s="3" t="str">
        <x:v>Taladrod|Corolla Cross|HEV|Unknown</x:v>
      </x:c>
      <x:c r="BJ310" s="3" t="n">
        <x:v>311</x:v>
      </x:c>
      <x:c r="BK310" s="3" t="n">
        <x:f>'中古車掲載'!AM311</x:f>
        <x:v>890000</x:v>
      </x:c>
      <x:c r="BL310" s="3" t="str">
        <x:f>IF(ISNUMBER('中古車掲載'!AN311),'中古車掲載'!AN311,"")</x:f>
      </x:c>
      <x:c r="BM310" s="3"/>
      <x:c r="BN310" s="3"/>
      <x:c r="BO310" s="3"/>
      <x:c r="BP310" s="3"/>
      <x:c r="BQ310" s="3"/>
      <x:c r="BR310" s="3"/>
    </x:row>
    <x:row r="311" ht="22" customHeight="1">
      <x:c r="A311" s="3" t="str">
        <x:v>Corolla Cross</x:v>
      </x:c>
      <x:c r="B311" s="3" t="str">
        <x:v>HEV</x:v>
      </x:c>
      <x:c r="C311" s="3" t="str">
        <x:v>One2car</x:v>
      </x:c>
      <x:c r="D311" s="3" t="str">
        <x:v>SUV</x:v>
      </x:c>
      <x:c r="E311" s="3" t="str"/>
      <x:c r="F311" s="3" t="n">
        <x:v>2023</x:v>
      </x:c>
      <x:c r="G311" s="3" t="str">
        <x:v>HEV GR SPORT</x:v>
      </x:c>
      <x:c r="H311" s="3" t="str">
        <x:v>20–50千km</x:v>
      </x:c>
      <x:c r="I311" s="3" t="str">
        <x:v>世代不明</x:v>
      </x:c>
      <x:c r="J311" s="22" t="n">
        <x:f>COUNT('中古車掲載'!AM51:AM53)</x:f>
        <x:v>3</x:v>
      </x:c>
      <x:c r="K311" s="22" t="n">
        <x:f>IF(COUNT('中古車掲載'!AM51:AM53)=0,"",QUARTILE('中古車掲載'!AM51:AM53,1))</x:f>
        <x:v>797450</x:v>
      </x:c>
      <x:c r="L311" s="22" t="n">
        <x:f>IF(COUNT('中古車掲載'!AM51:AM53)=0,"",MEDIAN('中古車掲載'!AM51:AM53))</x:f>
        <x:v>799900</x:v>
      </x:c>
      <x:c r="M311" s="22" t="n">
        <x:f>IF(COUNT('中古車掲載'!AM51:AM53)=0,"",QUARTILE('中古車掲載'!AM51:AM53,3))</x:f>
        <x:v>819450</x:v>
      </x:c>
      <x:c r="N311" s="22" t="n">
        <x:f>COUNT('中古車掲載'!AN51:AN53)</x:f>
        <x:v>3</x:v>
      </x:c>
      <x:c r="O311" s="23" t="n">
        <x:f>IF(COUNT('中古車掲載'!AN51:AN53)=0,"",MEDIAN('中古車掲載'!AN51:AN53))</x:f>
        <x:v>0.6378787878787879</x:v>
      </x:c>
      <x:c r="P311" s="3"/>
      <x:c r="Q311" s="3"/>
      <x:c r="R311" s="3"/>
      <x:c r="S311" s="3"/>
      <x:c r="T311" s="3"/>
      <x:c r="U311" s="3"/>
      <x:c r="V311" s="3"/>
      <x:c r="W311" s="3"/>
      <x:c r="X311" s="3"/>
      <x:c r="Y311" s="3"/>
      <x:c r="Z311" s="3"/>
      <x:c r="AA311" s="3"/>
      <x:c r="AB311" s="3"/>
      <x:c r="AC311" s="3"/>
      <x:c r="AD311" s="3"/>
      <x:c r="AE311" s="3"/>
      <x:c r="AF311" s="3"/>
      <x:c r="AG311" s="3"/>
      <x:c r="AH311" s="3"/>
      <x:c r="AI311" s="3"/>
      <x:c r="AJ311" s="3"/>
      <x:c r="AK311" s="3"/>
      <x:c r="AL311" s="3"/>
      <x:c r="AM311" s="3"/>
      <x:c r="AN311" s="3"/>
      <x:c r="AO311" s="3"/>
      <x:c r="AP311" s="3"/>
      <x:c r="AQ311" s="3"/>
      <x:c r="AR311" s="3"/>
      <x:c r="AS311" s="3"/>
      <x:c r="AT311" s="3"/>
      <x:c r="AU311" s="3"/>
      <x:c r="AV311" s="3"/>
      <x:c r="AW311" s="3"/>
      <x:c r="AX311" s="3"/>
      <x:c r="AY311" s="3"/>
      <x:c r="AZ311" s="3" t="str">
        <x:f>IF(AND('中古車掲載'!C312="One2car",'中古車掲載'!F312="ATTO 3",'中古車掲載'!L312="EXTENDED RANGE",'中古車掲載'!J312=2023,ISNUMBER('中古車掲載'!N312),'中古車掲載'!N312&gt;=20000,'中古車掲載'!O312&lt;=100000,'中古車掲載'!AL312=1),'中古車掲載'!U312,"")</x:f>
      </x:c>
      <x:c r="BA311" s="3" t="str">
        <x:f>IF(AND('中古車掲載'!C312="One2car",'中古車掲載'!F312="Corolla Cross",'中古車掲載'!L312="HEV PREMIUM SAFETY",'中古車掲載'!J312=2023,ISNUMBER('中古車掲載'!N312),'中古車掲載'!N312&gt;=20000,'中古車掲載'!O312&lt;=100000,'中古車掲載'!AL312=1,'中古車掲載'!Z312="https://www.one2car.com/en/cars-for-sale/toyota/corolla-cross/year-2023"),'中古車掲載'!U312,"")</x:f>
      </x:c>
      <x:c r="BB311" s="3" t="str">
        <x:f>IF(AND('中古車掲載'!C312="One2car",'中古車掲載'!F312="ATTO 3",'中古車掲載'!L312="EXTENDED RANGE",'中古車掲載'!J312=2023,ISNUMBER('中古車掲載'!N312),'中古車掲載'!N312&gt;=50000,'中古車掲載'!O312&lt;=100000,'中古車掲載'!AL312=1),'中古車掲載'!U312,"")</x:f>
      </x:c>
      <x:c r="BC311" s="3" t="str">
        <x:f>IF(AND('中古車掲載'!C312="One2car",'中古車掲載'!F312="Corolla Cross",'中古車掲載'!L312="HEV PREMIUM SAFETY",'中古車掲載'!J312=2023,ISNUMBER('中古車掲載'!N312),'中古車掲載'!N312&gt;=50000,'中古車掲載'!O312&lt;=100000,'中古車掲載'!AL312=1,'中古車掲載'!Z312="https://www.one2car.com/en/cars-for-sale/toyota/corolla-cross/year-2023"),'中古車掲載'!U312,"")</x:f>
      </x:c>
      <x:c r="BD311" s="3" t="str">
        <x:f>IF(AND('中古車掲載'!C312="One2car",'中古車掲載'!F312="ATTO 3",'中古車掲載'!L312="EXTENDED RANGE",'中古車掲載'!J312=2023,ISNUMBER('中古車掲載'!N312),'中古車掲載'!N312&gt;=20000,'中古車掲載'!O312&lt;=50000,'中古車掲載'!AL312=1),'中古車掲載'!U312,"")</x:f>
      </x:c>
      <x:c r="BE311" s="3" t="str">
        <x:f>IF(AND('中古車掲載'!C312="One2car",'中古車掲載'!F312="Corolla Cross",'中古車掲載'!L312="HEV PREMIUM SAFETY",'中古車掲載'!J312=2023,ISNUMBER('中古車掲載'!N312),'中古車掲載'!N312&gt;=20000,'中古車掲載'!O312&lt;=50000,'中古車掲載'!AL312=1,'中古車掲載'!Z312="https://www.one2car.com/en/cars-for-sale/toyota/corolla-cross/year-2023"),'中古車掲載'!U312,"")</x:f>
      </x:c>
      <x:c r="BF311" s="3" t="str">
        <x:f>IF(AND('中古車掲載'!C312="One2car",'中古車掲載'!F312="Corolla Cross",'中古車掲載'!L312="HEV PREMIUM",'中古車掲載'!J312=2023,ISNUMBER('中古車掲載'!N312),'中古車掲載'!N312&gt;=20000,'中古車掲載'!O312&lt;=100000,'中古車掲載'!AL312=1,'中古車掲載'!Z312="https://www.one2car.com/en/cars-for-sale/toyota/corolla-cross/year-2023"),'中古車掲載'!U312,"")</x:f>
      </x:c>
      <x:c r="BG311" s="3" t="str">
        <x:f>IF(AND('中古車掲載'!C312="One2car",'中古車掲載'!F312="Corolla Cross",'中古車掲載'!L312="HEV GR SPORT",'中古車掲載'!J312=2023,ISNUMBER('中古車掲載'!N312),'中古車掲載'!N312&gt;=20000,'中古車掲載'!O312&lt;=100000,'中古車掲載'!AL312=1,'中古車掲載'!Z312="https://www.one2car.com/en/cars-for-sale/toyota/corolla-cross/year-2023"),'中古車掲載'!U312,"")</x:f>
      </x:c>
      <x:c r="BH311" s="3" t="str">
        <x:f>IF(AND('中古車掲載'!C312="One2car",'中古車掲載'!F312="DOLPHIN",'中古車掲載'!L312="STANDARD RANGE",'中古車掲載'!J312=2023,ISNUMBER('中古車掲載'!N312),'中古車掲載'!N312&gt;=20000,'中古車掲載'!O312&lt;=100000,'中古車掲載'!AL312=1),'中古車掲載'!U312,"")</x:f>
      </x:c>
      <x:c r="BI311" s="3" t="str">
        <x:v>Taladrod|Corolla Cross|HEV|Unknown</x:v>
      </x:c>
      <x:c r="BJ311" s="3" t="n">
        <x:v>312</x:v>
      </x:c>
      <x:c r="BK311" s="3" t="n">
        <x:f>'中古車掲載'!AM312</x:f>
        <x:v>689000</x:v>
      </x:c>
      <x:c r="BL311" s="3" t="str">
        <x:f>IF(ISNUMBER('中古車掲載'!AN312),'中古車掲載'!AN312,"")</x:f>
      </x:c>
      <x:c r="BM311" s="3"/>
      <x:c r="BN311" s="3"/>
      <x:c r="BO311" s="3"/>
      <x:c r="BP311" s="3"/>
      <x:c r="BQ311" s="3"/>
      <x:c r="BR311" s="3"/>
    </x:row>
    <x:row r="312" ht="22" customHeight="1">
      <x:c r="A312" s="3" t="str">
        <x:v>Corolla Cross</x:v>
      </x:c>
      <x:c r="B312" s="3" t="str">
        <x:v>HEV</x:v>
      </x:c>
      <x:c r="C312" s="3" t="str">
        <x:v>One2car</x:v>
      </x:c>
      <x:c r="D312" s="3" t="str">
        <x:v>SUV</x:v>
      </x:c>
      <x:c r="E312" s="3" t="str"/>
      <x:c r="F312" s="3" t="n">
        <x:v>2023</x:v>
      </x:c>
      <x:c r="G312" s="3" t="str">
        <x:v>HEV GR SPORT</x:v>
      </x:c>
      <x:c r="H312" s="3" t="str">
        <x:v>50–100千km</x:v>
      </x:c>
      <x:c r="I312" s="3" t="str">
        <x:v>世代不明</x:v>
      </x:c>
      <x:c r="J312" s="22" t="n">
        <x:f>COUNT('中古車掲載'!AM54:AM56)</x:f>
        <x:v>3</x:v>
      </x:c>
      <x:c r="K312" s="22" t="n">
        <x:f>IF(COUNT('中古車掲載'!AM54:AM56)=0,"",QUARTILE('中古車掲載'!AM54:AM56,1))</x:f>
        <x:v>824000</x:v>
      </x:c>
      <x:c r="L312" s="22" t="n">
        <x:f>IF(COUNT('中古車掲載'!AM54:AM56)=0,"",MEDIAN('中古車掲載'!AM54:AM56))</x:f>
        <x:v>849000</x:v>
      </x:c>
      <x:c r="M312" s="22" t="n">
        <x:f>IF(COUNT('中古車掲載'!AM54:AM56)=0,"",QUARTILE('中古車掲載'!AM54:AM56,3))</x:f>
        <x:v>864000</x:v>
      </x:c>
      <x:c r="N312" s="22" t="n">
        <x:f>COUNT('中古車掲載'!AN54:AN56)</x:f>
        <x:v>3</x:v>
      </x:c>
      <x:c r="O312" s="23" t="n">
        <x:f>IF(COUNT('中古車掲載'!AN54:AN56)=0,"",MEDIAN('中古車掲載'!AN54:AN56))</x:f>
        <x:v>0.6770334928229665</x:v>
      </x:c>
      <x:c r="P312" s="3"/>
      <x:c r="Q312" s="3"/>
      <x:c r="R312" s="3"/>
      <x:c r="S312" s="3"/>
      <x:c r="T312" s="3"/>
      <x:c r="U312" s="3"/>
      <x:c r="V312" s="3"/>
      <x:c r="W312" s="3"/>
      <x:c r="X312" s="3"/>
      <x:c r="Y312" s="3"/>
      <x:c r="Z312" s="3"/>
      <x:c r="AA312" s="3"/>
      <x:c r="AB312" s="3"/>
      <x:c r="AC312" s="3"/>
      <x:c r="AD312" s="3"/>
      <x:c r="AE312" s="3"/>
      <x:c r="AF312" s="3"/>
      <x:c r="AG312" s="3"/>
      <x:c r="AH312" s="3"/>
      <x:c r="AI312" s="3"/>
      <x:c r="AJ312" s="3"/>
      <x:c r="AK312" s="3"/>
      <x:c r="AL312" s="3"/>
      <x:c r="AM312" s="3"/>
      <x:c r="AN312" s="3"/>
      <x:c r="AO312" s="3"/>
      <x:c r="AP312" s="3"/>
      <x:c r="AQ312" s="3"/>
      <x:c r="AR312" s="3"/>
      <x:c r="AS312" s="3"/>
      <x:c r="AT312" s="3"/>
      <x:c r="AU312" s="3"/>
      <x:c r="AV312" s="3"/>
      <x:c r="AW312" s="3"/>
      <x:c r="AX312" s="3"/>
      <x:c r="AY312" s="3"/>
      <x:c r="AZ312" s="3" t="str">
        <x:f>IF(AND('中古車掲載'!C313="One2car",'中古車掲載'!F313="ATTO 3",'中古車掲載'!L313="EXTENDED RANGE",'中古車掲載'!J313=2023,ISNUMBER('中古車掲載'!N313),'中古車掲載'!N313&gt;=20000,'中古車掲載'!O313&lt;=100000,'中古車掲載'!AL313=1),'中古車掲載'!U313,"")</x:f>
      </x:c>
      <x:c r="BA312" s="3" t="str">
        <x:f>IF(AND('中古車掲載'!C313="One2car",'中古車掲載'!F313="Corolla Cross",'中古車掲載'!L313="HEV PREMIUM SAFETY",'中古車掲載'!J313=2023,ISNUMBER('中古車掲載'!N313),'中古車掲載'!N313&gt;=20000,'中古車掲載'!O313&lt;=100000,'中古車掲載'!AL313=1,'中古車掲載'!Z313="https://www.one2car.com/en/cars-for-sale/toyota/corolla-cross/year-2023"),'中古車掲載'!U313,"")</x:f>
      </x:c>
      <x:c r="BB312" s="3" t="str">
        <x:f>IF(AND('中古車掲載'!C313="One2car",'中古車掲載'!F313="ATTO 3",'中古車掲載'!L313="EXTENDED RANGE",'中古車掲載'!J313=2023,ISNUMBER('中古車掲載'!N313),'中古車掲載'!N313&gt;=50000,'中古車掲載'!O313&lt;=100000,'中古車掲載'!AL313=1),'中古車掲載'!U313,"")</x:f>
      </x:c>
      <x:c r="BC312" s="3" t="str">
        <x:f>IF(AND('中古車掲載'!C313="One2car",'中古車掲載'!F313="Corolla Cross",'中古車掲載'!L313="HEV PREMIUM SAFETY",'中古車掲載'!J313=2023,ISNUMBER('中古車掲載'!N313),'中古車掲載'!N313&gt;=50000,'中古車掲載'!O313&lt;=100000,'中古車掲載'!AL313=1,'中古車掲載'!Z313="https://www.one2car.com/en/cars-for-sale/toyota/corolla-cross/year-2023"),'中古車掲載'!U313,"")</x:f>
      </x:c>
      <x:c r="BD312" s="3" t="str">
        <x:f>IF(AND('中古車掲載'!C313="One2car",'中古車掲載'!F313="ATTO 3",'中古車掲載'!L313="EXTENDED RANGE",'中古車掲載'!J313=2023,ISNUMBER('中古車掲載'!N313),'中古車掲載'!N313&gt;=20000,'中古車掲載'!O313&lt;=50000,'中古車掲載'!AL313=1),'中古車掲載'!U313,"")</x:f>
      </x:c>
      <x:c r="BE312" s="3" t="str">
        <x:f>IF(AND('中古車掲載'!C313="One2car",'中古車掲載'!F313="Corolla Cross",'中古車掲載'!L313="HEV PREMIUM SAFETY",'中古車掲載'!J313=2023,ISNUMBER('中古車掲載'!N313),'中古車掲載'!N313&gt;=20000,'中古車掲載'!O313&lt;=50000,'中古車掲載'!AL313=1,'中古車掲載'!Z313="https://www.one2car.com/en/cars-for-sale/toyota/corolla-cross/year-2023"),'中古車掲載'!U313,"")</x:f>
      </x:c>
      <x:c r="BF312" s="3" t="str">
        <x:f>IF(AND('中古車掲載'!C313="One2car",'中古車掲載'!F313="Corolla Cross",'中古車掲載'!L313="HEV PREMIUM",'中古車掲載'!J313=2023,ISNUMBER('中古車掲載'!N313),'中古車掲載'!N313&gt;=20000,'中古車掲載'!O313&lt;=100000,'中古車掲載'!AL313=1,'中古車掲載'!Z313="https://www.one2car.com/en/cars-for-sale/toyota/corolla-cross/year-2023"),'中古車掲載'!U313,"")</x:f>
      </x:c>
      <x:c r="BG312" s="3" t="str">
        <x:f>IF(AND('中古車掲載'!C313="One2car",'中古車掲載'!F313="Corolla Cross",'中古車掲載'!L313="HEV GR SPORT",'中古車掲載'!J313=2023,ISNUMBER('中古車掲載'!N313),'中古車掲載'!N313&gt;=20000,'中古車掲載'!O313&lt;=100000,'中古車掲載'!AL313=1,'中古車掲載'!Z313="https://www.one2car.com/en/cars-for-sale/toyota/corolla-cross/year-2023"),'中古車掲載'!U313,"")</x:f>
      </x:c>
      <x:c r="BH312" s="3" t="str">
        <x:f>IF(AND('中古車掲載'!C313="One2car",'中古車掲載'!F313="DOLPHIN",'中古車掲載'!L313="STANDARD RANGE",'中古車掲載'!J313=2023,ISNUMBER('中古車掲載'!N313),'中古車掲載'!N313&gt;=20000,'中古車掲載'!O313&lt;=100000,'中古車掲載'!AL313=1),'中古車掲載'!U313,"")</x:f>
      </x:c>
      <x:c r="BI312" s="3" t="str">
        <x:v>Taladrod|Corolla Cross|HEV|Unknown</x:v>
      </x:c>
      <x:c r="BJ312" s="3" t="n">
        <x:v>313</x:v>
      </x:c>
      <x:c r="BK312" s="3" t="n">
        <x:f>'中古車掲載'!AM313</x:f>
        <x:v>658000</x:v>
      </x:c>
      <x:c r="BL312" s="3" t="str">
        <x:f>IF(ISNUMBER('中古車掲載'!AN313),'中古車掲載'!AN313,"")</x:f>
      </x:c>
      <x:c r="BM312" s="3"/>
      <x:c r="BN312" s="3"/>
      <x:c r="BO312" s="3"/>
      <x:c r="BP312" s="3"/>
      <x:c r="BQ312" s="3"/>
      <x:c r="BR312" s="3"/>
    </x:row>
    <x:row r="313" ht="22" customHeight="1">
      <x:c r="A313" s="3" t="str">
        <x:v>Corolla Cross</x:v>
      </x:c>
      <x:c r="B313" s="3" t="str">
        <x:v>HEV</x:v>
      </x:c>
      <x:c r="C313" s="3" t="str">
        <x:v>One2car</x:v>
      </x:c>
      <x:c r="D313" s="3" t="str">
        <x:v>SUV</x:v>
      </x:c>
      <x:c r="E313" s="3" t="str"/>
      <x:c r="F313" s="3" t="n">
        <x:v>2023</x:v>
      </x:c>
      <x:c r="G313" s="3" t="str">
        <x:v>HEV PREMIUM</x:v>
      </x:c>
      <x:c r="H313" s="3" t="str">
        <x:v>20–50千km</x:v>
      </x:c>
      <x:c r="I313" s="3" t="str">
        <x:v>世代不明</x:v>
      </x:c>
      <x:c r="J313" s="22" t="n">
        <x:f>COUNT('中古車掲載'!AM57:AM58)</x:f>
        <x:v>2</x:v>
      </x:c>
      <x:c r="K313" s="22" t="n">
        <x:f>IF(COUNT('中古車掲載'!AM57:AM58)=0,"",QUARTILE('中古車掲載'!AM57:AM58,1))</x:f>
        <x:v>731500</x:v>
      </x:c>
      <x:c r="L313" s="22" t="n">
        <x:f>IF(COUNT('中古車掲載'!AM57:AM58)=0,"",MEDIAN('中古車掲載'!AM57:AM58))</x:f>
        <x:v>734000</x:v>
      </x:c>
      <x:c r="M313" s="22" t="n">
        <x:f>IF(COUNT('中古車掲載'!AM57:AM58)=0,"",QUARTILE('中古車掲載'!AM57:AM58,3))</x:f>
        <x:v>736500</x:v>
      </x:c>
      <x:c r="N313" s="22" t="n">
        <x:f>COUNT('中古車掲載'!AN57:AN58)</x:f>
        <x:v>2</x:v>
      </x:c>
      <x:c r="O313" s="23" t="n">
        <x:f>IF(COUNT('中古車掲載'!AN57:AN58)=0,"",MEDIAN('中古車掲載'!AN57:AN58))</x:f>
        <x:v>0.6709323583180987</x:v>
      </x:c>
      <x:c r="P313" s="3"/>
      <x:c r="Q313" s="3"/>
      <x:c r="R313" s="3"/>
      <x:c r="S313" s="3"/>
      <x:c r="T313" s="3"/>
      <x:c r="U313" s="3"/>
      <x:c r="V313" s="3"/>
      <x:c r="W313" s="3"/>
      <x:c r="X313" s="3"/>
      <x:c r="Y313" s="3"/>
      <x:c r="Z313" s="3"/>
      <x:c r="AA313" s="3"/>
      <x:c r="AB313" s="3"/>
      <x:c r="AC313" s="3"/>
      <x:c r="AD313" s="3"/>
      <x:c r="AE313" s="3"/>
      <x:c r="AF313" s="3"/>
      <x:c r="AG313" s="3"/>
      <x:c r="AH313" s="3"/>
      <x:c r="AI313" s="3"/>
      <x:c r="AJ313" s="3"/>
      <x:c r="AK313" s="3"/>
      <x:c r="AL313" s="3"/>
      <x:c r="AM313" s="3"/>
      <x:c r="AN313" s="3"/>
      <x:c r="AO313" s="3"/>
      <x:c r="AP313" s="3"/>
      <x:c r="AQ313" s="3"/>
      <x:c r="AR313" s="3"/>
      <x:c r="AS313" s="3"/>
      <x:c r="AT313" s="3"/>
      <x:c r="AU313" s="3"/>
      <x:c r="AV313" s="3"/>
      <x:c r="AW313" s="3"/>
      <x:c r="AX313" s="3"/>
      <x:c r="AY313" s="3"/>
      <x:c r="AZ313" s="3" t="str">
        <x:f>IF(AND('中古車掲載'!C314="One2car",'中古車掲載'!F314="ATTO 3",'中古車掲載'!L314="EXTENDED RANGE",'中古車掲載'!J314=2023,ISNUMBER('中古車掲載'!N314),'中古車掲載'!N314&gt;=20000,'中古車掲載'!O314&lt;=100000,'中古車掲載'!AL314=1),'中古車掲載'!U314,"")</x:f>
      </x:c>
      <x:c r="BA313" s="3" t="str">
        <x:f>IF(AND('中古車掲載'!C314="One2car",'中古車掲載'!F314="Corolla Cross",'中古車掲載'!L314="HEV PREMIUM SAFETY",'中古車掲載'!J314=2023,ISNUMBER('中古車掲載'!N314),'中古車掲載'!N314&gt;=20000,'中古車掲載'!O314&lt;=100000,'中古車掲載'!AL314=1,'中古車掲載'!Z314="https://www.one2car.com/en/cars-for-sale/toyota/corolla-cross/year-2023"),'中古車掲載'!U314,"")</x:f>
      </x:c>
      <x:c r="BB313" s="3" t="str">
        <x:f>IF(AND('中古車掲載'!C314="One2car",'中古車掲載'!F314="ATTO 3",'中古車掲載'!L314="EXTENDED RANGE",'中古車掲載'!J314=2023,ISNUMBER('中古車掲載'!N314),'中古車掲載'!N314&gt;=50000,'中古車掲載'!O314&lt;=100000,'中古車掲載'!AL314=1),'中古車掲載'!U314,"")</x:f>
      </x:c>
      <x:c r="BC313" s="3" t="str">
        <x:f>IF(AND('中古車掲載'!C314="One2car",'中古車掲載'!F314="Corolla Cross",'中古車掲載'!L314="HEV PREMIUM SAFETY",'中古車掲載'!J314=2023,ISNUMBER('中古車掲載'!N314),'中古車掲載'!N314&gt;=50000,'中古車掲載'!O314&lt;=100000,'中古車掲載'!AL314=1,'中古車掲載'!Z314="https://www.one2car.com/en/cars-for-sale/toyota/corolla-cross/year-2023"),'中古車掲載'!U314,"")</x:f>
      </x:c>
      <x:c r="BD313" s="3" t="str">
        <x:f>IF(AND('中古車掲載'!C314="One2car",'中古車掲載'!F314="ATTO 3",'中古車掲載'!L314="EXTENDED RANGE",'中古車掲載'!J314=2023,ISNUMBER('中古車掲載'!N314),'中古車掲載'!N314&gt;=20000,'中古車掲載'!O314&lt;=50000,'中古車掲載'!AL314=1),'中古車掲載'!U314,"")</x:f>
      </x:c>
      <x:c r="BE313" s="3" t="str">
        <x:f>IF(AND('中古車掲載'!C314="One2car",'中古車掲載'!F314="Corolla Cross",'中古車掲載'!L314="HEV PREMIUM SAFETY",'中古車掲載'!J314=2023,ISNUMBER('中古車掲載'!N314),'中古車掲載'!N314&gt;=20000,'中古車掲載'!O314&lt;=50000,'中古車掲載'!AL314=1,'中古車掲載'!Z314="https://www.one2car.com/en/cars-for-sale/toyota/corolla-cross/year-2023"),'中古車掲載'!U314,"")</x:f>
      </x:c>
      <x:c r="BF313" s="3" t="str">
        <x:f>IF(AND('中古車掲載'!C314="One2car",'中古車掲載'!F314="Corolla Cross",'中古車掲載'!L314="HEV PREMIUM",'中古車掲載'!J314=2023,ISNUMBER('中古車掲載'!N314),'中古車掲載'!N314&gt;=20000,'中古車掲載'!O314&lt;=100000,'中古車掲載'!AL314=1,'中古車掲載'!Z314="https://www.one2car.com/en/cars-for-sale/toyota/corolla-cross/year-2023"),'中古車掲載'!U314,"")</x:f>
      </x:c>
      <x:c r="BG313" s="3" t="str">
        <x:f>IF(AND('中古車掲載'!C314="One2car",'中古車掲載'!F314="Corolla Cross",'中古車掲載'!L314="HEV GR SPORT",'中古車掲載'!J314=2023,ISNUMBER('中古車掲載'!N314),'中古車掲載'!N314&gt;=20000,'中古車掲載'!O314&lt;=100000,'中古車掲載'!AL314=1,'中古車掲載'!Z314="https://www.one2car.com/en/cars-for-sale/toyota/corolla-cross/year-2023"),'中古車掲載'!U314,"")</x:f>
      </x:c>
      <x:c r="BH313" s="3" t="str">
        <x:f>IF(AND('中古車掲載'!C314="One2car",'中古車掲載'!F314="DOLPHIN",'中古車掲載'!L314="STANDARD RANGE",'中古車掲載'!J314=2023,ISNUMBER('中古車掲載'!N314),'中古車掲載'!N314&gt;=20000,'中古車掲載'!O314&lt;=100000,'中古車掲載'!AL314=1),'中古車掲載'!U314,"")</x:f>
      </x:c>
      <x:c r="BI313" s="3" t="str">
        <x:v>Taladrod|Corolla Cross|HEV|Unknown</x:v>
      </x:c>
      <x:c r="BJ313" s="3" t="n">
        <x:v>314</x:v>
      </x:c>
      <x:c r="BK313" s="3" t="n">
        <x:f>'中古車掲載'!AM314</x:f>
        <x:v>699000</x:v>
      </x:c>
      <x:c r="BL313" s="3" t="str">
        <x:f>IF(ISNUMBER('中古車掲載'!AN314),'中古車掲載'!AN314,"")</x:f>
      </x:c>
      <x:c r="BM313" s="3"/>
      <x:c r="BN313" s="3"/>
      <x:c r="BO313" s="3"/>
      <x:c r="BP313" s="3"/>
      <x:c r="BQ313" s="3"/>
      <x:c r="BR313" s="3"/>
    </x:row>
    <x:row r="314" ht="22" customHeight="1">
      <x:c r="A314" s="3" t="str">
        <x:v>Corolla Cross</x:v>
      </x:c>
      <x:c r="B314" s="3" t="str">
        <x:v>HEV</x:v>
      </x:c>
      <x:c r="C314" s="3" t="str">
        <x:v>One2car</x:v>
      </x:c>
      <x:c r="D314" s="3" t="str">
        <x:v>SUV</x:v>
      </x:c>
      <x:c r="E314" s="3" t="str"/>
      <x:c r="F314" s="3" t="n">
        <x:v>2023</x:v>
      </x:c>
      <x:c r="G314" s="3" t="str">
        <x:v>HEV PREMIUM</x:v>
      </x:c>
      <x:c r="H314" s="3" t="str">
        <x:v>50–100千km</x:v>
      </x:c>
      <x:c r="I314" s="3" t="str">
        <x:v>世代不明</x:v>
      </x:c>
      <x:c r="J314" s="22" t="n">
        <x:f>COUNT('中古車掲載'!AM59:AM62)</x:f>
        <x:v>4</x:v>
      </x:c>
      <x:c r="K314" s="22" t="n">
        <x:f>IF(COUNT('中古車掲載'!AM59:AM62)=0,"",QUARTILE('中古車掲載'!AM59:AM62,1))</x:f>
        <x:v>683250</x:v>
      </x:c>
      <x:c r="L314" s="22" t="n">
        <x:f>IF(COUNT('中古車掲載'!AM59:AM62)=0,"",MEDIAN('中古車掲載'!AM59:AM62))</x:f>
        <x:v>713500</x:v>
      </x:c>
      <x:c r="M314" s="22" t="n">
        <x:f>IF(COUNT('中古車掲載'!AM59:AM62)=0,"",QUARTILE('中古車掲載'!AM59:AM62,3))</x:f>
        <x:v>753750</x:v>
      </x:c>
      <x:c r="N314" s="22" t="n">
        <x:f>COUNT('中古車掲載'!AN59:AN62)</x:f>
        <x:v>4</x:v>
      </x:c>
      <x:c r="O314" s="23" t="n">
        <x:f>IF(COUNT('中古車掲載'!AN59:AN62)=0,"",MEDIAN('中古車掲載'!AN59:AN62))</x:f>
        <x:v>0.6521937842778793</x:v>
      </x:c>
      <x:c r="P314" s="3"/>
      <x:c r="Q314" s="3"/>
      <x:c r="R314" s="3"/>
      <x:c r="S314" s="3"/>
      <x:c r="T314" s="3"/>
      <x:c r="U314" s="3"/>
      <x:c r="V314" s="3"/>
      <x:c r="W314" s="3"/>
      <x:c r="X314" s="3"/>
      <x:c r="Y314" s="3"/>
      <x:c r="Z314" s="3"/>
      <x:c r="AA314" s="3"/>
      <x:c r="AB314" s="3"/>
      <x:c r="AC314" s="3"/>
      <x:c r="AD314" s="3"/>
      <x:c r="AE314" s="3"/>
      <x:c r="AF314" s="3"/>
      <x:c r="AG314" s="3"/>
      <x:c r="AH314" s="3"/>
      <x:c r="AI314" s="3"/>
      <x:c r="AJ314" s="3"/>
      <x:c r="AK314" s="3"/>
      <x:c r="AL314" s="3"/>
      <x:c r="AM314" s="3"/>
      <x:c r="AN314" s="3"/>
      <x:c r="AO314" s="3"/>
      <x:c r="AP314" s="3"/>
      <x:c r="AQ314" s="3"/>
      <x:c r="AR314" s="3"/>
      <x:c r="AS314" s="3"/>
      <x:c r="AT314" s="3"/>
      <x:c r="AU314" s="3"/>
      <x:c r="AV314" s="3"/>
      <x:c r="AW314" s="3"/>
      <x:c r="AX314" s="3"/>
      <x:c r="AY314" s="3"/>
      <x:c r="AZ314" s="3" t="str">
        <x:f>IF(AND('中古車掲載'!C315="One2car",'中古車掲載'!F315="ATTO 3",'中古車掲載'!L315="EXTENDED RANGE",'中古車掲載'!J315=2023,ISNUMBER('中古車掲載'!N315),'中古車掲載'!N315&gt;=20000,'中古車掲載'!O315&lt;=100000,'中古車掲載'!AL315=1),'中古車掲載'!U315,"")</x:f>
      </x:c>
      <x:c r="BA314" s="3" t="str">
        <x:f>IF(AND('中古車掲載'!C315="One2car",'中古車掲載'!F315="Corolla Cross",'中古車掲載'!L315="HEV PREMIUM SAFETY",'中古車掲載'!J315=2023,ISNUMBER('中古車掲載'!N315),'中古車掲載'!N315&gt;=20000,'中古車掲載'!O315&lt;=100000,'中古車掲載'!AL315=1,'中古車掲載'!Z315="https://www.one2car.com/en/cars-for-sale/toyota/corolla-cross/year-2023"),'中古車掲載'!U315,"")</x:f>
      </x:c>
      <x:c r="BB314" s="3" t="str">
        <x:f>IF(AND('中古車掲載'!C315="One2car",'中古車掲載'!F315="ATTO 3",'中古車掲載'!L315="EXTENDED RANGE",'中古車掲載'!J315=2023,ISNUMBER('中古車掲載'!N315),'中古車掲載'!N315&gt;=50000,'中古車掲載'!O315&lt;=100000,'中古車掲載'!AL315=1),'中古車掲載'!U315,"")</x:f>
      </x:c>
      <x:c r="BC314" s="3" t="str">
        <x:f>IF(AND('中古車掲載'!C315="One2car",'中古車掲載'!F315="Corolla Cross",'中古車掲載'!L315="HEV PREMIUM SAFETY",'中古車掲載'!J315=2023,ISNUMBER('中古車掲載'!N315),'中古車掲載'!N315&gt;=50000,'中古車掲載'!O315&lt;=100000,'中古車掲載'!AL315=1,'中古車掲載'!Z315="https://www.one2car.com/en/cars-for-sale/toyota/corolla-cross/year-2023"),'中古車掲載'!U315,"")</x:f>
      </x:c>
      <x:c r="BD314" s="3" t="str">
        <x:f>IF(AND('中古車掲載'!C315="One2car",'中古車掲載'!F315="ATTO 3",'中古車掲載'!L315="EXTENDED RANGE",'中古車掲載'!J315=2023,ISNUMBER('中古車掲載'!N315),'中古車掲載'!N315&gt;=20000,'中古車掲載'!O315&lt;=50000,'中古車掲載'!AL315=1),'中古車掲載'!U315,"")</x:f>
      </x:c>
      <x:c r="BE314" s="3" t="str">
        <x:f>IF(AND('中古車掲載'!C315="One2car",'中古車掲載'!F315="Corolla Cross",'中古車掲載'!L315="HEV PREMIUM SAFETY",'中古車掲載'!J315=2023,ISNUMBER('中古車掲載'!N315),'中古車掲載'!N315&gt;=20000,'中古車掲載'!O315&lt;=50000,'中古車掲載'!AL315=1,'中古車掲載'!Z315="https://www.one2car.com/en/cars-for-sale/toyota/corolla-cross/year-2023"),'中古車掲載'!U315,"")</x:f>
      </x:c>
      <x:c r="BF314" s="3" t="str">
        <x:f>IF(AND('中古車掲載'!C315="One2car",'中古車掲載'!F315="Corolla Cross",'中古車掲載'!L315="HEV PREMIUM",'中古車掲載'!J315=2023,ISNUMBER('中古車掲載'!N315),'中古車掲載'!N315&gt;=20000,'中古車掲載'!O315&lt;=100000,'中古車掲載'!AL315=1,'中古車掲載'!Z315="https://www.one2car.com/en/cars-for-sale/toyota/corolla-cross/year-2023"),'中古車掲載'!U315,"")</x:f>
      </x:c>
      <x:c r="BG314" s="3" t="str">
        <x:f>IF(AND('中古車掲載'!C315="One2car",'中古車掲載'!F315="Corolla Cross",'中古車掲載'!L315="HEV GR SPORT",'中古車掲載'!J315=2023,ISNUMBER('中古車掲載'!N315),'中古車掲載'!N315&gt;=20000,'中古車掲載'!O315&lt;=100000,'中古車掲載'!AL315=1,'中古車掲載'!Z315="https://www.one2car.com/en/cars-for-sale/toyota/corolla-cross/year-2023"),'中古車掲載'!U315,"")</x:f>
      </x:c>
      <x:c r="BH314" s="3" t="str">
        <x:f>IF(AND('中古車掲載'!C315="One2car",'中古車掲載'!F315="DOLPHIN",'中古車掲載'!L315="STANDARD RANGE",'中古車掲載'!J315=2023,ISNUMBER('中古車掲載'!N315),'中古車掲載'!N315&gt;=20000,'中古車掲載'!O315&lt;=100000,'中古車掲載'!AL315=1),'中古車掲載'!U315,"")</x:f>
      </x:c>
      <x:c r="BI314" s="3" t="str">
        <x:v>Taladrod|Corolla Cross|HEV|Unknown</x:v>
      </x:c>
      <x:c r="BJ314" s="3" t="n">
        <x:v>315</x:v>
      </x:c>
      <x:c r="BK314" s="3" t="n">
        <x:f>'中古車掲載'!AM315</x:f>
        <x:v>559000</x:v>
      </x:c>
      <x:c r="BL314" s="3" t="str">
        <x:f>IF(ISNUMBER('中古車掲載'!AN315),'中古車掲載'!AN315,"")</x:f>
      </x:c>
      <x:c r="BM314" s="3"/>
      <x:c r="BN314" s="3"/>
      <x:c r="BO314" s="3"/>
      <x:c r="BP314" s="3"/>
      <x:c r="BQ314" s="3"/>
      <x:c r="BR314" s="3"/>
    </x:row>
    <x:row r="315" ht="22" customHeight="1">
      <x:c r="A315" s="3" t="str">
        <x:v>Corolla Cross</x:v>
      </x:c>
      <x:c r="B315" s="3" t="str">
        <x:v>HEV</x:v>
      </x:c>
      <x:c r="C315" s="3" t="str">
        <x:v>One2car</x:v>
      </x:c>
      <x:c r="D315" s="3" t="str">
        <x:v>SUV</x:v>
      </x:c>
      <x:c r="E315" s="3" t="str"/>
      <x:c r="F315" s="3" t="n">
        <x:v>2023</x:v>
      </x:c>
      <x:c r="G315" s="3" t="str">
        <x:v>HEV PREMIUM</x:v>
      </x:c>
      <x:c r="H315" s="3" t="str">
        <x:v>&lt;20千km</x:v>
      </x:c>
      <x:c r="I315" s="3" t="str">
        <x:v>世代不明</x:v>
      </x:c>
      <x:c r="J315" s="22" t="n">
        <x:f>COUNT('中古車掲載'!AM63:AM64)</x:f>
        <x:v>2</x:v>
      </x:c>
      <x:c r="K315" s="22" t="n">
        <x:f>IF(COUNT('中古車掲載'!AM63:AM64)=0,"",QUARTILE('中古車掲載'!AM63:AM64,1))</x:f>
        <x:v>669000</x:v>
      </x:c>
      <x:c r="L315" s="22" t="n">
        <x:f>IF(COUNT('中古車掲載'!AM63:AM64)=0,"",MEDIAN('中古車掲載'!AM63:AM64))</x:f>
        <x:v>669000</x:v>
      </x:c>
      <x:c r="M315" s="22" t="n">
        <x:f>IF(COUNT('中古車掲載'!AM63:AM64)=0,"",QUARTILE('中古車掲載'!AM63:AM64,3))</x:f>
        <x:v>669000</x:v>
      </x:c>
      <x:c r="N315" s="22" t="n">
        <x:f>COUNT('中古車掲載'!AN63:AN64)</x:f>
        <x:v>2</x:v>
      </x:c>
      <x:c r="O315" s="23" t="n">
        <x:f>IF(COUNT('中古車掲載'!AN63:AN64)=0,"",MEDIAN('中古車掲載'!AN63:AN64))</x:f>
        <x:v>0.6115173674588665</x:v>
      </x:c>
      <x:c r="P315" s="3"/>
      <x:c r="Q315" s="3"/>
      <x:c r="R315" s="3"/>
      <x:c r="S315" s="3"/>
      <x:c r="T315" s="3"/>
      <x:c r="U315" s="3"/>
      <x:c r="V315" s="3"/>
      <x:c r="W315" s="3"/>
      <x:c r="X315" s="3"/>
      <x:c r="Y315" s="3"/>
      <x:c r="Z315" s="3"/>
      <x:c r="AA315" s="3"/>
      <x:c r="AB315" s="3"/>
      <x:c r="AC315" s="3"/>
      <x:c r="AD315" s="3"/>
      <x:c r="AE315" s="3"/>
      <x:c r="AF315" s="3"/>
      <x:c r="AG315" s="3"/>
      <x:c r="AH315" s="3"/>
      <x:c r="AI315" s="3"/>
      <x:c r="AJ315" s="3"/>
      <x:c r="AK315" s="3"/>
      <x:c r="AL315" s="3"/>
      <x:c r="AM315" s="3"/>
      <x:c r="AN315" s="3"/>
      <x:c r="AO315" s="3"/>
      <x:c r="AP315" s="3"/>
      <x:c r="AQ315" s="3"/>
      <x:c r="AR315" s="3"/>
      <x:c r="AS315" s="3"/>
      <x:c r="AT315" s="3"/>
      <x:c r="AU315" s="3"/>
      <x:c r="AV315" s="3"/>
      <x:c r="AW315" s="3"/>
      <x:c r="AX315" s="3"/>
      <x:c r="AY315" s="3"/>
      <x:c r="AZ315" s="3" t="str">
        <x:f>IF(AND('中古車掲載'!C316="One2car",'中古車掲載'!F316="ATTO 3",'中古車掲載'!L316="EXTENDED RANGE",'中古車掲載'!J316=2023,ISNUMBER('中古車掲載'!N316),'中古車掲載'!N316&gt;=20000,'中古車掲載'!O316&lt;=100000,'中古車掲載'!AL316=1),'中古車掲載'!U316,"")</x:f>
      </x:c>
      <x:c r="BA315" s="3" t="str">
        <x:f>IF(AND('中古車掲載'!C316="One2car",'中古車掲載'!F316="Corolla Cross",'中古車掲載'!L316="HEV PREMIUM SAFETY",'中古車掲載'!J316=2023,ISNUMBER('中古車掲載'!N316),'中古車掲載'!N316&gt;=20000,'中古車掲載'!O316&lt;=100000,'中古車掲載'!AL316=1,'中古車掲載'!Z316="https://www.one2car.com/en/cars-for-sale/toyota/corolla-cross/year-2023"),'中古車掲載'!U316,"")</x:f>
      </x:c>
      <x:c r="BB315" s="3" t="str">
        <x:f>IF(AND('中古車掲載'!C316="One2car",'中古車掲載'!F316="ATTO 3",'中古車掲載'!L316="EXTENDED RANGE",'中古車掲載'!J316=2023,ISNUMBER('中古車掲載'!N316),'中古車掲載'!N316&gt;=50000,'中古車掲載'!O316&lt;=100000,'中古車掲載'!AL316=1),'中古車掲載'!U316,"")</x:f>
      </x:c>
      <x:c r="BC315" s="3" t="str">
        <x:f>IF(AND('中古車掲載'!C316="One2car",'中古車掲載'!F316="Corolla Cross",'中古車掲載'!L316="HEV PREMIUM SAFETY",'中古車掲載'!J316=2023,ISNUMBER('中古車掲載'!N316),'中古車掲載'!N316&gt;=50000,'中古車掲載'!O316&lt;=100000,'中古車掲載'!AL316=1,'中古車掲載'!Z316="https://www.one2car.com/en/cars-for-sale/toyota/corolla-cross/year-2023"),'中古車掲載'!U316,"")</x:f>
      </x:c>
      <x:c r="BD315" s="3" t="str">
        <x:f>IF(AND('中古車掲載'!C316="One2car",'中古車掲載'!F316="ATTO 3",'中古車掲載'!L316="EXTENDED RANGE",'中古車掲載'!J316=2023,ISNUMBER('中古車掲載'!N316),'中古車掲載'!N316&gt;=20000,'中古車掲載'!O316&lt;=50000,'中古車掲載'!AL316=1),'中古車掲載'!U316,"")</x:f>
      </x:c>
      <x:c r="BE315" s="3" t="str">
        <x:f>IF(AND('中古車掲載'!C316="One2car",'中古車掲載'!F316="Corolla Cross",'中古車掲載'!L316="HEV PREMIUM SAFETY",'中古車掲載'!J316=2023,ISNUMBER('中古車掲載'!N316),'中古車掲載'!N316&gt;=20000,'中古車掲載'!O316&lt;=50000,'中古車掲載'!AL316=1,'中古車掲載'!Z316="https://www.one2car.com/en/cars-for-sale/toyota/corolla-cross/year-2023"),'中古車掲載'!U316,"")</x:f>
      </x:c>
      <x:c r="BF315" s="3" t="str">
        <x:f>IF(AND('中古車掲載'!C316="One2car",'中古車掲載'!F316="Corolla Cross",'中古車掲載'!L316="HEV PREMIUM",'中古車掲載'!J316=2023,ISNUMBER('中古車掲載'!N316),'中古車掲載'!N316&gt;=20000,'中古車掲載'!O316&lt;=100000,'中古車掲載'!AL316=1,'中古車掲載'!Z316="https://www.one2car.com/en/cars-for-sale/toyota/corolla-cross/year-2023"),'中古車掲載'!U316,"")</x:f>
      </x:c>
      <x:c r="BG315" s="3" t="str">
        <x:f>IF(AND('中古車掲載'!C316="One2car",'中古車掲載'!F316="Corolla Cross",'中古車掲載'!L316="HEV GR SPORT",'中古車掲載'!J316=2023,ISNUMBER('中古車掲載'!N316),'中古車掲載'!N316&gt;=20000,'中古車掲載'!O316&lt;=100000,'中古車掲載'!AL316=1,'中古車掲載'!Z316="https://www.one2car.com/en/cars-for-sale/toyota/corolla-cross/year-2023"),'中古車掲載'!U316,"")</x:f>
      </x:c>
      <x:c r="BH315" s="3" t="str">
        <x:f>IF(AND('中古車掲載'!C316="One2car",'中古車掲載'!F316="DOLPHIN",'中古車掲載'!L316="STANDARD RANGE",'中古車掲載'!J316=2023,ISNUMBER('中古車掲載'!N316),'中古車掲載'!N316&gt;=20000,'中古車掲載'!O316&lt;=100000,'中古車掲載'!AL316=1),'中古車掲載'!U316,"")</x:f>
      </x:c>
      <x:c r="BI315" s="3" t="str">
        <x:v>Taladrod|Corolla Cross|HEV|Unknown</x:v>
      </x:c>
      <x:c r="BJ315" s="3" t="n">
        <x:v>316</x:v>
      </x:c>
      <x:c r="BK315" s="3" t="n">
        <x:f>'中古車掲載'!AM316</x:f>
        <x:v>659000</x:v>
      </x:c>
      <x:c r="BL315" s="3" t="str">
        <x:f>IF(ISNUMBER('中古車掲載'!AN316),'中古車掲載'!AN316,"")</x:f>
      </x:c>
      <x:c r="BM315" s="3"/>
      <x:c r="BN315" s="3"/>
      <x:c r="BO315" s="3"/>
      <x:c r="BP315" s="3"/>
      <x:c r="BQ315" s="3"/>
      <x:c r="BR315" s="3"/>
    </x:row>
    <x:row r="316" ht="22" customHeight="1">
      <x:c r="A316" s="3" t="str">
        <x:v>Corolla Cross</x:v>
      </x:c>
      <x:c r="B316" s="3" t="str">
        <x:v>HEV</x:v>
      </x:c>
      <x:c r="C316" s="3" t="str">
        <x:v>One2car</x:v>
      </x:c>
      <x:c r="D316" s="3" t="str">
        <x:v>SUV</x:v>
      </x:c>
      <x:c r="E316" s="3" t="str"/>
      <x:c r="F316" s="3" t="n">
        <x:v>2023</x:v>
      </x:c>
      <x:c r="G316" s="3" t="str">
        <x:v>HEV PREMIUM SAFETY</x:v>
      </x:c>
      <x:c r="H316" s="3" t="str">
        <x:v>20–50千km</x:v>
      </x:c>
      <x:c r="I316" s="3" t="str">
        <x:v>世代不明</x:v>
      </x:c>
      <x:c r="J316" s="22" t="n">
        <x:f>COUNT('中古車掲載'!AM65:AM65)</x:f>
        <x:v>1</x:v>
      </x:c>
      <x:c r="K316" s="22" t="n">
        <x:f>IF(COUNT('中古車掲載'!AM65:AM65)=0,"",QUARTILE('中古車掲載'!AM65:AM65,1))</x:f>
        <x:v>759000</x:v>
      </x:c>
      <x:c r="L316" s="22" t="n">
        <x:f>IF(COUNT('中古車掲載'!AM65:AM65)=0,"",MEDIAN('中古車掲載'!AM65:AM65))</x:f>
        <x:v>759000</x:v>
      </x:c>
      <x:c r="M316" s="22" t="n">
        <x:f>IF(COUNT('中古車掲載'!AM65:AM65)=0,"",QUARTILE('中古車掲載'!AM65:AM65,3))</x:f>
        <x:v>759000</x:v>
      </x:c>
      <x:c r="N316" s="22" t="n">
        <x:f>COUNT('中古車掲載'!AN65:AN65)</x:f>
        <x:v>1</x:v>
      </x:c>
      <x:c r="O316" s="23" t="n">
        <x:f>IF(COUNT('中古車掲載'!AN65:AN65)=0,"",MEDIAN('中古車掲載'!AN65:AN65))</x:f>
        <x:v>0.6303986710963455</x:v>
      </x:c>
      <x:c r="P316" s="3"/>
      <x:c r="Q316" s="3"/>
      <x:c r="R316" s="3"/>
      <x:c r="S316" s="3"/>
      <x:c r="T316" s="3"/>
      <x:c r="U316" s="3"/>
      <x:c r="V316" s="3"/>
      <x:c r="W316" s="3"/>
      <x:c r="X316" s="3"/>
      <x:c r="Y316" s="3"/>
      <x:c r="Z316" s="3"/>
      <x:c r="AA316" s="3"/>
      <x:c r="AB316" s="3"/>
      <x:c r="AC316" s="3"/>
      <x:c r="AD316" s="3"/>
      <x:c r="AE316" s="3"/>
      <x:c r="AF316" s="3"/>
      <x:c r="AG316" s="3"/>
      <x:c r="AH316" s="3"/>
      <x:c r="AI316" s="3"/>
      <x:c r="AJ316" s="3"/>
      <x:c r="AK316" s="3"/>
      <x:c r="AL316" s="3"/>
      <x:c r="AM316" s="3"/>
      <x:c r="AN316" s="3"/>
      <x:c r="AO316" s="3"/>
      <x:c r="AP316" s="3"/>
      <x:c r="AQ316" s="3"/>
      <x:c r="AR316" s="3"/>
      <x:c r="AS316" s="3"/>
      <x:c r="AT316" s="3"/>
      <x:c r="AU316" s="3"/>
      <x:c r="AV316" s="3"/>
      <x:c r="AW316" s="3"/>
      <x:c r="AX316" s="3"/>
      <x:c r="AY316" s="3"/>
      <x:c r="AZ316" s="3" t="str">
        <x:f>IF(AND('中古車掲載'!C317="One2car",'中古車掲載'!F317="ATTO 3",'中古車掲載'!L317="EXTENDED RANGE",'中古車掲載'!J317=2023,ISNUMBER('中古車掲載'!N317),'中古車掲載'!N317&gt;=20000,'中古車掲載'!O317&lt;=100000,'中古車掲載'!AL317=1),'中古車掲載'!U317,"")</x:f>
      </x:c>
      <x:c r="BA316" s="3" t="str">
        <x:f>IF(AND('中古車掲載'!C317="One2car",'中古車掲載'!F317="Corolla Cross",'中古車掲載'!L317="HEV PREMIUM SAFETY",'中古車掲載'!J317=2023,ISNUMBER('中古車掲載'!N317),'中古車掲載'!N317&gt;=20000,'中古車掲載'!O317&lt;=100000,'中古車掲載'!AL317=1,'中古車掲載'!Z317="https://www.one2car.com/en/cars-for-sale/toyota/corolla-cross/year-2023"),'中古車掲載'!U317,"")</x:f>
      </x:c>
      <x:c r="BB316" s="3" t="str">
        <x:f>IF(AND('中古車掲載'!C317="One2car",'中古車掲載'!F317="ATTO 3",'中古車掲載'!L317="EXTENDED RANGE",'中古車掲載'!J317=2023,ISNUMBER('中古車掲載'!N317),'中古車掲載'!N317&gt;=50000,'中古車掲載'!O317&lt;=100000,'中古車掲載'!AL317=1),'中古車掲載'!U317,"")</x:f>
      </x:c>
      <x:c r="BC316" s="3" t="str">
        <x:f>IF(AND('中古車掲載'!C317="One2car",'中古車掲載'!F317="Corolla Cross",'中古車掲載'!L317="HEV PREMIUM SAFETY",'中古車掲載'!J317=2023,ISNUMBER('中古車掲載'!N317),'中古車掲載'!N317&gt;=50000,'中古車掲載'!O317&lt;=100000,'中古車掲載'!AL317=1,'中古車掲載'!Z317="https://www.one2car.com/en/cars-for-sale/toyota/corolla-cross/year-2023"),'中古車掲載'!U317,"")</x:f>
      </x:c>
      <x:c r="BD316" s="3" t="str">
        <x:f>IF(AND('中古車掲載'!C317="One2car",'中古車掲載'!F317="ATTO 3",'中古車掲載'!L317="EXTENDED RANGE",'中古車掲載'!J317=2023,ISNUMBER('中古車掲載'!N317),'中古車掲載'!N317&gt;=20000,'中古車掲載'!O317&lt;=50000,'中古車掲載'!AL317=1),'中古車掲載'!U317,"")</x:f>
      </x:c>
      <x:c r="BE316" s="3" t="str">
        <x:f>IF(AND('中古車掲載'!C317="One2car",'中古車掲載'!F317="Corolla Cross",'中古車掲載'!L317="HEV PREMIUM SAFETY",'中古車掲載'!J317=2023,ISNUMBER('中古車掲載'!N317),'中古車掲載'!N317&gt;=20000,'中古車掲載'!O317&lt;=50000,'中古車掲載'!AL317=1,'中古車掲載'!Z317="https://www.one2car.com/en/cars-for-sale/toyota/corolla-cross/year-2023"),'中古車掲載'!U317,"")</x:f>
      </x:c>
      <x:c r="BF316" s="3" t="str">
        <x:f>IF(AND('中古車掲載'!C317="One2car",'中古車掲載'!F317="Corolla Cross",'中古車掲載'!L317="HEV PREMIUM",'中古車掲載'!J317=2023,ISNUMBER('中古車掲載'!N317),'中古車掲載'!N317&gt;=20000,'中古車掲載'!O317&lt;=100000,'中古車掲載'!AL317=1,'中古車掲載'!Z317="https://www.one2car.com/en/cars-for-sale/toyota/corolla-cross/year-2023"),'中古車掲載'!U317,"")</x:f>
      </x:c>
      <x:c r="BG316" s="3" t="str">
        <x:f>IF(AND('中古車掲載'!C317="One2car",'中古車掲載'!F317="Corolla Cross",'中古車掲載'!L317="HEV GR SPORT",'中古車掲載'!J317=2023,ISNUMBER('中古車掲載'!N317),'中古車掲載'!N317&gt;=20000,'中古車掲載'!O317&lt;=100000,'中古車掲載'!AL317=1,'中古車掲載'!Z317="https://www.one2car.com/en/cars-for-sale/toyota/corolla-cross/year-2023"),'中古車掲載'!U317,"")</x:f>
      </x:c>
      <x:c r="BH316" s="3" t="str">
        <x:f>IF(AND('中古車掲載'!C317="One2car",'中古車掲載'!F317="DOLPHIN",'中古車掲載'!L317="STANDARD RANGE",'中古車掲載'!J317=2023,ISNUMBER('中古車掲載'!N317),'中古車掲載'!N317&gt;=20000,'中古車掲載'!O317&lt;=100000,'中古車掲載'!AL317=1),'中古車掲載'!U317,"")</x:f>
      </x:c>
      <x:c r="BI316" s="3" t="str">
        <x:v>Taladrod|Corolla Cross|HEV|Unknown</x:v>
      </x:c>
      <x:c r="BJ316" s="3" t="n">
        <x:v>317</x:v>
      </x:c>
      <x:c r="BK316" s="3" t="n">
        <x:f>'中古車掲載'!AM317</x:f>
        <x:v>569000</x:v>
      </x:c>
      <x:c r="BL316" s="3" t="str">
        <x:f>IF(ISNUMBER('中古車掲載'!AN317),'中古車掲載'!AN317,"")</x:f>
      </x:c>
      <x:c r="BM316" s="3"/>
      <x:c r="BN316" s="3"/>
      <x:c r="BO316" s="3"/>
      <x:c r="BP316" s="3"/>
      <x:c r="BQ316" s="3"/>
      <x:c r="BR316" s="3"/>
    </x:row>
    <x:row r="317" ht="22" customHeight="1">
      <x:c r="A317" s="3" t="str">
        <x:v>Corolla Cross</x:v>
      </x:c>
      <x:c r="B317" s="3" t="str">
        <x:v>HEV</x:v>
      </x:c>
      <x:c r="C317" s="3" t="str">
        <x:v>One2car</x:v>
      </x:c>
      <x:c r="D317" s="3" t="str">
        <x:v>SUV</x:v>
      </x:c>
      <x:c r="E317" s="3" t="str"/>
      <x:c r="F317" s="3" t="n">
        <x:v>2023</x:v>
      </x:c>
      <x:c r="G317" s="3" t="str">
        <x:v>HEV PREMIUM SAFETY</x:v>
      </x:c>
      <x:c r="H317" s="3" t="str">
        <x:v>50–100千km</x:v>
      </x:c>
      <x:c r="I317" s="3" t="str">
        <x:v>世代不明</x:v>
      </x:c>
      <x:c r="J317" s="22" t="n">
        <x:f>COUNT('中古車掲載'!AM66:AM69)</x:f>
        <x:v>4</x:v>
      </x:c>
      <x:c r="K317" s="22" t="n">
        <x:f>IF(COUNT('中古車掲載'!AM66:AM69)=0,"",QUARTILE('中古車掲載'!AM66:AM69,1))</x:f>
        <x:v>754000</x:v>
      </x:c>
      <x:c r="L317" s="22" t="n">
        <x:f>IF(COUNT('中古車掲載'!AM66:AM69)=0,"",MEDIAN('中古車掲載'!AM66:AM69))</x:f>
        <x:v>768500</x:v>
      </x:c>
      <x:c r="M317" s="22" t="n">
        <x:f>IF(COUNT('中古車掲載'!AM66:AM69)=0,"",QUARTILE('中古車掲載'!AM66:AM69,3))</x:f>
        <x:v>780750</x:v>
      </x:c>
      <x:c r="N317" s="22" t="n">
        <x:f>COUNT('中古車掲載'!AN66:AN69)</x:f>
        <x:v>4</x:v>
      </x:c>
      <x:c r="O317" s="23" t="n">
        <x:f>IF(COUNT('中古車掲載'!AN66:AN69)=0,"",MEDIAN('中古車掲載'!AN66:AN69))</x:f>
        <x:v>0.6382890365448505</x:v>
      </x:c>
      <x:c r="P317" s="3"/>
      <x:c r="Q317" s="3"/>
      <x:c r="R317" s="3"/>
      <x:c r="S317" s="3"/>
      <x:c r="T317" s="3"/>
      <x:c r="U317" s="3"/>
      <x:c r="V317" s="3"/>
      <x:c r="W317" s="3"/>
      <x:c r="X317" s="3"/>
      <x:c r="Y317" s="3"/>
      <x:c r="Z317" s="3"/>
      <x:c r="AA317" s="3"/>
      <x:c r="AB317" s="3"/>
      <x:c r="AC317" s="3"/>
      <x:c r="AD317" s="3"/>
      <x:c r="AE317" s="3"/>
      <x:c r="AF317" s="3"/>
      <x:c r="AG317" s="3"/>
      <x:c r="AH317" s="3"/>
      <x:c r="AI317" s="3"/>
      <x:c r="AJ317" s="3"/>
      <x:c r="AK317" s="3"/>
      <x:c r="AL317" s="3"/>
      <x:c r="AM317" s="3"/>
      <x:c r="AN317" s="3"/>
      <x:c r="AO317" s="3"/>
      <x:c r="AP317" s="3"/>
      <x:c r="AQ317" s="3"/>
      <x:c r="AR317" s="3"/>
      <x:c r="AS317" s="3"/>
      <x:c r="AT317" s="3"/>
      <x:c r="AU317" s="3"/>
      <x:c r="AV317" s="3"/>
      <x:c r="AW317" s="3"/>
      <x:c r="AX317" s="3"/>
      <x:c r="AY317" s="3"/>
      <x:c r="AZ317" s="3" t="str">
        <x:f>IF(AND('中古車掲載'!C318="One2car",'中古車掲載'!F318="ATTO 3",'中古車掲載'!L318="EXTENDED RANGE",'中古車掲載'!J318=2023,ISNUMBER('中古車掲載'!N318),'中古車掲載'!N318&gt;=20000,'中古車掲載'!O318&lt;=100000,'中古車掲載'!AL318=1),'中古車掲載'!U318,"")</x:f>
      </x:c>
      <x:c r="BA317" s="3" t="str">
        <x:f>IF(AND('中古車掲載'!C318="One2car",'中古車掲載'!F318="Corolla Cross",'中古車掲載'!L318="HEV PREMIUM SAFETY",'中古車掲載'!J318=2023,ISNUMBER('中古車掲載'!N318),'中古車掲載'!N318&gt;=20000,'中古車掲載'!O318&lt;=100000,'中古車掲載'!AL318=1,'中古車掲載'!Z318="https://www.one2car.com/en/cars-for-sale/toyota/corolla-cross/year-2023"),'中古車掲載'!U318,"")</x:f>
      </x:c>
      <x:c r="BB317" s="3" t="str">
        <x:f>IF(AND('中古車掲載'!C318="One2car",'中古車掲載'!F318="ATTO 3",'中古車掲載'!L318="EXTENDED RANGE",'中古車掲載'!J318=2023,ISNUMBER('中古車掲載'!N318),'中古車掲載'!N318&gt;=50000,'中古車掲載'!O318&lt;=100000,'中古車掲載'!AL318=1),'中古車掲載'!U318,"")</x:f>
      </x:c>
      <x:c r="BC317" s="3" t="str">
        <x:f>IF(AND('中古車掲載'!C318="One2car",'中古車掲載'!F318="Corolla Cross",'中古車掲載'!L318="HEV PREMIUM SAFETY",'中古車掲載'!J318=2023,ISNUMBER('中古車掲載'!N318),'中古車掲載'!N318&gt;=50000,'中古車掲載'!O318&lt;=100000,'中古車掲載'!AL318=1,'中古車掲載'!Z318="https://www.one2car.com/en/cars-for-sale/toyota/corolla-cross/year-2023"),'中古車掲載'!U318,"")</x:f>
      </x:c>
      <x:c r="BD317" s="3" t="str">
        <x:f>IF(AND('中古車掲載'!C318="One2car",'中古車掲載'!F318="ATTO 3",'中古車掲載'!L318="EXTENDED RANGE",'中古車掲載'!J318=2023,ISNUMBER('中古車掲載'!N318),'中古車掲載'!N318&gt;=20000,'中古車掲載'!O318&lt;=50000,'中古車掲載'!AL318=1),'中古車掲載'!U318,"")</x:f>
      </x:c>
      <x:c r="BE317" s="3" t="str">
        <x:f>IF(AND('中古車掲載'!C318="One2car",'中古車掲載'!F318="Corolla Cross",'中古車掲載'!L318="HEV PREMIUM SAFETY",'中古車掲載'!J318=2023,ISNUMBER('中古車掲載'!N318),'中古車掲載'!N318&gt;=20000,'中古車掲載'!O318&lt;=50000,'中古車掲載'!AL318=1,'中古車掲載'!Z318="https://www.one2car.com/en/cars-for-sale/toyota/corolla-cross/year-2023"),'中古車掲載'!U318,"")</x:f>
      </x:c>
      <x:c r="BF317" s="3" t="str">
        <x:f>IF(AND('中古車掲載'!C318="One2car",'中古車掲載'!F318="Corolla Cross",'中古車掲載'!L318="HEV PREMIUM",'中古車掲載'!J318=2023,ISNUMBER('中古車掲載'!N318),'中古車掲載'!N318&gt;=20000,'中古車掲載'!O318&lt;=100000,'中古車掲載'!AL318=1,'中古車掲載'!Z318="https://www.one2car.com/en/cars-for-sale/toyota/corolla-cross/year-2023"),'中古車掲載'!U318,"")</x:f>
      </x:c>
      <x:c r="BG317" s="3" t="str">
        <x:f>IF(AND('中古車掲載'!C318="One2car",'中古車掲載'!F318="Corolla Cross",'中古車掲載'!L318="HEV GR SPORT",'中古車掲載'!J318=2023,ISNUMBER('中古車掲載'!N318),'中古車掲載'!N318&gt;=20000,'中古車掲載'!O318&lt;=100000,'中古車掲載'!AL318=1,'中古車掲載'!Z318="https://www.one2car.com/en/cars-for-sale/toyota/corolla-cross/year-2023"),'中古車掲載'!U318,"")</x:f>
      </x:c>
      <x:c r="BH317" s="3" t="str">
        <x:f>IF(AND('中古車掲載'!C318="One2car",'中古車掲載'!F318="DOLPHIN",'中古車掲載'!L318="STANDARD RANGE",'中古車掲載'!J318=2023,ISNUMBER('中古車掲載'!N318),'中古車掲載'!N318&gt;=20000,'中古車掲載'!O318&lt;=100000,'中古車掲載'!AL318=1),'中古車掲載'!U318,"")</x:f>
      </x:c>
      <x:c r="BI317" s="3" t="str">
        <x:v>Taladrod|Corolla Cross|HEV|Unknown</x:v>
      </x:c>
      <x:c r="BJ317" s="3" t="n">
        <x:v>318</x:v>
      </x:c>
      <x:c r="BK317" s="3" t="n">
        <x:f>'中古車掲載'!AM318</x:f>
        <x:v>569000</x:v>
      </x:c>
      <x:c r="BL317" s="3" t="str">
        <x:f>IF(ISNUMBER('中古車掲載'!AN318),'中古車掲載'!AN318,"")</x:f>
      </x:c>
      <x:c r="BM317" s="3"/>
      <x:c r="BN317" s="3"/>
      <x:c r="BO317" s="3"/>
      <x:c r="BP317" s="3"/>
      <x:c r="BQ317" s="3"/>
      <x:c r="BR317" s="3"/>
    </x:row>
    <x:row r="318" ht="22" customHeight="1">
      <x:c r="A318" s="3" t="str">
        <x:v>Corolla Cross</x:v>
      </x:c>
      <x:c r="B318" s="3" t="str">
        <x:v>HEV</x:v>
      </x:c>
      <x:c r="C318" s="3" t="str">
        <x:v>One2car</x:v>
      </x:c>
      <x:c r="D318" s="3" t="str">
        <x:v>SUV</x:v>
      </x:c>
      <x:c r="E318" s="3" t="str"/>
      <x:c r="F318" s="3" t="n">
        <x:v>2023</x:v>
      </x:c>
      <x:c r="G318" s="3" t="str">
        <x:v>HEV PREMIUM SAFETY</x:v>
      </x:c>
      <x:c r="H318" s="3" t="str">
        <x:v>&lt;20千km</x:v>
      </x:c>
      <x:c r="I318" s="3" t="str">
        <x:v>世代不明</x:v>
      </x:c>
      <x:c r="J318" s="22" t="n">
        <x:f>COUNT('中古車掲載'!AM70:AM70)</x:f>
        <x:v>1</x:v>
      </x:c>
      <x:c r="K318" s="22" t="n">
        <x:f>IF(COUNT('中古車掲載'!AM70:AM70)=0,"",QUARTILE('中古車掲載'!AM70:AM70,1))</x:f>
        <x:v>730000</x:v>
      </x:c>
      <x:c r="L318" s="22" t="n">
        <x:f>IF(COUNT('中古車掲載'!AM70:AM70)=0,"",MEDIAN('中古車掲載'!AM70:AM70))</x:f>
        <x:v>730000</x:v>
      </x:c>
      <x:c r="M318" s="22" t="n">
        <x:f>IF(COUNT('中古車掲載'!AM70:AM70)=0,"",QUARTILE('中古車掲載'!AM70:AM70,3))</x:f>
        <x:v>730000</x:v>
      </x:c>
      <x:c r="N318" s="22" t="n">
        <x:f>COUNT('中古車掲載'!AN70:AN70)</x:f>
        <x:v>1</x:v>
      </x:c>
      <x:c r="O318" s="23" t="n">
        <x:f>IF(COUNT('中古車掲載'!AN70:AN70)=0,"",MEDIAN('中古車掲載'!AN70:AN70))</x:f>
        <x:v>0.606312292358804</x:v>
      </x:c>
      <x:c r="P318" s="3"/>
      <x:c r="Q318" s="3"/>
      <x:c r="R318" s="3"/>
      <x:c r="S318" s="3"/>
      <x:c r="T318" s="3"/>
      <x:c r="U318" s="3"/>
      <x:c r="V318" s="3"/>
      <x:c r="W318" s="3"/>
      <x:c r="X318" s="3"/>
      <x:c r="Y318" s="3"/>
      <x:c r="Z318" s="3"/>
      <x:c r="AA318" s="3"/>
      <x:c r="AB318" s="3"/>
      <x:c r="AC318" s="3"/>
      <x:c r="AD318" s="3"/>
      <x:c r="AE318" s="3"/>
      <x:c r="AF318" s="3"/>
      <x:c r="AG318" s="3"/>
      <x:c r="AH318" s="3"/>
      <x:c r="AI318" s="3"/>
      <x:c r="AJ318" s="3"/>
      <x:c r="AK318" s="3"/>
      <x:c r="AL318" s="3"/>
      <x:c r="AM318" s="3"/>
      <x:c r="AN318" s="3"/>
      <x:c r="AO318" s="3"/>
      <x:c r="AP318" s="3"/>
      <x:c r="AQ318" s="3"/>
      <x:c r="AR318" s="3"/>
      <x:c r="AS318" s="3"/>
      <x:c r="AT318" s="3"/>
      <x:c r="AU318" s="3"/>
      <x:c r="AV318" s="3"/>
      <x:c r="AW318" s="3"/>
      <x:c r="AX318" s="3"/>
      <x:c r="AY318" s="3"/>
      <x:c r="AZ318" s="3" t="str">
        <x:f>IF(AND('中古車掲載'!C319="One2car",'中古車掲載'!F319="ATTO 3",'中古車掲載'!L319="EXTENDED RANGE",'中古車掲載'!J319=2023,ISNUMBER('中古車掲載'!N319),'中古車掲載'!N319&gt;=20000,'中古車掲載'!O319&lt;=100000,'中古車掲載'!AL319=1),'中古車掲載'!U319,"")</x:f>
      </x:c>
      <x:c r="BA318" s="3" t="str">
        <x:f>IF(AND('中古車掲載'!C319="One2car",'中古車掲載'!F319="Corolla Cross",'中古車掲載'!L319="HEV PREMIUM SAFETY",'中古車掲載'!J319=2023,ISNUMBER('中古車掲載'!N319),'中古車掲載'!N319&gt;=20000,'中古車掲載'!O319&lt;=100000,'中古車掲載'!AL319=1,'中古車掲載'!Z319="https://www.one2car.com/en/cars-for-sale/toyota/corolla-cross/year-2023"),'中古車掲載'!U319,"")</x:f>
      </x:c>
      <x:c r="BB318" s="3" t="str">
        <x:f>IF(AND('中古車掲載'!C319="One2car",'中古車掲載'!F319="ATTO 3",'中古車掲載'!L319="EXTENDED RANGE",'中古車掲載'!J319=2023,ISNUMBER('中古車掲載'!N319),'中古車掲載'!N319&gt;=50000,'中古車掲載'!O319&lt;=100000,'中古車掲載'!AL319=1),'中古車掲載'!U319,"")</x:f>
      </x:c>
      <x:c r="BC318" s="3" t="str">
        <x:f>IF(AND('中古車掲載'!C319="One2car",'中古車掲載'!F319="Corolla Cross",'中古車掲載'!L319="HEV PREMIUM SAFETY",'中古車掲載'!J319=2023,ISNUMBER('中古車掲載'!N319),'中古車掲載'!N319&gt;=50000,'中古車掲載'!O319&lt;=100000,'中古車掲載'!AL319=1,'中古車掲載'!Z319="https://www.one2car.com/en/cars-for-sale/toyota/corolla-cross/year-2023"),'中古車掲載'!U319,"")</x:f>
      </x:c>
      <x:c r="BD318" s="3" t="str">
        <x:f>IF(AND('中古車掲載'!C319="One2car",'中古車掲載'!F319="ATTO 3",'中古車掲載'!L319="EXTENDED RANGE",'中古車掲載'!J319=2023,ISNUMBER('中古車掲載'!N319),'中古車掲載'!N319&gt;=20000,'中古車掲載'!O319&lt;=50000,'中古車掲載'!AL319=1),'中古車掲載'!U319,"")</x:f>
      </x:c>
      <x:c r="BE318" s="3" t="str">
        <x:f>IF(AND('中古車掲載'!C319="One2car",'中古車掲載'!F319="Corolla Cross",'中古車掲載'!L319="HEV PREMIUM SAFETY",'中古車掲載'!J319=2023,ISNUMBER('中古車掲載'!N319),'中古車掲載'!N319&gt;=20000,'中古車掲載'!O319&lt;=50000,'中古車掲載'!AL319=1,'中古車掲載'!Z319="https://www.one2car.com/en/cars-for-sale/toyota/corolla-cross/year-2023"),'中古車掲載'!U319,"")</x:f>
      </x:c>
      <x:c r="BF318" s="3" t="str">
        <x:f>IF(AND('中古車掲載'!C319="One2car",'中古車掲載'!F319="Corolla Cross",'中古車掲載'!L319="HEV PREMIUM",'中古車掲載'!J319=2023,ISNUMBER('中古車掲載'!N319),'中古車掲載'!N319&gt;=20000,'中古車掲載'!O319&lt;=100000,'中古車掲載'!AL319=1,'中古車掲載'!Z319="https://www.one2car.com/en/cars-for-sale/toyota/corolla-cross/year-2023"),'中古車掲載'!U319,"")</x:f>
      </x:c>
      <x:c r="BG318" s="3" t="str">
        <x:f>IF(AND('中古車掲載'!C319="One2car",'中古車掲載'!F319="Corolla Cross",'中古車掲載'!L319="HEV GR SPORT",'中古車掲載'!J319=2023,ISNUMBER('中古車掲載'!N319),'中古車掲載'!N319&gt;=20000,'中古車掲載'!O319&lt;=100000,'中古車掲載'!AL319=1,'中古車掲載'!Z319="https://www.one2car.com/en/cars-for-sale/toyota/corolla-cross/year-2023"),'中古車掲載'!U319,"")</x:f>
      </x:c>
      <x:c r="BH318" s="3" t="str">
        <x:f>IF(AND('中古車掲載'!C319="One2car",'中古車掲載'!F319="DOLPHIN",'中古車掲載'!L319="STANDARD RANGE",'中古車掲載'!J319=2023,ISNUMBER('中古車掲載'!N319),'中古車掲載'!N319&gt;=20000,'中古車掲載'!O319&lt;=100000,'中古車掲載'!AL319=1),'中古車掲載'!U319,"")</x:f>
      </x:c>
      <x:c r="BI318" s="3" t="str">
        <x:v>Taladrod|Corolla Cross|HEV|Unknown</x:v>
      </x:c>
      <x:c r="BJ318" s="3" t="n">
        <x:v>319</x:v>
      </x:c>
      <x:c r="BK318" s="3" t="n">
        <x:f>'中古車掲載'!AM319</x:f>
        <x:v>699000</x:v>
      </x:c>
      <x:c r="BL318" s="3" t="str">
        <x:f>IF(ISNUMBER('中古車掲載'!AN319),'中古車掲載'!AN319,"")</x:f>
      </x:c>
      <x:c r="BM318" s="3"/>
      <x:c r="BN318" s="3"/>
      <x:c r="BO318" s="3"/>
      <x:c r="BP318" s="3"/>
      <x:c r="BQ318" s="3"/>
      <x:c r="BR318" s="3"/>
    </x:row>
    <x:row r="319" ht="22" customHeight="1">
      <x:c r="A319" s="3" t="str">
        <x:v>Corolla Cross</x:v>
      </x:c>
      <x:c r="B319" s="3" t="str">
        <x:v>HEV</x:v>
      </x:c>
      <x:c r="C319" s="3" t="str">
        <x:v>One2car</x:v>
      </x:c>
      <x:c r="D319" s="3" t="str">
        <x:v>SUV</x:v>
      </x:c>
      <x:c r="E319" s="3" t="str"/>
      <x:c r="F319" s="3" t="n">
        <x:v>2023</x:v>
      </x:c>
      <x:c r="G319" s="3" t="str">
        <x:v>HEV SMART</x:v>
      </x:c>
      <x:c r="H319" s="3" t="str">
        <x:v>150千km以上</x:v>
      </x:c>
      <x:c r="I319" s="3" t="str">
        <x:v>世代不明</x:v>
      </x:c>
      <x:c r="J319" s="22" t="n">
        <x:f>COUNT('中古車掲載'!AM71:AM71)</x:f>
        <x:v>1</x:v>
      </x:c>
      <x:c r="K319" s="22" t="n">
        <x:f>IF(COUNT('中古車掲載'!AM71:AM71)=0,"",QUARTILE('中古車掲載'!AM71:AM71,1))</x:f>
        <x:v>609000</x:v>
      </x:c>
      <x:c r="L319" s="22" t="n">
        <x:f>IF(COUNT('中古車掲載'!AM71:AM71)=0,"",MEDIAN('中古車掲載'!AM71:AM71))</x:f>
        <x:v>609000</x:v>
      </x:c>
      <x:c r="M319" s="22" t="n">
        <x:f>IF(COUNT('中古車掲載'!AM71:AM71)=0,"",QUARTILE('中古車掲載'!AM71:AM71,3))</x:f>
        <x:v>609000</x:v>
      </x:c>
      <x:c r="N319" s="22" t="n">
        <x:f>COUNT('中古車掲載'!AN71:AN71)</x:f>
        <x:v>1</x:v>
      </x:c>
      <x:c r="O319" s="23" t="n">
        <x:f>IF(COUNT('中古車掲載'!AN71:AN71)=0,"",MEDIAN('中古車掲載'!AN71:AN71))</x:f>
        <x:v>0.5947265625</x:v>
      </x:c>
      <x:c r="P319" s="3"/>
      <x:c r="Q319" s="3"/>
      <x:c r="R319" s="3"/>
      <x:c r="S319" s="3"/>
      <x:c r="T319" s="3"/>
      <x:c r="U319" s="3"/>
      <x:c r="V319" s="3"/>
      <x:c r="W319" s="3"/>
      <x:c r="X319" s="3"/>
      <x:c r="Y319" s="3"/>
      <x:c r="Z319" s="3"/>
      <x:c r="AA319" s="3"/>
      <x:c r="AB319" s="3"/>
      <x:c r="AC319" s="3"/>
      <x:c r="AD319" s="3"/>
      <x:c r="AE319" s="3"/>
      <x:c r="AF319" s="3"/>
      <x:c r="AG319" s="3"/>
      <x:c r="AH319" s="3"/>
      <x:c r="AI319" s="3"/>
      <x:c r="AJ319" s="3"/>
      <x:c r="AK319" s="3"/>
      <x:c r="AL319" s="3"/>
      <x:c r="AM319" s="3"/>
      <x:c r="AN319" s="3"/>
      <x:c r="AO319" s="3"/>
      <x:c r="AP319" s="3"/>
      <x:c r="AQ319" s="3"/>
      <x:c r="AR319" s="3"/>
      <x:c r="AS319" s="3"/>
      <x:c r="AT319" s="3"/>
      <x:c r="AU319" s="3"/>
      <x:c r="AV319" s="3"/>
      <x:c r="AW319" s="3"/>
      <x:c r="AX319" s="3"/>
      <x:c r="AY319" s="3"/>
      <x:c r="AZ319" s="3" t="str">
        <x:f>IF(AND('中古車掲載'!C320="One2car",'中古車掲載'!F320="ATTO 3",'中古車掲載'!L320="EXTENDED RANGE",'中古車掲載'!J320=2023,ISNUMBER('中古車掲載'!N320),'中古車掲載'!N320&gt;=20000,'中古車掲載'!O320&lt;=100000,'中古車掲載'!AL320=1),'中古車掲載'!U320,"")</x:f>
      </x:c>
      <x:c r="BA319" s="3" t="str">
        <x:f>IF(AND('中古車掲載'!C320="One2car",'中古車掲載'!F320="Corolla Cross",'中古車掲載'!L320="HEV PREMIUM SAFETY",'中古車掲載'!J320=2023,ISNUMBER('中古車掲載'!N320),'中古車掲載'!N320&gt;=20000,'中古車掲載'!O320&lt;=100000,'中古車掲載'!AL320=1,'中古車掲載'!Z320="https://www.one2car.com/en/cars-for-sale/toyota/corolla-cross/year-2023"),'中古車掲載'!U320,"")</x:f>
      </x:c>
      <x:c r="BB319" s="3" t="str">
        <x:f>IF(AND('中古車掲載'!C320="One2car",'中古車掲載'!F320="ATTO 3",'中古車掲載'!L320="EXTENDED RANGE",'中古車掲載'!J320=2023,ISNUMBER('中古車掲載'!N320),'中古車掲載'!N320&gt;=50000,'中古車掲載'!O320&lt;=100000,'中古車掲載'!AL320=1),'中古車掲載'!U320,"")</x:f>
      </x:c>
      <x:c r="BC319" s="3" t="str">
        <x:f>IF(AND('中古車掲載'!C320="One2car",'中古車掲載'!F320="Corolla Cross",'中古車掲載'!L320="HEV PREMIUM SAFETY",'中古車掲載'!J320=2023,ISNUMBER('中古車掲載'!N320),'中古車掲載'!N320&gt;=50000,'中古車掲載'!O320&lt;=100000,'中古車掲載'!AL320=1,'中古車掲載'!Z320="https://www.one2car.com/en/cars-for-sale/toyota/corolla-cross/year-2023"),'中古車掲載'!U320,"")</x:f>
      </x:c>
      <x:c r="BD319" s="3" t="str">
        <x:f>IF(AND('中古車掲載'!C320="One2car",'中古車掲載'!F320="ATTO 3",'中古車掲載'!L320="EXTENDED RANGE",'中古車掲載'!J320=2023,ISNUMBER('中古車掲載'!N320),'中古車掲載'!N320&gt;=20000,'中古車掲載'!O320&lt;=50000,'中古車掲載'!AL320=1),'中古車掲載'!U320,"")</x:f>
      </x:c>
      <x:c r="BE319" s="3" t="str">
        <x:f>IF(AND('中古車掲載'!C320="One2car",'中古車掲載'!F320="Corolla Cross",'中古車掲載'!L320="HEV PREMIUM SAFETY",'中古車掲載'!J320=2023,ISNUMBER('中古車掲載'!N320),'中古車掲載'!N320&gt;=20000,'中古車掲載'!O320&lt;=50000,'中古車掲載'!AL320=1,'中古車掲載'!Z320="https://www.one2car.com/en/cars-for-sale/toyota/corolla-cross/year-2023"),'中古車掲載'!U320,"")</x:f>
      </x:c>
      <x:c r="BF319" s="3" t="str">
        <x:f>IF(AND('中古車掲載'!C320="One2car",'中古車掲載'!F320="Corolla Cross",'中古車掲載'!L320="HEV PREMIUM",'中古車掲載'!J320=2023,ISNUMBER('中古車掲載'!N320),'中古車掲載'!N320&gt;=20000,'中古車掲載'!O320&lt;=100000,'中古車掲載'!AL320=1,'中古車掲載'!Z320="https://www.one2car.com/en/cars-for-sale/toyota/corolla-cross/year-2023"),'中古車掲載'!U320,"")</x:f>
      </x:c>
      <x:c r="BG319" s="3" t="str">
        <x:f>IF(AND('中古車掲載'!C320="One2car",'中古車掲載'!F320="Corolla Cross",'中古車掲載'!L320="HEV GR SPORT",'中古車掲載'!J320=2023,ISNUMBER('中古車掲載'!N320),'中古車掲載'!N320&gt;=20000,'中古車掲載'!O320&lt;=100000,'中古車掲載'!AL320=1,'中古車掲載'!Z320="https://www.one2car.com/en/cars-for-sale/toyota/corolla-cross/year-2023"),'中古車掲載'!U320,"")</x:f>
      </x:c>
      <x:c r="BH319" s="3" t="str">
        <x:f>IF(AND('中古車掲載'!C320="One2car",'中古車掲載'!F320="DOLPHIN",'中古車掲載'!L320="STANDARD RANGE",'中古車掲載'!J320=2023,ISNUMBER('中古車掲載'!N320),'中古車掲載'!N320&gt;=20000,'中古車掲載'!O320&lt;=100000,'中古車掲載'!AL320=1),'中古車掲載'!U320,"")</x:f>
      </x:c>
      <x:c r="BI319" s="3" t="str">
        <x:v>Taladrod|Corolla Cross|HEV|Unknown</x:v>
      </x:c>
      <x:c r="BJ319" s="3" t="n">
        <x:v>320</x:v>
      </x:c>
      <x:c r="BK319" s="3" t="n">
        <x:f>'中古車掲載'!AM320</x:f>
        <x:v>599000</x:v>
      </x:c>
      <x:c r="BL319" s="3" t="str">
        <x:f>IF(ISNUMBER('中古車掲載'!AN320),'中古車掲載'!AN320,"")</x:f>
      </x:c>
      <x:c r="BM319" s="3"/>
      <x:c r="BN319" s="3"/>
      <x:c r="BO319" s="3"/>
      <x:c r="BP319" s="3"/>
      <x:c r="BQ319" s="3"/>
      <x:c r="BR319" s="3"/>
    </x:row>
    <x:row r="320" ht="22" customHeight="1">
      <x:c r="A320" s="3" t="str">
        <x:v>Corolla Cross</x:v>
      </x:c>
      <x:c r="B320" s="3" t="str">
        <x:v>HEV</x:v>
      </x:c>
      <x:c r="C320" s="3" t="str">
        <x:v>One2car</x:v>
      </x:c>
      <x:c r="D320" s="3" t="str">
        <x:v>SUV</x:v>
      </x:c>
      <x:c r="E320" s="3" t="str"/>
      <x:c r="F320" s="3" t="n">
        <x:v>2023</x:v>
      </x:c>
      <x:c r="G320" s="3" t="str">
        <x:v>HEV SMART</x:v>
      </x:c>
      <x:c r="H320" s="3" t="str">
        <x:v>境界を跨ぐ表示レンジ</x:v>
      </x:c>
      <x:c r="I320" s="3" t="str">
        <x:v>世代不明</x:v>
      </x:c>
      <x:c r="J320" s="22" t="n">
        <x:f>COUNT('中古車掲載'!AM72:AM72)</x:f>
        <x:v>1</x:v>
      </x:c>
      <x:c r="K320" s="22" t="n">
        <x:f>IF(COUNT('中古車掲載'!AM72:AM72)=0,"",QUARTILE('中古車掲載'!AM72:AM72,1))</x:f>
        <x:v>680000</x:v>
      </x:c>
      <x:c r="L320" s="22" t="n">
        <x:f>IF(COUNT('中古車掲載'!AM72:AM72)=0,"",MEDIAN('中古車掲載'!AM72:AM72))</x:f>
        <x:v>680000</x:v>
      </x:c>
      <x:c r="M320" s="22" t="n">
        <x:f>IF(COUNT('中古車掲載'!AM72:AM72)=0,"",QUARTILE('中古車掲載'!AM72:AM72,3))</x:f>
        <x:v>680000</x:v>
      </x:c>
      <x:c r="N320" s="22" t="n">
        <x:f>COUNT('中古車掲載'!AN72:AN72)</x:f>
        <x:v>1</x:v>
      </x:c>
      <x:c r="O320" s="23" t="n">
        <x:f>IF(COUNT('中古車掲載'!AN72:AN72)=0,"",MEDIAN('中古車掲載'!AN72:AN72))</x:f>
        <x:v>0.6640625</x:v>
      </x:c>
      <x:c r="P320" s="3"/>
      <x:c r="Q320" s="3"/>
      <x:c r="R320" s="3"/>
      <x:c r="S320" s="3"/>
      <x:c r="T320" s="3"/>
      <x:c r="U320" s="3"/>
      <x:c r="V320" s="3"/>
      <x:c r="W320" s="3"/>
      <x:c r="X320" s="3"/>
      <x:c r="Y320" s="3"/>
      <x:c r="Z320" s="3"/>
      <x:c r="AA320" s="3"/>
      <x:c r="AB320" s="3"/>
      <x:c r="AC320" s="3"/>
      <x:c r="AD320" s="3"/>
      <x:c r="AE320" s="3"/>
      <x:c r="AF320" s="3"/>
      <x:c r="AG320" s="3"/>
      <x:c r="AH320" s="3"/>
      <x:c r="AI320" s="3"/>
      <x:c r="AJ320" s="3"/>
      <x:c r="AK320" s="3"/>
      <x:c r="AL320" s="3"/>
      <x:c r="AM320" s="3"/>
      <x:c r="AN320" s="3"/>
      <x:c r="AO320" s="3"/>
      <x:c r="AP320" s="3"/>
      <x:c r="AQ320" s="3"/>
      <x:c r="AR320" s="3"/>
      <x:c r="AS320" s="3"/>
      <x:c r="AT320" s="3"/>
      <x:c r="AU320" s="3"/>
      <x:c r="AV320" s="3"/>
      <x:c r="AW320" s="3"/>
      <x:c r="AX320" s="3"/>
      <x:c r="AY320" s="3"/>
      <x:c r="AZ320" s="3" t="str">
        <x:f>IF(AND('中古車掲載'!C321="One2car",'中古車掲載'!F321="ATTO 3",'中古車掲載'!L321="EXTENDED RANGE",'中古車掲載'!J321=2023,ISNUMBER('中古車掲載'!N321),'中古車掲載'!N321&gt;=20000,'中古車掲載'!O321&lt;=100000,'中古車掲載'!AL321=1),'中古車掲載'!U321,"")</x:f>
      </x:c>
      <x:c r="BA320" s="3" t="str">
        <x:f>IF(AND('中古車掲載'!C321="One2car",'中古車掲載'!F321="Corolla Cross",'中古車掲載'!L321="HEV PREMIUM SAFETY",'中古車掲載'!J321=2023,ISNUMBER('中古車掲載'!N321),'中古車掲載'!N321&gt;=20000,'中古車掲載'!O321&lt;=100000,'中古車掲載'!AL321=1,'中古車掲載'!Z321="https://www.one2car.com/en/cars-for-sale/toyota/corolla-cross/year-2023"),'中古車掲載'!U321,"")</x:f>
      </x:c>
      <x:c r="BB320" s="3" t="str">
        <x:f>IF(AND('中古車掲載'!C321="One2car",'中古車掲載'!F321="ATTO 3",'中古車掲載'!L321="EXTENDED RANGE",'中古車掲載'!J321=2023,ISNUMBER('中古車掲載'!N321),'中古車掲載'!N321&gt;=50000,'中古車掲載'!O321&lt;=100000,'中古車掲載'!AL321=1),'中古車掲載'!U321,"")</x:f>
      </x:c>
      <x:c r="BC320" s="3" t="str">
        <x:f>IF(AND('中古車掲載'!C321="One2car",'中古車掲載'!F321="Corolla Cross",'中古車掲載'!L321="HEV PREMIUM SAFETY",'中古車掲載'!J321=2023,ISNUMBER('中古車掲載'!N321),'中古車掲載'!N321&gt;=50000,'中古車掲載'!O321&lt;=100000,'中古車掲載'!AL321=1,'中古車掲載'!Z321="https://www.one2car.com/en/cars-for-sale/toyota/corolla-cross/year-2023"),'中古車掲載'!U321,"")</x:f>
      </x:c>
      <x:c r="BD320" s="3" t="str">
        <x:f>IF(AND('中古車掲載'!C321="One2car",'中古車掲載'!F321="ATTO 3",'中古車掲載'!L321="EXTENDED RANGE",'中古車掲載'!J321=2023,ISNUMBER('中古車掲載'!N321),'中古車掲載'!N321&gt;=20000,'中古車掲載'!O321&lt;=50000,'中古車掲載'!AL321=1),'中古車掲載'!U321,"")</x:f>
      </x:c>
      <x:c r="BE320" s="3" t="str">
        <x:f>IF(AND('中古車掲載'!C321="One2car",'中古車掲載'!F321="Corolla Cross",'中古車掲載'!L321="HEV PREMIUM SAFETY",'中古車掲載'!J321=2023,ISNUMBER('中古車掲載'!N321),'中古車掲載'!N321&gt;=20000,'中古車掲載'!O321&lt;=50000,'中古車掲載'!AL321=1,'中古車掲載'!Z321="https://www.one2car.com/en/cars-for-sale/toyota/corolla-cross/year-2023"),'中古車掲載'!U321,"")</x:f>
      </x:c>
      <x:c r="BF320" s="3" t="str">
        <x:f>IF(AND('中古車掲載'!C321="One2car",'中古車掲載'!F321="Corolla Cross",'中古車掲載'!L321="HEV PREMIUM",'中古車掲載'!J321=2023,ISNUMBER('中古車掲載'!N321),'中古車掲載'!N321&gt;=20000,'中古車掲載'!O321&lt;=100000,'中古車掲載'!AL321=1,'中古車掲載'!Z321="https://www.one2car.com/en/cars-for-sale/toyota/corolla-cross/year-2023"),'中古車掲載'!U321,"")</x:f>
      </x:c>
      <x:c r="BG320" s="3" t="str">
        <x:f>IF(AND('中古車掲載'!C321="One2car",'中古車掲載'!F321="Corolla Cross",'中古車掲載'!L321="HEV GR SPORT",'中古車掲載'!J321=2023,ISNUMBER('中古車掲載'!N321),'中古車掲載'!N321&gt;=20000,'中古車掲載'!O321&lt;=100000,'中古車掲載'!AL321=1,'中古車掲載'!Z321="https://www.one2car.com/en/cars-for-sale/toyota/corolla-cross/year-2023"),'中古車掲載'!U321,"")</x:f>
      </x:c>
      <x:c r="BH320" s="3" t="str">
        <x:f>IF(AND('中古車掲載'!C321="One2car",'中古車掲載'!F321="DOLPHIN",'中古車掲載'!L321="STANDARD RANGE",'中古車掲載'!J321=2023,ISNUMBER('中古車掲載'!N321),'中古車掲載'!N321&gt;=20000,'中古車掲載'!O321&lt;=100000,'中古車掲載'!AL321=1),'中古車掲載'!U321,"")</x:f>
      </x:c>
      <x:c r="BI320" s="3" t="str">
        <x:v>Taladrod|Corolla Cross|HEV|Unknown</x:v>
      </x:c>
      <x:c r="BJ320" s="3" t="n">
        <x:v>321</x:v>
      </x:c>
      <x:c r="BK320" s="3" t="n">
        <x:f>'中古車掲載'!AM321</x:f>
        <x:v>634000</x:v>
      </x:c>
      <x:c r="BL320" s="3" t="str">
        <x:f>IF(ISNUMBER('中古車掲載'!AN321),'中古車掲載'!AN321,"")</x:f>
      </x:c>
      <x:c r="BM320" s="3"/>
      <x:c r="BN320" s="3"/>
      <x:c r="BO320" s="3"/>
      <x:c r="BP320" s="3"/>
      <x:c r="BQ320" s="3"/>
      <x:c r="BR320" s="3"/>
    </x:row>
    <x:row r="321" ht="22" customHeight="1">
      <x:c r="A321" s="3" t="str">
        <x:v>Corolla Cross</x:v>
      </x:c>
      <x:c r="B321" s="3" t="str">
        <x:v>HEV</x:v>
      </x:c>
      <x:c r="C321" s="3" t="str">
        <x:v>One2car</x:v>
      </x:c>
      <x:c r="D321" s="3" t="str">
        <x:v>SUV</x:v>
      </x:c>
      <x:c r="E321" s="3" t="str"/>
      <x:c r="F321" s="3" t="n">
        <x:v>2024</x:v>
      </x:c>
      <x:c r="G321" s="3" t="str">
        <x:v>HEV GR SPORT</x:v>
      </x:c>
      <x:c r="H321" s="3" t="str">
        <x:v>50–100千km</x:v>
      </x:c>
      <x:c r="I321" s="3" t="str">
        <x:v>世代不明</x:v>
      </x:c>
      <x:c r="J321" s="22" t="n">
        <x:f>COUNT('中古車掲載'!AM73:AM73)</x:f>
        <x:v>1</x:v>
      </x:c>
      <x:c r="K321" s="22" t="n">
        <x:f>IF(COUNT('中古車掲載'!AM73:AM73)=0,"",QUARTILE('中古車掲載'!AM73:AM73,1))</x:f>
        <x:v>858000</x:v>
      </x:c>
      <x:c r="L321" s="22" t="n">
        <x:f>IF(COUNT('中古車掲載'!AM73:AM73)=0,"",MEDIAN('中古車掲載'!AM73:AM73))</x:f>
        <x:v>858000</x:v>
      </x:c>
      <x:c r="M321" s="22" t="n">
        <x:f>IF(COUNT('中古車掲載'!AM73:AM73)=0,"",QUARTILE('中古車掲載'!AM73:AM73,3))</x:f>
        <x:v>858000</x:v>
      </x:c>
      <x:c r="N321" s="22" t="n">
        <x:f>COUNT('中古車掲載'!AN73:AN73)</x:f>
        <x:v>1</x:v>
      </x:c>
      <x:c r="O321" s="23" t="n">
        <x:f>IF(COUNT('中古車掲載'!AN73:AN73)=0,"",MEDIAN('中古車掲載'!AN73:AN73))</x:f>
        <x:v>0.6842105263157895</x:v>
      </x:c>
      <x:c r="P321" s="3"/>
      <x:c r="Q321" s="3"/>
      <x:c r="R321" s="3"/>
      <x:c r="S321" s="3"/>
      <x:c r="T321" s="3"/>
      <x:c r="U321" s="3"/>
      <x:c r="V321" s="3"/>
      <x:c r="W321" s="3"/>
      <x:c r="X321" s="3"/>
      <x:c r="Y321" s="3"/>
      <x:c r="Z321" s="3"/>
      <x:c r="AA321" s="3"/>
      <x:c r="AB321" s="3"/>
      <x:c r="AC321" s="3"/>
      <x:c r="AD321" s="3"/>
      <x:c r="AE321" s="3"/>
      <x:c r="AF321" s="3"/>
      <x:c r="AG321" s="3"/>
      <x:c r="AH321" s="3"/>
      <x:c r="AI321" s="3"/>
      <x:c r="AJ321" s="3"/>
      <x:c r="AK321" s="3"/>
      <x:c r="AL321" s="3"/>
      <x:c r="AM321" s="3"/>
      <x:c r="AN321" s="3"/>
      <x:c r="AO321" s="3"/>
      <x:c r="AP321" s="3"/>
      <x:c r="AQ321" s="3"/>
      <x:c r="AR321" s="3"/>
      <x:c r="AS321" s="3"/>
      <x:c r="AT321" s="3"/>
      <x:c r="AU321" s="3"/>
      <x:c r="AV321" s="3"/>
      <x:c r="AW321" s="3"/>
      <x:c r="AX321" s="3"/>
      <x:c r="AY321" s="3"/>
      <x:c r="AZ321" s="3" t="str">
        <x:f>IF(AND('中古車掲載'!C322="One2car",'中古車掲載'!F322="ATTO 3",'中古車掲載'!L322="EXTENDED RANGE",'中古車掲載'!J322=2023,ISNUMBER('中古車掲載'!N322),'中古車掲載'!N322&gt;=20000,'中古車掲載'!O322&lt;=100000,'中古車掲載'!AL322=1),'中古車掲載'!U322,"")</x:f>
      </x:c>
      <x:c r="BA321" s="3" t="str">
        <x:f>IF(AND('中古車掲載'!C322="One2car",'中古車掲載'!F322="Corolla Cross",'中古車掲載'!L322="HEV PREMIUM SAFETY",'中古車掲載'!J322=2023,ISNUMBER('中古車掲載'!N322),'中古車掲載'!N322&gt;=20000,'中古車掲載'!O322&lt;=100000,'中古車掲載'!AL322=1,'中古車掲載'!Z322="https://www.one2car.com/en/cars-for-sale/toyota/corolla-cross/year-2023"),'中古車掲載'!U322,"")</x:f>
      </x:c>
      <x:c r="BB321" s="3" t="str">
        <x:f>IF(AND('中古車掲載'!C322="One2car",'中古車掲載'!F322="ATTO 3",'中古車掲載'!L322="EXTENDED RANGE",'中古車掲載'!J322=2023,ISNUMBER('中古車掲載'!N322),'中古車掲載'!N322&gt;=50000,'中古車掲載'!O322&lt;=100000,'中古車掲載'!AL322=1),'中古車掲載'!U322,"")</x:f>
      </x:c>
      <x:c r="BC321" s="3" t="str">
        <x:f>IF(AND('中古車掲載'!C322="One2car",'中古車掲載'!F322="Corolla Cross",'中古車掲載'!L322="HEV PREMIUM SAFETY",'中古車掲載'!J322=2023,ISNUMBER('中古車掲載'!N322),'中古車掲載'!N322&gt;=50000,'中古車掲載'!O322&lt;=100000,'中古車掲載'!AL322=1,'中古車掲載'!Z322="https://www.one2car.com/en/cars-for-sale/toyota/corolla-cross/year-2023"),'中古車掲載'!U322,"")</x:f>
      </x:c>
      <x:c r="BD321" s="3" t="str">
        <x:f>IF(AND('中古車掲載'!C322="One2car",'中古車掲載'!F322="ATTO 3",'中古車掲載'!L322="EXTENDED RANGE",'中古車掲載'!J322=2023,ISNUMBER('中古車掲載'!N322),'中古車掲載'!N322&gt;=20000,'中古車掲載'!O322&lt;=50000,'中古車掲載'!AL322=1),'中古車掲載'!U322,"")</x:f>
      </x:c>
      <x:c r="BE321" s="3" t="str">
        <x:f>IF(AND('中古車掲載'!C322="One2car",'中古車掲載'!F322="Corolla Cross",'中古車掲載'!L322="HEV PREMIUM SAFETY",'中古車掲載'!J322=2023,ISNUMBER('中古車掲載'!N322),'中古車掲載'!N322&gt;=20000,'中古車掲載'!O322&lt;=50000,'中古車掲載'!AL322=1,'中古車掲載'!Z322="https://www.one2car.com/en/cars-for-sale/toyota/corolla-cross/year-2023"),'中古車掲載'!U322,"")</x:f>
      </x:c>
      <x:c r="BF321" s="3" t="str">
        <x:f>IF(AND('中古車掲載'!C322="One2car",'中古車掲載'!F322="Corolla Cross",'中古車掲載'!L322="HEV PREMIUM",'中古車掲載'!J322=2023,ISNUMBER('中古車掲載'!N322),'中古車掲載'!N322&gt;=20000,'中古車掲載'!O322&lt;=100000,'中古車掲載'!AL322=1,'中古車掲載'!Z322="https://www.one2car.com/en/cars-for-sale/toyota/corolla-cross/year-2023"),'中古車掲載'!U322,"")</x:f>
      </x:c>
      <x:c r="BG321" s="3" t="str">
        <x:f>IF(AND('中古車掲載'!C322="One2car",'中古車掲載'!F322="Corolla Cross",'中古車掲載'!L322="HEV GR SPORT",'中古車掲載'!J322=2023,ISNUMBER('中古車掲載'!N322),'中古車掲載'!N322&gt;=20000,'中古車掲載'!O322&lt;=100000,'中古車掲載'!AL322=1,'中古車掲載'!Z322="https://www.one2car.com/en/cars-for-sale/toyota/corolla-cross/year-2023"),'中古車掲載'!U322,"")</x:f>
      </x:c>
      <x:c r="BH321" s="3" t="str">
        <x:f>IF(AND('中古車掲載'!C322="One2car",'中古車掲載'!F322="DOLPHIN",'中古車掲載'!L322="STANDARD RANGE",'中古車掲載'!J322=2023,ISNUMBER('中古車掲載'!N322),'中古車掲載'!N322&gt;=20000,'中古車掲載'!O322&lt;=100000,'中古車掲載'!AL322=1),'中古車掲載'!U322,"")</x:f>
      </x:c>
      <x:c r="BI321" s="3" t="str">
        <x:v>Taladrod|Corolla Cross|HEV|Unknown</x:v>
      </x:c>
      <x:c r="BJ321" s="3" t="n">
        <x:v>322</x:v>
      </x:c>
      <x:c r="BK321" s="3" t="n">
        <x:f>'中古車掲載'!AM322</x:f>
        <x:v>669000</x:v>
      </x:c>
      <x:c r="BL321" s="3" t="str">
        <x:f>IF(ISNUMBER('中古車掲載'!AN322),'中古車掲載'!AN322,"")</x:f>
      </x:c>
      <x:c r="BM321" s="3"/>
      <x:c r="BN321" s="3"/>
      <x:c r="BO321" s="3"/>
      <x:c r="BP321" s="3"/>
      <x:c r="BQ321" s="3"/>
      <x:c r="BR321" s="3"/>
    </x:row>
    <x:row r="322" ht="22" customHeight="1">
      <x:c r="A322" s="3" t="str">
        <x:v>Corolla Cross</x:v>
      </x:c>
      <x:c r="B322" s="3" t="str">
        <x:v>HEV</x:v>
      </x:c>
      <x:c r="C322" s="3" t="str">
        <x:v>One2car</x:v>
      </x:c>
      <x:c r="D322" s="3" t="str">
        <x:v>SUV</x:v>
      </x:c>
      <x:c r="E322" s="3" t="str"/>
      <x:c r="F322" s="3" t="n">
        <x:v>2024</x:v>
      </x:c>
      <x:c r="G322" s="3" t="str">
        <x:v>HEV PREMIUM</x:v>
      </x:c>
      <x:c r="H322" s="3" t="str">
        <x:v>20–50千km</x:v>
      </x:c>
      <x:c r="I322" s="3" t="str">
        <x:v>世代不明</x:v>
      </x:c>
      <x:c r="J322" s="22" t="n">
        <x:f>COUNT('中古車掲載'!AM74:AM75)</x:f>
        <x:v>2</x:v>
      </x:c>
      <x:c r="K322" s="22" t="n">
        <x:f>IF(COUNT('中古車掲載'!AM74:AM75)=0,"",QUARTILE('中古車掲載'!AM74:AM75,1))</x:f>
        <x:v>860000</x:v>
      </x:c>
      <x:c r="L322" s="22" t="n">
        <x:f>IF(COUNT('中古車掲載'!AM74:AM75)=0,"",MEDIAN('中古車掲載'!AM74:AM75))</x:f>
        <x:v>873000</x:v>
      </x:c>
      <x:c r="M322" s="22" t="n">
        <x:f>IF(COUNT('中古車掲載'!AM74:AM75)=0,"",QUARTILE('中古車掲載'!AM74:AM75,3))</x:f>
        <x:v>886000</x:v>
      </x:c>
      <x:c r="N322" s="22" t="n">
        <x:f>COUNT('中古車掲載'!AN74:AN75)</x:f>
        <x:v>2</x:v>
      </x:c>
      <x:c r="O322" s="23" t="n">
        <x:f>IF(COUNT('中古車掲載'!AN74:AN75)=0,"",MEDIAN('中古車掲載'!AN74:AN75))</x:f>
        <x:v>0.7979890310786106</x:v>
      </x:c>
      <x:c r="P322" s="3"/>
      <x:c r="Q322" s="3"/>
      <x:c r="R322" s="3"/>
      <x:c r="S322" s="3"/>
      <x:c r="T322" s="3"/>
      <x:c r="U322" s="3"/>
      <x:c r="V322" s="3"/>
      <x:c r="W322" s="3"/>
      <x:c r="X322" s="3"/>
      <x:c r="Y322" s="3"/>
      <x:c r="Z322" s="3"/>
      <x:c r="AA322" s="3"/>
      <x:c r="AB322" s="3"/>
      <x:c r="AC322" s="3"/>
      <x:c r="AD322" s="3"/>
      <x:c r="AE322" s="3"/>
      <x:c r="AF322" s="3"/>
      <x:c r="AG322" s="3"/>
      <x:c r="AH322" s="3"/>
      <x:c r="AI322" s="3"/>
      <x:c r="AJ322" s="3"/>
      <x:c r="AK322" s="3"/>
      <x:c r="AL322" s="3"/>
      <x:c r="AM322" s="3"/>
      <x:c r="AN322" s="3"/>
      <x:c r="AO322" s="3"/>
      <x:c r="AP322" s="3"/>
      <x:c r="AQ322" s="3"/>
      <x:c r="AR322" s="3"/>
      <x:c r="AS322" s="3"/>
      <x:c r="AT322" s="3"/>
      <x:c r="AU322" s="3"/>
      <x:c r="AV322" s="3"/>
      <x:c r="AW322" s="3"/>
      <x:c r="AX322" s="3"/>
      <x:c r="AY322" s="3"/>
      <x:c r="AZ322" s="3" t="str">
        <x:f>IF(AND('中古車掲載'!C323="One2car",'中古車掲載'!F323="ATTO 3",'中古車掲載'!L323="EXTENDED RANGE",'中古車掲載'!J323=2023,ISNUMBER('中古車掲載'!N323),'中古車掲載'!N323&gt;=20000,'中古車掲載'!O323&lt;=100000,'中古車掲載'!AL323=1),'中古車掲載'!U323,"")</x:f>
      </x:c>
      <x:c r="BA322" s="3" t="str">
        <x:f>IF(AND('中古車掲載'!C323="One2car",'中古車掲載'!F323="Corolla Cross",'中古車掲載'!L323="HEV PREMIUM SAFETY",'中古車掲載'!J323=2023,ISNUMBER('中古車掲載'!N323),'中古車掲載'!N323&gt;=20000,'中古車掲載'!O323&lt;=100000,'中古車掲載'!AL323=1,'中古車掲載'!Z323="https://www.one2car.com/en/cars-for-sale/toyota/corolla-cross/year-2023"),'中古車掲載'!U323,"")</x:f>
      </x:c>
      <x:c r="BB322" s="3" t="str">
        <x:f>IF(AND('中古車掲載'!C323="One2car",'中古車掲載'!F323="ATTO 3",'中古車掲載'!L323="EXTENDED RANGE",'中古車掲載'!J323=2023,ISNUMBER('中古車掲載'!N323),'中古車掲載'!N323&gt;=50000,'中古車掲載'!O323&lt;=100000,'中古車掲載'!AL323=1),'中古車掲載'!U323,"")</x:f>
      </x:c>
      <x:c r="BC322" s="3" t="str">
        <x:f>IF(AND('中古車掲載'!C323="One2car",'中古車掲載'!F323="Corolla Cross",'中古車掲載'!L323="HEV PREMIUM SAFETY",'中古車掲載'!J323=2023,ISNUMBER('中古車掲載'!N323),'中古車掲載'!N323&gt;=50000,'中古車掲載'!O323&lt;=100000,'中古車掲載'!AL323=1,'中古車掲載'!Z323="https://www.one2car.com/en/cars-for-sale/toyota/corolla-cross/year-2023"),'中古車掲載'!U323,"")</x:f>
      </x:c>
      <x:c r="BD322" s="3" t="str">
        <x:f>IF(AND('中古車掲載'!C323="One2car",'中古車掲載'!F323="ATTO 3",'中古車掲載'!L323="EXTENDED RANGE",'中古車掲載'!J323=2023,ISNUMBER('中古車掲載'!N323),'中古車掲載'!N323&gt;=20000,'中古車掲載'!O323&lt;=50000,'中古車掲載'!AL323=1),'中古車掲載'!U323,"")</x:f>
      </x:c>
      <x:c r="BE322" s="3" t="str">
        <x:f>IF(AND('中古車掲載'!C323="One2car",'中古車掲載'!F323="Corolla Cross",'中古車掲載'!L323="HEV PREMIUM SAFETY",'中古車掲載'!J323=2023,ISNUMBER('中古車掲載'!N323),'中古車掲載'!N323&gt;=20000,'中古車掲載'!O323&lt;=50000,'中古車掲載'!AL323=1,'中古車掲載'!Z323="https://www.one2car.com/en/cars-for-sale/toyota/corolla-cross/year-2023"),'中古車掲載'!U323,"")</x:f>
      </x:c>
      <x:c r="BF322" s="3" t="str">
        <x:f>IF(AND('中古車掲載'!C323="One2car",'中古車掲載'!F323="Corolla Cross",'中古車掲載'!L323="HEV PREMIUM",'中古車掲載'!J323=2023,ISNUMBER('中古車掲載'!N323),'中古車掲載'!N323&gt;=20000,'中古車掲載'!O323&lt;=100000,'中古車掲載'!AL323=1,'中古車掲載'!Z323="https://www.one2car.com/en/cars-for-sale/toyota/corolla-cross/year-2023"),'中古車掲載'!U323,"")</x:f>
      </x:c>
      <x:c r="BG322" s="3" t="str">
        <x:f>IF(AND('中古車掲載'!C323="One2car",'中古車掲載'!F323="Corolla Cross",'中古車掲載'!L323="HEV GR SPORT",'中古車掲載'!J323=2023,ISNUMBER('中古車掲載'!N323),'中古車掲載'!N323&gt;=20000,'中古車掲載'!O323&lt;=100000,'中古車掲載'!AL323=1,'中古車掲載'!Z323="https://www.one2car.com/en/cars-for-sale/toyota/corolla-cross/year-2023"),'中古車掲載'!U323,"")</x:f>
      </x:c>
      <x:c r="BH322" s="3" t="str">
        <x:f>IF(AND('中古車掲載'!C323="One2car",'中古車掲載'!F323="DOLPHIN",'中古車掲載'!L323="STANDARD RANGE",'中古車掲載'!J323=2023,ISNUMBER('中古車掲載'!N323),'中古車掲載'!N323&gt;=20000,'中古車掲載'!O323&lt;=100000,'中古車掲載'!AL323=1),'中古車掲載'!U323,"")</x:f>
      </x:c>
      <x:c r="BI322" s="3" t="str">
        <x:v>Taladrod|Corolla Cross|HEV|Unknown</x:v>
      </x:c>
      <x:c r="BJ322" s="3" t="n">
        <x:v>323</x:v>
      </x:c>
      <x:c r="BK322" s="3" t="n">
        <x:f>'中古車掲載'!AM323</x:f>
        <x:v>695000</x:v>
      </x:c>
      <x:c r="BL322" s="3" t="str">
        <x:f>IF(ISNUMBER('中古車掲載'!AN323),'中古車掲載'!AN323,"")</x:f>
      </x:c>
      <x:c r="BM322" s="3"/>
      <x:c r="BN322" s="3"/>
      <x:c r="BO322" s="3"/>
      <x:c r="BP322" s="3"/>
      <x:c r="BQ322" s="3"/>
      <x:c r="BR322" s="3"/>
    </x:row>
    <x:row r="323" ht="22" customHeight="1">
      <x:c r="A323" s="3" t="str">
        <x:v>Corolla Cross</x:v>
      </x:c>
      <x:c r="B323" s="3" t="str">
        <x:v>HEV</x:v>
      </x:c>
      <x:c r="C323" s="3" t="str">
        <x:v>One2car</x:v>
      </x:c>
      <x:c r="D323" s="3" t="str">
        <x:v>SUV</x:v>
      </x:c>
      <x:c r="E323" s="3" t="str"/>
      <x:c r="F323" s="3" t="n">
        <x:v>2024</x:v>
      </x:c>
      <x:c r="G323" s="3" t="str">
        <x:v>HEV PREMIUM</x:v>
      </x:c>
      <x:c r="H323" s="3" t="str">
        <x:v>50–100千km</x:v>
      </x:c>
      <x:c r="I323" s="3" t="str">
        <x:v>世代不明</x:v>
      </x:c>
      <x:c r="J323" s="22" t="n">
        <x:f>COUNT('中古車掲載'!AM76:AM76)</x:f>
        <x:v>1</x:v>
      </x:c>
      <x:c r="K323" s="22" t="n">
        <x:f>IF(COUNT('中古車掲載'!AM76:AM76)=0,"",QUARTILE('中古車掲載'!AM76:AM76,1))</x:f>
        <x:v>749000</x:v>
      </x:c>
      <x:c r="L323" s="22" t="n">
        <x:f>IF(COUNT('中古車掲載'!AM76:AM76)=0,"",MEDIAN('中古車掲載'!AM76:AM76))</x:f>
        <x:v>749000</x:v>
      </x:c>
      <x:c r="M323" s="22" t="n">
        <x:f>IF(COUNT('中古車掲載'!AM76:AM76)=0,"",QUARTILE('中古車掲載'!AM76:AM76,3))</x:f>
        <x:v>749000</x:v>
      </x:c>
      <x:c r="N323" s="22" t="n">
        <x:f>COUNT('中古車掲載'!AN76:AN76)</x:f>
        <x:v>1</x:v>
      </x:c>
      <x:c r="O323" s="23" t="n">
        <x:f>IF(COUNT('中古車掲載'!AN76:AN76)=0,"",MEDIAN('中古車掲載'!AN76:AN76))</x:f>
        <x:v>0.6846435100548446</x:v>
      </x:c>
      <x:c r="P323" s="3"/>
      <x:c r="Q323" s="3"/>
      <x:c r="R323" s="3"/>
      <x:c r="S323" s="3"/>
      <x:c r="T323" s="3"/>
      <x:c r="U323" s="3"/>
      <x:c r="V323" s="3"/>
      <x:c r="W323" s="3"/>
      <x:c r="X323" s="3"/>
      <x:c r="Y323" s="3"/>
      <x:c r="Z323" s="3"/>
      <x:c r="AA323" s="3"/>
      <x:c r="AB323" s="3"/>
      <x:c r="AC323" s="3"/>
      <x:c r="AD323" s="3"/>
      <x:c r="AE323" s="3"/>
      <x:c r="AF323" s="3"/>
      <x:c r="AG323" s="3"/>
      <x:c r="AH323" s="3"/>
      <x:c r="AI323" s="3"/>
      <x:c r="AJ323" s="3"/>
      <x:c r="AK323" s="3"/>
      <x:c r="AL323" s="3"/>
      <x:c r="AM323" s="3"/>
      <x:c r="AN323" s="3"/>
      <x:c r="AO323" s="3"/>
      <x:c r="AP323" s="3"/>
      <x:c r="AQ323" s="3"/>
      <x:c r="AR323" s="3"/>
      <x:c r="AS323" s="3"/>
      <x:c r="AT323" s="3"/>
      <x:c r="AU323" s="3"/>
      <x:c r="AV323" s="3"/>
      <x:c r="AW323" s="3"/>
      <x:c r="AX323" s="3"/>
      <x:c r="AY323" s="3"/>
      <x:c r="AZ323" s="3" t="str">
        <x:f>IF(AND('中古車掲載'!C324="One2car",'中古車掲載'!F324="ATTO 3",'中古車掲載'!L324="EXTENDED RANGE",'中古車掲載'!J324=2023,ISNUMBER('中古車掲載'!N324),'中古車掲載'!N324&gt;=20000,'中古車掲載'!O324&lt;=100000,'中古車掲載'!AL324=1),'中古車掲載'!U324,"")</x:f>
      </x:c>
      <x:c r="BA323" s="3" t="str">
        <x:f>IF(AND('中古車掲載'!C324="One2car",'中古車掲載'!F324="Corolla Cross",'中古車掲載'!L324="HEV PREMIUM SAFETY",'中古車掲載'!J324=2023,ISNUMBER('中古車掲載'!N324),'中古車掲載'!N324&gt;=20000,'中古車掲載'!O324&lt;=100000,'中古車掲載'!AL324=1,'中古車掲載'!Z324="https://www.one2car.com/en/cars-for-sale/toyota/corolla-cross/year-2023"),'中古車掲載'!U324,"")</x:f>
      </x:c>
      <x:c r="BB323" s="3" t="str">
        <x:f>IF(AND('中古車掲載'!C324="One2car",'中古車掲載'!F324="ATTO 3",'中古車掲載'!L324="EXTENDED RANGE",'中古車掲載'!J324=2023,ISNUMBER('中古車掲載'!N324),'中古車掲載'!N324&gt;=50000,'中古車掲載'!O324&lt;=100000,'中古車掲載'!AL324=1),'中古車掲載'!U324,"")</x:f>
      </x:c>
      <x:c r="BC323" s="3" t="str">
        <x:f>IF(AND('中古車掲載'!C324="One2car",'中古車掲載'!F324="Corolla Cross",'中古車掲載'!L324="HEV PREMIUM SAFETY",'中古車掲載'!J324=2023,ISNUMBER('中古車掲載'!N324),'中古車掲載'!N324&gt;=50000,'中古車掲載'!O324&lt;=100000,'中古車掲載'!AL324=1,'中古車掲載'!Z324="https://www.one2car.com/en/cars-for-sale/toyota/corolla-cross/year-2023"),'中古車掲載'!U324,"")</x:f>
      </x:c>
      <x:c r="BD323" s="3" t="str">
        <x:f>IF(AND('中古車掲載'!C324="One2car",'中古車掲載'!F324="ATTO 3",'中古車掲載'!L324="EXTENDED RANGE",'中古車掲載'!J324=2023,ISNUMBER('中古車掲載'!N324),'中古車掲載'!N324&gt;=20000,'中古車掲載'!O324&lt;=50000,'中古車掲載'!AL324=1),'中古車掲載'!U324,"")</x:f>
      </x:c>
      <x:c r="BE323" s="3" t="str">
        <x:f>IF(AND('中古車掲載'!C324="One2car",'中古車掲載'!F324="Corolla Cross",'中古車掲載'!L324="HEV PREMIUM SAFETY",'中古車掲載'!J324=2023,ISNUMBER('中古車掲載'!N324),'中古車掲載'!N324&gt;=20000,'中古車掲載'!O324&lt;=50000,'中古車掲載'!AL324=1,'中古車掲載'!Z324="https://www.one2car.com/en/cars-for-sale/toyota/corolla-cross/year-2023"),'中古車掲載'!U324,"")</x:f>
      </x:c>
      <x:c r="BF323" s="3" t="str">
        <x:f>IF(AND('中古車掲載'!C324="One2car",'中古車掲載'!F324="Corolla Cross",'中古車掲載'!L324="HEV PREMIUM",'中古車掲載'!J324=2023,ISNUMBER('中古車掲載'!N324),'中古車掲載'!N324&gt;=20000,'中古車掲載'!O324&lt;=100000,'中古車掲載'!AL324=1,'中古車掲載'!Z324="https://www.one2car.com/en/cars-for-sale/toyota/corolla-cross/year-2023"),'中古車掲載'!U324,"")</x:f>
      </x:c>
      <x:c r="BG323" s="3" t="str">
        <x:f>IF(AND('中古車掲載'!C324="One2car",'中古車掲載'!F324="Corolla Cross",'中古車掲載'!L324="HEV GR SPORT",'中古車掲載'!J324=2023,ISNUMBER('中古車掲載'!N324),'中古車掲載'!N324&gt;=20000,'中古車掲載'!O324&lt;=100000,'中古車掲載'!AL324=1,'中古車掲載'!Z324="https://www.one2car.com/en/cars-for-sale/toyota/corolla-cross/year-2023"),'中古車掲載'!U324,"")</x:f>
      </x:c>
      <x:c r="BH323" s="3" t="str">
        <x:f>IF(AND('中古車掲載'!C324="One2car",'中古車掲載'!F324="DOLPHIN",'中古車掲載'!L324="STANDARD RANGE",'中古車掲載'!J324=2023,ISNUMBER('中古車掲載'!N324),'中古車掲載'!N324&gt;=20000,'中古車掲載'!O324&lt;=100000,'中古車掲載'!AL324=1),'中古車掲載'!U324,"")</x:f>
      </x:c>
      <x:c r="BI323" s="3" t="str">
        <x:v>Taladrod|Corolla Cross|HEV|Unknown</x:v>
      </x:c>
      <x:c r="BJ323" s="3" t="n">
        <x:v>324</x:v>
      </x:c>
      <x:c r="BK323" s="3" t="n">
        <x:f>'中古車掲載'!AM324</x:f>
        <x:v>699000</x:v>
      </x:c>
      <x:c r="BL323" s="3" t="str">
        <x:f>IF(ISNUMBER('中古車掲載'!AN324),'中古車掲載'!AN324,"")</x:f>
      </x:c>
      <x:c r="BM323" s="3"/>
      <x:c r="BN323" s="3"/>
      <x:c r="BO323" s="3"/>
      <x:c r="BP323" s="3"/>
      <x:c r="BQ323" s="3"/>
      <x:c r="BR323" s="3"/>
    </x:row>
    <x:row r="324" ht="22" customHeight="1">
      <x:c r="A324" s="3" t="str">
        <x:v>Corolla Cross</x:v>
      </x:c>
      <x:c r="B324" s="3" t="str">
        <x:v>HEV</x:v>
      </x:c>
      <x:c r="C324" s="3" t="str">
        <x:v>One2car</x:v>
      </x:c>
      <x:c r="D324" s="3" t="str">
        <x:v>SUV</x:v>
      </x:c>
      <x:c r="E324" s="3" t="str"/>
      <x:c r="F324" s="3" t="n">
        <x:v>2024</x:v>
      </x:c>
      <x:c r="G324" s="3" t="str">
        <x:v>HEV PREMIUM LUXURY</x:v>
      </x:c>
      <x:c r="H324" s="3" t="str">
        <x:v>20–50千km</x:v>
      </x:c>
      <x:c r="I324" s="3" t="str">
        <x:v>世代不明</x:v>
      </x:c>
      <x:c r="J324" s="22" t="n">
        <x:f>COUNT('中古車掲載'!AM77:AM79)</x:f>
        <x:v>3</x:v>
      </x:c>
      <x:c r="K324" s="22" t="n">
        <x:f>IF(COUNT('中古車掲載'!AM77:AM79)=0,"",QUARTILE('中古車掲載'!AM77:AM79,1))</x:f>
        <x:v>898500</x:v>
      </x:c>
      <x:c r="L324" s="22" t="n">
        <x:f>IF(COUNT('中古車掲載'!AM77:AM79)=0,"",MEDIAN('中古車掲載'!AM77:AM79))</x:f>
        <x:v>899000</x:v>
      </x:c>
      <x:c r="M324" s="22" t="n">
        <x:f>IF(COUNT('中古車掲載'!AM77:AM79)=0,"",QUARTILE('中古車掲載'!AM77:AM79,3))</x:f>
        <x:v>899000</x:v>
      </x:c>
      <x:c r="N324" s="22" t="n">
        <x:f>COUNT('中古車掲載'!AN77:AN79)</x:f>
        <x:v>3</x:v>
      </x:c>
      <x:c r="O324" s="23" t="n">
        <x:f>IF(COUNT('中古車掲載'!AN77:AN79)=0,"",MEDIAN('中古車掲載'!AN77:AN79))</x:f>
        <x:v>0.7466777408637874</x:v>
      </x:c>
      <x:c r="P324" s="3"/>
      <x:c r="Q324" s="3"/>
      <x:c r="R324" s="3"/>
      <x:c r="S324" s="3"/>
      <x:c r="T324" s="3"/>
      <x:c r="U324" s="3"/>
      <x:c r="V324" s="3"/>
      <x:c r="W324" s="3"/>
      <x:c r="X324" s="3"/>
      <x:c r="Y324" s="3"/>
      <x:c r="Z324" s="3"/>
      <x:c r="AA324" s="3"/>
      <x:c r="AB324" s="3"/>
      <x:c r="AC324" s="3"/>
      <x:c r="AD324" s="3"/>
      <x:c r="AE324" s="3"/>
      <x:c r="AF324" s="3"/>
      <x:c r="AG324" s="3"/>
      <x:c r="AH324" s="3"/>
      <x:c r="AI324" s="3"/>
      <x:c r="AJ324" s="3"/>
      <x:c r="AK324" s="3"/>
      <x:c r="AL324" s="3"/>
      <x:c r="AM324" s="3"/>
      <x:c r="AN324" s="3"/>
      <x:c r="AO324" s="3"/>
      <x:c r="AP324" s="3"/>
      <x:c r="AQ324" s="3"/>
      <x:c r="AR324" s="3"/>
      <x:c r="AS324" s="3"/>
      <x:c r="AT324" s="3"/>
      <x:c r="AU324" s="3"/>
      <x:c r="AV324" s="3"/>
      <x:c r="AW324" s="3"/>
      <x:c r="AX324" s="3"/>
      <x:c r="AY324" s="3"/>
      <x:c r="AZ324" s="3" t="str">
        <x:f>IF(AND('中古車掲載'!C325="One2car",'中古車掲載'!F325="ATTO 3",'中古車掲載'!L325="EXTENDED RANGE",'中古車掲載'!J325=2023,ISNUMBER('中古車掲載'!N325),'中古車掲載'!N325&gt;=20000,'中古車掲載'!O325&lt;=100000,'中古車掲載'!AL325=1),'中古車掲載'!U325,"")</x:f>
      </x:c>
      <x:c r="BA324" s="3" t="str">
        <x:f>IF(AND('中古車掲載'!C325="One2car",'中古車掲載'!F325="Corolla Cross",'中古車掲載'!L325="HEV PREMIUM SAFETY",'中古車掲載'!J325=2023,ISNUMBER('中古車掲載'!N325),'中古車掲載'!N325&gt;=20000,'中古車掲載'!O325&lt;=100000,'中古車掲載'!AL325=1,'中古車掲載'!Z325="https://www.one2car.com/en/cars-for-sale/toyota/corolla-cross/year-2023"),'中古車掲載'!U325,"")</x:f>
      </x:c>
      <x:c r="BB324" s="3" t="str">
        <x:f>IF(AND('中古車掲載'!C325="One2car",'中古車掲載'!F325="ATTO 3",'中古車掲載'!L325="EXTENDED RANGE",'中古車掲載'!J325=2023,ISNUMBER('中古車掲載'!N325),'中古車掲載'!N325&gt;=50000,'中古車掲載'!O325&lt;=100000,'中古車掲載'!AL325=1),'中古車掲載'!U325,"")</x:f>
      </x:c>
      <x:c r="BC324" s="3" t="str">
        <x:f>IF(AND('中古車掲載'!C325="One2car",'中古車掲載'!F325="Corolla Cross",'中古車掲載'!L325="HEV PREMIUM SAFETY",'中古車掲載'!J325=2023,ISNUMBER('中古車掲載'!N325),'中古車掲載'!N325&gt;=50000,'中古車掲載'!O325&lt;=100000,'中古車掲載'!AL325=1,'中古車掲載'!Z325="https://www.one2car.com/en/cars-for-sale/toyota/corolla-cross/year-2023"),'中古車掲載'!U325,"")</x:f>
      </x:c>
      <x:c r="BD324" s="3" t="str">
        <x:f>IF(AND('中古車掲載'!C325="One2car",'中古車掲載'!F325="ATTO 3",'中古車掲載'!L325="EXTENDED RANGE",'中古車掲載'!J325=2023,ISNUMBER('中古車掲載'!N325),'中古車掲載'!N325&gt;=20000,'中古車掲載'!O325&lt;=50000,'中古車掲載'!AL325=1),'中古車掲載'!U325,"")</x:f>
      </x:c>
      <x:c r="BE324" s="3" t="str">
        <x:f>IF(AND('中古車掲載'!C325="One2car",'中古車掲載'!F325="Corolla Cross",'中古車掲載'!L325="HEV PREMIUM SAFETY",'中古車掲載'!J325=2023,ISNUMBER('中古車掲載'!N325),'中古車掲載'!N325&gt;=20000,'中古車掲載'!O325&lt;=50000,'中古車掲載'!AL325=1,'中古車掲載'!Z325="https://www.one2car.com/en/cars-for-sale/toyota/corolla-cross/year-2023"),'中古車掲載'!U325,"")</x:f>
      </x:c>
      <x:c r="BF324" s="3" t="str">
        <x:f>IF(AND('中古車掲載'!C325="One2car",'中古車掲載'!F325="Corolla Cross",'中古車掲載'!L325="HEV PREMIUM",'中古車掲載'!J325=2023,ISNUMBER('中古車掲載'!N325),'中古車掲載'!N325&gt;=20000,'中古車掲載'!O325&lt;=100000,'中古車掲載'!AL325=1,'中古車掲載'!Z325="https://www.one2car.com/en/cars-for-sale/toyota/corolla-cross/year-2023"),'中古車掲載'!U325,"")</x:f>
      </x:c>
      <x:c r="BG324" s="3" t="str">
        <x:f>IF(AND('中古車掲載'!C325="One2car",'中古車掲載'!F325="Corolla Cross",'中古車掲載'!L325="HEV GR SPORT",'中古車掲載'!J325=2023,ISNUMBER('中古車掲載'!N325),'中古車掲載'!N325&gt;=20000,'中古車掲載'!O325&lt;=100000,'中古車掲載'!AL325=1,'中古車掲載'!Z325="https://www.one2car.com/en/cars-for-sale/toyota/corolla-cross/year-2023"),'中古車掲載'!U325,"")</x:f>
      </x:c>
      <x:c r="BH324" s="3" t="str">
        <x:f>IF(AND('中古車掲載'!C325="One2car",'中古車掲載'!F325="DOLPHIN",'中古車掲載'!L325="STANDARD RANGE",'中古車掲載'!J325=2023,ISNUMBER('中古車掲載'!N325),'中古車掲載'!N325&gt;=20000,'中古車掲載'!O325&lt;=100000,'中古車掲載'!AL325=1),'中古車掲載'!U325,"")</x:f>
      </x:c>
      <x:c r="BI324" s="3" t="str">
        <x:v>Taladrod|Corolla Cross|HEV|Unknown</x:v>
      </x:c>
      <x:c r="BJ324" s="3" t="n">
        <x:v>325</x:v>
      </x:c>
      <x:c r="BK324" s="3" t="n">
        <x:f>'中古車掲載'!AM325</x:f>
        <x:v>636000</x:v>
      </x:c>
      <x:c r="BL324" s="3" t="str">
        <x:f>IF(ISNUMBER('中古車掲載'!AN325),'中古車掲載'!AN325,"")</x:f>
      </x:c>
      <x:c r="BM324" s="3"/>
      <x:c r="BN324" s="3"/>
      <x:c r="BO324" s="3"/>
      <x:c r="BP324" s="3"/>
      <x:c r="BQ324" s="3"/>
      <x:c r="BR324" s="3"/>
    </x:row>
    <x:row r="325" ht="22" customHeight="1">
      <x:c r="A325" s="3" t="str">
        <x:v>Corolla Cross</x:v>
      </x:c>
      <x:c r="B325" s="3" t="str">
        <x:v>HEV</x:v>
      </x:c>
      <x:c r="C325" s="3" t="str">
        <x:v>One2car</x:v>
      </x:c>
      <x:c r="D325" s="3" t="str">
        <x:v>SUV</x:v>
      </x:c>
      <x:c r="E325" s="3" t="str"/>
      <x:c r="F325" s="3" t="n">
        <x:v>2025</x:v>
      </x:c>
      <x:c r="G325" s="3" t="str">
        <x:v>HEV PREMIUM LUXURY</x:v>
      </x:c>
      <x:c r="H325" s="3" t="str">
        <x:v>&lt;20千km</x:v>
      </x:c>
      <x:c r="I325" s="3" t="str">
        <x:v>世代不明</x:v>
      </x:c>
      <x:c r="J325" s="22" t="n">
        <x:f>COUNT('中古車掲載'!AM80:AM80)</x:f>
        <x:v>1</x:v>
      </x:c>
      <x:c r="K325" s="22" t="n">
        <x:f>IF(COUNT('中古車掲載'!AM80:AM80)=0,"",QUARTILE('中古車掲載'!AM80:AM80,1))</x:f>
        <x:v>959000</x:v>
      </x:c>
      <x:c r="L325" s="22" t="n">
        <x:f>IF(COUNT('中古車掲載'!AM80:AM80)=0,"",MEDIAN('中古車掲載'!AM80:AM80))</x:f>
        <x:v>959000</x:v>
      </x:c>
      <x:c r="M325" s="22" t="n">
        <x:f>IF(COUNT('中古車掲載'!AM80:AM80)=0,"",QUARTILE('中古車掲載'!AM80:AM80,3))</x:f>
        <x:v>959000</x:v>
      </x:c>
      <x:c r="N325" s="22" t="n">
        <x:f>COUNT('中古車掲載'!AN80:AN80)</x:f>
        <x:v>1</x:v>
      </x:c>
      <x:c r="O325" s="23" t="n">
        <x:f>IF(COUNT('中古車掲載'!AN80:AN80)=0,"",MEDIAN('中古車掲載'!AN80:AN80))</x:f>
        <x:v>0.7965116279069767</x:v>
      </x:c>
      <x:c r="P325" s="3"/>
      <x:c r="Q325" s="3"/>
      <x:c r="R325" s="3"/>
      <x:c r="S325" s="3"/>
      <x:c r="T325" s="3"/>
      <x:c r="U325" s="3"/>
      <x:c r="V325" s="3"/>
      <x:c r="W325" s="3"/>
      <x:c r="X325" s="3"/>
      <x:c r="Y325" s="3"/>
      <x:c r="Z325" s="3"/>
      <x:c r="AA325" s="3"/>
      <x:c r="AB325" s="3"/>
      <x:c r="AC325" s="3"/>
      <x:c r="AD325" s="3"/>
      <x:c r="AE325" s="3"/>
      <x:c r="AF325" s="3"/>
      <x:c r="AG325" s="3"/>
      <x:c r="AH325" s="3"/>
      <x:c r="AI325" s="3"/>
      <x:c r="AJ325" s="3"/>
      <x:c r="AK325" s="3"/>
      <x:c r="AL325" s="3"/>
      <x:c r="AM325" s="3"/>
      <x:c r="AN325" s="3"/>
      <x:c r="AO325" s="3"/>
      <x:c r="AP325" s="3"/>
      <x:c r="AQ325" s="3"/>
      <x:c r="AR325" s="3"/>
      <x:c r="AS325" s="3"/>
      <x:c r="AT325" s="3"/>
      <x:c r="AU325" s="3"/>
      <x:c r="AV325" s="3"/>
      <x:c r="AW325" s="3"/>
      <x:c r="AX325" s="3"/>
      <x:c r="AY325" s="3"/>
      <x:c r="AZ325" s="3" t="str">
        <x:f>IF(AND('中古車掲載'!C326="One2car",'中古車掲載'!F326="ATTO 3",'中古車掲載'!L326="EXTENDED RANGE",'中古車掲載'!J326=2023,ISNUMBER('中古車掲載'!N326),'中古車掲載'!N326&gt;=20000,'中古車掲載'!O326&lt;=100000,'中古車掲載'!AL326=1),'中古車掲載'!U326,"")</x:f>
      </x:c>
      <x:c r="BA325" s="3" t="str">
        <x:f>IF(AND('中古車掲載'!C326="One2car",'中古車掲載'!F326="Corolla Cross",'中古車掲載'!L326="HEV PREMIUM SAFETY",'中古車掲載'!J326=2023,ISNUMBER('中古車掲載'!N326),'中古車掲載'!N326&gt;=20000,'中古車掲載'!O326&lt;=100000,'中古車掲載'!AL326=1,'中古車掲載'!Z326="https://www.one2car.com/en/cars-for-sale/toyota/corolla-cross/year-2023"),'中古車掲載'!U326,"")</x:f>
      </x:c>
      <x:c r="BB325" s="3" t="str">
        <x:f>IF(AND('中古車掲載'!C326="One2car",'中古車掲載'!F326="ATTO 3",'中古車掲載'!L326="EXTENDED RANGE",'中古車掲載'!J326=2023,ISNUMBER('中古車掲載'!N326),'中古車掲載'!N326&gt;=50000,'中古車掲載'!O326&lt;=100000,'中古車掲載'!AL326=1),'中古車掲載'!U326,"")</x:f>
      </x:c>
      <x:c r="BC325" s="3" t="str">
        <x:f>IF(AND('中古車掲載'!C326="One2car",'中古車掲載'!F326="Corolla Cross",'中古車掲載'!L326="HEV PREMIUM SAFETY",'中古車掲載'!J326=2023,ISNUMBER('中古車掲載'!N326),'中古車掲載'!N326&gt;=50000,'中古車掲載'!O326&lt;=100000,'中古車掲載'!AL326=1,'中古車掲載'!Z326="https://www.one2car.com/en/cars-for-sale/toyota/corolla-cross/year-2023"),'中古車掲載'!U326,"")</x:f>
      </x:c>
      <x:c r="BD325" s="3" t="str">
        <x:f>IF(AND('中古車掲載'!C326="One2car",'中古車掲載'!F326="ATTO 3",'中古車掲載'!L326="EXTENDED RANGE",'中古車掲載'!J326=2023,ISNUMBER('中古車掲載'!N326),'中古車掲載'!N326&gt;=20000,'中古車掲載'!O326&lt;=50000,'中古車掲載'!AL326=1),'中古車掲載'!U326,"")</x:f>
      </x:c>
      <x:c r="BE325" s="3" t="str">
        <x:f>IF(AND('中古車掲載'!C326="One2car",'中古車掲載'!F326="Corolla Cross",'中古車掲載'!L326="HEV PREMIUM SAFETY",'中古車掲載'!J326=2023,ISNUMBER('中古車掲載'!N326),'中古車掲載'!N326&gt;=20000,'中古車掲載'!O326&lt;=50000,'中古車掲載'!AL326=1,'中古車掲載'!Z326="https://www.one2car.com/en/cars-for-sale/toyota/corolla-cross/year-2023"),'中古車掲載'!U326,"")</x:f>
      </x:c>
      <x:c r="BF325" s="3" t="str">
        <x:f>IF(AND('中古車掲載'!C326="One2car",'中古車掲載'!F326="Corolla Cross",'中古車掲載'!L326="HEV PREMIUM",'中古車掲載'!J326=2023,ISNUMBER('中古車掲載'!N326),'中古車掲載'!N326&gt;=20000,'中古車掲載'!O326&lt;=100000,'中古車掲載'!AL326=1,'中古車掲載'!Z326="https://www.one2car.com/en/cars-for-sale/toyota/corolla-cross/year-2023"),'中古車掲載'!U326,"")</x:f>
      </x:c>
      <x:c r="BG325" s="3" t="str">
        <x:f>IF(AND('中古車掲載'!C326="One2car",'中古車掲載'!F326="Corolla Cross",'中古車掲載'!L326="HEV GR SPORT",'中古車掲載'!J326=2023,ISNUMBER('中古車掲載'!N326),'中古車掲載'!N326&gt;=20000,'中古車掲載'!O326&lt;=100000,'中古車掲載'!AL326=1,'中古車掲載'!Z326="https://www.one2car.com/en/cars-for-sale/toyota/corolla-cross/year-2023"),'中古車掲載'!U326,"")</x:f>
      </x:c>
      <x:c r="BH325" s="3" t="str">
        <x:f>IF(AND('中古車掲載'!C326="One2car",'中古車掲載'!F326="DOLPHIN",'中古車掲載'!L326="STANDARD RANGE",'中古車掲載'!J326=2023,ISNUMBER('中古車掲載'!N326),'中古車掲載'!N326&gt;=20000,'中古車掲載'!O326&lt;=100000,'中古車掲載'!AL326=1),'中古車掲載'!U326,"")</x:f>
      </x:c>
      <x:c r="BI325" s="3" t="str">
        <x:v>Taladrod|Corolla Cross|HEV|Unknown</x:v>
      </x:c>
      <x:c r="BJ325" s="3" t="n">
        <x:v>326</x:v>
      </x:c>
      <x:c r="BK325" s="3" t="n">
        <x:f>'中古車掲載'!AM326</x:f>
        <x:v>579000</x:v>
      </x:c>
      <x:c r="BL325" s="3" t="str">
        <x:f>IF(ISNUMBER('中古車掲載'!AN326),'中古車掲載'!AN326,"")</x:f>
      </x:c>
      <x:c r="BM325" s="3"/>
      <x:c r="BN325" s="3"/>
      <x:c r="BO325" s="3"/>
      <x:c r="BP325" s="3"/>
      <x:c r="BQ325" s="3"/>
      <x:c r="BR325" s="3"/>
    </x:row>
    <x:row r="326" ht="22" customHeight="1">
      <x:c r="A326" s="3" t="str">
        <x:v>Corolla Cross</x:v>
      </x:c>
      <x:c r="B326" s="3" t="str">
        <x:v>ICE</x:v>
      </x:c>
      <x:c r="C326" s="3" t="str">
        <x:v>One2car</x:v>
      </x:c>
      <x:c r="D326" s="3" t="str">
        <x:v>SUV</x:v>
      </x:c>
      <x:c r="E326" s="3" t="str"/>
      <x:c r="F326" s="3" t="n">
        <x:v>2021</x:v>
      </x:c>
      <x:c r="G326" s="3" t="str">
        <x:v>SPORT</x:v>
      </x:c>
      <x:c r="H326" s="3" t="str">
        <x:v>50–100千km</x:v>
      </x:c>
      <x:c r="I326" s="3" t="str">
        <x:v>世代不明</x:v>
      </x:c>
      <x:c r="J326" s="22" t="n">
        <x:f>COUNT('中古車掲載'!AM81:AM81)</x:f>
        <x:v>1</x:v>
      </x:c>
      <x:c r="K326" s="22" t="n">
        <x:f>IF(COUNT('中古車掲載'!AM81:AM81)=0,"",QUARTILE('中古車掲載'!AM81:AM81,1))</x:f>
        <x:v>558000</x:v>
      </x:c>
      <x:c r="L326" s="22" t="n">
        <x:f>IF(COUNT('中古車掲載'!AM81:AM81)=0,"",MEDIAN('中古車掲載'!AM81:AM81))</x:f>
        <x:v>558000</x:v>
      </x:c>
      <x:c r="M326" s="22" t="n">
        <x:f>IF(COUNT('中古車掲載'!AM81:AM81)=0,"",QUARTILE('中古車掲載'!AM81:AM81,3))</x:f>
        <x:v>558000</x:v>
      </x:c>
      <x:c r="N326" s="22" t="n">
        <x:f>COUNT('中古車掲載'!AN81:AN81)</x:f>
        <x:v>0</x:v>
      </x:c>
      <x:c r="O326" s="23" t="str">
        <x:f>IF(COUNT('中古車掲載'!AN81:AN81)=0,"",MEDIAN('中古車掲載'!AN81:AN81))</x:f>
      </x:c>
      <x:c r="P326" s="3"/>
      <x:c r="Q326" s="3"/>
      <x:c r="R326" s="3"/>
      <x:c r="S326" s="3"/>
      <x:c r="T326" s="3"/>
      <x:c r="U326" s="3"/>
      <x:c r="V326" s="3"/>
      <x:c r="W326" s="3"/>
      <x:c r="X326" s="3"/>
      <x:c r="Y326" s="3"/>
      <x:c r="Z326" s="3"/>
      <x:c r="AA326" s="3"/>
      <x:c r="AB326" s="3"/>
      <x:c r="AC326" s="3"/>
      <x:c r="AD326" s="3"/>
      <x:c r="AE326" s="3"/>
      <x:c r="AF326" s="3"/>
      <x:c r="AG326" s="3"/>
      <x:c r="AH326" s="3"/>
      <x:c r="AI326" s="3"/>
      <x:c r="AJ326" s="3"/>
      <x:c r="AK326" s="3"/>
      <x:c r="AL326" s="3"/>
      <x:c r="AM326" s="3"/>
      <x:c r="AN326" s="3"/>
      <x:c r="AO326" s="3"/>
      <x:c r="AP326" s="3"/>
      <x:c r="AQ326" s="3"/>
      <x:c r="AR326" s="3"/>
      <x:c r="AS326" s="3"/>
      <x:c r="AT326" s="3"/>
      <x:c r="AU326" s="3"/>
      <x:c r="AV326" s="3"/>
      <x:c r="AW326" s="3"/>
      <x:c r="AX326" s="3"/>
      <x:c r="AY326" s="3"/>
      <x:c r="AZ326" s="3" t="str">
        <x:f>IF(AND('中古車掲載'!C327="One2car",'中古車掲載'!F327="ATTO 3",'中古車掲載'!L327="EXTENDED RANGE",'中古車掲載'!J327=2023,ISNUMBER('中古車掲載'!N327),'中古車掲載'!N327&gt;=20000,'中古車掲載'!O327&lt;=100000,'中古車掲載'!AL327=1),'中古車掲載'!U327,"")</x:f>
      </x:c>
      <x:c r="BA326" s="3" t="str">
        <x:f>IF(AND('中古車掲載'!C327="One2car",'中古車掲載'!F327="Corolla Cross",'中古車掲載'!L327="HEV PREMIUM SAFETY",'中古車掲載'!J327=2023,ISNUMBER('中古車掲載'!N327),'中古車掲載'!N327&gt;=20000,'中古車掲載'!O327&lt;=100000,'中古車掲載'!AL327=1,'中古車掲載'!Z327="https://www.one2car.com/en/cars-for-sale/toyota/corolla-cross/year-2023"),'中古車掲載'!U327,"")</x:f>
      </x:c>
      <x:c r="BB326" s="3" t="str">
        <x:f>IF(AND('中古車掲載'!C327="One2car",'中古車掲載'!F327="ATTO 3",'中古車掲載'!L327="EXTENDED RANGE",'中古車掲載'!J327=2023,ISNUMBER('中古車掲載'!N327),'中古車掲載'!N327&gt;=50000,'中古車掲載'!O327&lt;=100000,'中古車掲載'!AL327=1),'中古車掲載'!U327,"")</x:f>
      </x:c>
      <x:c r="BC326" s="3" t="str">
        <x:f>IF(AND('中古車掲載'!C327="One2car",'中古車掲載'!F327="Corolla Cross",'中古車掲載'!L327="HEV PREMIUM SAFETY",'中古車掲載'!J327=2023,ISNUMBER('中古車掲載'!N327),'中古車掲載'!N327&gt;=50000,'中古車掲載'!O327&lt;=100000,'中古車掲載'!AL327=1,'中古車掲載'!Z327="https://www.one2car.com/en/cars-for-sale/toyota/corolla-cross/year-2023"),'中古車掲載'!U327,"")</x:f>
      </x:c>
      <x:c r="BD326" s="3" t="str">
        <x:f>IF(AND('中古車掲載'!C327="One2car",'中古車掲載'!F327="ATTO 3",'中古車掲載'!L327="EXTENDED RANGE",'中古車掲載'!J327=2023,ISNUMBER('中古車掲載'!N327),'中古車掲載'!N327&gt;=20000,'中古車掲載'!O327&lt;=50000,'中古車掲載'!AL327=1),'中古車掲載'!U327,"")</x:f>
      </x:c>
      <x:c r="BE326" s="3" t="str">
        <x:f>IF(AND('中古車掲載'!C327="One2car",'中古車掲載'!F327="Corolla Cross",'中古車掲載'!L327="HEV PREMIUM SAFETY",'中古車掲載'!J327=2023,ISNUMBER('中古車掲載'!N327),'中古車掲載'!N327&gt;=20000,'中古車掲載'!O327&lt;=50000,'中古車掲載'!AL327=1,'中古車掲載'!Z327="https://www.one2car.com/en/cars-for-sale/toyota/corolla-cross/year-2023"),'中古車掲載'!U327,"")</x:f>
      </x:c>
      <x:c r="BF326" s="3" t="str">
        <x:f>IF(AND('中古車掲載'!C327="One2car",'中古車掲載'!F327="Corolla Cross",'中古車掲載'!L327="HEV PREMIUM",'中古車掲載'!J327=2023,ISNUMBER('中古車掲載'!N327),'中古車掲載'!N327&gt;=20000,'中古車掲載'!O327&lt;=100000,'中古車掲載'!AL327=1,'中古車掲載'!Z327="https://www.one2car.com/en/cars-for-sale/toyota/corolla-cross/year-2023"),'中古車掲載'!U327,"")</x:f>
      </x:c>
      <x:c r="BG326" s="3" t="str">
        <x:f>IF(AND('中古車掲載'!C327="One2car",'中古車掲載'!F327="Corolla Cross",'中古車掲載'!L327="HEV GR SPORT",'中古車掲載'!J327=2023,ISNUMBER('中古車掲載'!N327),'中古車掲載'!N327&gt;=20000,'中古車掲載'!O327&lt;=100000,'中古車掲載'!AL327=1,'中古車掲載'!Z327="https://www.one2car.com/en/cars-for-sale/toyota/corolla-cross/year-2023"),'中古車掲載'!U327,"")</x:f>
      </x:c>
      <x:c r="BH326" s="3" t="str">
        <x:f>IF(AND('中古車掲載'!C327="One2car",'中古車掲載'!F327="DOLPHIN",'中古車掲載'!L327="STANDARD RANGE",'中古車掲載'!J327=2023,ISNUMBER('中古車掲載'!N327),'中古車掲載'!N327&gt;=20000,'中古車掲載'!O327&lt;=100000,'中古車掲載'!AL327=1),'中古車掲載'!U327,"")</x:f>
      </x:c>
      <x:c r="BI326" s="3" t="str">
        <x:v>Taladrod|Corolla Cross|HEV|Unknown</x:v>
      </x:c>
      <x:c r="BJ326" s="3" t="n">
        <x:v>327</x:v>
      </x:c>
      <x:c r="BK326" s="3" t="n">
        <x:f>'中古車掲載'!AM327</x:f>
        <x:v>689000</x:v>
      </x:c>
      <x:c r="BL326" s="3" t="str">
        <x:f>IF(ISNUMBER('中古車掲載'!AN327),'中古車掲載'!AN327,"")</x:f>
      </x:c>
      <x:c r="BM326" s="3"/>
      <x:c r="BN326" s="3"/>
      <x:c r="BO326" s="3"/>
      <x:c r="BP326" s="3"/>
      <x:c r="BQ326" s="3"/>
      <x:c r="BR326" s="3"/>
    </x:row>
    <x:row r="327" ht="22" customHeight="1">
      <x:c r="A327" s="3" t="str">
        <x:v>Corolla Cross</x:v>
      </x:c>
      <x:c r="B327" s="3" t="str">
        <x:v>ICE</x:v>
      </x:c>
      <x:c r="C327" s="3" t="str">
        <x:v>One2car</x:v>
      </x:c>
      <x:c r="D327" s="3" t="str">
        <x:v>SUV</x:v>
      </x:c>
      <x:c r="E327" s="3" t="str"/>
      <x:c r="F327" s="3" t="n">
        <x:v>2022</x:v>
      </x:c>
      <x:c r="G327" s="3" t="str">
        <x:v>SPORT</x:v>
      </x:c>
      <x:c r="H327" s="3" t="str">
        <x:v>50–100千km</x:v>
      </x:c>
      <x:c r="I327" s="3" t="str">
        <x:v>世代不明</x:v>
      </x:c>
      <x:c r="J327" s="22" t="n">
        <x:f>COUNT('中古車掲載'!AM82:AM82)</x:f>
        <x:v>1</x:v>
      </x:c>
      <x:c r="K327" s="22" t="n">
        <x:f>IF(COUNT('中古車掲載'!AM82:AM82)=0,"",QUARTILE('中古車掲載'!AM82:AM82,1))</x:f>
        <x:v>579000</x:v>
      </x:c>
      <x:c r="L327" s="22" t="n">
        <x:f>IF(COUNT('中古車掲載'!AM82:AM82)=0,"",MEDIAN('中古車掲載'!AM82:AM82))</x:f>
        <x:v>579000</x:v>
      </x:c>
      <x:c r="M327" s="22" t="n">
        <x:f>IF(COUNT('中古車掲載'!AM82:AM82)=0,"",QUARTILE('中古車掲載'!AM82:AM82,3))</x:f>
        <x:v>579000</x:v>
      </x:c>
      <x:c r="N327" s="22" t="n">
        <x:f>COUNT('中古車掲載'!AN82:AN82)</x:f>
        <x:v>0</x:v>
      </x:c>
      <x:c r="O327" s="23" t="str">
        <x:f>IF(COUNT('中古車掲載'!AN82:AN82)=0,"",MEDIAN('中古車掲載'!AN82:AN82))</x:f>
      </x:c>
      <x:c r="P327" s="3"/>
      <x:c r="Q327" s="3"/>
      <x:c r="R327" s="3"/>
      <x:c r="S327" s="3"/>
      <x:c r="T327" s="3"/>
      <x:c r="U327" s="3"/>
      <x:c r="V327" s="3"/>
      <x:c r="W327" s="3"/>
      <x:c r="X327" s="3"/>
      <x:c r="Y327" s="3"/>
      <x:c r="Z327" s="3"/>
      <x:c r="AA327" s="3"/>
      <x:c r="AB327" s="3"/>
      <x:c r="AC327" s="3"/>
      <x:c r="AD327" s="3"/>
      <x:c r="AE327" s="3"/>
      <x:c r="AF327" s="3"/>
      <x:c r="AG327" s="3"/>
      <x:c r="AH327" s="3"/>
      <x:c r="AI327" s="3"/>
      <x:c r="AJ327" s="3"/>
      <x:c r="AK327" s="3"/>
      <x:c r="AL327" s="3"/>
      <x:c r="AM327" s="3"/>
      <x:c r="AN327" s="3"/>
      <x:c r="AO327" s="3"/>
      <x:c r="AP327" s="3"/>
      <x:c r="AQ327" s="3"/>
      <x:c r="AR327" s="3"/>
      <x:c r="AS327" s="3"/>
      <x:c r="AT327" s="3"/>
      <x:c r="AU327" s="3"/>
      <x:c r="AV327" s="3"/>
      <x:c r="AW327" s="3"/>
      <x:c r="AX327" s="3"/>
      <x:c r="AY327" s="3"/>
      <x:c r="AZ327" s="3" t="str">
        <x:f>IF(AND('中古車掲載'!C328="One2car",'中古車掲載'!F328="ATTO 3",'中古車掲載'!L328="EXTENDED RANGE",'中古車掲載'!J328=2023,ISNUMBER('中古車掲載'!N328),'中古車掲載'!N328&gt;=20000,'中古車掲載'!O328&lt;=100000,'中古車掲載'!AL328=1),'中古車掲載'!U328,"")</x:f>
      </x:c>
      <x:c r="BA327" s="3" t="str">
        <x:f>IF(AND('中古車掲載'!C328="One2car",'中古車掲載'!F328="Corolla Cross",'中古車掲載'!L328="HEV PREMIUM SAFETY",'中古車掲載'!J328=2023,ISNUMBER('中古車掲載'!N328),'中古車掲載'!N328&gt;=20000,'中古車掲載'!O328&lt;=100000,'中古車掲載'!AL328=1,'中古車掲載'!Z328="https://www.one2car.com/en/cars-for-sale/toyota/corolla-cross/year-2023"),'中古車掲載'!U328,"")</x:f>
      </x:c>
      <x:c r="BB327" s="3" t="str">
        <x:f>IF(AND('中古車掲載'!C328="One2car",'中古車掲載'!F328="ATTO 3",'中古車掲載'!L328="EXTENDED RANGE",'中古車掲載'!J328=2023,ISNUMBER('中古車掲載'!N328),'中古車掲載'!N328&gt;=50000,'中古車掲載'!O328&lt;=100000,'中古車掲載'!AL328=1),'中古車掲載'!U328,"")</x:f>
      </x:c>
      <x:c r="BC327" s="3" t="str">
        <x:f>IF(AND('中古車掲載'!C328="One2car",'中古車掲載'!F328="Corolla Cross",'中古車掲載'!L328="HEV PREMIUM SAFETY",'中古車掲載'!J328=2023,ISNUMBER('中古車掲載'!N328),'中古車掲載'!N328&gt;=50000,'中古車掲載'!O328&lt;=100000,'中古車掲載'!AL328=1,'中古車掲載'!Z328="https://www.one2car.com/en/cars-for-sale/toyota/corolla-cross/year-2023"),'中古車掲載'!U328,"")</x:f>
      </x:c>
      <x:c r="BD327" s="3" t="str">
        <x:f>IF(AND('中古車掲載'!C328="One2car",'中古車掲載'!F328="ATTO 3",'中古車掲載'!L328="EXTENDED RANGE",'中古車掲載'!J328=2023,ISNUMBER('中古車掲載'!N328),'中古車掲載'!N328&gt;=20000,'中古車掲載'!O328&lt;=50000,'中古車掲載'!AL328=1),'中古車掲載'!U328,"")</x:f>
      </x:c>
      <x:c r="BE327" s="3" t="str">
        <x:f>IF(AND('中古車掲載'!C328="One2car",'中古車掲載'!F328="Corolla Cross",'中古車掲載'!L328="HEV PREMIUM SAFETY",'中古車掲載'!J328=2023,ISNUMBER('中古車掲載'!N328),'中古車掲載'!N328&gt;=20000,'中古車掲載'!O328&lt;=50000,'中古車掲載'!AL328=1,'中古車掲載'!Z328="https://www.one2car.com/en/cars-for-sale/toyota/corolla-cross/year-2023"),'中古車掲載'!U328,"")</x:f>
      </x:c>
      <x:c r="BF327" s="3" t="str">
        <x:f>IF(AND('中古車掲載'!C328="One2car",'中古車掲載'!F328="Corolla Cross",'中古車掲載'!L328="HEV PREMIUM",'中古車掲載'!J328=2023,ISNUMBER('中古車掲載'!N328),'中古車掲載'!N328&gt;=20000,'中古車掲載'!O328&lt;=100000,'中古車掲載'!AL328=1,'中古車掲載'!Z328="https://www.one2car.com/en/cars-for-sale/toyota/corolla-cross/year-2023"),'中古車掲載'!U328,"")</x:f>
      </x:c>
      <x:c r="BG327" s="3" t="str">
        <x:f>IF(AND('中古車掲載'!C328="One2car",'中古車掲載'!F328="Corolla Cross",'中古車掲載'!L328="HEV GR SPORT",'中古車掲載'!J328=2023,ISNUMBER('中古車掲載'!N328),'中古車掲載'!N328&gt;=20000,'中古車掲載'!O328&lt;=100000,'中古車掲載'!AL328=1,'中古車掲載'!Z328="https://www.one2car.com/en/cars-for-sale/toyota/corolla-cross/year-2023"),'中古車掲載'!U328,"")</x:f>
      </x:c>
      <x:c r="BH327" s="3" t="str">
        <x:f>IF(AND('中古車掲載'!C328="One2car",'中古車掲載'!F328="DOLPHIN",'中古車掲載'!L328="STANDARD RANGE",'中古車掲載'!J328=2023,ISNUMBER('中古車掲載'!N328),'中古車掲載'!N328&gt;=20000,'中古車掲載'!O328&lt;=100000,'中古車掲載'!AL328=1),'中古車掲載'!U328,"")</x:f>
      </x:c>
      <x:c r="BI327" s="3" t="str">
        <x:v>Taladrod|Corolla Cross|HEV|Unknown</x:v>
      </x:c>
      <x:c r="BJ327" s="3" t="n">
        <x:v>328</x:v>
      </x:c>
      <x:c r="BK327" s="3" t="n">
        <x:f>'中古車掲載'!AM328</x:f>
        <x:v>698000</x:v>
      </x:c>
      <x:c r="BL327" s="3" t="str">
        <x:f>IF(ISNUMBER('中古車掲載'!AN328),'中古車掲載'!AN328,"")</x:f>
      </x:c>
      <x:c r="BM327" s="3"/>
      <x:c r="BN327" s="3"/>
      <x:c r="BO327" s="3"/>
      <x:c r="BP327" s="3"/>
      <x:c r="BQ327" s="3"/>
      <x:c r="BR327" s="3"/>
    </x:row>
    <x:row r="328" ht="22" customHeight="1">
      <x:c r="A328" s="3" t="str">
        <x:v>Corolla Cross</x:v>
      </x:c>
      <x:c r="B328" s="3" t="str">
        <x:v>ICE</x:v>
      </x:c>
      <x:c r="C328" s="3" t="str">
        <x:v>One2car</x:v>
      </x:c>
      <x:c r="D328" s="3" t="str">
        <x:v>SUV</x:v>
      </x:c>
      <x:c r="E328" s="3" t="str"/>
      <x:c r="F328" s="3" t="n">
        <x:v>2023</x:v>
      </x:c>
      <x:c r="G328" s="3" t="str">
        <x:v>SPORT PLUS</x:v>
      </x:c>
      <x:c r="H328" s="3" t="str">
        <x:v>50–100千km</x:v>
      </x:c>
      <x:c r="I328" s="3" t="str">
        <x:v>世代不明</x:v>
      </x:c>
      <x:c r="J328" s="22" t="n">
        <x:f>COUNT('中古車掲載'!AM83:AM83)</x:f>
        <x:v>1</x:v>
      </x:c>
      <x:c r="K328" s="22" t="n">
        <x:f>IF(COUNT('中古車掲載'!AM83:AM83)=0,"",QUARTILE('中古車掲載'!AM83:AM83,1))</x:f>
        <x:v>639000</x:v>
      </x:c>
      <x:c r="L328" s="22" t="n">
        <x:f>IF(COUNT('中古車掲載'!AM83:AM83)=0,"",MEDIAN('中古車掲載'!AM83:AM83))</x:f>
        <x:v>639000</x:v>
      </x:c>
      <x:c r="M328" s="22" t="n">
        <x:f>IF(COUNT('中古車掲載'!AM83:AM83)=0,"",QUARTILE('中古車掲載'!AM83:AM83,3))</x:f>
        <x:v>639000</x:v>
      </x:c>
      <x:c r="N328" s="22" t="n">
        <x:f>COUNT('中古車掲載'!AN83:AN83)</x:f>
        <x:v>1</x:v>
      </x:c>
      <x:c r="O328" s="23" t="n">
        <x:f>IF(COUNT('中古車掲載'!AN83:AN83)=0,"",MEDIAN('中古車掲載'!AN83:AN83))</x:f>
        <x:v>0.6396396396396397</x:v>
      </x:c>
      <x:c r="P328" s="3"/>
      <x:c r="Q328" s="3"/>
      <x:c r="R328" s="3"/>
      <x:c r="S328" s="3"/>
      <x:c r="T328" s="3"/>
      <x:c r="U328" s="3"/>
      <x:c r="V328" s="3"/>
      <x:c r="W328" s="3"/>
      <x:c r="X328" s="3"/>
      <x:c r="Y328" s="3"/>
      <x:c r="Z328" s="3"/>
      <x:c r="AA328" s="3"/>
      <x:c r="AB328" s="3"/>
      <x:c r="AC328" s="3"/>
      <x:c r="AD328" s="3"/>
      <x:c r="AE328" s="3"/>
      <x:c r="AF328" s="3"/>
      <x:c r="AG328" s="3"/>
      <x:c r="AH328" s="3"/>
      <x:c r="AI328" s="3"/>
      <x:c r="AJ328" s="3"/>
      <x:c r="AK328" s="3"/>
      <x:c r="AL328" s="3"/>
      <x:c r="AM328" s="3"/>
      <x:c r="AN328" s="3"/>
      <x:c r="AO328" s="3"/>
      <x:c r="AP328" s="3"/>
      <x:c r="AQ328" s="3"/>
      <x:c r="AR328" s="3"/>
      <x:c r="AS328" s="3"/>
      <x:c r="AT328" s="3"/>
      <x:c r="AU328" s="3"/>
      <x:c r="AV328" s="3"/>
      <x:c r="AW328" s="3"/>
      <x:c r="AX328" s="3"/>
      <x:c r="AY328" s="3"/>
      <x:c r="AZ328" s="3" t="str">
        <x:f>IF(AND('中古車掲載'!C329="One2car",'中古車掲載'!F329="ATTO 3",'中古車掲載'!L329="EXTENDED RANGE",'中古車掲載'!J329=2023,ISNUMBER('中古車掲載'!N329),'中古車掲載'!N329&gt;=20000,'中古車掲載'!O329&lt;=100000,'中古車掲載'!AL329=1),'中古車掲載'!U329,"")</x:f>
      </x:c>
      <x:c r="BA328" s="3" t="str">
        <x:f>IF(AND('中古車掲載'!C329="One2car",'中古車掲載'!F329="Corolla Cross",'中古車掲載'!L329="HEV PREMIUM SAFETY",'中古車掲載'!J329=2023,ISNUMBER('中古車掲載'!N329),'中古車掲載'!N329&gt;=20000,'中古車掲載'!O329&lt;=100000,'中古車掲載'!AL329=1,'中古車掲載'!Z329="https://www.one2car.com/en/cars-for-sale/toyota/corolla-cross/year-2023"),'中古車掲載'!U329,"")</x:f>
      </x:c>
      <x:c r="BB328" s="3" t="str">
        <x:f>IF(AND('中古車掲載'!C329="One2car",'中古車掲載'!F329="ATTO 3",'中古車掲載'!L329="EXTENDED RANGE",'中古車掲載'!J329=2023,ISNUMBER('中古車掲載'!N329),'中古車掲載'!N329&gt;=50000,'中古車掲載'!O329&lt;=100000,'中古車掲載'!AL329=1),'中古車掲載'!U329,"")</x:f>
      </x:c>
      <x:c r="BC328" s="3" t="str">
        <x:f>IF(AND('中古車掲載'!C329="One2car",'中古車掲載'!F329="Corolla Cross",'中古車掲載'!L329="HEV PREMIUM SAFETY",'中古車掲載'!J329=2023,ISNUMBER('中古車掲載'!N329),'中古車掲載'!N329&gt;=50000,'中古車掲載'!O329&lt;=100000,'中古車掲載'!AL329=1,'中古車掲載'!Z329="https://www.one2car.com/en/cars-for-sale/toyota/corolla-cross/year-2023"),'中古車掲載'!U329,"")</x:f>
      </x:c>
      <x:c r="BD328" s="3" t="str">
        <x:f>IF(AND('中古車掲載'!C329="One2car",'中古車掲載'!F329="ATTO 3",'中古車掲載'!L329="EXTENDED RANGE",'中古車掲載'!J329=2023,ISNUMBER('中古車掲載'!N329),'中古車掲載'!N329&gt;=20000,'中古車掲載'!O329&lt;=50000,'中古車掲載'!AL329=1),'中古車掲載'!U329,"")</x:f>
      </x:c>
      <x:c r="BE328" s="3" t="str">
        <x:f>IF(AND('中古車掲載'!C329="One2car",'中古車掲載'!F329="Corolla Cross",'中古車掲載'!L329="HEV PREMIUM SAFETY",'中古車掲載'!J329=2023,ISNUMBER('中古車掲載'!N329),'中古車掲載'!N329&gt;=20000,'中古車掲載'!O329&lt;=50000,'中古車掲載'!AL329=1,'中古車掲載'!Z329="https://www.one2car.com/en/cars-for-sale/toyota/corolla-cross/year-2023"),'中古車掲載'!U329,"")</x:f>
      </x:c>
      <x:c r="BF328" s="3" t="str">
        <x:f>IF(AND('中古車掲載'!C329="One2car",'中古車掲載'!F329="Corolla Cross",'中古車掲載'!L329="HEV PREMIUM",'中古車掲載'!J329=2023,ISNUMBER('中古車掲載'!N329),'中古車掲載'!N329&gt;=20000,'中古車掲載'!O329&lt;=100000,'中古車掲載'!AL329=1,'中古車掲載'!Z329="https://www.one2car.com/en/cars-for-sale/toyota/corolla-cross/year-2023"),'中古車掲載'!U329,"")</x:f>
      </x:c>
      <x:c r="BG328" s="3" t="str">
        <x:f>IF(AND('中古車掲載'!C329="One2car",'中古車掲載'!F329="Corolla Cross",'中古車掲載'!L329="HEV GR SPORT",'中古車掲載'!J329=2023,ISNUMBER('中古車掲載'!N329),'中古車掲載'!N329&gt;=20000,'中古車掲載'!O329&lt;=100000,'中古車掲載'!AL329=1,'中古車掲載'!Z329="https://www.one2car.com/en/cars-for-sale/toyota/corolla-cross/year-2023"),'中古車掲載'!U329,"")</x:f>
      </x:c>
      <x:c r="BH328" s="3" t="str">
        <x:f>IF(AND('中古車掲載'!C329="One2car",'中古車掲載'!F329="DOLPHIN",'中古車掲載'!L329="STANDARD RANGE",'中古車掲載'!J329=2023,ISNUMBER('中古車掲載'!N329),'中古車掲載'!N329&gt;=20000,'中古車掲載'!O329&lt;=100000,'中古車掲載'!AL329=1),'中古車掲載'!U329,"")</x:f>
      </x:c>
      <x:c r="BI328" s="3" t="str">
        <x:v>Taladrod|Corolla Cross|HEV|Unknown</x:v>
      </x:c>
      <x:c r="BJ328" s="3" t="n">
        <x:v>329</x:v>
      </x:c>
      <x:c r="BK328" s="3" t="n">
        <x:f>'中古車掲載'!AM329</x:f>
        <x:v>698000</x:v>
      </x:c>
      <x:c r="BL328" s="3" t="str">
        <x:f>IF(ISNUMBER('中古車掲載'!AN329),'中古車掲載'!AN329,"")</x:f>
      </x:c>
      <x:c r="BM328" s="3"/>
      <x:c r="BN328" s="3"/>
      <x:c r="BO328" s="3"/>
      <x:c r="BP328" s="3"/>
      <x:c r="BQ328" s="3"/>
      <x:c r="BR328" s="3"/>
    </x:row>
    <x:row r="329" ht="22" customHeight="1">
      <x:c r="A329" s="3" t="str">
        <x:v>DOLPHIN</x:v>
      </x:c>
      <x:c r="B329" s="3" t="str">
        <x:v>BEV</x:v>
      </x:c>
      <x:c r="C329" s="3" t="str">
        <x:v>One2car</x:v>
      </x:c>
      <x:c r="D329" s="3" t="str">
        <x:v>Hatchback</x:v>
      </x:c>
      <x:c r="E329" s="3" t="str"/>
      <x:c r="F329" s="3" t="n">
        <x:v>2023</x:v>
      </x:c>
      <x:c r="G329" s="3" t="str">
        <x:v>EXTENDED RANGE</x:v>
      </x:c>
      <x:c r="H329" s="3" t="str">
        <x:v>50–100千km</x:v>
      </x:c>
      <x:c r="I329" s="3" t="str">
        <x:v>世代不明</x:v>
      </x:c>
      <x:c r="J329" s="22" t="n">
        <x:f>COUNT('中古車掲載'!AM84:AM85)</x:f>
        <x:v>2</x:v>
      </x:c>
      <x:c r="K329" s="22" t="n">
        <x:f>IF(COUNT('中古車掲載'!AM84:AM85)=0,"",QUARTILE('中古車掲載'!AM84:AM85,1))</x:f>
        <x:v>371500</x:v>
      </x:c>
      <x:c r="L329" s="22" t="n">
        <x:f>IF(COUNT('中古車掲載'!AM84:AM85)=0,"",MEDIAN('中古車掲載'!AM84:AM85))</x:f>
        <x:v>394000</x:v>
      </x:c>
      <x:c r="M329" s="22" t="n">
        <x:f>IF(COUNT('中古車掲載'!AM84:AM85)=0,"",QUARTILE('中古車掲載'!AM84:AM85,3))</x:f>
        <x:v>416500</x:v>
      </x:c>
      <x:c r="N329" s="22" t="n">
        <x:f>COUNT('中古車掲載'!AN84:AN85)</x:f>
        <x:v>2</x:v>
      </x:c>
      <x:c r="O329" s="23" t="n">
        <x:f>IF(COUNT('中古車掲載'!AN84:AN85)=0,"",MEDIAN('中古車掲載'!AN84:AN85))</x:f>
        <x:v>0.4581400676047298</x:v>
      </x:c>
      <x:c r="P329" s="3"/>
      <x:c r="Q329" s="3"/>
      <x:c r="R329" s="3"/>
      <x:c r="S329" s="3"/>
      <x:c r="T329" s="3"/>
      <x:c r="U329" s="3"/>
      <x:c r="V329" s="3"/>
      <x:c r="W329" s="3"/>
      <x:c r="X329" s="3"/>
      <x:c r="Y329" s="3"/>
      <x:c r="Z329" s="3"/>
      <x:c r="AA329" s="3"/>
      <x:c r="AB329" s="3"/>
      <x:c r="AC329" s="3"/>
      <x:c r="AD329" s="3"/>
      <x:c r="AE329" s="3"/>
      <x:c r="AF329" s="3"/>
      <x:c r="AG329" s="3"/>
      <x:c r="AH329" s="3"/>
      <x:c r="AI329" s="3"/>
      <x:c r="AJ329" s="3"/>
      <x:c r="AK329" s="3"/>
      <x:c r="AL329" s="3"/>
      <x:c r="AM329" s="3"/>
      <x:c r="AN329" s="3"/>
      <x:c r="AO329" s="3"/>
      <x:c r="AP329" s="3"/>
      <x:c r="AQ329" s="3"/>
      <x:c r="AR329" s="3"/>
      <x:c r="AS329" s="3"/>
      <x:c r="AT329" s="3"/>
      <x:c r="AU329" s="3"/>
      <x:c r="AV329" s="3"/>
      <x:c r="AW329" s="3"/>
      <x:c r="AX329" s="3"/>
      <x:c r="AY329" s="3"/>
      <x:c r="AZ329" s="3" t="str">
        <x:f>IF(AND('中古車掲載'!C330="One2car",'中古車掲載'!F330="ATTO 3",'中古車掲載'!L330="EXTENDED RANGE",'中古車掲載'!J330=2023,ISNUMBER('中古車掲載'!N330),'中古車掲載'!N330&gt;=20000,'中古車掲載'!O330&lt;=100000,'中古車掲載'!AL330=1),'中古車掲載'!U330,"")</x:f>
      </x:c>
      <x:c r="BA329" s="3" t="str">
        <x:f>IF(AND('中古車掲載'!C330="One2car",'中古車掲載'!F330="Corolla Cross",'中古車掲載'!L330="HEV PREMIUM SAFETY",'中古車掲載'!J330=2023,ISNUMBER('中古車掲載'!N330),'中古車掲載'!N330&gt;=20000,'中古車掲載'!O330&lt;=100000,'中古車掲載'!AL330=1,'中古車掲載'!Z330="https://www.one2car.com/en/cars-for-sale/toyota/corolla-cross/year-2023"),'中古車掲載'!U330,"")</x:f>
      </x:c>
      <x:c r="BB329" s="3" t="str">
        <x:f>IF(AND('中古車掲載'!C330="One2car",'中古車掲載'!F330="ATTO 3",'中古車掲載'!L330="EXTENDED RANGE",'中古車掲載'!J330=2023,ISNUMBER('中古車掲載'!N330),'中古車掲載'!N330&gt;=50000,'中古車掲載'!O330&lt;=100000,'中古車掲載'!AL330=1),'中古車掲載'!U330,"")</x:f>
      </x:c>
      <x:c r="BC329" s="3" t="str">
        <x:f>IF(AND('中古車掲載'!C330="One2car",'中古車掲載'!F330="Corolla Cross",'中古車掲載'!L330="HEV PREMIUM SAFETY",'中古車掲載'!J330=2023,ISNUMBER('中古車掲載'!N330),'中古車掲載'!N330&gt;=50000,'中古車掲載'!O330&lt;=100000,'中古車掲載'!AL330=1,'中古車掲載'!Z330="https://www.one2car.com/en/cars-for-sale/toyota/corolla-cross/year-2023"),'中古車掲載'!U330,"")</x:f>
      </x:c>
      <x:c r="BD329" s="3" t="str">
        <x:f>IF(AND('中古車掲載'!C330="One2car",'中古車掲載'!F330="ATTO 3",'中古車掲載'!L330="EXTENDED RANGE",'中古車掲載'!J330=2023,ISNUMBER('中古車掲載'!N330),'中古車掲載'!N330&gt;=20000,'中古車掲載'!O330&lt;=50000,'中古車掲載'!AL330=1),'中古車掲載'!U330,"")</x:f>
      </x:c>
      <x:c r="BE329" s="3" t="str">
        <x:f>IF(AND('中古車掲載'!C330="One2car",'中古車掲載'!F330="Corolla Cross",'中古車掲載'!L330="HEV PREMIUM SAFETY",'中古車掲載'!J330=2023,ISNUMBER('中古車掲載'!N330),'中古車掲載'!N330&gt;=20000,'中古車掲載'!O330&lt;=50000,'中古車掲載'!AL330=1,'中古車掲載'!Z330="https://www.one2car.com/en/cars-for-sale/toyota/corolla-cross/year-2023"),'中古車掲載'!U330,"")</x:f>
      </x:c>
      <x:c r="BF329" s="3" t="str">
        <x:f>IF(AND('中古車掲載'!C330="One2car",'中古車掲載'!F330="Corolla Cross",'中古車掲載'!L330="HEV PREMIUM",'中古車掲載'!J330=2023,ISNUMBER('中古車掲載'!N330),'中古車掲載'!N330&gt;=20000,'中古車掲載'!O330&lt;=100000,'中古車掲載'!AL330=1,'中古車掲載'!Z330="https://www.one2car.com/en/cars-for-sale/toyota/corolla-cross/year-2023"),'中古車掲載'!U330,"")</x:f>
      </x:c>
      <x:c r="BG329" s="3" t="str">
        <x:f>IF(AND('中古車掲載'!C330="One2car",'中古車掲載'!F330="Corolla Cross",'中古車掲載'!L330="HEV GR SPORT",'中古車掲載'!J330=2023,ISNUMBER('中古車掲載'!N330),'中古車掲載'!N330&gt;=20000,'中古車掲載'!O330&lt;=100000,'中古車掲載'!AL330=1,'中古車掲載'!Z330="https://www.one2car.com/en/cars-for-sale/toyota/corolla-cross/year-2023"),'中古車掲載'!U330,"")</x:f>
      </x:c>
      <x:c r="BH329" s="3" t="str">
        <x:f>IF(AND('中古車掲載'!C330="One2car",'中古車掲載'!F330="DOLPHIN",'中古車掲載'!L330="STANDARD RANGE",'中古車掲載'!J330=2023,ISNUMBER('中古車掲載'!N330),'中古車掲載'!N330&gt;=20000,'中古車掲載'!O330&lt;=100000,'中古車掲載'!AL330=1),'中古車掲載'!U330,"")</x:f>
      </x:c>
      <x:c r="BI329" s="3" t="str">
        <x:v>Taladrod|Corolla Cross|HEV|Unknown</x:v>
      </x:c>
      <x:c r="BJ329" s="3" t="n">
        <x:v>330</x:v>
      </x:c>
      <x:c r="BK329" s="3" t="n">
        <x:f>'中古車掲載'!AM330</x:f>
        <x:v>699000</x:v>
      </x:c>
      <x:c r="BL329" s="3" t="str">
        <x:f>IF(ISNUMBER('中古車掲載'!AN330),'中古車掲載'!AN330,"")</x:f>
      </x:c>
      <x:c r="BM329" s="3"/>
      <x:c r="BN329" s="3"/>
      <x:c r="BO329" s="3"/>
      <x:c r="BP329" s="3"/>
      <x:c r="BQ329" s="3"/>
      <x:c r="BR329" s="3"/>
    </x:row>
    <x:row r="330" ht="22" customHeight="1">
      <x:c r="A330" s="3" t="str">
        <x:v>DOLPHIN</x:v>
      </x:c>
      <x:c r="B330" s="3" t="str">
        <x:v>BEV</x:v>
      </x:c>
      <x:c r="C330" s="3" t="str">
        <x:v>One2car</x:v>
      </x:c>
      <x:c r="D330" s="3" t="str">
        <x:v>Hatchback</x:v>
      </x:c>
      <x:c r="E330" s="3" t="str"/>
      <x:c r="F330" s="3" t="n">
        <x:v>2023</x:v>
      </x:c>
      <x:c r="G330" s="3" t="str">
        <x:v>STANDARD RANGE</x:v>
      </x:c>
      <x:c r="H330" s="3" t="str">
        <x:v>100–150千km</x:v>
      </x:c>
      <x:c r="I330" s="3" t="str">
        <x:v>世代不明</x:v>
      </x:c>
      <x:c r="J330" s="22" t="n">
        <x:f>COUNT('中古車掲載'!AM86:AM88)</x:f>
        <x:v>3</x:v>
      </x:c>
      <x:c r="K330" s="22" t="n">
        <x:f>IF(COUNT('中古車掲載'!AM86:AM88)=0,"",QUARTILE('中古車掲載'!AM86:AM88,1))</x:f>
        <x:v>294000</x:v>
      </x:c>
      <x:c r="L330" s="22" t="n">
        <x:f>IF(COUNT('中古車掲載'!AM86:AM88)=0,"",MEDIAN('中古車掲載'!AM86:AM88))</x:f>
        <x:v>299000</x:v>
      </x:c>
      <x:c r="M330" s="22" t="n">
        <x:f>IF(COUNT('中古車掲載'!AM86:AM88)=0,"",QUARTILE('中古車掲載'!AM86:AM88,3))</x:f>
        <x:v>304000</x:v>
      </x:c>
      <x:c r="N330" s="22" t="n">
        <x:f>COUNT('中古車掲載'!AN86:AN88)</x:f>
        <x:v>3</x:v>
      </x:c>
      <x:c r="O330" s="23" t="n">
        <x:f>IF(COUNT('中古車掲載'!AN86:AN88)=0,"",MEDIAN('中古車掲載'!AN86:AN88))</x:f>
        <x:v>0.4271434673478105</x:v>
      </x:c>
      <x:c r="P330" s="3"/>
      <x:c r="Q330" s="3"/>
      <x:c r="R330" s="3"/>
      <x:c r="S330" s="3"/>
      <x:c r="T330" s="3"/>
      <x:c r="U330" s="3"/>
      <x:c r="V330" s="3"/>
      <x:c r="W330" s="3"/>
      <x:c r="X330" s="3"/>
      <x:c r="Y330" s="3"/>
      <x:c r="Z330" s="3"/>
      <x:c r="AA330" s="3"/>
      <x:c r="AB330" s="3"/>
      <x:c r="AC330" s="3"/>
      <x:c r="AD330" s="3"/>
      <x:c r="AE330" s="3"/>
      <x:c r="AF330" s="3"/>
      <x:c r="AG330" s="3"/>
      <x:c r="AH330" s="3"/>
      <x:c r="AI330" s="3"/>
      <x:c r="AJ330" s="3"/>
      <x:c r="AK330" s="3"/>
      <x:c r="AL330" s="3"/>
      <x:c r="AM330" s="3"/>
      <x:c r="AN330" s="3"/>
      <x:c r="AO330" s="3"/>
      <x:c r="AP330" s="3"/>
      <x:c r="AQ330" s="3"/>
      <x:c r="AR330" s="3"/>
      <x:c r="AS330" s="3"/>
      <x:c r="AT330" s="3"/>
      <x:c r="AU330" s="3"/>
      <x:c r="AV330" s="3"/>
      <x:c r="AW330" s="3"/>
      <x:c r="AX330" s="3"/>
      <x:c r="AY330" s="3"/>
      <x:c r="AZ330" s="3" t="str">
        <x:f>IF(AND('中古車掲載'!C331="One2car",'中古車掲載'!F331="ATTO 3",'中古車掲載'!L331="EXTENDED RANGE",'中古車掲載'!J331=2023,ISNUMBER('中古車掲載'!N331),'中古車掲載'!N331&gt;=20000,'中古車掲載'!O331&lt;=100000,'中古車掲載'!AL331=1),'中古車掲載'!U331,"")</x:f>
      </x:c>
      <x:c r="BA330" s="3" t="str">
        <x:f>IF(AND('中古車掲載'!C331="One2car",'中古車掲載'!F331="Corolla Cross",'中古車掲載'!L331="HEV PREMIUM SAFETY",'中古車掲載'!J331=2023,ISNUMBER('中古車掲載'!N331),'中古車掲載'!N331&gt;=20000,'中古車掲載'!O331&lt;=100000,'中古車掲載'!AL331=1,'中古車掲載'!Z331="https://www.one2car.com/en/cars-for-sale/toyota/corolla-cross/year-2023"),'中古車掲載'!U331,"")</x:f>
      </x:c>
      <x:c r="BB330" s="3" t="str">
        <x:f>IF(AND('中古車掲載'!C331="One2car",'中古車掲載'!F331="ATTO 3",'中古車掲載'!L331="EXTENDED RANGE",'中古車掲載'!J331=2023,ISNUMBER('中古車掲載'!N331),'中古車掲載'!N331&gt;=50000,'中古車掲載'!O331&lt;=100000,'中古車掲載'!AL331=1),'中古車掲載'!U331,"")</x:f>
      </x:c>
      <x:c r="BC330" s="3" t="str">
        <x:f>IF(AND('中古車掲載'!C331="One2car",'中古車掲載'!F331="Corolla Cross",'中古車掲載'!L331="HEV PREMIUM SAFETY",'中古車掲載'!J331=2023,ISNUMBER('中古車掲載'!N331),'中古車掲載'!N331&gt;=50000,'中古車掲載'!O331&lt;=100000,'中古車掲載'!AL331=1,'中古車掲載'!Z331="https://www.one2car.com/en/cars-for-sale/toyota/corolla-cross/year-2023"),'中古車掲載'!U331,"")</x:f>
      </x:c>
      <x:c r="BD330" s="3" t="str">
        <x:f>IF(AND('中古車掲載'!C331="One2car",'中古車掲載'!F331="ATTO 3",'中古車掲載'!L331="EXTENDED RANGE",'中古車掲載'!J331=2023,ISNUMBER('中古車掲載'!N331),'中古車掲載'!N331&gt;=20000,'中古車掲載'!O331&lt;=50000,'中古車掲載'!AL331=1),'中古車掲載'!U331,"")</x:f>
      </x:c>
      <x:c r="BE330" s="3" t="str">
        <x:f>IF(AND('中古車掲載'!C331="One2car",'中古車掲載'!F331="Corolla Cross",'中古車掲載'!L331="HEV PREMIUM SAFETY",'中古車掲載'!J331=2023,ISNUMBER('中古車掲載'!N331),'中古車掲載'!N331&gt;=20000,'中古車掲載'!O331&lt;=50000,'中古車掲載'!AL331=1,'中古車掲載'!Z331="https://www.one2car.com/en/cars-for-sale/toyota/corolla-cross/year-2023"),'中古車掲載'!U331,"")</x:f>
      </x:c>
      <x:c r="BF330" s="3" t="str">
        <x:f>IF(AND('中古車掲載'!C331="One2car",'中古車掲載'!F331="Corolla Cross",'中古車掲載'!L331="HEV PREMIUM",'中古車掲載'!J331=2023,ISNUMBER('中古車掲載'!N331),'中古車掲載'!N331&gt;=20000,'中古車掲載'!O331&lt;=100000,'中古車掲載'!AL331=1,'中古車掲載'!Z331="https://www.one2car.com/en/cars-for-sale/toyota/corolla-cross/year-2023"),'中古車掲載'!U331,"")</x:f>
      </x:c>
      <x:c r="BG330" s="3" t="str">
        <x:f>IF(AND('中古車掲載'!C331="One2car",'中古車掲載'!F331="Corolla Cross",'中古車掲載'!L331="HEV GR SPORT",'中古車掲載'!J331=2023,ISNUMBER('中古車掲載'!N331),'中古車掲載'!N331&gt;=20000,'中古車掲載'!O331&lt;=100000,'中古車掲載'!AL331=1,'中古車掲載'!Z331="https://www.one2car.com/en/cars-for-sale/toyota/corolla-cross/year-2023"),'中古車掲載'!U331,"")</x:f>
      </x:c>
      <x:c r="BH330" s="3" t="str">
        <x:f>IF(AND('中古車掲載'!C331="One2car",'中古車掲載'!F331="DOLPHIN",'中古車掲載'!L331="STANDARD RANGE",'中古車掲載'!J331=2023,ISNUMBER('中古車掲載'!N331),'中古車掲載'!N331&gt;=20000,'中古車掲載'!O331&lt;=100000,'中古車掲載'!AL331=1),'中古車掲載'!U331,"")</x:f>
      </x:c>
      <x:c r="BI330" s="3" t="str">
        <x:v>Taladrod|Corolla Cross|HEV|Unknown</x:v>
      </x:c>
      <x:c r="BJ330" s="3" t="n">
        <x:v>331</x:v>
      </x:c>
      <x:c r="BK330" s="3" t="n">
        <x:f>'中古車掲載'!AM331</x:f>
        <x:v>639000</x:v>
      </x:c>
      <x:c r="BL330" s="3" t="str">
        <x:f>IF(ISNUMBER('中古車掲載'!AN331),'中古車掲載'!AN331,"")</x:f>
      </x:c>
      <x:c r="BM330" s="3"/>
      <x:c r="BN330" s="3"/>
      <x:c r="BO330" s="3"/>
      <x:c r="BP330" s="3"/>
      <x:c r="BQ330" s="3"/>
      <x:c r="BR330" s="3"/>
    </x:row>
    <x:row r="331" ht="22" customHeight="1">
      <x:c r="A331" s="3" t="str">
        <x:v>DOLPHIN</x:v>
      </x:c>
      <x:c r="B331" s="3" t="str">
        <x:v>BEV</x:v>
      </x:c>
      <x:c r="C331" s="3" t="str">
        <x:v>One2car</x:v>
      </x:c>
      <x:c r="D331" s="3" t="str">
        <x:v>Hatchback</x:v>
      </x:c>
      <x:c r="E331" s="3" t="str"/>
      <x:c r="F331" s="3" t="n">
        <x:v>2023</x:v>
      </x:c>
      <x:c r="G331" s="3" t="str">
        <x:v>STANDARD RANGE</x:v>
      </x:c>
      <x:c r="H331" s="3" t="str">
        <x:v>50–100千km</x:v>
      </x:c>
      <x:c r="I331" s="3" t="str">
        <x:v>世代不明</x:v>
      </x:c>
      <x:c r="J331" s="22" t="n">
        <x:f>COUNT('中古車掲載'!AM89:AM91)</x:f>
        <x:v>3</x:v>
      </x:c>
      <x:c r="K331" s="22" t="n">
        <x:f>IF(COUNT('中古車掲載'!AM89:AM91)=0,"",QUARTILE('中古車掲載'!AM89:AM91,1))</x:f>
        <x:v>332000</x:v>
      </x:c>
      <x:c r="L331" s="22" t="n">
        <x:f>IF(COUNT('中古車掲載'!AM89:AM91)=0,"",MEDIAN('中古車掲載'!AM89:AM91))</x:f>
        <x:v>345000</x:v>
      </x:c>
      <x:c r="M331" s="22" t="n">
        <x:f>IF(COUNT('中古車掲載'!AM89:AM91)=0,"",QUARTILE('中古車掲載'!AM89:AM91,3))</x:f>
        <x:v>345750</x:v>
      </x:c>
      <x:c r="N331" s="22" t="n">
        <x:f>COUNT('中古車掲載'!AN89:AN91)</x:f>
        <x:v>3</x:v>
      </x:c>
      <x:c r="O331" s="23" t="n">
        <x:f>IF(COUNT('中古車掲載'!AN89:AN91)=0,"",MEDIAN('中古車掲載'!AN89:AN91))</x:f>
        <x:v>0.49285784693978135</x:v>
      </x:c>
      <x:c r="P331" s="3"/>
      <x:c r="Q331" s="3"/>
      <x:c r="R331" s="3"/>
      <x:c r="S331" s="3"/>
      <x:c r="T331" s="3"/>
      <x:c r="U331" s="3"/>
      <x:c r="V331" s="3"/>
      <x:c r="W331" s="3"/>
      <x:c r="X331" s="3"/>
      <x:c r="Y331" s="3"/>
      <x:c r="Z331" s="3"/>
      <x:c r="AA331" s="3"/>
      <x:c r="AB331" s="3"/>
      <x:c r="AC331" s="3"/>
      <x:c r="AD331" s="3"/>
      <x:c r="AE331" s="3"/>
      <x:c r="AF331" s="3"/>
      <x:c r="AG331" s="3"/>
      <x:c r="AH331" s="3"/>
      <x:c r="AI331" s="3"/>
      <x:c r="AJ331" s="3"/>
      <x:c r="AK331" s="3"/>
      <x:c r="AL331" s="3"/>
      <x:c r="AM331" s="3"/>
      <x:c r="AN331" s="3"/>
      <x:c r="AO331" s="3"/>
      <x:c r="AP331" s="3"/>
      <x:c r="AQ331" s="3"/>
      <x:c r="AR331" s="3"/>
      <x:c r="AS331" s="3"/>
      <x:c r="AT331" s="3"/>
      <x:c r="AU331" s="3"/>
      <x:c r="AV331" s="3"/>
      <x:c r="AW331" s="3"/>
      <x:c r="AX331" s="3"/>
      <x:c r="AY331" s="3"/>
      <x:c r="AZ331" s="3" t="str">
        <x:f>IF(AND('中古車掲載'!C332="One2car",'中古車掲載'!F332="ATTO 3",'中古車掲載'!L332="EXTENDED RANGE",'中古車掲載'!J332=2023,ISNUMBER('中古車掲載'!N332),'中古車掲載'!N332&gt;=20000,'中古車掲載'!O332&lt;=100000,'中古車掲載'!AL332=1),'中古車掲載'!U332,"")</x:f>
      </x:c>
      <x:c r="BA331" s="3" t="str">
        <x:f>IF(AND('中古車掲載'!C332="One2car",'中古車掲載'!F332="Corolla Cross",'中古車掲載'!L332="HEV PREMIUM SAFETY",'中古車掲載'!J332=2023,ISNUMBER('中古車掲載'!N332),'中古車掲載'!N332&gt;=20000,'中古車掲載'!O332&lt;=100000,'中古車掲載'!AL332=1,'中古車掲載'!Z332="https://www.one2car.com/en/cars-for-sale/toyota/corolla-cross/year-2023"),'中古車掲載'!U332,"")</x:f>
      </x:c>
      <x:c r="BB331" s="3" t="str">
        <x:f>IF(AND('中古車掲載'!C332="One2car",'中古車掲載'!F332="ATTO 3",'中古車掲載'!L332="EXTENDED RANGE",'中古車掲載'!J332=2023,ISNUMBER('中古車掲載'!N332),'中古車掲載'!N332&gt;=50000,'中古車掲載'!O332&lt;=100000,'中古車掲載'!AL332=1),'中古車掲載'!U332,"")</x:f>
      </x:c>
      <x:c r="BC331" s="3" t="str">
        <x:f>IF(AND('中古車掲載'!C332="One2car",'中古車掲載'!F332="Corolla Cross",'中古車掲載'!L332="HEV PREMIUM SAFETY",'中古車掲載'!J332=2023,ISNUMBER('中古車掲載'!N332),'中古車掲載'!N332&gt;=50000,'中古車掲載'!O332&lt;=100000,'中古車掲載'!AL332=1,'中古車掲載'!Z332="https://www.one2car.com/en/cars-for-sale/toyota/corolla-cross/year-2023"),'中古車掲載'!U332,"")</x:f>
      </x:c>
      <x:c r="BD331" s="3" t="str">
        <x:f>IF(AND('中古車掲載'!C332="One2car",'中古車掲載'!F332="ATTO 3",'中古車掲載'!L332="EXTENDED RANGE",'中古車掲載'!J332=2023,ISNUMBER('中古車掲載'!N332),'中古車掲載'!N332&gt;=20000,'中古車掲載'!O332&lt;=50000,'中古車掲載'!AL332=1),'中古車掲載'!U332,"")</x:f>
      </x:c>
      <x:c r="BE331" s="3" t="str">
        <x:f>IF(AND('中古車掲載'!C332="One2car",'中古車掲載'!F332="Corolla Cross",'中古車掲載'!L332="HEV PREMIUM SAFETY",'中古車掲載'!J332=2023,ISNUMBER('中古車掲載'!N332),'中古車掲載'!N332&gt;=20000,'中古車掲載'!O332&lt;=50000,'中古車掲載'!AL332=1,'中古車掲載'!Z332="https://www.one2car.com/en/cars-for-sale/toyota/corolla-cross/year-2023"),'中古車掲載'!U332,"")</x:f>
      </x:c>
      <x:c r="BF331" s="3" t="str">
        <x:f>IF(AND('中古車掲載'!C332="One2car",'中古車掲載'!F332="Corolla Cross",'中古車掲載'!L332="HEV PREMIUM",'中古車掲載'!J332=2023,ISNUMBER('中古車掲載'!N332),'中古車掲載'!N332&gt;=20000,'中古車掲載'!O332&lt;=100000,'中古車掲載'!AL332=1,'中古車掲載'!Z332="https://www.one2car.com/en/cars-for-sale/toyota/corolla-cross/year-2023"),'中古車掲載'!U332,"")</x:f>
      </x:c>
      <x:c r="BG331" s="3" t="str">
        <x:f>IF(AND('中古車掲載'!C332="One2car",'中古車掲載'!F332="Corolla Cross",'中古車掲載'!L332="HEV GR SPORT",'中古車掲載'!J332=2023,ISNUMBER('中古車掲載'!N332),'中古車掲載'!N332&gt;=20000,'中古車掲載'!O332&lt;=100000,'中古車掲載'!AL332=1,'中古車掲載'!Z332="https://www.one2car.com/en/cars-for-sale/toyota/corolla-cross/year-2023"),'中古車掲載'!U332,"")</x:f>
      </x:c>
      <x:c r="BH331" s="3" t="str">
        <x:f>IF(AND('中古車掲載'!C332="One2car",'中古車掲載'!F332="DOLPHIN",'中古車掲載'!L332="STANDARD RANGE",'中古車掲載'!J332=2023,ISNUMBER('中古車掲載'!N332),'中古車掲載'!N332&gt;=20000,'中古車掲載'!O332&lt;=100000,'中古車掲載'!AL332=1),'中古車掲載'!U332,"")</x:f>
      </x:c>
      <x:c r="BI331" s="3" t="str">
        <x:v>Taladrod|Corolla Cross|HEV|Unknown</x:v>
      </x:c>
      <x:c r="BJ331" s="3" t="n">
        <x:v>332</x:v>
      </x:c>
      <x:c r="BK331" s="3" t="n">
        <x:f>'中古車掲載'!AM332</x:f>
        <x:v>950000</x:v>
      </x:c>
      <x:c r="BL331" s="3" t="str">
        <x:f>IF(ISNUMBER('中古車掲載'!AN332),'中古車掲載'!AN332,"")</x:f>
      </x:c>
      <x:c r="BM331" s="3"/>
      <x:c r="BN331" s="3"/>
      <x:c r="BO331" s="3"/>
      <x:c r="BP331" s="3"/>
      <x:c r="BQ331" s="3"/>
      <x:c r="BR331" s="3"/>
    </x:row>
    <x:row r="332" ht="22" customHeight="1">
      <x:c r="A332" s="3" t="str">
        <x:v>DOLPHIN</x:v>
      </x:c>
      <x:c r="B332" s="3" t="str">
        <x:v>BEV</x:v>
      </x:c>
      <x:c r="C332" s="3" t="str">
        <x:v>One2car</x:v>
      </x:c>
      <x:c r="D332" s="3" t="str">
        <x:v>Hatchback</x:v>
      </x:c>
      <x:c r="E332" s="3" t="str"/>
      <x:c r="F332" s="3" t="n">
        <x:v>2024</x:v>
      </x:c>
      <x:c r="G332" s="3" t="str">
        <x:v>EXTENDED RANGE</x:v>
      </x:c>
      <x:c r="H332" s="3" t="str">
        <x:v>50–100千km</x:v>
      </x:c>
      <x:c r="I332" s="3" t="str">
        <x:v>世代不明</x:v>
      </x:c>
      <x:c r="J332" s="22" t="n">
        <x:f>COUNT('中古車掲載'!AM92:AM97)</x:f>
        <x:v>6</x:v>
      </x:c>
      <x:c r="K332" s="22" t="n">
        <x:f>IF(COUNT('中古車掲載'!AM92:AM97)=0,"",QUARTILE('中古車掲載'!AM92:AM97,1))</x:f>
        <x:v>386000</x:v>
      </x:c>
      <x:c r="L332" s="22" t="n">
        <x:f>IF(COUNT('中古車掲載'!AM92:AM97)=0,"",MEDIAN('中古車掲載'!AM92:AM97))</x:f>
        <x:v>442000</x:v>
      </x:c>
      <x:c r="M332" s="22" t="n">
        <x:f>IF(COUNT('中古車掲載'!AM92:AM97)=0,"",QUARTILE('中古車掲載'!AM92:AM97,3))</x:f>
        <x:v>447000</x:v>
      </x:c>
      <x:c r="N332" s="22" t="n">
        <x:f>COUNT('中古車掲載'!AN92:AN97)</x:f>
        <x:v>0</x:v>
      </x:c>
      <x:c r="O332" s="23" t="str">
        <x:f>IF(COUNT('中古車掲載'!AN92:AN97)=0,"",MEDIAN('中古車掲載'!AN92:AN97))</x:f>
      </x:c>
      <x:c r="P332" s="3"/>
      <x:c r="Q332" s="3"/>
      <x:c r="R332" s="3"/>
      <x:c r="S332" s="3"/>
      <x:c r="T332" s="3"/>
      <x:c r="U332" s="3"/>
      <x:c r="V332" s="3"/>
      <x:c r="W332" s="3"/>
      <x:c r="X332" s="3"/>
      <x:c r="Y332" s="3"/>
      <x:c r="Z332" s="3"/>
      <x:c r="AA332" s="3"/>
      <x:c r="AB332" s="3"/>
      <x:c r="AC332" s="3"/>
      <x:c r="AD332" s="3"/>
      <x:c r="AE332" s="3"/>
      <x:c r="AF332" s="3"/>
      <x:c r="AG332" s="3"/>
      <x:c r="AH332" s="3"/>
      <x:c r="AI332" s="3"/>
      <x:c r="AJ332" s="3"/>
      <x:c r="AK332" s="3"/>
      <x:c r="AL332" s="3"/>
      <x:c r="AM332" s="3"/>
      <x:c r="AN332" s="3"/>
      <x:c r="AO332" s="3"/>
      <x:c r="AP332" s="3"/>
      <x:c r="AQ332" s="3"/>
      <x:c r="AR332" s="3"/>
      <x:c r="AS332" s="3"/>
      <x:c r="AT332" s="3"/>
      <x:c r="AU332" s="3"/>
      <x:c r="AV332" s="3"/>
      <x:c r="AW332" s="3"/>
      <x:c r="AX332" s="3"/>
      <x:c r="AY332" s="3"/>
      <x:c r="AZ332" s="3" t="str">
        <x:f>IF(AND('中古車掲載'!C333="One2car",'中古車掲載'!F333="ATTO 3",'中古車掲載'!L333="EXTENDED RANGE",'中古車掲載'!J333=2023,ISNUMBER('中古車掲載'!N333),'中古車掲載'!N333&gt;=20000,'中古車掲載'!O333&lt;=100000,'中古車掲載'!AL333=1),'中古車掲載'!U333,"")</x:f>
      </x:c>
      <x:c r="BA332" s="3" t="str">
        <x:f>IF(AND('中古車掲載'!C333="One2car",'中古車掲載'!F333="Corolla Cross",'中古車掲載'!L333="HEV PREMIUM SAFETY",'中古車掲載'!J333=2023,ISNUMBER('中古車掲載'!N333),'中古車掲載'!N333&gt;=20000,'中古車掲載'!O333&lt;=100000,'中古車掲載'!AL333=1,'中古車掲載'!Z333="https://www.one2car.com/en/cars-for-sale/toyota/corolla-cross/year-2023"),'中古車掲載'!U333,"")</x:f>
      </x:c>
      <x:c r="BB332" s="3" t="str">
        <x:f>IF(AND('中古車掲載'!C333="One2car",'中古車掲載'!F333="ATTO 3",'中古車掲載'!L333="EXTENDED RANGE",'中古車掲載'!J333=2023,ISNUMBER('中古車掲載'!N333),'中古車掲載'!N333&gt;=50000,'中古車掲載'!O333&lt;=100000,'中古車掲載'!AL333=1),'中古車掲載'!U333,"")</x:f>
      </x:c>
      <x:c r="BC332" s="3" t="str">
        <x:f>IF(AND('中古車掲載'!C333="One2car",'中古車掲載'!F333="Corolla Cross",'中古車掲載'!L333="HEV PREMIUM SAFETY",'中古車掲載'!J333=2023,ISNUMBER('中古車掲載'!N333),'中古車掲載'!N333&gt;=50000,'中古車掲載'!O333&lt;=100000,'中古車掲載'!AL333=1,'中古車掲載'!Z333="https://www.one2car.com/en/cars-for-sale/toyota/corolla-cross/year-2023"),'中古車掲載'!U333,"")</x:f>
      </x:c>
      <x:c r="BD332" s="3" t="str">
        <x:f>IF(AND('中古車掲載'!C333="One2car",'中古車掲載'!F333="ATTO 3",'中古車掲載'!L333="EXTENDED RANGE",'中古車掲載'!J333=2023,ISNUMBER('中古車掲載'!N333),'中古車掲載'!N333&gt;=20000,'中古車掲載'!O333&lt;=50000,'中古車掲載'!AL333=1),'中古車掲載'!U333,"")</x:f>
      </x:c>
      <x:c r="BE332" s="3" t="str">
        <x:f>IF(AND('中古車掲載'!C333="One2car",'中古車掲載'!F333="Corolla Cross",'中古車掲載'!L333="HEV PREMIUM SAFETY",'中古車掲載'!J333=2023,ISNUMBER('中古車掲載'!N333),'中古車掲載'!N333&gt;=20000,'中古車掲載'!O333&lt;=50000,'中古車掲載'!AL333=1,'中古車掲載'!Z333="https://www.one2car.com/en/cars-for-sale/toyota/corolla-cross/year-2023"),'中古車掲載'!U333,"")</x:f>
      </x:c>
      <x:c r="BF332" s="3" t="str">
        <x:f>IF(AND('中古車掲載'!C333="One2car",'中古車掲載'!F333="Corolla Cross",'中古車掲載'!L333="HEV PREMIUM",'中古車掲載'!J333=2023,ISNUMBER('中古車掲載'!N333),'中古車掲載'!N333&gt;=20000,'中古車掲載'!O333&lt;=100000,'中古車掲載'!AL333=1,'中古車掲載'!Z333="https://www.one2car.com/en/cars-for-sale/toyota/corolla-cross/year-2023"),'中古車掲載'!U333,"")</x:f>
      </x:c>
      <x:c r="BG332" s="3" t="str">
        <x:f>IF(AND('中古車掲載'!C333="One2car",'中古車掲載'!F333="Corolla Cross",'中古車掲載'!L333="HEV GR SPORT",'中古車掲載'!J333=2023,ISNUMBER('中古車掲載'!N333),'中古車掲載'!N333&gt;=20000,'中古車掲載'!O333&lt;=100000,'中古車掲載'!AL333=1,'中古車掲載'!Z333="https://www.one2car.com/en/cars-for-sale/toyota/corolla-cross/year-2023"),'中古車掲載'!U333,"")</x:f>
      </x:c>
      <x:c r="BH332" s="3" t="str">
        <x:f>IF(AND('中古車掲載'!C333="One2car",'中古車掲載'!F333="DOLPHIN",'中古車掲載'!L333="STANDARD RANGE",'中古車掲載'!J333=2023,ISNUMBER('中古車掲載'!N333),'中古車掲載'!N333&gt;=20000,'中古車掲載'!O333&lt;=100000,'中古車掲載'!AL333=1),'中古車掲載'!U333,"")</x:f>
      </x:c>
      <x:c r="BI332" s="3" t="str">
        <x:v>Taladrod|Corolla Cross|HEV|Unknown</x:v>
      </x:c>
      <x:c r="BJ332" s="3" t="n">
        <x:v>333</x:v>
      </x:c>
      <x:c r="BK332" s="3" t="n">
        <x:f>'中古車掲載'!AM333</x:f>
        <x:v>559000</x:v>
      </x:c>
      <x:c r="BL332" s="3" t="str">
        <x:f>IF(ISNUMBER('中古車掲載'!AN333),'中古車掲載'!AN333,"")</x:f>
      </x:c>
      <x:c r="BM332" s="3"/>
      <x:c r="BN332" s="3"/>
      <x:c r="BO332" s="3"/>
      <x:c r="BP332" s="3"/>
      <x:c r="BQ332" s="3"/>
      <x:c r="BR332" s="3"/>
    </x:row>
    <x:row r="333" ht="22" customHeight="1">
      <x:c r="A333" s="3" t="str">
        <x:v>DOLPHIN</x:v>
      </x:c>
      <x:c r="B333" s="3" t="str">
        <x:v>BEV</x:v>
      </x:c>
      <x:c r="C333" s="3" t="str">
        <x:v>One2car</x:v>
      </x:c>
      <x:c r="D333" s="3" t="str">
        <x:v>Hatchback</x:v>
      </x:c>
      <x:c r="E333" s="3" t="str"/>
      <x:c r="F333" s="3" t="n">
        <x:v>2025</x:v>
      </x:c>
      <x:c r="G333" s="3" t="str">
        <x:v>STANDARD RANGE</x:v>
      </x:c>
      <x:c r="H333" s="3" t="str">
        <x:v>境界を跨ぐ表示レンジ</x:v>
      </x:c>
      <x:c r="I333" s="3" t="str">
        <x:v>世代不明</x:v>
      </x:c>
      <x:c r="J333" s="22" t="n">
        <x:f>COUNT('中古車掲載'!AM98:AM98)</x:f>
        <x:v>1</x:v>
      </x:c>
      <x:c r="K333" s="22" t="n">
        <x:f>IF(COUNT('中古車掲載'!AM98:AM98)=0,"",QUARTILE('中古車掲載'!AM98:AM98,1))</x:f>
        <x:v>447000</x:v>
      </x:c>
      <x:c r="L333" s="22" t="n">
        <x:f>IF(COUNT('中古車掲載'!AM98:AM98)=0,"",MEDIAN('中古車掲載'!AM98:AM98))</x:f>
        <x:v>447000</x:v>
      </x:c>
      <x:c r="M333" s="22" t="n">
        <x:f>IF(COUNT('中古車掲載'!AM98:AM98)=0,"",QUARTILE('中古車掲載'!AM98:AM98,3))</x:f>
        <x:v>447000</x:v>
      </x:c>
      <x:c r="N333" s="22" t="n">
        <x:f>COUNT('中古車掲載'!AN98:AN98)</x:f>
        <x:v>0</x:v>
      </x:c>
      <x:c r="O333" s="23" t="str">
        <x:f>IF(COUNT('中古車掲載'!AN98:AN98)=0,"",MEDIAN('中古車掲載'!AN98:AN98))</x:f>
      </x:c>
      <x:c r="P333" s="3"/>
      <x:c r="Q333" s="3"/>
      <x:c r="R333" s="3"/>
      <x:c r="S333" s="3"/>
      <x:c r="T333" s="3"/>
      <x:c r="U333" s="3"/>
      <x:c r="V333" s="3"/>
      <x:c r="W333" s="3"/>
      <x:c r="X333" s="3"/>
      <x:c r="Y333" s="3"/>
      <x:c r="Z333" s="3"/>
      <x:c r="AA333" s="3"/>
      <x:c r="AB333" s="3"/>
      <x:c r="AC333" s="3"/>
      <x:c r="AD333" s="3"/>
      <x:c r="AE333" s="3"/>
      <x:c r="AF333" s="3"/>
      <x:c r="AG333" s="3"/>
      <x:c r="AH333" s="3"/>
      <x:c r="AI333" s="3"/>
      <x:c r="AJ333" s="3"/>
      <x:c r="AK333" s="3"/>
      <x:c r="AL333" s="3"/>
      <x:c r="AM333" s="3"/>
      <x:c r="AN333" s="3"/>
      <x:c r="AO333" s="3"/>
      <x:c r="AP333" s="3"/>
      <x:c r="AQ333" s="3"/>
      <x:c r="AR333" s="3"/>
      <x:c r="AS333" s="3"/>
      <x:c r="AT333" s="3"/>
      <x:c r="AU333" s="3"/>
      <x:c r="AV333" s="3"/>
      <x:c r="AW333" s="3"/>
      <x:c r="AX333" s="3"/>
      <x:c r="AY333" s="3"/>
      <x:c r="AZ333" s="3" t="str">
        <x:f>IF(AND('中古車掲載'!C334="One2car",'中古車掲載'!F334="ATTO 3",'中古車掲載'!L334="EXTENDED RANGE",'中古車掲載'!J334=2023,ISNUMBER('中古車掲載'!N334),'中古車掲載'!N334&gt;=20000,'中古車掲載'!O334&lt;=100000,'中古車掲載'!AL334=1),'中古車掲載'!U334,"")</x:f>
      </x:c>
      <x:c r="BA333" s="3" t="str">
        <x:f>IF(AND('中古車掲載'!C334="One2car",'中古車掲載'!F334="Corolla Cross",'中古車掲載'!L334="HEV PREMIUM SAFETY",'中古車掲載'!J334=2023,ISNUMBER('中古車掲載'!N334),'中古車掲載'!N334&gt;=20000,'中古車掲載'!O334&lt;=100000,'中古車掲載'!AL334=1,'中古車掲載'!Z334="https://www.one2car.com/en/cars-for-sale/toyota/corolla-cross/year-2023"),'中古車掲載'!U334,"")</x:f>
      </x:c>
      <x:c r="BB333" s="3" t="str">
        <x:f>IF(AND('中古車掲載'!C334="One2car",'中古車掲載'!F334="ATTO 3",'中古車掲載'!L334="EXTENDED RANGE",'中古車掲載'!J334=2023,ISNUMBER('中古車掲載'!N334),'中古車掲載'!N334&gt;=50000,'中古車掲載'!O334&lt;=100000,'中古車掲載'!AL334=1),'中古車掲載'!U334,"")</x:f>
      </x:c>
      <x:c r="BC333" s="3" t="str">
        <x:f>IF(AND('中古車掲載'!C334="One2car",'中古車掲載'!F334="Corolla Cross",'中古車掲載'!L334="HEV PREMIUM SAFETY",'中古車掲載'!J334=2023,ISNUMBER('中古車掲載'!N334),'中古車掲載'!N334&gt;=50000,'中古車掲載'!O334&lt;=100000,'中古車掲載'!AL334=1,'中古車掲載'!Z334="https://www.one2car.com/en/cars-for-sale/toyota/corolla-cross/year-2023"),'中古車掲載'!U334,"")</x:f>
      </x:c>
      <x:c r="BD333" s="3" t="str">
        <x:f>IF(AND('中古車掲載'!C334="One2car",'中古車掲載'!F334="ATTO 3",'中古車掲載'!L334="EXTENDED RANGE",'中古車掲載'!J334=2023,ISNUMBER('中古車掲載'!N334),'中古車掲載'!N334&gt;=20000,'中古車掲載'!O334&lt;=50000,'中古車掲載'!AL334=1),'中古車掲載'!U334,"")</x:f>
      </x:c>
      <x:c r="BE333" s="3" t="str">
        <x:f>IF(AND('中古車掲載'!C334="One2car",'中古車掲載'!F334="Corolla Cross",'中古車掲載'!L334="HEV PREMIUM SAFETY",'中古車掲載'!J334=2023,ISNUMBER('中古車掲載'!N334),'中古車掲載'!N334&gt;=20000,'中古車掲載'!O334&lt;=50000,'中古車掲載'!AL334=1,'中古車掲載'!Z334="https://www.one2car.com/en/cars-for-sale/toyota/corolla-cross/year-2023"),'中古車掲載'!U334,"")</x:f>
      </x:c>
      <x:c r="BF333" s="3" t="str">
        <x:f>IF(AND('中古車掲載'!C334="One2car",'中古車掲載'!F334="Corolla Cross",'中古車掲載'!L334="HEV PREMIUM",'中古車掲載'!J334=2023,ISNUMBER('中古車掲載'!N334),'中古車掲載'!N334&gt;=20000,'中古車掲載'!O334&lt;=100000,'中古車掲載'!AL334=1,'中古車掲載'!Z334="https://www.one2car.com/en/cars-for-sale/toyota/corolla-cross/year-2023"),'中古車掲載'!U334,"")</x:f>
      </x:c>
      <x:c r="BG333" s="3" t="str">
        <x:f>IF(AND('中古車掲載'!C334="One2car",'中古車掲載'!F334="Corolla Cross",'中古車掲載'!L334="HEV GR SPORT",'中古車掲載'!J334=2023,ISNUMBER('中古車掲載'!N334),'中古車掲載'!N334&gt;=20000,'中古車掲載'!O334&lt;=100000,'中古車掲載'!AL334=1,'中古車掲載'!Z334="https://www.one2car.com/en/cars-for-sale/toyota/corolla-cross/year-2023"),'中古車掲載'!U334,"")</x:f>
      </x:c>
      <x:c r="BH333" s="3" t="str">
        <x:f>IF(AND('中古車掲載'!C334="One2car",'中古車掲載'!F334="DOLPHIN",'中古車掲載'!L334="STANDARD RANGE",'中古車掲載'!J334=2023,ISNUMBER('中古車掲載'!N334),'中古車掲載'!N334&gt;=20000,'中古車掲載'!O334&lt;=100000,'中古車掲載'!AL334=1),'中古車掲載'!U334,"")</x:f>
      </x:c>
      <x:c r="BI333" s="3" t="str">
        <x:v>Taladrod|Corolla Cross|HEV|Unknown</x:v>
      </x:c>
      <x:c r="BJ333" s="3" t="n">
        <x:v>334</x:v>
      </x:c>
      <x:c r="BK333" s="3" t="n">
        <x:f>'中古車掲載'!AM334</x:f>
        <x:v>579000</x:v>
      </x:c>
      <x:c r="BL333" s="3" t="str">
        <x:f>IF(ISNUMBER('中古車掲載'!AN334),'中古車掲載'!AN334,"")</x:f>
      </x:c>
      <x:c r="BM333" s="3"/>
      <x:c r="BN333" s="3"/>
      <x:c r="BO333" s="3"/>
      <x:c r="BP333" s="3"/>
      <x:c r="BQ333" s="3"/>
      <x:c r="BR333" s="3"/>
    </x:row>
    <x:row r="334" ht="22" customHeight="1">
      <x:c r="A334" s="3" t="str">
        <x:v>DOLPHIN</x:v>
      </x:c>
      <x:c r="B334" s="3" t="str">
        <x:v>BEV</x:v>
      </x:c>
      <x:c r="C334" s="3" t="str">
        <x:v>One2car</x:v>
      </x:c>
      <x:c r="D334" s="3" t="str">
        <x:v>Hatchback</x:v>
      </x:c>
      <x:c r="E334" s="3" t="str"/>
      <x:c r="F334" s="3" t="n">
        <x:v>2026</x:v>
      </x:c>
      <x:c r="G334" s="3" t="str">
        <x:v>EXTENDED RANGE</x:v>
      </x:c>
      <x:c r="H334" s="3" t="str">
        <x:v>50–100千km</x:v>
      </x:c>
      <x:c r="I334" s="3" t="str">
        <x:v>世代不明</x:v>
      </x:c>
      <x:c r="J334" s="22" t="n">
        <x:f>COUNT('中古車掲載'!AM99:AM99)</x:f>
        <x:v>0</x:v>
      </x:c>
      <x:c r="K334" s="22" t="str">
        <x:f>IF(COUNT('中古車掲載'!AM99:AM99)=0,"",QUARTILE('中古車掲載'!AM99:AM99,1))</x:f>
      </x:c>
      <x:c r="L334" s="22" t="str">
        <x:f>IF(COUNT('中古車掲載'!AM99:AM99)=0,"",MEDIAN('中古車掲載'!AM99:AM99))</x:f>
      </x:c>
      <x:c r="M334" s="22" t="str">
        <x:f>IF(COUNT('中古車掲載'!AM99:AM99)=0,"",QUARTILE('中古車掲載'!AM99:AM99,3))</x:f>
      </x:c>
      <x:c r="N334" s="22" t="n">
        <x:f>COUNT('中古車掲載'!AN99:AN99)</x:f>
        <x:v>0</x:v>
      </x:c>
      <x:c r="O334" s="23" t="str">
        <x:f>IF(COUNT('中古車掲載'!AN99:AN99)=0,"",MEDIAN('中古車掲載'!AN99:AN99))</x:f>
      </x:c>
      <x:c r="P334" s="3"/>
      <x:c r="Q334" s="3"/>
      <x:c r="R334" s="3"/>
      <x:c r="S334" s="3"/>
      <x:c r="T334" s="3"/>
      <x:c r="U334" s="3"/>
      <x:c r="V334" s="3"/>
      <x:c r="W334" s="3"/>
      <x:c r="X334" s="3"/>
      <x:c r="Y334" s="3"/>
      <x:c r="Z334" s="3"/>
      <x:c r="AA334" s="3"/>
      <x:c r="AB334" s="3"/>
      <x:c r="AC334" s="3"/>
      <x:c r="AD334" s="3"/>
      <x:c r="AE334" s="3"/>
      <x:c r="AF334" s="3"/>
      <x:c r="AG334" s="3"/>
      <x:c r="AH334" s="3"/>
      <x:c r="AI334" s="3"/>
      <x:c r="AJ334" s="3"/>
      <x:c r="AK334" s="3"/>
      <x:c r="AL334" s="3"/>
      <x:c r="AM334" s="3"/>
      <x:c r="AN334" s="3"/>
      <x:c r="AO334" s="3"/>
      <x:c r="AP334" s="3"/>
      <x:c r="AQ334" s="3"/>
      <x:c r="AR334" s="3"/>
      <x:c r="AS334" s="3"/>
      <x:c r="AT334" s="3"/>
      <x:c r="AU334" s="3"/>
      <x:c r="AV334" s="3"/>
      <x:c r="AW334" s="3"/>
      <x:c r="AX334" s="3"/>
      <x:c r="AY334" s="3"/>
      <x:c r="AZ334" s="3" t="str">
        <x:f>IF(AND('中古車掲載'!C335="One2car",'中古車掲載'!F335="ATTO 3",'中古車掲載'!L335="EXTENDED RANGE",'中古車掲載'!J335=2023,ISNUMBER('中古車掲載'!N335),'中古車掲載'!N335&gt;=20000,'中古車掲載'!O335&lt;=100000,'中古車掲載'!AL335=1),'中古車掲載'!U335,"")</x:f>
      </x:c>
      <x:c r="BA334" s="3" t="str">
        <x:f>IF(AND('中古車掲載'!C335="One2car",'中古車掲載'!F335="Corolla Cross",'中古車掲載'!L335="HEV PREMIUM SAFETY",'中古車掲載'!J335=2023,ISNUMBER('中古車掲載'!N335),'中古車掲載'!N335&gt;=20000,'中古車掲載'!O335&lt;=100000,'中古車掲載'!AL335=1,'中古車掲載'!Z335="https://www.one2car.com/en/cars-for-sale/toyota/corolla-cross/year-2023"),'中古車掲載'!U335,"")</x:f>
      </x:c>
      <x:c r="BB334" s="3" t="str">
        <x:f>IF(AND('中古車掲載'!C335="One2car",'中古車掲載'!F335="ATTO 3",'中古車掲載'!L335="EXTENDED RANGE",'中古車掲載'!J335=2023,ISNUMBER('中古車掲載'!N335),'中古車掲載'!N335&gt;=50000,'中古車掲載'!O335&lt;=100000,'中古車掲載'!AL335=1),'中古車掲載'!U335,"")</x:f>
      </x:c>
      <x:c r="BC334" s="3" t="str">
        <x:f>IF(AND('中古車掲載'!C335="One2car",'中古車掲載'!F335="Corolla Cross",'中古車掲載'!L335="HEV PREMIUM SAFETY",'中古車掲載'!J335=2023,ISNUMBER('中古車掲載'!N335),'中古車掲載'!N335&gt;=50000,'中古車掲載'!O335&lt;=100000,'中古車掲載'!AL335=1,'中古車掲載'!Z335="https://www.one2car.com/en/cars-for-sale/toyota/corolla-cross/year-2023"),'中古車掲載'!U335,"")</x:f>
      </x:c>
      <x:c r="BD334" s="3" t="str">
        <x:f>IF(AND('中古車掲載'!C335="One2car",'中古車掲載'!F335="ATTO 3",'中古車掲載'!L335="EXTENDED RANGE",'中古車掲載'!J335=2023,ISNUMBER('中古車掲載'!N335),'中古車掲載'!N335&gt;=20000,'中古車掲載'!O335&lt;=50000,'中古車掲載'!AL335=1),'中古車掲載'!U335,"")</x:f>
      </x:c>
      <x:c r="BE334" s="3" t="str">
        <x:f>IF(AND('中古車掲載'!C335="One2car",'中古車掲載'!F335="Corolla Cross",'中古車掲載'!L335="HEV PREMIUM SAFETY",'中古車掲載'!J335=2023,ISNUMBER('中古車掲載'!N335),'中古車掲載'!N335&gt;=20000,'中古車掲載'!O335&lt;=50000,'中古車掲載'!AL335=1,'中古車掲載'!Z335="https://www.one2car.com/en/cars-for-sale/toyota/corolla-cross/year-2023"),'中古車掲載'!U335,"")</x:f>
      </x:c>
      <x:c r="BF334" s="3" t="str">
        <x:f>IF(AND('中古車掲載'!C335="One2car",'中古車掲載'!F335="Corolla Cross",'中古車掲載'!L335="HEV PREMIUM",'中古車掲載'!J335=2023,ISNUMBER('中古車掲載'!N335),'中古車掲載'!N335&gt;=20000,'中古車掲載'!O335&lt;=100000,'中古車掲載'!AL335=1,'中古車掲載'!Z335="https://www.one2car.com/en/cars-for-sale/toyota/corolla-cross/year-2023"),'中古車掲載'!U335,"")</x:f>
      </x:c>
      <x:c r="BG334" s="3" t="str">
        <x:f>IF(AND('中古車掲載'!C335="One2car",'中古車掲載'!F335="Corolla Cross",'中古車掲載'!L335="HEV GR SPORT",'中古車掲載'!J335=2023,ISNUMBER('中古車掲載'!N335),'中古車掲載'!N335&gt;=20000,'中古車掲載'!O335&lt;=100000,'中古車掲載'!AL335=1,'中古車掲載'!Z335="https://www.one2car.com/en/cars-for-sale/toyota/corolla-cross/year-2023"),'中古車掲載'!U335,"")</x:f>
      </x:c>
      <x:c r="BH334" s="3" t="str">
        <x:f>IF(AND('中古車掲載'!C335="One2car",'中古車掲載'!F335="DOLPHIN",'中古車掲載'!L335="STANDARD RANGE",'中古車掲載'!J335=2023,ISNUMBER('中古車掲載'!N335),'中古車掲載'!N335&gt;=20000,'中古車掲載'!O335&lt;=100000,'中古車掲載'!AL335=1),'中古車掲載'!U335,"")</x:f>
      </x:c>
      <x:c r="BI334" s="3" t="str">
        <x:v>Taladrod|Corolla Cross|HEV|Unknown</x:v>
      </x:c>
      <x:c r="BJ334" s="3" t="n">
        <x:v>335</x:v>
      </x:c>
      <x:c r="BK334" s="3" t="n">
        <x:f>'中古車掲載'!AM335</x:f>
        <x:v>539000</x:v>
      </x:c>
      <x:c r="BL334" s="3" t="str">
        <x:f>IF(ISNUMBER('中古車掲載'!AN335),'中古車掲載'!AN335,"")</x:f>
      </x:c>
      <x:c r="BM334" s="3"/>
      <x:c r="BN334" s="3"/>
      <x:c r="BO334" s="3"/>
      <x:c r="BP334" s="3"/>
      <x:c r="BQ334" s="3"/>
      <x:c r="BR334" s="3"/>
    </x:row>
    <x:row r="335" ht="22" customHeight="1">
      <x:c r="A335" s="3" t="str">
        <x:v>Fortuner</x:v>
      </x:c>
      <x:c r="B335" s="3" t="str">
        <x:v>ICE</x:v>
      </x:c>
      <x:c r="C335" s="3" t="str">
        <x:v>One2car</x:v>
      </x:c>
      <x:c r="D335" s="3" t="str">
        <x:v>SUV</x:v>
      </x:c>
      <x:c r="E335" s="3" t="str"/>
      <x:c r="F335" s="3" t="n">
        <x:v>2020</x:v>
      </x:c>
      <x:c r="G335" s="3" t="str">
        <x:v>G</x:v>
      </x:c>
      <x:c r="H335" s="3" t="str">
        <x:v>100–150千km</x:v>
      </x:c>
      <x:c r="I335" s="3" t="str">
        <x:v>世代不明</x:v>
      </x:c>
      <x:c r="J335" s="22" t="n">
        <x:f>COUNT('中古車掲載'!AM100:AM100)</x:f>
        <x:v>1</x:v>
      </x:c>
      <x:c r="K335" s="22" t="n">
        <x:f>IF(COUNT('中古車掲載'!AM100:AM100)=0,"",QUARTILE('中古車掲載'!AM100:AM100,1))</x:f>
        <x:v>799000</x:v>
      </x:c>
      <x:c r="L335" s="22" t="n">
        <x:f>IF(COUNT('中古車掲載'!AM100:AM100)=0,"",MEDIAN('中古車掲載'!AM100:AM100))</x:f>
        <x:v>799000</x:v>
      </x:c>
      <x:c r="M335" s="22" t="n">
        <x:f>IF(COUNT('中古車掲載'!AM100:AM100)=0,"",QUARTILE('中古車掲載'!AM100:AM100,3))</x:f>
        <x:v>799000</x:v>
      </x:c>
      <x:c r="N335" s="22" t="n">
        <x:f>COUNT('中古車掲載'!AN100:AN100)</x:f>
        <x:v>0</x:v>
      </x:c>
      <x:c r="O335" s="23" t="str">
        <x:f>IF(COUNT('中古車掲載'!AN100:AN100)=0,"",MEDIAN('中古車掲載'!AN100:AN100))</x:f>
      </x:c>
      <x:c r="P335" s="3"/>
      <x:c r="Q335" s="3"/>
      <x:c r="R335" s="3"/>
      <x:c r="S335" s="3"/>
      <x:c r="T335" s="3"/>
      <x:c r="U335" s="3"/>
      <x:c r="V335" s="3"/>
      <x:c r="W335" s="3"/>
      <x:c r="X335" s="3"/>
      <x:c r="Y335" s="3"/>
      <x:c r="Z335" s="3"/>
      <x:c r="AA335" s="3"/>
      <x:c r="AB335" s="3"/>
      <x:c r="AC335" s="3"/>
      <x:c r="AD335" s="3"/>
      <x:c r="AE335" s="3"/>
      <x:c r="AF335" s="3"/>
      <x:c r="AG335" s="3"/>
      <x:c r="AH335" s="3"/>
      <x:c r="AI335" s="3"/>
      <x:c r="AJ335" s="3"/>
      <x:c r="AK335" s="3"/>
      <x:c r="AL335" s="3"/>
      <x:c r="AM335" s="3"/>
      <x:c r="AN335" s="3"/>
      <x:c r="AO335" s="3"/>
      <x:c r="AP335" s="3"/>
      <x:c r="AQ335" s="3"/>
      <x:c r="AR335" s="3"/>
      <x:c r="AS335" s="3"/>
      <x:c r="AT335" s="3"/>
      <x:c r="AU335" s="3"/>
      <x:c r="AV335" s="3"/>
      <x:c r="AW335" s="3"/>
      <x:c r="AX335" s="3"/>
      <x:c r="AY335" s="3"/>
      <x:c r="AZ335" s="3" t="str">
        <x:f>IF(AND('中古車掲載'!C336="One2car",'中古車掲載'!F336="ATTO 3",'中古車掲載'!L336="EXTENDED RANGE",'中古車掲載'!J336=2023,ISNUMBER('中古車掲載'!N336),'中古車掲載'!N336&gt;=20000,'中古車掲載'!O336&lt;=100000,'中古車掲載'!AL336=1),'中古車掲載'!U336,"")</x:f>
      </x:c>
      <x:c r="BA335" s="3" t="str">
        <x:f>IF(AND('中古車掲載'!C336="One2car",'中古車掲載'!F336="Corolla Cross",'中古車掲載'!L336="HEV PREMIUM SAFETY",'中古車掲載'!J336=2023,ISNUMBER('中古車掲載'!N336),'中古車掲載'!N336&gt;=20000,'中古車掲載'!O336&lt;=100000,'中古車掲載'!AL336=1,'中古車掲載'!Z336="https://www.one2car.com/en/cars-for-sale/toyota/corolla-cross/year-2023"),'中古車掲載'!U336,"")</x:f>
      </x:c>
      <x:c r="BB335" s="3" t="str">
        <x:f>IF(AND('中古車掲載'!C336="One2car",'中古車掲載'!F336="ATTO 3",'中古車掲載'!L336="EXTENDED RANGE",'中古車掲載'!J336=2023,ISNUMBER('中古車掲載'!N336),'中古車掲載'!N336&gt;=50000,'中古車掲載'!O336&lt;=100000,'中古車掲載'!AL336=1),'中古車掲載'!U336,"")</x:f>
      </x:c>
      <x:c r="BC335" s="3" t="str">
        <x:f>IF(AND('中古車掲載'!C336="One2car",'中古車掲載'!F336="Corolla Cross",'中古車掲載'!L336="HEV PREMIUM SAFETY",'中古車掲載'!J336=2023,ISNUMBER('中古車掲載'!N336),'中古車掲載'!N336&gt;=50000,'中古車掲載'!O336&lt;=100000,'中古車掲載'!AL336=1,'中古車掲載'!Z336="https://www.one2car.com/en/cars-for-sale/toyota/corolla-cross/year-2023"),'中古車掲載'!U336,"")</x:f>
      </x:c>
      <x:c r="BD335" s="3" t="str">
        <x:f>IF(AND('中古車掲載'!C336="One2car",'中古車掲載'!F336="ATTO 3",'中古車掲載'!L336="EXTENDED RANGE",'中古車掲載'!J336=2023,ISNUMBER('中古車掲載'!N336),'中古車掲載'!N336&gt;=20000,'中古車掲載'!O336&lt;=50000,'中古車掲載'!AL336=1),'中古車掲載'!U336,"")</x:f>
      </x:c>
      <x:c r="BE335" s="3" t="str">
        <x:f>IF(AND('中古車掲載'!C336="One2car",'中古車掲載'!F336="Corolla Cross",'中古車掲載'!L336="HEV PREMIUM SAFETY",'中古車掲載'!J336=2023,ISNUMBER('中古車掲載'!N336),'中古車掲載'!N336&gt;=20000,'中古車掲載'!O336&lt;=50000,'中古車掲載'!AL336=1,'中古車掲載'!Z336="https://www.one2car.com/en/cars-for-sale/toyota/corolla-cross/year-2023"),'中古車掲載'!U336,"")</x:f>
      </x:c>
      <x:c r="BF335" s="3" t="str">
        <x:f>IF(AND('中古車掲載'!C336="One2car",'中古車掲載'!F336="Corolla Cross",'中古車掲載'!L336="HEV PREMIUM",'中古車掲載'!J336=2023,ISNUMBER('中古車掲載'!N336),'中古車掲載'!N336&gt;=20000,'中古車掲載'!O336&lt;=100000,'中古車掲載'!AL336=1,'中古車掲載'!Z336="https://www.one2car.com/en/cars-for-sale/toyota/corolla-cross/year-2023"),'中古車掲載'!U336,"")</x:f>
      </x:c>
      <x:c r="BG335" s="3" t="str">
        <x:f>IF(AND('中古車掲載'!C336="One2car",'中古車掲載'!F336="Corolla Cross",'中古車掲載'!L336="HEV GR SPORT",'中古車掲載'!J336=2023,ISNUMBER('中古車掲載'!N336),'中古車掲載'!N336&gt;=20000,'中古車掲載'!O336&lt;=100000,'中古車掲載'!AL336=1,'中古車掲載'!Z336="https://www.one2car.com/en/cars-for-sale/toyota/corolla-cross/year-2023"),'中古車掲載'!U336,"")</x:f>
      </x:c>
      <x:c r="BH335" s="3" t="str">
        <x:f>IF(AND('中古車掲載'!C336="One2car",'中古車掲載'!F336="DOLPHIN",'中古車掲載'!L336="STANDARD RANGE",'中古車掲載'!J336=2023,ISNUMBER('中古車掲載'!N336),'中古車掲載'!N336&gt;=20000,'中古車掲載'!O336&lt;=100000,'中古車掲載'!AL336=1),'中古車掲載'!U336,"")</x:f>
      </x:c>
      <x:c r="BI335" s="3" t="str">
        <x:v>Taladrod|Corolla Cross|HEV|Unknown</x:v>
      </x:c>
      <x:c r="BJ335" s="3" t="n">
        <x:v>336</x:v>
      </x:c>
      <x:c r="BK335" s="3" t="n">
        <x:f>'中古車掲載'!AM336</x:f>
        <x:v>559000</x:v>
      </x:c>
      <x:c r="BL335" s="3" t="str">
        <x:f>IF(ISNUMBER('中古車掲載'!AN336),'中古車掲載'!AN336,"")</x:f>
      </x:c>
      <x:c r="BM335" s="3"/>
      <x:c r="BN335" s="3"/>
      <x:c r="BO335" s="3"/>
      <x:c r="BP335" s="3"/>
      <x:c r="BQ335" s="3"/>
      <x:c r="BR335" s="3"/>
    </x:row>
    <x:row r="336" ht="22" customHeight="1">
      <x:c r="A336" s="3" t="str">
        <x:v>Fortuner</x:v>
      </x:c>
      <x:c r="B336" s="3" t="str">
        <x:v>ICE</x:v>
      </x:c>
      <x:c r="C336" s="3" t="str">
        <x:v>One2car</x:v>
      </x:c>
      <x:c r="D336" s="3" t="str">
        <x:v>SUV</x:v>
      </x:c>
      <x:c r="E336" s="3" t="str"/>
      <x:c r="F336" s="3" t="n">
        <x:v>2020</x:v>
      </x:c>
      <x:c r="G336" s="3" t="str">
        <x:v>TRD SPORTIVO</x:v>
      </x:c>
      <x:c r="H336" s="3" t="str">
        <x:v>20–50千km</x:v>
      </x:c>
      <x:c r="I336" s="3" t="str">
        <x:v>世代不明</x:v>
      </x:c>
      <x:c r="J336" s="22" t="n">
        <x:f>COUNT('中古車掲載'!AM101:AM101)</x:f>
        <x:v>1</x:v>
      </x:c>
      <x:c r="K336" s="22" t="n">
        <x:f>IF(COUNT('中古車掲載'!AM101:AM101)=0,"",QUARTILE('中古車掲載'!AM101:AM101,1))</x:f>
        <x:v>899000</x:v>
      </x:c>
      <x:c r="L336" s="22" t="n">
        <x:f>IF(COUNT('中古車掲載'!AM101:AM101)=0,"",MEDIAN('中古車掲載'!AM101:AM101))</x:f>
        <x:v>899000</x:v>
      </x:c>
      <x:c r="M336" s="22" t="n">
        <x:f>IF(COUNT('中古車掲載'!AM101:AM101)=0,"",QUARTILE('中古車掲載'!AM101:AM101,3))</x:f>
        <x:v>899000</x:v>
      </x:c>
      <x:c r="N336" s="22" t="n">
        <x:f>COUNT('中古車掲載'!AN101:AN101)</x:f>
        <x:v>0</x:v>
      </x:c>
      <x:c r="O336" s="23" t="str">
        <x:f>IF(COUNT('中古車掲載'!AN101:AN101)=0,"",MEDIAN('中古車掲載'!AN101:AN101))</x:f>
      </x:c>
      <x:c r="P336" s="3"/>
      <x:c r="Q336" s="3"/>
      <x:c r="R336" s="3"/>
      <x:c r="S336" s="3"/>
      <x:c r="T336" s="3"/>
      <x:c r="U336" s="3"/>
      <x:c r="V336" s="3"/>
      <x:c r="W336" s="3"/>
      <x:c r="X336" s="3"/>
      <x:c r="Y336" s="3"/>
      <x:c r="Z336" s="3"/>
      <x:c r="AA336" s="3"/>
      <x:c r="AB336" s="3"/>
      <x:c r="AC336" s="3"/>
      <x:c r="AD336" s="3"/>
      <x:c r="AE336" s="3"/>
      <x:c r="AF336" s="3"/>
      <x:c r="AG336" s="3"/>
      <x:c r="AH336" s="3"/>
      <x:c r="AI336" s="3"/>
      <x:c r="AJ336" s="3"/>
      <x:c r="AK336" s="3"/>
      <x:c r="AL336" s="3"/>
      <x:c r="AM336" s="3"/>
      <x:c r="AN336" s="3"/>
      <x:c r="AO336" s="3"/>
      <x:c r="AP336" s="3"/>
      <x:c r="AQ336" s="3"/>
      <x:c r="AR336" s="3"/>
      <x:c r="AS336" s="3"/>
      <x:c r="AT336" s="3"/>
      <x:c r="AU336" s="3"/>
      <x:c r="AV336" s="3"/>
      <x:c r="AW336" s="3"/>
      <x:c r="AX336" s="3"/>
      <x:c r="AY336" s="3"/>
      <x:c r="AZ336" s="3" t="str">
        <x:f>IF(AND('中古車掲載'!C337="One2car",'中古車掲載'!F337="ATTO 3",'中古車掲載'!L337="EXTENDED RANGE",'中古車掲載'!J337=2023,ISNUMBER('中古車掲載'!N337),'中古車掲載'!N337&gt;=20000,'中古車掲載'!O337&lt;=100000,'中古車掲載'!AL337=1),'中古車掲載'!U337,"")</x:f>
      </x:c>
      <x:c r="BA336" s="3" t="str">
        <x:f>IF(AND('中古車掲載'!C337="One2car",'中古車掲載'!F337="Corolla Cross",'中古車掲載'!L337="HEV PREMIUM SAFETY",'中古車掲載'!J337=2023,ISNUMBER('中古車掲載'!N337),'中古車掲載'!N337&gt;=20000,'中古車掲載'!O337&lt;=100000,'中古車掲載'!AL337=1,'中古車掲載'!Z337="https://www.one2car.com/en/cars-for-sale/toyota/corolla-cross/year-2023"),'中古車掲載'!U337,"")</x:f>
      </x:c>
      <x:c r="BB336" s="3" t="str">
        <x:f>IF(AND('中古車掲載'!C337="One2car",'中古車掲載'!F337="ATTO 3",'中古車掲載'!L337="EXTENDED RANGE",'中古車掲載'!J337=2023,ISNUMBER('中古車掲載'!N337),'中古車掲載'!N337&gt;=50000,'中古車掲載'!O337&lt;=100000,'中古車掲載'!AL337=1),'中古車掲載'!U337,"")</x:f>
      </x:c>
      <x:c r="BC336" s="3" t="str">
        <x:f>IF(AND('中古車掲載'!C337="One2car",'中古車掲載'!F337="Corolla Cross",'中古車掲載'!L337="HEV PREMIUM SAFETY",'中古車掲載'!J337=2023,ISNUMBER('中古車掲載'!N337),'中古車掲載'!N337&gt;=50000,'中古車掲載'!O337&lt;=100000,'中古車掲載'!AL337=1,'中古車掲載'!Z337="https://www.one2car.com/en/cars-for-sale/toyota/corolla-cross/year-2023"),'中古車掲載'!U337,"")</x:f>
      </x:c>
      <x:c r="BD336" s="3" t="str">
        <x:f>IF(AND('中古車掲載'!C337="One2car",'中古車掲載'!F337="ATTO 3",'中古車掲載'!L337="EXTENDED RANGE",'中古車掲載'!J337=2023,ISNUMBER('中古車掲載'!N337),'中古車掲載'!N337&gt;=20000,'中古車掲載'!O337&lt;=50000,'中古車掲載'!AL337=1),'中古車掲載'!U337,"")</x:f>
      </x:c>
      <x:c r="BE336" s="3" t="str">
        <x:f>IF(AND('中古車掲載'!C337="One2car",'中古車掲載'!F337="Corolla Cross",'中古車掲載'!L337="HEV PREMIUM SAFETY",'中古車掲載'!J337=2023,ISNUMBER('中古車掲載'!N337),'中古車掲載'!N337&gt;=20000,'中古車掲載'!O337&lt;=50000,'中古車掲載'!AL337=1,'中古車掲載'!Z337="https://www.one2car.com/en/cars-for-sale/toyota/corolla-cross/year-2023"),'中古車掲載'!U337,"")</x:f>
      </x:c>
      <x:c r="BF336" s="3" t="str">
        <x:f>IF(AND('中古車掲載'!C337="One2car",'中古車掲載'!F337="Corolla Cross",'中古車掲載'!L337="HEV PREMIUM",'中古車掲載'!J337=2023,ISNUMBER('中古車掲載'!N337),'中古車掲載'!N337&gt;=20000,'中古車掲載'!O337&lt;=100000,'中古車掲載'!AL337=1,'中古車掲載'!Z337="https://www.one2car.com/en/cars-for-sale/toyota/corolla-cross/year-2023"),'中古車掲載'!U337,"")</x:f>
      </x:c>
      <x:c r="BG336" s="3" t="str">
        <x:f>IF(AND('中古車掲載'!C337="One2car",'中古車掲載'!F337="Corolla Cross",'中古車掲載'!L337="HEV GR SPORT",'中古車掲載'!J337=2023,ISNUMBER('中古車掲載'!N337),'中古車掲載'!N337&gt;=20000,'中古車掲載'!O337&lt;=100000,'中古車掲載'!AL337=1,'中古車掲載'!Z337="https://www.one2car.com/en/cars-for-sale/toyota/corolla-cross/year-2023"),'中古車掲載'!U337,"")</x:f>
      </x:c>
      <x:c r="BH336" s="3" t="str">
        <x:f>IF(AND('中古車掲載'!C337="One2car",'中古車掲載'!F337="DOLPHIN",'中古車掲載'!L337="STANDARD RANGE",'中古車掲載'!J337=2023,ISNUMBER('中古車掲載'!N337),'中古車掲載'!N337&gt;=20000,'中古車掲載'!O337&lt;=100000,'中古車掲載'!AL337=1),'中古車掲載'!U337,"")</x:f>
      </x:c>
      <x:c r="BI336" s="3" t="str">
        <x:v>Taladrod|Corolla Cross|HEV|Unknown</x:v>
      </x:c>
      <x:c r="BJ336" s="3" t="n">
        <x:v>337</x:v>
      </x:c>
      <x:c r="BK336" s="3" t="n">
        <x:f>'中古車掲載'!AM337</x:f>
        <x:v>509000</x:v>
      </x:c>
      <x:c r="BL336" s="3" t="str">
        <x:f>IF(ISNUMBER('中古車掲載'!AN337),'中古車掲載'!AN337,"")</x:f>
      </x:c>
      <x:c r="BM336" s="3"/>
      <x:c r="BN336" s="3"/>
      <x:c r="BO336" s="3"/>
      <x:c r="BP336" s="3"/>
      <x:c r="BQ336" s="3"/>
      <x:c r="BR336" s="3"/>
    </x:row>
    <x:row r="337" ht="22" customHeight="1">
      <x:c r="A337" s="3" t="str">
        <x:v>Fortuner</x:v>
      </x:c>
      <x:c r="B337" s="3" t="str">
        <x:v>ICE</x:v>
      </x:c>
      <x:c r="C337" s="3" t="str">
        <x:v>One2car</x:v>
      </x:c>
      <x:c r="D337" s="3" t="str">
        <x:v>SUV</x:v>
      </x:c>
      <x:c r="E337" s="3" t="str"/>
      <x:c r="F337" s="3" t="n">
        <x:v>2020</x:v>
      </x:c>
      <x:c r="G337" s="3" t="str">
        <x:v>V</x:v>
      </x:c>
      <x:c r="H337" s="3" t="str">
        <x:v>100–150千km</x:v>
      </x:c>
      <x:c r="I337" s="3" t="str">
        <x:v>世代不明</x:v>
      </x:c>
      <x:c r="J337" s="22" t="n">
        <x:f>COUNT('中古車掲載'!AM102:AM102)</x:f>
        <x:v>1</x:v>
      </x:c>
      <x:c r="K337" s="22" t="n">
        <x:f>IF(COUNT('中古車掲載'!AM102:AM102)=0,"",QUARTILE('中古車掲載'!AM102:AM102,1))</x:f>
        <x:v>769000</x:v>
      </x:c>
      <x:c r="L337" s="22" t="n">
        <x:f>IF(COUNT('中古車掲載'!AM102:AM102)=0,"",MEDIAN('中古車掲載'!AM102:AM102))</x:f>
        <x:v>769000</x:v>
      </x:c>
      <x:c r="M337" s="22" t="n">
        <x:f>IF(COUNT('中古車掲載'!AM102:AM102)=0,"",QUARTILE('中古車掲載'!AM102:AM102,3))</x:f>
        <x:v>769000</x:v>
      </x:c>
      <x:c r="N337" s="22" t="n">
        <x:f>COUNT('中古車掲載'!AN102:AN102)</x:f>
        <x:v>0</x:v>
      </x:c>
      <x:c r="O337" s="23" t="str">
        <x:f>IF(COUNT('中古車掲載'!AN102:AN102)=0,"",MEDIAN('中古車掲載'!AN102:AN102))</x:f>
      </x:c>
      <x:c r="P337" s="3"/>
      <x:c r="Q337" s="3"/>
      <x:c r="R337" s="3"/>
      <x:c r="S337" s="3"/>
      <x:c r="T337" s="3"/>
      <x:c r="U337" s="3"/>
      <x:c r="V337" s="3"/>
      <x:c r="W337" s="3"/>
      <x:c r="X337" s="3"/>
      <x:c r="Y337" s="3"/>
      <x:c r="Z337" s="3"/>
      <x:c r="AA337" s="3"/>
      <x:c r="AB337" s="3"/>
      <x:c r="AC337" s="3"/>
      <x:c r="AD337" s="3"/>
      <x:c r="AE337" s="3"/>
      <x:c r="AF337" s="3"/>
      <x:c r="AG337" s="3"/>
      <x:c r="AH337" s="3"/>
      <x:c r="AI337" s="3"/>
      <x:c r="AJ337" s="3"/>
      <x:c r="AK337" s="3"/>
      <x:c r="AL337" s="3"/>
      <x:c r="AM337" s="3"/>
      <x:c r="AN337" s="3"/>
      <x:c r="AO337" s="3"/>
      <x:c r="AP337" s="3"/>
      <x:c r="AQ337" s="3"/>
      <x:c r="AR337" s="3"/>
      <x:c r="AS337" s="3"/>
      <x:c r="AT337" s="3"/>
      <x:c r="AU337" s="3"/>
      <x:c r="AV337" s="3"/>
      <x:c r="AW337" s="3"/>
      <x:c r="AX337" s="3"/>
      <x:c r="AY337" s="3"/>
      <x:c r="AZ337" s="3" t="str">
        <x:f>IF(AND('中古車掲載'!C338="One2car",'中古車掲載'!F338="ATTO 3",'中古車掲載'!L338="EXTENDED RANGE",'中古車掲載'!J338=2023,ISNUMBER('中古車掲載'!N338),'中古車掲載'!N338&gt;=20000,'中古車掲載'!O338&lt;=100000,'中古車掲載'!AL338=1),'中古車掲載'!U338,"")</x:f>
      </x:c>
      <x:c r="BA337" s="3" t="str">
        <x:f>IF(AND('中古車掲載'!C338="One2car",'中古車掲載'!F338="Corolla Cross",'中古車掲載'!L338="HEV PREMIUM SAFETY",'中古車掲載'!J338=2023,ISNUMBER('中古車掲載'!N338),'中古車掲載'!N338&gt;=20000,'中古車掲載'!O338&lt;=100000,'中古車掲載'!AL338=1,'中古車掲載'!Z338="https://www.one2car.com/en/cars-for-sale/toyota/corolla-cross/year-2023"),'中古車掲載'!U338,"")</x:f>
      </x:c>
      <x:c r="BB337" s="3" t="str">
        <x:f>IF(AND('中古車掲載'!C338="One2car",'中古車掲載'!F338="ATTO 3",'中古車掲載'!L338="EXTENDED RANGE",'中古車掲載'!J338=2023,ISNUMBER('中古車掲載'!N338),'中古車掲載'!N338&gt;=50000,'中古車掲載'!O338&lt;=100000,'中古車掲載'!AL338=1),'中古車掲載'!U338,"")</x:f>
      </x:c>
      <x:c r="BC337" s="3" t="str">
        <x:f>IF(AND('中古車掲載'!C338="One2car",'中古車掲載'!F338="Corolla Cross",'中古車掲載'!L338="HEV PREMIUM SAFETY",'中古車掲載'!J338=2023,ISNUMBER('中古車掲載'!N338),'中古車掲載'!N338&gt;=50000,'中古車掲載'!O338&lt;=100000,'中古車掲載'!AL338=1,'中古車掲載'!Z338="https://www.one2car.com/en/cars-for-sale/toyota/corolla-cross/year-2023"),'中古車掲載'!U338,"")</x:f>
      </x:c>
      <x:c r="BD337" s="3" t="str">
        <x:f>IF(AND('中古車掲載'!C338="One2car",'中古車掲載'!F338="ATTO 3",'中古車掲載'!L338="EXTENDED RANGE",'中古車掲載'!J338=2023,ISNUMBER('中古車掲載'!N338),'中古車掲載'!N338&gt;=20000,'中古車掲載'!O338&lt;=50000,'中古車掲載'!AL338=1),'中古車掲載'!U338,"")</x:f>
      </x:c>
      <x:c r="BE337" s="3" t="str">
        <x:f>IF(AND('中古車掲載'!C338="One2car",'中古車掲載'!F338="Corolla Cross",'中古車掲載'!L338="HEV PREMIUM SAFETY",'中古車掲載'!J338=2023,ISNUMBER('中古車掲載'!N338),'中古車掲載'!N338&gt;=20000,'中古車掲載'!O338&lt;=50000,'中古車掲載'!AL338=1,'中古車掲載'!Z338="https://www.one2car.com/en/cars-for-sale/toyota/corolla-cross/year-2023"),'中古車掲載'!U338,"")</x:f>
      </x:c>
      <x:c r="BF337" s="3" t="str">
        <x:f>IF(AND('中古車掲載'!C338="One2car",'中古車掲載'!F338="Corolla Cross",'中古車掲載'!L338="HEV PREMIUM",'中古車掲載'!J338=2023,ISNUMBER('中古車掲載'!N338),'中古車掲載'!N338&gt;=20000,'中古車掲載'!O338&lt;=100000,'中古車掲載'!AL338=1,'中古車掲載'!Z338="https://www.one2car.com/en/cars-for-sale/toyota/corolla-cross/year-2023"),'中古車掲載'!U338,"")</x:f>
      </x:c>
      <x:c r="BG337" s="3" t="str">
        <x:f>IF(AND('中古車掲載'!C338="One2car",'中古車掲載'!F338="Corolla Cross",'中古車掲載'!L338="HEV GR SPORT",'中古車掲載'!J338=2023,ISNUMBER('中古車掲載'!N338),'中古車掲載'!N338&gt;=20000,'中古車掲載'!O338&lt;=100000,'中古車掲載'!AL338=1,'中古車掲載'!Z338="https://www.one2car.com/en/cars-for-sale/toyota/corolla-cross/year-2023"),'中古車掲載'!U338,"")</x:f>
      </x:c>
      <x:c r="BH337" s="3" t="str">
        <x:f>IF(AND('中古車掲載'!C338="One2car",'中古車掲載'!F338="DOLPHIN",'中古車掲載'!L338="STANDARD RANGE",'中古車掲載'!J338=2023,ISNUMBER('中古車掲載'!N338),'中古車掲載'!N338&gt;=20000,'中古車掲載'!O338&lt;=100000,'中古車掲載'!AL338=1),'中古車掲載'!U338,"")</x:f>
      </x:c>
      <x:c r="BI337" s="3" t="str">
        <x:v>Taladrod|Corolla Cross|HEV|Unknown</x:v>
      </x:c>
      <x:c r="BJ337" s="3" t="n">
        <x:v>338</x:v>
      </x:c>
      <x:c r="BK337" s="3" t="n">
        <x:f>'中古車掲載'!AM338</x:f>
        <x:v>629000</x:v>
      </x:c>
      <x:c r="BL337" s="3" t="str">
        <x:f>IF(ISNUMBER('中古車掲載'!AN338),'中古車掲載'!AN338,"")</x:f>
      </x:c>
      <x:c r="BM337" s="3"/>
      <x:c r="BN337" s="3"/>
      <x:c r="BO337" s="3"/>
      <x:c r="BP337" s="3"/>
      <x:c r="BQ337" s="3"/>
      <x:c r="BR337" s="3"/>
    </x:row>
    <x:row r="338" ht="22" customHeight="1">
      <x:c r="A338" s="3" t="str">
        <x:v>Fortuner</x:v>
      </x:c>
      <x:c r="B338" s="3" t="str">
        <x:v>ICE</x:v>
      </x:c>
      <x:c r="C338" s="3" t="str">
        <x:v>One2car</x:v>
      </x:c>
      <x:c r="D338" s="3" t="str">
        <x:v>SUV</x:v>
      </x:c>
      <x:c r="E338" s="3" t="str"/>
      <x:c r="F338" s="3" t="n">
        <x:v>2020</x:v>
      </x:c>
      <x:c r="G338" s="3" t="str">
        <x:v>V</x:v>
      </x:c>
      <x:c r="H338" s="3" t="str">
        <x:v>&lt;20千km</x:v>
      </x:c>
      <x:c r="I338" s="3" t="str">
        <x:v>世代不明</x:v>
      </x:c>
      <x:c r="J338" s="22" t="n">
        <x:f>COUNT('中古車掲載'!AM103:AM103)</x:f>
        <x:v>1</x:v>
      </x:c>
      <x:c r="K338" s="22" t="n">
        <x:f>IF(COUNT('中古車掲載'!AM103:AM103)=0,"",QUARTILE('中古車掲載'!AM103:AM103,1))</x:f>
        <x:v>899000</x:v>
      </x:c>
      <x:c r="L338" s="22" t="n">
        <x:f>IF(COUNT('中古車掲載'!AM103:AM103)=0,"",MEDIAN('中古車掲載'!AM103:AM103))</x:f>
        <x:v>899000</x:v>
      </x:c>
      <x:c r="M338" s="22" t="n">
        <x:f>IF(COUNT('中古車掲載'!AM103:AM103)=0,"",QUARTILE('中古車掲載'!AM103:AM103,3))</x:f>
        <x:v>899000</x:v>
      </x:c>
      <x:c r="N338" s="22" t="n">
        <x:f>COUNT('中古車掲載'!AN103:AN103)</x:f>
        <x:v>0</x:v>
      </x:c>
      <x:c r="O338" s="23" t="str">
        <x:f>IF(COUNT('中古車掲載'!AN103:AN103)=0,"",MEDIAN('中古車掲載'!AN103:AN103))</x:f>
      </x:c>
      <x:c r="P338" s="3"/>
      <x:c r="Q338" s="3"/>
      <x:c r="R338" s="3"/>
      <x:c r="S338" s="3"/>
      <x:c r="T338" s="3"/>
      <x:c r="U338" s="3"/>
      <x:c r="V338" s="3"/>
      <x:c r="W338" s="3"/>
      <x:c r="X338" s="3"/>
      <x:c r="Y338" s="3"/>
      <x:c r="Z338" s="3"/>
      <x:c r="AA338" s="3"/>
      <x:c r="AB338" s="3"/>
      <x:c r="AC338" s="3"/>
      <x:c r="AD338" s="3"/>
      <x:c r="AE338" s="3"/>
      <x:c r="AF338" s="3"/>
      <x:c r="AG338" s="3"/>
      <x:c r="AH338" s="3"/>
      <x:c r="AI338" s="3"/>
      <x:c r="AJ338" s="3"/>
      <x:c r="AK338" s="3"/>
      <x:c r="AL338" s="3"/>
      <x:c r="AM338" s="3"/>
      <x:c r="AN338" s="3"/>
      <x:c r="AO338" s="3"/>
      <x:c r="AP338" s="3"/>
      <x:c r="AQ338" s="3"/>
      <x:c r="AR338" s="3"/>
      <x:c r="AS338" s="3"/>
      <x:c r="AT338" s="3"/>
      <x:c r="AU338" s="3"/>
      <x:c r="AV338" s="3"/>
      <x:c r="AW338" s="3"/>
      <x:c r="AX338" s="3"/>
      <x:c r="AY338" s="3"/>
      <x:c r="AZ338" s="3" t="str">
        <x:f>IF(AND('中古車掲載'!C339="One2car",'中古車掲載'!F339="ATTO 3",'中古車掲載'!L339="EXTENDED RANGE",'中古車掲載'!J339=2023,ISNUMBER('中古車掲載'!N339),'中古車掲載'!N339&gt;=20000,'中古車掲載'!O339&lt;=100000,'中古車掲載'!AL339=1),'中古車掲載'!U339,"")</x:f>
      </x:c>
      <x:c r="BA338" s="3" t="str">
        <x:f>IF(AND('中古車掲載'!C339="One2car",'中古車掲載'!F339="Corolla Cross",'中古車掲載'!L339="HEV PREMIUM SAFETY",'中古車掲載'!J339=2023,ISNUMBER('中古車掲載'!N339),'中古車掲載'!N339&gt;=20000,'中古車掲載'!O339&lt;=100000,'中古車掲載'!AL339=1,'中古車掲載'!Z339="https://www.one2car.com/en/cars-for-sale/toyota/corolla-cross/year-2023"),'中古車掲載'!U339,"")</x:f>
      </x:c>
      <x:c r="BB338" s="3" t="str">
        <x:f>IF(AND('中古車掲載'!C339="One2car",'中古車掲載'!F339="ATTO 3",'中古車掲載'!L339="EXTENDED RANGE",'中古車掲載'!J339=2023,ISNUMBER('中古車掲載'!N339),'中古車掲載'!N339&gt;=50000,'中古車掲載'!O339&lt;=100000,'中古車掲載'!AL339=1),'中古車掲載'!U339,"")</x:f>
      </x:c>
      <x:c r="BC338" s="3" t="str">
        <x:f>IF(AND('中古車掲載'!C339="One2car",'中古車掲載'!F339="Corolla Cross",'中古車掲載'!L339="HEV PREMIUM SAFETY",'中古車掲載'!J339=2023,ISNUMBER('中古車掲載'!N339),'中古車掲載'!N339&gt;=50000,'中古車掲載'!O339&lt;=100000,'中古車掲載'!AL339=1,'中古車掲載'!Z339="https://www.one2car.com/en/cars-for-sale/toyota/corolla-cross/year-2023"),'中古車掲載'!U339,"")</x:f>
      </x:c>
      <x:c r="BD338" s="3" t="str">
        <x:f>IF(AND('中古車掲載'!C339="One2car",'中古車掲載'!F339="ATTO 3",'中古車掲載'!L339="EXTENDED RANGE",'中古車掲載'!J339=2023,ISNUMBER('中古車掲載'!N339),'中古車掲載'!N339&gt;=20000,'中古車掲載'!O339&lt;=50000,'中古車掲載'!AL339=1),'中古車掲載'!U339,"")</x:f>
      </x:c>
      <x:c r="BE338" s="3" t="str">
        <x:f>IF(AND('中古車掲載'!C339="One2car",'中古車掲載'!F339="Corolla Cross",'中古車掲載'!L339="HEV PREMIUM SAFETY",'中古車掲載'!J339=2023,ISNUMBER('中古車掲載'!N339),'中古車掲載'!N339&gt;=20000,'中古車掲載'!O339&lt;=50000,'中古車掲載'!AL339=1,'中古車掲載'!Z339="https://www.one2car.com/en/cars-for-sale/toyota/corolla-cross/year-2023"),'中古車掲載'!U339,"")</x:f>
      </x:c>
      <x:c r="BF338" s="3" t="str">
        <x:f>IF(AND('中古車掲載'!C339="One2car",'中古車掲載'!F339="Corolla Cross",'中古車掲載'!L339="HEV PREMIUM",'中古車掲載'!J339=2023,ISNUMBER('中古車掲載'!N339),'中古車掲載'!N339&gt;=20000,'中古車掲載'!O339&lt;=100000,'中古車掲載'!AL339=1,'中古車掲載'!Z339="https://www.one2car.com/en/cars-for-sale/toyota/corolla-cross/year-2023"),'中古車掲載'!U339,"")</x:f>
      </x:c>
      <x:c r="BG338" s="3" t="str">
        <x:f>IF(AND('中古車掲載'!C339="One2car",'中古車掲載'!F339="Corolla Cross",'中古車掲載'!L339="HEV GR SPORT",'中古車掲載'!J339=2023,ISNUMBER('中古車掲載'!N339),'中古車掲載'!N339&gt;=20000,'中古車掲載'!O339&lt;=100000,'中古車掲載'!AL339=1,'中古車掲載'!Z339="https://www.one2car.com/en/cars-for-sale/toyota/corolla-cross/year-2023"),'中古車掲載'!U339,"")</x:f>
      </x:c>
      <x:c r="BH338" s="3" t="str">
        <x:f>IF(AND('中古車掲載'!C339="One2car",'中古車掲載'!F339="DOLPHIN",'中古車掲載'!L339="STANDARD RANGE",'中古車掲載'!J339=2023,ISNUMBER('中古車掲載'!N339),'中古車掲載'!N339&gt;=20000,'中古車掲載'!O339&lt;=100000,'中古車掲載'!AL339=1),'中古車掲載'!U339,"")</x:f>
      </x:c>
      <x:c r="BI338" s="3" t="str">
        <x:v>Taladrod|Corolla Cross|HEV|Unknown</x:v>
      </x:c>
      <x:c r="BJ338" s="3" t="n">
        <x:v>339</x:v>
      </x:c>
      <x:c r="BK338" s="3" t="n">
        <x:f>'中古車掲載'!AM339</x:f>
        <x:v>549000</x:v>
      </x:c>
      <x:c r="BL338" s="3" t="str">
        <x:f>IF(ISNUMBER('中古車掲載'!AN339),'中古車掲載'!AN339,"")</x:f>
      </x:c>
      <x:c r="BM338" s="3"/>
      <x:c r="BN338" s="3"/>
      <x:c r="BO338" s="3"/>
      <x:c r="BP338" s="3"/>
      <x:c r="BQ338" s="3"/>
      <x:c r="BR338" s="3"/>
    </x:row>
    <x:row r="339" ht="22" customHeight="1">
      <x:c r="A339" s="3" t="str">
        <x:v>Fortuner</x:v>
      </x:c>
      <x:c r="B339" s="3" t="str">
        <x:v>ICE</x:v>
      </x:c>
      <x:c r="C339" s="3" t="str">
        <x:v>One2car</x:v>
      </x:c>
      <x:c r="D339" s="3" t="str">
        <x:v>SUV</x:v>
      </x:c>
      <x:c r="E339" s="3" t="str"/>
      <x:c r="F339" s="3" t="n">
        <x:v>2021</x:v>
      </x:c>
      <x:c r="G339" s="3" t="str">
        <x:v>G</x:v>
      </x:c>
      <x:c r="H339" s="3" t="str">
        <x:v>100–150千km</x:v>
      </x:c>
      <x:c r="I339" s="3" t="str">
        <x:v>世代不明</x:v>
      </x:c>
      <x:c r="J339" s="22" t="n">
        <x:f>COUNT('中古車掲載'!AM104:AM104)</x:f>
        <x:v>1</x:v>
      </x:c>
      <x:c r="K339" s="22" t="n">
        <x:f>IF(COUNT('中古車掲載'!AM104:AM104)=0,"",QUARTILE('中古車掲載'!AM104:AM104,1))</x:f>
        <x:v>750000</x:v>
      </x:c>
      <x:c r="L339" s="22" t="n">
        <x:f>IF(COUNT('中古車掲載'!AM104:AM104)=0,"",MEDIAN('中古車掲載'!AM104:AM104))</x:f>
        <x:v>750000</x:v>
      </x:c>
      <x:c r="M339" s="22" t="n">
        <x:f>IF(COUNT('中古車掲載'!AM104:AM104)=0,"",QUARTILE('中古車掲載'!AM104:AM104,3))</x:f>
        <x:v>750000</x:v>
      </x:c>
      <x:c r="N339" s="22" t="n">
        <x:f>COUNT('中古車掲載'!AN104:AN104)</x:f>
        <x:v>0</x:v>
      </x:c>
      <x:c r="O339" s="23" t="str">
        <x:f>IF(COUNT('中古車掲載'!AN104:AN104)=0,"",MEDIAN('中古車掲載'!AN104:AN104))</x:f>
      </x:c>
      <x:c r="P339" s="3"/>
      <x:c r="Q339" s="3"/>
      <x:c r="R339" s="3"/>
      <x:c r="S339" s="3"/>
      <x:c r="T339" s="3"/>
      <x:c r="U339" s="3"/>
      <x:c r="V339" s="3"/>
      <x:c r="W339" s="3"/>
      <x:c r="X339" s="3"/>
      <x:c r="Y339" s="3"/>
      <x:c r="Z339" s="3"/>
      <x:c r="AA339" s="3"/>
      <x:c r="AB339" s="3"/>
      <x:c r="AC339" s="3"/>
      <x:c r="AD339" s="3"/>
      <x:c r="AE339" s="3"/>
      <x:c r="AF339" s="3"/>
      <x:c r="AG339" s="3"/>
      <x:c r="AH339" s="3"/>
      <x:c r="AI339" s="3"/>
      <x:c r="AJ339" s="3"/>
      <x:c r="AK339" s="3"/>
      <x:c r="AL339" s="3"/>
      <x:c r="AM339" s="3"/>
      <x:c r="AN339" s="3"/>
      <x:c r="AO339" s="3"/>
      <x:c r="AP339" s="3"/>
      <x:c r="AQ339" s="3"/>
      <x:c r="AR339" s="3"/>
      <x:c r="AS339" s="3"/>
      <x:c r="AT339" s="3"/>
      <x:c r="AU339" s="3"/>
      <x:c r="AV339" s="3"/>
      <x:c r="AW339" s="3"/>
      <x:c r="AX339" s="3"/>
      <x:c r="AY339" s="3"/>
      <x:c r="AZ339" s="3" t="str">
        <x:f>IF(AND('中古車掲載'!C340="One2car",'中古車掲載'!F340="ATTO 3",'中古車掲載'!L340="EXTENDED RANGE",'中古車掲載'!J340=2023,ISNUMBER('中古車掲載'!N340),'中古車掲載'!N340&gt;=20000,'中古車掲載'!O340&lt;=100000,'中古車掲載'!AL340=1),'中古車掲載'!U340,"")</x:f>
      </x:c>
      <x:c r="BA339" s="3" t="str">
        <x:f>IF(AND('中古車掲載'!C340="One2car",'中古車掲載'!F340="Corolla Cross",'中古車掲載'!L340="HEV PREMIUM SAFETY",'中古車掲載'!J340=2023,ISNUMBER('中古車掲載'!N340),'中古車掲載'!N340&gt;=20000,'中古車掲載'!O340&lt;=100000,'中古車掲載'!AL340=1,'中古車掲載'!Z340="https://www.one2car.com/en/cars-for-sale/toyota/corolla-cross/year-2023"),'中古車掲載'!U340,"")</x:f>
      </x:c>
      <x:c r="BB339" s="3" t="str">
        <x:f>IF(AND('中古車掲載'!C340="One2car",'中古車掲載'!F340="ATTO 3",'中古車掲載'!L340="EXTENDED RANGE",'中古車掲載'!J340=2023,ISNUMBER('中古車掲載'!N340),'中古車掲載'!N340&gt;=50000,'中古車掲載'!O340&lt;=100000,'中古車掲載'!AL340=1),'中古車掲載'!U340,"")</x:f>
      </x:c>
      <x:c r="BC339" s="3" t="str">
        <x:f>IF(AND('中古車掲載'!C340="One2car",'中古車掲載'!F340="Corolla Cross",'中古車掲載'!L340="HEV PREMIUM SAFETY",'中古車掲載'!J340=2023,ISNUMBER('中古車掲載'!N340),'中古車掲載'!N340&gt;=50000,'中古車掲載'!O340&lt;=100000,'中古車掲載'!AL340=1,'中古車掲載'!Z340="https://www.one2car.com/en/cars-for-sale/toyota/corolla-cross/year-2023"),'中古車掲載'!U340,"")</x:f>
      </x:c>
      <x:c r="BD339" s="3" t="str">
        <x:f>IF(AND('中古車掲載'!C340="One2car",'中古車掲載'!F340="ATTO 3",'中古車掲載'!L340="EXTENDED RANGE",'中古車掲載'!J340=2023,ISNUMBER('中古車掲載'!N340),'中古車掲載'!N340&gt;=20000,'中古車掲載'!O340&lt;=50000,'中古車掲載'!AL340=1),'中古車掲載'!U340,"")</x:f>
      </x:c>
      <x:c r="BE339" s="3" t="str">
        <x:f>IF(AND('中古車掲載'!C340="One2car",'中古車掲載'!F340="Corolla Cross",'中古車掲載'!L340="HEV PREMIUM SAFETY",'中古車掲載'!J340=2023,ISNUMBER('中古車掲載'!N340),'中古車掲載'!N340&gt;=20000,'中古車掲載'!O340&lt;=50000,'中古車掲載'!AL340=1,'中古車掲載'!Z340="https://www.one2car.com/en/cars-for-sale/toyota/corolla-cross/year-2023"),'中古車掲載'!U340,"")</x:f>
      </x:c>
      <x:c r="BF339" s="3" t="str">
        <x:f>IF(AND('中古車掲載'!C340="One2car",'中古車掲載'!F340="Corolla Cross",'中古車掲載'!L340="HEV PREMIUM",'中古車掲載'!J340=2023,ISNUMBER('中古車掲載'!N340),'中古車掲載'!N340&gt;=20000,'中古車掲載'!O340&lt;=100000,'中古車掲載'!AL340=1,'中古車掲載'!Z340="https://www.one2car.com/en/cars-for-sale/toyota/corolla-cross/year-2023"),'中古車掲載'!U340,"")</x:f>
      </x:c>
      <x:c r="BG339" s="3" t="str">
        <x:f>IF(AND('中古車掲載'!C340="One2car",'中古車掲載'!F340="Corolla Cross",'中古車掲載'!L340="HEV GR SPORT",'中古車掲載'!J340=2023,ISNUMBER('中古車掲載'!N340),'中古車掲載'!N340&gt;=20000,'中古車掲載'!O340&lt;=100000,'中古車掲載'!AL340=1,'中古車掲載'!Z340="https://www.one2car.com/en/cars-for-sale/toyota/corolla-cross/year-2023"),'中古車掲載'!U340,"")</x:f>
      </x:c>
      <x:c r="BH339" s="3" t="str">
        <x:f>IF(AND('中古車掲載'!C340="One2car",'中古車掲載'!F340="DOLPHIN",'中古車掲載'!L340="STANDARD RANGE",'中古車掲載'!J340=2023,ISNUMBER('中古車掲載'!N340),'中古車掲載'!N340&gt;=20000,'中古車掲載'!O340&lt;=100000,'中古車掲載'!AL340=1),'中古車掲載'!U340,"")</x:f>
      </x:c>
      <x:c r="BI339" s="3" t="str">
        <x:v>Taladrod|Corolla Cross|HEV|Unknown</x:v>
      </x:c>
      <x:c r="BJ339" s="3" t="n">
        <x:v>340</x:v>
      </x:c>
      <x:c r="BK339" s="3" t="n">
        <x:f>'中古車掲載'!AM340</x:f>
        <x:v>559000</x:v>
      </x:c>
      <x:c r="BL339" s="3" t="str">
        <x:f>IF(ISNUMBER('中古車掲載'!AN340),'中古車掲載'!AN340,"")</x:f>
      </x:c>
      <x:c r="BM339" s="3"/>
      <x:c r="BN339" s="3"/>
      <x:c r="BO339" s="3"/>
      <x:c r="BP339" s="3"/>
      <x:c r="BQ339" s="3"/>
      <x:c r="BR339" s="3"/>
    </x:row>
    <x:row r="340" ht="22" customHeight="1">
      <x:c r="A340" s="3" t="str">
        <x:v>Fortuner</x:v>
      </x:c>
      <x:c r="B340" s="3" t="str">
        <x:v>ICE</x:v>
      </x:c>
      <x:c r="C340" s="3" t="str">
        <x:v>One2car</x:v>
      </x:c>
      <x:c r="D340" s="3" t="str">
        <x:v>SUV</x:v>
      </x:c>
      <x:c r="E340" s="3" t="str"/>
      <x:c r="F340" s="3" t="n">
        <x:v>2021</x:v>
      </x:c>
      <x:c r="G340" s="3" t="str">
        <x:v>G</x:v>
      </x:c>
      <x:c r="H340" s="3" t="str">
        <x:v>150千km以上</x:v>
      </x:c>
      <x:c r="I340" s="3" t="str">
        <x:v>世代不明</x:v>
      </x:c>
      <x:c r="J340" s="22" t="n">
        <x:f>COUNT('中古車掲載'!AM105:AM106)</x:f>
        <x:v>2</x:v>
      </x:c>
      <x:c r="K340" s="22" t="n">
        <x:f>IF(COUNT('中古車掲載'!AM105:AM106)=0,"",QUARTILE('中古車掲載'!AM105:AM106,1))</x:f>
        <x:v>784000</x:v>
      </x:c>
      <x:c r="L340" s="22" t="n">
        <x:f>IF(COUNT('中古車掲載'!AM105:AM106)=0,"",MEDIAN('中古車掲載'!AM105:AM106))</x:f>
        <x:v>789000</x:v>
      </x:c>
      <x:c r="M340" s="22" t="n">
        <x:f>IF(COUNT('中古車掲載'!AM105:AM106)=0,"",QUARTILE('中古車掲載'!AM105:AM106,3))</x:f>
        <x:v>794000</x:v>
      </x:c>
      <x:c r="N340" s="22" t="n">
        <x:f>COUNT('中古車掲載'!AN105:AN106)</x:f>
        <x:v>0</x:v>
      </x:c>
      <x:c r="O340" s="23" t="str">
        <x:f>IF(COUNT('中古車掲載'!AN105:AN106)=0,"",MEDIAN('中古車掲載'!AN105:AN106))</x:f>
      </x:c>
      <x:c r="P340" s="3"/>
      <x:c r="Q340" s="3"/>
      <x:c r="R340" s="3"/>
      <x:c r="S340" s="3"/>
      <x:c r="T340" s="3"/>
      <x:c r="U340" s="3"/>
      <x:c r="V340" s="3"/>
      <x:c r="W340" s="3"/>
      <x:c r="X340" s="3"/>
      <x:c r="Y340" s="3"/>
      <x:c r="Z340" s="3"/>
      <x:c r="AA340" s="3"/>
      <x:c r="AB340" s="3"/>
      <x:c r="AC340" s="3"/>
      <x:c r="AD340" s="3"/>
      <x:c r="AE340" s="3"/>
      <x:c r="AF340" s="3"/>
      <x:c r="AG340" s="3"/>
      <x:c r="AH340" s="3"/>
      <x:c r="AI340" s="3"/>
      <x:c r="AJ340" s="3"/>
      <x:c r="AK340" s="3"/>
      <x:c r="AL340" s="3"/>
      <x:c r="AM340" s="3"/>
      <x:c r="AN340" s="3"/>
      <x:c r="AO340" s="3"/>
      <x:c r="AP340" s="3"/>
      <x:c r="AQ340" s="3"/>
      <x:c r="AR340" s="3"/>
      <x:c r="AS340" s="3"/>
      <x:c r="AT340" s="3"/>
      <x:c r="AU340" s="3"/>
      <x:c r="AV340" s="3"/>
      <x:c r="AW340" s="3"/>
      <x:c r="AX340" s="3"/>
      <x:c r="AY340" s="3"/>
      <x:c r="AZ340" s="3" t="str">
        <x:f>IF(AND('中古車掲載'!C341="One2car",'中古車掲載'!F341="ATTO 3",'中古車掲載'!L341="EXTENDED RANGE",'中古車掲載'!J341=2023,ISNUMBER('中古車掲載'!N341),'中古車掲載'!N341&gt;=20000,'中古車掲載'!O341&lt;=100000,'中古車掲載'!AL341=1),'中古車掲載'!U341,"")</x:f>
      </x:c>
      <x:c r="BA340" s="3" t="str">
        <x:f>IF(AND('中古車掲載'!C341="One2car",'中古車掲載'!F341="Corolla Cross",'中古車掲載'!L341="HEV PREMIUM SAFETY",'中古車掲載'!J341=2023,ISNUMBER('中古車掲載'!N341),'中古車掲載'!N341&gt;=20000,'中古車掲載'!O341&lt;=100000,'中古車掲載'!AL341=1,'中古車掲載'!Z341="https://www.one2car.com/en/cars-for-sale/toyota/corolla-cross/year-2023"),'中古車掲載'!U341,"")</x:f>
      </x:c>
      <x:c r="BB340" s="3" t="str">
        <x:f>IF(AND('中古車掲載'!C341="One2car",'中古車掲載'!F341="ATTO 3",'中古車掲載'!L341="EXTENDED RANGE",'中古車掲載'!J341=2023,ISNUMBER('中古車掲載'!N341),'中古車掲載'!N341&gt;=50000,'中古車掲載'!O341&lt;=100000,'中古車掲載'!AL341=1),'中古車掲載'!U341,"")</x:f>
      </x:c>
      <x:c r="BC340" s="3" t="str">
        <x:f>IF(AND('中古車掲載'!C341="One2car",'中古車掲載'!F341="Corolla Cross",'中古車掲載'!L341="HEV PREMIUM SAFETY",'中古車掲載'!J341=2023,ISNUMBER('中古車掲載'!N341),'中古車掲載'!N341&gt;=50000,'中古車掲載'!O341&lt;=100000,'中古車掲載'!AL341=1,'中古車掲載'!Z341="https://www.one2car.com/en/cars-for-sale/toyota/corolla-cross/year-2023"),'中古車掲載'!U341,"")</x:f>
      </x:c>
      <x:c r="BD340" s="3" t="str">
        <x:f>IF(AND('中古車掲載'!C341="One2car",'中古車掲載'!F341="ATTO 3",'中古車掲載'!L341="EXTENDED RANGE",'中古車掲載'!J341=2023,ISNUMBER('中古車掲載'!N341),'中古車掲載'!N341&gt;=20000,'中古車掲載'!O341&lt;=50000,'中古車掲載'!AL341=1),'中古車掲載'!U341,"")</x:f>
      </x:c>
      <x:c r="BE340" s="3" t="str">
        <x:f>IF(AND('中古車掲載'!C341="One2car",'中古車掲載'!F341="Corolla Cross",'中古車掲載'!L341="HEV PREMIUM SAFETY",'中古車掲載'!J341=2023,ISNUMBER('中古車掲載'!N341),'中古車掲載'!N341&gt;=20000,'中古車掲載'!O341&lt;=50000,'中古車掲載'!AL341=1,'中古車掲載'!Z341="https://www.one2car.com/en/cars-for-sale/toyota/corolla-cross/year-2023"),'中古車掲載'!U341,"")</x:f>
      </x:c>
      <x:c r="BF340" s="3" t="str">
        <x:f>IF(AND('中古車掲載'!C341="One2car",'中古車掲載'!F341="Corolla Cross",'中古車掲載'!L341="HEV PREMIUM",'中古車掲載'!J341=2023,ISNUMBER('中古車掲載'!N341),'中古車掲載'!N341&gt;=20000,'中古車掲載'!O341&lt;=100000,'中古車掲載'!AL341=1,'中古車掲載'!Z341="https://www.one2car.com/en/cars-for-sale/toyota/corolla-cross/year-2023"),'中古車掲載'!U341,"")</x:f>
      </x:c>
      <x:c r="BG340" s="3" t="str">
        <x:f>IF(AND('中古車掲載'!C341="One2car",'中古車掲載'!F341="Corolla Cross",'中古車掲載'!L341="HEV GR SPORT",'中古車掲載'!J341=2023,ISNUMBER('中古車掲載'!N341),'中古車掲載'!N341&gt;=20000,'中古車掲載'!O341&lt;=100000,'中古車掲載'!AL341=1,'中古車掲載'!Z341="https://www.one2car.com/en/cars-for-sale/toyota/corolla-cross/year-2023"),'中古車掲載'!U341,"")</x:f>
      </x:c>
      <x:c r="BH340" s="3" t="str">
        <x:f>IF(AND('中古車掲載'!C341="One2car",'中古車掲載'!F341="DOLPHIN",'中古車掲載'!L341="STANDARD RANGE",'中古車掲載'!J341=2023,ISNUMBER('中古車掲載'!N341),'中古車掲載'!N341&gt;=20000,'中古車掲載'!O341&lt;=100000,'中古車掲載'!AL341=1),'中古車掲載'!U341,"")</x:f>
      </x:c>
      <x:c r="BI340" s="3" t="str">
        <x:v>Taladrod|Corolla Cross|HEV|Unknown</x:v>
      </x:c>
      <x:c r="BJ340" s="3" t="n">
        <x:v>341</x:v>
      </x:c>
      <x:c r="BK340" s="3" t="n">
        <x:f>'中古車掲載'!AM341</x:f>
        <x:v>789000</x:v>
      </x:c>
      <x:c r="BL340" s="3" t="str">
        <x:f>IF(ISNUMBER('中古車掲載'!AN341),'中古車掲載'!AN341,"")</x:f>
      </x:c>
      <x:c r="BM340" s="3"/>
      <x:c r="BN340" s="3"/>
      <x:c r="BO340" s="3"/>
      <x:c r="BP340" s="3"/>
      <x:c r="BQ340" s="3"/>
      <x:c r="BR340" s="3"/>
    </x:row>
    <x:row r="341" ht="22" customHeight="1">
      <x:c r="A341" s="3" t="str">
        <x:v>Fortuner</x:v>
      </x:c>
      <x:c r="B341" s="3" t="str">
        <x:v>ICE</x:v>
      </x:c>
      <x:c r="C341" s="3" t="str">
        <x:v>One2car</x:v>
      </x:c>
      <x:c r="D341" s="3" t="str">
        <x:v>SUV</x:v>
      </x:c>
      <x:c r="E341" s="3" t="str"/>
      <x:c r="F341" s="3" t="n">
        <x:v>2021</x:v>
      </x:c>
      <x:c r="G341" s="3" t="str">
        <x:v>LEGENDER</x:v>
      </x:c>
      <x:c r="H341" s="3" t="str">
        <x:v>100–150千km</x:v>
      </x:c>
      <x:c r="I341" s="3" t="str">
        <x:v>世代不明</x:v>
      </x:c>
      <x:c r="J341" s="22" t="n">
        <x:f>COUNT('中古車掲載'!AM107:AM107)</x:f>
        <x:v>1</x:v>
      </x:c>
      <x:c r="K341" s="22" t="n">
        <x:f>IF(COUNT('中古車掲載'!AM107:AM107)=0,"",QUARTILE('中古車掲載'!AM107:AM107,1))</x:f>
        <x:v>1070000</x:v>
      </x:c>
      <x:c r="L341" s="22" t="n">
        <x:f>IF(COUNT('中古車掲載'!AM107:AM107)=0,"",MEDIAN('中古車掲載'!AM107:AM107))</x:f>
        <x:v>1070000</x:v>
      </x:c>
      <x:c r="M341" s="22" t="n">
        <x:f>IF(COUNT('中古車掲載'!AM107:AM107)=0,"",QUARTILE('中古車掲載'!AM107:AM107,3))</x:f>
        <x:v>1070000</x:v>
      </x:c>
      <x:c r="N341" s="22" t="n">
        <x:f>COUNT('中古車掲載'!AN107:AN107)</x:f>
        <x:v>0</x:v>
      </x:c>
      <x:c r="O341" s="23" t="str">
        <x:f>IF(COUNT('中古車掲載'!AN107:AN107)=0,"",MEDIAN('中古車掲載'!AN107:AN107))</x:f>
      </x:c>
      <x:c r="P341" s="3"/>
      <x:c r="Q341" s="3"/>
      <x:c r="R341" s="3"/>
      <x:c r="S341" s="3"/>
      <x:c r="T341" s="3"/>
      <x:c r="U341" s="3"/>
      <x:c r="V341" s="3"/>
      <x:c r="W341" s="3"/>
      <x:c r="X341" s="3"/>
      <x:c r="Y341" s="3"/>
      <x:c r="Z341" s="3"/>
      <x:c r="AA341" s="3"/>
      <x:c r="AB341" s="3"/>
      <x:c r="AC341" s="3"/>
      <x:c r="AD341" s="3"/>
      <x:c r="AE341" s="3"/>
      <x:c r="AF341" s="3"/>
      <x:c r="AG341" s="3"/>
      <x:c r="AH341" s="3"/>
      <x:c r="AI341" s="3"/>
      <x:c r="AJ341" s="3"/>
      <x:c r="AK341" s="3"/>
      <x:c r="AL341" s="3"/>
      <x:c r="AM341" s="3"/>
      <x:c r="AN341" s="3"/>
      <x:c r="AO341" s="3"/>
      <x:c r="AP341" s="3"/>
      <x:c r="AQ341" s="3"/>
      <x:c r="AR341" s="3"/>
      <x:c r="AS341" s="3"/>
      <x:c r="AT341" s="3"/>
      <x:c r="AU341" s="3"/>
      <x:c r="AV341" s="3"/>
      <x:c r="AW341" s="3"/>
      <x:c r="AX341" s="3"/>
      <x:c r="AY341" s="3"/>
      <x:c r="AZ341" s="3" t="str">
        <x:f>IF(AND('中古車掲載'!C342="One2car",'中古車掲載'!F342="ATTO 3",'中古車掲載'!L342="EXTENDED RANGE",'中古車掲載'!J342=2023,ISNUMBER('中古車掲載'!N342),'中古車掲載'!N342&gt;=20000,'中古車掲載'!O342&lt;=100000,'中古車掲載'!AL342=1),'中古車掲載'!U342,"")</x:f>
      </x:c>
      <x:c r="BA341" s="3" t="str">
        <x:f>IF(AND('中古車掲載'!C342="One2car",'中古車掲載'!F342="Corolla Cross",'中古車掲載'!L342="HEV PREMIUM SAFETY",'中古車掲載'!J342=2023,ISNUMBER('中古車掲載'!N342),'中古車掲載'!N342&gt;=20000,'中古車掲載'!O342&lt;=100000,'中古車掲載'!AL342=1,'中古車掲載'!Z342="https://www.one2car.com/en/cars-for-sale/toyota/corolla-cross/year-2023"),'中古車掲載'!U342,"")</x:f>
      </x:c>
      <x:c r="BB341" s="3" t="str">
        <x:f>IF(AND('中古車掲載'!C342="One2car",'中古車掲載'!F342="ATTO 3",'中古車掲載'!L342="EXTENDED RANGE",'中古車掲載'!J342=2023,ISNUMBER('中古車掲載'!N342),'中古車掲載'!N342&gt;=50000,'中古車掲載'!O342&lt;=100000,'中古車掲載'!AL342=1),'中古車掲載'!U342,"")</x:f>
      </x:c>
      <x:c r="BC341" s="3" t="str">
        <x:f>IF(AND('中古車掲載'!C342="One2car",'中古車掲載'!F342="Corolla Cross",'中古車掲載'!L342="HEV PREMIUM SAFETY",'中古車掲載'!J342=2023,ISNUMBER('中古車掲載'!N342),'中古車掲載'!N342&gt;=50000,'中古車掲載'!O342&lt;=100000,'中古車掲載'!AL342=1,'中古車掲載'!Z342="https://www.one2car.com/en/cars-for-sale/toyota/corolla-cross/year-2023"),'中古車掲載'!U342,"")</x:f>
      </x:c>
      <x:c r="BD341" s="3" t="str">
        <x:f>IF(AND('中古車掲載'!C342="One2car",'中古車掲載'!F342="ATTO 3",'中古車掲載'!L342="EXTENDED RANGE",'中古車掲載'!J342=2023,ISNUMBER('中古車掲載'!N342),'中古車掲載'!N342&gt;=20000,'中古車掲載'!O342&lt;=50000,'中古車掲載'!AL342=1),'中古車掲載'!U342,"")</x:f>
      </x:c>
      <x:c r="BE341" s="3" t="str">
        <x:f>IF(AND('中古車掲載'!C342="One2car",'中古車掲載'!F342="Corolla Cross",'中古車掲載'!L342="HEV PREMIUM SAFETY",'中古車掲載'!J342=2023,ISNUMBER('中古車掲載'!N342),'中古車掲載'!N342&gt;=20000,'中古車掲載'!O342&lt;=50000,'中古車掲載'!AL342=1,'中古車掲載'!Z342="https://www.one2car.com/en/cars-for-sale/toyota/corolla-cross/year-2023"),'中古車掲載'!U342,"")</x:f>
      </x:c>
      <x:c r="BF341" s="3" t="str">
        <x:f>IF(AND('中古車掲載'!C342="One2car",'中古車掲載'!F342="Corolla Cross",'中古車掲載'!L342="HEV PREMIUM",'中古車掲載'!J342=2023,ISNUMBER('中古車掲載'!N342),'中古車掲載'!N342&gt;=20000,'中古車掲載'!O342&lt;=100000,'中古車掲載'!AL342=1,'中古車掲載'!Z342="https://www.one2car.com/en/cars-for-sale/toyota/corolla-cross/year-2023"),'中古車掲載'!U342,"")</x:f>
      </x:c>
      <x:c r="BG341" s="3" t="str">
        <x:f>IF(AND('中古車掲載'!C342="One2car",'中古車掲載'!F342="Corolla Cross",'中古車掲載'!L342="HEV GR SPORT",'中古車掲載'!J342=2023,ISNUMBER('中古車掲載'!N342),'中古車掲載'!N342&gt;=20000,'中古車掲載'!O342&lt;=100000,'中古車掲載'!AL342=1,'中古車掲載'!Z342="https://www.one2car.com/en/cars-for-sale/toyota/corolla-cross/year-2023"),'中古車掲載'!U342,"")</x:f>
      </x:c>
      <x:c r="BH341" s="3" t="str">
        <x:f>IF(AND('中古車掲載'!C342="One2car",'中古車掲載'!F342="DOLPHIN",'中古車掲載'!L342="STANDARD RANGE",'中古車掲載'!J342=2023,ISNUMBER('中古車掲載'!N342),'中古車掲載'!N342&gt;=20000,'中古車掲載'!O342&lt;=100000,'中古車掲載'!AL342=1),'中古車掲載'!U342,"")</x:f>
      </x:c>
      <x:c r="BI341" s="3" t="str">
        <x:v>Taladrod|Corolla Cross|HEV|Unknown</x:v>
      </x:c>
      <x:c r="BJ341" s="3" t="n">
        <x:v>342</x:v>
      </x:c>
      <x:c r="BK341" s="3" t="n">
        <x:f>'中古車掲載'!AM342</x:f>
        <x:v>745000</x:v>
      </x:c>
      <x:c r="BL341" s="3" t="str">
        <x:f>IF(ISNUMBER('中古車掲載'!AN342),'中古車掲載'!AN342,"")</x:f>
      </x:c>
      <x:c r="BM341" s="3"/>
      <x:c r="BN341" s="3"/>
      <x:c r="BO341" s="3"/>
      <x:c r="BP341" s="3"/>
      <x:c r="BQ341" s="3"/>
      <x:c r="BR341" s="3"/>
    </x:row>
    <x:row r="342" ht="22" customHeight="1">
      <x:c r="A342" s="3" t="str">
        <x:v>Fortuner</x:v>
      </x:c>
      <x:c r="B342" s="3" t="str">
        <x:v>ICE</x:v>
      </x:c>
      <x:c r="C342" s="3" t="str">
        <x:v>One2car</x:v>
      </x:c>
      <x:c r="D342" s="3" t="str">
        <x:v>SUV</x:v>
      </x:c>
      <x:c r="E342" s="3" t="str"/>
      <x:c r="F342" s="3" t="n">
        <x:v>2021</x:v>
      </x:c>
      <x:c r="G342" s="3" t="str">
        <x:v>LEGENDER</x:v>
      </x:c>
      <x:c r="H342" s="3" t="str">
        <x:v>50–100千km</x:v>
      </x:c>
      <x:c r="I342" s="3" t="str">
        <x:v>世代不明</x:v>
      </x:c>
      <x:c r="J342" s="22" t="n">
        <x:f>COUNT('中古車掲載'!AM108:AM108)</x:f>
        <x:v>1</x:v>
      </x:c>
      <x:c r="K342" s="22" t="n">
        <x:f>IF(COUNT('中古車掲載'!AM108:AM108)=0,"",QUARTILE('中古車掲載'!AM108:AM108,1))</x:f>
        <x:v>1139000</x:v>
      </x:c>
      <x:c r="L342" s="22" t="n">
        <x:f>IF(COUNT('中古車掲載'!AM108:AM108)=0,"",MEDIAN('中古車掲載'!AM108:AM108))</x:f>
        <x:v>1139000</x:v>
      </x:c>
      <x:c r="M342" s="22" t="n">
        <x:f>IF(COUNT('中古車掲載'!AM108:AM108)=0,"",QUARTILE('中古車掲載'!AM108:AM108,3))</x:f>
        <x:v>1139000</x:v>
      </x:c>
      <x:c r="N342" s="22" t="n">
        <x:f>COUNT('中古車掲載'!AN108:AN108)</x:f>
        <x:v>0</x:v>
      </x:c>
      <x:c r="O342" s="23" t="str">
        <x:f>IF(COUNT('中古車掲載'!AN108:AN108)=0,"",MEDIAN('中古車掲載'!AN108:AN108))</x:f>
      </x:c>
      <x:c r="P342" s="3"/>
      <x:c r="Q342" s="3"/>
      <x:c r="R342" s="3"/>
      <x:c r="S342" s="3"/>
      <x:c r="T342" s="3"/>
      <x:c r="U342" s="3"/>
      <x:c r="V342" s="3"/>
      <x:c r="W342" s="3"/>
      <x:c r="X342" s="3"/>
      <x:c r="Y342" s="3"/>
      <x:c r="Z342" s="3"/>
      <x:c r="AA342" s="3"/>
      <x:c r="AB342" s="3"/>
      <x:c r="AC342" s="3"/>
      <x:c r="AD342" s="3"/>
      <x:c r="AE342" s="3"/>
      <x:c r="AF342" s="3"/>
      <x:c r="AG342" s="3"/>
      <x:c r="AH342" s="3"/>
      <x:c r="AI342" s="3"/>
      <x:c r="AJ342" s="3"/>
      <x:c r="AK342" s="3"/>
      <x:c r="AL342" s="3"/>
      <x:c r="AM342" s="3"/>
      <x:c r="AN342" s="3"/>
      <x:c r="AO342" s="3"/>
      <x:c r="AP342" s="3"/>
      <x:c r="AQ342" s="3"/>
      <x:c r="AR342" s="3"/>
      <x:c r="AS342" s="3"/>
      <x:c r="AT342" s="3"/>
      <x:c r="AU342" s="3"/>
      <x:c r="AV342" s="3"/>
      <x:c r="AW342" s="3"/>
      <x:c r="AX342" s="3"/>
      <x:c r="AY342" s="3"/>
      <x:c r="AZ342" s="3" t="str">
        <x:f>IF(AND('中古車掲載'!C343="One2car",'中古車掲載'!F343="ATTO 3",'中古車掲載'!L343="EXTENDED RANGE",'中古車掲載'!J343=2023,ISNUMBER('中古車掲載'!N343),'中古車掲載'!N343&gt;=20000,'中古車掲載'!O343&lt;=100000,'中古車掲載'!AL343=1),'中古車掲載'!U343,"")</x:f>
      </x:c>
      <x:c r="BA342" s="3" t="str">
        <x:f>IF(AND('中古車掲載'!C343="One2car",'中古車掲載'!F343="Corolla Cross",'中古車掲載'!L343="HEV PREMIUM SAFETY",'中古車掲載'!J343=2023,ISNUMBER('中古車掲載'!N343),'中古車掲載'!N343&gt;=20000,'中古車掲載'!O343&lt;=100000,'中古車掲載'!AL343=1,'中古車掲載'!Z343="https://www.one2car.com/en/cars-for-sale/toyota/corolla-cross/year-2023"),'中古車掲載'!U343,"")</x:f>
      </x:c>
      <x:c r="BB342" s="3" t="str">
        <x:f>IF(AND('中古車掲載'!C343="One2car",'中古車掲載'!F343="ATTO 3",'中古車掲載'!L343="EXTENDED RANGE",'中古車掲載'!J343=2023,ISNUMBER('中古車掲載'!N343),'中古車掲載'!N343&gt;=50000,'中古車掲載'!O343&lt;=100000,'中古車掲載'!AL343=1),'中古車掲載'!U343,"")</x:f>
      </x:c>
      <x:c r="BC342" s="3" t="str">
        <x:f>IF(AND('中古車掲載'!C343="One2car",'中古車掲載'!F343="Corolla Cross",'中古車掲載'!L343="HEV PREMIUM SAFETY",'中古車掲載'!J343=2023,ISNUMBER('中古車掲載'!N343),'中古車掲載'!N343&gt;=50000,'中古車掲載'!O343&lt;=100000,'中古車掲載'!AL343=1,'中古車掲載'!Z343="https://www.one2car.com/en/cars-for-sale/toyota/corolla-cross/year-2023"),'中古車掲載'!U343,"")</x:f>
      </x:c>
      <x:c r="BD342" s="3" t="str">
        <x:f>IF(AND('中古車掲載'!C343="One2car",'中古車掲載'!F343="ATTO 3",'中古車掲載'!L343="EXTENDED RANGE",'中古車掲載'!J343=2023,ISNUMBER('中古車掲載'!N343),'中古車掲載'!N343&gt;=20000,'中古車掲載'!O343&lt;=50000,'中古車掲載'!AL343=1),'中古車掲載'!U343,"")</x:f>
      </x:c>
      <x:c r="BE342" s="3" t="str">
        <x:f>IF(AND('中古車掲載'!C343="One2car",'中古車掲載'!F343="Corolla Cross",'中古車掲載'!L343="HEV PREMIUM SAFETY",'中古車掲載'!J343=2023,ISNUMBER('中古車掲載'!N343),'中古車掲載'!N343&gt;=20000,'中古車掲載'!O343&lt;=50000,'中古車掲載'!AL343=1,'中古車掲載'!Z343="https://www.one2car.com/en/cars-for-sale/toyota/corolla-cross/year-2023"),'中古車掲載'!U343,"")</x:f>
      </x:c>
      <x:c r="BF342" s="3" t="str">
        <x:f>IF(AND('中古車掲載'!C343="One2car",'中古車掲載'!F343="Corolla Cross",'中古車掲載'!L343="HEV PREMIUM",'中古車掲載'!J343=2023,ISNUMBER('中古車掲載'!N343),'中古車掲載'!N343&gt;=20000,'中古車掲載'!O343&lt;=100000,'中古車掲載'!AL343=1,'中古車掲載'!Z343="https://www.one2car.com/en/cars-for-sale/toyota/corolla-cross/year-2023"),'中古車掲載'!U343,"")</x:f>
      </x:c>
      <x:c r="BG342" s="3" t="str">
        <x:f>IF(AND('中古車掲載'!C343="One2car",'中古車掲載'!F343="Corolla Cross",'中古車掲載'!L343="HEV GR SPORT",'中古車掲載'!J343=2023,ISNUMBER('中古車掲載'!N343),'中古車掲載'!N343&gt;=20000,'中古車掲載'!O343&lt;=100000,'中古車掲載'!AL343=1,'中古車掲載'!Z343="https://www.one2car.com/en/cars-for-sale/toyota/corolla-cross/year-2023"),'中古車掲載'!U343,"")</x:f>
      </x:c>
      <x:c r="BH342" s="3" t="str">
        <x:f>IF(AND('中古車掲載'!C343="One2car",'中古車掲載'!F343="DOLPHIN",'中古車掲載'!L343="STANDARD RANGE",'中古車掲載'!J343=2023,ISNUMBER('中古車掲載'!N343),'中古車掲載'!N343&gt;=20000,'中古車掲載'!O343&lt;=100000,'中古車掲載'!AL343=1),'中古車掲載'!U343,"")</x:f>
      </x:c>
      <x:c r="BI342" s="3" t="str">
        <x:v>Taladrod|Corolla Cross|HEV|Unknown</x:v>
      </x:c>
      <x:c r="BJ342" s="3" t="n">
        <x:v>343</x:v>
      </x:c>
      <x:c r="BK342" s="3" t="n">
        <x:f>'中古車掲載'!AM343</x:f>
        <x:v>795000</x:v>
      </x:c>
      <x:c r="BL342" s="3" t="str">
        <x:f>IF(ISNUMBER('中古車掲載'!AN343),'中古車掲載'!AN343,"")</x:f>
      </x:c>
      <x:c r="BM342" s="3"/>
      <x:c r="BN342" s="3"/>
      <x:c r="BO342" s="3"/>
      <x:c r="BP342" s="3"/>
      <x:c r="BQ342" s="3"/>
      <x:c r="BR342" s="3"/>
    </x:row>
    <x:row r="343" ht="22" customHeight="1">
      <x:c r="A343" s="3" t="str">
        <x:v>Fortuner</x:v>
      </x:c>
      <x:c r="B343" s="3" t="str">
        <x:v>ICE</x:v>
      </x:c>
      <x:c r="C343" s="3" t="str">
        <x:v>One2car</x:v>
      </x:c>
      <x:c r="D343" s="3" t="str">
        <x:v>SUV</x:v>
      </x:c>
      <x:c r="E343" s="3" t="str"/>
      <x:c r="F343" s="3" t="n">
        <x:v>2022</x:v>
      </x:c>
      <x:c r="G343" s="3" t="str">
        <x:v>GR SPORT</x:v>
      </x:c>
      <x:c r="H343" s="3" t="str">
        <x:v>100–150千km</x:v>
      </x:c>
      <x:c r="I343" s="3" t="str">
        <x:v>世代不明</x:v>
      </x:c>
      <x:c r="J343" s="22" t="n">
        <x:f>COUNT('中古車掲載'!AM109:AM109)</x:f>
        <x:v>1</x:v>
      </x:c>
      <x:c r="K343" s="22" t="n">
        <x:f>IF(COUNT('中古車掲載'!AM109:AM109)=0,"",QUARTILE('中古車掲載'!AM109:AM109,1))</x:f>
        <x:v>1150000</x:v>
      </x:c>
      <x:c r="L343" s="22" t="n">
        <x:f>IF(COUNT('中古車掲載'!AM109:AM109)=0,"",MEDIAN('中古車掲載'!AM109:AM109))</x:f>
        <x:v>1150000</x:v>
      </x:c>
      <x:c r="M343" s="22" t="n">
        <x:f>IF(COUNT('中古車掲載'!AM109:AM109)=0,"",QUARTILE('中古車掲載'!AM109:AM109,3))</x:f>
        <x:v>1150000</x:v>
      </x:c>
      <x:c r="N343" s="22" t="n">
        <x:f>COUNT('中古車掲載'!AN109:AN109)</x:f>
        <x:v>0</x:v>
      </x:c>
      <x:c r="O343" s="23" t="str">
        <x:f>IF(COUNT('中古車掲載'!AN109:AN109)=0,"",MEDIAN('中古車掲載'!AN109:AN109))</x:f>
      </x:c>
      <x:c r="P343" s="3"/>
      <x:c r="Q343" s="3"/>
      <x:c r="R343" s="3"/>
      <x:c r="S343" s="3"/>
      <x:c r="T343" s="3"/>
      <x:c r="U343" s="3"/>
      <x:c r="V343" s="3"/>
      <x:c r="W343" s="3"/>
      <x:c r="X343" s="3"/>
      <x:c r="Y343" s="3"/>
      <x:c r="Z343" s="3"/>
      <x:c r="AA343" s="3"/>
      <x:c r="AB343" s="3"/>
      <x:c r="AC343" s="3"/>
      <x:c r="AD343" s="3"/>
      <x:c r="AE343" s="3"/>
      <x:c r="AF343" s="3"/>
      <x:c r="AG343" s="3"/>
      <x:c r="AH343" s="3"/>
      <x:c r="AI343" s="3"/>
      <x:c r="AJ343" s="3"/>
      <x:c r="AK343" s="3"/>
      <x:c r="AL343" s="3"/>
      <x:c r="AM343" s="3"/>
      <x:c r="AN343" s="3"/>
      <x:c r="AO343" s="3"/>
      <x:c r="AP343" s="3"/>
      <x:c r="AQ343" s="3"/>
      <x:c r="AR343" s="3"/>
      <x:c r="AS343" s="3"/>
      <x:c r="AT343" s="3"/>
      <x:c r="AU343" s="3"/>
      <x:c r="AV343" s="3"/>
      <x:c r="AW343" s="3"/>
      <x:c r="AX343" s="3"/>
      <x:c r="AY343" s="3"/>
      <x:c r="AZ343" s="3" t="str">
        <x:f>IF(AND('中古車掲載'!C344="One2car",'中古車掲載'!F344="ATTO 3",'中古車掲載'!L344="EXTENDED RANGE",'中古車掲載'!J344=2023,ISNUMBER('中古車掲載'!N344),'中古車掲載'!N344&gt;=20000,'中古車掲載'!O344&lt;=100000,'中古車掲載'!AL344=1),'中古車掲載'!U344,"")</x:f>
      </x:c>
      <x:c r="BA343" s="3" t="str">
        <x:f>IF(AND('中古車掲載'!C344="One2car",'中古車掲載'!F344="Corolla Cross",'中古車掲載'!L344="HEV PREMIUM SAFETY",'中古車掲載'!J344=2023,ISNUMBER('中古車掲載'!N344),'中古車掲載'!N344&gt;=20000,'中古車掲載'!O344&lt;=100000,'中古車掲載'!AL344=1,'中古車掲載'!Z344="https://www.one2car.com/en/cars-for-sale/toyota/corolla-cross/year-2023"),'中古車掲載'!U344,"")</x:f>
      </x:c>
      <x:c r="BB343" s="3" t="str">
        <x:f>IF(AND('中古車掲載'!C344="One2car",'中古車掲載'!F344="ATTO 3",'中古車掲載'!L344="EXTENDED RANGE",'中古車掲載'!J344=2023,ISNUMBER('中古車掲載'!N344),'中古車掲載'!N344&gt;=50000,'中古車掲載'!O344&lt;=100000,'中古車掲載'!AL344=1),'中古車掲載'!U344,"")</x:f>
      </x:c>
      <x:c r="BC343" s="3" t="str">
        <x:f>IF(AND('中古車掲載'!C344="One2car",'中古車掲載'!F344="Corolla Cross",'中古車掲載'!L344="HEV PREMIUM SAFETY",'中古車掲載'!J344=2023,ISNUMBER('中古車掲載'!N344),'中古車掲載'!N344&gt;=50000,'中古車掲載'!O344&lt;=100000,'中古車掲載'!AL344=1,'中古車掲載'!Z344="https://www.one2car.com/en/cars-for-sale/toyota/corolla-cross/year-2023"),'中古車掲載'!U344,"")</x:f>
      </x:c>
      <x:c r="BD343" s="3" t="str">
        <x:f>IF(AND('中古車掲載'!C344="One2car",'中古車掲載'!F344="ATTO 3",'中古車掲載'!L344="EXTENDED RANGE",'中古車掲載'!J344=2023,ISNUMBER('中古車掲載'!N344),'中古車掲載'!N344&gt;=20000,'中古車掲載'!O344&lt;=50000,'中古車掲載'!AL344=1),'中古車掲載'!U344,"")</x:f>
      </x:c>
      <x:c r="BE343" s="3" t="str">
        <x:f>IF(AND('中古車掲載'!C344="One2car",'中古車掲載'!F344="Corolla Cross",'中古車掲載'!L344="HEV PREMIUM SAFETY",'中古車掲載'!J344=2023,ISNUMBER('中古車掲載'!N344),'中古車掲載'!N344&gt;=20000,'中古車掲載'!O344&lt;=50000,'中古車掲載'!AL344=1,'中古車掲載'!Z344="https://www.one2car.com/en/cars-for-sale/toyota/corolla-cross/year-2023"),'中古車掲載'!U344,"")</x:f>
      </x:c>
      <x:c r="BF343" s="3" t="str">
        <x:f>IF(AND('中古車掲載'!C344="One2car",'中古車掲載'!F344="Corolla Cross",'中古車掲載'!L344="HEV PREMIUM",'中古車掲載'!J344=2023,ISNUMBER('中古車掲載'!N344),'中古車掲載'!N344&gt;=20000,'中古車掲載'!O344&lt;=100000,'中古車掲載'!AL344=1,'中古車掲載'!Z344="https://www.one2car.com/en/cars-for-sale/toyota/corolla-cross/year-2023"),'中古車掲載'!U344,"")</x:f>
      </x:c>
      <x:c r="BG343" s="3" t="str">
        <x:f>IF(AND('中古車掲載'!C344="One2car",'中古車掲載'!F344="Corolla Cross",'中古車掲載'!L344="HEV GR SPORT",'中古車掲載'!J344=2023,ISNUMBER('中古車掲載'!N344),'中古車掲載'!N344&gt;=20000,'中古車掲載'!O344&lt;=100000,'中古車掲載'!AL344=1,'中古車掲載'!Z344="https://www.one2car.com/en/cars-for-sale/toyota/corolla-cross/year-2023"),'中古車掲載'!U344,"")</x:f>
      </x:c>
      <x:c r="BH343" s="3" t="str">
        <x:f>IF(AND('中古車掲載'!C344="One2car",'中古車掲載'!F344="DOLPHIN",'中古車掲載'!L344="STANDARD RANGE",'中古車掲載'!J344=2023,ISNUMBER('中古車掲載'!N344),'中古車掲載'!N344&gt;=20000,'中古車掲載'!O344&lt;=100000,'中古車掲載'!AL344=1),'中古車掲載'!U344,"")</x:f>
      </x:c>
      <x:c r="BI343" s="3" t="str">
        <x:v>Taladrod|Corolla Cross|HEV|Unknown</x:v>
      </x:c>
      <x:c r="BJ343" s="3" t="n">
        <x:v>344</x:v>
      </x:c>
      <x:c r="BK343" s="3" t="n">
        <x:f>'中古車掲載'!AM344</x:f>
        <x:v>719000</x:v>
      </x:c>
      <x:c r="BL343" s="3" t="str">
        <x:f>IF(ISNUMBER('中古車掲載'!AN344),'中古車掲載'!AN344,"")</x:f>
      </x:c>
      <x:c r="BM343" s="3"/>
      <x:c r="BN343" s="3"/>
      <x:c r="BO343" s="3"/>
      <x:c r="BP343" s="3"/>
      <x:c r="BQ343" s="3"/>
      <x:c r="BR343" s="3"/>
    </x:row>
    <x:row r="344" ht="22" customHeight="1">
      <x:c r="A344" s="3" t="str">
        <x:v>Fortuner</x:v>
      </x:c>
      <x:c r="B344" s="3" t="str">
        <x:v>ICE</x:v>
      </x:c>
      <x:c r="C344" s="3" t="str">
        <x:v>One2car</x:v>
      </x:c>
      <x:c r="D344" s="3" t="str">
        <x:v>SUV</x:v>
      </x:c>
      <x:c r="E344" s="3" t="str"/>
      <x:c r="F344" s="3" t="n">
        <x:v>2022</x:v>
      </x:c>
      <x:c r="G344" s="3" t="str">
        <x:v>LEGENDER</x:v>
      </x:c>
      <x:c r="H344" s="3" t="str">
        <x:v>50–100千km</x:v>
      </x:c>
      <x:c r="I344" s="3" t="str">
        <x:v>世代不明</x:v>
      </x:c>
      <x:c r="J344" s="22" t="n">
        <x:f>COUNT('中古車掲載'!AM110:AM110)</x:f>
        <x:v>1</x:v>
      </x:c>
      <x:c r="K344" s="22" t="n">
        <x:f>IF(COUNT('中古車掲載'!AM110:AM110)=0,"",QUARTILE('中古車掲載'!AM110:AM110,1))</x:f>
        <x:v>979000</x:v>
      </x:c>
      <x:c r="L344" s="22" t="n">
        <x:f>IF(COUNT('中古車掲載'!AM110:AM110)=0,"",MEDIAN('中古車掲載'!AM110:AM110))</x:f>
        <x:v>979000</x:v>
      </x:c>
      <x:c r="M344" s="22" t="n">
        <x:f>IF(COUNT('中古車掲載'!AM110:AM110)=0,"",QUARTILE('中古車掲載'!AM110:AM110,3))</x:f>
        <x:v>979000</x:v>
      </x:c>
      <x:c r="N344" s="22" t="n">
        <x:f>COUNT('中古車掲載'!AN110:AN110)</x:f>
        <x:v>0</x:v>
      </x:c>
      <x:c r="O344" s="23" t="str">
        <x:f>IF(COUNT('中古車掲載'!AN110:AN110)=0,"",MEDIAN('中古車掲載'!AN110:AN110))</x:f>
      </x:c>
      <x:c r="P344" s="3"/>
      <x:c r="Q344" s="3"/>
      <x:c r="R344" s="3"/>
      <x:c r="S344" s="3"/>
      <x:c r="T344" s="3"/>
      <x:c r="U344" s="3"/>
      <x:c r="V344" s="3"/>
      <x:c r="W344" s="3"/>
      <x:c r="X344" s="3"/>
      <x:c r="Y344" s="3"/>
      <x:c r="Z344" s="3"/>
      <x:c r="AA344" s="3"/>
      <x:c r="AB344" s="3"/>
      <x:c r="AC344" s="3"/>
      <x:c r="AD344" s="3"/>
      <x:c r="AE344" s="3"/>
      <x:c r="AF344" s="3"/>
      <x:c r="AG344" s="3"/>
      <x:c r="AH344" s="3"/>
      <x:c r="AI344" s="3"/>
      <x:c r="AJ344" s="3"/>
      <x:c r="AK344" s="3"/>
      <x:c r="AL344" s="3"/>
      <x:c r="AM344" s="3"/>
      <x:c r="AN344" s="3"/>
      <x:c r="AO344" s="3"/>
      <x:c r="AP344" s="3"/>
      <x:c r="AQ344" s="3"/>
      <x:c r="AR344" s="3"/>
      <x:c r="AS344" s="3"/>
      <x:c r="AT344" s="3"/>
      <x:c r="AU344" s="3"/>
      <x:c r="AV344" s="3"/>
      <x:c r="AW344" s="3"/>
      <x:c r="AX344" s="3"/>
      <x:c r="AY344" s="3"/>
      <x:c r="AZ344" s="3" t="str">
        <x:f>IF(AND('中古車掲載'!C345="One2car",'中古車掲載'!F345="ATTO 3",'中古車掲載'!L345="EXTENDED RANGE",'中古車掲載'!J345=2023,ISNUMBER('中古車掲載'!N345),'中古車掲載'!N345&gt;=20000,'中古車掲載'!O345&lt;=100000,'中古車掲載'!AL345=1),'中古車掲載'!U345,"")</x:f>
      </x:c>
      <x:c r="BA344" s="3" t="str">
        <x:f>IF(AND('中古車掲載'!C345="One2car",'中古車掲載'!F345="Corolla Cross",'中古車掲載'!L345="HEV PREMIUM SAFETY",'中古車掲載'!J345=2023,ISNUMBER('中古車掲載'!N345),'中古車掲載'!N345&gt;=20000,'中古車掲載'!O345&lt;=100000,'中古車掲載'!AL345=1,'中古車掲載'!Z345="https://www.one2car.com/en/cars-for-sale/toyota/corolla-cross/year-2023"),'中古車掲載'!U345,"")</x:f>
      </x:c>
      <x:c r="BB344" s="3" t="str">
        <x:f>IF(AND('中古車掲載'!C345="One2car",'中古車掲載'!F345="ATTO 3",'中古車掲載'!L345="EXTENDED RANGE",'中古車掲載'!J345=2023,ISNUMBER('中古車掲載'!N345),'中古車掲載'!N345&gt;=50000,'中古車掲載'!O345&lt;=100000,'中古車掲載'!AL345=1),'中古車掲載'!U345,"")</x:f>
      </x:c>
      <x:c r="BC344" s="3" t="str">
        <x:f>IF(AND('中古車掲載'!C345="One2car",'中古車掲載'!F345="Corolla Cross",'中古車掲載'!L345="HEV PREMIUM SAFETY",'中古車掲載'!J345=2023,ISNUMBER('中古車掲載'!N345),'中古車掲載'!N345&gt;=50000,'中古車掲載'!O345&lt;=100000,'中古車掲載'!AL345=1,'中古車掲載'!Z345="https://www.one2car.com/en/cars-for-sale/toyota/corolla-cross/year-2023"),'中古車掲載'!U345,"")</x:f>
      </x:c>
      <x:c r="BD344" s="3" t="str">
        <x:f>IF(AND('中古車掲載'!C345="One2car",'中古車掲載'!F345="ATTO 3",'中古車掲載'!L345="EXTENDED RANGE",'中古車掲載'!J345=2023,ISNUMBER('中古車掲載'!N345),'中古車掲載'!N345&gt;=20000,'中古車掲載'!O345&lt;=50000,'中古車掲載'!AL345=1),'中古車掲載'!U345,"")</x:f>
      </x:c>
      <x:c r="BE344" s="3" t="str">
        <x:f>IF(AND('中古車掲載'!C345="One2car",'中古車掲載'!F345="Corolla Cross",'中古車掲載'!L345="HEV PREMIUM SAFETY",'中古車掲載'!J345=2023,ISNUMBER('中古車掲載'!N345),'中古車掲載'!N345&gt;=20000,'中古車掲載'!O345&lt;=50000,'中古車掲載'!AL345=1,'中古車掲載'!Z345="https://www.one2car.com/en/cars-for-sale/toyota/corolla-cross/year-2023"),'中古車掲載'!U345,"")</x:f>
      </x:c>
      <x:c r="BF344" s="3" t="str">
        <x:f>IF(AND('中古車掲載'!C345="One2car",'中古車掲載'!F345="Corolla Cross",'中古車掲載'!L345="HEV PREMIUM",'中古車掲載'!J345=2023,ISNUMBER('中古車掲載'!N345),'中古車掲載'!N345&gt;=20000,'中古車掲載'!O345&lt;=100000,'中古車掲載'!AL345=1,'中古車掲載'!Z345="https://www.one2car.com/en/cars-for-sale/toyota/corolla-cross/year-2023"),'中古車掲載'!U345,"")</x:f>
      </x:c>
      <x:c r="BG344" s="3" t="str">
        <x:f>IF(AND('中古車掲載'!C345="One2car",'中古車掲載'!F345="Corolla Cross",'中古車掲載'!L345="HEV GR SPORT",'中古車掲載'!J345=2023,ISNUMBER('中古車掲載'!N345),'中古車掲載'!N345&gt;=20000,'中古車掲載'!O345&lt;=100000,'中古車掲載'!AL345=1,'中古車掲載'!Z345="https://www.one2car.com/en/cars-for-sale/toyota/corolla-cross/year-2023"),'中古車掲載'!U345,"")</x:f>
      </x:c>
      <x:c r="BH344" s="3" t="str">
        <x:f>IF(AND('中古車掲載'!C345="One2car",'中古車掲載'!F345="DOLPHIN",'中古車掲載'!L345="STANDARD RANGE",'中古車掲載'!J345=2023,ISNUMBER('中古車掲載'!N345),'中古車掲載'!N345&gt;=20000,'中古車掲載'!O345&lt;=100000,'中古車掲載'!AL345=1),'中古車掲載'!U345,"")</x:f>
      </x:c>
      <x:c r="BI344" s="3" t="str">
        <x:v>Taladrod|Corolla Cross|HEV|Unknown</x:v>
      </x:c>
      <x:c r="BJ344" s="3" t="n">
        <x:v>345</x:v>
      </x:c>
      <x:c r="BK344" s="3" t="n">
        <x:f>'中古車掲載'!AM345</x:f>
        <x:v>769000</x:v>
      </x:c>
      <x:c r="BL344" s="3" t="str">
        <x:f>IF(ISNUMBER('中古車掲載'!AN345),'中古車掲載'!AN345,"")</x:f>
      </x:c>
      <x:c r="BM344" s="3"/>
      <x:c r="BN344" s="3"/>
      <x:c r="BO344" s="3"/>
      <x:c r="BP344" s="3"/>
      <x:c r="BQ344" s="3"/>
      <x:c r="BR344" s="3"/>
    </x:row>
    <x:row r="345" ht="22" customHeight="1">
      <x:c r="A345" s="3" t="str">
        <x:v>Fortuner</x:v>
      </x:c>
      <x:c r="B345" s="3" t="str">
        <x:v>ICE</x:v>
      </x:c>
      <x:c r="C345" s="3" t="str">
        <x:v>One2car</x:v>
      </x:c>
      <x:c r="D345" s="3" t="str">
        <x:v>SUV</x:v>
      </x:c>
      <x:c r="E345" s="3" t="str"/>
      <x:c r="F345" s="3" t="n">
        <x:v>2022</x:v>
      </x:c>
      <x:c r="G345" s="3" t="str">
        <x:v>V</x:v>
      </x:c>
      <x:c r="H345" s="3" t="str">
        <x:v>50–100千km</x:v>
      </x:c>
      <x:c r="I345" s="3" t="str">
        <x:v>世代不明</x:v>
      </x:c>
      <x:c r="J345" s="22" t="n">
        <x:f>COUNT('中古車掲載'!AM111:AM112)</x:f>
        <x:v>2</x:v>
      </x:c>
      <x:c r="K345" s="22" t="n">
        <x:f>IF(COUNT('中古車掲載'!AM111:AM112)=0,"",QUARTILE('中古車掲載'!AM111:AM112,1))</x:f>
        <x:v>824000</x:v>
      </x:c>
      <x:c r="L345" s="22" t="n">
        <x:f>IF(COUNT('中古車掲載'!AM111:AM112)=0,"",MEDIAN('中古車掲載'!AM111:AM112))</x:f>
        <x:v>849000</x:v>
      </x:c>
      <x:c r="M345" s="22" t="n">
        <x:f>IF(COUNT('中古車掲載'!AM111:AM112)=0,"",QUARTILE('中古車掲載'!AM111:AM112,3))</x:f>
        <x:v>874000</x:v>
      </x:c>
      <x:c r="N345" s="22" t="n">
        <x:f>COUNT('中古車掲載'!AN111:AN112)</x:f>
        <x:v>0</x:v>
      </x:c>
      <x:c r="O345" s="23" t="str">
        <x:f>IF(COUNT('中古車掲載'!AN111:AN112)=0,"",MEDIAN('中古車掲載'!AN111:AN112))</x:f>
      </x:c>
      <x:c r="P345" s="3"/>
      <x:c r="Q345" s="3"/>
      <x:c r="R345" s="3"/>
      <x:c r="S345" s="3"/>
      <x:c r="T345" s="3"/>
      <x:c r="U345" s="3"/>
      <x:c r="V345" s="3"/>
      <x:c r="W345" s="3"/>
      <x:c r="X345" s="3"/>
      <x:c r="Y345" s="3"/>
      <x:c r="Z345" s="3"/>
      <x:c r="AA345" s="3"/>
      <x:c r="AB345" s="3"/>
      <x:c r="AC345" s="3"/>
      <x:c r="AD345" s="3"/>
      <x:c r="AE345" s="3"/>
      <x:c r="AF345" s="3"/>
      <x:c r="AG345" s="3"/>
      <x:c r="AH345" s="3"/>
      <x:c r="AI345" s="3"/>
      <x:c r="AJ345" s="3"/>
      <x:c r="AK345" s="3"/>
      <x:c r="AL345" s="3"/>
      <x:c r="AM345" s="3"/>
      <x:c r="AN345" s="3"/>
      <x:c r="AO345" s="3"/>
      <x:c r="AP345" s="3"/>
      <x:c r="AQ345" s="3"/>
      <x:c r="AR345" s="3"/>
      <x:c r="AS345" s="3"/>
      <x:c r="AT345" s="3"/>
      <x:c r="AU345" s="3"/>
      <x:c r="AV345" s="3"/>
      <x:c r="AW345" s="3"/>
      <x:c r="AX345" s="3"/>
      <x:c r="AY345" s="3"/>
      <x:c r="AZ345" s="3" t="str">
        <x:f>IF(AND('中古車掲載'!C346="One2car",'中古車掲載'!F346="ATTO 3",'中古車掲載'!L346="EXTENDED RANGE",'中古車掲載'!J346=2023,ISNUMBER('中古車掲載'!N346),'中古車掲載'!N346&gt;=20000,'中古車掲載'!O346&lt;=100000,'中古車掲載'!AL346=1),'中古車掲載'!U346,"")</x:f>
      </x:c>
      <x:c r="BA345" s="3" t="str">
        <x:f>IF(AND('中古車掲載'!C346="One2car",'中古車掲載'!F346="Corolla Cross",'中古車掲載'!L346="HEV PREMIUM SAFETY",'中古車掲載'!J346=2023,ISNUMBER('中古車掲載'!N346),'中古車掲載'!N346&gt;=20000,'中古車掲載'!O346&lt;=100000,'中古車掲載'!AL346=1,'中古車掲載'!Z346="https://www.one2car.com/en/cars-for-sale/toyota/corolla-cross/year-2023"),'中古車掲載'!U346,"")</x:f>
      </x:c>
      <x:c r="BB345" s="3" t="str">
        <x:f>IF(AND('中古車掲載'!C346="One2car",'中古車掲載'!F346="ATTO 3",'中古車掲載'!L346="EXTENDED RANGE",'中古車掲載'!J346=2023,ISNUMBER('中古車掲載'!N346),'中古車掲載'!N346&gt;=50000,'中古車掲載'!O346&lt;=100000,'中古車掲載'!AL346=1),'中古車掲載'!U346,"")</x:f>
      </x:c>
      <x:c r="BC345" s="3" t="str">
        <x:f>IF(AND('中古車掲載'!C346="One2car",'中古車掲載'!F346="Corolla Cross",'中古車掲載'!L346="HEV PREMIUM SAFETY",'中古車掲載'!J346=2023,ISNUMBER('中古車掲載'!N346),'中古車掲載'!N346&gt;=50000,'中古車掲載'!O346&lt;=100000,'中古車掲載'!AL346=1,'中古車掲載'!Z346="https://www.one2car.com/en/cars-for-sale/toyota/corolla-cross/year-2023"),'中古車掲載'!U346,"")</x:f>
      </x:c>
      <x:c r="BD345" s="3" t="str">
        <x:f>IF(AND('中古車掲載'!C346="One2car",'中古車掲載'!F346="ATTO 3",'中古車掲載'!L346="EXTENDED RANGE",'中古車掲載'!J346=2023,ISNUMBER('中古車掲載'!N346),'中古車掲載'!N346&gt;=20000,'中古車掲載'!O346&lt;=50000,'中古車掲載'!AL346=1),'中古車掲載'!U346,"")</x:f>
      </x:c>
      <x:c r="BE345" s="3" t="str">
        <x:f>IF(AND('中古車掲載'!C346="One2car",'中古車掲載'!F346="Corolla Cross",'中古車掲載'!L346="HEV PREMIUM SAFETY",'中古車掲載'!J346=2023,ISNUMBER('中古車掲載'!N346),'中古車掲載'!N346&gt;=20000,'中古車掲載'!O346&lt;=50000,'中古車掲載'!AL346=1,'中古車掲載'!Z346="https://www.one2car.com/en/cars-for-sale/toyota/corolla-cross/year-2023"),'中古車掲載'!U346,"")</x:f>
      </x:c>
      <x:c r="BF345" s="3" t="str">
        <x:f>IF(AND('中古車掲載'!C346="One2car",'中古車掲載'!F346="Corolla Cross",'中古車掲載'!L346="HEV PREMIUM",'中古車掲載'!J346=2023,ISNUMBER('中古車掲載'!N346),'中古車掲載'!N346&gt;=20000,'中古車掲載'!O346&lt;=100000,'中古車掲載'!AL346=1,'中古車掲載'!Z346="https://www.one2car.com/en/cars-for-sale/toyota/corolla-cross/year-2023"),'中古車掲載'!U346,"")</x:f>
      </x:c>
      <x:c r="BG345" s="3" t="str">
        <x:f>IF(AND('中古車掲載'!C346="One2car",'中古車掲載'!F346="Corolla Cross",'中古車掲載'!L346="HEV GR SPORT",'中古車掲載'!J346=2023,ISNUMBER('中古車掲載'!N346),'中古車掲載'!N346&gt;=20000,'中古車掲載'!O346&lt;=100000,'中古車掲載'!AL346=1,'中古車掲載'!Z346="https://www.one2car.com/en/cars-for-sale/toyota/corolla-cross/year-2023"),'中古車掲載'!U346,"")</x:f>
      </x:c>
      <x:c r="BH345" s="3" t="str">
        <x:f>IF(AND('中古車掲載'!C346="One2car",'中古車掲載'!F346="DOLPHIN",'中古車掲載'!L346="STANDARD RANGE",'中古車掲載'!J346=2023,ISNUMBER('中古車掲載'!N346),'中古車掲載'!N346&gt;=20000,'中古車掲載'!O346&lt;=100000,'中古車掲載'!AL346=1),'中古車掲載'!U346,"")</x:f>
      </x:c>
      <x:c r="BI345" s="3" t="str">
        <x:v>Taladrod|Corolla Cross|HEV|Unknown</x:v>
      </x:c>
      <x:c r="BJ345" s="3" t="n">
        <x:v>346</x:v>
      </x:c>
      <x:c r="BK345" s="3" t="n">
        <x:f>'中古車掲載'!AM346</x:f>
        <x:v>820000</x:v>
      </x:c>
      <x:c r="BL345" s="3" t="str">
        <x:f>IF(ISNUMBER('中古車掲載'!AN346),'中古車掲載'!AN346,"")</x:f>
      </x:c>
      <x:c r="BM345" s="3"/>
      <x:c r="BN345" s="3"/>
      <x:c r="BO345" s="3"/>
      <x:c r="BP345" s="3"/>
      <x:c r="BQ345" s="3"/>
      <x:c r="BR345" s="3"/>
    </x:row>
    <x:row r="346" ht="22" customHeight="1">
      <x:c r="A346" s="3" t="str">
        <x:v>Fortuner</x:v>
      </x:c>
      <x:c r="B346" s="3" t="str">
        <x:v>ICE</x:v>
      </x:c>
      <x:c r="C346" s="3" t="str">
        <x:v>One2car</x:v>
      </x:c>
      <x:c r="D346" s="3" t="str">
        <x:v>SUV</x:v>
      </x:c>
      <x:c r="E346" s="3" t="str"/>
      <x:c r="F346" s="3" t="n">
        <x:v>2024</x:v>
      </x:c>
      <x:c r="G346" s="3" t="str">
        <x:v>GR SPORT</x:v>
      </x:c>
      <x:c r="H346" s="3" t="str">
        <x:v>20–50千km</x:v>
      </x:c>
      <x:c r="I346" s="3" t="str">
        <x:v>世代不明</x:v>
      </x:c>
      <x:c r="J346" s="22" t="n">
        <x:f>COUNT('中古車掲載'!AM113:AM113)</x:f>
        <x:v>1</x:v>
      </x:c>
      <x:c r="K346" s="22" t="n">
        <x:f>IF(COUNT('中古車掲載'!AM113:AM113)=0,"",QUARTILE('中古車掲載'!AM113:AM113,1))</x:f>
        <x:v>1420000</x:v>
      </x:c>
      <x:c r="L346" s="22" t="n">
        <x:f>IF(COUNT('中古車掲載'!AM113:AM113)=0,"",MEDIAN('中古車掲載'!AM113:AM113))</x:f>
        <x:v>1420000</x:v>
      </x:c>
      <x:c r="M346" s="22" t="n">
        <x:f>IF(COUNT('中古車掲載'!AM113:AM113)=0,"",QUARTILE('中古車掲載'!AM113:AM113,3))</x:f>
        <x:v>1420000</x:v>
      </x:c>
      <x:c r="N346" s="22" t="n">
        <x:f>COUNT('中古車掲載'!AN113:AN113)</x:f>
        <x:v>0</x:v>
      </x:c>
      <x:c r="O346" s="23" t="str">
        <x:f>IF(COUNT('中古車掲載'!AN113:AN113)=0,"",MEDIAN('中古車掲載'!AN113:AN113))</x:f>
      </x:c>
      <x:c r="P346" s="3"/>
      <x:c r="Q346" s="3"/>
      <x:c r="R346" s="3"/>
      <x:c r="S346" s="3"/>
      <x:c r="T346" s="3"/>
      <x:c r="U346" s="3"/>
      <x:c r="V346" s="3"/>
      <x:c r="W346" s="3"/>
      <x:c r="X346" s="3"/>
      <x:c r="Y346" s="3"/>
      <x:c r="Z346" s="3"/>
      <x:c r="AA346" s="3"/>
      <x:c r="AB346" s="3"/>
      <x:c r="AC346" s="3"/>
      <x:c r="AD346" s="3"/>
      <x:c r="AE346" s="3"/>
      <x:c r="AF346" s="3"/>
      <x:c r="AG346" s="3"/>
      <x:c r="AH346" s="3"/>
      <x:c r="AI346" s="3"/>
      <x:c r="AJ346" s="3"/>
      <x:c r="AK346" s="3"/>
      <x:c r="AL346" s="3"/>
      <x:c r="AM346" s="3"/>
      <x:c r="AN346" s="3"/>
      <x:c r="AO346" s="3"/>
      <x:c r="AP346" s="3"/>
      <x:c r="AQ346" s="3"/>
      <x:c r="AR346" s="3"/>
      <x:c r="AS346" s="3"/>
      <x:c r="AT346" s="3"/>
      <x:c r="AU346" s="3"/>
      <x:c r="AV346" s="3"/>
      <x:c r="AW346" s="3"/>
      <x:c r="AX346" s="3"/>
      <x:c r="AY346" s="3"/>
      <x:c r="AZ346" s="3" t="str">
        <x:f>IF(AND('中古車掲載'!C347="One2car",'中古車掲載'!F347="ATTO 3",'中古車掲載'!L347="EXTENDED RANGE",'中古車掲載'!J347=2023,ISNUMBER('中古車掲載'!N347),'中古車掲載'!N347&gt;=20000,'中古車掲載'!O347&lt;=100000,'中古車掲載'!AL347=1),'中古車掲載'!U347,"")</x:f>
      </x:c>
      <x:c r="BA346" s="3" t="str">
        <x:f>IF(AND('中古車掲載'!C347="One2car",'中古車掲載'!F347="Corolla Cross",'中古車掲載'!L347="HEV PREMIUM SAFETY",'中古車掲載'!J347=2023,ISNUMBER('中古車掲載'!N347),'中古車掲載'!N347&gt;=20000,'中古車掲載'!O347&lt;=100000,'中古車掲載'!AL347=1,'中古車掲載'!Z347="https://www.one2car.com/en/cars-for-sale/toyota/corolla-cross/year-2023"),'中古車掲載'!U347,"")</x:f>
      </x:c>
      <x:c r="BB346" s="3" t="str">
        <x:f>IF(AND('中古車掲載'!C347="One2car",'中古車掲載'!F347="ATTO 3",'中古車掲載'!L347="EXTENDED RANGE",'中古車掲載'!J347=2023,ISNUMBER('中古車掲載'!N347),'中古車掲載'!N347&gt;=50000,'中古車掲載'!O347&lt;=100000,'中古車掲載'!AL347=1),'中古車掲載'!U347,"")</x:f>
      </x:c>
      <x:c r="BC346" s="3" t="str">
        <x:f>IF(AND('中古車掲載'!C347="One2car",'中古車掲載'!F347="Corolla Cross",'中古車掲載'!L347="HEV PREMIUM SAFETY",'中古車掲載'!J347=2023,ISNUMBER('中古車掲載'!N347),'中古車掲載'!N347&gt;=50000,'中古車掲載'!O347&lt;=100000,'中古車掲載'!AL347=1,'中古車掲載'!Z347="https://www.one2car.com/en/cars-for-sale/toyota/corolla-cross/year-2023"),'中古車掲載'!U347,"")</x:f>
      </x:c>
      <x:c r="BD346" s="3" t="str">
        <x:f>IF(AND('中古車掲載'!C347="One2car",'中古車掲載'!F347="ATTO 3",'中古車掲載'!L347="EXTENDED RANGE",'中古車掲載'!J347=2023,ISNUMBER('中古車掲載'!N347),'中古車掲載'!N347&gt;=20000,'中古車掲載'!O347&lt;=50000,'中古車掲載'!AL347=1),'中古車掲載'!U347,"")</x:f>
      </x:c>
      <x:c r="BE346" s="3" t="str">
        <x:f>IF(AND('中古車掲載'!C347="One2car",'中古車掲載'!F347="Corolla Cross",'中古車掲載'!L347="HEV PREMIUM SAFETY",'中古車掲載'!J347=2023,ISNUMBER('中古車掲載'!N347),'中古車掲載'!N347&gt;=20000,'中古車掲載'!O347&lt;=50000,'中古車掲載'!AL347=1,'中古車掲載'!Z347="https://www.one2car.com/en/cars-for-sale/toyota/corolla-cross/year-2023"),'中古車掲載'!U347,"")</x:f>
      </x:c>
      <x:c r="BF346" s="3" t="str">
        <x:f>IF(AND('中古車掲載'!C347="One2car",'中古車掲載'!F347="Corolla Cross",'中古車掲載'!L347="HEV PREMIUM",'中古車掲載'!J347=2023,ISNUMBER('中古車掲載'!N347),'中古車掲載'!N347&gt;=20000,'中古車掲載'!O347&lt;=100000,'中古車掲載'!AL347=1,'中古車掲載'!Z347="https://www.one2car.com/en/cars-for-sale/toyota/corolla-cross/year-2023"),'中古車掲載'!U347,"")</x:f>
      </x:c>
      <x:c r="BG346" s="3" t="str">
        <x:f>IF(AND('中古車掲載'!C347="One2car",'中古車掲載'!F347="Corolla Cross",'中古車掲載'!L347="HEV GR SPORT",'中古車掲載'!J347=2023,ISNUMBER('中古車掲載'!N347),'中古車掲載'!N347&gt;=20000,'中古車掲載'!O347&lt;=100000,'中古車掲載'!AL347=1,'中古車掲載'!Z347="https://www.one2car.com/en/cars-for-sale/toyota/corolla-cross/year-2023"),'中古車掲載'!U347,"")</x:f>
      </x:c>
      <x:c r="BH346" s="3" t="str">
        <x:f>IF(AND('中古車掲載'!C347="One2car",'中古車掲載'!F347="DOLPHIN",'中古車掲載'!L347="STANDARD RANGE",'中古車掲載'!J347=2023,ISNUMBER('中古車掲載'!N347),'中古車掲載'!N347&gt;=20000,'中古車掲載'!O347&lt;=100000,'中古車掲載'!AL347=1),'中古車掲載'!U347,"")</x:f>
      </x:c>
      <x:c r="BI346" s="3" t="str">
        <x:v>Taladrod|Corolla Cross|HEV|Unknown</x:v>
      </x:c>
      <x:c r="BJ346" s="3" t="n">
        <x:v>347</x:v>
      </x:c>
      <x:c r="BK346" s="3" t="n">
        <x:f>'中古車掲載'!AM347</x:f>
        <x:v>669000</x:v>
      </x:c>
      <x:c r="BL346" s="3" t="str">
        <x:f>IF(ISNUMBER('中古車掲載'!AN347),'中古車掲載'!AN347,"")</x:f>
      </x:c>
      <x:c r="BM346" s="3"/>
      <x:c r="BN346" s="3"/>
      <x:c r="BO346" s="3"/>
      <x:c r="BP346" s="3"/>
      <x:c r="BQ346" s="3"/>
      <x:c r="BR346" s="3"/>
    </x:row>
    <x:row r="347" ht="22" customHeight="1">
      <x:c r="A347" s="3" t="str">
        <x:v>Fortuner</x:v>
      </x:c>
      <x:c r="B347" s="3" t="str">
        <x:v>ICE</x:v>
      </x:c>
      <x:c r="C347" s="3" t="str">
        <x:v>One2car</x:v>
      </x:c>
      <x:c r="D347" s="3" t="str">
        <x:v>SUV</x:v>
      </x:c>
      <x:c r="E347" s="3" t="str"/>
      <x:c r="F347" s="3" t="n">
        <x:v>2024</x:v>
      </x:c>
      <x:c r="G347" s="3" t="str">
        <x:v>LEADER G</x:v>
      </x:c>
      <x:c r="H347" s="3" t="str">
        <x:v>境界を跨ぐ表示レンジ</x:v>
      </x:c>
      <x:c r="I347" s="3" t="str">
        <x:v>世代不明</x:v>
      </x:c>
      <x:c r="J347" s="22" t="n">
        <x:f>COUNT('中古車掲載'!AM114:AM114)</x:f>
        <x:v>1</x:v>
      </x:c>
      <x:c r="K347" s="22" t="n">
        <x:f>IF(COUNT('中古車掲載'!AM114:AM114)=0,"",QUARTILE('中古車掲載'!AM114:AM114,1))</x:f>
        <x:v>959000</x:v>
      </x:c>
      <x:c r="L347" s="22" t="n">
        <x:f>IF(COUNT('中古車掲載'!AM114:AM114)=0,"",MEDIAN('中古車掲載'!AM114:AM114))</x:f>
        <x:v>959000</x:v>
      </x:c>
      <x:c r="M347" s="22" t="n">
        <x:f>IF(COUNT('中古車掲載'!AM114:AM114)=0,"",QUARTILE('中古車掲載'!AM114:AM114,3))</x:f>
        <x:v>959000</x:v>
      </x:c>
      <x:c r="N347" s="22" t="n">
        <x:f>COUNT('中古車掲載'!AN114:AN114)</x:f>
        <x:v>0</x:v>
      </x:c>
      <x:c r="O347" s="23" t="str">
        <x:f>IF(COUNT('中古車掲載'!AN114:AN114)=0,"",MEDIAN('中古車掲載'!AN114:AN114))</x:f>
      </x:c>
      <x:c r="P347" s="3"/>
      <x:c r="Q347" s="3"/>
      <x:c r="R347" s="3"/>
      <x:c r="S347" s="3"/>
      <x:c r="T347" s="3"/>
      <x:c r="U347" s="3"/>
      <x:c r="V347" s="3"/>
      <x:c r="W347" s="3"/>
      <x:c r="X347" s="3"/>
      <x:c r="Y347" s="3"/>
      <x:c r="Z347" s="3"/>
      <x:c r="AA347" s="3"/>
      <x:c r="AB347" s="3"/>
      <x:c r="AC347" s="3"/>
      <x:c r="AD347" s="3"/>
      <x:c r="AE347" s="3"/>
      <x:c r="AF347" s="3"/>
      <x:c r="AG347" s="3"/>
      <x:c r="AH347" s="3"/>
      <x:c r="AI347" s="3"/>
      <x:c r="AJ347" s="3"/>
      <x:c r="AK347" s="3"/>
      <x:c r="AL347" s="3"/>
      <x:c r="AM347" s="3"/>
      <x:c r="AN347" s="3"/>
      <x:c r="AO347" s="3"/>
      <x:c r="AP347" s="3"/>
      <x:c r="AQ347" s="3"/>
      <x:c r="AR347" s="3"/>
      <x:c r="AS347" s="3"/>
      <x:c r="AT347" s="3"/>
      <x:c r="AU347" s="3"/>
      <x:c r="AV347" s="3"/>
      <x:c r="AW347" s="3"/>
      <x:c r="AX347" s="3"/>
      <x:c r="AY347" s="3"/>
      <x:c r="AZ347" s="3" t="str">
        <x:f>IF(AND('中古車掲載'!C348="One2car",'中古車掲載'!F348="ATTO 3",'中古車掲載'!L348="EXTENDED RANGE",'中古車掲載'!J348=2023,ISNUMBER('中古車掲載'!N348),'中古車掲載'!N348&gt;=20000,'中古車掲載'!O348&lt;=100000,'中古車掲載'!AL348=1),'中古車掲載'!U348,"")</x:f>
      </x:c>
      <x:c r="BA347" s="3" t="str">
        <x:f>IF(AND('中古車掲載'!C348="One2car",'中古車掲載'!F348="Corolla Cross",'中古車掲載'!L348="HEV PREMIUM SAFETY",'中古車掲載'!J348=2023,ISNUMBER('中古車掲載'!N348),'中古車掲載'!N348&gt;=20000,'中古車掲載'!O348&lt;=100000,'中古車掲載'!AL348=1,'中古車掲載'!Z348="https://www.one2car.com/en/cars-for-sale/toyota/corolla-cross/year-2023"),'中古車掲載'!U348,"")</x:f>
      </x:c>
      <x:c r="BB347" s="3" t="str">
        <x:f>IF(AND('中古車掲載'!C348="One2car",'中古車掲載'!F348="ATTO 3",'中古車掲載'!L348="EXTENDED RANGE",'中古車掲載'!J348=2023,ISNUMBER('中古車掲載'!N348),'中古車掲載'!N348&gt;=50000,'中古車掲載'!O348&lt;=100000,'中古車掲載'!AL348=1),'中古車掲載'!U348,"")</x:f>
      </x:c>
      <x:c r="BC347" s="3" t="str">
        <x:f>IF(AND('中古車掲載'!C348="One2car",'中古車掲載'!F348="Corolla Cross",'中古車掲載'!L348="HEV PREMIUM SAFETY",'中古車掲載'!J348=2023,ISNUMBER('中古車掲載'!N348),'中古車掲載'!N348&gt;=50000,'中古車掲載'!O348&lt;=100000,'中古車掲載'!AL348=1,'中古車掲載'!Z348="https://www.one2car.com/en/cars-for-sale/toyota/corolla-cross/year-2023"),'中古車掲載'!U348,"")</x:f>
      </x:c>
      <x:c r="BD347" s="3" t="str">
        <x:f>IF(AND('中古車掲載'!C348="One2car",'中古車掲載'!F348="ATTO 3",'中古車掲載'!L348="EXTENDED RANGE",'中古車掲載'!J348=2023,ISNUMBER('中古車掲載'!N348),'中古車掲載'!N348&gt;=20000,'中古車掲載'!O348&lt;=50000,'中古車掲載'!AL348=1),'中古車掲載'!U348,"")</x:f>
      </x:c>
      <x:c r="BE347" s="3" t="str">
        <x:f>IF(AND('中古車掲載'!C348="One2car",'中古車掲載'!F348="Corolla Cross",'中古車掲載'!L348="HEV PREMIUM SAFETY",'中古車掲載'!J348=2023,ISNUMBER('中古車掲載'!N348),'中古車掲載'!N348&gt;=20000,'中古車掲載'!O348&lt;=50000,'中古車掲載'!AL348=1,'中古車掲載'!Z348="https://www.one2car.com/en/cars-for-sale/toyota/corolla-cross/year-2023"),'中古車掲載'!U348,"")</x:f>
      </x:c>
      <x:c r="BF347" s="3" t="str">
        <x:f>IF(AND('中古車掲載'!C348="One2car",'中古車掲載'!F348="Corolla Cross",'中古車掲載'!L348="HEV PREMIUM",'中古車掲載'!J348=2023,ISNUMBER('中古車掲載'!N348),'中古車掲載'!N348&gt;=20000,'中古車掲載'!O348&lt;=100000,'中古車掲載'!AL348=1,'中古車掲載'!Z348="https://www.one2car.com/en/cars-for-sale/toyota/corolla-cross/year-2023"),'中古車掲載'!U348,"")</x:f>
      </x:c>
      <x:c r="BG347" s="3" t="str">
        <x:f>IF(AND('中古車掲載'!C348="One2car",'中古車掲載'!F348="Corolla Cross",'中古車掲載'!L348="HEV GR SPORT",'中古車掲載'!J348=2023,ISNUMBER('中古車掲載'!N348),'中古車掲載'!N348&gt;=20000,'中古車掲載'!O348&lt;=100000,'中古車掲載'!AL348=1,'中古車掲載'!Z348="https://www.one2car.com/en/cars-for-sale/toyota/corolla-cross/year-2023"),'中古車掲載'!U348,"")</x:f>
      </x:c>
      <x:c r="BH347" s="3" t="str">
        <x:f>IF(AND('中古車掲載'!C348="One2car",'中古車掲載'!F348="DOLPHIN",'中古車掲載'!L348="STANDARD RANGE",'中古車掲載'!J348=2023,ISNUMBER('中古車掲載'!N348),'中古車掲載'!N348&gt;=20000,'中古車掲載'!O348&lt;=100000,'中古車掲載'!AL348=1),'中古車掲載'!U348,"")</x:f>
      </x:c>
      <x:c r="BI347" s="3" t="str">
        <x:v>Taladrod|Corolla Cross|HEV|Unknown</x:v>
      </x:c>
      <x:c r="BJ347" s="3" t="n">
        <x:v>348</x:v>
      </x:c>
      <x:c r="BK347" s="3" t="n">
        <x:f>'中古車掲載'!AM348</x:f>
        <x:v>819000</x:v>
      </x:c>
      <x:c r="BL347" s="3" t="str">
        <x:f>IF(ISNUMBER('中古車掲載'!AN348),'中古車掲載'!AN348,"")</x:f>
      </x:c>
      <x:c r="BM347" s="3"/>
      <x:c r="BN347" s="3"/>
      <x:c r="BO347" s="3"/>
      <x:c r="BP347" s="3"/>
      <x:c r="BQ347" s="3"/>
      <x:c r="BR347" s="3"/>
    </x:row>
    <x:row r="348" ht="22" customHeight="1">
      <x:c r="A348" s="3" t="str">
        <x:v>Fortuner</x:v>
      </x:c>
      <x:c r="B348" s="3" t="str">
        <x:v>ICE</x:v>
      </x:c>
      <x:c r="C348" s="3" t="str">
        <x:v>One2car</x:v>
      </x:c>
      <x:c r="D348" s="3" t="str">
        <x:v>SUV</x:v>
      </x:c>
      <x:c r="E348" s="3" t="str"/>
      <x:c r="F348" s="3" t="n">
        <x:v>2024</x:v>
      </x:c>
      <x:c r="G348" s="3" t="str">
        <x:v>LEGENDER</x:v>
      </x:c>
      <x:c r="H348" s="3" t="str">
        <x:v>50–100千km</x:v>
      </x:c>
      <x:c r="I348" s="3" t="str">
        <x:v>世代不明</x:v>
      </x:c>
      <x:c r="J348" s="22" t="n">
        <x:f>COUNT('中古車掲載'!AM115:AM115)</x:f>
        <x:v>1</x:v>
      </x:c>
      <x:c r="K348" s="22" t="n">
        <x:f>IF(COUNT('中古車掲載'!AM115:AM115)=0,"",QUARTILE('中古車掲載'!AM115:AM115,1))</x:f>
        <x:v>1150000</x:v>
      </x:c>
      <x:c r="L348" s="22" t="n">
        <x:f>IF(COUNT('中古車掲載'!AM115:AM115)=0,"",MEDIAN('中古車掲載'!AM115:AM115))</x:f>
        <x:v>1150000</x:v>
      </x:c>
      <x:c r="M348" s="22" t="n">
        <x:f>IF(COUNT('中古車掲載'!AM115:AM115)=0,"",QUARTILE('中古車掲載'!AM115:AM115,3))</x:f>
        <x:v>1150000</x:v>
      </x:c>
      <x:c r="N348" s="22" t="n">
        <x:f>COUNT('中古車掲載'!AN115:AN115)</x:f>
        <x:v>0</x:v>
      </x:c>
      <x:c r="O348" s="23" t="str">
        <x:f>IF(COUNT('中古車掲載'!AN115:AN115)=0,"",MEDIAN('中古車掲載'!AN115:AN115))</x:f>
      </x:c>
      <x:c r="P348" s="3"/>
      <x:c r="Q348" s="3"/>
      <x:c r="R348" s="3"/>
      <x:c r="S348" s="3"/>
      <x:c r="T348" s="3"/>
      <x:c r="U348" s="3"/>
      <x:c r="V348" s="3"/>
      <x:c r="W348" s="3"/>
      <x:c r="X348" s="3"/>
      <x:c r="Y348" s="3"/>
      <x:c r="Z348" s="3"/>
      <x:c r="AA348" s="3"/>
      <x:c r="AB348" s="3"/>
      <x:c r="AC348" s="3"/>
      <x:c r="AD348" s="3"/>
      <x:c r="AE348" s="3"/>
      <x:c r="AF348" s="3"/>
      <x:c r="AG348" s="3"/>
      <x:c r="AH348" s="3"/>
      <x:c r="AI348" s="3"/>
      <x:c r="AJ348" s="3"/>
      <x:c r="AK348" s="3"/>
      <x:c r="AL348" s="3"/>
      <x:c r="AM348" s="3"/>
      <x:c r="AN348" s="3"/>
      <x:c r="AO348" s="3"/>
      <x:c r="AP348" s="3"/>
      <x:c r="AQ348" s="3"/>
      <x:c r="AR348" s="3"/>
      <x:c r="AS348" s="3"/>
      <x:c r="AT348" s="3"/>
      <x:c r="AU348" s="3"/>
      <x:c r="AV348" s="3"/>
      <x:c r="AW348" s="3"/>
      <x:c r="AX348" s="3"/>
      <x:c r="AY348" s="3"/>
      <x:c r="AZ348" s="3" t="str">
        <x:f>IF(AND('中古車掲載'!C349="One2car",'中古車掲載'!F349="ATTO 3",'中古車掲載'!L349="EXTENDED RANGE",'中古車掲載'!J349=2023,ISNUMBER('中古車掲載'!N349),'中古車掲載'!N349&gt;=20000,'中古車掲載'!O349&lt;=100000,'中古車掲載'!AL349=1),'中古車掲載'!U349,"")</x:f>
      </x:c>
      <x:c r="BA348" s="3" t="str">
        <x:f>IF(AND('中古車掲載'!C349="One2car",'中古車掲載'!F349="Corolla Cross",'中古車掲載'!L349="HEV PREMIUM SAFETY",'中古車掲載'!J349=2023,ISNUMBER('中古車掲載'!N349),'中古車掲載'!N349&gt;=20000,'中古車掲載'!O349&lt;=100000,'中古車掲載'!AL349=1,'中古車掲載'!Z349="https://www.one2car.com/en/cars-for-sale/toyota/corolla-cross/year-2023"),'中古車掲載'!U349,"")</x:f>
      </x:c>
      <x:c r="BB348" s="3" t="str">
        <x:f>IF(AND('中古車掲載'!C349="One2car",'中古車掲載'!F349="ATTO 3",'中古車掲載'!L349="EXTENDED RANGE",'中古車掲載'!J349=2023,ISNUMBER('中古車掲載'!N349),'中古車掲載'!N349&gt;=50000,'中古車掲載'!O349&lt;=100000,'中古車掲載'!AL349=1),'中古車掲載'!U349,"")</x:f>
      </x:c>
      <x:c r="BC348" s="3" t="str">
        <x:f>IF(AND('中古車掲載'!C349="One2car",'中古車掲載'!F349="Corolla Cross",'中古車掲載'!L349="HEV PREMIUM SAFETY",'中古車掲載'!J349=2023,ISNUMBER('中古車掲載'!N349),'中古車掲載'!N349&gt;=50000,'中古車掲載'!O349&lt;=100000,'中古車掲載'!AL349=1,'中古車掲載'!Z349="https://www.one2car.com/en/cars-for-sale/toyota/corolla-cross/year-2023"),'中古車掲載'!U349,"")</x:f>
      </x:c>
      <x:c r="BD348" s="3" t="str">
        <x:f>IF(AND('中古車掲載'!C349="One2car",'中古車掲載'!F349="ATTO 3",'中古車掲載'!L349="EXTENDED RANGE",'中古車掲載'!J349=2023,ISNUMBER('中古車掲載'!N349),'中古車掲載'!N349&gt;=20000,'中古車掲載'!O349&lt;=50000,'中古車掲載'!AL349=1),'中古車掲載'!U349,"")</x:f>
      </x:c>
      <x:c r="BE348" s="3" t="str">
        <x:f>IF(AND('中古車掲載'!C349="One2car",'中古車掲載'!F349="Corolla Cross",'中古車掲載'!L349="HEV PREMIUM SAFETY",'中古車掲載'!J349=2023,ISNUMBER('中古車掲載'!N349),'中古車掲載'!N349&gt;=20000,'中古車掲載'!O349&lt;=50000,'中古車掲載'!AL349=1,'中古車掲載'!Z349="https://www.one2car.com/en/cars-for-sale/toyota/corolla-cross/year-2023"),'中古車掲載'!U349,"")</x:f>
      </x:c>
      <x:c r="BF348" s="3" t="str">
        <x:f>IF(AND('中古車掲載'!C349="One2car",'中古車掲載'!F349="Corolla Cross",'中古車掲載'!L349="HEV PREMIUM",'中古車掲載'!J349=2023,ISNUMBER('中古車掲載'!N349),'中古車掲載'!N349&gt;=20000,'中古車掲載'!O349&lt;=100000,'中古車掲載'!AL349=1,'中古車掲載'!Z349="https://www.one2car.com/en/cars-for-sale/toyota/corolla-cross/year-2023"),'中古車掲載'!U349,"")</x:f>
      </x:c>
      <x:c r="BG348" s="3" t="str">
        <x:f>IF(AND('中古車掲載'!C349="One2car",'中古車掲載'!F349="Corolla Cross",'中古車掲載'!L349="HEV GR SPORT",'中古車掲載'!J349=2023,ISNUMBER('中古車掲載'!N349),'中古車掲載'!N349&gt;=20000,'中古車掲載'!O349&lt;=100000,'中古車掲載'!AL349=1,'中古車掲載'!Z349="https://www.one2car.com/en/cars-for-sale/toyota/corolla-cross/year-2023"),'中古車掲載'!U349,"")</x:f>
      </x:c>
      <x:c r="BH348" s="3" t="str">
        <x:f>IF(AND('中古車掲載'!C349="One2car",'中古車掲載'!F349="DOLPHIN",'中古車掲載'!L349="STANDARD RANGE",'中古車掲載'!J349=2023,ISNUMBER('中古車掲載'!N349),'中古車掲載'!N349&gt;=20000,'中古車掲載'!O349&lt;=100000,'中古車掲載'!AL349=1),'中古車掲載'!U349,"")</x:f>
      </x:c>
      <x:c r="BI348" s="3" t="str">
        <x:v>Taladrod|Corolla Cross|HEV|Unknown</x:v>
      </x:c>
      <x:c r="BJ348" s="3" t="n">
        <x:v>349</x:v>
      </x:c>
      <x:c r="BK348" s="3" t="n">
        <x:f>'中古車掲載'!AM349</x:f>
        <x:v>679000</x:v>
      </x:c>
      <x:c r="BL348" s="3" t="str">
        <x:f>IF(ISNUMBER('中古車掲載'!AN349),'中古車掲載'!AN349,"")</x:f>
      </x:c>
      <x:c r="BM348" s="3"/>
      <x:c r="BN348" s="3"/>
      <x:c r="BO348" s="3"/>
      <x:c r="BP348" s="3"/>
      <x:c r="BQ348" s="3"/>
      <x:c r="BR348" s="3"/>
    </x:row>
    <x:row r="349" ht="22" customHeight="1">
      <x:c r="A349" s="3" t="str">
        <x:v>Hilux Revo</x:v>
      </x:c>
      <x:c r="B349" s="3" t="str">
        <x:v>ICE</x:v>
      </x:c>
      <x:c r="C349" s="3" t="str">
        <x:v>One2car</x:v>
      </x:c>
      <x:c r="D349" s="3" t="str">
        <x:v>Pickup</x:v>
      </x:c>
      <x:c r="E349" s="3" t="str">
        <x:v>Double cab</x:v>
      </x:c>
      <x:c r="F349" s="3" t="n">
        <x:v>2020</x:v>
      </x:c>
      <x:c r="G349" s="3" t="str">
        <x:v>TOYOTA HILUX REVO 2.4 DOUBLE CAB Z EDITION ENTRY</x:v>
      </x:c>
      <x:c r="H349" s="3" t="str">
        <x:v>50–100千km</x:v>
      </x:c>
      <x:c r="I349" s="3" t="str">
        <x:v>世代不明</x:v>
      </x:c>
      <x:c r="J349" s="22" t="n">
        <x:f>COUNT('中古車掲載'!AM116:AM116)</x:f>
        <x:v>1</x:v>
      </x:c>
      <x:c r="K349" s="22" t="n">
        <x:f>IF(COUNT('中古車掲載'!AM116:AM116)=0,"",QUARTILE('中古車掲載'!AM116:AM116,1))</x:f>
        <x:v>399000</x:v>
      </x:c>
      <x:c r="L349" s="22" t="n">
        <x:f>IF(COUNT('中古車掲載'!AM116:AM116)=0,"",MEDIAN('中古車掲載'!AM116:AM116))</x:f>
        <x:v>399000</x:v>
      </x:c>
      <x:c r="M349" s="22" t="n">
        <x:f>IF(COUNT('中古車掲載'!AM116:AM116)=0,"",QUARTILE('中古車掲載'!AM116:AM116,3))</x:f>
        <x:v>399000</x:v>
      </x:c>
      <x:c r="N349" s="22" t="n">
        <x:f>COUNT('中古車掲載'!AN116:AN116)</x:f>
        <x:v>0</x:v>
      </x:c>
      <x:c r="O349" s="23" t="str">
        <x:f>IF(COUNT('中古車掲載'!AN116:AN116)=0,"",MEDIAN('中古車掲載'!AN116:AN116))</x:f>
      </x:c>
      <x:c r="P349" s="3"/>
      <x:c r="Q349" s="3"/>
      <x:c r="R349" s="3"/>
      <x:c r="S349" s="3"/>
      <x:c r="T349" s="3"/>
      <x:c r="U349" s="3"/>
      <x:c r="V349" s="3"/>
      <x:c r="W349" s="3"/>
      <x:c r="X349" s="3"/>
      <x:c r="Y349" s="3"/>
      <x:c r="Z349" s="3"/>
      <x:c r="AA349" s="3"/>
      <x:c r="AB349" s="3"/>
      <x:c r="AC349" s="3"/>
      <x:c r="AD349" s="3"/>
      <x:c r="AE349" s="3"/>
      <x:c r="AF349" s="3"/>
      <x:c r="AG349" s="3"/>
      <x:c r="AH349" s="3"/>
      <x:c r="AI349" s="3"/>
      <x:c r="AJ349" s="3"/>
      <x:c r="AK349" s="3"/>
      <x:c r="AL349" s="3"/>
      <x:c r="AM349" s="3"/>
      <x:c r="AN349" s="3"/>
      <x:c r="AO349" s="3"/>
      <x:c r="AP349" s="3"/>
      <x:c r="AQ349" s="3"/>
      <x:c r="AR349" s="3"/>
      <x:c r="AS349" s="3"/>
      <x:c r="AT349" s="3"/>
      <x:c r="AU349" s="3"/>
      <x:c r="AV349" s="3"/>
      <x:c r="AW349" s="3"/>
      <x:c r="AX349" s="3"/>
      <x:c r="AY349" s="3"/>
      <x:c r="AZ349" s="3" t="str">
        <x:f>IF(AND('中古車掲載'!C350="One2car",'中古車掲載'!F350="ATTO 3",'中古車掲載'!L350="EXTENDED RANGE",'中古車掲載'!J350=2023,ISNUMBER('中古車掲載'!N350),'中古車掲載'!N350&gt;=20000,'中古車掲載'!O350&lt;=100000,'中古車掲載'!AL350=1),'中古車掲載'!U350,"")</x:f>
      </x:c>
      <x:c r="BA349" s="3" t="str">
        <x:f>IF(AND('中古車掲載'!C350="One2car",'中古車掲載'!F350="Corolla Cross",'中古車掲載'!L350="HEV PREMIUM SAFETY",'中古車掲載'!J350=2023,ISNUMBER('中古車掲載'!N350),'中古車掲載'!N350&gt;=20000,'中古車掲載'!O350&lt;=100000,'中古車掲載'!AL350=1,'中古車掲載'!Z350="https://www.one2car.com/en/cars-for-sale/toyota/corolla-cross/year-2023"),'中古車掲載'!U350,"")</x:f>
      </x:c>
      <x:c r="BB349" s="3" t="str">
        <x:f>IF(AND('中古車掲載'!C350="One2car",'中古車掲載'!F350="ATTO 3",'中古車掲載'!L350="EXTENDED RANGE",'中古車掲載'!J350=2023,ISNUMBER('中古車掲載'!N350),'中古車掲載'!N350&gt;=50000,'中古車掲載'!O350&lt;=100000,'中古車掲載'!AL350=1),'中古車掲載'!U350,"")</x:f>
      </x:c>
      <x:c r="BC349" s="3" t="str">
        <x:f>IF(AND('中古車掲載'!C350="One2car",'中古車掲載'!F350="Corolla Cross",'中古車掲載'!L350="HEV PREMIUM SAFETY",'中古車掲載'!J350=2023,ISNUMBER('中古車掲載'!N350),'中古車掲載'!N350&gt;=50000,'中古車掲載'!O350&lt;=100000,'中古車掲載'!AL350=1,'中古車掲載'!Z350="https://www.one2car.com/en/cars-for-sale/toyota/corolla-cross/year-2023"),'中古車掲載'!U350,"")</x:f>
      </x:c>
      <x:c r="BD349" s="3" t="str">
        <x:f>IF(AND('中古車掲載'!C350="One2car",'中古車掲載'!F350="ATTO 3",'中古車掲載'!L350="EXTENDED RANGE",'中古車掲載'!J350=2023,ISNUMBER('中古車掲載'!N350),'中古車掲載'!N350&gt;=20000,'中古車掲載'!O350&lt;=50000,'中古車掲載'!AL350=1),'中古車掲載'!U350,"")</x:f>
      </x:c>
      <x:c r="BE349" s="3" t="str">
        <x:f>IF(AND('中古車掲載'!C350="One2car",'中古車掲載'!F350="Corolla Cross",'中古車掲載'!L350="HEV PREMIUM SAFETY",'中古車掲載'!J350=2023,ISNUMBER('中古車掲載'!N350),'中古車掲載'!N350&gt;=20000,'中古車掲載'!O350&lt;=50000,'中古車掲載'!AL350=1,'中古車掲載'!Z350="https://www.one2car.com/en/cars-for-sale/toyota/corolla-cross/year-2023"),'中古車掲載'!U350,"")</x:f>
      </x:c>
      <x:c r="BF349" s="3" t="str">
        <x:f>IF(AND('中古車掲載'!C350="One2car",'中古車掲載'!F350="Corolla Cross",'中古車掲載'!L350="HEV PREMIUM",'中古車掲載'!J350=2023,ISNUMBER('中古車掲載'!N350),'中古車掲載'!N350&gt;=20000,'中古車掲載'!O350&lt;=100000,'中古車掲載'!AL350=1,'中古車掲載'!Z350="https://www.one2car.com/en/cars-for-sale/toyota/corolla-cross/year-2023"),'中古車掲載'!U350,"")</x:f>
      </x:c>
      <x:c r="BG349" s="3" t="str">
        <x:f>IF(AND('中古車掲載'!C350="One2car",'中古車掲載'!F350="Corolla Cross",'中古車掲載'!L350="HEV GR SPORT",'中古車掲載'!J350=2023,ISNUMBER('中古車掲載'!N350),'中古車掲載'!N350&gt;=20000,'中古車掲載'!O350&lt;=100000,'中古車掲載'!AL350=1,'中古車掲載'!Z350="https://www.one2car.com/en/cars-for-sale/toyota/corolla-cross/year-2023"),'中古車掲載'!U350,"")</x:f>
      </x:c>
      <x:c r="BH349" s="3" t="str">
        <x:f>IF(AND('中古車掲載'!C350="One2car",'中古車掲載'!F350="DOLPHIN",'中古車掲載'!L350="STANDARD RANGE",'中古車掲載'!J350=2023,ISNUMBER('中古車掲載'!N350),'中古車掲載'!N350&gt;=20000,'中古車掲載'!O350&lt;=100000,'中古車掲載'!AL350=1),'中古車掲載'!U350,"")</x:f>
      </x:c>
      <x:c r="BI349" s="3" t="str">
        <x:v>Taladrod|Corolla Cross|HEV|Unknown</x:v>
      </x:c>
      <x:c r="BJ349" s="3" t="n">
        <x:v>350</x:v>
      </x:c>
      <x:c r="BK349" s="3" t="n">
        <x:f>'中古車掲載'!AM350</x:f>
        <x:v>659000</x:v>
      </x:c>
      <x:c r="BL349" s="3" t="str">
        <x:f>IF(ISNUMBER('中古車掲載'!AN350),'中古車掲載'!AN350,"")</x:f>
      </x:c>
      <x:c r="BM349" s="3"/>
      <x:c r="BN349" s="3"/>
      <x:c r="BO349" s="3"/>
      <x:c r="BP349" s="3"/>
      <x:c r="BQ349" s="3"/>
      <x:c r="BR349" s="3"/>
    </x:row>
    <x:row r="350" ht="22" customHeight="1">
      <x:c r="A350" s="3" t="str">
        <x:v>Hilux Revo</x:v>
      </x:c>
      <x:c r="B350" s="3" t="str">
        <x:v>ICE</x:v>
      </x:c>
      <x:c r="C350" s="3" t="str">
        <x:v>One2car</x:v>
      </x:c>
      <x:c r="D350" s="3" t="str">
        <x:v>Pickup</x:v>
      </x:c>
      <x:c r="E350" s="3" t="str">
        <x:v>Double cab</x:v>
      </x:c>
      <x:c r="F350" s="3" t="n">
        <x:v>2021</x:v>
      </x:c>
      <x:c r="G350" s="3" t="str">
        <x:v>TOYOTA HILUX REVO 2.4 DOUBLE CAB PRERUNNER ENTRY</x:v>
      </x:c>
      <x:c r="H350" s="3" t="str">
        <x:v>50–100千km</x:v>
      </x:c>
      <x:c r="I350" s="3" t="str">
        <x:v>世代不明</x:v>
      </x:c>
      <x:c r="J350" s="22" t="n">
        <x:f>COUNT('中古車掲載'!AM118:AM118)</x:f>
        <x:v>1</x:v>
      </x:c>
      <x:c r="K350" s="22" t="n">
        <x:f>IF(COUNT('中古車掲載'!AM118:AM118)=0,"",QUARTILE('中古車掲載'!AM118:AM118,1))</x:f>
        <x:v>619000</x:v>
      </x:c>
      <x:c r="L350" s="22" t="n">
        <x:f>IF(COUNT('中古車掲載'!AM118:AM118)=0,"",MEDIAN('中古車掲載'!AM118:AM118))</x:f>
        <x:v>619000</x:v>
      </x:c>
      <x:c r="M350" s="22" t="n">
        <x:f>IF(COUNT('中古車掲載'!AM118:AM118)=0,"",QUARTILE('中古車掲載'!AM118:AM118,3))</x:f>
        <x:v>619000</x:v>
      </x:c>
      <x:c r="N350" s="22" t="n">
        <x:f>COUNT('中古車掲載'!AN118:AN118)</x:f>
        <x:v>0</x:v>
      </x:c>
      <x:c r="O350" s="23" t="str">
        <x:f>IF(COUNT('中古車掲載'!AN118:AN118)=0,"",MEDIAN('中古車掲載'!AN118:AN118))</x:f>
      </x:c>
      <x:c r="P350" s="3"/>
      <x:c r="Q350" s="3"/>
      <x:c r="R350" s="3"/>
      <x:c r="S350" s="3"/>
      <x:c r="T350" s="3"/>
      <x:c r="U350" s="3"/>
      <x:c r="V350" s="3"/>
      <x:c r="W350" s="3"/>
      <x:c r="X350" s="3"/>
      <x:c r="Y350" s="3"/>
      <x:c r="Z350" s="3"/>
      <x:c r="AA350" s="3"/>
      <x:c r="AB350" s="3"/>
      <x:c r="AC350" s="3"/>
      <x:c r="AD350" s="3"/>
      <x:c r="AE350" s="3"/>
      <x:c r="AF350" s="3"/>
      <x:c r="AG350" s="3"/>
      <x:c r="AH350" s="3"/>
      <x:c r="AI350" s="3"/>
      <x:c r="AJ350" s="3"/>
      <x:c r="AK350" s="3"/>
      <x:c r="AL350" s="3"/>
      <x:c r="AM350" s="3"/>
      <x:c r="AN350" s="3"/>
      <x:c r="AO350" s="3"/>
      <x:c r="AP350" s="3"/>
      <x:c r="AQ350" s="3"/>
      <x:c r="AR350" s="3"/>
      <x:c r="AS350" s="3"/>
      <x:c r="AT350" s="3"/>
      <x:c r="AU350" s="3"/>
      <x:c r="AV350" s="3"/>
      <x:c r="AW350" s="3"/>
      <x:c r="AX350" s="3"/>
      <x:c r="AY350" s="3"/>
      <x:c r="AZ350" s="3" t="str">
        <x:f>IF(AND('中古車掲載'!C351="One2car",'中古車掲載'!F351="ATTO 3",'中古車掲載'!L351="EXTENDED RANGE",'中古車掲載'!J351=2023,ISNUMBER('中古車掲載'!N351),'中古車掲載'!N351&gt;=20000,'中古車掲載'!O351&lt;=100000,'中古車掲載'!AL351=1),'中古車掲載'!U351,"")</x:f>
      </x:c>
      <x:c r="BA350" s="3" t="str">
        <x:f>IF(AND('中古車掲載'!C351="One2car",'中古車掲載'!F351="Corolla Cross",'中古車掲載'!L351="HEV PREMIUM SAFETY",'中古車掲載'!J351=2023,ISNUMBER('中古車掲載'!N351),'中古車掲載'!N351&gt;=20000,'中古車掲載'!O351&lt;=100000,'中古車掲載'!AL351=1,'中古車掲載'!Z351="https://www.one2car.com/en/cars-for-sale/toyota/corolla-cross/year-2023"),'中古車掲載'!U351,"")</x:f>
      </x:c>
      <x:c r="BB350" s="3" t="str">
        <x:f>IF(AND('中古車掲載'!C351="One2car",'中古車掲載'!F351="ATTO 3",'中古車掲載'!L351="EXTENDED RANGE",'中古車掲載'!J351=2023,ISNUMBER('中古車掲載'!N351),'中古車掲載'!N351&gt;=50000,'中古車掲載'!O351&lt;=100000,'中古車掲載'!AL351=1),'中古車掲載'!U351,"")</x:f>
      </x:c>
      <x:c r="BC350" s="3" t="str">
        <x:f>IF(AND('中古車掲載'!C351="One2car",'中古車掲載'!F351="Corolla Cross",'中古車掲載'!L351="HEV PREMIUM SAFETY",'中古車掲載'!J351=2023,ISNUMBER('中古車掲載'!N351),'中古車掲載'!N351&gt;=50000,'中古車掲載'!O351&lt;=100000,'中古車掲載'!AL351=1,'中古車掲載'!Z351="https://www.one2car.com/en/cars-for-sale/toyota/corolla-cross/year-2023"),'中古車掲載'!U351,"")</x:f>
      </x:c>
      <x:c r="BD350" s="3" t="str">
        <x:f>IF(AND('中古車掲載'!C351="One2car",'中古車掲載'!F351="ATTO 3",'中古車掲載'!L351="EXTENDED RANGE",'中古車掲載'!J351=2023,ISNUMBER('中古車掲載'!N351),'中古車掲載'!N351&gt;=20000,'中古車掲載'!O351&lt;=50000,'中古車掲載'!AL351=1),'中古車掲載'!U351,"")</x:f>
      </x:c>
      <x:c r="BE350" s="3" t="str">
        <x:f>IF(AND('中古車掲載'!C351="One2car",'中古車掲載'!F351="Corolla Cross",'中古車掲載'!L351="HEV PREMIUM SAFETY",'中古車掲載'!J351=2023,ISNUMBER('中古車掲載'!N351),'中古車掲載'!N351&gt;=20000,'中古車掲載'!O351&lt;=50000,'中古車掲載'!AL351=1,'中古車掲載'!Z351="https://www.one2car.com/en/cars-for-sale/toyota/corolla-cross/year-2023"),'中古車掲載'!U351,"")</x:f>
      </x:c>
      <x:c r="BF350" s="3" t="str">
        <x:f>IF(AND('中古車掲載'!C351="One2car",'中古車掲載'!F351="Corolla Cross",'中古車掲載'!L351="HEV PREMIUM",'中古車掲載'!J351=2023,ISNUMBER('中古車掲載'!N351),'中古車掲載'!N351&gt;=20000,'中古車掲載'!O351&lt;=100000,'中古車掲載'!AL351=1,'中古車掲載'!Z351="https://www.one2car.com/en/cars-for-sale/toyota/corolla-cross/year-2023"),'中古車掲載'!U351,"")</x:f>
      </x:c>
      <x:c r="BG350" s="3" t="str">
        <x:f>IF(AND('中古車掲載'!C351="One2car",'中古車掲載'!F351="Corolla Cross",'中古車掲載'!L351="HEV GR SPORT",'中古車掲載'!J351=2023,ISNUMBER('中古車掲載'!N351),'中古車掲載'!N351&gt;=20000,'中古車掲載'!O351&lt;=100000,'中古車掲載'!AL351=1,'中古車掲載'!Z351="https://www.one2car.com/en/cars-for-sale/toyota/corolla-cross/year-2023"),'中古車掲載'!U351,"")</x:f>
      </x:c>
      <x:c r="BH350" s="3" t="str">
        <x:f>IF(AND('中古車掲載'!C351="One2car",'中古車掲載'!F351="DOLPHIN",'中古車掲載'!L351="STANDARD RANGE",'中古車掲載'!J351=2023,ISNUMBER('中古車掲載'!N351),'中古車掲載'!N351&gt;=20000,'中古車掲載'!O351&lt;=100000,'中古車掲載'!AL351=1),'中古車掲載'!U351,"")</x:f>
      </x:c>
      <x:c r="BI350" s="3" t="str">
        <x:v>Taladrod|Corolla Cross|HEV|Unknown</x:v>
      </x:c>
      <x:c r="BJ350" s="3" t="n">
        <x:v>351</x:v>
      </x:c>
      <x:c r="BK350" s="3" t="n">
        <x:f>'中古車掲載'!AM351</x:f>
        <x:v>665000</x:v>
      </x:c>
      <x:c r="BL350" s="3" t="str">
        <x:f>IF(ISNUMBER('中古車掲載'!AN351),'中古車掲載'!AN351,"")</x:f>
      </x:c>
      <x:c r="BM350" s="3"/>
      <x:c r="BN350" s="3"/>
      <x:c r="BO350" s="3"/>
      <x:c r="BP350" s="3"/>
      <x:c r="BQ350" s="3"/>
      <x:c r="BR350" s="3"/>
    </x:row>
    <x:row r="351" ht="22" customHeight="1">
      <x:c r="A351" s="3" t="str">
        <x:v>Hilux Revo</x:v>
      </x:c>
      <x:c r="B351" s="3" t="str">
        <x:v>ICE</x:v>
      </x:c>
      <x:c r="C351" s="3" t="str">
        <x:v>One2car</x:v>
      </x:c>
      <x:c r="D351" s="3" t="str">
        <x:v>Pickup</x:v>
      </x:c>
      <x:c r="E351" s="3" t="str">
        <x:v>Double cab</x:v>
      </x:c>
      <x:c r="F351" s="3" t="n">
        <x:v>2021</x:v>
      </x:c>
      <x:c r="G351" s="3" t="str">
        <x:v>TOYOTA HILUX REVO 2.4 DOUBLE CAB PRERUNNER MID</x:v>
      </x:c>
      <x:c r="H351" s="3" t="str">
        <x:v>50–100千km</x:v>
      </x:c>
      <x:c r="I351" s="3" t="str">
        <x:v>世代不明</x:v>
      </x:c>
      <x:c r="J351" s="22" t="n">
        <x:f>COUNT('中古車掲載'!AM119:AM119)</x:f>
        <x:v>1</x:v>
      </x:c>
      <x:c r="K351" s="22" t="n">
        <x:f>IF(COUNT('中古車掲載'!AM119:AM119)=0,"",QUARTILE('中古車掲載'!AM119:AM119,1))</x:f>
        <x:v>629000</x:v>
      </x:c>
      <x:c r="L351" s="22" t="n">
        <x:f>IF(COUNT('中古車掲載'!AM119:AM119)=0,"",MEDIAN('中古車掲載'!AM119:AM119))</x:f>
        <x:v>629000</x:v>
      </x:c>
      <x:c r="M351" s="22" t="n">
        <x:f>IF(COUNT('中古車掲載'!AM119:AM119)=0,"",QUARTILE('中古車掲載'!AM119:AM119,3))</x:f>
        <x:v>629000</x:v>
      </x:c>
      <x:c r="N351" s="22" t="n">
        <x:f>COUNT('中古車掲載'!AN119:AN119)</x:f>
        <x:v>0</x:v>
      </x:c>
      <x:c r="O351" s="23" t="str">
        <x:f>IF(COUNT('中古車掲載'!AN119:AN119)=0,"",MEDIAN('中古車掲載'!AN119:AN119))</x:f>
      </x:c>
      <x:c r="P351" s="3"/>
      <x:c r="Q351" s="3"/>
      <x:c r="R351" s="3"/>
      <x:c r="S351" s="3"/>
      <x:c r="T351" s="3"/>
      <x:c r="U351" s="3"/>
      <x:c r="V351" s="3"/>
      <x:c r="W351" s="3"/>
      <x:c r="X351" s="3"/>
      <x:c r="Y351" s="3"/>
      <x:c r="Z351" s="3"/>
      <x:c r="AA351" s="3"/>
      <x:c r="AB351" s="3"/>
      <x:c r="AC351" s="3"/>
      <x:c r="AD351" s="3"/>
      <x:c r="AE351" s="3"/>
      <x:c r="AF351" s="3"/>
      <x:c r="AG351" s="3"/>
      <x:c r="AH351" s="3"/>
      <x:c r="AI351" s="3"/>
      <x:c r="AJ351" s="3"/>
      <x:c r="AK351" s="3"/>
      <x:c r="AL351" s="3"/>
      <x:c r="AM351" s="3"/>
      <x:c r="AN351" s="3"/>
      <x:c r="AO351" s="3"/>
      <x:c r="AP351" s="3"/>
      <x:c r="AQ351" s="3"/>
      <x:c r="AR351" s="3"/>
      <x:c r="AS351" s="3"/>
      <x:c r="AT351" s="3"/>
      <x:c r="AU351" s="3"/>
      <x:c r="AV351" s="3"/>
      <x:c r="AW351" s="3"/>
      <x:c r="AX351" s="3"/>
      <x:c r="AY351" s="3"/>
      <x:c r="AZ351" s="3" t="str">
        <x:f>IF(AND('中古車掲載'!C352="One2car",'中古車掲載'!F352="ATTO 3",'中古車掲載'!L352="EXTENDED RANGE",'中古車掲載'!J352=2023,ISNUMBER('中古車掲載'!N352),'中古車掲載'!N352&gt;=20000,'中古車掲載'!O352&lt;=100000,'中古車掲載'!AL352=1),'中古車掲載'!U352,"")</x:f>
      </x:c>
      <x:c r="BA351" s="3" t="str">
        <x:f>IF(AND('中古車掲載'!C352="One2car",'中古車掲載'!F352="Corolla Cross",'中古車掲載'!L352="HEV PREMIUM SAFETY",'中古車掲載'!J352=2023,ISNUMBER('中古車掲載'!N352),'中古車掲載'!N352&gt;=20000,'中古車掲載'!O352&lt;=100000,'中古車掲載'!AL352=1,'中古車掲載'!Z352="https://www.one2car.com/en/cars-for-sale/toyota/corolla-cross/year-2023"),'中古車掲載'!U352,"")</x:f>
      </x:c>
      <x:c r="BB351" s="3" t="str">
        <x:f>IF(AND('中古車掲載'!C352="One2car",'中古車掲載'!F352="ATTO 3",'中古車掲載'!L352="EXTENDED RANGE",'中古車掲載'!J352=2023,ISNUMBER('中古車掲載'!N352),'中古車掲載'!N352&gt;=50000,'中古車掲載'!O352&lt;=100000,'中古車掲載'!AL352=1),'中古車掲載'!U352,"")</x:f>
      </x:c>
      <x:c r="BC351" s="3" t="str">
        <x:f>IF(AND('中古車掲載'!C352="One2car",'中古車掲載'!F352="Corolla Cross",'中古車掲載'!L352="HEV PREMIUM SAFETY",'中古車掲載'!J352=2023,ISNUMBER('中古車掲載'!N352),'中古車掲載'!N352&gt;=50000,'中古車掲載'!O352&lt;=100000,'中古車掲載'!AL352=1,'中古車掲載'!Z352="https://www.one2car.com/en/cars-for-sale/toyota/corolla-cross/year-2023"),'中古車掲載'!U352,"")</x:f>
      </x:c>
      <x:c r="BD351" s="3" t="str">
        <x:f>IF(AND('中古車掲載'!C352="One2car",'中古車掲載'!F352="ATTO 3",'中古車掲載'!L352="EXTENDED RANGE",'中古車掲載'!J352=2023,ISNUMBER('中古車掲載'!N352),'中古車掲載'!N352&gt;=20000,'中古車掲載'!O352&lt;=50000,'中古車掲載'!AL352=1),'中古車掲載'!U352,"")</x:f>
      </x:c>
      <x:c r="BE351" s="3" t="str">
        <x:f>IF(AND('中古車掲載'!C352="One2car",'中古車掲載'!F352="Corolla Cross",'中古車掲載'!L352="HEV PREMIUM SAFETY",'中古車掲載'!J352=2023,ISNUMBER('中古車掲載'!N352),'中古車掲載'!N352&gt;=20000,'中古車掲載'!O352&lt;=50000,'中古車掲載'!AL352=1,'中古車掲載'!Z352="https://www.one2car.com/en/cars-for-sale/toyota/corolla-cross/year-2023"),'中古車掲載'!U352,"")</x:f>
      </x:c>
      <x:c r="BF351" s="3" t="str">
        <x:f>IF(AND('中古車掲載'!C352="One2car",'中古車掲載'!F352="Corolla Cross",'中古車掲載'!L352="HEV PREMIUM",'中古車掲載'!J352=2023,ISNUMBER('中古車掲載'!N352),'中古車掲載'!N352&gt;=20000,'中古車掲載'!O352&lt;=100000,'中古車掲載'!AL352=1,'中古車掲載'!Z352="https://www.one2car.com/en/cars-for-sale/toyota/corolla-cross/year-2023"),'中古車掲載'!U352,"")</x:f>
      </x:c>
      <x:c r="BG351" s="3" t="str">
        <x:f>IF(AND('中古車掲載'!C352="One2car",'中古車掲載'!F352="Corolla Cross",'中古車掲載'!L352="HEV GR SPORT",'中古車掲載'!J352=2023,ISNUMBER('中古車掲載'!N352),'中古車掲載'!N352&gt;=20000,'中古車掲載'!O352&lt;=100000,'中古車掲載'!AL352=1,'中古車掲載'!Z352="https://www.one2car.com/en/cars-for-sale/toyota/corolla-cross/year-2023"),'中古車掲載'!U352,"")</x:f>
      </x:c>
      <x:c r="BH351" s="3" t="str">
        <x:f>IF(AND('中古車掲載'!C352="One2car",'中古車掲載'!F352="DOLPHIN",'中古車掲載'!L352="STANDARD RANGE",'中古車掲載'!J352=2023,ISNUMBER('中古車掲載'!N352),'中古車掲載'!N352&gt;=20000,'中古車掲載'!O352&lt;=100000,'中古車掲載'!AL352=1),'中古車掲載'!U352,"")</x:f>
      </x:c>
      <x:c r="BI351" s="3" t="str">
        <x:v>Taladrod|Corolla Cross|HEV|Unknown</x:v>
      </x:c>
      <x:c r="BJ351" s="3" t="n">
        <x:v>352</x:v>
      </x:c>
      <x:c r="BK351" s="3" t="n">
        <x:f>'中古車掲載'!AM352</x:f>
        <x:v>638000</x:v>
      </x:c>
      <x:c r="BL351" s="3" t="str">
        <x:f>IF(ISNUMBER('中古車掲載'!AN352),'中古車掲載'!AN352,"")</x:f>
      </x:c>
      <x:c r="BM351" s="3"/>
      <x:c r="BN351" s="3"/>
      <x:c r="BO351" s="3"/>
      <x:c r="BP351" s="3"/>
      <x:c r="BQ351" s="3"/>
      <x:c r="BR351" s="3"/>
    </x:row>
    <x:row r="352" ht="22" customHeight="1">
      <x:c r="A352" s="3" t="str">
        <x:v>Hilux Revo</x:v>
      </x:c>
      <x:c r="B352" s="3" t="str">
        <x:v>ICE</x:v>
      </x:c>
      <x:c r="C352" s="3" t="str">
        <x:v>One2car</x:v>
      </x:c>
      <x:c r="D352" s="3" t="str">
        <x:v>Pickup</x:v>
      </x:c>
      <x:c r="E352" s="3" t="str">
        <x:v>Double cab</x:v>
      </x:c>
      <x:c r="F352" s="3" t="n">
        <x:v>2021</x:v>
      </x:c>
      <x:c r="G352" s="3" t="str">
        <x:v>TOYOTA HILUX REVO 2.4 DOUBLE CAB Z EDITION MID</x:v>
      </x:c>
      <x:c r="H352" s="3" t="str">
        <x:v>&lt;20千km</x:v>
      </x:c>
      <x:c r="I352" s="3" t="str">
        <x:v>世代不明</x:v>
      </x:c>
      <x:c r="J352" s="22" t="n">
        <x:f>COUNT('中古車掲載'!AM120:AM120)</x:f>
        <x:v>1</x:v>
      </x:c>
      <x:c r="K352" s="22" t="n">
        <x:f>IF(COUNT('中古車掲載'!AM120:AM120)=0,"",QUARTILE('中古車掲載'!AM120:AM120,1))</x:f>
        <x:v>449000</x:v>
      </x:c>
      <x:c r="L352" s="22" t="n">
        <x:f>IF(COUNT('中古車掲載'!AM120:AM120)=0,"",MEDIAN('中古車掲載'!AM120:AM120))</x:f>
        <x:v>449000</x:v>
      </x:c>
      <x:c r="M352" s="22" t="n">
        <x:f>IF(COUNT('中古車掲載'!AM120:AM120)=0,"",QUARTILE('中古車掲載'!AM120:AM120,3))</x:f>
        <x:v>449000</x:v>
      </x:c>
      <x:c r="N352" s="22" t="n">
        <x:f>COUNT('中古車掲載'!AN120:AN120)</x:f>
        <x:v>0</x:v>
      </x:c>
      <x:c r="O352" s="23" t="str">
        <x:f>IF(COUNT('中古車掲載'!AN120:AN120)=0,"",MEDIAN('中古車掲載'!AN120:AN120))</x:f>
      </x:c>
      <x:c r="P352" s="3"/>
      <x:c r="Q352" s="3"/>
      <x:c r="R352" s="3"/>
      <x:c r="S352" s="3"/>
      <x:c r="T352" s="3"/>
      <x:c r="U352" s="3"/>
      <x:c r="V352" s="3"/>
      <x:c r="W352" s="3"/>
      <x:c r="X352" s="3"/>
      <x:c r="Y352" s="3"/>
      <x:c r="Z352" s="3"/>
      <x:c r="AA352" s="3"/>
      <x:c r="AB352" s="3"/>
      <x:c r="AC352" s="3"/>
      <x:c r="AD352" s="3"/>
      <x:c r="AE352" s="3"/>
      <x:c r="AF352" s="3"/>
      <x:c r="AG352" s="3"/>
      <x:c r="AH352" s="3"/>
      <x:c r="AI352" s="3"/>
      <x:c r="AJ352" s="3"/>
      <x:c r="AK352" s="3"/>
      <x:c r="AL352" s="3"/>
      <x:c r="AM352" s="3"/>
      <x:c r="AN352" s="3"/>
      <x:c r="AO352" s="3"/>
      <x:c r="AP352" s="3"/>
      <x:c r="AQ352" s="3"/>
      <x:c r="AR352" s="3"/>
      <x:c r="AS352" s="3"/>
      <x:c r="AT352" s="3"/>
      <x:c r="AU352" s="3"/>
      <x:c r="AV352" s="3"/>
      <x:c r="AW352" s="3"/>
      <x:c r="AX352" s="3"/>
      <x:c r="AY352" s="3"/>
      <x:c r="AZ352" s="3" t="str">
        <x:f>IF(AND('中古車掲載'!C353="One2car",'中古車掲載'!F353="ATTO 3",'中古車掲載'!L353="EXTENDED RANGE",'中古車掲載'!J353=2023,ISNUMBER('中古車掲載'!N353),'中古車掲載'!N353&gt;=20000,'中古車掲載'!O353&lt;=100000,'中古車掲載'!AL353=1),'中古車掲載'!U353,"")</x:f>
      </x:c>
      <x:c r="BA352" s="3" t="str">
        <x:f>IF(AND('中古車掲載'!C353="One2car",'中古車掲載'!F353="Corolla Cross",'中古車掲載'!L353="HEV PREMIUM SAFETY",'中古車掲載'!J353=2023,ISNUMBER('中古車掲載'!N353),'中古車掲載'!N353&gt;=20000,'中古車掲載'!O353&lt;=100000,'中古車掲載'!AL353=1,'中古車掲載'!Z353="https://www.one2car.com/en/cars-for-sale/toyota/corolla-cross/year-2023"),'中古車掲載'!U353,"")</x:f>
      </x:c>
      <x:c r="BB352" s="3" t="str">
        <x:f>IF(AND('中古車掲載'!C353="One2car",'中古車掲載'!F353="ATTO 3",'中古車掲載'!L353="EXTENDED RANGE",'中古車掲載'!J353=2023,ISNUMBER('中古車掲載'!N353),'中古車掲載'!N353&gt;=50000,'中古車掲載'!O353&lt;=100000,'中古車掲載'!AL353=1),'中古車掲載'!U353,"")</x:f>
      </x:c>
      <x:c r="BC352" s="3" t="str">
        <x:f>IF(AND('中古車掲載'!C353="One2car",'中古車掲載'!F353="Corolla Cross",'中古車掲載'!L353="HEV PREMIUM SAFETY",'中古車掲載'!J353=2023,ISNUMBER('中古車掲載'!N353),'中古車掲載'!N353&gt;=50000,'中古車掲載'!O353&lt;=100000,'中古車掲載'!AL353=1,'中古車掲載'!Z353="https://www.one2car.com/en/cars-for-sale/toyota/corolla-cross/year-2023"),'中古車掲載'!U353,"")</x:f>
      </x:c>
      <x:c r="BD352" s="3" t="str">
        <x:f>IF(AND('中古車掲載'!C353="One2car",'中古車掲載'!F353="ATTO 3",'中古車掲載'!L353="EXTENDED RANGE",'中古車掲載'!J353=2023,ISNUMBER('中古車掲載'!N353),'中古車掲載'!N353&gt;=20000,'中古車掲載'!O353&lt;=50000,'中古車掲載'!AL353=1),'中古車掲載'!U353,"")</x:f>
      </x:c>
      <x:c r="BE352" s="3" t="str">
        <x:f>IF(AND('中古車掲載'!C353="One2car",'中古車掲載'!F353="Corolla Cross",'中古車掲載'!L353="HEV PREMIUM SAFETY",'中古車掲載'!J353=2023,ISNUMBER('中古車掲載'!N353),'中古車掲載'!N353&gt;=20000,'中古車掲載'!O353&lt;=50000,'中古車掲載'!AL353=1,'中古車掲載'!Z353="https://www.one2car.com/en/cars-for-sale/toyota/corolla-cross/year-2023"),'中古車掲載'!U353,"")</x:f>
      </x:c>
      <x:c r="BF352" s="3" t="str">
        <x:f>IF(AND('中古車掲載'!C353="One2car",'中古車掲載'!F353="Corolla Cross",'中古車掲載'!L353="HEV PREMIUM",'中古車掲載'!J353=2023,ISNUMBER('中古車掲載'!N353),'中古車掲載'!N353&gt;=20000,'中古車掲載'!O353&lt;=100000,'中古車掲載'!AL353=1,'中古車掲載'!Z353="https://www.one2car.com/en/cars-for-sale/toyota/corolla-cross/year-2023"),'中古車掲載'!U353,"")</x:f>
      </x:c>
      <x:c r="BG352" s="3" t="str">
        <x:f>IF(AND('中古車掲載'!C353="One2car",'中古車掲載'!F353="Corolla Cross",'中古車掲載'!L353="HEV GR SPORT",'中古車掲載'!J353=2023,ISNUMBER('中古車掲載'!N353),'中古車掲載'!N353&gt;=20000,'中古車掲載'!O353&lt;=100000,'中古車掲載'!AL353=1,'中古車掲載'!Z353="https://www.one2car.com/en/cars-for-sale/toyota/corolla-cross/year-2023"),'中古車掲載'!U353,"")</x:f>
      </x:c>
      <x:c r="BH352" s="3" t="str">
        <x:f>IF(AND('中古車掲載'!C353="One2car",'中古車掲載'!F353="DOLPHIN",'中古車掲載'!L353="STANDARD RANGE",'中古車掲載'!J353=2023,ISNUMBER('中古車掲載'!N353),'中古車掲載'!N353&gt;=20000,'中古車掲載'!O353&lt;=100000,'中古車掲載'!AL353=1),'中古車掲載'!U353,"")</x:f>
      </x:c>
      <x:c r="BI352" s="3" t="str">
        <x:v>Taladrod|Corolla Cross|HEV|Unknown</x:v>
      </x:c>
      <x:c r="BJ352" s="3" t="n">
        <x:v>353</x:v>
      </x:c>
      <x:c r="BK352" s="3" t="n">
        <x:f>'中古車掲載'!AM353</x:f>
        <x:v>604000</x:v>
      </x:c>
      <x:c r="BL352" s="3" t="str">
        <x:f>IF(ISNUMBER('中古車掲載'!AN353),'中古車掲載'!AN353,"")</x:f>
      </x:c>
      <x:c r="BM352" s="3"/>
      <x:c r="BN352" s="3"/>
      <x:c r="BO352" s="3"/>
      <x:c r="BP352" s="3"/>
      <x:c r="BQ352" s="3"/>
      <x:c r="BR352" s="3"/>
    </x:row>
    <x:row r="353" ht="22" customHeight="1">
      <x:c r="A353" s="3" t="str">
        <x:v>Hilux Revo</x:v>
      </x:c>
      <x:c r="B353" s="3" t="str">
        <x:v>ICE</x:v>
      </x:c>
      <x:c r="C353" s="3" t="str">
        <x:v>One2car</x:v>
      </x:c>
      <x:c r="D353" s="3" t="str">
        <x:v>Pickup</x:v>
      </x:c>
      <x:c r="E353" s="3" t="str">
        <x:v>Double cab</x:v>
      </x:c>
      <x:c r="F353" s="3" t="n">
        <x:v>2023</x:v>
      </x:c>
      <x:c r="G353" s="3" t="str">
        <x:v>TOYOTA HILUX REVO 2.4 DOUBLE CAB PRERUNNER ENTRY</x:v>
      </x:c>
      <x:c r="H353" s="3" t="str">
        <x:v>20–50千km</x:v>
      </x:c>
      <x:c r="I353" s="3" t="str">
        <x:v>世代不明</x:v>
      </x:c>
      <x:c r="J353" s="22" t="n">
        <x:f>COUNT('中古車掲載'!AM129:AM129)</x:f>
        <x:v>1</x:v>
      </x:c>
      <x:c r="K353" s="22" t="n">
        <x:f>IF(COUNT('中古車掲載'!AM129:AM129)=0,"",QUARTILE('中古車掲載'!AM129:AM129,1))</x:f>
        <x:v>655000</x:v>
      </x:c>
      <x:c r="L353" s="22" t="n">
        <x:f>IF(COUNT('中古車掲載'!AM129:AM129)=0,"",MEDIAN('中古車掲載'!AM129:AM129))</x:f>
        <x:v>655000</x:v>
      </x:c>
      <x:c r="M353" s="22" t="n">
        <x:f>IF(COUNT('中古車掲載'!AM129:AM129)=0,"",QUARTILE('中古車掲載'!AM129:AM129,3))</x:f>
        <x:v>655000</x:v>
      </x:c>
      <x:c r="N353" s="22" t="n">
        <x:f>COUNT('中古車掲載'!AN129:AN129)</x:f>
        <x:v>0</x:v>
      </x:c>
      <x:c r="O353" s="23" t="str">
        <x:f>IF(COUNT('中古車掲載'!AN129:AN129)=0,"",MEDIAN('中古車掲載'!AN129:AN129))</x:f>
      </x:c>
      <x:c r="P353" s="3"/>
      <x:c r="Q353" s="3"/>
      <x:c r="R353" s="3"/>
      <x:c r="S353" s="3"/>
      <x:c r="T353" s="3"/>
      <x:c r="U353" s="3"/>
      <x:c r="V353" s="3"/>
      <x:c r="W353" s="3"/>
      <x:c r="X353" s="3"/>
      <x:c r="Y353" s="3"/>
      <x:c r="Z353" s="3"/>
      <x:c r="AA353" s="3"/>
      <x:c r="AB353" s="3"/>
      <x:c r="AC353" s="3"/>
      <x:c r="AD353" s="3"/>
      <x:c r="AE353" s="3"/>
      <x:c r="AF353" s="3"/>
      <x:c r="AG353" s="3"/>
      <x:c r="AH353" s="3"/>
      <x:c r="AI353" s="3"/>
      <x:c r="AJ353" s="3"/>
      <x:c r="AK353" s="3"/>
      <x:c r="AL353" s="3"/>
      <x:c r="AM353" s="3"/>
      <x:c r="AN353" s="3"/>
      <x:c r="AO353" s="3"/>
      <x:c r="AP353" s="3"/>
      <x:c r="AQ353" s="3"/>
      <x:c r="AR353" s="3"/>
      <x:c r="AS353" s="3"/>
      <x:c r="AT353" s="3"/>
      <x:c r="AU353" s="3"/>
      <x:c r="AV353" s="3"/>
      <x:c r="AW353" s="3"/>
      <x:c r="AX353" s="3"/>
      <x:c r="AY353" s="3"/>
      <x:c r="AZ353" s="3" t="str">
        <x:f>IF(AND('中古車掲載'!C354="One2car",'中古車掲載'!F354="ATTO 3",'中古車掲載'!L354="EXTENDED RANGE",'中古車掲載'!J354=2023,ISNUMBER('中古車掲載'!N354),'中古車掲載'!N354&gt;=20000,'中古車掲載'!O354&lt;=100000,'中古車掲載'!AL354=1),'中古車掲載'!U354,"")</x:f>
      </x:c>
      <x:c r="BA353" s="3" t="str">
        <x:f>IF(AND('中古車掲載'!C354="One2car",'中古車掲載'!F354="Corolla Cross",'中古車掲載'!L354="HEV PREMIUM SAFETY",'中古車掲載'!J354=2023,ISNUMBER('中古車掲載'!N354),'中古車掲載'!N354&gt;=20000,'中古車掲載'!O354&lt;=100000,'中古車掲載'!AL354=1,'中古車掲載'!Z354="https://www.one2car.com/en/cars-for-sale/toyota/corolla-cross/year-2023"),'中古車掲載'!U354,"")</x:f>
      </x:c>
      <x:c r="BB353" s="3" t="str">
        <x:f>IF(AND('中古車掲載'!C354="One2car",'中古車掲載'!F354="ATTO 3",'中古車掲載'!L354="EXTENDED RANGE",'中古車掲載'!J354=2023,ISNUMBER('中古車掲載'!N354),'中古車掲載'!N354&gt;=50000,'中古車掲載'!O354&lt;=100000,'中古車掲載'!AL354=1),'中古車掲載'!U354,"")</x:f>
      </x:c>
      <x:c r="BC353" s="3" t="str">
        <x:f>IF(AND('中古車掲載'!C354="One2car",'中古車掲載'!F354="Corolla Cross",'中古車掲載'!L354="HEV PREMIUM SAFETY",'中古車掲載'!J354=2023,ISNUMBER('中古車掲載'!N354),'中古車掲載'!N354&gt;=50000,'中古車掲載'!O354&lt;=100000,'中古車掲載'!AL354=1,'中古車掲載'!Z354="https://www.one2car.com/en/cars-for-sale/toyota/corolla-cross/year-2023"),'中古車掲載'!U354,"")</x:f>
      </x:c>
      <x:c r="BD353" s="3" t="str">
        <x:f>IF(AND('中古車掲載'!C354="One2car",'中古車掲載'!F354="ATTO 3",'中古車掲載'!L354="EXTENDED RANGE",'中古車掲載'!J354=2023,ISNUMBER('中古車掲載'!N354),'中古車掲載'!N354&gt;=20000,'中古車掲載'!O354&lt;=50000,'中古車掲載'!AL354=1),'中古車掲載'!U354,"")</x:f>
      </x:c>
      <x:c r="BE353" s="3" t="str">
        <x:f>IF(AND('中古車掲載'!C354="One2car",'中古車掲載'!F354="Corolla Cross",'中古車掲載'!L354="HEV PREMIUM SAFETY",'中古車掲載'!J354=2023,ISNUMBER('中古車掲載'!N354),'中古車掲載'!N354&gt;=20000,'中古車掲載'!O354&lt;=50000,'中古車掲載'!AL354=1,'中古車掲載'!Z354="https://www.one2car.com/en/cars-for-sale/toyota/corolla-cross/year-2023"),'中古車掲載'!U354,"")</x:f>
      </x:c>
      <x:c r="BF353" s="3" t="str">
        <x:f>IF(AND('中古車掲載'!C354="One2car",'中古車掲載'!F354="Corolla Cross",'中古車掲載'!L354="HEV PREMIUM",'中古車掲載'!J354=2023,ISNUMBER('中古車掲載'!N354),'中古車掲載'!N354&gt;=20000,'中古車掲載'!O354&lt;=100000,'中古車掲載'!AL354=1,'中古車掲載'!Z354="https://www.one2car.com/en/cars-for-sale/toyota/corolla-cross/year-2023"),'中古車掲載'!U354,"")</x:f>
      </x:c>
      <x:c r="BG353" s="3" t="str">
        <x:f>IF(AND('中古車掲載'!C354="One2car",'中古車掲載'!F354="Corolla Cross",'中古車掲載'!L354="HEV GR SPORT",'中古車掲載'!J354=2023,ISNUMBER('中古車掲載'!N354),'中古車掲載'!N354&gt;=20000,'中古車掲載'!O354&lt;=100000,'中古車掲載'!AL354=1,'中古車掲載'!Z354="https://www.one2car.com/en/cars-for-sale/toyota/corolla-cross/year-2023"),'中古車掲載'!U354,"")</x:f>
      </x:c>
      <x:c r="BH353" s="3" t="str">
        <x:f>IF(AND('中古車掲載'!C354="One2car",'中古車掲載'!F354="DOLPHIN",'中古車掲載'!L354="STANDARD RANGE",'中古車掲載'!J354=2023,ISNUMBER('中古車掲載'!N354),'中古車掲載'!N354&gt;=20000,'中古車掲載'!O354&lt;=100000,'中古車掲載'!AL354=1),'中古車掲載'!U354,"")</x:f>
      </x:c>
      <x:c r="BI353" s="3" t="str">
        <x:v>Taladrod|Corolla Cross|HEV|Unknown</x:v>
      </x:c>
      <x:c r="BJ353" s="3" t="n">
        <x:v>354</x:v>
      </x:c>
      <x:c r="BK353" s="3" t="n">
        <x:f>'中古車掲載'!AM354</x:f>
        <x:v>668000</x:v>
      </x:c>
      <x:c r="BL353" s="3" t="str">
        <x:f>IF(ISNUMBER('中古車掲載'!AN354),'中古車掲載'!AN354,"")</x:f>
      </x:c>
      <x:c r="BM353" s="3"/>
      <x:c r="BN353" s="3"/>
      <x:c r="BO353" s="3"/>
      <x:c r="BP353" s="3"/>
      <x:c r="BQ353" s="3"/>
      <x:c r="BR353" s="3"/>
    </x:row>
    <x:row r="354" ht="22" customHeight="1">
      <x:c r="A354" s="3" t="str">
        <x:v>Hilux Revo</x:v>
      </x:c>
      <x:c r="B354" s="3" t="str">
        <x:v>ICE</x:v>
      </x:c>
      <x:c r="C354" s="3" t="str">
        <x:v>One2car</x:v>
      </x:c>
      <x:c r="D354" s="3" t="str">
        <x:v>Pickup</x:v>
      </x:c>
      <x:c r="E354" s="3" t="str">
        <x:v>Double cab</x:v>
      </x:c>
      <x:c r="F354" s="3" t="n">
        <x:v>2023</x:v>
      </x:c>
      <x:c r="G354" s="3" t="str">
        <x:v>TOYOTA HILUX REVO 2.4 DOUBLE CAB PRERUNNER ENTRY</x:v>
      </x:c>
      <x:c r="H354" s="3" t="str">
        <x:v>50–100千km</x:v>
      </x:c>
      <x:c r="I354" s="3" t="str">
        <x:v>世代不明</x:v>
      </x:c>
      <x:c r="J354" s="22" t="n">
        <x:f>COUNT('中古車掲載'!AM130:AM131)</x:f>
        <x:v>2</x:v>
      </x:c>
      <x:c r="K354" s="22" t="n">
        <x:f>IF(COUNT('中古車掲載'!AM130:AM131)=0,"",QUARTILE('中古車掲載'!AM130:AM131,1))</x:f>
        <x:v>650750</x:v>
      </x:c>
      <x:c r="L354" s="22" t="n">
        <x:f>IF(COUNT('中古車掲載'!AM130:AM131)=0,"",MEDIAN('中古車掲載'!AM130:AM131))</x:f>
        <x:v>673500</x:v>
      </x:c>
      <x:c r="M354" s="22" t="n">
        <x:f>IF(COUNT('中古車掲載'!AM130:AM131)=0,"",QUARTILE('中古車掲載'!AM130:AM131,3))</x:f>
        <x:v>696250</x:v>
      </x:c>
      <x:c r="N354" s="22" t="n">
        <x:f>COUNT('中古車掲載'!AN130:AN131)</x:f>
        <x:v>0</x:v>
      </x:c>
      <x:c r="O354" s="23" t="str">
        <x:f>IF(COUNT('中古車掲載'!AN130:AN131)=0,"",MEDIAN('中古車掲載'!AN130:AN131))</x:f>
      </x:c>
      <x:c r="P354" s="3"/>
      <x:c r="Q354" s="3"/>
      <x:c r="R354" s="3"/>
      <x:c r="S354" s="3"/>
      <x:c r="T354" s="3"/>
      <x:c r="U354" s="3"/>
      <x:c r="V354" s="3"/>
      <x:c r="W354" s="3"/>
      <x:c r="X354" s="3"/>
      <x:c r="Y354" s="3"/>
      <x:c r="Z354" s="3"/>
      <x:c r="AA354" s="3"/>
      <x:c r="AB354" s="3"/>
      <x:c r="AC354" s="3"/>
      <x:c r="AD354" s="3"/>
      <x:c r="AE354" s="3"/>
      <x:c r="AF354" s="3"/>
      <x:c r="AG354" s="3"/>
      <x:c r="AH354" s="3"/>
      <x:c r="AI354" s="3"/>
      <x:c r="AJ354" s="3"/>
      <x:c r="AK354" s="3"/>
      <x:c r="AL354" s="3"/>
      <x:c r="AM354" s="3"/>
      <x:c r="AN354" s="3"/>
      <x:c r="AO354" s="3"/>
      <x:c r="AP354" s="3"/>
      <x:c r="AQ354" s="3"/>
      <x:c r="AR354" s="3"/>
      <x:c r="AS354" s="3"/>
      <x:c r="AT354" s="3"/>
      <x:c r="AU354" s="3"/>
      <x:c r="AV354" s="3"/>
      <x:c r="AW354" s="3"/>
      <x:c r="AX354" s="3"/>
      <x:c r="AY354" s="3"/>
      <x:c r="AZ354" s="3" t="str">
        <x:f>IF(AND('中古車掲載'!C355="One2car",'中古車掲載'!F355="ATTO 3",'中古車掲載'!L355="EXTENDED RANGE",'中古車掲載'!J355=2023,ISNUMBER('中古車掲載'!N355),'中古車掲載'!N355&gt;=20000,'中古車掲載'!O355&lt;=100000,'中古車掲載'!AL355=1),'中古車掲載'!U355,"")</x:f>
      </x:c>
      <x:c r="BA354" s="3" t="str">
        <x:f>IF(AND('中古車掲載'!C355="One2car",'中古車掲載'!F355="Corolla Cross",'中古車掲載'!L355="HEV PREMIUM SAFETY",'中古車掲載'!J355=2023,ISNUMBER('中古車掲載'!N355),'中古車掲載'!N355&gt;=20000,'中古車掲載'!O355&lt;=100000,'中古車掲載'!AL355=1,'中古車掲載'!Z355="https://www.one2car.com/en/cars-for-sale/toyota/corolla-cross/year-2023"),'中古車掲載'!U355,"")</x:f>
      </x:c>
      <x:c r="BB354" s="3" t="str">
        <x:f>IF(AND('中古車掲載'!C355="One2car",'中古車掲載'!F355="ATTO 3",'中古車掲載'!L355="EXTENDED RANGE",'中古車掲載'!J355=2023,ISNUMBER('中古車掲載'!N355),'中古車掲載'!N355&gt;=50000,'中古車掲載'!O355&lt;=100000,'中古車掲載'!AL355=1),'中古車掲載'!U355,"")</x:f>
      </x:c>
      <x:c r="BC354" s="3" t="str">
        <x:f>IF(AND('中古車掲載'!C355="One2car",'中古車掲載'!F355="Corolla Cross",'中古車掲載'!L355="HEV PREMIUM SAFETY",'中古車掲載'!J355=2023,ISNUMBER('中古車掲載'!N355),'中古車掲載'!N355&gt;=50000,'中古車掲載'!O355&lt;=100000,'中古車掲載'!AL355=1,'中古車掲載'!Z355="https://www.one2car.com/en/cars-for-sale/toyota/corolla-cross/year-2023"),'中古車掲載'!U355,"")</x:f>
      </x:c>
      <x:c r="BD354" s="3" t="str">
        <x:f>IF(AND('中古車掲載'!C355="One2car",'中古車掲載'!F355="ATTO 3",'中古車掲載'!L355="EXTENDED RANGE",'中古車掲載'!J355=2023,ISNUMBER('中古車掲載'!N355),'中古車掲載'!N355&gt;=20000,'中古車掲載'!O355&lt;=50000,'中古車掲載'!AL355=1),'中古車掲載'!U355,"")</x:f>
      </x:c>
      <x:c r="BE354" s="3" t="str">
        <x:f>IF(AND('中古車掲載'!C355="One2car",'中古車掲載'!F355="Corolla Cross",'中古車掲載'!L355="HEV PREMIUM SAFETY",'中古車掲載'!J355=2023,ISNUMBER('中古車掲載'!N355),'中古車掲載'!N355&gt;=20000,'中古車掲載'!O355&lt;=50000,'中古車掲載'!AL355=1,'中古車掲載'!Z355="https://www.one2car.com/en/cars-for-sale/toyota/corolla-cross/year-2023"),'中古車掲載'!U355,"")</x:f>
      </x:c>
      <x:c r="BF354" s="3" t="str">
        <x:f>IF(AND('中古車掲載'!C355="One2car",'中古車掲載'!F355="Corolla Cross",'中古車掲載'!L355="HEV PREMIUM",'中古車掲載'!J355=2023,ISNUMBER('中古車掲載'!N355),'中古車掲載'!N355&gt;=20000,'中古車掲載'!O355&lt;=100000,'中古車掲載'!AL355=1,'中古車掲載'!Z355="https://www.one2car.com/en/cars-for-sale/toyota/corolla-cross/year-2023"),'中古車掲載'!U355,"")</x:f>
      </x:c>
      <x:c r="BG354" s="3" t="str">
        <x:f>IF(AND('中古車掲載'!C355="One2car",'中古車掲載'!F355="Corolla Cross",'中古車掲載'!L355="HEV GR SPORT",'中古車掲載'!J355=2023,ISNUMBER('中古車掲載'!N355),'中古車掲載'!N355&gt;=20000,'中古車掲載'!O355&lt;=100000,'中古車掲載'!AL355=1,'中古車掲載'!Z355="https://www.one2car.com/en/cars-for-sale/toyota/corolla-cross/year-2023"),'中古車掲載'!U355,"")</x:f>
      </x:c>
      <x:c r="BH354" s="3" t="str">
        <x:f>IF(AND('中古車掲載'!C355="One2car",'中古車掲載'!F355="DOLPHIN",'中古車掲載'!L355="STANDARD RANGE",'中古車掲載'!J355=2023,ISNUMBER('中古車掲載'!N355),'中古車掲載'!N355&gt;=20000,'中古車掲載'!O355&lt;=100000,'中古車掲載'!AL355=1),'中古車掲載'!U355,"")</x:f>
      </x:c>
      <x:c r="BI354" s="3" t="str">
        <x:v>Taladrod|Corolla Cross|HEV|Unknown</x:v>
      </x:c>
      <x:c r="BJ354" s="3" t="n">
        <x:v>355</x:v>
      </x:c>
      <x:c r="BK354" s="3" t="n">
        <x:f>'中古車掲載'!AM355</x:f>
        <x:v>649000</x:v>
      </x:c>
      <x:c r="BL354" s="3" t="str">
        <x:f>IF(ISNUMBER('中古車掲載'!AN355),'中古車掲載'!AN355,"")</x:f>
      </x:c>
      <x:c r="BM354" s="3"/>
      <x:c r="BN354" s="3"/>
      <x:c r="BO354" s="3"/>
      <x:c r="BP354" s="3"/>
      <x:c r="BQ354" s="3"/>
      <x:c r="BR354" s="3"/>
    </x:row>
    <x:row r="355" ht="22" customHeight="1">
      <x:c r="A355" s="3" t="str">
        <x:v>Hilux Revo</x:v>
      </x:c>
      <x:c r="B355" s="3" t="str">
        <x:v>ICE</x:v>
      </x:c>
      <x:c r="C355" s="3" t="str">
        <x:v>One2car</x:v>
      </x:c>
      <x:c r="D355" s="3" t="str">
        <x:v>Pickup</x:v>
      </x:c>
      <x:c r="E355" s="3" t="str">
        <x:v>Double cab</x:v>
      </x:c>
      <x:c r="F355" s="3" t="n">
        <x:v>2023</x:v>
      </x:c>
      <x:c r="G355" s="3" t="str">
        <x:v>TOYOTA HILUX REVO 2.4 DOUBLE CAB PRERUNNER MID</x:v>
      </x:c>
      <x:c r="H355" s="3" t="str">
        <x:v>150千km以上</x:v>
      </x:c>
      <x:c r="I355" s="3" t="str">
        <x:v>世代不明</x:v>
      </x:c>
      <x:c r="J355" s="22" t="n">
        <x:f>COUNT('中古車掲載'!AM132:AM132)</x:f>
        <x:v>1</x:v>
      </x:c>
      <x:c r="K355" s="22" t="n">
        <x:f>IF(COUNT('中古車掲載'!AM132:AM132)=0,"",QUARTILE('中古車掲載'!AM132:AM132,1))</x:f>
        <x:v>640000</x:v>
      </x:c>
      <x:c r="L355" s="22" t="n">
        <x:f>IF(COUNT('中古車掲載'!AM132:AM132)=0,"",MEDIAN('中古車掲載'!AM132:AM132))</x:f>
        <x:v>640000</x:v>
      </x:c>
      <x:c r="M355" s="22" t="n">
        <x:f>IF(COUNT('中古車掲載'!AM132:AM132)=0,"",QUARTILE('中古車掲載'!AM132:AM132,3))</x:f>
        <x:v>640000</x:v>
      </x:c>
      <x:c r="N355" s="22" t="n">
        <x:f>COUNT('中古車掲載'!AN132:AN132)</x:f>
        <x:v>0</x:v>
      </x:c>
      <x:c r="O355" s="23" t="str">
        <x:f>IF(COUNT('中古車掲載'!AN132:AN132)=0,"",MEDIAN('中古車掲載'!AN132:AN132))</x:f>
      </x:c>
      <x:c r="P355" s="3"/>
      <x:c r="Q355" s="3"/>
      <x:c r="R355" s="3"/>
      <x:c r="S355" s="3"/>
      <x:c r="T355" s="3"/>
      <x:c r="U355" s="3"/>
      <x:c r="V355" s="3"/>
      <x:c r="W355" s="3"/>
      <x:c r="X355" s="3"/>
      <x:c r="Y355" s="3"/>
      <x:c r="Z355" s="3"/>
      <x:c r="AA355" s="3"/>
      <x:c r="AB355" s="3"/>
      <x:c r="AC355" s="3"/>
      <x:c r="AD355" s="3"/>
      <x:c r="AE355" s="3"/>
      <x:c r="AF355" s="3"/>
      <x:c r="AG355" s="3"/>
      <x:c r="AH355" s="3"/>
      <x:c r="AI355" s="3"/>
      <x:c r="AJ355" s="3"/>
      <x:c r="AK355" s="3"/>
      <x:c r="AL355" s="3"/>
      <x:c r="AM355" s="3"/>
      <x:c r="AN355" s="3"/>
      <x:c r="AO355" s="3"/>
      <x:c r="AP355" s="3"/>
      <x:c r="AQ355" s="3"/>
      <x:c r="AR355" s="3"/>
      <x:c r="AS355" s="3"/>
      <x:c r="AT355" s="3"/>
      <x:c r="AU355" s="3"/>
      <x:c r="AV355" s="3"/>
      <x:c r="AW355" s="3"/>
      <x:c r="AX355" s="3"/>
      <x:c r="AY355" s="3"/>
      <x:c r="AZ355" s="3" t="str">
        <x:f>IF(AND('中古車掲載'!C356="One2car",'中古車掲載'!F356="ATTO 3",'中古車掲載'!L356="EXTENDED RANGE",'中古車掲載'!J356=2023,ISNUMBER('中古車掲載'!N356),'中古車掲載'!N356&gt;=20000,'中古車掲載'!O356&lt;=100000,'中古車掲載'!AL356=1),'中古車掲載'!U356,"")</x:f>
      </x:c>
      <x:c r="BA355" s="3" t="str">
        <x:f>IF(AND('中古車掲載'!C356="One2car",'中古車掲載'!F356="Corolla Cross",'中古車掲載'!L356="HEV PREMIUM SAFETY",'中古車掲載'!J356=2023,ISNUMBER('中古車掲載'!N356),'中古車掲載'!N356&gt;=20000,'中古車掲載'!O356&lt;=100000,'中古車掲載'!AL356=1,'中古車掲載'!Z356="https://www.one2car.com/en/cars-for-sale/toyota/corolla-cross/year-2023"),'中古車掲載'!U356,"")</x:f>
      </x:c>
      <x:c r="BB355" s="3" t="str">
        <x:f>IF(AND('中古車掲載'!C356="One2car",'中古車掲載'!F356="ATTO 3",'中古車掲載'!L356="EXTENDED RANGE",'中古車掲載'!J356=2023,ISNUMBER('中古車掲載'!N356),'中古車掲載'!N356&gt;=50000,'中古車掲載'!O356&lt;=100000,'中古車掲載'!AL356=1),'中古車掲載'!U356,"")</x:f>
      </x:c>
      <x:c r="BC355" s="3" t="str">
        <x:f>IF(AND('中古車掲載'!C356="One2car",'中古車掲載'!F356="Corolla Cross",'中古車掲載'!L356="HEV PREMIUM SAFETY",'中古車掲載'!J356=2023,ISNUMBER('中古車掲載'!N356),'中古車掲載'!N356&gt;=50000,'中古車掲載'!O356&lt;=100000,'中古車掲載'!AL356=1,'中古車掲載'!Z356="https://www.one2car.com/en/cars-for-sale/toyota/corolla-cross/year-2023"),'中古車掲載'!U356,"")</x:f>
      </x:c>
      <x:c r="BD355" s="3" t="str">
        <x:f>IF(AND('中古車掲載'!C356="One2car",'中古車掲載'!F356="ATTO 3",'中古車掲載'!L356="EXTENDED RANGE",'中古車掲載'!J356=2023,ISNUMBER('中古車掲載'!N356),'中古車掲載'!N356&gt;=20000,'中古車掲載'!O356&lt;=50000,'中古車掲載'!AL356=1),'中古車掲載'!U356,"")</x:f>
      </x:c>
      <x:c r="BE355" s="3" t="str">
        <x:f>IF(AND('中古車掲載'!C356="One2car",'中古車掲載'!F356="Corolla Cross",'中古車掲載'!L356="HEV PREMIUM SAFETY",'中古車掲載'!J356=2023,ISNUMBER('中古車掲載'!N356),'中古車掲載'!N356&gt;=20000,'中古車掲載'!O356&lt;=50000,'中古車掲載'!AL356=1,'中古車掲載'!Z356="https://www.one2car.com/en/cars-for-sale/toyota/corolla-cross/year-2023"),'中古車掲載'!U356,"")</x:f>
      </x:c>
      <x:c r="BF355" s="3" t="str">
        <x:f>IF(AND('中古車掲載'!C356="One2car",'中古車掲載'!F356="Corolla Cross",'中古車掲載'!L356="HEV PREMIUM",'中古車掲載'!J356=2023,ISNUMBER('中古車掲載'!N356),'中古車掲載'!N356&gt;=20000,'中古車掲載'!O356&lt;=100000,'中古車掲載'!AL356=1,'中古車掲載'!Z356="https://www.one2car.com/en/cars-for-sale/toyota/corolla-cross/year-2023"),'中古車掲載'!U356,"")</x:f>
      </x:c>
      <x:c r="BG355" s="3" t="str">
        <x:f>IF(AND('中古車掲載'!C356="One2car",'中古車掲載'!F356="Corolla Cross",'中古車掲載'!L356="HEV GR SPORT",'中古車掲載'!J356=2023,ISNUMBER('中古車掲載'!N356),'中古車掲載'!N356&gt;=20000,'中古車掲載'!O356&lt;=100000,'中古車掲載'!AL356=1,'中古車掲載'!Z356="https://www.one2car.com/en/cars-for-sale/toyota/corolla-cross/year-2023"),'中古車掲載'!U356,"")</x:f>
      </x:c>
      <x:c r="BH355" s="3" t="str">
        <x:f>IF(AND('中古車掲載'!C356="One2car",'中古車掲載'!F356="DOLPHIN",'中古車掲載'!L356="STANDARD RANGE",'中古車掲載'!J356=2023,ISNUMBER('中古車掲載'!N356),'中古車掲載'!N356&gt;=20000,'中古車掲載'!O356&lt;=100000,'中古車掲載'!AL356=1),'中古車掲載'!U356,"")</x:f>
      </x:c>
      <x:c r="BI355" s="3" t="str">
        <x:v>Taladrod|Corolla Cross|HEV|Unknown</x:v>
      </x:c>
      <x:c r="BJ355" s="3" t="n">
        <x:v>356</x:v>
      </x:c>
      <x:c r="BK355" s="3" t="n">
        <x:f>'中古車掲載'!AM356</x:f>
        <x:v>664000</x:v>
      </x:c>
      <x:c r="BL355" s="3" t="str">
        <x:f>IF(ISNUMBER('中古車掲載'!AN356),'中古車掲載'!AN356,"")</x:f>
      </x:c>
      <x:c r="BM355" s="3"/>
      <x:c r="BN355" s="3"/>
      <x:c r="BO355" s="3"/>
      <x:c r="BP355" s="3"/>
      <x:c r="BQ355" s="3"/>
      <x:c r="BR355" s="3"/>
    </x:row>
    <x:row r="356" ht="22" customHeight="1">
      <x:c r="A356" s="3" t="str">
        <x:v>Hilux Revo</x:v>
      </x:c>
      <x:c r="B356" s="3" t="str">
        <x:v>ICE</x:v>
      </x:c>
      <x:c r="C356" s="3" t="str">
        <x:v>One2car</x:v>
      </x:c>
      <x:c r="D356" s="3" t="str">
        <x:v>Pickup</x:v>
      </x:c>
      <x:c r="E356" s="3" t="str">
        <x:v>Double cab</x:v>
      </x:c>
      <x:c r="F356" s="3" t="n">
        <x:v>2023</x:v>
      </x:c>
      <x:c r="G356" s="3" t="str">
        <x:v>TOYOTA HILUX REVO 2.4 DOUBLE CAB PRERUNNER MID</x:v>
      </x:c>
      <x:c r="H356" s="3" t="str">
        <x:v>20–50千km</x:v>
      </x:c>
      <x:c r="I356" s="3" t="str">
        <x:v>世代不明</x:v>
      </x:c>
      <x:c r="J356" s="22" t="n">
        <x:f>COUNT('中古車掲載'!AM133:AM133)</x:f>
        <x:v>1</x:v>
      </x:c>
      <x:c r="K356" s="22" t="n">
        <x:f>IF(COUNT('中古車掲載'!AM133:AM133)=0,"",QUARTILE('中古車掲載'!AM133:AM133,1))</x:f>
        <x:v>699000</x:v>
      </x:c>
      <x:c r="L356" s="22" t="n">
        <x:f>IF(COUNT('中古車掲載'!AM133:AM133)=0,"",MEDIAN('中古車掲載'!AM133:AM133))</x:f>
        <x:v>699000</x:v>
      </x:c>
      <x:c r="M356" s="22" t="n">
        <x:f>IF(COUNT('中古車掲載'!AM133:AM133)=0,"",QUARTILE('中古車掲載'!AM133:AM133,3))</x:f>
        <x:v>699000</x:v>
      </x:c>
      <x:c r="N356" s="22" t="n">
        <x:f>COUNT('中古車掲載'!AN133:AN133)</x:f>
        <x:v>0</x:v>
      </x:c>
      <x:c r="O356" s="23" t="str">
        <x:f>IF(COUNT('中古車掲載'!AN133:AN133)=0,"",MEDIAN('中古車掲載'!AN133:AN133))</x:f>
      </x:c>
      <x:c r="P356" s="3"/>
      <x:c r="Q356" s="3"/>
      <x:c r="R356" s="3"/>
      <x:c r="S356" s="3"/>
      <x:c r="T356" s="3"/>
      <x:c r="U356" s="3"/>
      <x:c r="V356" s="3"/>
      <x:c r="W356" s="3"/>
      <x:c r="X356" s="3"/>
      <x:c r="Y356" s="3"/>
      <x:c r="Z356" s="3"/>
      <x:c r="AA356" s="3"/>
      <x:c r="AB356" s="3"/>
      <x:c r="AC356" s="3"/>
      <x:c r="AD356" s="3"/>
      <x:c r="AE356" s="3"/>
      <x:c r="AF356" s="3"/>
      <x:c r="AG356" s="3"/>
      <x:c r="AH356" s="3"/>
      <x:c r="AI356" s="3"/>
      <x:c r="AJ356" s="3"/>
      <x:c r="AK356" s="3"/>
      <x:c r="AL356" s="3"/>
      <x:c r="AM356" s="3"/>
      <x:c r="AN356" s="3"/>
      <x:c r="AO356" s="3"/>
      <x:c r="AP356" s="3"/>
      <x:c r="AQ356" s="3"/>
      <x:c r="AR356" s="3"/>
      <x:c r="AS356" s="3"/>
      <x:c r="AT356" s="3"/>
      <x:c r="AU356" s="3"/>
      <x:c r="AV356" s="3"/>
      <x:c r="AW356" s="3"/>
      <x:c r="AX356" s="3"/>
      <x:c r="AY356" s="3"/>
      <x:c r="AZ356" s="3" t="str">
        <x:f>IF(AND('中古車掲載'!C357="One2car",'中古車掲載'!F357="ATTO 3",'中古車掲載'!L357="EXTENDED RANGE",'中古車掲載'!J357=2023,ISNUMBER('中古車掲載'!N357),'中古車掲載'!N357&gt;=20000,'中古車掲載'!O357&lt;=100000,'中古車掲載'!AL357=1),'中古車掲載'!U357,"")</x:f>
      </x:c>
      <x:c r="BA356" s="3" t="str">
        <x:f>IF(AND('中古車掲載'!C357="One2car",'中古車掲載'!F357="Corolla Cross",'中古車掲載'!L357="HEV PREMIUM SAFETY",'中古車掲載'!J357=2023,ISNUMBER('中古車掲載'!N357),'中古車掲載'!N357&gt;=20000,'中古車掲載'!O357&lt;=100000,'中古車掲載'!AL357=1,'中古車掲載'!Z357="https://www.one2car.com/en/cars-for-sale/toyota/corolla-cross/year-2023"),'中古車掲載'!U357,"")</x:f>
      </x:c>
      <x:c r="BB356" s="3" t="str">
        <x:f>IF(AND('中古車掲載'!C357="One2car",'中古車掲載'!F357="ATTO 3",'中古車掲載'!L357="EXTENDED RANGE",'中古車掲載'!J357=2023,ISNUMBER('中古車掲載'!N357),'中古車掲載'!N357&gt;=50000,'中古車掲載'!O357&lt;=100000,'中古車掲載'!AL357=1),'中古車掲載'!U357,"")</x:f>
      </x:c>
      <x:c r="BC356" s="3" t="str">
        <x:f>IF(AND('中古車掲載'!C357="One2car",'中古車掲載'!F357="Corolla Cross",'中古車掲載'!L357="HEV PREMIUM SAFETY",'中古車掲載'!J357=2023,ISNUMBER('中古車掲載'!N357),'中古車掲載'!N357&gt;=50000,'中古車掲載'!O357&lt;=100000,'中古車掲載'!AL357=1,'中古車掲載'!Z357="https://www.one2car.com/en/cars-for-sale/toyota/corolla-cross/year-2023"),'中古車掲載'!U357,"")</x:f>
      </x:c>
      <x:c r="BD356" s="3" t="str">
        <x:f>IF(AND('中古車掲載'!C357="One2car",'中古車掲載'!F357="ATTO 3",'中古車掲載'!L357="EXTENDED RANGE",'中古車掲載'!J357=2023,ISNUMBER('中古車掲載'!N357),'中古車掲載'!N357&gt;=20000,'中古車掲載'!O357&lt;=50000,'中古車掲載'!AL357=1),'中古車掲載'!U357,"")</x:f>
      </x:c>
      <x:c r="BE356" s="3" t="str">
        <x:f>IF(AND('中古車掲載'!C357="One2car",'中古車掲載'!F357="Corolla Cross",'中古車掲載'!L357="HEV PREMIUM SAFETY",'中古車掲載'!J357=2023,ISNUMBER('中古車掲載'!N357),'中古車掲載'!N357&gt;=20000,'中古車掲載'!O357&lt;=50000,'中古車掲載'!AL357=1,'中古車掲載'!Z357="https://www.one2car.com/en/cars-for-sale/toyota/corolla-cross/year-2023"),'中古車掲載'!U357,"")</x:f>
      </x:c>
      <x:c r="BF356" s="3" t="str">
        <x:f>IF(AND('中古車掲載'!C357="One2car",'中古車掲載'!F357="Corolla Cross",'中古車掲載'!L357="HEV PREMIUM",'中古車掲載'!J357=2023,ISNUMBER('中古車掲載'!N357),'中古車掲載'!N357&gt;=20000,'中古車掲載'!O357&lt;=100000,'中古車掲載'!AL357=1,'中古車掲載'!Z357="https://www.one2car.com/en/cars-for-sale/toyota/corolla-cross/year-2023"),'中古車掲載'!U357,"")</x:f>
      </x:c>
      <x:c r="BG356" s="3" t="str">
        <x:f>IF(AND('中古車掲載'!C357="One2car",'中古車掲載'!F357="Corolla Cross",'中古車掲載'!L357="HEV GR SPORT",'中古車掲載'!J357=2023,ISNUMBER('中古車掲載'!N357),'中古車掲載'!N357&gt;=20000,'中古車掲載'!O357&lt;=100000,'中古車掲載'!AL357=1,'中古車掲載'!Z357="https://www.one2car.com/en/cars-for-sale/toyota/corolla-cross/year-2023"),'中古車掲載'!U357,"")</x:f>
      </x:c>
      <x:c r="BH356" s="3" t="str">
        <x:f>IF(AND('中古車掲載'!C357="One2car",'中古車掲載'!F357="DOLPHIN",'中古車掲載'!L357="STANDARD RANGE",'中古車掲載'!J357=2023,ISNUMBER('中古車掲載'!N357),'中古車掲載'!N357&gt;=20000,'中古車掲載'!O357&lt;=100000,'中古車掲載'!AL357=1),'中古車掲載'!U357,"")</x:f>
      </x:c>
      <x:c r="BI356" s="3" t="str">
        <x:v>Taladrod|Corolla Cross|HEV|Unknown</x:v>
      </x:c>
      <x:c r="BJ356" s="3" t="n">
        <x:v>357</x:v>
      </x:c>
      <x:c r="BK356" s="3" t="n">
        <x:f>'中古車掲載'!AM357</x:f>
        <x:v>599000</x:v>
      </x:c>
      <x:c r="BL356" s="3" t="str">
        <x:f>IF(ISNUMBER('中古車掲載'!AN357),'中古車掲載'!AN357,"")</x:f>
      </x:c>
      <x:c r="BM356" s="3"/>
      <x:c r="BN356" s="3"/>
      <x:c r="BO356" s="3"/>
      <x:c r="BP356" s="3"/>
      <x:c r="BQ356" s="3"/>
      <x:c r="BR356" s="3"/>
    </x:row>
    <x:row r="357" ht="22" customHeight="1">
      <x:c r="A357" s="3" t="str">
        <x:v>Hilux Revo</x:v>
      </x:c>
      <x:c r="B357" s="3" t="str">
        <x:v>ICE</x:v>
      </x:c>
      <x:c r="C357" s="3" t="str">
        <x:v>One2car</x:v>
      </x:c>
      <x:c r="D357" s="3" t="str">
        <x:v>Pickup</x:v>
      </x:c>
      <x:c r="E357" s="3" t="str">
        <x:v>Double cab</x:v>
      </x:c>
      <x:c r="F357" s="3" t="n">
        <x:v>2023</x:v>
      </x:c>
      <x:c r="G357" s="3" t="str">
        <x:v>TOYOTA HILUX REVO 2.4 DOUBLE CAB PRERUNNER MID</x:v>
      </x:c>
      <x:c r="H357" s="3" t="str">
        <x:v>境界を跨ぐ表示レンジ</x:v>
      </x:c>
      <x:c r="I357" s="3" t="str">
        <x:v>世代不明</x:v>
      </x:c>
      <x:c r="J357" s="22" t="n">
        <x:f>COUNT('中古車掲載'!AM134:AM134)</x:f>
        <x:v>1</x:v>
      </x:c>
      <x:c r="K357" s="22" t="n">
        <x:f>IF(COUNT('中古車掲載'!AM134:AM134)=0,"",QUARTILE('中古車掲載'!AM134:AM134,1))</x:f>
        <x:v>679000</x:v>
      </x:c>
      <x:c r="L357" s="22" t="n">
        <x:f>IF(COUNT('中古車掲載'!AM134:AM134)=0,"",MEDIAN('中古車掲載'!AM134:AM134))</x:f>
        <x:v>679000</x:v>
      </x:c>
      <x:c r="M357" s="22" t="n">
        <x:f>IF(COUNT('中古車掲載'!AM134:AM134)=0,"",QUARTILE('中古車掲載'!AM134:AM134,3))</x:f>
        <x:v>679000</x:v>
      </x:c>
      <x:c r="N357" s="22" t="n">
        <x:f>COUNT('中古車掲載'!AN134:AN134)</x:f>
        <x:v>0</x:v>
      </x:c>
      <x:c r="O357" s="23" t="str">
        <x:f>IF(COUNT('中古車掲載'!AN134:AN134)=0,"",MEDIAN('中古車掲載'!AN134:AN134))</x:f>
      </x:c>
      <x:c r="P357" s="3"/>
      <x:c r="Q357" s="3"/>
      <x:c r="R357" s="3"/>
      <x:c r="S357" s="3"/>
      <x:c r="T357" s="3"/>
      <x:c r="U357" s="3"/>
      <x:c r="V357" s="3"/>
      <x:c r="W357" s="3"/>
      <x:c r="X357" s="3"/>
      <x:c r="Y357" s="3"/>
      <x:c r="Z357" s="3"/>
      <x:c r="AA357" s="3"/>
      <x:c r="AB357" s="3"/>
      <x:c r="AC357" s="3"/>
      <x:c r="AD357" s="3"/>
      <x:c r="AE357" s="3"/>
      <x:c r="AF357" s="3"/>
      <x:c r="AG357" s="3"/>
      <x:c r="AH357" s="3"/>
      <x:c r="AI357" s="3"/>
      <x:c r="AJ357" s="3"/>
      <x:c r="AK357" s="3"/>
      <x:c r="AL357" s="3"/>
      <x:c r="AM357" s="3"/>
      <x:c r="AN357" s="3"/>
      <x:c r="AO357" s="3"/>
      <x:c r="AP357" s="3"/>
      <x:c r="AQ357" s="3"/>
      <x:c r="AR357" s="3"/>
      <x:c r="AS357" s="3"/>
      <x:c r="AT357" s="3"/>
      <x:c r="AU357" s="3"/>
      <x:c r="AV357" s="3"/>
      <x:c r="AW357" s="3"/>
      <x:c r="AX357" s="3"/>
      <x:c r="AY357" s="3"/>
      <x:c r="AZ357" s="3" t="str">
        <x:f>IF(AND('中古車掲載'!C358="One2car",'中古車掲載'!F358="ATTO 3",'中古車掲載'!L358="EXTENDED RANGE",'中古車掲載'!J358=2023,ISNUMBER('中古車掲載'!N358),'中古車掲載'!N358&gt;=20000,'中古車掲載'!O358&lt;=100000,'中古車掲載'!AL358=1),'中古車掲載'!U358,"")</x:f>
      </x:c>
      <x:c r="BA357" s="3" t="str">
        <x:f>IF(AND('中古車掲載'!C358="One2car",'中古車掲載'!F358="Corolla Cross",'中古車掲載'!L358="HEV PREMIUM SAFETY",'中古車掲載'!J358=2023,ISNUMBER('中古車掲載'!N358),'中古車掲載'!N358&gt;=20000,'中古車掲載'!O358&lt;=100000,'中古車掲載'!AL358=1,'中古車掲載'!Z358="https://www.one2car.com/en/cars-for-sale/toyota/corolla-cross/year-2023"),'中古車掲載'!U358,"")</x:f>
      </x:c>
      <x:c r="BB357" s="3" t="str">
        <x:f>IF(AND('中古車掲載'!C358="One2car",'中古車掲載'!F358="ATTO 3",'中古車掲載'!L358="EXTENDED RANGE",'中古車掲載'!J358=2023,ISNUMBER('中古車掲載'!N358),'中古車掲載'!N358&gt;=50000,'中古車掲載'!O358&lt;=100000,'中古車掲載'!AL358=1),'中古車掲載'!U358,"")</x:f>
      </x:c>
      <x:c r="BC357" s="3" t="str">
        <x:f>IF(AND('中古車掲載'!C358="One2car",'中古車掲載'!F358="Corolla Cross",'中古車掲載'!L358="HEV PREMIUM SAFETY",'中古車掲載'!J358=2023,ISNUMBER('中古車掲載'!N358),'中古車掲載'!N358&gt;=50000,'中古車掲載'!O358&lt;=100000,'中古車掲載'!AL358=1,'中古車掲載'!Z358="https://www.one2car.com/en/cars-for-sale/toyota/corolla-cross/year-2023"),'中古車掲載'!U358,"")</x:f>
      </x:c>
      <x:c r="BD357" s="3" t="str">
        <x:f>IF(AND('中古車掲載'!C358="One2car",'中古車掲載'!F358="ATTO 3",'中古車掲載'!L358="EXTENDED RANGE",'中古車掲載'!J358=2023,ISNUMBER('中古車掲載'!N358),'中古車掲載'!N358&gt;=20000,'中古車掲載'!O358&lt;=50000,'中古車掲載'!AL358=1),'中古車掲載'!U358,"")</x:f>
      </x:c>
      <x:c r="BE357" s="3" t="str">
        <x:f>IF(AND('中古車掲載'!C358="One2car",'中古車掲載'!F358="Corolla Cross",'中古車掲載'!L358="HEV PREMIUM SAFETY",'中古車掲載'!J358=2023,ISNUMBER('中古車掲載'!N358),'中古車掲載'!N358&gt;=20000,'中古車掲載'!O358&lt;=50000,'中古車掲載'!AL358=1,'中古車掲載'!Z358="https://www.one2car.com/en/cars-for-sale/toyota/corolla-cross/year-2023"),'中古車掲載'!U358,"")</x:f>
      </x:c>
      <x:c r="BF357" s="3" t="str">
        <x:f>IF(AND('中古車掲載'!C358="One2car",'中古車掲載'!F358="Corolla Cross",'中古車掲載'!L358="HEV PREMIUM",'中古車掲載'!J358=2023,ISNUMBER('中古車掲載'!N358),'中古車掲載'!N358&gt;=20000,'中古車掲載'!O358&lt;=100000,'中古車掲載'!AL358=1,'中古車掲載'!Z358="https://www.one2car.com/en/cars-for-sale/toyota/corolla-cross/year-2023"),'中古車掲載'!U358,"")</x:f>
      </x:c>
      <x:c r="BG357" s="3" t="str">
        <x:f>IF(AND('中古車掲載'!C358="One2car",'中古車掲載'!F358="Corolla Cross",'中古車掲載'!L358="HEV GR SPORT",'中古車掲載'!J358=2023,ISNUMBER('中古車掲載'!N358),'中古車掲載'!N358&gt;=20000,'中古車掲載'!O358&lt;=100000,'中古車掲載'!AL358=1,'中古車掲載'!Z358="https://www.one2car.com/en/cars-for-sale/toyota/corolla-cross/year-2023"),'中古車掲載'!U358,"")</x:f>
      </x:c>
      <x:c r="BH357" s="3" t="str">
        <x:f>IF(AND('中古車掲載'!C358="One2car",'中古車掲載'!F358="DOLPHIN",'中古車掲載'!L358="STANDARD RANGE",'中古車掲載'!J358=2023,ISNUMBER('中古車掲載'!N358),'中古車掲載'!N358&gt;=20000,'中古車掲載'!O358&lt;=100000,'中古車掲載'!AL358=1),'中古車掲載'!U358,"")</x:f>
      </x:c>
      <x:c r="BI357" s="3" t="str">
        <x:v>Taladrod|Corolla Cross|HEV|Unknown</x:v>
      </x:c>
      <x:c r="BJ357" s="3" t="n">
        <x:v>358</x:v>
      </x:c>
      <x:c r="BK357" s="3" t="n">
        <x:f>'中古車掲載'!AM358</x:f>
        <x:v>689000</x:v>
      </x:c>
      <x:c r="BL357" s="3" t="str">
        <x:f>IF(ISNUMBER('中古車掲載'!AN358),'中古車掲載'!AN358,"")</x:f>
      </x:c>
      <x:c r="BM357" s="3"/>
      <x:c r="BN357" s="3"/>
      <x:c r="BO357" s="3"/>
      <x:c r="BP357" s="3"/>
      <x:c r="BQ357" s="3"/>
      <x:c r="BR357" s="3"/>
    </x:row>
    <x:row r="358" ht="22" customHeight="1">
      <x:c r="A358" s="3" t="str">
        <x:v>Hilux Revo</x:v>
      </x:c>
      <x:c r="B358" s="3" t="str">
        <x:v>ICE</x:v>
      </x:c>
      <x:c r="C358" s="3" t="str">
        <x:v>One2car</x:v>
      </x:c>
      <x:c r="D358" s="3" t="str">
        <x:v>Pickup</x:v>
      </x:c>
      <x:c r="E358" s="3" t="str">
        <x:v>Double cab</x:v>
      </x:c>
      <x:c r="F358" s="3" t="n">
        <x:v>2023</x:v>
      </x:c>
      <x:c r="G358" s="3" t="str">
        <x:v>TOYOTA HILUX REVO 2.4 DOUBLE CAB Z EDITION ENTRY</x:v>
      </x:c>
      <x:c r="H358" s="3" t="str">
        <x:v>50–100千km</x:v>
      </x:c>
      <x:c r="I358" s="3" t="str">
        <x:v>世代不明</x:v>
      </x:c>
      <x:c r="J358" s="22" t="n">
        <x:f>COUNT('中古車掲載'!AM135:AM135)</x:f>
        <x:v>1</x:v>
      </x:c>
      <x:c r="K358" s="22" t="n">
        <x:f>IF(COUNT('中古車掲載'!AM135:AM135)=0,"",QUARTILE('中古車掲載'!AM135:AM135,1))</x:f>
        <x:v>499000</x:v>
      </x:c>
      <x:c r="L358" s="22" t="n">
        <x:f>IF(COUNT('中古車掲載'!AM135:AM135)=0,"",MEDIAN('中古車掲載'!AM135:AM135))</x:f>
        <x:v>499000</x:v>
      </x:c>
      <x:c r="M358" s="22" t="n">
        <x:f>IF(COUNT('中古車掲載'!AM135:AM135)=0,"",QUARTILE('中古車掲載'!AM135:AM135,3))</x:f>
        <x:v>499000</x:v>
      </x:c>
      <x:c r="N358" s="22" t="n">
        <x:f>COUNT('中古車掲載'!AN135:AN135)</x:f>
        <x:v>0</x:v>
      </x:c>
      <x:c r="O358" s="23" t="str">
        <x:f>IF(COUNT('中古車掲載'!AN135:AN135)=0,"",MEDIAN('中古車掲載'!AN135:AN135))</x:f>
      </x:c>
      <x:c r="P358" s="3"/>
      <x:c r="Q358" s="3"/>
      <x:c r="R358" s="3"/>
      <x:c r="S358" s="3"/>
      <x:c r="T358" s="3"/>
      <x:c r="U358" s="3"/>
      <x:c r="V358" s="3"/>
      <x:c r="W358" s="3"/>
      <x:c r="X358" s="3"/>
      <x:c r="Y358" s="3"/>
      <x:c r="Z358" s="3"/>
      <x:c r="AA358" s="3"/>
      <x:c r="AB358" s="3"/>
      <x:c r="AC358" s="3"/>
      <x:c r="AD358" s="3"/>
      <x:c r="AE358" s="3"/>
      <x:c r="AF358" s="3"/>
      <x:c r="AG358" s="3"/>
      <x:c r="AH358" s="3"/>
      <x:c r="AI358" s="3"/>
      <x:c r="AJ358" s="3"/>
      <x:c r="AK358" s="3"/>
      <x:c r="AL358" s="3"/>
      <x:c r="AM358" s="3"/>
      <x:c r="AN358" s="3"/>
      <x:c r="AO358" s="3"/>
      <x:c r="AP358" s="3"/>
      <x:c r="AQ358" s="3"/>
      <x:c r="AR358" s="3"/>
      <x:c r="AS358" s="3"/>
      <x:c r="AT358" s="3"/>
      <x:c r="AU358" s="3"/>
      <x:c r="AV358" s="3"/>
      <x:c r="AW358" s="3"/>
      <x:c r="AX358" s="3"/>
      <x:c r="AY358" s="3"/>
      <x:c r="AZ358" s="3" t="str">
        <x:f>IF(AND('中古車掲載'!C359="One2car",'中古車掲載'!F359="ATTO 3",'中古車掲載'!L359="EXTENDED RANGE",'中古車掲載'!J359=2023,ISNUMBER('中古車掲載'!N359),'中古車掲載'!N359&gt;=20000,'中古車掲載'!O359&lt;=100000,'中古車掲載'!AL359=1),'中古車掲載'!U359,"")</x:f>
      </x:c>
      <x:c r="BA358" s="3" t="str">
        <x:f>IF(AND('中古車掲載'!C359="One2car",'中古車掲載'!F359="Corolla Cross",'中古車掲載'!L359="HEV PREMIUM SAFETY",'中古車掲載'!J359=2023,ISNUMBER('中古車掲載'!N359),'中古車掲載'!N359&gt;=20000,'中古車掲載'!O359&lt;=100000,'中古車掲載'!AL359=1,'中古車掲載'!Z359="https://www.one2car.com/en/cars-for-sale/toyota/corolla-cross/year-2023"),'中古車掲載'!U359,"")</x:f>
      </x:c>
      <x:c r="BB358" s="3" t="str">
        <x:f>IF(AND('中古車掲載'!C359="One2car",'中古車掲載'!F359="ATTO 3",'中古車掲載'!L359="EXTENDED RANGE",'中古車掲載'!J359=2023,ISNUMBER('中古車掲載'!N359),'中古車掲載'!N359&gt;=50000,'中古車掲載'!O359&lt;=100000,'中古車掲載'!AL359=1),'中古車掲載'!U359,"")</x:f>
      </x:c>
      <x:c r="BC358" s="3" t="str">
        <x:f>IF(AND('中古車掲載'!C359="One2car",'中古車掲載'!F359="Corolla Cross",'中古車掲載'!L359="HEV PREMIUM SAFETY",'中古車掲載'!J359=2023,ISNUMBER('中古車掲載'!N359),'中古車掲載'!N359&gt;=50000,'中古車掲載'!O359&lt;=100000,'中古車掲載'!AL359=1,'中古車掲載'!Z359="https://www.one2car.com/en/cars-for-sale/toyota/corolla-cross/year-2023"),'中古車掲載'!U359,"")</x:f>
      </x:c>
      <x:c r="BD358" s="3" t="str">
        <x:f>IF(AND('中古車掲載'!C359="One2car",'中古車掲載'!F359="ATTO 3",'中古車掲載'!L359="EXTENDED RANGE",'中古車掲載'!J359=2023,ISNUMBER('中古車掲載'!N359),'中古車掲載'!N359&gt;=20000,'中古車掲載'!O359&lt;=50000,'中古車掲載'!AL359=1),'中古車掲載'!U359,"")</x:f>
      </x:c>
      <x:c r="BE358" s="3" t="str">
        <x:f>IF(AND('中古車掲載'!C359="One2car",'中古車掲載'!F359="Corolla Cross",'中古車掲載'!L359="HEV PREMIUM SAFETY",'中古車掲載'!J359=2023,ISNUMBER('中古車掲載'!N359),'中古車掲載'!N359&gt;=20000,'中古車掲載'!O359&lt;=50000,'中古車掲載'!AL359=1,'中古車掲載'!Z359="https://www.one2car.com/en/cars-for-sale/toyota/corolla-cross/year-2023"),'中古車掲載'!U359,"")</x:f>
      </x:c>
      <x:c r="BF358" s="3" t="str">
        <x:f>IF(AND('中古車掲載'!C359="One2car",'中古車掲載'!F359="Corolla Cross",'中古車掲載'!L359="HEV PREMIUM",'中古車掲載'!J359=2023,ISNUMBER('中古車掲載'!N359),'中古車掲載'!N359&gt;=20000,'中古車掲載'!O359&lt;=100000,'中古車掲載'!AL359=1,'中古車掲載'!Z359="https://www.one2car.com/en/cars-for-sale/toyota/corolla-cross/year-2023"),'中古車掲載'!U359,"")</x:f>
      </x:c>
      <x:c r="BG358" s="3" t="str">
        <x:f>IF(AND('中古車掲載'!C359="One2car",'中古車掲載'!F359="Corolla Cross",'中古車掲載'!L359="HEV GR SPORT",'中古車掲載'!J359=2023,ISNUMBER('中古車掲載'!N359),'中古車掲載'!N359&gt;=20000,'中古車掲載'!O359&lt;=100000,'中古車掲載'!AL359=1,'中古車掲載'!Z359="https://www.one2car.com/en/cars-for-sale/toyota/corolla-cross/year-2023"),'中古車掲載'!U359,"")</x:f>
      </x:c>
      <x:c r="BH358" s="3" t="str">
        <x:f>IF(AND('中古車掲載'!C359="One2car",'中古車掲載'!F359="DOLPHIN",'中古車掲載'!L359="STANDARD RANGE",'中古車掲載'!J359=2023,ISNUMBER('中古車掲載'!N359),'中古車掲載'!N359&gt;=20000,'中古車掲載'!O359&lt;=100000,'中古車掲載'!AL359=1),'中古車掲載'!U359,"")</x:f>
      </x:c>
      <x:c r="BI358" s="3" t="str">
        <x:v>Taladrod|Corolla Cross|HEV|Unknown</x:v>
      </x:c>
      <x:c r="BJ358" s="3" t="n">
        <x:v>359</x:v>
      </x:c>
      <x:c r="BK358" s="3" t="n">
        <x:f>'中古車掲載'!AM359</x:f>
        <x:v>634000</x:v>
      </x:c>
      <x:c r="BL358" s="3" t="str">
        <x:f>IF(ISNUMBER('中古車掲載'!AN359),'中古車掲載'!AN359,"")</x:f>
      </x:c>
      <x:c r="BM358" s="3"/>
      <x:c r="BN358" s="3"/>
      <x:c r="BO358" s="3"/>
      <x:c r="BP358" s="3"/>
      <x:c r="BQ358" s="3"/>
      <x:c r="BR358" s="3"/>
    </x:row>
    <x:row r="359" ht="22" customHeight="1">
      <x:c r="A359" s="3" t="str">
        <x:v>Hilux Revo</x:v>
      </x:c>
      <x:c r="B359" s="3" t="str">
        <x:v>ICE</x:v>
      </x:c>
      <x:c r="C359" s="3" t="str">
        <x:v>One2car</x:v>
      </x:c>
      <x:c r="D359" s="3" t="str">
        <x:v>Pickup</x:v>
      </x:c>
      <x:c r="E359" s="3" t="str">
        <x:v>Double cab</x:v>
      </x:c>
      <x:c r="F359" s="3" t="n">
        <x:v>2023</x:v>
      </x:c>
      <x:c r="G359" s="3" t="str">
        <x:v>TOYOTA HILUX REVO 2.4 DOUBLE CAB Z EDITION ENTRY</x:v>
      </x:c>
      <x:c r="H359" s="3" t="str">
        <x:v>境界を跨ぐ表示レンジ</x:v>
      </x:c>
      <x:c r="I359" s="3" t="str">
        <x:v>世代不明</x:v>
      </x:c>
      <x:c r="J359" s="22" t="n">
        <x:f>COUNT('中古車掲載'!AM136:AM136)</x:f>
        <x:v>1</x:v>
      </x:c>
      <x:c r="K359" s="22" t="n">
        <x:f>IF(COUNT('中古車掲載'!AM136:AM136)=0,"",QUARTILE('中古車掲載'!AM136:AM136,1))</x:f>
        <x:v>499000</x:v>
      </x:c>
      <x:c r="L359" s="22" t="n">
        <x:f>IF(COUNT('中古車掲載'!AM136:AM136)=0,"",MEDIAN('中古車掲載'!AM136:AM136))</x:f>
        <x:v>499000</x:v>
      </x:c>
      <x:c r="M359" s="22" t="n">
        <x:f>IF(COUNT('中古車掲載'!AM136:AM136)=0,"",QUARTILE('中古車掲載'!AM136:AM136,3))</x:f>
        <x:v>499000</x:v>
      </x:c>
      <x:c r="N359" s="22" t="n">
        <x:f>COUNT('中古車掲載'!AN136:AN136)</x:f>
        <x:v>0</x:v>
      </x:c>
      <x:c r="O359" s="23" t="str">
        <x:f>IF(COUNT('中古車掲載'!AN136:AN136)=0,"",MEDIAN('中古車掲載'!AN136:AN136))</x:f>
      </x:c>
      <x:c r="P359" s="3"/>
      <x:c r="Q359" s="3"/>
      <x:c r="R359" s="3"/>
      <x:c r="S359" s="3"/>
      <x:c r="T359" s="3"/>
      <x:c r="U359" s="3"/>
      <x:c r="V359" s="3"/>
      <x:c r="W359" s="3"/>
      <x:c r="X359" s="3"/>
      <x:c r="Y359" s="3"/>
      <x:c r="Z359" s="3"/>
      <x:c r="AA359" s="3"/>
      <x:c r="AB359" s="3"/>
      <x:c r="AC359" s="3"/>
      <x:c r="AD359" s="3"/>
      <x:c r="AE359" s="3"/>
      <x:c r="AF359" s="3"/>
      <x:c r="AG359" s="3"/>
      <x:c r="AH359" s="3"/>
      <x:c r="AI359" s="3"/>
      <x:c r="AJ359" s="3"/>
      <x:c r="AK359" s="3"/>
      <x:c r="AL359" s="3"/>
      <x:c r="AM359" s="3"/>
      <x:c r="AN359" s="3"/>
      <x:c r="AO359" s="3"/>
      <x:c r="AP359" s="3"/>
      <x:c r="AQ359" s="3"/>
      <x:c r="AR359" s="3"/>
      <x:c r="AS359" s="3"/>
      <x:c r="AT359" s="3"/>
      <x:c r="AU359" s="3"/>
      <x:c r="AV359" s="3"/>
      <x:c r="AW359" s="3"/>
      <x:c r="AX359" s="3"/>
      <x:c r="AY359" s="3"/>
      <x:c r="AZ359" s="3" t="str">
        <x:f>IF(AND('中古車掲載'!C360="One2car",'中古車掲載'!F360="ATTO 3",'中古車掲載'!L360="EXTENDED RANGE",'中古車掲載'!J360=2023,ISNUMBER('中古車掲載'!N360),'中古車掲載'!N360&gt;=20000,'中古車掲載'!O360&lt;=100000,'中古車掲載'!AL360=1),'中古車掲載'!U360,"")</x:f>
      </x:c>
      <x:c r="BA359" s="3" t="str">
        <x:f>IF(AND('中古車掲載'!C360="One2car",'中古車掲載'!F360="Corolla Cross",'中古車掲載'!L360="HEV PREMIUM SAFETY",'中古車掲載'!J360=2023,ISNUMBER('中古車掲載'!N360),'中古車掲載'!N360&gt;=20000,'中古車掲載'!O360&lt;=100000,'中古車掲載'!AL360=1,'中古車掲載'!Z360="https://www.one2car.com/en/cars-for-sale/toyota/corolla-cross/year-2023"),'中古車掲載'!U360,"")</x:f>
      </x:c>
      <x:c r="BB359" s="3" t="str">
        <x:f>IF(AND('中古車掲載'!C360="One2car",'中古車掲載'!F360="ATTO 3",'中古車掲載'!L360="EXTENDED RANGE",'中古車掲載'!J360=2023,ISNUMBER('中古車掲載'!N360),'中古車掲載'!N360&gt;=50000,'中古車掲載'!O360&lt;=100000,'中古車掲載'!AL360=1),'中古車掲載'!U360,"")</x:f>
      </x:c>
      <x:c r="BC359" s="3" t="str">
        <x:f>IF(AND('中古車掲載'!C360="One2car",'中古車掲載'!F360="Corolla Cross",'中古車掲載'!L360="HEV PREMIUM SAFETY",'中古車掲載'!J360=2023,ISNUMBER('中古車掲載'!N360),'中古車掲載'!N360&gt;=50000,'中古車掲載'!O360&lt;=100000,'中古車掲載'!AL360=1,'中古車掲載'!Z360="https://www.one2car.com/en/cars-for-sale/toyota/corolla-cross/year-2023"),'中古車掲載'!U360,"")</x:f>
      </x:c>
      <x:c r="BD359" s="3" t="str">
        <x:f>IF(AND('中古車掲載'!C360="One2car",'中古車掲載'!F360="ATTO 3",'中古車掲載'!L360="EXTENDED RANGE",'中古車掲載'!J360=2023,ISNUMBER('中古車掲載'!N360),'中古車掲載'!N360&gt;=20000,'中古車掲載'!O360&lt;=50000,'中古車掲載'!AL360=1),'中古車掲載'!U360,"")</x:f>
      </x:c>
      <x:c r="BE359" s="3" t="str">
        <x:f>IF(AND('中古車掲載'!C360="One2car",'中古車掲載'!F360="Corolla Cross",'中古車掲載'!L360="HEV PREMIUM SAFETY",'中古車掲載'!J360=2023,ISNUMBER('中古車掲載'!N360),'中古車掲載'!N360&gt;=20000,'中古車掲載'!O360&lt;=50000,'中古車掲載'!AL360=1,'中古車掲載'!Z360="https://www.one2car.com/en/cars-for-sale/toyota/corolla-cross/year-2023"),'中古車掲載'!U360,"")</x:f>
      </x:c>
      <x:c r="BF359" s="3" t="str">
        <x:f>IF(AND('中古車掲載'!C360="One2car",'中古車掲載'!F360="Corolla Cross",'中古車掲載'!L360="HEV PREMIUM",'中古車掲載'!J360=2023,ISNUMBER('中古車掲載'!N360),'中古車掲載'!N360&gt;=20000,'中古車掲載'!O360&lt;=100000,'中古車掲載'!AL360=1,'中古車掲載'!Z360="https://www.one2car.com/en/cars-for-sale/toyota/corolla-cross/year-2023"),'中古車掲載'!U360,"")</x:f>
      </x:c>
      <x:c r="BG359" s="3" t="str">
        <x:f>IF(AND('中古車掲載'!C360="One2car",'中古車掲載'!F360="Corolla Cross",'中古車掲載'!L360="HEV GR SPORT",'中古車掲載'!J360=2023,ISNUMBER('中古車掲載'!N360),'中古車掲載'!N360&gt;=20000,'中古車掲載'!O360&lt;=100000,'中古車掲載'!AL360=1,'中古車掲載'!Z360="https://www.one2car.com/en/cars-for-sale/toyota/corolla-cross/year-2023"),'中古車掲載'!U360,"")</x:f>
      </x:c>
      <x:c r="BH359" s="3" t="str">
        <x:f>IF(AND('中古車掲載'!C360="One2car",'中古車掲載'!F360="DOLPHIN",'中古車掲載'!L360="STANDARD RANGE",'中古車掲載'!J360=2023,ISNUMBER('中古車掲載'!N360),'中古車掲載'!N360&gt;=20000,'中古車掲載'!O360&lt;=100000,'中古車掲載'!AL360=1),'中古車掲載'!U360,"")</x:f>
      </x:c>
      <x:c r="BI359" s="3" t="str">
        <x:v>Taladrod|Corolla Cross|HEV|Unknown</x:v>
      </x:c>
      <x:c r="BJ359" s="3" t="n">
        <x:v>360</x:v>
      </x:c>
      <x:c r="BK359" s="3" t="n">
        <x:f>'中古車掲載'!AM360</x:f>
        <x:v>609000</x:v>
      </x:c>
      <x:c r="BL359" s="3" t="str">
        <x:f>IF(ISNUMBER('中古車掲載'!AN360),'中古車掲載'!AN360,"")</x:f>
      </x:c>
      <x:c r="BM359" s="3"/>
      <x:c r="BN359" s="3"/>
      <x:c r="BO359" s="3"/>
      <x:c r="BP359" s="3"/>
      <x:c r="BQ359" s="3"/>
      <x:c r="BR359" s="3"/>
    </x:row>
    <x:row r="360" ht="22" customHeight="1">
      <x:c r="A360" s="3" t="str">
        <x:v>Hilux Revo</x:v>
      </x:c>
      <x:c r="B360" s="3" t="str">
        <x:v>ICE</x:v>
      </x:c>
      <x:c r="C360" s="3" t="str">
        <x:v>One2car</x:v>
      </x:c>
      <x:c r="D360" s="3" t="str">
        <x:v>Pickup</x:v>
      </x:c>
      <x:c r="E360" s="3" t="str">
        <x:v>Double cab</x:v>
      </x:c>
      <x:c r="F360" s="3" t="n">
        <x:v>2023</x:v>
      </x:c>
      <x:c r="G360" s="3" t="str">
        <x:v>TOYOTA HILUX REVO 2.4 DOUBLE CAB Z EDITION MID</x:v>
      </x:c>
      <x:c r="H360" s="3" t="str">
        <x:v>20–50千km</x:v>
      </x:c>
      <x:c r="I360" s="3" t="str">
        <x:v>世代不明</x:v>
      </x:c>
      <x:c r="J360" s="22" t="n">
        <x:f>COUNT('中古車掲載'!AM137:AM137)</x:f>
        <x:v>1</x:v>
      </x:c>
      <x:c r="K360" s="22" t="n">
        <x:f>IF(COUNT('中古車掲載'!AM137:AM137)=0,"",QUARTILE('中古車掲載'!AM137:AM137,1))</x:f>
        <x:v>599000</x:v>
      </x:c>
      <x:c r="L360" s="22" t="n">
        <x:f>IF(COUNT('中古車掲載'!AM137:AM137)=0,"",MEDIAN('中古車掲載'!AM137:AM137))</x:f>
        <x:v>599000</x:v>
      </x:c>
      <x:c r="M360" s="22" t="n">
        <x:f>IF(COUNT('中古車掲載'!AM137:AM137)=0,"",QUARTILE('中古車掲載'!AM137:AM137,3))</x:f>
        <x:v>599000</x:v>
      </x:c>
      <x:c r="N360" s="22" t="n">
        <x:f>COUNT('中古車掲載'!AN137:AN137)</x:f>
        <x:v>0</x:v>
      </x:c>
      <x:c r="O360" s="23" t="str">
        <x:f>IF(COUNT('中古車掲載'!AN137:AN137)=0,"",MEDIAN('中古車掲載'!AN137:AN137))</x:f>
      </x:c>
      <x:c r="P360" s="3"/>
      <x:c r="Q360" s="3"/>
      <x:c r="R360" s="3"/>
      <x:c r="S360" s="3"/>
      <x:c r="T360" s="3"/>
      <x:c r="U360" s="3"/>
      <x:c r="V360" s="3"/>
      <x:c r="W360" s="3"/>
      <x:c r="X360" s="3"/>
      <x:c r="Y360" s="3"/>
      <x:c r="Z360" s="3"/>
      <x:c r="AA360" s="3"/>
      <x:c r="AB360" s="3"/>
      <x:c r="AC360" s="3"/>
      <x:c r="AD360" s="3"/>
      <x:c r="AE360" s="3"/>
      <x:c r="AF360" s="3"/>
      <x:c r="AG360" s="3"/>
      <x:c r="AH360" s="3"/>
      <x:c r="AI360" s="3"/>
      <x:c r="AJ360" s="3"/>
      <x:c r="AK360" s="3"/>
      <x:c r="AL360" s="3"/>
      <x:c r="AM360" s="3"/>
      <x:c r="AN360" s="3"/>
      <x:c r="AO360" s="3"/>
      <x:c r="AP360" s="3"/>
      <x:c r="AQ360" s="3"/>
      <x:c r="AR360" s="3"/>
      <x:c r="AS360" s="3"/>
      <x:c r="AT360" s="3"/>
      <x:c r="AU360" s="3"/>
      <x:c r="AV360" s="3"/>
      <x:c r="AW360" s="3"/>
      <x:c r="AX360" s="3"/>
      <x:c r="AY360" s="3"/>
      <x:c r="AZ360" s="3" t="str">
        <x:f>IF(AND('中古車掲載'!C361="One2car",'中古車掲載'!F361="ATTO 3",'中古車掲載'!L361="EXTENDED RANGE",'中古車掲載'!J361=2023,ISNUMBER('中古車掲載'!N361),'中古車掲載'!N361&gt;=20000,'中古車掲載'!O361&lt;=100000,'中古車掲載'!AL361=1),'中古車掲載'!U361,"")</x:f>
      </x:c>
      <x:c r="BA360" s="3" t="str">
        <x:f>IF(AND('中古車掲載'!C361="One2car",'中古車掲載'!F361="Corolla Cross",'中古車掲載'!L361="HEV PREMIUM SAFETY",'中古車掲載'!J361=2023,ISNUMBER('中古車掲載'!N361),'中古車掲載'!N361&gt;=20000,'中古車掲載'!O361&lt;=100000,'中古車掲載'!AL361=1,'中古車掲載'!Z361="https://www.one2car.com/en/cars-for-sale/toyota/corolla-cross/year-2023"),'中古車掲載'!U361,"")</x:f>
      </x:c>
      <x:c r="BB360" s="3" t="str">
        <x:f>IF(AND('中古車掲載'!C361="One2car",'中古車掲載'!F361="ATTO 3",'中古車掲載'!L361="EXTENDED RANGE",'中古車掲載'!J361=2023,ISNUMBER('中古車掲載'!N361),'中古車掲載'!N361&gt;=50000,'中古車掲載'!O361&lt;=100000,'中古車掲載'!AL361=1),'中古車掲載'!U361,"")</x:f>
      </x:c>
      <x:c r="BC360" s="3" t="str">
        <x:f>IF(AND('中古車掲載'!C361="One2car",'中古車掲載'!F361="Corolla Cross",'中古車掲載'!L361="HEV PREMIUM SAFETY",'中古車掲載'!J361=2023,ISNUMBER('中古車掲載'!N361),'中古車掲載'!N361&gt;=50000,'中古車掲載'!O361&lt;=100000,'中古車掲載'!AL361=1,'中古車掲載'!Z361="https://www.one2car.com/en/cars-for-sale/toyota/corolla-cross/year-2023"),'中古車掲載'!U361,"")</x:f>
      </x:c>
      <x:c r="BD360" s="3" t="str">
        <x:f>IF(AND('中古車掲載'!C361="One2car",'中古車掲載'!F361="ATTO 3",'中古車掲載'!L361="EXTENDED RANGE",'中古車掲載'!J361=2023,ISNUMBER('中古車掲載'!N361),'中古車掲載'!N361&gt;=20000,'中古車掲載'!O361&lt;=50000,'中古車掲載'!AL361=1),'中古車掲載'!U361,"")</x:f>
      </x:c>
      <x:c r="BE360" s="3" t="str">
        <x:f>IF(AND('中古車掲載'!C361="One2car",'中古車掲載'!F361="Corolla Cross",'中古車掲載'!L361="HEV PREMIUM SAFETY",'中古車掲載'!J361=2023,ISNUMBER('中古車掲載'!N361),'中古車掲載'!N361&gt;=20000,'中古車掲載'!O361&lt;=50000,'中古車掲載'!AL361=1,'中古車掲載'!Z361="https://www.one2car.com/en/cars-for-sale/toyota/corolla-cross/year-2023"),'中古車掲載'!U361,"")</x:f>
      </x:c>
      <x:c r="BF360" s="3" t="str">
        <x:f>IF(AND('中古車掲載'!C361="One2car",'中古車掲載'!F361="Corolla Cross",'中古車掲載'!L361="HEV PREMIUM",'中古車掲載'!J361=2023,ISNUMBER('中古車掲載'!N361),'中古車掲載'!N361&gt;=20000,'中古車掲載'!O361&lt;=100000,'中古車掲載'!AL361=1,'中古車掲載'!Z361="https://www.one2car.com/en/cars-for-sale/toyota/corolla-cross/year-2023"),'中古車掲載'!U361,"")</x:f>
      </x:c>
      <x:c r="BG360" s="3" t="str">
        <x:f>IF(AND('中古車掲載'!C361="One2car",'中古車掲載'!F361="Corolla Cross",'中古車掲載'!L361="HEV GR SPORT",'中古車掲載'!J361=2023,ISNUMBER('中古車掲載'!N361),'中古車掲載'!N361&gt;=20000,'中古車掲載'!O361&lt;=100000,'中古車掲載'!AL361=1,'中古車掲載'!Z361="https://www.one2car.com/en/cars-for-sale/toyota/corolla-cross/year-2023"),'中古車掲載'!U361,"")</x:f>
      </x:c>
      <x:c r="BH360" s="3" t="str">
        <x:f>IF(AND('中古車掲載'!C361="One2car",'中古車掲載'!F361="DOLPHIN",'中古車掲載'!L361="STANDARD RANGE",'中古車掲載'!J361=2023,ISNUMBER('中古車掲載'!N361),'中古車掲載'!N361&gt;=20000,'中古車掲載'!O361&lt;=100000,'中古車掲載'!AL361=1),'中古車掲載'!U361,"")</x:f>
      </x:c>
      <x:c r="BI360" s="3" t="str">
        <x:v>Taladrod|Corolla Cross|HEV|Unknown</x:v>
      </x:c>
      <x:c r="BJ360" s="3" t="n">
        <x:v>361</x:v>
      </x:c>
      <x:c r="BK360" s="3" t="n">
        <x:f>'中古車掲載'!AM361</x:f>
        <x:v>629000</x:v>
      </x:c>
      <x:c r="BL360" s="3" t="str">
        <x:f>IF(ISNUMBER('中古車掲載'!AN361),'中古車掲載'!AN361,"")</x:f>
      </x:c>
      <x:c r="BM360" s="3"/>
      <x:c r="BN360" s="3"/>
      <x:c r="BO360" s="3"/>
      <x:c r="BP360" s="3"/>
      <x:c r="BQ360" s="3"/>
      <x:c r="BR360" s="3"/>
    </x:row>
    <x:row r="361" ht="22" customHeight="1">
      <x:c r="A361" s="3" t="str">
        <x:v>Hilux Revo</x:v>
      </x:c>
      <x:c r="B361" s="3" t="str">
        <x:v>ICE</x:v>
      </x:c>
      <x:c r="C361" s="3" t="str">
        <x:v>One2car</x:v>
      </x:c>
      <x:c r="D361" s="3" t="str">
        <x:v>Pickup</x:v>
      </x:c>
      <x:c r="E361" s="3" t="str">
        <x:v>Double cab</x:v>
      </x:c>
      <x:c r="F361" s="3" t="n">
        <x:v>2023</x:v>
      </x:c>
      <x:c r="G361" s="3" t="str">
        <x:v>TOYOTA HILUX REVO 2.8 DOUBLE CAB HIGH</x:v>
      </x:c>
      <x:c r="H361" s="3" t="str">
        <x:v>50–100千km</x:v>
      </x:c>
      <x:c r="I361" s="3" t="str">
        <x:v>世代不明</x:v>
      </x:c>
      <x:c r="J361" s="22" t="n">
        <x:f>COUNT('中古車掲載'!AM147:AM147)</x:f>
        <x:v>1</x:v>
      </x:c>
      <x:c r="K361" s="22" t="n">
        <x:f>IF(COUNT('中古車掲載'!AM147:AM147)=0,"",QUARTILE('中古車掲載'!AM147:AM147,1))</x:f>
        <x:v>1039000</x:v>
      </x:c>
      <x:c r="L361" s="22" t="n">
        <x:f>IF(COUNT('中古車掲載'!AM147:AM147)=0,"",MEDIAN('中古車掲載'!AM147:AM147))</x:f>
        <x:v>1039000</x:v>
      </x:c>
      <x:c r="M361" s="22" t="n">
        <x:f>IF(COUNT('中古車掲載'!AM147:AM147)=0,"",QUARTILE('中古車掲載'!AM147:AM147,3))</x:f>
        <x:v>1039000</x:v>
      </x:c>
      <x:c r="N361" s="22" t="n">
        <x:f>COUNT('中古車掲載'!AN147:AN147)</x:f>
        <x:v>0</x:v>
      </x:c>
      <x:c r="O361" s="23" t="str">
        <x:f>IF(COUNT('中古車掲載'!AN147:AN147)=0,"",MEDIAN('中古車掲載'!AN147:AN147))</x:f>
      </x:c>
      <x:c r="P361" s="3"/>
      <x:c r="Q361" s="3"/>
      <x:c r="R361" s="3"/>
      <x:c r="S361" s="3"/>
      <x:c r="T361" s="3"/>
      <x:c r="U361" s="3"/>
      <x:c r="V361" s="3"/>
      <x:c r="W361" s="3"/>
      <x:c r="X361" s="3"/>
      <x:c r="Y361" s="3"/>
      <x:c r="Z361" s="3"/>
      <x:c r="AA361" s="3"/>
      <x:c r="AB361" s="3"/>
      <x:c r="AC361" s="3"/>
      <x:c r="AD361" s="3"/>
      <x:c r="AE361" s="3"/>
      <x:c r="AF361" s="3"/>
      <x:c r="AG361" s="3"/>
      <x:c r="AH361" s="3"/>
      <x:c r="AI361" s="3"/>
      <x:c r="AJ361" s="3"/>
      <x:c r="AK361" s="3"/>
      <x:c r="AL361" s="3"/>
      <x:c r="AM361" s="3"/>
      <x:c r="AN361" s="3"/>
      <x:c r="AO361" s="3"/>
      <x:c r="AP361" s="3"/>
      <x:c r="AQ361" s="3"/>
      <x:c r="AR361" s="3"/>
      <x:c r="AS361" s="3"/>
      <x:c r="AT361" s="3"/>
      <x:c r="AU361" s="3"/>
      <x:c r="AV361" s="3"/>
      <x:c r="AW361" s="3"/>
      <x:c r="AX361" s="3"/>
      <x:c r="AY361" s="3"/>
      <x:c r="AZ361" s="3" t="str">
        <x:f>IF(AND('中古車掲載'!C362="One2car",'中古車掲載'!F362="ATTO 3",'中古車掲載'!L362="EXTENDED RANGE",'中古車掲載'!J362=2023,ISNUMBER('中古車掲載'!N362),'中古車掲載'!N362&gt;=20000,'中古車掲載'!O362&lt;=100000,'中古車掲載'!AL362=1),'中古車掲載'!U362,"")</x:f>
      </x:c>
      <x:c r="BA361" s="3" t="str">
        <x:f>IF(AND('中古車掲載'!C362="One2car",'中古車掲載'!F362="Corolla Cross",'中古車掲載'!L362="HEV PREMIUM SAFETY",'中古車掲載'!J362=2023,ISNUMBER('中古車掲載'!N362),'中古車掲載'!N362&gt;=20000,'中古車掲載'!O362&lt;=100000,'中古車掲載'!AL362=1,'中古車掲載'!Z362="https://www.one2car.com/en/cars-for-sale/toyota/corolla-cross/year-2023"),'中古車掲載'!U362,"")</x:f>
      </x:c>
      <x:c r="BB361" s="3" t="str">
        <x:f>IF(AND('中古車掲載'!C362="One2car",'中古車掲載'!F362="ATTO 3",'中古車掲載'!L362="EXTENDED RANGE",'中古車掲載'!J362=2023,ISNUMBER('中古車掲載'!N362),'中古車掲載'!N362&gt;=50000,'中古車掲載'!O362&lt;=100000,'中古車掲載'!AL362=1),'中古車掲載'!U362,"")</x:f>
      </x:c>
      <x:c r="BC361" s="3" t="str">
        <x:f>IF(AND('中古車掲載'!C362="One2car",'中古車掲載'!F362="Corolla Cross",'中古車掲載'!L362="HEV PREMIUM SAFETY",'中古車掲載'!J362=2023,ISNUMBER('中古車掲載'!N362),'中古車掲載'!N362&gt;=50000,'中古車掲載'!O362&lt;=100000,'中古車掲載'!AL362=1,'中古車掲載'!Z362="https://www.one2car.com/en/cars-for-sale/toyota/corolla-cross/year-2023"),'中古車掲載'!U362,"")</x:f>
      </x:c>
      <x:c r="BD361" s="3" t="str">
        <x:f>IF(AND('中古車掲載'!C362="One2car",'中古車掲載'!F362="ATTO 3",'中古車掲載'!L362="EXTENDED RANGE",'中古車掲載'!J362=2023,ISNUMBER('中古車掲載'!N362),'中古車掲載'!N362&gt;=20000,'中古車掲載'!O362&lt;=50000,'中古車掲載'!AL362=1),'中古車掲載'!U362,"")</x:f>
      </x:c>
      <x:c r="BE361" s="3" t="str">
        <x:f>IF(AND('中古車掲載'!C362="One2car",'中古車掲載'!F362="Corolla Cross",'中古車掲載'!L362="HEV PREMIUM SAFETY",'中古車掲載'!J362=2023,ISNUMBER('中古車掲載'!N362),'中古車掲載'!N362&gt;=20000,'中古車掲載'!O362&lt;=50000,'中古車掲載'!AL362=1,'中古車掲載'!Z362="https://www.one2car.com/en/cars-for-sale/toyota/corolla-cross/year-2023"),'中古車掲載'!U362,"")</x:f>
      </x:c>
      <x:c r="BF361" s="3" t="str">
        <x:f>IF(AND('中古車掲載'!C362="One2car",'中古車掲載'!F362="Corolla Cross",'中古車掲載'!L362="HEV PREMIUM",'中古車掲載'!J362=2023,ISNUMBER('中古車掲載'!N362),'中古車掲載'!N362&gt;=20000,'中古車掲載'!O362&lt;=100000,'中古車掲載'!AL362=1,'中古車掲載'!Z362="https://www.one2car.com/en/cars-for-sale/toyota/corolla-cross/year-2023"),'中古車掲載'!U362,"")</x:f>
      </x:c>
      <x:c r="BG361" s="3" t="str">
        <x:f>IF(AND('中古車掲載'!C362="One2car",'中古車掲載'!F362="Corolla Cross",'中古車掲載'!L362="HEV GR SPORT",'中古車掲載'!J362=2023,ISNUMBER('中古車掲載'!N362),'中古車掲載'!N362&gt;=20000,'中古車掲載'!O362&lt;=100000,'中古車掲載'!AL362=1,'中古車掲載'!Z362="https://www.one2car.com/en/cars-for-sale/toyota/corolla-cross/year-2023"),'中古車掲載'!U362,"")</x:f>
      </x:c>
      <x:c r="BH361" s="3" t="str">
        <x:f>IF(AND('中古車掲載'!C362="One2car",'中古車掲載'!F362="DOLPHIN",'中古車掲載'!L362="STANDARD RANGE",'中古車掲載'!J362=2023,ISNUMBER('中古車掲載'!N362),'中古車掲載'!N362&gt;=20000,'中古車掲載'!O362&lt;=100000,'中古車掲載'!AL362=1),'中古車掲載'!U362,"")</x:f>
      </x:c>
      <x:c r="BI361" s="3" t="str">
        <x:v>Taladrod|Corolla Cross|HEV|Unknown</x:v>
      </x:c>
      <x:c r="BJ361" s="3" t="n">
        <x:v>362</x:v>
      </x:c>
      <x:c r="BK361" s="3" t="n">
        <x:f>'中古車掲載'!AM362</x:f>
        <x:v>659000</x:v>
      </x:c>
      <x:c r="BL361" s="3" t="str">
        <x:f>IF(ISNUMBER('中古車掲載'!AN362),'中古車掲載'!AN362,"")</x:f>
      </x:c>
      <x:c r="BM361" s="3"/>
      <x:c r="BN361" s="3"/>
      <x:c r="BO361" s="3"/>
      <x:c r="BP361" s="3"/>
      <x:c r="BQ361" s="3"/>
      <x:c r="BR361" s="3"/>
    </x:row>
    <x:row r="362" ht="22" customHeight="1">
      <x:c r="A362" s="3" t="str">
        <x:v>Hilux Revo</x:v>
      </x:c>
      <x:c r="B362" s="3" t="str">
        <x:v>ICE</x:v>
      </x:c>
      <x:c r="C362" s="3" t="str">
        <x:v>One2car</x:v>
      </x:c>
      <x:c r="D362" s="3" t="str">
        <x:v>Pickup</x:v>
      </x:c>
      <x:c r="E362" s="3" t="str">
        <x:v>Double cab</x:v>
      </x:c>
      <x:c r="F362" s="3" t="n">
        <x:v>2023</x:v>
      </x:c>
      <x:c r="G362" s="3" t="str">
        <x:v>TOYOTA HILUX REVO 2.8 DOUBLE CAB ROCCO</x:v>
      </x:c>
      <x:c r="H362" s="3" t="str">
        <x:v>50–100千km</x:v>
      </x:c>
      <x:c r="I362" s="3" t="str">
        <x:v>世代不明</x:v>
      </x:c>
      <x:c r="J362" s="22" t="n">
        <x:f>COUNT('中古車掲載'!AM148:AM148)</x:f>
        <x:v>1</x:v>
      </x:c>
      <x:c r="K362" s="22" t="n">
        <x:f>IF(COUNT('中古車掲載'!AM148:AM148)=0,"",QUARTILE('中古車掲載'!AM148:AM148,1))</x:f>
        <x:v>1079000</x:v>
      </x:c>
      <x:c r="L362" s="22" t="n">
        <x:f>IF(COUNT('中古車掲載'!AM148:AM148)=0,"",MEDIAN('中古車掲載'!AM148:AM148))</x:f>
        <x:v>1079000</x:v>
      </x:c>
      <x:c r="M362" s="22" t="n">
        <x:f>IF(COUNT('中古車掲載'!AM148:AM148)=0,"",QUARTILE('中古車掲載'!AM148:AM148,3))</x:f>
        <x:v>1079000</x:v>
      </x:c>
      <x:c r="N362" s="22" t="n">
        <x:f>COUNT('中古車掲載'!AN148:AN148)</x:f>
        <x:v>0</x:v>
      </x:c>
      <x:c r="O362" s="23" t="str">
        <x:f>IF(COUNT('中古車掲載'!AN148:AN148)=0,"",MEDIAN('中古車掲載'!AN148:AN148))</x:f>
      </x:c>
      <x:c r="P362" s="3"/>
      <x:c r="Q362" s="3"/>
      <x:c r="R362" s="3"/>
      <x:c r="S362" s="3"/>
      <x:c r="T362" s="3"/>
      <x:c r="U362" s="3"/>
      <x:c r="V362" s="3"/>
      <x:c r="W362" s="3"/>
      <x:c r="X362" s="3"/>
      <x:c r="Y362" s="3"/>
      <x:c r="Z362" s="3"/>
      <x:c r="AA362" s="3"/>
      <x:c r="AB362" s="3"/>
      <x:c r="AC362" s="3"/>
      <x:c r="AD362" s="3"/>
      <x:c r="AE362" s="3"/>
      <x:c r="AF362" s="3"/>
      <x:c r="AG362" s="3"/>
      <x:c r="AH362" s="3"/>
      <x:c r="AI362" s="3"/>
      <x:c r="AJ362" s="3"/>
      <x:c r="AK362" s="3"/>
      <x:c r="AL362" s="3"/>
      <x:c r="AM362" s="3"/>
      <x:c r="AN362" s="3"/>
      <x:c r="AO362" s="3"/>
      <x:c r="AP362" s="3"/>
      <x:c r="AQ362" s="3"/>
      <x:c r="AR362" s="3"/>
      <x:c r="AS362" s="3"/>
      <x:c r="AT362" s="3"/>
      <x:c r="AU362" s="3"/>
      <x:c r="AV362" s="3"/>
      <x:c r="AW362" s="3"/>
      <x:c r="AX362" s="3"/>
      <x:c r="AY362" s="3"/>
      <x:c r="AZ362" s="3" t="str">
        <x:f>IF(AND('中古車掲載'!C363="One2car",'中古車掲載'!F363="ATTO 3",'中古車掲載'!L363="EXTENDED RANGE",'中古車掲載'!J363=2023,ISNUMBER('中古車掲載'!N363),'中古車掲載'!N363&gt;=20000,'中古車掲載'!O363&lt;=100000,'中古車掲載'!AL363=1),'中古車掲載'!U363,"")</x:f>
      </x:c>
      <x:c r="BA362" s="3" t="str">
        <x:f>IF(AND('中古車掲載'!C363="One2car",'中古車掲載'!F363="Corolla Cross",'中古車掲載'!L363="HEV PREMIUM SAFETY",'中古車掲載'!J363=2023,ISNUMBER('中古車掲載'!N363),'中古車掲載'!N363&gt;=20000,'中古車掲載'!O363&lt;=100000,'中古車掲載'!AL363=1,'中古車掲載'!Z363="https://www.one2car.com/en/cars-for-sale/toyota/corolla-cross/year-2023"),'中古車掲載'!U363,"")</x:f>
      </x:c>
      <x:c r="BB362" s="3" t="str">
        <x:f>IF(AND('中古車掲載'!C363="One2car",'中古車掲載'!F363="ATTO 3",'中古車掲載'!L363="EXTENDED RANGE",'中古車掲載'!J363=2023,ISNUMBER('中古車掲載'!N363),'中古車掲載'!N363&gt;=50000,'中古車掲載'!O363&lt;=100000,'中古車掲載'!AL363=1),'中古車掲載'!U363,"")</x:f>
      </x:c>
      <x:c r="BC362" s="3" t="str">
        <x:f>IF(AND('中古車掲載'!C363="One2car",'中古車掲載'!F363="Corolla Cross",'中古車掲載'!L363="HEV PREMIUM SAFETY",'中古車掲載'!J363=2023,ISNUMBER('中古車掲載'!N363),'中古車掲載'!N363&gt;=50000,'中古車掲載'!O363&lt;=100000,'中古車掲載'!AL363=1,'中古車掲載'!Z363="https://www.one2car.com/en/cars-for-sale/toyota/corolla-cross/year-2023"),'中古車掲載'!U363,"")</x:f>
      </x:c>
      <x:c r="BD362" s="3" t="str">
        <x:f>IF(AND('中古車掲載'!C363="One2car",'中古車掲載'!F363="ATTO 3",'中古車掲載'!L363="EXTENDED RANGE",'中古車掲載'!J363=2023,ISNUMBER('中古車掲載'!N363),'中古車掲載'!N363&gt;=20000,'中古車掲載'!O363&lt;=50000,'中古車掲載'!AL363=1),'中古車掲載'!U363,"")</x:f>
      </x:c>
      <x:c r="BE362" s="3" t="str">
        <x:f>IF(AND('中古車掲載'!C363="One2car",'中古車掲載'!F363="Corolla Cross",'中古車掲載'!L363="HEV PREMIUM SAFETY",'中古車掲載'!J363=2023,ISNUMBER('中古車掲載'!N363),'中古車掲載'!N363&gt;=20000,'中古車掲載'!O363&lt;=50000,'中古車掲載'!AL363=1,'中古車掲載'!Z363="https://www.one2car.com/en/cars-for-sale/toyota/corolla-cross/year-2023"),'中古車掲載'!U363,"")</x:f>
      </x:c>
      <x:c r="BF362" s="3" t="str">
        <x:f>IF(AND('中古車掲載'!C363="One2car",'中古車掲載'!F363="Corolla Cross",'中古車掲載'!L363="HEV PREMIUM",'中古車掲載'!J363=2023,ISNUMBER('中古車掲載'!N363),'中古車掲載'!N363&gt;=20000,'中古車掲載'!O363&lt;=100000,'中古車掲載'!AL363=1,'中古車掲載'!Z363="https://www.one2car.com/en/cars-for-sale/toyota/corolla-cross/year-2023"),'中古車掲載'!U363,"")</x:f>
      </x:c>
      <x:c r="BG362" s="3" t="str">
        <x:f>IF(AND('中古車掲載'!C363="One2car",'中古車掲載'!F363="Corolla Cross",'中古車掲載'!L363="HEV GR SPORT",'中古車掲載'!J363=2023,ISNUMBER('中古車掲載'!N363),'中古車掲載'!N363&gt;=20000,'中古車掲載'!O363&lt;=100000,'中古車掲載'!AL363=1,'中古車掲載'!Z363="https://www.one2car.com/en/cars-for-sale/toyota/corolla-cross/year-2023"),'中古車掲載'!U363,"")</x:f>
      </x:c>
      <x:c r="BH362" s="3" t="str">
        <x:f>IF(AND('中古車掲載'!C363="One2car",'中古車掲載'!F363="DOLPHIN",'中古車掲載'!L363="STANDARD RANGE",'中古車掲載'!J363=2023,ISNUMBER('中古車掲載'!N363),'中古車掲載'!N363&gt;=20000,'中古車掲載'!O363&lt;=100000,'中古車掲載'!AL363=1),'中古車掲載'!U363,"")</x:f>
      </x:c>
      <x:c r="BI362" s="3" t="str">
        <x:v>Taladrod|Corolla Cross|HEV|Unknown</x:v>
      </x:c>
      <x:c r="BJ362" s="3" t="n">
        <x:v>363</x:v>
      </x:c>
      <x:c r="BK362" s="3" t="n">
        <x:f>'中古車掲載'!AM363</x:f>
        <x:v>599000</x:v>
      </x:c>
      <x:c r="BL362" s="3" t="str">
        <x:f>IF(ISNUMBER('中古車掲載'!AN363),'中古車掲載'!AN363,"")</x:f>
      </x:c>
      <x:c r="BM362" s="3"/>
      <x:c r="BN362" s="3"/>
      <x:c r="BO362" s="3"/>
      <x:c r="BP362" s="3"/>
      <x:c r="BQ362" s="3"/>
      <x:c r="BR362" s="3"/>
    </x:row>
    <x:row r="363" ht="22" customHeight="1">
      <x:c r="A363" s="3" t="str">
        <x:v>Hilux Revo</x:v>
      </x:c>
      <x:c r="B363" s="3" t="str">
        <x:v>ICE</x:v>
      </x:c>
      <x:c r="C363" s="3" t="str">
        <x:v>One2car</x:v>
      </x:c>
      <x:c r="D363" s="3" t="str">
        <x:v>Pickup</x:v>
      </x:c>
      <x:c r="E363" s="3" t="str">
        <x:v>Double cab</x:v>
      </x:c>
      <x:c r="F363" s="3" t="n">
        <x:v>2025</x:v>
      </x:c>
      <x:c r="G363" s="3" t="str">
        <x:v>TOYOTA HILUX REVO 2.4 DOUBLE CAB PRERUNNER MID</x:v>
      </x:c>
      <x:c r="H363" s="3" t="str">
        <x:v>20–50千km</x:v>
      </x:c>
      <x:c r="I363" s="3" t="str">
        <x:v>世代不明</x:v>
      </x:c>
      <x:c r="J363" s="22" t="n">
        <x:f>COUNT('中古車掲載'!AM151:AM151)</x:f>
        <x:v>1</x:v>
      </x:c>
      <x:c r="K363" s="22" t="n">
        <x:f>IF(COUNT('中古車掲載'!AM151:AM151)=0,"",QUARTILE('中古車掲載'!AM151:AM151,1))</x:f>
        <x:v>779000</x:v>
      </x:c>
      <x:c r="L363" s="22" t="n">
        <x:f>IF(COUNT('中古車掲載'!AM151:AM151)=0,"",MEDIAN('中古車掲載'!AM151:AM151))</x:f>
        <x:v>779000</x:v>
      </x:c>
      <x:c r="M363" s="22" t="n">
        <x:f>IF(COUNT('中古車掲載'!AM151:AM151)=0,"",QUARTILE('中古車掲載'!AM151:AM151,3))</x:f>
        <x:v>779000</x:v>
      </x:c>
      <x:c r="N363" s="22" t="n">
        <x:f>COUNT('中古車掲載'!AN151:AN151)</x:f>
        <x:v>0</x:v>
      </x:c>
      <x:c r="O363" s="23" t="str">
        <x:f>IF(COUNT('中古車掲載'!AN151:AN151)=0,"",MEDIAN('中古車掲載'!AN151:AN151))</x:f>
      </x:c>
      <x:c r="P363" s="3"/>
      <x:c r="Q363" s="3"/>
      <x:c r="R363" s="3"/>
      <x:c r="S363" s="3"/>
      <x:c r="T363" s="3"/>
      <x:c r="U363" s="3"/>
      <x:c r="V363" s="3"/>
      <x:c r="W363" s="3"/>
      <x:c r="X363" s="3"/>
      <x:c r="Y363" s="3"/>
      <x:c r="Z363" s="3"/>
      <x:c r="AA363" s="3"/>
      <x:c r="AB363" s="3"/>
      <x:c r="AC363" s="3"/>
      <x:c r="AD363" s="3"/>
      <x:c r="AE363" s="3"/>
      <x:c r="AF363" s="3"/>
      <x:c r="AG363" s="3"/>
      <x:c r="AH363" s="3"/>
      <x:c r="AI363" s="3"/>
      <x:c r="AJ363" s="3"/>
      <x:c r="AK363" s="3"/>
      <x:c r="AL363" s="3"/>
      <x:c r="AM363" s="3"/>
      <x:c r="AN363" s="3"/>
      <x:c r="AO363" s="3"/>
      <x:c r="AP363" s="3"/>
      <x:c r="AQ363" s="3"/>
      <x:c r="AR363" s="3"/>
      <x:c r="AS363" s="3"/>
      <x:c r="AT363" s="3"/>
      <x:c r="AU363" s="3"/>
      <x:c r="AV363" s="3"/>
      <x:c r="AW363" s="3"/>
      <x:c r="AX363" s="3"/>
      <x:c r="AY363" s="3"/>
      <x:c r="AZ363" s="3" t="str">
        <x:f>IF(AND('中古車掲載'!C364="One2car",'中古車掲載'!F364="ATTO 3",'中古車掲載'!L364="EXTENDED RANGE",'中古車掲載'!J364=2023,ISNUMBER('中古車掲載'!N364),'中古車掲載'!N364&gt;=20000,'中古車掲載'!O364&lt;=100000,'中古車掲載'!AL364=1),'中古車掲載'!U364,"")</x:f>
      </x:c>
      <x:c r="BA363" s="3" t="str">
        <x:f>IF(AND('中古車掲載'!C364="One2car",'中古車掲載'!F364="Corolla Cross",'中古車掲載'!L364="HEV PREMIUM SAFETY",'中古車掲載'!J364=2023,ISNUMBER('中古車掲載'!N364),'中古車掲載'!N364&gt;=20000,'中古車掲載'!O364&lt;=100000,'中古車掲載'!AL364=1,'中古車掲載'!Z364="https://www.one2car.com/en/cars-for-sale/toyota/corolla-cross/year-2023"),'中古車掲載'!U364,"")</x:f>
      </x:c>
      <x:c r="BB363" s="3" t="str">
        <x:f>IF(AND('中古車掲載'!C364="One2car",'中古車掲載'!F364="ATTO 3",'中古車掲載'!L364="EXTENDED RANGE",'中古車掲載'!J364=2023,ISNUMBER('中古車掲載'!N364),'中古車掲載'!N364&gt;=50000,'中古車掲載'!O364&lt;=100000,'中古車掲載'!AL364=1),'中古車掲載'!U364,"")</x:f>
      </x:c>
      <x:c r="BC363" s="3" t="str">
        <x:f>IF(AND('中古車掲載'!C364="One2car",'中古車掲載'!F364="Corolla Cross",'中古車掲載'!L364="HEV PREMIUM SAFETY",'中古車掲載'!J364=2023,ISNUMBER('中古車掲載'!N364),'中古車掲載'!N364&gt;=50000,'中古車掲載'!O364&lt;=100000,'中古車掲載'!AL364=1,'中古車掲載'!Z364="https://www.one2car.com/en/cars-for-sale/toyota/corolla-cross/year-2023"),'中古車掲載'!U364,"")</x:f>
      </x:c>
      <x:c r="BD363" s="3" t="str">
        <x:f>IF(AND('中古車掲載'!C364="One2car",'中古車掲載'!F364="ATTO 3",'中古車掲載'!L364="EXTENDED RANGE",'中古車掲載'!J364=2023,ISNUMBER('中古車掲載'!N364),'中古車掲載'!N364&gt;=20000,'中古車掲載'!O364&lt;=50000,'中古車掲載'!AL364=1),'中古車掲載'!U364,"")</x:f>
      </x:c>
      <x:c r="BE363" s="3" t="str">
        <x:f>IF(AND('中古車掲載'!C364="One2car",'中古車掲載'!F364="Corolla Cross",'中古車掲載'!L364="HEV PREMIUM SAFETY",'中古車掲載'!J364=2023,ISNUMBER('中古車掲載'!N364),'中古車掲載'!N364&gt;=20000,'中古車掲載'!O364&lt;=50000,'中古車掲載'!AL364=1,'中古車掲載'!Z364="https://www.one2car.com/en/cars-for-sale/toyota/corolla-cross/year-2023"),'中古車掲載'!U364,"")</x:f>
      </x:c>
      <x:c r="BF363" s="3" t="str">
        <x:f>IF(AND('中古車掲載'!C364="One2car",'中古車掲載'!F364="Corolla Cross",'中古車掲載'!L364="HEV PREMIUM",'中古車掲載'!J364=2023,ISNUMBER('中古車掲載'!N364),'中古車掲載'!N364&gt;=20000,'中古車掲載'!O364&lt;=100000,'中古車掲載'!AL364=1,'中古車掲載'!Z364="https://www.one2car.com/en/cars-for-sale/toyota/corolla-cross/year-2023"),'中古車掲載'!U364,"")</x:f>
      </x:c>
      <x:c r="BG363" s="3" t="str">
        <x:f>IF(AND('中古車掲載'!C364="One2car",'中古車掲載'!F364="Corolla Cross",'中古車掲載'!L364="HEV GR SPORT",'中古車掲載'!J364=2023,ISNUMBER('中古車掲載'!N364),'中古車掲載'!N364&gt;=20000,'中古車掲載'!O364&lt;=100000,'中古車掲載'!AL364=1,'中古車掲載'!Z364="https://www.one2car.com/en/cars-for-sale/toyota/corolla-cross/year-2023"),'中古車掲載'!U364,"")</x:f>
      </x:c>
      <x:c r="BH363" s="3" t="str">
        <x:f>IF(AND('中古車掲載'!C364="One2car",'中古車掲載'!F364="DOLPHIN",'中古車掲載'!L364="STANDARD RANGE",'中古車掲載'!J364=2023,ISNUMBER('中古車掲載'!N364),'中古車掲載'!N364&gt;=20000,'中古車掲載'!O364&lt;=100000,'中古車掲載'!AL364=1),'中古車掲載'!U364,"")</x:f>
      </x:c>
      <x:c r="BI363" s="3" t="str">
        <x:v>Taladrod|Corolla Cross|HEV|Unknown</x:v>
      </x:c>
      <x:c r="BJ363" s="3" t="n">
        <x:v>364</x:v>
      </x:c>
      <x:c r="BK363" s="3" t="n">
        <x:f>'中古車掲載'!AM364</x:f>
        <x:v>625000</x:v>
      </x:c>
      <x:c r="BL363" s="3" t="str">
        <x:f>IF(ISNUMBER('中古車掲載'!AN364),'中古車掲載'!AN364,"")</x:f>
      </x:c>
      <x:c r="BM363" s="3"/>
      <x:c r="BN363" s="3"/>
      <x:c r="BO363" s="3"/>
      <x:c r="BP363" s="3"/>
      <x:c r="BQ363" s="3"/>
      <x:c r="BR363" s="3"/>
    </x:row>
    <x:row r="364" ht="22" customHeight="1">
      <x:c r="A364" s="3" t="str">
        <x:v>Hilux Revo</x:v>
      </x:c>
      <x:c r="B364" s="3" t="str">
        <x:v>ICE</x:v>
      </x:c>
      <x:c r="C364" s="3" t="str">
        <x:v>One2car</x:v>
      </x:c>
      <x:c r="D364" s="3" t="str">
        <x:v>Pickup</x:v>
      </x:c>
      <x:c r="E364" s="3" t="str">
        <x:v>Single cab</x:v>
      </x:c>
      <x:c r="F364" s="3" t="n">
        <x:v>2022</x:v>
      </x:c>
      <x:c r="G364" s="3" t="str">
        <x:v>TOYOTA HILUX REVO 2.4 SINGLE CAB ENTRY</x:v>
      </x:c>
      <x:c r="H364" s="3" t="str">
        <x:v>&lt;20千km</x:v>
      </x:c>
      <x:c r="I364" s="3" t="str">
        <x:v>世代不明</x:v>
      </x:c>
      <x:c r="J364" s="22" t="n">
        <x:f>COUNT('中古車掲載'!AM126:AM126)</x:f>
        <x:v>1</x:v>
      </x:c>
      <x:c r="K364" s="22" t="n">
        <x:f>IF(COUNT('中古車掲載'!AM126:AM126)=0,"",QUARTILE('中古車掲載'!AM126:AM126,1))</x:f>
        <x:v>419000</x:v>
      </x:c>
      <x:c r="L364" s="22" t="n">
        <x:f>IF(COUNT('中古車掲載'!AM126:AM126)=0,"",MEDIAN('中古車掲載'!AM126:AM126))</x:f>
        <x:v>419000</x:v>
      </x:c>
      <x:c r="M364" s="22" t="n">
        <x:f>IF(COUNT('中古車掲載'!AM126:AM126)=0,"",QUARTILE('中古車掲載'!AM126:AM126,3))</x:f>
        <x:v>419000</x:v>
      </x:c>
      <x:c r="N364" s="22" t="n">
        <x:f>COUNT('中古車掲載'!AN126:AN126)</x:f>
        <x:v>0</x:v>
      </x:c>
      <x:c r="O364" s="23" t="str">
        <x:f>IF(COUNT('中古車掲載'!AN126:AN126)=0,"",MEDIAN('中古車掲載'!AN126:AN126))</x:f>
      </x:c>
      <x:c r="P364" s="3"/>
      <x:c r="Q364" s="3"/>
      <x:c r="R364" s="3"/>
      <x:c r="S364" s="3"/>
      <x:c r="T364" s="3"/>
      <x:c r="U364" s="3"/>
      <x:c r="V364" s="3"/>
      <x:c r="W364" s="3"/>
      <x:c r="X364" s="3"/>
      <x:c r="Y364" s="3"/>
      <x:c r="Z364" s="3"/>
      <x:c r="AA364" s="3"/>
      <x:c r="AB364" s="3"/>
      <x:c r="AC364" s="3"/>
      <x:c r="AD364" s="3"/>
      <x:c r="AE364" s="3"/>
      <x:c r="AF364" s="3"/>
      <x:c r="AG364" s="3"/>
      <x:c r="AH364" s="3"/>
      <x:c r="AI364" s="3"/>
      <x:c r="AJ364" s="3"/>
      <x:c r="AK364" s="3"/>
      <x:c r="AL364" s="3"/>
      <x:c r="AM364" s="3"/>
      <x:c r="AN364" s="3"/>
      <x:c r="AO364" s="3"/>
      <x:c r="AP364" s="3"/>
      <x:c r="AQ364" s="3"/>
      <x:c r="AR364" s="3"/>
      <x:c r="AS364" s="3"/>
      <x:c r="AT364" s="3"/>
      <x:c r="AU364" s="3"/>
      <x:c r="AV364" s="3"/>
      <x:c r="AW364" s="3"/>
      <x:c r="AX364" s="3"/>
      <x:c r="AY364" s="3"/>
      <x:c r="AZ364" s="3" t="str">
        <x:f>IF(AND('中古車掲載'!C365="One2car",'中古車掲載'!F365="ATTO 3",'中古車掲載'!L365="EXTENDED RANGE",'中古車掲載'!J365=2023,ISNUMBER('中古車掲載'!N365),'中古車掲載'!N365&gt;=20000,'中古車掲載'!O365&lt;=100000,'中古車掲載'!AL365=1),'中古車掲載'!U365,"")</x:f>
      </x:c>
      <x:c r="BA364" s="3" t="str">
        <x:f>IF(AND('中古車掲載'!C365="One2car",'中古車掲載'!F365="Corolla Cross",'中古車掲載'!L365="HEV PREMIUM SAFETY",'中古車掲載'!J365=2023,ISNUMBER('中古車掲載'!N365),'中古車掲載'!N365&gt;=20000,'中古車掲載'!O365&lt;=100000,'中古車掲載'!AL365=1,'中古車掲載'!Z365="https://www.one2car.com/en/cars-for-sale/toyota/corolla-cross/year-2023"),'中古車掲載'!U365,"")</x:f>
      </x:c>
      <x:c r="BB364" s="3" t="str">
        <x:f>IF(AND('中古車掲載'!C365="One2car",'中古車掲載'!F365="ATTO 3",'中古車掲載'!L365="EXTENDED RANGE",'中古車掲載'!J365=2023,ISNUMBER('中古車掲載'!N365),'中古車掲載'!N365&gt;=50000,'中古車掲載'!O365&lt;=100000,'中古車掲載'!AL365=1),'中古車掲載'!U365,"")</x:f>
      </x:c>
      <x:c r="BC364" s="3" t="str">
        <x:f>IF(AND('中古車掲載'!C365="One2car",'中古車掲載'!F365="Corolla Cross",'中古車掲載'!L365="HEV PREMIUM SAFETY",'中古車掲載'!J365=2023,ISNUMBER('中古車掲載'!N365),'中古車掲載'!N365&gt;=50000,'中古車掲載'!O365&lt;=100000,'中古車掲載'!AL365=1,'中古車掲載'!Z365="https://www.one2car.com/en/cars-for-sale/toyota/corolla-cross/year-2023"),'中古車掲載'!U365,"")</x:f>
      </x:c>
      <x:c r="BD364" s="3" t="str">
        <x:f>IF(AND('中古車掲載'!C365="One2car",'中古車掲載'!F365="ATTO 3",'中古車掲載'!L365="EXTENDED RANGE",'中古車掲載'!J365=2023,ISNUMBER('中古車掲載'!N365),'中古車掲載'!N365&gt;=20000,'中古車掲載'!O365&lt;=50000,'中古車掲載'!AL365=1),'中古車掲載'!U365,"")</x:f>
      </x:c>
      <x:c r="BE364" s="3" t="str">
        <x:f>IF(AND('中古車掲載'!C365="One2car",'中古車掲載'!F365="Corolla Cross",'中古車掲載'!L365="HEV PREMIUM SAFETY",'中古車掲載'!J365=2023,ISNUMBER('中古車掲載'!N365),'中古車掲載'!N365&gt;=20000,'中古車掲載'!O365&lt;=50000,'中古車掲載'!AL365=1,'中古車掲載'!Z365="https://www.one2car.com/en/cars-for-sale/toyota/corolla-cross/year-2023"),'中古車掲載'!U365,"")</x:f>
      </x:c>
      <x:c r="BF364" s="3" t="str">
        <x:f>IF(AND('中古車掲載'!C365="One2car",'中古車掲載'!F365="Corolla Cross",'中古車掲載'!L365="HEV PREMIUM",'中古車掲載'!J365=2023,ISNUMBER('中古車掲載'!N365),'中古車掲載'!N365&gt;=20000,'中古車掲載'!O365&lt;=100000,'中古車掲載'!AL365=1,'中古車掲載'!Z365="https://www.one2car.com/en/cars-for-sale/toyota/corolla-cross/year-2023"),'中古車掲載'!U365,"")</x:f>
      </x:c>
      <x:c r="BG364" s="3" t="str">
        <x:f>IF(AND('中古車掲載'!C365="One2car",'中古車掲載'!F365="Corolla Cross",'中古車掲載'!L365="HEV GR SPORT",'中古車掲載'!J365=2023,ISNUMBER('中古車掲載'!N365),'中古車掲載'!N365&gt;=20000,'中古車掲載'!O365&lt;=100000,'中古車掲載'!AL365=1,'中古車掲載'!Z365="https://www.one2car.com/en/cars-for-sale/toyota/corolla-cross/year-2023"),'中古車掲載'!U365,"")</x:f>
      </x:c>
      <x:c r="BH364" s="3" t="str">
        <x:f>IF(AND('中古車掲載'!C365="One2car",'中古車掲載'!F365="DOLPHIN",'中古車掲載'!L365="STANDARD RANGE",'中古車掲載'!J365=2023,ISNUMBER('中古車掲載'!N365),'中古車掲載'!N365&gt;=20000,'中古車掲載'!O365&lt;=100000,'中古車掲載'!AL365=1),'中古車掲載'!U365,"")</x:f>
      </x:c>
      <x:c r="BI364" s="3" t="str">
        <x:v>Taladrod|Corolla Cross|HEV|Unknown</x:v>
      </x:c>
      <x:c r="BJ364" s="3" t="n">
        <x:v>365</x:v>
      </x:c>
      <x:c r="BK364" s="3" t="n">
        <x:f>'中古車掲載'!AM365</x:f>
        <x:v>750000</x:v>
      </x:c>
      <x:c r="BL364" s="3" t="str">
        <x:f>IF(ISNUMBER('中古車掲載'!AN365),'中古車掲載'!AN365,"")</x:f>
      </x:c>
      <x:c r="BM364" s="3"/>
      <x:c r="BN364" s="3"/>
      <x:c r="BO364" s="3"/>
      <x:c r="BP364" s="3"/>
      <x:c r="BQ364" s="3"/>
      <x:c r="BR364" s="3"/>
    </x:row>
    <x:row r="365" ht="22" customHeight="1">
      <x:c r="A365" s="3" t="str">
        <x:v>Hilux Revo</x:v>
      </x:c>
      <x:c r="B365" s="3" t="str">
        <x:v>ICE</x:v>
      </x:c>
      <x:c r="C365" s="3" t="str">
        <x:v>One2car</x:v>
      </x:c>
      <x:c r="D365" s="3" t="str">
        <x:v>Pickup</x:v>
      </x:c>
      <x:c r="E365" s="3" t="str">
        <x:v>Single cab</x:v>
      </x:c>
      <x:c r="F365" s="3" t="n">
        <x:v>2022</x:v>
      </x:c>
      <x:c r="G365" s="3" t="str">
        <x:v>TOYOTA HILUX REVO 2.8 SINGLE CAB ENTRY</x:v>
      </x:c>
      <x:c r="H365" s="3" t="str">
        <x:v>&lt;20千km</x:v>
      </x:c>
      <x:c r="I365" s="3" t="str">
        <x:v>世代不明</x:v>
      </x:c>
      <x:c r="J365" s="22" t="n">
        <x:f>COUNT('中古車掲載'!AM128:AM128)</x:f>
        <x:v>1</x:v>
      </x:c>
      <x:c r="K365" s="22" t="n">
        <x:f>IF(COUNT('中古車掲載'!AM128:AM128)=0,"",QUARTILE('中古車掲載'!AM128:AM128,1))</x:f>
        <x:v>479000</x:v>
      </x:c>
      <x:c r="L365" s="22" t="n">
        <x:f>IF(COUNT('中古車掲載'!AM128:AM128)=0,"",MEDIAN('中古車掲載'!AM128:AM128))</x:f>
        <x:v>479000</x:v>
      </x:c>
      <x:c r="M365" s="22" t="n">
        <x:f>IF(COUNT('中古車掲載'!AM128:AM128)=0,"",QUARTILE('中古車掲載'!AM128:AM128,3))</x:f>
        <x:v>479000</x:v>
      </x:c>
      <x:c r="N365" s="22" t="n">
        <x:f>COUNT('中古車掲載'!AN128:AN128)</x:f>
        <x:v>0</x:v>
      </x:c>
      <x:c r="O365" s="23" t="str">
        <x:f>IF(COUNT('中古車掲載'!AN128:AN128)=0,"",MEDIAN('中古車掲載'!AN128:AN128))</x:f>
      </x:c>
      <x:c r="P365" s="3"/>
      <x:c r="Q365" s="3"/>
      <x:c r="R365" s="3"/>
      <x:c r="S365" s="3"/>
      <x:c r="T365" s="3"/>
      <x:c r="U365" s="3"/>
      <x:c r="V365" s="3"/>
      <x:c r="W365" s="3"/>
      <x:c r="X365" s="3"/>
      <x:c r="Y365" s="3"/>
      <x:c r="Z365" s="3"/>
      <x:c r="AA365" s="3"/>
      <x:c r="AB365" s="3"/>
      <x:c r="AC365" s="3"/>
      <x:c r="AD365" s="3"/>
      <x:c r="AE365" s="3"/>
      <x:c r="AF365" s="3"/>
      <x:c r="AG365" s="3"/>
      <x:c r="AH365" s="3"/>
      <x:c r="AI365" s="3"/>
      <x:c r="AJ365" s="3"/>
      <x:c r="AK365" s="3"/>
      <x:c r="AL365" s="3"/>
      <x:c r="AM365" s="3"/>
      <x:c r="AN365" s="3"/>
      <x:c r="AO365" s="3"/>
      <x:c r="AP365" s="3"/>
      <x:c r="AQ365" s="3"/>
      <x:c r="AR365" s="3"/>
      <x:c r="AS365" s="3"/>
      <x:c r="AT365" s="3"/>
      <x:c r="AU365" s="3"/>
      <x:c r="AV365" s="3"/>
      <x:c r="AW365" s="3"/>
      <x:c r="AX365" s="3"/>
      <x:c r="AY365" s="3"/>
      <x:c r="AZ365" s="3" t="str">
        <x:f>IF(AND('中古車掲載'!C366="One2car",'中古車掲載'!F366="ATTO 3",'中古車掲載'!L366="EXTENDED RANGE",'中古車掲載'!J366=2023,ISNUMBER('中古車掲載'!N366),'中古車掲載'!N366&gt;=20000,'中古車掲載'!O366&lt;=100000,'中古車掲載'!AL366=1),'中古車掲載'!U366,"")</x:f>
      </x:c>
      <x:c r="BA365" s="3" t="str">
        <x:f>IF(AND('中古車掲載'!C366="One2car",'中古車掲載'!F366="Corolla Cross",'中古車掲載'!L366="HEV PREMIUM SAFETY",'中古車掲載'!J366=2023,ISNUMBER('中古車掲載'!N366),'中古車掲載'!N366&gt;=20000,'中古車掲載'!O366&lt;=100000,'中古車掲載'!AL366=1,'中古車掲載'!Z366="https://www.one2car.com/en/cars-for-sale/toyota/corolla-cross/year-2023"),'中古車掲載'!U366,"")</x:f>
      </x:c>
      <x:c r="BB365" s="3" t="str">
        <x:f>IF(AND('中古車掲載'!C366="One2car",'中古車掲載'!F366="ATTO 3",'中古車掲載'!L366="EXTENDED RANGE",'中古車掲載'!J366=2023,ISNUMBER('中古車掲載'!N366),'中古車掲載'!N366&gt;=50000,'中古車掲載'!O366&lt;=100000,'中古車掲載'!AL366=1),'中古車掲載'!U366,"")</x:f>
      </x:c>
      <x:c r="BC365" s="3" t="str">
        <x:f>IF(AND('中古車掲載'!C366="One2car",'中古車掲載'!F366="Corolla Cross",'中古車掲載'!L366="HEV PREMIUM SAFETY",'中古車掲載'!J366=2023,ISNUMBER('中古車掲載'!N366),'中古車掲載'!N366&gt;=50000,'中古車掲載'!O366&lt;=100000,'中古車掲載'!AL366=1,'中古車掲載'!Z366="https://www.one2car.com/en/cars-for-sale/toyota/corolla-cross/year-2023"),'中古車掲載'!U366,"")</x:f>
      </x:c>
      <x:c r="BD365" s="3" t="str">
        <x:f>IF(AND('中古車掲載'!C366="One2car",'中古車掲載'!F366="ATTO 3",'中古車掲載'!L366="EXTENDED RANGE",'中古車掲載'!J366=2023,ISNUMBER('中古車掲載'!N366),'中古車掲載'!N366&gt;=20000,'中古車掲載'!O366&lt;=50000,'中古車掲載'!AL366=1),'中古車掲載'!U366,"")</x:f>
      </x:c>
      <x:c r="BE365" s="3" t="str">
        <x:f>IF(AND('中古車掲載'!C366="One2car",'中古車掲載'!F366="Corolla Cross",'中古車掲載'!L366="HEV PREMIUM SAFETY",'中古車掲載'!J366=2023,ISNUMBER('中古車掲載'!N366),'中古車掲載'!N366&gt;=20000,'中古車掲載'!O366&lt;=50000,'中古車掲載'!AL366=1,'中古車掲載'!Z366="https://www.one2car.com/en/cars-for-sale/toyota/corolla-cross/year-2023"),'中古車掲載'!U366,"")</x:f>
      </x:c>
      <x:c r="BF365" s="3" t="str">
        <x:f>IF(AND('中古車掲載'!C366="One2car",'中古車掲載'!F366="Corolla Cross",'中古車掲載'!L366="HEV PREMIUM",'中古車掲載'!J366=2023,ISNUMBER('中古車掲載'!N366),'中古車掲載'!N366&gt;=20000,'中古車掲載'!O366&lt;=100000,'中古車掲載'!AL366=1,'中古車掲載'!Z366="https://www.one2car.com/en/cars-for-sale/toyota/corolla-cross/year-2023"),'中古車掲載'!U366,"")</x:f>
      </x:c>
      <x:c r="BG365" s="3" t="str">
        <x:f>IF(AND('中古車掲載'!C366="One2car",'中古車掲載'!F366="Corolla Cross",'中古車掲載'!L366="HEV GR SPORT",'中古車掲載'!J366=2023,ISNUMBER('中古車掲載'!N366),'中古車掲載'!N366&gt;=20000,'中古車掲載'!O366&lt;=100000,'中古車掲載'!AL366=1,'中古車掲載'!Z366="https://www.one2car.com/en/cars-for-sale/toyota/corolla-cross/year-2023"),'中古車掲載'!U366,"")</x:f>
      </x:c>
      <x:c r="BH365" s="3" t="str">
        <x:f>IF(AND('中古車掲載'!C366="One2car",'中古車掲載'!F366="DOLPHIN",'中古車掲載'!L366="STANDARD RANGE",'中古車掲載'!J366=2023,ISNUMBER('中古車掲載'!N366),'中古車掲載'!N366&gt;=20000,'中古車掲載'!O366&lt;=100000,'中古車掲載'!AL366=1),'中古車掲載'!U366,"")</x:f>
      </x:c>
      <x:c r="BI365" s="3" t="str">
        <x:v>Taladrod|Corolla Cross|HEV|Unknown</x:v>
      </x:c>
      <x:c r="BJ365" s="3" t="n">
        <x:v>366</x:v>
      </x:c>
      <x:c r="BK365" s="3" t="n">
        <x:f>'中古車掲載'!AM366</x:f>
        <x:v>679000</x:v>
      </x:c>
      <x:c r="BL365" s="3" t="str">
        <x:f>IF(ISNUMBER('中古車掲載'!AN366),'中古車掲載'!AN366,"")</x:f>
      </x:c>
      <x:c r="BM365" s="3"/>
      <x:c r="BN365" s="3"/>
      <x:c r="BO365" s="3"/>
      <x:c r="BP365" s="3"/>
      <x:c r="BQ365" s="3"/>
      <x:c r="BR365" s="3"/>
    </x:row>
    <x:row r="366" ht="22" customHeight="1">
      <x:c r="A366" s="3" t="str">
        <x:v>Hilux Revo</x:v>
      </x:c>
      <x:c r="B366" s="3" t="str">
        <x:v>ICE</x:v>
      </x:c>
      <x:c r="C366" s="3" t="str">
        <x:v>One2car</x:v>
      </x:c>
      <x:c r="D366" s="3" t="str">
        <x:v>Pickup</x:v>
      </x:c>
      <x:c r="E366" s="3" t="str">
        <x:v>Single cab</x:v>
      </x:c>
      <x:c r="F366" s="3" t="n">
        <x:v>2023</x:v>
      </x:c>
      <x:c r="G366" s="3" t="str">
        <x:v>TOYOTA HILUX REVO 2.4 SINGLE CAB ENTRY</x:v>
      </x:c>
      <x:c r="H366" s="3" t="str">
        <x:v>20–50千km</x:v>
      </x:c>
      <x:c r="I366" s="3" t="str">
        <x:v>世代不明</x:v>
      </x:c>
      <x:c r="J366" s="22" t="n">
        <x:f>COUNT('中古車掲載'!AM138:AM138)</x:f>
        <x:v>1</x:v>
      </x:c>
      <x:c r="K366" s="22" t="n">
        <x:f>IF(COUNT('中古車掲載'!AM138:AM138)=0,"",QUARTILE('中古車掲載'!AM138:AM138,1))</x:f>
        <x:v>489000</x:v>
      </x:c>
      <x:c r="L366" s="22" t="n">
        <x:f>IF(COUNT('中古車掲載'!AM138:AM138)=0,"",MEDIAN('中古車掲載'!AM138:AM138))</x:f>
        <x:v>489000</x:v>
      </x:c>
      <x:c r="M366" s="22" t="n">
        <x:f>IF(COUNT('中古車掲載'!AM138:AM138)=0,"",QUARTILE('中古車掲載'!AM138:AM138,3))</x:f>
        <x:v>489000</x:v>
      </x:c>
      <x:c r="N366" s="22" t="n">
        <x:f>COUNT('中古車掲載'!AN138:AN138)</x:f>
        <x:v>0</x:v>
      </x:c>
      <x:c r="O366" s="23" t="str">
        <x:f>IF(COUNT('中古車掲載'!AN138:AN138)=0,"",MEDIAN('中古車掲載'!AN138:AN138))</x:f>
      </x:c>
      <x:c r="P366" s="3"/>
      <x:c r="Q366" s="3"/>
      <x:c r="R366" s="3"/>
      <x:c r="S366" s="3"/>
      <x:c r="T366" s="3"/>
      <x:c r="U366" s="3"/>
      <x:c r="V366" s="3"/>
      <x:c r="W366" s="3"/>
      <x:c r="X366" s="3"/>
      <x:c r="Y366" s="3"/>
      <x:c r="Z366" s="3"/>
      <x:c r="AA366" s="3"/>
      <x:c r="AB366" s="3"/>
      <x:c r="AC366" s="3"/>
      <x:c r="AD366" s="3"/>
      <x:c r="AE366" s="3"/>
      <x:c r="AF366" s="3"/>
      <x:c r="AG366" s="3"/>
      <x:c r="AH366" s="3"/>
      <x:c r="AI366" s="3"/>
      <x:c r="AJ366" s="3"/>
      <x:c r="AK366" s="3"/>
      <x:c r="AL366" s="3"/>
      <x:c r="AM366" s="3"/>
      <x:c r="AN366" s="3"/>
      <x:c r="AO366" s="3"/>
      <x:c r="AP366" s="3"/>
      <x:c r="AQ366" s="3"/>
      <x:c r="AR366" s="3"/>
      <x:c r="AS366" s="3"/>
      <x:c r="AT366" s="3"/>
      <x:c r="AU366" s="3"/>
      <x:c r="AV366" s="3"/>
      <x:c r="AW366" s="3"/>
      <x:c r="AX366" s="3"/>
      <x:c r="AY366" s="3"/>
      <x:c r="AZ366" s="3" t="str">
        <x:f>IF(AND('中古車掲載'!C367="One2car",'中古車掲載'!F367="ATTO 3",'中古車掲載'!L367="EXTENDED RANGE",'中古車掲載'!J367=2023,ISNUMBER('中古車掲載'!N367),'中古車掲載'!N367&gt;=20000,'中古車掲載'!O367&lt;=100000,'中古車掲載'!AL367=1),'中古車掲載'!U367,"")</x:f>
      </x:c>
      <x:c r="BA366" s="3" t="str">
        <x:f>IF(AND('中古車掲載'!C367="One2car",'中古車掲載'!F367="Corolla Cross",'中古車掲載'!L367="HEV PREMIUM SAFETY",'中古車掲載'!J367=2023,ISNUMBER('中古車掲載'!N367),'中古車掲載'!N367&gt;=20000,'中古車掲載'!O367&lt;=100000,'中古車掲載'!AL367=1,'中古車掲載'!Z367="https://www.one2car.com/en/cars-for-sale/toyota/corolla-cross/year-2023"),'中古車掲載'!U367,"")</x:f>
      </x:c>
      <x:c r="BB366" s="3" t="str">
        <x:f>IF(AND('中古車掲載'!C367="One2car",'中古車掲載'!F367="ATTO 3",'中古車掲載'!L367="EXTENDED RANGE",'中古車掲載'!J367=2023,ISNUMBER('中古車掲載'!N367),'中古車掲載'!N367&gt;=50000,'中古車掲載'!O367&lt;=100000,'中古車掲載'!AL367=1),'中古車掲載'!U367,"")</x:f>
      </x:c>
      <x:c r="BC366" s="3" t="str">
        <x:f>IF(AND('中古車掲載'!C367="One2car",'中古車掲載'!F367="Corolla Cross",'中古車掲載'!L367="HEV PREMIUM SAFETY",'中古車掲載'!J367=2023,ISNUMBER('中古車掲載'!N367),'中古車掲載'!N367&gt;=50000,'中古車掲載'!O367&lt;=100000,'中古車掲載'!AL367=1,'中古車掲載'!Z367="https://www.one2car.com/en/cars-for-sale/toyota/corolla-cross/year-2023"),'中古車掲載'!U367,"")</x:f>
      </x:c>
      <x:c r="BD366" s="3" t="str">
        <x:f>IF(AND('中古車掲載'!C367="One2car",'中古車掲載'!F367="ATTO 3",'中古車掲載'!L367="EXTENDED RANGE",'中古車掲載'!J367=2023,ISNUMBER('中古車掲載'!N367),'中古車掲載'!N367&gt;=20000,'中古車掲載'!O367&lt;=50000,'中古車掲載'!AL367=1),'中古車掲載'!U367,"")</x:f>
      </x:c>
      <x:c r="BE366" s="3" t="str">
        <x:f>IF(AND('中古車掲載'!C367="One2car",'中古車掲載'!F367="Corolla Cross",'中古車掲載'!L367="HEV PREMIUM SAFETY",'中古車掲載'!J367=2023,ISNUMBER('中古車掲載'!N367),'中古車掲載'!N367&gt;=20000,'中古車掲載'!O367&lt;=50000,'中古車掲載'!AL367=1,'中古車掲載'!Z367="https://www.one2car.com/en/cars-for-sale/toyota/corolla-cross/year-2023"),'中古車掲載'!U367,"")</x:f>
      </x:c>
      <x:c r="BF366" s="3" t="str">
        <x:f>IF(AND('中古車掲載'!C367="One2car",'中古車掲載'!F367="Corolla Cross",'中古車掲載'!L367="HEV PREMIUM",'中古車掲載'!J367=2023,ISNUMBER('中古車掲載'!N367),'中古車掲載'!N367&gt;=20000,'中古車掲載'!O367&lt;=100000,'中古車掲載'!AL367=1,'中古車掲載'!Z367="https://www.one2car.com/en/cars-for-sale/toyota/corolla-cross/year-2023"),'中古車掲載'!U367,"")</x:f>
      </x:c>
      <x:c r="BG366" s="3" t="str">
        <x:f>IF(AND('中古車掲載'!C367="One2car",'中古車掲載'!F367="Corolla Cross",'中古車掲載'!L367="HEV GR SPORT",'中古車掲載'!J367=2023,ISNUMBER('中古車掲載'!N367),'中古車掲載'!N367&gt;=20000,'中古車掲載'!O367&lt;=100000,'中古車掲載'!AL367=1,'中古車掲載'!Z367="https://www.one2car.com/en/cars-for-sale/toyota/corolla-cross/year-2023"),'中古車掲載'!U367,"")</x:f>
      </x:c>
      <x:c r="BH366" s="3" t="str">
        <x:f>IF(AND('中古車掲載'!C367="One2car",'中古車掲載'!F367="DOLPHIN",'中古車掲載'!L367="STANDARD RANGE",'中古車掲載'!J367=2023,ISNUMBER('中古車掲載'!N367),'中古車掲載'!N367&gt;=20000,'中古車掲載'!O367&lt;=100000,'中古車掲載'!AL367=1),'中古車掲載'!U367,"")</x:f>
      </x:c>
      <x:c r="BI366" s="3" t="str">
        <x:v>Taladrod|Corolla Cross|HEV|Unknown</x:v>
      </x:c>
      <x:c r="BJ366" s="3" t="n">
        <x:v>367</x:v>
      </x:c>
      <x:c r="BK366" s="3" t="n">
        <x:f>'中古車掲載'!AM367</x:f>
        <x:v>698000</x:v>
      </x:c>
      <x:c r="BL366" s="3" t="str">
        <x:f>IF(ISNUMBER('中古車掲載'!AN367),'中古車掲載'!AN367,"")</x:f>
      </x:c>
      <x:c r="BM366" s="3"/>
      <x:c r="BN366" s="3"/>
      <x:c r="BO366" s="3"/>
      <x:c r="BP366" s="3"/>
      <x:c r="BQ366" s="3"/>
      <x:c r="BR366" s="3"/>
    </x:row>
    <x:row r="367" ht="22" customHeight="1">
      <x:c r="A367" s="3" t="str">
        <x:v>Hilux Revo</x:v>
      </x:c>
      <x:c r="B367" s="3" t="str">
        <x:v>ICE</x:v>
      </x:c>
      <x:c r="C367" s="3" t="str">
        <x:v>One2car</x:v>
      </x:c>
      <x:c r="D367" s="3" t="str">
        <x:v>Pickup</x:v>
      </x:c>
      <x:c r="E367" s="3" t="str">
        <x:v>Single cab</x:v>
      </x:c>
      <x:c r="F367" s="3" t="n">
        <x:v>2023</x:v>
      </x:c>
      <x:c r="G367" s="3" t="str">
        <x:v>TOYOTA HILUX REVO 2.4 SINGLE CAB ENTRY</x:v>
      </x:c>
      <x:c r="H367" s="3" t="str">
        <x:v>&lt;20千km</x:v>
      </x:c>
      <x:c r="I367" s="3" t="str">
        <x:v>世代不明</x:v>
      </x:c>
      <x:c r="J367" s="22" t="n">
        <x:f>COUNT('中古車掲載'!AM139:AM141)</x:f>
        <x:v>3</x:v>
      </x:c>
      <x:c r="K367" s="22" t="n">
        <x:f>IF(COUNT('中古車掲載'!AM139:AM141)=0,"",QUARTILE('中古車掲載'!AM139:AM141,1))</x:f>
        <x:v>434000</x:v>
      </x:c>
      <x:c r="L367" s="22" t="n">
        <x:f>IF(COUNT('中古車掲載'!AM139:AM141)=0,"",MEDIAN('中古車掲載'!AM139:AM141))</x:f>
        <x:v>449000</x:v>
      </x:c>
      <x:c r="M367" s="22" t="n">
        <x:f>IF(COUNT('中古車掲載'!AM139:AM141)=0,"",QUARTILE('中古車掲載'!AM139:AM141,3))</x:f>
        <x:v>449000</x:v>
      </x:c>
      <x:c r="N367" s="22" t="n">
        <x:f>COUNT('中古車掲載'!AN139:AN141)</x:f>
        <x:v>0</x:v>
      </x:c>
      <x:c r="O367" s="23" t="str">
        <x:f>IF(COUNT('中古車掲載'!AN139:AN141)=0,"",MEDIAN('中古車掲載'!AN139:AN141))</x:f>
      </x:c>
      <x:c r="P367" s="3"/>
      <x:c r="Q367" s="3"/>
      <x:c r="R367" s="3"/>
      <x:c r="S367" s="3"/>
      <x:c r="T367" s="3"/>
      <x:c r="U367" s="3"/>
      <x:c r="V367" s="3"/>
      <x:c r="W367" s="3"/>
      <x:c r="X367" s="3"/>
      <x:c r="Y367" s="3"/>
      <x:c r="Z367" s="3"/>
      <x:c r="AA367" s="3"/>
      <x:c r="AB367" s="3"/>
      <x:c r="AC367" s="3"/>
      <x:c r="AD367" s="3"/>
      <x:c r="AE367" s="3"/>
      <x:c r="AF367" s="3"/>
      <x:c r="AG367" s="3"/>
      <x:c r="AH367" s="3"/>
      <x:c r="AI367" s="3"/>
      <x:c r="AJ367" s="3"/>
      <x:c r="AK367" s="3"/>
      <x:c r="AL367" s="3"/>
      <x:c r="AM367" s="3"/>
      <x:c r="AN367" s="3"/>
      <x:c r="AO367" s="3"/>
      <x:c r="AP367" s="3"/>
      <x:c r="AQ367" s="3"/>
      <x:c r="AR367" s="3"/>
      <x:c r="AS367" s="3"/>
      <x:c r="AT367" s="3"/>
      <x:c r="AU367" s="3"/>
      <x:c r="AV367" s="3"/>
      <x:c r="AW367" s="3"/>
      <x:c r="AX367" s="3"/>
      <x:c r="AY367" s="3"/>
      <x:c r="AZ367" s="3" t="str">
        <x:f>IF(AND('中古車掲載'!C368="One2car",'中古車掲載'!F368="ATTO 3",'中古車掲載'!L368="EXTENDED RANGE",'中古車掲載'!J368=2023,ISNUMBER('中古車掲載'!N368),'中古車掲載'!N368&gt;=20000,'中古車掲載'!O368&lt;=100000,'中古車掲載'!AL368=1),'中古車掲載'!U368,"")</x:f>
      </x:c>
      <x:c r="BA367" s="3" t="str">
        <x:f>IF(AND('中古車掲載'!C368="One2car",'中古車掲載'!F368="Corolla Cross",'中古車掲載'!L368="HEV PREMIUM SAFETY",'中古車掲載'!J368=2023,ISNUMBER('中古車掲載'!N368),'中古車掲載'!N368&gt;=20000,'中古車掲載'!O368&lt;=100000,'中古車掲載'!AL368=1,'中古車掲載'!Z368="https://www.one2car.com/en/cars-for-sale/toyota/corolla-cross/year-2023"),'中古車掲載'!U368,"")</x:f>
      </x:c>
      <x:c r="BB367" s="3" t="str">
        <x:f>IF(AND('中古車掲載'!C368="One2car",'中古車掲載'!F368="ATTO 3",'中古車掲載'!L368="EXTENDED RANGE",'中古車掲載'!J368=2023,ISNUMBER('中古車掲載'!N368),'中古車掲載'!N368&gt;=50000,'中古車掲載'!O368&lt;=100000,'中古車掲載'!AL368=1),'中古車掲載'!U368,"")</x:f>
      </x:c>
      <x:c r="BC367" s="3" t="str">
        <x:f>IF(AND('中古車掲載'!C368="One2car",'中古車掲載'!F368="Corolla Cross",'中古車掲載'!L368="HEV PREMIUM SAFETY",'中古車掲載'!J368=2023,ISNUMBER('中古車掲載'!N368),'中古車掲載'!N368&gt;=50000,'中古車掲載'!O368&lt;=100000,'中古車掲載'!AL368=1,'中古車掲載'!Z368="https://www.one2car.com/en/cars-for-sale/toyota/corolla-cross/year-2023"),'中古車掲載'!U368,"")</x:f>
      </x:c>
      <x:c r="BD367" s="3" t="str">
        <x:f>IF(AND('中古車掲載'!C368="One2car",'中古車掲載'!F368="ATTO 3",'中古車掲載'!L368="EXTENDED RANGE",'中古車掲載'!J368=2023,ISNUMBER('中古車掲載'!N368),'中古車掲載'!N368&gt;=20000,'中古車掲載'!O368&lt;=50000,'中古車掲載'!AL368=1),'中古車掲載'!U368,"")</x:f>
      </x:c>
      <x:c r="BE367" s="3" t="str">
        <x:f>IF(AND('中古車掲載'!C368="One2car",'中古車掲載'!F368="Corolla Cross",'中古車掲載'!L368="HEV PREMIUM SAFETY",'中古車掲載'!J368=2023,ISNUMBER('中古車掲載'!N368),'中古車掲載'!N368&gt;=20000,'中古車掲載'!O368&lt;=50000,'中古車掲載'!AL368=1,'中古車掲載'!Z368="https://www.one2car.com/en/cars-for-sale/toyota/corolla-cross/year-2023"),'中古車掲載'!U368,"")</x:f>
      </x:c>
      <x:c r="BF367" s="3" t="str">
        <x:f>IF(AND('中古車掲載'!C368="One2car",'中古車掲載'!F368="Corolla Cross",'中古車掲載'!L368="HEV PREMIUM",'中古車掲載'!J368=2023,ISNUMBER('中古車掲載'!N368),'中古車掲載'!N368&gt;=20000,'中古車掲載'!O368&lt;=100000,'中古車掲載'!AL368=1,'中古車掲載'!Z368="https://www.one2car.com/en/cars-for-sale/toyota/corolla-cross/year-2023"),'中古車掲載'!U368,"")</x:f>
      </x:c>
      <x:c r="BG367" s="3" t="str">
        <x:f>IF(AND('中古車掲載'!C368="One2car",'中古車掲載'!F368="Corolla Cross",'中古車掲載'!L368="HEV GR SPORT",'中古車掲載'!J368=2023,ISNUMBER('中古車掲載'!N368),'中古車掲載'!N368&gt;=20000,'中古車掲載'!O368&lt;=100000,'中古車掲載'!AL368=1,'中古車掲載'!Z368="https://www.one2car.com/en/cars-for-sale/toyota/corolla-cross/year-2023"),'中古車掲載'!U368,"")</x:f>
      </x:c>
      <x:c r="BH367" s="3" t="str">
        <x:f>IF(AND('中古車掲載'!C368="One2car",'中古車掲載'!F368="DOLPHIN",'中古車掲載'!L368="STANDARD RANGE",'中古車掲載'!J368=2023,ISNUMBER('中古車掲載'!N368),'中古車掲載'!N368&gt;=20000,'中古車掲載'!O368&lt;=100000,'中古車掲載'!AL368=1),'中古車掲載'!U368,"")</x:f>
      </x:c>
      <x:c r="BI367" s="3" t="str">
        <x:v>Taladrod|Corolla Cross|HEV|Unknown</x:v>
      </x:c>
      <x:c r="BJ367" s="3" t="n">
        <x:v>368</x:v>
      </x:c>
      <x:c r="BK367" s="3" t="n">
        <x:f>'中古車掲載'!AM368</x:f>
        <x:v>699000</x:v>
      </x:c>
      <x:c r="BL367" s="3" t="str">
        <x:f>IF(ISNUMBER('中古車掲載'!AN368),'中古車掲載'!AN368,"")</x:f>
      </x:c>
      <x:c r="BM367" s="3"/>
      <x:c r="BN367" s="3"/>
      <x:c r="BO367" s="3"/>
      <x:c r="BP367" s="3"/>
      <x:c r="BQ367" s="3"/>
      <x:c r="BR367" s="3"/>
    </x:row>
    <x:row r="368" ht="22" customHeight="1">
      <x:c r="A368" s="3" t="str">
        <x:v>Hilux Revo</x:v>
      </x:c>
      <x:c r="B368" s="3" t="str">
        <x:v>ICE</x:v>
      </x:c>
      <x:c r="C368" s="3" t="str">
        <x:v>One2car</x:v>
      </x:c>
      <x:c r="D368" s="3" t="str">
        <x:v>Pickup</x:v>
      </x:c>
      <x:c r="E368" s="3" t="str">
        <x:v>Single cab</x:v>
      </x:c>
      <x:c r="F368" s="3" t="n">
        <x:v>2023</x:v>
      </x:c>
      <x:c r="G368" s="3" t="str">
        <x:v>TOYOTA HILUX REVO 2.8 SINGLE CAB ENTRY</x:v>
      </x:c>
      <x:c r="H368" s="3" t="str">
        <x:v>&lt;20千km</x:v>
      </x:c>
      <x:c r="I368" s="3" t="str">
        <x:v>世代不明</x:v>
      </x:c>
      <x:c r="J368" s="22" t="n">
        <x:f>COUNT('中古車掲載'!AM149:AM149)</x:f>
        <x:v>1</x:v>
      </x:c>
      <x:c r="K368" s="22" t="n">
        <x:f>IF(COUNT('中古車掲載'!AM149:AM149)=0,"",QUARTILE('中古車掲載'!AM149:AM149,1))</x:f>
        <x:v>519000</x:v>
      </x:c>
      <x:c r="L368" s="22" t="n">
        <x:f>IF(COUNT('中古車掲載'!AM149:AM149)=0,"",MEDIAN('中古車掲載'!AM149:AM149))</x:f>
        <x:v>519000</x:v>
      </x:c>
      <x:c r="M368" s="22" t="n">
        <x:f>IF(COUNT('中古車掲載'!AM149:AM149)=0,"",QUARTILE('中古車掲載'!AM149:AM149,3))</x:f>
        <x:v>519000</x:v>
      </x:c>
      <x:c r="N368" s="22" t="n">
        <x:f>COUNT('中古車掲載'!AN149:AN149)</x:f>
        <x:v>0</x:v>
      </x:c>
      <x:c r="O368" s="23" t="str">
        <x:f>IF(COUNT('中古車掲載'!AN149:AN149)=0,"",MEDIAN('中古車掲載'!AN149:AN149))</x:f>
      </x:c>
      <x:c r="P368" s="3"/>
      <x:c r="Q368" s="3"/>
      <x:c r="R368" s="3"/>
      <x:c r="S368" s="3"/>
      <x:c r="T368" s="3"/>
      <x:c r="U368" s="3"/>
      <x:c r="V368" s="3"/>
      <x:c r="W368" s="3"/>
      <x:c r="X368" s="3"/>
      <x:c r="Y368" s="3"/>
      <x:c r="Z368" s="3"/>
      <x:c r="AA368" s="3"/>
      <x:c r="AB368" s="3"/>
      <x:c r="AC368" s="3"/>
      <x:c r="AD368" s="3"/>
      <x:c r="AE368" s="3"/>
      <x:c r="AF368" s="3"/>
      <x:c r="AG368" s="3"/>
      <x:c r="AH368" s="3"/>
      <x:c r="AI368" s="3"/>
      <x:c r="AJ368" s="3"/>
      <x:c r="AK368" s="3"/>
      <x:c r="AL368" s="3"/>
      <x:c r="AM368" s="3"/>
      <x:c r="AN368" s="3"/>
      <x:c r="AO368" s="3"/>
      <x:c r="AP368" s="3"/>
      <x:c r="AQ368" s="3"/>
      <x:c r="AR368" s="3"/>
      <x:c r="AS368" s="3"/>
      <x:c r="AT368" s="3"/>
      <x:c r="AU368" s="3"/>
      <x:c r="AV368" s="3"/>
      <x:c r="AW368" s="3"/>
      <x:c r="AX368" s="3"/>
      <x:c r="AY368" s="3"/>
      <x:c r="AZ368" s="3" t="str">
        <x:f>IF(AND('中古車掲載'!C369="One2car",'中古車掲載'!F369="ATTO 3",'中古車掲載'!L369="EXTENDED RANGE",'中古車掲載'!J369=2023,ISNUMBER('中古車掲載'!N369),'中古車掲載'!N369&gt;=20000,'中古車掲載'!O369&lt;=100000,'中古車掲載'!AL369=1),'中古車掲載'!U369,"")</x:f>
      </x:c>
      <x:c r="BA368" s="3" t="str">
        <x:f>IF(AND('中古車掲載'!C369="One2car",'中古車掲載'!F369="Corolla Cross",'中古車掲載'!L369="HEV PREMIUM SAFETY",'中古車掲載'!J369=2023,ISNUMBER('中古車掲載'!N369),'中古車掲載'!N369&gt;=20000,'中古車掲載'!O369&lt;=100000,'中古車掲載'!AL369=1,'中古車掲載'!Z369="https://www.one2car.com/en/cars-for-sale/toyota/corolla-cross/year-2023"),'中古車掲載'!U369,"")</x:f>
      </x:c>
      <x:c r="BB368" s="3" t="str">
        <x:f>IF(AND('中古車掲載'!C369="One2car",'中古車掲載'!F369="ATTO 3",'中古車掲載'!L369="EXTENDED RANGE",'中古車掲載'!J369=2023,ISNUMBER('中古車掲載'!N369),'中古車掲載'!N369&gt;=50000,'中古車掲載'!O369&lt;=100000,'中古車掲載'!AL369=1),'中古車掲載'!U369,"")</x:f>
      </x:c>
      <x:c r="BC368" s="3" t="str">
        <x:f>IF(AND('中古車掲載'!C369="One2car",'中古車掲載'!F369="Corolla Cross",'中古車掲載'!L369="HEV PREMIUM SAFETY",'中古車掲載'!J369=2023,ISNUMBER('中古車掲載'!N369),'中古車掲載'!N369&gt;=50000,'中古車掲載'!O369&lt;=100000,'中古車掲載'!AL369=1,'中古車掲載'!Z369="https://www.one2car.com/en/cars-for-sale/toyota/corolla-cross/year-2023"),'中古車掲載'!U369,"")</x:f>
      </x:c>
      <x:c r="BD368" s="3" t="str">
        <x:f>IF(AND('中古車掲載'!C369="One2car",'中古車掲載'!F369="ATTO 3",'中古車掲載'!L369="EXTENDED RANGE",'中古車掲載'!J369=2023,ISNUMBER('中古車掲載'!N369),'中古車掲載'!N369&gt;=20000,'中古車掲載'!O369&lt;=50000,'中古車掲載'!AL369=1),'中古車掲載'!U369,"")</x:f>
      </x:c>
      <x:c r="BE368" s="3" t="str">
        <x:f>IF(AND('中古車掲載'!C369="One2car",'中古車掲載'!F369="Corolla Cross",'中古車掲載'!L369="HEV PREMIUM SAFETY",'中古車掲載'!J369=2023,ISNUMBER('中古車掲載'!N369),'中古車掲載'!N369&gt;=20000,'中古車掲載'!O369&lt;=50000,'中古車掲載'!AL369=1,'中古車掲載'!Z369="https://www.one2car.com/en/cars-for-sale/toyota/corolla-cross/year-2023"),'中古車掲載'!U369,"")</x:f>
      </x:c>
      <x:c r="BF368" s="3" t="str">
        <x:f>IF(AND('中古車掲載'!C369="One2car",'中古車掲載'!F369="Corolla Cross",'中古車掲載'!L369="HEV PREMIUM",'中古車掲載'!J369=2023,ISNUMBER('中古車掲載'!N369),'中古車掲載'!N369&gt;=20000,'中古車掲載'!O369&lt;=100000,'中古車掲載'!AL369=1,'中古車掲載'!Z369="https://www.one2car.com/en/cars-for-sale/toyota/corolla-cross/year-2023"),'中古車掲載'!U369,"")</x:f>
      </x:c>
      <x:c r="BG368" s="3" t="str">
        <x:f>IF(AND('中古車掲載'!C369="One2car",'中古車掲載'!F369="Corolla Cross",'中古車掲載'!L369="HEV GR SPORT",'中古車掲載'!J369=2023,ISNUMBER('中古車掲載'!N369),'中古車掲載'!N369&gt;=20000,'中古車掲載'!O369&lt;=100000,'中古車掲載'!AL369=1,'中古車掲載'!Z369="https://www.one2car.com/en/cars-for-sale/toyota/corolla-cross/year-2023"),'中古車掲載'!U369,"")</x:f>
      </x:c>
      <x:c r="BH368" s="3" t="str">
        <x:f>IF(AND('中古車掲載'!C369="One2car",'中古車掲載'!F369="DOLPHIN",'中古車掲載'!L369="STANDARD RANGE",'中古車掲載'!J369=2023,ISNUMBER('中古車掲載'!N369),'中古車掲載'!N369&gt;=20000,'中古車掲載'!O369&lt;=100000,'中古車掲載'!AL369=1),'中古車掲載'!U369,"")</x:f>
      </x:c>
      <x:c r="BI368" s="3" t="str">
        <x:v>Taladrod|Corolla Cross|HEV|Unknown</x:v>
      </x:c>
      <x:c r="BJ368" s="3" t="n">
        <x:v>369</x:v>
      </x:c>
      <x:c r="BK368" s="3" t="n">
        <x:f>'中古車掲載'!AM369</x:f>
        <x:v>699000</x:v>
      </x:c>
      <x:c r="BL368" s="3" t="str">
        <x:f>IF(ISNUMBER('中古車掲載'!AN369),'中古車掲載'!AN369,"")</x:f>
      </x:c>
      <x:c r="BM368" s="3"/>
      <x:c r="BN368" s="3"/>
      <x:c r="BO368" s="3"/>
      <x:c r="BP368" s="3"/>
      <x:c r="BQ368" s="3"/>
      <x:c r="BR368" s="3"/>
    </x:row>
    <x:row r="369" ht="22" customHeight="1">
      <x:c r="A369" s="3" t="str">
        <x:v>Hilux Revo</x:v>
      </x:c>
      <x:c r="B369" s="3" t="str">
        <x:v>ICE</x:v>
      </x:c>
      <x:c r="C369" s="3" t="str">
        <x:v>One2car</x:v>
      </x:c>
      <x:c r="D369" s="3" t="str">
        <x:v>Pickup</x:v>
      </x:c>
      <x:c r="E369" s="3" t="str">
        <x:v>Smart cab</x:v>
      </x:c>
      <x:c r="F369" s="3" t="n">
        <x:v>2020</x:v>
      </x:c>
      <x:c r="G369" s="3" t="str">
        <x:v>TOYOTA HILUX REVO 2.4 SMART CAB MID</x:v>
      </x:c>
      <x:c r="H369" s="3" t="str">
        <x:v>&lt;20千km</x:v>
      </x:c>
      <x:c r="I369" s="3" t="str">
        <x:v>世代不明</x:v>
      </x:c>
      <x:c r="J369" s="22" t="n">
        <x:f>COUNT('中古車掲載'!AM117:AM117)</x:f>
        <x:v>1</x:v>
      </x:c>
      <x:c r="K369" s="22" t="n">
        <x:f>IF(COUNT('中古車掲載'!AM117:AM117)=0,"",QUARTILE('中古車掲載'!AM117:AM117,1))</x:f>
        <x:v>629000</x:v>
      </x:c>
      <x:c r="L369" s="22" t="n">
        <x:f>IF(COUNT('中古車掲載'!AM117:AM117)=0,"",MEDIAN('中古車掲載'!AM117:AM117))</x:f>
        <x:v>629000</x:v>
      </x:c>
      <x:c r="M369" s="22" t="n">
        <x:f>IF(COUNT('中古車掲載'!AM117:AM117)=0,"",QUARTILE('中古車掲載'!AM117:AM117,3))</x:f>
        <x:v>629000</x:v>
      </x:c>
      <x:c r="N369" s="22" t="n">
        <x:f>COUNT('中古車掲載'!AN117:AN117)</x:f>
        <x:v>0</x:v>
      </x:c>
      <x:c r="O369" s="23" t="str">
        <x:f>IF(COUNT('中古車掲載'!AN117:AN117)=0,"",MEDIAN('中古車掲載'!AN117:AN117))</x:f>
      </x:c>
      <x:c r="P369" s="3"/>
      <x:c r="Q369" s="3"/>
      <x:c r="R369" s="3"/>
      <x:c r="S369" s="3"/>
      <x:c r="T369" s="3"/>
      <x:c r="U369" s="3"/>
      <x:c r="V369" s="3"/>
      <x:c r="W369" s="3"/>
      <x:c r="X369" s="3"/>
      <x:c r="Y369" s="3"/>
      <x:c r="Z369" s="3"/>
      <x:c r="AA369" s="3"/>
      <x:c r="AB369" s="3"/>
      <x:c r="AC369" s="3"/>
      <x:c r="AD369" s="3"/>
      <x:c r="AE369" s="3"/>
      <x:c r="AF369" s="3"/>
      <x:c r="AG369" s="3"/>
      <x:c r="AH369" s="3"/>
      <x:c r="AI369" s="3"/>
      <x:c r="AJ369" s="3"/>
      <x:c r="AK369" s="3"/>
      <x:c r="AL369" s="3"/>
      <x:c r="AM369" s="3"/>
      <x:c r="AN369" s="3"/>
      <x:c r="AO369" s="3"/>
      <x:c r="AP369" s="3"/>
      <x:c r="AQ369" s="3"/>
      <x:c r="AR369" s="3"/>
      <x:c r="AS369" s="3"/>
      <x:c r="AT369" s="3"/>
      <x:c r="AU369" s="3"/>
      <x:c r="AV369" s="3"/>
      <x:c r="AW369" s="3"/>
      <x:c r="AX369" s="3"/>
      <x:c r="AY369" s="3"/>
      <x:c r="AZ369" s="3" t="str">
        <x:f>IF(AND('中古車掲載'!C370="One2car",'中古車掲載'!F370="ATTO 3",'中古車掲載'!L370="EXTENDED RANGE",'中古車掲載'!J370=2023,ISNUMBER('中古車掲載'!N370),'中古車掲載'!N370&gt;=20000,'中古車掲載'!O370&lt;=100000,'中古車掲載'!AL370=1),'中古車掲載'!U370,"")</x:f>
      </x:c>
      <x:c r="BA369" s="3" t="str">
        <x:f>IF(AND('中古車掲載'!C370="One2car",'中古車掲載'!F370="Corolla Cross",'中古車掲載'!L370="HEV PREMIUM SAFETY",'中古車掲載'!J370=2023,ISNUMBER('中古車掲載'!N370),'中古車掲載'!N370&gt;=20000,'中古車掲載'!O370&lt;=100000,'中古車掲載'!AL370=1,'中古車掲載'!Z370="https://www.one2car.com/en/cars-for-sale/toyota/corolla-cross/year-2023"),'中古車掲載'!U370,"")</x:f>
      </x:c>
      <x:c r="BB369" s="3" t="str">
        <x:f>IF(AND('中古車掲載'!C370="One2car",'中古車掲載'!F370="ATTO 3",'中古車掲載'!L370="EXTENDED RANGE",'中古車掲載'!J370=2023,ISNUMBER('中古車掲載'!N370),'中古車掲載'!N370&gt;=50000,'中古車掲載'!O370&lt;=100000,'中古車掲載'!AL370=1),'中古車掲載'!U370,"")</x:f>
      </x:c>
      <x:c r="BC369" s="3" t="str">
        <x:f>IF(AND('中古車掲載'!C370="One2car",'中古車掲載'!F370="Corolla Cross",'中古車掲載'!L370="HEV PREMIUM SAFETY",'中古車掲載'!J370=2023,ISNUMBER('中古車掲載'!N370),'中古車掲載'!N370&gt;=50000,'中古車掲載'!O370&lt;=100000,'中古車掲載'!AL370=1,'中古車掲載'!Z370="https://www.one2car.com/en/cars-for-sale/toyota/corolla-cross/year-2023"),'中古車掲載'!U370,"")</x:f>
      </x:c>
      <x:c r="BD369" s="3" t="str">
        <x:f>IF(AND('中古車掲載'!C370="One2car",'中古車掲載'!F370="ATTO 3",'中古車掲載'!L370="EXTENDED RANGE",'中古車掲載'!J370=2023,ISNUMBER('中古車掲載'!N370),'中古車掲載'!N370&gt;=20000,'中古車掲載'!O370&lt;=50000,'中古車掲載'!AL370=1),'中古車掲載'!U370,"")</x:f>
      </x:c>
      <x:c r="BE369" s="3" t="str">
        <x:f>IF(AND('中古車掲載'!C370="One2car",'中古車掲載'!F370="Corolla Cross",'中古車掲載'!L370="HEV PREMIUM SAFETY",'中古車掲載'!J370=2023,ISNUMBER('中古車掲載'!N370),'中古車掲載'!N370&gt;=20000,'中古車掲載'!O370&lt;=50000,'中古車掲載'!AL370=1,'中古車掲載'!Z370="https://www.one2car.com/en/cars-for-sale/toyota/corolla-cross/year-2023"),'中古車掲載'!U370,"")</x:f>
      </x:c>
      <x:c r="BF369" s="3" t="str">
        <x:f>IF(AND('中古車掲載'!C370="One2car",'中古車掲載'!F370="Corolla Cross",'中古車掲載'!L370="HEV PREMIUM",'中古車掲載'!J370=2023,ISNUMBER('中古車掲載'!N370),'中古車掲載'!N370&gt;=20000,'中古車掲載'!O370&lt;=100000,'中古車掲載'!AL370=1,'中古車掲載'!Z370="https://www.one2car.com/en/cars-for-sale/toyota/corolla-cross/year-2023"),'中古車掲載'!U370,"")</x:f>
      </x:c>
      <x:c r="BG369" s="3" t="str">
        <x:f>IF(AND('中古車掲載'!C370="One2car",'中古車掲載'!F370="Corolla Cross",'中古車掲載'!L370="HEV GR SPORT",'中古車掲載'!J370=2023,ISNUMBER('中古車掲載'!N370),'中古車掲載'!N370&gt;=20000,'中古車掲載'!O370&lt;=100000,'中古車掲載'!AL370=1,'中古車掲載'!Z370="https://www.one2car.com/en/cars-for-sale/toyota/corolla-cross/year-2023"),'中古車掲載'!U370,"")</x:f>
      </x:c>
      <x:c r="BH369" s="3" t="str">
        <x:f>IF(AND('中古車掲載'!C370="One2car",'中古車掲載'!F370="DOLPHIN",'中古車掲載'!L370="STANDARD RANGE",'中古車掲載'!J370=2023,ISNUMBER('中古車掲載'!N370),'中古車掲載'!N370&gt;=20000,'中古車掲載'!O370&lt;=100000,'中古車掲載'!AL370=1),'中古車掲載'!U370,"")</x:f>
      </x:c>
      <x:c r="BI369" s="3" t="str">
        <x:v>Taladrod|Corolla Cross|HEV|Unknown</x:v>
      </x:c>
      <x:c r="BJ369" s="3" t="n">
        <x:v>370</x:v>
      </x:c>
      <x:c r="BK369" s="3" t="n">
        <x:f>'中古車掲載'!AM370</x:f>
        <x:v>649000</x:v>
      </x:c>
      <x:c r="BL369" s="3" t="str">
        <x:f>IF(ISNUMBER('中古車掲載'!AN370),'中古車掲載'!AN370,"")</x:f>
      </x:c>
      <x:c r="BM369" s="3"/>
      <x:c r="BN369" s="3"/>
      <x:c r="BO369" s="3"/>
      <x:c r="BP369" s="3"/>
      <x:c r="BQ369" s="3"/>
      <x:c r="BR369" s="3"/>
    </x:row>
    <x:row r="370" ht="22" customHeight="1">
      <x:c r="A370" s="3" t="str">
        <x:v>Hilux Revo</x:v>
      </x:c>
      <x:c r="B370" s="3" t="str">
        <x:v>ICE</x:v>
      </x:c>
      <x:c r="C370" s="3" t="str">
        <x:v>One2car</x:v>
      </x:c>
      <x:c r="D370" s="3" t="str">
        <x:v>Pickup</x:v>
      </x:c>
      <x:c r="E370" s="3" t="str">
        <x:v>Smart cab</x:v>
      </x:c>
      <x:c r="F370" s="3" t="n">
        <x:v>2021</x:v>
      </x:c>
      <x:c r="G370" s="3" t="str">
        <x:v>TOYOTA HILUX REVO 2.4 SMART CAB PRERUNNER ENTRY</x:v>
      </x:c>
      <x:c r="H370" s="3" t="str">
        <x:v>&lt;20千km</x:v>
      </x:c>
      <x:c r="I370" s="3" t="str">
        <x:v>世代不明</x:v>
      </x:c>
      <x:c r="J370" s="22" t="n">
        <x:f>COUNT('中古車掲載'!AM121:AM121)</x:f>
        <x:v>1</x:v>
      </x:c>
      <x:c r="K370" s="22" t="n">
        <x:f>IF(COUNT('中古車掲載'!AM121:AM121)=0,"",QUARTILE('中古車掲載'!AM121:AM121,1))</x:f>
        <x:v>499000</x:v>
      </x:c>
      <x:c r="L370" s="22" t="n">
        <x:f>IF(COUNT('中古車掲載'!AM121:AM121)=0,"",MEDIAN('中古車掲載'!AM121:AM121))</x:f>
        <x:v>499000</x:v>
      </x:c>
      <x:c r="M370" s="22" t="n">
        <x:f>IF(COUNT('中古車掲載'!AM121:AM121)=0,"",QUARTILE('中古車掲載'!AM121:AM121,3))</x:f>
        <x:v>499000</x:v>
      </x:c>
      <x:c r="N370" s="22" t="n">
        <x:f>COUNT('中古車掲載'!AN121:AN121)</x:f>
        <x:v>0</x:v>
      </x:c>
      <x:c r="O370" s="23" t="str">
        <x:f>IF(COUNT('中古車掲載'!AN121:AN121)=0,"",MEDIAN('中古車掲載'!AN121:AN121))</x:f>
      </x:c>
      <x:c r="P370" s="3"/>
      <x:c r="Q370" s="3"/>
      <x:c r="R370" s="3"/>
      <x:c r="S370" s="3"/>
      <x:c r="T370" s="3"/>
      <x:c r="U370" s="3"/>
      <x:c r="V370" s="3"/>
      <x:c r="W370" s="3"/>
      <x:c r="X370" s="3"/>
      <x:c r="Y370" s="3"/>
      <x:c r="Z370" s="3"/>
      <x:c r="AA370" s="3"/>
      <x:c r="AB370" s="3"/>
      <x:c r="AC370" s="3"/>
      <x:c r="AD370" s="3"/>
      <x:c r="AE370" s="3"/>
      <x:c r="AF370" s="3"/>
      <x:c r="AG370" s="3"/>
      <x:c r="AH370" s="3"/>
      <x:c r="AI370" s="3"/>
      <x:c r="AJ370" s="3"/>
      <x:c r="AK370" s="3"/>
      <x:c r="AL370" s="3"/>
      <x:c r="AM370" s="3"/>
      <x:c r="AN370" s="3"/>
      <x:c r="AO370" s="3"/>
      <x:c r="AP370" s="3"/>
      <x:c r="AQ370" s="3"/>
      <x:c r="AR370" s="3"/>
      <x:c r="AS370" s="3"/>
      <x:c r="AT370" s="3"/>
      <x:c r="AU370" s="3"/>
      <x:c r="AV370" s="3"/>
      <x:c r="AW370" s="3"/>
      <x:c r="AX370" s="3"/>
      <x:c r="AY370" s="3"/>
      <x:c r="AZ370" s="3" t="str">
        <x:f>IF(AND('中古車掲載'!C371="One2car",'中古車掲載'!F371="ATTO 3",'中古車掲載'!L371="EXTENDED RANGE",'中古車掲載'!J371=2023,ISNUMBER('中古車掲載'!N371),'中古車掲載'!N371&gt;=20000,'中古車掲載'!O371&lt;=100000,'中古車掲載'!AL371=1),'中古車掲載'!U371,"")</x:f>
      </x:c>
      <x:c r="BA370" s="3" t="str">
        <x:f>IF(AND('中古車掲載'!C371="One2car",'中古車掲載'!F371="Corolla Cross",'中古車掲載'!L371="HEV PREMIUM SAFETY",'中古車掲載'!J371=2023,ISNUMBER('中古車掲載'!N371),'中古車掲載'!N371&gt;=20000,'中古車掲載'!O371&lt;=100000,'中古車掲載'!AL371=1,'中古車掲載'!Z371="https://www.one2car.com/en/cars-for-sale/toyota/corolla-cross/year-2023"),'中古車掲載'!U371,"")</x:f>
      </x:c>
      <x:c r="BB370" s="3" t="str">
        <x:f>IF(AND('中古車掲載'!C371="One2car",'中古車掲載'!F371="ATTO 3",'中古車掲載'!L371="EXTENDED RANGE",'中古車掲載'!J371=2023,ISNUMBER('中古車掲載'!N371),'中古車掲載'!N371&gt;=50000,'中古車掲載'!O371&lt;=100000,'中古車掲載'!AL371=1),'中古車掲載'!U371,"")</x:f>
      </x:c>
      <x:c r="BC370" s="3" t="str">
        <x:f>IF(AND('中古車掲載'!C371="One2car",'中古車掲載'!F371="Corolla Cross",'中古車掲載'!L371="HEV PREMIUM SAFETY",'中古車掲載'!J371=2023,ISNUMBER('中古車掲載'!N371),'中古車掲載'!N371&gt;=50000,'中古車掲載'!O371&lt;=100000,'中古車掲載'!AL371=1,'中古車掲載'!Z371="https://www.one2car.com/en/cars-for-sale/toyota/corolla-cross/year-2023"),'中古車掲載'!U371,"")</x:f>
      </x:c>
      <x:c r="BD370" s="3" t="str">
        <x:f>IF(AND('中古車掲載'!C371="One2car",'中古車掲載'!F371="ATTO 3",'中古車掲載'!L371="EXTENDED RANGE",'中古車掲載'!J371=2023,ISNUMBER('中古車掲載'!N371),'中古車掲載'!N371&gt;=20000,'中古車掲載'!O371&lt;=50000,'中古車掲載'!AL371=1),'中古車掲載'!U371,"")</x:f>
      </x:c>
      <x:c r="BE370" s="3" t="str">
        <x:f>IF(AND('中古車掲載'!C371="One2car",'中古車掲載'!F371="Corolla Cross",'中古車掲載'!L371="HEV PREMIUM SAFETY",'中古車掲載'!J371=2023,ISNUMBER('中古車掲載'!N371),'中古車掲載'!N371&gt;=20000,'中古車掲載'!O371&lt;=50000,'中古車掲載'!AL371=1,'中古車掲載'!Z371="https://www.one2car.com/en/cars-for-sale/toyota/corolla-cross/year-2023"),'中古車掲載'!U371,"")</x:f>
      </x:c>
      <x:c r="BF370" s="3" t="str">
        <x:f>IF(AND('中古車掲載'!C371="One2car",'中古車掲載'!F371="Corolla Cross",'中古車掲載'!L371="HEV PREMIUM",'中古車掲載'!J371=2023,ISNUMBER('中古車掲載'!N371),'中古車掲載'!N371&gt;=20000,'中古車掲載'!O371&lt;=100000,'中古車掲載'!AL371=1,'中古車掲載'!Z371="https://www.one2car.com/en/cars-for-sale/toyota/corolla-cross/year-2023"),'中古車掲載'!U371,"")</x:f>
      </x:c>
      <x:c r="BG370" s="3" t="str">
        <x:f>IF(AND('中古車掲載'!C371="One2car",'中古車掲載'!F371="Corolla Cross",'中古車掲載'!L371="HEV GR SPORT",'中古車掲載'!J371=2023,ISNUMBER('中古車掲載'!N371),'中古車掲載'!N371&gt;=20000,'中古車掲載'!O371&lt;=100000,'中古車掲載'!AL371=1,'中古車掲載'!Z371="https://www.one2car.com/en/cars-for-sale/toyota/corolla-cross/year-2023"),'中古車掲載'!U371,"")</x:f>
      </x:c>
      <x:c r="BH370" s="3" t="str">
        <x:f>IF(AND('中古車掲載'!C371="One2car",'中古車掲載'!F371="DOLPHIN",'中古車掲載'!L371="STANDARD RANGE",'中古車掲載'!J371=2023,ISNUMBER('中古車掲載'!N371),'中古車掲載'!N371&gt;=20000,'中古車掲載'!O371&lt;=100000,'中古車掲載'!AL371=1),'中古車掲載'!U371,"")</x:f>
      </x:c>
      <x:c r="BI370" s="3" t="str">
        <x:v>Taladrod|Corolla Cross|HEV|Unknown</x:v>
      </x:c>
      <x:c r="BJ370" s="3" t="n">
        <x:v>371</x:v>
      </x:c>
      <x:c r="BK370" s="3" t="n">
        <x:f>'中古車掲載'!AM371</x:f>
        <x:v>699000</x:v>
      </x:c>
      <x:c r="BL370" s="3" t="str">
        <x:f>IF(ISNUMBER('中古車掲載'!AN371),'中古車掲載'!AN371,"")</x:f>
      </x:c>
      <x:c r="BM370" s="3"/>
      <x:c r="BN370" s="3"/>
      <x:c r="BO370" s="3"/>
      <x:c r="BP370" s="3"/>
      <x:c r="BQ370" s="3"/>
      <x:c r="BR370" s="3"/>
    </x:row>
    <x:row r="371" ht="22" customHeight="1">
      <x:c r="A371" s="3" t="str">
        <x:v>Hilux Revo</x:v>
      </x:c>
      <x:c r="B371" s="3" t="str">
        <x:v>ICE</x:v>
      </x:c>
      <x:c r="C371" s="3" t="str">
        <x:v>One2car</x:v>
      </x:c>
      <x:c r="D371" s="3" t="str">
        <x:v>Pickup</x:v>
      </x:c>
      <x:c r="E371" s="3" t="str">
        <x:v>Smart cab</x:v>
      </x:c>
      <x:c r="F371" s="3" t="n">
        <x:v>2021</x:v>
      </x:c>
      <x:c r="G371" s="3" t="str">
        <x:v>TOYOTA HILUX REVO 2.4 SMART CAB Z EDITION ENTRY</x:v>
      </x:c>
      <x:c r="H371" s="3" t="str">
        <x:v>100–150千km</x:v>
      </x:c>
      <x:c r="I371" s="3" t="str">
        <x:v>世代不明</x:v>
      </x:c>
      <x:c r="J371" s="22" t="n">
        <x:f>COUNT('中古車掲載'!AM122:AM122)</x:f>
        <x:v>1</x:v>
      </x:c>
      <x:c r="K371" s="22" t="n">
        <x:f>IF(COUNT('中古車掲載'!AM122:AM122)=0,"",QUARTILE('中古車掲載'!AM122:AM122,1))</x:f>
        <x:v>429000</x:v>
      </x:c>
      <x:c r="L371" s="22" t="n">
        <x:f>IF(COUNT('中古車掲載'!AM122:AM122)=0,"",MEDIAN('中古車掲載'!AM122:AM122))</x:f>
        <x:v>429000</x:v>
      </x:c>
      <x:c r="M371" s="22" t="n">
        <x:f>IF(COUNT('中古車掲載'!AM122:AM122)=0,"",QUARTILE('中古車掲載'!AM122:AM122,3))</x:f>
        <x:v>429000</x:v>
      </x:c>
      <x:c r="N371" s="22" t="n">
        <x:f>COUNT('中古車掲載'!AN122:AN122)</x:f>
        <x:v>0</x:v>
      </x:c>
      <x:c r="O371" s="23" t="str">
        <x:f>IF(COUNT('中古車掲載'!AN122:AN122)=0,"",MEDIAN('中古車掲載'!AN122:AN122))</x:f>
      </x:c>
      <x:c r="P371" s="3"/>
      <x:c r="Q371" s="3"/>
      <x:c r="R371" s="3"/>
      <x:c r="S371" s="3"/>
      <x:c r="T371" s="3"/>
      <x:c r="U371" s="3"/>
      <x:c r="V371" s="3"/>
      <x:c r="W371" s="3"/>
      <x:c r="X371" s="3"/>
      <x:c r="Y371" s="3"/>
      <x:c r="Z371" s="3"/>
      <x:c r="AA371" s="3"/>
      <x:c r="AB371" s="3"/>
      <x:c r="AC371" s="3"/>
      <x:c r="AD371" s="3"/>
      <x:c r="AE371" s="3"/>
      <x:c r="AF371" s="3"/>
      <x:c r="AG371" s="3"/>
      <x:c r="AH371" s="3"/>
      <x:c r="AI371" s="3"/>
      <x:c r="AJ371" s="3"/>
      <x:c r="AK371" s="3"/>
      <x:c r="AL371" s="3"/>
      <x:c r="AM371" s="3"/>
      <x:c r="AN371" s="3"/>
      <x:c r="AO371" s="3"/>
      <x:c r="AP371" s="3"/>
      <x:c r="AQ371" s="3"/>
      <x:c r="AR371" s="3"/>
      <x:c r="AS371" s="3"/>
      <x:c r="AT371" s="3"/>
      <x:c r="AU371" s="3"/>
      <x:c r="AV371" s="3"/>
      <x:c r="AW371" s="3"/>
      <x:c r="AX371" s="3"/>
      <x:c r="AY371" s="3"/>
      <x:c r="AZ371" s="3" t="str">
        <x:f>IF(AND('中古車掲載'!C372="One2car",'中古車掲載'!F372="ATTO 3",'中古車掲載'!L372="EXTENDED RANGE",'中古車掲載'!J372=2023,ISNUMBER('中古車掲載'!N372),'中古車掲載'!N372&gt;=20000,'中古車掲載'!O372&lt;=100000,'中古車掲載'!AL372=1),'中古車掲載'!U372,"")</x:f>
      </x:c>
      <x:c r="BA371" s="3" t="str">
        <x:f>IF(AND('中古車掲載'!C372="One2car",'中古車掲載'!F372="Corolla Cross",'中古車掲載'!L372="HEV PREMIUM SAFETY",'中古車掲載'!J372=2023,ISNUMBER('中古車掲載'!N372),'中古車掲載'!N372&gt;=20000,'中古車掲載'!O372&lt;=100000,'中古車掲載'!AL372=1,'中古車掲載'!Z372="https://www.one2car.com/en/cars-for-sale/toyota/corolla-cross/year-2023"),'中古車掲載'!U372,"")</x:f>
      </x:c>
      <x:c r="BB371" s="3" t="str">
        <x:f>IF(AND('中古車掲載'!C372="One2car",'中古車掲載'!F372="ATTO 3",'中古車掲載'!L372="EXTENDED RANGE",'中古車掲載'!J372=2023,ISNUMBER('中古車掲載'!N372),'中古車掲載'!N372&gt;=50000,'中古車掲載'!O372&lt;=100000,'中古車掲載'!AL372=1),'中古車掲載'!U372,"")</x:f>
      </x:c>
      <x:c r="BC371" s="3" t="str">
        <x:f>IF(AND('中古車掲載'!C372="One2car",'中古車掲載'!F372="Corolla Cross",'中古車掲載'!L372="HEV PREMIUM SAFETY",'中古車掲載'!J372=2023,ISNUMBER('中古車掲載'!N372),'中古車掲載'!N372&gt;=50000,'中古車掲載'!O372&lt;=100000,'中古車掲載'!AL372=1,'中古車掲載'!Z372="https://www.one2car.com/en/cars-for-sale/toyota/corolla-cross/year-2023"),'中古車掲載'!U372,"")</x:f>
      </x:c>
      <x:c r="BD371" s="3" t="str">
        <x:f>IF(AND('中古車掲載'!C372="One2car",'中古車掲載'!F372="ATTO 3",'中古車掲載'!L372="EXTENDED RANGE",'中古車掲載'!J372=2023,ISNUMBER('中古車掲載'!N372),'中古車掲載'!N372&gt;=20000,'中古車掲載'!O372&lt;=50000,'中古車掲載'!AL372=1),'中古車掲載'!U372,"")</x:f>
      </x:c>
      <x:c r="BE371" s="3" t="str">
        <x:f>IF(AND('中古車掲載'!C372="One2car",'中古車掲載'!F372="Corolla Cross",'中古車掲載'!L372="HEV PREMIUM SAFETY",'中古車掲載'!J372=2023,ISNUMBER('中古車掲載'!N372),'中古車掲載'!N372&gt;=20000,'中古車掲載'!O372&lt;=50000,'中古車掲載'!AL372=1,'中古車掲載'!Z372="https://www.one2car.com/en/cars-for-sale/toyota/corolla-cross/year-2023"),'中古車掲載'!U372,"")</x:f>
      </x:c>
      <x:c r="BF371" s="3" t="str">
        <x:f>IF(AND('中古車掲載'!C372="One2car",'中古車掲載'!F372="Corolla Cross",'中古車掲載'!L372="HEV PREMIUM",'中古車掲載'!J372=2023,ISNUMBER('中古車掲載'!N372),'中古車掲載'!N372&gt;=20000,'中古車掲載'!O372&lt;=100000,'中古車掲載'!AL372=1,'中古車掲載'!Z372="https://www.one2car.com/en/cars-for-sale/toyota/corolla-cross/year-2023"),'中古車掲載'!U372,"")</x:f>
      </x:c>
      <x:c r="BG371" s="3" t="str">
        <x:f>IF(AND('中古車掲載'!C372="One2car",'中古車掲載'!F372="Corolla Cross",'中古車掲載'!L372="HEV GR SPORT",'中古車掲載'!J372=2023,ISNUMBER('中古車掲載'!N372),'中古車掲載'!N372&gt;=20000,'中古車掲載'!O372&lt;=100000,'中古車掲載'!AL372=1,'中古車掲載'!Z372="https://www.one2car.com/en/cars-for-sale/toyota/corolla-cross/year-2023"),'中古車掲載'!U372,"")</x:f>
      </x:c>
      <x:c r="BH371" s="3" t="str">
        <x:f>IF(AND('中古車掲載'!C372="One2car",'中古車掲載'!F372="DOLPHIN",'中古車掲載'!L372="STANDARD RANGE",'中古車掲載'!J372=2023,ISNUMBER('中古車掲載'!N372),'中古車掲載'!N372&gt;=20000,'中古車掲載'!O372&lt;=100000,'中古車掲載'!AL372=1),'中古車掲載'!U372,"")</x:f>
      </x:c>
      <x:c r="BI371" s="3" t="str">
        <x:v>Taladrod|Corolla Cross|HEV|Unknown</x:v>
      </x:c>
      <x:c r="BJ371" s="3" t="n">
        <x:v>372</x:v>
      </x:c>
      <x:c r="BK371" s="3" t="n">
        <x:f>'中古車掲載'!AM372</x:f>
        <x:v>759000</x:v>
      </x:c>
      <x:c r="BL371" s="3" t="str">
        <x:f>IF(ISNUMBER('中古車掲載'!AN372),'中古車掲載'!AN372,"")</x:f>
      </x:c>
      <x:c r="BM371" s="3"/>
      <x:c r="BN371" s="3"/>
      <x:c r="BO371" s="3"/>
      <x:c r="BP371" s="3"/>
      <x:c r="BQ371" s="3"/>
      <x:c r="BR371" s="3"/>
    </x:row>
    <x:row r="372" ht="22" customHeight="1">
      <x:c r="A372" s="3" t="str">
        <x:v>Hilux Revo</x:v>
      </x:c>
      <x:c r="B372" s="3" t="str">
        <x:v>ICE</x:v>
      </x:c>
      <x:c r="C372" s="3" t="str">
        <x:v>One2car</x:v>
      </x:c>
      <x:c r="D372" s="3" t="str">
        <x:v>Pickup</x:v>
      </x:c>
      <x:c r="E372" s="3" t="str">
        <x:v>Smart cab</x:v>
      </x:c>
      <x:c r="F372" s="3" t="n">
        <x:v>2021</x:v>
      </x:c>
      <x:c r="G372" s="3" t="str">
        <x:v>TOYOTA HILUX REVO 2.4 SMART CAB Z EDITION ENTRY</x:v>
      </x:c>
      <x:c r="H372" s="3" t="str">
        <x:v>150千km以上</x:v>
      </x:c>
      <x:c r="I372" s="3" t="str">
        <x:v>世代不明</x:v>
      </x:c>
      <x:c r="J372" s="22" t="n">
        <x:f>COUNT('中古車掲載'!AM123:AM123)</x:f>
        <x:v>1</x:v>
      </x:c>
      <x:c r="K372" s="22" t="n">
        <x:f>IF(COUNT('中古車掲載'!AM123:AM123)=0,"",QUARTILE('中古車掲載'!AM123:AM123,1))</x:f>
        <x:v>299000</x:v>
      </x:c>
      <x:c r="L372" s="22" t="n">
        <x:f>IF(COUNT('中古車掲載'!AM123:AM123)=0,"",MEDIAN('中古車掲載'!AM123:AM123))</x:f>
        <x:v>299000</x:v>
      </x:c>
      <x:c r="M372" s="22" t="n">
        <x:f>IF(COUNT('中古車掲載'!AM123:AM123)=0,"",QUARTILE('中古車掲載'!AM123:AM123,3))</x:f>
        <x:v>299000</x:v>
      </x:c>
      <x:c r="N372" s="22" t="n">
        <x:f>COUNT('中古車掲載'!AN123:AN123)</x:f>
        <x:v>0</x:v>
      </x:c>
      <x:c r="O372" s="23" t="str">
        <x:f>IF(COUNT('中古車掲載'!AN123:AN123)=0,"",MEDIAN('中古車掲載'!AN123:AN123))</x:f>
      </x:c>
      <x:c r="P372" s="3"/>
      <x:c r="Q372" s="3"/>
      <x:c r="R372" s="3"/>
      <x:c r="S372" s="3"/>
      <x:c r="T372" s="3"/>
      <x:c r="U372" s="3"/>
      <x:c r="V372" s="3"/>
      <x:c r="W372" s="3"/>
      <x:c r="X372" s="3"/>
      <x:c r="Y372" s="3"/>
      <x:c r="Z372" s="3"/>
      <x:c r="AA372" s="3"/>
      <x:c r="AB372" s="3"/>
      <x:c r="AC372" s="3"/>
      <x:c r="AD372" s="3"/>
      <x:c r="AE372" s="3"/>
      <x:c r="AF372" s="3"/>
      <x:c r="AG372" s="3"/>
      <x:c r="AH372" s="3"/>
      <x:c r="AI372" s="3"/>
      <x:c r="AJ372" s="3"/>
      <x:c r="AK372" s="3"/>
      <x:c r="AL372" s="3"/>
      <x:c r="AM372" s="3"/>
      <x:c r="AN372" s="3"/>
      <x:c r="AO372" s="3"/>
      <x:c r="AP372" s="3"/>
      <x:c r="AQ372" s="3"/>
      <x:c r="AR372" s="3"/>
      <x:c r="AS372" s="3"/>
      <x:c r="AT372" s="3"/>
      <x:c r="AU372" s="3"/>
      <x:c r="AV372" s="3"/>
      <x:c r="AW372" s="3"/>
      <x:c r="AX372" s="3"/>
      <x:c r="AY372" s="3"/>
      <x:c r="AZ372" s="3" t="str">
        <x:f>IF(AND('中古車掲載'!C373="One2car",'中古車掲載'!F373="ATTO 3",'中古車掲載'!L373="EXTENDED RANGE",'中古車掲載'!J373=2023,ISNUMBER('中古車掲載'!N373),'中古車掲載'!N373&gt;=20000,'中古車掲載'!O373&lt;=100000,'中古車掲載'!AL373=1),'中古車掲載'!U373,"")</x:f>
      </x:c>
      <x:c r="BA372" s="3" t="str">
        <x:f>IF(AND('中古車掲載'!C373="One2car",'中古車掲載'!F373="Corolla Cross",'中古車掲載'!L373="HEV PREMIUM SAFETY",'中古車掲載'!J373=2023,ISNUMBER('中古車掲載'!N373),'中古車掲載'!N373&gt;=20000,'中古車掲載'!O373&lt;=100000,'中古車掲載'!AL373=1,'中古車掲載'!Z373="https://www.one2car.com/en/cars-for-sale/toyota/corolla-cross/year-2023"),'中古車掲載'!U373,"")</x:f>
      </x:c>
      <x:c r="BB372" s="3" t="str">
        <x:f>IF(AND('中古車掲載'!C373="One2car",'中古車掲載'!F373="ATTO 3",'中古車掲載'!L373="EXTENDED RANGE",'中古車掲載'!J373=2023,ISNUMBER('中古車掲載'!N373),'中古車掲載'!N373&gt;=50000,'中古車掲載'!O373&lt;=100000,'中古車掲載'!AL373=1),'中古車掲載'!U373,"")</x:f>
      </x:c>
      <x:c r="BC372" s="3" t="str">
        <x:f>IF(AND('中古車掲載'!C373="One2car",'中古車掲載'!F373="Corolla Cross",'中古車掲載'!L373="HEV PREMIUM SAFETY",'中古車掲載'!J373=2023,ISNUMBER('中古車掲載'!N373),'中古車掲載'!N373&gt;=50000,'中古車掲載'!O373&lt;=100000,'中古車掲載'!AL373=1,'中古車掲載'!Z373="https://www.one2car.com/en/cars-for-sale/toyota/corolla-cross/year-2023"),'中古車掲載'!U373,"")</x:f>
      </x:c>
      <x:c r="BD372" s="3" t="str">
        <x:f>IF(AND('中古車掲載'!C373="One2car",'中古車掲載'!F373="ATTO 3",'中古車掲載'!L373="EXTENDED RANGE",'中古車掲載'!J373=2023,ISNUMBER('中古車掲載'!N373),'中古車掲載'!N373&gt;=20000,'中古車掲載'!O373&lt;=50000,'中古車掲載'!AL373=1),'中古車掲載'!U373,"")</x:f>
      </x:c>
      <x:c r="BE372" s="3" t="str">
        <x:f>IF(AND('中古車掲載'!C373="One2car",'中古車掲載'!F373="Corolla Cross",'中古車掲載'!L373="HEV PREMIUM SAFETY",'中古車掲載'!J373=2023,ISNUMBER('中古車掲載'!N373),'中古車掲載'!N373&gt;=20000,'中古車掲載'!O373&lt;=50000,'中古車掲載'!AL373=1,'中古車掲載'!Z373="https://www.one2car.com/en/cars-for-sale/toyota/corolla-cross/year-2023"),'中古車掲載'!U373,"")</x:f>
      </x:c>
      <x:c r="BF372" s="3" t="str">
        <x:f>IF(AND('中古車掲載'!C373="One2car",'中古車掲載'!F373="Corolla Cross",'中古車掲載'!L373="HEV PREMIUM",'中古車掲載'!J373=2023,ISNUMBER('中古車掲載'!N373),'中古車掲載'!N373&gt;=20000,'中古車掲載'!O373&lt;=100000,'中古車掲載'!AL373=1,'中古車掲載'!Z373="https://www.one2car.com/en/cars-for-sale/toyota/corolla-cross/year-2023"),'中古車掲載'!U373,"")</x:f>
      </x:c>
      <x:c r="BG372" s="3" t="str">
        <x:f>IF(AND('中古車掲載'!C373="One2car",'中古車掲載'!F373="Corolla Cross",'中古車掲載'!L373="HEV GR SPORT",'中古車掲載'!J373=2023,ISNUMBER('中古車掲載'!N373),'中古車掲載'!N373&gt;=20000,'中古車掲載'!O373&lt;=100000,'中古車掲載'!AL373=1,'中古車掲載'!Z373="https://www.one2car.com/en/cars-for-sale/toyota/corolla-cross/year-2023"),'中古車掲載'!U373,"")</x:f>
      </x:c>
      <x:c r="BH372" s="3" t="str">
        <x:f>IF(AND('中古車掲載'!C373="One2car",'中古車掲載'!F373="DOLPHIN",'中古車掲載'!L373="STANDARD RANGE",'中古車掲載'!J373=2023,ISNUMBER('中古車掲載'!N373),'中古車掲載'!N373&gt;=20000,'中古車掲載'!O373&lt;=100000,'中古車掲載'!AL373=1),'中古車掲載'!U373,"")</x:f>
      </x:c>
      <x:c r="BI372" s="3" t="str">
        <x:v>Taladrod|Corolla Cross|HEV|Unknown</x:v>
      </x:c>
      <x:c r="BJ372" s="3" t="n">
        <x:v>373</x:v>
      </x:c>
      <x:c r="BK372" s="3" t="n">
        <x:f>'中古車掲載'!AM373</x:f>
        <x:v>698000</x:v>
      </x:c>
      <x:c r="BL372" s="3" t="str">
        <x:f>IF(ISNUMBER('中古車掲載'!AN373),'中古車掲載'!AN373,"")</x:f>
      </x:c>
      <x:c r="BM372" s="3"/>
      <x:c r="BN372" s="3"/>
      <x:c r="BO372" s="3"/>
      <x:c r="BP372" s="3"/>
      <x:c r="BQ372" s="3"/>
      <x:c r="BR372" s="3"/>
    </x:row>
    <x:row r="373" ht="22" customHeight="1">
      <x:c r="A373" s="3" t="str">
        <x:v>Hilux Revo</x:v>
      </x:c>
      <x:c r="B373" s="3" t="str">
        <x:v>ICE</x:v>
      </x:c>
      <x:c r="C373" s="3" t="str">
        <x:v>One2car</x:v>
      </x:c>
      <x:c r="D373" s="3" t="str">
        <x:v>Pickup</x:v>
      </x:c>
      <x:c r="E373" s="3" t="str">
        <x:v>Smart cab</x:v>
      </x:c>
      <x:c r="F373" s="3" t="n">
        <x:v>2021</x:v>
      </x:c>
      <x:c r="G373" s="3" t="str">
        <x:v>TOYOTA HILUX REVO 2.4 SMART CAB Z EDITION ENTRY</x:v>
      </x:c>
      <x:c r="H373" s="3" t="str">
        <x:v>&lt;20千km</x:v>
      </x:c>
      <x:c r="I373" s="3" t="str">
        <x:v>世代不明</x:v>
      </x:c>
      <x:c r="J373" s="22" t="n">
        <x:f>COUNT('中古車掲載'!AM124:AM124)</x:f>
        <x:v>1</x:v>
      </x:c>
      <x:c r="K373" s="22" t="n">
        <x:f>IF(COUNT('中古車掲載'!AM124:AM124)=0,"",QUARTILE('中古車掲載'!AM124:AM124,1))</x:f>
        <x:v>399000</x:v>
      </x:c>
      <x:c r="L373" s="22" t="n">
        <x:f>IF(COUNT('中古車掲載'!AM124:AM124)=0,"",MEDIAN('中古車掲載'!AM124:AM124))</x:f>
        <x:v>399000</x:v>
      </x:c>
      <x:c r="M373" s="22" t="n">
        <x:f>IF(COUNT('中古車掲載'!AM124:AM124)=0,"",QUARTILE('中古車掲載'!AM124:AM124,3))</x:f>
        <x:v>399000</x:v>
      </x:c>
      <x:c r="N373" s="22" t="n">
        <x:f>COUNT('中古車掲載'!AN124:AN124)</x:f>
        <x:v>0</x:v>
      </x:c>
      <x:c r="O373" s="23" t="str">
        <x:f>IF(COUNT('中古車掲載'!AN124:AN124)=0,"",MEDIAN('中古車掲載'!AN124:AN124))</x:f>
      </x:c>
      <x:c r="P373" s="3"/>
      <x:c r="Q373" s="3"/>
      <x:c r="R373" s="3"/>
      <x:c r="S373" s="3"/>
      <x:c r="T373" s="3"/>
      <x:c r="U373" s="3"/>
      <x:c r="V373" s="3"/>
      <x:c r="W373" s="3"/>
      <x:c r="X373" s="3"/>
      <x:c r="Y373" s="3"/>
      <x:c r="Z373" s="3"/>
      <x:c r="AA373" s="3"/>
      <x:c r="AB373" s="3"/>
      <x:c r="AC373" s="3"/>
      <x:c r="AD373" s="3"/>
      <x:c r="AE373" s="3"/>
      <x:c r="AF373" s="3"/>
      <x:c r="AG373" s="3"/>
      <x:c r="AH373" s="3"/>
      <x:c r="AI373" s="3"/>
      <x:c r="AJ373" s="3"/>
      <x:c r="AK373" s="3"/>
      <x:c r="AL373" s="3"/>
      <x:c r="AM373" s="3"/>
      <x:c r="AN373" s="3"/>
      <x:c r="AO373" s="3"/>
      <x:c r="AP373" s="3"/>
      <x:c r="AQ373" s="3"/>
      <x:c r="AR373" s="3"/>
      <x:c r="AS373" s="3"/>
      <x:c r="AT373" s="3"/>
      <x:c r="AU373" s="3"/>
      <x:c r="AV373" s="3"/>
      <x:c r="AW373" s="3"/>
      <x:c r="AX373" s="3"/>
      <x:c r="AY373" s="3"/>
      <x:c r="AZ373" s="3" t="str">
        <x:f>IF(AND('中古車掲載'!C374="One2car",'中古車掲載'!F374="ATTO 3",'中古車掲載'!L374="EXTENDED RANGE",'中古車掲載'!J374=2023,ISNUMBER('中古車掲載'!N374),'中古車掲載'!N374&gt;=20000,'中古車掲載'!O374&lt;=100000,'中古車掲載'!AL374=1),'中古車掲載'!U374,"")</x:f>
      </x:c>
      <x:c r="BA373" s="3" t="str">
        <x:f>IF(AND('中古車掲載'!C374="One2car",'中古車掲載'!F374="Corolla Cross",'中古車掲載'!L374="HEV PREMIUM SAFETY",'中古車掲載'!J374=2023,ISNUMBER('中古車掲載'!N374),'中古車掲載'!N374&gt;=20000,'中古車掲載'!O374&lt;=100000,'中古車掲載'!AL374=1,'中古車掲載'!Z374="https://www.one2car.com/en/cars-for-sale/toyota/corolla-cross/year-2023"),'中古車掲載'!U374,"")</x:f>
      </x:c>
      <x:c r="BB373" s="3" t="str">
        <x:f>IF(AND('中古車掲載'!C374="One2car",'中古車掲載'!F374="ATTO 3",'中古車掲載'!L374="EXTENDED RANGE",'中古車掲載'!J374=2023,ISNUMBER('中古車掲載'!N374),'中古車掲載'!N374&gt;=50000,'中古車掲載'!O374&lt;=100000,'中古車掲載'!AL374=1),'中古車掲載'!U374,"")</x:f>
      </x:c>
      <x:c r="BC373" s="3" t="str">
        <x:f>IF(AND('中古車掲載'!C374="One2car",'中古車掲載'!F374="Corolla Cross",'中古車掲載'!L374="HEV PREMIUM SAFETY",'中古車掲載'!J374=2023,ISNUMBER('中古車掲載'!N374),'中古車掲載'!N374&gt;=50000,'中古車掲載'!O374&lt;=100000,'中古車掲載'!AL374=1,'中古車掲載'!Z374="https://www.one2car.com/en/cars-for-sale/toyota/corolla-cross/year-2023"),'中古車掲載'!U374,"")</x:f>
      </x:c>
      <x:c r="BD373" s="3" t="str">
        <x:f>IF(AND('中古車掲載'!C374="One2car",'中古車掲載'!F374="ATTO 3",'中古車掲載'!L374="EXTENDED RANGE",'中古車掲載'!J374=2023,ISNUMBER('中古車掲載'!N374),'中古車掲載'!N374&gt;=20000,'中古車掲載'!O374&lt;=50000,'中古車掲載'!AL374=1),'中古車掲載'!U374,"")</x:f>
      </x:c>
      <x:c r="BE373" s="3" t="str">
        <x:f>IF(AND('中古車掲載'!C374="One2car",'中古車掲載'!F374="Corolla Cross",'中古車掲載'!L374="HEV PREMIUM SAFETY",'中古車掲載'!J374=2023,ISNUMBER('中古車掲載'!N374),'中古車掲載'!N374&gt;=20000,'中古車掲載'!O374&lt;=50000,'中古車掲載'!AL374=1,'中古車掲載'!Z374="https://www.one2car.com/en/cars-for-sale/toyota/corolla-cross/year-2023"),'中古車掲載'!U374,"")</x:f>
      </x:c>
      <x:c r="BF373" s="3" t="str">
        <x:f>IF(AND('中古車掲載'!C374="One2car",'中古車掲載'!F374="Corolla Cross",'中古車掲載'!L374="HEV PREMIUM",'中古車掲載'!J374=2023,ISNUMBER('中古車掲載'!N374),'中古車掲載'!N374&gt;=20000,'中古車掲載'!O374&lt;=100000,'中古車掲載'!AL374=1,'中古車掲載'!Z374="https://www.one2car.com/en/cars-for-sale/toyota/corolla-cross/year-2023"),'中古車掲載'!U374,"")</x:f>
      </x:c>
      <x:c r="BG373" s="3" t="str">
        <x:f>IF(AND('中古車掲載'!C374="One2car",'中古車掲載'!F374="Corolla Cross",'中古車掲載'!L374="HEV GR SPORT",'中古車掲載'!J374=2023,ISNUMBER('中古車掲載'!N374),'中古車掲載'!N374&gt;=20000,'中古車掲載'!O374&lt;=100000,'中古車掲載'!AL374=1,'中古車掲載'!Z374="https://www.one2car.com/en/cars-for-sale/toyota/corolla-cross/year-2023"),'中古車掲載'!U374,"")</x:f>
      </x:c>
      <x:c r="BH373" s="3" t="str">
        <x:f>IF(AND('中古車掲載'!C374="One2car",'中古車掲載'!F374="DOLPHIN",'中古車掲載'!L374="STANDARD RANGE",'中古車掲載'!J374=2023,ISNUMBER('中古車掲載'!N374),'中古車掲載'!N374&gt;=20000,'中古車掲載'!O374&lt;=100000,'中古車掲載'!AL374=1),'中古車掲載'!U374,"")</x:f>
      </x:c>
      <x:c r="BI373" s="3" t="str">
        <x:v>Taladrod|Corolla Cross|HEV|Unknown</x:v>
      </x:c>
      <x:c r="BJ373" s="3" t="n">
        <x:v>374</x:v>
      </x:c>
      <x:c r="BK373" s="3" t="n">
        <x:f>'中古車掲載'!AM374</x:f>
        <x:v>720000</x:v>
      </x:c>
      <x:c r="BL373" s="3" t="str">
        <x:f>IF(ISNUMBER('中古車掲載'!AN374),'中古車掲載'!AN374,"")</x:f>
      </x:c>
      <x:c r="BM373" s="3"/>
      <x:c r="BN373" s="3"/>
      <x:c r="BO373" s="3"/>
      <x:c r="BP373" s="3"/>
      <x:c r="BQ373" s="3"/>
      <x:c r="BR373" s="3"/>
    </x:row>
    <x:row r="374" ht="22" customHeight="1">
      <x:c r="A374" s="3" t="str">
        <x:v>Hilux Revo</x:v>
      </x:c>
      <x:c r="B374" s="3" t="str">
        <x:v>ICE</x:v>
      </x:c>
      <x:c r="C374" s="3" t="str">
        <x:v>One2car</x:v>
      </x:c>
      <x:c r="D374" s="3" t="str">
        <x:v>Pickup</x:v>
      </x:c>
      <x:c r="E374" s="3" t="str">
        <x:v>Smart cab</x:v>
      </x:c>
      <x:c r="F374" s="3" t="n">
        <x:v>2021</x:v>
      </x:c>
      <x:c r="G374" s="3" t="str">
        <x:v>TOYOTA HILUX REVO 2.4 SMART CAB Z EDITION MID</x:v>
      </x:c>
      <x:c r="H374" s="3" t="str">
        <x:v>50–100千km</x:v>
      </x:c>
      <x:c r="I374" s="3" t="str">
        <x:v>世代不明</x:v>
      </x:c>
      <x:c r="J374" s="22" t="n">
        <x:f>COUNT('中古車掲載'!AM125:AM125)</x:f>
        <x:v>1</x:v>
      </x:c>
      <x:c r="K374" s="22" t="n">
        <x:f>IF(COUNT('中古車掲載'!AM125:AM125)=0,"",QUARTILE('中古車掲載'!AM125:AM125,1))</x:f>
        <x:v>399000</x:v>
      </x:c>
      <x:c r="L374" s="22" t="n">
        <x:f>IF(COUNT('中古車掲載'!AM125:AM125)=0,"",MEDIAN('中古車掲載'!AM125:AM125))</x:f>
        <x:v>399000</x:v>
      </x:c>
      <x:c r="M374" s="22" t="n">
        <x:f>IF(COUNT('中古車掲載'!AM125:AM125)=0,"",QUARTILE('中古車掲載'!AM125:AM125,3))</x:f>
        <x:v>399000</x:v>
      </x:c>
      <x:c r="N374" s="22" t="n">
        <x:f>COUNT('中古車掲載'!AN125:AN125)</x:f>
        <x:v>0</x:v>
      </x:c>
      <x:c r="O374" s="23" t="str">
        <x:f>IF(COUNT('中古車掲載'!AN125:AN125)=0,"",MEDIAN('中古車掲載'!AN125:AN125))</x:f>
      </x:c>
      <x:c r="P374" s="3"/>
      <x:c r="Q374" s="3"/>
      <x:c r="R374" s="3"/>
      <x:c r="S374" s="3"/>
      <x:c r="T374" s="3"/>
      <x:c r="U374" s="3"/>
      <x:c r="V374" s="3"/>
      <x:c r="W374" s="3"/>
      <x:c r="X374" s="3"/>
      <x:c r="Y374" s="3"/>
      <x:c r="Z374" s="3"/>
      <x:c r="AA374" s="3"/>
      <x:c r="AB374" s="3"/>
      <x:c r="AC374" s="3"/>
      <x:c r="AD374" s="3"/>
      <x:c r="AE374" s="3"/>
      <x:c r="AF374" s="3"/>
      <x:c r="AG374" s="3"/>
      <x:c r="AH374" s="3"/>
      <x:c r="AI374" s="3"/>
      <x:c r="AJ374" s="3"/>
      <x:c r="AK374" s="3"/>
      <x:c r="AL374" s="3"/>
      <x:c r="AM374" s="3"/>
      <x:c r="AN374" s="3"/>
      <x:c r="AO374" s="3"/>
      <x:c r="AP374" s="3"/>
      <x:c r="AQ374" s="3"/>
      <x:c r="AR374" s="3"/>
      <x:c r="AS374" s="3"/>
      <x:c r="AT374" s="3"/>
      <x:c r="AU374" s="3"/>
      <x:c r="AV374" s="3"/>
      <x:c r="AW374" s="3"/>
      <x:c r="AX374" s="3"/>
      <x:c r="AY374" s="3"/>
      <x:c r="AZ374" s="3" t="str">
        <x:f>IF(AND('中古車掲載'!C375="One2car",'中古車掲載'!F375="ATTO 3",'中古車掲載'!L375="EXTENDED RANGE",'中古車掲載'!J375=2023,ISNUMBER('中古車掲載'!N375),'中古車掲載'!N375&gt;=20000,'中古車掲載'!O375&lt;=100000,'中古車掲載'!AL375=1),'中古車掲載'!U375,"")</x:f>
      </x:c>
      <x:c r="BA374" s="3" t="str">
        <x:f>IF(AND('中古車掲載'!C375="One2car",'中古車掲載'!F375="Corolla Cross",'中古車掲載'!L375="HEV PREMIUM SAFETY",'中古車掲載'!J375=2023,ISNUMBER('中古車掲載'!N375),'中古車掲載'!N375&gt;=20000,'中古車掲載'!O375&lt;=100000,'中古車掲載'!AL375=1,'中古車掲載'!Z375="https://www.one2car.com/en/cars-for-sale/toyota/corolla-cross/year-2023"),'中古車掲載'!U375,"")</x:f>
      </x:c>
      <x:c r="BB374" s="3" t="str">
        <x:f>IF(AND('中古車掲載'!C375="One2car",'中古車掲載'!F375="ATTO 3",'中古車掲載'!L375="EXTENDED RANGE",'中古車掲載'!J375=2023,ISNUMBER('中古車掲載'!N375),'中古車掲載'!N375&gt;=50000,'中古車掲載'!O375&lt;=100000,'中古車掲載'!AL375=1),'中古車掲載'!U375,"")</x:f>
      </x:c>
      <x:c r="BC374" s="3" t="str">
        <x:f>IF(AND('中古車掲載'!C375="One2car",'中古車掲載'!F375="Corolla Cross",'中古車掲載'!L375="HEV PREMIUM SAFETY",'中古車掲載'!J375=2023,ISNUMBER('中古車掲載'!N375),'中古車掲載'!N375&gt;=50000,'中古車掲載'!O375&lt;=100000,'中古車掲載'!AL375=1,'中古車掲載'!Z375="https://www.one2car.com/en/cars-for-sale/toyota/corolla-cross/year-2023"),'中古車掲載'!U375,"")</x:f>
      </x:c>
      <x:c r="BD374" s="3" t="str">
        <x:f>IF(AND('中古車掲載'!C375="One2car",'中古車掲載'!F375="ATTO 3",'中古車掲載'!L375="EXTENDED RANGE",'中古車掲載'!J375=2023,ISNUMBER('中古車掲載'!N375),'中古車掲載'!N375&gt;=20000,'中古車掲載'!O375&lt;=50000,'中古車掲載'!AL375=1),'中古車掲載'!U375,"")</x:f>
      </x:c>
      <x:c r="BE374" s="3" t="str">
        <x:f>IF(AND('中古車掲載'!C375="One2car",'中古車掲載'!F375="Corolla Cross",'中古車掲載'!L375="HEV PREMIUM SAFETY",'中古車掲載'!J375=2023,ISNUMBER('中古車掲載'!N375),'中古車掲載'!N375&gt;=20000,'中古車掲載'!O375&lt;=50000,'中古車掲載'!AL375=1,'中古車掲載'!Z375="https://www.one2car.com/en/cars-for-sale/toyota/corolla-cross/year-2023"),'中古車掲載'!U375,"")</x:f>
      </x:c>
      <x:c r="BF374" s="3" t="str">
        <x:f>IF(AND('中古車掲載'!C375="One2car",'中古車掲載'!F375="Corolla Cross",'中古車掲載'!L375="HEV PREMIUM",'中古車掲載'!J375=2023,ISNUMBER('中古車掲載'!N375),'中古車掲載'!N375&gt;=20000,'中古車掲載'!O375&lt;=100000,'中古車掲載'!AL375=1,'中古車掲載'!Z375="https://www.one2car.com/en/cars-for-sale/toyota/corolla-cross/year-2023"),'中古車掲載'!U375,"")</x:f>
      </x:c>
      <x:c r="BG374" s="3" t="str">
        <x:f>IF(AND('中古車掲載'!C375="One2car",'中古車掲載'!F375="Corolla Cross",'中古車掲載'!L375="HEV GR SPORT",'中古車掲載'!J375=2023,ISNUMBER('中古車掲載'!N375),'中古車掲載'!N375&gt;=20000,'中古車掲載'!O375&lt;=100000,'中古車掲載'!AL375=1,'中古車掲載'!Z375="https://www.one2car.com/en/cars-for-sale/toyota/corolla-cross/year-2023"),'中古車掲載'!U375,"")</x:f>
      </x:c>
      <x:c r="BH374" s="3" t="str">
        <x:f>IF(AND('中古車掲載'!C375="One2car",'中古車掲載'!F375="DOLPHIN",'中古車掲載'!L375="STANDARD RANGE",'中古車掲載'!J375=2023,ISNUMBER('中古車掲載'!N375),'中古車掲載'!N375&gt;=20000,'中古車掲載'!O375&lt;=100000,'中古車掲載'!AL375=1),'中古車掲載'!U375,"")</x:f>
      </x:c>
      <x:c r="BI374" s="3" t="str">
        <x:v>Taladrod|Corolla Cross|HEV|Unknown</x:v>
      </x:c>
      <x:c r="BJ374" s="3" t="n">
        <x:v>375</x:v>
      </x:c>
      <x:c r="BK374" s="3" t="n">
        <x:f>'中古車掲載'!AM375</x:f>
        <x:v>629000</x:v>
      </x:c>
      <x:c r="BL374" s="3" t="str">
        <x:f>IF(ISNUMBER('中古車掲載'!AN375),'中古車掲載'!AN375,"")</x:f>
      </x:c>
      <x:c r="BM374" s="3"/>
      <x:c r="BN374" s="3"/>
      <x:c r="BO374" s="3"/>
      <x:c r="BP374" s="3"/>
      <x:c r="BQ374" s="3"/>
      <x:c r="BR374" s="3"/>
    </x:row>
    <x:row r="375" ht="22" customHeight="1">
      <x:c r="A375" s="3" t="str">
        <x:v>Hilux Revo</x:v>
      </x:c>
      <x:c r="B375" s="3" t="str">
        <x:v>ICE</x:v>
      </x:c>
      <x:c r="C375" s="3" t="str">
        <x:v>One2car</x:v>
      </x:c>
      <x:c r="D375" s="3" t="str">
        <x:v>Pickup</x:v>
      </x:c>
      <x:c r="E375" s="3" t="str">
        <x:v>Smart cab</x:v>
      </x:c>
      <x:c r="F375" s="3" t="n">
        <x:v>2022</x:v>
      </x:c>
      <x:c r="G375" s="3" t="str">
        <x:v>TOYOTA HILUX REVO 2.4 SMART CAB PRERUNNER ENTRY</x:v>
      </x:c>
      <x:c r="H375" s="3" t="str">
        <x:v>&lt;20千km</x:v>
      </x:c>
      <x:c r="I375" s="3" t="str">
        <x:v>世代不明</x:v>
      </x:c>
      <x:c r="J375" s="22" t="n">
        <x:f>COUNT('中古車掲載'!AM127:AM127)</x:f>
        <x:v>1</x:v>
      </x:c>
      <x:c r="K375" s="22" t="n">
        <x:f>IF(COUNT('中古車掲載'!AM127:AM127)=0,"",QUARTILE('中古車掲載'!AM127:AM127,1))</x:f>
        <x:v>535000</x:v>
      </x:c>
      <x:c r="L375" s="22" t="n">
        <x:f>IF(COUNT('中古車掲載'!AM127:AM127)=0,"",MEDIAN('中古車掲載'!AM127:AM127))</x:f>
        <x:v>535000</x:v>
      </x:c>
      <x:c r="M375" s="22" t="n">
        <x:f>IF(COUNT('中古車掲載'!AM127:AM127)=0,"",QUARTILE('中古車掲載'!AM127:AM127,3))</x:f>
        <x:v>535000</x:v>
      </x:c>
      <x:c r="N375" s="22" t="n">
        <x:f>COUNT('中古車掲載'!AN127:AN127)</x:f>
        <x:v>0</x:v>
      </x:c>
      <x:c r="O375" s="23" t="str">
        <x:f>IF(COUNT('中古車掲載'!AN127:AN127)=0,"",MEDIAN('中古車掲載'!AN127:AN127))</x:f>
      </x:c>
      <x:c r="P375" s="3"/>
      <x:c r="Q375" s="3"/>
      <x:c r="R375" s="3"/>
      <x:c r="S375" s="3"/>
      <x:c r="T375" s="3"/>
      <x:c r="U375" s="3"/>
      <x:c r="V375" s="3"/>
      <x:c r="W375" s="3"/>
      <x:c r="X375" s="3"/>
      <x:c r="Y375" s="3"/>
      <x:c r="Z375" s="3"/>
      <x:c r="AA375" s="3"/>
      <x:c r="AB375" s="3"/>
      <x:c r="AC375" s="3"/>
      <x:c r="AD375" s="3"/>
      <x:c r="AE375" s="3"/>
      <x:c r="AF375" s="3"/>
      <x:c r="AG375" s="3"/>
      <x:c r="AH375" s="3"/>
      <x:c r="AI375" s="3"/>
      <x:c r="AJ375" s="3"/>
      <x:c r="AK375" s="3"/>
      <x:c r="AL375" s="3"/>
      <x:c r="AM375" s="3"/>
      <x:c r="AN375" s="3"/>
      <x:c r="AO375" s="3"/>
      <x:c r="AP375" s="3"/>
      <x:c r="AQ375" s="3"/>
      <x:c r="AR375" s="3"/>
      <x:c r="AS375" s="3"/>
      <x:c r="AT375" s="3"/>
      <x:c r="AU375" s="3"/>
      <x:c r="AV375" s="3"/>
      <x:c r="AW375" s="3"/>
      <x:c r="AX375" s="3"/>
      <x:c r="AY375" s="3"/>
      <x:c r="AZ375" s="3" t="str">
        <x:f>IF(AND('中古車掲載'!C376="One2car",'中古車掲載'!F376="ATTO 3",'中古車掲載'!L376="EXTENDED RANGE",'中古車掲載'!J376=2023,ISNUMBER('中古車掲載'!N376),'中古車掲載'!N376&gt;=20000,'中古車掲載'!O376&lt;=100000,'中古車掲載'!AL376=1),'中古車掲載'!U376,"")</x:f>
      </x:c>
      <x:c r="BA375" s="3" t="str">
        <x:f>IF(AND('中古車掲載'!C376="One2car",'中古車掲載'!F376="Corolla Cross",'中古車掲載'!L376="HEV PREMIUM SAFETY",'中古車掲載'!J376=2023,ISNUMBER('中古車掲載'!N376),'中古車掲載'!N376&gt;=20000,'中古車掲載'!O376&lt;=100000,'中古車掲載'!AL376=1,'中古車掲載'!Z376="https://www.one2car.com/en/cars-for-sale/toyota/corolla-cross/year-2023"),'中古車掲載'!U376,"")</x:f>
      </x:c>
      <x:c r="BB375" s="3" t="str">
        <x:f>IF(AND('中古車掲載'!C376="One2car",'中古車掲載'!F376="ATTO 3",'中古車掲載'!L376="EXTENDED RANGE",'中古車掲載'!J376=2023,ISNUMBER('中古車掲載'!N376),'中古車掲載'!N376&gt;=50000,'中古車掲載'!O376&lt;=100000,'中古車掲載'!AL376=1),'中古車掲載'!U376,"")</x:f>
      </x:c>
      <x:c r="BC375" s="3" t="str">
        <x:f>IF(AND('中古車掲載'!C376="One2car",'中古車掲載'!F376="Corolla Cross",'中古車掲載'!L376="HEV PREMIUM SAFETY",'中古車掲載'!J376=2023,ISNUMBER('中古車掲載'!N376),'中古車掲載'!N376&gt;=50000,'中古車掲載'!O376&lt;=100000,'中古車掲載'!AL376=1,'中古車掲載'!Z376="https://www.one2car.com/en/cars-for-sale/toyota/corolla-cross/year-2023"),'中古車掲載'!U376,"")</x:f>
      </x:c>
      <x:c r="BD375" s="3" t="str">
        <x:f>IF(AND('中古車掲載'!C376="One2car",'中古車掲載'!F376="ATTO 3",'中古車掲載'!L376="EXTENDED RANGE",'中古車掲載'!J376=2023,ISNUMBER('中古車掲載'!N376),'中古車掲載'!N376&gt;=20000,'中古車掲載'!O376&lt;=50000,'中古車掲載'!AL376=1),'中古車掲載'!U376,"")</x:f>
      </x:c>
      <x:c r="BE375" s="3" t="str">
        <x:f>IF(AND('中古車掲載'!C376="One2car",'中古車掲載'!F376="Corolla Cross",'中古車掲載'!L376="HEV PREMIUM SAFETY",'中古車掲載'!J376=2023,ISNUMBER('中古車掲載'!N376),'中古車掲載'!N376&gt;=20000,'中古車掲載'!O376&lt;=50000,'中古車掲載'!AL376=1,'中古車掲載'!Z376="https://www.one2car.com/en/cars-for-sale/toyota/corolla-cross/year-2023"),'中古車掲載'!U376,"")</x:f>
      </x:c>
      <x:c r="BF375" s="3" t="str">
        <x:f>IF(AND('中古車掲載'!C376="One2car",'中古車掲載'!F376="Corolla Cross",'中古車掲載'!L376="HEV PREMIUM",'中古車掲載'!J376=2023,ISNUMBER('中古車掲載'!N376),'中古車掲載'!N376&gt;=20000,'中古車掲載'!O376&lt;=100000,'中古車掲載'!AL376=1,'中古車掲載'!Z376="https://www.one2car.com/en/cars-for-sale/toyota/corolla-cross/year-2023"),'中古車掲載'!U376,"")</x:f>
      </x:c>
      <x:c r="BG375" s="3" t="str">
        <x:f>IF(AND('中古車掲載'!C376="One2car",'中古車掲載'!F376="Corolla Cross",'中古車掲載'!L376="HEV GR SPORT",'中古車掲載'!J376=2023,ISNUMBER('中古車掲載'!N376),'中古車掲載'!N376&gt;=20000,'中古車掲載'!O376&lt;=100000,'中古車掲載'!AL376=1,'中古車掲載'!Z376="https://www.one2car.com/en/cars-for-sale/toyota/corolla-cross/year-2023"),'中古車掲載'!U376,"")</x:f>
      </x:c>
      <x:c r="BH375" s="3" t="str">
        <x:f>IF(AND('中古車掲載'!C376="One2car",'中古車掲載'!F376="DOLPHIN",'中古車掲載'!L376="STANDARD RANGE",'中古車掲載'!J376=2023,ISNUMBER('中古車掲載'!N376),'中古車掲載'!N376&gt;=20000,'中古車掲載'!O376&lt;=100000,'中古車掲載'!AL376=1),'中古車掲載'!U376,"")</x:f>
      </x:c>
      <x:c r="BI375" s="3" t="str">
        <x:v>Taladrod|Corolla Cross|HEV|Unknown</x:v>
      </x:c>
      <x:c r="BJ375" s="3" t="n">
        <x:v>376</x:v>
      </x:c>
      <x:c r="BK375" s="3" t="n">
        <x:f>'中古車掲載'!AM376</x:f>
        <x:v>624000</x:v>
      </x:c>
      <x:c r="BL375" s="3" t="str">
        <x:f>IF(ISNUMBER('中古車掲載'!AN376),'中古車掲載'!AN376,"")</x:f>
      </x:c>
      <x:c r="BM375" s="3"/>
      <x:c r="BN375" s="3"/>
      <x:c r="BO375" s="3"/>
      <x:c r="BP375" s="3"/>
      <x:c r="BQ375" s="3"/>
      <x:c r="BR375" s="3"/>
    </x:row>
    <x:row r="376" ht="22" customHeight="1">
      <x:c r="A376" s="3" t="str">
        <x:v>Hilux Revo</x:v>
      </x:c>
      <x:c r="B376" s="3" t="str">
        <x:v>ICE</x:v>
      </x:c>
      <x:c r="C376" s="3" t="str">
        <x:v>One2car</x:v>
      </x:c>
      <x:c r="D376" s="3" t="str">
        <x:v>Pickup</x:v>
      </x:c>
      <x:c r="E376" s="3" t="str">
        <x:v>Smart cab</x:v>
      </x:c>
      <x:c r="F376" s="3" t="n">
        <x:v>2023</x:v>
      </x:c>
      <x:c r="G376" s="3" t="str">
        <x:v>TOYOTA HILUX REVO 2.4 SMART CAB PRERUNNER MID</x:v>
      </x:c>
      <x:c r="H376" s="3" t="str">
        <x:v>20–50千km</x:v>
      </x:c>
      <x:c r="I376" s="3" t="str">
        <x:v>世代不明</x:v>
      </x:c>
      <x:c r="J376" s="22" t="n">
        <x:f>COUNT('中古車掲載'!AM142:AM142)</x:f>
        <x:v>1</x:v>
      </x:c>
      <x:c r="K376" s="22" t="n">
        <x:f>IF(COUNT('中古車掲載'!AM142:AM142)=0,"",QUARTILE('中古車掲載'!AM142:AM142,1))</x:f>
        <x:v>599000</x:v>
      </x:c>
      <x:c r="L376" s="22" t="n">
        <x:f>IF(COUNT('中古車掲載'!AM142:AM142)=0,"",MEDIAN('中古車掲載'!AM142:AM142))</x:f>
        <x:v>599000</x:v>
      </x:c>
      <x:c r="M376" s="22" t="n">
        <x:f>IF(COUNT('中古車掲載'!AM142:AM142)=0,"",QUARTILE('中古車掲載'!AM142:AM142,3))</x:f>
        <x:v>599000</x:v>
      </x:c>
      <x:c r="N376" s="22" t="n">
        <x:f>COUNT('中古車掲載'!AN142:AN142)</x:f>
        <x:v>0</x:v>
      </x:c>
      <x:c r="O376" s="23" t="str">
        <x:f>IF(COUNT('中古車掲載'!AN142:AN142)=0,"",MEDIAN('中古車掲載'!AN142:AN142))</x:f>
      </x:c>
      <x:c r="P376" s="3"/>
      <x:c r="Q376" s="3"/>
      <x:c r="R376" s="3"/>
      <x:c r="S376" s="3"/>
      <x:c r="T376" s="3"/>
      <x:c r="U376" s="3"/>
      <x:c r="V376" s="3"/>
      <x:c r="W376" s="3"/>
      <x:c r="X376" s="3"/>
      <x:c r="Y376" s="3"/>
      <x:c r="Z376" s="3"/>
      <x:c r="AA376" s="3"/>
      <x:c r="AB376" s="3"/>
      <x:c r="AC376" s="3"/>
      <x:c r="AD376" s="3"/>
      <x:c r="AE376" s="3"/>
      <x:c r="AF376" s="3"/>
      <x:c r="AG376" s="3"/>
      <x:c r="AH376" s="3"/>
      <x:c r="AI376" s="3"/>
      <x:c r="AJ376" s="3"/>
      <x:c r="AK376" s="3"/>
      <x:c r="AL376" s="3"/>
      <x:c r="AM376" s="3"/>
      <x:c r="AN376" s="3"/>
      <x:c r="AO376" s="3"/>
      <x:c r="AP376" s="3"/>
      <x:c r="AQ376" s="3"/>
      <x:c r="AR376" s="3"/>
      <x:c r="AS376" s="3"/>
      <x:c r="AT376" s="3"/>
      <x:c r="AU376" s="3"/>
      <x:c r="AV376" s="3"/>
      <x:c r="AW376" s="3"/>
      <x:c r="AX376" s="3"/>
      <x:c r="AY376" s="3"/>
      <x:c r="AZ376" s="3" t="str">
        <x:f>IF(AND('中古車掲載'!C377="One2car",'中古車掲載'!F377="ATTO 3",'中古車掲載'!L377="EXTENDED RANGE",'中古車掲載'!J377=2023,ISNUMBER('中古車掲載'!N377),'中古車掲載'!N377&gt;=20000,'中古車掲載'!O377&lt;=100000,'中古車掲載'!AL377=1),'中古車掲載'!U377,"")</x:f>
      </x:c>
      <x:c r="BA376" s="3" t="str">
        <x:f>IF(AND('中古車掲載'!C377="One2car",'中古車掲載'!F377="Corolla Cross",'中古車掲載'!L377="HEV PREMIUM SAFETY",'中古車掲載'!J377=2023,ISNUMBER('中古車掲載'!N377),'中古車掲載'!N377&gt;=20000,'中古車掲載'!O377&lt;=100000,'中古車掲載'!AL377=1,'中古車掲載'!Z377="https://www.one2car.com/en/cars-for-sale/toyota/corolla-cross/year-2023"),'中古車掲載'!U377,"")</x:f>
      </x:c>
      <x:c r="BB376" s="3" t="str">
        <x:f>IF(AND('中古車掲載'!C377="One2car",'中古車掲載'!F377="ATTO 3",'中古車掲載'!L377="EXTENDED RANGE",'中古車掲載'!J377=2023,ISNUMBER('中古車掲載'!N377),'中古車掲載'!N377&gt;=50000,'中古車掲載'!O377&lt;=100000,'中古車掲載'!AL377=1),'中古車掲載'!U377,"")</x:f>
      </x:c>
      <x:c r="BC376" s="3" t="str">
        <x:f>IF(AND('中古車掲載'!C377="One2car",'中古車掲載'!F377="Corolla Cross",'中古車掲載'!L377="HEV PREMIUM SAFETY",'中古車掲載'!J377=2023,ISNUMBER('中古車掲載'!N377),'中古車掲載'!N377&gt;=50000,'中古車掲載'!O377&lt;=100000,'中古車掲載'!AL377=1,'中古車掲載'!Z377="https://www.one2car.com/en/cars-for-sale/toyota/corolla-cross/year-2023"),'中古車掲載'!U377,"")</x:f>
      </x:c>
      <x:c r="BD376" s="3" t="str">
        <x:f>IF(AND('中古車掲載'!C377="One2car",'中古車掲載'!F377="ATTO 3",'中古車掲載'!L377="EXTENDED RANGE",'中古車掲載'!J377=2023,ISNUMBER('中古車掲載'!N377),'中古車掲載'!N377&gt;=20000,'中古車掲載'!O377&lt;=50000,'中古車掲載'!AL377=1),'中古車掲載'!U377,"")</x:f>
      </x:c>
      <x:c r="BE376" s="3" t="str">
        <x:f>IF(AND('中古車掲載'!C377="One2car",'中古車掲載'!F377="Corolla Cross",'中古車掲載'!L377="HEV PREMIUM SAFETY",'中古車掲載'!J377=2023,ISNUMBER('中古車掲載'!N377),'中古車掲載'!N377&gt;=20000,'中古車掲載'!O377&lt;=50000,'中古車掲載'!AL377=1,'中古車掲載'!Z377="https://www.one2car.com/en/cars-for-sale/toyota/corolla-cross/year-2023"),'中古車掲載'!U377,"")</x:f>
      </x:c>
      <x:c r="BF376" s="3" t="str">
        <x:f>IF(AND('中古車掲載'!C377="One2car",'中古車掲載'!F377="Corolla Cross",'中古車掲載'!L377="HEV PREMIUM",'中古車掲載'!J377=2023,ISNUMBER('中古車掲載'!N377),'中古車掲載'!N377&gt;=20000,'中古車掲載'!O377&lt;=100000,'中古車掲載'!AL377=1,'中古車掲載'!Z377="https://www.one2car.com/en/cars-for-sale/toyota/corolla-cross/year-2023"),'中古車掲載'!U377,"")</x:f>
      </x:c>
      <x:c r="BG376" s="3" t="str">
        <x:f>IF(AND('中古車掲載'!C377="One2car",'中古車掲載'!F377="Corolla Cross",'中古車掲載'!L377="HEV GR SPORT",'中古車掲載'!J377=2023,ISNUMBER('中古車掲載'!N377),'中古車掲載'!N377&gt;=20000,'中古車掲載'!O377&lt;=100000,'中古車掲載'!AL377=1,'中古車掲載'!Z377="https://www.one2car.com/en/cars-for-sale/toyota/corolla-cross/year-2023"),'中古車掲載'!U377,"")</x:f>
      </x:c>
      <x:c r="BH376" s="3" t="str">
        <x:f>IF(AND('中古車掲載'!C377="One2car",'中古車掲載'!F377="DOLPHIN",'中古車掲載'!L377="STANDARD RANGE",'中古車掲載'!J377=2023,ISNUMBER('中古車掲載'!N377),'中古車掲載'!N377&gt;=20000,'中古車掲載'!O377&lt;=100000,'中古車掲載'!AL377=1),'中古車掲載'!U377,"")</x:f>
      </x:c>
      <x:c r="BI376" s="3" t="str">
        <x:v>Taladrod|Corolla Cross|HEV|Unknown</x:v>
      </x:c>
      <x:c r="BJ376" s="3" t="n">
        <x:v>377</x:v>
      </x:c>
      <x:c r="BK376" s="3" t="n">
        <x:f>'中古車掲載'!AM377</x:f>
        <x:v>729000</x:v>
      </x:c>
      <x:c r="BL376" s="3" t="str">
        <x:f>IF(ISNUMBER('中古車掲載'!AN377),'中古車掲載'!AN377,"")</x:f>
      </x:c>
      <x:c r="BM376" s="3"/>
      <x:c r="BN376" s="3"/>
      <x:c r="BO376" s="3"/>
      <x:c r="BP376" s="3"/>
      <x:c r="BQ376" s="3"/>
      <x:c r="BR376" s="3"/>
    </x:row>
    <x:row r="377" ht="22" customHeight="1">
      <x:c r="A377" s="3" t="str">
        <x:v>Hilux Revo</x:v>
      </x:c>
      <x:c r="B377" s="3" t="str">
        <x:v>ICE</x:v>
      </x:c>
      <x:c r="C377" s="3" t="str">
        <x:v>One2car</x:v>
      </x:c>
      <x:c r="D377" s="3" t="str">
        <x:v>Pickup</x:v>
      </x:c>
      <x:c r="E377" s="3" t="str">
        <x:v>Smart cab</x:v>
      </x:c>
      <x:c r="F377" s="3" t="n">
        <x:v>2023</x:v>
      </x:c>
      <x:c r="G377" s="3" t="str">
        <x:v>TOYOTA HILUX REVO 2.4 SMART CAB Z EDITION ENTRY</x:v>
      </x:c>
      <x:c r="H377" s="3" t="str">
        <x:v>150千km以上</x:v>
      </x:c>
      <x:c r="I377" s="3" t="str">
        <x:v>世代不明</x:v>
      </x:c>
      <x:c r="J377" s="22" t="n">
        <x:f>COUNT('中古車掲載'!AM143:AM144)</x:f>
        <x:v>2</x:v>
      </x:c>
      <x:c r="K377" s="22" t="n">
        <x:f>IF(COUNT('中古車掲載'!AM143:AM144)=0,"",QUARTILE('中古車掲載'!AM143:AM144,1))</x:f>
        <x:v>421500</x:v>
      </x:c>
      <x:c r="L377" s="22" t="n">
        <x:f>IF(COUNT('中古車掲載'!AM143:AM144)=0,"",MEDIAN('中古車掲載'!AM143:AM144))</x:f>
        <x:v>424000</x:v>
      </x:c>
      <x:c r="M377" s="22" t="n">
        <x:f>IF(COUNT('中古車掲載'!AM143:AM144)=0,"",QUARTILE('中古車掲載'!AM143:AM144,3))</x:f>
        <x:v>426500</x:v>
      </x:c>
      <x:c r="N377" s="22" t="n">
        <x:f>COUNT('中古車掲載'!AN143:AN144)</x:f>
        <x:v>0</x:v>
      </x:c>
      <x:c r="O377" s="23" t="str">
        <x:f>IF(COUNT('中古車掲載'!AN143:AN144)=0,"",MEDIAN('中古車掲載'!AN143:AN144))</x:f>
      </x:c>
      <x:c r="P377" s="3"/>
      <x:c r="Q377" s="3"/>
      <x:c r="R377" s="3"/>
      <x:c r="S377" s="3"/>
      <x:c r="T377" s="3"/>
      <x:c r="U377" s="3"/>
      <x:c r="V377" s="3"/>
      <x:c r="W377" s="3"/>
      <x:c r="X377" s="3"/>
      <x:c r="Y377" s="3"/>
      <x:c r="Z377" s="3"/>
      <x:c r="AA377" s="3"/>
      <x:c r="AB377" s="3"/>
      <x:c r="AC377" s="3"/>
      <x:c r="AD377" s="3"/>
      <x:c r="AE377" s="3"/>
      <x:c r="AF377" s="3"/>
      <x:c r="AG377" s="3"/>
      <x:c r="AH377" s="3"/>
      <x:c r="AI377" s="3"/>
      <x:c r="AJ377" s="3"/>
      <x:c r="AK377" s="3"/>
      <x:c r="AL377" s="3"/>
      <x:c r="AM377" s="3"/>
      <x:c r="AN377" s="3"/>
      <x:c r="AO377" s="3"/>
      <x:c r="AP377" s="3"/>
      <x:c r="AQ377" s="3"/>
      <x:c r="AR377" s="3"/>
      <x:c r="AS377" s="3"/>
      <x:c r="AT377" s="3"/>
      <x:c r="AU377" s="3"/>
      <x:c r="AV377" s="3"/>
      <x:c r="AW377" s="3"/>
      <x:c r="AX377" s="3"/>
      <x:c r="AY377" s="3"/>
      <x:c r="AZ377" s="3" t="str">
        <x:f>IF(AND('中古車掲載'!C378="One2car",'中古車掲載'!F378="ATTO 3",'中古車掲載'!L378="EXTENDED RANGE",'中古車掲載'!J378=2023,ISNUMBER('中古車掲載'!N378),'中古車掲載'!N378&gt;=20000,'中古車掲載'!O378&lt;=100000,'中古車掲載'!AL378=1),'中古車掲載'!U378,"")</x:f>
      </x:c>
      <x:c r="BA377" s="3" t="str">
        <x:f>IF(AND('中古車掲載'!C378="One2car",'中古車掲載'!F378="Corolla Cross",'中古車掲載'!L378="HEV PREMIUM SAFETY",'中古車掲載'!J378=2023,ISNUMBER('中古車掲載'!N378),'中古車掲載'!N378&gt;=20000,'中古車掲載'!O378&lt;=100000,'中古車掲載'!AL378=1,'中古車掲載'!Z378="https://www.one2car.com/en/cars-for-sale/toyota/corolla-cross/year-2023"),'中古車掲載'!U378,"")</x:f>
      </x:c>
      <x:c r="BB377" s="3" t="str">
        <x:f>IF(AND('中古車掲載'!C378="One2car",'中古車掲載'!F378="ATTO 3",'中古車掲載'!L378="EXTENDED RANGE",'中古車掲載'!J378=2023,ISNUMBER('中古車掲載'!N378),'中古車掲載'!N378&gt;=50000,'中古車掲載'!O378&lt;=100000,'中古車掲載'!AL378=1),'中古車掲載'!U378,"")</x:f>
      </x:c>
      <x:c r="BC377" s="3" t="str">
        <x:f>IF(AND('中古車掲載'!C378="One2car",'中古車掲載'!F378="Corolla Cross",'中古車掲載'!L378="HEV PREMIUM SAFETY",'中古車掲載'!J378=2023,ISNUMBER('中古車掲載'!N378),'中古車掲載'!N378&gt;=50000,'中古車掲載'!O378&lt;=100000,'中古車掲載'!AL378=1,'中古車掲載'!Z378="https://www.one2car.com/en/cars-for-sale/toyota/corolla-cross/year-2023"),'中古車掲載'!U378,"")</x:f>
      </x:c>
      <x:c r="BD377" s="3" t="str">
        <x:f>IF(AND('中古車掲載'!C378="One2car",'中古車掲載'!F378="ATTO 3",'中古車掲載'!L378="EXTENDED RANGE",'中古車掲載'!J378=2023,ISNUMBER('中古車掲載'!N378),'中古車掲載'!N378&gt;=20000,'中古車掲載'!O378&lt;=50000,'中古車掲載'!AL378=1),'中古車掲載'!U378,"")</x:f>
      </x:c>
      <x:c r="BE377" s="3" t="str">
        <x:f>IF(AND('中古車掲載'!C378="One2car",'中古車掲載'!F378="Corolla Cross",'中古車掲載'!L378="HEV PREMIUM SAFETY",'中古車掲載'!J378=2023,ISNUMBER('中古車掲載'!N378),'中古車掲載'!N378&gt;=20000,'中古車掲載'!O378&lt;=50000,'中古車掲載'!AL378=1,'中古車掲載'!Z378="https://www.one2car.com/en/cars-for-sale/toyota/corolla-cross/year-2023"),'中古車掲載'!U378,"")</x:f>
      </x:c>
      <x:c r="BF377" s="3" t="str">
        <x:f>IF(AND('中古車掲載'!C378="One2car",'中古車掲載'!F378="Corolla Cross",'中古車掲載'!L378="HEV PREMIUM",'中古車掲載'!J378=2023,ISNUMBER('中古車掲載'!N378),'中古車掲載'!N378&gt;=20000,'中古車掲載'!O378&lt;=100000,'中古車掲載'!AL378=1,'中古車掲載'!Z378="https://www.one2car.com/en/cars-for-sale/toyota/corolla-cross/year-2023"),'中古車掲載'!U378,"")</x:f>
      </x:c>
      <x:c r="BG377" s="3" t="str">
        <x:f>IF(AND('中古車掲載'!C378="One2car",'中古車掲載'!F378="Corolla Cross",'中古車掲載'!L378="HEV GR SPORT",'中古車掲載'!J378=2023,ISNUMBER('中古車掲載'!N378),'中古車掲載'!N378&gt;=20000,'中古車掲載'!O378&lt;=100000,'中古車掲載'!AL378=1,'中古車掲載'!Z378="https://www.one2car.com/en/cars-for-sale/toyota/corolla-cross/year-2023"),'中古車掲載'!U378,"")</x:f>
      </x:c>
      <x:c r="BH377" s="3" t="str">
        <x:f>IF(AND('中古車掲載'!C378="One2car",'中古車掲載'!F378="DOLPHIN",'中古車掲載'!L378="STANDARD RANGE",'中古車掲載'!J378=2023,ISNUMBER('中古車掲載'!N378),'中古車掲載'!N378&gt;=20000,'中古車掲載'!O378&lt;=100000,'中古車掲載'!AL378=1),'中古車掲載'!U378,"")</x:f>
      </x:c>
      <x:c r="BI377" s="3" t="str">
        <x:v>Taladrod|Corolla Cross|HEV|Unknown</x:v>
      </x:c>
      <x:c r="BJ377" s="3" t="n">
        <x:v>378</x:v>
      </x:c>
      <x:c r="BK377" s="3" t="n">
        <x:f>'中古車掲載'!AM378</x:f>
        <x:v>700000</x:v>
      </x:c>
      <x:c r="BL377" s="3" t="str">
        <x:f>IF(ISNUMBER('中古車掲載'!AN378),'中古車掲載'!AN378,"")</x:f>
      </x:c>
      <x:c r="BM377" s="3"/>
      <x:c r="BN377" s="3"/>
      <x:c r="BO377" s="3"/>
      <x:c r="BP377" s="3"/>
      <x:c r="BQ377" s="3"/>
      <x:c r="BR377" s="3"/>
    </x:row>
    <x:row r="378" ht="22" customHeight="1">
      <x:c r="A378" s="3" t="str">
        <x:v>Hilux Revo</x:v>
      </x:c>
      <x:c r="B378" s="3" t="str">
        <x:v>ICE</x:v>
      </x:c>
      <x:c r="C378" s="3" t="str">
        <x:v>One2car</x:v>
      </x:c>
      <x:c r="D378" s="3" t="str">
        <x:v>Pickup</x:v>
      </x:c>
      <x:c r="E378" s="3" t="str">
        <x:v>Smart cab</x:v>
      </x:c>
      <x:c r="F378" s="3" t="n">
        <x:v>2023</x:v>
      </x:c>
      <x:c r="G378" s="3" t="str">
        <x:v>TOYOTA HILUX REVO 2.4 SMART CAB Z EDITION ENTRY</x:v>
      </x:c>
      <x:c r="H378" s="3" t="str">
        <x:v>20–50千km</x:v>
      </x:c>
      <x:c r="I378" s="3" t="str">
        <x:v>世代不明</x:v>
      </x:c>
      <x:c r="J378" s="22" t="n">
        <x:f>COUNT('中古車掲載'!AM145:AM145)</x:f>
        <x:v>1</x:v>
      </x:c>
      <x:c r="K378" s="22" t="n">
        <x:f>IF(COUNT('中古車掲載'!AM145:AM145)=0,"",QUARTILE('中古車掲載'!AM145:AM145,1))</x:f>
        <x:v>499000</x:v>
      </x:c>
      <x:c r="L378" s="22" t="n">
        <x:f>IF(COUNT('中古車掲載'!AM145:AM145)=0,"",MEDIAN('中古車掲載'!AM145:AM145))</x:f>
        <x:v>499000</x:v>
      </x:c>
      <x:c r="M378" s="22" t="n">
        <x:f>IF(COUNT('中古車掲載'!AM145:AM145)=0,"",QUARTILE('中古車掲載'!AM145:AM145,3))</x:f>
        <x:v>499000</x:v>
      </x:c>
      <x:c r="N378" s="22" t="n">
        <x:f>COUNT('中古車掲載'!AN145:AN145)</x:f>
        <x:v>0</x:v>
      </x:c>
      <x:c r="O378" s="23" t="str">
        <x:f>IF(COUNT('中古車掲載'!AN145:AN145)=0,"",MEDIAN('中古車掲載'!AN145:AN145))</x:f>
      </x:c>
      <x:c r="P378" s="3"/>
      <x:c r="Q378" s="3"/>
      <x:c r="R378" s="3"/>
      <x:c r="S378" s="3"/>
      <x:c r="T378" s="3"/>
      <x:c r="U378" s="3"/>
      <x:c r="V378" s="3"/>
      <x:c r="W378" s="3"/>
      <x:c r="X378" s="3"/>
      <x:c r="Y378" s="3"/>
      <x:c r="Z378" s="3"/>
      <x:c r="AA378" s="3"/>
      <x:c r="AB378" s="3"/>
      <x:c r="AC378" s="3"/>
      <x:c r="AD378" s="3"/>
      <x:c r="AE378" s="3"/>
      <x:c r="AF378" s="3"/>
      <x:c r="AG378" s="3"/>
      <x:c r="AH378" s="3"/>
      <x:c r="AI378" s="3"/>
      <x:c r="AJ378" s="3"/>
      <x:c r="AK378" s="3"/>
      <x:c r="AL378" s="3"/>
      <x:c r="AM378" s="3"/>
      <x:c r="AN378" s="3"/>
      <x:c r="AO378" s="3"/>
      <x:c r="AP378" s="3"/>
      <x:c r="AQ378" s="3"/>
      <x:c r="AR378" s="3"/>
      <x:c r="AS378" s="3"/>
      <x:c r="AT378" s="3"/>
      <x:c r="AU378" s="3"/>
      <x:c r="AV378" s="3"/>
      <x:c r="AW378" s="3"/>
      <x:c r="AX378" s="3"/>
      <x:c r="AY378" s="3"/>
      <x:c r="AZ378" s="3" t="str">
        <x:f>IF(AND('中古車掲載'!C379="One2car",'中古車掲載'!F379="ATTO 3",'中古車掲載'!L379="EXTENDED RANGE",'中古車掲載'!J379=2023,ISNUMBER('中古車掲載'!N379),'中古車掲載'!N379&gt;=20000,'中古車掲載'!O379&lt;=100000,'中古車掲載'!AL379=1),'中古車掲載'!U379,"")</x:f>
      </x:c>
      <x:c r="BA378" s="3" t="str">
        <x:f>IF(AND('中古車掲載'!C379="One2car",'中古車掲載'!F379="Corolla Cross",'中古車掲載'!L379="HEV PREMIUM SAFETY",'中古車掲載'!J379=2023,ISNUMBER('中古車掲載'!N379),'中古車掲載'!N379&gt;=20000,'中古車掲載'!O379&lt;=100000,'中古車掲載'!AL379=1,'中古車掲載'!Z379="https://www.one2car.com/en/cars-for-sale/toyota/corolla-cross/year-2023"),'中古車掲載'!U379,"")</x:f>
      </x:c>
      <x:c r="BB378" s="3" t="str">
        <x:f>IF(AND('中古車掲載'!C379="One2car",'中古車掲載'!F379="ATTO 3",'中古車掲載'!L379="EXTENDED RANGE",'中古車掲載'!J379=2023,ISNUMBER('中古車掲載'!N379),'中古車掲載'!N379&gt;=50000,'中古車掲載'!O379&lt;=100000,'中古車掲載'!AL379=1),'中古車掲載'!U379,"")</x:f>
      </x:c>
      <x:c r="BC378" s="3" t="str">
        <x:f>IF(AND('中古車掲載'!C379="One2car",'中古車掲載'!F379="Corolla Cross",'中古車掲載'!L379="HEV PREMIUM SAFETY",'中古車掲載'!J379=2023,ISNUMBER('中古車掲載'!N379),'中古車掲載'!N379&gt;=50000,'中古車掲載'!O379&lt;=100000,'中古車掲載'!AL379=1,'中古車掲載'!Z379="https://www.one2car.com/en/cars-for-sale/toyota/corolla-cross/year-2023"),'中古車掲載'!U379,"")</x:f>
      </x:c>
      <x:c r="BD378" s="3" t="str">
        <x:f>IF(AND('中古車掲載'!C379="One2car",'中古車掲載'!F379="ATTO 3",'中古車掲載'!L379="EXTENDED RANGE",'中古車掲載'!J379=2023,ISNUMBER('中古車掲載'!N379),'中古車掲載'!N379&gt;=20000,'中古車掲載'!O379&lt;=50000,'中古車掲載'!AL379=1),'中古車掲載'!U379,"")</x:f>
      </x:c>
      <x:c r="BE378" s="3" t="str">
        <x:f>IF(AND('中古車掲載'!C379="One2car",'中古車掲載'!F379="Corolla Cross",'中古車掲載'!L379="HEV PREMIUM SAFETY",'中古車掲載'!J379=2023,ISNUMBER('中古車掲載'!N379),'中古車掲載'!N379&gt;=20000,'中古車掲載'!O379&lt;=50000,'中古車掲載'!AL379=1,'中古車掲載'!Z379="https://www.one2car.com/en/cars-for-sale/toyota/corolla-cross/year-2023"),'中古車掲載'!U379,"")</x:f>
      </x:c>
      <x:c r="BF378" s="3" t="str">
        <x:f>IF(AND('中古車掲載'!C379="One2car",'中古車掲載'!F379="Corolla Cross",'中古車掲載'!L379="HEV PREMIUM",'中古車掲載'!J379=2023,ISNUMBER('中古車掲載'!N379),'中古車掲載'!N379&gt;=20000,'中古車掲載'!O379&lt;=100000,'中古車掲載'!AL379=1,'中古車掲載'!Z379="https://www.one2car.com/en/cars-for-sale/toyota/corolla-cross/year-2023"),'中古車掲載'!U379,"")</x:f>
      </x:c>
      <x:c r="BG378" s="3" t="str">
        <x:f>IF(AND('中古車掲載'!C379="One2car",'中古車掲載'!F379="Corolla Cross",'中古車掲載'!L379="HEV GR SPORT",'中古車掲載'!J379=2023,ISNUMBER('中古車掲載'!N379),'中古車掲載'!N379&gt;=20000,'中古車掲載'!O379&lt;=100000,'中古車掲載'!AL379=1,'中古車掲載'!Z379="https://www.one2car.com/en/cars-for-sale/toyota/corolla-cross/year-2023"),'中古車掲載'!U379,"")</x:f>
      </x:c>
      <x:c r="BH378" s="3" t="str">
        <x:f>IF(AND('中古車掲載'!C379="One2car",'中古車掲載'!F379="DOLPHIN",'中古車掲載'!L379="STANDARD RANGE",'中古車掲載'!J379=2023,ISNUMBER('中古車掲載'!N379),'中古車掲載'!N379&gt;=20000,'中古車掲載'!O379&lt;=100000,'中古車掲載'!AL379=1),'中古車掲載'!U379,"")</x:f>
      </x:c>
      <x:c r="BI378" s="3" t="str">
        <x:v>Taladrod|Corolla Cross|HEV|Unknown</x:v>
      </x:c>
      <x:c r="BJ378" s="3" t="n">
        <x:v>379</x:v>
      </x:c>
      <x:c r="BK378" s="3" t="n">
        <x:f>'中古車掲載'!AM379</x:f>
        <x:v>619000</x:v>
      </x:c>
      <x:c r="BL378" s="3" t="str">
        <x:f>IF(ISNUMBER('中古車掲載'!AN379),'中古車掲載'!AN379,"")</x:f>
      </x:c>
      <x:c r="BM378" s="3"/>
      <x:c r="BN378" s="3"/>
      <x:c r="BO378" s="3"/>
      <x:c r="BP378" s="3"/>
      <x:c r="BQ378" s="3"/>
      <x:c r="BR378" s="3"/>
    </x:row>
    <x:row r="379" ht="22" customHeight="1">
      <x:c r="A379" s="3" t="str">
        <x:v>Hilux Revo</x:v>
      </x:c>
      <x:c r="B379" s="3" t="str">
        <x:v>ICE</x:v>
      </x:c>
      <x:c r="C379" s="3" t="str">
        <x:v>One2car</x:v>
      </x:c>
      <x:c r="D379" s="3" t="str">
        <x:v>Pickup</x:v>
      </x:c>
      <x:c r="E379" s="3" t="str">
        <x:v>Smart cab</x:v>
      </x:c>
      <x:c r="F379" s="3" t="n">
        <x:v>2023</x:v>
      </x:c>
      <x:c r="G379" s="3" t="str">
        <x:v>TOYOTA HILUX REVO 2.4 SMART CAB Z EDITION ENTRY</x:v>
      </x:c>
      <x:c r="H379" s="3" t="str">
        <x:v>50–100千km</x:v>
      </x:c>
      <x:c r="I379" s="3" t="str">
        <x:v>世代不明</x:v>
      </x:c>
      <x:c r="J379" s="22" t="n">
        <x:f>COUNT('中古車掲載'!AM146:AM146)</x:f>
        <x:v>1</x:v>
      </x:c>
      <x:c r="K379" s="22" t="n">
        <x:f>IF(COUNT('中古車掲載'!AM146:AM146)=0,"",QUARTILE('中古車掲載'!AM146:AM146,1))</x:f>
        <x:v>465000</x:v>
      </x:c>
      <x:c r="L379" s="22" t="n">
        <x:f>IF(COUNT('中古車掲載'!AM146:AM146)=0,"",MEDIAN('中古車掲載'!AM146:AM146))</x:f>
        <x:v>465000</x:v>
      </x:c>
      <x:c r="M379" s="22" t="n">
        <x:f>IF(COUNT('中古車掲載'!AM146:AM146)=0,"",QUARTILE('中古車掲載'!AM146:AM146,3))</x:f>
        <x:v>465000</x:v>
      </x:c>
      <x:c r="N379" s="22" t="n">
        <x:f>COUNT('中古車掲載'!AN146:AN146)</x:f>
        <x:v>0</x:v>
      </x:c>
      <x:c r="O379" s="23" t="str">
        <x:f>IF(COUNT('中古車掲載'!AN146:AN146)=0,"",MEDIAN('中古車掲載'!AN146:AN146))</x:f>
      </x:c>
      <x:c r="P379" s="3"/>
      <x:c r="Q379" s="3"/>
      <x:c r="R379" s="3"/>
      <x:c r="S379" s="3"/>
      <x:c r="T379" s="3"/>
      <x:c r="U379" s="3"/>
      <x:c r="V379" s="3"/>
      <x:c r="W379" s="3"/>
      <x:c r="X379" s="3"/>
      <x:c r="Y379" s="3"/>
      <x:c r="Z379" s="3"/>
      <x:c r="AA379" s="3"/>
      <x:c r="AB379" s="3"/>
      <x:c r="AC379" s="3"/>
      <x:c r="AD379" s="3"/>
      <x:c r="AE379" s="3"/>
      <x:c r="AF379" s="3"/>
      <x:c r="AG379" s="3"/>
      <x:c r="AH379" s="3"/>
      <x:c r="AI379" s="3"/>
      <x:c r="AJ379" s="3"/>
      <x:c r="AK379" s="3"/>
      <x:c r="AL379" s="3"/>
      <x:c r="AM379" s="3"/>
      <x:c r="AN379" s="3"/>
      <x:c r="AO379" s="3"/>
      <x:c r="AP379" s="3"/>
      <x:c r="AQ379" s="3"/>
      <x:c r="AR379" s="3"/>
      <x:c r="AS379" s="3"/>
      <x:c r="AT379" s="3"/>
      <x:c r="AU379" s="3"/>
      <x:c r="AV379" s="3"/>
      <x:c r="AW379" s="3"/>
      <x:c r="AX379" s="3"/>
      <x:c r="AY379" s="3"/>
      <x:c r="AZ379" s="3" t="str">
        <x:f>IF(AND('中古車掲載'!C380="One2car",'中古車掲載'!F380="ATTO 3",'中古車掲載'!L380="EXTENDED RANGE",'中古車掲載'!J380=2023,ISNUMBER('中古車掲載'!N380),'中古車掲載'!N380&gt;=20000,'中古車掲載'!O380&lt;=100000,'中古車掲載'!AL380=1),'中古車掲載'!U380,"")</x:f>
      </x:c>
      <x:c r="BA379" s="3" t="str">
        <x:f>IF(AND('中古車掲載'!C380="One2car",'中古車掲載'!F380="Corolla Cross",'中古車掲載'!L380="HEV PREMIUM SAFETY",'中古車掲載'!J380=2023,ISNUMBER('中古車掲載'!N380),'中古車掲載'!N380&gt;=20000,'中古車掲載'!O380&lt;=100000,'中古車掲載'!AL380=1,'中古車掲載'!Z380="https://www.one2car.com/en/cars-for-sale/toyota/corolla-cross/year-2023"),'中古車掲載'!U380,"")</x:f>
      </x:c>
      <x:c r="BB379" s="3" t="str">
        <x:f>IF(AND('中古車掲載'!C380="One2car",'中古車掲載'!F380="ATTO 3",'中古車掲載'!L380="EXTENDED RANGE",'中古車掲載'!J380=2023,ISNUMBER('中古車掲載'!N380),'中古車掲載'!N380&gt;=50000,'中古車掲載'!O380&lt;=100000,'中古車掲載'!AL380=1),'中古車掲載'!U380,"")</x:f>
      </x:c>
      <x:c r="BC379" s="3" t="str">
        <x:f>IF(AND('中古車掲載'!C380="One2car",'中古車掲載'!F380="Corolla Cross",'中古車掲載'!L380="HEV PREMIUM SAFETY",'中古車掲載'!J380=2023,ISNUMBER('中古車掲載'!N380),'中古車掲載'!N380&gt;=50000,'中古車掲載'!O380&lt;=100000,'中古車掲載'!AL380=1,'中古車掲載'!Z380="https://www.one2car.com/en/cars-for-sale/toyota/corolla-cross/year-2023"),'中古車掲載'!U380,"")</x:f>
      </x:c>
      <x:c r="BD379" s="3" t="str">
        <x:f>IF(AND('中古車掲載'!C380="One2car",'中古車掲載'!F380="ATTO 3",'中古車掲載'!L380="EXTENDED RANGE",'中古車掲載'!J380=2023,ISNUMBER('中古車掲載'!N380),'中古車掲載'!N380&gt;=20000,'中古車掲載'!O380&lt;=50000,'中古車掲載'!AL380=1),'中古車掲載'!U380,"")</x:f>
      </x:c>
      <x:c r="BE379" s="3" t="str">
        <x:f>IF(AND('中古車掲載'!C380="One2car",'中古車掲載'!F380="Corolla Cross",'中古車掲載'!L380="HEV PREMIUM SAFETY",'中古車掲載'!J380=2023,ISNUMBER('中古車掲載'!N380),'中古車掲載'!N380&gt;=20000,'中古車掲載'!O380&lt;=50000,'中古車掲載'!AL380=1,'中古車掲載'!Z380="https://www.one2car.com/en/cars-for-sale/toyota/corolla-cross/year-2023"),'中古車掲載'!U380,"")</x:f>
      </x:c>
      <x:c r="BF379" s="3" t="str">
        <x:f>IF(AND('中古車掲載'!C380="One2car",'中古車掲載'!F380="Corolla Cross",'中古車掲載'!L380="HEV PREMIUM",'中古車掲載'!J380=2023,ISNUMBER('中古車掲載'!N380),'中古車掲載'!N380&gt;=20000,'中古車掲載'!O380&lt;=100000,'中古車掲載'!AL380=1,'中古車掲載'!Z380="https://www.one2car.com/en/cars-for-sale/toyota/corolla-cross/year-2023"),'中古車掲載'!U380,"")</x:f>
      </x:c>
      <x:c r="BG379" s="3" t="str">
        <x:f>IF(AND('中古車掲載'!C380="One2car",'中古車掲載'!F380="Corolla Cross",'中古車掲載'!L380="HEV GR SPORT",'中古車掲載'!J380=2023,ISNUMBER('中古車掲載'!N380),'中古車掲載'!N380&gt;=20000,'中古車掲載'!O380&lt;=100000,'中古車掲載'!AL380=1,'中古車掲載'!Z380="https://www.one2car.com/en/cars-for-sale/toyota/corolla-cross/year-2023"),'中古車掲載'!U380,"")</x:f>
      </x:c>
      <x:c r="BH379" s="3" t="str">
        <x:f>IF(AND('中古車掲載'!C380="One2car",'中古車掲載'!F380="DOLPHIN",'中古車掲載'!L380="STANDARD RANGE",'中古車掲載'!J380=2023,ISNUMBER('中古車掲載'!N380),'中古車掲載'!N380&gt;=20000,'中古車掲載'!O380&lt;=100000,'中古車掲載'!AL380=1),'中古車掲載'!U380,"")</x:f>
      </x:c>
      <x:c r="BI379" s="3" t="str">
        <x:v>Taladrod|Corolla Cross|HEV|Unknown</x:v>
      </x:c>
      <x:c r="BJ379" s="3" t="n">
        <x:v>380</x:v>
      </x:c>
      <x:c r="BK379" s="3" t="n">
        <x:f>'中古車掲載'!AM380</x:f>
        <x:v>619000</x:v>
      </x:c>
      <x:c r="BL379" s="3" t="str">
        <x:f>IF(ISNUMBER('中古車掲載'!AN380),'中古車掲載'!AN380,"")</x:f>
      </x:c>
      <x:c r="BM379" s="3"/>
      <x:c r="BN379" s="3"/>
      <x:c r="BO379" s="3"/>
      <x:c r="BP379" s="3"/>
      <x:c r="BQ379" s="3"/>
      <x:c r="BR379" s="3"/>
    </x:row>
    <x:row r="380" ht="22" customHeight="1">
      <x:c r="A380" s="3" t="str">
        <x:v>Hilux Revo</x:v>
      </x:c>
      <x:c r="B380" s="3" t="str">
        <x:v>ICE</x:v>
      </x:c>
      <x:c r="C380" s="3" t="str">
        <x:v>One2car</x:v>
      </x:c>
      <x:c r="D380" s="3" t="str">
        <x:v>Pickup</x:v>
      </x:c>
      <x:c r="E380" s="3" t="str">
        <x:v>Smart cab</x:v>
      </x:c>
      <x:c r="F380" s="3" t="n">
        <x:v>2023</x:v>
      </x:c>
      <x:c r="G380" s="3" t="str">
        <x:v>TOYOTA HILUX REVO 2.8 SMART CAB HIGH</x:v>
      </x:c>
      <x:c r="H380" s="3" t="str">
        <x:v>20–50千km</x:v>
      </x:c>
      <x:c r="I380" s="3" t="str">
        <x:v>世代不明</x:v>
      </x:c>
      <x:c r="J380" s="22" t="n">
        <x:f>COUNT('中古車掲載'!AM150:AM150)</x:f>
        <x:v>1</x:v>
      </x:c>
      <x:c r="K380" s="22" t="n">
        <x:f>IF(COUNT('中古車掲載'!AM150:AM150)=0,"",QUARTILE('中古車掲載'!AM150:AM150,1))</x:f>
        <x:v>834000</x:v>
      </x:c>
      <x:c r="L380" s="22" t="n">
        <x:f>IF(COUNT('中古車掲載'!AM150:AM150)=0,"",MEDIAN('中古車掲載'!AM150:AM150))</x:f>
        <x:v>834000</x:v>
      </x:c>
      <x:c r="M380" s="22" t="n">
        <x:f>IF(COUNT('中古車掲載'!AM150:AM150)=0,"",QUARTILE('中古車掲載'!AM150:AM150,3))</x:f>
        <x:v>834000</x:v>
      </x:c>
      <x:c r="N380" s="22" t="n">
        <x:f>COUNT('中古車掲載'!AN150:AN150)</x:f>
        <x:v>0</x:v>
      </x:c>
      <x:c r="O380" s="23" t="str">
        <x:f>IF(COUNT('中古車掲載'!AN150:AN150)=0,"",MEDIAN('中古車掲載'!AN150:AN150))</x:f>
      </x:c>
      <x:c r="P380" s="3"/>
      <x:c r="Q380" s="3"/>
      <x:c r="R380" s="3"/>
      <x:c r="S380" s="3"/>
      <x:c r="T380" s="3"/>
      <x:c r="U380" s="3"/>
      <x:c r="V380" s="3"/>
      <x:c r="W380" s="3"/>
      <x:c r="X380" s="3"/>
      <x:c r="Y380" s="3"/>
      <x:c r="Z380" s="3"/>
      <x:c r="AA380" s="3"/>
      <x:c r="AB380" s="3"/>
      <x:c r="AC380" s="3"/>
      <x:c r="AD380" s="3"/>
      <x:c r="AE380" s="3"/>
      <x:c r="AF380" s="3"/>
      <x:c r="AG380" s="3"/>
      <x:c r="AH380" s="3"/>
      <x:c r="AI380" s="3"/>
      <x:c r="AJ380" s="3"/>
      <x:c r="AK380" s="3"/>
      <x:c r="AL380" s="3"/>
      <x:c r="AM380" s="3"/>
      <x:c r="AN380" s="3"/>
      <x:c r="AO380" s="3"/>
      <x:c r="AP380" s="3"/>
      <x:c r="AQ380" s="3"/>
      <x:c r="AR380" s="3"/>
      <x:c r="AS380" s="3"/>
      <x:c r="AT380" s="3"/>
      <x:c r="AU380" s="3"/>
      <x:c r="AV380" s="3"/>
      <x:c r="AW380" s="3"/>
      <x:c r="AX380" s="3"/>
      <x:c r="AY380" s="3"/>
      <x:c r="AZ380" s="3" t="str">
        <x:f>IF(AND('中古車掲載'!C381="One2car",'中古車掲載'!F381="ATTO 3",'中古車掲載'!L381="EXTENDED RANGE",'中古車掲載'!J381=2023,ISNUMBER('中古車掲載'!N381),'中古車掲載'!N381&gt;=20000,'中古車掲載'!O381&lt;=100000,'中古車掲載'!AL381=1),'中古車掲載'!U381,"")</x:f>
      </x:c>
      <x:c r="BA380" s="3" t="str">
        <x:f>IF(AND('中古車掲載'!C381="One2car",'中古車掲載'!F381="Corolla Cross",'中古車掲載'!L381="HEV PREMIUM SAFETY",'中古車掲載'!J381=2023,ISNUMBER('中古車掲載'!N381),'中古車掲載'!N381&gt;=20000,'中古車掲載'!O381&lt;=100000,'中古車掲載'!AL381=1,'中古車掲載'!Z381="https://www.one2car.com/en/cars-for-sale/toyota/corolla-cross/year-2023"),'中古車掲載'!U381,"")</x:f>
      </x:c>
      <x:c r="BB380" s="3" t="str">
        <x:f>IF(AND('中古車掲載'!C381="One2car",'中古車掲載'!F381="ATTO 3",'中古車掲載'!L381="EXTENDED RANGE",'中古車掲載'!J381=2023,ISNUMBER('中古車掲載'!N381),'中古車掲載'!N381&gt;=50000,'中古車掲載'!O381&lt;=100000,'中古車掲載'!AL381=1),'中古車掲載'!U381,"")</x:f>
      </x:c>
      <x:c r="BC380" s="3" t="str">
        <x:f>IF(AND('中古車掲載'!C381="One2car",'中古車掲載'!F381="Corolla Cross",'中古車掲載'!L381="HEV PREMIUM SAFETY",'中古車掲載'!J381=2023,ISNUMBER('中古車掲載'!N381),'中古車掲載'!N381&gt;=50000,'中古車掲載'!O381&lt;=100000,'中古車掲載'!AL381=1,'中古車掲載'!Z381="https://www.one2car.com/en/cars-for-sale/toyota/corolla-cross/year-2023"),'中古車掲載'!U381,"")</x:f>
      </x:c>
      <x:c r="BD380" s="3" t="str">
        <x:f>IF(AND('中古車掲載'!C381="One2car",'中古車掲載'!F381="ATTO 3",'中古車掲載'!L381="EXTENDED RANGE",'中古車掲載'!J381=2023,ISNUMBER('中古車掲載'!N381),'中古車掲載'!N381&gt;=20000,'中古車掲載'!O381&lt;=50000,'中古車掲載'!AL381=1),'中古車掲載'!U381,"")</x:f>
      </x:c>
      <x:c r="BE380" s="3" t="str">
        <x:f>IF(AND('中古車掲載'!C381="One2car",'中古車掲載'!F381="Corolla Cross",'中古車掲載'!L381="HEV PREMIUM SAFETY",'中古車掲載'!J381=2023,ISNUMBER('中古車掲載'!N381),'中古車掲載'!N381&gt;=20000,'中古車掲載'!O381&lt;=50000,'中古車掲載'!AL381=1,'中古車掲載'!Z381="https://www.one2car.com/en/cars-for-sale/toyota/corolla-cross/year-2023"),'中古車掲載'!U381,"")</x:f>
      </x:c>
      <x:c r="BF380" s="3" t="str">
        <x:f>IF(AND('中古車掲載'!C381="One2car",'中古車掲載'!F381="Corolla Cross",'中古車掲載'!L381="HEV PREMIUM",'中古車掲載'!J381=2023,ISNUMBER('中古車掲載'!N381),'中古車掲載'!N381&gt;=20000,'中古車掲載'!O381&lt;=100000,'中古車掲載'!AL381=1,'中古車掲載'!Z381="https://www.one2car.com/en/cars-for-sale/toyota/corolla-cross/year-2023"),'中古車掲載'!U381,"")</x:f>
      </x:c>
      <x:c r="BG380" s="3" t="str">
        <x:f>IF(AND('中古車掲載'!C381="One2car",'中古車掲載'!F381="Corolla Cross",'中古車掲載'!L381="HEV GR SPORT",'中古車掲載'!J381=2023,ISNUMBER('中古車掲載'!N381),'中古車掲載'!N381&gt;=20000,'中古車掲載'!O381&lt;=100000,'中古車掲載'!AL381=1,'中古車掲載'!Z381="https://www.one2car.com/en/cars-for-sale/toyota/corolla-cross/year-2023"),'中古車掲載'!U381,"")</x:f>
      </x:c>
      <x:c r="BH380" s="3" t="str">
        <x:f>IF(AND('中古車掲載'!C381="One2car",'中古車掲載'!F381="DOLPHIN",'中古車掲載'!L381="STANDARD RANGE",'中古車掲載'!J381=2023,ISNUMBER('中古車掲載'!N381),'中古車掲載'!N381&gt;=20000,'中古車掲載'!O381&lt;=100000,'中古車掲載'!AL381=1),'中古車掲載'!U381,"")</x:f>
      </x:c>
      <x:c r="BI380" s="3" t="str">
        <x:v>Taladrod|Corolla Cross|HEV|Unknown</x:v>
      </x:c>
      <x:c r="BJ380" s="3" t="n">
        <x:v>381</x:v>
      </x:c>
      <x:c r="BK380" s="3" t="n">
        <x:f>'中古車掲載'!AM381</x:f>
        <x:v>699000</x:v>
      </x:c>
      <x:c r="BL380" s="3" t="str">
        <x:f>IF(ISNUMBER('中古車掲載'!AN381),'中古車掲載'!AN381,"")</x:f>
      </x:c>
      <x:c r="BM380" s="3"/>
      <x:c r="BN380" s="3"/>
      <x:c r="BO380" s="3"/>
      <x:c r="BP380" s="3"/>
      <x:c r="BQ380" s="3"/>
      <x:c r="BR380" s="3"/>
    </x:row>
    <x:row r="381" ht="22" customHeight="1">
      <x:c r="A381" s="3" t="str">
        <x:v>SEAL</x:v>
      </x:c>
      <x:c r="B381" s="3" t="str">
        <x:v>BEV</x:v>
      </x:c>
      <x:c r="C381" s="3" t="str">
        <x:v>One2car</x:v>
      </x:c>
      <x:c r="D381" s="3" t="str">
        <x:v>Sedan</x:v>
      </x:c>
      <x:c r="E381" s="3" t="str"/>
      <x:c r="F381" s="3" t="n">
        <x:v>2023</x:v>
      </x:c>
      <x:c r="G381" s="3" t="str">
        <x:v>DYNAMIC</x:v>
      </x:c>
      <x:c r="H381" s="3" t="str">
        <x:v>100–150千km</x:v>
      </x:c>
      <x:c r="I381" s="3" t="str">
        <x:v>世代不明</x:v>
      </x:c>
      <x:c r="J381" s="22" t="n">
        <x:f>COUNT('中古車掲載'!AM152:AM152)</x:f>
        <x:v>1</x:v>
      </x:c>
      <x:c r="K381" s="22" t="n">
        <x:f>IF(COUNT('中古車掲載'!AM152:AM152)=0,"",QUARTILE('中古車掲載'!AM152:AM152,1))</x:f>
        <x:v>589000</x:v>
      </x:c>
      <x:c r="L381" s="22" t="n">
        <x:f>IF(COUNT('中古車掲載'!AM152:AM152)=0,"",MEDIAN('中古車掲載'!AM152:AM152))</x:f>
        <x:v>589000</x:v>
      </x:c>
      <x:c r="M381" s="22" t="n">
        <x:f>IF(COUNT('中古車掲載'!AM152:AM152)=0,"",QUARTILE('中古車掲載'!AM152:AM152,3))</x:f>
        <x:v>589000</x:v>
      </x:c>
      <x:c r="N381" s="22" t="n">
        <x:f>COUNT('中古車掲載'!AN152:AN152)</x:f>
        <x:v>1</x:v>
      </x:c>
      <x:c r="O381" s="23" t="n">
        <x:f>IF(COUNT('中古車掲載'!AN152:AN152)=0,"",MEDIAN('中古車掲載'!AN152:AN152))</x:f>
        <x:v>0.44452830188679243</x:v>
      </x:c>
      <x:c r="P381" s="3"/>
      <x:c r="Q381" s="3"/>
      <x:c r="R381" s="3"/>
      <x:c r="S381" s="3"/>
      <x:c r="T381" s="3"/>
      <x:c r="U381" s="3"/>
      <x:c r="V381" s="3"/>
      <x:c r="W381" s="3"/>
      <x:c r="X381" s="3"/>
      <x:c r="Y381" s="3"/>
      <x:c r="Z381" s="3"/>
      <x:c r="AA381" s="3"/>
      <x:c r="AB381" s="3"/>
      <x:c r="AC381" s="3"/>
      <x:c r="AD381" s="3"/>
      <x:c r="AE381" s="3"/>
      <x:c r="AF381" s="3"/>
      <x:c r="AG381" s="3"/>
      <x:c r="AH381" s="3"/>
      <x:c r="AI381" s="3"/>
      <x:c r="AJ381" s="3"/>
      <x:c r="AK381" s="3"/>
      <x:c r="AL381" s="3"/>
      <x:c r="AM381" s="3"/>
      <x:c r="AN381" s="3"/>
      <x:c r="AO381" s="3"/>
      <x:c r="AP381" s="3"/>
      <x:c r="AQ381" s="3"/>
      <x:c r="AR381" s="3"/>
      <x:c r="AS381" s="3"/>
      <x:c r="AT381" s="3"/>
      <x:c r="AU381" s="3"/>
      <x:c r="AV381" s="3"/>
      <x:c r="AW381" s="3"/>
      <x:c r="AX381" s="3"/>
      <x:c r="AY381" s="3"/>
      <x:c r="AZ381" s="3" t="str">
        <x:f>IF(AND('中古車掲載'!C382="One2car",'中古車掲載'!F382="ATTO 3",'中古車掲載'!L382="EXTENDED RANGE",'中古車掲載'!J382=2023,ISNUMBER('中古車掲載'!N382),'中古車掲載'!N382&gt;=20000,'中古車掲載'!O382&lt;=100000,'中古車掲載'!AL382=1),'中古車掲載'!U382,"")</x:f>
      </x:c>
      <x:c r="BA381" s="3" t="str">
        <x:f>IF(AND('中古車掲載'!C382="One2car",'中古車掲載'!F382="Corolla Cross",'中古車掲載'!L382="HEV PREMIUM SAFETY",'中古車掲載'!J382=2023,ISNUMBER('中古車掲載'!N382),'中古車掲載'!N382&gt;=20000,'中古車掲載'!O382&lt;=100000,'中古車掲載'!AL382=1,'中古車掲載'!Z382="https://www.one2car.com/en/cars-for-sale/toyota/corolla-cross/year-2023"),'中古車掲載'!U382,"")</x:f>
      </x:c>
      <x:c r="BB381" s="3" t="str">
        <x:f>IF(AND('中古車掲載'!C382="One2car",'中古車掲載'!F382="ATTO 3",'中古車掲載'!L382="EXTENDED RANGE",'中古車掲載'!J382=2023,ISNUMBER('中古車掲載'!N382),'中古車掲載'!N382&gt;=50000,'中古車掲載'!O382&lt;=100000,'中古車掲載'!AL382=1),'中古車掲載'!U382,"")</x:f>
      </x:c>
      <x:c r="BC381" s="3" t="str">
        <x:f>IF(AND('中古車掲載'!C382="One2car",'中古車掲載'!F382="Corolla Cross",'中古車掲載'!L382="HEV PREMIUM SAFETY",'中古車掲載'!J382=2023,ISNUMBER('中古車掲載'!N382),'中古車掲載'!N382&gt;=50000,'中古車掲載'!O382&lt;=100000,'中古車掲載'!AL382=1,'中古車掲載'!Z382="https://www.one2car.com/en/cars-for-sale/toyota/corolla-cross/year-2023"),'中古車掲載'!U382,"")</x:f>
      </x:c>
      <x:c r="BD381" s="3" t="str">
        <x:f>IF(AND('中古車掲載'!C382="One2car",'中古車掲載'!F382="ATTO 3",'中古車掲載'!L382="EXTENDED RANGE",'中古車掲載'!J382=2023,ISNUMBER('中古車掲載'!N382),'中古車掲載'!N382&gt;=20000,'中古車掲載'!O382&lt;=50000,'中古車掲載'!AL382=1),'中古車掲載'!U382,"")</x:f>
      </x:c>
      <x:c r="BE381" s="3" t="str">
        <x:f>IF(AND('中古車掲載'!C382="One2car",'中古車掲載'!F382="Corolla Cross",'中古車掲載'!L382="HEV PREMIUM SAFETY",'中古車掲載'!J382=2023,ISNUMBER('中古車掲載'!N382),'中古車掲載'!N382&gt;=20000,'中古車掲載'!O382&lt;=50000,'中古車掲載'!AL382=1,'中古車掲載'!Z382="https://www.one2car.com/en/cars-for-sale/toyota/corolla-cross/year-2023"),'中古車掲載'!U382,"")</x:f>
      </x:c>
      <x:c r="BF381" s="3" t="str">
        <x:f>IF(AND('中古車掲載'!C382="One2car",'中古車掲載'!F382="Corolla Cross",'中古車掲載'!L382="HEV PREMIUM",'中古車掲載'!J382=2023,ISNUMBER('中古車掲載'!N382),'中古車掲載'!N382&gt;=20000,'中古車掲載'!O382&lt;=100000,'中古車掲載'!AL382=1,'中古車掲載'!Z382="https://www.one2car.com/en/cars-for-sale/toyota/corolla-cross/year-2023"),'中古車掲載'!U382,"")</x:f>
      </x:c>
      <x:c r="BG381" s="3" t="str">
        <x:f>IF(AND('中古車掲載'!C382="One2car",'中古車掲載'!F382="Corolla Cross",'中古車掲載'!L382="HEV GR SPORT",'中古車掲載'!J382=2023,ISNUMBER('中古車掲載'!N382),'中古車掲載'!N382&gt;=20000,'中古車掲載'!O382&lt;=100000,'中古車掲載'!AL382=1,'中古車掲載'!Z382="https://www.one2car.com/en/cars-for-sale/toyota/corolla-cross/year-2023"),'中古車掲載'!U382,"")</x:f>
      </x:c>
      <x:c r="BH381" s="3" t="str">
        <x:f>IF(AND('中古車掲載'!C382="One2car",'中古車掲載'!F382="DOLPHIN",'中古車掲載'!L382="STANDARD RANGE",'中古車掲載'!J382=2023,ISNUMBER('中古車掲載'!N382),'中古車掲載'!N382&gt;=20000,'中古車掲載'!O382&lt;=100000,'中古車掲載'!AL382=1),'中古車掲載'!U382,"")</x:f>
      </x:c>
      <x:c r="BI381" s="3" t="str">
        <x:v>Taladrod|Corolla Cross|HEV|Unknown</x:v>
      </x:c>
      <x:c r="BJ381" s="3" t="n">
        <x:v>382</x:v>
      </x:c>
      <x:c r="BK381" s="3" t="n">
        <x:f>'中古車掲載'!AM382</x:f>
        <x:v>820000</x:v>
      </x:c>
      <x:c r="BL381" s="3" t="n">
        <x:f>IF(ISNUMBER('中古車掲載'!AN382),'中古車掲載'!AN382,"")</x:f>
        <x:v>0.6539074960127592</x:v>
      </x:c>
      <x:c r="BM381" s="3"/>
      <x:c r="BN381" s="3"/>
      <x:c r="BO381" s="3"/>
      <x:c r="BP381" s="3"/>
      <x:c r="BQ381" s="3"/>
      <x:c r="BR381" s="3"/>
    </x:row>
    <x:row r="382" ht="22" customHeight="1">
      <x:c r="A382" s="3" t="str">
        <x:v>SEAL</x:v>
      </x:c>
      <x:c r="B382" s="3" t="str">
        <x:v>BEV</x:v>
      </x:c>
      <x:c r="C382" s="3" t="str">
        <x:v>One2car</x:v>
      </x:c>
      <x:c r="D382" s="3" t="str">
        <x:v>Sedan</x:v>
      </x:c>
      <x:c r="E382" s="3" t="str"/>
      <x:c r="F382" s="3" t="n">
        <x:v>2023</x:v>
      </x:c>
      <x:c r="G382" s="3" t="str">
        <x:v>PREMIUM</x:v>
      </x:c>
      <x:c r="H382" s="3" t="str">
        <x:v>50–100千km</x:v>
      </x:c>
      <x:c r="I382" s="3" t="str">
        <x:v>世代不明</x:v>
      </x:c>
      <x:c r="J382" s="22" t="n">
        <x:f>COUNT('中古車掲載'!AM153:AM153)</x:f>
        <x:v>1</x:v>
      </x:c>
      <x:c r="K382" s="22" t="n">
        <x:f>IF(COUNT('中古車掲載'!AM153:AM153)=0,"",QUARTILE('中古車掲載'!AM153:AM153,1))</x:f>
        <x:v>727000</x:v>
      </x:c>
      <x:c r="L382" s="22" t="n">
        <x:f>IF(COUNT('中古車掲載'!AM153:AM153)=0,"",MEDIAN('中古車掲載'!AM153:AM153))</x:f>
        <x:v>727000</x:v>
      </x:c>
      <x:c r="M382" s="22" t="n">
        <x:f>IF(COUNT('中古車掲載'!AM153:AM153)=0,"",QUARTILE('中古車掲載'!AM153:AM153,3))</x:f>
        <x:v>727000</x:v>
      </x:c>
      <x:c r="N382" s="22" t="n">
        <x:f>COUNT('中古車掲載'!AN153:AN153)</x:f>
        <x:v>1</x:v>
      </x:c>
      <x:c r="O382" s="23" t="n">
        <x:f>IF(COUNT('中古車掲載'!AN153:AN153)=0,"",MEDIAN('中古車掲載'!AN153:AN153))</x:f>
        <x:v>0.5017253278122843</x:v>
      </x:c>
      <x:c r="P382" s="3"/>
      <x:c r="Q382" s="3"/>
      <x:c r="R382" s="3"/>
      <x:c r="S382" s="3"/>
      <x:c r="T382" s="3"/>
      <x:c r="U382" s="3"/>
      <x:c r="V382" s="3"/>
      <x:c r="W382" s="3"/>
      <x:c r="X382" s="3"/>
      <x:c r="Y382" s="3"/>
      <x:c r="Z382" s="3"/>
      <x:c r="AA382" s="3"/>
      <x:c r="AB382" s="3"/>
      <x:c r="AC382" s="3"/>
      <x:c r="AD382" s="3"/>
      <x:c r="AE382" s="3"/>
      <x:c r="AF382" s="3"/>
      <x:c r="AG382" s="3"/>
      <x:c r="AH382" s="3"/>
      <x:c r="AI382" s="3"/>
      <x:c r="AJ382" s="3"/>
      <x:c r="AK382" s="3"/>
      <x:c r="AL382" s="3"/>
      <x:c r="AM382" s="3"/>
      <x:c r="AN382" s="3"/>
      <x:c r="AO382" s="3"/>
      <x:c r="AP382" s="3"/>
      <x:c r="AQ382" s="3"/>
      <x:c r="AR382" s="3"/>
      <x:c r="AS382" s="3"/>
      <x:c r="AT382" s="3"/>
      <x:c r="AU382" s="3"/>
      <x:c r="AV382" s="3"/>
      <x:c r="AW382" s="3"/>
      <x:c r="AX382" s="3"/>
      <x:c r="AY382" s="3"/>
      <x:c r="AZ382" s="3" t="str">
        <x:f>IF(AND('中古車掲載'!C383="One2car",'中古車掲載'!F383="ATTO 3",'中古車掲載'!L383="EXTENDED RANGE",'中古車掲載'!J383=2023,ISNUMBER('中古車掲載'!N383),'中古車掲載'!N383&gt;=20000,'中古車掲載'!O383&lt;=100000,'中古車掲載'!AL383=1),'中古車掲載'!U383,"")</x:f>
      </x:c>
      <x:c r="BA382" s="3" t="str">
        <x:f>IF(AND('中古車掲載'!C383="One2car",'中古車掲載'!F383="Corolla Cross",'中古車掲載'!L383="HEV PREMIUM SAFETY",'中古車掲載'!J383=2023,ISNUMBER('中古車掲載'!N383),'中古車掲載'!N383&gt;=20000,'中古車掲載'!O383&lt;=100000,'中古車掲載'!AL383=1,'中古車掲載'!Z383="https://www.one2car.com/en/cars-for-sale/toyota/corolla-cross/year-2023"),'中古車掲載'!U383,"")</x:f>
      </x:c>
      <x:c r="BB382" s="3" t="str">
        <x:f>IF(AND('中古車掲載'!C383="One2car",'中古車掲載'!F383="ATTO 3",'中古車掲載'!L383="EXTENDED RANGE",'中古車掲載'!J383=2023,ISNUMBER('中古車掲載'!N383),'中古車掲載'!N383&gt;=50000,'中古車掲載'!O383&lt;=100000,'中古車掲載'!AL383=1),'中古車掲載'!U383,"")</x:f>
      </x:c>
      <x:c r="BC382" s="3" t="str">
        <x:f>IF(AND('中古車掲載'!C383="One2car",'中古車掲載'!F383="Corolla Cross",'中古車掲載'!L383="HEV PREMIUM SAFETY",'中古車掲載'!J383=2023,ISNUMBER('中古車掲載'!N383),'中古車掲載'!N383&gt;=50000,'中古車掲載'!O383&lt;=100000,'中古車掲載'!AL383=1,'中古車掲載'!Z383="https://www.one2car.com/en/cars-for-sale/toyota/corolla-cross/year-2023"),'中古車掲載'!U383,"")</x:f>
      </x:c>
      <x:c r="BD382" s="3" t="str">
        <x:f>IF(AND('中古車掲載'!C383="One2car",'中古車掲載'!F383="ATTO 3",'中古車掲載'!L383="EXTENDED RANGE",'中古車掲載'!J383=2023,ISNUMBER('中古車掲載'!N383),'中古車掲載'!N383&gt;=20000,'中古車掲載'!O383&lt;=50000,'中古車掲載'!AL383=1),'中古車掲載'!U383,"")</x:f>
      </x:c>
      <x:c r="BE382" s="3" t="str">
        <x:f>IF(AND('中古車掲載'!C383="One2car",'中古車掲載'!F383="Corolla Cross",'中古車掲載'!L383="HEV PREMIUM SAFETY",'中古車掲載'!J383=2023,ISNUMBER('中古車掲載'!N383),'中古車掲載'!N383&gt;=20000,'中古車掲載'!O383&lt;=50000,'中古車掲載'!AL383=1,'中古車掲載'!Z383="https://www.one2car.com/en/cars-for-sale/toyota/corolla-cross/year-2023"),'中古車掲載'!U383,"")</x:f>
      </x:c>
      <x:c r="BF382" s="3" t="str">
        <x:f>IF(AND('中古車掲載'!C383="One2car",'中古車掲載'!F383="Corolla Cross",'中古車掲載'!L383="HEV PREMIUM",'中古車掲載'!J383=2023,ISNUMBER('中古車掲載'!N383),'中古車掲載'!N383&gt;=20000,'中古車掲載'!O383&lt;=100000,'中古車掲載'!AL383=1,'中古車掲載'!Z383="https://www.one2car.com/en/cars-for-sale/toyota/corolla-cross/year-2023"),'中古車掲載'!U383,"")</x:f>
      </x:c>
      <x:c r="BG382" s="3" t="str">
        <x:f>IF(AND('中古車掲載'!C383="One2car",'中古車掲載'!F383="Corolla Cross",'中古車掲載'!L383="HEV GR SPORT",'中古車掲載'!J383=2023,ISNUMBER('中古車掲載'!N383),'中古車掲載'!N383&gt;=20000,'中古車掲載'!O383&lt;=100000,'中古車掲載'!AL383=1,'中古車掲載'!Z383="https://www.one2car.com/en/cars-for-sale/toyota/corolla-cross/year-2023"),'中古車掲載'!U383,"")</x:f>
      </x:c>
      <x:c r="BH382" s="3" t="str">
        <x:f>IF(AND('中古車掲載'!C383="One2car",'中古車掲載'!F383="DOLPHIN",'中古車掲載'!L383="STANDARD RANGE",'中古車掲載'!J383=2023,ISNUMBER('中古車掲載'!N383),'中古車掲載'!N383&gt;=20000,'中古車掲載'!O383&lt;=100000,'中古車掲載'!AL383=1),'中古車掲載'!U383,"")</x:f>
      </x:c>
      <x:c r="BI382" s="3" t="str">
        <x:v>Taladrod|Corolla Cross|HEV|Unknown</x:v>
      </x:c>
      <x:c r="BJ382" s="3" t="n">
        <x:v>383</x:v>
      </x:c>
      <x:c r="BK382" s="3" t="n">
        <x:f>'中古車掲載'!AM383</x:f>
        <x:v>839000</x:v>
      </x:c>
      <x:c r="BL382" s="3" t="n">
        <x:f>IF(ISNUMBER('中古車掲載'!AN383),'中古車掲載'!AN383,"")</x:f>
        <x:v>0.6690590111642744</x:v>
      </x:c>
      <x:c r="BM382" s="3"/>
      <x:c r="BN382" s="3"/>
      <x:c r="BO382" s="3"/>
      <x:c r="BP382" s="3"/>
      <x:c r="BQ382" s="3"/>
      <x:c r="BR382" s="3"/>
    </x:row>
    <x:row r="383" ht="22" customHeight="1">
      <x:c r="A383" s="3" t="str">
        <x:v>SEAL</x:v>
      </x:c>
      <x:c r="B383" s="3" t="str">
        <x:v>BEV</x:v>
      </x:c>
      <x:c r="C383" s="3" t="str">
        <x:v>One2car</x:v>
      </x:c>
      <x:c r="D383" s="3" t="str">
        <x:v>Sedan</x:v>
      </x:c>
      <x:c r="E383" s="3" t="str"/>
      <x:c r="F383" s="3" t="n">
        <x:v>2024</x:v>
      </x:c>
      <x:c r="G383" s="3" t="str">
        <x:v>DYNAMIC</x:v>
      </x:c>
      <x:c r="H383" s="3" t="str">
        <x:v>&lt;20千km</x:v>
      </x:c>
      <x:c r="I383" s="3" t="str">
        <x:v>世代不明</x:v>
      </x:c>
      <x:c r="J383" s="22" t="n">
        <x:f>COUNT('中古車掲載'!AM154:AM154)</x:f>
        <x:v>1</x:v>
      </x:c>
      <x:c r="K383" s="22" t="n">
        <x:f>IF(COUNT('中古車掲載'!AM154:AM154)=0,"",QUARTILE('中古車掲載'!AM154:AM154,1))</x:f>
        <x:v>659000</x:v>
      </x:c>
      <x:c r="L383" s="22" t="n">
        <x:f>IF(COUNT('中古車掲載'!AM154:AM154)=0,"",MEDIAN('中古車掲載'!AM154:AM154))</x:f>
        <x:v>659000</x:v>
      </x:c>
      <x:c r="M383" s="22" t="n">
        <x:f>IF(COUNT('中古車掲載'!AM154:AM154)=0,"",QUARTILE('中古車掲載'!AM154:AM154,3))</x:f>
        <x:v>659000</x:v>
      </x:c>
      <x:c r="N383" s="22" t="n">
        <x:f>COUNT('中古車掲載'!AN154:AN154)</x:f>
        <x:v>1</x:v>
      </x:c>
      <x:c r="O383" s="23" t="n">
        <x:f>IF(COUNT('中古車掲載'!AN154:AN154)=0,"",MEDIAN('中古車掲載'!AN154:AN154))</x:f>
        <x:v>0.49735849056603776</x:v>
      </x:c>
      <x:c r="P383" s="3"/>
      <x:c r="Q383" s="3"/>
      <x:c r="R383" s="3"/>
      <x:c r="S383" s="3"/>
      <x:c r="T383" s="3"/>
      <x:c r="U383" s="3"/>
      <x:c r="V383" s="3"/>
      <x:c r="W383" s="3"/>
      <x:c r="X383" s="3"/>
      <x:c r="Y383" s="3"/>
      <x:c r="Z383" s="3"/>
      <x:c r="AA383" s="3"/>
      <x:c r="AB383" s="3"/>
      <x:c r="AC383" s="3"/>
      <x:c r="AD383" s="3"/>
      <x:c r="AE383" s="3"/>
      <x:c r="AF383" s="3"/>
      <x:c r="AG383" s="3"/>
      <x:c r="AH383" s="3"/>
      <x:c r="AI383" s="3"/>
      <x:c r="AJ383" s="3"/>
      <x:c r="AK383" s="3"/>
      <x:c r="AL383" s="3"/>
      <x:c r="AM383" s="3"/>
      <x:c r="AN383" s="3"/>
      <x:c r="AO383" s="3"/>
      <x:c r="AP383" s="3"/>
      <x:c r="AQ383" s="3"/>
      <x:c r="AR383" s="3"/>
      <x:c r="AS383" s="3"/>
      <x:c r="AT383" s="3"/>
      <x:c r="AU383" s="3"/>
      <x:c r="AV383" s="3"/>
      <x:c r="AW383" s="3"/>
      <x:c r="AX383" s="3"/>
      <x:c r="AY383" s="3"/>
      <x:c r="AZ383" s="3" t="str">
        <x:f>IF(AND('中古車掲載'!C384="One2car",'中古車掲載'!F384="ATTO 3",'中古車掲載'!L384="EXTENDED RANGE",'中古車掲載'!J384=2023,ISNUMBER('中古車掲載'!N384),'中古車掲載'!N384&gt;=20000,'中古車掲載'!O384&lt;=100000,'中古車掲載'!AL384=1),'中古車掲載'!U384,"")</x:f>
      </x:c>
      <x:c r="BA383" s="3" t="str">
        <x:f>IF(AND('中古車掲載'!C384="One2car",'中古車掲載'!F384="Corolla Cross",'中古車掲載'!L384="HEV PREMIUM SAFETY",'中古車掲載'!J384=2023,ISNUMBER('中古車掲載'!N384),'中古車掲載'!N384&gt;=20000,'中古車掲載'!O384&lt;=100000,'中古車掲載'!AL384=1,'中古車掲載'!Z384="https://www.one2car.com/en/cars-for-sale/toyota/corolla-cross/year-2023"),'中古車掲載'!U384,"")</x:f>
      </x:c>
      <x:c r="BB383" s="3" t="str">
        <x:f>IF(AND('中古車掲載'!C384="One2car",'中古車掲載'!F384="ATTO 3",'中古車掲載'!L384="EXTENDED RANGE",'中古車掲載'!J384=2023,ISNUMBER('中古車掲載'!N384),'中古車掲載'!N384&gt;=50000,'中古車掲載'!O384&lt;=100000,'中古車掲載'!AL384=1),'中古車掲載'!U384,"")</x:f>
      </x:c>
      <x:c r="BC383" s="3" t="str">
        <x:f>IF(AND('中古車掲載'!C384="One2car",'中古車掲載'!F384="Corolla Cross",'中古車掲載'!L384="HEV PREMIUM SAFETY",'中古車掲載'!J384=2023,ISNUMBER('中古車掲載'!N384),'中古車掲載'!N384&gt;=50000,'中古車掲載'!O384&lt;=100000,'中古車掲載'!AL384=1,'中古車掲載'!Z384="https://www.one2car.com/en/cars-for-sale/toyota/corolla-cross/year-2023"),'中古車掲載'!U384,"")</x:f>
      </x:c>
      <x:c r="BD383" s="3" t="str">
        <x:f>IF(AND('中古車掲載'!C384="One2car",'中古車掲載'!F384="ATTO 3",'中古車掲載'!L384="EXTENDED RANGE",'中古車掲載'!J384=2023,ISNUMBER('中古車掲載'!N384),'中古車掲載'!N384&gt;=20000,'中古車掲載'!O384&lt;=50000,'中古車掲載'!AL384=1),'中古車掲載'!U384,"")</x:f>
      </x:c>
      <x:c r="BE383" s="3" t="str">
        <x:f>IF(AND('中古車掲載'!C384="One2car",'中古車掲載'!F384="Corolla Cross",'中古車掲載'!L384="HEV PREMIUM SAFETY",'中古車掲載'!J384=2023,ISNUMBER('中古車掲載'!N384),'中古車掲載'!N384&gt;=20000,'中古車掲載'!O384&lt;=50000,'中古車掲載'!AL384=1,'中古車掲載'!Z384="https://www.one2car.com/en/cars-for-sale/toyota/corolla-cross/year-2023"),'中古車掲載'!U384,"")</x:f>
      </x:c>
      <x:c r="BF383" s="3" t="str">
        <x:f>IF(AND('中古車掲載'!C384="One2car",'中古車掲載'!F384="Corolla Cross",'中古車掲載'!L384="HEV PREMIUM",'中古車掲載'!J384=2023,ISNUMBER('中古車掲載'!N384),'中古車掲載'!N384&gt;=20000,'中古車掲載'!O384&lt;=100000,'中古車掲載'!AL384=1,'中古車掲載'!Z384="https://www.one2car.com/en/cars-for-sale/toyota/corolla-cross/year-2023"),'中古車掲載'!U384,"")</x:f>
      </x:c>
      <x:c r="BG383" s="3" t="str">
        <x:f>IF(AND('中古車掲載'!C384="One2car",'中古車掲載'!F384="Corolla Cross",'中古車掲載'!L384="HEV GR SPORT",'中古車掲載'!J384=2023,ISNUMBER('中古車掲載'!N384),'中古車掲載'!N384&gt;=20000,'中古車掲載'!O384&lt;=100000,'中古車掲載'!AL384=1,'中古車掲載'!Z384="https://www.one2car.com/en/cars-for-sale/toyota/corolla-cross/year-2023"),'中古車掲載'!U384,"")</x:f>
      </x:c>
      <x:c r="BH383" s="3" t="str">
        <x:f>IF(AND('中古車掲載'!C384="One2car",'中古車掲載'!F384="DOLPHIN",'中古車掲載'!L384="STANDARD RANGE",'中古車掲載'!J384=2023,ISNUMBER('中古車掲載'!N384),'中古車掲載'!N384&gt;=20000,'中古車掲載'!O384&lt;=100000,'中古車掲載'!AL384=1),'中古車掲載'!U384,"")</x:f>
      </x:c>
      <x:c r="BI383" s="3" t="str">
        <x:v>Taladrod|Corolla Cross|HEV|Unknown</x:v>
      </x:c>
      <x:c r="BJ383" s="3" t="n">
        <x:v>384</x:v>
      </x:c>
      <x:c r="BK383" s="3" t="n">
        <x:f>'中古車掲載'!AM384</x:f>
        <x:v>829000</x:v>
      </x:c>
      <x:c r="BL383" s="3" t="n">
        <x:f>IF(ISNUMBER('中古車掲載'!AN384),'中古車掲載'!AN384,"")</x:f>
        <x:v>0.6610845295055822</x:v>
      </x:c>
      <x:c r="BM383" s="3"/>
      <x:c r="BN383" s="3"/>
      <x:c r="BO383" s="3"/>
      <x:c r="BP383" s="3"/>
      <x:c r="BQ383" s="3"/>
      <x:c r="BR383" s="3"/>
    </x:row>
    <x:row r="384" ht="22" customHeight="1">
      <x:c r="A384" s="3" t="str">
        <x:v>SEAL</x:v>
      </x:c>
      <x:c r="B384" s="3" t="str">
        <x:v>BEV</x:v>
      </x:c>
      <x:c r="C384" s="3" t="str">
        <x:v>One2car</x:v>
      </x:c>
      <x:c r="D384" s="3" t="str">
        <x:v>Sedan</x:v>
      </x:c>
      <x:c r="E384" s="3" t="str"/>
      <x:c r="F384" s="3" t="n">
        <x:v>2024</x:v>
      </x:c>
      <x:c r="G384" s="3" t="str">
        <x:v>PERFORMANCE</x:v>
      </x:c>
      <x:c r="H384" s="3" t="str">
        <x:v>20–50千km</x:v>
      </x:c>
      <x:c r="I384" s="3" t="str">
        <x:v>世代不明</x:v>
      </x:c>
      <x:c r="J384" s="22" t="n">
        <x:f>COUNT('中古車掲載'!AM155:AM155)</x:f>
        <x:v>1</x:v>
      </x:c>
      <x:c r="K384" s="22" t="n">
        <x:f>IF(COUNT('中古車掲載'!AM155:AM155)=0,"",QUARTILE('中古車掲載'!AM155:AM155,1))</x:f>
        <x:v>799000</x:v>
      </x:c>
      <x:c r="L384" s="22" t="n">
        <x:f>IF(COUNT('中古車掲載'!AM155:AM155)=0,"",MEDIAN('中古車掲載'!AM155:AM155))</x:f>
        <x:v>799000</x:v>
      </x:c>
      <x:c r="M384" s="22" t="n">
        <x:f>IF(COUNT('中古車掲載'!AM155:AM155)=0,"",QUARTILE('中古車掲載'!AM155:AM155,3))</x:f>
        <x:v>799000</x:v>
      </x:c>
      <x:c r="N384" s="22" t="n">
        <x:f>COUNT('中古車掲載'!AN155:AN155)</x:f>
        <x:v>0</x:v>
      </x:c>
      <x:c r="O384" s="23" t="str">
        <x:f>IF(COUNT('中古車掲載'!AN155:AN155)=0,"",MEDIAN('中古車掲載'!AN155:AN155))</x:f>
      </x:c>
      <x:c r="P384" s="3"/>
      <x:c r="Q384" s="3"/>
      <x:c r="R384" s="3"/>
      <x:c r="S384" s="3"/>
      <x:c r="T384" s="3"/>
      <x:c r="U384" s="3"/>
      <x:c r="V384" s="3"/>
      <x:c r="W384" s="3"/>
      <x:c r="X384" s="3"/>
      <x:c r="Y384" s="3"/>
      <x:c r="Z384" s="3"/>
      <x:c r="AA384" s="3"/>
      <x:c r="AB384" s="3"/>
      <x:c r="AC384" s="3"/>
      <x:c r="AD384" s="3"/>
      <x:c r="AE384" s="3"/>
      <x:c r="AF384" s="3"/>
      <x:c r="AG384" s="3"/>
      <x:c r="AH384" s="3"/>
      <x:c r="AI384" s="3"/>
      <x:c r="AJ384" s="3"/>
      <x:c r="AK384" s="3"/>
      <x:c r="AL384" s="3"/>
      <x:c r="AM384" s="3"/>
      <x:c r="AN384" s="3"/>
      <x:c r="AO384" s="3"/>
      <x:c r="AP384" s="3"/>
      <x:c r="AQ384" s="3"/>
      <x:c r="AR384" s="3"/>
      <x:c r="AS384" s="3"/>
      <x:c r="AT384" s="3"/>
      <x:c r="AU384" s="3"/>
      <x:c r="AV384" s="3"/>
      <x:c r="AW384" s="3"/>
      <x:c r="AX384" s="3"/>
      <x:c r="AY384" s="3"/>
      <x:c r="AZ384" s="3" t="str">
        <x:f>IF(AND('中古車掲載'!C385="One2car",'中古車掲載'!F385="ATTO 3",'中古車掲載'!L385="EXTENDED RANGE",'中古車掲載'!J385=2023,ISNUMBER('中古車掲載'!N385),'中古車掲載'!N385&gt;=20000,'中古車掲載'!O385&lt;=100000,'中古車掲載'!AL385=1),'中古車掲載'!U385,"")</x:f>
      </x:c>
      <x:c r="BA384" s="3" t="str">
        <x:f>IF(AND('中古車掲載'!C385="One2car",'中古車掲載'!F385="Corolla Cross",'中古車掲載'!L385="HEV PREMIUM SAFETY",'中古車掲載'!J385=2023,ISNUMBER('中古車掲載'!N385),'中古車掲載'!N385&gt;=20000,'中古車掲載'!O385&lt;=100000,'中古車掲載'!AL385=1,'中古車掲載'!Z385="https://www.one2car.com/en/cars-for-sale/toyota/corolla-cross/year-2023"),'中古車掲載'!U385,"")</x:f>
      </x:c>
      <x:c r="BB384" s="3" t="str">
        <x:f>IF(AND('中古車掲載'!C385="One2car",'中古車掲載'!F385="ATTO 3",'中古車掲載'!L385="EXTENDED RANGE",'中古車掲載'!J385=2023,ISNUMBER('中古車掲載'!N385),'中古車掲載'!N385&gt;=50000,'中古車掲載'!O385&lt;=100000,'中古車掲載'!AL385=1),'中古車掲載'!U385,"")</x:f>
      </x:c>
      <x:c r="BC384" s="3" t="str">
        <x:f>IF(AND('中古車掲載'!C385="One2car",'中古車掲載'!F385="Corolla Cross",'中古車掲載'!L385="HEV PREMIUM SAFETY",'中古車掲載'!J385=2023,ISNUMBER('中古車掲載'!N385),'中古車掲載'!N385&gt;=50000,'中古車掲載'!O385&lt;=100000,'中古車掲載'!AL385=1,'中古車掲載'!Z385="https://www.one2car.com/en/cars-for-sale/toyota/corolla-cross/year-2023"),'中古車掲載'!U385,"")</x:f>
      </x:c>
      <x:c r="BD384" s="3" t="str">
        <x:f>IF(AND('中古車掲載'!C385="One2car",'中古車掲載'!F385="ATTO 3",'中古車掲載'!L385="EXTENDED RANGE",'中古車掲載'!J385=2023,ISNUMBER('中古車掲載'!N385),'中古車掲載'!N385&gt;=20000,'中古車掲載'!O385&lt;=50000,'中古車掲載'!AL385=1),'中古車掲載'!U385,"")</x:f>
      </x:c>
      <x:c r="BE384" s="3" t="str">
        <x:f>IF(AND('中古車掲載'!C385="One2car",'中古車掲載'!F385="Corolla Cross",'中古車掲載'!L385="HEV PREMIUM SAFETY",'中古車掲載'!J385=2023,ISNUMBER('中古車掲載'!N385),'中古車掲載'!N385&gt;=20000,'中古車掲載'!O385&lt;=50000,'中古車掲載'!AL385=1,'中古車掲載'!Z385="https://www.one2car.com/en/cars-for-sale/toyota/corolla-cross/year-2023"),'中古車掲載'!U385,"")</x:f>
      </x:c>
      <x:c r="BF384" s="3" t="str">
        <x:f>IF(AND('中古車掲載'!C385="One2car",'中古車掲載'!F385="Corolla Cross",'中古車掲載'!L385="HEV PREMIUM",'中古車掲載'!J385=2023,ISNUMBER('中古車掲載'!N385),'中古車掲載'!N385&gt;=20000,'中古車掲載'!O385&lt;=100000,'中古車掲載'!AL385=1,'中古車掲載'!Z385="https://www.one2car.com/en/cars-for-sale/toyota/corolla-cross/year-2023"),'中古車掲載'!U385,"")</x:f>
      </x:c>
      <x:c r="BG384" s="3" t="str">
        <x:f>IF(AND('中古車掲載'!C385="One2car",'中古車掲載'!F385="Corolla Cross",'中古車掲載'!L385="HEV GR SPORT",'中古車掲載'!J385=2023,ISNUMBER('中古車掲載'!N385),'中古車掲載'!N385&gt;=20000,'中古車掲載'!O385&lt;=100000,'中古車掲載'!AL385=1,'中古車掲載'!Z385="https://www.one2car.com/en/cars-for-sale/toyota/corolla-cross/year-2023"),'中古車掲載'!U385,"")</x:f>
      </x:c>
      <x:c r="BH384" s="3" t="str">
        <x:f>IF(AND('中古車掲載'!C385="One2car",'中古車掲載'!F385="DOLPHIN",'中古車掲載'!L385="STANDARD RANGE",'中古車掲載'!J385=2023,ISNUMBER('中古車掲載'!N385),'中古車掲載'!N385&gt;=20000,'中古車掲載'!O385&lt;=100000,'中古車掲載'!AL385=1),'中古車掲載'!U385,"")</x:f>
      </x:c>
      <x:c r="BI384" s="3" t="str">
        <x:v>Taladrod|Corolla Cross|HEV|Unknown</x:v>
      </x:c>
      <x:c r="BJ384" s="3" t="n">
        <x:v>385</x:v>
      </x:c>
      <x:c r="BK384" s="3" t="n">
        <x:f>'中古車掲載'!AM385</x:f>
        <x:v>780000</x:v>
      </x:c>
      <x:c r="BL384" s="3" t="n">
        <x:f>IF(ISNUMBER('中古車掲載'!AN385),'中古車掲載'!AN385,"")</x:f>
        <x:v>0.6220095693779905</x:v>
      </x:c>
      <x:c r="BM384" s="3"/>
      <x:c r="BN384" s="3"/>
      <x:c r="BO384" s="3"/>
      <x:c r="BP384" s="3"/>
      <x:c r="BQ384" s="3"/>
      <x:c r="BR384" s="3"/>
    </x:row>
    <x:row r="385" ht="22" customHeight="1">
      <x:c r="A385" s="3" t="str">
        <x:v>SEAL</x:v>
      </x:c>
      <x:c r="B385" s="3" t="str">
        <x:v>BEV</x:v>
      </x:c>
      <x:c r="C385" s="3" t="str">
        <x:v>One2car</x:v>
      </x:c>
      <x:c r="D385" s="3" t="str">
        <x:v>Sedan</x:v>
      </x:c>
      <x:c r="E385" s="3" t="str"/>
      <x:c r="F385" s="3" t="n">
        <x:v>2024</x:v>
      </x:c>
      <x:c r="G385" s="3" t="str">
        <x:v>PERFORMANCE</x:v>
      </x:c>
      <x:c r="H385" s="3" t="str">
        <x:v>50–100千km</x:v>
      </x:c>
      <x:c r="I385" s="3" t="str">
        <x:v>世代不明</x:v>
      </x:c>
      <x:c r="J385" s="22" t="n">
        <x:f>COUNT('中古車掲載'!AM156:AM156)</x:f>
        <x:v>1</x:v>
      </x:c>
      <x:c r="K385" s="22" t="n">
        <x:f>IF(COUNT('中古車掲載'!AM156:AM156)=0,"",QUARTILE('中古車掲載'!AM156:AM156,1))</x:f>
        <x:v>829000</x:v>
      </x:c>
      <x:c r="L385" s="22" t="n">
        <x:f>IF(COUNT('中古車掲載'!AM156:AM156)=0,"",MEDIAN('中古車掲載'!AM156:AM156))</x:f>
        <x:v>829000</x:v>
      </x:c>
      <x:c r="M385" s="22" t="n">
        <x:f>IF(COUNT('中古車掲載'!AM156:AM156)=0,"",QUARTILE('中古車掲載'!AM156:AM156,3))</x:f>
        <x:v>829000</x:v>
      </x:c>
      <x:c r="N385" s="22" t="n">
        <x:f>COUNT('中古車掲載'!AN156:AN156)</x:f>
        <x:v>0</x:v>
      </x:c>
      <x:c r="O385" s="23" t="str">
        <x:f>IF(COUNT('中古車掲載'!AN156:AN156)=0,"",MEDIAN('中古車掲載'!AN156:AN156))</x:f>
      </x:c>
      <x:c r="P385" s="3"/>
      <x:c r="Q385" s="3"/>
      <x:c r="R385" s="3"/>
      <x:c r="S385" s="3"/>
      <x:c r="T385" s="3"/>
      <x:c r="U385" s="3"/>
      <x:c r="V385" s="3"/>
      <x:c r="W385" s="3"/>
      <x:c r="X385" s="3"/>
      <x:c r="Y385" s="3"/>
      <x:c r="Z385" s="3"/>
      <x:c r="AA385" s="3"/>
      <x:c r="AB385" s="3"/>
      <x:c r="AC385" s="3"/>
      <x:c r="AD385" s="3"/>
      <x:c r="AE385" s="3"/>
      <x:c r="AF385" s="3"/>
      <x:c r="AG385" s="3"/>
      <x:c r="AH385" s="3"/>
      <x:c r="AI385" s="3"/>
      <x:c r="AJ385" s="3"/>
      <x:c r="AK385" s="3"/>
      <x:c r="AL385" s="3"/>
      <x:c r="AM385" s="3"/>
      <x:c r="AN385" s="3"/>
      <x:c r="AO385" s="3"/>
      <x:c r="AP385" s="3"/>
      <x:c r="AQ385" s="3"/>
      <x:c r="AR385" s="3"/>
      <x:c r="AS385" s="3"/>
      <x:c r="AT385" s="3"/>
      <x:c r="AU385" s="3"/>
      <x:c r="AV385" s="3"/>
      <x:c r="AW385" s="3"/>
      <x:c r="AX385" s="3"/>
      <x:c r="AY385" s="3"/>
      <x:c r="AZ385" s="3" t="str">
        <x:f>IF(AND('中古車掲載'!C386="One2car",'中古車掲載'!F386="ATTO 3",'中古車掲載'!L386="EXTENDED RANGE",'中古車掲載'!J386=2023,ISNUMBER('中古車掲載'!N386),'中古車掲載'!N386&gt;=20000,'中古車掲載'!O386&lt;=100000,'中古車掲載'!AL386=1),'中古車掲載'!U386,"")</x:f>
      </x:c>
      <x:c r="BA385" s="3" t="str">
        <x:f>IF(AND('中古車掲載'!C386="One2car",'中古車掲載'!F386="Corolla Cross",'中古車掲載'!L386="HEV PREMIUM SAFETY",'中古車掲載'!J386=2023,ISNUMBER('中古車掲載'!N386),'中古車掲載'!N386&gt;=20000,'中古車掲載'!O386&lt;=100000,'中古車掲載'!AL386=1,'中古車掲載'!Z386="https://www.one2car.com/en/cars-for-sale/toyota/corolla-cross/year-2023"),'中古車掲載'!U386,"")</x:f>
      </x:c>
      <x:c r="BB385" s="3" t="str">
        <x:f>IF(AND('中古車掲載'!C386="One2car",'中古車掲載'!F386="ATTO 3",'中古車掲載'!L386="EXTENDED RANGE",'中古車掲載'!J386=2023,ISNUMBER('中古車掲載'!N386),'中古車掲載'!N386&gt;=50000,'中古車掲載'!O386&lt;=100000,'中古車掲載'!AL386=1),'中古車掲載'!U386,"")</x:f>
      </x:c>
      <x:c r="BC385" s="3" t="str">
        <x:f>IF(AND('中古車掲載'!C386="One2car",'中古車掲載'!F386="Corolla Cross",'中古車掲載'!L386="HEV PREMIUM SAFETY",'中古車掲載'!J386=2023,ISNUMBER('中古車掲載'!N386),'中古車掲載'!N386&gt;=50000,'中古車掲載'!O386&lt;=100000,'中古車掲載'!AL386=1,'中古車掲載'!Z386="https://www.one2car.com/en/cars-for-sale/toyota/corolla-cross/year-2023"),'中古車掲載'!U386,"")</x:f>
      </x:c>
      <x:c r="BD385" s="3" t="str">
        <x:f>IF(AND('中古車掲載'!C386="One2car",'中古車掲載'!F386="ATTO 3",'中古車掲載'!L386="EXTENDED RANGE",'中古車掲載'!J386=2023,ISNUMBER('中古車掲載'!N386),'中古車掲載'!N386&gt;=20000,'中古車掲載'!O386&lt;=50000,'中古車掲載'!AL386=1),'中古車掲載'!U386,"")</x:f>
      </x:c>
      <x:c r="BE385" s="3" t="str">
        <x:f>IF(AND('中古車掲載'!C386="One2car",'中古車掲載'!F386="Corolla Cross",'中古車掲載'!L386="HEV PREMIUM SAFETY",'中古車掲載'!J386=2023,ISNUMBER('中古車掲載'!N386),'中古車掲載'!N386&gt;=20000,'中古車掲載'!O386&lt;=50000,'中古車掲載'!AL386=1,'中古車掲載'!Z386="https://www.one2car.com/en/cars-for-sale/toyota/corolla-cross/year-2023"),'中古車掲載'!U386,"")</x:f>
      </x:c>
      <x:c r="BF385" s="3" t="str">
        <x:f>IF(AND('中古車掲載'!C386="One2car",'中古車掲載'!F386="Corolla Cross",'中古車掲載'!L386="HEV PREMIUM",'中古車掲載'!J386=2023,ISNUMBER('中古車掲載'!N386),'中古車掲載'!N386&gt;=20000,'中古車掲載'!O386&lt;=100000,'中古車掲載'!AL386=1,'中古車掲載'!Z386="https://www.one2car.com/en/cars-for-sale/toyota/corolla-cross/year-2023"),'中古車掲載'!U386,"")</x:f>
      </x:c>
      <x:c r="BG385" s="3" t="str">
        <x:f>IF(AND('中古車掲載'!C386="One2car",'中古車掲載'!F386="Corolla Cross",'中古車掲載'!L386="HEV GR SPORT",'中古車掲載'!J386=2023,ISNUMBER('中古車掲載'!N386),'中古車掲載'!N386&gt;=20000,'中古車掲載'!O386&lt;=100000,'中古車掲載'!AL386=1,'中古車掲載'!Z386="https://www.one2car.com/en/cars-for-sale/toyota/corolla-cross/year-2023"),'中古車掲載'!U386,"")</x:f>
      </x:c>
      <x:c r="BH385" s="3" t="str">
        <x:f>IF(AND('中古車掲載'!C386="One2car",'中古車掲載'!F386="DOLPHIN",'中古車掲載'!L386="STANDARD RANGE",'中古車掲載'!J386=2023,ISNUMBER('中古車掲載'!N386),'中古車掲載'!N386&gt;=20000,'中古車掲載'!O386&lt;=100000,'中古車掲載'!AL386=1),'中古車掲載'!U386,"")</x:f>
      </x:c>
      <x:c r="BI385" s="3" t="str">
        <x:v>Taladrod|Corolla Cross|HEV|Unknown</x:v>
      </x:c>
      <x:c r="BJ385" s="3" t="n">
        <x:v>386</x:v>
      </x:c>
      <x:c r="BK385" s="3" t="n">
        <x:f>'中古車掲載'!AM386</x:f>
        <x:v>799000</x:v>
      </x:c>
      <x:c r="BL385" s="3" t="n">
        <x:f>IF(ISNUMBER('中古車掲載'!AN386),'中古車掲載'!AN386,"")</x:f>
        <x:v>0.6371610845295056</x:v>
      </x:c>
      <x:c r="BM385" s="3"/>
      <x:c r="BN385" s="3"/>
      <x:c r="BO385" s="3"/>
      <x:c r="BP385" s="3"/>
      <x:c r="BQ385" s="3"/>
      <x:c r="BR385" s="3"/>
    </x:row>
    <x:row r="386" ht="22" customHeight="1">
      <x:c r="A386" s="3" t="str">
        <x:v>SEAL</x:v>
      </x:c>
      <x:c r="B386" s="3" t="str">
        <x:v>BEV</x:v>
      </x:c>
      <x:c r="C386" s="3" t="str">
        <x:v>One2car</x:v>
      </x:c>
      <x:c r="D386" s="3" t="str">
        <x:v>Sedan</x:v>
      </x:c>
      <x:c r="E386" s="3" t="str"/>
      <x:c r="F386" s="3" t="n">
        <x:v>2024</x:v>
      </x:c>
      <x:c r="G386" s="3" t="str">
        <x:v>PREMIUM</x:v>
      </x:c>
      <x:c r="H386" s="3" t="str">
        <x:v>100–150千km</x:v>
      </x:c>
      <x:c r="I386" s="3" t="str">
        <x:v>世代不明</x:v>
      </x:c>
      <x:c r="J386" s="22" t="n">
        <x:f>COUNT('中古車掲載'!AM157:AM157)</x:f>
        <x:v>1</x:v>
      </x:c>
      <x:c r="K386" s="22" t="n">
        <x:f>IF(COUNT('中古車掲載'!AM157:AM157)=0,"",QUARTILE('中古車掲載'!AM157:AM157,1))</x:f>
        <x:v>679000</x:v>
      </x:c>
      <x:c r="L386" s="22" t="n">
        <x:f>IF(COUNT('中古車掲載'!AM157:AM157)=0,"",MEDIAN('中古車掲載'!AM157:AM157))</x:f>
        <x:v>679000</x:v>
      </x:c>
      <x:c r="M386" s="22" t="n">
        <x:f>IF(COUNT('中古車掲載'!AM157:AM157)=0,"",QUARTILE('中古車掲載'!AM157:AM157,3))</x:f>
        <x:v>679000</x:v>
      </x:c>
      <x:c r="N386" s="22" t="n">
        <x:f>COUNT('中古車掲載'!AN157:AN157)</x:f>
        <x:v>1</x:v>
      </x:c>
      <x:c r="O386" s="23" t="n">
        <x:f>IF(COUNT('中古車掲載'!AN157:AN157)=0,"",MEDIAN('中古車掲載'!AN157:AN157))</x:f>
        <x:v>0.46859903381642515</x:v>
      </x:c>
      <x:c r="P386" s="3"/>
      <x:c r="Q386" s="3"/>
      <x:c r="R386" s="3"/>
      <x:c r="S386" s="3"/>
      <x:c r="T386" s="3"/>
      <x:c r="U386" s="3"/>
      <x:c r="V386" s="3"/>
      <x:c r="W386" s="3"/>
      <x:c r="X386" s="3"/>
      <x:c r="Y386" s="3"/>
      <x:c r="Z386" s="3"/>
      <x:c r="AA386" s="3"/>
      <x:c r="AB386" s="3"/>
      <x:c r="AC386" s="3"/>
      <x:c r="AD386" s="3"/>
      <x:c r="AE386" s="3"/>
      <x:c r="AF386" s="3"/>
      <x:c r="AG386" s="3"/>
      <x:c r="AH386" s="3"/>
      <x:c r="AI386" s="3"/>
      <x:c r="AJ386" s="3"/>
      <x:c r="AK386" s="3"/>
      <x:c r="AL386" s="3"/>
      <x:c r="AM386" s="3"/>
      <x:c r="AN386" s="3"/>
      <x:c r="AO386" s="3"/>
      <x:c r="AP386" s="3"/>
      <x:c r="AQ386" s="3"/>
      <x:c r="AR386" s="3"/>
      <x:c r="AS386" s="3"/>
      <x:c r="AT386" s="3"/>
      <x:c r="AU386" s="3"/>
      <x:c r="AV386" s="3"/>
      <x:c r="AW386" s="3"/>
      <x:c r="AX386" s="3"/>
      <x:c r="AY386" s="3"/>
      <x:c r="AZ386" s="3" t="str">
        <x:f>IF(AND('中古車掲載'!C387="One2car",'中古車掲載'!F387="ATTO 3",'中古車掲載'!L387="EXTENDED RANGE",'中古車掲載'!J387=2023,ISNUMBER('中古車掲載'!N387),'中古車掲載'!N387&gt;=20000,'中古車掲載'!O387&lt;=100000,'中古車掲載'!AL387=1),'中古車掲載'!U387,"")</x:f>
      </x:c>
      <x:c r="BA386" s="3" t="str">
        <x:f>IF(AND('中古車掲載'!C387="One2car",'中古車掲載'!F387="Corolla Cross",'中古車掲載'!L387="HEV PREMIUM SAFETY",'中古車掲載'!J387=2023,ISNUMBER('中古車掲載'!N387),'中古車掲載'!N387&gt;=20000,'中古車掲載'!O387&lt;=100000,'中古車掲載'!AL387=1,'中古車掲載'!Z387="https://www.one2car.com/en/cars-for-sale/toyota/corolla-cross/year-2023"),'中古車掲載'!U387,"")</x:f>
      </x:c>
      <x:c r="BB386" s="3" t="str">
        <x:f>IF(AND('中古車掲載'!C387="One2car",'中古車掲載'!F387="ATTO 3",'中古車掲載'!L387="EXTENDED RANGE",'中古車掲載'!J387=2023,ISNUMBER('中古車掲載'!N387),'中古車掲載'!N387&gt;=50000,'中古車掲載'!O387&lt;=100000,'中古車掲載'!AL387=1),'中古車掲載'!U387,"")</x:f>
      </x:c>
      <x:c r="BC386" s="3" t="str">
        <x:f>IF(AND('中古車掲載'!C387="One2car",'中古車掲載'!F387="Corolla Cross",'中古車掲載'!L387="HEV PREMIUM SAFETY",'中古車掲載'!J387=2023,ISNUMBER('中古車掲載'!N387),'中古車掲載'!N387&gt;=50000,'中古車掲載'!O387&lt;=100000,'中古車掲載'!AL387=1,'中古車掲載'!Z387="https://www.one2car.com/en/cars-for-sale/toyota/corolla-cross/year-2023"),'中古車掲載'!U387,"")</x:f>
      </x:c>
      <x:c r="BD386" s="3" t="str">
        <x:f>IF(AND('中古車掲載'!C387="One2car",'中古車掲載'!F387="ATTO 3",'中古車掲載'!L387="EXTENDED RANGE",'中古車掲載'!J387=2023,ISNUMBER('中古車掲載'!N387),'中古車掲載'!N387&gt;=20000,'中古車掲載'!O387&lt;=50000,'中古車掲載'!AL387=1),'中古車掲載'!U387,"")</x:f>
      </x:c>
      <x:c r="BE386" s="3" t="str">
        <x:f>IF(AND('中古車掲載'!C387="One2car",'中古車掲載'!F387="Corolla Cross",'中古車掲載'!L387="HEV PREMIUM SAFETY",'中古車掲載'!J387=2023,ISNUMBER('中古車掲載'!N387),'中古車掲載'!N387&gt;=20000,'中古車掲載'!O387&lt;=50000,'中古車掲載'!AL387=1,'中古車掲載'!Z387="https://www.one2car.com/en/cars-for-sale/toyota/corolla-cross/year-2023"),'中古車掲載'!U387,"")</x:f>
      </x:c>
      <x:c r="BF386" s="3" t="str">
        <x:f>IF(AND('中古車掲載'!C387="One2car",'中古車掲載'!F387="Corolla Cross",'中古車掲載'!L387="HEV PREMIUM",'中古車掲載'!J387=2023,ISNUMBER('中古車掲載'!N387),'中古車掲載'!N387&gt;=20000,'中古車掲載'!O387&lt;=100000,'中古車掲載'!AL387=1,'中古車掲載'!Z387="https://www.one2car.com/en/cars-for-sale/toyota/corolla-cross/year-2023"),'中古車掲載'!U387,"")</x:f>
      </x:c>
      <x:c r="BG386" s="3" t="str">
        <x:f>IF(AND('中古車掲載'!C387="One2car",'中古車掲載'!F387="Corolla Cross",'中古車掲載'!L387="HEV GR SPORT",'中古車掲載'!J387=2023,ISNUMBER('中古車掲載'!N387),'中古車掲載'!N387&gt;=20000,'中古車掲載'!O387&lt;=100000,'中古車掲載'!AL387=1,'中古車掲載'!Z387="https://www.one2car.com/en/cars-for-sale/toyota/corolla-cross/year-2023"),'中古車掲載'!U387,"")</x:f>
      </x:c>
      <x:c r="BH386" s="3" t="str">
        <x:f>IF(AND('中古車掲載'!C387="One2car",'中古車掲載'!F387="DOLPHIN",'中古車掲載'!L387="STANDARD RANGE",'中古車掲載'!J387=2023,ISNUMBER('中古車掲載'!N387),'中古車掲載'!N387&gt;=20000,'中古車掲載'!O387&lt;=100000,'中古車掲載'!AL387=1),'中古車掲載'!U387,"")</x:f>
      </x:c>
      <x:c r="BI386" s="3" t="str">
        <x:v>Taladrod|Corolla Cross|HEV|Unknown</x:v>
      </x:c>
      <x:c r="BJ386" s="3" t="n">
        <x:v>387</x:v>
      </x:c>
      <x:c r="BK386" s="3" t="n">
        <x:f>'中古車掲載'!AM387</x:f>
        <x:v>849000</x:v>
      </x:c>
      <x:c r="BL386" s="3" t="n">
        <x:f>IF(ISNUMBER('中古車掲載'!AN387),'中古車掲載'!AN387,"")</x:f>
        <x:v>0.6770334928229665</x:v>
      </x:c>
      <x:c r="BM386" s="3"/>
      <x:c r="BN386" s="3"/>
      <x:c r="BO386" s="3"/>
      <x:c r="BP386" s="3"/>
      <x:c r="BQ386" s="3"/>
      <x:c r="BR386" s="3"/>
    </x:row>
    <x:row r="387" ht="22" customHeight="1">
      <x:c r="A387" s="3" t="str">
        <x:v>SEAL</x:v>
      </x:c>
      <x:c r="B387" s="3" t="str">
        <x:v>BEV</x:v>
      </x:c>
      <x:c r="C387" s="3" t="str">
        <x:v>One2car</x:v>
      </x:c>
      <x:c r="D387" s="3" t="str">
        <x:v>Sedan</x:v>
      </x:c>
      <x:c r="E387" s="3" t="str"/>
      <x:c r="F387" s="3" t="n">
        <x:v>2024</x:v>
      </x:c>
      <x:c r="G387" s="3" t="str">
        <x:v>PREMIUM</x:v>
      </x:c>
      <x:c r="H387" s="3" t="str">
        <x:v>50–100千km</x:v>
      </x:c>
      <x:c r="I387" s="3" t="str">
        <x:v>世代不明</x:v>
      </x:c>
      <x:c r="J387" s="22" t="n">
        <x:f>COUNT('中古車掲載'!AM158:AM159)</x:f>
        <x:v>2</x:v>
      </x:c>
      <x:c r="K387" s="22" t="n">
        <x:f>IF(COUNT('中古車掲載'!AM158:AM159)=0,"",QUARTILE('中古車掲載'!AM158:AM159,1))</x:f>
        <x:v>690000</x:v>
      </x:c>
      <x:c r="L387" s="22" t="n">
        <x:f>IF(COUNT('中古車掲載'!AM158:AM159)=0,"",MEDIAN('中古車掲載'!AM158:AM159))</x:f>
        <x:v>703000</x:v>
      </x:c>
      <x:c r="M387" s="22" t="n">
        <x:f>IF(COUNT('中古車掲載'!AM158:AM159)=0,"",QUARTILE('中古車掲載'!AM158:AM159,3))</x:f>
        <x:v>716000</x:v>
      </x:c>
      <x:c r="N387" s="22" t="n">
        <x:f>COUNT('中古車掲載'!AN158:AN159)</x:f>
        <x:v>2</x:v>
      </x:c>
      <x:c r="O387" s="23" t="n">
        <x:f>IF(COUNT('中古車掲載'!AN158:AN159)=0,"",MEDIAN('中古車掲載'!AN158:AN159))</x:f>
        <x:v>0.4851621808143547</x:v>
      </x:c>
      <x:c r="P387" s="3"/>
      <x:c r="Q387" s="3"/>
      <x:c r="R387" s="3"/>
      <x:c r="S387" s="3"/>
      <x:c r="T387" s="3"/>
      <x:c r="U387" s="3"/>
      <x:c r="V387" s="3"/>
      <x:c r="W387" s="3"/>
      <x:c r="X387" s="3"/>
      <x:c r="Y387" s="3"/>
      <x:c r="Z387" s="3"/>
      <x:c r="AA387" s="3"/>
      <x:c r="AB387" s="3"/>
      <x:c r="AC387" s="3"/>
      <x:c r="AD387" s="3"/>
      <x:c r="AE387" s="3"/>
      <x:c r="AF387" s="3"/>
      <x:c r="AG387" s="3"/>
      <x:c r="AH387" s="3"/>
      <x:c r="AI387" s="3"/>
      <x:c r="AJ387" s="3"/>
      <x:c r="AK387" s="3"/>
      <x:c r="AL387" s="3"/>
      <x:c r="AM387" s="3"/>
      <x:c r="AN387" s="3"/>
      <x:c r="AO387" s="3"/>
      <x:c r="AP387" s="3"/>
      <x:c r="AQ387" s="3"/>
      <x:c r="AR387" s="3"/>
      <x:c r="AS387" s="3"/>
      <x:c r="AT387" s="3"/>
      <x:c r="AU387" s="3"/>
      <x:c r="AV387" s="3"/>
      <x:c r="AW387" s="3"/>
      <x:c r="AX387" s="3"/>
      <x:c r="AY387" s="3"/>
      <x:c r="AZ387" s="3" t="str">
        <x:f>IF(AND('中古車掲載'!C388="One2car",'中古車掲載'!F388="ATTO 3",'中古車掲載'!L388="EXTENDED RANGE",'中古車掲載'!J388=2023,ISNUMBER('中古車掲載'!N388),'中古車掲載'!N388&gt;=20000,'中古車掲載'!O388&lt;=100000,'中古車掲載'!AL388=1),'中古車掲載'!U388,"")</x:f>
      </x:c>
      <x:c r="BA387" s="3" t="str">
        <x:f>IF(AND('中古車掲載'!C388="One2car",'中古車掲載'!F388="Corolla Cross",'中古車掲載'!L388="HEV PREMIUM SAFETY",'中古車掲載'!J388=2023,ISNUMBER('中古車掲載'!N388),'中古車掲載'!N388&gt;=20000,'中古車掲載'!O388&lt;=100000,'中古車掲載'!AL388=1,'中古車掲載'!Z388="https://www.one2car.com/en/cars-for-sale/toyota/corolla-cross/year-2023"),'中古車掲載'!U388,"")</x:f>
      </x:c>
      <x:c r="BB387" s="3" t="str">
        <x:f>IF(AND('中古車掲載'!C388="One2car",'中古車掲載'!F388="ATTO 3",'中古車掲載'!L388="EXTENDED RANGE",'中古車掲載'!J388=2023,ISNUMBER('中古車掲載'!N388),'中古車掲載'!N388&gt;=50000,'中古車掲載'!O388&lt;=100000,'中古車掲載'!AL388=1),'中古車掲載'!U388,"")</x:f>
      </x:c>
      <x:c r="BC387" s="3" t="str">
        <x:f>IF(AND('中古車掲載'!C388="One2car",'中古車掲載'!F388="Corolla Cross",'中古車掲載'!L388="HEV PREMIUM SAFETY",'中古車掲載'!J388=2023,ISNUMBER('中古車掲載'!N388),'中古車掲載'!N388&gt;=50000,'中古車掲載'!O388&lt;=100000,'中古車掲載'!AL388=1,'中古車掲載'!Z388="https://www.one2car.com/en/cars-for-sale/toyota/corolla-cross/year-2023"),'中古車掲載'!U388,"")</x:f>
      </x:c>
      <x:c r="BD387" s="3" t="str">
        <x:f>IF(AND('中古車掲載'!C388="One2car",'中古車掲載'!F388="ATTO 3",'中古車掲載'!L388="EXTENDED RANGE",'中古車掲載'!J388=2023,ISNUMBER('中古車掲載'!N388),'中古車掲載'!N388&gt;=20000,'中古車掲載'!O388&lt;=50000,'中古車掲載'!AL388=1),'中古車掲載'!U388,"")</x:f>
      </x:c>
      <x:c r="BE387" s="3" t="str">
        <x:f>IF(AND('中古車掲載'!C388="One2car",'中古車掲載'!F388="Corolla Cross",'中古車掲載'!L388="HEV PREMIUM SAFETY",'中古車掲載'!J388=2023,ISNUMBER('中古車掲載'!N388),'中古車掲載'!N388&gt;=20000,'中古車掲載'!O388&lt;=50000,'中古車掲載'!AL388=1,'中古車掲載'!Z388="https://www.one2car.com/en/cars-for-sale/toyota/corolla-cross/year-2023"),'中古車掲載'!U388,"")</x:f>
      </x:c>
      <x:c r="BF387" s="3" t="str">
        <x:f>IF(AND('中古車掲載'!C388="One2car",'中古車掲載'!F388="Corolla Cross",'中古車掲載'!L388="HEV PREMIUM",'中古車掲載'!J388=2023,ISNUMBER('中古車掲載'!N388),'中古車掲載'!N388&gt;=20000,'中古車掲載'!O388&lt;=100000,'中古車掲載'!AL388=1,'中古車掲載'!Z388="https://www.one2car.com/en/cars-for-sale/toyota/corolla-cross/year-2023"),'中古車掲載'!U388,"")</x:f>
      </x:c>
      <x:c r="BG387" s="3" t="str">
        <x:f>IF(AND('中古車掲載'!C388="One2car",'中古車掲載'!F388="Corolla Cross",'中古車掲載'!L388="HEV GR SPORT",'中古車掲載'!J388=2023,ISNUMBER('中古車掲載'!N388),'中古車掲載'!N388&gt;=20000,'中古車掲載'!O388&lt;=100000,'中古車掲載'!AL388=1,'中古車掲載'!Z388="https://www.one2car.com/en/cars-for-sale/toyota/corolla-cross/year-2023"),'中古車掲載'!U388,"")</x:f>
      </x:c>
      <x:c r="BH387" s="3" t="str">
        <x:f>IF(AND('中古車掲載'!C388="One2car",'中古車掲載'!F388="DOLPHIN",'中古車掲載'!L388="STANDARD RANGE",'中古車掲載'!J388=2023,ISNUMBER('中古車掲載'!N388),'中古車掲載'!N388&gt;=20000,'中古車掲載'!O388&lt;=100000,'中古車掲載'!AL388=1),'中古車掲載'!U388,"")</x:f>
      </x:c>
      <x:c r="BI387" s="3" t="str">
        <x:v>Taladrod|Corolla Cross|HEV|Unknown</x:v>
      </x:c>
      <x:c r="BJ387" s="3" t="n">
        <x:v>388</x:v>
      </x:c>
      <x:c r="BK387" s="3" t="n">
        <x:f>'中古車掲載'!AM388</x:f>
        <x:v>799000</x:v>
      </x:c>
      <x:c r="BL387" s="3" t="n">
        <x:f>IF(ISNUMBER('中古車掲載'!AN388),'中古車掲載'!AN388,"")</x:f>
        <x:v>0.6371610845295056</x:v>
      </x:c>
      <x:c r="BM387" s="3"/>
      <x:c r="BN387" s="3"/>
      <x:c r="BO387" s="3"/>
      <x:c r="BP387" s="3"/>
      <x:c r="BQ387" s="3"/>
      <x:c r="BR387" s="3"/>
    </x:row>
    <x:row r="388" ht="22" customHeight="1">
      <x:c r="A388" s="3" t="str">
        <x:v>SEALION 6</x:v>
      </x:c>
      <x:c r="B388" s="3" t="str">
        <x:v>PHEV</x:v>
      </x:c>
      <x:c r="C388" s="3" t="str">
        <x:v>One2car</x:v>
      </x:c>
      <x:c r="D388" s="3" t="str">
        <x:v>SUV</x:v>
      </x:c>
      <x:c r="E388" s="3" t="str"/>
      <x:c r="F388" s="3" t="n">
        <x:v>2025</x:v>
      </x:c>
      <x:c r="G388" s="3" t="str">
        <x:v>PREMIUM</x:v>
      </x:c>
      <x:c r="H388" s="3" t="str">
        <x:v>20–50千km</x:v>
      </x:c>
      <x:c r="I388" s="3" t="str">
        <x:v>世代不明</x:v>
      </x:c>
      <x:c r="J388" s="22" t="n">
        <x:f>COUNT('中古車掲載'!AM160:AM164)</x:f>
        <x:v>5</x:v>
      </x:c>
      <x:c r="K388" s="22" t="n">
        <x:f>IF(COUNT('中古車掲載'!AM160:AM164)=0,"",QUARTILE('中古車掲載'!AM160:AM164,1))</x:f>
        <x:v>678000</x:v>
      </x:c>
      <x:c r="L388" s="22" t="n">
        <x:f>IF(COUNT('中古車掲載'!AM160:AM164)=0,"",MEDIAN('中古車掲載'!AM160:AM164))</x:f>
        <x:v>679000</x:v>
      </x:c>
      <x:c r="M388" s="22" t="n">
        <x:f>IF(COUNT('中古車掲載'!AM160:AM164)=0,"",QUARTILE('中古車掲載'!AM160:AM164,3))</x:f>
        <x:v>729000</x:v>
      </x:c>
      <x:c r="N388" s="22" t="n">
        <x:f>COUNT('中古車掲載'!AN160:AN164)</x:f>
        <x:v>5</x:v>
      </x:c>
      <x:c r="O388" s="23" t="n">
        <x:f>IF(COUNT('中古車掲載'!AN160:AN164)=0,"",MEDIAN('中古車掲載'!AN160:AN164))</x:f>
        <x:v>0.6173288480770979</x:v>
      </x:c>
      <x:c r="P388" s="3"/>
      <x:c r="Q388" s="3"/>
      <x:c r="R388" s="3"/>
      <x:c r="S388" s="3"/>
      <x:c r="T388" s="3"/>
      <x:c r="U388" s="3"/>
      <x:c r="V388" s="3"/>
      <x:c r="W388" s="3"/>
      <x:c r="X388" s="3"/>
      <x:c r="Y388" s="3"/>
      <x:c r="Z388" s="3"/>
      <x:c r="AA388" s="3"/>
      <x:c r="AB388" s="3"/>
      <x:c r="AC388" s="3"/>
      <x:c r="AD388" s="3"/>
      <x:c r="AE388" s="3"/>
      <x:c r="AF388" s="3"/>
      <x:c r="AG388" s="3"/>
      <x:c r="AH388" s="3"/>
      <x:c r="AI388" s="3"/>
      <x:c r="AJ388" s="3"/>
      <x:c r="AK388" s="3"/>
      <x:c r="AL388" s="3"/>
      <x:c r="AM388" s="3"/>
      <x:c r="AN388" s="3"/>
      <x:c r="AO388" s="3"/>
      <x:c r="AP388" s="3"/>
      <x:c r="AQ388" s="3"/>
      <x:c r="AR388" s="3"/>
      <x:c r="AS388" s="3"/>
      <x:c r="AT388" s="3"/>
      <x:c r="AU388" s="3"/>
      <x:c r="AV388" s="3"/>
      <x:c r="AW388" s="3"/>
      <x:c r="AX388" s="3"/>
      <x:c r="AY388" s="3"/>
      <x:c r="AZ388" s="3" t="str">
        <x:f>IF(AND('中古車掲載'!C389="One2car",'中古車掲載'!F389="ATTO 3",'中古車掲載'!L389="EXTENDED RANGE",'中古車掲載'!J389=2023,ISNUMBER('中古車掲載'!N389),'中古車掲載'!N389&gt;=20000,'中古車掲載'!O389&lt;=100000,'中古車掲載'!AL389=1),'中古車掲載'!U389,"")</x:f>
      </x:c>
      <x:c r="BA388" s="3" t="str">
        <x:f>IF(AND('中古車掲載'!C389="One2car",'中古車掲載'!F389="Corolla Cross",'中古車掲載'!L389="HEV PREMIUM SAFETY",'中古車掲載'!J389=2023,ISNUMBER('中古車掲載'!N389),'中古車掲載'!N389&gt;=20000,'中古車掲載'!O389&lt;=100000,'中古車掲載'!AL389=1,'中古車掲載'!Z389="https://www.one2car.com/en/cars-for-sale/toyota/corolla-cross/year-2023"),'中古車掲載'!U389,"")</x:f>
      </x:c>
      <x:c r="BB388" s="3" t="str">
        <x:f>IF(AND('中古車掲載'!C389="One2car",'中古車掲載'!F389="ATTO 3",'中古車掲載'!L389="EXTENDED RANGE",'中古車掲載'!J389=2023,ISNUMBER('中古車掲載'!N389),'中古車掲載'!N389&gt;=50000,'中古車掲載'!O389&lt;=100000,'中古車掲載'!AL389=1),'中古車掲載'!U389,"")</x:f>
      </x:c>
      <x:c r="BC388" s="3" t="str">
        <x:f>IF(AND('中古車掲載'!C389="One2car",'中古車掲載'!F389="Corolla Cross",'中古車掲載'!L389="HEV PREMIUM SAFETY",'中古車掲載'!J389=2023,ISNUMBER('中古車掲載'!N389),'中古車掲載'!N389&gt;=50000,'中古車掲載'!O389&lt;=100000,'中古車掲載'!AL389=1,'中古車掲載'!Z389="https://www.one2car.com/en/cars-for-sale/toyota/corolla-cross/year-2023"),'中古車掲載'!U389,"")</x:f>
      </x:c>
      <x:c r="BD388" s="3" t="str">
        <x:f>IF(AND('中古車掲載'!C389="One2car",'中古車掲載'!F389="ATTO 3",'中古車掲載'!L389="EXTENDED RANGE",'中古車掲載'!J389=2023,ISNUMBER('中古車掲載'!N389),'中古車掲載'!N389&gt;=20000,'中古車掲載'!O389&lt;=50000,'中古車掲載'!AL389=1),'中古車掲載'!U389,"")</x:f>
      </x:c>
      <x:c r="BE388" s="3" t="str">
        <x:f>IF(AND('中古車掲載'!C389="One2car",'中古車掲載'!F389="Corolla Cross",'中古車掲載'!L389="HEV PREMIUM SAFETY",'中古車掲載'!J389=2023,ISNUMBER('中古車掲載'!N389),'中古車掲載'!N389&gt;=20000,'中古車掲載'!O389&lt;=50000,'中古車掲載'!AL389=1,'中古車掲載'!Z389="https://www.one2car.com/en/cars-for-sale/toyota/corolla-cross/year-2023"),'中古車掲載'!U389,"")</x:f>
      </x:c>
      <x:c r="BF388" s="3" t="str">
        <x:f>IF(AND('中古車掲載'!C389="One2car",'中古車掲載'!F389="Corolla Cross",'中古車掲載'!L389="HEV PREMIUM",'中古車掲載'!J389=2023,ISNUMBER('中古車掲載'!N389),'中古車掲載'!N389&gt;=20000,'中古車掲載'!O389&lt;=100000,'中古車掲載'!AL389=1,'中古車掲載'!Z389="https://www.one2car.com/en/cars-for-sale/toyota/corolla-cross/year-2023"),'中古車掲載'!U389,"")</x:f>
      </x:c>
      <x:c r="BG388" s="3" t="str">
        <x:f>IF(AND('中古車掲載'!C389="One2car",'中古車掲載'!F389="Corolla Cross",'中古車掲載'!L389="HEV GR SPORT",'中古車掲載'!J389=2023,ISNUMBER('中古車掲載'!N389),'中古車掲載'!N389&gt;=20000,'中古車掲載'!O389&lt;=100000,'中古車掲載'!AL389=1,'中古車掲載'!Z389="https://www.one2car.com/en/cars-for-sale/toyota/corolla-cross/year-2023"),'中古車掲載'!U389,"")</x:f>
      </x:c>
      <x:c r="BH388" s="3" t="str">
        <x:f>IF(AND('中古車掲載'!C389="One2car",'中古車掲載'!F389="DOLPHIN",'中古車掲載'!L389="STANDARD RANGE",'中古車掲載'!J389=2023,ISNUMBER('中古車掲載'!N389),'中古車掲載'!N389&gt;=20000,'中古車掲載'!O389&lt;=100000,'中古車掲載'!AL389=1),'中古車掲載'!U389,"")</x:f>
      </x:c>
      <x:c r="BI388" s="3" t="str">
        <x:v>Taladrod|Corolla Cross|HEV|Unknown</x:v>
      </x:c>
      <x:c r="BJ388" s="3" t="n">
        <x:v>389</x:v>
      </x:c>
      <x:c r="BK388" s="3" t="n">
        <x:f>'中古車掲載'!AM389</x:f>
        <x:v>899000</x:v>
      </x:c>
      <x:c r="BL388" s="3" t="n">
        <x:f>IF(ISNUMBER('中古車掲載'!AN389),'中古車掲載'!AN389,"")</x:f>
        <x:v>0.7169059011164274</x:v>
      </x:c>
      <x:c r="BM388" s="3"/>
      <x:c r="BN388" s="3"/>
      <x:c r="BO388" s="3"/>
      <x:c r="BP388" s="3"/>
      <x:c r="BQ388" s="3"/>
      <x:c r="BR388" s="3"/>
    </x:row>
    <x:row r="389" ht="22" customHeight="1">
      <x:c r="A389" s="3" t="str">
        <x:v>SEALION 6</x:v>
      </x:c>
      <x:c r="B389" s="3" t="str">
        <x:v>PHEV</x:v>
      </x:c>
      <x:c r="C389" s="3" t="str">
        <x:v>One2car</x:v>
      </x:c>
      <x:c r="D389" s="3" t="str">
        <x:v>SUV</x:v>
      </x:c>
      <x:c r="E389" s="3" t="str"/>
      <x:c r="F389" s="3" t="n">
        <x:v>2025</x:v>
      </x:c>
      <x:c r="G389" s="3" t="str">
        <x:v>PREMIUM</x:v>
      </x:c>
      <x:c r="H389" s="3" t="str">
        <x:v>50–100千km</x:v>
      </x:c>
      <x:c r="I389" s="3" t="str">
        <x:v>世代不明</x:v>
      </x:c>
      <x:c r="J389" s="22" t="n">
        <x:f>COUNT('中古車掲載'!AM165:AM166)</x:f>
        <x:v>2</x:v>
      </x:c>
      <x:c r="K389" s="22" t="n">
        <x:f>IF(COUNT('中古車掲載'!AM165:AM166)=0,"",QUARTILE('中古車掲載'!AM165:AM166,1))</x:f>
        <x:v>679000</x:v>
      </x:c>
      <x:c r="L389" s="22" t="n">
        <x:f>IF(COUNT('中古車掲載'!AM165:AM166)=0,"",MEDIAN('中古車掲載'!AM165:AM166))</x:f>
        <x:v>679000</x:v>
      </x:c>
      <x:c r="M389" s="22" t="n">
        <x:f>IF(COUNT('中古車掲載'!AM165:AM166)=0,"",QUARTILE('中古車掲載'!AM165:AM166,3))</x:f>
        <x:v>679000</x:v>
      </x:c>
      <x:c r="N389" s="22" t="n">
        <x:f>COUNT('中古車掲載'!AN165:AN166)</x:f>
        <x:v>2</x:v>
      </x:c>
      <x:c r="O389" s="23" t="n">
        <x:f>IF(COUNT('中古車掲載'!AN165:AN166)=0,"",MEDIAN('中古車掲載'!AN165:AN166))</x:f>
        <x:v>0.6173288480770979</x:v>
      </x:c>
      <x:c r="P389" s="3"/>
      <x:c r="Q389" s="3"/>
      <x:c r="R389" s="3"/>
      <x:c r="S389" s="3"/>
      <x:c r="T389" s="3"/>
      <x:c r="U389" s="3"/>
      <x:c r="V389" s="3"/>
      <x:c r="W389" s="3"/>
      <x:c r="X389" s="3"/>
      <x:c r="Y389" s="3"/>
      <x:c r="Z389" s="3"/>
      <x:c r="AA389" s="3"/>
      <x:c r="AB389" s="3"/>
      <x:c r="AC389" s="3"/>
      <x:c r="AD389" s="3"/>
      <x:c r="AE389" s="3"/>
      <x:c r="AF389" s="3"/>
      <x:c r="AG389" s="3"/>
      <x:c r="AH389" s="3"/>
      <x:c r="AI389" s="3"/>
      <x:c r="AJ389" s="3"/>
      <x:c r="AK389" s="3"/>
      <x:c r="AL389" s="3"/>
      <x:c r="AM389" s="3"/>
      <x:c r="AN389" s="3"/>
      <x:c r="AO389" s="3"/>
      <x:c r="AP389" s="3"/>
      <x:c r="AQ389" s="3"/>
      <x:c r="AR389" s="3"/>
      <x:c r="AS389" s="3"/>
      <x:c r="AT389" s="3"/>
      <x:c r="AU389" s="3"/>
      <x:c r="AV389" s="3"/>
      <x:c r="AW389" s="3"/>
      <x:c r="AX389" s="3"/>
      <x:c r="AY389" s="3"/>
      <x:c r="AZ389" s="3" t="str">
        <x:f>IF(AND('中古車掲載'!C390="One2car",'中古車掲載'!F390="ATTO 3",'中古車掲載'!L390="EXTENDED RANGE",'中古車掲載'!J390=2023,ISNUMBER('中古車掲載'!N390),'中古車掲載'!N390&gt;=20000,'中古車掲載'!O390&lt;=100000,'中古車掲載'!AL390=1),'中古車掲載'!U390,"")</x:f>
      </x:c>
      <x:c r="BA389" s="3" t="str">
        <x:f>IF(AND('中古車掲載'!C390="One2car",'中古車掲載'!F390="Corolla Cross",'中古車掲載'!L390="HEV PREMIUM SAFETY",'中古車掲載'!J390=2023,ISNUMBER('中古車掲載'!N390),'中古車掲載'!N390&gt;=20000,'中古車掲載'!O390&lt;=100000,'中古車掲載'!AL390=1,'中古車掲載'!Z390="https://www.one2car.com/en/cars-for-sale/toyota/corolla-cross/year-2023"),'中古車掲載'!U390,"")</x:f>
      </x:c>
      <x:c r="BB389" s="3" t="str">
        <x:f>IF(AND('中古車掲載'!C390="One2car",'中古車掲載'!F390="ATTO 3",'中古車掲載'!L390="EXTENDED RANGE",'中古車掲載'!J390=2023,ISNUMBER('中古車掲載'!N390),'中古車掲載'!N390&gt;=50000,'中古車掲載'!O390&lt;=100000,'中古車掲載'!AL390=1),'中古車掲載'!U390,"")</x:f>
      </x:c>
      <x:c r="BC389" s="3" t="str">
        <x:f>IF(AND('中古車掲載'!C390="One2car",'中古車掲載'!F390="Corolla Cross",'中古車掲載'!L390="HEV PREMIUM SAFETY",'中古車掲載'!J390=2023,ISNUMBER('中古車掲載'!N390),'中古車掲載'!N390&gt;=50000,'中古車掲載'!O390&lt;=100000,'中古車掲載'!AL390=1,'中古車掲載'!Z390="https://www.one2car.com/en/cars-for-sale/toyota/corolla-cross/year-2023"),'中古車掲載'!U390,"")</x:f>
      </x:c>
      <x:c r="BD389" s="3" t="str">
        <x:f>IF(AND('中古車掲載'!C390="One2car",'中古車掲載'!F390="ATTO 3",'中古車掲載'!L390="EXTENDED RANGE",'中古車掲載'!J390=2023,ISNUMBER('中古車掲載'!N390),'中古車掲載'!N390&gt;=20000,'中古車掲載'!O390&lt;=50000,'中古車掲載'!AL390=1),'中古車掲載'!U390,"")</x:f>
      </x:c>
      <x:c r="BE389" s="3" t="str">
        <x:f>IF(AND('中古車掲載'!C390="One2car",'中古車掲載'!F390="Corolla Cross",'中古車掲載'!L390="HEV PREMIUM SAFETY",'中古車掲載'!J390=2023,ISNUMBER('中古車掲載'!N390),'中古車掲載'!N390&gt;=20000,'中古車掲載'!O390&lt;=50000,'中古車掲載'!AL390=1,'中古車掲載'!Z390="https://www.one2car.com/en/cars-for-sale/toyota/corolla-cross/year-2023"),'中古車掲載'!U390,"")</x:f>
      </x:c>
      <x:c r="BF389" s="3" t="str">
        <x:f>IF(AND('中古車掲載'!C390="One2car",'中古車掲載'!F390="Corolla Cross",'中古車掲載'!L390="HEV PREMIUM",'中古車掲載'!J390=2023,ISNUMBER('中古車掲載'!N390),'中古車掲載'!N390&gt;=20000,'中古車掲載'!O390&lt;=100000,'中古車掲載'!AL390=1,'中古車掲載'!Z390="https://www.one2car.com/en/cars-for-sale/toyota/corolla-cross/year-2023"),'中古車掲載'!U390,"")</x:f>
      </x:c>
      <x:c r="BG389" s="3" t="str">
        <x:f>IF(AND('中古車掲載'!C390="One2car",'中古車掲載'!F390="Corolla Cross",'中古車掲載'!L390="HEV GR SPORT",'中古車掲載'!J390=2023,ISNUMBER('中古車掲載'!N390),'中古車掲載'!N390&gt;=20000,'中古車掲載'!O390&lt;=100000,'中古車掲載'!AL390=1,'中古車掲載'!Z390="https://www.one2car.com/en/cars-for-sale/toyota/corolla-cross/year-2023"),'中古車掲載'!U390,"")</x:f>
      </x:c>
      <x:c r="BH389" s="3" t="str">
        <x:f>IF(AND('中古車掲載'!C390="One2car",'中古車掲載'!F390="DOLPHIN",'中古車掲載'!L390="STANDARD RANGE",'中古車掲載'!J390=2023,ISNUMBER('中古車掲載'!N390),'中古車掲載'!N390&gt;=20000,'中古車掲載'!O390&lt;=100000,'中古車掲載'!AL390=1),'中古車掲載'!U390,"")</x:f>
      </x:c>
      <x:c r="BI389" s="3" t="str">
        <x:v>Taladrod|Corolla Cross|HEV|Unknown</x:v>
      </x:c>
      <x:c r="BJ389" s="3" t="n">
        <x:v>390</x:v>
      </x:c>
      <x:c r="BK389" s="3" t="n">
        <x:f>'中古車掲載'!AM390</x:f>
        <x:v>659000</x:v>
      </x:c>
      <x:c r="BL389" s="3" t="n">
        <x:f>IF(ISNUMBER('中古車掲載'!AN390),'中古車掲載'!AN390,"")</x:f>
        <x:v>0.6023765996343693</x:v>
      </x:c>
      <x:c r="BM389" s="3"/>
      <x:c r="BN389" s="3"/>
      <x:c r="BO389" s="3"/>
      <x:c r="BP389" s="3"/>
      <x:c r="BQ389" s="3"/>
      <x:c r="BR389" s="3"/>
    </x:row>
    <x:row r="390" ht="22" customHeight="1">
      <x:c r="A390" s="3" t="str">
        <x:v>SEALION 6</x:v>
      </x:c>
      <x:c r="B390" s="3" t="str">
        <x:v>PHEV</x:v>
      </x:c>
      <x:c r="C390" s="3" t="str">
        <x:v>One2car</x:v>
      </x:c>
      <x:c r="D390" s="3" t="str">
        <x:v>SUV</x:v>
      </x:c>
      <x:c r="E390" s="3" t="str"/>
      <x:c r="F390" s="3" t="n">
        <x:v>2026</x:v>
      </x:c>
      <x:c r="G390" s="3" t="str">
        <x:v>PREMIUM</x:v>
      </x:c>
      <x:c r="H390" s="3" t="str">
        <x:v>20–50千km</x:v>
      </x:c>
      <x:c r="I390" s="3" t="str">
        <x:v>世代不明</x:v>
      </x:c>
      <x:c r="J390" s="22" t="n">
        <x:f>COUNT('中古車掲載'!AM167:AM167)</x:f>
        <x:v>0</x:v>
      </x:c>
      <x:c r="K390" s="22" t="str">
        <x:f>IF(COUNT('中古車掲載'!AM167:AM167)=0,"",QUARTILE('中古車掲載'!AM167:AM167,1))</x:f>
      </x:c>
      <x:c r="L390" s="22" t="str">
        <x:f>IF(COUNT('中古車掲載'!AM167:AM167)=0,"",MEDIAN('中古車掲載'!AM167:AM167))</x:f>
      </x:c>
      <x:c r="M390" s="22" t="str">
        <x:f>IF(COUNT('中古車掲載'!AM167:AM167)=0,"",QUARTILE('中古車掲載'!AM167:AM167,3))</x:f>
      </x:c>
      <x:c r="N390" s="22" t="n">
        <x:f>COUNT('中古車掲載'!AN167:AN167)</x:f>
        <x:v>0</x:v>
      </x:c>
      <x:c r="O390" s="23" t="str">
        <x:f>IF(COUNT('中古車掲載'!AN167:AN167)=0,"",MEDIAN('中古車掲載'!AN167:AN167))</x:f>
      </x:c>
      <x:c r="P390" s="3"/>
      <x:c r="Q390" s="3"/>
      <x:c r="R390" s="3"/>
      <x:c r="S390" s="3"/>
      <x:c r="T390" s="3"/>
      <x:c r="U390" s="3"/>
      <x:c r="V390" s="3"/>
      <x:c r="W390" s="3"/>
      <x:c r="X390" s="3"/>
      <x:c r="Y390" s="3"/>
      <x:c r="Z390" s="3"/>
      <x:c r="AA390" s="3"/>
      <x:c r="AB390" s="3"/>
      <x:c r="AC390" s="3"/>
      <x:c r="AD390" s="3"/>
      <x:c r="AE390" s="3"/>
      <x:c r="AF390" s="3"/>
      <x:c r="AG390" s="3"/>
      <x:c r="AH390" s="3"/>
      <x:c r="AI390" s="3"/>
      <x:c r="AJ390" s="3"/>
      <x:c r="AK390" s="3"/>
      <x:c r="AL390" s="3"/>
      <x:c r="AM390" s="3"/>
      <x:c r="AN390" s="3"/>
      <x:c r="AO390" s="3"/>
      <x:c r="AP390" s="3"/>
      <x:c r="AQ390" s="3"/>
      <x:c r="AR390" s="3"/>
      <x:c r="AS390" s="3"/>
      <x:c r="AT390" s="3"/>
      <x:c r="AU390" s="3"/>
      <x:c r="AV390" s="3"/>
      <x:c r="AW390" s="3"/>
      <x:c r="AX390" s="3"/>
      <x:c r="AY390" s="3"/>
      <x:c r="AZ390" s="3" t="str">
        <x:f>IF(AND('中古車掲載'!C391="One2car",'中古車掲載'!F391="ATTO 3",'中古車掲載'!L391="EXTENDED RANGE",'中古車掲載'!J391=2023,ISNUMBER('中古車掲載'!N391),'中古車掲載'!N391&gt;=20000,'中古車掲載'!O391&lt;=100000,'中古車掲載'!AL391=1),'中古車掲載'!U391,"")</x:f>
      </x:c>
      <x:c r="BA390" s="3" t="str">
        <x:f>IF(AND('中古車掲載'!C391="One2car",'中古車掲載'!F391="Corolla Cross",'中古車掲載'!L391="HEV PREMIUM SAFETY",'中古車掲載'!J391=2023,ISNUMBER('中古車掲載'!N391),'中古車掲載'!N391&gt;=20000,'中古車掲載'!O391&lt;=100000,'中古車掲載'!AL391=1,'中古車掲載'!Z391="https://www.one2car.com/en/cars-for-sale/toyota/corolla-cross/year-2023"),'中古車掲載'!U391,"")</x:f>
      </x:c>
      <x:c r="BB390" s="3" t="str">
        <x:f>IF(AND('中古車掲載'!C391="One2car",'中古車掲載'!F391="ATTO 3",'中古車掲載'!L391="EXTENDED RANGE",'中古車掲載'!J391=2023,ISNUMBER('中古車掲載'!N391),'中古車掲載'!N391&gt;=50000,'中古車掲載'!O391&lt;=100000,'中古車掲載'!AL391=1),'中古車掲載'!U391,"")</x:f>
      </x:c>
      <x:c r="BC390" s="3" t="str">
        <x:f>IF(AND('中古車掲載'!C391="One2car",'中古車掲載'!F391="Corolla Cross",'中古車掲載'!L391="HEV PREMIUM SAFETY",'中古車掲載'!J391=2023,ISNUMBER('中古車掲載'!N391),'中古車掲載'!N391&gt;=50000,'中古車掲載'!O391&lt;=100000,'中古車掲載'!AL391=1,'中古車掲載'!Z391="https://www.one2car.com/en/cars-for-sale/toyota/corolla-cross/year-2023"),'中古車掲載'!U391,"")</x:f>
      </x:c>
      <x:c r="BD390" s="3" t="str">
        <x:f>IF(AND('中古車掲載'!C391="One2car",'中古車掲載'!F391="ATTO 3",'中古車掲載'!L391="EXTENDED RANGE",'中古車掲載'!J391=2023,ISNUMBER('中古車掲載'!N391),'中古車掲載'!N391&gt;=20000,'中古車掲載'!O391&lt;=50000,'中古車掲載'!AL391=1),'中古車掲載'!U391,"")</x:f>
      </x:c>
      <x:c r="BE390" s="3" t="str">
        <x:f>IF(AND('中古車掲載'!C391="One2car",'中古車掲載'!F391="Corolla Cross",'中古車掲載'!L391="HEV PREMIUM SAFETY",'中古車掲載'!J391=2023,ISNUMBER('中古車掲載'!N391),'中古車掲載'!N391&gt;=20000,'中古車掲載'!O391&lt;=50000,'中古車掲載'!AL391=1,'中古車掲載'!Z391="https://www.one2car.com/en/cars-for-sale/toyota/corolla-cross/year-2023"),'中古車掲載'!U391,"")</x:f>
      </x:c>
      <x:c r="BF390" s="3" t="str">
        <x:f>IF(AND('中古車掲載'!C391="One2car",'中古車掲載'!F391="Corolla Cross",'中古車掲載'!L391="HEV PREMIUM",'中古車掲載'!J391=2023,ISNUMBER('中古車掲載'!N391),'中古車掲載'!N391&gt;=20000,'中古車掲載'!O391&lt;=100000,'中古車掲載'!AL391=1,'中古車掲載'!Z391="https://www.one2car.com/en/cars-for-sale/toyota/corolla-cross/year-2023"),'中古車掲載'!U391,"")</x:f>
      </x:c>
      <x:c r="BG390" s="3" t="str">
        <x:f>IF(AND('中古車掲載'!C391="One2car",'中古車掲載'!F391="Corolla Cross",'中古車掲載'!L391="HEV GR SPORT",'中古車掲載'!J391=2023,ISNUMBER('中古車掲載'!N391),'中古車掲載'!N391&gt;=20000,'中古車掲載'!O391&lt;=100000,'中古車掲載'!AL391=1,'中古車掲載'!Z391="https://www.one2car.com/en/cars-for-sale/toyota/corolla-cross/year-2023"),'中古車掲載'!U391,"")</x:f>
      </x:c>
      <x:c r="BH390" s="3" t="str">
        <x:f>IF(AND('中古車掲載'!C391="One2car",'中古車掲載'!F391="DOLPHIN",'中古車掲載'!L391="STANDARD RANGE",'中古車掲載'!J391=2023,ISNUMBER('中古車掲載'!N391),'中古車掲載'!N391&gt;=20000,'中古車掲載'!O391&lt;=100000,'中古車掲載'!AL391=1),'中古車掲載'!U391,"")</x:f>
      </x:c>
      <x:c r="BI390" s="3" t="str">
        <x:v>Taladrod|Corolla Cross|HEV|Unknown</x:v>
      </x:c>
      <x:c r="BJ390" s="3" t="n">
        <x:v>391</x:v>
      </x:c>
      <x:c r="BK390" s="3" t="n">
        <x:f>'中古車掲載'!AM391</x:f>
        <x:v>669000</x:v>
      </x:c>
      <x:c r="BL390" s="3" t="n">
        <x:f>IF(ISNUMBER('中古車掲載'!AN391),'中古車掲載'!AN391,"")</x:f>
        <x:v>0.6115173674588665</x:v>
      </x:c>
      <x:c r="BM390" s="3"/>
      <x:c r="BN390" s="3"/>
      <x:c r="BO390" s="3"/>
      <x:c r="BP390" s="3"/>
      <x:c r="BQ390" s="3"/>
      <x:c r="BR390" s="3"/>
    </x:row>
    <x:row r="391" ht="22" customHeight="1">
      <x:c r="A391" s="3" t="str">
        <x:v>ATTO 3</x:v>
      </x:c>
      <x:c r="B391" s="3" t="str">
        <x:v>BEV</x:v>
      </x:c>
      <x:c r="C391" s="3" t="str">
        <x:v>Taladrod</x:v>
      </x:c>
      <x:c r="D391" s="3" t="str">
        <x:v>SUV</x:v>
      </x:c>
      <x:c r="E391" s="3" t="str"/>
      <x:c r="F391" s="3" t="n">
        <x:v>2022</x:v>
      </x:c>
      <x:c r="G391" s="3" t="str">
        <x:v>EXTENDED</x:v>
      </x:c>
      <x:c r="H391" s="3" t="str">
        <x:v>50–100千km</x:v>
      </x:c>
      <x:c r="I391" s="3" t="str">
        <x:v>22-ปัจจุบัน</x:v>
      </x:c>
      <x:c r="J391" s="22" t="n">
        <x:f>COUNT('中古車掲載'!AM168:AM168)</x:f>
        <x:v>1</x:v>
      </x:c>
      <x:c r="K391" s="22" t="n">
        <x:f>IF(COUNT('中古車掲載'!AM168:AM168)=0,"",QUARTILE('中古車掲載'!AM168:AM168,1))</x:f>
        <x:v>445000</x:v>
      </x:c>
      <x:c r="L391" s="22" t="n">
        <x:f>IF(COUNT('中古車掲載'!AM168:AM168)=0,"",MEDIAN('中古車掲載'!AM168:AM168))</x:f>
        <x:v>445000</x:v>
      </x:c>
      <x:c r="M391" s="22" t="n">
        <x:f>IF(COUNT('中古車掲載'!AM168:AM168)=0,"",QUARTILE('中古車掲載'!AM168:AM168,3))</x:f>
        <x:v>445000</x:v>
      </x:c>
      <x:c r="N391" s="22" t="n">
        <x:f>COUNT('中古車掲載'!AN168:AN168)</x:f>
        <x:v>0</x:v>
      </x:c>
      <x:c r="O391" s="23" t="str">
        <x:f>IF(COUNT('中古車掲載'!AN168:AN168)=0,"",MEDIAN('中古車掲載'!AN168:AN168))</x:f>
      </x:c>
      <x:c r="P391" s="3"/>
      <x:c r="Q391" s="3"/>
      <x:c r="R391" s="3"/>
      <x:c r="S391" s="3"/>
      <x:c r="T391" s="3"/>
      <x:c r="U391" s="3"/>
      <x:c r="V391" s="3"/>
      <x:c r="W391" s="3"/>
      <x:c r="X391" s="3"/>
      <x:c r="Y391" s="3"/>
      <x:c r="Z391" s="3"/>
      <x:c r="AA391" s="3"/>
      <x:c r="AB391" s="3"/>
      <x:c r="AC391" s="3"/>
      <x:c r="AD391" s="3"/>
      <x:c r="AE391" s="3"/>
      <x:c r="AF391" s="3"/>
      <x:c r="AG391" s="3"/>
      <x:c r="AH391" s="3"/>
      <x:c r="AI391" s="3"/>
      <x:c r="AJ391" s="3"/>
      <x:c r="AK391" s="3"/>
      <x:c r="AL391" s="3"/>
      <x:c r="AM391" s="3"/>
      <x:c r="AN391" s="3"/>
      <x:c r="AO391" s="3"/>
      <x:c r="AP391" s="3"/>
      <x:c r="AQ391" s="3"/>
      <x:c r="AR391" s="3"/>
      <x:c r="AS391" s="3"/>
      <x:c r="AT391" s="3"/>
      <x:c r="AU391" s="3"/>
      <x:c r="AV391" s="3"/>
      <x:c r="AW391" s="3"/>
      <x:c r="AX391" s="3"/>
      <x:c r="AY391" s="3"/>
      <x:c r="AZ391" s="3" t="str">
        <x:f>IF(AND('中古車掲載'!C392="One2car",'中古車掲載'!F392="ATTO 3",'中古車掲載'!L392="EXTENDED RANGE",'中古車掲載'!J392=2023,ISNUMBER('中古車掲載'!N392),'中古車掲載'!N392&gt;=20000,'中古車掲載'!O392&lt;=100000,'中古車掲載'!AL392=1),'中古車掲載'!U392,"")</x:f>
      </x:c>
      <x:c r="BA391" s="3" t="str">
        <x:f>IF(AND('中古車掲載'!C392="One2car",'中古車掲載'!F392="Corolla Cross",'中古車掲載'!L392="HEV PREMIUM SAFETY",'中古車掲載'!J392=2023,ISNUMBER('中古車掲載'!N392),'中古車掲載'!N392&gt;=20000,'中古車掲載'!O392&lt;=100000,'中古車掲載'!AL392=1,'中古車掲載'!Z392="https://www.one2car.com/en/cars-for-sale/toyota/corolla-cross/year-2023"),'中古車掲載'!U392,"")</x:f>
      </x:c>
      <x:c r="BB391" s="3" t="str">
        <x:f>IF(AND('中古車掲載'!C392="One2car",'中古車掲載'!F392="ATTO 3",'中古車掲載'!L392="EXTENDED RANGE",'中古車掲載'!J392=2023,ISNUMBER('中古車掲載'!N392),'中古車掲載'!N392&gt;=50000,'中古車掲載'!O392&lt;=100000,'中古車掲載'!AL392=1),'中古車掲載'!U392,"")</x:f>
      </x:c>
      <x:c r="BC391" s="3" t="str">
        <x:f>IF(AND('中古車掲載'!C392="One2car",'中古車掲載'!F392="Corolla Cross",'中古車掲載'!L392="HEV PREMIUM SAFETY",'中古車掲載'!J392=2023,ISNUMBER('中古車掲載'!N392),'中古車掲載'!N392&gt;=50000,'中古車掲載'!O392&lt;=100000,'中古車掲載'!AL392=1,'中古車掲載'!Z392="https://www.one2car.com/en/cars-for-sale/toyota/corolla-cross/year-2023"),'中古車掲載'!U392,"")</x:f>
      </x:c>
      <x:c r="BD391" s="3" t="str">
        <x:f>IF(AND('中古車掲載'!C392="One2car",'中古車掲載'!F392="ATTO 3",'中古車掲載'!L392="EXTENDED RANGE",'中古車掲載'!J392=2023,ISNUMBER('中古車掲載'!N392),'中古車掲載'!N392&gt;=20000,'中古車掲載'!O392&lt;=50000,'中古車掲載'!AL392=1),'中古車掲載'!U392,"")</x:f>
      </x:c>
      <x:c r="BE391" s="3" t="str">
        <x:f>IF(AND('中古車掲載'!C392="One2car",'中古車掲載'!F392="Corolla Cross",'中古車掲載'!L392="HEV PREMIUM SAFETY",'中古車掲載'!J392=2023,ISNUMBER('中古車掲載'!N392),'中古車掲載'!N392&gt;=20000,'中古車掲載'!O392&lt;=50000,'中古車掲載'!AL392=1,'中古車掲載'!Z392="https://www.one2car.com/en/cars-for-sale/toyota/corolla-cross/year-2023"),'中古車掲載'!U392,"")</x:f>
      </x:c>
      <x:c r="BF391" s="3" t="str">
        <x:f>IF(AND('中古車掲載'!C392="One2car",'中古車掲載'!F392="Corolla Cross",'中古車掲載'!L392="HEV PREMIUM",'中古車掲載'!J392=2023,ISNUMBER('中古車掲載'!N392),'中古車掲載'!N392&gt;=20000,'中古車掲載'!O392&lt;=100000,'中古車掲載'!AL392=1,'中古車掲載'!Z392="https://www.one2car.com/en/cars-for-sale/toyota/corolla-cross/year-2023"),'中古車掲載'!U392,"")</x:f>
      </x:c>
      <x:c r="BG391" s="3" t="str">
        <x:f>IF(AND('中古車掲載'!C392="One2car",'中古車掲載'!F392="Corolla Cross",'中古車掲載'!L392="HEV GR SPORT",'中古車掲載'!J392=2023,ISNUMBER('中古車掲載'!N392),'中古車掲載'!N392&gt;=20000,'中古車掲載'!O392&lt;=100000,'中古車掲載'!AL392=1,'中古車掲載'!Z392="https://www.one2car.com/en/cars-for-sale/toyota/corolla-cross/year-2023"),'中古車掲載'!U392,"")</x:f>
      </x:c>
      <x:c r="BH391" s="3" t="str">
        <x:f>IF(AND('中古車掲載'!C392="One2car",'中古車掲載'!F392="DOLPHIN",'中古車掲載'!L392="STANDARD RANGE",'中古車掲載'!J392=2023,ISNUMBER('中古車掲載'!N392),'中古車掲載'!N392&gt;=20000,'中古車掲載'!O392&lt;=100000,'中古車掲載'!AL392=1),'中古車掲載'!U392,"")</x:f>
      </x:c>
      <x:c r="BI391" s="3" t="str">
        <x:v>Taladrod|Corolla Cross|HEV|Unknown</x:v>
      </x:c>
      <x:c r="BJ391" s="3" t="n">
        <x:v>392</x:v>
      </x:c>
      <x:c r="BK391" s="3" t="n">
        <x:f>'中古車掲載'!AM392</x:f>
        <x:v>670000</x:v>
      </x:c>
      <x:c r="BL391" s="3" t="n">
        <x:f>IF(ISNUMBER('中古車掲載'!AN392),'中古車掲載'!AN392,"")</x:f>
        <x:v>0.6124314442413162</x:v>
      </x:c>
      <x:c r="BM391" s="3"/>
      <x:c r="BN391" s="3"/>
      <x:c r="BO391" s="3"/>
      <x:c r="BP391" s="3"/>
      <x:c r="BQ391" s="3"/>
      <x:c r="BR391" s="3"/>
    </x:row>
    <x:row r="392" ht="22" customHeight="1">
      <x:c r="A392" s="3" t="str">
        <x:v>ATTO 3</x:v>
      </x:c>
      <x:c r="B392" s="3" t="str">
        <x:v>BEV</x:v>
      </x:c>
      <x:c r="C392" s="3" t="str">
        <x:v>Taladrod</x:v>
      </x:c>
      <x:c r="D392" s="3" t="str">
        <x:v>SUV</x:v>
      </x:c>
      <x:c r="E392" s="3" t="str"/>
      <x:c r="F392" s="3" t="n">
        <x:v>2022</x:v>
      </x:c>
      <x:c r="G392" s="3" t="str">
        <x:v>EXTENDED RANGE</x:v>
      </x:c>
      <x:c r="H392" s="3" t="str">
        <x:v>100–150千km</x:v>
      </x:c>
      <x:c r="I392" s="3" t="str">
        <x:v>22-ปัจจุบัน</x:v>
      </x:c>
      <x:c r="J392" s="22" t="n">
        <x:f>COUNT('中古車掲載'!AM169:AM169)</x:f>
        <x:v>1</x:v>
      </x:c>
      <x:c r="K392" s="22" t="n">
        <x:f>IF(COUNT('中古車掲載'!AM169:AM169)=0,"",QUARTILE('中古車掲載'!AM169:AM169,1))</x:f>
        <x:v>395000</x:v>
      </x:c>
      <x:c r="L392" s="22" t="n">
        <x:f>IF(COUNT('中古車掲載'!AM169:AM169)=0,"",MEDIAN('中古車掲載'!AM169:AM169))</x:f>
        <x:v>395000</x:v>
      </x:c>
      <x:c r="M392" s="22" t="n">
        <x:f>IF(COUNT('中古車掲載'!AM169:AM169)=0,"",QUARTILE('中古車掲載'!AM169:AM169,3))</x:f>
        <x:v>395000</x:v>
      </x:c>
      <x:c r="N392" s="22" t="n">
        <x:f>COUNT('中古車掲載'!AN169:AN169)</x:f>
        <x:v>1</x:v>
      </x:c>
      <x:c r="O392" s="23" t="n">
        <x:f>IF(COUNT('中古車掲載'!AN169:AN169)=0,"",MEDIAN('中古車掲載'!AN169:AN169))</x:f>
        <x:v>0.32919409950829237</x:v>
      </x:c>
      <x:c r="P392" s="3"/>
      <x:c r="Q392" s="3"/>
      <x:c r="R392" s="3"/>
      <x:c r="S392" s="3"/>
      <x:c r="T392" s="3"/>
      <x:c r="U392" s="3"/>
      <x:c r="V392" s="3"/>
      <x:c r="W392" s="3"/>
      <x:c r="X392" s="3"/>
      <x:c r="Y392" s="3"/>
      <x:c r="Z392" s="3"/>
      <x:c r="AA392" s="3"/>
      <x:c r="AB392" s="3"/>
      <x:c r="AC392" s="3"/>
      <x:c r="AD392" s="3"/>
      <x:c r="AE392" s="3"/>
      <x:c r="AF392" s="3"/>
      <x:c r="AG392" s="3"/>
      <x:c r="AH392" s="3"/>
      <x:c r="AI392" s="3"/>
      <x:c r="AJ392" s="3"/>
      <x:c r="AK392" s="3"/>
      <x:c r="AL392" s="3"/>
      <x:c r="AM392" s="3"/>
      <x:c r="AN392" s="3"/>
      <x:c r="AO392" s="3"/>
      <x:c r="AP392" s="3"/>
      <x:c r="AQ392" s="3"/>
      <x:c r="AR392" s="3"/>
      <x:c r="AS392" s="3"/>
      <x:c r="AT392" s="3"/>
      <x:c r="AU392" s="3"/>
      <x:c r="AV392" s="3"/>
      <x:c r="AW392" s="3"/>
      <x:c r="AX392" s="3"/>
      <x:c r="AY392" s="3"/>
      <x:c r="AZ392" s="3" t="str">
        <x:f>IF(AND('中古車掲載'!C393="One2car",'中古車掲載'!F393="ATTO 3",'中古車掲載'!L393="EXTENDED RANGE",'中古車掲載'!J393=2023,ISNUMBER('中古車掲載'!N393),'中古車掲載'!N393&gt;=20000,'中古車掲載'!O393&lt;=100000,'中古車掲載'!AL393=1),'中古車掲載'!U393,"")</x:f>
      </x:c>
      <x:c r="BA392" s="3" t="str">
        <x:f>IF(AND('中古車掲載'!C393="One2car",'中古車掲載'!F393="Corolla Cross",'中古車掲載'!L393="HEV PREMIUM SAFETY",'中古車掲載'!J393=2023,ISNUMBER('中古車掲載'!N393),'中古車掲載'!N393&gt;=20000,'中古車掲載'!O393&lt;=100000,'中古車掲載'!AL393=1,'中古車掲載'!Z393="https://www.one2car.com/en/cars-for-sale/toyota/corolla-cross/year-2023"),'中古車掲載'!U393,"")</x:f>
      </x:c>
      <x:c r="BB392" s="3" t="str">
        <x:f>IF(AND('中古車掲載'!C393="One2car",'中古車掲載'!F393="ATTO 3",'中古車掲載'!L393="EXTENDED RANGE",'中古車掲載'!J393=2023,ISNUMBER('中古車掲載'!N393),'中古車掲載'!N393&gt;=50000,'中古車掲載'!O393&lt;=100000,'中古車掲載'!AL393=1),'中古車掲載'!U393,"")</x:f>
      </x:c>
      <x:c r="BC392" s="3" t="str">
        <x:f>IF(AND('中古車掲載'!C393="One2car",'中古車掲載'!F393="Corolla Cross",'中古車掲載'!L393="HEV PREMIUM SAFETY",'中古車掲載'!J393=2023,ISNUMBER('中古車掲載'!N393),'中古車掲載'!N393&gt;=50000,'中古車掲載'!O393&lt;=100000,'中古車掲載'!AL393=1,'中古車掲載'!Z393="https://www.one2car.com/en/cars-for-sale/toyota/corolla-cross/year-2023"),'中古車掲載'!U393,"")</x:f>
      </x:c>
      <x:c r="BD392" s="3" t="str">
        <x:f>IF(AND('中古車掲載'!C393="One2car",'中古車掲載'!F393="ATTO 3",'中古車掲載'!L393="EXTENDED RANGE",'中古車掲載'!J393=2023,ISNUMBER('中古車掲載'!N393),'中古車掲載'!N393&gt;=20000,'中古車掲載'!O393&lt;=50000,'中古車掲載'!AL393=1),'中古車掲載'!U393,"")</x:f>
      </x:c>
      <x:c r="BE392" s="3" t="str">
        <x:f>IF(AND('中古車掲載'!C393="One2car",'中古車掲載'!F393="Corolla Cross",'中古車掲載'!L393="HEV PREMIUM SAFETY",'中古車掲載'!J393=2023,ISNUMBER('中古車掲載'!N393),'中古車掲載'!N393&gt;=20000,'中古車掲載'!O393&lt;=50000,'中古車掲載'!AL393=1,'中古車掲載'!Z393="https://www.one2car.com/en/cars-for-sale/toyota/corolla-cross/year-2023"),'中古車掲載'!U393,"")</x:f>
      </x:c>
      <x:c r="BF392" s="3" t="str">
        <x:f>IF(AND('中古車掲載'!C393="One2car",'中古車掲載'!F393="Corolla Cross",'中古車掲載'!L393="HEV PREMIUM",'中古車掲載'!J393=2023,ISNUMBER('中古車掲載'!N393),'中古車掲載'!N393&gt;=20000,'中古車掲載'!O393&lt;=100000,'中古車掲載'!AL393=1,'中古車掲載'!Z393="https://www.one2car.com/en/cars-for-sale/toyota/corolla-cross/year-2023"),'中古車掲載'!U393,"")</x:f>
      </x:c>
      <x:c r="BG392" s="3" t="str">
        <x:f>IF(AND('中古車掲載'!C393="One2car",'中古車掲載'!F393="Corolla Cross",'中古車掲載'!L393="HEV GR SPORT",'中古車掲載'!J393=2023,ISNUMBER('中古車掲載'!N393),'中古車掲載'!N393&gt;=20000,'中古車掲載'!O393&lt;=100000,'中古車掲載'!AL393=1,'中古車掲載'!Z393="https://www.one2car.com/en/cars-for-sale/toyota/corolla-cross/year-2023"),'中古車掲載'!U393,"")</x:f>
      </x:c>
      <x:c r="BH392" s="3" t="str">
        <x:f>IF(AND('中古車掲載'!C393="One2car",'中古車掲載'!F393="DOLPHIN",'中古車掲載'!L393="STANDARD RANGE",'中古車掲載'!J393=2023,ISNUMBER('中古車掲載'!N393),'中古車掲載'!N393&gt;=20000,'中古車掲載'!O393&lt;=100000,'中古車掲載'!AL393=1),'中古車掲載'!U393,"")</x:f>
      </x:c>
      <x:c r="BI392" s="3" t="str">
        <x:v>Taladrod|Corolla Cross|HEV|Unknown</x:v>
      </x:c>
      <x:c r="BJ392" s="3" t="n">
        <x:v>393</x:v>
      </x:c>
      <x:c r="BK392" s="3" t="n">
        <x:f>'中古車掲載'!AM393</x:f>
        <x:v>729000</x:v>
      </x:c>
      <x:c r="BL392" s="3" t="n">
        <x:f>IF(ISNUMBER('中古車掲載'!AN393),'中古車掲載'!AN393,"")</x:f>
        <x:v>0.6663619744058501</x:v>
      </x:c>
      <x:c r="BM392" s="3"/>
      <x:c r="BN392" s="3"/>
      <x:c r="BO392" s="3"/>
      <x:c r="BP392" s="3"/>
      <x:c r="BQ392" s="3"/>
      <x:c r="BR392" s="3"/>
    </x:row>
    <x:row r="393" ht="22" customHeight="1">
      <x:c r="A393" s="3" t="str">
        <x:v>ATTO 3</x:v>
      </x:c>
      <x:c r="B393" s="3" t="str">
        <x:v>BEV</x:v>
      </x:c>
      <x:c r="C393" s="3" t="str">
        <x:v>Taladrod</x:v>
      </x:c>
      <x:c r="D393" s="3" t="str">
        <x:v>SUV</x:v>
      </x:c>
      <x:c r="E393" s="3" t="str"/>
      <x:c r="F393" s="3" t="n">
        <x:v>2022</x:v>
      </x:c>
      <x:c r="G393" s="3" t="str">
        <x:v>EXTENDED RANGE</x:v>
      </x:c>
      <x:c r="H393" s="3" t="str">
        <x:v>150千km以上</x:v>
      </x:c>
      <x:c r="I393" s="3" t="str">
        <x:v>22-ปัจจุบัน</x:v>
      </x:c>
      <x:c r="J393" s="22" t="n">
        <x:f>COUNT('中古車掲載'!AM170:AM170)</x:f>
        <x:v>1</x:v>
      </x:c>
      <x:c r="K393" s="22" t="n">
        <x:f>IF(COUNT('中古車掲載'!AM170:AM170)=0,"",QUARTILE('中古車掲載'!AM170:AM170,1))</x:f>
        <x:v>320000</x:v>
      </x:c>
      <x:c r="L393" s="22" t="n">
        <x:f>IF(COUNT('中古車掲載'!AM170:AM170)=0,"",MEDIAN('中古車掲載'!AM170:AM170))</x:f>
        <x:v>320000</x:v>
      </x:c>
      <x:c r="M393" s="22" t="n">
        <x:f>IF(COUNT('中古車掲載'!AM170:AM170)=0,"",QUARTILE('中古車掲載'!AM170:AM170,3))</x:f>
        <x:v>320000</x:v>
      </x:c>
      <x:c r="N393" s="22" t="n">
        <x:f>COUNT('中古車掲載'!AN170:AN170)</x:f>
        <x:v>1</x:v>
      </x:c>
      <x:c r="O393" s="23" t="n">
        <x:f>IF(COUNT('中古車掲載'!AN170:AN170)=0,"",MEDIAN('中古車掲載'!AN170:AN170))</x:f>
        <x:v>0.2666888907408951</x:v>
      </x:c>
      <x:c r="P393" s="3"/>
      <x:c r="Q393" s="3"/>
      <x:c r="R393" s="3"/>
      <x:c r="S393" s="3"/>
      <x:c r="T393" s="3"/>
      <x:c r="U393" s="3"/>
      <x:c r="V393" s="3"/>
      <x:c r="W393" s="3"/>
      <x:c r="X393" s="3"/>
      <x:c r="Y393" s="3"/>
      <x:c r="Z393" s="3"/>
      <x:c r="AA393" s="3"/>
      <x:c r="AB393" s="3"/>
      <x:c r="AC393" s="3"/>
      <x:c r="AD393" s="3"/>
      <x:c r="AE393" s="3"/>
      <x:c r="AF393" s="3"/>
      <x:c r="AG393" s="3"/>
      <x:c r="AH393" s="3"/>
      <x:c r="AI393" s="3"/>
      <x:c r="AJ393" s="3"/>
      <x:c r="AK393" s="3"/>
      <x:c r="AL393" s="3"/>
      <x:c r="AM393" s="3"/>
      <x:c r="AN393" s="3"/>
      <x:c r="AO393" s="3"/>
      <x:c r="AP393" s="3"/>
      <x:c r="AQ393" s="3"/>
      <x:c r="AR393" s="3"/>
      <x:c r="AS393" s="3"/>
      <x:c r="AT393" s="3"/>
      <x:c r="AU393" s="3"/>
      <x:c r="AV393" s="3"/>
      <x:c r="AW393" s="3"/>
      <x:c r="AX393" s="3"/>
      <x:c r="AY393" s="3"/>
      <x:c r="AZ393" s="3" t="str">
        <x:f>IF(AND('中古車掲載'!C394="One2car",'中古車掲載'!F394="ATTO 3",'中古車掲載'!L394="EXTENDED RANGE",'中古車掲載'!J394=2023,ISNUMBER('中古車掲載'!N394),'中古車掲載'!N394&gt;=20000,'中古車掲載'!O394&lt;=100000,'中古車掲載'!AL394=1),'中古車掲載'!U394,"")</x:f>
      </x:c>
      <x:c r="BA393" s="3" t="str">
        <x:f>IF(AND('中古車掲載'!C394="One2car",'中古車掲載'!F394="Corolla Cross",'中古車掲載'!L394="HEV PREMIUM SAFETY",'中古車掲載'!J394=2023,ISNUMBER('中古車掲載'!N394),'中古車掲載'!N394&gt;=20000,'中古車掲載'!O394&lt;=100000,'中古車掲載'!AL394=1,'中古車掲載'!Z394="https://www.one2car.com/en/cars-for-sale/toyota/corolla-cross/year-2023"),'中古車掲載'!U394,"")</x:f>
      </x:c>
      <x:c r="BB393" s="3" t="str">
        <x:f>IF(AND('中古車掲載'!C394="One2car",'中古車掲載'!F394="ATTO 3",'中古車掲載'!L394="EXTENDED RANGE",'中古車掲載'!J394=2023,ISNUMBER('中古車掲載'!N394),'中古車掲載'!N394&gt;=50000,'中古車掲載'!O394&lt;=100000,'中古車掲載'!AL394=1),'中古車掲載'!U394,"")</x:f>
      </x:c>
      <x:c r="BC393" s="3" t="str">
        <x:f>IF(AND('中古車掲載'!C394="One2car",'中古車掲載'!F394="Corolla Cross",'中古車掲載'!L394="HEV PREMIUM SAFETY",'中古車掲載'!J394=2023,ISNUMBER('中古車掲載'!N394),'中古車掲載'!N394&gt;=50000,'中古車掲載'!O394&lt;=100000,'中古車掲載'!AL394=1,'中古車掲載'!Z394="https://www.one2car.com/en/cars-for-sale/toyota/corolla-cross/year-2023"),'中古車掲載'!U394,"")</x:f>
      </x:c>
      <x:c r="BD393" s="3" t="str">
        <x:f>IF(AND('中古車掲載'!C394="One2car",'中古車掲載'!F394="ATTO 3",'中古車掲載'!L394="EXTENDED RANGE",'中古車掲載'!J394=2023,ISNUMBER('中古車掲載'!N394),'中古車掲載'!N394&gt;=20000,'中古車掲載'!O394&lt;=50000,'中古車掲載'!AL394=1),'中古車掲載'!U394,"")</x:f>
      </x:c>
      <x:c r="BE393" s="3" t="str">
        <x:f>IF(AND('中古車掲載'!C394="One2car",'中古車掲載'!F394="Corolla Cross",'中古車掲載'!L394="HEV PREMIUM SAFETY",'中古車掲載'!J394=2023,ISNUMBER('中古車掲載'!N394),'中古車掲載'!N394&gt;=20000,'中古車掲載'!O394&lt;=50000,'中古車掲載'!AL394=1,'中古車掲載'!Z394="https://www.one2car.com/en/cars-for-sale/toyota/corolla-cross/year-2023"),'中古車掲載'!U394,"")</x:f>
      </x:c>
      <x:c r="BF393" s="3" t="str">
        <x:f>IF(AND('中古車掲載'!C394="One2car",'中古車掲載'!F394="Corolla Cross",'中古車掲載'!L394="HEV PREMIUM",'中古車掲載'!J394=2023,ISNUMBER('中古車掲載'!N394),'中古車掲載'!N394&gt;=20000,'中古車掲載'!O394&lt;=100000,'中古車掲載'!AL394=1,'中古車掲載'!Z394="https://www.one2car.com/en/cars-for-sale/toyota/corolla-cross/year-2023"),'中古車掲載'!U394,"")</x:f>
      </x:c>
      <x:c r="BG393" s="3" t="str">
        <x:f>IF(AND('中古車掲載'!C394="One2car",'中古車掲載'!F394="Corolla Cross",'中古車掲載'!L394="HEV GR SPORT",'中古車掲載'!J394=2023,ISNUMBER('中古車掲載'!N394),'中古車掲載'!N394&gt;=20000,'中古車掲載'!O394&lt;=100000,'中古車掲載'!AL394=1,'中古車掲載'!Z394="https://www.one2car.com/en/cars-for-sale/toyota/corolla-cross/year-2023"),'中古車掲載'!U394,"")</x:f>
      </x:c>
      <x:c r="BH393" s="3" t="str">
        <x:f>IF(AND('中古車掲載'!C394="One2car",'中古車掲載'!F394="DOLPHIN",'中古車掲載'!L394="STANDARD RANGE",'中古車掲載'!J394=2023,ISNUMBER('中古車掲載'!N394),'中古車掲載'!N394&gt;=20000,'中古車掲載'!O394&lt;=100000,'中古車掲載'!AL394=1),'中古車掲載'!U394,"")</x:f>
      </x:c>
      <x:c r="BI393" s="3" t="str">
        <x:v>Taladrod|Corolla Cross|HEV|Unknown</x:v>
      </x:c>
      <x:c r="BJ393" s="3" t="n">
        <x:v>394</x:v>
      </x:c>
      <x:c r="BK393" s="3" t="n">
        <x:f>'中古車掲載'!AM394</x:f>
        <x:v>799000</x:v>
      </x:c>
      <x:c r="BL393" s="3" t="n">
        <x:f>IF(ISNUMBER('中古車掲載'!AN394),'中古車掲載'!AN394,"")</x:f>
        <x:v>0.7303473491773309</x:v>
      </x:c>
      <x:c r="BM393" s="3"/>
      <x:c r="BN393" s="3"/>
      <x:c r="BO393" s="3"/>
      <x:c r="BP393" s="3"/>
      <x:c r="BQ393" s="3"/>
      <x:c r="BR393" s="3"/>
    </x:row>
    <x:row r="394" ht="22" customHeight="1">
      <x:c r="A394" s="3" t="str">
        <x:v>ATTO 3</x:v>
      </x:c>
      <x:c r="B394" s="3" t="str">
        <x:v>BEV</x:v>
      </x:c>
      <x:c r="C394" s="3" t="str">
        <x:v>Taladrod</x:v>
      </x:c>
      <x:c r="D394" s="3" t="str">
        <x:v>SUV</x:v>
      </x:c>
      <x:c r="E394" s="3" t="str"/>
      <x:c r="F394" s="3" t="n">
        <x:v>2022</x:v>
      </x:c>
      <x:c r="G394" s="3" t="str">
        <x:v>EXTENDED RANGE</x:v>
      </x:c>
      <x:c r="H394" s="3" t="str">
        <x:v>20–50千km</x:v>
      </x:c>
      <x:c r="I394" s="3" t="str">
        <x:v>22-ปัจจุบัน</x:v>
      </x:c>
      <x:c r="J394" s="22" t="n">
        <x:f>COUNT('中古車掲載'!AM171:AM171)</x:f>
        <x:v>1</x:v>
      </x:c>
      <x:c r="K394" s="22" t="n">
        <x:f>IF(COUNT('中古車掲載'!AM171:AM171)=0,"",QUARTILE('中古車掲載'!AM171:AM171,1))</x:f>
        <x:v>499000</x:v>
      </x:c>
      <x:c r="L394" s="22" t="n">
        <x:f>IF(COUNT('中古車掲載'!AM171:AM171)=0,"",MEDIAN('中古車掲載'!AM171:AM171))</x:f>
        <x:v>499000</x:v>
      </x:c>
      <x:c r="M394" s="22" t="n">
        <x:f>IF(COUNT('中古車掲載'!AM171:AM171)=0,"",QUARTILE('中古車掲載'!AM171:AM171,3))</x:f>
        <x:v>499000</x:v>
      </x:c>
      <x:c r="N394" s="22" t="n">
        <x:f>COUNT('中古車掲載'!AN171:AN171)</x:f>
        <x:v>1</x:v>
      </x:c>
      <x:c r="O394" s="23" t="n">
        <x:f>IF(COUNT('中古車掲載'!AN171:AN171)=0,"",MEDIAN('中古車掲載'!AN171:AN171))</x:f>
        <x:v>0.4158679889990833</x:v>
      </x:c>
      <x:c r="P394" s="3"/>
      <x:c r="Q394" s="3"/>
      <x:c r="R394" s="3"/>
      <x:c r="S394" s="3"/>
      <x:c r="T394" s="3"/>
      <x:c r="U394" s="3"/>
      <x:c r="V394" s="3"/>
      <x:c r="W394" s="3"/>
      <x:c r="X394" s="3"/>
      <x:c r="Y394" s="3"/>
      <x:c r="Z394" s="3"/>
      <x:c r="AA394" s="3"/>
      <x:c r="AB394" s="3"/>
      <x:c r="AC394" s="3"/>
      <x:c r="AD394" s="3"/>
      <x:c r="AE394" s="3"/>
      <x:c r="AF394" s="3"/>
      <x:c r="AG394" s="3"/>
      <x:c r="AH394" s="3"/>
      <x:c r="AI394" s="3"/>
      <x:c r="AJ394" s="3"/>
      <x:c r="AK394" s="3"/>
      <x:c r="AL394" s="3"/>
      <x:c r="AM394" s="3"/>
      <x:c r="AN394" s="3"/>
      <x:c r="AO394" s="3"/>
      <x:c r="AP394" s="3"/>
      <x:c r="AQ394" s="3"/>
      <x:c r="AR394" s="3"/>
      <x:c r="AS394" s="3"/>
      <x:c r="AT394" s="3"/>
      <x:c r="AU394" s="3"/>
      <x:c r="AV394" s="3"/>
      <x:c r="AW394" s="3"/>
      <x:c r="AX394" s="3"/>
      <x:c r="AY394" s="3"/>
      <x:c r="AZ394" s="3" t="str">
        <x:f>IF(AND('中古車掲載'!C395="One2car",'中古車掲載'!F395="ATTO 3",'中古車掲載'!L395="EXTENDED RANGE",'中古車掲載'!J395=2023,ISNUMBER('中古車掲載'!N395),'中古車掲載'!N395&gt;=20000,'中古車掲載'!O395&lt;=100000,'中古車掲載'!AL395=1),'中古車掲載'!U395,"")</x:f>
      </x:c>
      <x:c r="BA394" s="3" t="str">
        <x:f>IF(AND('中古車掲載'!C395="One2car",'中古車掲載'!F395="Corolla Cross",'中古車掲載'!L395="HEV PREMIUM SAFETY",'中古車掲載'!J395=2023,ISNUMBER('中古車掲載'!N395),'中古車掲載'!N395&gt;=20000,'中古車掲載'!O395&lt;=100000,'中古車掲載'!AL395=1,'中古車掲載'!Z395="https://www.one2car.com/en/cars-for-sale/toyota/corolla-cross/year-2023"),'中古車掲載'!U395,"")</x:f>
      </x:c>
      <x:c r="BB394" s="3" t="str">
        <x:f>IF(AND('中古車掲載'!C395="One2car",'中古車掲載'!F395="ATTO 3",'中古車掲載'!L395="EXTENDED RANGE",'中古車掲載'!J395=2023,ISNUMBER('中古車掲載'!N395),'中古車掲載'!N395&gt;=50000,'中古車掲載'!O395&lt;=100000,'中古車掲載'!AL395=1),'中古車掲載'!U395,"")</x:f>
      </x:c>
      <x:c r="BC394" s="3" t="str">
        <x:f>IF(AND('中古車掲載'!C395="One2car",'中古車掲載'!F395="Corolla Cross",'中古車掲載'!L395="HEV PREMIUM SAFETY",'中古車掲載'!J395=2023,ISNUMBER('中古車掲載'!N395),'中古車掲載'!N395&gt;=50000,'中古車掲載'!O395&lt;=100000,'中古車掲載'!AL395=1,'中古車掲載'!Z395="https://www.one2car.com/en/cars-for-sale/toyota/corolla-cross/year-2023"),'中古車掲載'!U395,"")</x:f>
      </x:c>
      <x:c r="BD394" s="3" t="str">
        <x:f>IF(AND('中古車掲載'!C395="One2car",'中古車掲載'!F395="ATTO 3",'中古車掲載'!L395="EXTENDED RANGE",'中古車掲載'!J395=2023,ISNUMBER('中古車掲載'!N395),'中古車掲載'!N395&gt;=20000,'中古車掲載'!O395&lt;=50000,'中古車掲載'!AL395=1),'中古車掲載'!U395,"")</x:f>
      </x:c>
      <x:c r="BE394" s="3" t="str">
        <x:f>IF(AND('中古車掲載'!C395="One2car",'中古車掲載'!F395="Corolla Cross",'中古車掲載'!L395="HEV PREMIUM SAFETY",'中古車掲載'!J395=2023,ISNUMBER('中古車掲載'!N395),'中古車掲載'!N395&gt;=20000,'中古車掲載'!O395&lt;=50000,'中古車掲載'!AL395=1,'中古車掲載'!Z395="https://www.one2car.com/en/cars-for-sale/toyota/corolla-cross/year-2023"),'中古車掲載'!U395,"")</x:f>
      </x:c>
      <x:c r="BF394" s="3" t="str">
        <x:f>IF(AND('中古車掲載'!C395="One2car",'中古車掲載'!F395="Corolla Cross",'中古車掲載'!L395="HEV PREMIUM",'中古車掲載'!J395=2023,ISNUMBER('中古車掲載'!N395),'中古車掲載'!N395&gt;=20000,'中古車掲載'!O395&lt;=100000,'中古車掲載'!AL395=1,'中古車掲載'!Z395="https://www.one2car.com/en/cars-for-sale/toyota/corolla-cross/year-2023"),'中古車掲載'!U395,"")</x:f>
      </x:c>
      <x:c r="BG394" s="3" t="str">
        <x:f>IF(AND('中古車掲載'!C395="One2car",'中古車掲載'!F395="Corolla Cross",'中古車掲載'!L395="HEV GR SPORT",'中古車掲載'!J395=2023,ISNUMBER('中古車掲載'!N395),'中古車掲載'!N395&gt;=20000,'中古車掲載'!O395&lt;=100000,'中古車掲載'!AL395=1,'中古車掲載'!Z395="https://www.one2car.com/en/cars-for-sale/toyota/corolla-cross/year-2023"),'中古車掲載'!U395,"")</x:f>
      </x:c>
      <x:c r="BH394" s="3" t="str">
        <x:f>IF(AND('中古車掲載'!C395="One2car",'中古車掲載'!F395="DOLPHIN",'中古車掲載'!L395="STANDARD RANGE",'中古車掲載'!J395=2023,ISNUMBER('中古車掲載'!N395),'中古車掲載'!N395&gt;=20000,'中古車掲載'!O395&lt;=100000,'中古車掲載'!AL395=1),'中古車掲載'!U395,"")</x:f>
      </x:c>
      <x:c r="BI394" s="3" t="str">
        <x:v>Taladrod|Corolla Cross|HEV|Unknown</x:v>
      </x:c>
      <x:c r="BJ394" s="3" t="n">
        <x:v>395</x:v>
      </x:c>
      <x:c r="BK394" s="3" t="n">
        <x:f>'中古車掲載'!AM395</x:f>
        <x:v>629000</x:v>
      </x:c>
      <x:c r="BL394" s="3" t="n">
        <x:f>IF(ISNUMBER('中古車掲載'!AN395),'中古車掲載'!AN395,"")</x:f>
        <x:v>0.5749542961608776</x:v>
      </x:c>
      <x:c r="BM394" s="3"/>
      <x:c r="BN394" s="3"/>
      <x:c r="BO394" s="3"/>
      <x:c r="BP394" s="3"/>
      <x:c r="BQ394" s="3"/>
      <x:c r="BR394" s="3"/>
    </x:row>
    <x:row r="395" ht="22" customHeight="1">
      <x:c r="A395" s="3" t="str">
        <x:v>ATTO 3</x:v>
      </x:c>
      <x:c r="B395" s="3" t="str">
        <x:v>BEV</x:v>
      </x:c>
      <x:c r="C395" s="3" t="str">
        <x:v>Taladrod</x:v>
      </x:c>
      <x:c r="D395" s="3" t="str">
        <x:v>SUV</x:v>
      </x:c>
      <x:c r="E395" s="3" t="str"/>
      <x:c r="F395" s="3" t="n">
        <x:v>2022</x:v>
      </x:c>
      <x:c r="G395" s="3" t="str">
        <x:v>STANDARD RANGE</x:v>
      </x:c>
      <x:c r="H395" s="3" t="str">
        <x:v>100–150千km</x:v>
      </x:c>
      <x:c r="I395" s="3" t="str">
        <x:v>22-ปัจจุบัน</x:v>
      </x:c>
      <x:c r="J395" s="22" t="n">
        <x:f>COUNT('中古車掲載'!AM172:AM172)</x:f>
        <x:v>1</x:v>
      </x:c>
      <x:c r="K395" s="22" t="n">
        <x:f>IF(COUNT('中古車掲載'!AM172:AM172)=0,"",QUARTILE('中古車掲載'!AM172:AM172,1))</x:f>
        <x:v>625000</x:v>
      </x:c>
      <x:c r="L395" s="22" t="n">
        <x:f>IF(COUNT('中古車掲載'!AM172:AM172)=0,"",MEDIAN('中古車掲載'!AM172:AM172))</x:f>
        <x:v>625000</x:v>
      </x:c>
      <x:c r="M395" s="22" t="n">
        <x:f>IF(COUNT('中古車掲載'!AM172:AM172)=0,"",QUARTILE('中古車掲載'!AM172:AM172,3))</x:f>
        <x:v>625000</x:v>
      </x:c>
      <x:c r="N395" s="22" t="n">
        <x:f>COUNT('中古車掲載'!AN172:AN172)</x:f>
        <x:v>1</x:v>
      </x:c>
      <x:c r="O395" s="23" t="n">
        <x:f>IF(COUNT('中古車掲載'!AN172:AN172)=0,"",MEDIAN('中古車掲載'!AN172:AN172))</x:f>
        <x:v>0.5682334757705246</x:v>
      </x:c>
      <x:c r="P395" s="3"/>
      <x:c r="Q395" s="3"/>
      <x:c r="R395" s="3"/>
      <x:c r="S395" s="3"/>
      <x:c r="T395" s="3"/>
      <x:c r="U395" s="3"/>
      <x:c r="V395" s="3"/>
      <x:c r="W395" s="3"/>
      <x:c r="X395" s="3"/>
      <x:c r="Y395" s="3"/>
      <x:c r="Z395" s="3"/>
      <x:c r="AA395" s="3"/>
      <x:c r="AB395" s="3"/>
      <x:c r="AC395" s="3"/>
      <x:c r="AD395" s="3"/>
      <x:c r="AE395" s="3"/>
      <x:c r="AF395" s="3"/>
      <x:c r="AG395" s="3"/>
      <x:c r="AH395" s="3"/>
      <x:c r="AI395" s="3"/>
      <x:c r="AJ395" s="3"/>
      <x:c r="AK395" s="3"/>
      <x:c r="AL395" s="3"/>
      <x:c r="AM395" s="3"/>
      <x:c r="AN395" s="3"/>
      <x:c r="AO395" s="3"/>
      <x:c r="AP395" s="3"/>
      <x:c r="AQ395" s="3"/>
      <x:c r="AR395" s="3"/>
      <x:c r="AS395" s="3"/>
      <x:c r="AT395" s="3"/>
      <x:c r="AU395" s="3"/>
      <x:c r="AV395" s="3"/>
      <x:c r="AW395" s="3"/>
      <x:c r="AX395" s="3"/>
      <x:c r="AY395" s="3"/>
      <x:c r="AZ395" s="3" t="str">
        <x:f>IF(AND('中古車掲載'!C396="One2car",'中古車掲載'!F396="ATTO 3",'中古車掲載'!L396="EXTENDED RANGE",'中古車掲載'!J396=2023,ISNUMBER('中古車掲載'!N396),'中古車掲載'!N396&gt;=20000,'中古車掲載'!O396&lt;=100000,'中古車掲載'!AL396=1),'中古車掲載'!U396,"")</x:f>
      </x:c>
      <x:c r="BA395" s="3" t="str">
        <x:f>IF(AND('中古車掲載'!C396="One2car",'中古車掲載'!F396="Corolla Cross",'中古車掲載'!L396="HEV PREMIUM SAFETY",'中古車掲載'!J396=2023,ISNUMBER('中古車掲載'!N396),'中古車掲載'!N396&gt;=20000,'中古車掲載'!O396&lt;=100000,'中古車掲載'!AL396=1,'中古車掲載'!Z396="https://www.one2car.com/en/cars-for-sale/toyota/corolla-cross/year-2023"),'中古車掲載'!U396,"")</x:f>
      </x:c>
      <x:c r="BB395" s="3" t="str">
        <x:f>IF(AND('中古車掲載'!C396="One2car",'中古車掲載'!F396="ATTO 3",'中古車掲載'!L396="EXTENDED RANGE",'中古車掲載'!J396=2023,ISNUMBER('中古車掲載'!N396),'中古車掲載'!N396&gt;=50000,'中古車掲載'!O396&lt;=100000,'中古車掲載'!AL396=1),'中古車掲載'!U396,"")</x:f>
      </x:c>
      <x:c r="BC395" s="3" t="str">
        <x:f>IF(AND('中古車掲載'!C396="One2car",'中古車掲載'!F396="Corolla Cross",'中古車掲載'!L396="HEV PREMIUM SAFETY",'中古車掲載'!J396=2023,ISNUMBER('中古車掲載'!N396),'中古車掲載'!N396&gt;=50000,'中古車掲載'!O396&lt;=100000,'中古車掲載'!AL396=1,'中古車掲載'!Z396="https://www.one2car.com/en/cars-for-sale/toyota/corolla-cross/year-2023"),'中古車掲載'!U396,"")</x:f>
      </x:c>
      <x:c r="BD395" s="3" t="str">
        <x:f>IF(AND('中古車掲載'!C396="One2car",'中古車掲載'!F396="ATTO 3",'中古車掲載'!L396="EXTENDED RANGE",'中古車掲載'!J396=2023,ISNUMBER('中古車掲載'!N396),'中古車掲載'!N396&gt;=20000,'中古車掲載'!O396&lt;=50000,'中古車掲載'!AL396=1),'中古車掲載'!U396,"")</x:f>
      </x:c>
      <x:c r="BE395" s="3" t="str">
        <x:f>IF(AND('中古車掲載'!C396="One2car",'中古車掲載'!F396="Corolla Cross",'中古車掲載'!L396="HEV PREMIUM SAFETY",'中古車掲載'!J396=2023,ISNUMBER('中古車掲載'!N396),'中古車掲載'!N396&gt;=20000,'中古車掲載'!O396&lt;=50000,'中古車掲載'!AL396=1,'中古車掲載'!Z396="https://www.one2car.com/en/cars-for-sale/toyota/corolla-cross/year-2023"),'中古車掲載'!U396,"")</x:f>
      </x:c>
      <x:c r="BF395" s="3" t="str">
        <x:f>IF(AND('中古車掲載'!C396="One2car",'中古車掲載'!F396="Corolla Cross",'中古車掲載'!L396="HEV PREMIUM",'中古車掲載'!J396=2023,ISNUMBER('中古車掲載'!N396),'中古車掲載'!N396&gt;=20000,'中古車掲載'!O396&lt;=100000,'中古車掲載'!AL396=1,'中古車掲載'!Z396="https://www.one2car.com/en/cars-for-sale/toyota/corolla-cross/year-2023"),'中古車掲載'!U396,"")</x:f>
      </x:c>
      <x:c r="BG395" s="3" t="str">
        <x:f>IF(AND('中古車掲載'!C396="One2car",'中古車掲載'!F396="Corolla Cross",'中古車掲載'!L396="HEV GR SPORT",'中古車掲載'!J396=2023,ISNUMBER('中古車掲載'!N396),'中古車掲載'!N396&gt;=20000,'中古車掲載'!O396&lt;=100000,'中古車掲載'!AL396=1,'中古車掲載'!Z396="https://www.one2car.com/en/cars-for-sale/toyota/corolla-cross/year-2023"),'中古車掲載'!U396,"")</x:f>
      </x:c>
      <x:c r="BH395" s="3" t="str">
        <x:f>IF(AND('中古車掲載'!C396="One2car",'中古車掲載'!F396="DOLPHIN",'中古車掲載'!L396="STANDARD RANGE",'中古車掲載'!J396=2023,ISNUMBER('中古車掲載'!N396),'中古車掲載'!N396&gt;=20000,'中古車掲載'!O396&lt;=100000,'中古車掲載'!AL396=1),'中古車掲載'!U396,"")</x:f>
      </x:c>
      <x:c r="BI395" s="3" t="str">
        <x:v>Taladrod|Corolla Cross|HEV|Unknown</x:v>
      </x:c>
      <x:c r="BJ395" s="3" t="n">
        <x:v>396</x:v>
      </x:c>
      <x:c r="BK395" s="3" t="n">
        <x:f>'中古車掲載'!AM396</x:f>
        <x:v>848000</x:v>
      </x:c>
      <x:c r="BL395" s="3" t="n">
        <x:f>IF(ISNUMBER('中古車掲載'!AN396),'中古車掲載'!AN396,"")</x:f>
        <x:v>0.7043189368770764</x:v>
      </x:c>
      <x:c r="BM395" s="3"/>
      <x:c r="BN395" s="3"/>
      <x:c r="BO395" s="3"/>
      <x:c r="BP395" s="3"/>
      <x:c r="BQ395" s="3"/>
      <x:c r="BR395" s="3"/>
    </x:row>
    <x:row r="396" ht="22" customHeight="1">
      <x:c r="A396" s="3" t="str">
        <x:v>ATTO 3</x:v>
      </x:c>
      <x:c r="B396" s="3" t="str">
        <x:v>BEV</x:v>
      </x:c>
      <x:c r="C396" s="3" t="str">
        <x:v>Taladrod</x:v>
      </x:c>
      <x:c r="D396" s="3" t="str">
        <x:v>SUV</x:v>
      </x:c>
      <x:c r="E396" s="3" t="str"/>
      <x:c r="F396" s="3" t="n">
        <x:v>2022</x:v>
      </x:c>
      <x:c r="G396" s="3" t="str">
        <x:v>STANDARD RANGE</x:v>
      </x:c>
      <x:c r="H396" s="3" t="str">
        <x:v>150千km以上</x:v>
      </x:c>
      <x:c r="I396" s="3" t="str">
        <x:v>22-ปัจจุบัน</x:v>
      </x:c>
      <x:c r="J396" s="22" t="n">
        <x:f>COUNT('中古車掲載'!AM173:AM173)</x:f>
        <x:v>1</x:v>
      </x:c>
      <x:c r="K396" s="22" t="n">
        <x:f>IF(COUNT('中古車掲載'!AM173:AM173)=0,"",QUARTILE('中古車掲載'!AM173:AM173,1))</x:f>
        <x:v>420000</x:v>
      </x:c>
      <x:c r="L396" s="22" t="n">
        <x:f>IF(COUNT('中古車掲載'!AM173:AM173)=0,"",MEDIAN('中古車掲載'!AM173:AM173))</x:f>
        <x:v>420000</x:v>
      </x:c>
      <x:c r="M396" s="22" t="n">
        <x:f>IF(COUNT('中古車掲載'!AM173:AM173)=0,"",QUARTILE('中古車掲載'!AM173:AM173,3))</x:f>
        <x:v>420000</x:v>
      </x:c>
      <x:c r="N396" s="22" t="n">
        <x:f>COUNT('中古車掲載'!AN173:AN173)</x:f>
        <x:v>1</x:v>
      </x:c>
      <x:c r="O396" s="23" t="n">
        <x:f>IF(COUNT('中古車掲載'!AN173:AN173)=0,"",MEDIAN('中古車掲載'!AN173:AN173))</x:f>
        <x:v>0.3818528957177925</x:v>
      </x:c>
      <x:c r="P396" s="3"/>
      <x:c r="Q396" s="3"/>
      <x:c r="R396" s="3"/>
      <x:c r="S396" s="3"/>
      <x:c r="T396" s="3"/>
      <x:c r="U396" s="3"/>
      <x:c r="V396" s="3"/>
      <x:c r="W396" s="3"/>
      <x:c r="X396" s="3"/>
      <x:c r="Y396" s="3"/>
      <x:c r="Z396" s="3"/>
      <x:c r="AA396" s="3"/>
      <x:c r="AB396" s="3"/>
      <x:c r="AC396" s="3"/>
      <x:c r="AD396" s="3"/>
      <x:c r="AE396" s="3"/>
      <x:c r="AF396" s="3"/>
      <x:c r="AG396" s="3"/>
      <x:c r="AH396" s="3"/>
      <x:c r="AI396" s="3"/>
      <x:c r="AJ396" s="3"/>
      <x:c r="AK396" s="3"/>
      <x:c r="AL396" s="3"/>
      <x:c r="AM396" s="3"/>
      <x:c r="AN396" s="3"/>
      <x:c r="AO396" s="3"/>
      <x:c r="AP396" s="3"/>
      <x:c r="AQ396" s="3"/>
      <x:c r="AR396" s="3"/>
      <x:c r="AS396" s="3"/>
      <x:c r="AT396" s="3"/>
      <x:c r="AU396" s="3"/>
      <x:c r="AV396" s="3"/>
      <x:c r="AW396" s="3"/>
      <x:c r="AX396" s="3"/>
      <x:c r="AY396" s="3"/>
      <x:c r="AZ396" s="3" t="str">
        <x:f>IF(AND('中古車掲載'!C397="One2car",'中古車掲載'!F397="ATTO 3",'中古車掲載'!L397="EXTENDED RANGE",'中古車掲載'!J397=2023,ISNUMBER('中古車掲載'!N397),'中古車掲載'!N397&gt;=20000,'中古車掲載'!O397&lt;=100000,'中古車掲載'!AL397=1),'中古車掲載'!U397,"")</x:f>
      </x:c>
      <x:c r="BA396" s="3" t="str">
        <x:f>IF(AND('中古車掲載'!C397="One2car",'中古車掲載'!F397="Corolla Cross",'中古車掲載'!L397="HEV PREMIUM SAFETY",'中古車掲載'!J397=2023,ISNUMBER('中古車掲載'!N397),'中古車掲載'!N397&gt;=20000,'中古車掲載'!O397&lt;=100000,'中古車掲載'!AL397=1,'中古車掲載'!Z397="https://www.one2car.com/en/cars-for-sale/toyota/corolla-cross/year-2023"),'中古車掲載'!U397,"")</x:f>
      </x:c>
      <x:c r="BB396" s="3" t="str">
        <x:f>IF(AND('中古車掲載'!C397="One2car",'中古車掲載'!F397="ATTO 3",'中古車掲載'!L397="EXTENDED RANGE",'中古車掲載'!J397=2023,ISNUMBER('中古車掲載'!N397),'中古車掲載'!N397&gt;=50000,'中古車掲載'!O397&lt;=100000,'中古車掲載'!AL397=1),'中古車掲載'!U397,"")</x:f>
      </x:c>
      <x:c r="BC396" s="3" t="str">
        <x:f>IF(AND('中古車掲載'!C397="One2car",'中古車掲載'!F397="Corolla Cross",'中古車掲載'!L397="HEV PREMIUM SAFETY",'中古車掲載'!J397=2023,ISNUMBER('中古車掲載'!N397),'中古車掲載'!N397&gt;=50000,'中古車掲載'!O397&lt;=100000,'中古車掲載'!AL397=1,'中古車掲載'!Z397="https://www.one2car.com/en/cars-for-sale/toyota/corolla-cross/year-2023"),'中古車掲載'!U397,"")</x:f>
      </x:c>
      <x:c r="BD396" s="3" t="str">
        <x:f>IF(AND('中古車掲載'!C397="One2car",'中古車掲載'!F397="ATTO 3",'中古車掲載'!L397="EXTENDED RANGE",'中古車掲載'!J397=2023,ISNUMBER('中古車掲載'!N397),'中古車掲載'!N397&gt;=20000,'中古車掲載'!O397&lt;=50000,'中古車掲載'!AL397=1),'中古車掲載'!U397,"")</x:f>
      </x:c>
      <x:c r="BE396" s="3" t="str">
        <x:f>IF(AND('中古車掲載'!C397="One2car",'中古車掲載'!F397="Corolla Cross",'中古車掲載'!L397="HEV PREMIUM SAFETY",'中古車掲載'!J397=2023,ISNUMBER('中古車掲載'!N397),'中古車掲載'!N397&gt;=20000,'中古車掲載'!O397&lt;=50000,'中古車掲載'!AL397=1,'中古車掲載'!Z397="https://www.one2car.com/en/cars-for-sale/toyota/corolla-cross/year-2023"),'中古車掲載'!U397,"")</x:f>
      </x:c>
      <x:c r="BF396" s="3" t="str">
        <x:f>IF(AND('中古車掲載'!C397="One2car",'中古車掲載'!F397="Corolla Cross",'中古車掲載'!L397="HEV PREMIUM",'中古車掲載'!J397=2023,ISNUMBER('中古車掲載'!N397),'中古車掲載'!N397&gt;=20000,'中古車掲載'!O397&lt;=100000,'中古車掲載'!AL397=1,'中古車掲載'!Z397="https://www.one2car.com/en/cars-for-sale/toyota/corolla-cross/year-2023"),'中古車掲載'!U397,"")</x:f>
      </x:c>
      <x:c r="BG396" s="3" t="str">
        <x:f>IF(AND('中古車掲載'!C397="One2car",'中古車掲載'!F397="Corolla Cross",'中古車掲載'!L397="HEV GR SPORT",'中古車掲載'!J397=2023,ISNUMBER('中古車掲載'!N397),'中古車掲載'!N397&gt;=20000,'中古車掲載'!O397&lt;=100000,'中古車掲載'!AL397=1,'中古車掲載'!Z397="https://www.one2car.com/en/cars-for-sale/toyota/corolla-cross/year-2023"),'中古車掲載'!U397,"")</x:f>
      </x:c>
      <x:c r="BH396" s="3" t="str">
        <x:f>IF(AND('中古車掲載'!C397="One2car",'中古車掲載'!F397="DOLPHIN",'中古車掲載'!L397="STANDARD RANGE",'中古車掲載'!J397=2023,ISNUMBER('中古車掲載'!N397),'中古車掲載'!N397&gt;=20000,'中古車掲載'!O397&lt;=100000,'中古車掲載'!AL397=1),'中古車掲載'!U397,"")</x:f>
      </x:c>
      <x:c r="BI396" s="3" t="str">
        <x:v>Taladrod|Corolla Cross|HEV|Unknown</x:v>
      </x:c>
      <x:c r="BJ396" s="3" t="n">
        <x:v>397</x:v>
      </x:c>
      <x:c r="BK396" s="3" t="n">
        <x:f>'中古車掲載'!AM397</x:f>
        <x:v>759000</x:v>
      </x:c>
      <x:c r="BL396" s="3" t="n">
        <x:f>IF(ISNUMBER('中古車掲載'!AN397),'中古車掲載'!AN397,"")</x:f>
        <x:v>0.6303986710963455</x:v>
      </x:c>
      <x:c r="BM396" s="3"/>
      <x:c r="BN396" s="3"/>
      <x:c r="BO396" s="3"/>
      <x:c r="BP396" s="3"/>
      <x:c r="BQ396" s="3"/>
      <x:c r="BR396" s="3"/>
    </x:row>
    <x:row r="397" ht="22" customHeight="1">
      <x:c r="A397" s="3" t="str">
        <x:v>ATTO 3</x:v>
      </x:c>
      <x:c r="B397" s="3" t="str">
        <x:v>BEV</x:v>
      </x:c>
      <x:c r="C397" s="3" t="str">
        <x:v>Taladrod</x:v>
      </x:c>
      <x:c r="D397" s="3" t="str">
        <x:v>SUV</x:v>
      </x:c>
      <x:c r="E397" s="3" t="str"/>
      <x:c r="F397" s="3" t="n">
        <x:v>2023</x:v>
      </x:c>
      <x:c r="G397" s="3" t="str">
        <x:v>EXTENDED RANGE</x:v>
      </x:c>
      <x:c r="H397" s="3" t="str">
        <x:v>50–100千km</x:v>
      </x:c>
      <x:c r="I397" s="3" t="str">
        <x:v>22-ปัจจุบัน</x:v>
      </x:c>
      <x:c r="J397" s="22" t="n">
        <x:f>COUNT('中古車掲載'!AM174:AM176)</x:f>
        <x:v>3</x:v>
      </x:c>
      <x:c r="K397" s="22" t="n">
        <x:f>IF(COUNT('中古車掲載'!AM174:AM176)=0,"",QUARTILE('中古車掲載'!AM174:AM176,1))</x:f>
        <x:v>454000</x:v>
      </x:c>
      <x:c r="L397" s="22" t="n">
        <x:f>IF(COUNT('中古車掲載'!AM174:AM176)=0,"",MEDIAN('中古車掲載'!AM174:AM176))</x:f>
        <x:v>469000</x:v>
      </x:c>
      <x:c r="M397" s="22" t="n">
        <x:f>IF(COUNT('中古車掲載'!AM174:AM176)=0,"",QUARTILE('中古車掲載'!AM174:AM176,3))</x:f>
        <x:v>474000</x:v>
      </x:c>
      <x:c r="N397" s="22" t="n">
        <x:f>COUNT('中古車掲載'!AN174:AN176)</x:f>
        <x:v>3</x:v>
      </x:c>
      <x:c r="O397" s="23" t="n">
        <x:f>IF(COUNT('中古車掲載'!AN174:AN176)=0,"",MEDIAN('中古車掲載'!AN174:AN176))</x:f>
        <x:v>0.39086590549212435</x:v>
      </x:c>
      <x:c r="P397" s="3"/>
      <x:c r="Q397" s="3"/>
      <x:c r="R397" s="3"/>
      <x:c r="S397" s="3"/>
      <x:c r="T397" s="3"/>
      <x:c r="U397" s="3"/>
      <x:c r="V397" s="3"/>
      <x:c r="W397" s="3"/>
      <x:c r="X397" s="3"/>
      <x:c r="Y397" s="3"/>
      <x:c r="Z397" s="3"/>
      <x:c r="AA397" s="3"/>
      <x:c r="AB397" s="3"/>
      <x:c r="AC397" s="3"/>
      <x:c r="AD397" s="3"/>
      <x:c r="AE397" s="3"/>
      <x:c r="AF397" s="3"/>
      <x:c r="AG397" s="3"/>
      <x:c r="AH397" s="3"/>
      <x:c r="AI397" s="3"/>
      <x:c r="AJ397" s="3"/>
      <x:c r="AK397" s="3"/>
      <x:c r="AL397" s="3"/>
      <x:c r="AM397" s="3"/>
      <x:c r="AN397" s="3"/>
      <x:c r="AO397" s="3"/>
      <x:c r="AP397" s="3"/>
      <x:c r="AQ397" s="3"/>
      <x:c r="AR397" s="3"/>
      <x:c r="AS397" s="3"/>
      <x:c r="AT397" s="3"/>
      <x:c r="AU397" s="3"/>
      <x:c r="AV397" s="3"/>
      <x:c r="AW397" s="3"/>
      <x:c r="AX397" s="3"/>
      <x:c r="AY397" s="3"/>
      <x:c r="AZ397" s="3" t="str">
        <x:f>IF(AND('中古車掲載'!C398="One2car",'中古車掲載'!F398="ATTO 3",'中古車掲載'!L398="EXTENDED RANGE",'中古車掲載'!J398=2023,ISNUMBER('中古車掲載'!N398),'中古車掲載'!N398&gt;=20000,'中古車掲載'!O398&lt;=100000,'中古車掲載'!AL398=1),'中古車掲載'!U398,"")</x:f>
      </x:c>
      <x:c r="BA397" s="3" t="str">
        <x:f>IF(AND('中古車掲載'!C398="One2car",'中古車掲載'!F398="Corolla Cross",'中古車掲載'!L398="HEV PREMIUM SAFETY",'中古車掲載'!J398=2023,ISNUMBER('中古車掲載'!N398),'中古車掲載'!N398&gt;=20000,'中古車掲載'!O398&lt;=100000,'中古車掲載'!AL398=1,'中古車掲載'!Z398="https://www.one2car.com/en/cars-for-sale/toyota/corolla-cross/year-2023"),'中古車掲載'!U398,"")</x:f>
      </x:c>
      <x:c r="BB397" s="3" t="str">
        <x:f>IF(AND('中古車掲載'!C398="One2car",'中古車掲載'!F398="ATTO 3",'中古車掲載'!L398="EXTENDED RANGE",'中古車掲載'!J398=2023,ISNUMBER('中古車掲載'!N398),'中古車掲載'!N398&gt;=50000,'中古車掲載'!O398&lt;=100000,'中古車掲載'!AL398=1),'中古車掲載'!U398,"")</x:f>
      </x:c>
      <x:c r="BC397" s="3" t="str">
        <x:f>IF(AND('中古車掲載'!C398="One2car",'中古車掲載'!F398="Corolla Cross",'中古車掲載'!L398="HEV PREMIUM SAFETY",'中古車掲載'!J398=2023,ISNUMBER('中古車掲載'!N398),'中古車掲載'!N398&gt;=50000,'中古車掲載'!O398&lt;=100000,'中古車掲載'!AL398=1,'中古車掲載'!Z398="https://www.one2car.com/en/cars-for-sale/toyota/corolla-cross/year-2023"),'中古車掲載'!U398,"")</x:f>
      </x:c>
      <x:c r="BD397" s="3" t="str">
        <x:f>IF(AND('中古車掲載'!C398="One2car",'中古車掲載'!F398="ATTO 3",'中古車掲載'!L398="EXTENDED RANGE",'中古車掲載'!J398=2023,ISNUMBER('中古車掲載'!N398),'中古車掲載'!N398&gt;=20000,'中古車掲載'!O398&lt;=50000,'中古車掲載'!AL398=1),'中古車掲載'!U398,"")</x:f>
      </x:c>
      <x:c r="BE397" s="3" t="str">
        <x:f>IF(AND('中古車掲載'!C398="One2car",'中古車掲載'!F398="Corolla Cross",'中古車掲載'!L398="HEV PREMIUM SAFETY",'中古車掲載'!J398=2023,ISNUMBER('中古車掲載'!N398),'中古車掲載'!N398&gt;=20000,'中古車掲載'!O398&lt;=50000,'中古車掲載'!AL398=1,'中古車掲載'!Z398="https://www.one2car.com/en/cars-for-sale/toyota/corolla-cross/year-2023"),'中古車掲載'!U398,"")</x:f>
      </x:c>
      <x:c r="BF397" s="3" t="str">
        <x:f>IF(AND('中古車掲載'!C398="One2car",'中古車掲載'!F398="Corolla Cross",'中古車掲載'!L398="HEV PREMIUM",'中古車掲載'!J398=2023,ISNUMBER('中古車掲載'!N398),'中古車掲載'!N398&gt;=20000,'中古車掲載'!O398&lt;=100000,'中古車掲載'!AL398=1,'中古車掲載'!Z398="https://www.one2car.com/en/cars-for-sale/toyota/corolla-cross/year-2023"),'中古車掲載'!U398,"")</x:f>
      </x:c>
      <x:c r="BG397" s="3" t="str">
        <x:f>IF(AND('中古車掲載'!C398="One2car",'中古車掲載'!F398="Corolla Cross",'中古車掲載'!L398="HEV GR SPORT",'中古車掲載'!J398=2023,ISNUMBER('中古車掲載'!N398),'中古車掲載'!N398&gt;=20000,'中古車掲載'!O398&lt;=100000,'中古車掲載'!AL398=1,'中古車掲載'!Z398="https://www.one2car.com/en/cars-for-sale/toyota/corolla-cross/year-2023"),'中古車掲載'!U398,"")</x:f>
      </x:c>
      <x:c r="BH397" s="3" t="str">
        <x:f>IF(AND('中古車掲載'!C398="One2car",'中古車掲載'!F398="DOLPHIN",'中古車掲載'!L398="STANDARD RANGE",'中古車掲載'!J398=2023,ISNUMBER('中古車掲載'!N398),'中古車掲載'!N398&gt;=20000,'中古車掲載'!O398&lt;=100000,'中古車掲載'!AL398=1),'中古車掲載'!U398,"")</x:f>
      </x:c>
      <x:c r="BI397" s="3" t="str">
        <x:v>Taladrod|Corolla Cross|HEV|Unknown</x:v>
      </x:c>
      <x:c r="BJ397" s="3" t="n">
        <x:v>398</x:v>
      </x:c>
      <x:c r="BK397" s="3" t="n">
        <x:f>'中古車掲載'!AM398</x:f>
        <x:v>699000</x:v>
      </x:c>
      <x:c r="BL397" s="3" t="n">
        <x:f>IF(ISNUMBER('中古車掲載'!AN398),'中古車掲載'!AN398,"")</x:f>
        <x:v>0.5805647840531561</x:v>
      </x:c>
      <x:c r="BM397" s="3"/>
      <x:c r="BN397" s="3"/>
      <x:c r="BO397" s="3"/>
      <x:c r="BP397" s="3"/>
      <x:c r="BQ397" s="3"/>
      <x:c r="BR397" s="3"/>
    </x:row>
    <x:row r="398" ht="22" customHeight="1">
      <x:c r="A398" s="3" t="str">
        <x:v>ATTO 3</x:v>
      </x:c>
      <x:c r="B398" s="3" t="str">
        <x:v>BEV</x:v>
      </x:c>
      <x:c r="C398" s="3" t="str">
        <x:v>Taladrod</x:v>
      </x:c>
      <x:c r="D398" s="3" t="str">
        <x:v>SUV</x:v>
      </x:c>
      <x:c r="E398" s="3" t="str"/>
      <x:c r="F398" s="3" t="n">
        <x:v>2023</x:v>
      </x:c>
      <x:c r="G398" s="3" t="str">
        <x:v>EXTENDED RANGE</x:v>
      </x:c>
      <x:c r="H398" s="3" t="str">
        <x:v>&lt;20千km</x:v>
      </x:c>
      <x:c r="I398" s="3" t="str">
        <x:v>22-ปัจจุบัน</x:v>
      </x:c>
      <x:c r="J398" s="22" t="n">
        <x:f>COUNT('中古車掲載'!AM177:AM177)</x:f>
        <x:v>1</x:v>
      </x:c>
      <x:c r="K398" s="22" t="n">
        <x:f>IF(COUNT('中古車掲載'!AM177:AM177)=0,"",QUARTILE('中古車掲載'!AM177:AM177,1))</x:f>
        <x:v>519000</x:v>
      </x:c>
      <x:c r="L398" s="22" t="n">
        <x:f>IF(COUNT('中古車掲載'!AM177:AM177)=0,"",MEDIAN('中古車掲載'!AM177:AM177))</x:f>
        <x:v>519000</x:v>
      </x:c>
      <x:c r="M398" s="22" t="n">
        <x:f>IF(COUNT('中古車掲載'!AM177:AM177)=0,"",QUARTILE('中古車掲載'!AM177:AM177,3))</x:f>
        <x:v>519000</x:v>
      </x:c>
      <x:c r="N398" s="22" t="n">
        <x:f>COUNT('中古車掲載'!AN177:AN177)</x:f>
        <x:v>1</x:v>
      </x:c>
      <x:c r="O398" s="23" t="n">
        <x:f>IF(COUNT('中古車掲載'!AN177:AN177)=0,"",MEDIAN('中古車掲載'!AN177:AN177))</x:f>
        <x:v>0.4325360446703892</x:v>
      </x:c>
      <x:c r="P398" s="3"/>
      <x:c r="Q398" s="3"/>
      <x:c r="R398" s="3"/>
      <x:c r="S398" s="3"/>
      <x:c r="T398" s="3"/>
      <x:c r="U398" s="3"/>
      <x:c r="V398" s="3"/>
      <x:c r="W398" s="3"/>
      <x:c r="X398" s="3"/>
      <x:c r="Y398" s="3"/>
      <x:c r="Z398" s="3"/>
      <x:c r="AA398" s="3"/>
      <x:c r="AB398" s="3"/>
      <x:c r="AC398" s="3"/>
      <x:c r="AD398" s="3"/>
      <x:c r="AE398" s="3"/>
      <x:c r="AF398" s="3"/>
      <x:c r="AG398" s="3"/>
      <x:c r="AH398" s="3"/>
      <x:c r="AI398" s="3"/>
      <x:c r="AJ398" s="3"/>
      <x:c r="AK398" s="3"/>
      <x:c r="AL398" s="3"/>
      <x:c r="AM398" s="3"/>
      <x:c r="AN398" s="3"/>
      <x:c r="AO398" s="3"/>
      <x:c r="AP398" s="3"/>
      <x:c r="AQ398" s="3"/>
      <x:c r="AR398" s="3"/>
      <x:c r="AS398" s="3"/>
      <x:c r="AT398" s="3"/>
      <x:c r="AU398" s="3"/>
      <x:c r="AV398" s="3"/>
      <x:c r="AW398" s="3"/>
      <x:c r="AX398" s="3"/>
      <x:c r="AY398" s="3"/>
      <x:c r="AZ398" s="3" t="str">
        <x:f>IF(AND('中古車掲載'!C399="One2car",'中古車掲載'!F399="ATTO 3",'中古車掲載'!L399="EXTENDED RANGE",'中古車掲載'!J399=2023,ISNUMBER('中古車掲載'!N399),'中古車掲載'!N399&gt;=20000,'中古車掲載'!O399&lt;=100000,'中古車掲載'!AL399=1),'中古車掲載'!U399,"")</x:f>
      </x:c>
      <x:c r="BA398" s="3" t="str">
        <x:f>IF(AND('中古車掲載'!C399="One2car",'中古車掲載'!F399="Corolla Cross",'中古車掲載'!L399="HEV PREMIUM SAFETY",'中古車掲載'!J399=2023,ISNUMBER('中古車掲載'!N399),'中古車掲載'!N399&gt;=20000,'中古車掲載'!O399&lt;=100000,'中古車掲載'!AL399=1,'中古車掲載'!Z399="https://www.one2car.com/en/cars-for-sale/toyota/corolla-cross/year-2023"),'中古車掲載'!U399,"")</x:f>
      </x:c>
      <x:c r="BB398" s="3" t="str">
        <x:f>IF(AND('中古車掲載'!C399="One2car",'中古車掲載'!F399="ATTO 3",'中古車掲載'!L399="EXTENDED RANGE",'中古車掲載'!J399=2023,ISNUMBER('中古車掲載'!N399),'中古車掲載'!N399&gt;=50000,'中古車掲載'!O399&lt;=100000,'中古車掲載'!AL399=1),'中古車掲載'!U399,"")</x:f>
      </x:c>
      <x:c r="BC398" s="3" t="str">
        <x:f>IF(AND('中古車掲載'!C399="One2car",'中古車掲載'!F399="Corolla Cross",'中古車掲載'!L399="HEV PREMIUM SAFETY",'中古車掲載'!J399=2023,ISNUMBER('中古車掲載'!N399),'中古車掲載'!N399&gt;=50000,'中古車掲載'!O399&lt;=100000,'中古車掲載'!AL399=1,'中古車掲載'!Z399="https://www.one2car.com/en/cars-for-sale/toyota/corolla-cross/year-2023"),'中古車掲載'!U399,"")</x:f>
      </x:c>
      <x:c r="BD398" s="3" t="str">
        <x:f>IF(AND('中古車掲載'!C399="One2car",'中古車掲載'!F399="ATTO 3",'中古車掲載'!L399="EXTENDED RANGE",'中古車掲載'!J399=2023,ISNUMBER('中古車掲載'!N399),'中古車掲載'!N399&gt;=20000,'中古車掲載'!O399&lt;=50000,'中古車掲載'!AL399=1),'中古車掲載'!U399,"")</x:f>
      </x:c>
      <x:c r="BE398" s="3" t="str">
        <x:f>IF(AND('中古車掲載'!C399="One2car",'中古車掲載'!F399="Corolla Cross",'中古車掲載'!L399="HEV PREMIUM SAFETY",'中古車掲載'!J399=2023,ISNUMBER('中古車掲載'!N399),'中古車掲載'!N399&gt;=20000,'中古車掲載'!O399&lt;=50000,'中古車掲載'!AL399=1,'中古車掲載'!Z399="https://www.one2car.com/en/cars-for-sale/toyota/corolla-cross/year-2023"),'中古車掲載'!U399,"")</x:f>
      </x:c>
      <x:c r="BF398" s="3" t="str">
        <x:f>IF(AND('中古車掲載'!C399="One2car",'中古車掲載'!F399="Corolla Cross",'中古車掲載'!L399="HEV PREMIUM",'中古車掲載'!J399=2023,ISNUMBER('中古車掲載'!N399),'中古車掲載'!N399&gt;=20000,'中古車掲載'!O399&lt;=100000,'中古車掲載'!AL399=1,'中古車掲載'!Z399="https://www.one2car.com/en/cars-for-sale/toyota/corolla-cross/year-2023"),'中古車掲載'!U399,"")</x:f>
      </x:c>
      <x:c r="BG398" s="3" t="str">
        <x:f>IF(AND('中古車掲載'!C399="One2car",'中古車掲載'!F399="Corolla Cross",'中古車掲載'!L399="HEV GR SPORT",'中古車掲載'!J399=2023,ISNUMBER('中古車掲載'!N399),'中古車掲載'!N399&gt;=20000,'中古車掲載'!O399&lt;=100000,'中古車掲載'!AL399=1,'中古車掲載'!Z399="https://www.one2car.com/en/cars-for-sale/toyota/corolla-cross/year-2023"),'中古車掲載'!U399,"")</x:f>
      </x:c>
      <x:c r="BH398" s="3" t="str">
        <x:f>IF(AND('中古車掲載'!C399="One2car",'中古車掲載'!F399="DOLPHIN",'中古車掲載'!L399="STANDARD RANGE",'中古車掲載'!J399=2023,ISNUMBER('中古車掲載'!N399),'中古車掲載'!N399&gt;=20000,'中古車掲載'!O399&lt;=100000,'中古車掲載'!AL399=1),'中古車掲載'!U399,"")</x:f>
      </x:c>
      <x:c r="BI398" s="3" t="str">
        <x:v>Taladrod|Corolla Cross|HEV|Unknown</x:v>
      </x:c>
      <x:c r="BJ398" s="3" t="n">
        <x:v>399</x:v>
      </x:c>
      <x:c r="BK398" s="3" t="n">
        <x:f>'中古車掲載'!AM399</x:f>
        <x:v>739000</x:v>
      </x:c>
      <x:c r="BL398" s="3" t="n">
        <x:f>IF(ISNUMBER('中古車掲載'!AN399),'中古車掲載'!AN399,"")</x:f>
        <x:v>0.6137873754152824</x:v>
      </x:c>
      <x:c r="BM398" s="3"/>
      <x:c r="BN398" s="3"/>
      <x:c r="BO398" s="3"/>
      <x:c r="BP398" s="3"/>
      <x:c r="BQ398" s="3"/>
      <x:c r="BR398" s="3"/>
    </x:row>
    <x:row r="399" ht="22" customHeight="1">
      <x:c r="A399" s="3" t="str">
        <x:v>ATTO 3</x:v>
      </x:c>
      <x:c r="B399" s="3" t="str">
        <x:v>BEV</x:v>
      </x:c>
      <x:c r="C399" s="3" t="str">
        <x:v>Taladrod</x:v>
      </x:c>
      <x:c r="D399" s="3" t="str">
        <x:v>SUV</x:v>
      </x:c>
      <x:c r="E399" s="3" t="str"/>
      <x:c r="F399" s="3" t="n">
        <x:v>2023</x:v>
      </x:c>
      <x:c r="G399" s="3" t="str">
        <x:v>STANDARD RANGE</x:v>
      </x:c>
      <x:c r="H399" s="3" t="str">
        <x:v>50–100千km</x:v>
      </x:c>
      <x:c r="I399" s="3" t="str">
        <x:v>22-ปัจจุบัน</x:v>
      </x:c>
      <x:c r="J399" s="22" t="n">
        <x:f>COUNT('中古車掲載'!AM178:AM178)</x:f>
        <x:v>1</x:v>
      </x:c>
      <x:c r="K399" s="22" t="n">
        <x:f>IF(COUNT('中古車掲載'!AM178:AM178)=0,"",QUARTILE('中古車掲載'!AM178:AM178,1))</x:f>
        <x:v>439000</x:v>
      </x:c>
      <x:c r="L399" s="22" t="n">
        <x:f>IF(COUNT('中古車掲載'!AM178:AM178)=0,"",MEDIAN('中古車掲載'!AM178:AM178))</x:f>
        <x:v>439000</x:v>
      </x:c>
      <x:c r="M399" s="22" t="n">
        <x:f>IF(COUNT('中古車掲載'!AM178:AM178)=0,"",QUARTILE('中古車掲載'!AM178:AM178,3))</x:f>
        <x:v>439000</x:v>
      </x:c>
      <x:c r="N399" s="22" t="n">
        <x:f>COUNT('中古車掲載'!AN178:AN178)</x:f>
        <x:v>1</x:v>
      </x:c>
      <x:c r="O399" s="23" t="n">
        <x:f>IF(COUNT('中古車掲載'!AN178:AN178)=0,"",MEDIAN('中古車掲載'!AN178:AN178))</x:f>
        <x:v>0.3991271933812165</x:v>
      </x:c>
      <x:c r="P399" s="3"/>
      <x:c r="Q399" s="3"/>
      <x:c r="R399" s="3"/>
      <x:c r="S399" s="3"/>
      <x:c r="T399" s="3"/>
      <x:c r="U399" s="3"/>
      <x:c r="V399" s="3"/>
      <x:c r="W399" s="3"/>
      <x:c r="X399" s="3"/>
      <x:c r="Y399" s="3"/>
      <x:c r="Z399" s="3"/>
      <x:c r="AA399" s="3"/>
      <x:c r="AB399" s="3"/>
      <x:c r="AC399" s="3"/>
      <x:c r="AD399" s="3"/>
      <x:c r="AE399" s="3"/>
      <x:c r="AF399" s="3"/>
      <x:c r="AG399" s="3"/>
      <x:c r="AH399" s="3"/>
      <x:c r="AI399" s="3"/>
      <x:c r="AJ399" s="3"/>
      <x:c r="AK399" s="3"/>
      <x:c r="AL399" s="3"/>
      <x:c r="AM399" s="3"/>
      <x:c r="AN399" s="3"/>
      <x:c r="AO399" s="3"/>
      <x:c r="AP399" s="3"/>
      <x:c r="AQ399" s="3"/>
      <x:c r="AR399" s="3"/>
      <x:c r="AS399" s="3"/>
      <x:c r="AT399" s="3"/>
      <x:c r="AU399" s="3"/>
      <x:c r="AV399" s="3"/>
      <x:c r="AW399" s="3"/>
      <x:c r="AX399" s="3"/>
      <x:c r="AY399" s="3"/>
      <x:c r="AZ399" s="3" t="str">
        <x:f>IF(AND('中古車掲載'!C400="One2car",'中古車掲載'!F400="ATTO 3",'中古車掲載'!L400="EXTENDED RANGE",'中古車掲載'!J400=2023,ISNUMBER('中古車掲載'!N400),'中古車掲載'!N400&gt;=20000,'中古車掲載'!O400&lt;=100000,'中古車掲載'!AL400=1),'中古車掲載'!U400,"")</x:f>
      </x:c>
      <x:c r="BA399" s="3" t="str">
        <x:f>IF(AND('中古車掲載'!C400="One2car",'中古車掲載'!F400="Corolla Cross",'中古車掲載'!L400="HEV PREMIUM SAFETY",'中古車掲載'!J400=2023,ISNUMBER('中古車掲載'!N400),'中古車掲載'!N400&gt;=20000,'中古車掲載'!O400&lt;=100000,'中古車掲載'!AL400=1,'中古車掲載'!Z400="https://www.one2car.com/en/cars-for-sale/toyota/corolla-cross/year-2023"),'中古車掲載'!U400,"")</x:f>
      </x:c>
      <x:c r="BB399" s="3" t="str">
        <x:f>IF(AND('中古車掲載'!C400="One2car",'中古車掲載'!F400="ATTO 3",'中古車掲載'!L400="EXTENDED RANGE",'中古車掲載'!J400=2023,ISNUMBER('中古車掲載'!N400),'中古車掲載'!N400&gt;=50000,'中古車掲載'!O400&lt;=100000,'中古車掲載'!AL400=1),'中古車掲載'!U400,"")</x:f>
      </x:c>
      <x:c r="BC399" s="3" t="str">
        <x:f>IF(AND('中古車掲載'!C400="One2car",'中古車掲載'!F400="Corolla Cross",'中古車掲載'!L400="HEV PREMIUM SAFETY",'中古車掲載'!J400=2023,ISNUMBER('中古車掲載'!N400),'中古車掲載'!N400&gt;=50000,'中古車掲載'!O400&lt;=100000,'中古車掲載'!AL400=1,'中古車掲載'!Z400="https://www.one2car.com/en/cars-for-sale/toyota/corolla-cross/year-2023"),'中古車掲載'!U400,"")</x:f>
      </x:c>
      <x:c r="BD399" s="3" t="str">
        <x:f>IF(AND('中古車掲載'!C400="One2car",'中古車掲載'!F400="ATTO 3",'中古車掲載'!L400="EXTENDED RANGE",'中古車掲載'!J400=2023,ISNUMBER('中古車掲載'!N400),'中古車掲載'!N400&gt;=20000,'中古車掲載'!O400&lt;=50000,'中古車掲載'!AL400=1),'中古車掲載'!U400,"")</x:f>
      </x:c>
      <x:c r="BE399" s="3" t="str">
        <x:f>IF(AND('中古車掲載'!C400="One2car",'中古車掲載'!F400="Corolla Cross",'中古車掲載'!L400="HEV PREMIUM SAFETY",'中古車掲載'!J400=2023,ISNUMBER('中古車掲載'!N400),'中古車掲載'!N400&gt;=20000,'中古車掲載'!O400&lt;=50000,'中古車掲載'!AL400=1,'中古車掲載'!Z400="https://www.one2car.com/en/cars-for-sale/toyota/corolla-cross/year-2023"),'中古車掲載'!U400,"")</x:f>
      </x:c>
      <x:c r="BF399" s="3" t="str">
        <x:f>IF(AND('中古車掲載'!C400="One2car",'中古車掲載'!F400="Corolla Cross",'中古車掲載'!L400="HEV PREMIUM",'中古車掲載'!J400=2023,ISNUMBER('中古車掲載'!N400),'中古車掲載'!N400&gt;=20000,'中古車掲載'!O400&lt;=100000,'中古車掲載'!AL400=1,'中古車掲載'!Z400="https://www.one2car.com/en/cars-for-sale/toyota/corolla-cross/year-2023"),'中古車掲載'!U400,"")</x:f>
      </x:c>
      <x:c r="BG399" s="3" t="str">
        <x:f>IF(AND('中古車掲載'!C400="One2car",'中古車掲載'!F400="Corolla Cross",'中古車掲載'!L400="HEV GR SPORT",'中古車掲載'!J400=2023,ISNUMBER('中古車掲載'!N400),'中古車掲載'!N400&gt;=20000,'中古車掲載'!O400&lt;=100000,'中古車掲載'!AL400=1,'中古車掲載'!Z400="https://www.one2car.com/en/cars-for-sale/toyota/corolla-cross/year-2023"),'中古車掲載'!U400,"")</x:f>
      </x:c>
      <x:c r="BH399" s="3" t="str">
        <x:f>IF(AND('中古車掲載'!C400="One2car",'中古車掲載'!F400="DOLPHIN",'中古車掲載'!L400="STANDARD RANGE",'中古車掲載'!J400=2023,ISNUMBER('中古車掲載'!N400),'中古車掲載'!N400&gt;=20000,'中古車掲載'!O400&lt;=100000,'中古車掲載'!AL400=1),'中古車掲載'!U400,"")</x:f>
      </x:c>
      <x:c r="BI399" s="3" t="str">
        <x:v>Taladrod|Corolla Cross|HEV|Unknown</x:v>
      </x:c>
      <x:c r="BJ399" s="3" t="n">
        <x:v>400</x:v>
      </x:c>
      <x:c r="BK399" s="3" t="n">
        <x:f>'中古車掲載'!AM400</x:f>
        <x:v>755000</x:v>
      </x:c>
      <x:c r="BL399" s="3" t="n">
        <x:f>IF(ISNUMBER('中古車掲載'!AN400),'中古車掲載'!AN400,"")</x:f>
        <x:v>0.6270764119601329</x:v>
      </x:c>
      <x:c r="BM399" s="3"/>
      <x:c r="BN399" s="3"/>
      <x:c r="BO399" s="3"/>
      <x:c r="BP399" s="3"/>
      <x:c r="BQ399" s="3"/>
      <x:c r="BR399" s="3"/>
    </x:row>
    <x:row r="400" ht="22" customHeight="1">
      <x:c r="A400" s="3" t="str">
        <x:v>ATTO 3</x:v>
      </x:c>
      <x:c r="B400" s="3" t="str">
        <x:v>BEV</x:v>
      </x:c>
      <x:c r="C400" s="3" t="str">
        <x:v>Taladrod</x:v>
      </x:c>
      <x:c r="D400" s="3" t="str">
        <x:v>SUV</x:v>
      </x:c>
      <x:c r="E400" s="3" t="str"/>
      <x:c r="F400" s="3" t="n">
        <x:v>2023</x:v>
      </x:c>
      <x:c r="G400" s="3" t="str">
        <x:v>グレード不明</x:v>
      </x:c>
      <x:c r="H400" s="3" t="str">
        <x:v>未掲載</x:v>
      </x:c>
      <x:c r="I400" s="3" t="str">
        <x:v>22-ปัจจุบัน</x:v>
      </x:c>
      <x:c r="J400" s="22" t="n">
        <x:f>COUNT('中古車掲載'!AM179:AM179)</x:f>
        <x:v>1</x:v>
      </x:c>
      <x:c r="K400" s="22" t="n">
        <x:f>IF(COUNT('中古車掲載'!AM179:AM179)=0,"",QUARTILE('中古車掲載'!AM179:AM179,1))</x:f>
        <x:v>420000</x:v>
      </x:c>
      <x:c r="L400" s="22" t="n">
        <x:f>IF(COUNT('中古車掲載'!AM179:AM179)=0,"",MEDIAN('中古車掲載'!AM179:AM179))</x:f>
        <x:v>420000</x:v>
      </x:c>
      <x:c r="M400" s="22" t="n">
        <x:f>IF(COUNT('中古車掲載'!AM179:AM179)=0,"",QUARTILE('中古車掲載'!AM179:AM179,3))</x:f>
        <x:v>420000</x:v>
      </x:c>
      <x:c r="N400" s="22" t="n">
        <x:f>COUNT('中古車掲載'!AN179:AN179)</x:f>
        <x:v>0</x:v>
      </x:c>
      <x:c r="O400" s="23" t="str">
        <x:f>IF(COUNT('中古車掲載'!AN179:AN179)=0,"",MEDIAN('中古車掲載'!AN179:AN179))</x:f>
      </x:c>
      <x:c r="P400" s="3"/>
      <x:c r="Q400" s="3"/>
      <x:c r="R400" s="3"/>
      <x:c r="S400" s="3"/>
      <x:c r="T400" s="3"/>
      <x:c r="U400" s="3"/>
      <x:c r="V400" s="3"/>
      <x:c r="W400" s="3"/>
      <x:c r="X400" s="3"/>
      <x:c r="Y400" s="3"/>
      <x:c r="Z400" s="3"/>
      <x:c r="AA400" s="3"/>
      <x:c r="AB400" s="3"/>
      <x:c r="AC400" s="3"/>
      <x:c r="AD400" s="3"/>
      <x:c r="AE400" s="3"/>
      <x:c r="AF400" s="3"/>
      <x:c r="AG400" s="3"/>
      <x:c r="AH400" s="3"/>
      <x:c r="AI400" s="3"/>
      <x:c r="AJ400" s="3"/>
      <x:c r="AK400" s="3"/>
      <x:c r="AL400" s="3"/>
      <x:c r="AM400" s="3"/>
      <x:c r="AN400" s="3"/>
      <x:c r="AO400" s="3"/>
      <x:c r="AP400" s="3"/>
      <x:c r="AQ400" s="3"/>
      <x:c r="AR400" s="3"/>
      <x:c r="AS400" s="3"/>
      <x:c r="AT400" s="3"/>
      <x:c r="AU400" s="3"/>
      <x:c r="AV400" s="3"/>
      <x:c r="AW400" s="3"/>
      <x:c r="AX400" s="3"/>
      <x:c r="AY400" s="3"/>
      <x:c r="AZ400" s="3" t="str">
        <x:f>IF(AND('中古車掲載'!C401="One2car",'中古車掲載'!F401="ATTO 3",'中古車掲載'!L401="EXTENDED RANGE",'中古車掲載'!J401=2023,ISNUMBER('中古車掲載'!N401),'中古車掲載'!N401&gt;=20000,'中古車掲載'!O401&lt;=100000,'中古車掲載'!AL401=1),'中古車掲載'!U401,"")</x:f>
      </x:c>
      <x:c r="BA400" s="3" t="str">
        <x:f>IF(AND('中古車掲載'!C401="One2car",'中古車掲載'!F401="Corolla Cross",'中古車掲載'!L401="HEV PREMIUM SAFETY",'中古車掲載'!J401=2023,ISNUMBER('中古車掲載'!N401),'中古車掲載'!N401&gt;=20000,'中古車掲載'!O401&lt;=100000,'中古車掲載'!AL401=1,'中古車掲載'!Z401="https://www.one2car.com/en/cars-for-sale/toyota/corolla-cross/year-2023"),'中古車掲載'!U401,"")</x:f>
      </x:c>
      <x:c r="BB400" s="3" t="str">
        <x:f>IF(AND('中古車掲載'!C401="One2car",'中古車掲載'!F401="ATTO 3",'中古車掲載'!L401="EXTENDED RANGE",'中古車掲載'!J401=2023,ISNUMBER('中古車掲載'!N401),'中古車掲載'!N401&gt;=50000,'中古車掲載'!O401&lt;=100000,'中古車掲載'!AL401=1),'中古車掲載'!U401,"")</x:f>
      </x:c>
      <x:c r="BC400" s="3" t="str">
        <x:f>IF(AND('中古車掲載'!C401="One2car",'中古車掲載'!F401="Corolla Cross",'中古車掲載'!L401="HEV PREMIUM SAFETY",'中古車掲載'!J401=2023,ISNUMBER('中古車掲載'!N401),'中古車掲載'!N401&gt;=50000,'中古車掲載'!O401&lt;=100000,'中古車掲載'!AL401=1,'中古車掲載'!Z401="https://www.one2car.com/en/cars-for-sale/toyota/corolla-cross/year-2023"),'中古車掲載'!U401,"")</x:f>
      </x:c>
      <x:c r="BD400" s="3" t="str">
        <x:f>IF(AND('中古車掲載'!C401="One2car",'中古車掲載'!F401="ATTO 3",'中古車掲載'!L401="EXTENDED RANGE",'中古車掲載'!J401=2023,ISNUMBER('中古車掲載'!N401),'中古車掲載'!N401&gt;=20000,'中古車掲載'!O401&lt;=50000,'中古車掲載'!AL401=1),'中古車掲載'!U401,"")</x:f>
      </x:c>
      <x:c r="BE400" s="3" t="str">
        <x:f>IF(AND('中古車掲載'!C401="One2car",'中古車掲載'!F401="Corolla Cross",'中古車掲載'!L401="HEV PREMIUM SAFETY",'中古車掲載'!J401=2023,ISNUMBER('中古車掲載'!N401),'中古車掲載'!N401&gt;=20000,'中古車掲載'!O401&lt;=50000,'中古車掲載'!AL401=1,'中古車掲載'!Z401="https://www.one2car.com/en/cars-for-sale/toyota/corolla-cross/year-2023"),'中古車掲載'!U401,"")</x:f>
      </x:c>
      <x:c r="BF400" s="3" t="str">
        <x:f>IF(AND('中古車掲載'!C401="One2car",'中古車掲載'!F401="Corolla Cross",'中古車掲載'!L401="HEV PREMIUM",'中古車掲載'!J401=2023,ISNUMBER('中古車掲載'!N401),'中古車掲載'!N401&gt;=20000,'中古車掲載'!O401&lt;=100000,'中古車掲載'!AL401=1,'中古車掲載'!Z401="https://www.one2car.com/en/cars-for-sale/toyota/corolla-cross/year-2023"),'中古車掲載'!U401,"")</x:f>
      </x:c>
      <x:c r="BG400" s="3" t="str">
        <x:f>IF(AND('中古車掲載'!C401="One2car",'中古車掲載'!F401="Corolla Cross",'中古車掲載'!L401="HEV GR SPORT",'中古車掲載'!J401=2023,ISNUMBER('中古車掲載'!N401),'中古車掲載'!N401&gt;=20000,'中古車掲載'!O401&lt;=100000,'中古車掲載'!AL401=1,'中古車掲載'!Z401="https://www.one2car.com/en/cars-for-sale/toyota/corolla-cross/year-2023"),'中古車掲載'!U401,"")</x:f>
      </x:c>
      <x:c r="BH400" s="3" t="str">
        <x:f>IF(AND('中古車掲載'!C401="One2car",'中古車掲載'!F401="DOLPHIN",'中古車掲載'!L401="STANDARD RANGE",'中古車掲載'!J401=2023,ISNUMBER('中古車掲載'!N401),'中古車掲載'!N401&gt;=20000,'中古車掲載'!O401&lt;=100000,'中古車掲載'!AL401=1),'中古車掲載'!U401,"")</x:f>
      </x:c>
      <x:c r="BI400" s="3" t="str">
        <x:v>Taladrod|Corolla Cross|HEV|Unknown</x:v>
      </x:c>
      <x:c r="BJ400" s="3" t="n">
        <x:v>401</x:v>
      </x:c>
      <x:c r="BK400" s="3" t="n">
        <x:f>'中古車掲載'!AM401</x:f>
        <x:v>689000</x:v>
      </x:c>
      <x:c r="BL400" s="3" t="n">
        <x:f>IF(ISNUMBER('中古車掲載'!AN401),'中古車掲載'!AN401,"")</x:f>
        <x:v>0.6728515625</x:v>
      </x:c>
      <x:c r="BM400" s="3"/>
      <x:c r="BN400" s="3"/>
      <x:c r="BO400" s="3"/>
      <x:c r="BP400" s="3"/>
      <x:c r="BQ400" s="3"/>
      <x:c r="BR400" s="3"/>
    </x:row>
    <x:row r="401" ht="22" customHeight="1">
      <x:c r="A401" s="3" t="str">
        <x:v>ATTO 3</x:v>
      </x:c>
      <x:c r="B401" s="3" t="str">
        <x:v>BEV</x:v>
      </x:c>
      <x:c r="C401" s="3" t="str">
        <x:v>Taladrod</x:v>
      </x:c>
      <x:c r="D401" s="3" t="str">
        <x:v>SUV</x:v>
      </x:c>
      <x:c r="E401" s="3" t="str"/>
      <x:c r="F401" s="3" t="n">
        <x:v>2024</x:v>
      </x:c>
      <x:c r="G401" s="3" t="str">
        <x:v>DYNAMIC</x:v>
      </x:c>
      <x:c r="H401" s="3" t="str">
        <x:v>20–50千km</x:v>
      </x:c>
      <x:c r="I401" s="3" t="str">
        <x:v>22-ปัจจุบัน</x:v>
      </x:c>
      <x:c r="J401" s="22" t="n">
        <x:f>COUNT('中古車掲載'!AM180:AM180)</x:f>
        <x:v>1</x:v>
      </x:c>
      <x:c r="K401" s="22" t="n">
        <x:f>IF(COUNT('中古車掲載'!AM180:AM180)=0,"",QUARTILE('中古車掲載'!AM180:AM180,1))</x:f>
        <x:v>489000</x:v>
      </x:c>
      <x:c r="L401" s="22" t="n">
        <x:f>IF(COUNT('中古車掲載'!AM180:AM180)=0,"",MEDIAN('中古車掲載'!AM180:AM180))</x:f>
        <x:v>489000</x:v>
      </x:c>
      <x:c r="M401" s="22" t="n">
        <x:f>IF(COUNT('中古車掲載'!AM180:AM180)=0,"",QUARTILE('中古車掲載'!AM180:AM180,3))</x:f>
        <x:v>489000</x:v>
      </x:c>
      <x:c r="N401" s="22" t="n">
        <x:f>COUNT('中古車掲載'!AN180:AN180)</x:f>
        <x:v>1</x:v>
      </x:c>
      <x:c r="O401" s="23" t="n">
        <x:f>IF(COUNT('中古車掲載'!AN180:AN180)=0,"",MEDIAN('中古車掲載'!AN180:AN180))</x:f>
        <x:v>0.543393710412268</x:v>
      </x:c>
      <x:c r="P401" s="3"/>
      <x:c r="Q401" s="3"/>
      <x:c r="R401" s="3"/>
      <x:c r="S401" s="3"/>
      <x:c r="T401" s="3"/>
      <x:c r="U401" s="3"/>
      <x:c r="V401" s="3"/>
      <x:c r="W401" s="3"/>
      <x:c r="X401" s="3"/>
      <x:c r="Y401" s="3"/>
      <x:c r="Z401" s="3"/>
      <x:c r="AA401" s="3"/>
      <x:c r="AB401" s="3"/>
      <x:c r="AC401" s="3"/>
      <x:c r="AD401" s="3"/>
      <x:c r="AE401" s="3"/>
      <x:c r="AF401" s="3"/>
      <x:c r="AG401" s="3"/>
      <x:c r="AH401" s="3"/>
      <x:c r="AI401" s="3"/>
      <x:c r="AJ401" s="3"/>
      <x:c r="AK401" s="3"/>
      <x:c r="AL401" s="3"/>
      <x:c r="AM401" s="3"/>
      <x:c r="AN401" s="3"/>
      <x:c r="AO401" s="3"/>
      <x:c r="AP401" s="3"/>
      <x:c r="AQ401" s="3"/>
      <x:c r="AR401" s="3"/>
      <x:c r="AS401" s="3"/>
      <x:c r="AT401" s="3"/>
      <x:c r="AU401" s="3"/>
      <x:c r="AV401" s="3"/>
      <x:c r="AW401" s="3"/>
      <x:c r="AX401" s="3"/>
      <x:c r="AY401" s="3"/>
      <x:c r="AZ401" s="3" t="str">
        <x:f>IF(AND('中古車掲載'!C402="One2car",'中古車掲載'!F402="ATTO 3",'中古車掲載'!L402="EXTENDED RANGE",'中古車掲載'!J402=2023,ISNUMBER('中古車掲載'!N402),'中古車掲載'!N402&gt;=20000,'中古車掲載'!O402&lt;=100000,'中古車掲載'!AL402=1),'中古車掲載'!U402,"")</x:f>
      </x:c>
      <x:c r="BA401" s="3" t="str">
        <x:f>IF(AND('中古車掲載'!C402="One2car",'中古車掲載'!F402="Corolla Cross",'中古車掲載'!L402="HEV PREMIUM SAFETY",'中古車掲載'!J402=2023,ISNUMBER('中古車掲載'!N402),'中古車掲載'!N402&gt;=20000,'中古車掲載'!O402&lt;=100000,'中古車掲載'!AL402=1,'中古車掲載'!Z402="https://www.one2car.com/en/cars-for-sale/toyota/corolla-cross/year-2023"),'中古車掲載'!U402,"")</x:f>
      </x:c>
      <x:c r="BB401" s="3" t="str">
        <x:f>IF(AND('中古車掲載'!C402="One2car",'中古車掲載'!F402="ATTO 3",'中古車掲載'!L402="EXTENDED RANGE",'中古車掲載'!J402=2023,ISNUMBER('中古車掲載'!N402),'中古車掲載'!N402&gt;=50000,'中古車掲載'!O402&lt;=100000,'中古車掲載'!AL402=1),'中古車掲載'!U402,"")</x:f>
      </x:c>
      <x:c r="BC401" s="3" t="str">
        <x:f>IF(AND('中古車掲載'!C402="One2car",'中古車掲載'!F402="Corolla Cross",'中古車掲載'!L402="HEV PREMIUM SAFETY",'中古車掲載'!J402=2023,ISNUMBER('中古車掲載'!N402),'中古車掲載'!N402&gt;=50000,'中古車掲載'!O402&lt;=100000,'中古車掲載'!AL402=1,'中古車掲載'!Z402="https://www.one2car.com/en/cars-for-sale/toyota/corolla-cross/year-2023"),'中古車掲載'!U402,"")</x:f>
      </x:c>
      <x:c r="BD401" s="3" t="str">
        <x:f>IF(AND('中古車掲載'!C402="One2car",'中古車掲載'!F402="ATTO 3",'中古車掲載'!L402="EXTENDED RANGE",'中古車掲載'!J402=2023,ISNUMBER('中古車掲載'!N402),'中古車掲載'!N402&gt;=20000,'中古車掲載'!O402&lt;=50000,'中古車掲載'!AL402=1),'中古車掲載'!U402,"")</x:f>
      </x:c>
      <x:c r="BE401" s="3" t="str">
        <x:f>IF(AND('中古車掲載'!C402="One2car",'中古車掲載'!F402="Corolla Cross",'中古車掲載'!L402="HEV PREMIUM SAFETY",'中古車掲載'!J402=2023,ISNUMBER('中古車掲載'!N402),'中古車掲載'!N402&gt;=20000,'中古車掲載'!O402&lt;=50000,'中古車掲載'!AL402=1,'中古車掲載'!Z402="https://www.one2car.com/en/cars-for-sale/toyota/corolla-cross/year-2023"),'中古車掲載'!U402,"")</x:f>
      </x:c>
      <x:c r="BF401" s="3" t="str">
        <x:f>IF(AND('中古車掲載'!C402="One2car",'中古車掲載'!F402="Corolla Cross",'中古車掲載'!L402="HEV PREMIUM",'中古車掲載'!J402=2023,ISNUMBER('中古車掲載'!N402),'中古車掲載'!N402&gt;=20000,'中古車掲載'!O402&lt;=100000,'中古車掲載'!AL402=1,'中古車掲載'!Z402="https://www.one2car.com/en/cars-for-sale/toyota/corolla-cross/year-2023"),'中古車掲載'!U402,"")</x:f>
      </x:c>
      <x:c r="BG401" s="3" t="str">
        <x:f>IF(AND('中古車掲載'!C402="One2car",'中古車掲載'!F402="Corolla Cross",'中古車掲載'!L402="HEV GR SPORT",'中古車掲載'!J402=2023,ISNUMBER('中古車掲載'!N402),'中古車掲載'!N402&gt;=20000,'中古車掲載'!O402&lt;=100000,'中古車掲載'!AL402=1,'中古車掲載'!Z402="https://www.one2car.com/en/cars-for-sale/toyota/corolla-cross/year-2023"),'中古車掲載'!U402,"")</x:f>
      </x:c>
      <x:c r="BH401" s="3" t="str">
        <x:f>IF(AND('中古車掲載'!C402="One2car",'中古車掲載'!F402="DOLPHIN",'中古車掲載'!L402="STANDARD RANGE",'中古車掲載'!J402=2023,ISNUMBER('中古車掲載'!N402),'中古車掲載'!N402&gt;=20000,'中古車掲載'!O402&lt;=100000,'中古車掲載'!AL402=1),'中古車掲載'!U402,"")</x:f>
      </x:c>
      <x:c r="BI401" s="3" t="str">
        <x:v>Taladrod|Corolla Cross|HEV|Unknown</x:v>
      </x:c>
      <x:c r="BJ401" s="3" t="n">
        <x:v>402</x:v>
      </x:c>
      <x:c r="BK401" s="3" t="n">
        <x:f>'中古車掲載'!AM402</x:f>
        <x:v>689000</x:v>
      </x:c>
      <x:c r="BL401" s="3" t="n">
        <x:f>IF(ISNUMBER('中古車掲載'!AN402),'中古車掲載'!AN402,"")</x:f>
        <x:v>0.6728515625</x:v>
      </x:c>
      <x:c r="BM401" s="3"/>
      <x:c r="BN401" s="3"/>
      <x:c r="BO401" s="3"/>
      <x:c r="BP401" s="3"/>
      <x:c r="BQ401" s="3"/>
      <x:c r="BR401" s="3"/>
    </x:row>
    <x:row r="402" ht="22" customHeight="1">
      <x:c r="A402" s="3" t="str">
        <x:v>ATTO 3</x:v>
      </x:c>
      <x:c r="B402" s="3" t="str">
        <x:v>BEV</x:v>
      </x:c>
      <x:c r="C402" s="3" t="str">
        <x:v>Taladrod</x:v>
      </x:c>
      <x:c r="D402" s="3" t="str">
        <x:v>SUV</x:v>
      </x:c>
      <x:c r="E402" s="3" t="str"/>
      <x:c r="F402" s="3" t="n">
        <x:v>2025</x:v>
      </x:c>
      <x:c r="G402" s="3" t="str">
        <x:v>EXTENDED RANGE</x:v>
      </x:c>
      <x:c r="H402" s="3" t="str">
        <x:v>50–100千km</x:v>
      </x:c>
      <x:c r="I402" s="3" t="str">
        <x:v>22-ปัจจุบัน</x:v>
      </x:c>
      <x:c r="J402" s="22" t="n">
        <x:f>COUNT('中古車掲載'!AM181:AM181)</x:f>
        <x:v>1</x:v>
      </x:c>
      <x:c r="K402" s="22" t="n">
        <x:f>IF(COUNT('中古車掲載'!AM181:AM181)=0,"",QUARTILE('中古車掲載'!AM181:AM181,1))</x:f>
        <x:v>529000</x:v>
      </x:c>
      <x:c r="L402" s="22" t="n">
        <x:f>IF(COUNT('中古車掲載'!AM181:AM181)=0,"",MEDIAN('中古車掲載'!AM181:AM181))</x:f>
        <x:v>529000</x:v>
      </x:c>
      <x:c r="M402" s="22" t="n">
        <x:f>IF(COUNT('中古車掲載'!AM181:AM181)=0,"",QUARTILE('中古車掲載'!AM181:AM181,3))</x:f>
        <x:v>529000</x:v>
      </x:c>
      <x:c r="N402" s="22" t="n">
        <x:f>COUNT('中古車掲載'!AN181:AN181)</x:f>
        <x:v>0</x:v>
      </x:c>
      <x:c r="O402" s="23" t="str">
        <x:f>IF(COUNT('中古車掲載'!AN181:AN181)=0,"",MEDIAN('中古車掲載'!AN181:AN181))</x:f>
      </x:c>
      <x:c r="P402" s="3"/>
      <x:c r="Q402" s="3"/>
      <x:c r="R402" s="3"/>
      <x:c r="S402" s="3"/>
      <x:c r="T402" s="3"/>
      <x:c r="U402" s="3"/>
      <x:c r="V402" s="3"/>
      <x:c r="W402" s="3"/>
      <x:c r="X402" s="3"/>
      <x:c r="Y402" s="3"/>
      <x:c r="Z402" s="3"/>
      <x:c r="AA402" s="3"/>
      <x:c r="AB402" s="3"/>
      <x:c r="AC402" s="3"/>
      <x:c r="AD402" s="3"/>
      <x:c r="AE402" s="3"/>
      <x:c r="AF402" s="3"/>
      <x:c r="AG402" s="3"/>
      <x:c r="AH402" s="3"/>
      <x:c r="AI402" s="3"/>
      <x:c r="AJ402" s="3"/>
      <x:c r="AK402" s="3"/>
      <x:c r="AL402" s="3"/>
      <x:c r="AM402" s="3"/>
      <x:c r="AN402" s="3"/>
      <x:c r="AO402" s="3"/>
      <x:c r="AP402" s="3"/>
      <x:c r="AQ402" s="3"/>
      <x:c r="AR402" s="3"/>
      <x:c r="AS402" s="3"/>
      <x:c r="AT402" s="3"/>
      <x:c r="AU402" s="3"/>
      <x:c r="AV402" s="3"/>
      <x:c r="AW402" s="3"/>
      <x:c r="AX402" s="3"/>
      <x:c r="AY402" s="3"/>
      <x:c r="AZ402" s="3" t="str">
        <x:f>IF(AND('中古車掲載'!C403="One2car",'中古車掲載'!F403="ATTO 3",'中古車掲載'!L403="EXTENDED RANGE",'中古車掲載'!J403=2023,ISNUMBER('中古車掲載'!N403),'中古車掲載'!N403&gt;=20000,'中古車掲載'!O403&lt;=100000,'中古車掲載'!AL403=1),'中古車掲載'!U403,"")</x:f>
      </x:c>
      <x:c r="BA402" s="3" t="str">
        <x:f>IF(AND('中古車掲載'!C403="One2car",'中古車掲載'!F403="Corolla Cross",'中古車掲載'!L403="HEV PREMIUM SAFETY",'中古車掲載'!J403=2023,ISNUMBER('中古車掲載'!N403),'中古車掲載'!N403&gt;=20000,'中古車掲載'!O403&lt;=100000,'中古車掲載'!AL403=1,'中古車掲載'!Z403="https://www.one2car.com/en/cars-for-sale/toyota/corolla-cross/year-2023"),'中古車掲載'!U403,"")</x:f>
      </x:c>
      <x:c r="BB402" s="3" t="str">
        <x:f>IF(AND('中古車掲載'!C403="One2car",'中古車掲載'!F403="ATTO 3",'中古車掲載'!L403="EXTENDED RANGE",'中古車掲載'!J403=2023,ISNUMBER('中古車掲載'!N403),'中古車掲載'!N403&gt;=50000,'中古車掲載'!O403&lt;=100000,'中古車掲載'!AL403=1),'中古車掲載'!U403,"")</x:f>
      </x:c>
      <x:c r="BC402" s="3" t="str">
        <x:f>IF(AND('中古車掲載'!C403="One2car",'中古車掲載'!F403="Corolla Cross",'中古車掲載'!L403="HEV PREMIUM SAFETY",'中古車掲載'!J403=2023,ISNUMBER('中古車掲載'!N403),'中古車掲載'!N403&gt;=50000,'中古車掲載'!O403&lt;=100000,'中古車掲載'!AL403=1,'中古車掲載'!Z403="https://www.one2car.com/en/cars-for-sale/toyota/corolla-cross/year-2023"),'中古車掲載'!U403,"")</x:f>
      </x:c>
      <x:c r="BD402" s="3" t="str">
        <x:f>IF(AND('中古車掲載'!C403="One2car",'中古車掲載'!F403="ATTO 3",'中古車掲載'!L403="EXTENDED RANGE",'中古車掲載'!J403=2023,ISNUMBER('中古車掲載'!N403),'中古車掲載'!N403&gt;=20000,'中古車掲載'!O403&lt;=50000,'中古車掲載'!AL403=1),'中古車掲載'!U403,"")</x:f>
      </x:c>
      <x:c r="BE402" s="3" t="str">
        <x:f>IF(AND('中古車掲載'!C403="One2car",'中古車掲載'!F403="Corolla Cross",'中古車掲載'!L403="HEV PREMIUM SAFETY",'中古車掲載'!J403=2023,ISNUMBER('中古車掲載'!N403),'中古車掲載'!N403&gt;=20000,'中古車掲載'!O403&lt;=50000,'中古車掲載'!AL403=1,'中古車掲載'!Z403="https://www.one2car.com/en/cars-for-sale/toyota/corolla-cross/year-2023"),'中古車掲載'!U403,"")</x:f>
      </x:c>
      <x:c r="BF402" s="3" t="str">
        <x:f>IF(AND('中古車掲載'!C403="One2car",'中古車掲載'!F403="Corolla Cross",'中古車掲載'!L403="HEV PREMIUM",'中古車掲載'!J403=2023,ISNUMBER('中古車掲載'!N403),'中古車掲載'!N403&gt;=20000,'中古車掲載'!O403&lt;=100000,'中古車掲載'!AL403=1,'中古車掲載'!Z403="https://www.one2car.com/en/cars-for-sale/toyota/corolla-cross/year-2023"),'中古車掲載'!U403,"")</x:f>
      </x:c>
      <x:c r="BG402" s="3" t="str">
        <x:f>IF(AND('中古車掲載'!C403="One2car",'中古車掲載'!F403="Corolla Cross",'中古車掲載'!L403="HEV GR SPORT",'中古車掲載'!J403=2023,ISNUMBER('中古車掲載'!N403),'中古車掲載'!N403&gt;=20000,'中古車掲載'!O403&lt;=100000,'中古車掲載'!AL403=1,'中古車掲載'!Z403="https://www.one2car.com/en/cars-for-sale/toyota/corolla-cross/year-2023"),'中古車掲載'!U403,"")</x:f>
      </x:c>
      <x:c r="BH402" s="3" t="str">
        <x:f>IF(AND('中古車掲載'!C403="One2car",'中古車掲載'!F403="DOLPHIN",'中古車掲載'!L403="STANDARD RANGE",'中古車掲載'!J403=2023,ISNUMBER('中古車掲載'!N403),'中古車掲載'!N403&gt;=20000,'中古車掲載'!O403&lt;=100000,'中古車掲載'!AL403=1),'中古車掲載'!U403,"")</x:f>
      </x:c>
      <x:c r="BI402" s="3" t="str">
        <x:v>Taladrod|Corolla Cross|HEV|Unknown</x:v>
      </x:c>
      <x:c r="BJ402" s="3" t="n">
        <x:v>403</x:v>
      </x:c>
      <x:c r="BK402" s="3" t="n">
        <x:f>'中古車掲載'!AM403</x:f>
        <x:v>659000</x:v>
      </x:c>
      <x:c r="BL402" s="3" t="n">
        <x:f>IF(ISNUMBER('中古車掲載'!AN403),'中古車掲載'!AN403,"")</x:f>
        <x:v>0.6435546875</x:v>
      </x:c>
      <x:c r="BM402" s="3"/>
      <x:c r="BN402" s="3"/>
      <x:c r="BO402" s="3"/>
      <x:c r="BP402" s="3"/>
      <x:c r="BQ402" s="3"/>
      <x:c r="BR402" s="3"/>
    </x:row>
    <x:row r="403" ht="22" customHeight="1">
      <x:c r="A403" s="3" t="str">
        <x:v>ATTO 3</x:v>
      </x:c>
      <x:c r="B403" s="3" t="str">
        <x:v>BEV</x:v>
      </x:c>
      <x:c r="C403" s="3" t="str">
        <x:v>Taladrod</x:v>
      </x:c>
      <x:c r="D403" s="3" t="str">
        <x:v>SUV</x:v>
      </x:c>
      <x:c r="E403" s="3" t="str"/>
      <x:c r="F403" s="3" t="n">
        <x:v>2026</x:v>
      </x:c>
      <x:c r="G403" s="3" t="str">
        <x:v>EXTENDED</x:v>
      </x:c>
      <x:c r="H403" s="3" t="str">
        <x:v>&lt;20千km</x:v>
      </x:c>
      <x:c r="I403" s="3" t="str">
        <x:v>22-ปัจจุบัน</x:v>
      </x:c>
      <x:c r="J403" s="22" t="n">
        <x:f>COUNT('中古車掲載'!AM182:AM182)</x:f>
        <x:v>0</x:v>
      </x:c>
      <x:c r="K403" s="22" t="str">
        <x:f>IF(COUNT('中古車掲載'!AM182:AM182)=0,"",QUARTILE('中古車掲載'!AM182:AM182,1))</x:f>
      </x:c>
      <x:c r="L403" s="22" t="str">
        <x:f>IF(COUNT('中古車掲載'!AM182:AM182)=0,"",MEDIAN('中古車掲載'!AM182:AM182))</x:f>
      </x:c>
      <x:c r="M403" s="22" t="str">
        <x:f>IF(COUNT('中古車掲載'!AM182:AM182)=0,"",QUARTILE('中古車掲載'!AM182:AM182,3))</x:f>
      </x:c>
      <x:c r="N403" s="22" t="n">
        <x:f>COUNT('中古車掲載'!AN182:AN182)</x:f>
        <x:v>0</x:v>
      </x:c>
      <x:c r="O403" s="23" t="str">
        <x:f>IF(COUNT('中古車掲載'!AN182:AN182)=0,"",MEDIAN('中古車掲載'!AN182:AN182))</x:f>
      </x:c>
      <x:c r="P403" s="3"/>
      <x:c r="Q403" s="3"/>
      <x:c r="R403" s="3"/>
      <x:c r="S403" s="3"/>
      <x:c r="T403" s="3"/>
      <x:c r="U403" s="3"/>
      <x:c r="V403" s="3"/>
      <x:c r="W403" s="3"/>
      <x:c r="X403" s="3"/>
      <x:c r="Y403" s="3"/>
      <x:c r="Z403" s="3"/>
      <x:c r="AA403" s="3"/>
      <x:c r="AB403" s="3"/>
      <x:c r="AC403" s="3"/>
      <x:c r="AD403" s="3"/>
      <x:c r="AE403" s="3"/>
      <x:c r="AF403" s="3"/>
      <x:c r="AG403" s="3"/>
      <x:c r="AH403" s="3"/>
      <x:c r="AI403" s="3"/>
      <x:c r="AJ403" s="3"/>
      <x:c r="AK403" s="3"/>
      <x:c r="AL403" s="3"/>
      <x:c r="AM403" s="3"/>
      <x:c r="AN403" s="3"/>
      <x:c r="AO403" s="3"/>
      <x:c r="AP403" s="3"/>
      <x:c r="AQ403" s="3"/>
      <x:c r="AR403" s="3"/>
      <x:c r="AS403" s="3"/>
      <x:c r="AT403" s="3"/>
      <x:c r="AU403" s="3"/>
      <x:c r="AV403" s="3"/>
      <x:c r="AW403" s="3"/>
      <x:c r="AX403" s="3"/>
      <x:c r="AY403" s="3"/>
      <x:c r="AZ403" s="3" t="str">
        <x:f>IF(AND('中古車掲載'!C404="One2car",'中古車掲載'!F404="ATTO 3",'中古車掲載'!L404="EXTENDED RANGE",'中古車掲載'!J404=2023,ISNUMBER('中古車掲載'!N404),'中古車掲載'!N404&gt;=20000,'中古車掲載'!O404&lt;=100000,'中古車掲載'!AL404=1),'中古車掲載'!U404,"")</x:f>
      </x:c>
      <x:c r="BA403" s="3" t="str">
        <x:f>IF(AND('中古車掲載'!C404="One2car",'中古車掲載'!F404="Corolla Cross",'中古車掲載'!L404="HEV PREMIUM SAFETY",'中古車掲載'!J404=2023,ISNUMBER('中古車掲載'!N404),'中古車掲載'!N404&gt;=20000,'中古車掲載'!O404&lt;=100000,'中古車掲載'!AL404=1,'中古車掲載'!Z404="https://www.one2car.com/en/cars-for-sale/toyota/corolla-cross/year-2023"),'中古車掲載'!U404,"")</x:f>
      </x:c>
      <x:c r="BB403" s="3" t="str">
        <x:f>IF(AND('中古車掲載'!C404="One2car",'中古車掲載'!F404="ATTO 3",'中古車掲載'!L404="EXTENDED RANGE",'中古車掲載'!J404=2023,ISNUMBER('中古車掲載'!N404),'中古車掲載'!N404&gt;=50000,'中古車掲載'!O404&lt;=100000,'中古車掲載'!AL404=1),'中古車掲載'!U404,"")</x:f>
      </x:c>
      <x:c r="BC403" s="3" t="str">
        <x:f>IF(AND('中古車掲載'!C404="One2car",'中古車掲載'!F404="Corolla Cross",'中古車掲載'!L404="HEV PREMIUM SAFETY",'中古車掲載'!J404=2023,ISNUMBER('中古車掲載'!N404),'中古車掲載'!N404&gt;=50000,'中古車掲載'!O404&lt;=100000,'中古車掲載'!AL404=1,'中古車掲載'!Z404="https://www.one2car.com/en/cars-for-sale/toyota/corolla-cross/year-2023"),'中古車掲載'!U404,"")</x:f>
      </x:c>
      <x:c r="BD403" s="3" t="str">
        <x:f>IF(AND('中古車掲載'!C404="One2car",'中古車掲載'!F404="ATTO 3",'中古車掲載'!L404="EXTENDED RANGE",'中古車掲載'!J404=2023,ISNUMBER('中古車掲載'!N404),'中古車掲載'!N404&gt;=20000,'中古車掲載'!O404&lt;=50000,'中古車掲載'!AL404=1),'中古車掲載'!U404,"")</x:f>
      </x:c>
      <x:c r="BE403" s="3" t="str">
        <x:f>IF(AND('中古車掲載'!C404="One2car",'中古車掲載'!F404="Corolla Cross",'中古車掲載'!L404="HEV PREMIUM SAFETY",'中古車掲載'!J404=2023,ISNUMBER('中古車掲載'!N404),'中古車掲載'!N404&gt;=20000,'中古車掲載'!O404&lt;=50000,'中古車掲載'!AL404=1,'中古車掲載'!Z404="https://www.one2car.com/en/cars-for-sale/toyota/corolla-cross/year-2023"),'中古車掲載'!U404,"")</x:f>
      </x:c>
      <x:c r="BF403" s="3" t="str">
        <x:f>IF(AND('中古車掲載'!C404="One2car",'中古車掲載'!F404="Corolla Cross",'中古車掲載'!L404="HEV PREMIUM",'中古車掲載'!J404=2023,ISNUMBER('中古車掲載'!N404),'中古車掲載'!N404&gt;=20000,'中古車掲載'!O404&lt;=100000,'中古車掲載'!AL404=1,'中古車掲載'!Z404="https://www.one2car.com/en/cars-for-sale/toyota/corolla-cross/year-2023"),'中古車掲載'!U404,"")</x:f>
      </x:c>
      <x:c r="BG403" s="3" t="str">
        <x:f>IF(AND('中古車掲載'!C404="One2car",'中古車掲載'!F404="Corolla Cross",'中古車掲載'!L404="HEV GR SPORT",'中古車掲載'!J404=2023,ISNUMBER('中古車掲載'!N404),'中古車掲載'!N404&gt;=20000,'中古車掲載'!O404&lt;=100000,'中古車掲載'!AL404=1,'中古車掲載'!Z404="https://www.one2car.com/en/cars-for-sale/toyota/corolla-cross/year-2023"),'中古車掲載'!U404,"")</x:f>
      </x:c>
      <x:c r="BH403" s="3" t="str">
        <x:f>IF(AND('中古車掲載'!C404="One2car",'中古車掲載'!F404="DOLPHIN",'中古車掲載'!L404="STANDARD RANGE",'中古車掲載'!J404=2023,ISNUMBER('中古車掲載'!N404),'中古車掲載'!N404&gt;=20000,'中古車掲載'!O404&lt;=100000,'中古車掲載'!AL404=1),'中古車掲載'!U404,"")</x:f>
      </x:c>
      <x:c r="BI403" s="3" t="str">
        <x:v>Taladrod|Corolla Cross|HEV|Unknown</x:v>
      </x:c>
      <x:c r="BJ403" s="3" t="n">
        <x:v>404</x:v>
      </x:c>
      <x:c r="BK403" s="3" t="n">
        <x:f>'中古車掲載'!AM404</x:f>
        <x:v>619000</x:v>
      </x:c>
      <x:c r="BL403" s="3" t="n">
        <x:f>IF(ISNUMBER('中古車掲載'!AN404),'中古車掲載'!AN404,"")</x:f>
        <x:v>0.6044921875</x:v>
      </x:c>
      <x:c r="BM403" s="3"/>
      <x:c r="BN403" s="3"/>
      <x:c r="BO403" s="3"/>
      <x:c r="BP403" s="3"/>
      <x:c r="BQ403" s="3"/>
      <x:c r="BR403" s="3"/>
    </x:row>
    <x:row r="404" ht="22" customHeight="1">
      <x:c r="A404" s="3" t="str">
        <x:v>ATTO 3</x:v>
      </x:c>
      <x:c r="B404" s="3" t="str">
        <x:v>BEV</x:v>
      </x:c>
      <x:c r="C404" s="3" t="str">
        <x:v>Taladrod</x:v>
      </x:c>
      <x:c r="D404" s="3" t="str">
        <x:v>SUV</x:v>
      </x:c>
      <x:c r="E404" s="3" t="str"/>
      <x:c r="F404" s="3" t="n">
        <x:v>2026</x:v>
      </x:c>
      <x:c r="G404" s="3" t="str">
        <x:v>EXTENDED RANGE</x:v>
      </x:c>
      <x:c r="H404" s="3" t="str">
        <x:v>&lt;20千km</x:v>
      </x:c>
      <x:c r="I404" s="3" t="str">
        <x:v>22-ปัจจุบัน</x:v>
      </x:c>
      <x:c r="J404" s="22" t="n">
        <x:f>COUNT('中古車掲載'!AM183:AM183)</x:f>
        <x:v>0</x:v>
      </x:c>
      <x:c r="K404" s="22" t="str">
        <x:f>IF(COUNT('中古車掲載'!AM183:AM183)=0,"",QUARTILE('中古車掲載'!AM183:AM183,1))</x:f>
      </x:c>
      <x:c r="L404" s="22" t="str">
        <x:f>IF(COUNT('中古車掲載'!AM183:AM183)=0,"",MEDIAN('中古車掲載'!AM183:AM183))</x:f>
      </x:c>
      <x:c r="M404" s="22" t="str">
        <x:f>IF(COUNT('中古車掲載'!AM183:AM183)=0,"",QUARTILE('中古車掲載'!AM183:AM183,3))</x:f>
      </x:c>
      <x:c r="N404" s="22" t="n">
        <x:f>COUNT('中古車掲載'!AN183:AN183)</x:f>
        <x:v>0</x:v>
      </x:c>
      <x:c r="O404" s="23" t="str">
        <x:f>IF(COUNT('中古車掲載'!AN183:AN183)=0,"",MEDIAN('中古車掲載'!AN183:AN183))</x:f>
      </x:c>
      <x:c r="P404" s="3"/>
      <x:c r="Q404" s="3"/>
      <x:c r="R404" s="3"/>
      <x:c r="S404" s="3"/>
      <x:c r="T404" s="3"/>
      <x:c r="U404" s="3"/>
      <x:c r="V404" s="3"/>
      <x:c r="W404" s="3"/>
      <x:c r="X404" s="3"/>
      <x:c r="Y404" s="3"/>
      <x:c r="Z404" s="3"/>
      <x:c r="AA404" s="3"/>
      <x:c r="AB404" s="3"/>
      <x:c r="AC404" s="3"/>
      <x:c r="AD404" s="3"/>
      <x:c r="AE404" s="3"/>
      <x:c r="AF404" s="3"/>
      <x:c r="AG404" s="3"/>
      <x:c r="AH404" s="3"/>
      <x:c r="AI404" s="3"/>
      <x:c r="AJ404" s="3"/>
      <x:c r="AK404" s="3"/>
      <x:c r="AL404" s="3"/>
      <x:c r="AM404" s="3"/>
      <x:c r="AN404" s="3"/>
      <x:c r="AO404" s="3"/>
      <x:c r="AP404" s="3"/>
      <x:c r="AQ404" s="3"/>
      <x:c r="AR404" s="3"/>
      <x:c r="AS404" s="3"/>
      <x:c r="AT404" s="3"/>
      <x:c r="AU404" s="3"/>
      <x:c r="AV404" s="3"/>
      <x:c r="AW404" s="3"/>
      <x:c r="AX404" s="3"/>
      <x:c r="AY404" s="3"/>
      <x:c r="AZ404" s="3" t="str">
        <x:f>IF(AND('中古車掲載'!C405="One2car",'中古車掲載'!F405="ATTO 3",'中古車掲載'!L405="EXTENDED RANGE",'中古車掲載'!J405=2023,ISNUMBER('中古車掲載'!N405),'中古車掲載'!N405&gt;=20000,'中古車掲載'!O405&lt;=100000,'中古車掲載'!AL405=1),'中古車掲載'!U405,"")</x:f>
      </x:c>
      <x:c r="BA404" s="3" t="str">
        <x:f>IF(AND('中古車掲載'!C405="One2car",'中古車掲載'!F405="Corolla Cross",'中古車掲載'!L405="HEV PREMIUM SAFETY",'中古車掲載'!J405=2023,ISNUMBER('中古車掲載'!N405),'中古車掲載'!N405&gt;=20000,'中古車掲載'!O405&lt;=100000,'中古車掲載'!AL405=1,'中古車掲載'!Z405="https://www.one2car.com/en/cars-for-sale/toyota/corolla-cross/year-2023"),'中古車掲載'!U405,"")</x:f>
      </x:c>
      <x:c r="BB404" s="3" t="str">
        <x:f>IF(AND('中古車掲載'!C405="One2car",'中古車掲載'!F405="ATTO 3",'中古車掲載'!L405="EXTENDED RANGE",'中古車掲載'!J405=2023,ISNUMBER('中古車掲載'!N405),'中古車掲載'!N405&gt;=50000,'中古車掲載'!O405&lt;=100000,'中古車掲載'!AL405=1),'中古車掲載'!U405,"")</x:f>
      </x:c>
      <x:c r="BC404" s="3" t="str">
        <x:f>IF(AND('中古車掲載'!C405="One2car",'中古車掲載'!F405="Corolla Cross",'中古車掲載'!L405="HEV PREMIUM SAFETY",'中古車掲載'!J405=2023,ISNUMBER('中古車掲載'!N405),'中古車掲載'!N405&gt;=50000,'中古車掲載'!O405&lt;=100000,'中古車掲載'!AL405=1,'中古車掲載'!Z405="https://www.one2car.com/en/cars-for-sale/toyota/corolla-cross/year-2023"),'中古車掲載'!U405,"")</x:f>
      </x:c>
      <x:c r="BD404" s="3" t="str">
        <x:f>IF(AND('中古車掲載'!C405="One2car",'中古車掲載'!F405="ATTO 3",'中古車掲載'!L405="EXTENDED RANGE",'中古車掲載'!J405=2023,ISNUMBER('中古車掲載'!N405),'中古車掲載'!N405&gt;=20000,'中古車掲載'!O405&lt;=50000,'中古車掲載'!AL405=1),'中古車掲載'!U405,"")</x:f>
      </x:c>
      <x:c r="BE404" s="3" t="str">
        <x:f>IF(AND('中古車掲載'!C405="One2car",'中古車掲載'!F405="Corolla Cross",'中古車掲載'!L405="HEV PREMIUM SAFETY",'中古車掲載'!J405=2023,ISNUMBER('中古車掲載'!N405),'中古車掲載'!N405&gt;=20000,'中古車掲載'!O405&lt;=50000,'中古車掲載'!AL405=1,'中古車掲載'!Z405="https://www.one2car.com/en/cars-for-sale/toyota/corolla-cross/year-2023"),'中古車掲載'!U405,"")</x:f>
      </x:c>
      <x:c r="BF404" s="3" t="str">
        <x:f>IF(AND('中古車掲載'!C405="One2car",'中古車掲載'!F405="Corolla Cross",'中古車掲載'!L405="HEV PREMIUM",'中古車掲載'!J405=2023,ISNUMBER('中古車掲載'!N405),'中古車掲載'!N405&gt;=20000,'中古車掲載'!O405&lt;=100000,'中古車掲載'!AL405=1,'中古車掲載'!Z405="https://www.one2car.com/en/cars-for-sale/toyota/corolla-cross/year-2023"),'中古車掲載'!U405,"")</x:f>
      </x:c>
      <x:c r="BG404" s="3" t="str">
        <x:f>IF(AND('中古車掲載'!C405="One2car",'中古車掲載'!F405="Corolla Cross",'中古車掲載'!L405="HEV GR SPORT",'中古車掲載'!J405=2023,ISNUMBER('中古車掲載'!N405),'中古車掲載'!N405&gt;=20000,'中古車掲載'!O405&lt;=100000,'中古車掲載'!AL405=1,'中古車掲載'!Z405="https://www.one2car.com/en/cars-for-sale/toyota/corolla-cross/year-2023"),'中古車掲載'!U405,"")</x:f>
      </x:c>
      <x:c r="BH404" s="3" t="str">
        <x:f>IF(AND('中古車掲載'!C405="One2car",'中古車掲載'!F405="DOLPHIN",'中古車掲載'!L405="STANDARD RANGE",'中古車掲載'!J405=2023,ISNUMBER('中古車掲載'!N405),'中古車掲載'!N405&gt;=20000,'中古車掲載'!O405&lt;=100000,'中古車掲載'!AL405=1),'中古車掲載'!U405,"")</x:f>
      </x:c>
      <x:c r="BI404" s="3" t="str">
        <x:v>Taladrod|Corolla Cross|HEV|Unknown</x:v>
      </x:c>
      <x:c r="BJ404" s="3" t="n">
        <x:v>405</x:v>
      </x:c>
      <x:c r="BK404" s="3" t="n">
        <x:f>'中古車掲載'!AM405</x:f>
        <x:v>599000</x:v>
      </x:c>
      <x:c r="BL404" s="3" t="n">
        <x:f>IF(ISNUMBER('中古車掲載'!AN405),'中古車掲載'!AN405,"")</x:f>
        <x:v>0.5849609375</x:v>
      </x:c>
      <x:c r="BM404" s="3"/>
      <x:c r="BN404" s="3"/>
      <x:c r="BO404" s="3"/>
      <x:c r="BP404" s="3"/>
      <x:c r="BQ404" s="3"/>
      <x:c r="BR404" s="3"/>
    </x:row>
    <x:row r="405" ht="22" customHeight="1">
      <x:c r="A405" s="3" t="str">
        <x:v>ATTO 3</x:v>
      </x:c>
      <x:c r="B405" s="3" t="str">
        <x:v>BEV</x:v>
      </x:c>
      <x:c r="C405" s="3" t="str">
        <x:v>Taladrod</x:v>
      </x:c>
      <x:c r="D405" s="3" t="str">
        <x:v>SUV</x:v>
      </x:c>
      <x:c r="E405" s="3" t="str"/>
      <x:c r="F405" s="3" t="n">
        <x:v>2026</x:v>
      </x:c>
      <x:c r="G405" s="3" t="str">
        <x:v>PREMIUM</x:v>
      </x:c>
      <x:c r="H405" s="3" t="str">
        <x:v>&lt;20千km</x:v>
      </x:c>
      <x:c r="I405" s="3" t="str">
        <x:v>22-ปัจจุบัน</x:v>
      </x:c>
      <x:c r="J405" s="22" t="n">
        <x:f>COUNT('中古車掲載'!AM184:AM184)</x:f>
        <x:v>0</x:v>
      </x:c>
      <x:c r="K405" s="22" t="str">
        <x:f>IF(COUNT('中古車掲載'!AM184:AM184)=0,"",QUARTILE('中古車掲載'!AM184:AM184,1))</x:f>
      </x:c>
      <x:c r="L405" s="22" t="str">
        <x:f>IF(COUNT('中古車掲載'!AM184:AM184)=0,"",MEDIAN('中古車掲載'!AM184:AM184))</x:f>
      </x:c>
      <x:c r="M405" s="22" t="str">
        <x:f>IF(COUNT('中古車掲載'!AM184:AM184)=0,"",QUARTILE('中古車掲載'!AM184:AM184,3))</x:f>
      </x:c>
      <x:c r="N405" s="22" t="n">
        <x:f>COUNT('中古車掲載'!AN184:AN184)</x:f>
        <x:v>0</x:v>
      </x:c>
      <x:c r="O405" s="23" t="str">
        <x:f>IF(COUNT('中古車掲載'!AN184:AN184)=0,"",MEDIAN('中古車掲載'!AN184:AN184))</x:f>
      </x:c>
      <x:c r="P405" s="3"/>
      <x:c r="Q405" s="3"/>
      <x:c r="R405" s="3"/>
      <x:c r="S405" s="3"/>
      <x:c r="T405" s="3"/>
      <x:c r="U405" s="3"/>
      <x:c r="V405" s="3"/>
      <x:c r="W405" s="3"/>
      <x:c r="X405" s="3"/>
      <x:c r="Y405" s="3"/>
      <x:c r="Z405" s="3"/>
      <x:c r="AA405" s="3"/>
      <x:c r="AB405" s="3"/>
      <x:c r="AC405" s="3"/>
      <x:c r="AD405" s="3"/>
      <x:c r="AE405" s="3"/>
      <x:c r="AF405" s="3"/>
      <x:c r="AG405" s="3"/>
      <x:c r="AH405" s="3"/>
      <x:c r="AI405" s="3"/>
      <x:c r="AJ405" s="3"/>
      <x:c r="AK405" s="3"/>
      <x:c r="AL405" s="3"/>
      <x:c r="AM405" s="3"/>
      <x:c r="AN405" s="3"/>
      <x:c r="AO405" s="3"/>
      <x:c r="AP405" s="3"/>
      <x:c r="AQ405" s="3"/>
      <x:c r="AR405" s="3"/>
      <x:c r="AS405" s="3"/>
      <x:c r="AT405" s="3"/>
      <x:c r="AU405" s="3"/>
      <x:c r="AV405" s="3"/>
      <x:c r="AW405" s="3"/>
      <x:c r="AX405" s="3"/>
      <x:c r="AY405" s="3"/>
      <x:c r="AZ405" s="3" t="str">
        <x:f>IF(AND('中古車掲載'!C406="One2car",'中古車掲載'!F406="ATTO 3",'中古車掲載'!L406="EXTENDED RANGE",'中古車掲載'!J406=2023,ISNUMBER('中古車掲載'!N406),'中古車掲載'!N406&gt;=20000,'中古車掲載'!O406&lt;=100000,'中古車掲載'!AL406=1),'中古車掲載'!U406,"")</x:f>
      </x:c>
      <x:c r="BA405" s="3" t="str">
        <x:f>IF(AND('中古車掲載'!C406="One2car",'中古車掲載'!F406="Corolla Cross",'中古車掲載'!L406="HEV PREMIUM SAFETY",'中古車掲載'!J406=2023,ISNUMBER('中古車掲載'!N406),'中古車掲載'!N406&gt;=20000,'中古車掲載'!O406&lt;=100000,'中古車掲載'!AL406=1,'中古車掲載'!Z406="https://www.one2car.com/en/cars-for-sale/toyota/corolla-cross/year-2023"),'中古車掲載'!U406,"")</x:f>
      </x:c>
      <x:c r="BB405" s="3" t="str">
        <x:f>IF(AND('中古車掲載'!C406="One2car",'中古車掲載'!F406="ATTO 3",'中古車掲載'!L406="EXTENDED RANGE",'中古車掲載'!J406=2023,ISNUMBER('中古車掲載'!N406),'中古車掲載'!N406&gt;=50000,'中古車掲載'!O406&lt;=100000,'中古車掲載'!AL406=1),'中古車掲載'!U406,"")</x:f>
      </x:c>
      <x:c r="BC405" s="3" t="str">
        <x:f>IF(AND('中古車掲載'!C406="One2car",'中古車掲載'!F406="Corolla Cross",'中古車掲載'!L406="HEV PREMIUM SAFETY",'中古車掲載'!J406=2023,ISNUMBER('中古車掲載'!N406),'中古車掲載'!N406&gt;=50000,'中古車掲載'!O406&lt;=100000,'中古車掲載'!AL406=1,'中古車掲載'!Z406="https://www.one2car.com/en/cars-for-sale/toyota/corolla-cross/year-2023"),'中古車掲載'!U406,"")</x:f>
      </x:c>
      <x:c r="BD405" s="3" t="str">
        <x:f>IF(AND('中古車掲載'!C406="One2car",'中古車掲載'!F406="ATTO 3",'中古車掲載'!L406="EXTENDED RANGE",'中古車掲載'!J406=2023,ISNUMBER('中古車掲載'!N406),'中古車掲載'!N406&gt;=20000,'中古車掲載'!O406&lt;=50000,'中古車掲載'!AL406=1),'中古車掲載'!U406,"")</x:f>
      </x:c>
      <x:c r="BE405" s="3" t="str">
        <x:f>IF(AND('中古車掲載'!C406="One2car",'中古車掲載'!F406="Corolla Cross",'中古車掲載'!L406="HEV PREMIUM SAFETY",'中古車掲載'!J406=2023,ISNUMBER('中古車掲載'!N406),'中古車掲載'!N406&gt;=20000,'中古車掲載'!O406&lt;=50000,'中古車掲載'!AL406=1,'中古車掲載'!Z406="https://www.one2car.com/en/cars-for-sale/toyota/corolla-cross/year-2023"),'中古車掲載'!U406,"")</x:f>
      </x:c>
      <x:c r="BF405" s="3" t="str">
        <x:f>IF(AND('中古車掲載'!C406="One2car",'中古車掲載'!F406="Corolla Cross",'中古車掲載'!L406="HEV PREMIUM",'中古車掲載'!J406=2023,ISNUMBER('中古車掲載'!N406),'中古車掲載'!N406&gt;=20000,'中古車掲載'!O406&lt;=100000,'中古車掲載'!AL406=1,'中古車掲載'!Z406="https://www.one2car.com/en/cars-for-sale/toyota/corolla-cross/year-2023"),'中古車掲載'!U406,"")</x:f>
      </x:c>
      <x:c r="BG405" s="3" t="str">
        <x:f>IF(AND('中古車掲載'!C406="One2car",'中古車掲載'!F406="Corolla Cross",'中古車掲載'!L406="HEV GR SPORT",'中古車掲載'!J406=2023,ISNUMBER('中古車掲載'!N406),'中古車掲載'!N406&gt;=20000,'中古車掲載'!O406&lt;=100000,'中古車掲載'!AL406=1,'中古車掲載'!Z406="https://www.one2car.com/en/cars-for-sale/toyota/corolla-cross/year-2023"),'中古車掲載'!U406,"")</x:f>
      </x:c>
      <x:c r="BH405" s="3" t="str">
        <x:f>IF(AND('中古車掲載'!C406="One2car",'中古車掲載'!F406="DOLPHIN",'中古車掲載'!L406="STANDARD RANGE",'中古車掲載'!J406=2023,ISNUMBER('中古車掲載'!N406),'中古車掲載'!N406&gt;=20000,'中古車掲載'!O406&lt;=100000,'中古車掲載'!AL406=1),'中古車掲載'!U406,"")</x:f>
      </x:c>
      <x:c r="BI405" s="3" t="str">
        <x:v>Taladrod|Corolla Cross|HEV|Unknown</x:v>
      </x:c>
      <x:c r="BJ405" s="3" t="n">
        <x:v>406</x:v>
      </x:c>
      <x:c r="BK405" s="3" t="n">
        <x:f>'中古車掲載'!AM406</x:f>
        <x:v>878000</x:v>
      </x:c>
      <x:c r="BL405" s="3" t="n">
        <x:f>IF(ISNUMBER('中古車掲載'!AN406),'中古車掲載'!AN406,"")</x:f>
        <x:v>0.7001594896331739</x:v>
      </x:c>
      <x:c r="BM405" s="3"/>
      <x:c r="BN405" s="3"/>
      <x:c r="BO405" s="3"/>
      <x:c r="BP405" s="3"/>
      <x:c r="BQ405" s="3"/>
      <x:c r="BR405" s="3"/>
    </x:row>
    <x:row r="406" ht="22" customHeight="1">
      <x:c r="A406" s="3" t="str">
        <x:v>Corolla Altis</x:v>
      </x:c>
      <x:c r="B406" s="3" t="str">
        <x:v>HEV</x:v>
      </x:c>
      <x:c r="C406" s="3" t="str">
        <x:v>Taladrod</x:v>
      </x:c>
      <x:c r="D406" s="3" t="str">
        <x:v>Sedan</x:v>
      </x:c>
      <x:c r="E406" s="3" t="str"/>
      <x:c r="F406" s="3" t="n">
        <x:v>2020</x:v>
      </x:c>
      <x:c r="G406" s="3" t="str">
        <x:v>HEV ENTRY</x:v>
      </x:c>
      <x:c r="H406" s="3" t="str">
        <x:v>未掲載</x:v>
      </x:c>
      <x:c r="I406" s="3" t="str">
        <x:v>19-ปัจจุบัน</x:v>
      </x:c>
      <x:c r="J406" s="22" t="n">
        <x:f>COUNT('中古車掲載'!AM185:AM185)</x:f>
        <x:v>1</x:v>
      </x:c>
      <x:c r="K406" s="22" t="n">
        <x:f>IF(COUNT('中古車掲載'!AM185:AM185)=0,"",QUARTILE('中古車掲載'!AM185:AM185,1))</x:f>
        <x:v>479000</x:v>
      </x:c>
      <x:c r="L406" s="22" t="n">
        <x:f>IF(COUNT('中古車掲載'!AM185:AM185)=0,"",MEDIAN('中古車掲載'!AM185:AM185))</x:f>
        <x:v>479000</x:v>
      </x:c>
      <x:c r="M406" s="22" t="n">
        <x:f>IF(COUNT('中古車掲載'!AM185:AM185)=0,"",QUARTILE('中古車掲載'!AM185:AM185,3))</x:f>
        <x:v>479000</x:v>
      </x:c>
      <x:c r="N406" s="22" t="n">
        <x:f>COUNT('中古車掲載'!AN185:AN185)</x:f>
        <x:v>0</x:v>
      </x:c>
      <x:c r="O406" s="23" t="str">
        <x:f>IF(COUNT('中古車掲載'!AN185:AN185)=0,"",MEDIAN('中古車掲載'!AN185:AN185))</x:f>
      </x:c>
      <x:c r="P406" s="3"/>
      <x:c r="Q406" s="3"/>
      <x:c r="R406" s="3"/>
      <x:c r="S406" s="3"/>
      <x:c r="T406" s="3"/>
      <x:c r="U406" s="3"/>
      <x:c r="V406" s="3"/>
      <x:c r="W406" s="3"/>
      <x:c r="X406" s="3"/>
      <x:c r="Y406" s="3"/>
      <x:c r="Z406" s="3"/>
      <x:c r="AA406" s="3"/>
      <x:c r="AB406" s="3"/>
      <x:c r="AC406" s="3"/>
      <x:c r="AD406" s="3"/>
      <x:c r="AE406" s="3"/>
      <x:c r="AF406" s="3"/>
      <x:c r="AG406" s="3"/>
      <x:c r="AH406" s="3"/>
      <x:c r="AI406" s="3"/>
      <x:c r="AJ406" s="3"/>
      <x:c r="AK406" s="3"/>
      <x:c r="AL406" s="3"/>
      <x:c r="AM406" s="3"/>
      <x:c r="AN406" s="3"/>
      <x:c r="AO406" s="3"/>
      <x:c r="AP406" s="3"/>
      <x:c r="AQ406" s="3"/>
      <x:c r="AR406" s="3"/>
      <x:c r="AS406" s="3"/>
      <x:c r="AT406" s="3"/>
      <x:c r="AU406" s="3"/>
      <x:c r="AV406" s="3"/>
      <x:c r="AW406" s="3"/>
      <x:c r="AX406" s="3"/>
      <x:c r="AY406" s="3"/>
      <x:c r="AZ406" s="3" t="str">
        <x:f>IF(AND('中古車掲載'!C407="One2car",'中古車掲載'!F407="ATTO 3",'中古車掲載'!L407="EXTENDED RANGE",'中古車掲載'!J407=2023,ISNUMBER('中古車掲載'!N407),'中古車掲載'!N407&gt;=20000,'中古車掲載'!O407&lt;=100000,'中古車掲載'!AL407=1),'中古車掲載'!U407,"")</x:f>
      </x:c>
      <x:c r="BA406" s="3" t="str">
        <x:f>IF(AND('中古車掲載'!C407="One2car",'中古車掲載'!F407="Corolla Cross",'中古車掲載'!L407="HEV PREMIUM SAFETY",'中古車掲載'!J407=2023,ISNUMBER('中古車掲載'!N407),'中古車掲載'!N407&gt;=20000,'中古車掲載'!O407&lt;=100000,'中古車掲載'!AL407=1,'中古車掲載'!Z407="https://www.one2car.com/en/cars-for-sale/toyota/corolla-cross/year-2023"),'中古車掲載'!U407,"")</x:f>
      </x:c>
      <x:c r="BB406" s="3" t="str">
        <x:f>IF(AND('中古車掲載'!C407="One2car",'中古車掲載'!F407="ATTO 3",'中古車掲載'!L407="EXTENDED RANGE",'中古車掲載'!J407=2023,ISNUMBER('中古車掲載'!N407),'中古車掲載'!N407&gt;=50000,'中古車掲載'!O407&lt;=100000,'中古車掲載'!AL407=1),'中古車掲載'!U407,"")</x:f>
      </x:c>
      <x:c r="BC406" s="3" t="str">
        <x:f>IF(AND('中古車掲載'!C407="One2car",'中古車掲載'!F407="Corolla Cross",'中古車掲載'!L407="HEV PREMIUM SAFETY",'中古車掲載'!J407=2023,ISNUMBER('中古車掲載'!N407),'中古車掲載'!N407&gt;=50000,'中古車掲載'!O407&lt;=100000,'中古車掲載'!AL407=1,'中古車掲載'!Z407="https://www.one2car.com/en/cars-for-sale/toyota/corolla-cross/year-2023"),'中古車掲載'!U407,"")</x:f>
      </x:c>
      <x:c r="BD406" s="3" t="str">
        <x:f>IF(AND('中古車掲載'!C407="One2car",'中古車掲載'!F407="ATTO 3",'中古車掲載'!L407="EXTENDED RANGE",'中古車掲載'!J407=2023,ISNUMBER('中古車掲載'!N407),'中古車掲載'!N407&gt;=20000,'中古車掲載'!O407&lt;=50000,'中古車掲載'!AL407=1),'中古車掲載'!U407,"")</x:f>
      </x:c>
      <x:c r="BE406" s="3" t="str">
        <x:f>IF(AND('中古車掲載'!C407="One2car",'中古車掲載'!F407="Corolla Cross",'中古車掲載'!L407="HEV PREMIUM SAFETY",'中古車掲載'!J407=2023,ISNUMBER('中古車掲載'!N407),'中古車掲載'!N407&gt;=20000,'中古車掲載'!O407&lt;=50000,'中古車掲載'!AL407=1,'中古車掲載'!Z407="https://www.one2car.com/en/cars-for-sale/toyota/corolla-cross/year-2023"),'中古車掲載'!U407,"")</x:f>
      </x:c>
      <x:c r="BF406" s="3" t="str">
        <x:f>IF(AND('中古車掲載'!C407="One2car",'中古車掲載'!F407="Corolla Cross",'中古車掲載'!L407="HEV PREMIUM",'中古車掲載'!J407=2023,ISNUMBER('中古車掲載'!N407),'中古車掲載'!N407&gt;=20000,'中古車掲載'!O407&lt;=100000,'中古車掲載'!AL407=1,'中古車掲載'!Z407="https://www.one2car.com/en/cars-for-sale/toyota/corolla-cross/year-2023"),'中古車掲載'!U407,"")</x:f>
      </x:c>
      <x:c r="BG406" s="3" t="str">
        <x:f>IF(AND('中古車掲載'!C407="One2car",'中古車掲載'!F407="Corolla Cross",'中古車掲載'!L407="HEV GR SPORT",'中古車掲載'!J407=2023,ISNUMBER('中古車掲載'!N407),'中古車掲載'!N407&gt;=20000,'中古車掲載'!O407&lt;=100000,'中古車掲載'!AL407=1,'中古車掲載'!Z407="https://www.one2car.com/en/cars-for-sale/toyota/corolla-cross/year-2023"),'中古車掲載'!U407,"")</x:f>
      </x:c>
      <x:c r="BH406" s="3" t="str">
        <x:f>IF(AND('中古車掲載'!C407="One2car",'中古車掲載'!F407="DOLPHIN",'中古車掲載'!L407="STANDARD RANGE",'中古車掲載'!J407=2023,ISNUMBER('中古車掲載'!N407),'中古車掲載'!N407&gt;=20000,'中古車掲載'!O407&lt;=100000,'中古車掲載'!AL407=1),'中古車掲載'!U407,"")</x:f>
      </x:c>
      <x:c r="BI406" s="3" t="str">
        <x:v>Taladrod|Corolla Cross|HEV|Unknown</x:v>
      </x:c>
      <x:c r="BJ406" s="3" t="n">
        <x:v>407</x:v>
      </x:c>
      <x:c r="BK406" s="3" t="n">
        <x:f>'中古車掲載'!AM407</x:f>
        <x:v>955000</x:v>
      </x:c>
      <x:c r="BL406" s="3" t="n">
        <x:f>IF(ISNUMBER('中古車掲載'!AN407),'中古車掲載'!AN407,"")</x:f>
        <x:v>0.7615629984051037</x:v>
      </x:c>
      <x:c r="BM406" s="3"/>
      <x:c r="BN406" s="3"/>
      <x:c r="BO406" s="3"/>
      <x:c r="BP406" s="3"/>
      <x:c r="BQ406" s="3"/>
      <x:c r="BR406" s="3"/>
    </x:row>
    <x:row r="407" ht="22" customHeight="1">
      <x:c r="A407" s="3" t="str">
        <x:v>Corolla Altis</x:v>
      </x:c>
      <x:c r="B407" s="3" t="str">
        <x:v>HEV</x:v>
      </x:c>
      <x:c r="C407" s="3" t="str">
        <x:v>Taladrod</x:v>
      </x:c>
      <x:c r="D407" s="3" t="str">
        <x:v>Sedan</x:v>
      </x:c>
      <x:c r="E407" s="3" t="str"/>
      <x:c r="F407" s="3" t="n">
        <x:v>2020</x:v>
      </x:c>
      <x:c r="G407" s="3" t="str">
        <x:v>HEV HIGH</x:v>
      </x:c>
      <x:c r="H407" s="3" t="str">
        <x:v>未掲載</x:v>
      </x:c>
      <x:c r="I407" s="3" t="str">
        <x:v>19-ปัจจุบัน</x:v>
      </x:c>
      <x:c r="J407" s="22" t="n">
        <x:f>COUNT('中古車掲載'!AM186:AM189)</x:f>
        <x:v>4</x:v>
      </x:c>
      <x:c r="K407" s="22" t="n">
        <x:f>IF(COUNT('中古車掲載'!AM186:AM189)=0,"",QUARTILE('中古車掲載'!AM186:AM189,1))</x:f>
        <x:v>466500</x:v>
      </x:c>
      <x:c r="L407" s="22" t="n">
        <x:f>IF(COUNT('中古車掲載'!AM186:AM189)=0,"",MEDIAN('中古車掲載'!AM186:AM189))</x:f>
        <x:v>484000</x:v>
      </x:c>
      <x:c r="M407" s="22" t="n">
        <x:f>IF(COUNT('中古車掲載'!AM186:AM189)=0,"",QUARTILE('中古車掲載'!AM186:AM189,3))</x:f>
        <x:v>514000</x:v>
      </x:c>
      <x:c r="N407" s="22" t="n">
        <x:f>COUNT('中古車掲載'!AN186:AN189)</x:f>
        <x:v>0</x:v>
      </x:c>
      <x:c r="O407" s="23" t="str">
        <x:f>IF(COUNT('中古車掲載'!AN186:AN189)=0,"",MEDIAN('中古車掲載'!AN186:AN189))</x:f>
      </x:c>
      <x:c r="P407" s="3"/>
      <x:c r="Q407" s="3"/>
      <x:c r="R407" s="3"/>
      <x:c r="S407" s="3"/>
      <x:c r="T407" s="3"/>
      <x:c r="U407" s="3"/>
      <x:c r="V407" s="3"/>
      <x:c r="W407" s="3"/>
      <x:c r="X407" s="3"/>
      <x:c r="Y407" s="3"/>
      <x:c r="Z407" s="3"/>
      <x:c r="AA407" s="3"/>
      <x:c r="AB407" s="3"/>
      <x:c r="AC407" s="3"/>
      <x:c r="AD407" s="3"/>
      <x:c r="AE407" s="3"/>
      <x:c r="AF407" s="3"/>
      <x:c r="AG407" s="3"/>
      <x:c r="AH407" s="3"/>
      <x:c r="AI407" s="3"/>
      <x:c r="AJ407" s="3"/>
      <x:c r="AK407" s="3"/>
      <x:c r="AL407" s="3"/>
      <x:c r="AM407" s="3"/>
      <x:c r="AN407" s="3"/>
      <x:c r="AO407" s="3"/>
      <x:c r="AP407" s="3"/>
      <x:c r="AQ407" s="3"/>
      <x:c r="AR407" s="3"/>
      <x:c r="AS407" s="3"/>
      <x:c r="AT407" s="3"/>
      <x:c r="AU407" s="3"/>
      <x:c r="AV407" s="3"/>
      <x:c r="AW407" s="3"/>
      <x:c r="AX407" s="3"/>
      <x:c r="AY407" s="3"/>
      <x:c r="AZ407" s="3" t="str">
        <x:f>IF(AND('中古車掲載'!C408="One2car",'中古車掲載'!F408="ATTO 3",'中古車掲載'!L408="EXTENDED RANGE",'中古車掲載'!J408=2023,ISNUMBER('中古車掲載'!N408),'中古車掲載'!N408&gt;=20000,'中古車掲載'!O408&lt;=100000,'中古車掲載'!AL408=1),'中古車掲載'!U408,"")</x:f>
      </x:c>
      <x:c r="BA407" s="3" t="str">
        <x:f>IF(AND('中古車掲載'!C408="One2car",'中古車掲載'!F408="Corolla Cross",'中古車掲載'!L408="HEV PREMIUM SAFETY",'中古車掲載'!J408=2023,ISNUMBER('中古車掲載'!N408),'中古車掲載'!N408&gt;=20000,'中古車掲載'!O408&lt;=100000,'中古車掲載'!AL408=1,'中古車掲載'!Z408="https://www.one2car.com/en/cars-for-sale/toyota/corolla-cross/year-2023"),'中古車掲載'!U408,"")</x:f>
      </x:c>
      <x:c r="BB407" s="3" t="str">
        <x:f>IF(AND('中古車掲載'!C408="One2car",'中古車掲載'!F408="ATTO 3",'中古車掲載'!L408="EXTENDED RANGE",'中古車掲載'!J408=2023,ISNUMBER('中古車掲載'!N408),'中古車掲載'!N408&gt;=50000,'中古車掲載'!O408&lt;=100000,'中古車掲載'!AL408=1),'中古車掲載'!U408,"")</x:f>
      </x:c>
      <x:c r="BC407" s="3" t="str">
        <x:f>IF(AND('中古車掲載'!C408="One2car",'中古車掲載'!F408="Corolla Cross",'中古車掲載'!L408="HEV PREMIUM SAFETY",'中古車掲載'!J408=2023,ISNUMBER('中古車掲載'!N408),'中古車掲載'!N408&gt;=50000,'中古車掲載'!O408&lt;=100000,'中古車掲載'!AL408=1,'中古車掲載'!Z408="https://www.one2car.com/en/cars-for-sale/toyota/corolla-cross/year-2023"),'中古車掲載'!U408,"")</x:f>
      </x:c>
      <x:c r="BD407" s="3" t="str">
        <x:f>IF(AND('中古車掲載'!C408="One2car",'中古車掲載'!F408="ATTO 3",'中古車掲載'!L408="EXTENDED RANGE",'中古車掲載'!J408=2023,ISNUMBER('中古車掲載'!N408),'中古車掲載'!N408&gt;=20000,'中古車掲載'!O408&lt;=50000,'中古車掲載'!AL408=1),'中古車掲載'!U408,"")</x:f>
      </x:c>
      <x:c r="BE407" s="3" t="str">
        <x:f>IF(AND('中古車掲載'!C408="One2car",'中古車掲載'!F408="Corolla Cross",'中古車掲載'!L408="HEV PREMIUM SAFETY",'中古車掲載'!J408=2023,ISNUMBER('中古車掲載'!N408),'中古車掲載'!N408&gt;=20000,'中古車掲載'!O408&lt;=50000,'中古車掲載'!AL408=1,'中古車掲載'!Z408="https://www.one2car.com/en/cars-for-sale/toyota/corolla-cross/year-2023"),'中古車掲載'!U408,"")</x:f>
      </x:c>
      <x:c r="BF407" s="3" t="str">
        <x:f>IF(AND('中古車掲載'!C408="One2car",'中古車掲載'!F408="Corolla Cross",'中古車掲載'!L408="HEV PREMIUM",'中古車掲載'!J408=2023,ISNUMBER('中古車掲載'!N408),'中古車掲載'!N408&gt;=20000,'中古車掲載'!O408&lt;=100000,'中古車掲載'!AL408=1,'中古車掲載'!Z408="https://www.one2car.com/en/cars-for-sale/toyota/corolla-cross/year-2023"),'中古車掲載'!U408,"")</x:f>
      </x:c>
      <x:c r="BG407" s="3" t="str">
        <x:f>IF(AND('中古車掲載'!C408="One2car",'中古車掲載'!F408="Corolla Cross",'中古車掲載'!L408="HEV GR SPORT",'中古車掲載'!J408=2023,ISNUMBER('中古車掲載'!N408),'中古車掲載'!N408&gt;=20000,'中古車掲載'!O408&lt;=100000,'中古車掲載'!AL408=1,'中古車掲載'!Z408="https://www.one2car.com/en/cars-for-sale/toyota/corolla-cross/year-2023"),'中古車掲載'!U408,"")</x:f>
      </x:c>
      <x:c r="BH407" s="3" t="str">
        <x:f>IF(AND('中古車掲載'!C408="One2car",'中古車掲載'!F408="DOLPHIN",'中古車掲載'!L408="STANDARD RANGE",'中古車掲載'!J408=2023,ISNUMBER('中古車掲載'!N408),'中古車掲載'!N408&gt;=20000,'中古車掲載'!O408&lt;=100000,'中古車掲載'!AL408=1),'中古車掲載'!U408,"")</x:f>
      </x:c>
      <x:c r="BI407" s="3" t="str">
        <x:v>Taladrod|Corolla Cross|HEV|Unknown</x:v>
      </x:c>
      <x:c r="BJ407" s="3" t="n">
        <x:v>408</x:v>
      </x:c>
      <x:c r="BK407" s="3" t="n">
        <x:f>'中古車掲載'!AM408</x:f>
        <x:v>899000</x:v>
      </x:c>
      <x:c r="BL407" s="3" t="n">
        <x:f>IF(ISNUMBER('中古車掲載'!AN408),'中古車掲載'!AN408,"")</x:f>
        <x:v>0.7169059011164274</x:v>
      </x:c>
      <x:c r="BM407" s="3"/>
      <x:c r="BN407" s="3"/>
      <x:c r="BO407" s="3"/>
      <x:c r="BP407" s="3"/>
      <x:c r="BQ407" s="3"/>
      <x:c r="BR407" s="3"/>
    </x:row>
    <x:row r="408" ht="22" customHeight="1">
      <x:c r="A408" s="3" t="str">
        <x:v>Corolla Altis</x:v>
      </x:c>
      <x:c r="B408" s="3" t="str">
        <x:v>HEV</x:v>
      </x:c>
      <x:c r="C408" s="3" t="str">
        <x:v>Taladrod</x:v>
      </x:c>
      <x:c r="D408" s="3" t="str">
        <x:v>Sedan</x:v>
      </x:c>
      <x:c r="E408" s="3" t="str"/>
      <x:c r="F408" s="3" t="n">
        <x:v>2020</x:v>
      </x:c>
      <x:c r="G408" s="3" t="str">
        <x:v>HEV MID</x:v>
      </x:c>
      <x:c r="H408" s="3" t="str">
        <x:v>未掲載</x:v>
      </x:c>
      <x:c r="I408" s="3" t="str">
        <x:v>19-ปัจจุบัน</x:v>
      </x:c>
      <x:c r="J408" s="22" t="n">
        <x:f>COUNT('中古車掲載'!AM190:AM192)</x:f>
        <x:v>3</x:v>
      </x:c>
      <x:c r="K408" s="22" t="n">
        <x:f>IF(COUNT('中古車掲載'!AM190:AM192)=0,"",QUARTILE('中古車掲載'!AM190:AM192,1))</x:f>
        <x:v>436500</x:v>
      </x:c>
      <x:c r="L408" s="22" t="n">
        <x:f>IF(COUNT('中古車掲載'!AM190:AM192)=0,"",MEDIAN('中古車掲載'!AM190:AM192))</x:f>
        <x:v>449000</x:v>
      </x:c>
      <x:c r="M408" s="22" t="n">
        <x:f>IF(COUNT('中古車掲載'!AM190:AM192)=0,"",QUARTILE('中古車掲載'!AM190:AM192,3))</x:f>
        <x:v>474000</x:v>
      </x:c>
      <x:c r="N408" s="22" t="n">
        <x:f>COUNT('中古車掲載'!AN190:AN192)</x:f>
        <x:v>0</x:v>
      </x:c>
      <x:c r="O408" s="23" t="str">
        <x:f>IF(COUNT('中古車掲載'!AN190:AN192)=0,"",MEDIAN('中古車掲載'!AN190:AN192))</x:f>
      </x:c>
      <x:c r="P408" s="3"/>
      <x:c r="Q408" s="3"/>
      <x:c r="R408" s="3"/>
      <x:c r="S408" s="3"/>
      <x:c r="T408" s="3"/>
      <x:c r="U408" s="3"/>
      <x:c r="V408" s="3"/>
      <x:c r="W408" s="3"/>
      <x:c r="X408" s="3"/>
      <x:c r="Y408" s="3"/>
      <x:c r="Z408" s="3"/>
      <x:c r="AA408" s="3"/>
      <x:c r="AB408" s="3"/>
      <x:c r="AC408" s="3"/>
      <x:c r="AD408" s="3"/>
      <x:c r="AE408" s="3"/>
      <x:c r="AF408" s="3"/>
      <x:c r="AG408" s="3"/>
      <x:c r="AH408" s="3"/>
      <x:c r="AI408" s="3"/>
      <x:c r="AJ408" s="3"/>
      <x:c r="AK408" s="3"/>
      <x:c r="AL408" s="3"/>
      <x:c r="AM408" s="3"/>
      <x:c r="AN408" s="3"/>
      <x:c r="AO408" s="3"/>
      <x:c r="AP408" s="3"/>
      <x:c r="AQ408" s="3"/>
      <x:c r="AR408" s="3"/>
      <x:c r="AS408" s="3"/>
      <x:c r="AT408" s="3"/>
      <x:c r="AU408" s="3"/>
      <x:c r="AV408" s="3"/>
      <x:c r="AW408" s="3"/>
      <x:c r="AX408" s="3"/>
      <x:c r="AY408" s="3"/>
      <x:c r="AZ408" s="3" t="str">
        <x:f>IF(AND('中古車掲載'!C409="One2car",'中古車掲載'!F409="ATTO 3",'中古車掲載'!L409="EXTENDED RANGE",'中古車掲載'!J409=2023,ISNUMBER('中古車掲載'!N409),'中古車掲載'!N409&gt;=20000,'中古車掲載'!O409&lt;=100000,'中古車掲載'!AL409=1),'中古車掲載'!U409,"")</x:f>
      </x:c>
      <x:c r="BA408" s="3" t="str">
        <x:f>IF(AND('中古車掲載'!C409="One2car",'中古車掲載'!F409="Corolla Cross",'中古車掲載'!L409="HEV PREMIUM SAFETY",'中古車掲載'!J409=2023,ISNUMBER('中古車掲載'!N409),'中古車掲載'!N409&gt;=20000,'中古車掲載'!O409&lt;=100000,'中古車掲載'!AL409=1,'中古車掲載'!Z409="https://www.one2car.com/en/cars-for-sale/toyota/corolla-cross/year-2023"),'中古車掲載'!U409,"")</x:f>
      </x:c>
      <x:c r="BB408" s="3" t="str">
        <x:f>IF(AND('中古車掲載'!C409="One2car",'中古車掲載'!F409="ATTO 3",'中古車掲載'!L409="EXTENDED RANGE",'中古車掲載'!J409=2023,ISNUMBER('中古車掲載'!N409),'中古車掲載'!N409&gt;=50000,'中古車掲載'!O409&lt;=100000,'中古車掲載'!AL409=1),'中古車掲載'!U409,"")</x:f>
      </x:c>
      <x:c r="BC408" s="3" t="str">
        <x:f>IF(AND('中古車掲載'!C409="One2car",'中古車掲載'!F409="Corolla Cross",'中古車掲載'!L409="HEV PREMIUM SAFETY",'中古車掲載'!J409=2023,ISNUMBER('中古車掲載'!N409),'中古車掲載'!N409&gt;=50000,'中古車掲載'!O409&lt;=100000,'中古車掲載'!AL409=1,'中古車掲載'!Z409="https://www.one2car.com/en/cars-for-sale/toyota/corolla-cross/year-2023"),'中古車掲載'!U409,"")</x:f>
      </x:c>
      <x:c r="BD408" s="3" t="str">
        <x:f>IF(AND('中古車掲載'!C409="One2car",'中古車掲載'!F409="ATTO 3",'中古車掲載'!L409="EXTENDED RANGE",'中古車掲載'!J409=2023,ISNUMBER('中古車掲載'!N409),'中古車掲載'!N409&gt;=20000,'中古車掲載'!O409&lt;=50000,'中古車掲載'!AL409=1),'中古車掲載'!U409,"")</x:f>
      </x:c>
      <x:c r="BE408" s="3" t="str">
        <x:f>IF(AND('中古車掲載'!C409="One2car",'中古車掲載'!F409="Corolla Cross",'中古車掲載'!L409="HEV PREMIUM SAFETY",'中古車掲載'!J409=2023,ISNUMBER('中古車掲載'!N409),'中古車掲載'!N409&gt;=20000,'中古車掲載'!O409&lt;=50000,'中古車掲載'!AL409=1,'中古車掲載'!Z409="https://www.one2car.com/en/cars-for-sale/toyota/corolla-cross/year-2023"),'中古車掲載'!U409,"")</x:f>
      </x:c>
      <x:c r="BF408" s="3" t="str">
        <x:f>IF(AND('中古車掲載'!C409="One2car",'中古車掲載'!F409="Corolla Cross",'中古車掲載'!L409="HEV PREMIUM",'中古車掲載'!J409=2023,ISNUMBER('中古車掲載'!N409),'中古車掲載'!N409&gt;=20000,'中古車掲載'!O409&lt;=100000,'中古車掲載'!AL409=1,'中古車掲載'!Z409="https://www.one2car.com/en/cars-for-sale/toyota/corolla-cross/year-2023"),'中古車掲載'!U409,"")</x:f>
      </x:c>
      <x:c r="BG408" s="3" t="str">
        <x:f>IF(AND('中古車掲載'!C409="One2car",'中古車掲載'!F409="Corolla Cross",'中古車掲載'!L409="HEV GR SPORT",'中古車掲載'!J409=2023,ISNUMBER('中古車掲載'!N409),'中古車掲載'!N409&gt;=20000,'中古車掲載'!O409&lt;=100000,'中古車掲載'!AL409=1,'中古車掲載'!Z409="https://www.one2car.com/en/cars-for-sale/toyota/corolla-cross/year-2023"),'中古車掲載'!U409,"")</x:f>
      </x:c>
      <x:c r="BH408" s="3" t="str">
        <x:f>IF(AND('中古車掲載'!C409="One2car",'中古車掲載'!F409="DOLPHIN",'中古車掲載'!L409="STANDARD RANGE",'中古車掲載'!J409=2023,ISNUMBER('中古車掲載'!N409),'中古車掲載'!N409&gt;=20000,'中古車掲載'!O409&lt;=100000,'中古車掲載'!AL409=1),'中古車掲載'!U409,"")</x:f>
      </x:c>
      <x:c r="BI408" s="3" t="str">
        <x:v>Taladrod|Corolla Cross|HEV|Unknown</x:v>
      </x:c>
      <x:c r="BJ408" s="3" t="n">
        <x:v>409</x:v>
      </x:c>
      <x:c r="BK408" s="3" t="n">
        <x:f>'中古車掲載'!AM409</x:f>
        <x:v>858000</x:v>
      </x:c>
      <x:c r="BL408" s="3" t="n">
        <x:f>IF(ISNUMBER('中古車掲載'!AN409),'中古車掲載'!AN409,"")</x:f>
        <x:v>0.6842105263157895</x:v>
      </x:c>
      <x:c r="BM408" s="3"/>
      <x:c r="BN408" s="3"/>
      <x:c r="BO408" s="3"/>
      <x:c r="BP408" s="3"/>
      <x:c r="BQ408" s="3"/>
      <x:c r="BR408" s="3"/>
    </x:row>
    <x:row r="409" ht="22" customHeight="1">
      <x:c r="A409" s="3" t="str">
        <x:v>Corolla Altis</x:v>
      </x:c>
      <x:c r="B409" s="3" t="str">
        <x:v>HEV</x:v>
      </x:c>
      <x:c r="C409" s="3" t="str">
        <x:v>Taladrod</x:v>
      </x:c>
      <x:c r="D409" s="3" t="str">
        <x:v>Sedan</x:v>
      </x:c>
      <x:c r="E409" s="3" t="str"/>
      <x:c r="F409" s="3" t="n">
        <x:v>2020</x:v>
      </x:c>
      <x:c r="G409" s="3" t="str">
        <x:v>HEV PREMIUM</x:v>
      </x:c>
      <x:c r="H409" s="3" t="str">
        <x:v>未掲載</x:v>
      </x:c>
      <x:c r="I409" s="3" t="str">
        <x:v>19-ปัจจุบัน</x:v>
      </x:c>
      <x:c r="J409" s="22" t="n">
        <x:f>COUNT('中古車掲載'!AM193:AM193)</x:f>
        <x:v>1</x:v>
      </x:c>
      <x:c r="K409" s="22" t="n">
        <x:f>IF(COUNT('中古車掲載'!AM193:AM193)=0,"",QUARTILE('中古車掲載'!AM193:AM193,1))</x:f>
        <x:v>499000</x:v>
      </x:c>
      <x:c r="L409" s="22" t="n">
        <x:f>IF(COUNT('中古車掲載'!AM193:AM193)=0,"",MEDIAN('中古車掲載'!AM193:AM193))</x:f>
        <x:v>499000</x:v>
      </x:c>
      <x:c r="M409" s="22" t="n">
        <x:f>IF(COUNT('中古車掲載'!AM193:AM193)=0,"",QUARTILE('中古車掲載'!AM193:AM193,3))</x:f>
        <x:v>499000</x:v>
      </x:c>
      <x:c r="N409" s="22" t="n">
        <x:f>COUNT('中古車掲載'!AN193:AN193)</x:f>
        <x:v>0</x:v>
      </x:c>
      <x:c r="O409" s="23" t="str">
        <x:f>IF(COUNT('中古車掲載'!AN193:AN193)=0,"",MEDIAN('中古車掲載'!AN193:AN193))</x:f>
      </x:c>
      <x:c r="P409" s="3"/>
      <x:c r="Q409" s="3"/>
      <x:c r="R409" s="3"/>
      <x:c r="S409" s="3"/>
      <x:c r="T409" s="3"/>
      <x:c r="U409" s="3"/>
      <x:c r="V409" s="3"/>
      <x:c r="W409" s="3"/>
      <x:c r="X409" s="3"/>
      <x:c r="Y409" s="3"/>
      <x:c r="Z409" s="3"/>
      <x:c r="AA409" s="3"/>
      <x:c r="AB409" s="3"/>
      <x:c r="AC409" s="3"/>
      <x:c r="AD409" s="3"/>
      <x:c r="AE409" s="3"/>
      <x:c r="AF409" s="3"/>
      <x:c r="AG409" s="3"/>
      <x:c r="AH409" s="3"/>
      <x:c r="AI409" s="3"/>
      <x:c r="AJ409" s="3"/>
      <x:c r="AK409" s="3"/>
      <x:c r="AL409" s="3"/>
      <x:c r="AM409" s="3"/>
      <x:c r="AN409" s="3"/>
      <x:c r="AO409" s="3"/>
      <x:c r="AP409" s="3"/>
      <x:c r="AQ409" s="3"/>
      <x:c r="AR409" s="3"/>
      <x:c r="AS409" s="3"/>
      <x:c r="AT409" s="3"/>
      <x:c r="AU409" s="3"/>
      <x:c r="AV409" s="3"/>
      <x:c r="AW409" s="3"/>
      <x:c r="AX409" s="3"/>
      <x:c r="AY409" s="3"/>
      <x:c r="AZ409" s="3" t="str">
        <x:f>IF(AND('中古車掲載'!C410="One2car",'中古車掲載'!F410="ATTO 3",'中古車掲載'!L410="EXTENDED RANGE",'中古車掲載'!J410=2023,ISNUMBER('中古車掲載'!N410),'中古車掲載'!N410&gt;=20000,'中古車掲載'!O410&lt;=100000,'中古車掲載'!AL410=1),'中古車掲載'!U410,"")</x:f>
      </x:c>
      <x:c r="BA409" s="3" t="str">
        <x:f>IF(AND('中古車掲載'!C410="One2car",'中古車掲載'!F410="Corolla Cross",'中古車掲載'!L410="HEV PREMIUM SAFETY",'中古車掲載'!J410=2023,ISNUMBER('中古車掲載'!N410),'中古車掲載'!N410&gt;=20000,'中古車掲載'!O410&lt;=100000,'中古車掲載'!AL410=1,'中古車掲載'!Z410="https://www.one2car.com/en/cars-for-sale/toyota/corolla-cross/year-2023"),'中古車掲載'!U410,"")</x:f>
      </x:c>
      <x:c r="BB409" s="3" t="str">
        <x:f>IF(AND('中古車掲載'!C410="One2car",'中古車掲載'!F410="ATTO 3",'中古車掲載'!L410="EXTENDED RANGE",'中古車掲載'!J410=2023,ISNUMBER('中古車掲載'!N410),'中古車掲載'!N410&gt;=50000,'中古車掲載'!O410&lt;=100000,'中古車掲載'!AL410=1),'中古車掲載'!U410,"")</x:f>
      </x:c>
      <x:c r="BC409" s="3" t="str">
        <x:f>IF(AND('中古車掲載'!C410="One2car",'中古車掲載'!F410="Corolla Cross",'中古車掲載'!L410="HEV PREMIUM SAFETY",'中古車掲載'!J410=2023,ISNUMBER('中古車掲載'!N410),'中古車掲載'!N410&gt;=50000,'中古車掲載'!O410&lt;=100000,'中古車掲載'!AL410=1,'中古車掲載'!Z410="https://www.one2car.com/en/cars-for-sale/toyota/corolla-cross/year-2023"),'中古車掲載'!U410,"")</x:f>
      </x:c>
      <x:c r="BD409" s="3" t="str">
        <x:f>IF(AND('中古車掲載'!C410="One2car",'中古車掲載'!F410="ATTO 3",'中古車掲載'!L410="EXTENDED RANGE",'中古車掲載'!J410=2023,ISNUMBER('中古車掲載'!N410),'中古車掲載'!N410&gt;=20000,'中古車掲載'!O410&lt;=50000,'中古車掲載'!AL410=1),'中古車掲載'!U410,"")</x:f>
      </x:c>
      <x:c r="BE409" s="3" t="str">
        <x:f>IF(AND('中古車掲載'!C410="One2car",'中古車掲載'!F410="Corolla Cross",'中古車掲載'!L410="HEV PREMIUM SAFETY",'中古車掲載'!J410=2023,ISNUMBER('中古車掲載'!N410),'中古車掲載'!N410&gt;=20000,'中古車掲載'!O410&lt;=50000,'中古車掲載'!AL410=1,'中古車掲載'!Z410="https://www.one2car.com/en/cars-for-sale/toyota/corolla-cross/year-2023"),'中古車掲載'!U410,"")</x:f>
      </x:c>
      <x:c r="BF409" s="3" t="str">
        <x:f>IF(AND('中古車掲載'!C410="One2car",'中古車掲載'!F410="Corolla Cross",'中古車掲載'!L410="HEV PREMIUM",'中古車掲載'!J410=2023,ISNUMBER('中古車掲載'!N410),'中古車掲載'!N410&gt;=20000,'中古車掲載'!O410&lt;=100000,'中古車掲載'!AL410=1,'中古車掲載'!Z410="https://www.one2car.com/en/cars-for-sale/toyota/corolla-cross/year-2023"),'中古車掲載'!U410,"")</x:f>
      </x:c>
      <x:c r="BG409" s="3" t="str">
        <x:f>IF(AND('中古車掲載'!C410="One2car",'中古車掲載'!F410="Corolla Cross",'中古車掲載'!L410="HEV GR SPORT",'中古車掲載'!J410=2023,ISNUMBER('中古車掲載'!N410),'中古車掲載'!N410&gt;=20000,'中古車掲載'!O410&lt;=100000,'中古車掲載'!AL410=1,'中古車掲載'!Z410="https://www.one2car.com/en/cars-for-sale/toyota/corolla-cross/year-2023"),'中古車掲載'!U410,"")</x:f>
      </x:c>
      <x:c r="BH409" s="3" t="str">
        <x:f>IF(AND('中古車掲載'!C410="One2car",'中古車掲載'!F410="DOLPHIN",'中古車掲載'!L410="STANDARD RANGE",'中古車掲載'!J410=2023,ISNUMBER('中古車掲載'!N410),'中古車掲載'!N410&gt;=20000,'中古車掲載'!O410&lt;=100000,'中古車掲載'!AL410=1),'中古車掲載'!U410,"")</x:f>
      </x:c>
      <x:c r="BI409" s="3" t="str">
        <x:v>Taladrod|Corolla Cross|HEV|Unknown</x:v>
      </x:c>
      <x:c r="BJ409" s="3" t="n">
        <x:v>410</x:v>
      </x:c>
      <x:c r="BK409" s="3" t="n">
        <x:f>'中古車掲載'!AM410</x:f>
        <x:v>898000</x:v>
      </x:c>
      <x:c r="BL409" s="3" t="n">
        <x:f>IF(ISNUMBER('中古車掲載'!AN410),'中古車掲載'!AN410,"")</x:f>
        <x:v>0.7161084529505582</x:v>
      </x:c>
      <x:c r="BM409" s="3"/>
      <x:c r="BN409" s="3"/>
      <x:c r="BO409" s="3"/>
      <x:c r="BP409" s="3"/>
      <x:c r="BQ409" s="3"/>
      <x:c r="BR409" s="3"/>
    </x:row>
    <x:row r="410" ht="22" customHeight="1">
      <x:c r="A410" s="3" t="str">
        <x:v>Corolla Altis</x:v>
      </x:c>
      <x:c r="B410" s="3" t="str">
        <x:v>HEV</x:v>
      </x:c>
      <x:c r="C410" s="3" t="str">
        <x:v>Taladrod</x:v>
      </x:c>
      <x:c r="D410" s="3" t="str">
        <x:v>Sedan</x:v>
      </x:c>
      <x:c r="E410" s="3" t="str"/>
      <x:c r="F410" s="3" t="n">
        <x:v>2021</x:v>
      </x:c>
      <x:c r="G410" s="3" t="str">
        <x:v>HEV ENTRY</x:v>
      </x:c>
      <x:c r="H410" s="3" t="str">
        <x:v>未掲載</x:v>
      </x:c>
      <x:c r="I410" s="3" t="str">
        <x:v>19-ปัจจุบัน</x:v>
      </x:c>
      <x:c r="J410" s="22" t="n">
        <x:f>COUNT('中古車掲載'!AM194:AM194)</x:f>
        <x:v>1</x:v>
      </x:c>
      <x:c r="K410" s="22" t="n">
        <x:f>IF(COUNT('中古車掲載'!AM194:AM194)=0,"",QUARTILE('中古車掲載'!AM194:AM194,1))</x:f>
        <x:v>489000</x:v>
      </x:c>
      <x:c r="L410" s="22" t="n">
        <x:f>IF(COUNT('中古車掲載'!AM194:AM194)=0,"",MEDIAN('中古車掲載'!AM194:AM194))</x:f>
        <x:v>489000</x:v>
      </x:c>
      <x:c r="M410" s="22" t="n">
        <x:f>IF(COUNT('中古車掲載'!AM194:AM194)=0,"",QUARTILE('中古車掲載'!AM194:AM194,3))</x:f>
        <x:v>489000</x:v>
      </x:c>
      <x:c r="N410" s="22" t="n">
        <x:f>COUNT('中古車掲載'!AN194:AN194)</x:f>
        <x:v>0</x:v>
      </x:c>
      <x:c r="O410" s="23" t="str">
        <x:f>IF(COUNT('中古車掲載'!AN194:AN194)=0,"",MEDIAN('中古車掲載'!AN194:AN194))</x:f>
      </x:c>
      <x:c r="P410" s="3"/>
      <x:c r="Q410" s="3"/>
      <x:c r="R410" s="3"/>
      <x:c r="S410" s="3"/>
      <x:c r="T410" s="3"/>
      <x:c r="U410" s="3"/>
      <x:c r="V410" s="3"/>
      <x:c r="W410" s="3"/>
      <x:c r="X410" s="3"/>
      <x:c r="Y410" s="3"/>
      <x:c r="Z410" s="3"/>
      <x:c r="AA410" s="3"/>
      <x:c r="AB410" s="3"/>
      <x:c r="AC410" s="3"/>
      <x:c r="AD410" s="3"/>
      <x:c r="AE410" s="3"/>
      <x:c r="AF410" s="3"/>
      <x:c r="AG410" s="3"/>
      <x:c r="AH410" s="3"/>
      <x:c r="AI410" s="3"/>
      <x:c r="AJ410" s="3"/>
      <x:c r="AK410" s="3"/>
      <x:c r="AL410" s="3"/>
      <x:c r="AM410" s="3"/>
      <x:c r="AN410" s="3"/>
      <x:c r="AO410" s="3"/>
      <x:c r="AP410" s="3"/>
      <x:c r="AQ410" s="3"/>
      <x:c r="AR410" s="3"/>
      <x:c r="AS410" s="3"/>
      <x:c r="AT410" s="3"/>
      <x:c r="AU410" s="3"/>
      <x:c r="AV410" s="3"/>
      <x:c r="AW410" s="3"/>
      <x:c r="AX410" s="3"/>
      <x:c r="AY410" s="3"/>
      <x:c r="AZ410" s="3" t="str">
        <x:f>IF(AND('中古車掲載'!C411="One2car",'中古車掲載'!F411="ATTO 3",'中古車掲載'!L411="EXTENDED RANGE",'中古車掲載'!J411=2023,ISNUMBER('中古車掲載'!N411),'中古車掲載'!N411&gt;=20000,'中古車掲載'!O411&lt;=100000,'中古車掲載'!AL411=1),'中古車掲載'!U411,"")</x:f>
      </x:c>
      <x:c r="BA410" s="3" t="str">
        <x:f>IF(AND('中古車掲載'!C411="One2car",'中古車掲載'!F411="Corolla Cross",'中古車掲載'!L411="HEV PREMIUM SAFETY",'中古車掲載'!J411=2023,ISNUMBER('中古車掲載'!N411),'中古車掲載'!N411&gt;=20000,'中古車掲載'!O411&lt;=100000,'中古車掲載'!AL411=1,'中古車掲載'!Z411="https://www.one2car.com/en/cars-for-sale/toyota/corolla-cross/year-2023"),'中古車掲載'!U411,"")</x:f>
      </x:c>
      <x:c r="BB410" s="3" t="str">
        <x:f>IF(AND('中古車掲載'!C411="One2car",'中古車掲載'!F411="ATTO 3",'中古車掲載'!L411="EXTENDED RANGE",'中古車掲載'!J411=2023,ISNUMBER('中古車掲載'!N411),'中古車掲載'!N411&gt;=50000,'中古車掲載'!O411&lt;=100000,'中古車掲載'!AL411=1),'中古車掲載'!U411,"")</x:f>
      </x:c>
      <x:c r="BC410" s="3" t="str">
        <x:f>IF(AND('中古車掲載'!C411="One2car",'中古車掲載'!F411="Corolla Cross",'中古車掲載'!L411="HEV PREMIUM SAFETY",'中古車掲載'!J411=2023,ISNUMBER('中古車掲載'!N411),'中古車掲載'!N411&gt;=50000,'中古車掲載'!O411&lt;=100000,'中古車掲載'!AL411=1,'中古車掲載'!Z411="https://www.one2car.com/en/cars-for-sale/toyota/corolla-cross/year-2023"),'中古車掲載'!U411,"")</x:f>
      </x:c>
      <x:c r="BD410" s="3" t="str">
        <x:f>IF(AND('中古車掲載'!C411="One2car",'中古車掲載'!F411="ATTO 3",'中古車掲載'!L411="EXTENDED RANGE",'中古車掲載'!J411=2023,ISNUMBER('中古車掲載'!N411),'中古車掲載'!N411&gt;=20000,'中古車掲載'!O411&lt;=50000,'中古車掲載'!AL411=1),'中古車掲載'!U411,"")</x:f>
      </x:c>
      <x:c r="BE410" s="3" t="str">
        <x:f>IF(AND('中古車掲載'!C411="One2car",'中古車掲載'!F411="Corolla Cross",'中古車掲載'!L411="HEV PREMIUM SAFETY",'中古車掲載'!J411=2023,ISNUMBER('中古車掲載'!N411),'中古車掲載'!N411&gt;=20000,'中古車掲載'!O411&lt;=50000,'中古車掲載'!AL411=1,'中古車掲載'!Z411="https://www.one2car.com/en/cars-for-sale/toyota/corolla-cross/year-2023"),'中古車掲載'!U411,"")</x:f>
      </x:c>
      <x:c r="BF410" s="3" t="str">
        <x:f>IF(AND('中古車掲載'!C411="One2car",'中古車掲載'!F411="Corolla Cross",'中古車掲載'!L411="HEV PREMIUM",'中古車掲載'!J411=2023,ISNUMBER('中古車掲載'!N411),'中古車掲載'!N411&gt;=20000,'中古車掲載'!O411&lt;=100000,'中古車掲載'!AL411=1,'中古車掲載'!Z411="https://www.one2car.com/en/cars-for-sale/toyota/corolla-cross/year-2023"),'中古車掲載'!U411,"")</x:f>
      </x:c>
      <x:c r="BG410" s="3" t="str">
        <x:f>IF(AND('中古車掲載'!C411="One2car",'中古車掲載'!F411="Corolla Cross",'中古車掲載'!L411="HEV GR SPORT",'中古車掲載'!J411=2023,ISNUMBER('中古車掲載'!N411),'中古車掲載'!N411&gt;=20000,'中古車掲載'!O411&lt;=100000,'中古車掲載'!AL411=1,'中古車掲載'!Z411="https://www.one2car.com/en/cars-for-sale/toyota/corolla-cross/year-2023"),'中古車掲載'!U411,"")</x:f>
      </x:c>
      <x:c r="BH410" s="3" t="str">
        <x:f>IF(AND('中古車掲載'!C411="One2car",'中古車掲載'!F411="DOLPHIN",'中古車掲載'!L411="STANDARD RANGE",'中古車掲載'!J411=2023,ISNUMBER('中古車掲載'!N411),'中古車掲載'!N411&gt;=20000,'中古車掲載'!O411&lt;=100000,'中古車掲載'!AL411=1),'中古車掲載'!U411,"")</x:f>
      </x:c>
      <x:c r="BI410" s="3" t="str">
        <x:v>Taladrod|Corolla Cross|HEV|Unknown</x:v>
      </x:c>
      <x:c r="BJ410" s="3" t="n">
        <x:v>411</x:v>
      </x:c>
      <x:c r="BK410" s="3" t="n">
        <x:f>'中古車掲載'!AM411</x:f>
        <x:v>778000</x:v>
      </x:c>
      <x:c r="BL410" s="3" t="n">
        <x:f>IF(ISNUMBER('中古車掲載'!AN411),'中古車掲載'!AN411,"")</x:f>
        <x:v>0.620414673046252</x:v>
      </x:c>
      <x:c r="BM410" s="3"/>
      <x:c r="BN410" s="3"/>
      <x:c r="BO410" s="3"/>
      <x:c r="BP410" s="3"/>
      <x:c r="BQ410" s="3"/>
      <x:c r="BR410" s="3"/>
    </x:row>
    <x:row r="411" ht="22" customHeight="1">
      <x:c r="A411" s="3" t="str">
        <x:v>Corolla Altis</x:v>
      </x:c>
      <x:c r="B411" s="3" t="str">
        <x:v>HEV</x:v>
      </x:c>
      <x:c r="C411" s="3" t="str">
        <x:v>Taladrod</x:v>
      </x:c>
      <x:c r="D411" s="3" t="str">
        <x:v>Sedan</x:v>
      </x:c>
      <x:c r="E411" s="3" t="str"/>
      <x:c r="F411" s="3" t="n">
        <x:v>2021</x:v>
      </x:c>
      <x:c r="G411" s="3" t="str">
        <x:v>HEV PREMIUM</x:v>
      </x:c>
      <x:c r="H411" s="3" t="str">
        <x:v>未掲載</x:v>
      </x:c>
      <x:c r="I411" s="3" t="str">
        <x:v>19-ปัจจุบัน</x:v>
      </x:c>
      <x:c r="J411" s="22" t="n">
        <x:f>COUNT('中古車掲載'!AM195:AM195)</x:f>
        <x:v>1</x:v>
      </x:c>
      <x:c r="K411" s="22" t="n">
        <x:f>IF(COUNT('中古車掲載'!AM195:AM195)=0,"",QUARTILE('中古車掲載'!AM195:AM195,1))</x:f>
        <x:v>519000</x:v>
      </x:c>
      <x:c r="L411" s="22" t="n">
        <x:f>IF(COUNT('中古車掲載'!AM195:AM195)=0,"",MEDIAN('中古車掲載'!AM195:AM195))</x:f>
        <x:v>519000</x:v>
      </x:c>
      <x:c r="M411" s="22" t="n">
        <x:f>IF(COUNT('中古車掲載'!AM195:AM195)=0,"",QUARTILE('中古車掲載'!AM195:AM195,3))</x:f>
        <x:v>519000</x:v>
      </x:c>
      <x:c r="N411" s="22" t="n">
        <x:f>COUNT('中古車掲載'!AN195:AN195)</x:f>
        <x:v>0</x:v>
      </x:c>
      <x:c r="O411" s="23" t="str">
        <x:f>IF(COUNT('中古車掲載'!AN195:AN195)=0,"",MEDIAN('中古車掲載'!AN195:AN195))</x:f>
      </x:c>
      <x:c r="P411" s="3"/>
      <x:c r="Q411" s="3"/>
      <x:c r="R411" s="3"/>
      <x:c r="S411" s="3"/>
      <x:c r="T411" s="3"/>
      <x:c r="U411" s="3"/>
      <x:c r="V411" s="3"/>
      <x:c r="W411" s="3"/>
      <x:c r="X411" s="3"/>
      <x:c r="Y411" s="3"/>
      <x:c r="Z411" s="3"/>
      <x:c r="AA411" s="3"/>
      <x:c r="AB411" s="3"/>
      <x:c r="AC411" s="3"/>
      <x:c r="AD411" s="3"/>
      <x:c r="AE411" s="3"/>
      <x:c r="AF411" s="3"/>
      <x:c r="AG411" s="3"/>
      <x:c r="AH411" s="3"/>
      <x:c r="AI411" s="3"/>
      <x:c r="AJ411" s="3"/>
      <x:c r="AK411" s="3"/>
      <x:c r="AL411" s="3"/>
      <x:c r="AM411" s="3"/>
      <x:c r="AN411" s="3"/>
      <x:c r="AO411" s="3"/>
      <x:c r="AP411" s="3"/>
      <x:c r="AQ411" s="3"/>
      <x:c r="AR411" s="3"/>
      <x:c r="AS411" s="3"/>
      <x:c r="AT411" s="3"/>
      <x:c r="AU411" s="3"/>
      <x:c r="AV411" s="3"/>
      <x:c r="AW411" s="3"/>
      <x:c r="AX411" s="3"/>
      <x:c r="AY411" s="3"/>
      <x:c r="AZ411" s="3" t="str">
        <x:f>IF(AND('中古車掲載'!C412="One2car",'中古車掲載'!F412="ATTO 3",'中古車掲載'!L412="EXTENDED RANGE",'中古車掲載'!J412=2023,ISNUMBER('中古車掲載'!N412),'中古車掲載'!N412&gt;=20000,'中古車掲載'!O412&lt;=100000,'中古車掲載'!AL412=1),'中古車掲載'!U412,"")</x:f>
      </x:c>
      <x:c r="BA411" s="3" t="str">
        <x:f>IF(AND('中古車掲載'!C412="One2car",'中古車掲載'!F412="Corolla Cross",'中古車掲載'!L412="HEV PREMIUM SAFETY",'中古車掲載'!J412=2023,ISNUMBER('中古車掲載'!N412),'中古車掲載'!N412&gt;=20000,'中古車掲載'!O412&lt;=100000,'中古車掲載'!AL412=1,'中古車掲載'!Z412="https://www.one2car.com/en/cars-for-sale/toyota/corolla-cross/year-2023"),'中古車掲載'!U412,"")</x:f>
      </x:c>
      <x:c r="BB411" s="3" t="str">
        <x:f>IF(AND('中古車掲載'!C412="One2car",'中古車掲載'!F412="ATTO 3",'中古車掲載'!L412="EXTENDED RANGE",'中古車掲載'!J412=2023,ISNUMBER('中古車掲載'!N412),'中古車掲載'!N412&gt;=50000,'中古車掲載'!O412&lt;=100000,'中古車掲載'!AL412=1),'中古車掲載'!U412,"")</x:f>
      </x:c>
      <x:c r="BC411" s="3" t="str">
        <x:f>IF(AND('中古車掲載'!C412="One2car",'中古車掲載'!F412="Corolla Cross",'中古車掲載'!L412="HEV PREMIUM SAFETY",'中古車掲載'!J412=2023,ISNUMBER('中古車掲載'!N412),'中古車掲載'!N412&gt;=50000,'中古車掲載'!O412&lt;=100000,'中古車掲載'!AL412=1,'中古車掲載'!Z412="https://www.one2car.com/en/cars-for-sale/toyota/corolla-cross/year-2023"),'中古車掲載'!U412,"")</x:f>
      </x:c>
      <x:c r="BD411" s="3" t="str">
        <x:f>IF(AND('中古車掲載'!C412="One2car",'中古車掲載'!F412="ATTO 3",'中古車掲載'!L412="EXTENDED RANGE",'中古車掲載'!J412=2023,ISNUMBER('中古車掲載'!N412),'中古車掲載'!N412&gt;=20000,'中古車掲載'!O412&lt;=50000,'中古車掲載'!AL412=1),'中古車掲載'!U412,"")</x:f>
      </x:c>
      <x:c r="BE411" s="3" t="str">
        <x:f>IF(AND('中古車掲載'!C412="One2car",'中古車掲載'!F412="Corolla Cross",'中古車掲載'!L412="HEV PREMIUM SAFETY",'中古車掲載'!J412=2023,ISNUMBER('中古車掲載'!N412),'中古車掲載'!N412&gt;=20000,'中古車掲載'!O412&lt;=50000,'中古車掲載'!AL412=1,'中古車掲載'!Z412="https://www.one2car.com/en/cars-for-sale/toyota/corolla-cross/year-2023"),'中古車掲載'!U412,"")</x:f>
      </x:c>
      <x:c r="BF411" s="3" t="str">
        <x:f>IF(AND('中古車掲載'!C412="One2car",'中古車掲載'!F412="Corolla Cross",'中古車掲載'!L412="HEV PREMIUM",'中古車掲載'!J412=2023,ISNUMBER('中古車掲載'!N412),'中古車掲載'!N412&gt;=20000,'中古車掲載'!O412&lt;=100000,'中古車掲載'!AL412=1,'中古車掲載'!Z412="https://www.one2car.com/en/cars-for-sale/toyota/corolla-cross/year-2023"),'中古車掲載'!U412,"")</x:f>
      </x:c>
      <x:c r="BG411" s="3" t="str">
        <x:f>IF(AND('中古車掲載'!C412="One2car",'中古車掲載'!F412="Corolla Cross",'中古車掲載'!L412="HEV GR SPORT",'中古車掲載'!J412=2023,ISNUMBER('中古車掲載'!N412),'中古車掲載'!N412&gt;=20000,'中古車掲載'!O412&lt;=100000,'中古車掲載'!AL412=1,'中古車掲載'!Z412="https://www.one2car.com/en/cars-for-sale/toyota/corolla-cross/year-2023"),'中古車掲載'!U412,"")</x:f>
      </x:c>
      <x:c r="BH411" s="3" t="str">
        <x:f>IF(AND('中古車掲載'!C412="One2car",'中古車掲載'!F412="DOLPHIN",'中古車掲載'!L412="STANDARD RANGE",'中古車掲載'!J412=2023,ISNUMBER('中古車掲載'!N412),'中古車掲載'!N412&gt;=20000,'中古車掲載'!O412&lt;=100000,'中古車掲載'!AL412=1),'中古車掲載'!U412,"")</x:f>
      </x:c>
      <x:c r="BI411" s="3" t="str">
        <x:v>Taladrod|Corolla Cross|HEV|Unknown</x:v>
      </x:c>
      <x:c r="BJ411" s="3" t="n">
        <x:v>412</x:v>
      </x:c>
      <x:c r="BK411" s="3" t="n">
        <x:f>'中古車掲載'!AM412</x:f>
        <x:v>829000</x:v>
      </x:c>
      <x:c r="BL411" s="3" t="n">
        <x:f>IF(ISNUMBER('中古車掲載'!AN412),'中古車掲載'!AN412,"")</x:f>
        <x:v>0.7577696526508226</x:v>
      </x:c>
      <x:c r="BM411" s="3"/>
      <x:c r="BN411" s="3"/>
      <x:c r="BO411" s="3"/>
      <x:c r="BP411" s="3"/>
      <x:c r="BQ411" s="3"/>
      <x:c r="BR411" s="3"/>
    </x:row>
    <x:row r="412" ht="22" customHeight="1">
      <x:c r="A412" s="3" t="str">
        <x:v>Corolla Altis</x:v>
      </x:c>
      <x:c r="B412" s="3" t="str">
        <x:v>HEV</x:v>
      </x:c>
      <x:c r="C412" s="3" t="str">
        <x:v>Taladrod</x:v>
      </x:c>
      <x:c r="D412" s="3" t="str">
        <x:v>Sedan</x:v>
      </x:c>
      <x:c r="E412" s="3" t="str"/>
      <x:c r="F412" s="3" t="n">
        <x:v>2021</x:v>
      </x:c>
      <x:c r="G412" s="3" t="str">
        <x:v>HEV PREMIUM</x:v>
      </x:c>
      <x:c r="H412" s="3" t="str">
        <x:v>未掲載</x:v>
      </x:c>
      <x:c r="I412" s="3" t="str">
        <x:v>世代不明</x:v>
      </x:c>
      <x:c r="J412" s="22" t="n">
        <x:f>COUNT('中古車掲載'!AM196:AM196)</x:f>
        <x:v>1</x:v>
      </x:c>
      <x:c r="K412" s="22" t="n">
        <x:f>IF(COUNT('中古車掲載'!AM196:AM196)=0,"",QUARTILE('中古車掲載'!AM196:AM196,1))</x:f>
        <x:v>750000</x:v>
      </x:c>
      <x:c r="L412" s="22" t="n">
        <x:f>IF(COUNT('中古車掲載'!AM196:AM196)=0,"",MEDIAN('中古車掲載'!AM196:AM196))</x:f>
        <x:v>750000</x:v>
      </x:c>
      <x:c r="M412" s="22" t="n">
        <x:f>IF(COUNT('中古車掲載'!AM196:AM196)=0,"",QUARTILE('中古車掲載'!AM196:AM196,3))</x:f>
        <x:v>750000</x:v>
      </x:c>
      <x:c r="N412" s="22" t="n">
        <x:f>COUNT('中古車掲載'!AN196:AN196)</x:f>
        <x:v>0</x:v>
      </x:c>
      <x:c r="O412" s="23" t="str">
        <x:f>IF(COUNT('中古車掲載'!AN196:AN196)=0,"",MEDIAN('中古車掲載'!AN196:AN196))</x:f>
      </x:c>
      <x:c r="P412" s="3"/>
      <x:c r="Q412" s="3"/>
      <x:c r="R412" s="3"/>
      <x:c r="S412" s="3"/>
      <x:c r="T412" s="3"/>
      <x:c r="U412" s="3"/>
      <x:c r="V412" s="3"/>
      <x:c r="W412" s="3"/>
      <x:c r="X412" s="3"/>
      <x:c r="Y412" s="3"/>
      <x:c r="Z412" s="3"/>
      <x:c r="AA412" s="3"/>
      <x:c r="AB412" s="3"/>
      <x:c r="AC412" s="3"/>
      <x:c r="AD412" s="3"/>
      <x:c r="AE412" s="3"/>
      <x:c r="AF412" s="3"/>
      <x:c r="AG412" s="3"/>
      <x:c r="AH412" s="3"/>
      <x:c r="AI412" s="3"/>
      <x:c r="AJ412" s="3"/>
      <x:c r="AK412" s="3"/>
      <x:c r="AL412" s="3"/>
      <x:c r="AM412" s="3"/>
      <x:c r="AN412" s="3"/>
      <x:c r="AO412" s="3"/>
      <x:c r="AP412" s="3"/>
      <x:c r="AQ412" s="3"/>
      <x:c r="AR412" s="3"/>
      <x:c r="AS412" s="3"/>
      <x:c r="AT412" s="3"/>
      <x:c r="AU412" s="3"/>
      <x:c r="AV412" s="3"/>
      <x:c r="AW412" s="3"/>
      <x:c r="AX412" s="3"/>
      <x:c r="AY412" s="3"/>
      <x:c r="AZ412" s="3" t="str">
        <x:f>IF(AND('中古車掲載'!C413="One2car",'中古車掲載'!F413="ATTO 3",'中古車掲載'!L413="EXTENDED RANGE",'中古車掲載'!J413=2023,ISNUMBER('中古車掲載'!N413),'中古車掲載'!N413&gt;=20000,'中古車掲載'!O413&lt;=100000,'中古車掲載'!AL413=1),'中古車掲載'!U413,"")</x:f>
      </x:c>
      <x:c r="BA412" s="3" t="str">
        <x:f>IF(AND('中古車掲載'!C413="One2car",'中古車掲載'!F413="Corolla Cross",'中古車掲載'!L413="HEV PREMIUM SAFETY",'中古車掲載'!J413=2023,ISNUMBER('中古車掲載'!N413),'中古車掲載'!N413&gt;=20000,'中古車掲載'!O413&lt;=100000,'中古車掲載'!AL413=1,'中古車掲載'!Z413="https://www.one2car.com/en/cars-for-sale/toyota/corolla-cross/year-2023"),'中古車掲載'!U413,"")</x:f>
      </x:c>
      <x:c r="BB412" s="3" t="str">
        <x:f>IF(AND('中古車掲載'!C413="One2car",'中古車掲載'!F413="ATTO 3",'中古車掲載'!L413="EXTENDED RANGE",'中古車掲載'!J413=2023,ISNUMBER('中古車掲載'!N413),'中古車掲載'!N413&gt;=50000,'中古車掲載'!O413&lt;=100000,'中古車掲載'!AL413=1),'中古車掲載'!U413,"")</x:f>
      </x:c>
      <x:c r="BC412" s="3" t="str">
        <x:f>IF(AND('中古車掲載'!C413="One2car",'中古車掲載'!F413="Corolla Cross",'中古車掲載'!L413="HEV PREMIUM SAFETY",'中古車掲載'!J413=2023,ISNUMBER('中古車掲載'!N413),'中古車掲載'!N413&gt;=50000,'中古車掲載'!O413&lt;=100000,'中古車掲載'!AL413=1,'中古車掲載'!Z413="https://www.one2car.com/en/cars-for-sale/toyota/corolla-cross/year-2023"),'中古車掲載'!U413,"")</x:f>
      </x:c>
      <x:c r="BD412" s="3" t="str">
        <x:f>IF(AND('中古車掲載'!C413="One2car",'中古車掲載'!F413="ATTO 3",'中古車掲載'!L413="EXTENDED RANGE",'中古車掲載'!J413=2023,ISNUMBER('中古車掲載'!N413),'中古車掲載'!N413&gt;=20000,'中古車掲載'!O413&lt;=50000,'中古車掲載'!AL413=1),'中古車掲載'!U413,"")</x:f>
      </x:c>
      <x:c r="BE412" s="3" t="str">
        <x:f>IF(AND('中古車掲載'!C413="One2car",'中古車掲載'!F413="Corolla Cross",'中古車掲載'!L413="HEV PREMIUM SAFETY",'中古車掲載'!J413=2023,ISNUMBER('中古車掲載'!N413),'中古車掲載'!N413&gt;=20000,'中古車掲載'!O413&lt;=50000,'中古車掲載'!AL413=1,'中古車掲載'!Z413="https://www.one2car.com/en/cars-for-sale/toyota/corolla-cross/year-2023"),'中古車掲載'!U413,"")</x:f>
      </x:c>
      <x:c r="BF412" s="3" t="str">
        <x:f>IF(AND('中古車掲載'!C413="One2car",'中古車掲載'!F413="Corolla Cross",'中古車掲載'!L413="HEV PREMIUM",'中古車掲載'!J413=2023,ISNUMBER('中古車掲載'!N413),'中古車掲載'!N413&gt;=20000,'中古車掲載'!O413&lt;=100000,'中古車掲載'!AL413=1,'中古車掲載'!Z413="https://www.one2car.com/en/cars-for-sale/toyota/corolla-cross/year-2023"),'中古車掲載'!U413,"")</x:f>
      </x:c>
      <x:c r="BG412" s="3" t="str">
        <x:f>IF(AND('中古車掲載'!C413="One2car",'中古車掲載'!F413="Corolla Cross",'中古車掲載'!L413="HEV GR SPORT",'中古車掲載'!J413=2023,ISNUMBER('中古車掲載'!N413),'中古車掲載'!N413&gt;=20000,'中古車掲載'!O413&lt;=100000,'中古車掲載'!AL413=1,'中古車掲載'!Z413="https://www.one2car.com/en/cars-for-sale/toyota/corolla-cross/year-2023"),'中古車掲載'!U413,"")</x:f>
      </x:c>
      <x:c r="BH412" s="3" t="str">
        <x:f>IF(AND('中古車掲載'!C413="One2car",'中古車掲載'!F413="DOLPHIN",'中古車掲載'!L413="STANDARD RANGE",'中古車掲載'!J413=2023,ISNUMBER('中古車掲載'!N413),'中古車掲載'!N413&gt;=20000,'中古車掲載'!O413&lt;=100000,'中古車掲載'!AL413=1),'中古車掲載'!U413,"")</x:f>
      </x:c>
      <x:c r="BI412" s="3" t="str">
        <x:v>Taladrod|Corolla Cross|HEV|Unknown</x:v>
      </x:c>
      <x:c r="BJ412" s="3" t="n">
        <x:v>413</x:v>
      </x:c>
      <x:c r="BK412" s="3" t="n">
        <x:f>'中古車掲載'!AM413</x:f>
        <x:v>785000</x:v>
      </x:c>
      <x:c r="BL412" s="3" t="n">
        <x:f>IF(ISNUMBER('中古車掲載'!AN413),'中古車掲載'!AN413,"")</x:f>
        <x:v>0.7175502742230347</x:v>
      </x:c>
      <x:c r="BM412" s="3"/>
      <x:c r="BN412" s="3"/>
      <x:c r="BO412" s="3"/>
      <x:c r="BP412" s="3"/>
      <x:c r="BQ412" s="3"/>
      <x:c r="BR412" s="3"/>
    </x:row>
    <x:row r="413" ht="22" customHeight="1">
      <x:c r="A413" s="3" t="str">
        <x:v>Corolla Altis</x:v>
      </x:c>
      <x:c r="B413" s="3" t="str">
        <x:v>HEV</x:v>
      </x:c>
      <x:c r="C413" s="3" t="str">
        <x:v>Taladrod</x:v>
      </x:c>
      <x:c r="D413" s="3" t="str">
        <x:v>Sedan</x:v>
      </x:c>
      <x:c r="E413" s="3" t="str"/>
      <x:c r="F413" s="3" t="n">
        <x:v>2021</x:v>
      </x:c>
      <x:c r="G413" s="3" t="str">
        <x:v>HEV PREMIUM SAFETY</x:v>
      </x:c>
      <x:c r="H413" s="3" t="str">
        <x:v>未掲載</x:v>
      </x:c>
      <x:c r="I413" s="3" t="str">
        <x:v>19-ปัจจุบัน</x:v>
      </x:c>
      <x:c r="J413" s="22" t="n">
        <x:f>COUNT('中古車掲載'!AM197:AM198)</x:f>
        <x:v>2</x:v>
      </x:c>
      <x:c r="K413" s="22" t="n">
        <x:f>IF(COUNT('中古車掲載'!AM197:AM198)=0,"",QUARTILE('中古車掲載'!AM197:AM198,1))</x:f>
        <x:v>509000</x:v>
      </x:c>
      <x:c r="L413" s="22" t="n">
        <x:f>IF(COUNT('中古車掲載'!AM197:AM198)=0,"",MEDIAN('中古車掲載'!AM197:AM198))</x:f>
        <x:v>549000</x:v>
      </x:c>
      <x:c r="M413" s="22" t="n">
        <x:f>IF(COUNT('中古車掲載'!AM197:AM198)=0,"",QUARTILE('中古車掲載'!AM197:AM198,3))</x:f>
        <x:v>589000</x:v>
      </x:c>
      <x:c r="N413" s="22" t="n">
        <x:f>COUNT('中古車掲載'!AN197:AN198)</x:f>
        <x:v>0</x:v>
      </x:c>
      <x:c r="O413" s="23" t="str">
        <x:f>IF(COUNT('中古車掲載'!AN197:AN198)=0,"",MEDIAN('中古車掲載'!AN197:AN198))</x:f>
      </x:c>
      <x:c r="P413" s="3"/>
      <x:c r="Q413" s="3"/>
      <x:c r="R413" s="3"/>
      <x:c r="S413" s="3"/>
      <x:c r="T413" s="3"/>
      <x:c r="U413" s="3"/>
      <x:c r="V413" s="3"/>
      <x:c r="W413" s="3"/>
      <x:c r="X413" s="3"/>
      <x:c r="Y413" s="3"/>
      <x:c r="Z413" s="3"/>
      <x:c r="AA413" s="3"/>
      <x:c r="AB413" s="3"/>
      <x:c r="AC413" s="3"/>
      <x:c r="AD413" s="3"/>
      <x:c r="AE413" s="3"/>
      <x:c r="AF413" s="3"/>
      <x:c r="AG413" s="3"/>
      <x:c r="AH413" s="3"/>
      <x:c r="AI413" s="3"/>
      <x:c r="AJ413" s="3"/>
      <x:c r="AK413" s="3"/>
      <x:c r="AL413" s="3"/>
      <x:c r="AM413" s="3"/>
      <x:c r="AN413" s="3"/>
      <x:c r="AO413" s="3"/>
      <x:c r="AP413" s="3"/>
      <x:c r="AQ413" s="3"/>
      <x:c r="AR413" s="3"/>
      <x:c r="AS413" s="3"/>
      <x:c r="AT413" s="3"/>
      <x:c r="AU413" s="3"/>
      <x:c r="AV413" s="3"/>
      <x:c r="AW413" s="3"/>
      <x:c r="AX413" s="3"/>
      <x:c r="AY413" s="3"/>
      <x:c r="AZ413" s="3" t="str">
        <x:f>IF(AND('中古車掲載'!C414="One2car",'中古車掲載'!F414="ATTO 3",'中古車掲載'!L414="EXTENDED RANGE",'中古車掲載'!J414=2023,ISNUMBER('中古車掲載'!N414),'中古車掲載'!N414&gt;=20000,'中古車掲載'!O414&lt;=100000,'中古車掲載'!AL414=1),'中古車掲載'!U414,"")</x:f>
      </x:c>
      <x:c r="BA413" s="3" t="str">
        <x:f>IF(AND('中古車掲載'!C414="One2car",'中古車掲載'!F414="Corolla Cross",'中古車掲載'!L414="HEV PREMIUM SAFETY",'中古車掲載'!J414=2023,ISNUMBER('中古車掲載'!N414),'中古車掲載'!N414&gt;=20000,'中古車掲載'!O414&lt;=100000,'中古車掲載'!AL414=1,'中古車掲載'!Z414="https://www.one2car.com/en/cars-for-sale/toyota/corolla-cross/year-2023"),'中古車掲載'!U414,"")</x:f>
      </x:c>
      <x:c r="BB413" s="3" t="str">
        <x:f>IF(AND('中古車掲載'!C414="One2car",'中古車掲載'!F414="ATTO 3",'中古車掲載'!L414="EXTENDED RANGE",'中古車掲載'!J414=2023,ISNUMBER('中古車掲載'!N414),'中古車掲載'!N414&gt;=50000,'中古車掲載'!O414&lt;=100000,'中古車掲載'!AL414=1),'中古車掲載'!U414,"")</x:f>
      </x:c>
      <x:c r="BC413" s="3" t="str">
        <x:f>IF(AND('中古車掲載'!C414="One2car",'中古車掲載'!F414="Corolla Cross",'中古車掲載'!L414="HEV PREMIUM SAFETY",'中古車掲載'!J414=2023,ISNUMBER('中古車掲載'!N414),'中古車掲載'!N414&gt;=50000,'中古車掲載'!O414&lt;=100000,'中古車掲載'!AL414=1,'中古車掲載'!Z414="https://www.one2car.com/en/cars-for-sale/toyota/corolla-cross/year-2023"),'中古車掲載'!U414,"")</x:f>
      </x:c>
      <x:c r="BD413" s="3" t="str">
        <x:f>IF(AND('中古車掲載'!C414="One2car",'中古車掲載'!F414="ATTO 3",'中古車掲載'!L414="EXTENDED RANGE",'中古車掲載'!J414=2023,ISNUMBER('中古車掲載'!N414),'中古車掲載'!N414&gt;=20000,'中古車掲載'!O414&lt;=50000,'中古車掲載'!AL414=1),'中古車掲載'!U414,"")</x:f>
      </x:c>
      <x:c r="BE413" s="3" t="str">
        <x:f>IF(AND('中古車掲載'!C414="One2car",'中古車掲載'!F414="Corolla Cross",'中古車掲載'!L414="HEV PREMIUM SAFETY",'中古車掲載'!J414=2023,ISNUMBER('中古車掲載'!N414),'中古車掲載'!N414&gt;=20000,'中古車掲載'!O414&lt;=50000,'中古車掲載'!AL414=1,'中古車掲載'!Z414="https://www.one2car.com/en/cars-for-sale/toyota/corolla-cross/year-2023"),'中古車掲載'!U414,"")</x:f>
      </x:c>
      <x:c r="BF413" s="3" t="str">
        <x:f>IF(AND('中古車掲載'!C414="One2car",'中古車掲載'!F414="Corolla Cross",'中古車掲載'!L414="HEV PREMIUM",'中古車掲載'!J414=2023,ISNUMBER('中古車掲載'!N414),'中古車掲載'!N414&gt;=20000,'中古車掲載'!O414&lt;=100000,'中古車掲載'!AL414=1,'中古車掲載'!Z414="https://www.one2car.com/en/cars-for-sale/toyota/corolla-cross/year-2023"),'中古車掲載'!U414,"")</x:f>
      </x:c>
      <x:c r="BG413" s="3" t="str">
        <x:f>IF(AND('中古車掲載'!C414="One2car",'中古車掲載'!F414="Corolla Cross",'中古車掲載'!L414="HEV GR SPORT",'中古車掲載'!J414=2023,ISNUMBER('中古車掲載'!N414),'中古車掲載'!N414&gt;=20000,'中古車掲載'!O414&lt;=100000,'中古車掲載'!AL414=1,'中古車掲載'!Z414="https://www.one2car.com/en/cars-for-sale/toyota/corolla-cross/year-2023"),'中古車掲載'!U414,"")</x:f>
      </x:c>
      <x:c r="BH413" s="3" t="str">
        <x:f>IF(AND('中古車掲載'!C414="One2car",'中古車掲載'!F414="DOLPHIN",'中古車掲載'!L414="STANDARD RANGE",'中古車掲載'!J414=2023,ISNUMBER('中古車掲載'!N414),'中古車掲載'!N414&gt;=20000,'中古車掲載'!O414&lt;=100000,'中古車掲載'!AL414=1),'中古車掲載'!U414,"")</x:f>
      </x:c>
      <x:c r="BI413" s="3" t="str">
        <x:v>Taladrod|Corolla Cross|HEV|Unknown</x:v>
      </x:c>
      <x:c r="BJ413" s="3" t="n">
        <x:v>414</x:v>
      </x:c>
      <x:c r="BK413" s="3" t="n">
        <x:f>'中古車掲載'!AM414</x:f>
        <x:v>829000</x:v>
      </x:c>
      <x:c r="BL413" s="3" t="n">
        <x:f>IF(ISNUMBER('中古車掲載'!AN414),'中古車掲載'!AN414,"")</x:f>
        <x:v>0.7577696526508226</x:v>
      </x:c>
      <x:c r="BM413" s="3"/>
      <x:c r="BN413" s="3"/>
      <x:c r="BO413" s="3"/>
      <x:c r="BP413" s="3"/>
      <x:c r="BQ413" s="3"/>
      <x:c r="BR413" s="3"/>
    </x:row>
    <x:row r="414" ht="22" customHeight="1">
      <x:c r="A414" s="3" t="str">
        <x:v>Corolla Altis</x:v>
      </x:c>
      <x:c r="B414" s="3" t="str">
        <x:v>HEV</x:v>
      </x:c>
      <x:c r="C414" s="3" t="str">
        <x:v>Taladrod</x:v>
      </x:c>
      <x:c r="D414" s="3" t="str">
        <x:v>Sedan</x:v>
      </x:c>
      <x:c r="E414" s="3" t="str"/>
      <x:c r="F414" s="3" t="n">
        <x:v>2021</x:v>
      </x:c>
      <x:c r="G414" s="3" t="str">
        <x:v>HEV SMART</x:v>
      </x:c>
      <x:c r="H414" s="3" t="str">
        <x:v>未掲載</x:v>
      </x:c>
      <x:c r="I414" s="3" t="str">
        <x:v>19-ปัจจุบัน</x:v>
      </x:c>
      <x:c r="J414" s="22" t="n">
        <x:f>COUNT('中古車掲載'!AM199:AM200)</x:f>
        <x:v>2</x:v>
      </x:c>
      <x:c r="K414" s="22" t="n">
        <x:f>IF(COUNT('中古車掲載'!AM199:AM200)=0,"",QUARTILE('中古車掲載'!AM199:AM200,1))</x:f>
        <x:v>465500</x:v>
      </x:c>
      <x:c r="L414" s="22" t="n">
        <x:f>IF(COUNT('中古車掲載'!AM199:AM200)=0,"",MEDIAN('中古車掲載'!AM199:AM200))</x:f>
        <x:v>472000</x:v>
      </x:c>
      <x:c r="M414" s="22" t="n">
        <x:f>IF(COUNT('中古車掲載'!AM199:AM200)=0,"",QUARTILE('中古車掲載'!AM199:AM200,3))</x:f>
        <x:v>478500</x:v>
      </x:c>
      <x:c r="N414" s="22" t="n">
        <x:f>COUNT('中古車掲載'!AN199:AN200)</x:f>
        <x:v>0</x:v>
      </x:c>
      <x:c r="O414" s="23" t="str">
        <x:f>IF(COUNT('中古車掲載'!AN199:AN200)=0,"",MEDIAN('中古車掲載'!AN199:AN200))</x:f>
      </x:c>
      <x:c r="P414" s="3"/>
      <x:c r="Q414" s="3"/>
      <x:c r="R414" s="3"/>
      <x:c r="S414" s="3"/>
      <x:c r="T414" s="3"/>
      <x:c r="U414" s="3"/>
      <x:c r="V414" s="3"/>
      <x:c r="W414" s="3"/>
      <x:c r="X414" s="3"/>
      <x:c r="Y414" s="3"/>
      <x:c r="Z414" s="3"/>
      <x:c r="AA414" s="3"/>
      <x:c r="AB414" s="3"/>
      <x:c r="AC414" s="3"/>
      <x:c r="AD414" s="3"/>
      <x:c r="AE414" s="3"/>
      <x:c r="AF414" s="3"/>
      <x:c r="AG414" s="3"/>
      <x:c r="AH414" s="3"/>
      <x:c r="AI414" s="3"/>
      <x:c r="AJ414" s="3"/>
      <x:c r="AK414" s="3"/>
      <x:c r="AL414" s="3"/>
      <x:c r="AM414" s="3"/>
      <x:c r="AN414" s="3"/>
      <x:c r="AO414" s="3"/>
      <x:c r="AP414" s="3"/>
      <x:c r="AQ414" s="3"/>
      <x:c r="AR414" s="3"/>
      <x:c r="AS414" s="3"/>
      <x:c r="AT414" s="3"/>
      <x:c r="AU414" s="3"/>
      <x:c r="AV414" s="3"/>
      <x:c r="AW414" s="3"/>
      <x:c r="AX414" s="3"/>
      <x:c r="AY414" s="3"/>
      <x:c r="AZ414" s="3" t="str">
        <x:f>IF(AND('中古車掲載'!C415="One2car",'中古車掲載'!F415="ATTO 3",'中古車掲載'!L415="EXTENDED RANGE",'中古車掲載'!J415=2023,ISNUMBER('中古車掲載'!N415),'中古車掲載'!N415&gt;=20000,'中古車掲載'!O415&lt;=100000,'中古車掲載'!AL415=1),'中古車掲載'!U415,"")</x:f>
      </x:c>
      <x:c r="BA414" s="3" t="str">
        <x:f>IF(AND('中古車掲載'!C415="One2car",'中古車掲載'!F415="Corolla Cross",'中古車掲載'!L415="HEV PREMIUM SAFETY",'中古車掲載'!J415=2023,ISNUMBER('中古車掲載'!N415),'中古車掲載'!N415&gt;=20000,'中古車掲載'!O415&lt;=100000,'中古車掲載'!AL415=1,'中古車掲載'!Z415="https://www.one2car.com/en/cars-for-sale/toyota/corolla-cross/year-2023"),'中古車掲載'!U415,"")</x:f>
      </x:c>
      <x:c r="BB414" s="3" t="str">
        <x:f>IF(AND('中古車掲載'!C415="One2car",'中古車掲載'!F415="ATTO 3",'中古車掲載'!L415="EXTENDED RANGE",'中古車掲載'!J415=2023,ISNUMBER('中古車掲載'!N415),'中古車掲載'!N415&gt;=50000,'中古車掲載'!O415&lt;=100000,'中古車掲載'!AL415=1),'中古車掲載'!U415,"")</x:f>
      </x:c>
      <x:c r="BC414" s="3" t="str">
        <x:f>IF(AND('中古車掲載'!C415="One2car",'中古車掲載'!F415="Corolla Cross",'中古車掲載'!L415="HEV PREMIUM SAFETY",'中古車掲載'!J415=2023,ISNUMBER('中古車掲載'!N415),'中古車掲載'!N415&gt;=50000,'中古車掲載'!O415&lt;=100000,'中古車掲載'!AL415=1,'中古車掲載'!Z415="https://www.one2car.com/en/cars-for-sale/toyota/corolla-cross/year-2023"),'中古車掲載'!U415,"")</x:f>
      </x:c>
      <x:c r="BD414" s="3" t="str">
        <x:f>IF(AND('中古車掲載'!C415="One2car",'中古車掲載'!F415="ATTO 3",'中古車掲載'!L415="EXTENDED RANGE",'中古車掲載'!J415=2023,ISNUMBER('中古車掲載'!N415),'中古車掲載'!N415&gt;=20000,'中古車掲載'!O415&lt;=50000,'中古車掲載'!AL415=1),'中古車掲載'!U415,"")</x:f>
      </x:c>
      <x:c r="BE414" s="3" t="str">
        <x:f>IF(AND('中古車掲載'!C415="One2car",'中古車掲載'!F415="Corolla Cross",'中古車掲載'!L415="HEV PREMIUM SAFETY",'中古車掲載'!J415=2023,ISNUMBER('中古車掲載'!N415),'中古車掲載'!N415&gt;=20000,'中古車掲載'!O415&lt;=50000,'中古車掲載'!AL415=1,'中古車掲載'!Z415="https://www.one2car.com/en/cars-for-sale/toyota/corolla-cross/year-2023"),'中古車掲載'!U415,"")</x:f>
      </x:c>
      <x:c r="BF414" s="3" t="str">
        <x:f>IF(AND('中古車掲載'!C415="One2car",'中古車掲載'!F415="Corolla Cross",'中古車掲載'!L415="HEV PREMIUM",'中古車掲載'!J415=2023,ISNUMBER('中古車掲載'!N415),'中古車掲載'!N415&gt;=20000,'中古車掲載'!O415&lt;=100000,'中古車掲載'!AL415=1,'中古車掲載'!Z415="https://www.one2car.com/en/cars-for-sale/toyota/corolla-cross/year-2023"),'中古車掲載'!U415,"")</x:f>
      </x:c>
      <x:c r="BG414" s="3" t="str">
        <x:f>IF(AND('中古車掲載'!C415="One2car",'中古車掲載'!F415="Corolla Cross",'中古車掲載'!L415="HEV GR SPORT",'中古車掲載'!J415=2023,ISNUMBER('中古車掲載'!N415),'中古車掲載'!N415&gt;=20000,'中古車掲載'!O415&lt;=100000,'中古車掲載'!AL415=1,'中古車掲載'!Z415="https://www.one2car.com/en/cars-for-sale/toyota/corolla-cross/year-2023"),'中古車掲載'!U415,"")</x:f>
      </x:c>
      <x:c r="BH414" s="3" t="str">
        <x:f>IF(AND('中古車掲載'!C415="One2car",'中古車掲載'!F415="DOLPHIN",'中古車掲載'!L415="STANDARD RANGE",'中古車掲載'!J415=2023,ISNUMBER('中古車掲載'!N415),'中古車掲載'!N415&gt;=20000,'中古車掲載'!O415&lt;=100000,'中古車掲載'!AL415=1),'中古車掲載'!U415,"")</x:f>
      </x:c>
      <x:c r="BI414" s="3" t="str">
        <x:v>Taladrod|Corolla Cross|HEV|Unknown</x:v>
      </x:c>
      <x:c r="BJ414" s="3" t="n">
        <x:v>415</x:v>
      </x:c>
      <x:c r="BK414" s="3" t="n">
        <x:f>'中古車掲載'!AM415</x:f>
        <x:v>799000</x:v>
      </x:c>
      <x:c r="BL414" s="3" t="n">
        <x:f>IF(ISNUMBER('中古車掲載'!AN415),'中古車掲載'!AN415,"")</x:f>
        <x:v>0.7303473491773309</x:v>
      </x:c>
      <x:c r="BM414" s="3"/>
      <x:c r="BN414" s="3"/>
      <x:c r="BO414" s="3"/>
      <x:c r="BP414" s="3"/>
      <x:c r="BQ414" s="3"/>
      <x:c r="BR414" s="3"/>
    </x:row>
    <x:row r="415" ht="22" customHeight="1">
      <x:c r="A415" s="3" t="str">
        <x:v>Corolla Altis</x:v>
      </x:c>
      <x:c r="B415" s="3" t="str">
        <x:v>HEV</x:v>
      </x:c>
      <x:c r="C415" s="3" t="str">
        <x:v>Taladrod</x:v>
      </x:c>
      <x:c r="D415" s="3" t="str">
        <x:v>Sedan</x:v>
      </x:c>
      <x:c r="E415" s="3" t="str"/>
      <x:c r="F415" s="3" t="n">
        <x:v>2022</x:v>
      </x:c>
      <x:c r="G415" s="3" t="str">
        <x:v>HEV GR SPORT</x:v>
      </x:c>
      <x:c r="H415" s="3" t="str">
        <x:v>未掲載</x:v>
      </x:c>
      <x:c r="I415" s="3" t="str">
        <x:v>19-ปัจจุบัน</x:v>
      </x:c>
      <x:c r="J415" s="22" t="n">
        <x:f>COUNT('中古車掲載'!AM201:AM201)</x:f>
        <x:v>1</x:v>
      </x:c>
      <x:c r="K415" s="22" t="n">
        <x:f>IF(COUNT('中古車掲載'!AM201:AM201)=0,"",QUARTILE('中古車掲載'!AM201:AM201,1))</x:f>
        <x:v>620000</x:v>
      </x:c>
      <x:c r="L415" s="22" t="n">
        <x:f>IF(COUNT('中古車掲載'!AM201:AM201)=0,"",MEDIAN('中古車掲載'!AM201:AM201))</x:f>
        <x:v>620000</x:v>
      </x:c>
      <x:c r="M415" s="22" t="n">
        <x:f>IF(COUNT('中古車掲載'!AM201:AM201)=0,"",QUARTILE('中古車掲載'!AM201:AM201,3))</x:f>
        <x:v>620000</x:v>
      </x:c>
      <x:c r="N415" s="22" t="n">
        <x:f>COUNT('中古車掲載'!AN201:AN201)</x:f>
        <x:v>0</x:v>
      </x:c>
      <x:c r="O415" s="23" t="str">
        <x:f>IF(COUNT('中古車掲載'!AN201:AN201)=0,"",MEDIAN('中古車掲載'!AN201:AN201))</x:f>
      </x:c>
      <x:c r="P415" s="3"/>
      <x:c r="Q415" s="3"/>
      <x:c r="R415" s="3"/>
      <x:c r="S415" s="3"/>
      <x:c r="T415" s="3"/>
      <x:c r="U415" s="3"/>
      <x:c r="V415" s="3"/>
      <x:c r="W415" s="3"/>
      <x:c r="X415" s="3"/>
      <x:c r="Y415" s="3"/>
      <x:c r="Z415" s="3"/>
      <x:c r="AA415" s="3"/>
      <x:c r="AB415" s="3"/>
      <x:c r="AC415" s="3"/>
      <x:c r="AD415" s="3"/>
      <x:c r="AE415" s="3"/>
      <x:c r="AF415" s="3"/>
      <x:c r="AG415" s="3"/>
      <x:c r="AH415" s="3"/>
      <x:c r="AI415" s="3"/>
      <x:c r="AJ415" s="3"/>
      <x:c r="AK415" s="3"/>
      <x:c r="AL415" s="3"/>
      <x:c r="AM415" s="3"/>
      <x:c r="AN415" s="3"/>
      <x:c r="AO415" s="3"/>
      <x:c r="AP415" s="3"/>
      <x:c r="AQ415" s="3"/>
      <x:c r="AR415" s="3"/>
      <x:c r="AS415" s="3"/>
      <x:c r="AT415" s="3"/>
      <x:c r="AU415" s="3"/>
      <x:c r="AV415" s="3"/>
      <x:c r="AW415" s="3"/>
      <x:c r="AX415" s="3"/>
      <x:c r="AY415" s="3"/>
      <x:c r="AZ415" s="3" t="str">
        <x:f>IF(AND('中古車掲載'!C416="One2car",'中古車掲載'!F416="ATTO 3",'中古車掲載'!L416="EXTENDED RANGE",'中古車掲載'!J416=2023,ISNUMBER('中古車掲載'!N416),'中古車掲載'!N416&gt;=20000,'中古車掲載'!O416&lt;=100000,'中古車掲載'!AL416=1),'中古車掲載'!U416,"")</x:f>
      </x:c>
      <x:c r="BA415" s="3" t="str">
        <x:f>IF(AND('中古車掲載'!C416="One2car",'中古車掲載'!F416="Corolla Cross",'中古車掲載'!L416="HEV PREMIUM SAFETY",'中古車掲載'!J416=2023,ISNUMBER('中古車掲載'!N416),'中古車掲載'!N416&gt;=20000,'中古車掲載'!O416&lt;=100000,'中古車掲載'!AL416=1,'中古車掲載'!Z416="https://www.one2car.com/en/cars-for-sale/toyota/corolla-cross/year-2023"),'中古車掲載'!U416,"")</x:f>
      </x:c>
      <x:c r="BB415" s="3" t="str">
        <x:f>IF(AND('中古車掲載'!C416="One2car",'中古車掲載'!F416="ATTO 3",'中古車掲載'!L416="EXTENDED RANGE",'中古車掲載'!J416=2023,ISNUMBER('中古車掲載'!N416),'中古車掲載'!N416&gt;=50000,'中古車掲載'!O416&lt;=100000,'中古車掲載'!AL416=1),'中古車掲載'!U416,"")</x:f>
      </x:c>
      <x:c r="BC415" s="3" t="str">
        <x:f>IF(AND('中古車掲載'!C416="One2car",'中古車掲載'!F416="Corolla Cross",'中古車掲載'!L416="HEV PREMIUM SAFETY",'中古車掲載'!J416=2023,ISNUMBER('中古車掲載'!N416),'中古車掲載'!N416&gt;=50000,'中古車掲載'!O416&lt;=100000,'中古車掲載'!AL416=1,'中古車掲載'!Z416="https://www.one2car.com/en/cars-for-sale/toyota/corolla-cross/year-2023"),'中古車掲載'!U416,"")</x:f>
      </x:c>
      <x:c r="BD415" s="3" t="str">
        <x:f>IF(AND('中古車掲載'!C416="One2car",'中古車掲載'!F416="ATTO 3",'中古車掲載'!L416="EXTENDED RANGE",'中古車掲載'!J416=2023,ISNUMBER('中古車掲載'!N416),'中古車掲載'!N416&gt;=20000,'中古車掲載'!O416&lt;=50000,'中古車掲載'!AL416=1),'中古車掲載'!U416,"")</x:f>
      </x:c>
      <x:c r="BE415" s="3" t="str">
        <x:f>IF(AND('中古車掲載'!C416="One2car",'中古車掲載'!F416="Corolla Cross",'中古車掲載'!L416="HEV PREMIUM SAFETY",'中古車掲載'!J416=2023,ISNUMBER('中古車掲載'!N416),'中古車掲載'!N416&gt;=20000,'中古車掲載'!O416&lt;=50000,'中古車掲載'!AL416=1,'中古車掲載'!Z416="https://www.one2car.com/en/cars-for-sale/toyota/corolla-cross/year-2023"),'中古車掲載'!U416,"")</x:f>
      </x:c>
      <x:c r="BF415" s="3" t="str">
        <x:f>IF(AND('中古車掲載'!C416="One2car",'中古車掲載'!F416="Corolla Cross",'中古車掲載'!L416="HEV PREMIUM",'中古車掲載'!J416=2023,ISNUMBER('中古車掲載'!N416),'中古車掲載'!N416&gt;=20000,'中古車掲載'!O416&lt;=100000,'中古車掲載'!AL416=1,'中古車掲載'!Z416="https://www.one2car.com/en/cars-for-sale/toyota/corolla-cross/year-2023"),'中古車掲載'!U416,"")</x:f>
      </x:c>
      <x:c r="BG415" s="3" t="str">
        <x:f>IF(AND('中古車掲載'!C416="One2car",'中古車掲載'!F416="Corolla Cross",'中古車掲載'!L416="HEV GR SPORT",'中古車掲載'!J416=2023,ISNUMBER('中古車掲載'!N416),'中古車掲載'!N416&gt;=20000,'中古車掲載'!O416&lt;=100000,'中古車掲載'!AL416=1,'中古車掲載'!Z416="https://www.one2car.com/en/cars-for-sale/toyota/corolla-cross/year-2023"),'中古車掲載'!U416,"")</x:f>
      </x:c>
      <x:c r="BH415" s="3" t="str">
        <x:f>IF(AND('中古車掲載'!C416="One2car",'中古車掲載'!F416="DOLPHIN",'中古車掲載'!L416="STANDARD RANGE",'中古車掲載'!J416=2023,ISNUMBER('中古車掲載'!N416),'中古車掲載'!N416&gt;=20000,'中古車掲載'!O416&lt;=100000,'中古車掲載'!AL416=1),'中古車掲載'!U416,"")</x:f>
      </x:c>
      <x:c r="BI415" s="3" t="str">
        <x:v>Taladrod|Corolla Cross|HEV|Unknown</x:v>
      </x:c>
      <x:c r="BJ415" s="3" t="n">
        <x:v>416</x:v>
      </x:c>
      <x:c r="BK415" s="3" t="n">
        <x:f>'中古車掲載'!AM416</x:f>
        <x:v>699000</x:v>
      </x:c>
      <x:c r="BL415" s="3" t="n">
        <x:f>IF(ISNUMBER('中古車掲載'!AN416),'中古車掲載'!AN416,"")</x:f>
        <x:v>0.6389396709323584</x:v>
      </x:c>
      <x:c r="BM415" s="3"/>
      <x:c r="BN415" s="3"/>
      <x:c r="BO415" s="3"/>
      <x:c r="BP415" s="3"/>
      <x:c r="BQ415" s="3"/>
      <x:c r="BR415" s="3"/>
    </x:row>
    <x:row r="416" ht="22" customHeight="1">
      <x:c r="A416" s="3" t="str">
        <x:v>Corolla Altis</x:v>
      </x:c>
      <x:c r="B416" s="3" t="str">
        <x:v>HEV</x:v>
      </x:c>
      <x:c r="C416" s="3" t="str">
        <x:v>Taladrod</x:v>
      </x:c>
      <x:c r="D416" s="3" t="str">
        <x:v>Sedan</x:v>
      </x:c>
      <x:c r="E416" s="3" t="str"/>
      <x:c r="F416" s="3" t="n">
        <x:v>2022</x:v>
      </x:c>
      <x:c r="G416" s="3" t="str">
        <x:v>HEV PREMIUM</x:v>
      </x:c>
      <x:c r="H416" s="3" t="str">
        <x:v>未掲載</x:v>
      </x:c>
      <x:c r="I416" s="3" t="str">
        <x:v>19-ปัจจุบัน</x:v>
      </x:c>
      <x:c r="J416" s="22" t="n">
        <x:f>COUNT('中古車掲載'!AM202:AM202)</x:f>
        <x:v>1</x:v>
      </x:c>
      <x:c r="K416" s="22" t="n">
        <x:f>IF(COUNT('中古車掲載'!AM202:AM202)=0,"",QUARTILE('中古車掲載'!AM202:AM202,1))</x:f>
        <x:v>599000</x:v>
      </x:c>
      <x:c r="L416" s="22" t="n">
        <x:f>IF(COUNT('中古車掲載'!AM202:AM202)=0,"",MEDIAN('中古車掲載'!AM202:AM202))</x:f>
        <x:v>599000</x:v>
      </x:c>
      <x:c r="M416" s="22" t="n">
        <x:f>IF(COUNT('中古車掲載'!AM202:AM202)=0,"",QUARTILE('中古車掲載'!AM202:AM202,3))</x:f>
        <x:v>599000</x:v>
      </x:c>
      <x:c r="N416" s="22" t="n">
        <x:f>COUNT('中古車掲載'!AN202:AN202)</x:f>
        <x:v>0</x:v>
      </x:c>
      <x:c r="O416" s="23" t="str">
        <x:f>IF(COUNT('中古車掲載'!AN202:AN202)=0,"",MEDIAN('中古車掲載'!AN202:AN202))</x:f>
      </x:c>
      <x:c r="P416" s="3"/>
      <x:c r="Q416" s="3"/>
      <x:c r="R416" s="3"/>
      <x:c r="S416" s="3"/>
      <x:c r="T416" s="3"/>
      <x:c r="U416" s="3"/>
      <x:c r="V416" s="3"/>
      <x:c r="W416" s="3"/>
      <x:c r="X416" s="3"/>
      <x:c r="Y416" s="3"/>
      <x:c r="Z416" s="3"/>
      <x:c r="AA416" s="3"/>
      <x:c r="AB416" s="3"/>
      <x:c r="AC416" s="3"/>
      <x:c r="AD416" s="3"/>
      <x:c r="AE416" s="3"/>
      <x:c r="AF416" s="3"/>
      <x:c r="AG416" s="3"/>
      <x:c r="AH416" s="3"/>
      <x:c r="AI416" s="3"/>
      <x:c r="AJ416" s="3"/>
      <x:c r="AK416" s="3"/>
      <x:c r="AL416" s="3"/>
      <x:c r="AM416" s="3"/>
      <x:c r="AN416" s="3"/>
      <x:c r="AO416" s="3"/>
      <x:c r="AP416" s="3"/>
      <x:c r="AQ416" s="3"/>
      <x:c r="AR416" s="3"/>
      <x:c r="AS416" s="3"/>
      <x:c r="AT416" s="3"/>
      <x:c r="AU416" s="3"/>
      <x:c r="AV416" s="3"/>
      <x:c r="AW416" s="3"/>
      <x:c r="AX416" s="3"/>
      <x:c r="AY416" s="3"/>
      <x:c r="AZ416" s="3" t="str">
        <x:f>IF(AND('中古車掲載'!C417="One2car",'中古車掲載'!F417="ATTO 3",'中古車掲載'!L417="EXTENDED RANGE",'中古車掲載'!J417=2023,ISNUMBER('中古車掲載'!N417),'中古車掲載'!N417&gt;=20000,'中古車掲載'!O417&lt;=100000,'中古車掲載'!AL417=1),'中古車掲載'!U417,"")</x:f>
      </x:c>
      <x:c r="BA416" s="3" t="str">
        <x:f>IF(AND('中古車掲載'!C417="One2car",'中古車掲載'!F417="Corolla Cross",'中古車掲載'!L417="HEV PREMIUM SAFETY",'中古車掲載'!J417=2023,ISNUMBER('中古車掲載'!N417),'中古車掲載'!N417&gt;=20000,'中古車掲載'!O417&lt;=100000,'中古車掲載'!AL417=1,'中古車掲載'!Z417="https://www.one2car.com/en/cars-for-sale/toyota/corolla-cross/year-2023"),'中古車掲載'!U417,"")</x:f>
      </x:c>
      <x:c r="BB416" s="3" t="str">
        <x:f>IF(AND('中古車掲載'!C417="One2car",'中古車掲載'!F417="ATTO 3",'中古車掲載'!L417="EXTENDED RANGE",'中古車掲載'!J417=2023,ISNUMBER('中古車掲載'!N417),'中古車掲載'!N417&gt;=50000,'中古車掲載'!O417&lt;=100000,'中古車掲載'!AL417=1),'中古車掲載'!U417,"")</x:f>
      </x:c>
      <x:c r="BC416" s="3" t="str">
        <x:f>IF(AND('中古車掲載'!C417="One2car",'中古車掲載'!F417="Corolla Cross",'中古車掲載'!L417="HEV PREMIUM SAFETY",'中古車掲載'!J417=2023,ISNUMBER('中古車掲載'!N417),'中古車掲載'!N417&gt;=50000,'中古車掲載'!O417&lt;=100000,'中古車掲載'!AL417=1,'中古車掲載'!Z417="https://www.one2car.com/en/cars-for-sale/toyota/corolla-cross/year-2023"),'中古車掲載'!U417,"")</x:f>
      </x:c>
      <x:c r="BD416" s="3" t="str">
        <x:f>IF(AND('中古車掲載'!C417="One2car",'中古車掲載'!F417="ATTO 3",'中古車掲載'!L417="EXTENDED RANGE",'中古車掲載'!J417=2023,ISNUMBER('中古車掲載'!N417),'中古車掲載'!N417&gt;=20000,'中古車掲載'!O417&lt;=50000,'中古車掲載'!AL417=1),'中古車掲載'!U417,"")</x:f>
      </x:c>
      <x:c r="BE416" s="3" t="str">
        <x:f>IF(AND('中古車掲載'!C417="One2car",'中古車掲載'!F417="Corolla Cross",'中古車掲載'!L417="HEV PREMIUM SAFETY",'中古車掲載'!J417=2023,ISNUMBER('中古車掲載'!N417),'中古車掲載'!N417&gt;=20000,'中古車掲載'!O417&lt;=50000,'中古車掲載'!AL417=1,'中古車掲載'!Z417="https://www.one2car.com/en/cars-for-sale/toyota/corolla-cross/year-2023"),'中古車掲載'!U417,"")</x:f>
      </x:c>
      <x:c r="BF416" s="3" t="str">
        <x:f>IF(AND('中古車掲載'!C417="One2car",'中古車掲載'!F417="Corolla Cross",'中古車掲載'!L417="HEV PREMIUM",'中古車掲載'!J417=2023,ISNUMBER('中古車掲載'!N417),'中古車掲載'!N417&gt;=20000,'中古車掲載'!O417&lt;=100000,'中古車掲載'!AL417=1,'中古車掲載'!Z417="https://www.one2car.com/en/cars-for-sale/toyota/corolla-cross/year-2023"),'中古車掲載'!U417,"")</x:f>
      </x:c>
      <x:c r="BG416" s="3" t="str">
        <x:f>IF(AND('中古車掲載'!C417="One2car",'中古車掲載'!F417="Corolla Cross",'中古車掲載'!L417="HEV GR SPORT",'中古車掲載'!J417=2023,ISNUMBER('中古車掲載'!N417),'中古車掲載'!N417&gt;=20000,'中古車掲載'!O417&lt;=100000,'中古車掲載'!AL417=1,'中古車掲載'!Z417="https://www.one2car.com/en/cars-for-sale/toyota/corolla-cross/year-2023"),'中古車掲載'!U417,"")</x:f>
      </x:c>
      <x:c r="BH416" s="3" t="str">
        <x:f>IF(AND('中古車掲載'!C417="One2car",'中古車掲載'!F417="DOLPHIN",'中古車掲載'!L417="STANDARD RANGE",'中古車掲載'!J417=2023,ISNUMBER('中古車掲載'!N417),'中古車掲載'!N417&gt;=20000,'中古車掲載'!O417&lt;=100000,'中古車掲載'!AL417=1),'中古車掲載'!U417,"")</x:f>
      </x:c>
      <x:c r="BI416" s="3" t="str">
        <x:v>Taladrod|Corolla Cross|HEV|Unknown</x:v>
      </x:c>
      <x:c r="BJ416" s="3" t="n">
        <x:v>417</x:v>
      </x:c>
      <x:c r="BK416" s="3" t="n">
        <x:f>'中古車掲載'!AM417</x:f>
        <x:v>899000</x:v>
      </x:c>
      <x:c r="BL416" s="3" t="n">
        <x:f>IF(ISNUMBER('中古車掲載'!AN417),'中古車掲載'!AN417,"")</x:f>
        <x:v>0.7466777408637874</x:v>
      </x:c>
      <x:c r="BM416" s="3"/>
      <x:c r="BN416" s="3"/>
      <x:c r="BO416" s="3"/>
      <x:c r="BP416" s="3"/>
      <x:c r="BQ416" s="3"/>
      <x:c r="BR416" s="3"/>
    </x:row>
    <x:row r="417" ht="22" customHeight="1">
      <x:c r="A417" s="3" t="str">
        <x:v>Corolla Altis</x:v>
      </x:c>
      <x:c r="B417" s="3" t="str">
        <x:v>HEV</x:v>
      </x:c>
      <x:c r="C417" s="3" t="str">
        <x:v>Taladrod</x:v>
      </x:c>
      <x:c r="D417" s="3" t="str">
        <x:v>Sedan</x:v>
      </x:c>
      <x:c r="E417" s="3" t="str"/>
      <x:c r="F417" s="3" t="n">
        <x:v>2023</x:v>
      </x:c>
      <x:c r="G417" s="3" t="str">
        <x:v>HEV GR SPORT</x:v>
      </x:c>
      <x:c r="H417" s="3" t="str">
        <x:v>未掲載</x:v>
      </x:c>
      <x:c r="I417" s="3" t="str">
        <x:v>19-ปัจจุบัน</x:v>
      </x:c>
      <x:c r="J417" s="22" t="n">
        <x:f>COUNT('中古車掲載'!AM203:AM203)</x:f>
        <x:v>1</x:v>
      </x:c>
      <x:c r="K417" s="22" t="n">
        <x:f>IF(COUNT('中古車掲載'!AM203:AM203)=0,"",QUARTILE('中古車掲載'!AM203:AM203,1))</x:f>
        <x:v>699000</x:v>
      </x:c>
      <x:c r="L417" s="22" t="n">
        <x:f>IF(COUNT('中古車掲載'!AM203:AM203)=0,"",MEDIAN('中古車掲載'!AM203:AM203))</x:f>
        <x:v>699000</x:v>
      </x:c>
      <x:c r="M417" s="22" t="n">
        <x:f>IF(COUNT('中古車掲載'!AM203:AM203)=0,"",QUARTILE('中古車掲載'!AM203:AM203,3))</x:f>
        <x:v>699000</x:v>
      </x:c>
      <x:c r="N417" s="22" t="n">
        <x:f>COUNT('中古車掲載'!AN203:AN203)</x:f>
        <x:v>0</x:v>
      </x:c>
      <x:c r="O417" s="23" t="str">
        <x:f>IF(COUNT('中古車掲載'!AN203:AN203)=0,"",MEDIAN('中古車掲載'!AN203:AN203))</x:f>
      </x:c>
      <x:c r="P417" s="3"/>
      <x:c r="Q417" s="3"/>
      <x:c r="R417" s="3"/>
      <x:c r="S417" s="3"/>
      <x:c r="T417" s="3"/>
      <x:c r="U417" s="3"/>
      <x:c r="V417" s="3"/>
      <x:c r="W417" s="3"/>
      <x:c r="X417" s="3"/>
      <x:c r="Y417" s="3"/>
      <x:c r="Z417" s="3"/>
      <x:c r="AA417" s="3"/>
      <x:c r="AB417" s="3"/>
      <x:c r="AC417" s="3"/>
      <x:c r="AD417" s="3"/>
      <x:c r="AE417" s="3"/>
      <x:c r="AF417" s="3"/>
      <x:c r="AG417" s="3"/>
      <x:c r="AH417" s="3"/>
      <x:c r="AI417" s="3"/>
      <x:c r="AJ417" s="3"/>
      <x:c r="AK417" s="3"/>
      <x:c r="AL417" s="3"/>
      <x:c r="AM417" s="3"/>
      <x:c r="AN417" s="3"/>
      <x:c r="AO417" s="3"/>
      <x:c r="AP417" s="3"/>
      <x:c r="AQ417" s="3"/>
      <x:c r="AR417" s="3"/>
      <x:c r="AS417" s="3"/>
      <x:c r="AT417" s="3"/>
      <x:c r="AU417" s="3"/>
      <x:c r="AV417" s="3"/>
      <x:c r="AW417" s="3"/>
      <x:c r="AX417" s="3"/>
      <x:c r="AY417" s="3"/>
      <x:c r="AZ417" s="3" t="str">
        <x:f>IF(AND('中古車掲載'!C418="One2car",'中古車掲載'!F418="ATTO 3",'中古車掲載'!L418="EXTENDED RANGE",'中古車掲載'!J418=2023,ISNUMBER('中古車掲載'!N418),'中古車掲載'!N418&gt;=20000,'中古車掲載'!O418&lt;=100000,'中古車掲載'!AL418=1),'中古車掲載'!U418,"")</x:f>
      </x:c>
      <x:c r="BA417" s="3" t="str">
        <x:f>IF(AND('中古車掲載'!C418="One2car",'中古車掲載'!F418="Corolla Cross",'中古車掲載'!L418="HEV PREMIUM SAFETY",'中古車掲載'!J418=2023,ISNUMBER('中古車掲載'!N418),'中古車掲載'!N418&gt;=20000,'中古車掲載'!O418&lt;=100000,'中古車掲載'!AL418=1,'中古車掲載'!Z418="https://www.one2car.com/en/cars-for-sale/toyota/corolla-cross/year-2023"),'中古車掲載'!U418,"")</x:f>
      </x:c>
      <x:c r="BB417" s="3" t="str">
        <x:f>IF(AND('中古車掲載'!C418="One2car",'中古車掲載'!F418="ATTO 3",'中古車掲載'!L418="EXTENDED RANGE",'中古車掲載'!J418=2023,ISNUMBER('中古車掲載'!N418),'中古車掲載'!N418&gt;=50000,'中古車掲載'!O418&lt;=100000,'中古車掲載'!AL418=1),'中古車掲載'!U418,"")</x:f>
      </x:c>
      <x:c r="BC417" s="3" t="str">
        <x:f>IF(AND('中古車掲載'!C418="One2car",'中古車掲載'!F418="Corolla Cross",'中古車掲載'!L418="HEV PREMIUM SAFETY",'中古車掲載'!J418=2023,ISNUMBER('中古車掲載'!N418),'中古車掲載'!N418&gt;=50000,'中古車掲載'!O418&lt;=100000,'中古車掲載'!AL418=1,'中古車掲載'!Z418="https://www.one2car.com/en/cars-for-sale/toyota/corolla-cross/year-2023"),'中古車掲載'!U418,"")</x:f>
      </x:c>
      <x:c r="BD417" s="3" t="str">
        <x:f>IF(AND('中古車掲載'!C418="One2car",'中古車掲載'!F418="ATTO 3",'中古車掲載'!L418="EXTENDED RANGE",'中古車掲載'!J418=2023,ISNUMBER('中古車掲載'!N418),'中古車掲載'!N418&gt;=20000,'中古車掲載'!O418&lt;=50000,'中古車掲載'!AL418=1),'中古車掲載'!U418,"")</x:f>
      </x:c>
      <x:c r="BE417" s="3" t="str">
        <x:f>IF(AND('中古車掲載'!C418="One2car",'中古車掲載'!F418="Corolla Cross",'中古車掲載'!L418="HEV PREMIUM SAFETY",'中古車掲載'!J418=2023,ISNUMBER('中古車掲載'!N418),'中古車掲載'!N418&gt;=20000,'中古車掲載'!O418&lt;=50000,'中古車掲載'!AL418=1,'中古車掲載'!Z418="https://www.one2car.com/en/cars-for-sale/toyota/corolla-cross/year-2023"),'中古車掲載'!U418,"")</x:f>
      </x:c>
      <x:c r="BF417" s="3" t="str">
        <x:f>IF(AND('中古車掲載'!C418="One2car",'中古車掲載'!F418="Corolla Cross",'中古車掲載'!L418="HEV PREMIUM",'中古車掲載'!J418=2023,ISNUMBER('中古車掲載'!N418),'中古車掲載'!N418&gt;=20000,'中古車掲載'!O418&lt;=100000,'中古車掲載'!AL418=1,'中古車掲載'!Z418="https://www.one2car.com/en/cars-for-sale/toyota/corolla-cross/year-2023"),'中古車掲載'!U418,"")</x:f>
      </x:c>
      <x:c r="BG417" s="3" t="str">
        <x:f>IF(AND('中古車掲載'!C418="One2car",'中古車掲載'!F418="Corolla Cross",'中古車掲載'!L418="HEV GR SPORT",'中古車掲載'!J418=2023,ISNUMBER('中古車掲載'!N418),'中古車掲載'!N418&gt;=20000,'中古車掲載'!O418&lt;=100000,'中古車掲載'!AL418=1,'中古車掲載'!Z418="https://www.one2car.com/en/cars-for-sale/toyota/corolla-cross/year-2023"),'中古車掲載'!U418,"")</x:f>
      </x:c>
      <x:c r="BH417" s="3" t="str">
        <x:f>IF(AND('中古車掲載'!C418="One2car",'中古車掲載'!F418="DOLPHIN",'中古車掲載'!L418="STANDARD RANGE",'中古車掲載'!J418=2023,ISNUMBER('中古車掲載'!N418),'中古車掲載'!N418&gt;=20000,'中古車掲載'!O418&lt;=100000,'中古車掲載'!AL418=1),'中古車掲載'!U418,"")</x:f>
      </x:c>
      <x:c r="BI417" s="3" t="str">
        <x:v>Taladrod|Corolla Cross|HEV|Unknown</x:v>
      </x:c>
      <x:c r="BJ417" s="3" t="n">
        <x:v>418</x:v>
      </x:c>
      <x:c r="BK417" s="3" t="n">
        <x:f>'中古車掲載'!AM418</x:f>
        <x:v>874000</x:v>
      </x:c>
      <x:c r="BL417" s="3" t="n">
        <x:f>IF(ISNUMBER('中古車掲載'!AN418),'中古車掲載'!AN418,"")</x:f>
        <x:v>0.7259136212624585</x:v>
      </x:c>
      <x:c r="BM417" s="3"/>
      <x:c r="BN417" s="3"/>
      <x:c r="BO417" s="3"/>
      <x:c r="BP417" s="3"/>
      <x:c r="BQ417" s="3"/>
      <x:c r="BR417" s="3"/>
    </x:row>
    <x:row r="418" ht="22" customHeight="1">
      <x:c r="A418" s="3" t="str">
        <x:v>Corolla Altis</x:v>
      </x:c>
      <x:c r="B418" s="3" t="str">
        <x:v>HEV</x:v>
      </x:c>
      <x:c r="C418" s="3" t="str">
        <x:v>Taladrod</x:v>
      </x:c>
      <x:c r="D418" s="3" t="str">
        <x:v>Sedan</x:v>
      </x:c>
      <x:c r="E418" s="3" t="str"/>
      <x:c r="F418" s="3" t="n">
        <x:v>2023</x:v>
      </x:c>
      <x:c r="G418" s="3" t="str">
        <x:v>HEV PREMIUM</x:v>
      </x:c>
      <x:c r="H418" s="3" t="str">
        <x:v>未掲載</x:v>
      </x:c>
      <x:c r="I418" s="3" t="str">
        <x:v>19-ปัจจุบัน</x:v>
      </x:c>
      <x:c r="J418" s="22" t="n">
        <x:f>COUNT('中古車掲載'!AM204:AM204)</x:f>
        <x:v>1</x:v>
      </x:c>
      <x:c r="K418" s="22" t="n">
        <x:f>IF(COUNT('中古車掲載'!AM204:AM204)=0,"",QUARTILE('中古車掲載'!AM204:AM204,1))</x:f>
        <x:v>475000</x:v>
      </x:c>
      <x:c r="L418" s="22" t="n">
        <x:f>IF(COUNT('中古車掲載'!AM204:AM204)=0,"",MEDIAN('中古車掲載'!AM204:AM204))</x:f>
        <x:v>475000</x:v>
      </x:c>
      <x:c r="M418" s="22" t="n">
        <x:f>IF(COUNT('中古車掲載'!AM204:AM204)=0,"",QUARTILE('中古車掲載'!AM204:AM204,3))</x:f>
        <x:v>475000</x:v>
      </x:c>
      <x:c r="N418" s="22" t="n">
        <x:f>COUNT('中古車掲載'!AN204:AN204)</x:f>
        <x:v>0</x:v>
      </x:c>
      <x:c r="O418" s="23" t="str">
        <x:f>IF(COUNT('中古車掲載'!AN204:AN204)=0,"",MEDIAN('中古車掲載'!AN204:AN204))</x:f>
      </x:c>
      <x:c r="P418" s="3"/>
      <x:c r="Q418" s="3"/>
      <x:c r="R418" s="3"/>
      <x:c r="S418" s="3"/>
      <x:c r="T418" s="3"/>
      <x:c r="U418" s="3"/>
      <x:c r="V418" s="3"/>
      <x:c r="W418" s="3"/>
      <x:c r="X418" s="3"/>
      <x:c r="Y418" s="3"/>
      <x:c r="Z418" s="3"/>
      <x:c r="AA418" s="3"/>
      <x:c r="AB418" s="3"/>
      <x:c r="AC418" s="3"/>
      <x:c r="AD418" s="3"/>
      <x:c r="AE418" s="3"/>
      <x:c r="AF418" s="3"/>
      <x:c r="AG418" s="3"/>
      <x:c r="AH418" s="3"/>
      <x:c r="AI418" s="3"/>
      <x:c r="AJ418" s="3"/>
      <x:c r="AK418" s="3"/>
      <x:c r="AL418" s="3"/>
      <x:c r="AM418" s="3"/>
      <x:c r="AN418" s="3"/>
      <x:c r="AO418" s="3"/>
      <x:c r="AP418" s="3"/>
      <x:c r="AQ418" s="3"/>
      <x:c r="AR418" s="3"/>
      <x:c r="AS418" s="3"/>
      <x:c r="AT418" s="3"/>
      <x:c r="AU418" s="3"/>
      <x:c r="AV418" s="3"/>
      <x:c r="AW418" s="3"/>
      <x:c r="AX418" s="3"/>
      <x:c r="AY418" s="3"/>
      <x:c r="AZ418" s="3" t="str">
        <x:f>IF(AND('中古車掲載'!C419="One2car",'中古車掲載'!F419="ATTO 3",'中古車掲載'!L419="EXTENDED RANGE",'中古車掲載'!J419=2023,ISNUMBER('中古車掲載'!N419),'中古車掲載'!N419&gt;=20000,'中古車掲載'!O419&lt;=100000,'中古車掲載'!AL419=1),'中古車掲載'!U419,"")</x:f>
      </x:c>
      <x:c r="BA418" s="3" t="str">
        <x:f>IF(AND('中古車掲載'!C419="One2car",'中古車掲載'!F419="Corolla Cross",'中古車掲載'!L419="HEV PREMIUM SAFETY",'中古車掲載'!J419=2023,ISNUMBER('中古車掲載'!N419),'中古車掲載'!N419&gt;=20000,'中古車掲載'!O419&lt;=100000,'中古車掲載'!AL419=1,'中古車掲載'!Z419="https://www.one2car.com/en/cars-for-sale/toyota/corolla-cross/year-2023"),'中古車掲載'!U419,"")</x:f>
      </x:c>
      <x:c r="BB418" s="3" t="str">
        <x:f>IF(AND('中古車掲載'!C419="One2car",'中古車掲載'!F419="ATTO 3",'中古車掲載'!L419="EXTENDED RANGE",'中古車掲載'!J419=2023,ISNUMBER('中古車掲載'!N419),'中古車掲載'!N419&gt;=50000,'中古車掲載'!O419&lt;=100000,'中古車掲載'!AL419=1),'中古車掲載'!U419,"")</x:f>
      </x:c>
      <x:c r="BC418" s="3" t="str">
        <x:f>IF(AND('中古車掲載'!C419="One2car",'中古車掲載'!F419="Corolla Cross",'中古車掲載'!L419="HEV PREMIUM SAFETY",'中古車掲載'!J419=2023,ISNUMBER('中古車掲載'!N419),'中古車掲載'!N419&gt;=50000,'中古車掲載'!O419&lt;=100000,'中古車掲載'!AL419=1,'中古車掲載'!Z419="https://www.one2car.com/en/cars-for-sale/toyota/corolla-cross/year-2023"),'中古車掲載'!U419,"")</x:f>
      </x:c>
      <x:c r="BD418" s="3" t="str">
        <x:f>IF(AND('中古車掲載'!C419="One2car",'中古車掲載'!F419="ATTO 3",'中古車掲載'!L419="EXTENDED RANGE",'中古車掲載'!J419=2023,ISNUMBER('中古車掲載'!N419),'中古車掲載'!N419&gt;=20000,'中古車掲載'!O419&lt;=50000,'中古車掲載'!AL419=1),'中古車掲載'!U419,"")</x:f>
      </x:c>
      <x:c r="BE418" s="3" t="str">
        <x:f>IF(AND('中古車掲載'!C419="One2car",'中古車掲載'!F419="Corolla Cross",'中古車掲載'!L419="HEV PREMIUM SAFETY",'中古車掲載'!J419=2023,ISNUMBER('中古車掲載'!N419),'中古車掲載'!N419&gt;=20000,'中古車掲載'!O419&lt;=50000,'中古車掲載'!AL419=1,'中古車掲載'!Z419="https://www.one2car.com/en/cars-for-sale/toyota/corolla-cross/year-2023"),'中古車掲載'!U419,"")</x:f>
      </x:c>
      <x:c r="BF418" s="3" t="str">
        <x:f>IF(AND('中古車掲載'!C419="One2car",'中古車掲載'!F419="Corolla Cross",'中古車掲載'!L419="HEV PREMIUM",'中古車掲載'!J419=2023,ISNUMBER('中古車掲載'!N419),'中古車掲載'!N419&gt;=20000,'中古車掲載'!O419&lt;=100000,'中古車掲載'!AL419=1,'中古車掲載'!Z419="https://www.one2car.com/en/cars-for-sale/toyota/corolla-cross/year-2023"),'中古車掲載'!U419,"")</x:f>
      </x:c>
      <x:c r="BG418" s="3" t="str">
        <x:f>IF(AND('中古車掲載'!C419="One2car",'中古車掲載'!F419="Corolla Cross",'中古車掲載'!L419="HEV GR SPORT",'中古車掲載'!J419=2023,ISNUMBER('中古車掲載'!N419),'中古車掲載'!N419&gt;=20000,'中古車掲載'!O419&lt;=100000,'中古車掲載'!AL419=1,'中古車掲載'!Z419="https://www.one2car.com/en/cars-for-sale/toyota/corolla-cross/year-2023"),'中古車掲載'!U419,"")</x:f>
      </x:c>
      <x:c r="BH418" s="3" t="str">
        <x:f>IF(AND('中古車掲載'!C419="One2car",'中古車掲載'!F419="DOLPHIN",'中古車掲載'!L419="STANDARD RANGE",'中古車掲載'!J419=2023,ISNUMBER('中古車掲載'!N419),'中古車掲載'!N419&gt;=20000,'中古車掲載'!O419&lt;=100000,'中古車掲載'!AL419=1),'中古車掲載'!U419,"")</x:f>
      </x:c>
      <x:c r="BI418" s="3" t="str">
        <x:v>Taladrod|Corolla Cross|HEV|Unknown</x:v>
      </x:c>
      <x:c r="BJ418" s="3" t="n">
        <x:v>419</x:v>
      </x:c>
      <x:c r="BK418" s="3" t="n">
        <x:f>'中古車掲載'!AM419</x:f>
        <x:v>919000</x:v>
      </x:c>
      <x:c r="BL418" s="3" t="n">
        <x:f>IF(ISNUMBER('中古車掲載'!AN419),'中古車掲載'!AN419,"")</x:f>
        <x:v>0.7632890365448505</x:v>
      </x:c>
      <x:c r="BM418" s="3"/>
      <x:c r="BN418" s="3"/>
      <x:c r="BO418" s="3"/>
      <x:c r="BP418" s="3"/>
      <x:c r="BQ418" s="3"/>
      <x:c r="BR418" s="3"/>
    </x:row>
    <x:row r="419" ht="22" customHeight="1">
      <x:c r="A419" s="3" t="str">
        <x:v>Corolla Altis</x:v>
      </x:c>
      <x:c r="B419" s="3" t="str">
        <x:v>HEV</x:v>
      </x:c>
      <x:c r="C419" s="3" t="str">
        <x:v>Taladrod</x:v>
      </x:c>
      <x:c r="D419" s="3" t="str">
        <x:v>Sedan</x:v>
      </x:c>
      <x:c r="E419" s="3" t="str"/>
      <x:c r="F419" s="3" t="n">
        <x:v>2024</x:v>
      </x:c>
      <x:c r="G419" s="3" t="str">
        <x:v>HEV GR SPORT</x:v>
      </x:c>
      <x:c r="H419" s="3" t="str">
        <x:v>未掲載</x:v>
      </x:c>
      <x:c r="I419" s="3" t="str">
        <x:v>19-ปัจจุบัน</x:v>
      </x:c>
      <x:c r="J419" s="22" t="n">
        <x:f>COUNT('中古車掲載'!AM205:AM206)</x:f>
        <x:v>2</x:v>
      </x:c>
      <x:c r="K419" s="22" t="n">
        <x:f>IF(COUNT('中古車掲載'!AM205:AM206)=0,"",QUARTILE('中古車掲載'!AM205:AM206,1))</x:f>
        <x:v>768750</x:v>
      </x:c>
      <x:c r="L419" s="22" t="n">
        <x:f>IF(COUNT('中古車掲載'!AM205:AM206)=0,"",MEDIAN('中古車掲載'!AM205:AM206))</x:f>
        <x:v>777500</x:v>
      </x:c>
      <x:c r="M419" s="22" t="n">
        <x:f>IF(COUNT('中古車掲載'!AM205:AM206)=0,"",QUARTILE('中古車掲載'!AM205:AM206,3))</x:f>
        <x:v>786250</x:v>
      </x:c>
      <x:c r="N419" s="22" t="n">
        <x:f>COUNT('中古車掲載'!AN205:AN206)</x:f>
        <x:v>2</x:v>
      </x:c>
      <x:c r="O419" s="23" t="n">
        <x:f>IF(COUNT('中古車掲載'!AN205:AN206)=0,"",MEDIAN('中古車掲載'!AN205:AN206))</x:f>
        <x:v>0.6886625332152347</x:v>
      </x:c>
      <x:c r="P419" s="3"/>
      <x:c r="Q419" s="3"/>
      <x:c r="R419" s="3"/>
      <x:c r="S419" s="3"/>
      <x:c r="T419" s="3"/>
      <x:c r="U419" s="3"/>
      <x:c r="V419" s="3"/>
      <x:c r="W419" s="3"/>
      <x:c r="X419" s="3"/>
      <x:c r="Y419" s="3"/>
      <x:c r="Z419" s="3"/>
      <x:c r="AA419" s="3"/>
      <x:c r="AB419" s="3"/>
      <x:c r="AC419" s="3"/>
      <x:c r="AD419" s="3"/>
      <x:c r="AE419" s="3"/>
      <x:c r="AF419" s="3"/>
      <x:c r="AG419" s="3"/>
      <x:c r="AH419" s="3"/>
      <x:c r="AI419" s="3"/>
      <x:c r="AJ419" s="3"/>
      <x:c r="AK419" s="3"/>
      <x:c r="AL419" s="3"/>
      <x:c r="AM419" s="3"/>
      <x:c r="AN419" s="3"/>
      <x:c r="AO419" s="3"/>
      <x:c r="AP419" s="3"/>
      <x:c r="AQ419" s="3"/>
      <x:c r="AR419" s="3"/>
      <x:c r="AS419" s="3"/>
      <x:c r="AT419" s="3"/>
      <x:c r="AU419" s="3"/>
      <x:c r="AV419" s="3"/>
      <x:c r="AW419" s="3"/>
      <x:c r="AX419" s="3"/>
      <x:c r="AY419" s="3"/>
      <x:c r="AZ419" s="3" t="str">
        <x:f>IF(AND('中古車掲載'!C420="One2car",'中古車掲載'!F420="ATTO 3",'中古車掲載'!L420="EXTENDED RANGE",'中古車掲載'!J420=2023,ISNUMBER('中古車掲載'!N420),'中古車掲載'!N420&gt;=20000,'中古車掲載'!O420&lt;=100000,'中古車掲載'!AL420=1),'中古車掲載'!U420,"")</x:f>
      </x:c>
      <x:c r="BA419" s="3" t="str">
        <x:f>IF(AND('中古車掲載'!C420="One2car",'中古車掲載'!F420="Corolla Cross",'中古車掲載'!L420="HEV PREMIUM SAFETY",'中古車掲載'!J420=2023,ISNUMBER('中古車掲載'!N420),'中古車掲載'!N420&gt;=20000,'中古車掲載'!O420&lt;=100000,'中古車掲載'!AL420=1,'中古車掲載'!Z420="https://www.one2car.com/en/cars-for-sale/toyota/corolla-cross/year-2023"),'中古車掲載'!U420,"")</x:f>
      </x:c>
      <x:c r="BB419" s="3" t="str">
        <x:f>IF(AND('中古車掲載'!C420="One2car",'中古車掲載'!F420="ATTO 3",'中古車掲載'!L420="EXTENDED RANGE",'中古車掲載'!J420=2023,ISNUMBER('中古車掲載'!N420),'中古車掲載'!N420&gt;=50000,'中古車掲載'!O420&lt;=100000,'中古車掲載'!AL420=1),'中古車掲載'!U420,"")</x:f>
      </x:c>
      <x:c r="BC419" s="3" t="str">
        <x:f>IF(AND('中古車掲載'!C420="One2car",'中古車掲載'!F420="Corolla Cross",'中古車掲載'!L420="HEV PREMIUM SAFETY",'中古車掲載'!J420=2023,ISNUMBER('中古車掲載'!N420),'中古車掲載'!N420&gt;=50000,'中古車掲載'!O420&lt;=100000,'中古車掲載'!AL420=1,'中古車掲載'!Z420="https://www.one2car.com/en/cars-for-sale/toyota/corolla-cross/year-2023"),'中古車掲載'!U420,"")</x:f>
      </x:c>
      <x:c r="BD419" s="3" t="str">
        <x:f>IF(AND('中古車掲載'!C420="One2car",'中古車掲載'!F420="ATTO 3",'中古車掲載'!L420="EXTENDED RANGE",'中古車掲載'!J420=2023,ISNUMBER('中古車掲載'!N420),'中古車掲載'!N420&gt;=20000,'中古車掲載'!O420&lt;=50000,'中古車掲載'!AL420=1),'中古車掲載'!U420,"")</x:f>
      </x:c>
      <x:c r="BE419" s="3" t="str">
        <x:f>IF(AND('中古車掲載'!C420="One2car",'中古車掲載'!F420="Corolla Cross",'中古車掲載'!L420="HEV PREMIUM SAFETY",'中古車掲載'!J420=2023,ISNUMBER('中古車掲載'!N420),'中古車掲載'!N420&gt;=20000,'中古車掲載'!O420&lt;=50000,'中古車掲載'!AL420=1,'中古車掲載'!Z420="https://www.one2car.com/en/cars-for-sale/toyota/corolla-cross/year-2023"),'中古車掲載'!U420,"")</x:f>
      </x:c>
      <x:c r="BF419" s="3" t="str">
        <x:f>IF(AND('中古車掲載'!C420="One2car",'中古車掲載'!F420="Corolla Cross",'中古車掲載'!L420="HEV PREMIUM",'中古車掲載'!J420=2023,ISNUMBER('中古車掲載'!N420),'中古車掲載'!N420&gt;=20000,'中古車掲載'!O420&lt;=100000,'中古車掲載'!AL420=1,'中古車掲載'!Z420="https://www.one2car.com/en/cars-for-sale/toyota/corolla-cross/year-2023"),'中古車掲載'!U420,"")</x:f>
      </x:c>
      <x:c r="BG419" s="3" t="str">
        <x:f>IF(AND('中古車掲載'!C420="One2car",'中古車掲載'!F420="Corolla Cross",'中古車掲載'!L420="HEV GR SPORT",'中古車掲載'!J420=2023,ISNUMBER('中古車掲載'!N420),'中古車掲載'!N420&gt;=20000,'中古車掲載'!O420&lt;=100000,'中古車掲載'!AL420=1,'中古車掲載'!Z420="https://www.one2car.com/en/cars-for-sale/toyota/corolla-cross/year-2023"),'中古車掲載'!U420,"")</x:f>
      </x:c>
      <x:c r="BH419" s="3" t="str">
        <x:f>IF(AND('中古車掲載'!C420="One2car",'中古車掲載'!F420="DOLPHIN",'中古車掲載'!L420="STANDARD RANGE",'中古車掲載'!J420=2023,ISNUMBER('中古車掲載'!N420),'中古車掲載'!N420&gt;=20000,'中古車掲載'!O420&lt;=100000,'中古車掲載'!AL420=1),'中古車掲載'!U420,"")</x:f>
      </x:c>
      <x:c r="BI419" s="3" t="str">
        <x:v>Taladrod|Corolla Cross|HEV|Unknown</x:v>
      </x:c>
      <x:c r="BJ419" s="3" t="n">
        <x:v>420</x:v>
      </x:c>
      <x:c r="BK419" s="3" t="n">
        <x:f>'中古車掲載'!AM420</x:f>
        <x:v>859000</x:v>
      </x:c>
      <x:c r="BL419" s="3" t="n">
        <x:f>IF(ISNUMBER('中古車掲載'!AN420),'中古車掲載'!AN420,"")</x:f>
        <x:v>0.7134551495016611</x:v>
      </x:c>
      <x:c r="BM419" s="3"/>
      <x:c r="BN419" s="3"/>
      <x:c r="BO419" s="3"/>
      <x:c r="BP419" s="3"/>
      <x:c r="BQ419" s="3"/>
      <x:c r="BR419" s="3"/>
    </x:row>
    <x:row r="420" ht="22" customHeight="1">
      <x:c r="A420" s="3" t="str">
        <x:v>Corolla Altis</x:v>
      </x:c>
      <x:c r="B420" s="3" t="str">
        <x:v>HEV</x:v>
      </x:c>
      <x:c r="C420" s="3" t="str">
        <x:v>Taladrod</x:v>
      </x:c>
      <x:c r="D420" s="3" t="str">
        <x:v>Sedan</x:v>
      </x:c>
      <x:c r="E420" s="3" t="str"/>
      <x:c r="F420" s="3" t="n">
        <x:v>2025</x:v>
      </x:c>
      <x:c r="G420" s="3" t="str">
        <x:v>HEV GR SPORT</x:v>
      </x:c>
      <x:c r="H420" s="3" t="str">
        <x:v>未掲載</x:v>
      </x:c>
      <x:c r="I420" s="3" t="str">
        <x:v>19-ปัจจุบัน</x:v>
      </x:c>
      <x:c r="J420" s="22" t="n">
        <x:f>COUNT('中古車掲載'!AM207:AM207)</x:f>
        <x:v>1</x:v>
      </x:c>
      <x:c r="K420" s="22" t="n">
        <x:f>IF(COUNT('中古車掲載'!AM207:AM207)=0,"",QUARTILE('中古車掲載'!AM207:AM207,1))</x:f>
        <x:v>895000</x:v>
      </x:c>
      <x:c r="L420" s="22" t="n">
        <x:f>IF(COUNT('中古車掲載'!AM207:AM207)=0,"",MEDIAN('中古車掲載'!AM207:AM207))</x:f>
        <x:v>895000</x:v>
      </x:c>
      <x:c r="M420" s="22" t="n">
        <x:f>IF(COUNT('中古車掲載'!AM207:AM207)=0,"",QUARTILE('中古車掲載'!AM207:AM207,3))</x:f>
        <x:v>895000</x:v>
      </x:c>
      <x:c r="N420" s="22" t="n">
        <x:f>COUNT('中古車掲載'!AN207:AN207)</x:f>
        <x:v>0</x:v>
      </x:c>
      <x:c r="O420" s="23" t="str">
        <x:f>IF(COUNT('中古車掲載'!AN207:AN207)=0,"",MEDIAN('中古車掲載'!AN207:AN207))</x:f>
      </x:c>
      <x:c r="P420" s="3"/>
      <x:c r="Q420" s="3"/>
      <x:c r="R420" s="3"/>
      <x:c r="S420" s="3"/>
      <x:c r="T420" s="3"/>
      <x:c r="U420" s="3"/>
      <x:c r="V420" s="3"/>
      <x:c r="W420" s="3"/>
      <x:c r="X420" s="3"/>
      <x:c r="Y420" s="3"/>
      <x:c r="Z420" s="3"/>
      <x:c r="AA420" s="3"/>
      <x:c r="AB420" s="3"/>
      <x:c r="AC420" s="3"/>
      <x:c r="AD420" s="3"/>
      <x:c r="AE420" s="3"/>
      <x:c r="AF420" s="3"/>
      <x:c r="AG420" s="3"/>
      <x:c r="AH420" s="3"/>
      <x:c r="AI420" s="3"/>
      <x:c r="AJ420" s="3"/>
      <x:c r="AK420" s="3"/>
      <x:c r="AL420" s="3"/>
      <x:c r="AM420" s="3"/>
      <x:c r="AN420" s="3"/>
      <x:c r="AO420" s="3"/>
      <x:c r="AP420" s="3"/>
      <x:c r="AQ420" s="3"/>
      <x:c r="AR420" s="3"/>
      <x:c r="AS420" s="3"/>
      <x:c r="AT420" s="3"/>
      <x:c r="AU420" s="3"/>
      <x:c r="AV420" s="3"/>
      <x:c r="AW420" s="3"/>
      <x:c r="AX420" s="3"/>
      <x:c r="AY420" s="3"/>
      <x:c r="AZ420" s="3" t="str">
        <x:f>IF(AND('中古車掲載'!C421="One2car",'中古車掲載'!F421="ATTO 3",'中古車掲載'!L421="EXTENDED RANGE",'中古車掲載'!J421=2023,ISNUMBER('中古車掲載'!N421),'中古車掲載'!N421&gt;=20000,'中古車掲載'!O421&lt;=100000,'中古車掲載'!AL421=1),'中古車掲載'!U421,"")</x:f>
      </x:c>
      <x:c r="BA420" s="3" t="str">
        <x:f>IF(AND('中古車掲載'!C421="One2car",'中古車掲載'!F421="Corolla Cross",'中古車掲載'!L421="HEV PREMIUM SAFETY",'中古車掲載'!J421=2023,ISNUMBER('中古車掲載'!N421),'中古車掲載'!N421&gt;=20000,'中古車掲載'!O421&lt;=100000,'中古車掲載'!AL421=1,'中古車掲載'!Z421="https://www.one2car.com/en/cars-for-sale/toyota/corolla-cross/year-2023"),'中古車掲載'!U421,"")</x:f>
      </x:c>
      <x:c r="BB420" s="3" t="str">
        <x:f>IF(AND('中古車掲載'!C421="One2car",'中古車掲載'!F421="ATTO 3",'中古車掲載'!L421="EXTENDED RANGE",'中古車掲載'!J421=2023,ISNUMBER('中古車掲載'!N421),'中古車掲載'!N421&gt;=50000,'中古車掲載'!O421&lt;=100000,'中古車掲載'!AL421=1),'中古車掲載'!U421,"")</x:f>
      </x:c>
      <x:c r="BC420" s="3" t="str">
        <x:f>IF(AND('中古車掲載'!C421="One2car",'中古車掲載'!F421="Corolla Cross",'中古車掲載'!L421="HEV PREMIUM SAFETY",'中古車掲載'!J421=2023,ISNUMBER('中古車掲載'!N421),'中古車掲載'!N421&gt;=50000,'中古車掲載'!O421&lt;=100000,'中古車掲載'!AL421=1,'中古車掲載'!Z421="https://www.one2car.com/en/cars-for-sale/toyota/corolla-cross/year-2023"),'中古車掲載'!U421,"")</x:f>
      </x:c>
      <x:c r="BD420" s="3" t="str">
        <x:f>IF(AND('中古車掲載'!C421="One2car",'中古車掲載'!F421="ATTO 3",'中古車掲載'!L421="EXTENDED RANGE",'中古車掲載'!J421=2023,ISNUMBER('中古車掲載'!N421),'中古車掲載'!N421&gt;=20000,'中古車掲載'!O421&lt;=50000,'中古車掲載'!AL421=1),'中古車掲載'!U421,"")</x:f>
      </x:c>
      <x:c r="BE420" s="3" t="str">
        <x:f>IF(AND('中古車掲載'!C421="One2car",'中古車掲載'!F421="Corolla Cross",'中古車掲載'!L421="HEV PREMIUM SAFETY",'中古車掲載'!J421=2023,ISNUMBER('中古車掲載'!N421),'中古車掲載'!N421&gt;=20000,'中古車掲載'!O421&lt;=50000,'中古車掲載'!AL421=1,'中古車掲載'!Z421="https://www.one2car.com/en/cars-for-sale/toyota/corolla-cross/year-2023"),'中古車掲載'!U421,"")</x:f>
      </x:c>
      <x:c r="BF420" s="3" t="str">
        <x:f>IF(AND('中古車掲載'!C421="One2car",'中古車掲載'!F421="Corolla Cross",'中古車掲載'!L421="HEV PREMIUM",'中古車掲載'!J421=2023,ISNUMBER('中古車掲載'!N421),'中古車掲載'!N421&gt;=20000,'中古車掲載'!O421&lt;=100000,'中古車掲載'!AL421=1,'中古車掲載'!Z421="https://www.one2car.com/en/cars-for-sale/toyota/corolla-cross/year-2023"),'中古車掲載'!U421,"")</x:f>
      </x:c>
      <x:c r="BG420" s="3" t="str">
        <x:f>IF(AND('中古車掲載'!C421="One2car",'中古車掲載'!F421="Corolla Cross",'中古車掲載'!L421="HEV GR SPORT",'中古車掲載'!J421=2023,ISNUMBER('中古車掲載'!N421),'中古車掲載'!N421&gt;=20000,'中古車掲載'!O421&lt;=100000,'中古車掲載'!AL421=1,'中古車掲載'!Z421="https://www.one2car.com/en/cars-for-sale/toyota/corolla-cross/year-2023"),'中古車掲載'!U421,"")</x:f>
      </x:c>
      <x:c r="BH420" s="3" t="str">
        <x:f>IF(AND('中古車掲載'!C421="One2car",'中古車掲載'!F421="DOLPHIN",'中古車掲載'!L421="STANDARD RANGE",'中古車掲載'!J421=2023,ISNUMBER('中古車掲載'!N421),'中古車掲載'!N421&gt;=20000,'中古車掲載'!O421&lt;=100000,'中古車掲載'!AL421=1),'中古車掲載'!U421,"")</x:f>
      </x:c>
      <x:c r="BI420" s="3" t="str">
        <x:v>Taladrod|Corolla Cross|HEV|Unknown</x:v>
      </x:c>
      <x:c r="BJ420" s="3" t="n">
        <x:v>421</x:v>
      </x:c>
      <x:c r="BK420" s="3" t="n">
        <x:f>'中古車掲載'!AM421</x:f>
        <x:v>899000</x:v>
      </x:c>
      <x:c r="BL420" s="3" t="n">
        <x:f>IF(ISNUMBER('中古車掲載'!AN421),'中古車掲載'!AN421,"")</x:f>
        <x:v>0.7466777408637874</x:v>
      </x:c>
      <x:c r="BM420" s="3"/>
      <x:c r="BN420" s="3"/>
      <x:c r="BO420" s="3"/>
      <x:c r="BP420" s="3"/>
      <x:c r="BQ420" s="3"/>
      <x:c r="BR420" s="3"/>
    </x:row>
    <x:row r="421" ht="22" customHeight="1">
      <x:c r="A421" s="3" t="str">
        <x:v>Corolla Altis</x:v>
      </x:c>
      <x:c r="B421" s="3" t="str">
        <x:v>HEV</x:v>
      </x:c>
      <x:c r="C421" s="3" t="str">
        <x:v>Taladrod</x:v>
      </x:c>
      <x:c r="D421" s="3" t="str">
        <x:v>Sedan</x:v>
      </x:c>
      <x:c r="E421" s="3" t="str"/>
      <x:c r="F421" s="3" t="n">
        <x:v>2025</x:v>
      </x:c>
      <x:c r="G421" s="3" t="str">
        <x:v>HEV PREMIUM</x:v>
      </x:c>
      <x:c r="H421" s="3" t="str">
        <x:v>未掲載</x:v>
      </x:c>
      <x:c r="I421" s="3" t="str">
        <x:v>19-ปัจจุบัน</x:v>
      </x:c>
      <x:c r="J421" s="22" t="n">
        <x:f>COUNT('中古車掲載'!AM208:AM210)</x:f>
        <x:v>3</x:v>
      </x:c>
      <x:c r="K421" s="22" t="n">
        <x:f>IF(COUNT('中古車掲載'!AM208:AM210)=0,"",QUARTILE('中古車掲載'!AM208:AM210,1))</x:f>
        <x:v>787000</x:v>
      </x:c>
      <x:c r="L421" s="22" t="n">
        <x:f>IF(COUNT('中古車掲載'!AM208:AM210)=0,"",MEDIAN('中古車掲載'!AM208:AM210))</x:f>
        <x:v>819000</x:v>
      </x:c>
      <x:c r="M421" s="22" t="n">
        <x:f>IF(COUNT('中古車掲載'!AM208:AM210)=0,"",QUARTILE('中古車掲載'!AM208:AM210,3))</x:f>
        <x:v>847000</x:v>
      </x:c>
      <x:c r="N421" s="22" t="n">
        <x:f>COUNT('中古車掲載'!AN208:AN210)</x:f>
        <x:v>0</x:v>
      </x:c>
      <x:c r="O421" s="23" t="str">
        <x:f>IF(COUNT('中古車掲載'!AN208:AN210)=0,"",MEDIAN('中古車掲載'!AN208:AN210))</x:f>
      </x:c>
      <x:c r="P421" s="3"/>
      <x:c r="Q421" s="3"/>
      <x:c r="R421" s="3"/>
      <x:c r="S421" s="3"/>
      <x:c r="T421" s="3"/>
      <x:c r="U421" s="3"/>
      <x:c r="V421" s="3"/>
      <x:c r="W421" s="3"/>
      <x:c r="X421" s="3"/>
      <x:c r="Y421" s="3"/>
      <x:c r="Z421" s="3"/>
      <x:c r="AA421" s="3"/>
      <x:c r="AB421" s="3"/>
      <x:c r="AC421" s="3"/>
      <x:c r="AD421" s="3"/>
      <x:c r="AE421" s="3"/>
      <x:c r="AF421" s="3"/>
      <x:c r="AG421" s="3"/>
      <x:c r="AH421" s="3"/>
      <x:c r="AI421" s="3"/>
      <x:c r="AJ421" s="3"/>
      <x:c r="AK421" s="3"/>
      <x:c r="AL421" s="3"/>
      <x:c r="AM421" s="3"/>
      <x:c r="AN421" s="3"/>
      <x:c r="AO421" s="3"/>
      <x:c r="AP421" s="3"/>
      <x:c r="AQ421" s="3"/>
      <x:c r="AR421" s="3"/>
      <x:c r="AS421" s="3"/>
      <x:c r="AT421" s="3"/>
      <x:c r="AU421" s="3"/>
      <x:c r="AV421" s="3"/>
      <x:c r="AW421" s="3"/>
      <x:c r="AX421" s="3"/>
      <x:c r="AY421" s="3"/>
      <x:c r="AZ421" s="3" t="str">
        <x:f>IF(AND('中古車掲載'!C422="One2car",'中古車掲載'!F422="ATTO 3",'中古車掲載'!L422="EXTENDED RANGE",'中古車掲載'!J422=2023,ISNUMBER('中古車掲載'!N422),'中古車掲載'!N422&gt;=20000,'中古車掲載'!O422&lt;=100000,'中古車掲載'!AL422=1),'中古車掲載'!U422,"")</x:f>
      </x:c>
      <x:c r="BA421" s="3" t="str">
        <x:f>IF(AND('中古車掲載'!C422="One2car",'中古車掲載'!F422="Corolla Cross",'中古車掲載'!L422="HEV PREMIUM SAFETY",'中古車掲載'!J422=2023,ISNUMBER('中古車掲載'!N422),'中古車掲載'!N422&gt;=20000,'中古車掲載'!O422&lt;=100000,'中古車掲載'!AL422=1,'中古車掲載'!Z422="https://www.one2car.com/en/cars-for-sale/toyota/corolla-cross/year-2023"),'中古車掲載'!U422,"")</x:f>
      </x:c>
      <x:c r="BB421" s="3" t="str">
        <x:f>IF(AND('中古車掲載'!C422="One2car",'中古車掲載'!F422="ATTO 3",'中古車掲載'!L422="EXTENDED RANGE",'中古車掲載'!J422=2023,ISNUMBER('中古車掲載'!N422),'中古車掲載'!N422&gt;=50000,'中古車掲載'!O422&lt;=100000,'中古車掲載'!AL422=1),'中古車掲載'!U422,"")</x:f>
      </x:c>
      <x:c r="BC421" s="3" t="str">
        <x:f>IF(AND('中古車掲載'!C422="One2car",'中古車掲載'!F422="Corolla Cross",'中古車掲載'!L422="HEV PREMIUM SAFETY",'中古車掲載'!J422=2023,ISNUMBER('中古車掲載'!N422),'中古車掲載'!N422&gt;=50000,'中古車掲載'!O422&lt;=100000,'中古車掲載'!AL422=1,'中古車掲載'!Z422="https://www.one2car.com/en/cars-for-sale/toyota/corolla-cross/year-2023"),'中古車掲載'!U422,"")</x:f>
      </x:c>
      <x:c r="BD421" s="3" t="str">
        <x:f>IF(AND('中古車掲載'!C422="One2car",'中古車掲載'!F422="ATTO 3",'中古車掲載'!L422="EXTENDED RANGE",'中古車掲載'!J422=2023,ISNUMBER('中古車掲載'!N422),'中古車掲載'!N422&gt;=20000,'中古車掲載'!O422&lt;=50000,'中古車掲載'!AL422=1),'中古車掲載'!U422,"")</x:f>
      </x:c>
      <x:c r="BE421" s="3" t="str">
        <x:f>IF(AND('中古車掲載'!C422="One2car",'中古車掲載'!F422="Corolla Cross",'中古車掲載'!L422="HEV PREMIUM SAFETY",'中古車掲載'!J422=2023,ISNUMBER('中古車掲載'!N422),'中古車掲載'!N422&gt;=20000,'中古車掲載'!O422&lt;=50000,'中古車掲載'!AL422=1,'中古車掲載'!Z422="https://www.one2car.com/en/cars-for-sale/toyota/corolla-cross/year-2023"),'中古車掲載'!U422,"")</x:f>
      </x:c>
      <x:c r="BF421" s="3" t="str">
        <x:f>IF(AND('中古車掲載'!C422="One2car",'中古車掲載'!F422="Corolla Cross",'中古車掲載'!L422="HEV PREMIUM",'中古車掲載'!J422=2023,ISNUMBER('中古車掲載'!N422),'中古車掲載'!N422&gt;=20000,'中古車掲載'!O422&lt;=100000,'中古車掲載'!AL422=1,'中古車掲載'!Z422="https://www.one2car.com/en/cars-for-sale/toyota/corolla-cross/year-2023"),'中古車掲載'!U422,"")</x:f>
      </x:c>
      <x:c r="BG421" s="3" t="str">
        <x:f>IF(AND('中古車掲載'!C422="One2car",'中古車掲載'!F422="Corolla Cross",'中古車掲載'!L422="HEV GR SPORT",'中古車掲載'!J422=2023,ISNUMBER('中古車掲載'!N422),'中古車掲載'!N422&gt;=20000,'中古車掲載'!O422&lt;=100000,'中古車掲載'!AL422=1,'中古車掲載'!Z422="https://www.one2car.com/en/cars-for-sale/toyota/corolla-cross/year-2023"),'中古車掲載'!U422,"")</x:f>
      </x:c>
      <x:c r="BH421" s="3" t="str">
        <x:f>IF(AND('中古車掲載'!C422="One2car",'中古車掲載'!F422="DOLPHIN",'中古車掲載'!L422="STANDARD RANGE",'中古車掲載'!J422=2023,ISNUMBER('中古車掲載'!N422),'中古車掲載'!N422&gt;=20000,'中古車掲載'!O422&lt;=100000,'中古車掲載'!AL422=1),'中古車掲載'!U422,"")</x:f>
      </x:c>
      <x:c r="BI421" s="3" t="str">
        <x:v>Taladrod|Corolla Cross|HEV|Unknown</x:v>
      </x:c>
      <x:c r="BJ421" s="3" t="n">
        <x:v>422</x:v>
      </x:c>
      <x:c r="BK421" s="3" t="n">
        <x:f>'中古車掲載'!AM422</x:f>
        <x:v>879000</x:v>
      </x:c>
      <x:c r="BL421" s="3" t="n">
        <x:f>IF(ISNUMBER('中古車掲載'!AN422),'中古車掲載'!AN422,"")</x:f>
        <x:v>0.7300664451827242</x:v>
      </x:c>
      <x:c r="BM421" s="3"/>
      <x:c r="BN421" s="3"/>
      <x:c r="BO421" s="3"/>
      <x:c r="BP421" s="3"/>
      <x:c r="BQ421" s="3"/>
      <x:c r="BR421" s="3"/>
    </x:row>
    <x:row r="422" ht="22" customHeight="1">
      <x:c r="A422" s="3" t="str">
        <x:v>Corolla Altis</x:v>
      </x:c>
      <x:c r="B422" s="3" t="str">
        <x:v>ICE</x:v>
      </x:c>
      <x:c r="C422" s="3" t="str">
        <x:v>Taladrod</x:v>
      </x:c>
      <x:c r="D422" s="3" t="str">
        <x:v>Sedan</x:v>
      </x:c>
      <x:c r="E422" s="3" t="str"/>
      <x:c r="F422" s="3" t="n">
        <x:v>2020</x:v>
      </x:c>
      <x:c r="G422" s="3" t="str">
        <x:v>G</x:v>
      </x:c>
      <x:c r="H422" s="3" t="str">
        <x:v>未掲載</x:v>
      </x:c>
      <x:c r="I422" s="3" t="str">
        <x:v>19-ปัจจุบัน</x:v>
      </x:c>
      <x:c r="J422" s="22" t="n">
        <x:f>COUNT('中古車掲載'!AM211:AM229)</x:f>
        <x:v>19</x:v>
      </x:c>
      <x:c r="K422" s="22" t="n">
        <x:f>IF(COUNT('中古車掲載'!AM211:AM229)=0,"",QUARTILE('中古車掲載'!AM211:AM229,1))</x:f>
        <x:v>408500</x:v>
      </x:c>
      <x:c r="L422" s="22" t="n">
        <x:f>IF(COUNT('中古車掲載'!AM211:AM229)=0,"",MEDIAN('中古車掲載'!AM211:AM229))</x:f>
        <x:v>439000</x:v>
      </x:c>
      <x:c r="M422" s="22" t="n">
        <x:f>IF(COUNT('中古車掲載'!AM211:AM229)=0,"",QUARTILE('中古車掲載'!AM211:AM229,3))</x:f>
        <x:v>459000</x:v>
      </x:c>
      <x:c r="N422" s="22" t="n">
        <x:f>COUNT('中古車掲載'!AN211:AN229)</x:f>
        <x:v>0</x:v>
      </x:c>
      <x:c r="O422" s="23" t="str">
        <x:f>IF(COUNT('中古車掲載'!AN211:AN229)=0,"",MEDIAN('中古車掲載'!AN211:AN229))</x:f>
      </x:c>
      <x:c r="P422" s="3"/>
      <x:c r="Q422" s="3"/>
      <x:c r="R422" s="3"/>
      <x:c r="S422" s="3"/>
      <x:c r="T422" s="3"/>
      <x:c r="U422" s="3"/>
      <x:c r="V422" s="3"/>
      <x:c r="W422" s="3"/>
      <x:c r="X422" s="3"/>
      <x:c r="Y422" s="3"/>
      <x:c r="Z422" s="3"/>
      <x:c r="AA422" s="3"/>
      <x:c r="AB422" s="3"/>
      <x:c r="AC422" s="3"/>
      <x:c r="AD422" s="3"/>
      <x:c r="AE422" s="3"/>
      <x:c r="AF422" s="3"/>
      <x:c r="AG422" s="3"/>
      <x:c r="AH422" s="3"/>
      <x:c r="AI422" s="3"/>
      <x:c r="AJ422" s="3"/>
      <x:c r="AK422" s="3"/>
      <x:c r="AL422" s="3"/>
      <x:c r="AM422" s="3"/>
      <x:c r="AN422" s="3"/>
      <x:c r="AO422" s="3"/>
      <x:c r="AP422" s="3"/>
      <x:c r="AQ422" s="3"/>
      <x:c r="AR422" s="3"/>
      <x:c r="AS422" s="3"/>
      <x:c r="AT422" s="3"/>
      <x:c r="AU422" s="3"/>
      <x:c r="AV422" s="3"/>
      <x:c r="AW422" s="3"/>
      <x:c r="AX422" s="3"/>
      <x:c r="AY422" s="3"/>
      <x:c r="AZ422" s="3" t="str">
        <x:f>IF(AND('中古車掲載'!C423="One2car",'中古車掲載'!F423="ATTO 3",'中古車掲載'!L423="EXTENDED RANGE",'中古車掲載'!J423=2023,ISNUMBER('中古車掲載'!N423),'中古車掲載'!N423&gt;=20000,'中古車掲載'!O423&lt;=100000,'中古車掲載'!AL423=1),'中古車掲載'!U423,"")</x:f>
      </x:c>
      <x:c r="BA422" s="3" t="str">
        <x:f>IF(AND('中古車掲載'!C423="One2car",'中古車掲載'!F423="Corolla Cross",'中古車掲載'!L423="HEV PREMIUM SAFETY",'中古車掲載'!J423=2023,ISNUMBER('中古車掲載'!N423),'中古車掲載'!N423&gt;=20000,'中古車掲載'!O423&lt;=100000,'中古車掲載'!AL423=1,'中古車掲載'!Z423="https://www.one2car.com/en/cars-for-sale/toyota/corolla-cross/year-2023"),'中古車掲載'!U423,"")</x:f>
      </x:c>
      <x:c r="BB422" s="3" t="str">
        <x:f>IF(AND('中古車掲載'!C423="One2car",'中古車掲載'!F423="ATTO 3",'中古車掲載'!L423="EXTENDED RANGE",'中古車掲載'!J423=2023,ISNUMBER('中古車掲載'!N423),'中古車掲載'!N423&gt;=50000,'中古車掲載'!O423&lt;=100000,'中古車掲載'!AL423=1),'中古車掲載'!U423,"")</x:f>
      </x:c>
      <x:c r="BC422" s="3" t="str">
        <x:f>IF(AND('中古車掲載'!C423="One2car",'中古車掲載'!F423="Corolla Cross",'中古車掲載'!L423="HEV PREMIUM SAFETY",'中古車掲載'!J423=2023,ISNUMBER('中古車掲載'!N423),'中古車掲載'!N423&gt;=50000,'中古車掲載'!O423&lt;=100000,'中古車掲載'!AL423=1,'中古車掲載'!Z423="https://www.one2car.com/en/cars-for-sale/toyota/corolla-cross/year-2023"),'中古車掲載'!U423,"")</x:f>
      </x:c>
      <x:c r="BD422" s="3" t="str">
        <x:f>IF(AND('中古車掲載'!C423="One2car",'中古車掲載'!F423="ATTO 3",'中古車掲載'!L423="EXTENDED RANGE",'中古車掲載'!J423=2023,ISNUMBER('中古車掲載'!N423),'中古車掲載'!N423&gt;=20000,'中古車掲載'!O423&lt;=50000,'中古車掲載'!AL423=1),'中古車掲載'!U423,"")</x:f>
      </x:c>
      <x:c r="BE422" s="3" t="str">
        <x:f>IF(AND('中古車掲載'!C423="One2car",'中古車掲載'!F423="Corolla Cross",'中古車掲載'!L423="HEV PREMIUM SAFETY",'中古車掲載'!J423=2023,ISNUMBER('中古車掲載'!N423),'中古車掲載'!N423&gt;=20000,'中古車掲載'!O423&lt;=50000,'中古車掲載'!AL423=1,'中古車掲載'!Z423="https://www.one2car.com/en/cars-for-sale/toyota/corolla-cross/year-2023"),'中古車掲載'!U423,"")</x:f>
      </x:c>
      <x:c r="BF422" s="3" t="str">
        <x:f>IF(AND('中古車掲載'!C423="One2car",'中古車掲載'!F423="Corolla Cross",'中古車掲載'!L423="HEV PREMIUM",'中古車掲載'!J423=2023,ISNUMBER('中古車掲載'!N423),'中古車掲載'!N423&gt;=20000,'中古車掲載'!O423&lt;=100000,'中古車掲載'!AL423=1,'中古車掲載'!Z423="https://www.one2car.com/en/cars-for-sale/toyota/corolla-cross/year-2023"),'中古車掲載'!U423,"")</x:f>
      </x:c>
      <x:c r="BG422" s="3" t="str">
        <x:f>IF(AND('中古車掲載'!C423="One2car",'中古車掲載'!F423="Corolla Cross",'中古車掲載'!L423="HEV GR SPORT",'中古車掲載'!J423=2023,ISNUMBER('中古車掲載'!N423),'中古車掲載'!N423&gt;=20000,'中古車掲載'!O423&lt;=100000,'中古車掲載'!AL423=1,'中古車掲載'!Z423="https://www.one2car.com/en/cars-for-sale/toyota/corolla-cross/year-2023"),'中古車掲載'!U423,"")</x:f>
      </x:c>
      <x:c r="BH422" s="3" t="str">
        <x:f>IF(AND('中古車掲載'!C423="One2car",'中古車掲載'!F423="DOLPHIN",'中古車掲載'!L423="STANDARD RANGE",'中古車掲載'!J423=2023,ISNUMBER('中古車掲載'!N423),'中古車掲載'!N423&gt;=20000,'中古車掲載'!O423&lt;=100000,'中古車掲載'!AL423=1),'中古車掲載'!U423,"")</x:f>
      </x:c>
      <x:c r="BI422" s="3" t="str">
        <x:v>Taladrod|Corolla Cross|HEV|Unknown</x:v>
      </x:c>
      <x:c r="BJ422" s="3" t="n">
        <x:v>423</x:v>
      </x:c>
      <x:c r="BK422" s="3" t="n">
        <x:f>'中古車掲載'!AM423</x:f>
        <x:v>899000</x:v>
      </x:c>
      <x:c r="BL422" s="3" t="n">
        <x:f>IF(ISNUMBER('中古車掲載'!AN423),'中古車掲載'!AN423,"")</x:f>
        <x:v>0.7466777408637874</x:v>
      </x:c>
      <x:c r="BM422" s="3"/>
      <x:c r="BN422" s="3"/>
      <x:c r="BO422" s="3"/>
      <x:c r="BP422" s="3"/>
      <x:c r="BQ422" s="3"/>
      <x:c r="BR422" s="3"/>
    </x:row>
    <x:row r="423" ht="22" customHeight="1">
      <x:c r="A423" s="3" t="str">
        <x:v>Corolla Altis</x:v>
      </x:c>
      <x:c r="B423" s="3" t="str">
        <x:v>ICE</x:v>
      </x:c>
      <x:c r="C423" s="3" t="str">
        <x:v>Taladrod</x:v>
      </x:c>
      <x:c r="D423" s="3" t="str">
        <x:v>Sedan</x:v>
      </x:c>
      <x:c r="E423" s="3" t="str"/>
      <x:c r="F423" s="3" t="n">
        <x:v>2020</x:v>
      </x:c>
      <x:c r="G423" s="3" t="str">
        <x:v>GR SPORT</x:v>
      </x:c>
      <x:c r="H423" s="3" t="str">
        <x:v>未掲載</x:v>
      </x:c>
      <x:c r="I423" s="3" t="str">
        <x:v>19-ปัจจุบัน</x:v>
      </x:c>
      <x:c r="J423" s="22" t="n">
        <x:f>COUNT('中古車掲載'!AM230:AM232)</x:f>
        <x:v>3</x:v>
      </x:c>
      <x:c r="K423" s="22" t="n">
        <x:f>IF(COUNT('中古車掲載'!AM230:AM232)=0,"",QUARTILE('中古車掲載'!AM230:AM232,1))</x:f>
        <x:v>478500</x:v>
      </x:c>
      <x:c r="L423" s="22" t="n">
        <x:f>IF(COUNT('中古車掲載'!AM230:AM232)=0,"",MEDIAN('中古車掲載'!AM230:AM232))</x:f>
        <x:v>479000</x:v>
      </x:c>
      <x:c r="M423" s="22" t="n">
        <x:f>IF(COUNT('中古車掲載'!AM230:AM232)=0,"",QUARTILE('中古車掲載'!AM230:AM232,3))</x:f>
        <x:v>517000</x:v>
      </x:c>
      <x:c r="N423" s="22" t="n">
        <x:f>COUNT('中古車掲載'!AN230:AN232)</x:f>
        <x:v>0</x:v>
      </x:c>
      <x:c r="O423" s="23" t="str">
        <x:f>IF(COUNT('中古車掲載'!AN230:AN232)=0,"",MEDIAN('中古車掲載'!AN230:AN232))</x:f>
      </x:c>
      <x:c r="P423" s="3"/>
      <x:c r="Q423" s="3"/>
      <x:c r="R423" s="3"/>
      <x:c r="S423" s="3"/>
      <x:c r="T423" s="3"/>
      <x:c r="U423" s="3"/>
      <x:c r="V423" s="3"/>
      <x:c r="W423" s="3"/>
      <x:c r="X423" s="3"/>
      <x:c r="Y423" s="3"/>
      <x:c r="Z423" s="3"/>
      <x:c r="AA423" s="3"/>
      <x:c r="AB423" s="3"/>
      <x:c r="AC423" s="3"/>
      <x:c r="AD423" s="3"/>
      <x:c r="AE423" s="3"/>
      <x:c r="AF423" s="3"/>
      <x:c r="AG423" s="3"/>
      <x:c r="AH423" s="3"/>
      <x:c r="AI423" s="3"/>
      <x:c r="AJ423" s="3"/>
      <x:c r="AK423" s="3"/>
      <x:c r="AL423" s="3"/>
      <x:c r="AM423" s="3"/>
      <x:c r="AN423" s="3"/>
      <x:c r="AO423" s="3"/>
      <x:c r="AP423" s="3"/>
      <x:c r="AQ423" s="3"/>
      <x:c r="AR423" s="3"/>
      <x:c r="AS423" s="3"/>
      <x:c r="AT423" s="3"/>
      <x:c r="AU423" s="3"/>
      <x:c r="AV423" s="3"/>
      <x:c r="AW423" s="3"/>
      <x:c r="AX423" s="3"/>
      <x:c r="AY423" s="3"/>
      <x:c r="AZ423" s="3" t="str">
        <x:f>IF(AND('中古車掲載'!C424="One2car",'中古車掲載'!F424="ATTO 3",'中古車掲載'!L424="EXTENDED RANGE",'中古車掲載'!J424=2023,ISNUMBER('中古車掲載'!N424),'中古車掲載'!N424&gt;=20000,'中古車掲載'!O424&lt;=100000,'中古車掲載'!AL424=1),'中古車掲載'!U424,"")</x:f>
      </x:c>
      <x:c r="BA423" s="3" t="str">
        <x:f>IF(AND('中古車掲載'!C424="One2car",'中古車掲載'!F424="Corolla Cross",'中古車掲載'!L424="HEV PREMIUM SAFETY",'中古車掲載'!J424=2023,ISNUMBER('中古車掲載'!N424),'中古車掲載'!N424&gt;=20000,'中古車掲載'!O424&lt;=100000,'中古車掲載'!AL424=1,'中古車掲載'!Z424="https://www.one2car.com/en/cars-for-sale/toyota/corolla-cross/year-2023"),'中古車掲載'!U424,"")</x:f>
      </x:c>
      <x:c r="BB423" s="3" t="str">
        <x:f>IF(AND('中古車掲載'!C424="One2car",'中古車掲載'!F424="ATTO 3",'中古車掲載'!L424="EXTENDED RANGE",'中古車掲載'!J424=2023,ISNUMBER('中古車掲載'!N424),'中古車掲載'!N424&gt;=50000,'中古車掲載'!O424&lt;=100000,'中古車掲載'!AL424=1),'中古車掲載'!U424,"")</x:f>
      </x:c>
      <x:c r="BC423" s="3" t="str">
        <x:f>IF(AND('中古車掲載'!C424="One2car",'中古車掲載'!F424="Corolla Cross",'中古車掲載'!L424="HEV PREMIUM SAFETY",'中古車掲載'!J424=2023,ISNUMBER('中古車掲載'!N424),'中古車掲載'!N424&gt;=50000,'中古車掲載'!O424&lt;=100000,'中古車掲載'!AL424=1,'中古車掲載'!Z424="https://www.one2car.com/en/cars-for-sale/toyota/corolla-cross/year-2023"),'中古車掲載'!U424,"")</x:f>
      </x:c>
      <x:c r="BD423" s="3" t="str">
        <x:f>IF(AND('中古車掲載'!C424="One2car",'中古車掲載'!F424="ATTO 3",'中古車掲載'!L424="EXTENDED RANGE",'中古車掲載'!J424=2023,ISNUMBER('中古車掲載'!N424),'中古車掲載'!N424&gt;=20000,'中古車掲載'!O424&lt;=50000,'中古車掲載'!AL424=1),'中古車掲載'!U424,"")</x:f>
      </x:c>
      <x:c r="BE423" s="3" t="str">
        <x:f>IF(AND('中古車掲載'!C424="One2car",'中古車掲載'!F424="Corolla Cross",'中古車掲載'!L424="HEV PREMIUM SAFETY",'中古車掲載'!J424=2023,ISNUMBER('中古車掲載'!N424),'中古車掲載'!N424&gt;=20000,'中古車掲載'!O424&lt;=50000,'中古車掲載'!AL424=1,'中古車掲載'!Z424="https://www.one2car.com/en/cars-for-sale/toyota/corolla-cross/year-2023"),'中古車掲載'!U424,"")</x:f>
      </x:c>
      <x:c r="BF423" s="3" t="str">
        <x:f>IF(AND('中古車掲載'!C424="One2car",'中古車掲載'!F424="Corolla Cross",'中古車掲載'!L424="HEV PREMIUM",'中古車掲載'!J424=2023,ISNUMBER('中古車掲載'!N424),'中古車掲載'!N424&gt;=20000,'中古車掲載'!O424&lt;=100000,'中古車掲載'!AL424=1,'中古車掲載'!Z424="https://www.one2car.com/en/cars-for-sale/toyota/corolla-cross/year-2023"),'中古車掲載'!U424,"")</x:f>
      </x:c>
      <x:c r="BG423" s="3" t="str">
        <x:f>IF(AND('中古車掲載'!C424="One2car",'中古車掲載'!F424="Corolla Cross",'中古車掲載'!L424="HEV GR SPORT",'中古車掲載'!J424=2023,ISNUMBER('中古車掲載'!N424),'中古車掲載'!N424&gt;=20000,'中古車掲載'!O424&lt;=100000,'中古車掲載'!AL424=1,'中古車掲載'!Z424="https://www.one2car.com/en/cars-for-sale/toyota/corolla-cross/year-2023"),'中古車掲載'!U424,"")</x:f>
      </x:c>
      <x:c r="BH423" s="3" t="str">
        <x:f>IF(AND('中古車掲載'!C424="One2car",'中古車掲載'!F424="DOLPHIN",'中古車掲載'!L424="STANDARD RANGE",'中古車掲載'!J424=2023,ISNUMBER('中古車掲載'!N424),'中古車掲載'!N424&gt;=20000,'中古車掲載'!O424&lt;=100000,'中古車掲載'!AL424=1),'中古車掲載'!U424,"")</x:f>
      </x:c>
      <x:c r="BI423" s="3" t="str">
        <x:v>Taladrod|Corolla Cross|HEV|Unknown</x:v>
      </x:c>
      <x:c r="BJ423" s="3" t="n">
        <x:v>424</x:v>
      </x:c>
      <x:c r="BK423" s="3" t="n">
        <x:f>'中古車掲載'!AM424</x:f>
        <x:v>885000</x:v>
      </x:c>
      <x:c r="BL423" s="3" t="n">
        <x:f>IF(ISNUMBER('中古車掲載'!AN424),'中古車掲載'!AN424,"")</x:f>
        <x:v>0.7350498338870431</x:v>
      </x:c>
      <x:c r="BM423" s="3"/>
      <x:c r="BN423" s="3"/>
      <x:c r="BO423" s="3"/>
      <x:c r="BP423" s="3"/>
      <x:c r="BQ423" s="3"/>
      <x:c r="BR423" s="3"/>
    </x:row>
    <x:row r="424" ht="22" customHeight="1">
      <x:c r="A424" s="3" t="str">
        <x:v>Corolla Altis</x:v>
      </x:c>
      <x:c r="B424" s="3" t="str">
        <x:v>ICE</x:v>
      </x:c>
      <x:c r="C424" s="3" t="str">
        <x:v>Taladrod</x:v>
      </x:c>
      <x:c r="D424" s="3" t="str">
        <x:v>Sedan</x:v>
      </x:c>
      <x:c r="E424" s="3" t="str"/>
      <x:c r="F424" s="3" t="n">
        <x:v>2020</x:v>
      </x:c>
      <x:c r="G424" s="3" t="str">
        <x:v>SPORT</x:v>
      </x:c>
      <x:c r="H424" s="3" t="str">
        <x:v>未掲載</x:v>
      </x:c>
      <x:c r="I424" s="3" t="str">
        <x:v>19-ปัจจุบัน</x:v>
      </x:c>
      <x:c r="J424" s="22" t="n">
        <x:f>COUNT('中古車掲載'!AM233:AM233)</x:f>
        <x:v>1</x:v>
      </x:c>
      <x:c r="K424" s="22" t="n">
        <x:f>IF(COUNT('中古車掲載'!AM233:AM233)=0,"",QUARTILE('中古車掲載'!AM233:AM233,1))</x:f>
        <x:v>499000</x:v>
      </x:c>
      <x:c r="L424" s="22" t="n">
        <x:f>IF(COUNT('中古車掲載'!AM233:AM233)=0,"",MEDIAN('中古車掲載'!AM233:AM233))</x:f>
        <x:v>499000</x:v>
      </x:c>
      <x:c r="M424" s="22" t="n">
        <x:f>IF(COUNT('中古車掲載'!AM233:AM233)=0,"",QUARTILE('中古車掲載'!AM233:AM233,3))</x:f>
        <x:v>499000</x:v>
      </x:c>
      <x:c r="N424" s="22" t="n">
        <x:f>COUNT('中古車掲載'!AN233:AN233)</x:f>
        <x:v>0</x:v>
      </x:c>
      <x:c r="O424" s="23" t="str">
        <x:f>IF(COUNT('中古車掲載'!AN233:AN233)=0,"",MEDIAN('中古車掲載'!AN233:AN233))</x:f>
      </x:c>
      <x:c r="P424" s="3"/>
      <x:c r="Q424" s="3"/>
      <x:c r="R424" s="3"/>
      <x:c r="S424" s="3"/>
      <x:c r="T424" s="3"/>
      <x:c r="U424" s="3"/>
      <x:c r="V424" s="3"/>
      <x:c r="W424" s="3"/>
      <x:c r="X424" s="3"/>
      <x:c r="Y424" s="3"/>
      <x:c r="Z424" s="3"/>
      <x:c r="AA424" s="3"/>
      <x:c r="AB424" s="3"/>
      <x:c r="AC424" s="3"/>
      <x:c r="AD424" s="3"/>
      <x:c r="AE424" s="3"/>
      <x:c r="AF424" s="3"/>
      <x:c r="AG424" s="3"/>
      <x:c r="AH424" s="3"/>
      <x:c r="AI424" s="3"/>
      <x:c r="AJ424" s="3"/>
      <x:c r="AK424" s="3"/>
      <x:c r="AL424" s="3"/>
      <x:c r="AM424" s="3"/>
      <x:c r="AN424" s="3"/>
      <x:c r="AO424" s="3"/>
      <x:c r="AP424" s="3"/>
      <x:c r="AQ424" s="3"/>
      <x:c r="AR424" s="3"/>
      <x:c r="AS424" s="3"/>
      <x:c r="AT424" s="3"/>
      <x:c r="AU424" s="3"/>
      <x:c r="AV424" s="3"/>
      <x:c r="AW424" s="3"/>
      <x:c r="AX424" s="3"/>
      <x:c r="AY424" s="3"/>
      <x:c r="AZ424" s="3" t="str">
        <x:f>IF(AND('中古車掲載'!C425="One2car",'中古車掲載'!F425="ATTO 3",'中古車掲載'!L425="EXTENDED RANGE",'中古車掲載'!J425=2023,ISNUMBER('中古車掲載'!N425),'中古車掲載'!N425&gt;=20000,'中古車掲載'!O425&lt;=100000,'中古車掲載'!AL425=1),'中古車掲載'!U425,"")</x:f>
      </x:c>
      <x:c r="BA424" s="3" t="str">
        <x:f>IF(AND('中古車掲載'!C425="One2car",'中古車掲載'!F425="Corolla Cross",'中古車掲載'!L425="HEV PREMIUM SAFETY",'中古車掲載'!J425=2023,ISNUMBER('中古車掲載'!N425),'中古車掲載'!N425&gt;=20000,'中古車掲載'!O425&lt;=100000,'中古車掲載'!AL425=1,'中古車掲載'!Z425="https://www.one2car.com/en/cars-for-sale/toyota/corolla-cross/year-2023"),'中古車掲載'!U425,"")</x:f>
      </x:c>
      <x:c r="BB424" s="3" t="str">
        <x:f>IF(AND('中古車掲載'!C425="One2car",'中古車掲載'!F425="ATTO 3",'中古車掲載'!L425="EXTENDED RANGE",'中古車掲載'!J425=2023,ISNUMBER('中古車掲載'!N425),'中古車掲載'!N425&gt;=50000,'中古車掲載'!O425&lt;=100000,'中古車掲載'!AL425=1),'中古車掲載'!U425,"")</x:f>
      </x:c>
      <x:c r="BC424" s="3" t="str">
        <x:f>IF(AND('中古車掲載'!C425="One2car",'中古車掲載'!F425="Corolla Cross",'中古車掲載'!L425="HEV PREMIUM SAFETY",'中古車掲載'!J425=2023,ISNUMBER('中古車掲載'!N425),'中古車掲載'!N425&gt;=50000,'中古車掲載'!O425&lt;=100000,'中古車掲載'!AL425=1,'中古車掲載'!Z425="https://www.one2car.com/en/cars-for-sale/toyota/corolla-cross/year-2023"),'中古車掲載'!U425,"")</x:f>
      </x:c>
      <x:c r="BD424" s="3" t="str">
        <x:f>IF(AND('中古車掲載'!C425="One2car",'中古車掲載'!F425="ATTO 3",'中古車掲載'!L425="EXTENDED RANGE",'中古車掲載'!J425=2023,ISNUMBER('中古車掲載'!N425),'中古車掲載'!N425&gt;=20000,'中古車掲載'!O425&lt;=50000,'中古車掲載'!AL425=1),'中古車掲載'!U425,"")</x:f>
      </x:c>
      <x:c r="BE424" s="3" t="str">
        <x:f>IF(AND('中古車掲載'!C425="One2car",'中古車掲載'!F425="Corolla Cross",'中古車掲載'!L425="HEV PREMIUM SAFETY",'中古車掲載'!J425=2023,ISNUMBER('中古車掲載'!N425),'中古車掲載'!N425&gt;=20000,'中古車掲載'!O425&lt;=50000,'中古車掲載'!AL425=1,'中古車掲載'!Z425="https://www.one2car.com/en/cars-for-sale/toyota/corolla-cross/year-2023"),'中古車掲載'!U425,"")</x:f>
      </x:c>
      <x:c r="BF424" s="3" t="str">
        <x:f>IF(AND('中古車掲載'!C425="One2car",'中古車掲載'!F425="Corolla Cross",'中古車掲載'!L425="HEV PREMIUM",'中古車掲載'!J425=2023,ISNUMBER('中古車掲載'!N425),'中古車掲載'!N425&gt;=20000,'中古車掲載'!O425&lt;=100000,'中古車掲載'!AL425=1,'中古車掲載'!Z425="https://www.one2car.com/en/cars-for-sale/toyota/corolla-cross/year-2023"),'中古車掲載'!U425,"")</x:f>
      </x:c>
      <x:c r="BG424" s="3" t="str">
        <x:f>IF(AND('中古車掲載'!C425="One2car",'中古車掲載'!F425="Corolla Cross",'中古車掲載'!L425="HEV GR SPORT",'中古車掲載'!J425=2023,ISNUMBER('中古車掲載'!N425),'中古車掲載'!N425&gt;=20000,'中古車掲載'!O425&lt;=100000,'中古車掲載'!AL425=1,'中古車掲載'!Z425="https://www.one2car.com/en/cars-for-sale/toyota/corolla-cross/year-2023"),'中古車掲載'!U425,"")</x:f>
      </x:c>
      <x:c r="BH424" s="3" t="str">
        <x:f>IF(AND('中古車掲載'!C425="One2car",'中古車掲載'!F425="DOLPHIN",'中古車掲載'!L425="STANDARD RANGE",'中古車掲載'!J425=2023,ISNUMBER('中古車掲載'!N425),'中古車掲載'!N425&gt;=20000,'中古車掲載'!O425&lt;=100000,'中古車掲載'!AL425=1),'中古車掲載'!U425,"")</x:f>
      </x:c>
      <x:c r="BI424" s="3" t="str">
        <x:v>Taladrod|Corolla Cross|HEV|Unknown</x:v>
      </x:c>
      <x:c r="BJ424" s="3" t="n">
        <x:v>425</x:v>
      </x:c>
      <x:c r="BK424" s="3" t="n">
        <x:f>'中古車掲載'!AM425</x:f>
        <x:v>898000</x:v>
      </x:c>
      <x:c r="BL424" s="3" t="n">
        <x:f>IF(ISNUMBER('中古車掲載'!AN425),'中古車掲載'!AN425,"")</x:f>
        <x:v>0.7458471760797342</x:v>
      </x:c>
      <x:c r="BM424" s="3"/>
      <x:c r="BN424" s="3"/>
      <x:c r="BO424" s="3"/>
      <x:c r="BP424" s="3"/>
      <x:c r="BQ424" s="3"/>
      <x:c r="BR424" s="3"/>
    </x:row>
    <x:row r="425" ht="22" customHeight="1">
      <x:c r="A425" s="3" t="str">
        <x:v>Corolla Altis</x:v>
      </x:c>
      <x:c r="B425" s="3" t="str">
        <x:v>ICE</x:v>
      </x:c>
      <x:c r="C425" s="3" t="str">
        <x:v>Taladrod</x:v>
      </x:c>
      <x:c r="D425" s="3" t="str">
        <x:v>Sedan</x:v>
      </x:c>
      <x:c r="E425" s="3" t="str"/>
      <x:c r="F425" s="3" t="n">
        <x:v>2021</x:v>
      </x:c>
      <x:c r="G425" s="3" t="str">
        <x:v>G</x:v>
      </x:c>
      <x:c r="H425" s="3" t="str">
        <x:v>未掲載</x:v>
      </x:c>
      <x:c r="I425" s="3" t="str">
        <x:v>19-ปัจจุบัน</x:v>
      </x:c>
      <x:c r="J425" s="22" t="n">
        <x:f>COUNT('中古車掲載'!AM234:AM249)</x:f>
        <x:v>16</x:v>
      </x:c>
      <x:c r="K425" s="22" t="n">
        <x:f>IF(COUNT('中古車掲載'!AM234:AM249)=0,"",QUARTILE('中古車掲載'!AM234:AM249,1))</x:f>
        <x:v>419000</x:v>
      </x:c>
      <x:c r="L425" s="22" t="n">
        <x:f>IF(COUNT('中古車掲載'!AM234:AM249)=0,"",MEDIAN('中古車掲載'!AM234:AM249))</x:f>
        <x:v>425000</x:v>
      </x:c>
      <x:c r="M425" s="22" t="n">
        <x:f>IF(COUNT('中古車掲載'!AM234:AM249)=0,"",QUARTILE('中古車掲載'!AM234:AM249,3))</x:f>
        <x:v>458250</x:v>
      </x:c>
      <x:c r="N425" s="22" t="n">
        <x:f>COUNT('中古車掲載'!AN234:AN249)</x:f>
        <x:v>0</x:v>
      </x:c>
      <x:c r="O425" s="23" t="str">
        <x:f>IF(COUNT('中古車掲載'!AN234:AN249)=0,"",MEDIAN('中古車掲載'!AN234:AN249))</x:f>
      </x:c>
      <x:c r="P425" s="3"/>
      <x:c r="Q425" s="3"/>
      <x:c r="R425" s="3"/>
      <x:c r="S425" s="3"/>
      <x:c r="T425" s="3"/>
      <x:c r="U425" s="3"/>
      <x:c r="V425" s="3"/>
      <x:c r="W425" s="3"/>
      <x:c r="X425" s="3"/>
      <x:c r="Y425" s="3"/>
      <x:c r="Z425" s="3"/>
      <x:c r="AA425" s="3"/>
      <x:c r="AB425" s="3"/>
      <x:c r="AC425" s="3"/>
      <x:c r="AD425" s="3"/>
      <x:c r="AE425" s="3"/>
      <x:c r="AF425" s="3"/>
      <x:c r="AG425" s="3"/>
      <x:c r="AH425" s="3"/>
      <x:c r="AI425" s="3"/>
      <x:c r="AJ425" s="3"/>
      <x:c r="AK425" s="3"/>
      <x:c r="AL425" s="3"/>
      <x:c r="AM425" s="3"/>
      <x:c r="AN425" s="3"/>
      <x:c r="AO425" s="3"/>
      <x:c r="AP425" s="3"/>
      <x:c r="AQ425" s="3"/>
      <x:c r="AR425" s="3"/>
      <x:c r="AS425" s="3"/>
      <x:c r="AT425" s="3"/>
      <x:c r="AU425" s="3"/>
      <x:c r="AV425" s="3"/>
      <x:c r="AW425" s="3"/>
      <x:c r="AX425" s="3"/>
      <x:c r="AY425" s="3"/>
      <x:c r="AZ425" s="3" t="str">
        <x:f>IF(AND('中古車掲載'!C426="One2car",'中古車掲載'!F426="ATTO 3",'中古車掲載'!L426="EXTENDED RANGE",'中古車掲載'!J426=2023,ISNUMBER('中古車掲載'!N426),'中古車掲載'!N426&gt;=20000,'中古車掲載'!O426&lt;=100000,'中古車掲載'!AL426=1),'中古車掲載'!U426,"")</x:f>
      </x:c>
      <x:c r="BA425" s="3" t="str">
        <x:f>IF(AND('中古車掲載'!C426="One2car",'中古車掲載'!F426="Corolla Cross",'中古車掲載'!L426="HEV PREMIUM SAFETY",'中古車掲載'!J426=2023,ISNUMBER('中古車掲載'!N426),'中古車掲載'!N426&gt;=20000,'中古車掲載'!O426&lt;=100000,'中古車掲載'!AL426=1,'中古車掲載'!Z426="https://www.one2car.com/en/cars-for-sale/toyota/corolla-cross/year-2023"),'中古車掲載'!U426,"")</x:f>
      </x:c>
      <x:c r="BB425" s="3" t="str">
        <x:f>IF(AND('中古車掲載'!C426="One2car",'中古車掲載'!F426="ATTO 3",'中古車掲載'!L426="EXTENDED RANGE",'中古車掲載'!J426=2023,ISNUMBER('中古車掲載'!N426),'中古車掲載'!N426&gt;=50000,'中古車掲載'!O426&lt;=100000,'中古車掲載'!AL426=1),'中古車掲載'!U426,"")</x:f>
      </x:c>
      <x:c r="BC425" s="3" t="str">
        <x:f>IF(AND('中古車掲載'!C426="One2car",'中古車掲載'!F426="Corolla Cross",'中古車掲載'!L426="HEV PREMIUM SAFETY",'中古車掲載'!J426=2023,ISNUMBER('中古車掲載'!N426),'中古車掲載'!N426&gt;=50000,'中古車掲載'!O426&lt;=100000,'中古車掲載'!AL426=1,'中古車掲載'!Z426="https://www.one2car.com/en/cars-for-sale/toyota/corolla-cross/year-2023"),'中古車掲載'!U426,"")</x:f>
      </x:c>
      <x:c r="BD425" s="3" t="str">
        <x:f>IF(AND('中古車掲載'!C426="One2car",'中古車掲載'!F426="ATTO 3",'中古車掲載'!L426="EXTENDED RANGE",'中古車掲載'!J426=2023,ISNUMBER('中古車掲載'!N426),'中古車掲載'!N426&gt;=20000,'中古車掲載'!O426&lt;=50000,'中古車掲載'!AL426=1),'中古車掲載'!U426,"")</x:f>
      </x:c>
      <x:c r="BE425" s="3" t="str">
        <x:f>IF(AND('中古車掲載'!C426="One2car",'中古車掲載'!F426="Corolla Cross",'中古車掲載'!L426="HEV PREMIUM SAFETY",'中古車掲載'!J426=2023,ISNUMBER('中古車掲載'!N426),'中古車掲載'!N426&gt;=20000,'中古車掲載'!O426&lt;=50000,'中古車掲載'!AL426=1,'中古車掲載'!Z426="https://www.one2car.com/en/cars-for-sale/toyota/corolla-cross/year-2023"),'中古車掲載'!U426,"")</x:f>
      </x:c>
      <x:c r="BF425" s="3" t="str">
        <x:f>IF(AND('中古車掲載'!C426="One2car",'中古車掲載'!F426="Corolla Cross",'中古車掲載'!L426="HEV PREMIUM",'中古車掲載'!J426=2023,ISNUMBER('中古車掲載'!N426),'中古車掲載'!N426&gt;=20000,'中古車掲載'!O426&lt;=100000,'中古車掲載'!AL426=1,'中古車掲載'!Z426="https://www.one2car.com/en/cars-for-sale/toyota/corolla-cross/year-2023"),'中古車掲載'!U426,"")</x:f>
      </x:c>
      <x:c r="BG425" s="3" t="str">
        <x:f>IF(AND('中古車掲載'!C426="One2car",'中古車掲載'!F426="Corolla Cross",'中古車掲載'!L426="HEV GR SPORT",'中古車掲載'!J426=2023,ISNUMBER('中古車掲載'!N426),'中古車掲載'!N426&gt;=20000,'中古車掲載'!O426&lt;=100000,'中古車掲載'!AL426=1,'中古車掲載'!Z426="https://www.one2car.com/en/cars-for-sale/toyota/corolla-cross/year-2023"),'中古車掲載'!U426,"")</x:f>
      </x:c>
      <x:c r="BH425" s="3" t="str">
        <x:f>IF(AND('中古車掲載'!C426="One2car",'中古車掲載'!F426="DOLPHIN",'中古車掲載'!L426="STANDARD RANGE",'中古車掲載'!J426=2023,ISNUMBER('中古車掲載'!N426),'中古車掲載'!N426&gt;=20000,'中古車掲載'!O426&lt;=100000,'中古車掲載'!AL426=1),'中古車掲載'!U426,"")</x:f>
      </x:c>
      <x:c r="BI425" s="3" t="str">
        <x:v>Taladrod|Corolla Cross|HEV|Unknown</x:v>
      </x:c>
      <x:c r="BJ425" s="3" t="n">
        <x:v>426</x:v>
      </x:c>
      <x:c r="BK425" s="3" t="n">
        <x:f>'中古車掲載'!AM426</x:f>
        <x:v>989000</x:v>
      </x:c>
      <x:c r="BL425" s="3" t="n">
        <x:f>IF(ISNUMBER('中古車掲載'!AN426),'中古車掲載'!AN426,"")</x:f>
        <x:v>0.7886762360446571</x:v>
      </x:c>
      <x:c r="BM425" s="3"/>
      <x:c r="BN425" s="3"/>
      <x:c r="BO425" s="3"/>
      <x:c r="BP425" s="3"/>
      <x:c r="BQ425" s="3"/>
      <x:c r="BR425" s="3"/>
    </x:row>
    <x:row r="426" ht="22" customHeight="1">
      <x:c r="A426" s="3" t="str">
        <x:v>Corolla Altis</x:v>
      </x:c>
      <x:c r="B426" s="3" t="str">
        <x:v>ICE</x:v>
      </x:c>
      <x:c r="C426" s="3" t="str">
        <x:v>Taladrod</x:v>
      </x:c>
      <x:c r="D426" s="3" t="str">
        <x:v>Sedan</x:v>
      </x:c>
      <x:c r="E426" s="3" t="str"/>
      <x:c r="F426" s="3" t="n">
        <x:v>2021</x:v>
      </x:c>
      <x:c r="G426" s="3" t="str">
        <x:v>GR SPORT</x:v>
      </x:c>
      <x:c r="H426" s="3" t="str">
        <x:v>未掲載</x:v>
      </x:c>
      <x:c r="I426" s="3" t="str">
        <x:v>19-ปัจจุบัน</x:v>
      </x:c>
      <x:c r="J426" s="22" t="n">
        <x:f>COUNT('中古車掲載'!AM250:AM251)</x:f>
        <x:v>2</x:v>
      </x:c>
      <x:c r="K426" s="22" t="n">
        <x:f>IF(COUNT('中古車掲載'!AM250:AM251)=0,"",QUARTILE('中古車掲載'!AM250:AM251,1))</x:f>
        <x:v>504000</x:v>
      </x:c>
      <x:c r="L426" s="22" t="n">
        <x:f>IF(COUNT('中古車掲載'!AM250:AM251)=0,"",MEDIAN('中古車掲載'!AM250:AM251))</x:f>
        <x:v>509000</x:v>
      </x:c>
      <x:c r="M426" s="22" t="n">
        <x:f>IF(COUNT('中古車掲載'!AM250:AM251)=0,"",QUARTILE('中古車掲載'!AM250:AM251,3))</x:f>
        <x:v>514000</x:v>
      </x:c>
      <x:c r="N426" s="22" t="n">
        <x:f>COUNT('中古車掲載'!AN250:AN251)</x:f>
        <x:v>0</x:v>
      </x:c>
      <x:c r="O426" s="23" t="str">
        <x:f>IF(COUNT('中古車掲載'!AN250:AN251)=0,"",MEDIAN('中古車掲載'!AN250:AN251))</x:f>
      </x:c>
      <x:c r="P426" s="3"/>
      <x:c r="Q426" s="3"/>
      <x:c r="R426" s="3"/>
      <x:c r="S426" s="3"/>
      <x:c r="T426" s="3"/>
      <x:c r="U426" s="3"/>
      <x:c r="V426" s="3"/>
      <x:c r="W426" s="3"/>
      <x:c r="X426" s="3"/>
      <x:c r="Y426" s="3"/>
      <x:c r="Z426" s="3"/>
      <x:c r="AA426" s="3"/>
      <x:c r="AB426" s="3"/>
      <x:c r="AC426" s="3"/>
      <x:c r="AD426" s="3"/>
      <x:c r="AE426" s="3"/>
      <x:c r="AF426" s="3"/>
      <x:c r="AG426" s="3"/>
      <x:c r="AH426" s="3"/>
      <x:c r="AI426" s="3"/>
      <x:c r="AJ426" s="3"/>
      <x:c r="AK426" s="3"/>
      <x:c r="AL426" s="3"/>
      <x:c r="AM426" s="3"/>
      <x:c r="AN426" s="3"/>
      <x:c r="AO426" s="3"/>
      <x:c r="AP426" s="3"/>
      <x:c r="AQ426" s="3"/>
      <x:c r="AR426" s="3"/>
      <x:c r="AS426" s="3"/>
      <x:c r="AT426" s="3"/>
      <x:c r="AU426" s="3"/>
      <x:c r="AV426" s="3"/>
      <x:c r="AW426" s="3"/>
      <x:c r="AX426" s="3"/>
      <x:c r="AY426" s="3"/>
      <x:c r="AZ426" s="3" t="str">
        <x:f>IF(AND('中古車掲載'!C427="One2car",'中古車掲載'!F427="ATTO 3",'中古車掲載'!L427="EXTENDED RANGE",'中古車掲載'!J427=2023,ISNUMBER('中古車掲載'!N427),'中古車掲載'!N427&gt;=20000,'中古車掲載'!O427&lt;=100000,'中古車掲載'!AL427=1),'中古車掲載'!U427,"")</x:f>
      </x:c>
      <x:c r="BA426" s="3" t="str">
        <x:f>IF(AND('中古車掲載'!C427="One2car",'中古車掲載'!F427="Corolla Cross",'中古車掲載'!L427="HEV PREMIUM SAFETY",'中古車掲載'!J427=2023,ISNUMBER('中古車掲載'!N427),'中古車掲載'!N427&gt;=20000,'中古車掲載'!O427&lt;=100000,'中古車掲載'!AL427=1,'中古車掲載'!Z427="https://www.one2car.com/en/cars-for-sale/toyota/corolla-cross/year-2023"),'中古車掲載'!U427,"")</x:f>
      </x:c>
      <x:c r="BB426" s="3" t="str">
        <x:f>IF(AND('中古車掲載'!C427="One2car",'中古車掲載'!F427="ATTO 3",'中古車掲載'!L427="EXTENDED RANGE",'中古車掲載'!J427=2023,ISNUMBER('中古車掲載'!N427),'中古車掲載'!N427&gt;=50000,'中古車掲載'!O427&lt;=100000,'中古車掲載'!AL427=1),'中古車掲載'!U427,"")</x:f>
      </x:c>
      <x:c r="BC426" s="3" t="str">
        <x:f>IF(AND('中古車掲載'!C427="One2car",'中古車掲載'!F427="Corolla Cross",'中古車掲載'!L427="HEV PREMIUM SAFETY",'中古車掲載'!J427=2023,ISNUMBER('中古車掲載'!N427),'中古車掲載'!N427&gt;=50000,'中古車掲載'!O427&lt;=100000,'中古車掲載'!AL427=1,'中古車掲載'!Z427="https://www.one2car.com/en/cars-for-sale/toyota/corolla-cross/year-2023"),'中古車掲載'!U427,"")</x:f>
      </x:c>
      <x:c r="BD426" s="3" t="str">
        <x:f>IF(AND('中古車掲載'!C427="One2car",'中古車掲載'!F427="ATTO 3",'中古車掲載'!L427="EXTENDED RANGE",'中古車掲載'!J427=2023,ISNUMBER('中古車掲載'!N427),'中古車掲載'!N427&gt;=20000,'中古車掲載'!O427&lt;=50000,'中古車掲載'!AL427=1),'中古車掲載'!U427,"")</x:f>
      </x:c>
      <x:c r="BE426" s="3" t="str">
        <x:f>IF(AND('中古車掲載'!C427="One2car",'中古車掲載'!F427="Corolla Cross",'中古車掲載'!L427="HEV PREMIUM SAFETY",'中古車掲載'!J427=2023,ISNUMBER('中古車掲載'!N427),'中古車掲載'!N427&gt;=20000,'中古車掲載'!O427&lt;=50000,'中古車掲載'!AL427=1,'中古車掲載'!Z427="https://www.one2car.com/en/cars-for-sale/toyota/corolla-cross/year-2023"),'中古車掲載'!U427,"")</x:f>
      </x:c>
      <x:c r="BF426" s="3" t="str">
        <x:f>IF(AND('中古車掲載'!C427="One2car",'中古車掲載'!F427="Corolla Cross",'中古車掲載'!L427="HEV PREMIUM",'中古車掲載'!J427=2023,ISNUMBER('中古車掲載'!N427),'中古車掲載'!N427&gt;=20000,'中古車掲載'!O427&lt;=100000,'中古車掲載'!AL427=1,'中古車掲載'!Z427="https://www.one2car.com/en/cars-for-sale/toyota/corolla-cross/year-2023"),'中古車掲載'!U427,"")</x:f>
      </x:c>
      <x:c r="BG426" s="3" t="str">
        <x:f>IF(AND('中古車掲載'!C427="One2car",'中古車掲載'!F427="Corolla Cross",'中古車掲載'!L427="HEV GR SPORT",'中古車掲載'!J427=2023,ISNUMBER('中古車掲載'!N427),'中古車掲載'!N427&gt;=20000,'中古車掲載'!O427&lt;=100000,'中古車掲載'!AL427=1,'中古車掲載'!Z427="https://www.one2car.com/en/cars-for-sale/toyota/corolla-cross/year-2023"),'中古車掲載'!U427,"")</x:f>
      </x:c>
      <x:c r="BH426" s="3" t="str">
        <x:f>IF(AND('中古車掲載'!C427="One2car",'中古車掲載'!F427="DOLPHIN",'中古車掲載'!L427="STANDARD RANGE",'中古車掲載'!J427=2023,ISNUMBER('中古車掲載'!N427),'中古車掲載'!N427&gt;=20000,'中古車掲載'!O427&lt;=100000,'中古車掲載'!AL427=1),'中古車掲載'!U427,"")</x:f>
      </x:c>
      <x:c r="BI426" s="3" t="str">
        <x:v>Taladrod|Corolla Cross|HEV|Unknown</x:v>
      </x:c>
      <x:c r="BJ426" s="3" t="n">
        <x:v>427</x:v>
      </x:c>
      <x:c r="BK426" s="3" t="n">
        <x:f>'中古車掲載'!AM427</x:f>
        <x:v>899000</x:v>
      </x:c>
      <x:c r="BL426" s="3" t="n">
        <x:f>IF(ISNUMBER('中古車掲載'!AN427),'中古車掲載'!AN427,"")</x:f>
        <x:v>0.7169059011164274</x:v>
      </x:c>
      <x:c r="BM426" s="3"/>
      <x:c r="BN426" s="3"/>
      <x:c r="BO426" s="3"/>
      <x:c r="BP426" s="3"/>
      <x:c r="BQ426" s="3"/>
      <x:c r="BR426" s="3"/>
    </x:row>
    <x:row r="427" ht="22" customHeight="1">
      <x:c r="A427" s="3" t="str">
        <x:v>Corolla Altis</x:v>
      </x:c>
      <x:c r="B427" s="3" t="str">
        <x:v>ICE</x:v>
      </x:c>
      <x:c r="C427" s="3" t="str">
        <x:v>Taladrod</x:v>
      </x:c>
      <x:c r="D427" s="3" t="str">
        <x:v>Sedan</x:v>
      </x:c>
      <x:c r="E427" s="3" t="str"/>
      <x:c r="F427" s="3" t="n">
        <x:v>2021</x:v>
      </x:c>
      <x:c r="G427" s="3" t="str">
        <x:v>SPORT</x:v>
      </x:c>
      <x:c r="H427" s="3" t="str">
        <x:v>未掲載</x:v>
      </x:c>
      <x:c r="I427" s="3" t="str">
        <x:v>19-ปัจจุบัน</x:v>
      </x:c>
      <x:c r="J427" s="22" t="n">
        <x:f>COUNT('中古車掲載'!AM252:AM253)</x:f>
        <x:v>2</x:v>
      </x:c>
      <x:c r="K427" s="22" t="n">
        <x:f>IF(COUNT('中古車掲載'!AM252:AM253)=0,"",QUARTILE('中古車掲載'!AM252:AM253,1))</x:f>
        <x:v>499000</x:v>
      </x:c>
      <x:c r="L427" s="22" t="n">
        <x:f>IF(COUNT('中古車掲載'!AM252:AM253)=0,"",MEDIAN('中古車掲載'!AM252:AM253))</x:f>
        <x:v>499000</x:v>
      </x:c>
      <x:c r="M427" s="22" t="n">
        <x:f>IF(COUNT('中古車掲載'!AM252:AM253)=0,"",QUARTILE('中古車掲載'!AM252:AM253,3))</x:f>
        <x:v>499000</x:v>
      </x:c>
      <x:c r="N427" s="22" t="n">
        <x:f>COUNT('中古車掲載'!AN252:AN253)</x:f>
        <x:v>0</x:v>
      </x:c>
      <x:c r="O427" s="23" t="str">
        <x:f>IF(COUNT('中古車掲載'!AN252:AN253)=0,"",MEDIAN('中古車掲載'!AN252:AN253))</x:f>
      </x:c>
      <x:c r="P427" s="3"/>
      <x:c r="Q427" s="3"/>
      <x:c r="R427" s="3"/>
      <x:c r="S427" s="3"/>
      <x:c r="T427" s="3"/>
      <x:c r="U427" s="3"/>
      <x:c r="V427" s="3"/>
      <x:c r="W427" s="3"/>
      <x:c r="X427" s="3"/>
      <x:c r="Y427" s="3"/>
      <x:c r="Z427" s="3"/>
      <x:c r="AA427" s="3"/>
      <x:c r="AB427" s="3"/>
      <x:c r="AC427" s="3"/>
      <x:c r="AD427" s="3"/>
      <x:c r="AE427" s="3"/>
      <x:c r="AF427" s="3"/>
      <x:c r="AG427" s="3"/>
      <x:c r="AH427" s="3"/>
      <x:c r="AI427" s="3"/>
      <x:c r="AJ427" s="3"/>
      <x:c r="AK427" s="3"/>
      <x:c r="AL427" s="3"/>
      <x:c r="AM427" s="3"/>
      <x:c r="AN427" s="3"/>
      <x:c r="AO427" s="3"/>
      <x:c r="AP427" s="3"/>
      <x:c r="AQ427" s="3"/>
      <x:c r="AR427" s="3"/>
      <x:c r="AS427" s="3"/>
      <x:c r="AT427" s="3"/>
      <x:c r="AU427" s="3"/>
      <x:c r="AV427" s="3"/>
      <x:c r="AW427" s="3"/>
      <x:c r="AX427" s="3"/>
      <x:c r="AY427" s="3"/>
      <x:c r="AZ427" s="3" t="str">
        <x:f>IF(AND('中古車掲載'!C428="One2car",'中古車掲載'!F428="ATTO 3",'中古車掲載'!L428="EXTENDED RANGE",'中古車掲載'!J428=2023,ISNUMBER('中古車掲載'!N428),'中古車掲載'!N428&gt;=20000,'中古車掲載'!O428&lt;=100000,'中古車掲載'!AL428=1),'中古車掲載'!U428,"")</x:f>
      </x:c>
      <x:c r="BA427" s="3" t="str">
        <x:f>IF(AND('中古車掲載'!C428="One2car",'中古車掲載'!F428="Corolla Cross",'中古車掲載'!L428="HEV PREMIUM SAFETY",'中古車掲載'!J428=2023,ISNUMBER('中古車掲載'!N428),'中古車掲載'!N428&gt;=20000,'中古車掲載'!O428&lt;=100000,'中古車掲載'!AL428=1,'中古車掲載'!Z428="https://www.one2car.com/en/cars-for-sale/toyota/corolla-cross/year-2023"),'中古車掲載'!U428,"")</x:f>
      </x:c>
      <x:c r="BB427" s="3" t="str">
        <x:f>IF(AND('中古車掲載'!C428="One2car",'中古車掲載'!F428="ATTO 3",'中古車掲載'!L428="EXTENDED RANGE",'中古車掲載'!J428=2023,ISNUMBER('中古車掲載'!N428),'中古車掲載'!N428&gt;=50000,'中古車掲載'!O428&lt;=100000,'中古車掲載'!AL428=1),'中古車掲載'!U428,"")</x:f>
      </x:c>
      <x:c r="BC427" s="3" t="str">
        <x:f>IF(AND('中古車掲載'!C428="One2car",'中古車掲載'!F428="Corolla Cross",'中古車掲載'!L428="HEV PREMIUM SAFETY",'中古車掲載'!J428=2023,ISNUMBER('中古車掲載'!N428),'中古車掲載'!N428&gt;=50000,'中古車掲載'!O428&lt;=100000,'中古車掲載'!AL428=1,'中古車掲載'!Z428="https://www.one2car.com/en/cars-for-sale/toyota/corolla-cross/year-2023"),'中古車掲載'!U428,"")</x:f>
      </x:c>
      <x:c r="BD427" s="3" t="str">
        <x:f>IF(AND('中古車掲載'!C428="One2car",'中古車掲載'!F428="ATTO 3",'中古車掲載'!L428="EXTENDED RANGE",'中古車掲載'!J428=2023,ISNUMBER('中古車掲載'!N428),'中古車掲載'!N428&gt;=20000,'中古車掲載'!O428&lt;=50000,'中古車掲載'!AL428=1),'中古車掲載'!U428,"")</x:f>
      </x:c>
      <x:c r="BE427" s="3" t="str">
        <x:f>IF(AND('中古車掲載'!C428="One2car",'中古車掲載'!F428="Corolla Cross",'中古車掲載'!L428="HEV PREMIUM SAFETY",'中古車掲載'!J428=2023,ISNUMBER('中古車掲載'!N428),'中古車掲載'!N428&gt;=20000,'中古車掲載'!O428&lt;=50000,'中古車掲載'!AL428=1,'中古車掲載'!Z428="https://www.one2car.com/en/cars-for-sale/toyota/corolla-cross/year-2023"),'中古車掲載'!U428,"")</x:f>
      </x:c>
      <x:c r="BF427" s="3" t="str">
        <x:f>IF(AND('中古車掲載'!C428="One2car",'中古車掲載'!F428="Corolla Cross",'中古車掲載'!L428="HEV PREMIUM",'中古車掲載'!J428=2023,ISNUMBER('中古車掲載'!N428),'中古車掲載'!N428&gt;=20000,'中古車掲載'!O428&lt;=100000,'中古車掲載'!AL428=1,'中古車掲載'!Z428="https://www.one2car.com/en/cars-for-sale/toyota/corolla-cross/year-2023"),'中古車掲載'!U428,"")</x:f>
      </x:c>
      <x:c r="BG427" s="3" t="str">
        <x:f>IF(AND('中古車掲載'!C428="One2car",'中古車掲載'!F428="Corolla Cross",'中古車掲載'!L428="HEV GR SPORT",'中古車掲載'!J428=2023,ISNUMBER('中古車掲載'!N428),'中古車掲載'!N428&gt;=20000,'中古車掲載'!O428&lt;=100000,'中古車掲載'!AL428=1,'中古車掲載'!Z428="https://www.one2car.com/en/cars-for-sale/toyota/corolla-cross/year-2023"),'中古車掲載'!U428,"")</x:f>
      </x:c>
      <x:c r="BH427" s="3" t="str">
        <x:f>IF(AND('中古車掲載'!C428="One2car",'中古車掲載'!F428="DOLPHIN",'中古車掲載'!L428="STANDARD RANGE",'中古車掲載'!J428=2023,ISNUMBER('中古車掲載'!N428),'中古車掲載'!N428&gt;=20000,'中古車掲載'!O428&lt;=100000,'中古車掲載'!AL428=1),'中古車掲載'!U428,"")</x:f>
      </x:c>
      <x:c r="BI427" s="3" t="str">
        <x:v>Taladrod|Corolla Cross|HEV|Unknown</x:v>
      </x:c>
      <x:c r="BJ427" s="3" t="n">
        <x:v>428</x:v>
      </x:c>
      <x:c r="BK427" s="3" t="n">
        <x:f>'中古車掲載'!AM428</x:f>
        <x:v>950000</x:v>
      </x:c>
      <x:c r="BL427" s="3" t="n">
        <x:f>IF(ISNUMBER('中古車掲載'!AN428),'中古車掲載'!AN428,"")</x:f>
        <x:v>0.8683729433272395</x:v>
      </x:c>
      <x:c r="BM427" s="3"/>
      <x:c r="BN427" s="3"/>
      <x:c r="BO427" s="3"/>
      <x:c r="BP427" s="3"/>
      <x:c r="BQ427" s="3"/>
      <x:c r="BR427" s="3"/>
    </x:row>
    <x:row r="428" ht="22" customHeight="1">
      <x:c r="A428" s="3" t="str">
        <x:v>Corolla Altis</x:v>
      </x:c>
      <x:c r="B428" s="3" t="str">
        <x:v>ICE</x:v>
      </x:c>
      <x:c r="C428" s="3" t="str">
        <x:v>Taladrod</x:v>
      </x:c>
      <x:c r="D428" s="3" t="str">
        <x:v>Sedan</x:v>
      </x:c>
      <x:c r="E428" s="3" t="str"/>
      <x:c r="F428" s="3" t="n">
        <x:v>2022</x:v>
      </x:c>
      <x:c r="G428" s="3" t="str">
        <x:v>G</x:v>
      </x:c>
      <x:c r="H428" s="3" t="str">
        <x:v>未掲載</x:v>
      </x:c>
      <x:c r="I428" s="3" t="str">
        <x:v>19-ปัจจุบัน</x:v>
      </x:c>
      <x:c r="J428" s="22" t="n">
        <x:f>COUNT('中古車掲載'!AM254:AM266)</x:f>
        <x:v>13</x:v>
      </x:c>
      <x:c r="K428" s="22" t="n">
        <x:f>IF(COUNT('中古車掲載'!AM254:AM266)=0,"",QUARTILE('中古車掲載'!AM254:AM266,1))</x:f>
        <x:v>450000</x:v>
      </x:c>
      <x:c r="L428" s="22" t="n">
        <x:f>IF(COUNT('中古車掲載'!AM254:AM266)=0,"",MEDIAN('中古車掲載'!AM254:AM266))</x:f>
        <x:v>460000</x:v>
      </x:c>
      <x:c r="M428" s="22" t="n">
        <x:f>IF(COUNT('中古車掲載'!AM254:AM266)=0,"",QUARTILE('中古車掲載'!AM254:AM266,3))</x:f>
        <x:v>479000</x:v>
      </x:c>
      <x:c r="N428" s="22" t="n">
        <x:f>COUNT('中古車掲載'!AN254:AN266)</x:f>
        <x:v>0</x:v>
      </x:c>
      <x:c r="O428" s="23" t="str">
        <x:f>IF(COUNT('中古車掲載'!AN254:AN266)=0,"",MEDIAN('中古車掲載'!AN254:AN266))</x:f>
      </x:c>
      <x:c r="P428" s="3"/>
      <x:c r="Q428" s="3"/>
      <x:c r="R428" s="3"/>
      <x:c r="S428" s="3"/>
      <x:c r="T428" s="3"/>
      <x:c r="U428" s="3"/>
      <x:c r="V428" s="3"/>
      <x:c r="W428" s="3"/>
      <x:c r="X428" s="3"/>
      <x:c r="Y428" s="3"/>
      <x:c r="Z428" s="3"/>
      <x:c r="AA428" s="3"/>
      <x:c r="AB428" s="3"/>
      <x:c r="AC428" s="3"/>
      <x:c r="AD428" s="3"/>
      <x:c r="AE428" s="3"/>
      <x:c r="AF428" s="3"/>
      <x:c r="AG428" s="3"/>
      <x:c r="AH428" s="3"/>
      <x:c r="AI428" s="3"/>
      <x:c r="AJ428" s="3"/>
      <x:c r="AK428" s="3"/>
      <x:c r="AL428" s="3"/>
      <x:c r="AM428" s="3"/>
      <x:c r="AN428" s="3"/>
      <x:c r="AO428" s="3"/>
      <x:c r="AP428" s="3"/>
      <x:c r="AQ428" s="3"/>
      <x:c r="AR428" s="3"/>
      <x:c r="AS428" s="3"/>
      <x:c r="AT428" s="3"/>
      <x:c r="AU428" s="3"/>
      <x:c r="AV428" s="3"/>
      <x:c r="AW428" s="3"/>
      <x:c r="AX428" s="3"/>
      <x:c r="AY428" s="3"/>
      <x:c r="AZ428" s="3" t="str">
        <x:f>IF(AND('中古車掲載'!C429="One2car",'中古車掲載'!F429="ATTO 3",'中古車掲載'!L429="EXTENDED RANGE",'中古車掲載'!J429=2023,ISNUMBER('中古車掲載'!N429),'中古車掲載'!N429&gt;=20000,'中古車掲載'!O429&lt;=100000,'中古車掲載'!AL429=1),'中古車掲載'!U429,"")</x:f>
      </x:c>
      <x:c r="BA428" s="3" t="str">
        <x:f>IF(AND('中古車掲載'!C429="One2car",'中古車掲載'!F429="Corolla Cross",'中古車掲載'!L429="HEV PREMIUM SAFETY",'中古車掲載'!J429=2023,ISNUMBER('中古車掲載'!N429),'中古車掲載'!N429&gt;=20000,'中古車掲載'!O429&lt;=100000,'中古車掲載'!AL429=1,'中古車掲載'!Z429="https://www.one2car.com/en/cars-for-sale/toyota/corolla-cross/year-2023"),'中古車掲載'!U429,"")</x:f>
      </x:c>
      <x:c r="BB428" s="3" t="str">
        <x:f>IF(AND('中古車掲載'!C429="One2car",'中古車掲載'!F429="ATTO 3",'中古車掲載'!L429="EXTENDED RANGE",'中古車掲載'!J429=2023,ISNUMBER('中古車掲載'!N429),'中古車掲載'!N429&gt;=50000,'中古車掲載'!O429&lt;=100000,'中古車掲載'!AL429=1),'中古車掲載'!U429,"")</x:f>
      </x:c>
      <x:c r="BC428" s="3" t="str">
        <x:f>IF(AND('中古車掲載'!C429="One2car",'中古車掲載'!F429="Corolla Cross",'中古車掲載'!L429="HEV PREMIUM SAFETY",'中古車掲載'!J429=2023,ISNUMBER('中古車掲載'!N429),'中古車掲載'!N429&gt;=50000,'中古車掲載'!O429&lt;=100000,'中古車掲載'!AL429=1,'中古車掲載'!Z429="https://www.one2car.com/en/cars-for-sale/toyota/corolla-cross/year-2023"),'中古車掲載'!U429,"")</x:f>
      </x:c>
      <x:c r="BD428" s="3" t="str">
        <x:f>IF(AND('中古車掲載'!C429="One2car",'中古車掲載'!F429="ATTO 3",'中古車掲載'!L429="EXTENDED RANGE",'中古車掲載'!J429=2023,ISNUMBER('中古車掲載'!N429),'中古車掲載'!N429&gt;=20000,'中古車掲載'!O429&lt;=50000,'中古車掲載'!AL429=1),'中古車掲載'!U429,"")</x:f>
      </x:c>
      <x:c r="BE428" s="3" t="str">
        <x:f>IF(AND('中古車掲載'!C429="One2car",'中古車掲載'!F429="Corolla Cross",'中古車掲載'!L429="HEV PREMIUM SAFETY",'中古車掲載'!J429=2023,ISNUMBER('中古車掲載'!N429),'中古車掲載'!N429&gt;=20000,'中古車掲載'!O429&lt;=50000,'中古車掲載'!AL429=1,'中古車掲載'!Z429="https://www.one2car.com/en/cars-for-sale/toyota/corolla-cross/year-2023"),'中古車掲載'!U429,"")</x:f>
      </x:c>
      <x:c r="BF428" s="3" t="str">
        <x:f>IF(AND('中古車掲載'!C429="One2car",'中古車掲載'!F429="Corolla Cross",'中古車掲載'!L429="HEV PREMIUM",'中古車掲載'!J429=2023,ISNUMBER('中古車掲載'!N429),'中古車掲載'!N429&gt;=20000,'中古車掲載'!O429&lt;=100000,'中古車掲載'!AL429=1,'中古車掲載'!Z429="https://www.one2car.com/en/cars-for-sale/toyota/corolla-cross/year-2023"),'中古車掲載'!U429,"")</x:f>
      </x:c>
      <x:c r="BG428" s="3" t="str">
        <x:f>IF(AND('中古車掲載'!C429="One2car",'中古車掲載'!F429="Corolla Cross",'中古車掲載'!L429="HEV GR SPORT",'中古車掲載'!J429=2023,ISNUMBER('中古車掲載'!N429),'中古車掲載'!N429&gt;=20000,'中古車掲載'!O429&lt;=100000,'中古車掲載'!AL429=1,'中古車掲載'!Z429="https://www.one2car.com/en/cars-for-sale/toyota/corolla-cross/year-2023"),'中古車掲載'!U429,"")</x:f>
      </x:c>
      <x:c r="BH428" s="3" t="str">
        <x:f>IF(AND('中古車掲載'!C429="One2car",'中古車掲載'!F429="DOLPHIN",'中古車掲載'!L429="STANDARD RANGE",'中古車掲載'!J429=2023,ISNUMBER('中古車掲載'!N429),'中古車掲載'!N429&gt;=20000,'中古車掲載'!O429&lt;=100000,'中古車掲載'!AL429=1),'中古車掲載'!U429,"")</x:f>
      </x:c>
      <x:c r="BI428" s="3" t="str">
        <x:v>Taladrod|Corolla Cross|HEV|Unknown</x:v>
      </x:c>
      <x:c r="BJ428" s="3" t="n">
        <x:v>429</x:v>
      </x:c>
      <x:c r="BK428" s="3" t="n">
        <x:f>'中古車掲載'!AM429</x:f>
        <x:v>869000</x:v>
      </x:c>
      <x:c r="BL428" s="3" t="n">
        <x:f>IF(ISNUMBER('中古車掲載'!AN429),'中古車掲載'!AN429,"")</x:f>
        <x:v>0.7943327239488117</x:v>
      </x:c>
      <x:c r="BM428" s="3"/>
      <x:c r="BN428" s="3"/>
      <x:c r="BO428" s="3"/>
      <x:c r="BP428" s="3"/>
      <x:c r="BQ428" s="3"/>
      <x:c r="BR428" s="3"/>
    </x:row>
    <x:row r="429" ht="22" customHeight="1">
      <x:c r="A429" s="3" t="str">
        <x:v>Corolla Altis</x:v>
      </x:c>
      <x:c r="B429" s="3" t="str">
        <x:v>ICE</x:v>
      </x:c>
      <x:c r="C429" s="3" t="str">
        <x:v>Taladrod</x:v>
      </x:c>
      <x:c r="D429" s="3" t="str">
        <x:v>Sedan</x:v>
      </x:c>
      <x:c r="E429" s="3" t="str"/>
      <x:c r="F429" s="3" t="n">
        <x:v>2022</x:v>
      </x:c>
      <x:c r="G429" s="3" t="str">
        <x:v>GR SPORT</x:v>
      </x:c>
      <x:c r="H429" s="3" t="str">
        <x:v>未掲載</x:v>
      </x:c>
      <x:c r="I429" s="3" t="str">
        <x:v>19-ปัจจุบัน</x:v>
      </x:c>
      <x:c r="J429" s="22" t="n">
        <x:f>COUNT('中古車掲載'!AM267:AM267)</x:f>
        <x:v>1</x:v>
      </x:c>
      <x:c r="K429" s="22" t="n">
        <x:f>IF(COUNT('中古車掲載'!AM267:AM267)=0,"",QUARTILE('中古車掲載'!AM267:AM267,1))</x:f>
        <x:v>519000</x:v>
      </x:c>
      <x:c r="L429" s="22" t="n">
        <x:f>IF(COUNT('中古車掲載'!AM267:AM267)=0,"",MEDIAN('中古車掲載'!AM267:AM267))</x:f>
        <x:v>519000</x:v>
      </x:c>
      <x:c r="M429" s="22" t="n">
        <x:f>IF(COUNT('中古車掲載'!AM267:AM267)=0,"",QUARTILE('中古車掲載'!AM267:AM267,3))</x:f>
        <x:v>519000</x:v>
      </x:c>
      <x:c r="N429" s="22" t="n">
        <x:f>COUNT('中古車掲載'!AN267:AN267)</x:f>
        <x:v>0</x:v>
      </x:c>
      <x:c r="O429" s="23" t="str">
        <x:f>IF(COUNT('中古車掲載'!AN267:AN267)=0,"",MEDIAN('中古車掲載'!AN267:AN267))</x:f>
      </x:c>
      <x:c r="P429" s="3"/>
      <x:c r="Q429" s="3"/>
      <x:c r="R429" s="3"/>
      <x:c r="S429" s="3"/>
      <x:c r="T429" s="3"/>
      <x:c r="U429" s="3"/>
      <x:c r="V429" s="3"/>
      <x:c r="W429" s="3"/>
      <x:c r="X429" s="3"/>
      <x:c r="Y429" s="3"/>
      <x:c r="Z429" s="3"/>
      <x:c r="AA429" s="3"/>
      <x:c r="AB429" s="3"/>
      <x:c r="AC429" s="3"/>
      <x:c r="AD429" s="3"/>
      <x:c r="AE429" s="3"/>
      <x:c r="AF429" s="3"/>
      <x:c r="AG429" s="3"/>
      <x:c r="AH429" s="3"/>
      <x:c r="AI429" s="3"/>
      <x:c r="AJ429" s="3"/>
      <x:c r="AK429" s="3"/>
      <x:c r="AL429" s="3"/>
      <x:c r="AM429" s="3"/>
      <x:c r="AN429" s="3"/>
      <x:c r="AO429" s="3"/>
      <x:c r="AP429" s="3"/>
      <x:c r="AQ429" s="3"/>
      <x:c r="AR429" s="3"/>
      <x:c r="AS429" s="3"/>
      <x:c r="AT429" s="3"/>
      <x:c r="AU429" s="3"/>
      <x:c r="AV429" s="3"/>
      <x:c r="AW429" s="3"/>
      <x:c r="AX429" s="3"/>
      <x:c r="AY429" s="3"/>
      <x:c r="AZ429" s="3" t="str">
        <x:f>IF(AND('中古車掲載'!C430="One2car",'中古車掲載'!F430="ATTO 3",'中古車掲載'!L430="EXTENDED RANGE",'中古車掲載'!J430=2023,ISNUMBER('中古車掲載'!N430),'中古車掲載'!N430&gt;=20000,'中古車掲載'!O430&lt;=100000,'中古車掲載'!AL430=1),'中古車掲載'!U430,"")</x:f>
      </x:c>
      <x:c r="BA429" s="3" t="str">
        <x:f>IF(AND('中古車掲載'!C430="One2car",'中古車掲載'!F430="Corolla Cross",'中古車掲載'!L430="HEV PREMIUM SAFETY",'中古車掲載'!J430=2023,ISNUMBER('中古車掲載'!N430),'中古車掲載'!N430&gt;=20000,'中古車掲載'!O430&lt;=100000,'中古車掲載'!AL430=1,'中古車掲載'!Z430="https://www.one2car.com/en/cars-for-sale/toyota/corolla-cross/year-2023"),'中古車掲載'!U430,"")</x:f>
      </x:c>
      <x:c r="BB429" s="3" t="str">
        <x:f>IF(AND('中古車掲載'!C430="One2car",'中古車掲載'!F430="ATTO 3",'中古車掲載'!L430="EXTENDED RANGE",'中古車掲載'!J430=2023,ISNUMBER('中古車掲載'!N430),'中古車掲載'!N430&gt;=50000,'中古車掲載'!O430&lt;=100000,'中古車掲載'!AL430=1),'中古車掲載'!U430,"")</x:f>
      </x:c>
      <x:c r="BC429" s="3" t="str">
        <x:f>IF(AND('中古車掲載'!C430="One2car",'中古車掲載'!F430="Corolla Cross",'中古車掲載'!L430="HEV PREMIUM SAFETY",'中古車掲載'!J430=2023,ISNUMBER('中古車掲載'!N430),'中古車掲載'!N430&gt;=50000,'中古車掲載'!O430&lt;=100000,'中古車掲載'!AL430=1,'中古車掲載'!Z430="https://www.one2car.com/en/cars-for-sale/toyota/corolla-cross/year-2023"),'中古車掲載'!U430,"")</x:f>
      </x:c>
      <x:c r="BD429" s="3" t="str">
        <x:f>IF(AND('中古車掲載'!C430="One2car",'中古車掲載'!F430="ATTO 3",'中古車掲載'!L430="EXTENDED RANGE",'中古車掲載'!J430=2023,ISNUMBER('中古車掲載'!N430),'中古車掲載'!N430&gt;=20000,'中古車掲載'!O430&lt;=50000,'中古車掲載'!AL430=1),'中古車掲載'!U430,"")</x:f>
      </x:c>
      <x:c r="BE429" s="3" t="str">
        <x:f>IF(AND('中古車掲載'!C430="One2car",'中古車掲載'!F430="Corolla Cross",'中古車掲載'!L430="HEV PREMIUM SAFETY",'中古車掲載'!J430=2023,ISNUMBER('中古車掲載'!N430),'中古車掲載'!N430&gt;=20000,'中古車掲載'!O430&lt;=50000,'中古車掲載'!AL430=1,'中古車掲載'!Z430="https://www.one2car.com/en/cars-for-sale/toyota/corolla-cross/year-2023"),'中古車掲載'!U430,"")</x:f>
      </x:c>
      <x:c r="BF429" s="3" t="str">
        <x:f>IF(AND('中古車掲載'!C430="One2car",'中古車掲載'!F430="Corolla Cross",'中古車掲載'!L430="HEV PREMIUM",'中古車掲載'!J430=2023,ISNUMBER('中古車掲載'!N430),'中古車掲載'!N430&gt;=20000,'中古車掲載'!O430&lt;=100000,'中古車掲載'!AL430=1,'中古車掲載'!Z430="https://www.one2car.com/en/cars-for-sale/toyota/corolla-cross/year-2023"),'中古車掲載'!U430,"")</x:f>
      </x:c>
      <x:c r="BG429" s="3" t="str">
        <x:f>IF(AND('中古車掲載'!C430="One2car",'中古車掲載'!F430="Corolla Cross",'中古車掲載'!L430="HEV GR SPORT",'中古車掲載'!J430=2023,ISNUMBER('中古車掲載'!N430),'中古車掲載'!N430&gt;=20000,'中古車掲載'!O430&lt;=100000,'中古車掲載'!AL430=1,'中古車掲載'!Z430="https://www.one2car.com/en/cars-for-sale/toyota/corolla-cross/year-2023"),'中古車掲載'!U430,"")</x:f>
      </x:c>
      <x:c r="BH429" s="3" t="str">
        <x:f>IF(AND('中古車掲載'!C430="One2car",'中古車掲載'!F430="DOLPHIN",'中古車掲載'!L430="STANDARD RANGE",'中古車掲載'!J430=2023,ISNUMBER('中古車掲載'!N430),'中古車掲載'!N430&gt;=20000,'中古車掲載'!O430&lt;=100000,'中古車掲載'!AL430=1),'中古車掲載'!U430,"")</x:f>
      </x:c>
      <x:c r="BI429" s="3" t="str">
        <x:v>Taladrod|Corolla Cross|HEV|Unknown</x:v>
      </x:c>
      <x:c r="BJ429" s="3" t="n">
        <x:v>430</x:v>
      </x:c>
      <x:c r="BK429" s="3" t="n">
        <x:f>'中古車掲載'!AM430</x:f>
        <x:v>845000</x:v>
      </x:c>
      <x:c r="BL429" s="3" t="n">
        <x:f>IF(ISNUMBER('中古車掲載'!AN430),'中古車掲載'!AN430,"")</x:f>
        <x:v>0.7723948811700183</x:v>
      </x:c>
      <x:c r="BM429" s="3"/>
      <x:c r="BN429" s="3"/>
      <x:c r="BO429" s="3"/>
      <x:c r="BP429" s="3"/>
      <x:c r="BQ429" s="3"/>
      <x:c r="BR429" s="3"/>
    </x:row>
    <x:row r="430" ht="22" customHeight="1">
      <x:c r="A430" s="3" t="str">
        <x:v>Corolla Altis</x:v>
      </x:c>
      <x:c r="B430" s="3" t="str">
        <x:v>ICE</x:v>
      </x:c>
      <x:c r="C430" s="3" t="str">
        <x:v>Taladrod</x:v>
      </x:c>
      <x:c r="D430" s="3" t="str">
        <x:v>Sedan</x:v>
      </x:c>
      <x:c r="E430" s="3" t="str"/>
      <x:c r="F430" s="3" t="n">
        <x:v>2022</x:v>
      </x:c>
      <x:c r="G430" s="3" t="str">
        <x:v>SPORT</x:v>
      </x:c>
      <x:c r="H430" s="3" t="str">
        <x:v>未掲載</x:v>
      </x:c>
      <x:c r="I430" s="3" t="str">
        <x:v>19-ปัจจุบัน</x:v>
      </x:c>
      <x:c r="J430" s="22" t="n">
        <x:f>COUNT('中古車掲載'!AM268:AM268)</x:f>
        <x:v>1</x:v>
      </x:c>
      <x:c r="K430" s="22" t="n">
        <x:f>IF(COUNT('中古車掲載'!AM268:AM268)=0,"",QUARTILE('中古車掲載'!AM268:AM268,1))</x:f>
        <x:v>529000</x:v>
      </x:c>
      <x:c r="L430" s="22" t="n">
        <x:f>IF(COUNT('中古車掲載'!AM268:AM268)=0,"",MEDIAN('中古車掲載'!AM268:AM268))</x:f>
        <x:v>529000</x:v>
      </x:c>
      <x:c r="M430" s="22" t="n">
        <x:f>IF(COUNT('中古車掲載'!AM268:AM268)=0,"",QUARTILE('中古車掲載'!AM268:AM268,3))</x:f>
        <x:v>529000</x:v>
      </x:c>
      <x:c r="N430" s="22" t="n">
        <x:f>COUNT('中古車掲載'!AN268:AN268)</x:f>
        <x:v>0</x:v>
      </x:c>
      <x:c r="O430" s="23" t="str">
        <x:f>IF(COUNT('中古車掲載'!AN268:AN268)=0,"",MEDIAN('中古車掲載'!AN268:AN268))</x:f>
      </x:c>
      <x:c r="P430" s="3"/>
      <x:c r="Q430" s="3"/>
      <x:c r="R430" s="3"/>
      <x:c r="S430" s="3"/>
      <x:c r="T430" s="3"/>
      <x:c r="U430" s="3"/>
      <x:c r="V430" s="3"/>
      <x:c r="W430" s="3"/>
      <x:c r="X430" s="3"/>
      <x:c r="Y430" s="3"/>
      <x:c r="Z430" s="3"/>
      <x:c r="AA430" s="3"/>
      <x:c r="AB430" s="3"/>
      <x:c r="AC430" s="3"/>
      <x:c r="AD430" s="3"/>
      <x:c r="AE430" s="3"/>
      <x:c r="AF430" s="3"/>
      <x:c r="AG430" s="3"/>
      <x:c r="AH430" s="3"/>
      <x:c r="AI430" s="3"/>
      <x:c r="AJ430" s="3"/>
      <x:c r="AK430" s="3"/>
      <x:c r="AL430" s="3"/>
      <x:c r="AM430" s="3"/>
      <x:c r="AN430" s="3"/>
      <x:c r="AO430" s="3"/>
      <x:c r="AP430" s="3"/>
      <x:c r="AQ430" s="3"/>
      <x:c r="AR430" s="3"/>
      <x:c r="AS430" s="3"/>
      <x:c r="AT430" s="3"/>
      <x:c r="AU430" s="3"/>
      <x:c r="AV430" s="3"/>
      <x:c r="AW430" s="3"/>
      <x:c r="AX430" s="3"/>
      <x:c r="AY430" s="3"/>
      <x:c r="AZ430" s="3" t="str">
        <x:f>IF(AND('中古車掲載'!C431="One2car",'中古車掲載'!F431="ATTO 3",'中古車掲載'!L431="EXTENDED RANGE",'中古車掲載'!J431=2023,ISNUMBER('中古車掲載'!N431),'中古車掲載'!N431&gt;=20000,'中古車掲載'!O431&lt;=100000,'中古車掲載'!AL431=1),'中古車掲載'!U431,"")</x:f>
      </x:c>
      <x:c r="BA430" s="3" t="str">
        <x:f>IF(AND('中古車掲載'!C431="One2car",'中古車掲載'!F431="Corolla Cross",'中古車掲載'!L431="HEV PREMIUM SAFETY",'中古車掲載'!J431=2023,ISNUMBER('中古車掲載'!N431),'中古車掲載'!N431&gt;=20000,'中古車掲載'!O431&lt;=100000,'中古車掲載'!AL431=1,'中古車掲載'!Z431="https://www.one2car.com/en/cars-for-sale/toyota/corolla-cross/year-2023"),'中古車掲載'!U431,"")</x:f>
      </x:c>
      <x:c r="BB430" s="3" t="str">
        <x:f>IF(AND('中古車掲載'!C431="One2car",'中古車掲載'!F431="ATTO 3",'中古車掲載'!L431="EXTENDED RANGE",'中古車掲載'!J431=2023,ISNUMBER('中古車掲載'!N431),'中古車掲載'!N431&gt;=50000,'中古車掲載'!O431&lt;=100000,'中古車掲載'!AL431=1),'中古車掲載'!U431,"")</x:f>
      </x:c>
      <x:c r="BC430" s="3" t="str">
        <x:f>IF(AND('中古車掲載'!C431="One2car",'中古車掲載'!F431="Corolla Cross",'中古車掲載'!L431="HEV PREMIUM SAFETY",'中古車掲載'!J431=2023,ISNUMBER('中古車掲載'!N431),'中古車掲載'!N431&gt;=50000,'中古車掲載'!O431&lt;=100000,'中古車掲載'!AL431=1,'中古車掲載'!Z431="https://www.one2car.com/en/cars-for-sale/toyota/corolla-cross/year-2023"),'中古車掲載'!U431,"")</x:f>
      </x:c>
      <x:c r="BD430" s="3" t="str">
        <x:f>IF(AND('中古車掲載'!C431="One2car",'中古車掲載'!F431="ATTO 3",'中古車掲載'!L431="EXTENDED RANGE",'中古車掲載'!J431=2023,ISNUMBER('中古車掲載'!N431),'中古車掲載'!N431&gt;=20000,'中古車掲載'!O431&lt;=50000,'中古車掲載'!AL431=1),'中古車掲載'!U431,"")</x:f>
      </x:c>
      <x:c r="BE430" s="3" t="str">
        <x:f>IF(AND('中古車掲載'!C431="One2car",'中古車掲載'!F431="Corolla Cross",'中古車掲載'!L431="HEV PREMIUM SAFETY",'中古車掲載'!J431=2023,ISNUMBER('中古車掲載'!N431),'中古車掲載'!N431&gt;=20000,'中古車掲載'!O431&lt;=50000,'中古車掲載'!AL431=1,'中古車掲載'!Z431="https://www.one2car.com/en/cars-for-sale/toyota/corolla-cross/year-2023"),'中古車掲載'!U431,"")</x:f>
      </x:c>
      <x:c r="BF430" s="3" t="str">
        <x:f>IF(AND('中古車掲載'!C431="One2car",'中古車掲載'!F431="Corolla Cross",'中古車掲載'!L431="HEV PREMIUM",'中古車掲載'!J431=2023,ISNUMBER('中古車掲載'!N431),'中古車掲載'!N431&gt;=20000,'中古車掲載'!O431&lt;=100000,'中古車掲載'!AL431=1,'中古車掲載'!Z431="https://www.one2car.com/en/cars-for-sale/toyota/corolla-cross/year-2023"),'中古車掲載'!U431,"")</x:f>
      </x:c>
      <x:c r="BG430" s="3" t="str">
        <x:f>IF(AND('中古車掲載'!C431="One2car",'中古車掲載'!F431="Corolla Cross",'中古車掲載'!L431="HEV GR SPORT",'中古車掲載'!J431=2023,ISNUMBER('中古車掲載'!N431),'中古車掲載'!N431&gt;=20000,'中古車掲載'!O431&lt;=100000,'中古車掲載'!AL431=1,'中古車掲載'!Z431="https://www.one2car.com/en/cars-for-sale/toyota/corolla-cross/year-2023"),'中古車掲載'!U431,"")</x:f>
      </x:c>
      <x:c r="BH430" s="3" t="str">
        <x:f>IF(AND('中古車掲載'!C431="One2car",'中古車掲載'!F431="DOLPHIN",'中古車掲載'!L431="STANDARD RANGE",'中古車掲載'!J431=2023,ISNUMBER('中古車掲載'!N431),'中古車掲載'!N431&gt;=20000,'中古車掲載'!O431&lt;=100000,'中古車掲載'!AL431=1),'中古車掲載'!U431,"")</x:f>
      </x:c>
      <x:c r="BI430" s="3" t="str">
        <x:v>Taladrod|Corolla Cross|HEV|Unknown</x:v>
      </x:c>
      <x:c r="BJ430" s="3" t="n">
        <x:v>431</x:v>
      </x:c>
      <x:c r="BK430" s="3" t="n">
        <x:f>'中古車掲載'!AM431</x:f>
        <x:v>879000</x:v>
      </x:c>
      <x:c r="BL430" s="3" t="n">
        <x:f>IF(ISNUMBER('中古車掲載'!AN431),'中古車掲載'!AN431,"")</x:f>
        <x:v>0.803473491773309</x:v>
      </x:c>
      <x:c r="BM430" s="3"/>
      <x:c r="BN430" s="3"/>
      <x:c r="BO430" s="3"/>
      <x:c r="BP430" s="3"/>
      <x:c r="BQ430" s="3"/>
      <x:c r="BR430" s="3"/>
    </x:row>
    <x:row r="431" ht="22" customHeight="1">
      <x:c r="A431" s="3" t="str">
        <x:v>Corolla Altis</x:v>
      </x:c>
      <x:c r="B431" s="3" t="str">
        <x:v>ICE</x:v>
      </x:c>
      <x:c r="C431" s="3" t="str">
        <x:v>Taladrod</x:v>
      </x:c>
      <x:c r="D431" s="3" t="str">
        <x:v>Sedan</x:v>
      </x:c>
      <x:c r="E431" s="3" t="str"/>
      <x:c r="F431" s="3" t="n">
        <x:v>2023</x:v>
      </x:c>
      <x:c r="G431" s="3" t="str">
        <x:v>G</x:v>
      </x:c>
      <x:c r="H431" s="3" t="str">
        <x:v>未掲載</x:v>
      </x:c>
      <x:c r="I431" s="3" t="str">
        <x:v>19-ปัจจุบัน</x:v>
      </x:c>
      <x:c r="J431" s="22" t="n">
        <x:f>COUNT('中古車掲載'!AM269:AM274)</x:f>
        <x:v>6</x:v>
      </x:c>
      <x:c r="K431" s="22" t="n">
        <x:f>IF(COUNT('中古車掲載'!AM269:AM274)=0,"",QUARTILE('中古車掲載'!AM269:AM274,1))</x:f>
        <x:v>464000</x:v>
      </x:c>
      <x:c r="L431" s="22" t="n">
        <x:f>IF(COUNT('中古車掲載'!AM269:AM274)=0,"",MEDIAN('中古車掲載'!AM269:AM274))</x:f>
        <x:v>489000</x:v>
      </x:c>
      <x:c r="M431" s="22" t="n">
        <x:f>IF(COUNT('中古車掲載'!AM269:AM274)=0,"",QUARTILE('中古車掲載'!AM269:AM274,3))</x:f>
        <x:v>521500</x:v>
      </x:c>
      <x:c r="N431" s="22" t="n">
        <x:f>COUNT('中古車掲載'!AN269:AN274)</x:f>
        <x:v>0</x:v>
      </x:c>
      <x:c r="O431" s="23" t="str">
        <x:f>IF(COUNT('中古車掲載'!AN269:AN274)=0,"",MEDIAN('中古車掲載'!AN269:AN274))</x:f>
      </x:c>
      <x:c r="P431" s="3"/>
      <x:c r="Q431" s="3"/>
      <x:c r="R431" s="3"/>
      <x:c r="S431" s="3"/>
      <x:c r="T431" s="3"/>
      <x:c r="U431" s="3"/>
      <x:c r="V431" s="3"/>
      <x:c r="W431" s="3"/>
      <x:c r="X431" s="3"/>
      <x:c r="Y431" s="3"/>
      <x:c r="Z431" s="3"/>
      <x:c r="AA431" s="3"/>
      <x:c r="AB431" s="3"/>
      <x:c r="AC431" s="3"/>
      <x:c r="AD431" s="3"/>
      <x:c r="AE431" s="3"/>
      <x:c r="AF431" s="3"/>
      <x:c r="AG431" s="3"/>
      <x:c r="AH431" s="3"/>
      <x:c r="AI431" s="3"/>
      <x:c r="AJ431" s="3"/>
      <x:c r="AK431" s="3"/>
      <x:c r="AL431" s="3"/>
      <x:c r="AM431" s="3"/>
      <x:c r="AN431" s="3"/>
      <x:c r="AO431" s="3"/>
      <x:c r="AP431" s="3"/>
      <x:c r="AQ431" s="3"/>
      <x:c r="AR431" s="3"/>
      <x:c r="AS431" s="3"/>
      <x:c r="AT431" s="3"/>
      <x:c r="AU431" s="3"/>
      <x:c r="AV431" s="3"/>
      <x:c r="AW431" s="3"/>
      <x:c r="AX431" s="3"/>
      <x:c r="AY431" s="3"/>
      <x:c r="AZ431" s="3" t="str">
        <x:f>IF(AND('中古車掲載'!C432="One2car",'中古車掲載'!F432="ATTO 3",'中古車掲載'!L432="EXTENDED RANGE",'中古車掲載'!J432=2023,ISNUMBER('中古車掲載'!N432),'中古車掲載'!N432&gt;=20000,'中古車掲載'!O432&lt;=100000,'中古車掲載'!AL432=1),'中古車掲載'!U432,"")</x:f>
      </x:c>
      <x:c r="BA431" s="3" t="str">
        <x:f>IF(AND('中古車掲載'!C432="One2car",'中古車掲載'!F432="Corolla Cross",'中古車掲載'!L432="HEV PREMIUM SAFETY",'中古車掲載'!J432=2023,ISNUMBER('中古車掲載'!N432),'中古車掲載'!N432&gt;=20000,'中古車掲載'!O432&lt;=100000,'中古車掲載'!AL432=1,'中古車掲載'!Z432="https://www.one2car.com/en/cars-for-sale/toyota/corolla-cross/year-2023"),'中古車掲載'!U432,"")</x:f>
      </x:c>
      <x:c r="BB431" s="3" t="str">
        <x:f>IF(AND('中古車掲載'!C432="One2car",'中古車掲載'!F432="ATTO 3",'中古車掲載'!L432="EXTENDED RANGE",'中古車掲載'!J432=2023,ISNUMBER('中古車掲載'!N432),'中古車掲載'!N432&gt;=50000,'中古車掲載'!O432&lt;=100000,'中古車掲載'!AL432=1),'中古車掲載'!U432,"")</x:f>
      </x:c>
      <x:c r="BC431" s="3" t="str">
        <x:f>IF(AND('中古車掲載'!C432="One2car",'中古車掲載'!F432="Corolla Cross",'中古車掲載'!L432="HEV PREMIUM SAFETY",'中古車掲載'!J432=2023,ISNUMBER('中古車掲載'!N432),'中古車掲載'!N432&gt;=50000,'中古車掲載'!O432&lt;=100000,'中古車掲載'!AL432=1,'中古車掲載'!Z432="https://www.one2car.com/en/cars-for-sale/toyota/corolla-cross/year-2023"),'中古車掲載'!U432,"")</x:f>
      </x:c>
      <x:c r="BD431" s="3" t="str">
        <x:f>IF(AND('中古車掲載'!C432="One2car",'中古車掲載'!F432="ATTO 3",'中古車掲載'!L432="EXTENDED RANGE",'中古車掲載'!J432=2023,ISNUMBER('中古車掲載'!N432),'中古車掲載'!N432&gt;=20000,'中古車掲載'!O432&lt;=50000,'中古車掲載'!AL432=1),'中古車掲載'!U432,"")</x:f>
      </x:c>
      <x:c r="BE431" s="3" t="str">
        <x:f>IF(AND('中古車掲載'!C432="One2car",'中古車掲載'!F432="Corolla Cross",'中古車掲載'!L432="HEV PREMIUM SAFETY",'中古車掲載'!J432=2023,ISNUMBER('中古車掲載'!N432),'中古車掲載'!N432&gt;=20000,'中古車掲載'!O432&lt;=50000,'中古車掲載'!AL432=1,'中古車掲載'!Z432="https://www.one2car.com/en/cars-for-sale/toyota/corolla-cross/year-2023"),'中古車掲載'!U432,"")</x:f>
      </x:c>
      <x:c r="BF431" s="3" t="str">
        <x:f>IF(AND('中古車掲載'!C432="One2car",'中古車掲載'!F432="Corolla Cross",'中古車掲載'!L432="HEV PREMIUM",'中古車掲載'!J432=2023,ISNUMBER('中古車掲載'!N432),'中古車掲載'!N432&gt;=20000,'中古車掲載'!O432&lt;=100000,'中古車掲載'!AL432=1,'中古車掲載'!Z432="https://www.one2car.com/en/cars-for-sale/toyota/corolla-cross/year-2023"),'中古車掲載'!U432,"")</x:f>
      </x:c>
      <x:c r="BG431" s="3" t="str">
        <x:f>IF(AND('中古車掲載'!C432="One2car",'中古車掲載'!F432="Corolla Cross",'中古車掲載'!L432="HEV GR SPORT",'中古車掲載'!J432=2023,ISNUMBER('中古車掲載'!N432),'中古車掲載'!N432&gt;=20000,'中古車掲載'!O432&lt;=100000,'中古車掲載'!AL432=1,'中古車掲載'!Z432="https://www.one2car.com/en/cars-for-sale/toyota/corolla-cross/year-2023"),'中古車掲載'!U432,"")</x:f>
      </x:c>
      <x:c r="BH431" s="3" t="str">
        <x:f>IF(AND('中古車掲載'!C432="One2car",'中古車掲載'!F432="DOLPHIN",'中古車掲載'!L432="STANDARD RANGE",'中古車掲載'!J432=2023,ISNUMBER('中古車掲載'!N432),'中古車掲載'!N432&gt;=20000,'中古車掲載'!O432&lt;=100000,'中古車掲載'!AL432=1),'中古車掲載'!U432,"")</x:f>
      </x:c>
      <x:c r="BI431" s="3" t="str">
        <x:v>Taladrod|Corolla Cross|HEV|Unknown</x:v>
      </x:c>
      <x:c r="BJ431" s="3" t="n">
        <x:v>432</x:v>
      </x:c>
      <x:c r="BK431" s="3" t="n">
        <x:f>'中古車掲載'!AM432</x:f>
        <x:v>898000</x:v>
      </x:c>
      <x:c r="BL431" s="3" t="n">
        <x:f>IF(ISNUMBER('中古車掲載'!AN432),'中古車掲載'!AN432,"")</x:f>
        <x:v>0.7458471760797342</x:v>
      </x:c>
      <x:c r="BM431" s="3"/>
      <x:c r="BN431" s="3"/>
      <x:c r="BO431" s="3"/>
      <x:c r="BP431" s="3"/>
      <x:c r="BQ431" s="3"/>
      <x:c r="BR431" s="3"/>
    </x:row>
    <x:row r="432" ht="22" customHeight="1">
      <x:c r="A432" s="3" t="str">
        <x:v>Corolla Cross</x:v>
      </x:c>
      <x:c r="B432" s="3" t="str">
        <x:v>HEV</x:v>
      </x:c>
      <x:c r="C432" s="3" t="str">
        <x:v>Taladrod</x:v>
      </x:c>
      <x:c r="D432" s="3" t="str">
        <x:v>SUV</x:v>
      </x:c>
      <x:c r="E432" s="3" t="str"/>
      <x:c r="F432" s="3" t="n">
        <x:v>2020</x:v>
      </x:c>
      <x:c r="G432" s="3" t="str">
        <x:v>HEV PREMIUM</x:v>
      </x:c>
      <x:c r="H432" s="3" t="str">
        <x:v>未掲載</x:v>
      </x:c>
      <x:c r="I432" s="3" t="str">
        <x:v>20-ปัจจุบัน</x:v>
      </x:c>
      <x:c r="J432" s="22" t="n">
        <x:f>COUNT('中古車掲載'!AM275:AM281)</x:f>
        <x:v>7</x:v>
      </x:c>
      <x:c r="K432" s="22" t="n">
        <x:f>IF(COUNT('中古車掲載'!AM275:AM281)=0,"",QUARTILE('中古車掲載'!AM275:AM281,1))</x:f>
        <x:v>599000</x:v>
      </x:c>
      <x:c r="L432" s="22" t="n">
        <x:f>IF(COUNT('中古車掲載'!AM275:AM281)=0,"",MEDIAN('中古車掲載'!AM275:AM281))</x:f>
        <x:v>599000</x:v>
      </x:c>
      <x:c r="M432" s="22" t="n">
        <x:f>IF(COUNT('中古車掲載'!AM275:AM281)=0,"",QUARTILE('中古車掲載'!AM275:AM281,3))</x:f>
        <x:v>613500</x:v>
      </x:c>
      <x:c r="N432" s="22" t="n">
        <x:f>COUNT('中古車掲載'!AN275:AN281)</x:f>
        <x:v>0</x:v>
      </x:c>
      <x:c r="O432" s="23" t="str">
        <x:f>IF(COUNT('中古車掲載'!AN275:AN281)=0,"",MEDIAN('中古車掲載'!AN275:AN281))</x:f>
      </x:c>
      <x:c r="P432" s="3"/>
      <x:c r="Q432" s="3"/>
      <x:c r="R432" s="3"/>
      <x:c r="S432" s="3"/>
      <x:c r="T432" s="3"/>
      <x:c r="U432" s="3"/>
      <x:c r="V432" s="3"/>
      <x:c r="W432" s="3"/>
      <x:c r="X432" s="3"/>
      <x:c r="Y432" s="3"/>
      <x:c r="Z432" s="3"/>
      <x:c r="AA432" s="3"/>
      <x:c r="AB432" s="3"/>
      <x:c r="AC432" s="3"/>
      <x:c r="AD432" s="3"/>
      <x:c r="AE432" s="3"/>
      <x:c r="AF432" s="3"/>
      <x:c r="AG432" s="3"/>
      <x:c r="AH432" s="3"/>
      <x:c r="AI432" s="3"/>
      <x:c r="AJ432" s="3"/>
      <x:c r="AK432" s="3"/>
      <x:c r="AL432" s="3"/>
      <x:c r="AM432" s="3"/>
      <x:c r="AN432" s="3"/>
      <x:c r="AO432" s="3"/>
      <x:c r="AP432" s="3"/>
      <x:c r="AQ432" s="3"/>
      <x:c r="AR432" s="3"/>
      <x:c r="AS432" s="3"/>
      <x:c r="AT432" s="3"/>
      <x:c r="AU432" s="3"/>
      <x:c r="AV432" s="3"/>
      <x:c r="AW432" s="3"/>
      <x:c r="AX432" s="3"/>
      <x:c r="AY432" s="3"/>
      <x:c r="AZ432" s="3" t="str">
        <x:f>IF(AND('中古車掲載'!C433="One2car",'中古車掲載'!F433="ATTO 3",'中古車掲載'!L433="EXTENDED RANGE",'中古車掲載'!J433=2023,ISNUMBER('中古車掲載'!N433),'中古車掲載'!N433&gt;=20000,'中古車掲載'!O433&lt;=100000,'中古車掲載'!AL433=1),'中古車掲載'!U433,"")</x:f>
      </x:c>
      <x:c r="BA432" s="3" t="str">
        <x:f>IF(AND('中古車掲載'!C433="One2car",'中古車掲載'!F433="Corolla Cross",'中古車掲載'!L433="HEV PREMIUM SAFETY",'中古車掲載'!J433=2023,ISNUMBER('中古車掲載'!N433),'中古車掲載'!N433&gt;=20000,'中古車掲載'!O433&lt;=100000,'中古車掲載'!AL433=1,'中古車掲載'!Z433="https://www.one2car.com/en/cars-for-sale/toyota/corolla-cross/year-2023"),'中古車掲載'!U433,"")</x:f>
      </x:c>
      <x:c r="BB432" s="3" t="str">
        <x:f>IF(AND('中古車掲載'!C433="One2car",'中古車掲載'!F433="ATTO 3",'中古車掲載'!L433="EXTENDED RANGE",'中古車掲載'!J433=2023,ISNUMBER('中古車掲載'!N433),'中古車掲載'!N433&gt;=50000,'中古車掲載'!O433&lt;=100000,'中古車掲載'!AL433=1),'中古車掲載'!U433,"")</x:f>
      </x:c>
      <x:c r="BC432" s="3" t="str">
        <x:f>IF(AND('中古車掲載'!C433="One2car",'中古車掲載'!F433="Corolla Cross",'中古車掲載'!L433="HEV PREMIUM SAFETY",'中古車掲載'!J433=2023,ISNUMBER('中古車掲載'!N433),'中古車掲載'!N433&gt;=50000,'中古車掲載'!O433&lt;=100000,'中古車掲載'!AL433=1,'中古車掲載'!Z433="https://www.one2car.com/en/cars-for-sale/toyota/corolla-cross/year-2023"),'中古車掲載'!U433,"")</x:f>
      </x:c>
      <x:c r="BD432" s="3" t="str">
        <x:f>IF(AND('中古車掲載'!C433="One2car",'中古車掲載'!F433="ATTO 3",'中古車掲載'!L433="EXTENDED RANGE",'中古車掲載'!J433=2023,ISNUMBER('中古車掲載'!N433),'中古車掲載'!N433&gt;=20000,'中古車掲載'!O433&lt;=50000,'中古車掲載'!AL433=1),'中古車掲載'!U433,"")</x:f>
      </x:c>
      <x:c r="BE432" s="3" t="str">
        <x:f>IF(AND('中古車掲載'!C433="One2car",'中古車掲載'!F433="Corolla Cross",'中古車掲載'!L433="HEV PREMIUM SAFETY",'中古車掲載'!J433=2023,ISNUMBER('中古車掲載'!N433),'中古車掲載'!N433&gt;=20000,'中古車掲載'!O433&lt;=50000,'中古車掲載'!AL433=1,'中古車掲載'!Z433="https://www.one2car.com/en/cars-for-sale/toyota/corolla-cross/year-2023"),'中古車掲載'!U433,"")</x:f>
      </x:c>
      <x:c r="BF432" s="3" t="str">
        <x:f>IF(AND('中古車掲載'!C433="One2car",'中古車掲載'!F433="Corolla Cross",'中古車掲載'!L433="HEV PREMIUM",'中古車掲載'!J433=2023,ISNUMBER('中古車掲載'!N433),'中古車掲載'!N433&gt;=20000,'中古車掲載'!O433&lt;=100000,'中古車掲載'!AL433=1,'中古車掲載'!Z433="https://www.one2car.com/en/cars-for-sale/toyota/corolla-cross/year-2023"),'中古車掲載'!U433,"")</x:f>
      </x:c>
      <x:c r="BG432" s="3" t="str">
        <x:f>IF(AND('中古車掲載'!C433="One2car",'中古車掲載'!F433="Corolla Cross",'中古車掲載'!L433="HEV GR SPORT",'中古車掲載'!J433=2023,ISNUMBER('中古車掲載'!N433),'中古車掲載'!N433&gt;=20000,'中古車掲載'!O433&lt;=100000,'中古車掲載'!AL433=1,'中古車掲載'!Z433="https://www.one2car.com/en/cars-for-sale/toyota/corolla-cross/year-2023"),'中古車掲載'!U433,"")</x:f>
      </x:c>
      <x:c r="BH432" s="3" t="str">
        <x:f>IF(AND('中古車掲載'!C433="One2car",'中古車掲載'!F433="DOLPHIN",'中古車掲載'!L433="STANDARD RANGE",'中古車掲載'!J433=2023,ISNUMBER('中古車掲載'!N433),'中古車掲載'!N433&gt;=20000,'中古車掲載'!O433&lt;=100000,'中古車掲載'!AL433=1),'中古車掲載'!U433,"")</x:f>
      </x:c>
      <x:c r="BI432" s="3" t="str">
        <x:v>Taladrod|Corolla Cross|HEV|Unknown</x:v>
      </x:c>
      <x:c r="BJ432" s="3" t="n">
        <x:v>433</x:v>
      </x:c>
      <x:c r="BK432" s="3" t="n">
        <x:f>'中古車掲載'!AM433</x:f>
        <x:v>958000</x:v>
      </x:c>
      <x:c r="BL432" s="3" t="n">
        <x:f>IF(ISNUMBER('中古車掲載'!AN433),'中古車掲載'!AN433,"")</x:f>
        <x:v>0.7956810631229236</x:v>
      </x:c>
      <x:c r="BM432" s="3"/>
      <x:c r="BN432" s="3"/>
      <x:c r="BO432" s="3"/>
      <x:c r="BP432" s="3"/>
      <x:c r="BQ432" s="3"/>
      <x:c r="BR432" s="3"/>
    </x:row>
    <x:row r="433" ht="22" customHeight="1">
      <x:c r="A433" s="3" t="str">
        <x:v>Corolla Cross</x:v>
      </x:c>
      <x:c r="B433" s="3" t="str">
        <x:v>HEV</x:v>
      </x:c>
      <x:c r="C433" s="3" t="str">
        <x:v>Taladrod</x:v>
      </x:c>
      <x:c r="D433" s="3" t="str">
        <x:v>SUV</x:v>
      </x:c>
      <x:c r="E433" s="3" t="str"/>
      <x:c r="F433" s="3" t="n">
        <x:v>2020</x:v>
      </x:c>
      <x:c r="G433" s="3" t="str">
        <x:v>HEV PREMIUM SAFETY</x:v>
      </x:c>
      <x:c r="H433" s="3" t="str">
        <x:v>未掲載</x:v>
      </x:c>
      <x:c r="I433" s="3" t="str">
        <x:v>20-ปัจจุบัน</x:v>
      </x:c>
      <x:c r="J433" s="22" t="n">
        <x:f>COUNT('中古車掲載'!AM282:AM294)</x:f>
        <x:v>13</x:v>
      </x:c>
      <x:c r="K433" s="22" t="n">
        <x:f>IF(COUNT('中古車掲載'!AM282:AM294)=0,"",QUARTILE('中古車掲載'!AM282:AM294,1))</x:f>
        <x:v>618000</x:v>
      </x:c>
      <x:c r="L433" s="22" t="n">
        <x:f>IF(COUNT('中古車掲載'!AM282:AM294)=0,"",MEDIAN('中古車掲載'!AM282:AM294))</x:f>
        <x:v>619000</x:v>
      </x:c>
      <x:c r="M433" s="22" t="n">
        <x:f>IF(COUNT('中古車掲載'!AM282:AM294)=0,"",QUARTILE('中古車掲載'!AM282:AM294,3))</x:f>
        <x:v>659000</x:v>
      </x:c>
      <x:c r="N433" s="22" t="n">
        <x:f>COUNT('中古車掲載'!AN282:AN294)</x:f>
        <x:v>0</x:v>
      </x:c>
      <x:c r="O433" s="23" t="str">
        <x:f>IF(COUNT('中古車掲載'!AN282:AN294)=0,"",MEDIAN('中古車掲載'!AN282:AN294))</x:f>
      </x:c>
      <x:c r="P433" s="3"/>
      <x:c r="Q433" s="3"/>
      <x:c r="R433" s="3"/>
      <x:c r="S433" s="3"/>
      <x:c r="T433" s="3"/>
      <x:c r="U433" s="3"/>
      <x:c r="V433" s="3"/>
      <x:c r="W433" s="3"/>
      <x:c r="X433" s="3"/>
      <x:c r="Y433" s="3"/>
      <x:c r="Z433" s="3"/>
      <x:c r="AA433" s="3"/>
      <x:c r="AB433" s="3"/>
      <x:c r="AC433" s="3"/>
      <x:c r="AD433" s="3"/>
      <x:c r="AE433" s="3"/>
      <x:c r="AF433" s="3"/>
      <x:c r="AG433" s="3"/>
      <x:c r="AH433" s="3"/>
      <x:c r="AI433" s="3"/>
      <x:c r="AJ433" s="3"/>
      <x:c r="AK433" s="3"/>
      <x:c r="AL433" s="3"/>
      <x:c r="AM433" s="3"/>
      <x:c r="AN433" s="3"/>
      <x:c r="AO433" s="3"/>
      <x:c r="AP433" s="3"/>
      <x:c r="AQ433" s="3"/>
      <x:c r="AR433" s="3"/>
      <x:c r="AS433" s="3"/>
      <x:c r="AT433" s="3"/>
      <x:c r="AU433" s="3"/>
      <x:c r="AV433" s="3"/>
      <x:c r="AW433" s="3"/>
      <x:c r="AX433" s="3"/>
      <x:c r="AY433" s="3"/>
      <x:c r="AZ433" s="3" t="str">
        <x:f>IF(AND('中古車掲載'!C434="One2car",'中古車掲載'!F434="ATTO 3",'中古車掲載'!L434="EXTENDED RANGE",'中古車掲載'!J434=2023,ISNUMBER('中古車掲載'!N434),'中古車掲載'!N434&gt;=20000,'中古車掲載'!O434&lt;=100000,'中古車掲載'!AL434=1),'中古車掲載'!U434,"")</x:f>
      </x:c>
      <x:c r="BA433" s="3" t="str">
        <x:f>IF(AND('中古車掲載'!C434="One2car",'中古車掲載'!F434="Corolla Cross",'中古車掲載'!L434="HEV PREMIUM SAFETY",'中古車掲載'!J434=2023,ISNUMBER('中古車掲載'!N434),'中古車掲載'!N434&gt;=20000,'中古車掲載'!O434&lt;=100000,'中古車掲載'!AL434=1,'中古車掲載'!Z434="https://www.one2car.com/en/cars-for-sale/toyota/corolla-cross/year-2023"),'中古車掲載'!U434,"")</x:f>
      </x:c>
      <x:c r="BB433" s="3" t="str">
        <x:f>IF(AND('中古車掲載'!C434="One2car",'中古車掲載'!F434="ATTO 3",'中古車掲載'!L434="EXTENDED RANGE",'中古車掲載'!J434=2023,ISNUMBER('中古車掲載'!N434),'中古車掲載'!N434&gt;=50000,'中古車掲載'!O434&lt;=100000,'中古車掲載'!AL434=1),'中古車掲載'!U434,"")</x:f>
      </x:c>
      <x:c r="BC433" s="3" t="str">
        <x:f>IF(AND('中古車掲載'!C434="One2car",'中古車掲載'!F434="Corolla Cross",'中古車掲載'!L434="HEV PREMIUM SAFETY",'中古車掲載'!J434=2023,ISNUMBER('中古車掲載'!N434),'中古車掲載'!N434&gt;=50000,'中古車掲載'!O434&lt;=100000,'中古車掲載'!AL434=1,'中古車掲載'!Z434="https://www.one2car.com/en/cars-for-sale/toyota/corolla-cross/year-2023"),'中古車掲載'!U434,"")</x:f>
      </x:c>
      <x:c r="BD433" s="3" t="str">
        <x:f>IF(AND('中古車掲載'!C434="One2car",'中古車掲載'!F434="ATTO 3",'中古車掲載'!L434="EXTENDED RANGE",'中古車掲載'!J434=2023,ISNUMBER('中古車掲載'!N434),'中古車掲載'!N434&gt;=20000,'中古車掲載'!O434&lt;=50000,'中古車掲載'!AL434=1),'中古車掲載'!U434,"")</x:f>
      </x:c>
      <x:c r="BE433" s="3" t="str">
        <x:f>IF(AND('中古車掲載'!C434="One2car",'中古車掲載'!F434="Corolla Cross",'中古車掲載'!L434="HEV PREMIUM SAFETY",'中古車掲載'!J434=2023,ISNUMBER('中古車掲載'!N434),'中古車掲載'!N434&gt;=20000,'中古車掲載'!O434&lt;=50000,'中古車掲載'!AL434=1,'中古車掲載'!Z434="https://www.one2car.com/en/cars-for-sale/toyota/corolla-cross/year-2023"),'中古車掲載'!U434,"")</x:f>
      </x:c>
      <x:c r="BF433" s="3" t="str">
        <x:f>IF(AND('中古車掲載'!C434="One2car",'中古車掲載'!F434="Corolla Cross",'中古車掲載'!L434="HEV PREMIUM",'中古車掲載'!J434=2023,ISNUMBER('中古車掲載'!N434),'中古車掲載'!N434&gt;=20000,'中古車掲載'!O434&lt;=100000,'中古車掲載'!AL434=1,'中古車掲載'!Z434="https://www.one2car.com/en/cars-for-sale/toyota/corolla-cross/year-2023"),'中古車掲載'!U434,"")</x:f>
      </x:c>
      <x:c r="BG433" s="3" t="str">
        <x:f>IF(AND('中古車掲載'!C434="One2car",'中古車掲載'!F434="Corolla Cross",'中古車掲載'!L434="HEV GR SPORT",'中古車掲載'!J434=2023,ISNUMBER('中古車掲載'!N434),'中古車掲載'!N434&gt;=20000,'中古車掲載'!O434&lt;=100000,'中古車掲載'!AL434=1,'中古車掲載'!Z434="https://www.one2car.com/en/cars-for-sale/toyota/corolla-cross/year-2023"),'中古車掲載'!U434,"")</x:f>
      </x:c>
      <x:c r="BH433" s="3" t="str">
        <x:f>IF(AND('中古車掲載'!C434="One2car",'中古車掲載'!F434="DOLPHIN",'中古車掲載'!L434="STANDARD RANGE",'中古車掲載'!J434=2023,ISNUMBER('中古車掲載'!N434),'中古車掲載'!N434&gt;=20000,'中古車掲載'!O434&lt;=100000,'中古車掲載'!AL434=1),'中古車掲載'!U434,"")</x:f>
      </x:c>
      <x:c r="BI433" s="3" t="str">
        <x:v>Taladrod|Corolla Cross|HEV|Unknown</x:v>
      </x:c>
      <x:c r="BJ433" s="3" t="n">
        <x:v>434</x:v>
      </x:c>
      <x:c r="BK433" s="3" t="n">
        <x:f>'中古車掲載'!AM434</x:f>
        <x:v>899000</x:v>
      </x:c>
      <x:c r="BL433" s="3" t="n">
        <x:f>IF(ISNUMBER('中古車掲載'!AN434),'中古車掲載'!AN434,"")</x:f>
        <x:v>0.7466777408637874</x:v>
      </x:c>
      <x:c r="BM433" s="3"/>
      <x:c r="BN433" s="3"/>
      <x:c r="BO433" s="3"/>
      <x:c r="BP433" s="3"/>
      <x:c r="BQ433" s="3"/>
      <x:c r="BR433" s="3"/>
    </x:row>
    <x:row r="434" ht="22" customHeight="1">
      <x:c r="A434" s="3" t="str">
        <x:v>Corolla Cross</x:v>
      </x:c>
      <x:c r="B434" s="3" t="str">
        <x:v>HEV</x:v>
      </x:c>
      <x:c r="C434" s="3" t="str">
        <x:v>Taladrod</x:v>
      </x:c>
      <x:c r="D434" s="3" t="str">
        <x:v>SUV</x:v>
      </x:c>
      <x:c r="E434" s="3" t="str"/>
      <x:c r="F434" s="3" t="n">
        <x:v>2021</x:v>
      </x:c>
      <x:c r="G434" s="3" t="str">
        <x:v>HEV PREMIUM</x:v>
      </x:c>
      <x:c r="H434" s="3" t="str">
        <x:v>未掲載</x:v>
      </x:c>
      <x:c r="I434" s="3" t="str">
        <x:v>20-ปัจจุบัน</x:v>
      </x:c>
      <x:c r="J434" s="22" t="n">
        <x:f>COUNT('中古車掲載'!AM295:AM308)</x:f>
        <x:v>14</x:v>
      </x:c>
      <x:c r="K434" s="22" t="n">
        <x:f>IF(COUNT('中古車掲載'!AM295:AM308)=0,"",QUARTILE('中古車掲載'!AM295:AM308,1))</x:f>
        <x:v>581500</x:v>
      </x:c>
      <x:c r="L434" s="22" t="n">
        <x:f>IF(COUNT('中古車掲載'!AM295:AM308)=0,"",MEDIAN('中古車掲載'!AM295:AM308))</x:f>
        <x:v>599000</x:v>
      </x:c>
      <x:c r="M434" s="22" t="n">
        <x:f>IF(COUNT('中古車掲載'!AM295:AM308)=0,"",QUARTILE('中古車掲載'!AM295:AM308,3))</x:f>
        <x:v>635500</x:v>
      </x:c>
      <x:c r="N434" s="22" t="n">
        <x:f>COUNT('中古車掲載'!AN295:AN308)</x:f>
        <x:v>0</x:v>
      </x:c>
      <x:c r="O434" s="23" t="str">
        <x:f>IF(COUNT('中古車掲載'!AN295:AN308)=0,"",MEDIAN('中古車掲載'!AN295:AN308))</x:f>
      </x:c>
      <x:c r="P434" s="3"/>
      <x:c r="Q434" s="3"/>
      <x:c r="R434" s="3"/>
      <x:c r="S434" s="3"/>
      <x:c r="T434" s="3"/>
      <x:c r="U434" s="3"/>
      <x:c r="V434" s="3"/>
      <x:c r="W434" s="3"/>
      <x:c r="X434" s="3"/>
      <x:c r="Y434" s="3"/>
      <x:c r="Z434" s="3"/>
      <x:c r="AA434" s="3"/>
      <x:c r="AB434" s="3"/>
      <x:c r="AC434" s="3"/>
      <x:c r="AD434" s="3"/>
      <x:c r="AE434" s="3"/>
      <x:c r="AF434" s="3"/>
      <x:c r="AG434" s="3"/>
      <x:c r="AH434" s="3"/>
      <x:c r="AI434" s="3"/>
      <x:c r="AJ434" s="3"/>
      <x:c r="AK434" s="3"/>
      <x:c r="AL434" s="3"/>
      <x:c r="AM434" s="3"/>
      <x:c r="AN434" s="3"/>
      <x:c r="AO434" s="3"/>
      <x:c r="AP434" s="3"/>
      <x:c r="AQ434" s="3"/>
      <x:c r="AR434" s="3"/>
      <x:c r="AS434" s="3"/>
      <x:c r="AT434" s="3"/>
      <x:c r="AU434" s="3"/>
      <x:c r="AV434" s="3"/>
      <x:c r="AW434" s="3"/>
      <x:c r="AX434" s="3"/>
      <x:c r="AY434" s="3"/>
      <x:c r="AZ434" s="3" t="str">
        <x:f>IF(AND('中古車掲載'!C435="One2car",'中古車掲載'!F435="ATTO 3",'中古車掲載'!L435="EXTENDED RANGE",'中古車掲載'!J435=2023,ISNUMBER('中古車掲載'!N435),'中古車掲載'!N435&gt;=20000,'中古車掲載'!O435&lt;=100000,'中古車掲載'!AL435=1),'中古車掲載'!U435,"")</x:f>
      </x:c>
      <x:c r="BA434" s="3" t="str">
        <x:f>IF(AND('中古車掲載'!C435="One2car",'中古車掲載'!F435="Corolla Cross",'中古車掲載'!L435="HEV PREMIUM SAFETY",'中古車掲載'!J435=2023,ISNUMBER('中古車掲載'!N435),'中古車掲載'!N435&gt;=20000,'中古車掲載'!O435&lt;=100000,'中古車掲載'!AL435=1,'中古車掲載'!Z435="https://www.one2car.com/en/cars-for-sale/toyota/corolla-cross/year-2023"),'中古車掲載'!U435,"")</x:f>
      </x:c>
      <x:c r="BB434" s="3" t="str">
        <x:f>IF(AND('中古車掲載'!C435="One2car",'中古車掲載'!F435="ATTO 3",'中古車掲載'!L435="EXTENDED RANGE",'中古車掲載'!J435=2023,ISNUMBER('中古車掲載'!N435),'中古車掲載'!N435&gt;=50000,'中古車掲載'!O435&lt;=100000,'中古車掲載'!AL435=1),'中古車掲載'!U435,"")</x:f>
      </x:c>
      <x:c r="BC434" s="3" t="str">
        <x:f>IF(AND('中古車掲載'!C435="One2car",'中古車掲載'!F435="Corolla Cross",'中古車掲載'!L435="HEV PREMIUM SAFETY",'中古車掲載'!J435=2023,ISNUMBER('中古車掲載'!N435),'中古車掲載'!N435&gt;=50000,'中古車掲載'!O435&lt;=100000,'中古車掲載'!AL435=1,'中古車掲載'!Z435="https://www.one2car.com/en/cars-for-sale/toyota/corolla-cross/year-2023"),'中古車掲載'!U435,"")</x:f>
      </x:c>
      <x:c r="BD434" s="3" t="str">
        <x:f>IF(AND('中古車掲載'!C435="One2car",'中古車掲載'!F435="ATTO 3",'中古車掲載'!L435="EXTENDED RANGE",'中古車掲載'!J435=2023,ISNUMBER('中古車掲載'!N435),'中古車掲載'!N435&gt;=20000,'中古車掲載'!O435&lt;=50000,'中古車掲載'!AL435=1),'中古車掲載'!U435,"")</x:f>
      </x:c>
      <x:c r="BE434" s="3" t="str">
        <x:f>IF(AND('中古車掲載'!C435="One2car",'中古車掲載'!F435="Corolla Cross",'中古車掲載'!L435="HEV PREMIUM SAFETY",'中古車掲載'!J435=2023,ISNUMBER('中古車掲載'!N435),'中古車掲載'!N435&gt;=20000,'中古車掲載'!O435&lt;=50000,'中古車掲載'!AL435=1,'中古車掲載'!Z435="https://www.one2car.com/en/cars-for-sale/toyota/corolla-cross/year-2023"),'中古車掲載'!U435,"")</x:f>
      </x:c>
      <x:c r="BF434" s="3" t="str">
        <x:f>IF(AND('中古車掲載'!C435="One2car",'中古車掲載'!F435="Corolla Cross",'中古車掲載'!L435="HEV PREMIUM",'中古車掲載'!J435=2023,ISNUMBER('中古車掲載'!N435),'中古車掲載'!N435&gt;=20000,'中古車掲載'!O435&lt;=100000,'中古車掲載'!AL435=1,'中古車掲載'!Z435="https://www.one2car.com/en/cars-for-sale/toyota/corolla-cross/year-2023"),'中古車掲載'!U435,"")</x:f>
      </x:c>
      <x:c r="BG434" s="3" t="str">
        <x:f>IF(AND('中古車掲載'!C435="One2car",'中古車掲載'!F435="Corolla Cross",'中古車掲載'!L435="HEV GR SPORT",'中古車掲載'!J435=2023,ISNUMBER('中古車掲載'!N435),'中古車掲載'!N435&gt;=20000,'中古車掲載'!O435&lt;=100000,'中古車掲載'!AL435=1,'中古車掲載'!Z435="https://www.one2car.com/en/cars-for-sale/toyota/corolla-cross/year-2023"),'中古車掲載'!U435,"")</x:f>
      </x:c>
      <x:c r="BH434" s="3" t="str">
        <x:f>IF(AND('中古車掲載'!C435="One2car",'中古車掲載'!F435="DOLPHIN",'中古車掲載'!L435="STANDARD RANGE",'中古車掲載'!J435=2023,ISNUMBER('中古車掲載'!N435),'中古車掲載'!N435&gt;=20000,'中古車掲載'!O435&lt;=100000,'中古車掲載'!AL435=1),'中古車掲載'!U435,"")</x:f>
      </x:c>
      <x:c r="BI434" s="3" t="str">
        <x:v>Taladrod|Corolla Cross|HEV|Unknown</x:v>
      </x:c>
      <x:c r="BJ434" s="3" t="n">
        <x:v>435</x:v>
      </x:c>
      <x:c r="BK434" s="3" t="n">
        <x:f>'中古車掲載'!AM435</x:f>
        <x:v>939000</x:v>
      </x:c>
      <x:c r="BL434" s="3" t="n">
        <x:f>IF(ISNUMBER('中古車掲載'!AN435),'中古車掲載'!AN435,"")</x:f>
        <x:v>0.7799003322259136</x:v>
      </x:c>
      <x:c r="BM434" s="3"/>
      <x:c r="BN434" s="3"/>
      <x:c r="BO434" s="3"/>
      <x:c r="BP434" s="3"/>
      <x:c r="BQ434" s="3"/>
      <x:c r="BR434" s="3"/>
    </x:row>
    <x:row r="435" ht="22" customHeight="1">
      <x:c r="A435" s="3" t="str">
        <x:v>Corolla Cross</x:v>
      </x:c>
      <x:c r="B435" s="3" t="str">
        <x:v>HEV</x:v>
      </x:c>
      <x:c r="C435" s="3" t="str">
        <x:v>Taladrod</x:v>
      </x:c>
      <x:c r="D435" s="3" t="str">
        <x:v>SUV</x:v>
      </x:c>
      <x:c r="E435" s="3" t="str"/>
      <x:c r="F435" s="3" t="n">
        <x:v>2021</x:v>
      </x:c>
      <x:c r="G435" s="3" t="str">
        <x:v>HEV PREMIUM LUXURY</x:v>
      </x:c>
      <x:c r="H435" s="3" t="str">
        <x:v>未掲載</x:v>
      </x:c>
      <x:c r="I435" s="3" t="str">
        <x:v>20-ปัจจุบัน</x:v>
      </x:c>
      <x:c r="J435" s="22" t="n">
        <x:f>COUNT('中古車掲載'!AM309:AM310)</x:f>
        <x:v>2</x:v>
      </x:c>
      <x:c r="K435" s="22" t="n">
        <x:f>IF(COUNT('中古車掲載'!AM309:AM310)=0,"",QUARTILE('中古車掲載'!AM309:AM310,1))</x:f>
        <x:v>589750</x:v>
      </x:c>
      <x:c r="L435" s="22" t="n">
        <x:f>IF(COUNT('中古車掲載'!AM309:AM310)=0,"",MEDIAN('中古車掲載'!AM309:AM310))</x:f>
        <x:v>619500</x:v>
      </x:c>
      <x:c r="M435" s="22" t="n">
        <x:f>IF(COUNT('中古車掲載'!AM309:AM310)=0,"",QUARTILE('中古車掲載'!AM309:AM310,3))</x:f>
        <x:v>649250</x:v>
      </x:c>
      <x:c r="N435" s="22" t="n">
        <x:f>COUNT('中古車掲載'!AN309:AN310)</x:f>
        <x:v>0</x:v>
      </x:c>
      <x:c r="O435" s="23" t="str">
        <x:f>IF(COUNT('中古車掲載'!AN309:AN310)=0,"",MEDIAN('中古車掲載'!AN309:AN310))</x:f>
      </x:c>
      <x:c r="P435" s="3"/>
      <x:c r="Q435" s="3"/>
      <x:c r="R435" s="3"/>
      <x:c r="S435" s="3"/>
      <x:c r="T435" s="3"/>
      <x:c r="U435" s="3"/>
      <x:c r="V435" s="3"/>
      <x:c r="W435" s="3"/>
      <x:c r="X435" s="3"/>
      <x:c r="Y435" s="3"/>
      <x:c r="Z435" s="3"/>
      <x:c r="AA435" s="3"/>
      <x:c r="AB435" s="3"/>
      <x:c r="AC435" s="3"/>
      <x:c r="AD435" s="3"/>
      <x:c r="AE435" s="3"/>
      <x:c r="AF435" s="3"/>
      <x:c r="AG435" s="3"/>
      <x:c r="AH435" s="3"/>
      <x:c r="AI435" s="3"/>
      <x:c r="AJ435" s="3"/>
      <x:c r="AK435" s="3"/>
      <x:c r="AL435" s="3"/>
      <x:c r="AM435" s="3"/>
      <x:c r="AN435" s="3"/>
      <x:c r="AO435" s="3"/>
      <x:c r="AP435" s="3"/>
      <x:c r="AQ435" s="3"/>
      <x:c r="AR435" s="3"/>
      <x:c r="AS435" s="3"/>
      <x:c r="AT435" s="3"/>
      <x:c r="AU435" s="3"/>
      <x:c r="AV435" s="3"/>
      <x:c r="AW435" s="3"/>
      <x:c r="AX435" s="3"/>
      <x:c r="AY435" s="3"/>
      <x:c r="AZ435" s="3" t="str">
        <x:f>IF(AND('中古車掲載'!C436="One2car",'中古車掲載'!F436="ATTO 3",'中古車掲載'!L436="EXTENDED RANGE",'中古車掲載'!J436=2023,ISNUMBER('中古車掲載'!N436),'中古車掲載'!N436&gt;=20000,'中古車掲載'!O436&lt;=100000,'中古車掲載'!AL436=1),'中古車掲載'!U436,"")</x:f>
      </x:c>
      <x:c r="BA435" s="3" t="str">
        <x:f>IF(AND('中古車掲載'!C436="One2car",'中古車掲載'!F436="Corolla Cross",'中古車掲載'!L436="HEV PREMIUM SAFETY",'中古車掲載'!J436=2023,ISNUMBER('中古車掲載'!N436),'中古車掲載'!N436&gt;=20000,'中古車掲載'!O436&lt;=100000,'中古車掲載'!AL436=1,'中古車掲載'!Z436="https://www.one2car.com/en/cars-for-sale/toyota/corolla-cross/year-2023"),'中古車掲載'!U436,"")</x:f>
      </x:c>
      <x:c r="BB435" s="3" t="str">
        <x:f>IF(AND('中古車掲載'!C436="One2car",'中古車掲載'!F436="ATTO 3",'中古車掲載'!L436="EXTENDED RANGE",'中古車掲載'!J436=2023,ISNUMBER('中古車掲載'!N436),'中古車掲載'!N436&gt;=50000,'中古車掲載'!O436&lt;=100000,'中古車掲載'!AL436=1),'中古車掲載'!U436,"")</x:f>
      </x:c>
      <x:c r="BC435" s="3" t="str">
        <x:f>IF(AND('中古車掲載'!C436="One2car",'中古車掲載'!F436="Corolla Cross",'中古車掲載'!L436="HEV PREMIUM SAFETY",'中古車掲載'!J436=2023,ISNUMBER('中古車掲載'!N436),'中古車掲載'!N436&gt;=50000,'中古車掲載'!O436&lt;=100000,'中古車掲載'!AL436=1,'中古車掲載'!Z436="https://www.one2car.com/en/cars-for-sale/toyota/corolla-cross/year-2023"),'中古車掲載'!U436,"")</x:f>
      </x:c>
      <x:c r="BD435" s="3" t="str">
        <x:f>IF(AND('中古車掲載'!C436="One2car",'中古車掲載'!F436="ATTO 3",'中古車掲載'!L436="EXTENDED RANGE",'中古車掲載'!J436=2023,ISNUMBER('中古車掲載'!N436),'中古車掲載'!N436&gt;=20000,'中古車掲載'!O436&lt;=50000,'中古車掲載'!AL436=1),'中古車掲載'!U436,"")</x:f>
      </x:c>
      <x:c r="BE435" s="3" t="str">
        <x:f>IF(AND('中古車掲載'!C436="One2car",'中古車掲載'!F436="Corolla Cross",'中古車掲載'!L436="HEV PREMIUM SAFETY",'中古車掲載'!J436=2023,ISNUMBER('中古車掲載'!N436),'中古車掲載'!N436&gt;=20000,'中古車掲載'!O436&lt;=50000,'中古車掲載'!AL436=1,'中古車掲載'!Z436="https://www.one2car.com/en/cars-for-sale/toyota/corolla-cross/year-2023"),'中古車掲載'!U436,"")</x:f>
      </x:c>
      <x:c r="BF435" s="3" t="str">
        <x:f>IF(AND('中古車掲載'!C436="One2car",'中古車掲載'!F436="Corolla Cross",'中古車掲載'!L436="HEV PREMIUM",'中古車掲載'!J436=2023,ISNUMBER('中古車掲載'!N436),'中古車掲載'!N436&gt;=20000,'中古車掲載'!O436&lt;=100000,'中古車掲載'!AL436=1,'中古車掲載'!Z436="https://www.one2car.com/en/cars-for-sale/toyota/corolla-cross/year-2023"),'中古車掲載'!U436,"")</x:f>
      </x:c>
      <x:c r="BG435" s="3" t="str">
        <x:f>IF(AND('中古車掲載'!C436="One2car",'中古車掲載'!F436="Corolla Cross",'中古車掲載'!L436="HEV GR SPORT",'中古車掲載'!J436=2023,ISNUMBER('中古車掲載'!N436),'中古車掲載'!N436&gt;=20000,'中古車掲載'!O436&lt;=100000,'中古車掲載'!AL436=1,'中古車掲載'!Z436="https://www.one2car.com/en/cars-for-sale/toyota/corolla-cross/year-2023"),'中古車掲載'!U436,"")</x:f>
      </x:c>
      <x:c r="BH435" s="3" t="str">
        <x:f>IF(AND('中古車掲載'!C436="One2car",'中古車掲載'!F436="DOLPHIN",'中古車掲載'!L436="STANDARD RANGE",'中古車掲載'!J436=2023,ISNUMBER('中古車掲載'!N436),'中古車掲載'!N436&gt;=20000,'中古車掲載'!O436&lt;=100000,'中古車掲載'!AL436=1),'中古車掲載'!U436,"")</x:f>
      </x:c>
      <x:c r="BI435" s="3" t="str">
        <x:v>Taladrod|Corolla Cross|HEV|Unknown</x:v>
      </x:c>
      <x:c r="BJ435" s="3" t="n">
        <x:v>436</x:v>
      </x:c>
      <x:c r="BK435" s="3" t="n">
        <x:f>'中古車掲載'!AM436</x:f>
        <x:v>999000</x:v>
      </x:c>
      <x:c r="BL435" s="3" t="n">
        <x:f>IF(ISNUMBER('中古車掲載'!AN436),'中古車掲載'!AN436,"")</x:f>
        <x:v>0.829734219269103</x:v>
      </x:c>
      <x:c r="BM435" s="3"/>
      <x:c r="BN435" s="3"/>
      <x:c r="BO435" s="3"/>
      <x:c r="BP435" s="3"/>
      <x:c r="BQ435" s="3"/>
      <x:c r="BR435" s="3"/>
    </x:row>
    <x:row r="436" ht="22" customHeight="1">
      <x:c r="A436" s="3" t="str">
        <x:v>Corolla Cross</x:v>
      </x:c>
      <x:c r="B436" s="3" t="str">
        <x:v>HEV</x:v>
      </x:c>
      <x:c r="C436" s="3" t="str">
        <x:v>Taladrod</x:v>
      </x:c>
      <x:c r="D436" s="3" t="str">
        <x:v>SUV</x:v>
      </x:c>
      <x:c r="E436" s="3" t="str"/>
      <x:c r="F436" s="3" t="n">
        <x:v>2021</x:v>
      </x:c>
      <x:c r="G436" s="3" t="str">
        <x:v>HEV PREMIUM SAFETY</x:v>
      </x:c>
      <x:c r="H436" s="3" t="str">
        <x:v>未掲載</x:v>
      </x:c>
      <x:c r="I436" s="3" t="str">
        <x:v>20-ปัจจุบัน</x:v>
      </x:c>
      <x:c r="J436" s="22" t="n">
        <x:f>COUNT('中古車掲載'!AM311:AM331)</x:f>
        <x:v>21</x:v>
      </x:c>
      <x:c r="K436" s="22" t="n">
        <x:f>IF(COUNT('中古車掲載'!AM311:AM331)=0,"",QUARTILE('中古車掲載'!AM311:AM331,1))</x:f>
        <x:v>634000</x:v>
      </x:c>
      <x:c r="L436" s="22" t="n">
        <x:f>IF(COUNT('中古車掲載'!AM311:AM331)=0,"",MEDIAN('中古車掲載'!AM311:AM331))</x:f>
        <x:v>669000</x:v>
      </x:c>
      <x:c r="M436" s="22" t="n">
        <x:f>IF(COUNT('中古車掲載'!AM311:AM331)=0,"",QUARTILE('中古車掲載'!AM311:AM331,3))</x:f>
        <x:v>698000</x:v>
      </x:c>
      <x:c r="N436" s="22" t="n">
        <x:f>COUNT('中古車掲載'!AN311:AN331)</x:f>
        <x:v>0</x:v>
      </x:c>
      <x:c r="O436" s="23" t="str">
        <x:f>IF(COUNT('中古車掲載'!AN311:AN331)=0,"",MEDIAN('中古車掲載'!AN311:AN331))</x:f>
      </x:c>
      <x:c r="P436" s="3"/>
      <x:c r="Q436" s="3"/>
      <x:c r="R436" s="3"/>
      <x:c r="S436" s="3"/>
      <x:c r="T436" s="3"/>
      <x:c r="U436" s="3"/>
      <x:c r="V436" s="3"/>
      <x:c r="W436" s="3"/>
      <x:c r="X436" s="3"/>
      <x:c r="Y436" s="3"/>
      <x:c r="Z436" s="3"/>
      <x:c r="AA436" s="3"/>
      <x:c r="AB436" s="3"/>
      <x:c r="AC436" s="3"/>
      <x:c r="AD436" s="3"/>
      <x:c r="AE436" s="3"/>
      <x:c r="AF436" s="3"/>
      <x:c r="AG436" s="3"/>
      <x:c r="AH436" s="3"/>
      <x:c r="AI436" s="3"/>
      <x:c r="AJ436" s="3"/>
      <x:c r="AK436" s="3"/>
      <x:c r="AL436" s="3"/>
      <x:c r="AM436" s="3"/>
      <x:c r="AN436" s="3"/>
      <x:c r="AO436" s="3"/>
      <x:c r="AP436" s="3"/>
      <x:c r="AQ436" s="3"/>
      <x:c r="AR436" s="3"/>
      <x:c r="AS436" s="3"/>
      <x:c r="AT436" s="3"/>
      <x:c r="AU436" s="3"/>
      <x:c r="AV436" s="3"/>
      <x:c r="AW436" s="3"/>
      <x:c r="AX436" s="3"/>
      <x:c r="AY436" s="3"/>
      <x:c r="AZ436" s="3" t="str">
        <x:f>IF(AND('中古車掲載'!C437="One2car",'中古車掲載'!F437="ATTO 3",'中古車掲載'!L437="EXTENDED RANGE",'中古車掲載'!J437=2023,ISNUMBER('中古車掲載'!N437),'中古車掲載'!N437&gt;=20000,'中古車掲載'!O437&lt;=100000,'中古車掲載'!AL437=1),'中古車掲載'!U437,"")</x:f>
      </x:c>
      <x:c r="BA436" s="3" t="str">
        <x:f>IF(AND('中古車掲載'!C437="One2car",'中古車掲載'!F437="Corolla Cross",'中古車掲載'!L437="HEV PREMIUM SAFETY",'中古車掲載'!J437=2023,ISNUMBER('中古車掲載'!N437),'中古車掲載'!N437&gt;=20000,'中古車掲載'!O437&lt;=100000,'中古車掲載'!AL437=1,'中古車掲載'!Z437="https://www.one2car.com/en/cars-for-sale/toyota/corolla-cross/year-2023"),'中古車掲載'!U437,"")</x:f>
      </x:c>
      <x:c r="BB436" s="3" t="str">
        <x:f>IF(AND('中古車掲載'!C437="One2car",'中古車掲載'!F437="ATTO 3",'中古車掲載'!L437="EXTENDED RANGE",'中古車掲載'!J437=2023,ISNUMBER('中古車掲載'!N437),'中古車掲載'!N437&gt;=50000,'中古車掲載'!O437&lt;=100000,'中古車掲載'!AL437=1),'中古車掲載'!U437,"")</x:f>
      </x:c>
      <x:c r="BC436" s="3" t="str">
        <x:f>IF(AND('中古車掲載'!C437="One2car",'中古車掲載'!F437="Corolla Cross",'中古車掲載'!L437="HEV PREMIUM SAFETY",'中古車掲載'!J437=2023,ISNUMBER('中古車掲載'!N437),'中古車掲載'!N437&gt;=50000,'中古車掲載'!O437&lt;=100000,'中古車掲載'!AL437=1,'中古車掲載'!Z437="https://www.one2car.com/en/cars-for-sale/toyota/corolla-cross/year-2023"),'中古車掲載'!U437,"")</x:f>
      </x:c>
      <x:c r="BD436" s="3" t="str">
        <x:f>IF(AND('中古車掲載'!C437="One2car",'中古車掲載'!F437="ATTO 3",'中古車掲載'!L437="EXTENDED RANGE",'中古車掲載'!J437=2023,ISNUMBER('中古車掲載'!N437),'中古車掲載'!N437&gt;=20000,'中古車掲載'!O437&lt;=50000,'中古車掲載'!AL437=1),'中古車掲載'!U437,"")</x:f>
      </x:c>
      <x:c r="BE436" s="3" t="str">
        <x:f>IF(AND('中古車掲載'!C437="One2car",'中古車掲載'!F437="Corolla Cross",'中古車掲載'!L437="HEV PREMIUM SAFETY",'中古車掲載'!J437=2023,ISNUMBER('中古車掲載'!N437),'中古車掲載'!N437&gt;=20000,'中古車掲載'!O437&lt;=50000,'中古車掲載'!AL437=1,'中古車掲載'!Z437="https://www.one2car.com/en/cars-for-sale/toyota/corolla-cross/year-2023"),'中古車掲載'!U437,"")</x:f>
      </x:c>
      <x:c r="BF436" s="3" t="str">
        <x:f>IF(AND('中古車掲載'!C437="One2car",'中古車掲載'!F437="Corolla Cross",'中古車掲載'!L437="HEV PREMIUM",'中古車掲載'!J437=2023,ISNUMBER('中古車掲載'!N437),'中古車掲載'!N437&gt;=20000,'中古車掲載'!O437&lt;=100000,'中古車掲載'!AL437=1,'中古車掲載'!Z437="https://www.one2car.com/en/cars-for-sale/toyota/corolla-cross/year-2023"),'中古車掲載'!U437,"")</x:f>
      </x:c>
      <x:c r="BG436" s="3" t="str">
        <x:f>IF(AND('中古車掲載'!C437="One2car",'中古車掲載'!F437="Corolla Cross",'中古車掲載'!L437="HEV GR SPORT",'中古車掲載'!J437=2023,ISNUMBER('中古車掲載'!N437),'中古車掲載'!N437&gt;=20000,'中古車掲載'!O437&lt;=100000,'中古車掲載'!AL437=1,'中古車掲載'!Z437="https://www.one2car.com/en/cars-for-sale/toyota/corolla-cross/year-2023"),'中古車掲載'!U437,"")</x:f>
      </x:c>
      <x:c r="BH436" s="3" t="str">
        <x:f>IF(AND('中古車掲載'!C437="One2car",'中古車掲載'!F437="DOLPHIN",'中古車掲載'!L437="STANDARD RANGE",'中古車掲載'!J437=2023,ISNUMBER('中古車掲載'!N437),'中古車掲載'!N437&gt;=20000,'中古車掲載'!O437&lt;=100000,'中古車掲載'!AL437=1),'中古車掲載'!U437,"")</x:f>
      </x:c>
      <x:c r="BI436" s="3" t="str">
        <x:v>Taladrod|Corolla Cross|HEV|Unknown</x:v>
      </x:c>
      <x:c r="BJ436" s="3" t="n">
        <x:v>437</x:v>
      </x:c>
      <x:c r="BK436" s="3" t="n">
        <x:f>'中古車掲載'!AM437</x:f>
        <x:v>959000</x:v>
      </x:c>
      <x:c r="BL436" s="3" t="n">
        <x:f>IF(ISNUMBER('中古車掲載'!AN437),'中古車掲載'!AN437,"")</x:f>
        <x:v>0.7965116279069767</x:v>
      </x:c>
      <x:c r="BM436" s="3"/>
      <x:c r="BN436" s="3"/>
      <x:c r="BO436" s="3"/>
      <x:c r="BP436" s="3"/>
      <x:c r="BQ436" s="3"/>
      <x:c r="BR436" s="3"/>
    </x:row>
    <x:row r="437" ht="22" customHeight="1">
      <x:c r="A437" s="3" t="str">
        <x:v>Corolla Cross</x:v>
      </x:c>
      <x:c r="B437" s="3" t="str">
        <x:v>HEV</x:v>
      </x:c>
      <x:c r="C437" s="3" t="str">
        <x:v>Taladrod</x:v>
      </x:c>
      <x:c r="D437" s="3" t="str">
        <x:v>SUV</x:v>
      </x:c>
      <x:c r="E437" s="3" t="str"/>
      <x:c r="F437" s="3" t="n">
        <x:v>2021</x:v>
      </x:c>
      <x:c r="G437" s="3" t="str">
        <x:v>HEV PREMIUM SAFETY MODELLISTA</x:v>
      </x:c>
      <x:c r="H437" s="3" t="str">
        <x:v>未掲載</x:v>
      </x:c>
      <x:c r="I437" s="3" t="str">
        <x:v>20-ปัจจุบัน</x:v>
      </x:c>
      <x:c r="J437" s="22" t="n">
        <x:f>COUNT('中古車掲載'!AM332:AM332)</x:f>
        <x:v>1</x:v>
      </x:c>
      <x:c r="K437" s="22" t="n">
        <x:f>IF(COUNT('中古車掲載'!AM332:AM332)=0,"",QUARTILE('中古車掲載'!AM332:AM332,1))</x:f>
        <x:v>950000</x:v>
      </x:c>
      <x:c r="L437" s="22" t="n">
        <x:f>IF(COUNT('中古車掲載'!AM332:AM332)=0,"",MEDIAN('中古車掲載'!AM332:AM332))</x:f>
        <x:v>950000</x:v>
      </x:c>
      <x:c r="M437" s="22" t="n">
        <x:f>IF(COUNT('中古車掲載'!AM332:AM332)=0,"",QUARTILE('中古車掲載'!AM332:AM332,3))</x:f>
        <x:v>950000</x:v>
      </x:c>
      <x:c r="N437" s="22" t="n">
        <x:f>COUNT('中古車掲載'!AN332:AN332)</x:f>
        <x:v>0</x:v>
      </x:c>
      <x:c r="O437" s="23" t="str">
        <x:f>IF(COUNT('中古車掲載'!AN332:AN332)=0,"",MEDIAN('中古車掲載'!AN332:AN332))</x:f>
      </x:c>
      <x:c r="P437" s="3"/>
      <x:c r="Q437" s="3"/>
      <x:c r="R437" s="3"/>
      <x:c r="S437" s="3"/>
      <x:c r="T437" s="3"/>
      <x:c r="U437" s="3"/>
      <x:c r="V437" s="3"/>
      <x:c r="W437" s="3"/>
      <x:c r="X437" s="3"/>
      <x:c r="Y437" s="3"/>
      <x:c r="Z437" s="3"/>
      <x:c r="AA437" s="3"/>
      <x:c r="AB437" s="3"/>
      <x:c r="AC437" s="3"/>
      <x:c r="AD437" s="3"/>
      <x:c r="AE437" s="3"/>
      <x:c r="AF437" s="3"/>
      <x:c r="AG437" s="3"/>
      <x:c r="AH437" s="3"/>
      <x:c r="AI437" s="3"/>
      <x:c r="AJ437" s="3"/>
      <x:c r="AK437" s="3"/>
      <x:c r="AL437" s="3"/>
      <x:c r="AM437" s="3"/>
      <x:c r="AN437" s="3"/>
      <x:c r="AO437" s="3"/>
      <x:c r="AP437" s="3"/>
      <x:c r="AQ437" s="3"/>
      <x:c r="AR437" s="3"/>
      <x:c r="AS437" s="3"/>
      <x:c r="AT437" s="3"/>
      <x:c r="AU437" s="3"/>
      <x:c r="AV437" s="3"/>
      <x:c r="AW437" s="3"/>
      <x:c r="AX437" s="3"/>
      <x:c r="AY437" s="3"/>
      <x:c r="AZ437" s="3" t="str">
        <x:f>IF(AND('中古車掲載'!C438="One2car",'中古車掲載'!F438="ATTO 3",'中古車掲載'!L438="EXTENDED RANGE",'中古車掲載'!J438=2023,ISNUMBER('中古車掲載'!N438),'中古車掲載'!N438&gt;=20000,'中古車掲載'!O438&lt;=100000,'中古車掲載'!AL438=1),'中古車掲載'!U438,"")</x:f>
      </x:c>
      <x:c r="BA437" s="3" t="str">
        <x:f>IF(AND('中古車掲載'!C438="One2car",'中古車掲載'!F438="Corolla Cross",'中古車掲載'!L438="HEV PREMIUM SAFETY",'中古車掲載'!J438=2023,ISNUMBER('中古車掲載'!N438),'中古車掲載'!N438&gt;=20000,'中古車掲載'!O438&lt;=100000,'中古車掲載'!AL438=1,'中古車掲載'!Z438="https://www.one2car.com/en/cars-for-sale/toyota/corolla-cross/year-2023"),'中古車掲載'!U438,"")</x:f>
      </x:c>
      <x:c r="BB437" s="3" t="str">
        <x:f>IF(AND('中古車掲載'!C438="One2car",'中古車掲載'!F438="ATTO 3",'中古車掲載'!L438="EXTENDED RANGE",'中古車掲載'!J438=2023,ISNUMBER('中古車掲載'!N438),'中古車掲載'!N438&gt;=50000,'中古車掲載'!O438&lt;=100000,'中古車掲載'!AL438=1),'中古車掲載'!U438,"")</x:f>
      </x:c>
      <x:c r="BC437" s="3" t="str">
        <x:f>IF(AND('中古車掲載'!C438="One2car",'中古車掲載'!F438="Corolla Cross",'中古車掲載'!L438="HEV PREMIUM SAFETY",'中古車掲載'!J438=2023,ISNUMBER('中古車掲載'!N438),'中古車掲載'!N438&gt;=50000,'中古車掲載'!O438&lt;=100000,'中古車掲載'!AL438=1,'中古車掲載'!Z438="https://www.one2car.com/en/cars-for-sale/toyota/corolla-cross/year-2023"),'中古車掲載'!U438,"")</x:f>
      </x:c>
      <x:c r="BD437" s="3" t="str">
        <x:f>IF(AND('中古車掲載'!C438="One2car",'中古車掲載'!F438="ATTO 3",'中古車掲載'!L438="EXTENDED RANGE",'中古車掲載'!J438=2023,ISNUMBER('中古車掲載'!N438),'中古車掲載'!N438&gt;=20000,'中古車掲載'!O438&lt;=50000,'中古車掲載'!AL438=1),'中古車掲載'!U438,"")</x:f>
      </x:c>
      <x:c r="BE437" s="3" t="str">
        <x:f>IF(AND('中古車掲載'!C438="One2car",'中古車掲載'!F438="Corolla Cross",'中古車掲載'!L438="HEV PREMIUM SAFETY",'中古車掲載'!J438=2023,ISNUMBER('中古車掲載'!N438),'中古車掲載'!N438&gt;=20000,'中古車掲載'!O438&lt;=50000,'中古車掲載'!AL438=1,'中古車掲載'!Z438="https://www.one2car.com/en/cars-for-sale/toyota/corolla-cross/year-2023"),'中古車掲載'!U438,"")</x:f>
      </x:c>
      <x:c r="BF437" s="3" t="str">
        <x:f>IF(AND('中古車掲載'!C438="One2car",'中古車掲載'!F438="Corolla Cross",'中古車掲載'!L438="HEV PREMIUM",'中古車掲載'!J438=2023,ISNUMBER('中古車掲載'!N438),'中古車掲載'!N438&gt;=20000,'中古車掲載'!O438&lt;=100000,'中古車掲載'!AL438=1,'中古車掲載'!Z438="https://www.one2car.com/en/cars-for-sale/toyota/corolla-cross/year-2023"),'中古車掲載'!U438,"")</x:f>
      </x:c>
      <x:c r="BG437" s="3" t="str">
        <x:f>IF(AND('中古車掲載'!C438="One2car",'中古車掲載'!F438="Corolla Cross",'中古車掲載'!L438="HEV GR SPORT",'中古車掲載'!J438=2023,ISNUMBER('中古車掲載'!N438),'中古車掲載'!N438&gt;=20000,'中古車掲載'!O438&lt;=100000,'中古車掲載'!AL438=1,'中古車掲載'!Z438="https://www.one2car.com/en/cars-for-sale/toyota/corolla-cross/year-2023"),'中古車掲載'!U438,"")</x:f>
      </x:c>
      <x:c r="BH437" s="3" t="str">
        <x:f>IF(AND('中古車掲載'!C438="One2car",'中古車掲載'!F438="DOLPHIN",'中古車掲載'!L438="STANDARD RANGE",'中古車掲載'!J438=2023,ISNUMBER('中古車掲載'!N438),'中古車掲載'!N438&gt;=20000,'中古車掲載'!O438&lt;=100000,'中古車掲載'!AL438=1),'中古車掲載'!U438,"")</x:f>
      </x:c>
      <x:c r="BI437" s="3" t="str">
        <x:v>Taladrod|Corolla Cross|HEV|Unknown</x:v>
      </x:c>
      <x:c r="BJ437" s="3" t="n">
        <x:v>438</x:v>
      </x:c>
      <x:c r="BK437" s="3" t="n">
        <x:f>'中古車掲載'!AM438</x:f>
        <x:v>899000</x:v>
      </x:c>
      <x:c r="BL437" s="3" t="n">
        <x:f>IF(ISNUMBER('中古車掲載'!AN438),'中古車掲載'!AN438,"")</x:f>
        <x:v>0.7466777408637874</x:v>
      </x:c>
      <x:c r="BM437" s="3"/>
      <x:c r="BN437" s="3"/>
      <x:c r="BO437" s="3"/>
      <x:c r="BP437" s="3"/>
      <x:c r="BQ437" s="3"/>
      <x:c r="BR437" s="3"/>
    </x:row>
    <x:row r="438" ht="22" customHeight="1">
      <x:c r="A438" s="3" t="str">
        <x:v>Corolla Cross</x:v>
      </x:c>
      <x:c r="B438" s="3" t="str">
        <x:v>HEV</x:v>
      </x:c>
      <x:c r="C438" s="3" t="str">
        <x:v>Taladrod</x:v>
      </x:c>
      <x:c r="D438" s="3" t="str">
        <x:v>SUV</x:v>
      </x:c>
      <x:c r="E438" s="3" t="str"/>
      <x:c r="F438" s="3" t="n">
        <x:v>2021</x:v>
      </x:c>
      <x:c r="G438" s="3" t="str">
        <x:v>HEV SMART</x:v>
      </x:c>
      <x:c r="H438" s="3" t="str">
        <x:v>未掲載</x:v>
      </x:c>
      <x:c r="I438" s="3" t="str">
        <x:v>20-ปัจจุบัน</x:v>
      </x:c>
      <x:c r="J438" s="22" t="n">
        <x:f>COUNT('中古車掲載'!AM333:AM340)</x:f>
        <x:v>8</x:v>
      </x:c>
      <x:c r="K438" s="22" t="n">
        <x:f>IF(COUNT('中古車掲載'!AM333:AM340)=0,"",QUARTILE('中古車掲載'!AM333:AM340,1))</x:f>
        <x:v>546500</x:v>
      </x:c>
      <x:c r="L438" s="22" t="n">
        <x:f>IF(COUNT('中古車掲載'!AM333:AM340)=0,"",MEDIAN('中古車掲載'!AM333:AM340))</x:f>
        <x:v>559000</x:v>
      </x:c>
      <x:c r="M438" s="22" t="n">
        <x:f>IF(COUNT('中古車掲載'!AM333:AM340)=0,"",QUARTILE('中古車掲載'!AM333:AM340,3))</x:f>
        <x:v>564000</x:v>
      </x:c>
      <x:c r="N438" s="22" t="n">
        <x:f>COUNT('中古車掲載'!AN333:AN340)</x:f>
        <x:v>0</x:v>
      </x:c>
      <x:c r="O438" s="23" t="str">
        <x:f>IF(COUNT('中古車掲載'!AN333:AN340)=0,"",MEDIAN('中古車掲載'!AN333:AN340))</x:f>
      </x:c>
      <x:c r="P438" s="3"/>
      <x:c r="Q438" s="3"/>
      <x:c r="R438" s="3"/>
      <x:c r="S438" s="3"/>
      <x:c r="T438" s="3"/>
      <x:c r="U438" s="3"/>
      <x:c r="V438" s="3"/>
      <x:c r="W438" s="3"/>
      <x:c r="X438" s="3"/>
      <x:c r="Y438" s="3"/>
      <x:c r="Z438" s="3"/>
      <x:c r="AA438" s="3"/>
      <x:c r="AB438" s="3"/>
      <x:c r="AC438" s="3"/>
      <x:c r="AD438" s="3"/>
      <x:c r="AE438" s="3"/>
      <x:c r="AF438" s="3"/>
      <x:c r="AG438" s="3"/>
      <x:c r="AH438" s="3"/>
      <x:c r="AI438" s="3"/>
      <x:c r="AJ438" s="3"/>
      <x:c r="AK438" s="3"/>
      <x:c r="AL438" s="3"/>
      <x:c r="AM438" s="3"/>
      <x:c r="AN438" s="3"/>
      <x:c r="AO438" s="3"/>
      <x:c r="AP438" s="3"/>
      <x:c r="AQ438" s="3"/>
      <x:c r="AR438" s="3"/>
      <x:c r="AS438" s="3"/>
      <x:c r="AT438" s="3"/>
      <x:c r="AU438" s="3"/>
      <x:c r="AV438" s="3"/>
      <x:c r="AW438" s="3"/>
      <x:c r="AX438" s="3"/>
      <x:c r="AY438" s="3"/>
      <x:c r="AZ438" s="3" t="str">
        <x:f>IF(AND('中古車掲載'!C439="One2car",'中古車掲載'!F439="ATTO 3",'中古車掲載'!L439="EXTENDED RANGE",'中古車掲載'!J439=2023,ISNUMBER('中古車掲載'!N439),'中古車掲載'!N439&gt;=20000,'中古車掲載'!O439&lt;=100000,'中古車掲載'!AL439=1),'中古車掲載'!U439,"")</x:f>
      </x:c>
      <x:c r="BA438" s="3" t="str">
        <x:f>IF(AND('中古車掲載'!C439="One2car",'中古車掲載'!F439="Corolla Cross",'中古車掲載'!L439="HEV PREMIUM SAFETY",'中古車掲載'!J439=2023,ISNUMBER('中古車掲載'!N439),'中古車掲載'!N439&gt;=20000,'中古車掲載'!O439&lt;=100000,'中古車掲載'!AL439=1,'中古車掲載'!Z439="https://www.one2car.com/en/cars-for-sale/toyota/corolla-cross/year-2023"),'中古車掲載'!U439,"")</x:f>
      </x:c>
      <x:c r="BB438" s="3" t="str">
        <x:f>IF(AND('中古車掲載'!C439="One2car",'中古車掲載'!F439="ATTO 3",'中古車掲載'!L439="EXTENDED RANGE",'中古車掲載'!J439=2023,ISNUMBER('中古車掲載'!N439),'中古車掲載'!N439&gt;=50000,'中古車掲載'!O439&lt;=100000,'中古車掲載'!AL439=1),'中古車掲載'!U439,"")</x:f>
      </x:c>
      <x:c r="BC438" s="3" t="str">
        <x:f>IF(AND('中古車掲載'!C439="One2car",'中古車掲載'!F439="Corolla Cross",'中古車掲載'!L439="HEV PREMIUM SAFETY",'中古車掲載'!J439=2023,ISNUMBER('中古車掲載'!N439),'中古車掲載'!N439&gt;=50000,'中古車掲載'!O439&lt;=100000,'中古車掲載'!AL439=1,'中古車掲載'!Z439="https://www.one2car.com/en/cars-for-sale/toyota/corolla-cross/year-2023"),'中古車掲載'!U439,"")</x:f>
      </x:c>
      <x:c r="BD438" s="3" t="str">
        <x:f>IF(AND('中古車掲載'!C439="One2car",'中古車掲載'!F439="ATTO 3",'中古車掲載'!L439="EXTENDED RANGE",'中古車掲載'!J439=2023,ISNUMBER('中古車掲載'!N439),'中古車掲載'!N439&gt;=20000,'中古車掲載'!O439&lt;=50000,'中古車掲載'!AL439=1),'中古車掲載'!U439,"")</x:f>
      </x:c>
      <x:c r="BE438" s="3" t="str">
        <x:f>IF(AND('中古車掲載'!C439="One2car",'中古車掲載'!F439="Corolla Cross",'中古車掲載'!L439="HEV PREMIUM SAFETY",'中古車掲載'!J439=2023,ISNUMBER('中古車掲載'!N439),'中古車掲載'!N439&gt;=20000,'中古車掲載'!O439&lt;=50000,'中古車掲載'!AL439=1,'中古車掲載'!Z439="https://www.one2car.com/en/cars-for-sale/toyota/corolla-cross/year-2023"),'中古車掲載'!U439,"")</x:f>
      </x:c>
      <x:c r="BF438" s="3" t="str">
        <x:f>IF(AND('中古車掲載'!C439="One2car",'中古車掲載'!F439="Corolla Cross",'中古車掲載'!L439="HEV PREMIUM",'中古車掲載'!J439=2023,ISNUMBER('中古車掲載'!N439),'中古車掲載'!N439&gt;=20000,'中古車掲載'!O439&lt;=100000,'中古車掲載'!AL439=1,'中古車掲載'!Z439="https://www.one2car.com/en/cars-for-sale/toyota/corolla-cross/year-2023"),'中古車掲載'!U439,"")</x:f>
      </x:c>
      <x:c r="BG438" s="3" t="str">
        <x:f>IF(AND('中古車掲載'!C439="One2car",'中古車掲載'!F439="Corolla Cross",'中古車掲載'!L439="HEV GR SPORT",'中古車掲載'!J439=2023,ISNUMBER('中古車掲載'!N439),'中古車掲載'!N439&gt;=20000,'中古車掲載'!O439&lt;=100000,'中古車掲載'!AL439=1,'中古車掲載'!Z439="https://www.one2car.com/en/cars-for-sale/toyota/corolla-cross/year-2023"),'中古車掲載'!U439,"")</x:f>
      </x:c>
      <x:c r="BH438" s="3" t="str">
        <x:f>IF(AND('中古車掲載'!C439="One2car",'中古車掲載'!F439="DOLPHIN",'中古車掲載'!L439="STANDARD RANGE",'中古車掲載'!J439=2023,ISNUMBER('中古車掲載'!N439),'中古車掲載'!N439&gt;=20000,'中古車掲載'!O439&lt;=100000,'中古車掲載'!AL439=1),'中古車掲載'!U439,"")</x:f>
      </x:c>
      <x:c r="BI438" s="3" t="str">
        <x:v>Taladrod|Corolla Cross|HEV|Unknown</x:v>
      </x:c>
      <x:c r="BJ438" s="3" t="n">
        <x:v>439</x:v>
      </x:c>
      <x:c r="BK438" s="3" t="str">
        <x:f>'中古車掲載'!AM439</x:f>
      </x:c>
      <x:c r="BL438" s="3" t="str">
        <x:f>IF(ISNUMBER('中古車掲載'!AN439),'中古車掲載'!AN439,"")</x:f>
      </x:c>
      <x:c r="BM438" s="3"/>
      <x:c r="BN438" s="3"/>
      <x:c r="BO438" s="3"/>
      <x:c r="BP438" s="3"/>
      <x:c r="BQ438" s="3"/>
      <x:c r="BR438" s="3"/>
    </x:row>
    <x:row r="439" ht="22" customHeight="1">
      <x:c r="A439" s="3" t="str">
        <x:v>Corolla Cross</x:v>
      </x:c>
      <x:c r="B439" s="3" t="str">
        <x:v>HEV</x:v>
      </x:c>
      <x:c r="C439" s="3" t="str">
        <x:v>Taladrod</x:v>
      </x:c>
      <x:c r="D439" s="3" t="str">
        <x:v>SUV</x:v>
      </x:c>
      <x:c r="E439" s="3" t="str"/>
      <x:c r="F439" s="3" t="n">
        <x:v>2022</x:v>
      </x:c>
      <x:c r="G439" s="3" t="str">
        <x:v>HEV GR SPORT</x:v>
      </x:c>
      <x:c r="H439" s="3" t="str">
        <x:v>未掲載</x:v>
      </x:c>
      <x:c r="I439" s="3" t="str">
        <x:v>20-ปัจจุบัน</x:v>
      </x:c>
      <x:c r="J439" s="22" t="n">
        <x:f>COUNT('中古車掲載'!AM341:AM348)</x:f>
        <x:v>8</x:v>
      </x:c>
      <x:c r="K439" s="22" t="n">
        <x:f>IF(COUNT('中古車掲載'!AM341:AM348)=0,"",QUARTILE('中古車掲載'!AM341:AM348,1))</x:f>
        <x:v>738500</x:v>
      </x:c>
      <x:c r="L439" s="22" t="n">
        <x:f>IF(COUNT('中古車掲載'!AM341:AM348)=0,"",MEDIAN('中古車掲載'!AM341:AM348))</x:f>
        <x:v>779000</x:v>
      </x:c>
      <x:c r="M439" s="22" t="n">
        <x:f>IF(COUNT('中古車掲載'!AM341:AM348)=0,"",QUARTILE('中古車掲載'!AM341:AM348,3))</x:f>
        <x:v>801000</x:v>
      </x:c>
      <x:c r="N439" s="22" t="n">
        <x:f>COUNT('中古車掲載'!AN341:AN348)</x:f>
        <x:v>0</x:v>
      </x:c>
      <x:c r="O439" s="23" t="str">
        <x:f>IF(COUNT('中古車掲載'!AN341:AN348)=0,"",MEDIAN('中古車掲載'!AN341:AN348))</x:f>
      </x:c>
      <x:c r="P439" s="3"/>
      <x:c r="Q439" s="3"/>
      <x:c r="R439" s="3"/>
      <x:c r="S439" s="3"/>
      <x:c r="T439" s="3"/>
      <x:c r="U439" s="3"/>
      <x:c r="V439" s="3"/>
      <x:c r="W439" s="3"/>
      <x:c r="X439" s="3"/>
      <x:c r="Y439" s="3"/>
      <x:c r="Z439" s="3"/>
      <x:c r="AA439" s="3"/>
      <x:c r="AB439" s="3"/>
      <x:c r="AC439" s="3"/>
      <x:c r="AD439" s="3"/>
      <x:c r="AE439" s="3"/>
      <x:c r="AF439" s="3"/>
      <x:c r="AG439" s="3"/>
      <x:c r="AH439" s="3"/>
      <x:c r="AI439" s="3"/>
      <x:c r="AJ439" s="3"/>
      <x:c r="AK439" s="3"/>
      <x:c r="AL439" s="3"/>
      <x:c r="AM439" s="3"/>
      <x:c r="AN439" s="3"/>
      <x:c r="AO439" s="3"/>
      <x:c r="AP439" s="3"/>
      <x:c r="AQ439" s="3"/>
      <x:c r="AR439" s="3"/>
      <x:c r="AS439" s="3"/>
      <x:c r="AT439" s="3"/>
      <x:c r="AU439" s="3"/>
      <x:c r="AV439" s="3"/>
      <x:c r="AW439" s="3"/>
      <x:c r="AX439" s="3"/>
      <x:c r="AY439" s="3"/>
      <x:c r="AZ439" s="3" t="str">
        <x:f>IF(AND('中古車掲載'!C440="One2car",'中古車掲載'!F440="ATTO 3",'中古車掲載'!L440="EXTENDED RANGE",'中古車掲載'!J440=2023,ISNUMBER('中古車掲載'!N440),'中古車掲載'!N440&gt;=20000,'中古車掲載'!O440&lt;=100000,'中古車掲載'!AL440=1),'中古車掲載'!U440,"")</x:f>
      </x:c>
      <x:c r="BA439" s="3" t="str">
        <x:f>IF(AND('中古車掲載'!C440="One2car",'中古車掲載'!F440="Corolla Cross",'中古車掲載'!L440="HEV PREMIUM SAFETY",'中古車掲載'!J440=2023,ISNUMBER('中古車掲載'!N440),'中古車掲載'!N440&gt;=20000,'中古車掲載'!O440&lt;=100000,'中古車掲載'!AL440=1,'中古車掲載'!Z440="https://www.one2car.com/en/cars-for-sale/toyota/corolla-cross/year-2023"),'中古車掲載'!U440,"")</x:f>
      </x:c>
      <x:c r="BB439" s="3" t="str">
        <x:f>IF(AND('中古車掲載'!C440="One2car",'中古車掲載'!F440="ATTO 3",'中古車掲載'!L440="EXTENDED RANGE",'中古車掲載'!J440=2023,ISNUMBER('中古車掲載'!N440),'中古車掲載'!N440&gt;=50000,'中古車掲載'!O440&lt;=100000,'中古車掲載'!AL440=1),'中古車掲載'!U440,"")</x:f>
      </x:c>
      <x:c r="BC439" s="3" t="str">
        <x:f>IF(AND('中古車掲載'!C440="One2car",'中古車掲載'!F440="Corolla Cross",'中古車掲載'!L440="HEV PREMIUM SAFETY",'中古車掲載'!J440=2023,ISNUMBER('中古車掲載'!N440),'中古車掲載'!N440&gt;=50000,'中古車掲載'!O440&lt;=100000,'中古車掲載'!AL440=1,'中古車掲載'!Z440="https://www.one2car.com/en/cars-for-sale/toyota/corolla-cross/year-2023"),'中古車掲載'!U440,"")</x:f>
      </x:c>
      <x:c r="BD439" s="3" t="str">
        <x:f>IF(AND('中古車掲載'!C440="One2car",'中古車掲載'!F440="ATTO 3",'中古車掲載'!L440="EXTENDED RANGE",'中古車掲載'!J440=2023,ISNUMBER('中古車掲載'!N440),'中古車掲載'!N440&gt;=20000,'中古車掲載'!O440&lt;=50000,'中古車掲載'!AL440=1),'中古車掲載'!U440,"")</x:f>
      </x:c>
      <x:c r="BE439" s="3" t="str">
        <x:f>IF(AND('中古車掲載'!C440="One2car",'中古車掲載'!F440="Corolla Cross",'中古車掲載'!L440="HEV PREMIUM SAFETY",'中古車掲載'!J440=2023,ISNUMBER('中古車掲載'!N440),'中古車掲載'!N440&gt;=20000,'中古車掲載'!O440&lt;=50000,'中古車掲載'!AL440=1,'中古車掲載'!Z440="https://www.one2car.com/en/cars-for-sale/toyota/corolla-cross/year-2023"),'中古車掲載'!U440,"")</x:f>
      </x:c>
      <x:c r="BF439" s="3" t="str">
        <x:f>IF(AND('中古車掲載'!C440="One2car",'中古車掲載'!F440="Corolla Cross",'中古車掲載'!L440="HEV PREMIUM",'中古車掲載'!J440=2023,ISNUMBER('中古車掲載'!N440),'中古車掲載'!N440&gt;=20000,'中古車掲載'!O440&lt;=100000,'中古車掲載'!AL440=1,'中古車掲載'!Z440="https://www.one2car.com/en/cars-for-sale/toyota/corolla-cross/year-2023"),'中古車掲載'!U440,"")</x:f>
      </x:c>
      <x:c r="BG439" s="3" t="str">
        <x:f>IF(AND('中古車掲載'!C440="One2car",'中古車掲載'!F440="Corolla Cross",'中古車掲載'!L440="HEV GR SPORT",'中古車掲載'!J440=2023,ISNUMBER('中古車掲載'!N440),'中古車掲載'!N440&gt;=20000,'中古車掲載'!O440&lt;=100000,'中古車掲載'!AL440=1,'中古車掲載'!Z440="https://www.one2car.com/en/cars-for-sale/toyota/corolla-cross/year-2023"),'中古車掲載'!U440,"")</x:f>
      </x:c>
      <x:c r="BH439" s="3" t="str">
        <x:f>IF(AND('中古車掲載'!C440="One2car",'中古車掲載'!F440="DOLPHIN",'中古車掲載'!L440="STANDARD RANGE",'中古車掲載'!J440=2023,ISNUMBER('中古車掲載'!N440),'中古車掲載'!N440&gt;=20000,'中古車掲載'!O440&lt;=100000,'中古車掲載'!AL440=1),'中古車掲載'!U440,"")</x:f>
      </x:c>
      <x:c r="BI439" s="3" t="str">
        <x:v>Taladrod|Corolla Cross|HEV|Unknown</x:v>
      </x:c>
      <x:c r="BJ439" s="3" t="n">
        <x:v>440</x:v>
      </x:c>
      <x:c r="BK439" s="3" t="str">
        <x:f>'中古車掲載'!AM440</x:f>
      </x:c>
      <x:c r="BL439" s="3" t="str">
        <x:f>IF(ISNUMBER('中古車掲載'!AN440),'中古車掲載'!AN440,"")</x:f>
      </x:c>
      <x:c r="BM439" s="3"/>
      <x:c r="BN439" s="3"/>
      <x:c r="BO439" s="3"/>
      <x:c r="BP439" s="3"/>
      <x:c r="BQ439" s="3"/>
      <x:c r="BR439" s="3"/>
    </x:row>
    <x:row r="440" ht="22" customHeight="1">
      <x:c r="A440" s="3" t="str">
        <x:v>Corolla Cross</x:v>
      </x:c>
      <x:c r="B440" s="3" t="str">
        <x:v>HEV</x:v>
      </x:c>
      <x:c r="C440" s="3" t="str">
        <x:v>Taladrod</x:v>
      </x:c>
      <x:c r="D440" s="3" t="str">
        <x:v>SUV</x:v>
      </x:c>
      <x:c r="E440" s="3" t="str"/>
      <x:c r="F440" s="3" t="n">
        <x:v>2022</x:v>
      </x:c>
      <x:c r="G440" s="3" t="str">
        <x:v>HEV PREMIUM</x:v>
      </x:c>
      <x:c r="H440" s="3" t="str">
        <x:v>未掲載</x:v>
      </x:c>
      <x:c r="I440" s="3" t="str">
        <x:v>20-ปัจจุบัน</x:v>
      </x:c>
      <x:c r="J440" s="22" t="n">
        <x:f>COUNT('中古車掲載'!AM349:AM364)</x:f>
        <x:v>16</x:v>
      </x:c>
      <x:c r="K440" s="22" t="n">
        <x:f>IF(COUNT('中古車掲載'!AM349:AM364)=0,"",QUARTILE('中古車掲載'!AM349:AM364,1))</x:f>
        <x:v>621000</x:v>
      </x:c>
      <x:c r="L440" s="22" t="n">
        <x:f>IF(COUNT('中古車掲載'!AM349:AM364)=0,"",MEDIAN('中古車掲載'!AM349:AM364))</x:f>
        <x:v>643500</x:v>
      </x:c>
      <x:c r="M440" s="22" t="n">
        <x:f>IF(COUNT('中古車掲載'!AM349:AM364)=0,"",QUARTILE('中古車掲載'!AM349:AM364,3))</x:f>
        <x:v>664250</x:v>
      </x:c>
      <x:c r="N440" s="22" t="n">
        <x:f>COUNT('中古車掲載'!AN349:AN364)</x:f>
        <x:v>0</x:v>
      </x:c>
      <x:c r="O440" s="23" t="str">
        <x:f>IF(COUNT('中古車掲載'!AN349:AN364)=0,"",MEDIAN('中古車掲載'!AN349:AN364))</x:f>
      </x:c>
      <x:c r="P440" s="3"/>
      <x:c r="Q440" s="3"/>
      <x:c r="R440" s="3"/>
      <x:c r="S440" s="3"/>
      <x:c r="T440" s="3"/>
      <x:c r="U440" s="3"/>
      <x:c r="V440" s="3"/>
      <x:c r="W440" s="3"/>
      <x:c r="X440" s="3"/>
      <x:c r="Y440" s="3"/>
      <x:c r="Z440" s="3"/>
      <x:c r="AA440" s="3"/>
      <x:c r="AB440" s="3"/>
      <x:c r="AC440" s="3"/>
      <x:c r="AD440" s="3"/>
      <x:c r="AE440" s="3"/>
      <x:c r="AF440" s="3"/>
      <x:c r="AG440" s="3"/>
      <x:c r="AH440" s="3"/>
      <x:c r="AI440" s="3"/>
      <x:c r="AJ440" s="3"/>
      <x:c r="AK440" s="3"/>
      <x:c r="AL440" s="3"/>
      <x:c r="AM440" s="3"/>
      <x:c r="AN440" s="3"/>
      <x:c r="AO440" s="3"/>
      <x:c r="AP440" s="3"/>
      <x:c r="AQ440" s="3"/>
      <x:c r="AR440" s="3"/>
      <x:c r="AS440" s="3"/>
      <x:c r="AT440" s="3"/>
      <x:c r="AU440" s="3"/>
      <x:c r="AV440" s="3"/>
      <x:c r="AW440" s="3"/>
      <x:c r="AX440" s="3"/>
      <x:c r="AY440" s="3"/>
      <x:c r="AZ440" s="3" t="str">
        <x:f>IF(AND('中古車掲載'!C441="One2car",'中古車掲載'!F441="ATTO 3",'中古車掲載'!L441="EXTENDED RANGE",'中古車掲載'!J441=2023,ISNUMBER('中古車掲載'!N441),'中古車掲載'!N441&gt;=20000,'中古車掲載'!O441&lt;=100000,'中古車掲載'!AL441=1),'中古車掲載'!U441,"")</x:f>
      </x:c>
      <x:c r="BA440" s="3" t="str">
        <x:f>IF(AND('中古車掲載'!C441="One2car",'中古車掲載'!F441="Corolla Cross",'中古車掲載'!L441="HEV PREMIUM SAFETY",'中古車掲載'!J441=2023,ISNUMBER('中古車掲載'!N441),'中古車掲載'!N441&gt;=20000,'中古車掲載'!O441&lt;=100000,'中古車掲載'!AL441=1,'中古車掲載'!Z441="https://www.one2car.com/en/cars-for-sale/toyota/corolla-cross/year-2023"),'中古車掲載'!U441,"")</x:f>
      </x:c>
      <x:c r="BB440" s="3" t="str">
        <x:f>IF(AND('中古車掲載'!C441="One2car",'中古車掲載'!F441="ATTO 3",'中古車掲載'!L441="EXTENDED RANGE",'中古車掲載'!J441=2023,ISNUMBER('中古車掲載'!N441),'中古車掲載'!N441&gt;=50000,'中古車掲載'!O441&lt;=100000,'中古車掲載'!AL441=1),'中古車掲載'!U441,"")</x:f>
      </x:c>
      <x:c r="BC440" s="3" t="str">
        <x:f>IF(AND('中古車掲載'!C441="One2car",'中古車掲載'!F441="Corolla Cross",'中古車掲載'!L441="HEV PREMIUM SAFETY",'中古車掲載'!J441=2023,ISNUMBER('中古車掲載'!N441),'中古車掲載'!N441&gt;=50000,'中古車掲載'!O441&lt;=100000,'中古車掲載'!AL441=1,'中古車掲載'!Z441="https://www.one2car.com/en/cars-for-sale/toyota/corolla-cross/year-2023"),'中古車掲載'!U441,"")</x:f>
      </x:c>
      <x:c r="BD440" s="3" t="str">
        <x:f>IF(AND('中古車掲載'!C441="One2car",'中古車掲載'!F441="ATTO 3",'中古車掲載'!L441="EXTENDED RANGE",'中古車掲載'!J441=2023,ISNUMBER('中古車掲載'!N441),'中古車掲載'!N441&gt;=20000,'中古車掲載'!O441&lt;=50000,'中古車掲載'!AL441=1),'中古車掲載'!U441,"")</x:f>
      </x:c>
      <x:c r="BE440" s="3" t="str">
        <x:f>IF(AND('中古車掲載'!C441="One2car",'中古車掲載'!F441="Corolla Cross",'中古車掲載'!L441="HEV PREMIUM SAFETY",'中古車掲載'!J441=2023,ISNUMBER('中古車掲載'!N441),'中古車掲載'!N441&gt;=20000,'中古車掲載'!O441&lt;=50000,'中古車掲載'!AL441=1,'中古車掲載'!Z441="https://www.one2car.com/en/cars-for-sale/toyota/corolla-cross/year-2023"),'中古車掲載'!U441,"")</x:f>
      </x:c>
      <x:c r="BF440" s="3" t="str">
        <x:f>IF(AND('中古車掲載'!C441="One2car",'中古車掲載'!F441="Corolla Cross",'中古車掲載'!L441="HEV PREMIUM",'中古車掲載'!J441=2023,ISNUMBER('中古車掲載'!N441),'中古車掲載'!N441&gt;=20000,'中古車掲載'!O441&lt;=100000,'中古車掲載'!AL441=1,'中古車掲載'!Z441="https://www.one2car.com/en/cars-for-sale/toyota/corolla-cross/year-2023"),'中古車掲載'!U441,"")</x:f>
      </x:c>
      <x:c r="BG440" s="3" t="str">
        <x:f>IF(AND('中古車掲載'!C441="One2car",'中古車掲載'!F441="Corolla Cross",'中古車掲載'!L441="HEV GR SPORT",'中古車掲載'!J441=2023,ISNUMBER('中古車掲載'!N441),'中古車掲載'!N441&gt;=20000,'中古車掲載'!O441&lt;=100000,'中古車掲載'!AL441=1,'中古車掲載'!Z441="https://www.one2car.com/en/cars-for-sale/toyota/corolla-cross/year-2023"),'中古車掲載'!U441,"")</x:f>
      </x:c>
      <x:c r="BH440" s="3" t="str">
        <x:f>IF(AND('中古車掲載'!C441="One2car",'中古車掲載'!F441="DOLPHIN",'中古車掲載'!L441="STANDARD RANGE",'中古車掲載'!J441=2023,ISNUMBER('中古車掲載'!N441),'中古車掲載'!N441&gt;=20000,'中古車掲載'!O441&lt;=100000,'中古車掲載'!AL441=1),'中古車掲載'!U441,"")</x:f>
      </x:c>
      <x:c r="BI440" s="3" t="str">
        <x:v>Taladrod|Corolla Cross|ICE|Unknown</x:v>
      </x:c>
      <x:c r="BJ440" s="3" t="n">
        <x:v>441</x:v>
      </x:c>
      <x:c r="BK440" s="3" t="n">
        <x:f>'中古車掲載'!AM441</x:f>
        <x:v>499000</x:v>
      </x:c>
      <x:c r="BL440" s="3" t="str">
        <x:f>IF(ISNUMBER('中古車掲載'!AN441),'中古車掲載'!AN441,"")</x:f>
      </x:c>
      <x:c r="BM440" s="3"/>
      <x:c r="BN440" s="3"/>
      <x:c r="BO440" s="3"/>
      <x:c r="BP440" s="3"/>
      <x:c r="BQ440" s="3"/>
      <x:c r="BR440" s="3"/>
    </x:row>
    <x:row r="441" ht="22" customHeight="1">
      <x:c r="A441" s="3" t="str">
        <x:v>Corolla Cross</x:v>
      </x:c>
      <x:c r="B441" s="3" t="str">
        <x:v>HEV</x:v>
      </x:c>
      <x:c r="C441" s="3" t="str">
        <x:v>Taladrod</x:v>
      </x:c>
      <x:c r="D441" s="3" t="str">
        <x:v>SUV</x:v>
      </x:c>
      <x:c r="E441" s="3" t="str"/>
      <x:c r="F441" s="3" t="n">
        <x:v>2022</x:v>
      </x:c>
      <x:c r="G441" s="3" t="str">
        <x:v>HEV PREMIUM LUXURY</x:v>
      </x:c>
      <x:c r="H441" s="3" t="str">
        <x:v>未掲載</x:v>
      </x:c>
      <x:c r="I441" s="3" t="str">
        <x:v>20-ปัจจุบัน</x:v>
      </x:c>
      <x:c r="J441" s="22" t="n">
        <x:f>COUNT('中古車掲載'!AM365:AM365)</x:f>
        <x:v>1</x:v>
      </x:c>
      <x:c r="K441" s="22" t="n">
        <x:f>IF(COUNT('中古車掲載'!AM365:AM365)=0,"",QUARTILE('中古車掲載'!AM365:AM365,1))</x:f>
        <x:v>750000</x:v>
      </x:c>
      <x:c r="L441" s="22" t="n">
        <x:f>IF(COUNT('中古車掲載'!AM365:AM365)=0,"",MEDIAN('中古車掲載'!AM365:AM365))</x:f>
        <x:v>750000</x:v>
      </x:c>
      <x:c r="M441" s="22" t="n">
        <x:f>IF(COUNT('中古車掲載'!AM365:AM365)=0,"",QUARTILE('中古車掲載'!AM365:AM365,3))</x:f>
        <x:v>750000</x:v>
      </x:c>
      <x:c r="N441" s="22" t="n">
        <x:f>COUNT('中古車掲載'!AN365:AN365)</x:f>
        <x:v>0</x:v>
      </x:c>
      <x:c r="O441" s="23" t="str">
        <x:f>IF(COUNT('中古車掲載'!AN365:AN365)=0,"",MEDIAN('中古車掲載'!AN365:AN365))</x:f>
      </x:c>
      <x:c r="P441" s="3"/>
      <x:c r="Q441" s="3"/>
      <x:c r="R441" s="3"/>
      <x:c r="S441" s="3"/>
      <x:c r="T441" s="3"/>
      <x:c r="U441" s="3"/>
      <x:c r="V441" s="3"/>
      <x:c r="W441" s="3"/>
      <x:c r="X441" s="3"/>
      <x:c r="Y441" s="3"/>
      <x:c r="Z441" s="3"/>
      <x:c r="AA441" s="3"/>
      <x:c r="AB441" s="3"/>
      <x:c r="AC441" s="3"/>
      <x:c r="AD441" s="3"/>
      <x:c r="AE441" s="3"/>
      <x:c r="AF441" s="3"/>
      <x:c r="AG441" s="3"/>
      <x:c r="AH441" s="3"/>
      <x:c r="AI441" s="3"/>
      <x:c r="AJ441" s="3"/>
      <x:c r="AK441" s="3"/>
      <x:c r="AL441" s="3"/>
      <x:c r="AM441" s="3"/>
      <x:c r="AN441" s="3"/>
      <x:c r="AO441" s="3"/>
      <x:c r="AP441" s="3"/>
      <x:c r="AQ441" s="3"/>
      <x:c r="AR441" s="3"/>
      <x:c r="AS441" s="3"/>
      <x:c r="AT441" s="3"/>
      <x:c r="AU441" s="3"/>
      <x:c r="AV441" s="3"/>
      <x:c r="AW441" s="3"/>
      <x:c r="AX441" s="3"/>
      <x:c r="AY441" s="3"/>
      <x:c r="AZ441" s="3" t="str">
        <x:f>IF(AND('中古車掲載'!C442="One2car",'中古車掲載'!F442="ATTO 3",'中古車掲載'!L442="EXTENDED RANGE",'中古車掲載'!J442=2023,ISNUMBER('中古車掲載'!N442),'中古車掲載'!N442&gt;=20000,'中古車掲載'!O442&lt;=100000,'中古車掲載'!AL442=1),'中古車掲載'!U442,"")</x:f>
      </x:c>
      <x:c r="BA441" s="3" t="str">
        <x:f>IF(AND('中古車掲載'!C442="One2car",'中古車掲載'!F442="Corolla Cross",'中古車掲載'!L442="HEV PREMIUM SAFETY",'中古車掲載'!J442=2023,ISNUMBER('中古車掲載'!N442),'中古車掲載'!N442&gt;=20000,'中古車掲載'!O442&lt;=100000,'中古車掲載'!AL442=1,'中古車掲載'!Z442="https://www.one2car.com/en/cars-for-sale/toyota/corolla-cross/year-2023"),'中古車掲載'!U442,"")</x:f>
      </x:c>
      <x:c r="BB441" s="3" t="str">
        <x:f>IF(AND('中古車掲載'!C442="One2car",'中古車掲載'!F442="ATTO 3",'中古車掲載'!L442="EXTENDED RANGE",'中古車掲載'!J442=2023,ISNUMBER('中古車掲載'!N442),'中古車掲載'!N442&gt;=50000,'中古車掲載'!O442&lt;=100000,'中古車掲載'!AL442=1),'中古車掲載'!U442,"")</x:f>
      </x:c>
      <x:c r="BC441" s="3" t="str">
        <x:f>IF(AND('中古車掲載'!C442="One2car",'中古車掲載'!F442="Corolla Cross",'中古車掲載'!L442="HEV PREMIUM SAFETY",'中古車掲載'!J442=2023,ISNUMBER('中古車掲載'!N442),'中古車掲載'!N442&gt;=50000,'中古車掲載'!O442&lt;=100000,'中古車掲載'!AL442=1,'中古車掲載'!Z442="https://www.one2car.com/en/cars-for-sale/toyota/corolla-cross/year-2023"),'中古車掲載'!U442,"")</x:f>
      </x:c>
      <x:c r="BD441" s="3" t="str">
        <x:f>IF(AND('中古車掲載'!C442="One2car",'中古車掲載'!F442="ATTO 3",'中古車掲載'!L442="EXTENDED RANGE",'中古車掲載'!J442=2023,ISNUMBER('中古車掲載'!N442),'中古車掲載'!N442&gt;=20000,'中古車掲載'!O442&lt;=50000,'中古車掲載'!AL442=1),'中古車掲載'!U442,"")</x:f>
      </x:c>
      <x:c r="BE441" s="3" t="str">
        <x:f>IF(AND('中古車掲載'!C442="One2car",'中古車掲載'!F442="Corolla Cross",'中古車掲載'!L442="HEV PREMIUM SAFETY",'中古車掲載'!J442=2023,ISNUMBER('中古車掲載'!N442),'中古車掲載'!N442&gt;=20000,'中古車掲載'!O442&lt;=50000,'中古車掲載'!AL442=1,'中古車掲載'!Z442="https://www.one2car.com/en/cars-for-sale/toyota/corolla-cross/year-2023"),'中古車掲載'!U442,"")</x:f>
      </x:c>
      <x:c r="BF441" s="3" t="str">
        <x:f>IF(AND('中古車掲載'!C442="One2car",'中古車掲載'!F442="Corolla Cross",'中古車掲載'!L442="HEV PREMIUM",'中古車掲載'!J442=2023,ISNUMBER('中古車掲載'!N442),'中古車掲載'!N442&gt;=20000,'中古車掲載'!O442&lt;=100000,'中古車掲載'!AL442=1,'中古車掲載'!Z442="https://www.one2car.com/en/cars-for-sale/toyota/corolla-cross/year-2023"),'中古車掲載'!U442,"")</x:f>
      </x:c>
      <x:c r="BG441" s="3" t="str">
        <x:f>IF(AND('中古車掲載'!C442="One2car",'中古車掲載'!F442="Corolla Cross",'中古車掲載'!L442="HEV GR SPORT",'中古車掲載'!J442=2023,ISNUMBER('中古車掲載'!N442),'中古車掲載'!N442&gt;=20000,'中古車掲載'!O442&lt;=100000,'中古車掲載'!AL442=1,'中古車掲載'!Z442="https://www.one2car.com/en/cars-for-sale/toyota/corolla-cross/year-2023"),'中古車掲載'!U442,"")</x:f>
      </x:c>
      <x:c r="BH441" s="3" t="str">
        <x:f>IF(AND('中古車掲載'!C442="One2car",'中古車掲載'!F442="DOLPHIN",'中古車掲載'!L442="STANDARD RANGE",'中古車掲載'!J442=2023,ISNUMBER('中古車掲載'!N442),'中古車掲載'!N442&gt;=20000,'中古車掲載'!O442&lt;=100000,'中古車掲載'!AL442=1),'中古車掲載'!U442,"")</x:f>
      </x:c>
      <x:c r="BI441" s="3" t="str">
        <x:v>Taladrod|Corolla Cross|ICE|Unknown</x:v>
      </x:c>
      <x:c r="BJ441" s="3" t="n">
        <x:v>442</x:v>
      </x:c>
      <x:c r="BK441" s="3" t="n">
        <x:f>'中古車掲載'!AM442</x:f>
        <x:v>569000</x:v>
      </x:c>
      <x:c r="BL441" s="3" t="str">
        <x:f>IF(ISNUMBER('中古車掲載'!AN442),'中古車掲載'!AN442,"")</x:f>
      </x:c>
      <x:c r="BM441" s="3"/>
      <x:c r="BN441" s="3"/>
      <x:c r="BO441" s="3"/>
      <x:c r="BP441" s="3"/>
      <x:c r="BQ441" s="3"/>
      <x:c r="BR441" s="3"/>
    </x:row>
    <x:row r="442" ht="22" customHeight="1">
      <x:c r="A442" s="3" t="str">
        <x:v>Corolla Cross</x:v>
      </x:c>
      <x:c r="B442" s="3" t="str">
        <x:v>HEV</x:v>
      </x:c>
      <x:c r="C442" s="3" t="str">
        <x:v>Taladrod</x:v>
      </x:c>
      <x:c r="D442" s="3" t="str">
        <x:v>SUV</x:v>
      </x:c>
      <x:c r="E442" s="3" t="str"/>
      <x:c r="F442" s="3" t="n">
        <x:v>2022</x:v>
      </x:c>
      <x:c r="G442" s="3" t="str">
        <x:v>HEV PREMIUM SAFETY</x:v>
      </x:c>
      <x:c r="H442" s="3" t="str">
        <x:v>未掲載</x:v>
      </x:c>
      <x:c r="I442" s="3" t="str">
        <x:v>20-ปัจจุบัน</x:v>
      </x:c>
      <x:c r="J442" s="22" t="n">
        <x:f>COUNT('中古車掲載'!AM366:AM378)</x:f>
        <x:v>13</x:v>
      </x:c>
      <x:c r="K442" s="22" t="n">
        <x:f>IF(COUNT('中古車掲載'!AM366:AM378)=0,"",QUARTILE('中古車掲載'!AM366:AM378,1))</x:f>
        <x:v>679000</x:v>
      </x:c>
      <x:c r="L442" s="22" t="n">
        <x:f>IF(COUNT('中古車掲載'!AM366:AM378)=0,"",MEDIAN('中古車掲載'!AM366:AM378))</x:f>
        <x:v>699000</x:v>
      </x:c>
      <x:c r="M442" s="22" t="n">
        <x:f>IF(COUNT('中古車掲載'!AM366:AM378)=0,"",QUARTILE('中古車掲載'!AM366:AM378,3))</x:f>
        <x:v>700000</x:v>
      </x:c>
      <x:c r="N442" s="22" t="n">
        <x:f>COUNT('中古車掲載'!AN366:AN378)</x:f>
        <x:v>0</x:v>
      </x:c>
      <x:c r="O442" s="23" t="str">
        <x:f>IF(COUNT('中古車掲載'!AN366:AN378)=0,"",MEDIAN('中古車掲載'!AN366:AN378))</x:f>
      </x:c>
      <x:c r="P442" s="3"/>
      <x:c r="Q442" s="3"/>
      <x:c r="R442" s="3"/>
      <x:c r="S442" s="3"/>
      <x:c r="T442" s="3"/>
      <x:c r="U442" s="3"/>
      <x:c r="V442" s="3"/>
      <x:c r="W442" s="3"/>
      <x:c r="X442" s="3"/>
      <x:c r="Y442" s="3"/>
      <x:c r="Z442" s="3"/>
      <x:c r="AA442" s="3"/>
      <x:c r="AB442" s="3"/>
      <x:c r="AC442" s="3"/>
      <x:c r="AD442" s="3"/>
      <x:c r="AE442" s="3"/>
      <x:c r="AF442" s="3"/>
      <x:c r="AG442" s="3"/>
      <x:c r="AH442" s="3"/>
      <x:c r="AI442" s="3"/>
      <x:c r="AJ442" s="3"/>
      <x:c r="AK442" s="3"/>
      <x:c r="AL442" s="3"/>
      <x:c r="AM442" s="3"/>
      <x:c r="AN442" s="3"/>
      <x:c r="AO442" s="3"/>
      <x:c r="AP442" s="3"/>
      <x:c r="AQ442" s="3"/>
      <x:c r="AR442" s="3"/>
      <x:c r="AS442" s="3"/>
      <x:c r="AT442" s="3"/>
      <x:c r="AU442" s="3"/>
      <x:c r="AV442" s="3"/>
      <x:c r="AW442" s="3"/>
      <x:c r="AX442" s="3"/>
      <x:c r="AY442" s="3"/>
      <x:c r="AZ442" s="3" t="str">
        <x:f>IF(AND('中古車掲載'!C443="One2car",'中古車掲載'!F443="ATTO 3",'中古車掲載'!L443="EXTENDED RANGE",'中古車掲載'!J443=2023,ISNUMBER('中古車掲載'!N443),'中古車掲載'!N443&gt;=20000,'中古車掲載'!O443&lt;=100000,'中古車掲載'!AL443=1),'中古車掲載'!U443,"")</x:f>
      </x:c>
      <x:c r="BA442" s="3" t="str">
        <x:f>IF(AND('中古車掲載'!C443="One2car",'中古車掲載'!F443="Corolla Cross",'中古車掲載'!L443="HEV PREMIUM SAFETY",'中古車掲載'!J443=2023,ISNUMBER('中古車掲載'!N443),'中古車掲載'!N443&gt;=20000,'中古車掲載'!O443&lt;=100000,'中古車掲載'!AL443=1,'中古車掲載'!Z443="https://www.one2car.com/en/cars-for-sale/toyota/corolla-cross/year-2023"),'中古車掲載'!U443,"")</x:f>
      </x:c>
      <x:c r="BB442" s="3" t="str">
        <x:f>IF(AND('中古車掲載'!C443="One2car",'中古車掲載'!F443="ATTO 3",'中古車掲載'!L443="EXTENDED RANGE",'中古車掲載'!J443=2023,ISNUMBER('中古車掲載'!N443),'中古車掲載'!N443&gt;=50000,'中古車掲載'!O443&lt;=100000,'中古車掲載'!AL443=1),'中古車掲載'!U443,"")</x:f>
      </x:c>
      <x:c r="BC442" s="3" t="str">
        <x:f>IF(AND('中古車掲載'!C443="One2car",'中古車掲載'!F443="Corolla Cross",'中古車掲載'!L443="HEV PREMIUM SAFETY",'中古車掲載'!J443=2023,ISNUMBER('中古車掲載'!N443),'中古車掲載'!N443&gt;=50000,'中古車掲載'!O443&lt;=100000,'中古車掲載'!AL443=1,'中古車掲載'!Z443="https://www.one2car.com/en/cars-for-sale/toyota/corolla-cross/year-2023"),'中古車掲載'!U443,"")</x:f>
      </x:c>
      <x:c r="BD442" s="3" t="str">
        <x:f>IF(AND('中古車掲載'!C443="One2car",'中古車掲載'!F443="ATTO 3",'中古車掲載'!L443="EXTENDED RANGE",'中古車掲載'!J443=2023,ISNUMBER('中古車掲載'!N443),'中古車掲載'!N443&gt;=20000,'中古車掲載'!O443&lt;=50000,'中古車掲載'!AL443=1),'中古車掲載'!U443,"")</x:f>
      </x:c>
      <x:c r="BE442" s="3" t="str">
        <x:f>IF(AND('中古車掲載'!C443="One2car",'中古車掲載'!F443="Corolla Cross",'中古車掲載'!L443="HEV PREMIUM SAFETY",'中古車掲載'!J443=2023,ISNUMBER('中古車掲載'!N443),'中古車掲載'!N443&gt;=20000,'中古車掲載'!O443&lt;=50000,'中古車掲載'!AL443=1,'中古車掲載'!Z443="https://www.one2car.com/en/cars-for-sale/toyota/corolla-cross/year-2023"),'中古車掲載'!U443,"")</x:f>
      </x:c>
      <x:c r="BF442" s="3" t="str">
        <x:f>IF(AND('中古車掲載'!C443="One2car",'中古車掲載'!F443="Corolla Cross",'中古車掲載'!L443="HEV PREMIUM",'中古車掲載'!J443=2023,ISNUMBER('中古車掲載'!N443),'中古車掲載'!N443&gt;=20000,'中古車掲載'!O443&lt;=100000,'中古車掲載'!AL443=1,'中古車掲載'!Z443="https://www.one2car.com/en/cars-for-sale/toyota/corolla-cross/year-2023"),'中古車掲載'!U443,"")</x:f>
      </x:c>
      <x:c r="BG442" s="3" t="str">
        <x:f>IF(AND('中古車掲載'!C443="One2car",'中古車掲載'!F443="Corolla Cross",'中古車掲載'!L443="HEV GR SPORT",'中古車掲載'!J443=2023,ISNUMBER('中古車掲載'!N443),'中古車掲載'!N443&gt;=20000,'中古車掲載'!O443&lt;=100000,'中古車掲載'!AL443=1,'中古車掲載'!Z443="https://www.one2car.com/en/cars-for-sale/toyota/corolla-cross/year-2023"),'中古車掲載'!U443,"")</x:f>
      </x:c>
      <x:c r="BH442" s="3" t="str">
        <x:f>IF(AND('中古車掲載'!C443="One2car",'中古車掲載'!F443="DOLPHIN",'中古車掲載'!L443="STANDARD RANGE",'中古車掲載'!J443=2023,ISNUMBER('中古車掲載'!N443),'中古車掲載'!N443&gt;=20000,'中古車掲載'!O443&lt;=100000,'中古車掲載'!AL443=1),'中古車掲載'!U443,"")</x:f>
      </x:c>
      <x:c r="BI442" s="3" t="str">
        <x:v>Taladrod|Corolla Cross|ICE|Unknown</x:v>
      </x:c>
      <x:c r="BJ442" s="3" t="n">
        <x:v>443</x:v>
      </x:c>
      <x:c r="BK442" s="3" t="n">
        <x:f>'中古車掲載'!AM443</x:f>
        <x:v>519000</x:v>
      </x:c>
      <x:c r="BL442" s="3" t="str">
        <x:f>IF(ISNUMBER('中古車掲載'!AN443),'中古車掲載'!AN443,"")</x:f>
      </x:c>
      <x:c r="BM442" s="3"/>
      <x:c r="BN442" s="3"/>
      <x:c r="BO442" s="3"/>
      <x:c r="BP442" s="3"/>
      <x:c r="BQ442" s="3"/>
      <x:c r="BR442" s="3"/>
    </x:row>
    <x:row r="443" ht="22" customHeight="1">
      <x:c r="A443" s="3" t="str">
        <x:v>Corolla Cross</x:v>
      </x:c>
      <x:c r="B443" s="3" t="str">
        <x:v>HEV</x:v>
      </x:c>
      <x:c r="C443" s="3" t="str">
        <x:v>Taladrod</x:v>
      </x:c>
      <x:c r="D443" s="3" t="str">
        <x:v>SUV</x:v>
      </x:c>
      <x:c r="E443" s="3" t="str"/>
      <x:c r="F443" s="3" t="n">
        <x:v>2022</x:v>
      </x:c>
      <x:c r="G443" s="3" t="str">
        <x:v>HEV SMART</x:v>
      </x:c>
      <x:c r="H443" s="3" t="str">
        <x:v>未掲載</x:v>
      </x:c>
      <x:c r="I443" s="3" t="str">
        <x:v>20-ปัจจุบัน</x:v>
      </x:c>
      <x:c r="J443" s="22" t="n">
        <x:f>COUNT('中古車掲載'!AM379:AM381)</x:f>
        <x:v>3</x:v>
      </x:c>
      <x:c r="K443" s="22" t="n">
        <x:f>IF(COUNT('中古車掲載'!AM379:AM381)=0,"",QUARTILE('中古車掲載'!AM379:AM381,1))</x:f>
        <x:v>619000</x:v>
      </x:c>
      <x:c r="L443" s="22" t="n">
        <x:f>IF(COUNT('中古車掲載'!AM379:AM381)=0,"",MEDIAN('中古車掲載'!AM379:AM381))</x:f>
        <x:v>619000</x:v>
      </x:c>
      <x:c r="M443" s="22" t="n">
        <x:f>IF(COUNT('中古車掲載'!AM379:AM381)=0,"",QUARTILE('中古車掲載'!AM379:AM381,3))</x:f>
        <x:v>659000</x:v>
      </x:c>
      <x:c r="N443" s="22" t="n">
        <x:f>COUNT('中古車掲載'!AN379:AN381)</x:f>
        <x:v>0</x:v>
      </x:c>
      <x:c r="O443" s="23" t="str">
        <x:f>IF(COUNT('中古車掲載'!AN379:AN381)=0,"",MEDIAN('中古車掲載'!AN379:AN381))</x:f>
      </x:c>
      <x:c r="P443" s="3"/>
      <x:c r="Q443" s="3"/>
      <x:c r="R443" s="3"/>
      <x:c r="S443" s="3"/>
      <x:c r="T443" s="3"/>
      <x:c r="U443" s="3"/>
      <x:c r="V443" s="3"/>
      <x:c r="W443" s="3"/>
      <x:c r="X443" s="3"/>
      <x:c r="Y443" s="3"/>
      <x:c r="Z443" s="3"/>
      <x:c r="AA443" s="3"/>
      <x:c r="AB443" s="3"/>
      <x:c r="AC443" s="3"/>
      <x:c r="AD443" s="3"/>
      <x:c r="AE443" s="3"/>
      <x:c r="AF443" s="3"/>
      <x:c r="AG443" s="3"/>
      <x:c r="AH443" s="3"/>
      <x:c r="AI443" s="3"/>
      <x:c r="AJ443" s="3"/>
      <x:c r="AK443" s="3"/>
      <x:c r="AL443" s="3"/>
      <x:c r="AM443" s="3"/>
      <x:c r="AN443" s="3"/>
      <x:c r="AO443" s="3"/>
      <x:c r="AP443" s="3"/>
      <x:c r="AQ443" s="3"/>
      <x:c r="AR443" s="3"/>
      <x:c r="AS443" s="3"/>
      <x:c r="AT443" s="3"/>
      <x:c r="AU443" s="3"/>
      <x:c r="AV443" s="3"/>
      <x:c r="AW443" s="3"/>
      <x:c r="AX443" s="3"/>
      <x:c r="AY443" s="3"/>
      <x:c r="AZ443" s="3" t="str">
        <x:f>IF(AND('中古車掲載'!C444="One2car",'中古車掲載'!F444="ATTO 3",'中古車掲載'!L444="EXTENDED RANGE",'中古車掲載'!J444=2023,ISNUMBER('中古車掲載'!N444),'中古車掲載'!N444&gt;=20000,'中古車掲載'!O444&lt;=100000,'中古車掲載'!AL444=1),'中古車掲載'!U444,"")</x:f>
      </x:c>
      <x:c r="BA443" s="3" t="str">
        <x:f>IF(AND('中古車掲載'!C444="One2car",'中古車掲載'!F444="Corolla Cross",'中古車掲載'!L444="HEV PREMIUM SAFETY",'中古車掲載'!J444=2023,ISNUMBER('中古車掲載'!N444),'中古車掲載'!N444&gt;=20000,'中古車掲載'!O444&lt;=100000,'中古車掲載'!AL444=1,'中古車掲載'!Z444="https://www.one2car.com/en/cars-for-sale/toyota/corolla-cross/year-2023"),'中古車掲載'!U444,"")</x:f>
      </x:c>
      <x:c r="BB443" s="3" t="str">
        <x:f>IF(AND('中古車掲載'!C444="One2car",'中古車掲載'!F444="ATTO 3",'中古車掲載'!L444="EXTENDED RANGE",'中古車掲載'!J444=2023,ISNUMBER('中古車掲載'!N444),'中古車掲載'!N444&gt;=50000,'中古車掲載'!O444&lt;=100000,'中古車掲載'!AL444=1),'中古車掲載'!U444,"")</x:f>
      </x:c>
      <x:c r="BC443" s="3" t="str">
        <x:f>IF(AND('中古車掲載'!C444="One2car",'中古車掲載'!F444="Corolla Cross",'中古車掲載'!L444="HEV PREMIUM SAFETY",'中古車掲載'!J444=2023,ISNUMBER('中古車掲載'!N444),'中古車掲載'!N444&gt;=50000,'中古車掲載'!O444&lt;=100000,'中古車掲載'!AL444=1,'中古車掲載'!Z444="https://www.one2car.com/en/cars-for-sale/toyota/corolla-cross/year-2023"),'中古車掲載'!U444,"")</x:f>
      </x:c>
      <x:c r="BD443" s="3" t="str">
        <x:f>IF(AND('中古車掲載'!C444="One2car",'中古車掲載'!F444="ATTO 3",'中古車掲載'!L444="EXTENDED RANGE",'中古車掲載'!J444=2023,ISNUMBER('中古車掲載'!N444),'中古車掲載'!N444&gt;=20000,'中古車掲載'!O444&lt;=50000,'中古車掲載'!AL444=1),'中古車掲載'!U444,"")</x:f>
      </x:c>
      <x:c r="BE443" s="3" t="str">
        <x:f>IF(AND('中古車掲載'!C444="One2car",'中古車掲載'!F444="Corolla Cross",'中古車掲載'!L444="HEV PREMIUM SAFETY",'中古車掲載'!J444=2023,ISNUMBER('中古車掲載'!N444),'中古車掲載'!N444&gt;=20000,'中古車掲載'!O444&lt;=50000,'中古車掲載'!AL444=1,'中古車掲載'!Z444="https://www.one2car.com/en/cars-for-sale/toyota/corolla-cross/year-2023"),'中古車掲載'!U444,"")</x:f>
      </x:c>
      <x:c r="BF443" s="3" t="str">
        <x:f>IF(AND('中古車掲載'!C444="One2car",'中古車掲載'!F444="Corolla Cross",'中古車掲載'!L444="HEV PREMIUM",'中古車掲載'!J444=2023,ISNUMBER('中古車掲載'!N444),'中古車掲載'!N444&gt;=20000,'中古車掲載'!O444&lt;=100000,'中古車掲載'!AL444=1,'中古車掲載'!Z444="https://www.one2car.com/en/cars-for-sale/toyota/corolla-cross/year-2023"),'中古車掲載'!U444,"")</x:f>
      </x:c>
      <x:c r="BG443" s="3" t="str">
        <x:f>IF(AND('中古車掲載'!C444="One2car",'中古車掲載'!F444="Corolla Cross",'中古車掲載'!L444="HEV GR SPORT",'中古車掲載'!J444=2023,ISNUMBER('中古車掲載'!N444),'中古車掲載'!N444&gt;=20000,'中古車掲載'!O444&lt;=100000,'中古車掲載'!AL444=1,'中古車掲載'!Z444="https://www.one2car.com/en/cars-for-sale/toyota/corolla-cross/year-2023"),'中古車掲載'!U444,"")</x:f>
      </x:c>
      <x:c r="BH443" s="3" t="str">
        <x:f>IF(AND('中古車掲載'!C444="One2car",'中古車掲載'!F444="DOLPHIN",'中古車掲載'!L444="STANDARD RANGE",'中古車掲載'!J444=2023,ISNUMBER('中古車掲載'!N444),'中古車掲載'!N444&gt;=20000,'中古車掲載'!O444&lt;=100000,'中古車掲載'!AL444=1),'中古車掲載'!U444,"")</x:f>
      </x:c>
      <x:c r="BI443" s="3" t="str">
        <x:v>Taladrod|Corolla Cross|ICE|Unknown</x:v>
      </x:c>
      <x:c r="BJ443" s="3" t="n">
        <x:v>444</x:v>
      </x:c>
      <x:c r="BK443" s="3" t="n">
        <x:f>'中古車掲載'!AM444</x:f>
        <x:v>534000</x:v>
      </x:c>
      <x:c r="BL443" s="3" t="str">
        <x:f>IF(ISNUMBER('中古車掲載'!AN444),'中古車掲載'!AN444,"")</x:f>
      </x:c>
      <x:c r="BM443" s="3"/>
      <x:c r="BN443" s="3"/>
      <x:c r="BO443" s="3"/>
      <x:c r="BP443" s="3"/>
      <x:c r="BQ443" s="3"/>
      <x:c r="BR443" s="3"/>
    </x:row>
    <x:row r="444" ht="22" customHeight="1">
      <x:c r="A444" s="3" t="str">
        <x:v>Corolla Cross</x:v>
      </x:c>
      <x:c r="B444" s="3" t="str">
        <x:v>HEV</x:v>
      </x:c>
      <x:c r="C444" s="3" t="str">
        <x:v>Taladrod</x:v>
      </x:c>
      <x:c r="D444" s="3" t="str">
        <x:v>SUV</x:v>
      </x:c>
      <x:c r="E444" s="3" t="str"/>
      <x:c r="F444" s="3" t="n">
        <x:v>2023</x:v>
      </x:c>
      <x:c r="G444" s="3" t="str">
        <x:v>HEV GR SPORT</x:v>
      </x:c>
      <x:c r="H444" s="3" t="str">
        <x:v>未掲載</x:v>
      </x:c>
      <x:c r="I444" s="3" t="str">
        <x:v>20-ปัจจุบัน</x:v>
      </x:c>
      <x:c r="J444" s="22" t="n">
        <x:f>COUNT('中古車掲載'!AM382:AM389)</x:f>
        <x:v>8</x:v>
      </x:c>
      <x:c r="K444" s="22" t="n">
        <x:f>IF(COUNT('中古車掲載'!AM382:AM389)=0,"",QUARTILE('中古車掲載'!AM382:AM389,1))</x:f>
        <x:v>799000</x:v>
      </x:c>
      <x:c r="L444" s="22" t="n">
        <x:f>IF(COUNT('中古車掲載'!AM382:AM389)=0,"",MEDIAN('中古車掲載'!AM382:AM389))</x:f>
        <x:v>824500</x:v>
      </x:c>
      <x:c r="M444" s="22" t="n">
        <x:f>IF(COUNT('中古車掲載'!AM382:AM389)=0,"",QUARTILE('中古車掲載'!AM382:AM389,3))</x:f>
        <x:v>841500</x:v>
      </x:c>
      <x:c r="N444" s="22" t="n">
        <x:f>COUNT('中古車掲載'!AN382:AN389)</x:f>
        <x:v>8</x:v>
      </x:c>
      <x:c r="O444" s="23" t="n">
        <x:f>IF(COUNT('中古車掲載'!AN382:AN389)=0,"",MEDIAN('中古車掲載'!AN382:AN389))</x:f>
        <x:v>0.6574960127591707</x:v>
      </x:c>
      <x:c r="P444" s="3"/>
      <x:c r="Q444" s="3"/>
      <x:c r="R444" s="3"/>
      <x:c r="S444" s="3"/>
      <x:c r="T444" s="3"/>
      <x:c r="U444" s="3"/>
      <x:c r="V444" s="3"/>
      <x:c r="W444" s="3"/>
      <x:c r="X444" s="3"/>
      <x:c r="Y444" s="3"/>
      <x:c r="Z444" s="3"/>
      <x:c r="AA444" s="3"/>
      <x:c r="AB444" s="3"/>
      <x:c r="AC444" s="3"/>
      <x:c r="AD444" s="3"/>
      <x:c r="AE444" s="3"/>
      <x:c r="AF444" s="3"/>
      <x:c r="AG444" s="3"/>
      <x:c r="AH444" s="3"/>
      <x:c r="AI444" s="3"/>
      <x:c r="AJ444" s="3"/>
      <x:c r="AK444" s="3"/>
      <x:c r="AL444" s="3"/>
      <x:c r="AM444" s="3"/>
      <x:c r="AN444" s="3"/>
      <x:c r="AO444" s="3"/>
      <x:c r="AP444" s="3"/>
      <x:c r="AQ444" s="3"/>
      <x:c r="AR444" s="3"/>
      <x:c r="AS444" s="3"/>
      <x:c r="AT444" s="3"/>
      <x:c r="AU444" s="3"/>
      <x:c r="AV444" s="3"/>
      <x:c r="AW444" s="3"/>
      <x:c r="AX444" s="3"/>
      <x:c r="AY444" s="3"/>
      <x:c r="AZ444" s="3" t="str">
        <x:f>IF(AND('中古車掲載'!C445="One2car",'中古車掲載'!F445="ATTO 3",'中古車掲載'!L445="EXTENDED RANGE",'中古車掲載'!J445=2023,ISNUMBER('中古車掲載'!N445),'中古車掲載'!N445&gt;=20000,'中古車掲載'!O445&lt;=100000,'中古車掲載'!AL445=1),'中古車掲載'!U445,"")</x:f>
      </x:c>
      <x:c r="BA444" s="3" t="str">
        <x:f>IF(AND('中古車掲載'!C445="One2car",'中古車掲載'!F445="Corolla Cross",'中古車掲載'!L445="HEV PREMIUM SAFETY",'中古車掲載'!J445=2023,ISNUMBER('中古車掲載'!N445),'中古車掲載'!N445&gt;=20000,'中古車掲載'!O445&lt;=100000,'中古車掲載'!AL445=1,'中古車掲載'!Z445="https://www.one2car.com/en/cars-for-sale/toyota/corolla-cross/year-2023"),'中古車掲載'!U445,"")</x:f>
      </x:c>
      <x:c r="BB444" s="3" t="str">
        <x:f>IF(AND('中古車掲載'!C445="One2car",'中古車掲載'!F445="ATTO 3",'中古車掲載'!L445="EXTENDED RANGE",'中古車掲載'!J445=2023,ISNUMBER('中古車掲載'!N445),'中古車掲載'!N445&gt;=50000,'中古車掲載'!O445&lt;=100000,'中古車掲載'!AL445=1),'中古車掲載'!U445,"")</x:f>
      </x:c>
      <x:c r="BC444" s="3" t="str">
        <x:f>IF(AND('中古車掲載'!C445="One2car",'中古車掲載'!F445="Corolla Cross",'中古車掲載'!L445="HEV PREMIUM SAFETY",'中古車掲載'!J445=2023,ISNUMBER('中古車掲載'!N445),'中古車掲載'!N445&gt;=50000,'中古車掲載'!O445&lt;=100000,'中古車掲載'!AL445=1,'中古車掲載'!Z445="https://www.one2car.com/en/cars-for-sale/toyota/corolla-cross/year-2023"),'中古車掲載'!U445,"")</x:f>
      </x:c>
      <x:c r="BD444" s="3" t="str">
        <x:f>IF(AND('中古車掲載'!C445="One2car",'中古車掲載'!F445="ATTO 3",'中古車掲載'!L445="EXTENDED RANGE",'中古車掲載'!J445=2023,ISNUMBER('中古車掲載'!N445),'中古車掲載'!N445&gt;=20000,'中古車掲載'!O445&lt;=50000,'中古車掲載'!AL445=1),'中古車掲載'!U445,"")</x:f>
      </x:c>
      <x:c r="BE444" s="3" t="str">
        <x:f>IF(AND('中古車掲載'!C445="One2car",'中古車掲載'!F445="Corolla Cross",'中古車掲載'!L445="HEV PREMIUM SAFETY",'中古車掲載'!J445=2023,ISNUMBER('中古車掲載'!N445),'中古車掲載'!N445&gt;=20000,'中古車掲載'!O445&lt;=50000,'中古車掲載'!AL445=1,'中古車掲載'!Z445="https://www.one2car.com/en/cars-for-sale/toyota/corolla-cross/year-2023"),'中古車掲載'!U445,"")</x:f>
      </x:c>
      <x:c r="BF444" s="3" t="str">
        <x:f>IF(AND('中古車掲載'!C445="One2car",'中古車掲載'!F445="Corolla Cross",'中古車掲載'!L445="HEV PREMIUM",'中古車掲載'!J445=2023,ISNUMBER('中古車掲載'!N445),'中古車掲載'!N445&gt;=20000,'中古車掲載'!O445&lt;=100000,'中古車掲載'!AL445=1,'中古車掲載'!Z445="https://www.one2car.com/en/cars-for-sale/toyota/corolla-cross/year-2023"),'中古車掲載'!U445,"")</x:f>
      </x:c>
      <x:c r="BG444" s="3" t="str">
        <x:f>IF(AND('中古車掲載'!C445="One2car",'中古車掲載'!F445="Corolla Cross",'中古車掲載'!L445="HEV GR SPORT",'中古車掲載'!J445=2023,ISNUMBER('中古車掲載'!N445),'中古車掲載'!N445&gt;=20000,'中古車掲載'!O445&lt;=100000,'中古車掲載'!AL445=1,'中古車掲載'!Z445="https://www.one2car.com/en/cars-for-sale/toyota/corolla-cross/year-2023"),'中古車掲載'!U445,"")</x:f>
      </x:c>
      <x:c r="BH444" s="3" t="str">
        <x:f>IF(AND('中古車掲載'!C445="One2car",'中古車掲載'!F445="DOLPHIN",'中古車掲載'!L445="STANDARD RANGE",'中古車掲載'!J445=2023,ISNUMBER('中古車掲載'!N445),'中古車掲載'!N445&gt;=20000,'中古車掲載'!O445&lt;=100000,'中古車掲載'!AL445=1),'中古車掲載'!U445,"")</x:f>
      </x:c>
      <x:c r="BI444" s="3" t="str">
        <x:v>Taladrod|Corolla Cross|ICE|Unknown</x:v>
      </x:c>
      <x:c r="BJ444" s="3" t="n">
        <x:v>445</x:v>
      </x:c>
      <x:c r="BK444" s="3" t="n">
        <x:f>'中古車掲載'!AM445</x:f>
        <x:v>549000</x:v>
      </x:c>
      <x:c r="BL444" s="3" t="str">
        <x:f>IF(ISNUMBER('中古車掲載'!AN445),'中古車掲載'!AN445,"")</x:f>
      </x:c>
      <x:c r="BM444" s="3"/>
      <x:c r="BN444" s="3"/>
      <x:c r="BO444" s="3"/>
      <x:c r="BP444" s="3"/>
      <x:c r="BQ444" s="3"/>
      <x:c r="BR444" s="3"/>
    </x:row>
    <x:row r="445" ht="22" customHeight="1">
      <x:c r="A445" s="3" t="str">
        <x:v>Corolla Cross</x:v>
      </x:c>
      <x:c r="B445" s="3" t="str">
        <x:v>HEV</x:v>
      </x:c>
      <x:c r="C445" s="3" t="str">
        <x:v>Taladrod</x:v>
      </x:c>
      <x:c r="D445" s="3" t="str">
        <x:v>SUV</x:v>
      </x:c>
      <x:c r="E445" s="3" t="str"/>
      <x:c r="F445" s="3" t="n">
        <x:v>2023</x:v>
      </x:c>
      <x:c r="G445" s="3" t="str">
        <x:v>HEV PREMIUM</x:v>
      </x:c>
      <x:c r="H445" s="3" t="str">
        <x:v>未掲載</x:v>
      </x:c>
      <x:c r="I445" s="3" t="str">
        <x:v>20-ปัจจุบัน</x:v>
      </x:c>
      <x:c r="J445" s="22" t="n">
        <x:f>COUNT('中古車掲載'!AM390:AM395)</x:f>
        <x:v>6</x:v>
      </x:c>
      <x:c r="K445" s="22" t="n">
        <x:f>IF(COUNT('中古車掲載'!AM390:AM395)=0,"",QUARTILE('中古車掲載'!AM390:AM395,1))</x:f>
        <x:v>661500</x:v>
      </x:c>
      <x:c r="L445" s="22" t="n">
        <x:f>IF(COUNT('中古車掲載'!AM390:AM395)=0,"",MEDIAN('中古車掲載'!AM390:AM395))</x:f>
        <x:v>669500</x:v>
      </x:c>
      <x:c r="M445" s="22" t="n">
        <x:f>IF(COUNT('中古車掲載'!AM390:AM395)=0,"",QUARTILE('中古車掲載'!AM390:AM395,3))</x:f>
        <x:v>714250</x:v>
      </x:c>
      <x:c r="N445" s="22" t="n">
        <x:f>COUNT('中古車掲載'!AN390:AN395)</x:f>
        <x:v>6</x:v>
      </x:c>
      <x:c r="O445" s="23" t="n">
        <x:f>IF(COUNT('中古車掲載'!AN390:AN395)=0,"",MEDIAN('中古車掲載'!AN390:AN395))</x:f>
        <x:v>0.6119744058500913</x:v>
      </x:c>
      <x:c r="P445" s="3"/>
      <x:c r="Q445" s="3"/>
      <x:c r="R445" s="3"/>
      <x:c r="S445" s="3"/>
      <x:c r="T445" s="3"/>
      <x:c r="U445" s="3"/>
      <x:c r="V445" s="3"/>
      <x:c r="W445" s="3"/>
      <x:c r="X445" s="3"/>
      <x:c r="Y445" s="3"/>
      <x:c r="Z445" s="3"/>
      <x:c r="AA445" s="3"/>
      <x:c r="AB445" s="3"/>
      <x:c r="AC445" s="3"/>
      <x:c r="AD445" s="3"/>
      <x:c r="AE445" s="3"/>
      <x:c r="AF445" s="3"/>
      <x:c r="AG445" s="3"/>
      <x:c r="AH445" s="3"/>
      <x:c r="AI445" s="3"/>
      <x:c r="AJ445" s="3"/>
      <x:c r="AK445" s="3"/>
      <x:c r="AL445" s="3"/>
      <x:c r="AM445" s="3"/>
      <x:c r="AN445" s="3"/>
      <x:c r="AO445" s="3"/>
      <x:c r="AP445" s="3"/>
      <x:c r="AQ445" s="3"/>
      <x:c r="AR445" s="3"/>
      <x:c r="AS445" s="3"/>
      <x:c r="AT445" s="3"/>
      <x:c r="AU445" s="3"/>
      <x:c r="AV445" s="3"/>
      <x:c r="AW445" s="3"/>
      <x:c r="AX445" s="3"/>
      <x:c r="AY445" s="3"/>
      <x:c r="AZ445" s="3" t="str">
        <x:f>IF(AND('中古車掲載'!C446="One2car",'中古車掲載'!F446="ATTO 3",'中古車掲載'!L446="EXTENDED RANGE",'中古車掲載'!J446=2023,ISNUMBER('中古車掲載'!N446),'中古車掲載'!N446&gt;=20000,'中古車掲載'!O446&lt;=100000,'中古車掲載'!AL446=1),'中古車掲載'!U446,"")</x:f>
      </x:c>
      <x:c r="BA445" s="3" t="str">
        <x:f>IF(AND('中古車掲載'!C446="One2car",'中古車掲載'!F446="Corolla Cross",'中古車掲載'!L446="HEV PREMIUM SAFETY",'中古車掲載'!J446=2023,ISNUMBER('中古車掲載'!N446),'中古車掲載'!N446&gt;=20000,'中古車掲載'!O446&lt;=100000,'中古車掲載'!AL446=1,'中古車掲載'!Z446="https://www.one2car.com/en/cars-for-sale/toyota/corolla-cross/year-2023"),'中古車掲載'!U446,"")</x:f>
      </x:c>
      <x:c r="BB445" s="3" t="str">
        <x:f>IF(AND('中古車掲載'!C446="One2car",'中古車掲載'!F446="ATTO 3",'中古車掲載'!L446="EXTENDED RANGE",'中古車掲載'!J446=2023,ISNUMBER('中古車掲載'!N446),'中古車掲載'!N446&gt;=50000,'中古車掲載'!O446&lt;=100000,'中古車掲載'!AL446=1),'中古車掲載'!U446,"")</x:f>
      </x:c>
      <x:c r="BC445" s="3" t="str">
        <x:f>IF(AND('中古車掲載'!C446="One2car",'中古車掲載'!F446="Corolla Cross",'中古車掲載'!L446="HEV PREMIUM SAFETY",'中古車掲載'!J446=2023,ISNUMBER('中古車掲載'!N446),'中古車掲載'!N446&gt;=50000,'中古車掲載'!O446&lt;=100000,'中古車掲載'!AL446=1,'中古車掲載'!Z446="https://www.one2car.com/en/cars-for-sale/toyota/corolla-cross/year-2023"),'中古車掲載'!U446,"")</x:f>
      </x:c>
      <x:c r="BD445" s="3" t="str">
        <x:f>IF(AND('中古車掲載'!C446="One2car",'中古車掲載'!F446="ATTO 3",'中古車掲載'!L446="EXTENDED RANGE",'中古車掲載'!J446=2023,ISNUMBER('中古車掲載'!N446),'中古車掲載'!N446&gt;=20000,'中古車掲載'!O446&lt;=50000,'中古車掲載'!AL446=1),'中古車掲載'!U446,"")</x:f>
      </x:c>
      <x:c r="BE445" s="3" t="str">
        <x:f>IF(AND('中古車掲載'!C446="One2car",'中古車掲載'!F446="Corolla Cross",'中古車掲載'!L446="HEV PREMIUM SAFETY",'中古車掲載'!J446=2023,ISNUMBER('中古車掲載'!N446),'中古車掲載'!N446&gt;=20000,'中古車掲載'!O446&lt;=50000,'中古車掲載'!AL446=1,'中古車掲載'!Z446="https://www.one2car.com/en/cars-for-sale/toyota/corolla-cross/year-2023"),'中古車掲載'!U446,"")</x:f>
      </x:c>
      <x:c r="BF445" s="3" t="str">
        <x:f>IF(AND('中古車掲載'!C446="One2car",'中古車掲載'!F446="Corolla Cross",'中古車掲載'!L446="HEV PREMIUM",'中古車掲載'!J446=2023,ISNUMBER('中古車掲載'!N446),'中古車掲載'!N446&gt;=20000,'中古車掲載'!O446&lt;=100000,'中古車掲載'!AL446=1,'中古車掲載'!Z446="https://www.one2car.com/en/cars-for-sale/toyota/corolla-cross/year-2023"),'中古車掲載'!U446,"")</x:f>
      </x:c>
      <x:c r="BG445" s="3" t="str">
        <x:f>IF(AND('中古車掲載'!C446="One2car",'中古車掲載'!F446="Corolla Cross",'中古車掲載'!L446="HEV GR SPORT",'中古車掲載'!J446=2023,ISNUMBER('中古車掲載'!N446),'中古車掲載'!N446&gt;=20000,'中古車掲載'!O446&lt;=100000,'中古車掲載'!AL446=1,'中古車掲載'!Z446="https://www.one2car.com/en/cars-for-sale/toyota/corolla-cross/year-2023"),'中古車掲載'!U446,"")</x:f>
      </x:c>
      <x:c r="BH445" s="3" t="str">
        <x:f>IF(AND('中古車掲載'!C446="One2car",'中古車掲載'!F446="DOLPHIN",'中古車掲載'!L446="STANDARD RANGE",'中古車掲載'!J446=2023,ISNUMBER('中古車掲載'!N446),'中古車掲載'!N446&gt;=20000,'中古車掲載'!O446&lt;=100000,'中古車掲載'!AL446=1),'中古車掲載'!U446,"")</x:f>
      </x:c>
      <x:c r="BI445" s="3" t="str">
        <x:v>Taladrod|Corolla Cross|ICE|Unknown</x:v>
      </x:c>
      <x:c r="BJ445" s="3" t="n">
        <x:v>446</x:v>
      </x:c>
      <x:c r="BK445" s="3" t="n">
        <x:f>'中古車掲載'!AM446</x:f>
        <x:v>589000</x:v>
      </x:c>
      <x:c r="BL445" s="3" t="str">
        <x:f>IF(ISNUMBER('中古車掲載'!AN446),'中古車掲載'!AN446,"")</x:f>
      </x:c>
      <x:c r="BM445" s="3"/>
      <x:c r="BN445" s="3"/>
      <x:c r="BO445" s="3"/>
      <x:c r="BP445" s="3"/>
      <x:c r="BQ445" s="3"/>
      <x:c r="BR445" s="3"/>
    </x:row>
    <x:row r="446" ht="22" customHeight="1">
      <x:c r="A446" s="3" t="str">
        <x:v>Corolla Cross</x:v>
      </x:c>
      <x:c r="B446" s="3" t="str">
        <x:v>HEV</x:v>
      </x:c>
      <x:c r="C446" s="3" t="str">
        <x:v>Taladrod</x:v>
      </x:c>
      <x:c r="D446" s="3" t="str">
        <x:v>SUV</x:v>
      </x:c>
      <x:c r="E446" s="3" t="str"/>
      <x:c r="F446" s="3" t="n">
        <x:v>2023</x:v>
      </x:c>
      <x:c r="G446" s="3" t="str">
        <x:v>HEV PREMIUM SAFETY</x:v>
      </x:c>
      <x:c r="H446" s="3" t="str">
        <x:v>未掲載</x:v>
      </x:c>
      <x:c r="I446" s="3" t="str">
        <x:v>20-ปัจจุบัน</x:v>
      </x:c>
      <x:c r="J446" s="22" t="n">
        <x:f>COUNT('中古車掲載'!AM396:AM400)</x:f>
        <x:v>5</x:v>
      </x:c>
      <x:c r="K446" s="22" t="n">
        <x:f>IF(COUNT('中古車掲載'!AM396:AM400)=0,"",QUARTILE('中古車掲載'!AM396:AM400,1))</x:f>
        <x:v>739000</x:v>
      </x:c>
      <x:c r="L446" s="22" t="n">
        <x:f>IF(COUNT('中古車掲載'!AM396:AM400)=0,"",MEDIAN('中古車掲載'!AM396:AM400))</x:f>
        <x:v>755000</x:v>
      </x:c>
      <x:c r="M446" s="22" t="n">
        <x:f>IF(COUNT('中古車掲載'!AM396:AM400)=0,"",QUARTILE('中古車掲載'!AM396:AM400,3))</x:f>
        <x:v>759000</x:v>
      </x:c>
      <x:c r="N446" s="22" t="n">
        <x:f>COUNT('中古車掲載'!AN396:AN400)</x:f>
        <x:v>5</x:v>
      </x:c>
      <x:c r="O446" s="23" t="n">
        <x:f>IF(COUNT('中古車掲載'!AN396:AN400)=0,"",MEDIAN('中古車掲載'!AN396:AN400))</x:f>
        <x:v>0.6270764119601329</x:v>
      </x:c>
      <x:c r="P446" s="3"/>
      <x:c r="Q446" s="3"/>
      <x:c r="R446" s="3"/>
      <x:c r="S446" s="3"/>
      <x:c r="T446" s="3"/>
      <x:c r="U446" s="3"/>
      <x:c r="V446" s="3"/>
      <x:c r="W446" s="3"/>
      <x:c r="X446" s="3"/>
      <x:c r="Y446" s="3"/>
      <x:c r="Z446" s="3"/>
      <x:c r="AA446" s="3"/>
      <x:c r="AB446" s="3"/>
      <x:c r="AC446" s="3"/>
      <x:c r="AD446" s="3"/>
      <x:c r="AE446" s="3"/>
      <x:c r="AF446" s="3"/>
      <x:c r="AG446" s="3"/>
      <x:c r="AH446" s="3"/>
      <x:c r="AI446" s="3"/>
      <x:c r="AJ446" s="3"/>
      <x:c r="AK446" s="3"/>
      <x:c r="AL446" s="3"/>
      <x:c r="AM446" s="3"/>
      <x:c r="AN446" s="3"/>
      <x:c r="AO446" s="3"/>
      <x:c r="AP446" s="3"/>
      <x:c r="AQ446" s="3"/>
      <x:c r="AR446" s="3"/>
      <x:c r="AS446" s="3"/>
      <x:c r="AT446" s="3"/>
      <x:c r="AU446" s="3"/>
      <x:c r="AV446" s="3"/>
      <x:c r="AW446" s="3"/>
      <x:c r="AX446" s="3"/>
      <x:c r="AY446" s="3"/>
      <x:c r="AZ446" s="3" t="str">
        <x:f>IF(AND('中古車掲載'!C447="One2car",'中古車掲載'!F447="ATTO 3",'中古車掲載'!L447="EXTENDED RANGE",'中古車掲載'!J447=2023,ISNUMBER('中古車掲載'!N447),'中古車掲載'!N447&gt;=20000,'中古車掲載'!O447&lt;=100000,'中古車掲載'!AL447=1),'中古車掲載'!U447,"")</x:f>
      </x:c>
      <x:c r="BA446" s="3" t="str">
        <x:f>IF(AND('中古車掲載'!C447="One2car",'中古車掲載'!F447="Corolla Cross",'中古車掲載'!L447="HEV PREMIUM SAFETY",'中古車掲載'!J447=2023,ISNUMBER('中古車掲載'!N447),'中古車掲載'!N447&gt;=20000,'中古車掲載'!O447&lt;=100000,'中古車掲載'!AL447=1,'中古車掲載'!Z447="https://www.one2car.com/en/cars-for-sale/toyota/corolla-cross/year-2023"),'中古車掲載'!U447,"")</x:f>
      </x:c>
      <x:c r="BB446" s="3" t="str">
        <x:f>IF(AND('中古車掲載'!C447="One2car",'中古車掲載'!F447="ATTO 3",'中古車掲載'!L447="EXTENDED RANGE",'中古車掲載'!J447=2023,ISNUMBER('中古車掲載'!N447),'中古車掲載'!N447&gt;=50000,'中古車掲載'!O447&lt;=100000,'中古車掲載'!AL447=1),'中古車掲載'!U447,"")</x:f>
      </x:c>
      <x:c r="BC446" s="3" t="str">
        <x:f>IF(AND('中古車掲載'!C447="One2car",'中古車掲載'!F447="Corolla Cross",'中古車掲載'!L447="HEV PREMIUM SAFETY",'中古車掲載'!J447=2023,ISNUMBER('中古車掲載'!N447),'中古車掲載'!N447&gt;=50000,'中古車掲載'!O447&lt;=100000,'中古車掲載'!AL447=1,'中古車掲載'!Z447="https://www.one2car.com/en/cars-for-sale/toyota/corolla-cross/year-2023"),'中古車掲載'!U447,"")</x:f>
      </x:c>
      <x:c r="BD446" s="3" t="str">
        <x:f>IF(AND('中古車掲載'!C447="One2car",'中古車掲載'!F447="ATTO 3",'中古車掲載'!L447="EXTENDED RANGE",'中古車掲載'!J447=2023,ISNUMBER('中古車掲載'!N447),'中古車掲載'!N447&gt;=20000,'中古車掲載'!O447&lt;=50000,'中古車掲載'!AL447=1),'中古車掲載'!U447,"")</x:f>
      </x:c>
      <x:c r="BE446" s="3" t="str">
        <x:f>IF(AND('中古車掲載'!C447="One2car",'中古車掲載'!F447="Corolla Cross",'中古車掲載'!L447="HEV PREMIUM SAFETY",'中古車掲載'!J447=2023,ISNUMBER('中古車掲載'!N447),'中古車掲載'!N447&gt;=20000,'中古車掲載'!O447&lt;=50000,'中古車掲載'!AL447=1,'中古車掲載'!Z447="https://www.one2car.com/en/cars-for-sale/toyota/corolla-cross/year-2023"),'中古車掲載'!U447,"")</x:f>
      </x:c>
      <x:c r="BF446" s="3" t="str">
        <x:f>IF(AND('中古車掲載'!C447="One2car",'中古車掲載'!F447="Corolla Cross",'中古車掲載'!L447="HEV PREMIUM",'中古車掲載'!J447=2023,ISNUMBER('中古車掲載'!N447),'中古車掲載'!N447&gt;=20000,'中古車掲載'!O447&lt;=100000,'中古車掲載'!AL447=1,'中古車掲載'!Z447="https://www.one2car.com/en/cars-for-sale/toyota/corolla-cross/year-2023"),'中古車掲載'!U447,"")</x:f>
      </x:c>
      <x:c r="BG446" s="3" t="str">
        <x:f>IF(AND('中古車掲載'!C447="One2car",'中古車掲載'!F447="Corolla Cross",'中古車掲載'!L447="HEV GR SPORT",'中古車掲載'!J447=2023,ISNUMBER('中古車掲載'!N447),'中古車掲載'!N447&gt;=20000,'中古車掲載'!O447&lt;=100000,'中古車掲載'!AL447=1,'中古車掲載'!Z447="https://www.one2car.com/en/cars-for-sale/toyota/corolla-cross/year-2023"),'中古車掲載'!U447,"")</x:f>
      </x:c>
      <x:c r="BH446" s="3" t="str">
        <x:f>IF(AND('中古車掲載'!C447="One2car",'中古車掲載'!F447="DOLPHIN",'中古車掲載'!L447="STANDARD RANGE",'中古車掲載'!J447=2023,ISNUMBER('中古車掲載'!N447),'中古車掲載'!N447&gt;=20000,'中古車掲載'!O447&lt;=100000,'中古車掲載'!AL447=1),'中古車掲載'!U447,"")</x:f>
      </x:c>
      <x:c r="BI446" s="3" t="str">
        <x:v>Taladrod|Corolla Cross|ICE|Unknown</x:v>
      </x:c>
      <x:c r="BJ446" s="3" t="n">
        <x:v>447</x:v>
      </x:c>
      <x:c r="BK446" s="3" t="n">
        <x:f>'中古車掲載'!AM447</x:f>
        <x:v>599000</x:v>
      </x:c>
      <x:c r="BL446" s="3" t="str">
        <x:f>IF(ISNUMBER('中古車掲載'!AN447),'中古車掲載'!AN447,"")</x:f>
      </x:c>
      <x:c r="BM446" s="3"/>
      <x:c r="BN446" s="3"/>
      <x:c r="BO446" s="3"/>
      <x:c r="BP446" s="3"/>
      <x:c r="BQ446" s="3"/>
      <x:c r="BR446" s="3"/>
    </x:row>
    <x:row r="447" ht="22" customHeight="1">
      <x:c r="A447" s="3" t="str">
        <x:v>Corolla Cross</x:v>
      </x:c>
      <x:c r="B447" s="3" t="str">
        <x:v>HEV</x:v>
      </x:c>
      <x:c r="C447" s="3" t="str">
        <x:v>Taladrod</x:v>
      </x:c>
      <x:c r="D447" s="3" t="str">
        <x:v>SUV</x:v>
      </x:c>
      <x:c r="E447" s="3" t="str"/>
      <x:c r="F447" s="3" t="n">
        <x:v>2023</x:v>
      </x:c>
      <x:c r="G447" s="3" t="str">
        <x:v>HEV SMART</x:v>
      </x:c>
      <x:c r="H447" s="3" t="str">
        <x:v>未掲載</x:v>
      </x:c>
      <x:c r="I447" s="3" t="str">
        <x:v>20-ปัจจุบัน</x:v>
      </x:c>
      <x:c r="J447" s="22" t="n">
        <x:f>COUNT('中古車掲載'!AM401:AM405)</x:f>
        <x:v>5</x:v>
      </x:c>
      <x:c r="K447" s="22" t="n">
        <x:f>IF(COUNT('中古車掲載'!AM401:AM405)=0,"",QUARTILE('中古車掲載'!AM401:AM405,1))</x:f>
        <x:v>619000</x:v>
      </x:c>
      <x:c r="L447" s="22" t="n">
        <x:f>IF(COUNT('中古車掲載'!AM401:AM405)=0,"",MEDIAN('中古車掲載'!AM401:AM405))</x:f>
        <x:v>659000</x:v>
      </x:c>
      <x:c r="M447" s="22" t="n">
        <x:f>IF(COUNT('中古車掲載'!AM401:AM405)=0,"",QUARTILE('中古車掲載'!AM401:AM405,3))</x:f>
        <x:v>689000</x:v>
      </x:c>
      <x:c r="N447" s="22" t="n">
        <x:f>COUNT('中古車掲載'!AN401:AN405)</x:f>
        <x:v>5</x:v>
      </x:c>
      <x:c r="O447" s="23" t="n">
        <x:f>IF(COUNT('中古車掲載'!AN401:AN405)=0,"",MEDIAN('中古車掲載'!AN401:AN405))</x:f>
        <x:v>0.6435546875</x:v>
      </x:c>
      <x:c r="P447" s="3"/>
      <x:c r="Q447" s="3"/>
      <x:c r="R447" s="3"/>
      <x:c r="S447" s="3"/>
      <x:c r="T447" s="3"/>
      <x:c r="U447" s="3"/>
      <x:c r="V447" s="3"/>
      <x:c r="W447" s="3"/>
      <x:c r="X447" s="3"/>
      <x:c r="Y447" s="3"/>
      <x:c r="Z447" s="3"/>
      <x:c r="AA447" s="3"/>
      <x:c r="AB447" s="3"/>
      <x:c r="AC447" s="3"/>
      <x:c r="AD447" s="3"/>
      <x:c r="AE447" s="3"/>
      <x:c r="AF447" s="3"/>
      <x:c r="AG447" s="3"/>
      <x:c r="AH447" s="3"/>
      <x:c r="AI447" s="3"/>
      <x:c r="AJ447" s="3"/>
      <x:c r="AK447" s="3"/>
      <x:c r="AL447" s="3"/>
      <x:c r="AM447" s="3"/>
      <x:c r="AN447" s="3"/>
      <x:c r="AO447" s="3"/>
      <x:c r="AP447" s="3"/>
      <x:c r="AQ447" s="3"/>
      <x:c r="AR447" s="3"/>
      <x:c r="AS447" s="3"/>
      <x:c r="AT447" s="3"/>
      <x:c r="AU447" s="3"/>
      <x:c r="AV447" s="3"/>
      <x:c r="AW447" s="3"/>
      <x:c r="AX447" s="3"/>
      <x:c r="AY447" s="3"/>
      <x:c r="AZ447" s="3" t="str">
        <x:f>IF(AND('中古車掲載'!C448="One2car",'中古車掲載'!F448="ATTO 3",'中古車掲載'!L448="EXTENDED RANGE",'中古車掲載'!J448=2023,ISNUMBER('中古車掲載'!N448),'中古車掲載'!N448&gt;=20000,'中古車掲載'!O448&lt;=100000,'中古車掲載'!AL448=1),'中古車掲載'!U448,"")</x:f>
      </x:c>
      <x:c r="BA447" s="3" t="str">
        <x:f>IF(AND('中古車掲載'!C448="One2car",'中古車掲載'!F448="Corolla Cross",'中古車掲載'!L448="HEV PREMIUM SAFETY",'中古車掲載'!J448=2023,ISNUMBER('中古車掲載'!N448),'中古車掲載'!N448&gt;=20000,'中古車掲載'!O448&lt;=100000,'中古車掲載'!AL448=1,'中古車掲載'!Z448="https://www.one2car.com/en/cars-for-sale/toyota/corolla-cross/year-2023"),'中古車掲載'!U448,"")</x:f>
      </x:c>
      <x:c r="BB447" s="3" t="str">
        <x:f>IF(AND('中古車掲載'!C448="One2car",'中古車掲載'!F448="ATTO 3",'中古車掲載'!L448="EXTENDED RANGE",'中古車掲載'!J448=2023,ISNUMBER('中古車掲載'!N448),'中古車掲載'!N448&gt;=50000,'中古車掲載'!O448&lt;=100000,'中古車掲載'!AL448=1),'中古車掲載'!U448,"")</x:f>
      </x:c>
      <x:c r="BC447" s="3" t="str">
        <x:f>IF(AND('中古車掲載'!C448="One2car",'中古車掲載'!F448="Corolla Cross",'中古車掲載'!L448="HEV PREMIUM SAFETY",'中古車掲載'!J448=2023,ISNUMBER('中古車掲載'!N448),'中古車掲載'!N448&gt;=50000,'中古車掲載'!O448&lt;=100000,'中古車掲載'!AL448=1,'中古車掲載'!Z448="https://www.one2car.com/en/cars-for-sale/toyota/corolla-cross/year-2023"),'中古車掲載'!U448,"")</x:f>
      </x:c>
      <x:c r="BD447" s="3" t="str">
        <x:f>IF(AND('中古車掲載'!C448="One2car",'中古車掲載'!F448="ATTO 3",'中古車掲載'!L448="EXTENDED RANGE",'中古車掲載'!J448=2023,ISNUMBER('中古車掲載'!N448),'中古車掲載'!N448&gt;=20000,'中古車掲載'!O448&lt;=50000,'中古車掲載'!AL448=1),'中古車掲載'!U448,"")</x:f>
      </x:c>
      <x:c r="BE447" s="3" t="str">
        <x:f>IF(AND('中古車掲載'!C448="One2car",'中古車掲載'!F448="Corolla Cross",'中古車掲載'!L448="HEV PREMIUM SAFETY",'中古車掲載'!J448=2023,ISNUMBER('中古車掲載'!N448),'中古車掲載'!N448&gt;=20000,'中古車掲載'!O448&lt;=50000,'中古車掲載'!AL448=1,'中古車掲載'!Z448="https://www.one2car.com/en/cars-for-sale/toyota/corolla-cross/year-2023"),'中古車掲載'!U448,"")</x:f>
      </x:c>
      <x:c r="BF447" s="3" t="str">
        <x:f>IF(AND('中古車掲載'!C448="One2car",'中古車掲載'!F448="Corolla Cross",'中古車掲載'!L448="HEV PREMIUM",'中古車掲載'!J448=2023,ISNUMBER('中古車掲載'!N448),'中古車掲載'!N448&gt;=20000,'中古車掲載'!O448&lt;=100000,'中古車掲載'!AL448=1,'中古車掲載'!Z448="https://www.one2car.com/en/cars-for-sale/toyota/corolla-cross/year-2023"),'中古車掲載'!U448,"")</x:f>
      </x:c>
      <x:c r="BG447" s="3" t="str">
        <x:f>IF(AND('中古車掲載'!C448="One2car",'中古車掲載'!F448="Corolla Cross",'中古車掲載'!L448="HEV GR SPORT",'中古車掲載'!J448=2023,ISNUMBER('中古車掲載'!N448),'中古車掲載'!N448&gt;=20000,'中古車掲載'!O448&lt;=100000,'中古車掲載'!AL448=1,'中古車掲載'!Z448="https://www.one2car.com/en/cars-for-sale/toyota/corolla-cross/year-2023"),'中古車掲載'!U448,"")</x:f>
      </x:c>
      <x:c r="BH447" s="3" t="str">
        <x:f>IF(AND('中古車掲載'!C448="One2car",'中古車掲載'!F448="DOLPHIN",'中古車掲載'!L448="STANDARD RANGE",'中古車掲載'!J448=2023,ISNUMBER('中古車掲載'!N448),'中古車掲載'!N448&gt;=20000,'中古車掲載'!O448&lt;=100000,'中古車掲載'!AL448=1),'中古車掲載'!U448,"")</x:f>
      </x:c>
      <x:c r="BI447" s="3" t="str">
        <x:v>Taladrod|Corolla Cross|ICE|Unknown</x:v>
      </x:c>
      <x:c r="BJ447" s="3" t="n">
        <x:v>448</x:v>
      </x:c>
      <x:c r="BK447" s="3" t="n">
        <x:f>'中古車掲載'!AM448</x:f>
        <x:v>558000</x:v>
      </x:c>
      <x:c r="BL447" s="3" t="str">
        <x:f>IF(ISNUMBER('中古車掲載'!AN448),'中古車掲載'!AN448,"")</x:f>
      </x:c>
      <x:c r="BM447" s="3"/>
      <x:c r="BN447" s="3"/>
      <x:c r="BO447" s="3"/>
      <x:c r="BP447" s="3"/>
      <x:c r="BQ447" s="3"/>
      <x:c r="BR447" s="3"/>
    </x:row>
    <x:row r="448" ht="22" customHeight="1">
      <x:c r="A448" s="3" t="str">
        <x:v>Corolla Cross</x:v>
      </x:c>
      <x:c r="B448" s="3" t="str">
        <x:v>HEV</x:v>
      </x:c>
      <x:c r="C448" s="3" t="str">
        <x:v>Taladrod</x:v>
      </x:c>
      <x:c r="D448" s="3" t="str">
        <x:v>SUV</x:v>
      </x:c>
      <x:c r="E448" s="3" t="str"/>
      <x:c r="F448" s="3" t="n">
        <x:v>2024</x:v>
      </x:c>
      <x:c r="G448" s="3" t="str">
        <x:v>HEV GR SPORT</x:v>
      </x:c>
      <x:c r="H448" s="3" t="str">
        <x:v>未掲載</x:v>
      </x:c>
      <x:c r="I448" s="3" t="str">
        <x:v>20-ปัจจุบัน</x:v>
      </x:c>
      <x:c r="J448" s="22" t="n">
        <x:f>COUNT('中古車掲載'!AM406:AM411)</x:f>
        <x:v>6</x:v>
      </x:c>
      <x:c r="K448" s="22" t="n">
        <x:f>IF(COUNT('中古車掲載'!AM406:AM411)=0,"",QUARTILE('中古車掲載'!AM406:AM411,1))</x:f>
        <x:v>863000</x:v>
      </x:c>
      <x:c r="L448" s="22" t="n">
        <x:f>IF(COUNT('中古車掲載'!AM406:AM411)=0,"",MEDIAN('中古車掲載'!AM406:AM411))</x:f>
        <x:v>888000</x:v>
      </x:c>
      <x:c r="M448" s="22" t="n">
        <x:f>IF(COUNT('中古車掲載'!AM406:AM411)=0,"",QUARTILE('中古車掲載'!AM406:AM411,3))</x:f>
        <x:v>898750</x:v>
      </x:c>
      <x:c r="N448" s="22" t="n">
        <x:f>COUNT('中古車掲載'!AN406:AN411)</x:f>
        <x:v>6</x:v>
      </x:c>
      <x:c r="O448" s="23" t="n">
        <x:f>IF(COUNT('中古車掲載'!AN406:AN411)=0,"",MEDIAN('中古車掲載'!AN406:AN411))</x:f>
        <x:v>0.7081339712918661</x:v>
      </x:c>
      <x:c r="P448" s="3"/>
      <x:c r="Q448" s="3"/>
      <x:c r="R448" s="3"/>
      <x:c r="S448" s="3"/>
      <x:c r="T448" s="3"/>
      <x:c r="U448" s="3"/>
      <x:c r="V448" s="3"/>
      <x:c r="W448" s="3"/>
      <x:c r="X448" s="3"/>
      <x:c r="Y448" s="3"/>
      <x:c r="Z448" s="3"/>
      <x:c r="AA448" s="3"/>
      <x:c r="AB448" s="3"/>
      <x:c r="AC448" s="3"/>
      <x:c r="AD448" s="3"/>
      <x:c r="AE448" s="3"/>
      <x:c r="AF448" s="3"/>
      <x:c r="AG448" s="3"/>
      <x:c r="AH448" s="3"/>
      <x:c r="AI448" s="3"/>
      <x:c r="AJ448" s="3"/>
      <x:c r="AK448" s="3"/>
      <x:c r="AL448" s="3"/>
      <x:c r="AM448" s="3"/>
      <x:c r="AN448" s="3"/>
      <x:c r="AO448" s="3"/>
      <x:c r="AP448" s="3"/>
      <x:c r="AQ448" s="3"/>
      <x:c r="AR448" s="3"/>
      <x:c r="AS448" s="3"/>
      <x:c r="AT448" s="3"/>
      <x:c r="AU448" s="3"/>
      <x:c r="AV448" s="3"/>
      <x:c r="AW448" s="3"/>
      <x:c r="AX448" s="3"/>
      <x:c r="AY448" s="3"/>
      <x:c r="AZ448" s="3" t="str">
        <x:f>IF(AND('中古車掲載'!C449="One2car",'中古車掲載'!F449="ATTO 3",'中古車掲載'!L449="EXTENDED RANGE",'中古車掲載'!J449=2023,ISNUMBER('中古車掲載'!N449),'中古車掲載'!N449&gt;=20000,'中古車掲載'!O449&lt;=100000,'中古車掲載'!AL449=1),'中古車掲載'!U449,"")</x:f>
      </x:c>
      <x:c r="BA448" s="3" t="str">
        <x:f>IF(AND('中古車掲載'!C449="One2car",'中古車掲載'!F449="Corolla Cross",'中古車掲載'!L449="HEV PREMIUM SAFETY",'中古車掲載'!J449=2023,ISNUMBER('中古車掲載'!N449),'中古車掲載'!N449&gt;=20000,'中古車掲載'!O449&lt;=100000,'中古車掲載'!AL449=1,'中古車掲載'!Z449="https://www.one2car.com/en/cars-for-sale/toyota/corolla-cross/year-2023"),'中古車掲載'!U449,"")</x:f>
      </x:c>
      <x:c r="BB448" s="3" t="str">
        <x:f>IF(AND('中古車掲載'!C449="One2car",'中古車掲載'!F449="ATTO 3",'中古車掲載'!L449="EXTENDED RANGE",'中古車掲載'!J449=2023,ISNUMBER('中古車掲載'!N449),'中古車掲載'!N449&gt;=50000,'中古車掲載'!O449&lt;=100000,'中古車掲載'!AL449=1),'中古車掲載'!U449,"")</x:f>
      </x:c>
      <x:c r="BC448" s="3" t="str">
        <x:f>IF(AND('中古車掲載'!C449="One2car",'中古車掲載'!F449="Corolla Cross",'中古車掲載'!L449="HEV PREMIUM SAFETY",'中古車掲載'!J449=2023,ISNUMBER('中古車掲載'!N449),'中古車掲載'!N449&gt;=50000,'中古車掲載'!O449&lt;=100000,'中古車掲載'!AL449=1,'中古車掲載'!Z449="https://www.one2car.com/en/cars-for-sale/toyota/corolla-cross/year-2023"),'中古車掲載'!U449,"")</x:f>
      </x:c>
      <x:c r="BD448" s="3" t="str">
        <x:f>IF(AND('中古車掲載'!C449="One2car",'中古車掲載'!F449="ATTO 3",'中古車掲載'!L449="EXTENDED RANGE",'中古車掲載'!J449=2023,ISNUMBER('中古車掲載'!N449),'中古車掲載'!N449&gt;=20000,'中古車掲載'!O449&lt;=50000,'中古車掲載'!AL449=1),'中古車掲載'!U449,"")</x:f>
      </x:c>
      <x:c r="BE448" s="3" t="str">
        <x:f>IF(AND('中古車掲載'!C449="One2car",'中古車掲載'!F449="Corolla Cross",'中古車掲載'!L449="HEV PREMIUM SAFETY",'中古車掲載'!J449=2023,ISNUMBER('中古車掲載'!N449),'中古車掲載'!N449&gt;=20000,'中古車掲載'!O449&lt;=50000,'中古車掲載'!AL449=1,'中古車掲載'!Z449="https://www.one2car.com/en/cars-for-sale/toyota/corolla-cross/year-2023"),'中古車掲載'!U449,"")</x:f>
      </x:c>
      <x:c r="BF448" s="3" t="str">
        <x:f>IF(AND('中古車掲載'!C449="One2car",'中古車掲載'!F449="Corolla Cross",'中古車掲載'!L449="HEV PREMIUM",'中古車掲載'!J449=2023,ISNUMBER('中古車掲載'!N449),'中古車掲載'!N449&gt;=20000,'中古車掲載'!O449&lt;=100000,'中古車掲載'!AL449=1,'中古車掲載'!Z449="https://www.one2car.com/en/cars-for-sale/toyota/corolla-cross/year-2023"),'中古車掲載'!U449,"")</x:f>
      </x:c>
      <x:c r="BG448" s="3" t="str">
        <x:f>IF(AND('中古車掲載'!C449="One2car",'中古車掲載'!F449="Corolla Cross",'中古車掲載'!L449="HEV GR SPORT",'中古車掲載'!J449=2023,ISNUMBER('中古車掲載'!N449),'中古車掲載'!N449&gt;=20000,'中古車掲載'!O449&lt;=100000,'中古車掲載'!AL449=1,'中古車掲載'!Z449="https://www.one2car.com/en/cars-for-sale/toyota/corolla-cross/year-2023"),'中古車掲載'!U449,"")</x:f>
      </x:c>
      <x:c r="BH448" s="3" t="str">
        <x:f>IF(AND('中古車掲載'!C449="One2car",'中古車掲載'!F449="DOLPHIN",'中古車掲載'!L449="STANDARD RANGE",'中古車掲載'!J449=2023,ISNUMBER('中古車掲載'!N449),'中古車掲載'!N449&gt;=20000,'中古車掲載'!O449&lt;=100000,'中古車掲載'!AL449=1),'中古車掲載'!U449,"")</x:f>
      </x:c>
      <x:c r="BI448" s="3" t="str">
        <x:v>Taladrod|Corolla Cross|ICE|Unknown</x:v>
      </x:c>
      <x:c r="BJ448" s="3" t="n">
        <x:v>449</x:v>
      </x:c>
      <x:c r="BK448" s="3" t="n">
        <x:f>'中古車掲載'!AM449</x:f>
        <x:v>499000</x:v>
      </x:c>
      <x:c r="BL448" s="3" t="str">
        <x:f>IF(ISNUMBER('中古車掲載'!AN449),'中古車掲載'!AN449,"")</x:f>
      </x:c>
      <x:c r="BM448" s="3"/>
      <x:c r="BN448" s="3"/>
      <x:c r="BO448" s="3"/>
      <x:c r="BP448" s="3"/>
      <x:c r="BQ448" s="3"/>
      <x:c r="BR448" s="3"/>
    </x:row>
    <x:row r="449" ht="22" customHeight="1">
      <x:c r="A449" s="3" t="str">
        <x:v>Corolla Cross</x:v>
      </x:c>
      <x:c r="B449" s="3" t="str">
        <x:v>HEV</x:v>
      </x:c>
      <x:c r="C449" s="3" t="str">
        <x:v>Taladrod</x:v>
      </x:c>
      <x:c r="D449" s="3" t="str">
        <x:v>SUV</x:v>
      </x:c>
      <x:c r="E449" s="3" t="str"/>
      <x:c r="F449" s="3" t="n">
        <x:v>2024</x:v>
      </x:c>
      <x:c r="G449" s="3" t="str">
        <x:v>HEV PREMIUM</x:v>
      </x:c>
      <x:c r="H449" s="3" t="str">
        <x:v>未掲載</x:v>
      </x:c>
      <x:c r="I449" s="3" t="str">
        <x:v>20-ปัจจุบัน</x:v>
      </x:c>
      <x:c r="J449" s="22" t="n">
        <x:f>COUNT('中古車掲載'!AM412:AM416)</x:f>
        <x:v>5</x:v>
      </x:c>
      <x:c r="K449" s="22" t="n">
        <x:f>IF(COUNT('中古車掲載'!AM412:AM416)=0,"",QUARTILE('中古車掲載'!AM412:AM416,1))</x:f>
        <x:v>785000</x:v>
      </x:c>
      <x:c r="L449" s="22" t="n">
        <x:f>IF(COUNT('中古車掲載'!AM412:AM416)=0,"",MEDIAN('中古車掲載'!AM412:AM416))</x:f>
        <x:v>799000</x:v>
      </x:c>
      <x:c r="M449" s="22" t="n">
        <x:f>IF(COUNT('中古車掲載'!AM412:AM416)=0,"",QUARTILE('中古車掲載'!AM412:AM416,3))</x:f>
        <x:v>829000</x:v>
      </x:c>
      <x:c r="N449" s="22" t="n">
        <x:f>COUNT('中古車掲載'!AN412:AN416)</x:f>
        <x:v>5</x:v>
      </x:c>
      <x:c r="O449" s="23" t="n">
        <x:f>IF(COUNT('中古車掲載'!AN412:AN416)=0,"",MEDIAN('中古車掲載'!AN412:AN416))</x:f>
        <x:v>0.7303473491773309</x:v>
      </x:c>
      <x:c r="P449" s="3"/>
      <x:c r="Q449" s="3"/>
      <x:c r="R449" s="3"/>
      <x:c r="S449" s="3"/>
      <x:c r="T449" s="3"/>
      <x:c r="U449" s="3"/>
      <x:c r="V449" s="3"/>
      <x:c r="W449" s="3"/>
      <x:c r="X449" s="3"/>
      <x:c r="Y449" s="3"/>
      <x:c r="Z449" s="3"/>
      <x:c r="AA449" s="3"/>
      <x:c r="AB449" s="3"/>
      <x:c r="AC449" s="3"/>
      <x:c r="AD449" s="3"/>
      <x:c r="AE449" s="3"/>
      <x:c r="AF449" s="3"/>
      <x:c r="AG449" s="3"/>
      <x:c r="AH449" s="3"/>
      <x:c r="AI449" s="3"/>
      <x:c r="AJ449" s="3"/>
      <x:c r="AK449" s="3"/>
      <x:c r="AL449" s="3"/>
      <x:c r="AM449" s="3"/>
      <x:c r="AN449" s="3"/>
      <x:c r="AO449" s="3"/>
      <x:c r="AP449" s="3"/>
      <x:c r="AQ449" s="3"/>
      <x:c r="AR449" s="3"/>
      <x:c r="AS449" s="3"/>
      <x:c r="AT449" s="3"/>
      <x:c r="AU449" s="3"/>
      <x:c r="AV449" s="3"/>
      <x:c r="AW449" s="3"/>
      <x:c r="AX449" s="3"/>
      <x:c r="AY449" s="3"/>
      <x:c r="AZ449" s="3" t="str">
        <x:f>IF(AND('中古車掲載'!C450="One2car",'中古車掲載'!F450="ATTO 3",'中古車掲載'!L450="EXTENDED RANGE",'中古車掲載'!J450=2023,ISNUMBER('中古車掲載'!N450),'中古車掲載'!N450&gt;=20000,'中古車掲載'!O450&lt;=100000,'中古車掲載'!AL450=1),'中古車掲載'!U450,"")</x:f>
      </x:c>
      <x:c r="BA449" s="3" t="str">
        <x:f>IF(AND('中古車掲載'!C450="One2car",'中古車掲載'!F450="Corolla Cross",'中古車掲載'!L450="HEV PREMIUM SAFETY",'中古車掲載'!J450=2023,ISNUMBER('中古車掲載'!N450),'中古車掲載'!N450&gt;=20000,'中古車掲載'!O450&lt;=100000,'中古車掲載'!AL450=1,'中古車掲載'!Z450="https://www.one2car.com/en/cars-for-sale/toyota/corolla-cross/year-2023"),'中古車掲載'!U450,"")</x:f>
      </x:c>
      <x:c r="BB449" s="3" t="str">
        <x:f>IF(AND('中古車掲載'!C450="One2car",'中古車掲載'!F450="ATTO 3",'中古車掲載'!L450="EXTENDED RANGE",'中古車掲載'!J450=2023,ISNUMBER('中古車掲載'!N450),'中古車掲載'!N450&gt;=50000,'中古車掲載'!O450&lt;=100000,'中古車掲載'!AL450=1),'中古車掲載'!U450,"")</x:f>
      </x:c>
      <x:c r="BC449" s="3" t="str">
        <x:f>IF(AND('中古車掲載'!C450="One2car",'中古車掲載'!F450="Corolla Cross",'中古車掲載'!L450="HEV PREMIUM SAFETY",'中古車掲載'!J450=2023,ISNUMBER('中古車掲載'!N450),'中古車掲載'!N450&gt;=50000,'中古車掲載'!O450&lt;=100000,'中古車掲載'!AL450=1,'中古車掲載'!Z450="https://www.one2car.com/en/cars-for-sale/toyota/corolla-cross/year-2023"),'中古車掲載'!U450,"")</x:f>
      </x:c>
      <x:c r="BD449" s="3" t="str">
        <x:f>IF(AND('中古車掲載'!C450="One2car",'中古車掲載'!F450="ATTO 3",'中古車掲載'!L450="EXTENDED RANGE",'中古車掲載'!J450=2023,ISNUMBER('中古車掲載'!N450),'中古車掲載'!N450&gt;=20000,'中古車掲載'!O450&lt;=50000,'中古車掲載'!AL450=1),'中古車掲載'!U450,"")</x:f>
      </x:c>
      <x:c r="BE449" s="3" t="str">
        <x:f>IF(AND('中古車掲載'!C450="One2car",'中古車掲載'!F450="Corolla Cross",'中古車掲載'!L450="HEV PREMIUM SAFETY",'中古車掲載'!J450=2023,ISNUMBER('中古車掲載'!N450),'中古車掲載'!N450&gt;=20000,'中古車掲載'!O450&lt;=50000,'中古車掲載'!AL450=1,'中古車掲載'!Z450="https://www.one2car.com/en/cars-for-sale/toyota/corolla-cross/year-2023"),'中古車掲載'!U450,"")</x:f>
      </x:c>
      <x:c r="BF449" s="3" t="str">
        <x:f>IF(AND('中古車掲載'!C450="One2car",'中古車掲載'!F450="Corolla Cross",'中古車掲載'!L450="HEV PREMIUM",'中古車掲載'!J450=2023,ISNUMBER('中古車掲載'!N450),'中古車掲載'!N450&gt;=20000,'中古車掲載'!O450&lt;=100000,'中古車掲載'!AL450=1,'中古車掲載'!Z450="https://www.one2car.com/en/cars-for-sale/toyota/corolla-cross/year-2023"),'中古車掲載'!U450,"")</x:f>
      </x:c>
      <x:c r="BG449" s="3" t="str">
        <x:f>IF(AND('中古車掲載'!C450="One2car",'中古車掲載'!F450="Corolla Cross",'中古車掲載'!L450="HEV GR SPORT",'中古車掲載'!J450=2023,ISNUMBER('中古車掲載'!N450),'中古車掲載'!N450&gt;=20000,'中古車掲載'!O450&lt;=100000,'中古車掲載'!AL450=1,'中古車掲載'!Z450="https://www.one2car.com/en/cars-for-sale/toyota/corolla-cross/year-2023"),'中古車掲載'!U450,"")</x:f>
      </x:c>
      <x:c r="BH449" s="3" t="str">
        <x:f>IF(AND('中古車掲載'!C450="One2car",'中古車掲載'!F450="DOLPHIN",'中古車掲載'!L450="STANDARD RANGE",'中古車掲載'!J450=2023,ISNUMBER('中古車掲載'!N450),'中古車掲載'!N450&gt;=20000,'中古車掲載'!O450&lt;=100000,'中古車掲載'!AL450=1),'中古車掲載'!U450,"")</x:f>
      </x:c>
      <x:c r="BI449" s="3" t="str">
        <x:v>Taladrod|Corolla Cross|ICE|Unknown</x:v>
      </x:c>
      <x:c r="BJ449" s="3" t="n">
        <x:v>450</x:v>
      </x:c>
      <x:c r="BK449" s="3" t="n">
        <x:f>'中古車掲載'!AM450</x:f>
        <x:v>489000</x:v>
      </x:c>
      <x:c r="BL449" s="3" t="str">
        <x:f>IF(ISNUMBER('中古車掲載'!AN450),'中古車掲載'!AN450,"")</x:f>
      </x:c>
      <x:c r="BM449" s="3"/>
      <x:c r="BN449" s="3"/>
      <x:c r="BO449" s="3"/>
      <x:c r="BP449" s="3"/>
      <x:c r="BQ449" s="3"/>
      <x:c r="BR449" s="3"/>
    </x:row>
    <x:row r="450" ht="22" customHeight="1">
      <x:c r="A450" s="3" t="str">
        <x:v>Corolla Cross</x:v>
      </x:c>
      <x:c r="B450" s="3" t="str">
        <x:v>HEV</x:v>
      </x:c>
      <x:c r="C450" s="3" t="str">
        <x:v>Taladrod</x:v>
      </x:c>
      <x:c r="D450" s="3" t="str">
        <x:v>SUV</x:v>
      </x:c>
      <x:c r="E450" s="3" t="str"/>
      <x:c r="F450" s="3" t="n">
        <x:v>2024</x:v>
      </x:c>
      <x:c r="G450" s="3" t="str">
        <x:v>HEV PREMIUM LUXURY</x:v>
      </x:c>
      <x:c r="H450" s="3" t="str">
        <x:v>未掲載</x:v>
      </x:c>
      <x:c r="I450" s="3" t="str">
        <x:v>20-ปัจจุบัน</x:v>
      </x:c>
      <x:c r="J450" s="22" t="n">
        <x:f>COUNT('中古車掲載'!AM417:AM425)</x:f>
        <x:v>9</x:v>
      </x:c>
      <x:c r="K450" s="22" t="n">
        <x:f>IF(COUNT('中古車掲載'!AM417:AM425)=0,"",QUARTILE('中古車掲載'!AM417:AM425,1))</x:f>
        <x:v>879000</x:v>
      </x:c>
      <x:c r="L450" s="22" t="n">
        <x:f>IF(COUNT('中古車掲載'!AM417:AM425)=0,"",MEDIAN('中古車掲載'!AM417:AM425))</x:f>
        <x:v>898000</x:v>
      </x:c>
      <x:c r="M450" s="22" t="n">
        <x:f>IF(COUNT('中古車掲載'!AM417:AM425)=0,"",QUARTILE('中古車掲載'!AM417:AM425,3))</x:f>
        <x:v>899000</x:v>
      </x:c>
      <x:c r="N450" s="22" t="n">
        <x:f>COUNT('中古車掲載'!AN417:AN425)</x:f>
        <x:v>9</x:v>
      </x:c>
      <x:c r="O450" s="23" t="n">
        <x:f>IF(COUNT('中古車掲載'!AN417:AN425)=0,"",MEDIAN('中古車掲載'!AN417:AN425))</x:f>
        <x:v>0.7458471760797342</x:v>
      </x:c>
      <x:c r="P450" s="3"/>
      <x:c r="Q450" s="3"/>
      <x:c r="R450" s="3"/>
      <x:c r="S450" s="3"/>
      <x:c r="T450" s="3"/>
      <x:c r="U450" s="3"/>
      <x:c r="V450" s="3"/>
      <x:c r="W450" s="3"/>
      <x:c r="X450" s="3"/>
      <x:c r="Y450" s="3"/>
      <x:c r="Z450" s="3"/>
      <x:c r="AA450" s="3"/>
      <x:c r="AB450" s="3"/>
      <x:c r="AC450" s="3"/>
      <x:c r="AD450" s="3"/>
      <x:c r="AE450" s="3"/>
      <x:c r="AF450" s="3"/>
      <x:c r="AG450" s="3"/>
      <x:c r="AH450" s="3"/>
      <x:c r="AI450" s="3"/>
      <x:c r="AJ450" s="3"/>
      <x:c r="AK450" s="3"/>
      <x:c r="AL450" s="3"/>
      <x:c r="AM450" s="3"/>
      <x:c r="AN450" s="3"/>
      <x:c r="AO450" s="3"/>
      <x:c r="AP450" s="3"/>
      <x:c r="AQ450" s="3"/>
      <x:c r="AR450" s="3"/>
      <x:c r="AS450" s="3"/>
      <x:c r="AT450" s="3"/>
      <x:c r="AU450" s="3"/>
      <x:c r="AV450" s="3"/>
      <x:c r="AW450" s="3"/>
      <x:c r="AX450" s="3"/>
      <x:c r="AY450" s="3"/>
      <x:c r="AZ450" s="3" t="str">
        <x:f>IF(AND('中古車掲載'!C451="One2car",'中古車掲載'!F451="ATTO 3",'中古車掲載'!L451="EXTENDED RANGE",'中古車掲載'!J451=2023,ISNUMBER('中古車掲載'!N451),'中古車掲載'!N451&gt;=20000,'中古車掲載'!O451&lt;=100000,'中古車掲載'!AL451=1),'中古車掲載'!U451,"")</x:f>
      </x:c>
      <x:c r="BA450" s="3" t="str">
        <x:f>IF(AND('中古車掲載'!C451="One2car",'中古車掲載'!F451="Corolla Cross",'中古車掲載'!L451="HEV PREMIUM SAFETY",'中古車掲載'!J451=2023,ISNUMBER('中古車掲載'!N451),'中古車掲載'!N451&gt;=20000,'中古車掲載'!O451&lt;=100000,'中古車掲載'!AL451=1,'中古車掲載'!Z451="https://www.one2car.com/en/cars-for-sale/toyota/corolla-cross/year-2023"),'中古車掲載'!U451,"")</x:f>
      </x:c>
      <x:c r="BB450" s="3" t="str">
        <x:f>IF(AND('中古車掲載'!C451="One2car",'中古車掲載'!F451="ATTO 3",'中古車掲載'!L451="EXTENDED RANGE",'中古車掲載'!J451=2023,ISNUMBER('中古車掲載'!N451),'中古車掲載'!N451&gt;=50000,'中古車掲載'!O451&lt;=100000,'中古車掲載'!AL451=1),'中古車掲載'!U451,"")</x:f>
      </x:c>
      <x:c r="BC450" s="3" t="str">
        <x:f>IF(AND('中古車掲載'!C451="One2car",'中古車掲載'!F451="Corolla Cross",'中古車掲載'!L451="HEV PREMIUM SAFETY",'中古車掲載'!J451=2023,ISNUMBER('中古車掲載'!N451),'中古車掲載'!N451&gt;=50000,'中古車掲載'!O451&lt;=100000,'中古車掲載'!AL451=1,'中古車掲載'!Z451="https://www.one2car.com/en/cars-for-sale/toyota/corolla-cross/year-2023"),'中古車掲載'!U451,"")</x:f>
      </x:c>
      <x:c r="BD450" s="3" t="str">
        <x:f>IF(AND('中古車掲載'!C451="One2car",'中古車掲載'!F451="ATTO 3",'中古車掲載'!L451="EXTENDED RANGE",'中古車掲載'!J451=2023,ISNUMBER('中古車掲載'!N451),'中古車掲載'!N451&gt;=20000,'中古車掲載'!O451&lt;=50000,'中古車掲載'!AL451=1),'中古車掲載'!U451,"")</x:f>
      </x:c>
      <x:c r="BE450" s="3" t="str">
        <x:f>IF(AND('中古車掲載'!C451="One2car",'中古車掲載'!F451="Corolla Cross",'中古車掲載'!L451="HEV PREMIUM SAFETY",'中古車掲載'!J451=2023,ISNUMBER('中古車掲載'!N451),'中古車掲載'!N451&gt;=20000,'中古車掲載'!O451&lt;=50000,'中古車掲載'!AL451=1,'中古車掲載'!Z451="https://www.one2car.com/en/cars-for-sale/toyota/corolla-cross/year-2023"),'中古車掲載'!U451,"")</x:f>
      </x:c>
      <x:c r="BF450" s="3" t="str">
        <x:f>IF(AND('中古車掲載'!C451="One2car",'中古車掲載'!F451="Corolla Cross",'中古車掲載'!L451="HEV PREMIUM",'中古車掲載'!J451=2023,ISNUMBER('中古車掲載'!N451),'中古車掲載'!N451&gt;=20000,'中古車掲載'!O451&lt;=100000,'中古車掲載'!AL451=1,'中古車掲載'!Z451="https://www.one2car.com/en/cars-for-sale/toyota/corolla-cross/year-2023"),'中古車掲載'!U451,"")</x:f>
      </x:c>
      <x:c r="BG450" s="3" t="str">
        <x:f>IF(AND('中古車掲載'!C451="One2car",'中古車掲載'!F451="Corolla Cross",'中古車掲載'!L451="HEV GR SPORT",'中古車掲載'!J451=2023,ISNUMBER('中古車掲載'!N451),'中古車掲載'!N451&gt;=20000,'中古車掲載'!O451&lt;=100000,'中古車掲載'!AL451=1,'中古車掲載'!Z451="https://www.one2car.com/en/cars-for-sale/toyota/corolla-cross/year-2023"),'中古車掲載'!U451,"")</x:f>
      </x:c>
      <x:c r="BH450" s="3" t="str">
        <x:f>IF(AND('中古車掲載'!C451="One2car",'中古車掲載'!F451="DOLPHIN",'中古車掲載'!L451="STANDARD RANGE",'中古車掲載'!J451=2023,ISNUMBER('中古車掲載'!N451),'中古車掲載'!N451&gt;=20000,'中古車掲載'!O451&lt;=100000,'中古車掲載'!AL451=1),'中古車掲載'!U451,"")</x:f>
      </x:c>
      <x:c r="BI450" s="3" t="str">
        <x:v>Taladrod|Corolla Cross|ICE|Unknown</x:v>
      </x:c>
      <x:c r="BJ450" s="3" t="n">
        <x:v>451</x:v>
      </x:c>
      <x:c r="BK450" s="3" t="n">
        <x:f>'中古車掲載'!AM451</x:f>
        <x:v>579000</x:v>
      </x:c>
      <x:c r="BL450" s="3" t="str">
        <x:f>IF(ISNUMBER('中古車掲載'!AN451),'中古車掲載'!AN451,"")</x:f>
      </x:c>
      <x:c r="BM450" s="3"/>
      <x:c r="BN450" s="3"/>
      <x:c r="BO450" s="3"/>
      <x:c r="BP450" s="3"/>
      <x:c r="BQ450" s="3"/>
      <x:c r="BR450" s="3"/>
    </x:row>
    <x:row r="451" ht="22" customHeight="1">
      <x:c r="A451" s="3" t="str">
        <x:v>Corolla Cross</x:v>
      </x:c>
      <x:c r="B451" s="3" t="str">
        <x:v>HEV</x:v>
      </x:c>
      <x:c r="C451" s="3" t="str">
        <x:v>Taladrod</x:v>
      </x:c>
      <x:c r="D451" s="3" t="str">
        <x:v>SUV</x:v>
      </x:c>
      <x:c r="E451" s="3" t="str"/>
      <x:c r="F451" s="3" t="n">
        <x:v>2025</x:v>
      </x:c>
      <x:c r="G451" s="3" t="str">
        <x:v>HEV GR SPORT</x:v>
      </x:c>
      <x:c r="H451" s="3" t="str">
        <x:v>未掲載</x:v>
      </x:c>
      <x:c r="I451" s="3" t="str">
        <x:v>20-ปัจจุบัน</x:v>
      </x:c>
      <x:c r="J451" s="22" t="n">
        <x:f>COUNT('中古車掲載'!AM426:AM427)</x:f>
        <x:v>2</x:v>
      </x:c>
      <x:c r="K451" s="22" t="n">
        <x:f>IF(COUNT('中古車掲載'!AM426:AM427)=0,"",QUARTILE('中古車掲載'!AM426:AM427,1))</x:f>
        <x:v>921500</x:v>
      </x:c>
      <x:c r="L451" s="22" t="n">
        <x:f>IF(COUNT('中古車掲載'!AM426:AM427)=0,"",MEDIAN('中古車掲載'!AM426:AM427))</x:f>
        <x:v>944000</x:v>
      </x:c>
      <x:c r="M451" s="22" t="n">
        <x:f>IF(COUNT('中古車掲載'!AM426:AM427)=0,"",QUARTILE('中古車掲載'!AM426:AM427,3))</x:f>
        <x:v>966500</x:v>
      </x:c>
      <x:c r="N451" s="22" t="n">
        <x:f>COUNT('中古車掲載'!AN426:AN427)</x:f>
        <x:v>2</x:v>
      </x:c>
      <x:c r="O451" s="23" t="n">
        <x:f>IF(COUNT('中古車掲載'!AN426:AN427)=0,"",MEDIAN('中古車掲載'!AN426:AN427))</x:f>
        <x:v>0.7527910685805422</x:v>
      </x:c>
      <x:c r="P451" s="3"/>
      <x:c r="Q451" s="3"/>
      <x:c r="R451" s="3"/>
      <x:c r="S451" s="3"/>
      <x:c r="T451" s="3"/>
      <x:c r="U451" s="3"/>
      <x:c r="V451" s="3"/>
      <x:c r="W451" s="3"/>
      <x:c r="X451" s="3"/>
      <x:c r="Y451" s="3"/>
      <x:c r="Z451" s="3"/>
      <x:c r="AA451" s="3"/>
      <x:c r="AB451" s="3"/>
      <x:c r="AC451" s="3"/>
      <x:c r="AD451" s="3"/>
      <x:c r="AE451" s="3"/>
      <x:c r="AF451" s="3"/>
      <x:c r="AG451" s="3"/>
      <x:c r="AH451" s="3"/>
      <x:c r="AI451" s="3"/>
      <x:c r="AJ451" s="3"/>
      <x:c r="AK451" s="3"/>
      <x:c r="AL451" s="3"/>
      <x:c r="AM451" s="3"/>
      <x:c r="AN451" s="3"/>
      <x:c r="AO451" s="3"/>
      <x:c r="AP451" s="3"/>
      <x:c r="AQ451" s="3"/>
      <x:c r="AR451" s="3"/>
      <x:c r="AS451" s="3"/>
      <x:c r="AT451" s="3"/>
      <x:c r="AU451" s="3"/>
      <x:c r="AV451" s="3"/>
      <x:c r="AW451" s="3"/>
      <x:c r="AX451" s="3"/>
      <x:c r="AY451" s="3"/>
      <x:c r="AZ451" s="3" t="str">
        <x:f>IF(AND('中古車掲載'!C452="One2car",'中古車掲載'!F452="ATTO 3",'中古車掲載'!L452="EXTENDED RANGE",'中古車掲載'!J452=2023,ISNUMBER('中古車掲載'!N452),'中古車掲載'!N452&gt;=20000,'中古車掲載'!O452&lt;=100000,'中古車掲載'!AL452=1),'中古車掲載'!U452,"")</x:f>
      </x:c>
      <x:c r="BA451" s="3" t="str">
        <x:f>IF(AND('中古車掲載'!C452="One2car",'中古車掲載'!F452="Corolla Cross",'中古車掲載'!L452="HEV PREMIUM SAFETY",'中古車掲載'!J452=2023,ISNUMBER('中古車掲載'!N452),'中古車掲載'!N452&gt;=20000,'中古車掲載'!O452&lt;=100000,'中古車掲載'!AL452=1,'中古車掲載'!Z452="https://www.one2car.com/en/cars-for-sale/toyota/corolla-cross/year-2023"),'中古車掲載'!U452,"")</x:f>
      </x:c>
      <x:c r="BB451" s="3" t="str">
        <x:f>IF(AND('中古車掲載'!C452="One2car",'中古車掲載'!F452="ATTO 3",'中古車掲載'!L452="EXTENDED RANGE",'中古車掲載'!J452=2023,ISNUMBER('中古車掲載'!N452),'中古車掲載'!N452&gt;=50000,'中古車掲載'!O452&lt;=100000,'中古車掲載'!AL452=1),'中古車掲載'!U452,"")</x:f>
      </x:c>
      <x:c r="BC451" s="3" t="str">
        <x:f>IF(AND('中古車掲載'!C452="One2car",'中古車掲載'!F452="Corolla Cross",'中古車掲載'!L452="HEV PREMIUM SAFETY",'中古車掲載'!J452=2023,ISNUMBER('中古車掲載'!N452),'中古車掲載'!N452&gt;=50000,'中古車掲載'!O452&lt;=100000,'中古車掲載'!AL452=1,'中古車掲載'!Z452="https://www.one2car.com/en/cars-for-sale/toyota/corolla-cross/year-2023"),'中古車掲載'!U452,"")</x:f>
      </x:c>
      <x:c r="BD451" s="3" t="str">
        <x:f>IF(AND('中古車掲載'!C452="One2car",'中古車掲載'!F452="ATTO 3",'中古車掲載'!L452="EXTENDED RANGE",'中古車掲載'!J452=2023,ISNUMBER('中古車掲載'!N452),'中古車掲載'!N452&gt;=20000,'中古車掲載'!O452&lt;=50000,'中古車掲載'!AL452=1),'中古車掲載'!U452,"")</x:f>
      </x:c>
      <x:c r="BE451" s="3" t="str">
        <x:f>IF(AND('中古車掲載'!C452="One2car",'中古車掲載'!F452="Corolla Cross",'中古車掲載'!L452="HEV PREMIUM SAFETY",'中古車掲載'!J452=2023,ISNUMBER('中古車掲載'!N452),'中古車掲載'!N452&gt;=20000,'中古車掲載'!O452&lt;=50000,'中古車掲載'!AL452=1,'中古車掲載'!Z452="https://www.one2car.com/en/cars-for-sale/toyota/corolla-cross/year-2023"),'中古車掲載'!U452,"")</x:f>
      </x:c>
      <x:c r="BF451" s="3" t="str">
        <x:f>IF(AND('中古車掲載'!C452="One2car",'中古車掲載'!F452="Corolla Cross",'中古車掲載'!L452="HEV PREMIUM",'中古車掲載'!J452=2023,ISNUMBER('中古車掲載'!N452),'中古車掲載'!N452&gt;=20000,'中古車掲載'!O452&lt;=100000,'中古車掲載'!AL452=1,'中古車掲載'!Z452="https://www.one2car.com/en/cars-for-sale/toyota/corolla-cross/year-2023"),'中古車掲載'!U452,"")</x:f>
      </x:c>
      <x:c r="BG451" s="3" t="str">
        <x:f>IF(AND('中古車掲載'!C452="One2car",'中古車掲載'!F452="Corolla Cross",'中古車掲載'!L452="HEV GR SPORT",'中古車掲載'!J452=2023,ISNUMBER('中古車掲載'!N452),'中古車掲載'!N452&gt;=20000,'中古車掲載'!O452&lt;=100000,'中古車掲載'!AL452=1,'中古車掲載'!Z452="https://www.one2car.com/en/cars-for-sale/toyota/corolla-cross/year-2023"),'中古車掲載'!U452,"")</x:f>
      </x:c>
      <x:c r="BH451" s="3" t="str">
        <x:f>IF(AND('中古車掲載'!C452="One2car",'中古車掲載'!F452="DOLPHIN",'中古車掲載'!L452="STANDARD RANGE",'中古車掲載'!J452=2023,ISNUMBER('中古車掲載'!N452),'中古車掲載'!N452&gt;=20000,'中古車掲載'!O452&lt;=100000,'中古車掲載'!AL452=1),'中古車掲載'!U452,"")</x:f>
      </x:c>
      <x:c r="BI451" s="3" t="str">
        <x:v>Taladrod|Corolla Cross|ICE|Unknown</x:v>
      </x:c>
      <x:c r="BJ451" s="3" t="n">
        <x:v>452</x:v>
      </x:c>
      <x:c r="BK451" s="3" t="n">
        <x:f>'中古車掲載'!AM452</x:f>
        <x:v>529000</x:v>
      </x:c>
      <x:c r="BL451" s="3" t="str">
        <x:f>IF(ISNUMBER('中古車掲載'!AN452),'中古車掲載'!AN452,"")</x:f>
      </x:c>
      <x:c r="BM451" s="3"/>
      <x:c r="BN451" s="3"/>
      <x:c r="BO451" s="3"/>
      <x:c r="BP451" s="3"/>
      <x:c r="BQ451" s="3"/>
      <x:c r="BR451" s="3"/>
    </x:row>
    <x:row r="452" ht="22" customHeight="1">
      <x:c r="A452" s="3" t="str">
        <x:v>Corolla Cross</x:v>
      </x:c>
      <x:c r="B452" s="3" t="str">
        <x:v>HEV</x:v>
      </x:c>
      <x:c r="C452" s="3" t="str">
        <x:v>Taladrod</x:v>
      </x:c>
      <x:c r="D452" s="3" t="str">
        <x:v>SUV</x:v>
      </x:c>
      <x:c r="E452" s="3" t="str"/>
      <x:c r="F452" s="3" t="n">
        <x:v>2025</x:v>
      </x:c>
      <x:c r="G452" s="3" t="str">
        <x:v>HEV PREMIUM</x:v>
      </x:c>
      <x:c r="H452" s="3" t="str">
        <x:v>未掲載</x:v>
      </x:c>
      <x:c r="I452" s="3" t="str">
        <x:v>20-ปัจจุบัน</x:v>
      </x:c>
      <x:c r="J452" s="22" t="n">
        <x:f>COUNT('中古車掲載'!AM428:AM431)</x:f>
        <x:v>4</x:v>
      </x:c>
      <x:c r="K452" s="22" t="n">
        <x:f>IF(COUNT('中古車掲載'!AM428:AM431)=0,"",QUARTILE('中古車掲載'!AM428:AM431,1))</x:f>
        <x:v>863000</x:v>
      </x:c>
      <x:c r="L452" s="22" t="n">
        <x:f>IF(COUNT('中古車掲載'!AM428:AM431)=0,"",MEDIAN('中古車掲載'!AM428:AM431))</x:f>
        <x:v>874000</x:v>
      </x:c>
      <x:c r="M452" s="22" t="n">
        <x:f>IF(COUNT('中古車掲載'!AM428:AM431)=0,"",QUARTILE('中古車掲載'!AM428:AM431,3))</x:f>
        <x:v>896750</x:v>
      </x:c>
      <x:c r="N452" s="22" t="n">
        <x:f>COUNT('中古車掲載'!AN428:AN431)</x:f>
        <x:v>4</x:v>
      </x:c>
      <x:c r="O452" s="23" t="n">
        <x:f>IF(COUNT('中古車掲載'!AN428:AN431)=0,"",MEDIAN('中古車掲載'!AN428:AN431))</x:f>
        <x:v>0.7989031078610603</x:v>
      </x:c>
      <x:c r="P452" s="3"/>
      <x:c r="Q452" s="3"/>
      <x:c r="R452" s="3"/>
      <x:c r="S452" s="3"/>
      <x:c r="T452" s="3"/>
      <x:c r="U452" s="3"/>
      <x:c r="V452" s="3"/>
      <x:c r="W452" s="3"/>
      <x:c r="X452" s="3"/>
      <x:c r="Y452" s="3"/>
      <x:c r="Z452" s="3"/>
      <x:c r="AA452" s="3"/>
      <x:c r="AB452" s="3"/>
      <x:c r="AC452" s="3"/>
      <x:c r="AD452" s="3"/>
      <x:c r="AE452" s="3"/>
      <x:c r="AF452" s="3"/>
      <x:c r="AG452" s="3"/>
      <x:c r="AH452" s="3"/>
      <x:c r="AI452" s="3"/>
      <x:c r="AJ452" s="3"/>
      <x:c r="AK452" s="3"/>
      <x:c r="AL452" s="3"/>
      <x:c r="AM452" s="3"/>
      <x:c r="AN452" s="3"/>
      <x:c r="AO452" s="3"/>
      <x:c r="AP452" s="3"/>
      <x:c r="AQ452" s="3"/>
      <x:c r="AR452" s="3"/>
      <x:c r="AS452" s="3"/>
      <x:c r="AT452" s="3"/>
      <x:c r="AU452" s="3"/>
      <x:c r="AV452" s="3"/>
      <x:c r="AW452" s="3"/>
      <x:c r="AX452" s="3"/>
      <x:c r="AY452" s="3"/>
      <x:c r="AZ452" s="3" t="str">
        <x:f>IF(AND('中古車掲載'!C453="One2car",'中古車掲載'!F453="ATTO 3",'中古車掲載'!L453="EXTENDED RANGE",'中古車掲載'!J453=2023,ISNUMBER('中古車掲載'!N453),'中古車掲載'!N453&gt;=20000,'中古車掲載'!O453&lt;=100000,'中古車掲載'!AL453=1),'中古車掲載'!U453,"")</x:f>
      </x:c>
      <x:c r="BA452" s="3" t="str">
        <x:f>IF(AND('中古車掲載'!C453="One2car",'中古車掲載'!F453="Corolla Cross",'中古車掲載'!L453="HEV PREMIUM SAFETY",'中古車掲載'!J453=2023,ISNUMBER('中古車掲載'!N453),'中古車掲載'!N453&gt;=20000,'中古車掲載'!O453&lt;=100000,'中古車掲載'!AL453=1,'中古車掲載'!Z453="https://www.one2car.com/en/cars-for-sale/toyota/corolla-cross/year-2023"),'中古車掲載'!U453,"")</x:f>
      </x:c>
      <x:c r="BB452" s="3" t="str">
        <x:f>IF(AND('中古車掲載'!C453="One2car",'中古車掲載'!F453="ATTO 3",'中古車掲載'!L453="EXTENDED RANGE",'中古車掲載'!J453=2023,ISNUMBER('中古車掲載'!N453),'中古車掲載'!N453&gt;=50000,'中古車掲載'!O453&lt;=100000,'中古車掲載'!AL453=1),'中古車掲載'!U453,"")</x:f>
      </x:c>
      <x:c r="BC452" s="3" t="str">
        <x:f>IF(AND('中古車掲載'!C453="One2car",'中古車掲載'!F453="Corolla Cross",'中古車掲載'!L453="HEV PREMIUM SAFETY",'中古車掲載'!J453=2023,ISNUMBER('中古車掲載'!N453),'中古車掲載'!N453&gt;=50000,'中古車掲載'!O453&lt;=100000,'中古車掲載'!AL453=1,'中古車掲載'!Z453="https://www.one2car.com/en/cars-for-sale/toyota/corolla-cross/year-2023"),'中古車掲載'!U453,"")</x:f>
      </x:c>
      <x:c r="BD452" s="3" t="str">
        <x:f>IF(AND('中古車掲載'!C453="One2car",'中古車掲載'!F453="ATTO 3",'中古車掲載'!L453="EXTENDED RANGE",'中古車掲載'!J453=2023,ISNUMBER('中古車掲載'!N453),'中古車掲載'!N453&gt;=20000,'中古車掲載'!O453&lt;=50000,'中古車掲載'!AL453=1),'中古車掲載'!U453,"")</x:f>
      </x:c>
      <x:c r="BE452" s="3" t="str">
        <x:f>IF(AND('中古車掲載'!C453="One2car",'中古車掲載'!F453="Corolla Cross",'中古車掲載'!L453="HEV PREMIUM SAFETY",'中古車掲載'!J453=2023,ISNUMBER('中古車掲載'!N453),'中古車掲載'!N453&gt;=20000,'中古車掲載'!O453&lt;=50000,'中古車掲載'!AL453=1,'中古車掲載'!Z453="https://www.one2car.com/en/cars-for-sale/toyota/corolla-cross/year-2023"),'中古車掲載'!U453,"")</x:f>
      </x:c>
      <x:c r="BF452" s="3" t="str">
        <x:f>IF(AND('中古車掲載'!C453="One2car",'中古車掲載'!F453="Corolla Cross",'中古車掲載'!L453="HEV PREMIUM",'中古車掲載'!J453=2023,ISNUMBER('中古車掲載'!N453),'中古車掲載'!N453&gt;=20000,'中古車掲載'!O453&lt;=100000,'中古車掲載'!AL453=1,'中古車掲載'!Z453="https://www.one2car.com/en/cars-for-sale/toyota/corolla-cross/year-2023"),'中古車掲載'!U453,"")</x:f>
      </x:c>
      <x:c r="BG452" s="3" t="str">
        <x:f>IF(AND('中古車掲載'!C453="One2car",'中古車掲載'!F453="Corolla Cross",'中古車掲載'!L453="HEV GR SPORT",'中古車掲載'!J453=2023,ISNUMBER('中古車掲載'!N453),'中古車掲載'!N453&gt;=20000,'中古車掲載'!O453&lt;=100000,'中古車掲載'!AL453=1,'中古車掲載'!Z453="https://www.one2car.com/en/cars-for-sale/toyota/corolla-cross/year-2023"),'中古車掲載'!U453,"")</x:f>
      </x:c>
      <x:c r="BH452" s="3" t="str">
        <x:f>IF(AND('中古車掲載'!C453="One2car",'中古車掲載'!F453="DOLPHIN",'中古車掲載'!L453="STANDARD RANGE",'中古車掲載'!J453=2023,ISNUMBER('中古車掲載'!N453),'中古車掲載'!N453&gt;=20000,'中古車掲載'!O453&lt;=100000,'中古車掲載'!AL453=1),'中古車掲載'!U453,"")</x:f>
      </x:c>
      <x:c r="BI452" s="3" t="str">
        <x:v>Taladrod|Corolla Cross|ICE|Unknown</x:v>
      </x:c>
      <x:c r="BJ452" s="3" t="n">
        <x:v>453</x:v>
      </x:c>
      <x:c r="BK452" s="3" t="n">
        <x:f>'中古車掲載'!AM453</x:f>
        <x:v>640000</x:v>
      </x:c>
      <x:c r="BL452" s="3" t="str">
        <x:f>IF(ISNUMBER('中古車掲載'!AN453),'中古車掲載'!AN453,"")</x:f>
      </x:c>
      <x:c r="BM452" s="3"/>
      <x:c r="BN452" s="3"/>
      <x:c r="BO452" s="3"/>
      <x:c r="BP452" s="3"/>
      <x:c r="BQ452" s="3"/>
      <x:c r="BR452" s="3"/>
    </x:row>
    <x:row r="453" ht="22" customHeight="1">
      <x:c r="A453" s="3" t="str">
        <x:v>Corolla Cross</x:v>
      </x:c>
      <x:c r="B453" s="3" t="str">
        <x:v>HEV</x:v>
      </x:c>
      <x:c r="C453" s="3" t="str">
        <x:v>Taladrod</x:v>
      </x:c>
      <x:c r="D453" s="3" t="str">
        <x:v>SUV</x:v>
      </x:c>
      <x:c r="E453" s="3" t="str"/>
      <x:c r="F453" s="3" t="n">
        <x:v>2025</x:v>
      </x:c>
      <x:c r="G453" s="3" t="str">
        <x:v>HEV PREMIUM LUXURY</x:v>
      </x:c>
      <x:c r="H453" s="3" t="str">
        <x:v>未掲載</x:v>
      </x:c>
      <x:c r="I453" s="3" t="str">
        <x:v>20-ปัจจุบัน</x:v>
      </x:c>
      <x:c r="J453" s="22" t="n">
        <x:f>COUNT('中古車掲載'!AM432:AM438)</x:f>
        <x:v>7</x:v>
      </x:c>
      <x:c r="K453" s="22" t="n">
        <x:f>IF(COUNT('中古車掲載'!AM432:AM438)=0,"",QUARTILE('中古車掲載'!AM432:AM438,1))</x:f>
        <x:v>899000</x:v>
      </x:c>
      <x:c r="L453" s="22" t="n">
        <x:f>IF(COUNT('中古車掲載'!AM432:AM438)=0,"",MEDIAN('中古車掲載'!AM432:AM438))</x:f>
        <x:v>939000</x:v>
      </x:c>
      <x:c r="M453" s="22" t="n">
        <x:f>IF(COUNT('中古車掲載'!AM432:AM438)=0,"",QUARTILE('中古車掲載'!AM432:AM438,3))</x:f>
        <x:v>958500</x:v>
      </x:c>
      <x:c r="N453" s="22" t="n">
        <x:f>COUNT('中古車掲載'!AN432:AN438)</x:f>
        <x:v>7</x:v>
      </x:c>
      <x:c r="O453" s="23" t="n">
        <x:f>IF(COUNT('中古車掲載'!AN432:AN438)=0,"",MEDIAN('中古車掲載'!AN432:AN438))</x:f>
        <x:v>0.7799003322259136</x:v>
      </x:c>
      <x:c r="P453" s="3"/>
      <x:c r="Q453" s="3"/>
      <x:c r="R453" s="3"/>
      <x:c r="S453" s="3"/>
      <x:c r="T453" s="3"/>
      <x:c r="U453" s="3"/>
      <x:c r="V453" s="3"/>
      <x:c r="W453" s="3"/>
      <x:c r="X453" s="3"/>
      <x:c r="Y453" s="3"/>
      <x:c r="Z453" s="3"/>
      <x:c r="AA453" s="3"/>
      <x:c r="AB453" s="3"/>
      <x:c r="AC453" s="3"/>
      <x:c r="AD453" s="3"/>
      <x:c r="AE453" s="3"/>
      <x:c r="AF453" s="3"/>
      <x:c r="AG453" s="3"/>
      <x:c r="AH453" s="3"/>
      <x:c r="AI453" s="3"/>
      <x:c r="AJ453" s="3"/>
      <x:c r="AK453" s="3"/>
      <x:c r="AL453" s="3"/>
      <x:c r="AM453" s="3"/>
      <x:c r="AN453" s="3"/>
      <x:c r="AO453" s="3"/>
      <x:c r="AP453" s="3"/>
      <x:c r="AQ453" s="3"/>
      <x:c r="AR453" s="3"/>
      <x:c r="AS453" s="3"/>
      <x:c r="AT453" s="3"/>
      <x:c r="AU453" s="3"/>
      <x:c r="AV453" s="3"/>
      <x:c r="AW453" s="3"/>
      <x:c r="AX453" s="3"/>
      <x:c r="AY453" s="3"/>
      <x:c r="AZ453" s="3" t="str">
        <x:f>IF(AND('中古車掲載'!C454="One2car",'中古車掲載'!F454="ATTO 3",'中古車掲載'!L454="EXTENDED RANGE",'中古車掲載'!J454=2023,ISNUMBER('中古車掲載'!N454),'中古車掲載'!N454&gt;=20000,'中古車掲載'!O454&lt;=100000,'中古車掲載'!AL454=1),'中古車掲載'!U454,"")</x:f>
      </x:c>
      <x:c r="BA453" s="3" t="str">
        <x:f>IF(AND('中古車掲載'!C454="One2car",'中古車掲載'!F454="Corolla Cross",'中古車掲載'!L454="HEV PREMIUM SAFETY",'中古車掲載'!J454=2023,ISNUMBER('中古車掲載'!N454),'中古車掲載'!N454&gt;=20000,'中古車掲載'!O454&lt;=100000,'中古車掲載'!AL454=1,'中古車掲載'!Z454="https://www.one2car.com/en/cars-for-sale/toyota/corolla-cross/year-2023"),'中古車掲載'!U454,"")</x:f>
      </x:c>
      <x:c r="BB453" s="3" t="str">
        <x:f>IF(AND('中古車掲載'!C454="One2car",'中古車掲載'!F454="ATTO 3",'中古車掲載'!L454="EXTENDED RANGE",'中古車掲載'!J454=2023,ISNUMBER('中古車掲載'!N454),'中古車掲載'!N454&gt;=50000,'中古車掲載'!O454&lt;=100000,'中古車掲載'!AL454=1),'中古車掲載'!U454,"")</x:f>
      </x:c>
      <x:c r="BC453" s="3" t="str">
        <x:f>IF(AND('中古車掲載'!C454="One2car",'中古車掲載'!F454="Corolla Cross",'中古車掲載'!L454="HEV PREMIUM SAFETY",'中古車掲載'!J454=2023,ISNUMBER('中古車掲載'!N454),'中古車掲載'!N454&gt;=50000,'中古車掲載'!O454&lt;=100000,'中古車掲載'!AL454=1,'中古車掲載'!Z454="https://www.one2car.com/en/cars-for-sale/toyota/corolla-cross/year-2023"),'中古車掲載'!U454,"")</x:f>
      </x:c>
      <x:c r="BD453" s="3" t="str">
        <x:f>IF(AND('中古車掲載'!C454="One2car",'中古車掲載'!F454="ATTO 3",'中古車掲載'!L454="EXTENDED RANGE",'中古車掲載'!J454=2023,ISNUMBER('中古車掲載'!N454),'中古車掲載'!N454&gt;=20000,'中古車掲載'!O454&lt;=50000,'中古車掲載'!AL454=1),'中古車掲載'!U454,"")</x:f>
      </x:c>
      <x:c r="BE453" s="3" t="str">
        <x:f>IF(AND('中古車掲載'!C454="One2car",'中古車掲載'!F454="Corolla Cross",'中古車掲載'!L454="HEV PREMIUM SAFETY",'中古車掲載'!J454=2023,ISNUMBER('中古車掲載'!N454),'中古車掲載'!N454&gt;=20000,'中古車掲載'!O454&lt;=50000,'中古車掲載'!AL454=1,'中古車掲載'!Z454="https://www.one2car.com/en/cars-for-sale/toyota/corolla-cross/year-2023"),'中古車掲載'!U454,"")</x:f>
      </x:c>
      <x:c r="BF453" s="3" t="str">
        <x:f>IF(AND('中古車掲載'!C454="One2car",'中古車掲載'!F454="Corolla Cross",'中古車掲載'!L454="HEV PREMIUM",'中古車掲載'!J454=2023,ISNUMBER('中古車掲載'!N454),'中古車掲載'!N454&gt;=20000,'中古車掲載'!O454&lt;=100000,'中古車掲載'!AL454=1,'中古車掲載'!Z454="https://www.one2car.com/en/cars-for-sale/toyota/corolla-cross/year-2023"),'中古車掲載'!U454,"")</x:f>
      </x:c>
      <x:c r="BG453" s="3" t="str">
        <x:f>IF(AND('中古車掲載'!C454="One2car",'中古車掲載'!F454="Corolla Cross",'中古車掲載'!L454="HEV GR SPORT",'中古車掲載'!J454=2023,ISNUMBER('中古車掲載'!N454),'中古車掲載'!N454&gt;=20000,'中古車掲載'!O454&lt;=100000,'中古車掲載'!AL454=1,'中古車掲載'!Z454="https://www.one2car.com/en/cars-for-sale/toyota/corolla-cross/year-2023"),'中古車掲載'!U454,"")</x:f>
      </x:c>
      <x:c r="BH453" s="3" t="str">
        <x:f>IF(AND('中古車掲載'!C454="One2car",'中古車掲載'!F454="DOLPHIN",'中古車掲載'!L454="STANDARD RANGE",'中古車掲載'!J454=2023,ISNUMBER('中古車掲載'!N454),'中古車掲載'!N454&gt;=20000,'中古車掲載'!O454&lt;=100000,'中古車掲載'!AL454=1),'中古車掲載'!U454,"")</x:f>
      </x:c>
      <x:c r="BI453" s="3" t="str">
        <x:v>Taladrod|Corolla Cross|ICE|Unknown</x:v>
      </x:c>
      <x:c r="BJ453" s="3" t="n">
        <x:v>454</x:v>
      </x:c>
      <x:c r="BK453" s="3" t="n">
        <x:f>'中古車掲載'!AM454</x:f>
        <x:v>729000</x:v>
      </x:c>
      <x:c r="BL453" s="3" t="str">
        <x:f>IF(ISNUMBER('中古車掲載'!AN454),'中古車掲載'!AN454,"")</x:f>
      </x:c>
      <x:c r="BM453" s="3"/>
      <x:c r="BN453" s="3"/>
      <x:c r="BO453" s="3"/>
      <x:c r="BP453" s="3"/>
      <x:c r="BQ453" s="3"/>
      <x:c r="BR453" s="3"/>
    </x:row>
    <x:row r="454" ht="22" customHeight="1">
      <x:c r="A454" s="3" t="str">
        <x:v>Corolla Cross</x:v>
      </x:c>
      <x:c r="B454" s="3" t="str">
        <x:v>HEV</x:v>
      </x:c>
      <x:c r="C454" s="3" t="str">
        <x:v>Taladrod</x:v>
      </x:c>
      <x:c r="D454" s="3" t="str">
        <x:v>SUV</x:v>
      </x:c>
      <x:c r="E454" s="3" t="str"/>
      <x:c r="F454" s="3" t="n">
        <x:v>2026</x:v>
      </x:c>
      <x:c r="G454" s="3" t="str">
        <x:v>HEV GR SPORT</x:v>
      </x:c>
      <x:c r="H454" s="3" t="str">
        <x:v>未掲載</x:v>
      </x:c>
      <x:c r="I454" s="3" t="str">
        <x:v>20-ปัจจุบัน</x:v>
      </x:c>
      <x:c r="J454" s="22" t="n">
        <x:f>COUNT('中古車掲載'!AM439:AM439)</x:f>
        <x:v>0</x:v>
      </x:c>
      <x:c r="K454" s="22" t="str">
        <x:f>IF(COUNT('中古車掲載'!AM439:AM439)=0,"",QUARTILE('中古車掲載'!AM439:AM439,1))</x:f>
      </x:c>
      <x:c r="L454" s="22" t="str">
        <x:f>IF(COUNT('中古車掲載'!AM439:AM439)=0,"",MEDIAN('中古車掲載'!AM439:AM439))</x:f>
      </x:c>
      <x:c r="M454" s="22" t="str">
        <x:f>IF(COUNT('中古車掲載'!AM439:AM439)=0,"",QUARTILE('中古車掲載'!AM439:AM439,3))</x:f>
      </x:c>
      <x:c r="N454" s="22" t="n">
        <x:f>COUNT('中古車掲載'!AN439:AN439)</x:f>
        <x:v>0</x:v>
      </x:c>
      <x:c r="O454" s="23" t="str">
        <x:f>IF(COUNT('中古車掲載'!AN439:AN439)=0,"",MEDIAN('中古車掲載'!AN439:AN439))</x:f>
      </x:c>
      <x:c r="P454" s="3"/>
      <x:c r="Q454" s="3"/>
      <x:c r="R454" s="3"/>
      <x:c r="S454" s="3"/>
      <x:c r="T454" s="3"/>
      <x:c r="U454" s="3"/>
      <x:c r="V454" s="3"/>
      <x:c r="W454" s="3"/>
      <x:c r="X454" s="3"/>
      <x:c r="Y454" s="3"/>
      <x:c r="Z454" s="3"/>
      <x:c r="AA454" s="3"/>
      <x:c r="AB454" s="3"/>
      <x:c r="AC454" s="3"/>
      <x:c r="AD454" s="3"/>
      <x:c r="AE454" s="3"/>
      <x:c r="AF454" s="3"/>
      <x:c r="AG454" s="3"/>
      <x:c r="AH454" s="3"/>
      <x:c r="AI454" s="3"/>
      <x:c r="AJ454" s="3"/>
      <x:c r="AK454" s="3"/>
      <x:c r="AL454" s="3"/>
      <x:c r="AM454" s="3"/>
      <x:c r="AN454" s="3"/>
      <x:c r="AO454" s="3"/>
      <x:c r="AP454" s="3"/>
      <x:c r="AQ454" s="3"/>
      <x:c r="AR454" s="3"/>
      <x:c r="AS454" s="3"/>
      <x:c r="AT454" s="3"/>
      <x:c r="AU454" s="3"/>
      <x:c r="AV454" s="3"/>
      <x:c r="AW454" s="3"/>
      <x:c r="AX454" s="3"/>
      <x:c r="AY454" s="3"/>
      <x:c r="AZ454" s="3" t="str">
        <x:f>IF(AND('中古車掲載'!C455="One2car",'中古車掲載'!F455="ATTO 3",'中古車掲載'!L455="EXTENDED RANGE",'中古車掲載'!J455=2023,ISNUMBER('中古車掲載'!N455),'中古車掲載'!N455&gt;=20000,'中古車掲載'!O455&lt;=100000,'中古車掲載'!AL455=1),'中古車掲載'!U455,"")</x:f>
      </x:c>
      <x:c r="BA454" s="3" t="str">
        <x:f>IF(AND('中古車掲載'!C455="One2car",'中古車掲載'!F455="Corolla Cross",'中古車掲載'!L455="HEV PREMIUM SAFETY",'中古車掲載'!J455=2023,ISNUMBER('中古車掲載'!N455),'中古車掲載'!N455&gt;=20000,'中古車掲載'!O455&lt;=100000,'中古車掲載'!AL455=1,'中古車掲載'!Z455="https://www.one2car.com/en/cars-for-sale/toyota/corolla-cross/year-2023"),'中古車掲載'!U455,"")</x:f>
      </x:c>
      <x:c r="BB454" s="3" t="str">
        <x:f>IF(AND('中古車掲載'!C455="One2car",'中古車掲載'!F455="ATTO 3",'中古車掲載'!L455="EXTENDED RANGE",'中古車掲載'!J455=2023,ISNUMBER('中古車掲載'!N455),'中古車掲載'!N455&gt;=50000,'中古車掲載'!O455&lt;=100000,'中古車掲載'!AL455=1),'中古車掲載'!U455,"")</x:f>
      </x:c>
      <x:c r="BC454" s="3" t="str">
        <x:f>IF(AND('中古車掲載'!C455="One2car",'中古車掲載'!F455="Corolla Cross",'中古車掲載'!L455="HEV PREMIUM SAFETY",'中古車掲載'!J455=2023,ISNUMBER('中古車掲載'!N455),'中古車掲載'!N455&gt;=50000,'中古車掲載'!O455&lt;=100000,'中古車掲載'!AL455=1,'中古車掲載'!Z455="https://www.one2car.com/en/cars-for-sale/toyota/corolla-cross/year-2023"),'中古車掲載'!U455,"")</x:f>
      </x:c>
      <x:c r="BD454" s="3" t="str">
        <x:f>IF(AND('中古車掲載'!C455="One2car",'中古車掲載'!F455="ATTO 3",'中古車掲載'!L455="EXTENDED RANGE",'中古車掲載'!J455=2023,ISNUMBER('中古車掲載'!N455),'中古車掲載'!N455&gt;=20000,'中古車掲載'!O455&lt;=50000,'中古車掲載'!AL455=1),'中古車掲載'!U455,"")</x:f>
      </x:c>
      <x:c r="BE454" s="3" t="str">
        <x:f>IF(AND('中古車掲載'!C455="One2car",'中古車掲載'!F455="Corolla Cross",'中古車掲載'!L455="HEV PREMIUM SAFETY",'中古車掲載'!J455=2023,ISNUMBER('中古車掲載'!N455),'中古車掲載'!N455&gt;=20000,'中古車掲載'!O455&lt;=50000,'中古車掲載'!AL455=1,'中古車掲載'!Z455="https://www.one2car.com/en/cars-for-sale/toyota/corolla-cross/year-2023"),'中古車掲載'!U455,"")</x:f>
      </x:c>
      <x:c r="BF454" s="3" t="str">
        <x:f>IF(AND('中古車掲載'!C455="One2car",'中古車掲載'!F455="Corolla Cross",'中古車掲載'!L455="HEV PREMIUM",'中古車掲載'!J455=2023,ISNUMBER('中古車掲載'!N455),'中古車掲載'!N455&gt;=20000,'中古車掲載'!O455&lt;=100000,'中古車掲載'!AL455=1,'中古車掲載'!Z455="https://www.one2car.com/en/cars-for-sale/toyota/corolla-cross/year-2023"),'中古車掲載'!U455,"")</x:f>
      </x:c>
      <x:c r="BG454" s="3" t="str">
        <x:f>IF(AND('中古車掲載'!C455="One2car",'中古車掲載'!F455="Corolla Cross",'中古車掲載'!L455="HEV GR SPORT",'中古車掲載'!J455=2023,ISNUMBER('中古車掲載'!N455),'中古車掲載'!N455&gt;=20000,'中古車掲載'!O455&lt;=100000,'中古車掲載'!AL455=1,'中古車掲載'!Z455="https://www.one2car.com/en/cars-for-sale/toyota/corolla-cross/year-2023"),'中古車掲載'!U455,"")</x:f>
      </x:c>
      <x:c r="BH454" s="3" t="str">
        <x:f>IF(AND('中古車掲載'!C455="One2car",'中古車掲載'!F455="DOLPHIN",'中古車掲載'!L455="STANDARD RANGE",'中古車掲載'!J455=2023,ISNUMBER('中古車掲載'!N455),'中古車掲載'!N455&gt;=20000,'中古車掲載'!O455&lt;=100000,'中古車掲載'!AL455=1),'中古車掲載'!U455,"")</x:f>
      </x:c>
      <x:c r="BI454" s="3" t="str">
        <x:v>Taladrod|Corolla Cross|ICE|Unknown</x:v>
      </x:c>
      <x:c r="BJ454" s="3" t="n">
        <x:v>455</x:v>
      </x:c>
      <x:c r="BK454" s="3" t="n">
        <x:f>'中古車掲載'!AM455</x:f>
        <x:v>658000</x:v>
      </x:c>
      <x:c r="BL454" s="3" t="str">
        <x:f>IF(ISNUMBER('中古車掲載'!AN455),'中古車掲載'!AN455,"")</x:f>
      </x:c>
      <x:c r="BM454" s="3"/>
      <x:c r="BN454" s="3"/>
      <x:c r="BO454" s="3"/>
      <x:c r="BP454" s="3"/>
      <x:c r="BQ454" s="3"/>
      <x:c r="BR454" s="3"/>
    </x:row>
    <x:row r="455" ht="22" customHeight="1">
      <x:c r="A455" s="3" t="str">
        <x:v>Corolla Cross</x:v>
      </x:c>
      <x:c r="B455" s="3" t="str">
        <x:v>HEV</x:v>
      </x:c>
      <x:c r="C455" s="3" t="str">
        <x:v>Taladrod</x:v>
      </x:c>
      <x:c r="D455" s="3" t="str">
        <x:v>SUV</x:v>
      </x:c>
      <x:c r="E455" s="3" t="str"/>
      <x:c r="F455" s="3" t="n">
        <x:v>2026</x:v>
      </x:c>
      <x:c r="G455" s="3" t="str">
        <x:v>HEV PREMIUM</x:v>
      </x:c>
      <x:c r="H455" s="3" t="str">
        <x:v>未掲載</x:v>
      </x:c>
      <x:c r="I455" s="3" t="str">
        <x:v>20-ปัจจุบัน</x:v>
      </x:c>
      <x:c r="J455" s="22" t="n">
        <x:f>COUNT('中古車掲載'!AM440:AM440)</x:f>
        <x:v>0</x:v>
      </x:c>
      <x:c r="K455" s="22" t="str">
        <x:f>IF(COUNT('中古車掲載'!AM440:AM440)=0,"",QUARTILE('中古車掲載'!AM440:AM440,1))</x:f>
      </x:c>
      <x:c r="L455" s="22" t="str">
        <x:f>IF(COUNT('中古車掲載'!AM440:AM440)=0,"",MEDIAN('中古車掲載'!AM440:AM440))</x:f>
      </x:c>
      <x:c r="M455" s="22" t="str">
        <x:f>IF(COUNT('中古車掲載'!AM440:AM440)=0,"",QUARTILE('中古車掲載'!AM440:AM440,3))</x:f>
      </x:c>
      <x:c r="N455" s="22" t="n">
        <x:f>COUNT('中古車掲載'!AN440:AN440)</x:f>
        <x:v>0</x:v>
      </x:c>
      <x:c r="O455" s="23" t="str">
        <x:f>IF(COUNT('中古車掲載'!AN440:AN440)=0,"",MEDIAN('中古車掲載'!AN440:AN440))</x:f>
      </x:c>
      <x:c r="P455" s="3"/>
      <x:c r="Q455" s="3"/>
      <x:c r="R455" s="3"/>
      <x:c r="S455" s="3"/>
      <x:c r="T455" s="3"/>
      <x:c r="U455" s="3"/>
      <x:c r="V455" s="3"/>
      <x:c r="W455" s="3"/>
      <x:c r="X455" s="3"/>
      <x:c r="Y455" s="3"/>
      <x:c r="Z455" s="3"/>
      <x:c r="AA455" s="3"/>
      <x:c r="AB455" s="3"/>
      <x:c r="AC455" s="3"/>
      <x:c r="AD455" s="3"/>
      <x:c r="AE455" s="3"/>
      <x:c r="AF455" s="3"/>
      <x:c r="AG455" s="3"/>
      <x:c r="AH455" s="3"/>
      <x:c r="AI455" s="3"/>
      <x:c r="AJ455" s="3"/>
      <x:c r="AK455" s="3"/>
      <x:c r="AL455" s="3"/>
      <x:c r="AM455" s="3"/>
      <x:c r="AN455" s="3"/>
      <x:c r="AO455" s="3"/>
      <x:c r="AP455" s="3"/>
      <x:c r="AQ455" s="3"/>
      <x:c r="AR455" s="3"/>
      <x:c r="AS455" s="3"/>
      <x:c r="AT455" s="3"/>
      <x:c r="AU455" s="3"/>
      <x:c r="AV455" s="3"/>
      <x:c r="AW455" s="3"/>
      <x:c r="AX455" s="3"/>
      <x:c r="AY455" s="3"/>
      <x:c r="AZ455" s="3" t="str">
        <x:f>IF(AND('中古車掲載'!C456="One2car",'中古車掲載'!F456="ATTO 3",'中古車掲載'!L456="EXTENDED RANGE",'中古車掲載'!J456=2023,ISNUMBER('中古車掲載'!N456),'中古車掲載'!N456&gt;=20000,'中古車掲載'!O456&lt;=100000,'中古車掲載'!AL456=1),'中古車掲載'!U456,"")</x:f>
      </x:c>
      <x:c r="BA455" s="3" t="str">
        <x:f>IF(AND('中古車掲載'!C456="One2car",'中古車掲載'!F456="Corolla Cross",'中古車掲載'!L456="HEV PREMIUM SAFETY",'中古車掲載'!J456=2023,ISNUMBER('中古車掲載'!N456),'中古車掲載'!N456&gt;=20000,'中古車掲載'!O456&lt;=100000,'中古車掲載'!AL456=1,'中古車掲載'!Z456="https://www.one2car.com/en/cars-for-sale/toyota/corolla-cross/year-2023"),'中古車掲載'!U456,"")</x:f>
      </x:c>
      <x:c r="BB455" s="3" t="str">
        <x:f>IF(AND('中古車掲載'!C456="One2car",'中古車掲載'!F456="ATTO 3",'中古車掲載'!L456="EXTENDED RANGE",'中古車掲載'!J456=2023,ISNUMBER('中古車掲載'!N456),'中古車掲載'!N456&gt;=50000,'中古車掲載'!O456&lt;=100000,'中古車掲載'!AL456=1),'中古車掲載'!U456,"")</x:f>
      </x:c>
      <x:c r="BC455" s="3" t="str">
        <x:f>IF(AND('中古車掲載'!C456="One2car",'中古車掲載'!F456="Corolla Cross",'中古車掲載'!L456="HEV PREMIUM SAFETY",'中古車掲載'!J456=2023,ISNUMBER('中古車掲載'!N456),'中古車掲載'!N456&gt;=50000,'中古車掲載'!O456&lt;=100000,'中古車掲載'!AL456=1,'中古車掲載'!Z456="https://www.one2car.com/en/cars-for-sale/toyota/corolla-cross/year-2023"),'中古車掲載'!U456,"")</x:f>
      </x:c>
      <x:c r="BD455" s="3" t="str">
        <x:f>IF(AND('中古車掲載'!C456="One2car",'中古車掲載'!F456="ATTO 3",'中古車掲載'!L456="EXTENDED RANGE",'中古車掲載'!J456=2023,ISNUMBER('中古車掲載'!N456),'中古車掲載'!N456&gt;=20000,'中古車掲載'!O456&lt;=50000,'中古車掲載'!AL456=1),'中古車掲載'!U456,"")</x:f>
      </x:c>
      <x:c r="BE455" s="3" t="str">
        <x:f>IF(AND('中古車掲載'!C456="One2car",'中古車掲載'!F456="Corolla Cross",'中古車掲載'!L456="HEV PREMIUM SAFETY",'中古車掲載'!J456=2023,ISNUMBER('中古車掲載'!N456),'中古車掲載'!N456&gt;=20000,'中古車掲載'!O456&lt;=50000,'中古車掲載'!AL456=1,'中古車掲載'!Z456="https://www.one2car.com/en/cars-for-sale/toyota/corolla-cross/year-2023"),'中古車掲載'!U456,"")</x:f>
      </x:c>
      <x:c r="BF455" s="3" t="str">
        <x:f>IF(AND('中古車掲載'!C456="One2car",'中古車掲載'!F456="Corolla Cross",'中古車掲載'!L456="HEV PREMIUM",'中古車掲載'!J456=2023,ISNUMBER('中古車掲載'!N456),'中古車掲載'!N456&gt;=20000,'中古車掲載'!O456&lt;=100000,'中古車掲載'!AL456=1,'中古車掲載'!Z456="https://www.one2car.com/en/cars-for-sale/toyota/corolla-cross/year-2023"),'中古車掲載'!U456,"")</x:f>
      </x:c>
      <x:c r="BG455" s="3" t="str">
        <x:f>IF(AND('中古車掲載'!C456="One2car",'中古車掲載'!F456="Corolla Cross",'中古車掲載'!L456="HEV GR SPORT",'中古車掲載'!J456=2023,ISNUMBER('中古車掲載'!N456),'中古車掲載'!N456&gt;=20000,'中古車掲載'!O456&lt;=100000,'中古車掲載'!AL456=1,'中古車掲載'!Z456="https://www.one2car.com/en/cars-for-sale/toyota/corolla-cross/year-2023"),'中古車掲載'!U456,"")</x:f>
      </x:c>
      <x:c r="BH455" s="3" t="str">
        <x:f>IF(AND('中古車掲載'!C456="One2car",'中古車掲載'!F456="DOLPHIN",'中古車掲載'!L456="STANDARD RANGE",'中古車掲載'!J456=2023,ISNUMBER('中古車掲載'!N456),'中古車掲載'!N456&gt;=20000,'中古車掲載'!O456&lt;=100000,'中古車掲載'!AL456=1),'中古車掲載'!U456,"")</x:f>
      </x:c>
      <x:c r="BI455" s="3" t="str">
        <x:v>Taladrod|Corolla Cross|ICE|Unknown</x:v>
      </x:c>
      <x:c r="BJ455" s="3" t="n">
        <x:v>456</x:v>
      </x:c>
      <x:c r="BK455" s="3" t="n">
        <x:f>'中古車掲載'!AM456</x:f>
        <x:v>649000</x:v>
      </x:c>
      <x:c r="BL455" s="3" t="str">
        <x:f>IF(ISNUMBER('中古車掲載'!AN456),'中古車掲載'!AN456,"")</x:f>
      </x:c>
      <x:c r="BM455" s="3"/>
      <x:c r="BN455" s="3"/>
      <x:c r="BO455" s="3"/>
      <x:c r="BP455" s="3"/>
      <x:c r="BQ455" s="3"/>
      <x:c r="BR455" s="3"/>
    </x:row>
    <x:row r="456" ht="22" customHeight="1">
      <x:c r="A456" s="3" t="str">
        <x:v>Corolla Cross</x:v>
      </x:c>
      <x:c r="B456" s="3" t="str">
        <x:v>ICE</x:v>
      </x:c>
      <x:c r="C456" s="3" t="str">
        <x:v>Taladrod</x:v>
      </x:c>
      <x:c r="D456" s="3" t="str">
        <x:v>SUV</x:v>
      </x:c>
      <x:c r="E456" s="3" t="str"/>
      <x:c r="F456" s="3" t="n">
        <x:v>2020</x:v>
      </x:c>
      <x:c r="G456" s="3" t="str">
        <x:v>SPORT</x:v>
      </x:c>
      <x:c r="H456" s="3" t="str">
        <x:v>未掲載</x:v>
      </x:c>
      <x:c r="I456" s="3" t="str">
        <x:v>20-ปัจจุบัน</x:v>
      </x:c>
      <x:c r="J456" s="22" t="n">
        <x:f>COUNT('中古車掲載'!AM441:AM441)</x:f>
        <x:v>1</x:v>
      </x:c>
      <x:c r="K456" s="22" t="n">
        <x:f>IF(COUNT('中古車掲載'!AM441:AM441)=0,"",QUARTILE('中古車掲載'!AM441:AM441,1))</x:f>
        <x:v>499000</x:v>
      </x:c>
      <x:c r="L456" s="22" t="n">
        <x:f>IF(COUNT('中古車掲載'!AM441:AM441)=0,"",MEDIAN('中古車掲載'!AM441:AM441))</x:f>
        <x:v>499000</x:v>
      </x:c>
      <x:c r="M456" s="22" t="n">
        <x:f>IF(COUNT('中古車掲載'!AM441:AM441)=0,"",QUARTILE('中古車掲載'!AM441:AM441,3))</x:f>
        <x:v>499000</x:v>
      </x:c>
      <x:c r="N456" s="22" t="n">
        <x:f>COUNT('中古車掲載'!AN441:AN441)</x:f>
        <x:v>0</x:v>
      </x:c>
      <x:c r="O456" s="23" t="str">
        <x:f>IF(COUNT('中古車掲載'!AN441:AN441)=0,"",MEDIAN('中古車掲載'!AN441:AN441))</x:f>
      </x:c>
      <x:c r="P456" s="3"/>
      <x:c r="Q456" s="3"/>
      <x:c r="R456" s="3"/>
      <x:c r="S456" s="3"/>
      <x:c r="T456" s="3"/>
      <x:c r="U456" s="3"/>
      <x:c r="V456" s="3"/>
      <x:c r="W456" s="3"/>
      <x:c r="X456" s="3"/>
      <x:c r="Y456" s="3"/>
      <x:c r="Z456" s="3"/>
      <x:c r="AA456" s="3"/>
      <x:c r="AB456" s="3"/>
      <x:c r="AC456" s="3"/>
      <x:c r="AD456" s="3"/>
      <x:c r="AE456" s="3"/>
      <x:c r="AF456" s="3"/>
      <x:c r="AG456" s="3"/>
      <x:c r="AH456" s="3"/>
      <x:c r="AI456" s="3"/>
      <x:c r="AJ456" s="3"/>
      <x:c r="AK456" s="3"/>
      <x:c r="AL456" s="3"/>
      <x:c r="AM456" s="3"/>
      <x:c r="AN456" s="3"/>
      <x:c r="AO456" s="3"/>
      <x:c r="AP456" s="3"/>
      <x:c r="AQ456" s="3"/>
      <x:c r="AR456" s="3"/>
      <x:c r="AS456" s="3"/>
      <x:c r="AT456" s="3"/>
      <x:c r="AU456" s="3"/>
      <x:c r="AV456" s="3"/>
      <x:c r="AW456" s="3"/>
      <x:c r="AX456" s="3"/>
      <x:c r="AY456" s="3"/>
      <x:c r="AZ456" s="3" t="str">
        <x:f>IF(AND('中古車掲載'!C457="One2car",'中古車掲載'!F457="ATTO 3",'中古車掲載'!L457="EXTENDED RANGE",'中古車掲載'!J457=2023,ISNUMBER('中古車掲載'!N457),'中古車掲載'!N457&gt;=20000,'中古車掲載'!O457&lt;=100000,'中古車掲載'!AL457=1),'中古車掲載'!U457,"")</x:f>
      </x:c>
      <x:c r="BA456" s="3" t="str">
        <x:f>IF(AND('中古車掲載'!C457="One2car",'中古車掲載'!F457="Corolla Cross",'中古車掲載'!L457="HEV PREMIUM SAFETY",'中古車掲載'!J457=2023,ISNUMBER('中古車掲載'!N457),'中古車掲載'!N457&gt;=20000,'中古車掲載'!O457&lt;=100000,'中古車掲載'!AL457=1,'中古車掲載'!Z457="https://www.one2car.com/en/cars-for-sale/toyota/corolla-cross/year-2023"),'中古車掲載'!U457,"")</x:f>
      </x:c>
      <x:c r="BB456" s="3" t="str">
        <x:f>IF(AND('中古車掲載'!C457="One2car",'中古車掲載'!F457="ATTO 3",'中古車掲載'!L457="EXTENDED RANGE",'中古車掲載'!J457=2023,ISNUMBER('中古車掲載'!N457),'中古車掲載'!N457&gt;=50000,'中古車掲載'!O457&lt;=100000,'中古車掲載'!AL457=1),'中古車掲載'!U457,"")</x:f>
      </x:c>
      <x:c r="BC456" s="3" t="str">
        <x:f>IF(AND('中古車掲載'!C457="One2car",'中古車掲載'!F457="Corolla Cross",'中古車掲載'!L457="HEV PREMIUM SAFETY",'中古車掲載'!J457=2023,ISNUMBER('中古車掲載'!N457),'中古車掲載'!N457&gt;=50000,'中古車掲載'!O457&lt;=100000,'中古車掲載'!AL457=1,'中古車掲載'!Z457="https://www.one2car.com/en/cars-for-sale/toyota/corolla-cross/year-2023"),'中古車掲載'!U457,"")</x:f>
      </x:c>
      <x:c r="BD456" s="3" t="str">
        <x:f>IF(AND('中古車掲載'!C457="One2car",'中古車掲載'!F457="ATTO 3",'中古車掲載'!L457="EXTENDED RANGE",'中古車掲載'!J457=2023,ISNUMBER('中古車掲載'!N457),'中古車掲載'!N457&gt;=20000,'中古車掲載'!O457&lt;=50000,'中古車掲載'!AL457=1),'中古車掲載'!U457,"")</x:f>
      </x:c>
      <x:c r="BE456" s="3" t="str">
        <x:f>IF(AND('中古車掲載'!C457="One2car",'中古車掲載'!F457="Corolla Cross",'中古車掲載'!L457="HEV PREMIUM SAFETY",'中古車掲載'!J457=2023,ISNUMBER('中古車掲載'!N457),'中古車掲載'!N457&gt;=20000,'中古車掲載'!O457&lt;=50000,'中古車掲載'!AL457=1,'中古車掲載'!Z457="https://www.one2car.com/en/cars-for-sale/toyota/corolla-cross/year-2023"),'中古車掲載'!U457,"")</x:f>
      </x:c>
      <x:c r="BF456" s="3" t="str">
        <x:f>IF(AND('中古車掲載'!C457="One2car",'中古車掲載'!F457="Corolla Cross",'中古車掲載'!L457="HEV PREMIUM",'中古車掲載'!J457=2023,ISNUMBER('中古車掲載'!N457),'中古車掲載'!N457&gt;=20000,'中古車掲載'!O457&lt;=100000,'中古車掲載'!AL457=1,'中古車掲載'!Z457="https://www.one2car.com/en/cars-for-sale/toyota/corolla-cross/year-2023"),'中古車掲載'!U457,"")</x:f>
      </x:c>
      <x:c r="BG456" s="3" t="str">
        <x:f>IF(AND('中古車掲載'!C457="One2car",'中古車掲載'!F457="Corolla Cross",'中古車掲載'!L457="HEV GR SPORT",'中古車掲載'!J457=2023,ISNUMBER('中古車掲載'!N457),'中古車掲載'!N457&gt;=20000,'中古車掲載'!O457&lt;=100000,'中古車掲載'!AL457=1,'中古車掲載'!Z457="https://www.one2car.com/en/cars-for-sale/toyota/corolla-cross/year-2023"),'中古車掲載'!U457,"")</x:f>
      </x:c>
      <x:c r="BH456" s="3" t="str">
        <x:f>IF(AND('中古車掲載'!C457="One2car",'中古車掲載'!F457="DOLPHIN",'中古車掲載'!L457="STANDARD RANGE",'中古車掲載'!J457=2023,ISNUMBER('中古車掲載'!N457),'中古車掲載'!N457&gt;=20000,'中古車掲載'!O457&lt;=100000,'中古車掲載'!AL457=1),'中古車掲載'!U457,"")</x:f>
      </x:c>
      <x:c r="BI456" s="3" t="str">
        <x:v>Taladrod|Corolla Cross|ICE|Unknown</x:v>
      </x:c>
      <x:c r="BJ456" s="3" t="n">
        <x:v>457</x:v>
      </x:c>
      <x:c r="BK456" s="3" t="n">
        <x:f>'中古車掲載'!AM457</x:f>
        <x:v>759000</x:v>
      </x:c>
      <x:c r="BL456" s="3" t="n">
        <x:f>IF(ISNUMBER('中古車掲載'!AN457),'中古車掲載'!AN457,"")</x:f>
        <x:v>0.7597597597597597</x:v>
      </x:c>
      <x:c r="BM456" s="3"/>
      <x:c r="BN456" s="3"/>
      <x:c r="BO456" s="3"/>
      <x:c r="BP456" s="3"/>
      <x:c r="BQ456" s="3"/>
      <x:c r="BR456" s="3"/>
    </x:row>
    <x:row r="457" ht="22" customHeight="1">
      <x:c r="A457" s="3" t="str">
        <x:v>Corolla Cross</x:v>
      </x:c>
      <x:c r="B457" s="3" t="str">
        <x:v>ICE</x:v>
      </x:c>
      <x:c r="C457" s="3" t="str">
        <x:v>Taladrod</x:v>
      </x:c>
      <x:c r="D457" s="3" t="str">
        <x:v>SUV</x:v>
      </x:c>
      <x:c r="E457" s="3" t="str"/>
      <x:c r="F457" s="3" t="n">
        <x:v>2021</x:v>
      </x:c>
      <x:c r="G457" s="3" t="str">
        <x:v>SPORT</x:v>
      </x:c>
      <x:c r="H457" s="3" t="str">
        <x:v>未掲載</x:v>
      </x:c>
      <x:c r="I457" s="3" t="str">
        <x:v>20-ปัจจุบัน</x:v>
      </x:c>
      <x:c r="J457" s="22" t="n">
        <x:f>COUNT('中古車掲載'!AM442:AM448)</x:f>
        <x:v>7</x:v>
      </x:c>
      <x:c r="K457" s="22" t="n">
        <x:f>IF(COUNT('中古車掲載'!AM442:AM448)=0,"",QUARTILE('中古車掲載'!AM442:AM448,1))</x:f>
        <x:v>541500</x:v>
      </x:c>
      <x:c r="L457" s="22" t="n">
        <x:f>IF(COUNT('中古車掲載'!AM442:AM448)=0,"",MEDIAN('中古車掲載'!AM442:AM448))</x:f>
        <x:v>558000</x:v>
      </x:c>
      <x:c r="M457" s="22" t="n">
        <x:f>IF(COUNT('中古車掲載'!AM442:AM448)=0,"",QUARTILE('中古車掲載'!AM442:AM448,3))</x:f>
        <x:v>579000</x:v>
      </x:c>
      <x:c r="N457" s="22" t="n">
        <x:f>COUNT('中古車掲載'!AN442:AN448)</x:f>
        <x:v>0</x:v>
      </x:c>
      <x:c r="O457" s="23" t="str">
        <x:f>IF(COUNT('中古車掲載'!AN442:AN448)=0,"",MEDIAN('中古車掲載'!AN442:AN448))</x:f>
      </x:c>
      <x:c r="P457" s="3"/>
      <x:c r="Q457" s="3"/>
      <x:c r="R457" s="3"/>
      <x:c r="S457" s="3"/>
      <x:c r="T457" s="3"/>
      <x:c r="U457" s="3"/>
      <x:c r="V457" s="3"/>
      <x:c r="W457" s="3"/>
      <x:c r="X457" s="3"/>
      <x:c r="Y457" s="3"/>
      <x:c r="Z457" s="3"/>
      <x:c r="AA457" s="3"/>
      <x:c r="AB457" s="3"/>
      <x:c r="AC457" s="3"/>
      <x:c r="AD457" s="3"/>
      <x:c r="AE457" s="3"/>
      <x:c r="AF457" s="3"/>
      <x:c r="AG457" s="3"/>
      <x:c r="AH457" s="3"/>
      <x:c r="AI457" s="3"/>
      <x:c r="AJ457" s="3"/>
      <x:c r="AK457" s="3"/>
      <x:c r="AL457" s="3"/>
      <x:c r="AM457" s="3"/>
      <x:c r="AN457" s="3"/>
      <x:c r="AO457" s="3"/>
      <x:c r="AP457" s="3"/>
      <x:c r="AQ457" s="3"/>
      <x:c r="AR457" s="3"/>
      <x:c r="AS457" s="3"/>
      <x:c r="AT457" s="3"/>
      <x:c r="AU457" s="3"/>
      <x:c r="AV457" s="3"/>
      <x:c r="AW457" s="3"/>
      <x:c r="AX457" s="3"/>
      <x:c r="AY457" s="3"/>
      <x:c r="AZ457" s="3" t="str">
        <x:f>IF(AND('中古車掲載'!C458="One2car",'中古車掲載'!F458="ATTO 3",'中古車掲載'!L458="EXTENDED RANGE",'中古車掲載'!J458=2023,ISNUMBER('中古車掲載'!N458),'中古車掲載'!N458&gt;=20000,'中古車掲載'!O458&lt;=100000,'中古車掲載'!AL458=1),'中古車掲載'!U458,"")</x:f>
      </x:c>
      <x:c r="BA457" s="3" t="str">
        <x:f>IF(AND('中古車掲載'!C458="One2car",'中古車掲載'!F458="Corolla Cross",'中古車掲載'!L458="HEV PREMIUM SAFETY",'中古車掲載'!J458=2023,ISNUMBER('中古車掲載'!N458),'中古車掲載'!N458&gt;=20000,'中古車掲載'!O458&lt;=100000,'中古車掲載'!AL458=1,'中古車掲載'!Z458="https://www.one2car.com/en/cars-for-sale/toyota/corolla-cross/year-2023"),'中古車掲載'!U458,"")</x:f>
      </x:c>
      <x:c r="BB457" s="3" t="str">
        <x:f>IF(AND('中古車掲載'!C458="One2car",'中古車掲載'!F458="ATTO 3",'中古車掲載'!L458="EXTENDED RANGE",'中古車掲載'!J458=2023,ISNUMBER('中古車掲載'!N458),'中古車掲載'!N458&gt;=50000,'中古車掲載'!O458&lt;=100000,'中古車掲載'!AL458=1),'中古車掲載'!U458,"")</x:f>
      </x:c>
      <x:c r="BC457" s="3" t="str">
        <x:f>IF(AND('中古車掲載'!C458="One2car",'中古車掲載'!F458="Corolla Cross",'中古車掲載'!L458="HEV PREMIUM SAFETY",'中古車掲載'!J458=2023,ISNUMBER('中古車掲載'!N458),'中古車掲載'!N458&gt;=50000,'中古車掲載'!O458&lt;=100000,'中古車掲載'!AL458=1,'中古車掲載'!Z458="https://www.one2car.com/en/cars-for-sale/toyota/corolla-cross/year-2023"),'中古車掲載'!U458,"")</x:f>
      </x:c>
      <x:c r="BD457" s="3" t="str">
        <x:f>IF(AND('中古車掲載'!C458="One2car",'中古車掲載'!F458="ATTO 3",'中古車掲載'!L458="EXTENDED RANGE",'中古車掲載'!J458=2023,ISNUMBER('中古車掲載'!N458),'中古車掲載'!N458&gt;=20000,'中古車掲載'!O458&lt;=50000,'中古車掲載'!AL458=1),'中古車掲載'!U458,"")</x:f>
      </x:c>
      <x:c r="BE457" s="3" t="str">
        <x:f>IF(AND('中古車掲載'!C458="One2car",'中古車掲載'!F458="Corolla Cross",'中古車掲載'!L458="HEV PREMIUM SAFETY",'中古車掲載'!J458=2023,ISNUMBER('中古車掲載'!N458),'中古車掲載'!N458&gt;=20000,'中古車掲載'!O458&lt;=50000,'中古車掲載'!AL458=1,'中古車掲載'!Z458="https://www.one2car.com/en/cars-for-sale/toyota/corolla-cross/year-2023"),'中古車掲載'!U458,"")</x:f>
      </x:c>
      <x:c r="BF457" s="3" t="str">
        <x:f>IF(AND('中古車掲載'!C458="One2car",'中古車掲載'!F458="Corolla Cross",'中古車掲載'!L458="HEV PREMIUM",'中古車掲載'!J458=2023,ISNUMBER('中古車掲載'!N458),'中古車掲載'!N458&gt;=20000,'中古車掲載'!O458&lt;=100000,'中古車掲載'!AL458=1,'中古車掲載'!Z458="https://www.one2car.com/en/cars-for-sale/toyota/corolla-cross/year-2023"),'中古車掲載'!U458,"")</x:f>
      </x:c>
      <x:c r="BG457" s="3" t="str">
        <x:f>IF(AND('中古車掲載'!C458="One2car",'中古車掲載'!F458="Corolla Cross",'中古車掲載'!L458="HEV GR SPORT",'中古車掲載'!J458=2023,ISNUMBER('中古車掲載'!N458),'中古車掲載'!N458&gt;=20000,'中古車掲載'!O458&lt;=100000,'中古車掲載'!AL458=1,'中古車掲載'!Z458="https://www.one2car.com/en/cars-for-sale/toyota/corolla-cross/year-2023"),'中古車掲載'!U458,"")</x:f>
      </x:c>
      <x:c r="BH457" s="3" t="str">
        <x:f>IF(AND('中古車掲載'!C458="One2car",'中古車掲載'!F458="DOLPHIN",'中古車掲載'!L458="STANDARD RANGE",'中古車掲載'!J458=2023,ISNUMBER('中古車掲載'!N458),'中古車掲載'!N458&gt;=20000,'中古車掲載'!O458&lt;=100000,'中古車掲載'!AL458=1),'中古車掲載'!U458,"")</x:f>
      </x:c>
      <x:c r="BI457" s="3" t="str">
        <x:v>Taladrod|Corolla Cross|ICE|Unknown</x:v>
      </x:c>
      <x:c r="BJ457" s="3" t="n">
        <x:v>458</x:v>
      </x:c>
      <x:c r="BK457" s="3" t="n">
        <x:f>'中古車掲載'!AM458</x:f>
        <x:v>639000</x:v>
      </x:c>
      <x:c r="BL457" s="3" t="n">
        <x:f>IF(ISNUMBER('中古車掲載'!AN458),'中古車掲載'!AN458,"")</x:f>
        <x:v>0.6396396396396397</x:v>
      </x:c>
      <x:c r="BM457" s="3"/>
      <x:c r="BN457" s="3"/>
      <x:c r="BO457" s="3"/>
      <x:c r="BP457" s="3"/>
      <x:c r="BQ457" s="3"/>
      <x:c r="BR457" s="3"/>
    </x:row>
    <x:row r="458" ht="22" customHeight="1">
      <x:c r="A458" s="3" t="str">
        <x:v>Corolla Cross</x:v>
      </x:c>
      <x:c r="B458" s="3" t="str">
        <x:v>ICE</x:v>
      </x:c>
      <x:c r="C458" s="3" t="str">
        <x:v>Taladrod</x:v>
      </x:c>
      <x:c r="D458" s="3" t="str">
        <x:v>SUV</x:v>
      </x:c>
      <x:c r="E458" s="3" t="str"/>
      <x:c r="F458" s="3" t="n">
        <x:v>2022</x:v>
      </x:c>
      <x:c r="G458" s="3" t="str">
        <x:v>SPORT</x:v>
      </x:c>
      <x:c r="H458" s="3" t="str">
        <x:v>未掲載</x:v>
      </x:c>
      <x:c r="I458" s="3" t="str">
        <x:v>20-ปัจจุบัน</x:v>
      </x:c>
      <x:c r="J458" s="22" t="n">
        <x:f>COUNT('中古車掲載'!AM449:AM452)</x:f>
        <x:v>4</x:v>
      </x:c>
      <x:c r="K458" s="22" t="n">
        <x:f>IF(COUNT('中古車掲載'!AM449:AM452)=0,"",QUARTILE('中古車掲載'!AM449:AM452,1))</x:f>
        <x:v>496500</x:v>
      </x:c>
      <x:c r="L458" s="22" t="n">
        <x:f>IF(COUNT('中古車掲載'!AM449:AM452)=0,"",MEDIAN('中古車掲載'!AM449:AM452))</x:f>
        <x:v>514000</x:v>
      </x:c>
      <x:c r="M458" s="22" t="n">
        <x:f>IF(COUNT('中古車掲載'!AM449:AM452)=0,"",QUARTILE('中古車掲載'!AM449:AM452,3))</x:f>
        <x:v>541500</x:v>
      </x:c>
      <x:c r="N458" s="22" t="n">
        <x:f>COUNT('中古車掲載'!AN449:AN452)</x:f>
        <x:v>0</x:v>
      </x:c>
      <x:c r="O458" s="23" t="str">
        <x:f>IF(COUNT('中古車掲載'!AN449:AN452)=0,"",MEDIAN('中古車掲載'!AN449:AN452))</x:f>
      </x:c>
      <x:c r="P458" s="3"/>
      <x:c r="Q458" s="3"/>
      <x:c r="R458" s="3"/>
      <x:c r="S458" s="3"/>
      <x:c r="T458" s="3"/>
      <x:c r="U458" s="3"/>
      <x:c r="V458" s="3"/>
      <x:c r="W458" s="3"/>
      <x:c r="X458" s="3"/>
      <x:c r="Y458" s="3"/>
      <x:c r="Z458" s="3"/>
      <x:c r="AA458" s="3"/>
      <x:c r="AB458" s="3"/>
      <x:c r="AC458" s="3"/>
      <x:c r="AD458" s="3"/>
      <x:c r="AE458" s="3"/>
      <x:c r="AF458" s="3"/>
      <x:c r="AG458" s="3"/>
      <x:c r="AH458" s="3"/>
      <x:c r="AI458" s="3"/>
      <x:c r="AJ458" s="3"/>
      <x:c r="AK458" s="3"/>
      <x:c r="AL458" s="3"/>
      <x:c r="AM458" s="3"/>
      <x:c r="AN458" s="3"/>
      <x:c r="AO458" s="3"/>
      <x:c r="AP458" s="3"/>
      <x:c r="AQ458" s="3"/>
      <x:c r="AR458" s="3"/>
      <x:c r="AS458" s="3"/>
      <x:c r="AT458" s="3"/>
      <x:c r="AU458" s="3"/>
      <x:c r="AV458" s="3"/>
      <x:c r="AW458" s="3"/>
      <x:c r="AX458" s="3"/>
      <x:c r="AY458" s="3"/>
      <x:c r="AZ458" s="3" t="str">
        <x:f>IF(AND('中古車掲載'!C459="One2car",'中古車掲載'!F459="ATTO 3",'中古車掲載'!L459="EXTENDED RANGE",'中古車掲載'!J459=2023,ISNUMBER('中古車掲載'!N459),'中古車掲載'!N459&gt;=20000,'中古車掲載'!O459&lt;=100000,'中古車掲載'!AL459=1),'中古車掲載'!U459,"")</x:f>
      </x:c>
      <x:c r="BA458" s="3" t="str">
        <x:f>IF(AND('中古車掲載'!C459="One2car",'中古車掲載'!F459="Corolla Cross",'中古車掲載'!L459="HEV PREMIUM SAFETY",'中古車掲載'!J459=2023,ISNUMBER('中古車掲載'!N459),'中古車掲載'!N459&gt;=20000,'中古車掲載'!O459&lt;=100000,'中古車掲載'!AL459=1,'中古車掲載'!Z459="https://www.one2car.com/en/cars-for-sale/toyota/corolla-cross/year-2023"),'中古車掲載'!U459,"")</x:f>
      </x:c>
      <x:c r="BB458" s="3" t="str">
        <x:f>IF(AND('中古車掲載'!C459="One2car",'中古車掲載'!F459="ATTO 3",'中古車掲載'!L459="EXTENDED RANGE",'中古車掲載'!J459=2023,ISNUMBER('中古車掲載'!N459),'中古車掲載'!N459&gt;=50000,'中古車掲載'!O459&lt;=100000,'中古車掲載'!AL459=1),'中古車掲載'!U459,"")</x:f>
      </x:c>
      <x:c r="BC458" s="3" t="str">
        <x:f>IF(AND('中古車掲載'!C459="One2car",'中古車掲載'!F459="Corolla Cross",'中古車掲載'!L459="HEV PREMIUM SAFETY",'中古車掲載'!J459=2023,ISNUMBER('中古車掲載'!N459),'中古車掲載'!N459&gt;=50000,'中古車掲載'!O459&lt;=100000,'中古車掲載'!AL459=1,'中古車掲載'!Z459="https://www.one2car.com/en/cars-for-sale/toyota/corolla-cross/year-2023"),'中古車掲載'!U459,"")</x:f>
      </x:c>
      <x:c r="BD458" s="3" t="str">
        <x:f>IF(AND('中古車掲載'!C459="One2car",'中古車掲載'!F459="ATTO 3",'中古車掲載'!L459="EXTENDED RANGE",'中古車掲載'!J459=2023,ISNUMBER('中古車掲載'!N459),'中古車掲載'!N459&gt;=20000,'中古車掲載'!O459&lt;=50000,'中古車掲載'!AL459=1),'中古車掲載'!U459,"")</x:f>
      </x:c>
      <x:c r="BE458" s="3" t="str">
        <x:f>IF(AND('中古車掲載'!C459="One2car",'中古車掲載'!F459="Corolla Cross",'中古車掲載'!L459="HEV PREMIUM SAFETY",'中古車掲載'!J459=2023,ISNUMBER('中古車掲載'!N459),'中古車掲載'!N459&gt;=20000,'中古車掲載'!O459&lt;=50000,'中古車掲載'!AL459=1,'中古車掲載'!Z459="https://www.one2car.com/en/cars-for-sale/toyota/corolla-cross/year-2023"),'中古車掲載'!U459,"")</x:f>
      </x:c>
      <x:c r="BF458" s="3" t="str">
        <x:f>IF(AND('中古車掲載'!C459="One2car",'中古車掲載'!F459="Corolla Cross",'中古車掲載'!L459="HEV PREMIUM",'中古車掲載'!J459=2023,ISNUMBER('中古車掲載'!N459),'中古車掲載'!N459&gt;=20000,'中古車掲載'!O459&lt;=100000,'中古車掲載'!AL459=1,'中古車掲載'!Z459="https://www.one2car.com/en/cars-for-sale/toyota/corolla-cross/year-2023"),'中古車掲載'!U459,"")</x:f>
      </x:c>
      <x:c r="BG458" s="3" t="str">
        <x:f>IF(AND('中古車掲載'!C459="One2car",'中古車掲載'!F459="Corolla Cross",'中古車掲載'!L459="HEV GR SPORT",'中古車掲載'!J459=2023,ISNUMBER('中古車掲載'!N459),'中古車掲載'!N459&gt;=20000,'中古車掲載'!O459&lt;=100000,'中古車掲載'!AL459=1,'中古車掲載'!Z459="https://www.one2car.com/en/cars-for-sale/toyota/corolla-cross/year-2023"),'中古車掲載'!U459,"")</x:f>
      </x:c>
      <x:c r="BH458" s="3" t="str">
        <x:f>IF(AND('中古車掲載'!C459="One2car",'中古車掲載'!F459="DOLPHIN",'中古車掲載'!L459="STANDARD RANGE",'中古車掲載'!J459=2023,ISNUMBER('中古車掲載'!N459),'中古車掲載'!N459&gt;=20000,'中古車掲載'!O459&lt;=100000,'中古車掲載'!AL459=1),'中古車掲載'!U459,"")</x:f>
      </x:c>
      <x:c r="BI458" s="3" t="str">
        <x:v>Taladrod|Corolla Cross|ICE|Unknown</x:v>
      </x:c>
      <x:c r="BJ458" s="3" t="n">
        <x:v>459</x:v>
      </x:c>
      <x:c r="BK458" s="3" t="n">
        <x:f>'中古車掲載'!AM459</x:f>
        <x:v>699000</x:v>
      </x:c>
      <x:c r="BL458" s="3" t="n">
        <x:f>IF(ISNUMBER('中古車掲載'!AN459),'中古車掲載'!AN459,"")</x:f>
        <x:v>0.6996996996996997</x:v>
      </x:c>
      <x:c r="BM458" s="3"/>
      <x:c r="BN458" s="3"/>
      <x:c r="BO458" s="3"/>
      <x:c r="BP458" s="3"/>
      <x:c r="BQ458" s="3"/>
      <x:c r="BR458" s="3"/>
    </x:row>
    <x:row r="459" ht="22" customHeight="1">
      <x:c r="A459" s="3" t="str">
        <x:v>Corolla Cross</x:v>
      </x:c>
      <x:c r="B459" s="3" t="str">
        <x:v>ICE</x:v>
      </x:c>
      <x:c r="C459" s="3" t="str">
        <x:v>Taladrod</x:v>
      </x:c>
      <x:c r="D459" s="3" t="str">
        <x:v>SUV</x:v>
      </x:c>
      <x:c r="E459" s="3" t="str"/>
      <x:c r="F459" s="3" t="n">
        <x:v>2022</x:v>
      </x:c>
      <x:c r="G459" s="3" t="str">
        <x:v>SPORT PLUS</x:v>
      </x:c>
      <x:c r="H459" s="3" t="str">
        <x:v>未掲載</x:v>
      </x:c>
      <x:c r="I459" s="3" t="str">
        <x:v>20-ปัจจุบัน</x:v>
      </x:c>
      <x:c r="J459" s="22" t="n">
        <x:f>COUNT('中古車掲載'!AM453:AM453)</x:f>
        <x:v>1</x:v>
      </x:c>
      <x:c r="K459" s="22" t="n">
        <x:f>IF(COUNT('中古車掲載'!AM453:AM453)=0,"",QUARTILE('中古車掲載'!AM453:AM453,1))</x:f>
        <x:v>640000</x:v>
      </x:c>
      <x:c r="L459" s="22" t="n">
        <x:f>IF(COUNT('中古車掲載'!AM453:AM453)=0,"",MEDIAN('中古車掲載'!AM453:AM453))</x:f>
        <x:v>640000</x:v>
      </x:c>
      <x:c r="M459" s="22" t="n">
        <x:f>IF(COUNT('中古車掲載'!AM453:AM453)=0,"",QUARTILE('中古車掲載'!AM453:AM453,3))</x:f>
        <x:v>640000</x:v>
      </x:c>
      <x:c r="N459" s="22" t="n">
        <x:f>COUNT('中古車掲載'!AN453:AN453)</x:f>
        <x:v>0</x:v>
      </x:c>
      <x:c r="O459" s="23" t="str">
        <x:f>IF(COUNT('中古車掲載'!AN453:AN453)=0,"",MEDIAN('中古車掲載'!AN453:AN453))</x:f>
      </x:c>
      <x:c r="P459" s="3"/>
      <x:c r="Q459" s="3"/>
      <x:c r="R459" s="3"/>
      <x:c r="S459" s="3"/>
      <x:c r="T459" s="3"/>
      <x:c r="U459" s="3"/>
      <x:c r="V459" s="3"/>
      <x:c r="W459" s="3"/>
      <x:c r="X459" s="3"/>
      <x:c r="Y459" s="3"/>
      <x:c r="Z459" s="3"/>
      <x:c r="AA459" s="3"/>
      <x:c r="AB459" s="3"/>
      <x:c r="AC459" s="3"/>
      <x:c r="AD459" s="3"/>
      <x:c r="AE459" s="3"/>
      <x:c r="AF459" s="3"/>
      <x:c r="AG459" s="3"/>
      <x:c r="AH459" s="3"/>
      <x:c r="AI459" s="3"/>
      <x:c r="AJ459" s="3"/>
      <x:c r="AK459" s="3"/>
      <x:c r="AL459" s="3"/>
      <x:c r="AM459" s="3"/>
      <x:c r="AN459" s="3"/>
      <x:c r="AO459" s="3"/>
      <x:c r="AP459" s="3"/>
      <x:c r="AQ459" s="3"/>
      <x:c r="AR459" s="3"/>
      <x:c r="AS459" s="3"/>
      <x:c r="AT459" s="3"/>
      <x:c r="AU459" s="3"/>
      <x:c r="AV459" s="3"/>
      <x:c r="AW459" s="3"/>
      <x:c r="AX459" s="3"/>
      <x:c r="AY459" s="3"/>
      <x:c r="AZ459" s="3" t="str">
        <x:f>IF(AND('中古車掲載'!C460="One2car",'中古車掲載'!F460="ATTO 3",'中古車掲載'!L460="EXTENDED RANGE",'中古車掲載'!J460=2023,ISNUMBER('中古車掲載'!N460),'中古車掲載'!N460&gt;=20000,'中古車掲載'!O460&lt;=100000,'中古車掲載'!AL460=1),'中古車掲載'!U460,"")</x:f>
      </x:c>
      <x:c r="BA459" s="3" t="str">
        <x:f>IF(AND('中古車掲載'!C460="One2car",'中古車掲載'!F460="Corolla Cross",'中古車掲載'!L460="HEV PREMIUM SAFETY",'中古車掲載'!J460=2023,ISNUMBER('中古車掲載'!N460),'中古車掲載'!N460&gt;=20000,'中古車掲載'!O460&lt;=100000,'中古車掲載'!AL460=1,'中古車掲載'!Z460="https://www.one2car.com/en/cars-for-sale/toyota/corolla-cross/year-2023"),'中古車掲載'!U460,"")</x:f>
      </x:c>
      <x:c r="BB459" s="3" t="str">
        <x:f>IF(AND('中古車掲載'!C460="One2car",'中古車掲載'!F460="ATTO 3",'中古車掲載'!L460="EXTENDED RANGE",'中古車掲載'!J460=2023,ISNUMBER('中古車掲載'!N460),'中古車掲載'!N460&gt;=50000,'中古車掲載'!O460&lt;=100000,'中古車掲載'!AL460=1),'中古車掲載'!U460,"")</x:f>
      </x:c>
      <x:c r="BC459" s="3" t="str">
        <x:f>IF(AND('中古車掲載'!C460="One2car",'中古車掲載'!F460="Corolla Cross",'中古車掲載'!L460="HEV PREMIUM SAFETY",'中古車掲載'!J460=2023,ISNUMBER('中古車掲載'!N460),'中古車掲載'!N460&gt;=50000,'中古車掲載'!O460&lt;=100000,'中古車掲載'!AL460=1,'中古車掲載'!Z460="https://www.one2car.com/en/cars-for-sale/toyota/corolla-cross/year-2023"),'中古車掲載'!U460,"")</x:f>
      </x:c>
      <x:c r="BD459" s="3" t="str">
        <x:f>IF(AND('中古車掲載'!C460="One2car",'中古車掲載'!F460="ATTO 3",'中古車掲載'!L460="EXTENDED RANGE",'中古車掲載'!J460=2023,ISNUMBER('中古車掲載'!N460),'中古車掲載'!N460&gt;=20000,'中古車掲載'!O460&lt;=50000,'中古車掲載'!AL460=1),'中古車掲載'!U460,"")</x:f>
      </x:c>
      <x:c r="BE459" s="3" t="str">
        <x:f>IF(AND('中古車掲載'!C460="One2car",'中古車掲載'!F460="Corolla Cross",'中古車掲載'!L460="HEV PREMIUM SAFETY",'中古車掲載'!J460=2023,ISNUMBER('中古車掲載'!N460),'中古車掲載'!N460&gt;=20000,'中古車掲載'!O460&lt;=50000,'中古車掲載'!AL460=1,'中古車掲載'!Z460="https://www.one2car.com/en/cars-for-sale/toyota/corolla-cross/year-2023"),'中古車掲載'!U460,"")</x:f>
      </x:c>
      <x:c r="BF459" s="3" t="str">
        <x:f>IF(AND('中古車掲載'!C460="One2car",'中古車掲載'!F460="Corolla Cross",'中古車掲載'!L460="HEV PREMIUM",'中古車掲載'!J460=2023,ISNUMBER('中古車掲載'!N460),'中古車掲載'!N460&gt;=20000,'中古車掲載'!O460&lt;=100000,'中古車掲載'!AL460=1,'中古車掲載'!Z460="https://www.one2car.com/en/cars-for-sale/toyota/corolla-cross/year-2023"),'中古車掲載'!U460,"")</x:f>
      </x:c>
      <x:c r="BG459" s="3" t="str">
        <x:f>IF(AND('中古車掲載'!C460="One2car",'中古車掲載'!F460="Corolla Cross",'中古車掲載'!L460="HEV GR SPORT",'中古車掲載'!J460=2023,ISNUMBER('中古車掲載'!N460),'中古車掲載'!N460&gt;=20000,'中古車掲載'!O460&lt;=100000,'中古車掲載'!AL460=1,'中古車掲載'!Z460="https://www.one2car.com/en/cars-for-sale/toyota/corolla-cross/year-2023"),'中古車掲載'!U460,"")</x:f>
      </x:c>
      <x:c r="BH459" s="3" t="str">
        <x:f>IF(AND('中古車掲載'!C460="One2car",'中古車掲載'!F460="DOLPHIN",'中古車掲載'!L460="STANDARD RANGE",'中古車掲載'!J460=2023,ISNUMBER('中古車掲載'!N460),'中古車掲載'!N460&gt;=20000,'中古車掲載'!O460&lt;=100000,'中古車掲載'!AL460=1),'中古車掲載'!U460,"")</x:f>
      </x:c>
      <x:c r="BI459" s="3" t="str">
        <x:v>Taladrod|Corolla Cross|ICE|Unknown</x:v>
      </x:c>
      <x:c r="BJ459" s="3" t="n">
        <x:v>460</x:v>
      </x:c>
      <x:c r="BK459" s="3" t="n">
        <x:f>'中古車掲載'!AM460</x:f>
        <x:v>799000</x:v>
      </x:c>
      <x:c r="BL459" s="3" t="n">
        <x:f>IF(ISNUMBER('中古車掲載'!AN460),'中古車掲載'!AN460,"")</x:f>
        <x:v>0.7997997997997998</x:v>
      </x:c>
      <x:c r="BM459" s="3"/>
      <x:c r="BN459" s="3"/>
      <x:c r="BO459" s="3"/>
      <x:c r="BP459" s="3"/>
      <x:c r="BQ459" s="3"/>
      <x:c r="BR459" s="3"/>
    </x:row>
    <x:row r="460" ht="22" customHeight="1">
      <x:c r="A460" s="3" t="str">
        <x:v>Corolla Cross</x:v>
      </x:c>
      <x:c r="B460" s="3" t="str">
        <x:v>ICE</x:v>
      </x:c>
      <x:c r="C460" s="3" t="str">
        <x:v>Taladrod</x:v>
      </x:c>
      <x:c r="D460" s="3" t="str">
        <x:v>SUV</x:v>
      </x:c>
      <x:c r="E460" s="3" t="str"/>
      <x:c r="F460" s="3" t="n">
        <x:v>2023</x:v>
      </x:c>
      <x:c r="G460" s="3" t="str">
        <x:v>SPORT</x:v>
      </x:c>
      <x:c r="H460" s="3" t="str">
        <x:v>未掲載</x:v>
      </x:c>
      <x:c r="I460" s="3" t="str">
        <x:v>20-ปัจจุบัน</x:v>
      </x:c>
      <x:c r="J460" s="22" t="n">
        <x:f>COUNT('中古車掲載'!AM454:AM456)</x:f>
        <x:v>3</x:v>
      </x:c>
      <x:c r="K460" s="22" t="n">
        <x:f>IF(COUNT('中古車掲載'!AM454:AM456)=0,"",QUARTILE('中古車掲載'!AM454:AM456,1))</x:f>
        <x:v>653500</x:v>
      </x:c>
      <x:c r="L460" s="22" t="n">
        <x:f>IF(COUNT('中古車掲載'!AM454:AM456)=0,"",MEDIAN('中古車掲載'!AM454:AM456))</x:f>
        <x:v>658000</x:v>
      </x:c>
      <x:c r="M460" s="22" t="n">
        <x:f>IF(COUNT('中古車掲載'!AM454:AM456)=0,"",QUARTILE('中古車掲載'!AM454:AM456,3))</x:f>
        <x:v>693500</x:v>
      </x:c>
      <x:c r="N460" s="22" t="n">
        <x:f>COUNT('中古車掲載'!AN454:AN456)</x:f>
        <x:v>0</x:v>
      </x:c>
      <x:c r="O460" s="23" t="str">
        <x:f>IF(COUNT('中古車掲載'!AN454:AN456)=0,"",MEDIAN('中古車掲載'!AN454:AN456))</x:f>
      </x:c>
      <x:c r="P460" s="3"/>
      <x:c r="Q460" s="3"/>
      <x:c r="R460" s="3"/>
      <x:c r="S460" s="3"/>
      <x:c r="T460" s="3"/>
      <x:c r="U460" s="3"/>
      <x:c r="V460" s="3"/>
      <x:c r="W460" s="3"/>
      <x:c r="X460" s="3"/>
      <x:c r="Y460" s="3"/>
      <x:c r="Z460" s="3"/>
      <x:c r="AA460" s="3"/>
      <x:c r="AB460" s="3"/>
      <x:c r="AC460" s="3"/>
      <x:c r="AD460" s="3"/>
      <x:c r="AE460" s="3"/>
      <x:c r="AF460" s="3"/>
      <x:c r="AG460" s="3"/>
      <x:c r="AH460" s="3"/>
      <x:c r="AI460" s="3"/>
      <x:c r="AJ460" s="3"/>
      <x:c r="AK460" s="3"/>
      <x:c r="AL460" s="3"/>
      <x:c r="AM460" s="3"/>
      <x:c r="AN460" s="3"/>
      <x:c r="AO460" s="3"/>
      <x:c r="AP460" s="3"/>
      <x:c r="AQ460" s="3"/>
      <x:c r="AR460" s="3"/>
      <x:c r="AS460" s="3"/>
      <x:c r="AT460" s="3"/>
      <x:c r="AU460" s="3"/>
      <x:c r="AV460" s="3"/>
      <x:c r="AW460" s="3"/>
      <x:c r="AX460" s="3"/>
      <x:c r="AY460" s="3"/>
      <x:c r="AZ460" s="3" t="str">
        <x:f>IF(AND('中古車掲載'!C461="One2car",'中古車掲載'!F461="ATTO 3",'中古車掲載'!L461="EXTENDED RANGE",'中古車掲載'!J461=2023,ISNUMBER('中古車掲載'!N461),'中古車掲載'!N461&gt;=20000,'中古車掲載'!O461&lt;=100000,'中古車掲載'!AL461=1),'中古車掲載'!U461,"")</x:f>
      </x:c>
      <x:c r="BA460" s="3" t="str">
        <x:f>IF(AND('中古車掲載'!C461="One2car",'中古車掲載'!F461="Corolla Cross",'中古車掲載'!L461="HEV PREMIUM SAFETY",'中古車掲載'!J461=2023,ISNUMBER('中古車掲載'!N461),'中古車掲載'!N461&gt;=20000,'中古車掲載'!O461&lt;=100000,'中古車掲載'!AL461=1,'中古車掲載'!Z461="https://www.one2car.com/en/cars-for-sale/toyota/corolla-cross/year-2023"),'中古車掲載'!U461,"")</x:f>
      </x:c>
      <x:c r="BB460" s="3" t="str">
        <x:f>IF(AND('中古車掲載'!C461="One2car",'中古車掲載'!F461="ATTO 3",'中古車掲載'!L461="EXTENDED RANGE",'中古車掲載'!J461=2023,ISNUMBER('中古車掲載'!N461),'中古車掲載'!N461&gt;=50000,'中古車掲載'!O461&lt;=100000,'中古車掲載'!AL461=1),'中古車掲載'!U461,"")</x:f>
      </x:c>
      <x:c r="BC460" s="3" t="str">
        <x:f>IF(AND('中古車掲載'!C461="One2car",'中古車掲載'!F461="Corolla Cross",'中古車掲載'!L461="HEV PREMIUM SAFETY",'中古車掲載'!J461=2023,ISNUMBER('中古車掲載'!N461),'中古車掲載'!N461&gt;=50000,'中古車掲載'!O461&lt;=100000,'中古車掲載'!AL461=1,'中古車掲載'!Z461="https://www.one2car.com/en/cars-for-sale/toyota/corolla-cross/year-2023"),'中古車掲載'!U461,"")</x:f>
      </x:c>
      <x:c r="BD460" s="3" t="str">
        <x:f>IF(AND('中古車掲載'!C461="One2car",'中古車掲載'!F461="ATTO 3",'中古車掲載'!L461="EXTENDED RANGE",'中古車掲載'!J461=2023,ISNUMBER('中古車掲載'!N461),'中古車掲載'!N461&gt;=20000,'中古車掲載'!O461&lt;=50000,'中古車掲載'!AL461=1),'中古車掲載'!U461,"")</x:f>
      </x:c>
      <x:c r="BE460" s="3" t="str">
        <x:f>IF(AND('中古車掲載'!C461="One2car",'中古車掲載'!F461="Corolla Cross",'中古車掲載'!L461="HEV PREMIUM SAFETY",'中古車掲載'!J461=2023,ISNUMBER('中古車掲載'!N461),'中古車掲載'!N461&gt;=20000,'中古車掲載'!O461&lt;=50000,'中古車掲載'!AL461=1,'中古車掲載'!Z461="https://www.one2car.com/en/cars-for-sale/toyota/corolla-cross/year-2023"),'中古車掲載'!U461,"")</x:f>
      </x:c>
      <x:c r="BF460" s="3" t="str">
        <x:f>IF(AND('中古車掲載'!C461="One2car",'中古車掲載'!F461="Corolla Cross",'中古車掲載'!L461="HEV PREMIUM",'中古車掲載'!J461=2023,ISNUMBER('中古車掲載'!N461),'中古車掲載'!N461&gt;=20000,'中古車掲載'!O461&lt;=100000,'中古車掲載'!AL461=1,'中古車掲載'!Z461="https://www.one2car.com/en/cars-for-sale/toyota/corolla-cross/year-2023"),'中古車掲載'!U461,"")</x:f>
      </x:c>
      <x:c r="BG460" s="3" t="str">
        <x:f>IF(AND('中古車掲載'!C461="One2car",'中古車掲載'!F461="Corolla Cross",'中古車掲載'!L461="HEV GR SPORT",'中古車掲載'!J461=2023,ISNUMBER('中古車掲載'!N461),'中古車掲載'!N461&gt;=20000,'中古車掲載'!O461&lt;=100000,'中古車掲載'!AL461=1,'中古車掲載'!Z461="https://www.one2car.com/en/cars-for-sale/toyota/corolla-cross/year-2023"),'中古車掲載'!U461,"")</x:f>
      </x:c>
      <x:c r="BH460" s="3" t="str">
        <x:f>IF(AND('中古車掲載'!C461="One2car",'中古車掲載'!F461="DOLPHIN",'中古車掲載'!L461="STANDARD RANGE",'中古車掲載'!J461=2023,ISNUMBER('中古車掲載'!N461),'中古車掲載'!N461&gt;=20000,'中古車掲載'!O461&lt;=100000,'中古車掲載'!AL461=1),'中古車掲載'!U461,"")</x:f>
      </x:c>
      <x:c r="BI460" s="3" t="str">
        <x:v>Taladrod|Corolla Cross|ICE|Unknown</x:v>
      </x:c>
      <x:c r="BJ460" s="3" t="n">
        <x:v>461</x:v>
      </x:c>
      <x:c r="BK460" s="3" t="n">
        <x:f>'中古車掲載'!AM461</x:f>
        <x:v>702000</x:v>
      </x:c>
      <x:c r="BL460" s="3" t="n">
        <x:f>IF(ISNUMBER('中古車掲載'!AN461),'中古車掲載'!AN461,"")</x:f>
        <x:v>0.7027027027027027</x:v>
      </x:c>
      <x:c r="BM460" s="3"/>
      <x:c r="BN460" s="3"/>
      <x:c r="BO460" s="3"/>
      <x:c r="BP460" s="3"/>
      <x:c r="BQ460" s="3"/>
      <x:c r="BR460" s="3"/>
    </x:row>
    <x:row r="461" ht="22" customHeight="1">
      <x:c r="A461" s="3" t="str">
        <x:v>Corolla Cross</x:v>
      </x:c>
      <x:c r="B461" s="3" t="str">
        <x:v>ICE</x:v>
      </x:c>
      <x:c r="C461" s="3" t="str">
        <x:v>Taladrod</x:v>
      </x:c>
      <x:c r="D461" s="3" t="str">
        <x:v>SUV</x:v>
      </x:c>
      <x:c r="E461" s="3" t="str"/>
      <x:c r="F461" s="3" t="n">
        <x:v>2023</x:v>
      </x:c>
      <x:c r="G461" s="3" t="str">
        <x:v>SPORT PLUS</x:v>
      </x:c>
      <x:c r="H461" s="3" t="str">
        <x:v>未掲載</x:v>
      </x:c>
      <x:c r="I461" s="3" t="str">
        <x:v>20-ปัจจุบัน</x:v>
      </x:c>
      <x:c r="J461" s="22" t="n">
        <x:f>COUNT('中古車掲載'!AM457:AM461)</x:f>
        <x:v>5</x:v>
      </x:c>
      <x:c r="K461" s="22" t="n">
        <x:f>IF(COUNT('中古車掲載'!AM457:AM461)=0,"",QUARTILE('中古車掲載'!AM457:AM461,1))</x:f>
        <x:v>699000</x:v>
      </x:c>
      <x:c r="L461" s="22" t="n">
        <x:f>IF(COUNT('中古車掲載'!AM457:AM461)=0,"",MEDIAN('中古車掲載'!AM457:AM461))</x:f>
        <x:v>702000</x:v>
      </x:c>
      <x:c r="M461" s="22" t="n">
        <x:f>IF(COUNT('中古車掲載'!AM457:AM461)=0,"",QUARTILE('中古車掲載'!AM457:AM461,3))</x:f>
        <x:v>759000</x:v>
      </x:c>
      <x:c r="N461" s="22" t="n">
        <x:f>COUNT('中古車掲載'!AN457:AN461)</x:f>
        <x:v>5</x:v>
      </x:c>
      <x:c r="O461" s="23" t="n">
        <x:f>IF(COUNT('中古車掲載'!AN457:AN461)=0,"",MEDIAN('中古車掲載'!AN457:AN461))</x:f>
        <x:v>0.7027027027027027</x:v>
      </x:c>
      <x:c r="P461" s="3"/>
      <x:c r="Q461" s="3"/>
      <x:c r="R461" s="3"/>
      <x:c r="S461" s="3"/>
      <x:c r="T461" s="3"/>
      <x:c r="U461" s="3"/>
      <x:c r="V461" s="3"/>
      <x:c r="W461" s="3"/>
      <x:c r="X461" s="3"/>
      <x:c r="Y461" s="3"/>
      <x:c r="Z461" s="3"/>
      <x:c r="AA461" s="3"/>
      <x:c r="AB461" s="3"/>
      <x:c r="AC461" s="3"/>
      <x:c r="AD461" s="3"/>
      <x:c r="AE461" s="3"/>
      <x:c r="AF461" s="3"/>
      <x:c r="AG461" s="3"/>
      <x:c r="AH461" s="3"/>
      <x:c r="AI461" s="3"/>
      <x:c r="AJ461" s="3"/>
      <x:c r="AK461" s="3"/>
      <x:c r="AL461" s="3"/>
      <x:c r="AM461" s="3"/>
      <x:c r="AN461" s="3"/>
      <x:c r="AO461" s="3"/>
      <x:c r="AP461" s="3"/>
      <x:c r="AQ461" s="3"/>
      <x:c r="AR461" s="3"/>
      <x:c r="AS461" s="3"/>
      <x:c r="AT461" s="3"/>
      <x:c r="AU461" s="3"/>
      <x:c r="AV461" s="3"/>
      <x:c r="AW461" s="3"/>
      <x:c r="AX461" s="3"/>
      <x:c r="AY461" s="3"/>
      <x:c r="AZ461" s="3" t="str">
        <x:f>IF(AND('中古車掲載'!C462="One2car",'中古車掲載'!F462="ATTO 3",'中古車掲載'!L462="EXTENDED RANGE",'中古車掲載'!J462=2023,ISNUMBER('中古車掲載'!N462),'中古車掲載'!N462&gt;=20000,'中古車掲載'!O462&lt;=100000,'中古車掲載'!AL462=1),'中古車掲載'!U462,"")</x:f>
      </x:c>
      <x:c r="BA461" s="3" t="str">
        <x:f>IF(AND('中古車掲載'!C462="One2car",'中古車掲載'!F462="Corolla Cross",'中古車掲載'!L462="HEV PREMIUM SAFETY",'中古車掲載'!J462=2023,ISNUMBER('中古車掲載'!N462),'中古車掲載'!N462&gt;=20000,'中古車掲載'!O462&lt;=100000,'中古車掲載'!AL462=1,'中古車掲載'!Z462="https://www.one2car.com/en/cars-for-sale/toyota/corolla-cross/year-2023"),'中古車掲載'!U462,"")</x:f>
      </x:c>
      <x:c r="BB461" s="3" t="str">
        <x:f>IF(AND('中古車掲載'!C462="One2car",'中古車掲載'!F462="ATTO 3",'中古車掲載'!L462="EXTENDED RANGE",'中古車掲載'!J462=2023,ISNUMBER('中古車掲載'!N462),'中古車掲載'!N462&gt;=50000,'中古車掲載'!O462&lt;=100000,'中古車掲載'!AL462=1),'中古車掲載'!U462,"")</x:f>
      </x:c>
      <x:c r="BC461" s="3" t="str">
        <x:f>IF(AND('中古車掲載'!C462="One2car",'中古車掲載'!F462="Corolla Cross",'中古車掲載'!L462="HEV PREMIUM SAFETY",'中古車掲載'!J462=2023,ISNUMBER('中古車掲載'!N462),'中古車掲載'!N462&gt;=50000,'中古車掲載'!O462&lt;=100000,'中古車掲載'!AL462=1,'中古車掲載'!Z462="https://www.one2car.com/en/cars-for-sale/toyota/corolla-cross/year-2023"),'中古車掲載'!U462,"")</x:f>
      </x:c>
      <x:c r="BD461" s="3" t="str">
        <x:f>IF(AND('中古車掲載'!C462="One2car",'中古車掲載'!F462="ATTO 3",'中古車掲載'!L462="EXTENDED RANGE",'中古車掲載'!J462=2023,ISNUMBER('中古車掲載'!N462),'中古車掲載'!N462&gt;=20000,'中古車掲載'!O462&lt;=50000,'中古車掲載'!AL462=1),'中古車掲載'!U462,"")</x:f>
      </x:c>
      <x:c r="BE461" s="3" t="str">
        <x:f>IF(AND('中古車掲載'!C462="One2car",'中古車掲載'!F462="Corolla Cross",'中古車掲載'!L462="HEV PREMIUM SAFETY",'中古車掲載'!J462=2023,ISNUMBER('中古車掲載'!N462),'中古車掲載'!N462&gt;=20000,'中古車掲載'!O462&lt;=50000,'中古車掲載'!AL462=1,'中古車掲載'!Z462="https://www.one2car.com/en/cars-for-sale/toyota/corolla-cross/year-2023"),'中古車掲載'!U462,"")</x:f>
      </x:c>
      <x:c r="BF461" s="3" t="str">
        <x:f>IF(AND('中古車掲載'!C462="One2car",'中古車掲載'!F462="Corolla Cross",'中古車掲載'!L462="HEV PREMIUM",'中古車掲載'!J462=2023,ISNUMBER('中古車掲載'!N462),'中古車掲載'!N462&gt;=20000,'中古車掲載'!O462&lt;=100000,'中古車掲載'!AL462=1,'中古車掲載'!Z462="https://www.one2car.com/en/cars-for-sale/toyota/corolla-cross/year-2023"),'中古車掲載'!U462,"")</x:f>
      </x:c>
      <x:c r="BG461" s="3" t="str">
        <x:f>IF(AND('中古車掲載'!C462="One2car",'中古車掲載'!F462="Corolla Cross",'中古車掲載'!L462="HEV GR SPORT",'中古車掲載'!J462=2023,ISNUMBER('中古車掲載'!N462),'中古車掲載'!N462&gt;=20000,'中古車掲載'!O462&lt;=100000,'中古車掲載'!AL462=1,'中古車掲載'!Z462="https://www.one2car.com/en/cars-for-sale/toyota/corolla-cross/year-2023"),'中古車掲載'!U462,"")</x:f>
      </x:c>
      <x:c r="BH461" s="3" t="str">
        <x:f>IF(AND('中古車掲載'!C462="One2car",'中古車掲載'!F462="DOLPHIN",'中古車掲載'!L462="STANDARD RANGE",'中古車掲載'!J462=2023,ISNUMBER('中古車掲載'!N462),'中古車掲載'!N462&gt;=20000,'中古車掲載'!O462&lt;=100000,'中古車掲載'!AL462=1),'中古車掲載'!U462,"")</x:f>
      </x:c>
      <x:c r="BI461" s="3" t="str">
        <x:v>Taladrod|Corolla Cross|ICE|Unknown</x:v>
      </x:c>
      <x:c r="BJ461" s="3" t="n">
        <x:v>462</x:v>
      </x:c>
      <x:c r="BK461" s="3" t="n">
        <x:f>'中古車掲載'!AM462</x:f>
        <x:v>799000</x:v>
      </x:c>
      <x:c r="BL461" s="3" t="n">
        <x:f>IF(ISNUMBER('中古車掲載'!AN462),'中古車掲載'!AN462,"")</x:f>
        <x:v>0.7997997997997998</x:v>
      </x:c>
      <x:c r="BM461" s="3"/>
      <x:c r="BN461" s="3"/>
      <x:c r="BO461" s="3"/>
      <x:c r="BP461" s="3"/>
      <x:c r="BQ461" s="3"/>
      <x:c r="BR461" s="3"/>
    </x:row>
    <x:row r="462" ht="22" customHeight="1">
      <x:c r="A462" s="3" t="str">
        <x:v>Corolla Cross</x:v>
      </x:c>
      <x:c r="B462" s="3" t="str">
        <x:v>ICE</x:v>
      </x:c>
      <x:c r="C462" s="3" t="str">
        <x:v>Taladrod</x:v>
      </x:c>
      <x:c r="D462" s="3" t="str">
        <x:v>SUV</x:v>
      </x:c>
      <x:c r="E462" s="3" t="str"/>
      <x:c r="F462" s="3" t="n">
        <x:v>2024</x:v>
      </x:c>
      <x:c r="G462" s="3" t="str">
        <x:v>SPORT PLUS</x:v>
      </x:c>
      <x:c r="H462" s="3" t="str">
        <x:v>未掲載</x:v>
      </x:c>
      <x:c r="I462" s="3" t="str">
        <x:v>20-ปัจจุบัน</x:v>
      </x:c>
      <x:c r="J462" s="22" t="n">
        <x:f>COUNT('中古車掲載'!AM462:AM462)</x:f>
        <x:v>1</x:v>
      </x:c>
      <x:c r="K462" s="22" t="n">
        <x:f>IF(COUNT('中古車掲載'!AM462:AM462)=0,"",QUARTILE('中古車掲載'!AM462:AM462,1))</x:f>
        <x:v>799000</x:v>
      </x:c>
      <x:c r="L462" s="22" t="n">
        <x:f>IF(COUNT('中古車掲載'!AM462:AM462)=0,"",MEDIAN('中古車掲載'!AM462:AM462))</x:f>
        <x:v>799000</x:v>
      </x:c>
      <x:c r="M462" s="22" t="n">
        <x:f>IF(COUNT('中古車掲載'!AM462:AM462)=0,"",QUARTILE('中古車掲載'!AM462:AM462,3))</x:f>
        <x:v>799000</x:v>
      </x:c>
      <x:c r="N462" s="22" t="n">
        <x:f>COUNT('中古車掲載'!AN462:AN462)</x:f>
        <x:v>1</x:v>
      </x:c>
      <x:c r="O462" s="23" t="n">
        <x:f>IF(COUNT('中古車掲載'!AN462:AN462)=0,"",MEDIAN('中古車掲載'!AN462:AN462))</x:f>
        <x:v>0.7997997997997998</x:v>
      </x:c>
      <x:c r="P462" s="3"/>
      <x:c r="Q462" s="3"/>
      <x:c r="R462" s="3"/>
      <x:c r="S462" s="3"/>
      <x:c r="T462" s="3"/>
      <x:c r="U462" s="3"/>
      <x:c r="V462" s="3"/>
      <x:c r="W462" s="3"/>
      <x:c r="X462" s="3"/>
      <x:c r="Y462" s="3"/>
      <x:c r="Z462" s="3"/>
      <x:c r="AA462" s="3"/>
      <x:c r="AB462" s="3"/>
      <x:c r="AC462" s="3"/>
      <x:c r="AD462" s="3"/>
      <x:c r="AE462" s="3"/>
      <x:c r="AF462" s="3"/>
      <x:c r="AG462" s="3"/>
      <x:c r="AH462" s="3"/>
      <x:c r="AI462" s="3"/>
      <x:c r="AJ462" s="3"/>
      <x:c r="AK462" s="3"/>
      <x:c r="AL462" s="3"/>
      <x:c r="AM462" s="3"/>
      <x:c r="AN462" s="3"/>
      <x:c r="AO462" s="3"/>
      <x:c r="AP462" s="3"/>
      <x:c r="AQ462" s="3"/>
      <x:c r="AR462" s="3"/>
      <x:c r="AS462" s="3"/>
      <x:c r="AT462" s="3"/>
      <x:c r="AU462" s="3"/>
      <x:c r="AV462" s="3"/>
      <x:c r="AW462" s="3"/>
      <x:c r="AX462" s="3"/>
      <x:c r="AY462" s="3"/>
      <x:c r="AZ462" s="3" t="str">
        <x:f>IF(AND('中古車掲載'!C463="One2car",'中古車掲載'!F463="ATTO 3",'中古車掲載'!L463="EXTENDED RANGE",'中古車掲載'!J463=2023,ISNUMBER('中古車掲載'!N463),'中古車掲載'!N463&gt;=20000,'中古車掲載'!O463&lt;=100000,'中古車掲載'!AL463=1),'中古車掲載'!U463,"")</x:f>
      </x:c>
      <x:c r="BA462" s="3" t="str">
        <x:f>IF(AND('中古車掲載'!C463="One2car",'中古車掲載'!F463="Corolla Cross",'中古車掲載'!L463="HEV PREMIUM SAFETY",'中古車掲載'!J463=2023,ISNUMBER('中古車掲載'!N463),'中古車掲載'!N463&gt;=20000,'中古車掲載'!O463&lt;=100000,'中古車掲載'!AL463=1,'中古車掲載'!Z463="https://www.one2car.com/en/cars-for-sale/toyota/corolla-cross/year-2023"),'中古車掲載'!U463,"")</x:f>
      </x:c>
      <x:c r="BB462" s="3" t="str">
        <x:f>IF(AND('中古車掲載'!C463="One2car",'中古車掲載'!F463="ATTO 3",'中古車掲載'!L463="EXTENDED RANGE",'中古車掲載'!J463=2023,ISNUMBER('中古車掲載'!N463),'中古車掲載'!N463&gt;=50000,'中古車掲載'!O463&lt;=100000,'中古車掲載'!AL463=1),'中古車掲載'!U463,"")</x:f>
      </x:c>
      <x:c r="BC462" s="3" t="str">
        <x:f>IF(AND('中古車掲載'!C463="One2car",'中古車掲載'!F463="Corolla Cross",'中古車掲載'!L463="HEV PREMIUM SAFETY",'中古車掲載'!J463=2023,ISNUMBER('中古車掲載'!N463),'中古車掲載'!N463&gt;=50000,'中古車掲載'!O463&lt;=100000,'中古車掲載'!AL463=1,'中古車掲載'!Z463="https://www.one2car.com/en/cars-for-sale/toyota/corolla-cross/year-2023"),'中古車掲載'!U463,"")</x:f>
      </x:c>
      <x:c r="BD462" s="3" t="str">
        <x:f>IF(AND('中古車掲載'!C463="One2car",'中古車掲載'!F463="ATTO 3",'中古車掲載'!L463="EXTENDED RANGE",'中古車掲載'!J463=2023,ISNUMBER('中古車掲載'!N463),'中古車掲載'!N463&gt;=20000,'中古車掲載'!O463&lt;=50000,'中古車掲載'!AL463=1),'中古車掲載'!U463,"")</x:f>
      </x:c>
      <x:c r="BE462" s="3" t="str">
        <x:f>IF(AND('中古車掲載'!C463="One2car",'中古車掲載'!F463="Corolla Cross",'中古車掲載'!L463="HEV PREMIUM SAFETY",'中古車掲載'!J463=2023,ISNUMBER('中古車掲載'!N463),'中古車掲載'!N463&gt;=20000,'中古車掲載'!O463&lt;=50000,'中古車掲載'!AL463=1,'中古車掲載'!Z463="https://www.one2car.com/en/cars-for-sale/toyota/corolla-cross/year-2023"),'中古車掲載'!U463,"")</x:f>
      </x:c>
      <x:c r="BF462" s="3" t="str">
        <x:f>IF(AND('中古車掲載'!C463="One2car",'中古車掲載'!F463="Corolla Cross",'中古車掲載'!L463="HEV PREMIUM",'中古車掲載'!J463=2023,ISNUMBER('中古車掲載'!N463),'中古車掲載'!N463&gt;=20000,'中古車掲載'!O463&lt;=100000,'中古車掲載'!AL463=1,'中古車掲載'!Z463="https://www.one2car.com/en/cars-for-sale/toyota/corolla-cross/year-2023"),'中古車掲載'!U463,"")</x:f>
      </x:c>
      <x:c r="BG462" s="3" t="str">
        <x:f>IF(AND('中古車掲載'!C463="One2car",'中古車掲載'!F463="Corolla Cross",'中古車掲載'!L463="HEV GR SPORT",'中古車掲載'!J463=2023,ISNUMBER('中古車掲載'!N463),'中古車掲載'!N463&gt;=20000,'中古車掲載'!O463&lt;=100000,'中古車掲載'!AL463=1,'中古車掲載'!Z463="https://www.one2car.com/en/cars-for-sale/toyota/corolla-cross/year-2023"),'中古車掲載'!U463,"")</x:f>
      </x:c>
      <x:c r="BH462" s="3" t="str">
        <x:f>IF(AND('中古車掲載'!C463="One2car",'中古車掲載'!F463="DOLPHIN",'中古車掲載'!L463="STANDARD RANGE",'中古車掲載'!J463=2023,ISNUMBER('中古車掲載'!N463),'中古車掲載'!N463&gt;=20000,'中古車掲載'!O463&lt;=100000,'中古車掲載'!AL463=1),'中古車掲載'!U463,"")</x:f>
      </x:c>
      <x:c r="BI462" s="3" t="str">
        <x:v>Taladrod|Corolla Cross|不明|Unknown</x:v>
      </x:c>
      <x:c r="BJ462" s="3" t="n">
        <x:v>463</x:v>
      </x:c>
      <x:c r="BK462" s="3" t="n">
        <x:f>'中古車掲載'!AM463</x:f>
        <x:v>729000</x:v>
      </x:c>
      <x:c r="BL462" s="3" t="str">
        <x:f>IF(ISNUMBER('中古車掲載'!AN463),'中古車掲載'!AN463,"")</x:f>
      </x:c>
      <x:c r="BM462" s="3"/>
      <x:c r="BN462" s="3"/>
      <x:c r="BO462" s="3"/>
      <x:c r="BP462" s="3"/>
      <x:c r="BQ462" s="3"/>
      <x:c r="BR462" s="3"/>
    </x:row>
    <x:row r="463" ht="22" customHeight="1">
      <x:c r="A463" s="3" t="str">
        <x:v>Corolla Cross</x:v>
      </x:c>
      <x:c r="B463" s="3" t="str">
        <x:v>不明</x:v>
      </x:c>
      <x:c r="C463" s="3" t="str">
        <x:v>Taladrod</x:v>
      </x:c>
      <x:c r="D463" s="3" t="str">
        <x:v>SUV</x:v>
      </x:c>
      <x:c r="E463" s="3" t="str"/>
      <x:c r="F463" s="3" t="n">
        <x:v>2022</x:v>
      </x:c>
      <x:c r="G463" s="3" t="str">
        <x:v>グレード不明</x:v>
      </x:c>
      <x:c r="H463" s="3" t="str">
        <x:v>未掲載</x:v>
      </x:c>
      <x:c r="I463" s="3" t="str">
        <x:v>20-ปัจจุบัน</x:v>
      </x:c>
      <x:c r="J463" s="22" t="n">
        <x:f>COUNT('中古車掲載'!AM463:AM463)</x:f>
        <x:v>1</x:v>
      </x:c>
      <x:c r="K463" s="22" t="n">
        <x:f>IF(COUNT('中古車掲載'!AM463:AM463)=0,"",QUARTILE('中古車掲載'!AM463:AM463,1))</x:f>
        <x:v>729000</x:v>
      </x:c>
      <x:c r="L463" s="22" t="n">
        <x:f>IF(COUNT('中古車掲載'!AM463:AM463)=0,"",MEDIAN('中古車掲載'!AM463:AM463))</x:f>
        <x:v>729000</x:v>
      </x:c>
      <x:c r="M463" s="22" t="n">
        <x:f>IF(COUNT('中古車掲載'!AM463:AM463)=0,"",QUARTILE('中古車掲載'!AM463:AM463,3))</x:f>
        <x:v>729000</x:v>
      </x:c>
      <x:c r="N463" s="22" t="n">
        <x:f>COUNT('中古車掲載'!AN463:AN463)</x:f>
        <x:v>0</x:v>
      </x:c>
      <x:c r="O463" s="23" t="str">
        <x:f>IF(COUNT('中古車掲載'!AN463:AN463)=0,"",MEDIAN('中古車掲載'!AN463:AN463))</x:f>
      </x:c>
      <x:c r="P463" s="3"/>
      <x:c r="Q463" s="3"/>
      <x:c r="R463" s="3"/>
      <x:c r="S463" s="3"/>
      <x:c r="T463" s="3"/>
      <x:c r="U463" s="3"/>
      <x:c r="V463" s="3"/>
      <x:c r="W463" s="3"/>
      <x:c r="X463" s="3"/>
      <x:c r="Y463" s="3"/>
      <x:c r="Z463" s="3"/>
      <x:c r="AA463" s="3"/>
      <x:c r="AB463" s="3"/>
      <x:c r="AC463" s="3"/>
      <x:c r="AD463" s="3"/>
      <x:c r="AE463" s="3"/>
      <x:c r="AF463" s="3"/>
      <x:c r="AG463" s="3"/>
      <x:c r="AH463" s="3"/>
      <x:c r="AI463" s="3"/>
      <x:c r="AJ463" s="3"/>
      <x:c r="AK463" s="3"/>
      <x:c r="AL463" s="3"/>
      <x:c r="AM463" s="3"/>
      <x:c r="AN463" s="3"/>
      <x:c r="AO463" s="3"/>
      <x:c r="AP463" s="3"/>
      <x:c r="AQ463" s="3"/>
      <x:c r="AR463" s="3"/>
      <x:c r="AS463" s="3"/>
      <x:c r="AT463" s="3"/>
      <x:c r="AU463" s="3"/>
      <x:c r="AV463" s="3"/>
      <x:c r="AW463" s="3"/>
      <x:c r="AX463" s="3"/>
      <x:c r="AY463" s="3"/>
      <x:c r="AZ463" s="3" t="str">
        <x:f>IF(AND('中古車掲載'!C464="One2car",'中古車掲載'!F464="ATTO 3",'中古車掲載'!L464="EXTENDED RANGE",'中古車掲載'!J464=2023,ISNUMBER('中古車掲載'!N464),'中古車掲載'!N464&gt;=20000,'中古車掲載'!O464&lt;=100000,'中古車掲載'!AL464=1),'中古車掲載'!U464,"")</x:f>
      </x:c>
      <x:c r="BA463" s="3" t="str">
        <x:f>IF(AND('中古車掲載'!C464="One2car",'中古車掲載'!F464="Corolla Cross",'中古車掲載'!L464="HEV PREMIUM SAFETY",'中古車掲載'!J464=2023,ISNUMBER('中古車掲載'!N464),'中古車掲載'!N464&gt;=20000,'中古車掲載'!O464&lt;=100000,'中古車掲載'!AL464=1,'中古車掲載'!Z464="https://www.one2car.com/en/cars-for-sale/toyota/corolla-cross/year-2023"),'中古車掲載'!U464,"")</x:f>
      </x:c>
      <x:c r="BB463" s="3" t="str">
        <x:f>IF(AND('中古車掲載'!C464="One2car",'中古車掲載'!F464="ATTO 3",'中古車掲載'!L464="EXTENDED RANGE",'中古車掲載'!J464=2023,ISNUMBER('中古車掲載'!N464),'中古車掲載'!N464&gt;=50000,'中古車掲載'!O464&lt;=100000,'中古車掲載'!AL464=1),'中古車掲載'!U464,"")</x:f>
      </x:c>
      <x:c r="BC463" s="3" t="str">
        <x:f>IF(AND('中古車掲載'!C464="One2car",'中古車掲載'!F464="Corolla Cross",'中古車掲載'!L464="HEV PREMIUM SAFETY",'中古車掲載'!J464=2023,ISNUMBER('中古車掲載'!N464),'中古車掲載'!N464&gt;=50000,'中古車掲載'!O464&lt;=100000,'中古車掲載'!AL464=1,'中古車掲載'!Z464="https://www.one2car.com/en/cars-for-sale/toyota/corolla-cross/year-2023"),'中古車掲載'!U464,"")</x:f>
      </x:c>
      <x:c r="BD463" s="3" t="str">
        <x:f>IF(AND('中古車掲載'!C464="One2car",'中古車掲載'!F464="ATTO 3",'中古車掲載'!L464="EXTENDED RANGE",'中古車掲載'!J464=2023,ISNUMBER('中古車掲載'!N464),'中古車掲載'!N464&gt;=20000,'中古車掲載'!O464&lt;=50000,'中古車掲載'!AL464=1),'中古車掲載'!U464,"")</x:f>
      </x:c>
      <x:c r="BE463" s="3" t="str">
        <x:f>IF(AND('中古車掲載'!C464="One2car",'中古車掲載'!F464="Corolla Cross",'中古車掲載'!L464="HEV PREMIUM SAFETY",'中古車掲載'!J464=2023,ISNUMBER('中古車掲載'!N464),'中古車掲載'!N464&gt;=20000,'中古車掲載'!O464&lt;=50000,'中古車掲載'!AL464=1,'中古車掲載'!Z464="https://www.one2car.com/en/cars-for-sale/toyota/corolla-cross/year-2023"),'中古車掲載'!U464,"")</x:f>
      </x:c>
      <x:c r="BF463" s="3" t="str">
        <x:f>IF(AND('中古車掲載'!C464="One2car",'中古車掲載'!F464="Corolla Cross",'中古車掲載'!L464="HEV PREMIUM",'中古車掲載'!J464=2023,ISNUMBER('中古車掲載'!N464),'中古車掲載'!N464&gt;=20000,'中古車掲載'!O464&lt;=100000,'中古車掲載'!AL464=1,'中古車掲載'!Z464="https://www.one2car.com/en/cars-for-sale/toyota/corolla-cross/year-2023"),'中古車掲載'!U464,"")</x:f>
      </x:c>
      <x:c r="BG463" s="3" t="str">
        <x:f>IF(AND('中古車掲載'!C464="One2car",'中古車掲載'!F464="Corolla Cross",'中古車掲載'!L464="HEV GR SPORT",'中古車掲載'!J464=2023,ISNUMBER('中古車掲載'!N464),'中古車掲載'!N464&gt;=20000,'中古車掲載'!O464&lt;=100000,'中古車掲載'!AL464=1,'中古車掲載'!Z464="https://www.one2car.com/en/cars-for-sale/toyota/corolla-cross/year-2023"),'中古車掲載'!U464,"")</x:f>
      </x:c>
      <x:c r="BH463" s="3" t="str">
        <x:f>IF(AND('中古車掲載'!C464="One2car",'中古車掲載'!F464="DOLPHIN",'中古車掲載'!L464="STANDARD RANGE",'中古車掲載'!J464=2023,ISNUMBER('中古車掲載'!N464),'中古車掲載'!N464&gt;=20000,'中古車掲載'!O464&lt;=100000,'中古車掲載'!AL464=1),'中古車掲載'!U464,"")</x:f>
      </x:c>
      <x:c r="BI463" s="3" t="str">
        <x:v>Taladrod|DOLPHIN|BEV|Bangkok metro</x:v>
      </x:c>
      <x:c r="BJ463" s="3" t="n">
        <x:v>466</x:v>
      </x:c>
      <x:c r="BK463" s="3" t="n">
        <x:f>'中古車掲載'!AM466</x:f>
        <x:v>349000</x:v>
      </x:c>
      <x:c r="BL463" s="3" t="n">
        <x:f>IF(ISNUMBER('中古車掲載'!AN466),'中古車掲載'!AN466,"")</x:f>
        <x:v>0.4058144253656109</x:v>
      </x:c>
      <x:c r="BM463" s="3"/>
      <x:c r="BN463" s="3"/>
      <x:c r="BO463" s="3"/>
      <x:c r="BP463" s="3"/>
      <x:c r="BQ463" s="3"/>
      <x:c r="BR463" s="3"/>
    </x:row>
    <x:row r="464" ht="22" customHeight="1">
      <x:c r="A464" s="3" t="str">
        <x:v>DOLPHIN</x:v>
      </x:c>
      <x:c r="B464" s="3" t="str">
        <x:v>BEV</x:v>
      </x:c>
      <x:c r="C464" s="3" t="str">
        <x:v>Taladrod</x:v>
      </x:c>
      <x:c r="D464" s="3" t="str">
        <x:v>Hatchback</x:v>
      </x:c>
      <x:c r="E464" s="3" t="str"/>
      <x:c r="F464" s="3" t="n">
        <x:v>2023</x:v>
      </x:c>
      <x:c r="G464" s="3" t="str">
        <x:v>EXTENDED RANGE</x:v>
      </x:c>
      <x:c r="H464" s="3" t="str">
        <x:v>100–150千km</x:v>
      </x:c>
      <x:c r="I464" s="3" t="str">
        <x:v>23-ปัจจุบัน</x:v>
      </x:c>
      <x:c r="J464" s="22" t="n">
        <x:f>COUNT('中古車掲載'!AM464:AM464)</x:f>
        <x:v>1</x:v>
      </x:c>
      <x:c r="K464" s="22" t="n">
        <x:f>IF(COUNT('中古車掲載'!AM464:AM464)=0,"",QUARTILE('中古車掲載'!AM464:AM464,1))</x:f>
        <x:v>339000</x:v>
      </x:c>
      <x:c r="L464" s="22" t="n">
        <x:f>IF(COUNT('中古車掲載'!AM464:AM464)=0,"",MEDIAN('中古車掲載'!AM464:AM464))</x:f>
        <x:v>339000</x:v>
      </x:c>
      <x:c r="M464" s="22" t="n">
        <x:f>IF(COUNT('中古車掲載'!AM464:AM464)=0,"",QUARTILE('中古車掲載'!AM464:AM464,3))</x:f>
        <x:v>339000</x:v>
      </x:c>
      <x:c r="N464" s="22" t="n">
        <x:f>COUNT('中古車掲載'!AN464:AN464)</x:f>
        <x:v>1</x:v>
      </x:c>
      <x:c r="O464" s="23" t="n">
        <x:f>IF(COUNT('中古車掲載'!AN464:AN464)=0,"",MEDIAN('中古車掲載'!AN464:AN464))</x:f>
        <x:v>0.3941865048680289</x:v>
      </x:c>
      <x:c r="P464" s="3"/>
      <x:c r="Q464" s="3"/>
      <x:c r="R464" s="3"/>
      <x:c r="S464" s="3"/>
      <x:c r="T464" s="3"/>
      <x:c r="U464" s="3"/>
      <x:c r="V464" s="3"/>
      <x:c r="W464" s="3"/>
      <x:c r="X464" s="3"/>
      <x:c r="Y464" s="3"/>
      <x:c r="Z464" s="3"/>
      <x:c r="AA464" s="3"/>
      <x:c r="AB464" s="3"/>
      <x:c r="AC464" s="3"/>
      <x:c r="AD464" s="3"/>
      <x:c r="AE464" s="3"/>
      <x:c r="AF464" s="3"/>
      <x:c r="AG464" s="3"/>
      <x:c r="AH464" s="3"/>
      <x:c r="AI464" s="3"/>
      <x:c r="AJ464" s="3"/>
      <x:c r="AK464" s="3"/>
      <x:c r="AL464" s="3"/>
      <x:c r="AM464" s="3"/>
      <x:c r="AN464" s="3"/>
      <x:c r="AO464" s="3"/>
      <x:c r="AP464" s="3"/>
      <x:c r="AQ464" s="3"/>
      <x:c r="AR464" s="3"/>
      <x:c r="AS464" s="3"/>
      <x:c r="AT464" s="3"/>
      <x:c r="AU464" s="3"/>
      <x:c r="AV464" s="3"/>
      <x:c r="AW464" s="3"/>
      <x:c r="AX464" s="3"/>
      <x:c r="AY464" s="3"/>
      <x:c r="AZ464" s="3" t="str">
        <x:f>IF(AND('中古車掲載'!C465="One2car",'中古車掲載'!F465="ATTO 3",'中古車掲載'!L465="EXTENDED RANGE",'中古車掲載'!J465=2023,ISNUMBER('中古車掲載'!N465),'中古車掲載'!N465&gt;=20000,'中古車掲載'!O465&lt;=100000,'中古車掲載'!AL465=1),'中古車掲載'!U465,"")</x:f>
      </x:c>
      <x:c r="BA464" s="3" t="str">
        <x:f>IF(AND('中古車掲載'!C465="One2car",'中古車掲載'!F465="Corolla Cross",'中古車掲載'!L465="HEV PREMIUM SAFETY",'中古車掲載'!J465=2023,ISNUMBER('中古車掲載'!N465),'中古車掲載'!N465&gt;=20000,'中古車掲載'!O465&lt;=100000,'中古車掲載'!AL465=1,'中古車掲載'!Z465="https://www.one2car.com/en/cars-for-sale/toyota/corolla-cross/year-2023"),'中古車掲載'!U465,"")</x:f>
      </x:c>
      <x:c r="BB464" s="3" t="str">
        <x:f>IF(AND('中古車掲載'!C465="One2car",'中古車掲載'!F465="ATTO 3",'中古車掲載'!L465="EXTENDED RANGE",'中古車掲載'!J465=2023,ISNUMBER('中古車掲載'!N465),'中古車掲載'!N465&gt;=50000,'中古車掲載'!O465&lt;=100000,'中古車掲載'!AL465=1),'中古車掲載'!U465,"")</x:f>
      </x:c>
      <x:c r="BC464" s="3" t="str">
        <x:f>IF(AND('中古車掲載'!C465="One2car",'中古車掲載'!F465="Corolla Cross",'中古車掲載'!L465="HEV PREMIUM SAFETY",'中古車掲載'!J465=2023,ISNUMBER('中古車掲載'!N465),'中古車掲載'!N465&gt;=50000,'中古車掲載'!O465&lt;=100000,'中古車掲載'!AL465=1,'中古車掲載'!Z465="https://www.one2car.com/en/cars-for-sale/toyota/corolla-cross/year-2023"),'中古車掲載'!U465,"")</x:f>
      </x:c>
      <x:c r="BD464" s="3" t="str">
        <x:f>IF(AND('中古車掲載'!C465="One2car",'中古車掲載'!F465="ATTO 3",'中古車掲載'!L465="EXTENDED RANGE",'中古車掲載'!J465=2023,ISNUMBER('中古車掲載'!N465),'中古車掲載'!N465&gt;=20000,'中古車掲載'!O465&lt;=50000,'中古車掲載'!AL465=1),'中古車掲載'!U465,"")</x:f>
      </x:c>
      <x:c r="BE464" s="3" t="str">
        <x:f>IF(AND('中古車掲載'!C465="One2car",'中古車掲載'!F465="Corolla Cross",'中古車掲載'!L465="HEV PREMIUM SAFETY",'中古車掲載'!J465=2023,ISNUMBER('中古車掲載'!N465),'中古車掲載'!N465&gt;=20000,'中古車掲載'!O465&lt;=50000,'中古車掲載'!AL465=1,'中古車掲載'!Z465="https://www.one2car.com/en/cars-for-sale/toyota/corolla-cross/year-2023"),'中古車掲載'!U465,"")</x:f>
      </x:c>
      <x:c r="BF464" s="3" t="str">
        <x:f>IF(AND('中古車掲載'!C465="One2car",'中古車掲載'!F465="Corolla Cross",'中古車掲載'!L465="HEV PREMIUM",'中古車掲載'!J465=2023,ISNUMBER('中古車掲載'!N465),'中古車掲載'!N465&gt;=20000,'中古車掲載'!O465&lt;=100000,'中古車掲載'!AL465=1,'中古車掲載'!Z465="https://www.one2car.com/en/cars-for-sale/toyota/corolla-cross/year-2023"),'中古車掲載'!U465,"")</x:f>
      </x:c>
      <x:c r="BG464" s="3" t="str">
        <x:f>IF(AND('中古車掲載'!C465="One2car",'中古車掲載'!F465="Corolla Cross",'中古車掲載'!L465="HEV GR SPORT",'中古車掲載'!J465=2023,ISNUMBER('中古車掲載'!N465),'中古車掲載'!N465&gt;=20000,'中古車掲載'!O465&lt;=100000,'中古車掲載'!AL465=1,'中古車掲載'!Z465="https://www.one2car.com/en/cars-for-sale/toyota/corolla-cross/year-2023"),'中古車掲載'!U465,"")</x:f>
      </x:c>
      <x:c r="BH464" s="3" t="str">
        <x:f>IF(AND('中古車掲載'!C465="One2car",'中古車掲載'!F465="DOLPHIN",'中古車掲載'!L465="STANDARD RANGE",'中古車掲載'!J465=2023,ISNUMBER('中古車掲載'!N465),'中古車掲載'!N465&gt;=20000,'中古車掲載'!O465&lt;=100000,'中古車掲載'!AL465=1),'中古車掲載'!U465,"")</x:f>
      </x:c>
      <x:c r="BI464" s="3" t="str">
        <x:v>Taladrod|DOLPHIN|BEV|Unknown</x:v>
      </x:c>
      <x:c r="BJ464" s="3" t="n">
        <x:v>464</x:v>
      </x:c>
      <x:c r="BK464" s="3" t="n">
        <x:f>'中古車掲載'!AM464</x:f>
        <x:v>339000</x:v>
      </x:c>
      <x:c r="BL464" s="3" t="n">
        <x:f>IF(ISNUMBER('中古車掲載'!AN464),'中古車掲載'!AN464,"")</x:f>
        <x:v>0.3941865048680289</x:v>
      </x:c>
      <x:c r="BM464" s="3"/>
      <x:c r="BN464" s="3"/>
      <x:c r="BO464" s="3"/>
      <x:c r="BP464" s="3"/>
      <x:c r="BQ464" s="3"/>
      <x:c r="BR464" s="3"/>
    </x:row>
    <x:row r="465" ht="22" customHeight="1">
      <x:c r="A465" s="3" t="str">
        <x:v>DOLPHIN</x:v>
      </x:c>
      <x:c r="B465" s="3" t="str">
        <x:v>BEV</x:v>
      </x:c>
      <x:c r="C465" s="3" t="str">
        <x:v>Taladrod</x:v>
      </x:c>
      <x:c r="D465" s="3" t="str">
        <x:v>Hatchback</x:v>
      </x:c>
      <x:c r="E465" s="3" t="str"/>
      <x:c r="F465" s="3" t="n">
        <x:v>2023</x:v>
      </x:c>
      <x:c r="G465" s="3" t="str">
        <x:v>EXTENDED RANGE</x:v>
      </x:c>
      <x:c r="H465" s="3" t="str">
        <x:v>20–50千km</x:v>
      </x:c>
      <x:c r="I465" s="3" t="str">
        <x:v>23-ปัจจุบัน</x:v>
      </x:c>
      <x:c r="J465" s="22" t="n">
        <x:f>COUNT('中古車掲載'!AM465:AM465)</x:f>
        <x:v>1</x:v>
      </x:c>
      <x:c r="K465" s="22" t="n">
        <x:f>IF(COUNT('中古車掲載'!AM465:AM465)=0,"",QUARTILE('中古車掲載'!AM465:AM465,1))</x:f>
        <x:v>338000</x:v>
      </x:c>
      <x:c r="L465" s="22" t="n">
        <x:f>IF(COUNT('中古車掲載'!AM465:AM465)=0,"",MEDIAN('中古車掲載'!AM465:AM465))</x:f>
        <x:v>338000</x:v>
      </x:c>
      <x:c r="M465" s="22" t="n">
        <x:f>IF(COUNT('中古車掲載'!AM465:AM465)=0,"",QUARTILE('中古車掲載'!AM465:AM465,3))</x:f>
        <x:v>338000</x:v>
      </x:c>
      <x:c r="N465" s="22" t="n">
        <x:f>COUNT('中古車掲載'!AN465:AN465)</x:f>
        <x:v>1</x:v>
      </x:c>
      <x:c r="O465" s="23" t="n">
        <x:f>IF(COUNT('中古車掲載'!AN465:AN465)=0,"",MEDIAN('中古車掲載'!AN465:AN465))</x:f>
        <x:v>0.3930237128182707</x:v>
      </x:c>
      <x:c r="P465" s="3"/>
      <x:c r="Q465" s="3"/>
      <x:c r="R465" s="3"/>
      <x:c r="S465" s="3"/>
      <x:c r="T465" s="3"/>
      <x:c r="U465" s="3"/>
      <x:c r="V465" s="3"/>
      <x:c r="W465" s="3"/>
      <x:c r="X465" s="3"/>
      <x:c r="Y465" s="3"/>
      <x:c r="Z465" s="3"/>
      <x:c r="AA465" s="3"/>
      <x:c r="AB465" s="3"/>
      <x:c r="AC465" s="3"/>
      <x:c r="AD465" s="3"/>
      <x:c r="AE465" s="3"/>
      <x:c r="AF465" s="3"/>
      <x:c r="AG465" s="3"/>
      <x:c r="AH465" s="3"/>
      <x:c r="AI465" s="3"/>
      <x:c r="AJ465" s="3"/>
      <x:c r="AK465" s="3"/>
      <x:c r="AL465" s="3"/>
      <x:c r="AM465" s="3"/>
      <x:c r="AN465" s="3"/>
      <x:c r="AO465" s="3"/>
      <x:c r="AP465" s="3"/>
      <x:c r="AQ465" s="3"/>
      <x:c r="AR465" s="3"/>
      <x:c r="AS465" s="3"/>
      <x:c r="AT465" s="3"/>
      <x:c r="AU465" s="3"/>
      <x:c r="AV465" s="3"/>
      <x:c r="AW465" s="3"/>
      <x:c r="AX465" s="3"/>
      <x:c r="AY465" s="3"/>
      <x:c r="AZ465" s="3" t="str">
        <x:f>IF(AND('中古車掲載'!C466="One2car",'中古車掲載'!F466="ATTO 3",'中古車掲載'!L466="EXTENDED RANGE",'中古車掲載'!J466=2023,ISNUMBER('中古車掲載'!N466),'中古車掲載'!N466&gt;=20000,'中古車掲載'!O466&lt;=100000,'中古車掲載'!AL466=1),'中古車掲載'!U466,"")</x:f>
      </x:c>
      <x:c r="BA465" s="3" t="str">
        <x:f>IF(AND('中古車掲載'!C466="One2car",'中古車掲載'!F466="Corolla Cross",'中古車掲載'!L466="HEV PREMIUM SAFETY",'中古車掲載'!J466=2023,ISNUMBER('中古車掲載'!N466),'中古車掲載'!N466&gt;=20000,'中古車掲載'!O466&lt;=100000,'中古車掲載'!AL466=1,'中古車掲載'!Z466="https://www.one2car.com/en/cars-for-sale/toyota/corolla-cross/year-2023"),'中古車掲載'!U466,"")</x:f>
      </x:c>
      <x:c r="BB465" s="3" t="str">
        <x:f>IF(AND('中古車掲載'!C466="One2car",'中古車掲載'!F466="ATTO 3",'中古車掲載'!L466="EXTENDED RANGE",'中古車掲載'!J466=2023,ISNUMBER('中古車掲載'!N466),'中古車掲載'!N466&gt;=50000,'中古車掲載'!O466&lt;=100000,'中古車掲載'!AL466=1),'中古車掲載'!U466,"")</x:f>
      </x:c>
      <x:c r="BC465" s="3" t="str">
        <x:f>IF(AND('中古車掲載'!C466="One2car",'中古車掲載'!F466="Corolla Cross",'中古車掲載'!L466="HEV PREMIUM SAFETY",'中古車掲載'!J466=2023,ISNUMBER('中古車掲載'!N466),'中古車掲載'!N466&gt;=50000,'中古車掲載'!O466&lt;=100000,'中古車掲載'!AL466=1,'中古車掲載'!Z466="https://www.one2car.com/en/cars-for-sale/toyota/corolla-cross/year-2023"),'中古車掲載'!U466,"")</x:f>
      </x:c>
      <x:c r="BD465" s="3" t="str">
        <x:f>IF(AND('中古車掲載'!C466="One2car",'中古車掲載'!F466="ATTO 3",'中古車掲載'!L466="EXTENDED RANGE",'中古車掲載'!J466=2023,ISNUMBER('中古車掲載'!N466),'中古車掲載'!N466&gt;=20000,'中古車掲載'!O466&lt;=50000,'中古車掲載'!AL466=1),'中古車掲載'!U466,"")</x:f>
      </x:c>
      <x:c r="BE465" s="3" t="str">
        <x:f>IF(AND('中古車掲載'!C466="One2car",'中古車掲載'!F466="Corolla Cross",'中古車掲載'!L466="HEV PREMIUM SAFETY",'中古車掲載'!J466=2023,ISNUMBER('中古車掲載'!N466),'中古車掲載'!N466&gt;=20000,'中古車掲載'!O466&lt;=50000,'中古車掲載'!AL466=1,'中古車掲載'!Z466="https://www.one2car.com/en/cars-for-sale/toyota/corolla-cross/year-2023"),'中古車掲載'!U466,"")</x:f>
      </x:c>
      <x:c r="BF465" s="3" t="str">
        <x:f>IF(AND('中古車掲載'!C466="One2car",'中古車掲載'!F466="Corolla Cross",'中古車掲載'!L466="HEV PREMIUM",'中古車掲載'!J466=2023,ISNUMBER('中古車掲載'!N466),'中古車掲載'!N466&gt;=20000,'中古車掲載'!O466&lt;=100000,'中古車掲載'!AL466=1,'中古車掲載'!Z466="https://www.one2car.com/en/cars-for-sale/toyota/corolla-cross/year-2023"),'中古車掲載'!U466,"")</x:f>
      </x:c>
      <x:c r="BG465" s="3" t="str">
        <x:f>IF(AND('中古車掲載'!C466="One2car",'中古車掲載'!F466="Corolla Cross",'中古車掲載'!L466="HEV GR SPORT",'中古車掲載'!J466=2023,ISNUMBER('中古車掲載'!N466),'中古車掲載'!N466&gt;=20000,'中古車掲載'!O466&lt;=100000,'中古車掲載'!AL466=1,'中古車掲載'!Z466="https://www.one2car.com/en/cars-for-sale/toyota/corolla-cross/year-2023"),'中古車掲載'!U466,"")</x:f>
      </x:c>
      <x:c r="BH465" s="3" t="str">
        <x:f>IF(AND('中古車掲載'!C466="One2car",'中古車掲載'!F466="DOLPHIN",'中古車掲載'!L466="STANDARD RANGE",'中古車掲載'!J466=2023,ISNUMBER('中古車掲載'!N466),'中古車掲載'!N466&gt;=20000,'中古車掲載'!O466&lt;=100000,'中古車掲載'!AL466=1),'中古車掲載'!U466,"")</x:f>
      </x:c>
      <x:c r="BI465" s="3" t="str">
        <x:v>Taladrod|DOLPHIN|BEV|Unknown</x:v>
      </x:c>
      <x:c r="BJ465" s="3" t="n">
        <x:v>465</x:v>
      </x:c>
      <x:c r="BK465" s="3" t="n">
        <x:f>'中古車掲載'!AM465</x:f>
        <x:v>338000</x:v>
      </x:c>
      <x:c r="BL465" s="3" t="n">
        <x:f>IF(ISNUMBER('中古車掲載'!AN465),'中古車掲載'!AN465,"")</x:f>
        <x:v>0.3930237128182707</x:v>
      </x:c>
      <x:c r="BM465" s="3"/>
      <x:c r="BN465" s="3"/>
      <x:c r="BO465" s="3"/>
      <x:c r="BP465" s="3"/>
      <x:c r="BQ465" s="3"/>
      <x:c r="BR465" s="3"/>
    </x:row>
    <x:row r="466" ht="22" customHeight="1">
      <x:c r="A466" s="3" t="str">
        <x:v>DOLPHIN</x:v>
      </x:c>
      <x:c r="B466" s="3" t="str">
        <x:v>BEV</x:v>
      </x:c>
      <x:c r="C466" s="3" t="str">
        <x:v>Taladrod</x:v>
      </x:c>
      <x:c r="D466" s="3" t="str">
        <x:v>Hatchback</x:v>
      </x:c>
      <x:c r="E466" s="3" t="str"/>
      <x:c r="F466" s="3" t="n">
        <x:v>2023</x:v>
      </x:c>
      <x:c r="G466" s="3" t="str">
        <x:v>EXTENDED RANGE</x:v>
      </x:c>
      <x:c r="H466" s="3" t="str">
        <x:v>50–100千km</x:v>
      </x:c>
      <x:c r="I466" s="3" t="str">
        <x:v>23-ปัจจุบัน</x:v>
      </x:c>
      <x:c r="J466" s="22" t="n">
        <x:f>COUNT('中古車掲載'!AM466:AM466)</x:f>
        <x:v>1</x:v>
      </x:c>
      <x:c r="K466" s="22" t="n">
        <x:f>IF(COUNT('中古車掲載'!AM466:AM466)=0,"",QUARTILE('中古車掲載'!AM466:AM466,1))</x:f>
        <x:v>349000</x:v>
      </x:c>
      <x:c r="L466" s="22" t="n">
        <x:f>IF(COUNT('中古車掲載'!AM466:AM466)=0,"",MEDIAN('中古車掲載'!AM466:AM466))</x:f>
        <x:v>349000</x:v>
      </x:c>
      <x:c r="M466" s="22" t="n">
        <x:f>IF(COUNT('中古車掲載'!AM466:AM466)=0,"",QUARTILE('中古車掲載'!AM466:AM466,3))</x:f>
        <x:v>349000</x:v>
      </x:c>
      <x:c r="N466" s="22" t="n">
        <x:f>COUNT('中古車掲載'!AN466:AN466)</x:f>
        <x:v>1</x:v>
      </x:c>
      <x:c r="O466" s="23" t="n">
        <x:f>IF(COUNT('中古車掲載'!AN466:AN466)=0,"",MEDIAN('中古車掲載'!AN466:AN466))</x:f>
        <x:v>0.4058144253656109</x:v>
      </x:c>
      <x:c r="P466" s="3"/>
      <x:c r="Q466" s="3"/>
      <x:c r="R466" s="3"/>
      <x:c r="S466" s="3"/>
      <x:c r="T466" s="3"/>
      <x:c r="U466" s="3"/>
      <x:c r="V466" s="3"/>
      <x:c r="W466" s="3"/>
      <x:c r="X466" s="3"/>
      <x:c r="Y466" s="3"/>
      <x:c r="Z466" s="3"/>
      <x:c r="AA466" s="3"/>
      <x:c r="AB466" s="3"/>
      <x:c r="AC466" s="3"/>
      <x:c r="AD466" s="3"/>
      <x:c r="AE466" s="3"/>
      <x:c r="AF466" s="3"/>
      <x:c r="AG466" s="3"/>
      <x:c r="AH466" s="3"/>
      <x:c r="AI466" s="3"/>
      <x:c r="AJ466" s="3"/>
      <x:c r="AK466" s="3"/>
      <x:c r="AL466" s="3"/>
      <x:c r="AM466" s="3"/>
      <x:c r="AN466" s="3"/>
      <x:c r="AO466" s="3"/>
      <x:c r="AP466" s="3"/>
      <x:c r="AQ466" s="3"/>
      <x:c r="AR466" s="3"/>
      <x:c r="AS466" s="3"/>
      <x:c r="AT466" s="3"/>
      <x:c r="AU466" s="3"/>
      <x:c r="AV466" s="3"/>
      <x:c r="AW466" s="3"/>
      <x:c r="AX466" s="3"/>
      <x:c r="AY466" s="3"/>
      <x:c r="AZ466" s="3" t="str">
        <x:f>IF(AND('中古車掲載'!C467="One2car",'中古車掲載'!F467="ATTO 3",'中古車掲載'!L467="EXTENDED RANGE",'中古車掲載'!J467=2023,ISNUMBER('中古車掲載'!N467),'中古車掲載'!N467&gt;=20000,'中古車掲載'!O467&lt;=100000,'中古車掲載'!AL467=1),'中古車掲載'!U467,"")</x:f>
      </x:c>
      <x:c r="BA466" s="3" t="str">
        <x:f>IF(AND('中古車掲載'!C467="One2car",'中古車掲載'!F467="Corolla Cross",'中古車掲載'!L467="HEV PREMIUM SAFETY",'中古車掲載'!J467=2023,ISNUMBER('中古車掲載'!N467),'中古車掲載'!N467&gt;=20000,'中古車掲載'!O467&lt;=100000,'中古車掲載'!AL467=1,'中古車掲載'!Z467="https://www.one2car.com/en/cars-for-sale/toyota/corolla-cross/year-2023"),'中古車掲載'!U467,"")</x:f>
      </x:c>
      <x:c r="BB466" s="3" t="str">
        <x:f>IF(AND('中古車掲載'!C467="One2car",'中古車掲載'!F467="ATTO 3",'中古車掲載'!L467="EXTENDED RANGE",'中古車掲載'!J467=2023,ISNUMBER('中古車掲載'!N467),'中古車掲載'!N467&gt;=50000,'中古車掲載'!O467&lt;=100000,'中古車掲載'!AL467=1),'中古車掲載'!U467,"")</x:f>
      </x:c>
      <x:c r="BC466" s="3" t="str">
        <x:f>IF(AND('中古車掲載'!C467="One2car",'中古車掲載'!F467="Corolla Cross",'中古車掲載'!L467="HEV PREMIUM SAFETY",'中古車掲載'!J467=2023,ISNUMBER('中古車掲載'!N467),'中古車掲載'!N467&gt;=50000,'中古車掲載'!O467&lt;=100000,'中古車掲載'!AL467=1,'中古車掲載'!Z467="https://www.one2car.com/en/cars-for-sale/toyota/corolla-cross/year-2023"),'中古車掲載'!U467,"")</x:f>
      </x:c>
      <x:c r="BD466" s="3" t="str">
        <x:f>IF(AND('中古車掲載'!C467="One2car",'中古車掲載'!F467="ATTO 3",'中古車掲載'!L467="EXTENDED RANGE",'中古車掲載'!J467=2023,ISNUMBER('中古車掲載'!N467),'中古車掲載'!N467&gt;=20000,'中古車掲載'!O467&lt;=50000,'中古車掲載'!AL467=1),'中古車掲載'!U467,"")</x:f>
      </x:c>
      <x:c r="BE466" s="3" t="str">
        <x:f>IF(AND('中古車掲載'!C467="One2car",'中古車掲載'!F467="Corolla Cross",'中古車掲載'!L467="HEV PREMIUM SAFETY",'中古車掲載'!J467=2023,ISNUMBER('中古車掲載'!N467),'中古車掲載'!N467&gt;=20000,'中古車掲載'!O467&lt;=50000,'中古車掲載'!AL467=1,'中古車掲載'!Z467="https://www.one2car.com/en/cars-for-sale/toyota/corolla-cross/year-2023"),'中古車掲載'!U467,"")</x:f>
      </x:c>
      <x:c r="BF466" s="3" t="str">
        <x:f>IF(AND('中古車掲載'!C467="One2car",'中古車掲載'!F467="Corolla Cross",'中古車掲載'!L467="HEV PREMIUM",'中古車掲載'!J467=2023,ISNUMBER('中古車掲載'!N467),'中古車掲載'!N467&gt;=20000,'中古車掲載'!O467&lt;=100000,'中古車掲載'!AL467=1,'中古車掲載'!Z467="https://www.one2car.com/en/cars-for-sale/toyota/corolla-cross/year-2023"),'中古車掲載'!U467,"")</x:f>
      </x:c>
      <x:c r="BG466" s="3" t="str">
        <x:f>IF(AND('中古車掲載'!C467="One2car",'中古車掲載'!F467="Corolla Cross",'中古車掲載'!L467="HEV GR SPORT",'中古車掲載'!J467=2023,ISNUMBER('中古車掲載'!N467),'中古車掲載'!N467&gt;=20000,'中古車掲載'!O467&lt;=100000,'中古車掲載'!AL467=1,'中古車掲載'!Z467="https://www.one2car.com/en/cars-for-sale/toyota/corolla-cross/year-2023"),'中古車掲載'!U467,"")</x:f>
      </x:c>
      <x:c r="BH466" s="3" t="str">
        <x:f>IF(AND('中古車掲載'!C467="One2car",'中古車掲載'!F467="DOLPHIN",'中古車掲載'!L467="STANDARD RANGE",'中古車掲載'!J467=2023,ISNUMBER('中古車掲載'!N467),'中古車掲載'!N467&gt;=20000,'中古車掲載'!O467&lt;=100000,'中古車掲載'!AL467=1),'中古車掲載'!U467,"")</x:f>
      </x:c>
      <x:c r="BI466" s="3" t="str">
        <x:v>Taladrod|DOLPHIN|BEV|Unknown</x:v>
      </x:c>
      <x:c r="BJ466" s="3" t="n">
        <x:v>467</x:v>
      </x:c>
      <x:c r="BK466" s="3" t="n">
        <x:f>'中古車掲載'!AM467</x:f>
        <x:v>330000</x:v>
      </x:c>
      <x:c r="BL466" s="3" t="n">
        <x:f>IF(ISNUMBER('中古車掲載'!AN467),'中古車掲載'!AN467,"")</x:f>
        <x:v>0.4714292448989213</x:v>
      </x:c>
      <x:c r="BM466" s="3"/>
      <x:c r="BN466" s="3"/>
      <x:c r="BO466" s="3"/>
      <x:c r="BP466" s="3"/>
      <x:c r="BQ466" s="3"/>
      <x:c r="BR466" s="3"/>
    </x:row>
    <x:row r="467" ht="22" customHeight="1">
      <x:c r="A467" s="3" t="str">
        <x:v>DOLPHIN</x:v>
      </x:c>
      <x:c r="B467" s="3" t="str">
        <x:v>BEV</x:v>
      </x:c>
      <x:c r="C467" s="3" t="str">
        <x:v>Taladrod</x:v>
      </x:c>
      <x:c r="D467" s="3" t="str">
        <x:v>Hatchback</x:v>
      </x:c>
      <x:c r="E467" s="3" t="str"/>
      <x:c r="F467" s="3" t="n">
        <x:v>2023</x:v>
      </x:c>
      <x:c r="G467" s="3" t="str">
        <x:v>STANDARD RANGE</x:v>
      </x:c>
      <x:c r="H467" s="3" t="str">
        <x:v>未掲載</x:v>
      </x:c>
      <x:c r="I467" s="3" t="str">
        <x:v>23-ปัจจุบัน</x:v>
      </x:c>
      <x:c r="J467" s="22" t="n">
        <x:f>COUNT('中古車掲載'!AM467:AM475)</x:f>
        <x:v>9</x:v>
      </x:c>
      <x:c r="K467" s="22" t="n">
        <x:f>IF(COUNT('中古車掲載'!AM467:AM475)=0,"",QUARTILE('中古車掲載'!AM467:AM475,1))</x:f>
        <x:v>319000</x:v>
      </x:c>
      <x:c r="L467" s="22" t="n">
        <x:f>IF(COUNT('中古車掲載'!AM467:AM475)=0,"",MEDIAN('中古車掲載'!AM467:AM475))</x:f>
        <x:v>339000</x:v>
      </x:c>
      <x:c r="M467" s="22" t="n">
        <x:f>IF(COUNT('中古車掲載'!AM467:AM475)=0,"",QUARTILE('中古車掲載'!AM467:AM475,3))</x:f>
        <x:v>359000</x:v>
      </x:c>
      <x:c r="N467" s="22" t="n">
        <x:f>COUNT('中古車掲載'!AN467:AN475)</x:f>
        <x:v>9</x:v>
      </x:c>
      <x:c r="O467" s="23" t="n">
        <x:f>IF(COUNT('中古車掲載'!AN467:AN475)=0,"",MEDIAN('中古車掲載'!AN467:AN475))</x:f>
        <x:v>0.4842864061234373</x:v>
      </x:c>
      <x:c r="P467" s="3"/>
      <x:c r="Q467" s="3"/>
      <x:c r="R467" s="3"/>
      <x:c r="S467" s="3"/>
      <x:c r="T467" s="3"/>
      <x:c r="U467" s="3"/>
      <x:c r="V467" s="3"/>
      <x:c r="W467" s="3"/>
      <x:c r="X467" s="3"/>
      <x:c r="Y467" s="3"/>
      <x:c r="Z467" s="3"/>
      <x:c r="AA467" s="3"/>
      <x:c r="AB467" s="3"/>
      <x:c r="AC467" s="3"/>
      <x:c r="AD467" s="3"/>
      <x:c r="AE467" s="3"/>
      <x:c r="AF467" s="3"/>
      <x:c r="AG467" s="3"/>
      <x:c r="AH467" s="3"/>
      <x:c r="AI467" s="3"/>
      <x:c r="AJ467" s="3"/>
      <x:c r="AK467" s="3"/>
      <x:c r="AL467" s="3"/>
      <x:c r="AM467" s="3"/>
      <x:c r="AN467" s="3"/>
      <x:c r="AO467" s="3"/>
      <x:c r="AP467" s="3"/>
      <x:c r="AQ467" s="3"/>
      <x:c r="AR467" s="3"/>
      <x:c r="AS467" s="3"/>
      <x:c r="AT467" s="3"/>
      <x:c r="AU467" s="3"/>
      <x:c r="AV467" s="3"/>
      <x:c r="AW467" s="3"/>
      <x:c r="AX467" s="3"/>
      <x:c r="AY467" s="3"/>
      <x:c r="AZ467" s="3" t="str">
        <x:f>IF(AND('中古車掲載'!C468="One2car",'中古車掲載'!F468="ATTO 3",'中古車掲載'!L468="EXTENDED RANGE",'中古車掲載'!J468=2023,ISNUMBER('中古車掲載'!N468),'中古車掲載'!N468&gt;=20000,'中古車掲載'!O468&lt;=100000,'中古車掲載'!AL468=1),'中古車掲載'!U468,"")</x:f>
      </x:c>
      <x:c r="BA467" s="3" t="str">
        <x:f>IF(AND('中古車掲載'!C468="One2car",'中古車掲載'!F468="Corolla Cross",'中古車掲載'!L468="HEV PREMIUM SAFETY",'中古車掲載'!J468=2023,ISNUMBER('中古車掲載'!N468),'中古車掲載'!N468&gt;=20000,'中古車掲載'!O468&lt;=100000,'中古車掲載'!AL468=1,'中古車掲載'!Z468="https://www.one2car.com/en/cars-for-sale/toyota/corolla-cross/year-2023"),'中古車掲載'!U468,"")</x:f>
      </x:c>
      <x:c r="BB467" s="3" t="str">
        <x:f>IF(AND('中古車掲載'!C468="One2car",'中古車掲載'!F468="ATTO 3",'中古車掲載'!L468="EXTENDED RANGE",'中古車掲載'!J468=2023,ISNUMBER('中古車掲載'!N468),'中古車掲載'!N468&gt;=50000,'中古車掲載'!O468&lt;=100000,'中古車掲載'!AL468=1),'中古車掲載'!U468,"")</x:f>
      </x:c>
      <x:c r="BC467" s="3" t="str">
        <x:f>IF(AND('中古車掲載'!C468="One2car",'中古車掲載'!F468="Corolla Cross",'中古車掲載'!L468="HEV PREMIUM SAFETY",'中古車掲載'!J468=2023,ISNUMBER('中古車掲載'!N468),'中古車掲載'!N468&gt;=50000,'中古車掲載'!O468&lt;=100000,'中古車掲載'!AL468=1,'中古車掲載'!Z468="https://www.one2car.com/en/cars-for-sale/toyota/corolla-cross/year-2023"),'中古車掲載'!U468,"")</x:f>
      </x:c>
      <x:c r="BD467" s="3" t="str">
        <x:f>IF(AND('中古車掲載'!C468="One2car",'中古車掲載'!F468="ATTO 3",'中古車掲載'!L468="EXTENDED RANGE",'中古車掲載'!J468=2023,ISNUMBER('中古車掲載'!N468),'中古車掲載'!N468&gt;=20000,'中古車掲載'!O468&lt;=50000,'中古車掲載'!AL468=1),'中古車掲載'!U468,"")</x:f>
      </x:c>
      <x:c r="BE467" s="3" t="str">
        <x:f>IF(AND('中古車掲載'!C468="One2car",'中古車掲載'!F468="Corolla Cross",'中古車掲載'!L468="HEV PREMIUM SAFETY",'中古車掲載'!J468=2023,ISNUMBER('中古車掲載'!N468),'中古車掲載'!N468&gt;=20000,'中古車掲載'!O468&lt;=50000,'中古車掲載'!AL468=1,'中古車掲載'!Z468="https://www.one2car.com/en/cars-for-sale/toyota/corolla-cross/year-2023"),'中古車掲載'!U468,"")</x:f>
      </x:c>
      <x:c r="BF467" s="3" t="str">
        <x:f>IF(AND('中古車掲載'!C468="One2car",'中古車掲載'!F468="Corolla Cross",'中古車掲載'!L468="HEV PREMIUM",'中古車掲載'!J468=2023,ISNUMBER('中古車掲載'!N468),'中古車掲載'!N468&gt;=20000,'中古車掲載'!O468&lt;=100000,'中古車掲載'!AL468=1,'中古車掲載'!Z468="https://www.one2car.com/en/cars-for-sale/toyota/corolla-cross/year-2023"),'中古車掲載'!U468,"")</x:f>
      </x:c>
      <x:c r="BG467" s="3" t="str">
        <x:f>IF(AND('中古車掲載'!C468="One2car",'中古車掲載'!F468="Corolla Cross",'中古車掲載'!L468="HEV GR SPORT",'中古車掲載'!J468=2023,ISNUMBER('中古車掲載'!N468),'中古車掲載'!N468&gt;=20000,'中古車掲載'!O468&lt;=100000,'中古車掲載'!AL468=1,'中古車掲載'!Z468="https://www.one2car.com/en/cars-for-sale/toyota/corolla-cross/year-2023"),'中古車掲載'!U468,"")</x:f>
      </x:c>
      <x:c r="BH467" s="3" t="str">
        <x:f>IF(AND('中古車掲載'!C468="One2car",'中古車掲載'!F468="DOLPHIN",'中古車掲載'!L468="STANDARD RANGE",'中古車掲載'!J468=2023,ISNUMBER('中古車掲載'!N468),'中古車掲載'!N468&gt;=20000,'中古車掲載'!O468&lt;=100000,'中古車掲載'!AL468=1),'中古車掲載'!U468,"")</x:f>
      </x:c>
      <x:c r="BI467" s="3" t="str">
        <x:v>Taladrod|DOLPHIN|BEV|Unknown</x:v>
      </x:c>
      <x:c r="BJ467" s="3" t="n">
        <x:v>468</x:v>
      </x:c>
      <x:c r="BK467" s="3" t="n">
        <x:f>'中古車掲載'!AM468</x:f>
        <x:v>399000</x:v>
      </x:c>
      <x:c r="BL467" s="3" t="n">
        <x:f>IF(ISNUMBER('中古車掲載'!AN468),'中古車掲載'!AN468,"")</x:f>
        <x:v>0.5700008142868775</x:v>
      </x:c>
      <x:c r="BM467" s="3"/>
      <x:c r="BN467" s="3"/>
      <x:c r="BO467" s="3"/>
      <x:c r="BP467" s="3"/>
      <x:c r="BQ467" s="3"/>
      <x:c r="BR467" s="3"/>
    </x:row>
    <x:row r="468" ht="22" customHeight="1">
      <x:c r="A468" s="3" t="str">
        <x:v>DOLPHIN</x:v>
      </x:c>
      <x:c r="B468" s="3" t="str">
        <x:v>BEV</x:v>
      </x:c>
      <x:c r="C468" s="3" t="str">
        <x:v>Taladrod</x:v>
      </x:c>
      <x:c r="D468" s="3" t="str">
        <x:v>Hatchback</x:v>
      </x:c>
      <x:c r="E468" s="3" t="str"/>
      <x:c r="F468" s="3" t="n">
        <x:v>2024</x:v>
      </x:c>
      <x:c r="G468" s="3" t="str">
        <x:v>EXTENDED RANGE</x:v>
      </x:c>
      <x:c r="H468" s="3" t="str">
        <x:v>未掲載</x:v>
      </x:c>
      <x:c r="I468" s="3" t="str">
        <x:v>23-ปัจจุบัน</x:v>
      </x:c>
      <x:c r="J468" s="22" t="n">
        <x:f>COUNT('中古車掲載'!AM476:AM476)</x:f>
        <x:v>1</x:v>
      </x:c>
      <x:c r="K468" s="22" t="n">
        <x:f>IF(COUNT('中古車掲載'!AM476:AM476)=0,"",QUARTILE('中古車掲載'!AM476:AM476,1))</x:f>
        <x:v>445000</x:v>
      </x:c>
      <x:c r="L468" s="22" t="n">
        <x:f>IF(COUNT('中古車掲載'!AM476:AM476)=0,"",MEDIAN('中古車掲載'!AM476:AM476))</x:f>
        <x:v>445000</x:v>
      </x:c>
      <x:c r="M468" s="22" t="n">
        <x:f>IF(COUNT('中古車掲載'!AM476:AM476)=0,"",QUARTILE('中古車掲載'!AM476:AM476,3))</x:f>
        <x:v>445000</x:v>
      </x:c>
      <x:c r="N468" s="22" t="n">
        <x:f>COUNT('中古車掲載'!AN476:AN476)</x:f>
        <x:v>0</x:v>
      </x:c>
      <x:c r="O468" s="23" t="str">
        <x:f>IF(COUNT('中古車掲載'!AN476:AN476)=0,"",MEDIAN('中古車掲載'!AN476:AN476))</x:f>
      </x:c>
      <x:c r="P468" s="3"/>
      <x:c r="Q468" s="3"/>
      <x:c r="R468" s="3"/>
      <x:c r="S468" s="3"/>
      <x:c r="T468" s="3"/>
      <x:c r="U468" s="3"/>
      <x:c r="V468" s="3"/>
      <x:c r="W468" s="3"/>
      <x:c r="X468" s="3"/>
      <x:c r="Y468" s="3"/>
      <x:c r="Z468" s="3"/>
      <x:c r="AA468" s="3"/>
      <x:c r="AB468" s="3"/>
      <x:c r="AC468" s="3"/>
      <x:c r="AD468" s="3"/>
      <x:c r="AE468" s="3"/>
      <x:c r="AF468" s="3"/>
      <x:c r="AG468" s="3"/>
      <x:c r="AH468" s="3"/>
      <x:c r="AI468" s="3"/>
      <x:c r="AJ468" s="3"/>
      <x:c r="AK468" s="3"/>
      <x:c r="AL468" s="3"/>
      <x:c r="AM468" s="3"/>
      <x:c r="AN468" s="3"/>
      <x:c r="AO468" s="3"/>
      <x:c r="AP468" s="3"/>
      <x:c r="AQ468" s="3"/>
      <x:c r="AR468" s="3"/>
      <x:c r="AS468" s="3"/>
      <x:c r="AT468" s="3"/>
      <x:c r="AU468" s="3"/>
      <x:c r="AV468" s="3"/>
      <x:c r="AW468" s="3"/>
      <x:c r="AX468" s="3"/>
      <x:c r="AY468" s="3"/>
      <x:c r="AZ468" s="3" t="str">
        <x:f>IF(AND('中古車掲載'!C469="One2car",'中古車掲載'!F469="ATTO 3",'中古車掲載'!L469="EXTENDED RANGE",'中古車掲載'!J469=2023,ISNUMBER('中古車掲載'!N469),'中古車掲載'!N469&gt;=20000,'中古車掲載'!O469&lt;=100000,'中古車掲載'!AL469=1),'中古車掲載'!U469,"")</x:f>
      </x:c>
      <x:c r="BA468" s="3" t="str">
        <x:f>IF(AND('中古車掲載'!C469="One2car",'中古車掲載'!F469="Corolla Cross",'中古車掲載'!L469="HEV PREMIUM SAFETY",'中古車掲載'!J469=2023,ISNUMBER('中古車掲載'!N469),'中古車掲載'!N469&gt;=20000,'中古車掲載'!O469&lt;=100000,'中古車掲載'!AL469=1,'中古車掲載'!Z469="https://www.one2car.com/en/cars-for-sale/toyota/corolla-cross/year-2023"),'中古車掲載'!U469,"")</x:f>
      </x:c>
      <x:c r="BB468" s="3" t="str">
        <x:f>IF(AND('中古車掲載'!C469="One2car",'中古車掲載'!F469="ATTO 3",'中古車掲載'!L469="EXTENDED RANGE",'中古車掲載'!J469=2023,ISNUMBER('中古車掲載'!N469),'中古車掲載'!N469&gt;=50000,'中古車掲載'!O469&lt;=100000,'中古車掲載'!AL469=1),'中古車掲載'!U469,"")</x:f>
      </x:c>
      <x:c r="BC468" s="3" t="str">
        <x:f>IF(AND('中古車掲載'!C469="One2car",'中古車掲載'!F469="Corolla Cross",'中古車掲載'!L469="HEV PREMIUM SAFETY",'中古車掲載'!J469=2023,ISNUMBER('中古車掲載'!N469),'中古車掲載'!N469&gt;=50000,'中古車掲載'!O469&lt;=100000,'中古車掲載'!AL469=1,'中古車掲載'!Z469="https://www.one2car.com/en/cars-for-sale/toyota/corolla-cross/year-2023"),'中古車掲載'!U469,"")</x:f>
      </x:c>
      <x:c r="BD468" s="3" t="str">
        <x:f>IF(AND('中古車掲載'!C469="One2car",'中古車掲載'!F469="ATTO 3",'中古車掲載'!L469="EXTENDED RANGE",'中古車掲載'!J469=2023,ISNUMBER('中古車掲載'!N469),'中古車掲載'!N469&gt;=20000,'中古車掲載'!O469&lt;=50000,'中古車掲載'!AL469=1),'中古車掲載'!U469,"")</x:f>
      </x:c>
      <x:c r="BE468" s="3" t="str">
        <x:f>IF(AND('中古車掲載'!C469="One2car",'中古車掲載'!F469="Corolla Cross",'中古車掲載'!L469="HEV PREMIUM SAFETY",'中古車掲載'!J469=2023,ISNUMBER('中古車掲載'!N469),'中古車掲載'!N469&gt;=20000,'中古車掲載'!O469&lt;=50000,'中古車掲載'!AL469=1,'中古車掲載'!Z469="https://www.one2car.com/en/cars-for-sale/toyota/corolla-cross/year-2023"),'中古車掲載'!U469,"")</x:f>
      </x:c>
      <x:c r="BF468" s="3" t="str">
        <x:f>IF(AND('中古車掲載'!C469="One2car",'中古車掲載'!F469="Corolla Cross",'中古車掲載'!L469="HEV PREMIUM",'中古車掲載'!J469=2023,ISNUMBER('中古車掲載'!N469),'中古車掲載'!N469&gt;=20000,'中古車掲載'!O469&lt;=100000,'中古車掲載'!AL469=1,'中古車掲載'!Z469="https://www.one2car.com/en/cars-for-sale/toyota/corolla-cross/year-2023"),'中古車掲載'!U469,"")</x:f>
      </x:c>
      <x:c r="BG468" s="3" t="str">
        <x:f>IF(AND('中古車掲載'!C469="One2car",'中古車掲載'!F469="Corolla Cross",'中古車掲載'!L469="HEV GR SPORT",'中古車掲載'!J469=2023,ISNUMBER('中古車掲載'!N469),'中古車掲載'!N469&gt;=20000,'中古車掲載'!O469&lt;=100000,'中古車掲載'!AL469=1,'中古車掲載'!Z469="https://www.one2car.com/en/cars-for-sale/toyota/corolla-cross/year-2023"),'中古車掲載'!U469,"")</x:f>
      </x:c>
      <x:c r="BH468" s="3" t="str">
        <x:f>IF(AND('中古車掲載'!C469="One2car",'中古車掲載'!F469="DOLPHIN",'中古車掲載'!L469="STANDARD RANGE",'中古車掲載'!J469=2023,ISNUMBER('中古車掲載'!N469),'中古車掲載'!N469&gt;=20000,'中古車掲載'!O469&lt;=100000,'中古車掲載'!AL469=1),'中古車掲載'!U469,"")</x:f>
      </x:c>
      <x:c r="BI468" s="3" t="str">
        <x:v>Taladrod|DOLPHIN|BEV|Unknown</x:v>
      </x:c>
      <x:c r="BJ468" s="3" t="n">
        <x:v>469</x:v>
      </x:c>
      <x:c r="BK468" s="3" t="n">
        <x:f>'中古車掲載'!AM469</x:f>
        <x:v>400000</x:v>
      </x:c>
      <x:c r="BL468" s="3" t="n">
        <x:f>IF(ISNUMBER('中古車掲載'!AN469),'中古車掲載'!AN469,"")</x:f>
        <x:v>0.5714293877562682</x:v>
      </x:c>
      <x:c r="BM468" s="3"/>
      <x:c r="BN468" s="3"/>
      <x:c r="BO468" s="3"/>
      <x:c r="BP468" s="3"/>
      <x:c r="BQ468" s="3"/>
      <x:c r="BR468" s="3"/>
    </x:row>
    <x:row r="469" ht="22" customHeight="1">
      <x:c r="A469" s="3" t="str">
        <x:v>DOLPHIN</x:v>
      </x:c>
      <x:c r="B469" s="3" t="str">
        <x:v>BEV</x:v>
      </x:c>
      <x:c r="C469" s="3" t="str">
        <x:v>Taladrod</x:v>
      </x:c>
      <x:c r="D469" s="3" t="str">
        <x:v>Hatchback</x:v>
      </x:c>
      <x:c r="E469" s="3" t="str"/>
      <x:c r="F469" s="3" t="n">
        <x:v>2024</x:v>
      </x:c>
      <x:c r="G469" s="3" t="str">
        <x:v>STANDARD RANGE</x:v>
      </x:c>
      <x:c r="H469" s="3" t="str">
        <x:v>未掲載</x:v>
      </x:c>
      <x:c r="I469" s="3" t="str">
        <x:v>23-ปัจจุบัน</x:v>
      </x:c>
      <x:c r="J469" s="22" t="n">
        <x:f>COUNT('中古車掲載'!AM477:AM481)</x:f>
        <x:v>5</x:v>
      </x:c>
      <x:c r="K469" s="22" t="n">
        <x:f>IF(COUNT('中古車掲載'!AM477:AM481)=0,"",QUARTILE('中古車掲載'!AM477:AM481,1))</x:f>
        <x:v>330000</x:v>
      </x:c>
      <x:c r="L469" s="22" t="n">
        <x:f>IF(COUNT('中古車掲載'!AM477:AM481)=0,"",MEDIAN('中古車掲載'!AM477:AM481))</x:f>
        <x:v>339000</x:v>
      </x:c>
      <x:c r="M469" s="22" t="n">
        <x:f>IF(COUNT('中古車掲載'!AM477:AM481)=0,"",QUARTILE('中古車掲載'!AM477:AM481,3))</x:f>
        <x:v>349000</x:v>
      </x:c>
      <x:c r="N469" s="22" t="n">
        <x:f>COUNT('中古車掲載'!AN477:AN481)</x:f>
        <x:v>0</x:v>
      </x:c>
      <x:c r="O469" s="23" t="str">
        <x:f>IF(COUNT('中古車掲載'!AN477:AN481)=0,"",MEDIAN('中古車掲載'!AN477:AN481))</x:f>
      </x:c>
      <x:c r="P469" s="3"/>
      <x:c r="Q469" s="3"/>
      <x:c r="R469" s="3"/>
      <x:c r="S469" s="3"/>
      <x:c r="T469" s="3"/>
      <x:c r="U469" s="3"/>
      <x:c r="V469" s="3"/>
      <x:c r="W469" s="3"/>
      <x:c r="X469" s="3"/>
      <x:c r="Y469" s="3"/>
      <x:c r="Z469" s="3"/>
      <x:c r="AA469" s="3"/>
      <x:c r="AB469" s="3"/>
      <x:c r="AC469" s="3"/>
      <x:c r="AD469" s="3"/>
      <x:c r="AE469" s="3"/>
      <x:c r="AF469" s="3"/>
      <x:c r="AG469" s="3"/>
      <x:c r="AH469" s="3"/>
      <x:c r="AI469" s="3"/>
      <x:c r="AJ469" s="3"/>
      <x:c r="AK469" s="3"/>
      <x:c r="AL469" s="3"/>
      <x:c r="AM469" s="3"/>
      <x:c r="AN469" s="3"/>
      <x:c r="AO469" s="3"/>
      <x:c r="AP469" s="3"/>
      <x:c r="AQ469" s="3"/>
      <x:c r="AR469" s="3"/>
      <x:c r="AS469" s="3"/>
      <x:c r="AT469" s="3"/>
      <x:c r="AU469" s="3"/>
      <x:c r="AV469" s="3"/>
      <x:c r="AW469" s="3"/>
      <x:c r="AX469" s="3"/>
      <x:c r="AY469" s="3"/>
      <x:c r="AZ469" s="3" t="str">
        <x:f>IF(AND('中古車掲載'!C470="One2car",'中古車掲載'!F470="ATTO 3",'中古車掲載'!L470="EXTENDED RANGE",'中古車掲載'!J470=2023,ISNUMBER('中古車掲載'!N470),'中古車掲載'!N470&gt;=20000,'中古車掲載'!O470&lt;=100000,'中古車掲載'!AL470=1),'中古車掲載'!U470,"")</x:f>
      </x:c>
      <x:c r="BA469" s="3" t="str">
        <x:f>IF(AND('中古車掲載'!C470="One2car",'中古車掲載'!F470="Corolla Cross",'中古車掲載'!L470="HEV PREMIUM SAFETY",'中古車掲載'!J470=2023,ISNUMBER('中古車掲載'!N470),'中古車掲載'!N470&gt;=20000,'中古車掲載'!O470&lt;=100000,'中古車掲載'!AL470=1,'中古車掲載'!Z470="https://www.one2car.com/en/cars-for-sale/toyota/corolla-cross/year-2023"),'中古車掲載'!U470,"")</x:f>
      </x:c>
      <x:c r="BB469" s="3" t="str">
        <x:f>IF(AND('中古車掲載'!C470="One2car",'中古車掲載'!F470="ATTO 3",'中古車掲載'!L470="EXTENDED RANGE",'中古車掲載'!J470=2023,ISNUMBER('中古車掲載'!N470),'中古車掲載'!N470&gt;=50000,'中古車掲載'!O470&lt;=100000,'中古車掲載'!AL470=1),'中古車掲載'!U470,"")</x:f>
      </x:c>
      <x:c r="BC469" s="3" t="str">
        <x:f>IF(AND('中古車掲載'!C470="One2car",'中古車掲載'!F470="Corolla Cross",'中古車掲載'!L470="HEV PREMIUM SAFETY",'中古車掲載'!J470=2023,ISNUMBER('中古車掲載'!N470),'中古車掲載'!N470&gt;=50000,'中古車掲載'!O470&lt;=100000,'中古車掲載'!AL470=1,'中古車掲載'!Z470="https://www.one2car.com/en/cars-for-sale/toyota/corolla-cross/year-2023"),'中古車掲載'!U470,"")</x:f>
      </x:c>
      <x:c r="BD469" s="3" t="str">
        <x:f>IF(AND('中古車掲載'!C470="One2car",'中古車掲載'!F470="ATTO 3",'中古車掲載'!L470="EXTENDED RANGE",'中古車掲載'!J470=2023,ISNUMBER('中古車掲載'!N470),'中古車掲載'!N470&gt;=20000,'中古車掲載'!O470&lt;=50000,'中古車掲載'!AL470=1),'中古車掲載'!U470,"")</x:f>
      </x:c>
      <x:c r="BE469" s="3" t="str">
        <x:f>IF(AND('中古車掲載'!C470="One2car",'中古車掲載'!F470="Corolla Cross",'中古車掲載'!L470="HEV PREMIUM SAFETY",'中古車掲載'!J470=2023,ISNUMBER('中古車掲載'!N470),'中古車掲載'!N470&gt;=20000,'中古車掲載'!O470&lt;=50000,'中古車掲載'!AL470=1,'中古車掲載'!Z470="https://www.one2car.com/en/cars-for-sale/toyota/corolla-cross/year-2023"),'中古車掲載'!U470,"")</x:f>
      </x:c>
      <x:c r="BF469" s="3" t="str">
        <x:f>IF(AND('中古車掲載'!C470="One2car",'中古車掲載'!F470="Corolla Cross",'中古車掲載'!L470="HEV PREMIUM",'中古車掲載'!J470=2023,ISNUMBER('中古車掲載'!N470),'中古車掲載'!N470&gt;=20000,'中古車掲載'!O470&lt;=100000,'中古車掲載'!AL470=1,'中古車掲載'!Z470="https://www.one2car.com/en/cars-for-sale/toyota/corolla-cross/year-2023"),'中古車掲載'!U470,"")</x:f>
      </x:c>
      <x:c r="BG469" s="3" t="str">
        <x:f>IF(AND('中古車掲載'!C470="One2car",'中古車掲載'!F470="Corolla Cross",'中古車掲載'!L470="HEV GR SPORT",'中古車掲載'!J470=2023,ISNUMBER('中古車掲載'!N470),'中古車掲載'!N470&gt;=20000,'中古車掲載'!O470&lt;=100000,'中古車掲載'!AL470=1,'中古車掲載'!Z470="https://www.one2car.com/en/cars-for-sale/toyota/corolla-cross/year-2023"),'中古車掲載'!U470,"")</x:f>
      </x:c>
      <x:c r="BH469" s="3" t="str">
        <x:f>IF(AND('中古車掲載'!C470="One2car",'中古車掲載'!F470="DOLPHIN",'中古車掲載'!L470="STANDARD RANGE",'中古車掲載'!J470=2023,ISNUMBER('中古車掲載'!N470),'中古車掲載'!N470&gt;=20000,'中古車掲載'!O470&lt;=100000,'中古車掲載'!AL470=1),'中古車掲載'!U470,"")</x:f>
      </x:c>
      <x:c r="BI469" s="3" t="str">
        <x:v>Taladrod|DOLPHIN|BEV|Unknown</x:v>
      </x:c>
      <x:c r="BJ469" s="3" t="n">
        <x:v>470</x:v>
      </x:c>
      <x:c r="BK469" s="3" t="n">
        <x:f>'中古車掲載'!AM470</x:f>
        <x:v>359000</x:v>
      </x:c>
      <x:c r="BL469" s="3" t="n">
        <x:f>IF(ISNUMBER('中古車掲載'!AN470),'中古車掲載'!AN470,"")</x:f>
        <x:v>0.5128578755112507</x:v>
      </x:c>
      <x:c r="BM469" s="3"/>
      <x:c r="BN469" s="3"/>
      <x:c r="BO469" s="3"/>
      <x:c r="BP469" s="3"/>
      <x:c r="BQ469" s="3"/>
      <x:c r="BR469" s="3"/>
    </x:row>
    <x:row r="470" ht="22" customHeight="1">
      <x:c r="A470" s="3" t="str">
        <x:v>DOLPHIN</x:v>
      </x:c>
      <x:c r="B470" s="3" t="str">
        <x:v>BEV</x:v>
      </x:c>
      <x:c r="C470" s="3" t="str">
        <x:v>Taladrod</x:v>
      </x:c>
      <x:c r="D470" s="3" t="str">
        <x:v>Hatchback</x:v>
      </x:c>
      <x:c r="E470" s="3" t="str"/>
      <x:c r="F470" s="3" t="n">
        <x:v>2025</x:v>
      </x:c>
      <x:c r="G470" s="3" t="str">
        <x:v>EXTENDED RANGE</x:v>
      </x:c>
      <x:c r="H470" s="3" t="str">
        <x:v>未掲載</x:v>
      </x:c>
      <x:c r="I470" s="3" t="str">
        <x:v>23-ปัจจุบัน</x:v>
      </x:c>
      <x:c r="J470" s="22" t="n">
        <x:f>COUNT('中古車掲載'!AM482:AM483)</x:f>
        <x:v>2</x:v>
      </x:c>
      <x:c r="K470" s="22" t="n">
        <x:f>IF(COUNT('中古車掲載'!AM482:AM483)=0,"",QUARTILE('中古車掲載'!AM482:AM483,1))</x:f>
        <x:v>435500</x:v>
      </x:c>
      <x:c r="L470" s="22" t="n">
        <x:f>IF(COUNT('中古車掲載'!AM482:AM483)=0,"",MEDIAN('中古車掲載'!AM482:AM483))</x:f>
        <x:v>442000</x:v>
      </x:c>
      <x:c r="M470" s="22" t="n">
        <x:f>IF(COUNT('中古車掲載'!AM482:AM483)=0,"",QUARTILE('中古車掲載'!AM482:AM483,3))</x:f>
        <x:v>448500</x:v>
      </x:c>
      <x:c r="N470" s="22" t="n">
        <x:f>COUNT('中古車掲載'!AN482:AN483)</x:f>
        <x:v>0</x:v>
      </x:c>
      <x:c r="O470" s="23" t="str">
        <x:f>IF(COUNT('中古車掲載'!AN482:AN483)=0,"",MEDIAN('中古車掲載'!AN482:AN483))</x:f>
      </x:c>
      <x:c r="P470" s="3"/>
      <x:c r="Q470" s="3"/>
      <x:c r="R470" s="3"/>
      <x:c r="S470" s="3"/>
      <x:c r="T470" s="3"/>
      <x:c r="U470" s="3"/>
      <x:c r="V470" s="3"/>
      <x:c r="W470" s="3"/>
      <x:c r="X470" s="3"/>
      <x:c r="Y470" s="3"/>
      <x:c r="Z470" s="3"/>
      <x:c r="AA470" s="3"/>
      <x:c r="AB470" s="3"/>
      <x:c r="AC470" s="3"/>
      <x:c r="AD470" s="3"/>
      <x:c r="AE470" s="3"/>
      <x:c r="AF470" s="3"/>
      <x:c r="AG470" s="3"/>
      <x:c r="AH470" s="3"/>
      <x:c r="AI470" s="3"/>
      <x:c r="AJ470" s="3"/>
      <x:c r="AK470" s="3"/>
      <x:c r="AL470" s="3"/>
      <x:c r="AM470" s="3"/>
      <x:c r="AN470" s="3"/>
      <x:c r="AO470" s="3"/>
      <x:c r="AP470" s="3"/>
      <x:c r="AQ470" s="3"/>
      <x:c r="AR470" s="3"/>
      <x:c r="AS470" s="3"/>
      <x:c r="AT470" s="3"/>
      <x:c r="AU470" s="3"/>
      <x:c r="AV470" s="3"/>
      <x:c r="AW470" s="3"/>
      <x:c r="AX470" s="3"/>
      <x:c r="AY470" s="3"/>
      <x:c r="AZ470" s="3" t="str">
        <x:f>IF(AND('中古車掲載'!C471="One2car",'中古車掲載'!F471="ATTO 3",'中古車掲載'!L471="EXTENDED RANGE",'中古車掲載'!J471=2023,ISNUMBER('中古車掲載'!N471),'中古車掲載'!N471&gt;=20000,'中古車掲載'!O471&lt;=100000,'中古車掲載'!AL471=1),'中古車掲載'!U471,"")</x:f>
      </x:c>
      <x:c r="BA470" s="3" t="str">
        <x:f>IF(AND('中古車掲載'!C471="One2car",'中古車掲載'!F471="Corolla Cross",'中古車掲載'!L471="HEV PREMIUM SAFETY",'中古車掲載'!J471=2023,ISNUMBER('中古車掲載'!N471),'中古車掲載'!N471&gt;=20000,'中古車掲載'!O471&lt;=100000,'中古車掲載'!AL471=1,'中古車掲載'!Z471="https://www.one2car.com/en/cars-for-sale/toyota/corolla-cross/year-2023"),'中古車掲載'!U471,"")</x:f>
      </x:c>
      <x:c r="BB470" s="3" t="str">
        <x:f>IF(AND('中古車掲載'!C471="One2car",'中古車掲載'!F471="ATTO 3",'中古車掲載'!L471="EXTENDED RANGE",'中古車掲載'!J471=2023,ISNUMBER('中古車掲載'!N471),'中古車掲載'!N471&gt;=50000,'中古車掲載'!O471&lt;=100000,'中古車掲載'!AL471=1),'中古車掲載'!U471,"")</x:f>
      </x:c>
      <x:c r="BC470" s="3" t="str">
        <x:f>IF(AND('中古車掲載'!C471="One2car",'中古車掲載'!F471="Corolla Cross",'中古車掲載'!L471="HEV PREMIUM SAFETY",'中古車掲載'!J471=2023,ISNUMBER('中古車掲載'!N471),'中古車掲載'!N471&gt;=50000,'中古車掲載'!O471&lt;=100000,'中古車掲載'!AL471=1,'中古車掲載'!Z471="https://www.one2car.com/en/cars-for-sale/toyota/corolla-cross/year-2023"),'中古車掲載'!U471,"")</x:f>
      </x:c>
      <x:c r="BD470" s="3" t="str">
        <x:f>IF(AND('中古車掲載'!C471="One2car",'中古車掲載'!F471="ATTO 3",'中古車掲載'!L471="EXTENDED RANGE",'中古車掲載'!J471=2023,ISNUMBER('中古車掲載'!N471),'中古車掲載'!N471&gt;=20000,'中古車掲載'!O471&lt;=50000,'中古車掲載'!AL471=1),'中古車掲載'!U471,"")</x:f>
      </x:c>
      <x:c r="BE470" s="3" t="str">
        <x:f>IF(AND('中古車掲載'!C471="One2car",'中古車掲載'!F471="Corolla Cross",'中古車掲載'!L471="HEV PREMIUM SAFETY",'中古車掲載'!J471=2023,ISNUMBER('中古車掲載'!N471),'中古車掲載'!N471&gt;=20000,'中古車掲載'!O471&lt;=50000,'中古車掲載'!AL471=1,'中古車掲載'!Z471="https://www.one2car.com/en/cars-for-sale/toyota/corolla-cross/year-2023"),'中古車掲載'!U471,"")</x:f>
      </x:c>
      <x:c r="BF470" s="3" t="str">
        <x:f>IF(AND('中古車掲載'!C471="One2car",'中古車掲載'!F471="Corolla Cross",'中古車掲載'!L471="HEV PREMIUM",'中古車掲載'!J471=2023,ISNUMBER('中古車掲載'!N471),'中古車掲載'!N471&gt;=20000,'中古車掲載'!O471&lt;=100000,'中古車掲載'!AL471=1,'中古車掲載'!Z471="https://www.one2car.com/en/cars-for-sale/toyota/corolla-cross/year-2023"),'中古車掲載'!U471,"")</x:f>
      </x:c>
      <x:c r="BG470" s="3" t="str">
        <x:f>IF(AND('中古車掲載'!C471="One2car",'中古車掲載'!F471="Corolla Cross",'中古車掲載'!L471="HEV GR SPORT",'中古車掲載'!J471=2023,ISNUMBER('中古車掲載'!N471),'中古車掲載'!N471&gt;=20000,'中古車掲載'!O471&lt;=100000,'中古車掲載'!AL471=1,'中古車掲載'!Z471="https://www.one2car.com/en/cars-for-sale/toyota/corolla-cross/year-2023"),'中古車掲載'!U471,"")</x:f>
      </x:c>
      <x:c r="BH470" s="3" t="str">
        <x:f>IF(AND('中古車掲載'!C471="One2car",'中古車掲載'!F471="DOLPHIN",'中古車掲載'!L471="STANDARD RANGE",'中古車掲載'!J471=2023,ISNUMBER('中古車掲載'!N471),'中古車掲載'!N471&gt;=20000,'中古車掲載'!O471&lt;=100000,'中古車掲載'!AL471=1),'中古車掲載'!U471,"")</x:f>
      </x:c>
      <x:c r="BI470" s="3" t="str">
        <x:v>Taladrod|DOLPHIN|BEV|Unknown</x:v>
      </x:c>
      <x:c r="BJ470" s="3" t="n">
        <x:v>471</x:v>
      </x:c>
      <x:c r="BK470" s="3" t="n">
        <x:f>'中古車掲載'!AM471</x:f>
        <x:v>299000</x:v>
      </x:c>
      <x:c r="BL470" s="3" t="n">
        <x:f>IF(ISNUMBER('中古車掲載'!AN471),'中古車掲載'!AN471,"")</x:f>
        <x:v>0.4271434673478105</x:v>
      </x:c>
      <x:c r="BM470" s="3"/>
      <x:c r="BN470" s="3"/>
      <x:c r="BO470" s="3"/>
      <x:c r="BP470" s="3"/>
      <x:c r="BQ470" s="3"/>
      <x:c r="BR470" s="3"/>
    </x:row>
    <x:row r="471" ht="22" customHeight="1">
      <x:c r="A471" s="3" t="str">
        <x:v>DOLPHIN</x:v>
      </x:c>
      <x:c r="B471" s="3" t="str">
        <x:v>BEV</x:v>
      </x:c>
      <x:c r="C471" s="3" t="str">
        <x:v>Taladrod</x:v>
      </x:c>
      <x:c r="D471" s="3" t="str">
        <x:v>Hatchback</x:v>
      </x:c>
      <x:c r="E471" s="3" t="str"/>
      <x:c r="F471" s="3" t="n">
        <x:v>2025</x:v>
      </x:c>
      <x:c r="G471" s="3" t="str">
        <x:v>STANDARD RANGE</x:v>
      </x:c>
      <x:c r="H471" s="3" t="str">
        <x:v>未掲載</x:v>
      </x:c>
      <x:c r="I471" s="3" t="str">
        <x:v>23-ปัจจุบัน</x:v>
      </x:c>
      <x:c r="J471" s="22" t="n">
        <x:f>COUNT('中古車掲載'!AM484:AM485)</x:f>
        <x:v>2</x:v>
      </x:c>
      <x:c r="K471" s="22" t="n">
        <x:f>IF(COUNT('中古車掲載'!AM484:AM485)=0,"",QUARTILE('中古車掲載'!AM484:AM485,1))</x:f>
        <x:v>376500</x:v>
      </x:c>
      <x:c r="L471" s="22" t="n">
        <x:f>IF(COUNT('中古車掲載'!AM484:AM485)=0,"",MEDIAN('中古車掲載'!AM484:AM485))</x:f>
        <x:v>384000</x:v>
      </x:c>
      <x:c r="M471" s="22" t="n">
        <x:f>IF(COUNT('中古車掲載'!AM484:AM485)=0,"",QUARTILE('中古車掲載'!AM484:AM485,3))</x:f>
        <x:v>391500</x:v>
      </x:c>
      <x:c r="N471" s="22" t="n">
        <x:f>COUNT('中古車掲載'!AN484:AN485)</x:f>
        <x:v>0</x:v>
      </x:c>
      <x:c r="O471" s="23" t="str">
        <x:f>IF(COUNT('中古車掲載'!AN484:AN485)=0,"",MEDIAN('中古車掲載'!AN484:AN485))</x:f>
      </x:c>
      <x:c r="P471" s="3"/>
      <x:c r="Q471" s="3"/>
      <x:c r="R471" s="3"/>
      <x:c r="S471" s="3"/>
      <x:c r="T471" s="3"/>
      <x:c r="U471" s="3"/>
      <x:c r="V471" s="3"/>
      <x:c r="W471" s="3"/>
      <x:c r="X471" s="3"/>
      <x:c r="Y471" s="3"/>
      <x:c r="Z471" s="3"/>
      <x:c r="AA471" s="3"/>
      <x:c r="AB471" s="3"/>
      <x:c r="AC471" s="3"/>
      <x:c r="AD471" s="3"/>
      <x:c r="AE471" s="3"/>
      <x:c r="AF471" s="3"/>
      <x:c r="AG471" s="3"/>
      <x:c r="AH471" s="3"/>
      <x:c r="AI471" s="3"/>
      <x:c r="AJ471" s="3"/>
      <x:c r="AK471" s="3"/>
      <x:c r="AL471" s="3"/>
      <x:c r="AM471" s="3"/>
      <x:c r="AN471" s="3"/>
      <x:c r="AO471" s="3"/>
      <x:c r="AP471" s="3"/>
      <x:c r="AQ471" s="3"/>
      <x:c r="AR471" s="3"/>
      <x:c r="AS471" s="3"/>
      <x:c r="AT471" s="3"/>
      <x:c r="AU471" s="3"/>
      <x:c r="AV471" s="3"/>
      <x:c r="AW471" s="3"/>
      <x:c r="AX471" s="3"/>
      <x:c r="AY471" s="3"/>
      <x:c r="AZ471" s="3" t="str">
        <x:f>IF(AND('中古車掲載'!C472="One2car",'中古車掲載'!F472="ATTO 3",'中古車掲載'!L472="EXTENDED RANGE",'中古車掲載'!J472=2023,ISNUMBER('中古車掲載'!N472),'中古車掲載'!N472&gt;=20000,'中古車掲載'!O472&lt;=100000,'中古車掲載'!AL472=1),'中古車掲載'!U472,"")</x:f>
      </x:c>
      <x:c r="BA471" s="3" t="str">
        <x:f>IF(AND('中古車掲載'!C472="One2car",'中古車掲載'!F472="Corolla Cross",'中古車掲載'!L472="HEV PREMIUM SAFETY",'中古車掲載'!J472=2023,ISNUMBER('中古車掲載'!N472),'中古車掲載'!N472&gt;=20000,'中古車掲載'!O472&lt;=100000,'中古車掲載'!AL472=1,'中古車掲載'!Z472="https://www.one2car.com/en/cars-for-sale/toyota/corolla-cross/year-2023"),'中古車掲載'!U472,"")</x:f>
      </x:c>
      <x:c r="BB471" s="3" t="str">
        <x:f>IF(AND('中古車掲載'!C472="One2car",'中古車掲載'!F472="ATTO 3",'中古車掲載'!L472="EXTENDED RANGE",'中古車掲載'!J472=2023,ISNUMBER('中古車掲載'!N472),'中古車掲載'!N472&gt;=50000,'中古車掲載'!O472&lt;=100000,'中古車掲載'!AL472=1),'中古車掲載'!U472,"")</x:f>
      </x:c>
      <x:c r="BC471" s="3" t="str">
        <x:f>IF(AND('中古車掲載'!C472="One2car",'中古車掲載'!F472="Corolla Cross",'中古車掲載'!L472="HEV PREMIUM SAFETY",'中古車掲載'!J472=2023,ISNUMBER('中古車掲載'!N472),'中古車掲載'!N472&gt;=50000,'中古車掲載'!O472&lt;=100000,'中古車掲載'!AL472=1,'中古車掲載'!Z472="https://www.one2car.com/en/cars-for-sale/toyota/corolla-cross/year-2023"),'中古車掲載'!U472,"")</x:f>
      </x:c>
      <x:c r="BD471" s="3" t="str">
        <x:f>IF(AND('中古車掲載'!C472="One2car",'中古車掲載'!F472="ATTO 3",'中古車掲載'!L472="EXTENDED RANGE",'中古車掲載'!J472=2023,ISNUMBER('中古車掲載'!N472),'中古車掲載'!N472&gt;=20000,'中古車掲載'!O472&lt;=50000,'中古車掲載'!AL472=1),'中古車掲載'!U472,"")</x:f>
      </x:c>
      <x:c r="BE471" s="3" t="str">
        <x:f>IF(AND('中古車掲載'!C472="One2car",'中古車掲載'!F472="Corolla Cross",'中古車掲載'!L472="HEV PREMIUM SAFETY",'中古車掲載'!J472=2023,ISNUMBER('中古車掲載'!N472),'中古車掲載'!N472&gt;=20000,'中古車掲載'!O472&lt;=50000,'中古車掲載'!AL472=1,'中古車掲載'!Z472="https://www.one2car.com/en/cars-for-sale/toyota/corolla-cross/year-2023"),'中古車掲載'!U472,"")</x:f>
      </x:c>
      <x:c r="BF471" s="3" t="str">
        <x:f>IF(AND('中古車掲載'!C472="One2car",'中古車掲載'!F472="Corolla Cross",'中古車掲載'!L472="HEV PREMIUM",'中古車掲載'!J472=2023,ISNUMBER('中古車掲載'!N472),'中古車掲載'!N472&gt;=20000,'中古車掲載'!O472&lt;=100000,'中古車掲載'!AL472=1,'中古車掲載'!Z472="https://www.one2car.com/en/cars-for-sale/toyota/corolla-cross/year-2023"),'中古車掲載'!U472,"")</x:f>
      </x:c>
      <x:c r="BG471" s="3" t="str">
        <x:f>IF(AND('中古車掲載'!C472="One2car",'中古車掲載'!F472="Corolla Cross",'中古車掲載'!L472="HEV GR SPORT",'中古車掲載'!J472=2023,ISNUMBER('中古車掲載'!N472),'中古車掲載'!N472&gt;=20000,'中古車掲載'!O472&lt;=100000,'中古車掲載'!AL472=1,'中古車掲載'!Z472="https://www.one2car.com/en/cars-for-sale/toyota/corolla-cross/year-2023"),'中古車掲載'!U472,"")</x:f>
      </x:c>
      <x:c r="BH471" s="3" t="str">
        <x:f>IF(AND('中古車掲載'!C472="One2car",'中古車掲載'!F472="DOLPHIN",'中古車掲載'!L472="STANDARD RANGE",'中古車掲載'!J472=2023,ISNUMBER('中古車掲載'!N472),'中古車掲載'!N472&gt;=20000,'中古車掲載'!O472&lt;=100000,'中古車掲載'!AL472=1),'中古車掲載'!U472,"")</x:f>
      </x:c>
      <x:c r="BI471" s="3" t="str">
        <x:v>Taladrod|DOLPHIN|BEV|Unknown</x:v>
      </x:c>
      <x:c r="BJ471" s="3" t="n">
        <x:v>472</x:v>
      </x:c>
      <x:c r="BK471" s="3" t="n">
        <x:f>'中古車掲載'!AM472</x:f>
        <x:v>355000</x:v>
      </x:c>
      <x:c r="BL471" s="3" t="n">
        <x:f>IF(ISNUMBER('中古車掲載'!AN472),'中古車掲載'!AN472,"")</x:f>
        <x:v>0.507143581633688</x:v>
      </x:c>
      <x:c r="BM471" s="3"/>
      <x:c r="BN471" s="3"/>
      <x:c r="BO471" s="3"/>
      <x:c r="BP471" s="3"/>
      <x:c r="BQ471" s="3"/>
      <x:c r="BR471" s="3"/>
    </x:row>
    <x:row r="472" ht="22" customHeight="1">
      <x:c r="A472" s="3" t="str">
        <x:v>Fortuner</x:v>
      </x:c>
      <x:c r="B472" s="3" t="str">
        <x:v>ICE</x:v>
      </x:c>
      <x:c r="C472" s="3" t="str">
        <x:v>Taladrod</x:v>
      </x:c>
      <x:c r="D472" s="3" t="str">
        <x:v>SUV</x:v>
      </x:c>
      <x:c r="E472" s="3" t="str"/>
      <x:c r="F472" s="3" t="n">
        <x:v>2020</x:v>
      </x:c>
      <x:c r="G472" s="3" t="str">
        <x:v>2.4 G</x:v>
      </x:c>
      <x:c r="H472" s="3" t="str">
        <x:v>未掲載</x:v>
      </x:c>
      <x:c r="I472" s="3" t="str">
        <x:v>15-ปัจจุบัน</x:v>
      </x:c>
      <x:c r="J472" s="22" t="n">
        <x:f>COUNT('中古車掲載'!AM486:AM492)</x:f>
        <x:v>7</x:v>
      </x:c>
      <x:c r="K472" s="22" t="n">
        <x:f>IF(COUNT('中古車掲載'!AM486:AM492)=0,"",QUARTILE('中古車掲載'!AM486:AM492,1))</x:f>
        <x:v>736500</x:v>
      </x:c>
      <x:c r="L472" s="22" t="n">
        <x:f>IF(COUNT('中古車掲載'!AM486:AM492)=0,"",MEDIAN('中古車掲載'!AM486:AM492))</x:f>
        <x:v>799000</x:v>
      </x:c>
      <x:c r="M472" s="22" t="n">
        <x:f>IF(COUNT('中古車掲載'!AM486:AM492)=0,"",QUARTILE('中古車掲載'!AM486:AM492,3))</x:f>
        <x:v>811500</x:v>
      </x:c>
      <x:c r="N472" s="22" t="n">
        <x:f>COUNT('中古車掲載'!AN486:AN492)</x:f>
        <x:v>0</x:v>
      </x:c>
      <x:c r="O472" s="23" t="str">
        <x:f>IF(COUNT('中古車掲載'!AN486:AN492)=0,"",MEDIAN('中古車掲載'!AN486:AN492))</x:f>
      </x:c>
      <x:c r="P472" s="3"/>
      <x:c r="Q472" s="3"/>
      <x:c r="R472" s="3"/>
      <x:c r="S472" s="3"/>
      <x:c r="T472" s="3"/>
      <x:c r="U472" s="3"/>
      <x:c r="V472" s="3"/>
      <x:c r="W472" s="3"/>
      <x:c r="X472" s="3"/>
      <x:c r="Y472" s="3"/>
      <x:c r="Z472" s="3"/>
      <x:c r="AA472" s="3"/>
      <x:c r="AB472" s="3"/>
      <x:c r="AC472" s="3"/>
      <x:c r="AD472" s="3"/>
      <x:c r="AE472" s="3"/>
      <x:c r="AF472" s="3"/>
      <x:c r="AG472" s="3"/>
      <x:c r="AH472" s="3"/>
      <x:c r="AI472" s="3"/>
      <x:c r="AJ472" s="3"/>
      <x:c r="AK472" s="3"/>
      <x:c r="AL472" s="3"/>
      <x:c r="AM472" s="3"/>
      <x:c r="AN472" s="3"/>
      <x:c r="AO472" s="3"/>
      <x:c r="AP472" s="3"/>
      <x:c r="AQ472" s="3"/>
      <x:c r="AR472" s="3"/>
      <x:c r="AS472" s="3"/>
      <x:c r="AT472" s="3"/>
      <x:c r="AU472" s="3"/>
      <x:c r="AV472" s="3"/>
      <x:c r="AW472" s="3"/>
      <x:c r="AX472" s="3"/>
      <x:c r="AY472" s="3"/>
      <x:c r="AZ472" s="3" t="str">
        <x:f>IF(AND('中古車掲載'!C473="One2car",'中古車掲載'!F473="ATTO 3",'中古車掲載'!L473="EXTENDED RANGE",'中古車掲載'!J473=2023,ISNUMBER('中古車掲載'!N473),'中古車掲載'!N473&gt;=20000,'中古車掲載'!O473&lt;=100000,'中古車掲載'!AL473=1),'中古車掲載'!U473,"")</x:f>
      </x:c>
      <x:c r="BA472" s="3" t="str">
        <x:f>IF(AND('中古車掲載'!C473="One2car",'中古車掲載'!F473="Corolla Cross",'中古車掲載'!L473="HEV PREMIUM SAFETY",'中古車掲載'!J473=2023,ISNUMBER('中古車掲載'!N473),'中古車掲載'!N473&gt;=20000,'中古車掲載'!O473&lt;=100000,'中古車掲載'!AL473=1,'中古車掲載'!Z473="https://www.one2car.com/en/cars-for-sale/toyota/corolla-cross/year-2023"),'中古車掲載'!U473,"")</x:f>
      </x:c>
      <x:c r="BB472" s="3" t="str">
        <x:f>IF(AND('中古車掲載'!C473="One2car",'中古車掲載'!F473="ATTO 3",'中古車掲載'!L473="EXTENDED RANGE",'中古車掲載'!J473=2023,ISNUMBER('中古車掲載'!N473),'中古車掲載'!N473&gt;=50000,'中古車掲載'!O473&lt;=100000,'中古車掲載'!AL473=1),'中古車掲載'!U473,"")</x:f>
      </x:c>
      <x:c r="BC472" s="3" t="str">
        <x:f>IF(AND('中古車掲載'!C473="One2car",'中古車掲載'!F473="Corolla Cross",'中古車掲載'!L473="HEV PREMIUM SAFETY",'中古車掲載'!J473=2023,ISNUMBER('中古車掲載'!N473),'中古車掲載'!N473&gt;=50000,'中古車掲載'!O473&lt;=100000,'中古車掲載'!AL473=1,'中古車掲載'!Z473="https://www.one2car.com/en/cars-for-sale/toyota/corolla-cross/year-2023"),'中古車掲載'!U473,"")</x:f>
      </x:c>
      <x:c r="BD472" s="3" t="str">
        <x:f>IF(AND('中古車掲載'!C473="One2car",'中古車掲載'!F473="ATTO 3",'中古車掲載'!L473="EXTENDED RANGE",'中古車掲載'!J473=2023,ISNUMBER('中古車掲載'!N473),'中古車掲載'!N473&gt;=20000,'中古車掲載'!O473&lt;=50000,'中古車掲載'!AL473=1),'中古車掲載'!U473,"")</x:f>
      </x:c>
      <x:c r="BE472" s="3" t="str">
        <x:f>IF(AND('中古車掲載'!C473="One2car",'中古車掲載'!F473="Corolla Cross",'中古車掲載'!L473="HEV PREMIUM SAFETY",'中古車掲載'!J473=2023,ISNUMBER('中古車掲載'!N473),'中古車掲載'!N473&gt;=20000,'中古車掲載'!O473&lt;=50000,'中古車掲載'!AL473=1,'中古車掲載'!Z473="https://www.one2car.com/en/cars-for-sale/toyota/corolla-cross/year-2023"),'中古車掲載'!U473,"")</x:f>
      </x:c>
      <x:c r="BF472" s="3" t="str">
        <x:f>IF(AND('中古車掲載'!C473="One2car",'中古車掲載'!F473="Corolla Cross",'中古車掲載'!L473="HEV PREMIUM",'中古車掲載'!J473=2023,ISNUMBER('中古車掲載'!N473),'中古車掲載'!N473&gt;=20000,'中古車掲載'!O473&lt;=100000,'中古車掲載'!AL473=1,'中古車掲載'!Z473="https://www.one2car.com/en/cars-for-sale/toyota/corolla-cross/year-2023"),'中古車掲載'!U473,"")</x:f>
      </x:c>
      <x:c r="BG472" s="3" t="str">
        <x:f>IF(AND('中古車掲載'!C473="One2car",'中古車掲載'!F473="Corolla Cross",'中古車掲載'!L473="HEV GR SPORT",'中古車掲載'!J473=2023,ISNUMBER('中古車掲載'!N473),'中古車掲載'!N473&gt;=20000,'中古車掲載'!O473&lt;=100000,'中古車掲載'!AL473=1,'中古車掲載'!Z473="https://www.one2car.com/en/cars-for-sale/toyota/corolla-cross/year-2023"),'中古車掲載'!U473,"")</x:f>
      </x:c>
      <x:c r="BH472" s="3" t="str">
        <x:f>IF(AND('中古車掲載'!C473="One2car",'中古車掲載'!F473="DOLPHIN",'中古車掲載'!L473="STANDARD RANGE",'中古車掲載'!J473=2023,ISNUMBER('中古車掲載'!N473),'中古車掲載'!N473&gt;=20000,'中古車掲載'!O473&lt;=100000,'中古車掲載'!AL473=1),'中古車掲載'!U473,"")</x:f>
      </x:c>
      <x:c r="BI472" s="3" t="str">
        <x:v>Taladrod|DOLPHIN|BEV|Unknown</x:v>
      </x:c>
      <x:c r="BJ472" s="3" t="n">
        <x:v>473</x:v>
      </x:c>
      <x:c r="BK472" s="3" t="n">
        <x:f>'中古車掲載'!AM473</x:f>
        <x:v>319000</x:v>
      </x:c>
      <x:c r="BL472" s="3" t="n">
        <x:f>IF(ISNUMBER('中古車掲載'!AN473),'中古車掲載'!AN473,"")</x:f>
        <x:v>0.4557149367356239</x:v>
      </x:c>
      <x:c r="BM472" s="3"/>
      <x:c r="BN472" s="3"/>
      <x:c r="BO472" s="3"/>
      <x:c r="BP472" s="3"/>
      <x:c r="BQ472" s="3"/>
      <x:c r="BR472" s="3"/>
    </x:row>
    <x:row r="473" ht="22" customHeight="1">
      <x:c r="A473" s="3" t="str">
        <x:v>Fortuner</x:v>
      </x:c>
      <x:c r="B473" s="3" t="str">
        <x:v>ICE</x:v>
      </x:c>
      <x:c r="C473" s="3" t="str">
        <x:v>Taladrod</x:v>
      </x:c>
      <x:c r="D473" s="3" t="str">
        <x:v>SUV</x:v>
      </x:c>
      <x:c r="E473" s="3" t="str"/>
      <x:c r="F473" s="3" t="n">
        <x:v>2020</x:v>
      </x:c>
      <x:c r="G473" s="3" t="str">
        <x:v>2.4 LEGENDER BLACK TOP</x:v>
      </x:c>
      <x:c r="H473" s="3" t="str">
        <x:v>未掲載</x:v>
      </x:c>
      <x:c r="I473" s="3" t="str">
        <x:v>15-ปัจจุบัน</x:v>
      </x:c>
      <x:c r="J473" s="22" t="n">
        <x:f>COUNT('中古車掲載'!AM493:AM493)</x:f>
        <x:v>1</x:v>
      </x:c>
      <x:c r="K473" s="22" t="n">
        <x:f>IF(COUNT('中古車掲載'!AM493:AM493)=0,"",QUARTILE('中古車掲載'!AM493:AM493,1))</x:f>
        <x:v>909000</x:v>
      </x:c>
      <x:c r="L473" s="22" t="n">
        <x:f>IF(COUNT('中古車掲載'!AM493:AM493)=0,"",MEDIAN('中古車掲載'!AM493:AM493))</x:f>
        <x:v>909000</x:v>
      </x:c>
      <x:c r="M473" s="22" t="n">
        <x:f>IF(COUNT('中古車掲載'!AM493:AM493)=0,"",QUARTILE('中古車掲載'!AM493:AM493,3))</x:f>
        <x:v>909000</x:v>
      </x:c>
      <x:c r="N473" s="22" t="n">
        <x:f>COUNT('中古車掲載'!AN493:AN493)</x:f>
        <x:v>0</x:v>
      </x:c>
      <x:c r="O473" s="23" t="str">
        <x:f>IF(COUNT('中古車掲載'!AN493:AN493)=0,"",MEDIAN('中古車掲載'!AN493:AN493))</x:f>
      </x:c>
      <x:c r="P473" s="3"/>
      <x:c r="Q473" s="3"/>
      <x:c r="R473" s="3"/>
      <x:c r="S473" s="3"/>
      <x:c r="T473" s="3"/>
      <x:c r="U473" s="3"/>
      <x:c r="V473" s="3"/>
      <x:c r="W473" s="3"/>
      <x:c r="X473" s="3"/>
      <x:c r="Y473" s="3"/>
      <x:c r="Z473" s="3"/>
      <x:c r="AA473" s="3"/>
      <x:c r="AB473" s="3"/>
      <x:c r="AC473" s="3"/>
      <x:c r="AD473" s="3"/>
      <x:c r="AE473" s="3"/>
      <x:c r="AF473" s="3"/>
      <x:c r="AG473" s="3"/>
      <x:c r="AH473" s="3"/>
      <x:c r="AI473" s="3"/>
      <x:c r="AJ473" s="3"/>
      <x:c r="AK473" s="3"/>
      <x:c r="AL473" s="3"/>
      <x:c r="AM473" s="3"/>
      <x:c r="AN473" s="3"/>
      <x:c r="AO473" s="3"/>
      <x:c r="AP473" s="3"/>
      <x:c r="AQ473" s="3"/>
      <x:c r="AR473" s="3"/>
      <x:c r="AS473" s="3"/>
      <x:c r="AT473" s="3"/>
      <x:c r="AU473" s="3"/>
      <x:c r="AV473" s="3"/>
      <x:c r="AW473" s="3"/>
      <x:c r="AX473" s="3"/>
      <x:c r="AY473" s="3"/>
      <x:c r="AZ473" s="3" t="str">
        <x:f>IF(AND('中古車掲載'!C474="One2car",'中古車掲載'!F474="ATTO 3",'中古車掲載'!L474="EXTENDED RANGE",'中古車掲載'!J474=2023,ISNUMBER('中古車掲載'!N474),'中古車掲載'!N474&gt;=20000,'中古車掲載'!O474&lt;=100000,'中古車掲載'!AL474=1),'中古車掲載'!U474,"")</x:f>
      </x:c>
      <x:c r="BA473" s="3" t="str">
        <x:f>IF(AND('中古車掲載'!C474="One2car",'中古車掲載'!F474="Corolla Cross",'中古車掲載'!L474="HEV PREMIUM SAFETY",'中古車掲載'!J474=2023,ISNUMBER('中古車掲載'!N474),'中古車掲載'!N474&gt;=20000,'中古車掲載'!O474&lt;=100000,'中古車掲載'!AL474=1,'中古車掲載'!Z474="https://www.one2car.com/en/cars-for-sale/toyota/corolla-cross/year-2023"),'中古車掲載'!U474,"")</x:f>
      </x:c>
      <x:c r="BB473" s="3" t="str">
        <x:f>IF(AND('中古車掲載'!C474="One2car",'中古車掲載'!F474="ATTO 3",'中古車掲載'!L474="EXTENDED RANGE",'中古車掲載'!J474=2023,ISNUMBER('中古車掲載'!N474),'中古車掲載'!N474&gt;=50000,'中古車掲載'!O474&lt;=100000,'中古車掲載'!AL474=1),'中古車掲載'!U474,"")</x:f>
      </x:c>
      <x:c r="BC473" s="3" t="str">
        <x:f>IF(AND('中古車掲載'!C474="One2car",'中古車掲載'!F474="Corolla Cross",'中古車掲載'!L474="HEV PREMIUM SAFETY",'中古車掲載'!J474=2023,ISNUMBER('中古車掲載'!N474),'中古車掲載'!N474&gt;=50000,'中古車掲載'!O474&lt;=100000,'中古車掲載'!AL474=1,'中古車掲載'!Z474="https://www.one2car.com/en/cars-for-sale/toyota/corolla-cross/year-2023"),'中古車掲載'!U474,"")</x:f>
      </x:c>
      <x:c r="BD473" s="3" t="str">
        <x:f>IF(AND('中古車掲載'!C474="One2car",'中古車掲載'!F474="ATTO 3",'中古車掲載'!L474="EXTENDED RANGE",'中古車掲載'!J474=2023,ISNUMBER('中古車掲載'!N474),'中古車掲載'!N474&gt;=20000,'中古車掲載'!O474&lt;=50000,'中古車掲載'!AL474=1),'中古車掲載'!U474,"")</x:f>
      </x:c>
      <x:c r="BE473" s="3" t="str">
        <x:f>IF(AND('中古車掲載'!C474="One2car",'中古車掲載'!F474="Corolla Cross",'中古車掲載'!L474="HEV PREMIUM SAFETY",'中古車掲載'!J474=2023,ISNUMBER('中古車掲載'!N474),'中古車掲載'!N474&gt;=20000,'中古車掲載'!O474&lt;=50000,'中古車掲載'!AL474=1,'中古車掲載'!Z474="https://www.one2car.com/en/cars-for-sale/toyota/corolla-cross/year-2023"),'中古車掲載'!U474,"")</x:f>
      </x:c>
      <x:c r="BF473" s="3" t="str">
        <x:f>IF(AND('中古車掲載'!C474="One2car",'中古車掲載'!F474="Corolla Cross",'中古車掲載'!L474="HEV PREMIUM",'中古車掲載'!J474=2023,ISNUMBER('中古車掲載'!N474),'中古車掲載'!N474&gt;=20000,'中古車掲載'!O474&lt;=100000,'中古車掲載'!AL474=1,'中古車掲載'!Z474="https://www.one2car.com/en/cars-for-sale/toyota/corolla-cross/year-2023"),'中古車掲載'!U474,"")</x:f>
      </x:c>
      <x:c r="BG473" s="3" t="str">
        <x:f>IF(AND('中古車掲載'!C474="One2car",'中古車掲載'!F474="Corolla Cross",'中古車掲載'!L474="HEV GR SPORT",'中古車掲載'!J474=2023,ISNUMBER('中古車掲載'!N474),'中古車掲載'!N474&gt;=20000,'中古車掲載'!O474&lt;=100000,'中古車掲載'!AL474=1,'中古車掲載'!Z474="https://www.one2car.com/en/cars-for-sale/toyota/corolla-cross/year-2023"),'中古車掲載'!U474,"")</x:f>
      </x:c>
      <x:c r="BH473" s="3" t="str">
        <x:f>IF(AND('中古車掲載'!C474="One2car",'中古車掲載'!F474="DOLPHIN",'中古車掲載'!L474="STANDARD RANGE",'中古車掲載'!J474=2023,ISNUMBER('中古車掲載'!N474),'中古車掲載'!N474&gt;=20000,'中古車掲載'!O474&lt;=100000,'中古車掲載'!AL474=1),'中古車掲載'!U474,"")</x:f>
      </x:c>
      <x:c r="BI473" s="3" t="str">
        <x:v>Taladrod|DOLPHIN|BEV|Unknown</x:v>
      </x:c>
      <x:c r="BJ473" s="3" t="n">
        <x:v>474</x:v>
      </x:c>
      <x:c r="BK473" s="3" t="n">
        <x:f>'中古車掲載'!AM474</x:f>
        <x:v>339000</x:v>
      </x:c>
      <x:c r="BL473" s="3" t="n">
        <x:f>IF(ISNUMBER('中古車掲載'!AN474),'中古車掲載'!AN474,"")</x:f>
        <x:v>0.4842864061234373</x:v>
      </x:c>
      <x:c r="BM473" s="3"/>
      <x:c r="BN473" s="3"/>
      <x:c r="BO473" s="3"/>
      <x:c r="BP473" s="3"/>
      <x:c r="BQ473" s="3"/>
      <x:c r="BR473" s="3"/>
    </x:row>
    <x:row r="474" ht="22" customHeight="1">
      <x:c r="A474" s="3" t="str">
        <x:v>Fortuner</x:v>
      </x:c>
      <x:c r="B474" s="3" t="str">
        <x:v>ICE</x:v>
      </x:c>
      <x:c r="C474" s="3" t="str">
        <x:v>Taladrod</x:v>
      </x:c>
      <x:c r="D474" s="3" t="str">
        <x:v>SUV</x:v>
      </x:c>
      <x:c r="E474" s="3" t="str"/>
      <x:c r="F474" s="3" t="n">
        <x:v>2020</x:v>
      </x:c>
      <x:c r="G474" s="3" t="str">
        <x:v>2.4 V</x:v>
      </x:c>
      <x:c r="H474" s="3" t="str">
        <x:v>未掲載</x:v>
      </x:c>
      <x:c r="I474" s="3" t="str">
        <x:v>15-ปัจจุบัน</x:v>
      </x:c>
      <x:c r="J474" s="22" t="n">
        <x:f>COUNT('中古車掲載'!AM494:AM502)</x:f>
        <x:v>9</x:v>
      </x:c>
      <x:c r="K474" s="22" t="n">
        <x:f>IF(COUNT('中古車掲載'!AM494:AM502)=0,"",QUARTILE('中古車掲載'!AM494:AM502,1))</x:f>
        <x:v>754000</x:v>
      </x:c>
      <x:c r="L474" s="22" t="n">
        <x:f>IF(COUNT('中古車掲載'!AM494:AM502)=0,"",MEDIAN('中古車掲載'!AM494:AM502))</x:f>
        <x:v>774000</x:v>
      </x:c>
      <x:c r="M474" s="22" t="n">
        <x:f>IF(COUNT('中古車掲載'!AM494:AM502)=0,"",QUARTILE('中古車掲載'!AM494:AM502,3))</x:f>
        <x:v>799000</x:v>
      </x:c>
      <x:c r="N474" s="22" t="n">
        <x:f>COUNT('中古車掲載'!AN494:AN502)</x:f>
        <x:v>0</x:v>
      </x:c>
      <x:c r="O474" s="23" t="str">
        <x:f>IF(COUNT('中古車掲載'!AN494:AN502)=0,"",MEDIAN('中古車掲載'!AN494:AN502))</x:f>
      </x:c>
      <x:c r="P474" s="3"/>
      <x:c r="Q474" s="3"/>
      <x:c r="R474" s="3"/>
      <x:c r="S474" s="3"/>
      <x:c r="T474" s="3"/>
      <x:c r="U474" s="3"/>
      <x:c r="V474" s="3"/>
      <x:c r="W474" s="3"/>
      <x:c r="X474" s="3"/>
      <x:c r="Y474" s="3"/>
      <x:c r="Z474" s="3"/>
      <x:c r="AA474" s="3"/>
      <x:c r="AB474" s="3"/>
      <x:c r="AC474" s="3"/>
      <x:c r="AD474" s="3"/>
      <x:c r="AE474" s="3"/>
      <x:c r="AF474" s="3"/>
      <x:c r="AG474" s="3"/>
      <x:c r="AH474" s="3"/>
      <x:c r="AI474" s="3"/>
      <x:c r="AJ474" s="3"/>
      <x:c r="AK474" s="3"/>
      <x:c r="AL474" s="3"/>
      <x:c r="AM474" s="3"/>
      <x:c r="AN474" s="3"/>
      <x:c r="AO474" s="3"/>
      <x:c r="AP474" s="3"/>
      <x:c r="AQ474" s="3"/>
      <x:c r="AR474" s="3"/>
      <x:c r="AS474" s="3"/>
      <x:c r="AT474" s="3"/>
      <x:c r="AU474" s="3"/>
      <x:c r="AV474" s="3"/>
      <x:c r="AW474" s="3"/>
      <x:c r="AX474" s="3"/>
      <x:c r="AY474" s="3"/>
      <x:c r="AZ474" s="3" t="str">
        <x:f>IF(AND('中古車掲載'!C475="One2car",'中古車掲載'!F475="ATTO 3",'中古車掲載'!L475="EXTENDED RANGE",'中古車掲載'!J475=2023,ISNUMBER('中古車掲載'!N475),'中古車掲載'!N475&gt;=20000,'中古車掲載'!O475&lt;=100000,'中古車掲載'!AL475=1),'中古車掲載'!U475,"")</x:f>
      </x:c>
      <x:c r="BA474" s="3" t="str">
        <x:f>IF(AND('中古車掲載'!C475="One2car",'中古車掲載'!F475="Corolla Cross",'中古車掲載'!L475="HEV PREMIUM SAFETY",'中古車掲載'!J475=2023,ISNUMBER('中古車掲載'!N475),'中古車掲載'!N475&gt;=20000,'中古車掲載'!O475&lt;=100000,'中古車掲載'!AL475=1,'中古車掲載'!Z475="https://www.one2car.com/en/cars-for-sale/toyota/corolla-cross/year-2023"),'中古車掲載'!U475,"")</x:f>
      </x:c>
      <x:c r="BB474" s="3" t="str">
        <x:f>IF(AND('中古車掲載'!C475="One2car",'中古車掲載'!F475="ATTO 3",'中古車掲載'!L475="EXTENDED RANGE",'中古車掲載'!J475=2023,ISNUMBER('中古車掲載'!N475),'中古車掲載'!N475&gt;=50000,'中古車掲載'!O475&lt;=100000,'中古車掲載'!AL475=1),'中古車掲載'!U475,"")</x:f>
      </x:c>
      <x:c r="BC474" s="3" t="str">
        <x:f>IF(AND('中古車掲載'!C475="One2car",'中古車掲載'!F475="Corolla Cross",'中古車掲載'!L475="HEV PREMIUM SAFETY",'中古車掲載'!J475=2023,ISNUMBER('中古車掲載'!N475),'中古車掲載'!N475&gt;=50000,'中古車掲載'!O475&lt;=100000,'中古車掲載'!AL475=1,'中古車掲載'!Z475="https://www.one2car.com/en/cars-for-sale/toyota/corolla-cross/year-2023"),'中古車掲載'!U475,"")</x:f>
      </x:c>
      <x:c r="BD474" s="3" t="str">
        <x:f>IF(AND('中古車掲載'!C475="One2car",'中古車掲載'!F475="ATTO 3",'中古車掲載'!L475="EXTENDED RANGE",'中古車掲載'!J475=2023,ISNUMBER('中古車掲載'!N475),'中古車掲載'!N475&gt;=20000,'中古車掲載'!O475&lt;=50000,'中古車掲載'!AL475=1),'中古車掲載'!U475,"")</x:f>
      </x:c>
      <x:c r="BE474" s="3" t="str">
        <x:f>IF(AND('中古車掲載'!C475="One2car",'中古車掲載'!F475="Corolla Cross",'中古車掲載'!L475="HEV PREMIUM SAFETY",'中古車掲載'!J475=2023,ISNUMBER('中古車掲載'!N475),'中古車掲載'!N475&gt;=20000,'中古車掲載'!O475&lt;=50000,'中古車掲載'!AL475=1,'中古車掲載'!Z475="https://www.one2car.com/en/cars-for-sale/toyota/corolla-cross/year-2023"),'中古車掲載'!U475,"")</x:f>
      </x:c>
      <x:c r="BF474" s="3" t="str">
        <x:f>IF(AND('中古車掲載'!C475="One2car",'中古車掲載'!F475="Corolla Cross",'中古車掲載'!L475="HEV PREMIUM",'中古車掲載'!J475=2023,ISNUMBER('中古車掲載'!N475),'中古車掲載'!N475&gt;=20000,'中古車掲載'!O475&lt;=100000,'中古車掲載'!AL475=1,'中古車掲載'!Z475="https://www.one2car.com/en/cars-for-sale/toyota/corolla-cross/year-2023"),'中古車掲載'!U475,"")</x:f>
      </x:c>
      <x:c r="BG474" s="3" t="str">
        <x:f>IF(AND('中古車掲載'!C475="One2car",'中古車掲載'!F475="Corolla Cross",'中古車掲載'!L475="HEV GR SPORT",'中古車掲載'!J475=2023,ISNUMBER('中古車掲載'!N475),'中古車掲載'!N475&gt;=20000,'中古車掲載'!O475&lt;=100000,'中古車掲載'!AL475=1,'中古車掲載'!Z475="https://www.one2car.com/en/cars-for-sale/toyota/corolla-cross/year-2023"),'中古車掲載'!U475,"")</x:f>
      </x:c>
      <x:c r="BH474" s="3" t="str">
        <x:f>IF(AND('中古車掲載'!C475="One2car",'中古車掲載'!F475="DOLPHIN",'中古車掲載'!L475="STANDARD RANGE",'中古車掲載'!J475=2023,ISNUMBER('中古車掲載'!N475),'中古車掲載'!N475&gt;=20000,'中古車掲載'!O475&lt;=100000,'中古車掲載'!AL475=1),'中古車掲載'!U475,"")</x:f>
      </x:c>
      <x:c r="BI474" s="3" t="str">
        <x:v>Taladrod|DOLPHIN|BEV|Unknown</x:v>
      </x:c>
      <x:c r="BJ474" s="3" t="n">
        <x:v>475</x:v>
      </x:c>
      <x:c r="BK474" s="3" t="n">
        <x:f>'中古車掲載'!AM475</x:f>
        <x:v>289000</x:v>
      </x:c>
      <x:c r="BL474" s="3" t="n">
        <x:f>IF(ISNUMBER('中古車掲載'!AN475),'中古車掲載'!AN475,"")</x:f>
        <x:v>0.4128577326539038</x:v>
      </x:c>
      <x:c r="BM474" s="3"/>
      <x:c r="BN474" s="3"/>
      <x:c r="BO474" s="3"/>
      <x:c r="BP474" s="3"/>
      <x:c r="BQ474" s="3"/>
      <x:c r="BR474" s="3"/>
    </x:row>
    <x:row r="475" ht="22" customHeight="1">
      <x:c r="A475" s="3" t="str">
        <x:v>Fortuner</x:v>
      </x:c>
      <x:c r="B475" s="3" t="str">
        <x:v>ICE</x:v>
      </x:c>
      <x:c r="C475" s="3" t="str">
        <x:v>Taladrod</x:v>
      </x:c>
      <x:c r="D475" s="3" t="str">
        <x:v>SUV</x:v>
      </x:c>
      <x:c r="E475" s="3" t="str"/>
      <x:c r="F475" s="3" t="n">
        <x:v>2020</x:v>
      </x:c>
      <x:c r="G475" s="3" t="str">
        <x:v>2.4 V 4WD</x:v>
      </x:c>
      <x:c r="H475" s="3" t="str">
        <x:v>未掲載</x:v>
      </x:c>
      <x:c r="I475" s="3" t="str">
        <x:v>15-ปัจจุบัน</x:v>
      </x:c>
      <x:c r="J475" s="22" t="n">
        <x:f>COUNT('中古車掲載'!AM503:AM510)</x:f>
        <x:v>8</x:v>
      </x:c>
      <x:c r="K475" s="22" t="n">
        <x:f>IF(COUNT('中古車掲載'!AM503:AM510)=0,"",QUARTILE('中古車掲載'!AM503:AM510,1))</x:f>
        <x:v>850500</x:v>
      </x:c>
      <x:c r="L475" s="22" t="n">
        <x:f>IF(COUNT('中古車掲載'!AM503:AM510)=0,"",MEDIAN('中古車掲載'!AM503:AM510))</x:f>
        <x:v>894000</x:v>
      </x:c>
      <x:c r="M475" s="22" t="n">
        <x:f>IF(COUNT('中古車掲載'!AM503:AM510)=0,"",QUARTILE('中古車掲載'!AM503:AM510,3))</x:f>
        <x:v>913000</x:v>
      </x:c>
      <x:c r="N475" s="22" t="n">
        <x:f>COUNT('中古車掲載'!AN503:AN510)</x:f>
        <x:v>0</x:v>
      </x:c>
      <x:c r="O475" s="23" t="str">
        <x:f>IF(COUNT('中古車掲載'!AN503:AN510)=0,"",MEDIAN('中古車掲載'!AN503:AN510))</x:f>
      </x:c>
      <x:c r="P475" s="3"/>
      <x:c r="Q475" s="3"/>
      <x:c r="R475" s="3"/>
      <x:c r="S475" s="3"/>
      <x:c r="T475" s="3"/>
      <x:c r="U475" s="3"/>
      <x:c r="V475" s="3"/>
      <x:c r="W475" s="3"/>
      <x:c r="X475" s="3"/>
      <x:c r="Y475" s="3"/>
      <x:c r="Z475" s="3"/>
      <x:c r="AA475" s="3"/>
      <x:c r="AB475" s="3"/>
      <x:c r="AC475" s="3"/>
      <x:c r="AD475" s="3"/>
      <x:c r="AE475" s="3"/>
      <x:c r="AF475" s="3"/>
      <x:c r="AG475" s="3"/>
      <x:c r="AH475" s="3"/>
      <x:c r="AI475" s="3"/>
      <x:c r="AJ475" s="3"/>
      <x:c r="AK475" s="3"/>
      <x:c r="AL475" s="3"/>
      <x:c r="AM475" s="3"/>
      <x:c r="AN475" s="3"/>
      <x:c r="AO475" s="3"/>
      <x:c r="AP475" s="3"/>
      <x:c r="AQ475" s="3"/>
      <x:c r="AR475" s="3"/>
      <x:c r="AS475" s="3"/>
      <x:c r="AT475" s="3"/>
      <x:c r="AU475" s="3"/>
      <x:c r="AV475" s="3"/>
      <x:c r="AW475" s="3"/>
      <x:c r="AX475" s="3"/>
      <x:c r="AY475" s="3"/>
      <x:c r="AZ475" s="3" t="str">
        <x:f>IF(AND('中古車掲載'!C476="One2car",'中古車掲載'!F476="ATTO 3",'中古車掲載'!L476="EXTENDED RANGE",'中古車掲載'!J476=2023,ISNUMBER('中古車掲載'!N476),'中古車掲載'!N476&gt;=20000,'中古車掲載'!O476&lt;=100000,'中古車掲載'!AL476=1),'中古車掲載'!U476,"")</x:f>
      </x:c>
      <x:c r="BA475" s="3" t="str">
        <x:f>IF(AND('中古車掲載'!C476="One2car",'中古車掲載'!F476="Corolla Cross",'中古車掲載'!L476="HEV PREMIUM SAFETY",'中古車掲載'!J476=2023,ISNUMBER('中古車掲載'!N476),'中古車掲載'!N476&gt;=20000,'中古車掲載'!O476&lt;=100000,'中古車掲載'!AL476=1,'中古車掲載'!Z476="https://www.one2car.com/en/cars-for-sale/toyota/corolla-cross/year-2023"),'中古車掲載'!U476,"")</x:f>
      </x:c>
      <x:c r="BB475" s="3" t="str">
        <x:f>IF(AND('中古車掲載'!C476="One2car",'中古車掲載'!F476="ATTO 3",'中古車掲載'!L476="EXTENDED RANGE",'中古車掲載'!J476=2023,ISNUMBER('中古車掲載'!N476),'中古車掲載'!N476&gt;=50000,'中古車掲載'!O476&lt;=100000,'中古車掲載'!AL476=1),'中古車掲載'!U476,"")</x:f>
      </x:c>
      <x:c r="BC475" s="3" t="str">
        <x:f>IF(AND('中古車掲載'!C476="One2car",'中古車掲載'!F476="Corolla Cross",'中古車掲載'!L476="HEV PREMIUM SAFETY",'中古車掲載'!J476=2023,ISNUMBER('中古車掲載'!N476),'中古車掲載'!N476&gt;=50000,'中古車掲載'!O476&lt;=100000,'中古車掲載'!AL476=1,'中古車掲載'!Z476="https://www.one2car.com/en/cars-for-sale/toyota/corolla-cross/year-2023"),'中古車掲載'!U476,"")</x:f>
      </x:c>
      <x:c r="BD475" s="3" t="str">
        <x:f>IF(AND('中古車掲載'!C476="One2car",'中古車掲載'!F476="ATTO 3",'中古車掲載'!L476="EXTENDED RANGE",'中古車掲載'!J476=2023,ISNUMBER('中古車掲載'!N476),'中古車掲載'!N476&gt;=20000,'中古車掲載'!O476&lt;=50000,'中古車掲載'!AL476=1),'中古車掲載'!U476,"")</x:f>
      </x:c>
      <x:c r="BE475" s="3" t="str">
        <x:f>IF(AND('中古車掲載'!C476="One2car",'中古車掲載'!F476="Corolla Cross",'中古車掲載'!L476="HEV PREMIUM SAFETY",'中古車掲載'!J476=2023,ISNUMBER('中古車掲載'!N476),'中古車掲載'!N476&gt;=20000,'中古車掲載'!O476&lt;=50000,'中古車掲載'!AL476=1,'中古車掲載'!Z476="https://www.one2car.com/en/cars-for-sale/toyota/corolla-cross/year-2023"),'中古車掲載'!U476,"")</x:f>
      </x:c>
      <x:c r="BF475" s="3" t="str">
        <x:f>IF(AND('中古車掲載'!C476="One2car",'中古車掲載'!F476="Corolla Cross",'中古車掲載'!L476="HEV PREMIUM",'中古車掲載'!J476=2023,ISNUMBER('中古車掲載'!N476),'中古車掲載'!N476&gt;=20000,'中古車掲載'!O476&lt;=100000,'中古車掲載'!AL476=1,'中古車掲載'!Z476="https://www.one2car.com/en/cars-for-sale/toyota/corolla-cross/year-2023"),'中古車掲載'!U476,"")</x:f>
      </x:c>
      <x:c r="BG475" s="3" t="str">
        <x:f>IF(AND('中古車掲載'!C476="One2car",'中古車掲載'!F476="Corolla Cross",'中古車掲載'!L476="HEV GR SPORT",'中古車掲載'!J476=2023,ISNUMBER('中古車掲載'!N476),'中古車掲載'!N476&gt;=20000,'中古車掲載'!O476&lt;=100000,'中古車掲載'!AL476=1,'中古車掲載'!Z476="https://www.one2car.com/en/cars-for-sale/toyota/corolla-cross/year-2023"),'中古車掲載'!U476,"")</x:f>
      </x:c>
      <x:c r="BH475" s="3" t="str">
        <x:f>IF(AND('中古車掲載'!C476="One2car",'中古車掲載'!F476="DOLPHIN",'中古車掲載'!L476="STANDARD RANGE",'中古車掲載'!J476=2023,ISNUMBER('中古車掲載'!N476),'中古車掲載'!N476&gt;=20000,'中古車掲載'!O476&lt;=100000,'中古車掲載'!AL476=1),'中古車掲載'!U476,"")</x:f>
      </x:c>
      <x:c r="BI475" s="3" t="str">
        <x:v>Taladrod|DOLPHIN|BEV|Unknown</x:v>
      </x:c>
      <x:c r="BJ475" s="3" t="n">
        <x:v>476</x:v>
      </x:c>
      <x:c r="BK475" s="3" t="n">
        <x:f>'中古車掲載'!AM476</x:f>
        <x:v>445000</x:v>
      </x:c>
      <x:c r="BL475" s="3" t="str">
        <x:f>IF(ISNUMBER('中古車掲載'!AN476),'中古車掲載'!AN476,"")</x:f>
      </x:c>
      <x:c r="BM475" s="3"/>
      <x:c r="BN475" s="3"/>
      <x:c r="BO475" s="3"/>
      <x:c r="BP475" s="3"/>
      <x:c r="BQ475" s="3"/>
      <x:c r="BR475" s="3"/>
    </x:row>
    <x:row r="476" ht="22" customHeight="1">
      <x:c r="A476" s="3" t="str">
        <x:v>Fortuner</x:v>
      </x:c>
      <x:c r="B476" s="3" t="str">
        <x:v>ICE</x:v>
      </x:c>
      <x:c r="C476" s="3" t="str">
        <x:v>Taladrod</x:v>
      </x:c>
      <x:c r="D476" s="3" t="str">
        <x:v>SUV</x:v>
      </x:c>
      <x:c r="E476" s="3" t="str"/>
      <x:c r="F476" s="3" t="n">
        <x:v>2020</x:v>
      </x:c>
      <x:c r="G476" s="3" t="str">
        <x:v>2.8 LEGENDER</x:v>
      </x:c>
      <x:c r="H476" s="3" t="str">
        <x:v>未掲載</x:v>
      </x:c>
      <x:c r="I476" s="3" t="str">
        <x:v>15-ปัจจุบัน</x:v>
      </x:c>
      <x:c r="J476" s="22" t="n">
        <x:f>COUNT('中古車掲載'!AM511:AM511)</x:f>
        <x:v>1</x:v>
      </x:c>
      <x:c r="K476" s="22" t="n">
        <x:f>IF(COUNT('中古車掲載'!AM511:AM511)=0,"",QUARTILE('中古車掲載'!AM511:AM511,1))</x:f>
        <x:v>779000</x:v>
      </x:c>
      <x:c r="L476" s="22" t="n">
        <x:f>IF(COUNT('中古車掲載'!AM511:AM511)=0,"",MEDIAN('中古車掲載'!AM511:AM511))</x:f>
        <x:v>779000</x:v>
      </x:c>
      <x:c r="M476" s="22" t="n">
        <x:f>IF(COUNT('中古車掲載'!AM511:AM511)=0,"",QUARTILE('中古車掲載'!AM511:AM511,3))</x:f>
        <x:v>779000</x:v>
      </x:c>
      <x:c r="N476" s="22" t="n">
        <x:f>COUNT('中古車掲載'!AN511:AN511)</x:f>
        <x:v>0</x:v>
      </x:c>
      <x:c r="O476" s="23" t="str">
        <x:f>IF(COUNT('中古車掲載'!AN511:AN511)=0,"",MEDIAN('中古車掲載'!AN511:AN511))</x:f>
      </x:c>
      <x:c r="P476" s="3"/>
      <x:c r="Q476" s="3"/>
      <x:c r="R476" s="3"/>
      <x:c r="S476" s="3"/>
      <x:c r="T476" s="3"/>
      <x:c r="U476" s="3"/>
      <x:c r="V476" s="3"/>
      <x:c r="W476" s="3"/>
      <x:c r="X476" s="3"/>
      <x:c r="Y476" s="3"/>
      <x:c r="Z476" s="3"/>
      <x:c r="AA476" s="3"/>
      <x:c r="AB476" s="3"/>
      <x:c r="AC476" s="3"/>
      <x:c r="AD476" s="3"/>
      <x:c r="AE476" s="3"/>
      <x:c r="AF476" s="3"/>
      <x:c r="AG476" s="3"/>
      <x:c r="AH476" s="3"/>
      <x:c r="AI476" s="3"/>
      <x:c r="AJ476" s="3"/>
      <x:c r="AK476" s="3"/>
      <x:c r="AL476" s="3"/>
      <x:c r="AM476" s="3"/>
      <x:c r="AN476" s="3"/>
      <x:c r="AO476" s="3"/>
      <x:c r="AP476" s="3"/>
      <x:c r="AQ476" s="3"/>
      <x:c r="AR476" s="3"/>
      <x:c r="AS476" s="3"/>
      <x:c r="AT476" s="3"/>
      <x:c r="AU476" s="3"/>
      <x:c r="AV476" s="3"/>
      <x:c r="AW476" s="3"/>
      <x:c r="AX476" s="3"/>
      <x:c r="AY476" s="3"/>
      <x:c r="AZ476" s="3" t="str">
        <x:f>IF(AND('中古車掲載'!C477="One2car",'中古車掲載'!F477="ATTO 3",'中古車掲載'!L477="EXTENDED RANGE",'中古車掲載'!J477=2023,ISNUMBER('中古車掲載'!N477),'中古車掲載'!N477&gt;=20000,'中古車掲載'!O477&lt;=100000,'中古車掲載'!AL477=1),'中古車掲載'!U477,"")</x:f>
      </x:c>
      <x:c r="BA476" s="3" t="str">
        <x:f>IF(AND('中古車掲載'!C477="One2car",'中古車掲載'!F477="Corolla Cross",'中古車掲載'!L477="HEV PREMIUM SAFETY",'中古車掲載'!J477=2023,ISNUMBER('中古車掲載'!N477),'中古車掲載'!N477&gt;=20000,'中古車掲載'!O477&lt;=100000,'中古車掲載'!AL477=1,'中古車掲載'!Z477="https://www.one2car.com/en/cars-for-sale/toyota/corolla-cross/year-2023"),'中古車掲載'!U477,"")</x:f>
      </x:c>
      <x:c r="BB476" s="3" t="str">
        <x:f>IF(AND('中古車掲載'!C477="One2car",'中古車掲載'!F477="ATTO 3",'中古車掲載'!L477="EXTENDED RANGE",'中古車掲載'!J477=2023,ISNUMBER('中古車掲載'!N477),'中古車掲載'!N477&gt;=50000,'中古車掲載'!O477&lt;=100000,'中古車掲載'!AL477=1),'中古車掲載'!U477,"")</x:f>
      </x:c>
      <x:c r="BC476" s="3" t="str">
        <x:f>IF(AND('中古車掲載'!C477="One2car",'中古車掲載'!F477="Corolla Cross",'中古車掲載'!L477="HEV PREMIUM SAFETY",'中古車掲載'!J477=2023,ISNUMBER('中古車掲載'!N477),'中古車掲載'!N477&gt;=50000,'中古車掲載'!O477&lt;=100000,'中古車掲載'!AL477=1,'中古車掲載'!Z477="https://www.one2car.com/en/cars-for-sale/toyota/corolla-cross/year-2023"),'中古車掲載'!U477,"")</x:f>
      </x:c>
      <x:c r="BD476" s="3" t="str">
        <x:f>IF(AND('中古車掲載'!C477="One2car",'中古車掲載'!F477="ATTO 3",'中古車掲載'!L477="EXTENDED RANGE",'中古車掲載'!J477=2023,ISNUMBER('中古車掲載'!N477),'中古車掲載'!N477&gt;=20000,'中古車掲載'!O477&lt;=50000,'中古車掲載'!AL477=1),'中古車掲載'!U477,"")</x:f>
      </x:c>
      <x:c r="BE476" s="3" t="str">
        <x:f>IF(AND('中古車掲載'!C477="One2car",'中古車掲載'!F477="Corolla Cross",'中古車掲載'!L477="HEV PREMIUM SAFETY",'中古車掲載'!J477=2023,ISNUMBER('中古車掲載'!N477),'中古車掲載'!N477&gt;=20000,'中古車掲載'!O477&lt;=50000,'中古車掲載'!AL477=1,'中古車掲載'!Z477="https://www.one2car.com/en/cars-for-sale/toyota/corolla-cross/year-2023"),'中古車掲載'!U477,"")</x:f>
      </x:c>
      <x:c r="BF476" s="3" t="str">
        <x:f>IF(AND('中古車掲載'!C477="One2car",'中古車掲載'!F477="Corolla Cross",'中古車掲載'!L477="HEV PREMIUM",'中古車掲載'!J477=2023,ISNUMBER('中古車掲載'!N477),'中古車掲載'!N477&gt;=20000,'中古車掲載'!O477&lt;=100000,'中古車掲載'!AL477=1,'中古車掲載'!Z477="https://www.one2car.com/en/cars-for-sale/toyota/corolla-cross/year-2023"),'中古車掲載'!U477,"")</x:f>
      </x:c>
      <x:c r="BG476" s="3" t="str">
        <x:f>IF(AND('中古車掲載'!C477="One2car",'中古車掲載'!F477="Corolla Cross",'中古車掲載'!L477="HEV GR SPORT",'中古車掲載'!J477=2023,ISNUMBER('中古車掲載'!N477),'中古車掲載'!N477&gt;=20000,'中古車掲載'!O477&lt;=100000,'中古車掲載'!AL477=1,'中古車掲載'!Z477="https://www.one2car.com/en/cars-for-sale/toyota/corolla-cross/year-2023"),'中古車掲載'!U477,"")</x:f>
      </x:c>
      <x:c r="BH476" s="3" t="str">
        <x:f>IF(AND('中古車掲載'!C477="One2car",'中古車掲載'!F477="DOLPHIN",'中古車掲載'!L477="STANDARD RANGE",'中古車掲載'!J477=2023,ISNUMBER('中古車掲載'!N477),'中古車掲載'!N477&gt;=20000,'中古車掲載'!O477&lt;=100000,'中古車掲載'!AL477=1),'中古車掲載'!U477,"")</x:f>
      </x:c>
      <x:c r="BI476" s="3" t="str">
        <x:v>Taladrod|DOLPHIN|BEV|Unknown</x:v>
      </x:c>
      <x:c r="BJ476" s="3" t="n">
        <x:v>477</x:v>
      </x:c>
      <x:c r="BK476" s="3" t="n">
        <x:f>'中古車掲載'!AM477</x:f>
        <x:v>325000</x:v>
      </x:c>
      <x:c r="BL476" s="3" t="str">
        <x:f>IF(ISNUMBER('中古車掲載'!AN477),'中古車掲載'!AN477,"")</x:f>
      </x:c>
      <x:c r="BM476" s="3"/>
      <x:c r="BN476" s="3"/>
      <x:c r="BO476" s="3"/>
      <x:c r="BP476" s="3"/>
      <x:c r="BQ476" s="3"/>
      <x:c r="BR476" s="3"/>
    </x:row>
    <x:row r="477" ht="22" customHeight="1">
      <x:c r="A477" s="3" t="str">
        <x:v>Fortuner</x:v>
      </x:c>
      <x:c r="B477" s="3" t="str">
        <x:v>ICE</x:v>
      </x:c>
      <x:c r="C477" s="3" t="str">
        <x:v>Taladrod</x:v>
      </x:c>
      <x:c r="D477" s="3" t="str">
        <x:v>SUV</x:v>
      </x:c>
      <x:c r="E477" s="3" t="str"/>
      <x:c r="F477" s="3" t="n">
        <x:v>2020</x:v>
      </x:c>
      <x:c r="G477" s="3" t="str">
        <x:v>2.8 LEGENDER BLACK TOP</x:v>
      </x:c>
      <x:c r="H477" s="3" t="str">
        <x:v>未掲載</x:v>
      </x:c>
      <x:c r="I477" s="3" t="str">
        <x:v>15-ปัจจุบัน</x:v>
      </x:c>
      <x:c r="J477" s="22" t="n">
        <x:f>COUNT('中古車掲載'!AM512:AM512)</x:f>
        <x:v>1</x:v>
      </x:c>
      <x:c r="K477" s="22" t="n">
        <x:f>IF(COUNT('中古車掲載'!AM512:AM512)=0,"",QUARTILE('中古車掲載'!AM512:AM512,1))</x:f>
        <x:v>779000</x:v>
      </x:c>
      <x:c r="L477" s="22" t="n">
        <x:f>IF(COUNT('中古車掲載'!AM512:AM512)=0,"",MEDIAN('中古車掲載'!AM512:AM512))</x:f>
        <x:v>779000</x:v>
      </x:c>
      <x:c r="M477" s="22" t="n">
        <x:f>IF(COUNT('中古車掲載'!AM512:AM512)=0,"",QUARTILE('中古車掲載'!AM512:AM512,3))</x:f>
        <x:v>779000</x:v>
      </x:c>
      <x:c r="N477" s="22" t="n">
        <x:f>COUNT('中古車掲載'!AN512:AN512)</x:f>
        <x:v>0</x:v>
      </x:c>
      <x:c r="O477" s="23" t="str">
        <x:f>IF(COUNT('中古車掲載'!AN512:AN512)=0,"",MEDIAN('中古車掲載'!AN512:AN512))</x:f>
      </x:c>
      <x:c r="P477" s="3"/>
      <x:c r="Q477" s="3"/>
      <x:c r="R477" s="3"/>
      <x:c r="S477" s="3"/>
      <x:c r="T477" s="3"/>
      <x:c r="U477" s="3"/>
      <x:c r="V477" s="3"/>
      <x:c r="W477" s="3"/>
      <x:c r="X477" s="3"/>
      <x:c r="Y477" s="3"/>
      <x:c r="Z477" s="3"/>
      <x:c r="AA477" s="3"/>
      <x:c r="AB477" s="3"/>
      <x:c r="AC477" s="3"/>
      <x:c r="AD477" s="3"/>
      <x:c r="AE477" s="3"/>
      <x:c r="AF477" s="3"/>
      <x:c r="AG477" s="3"/>
      <x:c r="AH477" s="3"/>
      <x:c r="AI477" s="3"/>
      <x:c r="AJ477" s="3"/>
      <x:c r="AK477" s="3"/>
      <x:c r="AL477" s="3"/>
      <x:c r="AM477" s="3"/>
      <x:c r="AN477" s="3"/>
      <x:c r="AO477" s="3"/>
      <x:c r="AP477" s="3"/>
      <x:c r="AQ477" s="3"/>
      <x:c r="AR477" s="3"/>
      <x:c r="AS477" s="3"/>
      <x:c r="AT477" s="3"/>
      <x:c r="AU477" s="3"/>
      <x:c r="AV477" s="3"/>
      <x:c r="AW477" s="3"/>
      <x:c r="AX477" s="3"/>
      <x:c r="AY477" s="3"/>
      <x:c r="AZ477" s="3" t="str">
        <x:f>IF(AND('中古車掲載'!C478="One2car",'中古車掲載'!F478="ATTO 3",'中古車掲載'!L478="EXTENDED RANGE",'中古車掲載'!J478=2023,ISNUMBER('中古車掲載'!N478),'中古車掲載'!N478&gt;=20000,'中古車掲載'!O478&lt;=100000,'中古車掲載'!AL478=1),'中古車掲載'!U478,"")</x:f>
      </x:c>
      <x:c r="BA477" s="3" t="str">
        <x:f>IF(AND('中古車掲載'!C478="One2car",'中古車掲載'!F478="Corolla Cross",'中古車掲載'!L478="HEV PREMIUM SAFETY",'中古車掲載'!J478=2023,ISNUMBER('中古車掲載'!N478),'中古車掲載'!N478&gt;=20000,'中古車掲載'!O478&lt;=100000,'中古車掲載'!AL478=1,'中古車掲載'!Z478="https://www.one2car.com/en/cars-for-sale/toyota/corolla-cross/year-2023"),'中古車掲載'!U478,"")</x:f>
      </x:c>
      <x:c r="BB477" s="3" t="str">
        <x:f>IF(AND('中古車掲載'!C478="One2car",'中古車掲載'!F478="ATTO 3",'中古車掲載'!L478="EXTENDED RANGE",'中古車掲載'!J478=2023,ISNUMBER('中古車掲載'!N478),'中古車掲載'!N478&gt;=50000,'中古車掲載'!O478&lt;=100000,'中古車掲載'!AL478=1),'中古車掲載'!U478,"")</x:f>
      </x:c>
      <x:c r="BC477" s="3" t="str">
        <x:f>IF(AND('中古車掲載'!C478="One2car",'中古車掲載'!F478="Corolla Cross",'中古車掲載'!L478="HEV PREMIUM SAFETY",'中古車掲載'!J478=2023,ISNUMBER('中古車掲載'!N478),'中古車掲載'!N478&gt;=50000,'中古車掲載'!O478&lt;=100000,'中古車掲載'!AL478=1,'中古車掲載'!Z478="https://www.one2car.com/en/cars-for-sale/toyota/corolla-cross/year-2023"),'中古車掲載'!U478,"")</x:f>
      </x:c>
      <x:c r="BD477" s="3" t="str">
        <x:f>IF(AND('中古車掲載'!C478="One2car",'中古車掲載'!F478="ATTO 3",'中古車掲載'!L478="EXTENDED RANGE",'中古車掲載'!J478=2023,ISNUMBER('中古車掲載'!N478),'中古車掲載'!N478&gt;=20000,'中古車掲載'!O478&lt;=50000,'中古車掲載'!AL478=1),'中古車掲載'!U478,"")</x:f>
      </x:c>
      <x:c r="BE477" s="3" t="str">
        <x:f>IF(AND('中古車掲載'!C478="One2car",'中古車掲載'!F478="Corolla Cross",'中古車掲載'!L478="HEV PREMIUM SAFETY",'中古車掲載'!J478=2023,ISNUMBER('中古車掲載'!N478),'中古車掲載'!N478&gt;=20000,'中古車掲載'!O478&lt;=50000,'中古車掲載'!AL478=1,'中古車掲載'!Z478="https://www.one2car.com/en/cars-for-sale/toyota/corolla-cross/year-2023"),'中古車掲載'!U478,"")</x:f>
      </x:c>
      <x:c r="BF477" s="3" t="str">
        <x:f>IF(AND('中古車掲載'!C478="One2car",'中古車掲載'!F478="Corolla Cross",'中古車掲載'!L478="HEV PREMIUM",'中古車掲載'!J478=2023,ISNUMBER('中古車掲載'!N478),'中古車掲載'!N478&gt;=20000,'中古車掲載'!O478&lt;=100000,'中古車掲載'!AL478=1,'中古車掲載'!Z478="https://www.one2car.com/en/cars-for-sale/toyota/corolla-cross/year-2023"),'中古車掲載'!U478,"")</x:f>
      </x:c>
      <x:c r="BG477" s="3" t="str">
        <x:f>IF(AND('中古車掲載'!C478="One2car",'中古車掲載'!F478="Corolla Cross",'中古車掲載'!L478="HEV GR SPORT",'中古車掲載'!J478=2023,ISNUMBER('中古車掲載'!N478),'中古車掲載'!N478&gt;=20000,'中古車掲載'!O478&lt;=100000,'中古車掲載'!AL478=1,'中古車掲載'!Z478="https://www.one2car.com/en/cars-for-sale/toyota/corolla-cross/year-2023"),'中古車掲載'!U478,"")</x:f>
      </x:c>
      <x:c r="BH477" s="3" t="str">
        <x:f>IF(AND('中古車掲載'!C478="One2car",'中古車掲載'!F478="DOLPHIN",'中古車掲載'!L478="STANDARD RANGE",'中古車掲載'!J478=2023,ISNUMBER('中古車掲載'!N478),'中古車掲載'!N478&gt;=20000,'中古車掲載'!O478&lt;=100000,'中古車掲載'!AL478=1),'中古車掲載'!U478,"")</x:f>
      </x:c>
      <x:c r="BI477" s="3" t="str">
        <x:v>Taladrod|DOLPHIN|BEV|Unknown</x:v>
      </x:c>
      <x:c r="BJ477" s="3" t="n">
        <x:v>478</x:v>
      </x:c>
      <x:c r="BK477" s="3" t="n">
        <x:f>'中古車掲載'!AM478</x:f>
        <x:v>379000</x:v>
      </x:c>
      <x:c r="BL477" s="3" t="str">
        <x:f>IF(ISNUMBER('中古車掲載'!AN478),'中古車掲載'!AN478,"")</x:f>
      </x:c>
      <x:c r="BM477" s="3"/>
      <x:c r="BN477" s="3"/>
      <x:c r="BO477" s="3"/>
      <x:c r="BP477" s="3"/>
      <x:c r="BQ477" s="3"/>
      <x:c r="BR477" s="3"/>
    </x:row>
    <x:row r="478" ht="22" customHeight="1">
      <x:c r="A478" s="3" t="str">
        <x:v>Fortuner</x:v>
      </x:c>
      <x:c r="B478" s="3" t="str">
        <x:v>ICE</x:v>
      </x:c>
      <x:c r="C478" s="3" t="str">
        <x:v>Taladrod</x:v>
      </x:c>
      <x:c r="D478" s="3" t="str">
        <x:v>SUV</x:v>
      </x:c>
      <x:c r="E478" s="3" t="str"/>
      <x:c r="F478" s="3" t="n">
        <x:v>2020</x:v>
      </x:c>
      <x:c r="G478" s="3" t="str">
        <x:v>2.8 TRD SPORTIVO 2WD</x:v>
      </x:c>
      <x:c r="H478" s="3" t="str">
        <x:v>未掲載</x:v>
      </x:c>
      <x:c r="I478" s="3" t="str">
        <x:v>15-ปัจจุบัน</x:v>
      </x:c>
      <x:c r="J478" s="22" t="n">
        <x:f>COUNT('中古車掲載'!AM513:AM513)</x:f>
        <x:v>1</x:v>
      </x:c>
      <x:c r="K478" s="22" t="n">
        <x:f>IF(COUNT('中古車掲載'!AM513:AM513)=0,"",QUARTILE('中古車掲載'!AM513:AM513,1))</x:f>
        <x:v>889000</x:v>
      </x:c>
      <x:c r="L478" s="22" t="n">
        <x:f>IF(COUNT('中古車掲載'!AM513:AM513)=0,"",MEDIAN('中古車掲載'!AM513:AM513))</x:f>
        <x:v>889000</x:v>
      </x:c>
      <x:c r="M478" s="22" t="n">
        <x:f>IF(COUNT('中古車掲載'!AM513:AM513)=0,"",QUARTILE('中古車掲載'!AM513:AM513,3))</x:f>
        <x:v>889000</x:v>
      </x:c>
      <x:c r="N478" s="22" t="n">
        <x:f>COUNT('中古車掲載'!AN513:AN513)</x:f>
        <x:v>0</x:v>
      </x:c>
      <x:c r="O478" s="23" t="str">
        <x:f>IF(COUNT('中古車掲載'!AN513:AN513)=0,"",MEDIAN('中古車掲載'!AN513:AN513))</x:f>
      </x:c>
      <x:c r="P478" s="3"/>
      <x:c r="Q478" s="3"/>
      <x:c r="R478" s="3"/>
      <x:c r="S478" s="3"/>
      <x:c r="T478" s="3"/>
      <x:c r="U478" s="3"/>
      <x:c r="V478" s="3"/>
      <x:c r="W478" s="3"/>
      <x:c r="X478" s="3"/>
      <x:c r="Y478" s="3"/>
      <x:c r="Z478" s="3"/>
      <x:c r="AA478" s="3"/>
      <x:c r="AB478" s="3"/>
      <x:c r="AC478" s="3"/>
      <x:c r="AD478" s="3"/>
      <x:c r="AE478" s="3"/>
      <x:c r="AF478" s="3"/>
      <x:c r="AG478" s="3"/>
      <x:c r="AH478" s="3"/>
      <x:c r="AI478" s="3"/>
      <x:c r="AJ478" s="3"/>
      <x:c r="AK478" s="3"/>
      <x:c r="AL478" s="3"/>
      <x:c r="AM478" s="3"/>
      <x:c r="AN478" s="3"/>
      <x:c r="AO478" s="3"/>
      <x:c r="AP478" s="3"/>
      <x:c r="AQ478" s="3"/>
      <x:c r="AR478" s="3"/>
      <x:c r="AS478" s="3"/>
      <x:c r="AT478" s="3"/>
      <x:c r="AU478" s="3"/>
      <x:c r="AV478" s="3"/>
      <x:c r="AW478" s="3"/>
      <x:c r="AX478" s="3"/>
      <x:c r="AY478" s="3"/>
      <x:c r="AZ478" s="3" t="str">
        <x:f>IF(AND('中古車掲載'!C479="One2car",'中古車掲載'!F479="ATTO 3",'中古車掲載'!L479="EXTENDED RANGE",'中古車掲載'!J479=2023,ISNUMBER('中古車掲載'!N479),'中古車掲載'!N479&gt;=20000,'中古車掲載'!O479&lt;=100000,'中古車掲載'!AL479=1),'中古車掲載'!U479,"")</x:f>
      </x:c>
      <x:c r="BA478" s="3" t="str">
        <x:f>IF(AND('中古車掲載'!C479="One2car",'中古車掲載'!F479="Corolla Cross",'中古車掲載'!L479="HEV PREMIUM SAFETY",'中古車掲載'!J479=2023,ISNUMBER('中古車掲載'!N479),'中古車掲載'!N479&gt;=20000,'中古車掲載'!O479&lt;=100000,'中古車掲載'!AL479=1,'中古車掲載'!Z479="https://www.one2car.com/en/cars-for-sale/toyota/corolla-cross/year-2023"),'中古車掲載'!U479,"")</x:f>
      </x:c>
      <x:c r="BB478" s="3" t="str">
        <x:f>IF(AND('中古車掲載'!C479="One2car",'中古車掲載'!F479="ATTO 3",'中古車掲載'!L479="EXTENDED RANGE",'中古車掲載'!J479=2023,ISNUMBER('中古車掲載'!N479),'中古車掲載'!N479&gt;=50000,'中古車掲載'!O479&lt;=100000,'中古車掲載'!AL479=1),'中古車掲載'!U479,"")</x:f>
      </x:c>
      <x:c r="BC478" s="3" t="str">
        <x:f>IF(AND('中古車掲載'!C479="One2car",'中古車掲載'!F479="Corolla Cross",'中古車掲載'!L479="HEV PREMIUM SAFETY",'中古車掲載'!J479=2023,ISNUMBER('中古車掲載'!N479),'中古車掲載'!N479&gt;=50000,'中古車掲載'!O479&lt;=100000,'中古車掲載'!AL479=1,'中古車掲載'!Z479="https://www.one2car.com/en/cars-for-sale/toyota/corolla-cross/year-2023"),'中古車掲載'!U479,"")</x:f>
      </x:c>
      <x:c r="BD478" s="3" t="str">
        <x:f>IF(AND('中古車掲載'!C479="One2car",'中古車掲載'!F479="ATTO 3",'中古車掲載'!L479="EXTENDED RANGE",'中古車掲載'!J479=2023,ISNUMBER('中古車掲載'!N479),'中古車掲載'!N479&gt;=20000,'中古車掲載'!O479&lt;=50000,'中古車掲載'!AL479=1),'中古車掲載'!U479,"")</x:f>
      </x:c>
      <x:c r="BE478" s="3" t="str">
        <x:f>IF(AND('中古車掲載'!C479="One2car",'中古車掲載'!F479="Corolla Cross",'中古車掲載'!L479="HEV PREMIUM SAFETY",'中古車掲載'!J479=2023,ISNUMBER('中古車掲載'!N479),'中古車掲載'!N479&gt;=20000,'中古車掲載'!O479&lt;=50000,'中古車掲載'!AL479=1,'中古車掲載'!Z479="https://www.one2car.com/en/cars-for-sale/toyota/corolla-cross/year-2023"),'中古車掲載'!U479,"")</x:f>
      </x:c>
      <x:c r="BF478" s="3" t="str">
        <x:f>IF(AND('中古車掲載'!C479="One2car",'中古車掲載'!F479="Corolla Cross",'中古車掲載'!L479="HEV PREMIUM",'中古車掲載'!J479=2023,ISNUMBER('中古車掲載'!N479),'中古車掲載'!N479&gt;=20000,'中古車掲載'!O479&lt;=100000,'中古車掲載'!AL479=1,'中古車掲載'!Z479="https://www.one2car.com/en/cars-for-sale/toyota/corolla-cross/year-2023"),'中古車掲載'!U479,"")</x:f>
      </x:c>
      <x:c r="BG478" s="3" t="str">
        <x:f>IF(AND('中古車掲載'!C479="One2car",'中古車掲載'!F479="Corolla Cross",'中古車掲載'!L479="HEV GR SPORT",'中古車掲載'!J479=2023,ISNUMBER('中古車掲載'!N479),'中古車掲載'!N479&gt;=20000,'中古車掲載'!O479&lt;=100000,'中古車掲載'!AL479=1,'中古車掲載'!Z479="https://www.one2car.com/en/cars-for-sale/toyota/corolla-cross/year-2023"),'中古車掲載'!U479,"")</x:f>
      </x:c>
      <x:c r="BH478" s="3" t="str">
        <x:f>IF(AND('中古車掲載'!C479="One2car",'中古車掲載'!F479="DOLPHIN",'中古車掲載'!L479="STANDARD RANGE",'中古車掲載'!J479=2023,ISNUMBER('中古車掲載'!N479),'中古車掲載'!N479&gt;=20000,'中古車掲載'!O479&lt;=100000,'中古車掲載'!AL479=1),'中古車掲載'!U479,"")</x:f>
      </x:c>
      <x:c r="BI478" s="3" t="str">
        <x:v>Taladrod|DOLPHIN|BEV|Unknown</x:v>
      </x:c>
      <x:c r="BJ478" s="3" t="n">
        <x:v>479</x:v>
      </x:c>
      <x:c r="BK478" s="3" t="n">
        <x:f>'中古車掲載'!AM479</x:f>
        <x:v>330000</x:v>
      </x:c>
      <x:c r="BL478" s="3" t="str">
        <x:f>IF(ISNUMBER('中古車掲載'!AN479),'中古車掲載'!AN479,"")</x:f>
      </x:c>
      <x:c r="BM478" s="3"/>
      <x:c r="BN478" s="3"/>
      <x:c r="BO478" s="3"/>
      <x:c r="BP478" s="3"/>
      <x:c r="BQ478" s="3"/>
      <x:c r="BR478" s="3"/>
    </x:row>
    <x:row r="479" ht="22" customHeight="1">
      <x:c r="A479" s="3" t="str">
        <x:v>Fortuner</x:v>
      </x:c>
      <x:c r="B479" s="3" t="str">
        <x:v>ICE</x:v>
      </x:c>
      <x:c r="C479" s="3" t="str">
        <x:v>Taladrod</x:v>
      </x:c>
      <x:c r="D479" s="3" t="str">
        <x:v>SUV</x:v>
      </x:c>
      <x:c r="E479" s="3" t="str"/>
      <x:c r="F479" s="3" t="n">
        <x:v>2020</x:v>
      </x:c>
      <x:c r="G479" s="3" t="str">
        <x:v>2.8 TRD SPORTIVO 4WD</x:v>
      </x:c>
      <x:c r="H479" s="3" t="str">
        <x:v>未掲載</x:v>
      </x:c>
      <x:c r="I479" s="3" t="str">
        <x:v>15-ปัจจุบัน</x:v>
      </x:c>
      <x:c r="J479" s="22" t="n">
        <x:f>COUNT('中古車掲載'!AM514:AM514)</x:f>
        <x:v>1</x:v>
      </x:c>
      <x:c r="K479" s="22" t="n">
        <x:f>IF(COUNT('中古車掲載'!AM514:AM514)=0,"",QUARTILE('中古車掲載'!AM514:AM514,1))</x:f>
        <x:v>799000</x:v>
      </x:c>
      <x:c r="L479" s="22" t="n">
        <x:f>IF(COUNT('中古車掲載'!AM514:AM514)=0,"",MEDIAN('中古車掲載'!AM514:AM514))</x:f>
        <x:v>799000</x:v>
      </x:c>
      <x:c r="M479" s="22" t="n">
        <x:f>IF(COUNT('中古車掲載'!AM514:AM514)=0,"",QUARTILE('中古車掲載'!AM514:AM514,3))</x:f>
        <x:v>799000</x:v>
      </x:c>
      <x:c r="N479" s="22" t="n">
        <x:f>COUNT('中古車掲載'!AN514:AN514)</x:f>
        <x:v>0</x:v>
      </x:c>
      <x:c r="O479" s="23" t="str">
        <x:f>IF(COUNT('中古車掲載'!AN514:AN514)=0,"",MEDIAN('中古車掲載'!AN514:AN514))</x:f>
      </x:c>
      <x:c r="P479" s="3"/>
      <x:c r="Q479" s="3"/>
      <x:c r="R479" s="3"/>
      <x:c r="S479" s="3"/>
      <x:c r="T479" s="3"/>
      <x:c r="U479" s="3"/>
      <x:c r="V479" s="3"/>
      <x:c r="W479" s="3"/>
      <x:c r="X479" s="3"/>
      <x:c r="Y479" s="3"/>
      <x:c r="Z479" s="3"/>
      <x:c r="AA479" s="3"/>
      <x:c r="AB479" s="3"/>
      <x:c r="AC479" s="3"/>
      <x:c r="AD479" s="3"/>
      <x:c r="AE479" s="3"/>
      <x:c r="AF479" s="3"/>
      <x:c r="AG479" s="3"/>
      <x:c r="AH479" s="3"/>
      <x:c r="AI479" s="3"/>
      <x:c r="AJ479" s="3"/>
      <x:c r="AK479" s="3"/>
      <x:c r="AL479" s="3"/>
      <x:c r="AM479" s="3"/>
      <x:c r="AN479" s="3"/>
      <x:c r="AO479" s="3"/>
      <x:c r="AP479" s="3"/>
      <x:c r="AQ479" s="3"/>
      <x:c r="AR479" s="3"/>
      <x:c r="AS479" s="3"/>
      <x:c r="AT479" s="3"/>
      <x:c r="AU479" s="3"/>
      <x:c r="AV479" s="3"/>
      <x:c r="AW479" s="3"/>
      <x:c r="AX479" s="3"/>
      <x:c r="AY479" s="3"/>
      <x:c r="AZ479" s="3" t="str">
        <x:f>IF(AND('中古車掲載'!C480="One2car",'中古車掲載'!F480="ATTO 3",'中古車掲載'!L480="EXTENDED RANGE",'中古車掲載'!J480=2023,ISNUMBER('中古車掲載'!N480),'中古車掲載'!N480&gt;=20000,'中古車掲載'!O480&lt;=100000,'中古車掲載'!AL480=1),'中古車掲載'!U480,"")</x:f>
      </x:c>
      <x:c r="BA479" s="3" t="str">
        <x:f>IF(AND('中古車掲載'!C480="One2car",'中古車掲載'!F480="Corolla Cross",'中古車掲載'!L480="HEV PREMIUM SAFETY",'中古車掲載'!J480=2023,ISNUMBER('中古車掲載'!N480),'中古車掲載'!N480&gt;=20000,'中古車掲載'!O480&lt;=100000,'中古車掲載'!AL480=1,'中古車掲載'!Z480="https://www.one2car.com/en/cars-for-sale/toyota/corolla-cross/year-2023"),'中古車掲載'!U480,"")</x:f>
      </x:c>
      <x:c r="BB479" s="3" t="str">
        <x:f>IF(AND('中古車掲載'!C480="One2car",'中古車掲載'!F480="ATTO 3",'中古車掲載'!L480="EXTENDED RANGE",'中古車掲載'!J480=2023,ISNUMBER('中古車掲載'!N480),'中古車掲載'!N480&gt;=50000,'中古車掲載'!O480&lt;=100000,'中古車掲載'!AL480=1),'中古車掲載'!U480,"")</x:f>
      </x:c>
      <x:c r="BC479" s="3" t="str">
        <x:f>IF(AND('中古車掲載'!C480="One2car",'中古車掲載'!F480="Corolla Cross",'中古車掲載'!L480="HEV PREMIUM SAFETY",'中古車掲載'!J480=2023,ISNUMBER('中古車掲載'!N480),'中古車掲載'!N480&gt;=50000,'中古車掲載'!O480&lt;=100000,'中古車掲載'!AL480=1,'中古車掲載'!Z480="https://www.one2car.com/en/cars-for-sale/toyota/corolla-cross/year-2023"),'中古車掲載'!U480,"")</x:f>
      </x:c>
      <x:c r="BD479" s="3" t="str">
        <x:f>IF(AND('中古車掲載'!C480="One2car",'中古車掲載'!F480="ATTO 3",'中古車掲載'!L480="EXTENDED RANGE",'中古車掲載'!J480=2023,ISNUMBER('中古車掲載'!N480),'中古車掲載'!N480&gt;=20000,'中古車掲載'!O480&lt;=50000,'中古車掲載'!AL480=1),'中古車掲載'!U480,"")</x:f>
      </x:c>
      <x:c r="BE479" s="3" t="str">
        <x:f>IF(AND('中古車掲載'!C480="One2car",'中古車掲載'!F480="Corolla Cross",'中古車掲載'!L480="HEV PREMIUM SAFETY",'中古車掲載'!J480=2023,ISNUMBER('中古車掲載'!N480),'中古車掲載'!N480&gt;=20000,'中古車掲載'!O480&lt;=50000,'中古車掲載'!AL480=1,'中古車掲載'!Z480="https://www.one2car.com/en/cars-for-sale/toyota/corolla-cross/year-2023"),'中古車掲載'!U480,"")</x:f>
      </x:c>
      <x:c r="BF479" s="3" t="str">
        <x:f>IF(AND('中古車掲載'!C480="One2car",'中古車掲載'!F480="Corolla Cross",'中古車掲載'!L480="HEV PREMIUM",'中古車掲載'!J480=2023,ISNUMBER('中古車掲載'!N480),'中古車掲載'!N480&gt;=20000,'中古車掲載'!O480&lt;=100000,'中古車掲載'!AL480=1,'中古車掲載'!Z480="https://www.one2car.com/en/cars-for-sale/toyota/corolla-cross/year-2023"),'中古車掲載'!U480,"")</x:f>
      </x:c>
      <x:c r="BG479" s="3" t="str">
        <x:f>IF(AND('中古車掲載'!C480="One2car",'中古車掲載'!F480="Corolla Cross",'中古車掲載'!L480="HEV GR SPORT",'中古車掲載'!J480=2023,ISNUMBER('中古車掲載'!N480),'中古車掲載'!N480&gt;=20000,'中古車掲載'!O480&lt;=100000,'中古車掲載'!AL480=1,'中古車掲載'!Z480="https://www.one2car.com/en/cars-for-sale/toyota/corolla-cross/year-2023"),'中古車掲載'!U480,"")</x:f>
      </x:c>
      <x:c r="BH479" s="3" t="str">
        <x:f>IF(AND('中古車掲載'!C480="One2car",'中古車掲載'!F480="DOLPHIN",'中古車掲載'!L480="STANDARD RANGE",'中古車掲載'!J480=2023,ISNUMBER('中古車掲載'!N480),'中古車掲載'!N480&gt;=20000,'中古車掲載'!O480&lt;=100000,'中古車掲載'!AL480=1),'中古車掲載'!U480,"")</x:f>
      </x:c>
      <x:c r="BI479" s="3" t="str">
        <x:v>Taladrod|DOLPHIN|BEV|Unknown</x:v>
      </x:c>
      <x:c r="BJ479" s="3" t="n">
        <x:v>480</x:v>
      </x:c>
      <x:c r="BK479" s="3" t="n">
        <x:f>'中古車掲載'!AM480</x:f>
        <x:v>349000</x:v>
      </x:c>
      <x:c r="BL479" s="3" t="str">
        <x:f>IF(ISNUMBER('中古車掲載'!AN480),'中古車掲載'!AN480,"")</x:f>
      </x:c>
      <x:c r="BM479" s="3"/>
      <x:c r="BN479" s="3"/>
      <x:c r="BO479" s="3"/>
      <x:c r="BP479" s="3"/>
      <x:c r="BQ479" s="3"/>
      <x:c r="BR479" s="3"/>
    </x:row>
    <x:row r="480" ht="22" customHeight="1">
      <x:c r="A480" s="3" t="str">
        <x:v>Fortuner</x:v>
      </x:c>
      <x:c r="B480" s="3" t="str">
        <x:v>ICE</x:v>
      </x:c>
      <x:c r="C480" s="3" t="str">
        <x:v>Taladrod</x:v>
      </x:c>
      <x:c r="D480" s="3" t="str">
        <x:v>SUV</x:v>
      </x:c>
      <x:c r="E480" s="3" t="str"/>
      <x:c r="F480" s="3" t="n">
        <x:v>2020</x:v>
      </x:c>
      <x:c r="G480" s="3" t="str">
        <x:v>2.8 TRD SPORTIVO BLACK TOP 2WD</x:v>
      </x:c>
      <x:c r="H480" s="3" t="str">
        <x:v>未掲載</x:v>
      </x:c>
      <x:c r="I480" s="3" t="str">
        <x:v>15-ปัจจุบัน</x:v>
      </x:c>
      <x:c r="J480" s="22" t="n">
        <x:f>COUNT('中古車掲載'!AM515:AM517)</x:f>
        <x:v>3</x:v>
      </x:c>
      <x:c r="K480" s="22" t="n">
        <x:f>IF(COUNT('中古車掲載'!AM515:AM517)=0,"",QUARTILE('中古車掲載'!AM515:AM517,1))</x:f>
        <x:v>858500</x:v>
      </x:c>
      <x:c r="L480" s="22" t="n">
        <x:f>IF(COUNT('中古車掲載'!AM515:AM517)=0,"",MEDIAN('中古車掲載'!AM515:AM517))</x:f>
        <x:v>889000</x:v>
      </x:c>
      <x:c r="M480" s="22" t="n">
        <x:f>IF(COUNT('中古車掲載'!AM515:AM517)=0,"",QUARTILE('中古車掲載'!AM515:AM517,3))</x:f>
        <x:v>894000</x:v>
      </x:c>
      <x:c r="N480" s="22" t="n">
        <x:f>COUNT('中古車掲載'!AN515:AN517)</x:f>
        <x:v>0</x:v>
      </x:c>
      <x:c r="O480" s="23" t="str">
        <x:f>IF(COUNT('中古車掲載'!AN515:AN517)=0,"",MEDIAN('中古車掲載'!AN515:AN517))</x:f>
      </x:c>
      <x:c r="P480" s="3"/>
      <x:c r="Q480" s="3"/>
      <x:c r="R480" s="3"/>
      <x:c r="S480" s="3"/>
      <x:c r="T480" s="3"/>
      <x:c r="U480" s="3"/>
      <x:c r="V480" s="3"/>
      <x:c r="W480" s="3"/>
      <x:c r="X480" s="3"/>
      <x:c r="Y480" s="3"/>
      <x:c r="Z480" s="3"/>
      <x:c r="AA480" s="3"/>
      <x:c r="AB480" s="3"/>
      <x:c r="AC480" s="3"/>
      <x:c r="AD480" s="3"/>
      <x:c r="AE480" s="3"/>
      <x:c r="AF480" s="3"/>
      <x:c r="AG480" s="3"/>
      <x:c r="AH480" s="3"/>
      <x:c r="AI480" s="3"/>
      <x:c r="AJ480" s="3"/>
      <x:c r="AK480" s="3"/>
      <x:c r="AL480" s="3"/>
      <x:c r="AM480" s="3"/>
      <x:c r="AN480" s="3"/>
      <x:c r="AO480" s="3"/>
      <x:c r="AP480" s="3"/>
      <x:c r="AQ480" s="3"/>
      <x:c r="AR480" s="3"/>
      <x:c r="AS480" s="3"/>
      <x:c r="AT480" s="3"/>
      <x:c r="AU480" s="3"/>
      <x:c r="AV480" s="3"/>
      <x:c r="AW480" s="3"/>
      <x:c r="AX480" s="3"/>
      <x:c r="AY480" s="3"/>
      <x:c r="AZ480" s="3" t="str">
        <x:f>IF(AND('中古車掲載'!C481="One2car",'中古車掲載'!F481="ATTO 3",'中古車掲載'!L481="EXTENDED RANGE",'中古車掲載'!J481=2023,ISNUMBER('中古車掲載'!N481),'中古車掲載'!N481&gt;=20000,'中古車掲載'!O481&lt;=100000,'中古車掲載'!AL481=1),'中古車掲載'!U481,"")</x:f>
      </x:c>
      <x:c r="BA480" s="3" t="str">
        <x:f>IF(AND('中古車掲載'!C481="One2car",'中古車掲載'!F481="Corolla Cross",'中古車掲載'!L481="HEV PREMIUM SAFETY",'中古車掲載'!J481=2023,ISNUMBER('中古車掲載'!N481),'中古車掲載'!N481&gt;=20000,'中古車掲載'!O481&lt;=100000,'中古車掲載'!AL481=1,'中古車掲載'!Z481="https://www.one2car.com/en/cars-for-sale/toyota/corolla-cross/year-2023"),'中古車掲載'!U481,"")</x:f>
      </x:c>
      <x:c r="BB480" s="3" t="str">
        <x:f>IF(AND('中古車掲載'!C481="One2car",'中古車掲載'!F481="ATTO 3",'中古車掲載'!L481="EXTENDED RANGE",'中古車掲載'!J481=2023,ISNUMBER('中古車掲載'!N481),'中古車掲載'!N481&gt;=50000,'中古車掲載'!O481&lt;=100000,'中古車掲載'!AL481=1),'中古車掲載'!U481,"")</x:f>
      </x:c>
      <x:c r="BC480" s="3" t="str">
        <x:f>IF(AND('中古車掲載'!C481="One2car",'中古車掲載'!F481="Corolla Cross",'中古車掲載'!L481="HEV PREMIUM SAFETY",'中古車掲載'!J481=2023,ISNUMBER('中古車掲載'!N481),'中古車掲載'!N481&gt;=50000,'中古車掲載'!O481&lt;=100000,'中古車掲載'!AL481=1,'中古車掲載'!Z481="https://www.one2car.com/en/cars-for-sale/toyota/corolla-cross/year-2023"),'中古車掲載'!U481,"")</x:f>
      </x:c>
      <x:c r="BD480" s="3" t="str">
        <x:f>IF(AND('中古車掲載'!C481="One2car",'中古車掲載'!F481="ATTO 3",'中古車掲載'!L481="EXTENDED RANGE",'中古車掲載'!J481=2023,ISNUMBER('中古車掲載'!N481),'中古車掲載'!N481&gt;=20000,'中古車掲載'!O481&lt;=50000,'中古車掲載'!AL481=1),'中古車掲載'!U481,"")</x:f>
      </x:c>
      <x:c r="BE480" s="3" t="str">
        <x:f>IF(AND('中古車掲載'!C481="One2car",'中古車掲載'!F481="Corolla Cross",'中古車掲載'!L481="HEV PREMIUM SAFETY",'中古車掲載'!J481=2023,ISNUMBER('中古車掲載'!N481),'中古車掲載'!N481&gt;=20000,'中古車掲載'!O481&lt;=50000,'中古車掲載'!AL481=1,'中古車掲載'!Z481="https://www.one2car.com/en/cars-for-sale/toyota/corolla-cross/year-2023"),'中古車掲載'!U481,"")</x:f>
      </x:c>
      <x:c r="BF480" s="3" t="str">
        <x:f>IF(AND('中古車掲載'!C481="One2car",'中古車掲載'!F481="Corolla Cross",'中古車掲載'!L481="HEV PREMIUM",'中古車掲載'!J481=2023,ISNUMBER('中古車掲載'!N481),'中古車掲載'!N481&gt;=20000,'中古車掲載'!O481&lt;=100000,'中古車掲載'!AL481=1,'中古車掲載'!Z481="https://www.one2car.com/en/cars-for-sale/toyota/corolla-cross/year-2023"),'中古車掲載'!U481,"")</x:f>
      </x:c>
      <x:c r="BG480" s="3" t="str">
        <x:f>IF(AND('中古車掲載'!C481="One2car",'中古車掲載'!F481="Corolla Cross",'中古車掲載'!L481="HEV GR SPORT",'中古車掲載'!J481=2023,ISNUMBER('中古車掲載'!N481),'中古車掲載'!N481&gt;=20000,'中古車掲載'!O481&lt;=100000,'中古車掲載'!AL481=1,'中古車掲載'!Z481="https://www.one2car.com/en/cars-for-sale/toyota/corolla-cross/year-2023"),'中古車掲載'!U481,"")</x:f>
      </x:c>
      <x:c r="BH480" s="3" t="str">
        <x:f>IF(AND('中古車掲載'!C481="One2car",'中古車掲載'!F481="DOLPHIN",'中古車掲載'!L481="STANDARD RANGE",'中古車掲載'!J481=2023,ISNUMBER('中古車掲載'!N481),'中古車掲載'!N481&gt;=20000,'中古車掲載'!O481&lt;=100000,'中古車掲載'!AL481=1),'中古車掲載'!U481,"")</x:f>
      </x:c>
      <x:c r="BI480" s="3" t="str">
        <x:v>Taladrod|DOLPHIN|BEV|Unknown</x:v>
      </x:c>
      <x:c r="BJ480" s="3" t="n">
        <x:v>481</x:v>
      </x:c>
      <x:c r="BK480" s="3" t="n">
        <x:f>'中古車掲載'!AM481</x:f>
        <x:v>339000</x:v>
      </x:c>
      <x:c r="BL480" s="3" t="str">
        <x:f>IF(ISNUMBER('中古車掲載'!AN481),'中古車掲載'!AN481,"")</x:f>
      </x:c>
      <x:c r="BM480" s="3"/>
      <x:c r="BN480" s="3"/>
      <x:c r="BO480" s="3"/>
      <x:c r="BP480" s="3"/>
      <x:c r="BQ480" s="3"/>
      <x:c r="BR480" s="3"/>
    </x:row>
    <x:row r="481" ht="22" customHeight="1">
      <x:c r="A481" s="3" t="str">
        <x:v>Fortuner</x:v>
      </x:c>
      <x:c r="B481" s="3" t="str">
        <x:v>ICE</x:v>
      </x:c>
      <x:c r="C481" s="3" t="str">
        <x:v>Taladrod</x:v>
      </x:c>
      <x:c r="D481" s="3" t="str">
        <x:v>SUV</x:v>
      </x:c>
      <x:c r="E481" s="3" t="str"/>
      <x:c r="F481" s="3" t="n">
        <x:v>2020</x:v>
      </x:c>
      <x:c r="G481" s="3" t="str">
        <x:v>2.8 TRD SPORTIVO BLACK TOP 4WD</x:v>
      </x:c>
      <x:c r="H481" s="3" t="str">
        <x:v>未掲載</x:v>
      </x:c>
      <x:c r="I481" s="3" t="str">
        <x:v>15-ปัจจุบัน</x:v>
      </x:c>
      <x:c r="J481" s="22" t="n">
        <x:f>COUNT('中古車掲載'!AM518:AM519)</x:f>
        <x:v>2</x:v>
      </x:c>
      <x:c r="K481" s="22" t="n">
        <x:f>IF(COUNT('中古車掲載'!AM518:AM519)=0,"",QUARTILE('中古車掲載'!AM518:AM519,1))</x:f>
        <x:v>899000</x:v>
      </x:c>
      <x:c r="L481" s="22" t="n">
        <x:f>IF(COUNT('中古車掲載'!AM518:AM519)=0,"",MEDIAN('中古車掲載'!AM518:AM519))</x:f>
        <x:v>899000</x:v>
      </x:c>
      <x:c r="M481" s="22" t="n">
        <x:f>IF(COUNT('中古車掲載'!AM518:AM519)=0,"",QUARTILE('中古車掲載'!AM518:AM519,3))</x:f>
        <x:v>899000</x:v>
      </x:c>
      <x:c r="N481" s="22" t="n">
        <x:f>COUNT('中古車掲載'!AN518:AN519)</x:f>
        <x:v>0</x:v>
      </x:c>
      <x:c r="O481" s="23" t="str">
        <x:f>IF(COUNT('中古車掲載'!AN518:AN519)=0,"",MEDIAN('中古車掲載'!AN518:AN519))</x:f>
      </x:c>
      <x:c r="P481" s="3"/>
      <x:c r="Q481" s="3"/>
      <x:c r="R481" s="3"/>
      <x:c r="S481" s="3"/>
      <x:c r="T481" s="3"/>
      <x:c r="U481" s="3"/>
      <x:c r="V481" s="3"/>
      <x:c r="W481" s="3"/>
      <x:c r="X481" s="3"/>
      <x:c r="Y481" s="3"/>
      <x:c r="Z481" s="3"/>
      <x:c r="AA481" s="3"/>
      <x:c r="AB481" s="3"/>
      <x:c r="AC481" s="3"/>
      <x:c r="AD481" s="3"/>
      <x:c r="AE481" s="3"/>
      <x:c r="AF481" s="3"/>
      <x:c r="AG481" s="3"/>
      <x:c r="AH481" s="3"/>
      <x:c r="AI481" s="3"/>
      <x:c r="AJ481" s="3"/>
      <x:c r="AK481" s="3"/>
      <x:c r="AL481" s="3"/>
      <x:c r="AM481" s="3"/>
      <x:c r="AN481" s="3"/>
      <x:c r="AO481" s="3"/>
      <x:c r="AP481" s="3"/>
      <x:c r="AQ481" s="3"/>
      <x:c r="AR481" s="3"/>
      <x:c r="AS481" s="3"/>
      <x:c r="AT481" s="3"/>
      <x:c r="AU481" s="3"/>
      <x:c r="AV481" s="3"/>
      <x:c r="AW481" s="3"/>
      <x:c r="AX481" s="3"/>
      <x:c r="AY481" s="3"/>
      <x:c r="AZ481" s="3" t="str">
        <x:f>IF(AND('中古車掲載'!C482="One2car",'中古車掲載'!F482="ATTO 3",'中古車掲載'!L482="EXTENDED RANGE",'中古車掲載'!J482=2023,ISNUMBER('中古車掲載'!N482),'中古車掲載'!N482&gt;=20000,'中古車掲載'!O482&lt;=100000,'中古車掲載'!AL482=1),'中古車掲載'!U482,"")</x:f>
      </x:c>
      <x:c r="BA481" s="3" t="str">
        <x:f>IF(AND('中古車掲載'!C482="One2car",'中古車掲載'!F482="Corolla Cross",'中古車掲載'!L482="HEV PREMIUM SAFETY",'中古車掲載'!J482=2023,ISNUMBER('中古車掲載'!N482),'中古車掲載'!N482&gt;=20000,'中古車掲載'!O482&lt;=100000,'中古車掲載'!AL482=1,'中古車掲載'!Z482="https://www.one2car.com/en/cars-for-sale/toyota/corolla-cross/year-2023"),'中古車掲載'!U482,"")</x:f>
      </x:c>
      <x:c r="BB481" s="3" t="str">
        <x:f>IF(AND('中古車掲載'!C482="One2car",'中古車掲載'!F482="ATTO 3",'中古車掲載'!L482="EXTENDED RANGE",'中古車掲載'!J482=2023,ISNUMBER('中古車掲載'!N482),'中古車掲載'!N482&gt;=50000,'中古車掲載'!O482&lt;=100000,'中古車掲載'!AL482=1),'中古車掲載'!U482,"")</x:f>
      </x:c>
      <x:c r="BC481" s="3" t="str">
        <x:f>IF(AND('中古車掲載'!C482="One2car",'中古車掲載'!F482="Corolla Cross",'中古車掲載'!L482="HEV PREMIUM SAFETY",'中古車掲載'!J482=2023,ISNUMBER('中古車掲載'!N482),'中古車掲載'!N482&gt;=50000,'中古車掲載'!O482&lt;=100000,'中古車掲載'!AL482=1,'中古車掲載'!Z482="https://www.one2car.com/en/cars-for-sale/toyota/corolla-cross/year-2023"),'中古車掲載'!U482,"")</x:f>
      </x:c>
      <x:c r="BD481" s="3" t="str">
        <x:f>IF(AND('中古車掲載'!C482="One2car",'中古車掲載'!F482="ATTO 3",'中古車掲載'!L482="EXTENDED RANGE",'中古車掲載'!J482=2023,ISNUMBER('中古車掲載'!N482),'中古車掲載'!N482&gt;=20000,'中古車掲載'!O482&lt;=50000,'中古車掲載'!AL482=1),'中古車掲載'!U482,"")</x:f>
      </x:c>
      <x:c r="BE481" s="3" t="str">
        <x:f>IF(AND('中古車掲載'!C482="One2car",'中古車掲載'!F482="Corolla Cross",'中古車掲載'!L482="HEV PREMIUM SAFETY",'中古車掲載'!J482=2023,ISNUMBER('中古車掲載'!N482),'中古車掲載'!N482&gt;=20000,'中古車掲載'!O482&lt;=50000,'中古車掲載'!AL482=1,'中古車掲載'!Z482="https://www.one2car.com/en/cars-for-sale/toyota/corolla-cross/year-2023"),'中古車掲載'!U482,"")</x:f>
      </x:c>
      <x:c r="BF481" s="3" t="str">
        <x:f>IF(AND('中古車掲載'!C482="One2car",'中古車掲載'!F482="Corolla Cross",'中古車掲載'!L482="HEV PREMIUM",'中古車掲載'!J482=2023,ISNUMBER('中古車掲載'!N482),'中古車掲載'!N482&gt;=20000,'中古車掲載'!O482&lt;=100000,'中古車掲載'!AL482=1,'中古車掲載'!Z482="https://www.one2car.com/en/cars-for-sale/toyota/corolla-cross/year-2023"),'中古車掲載'!U482,"")</x:f>
      </x:c>
      <x:c r="BG481" s="3" t="str">
        <x:f>IF(AND('中古車掲載'!C482="One2car",'中古車掲載'!F482="Corolla Cross",'中古車掲載'!L482="HEV GR SPORT",'中古車掲載'!J482=2023,ISNUMBER('中古車掲載'!N482),'中古車掲載'!N482&gt;=20000,'中古車掲載'!O482&lt;=100000,'中古車掲載'!AL482=1,'中古車掲載'!Z482="https://www.one2car.com/en/cars-for-sale/toyota/corolla-cross/year-2023"),'中古車掲載'!U482,"")</x:f>
      </x:c>
      <x:c r="BH481" s="3" t="str">
        <x:f>IF(AND('中古車掲載'!C482="One2car",'中古車掲載'!F482="DOLPHIN",'中古車掲載'!L482="STANDARD RANGE",'中古車掲載'!J482=2023,ISNUMBER('中古車掲載'!N482),'中古車掲載'!N482&gt;=20000,'中古車掲載'!O482&lt;=100000,'中古車掲載'!AL482=1),'中古車掲載'!U482,"")</x:f>
      </x:c>
      <x:c r="BI481" s="3" t="str">
        <x:v>Taladrod|DOLPHIN|BEV|Unknown</x:v>
      </x:c>
      <x:c r="BJ481" s="3" t="n">
        <x:v>482</x:v>
      </x:c>
      <x:c r="BK481" s="3" t="n">
        <x:f>'中古車掲載'!AM482</x:f>
        <x:v>429000</x:v>
      </x:c>
      <x:c r="BL481" s="3" t="str">
        <x:f>IF(ISNUMBER('中古車掲載'!AN482),'中古車掲載'!AN482,"")</x:f>
      </x:c>
      <x:c r="BM481" s="3"/>
      <x:c r="BN481" s="3"/>
      <x:c r="BO481" s="3"/>
      <x:c r="BP481" s="3"/>
      <x:c r="BQ481" s="3"/>
      <x:c r="BR481" s="3"/>
    </x:row>
    <x:row r="482" ht="22" customHeight="1">
      <x:c r="A482" s="3" t="str">
        <x:v>Fortuner</x:v>
      </x:c>
      <x:c r="B482" s="3" t="str">
        <x:v>ICE</x:v>
      </x:c>
      <x:c r="C482" s="3" t="str">
        <x:v>Taladrod</x:v>
      </x:c>
      <x:c r="D482" s="3" t="str">
        <x:v>SUV</x:v>
      </x:c>
      <x:c r="E482" s="3" t="str"/>
      <x:c r="F482" s="3" t="n">
        <x:v>2020</x:v>
      </x:c>
      <x:c r="G482" s="3" t="str">
        <x:v>2.8 V 2WD</x:v>
      </x:c>
      <x:c r="H482" s="3" t="str">
        <x:v>未掲載</x:v>
      </x:c>
      <x:c r="I482" s="3" t="str">
        <x:v>15-ปัจจุบัน</x:v>
      </x:c>
      <x:c r="J482" s="22" t="n">
        <x:f>COUNT('中古車掲載'!AM520:AM520)</x:f>
        <x:v>1</x:v>
      </x:c>
      <x:c r="K482" s="22" t="n">
        <x:f>IF(COUNT('中古車掲載'!AM520:AM520)=0,"",QUARTILE('中古車掲載'!AM520:AM520,1))</x:f>
        <x:v>829000</x:v>
      </x:c>
      <x:c r="L482" s="22" t="n">
        <x:f>IF(COUNT('中古車掲載'!AM520:AM520)=0,"",MEDIAN('中古車掲載'!AM520:AM520))</x:f>
        <x:v>829000</x:v>
      </x:c>
      <x:c r="M482" s="22" t="n">
        <x:f>IF(COUNT('中古車掲載'!AM520:AM520)=0,"",QUARTILE('中古車掲載'!AM520:AM520,3))</x:f>
        <x:v>829000</x:v>
      </x:c>
      <x:c r="N482" s="22" t="n">
        <x:f>COUNT('中古車掲載'!AN520:AN520)</x:f>
        <x:v>0</x:v>
      </x:c>
      <x:c r="O482" s="23" t="str">
        <x:f>IF(COUNT('中古車掲載'!AN520:AN520)=0,"",MEDIAN('中古車掲載'!AN520:AN520))</x:f>
      </x:c>
      <x:c r="P482" s="3"/>
      <x:c r="Q482" s="3"/>
      <x:c r="R482" s="3"/>
      <x:c r="S482" s="3"/>
      <x:c r="T482" s="3"/>
      <x:c r="U482" s="3"/>
      <x:c r="V482" s="3"/>
      <x:c r="W482" s="3"/>
      <x:c r="X482" s="3"/>
      <x:c r="Y482" s="3"/>
      <x:c r="Z482" s="3"/>
      <x:c r="AA482" s="3"/>
      <x:c r="AB482" s="3"/>
      <x:c r="AC482" s="3"/>
      <x:c r="AD482" s="3"/>
      <x:c r="AE482" s="3"/>
      <x:c r="AF482" s="3"/>
      <x:c r="AG482" s="3"/>
      <x:c r="AH482" s="3"/>
      <x:c r="AI482" s="3"/>
      <x:c r="AJ482" s="3"/>
      <x:c r="AK482" s="3"/>
      <x:c r="AL482" s="3"/>
      <x:c r="AM482" s="3"/>
      <x:c r="AN482" s="3"/>
      <x:c r="AO482" s="3"/>
      <x:c r="AP482" s="3"/>
      <x:c r="AQ482" s="3"/>
      <x:c r="AR482" s="3"/>
      <x:c r="AS482" s="3"/>
      <x:c r="AT482" s="3"/>
      <x:c r="AU482" s="3"/>
      <x:c r="AV482" s="3"/>
      <x:c r="AW482" s="3"/>
      <x:c r="AX482" s="3"/>
      <x:c r="AY482" s="3"/>
      <x:c r="AZ482" s="3" t="str">
        <x:f>IF(AND('中古車掲載'!C483="One2car",'中古車掲載'!F483="ATTO 3",'中古車掲載'!L483="EXTENDED RANGE",'中古車掲載'!J483=2023,ISNUMBER('中古車掲載'!N483),'中古車掲載'!N483&gt;=20000,'中古車掲載'!O483&lt;=100000,'中古車掲載'!AL483=1),'中古車掲載'!U483,"")</x:f>
      </x:c>
      <x:c r="BA482" s="3" t="str">
        <x:f>IF(AND('中古車掲載'!C483="One2car",'中古車掲載'!F483="Corolla Cross",'中古車掲載'!L483="HEV PREMIUM SAFETY",'中古車掲載'!J483=2023,ISNUMBER('中古車掲載'!N483),'中古車掲載'!N483&gt;=20000,'中古車掲載'!O483&lt;=100000,'中古車掲載'!AL483=1,'中古車掲載'!Z483="https://www.one2car.com/en/cars-for-sale/toyota/corolla-cross/year-2023"),'中古車掲載'!U483,"")</x:f>
      </x:c>
      <x:c r="BB482" s="3" t="str">
        <x:f>IF(AND('中古車掲載'!C483="One2car",'中古車掲載'!F483="ATTO 3",'中古車掲載'!L483="EXTENDED RANGE",'中古車掲載'!J483=2023,ISNUMBER('中古車掲載'!N483),'中古車掲載'!N483&gt;=50000,'中古車掲載'!O483&lt;=100000,'中古車掲載'!AL483=1),'中古車掲載'!U483,"")</x:f>
      </x:c>
      <x:c r="BC482" s="3" t="str">
        <x:f>IF(AND('中古車掲載'!C483="One2car",'中古車掲載'!F483="Corolla Cross",'中古車掲載'!L483="HEV PREMIUM SAFETY",'中古車掲載'!J483=2023,ISNUMBER('中古車掲載'!N483),'中古車掲載'!N483&gt;=50000,'中古車掲載'!O483&lt;=100000,'中古車掲載'!AL483=1,'中古車掲載'!Z483="https://www.one2car.com/en/cars-for-sale/toyota/corolla-cross/year-2023"),'中古車掲載'!U483,"")</x:f>
      </x:c>
      <x:c r="BD482" s="3" t="str">
        <x:f>IF(AND('中古車掲載'!C483="One2car",'中古車掲載'!F483="ATTO 3",'中古車掲載'!L483="EXTENDED RANGE",'中古車掲載'!J483=2023,ISNUMBER('中古車掲載'!N483),'中古車掲載'!N483&gt;=20000,'中古車掲載'!O483&lt;=50000,'中古車掲載'!AL483=1),'中古車掲載'!U483,"")</x:f>
      </x:c>
      <x:c r="BE482" s="3" t="str">
        <x:f>IF(AND('中古車掲載'!C483="One2car",'中古車掲載'!F483="Corolla Cross",'中古車掲載'!L483="HEV PREMIUM SAFETY",'中古車掲載'!J483=2023,ISNUMBER('中古車掲載'!N483),'中古車掲載'!N483&gt;=20000,'中古車掲載'!O483&lt;=50000,'中古車掲載'!AL483=1,'中古車掲載'!Z483="https://www.one2car.com/en/cars-for-sale/toyota/corolla-cross/year-2023"),'中古車掲載'!U483,"")</x:f>
      </x:c>
      <x:c r="BF482" s="3" t="str">
        <x:f>IF(AND('中古車掲載'!C483="One2car",'中古車掲載'!F483="Corolla Cross",'中古車掲載'!L483="HEV PREMIUM",'中古車掲載'!J483=2023,ISNUMBER('中古車掲載'!N483),'中古車掲載'!N483&gt;=20000,'中古車掲載'!O483&lt;=100000,'中古車掲載'!AL483=1,'中古車掲載'!Z483="https://www.one2car.com/en/cars-for-sale/toyota/corolla-cross/year-2023"),'中古車掲載'!U483,"")</x:f>
      </x:c>
      <x:c r="BG482" s="3" t="str">
        <x:f>IF(AND('中古車掲載'!C483="One2car",'中古車掲載'!F483="Corolla Cross",'中古車掲載'!L483="HEV GR SPORT",'中古車掲載'!J483=2023,ISNUMBER('中古車掲載'!N483),'中古車掲載'!N483&gt;=20000,'中古車掲載'!O483&lt;=100000,'中古車掲載'!AL483=1,'中古車掲載'!Z483="https://www.one2car.com/en/cars-for-sale/toyota/corolla-cross/year-2023"),'中古車掲載'!U483,"")</x:f>
      </x:c>
      <x:c r="BH482" s="3" t="str">
        <x:f>IF(AND('中古車掲載'!C483="One2car",'中古車掲載'!F483="DOLPHIN",'中古車掲載'!L483="STANDARD RANGE",'中古車掲載'!J483=2023,ISNUMBER('中古車掲載'!N483),'中古車掲載'!N483&gt;=20000,'中古車掲載'!O483&lt;=100000,'中古車掲載'!AL483=1),'中古車掲載'!U483,"")</x:f>
      </x:c>
      <x:c r="BI482" s="3" t="str">
        <x:v>Taladrod|DOLPHIN|BEV|Unknown</x:v>
      </x:c>
      <x:c r="BJ482" s="3" t="n">
        <x:v>483</x:v>
      </x:c>
      <x:c r="BK482" s="3" t="n">
        <x:f>'中古車掲載'!AM483</x:f>
        <x:v>455000</x:v>
      </x:c>
      <x:c r="BL482" s="3" t="str">
        <x:f>IF(ISNUMBER('中古車掲載'!AN483),'中古車掲載'!AN483,"")</x:f>
      </x:c>
      <x:c r="BM482" s="3"/>
      <x:c r="BN482" s="3"/>
      <x:c r="BO482" s="3"/>
      <x:c r="BP482" s="3"/>
      <x:c r="BQ482" s="3"/>
      <x:c r="BR482" s="3"/>
    </x:row>
    <x:row r="483" ht="22" customHeight="1">
      <x:c r="A483" s="3" t="str">
        <x:v>Fortuner</x:v>
      </x:c>
      <x:c r="B483" s="3" t="str">
        <x:v>ICE</x:v>
      </x:c>
      <x:c r="C483" s="3" t="str">
        <x:v>Taladrod</x:v>
      </x:c>
      <x:c r="D483" s="3" t="str">
        <x:v>SUV</x:v>
      </x:c>
      <x:c r="E483" s="3" t="str"/>
      <x:c r="F483" s="3" t="n">
        <x:v>2021</x:v>
      </x:c>
      <x:c r="G483" s="3" t="str">
        <x:v>2.4 COMMANDER</x:v>
      </x:c>
      <x:c r="H483" s="3" t="str">
        <x:v>未掲載</x:v>
      </x:c>
      <x:c r="I483" s="3" t="str">
        <x:v>15-ปัจจุบัน</x:v>
      </x:c>
      <x:c r="J483" s="22" t="n">
        <x:f>COUNT('中古車掲載'!AM521:AM521)</x:f>
        <x:v>1</x:v>
      </x:c>
      <x:c r="K483" s="22" t="n">
        <x:f>IF(COUNT('中古車掲載'!AM521:AM521)=0,"",QUARTILE('中古車掲載'!AM521:AM521,1))</x:f>
        <x:v>759000</x:v>
      </x:c>
      <x:c r="L483" s="22" t="n">
        <x:f>IF(COUNT('中古車掲載'!AM521:AM521)=0,"",MEDIAN('中古車掲載'!AM521:AM521))</x:f>
        <x:v>759000</x:v>
      </x:c>
      <x:c r="M483" s="22" t="n">
        <x:f>IF(COUNT('中古車掲載'!AM521:AM521)=0,"",QUARTILE('中古車掲載'!AM521:AM521,3))</x:f>
        <x:v>759000</x:v>
      </x:c>
      <x:c r="N483" s="22" t="n">
        <x:f>COUNT('中古車掲載'!AN521:AN521)</x:f>
        <x:v>0</x:v>
      </x:c>
      <x:c r="O483" s="23" t="str">
        <x:f>IF(COUNT('中古車掲載'!AN521:AN521)=0,"",MEDIAN('中古車掲載'!AN521:AN521))</x:f>
      </x:c>
      <x:c r="P483" s="3"/>
      <x:c r="Q483" s="3"/>
      <x:c r="R483" s="3"/>
      <x:c r="S483" s="3"/>
      <x:c r="T483" s="3"/>
      <x:c r="U483" s="3"/>
      <x:c r="V483" s="3"/>
      <x:c r="W483" s="3"/>
      <x:c r="X483" s="3"/>
      <x:c r="Y483" s="3"/>
      <x:c r="Z483" s="3"/>
      <x:c r="AA483" s="3"/>
      <x:c r="AB483" s="3"/>
      <x:c r="AC483" s="3"/>
      <x:c r="AD483" s="3"/>
      <x:c r="AE483" s="3"/>
      <x:c r="AF483" s="3"/>
      <x:c r="AG483" s="3"/>
      <x:c r="AH483" s="3"/>
      <x:c r="AI483" s="3"/>
      <x:c r="AJ483" s="3"/>
      <x:c r="AK483" s="3"/>
      <x:c r="AL483" s="3"/>
      <x:c r="AM483" s="3"/>
      <x:c r="AN483" s="3"/>
      <x:c r="AO483" s="3"/>
      <x:c r="AP483" s="3"/>
      <x:c r="AQ483" s="3"/>
      <x:c r="AR483" s="3"/>
      <x:c r="AS483" s="3"/>
      <x:c r="AT483" s="3"/>
      <x:c r="AU483" s="3"/>
      <x:c r="AV483" s="3"/>
      <x:c r="AW483" s="3"/>
      <x:c r="AX483" s="3"/>
      <x:c r="AY483" s="3"/>
      <x:c r="AZ483" s="3" t="str">
        <x:f>IF(AND('中古車掲載'!C484="One2car",'中古車掲載'!F484="ATTO 3",'中古車掲載'!L484="EXTENDED RANGE",'中古車掲載'!J484=2023,ISNUMBER('中古車掲載'!N484),'中古車掲載'!N484&gt;=20000,'中古車掲載'!O484&lt;=100000,'中古車掲載'!AL484=1),'中古車掲載'!U484,"")</x:f>
      </x:c>
      <x:c r="BA483" s="3" t="str">
        <x:f>IF(AND('中古車掲載'!C484="One2car",'中古車掲載'!F484="Corolla Cross",'中古車掲載'!L484="HEV PREMIUM SAFETY",'中古車掲載'!J484=2023,ISNUMBER('中古車掲載'!N484),'中古車掲載'!N484&gt;=20000,'中古車掲載'!O484&lt;=100000,'中古車掲載'!AL484=1,'中古車掲載'!Z484="https://www.one2car.com/en/cars-for-sale/toyota/corolla-cross/year-2023"),'中古車掲載'!U484,"")</x:f>
      </x:c>
      <x:c r="BB483" s="3" t="str">
        <x:f>IF(AND('中古車掲載'!C484="One2car",'中古車掲載'!F484="ATTO 3",'中古車掲載'!L484="EXTENDED RANGE",'中古車掲載'!J484=2023,ISNUMBER('中古車掲載'!N484),'中古車掲載'!N484&gt;=50000,'中古車掲載'!O484&lt;=100000,'中古車掲載'!AL484=1),'中古車掲載'!U484,"")</x:f>
      </x:c>
      <x:c r="BC483" s="3" t="str">
        <x:f>IF(AND('中古車掲載'!C484="One2car",'中古車掲載'!F484="Corolla Cross",'中古車掲載'!L484="HEV PREMIUM SAFETY",'中古車掲載'!J484=2023,ISNUMBER('中古車掲載'!N484),'中古車掲載'!N484&gt;=50000,'中古車掲載'!O484&lt;=100000,'中古車掲載'!AL484=1,'中古車掲載'!Z484="https://www.one2car.com/en/cars-for-sale/toyota/corolla-cross/year-2023"),'中古車掲載'!U484,"")</x:f>
      </x:c>
      <x:c r="BD483" s="3" t="str">
        <x:f>IF(AND('中古車掲載'!C484="One2car",'中古車掲載'!F484="ATTO 3",'中古車掲載'!L484="EXTENDED RANGE",'中古車掲載'!J484=2023,ISNUMBER('中古車掲載'!N484),'中古車掲載'!N484&gt;=20000,'中古車掲載'!O484&lt;=50000,'中古車掲載'!AL484=1),'中古車掲載'!U484,"")</x:f>
      </x:c>
      <x:c r="BE483" s="3" t="str">
        <x:f>IF(AND('中古車掲載'!C484="One2car",'中古車掲載'!F484="Corolla Cross",'中古車掲載'!L484="HEV PREMIUM SAFETY",'中古車掲載'!J484=2023,ISNUMBER('中古車掲載'!N484),'中古車掲載'!N484&gt;=20000,'中古車掲載'!O484&lt;=50000,'中古車掲載'!AL484=1,'中古車掲載'!Z484="https://www.one2car.com/en/cars-for-sale/toyota/corolla-cross/year-2023"),'中古車掲載'!U484,"")</x:f>
      </x:c>
      <x:c r="BF483" s="3" t="str">
        <x:f>IF(AND('中古車掲載'!C484="One2car",'中古車掲載'!F484="Corolla Cross",'中古車掲載'!L484="HEV PREMIUM",'中古車掲載'!J484=2023,ISNUMBER('中古車掲載'!N484),'中古車掲載'!N484&gt;=20000,'中古車掲載'!O484&lt;=100000,'中古車掲載'!AL484=1,'中古車掲載'!Z484="https://www.one2car.com/en/cars-for-sale/toyota/corolla-cross/year-2023"),'中古車掲載'!U484,"")</x:f>
      </x:c>
      <x:c r="BG483" s="3" t="str">
        <x:f>IF(AND('中古車掲載'!C484="One2car",'中古車掲載'!F484="Corolla Cross",'中古車掲載'!L484="HEV GR SPORT",'中古車掲載'!J484=2023,ISNUMBER('中古車掲載'!N484),'中古車掲載'!N484&gt;=20000,'中古車掲載'!O484&lt;=100000,'中古車掲載'!AL484=1,'中古車掲載'!Z484="https://www.one2car.com/en/cars-for-sale/toyota/corolla-cross/year-2023"),'中古車掲載'!U484,"")</x:f>
      </x:c>
      <x:c r="BH483" s="3" t="str">
        <x:f>IF(AND('中古車掲載'!C484="One2car",'中古車掲載'!F484="DOLPHIN",'中古車掲載'!L484="STANDARD RANGE",'中古車掲載'!J484=2023,ISNUMBER('中古車掲載'!N484),'中古車掲載'!N484&gt;=20000,'中古車掲載'!O484&lt;=100000,'中古車掲載'!AL484=1),'中古車掲載'!U484,"")</x:f>
      </x:c>
      <x:c r="BI483" s="3" t="str">
        <x:v>Taladrod|DOLPHIN|BEV|Unknown</x:v>
      </x:c>
      <x:c r="BJ483" s="3" t="n">
        <x:v>484</x:v>
      </x:c>
      <x:c r="BK483" s="3" t="n">
        <x:f>'中古車掲載'!AM484</x:f>
        <x:v>369000</x:v>
      </x:c>
      <x:c r="BL483" s="3" t="str">
        <x:f>IF(ISNUMBER('中古車掲載'!AN484),'中古車掲載'!AN484,"")</x:f>
      </x:c>
      <x:c r="BM483" s="3"/>
      <x:c r="BN483" s="3"/>
      <x:c r="BO483" s="3"/>
      <x:c r="BP483" s="3"/>
      <x:c r="BQ483" s="3"/>
      <x:c r="BR483" s="3"/>
    </x:row>
    <x:row r="484" ht="22" customHeight="1">
      <x:c r="A484" s="3" t="str">
        <x:v>Fortuner</x:v>
      </x:c>
      <x:c r="B484" s="3" t="str">
        <x:v>ICE</x:v>
      </x:c>
      <x:c r="C484" s="3" t="str">
        <x:v>Taladrod</x:v>
      </x:c>
      <x:c r="D484" s="3" t="str">
        <x:v>SUV</x:v>
      </x:c>
      <x:c r="E484" s="3" t="str"/>
      <x:c r="F484" s="3" t="n">
        <x:v>2021</x:v>
      </x:c>
      <x:c r="G484" s="3" t="str">
        <x:v>2.4 G</x:v>
      </x:c>
      <x:c r="H484" s="3" t="str">
        <x:v>未掲載</x:v>
      </x:c>
      <x:c r="I484" s="3" t="str">
        <x:v>15-ปัจจุบัน</x:v>
      </x:c>
      <x:c r="J484" s="22" t="n">
        <x:f>COUNT('中古車掲載'!AM522:AM527)</x:f>
        <x:v>6</x:v>
      </x:c>
      <x:c r="K484" s="22" t="n">
        <x:f>IF(COUNT('中古車掲載'!AM522:AM527)=0,"",QUARTILE('中古車掲載'!AM522:AM527,1))</x:f>
        <x:v>804000</x:v>
      </x:c>
      <x:c r="L484" s="22" t="n">
        <x:f>IF(COUNT('中古車掲載'!AM522:AM527)=0,"",MEDIAN('中古車掲載'!AM522:AM527))</x:f>
        <x:v>849000</x:v>
      </x:c>
      <x:c r="M484" s="22" t="n">
        <x:f>IF(COUNT('中古車掲載'!AM522:AM527)=0,"",QUARTILE('中古車掲載'!AM522:AM527,3))</x:f>
        <x:v>894000</x:v>
      </x:c>
      <x:c r="N484" s="22" t="n">
        <x:f>COUNT('中古車掲載'!AN522:AN527)</x:f>
        <x:v>0</x:v>
      </x:c>
      <x:c r="O484" s="23" t="str">
        <x:f>IF(COUNT('中古車掲載'!AN522:AN527)=0,"",MEDIAN('中古車掲載'!AN522:AN527))</x:f>
      </x:c>
      <x:c r="P484" s="3"/>
      <x:c r="Q484" s="3"/>
      <x:c r="R484" s="3"/>
      <x:c r="S484" s="3"/>
      <x:c r="T484" s="3"/>
      <x:c r="U484" s="3"/>
      <x:c r="V484" s="3"/>
      <x:c r="W484" s="3"/>
      <x:c r="X484" s="3"/>
      <x:c r="Y484" s="3"/>
      <x:c r="Z484" s="3"/>
      <x:c r="AA484" s="3"/>
      <x:c r="AB484" s="3"/>
      <x:c r="AC484" s="3"/>
      <x:c r="AD484" s="3"/>
      <x:c r="AE484" s="3"/>
      <x:c r="AF484" s="3"/>
      <x:c r="AG484" s="3"/>
      <x:c r="AH484" s="3"/>
      <x:c r="AI484" s="3"/>
      <x:c r="AJ484" s="3"/>
      <x:c r="AK484" s="3"/>
      <x:c r="AL484" s="3"/>
      <x:c r="AM484" s="3"/>
      <x:c r="AN484" s="3"/>
      <x:c r="AO484" s="3"/>
      <x:c r="AP484" s="3"/>
      <x:c r="AQ484" s="3"/>
      <x:c r="AR484" s="3"/>
      <x:c r="AS484" s="3"/>
      <x:c r="AT484" s="3"/>
      <x:c r="AU484" s="3"/>
      <x:c r="AV484" s="3"/>
      <x:c r="AW484" s="3"/>
      <x:c r="AX484" s="3"/>
      <x:c r="AY484" s="3"/>
      <x:c r="AZ484" s="3" t="str">
        <x:f>IF(AND('中古車掲載'!C485="One2car",'中古車掲載'!F485="ATTO 3",'中古車掲載'!L485="EXTENDED RANGE",'中古車掲載'!J485=2023,ISNUMBER('中古車掲載'!N485),'中古車掲載'!N485&gt;=20000,'中古車掲載'!O485&lt;=100000,'中古車掲載'!AL485=1),'中古車掲載'!U485,"")</x:f>
      </x:c>
      <x:c r="BA484" s="3" t="str">
        <x:f>IF(AND('中古車掲載'!C485="One2car",'中古車掲載'!F485="Corolla Cross",'中古車掲載'!L485="HEV PREMIUM SAFETY",'中古車掲載'!J485=2023,ISNUMBER('中古車掲載'!N485),'中古車掲載'!N485&gt;=20000,'中古車掲載'!O485&lt;=100000,'中古車掲載'!AL485=1,'中古車掲載'!Z485="https://www.one2car.com/en/cars-for-sale/toyota/corolla-cross/year-2023"),'中古車掲載'!U485,"")</x:f>
      </x:c>
      <x:c r="BB484" s="3" t="str">
        <x:f>IF(AND('中古車掲載'!C485="One2car",'中古車掲載'!F485="ATTO 3",'中古車掲載'!L485="EXTENDED RANGE",'中古車掲載'!J485=2023,ISNUMBER('中古車掲載'!N485),'中古車掲載'!N485&gt;=50000,'中古車掲載'!O485&lt;=100000,'中古車掲載'!AL485=1),'中古車掲載'!U485,"")</x:f>
      </x:c>
      <x:c r="BC484" s="3" t="str">
        <x:f>IF(AND('中古車掲載'!C485="One2car",'中古車掲載'!F485="Corolla Cross",'中古車掲載'!L485="HEV PREMIUM SAFETY",'中古車掲載'!J485=2023,ISNUMBER('中古車掲載'!N485),'中古車掲載'!N485&gt;=50000,'中古車掲載'!O485&lt;=100000,'中古車掲載'!AL485=1,'中古車掲載'!Z485="https://www.one2car.com/en/cars-for-sale/toyota/corolla-cross/year-2023"),'中古車掲載'!U485,"")</x:f>
      </x:c>
      <x:c r="BD484" s="3" t="str">
        <x:f>IF(AND('中古車掲載'!C485="One2car",'中古車掲載'!F485="ATTO 3",'中古車掲載'!L485="EXTENDED RANGE",'中古車掲載'!J485=2023,ISNUMBER('中古車掲載'!N485),'中古車掲載'!N485&gt;=20000,'中古車掲載'!O485&lt;=50000,'中古車掲載'!AL485=1),'中古車掲載'!U485,"")</x:f>
      </x:c>
      <x:c r="BE484" s="3" t="str">
        <x:f>IF(AND('中古車掲載'!C485="One2car",'中古車掲載'!F485="Corolla Cross",'中古車掲載'!L485="HEV PREMIUM SAFETY",'中古車掲載'!J485=2023,ISNUMBER('中古車掲載'!N485),'中古車掲載'!N485&gt;=20000,'中古車掲載'!O485&lt;=50000,'中古車掲載'!AL485=1,'中古車掲載'!Z485="https://www.one2car.com/en/cars-for-sale/toyota/corolla-cross/year-2023"),'中古車掲載'!U485,"")</x:f>
      </x:c>
      <x:c r="BF484" s="3" t="str">
        <x:f>IF(AND('中古車掲載'!C485="One2car",'中古車掲載'!F485="Corolla Cross",'中古車掲載'!L485="HEV PREMIUM",'中古車掲載'!J485=2023,ISNUMBER('中古車掲載'!N485),'中古車掲載'!N485&gt;=20000,'中古車掲載'!O485&lt;=100000,'中古車掲載'!AL485=1,'中古車掲載'!Z485="https://www.one2car.com/en/cars-for-sale/toyota/corolla-cross/year-2023"),'中古車掲載'!U485,"")</x:f>
      </x:c>
      <x:c r="BG484" s="3" t="str">
        <x:f>IF(AND('中古車掲載'!C485="One2car",'中古車掲載'!F485="Corolla Cross",'中古車掲載'!L485="HEV GR SPORT",'中古車掲載'!J485=2023,ISNUMBER('中古車掲載'!N485),'中古車掲載'!N485&gt;=20000,'中古車掲載'!O485&lt;=100000,'中古車掲載'!AL485=1,'中古車掲載'!Z485="https://www.one2car.com/en/cars-for-sale/toyota/corolla-cross/year-2023"),'中古車掲載'!U485,"")</x:f>
      </x:c>
      <x:c r="BH484" s="3" t="str">
        <x:f>IF(AND('中古車掲載'!C485="One2car",'中古車掲載'!F485="DOLPHIN",'中古車掲載'!L485="STANDARD RANGE",'中古車掲載'!J485=2023,ISNUMBER('中古車掲載'!N485),'中古車掲載'!N485&gt;=20000,'中古車掲載'!O485&lt;=100000,'中古車掲載'!AL485=1),'中古車掲載'!U485,"")</x:f>
      </x:c>
      <x:c r="BI484" s="3" t="str">
        <x:v>Taladrod|DOLPHIN|BEV|Unknown</x:v>
      </x:c>
      <x:c r="BJ484" s="3" t="n">
        <x:v>485</x:v>
      </x:c>
      <x:c r="BK484" s="3" t="n">
        <x:f>'中古車掲載'!AM485</x:f>
        <x:v>399000</x:v>
      </x:c>
      <x:c r="BL484" s="3" t="str">
        <x:f>IF(ISNUMBER('中古車掲載'!AN485),'中古車掲載'!AN485,"")</x:f>
      </x:c>
      <x:c r="BM484" s="3"/>
      <x:c r="BN484" s="3"/>
      <x:c r="BO484" s="3"/>
      <x:c r="BP484" s="3"/>
      <x:c r="BQ484" s="3"/>
      <x:c r="BR484" s="3"/>
    </x:row>
    <x:row r="485" ht="22" customHeight="1">
      <x:c r="A485" s="3" t="str">
        <x:v>Fortuner</x:v>
      </x:c>
      <x:c r="B485" s="3" t="str">
        <x:v>ICE</x:v>
      </x:c>
      <x:c r="C485" s="3" t="str">
        <x:v>Taladrod</x:v>
      </x:c>
      <x:c r="D485" s="3" t="str">
        <x:v>SUV</x:v>
      </x:c>
      <x:c r="E485" s="3" t="str"/>
      <x:c r="F485" s="3" t="n">
        <x:v>2021</x:v>
      </x:c>
      <x:c r="G485" s="3" t="str">
        <x:v>2.4 LEGENDER</x:v>
      </x:c>
      <x:c r="H485" s="3" t="str">
        <x:v>未掲載</x:v>
      </x:c>
      <x:c r="I485" s="3" t="str">
        <x:v>15-ปัจจุบัน</x:v>
      </x:c>
      <x:c r="J485" s="22" t="n">
        <x:f>COUNT('中古車掲載'!AM528:AM531)</x:f>
        <x:v>4</x:v>
      </x:c>
      <x:c r="K485" s="22" t="n">
        <x:f>IF(COUNT('中古車掲載'!AM528:AM531)=0,"",QUARTILE('中古車掲載'!AM528:AM531,1))</x:f>
        <x:v>933500</x:v>
      </x:c>
      <x:c r="L485" s="22" t="n">
        <x:f>IF(COUNT('中古車掲載'!AM528:AM531)=0,"",MEDIAN('中古車掲載'!AM528:AM531))</x:f>
        <x:v>941500</x:v>
      </x:c>
      <x:c r="M485" s="22" t="n">
        <x:f>IF(COUNT('中古車掲載'!AM528:AM531)=0,"",QUARTILE('中古車掲載'!AM528:AM531,3))</x:f>
        <x:v>948250</x:v>
      </x:c>
      <x:c r="N485" s="22" t="n">
        <x:f>COUNT('中古車掲載'!AN528:AN531)</x:f>
        <x:v>0</x:v>
      </x:c>
      <x:c r="O485" s="23" t="str">
        <x:f>IF(COUNT('中古車掲載'!AN528:AN531)=0,"",MEDIAN('中古車掲載'!AN528:AN531))</x:f>
      </x:c>
      <x:c r="P485" s="3"/>
      <x:c r="Q485" s="3"/>
      <x:c r="R485" s="3"/>
      <x:c r="S485" s="3"/>
      <x:c r="T485" s="3"/>
      <x:c r="U485" s="3"/>
      <x:c r="V485" s="3"/>
      <x:c r="W485" s="3"/>
      <x:c r="X485" s="3"/>
      <x:c r="Y485" s="3"/>
      <x:c r="Z485" s="3"/>
      <x:c r="AA485" s="3"/>
      <x:c r="AB485" s="3"/>
      <x:c r="AC485" s="3"/>
      <x:c r="AD485" s="3"/>
      <x:c r="AE485" s="3"/>
      <x:c r="AF485" s="3"/>
      <x:c r="AG485" s="3"/>
      <x:c r="AH485" s="3"/>
      <x:c r="AI485" s="3"/>
      <x:c r="AJ485" s="3"/>
      <x:c r="AK485" s="3"/>
      <x:c r="AL485" s="3"/>
      <x:c r="AM485" s="3"/>
      <x:c r="AN485" s="3"/>
      <x:c r="AO485" s="3"/>
      <x:c r="AP485" s="3"/>
      <x:c r="AQ485" s="3"/>
      <x:c r="AR485" s="3"/>
      <x:c r="AS485" s="3"/>
      <x:c r="AT485" s="3"/>
      <x:c r="AU485" s="3"/>
      <x:c r="AV485" s="3"/>
      <x:c r="AW485" s="3"/>
      <x:c r="AX485" s="3"/>
      <x:c r="AY485" s="3"/>
      <x:c r="AZ485" s="3" t="str">
        <x:f>IF(AND('中古車掲載'!C486="One2car",'中古車掲載'!F486="ATTO 3",'中古車掲載'!L486="EXTENDED RANGE",'中古車掲載'!J486=2023,ISNUMBER('中古車掲載'!N486),'中古車掲載'!N486&gt;=20000,'中古車掲載'!O486&lt;=100000,'中古車掲載'!AL486=1),'中古車掲載'!U486,"")</x:f>
      </x:c>
      <x:c r="BA485" s="3" t="str">
        <x:f>IF(AND('中古車掲載'!C486="One2car",'中古車掲載'!F486="Corolla Cross",'中古車掲載'!L486="HEV PREMIUM SAFETY",'中古車掲載'!J486=2023,ISNUMBER('中古車掲載'!N486),'中古車掲載'!N486&gt;=20000,'中古車掲載'!O486&lt;=100000,'中古車掲載'!AL486=1,'中古車掲載'!Z486="https://www.one2car.com/en/cars-for-sale/toyota/corolla-cross/year-2023"),'中古車掲載'!U486,"")</x:f>
      </x:c>
      <x:c r="BB485" s="3" t="str">
        <x:f>IF(AND('中古車掲載'!C486="One2car",'中古車掲載'!F486="ATTO 3",'中古車掲載'!L486="EXTENDED RANGE",'中古車掲載'!J486=2023,ISNUMBER('中古車掲載'!N486),'中古車掲載'!N486&gt;=50000,'中古車掲載'!O486&lt;=100000,'中古車掲載'!AL486=1),'中古車掲載'!U486,"")</x:f>
      </x:c>
      <x:c r="BC485" s="3" t="str">
        <x:f>IF(AND('中古車掲載'!C486="One2car",'中古車掲載'!F486="Corolla Cross",'中古車掲載'!L486="HEV PREMIUM SAFETY",'中古車掲載'!J486=2023,ISNUMBER('中古車掲載'!N486),'中古車掲載'!N486&gt;=50000,'中古車掲載'!O486&lt;=100000,'中古車掲載'!AL486=1,'中古車掲載'!Z486="https://www.one2car.com/en/cars-for-sale/toyota/corolla-cross/year-2023"),'中古車掲載'!U486,"")</x:f>
      </x:c>
      <x:c r="BD485" s="3" t="str">
        <x:f>IF(AND('中古車掲載'!C486="One2car",'中古車掲載'!F486="ATTO 3",'中古車掲載'!L486="EXTENDED RANGE",'中古車掲載'!J486=2023,ISNUMBER('中古車掲載'!N486),'中古車掲載'!N486&gt;=20000,'中古車掲載'!O486&lt;=50000,'中古車掲載'!AL486=1),'中古車掲載'!U486,"")</x:f>
      </x:c>
      <x:c r="BE485" s="3" t="str">
        <x:f>IF(AND('中古車掲載'!C486="One2car",'中古車掲載'!F486="Corolla Cross",'中古車掲載'!L486="HEV PREMIUM SAFETY",'中古車掲載'!J486=2023,ISNUMBER('中古車掲載'!N486),'中古車掲載'!N486&gt;=20000,'中古車掲載'!O486&lt;=50000,'中古車掲載'!AL486=1,'中古車掲載'!Z486="https://www.one2car.com/en/cars-for-sale/toyota/corolla-cross/year-2023"),'中古車掲載'!U486,"")</x:f>
      </x:c>
      <x:c r="BF485" s="3" t="str">
        <x:f>IF(AND('中古車掲載'!C486="One2car",'中古車掲載'!F486="Corolla Cross",'中古車掲載'!L486="HEV PREMIUM",'中古車掲載'!J486=2023,ISNUMBER('中古車掲載'!N486),'中古車掲載'!N486&gt;=20000,'中古車掲載'!O486&lt;=100000,'中古車掲載'!AL486=1,'中古車掲載'!Z486="https://www.one2car.com/en/cars-for-sale/toyota/corolla-cross/year-2023"),'中古車掲載'!U486,"")</x:f>
      </x:c>
      <x:c r="BG485" s="3" t="str">
        <x:f>IF(AND('中古車掲載'!C486="One2car",'中古車掲載'!F486="Corolla Cross",'中古車掲載'!L486="HEV GR SPORT",'中古車掲載'!J486=2023,ISNUMBER('中古車掲載'!N486),'中古車掲載'!N486&gt;=20000,'中古車掲載'!O486&lt;=100000,'中古車掲載'!AL486=1,'中古車掲載'!Z486="https://www.one2car.com/en/cars-for-sale/toyota/corolla-cross/year-2023"),'中古車掲載'!U486,"")</x:f>
      </x:c>
      <x:c r="BH485" s="3" t="str">
        <x:f>IF(AND('中古車掲載'!C486="One2car",'中古車掲載'!F486="DOLPHIN",'中古車掲載'!L486="STANDARD RANGE",'中古車掲載'!J486=2023,ISNUMBER('中古車掲載'!N486),'中古車掲載'!N486&gt;=20000,'中古車掲載'!O486&lt;=100000,'中古車掲載'!AL486=1),'中古車掲載'!U486,"")</x:f>
      </x:c>
      <x:c r="BI485" s="3" t="str">
        <x:v>Taladrod|Fortuner|ICE|Unknown</x:v>
      </x:c>
      <x:c r="BJ485" s="3" t="n">
        <x:v>486</x:v>
      </x:c>
      <x:c r="BK485" s="3" t="n">
        <x:f>'中古車掲載'!AM486</x:f>
        <x:v>679000</x:v>
      </x:c>
      <x:c r="BL485" s="3" t="str">
        <x:f>IF(ISNUMBER('中古車掲載'!AN486),'中古車掲載'!AN486,"")</x:f>
      </x:c>
      <x:c r="BM485" s="3"/>
      <x:c r="BN485" s="3"/>
      <x:c r="BO485" s="3"/>
      <x:c r="BP485" s="3"/>
      <x:c r="BQ485" s="3"/>
      <x:c r="BR485" s="3"/>
    </x:row>
    <x:row r="486" ht="22" customHeight="1">
      <x:c r="A486" s="3" t="str">
        <x:v>Fortuner</x:v>
      </x:c>
      <x:c r="B486" s="3" t="str">
        <x:v>ICE</x:v>
      </x:c>
      <x:c r="C486" s="3" t="str">
        <x:v>Taladrod</x:v>
      </x:c>
      <x:c r="D486" s="3" t="str">
        <x:v>SUV</x:v>
      </x:c>
      <x:c r="E486" s="3" t="str"/>
      <x:c r="F486" s="3" t="n">
        <x:v>2021</x:v>
      </x:c>
      <x:c r="G486" s="3" t="str">
        <x:v>2.4 LEGENDER 4WD</x:v>
      </x:c>
      <x:c r="H486" s="3" t="str">
        <x:v>未掲載</x:v>
      </x:c>
      <x:c r="I486" s="3" t="str">
        <x:v>15-ปัจจุบัน</x:v>
      </x:c>
      <x:c r="J486" s="22" t="n">
        <x:f>COUNT('中古車掲載'!AM532:AM533)</x:f>
        <x:v>2</x:v>
      </x:c>
      <x:c r="K486" s="22" t="n">
        <x:f>IF(COUNT('中古車掲載'!AM532:AM533)=0,"",QUARTILE('中古車掲載'!AM532:AM533,1))</x:f>
        <x:v>982750</x:v>
      </x:c>
      <x:c r="L486" s="22" t="n">
        <x:f>IF(COUNT('中古車掲載'!AM532:AM533)=0,"",MEDIAN('中古車掲載'!AM532:AM533))</x:f>
        <x:v>986500</x:v>
      </x:c>
      <x:c r="M486" s="22" t="n">
        <x:f>IF(COUNT('中古車掲載'!AM532:AM533)=0,"",QUARTILE('中古車掲載'!AM532:AM533,3))</x:f>
        <x:v>990250</x:v>
      </x:c>
      <x:c r="N486" s="22" t="n">
        <x:f>COUNT('中古車掲載'!AN532:AN533)</x:f>
        <x:v>0</x:v>
      </x:c>
      <x:c r="O486" s="23" t="str">
        <x:f>IF(COUNT('中古車掲載'!AN532:AN533)=0,"",MEDIAN('中古車掲載'!AN532:AN533))</x:f>
      </x:c>
      <x:c r="P486" s="3"/>
      <x:c r="Q486" s="3"/>
      <x:c r="R486" s="3"/>
      <x:c r="S486" s="3"/>
      <x:c r="T486" s="3"/>
      <x:c r="U486" s="3"/>
      <x:c r="V486" s="3"/>
      <x:c r="W486" s="3"/>
      <x:c r="X486" s="3"/>
      <x:c r="Y486" s="3"/>
      <x:c r="Z486" s="3"/>
      <x:c r="AA486" s="3"/>
      <x:c r="AB486" s="3"/>
      <x:c r="AC486" s="3"/>
      <x:c r="AD486" s="3"/>
      <x:c r="AE486" s="3"/>
      <x:c r="AF486" s="3"/>
      <x:c r="AG486" s="3"/>
      <x:c r="AH486" s="3"/>
      <x:c r="AI486" s="3"/>
      <x:c r="AJ486" s="3"/>
      <x:c r="AK486" s="3"/>
      <x:c r="AL486" s="3"/>
      <x:c r="AM486" s="3"/>
      <x:c r="AN486" s="3"/>
      <x:c r="AO486" s="3"/>
      <x:c r="AP486" s="3"/>
      <x:c r="AQ486" s="3"/>
      <x:c r="AR486" s="3"/>
      <x:c r="AS486" s="3"/>
      <x:c r="AT486" s="3"/>
      <x:c r="AU486" s="3"/>
      <x:c r="AV486" s="3"/>
      <x:c r="AW486" s="3"/>
      <x:c r="AX486" s="3"/>
      <x:c r="AY486" s="3"/>
      <x:c r="AZ486" s="3" t="str">
        <x:f>IF(AND('中古車掲載'!C487="One2car",'中古車掲載'!F487="ATTO 3",'中古車掲載'!L487="EXTENDED RANGE",'中古車掲載'!J487=2023,ISNUMBER('中古車掲載'!N487),'中古車掲載'!N487&gt;=20000,'中古車掲載'!O487&lt;=100000,'中古車掲載'!AL487=1),'中古車掲載'!U487,"")</x:f>
      </x:c>
      <x:c r="BA486" s="3" t="str">
        <x:f>IF(AND('中古車掲載'!C487="One2car",'中古車掲載'!F487="Corolla Cross",'中古車掲載'!L487="HEV PREMIUM SAFETY",'中古車掲載'!J487=2023,ISNUMBER('中古車掲載'!N487),'中古車掲載'!N487&gt;=20000,'中古車掲載'!O487&lt;=100000,'中古車掲載'!AL487=1,'中古車掲載'!Z487="https://www.one2car.com/en/cars-for-sale/toyota/corolla-cross/year-2023"),'中古車掲載'!U487,"")</x:f>
      </x:c>
      <x:c r="BB486" s="3" t="str">
        <x:f>IF(AND('中古車掲載'!C487="One2car",'中古車掲載'!F487="ATTO 3",'中古車掲載'!L487="EXTENDED RANGE",'中古車掲載'!J487=2023,ISNUMBER('中古車掲載'!N487),'中古車掲載'!N487&gt;=50000,'中古車掲載'!O487&lt;=100000,'中古車掲載'!AL487=1),'中古車掲載'!U487,"")</x:f>
      </x:c>
      <x:c r="BC486" s="3" t="str">
        <x:f>IF(AND('中古車掲載'!C487="One2car",'中古車掲載'!F487="Corolla Cross",'中古車掲載'!L487="HEV PREMIUM SAFETY",'中古車掲載'!J487=2023,ISNUMBER('中古車掲載'!N487),'中古車掲載'!N487&gt;=50000,'中古車掲載'!O487&lt;=100000,'中古車掲載'!AL487=1,'中古車掲載'!Z487="https://www.one2car.com/en/cars-for-sale/toyota/corolla-cross/year-2023"),'中古車掲載'!U487,"")</x:f>
      </x:c>
      <x:c r="BD486" s="3" t="str">
        <x:f>IF(AND('中古車掲載'!C487="One2car",'中古車掲載'!F487="ATTO 3",'中古車掲載'!L487="EXTENDED RANGE",'中古車掲載'!J487=2023,ISNUMBER('中古車掲載'!N487),'中古車掲載'!N487&gt;=20000,'中古車掲載'!O487&lt;=50000,'中古車掲載'!AL487=1),'中古車掲載'!U487,"")</x:f>
      </x:c>
      <x:c r="BE486" s="3" t="str">
        <x:f>IF(AND('中古車掲載'!C487="One2car",'中古車掲載'!F487="Corolla Cross",'中古車掲載'!L487="HEV PREMIUM SAFETY",'中古車掲載'!J487=2023,ISNUMBER('中古車掲載'!N487),'中古車掲載'!N487&gt;=20000,'中古車掲載'!O487&lt;=50000,'中古車掲載'!AL487=1,'中古車掲載'!Z487="https://www.one2car.com/en/cars-for-sale/toyota/corolla-cross/year-2023"),'中古車掲載'!U487,"")</x:f>
      </x:c>
      <x:c r="BF486" s="3" t="str">
        <x:f>IF(AND('中古車掲載'!C487="One2car",'中古車掲載'!F487="Corolla Cross",'中古車掲載'!L487="HEV PREMIUM",'中古車掲載'!J487=2023,ISNUMBER('中古車掲載'!N487),'中古車掲載'!N487&gt;=20000,'中古車掲載'!O487&lt;=100000,'中古車掲載'!AL487=1,'中古車掲載'!Z487="https://www.one2car.com/en/cars-for-sale/toyota/corolla-cross/year-2023"),'中古車掲載'!U487,"")</x:f>
      </x:c>
      <x:c r="BG486" s="3" t="str">
        <x:f>IF(AND('中古車掲載'!C487="One2car",'中古車掲載'!F487="Corolla Cross",'中古車掲載'!L487="HEV GR SPORT",'中古車掲載'!J487=2023,ISNUMBER('中古車掲載'!N487),'中古車掲載'!N487&gt;=20000,'中古車掲載'!O487&lt;=100000,'中古車掲載'!AL487=1,'中古車掲載'!Z487="https://www.one2car.com/en/cars-for-sale/toyota/corolla-cross/year-2023"),'中古車掲載'!U487,"")</x:f>
      </x:c>
      <x:c r="BH486" s="3" t="str">
        <x:f>IF(AND('中古車掲載'!C487="One2car",'中古車掲載'!F487="DOLPHIN",'中古車掲載'!L487="STANDARD RANGE",'中古車掲載'!J487=2023,ISNUMBER('中古車掲載'!N487),'中古車掲載'!N487&gt;=20000,'中古車掲載'!O487&lt;=100000,'中古車掲載'!AL487=1),'中古車掲載'!U487,"")</x:f>
      </x:c>
      <x:c r="BI486" s="3" t="str">
        <x:v>Taladrod|Fortuner|ICE|Unknown</x:v>
      </x:c>
      <x:c r="BJ486" s="3" t="n">
        <x:v>487</x:v>
      </x:c>
      <x:c r="BK486" s="3" t="n">
        <x:f>'中古車掲載'!AM487</x:f>
        <x:v>799000</x:v>
      </x:c>
      <x:c r="BL486" s="3" t="str">
        <x:f>IF(ISNUMBER('中古車掲載'!AN487),'中古車掲載'!AN487,"")</x:f>
      </x:c>
      <x:c r="BM486" s="3"/>
      <x:c r="BN486" s="3"/>
      <x:c r="BO486" s="3"/>
      <x:c r="BP486" s="3"/>
      <x:c r="BQ486" s="3"/>
      <x:c r="BR486" s="3"/>
    </x:row>
    <x:row r="487" ht="22" customHeight="1">
      <x:c r="A487" s="3" t="str">
        <x:v>Fortuner</x:v>
      </x:c>
      <x:c r="B487" s="3" t="str">
        <x:v>ICE</x:v>
      </x:c>
      <x:c r="C487" s="3" t="str">
        <x:v>Taladrod</x:v>
      </x:c>
      <x:c r="D487" s="3" t="str">
        <x:v>SUV</x:v>
      </x:c>
      <x:c r="E487" s="3" t="str"/>
      <x:c r="F487" s="3" t="n">
        <x:v>2021</x:v>
      </x:c>
      <x:c r="G487" s="3" t="str">
        <x:v>2.4 LEGENDER BLACK TOP</x:v>
      </x:c>
      <x:c r="H487" s="3" t="str">
        <x:v>未掲載</x:v>
      </x:c>
      <x:c r="I487" s="3" t="str">
        <x:v>15-ปัจจุบัน</x:v>
      </x:c>
      <x:c r="J487" s="22" t="n">
        <x:f>COUNT('中古車掲載'!AM534:AM538)</x:f>
        <x:v>5</x:v>
      </x:c>
      <x:c r="K487" s="22" t="n">
        <x:f>IF(COUNT('中古車掲載'!AM534:AM538)=0,"",QUARTILE('中古車掲載'!AM534:AM538,1))</x:f>
        <x:v>939000</x:v>
      </x:c>
      <x:c r="L487" s="22" t="n">
        <x:f>IF(COUNT('中古車掲載'!AM534:AM538)=0,"",MEDIAN('中古車掲載'!AM534:AM538))</x:f>
        <x:v>979000</x:v>
      </x:c>
      <x:c r="M487" s="22" t="n">
        <x:f>IF(COUNT('中古車掲載'!AM534:AM538)=0,"",QUARTILE('中古車掲載'!AM534:AM538,3))</x:f>
        <x:v>980000</x:v>
      </x:c>
      <x:c r="N487" s="22" t="n">
        <x:f>COUNT('中古車掲載'!AN534:AN538)</x:f>
        <x:v>0</x:v>
      </x:c>
      <x:c r="O487" s="23" t="str">
        <x:f>IF(COUNT('中古車掲載'!AN534:AN538)=0,"",MEDIAN('中古車掲載'!AN534:AN538))</x:f>
      </x:c>
      <x:c r="P487" s="3"/>
      <x:c r="Q487" s="3"/>
      <x:c r="R487" s="3"/>
      <x:c r="S487" s="3"/>
      <x:c r="T487" s="3"/>
      <x:c r="U487" s="3"/>
      <x:c r="V487" s="3"/>
      <x:c r="W487" s="3"/>
      <x:c r="X487" s="3"/>
      <x:c r="Y487" s="3"/>
      <x:c r="Z487" s="3"/>
      <x:c r="AA487" s="3"/>
      <x:c r="AB487" s="3"/>
      <x:c r="AC487" s="3"/>
      <x:c r="AD487" s="3"/>
      <x:c r="AE487" s="3"/>
      <x:c r="AF487" s="3"/>
      <x:c r="AG487" s="3"/>
      <x:c r="AH487" s="3"/>
      <x:c r="AI487" s="3"/>
      <x:c r="AJ487" s="3"/>
      <x:c r="AK487" s="3"/>
      <x:c r="AL487" s="3"/>
      <x:c r="AM487" s="3"/>
      <x:c r="AN487" s="3"/>
      <x:c r="AO487" s="3"/>
      <x:c r="AP487" s="3"/>
      <x:c r="AQ487" s="3"/>
      <x:c r="AR487" s="3"/>
      <x:c r="AS487" s="3"/>
      <x:c r="AT487" s="3"/>
      <x:c r="AU487" s="3"/>
      <x:c r="AV487" s="3"/>
      <x:c r="AW487" s="3"/>
      <x:c r="AX487" s="3"/>
      <x:c r="AY487" s="3"/>
      <x:c r="AZ487" s="3" t="str">
        <x:f>IF(AND('中古車掲載'!C488="One2car",'中古車掲載'!F488="ATTO 3",'中古車掲載'!L488="EXTENDED RANGE",'中古車掲載'!J488=2023,ISNUMBER('中古車掲載'!N488),'中古車掲載'!N488&gt;=20000,'中古車掲載'!O488&lt;=100000,'中古車掲載'!AL488=1),'中古車掲載'!U488,"")</x:f>
      </x:c>
      <x:c r="BA487" s="3" t="str">
        <x:f>IF(AND('中古車掲載'!C488="One2car",'中古車掲載'!F488="Corolla Cross",'中古車掲載'!L488="HEV PREMIUM SAFETY",'中古車掲載'!J488=2023,ISNUMBER('中古車掲載'!N488),'中古車掲載'!N488&gt;=20000,'中古車掲載'!O488&lt;=100000,'中古車掲載'!AL488=1,'中古車掲載'!Z488="https://www.one2car.com/en/cars-for-sale/toyota/corolla-cross/year-2023"),'中古車掲載'!U488,"")</x:f>
      </x:c>
      <x:c r="BB487" s="3" t="str">
        <x:f>IF(AND('中古車掲載'!C488="One2car",'中古車掲載'!F488="ATTO 3",'中古車掲載'!L488="EXTENDED RANGE",'中古車掲載'!J488=2023,ISNUMBER('中古車掲載'!N488),'中古車掲載'!N488&gt;=50000,'中古車掲載'!O488&lt;=100000,'中古車掲載'!AL488=1),'中古車掲載'!U488,"")</x:f>
      </x:c>
      <x:c r="BC487" s="3" t="str">
        <x:f>IF(AND('中古車掲載'!C488="One2car",'中古車掲載'!F488="Corolla Cross",'中古車掲載'!L488="HEV PREMIUM SAFETY",'中古車掲載'!J488=2023,ISNUMBER('中古車掲載'!N488),'中古車掲載'!N488&gt;=50000,'中古車掲載'!O488&lt;=100000,'中古車掲載'!AL488=1,'中古車掲載'!Z488="https://www.one2car.com/en/cars-for-sale/toyota/corolla-cross/year-2023"),'中古車掲載'!U488,"")</x:f>
      </x:c>
      <x:c r="BD487" s="3" t="str">
        <x:f>IF(AND('中古車掲載'!C488="One2car",'中古車掲載'!F488="ATTO 3",'中古車掲載'!L488="EXTENDED RANGE",'中古車掲載'!J488=2023,ISNUMBER('中古車掲載'!N488),'中古車掲載'!N488&gt;=20000,'中古車掲載'!O488&lt;=50000,'中古車掲載'!AL488=1),'中古車掲載'!U488,"")</x:f>
      </x:c>
      <x:c r="BE487" s="3" t="str">
        <x:f>IF(AND('中古車掲載'!C488="One2car",'中古車掲載'!F488="Corolla Cross",'中古車掲載'!L488="HEV PREMIUM SAFETY",'中古車掲載'!J488=2023,ISNUMBER('中古車掲載'!N488),'中古車掲載'!N488&gt;=20000,'中古車掲載'!O488&lt;=50000,'中古車掲載'!AL488=1,'中古車掲載'!Z488="https://www.one2car.com/en/cars-for-sale/toyota/corolla-cross/year-2023"),'中古車掲載'!U488,"")</x:f>
      </x:c>
      <x:c r="BF487" s="3" t="str">
        <x:f>IF(AND('中古車掲載'!C488="One2car",'中古車掲載'!F488="Corolla Cross",'中古車掲載'!L488="HEV PREMIUM",'中古車掲載'!J488=2023,ISNUMBER('中古車掲載'!N488),'中古車掲載'!N488&gt;=20000,'中古車掲載'!O488&lt;=100000,'中古車掲載'!AL488=1,'中古車掲載'!Z488="https://www.one2car.com/en/cars-for-sale/toyota/corolla-cross/year-2023"),'中古車掲載'!U488,"")</x:f>
      </x:c>
      <x:c r="BG487" s="3" t="str">
        <x:f>IF(AND('中古車掲載'!C488="One2car",'中古車掲載'!F488="Corolla Cross",'中古車掲載'!L488="HEV GR SPORT",'中古車掲載'!J488=2023,ISNUMBER('中古車掲載'!N488),'中古車掲載'!N488&gt;=20000,'中古車掲載'!O488&lt;=100000,'中古車掲載'!AL488=1,'中古車掲載'!Z488="https://www.one2car.com/en/cars-for-sale/toyota/corolla-cross/year-2023"),'中古車掲載'!U488,"")</x:f>
      </x:c>
      <x:c r="BH487" s="3" t="str">
        <x:f>IF(AND('中古車掲載'!C488="One2car",'中古車掲載'!F488="DOLPHIN",'中古車掲載'!L488="STANDARD RANGE",'中古車掲載'!J488=2023,ISNUMBER('中古車掲載'!N488),'中古車掲載'!N488&gt;=20000,'中古車掲載'!O488&lt;=100000,'中古車掲載'!AL488=1),'中古車掲載'!U488,"")</x:f>
      </x:c>
      <x:c r="BI487" s="3" t="str">
        <x:v>Taladrod|Fortuner|ICE|Unknown</x:v>
      </x:c>
      <x:c r="BJ487" s="3" t="n">
        <x:v>488</x:v>
      </x:c>
      <x:c r="BK487" s="3" t="n">
        <x:f>'中古車掲載'!AM488</x:f>
        <x:v>794000</x:v>
      </x:c>
      <x:c r="BL487" s="3" t="str">
        <x:f>IF(ISNUMBER('中古車掲載'!AN488),'中古車掲載'!AN488,"")</x:f>
      </x:c>
      <x:c r="BM487" s="3"/>
      <x:c r="BN487" s="3"/>
      <x:c r="BO487" s="3"/>
      <x:c r="BP487" s="3"/>
      <x:c r="BQ487" s="3"/>
      <x:c r="BR487" s="3"/>
    </x:row>
    <x:row r="488" ht="22" customHeight="1">
      <x:c r="A488" s="3" t="str">
        <x:v>Fortuner</x:v>
      </x:c>
      <x:c r="B488" s="3" t="str">
        <x:v>ICE</x:v>
      </x:c>
      <x:c r="C488" s="3" t="str">
        <x:v>Taladrod</x:v>
      </x:c>
      <x:c r="D488" s="3" t="str">
        <x:v>SUV</x:v>
      </x:c>
      <x:c r="E488" s="3" t="str"/>
      <x:c r="F488" s="3" t="n">
        <x:v>2021</x:v>
      </x:c>
      <x:c r="G488" s="3" t="str">
        <x:v>2.4 LEGENDER BLACK TOP 4WD</x:v>
      </x:c>
      <x:c r="H488" s="3" t="str">
        <x:v>未掲載</x:v>
      </x:c>
      <x:c r="I488" s="3" t="str">
        <x:v>15-ปัจจุบัน</x:v>
      </x:c>
      <x:c r="J488" s="22" t="n">
        <x:f>COUNT('中古車掲載'!AM539:AM541)</x:f>
        <x:v>3</x:v>
      </x:c>
      <x:c r="K488" s="22" t="n">
        <x:f>IF(COUNT('中古車掲載'!AM539:AM541)=0,"",QUARTILE('中古車掲載'!AM539:AM541,1))</x:f>
        <x:v>954000</x:v>
      </x:c>
      <x:c r="L488" s="22" t="n">
        <x:f>IF(COUNT('中古車掲載'!AM539:AM541)=0,"",MEDIAN('中古車掲載'!AM539:AM541))</x:f>
        <x:v>989000</x:v>
      </x:c>
      <x:c r="M488" s="22" t="n">
        <x:f>IF(COUNT('中古車掲載'!AM539:AM541)=0,"",QUARTILE('中古車掲載'!AM539:AM541,3))</x:f>
        <x:v>994000</x:v>
      </x:c>
      <x:c r="N488" s="22" t="n">
        <x:f>COUNT('中古車掲載'!AN539:AN541)</x:f>
        <x:v>0</x:v>
      </x:c>
      <x:c r="O488" s="23" t="str">
        <x:f>IF(COUNT('中古車掲載'!AN539:AN541)=0,"",MEDIAN('中古車掲載'!AN539:AN541))</x:f>
      </x:c>
      <x:c r="P488" s="3"/>
      <x:c r="Q488" s="3"/>
      <x:c r="R488" s="3"/>
      <x:c r="S488" s="3"/>
      <x:c r="T488" s="3"/>
      <x:c r="U488" s="3"/>
      <x:c r="V488" s="3"/>
      <x:c r="W488" s="3"/>
      <x:c r="X488" s="3"/>
      <x:c r="Y488" s="3"/>
      <x:c r="Z488" s="3"/>
      <x:c r="AA488" s="3"/>
      <x:c r="AB488" s="3"/>
      <x:c r="AC488" s="3"/>
      <x:c r="AD488" s="3"/>
      <x:c r="AE488" s="3"/>
      <x:c r="AF488" s="3"/>
      <x:c r="AG488" s="3"/>
      <x:c r="AH488" s="3"/>
      <x:c r="AI488" s="3"/>
      <x:c r="AJ488" s="3"/>
      <x:c r="AK488" s="3"/>
      <x:c r="AL488" s="3"/>
      <x:c r="AM488" s="3"/>
      <x:c r="AN488" s="3"/>
      <x:c r="AO488" s="3"/>
      <x:c r="AP488" s="3"/>
      <x:c r="AQ488" s="3"/>
      <x:c r="AR488" s="3"/>
      <x:c r="AS488" s="3"/>
      <x:c r="AT488" s="3"/>
      <x:c r="AU488" s="3"/>
      <x:c r="AV488" s="3"/>
      <x:c r="AW488" s="3"/>
      <x:c r="AX488" s="3"/>
      <x:c r="AY488" s="3"/>
      <x:c r="AZ488" s="3" t="str">
        <x:f>IF(AND('中古車掲載'!C489="One2car",'中古車掲載'!F489="ATTO 3",'中古車掲載'!L489="EXTENDED RANGE",'中古車掲載'!J489=2023,ISNUMBER('中古車掲載'!N489),'中古車掲載'!N489&gt;=20000,'中古車掲載'!O489&lt;=100000,'中古車掲載'!AL489=1),'中古車掲載'!U489,"")</x:f>
      </x:c>
      <x:c r="BA488" s="3" t="str">
        <x:f>IF(AND('中古車掲載'!C489="One2car",'中古車掲載'!F489="Corolla Cross",'中古車掲載'!L489="HEV PREMIUM SAFETY",'中古車掲載'!J489=2023,ISNUMBER('中古車掲載'!N489),'中古車掲載'!N489&gt;=20000,'中古車掲載'!O489&lt;=100000,'中古車掲載'!AL489=1,'中古車掲載'!Z489="https://www.one2car.com/en/cars-for-sale/toyota/corolla-cross/year-2023"),'中古車掲載'!U489,"")</x:f>
      </x:c>
      <x:c r="BB488" s="3" t="str">
        <x:f>IF(AND('中古車掲載'!C489="One2car",'中古車掲載'!F489="ATTO 3",'中古車掲載'!L489="EXTENDED RANGE",'中古車掲載'!J489=2023,ISNUMBER('中古車掲載'!N489),'中古車掲載'!N489&gt;=50000,'中古車掲載'!O489&lt;=100000,'中古車掲載'!AL489=1),'中古車掲載'!U489,"")</x:f>
      </x:c>
      <x:c r="BC488" s="3" t="str">
        <x:f>IF(AND('中古車掲載'!C489="One2car",'中古車掲載'!F489="Corolla Cross",'中古車掲載'!L489="HEV PREMIUM SAFETY",'中古車掲載'!J489=2023,ISNUMBER('中古車掲載'!N489),'中古車掲載'!N489&gt;=50000,'中古車掲載'!O489&lt;=100000,'中古車掲載'!AL489=1,'中古車掲載'!Z489="https://www.one2car.com/en/cars-for-sale/toyota/corolla-cross/year-2023"),'中古車掲載'!U489,"")</x:f>
      </x:c>
      <x:c r="BD488" s="3" t="str">
        <x:f>IF(AND('中古車掲載'!C489="One2car",'中古車掲載'!F489="ATTO 3",'中古車掲載'!L489="EXTENDED RANGE",'中古車掲載'!J489=2023,ISNUMBER('中古車掲載'!N489),'中古車掲載'!N489&gt;=20000,'中古車掲載'!O489&lt;=50000,'中古車掲載'!AL489=1),'中古車掲載'!U489,"")</x:f>
      </x:c>
      <x:c r="BE488" s="3" t="str">
        <x:f>IF(AND('中古車掲載'!C489="One2car",'中古車掲載'!F489="Corolla Cross",'中古車掲載'!L489="HEV PREMIUM SAFETY",'中古車掲載'!J489=2023,ISNUMBER('中古車掲載'!N489),'中古車掲載'!N489&gt;=20000,'中古車掲載'!O489&lt;=50000,'中古車掲載'!AL489=1,'中古車掲載'!Z489="https://www.one2car.com/en/cars-for-sale/toyota/corolla-cross/year-2023"),'中古車掲載'!U489,"")</x:f>
      </x:c>
      <x:c r="BF488" s="3" t="str">
        <x:f>IF(AND('中古車掲載'!C489="One2car",'中古車掲載'!F489="Corolla Cross",'中古車掲載'!L489="HEV PREMIUM",'中古車掲載'!J489=2023,ISNUMBER('中古車掲載'!N489),'中古車掲載'!N489&gt;=20000,'中古車掲載'!O489&lt;=100000,'中古車掲載'!AL489=1,'中古車掲載'!Z489="https://www.one2car.com/en/cars-for-sale/toyota/corolla-cross/year-2023"),'中古車掲載'!U489,"")</x:f>
      </x:c>
      <x:c r="BG488" s="3" t="str">
        <x:f>IF(AND('中古車掲載'!C489="One2car",'中古車掲載'!F489="Corolla Cross",'中古車掲載'!L489="HEV GR SPORT",'中古車掲載'!J489=2023,ISNUMBER('中古車掲載'!N489),'中古車掲載'!N489&gt;=20000,'中古車掲載'!O489&lt;=100000,'中古車掲載'!AL489=1,'中古車掲載'!Z489="https://www.one2car.com/en/cars-for-sale/toyota/corolla-cross/year-2023"),'中古車掲載'!U489,"")</x:f>
      </x:c>
      <x:c r="BH488" s="3" t="str">
        <x:f>IF(AND('中古車掲載'!C489="One2car",'中古車掲載'!F489="DOLPHIN",'中古車掲載'!L489="STANDARD RANGE",'中古車掲載'!J489=2023,ISNUMBER('中古車掲載'!N489),'中古車掲載'!N489&gt;=20000,'中古車掲載'!O489&lt;=100000,'中古車掲載'!AL489=1),'中古車掲載'!U489,"")</x:f>
      </x:c>
      <x:c r="BI488" s="3" t="str">
        <x:v>Taladrod|Fortuner|ICE|Unknown</x:v>
      </x:c>
      <x:c r="BJ488" s="3" t="n">
        <x:v>489</x:v>
      </x:c>
      <x:c r="BK488" s="3" t="n">
        <x:f>'中古車掲載'!AM489</x:f>
        <x:v>799000</x:v>
      </x:c>
      <x:c r="BL488" s="3" t="str">
        <x:f>IF(ISNUMBER('中古車掲載'!AN489),'中古車掲載'!AN489,"")</x:f>
      </x:c>
      <x:c r="BM488" s="3"/>
      <x:c r="BN488" s="3"/>
      <x:c r="BO488" s="3"/>
      <x:c r="BP488" s="3"/>
      <x:c r="BQ488" s="3"/>
      <x:c r="BR488" s="3"/>
    </x:row>
    <x:row r="489" ht="22" customHeight="1">
      <x:c r="A489" s="3" t="str">
        <x:v>Fortuner</x:v>
      </x:c>
      <x:c r="B489" s="3" t="str">
        <x:v>ICE</x:v>
      </x:c>
      <x:c r="C489" s="3" t="str">
        <x:v>Taladrod</x:v>
      </x:c>
      <x:c r="D489" s="3" t="str">
        <x:v>SUV</x:v>
      </x:c>
      <x:c r="E489" s="3" t="str"/>
      <x:c r="F489" s="3" t="n">
        <x:v>2021</x:v>
      </x:c>
      <x:c r="G489" s="3" t="str">
        <x:v>2.4 V</x:v>
      </x:c>
      <x:c r="H489" s="3" t="str">
        <x:v>未掲載</x:v>
      </x:c>
      <x:c r="I489" s="3" t="str">
        <x:v>15-ปัจจุบัน</x:v>
      </x:c>
      <x:c r="J489" s="22" t="n">
        <x:f>COUNT('中古車掲載'!AM542:AM548)</x:f>
        <x:v>7</x:v>
      </x:c>
      <x:c r="K489" s="22" t="n">
        <x:f>IF(COUNT('中古車掲載'!AM542:AM548)=0,"",QUARTILE('中古車掲載'!AM542:AM548,1))</x:f>
        <x:v>816500</x:v>
      </x:c>
      <x:c r="L489" s="22" t="n">
        <x:f>IF(COUNT('中古車掲載'!AM542:AM548)=0,"",MEDIAN('中古車掲載'!AM542:AM548))</x:f>
        <x:v>844000</x:v>
      </x:c>
      <x:c r="M489" s="22" t="n">
        <x:f>IF(COUNT('中古車掲載'!AM542:AM548)=0,"",QUARTILE('中古車掲載'!AM542:AM548,3))</x:f>
        <x:v>849000</x:v>
      </x:c>
      <x:c r="N489" s="22" t="n">
        <x:f>COUNT('中古車掲載'!AN542:AN548)</x:f>
        <x:v>0</x:v>
      </x:c>
      <x:c r="O489" s="23" t="str">
        <x:f>IF(COUNT('中古車掲載'!AN542:AN548)=0,"",MEDIAN('中古車掲載'!AN542:AN548))</x:f>
      </x:c>
      <x:c r="P489" s="3"/>
      <x:c r="Q489" s="3"/>
      <x:c r="R489" s="3"/>
      <x:c r="S489" s="3"/>
      <x:c r="T489" s="3"/>
      <x:c r="U489" s="3"/>
      <x:c r="V489" s="3"/>
      <x:c r="W489" s="3"/>
      <x:c r="X489" s="3"/>
      <x:c r="Y489" s="3"/>
      <x:c r="Z489" s="3"/>
      <x:c r="AA489" s="3"/>
      <x:c r="AB489" s="3"/>
      <x:c r="AC489" s="3"/>
      <x:c r="AD489" s="3"/>
      <x:c r="AE489" s="3"/>
      <x:c r="AF489" s="3"/>
      <x:c r="AG489" s="3"/>
      <x:c r="AH489" s="3"/>
      <x:c r="AI489" s="3"/>
      <x:c r="AJ489" s="3"/>
      <x:c r="AK489" s="3"/>
      <x:c r="AL489" s="3"/>
      <x:c r="AM489" s="3"/>
      <x:c r="AN489" s="3"/>
      <x:c r="AO489" s="3"/>
      <x:c r="AP489" s="3"/>
      <x:c r="AQ489" s="3"/>
      <x:c r="AR489" s="3"/>
      <x:c r="AS489" s="3"/>
      <x:c r="AT489" s="3"/>
      <x:c r="AU489" s="3"/>
      <x:c r="AV489" s="3"/>
      <x:c r="AW489" s="3"/>
      <x:c r="AX489" s="3"/>
      <x:c r="AY489" s="3"/>
      <x:c r="AZ489" s="3" t="str">
        <x:f>IF(AND('中古車掲載'!C490="One2car",'中古車掲載'!F490="ATTO 3",'中古車掲載'!L490="EXTENDED RANGE",'中古車掲載'!J490=2023,ISNUMBER('中古車掲載'!N490),'中古車掲載'!N490&gt;=20000,'中古車掲載'!O490&lt;=100000,'中古車掲載'!AL490=1),'中古車掲載'!U490,"")</x:f>
      </x:c>
      <x:c r="BA489" s="3" t="str">
        <x:f>IF(AND('中古車掲載'!C490="One2car",'中古車掲載'!F490="Corolla Cross",'中古車掲載'!L490="HEV PREMIUM SAFETY",'中古車掲載'!J490=2023,ISNUMBER('中古車掲載'!N490),'中古車掲載'!N490&gt;=20000,'中古車掲載'!O490&lt;=100000,'中古車掲載'!AL490=1,'中古車掲載'!Z490="https://www.one2car.com/en/cars-for-sale/toyota/corolla-cross/year-2023"),'中古車掲載'!U490,"")</x:f>
      </x:c>
      <x:c r="BB489" s="3" t="str">
        <x:f>IF(AND('中古車掲載'!C490="One2car",'中古車掲載'!F490="ATTO 3",'中古車掲載'!L490="EXTENDED RANGE",'中古車掲載'!J490=2023,ISNUMBER('中古車掲載'!N490),'中古車掲載'!N490&gt;=50000,'中古車掲載'!O490&lt;=100000,'中古車掲載'!AL490=1),'中古車掲載'!U490,"")</x:f>
      </x:c>
      <x:c r="BC489" s="3" t="str">
        <x:f>IF(AND('中古車掲載'!C490="One2car",'中古車掲載'!F490="Corolla Cross",'中古車掲載'!L490="HEV PREMIUM SAFETY",'中古車掲載'!J490=2023,ISNUMBER('中古車掲載'!N490),'中古車掲載'!N490&gt;=50000,'中古車掲載'!O490&lt;=100000,'中古車掲載'!AL490=1,'中古車掲載'!Z490="https://www.one2car.com/en/cars-for-sale/toyota/corolla-cross/year-2023"),'中古車掲載'!U490,"")</x:f>
      </x:c>
      <x:c r="BD489" s="3" t="str">
        <x:f>IF(AND('中古車掲載'!C490="One2car",'中古車掲載'!F490="ATTO 3",'中古車掲載'!L490="EXTENDED RANGE",'中古車掲載'!J490=2023,ISNUMBER('中古車掲載'!N490),'中古車掲載'!N490&gt;=20000,'中古車掲載'!O490&lt;=50000,'中古車掲載'!AL490=1),'中古車掲載'!U490,"")</x:f>
      </x:c>
      <x:c r="BE489" s="3" t="str">
        <x:f>IF(AND('中古車掲載'!C490="One2car",'中古車掲載'!F490="Corolla Cross",'中古車掲載'!L490="HEV PREMIUM SAFETY",'中古車掲載'!J490=2023,ISNUMBER('中古車掲載'!N490),'中古車掲載'!N490&gt;=20000,'中古車掲載'!O490&lt;=50000,'中古車掲載'!AL490=1,'中古車掲載'!Z490="https://www.one2car.com/en/cars-for-sale/toyota/corolla-cross/year-2023"),'中古車掲載'!U490,"")</x:f>
      </x:c>
      <x:c r="BF489" s="3" t="str">
        <x:f>IF(AND('中古車掲載'!C490="One2car",'中古車掲載'!F490="Corolla Cross",'中古車掲載'!L490="HEV PREMIUM",'中古車掲載'!J490=2023,ISNUMBER('中古車掲載'!N490),'中古車掲載'!N490&gt;=20000,'中古車掲載'!O490&lt;=100000,'中古車掲載'!AL490=1,'中古車掲載'!Z490="https://www.one2car.com/en/cars-for-sale/toyota/corolla-cross/year-2023"),'中古車掲載'!U490,"")</x:f>
      </x:c>
      <x:c r="BG489" s="3" t="str">
        <x:f>IF(AND('中古車掲載'!C490="One2car",'中古車掲載'!F490="Corolla Cross",'中古車掲載'!L490="HEV GR SPORT",'中古車掲載'!J490=2023,ISNUMBER('中古車掲載'!N490),'中古車掲載'!N490&gt;=20000,'中古車掲載'!O490&lt;=100000,'中古車掲載'!AL490=1,'中古車掲載'!Z490="https://www.one2car.com/en/cars-for-sale/toyota/corolla-cross/year-2023"),'中古車掲載'!U490,"")</x:f>
      </x:c>
      <x:c r="BH489" s="3" t="str">
        <x:f>IF(AND('中古車掲載'!C490="One2car",'中古車掲載'!F490="DOLPHIN",'中古車掲載'!L490="STANDARD RANGE",'中古車掲載'!J490=2023,ISNUMBER('中古車掲載'!N490),'中古車掲載'!N490&gt;=20000,'中古車掲載'!O490&lt;=100000,'中古車掲載'!AL490=1),'中古車掲載'!U490,"")</x:f>
      </x:c>
      <x:c r="BI489" s="3" t="str">
        <x:v>Taladrod|Fortuner|ICE|Unknown</x:v>
      </x:c>
      <x:c r="BJ489" s="3" t="n">
        <x:v>490</x:v>
      </x:c>
      <x:c r="BK489" s="3" t="n">
        <x:f>'中古車掲載'!AM490</x:f>
        <x:v>669000</x:v>
      </x:c>
      <x:c r="BL489" s="3" t="str">
        <x:f>IF(ISNUMBER('中古車掲載'!AN490),'中古車掲載'!AN490,"")</x:f>
      </x:c>
      <x:c r="BM489" s="3"/>
      <x:c r="BN489" s="3"/>
      <x:c r="BO489" s="3"/>
      <x:c r="BP489" s="3"/>
      <x:c r="BQ489" s="3"/>
      <x:c r="BR489" s="3"/>
    </x:row>
    <x:row r="490" ht="22" customHeight="1">
      <x:c r="A490" s="3" t="str">
        <x:v>Fortuner</x:v>
      </x:c>
      <x:c r="B490" s="3" t="str">
        <x:v>ICE</x:v>
      </x:c>
      <x:c r="C490" s="3" t="str">
        <x:v>Taladrod</x:v>
      </x:c>
      <x:c r="D490" s="3" t="str">
        <x:v>SUV</x:v>
      </x:c>
      <x:c r="E490" s="3" t="str"/>
      <x:c r="F490" s="3" t="n">
        <x:v>2021</x:v>
      </x:c>
      <x:c r="G490" s="3" t="str">
        <x:v>2.4 V 4WD</x:v>
      </x:c>
      <x:c r="H490" s="3" t="str">
        <x:v>未掲載</x:v>
      </x:c>
      <x:c r="I490" s="3" t="str">
        <x:v>15-ปัจจุบัน</x:v>
      </x:c>
      <x:c r="J490" s="22" t="n">
        <x:f>COUNT('中古車掲載'!AM549:AM554)</x:f>
        <x:v>6</x:v>
      </x:c>
      <x:c r="K490" s="22" t="n">
        <x:f>IF(COUNT('中古車掲載'!AM549:AM554)=0,"",QUARTILE('中古車掲載'!AM549:AM554,1))</x:f>
        <x:v>856500</x:v>
      </x:c>
      <x:c r="L490" s="22" t="n">
        <x:f>IF(COUNT('中古車掲載'!AM549:AM554)=0,"",MEDIAN('中古車掲載'!AM549:AM554))</x:f>
        <x:v>904000</x:v>
      </x:c>
      <x:c r="M490" s="22" t="n">
        <x:f>IF(COUNT('中古車掲載'!AM549:AM554)=0,"",QUARTILE('中古車掲載'!AM549:AM554,3))</x:f>
        <x:v>951500</x:v>
      </x:c>
      <x:c r="N490" s="22" t="n">
        <x:f>COUNT('中古車掲載'!AN549:AN554)</x:f>
        <x:v>0</x:v>
      </x:c>
      <x:c r="O490" s="23" t="str">
        <x:f>IF(COUNT('中古車掲載'!AN549:AN554)=0,"",MEDIAN('中古車掲載'!AN549:AN554))</x:f>
      </x:c>
      <x:c r="P490" s="3"/>
      <x:c r="Q490" s="3"/>
      <x:c r="R490" s="3"/>
      <x:c r="S490" s="3"/>
      <x:c r="T490" s="3"/>
      <x:c r="U490" s="3"/>
      <x:c r="V490" s="3"/>
      <x:c r="W490" s="3"/>
      <x:c r="X490" s="3"/>
      <x:c r="Y490" s="3"/>
      <x:c r="Z490" s="3"/>
      <x:c r="AA490" s="3"/>
      <x:c r="AB490" s="3"/>
      <x:c r="AC490" s="3"/>
      <x:c r="AD490" s="3"/>
      <x:c r="AE490" s="3"/>
      <x:c r="AF490" s="3"/>
      <x:c r="AG490" s="3"/>
      <x:c r="AH490" s="3"/>
      <x:c r="AI490" s="3"/>
      <x:c r="AJ490" s="3"/>
      <x:c r="AK490" s="3"/>
      <x:c r="AL490" s="3"/>
      <x:c r="AM490" s="3"/>
      <x:c r="AN490" s="3"/>
      <x:c r="AO490" s="3"/>
      <x:c r="AP490" s="3"/>
      <x:c r="AQ490" s="3"/>
      <x:c r="AR490" s="3"/>
      <x:c r="AS490" s="3"/>
      <x:c r="AT490" s="3"/>
      <x:c r="AU490" s="3"/>
      <x:c r="AV490" s="3"/>
      <x:c r="AW490" s="3"/>
      <x:c r="AX490" s="3"/>
      <x:c r="AY490" s="3"/>
      <x:c r="AZ490" s="3" t="str">
        <x:f>IF(AND('中古車掲載'!C491="One2car",'中古車掲載'!F491="ATTO 3",'中古車掲載'!L491="EXTENDED RANGE",'中古車掲載'!J491=2023,ISNUMBER('中古車掲載'!N491),'中古車掲載'!N491&gt;=20000,'中古車掲載'!O491&lt;=100000,'中古車掲載'!AL491=1),'中古車掲載'!U491,"")</x:f>
      </x:c>
      <x:c r="BA490" s="3" t="str">
        <x:f>IF(AND('中古車掲載'!C491="One2car",'中古車掲載'!F491="Corolla Cross",'中古車掲載'!L491="HEV PREMIUM SAFETY",'中古車掲載'!J491=2023,ISNUMBER('中古車掲載'!N491),'中古車掲載'!N491&gt;=20000,'中古車掲載'!O491&lt;=100000,'中古車掲載'!AL491=1,'中古車掲載'!Z491="https://www.one2car.com/en/cars-for-sale/toyota/corolla-cross/year-2023"),'中古車掲載'!U491,"")</x:f>
      </x:c>
      <x:c r="BB490" s="3" t="str">
        <x:f>IF(AND('中古車掲載'!C491="One2car",'中古車掲載'!F491="ATTO 3",'中古車掲載'!L491="EXTENDED RANGE",'中古車掲載'!J491=2023,ISNUMBER('中古車掲載'!N491),'中古車掲載'!N491&gt;=50000,'中古車掲載'!O491&lt;=100000,'中古車掲載'!AL491=1),'中古車掲載'!U491,"")</x:f>
      </x:c>
      <x:c r="BC490" s="3" t="str">
        <x:f>IF(AND('中古車掲載'!C491="One2car",'中古車掲載'!F491="Corolla Cross",'中古車掲載'!L491="HEV PREMIUM SAFETY",'中古車掲載'!J491=2023,ISNUMBER('中古車掲載'!N491),'中古車掲載'!N491&gt;=50000,'中古車掲載'!O491&lt;=100000,'中古車掲載'!AL491=1,'中古車掲載'!Z491="https://www.one2car.com/en/cars-for-sale/toyota/corolla-cross/year-2023"),'中古車掲載'!U491,"")</x:f>
      </x:c>
      <x:c r="BD490" s="3" t="str">
        <x:f>IF(AND('中古車掲載'!C491="One2car",'中古車掲載'!F491="ATTO 3",'中古車掲載'!L491="EXTENDED RANGE",'中古車掲載'!J491=2023,ISNUMBER('中古車掲載'!N491),'中古車掲載'!N491&gt;=20000,'中古車掲載'!O491&lt;=50000,'中古車掲載'!AL491=1),'中古車掲載'!U491,"")</x:f>
      </x:c>
      <x:c r="BE490" s="3" t="str">
        <x:f>IF(AND('中古車掲載'!C491="One2car",'中古車掲載'!F491="Corolla Cross",'中古車掲載'!L491="HEV PREMIUM SAFETY",'中古車掲載'!J491=2023,ISNUMBER('中古車掲載'!N491),'中古車掲載'!N491&gt;=20000,'中古車掲載'!O491&lt;=50000,'中古車掲載'!AL491=1,'中古車掲載'!Z491="https://www.one2car.com/en/cars-for-sale/toyota/corolla-cross/year-2023"),'中古車掲載'!U491,"")</x:f>
      </x:c>
      <x:c r="BF490" s="3" t="str">
        <x:f>IF(AND('中古車掲載'!C491="One2car",'中古車掲載'!F491="Corolla Cross",'中古車掲載'!L491="HEV PREMIUM",'中古車掲載'!J491=2023,ISNUMBER('中古車掲載'!N491),'中古車掲載'!N491&gt;=20000,'中古車掲載'!O491&lt;=100000,'中古車掲載'!AL491=1,'中古車掲載'!Z491="https://www.one2car.com/en/cars-for-sale/toyota/corolla-cross/year-2023"),'中古車掲載'!U491,"")</x:f>
      </x:c>
      <x:c r="BG490" s="3" t="str">
        <x:f>IF(AND('中古車掲載'!C491="One2car",'中古車掲載'!F491="Corolla Cross",'中古車掲載'!L491="HEV GR SPORT",'中古車掲載'!J491=2023,ISNUMBER('中古車掲載'!N491),'中古車掲載'!N491&gt;=20000,'中古車掲載'!O491&lt;=100000,'中古車掲載'!AL491=1,'中古車掲載'!Z491="https://www.one2car.com/en/cars-for-sale/toyota/corolla-cross/year-2023"),'中古車掲載'!U491,"")</x:f>
      </x:c>
      <x:c r="BH490" s="3" t="str">
        <x:f>IF(AND('中古車掲載'!C491="One2car",'中古車掲載'!F491="DOLPHIN",'中古車掲載'!L491="STANDARD RANGE",'中古車掲載'!J491=2023,ISNUMBER('中古車掲載'!N491),'中古車掲載'!N491&gt;=20000,'中古車掲載'!O491&lt;=100000,'中古車掲載'!AL491=1),'中古車掲載'!U491,"")</x:f>
      </x:c>
      <x:c r="BI490" s="3" t="str">
        <x:v>Taladrod|Fortuner|ICE|Unknown</x:v>
      </x:c>
      <x:c r="BJ490" s="3" t="n">
        <x:v>491</x:v>
      </x:c>
      <x:c r="BK490" s="3" t="n">
        <x:f>'中古車掲載'!AM491</x:f>
        <x:v>824000</x:v>
      </x:c>
      <x:c r="BL490" s="3" t="str">
        <x:f>IF(ISNUMBER('中古車掲載'!AN491),'中古車掲載'!AN491,"")</x:f>
      </x:c>
      <x:c r="BM490" s="3"/>
      <x:c r="BN490" s="3"/>
      <x:c r="BO490" s="3"/>
      <x:c r="BP490" s="3"/>
      <x:c r="BQ490" s="3"/>
      <x:c r="BR490" s="3"/>
    </x:row>
    <x:row r="491" ht="22" customHeight="1">
      <x:c r="A491" s="3" t="str">
        <x:v>Fortuner</x:v>
      </x:c>
      <x:c r="B491" s="3" t="str">
        <x:v>ICE</x:v>
      </x:c>
      <x:c r="C491" s="3" t="str">
        <x:v>Taladrod</x:v>
      </x:c>
      <x:c r="D491" s="3" t="str">
        <x:v>SUV</x:v>
      </x:c>
      <x:c r="E491" s="3" t="str"/>
      <x:c r="F491" s="3" t="n">
        <x:v>2021</x:v>
      </x:c>
      <x:c r="G491" s="3" t="str">
        <x:v>2.8 LEGENDER</x:v>
      </x:c>
      <x:c r="H491" s="3" t="str">
        <x:v>未掲載</x:v>
      </x:c>
      <x:c r="I491" s="3" t="str">
        <x:v>15-ปัจจุบัน</x:v>
      </x:c>
      <x:c r="J491" s="22" t="n">
        <x:f>COUNT('中古車掲載'!AM555:AM555)</x:f>
        <x:v>1</x:v>
      </x:c>
      <x:c r="K491" s="22" t="n">
        <x:f>IF(COUNT('中古車掲載'!AM555:AM555)=0,"",QUARTILE('中古車掲載'!AM555:AM555,1))</x:f>
        <x:v>974000</x:v>
      </x:c>
      <x:c r="L491" s="22" t="n">
        <x:f>IF(COUNT('中古車掲載'!AM555:AM555)=0,"",MEDIAN('中古車掲載'!AM555:AM555))</x:f>
        <x:v>974000</x:v>
      </x:c>
      <x:c r="M491" s="22" t="n">
        <x:f>IF(COUNT('中古車掲載'!AM555:AM555)=0,"",QUARTILE('中古車掲載'!AM555:AM555,3))</x:f>
        <x:v>974000</x:v>
      </x:c>
      <x:c r="N491" s="22" t="n">
        <x:f>COUNT('中古車掲載'!AN555:AN555)</x:f>
        <x:v>0</x:v>
      </x:c>
      <x:c r="O491" s="23" t="str">
        <x:f>IF(COUNT('中古車掲載'!AN555:AN555)=0,"",MEDIAN('中古車掲載'!AN555:AN555))</x:f>
      </x:c>
      <x:c r="P491" s="3"/>
      <x:c r="Q491" s="3"/>
      <x:c r="R491" s="3"/>
      <x:c r="S491" s="3"/>
      <x:c r="T491" s="3"/>
      <x:c r="U491" s="3"/>
      <x:c r="V491" s="3"/>
      <x:c r="W491" s="3"/>
      <x:c r="X491" s="3"/>
      <x:c r="Y491" s="3"/>
      <x:c r="Z491" s="3"/>
      <x:c r="AA491" s="3"/>
      <x:c r="AB491" s="3"/>
      <x:c r="AC491" s="3"/>
      <x:c r="AD491" s="3"/>
      <x:c r="AE491" s="3"/>
      <x:c r="AF491" s="3"/>
      <x:c r="AG491" s="3"/>
      <x:c r="AH491" s="3"/>
      <x:c r="AI491" s="3"/>
      <x:c r="AJ491" s="3"/>
      <x:c r="AK491" s="3"/>
      <x:c r="AL491" s="3"/>
      <x:c r="AM491" s="3"/>
      <x:c r="AN491" s="3"/>
      <x:c r="AO491" s="3"/>
      <x:c r="AP491" s="3"/>
      <x:c r="AQ491" s="3"/>
      <x:c r="AR491" s="3"/>
      <x:c r="AS491" s="3"/>
      <x:c r="AT491" s="3"/>
      <x:c r="AU491" s="3"/>
      <x:c r="AV491" s="3"/>
      <x:c r="AW491" s="3"/>
      <x:c r="AX491" s="3"/>
      <x:c r="AY491" s="3"/>
      <x:c r="AZ491" s="3" t="str">
        <x:f>IF(AND('中古車掲載'!C492="One2car",'中古車掲載'!F492="ATTO 3",'中古車掲載'!L492="EXTENDED RANGE",'中古車掲載'!J492=2023,ISNUMBER('中古車掲載'!N492),'中古車掲載'!N492&gt;=20000,'中古車掲載'!O492&lt;=100000,'中古車掲載'!AL492=1),'中古車掲載'!U492,"")</x:f>
      </x:c>
      <x:c r="BA491" s="3" t="str">
        <x:f>IF(AND('中古車掲載'!C492="One2car",'中古車掲載'!F492="Corolla Cross",'中古車掲載'!L492="HEV PREMIUM SAFETY",'中古車掲載'!J492=2023,ISNUMBER('中古車掲載'!N492),'中古車掲載'!N492&gt;=20000,'中古車掲載'!O492&lt;=100000,'中古車掲載'!AL492=1,'中古車掲載'!Z492="https://www.one2car.com/en/cars-for-sale/toyota/corolla-cross/year-2023"),'中古車掲載'!U492,"")</x:f>
      </x:c>
      <x:c r="BB491" s="3" t="str">
        <x:f>IF(AND('中古車掲載'!C492="One2car",'中古車掲載'!F492="ATTO 3",'中古車掲載'!L492="EXTENDED RANGE",'中古車掲載'!J492=2023,ISNUMBER('中古車掲載'!N492),'中古車掲載'!N492&gt;=50000,'中古車掲載'!O492&lt;=100000,'中古車掲載'!AL492=1),'中古車掲載'!U492,"")</x:f>
      </x:c>
      <x:c r="BC491" s="3" t="str">
        <x:f>IF(AND('中古車掲載'!C492="One2car",'中古車掲載'!F492="Corolla Cross",'中古車掲載'!L492="HEV PREMIUM SAFETY",'中古車掲載'!J492=2023,ISNUMBER('中古車掲載'!N492),'中古車掲載'!N492&gt;=50000,'中古車掲載'!O492&lt;=100000,'中古車掲載'!AL492=1,'中古車掲載'!Z492="https://www.one2car.com/en/cars-for-sale/toyota/corolla-cross/year-2023"),'中古車掲載'!U492,"")</x:f>
      </x:c>
      <x:c r="BD491" s="3" t="str">
        <x:f>IF(AND('中古車掲載'!C492="One2car",'中古車掲載'!F492="ATTO 3",'中古車掲載'!L492="EXTENDED RANGE",'中古車掲載'!J492=2023,ISNUMBER('中古車掲載'!N492),'中古車掲載'!N492&gt;=20000,'中古車掲載'!O492&lt;=50000,'中古車掲載'!AL492=1),'中古車掲載'!U492,"")</x:f>
      </x:c>
      <x:c r="BE491" s="3" t="str">
        <x:f>IF(AND('中古車掲載'!C492="One2car",'中古車掲載'!F492="Corolla Cross",'中古車掲載'!L492="HEV PREMIUM SAFETY",'中古車掲載'!J492=2023,ISNUMBER('中古車掲載'!N492),'中古車掲載'!N492&gt;=20000,'中古車掲載'!O492&lt;=50000,'中古車掲載'!AL492=1,'中古車掲載'!Z492="https://www.one2car.com/en/cars-for-sale/toyota/corolla-cross/year-2023"),'中古車掲載'!U492,"")</x:f>
      </x:c>
      <x:c r="BF491" s="3" t="str">
        <x:f>IF(AND('中古車掲載'!C492="One2car",'中古車掲載'!F492="Corolla Cross",'中古車掲載'!L492="HEV PREMIUM",'中古車掲載'!J492=2023,ISNUMBER('中古車掲載'!N492),'中古車掲載'!N492&gt;=20000,'中古車掲載'!O492&lt;=100000,'中古車掲載'!AL492=1,'中古車掲載'!Z492="https://www.one2car.com/en/cars-for-sale/toyota/corolla-cross/year-2023"),'中古車掲載'!U492,"")</x:f>
      </x:c>
      <x:c r="BG491" s="3" t="str">
        <x:f>IF(AND('中古車掲載'!C492="One2car",'中古車掲載'!F492="Corolla Cross",'中古車掲載'!L492="HEV GR SPORT",'中古車掲載'!J492=2023,ISNUMBER('中古車掲載'!N492),'中古車掲載'!N492&gt;=20000,'中古車掲載'!O492&lt;=100000,'中古車掲載'!AL492=1,'中古車掲載'!Z492="https://www.one2car.com/en/cars-for-sale/toyota/corolla-cross/year-2023"),'中古車掲載'!U492,"")</x:f>
      </x:c>
      <x:c r="BH491" s="3" t="str">
        <x:f>IF(AND('中古車掲載'!C492="One2car",'中古車掲載'!F492="DOLPHIN",'中古車掲載'!L492="STANDARD RANGE",'中古車掲載'!J492=2023,ISNUMBER('中古車掲載'!N492),'中古車掲載'!N492&gt;=20000,'中古車掲載'!O492&lt;=100000,'中古車掲載'!AL492=1),'中古車掲載'!U492,"")</x:f>
      </x:c>
      <x:c r="BI491" s="3" t="str">
        <x:v>Taladrod|Fortuner|ICE|Unknown</x:v>
      </x:c>
      <x:c r="BJ491" s="3" t="n">
        <x:v>492</x:v>
      </x:c>
      <x:c r="BK491" s="3" t="n">
        <x:f>'中古車掲載'!AM492</x:f>
        <x:v>830000</x:v>
      </x:c>
      <x:c r="BL491" s="3" t="str">
        <x:f>IF(ISNUMBER('中古車掲載'!AN492),'中古車掲載'!AN492,"")</x:f>
      </x:c>
      <x:c r="BM491" s="3"/>
      <x:c r="BN491" s="3"/>
      <x:c r="BO491" s="3"/>
      <x:c r="BP491" s="3"/>
      <x:c r="BQ491" s="3"/>
      <x:c r="BR491" s="3"/>
    </x:row>
    <x:row r="492" ht="22" customHeight="1">
      <x:c r="A492" s="3" t="str">
        <x:v>Fortuner</x:v>
      </x:c>
      <x:c r="B492" s="3" t="str">
        <x:v>ICE</x:v>
      </x:c>
      <x:c r="C492" s="3" t="str">
        <x:v>Taladrod</x:v>
      </x:c>
      <x:c r="D492" s="3" t="str">
        <x:v>SUV</x:v>
      </x:c>
      <x:c r="E492" s="3" t="str"/>
      <x:c r="F492" s="3" t="n">
        <x:v>2021</x:v>
      </x:c>
      <x:c r="G492" s="3" t="str">
        <x:v>2.8 LEGENDER 4WD</x:v>
      </x:c>
      <x:c r="H492" s="3" t="str">
        <x:v>未掲載</x:v>
      </x:c>
      <x:c r="I492" s="3" t="str">
        <x:v>15-ปัจจุบัน</x:v>
      </x:c>
      <x:c r="J492" s="22" t="n">
        <x:f>COUNT('中古車掲載'!AM556:AM557)</x:f>
        <x:v>2</x:v>
      </x:c>
      <x:c r="K492" s="22" t="n">
        <x:f>IF(COUNT('中古車掲載'!AM556:AM557)=0,"",QUARTILE('中古車掲載'!AM556:AM557,1))</x:f>
        <x:v>968000</x:v>
      </x:c>
      <x:c r="L492" s="22" t="n">
        <x:f>IF(COUNT('中古車掲載'!AM556:AM557)=0,"",MEDIAN('中古車掲載'!AM556:AM557))</x:f>
        <x:v>977000</x:v>
      </x:c>
      <x:c r="M492" s="22" t="n">
        <x:f>IF(COUNT('中古車掲載'!AM556:AM557)=0,"",QUARTILE('中古車掲載'!AM556:AM557,3))</x:f>
        <x:v>986000</x:v>
      </x:c>
      <x:c r="N492" s="22" t="n">
        <x:f>COUNT('中古車掲載'!AN556:AN557)</x:f>
        <x:v>0</x:v>
      </x:c>
      <x:c r="O492" s="23" t="str">
        <x:f>IF(COUNT('中古車掲載'!AN556:AN557)=0,"",MEDIAN('中古車掲載'!AN556:AN557))</x:f>
      </x:c>
      <x:c r="P492" s="3"/>
      <x:c r="Q492" s="3"/>
      <x:c r="R492" s="3"/>
      <x:c r="S492" s="3"/>
      <x:c r="T492" s="3"/>
      <x:c r="U492" s="3"/>
      <x:c r="V492" s="3"/>
      <x:c r="W492" s="3"/>
      <x:c r="X492" s="3"/>
      <x:c r="Y492" s="3"/>
      <x:c r="Z492" s="3"/>
      <x:c r="AA492" s="3"/>
      <x:c r="AB492" s="3"/>
      <x:c r="AC492" s="3"/>
      <x:c r="AD492" s="3"/>
      <x:c r="AE492" s="3"/>
      <x:c r="AF492" s="3"/>
      <x:c r="AG492" s="3"/>
      <x:c r="AH492" s="3"/>
      <x:c r="AI492" s="3"/>
      <x:c r="AJ492" s="3"/>
      <x:c r="AK492" s="3"/>
      <x:c r="AL492" s="3"/>
      <x:c r="AM492" s="3"/>
      <x:c r="AN492" s="3"/>
      <x:c r="AO492" s="3"/>
      <x:c r="AP492" s="3"/>
      <x:c r="AQ492" s="3"/>
      <x:c r="AR492" s="3"/>
      <x:c r="AS492" s="3"/>
      <x:c r="AT492" s="3"/>
      <x:c r="AU492" s="3"/>
      <x:c r="AV492" s="3"/>
      <x:c r="AW492" s="3"/>
      <x:c r="AX492" s="3"/>
      <x:c r="AY492" s="3"/>
      <x:c r="AZ492" s="3" t="str">
        <x:f>IF(AND('中古車掲載'!C493="One2car",'中古車掲載'!F493="ATTO 3",'中古車掲載'!L493="EXTENDED RANGE",'中古車掲載'!J493=2023,ISNUMBER('中古車掲載'!N493),'中古車掲載'!N493&gt;=20000,'中古車掲載'!O493&lt;=100000,'中古車掲載'!AL493=1),'中古車掲載'!U493,"")</x:f>
      </x:c>
      <x:c r="BA492" s="3" t="str">
        <x:f>IF(AND('中古車掲載'!C493="One2car",'中古車掲載'!F493="Corolla Cross",'中古車掲載'!L493="HEV PREMIUM SAFETY",'中古車掲載'!J493=2023,ISNUMBER('中古車掲載'!N493),'中古車掲載'!N493&gt;=20000,'中古車掲載'!O493&lt;=100000,'中古車掲載'!AL493=1,'中古車掲載'!Z493="https://www.one2car.com/en/cars-for-sale/toyota/corolla-cross/year-2023"),'中古車掲載'!U493,"")</x:f>
      </x:c>
      <x:c r="BB492" s="3" t="str">
        <x:f>IF(AND('中古車掲載'!C493="One2car",'中古車掲載'!F493="ATTO 3",'中古車掲載'!L493="EXTENDED RANGE",'中古車掲載'!J493=2023,ISNUMBER('中古車掲載'!N493),'中古車掲載'!N493&gt;=50000,'中古車掲載'!O493&lt;=100000,'中古車掲載'!AL493=1),'中古車掲載'!U493,"")</x:f>
      </x:c>
      <x:c r="BC492" s="3" t="str">
        <x:f>IF(AND('中古車掲載'!C493="One2car",'中古車掲載'!F493="Corolla Cross",'中古車掲載'!L493="HEV PREMIUM SAFETY",'中古車掲載'!J493=2023,ISNUMBER('中古車掲載'!N493),'中古車掲載'!N493&gt;=50000,'中古車掲載'!O493&lt;=100000,'中古車掲載'!AL493=1,'中古車掲載'!Z493="https://www.one2car.com/en/cars-for-sale/toyota/corolla-cross/year-2023"),'中古車掲載'!U493,"")</x:f>
      </x:c>
      <x:c r="BD492" s="3" t="str">
        <x:f>IF(AND('中古車掲載'!C493="One2car",'中古車掲載'!F493="ATTO 3",'中古車掲載'!L493="EXTENDED RANGE",'中古車掲載'!J493=2023,ISNUMBER('中古車掲載'!N493),'中古車掲載'!N493&gt;=20000,'中古車掲載'!O493&lt;=50000,'中古車掲載'!AL493=1),'中古車掲載'!U493,"")</x:f>
      </x:c>
      <x:c r="BE492" s="3" t="str">
        <x:f>IF(AND('中古車掲載'!C493="One2car",'中古車掲載'!F493="Corolla Cross",'中古車掲載'!L493="HEV PREMIUM SAFETY",'中古車掲載'!J493=2023,ISNUMBER('中古車掲載'!N493),'中古車掲載'!N493&gt;=20000,'中古車掲載'!O493&lt;=50000,'中古車掲載'!AL493=1,'中古車掲載'!Z493="https://www.one2car.com/en/cars-for-sale/toyota/corolla-cross/year-2023"),'中古車掲載'!U493,"")</x:f>
      </x:c>
      <x:c r="BF492" s="3" t="str">
        <x:f>IF(AND('中古車掲載'!C493="One2car",'中古車掲載'!F493="Corolla Cross",'中古車掲載'!L493="HEV PREMIUM",'中古車掲載'!J493=2023,ISNUMBER('中古車掲載'!N493),'中古車掲載'!N493&gt;=20000,'中古車掲載'!O493&lt;=100000,'中古車掲載'!AL493=1,'中古車掲載'!Z493="https://www.one2car.com/en/cars-for-sale/toyota/corolla-cross/year-2023"),'中古車掲載'!U493,"")</x:f>
      </x:c>
      <x:c r="BG492" s="3" t="str">
        <x:f>IF(AND('中古車掲載'!C493="One2car",'中古車掲載'!F493="Corolla Cross",'中古車掲載'!L493="HEV GR SPORT",'中古車掲載'!J493=2023,ISNUMBER('中古車掲載'!N493),'中古車掲載'!N493&gt;=20000,'中古車掲載'!O493&lt;=100000,'中古車掲載'!AL493=1,'中古車掲載'!Z493="https://www.one2car.com/en/cars-for-sale/toyota/corolla-cross/year-2023"),'中古車掲載'!U493,"")</x:f>
      </x:c>
      <x:c r="BH492" s="3" t="str">
        <x:f>IF(AND('中古車掲載'!C493="One2car",'中古車掲載'!F493="DOLPHIN",'中古車掲載'!L493="STANDARD RANGE",'中古車掲載'!J493=2023,ISNUMBER('中古車掲載'!N493),'中古車掲載'!N493&gt;=20000,'中古車掲載'!O493&lt;=100000,'中古車掲載'!AL493=1),'中古車掲載'!U493,"")</x:f>
      </x:c>
      <x:c r="BI492" s="3" t="str">
        <x:v>Taladrod|Fortuner|ICE|Unknown</x:v>
      </x:c>
      <x:c r="BJ492" s="3" t="n">
        <x:v>493</x:v>
      </x:c>
      <x:c r="BK492" s="3" t="n">
        <x:f>'中古車掲載'!AM493</x:f>
        <x:v>909000</x:v>
      </x:c>
      <x:c r="BL492" s="3" t="str">
        <x:f>IF(ISNUMBER('中古車掲載'!AN493),'中古車掲載'!AN493,"")</x:f>
      </x:c>
      <x:c r="BM492" s="3"/>
      <x:c r="BN492" s="3"/>
      <x:c r="BO492" s="3"/>
      <x:c r="BP492" s="3"/>
      <x:c r="BQ492" s="3"/>
      <x:c r="BR492" s="3"/>
    </x:row>
    <x:row r="493" ht="22" customHeight="1">
      <x:c r="A493" s="3" t="str">
        <x:v>Fortuner</x:v>
      </x:c>
      <x:c r="B493" s="3" t="str">
        <x:v>ICE</x:v>
      </x:c>
      <x:c r="C493" s="3" t="str">
        <x:v>Taladrod</x:v>
      </x:c>
      <x:c r="D493" s="3" t="str">
        <x:v>SUV</x:v>
      </x:c>
      <x:c r="E493" s="3" t="str"/>
      <x:c r="F493" s="3" t="n">
        <x:v>2021</x:v>
      </x:c>
      <x:c r="G493" s="3" t="str">
        <x:v>2.8 LEGENDER BLACK TOP</x:v>
      </x:c>
      <x:c r="H493" s="3" t="str">
        <x:v>未掲載</x:v>
      </x:c>
      <x:c r="I493" s="3" t="str">
        <x:v>15-ปัจจุบัน</x:v>
      </x:c>
      <x:c r="J493" s="22" t="n">
        <x:f>COUNT('中古車掲載'!AM558:AM560)</x:f>
        <x:v>3</x:v>
      </x:c>
      <x:c r="K493" s="22" t="n">
        <x:f>IF(COUNT('中古車掲載'!AM558:AM560)=0,"",QUARTILE('中古車掲載'!AM558:AM560,1))</x:f>
        <x:v>954000</x:v>
      </x:c>
      <x:c r="L493" s="22" t="n">
        <x:f>IF(COUNT('中古車掲載'!AM558:AM560)=0,"",MEDIAN('中古車掲載'!AM558:AM560))</x:f>
        <x:v>979000</x:v>
      </x:c>
      <x:c r="M493" s="22" t="n">
        <x:f>IF(COUNT('中古車掲載'!AM558:AM560)=0,"",QUARTILE('中古車掲載'!AM558:AM560,3))</x:f>
        <x:v>989000</x:v>
      </x:c>
      <x:c r="N493" s="22" t="n">
        <x:f>COUNT('中古車掲載'!AN558:AN560)</x:f>
        <x:v>0</x:v>
      </x:c>
      <x:c r="O493" s="23" t="str">
        <x:f>IF(COUNT('中古車掲載'!AN558:AN560)=0,"",MEDIAN('中古車掲載'!AN558:AN560))</x:f>
      </x:c>
      <x:c r="P493" s="3"/>
      <x:c r="Q493" s="3"/>
      <x:c r="R493" s="3"/>
      <x:c r="S493" s="3"/>
      <x:c r="T493" s="3"/>
      <x:c r="U493" s="3"/>
      <x:c r="V493" s="3"/>
      <x:c r="W493" s="3"/>
      <x:c r="X493" s="3"/>
      <x:c r="Y493" s="3"/>
      <x:c r="Z493" s="3"/>
      <x:c r="AA493" s="3"/>
      <x:c r="AB493" s="3"/>
      <x:c r="AC493" s="3"/>
      <x:c r="AD493" s="3"/>
      <x:c r="AE493" s="3"/>
      <x:c r="AF493" s="3"/>
      <x:c r="AG493" s="3"/>
      <x:c r="AH493" s="3"/>
      <x:c r="AI493" s="3"/>
      <x:c r="AJ493" s="3"/>
      <x:c r="AK493" s="3"/>
      <x:c r="AL493" s="3"/>
      <x:c r="AM493" s="3"/>
      <x:c r="AN493" s="3"/>
      <x:c r="AO493" s="3"/>
      <x:c r="AP493" s="3"/>
      <x:c r="AQ493" s="3"/>
      <x:c r="AR493" s="3"/>
      <x:c r="AS493" s="3"/>
      <x:c r="AT493" s="3"/>
      <x:c r="AU493" s="3"/>
      <x:c r="AV493" s="3"/>
      <x:c r="AW493" s="3"/>
      <x:c r="AX493" s="3"/>
      <x:c r="AY493" s="3"/>
      <x:c r="AZ493" s="3" t="str">
        <x:f>IF(AND('中古車掲載'!C494="One2car",'中古車掲載'!F494="ATTO 3",'中古車掲載'!L494="EXTENDED RANGE",'中古車掲載'!J494=2023,ISNUMBER('中古車掲載'!N494),'中古車掲載'!N494&gt;=20000,'中古車掲載'!O494&lt;=100000,'中古車掲載'!AL494=1),'中古車掲載'!U494,"")</x:f>
      </x:c>
      <x:c r="BA493" s="3" t="str">
        <x:f>IF(AND('中古車掲載'!C494="One2car",'中古車掲載'!F494="Corolla Cross",'中古車掲載'!L494="HEV PREMIUM SAFETY",'中古車掲載'!J494=2023,ISNUMBER('中古車掲載'!N494),'中古車掲載'!N494&gt;=20000,'中古車掲載'!O494&lt;=100000,'中古車掲載'!AL494=1,'中古車掲載'!Z494="https://www.one2car.com/en/cars-for-sale/toyota/corolla-cross/year-2023"),'中古車掲載'!U494,"")</x:f>
      </x:c>
      <x:c r="BB493" s="3" t="str">
        <x:f>IF(AND('中古車掲載'!C494="One2car",'中古車掲載'!F494="ATTO 3",'中古車掲載'!L494="EXTENDED RANGE",'中古車掲載'!J494=2023,ISNUMBER('中古車掲載'!N494),'中古車掲載'!N494&gt;=50000,'中古車掲載'!O494&lt;=100000,'中古車掲載'!AL494=1),'中古車掲載'!U494,"")</x:f>
      </x:c>
      <x:c r="BC493" s="3" t="str">
        <x:f>IF(AND('中古車掲載'!C494="One2car",'中古車掲載'!F494="Corolla Cross",'中古車掲載'!L494="HEV PREMIUM SAFETY",'中古車掲載'!J494=2023,ISNUMBER('中古車掲載'!N494),'中古車掲載'!N494&gt;=50000,'中古車掲載'!O494&lt;=100000,'中古車掲載'!AL494=1,'中古車掲載'!Z494="https://www.one2car.com/en/cars-for-sale/toyota/corolla-cross/year-2023"),'中古車掲載'!U494,"")</x:f>
      </x:c>
      <x:c r="BD493" s="3" t="str">
        <x:f>IF(AND('中古車掲載'!C494="One2car",'中古車掲載'!F494="ATTO 3",'中古車掲載'!L494="EXTENDED RANGE",'中古車掲載'!J494=2023,ISNUMBER('中古車掲載'!N494),'中古車掲載'!N494&gt;=20000,'中古車掲載'!O494&lt;=50000,'中古車掲載'!AL494=1),'中古車掲載'!U494,"")</x:f>
      </x:c>
      <x:c r="BE493" s="3" t="str">
        <x:f>IF(AND('中古車掲載'!C494="One2car",'中古車掲載'!F494="Corolla Cross",'中古車掲載'!L494="HEV PREMIUM SAFETY",'中古車掲載'!J494=2023,ISNUMBER('中古車掲載'!N494),'中古車掲載'!N494&gt;=20000,'中古車掲載'!O494&lt;=50000,'中古車掲載'!AL494=1,'中古車掲載'!Z494="https://www.one2car.com/en/cars-for-sale/toyota/corolla-cross/year-2023"),'中古車掲載'!U494,"")</x:f>
      </x:c>
      <x:c r="BF493" s="3" t="str">
        <x:f>IF(AND('中古車掲載'!C494="One2car",'中古車掲載'!F494="Corolla Cross",'中古車掲載'!L494="HEV PREMIUM",'中古車掲載'!J494=2023,ISNUMBER('中古車掲載'!N494),'中古車掲載'!N494&gt;=20000,'中古車掲載'!O494&lt;=100000,'中古車掲載'!AL494=1,'中古車掲載'!Z494="https://www.one2car.com/en/cars-for-sale/toyota/corolla-cross/year-2023"),'中古車掲載'!U494,"")</x:f>
      </x:c>
      <x:c r="BG493" s="3" t="str">
        <x:f>IF(AND('中古車掲載'!C494="One2car",'中古車掲載'!F494="Corolla Cross",'中古車掲載'!L494="HEV GR SPORT",'中古車掲載'!J494=2023,ISNUMBER('中古車掲載'!N494),'中古車掲載'!N494&gt;=20000,'中古車掲載'!O494&lt;=100000,'中古車掲載'!AL494=1,'中古車掲載'!Z494="https://www.one2car.com/en/cars-for-sale/toyota/corolla-cross/year-2023"),'中古車掲載'!U494,"")</x:f>
      </x:c>
      <x:c r="BH493" s="3" t="str">
        <x:f>IF(AND('中古車掲載'!C494="One2car",'中古車掲載'!F494="DOLPHIN",'中古車掲載'!L494="STANDARD RANGE",'中古車掲載'!J494=2023,ISNUMBER('中古車掲載'!N494),'中古車掲載'!N494&gt;=20000,'中古車掲載'!O494&lt;=100000,'中古車掲載'!AL494=1),'中古車掲載'!U494,"")</x:f>
      </x:c>
      <x:c r="BI493" s="3" t="str">
        <x:v>Taladrod|Fortuner|ICE|Unknown</x:v>
      </x:c>
      <x:c r="BJ493" s="3" t="n">
        <x:v>494</x:v>
      </x:c>
      <x:c r="BK493" s="3" t="n">
        <x:f>'中古車掲載'!AM494</x:f>
        <x:v>759000</x:v>
      </x:c>
      <x:c r="BL493" s="3" t="str">
        <x:f>IF(ISNUMBER('中古車掲載'!AN494),'中古車掲載'!AN494,"")</x:f>
      </x:c>
      <x:c r="BM493" s="3"/>
      <x:c r="BN493" s="3"/>
      <x:c r="BO493" s="3"/>
      <x:c r="BP493" s="3"/>
      <x:c r="BQ493" s="3"/>
      <x:c r="BR493" s="3"/>
    </x:row>
    <x:row r="494" ht="22" customHeight="1">
      <x:c r="A494" s="3" t="str">
        <x:v>Fortuner</x:v>
      </x:c>
      <x:c r="B494" s="3" t="str">
        <x:v>ICE</x:v>
      </x:c>
      <x:c r="C494" s="3" t="str">
        <x:v>Taladrod</x:v>
      </x:c>
      <x:c r="D494" s="3" t="str">
        <x:v>SUV</x:v>
      </x:c>
      <x:c r="E494" s="3" t="str"/>
      <x:c r="F494" s="3" t="n">
        <x:v>2021</x:v>
      </x:c>
      <x:c r="G494" s="3" t="str">
        <x:v>2.8 LEGENDER BLACK TOP 4WD</x:v>
      </x:c>
      <x:c r="H494" s="3" t="str">
        <x:v>未掲載</x:v>
      </x:c>
      <x:c r="I494" s="3" t="str">
        <x:v>15-ปัจจุบัน</x:v>
      </x:c>
      <x:c r="J494" s="22" t="n">
        <x:f>COUNT('中古車掲載'!AM561:AM561)</x:f>
        <x:v>1</x:v>
      </x:c>
      <x:c r="K494" s="22" t="n">
        <x:f>IF(COUNT('中古車掲載'!AM561:AM561)=0,"",QUARTILE('中古車掲載'!AM561:AM561,1))</x:f>
        <x:v>929000</x:v>
      </x:c>
      <x:c r="L494" s="22" t="n">
        <x:f>IF(COUNT('中古車掲載'!AM561:AM561)=0,"",MEDIAN('中古車掲載'!AM561:AM561))</x:f>
        <x:v>929000</x:v>
      </x:c>
      <x:c r="M494" s="22" t="n">
        <x:f>IF(COUNT('中古車掲載'!AM561:AM561)=0,"",QUARTILE('中古車掲載'!AM561:AM561,3))</x:f>
        <x:v>929000</x:v>
      </x:c>
      <x:c r="N494" s="22" t="n">
        <x:f>COUNT('中古車掲載'!AN561:AN561)</x:f>
        <x:v>0</x:v>
      </x:c>
      <x:c r="O494" s="23" t="str">
        <x:f>IF(COUNT('中古車掲載'!AN561:AN561)=0,"",MEDIAN('中古車掲載'!AN561:AN561))</x:f>
      </x:c>
      <x:c r="P494" s="3"/>
      <x:c r="Q494" s="3"/>
      <x:c r="R494" s="3"/>
      <x:c r="S494" s="3"/>
      <x:c r="T494" s="3"/>
      <x:c r="U494" s="3"/>
      <x:c r="V494" s="3"/>
      <x:c r="W494" s="3"/>
      <x:c r="X494" s="3"/>
      <x:c r="Y494" s="3"/>
      <x:c r="Z494" s="3"/>
      <x:c r="AA494" s="3"/>
      <x:c r="AB494" s="3"/>
      <x:c r="AC494" s="3"/>
      <x:c r="AD494" s="3"/>
      <x:c r="AE494" s="3"/>
      <x:c r="AF494" s="3"/>
      <x:c r="AG494" s="3"/>
      <x:c r="AH494" s="3"/>
      <x:c r="AI494" s="3"/>
      <x:c r="AJ494" s="3"/>
      <x:c r="AK494" s="3"/>
      <x:c r="AL494" s="3"/>
      <x:c r="AM494" s="3"/>
      <x:c r="AN494" s="3"/>
      <x:c r="AO494" s="3"/>
      <x:c r="AP494" s="3"/>
      <x:c r="AQ494" s="3"/>
      <x:c r="AR494" s="3"/>
      <x:c r="AS494" s="3"/>
      <x:c r="AT494" s="3"/>
      <x:c r="AU494" s="3"/>
      <x:c r="AV494" s="3"/>
      <x:c r="AW494" s="3"/>
      <x:c r="AX494" s="3"/>
      <x:c r="AY494" s="3"/>
      <x:c r="AZ494" s="3" t="str">
        <x:f>IF(AND('中古車掲載'!C495="One2car",'中古車掲載'!F495="ATTO 3",'中古車掲載'!L495="EXTENDED RANGE",'中古車掲載'!J495=2023,ISNUMBER('中古車掲載'!N495),'中古車掲載'!N495&gt;=20000,'中古車掲載'!O495&lt;=100000,'中古車掲載'!AL495=1),'中古車掲載'!U495,"")</x:f>
      </x:c>
      <x:c r="BA494" s="3" t="str">
        <x:f>IF(AND('中古車掲載'!C495="One2car",'中古車掲載'!F495="Corolla Cross",'中古車掲載'!L495="HEV PREMIUM SAFETY",'中古車掲載'!J495=2023,ISNUMBER('中古車掲載'!N495),'中古車掲載'!N495&gt;=20000,'中古車掲載'!O495&lt;=100000,'中古車掲載'!AL495=1,'中古車掲載'!Z495="https://www.one2car.com/en/cars-for-sale/toyota/corolla-cross/year-2023"),'中古車掲載'!U495,"")</x:f>
      </x:c>
      <x:c r="BB494" s="3" t="str">
        <x:f>IF(AND('中古車掲載'!C495="One2car",'中古車掲載'!F495="ATTO 3",'中古車掲載'!L495="EXTENDED RANGE",'中古車掲載'!J495=2023,ISNUMBER('中古車掲載'!N495),'中古車掲載'!N495&gt;=50000,'中古車掲載'!O495&lt;=100000,'中古車掲載'!AL495=1),'中古車掲載'!U495,"")</x:f>
      </x:c>
      <x:c r="BC494" s="3" t="str">
        <x:f>IF(AND('中古車掲載'!C495="One2car",'中古車掲載'!F495="Corolla Cross",'中古車掲載'!L495="HEV PREMIUM SAFETY",'中古車掲載'!J495=2023,ISNUMBER('中古車掲載'!N495),'中古車掲載'!N495&gt;=50000,'中古車掲載'!O495&lt;=100000,'中古車掲載'!AL495=1,'中古車掲載'!Z495="https://www.one2car.com/en/cars-for-sale/toyota/corolla-cross/year-2023"),'中古車掲載'!U495,"")</x:f>
      </x:c>
      <x:c r="BD494" s="3" t="str">
        <x:f>IF(AND('中古車掲載'!C495="One2car",'中古車掲載'!F495="ATTO 3",'中古車掲載'!L495="EXTENDED RANGE",'中古車掲載'!J495=2023,ISNUMBER('中古車掲載'!N495),'中古車掲載'!N495&gt;=20000,'中古車掲載'!O495&lt;=50000,'中古車掲載'!AL495=1),'中古車掲載'!U495,"")</x:f>
      </x:c>
      <x:c r="BE494" s="3" t="str">
        <x:f>IF(AND('中古車掲載'!C495="One2car",'中古車掲載'!F495="Corolla Cross",'中古車掲載'!L495="HEV PREMIUM SAFETY",'中古車掲載'!J495=2023,ISNUMBER('中古車掲載'!N495),'中古車掲載'!N495&gt;=20000,'中古車掲載'!O495&lt;=50000,'中古車掲載'!AL495=1,'中古車掲載'!Z495="https://www.one2car.com/en/cars-for-sale/toyota/corolla-cross/year-2023"),'中古車掲載'!U495,"")</x:f>
      </x:c>
      <x:c r="BF494" s="3" t="str">
        <x:f>IF(AND('中古車掲載'!C495="One2car",'中古車掲載'!F495="Corolla Cross",'中古車掲載'!L495="HEV PREMIUM",'中古車掲載'!J495=2023,ISNUMBER('中古車掲載'!N495),'中古車掲載'!N495&gt;=20000,'中古車掲載'!O495&lt;=100000,'中古車掲載'!AL495=1,'中古車掲載'!Z495="https://www.one2car.com/en/cars-for-sale/toyota/corolla-cross/year-2023"),'中古車掲載'!U495,"")</x:f>
      </x:c>
      <x:c r="BG494" s="3" t="str">
        <x:f>IF(AND('中古車掲載'!C495="One2car",'中古車掲載'!F495="Corolla Cross",'中古車掲載'!L495="HEV GR SPORT",'中古車掲載'!J495=2023,ISNUMBER('中古車掲載'!N495),'中古車掲載'!N495&gt;=20000,'中古車掲載'!O495&lt;=100000,'中古車掲載'!AL495=1,'中古車掲載'!Z495="https://www.one2car.com/en/cars-for-sale/toyota/corolla-cross/year-2023"),'中古車掲載'!U495,"")</x:f>
      </x:c>
      <x:c r="BH494" s="3" t="str">
        <x:f>IF(AND('中古車掲載'!C495="One2car",'中古車掲載'!F495="DOLPHIN",'中古車掲載'!L495="STANDARD RANGE",'中古車掲載'!J495=2023,ISNUMBER('中古車掲載'!N495),'中古車掲載'!N495&gt;=20000,'中古車掲載'!O495&lt;=100000,'中古車掲載'!AL495=1),'中古車掲載'!U495,"")</x:f>
      </x:c>
      <x:c r="BI494" s="3" t="str">
        <x:v>Taladrod|Fortuner|ICE|Unknown</x:v>
      </x:c>
      <x:c r="BJ494" s="3" t="n">
        <x:v>495</x:v>
      </x:c>
      <x:c r="BK494" s="3" t="n">
        <x:f>'中古車掲載'!AM495</x:f>
        <x:v>820000</x:v>
      </x:c>
      <x:c r="BL494" s="3" t="str">
        <x:f>IF(ISNUMBER('中古車掲載'!AN495),'中古車掲載'!AN495,"")</x:f>
      </x:c>
      <x:c r="BM494" s="3"/>
      <x:c r="BN494" s="3"/>
      <x:c r="BO494" s="3"/>
      <x:c r="BP494" s="3"/>
      <x:c r="BQ494" s="3"/>
      <x:c r="BR494" s="3"/>
    </x:row>
    <x:row r="495" ht="22" customHeight="1">
      <x:c r="A495" s="3" t="str">
        <x:v>Fortuner</x:v>
      </x:c>
      <x:c r="B495" s="3" t="str">
        <x:v>ICE</x:v>
      </x:c>
      <x:c r="C495" s="3" t="str">
        <x:v>Taladrod</x:v>
      </x:c>
      <x:c r="D495" s="3" t="str">
        <x:v>SUV</x:v>
      </x:c>
      <x:c r="E495" s="3" t="str"/>
      <x:c r="F495" s="3" t="n">
        <x:v>2021</x:v>
      </x:c>
      <x:c r="G495" s="3" t="str">
        <x:v>2.8 V 4WD</x:v>
      </x:c>
      <x:c r="H495" s="3" t="str">
        <x:v>未掲載</x:v>
      </x:c>
      <x:c r="I495" s="3" t="str">
        <x:v>15-ปัจจุบัน</x:v>
      </x:c>
      <x:c r="J495" s="22" t="n">
        <x:f>COUNT('中古車掲載'!AM562:AM562)</x:f>
        <x:v>1</x:v>
      </x:c>
      <x:c r="K495" s="22" t="n">
        <x:f>IF(COUNT('中古車掲載'!AM562:AM562)=0,"",QUARTILE('中古車掲載'!AM562:AM562,1))</x:f>
        <x:v>899000</x:v>
      </x:c>
      <x:c r="L495" s="22" t="n">
        <x:f>IF(COUNT('中古車掲載'!AM562:AM562)=0,"",MEDIAN('中古車掲載'!AM562:AM562))</x:f>
        <x:v>899000</x:v>
      </x:c>
      <x:c r="M495" s="22" t="n">
        <x:f>IF(COUNT('中古車掲載'!AM562:AM562)=0,"",QUARTILE('中古車掲載'!AM562:AM562,3))</x:f>
        <x:v>899000</x:v>
      </x:c>
      <x:c r="N495" s="22" t="n">
        <x:f>COUNT('中古車掲載'!AN562:AN562)</x:f>
        <x:v>0</x:v>
      </x:c>
      <x:c r="O495" s="23" t="str">
        <x:f>IF(COUNT('中古車掲載'!AN562:AN562)=0,"",MEDIAN('中古車掲載'!AN562:AN562))</x:f>
      </x:c>
      <x:c r="P495" s="3"/>
      <x:c r="Q495" s="3"/>
      <x:c r="R495" s="3"/>
      <x:c r="S495" s="3"/>
      <x:c r="T495" s="3"/>
      <x:c r="U495" s="3"/>
      <x:c r="V495" s="3"/>
      <x:c r="W495" s="3"/>
      <x:c r="X495" s="3"/>
      <x:c r="Y495" s="3"/>
      <x:c r="Z495" s="3"/>
      <x:c r="AA495" s="3"/>
      <x:c r="AB495" s="3"/>
      <x:c r="AC495" s="3"/>
      <x:c r="AD495" s="3"/>
      <x:c r="AE495" s="3"/>
      <x:c r="AF495" s="3"/>
      <x:c r="AG495" s="3"/>
      <x:c r="AH495" s="3"/>
      <x:c r="AI495" s="3"/>
      <x:c r="AJ495" s="3"/>
      <x:c r="AK495" s="3"/>
      <x:c r="AL495" s="3"/>
      <x:c r="AM495" s="3"/>
      <x:c r="AN495" s="3"/>
      <x:c r="AO495" s="3"/>
      <x:c r="AP495" s="3"/>
      <x:c r="AQ495" s="3"/>
      <x:c r="AR495" s="3"/>
      <x:c r="AS495" s="3"/>
      <x:c r="AT495" s="3"/>
      <x:c r="AU495" s="3"/>
      <x:c r="AV495" s="3"/>
      <x:c r="AW495" s="3"/>
      <x:c r="AX495" s="3"/>
      <x:c r="AY495" s="3"/>
      <x:c r="AZ495" s="3" t="str">
        <x:f>IF(AND('中古車掲載'!C496="One2car",'中古車掲載'!F496="ATTO 3",'中古車掲載'!L496="EXTENDED RANGE",'中古車掲載'!J496=2023,ISNUMBER('中古車掲載'!N496),'中古車掲載'!N496&gt;=20000,'中古車掲載'!O496&lt;=100000,'中古車掲載'!AL496=1),'中古車掲載'!U496,"")</x:f>
      </x:c>
      <x:c r="BA495" s="3" t="str">
        <x:f>IF(AND('中古車掲載'!C496="One2car",'中古車掲載'!F496="Corolla Cross",'中古車掲載'!L496="HEV PREMIUM SAFETY",'中古車掲載'!J496=2023,ISNUMBER('中古車掲載'!N496),'中古車掲載'!N496&gt;=20000,'中古車掲載'!O496&lt;=100000,'中古車掲載'!AL496=1,'中古車掲載'!Z496="https://www.one2car.com/en/cars-for-sale/toyota/corolla-cross/year-2023"),'中古車掲載'!U496,"")</x:f>
      </x:c>
      <x:c r="BB495" s="3" t="str">
        <x:f>IF(AND('中古車掲載'!C496="One2car",'中古車掲載'!F496="ATTO 3",'中古車掲載'!L496="EXTENDED RANGE",'中古車掲載'!J496=2023,ISNUMBER('中古車掲載'!N496),'中古車掲載'!N496&gt;=50000,'中古車掲載'!O496&lt;=100000,'中古車掲載'!AL496=1),'中古車掲載'!U496,"")</x:f>
      </x:c>
      <x:c r="BC495" s="3" t="str">
        <x:f>IF(AND('中古車掲載'!C496="One2car",'中古車掲載'!F496="Corolla Cross",'中古車掲載'!L496="HEV PREMIUM SAFETY",'中古車掲載'!J496=2023,ISNUMBER('中古車掲載'!N496),'中古車掲載'!N496&gt;=50000,'中古車掲載'!O496&lt;=100000,'中古車掲載'!AL496=1,'中古車掲載'!Z496="https://www.one2car.com/en/cars-for-sale/toyota/corolla-cross/year-2023"),'中古車掲載'!U496,"")</x:f>
      </x:c>
      <x:c r="BD495" s="3" t="str">
        <x:f>IF(AND('中古車掲載'!C496="One2car",'中古車掲載'!F496="ATTO 3",'中古車掲載'!L496="EXTENDED RANGE",'中古車掲載'!J496=2023,ISNUMBER('中古車掲載'!N496),'中古車掲載'!N496&gt;=20000,'中古車掲載'!O496&lt;=50000,'中古車掲載'!AL496=1),'中古車掲載'!U496,"")</x:f>
      </x:c>
      <x:c r="BE495" s="3" t="str">
        <x:f>IF(AND('中古車掲載'!C496="One2car",'中古車掲載'!F496="Corolla Cross",'中古車掲載'!L496="HEV PREMIUM SAFETY",'中古車掲載'!J496=2023,ISNUMBER('中古車掲載'!N496),'中古車掲載'!N496&gt;=20000,'中古車掲載'!O496&lt;=50000,'中古車掲載'!AL496=1,'中古車掲載'!Z496="https://www.one2car.com/en/cars-for-sale/toyota/corolla-cross/year-2023"),'中古車掲載'!U496,"")</x:f>
      </x:c>
      <x:c r="BF495" s="3" t="str">
        <x:f>IF(AND('中古車掲載'!C496="One2car",'中古車掲載'!F496="Corolla Cross",'中古車掲載'!L496="HEV PREMIUM",'中古車掲載'!J496=2023,ISNUMBER('中古車掲載'!N496),'中古車掲載'!N496&gt;=20000,'中古車掲載'!O496&lt;=100000,'中古車掲載'!AL496=1,'中古車掲載'!Z496="https://www.one2car.com/en/cars-for-sale/toyota/corolla-cross/year-2023"),'中古車掲載'!U496,"")</x:f>
      </x:c>
      <x:c r="BG495" s="3" t="str">
        <x:f>IF(AND('中古車掲載'!C496="One2car",'中古車掲載'!F496="Corolla Cross",'中古車掲載'!L496="HEV GR SPORT",'中古車掲載'!J496=2023,ISNUMBER('中古車掲載'!N496),'中古車掲載'!N496&gt;=20000,'中古車掲載'!O496&lt;=100000,'中古車掲載'!AL496=1,'中古車掲載'!Z496="https://www.one2car.com/en/cars-for-sale/toyota/corolla-cross/year-2023"),'中古車掲載'!U496,"")</x:f>
      </x:c>
      <x:c r="BH495" s="3" t="str">
        <x:f>IF(AND('中古車掲載'!C496="One2car",'中古車掲載'!F496="DOLPHIN",'中古車掲載'!L496="STANDARD RANGE",'中古車掲載'!J496=2023,ISNUMBER('中古車掲載'!N496),'中古車掲載'!N496&gt;=20000,'中古車掲載'!O496&lt;=100000,'中古車掲載'!AL496=1),'中古車掲載'!U496,"")</x:f>
      </x:c>
      <x:c r="BI495" s="3" t="str">
        <x:v>Taladrod|Fortuner|ICE|Unknown</x:v>
      </x:c>
      <x:c r="BJ495" s="3" t="n">
        <x:v>496</x:v>
      </x:c>
      <x:c r="BK495" s="3" t="n">
        <x:f>'中古車掲載'!AM496</x:f>
        <x:v>774000</x:v>
      </x:c>
      <x:c r="BL495" s="3" t="str">
        <x:f>IF(ISNUMBER('中古車掲載'!AN496),'中古車掲載'!AN496,"")</x:f>
      </x:c>
      <x:c r="BM495" s="3"/>
      <x:c r="BN495" s="3"/>
      <x:c r="BO495" s="3"/>
      <x:c r="BP495" s="3"/>
      <x:c r="BQ495" s="3"/>
      <x:c r="BR495" s="3"/>
    </x:row>
    <x:row r="496" ht="22" customHeight="1">
      <x:c r="A496" s="3" t="str">
        <x:v>Fortuner</x:v>
      </x:c>
      <x:c r="B496" s="3" t="str">
        <x:v>ICE</x:v>
      </x:c>
      <x:c r="C496" s="3" t="str">
        <x:v>Taladrod</x:v>
      </x:c>
      <x:c r="D496" s="3" t="str">
        <x:v>SUV</x:v>
      </x:c>
      <x:c r="E496" s="3" t="str"/>
      <x:c r="F496" s="3" t="n">
        <x:v>2022</x:v>
      </x:c>
      <x:c r="G496" s="3" t="str">
        <x:v>2.4 COMMANDER</x:v>
      </x:c>
      <x:c r="H496" s="3" t="str">
        <x:v>未掲載</x:v>
      </x:c>
      <x:c r="I496" s="3" t="str">
        <x:v>15-ปัจจุบัน</x:v>
      </x:c>
      <x:c r="J496" s="22" t="n">
        <x:f>COUNT('中古車掲載'!AM563:AM564)</x:f>
        <x:v>2</x:v>
      </x:c>
      <x:c r="K496" s="22" t="n">
        <x:f>IF(COUNT('中古車掲載'!AM563:AM564)=0,"",QUARTILE('中古車掲載'!AM563:AM564,1))</x:f>
        <x:v>908250</x:v>
      </x:c>
      <x:c r="L496" s="22" t="n">
        <x:f>IF(COUNT('中古車掲載'!AM563:AM564)=0,"",MEDIAN('中古車掲載'!AM563:AM564))</x:f>
        <x:v>918500</x:v>
      </x:c>
      <x:c r="M496" s="22" t="n">
        <x:f>IF(COUNT('中古車掲載'!AM563:AM564)=0,"",QUARTILE('中古車掲載'!AM563:AM564,3))</x:f>
        <x:v>928750</x:v>
      </x:c>
      <x:c r="N496" s="22" t="n">
        <x:f>COUNT('中古車掲載'!AN563:AN564)</x:f>
        <x:v>0</x:v>
      </x:c>
      <x:c r="O496" s="23" t="str">
        <x:f>IF(COUNT('中古車掲載'!AN563:AN564)=0,"",MEDIAN('中古車掲載'!AN563:AN564))</x:f>
      </x:c>
      <x:c r="P496" s="3"/>
      <x:c r="Q496" s="3"/>
      <x:c r="R496" s="3"/>
      <x:c r="S496" s="3"/>
      <x:c r="T496" s="3"/>
      <x:c r="U496" s="3"/>
      <x:c r="V496" s="3"/>
      <x:c r="W496" s="3"/>
      <x:c r="X496" s="3"/>
      <x:c r="Y496" s="3"/>
      <x:c r="Z496" s="3"/>
      <x:c r="AA496" s="3"/>
      <x:c r="AB496" s="3"/>
      <x:c r="AC496" s="3"/>
      <x:c r="AD496" s="3"/>
      <x:c r="AE496" s="3"/>
      <x:c r="AF496" s="3"/>
      <x:c r="AG496" s="3"/>
      <x:c r="AH496" s="3"/>
      <x:c r="AI496" s="3"/>
      <x:c r="AJ496" s="3"/>
      <x:c r="AK496" s="3"/>
      <x:c r="AL496" s="3"/>
      <x:c r="AM496" s="3"/>
      <x:c r="AN496" s="3"/>
      <x:c r="AO496" s="3"/>
      <x:c r="AP496" s="3"/>
      <x:c r="AQ496" s="3"/>
      <x:c r="AR496" s="3"/>
      <x:c r="AS496" s="3"/>
      <x:c r="AT496" s="3"/>
      <x:c r="AU496" s="3"/>
      <x:c r="AV496" s="3"/>
      <x:c r="AW496" s="3"/>
      <x:c r="AX496" s="3"/>
      <x:c r="AY496" s="3"/>
      <x:c r="AZ496" s="3" t="str">
        <x:f>IF(AND('中古車掲載'!C497="One2car",'中古車掲載'!F497="ATTO 3",'中古車掲載'!L497="EXTENDED RANGE",'中古車掲載'!J497=2023,ISNUMBER('中古車掲載'!N497),'中古車掲載'!N497&gt;=20000,'中古車掲載'!O497&lt;=100000,'中古車掲載'!AL497=1),'中古車掲載'!U497,"")</x:f>
      </x:c>
      <x:c r="BA496" s="3" t="str">
        <x:f>IF(AND('中古車掲載'!C497="One2car",'中古車掲載'!F497="Corolla Cross",'中古車掲載'!L497="HEV PREMIUM SAFETY",'中古車掲載'!J497=2023,ISNUMBER('中古車掲載'!N497),'中古車掲載'!N497&gt;=20000,'中古車掲載'!O497&lt;=100000,'中古車掲載'!AL497=1,'中古車掲載'!Z497="https://www.one2car.com/en/cars-for-sale/toyota/corolla-cross/year-2023"),'中古車掲載'!U497,"")</x:f>
      </x:c>
      <x:c r="BB496" s="3" t="str">
        <x:f>IF(AND('中古車掲載'!C497="One2car",'中古車掲載'!F497="ATTO 3",'中古車掲載'!L497="EXTENDED RANGE",'中古車掲載'!J497=2023,ISNUMBER('中古車掲載'!N497),'中古車掲載'!N497&gt;=50000,'中古車掲載'!O497&lt;=100000,'中古車掲載'!AL497=1),'中古車掲載'!U497,"")</x:f>
      </x:c>
      <x:c r="BC496" s="3" t="str">
        <x:f>IF(AND('中古車掲載'!C497="One2car",'中古車掲載'!F497="Corolla Cross",'中古車掲載'!L497="HEV PREMIUM SAFETY",'中古車掲載'!J497=2023,ISNUMBER('中古車掲載'!N497),'中古車掲載'!N497&gt;=50000,'中古車掲載'!O497&lt;=100000,'中古車掲載'!AL497=1,'中古車掲載'!Z497="https://www.one2car.com/en/cars-for-sale/toyota/corolla-cross/year-2023"),'中古車掲載'!U497,"")</x:f>
      </x:c>
      <x:c r="BD496" s="3" t="str">
        <x:f>IF(AND('中古車掲載'!C497="One2car",'中古車掲載'!F497="ATTO 3",'中古車掲載'!L497="EXTENDED RANGE",'中古車掲載'!J497=2023,ISNUMBER('中古車掲載'!N497),'中古車掲載'!N497&gt;=20000,'中古車掲載'!O497&lt;=50000,'中古車掲載'!AL497=1),'中古車掲載'!U497,"")</x:f>
      </x:c>
      <x:c r="BE496" s="3" t="str">
        <x:f>IF(AND('中古車掲載'!C497="One2car",'中古車掲載'!F497="Corolla Cross",'中古車掲載'!L497="HEV PREMIUM SAFETY",'中古車掲載'!J497=2023,ISNUMBER('中古車掲載'!N497),'中古車掲載'!N497&gt;=20000,'中古車掲載'!O497&lt;=50000,'中古車掲載'!AL497=1,'中古車掲載'!Z497="https://www.one2car.com/en/cars-for-sale/toyota/corolla-cross/year-2023"),'中古車掲載'!U497,"")</x:f>
      </x:c>
      <x:c r="BF496" s="3" t="str">
        <x:f>IF(AND('中古車掲載'!C497="One2car",'中古車掲載'!F497="Corolla Cross",'中古車掲載'!L497="HEV PREMIUM",'中古車掲載'!J497=2023,ISNUMBER('中古車掲載'!N497),'中古車掲載'!N497&gt;=20000,'中古車掲載'!O497&lt;=100000,'中古車掲載'!AL497=1,'中古車掲載'!Z497="https://www.one2car.com/en/cars-for-sale/toyota/corolla-cross/year-2023"),'中古車掲載'!U497,"")</x:f>
      </x:c>
      <x:c r="BG496" s="3" t="str">
        <x:f>IF(AND('中古車掲載'!C497="One2car",'中古車掲載'!F497="Corolla Cross",'中古車掲載'!L497="HEV GR SPORT",'中古車掲載'!J497=2023,ISNUMBER('中古車掲載'!N497),'中古車掲載'!N497&gt;=20000,'中古車掲載'!O497&lt;=100000,'中古車掲載'!AL497=1,'中古車掲載'!Z497="https://www.one2car.com/en/cars-for-sale/toyota/corolla-cross/year-2023"),'中古車掲載'!U497,"")</x:f>
      </x:c>
      <x:c r="BH496" s="3" t="str">
        <x:f>IF(AND('中古車掲載'!C497="One2car",'中古車掲載'!F497="DOLPHIN",'中古車掲載'!L497="STANDARD RANGE",'中古車掲載'!J497=2023,ISNUMBER('中古車掲載'!N497),'中古車掲載'!N497&gt;=20000,'中古車掲載'!O497&lt;=100000,'中古車掲載'!AL497=1),'中古車掲載'!U497,"")</x:f>
      </x:c>
      <x:c r="BI496" s="3" t="str">
        <x:v>Taladrod|Fortuner|ICE|Unknown</x:v>
      </x:c>
      <x:c r="BJ496" s="3" t="n">
        <x:v>497</x:v>
      </x:c>
      <x:c r="BK496" s="3" t="n">
        <x:f>'中古車掲載'!AM497</x:f>
        <x:v>899000</x:v>
      </x:c>
      <x:c r="BL496" s="3" t="str">
        <x:f>IF(ISNUMBER('中古車掲載'!AN497),'中古車掲載'!AN497,"")</x:f>
      </x:c>
      <x:c r="BM496" s="3"/>
      <x:c r="BN496" s="3"/>
      <x:c r="BO496" s="3"/>
      <x:c r="BP496" s="3"/>
      <x:c r="BQ496" s="3"/>
      <x:c r="BR496" s="3"/>
    </x:row>
    <x:row r="497" ht="22" customHeight="1">
      <x:c r="A497" s="3" t="str">
        <x:v>Fortuner</x:v>
      </x:c>
      <x:c r="B497" s="3" t="str">
        <x:v>ICE</x:v>
      </x:c>
      <x:c r="C497" s="3" t="str">
        <x:v>Taladrod</x:v>
      </x:c>
      <x:c r="D497" s="3" t="str">
        <x:v>SUV</x:v>
      </x:c>
      <x:c r="E497" s="3" t="str"/>
      <x:c r="F497" s="3" t="n">
        <x:v>2022</x:v>
      </x:c>
      <x:c r="G497" s="3" t="str">
        <x:v>2.4 G</x:v>
      </x:c>
      <x:c r="H497" s="3" t="str">
        <x:v>未掲載</x:v>
      </x:c>
      <x:c r="I497" s="3" t="str">
        <x:v>15-ปัจจุบัน</x:v>
      </x:c>
      <x:c r="J497" s="22" t="n">
        <x:f>COUNT('中古車掲載'!AM565:AM567)</x:f>
        <x:v>3</x:v>
      </x:c>
      <x:c r="K497" s="22" t="n">
        <x:f>IF(COUNT('中古車掲載'!AM565:AM567)=0,"",QUARTILE('中古車掲載'!AM565:AM567,1))</x:f>
        <x:v>811500</x:v>
      </x:c>
      <x:c r="L497" s="22" t="n">
        <x:f>IF(COUNT('中古車掲載'!AM565:AM567)=0,"",MEDIAN('中古車掲載'!AM565:AM567))</x:f>
        <x:v>829000</x:v>
      </x:c>
      <x:c r="M497" s="22" t="n">
        <x:f>IF(COUNT('中古車掲載'!AM565:AM567)=0,"",QUARTILE('中古車掲載'!AM565:AM567,3))</x:f>
        <x:v>854000</x:v>
      </x:c>
      <x:c r="N497" s="22" t="n">
        <x:f>COUNT('中古車掲載'!AN565:AN567)</x:f>
        <x:v>0</x:v>
      </x:c>
      <x:c r="O497" s="23" t="str">
        <x:f>IF(COUNT('中古車掲載'!AN565:AN567)=0,"",MEDIAN('中古車掲載'!AN565:AN567))</x:f>
      </x:c>
      <x:c r="P497" s="3"/>
      <x:c r="Q497" s="3"/>
      <x:c r="R497" s="3"/>
      <x:c r="S497" s="3"/>
      <x:c r="T497" s="3"/>
      <x:c r="U497" s="3"/>
      <x:c r="V497" s="3"/>
      <x:c r="W497" s="3"/>
      <x:c r="X497" s="3"/>
      <x:c r="Y497" s="3"/>
      <x:c r="Z497" s="3"/>
      <x:c r="AA497" s="3"/>
      <x:c r="AB497" s="3"/>
      <x:c r="AC497" s="3"/>
      <x:c r="AD497" s="3"/>
      <x:c r="AE497" s="3"/>
      <x:c r="AF497" s="3"/>
      <x:c r="AG497" s="3"/>
      <x:c r="AH497" s="3"/>
      <x:c r="AI497" s="3"/>
      <x:c r="AJ497" s="3"/>
      <x:c r="AK497" s="3"/>
      <x:c r="AL497" s="3"/>
      <x:c r="AM497" s="3"/>
      <x:c r="AN497" s="3"/>
      <x:c r="AO497" s="3"/>
      <x:c r="AP497" s="3"/>
      <x:c r="AQ497" s="3"/>
      <x:c r="AR497" s="3"/>
      <x:c r="AS497" s="3"/>
      <x:c r="AT497" s="3"/>
      <x:c r="AU497" s="3"/>
      <x:c r="AV497" s="3"/>
      <x:c r="AW497" s="3"/>
      <x:c r="AX497" s="3"/>
      <x:c r="AY497" s="3"/>
      <x:c r="AZ497" s="3" t="str">
        <x:f>IF(AND('中古車掲載'!C498="One2car",'中古車掲載'!F498="ATTO 3",'中古車掲載'!L498="EXTENDED RANGE",'中古車掲載'!J498=2023,ISNUMBER('中古車掲載'!N498),'中古車掲載'!N498&gt;=20000,'中古車掲載'!O498&lt;=100000,'中古車掲載'!AL498=1),'中古車掲載'!U498,"")</x:f>
      </x:c>
      <x:c r="BA497" s="3" t="str">
        <x:f>IF(AND('中古車掲載'!C498="One2car",'中古車掲載'!F498="Corolla Cross",'中古車掲載'!L498="HEV PREMIUM SAFETY",'中古車掲載'!J498=2023,ISNUMBER('中古車掲載'!N498),'中古車掲載'!N498&gt;=20000,'中古車掲載'!O498&lt;=100000,'中古車掲載'!AL498=1,'中古車掲載'!Z498="https://www.one2car.com/en/cars-for-sale/toyota/corolla-cross/year-2023"),'中古車掲載'!U498,"")</x:f>
      </x:c>
      <x:c r="BB497" s="3" t="str">
        <x:f>IF(AND('中古車掲載'!C498="One2car",'中古車掲載'!F498="ATTO 3",'中古車掲載'!L498="EXTENDED RANGE",'中古車掲載'!J498=2023,ISNUMBER('中古車掲載'!N498),'中古車掲載'!N498&gt;=50000,'中古車掲載'!O498&lt;=100000,'中古車掲載'!AL498=1),'中古車掲載'!U498,"")</x:f>
      </x:c>
      <x:c r="BC497" s="3" t="str">
        <x:f>IF(AND('中古車掲載'!C498="One2car",'中古車掲載'!F498="Corolla Cross",'中古車掲載'!L498="HEV PREMIUM SAFETY",'中古車掲載'!J498=2023,ISNUMBER('中古車掲載'!N498),'中古車掲載'!N498&gt;=50000,'中古車掲載'!O498&lt;=100000,'中古車掲載'!AL498=1,'中古車掲載'!Z498="https://www.one2car.com/en/cars-for-sale/toyota/corolla-cross/year-2023"),'中古車掲載'!U498,"")</x:f>
      </x:c>
      <x:c r="BD497" s="3" t="str">
        <x:f>IF(AND('中古車掲載'!C498="One2car",'中古車掲載'!F498="ATTO 3",'中古車掲載'!L498="EXTENDED RANGE",'中古車掲載'!J498=2023,ISNUMBER('中古車掲載'!N498),'中古車掲載'!N498&gt;=20000,'中古車掲載'!O498&lt;=50000,'中古車掲載'!AL498=1),'中古車掲載'!U498,"")</x:f>
      </x:c>
      <x:c r="BE497" s="3" t="str">
        <x:f>IF(AND('中古車掲載'!C498="One2car",'中古車掲載'!F498="Corolla Cross",'中古車掲載'!L498="HEV PREMIUM SAFETY",'中古車掲載'!J498=2023,ISNUMBER('中古車掲載'!N498),'中古車掲載'!N498&gt;=20000,'中古車掲載'!O498&lt;=50000,'中古車掲載'!AL498=1,'中古車掲載'!Z498="https://www.one2car.com/en/cars-for-sale/toyota/corolla-cross/year-2023"),'中古車掲載'!U498,"")</x:f>
      </x:c>
      <x:c r="BF497" s="3" t="str">
        <x:f>IF(AND('中古車掲載'!C498="One2car",'中古車掲載'!F498="Corolla Cross",'中古車掲載'!L498="HEV PREMIUM",'中古車掲載'!J498=2023,ISNUMBER('中古車掲載'!N498),'中古車掲載'!N498&gt;=20000,'中古車掲載'!O498&lt;=100000,'中古車掲載'!AL498=1,'中古車掲載'!Z498="https://www.one2car.com/en/cars-for-sale/toyota/corolla-cross/year-2023"),'中古車掲載'!U498,"")</x:f>
      </x:c>
      <x:c r="BG497" s="3" t="str">
        <x:f>IF(AND('中古車掲載'!C498="One2car",'中古車掲載'!F498="Corolla Cross",'中古車掲載'!L498="HEV GR SPORT",'中古車掲載'!J498=2023,ISNUMBER('中古車掲載'!N498),'中古車掲載'!N498&gt;=20000,'中古車掲載'!O498&lt;=100000,'中古車掲載'!AL498=1,'中古車掲載'!Z498="https://www.one2car.com/en/cars-for-sale/toyota/corolla-cross/year-2023"),'中古車掲載'!U498,"")</x:f>
      </x:c>
      <x:c r="BH497" s="3" t="str">
        <x:f>IF(AND('中古車掲載'!C498="One2car",'中古車掲載'!F498="DOLPHIN",'中古車掲載'!L498="STANDARD RANGE",'中古車掲載'!J498=2023,ISNUMBER('中古車掲載'!N498),'中古車掲載'!N498&gt;=20000,'中古車掲載'!O498&lt;=100000,'中古車掲載'!AL498=1),'中古車掲載'!U498,"")</x:f>
      </x:c>
      <x:c r="BI497" s="3" t="str">
        <x:v>Taladrod|Fortuner|ICE|Unknown</x:v>
      </x:c>
      <x:c r="BJ497" s="3" t="n">
        <x:v>498</x:v>
      </x:c>
      <x:c r="BK497" s="3" t="n">
        <x:f>'中古車掲載'!AM498</x:f>
        <x:v>799000</x:v>
      </x:c>
      <x:c r="BL497" s="3" t="str">
        <x:f>IF(ISNUMBER('中古車掲載'!AN498),'中古車掲載'!AN498,"")</x:f>
      </x:c>
      <x:c r="BM497" s="3"/>
      <x:c r="BN497" s="3"/>
      <x:c r="BO497" s="3"/>
      <x:c r="BP497" s="3"/>
      <x:c r="BQ497" s="3"/>
      <x:c r="BR497" s="3"/>
    </x:row>
    <x:row r="498" ht="22" customHeight="1">
      <x:c r="A498" s="3" t="str">
        <x:v>Fortuner</x:v>
      </x:c>
      <x:c r="B498" s="3" t="str">
        <x:v>ICE</x:v>
      </x:c>
      <x:c r="C498" s="3" t="str">
        <x:v>Taladrod</x:v>
      </x:c>
      <x:c r="D498" s="3" t="str">
        <x:v>SUV</x:v>
      </x:c>
      <x:c r="E498" s="3" t="str"/>
      <x:c r="F498" s="3" t="n">
        <x:v>2022</x:v>
      </x:c>
      <x:c r="G498" s="3" t="str">
        <x:v>2.4 G LEADER</x:v>
      </x:c>
      <x:c r="H498" s="3" t="str">
        <x:v>未掲載</x:v>
      </x:c>
      <x:c r="I498" s="3" t="str">
        <x:v>15-ปัจจุบัน</x:v>
      </x:c>
      <x:c r="J498" s="22" t="n">
        <x:f>COUNT('中古車掲載'!AM568:AM569)</x:f>
        <x:v>2</x:v>
      </x:c>
      <x:c r="K498" s="22" t="n">
        <x:f>IF(COUNT('中古車掲載'!AM568:AM569)=0,"",QUARTILE('中古車掲載'!AM568:AM569,1))</x:f>
        <x:v>895750</x:v>
      </x:c>
      <x:c r="L498" s="22" t="n">
        <x:f>IF(COUNT('中古車掲載'!AM568:AM569)=0,"",MEDIAN('中古車掲載'!AM568:AM569))</x:f>
        <x:v>896500</x:v>
      </x:c>
      <x:c r="M498" s="22" t="n">
        <x:f>IF(COUNT('中古車掲載'!AM568:AM569)=0,"",QUARTILE('中古車掲載'!AM568:AM569,3))</x:f>
        <x:v>897250</x:v>
      </x:c>
      <x:c r="N498" s="22" t="n">
        <x:f>COUNT('中古車掲載'!AN568:AN569)</x:f>
        <x:v>0</x:v>
      </x:c>
      <x:c r="O498" s="23" t="str">
        <x:f>IF(COUNT('中古車掲載'!AN568:AN569)=0,"",MEDIAN('中古車掲載'!AN568:AN569))</x:f>
      </x:c>
      <x:c r="P498" s="3"/>
      <x:c r="Q498" s="3"/>
      <x:c r="R498" s="3"/>
      <x:c r="S498" s="3"/>
      <x:c r="T498" s="3"/>
      <x:c r="U498" s="3"/>
      <x:c r="V498" s="3"/>
      <x:c r="W498" s="3"/>
      <x:c r="X498" s="3"/>
      <x:c r="Y498" s="3"/>
      <x:c r="Z498" s="3"/>
      <x:c r="AA498" s="3"/>
      <x:c r="AB498" s="3"/>
      <x:c r="AC498" s="3"/>
      <x:c r="AD498" s="3"/>
      <x:c r="AE498" s="3"/>
      <x:c r="AF498" s="3"/>
      <x:c r="AG498" s="3"/>
      <x:c r="AH498" s="3"/>
      <x:c r="AI498" s="3"/>
      <x:c r="AJ498" s="3"/>
      <x:c r="AK498" s="3"/>
      <x:c r="AL498" s="3"/>
      <x:c r="AM498" s="3"/>
      <x:c r="AN498" s="3"/>
      <x:c r="AO498" s="3"/>
      <x:c r="AP498" s="3"/>
      <x:c r="AQ498" s="3"/>
      <x:c r="AR498" s="3"/>
      <x:c r="AS498" s="3"/>
      <x:c r="AT498" s="3"/>
      <x:c r="AU498" s="3"/>
      <x:c r="AV498" s="3"/>
      <x:c r="AW498" s="3"/>
      <x:c r="AX498" s="3"/>
      <x:c r="AY498" s="3"/>
      <x:c r="AZ498" s="3" t="str">
        <x:f>IF(AND('中古車掲載'!C499="One2car",'中古車掲載'!F499="ATTO 3",'中古車掲載'!L499="EXTENDED RANGE",'中古車掲載'!J499=2023,ISNUMBER('中古車掲載'!N499),'中古車掲載'!N499&gt;=20000,'中古車掲載'!O499&lt;=100000,'中古車掲載'!AL499=1),'中古車掲載'!U499,"")</x:f>
      </x:c>
      <x:c r="BA498" s="3" t="str">
        <x:f>IF(AND('中古車掲載'!C499="One2car",'中古車掲載'!F499="Corolla Cross",'中古車掲載'!L499="HEV PREMIUM SAFETY",'中古車掲載'!J499=2023,ISNUMBER('中古車掲載'!N499),'中古車掲載'!N499&gt;=20000,'中古車掲載'!O499&lt;=100000,'中古車掲載'!AL499=1,'中古車掲載'!Z499="https://www.one2car.com/en/cars-for-sale/toyota/corolla-cross/year-2023"),'中古車掲載'!U499,"")</x:f>
      </x:c>
      <x:c r="BB498" s="3" t="str">
        <x:f>IF(AND('中古車掲載'!C499="One2car",'中古車掲載'!F499="ATTO 3",'中古車掲載'!L499="EXTENDED RANGE",'中古車掲載'!J499=2023,ISNUMBER('中古車掲載'!N499),'中古車掲載'!N499&gt;=50000,'中古車掲載'!O499&lt;=100000,'中古車掲載'!AL499=1),'中古車掲載'!U499,"")</x:f>
      </x:c>
      <x:c r="BC498" s="3" t="str">
        <x:f>IF(AND('中古車掲載'!C499="One2car",'中古車掲載'!F499="Corolla Cross",'中古車掲載'!L499="HEV PREMIUM SAFETY",'中古車掲載'!J499=2023,ISNUMBER('中古車掲載'!N499),'中古車掲載'!N499&gt;=50000,'中古車掲載'!O499&lt;=100000,'中古車掲載'!AL499=1,'中古車掲載'!Z499="https://www.one2car.com/en/cars-for-sale/toyota/corolla-cross/year-2023"),'中古車掲載'!U499,"")</x:f>
      </x:c>
      <x:c r="BD498" s="3" t="str">
        <x:f>IF(AND('中古車掲載'!C499="One2car",'中古車掲載'!F499="ATTO 3",'中古車掲載'!L499="EXTENDED RANGE",'中古車掲載'!J499=2023,ISNUMBER('中古車掲載'!N499),'中古車掲載'!N499&gt;=20000,'中古車掲載'!O499&lt;=50000,'中古車掲載'!AL499=1),'中古車掲載'!U499,"")</x:f>
      </x:c>
      <x:c r="BE498" s="3" t="str">
        <x:f>IF(AND('中古車掲載'!C499="One2car",'中古車掲載'!F499="Corolla Cross",'中古車掲載'!L499="HEV PREMIUM SAFETY",'中古車掲載'!J499=2023,ISNUMBER('中古車掲載'!N499),'中古車掲載'!N499&gt;=20000,'中古車掲載'!O499&lt;=50000,'中古車掲載'!AL499=1,'中古車掲載'!Z499="https://www.one2car.com/en/cars-for-sale/toyota/corolla-cross/year-2023"),'中古車掲載'!U499,"")</x:f>
      </x:c>
      <x:c r="BF498" s="3" t="str">
        <x:f>IF(AND('中古車掲載'!C499="One2car",'中古車掲載'!F499="Corolla Cross",'中古車掲載'!L499="HEV PREMIUM",'中古車掲載'!J499=2023,ISNUMBER('中古車掲載'!N499),'中古車掲載'!N499&gt;=20000,'中古車掲載'!O499&lt;=100000,'中古車掲載'!AL499=1,'中古車掲載'!Z499="https://www.one2car.com/en/cars-for-sale/toyota/corolla-cross/year-2023"),'中古車掲載'!U499,"")</x:f>
      </x:c>
      <x:c r="BG498" s="3" t="str">
        <x:f>IF(AND('中古車掲載'!C499="One2car",'中古車掲載'!F499="Corolla Cross",'中古車掲載'!L499="HEV GR SPORT",'中古車掲載'!J499=2023,ISNUMBER('中古車掲載'!N499),'中古車掲載'!N499&gt;=20000,'中古車掲載'!O499&lt;=100000,'中古車掲載'!AL499=1,'中古車掲載'!Z499="https://www.one2car.com/en/cars-for-sale/toyota/corolla-cross/year-2023"),'中古車掲載'!U499,"")</x:f>
      </x:c>
      <x:c r="BH498" s="3" t="str">
        <x:f>IF(AND('中古車掲載'!C499="One2car",'中古車掲載'!F499="DOLPHIN",'中古車掲載'!L499="STANDARD RANGE",'中古車掲載'!J499=2023,ISNUMBER('中古車掲載'!N499),'中古車掲載'!N499&gt;=20000,'中古車掲載'!O499&lt;=100000,'中古車掲載'!AL499=1),'中古車掲載'!U499,"")</x:f>
      </x:c>
      <x:c r="BI498" s="3" t="str">
        <x:v>Taladrod|Fortuner|ICE|Unknown</x:v>
      </x:c>
      <x:c r="BJ498" s="3" t="n">
        <x:v>499</x:v>
      </x:c>
      <x:c r="BK498" s="3" t="n">
        <x:f>'中古車掲載'!AM499</x:f>
        <x:v>799000</x:v>
      </x:c>
      <x:c r="BL498" s="3" t="str">
        <x:f>IF(ISNUMBER('中古車掲載'!AN499),'中古車掲載'!AN499,"")</x:f>
      </x:c>
      <x:c r="BM498" s="3"/>
      <x:c r="BN498" s="3"/>
      <x:c r="BO498" s="3"/>
      <x:c r="BP498" s="3"/>
      <x:c r="BQ498" s="3"/>
      <x:c r="BR498" s="3"/>
    </x:row>
    <x:row r="499" ht="22" customHeight="1">
      <x:c r="A499" s="3" t="str">
        <x:v>Fortuner</x:v>
      </x:c>
      <x:c r="B499" s="3" t="str">
        <x:v>ICE</x:v>
      </x:c>
      <x:c r="C499" s="3" t="str">
        <x:v>Taladrod</x:v>
      </x:c>
      <x:c r="D499" s="3" t="str">
        <x:v>SUV</x:v>
      </x:c>
      <x:c r="E499" s="3" t="str"/>
      <x:c r="F499" s="3" t="n">
        <x:v>2022</x:v>
      </x:c>
      <x:c r="G499" s="3" t="str">
        <x:v>2.4 LEGENDER</x:v>
      </x:c>
      <x:c r="H499" s="3" t="str">
        <x:v>未掲載</x:v>
      </x:c>
      <x:c r="I499" s="3" t="str">
        <x:v>15-ปัจจุบัน</x:v>
      </x:c>
      <x:c r="J499" s="22" t="n">
        <x:f>COUNT('中古車掲載'!AM570:AM572)</x:f>
        <x:v>3</x:v>
      </x:c>
      <x:c r="K499" s="22" t="n">
        <x:f>IF(COUNT('中古車掲載'!AM570:AM572)=0,"",QUARTILE('中古車掲載'!AM570:AM572,1))</x:f>
        <x:v>932000</x:v>
      </x:c>
      <x:c r="L499" s="22" t="n">
        <x:f>IF(COUNT('中古車掲載'!AM570:AM572)=0,"",MEDIAN('中古車掲載'!AM570:AM572))</x:f>
        <x:v>950000</x:v>
      </x:c>
      <x:c r="M499" s="22" t="n">
        <x:f>IF(COUNT('中古車掲載'!AM570:AM572)=0,"",QUARTILE('中古車掲載'!AM570:AM572,3))</x:f>
        <x:v>967000</x:v>
      </x:c>
      <x:c r="N499" s="22" t="n">
        <x:f>COUNT('中古車掲載'!AN570:AN572)</x:f>
        <x:v>0</x:v>
      </x:c>
      <x:c r="O499" s="23" t="str">
        <x:f>IF(COUNT('中古車掲載'!AN570:AN572)=0,"",MEDIAN('中古車掲載'!AN570:AN572))</x:f>
      </x:c>
      <x:c r="P499" s="3"/>
      <x:c r="Q499" s="3"/>
      <x:c r="R499" s="3"/>
      <x:c r="S499" s="3"/>
      <x:c r="T499" s="3"/>
      <x:c r="U499" s="3"/>
      <x:c r="V499" s="3"/>
      <x:c r="W499" s="3"/>
      <x:c r="X499" s="3"/>
      <x:c r="Y499" s="3"/>
      <x:c r="Z499" s="3"/>
      <x:c r="AA499" s="3"/>
      <x:c r="AB499" s="3"/>
      <x:c r="AC499" s="3"/>
      <x:c r="AD499" s="3"/>
      <x:c r="AE499" s="3"/>
      <x:c r="AF499" s="3"/>
      <x:c r="AG499" s="3"/>
      <x:c r="AH499" s="3"/>
      <x:c r="AI499" s="3"/>
      <x:c r="AJ499" s="3"/>
      <x:c r="AK499" s="3"/>
      <x:c r="AL499" s="3"/>
      <x:c r="AM499" s="3"/>
      <x:c r="AN499" s="3"/>
      <x:c r="AO499" s="3"/>
      <x:c r="AP499" s="3"/>
      <x:c r="AQ499" s="3"/>
      <x:c r="AR499" s="3"/>
      <x:c r="AS499" s="3"/>
      <x:c r="AT499" s="3"/>
      <x:c r="AU499" s="3"/>
      <x:c r="AV499" s="3"/>
      <x:c r="AW499" s="3"/>
      <x:c r="AX499" s="3"/>
      <x:c r="AY499" s="3"/>
      <x:c r="AZ499" s="3" t="str">
        <x:f>IF(AND('中古車掲載'!C500="One2car",'中古車掲載'!F500="ATTO 3",'中古車掲載'!L500="EXTENDED RANGE",'中古車掲載'!J500=2023,ISNUMBER('中古車掲載'!N500),'中古車掲載'!N500&gt;=20000,'中古車掲載'!O500&lt;=100000,'中古車掲載'!AL500=1),'中古車掲載'!U500,"")</x:f>
      </x:c>
      <x:c r="BA499" s="3" t="str">
        <x:f>IF(AND('中古車掲載'!C500="One2car",'中古車掲載'!F500="Corolla Cross",'中古車掲載'!L500="HEV PREMIUM SAFETY",'中古車掲載'!J500=2023,ISNUMBER('中古車掲載'!N500),'中古車掲載'!N500&gt;=20000,'中古車掲載'!O500&lt;=100000,'中古車掲載'!AL500=1,'中古車掲載'!Z500="https://www.one2car.com/en/cars-for-sale/toyota/corolla-cross/year-2023"),'中古車掲載'!U500,"")</x:f>
      </x:c>
      <x:c r="BB499" s="3" t="str">
        <x:f>IF(AND('中古車掲載'!C500="One2car",'中古車掲載'!F500="ATTO 3",'中古車掲載'!L500="EXTENDED RANGE",'中古車掲載'!J500=2023,ISNUMBER('中古車掲載'!N500),'中古車掲載'!N500&gt;=50000,'中古車掲載'!O500&lt;=100000,'中古車掲載'!AL500=1),'中古車掲載'!U500,"")</x:f>
      </x:c>
      <x:c r="BC499" s="3" t="str">
        <x:f>IF(AND('中古車掲載'!C500="One2car",'中古車掲載'!F500="Corolla Cross",'中古車掲載'!L500="HEV PREMIUM SAFETY",'中古車掲載'!J500=2023,ISNUMBER('中古車掲載'!N500),'中古車掲載'!N500&gt;=50000,'中古車掲載'!O500&lt;=100000,'中古車掲載'!AL500=1,'中古車掲載'!Z500="https://www.one2car.com/en/cars-for-sale/toyota/corolla-cross/year-2023"),'中古車掲載'!U500,"")</x:f>
      </x:c>
      <x:c r="BD499" s="3" t="str">
        <x:f>IF(AND('中古車掲載'!C500="One2car",'中古車掲載'!F500="ATTO 3",'中古車掲載'!L500="EXTENDED RANGE",'中古車掲載'!J500=2023,ISNUMBER('中古車掲載'!N500),'中古車掲載'!N500&gt;=20000,'中古車掲載'!O500&lt;=50000,'中古車掲載'!AL500=1),'中古車掲載'!U500,"")</x:f>
      </x:c>
      <x:c r="BE499" s="3" t="str">
        <x:f>IF(AND('中古車掲載'!C500="One2car",'中古車掲載'!F500="Corolla Cross",'中古車掲載'!L500="HEV PREMIUM SAFETY",'中古車掲載'!J500=2023,ISNUMBER('中古車掲載'!N500),'中古車掲載'!N500&gt;=20000,'中古車掲載'!O500&lt;=50000,'中古車掲載'!AL500=1,'中古車掲載'!Z500="https://www.one2car.com/en/cars-for-sale/toyota/corolla-cross/year-2023"),'中古車掲載'!U500,"")</x:f>
      </x:c>
      <x:c r="BF499" s="3" t="str">
        <x:f>IF(AND('中古車掲載'!C500="One2car",'中古車掲載'!F500="Corolla Cross",'中古車掲載'!L500="HEV PREMIUM",'中古車掲載'!J500=2023,ISNUMBER('中古車掲載'!N500),'中古車掲載'!N500&gt;=20000,'中古車掲載'!O500&lt;=100000,'中古車掲載'!AL500=1,'中古車掲載'!Z500="https://www.one2car.com/en/cars-for-sale/toyota/corolla-cross/year-2023"),'中古車掲載'!U500,"")</x:f>
      </x:c>
      <x:c r="BG499" s="3" t="str">
        <x:f>IF(AND('中古車掲載'!C500="One2car",'中古車掲載'!F500="Corolla Cross",'中古車掲載'!L500="HEV GR SPORT",'中古車掲載'!J500=2023,ISNUMBER('中古車掲載'!N500),'中古車掲載'!N500&gt;=20000,'中古車掲載'!O500&lt;=100000,'中古車掲載'!AL500=1,'中古車掲載'!Z500="https://www.one2car.com/en/cars-for-sale/toyota/corolla-cross/year-2023"),'中古車掲載'!U500,"")</x:f>
      </x:c>
      <x:c r="BH499" s="3" t="str">
        <x:f>IF(AND('中古車掲載'!C500="One2car",'中古車掲載'!F500="DOLPHIN",'中古車掲載'!L500="STANDARD RANGE",'中古車掲載'!J500=2023,ISNUMBER('中古車掲載'!N500),'中古車掲載'!N500&gt;=20000,'中古車掲載'!O500&lt;=100000,'中古車掲載'!AL500=1),'中古車掲載'!U500,"")</x:f>
      </x:c>
      <x:c r="BI499" s="3" t="str">
        <x:v>Taladrod|Fortuner|ICE|Unknown</x:v>
      </x:c>
      <x:c r="BJ499" s="3" t="n">
        <x:v>500</x:v>
      </x:c>
      <x:c r="BK499" s="3" t="n">
        <x:f>'中古車掲載'!AM500</x:f>
        <x:v>754000</x:v>
      </x:c>
      <x:c r="BL499" s="3" t="str">
        <x:f>IF(ISNUMBER('中古車掲載'!AN500),'中古車掲載'!AN500,"")</x:f>
      </x:c>
      <x:c r="BM499" s="3"/>
      <x:c r="BN499" s="3"/>
      <x:c r="BO499" s="3"/>
      <x:c r="BP499" s="3"/>
      <x:c r="BQ499" s="3"/>
      <x:c r="BR499" s="3"/>
    </x:row>
    <x:row r="500" ht="22" customHeight="1">
      <x:c r="A500" s="3" t="str">
        <x:v>Fortuner</x:v>
      </x:c>
      <x:c r="B500" s="3" t="str">
        <x:v>ICE</x:v>
      </x:c>
      <x:c r="C500" s="3" t="str">
        <x:v>Taladrod</x:v>
      </x:c>
      <x:c r="D500" s="3" t="str">
        <x:v>SUV</x:v>
      </x:c>
      <x:c r="E500" s="3" t="str"/>
      <x:c r="F500" s="3" t="n">
        <x:v>2022</x:v>
      </x:c>
      <x:c r="G500" s="3" t="str">
        <x:v>2.4 LEGENDER BLACK TOP</x:v>
      </x:c>
      <x:c r="H500" s="3" t="str">
        <x:v>未掲載</x:v>
      </x:c>
      <x:c r="I500" s="3" t="str">
        <x:v>15-ปัจจุบัน</x:v>
      </x:c>
      <x:c r="J500" s="22" t="n">
        <x:f>COUNT('中古車掲載'!AM573:AM583)</x:f>
        <x:v>11</x:v>
      </x:c>
      <x:c r="K500" s="22" t="n">
        <x:f>IF(COUNT('中古車掲載'!AM573:AM583)=0,"",QUARTILE('中古車掲載'!AM573:AM583,1))</x:f>
        <x:v>952500</x:v>
      </x:c>
      <x:c r="L500" s="22" t="n">
        <x:f>IF(COUNT('中古車掲載'!AM573:AM583)=0,"",MEDIAN('中古車掲載'!AM573:AM583))</x:f>
        <x:v>979000</x:v>
      </x:c>
      <x:c r="M500" s="22" t="n">
        <x:f>IF(COUNT('中古車掲載'!AM573:AM583)=0,"",QUARTILE('中古車掲載'!AM573:AM583,3))</x:f>
        <x:v>994000</x:v>
      </x:c>
      <x:c r="N500" s="22" t="n">
        <x:f>COUNT('中古車掲載'!AN573:AN583)</x:f>
        <x:v>0</x:v>
      </x:c>
      <x:c r="O500" s="23" t="str">
        <x:f>IF(COUNT('中古車掲載'!AN573:AN583)=0,"",MEDIAN('中古車掲載'!AN573:AN583))</x:f>
      </x:c>
      <x:c r="P500" s="3"/>
      <x:c r="Q500" s="3"/>
      <x:c r="R500" s="3"/>
      <x:c r="S500" s="3"/>
      <x:c r="T500" s="3"/>
      <x:c r="U500" s="3"/>
      <x:c r="V500" s="3"/>
      <x:c r="W500" s="3"/>
      <x:c r="X500" s="3"/>
      <x:c r="Y500" s="3"/>
      <x:c r="Z500" s="3"/>
      <x:c r="AA500" s="3"/>
      <x:c r="AB500" s="3"/>
      <x:c r="AC500" s="3"/>
      <x:c r="AD500" s="3"/>
      <x:c r="AE500" s="3"/>
      <x:c r="AF500" s="3"/>
      <x:c r="AG500" s="3"/>
      <x:c r="AH500" s="3"/>
      <x:c r="AI500" s="3"/>
      <x:c r="AJ500" s="3"/>
      <x:c r="AK500" s="3"/>
      <x:c r="AL500" s="3"/>
      <x:c r="AM500" s="3"/>
      <x:c r="AN500" s="3"/>
      <x:c r="AO500" s="3"/>
      <x:c r="AP500" s="3"/>
      <x:c r="AQ500" s="3"/>
      <x:c r="AR500" s="3"/>
      <x:c r="AS500" s="3"/>
      <x:c r="AT500" s="3"/>
      <x:c r="AU500" s="3"/>
      <x:c r="AV500" s="3"/>
      <x:c r="AW500" s="3"/>
      <x:c r="AX500" s="3"/>
      <x:c r="AY500" s="3"/>
      <x:c r="AZ500" s="3" t="str">
        <x:f>IF(AND('中古車掲載'!C501="One2car",'中古車掲載'!F501="ATTO 3",'中古車掲載'!L501="EXTENDED RANGE",'中古車掲載'!J501=2023,ISNUMBER('中古車掲載'!N501),'中古車掲載'!N501&gt;=20000,'中古車掲載'!O501&lt;=100000,'中古車掲載'!AL501=1),'中古車掲載'!U501,"")</x:f>
      </x:c>
      <x:c r="BA500" s="3" t="str">
        <x:f>IF(AND('中古車掲載'!C501="One2car",'中古車掲載'!F501="Corolla Cross",'中古車掲載'!L501="HEV PREMIUM SAFETY",'中古車掲載'!J501=2023,ISNUMBER('中古車掲載'!N501),'中古車掲載'!N501&gt;=20000,'中古車掲載'!O501&lt;=100000,'中古車掲載'!AL501=1,'中古車掲載'!Z501="https://www.one2car.com/en/cars-for-sale/toyota/corolla-cross/year-2023"),'中古車掲載'!U501,"")</x:f>
      </x:c>
      <x:c r="BB500" s="3" t="str">
        <x:f>IF(AND('中古車掲載'!C501="One2car",'中古車掲載'!F501="ATTO 3",'中古車掲載'!L501="EXTENDED RANGE",'中古車掲載'!J501=2023,ISNUMBER('中古車掲載'!N501),'中古車掲載'!N501&gt;=50000,'中古車掲載'!O501&lt;=100000,'中古車掲載'!AL501=1),'中古車掲載'!U501,"")</x:f>
      </x:c>
      <x:c r="BC500" s="3" t="str">
        <x:f>IF(AND('中古車掲載'!C501="One2car",'中古車掲載'!F501="Corolla Cross",'中古車掲載'!L501="HEV PREMIUM SAFETY",'中古車掲載'!J501=2023,ISNUMBER('中古車掲載'!N501),'中古車掲載'!N501&gt;=50000,'中古車掲載'!O501&lt;=100000,'中古車掲載'!AL501=1,'中古車掲載'!Z501="https://www.one2car.com/en/cars-for-sale/toyota/corolla-cross/year-2023"),'中古車掲載'!U501,"")</x:f>
      </x:c>
      <x:c r="BD500" s="3" t="str">
        <x:f>IF(AND('中古車掲載'!C501="One2car",'中古車掲載'!F501="ATTO 3",'中古車掲載'!L501="EXTENDED RANGE",'中古車掲載'!J501=2023,ISNUMBER('中古車掲載'!N501),'中古車掲載'!N501&gt;=20000,'中古車掲載'!O501&lt;=50000,'中古車掲載'!AL501=1),'中古車掲載'!U501,"")</x:f>
      </x:c>
      <x:c r="BE500" s="3" t="str">
        <x:f>IF(AND('中古車掲載'!C501="One2car",'中古車掲載'!F501="Corolla Cross",'中古車掲載'!L501="HEV PREMIUM SAFETY",'中古車掲載'!J501=2023,ISNUMBER('中古車掲載'!N501),'中古車掲載'!N501&gt;=20000,'中古車掲載'!O501&lt;=50000,'中古車掲載'!AL501=1,'中古車掲載'!Z501="https://www.one2car.com/en/cars-for-sale/toyota/corolla-cross/year-2023"),'中古車掲載'!U501,"")</x:f>
      </x:c>
      <x:c r="BF500" s="3" t="str">
        <x:f>IF(AND('中古車掲載'!C501="One2car",'中古車掲載'!F501="Corolla Cross",'中古車掲載'!L501="HEV PREMIUM",'中古車掲載'!J501=2023,ISNUMBER('中古車掲載'!N501),'中古車掲載'!N501&gt;=20000,'中古車掲載'!O501&lt;=100000,'中古車掲載'!AL501=1,'中古車掲載'!Z501="https://www.one2car.com/en/cars-for-sale/toyota/corolla-cross/year-2023"),'中古車掲載'!U501,"")</x:f>
      </x:c>
      <x:c r="BG500" s="3" t="str">
        <x:f>IF(AND('中古車掲載'!C501="One2car",'中古車掲載'!F501="Corolla Cross",'中古車掲載'!L501="HEV GR SPORT",'中古車掲載'!J501=2023,ISNUMBER('中古車掲載'!N501),'中古車掲載'!N501&gt;=20000,'中古車掲載'!O501&lt;=100000,'中古車掲載'!AL501=1,'中古車掲載'!Z501="https://www.one2car.com/en/cars-for-sale/toyota/corolla-cross/year-2023"),'中古車掲載'!U501,"")</x:f>
      </x:c>
      <x:c r="BH500" s="3" t="str">
        <x:f>IF(AND('中古車掲載'!C501="One2car",'中古車掲載'!F501="DOLPHIN",'中古車掲載'!L501="STANDARD RANGE",'中古車掲載'!J501=2023,ISNUMBER('中古車掲載'!N501),'中古車掲載'!N501&gt;=20000,'中古車掲載'!O501&lt;=100000,'中古車掲載'!AL501=1),'中古車掲載'!U501,"")</x:f>
      </x:c>
      <x:c r="BI500" s="3" t="str">
        <x:v>Taladrod|Fortuner|ICE|Unknown</x:v>
      </x:c>
      <x:c r="BJ500" s="3" t="n">
        <x:v>501</x:v>
      </x:c>
      <x:c r="BK500" s="3" t="n">
        <x:f>'中古車掲載'!AM501</x:f>
        <x:v>745000</x:v>
      </x:c>
      <x:c r="BL500" s="3" t="str">
        <x:f>IF(ISNUMBER('中古車掲載'!AN501),'中古車掲載'!AN501,"")</x:f>
      </x:c>
      <x:c r="BM500" s="3"/>
      <x:c r="BN500" s="3"/>
      <x:c r="BO500" s="3"/>
      <x:c r="BP500" s="3"/>
      <x:c r="BQ500" s="3"/>
      <x:c r="BR500" s="3"/>
    </x:row>
    <x:row r="501" ht="22" customHeight="1">
      <x:c r="A501" s="3" t="str">
        <x:v>Fortuner</x:v>
      </x:c>
      <x:c r="B501" s="3" t="str">
        <x:v>ICE</x:v>
      </x:c>
      <x:c r="C501" s="3" t="str">
        <x:v>Taladrod</x:v>
      </x:c>
      <x:c r="D501" s="3" t="str">
        <x:v>SUV</x:v>
      </x:c>
      <x:c r="E501" s="3" t="str"/>
      <x:c r="F501" s="3" t="n">
        <x:v>2022</x:v>
      </x:c>
      <x:c r="G501" s="3" t="str">
        <x:v>2.4 V</x:v>
      </x:c>
      <x:c r="H501" s="3" t="str">
        <x:v>未掲載</x:v>
      </x:c>
      <x:c r="I501" s="3" t="str">
        <x:v>15-ปัจจุบัน</x:v>
      </x:c>
      <x:c r="J501" s="22" t="n">
        <x:f>COUNT('中古車掲載'!AM584:AM591)</x:f>
        <x:v>8</x:v>
      </x:c>
      <x:c r="K501" s="22" t="n">
        <x:f>IF(COUNT('中古車掲載'!AM584:AM591)=0,"",QUARTILE('中古車掲載'!AM584:AM591,1))</x:f>
        <x:v>809000</x:v>
      </x:c>
      <x:c r="L501" s="22" t="n">
        <x:f>IF(COUNT('中古車掲載'!AM584:AM591)=0,"",MEDIAN('中古車掲載'!AM584:AM591))</x:f>
        <x:v>849000</x:v>
      </x:c>
      <x:c r="M501" s="22" t="n">
        <x:f>IF(COUNT('中古車掲載'!AM584:AM591)=0,"",QUARTILE('中古車掲載'!AM584:AM591,3))</x:f>
        <x:v>884000</x:v>
      </x:c>
      <x:c r="N501" s="22" t="n">
        <x:f>COUNT('中古車掲載'!AN584:AN591)</x:f>
        <x:v>0</x:v>
      </x:c>
      <x:c r="O501" s="23" t="str">
        <x:f>IF(COUNT('中古車掲載'!AN584:AN591)=0,"",MEDIAN('中古車掲載'!AN584:AN591))</x:f>
      </x:c>
      <x:c r="P501" s="3"/>
      <x:c r="Q501" s="3"/>
      <x:c r="R501" s="3"/>
      <x:c r="S501" s="3"/>
      <x:c r="T501" s="3"/>
      <x:c r="U501" s="3"/>
      <x:c r="V501" s="3"/>
      <x:c r="W501" s="3"/>
      <x:c r="X501" s="3"/>
      <x:c r="Y501" s="3"/>
      <x:c r="Z501" s="3"/>
      <x:c r="AA501" s="3"/>
      <x:c r="AB501" s="3"/>
      <x:c r="AC501" s="3"/>
      <x:c r="AD501" s="3"/>
      <x:c r="AE501" s="3"/>
      <x:c r="AF501" s="3"/>
      <x:c r="AG501" s="3"/>
      <x:c r="AH501" s="3"/>
      <x:c r="AI501" s="3"/>
      <x:c r="AJ501" s="3"/>
      <x:c r="AK501" s="3"/>
      <x:c r="AL501" s="3"/>
      <x:c r="AM501" s="3"/>
      <x:c r="AN501" s="3"/>
      <x:c r="AO501" s="3"/>
      <x:c r="AP501" s="3"/>
      <x:c r="AQ501" s="3"/>
      <x:c r="AR501" s="3"/>
      <x:c r="AS501" s="3"/>
      <x:c r="AT501" s="3"/>
      <x:c r="AU501" s="3"/>
      <x:c r="AV501" s="3"/>
      <x:c r="AW501" s="3"/>
      <x:c r="AX501" s="3"/>
      <x:c r="AY501" s="3"/>
      <x:c r="AZ501" s="3" t="str">
        <x:f>IF(AND('中古車掲載'!C502="One2car",'中古車掲載'!F502="ATTO 3",'中古車掲載'!L502="EXTENDED RANGE",'中古車掲載'!J502=2023,ISNUMBER('中古車掲載'!N502),'中古車掲載'!N502&gt;=20000,'中古車掲載'!O502&lt;=100000,'中古車掲載'!AL502=1),'中古車掲載'!U502,"")</x:f>
      </x:c>
      <x:c r="BA501" s="3" t="str">
        <x:f>IF(AND('中古車掲載'!C502="One2car",'中古車掲載'!F502="Corolla Cross",'中古車掲載'!L502="HEV PREMIUM SAFETY",'中古車掲載'!J502=2023,ISNUMBER('中古車掲載'!N502),'中古車掲載'!N502&gt;=20000,'中古車掲載'!O502&lt;=100000,'中古車掲載'!AL502=1,'中古車掲載'!Z502="https://www.one2car.com/en/cars-for-sale/toyota/corolla-cross/year-2023"),'中古車掲載'!U502,"")</x:f>
      </x:c>
      <x:c r="BB501" s="3" t="str">
        <x:f>IF(AND('中古車掲載'!C502="One2car",'中古車掲載'!F502="ATTO 3",'中古車掲載'!L502="EXTENDED RANGE",'中古車掲載'!J502=2023,ISNUMBER('中古車掲載'!N502),'中古車掲載'!N502&gt;=50000,'中古車掲載'!O502&lt;=100000,'中古車掲載'!AL502=1),'中古車掲載'!U502,"")</x:f>
      </x:c>
      <x:c r="BC501" s="3" t="str">
        <x:f>IF(AND('中古車掲載'!C502="One2car",'中古車掲載'!F502="Corolla Cross",'中古車掲載'!L502="HEV PREMIUM SAFETY",'中古車掲載'!J502=2023,ISNUMBER('中古車掲載'!N502),'中古車掲載'!N502&gt;=50000,'中古車掲載'!O502&lt;=100000,'中古車掲載'!AL502=1,'中古車掲載'!Z502="https://www.one2car.com/en/cars-for-sale/toyota/corolla-cross/year-2023"),'中古車掲載'!U502,"")</x:f>
      </x:c>
      <x:c r="BD501" s="3" t="str">
        <x:f>IF(AND('中古車掲載'!C502="One2car",'中古車掲載'!F502="ATTO 3",'中古車掲載'!L502="EXTENDED RANGE",'中古車掲載'!J502=2023,ISNUMBER('中古車掲載'!N502),'中古車掲載'!N502&gt;=20000,'中古車掲載'!O502&lt;=50000,'中古車掲載'!AL502=1),'中古車掲載'!U502,"")</x:f>
      </x:c>
      <x:c r="BE501" s="3" t="str">
        <x:f>IF(AND('中古車掲載'!C502="One2car",'中古車掲載'!F502="Corolla Cross",'中古車掲載'!L502="HEV PREMIUM SAFETY",'中古車掲載'!J502=2023,ISNUMBER('中古車掲載'!N502),'中古車掲載'!N502&gt;=20000,'中古車掲載'!O502&lt;=50000,'中古車掲載'!AL502=1,'中古車掲載'!Z502="https://www.one2car.com/en/cars-for-sale/toyota/corolla-cross/year-2023"),'中古車掲載'!U502,"")</x:f>
      </x:c>
      <x:c r="BF501" s="3" t="str">
        <x:f>IF(AND('中古車掲載'!C502="One2car",'中古車掲載'!F502="Corolla Cross",'中古車掲載'!L502="HEV PREMIUM",'中古車掲載'!J502=2023,ISNUMBER('中古車掲載'!N502),'中古車掲載'!N502&gt;=20000,'中古車掲載'!O502&lt;=100000,'中古車掲載'!AL502=1,'中古車掲載'!Z502="https://www.one2car.com/en/cars-for-sale/toyota/corolla-cross/year-2023"),'中古車掲載'!U502,"")</x:f>
      </x:c>
      <x:c r="BG501" s="3" t="str">
        <x:f>IF(AND('中古車掲載'!C502="One2car",'中古車掲載'!F502="Corolla Cross",'中古車掲載'!L502="HEV GR SPORT",'中古車掲載'!J502=2023,ISNUMBER('中古車掲載'!N502),'中古車掲載'!N502&gt;=20000,'中古車掲載'!O502&lt;=100000,'中古車掲載'!AL502=1,'中古車掲載'!Z502="https://www.one2car.com/en/cars-for-sale/toyota/corolla-cross/year-2023"),'中古車掲載'!U502,"")</x:f>
      </x:c>
      <x:c r="BH501" s="3" t="str">
        <x:f>IF(AND('中古車掲載'!C502="One2car",'中古車掲載'!F502="DOLPHIN",'中古車掲載'!L502="STANDARD RANGE",'中古車掲載'!J502=2023,ISNUMBER('中古車掲載'!N502),'中古車掲載'!N502&gt;=20000,'中古車掲載'!O502&lt;=100000,'中古車掲載'!AL502=1),'中古車掲載'!U502,"")</x:f>
      </x:c>
      <x:c r="BI501" s="3" t="str">
        <x:v>Taladrod|Fortuner|ICE|Unknown</x:v>
      </x:c>
      <x:c r="BJ501" s="3" t="n">
        <x:v>502</x:v>
      </x:c>
      <x:c r="BK501" s="3" t="n">
        <x:f>'中古車掲載'!AM502</x:f>
        <x:v>750000</x:v>
      </x:c>
      <x:c r="BL501" s="3" t="str">
        <x:f>IF(ISNUMBER('中古車掲載'!AN502),'中古車掲載'!AN502,"")</x:f>
      </x:c>
      <x:c r="BM501" s="3"/>
      <x:c r="BN501" s="3"/>
      <x:c r="BO501" s="3"/>
      <x:c r="BP501" s="3"/>
      <x:c r="BQ501" s="3"/>
      <x:c r="BR501" s="3"/>
    </x:row>
    <x:row r="502" ht="22" customHeight="1">
      <x:c r="A502" s="3" t="str">
        <x:v>Fortuner</x:v>
      </x:c>
      <x:c r="B502" s="3" t="str">
        <x:v>ICE</x:v>
      </x:c>
      <x:c r="C502" s="3" t="str">
        <x:v>Taladrod</x:v>
      </x:c>
      <x:c r="D502" s="3" t="str">
        <x:v>SUV</x:v>
      </x:c>
      <x:c r="E502" s="3" t="str"/>
      <x:c r="F502" s="3" t="n">
        <x:v>2022</x:v>
      </x:c>
      <x:c r="G502" s="3" t="str">
        <x:v>2.4 V 4WD</x:v>
      </x:c>
      <x:c r="H502" s="3" t="str">
        <x:v>未掲載</x:v>
      </x:c>
      <x:c r="I502" s="3" t="str">
        <x:v>15-ปัจจุบัน</x:v>
      </x:c>
      <x:c r="J502" s="22" t="n">
        <x:f>COUNT('中古車掲載'!AM592:AM593)</x:f>
        <x:v>2</x:v>
      </x:c>
      <x:c r="K502" s="22" t="n">
        <x:f>IF(COUNT('中古車掲載'!AM592:AM593)=0,"",QUARTILE('中古車掲載'!AM592:AM593,1))</x:f>
        <x:v>921500</x:v>
      </x:c>
      <x:c r="L502" s="22" t="n">
        <x:f>IF(COUNT('中古車掲載'!AM592:AM593)=0,"",MEDIAN('中古車掲載'!AM592:AM593))</x:f>
        <x:v>944000</x:v>
      </x:c>
      <x:c r="M502" s="22" t="n">
        <x:f>IF(COUNT('中古車掲載'!AM592:AM593)=0,"",QUARTILE('中古車掲載'!AM592:AM593,3))</x:f>
        <x:v>966500</x:v>
      </x:c>
      <x:c r="N502" s="22" t="n">
        <x:f>COUNT('中古車掲載'!AN592:AN593)</x:f>
        <x:v>0</x:v>
      </x:c>
      <x:c r="O502" s="23" t="str">
        <x:f>IF(COUNT('中古車掲載'!AN592:AN593)=0,"",MEDIAN('中古車掲載'!AN592:AN593))</x:f>
      </x:c>
      <x:c r="P502" s="3"/>
      <x:c r="Q502" s="3"/>
      <x:c r="R502" s="3"/>
      <x:c r="S502" s="3"/>
      <x:c r="T502" s="3"/>
      <x:c r="U502" s="3"/>
      <x:c r="V502" s="3"/>
      <x:c r="W502" s="3"/>
      <x:c r="X502" s="3"/>
      <x:c r="Y502" s="3"/>
      <x:c r="Z502" s="3"/>
      <x:c r="AA502" s="3"/>
      <x:c r="AB502" s="3"/>
      <x:c r="AC502" s="3"/>
      <x:c r="AD502" s="3"/>
      <x:c r="AE502" s="3"/>
      <x:c r="AF502" s="3"/>
      <x:c r="AG502" s="3"/>
      <x:c r="AH502" s="3"/>
      <x:c r="AI502" s="3"/>
      <x:c r="AJ502" s="3"/>
      <x:c r="AK502" s="3"/>
      <x:c r="AL502" s="3"/>
      <x:c r="AM502" s="3"/>
      <x:c r="AN502" s="3"/>
      <x:c r="AO502" s="3"/>
      <x:c r="AP502" s="3"/>
      <x:c r="AQ502" s="3"/>
      <x:c r="AR502" s="3"/>
      <x:c r="AS502" s="3"/>
      <x:c r="AT502" s="3"/>
      <x:c r="AU502" s="3"/>
      <x:c r="AV502" s="3"/>
      <x:c r="AW502" s="3"/>
      <x:c r="AX502" s="3"/>
      <x:c r="AY502" s="3"/>
      <x:c r="AZ502" s="3" t="str">
        <x:f>IF(AND('中古車掲載'!C503="One2car",'中古車掲載'!F503="ATTO 3",'中古車掲載'!L503="EXTENDED RANGE",'中古車掲載'!J503=2023,ISNUMBER('中古車掲載'!N503),'中古車掲載'!N503&gt;=20000,'中古車掲載'!O503&lt;=100000,'中古車掲載'!AL503=1),'中古車掲載'!U503,"")</x:f>
      </x:c>
      <x:c r="BA502" s="3" t="str">
        <x:f>IF(AND('中古車掲載'!C503="One2car",'中古車掲載'!F503="Corolla Cross",'中古車掲載'!L503="HEV PREMIUM SAFETY",'中古車掲載'!J503=2023,ISNUMBER('中古車掲載'!N503),'中古車掲載'!N503&gt;=20000,'中古車掲載'!O503&lt;=100000,'中古車掲載'!AL503=1,'中古車掲載'!Z503="https://www.one2car.com/en/cars-for-sale/toyota/corolla-cross/year-2023"),'中古車掲載'!U503,"")</x:f>
      </x:c>
      <x:c r="BB502" s="3" t="str">
        <x:f>IF(AND('中古車掲載'!C503="One2car",'中古車掲載'!F503="ATTO 3",'中古車掲載'!L503="EXTENDED RANGE",'中古車掲載'!J503=2023,ISNUMBER('中古車掲載'!N503),'中古車掲載'!N503&gt;=50000,'中古車掲載'!O503&lt;=100000,'中古車掲載'!AL503=1),'中古車掲載'!U503,"")</x:f>
      </x:c>
      <x:c r="BC502" s="3" t="str">
        <x:f>IF(AND('中古車掲載'!C503="One2car",'中古車掲載'!F503="Corolla Cross",'中古車掲載'!L503="HEV PREMIUM SAFETY",'中古車掲載'!J503=2023,ISNUMBER('中古車掲載'!N503),'中古車掲載'!N503&gt;=50000,'中古車掲載'!O503&lt;=100000,'中古車掲載'!AL503=1,'中古車掲載'!Z503="https://www.one2car.com/en/cars-for-sale/toyota/corolla-cross/year-2023"),'中古車掲載'!U503,"")</x:f>
      </x:c>
      <x:c r="BD502" s="3" t="str">
        <x:f>IF(AND('中古車掲載'!C503="One2car",'中古車掲載'!F503="ATTO 3",'中古車掲載'!L503="EXTENDED RANGE",'中古車掲載'!J503=2023,ISNUMBER('中古車掲載'!N503),'中古車掲載'!N503&gt;=20000,'中古車掲載'!O503&lt;=50000,'中古車掲載'!AL503=1),'中古車掲載'!U503,"")</x:f>
      </x:c>
      <x:c r="BE502" s="3" t="str">
        <x:f>IF(AND('中古車掲載'!C503="One2car",'中古車掲載'!F503="Corolla Cross",'中古車掲載'!L503="HEV PREMIUM SAFETY",'中古車掲載'!J503=2023,ISNUMBER('中古車掲載'!N503),'中古車掲載'!N503&gt;=20000,'中古車掲載'!O503&lt;=50000,'中古車掲載'!AL503=1,'中古車掲載'!Z503="https://www.one2car.com/en/cars-for-sale/toyota/corolla-cross/year-2023"),'中古車掲載'!U503,"")</x:f>
      </x:c>
      <x:c r="BF502" s="3" t="str">
        <x:f>IF(AND('中古車掲載'!C503="One2car",'中古車掲載'!F503="Corolla Cross",'中古車掲載'!L503="HEV PREMIUM",'中古車掲載'!J503=2023,ISNUMBER('中古車掲載'!N503),'中古車掲載'!N503&gt;=20000,'中古車掲載'!O503&lt;=100000,'中古車掲載'!AL503=1,'中古車掲載'!Z503="https://www.one2car.com/en/cars-for-sale/toyota/corolla-cross/year-2023"),'中古車掲載'!U503,"")</x:f>
      </x:c>
      <x:c r="BG502" s="3" t="str">
        <x:f>IF(AND('中古車掲載'!C503="One2car",'中古車掲載'!F503="Corolla Cross",'中古車掲載'!L503="HEV GR SPORT",'中古車掲載'!J503=2023,ISNUMBER('中古車掲載'!N503),'中古車掲載'!N503&gt;=20000,'中古車掲載'!O503&lt;=100000,'中古車掲載'!AL503=1,'中古車掲載'!Z503="https://www.one2car.com/en/cars-for-sale/toyota/corolla-cross/year-2023"),'中古車掲載'!U503,"")</x:f>
      </x:c>
      <x:c r="BH502" s="3" t="str">
        <x:f>IF(AND('中古車掲載'!C503="One2car",'中古車掲載'!F503="DOLPHIN",'中古車掲載'!L503="STANDARD RANGE",'中古車掲載'!J503=2023,ISNUMBER('中古車掲載'!N503),'中古車掲載'!N503&gt;=20000,'中古車掲載'!O503&lt;=100000,'中古車掲載'!AL503=1),'中古車掲載'!U503,"")</x:f>
      </x:c>
      <x:c r="BI502" s="3" t="str">
        <x:v>Taladrod|Fortuner|ICE|Unknown</x:v>
      </x:c>
      <x:c r="BJ502" s="3" t="n">
        <x:v>503</x:v>
      </x:c>
      <x:c r="BK502" s="3" t="n">
        <x:f>'中古車掲載'!AM503</x:f>
        <x:v>925000</x:v>
      </x:c>
      <x:c r="BL502" s="3" t="str">
        <x:f>IF(ISNUMBER('中古車掲載'!AN503),'中古車掲載'!AN503,"")</x:f>
      </x:c>
      <x:c r="BM502" s="3"/>
      <x:c r="BN502" s="3"/>
      <x:c r="BO502" s="3"/>
      <x:c r="BP502" s="3"/>
      <x:c r="BQ502" s="3"/>
      <x:c r="BR502" s="3"/>
    </x:row>
    <x:row r="503" ht="22" customHeight="1">
      <x:c r="A503" s="3" t="str">
        <x:v>Fortuner</x:v>
      </x:c>
      <x:c r="B503" s="3" t="str">
        <x:v>ICE</x:v>
      </x:c>
      <x:c r="C503" s="3" t="str">
        <x:v>Taladrod</x:v>
      </x:c>
      <x:c r="D503" s="3" t="str">
        <x:v>SUV</x:v>
      </x:c>
      <x:c r="E503" s="3" t="str"/>
      <x:c r="F503" s="3" t="n">
        <x:v>2022</x:v>
      </x:c>
      <x:c r="G503" s="3" t="str">
        <x:v>2.4 V 4WD LEADER</x:v>
      </x:c>
      <x:c r="H503" s="3" t="str">
        <x:v>未掲載</x:v>
      </x:c>
      <x:c r="I503" s="3" t="str">
        <x:v>15-ปัจจุบัน</x:v>
      </x:c>
      <x:c r="J503" s="22" t="n">
        <x:f>COUNT('中古車掲載'!AM594:AM596)</x:f>
        <x:v>3</x:v>
      </x:c>
      <x:c r="K503" s="22" t="n">
        <x:f>IF(COUNT('中古車掲載'!AM594:AM596)=0,"",QUARTILE('中古車掲載'!AM594:AM596,1))</x:f>
        <x:v>938500</x:v>
      </x:c>
      <x:c r="L503" s="22" t="n">
        <x:f>IF(COUNT('中古車掲載'!AM594:AM596)=0,"",MEDIAN('中古車掲載'!AM594:AM596))</x:f>
        <x:v>939000</x:v>
      </x:c>
      <x:c r="M503" s="22" t="n">
        <x:f>IF(COUNT('中古車掲載'!AM594:AM596)=0,"",QUARTILE('中古車掲載'!AM594:AM596,3))</x:f>
        <x:v>939000</x:v>
      </x:c>
      <x:c r="N503" s="22" t="n">
        <x:f>COUNT('中古車掲載'!AN594:AN596)</x:f>
        <x:v>0</x:v>
      </x:c>
      <x:c r="O503" s="23" t="str">
        <x:f>IF(COUNT('中古車掲載'!AN594:AN596)=0,"",MEDIAN('中古車掲載'!AN594:AN596))</x:f>
      </x:c>
      <x:c r="P503" s="3"/>
      <x:c r="Q503" s="3"/>
      <x:c r="R503" s="3"/>
      <x:c r="S503" s="3"/>
      <x:c r="T503" s="3"/>
      <x:c r="U503" s="3"/>
      <x:c r="V503" s="3"/>
      <x:c r="W503" s="3"/>
      <x:c r="X503" s="3"/>
      <x:c r="Y503" s="3"/>
      <x:c r="Z503" s="3"/>
      <x:c r="AA503" s="3"/>
      <x:c r="AB503" s="3"/>
      <x:c r="AC503" s="3"/>
      <x:c r="AD503" s="3"/>
      <x:c r="AE503" s="3"/>
      <x:c r="AF503" s="3"/>
      <x:c r="AG503" s="3"/>
      <x:c r="AH503" s="3"/>
      <x:c r="AI503" s="3"/>
      <x:c r="AJ503" s="3"/>
      <x:c r="AK503" s="3"/>
      <x:c r="AL503" s="3"/>
      <x:c r="AM503" s="3"/>
      <x:c r="AN503" s="3"/>
      <x:c r="AO503" s="3"/>
      <x:c r="AP503" s="3"/>
      <x:c r="AQ503" s="3"/>
      <x:c r="AR503" s="3"/>
      <x:c r="AS503" s="3"/>
      <x:c r="AT503" s="3"/>
      <x:c r="AU503" s="3"/>
      <x:c r="AV503" s="3"/>
      <x:c r="AW503" s="3"/>
      <x:c r="AX503" s="3"/>
      <x:c r="AY503" s="3"/>
      <x:c r="AZ503" s="3" t="str">
        <x:f>IF(AND('中古車掲載'!C504="One2car",'中古車掲載'!F504="ATTO 3",'中古車掲載'!L504="EXTENDED RANGE",'中古車掲載'!J504=2023,ISNUMBER('中古車掲載'!N504),'中古車掲載'!N504&gt;=20000,'中古車掲載'!O504&lt;=100000,'中古車掲載'!AL504=1),'中古車掲載'!U504,"")</x:f>
      </x:c>
      <x:c r="BA503" s="3" t="str">
        <x:f>IF(AND('中古車掲載'!C504="One2car",'中古車掲載'!F504="Corolla Cross",'中古車掲載'!L504="HEV PREMIUM SAFETY",'中古車掲載'!J504=2023,ISNUMBER('中古車掲載'!N504),'中古車掲載'!N504&gt;=20000,'中古車掲載'!O504&lt;=100000,'中古車掲載'!AL504=1,'中古車掲載'!Z504="https://www.one2car.com/en/cars-for-sale/toyota/corolla-cross/year-2023"),'中古車掲載'!U504,"")</x:f>
      </x:c>
      <x:c r="BB503" s="3" t="str">
        <x:f>IF(AND('中古車掲載'!C504="One2car",'中古車掲載'!F504="ATTO 3",'中古車掲載'!L504="EXTENDED RANGE",'中古車掲載'!J504=2023,ISNUMBER('中古車掲載'!N504),'中古車掲載'!N504&gt;=50000,'中古車掲載'!O504&lt;=100000,'中古車掲載'!AL504=1),'中古車掲載'!U504,"")</x:f>
      </x:c>
      <x:c r="BC503" s="3" t="str">
        <x:f>IF(AND('中古車掲載'!C504="One2car",'中古車掲載'!F504="Corolla Cross",'中古車掲載'!L504="HEV PREMIUM SAFETY",'中古車掲載'!J504=2023,ISNUMBER('中古車掲載'!N504),'中古車掲載'!N504&gt;=50000,'中古車掲載'!O504&lt;=100000,'中古車掲載'!AL504=1,'中古車掲載'!Z504="https://www.one2car.com/en/cars-for-sale/toyota/corolla-cross/year-2023"),'中古車掲載'!U504,"")</x:f>
      </x:c>
      <x:c r="BD503" s="3" t="str">
        <x:f>IF(AND('中古車掲載'!C504="One2car",'中古車掲載'!F504="ATTO 3",'中古車掲載'!L504="EXTENDED RANGE",'中古車掲載'!J504=2023,ISNUMBER('中古車掲載'!N504),'中古車掲載'!N504&gt;=20000,'中古車掲載'!O504&lt;=50000,'中古車掲載'!AL504=1),'中古車掲載'!U504,"")</x:f>
      </x:c>
      <x:c r="BE503" s="3" t="str">
        <x:f>IF(AND('中古車掲載'!C504="One2car",'中古車掲載'!F504="Corolla Cross",'中古車掲載'!L504="HEV PREMIUM SAFETY",'中古車掲載'!J504=2023,ISNUMBER('中古車掲載'!N504),'中古車掲載'!N504&gt;=20000,'中古車掲載'!O504&lt;=50000,'中古車掲載'!AL504=1,'中古車掲載'!Z504="https://www.one2car.com/en/cars-for-sale/toyota/corolla-cross/year-2023"),'中古車掲載'!U504,"")</x:f>
      </x:c>
      <x:c r="BF503" s="3" t="str">
        <x:f>IF(AND('中古車掲載'!C504="One2car",'中古車掲載'!F504="Corolla Cross",'中古車掲載'!L504="HEV PREMIUM",'中古車掲載'!J504=2023,ISNUMBER('中古車掲載'!N504),'中古車掲載'!N504&gt;=20000,'中古車掲載'!O504&lt;=100000,'中古車掲載'!AL504=1,'中古車掲載'!Z504="https://www.one2car.com/en/cars-for-sale/toyota/corolla-cross/year-2023"),'中古車掲載'!U504,"")</x:f>
      </x:c>
      <x:c r="BG503" s="3" t="str">
        <x:f>IF(AND('中古車掲載'!C504="One2car",'中古車掲載'!F504="Corolla Cross",'中古車掲載'!L504="HEV GR SPORT",'中古車掲載'!J504=2023,ISNUMBER('中古車掲載'!N504),'中古車掲載'!N504&gt;=20000,'中古車掲載'!O504&lt;=100000,'中古車掲載'!AL504=1,'中古車掲載'!Z504="https://www.one2car.com/en/cars-for-sale/toyota/corolla-cross/year-2023"),'中古車掲載'!U504,"")</x:f>
      </x:c>
      <x:c r="BH503" s="3" t="str">
        <x:f>IF(AND('中古車掲載'!C504="One2car",'中古車掲載'!F504="DOLPHIN",'中古車掲載'!L504="STANDARD RANGE",'中古車掲載'!J504=2023,ISNUMBER('中古車掲載'!N504),'中古車掲載'!N504&gt;=20000,'中古車掲載'!O504&lt;=100000,'中古車掲載'!AL504=1),'中古車掲載'!U504,"")</x:f>
      </x:c>
      <x:c r="BI503" s="3" t="str">
        <x:v>Taladrod|Fortuner|ICE|Unknown</x:v>
      </x:c>
      <x:c r="BJ503" s="3" t="n">
        <x:v>504</x:v>
      </x:c>
      <x:c r="BK503" s="3" t="n">
        <x:f>'中古車掲載'!AM504</x:f>
        <x:v>909000</x:v>
      </x:c>
      <x:c r="BL503" s="3" t="str">
        <x:f>IF(ISNUMBER('中古車掲載'!AN504),'中古車掲載'!AN504,"")</x:f>
      </x:c>
      <x:c r="BM503" s="3"/>
      <x:c r="BN503" s="3"/>
      <x:c r="BO503" s="3"/>
      <x:c r="BP503" s="3"/>
      <x:c r="BQ503" s="3"/>
      <x:c r="BR503" s="3"/>
    </x:row>
    <x:row r="504" ht="22" customHeight="1">
      <x:c r="A504" s="3" t="str">
        <x:v>Fortuner</x:v>
      </x:c>
      <x:c r="B504" s="3" t="str">
        <x:v>ICE</x:v>
      </x:c>
      <x:c r="C504" s="3" t="str">
        <x:v>Taladrod</x:v>
      </x:c>
      <x:c r="D504" s="3" t="str">
        <x:v>SUV</x:v>
      </x:c>
      <x:c r="E504" s="3" t="str"/>
      <x:c r="F504" s="3" t="n">
        <x:v>2022</x:v>
      </x:c>
      <x:c r="G504" s="3" t="str">
        <x:v>2.4 V LEADER</x:v>
      </x:c>
      <x:c r="H504" s="3" t="str">
        <x:v>未掲載</x:v>
      </x:c>
      <x:c r="I504" s="3" t="str">
        <x:v>15-ปัจจุบัน</x:v>
      </x:c>
      <x:c r="J504" s="22" t="n">
        <x:f>COUNT('中古車掲載'!AM597:AM604)</x:f>
        <x:v>8</x:v>
      </x:c>
      <x:c r="K504" s="22" t="n">
        <x:f>IF(COUNT('中古車掲載'!AM597:AM604)=0,"",QUARTILE('中古車掲載'!AM597:AM604,1))</x:f>
        <x:v>916500</x:v>
      </x:c>
      <x:c r="L504" s="22" t="n">
        <x:f>IF(COUNT('中古車掲載'!AM597:AM604)=0,"",MEDIAN('中古車掲載'!AM597:AM604))</x:f>
        <x:v>929000</x:v>
      </x:c>
      <x:c r="M504" s="22" t="n">
        <x:f>IF(COUNT('中古車掲載'!AM597:AM604)=0,"",QUARTILE('中古車掲載'!AM597:AM604,3))</x:f>
        <x:v>946500</x:v>
      </x:c>
      <x:c r="N504" s="22" t="n">
        <x:f>COUNT('中古車掲載'!AN597:AN604)</x:f>
        <x:v>0</x:v>
      </x:c>
      <x:c r="O504" s="23" t="str">
        <x:f>IF(COUNT('中古車掲載'!AN597:AN604)=0,"",MEDIAN('中古車掲載'!AN597:AN604))</x:f>
      </x:c>
      <x:c r="P504" s="3"/>
      <x:c r="Q504" s="3"/>
      <x:c r="R504" s="3"/>
      <x:c r="S504" s="3"/>
      <x:c r="T504" s="3"/>
      <x:c r="U504" s="3"/>
      <x:c r="V504" s="3"/>
      <x:c r="W504" s="3"/>
      <x:c r="X504" s="3"/>
      <x:c r="Y504" s="3"/>
      <x:c r="Z504" s="3"/>
      <x:c r="AA504" s="3"/>
      <x:c r="AB504" s="3"/>
      <x:c r="AC504" s="3"/>
      <x:c r="AD504" s="3"/>
      <x:c r="AE504" s="3"/>
      <x:c r="AF504" s="3"/>
      <x:c r="AG504" s="3"/>
      <x:c r="AH504" s="3"/>
      <x:c r="AI504" s="3"/>
      <x:c r="AJ504" s="3"/>
      <x:c r="AK504" s="3"/>
      <x:c r="AL504" s="3"/>
      <x:c r="AM504" s="3"/>
      <x:c r="AN504" s="3"/>
      <x:c r="AO504" s="3"/>
      <x:c r="AP504" s="3"/>
      <x:c r="AQ504" s="3"/>
      <x:c r="AR504" s="3"/>
      <x:c r="AS504" s="3"/>
      <x:c r="AT504" s="3"/>
      <x:c r="AU504" s="3"/>
      <x:c r="AV504" s="3"/>
      <x:c r="AW504" s="3"/>
      <x:c r="AX504" s="3"/>
      <x:c r="AY504" s="3"/>
      <x:c r="AZ504" s="3" t="str">
        <x:f>IF(AND('中古車掲載'!C505="One2car",'中古車掲載'!F505="ATTO 3",'中古車掲載'!L505="EXTENDED RANGE",'中古車掲載'!J505=2023,ISNUMBER('中古車掲載'!N505),'中古車掲載'!N505&gt;=20000,'中古車掲載'!O505&lt;=100000,'中古車掲載'!AL505=1),'中古車掲載'!U505,"")</x:f>
      </x:c>
      <x:c r="BA504" s="3" t="str">
        <x:f>IF(AND('中古車掲載'!C505="One2car",'中古車掲載'!F505="Corolla Cross",'中古車掲載'!L505="HEV PREMIUM SAFETY",'中古車掲載'!J505=2023,ISNUMBER('中古車掲載'!N505),'中古車掲載'!N505&gt;=20000,'中古車掲載'!O505&lt;=100000,'中古車掲載'!AL505=1,'中古車掲載'!Z505="https://www.one2car.com/en/cars-for-sale/toyota/corolla-cross/year-2023"),'中古車掲載'!U505,"")</x:f>
      </x:c>
      <x:c r="BB504" s="3" t="str">
        <x:f>IF(AND('中古車掲載'!C505="One2car",'中古車掲載'!F505="ATTO 3",'中古車掲載'!L505="EXTENDED RANGE",'中古車掲載'!J505=2023,ISNUMBER('中古車掲載'!N505),'中古車掲載'!N505&gt;=50000,'中古車掲載'!O505&lt;=100000,'中古車掲載'!AL505=1),'中古車掲載'!U505,"")</x:f>
      </x:c>
      <x:c r="BC504" s="3" t="str">
        <x:f>IF(AND('中古車掲載'!C505="One2car",'中古車掲載'!F505="Corolla Cross",'中古車掲載'!L505="HEV PREMIUM SAFETY",'中古車掲載'!J505=2023,ISNUMBER('中古車掲載'!N505),'中古車掲載'!N505&gt;=50000,'中古車掲載'!O505&lt;=100000,'中古車掲載'!AL505=1,'中古車掲載'!Z505="https://www.one2car.com/en/cars-for-sale/toyota/corolla-cross/year-2023"),'中古車掲載'!U505,"")</x:f>
      </x:c>
      <x:c r="BD504" s="3" t="str">
        <x:f>IF(AND('中古車掲載'!C505="One2car",'中古車掲載'!F505="ATTO 3",'中古車掲載'!L505="EXTENDED RANGE",'中古車掲載'!J505=2023,ISNUMBER('中古車掲載'!N505),'中古車掲載'!N505&gt;=20000,'中古車掲載'!O505&lt;=50000,'中古車掲載'!AL505=1),'中古車掲載'!U505,"")</x:f>
      </x:c>
      <x:c r="BE504" s="3" t="str">
        <x:f>IF(AND('中古車掲載'!C505="One2car",'中古車掲載'!F505="Corolla Cross",'中古車掲載'!L505="HEV PREMIUM SAFETY",'中古車掲載'!J505=2023,ISNUMBER('中古車掲載'!N505),'中古車掲載'!N505&gt;=20000,'中古車掲載'!O505&lt;=50000,'中古車掲載'!AL505=1,'中古車掲載'!Z505="https://www.one2car.com/en/cars-for-sale/toyota/corolla-cross/year-2023"),'中古車掲載'!U505,"")</x:f>
      </x:c>
      <x:c r="BF504" s="3" t="str">
        <x:f>IF(AND('中古車掲載'!C505="One2car",'中古車掲載'!F505="Corolla Cross",'中古車掲載'!L505="HEV PREMIUM",'中古車掲載'!J505=2023,ISNUMBER('中古車掲載'!N505),'中古車掲載'!N505&gt;=20000,'中古車掲載'!O505&lt;=100000,'中古車掲載'!AL505=1,'中古車掲載'!Z505="https://www.one2car.com/en/cars-for-sale/toyota/corolla-cross/year-2023"),'中古車掲載'!U505,"")</x:f>
      </x:c>
      <x:c r="BG504" s="3" t="str">
        <x:f>IF(AND('中古車掲載'!C505="One2car",'中古車掲載'!F505="Corolla Cross",'中古車掲載'!L505="HEV GR SPORT",'中古車掲載'!J505=2023,ISNUMBER('中古車掲載'!N505),'中古車掲載'!N505&gt;=20000,'中古車掲載'!O505&lt;=100000,'中古車掲載'!AL505=1,'中古車掲載'!Z505="https://www.one2car.com/en/cars-for-sale/toyota/corolla-cross/year-2023"),'中古車掲載'!U505,"")</x:f>
      </x:c>
      <x:c r="BH504" s="3" t="str">
        <x:f>IF(AND('中古車掲載'!C505="One2car",'中古車掲載'!F505="DOLPHIN",'中古車掲載'!L505="STANDARD RANGE",'中古車掲載'!J505=2023,ISNUMBER('中古車掲載'!N505),'中古車掲載'!N505&gt;=20000,'中古車掲載'!O505&lt;=100000,'中古車掲載'!AL505=1),'中古車掲載'!U505,"")</x:f>
      </x:c>
      <x:c r="BI504" s="3" t="str">
        <x:v>Taladrod|Fortuner|ICE|Unknown</x:v>
      </x:c>
      <x:c r="BJ504" s="3" t="n">
        <x:v>505</x:v>
      </x:c>
      <x:c r="BK504" s="3" t="n">
        <x:f>'中古車掲載'!AM505</x:f>
        <x:v>929000</x:v>
      </x:c>
      <x:c r="BL504" s="3" t="str">
        <x:f>IF(ISNUMBER('中古車掲載'!AN505),'中古車掲載'!AN505,"")</x:f>
      </x:c>
      <x:c r="BM504" s="3"/>
      <x:c r="BN504" s="3"/>
      <x:c r="BO504" s="3"/>
      <x:c r="BP504" s="3"/>
      <x:c r="BQ504" s="3"/>
      <x:c r="BR504" s="3"/>
    </x:row>
    <x:row r="505" ht="22" customHeight="1">
      <x:c r="A505" s="3" t="str">
        <x:v>Fortuner</x:v>
      </x:c>
      <x:c r="B505" s="3" t="str">
        <x:v>ICE</x:v>
      </x:c>
      <x:c r="C505" s="3" t="str">
        <x:v>Taladrod</x:v>
      </x:c>
      <x:c r="D505" s="3" t="str">
        <x:v>SUV</x:v>
      </x:c>
      <x:c r="E505" s="3" t="str"/>
      <x:c r="F505" s="3" t="n">
        <x:v>2022</x:v>
      </x:c>
      <x:c r="G505" s="3" t="str">
        <x:v>2.8 LEGENDER</x:v>
      </x:c>
      <x:c r="H505" s="3" t="str">
        <x:v>未掲載</x:v>
      </x:c>
      <x:c r="I505" s="3" t="str">
        <x:v>15-ปัจจุบัน</x:v>
      </x:c>
      <x:c r="J505" s="22" t="n">
        <x:f>COUNT('中古車掲載'!AM605:AM605)</x:f>
        <x:v>1</x:v>
      </x:c>
      <x:c r="K505" s="22" t="n">
        <x:f>IF(COUNT('中古車掲載'!AM605:AM605)=0,"",QUARTILE('中古車掲載'!AM605:AM605,1))</x:f>
        <x:v>999000</x:v>
      </x:c>
      <x:c r="L505" s="22" t="n">
        <x:f>IF(COUNT('中古車掲載'!AM605:AM605)=0,"",MEDIAN('中古車掲載'!AM605:AM605))</x:f>
        <x:v>999000</x:v>
      </x:c>
      <x:c r="M505" s="22" t="n">
        <x:f>IF(COUNT('中古車掲載'!AM605:AM605)=0,"",QUARTILE('中古車掲載'!AM605:AM605,3))</x:f>
        <x:v>999000</x:v>
      </x:c>
      <x:c r="N505" s="22" t="n">
        <x:f>COUNT('中古車掲載'!AN605:AN605)</x:f>
        <x:v>0</x:v>
      </x:c>
      <x:c r="O505" s="23" t="str">
        <x:f>IF(COUNT('中古車掲載'!AN605:AN605)=0,"",MEDIAN('中古車掲載'!AN605:AN605))</x:f>
      </x:c>
      <x:c r="P505" s="3"/>
      <x:c r="Q505" s="3"/>
      <x:c r="R505" s="3"/>
      <x:c r="S505" s="3"/>
      <x:c r="T505" s="3"/>
      <x:c r="U505" s="3"/>
      <x:c r="V505" s="3"/>
      <x:c r="W505" s="3"/>
      <x:c r="X505" s="3"/>
      <x:c r="Y505" s="3"/>
      <x:c r="Z505" s="3"/>
      <x:c r="AA505" s="3"/>
      <x:c r="AB505" s="3"/>
      <x:c r="AC505" s="3"/>
      <x:c r="AD505" s="3"/>
      <x:c r="AE505" s="3"/>
      <x:c r="AF505" s="3"/>
      <x:c r="AG505" s="3"/>
      <x:c r="AH505" s="3"/>
      <x:c r="AI505" s="3"/>
      <x:c r="AJ505" s="3"/>
      <x:c r="AK505" s="3"/>
      <x:c r="AL505" s="3"/>
      <x:c r="AM505" s="3"/>
      <x:c r="AN505" s="3"/>
      <x:c r="AO505" s="3"/>
      <x:c r="AP505" s="3"/>
      <x:c r="AQ505" s="3"/>
      <x:c r="AR505" s="3"/>
      <x:c r="AS505" s="3"/>
      <x:c r="AT505" s="3"/>
      <x:c r="AU505" s="3"/>
      <x:c r="AV505" s="3"/>
      <x:c r="AW505" s="3"/>
      <x:c r="AX505" s="3"/>
      <x:c r="AY505" s="3"/>
      <x:c r="AZ505" s="3" t="str">
        <x:f>IF(AND('中古車掲載'!C506="One2car",'中古車掲載'!F506="ATTO 3",'中古車掲載'!L506="EXTENDED RANGE",'中古車掲載'!J506=2023,ISNUMBER('中古車掲載'!N506),'中古車掲載'!N506&gt;=20000,'中古車掲載'!O506&lt;=100000,'中古車掲載'!AL506=1),'中古車掲載'!U506,"")</x:f>
      </x:c>
      <x:c r="BA505" s="3" t="str">
        <x:f>IF(AND('中古車掲載'!C506="One2car",'中古車掲載'!F506="Corolla Cross",'中古車掲載'!L506="HEV PREMIUM SAFETY",'中古車掲載'!J506=2023,ISNUMBER('中古車掲載'!N506),'中古車掲載'!N506&gt;=20000,'中古車掲載'!O506&lt;=100000,'中古車掲載'!AL506=1,'中古車掲載'!Z506="https://www.one2car.com/en/cars-for-sale/toyota/corolla-cross/year-2023"),'中古車掲載'!U506,"")</x:f>
      </x:c>
      <x:c r="BB505" s="3" t="str">
        <x:f>IF(AND('中古車掲載'!C506="One2car",'中古車掲載'!F506="ATTO 3",'中古車掲載'!L506="EXTENDED RANGE",'中古車掲載'!J506=2023,ISNUMBER('中古車掲載'!N506),'中古車掲載'!N506&gt;=50000,'中古車掲載'!O506&lt;=100000,'中古車掲載'!AL506=1),'中古車掲載'!U506,"")</x:f>
      </x:c>
      <x:c r="BC505" s="3" t="str">
        <x:f>IF(AND('中古車掲載'!C506="One2car",'中古車掲載'!F506="Corolla Cross",'中古車掲載'!L506="HEV PREMIUM SAFETY",'中古車掲載'!J506=2023,ISNUMBER('中古車掲載'!N506),'中古車掲載'!N506&gt;=50000,'中古車掲載'!O506&lt;=100000,'中古車掲載'!AL506=1,'中古車掲載'!Z506="https://www.one2car.com/en/cars-for-sale/toyota/corolla-cross/year-2023"),'中古車掲載'!U506,"")</x:f>
      </x:c>
      <x:c r="BD505" s="3" t="str">
        <x:f>IF(AND('中古車掲載'!C506="One2car",'中古車掲載'!F506="ATTO 3",'中古車掲載'!L506="EXTENDED RANGE",'中古車掲載'!J506=2023,ISNUMBER('中古車掲載'!N506),'中古車掲載'!N506&gt;=20000,'中古車掲載'!O506&lt;=50000,'中古車掲載'!AL506=1),'中古車掲載'!U506,"")</x:f>
      </x:c>
      <x:c r="BE505" s="3" t="str">
        <x:f>IF(AND('中古車掲載'!C506="One2car",'中古車掲載'!F506="Corolla Cross",'中古車掲載'!L506="HEV PREMIUM SAFETY",'中古車掲載'!J506=2023,ISNUMBER('中古車掲載'!N506),'中古車掲載'!N506&gt;=20000,'中古車掲載'!O506&lt;=50000,'中古車掲載'!AL506=1,'中古車掲載'!Z506="https://www.one2car.com/en/cars-for-sale/toyota/corolla-cross/year-2023"),'中古車掲載'!U506,"")</x:f>
      </x:c>
      <x:c r="BF505" s="3" t="str">
        <x:f>IF(AND('中古車掲載'!C506="One2car",'中古車掲載'!F506="Corolla Cross",'中古車掲載'!L506="HEV PREMIUM",'中古車掲載'!J506=2023,ISNUMBER('中古車掲載'!N506),'中古車掲載'!N506&gt;=20000,'中古車掲載'!O506&lt;=100000,'中古車掲載'!AL506=1,'中古車掲載'!Z506="https://www.one2car.com/en/cars-for-sale/toyota/corolla-cross/year-2023"),'中古車掲載'!U506,"")</x:f>
      </x:c>
      <x:c r="BG505" s="3" t="str">
        <x:f>IF(AND('中古車掲載'!C506="One2car",'中古車掲載'!F506="Corolla Cross",'中古車掲載'!L506="HEV GR SPORT",'中古車掲載'!J506=2023,ISNUMBER('中古車掲載'!N506),'中古車掲載'!N506&gt;=20000,'中古車掲載'!O506&lt;=100000,'中古車掲載'!AL506=1,'中古車掲載'!Z506="https://www.one2car.com/en/cars-for-sale/toyota/corolla-cross/year-2023"),'中古車掲載'!U506,"")</x:f>
      </x:c>
      <x:c r="BH505" s="3" t="str">
        <x:f>IF(AND('中古車掲載'!C506="One2car",'中古車掲載'!F506="DOLPHIN",'中古車掲載'!L506="STANDARD RANGE",'中古車掲載'!J506=2023,ISNUMBER('中古車掲載'!N506),'中古車掲載'!N506&gt;=20000,'中古車掲載'!O506&lt;=100000,'中古車掲載'!AL506=1),'中古車掲載'!U506,"")</x:f>
      </x:c>
      <x:c r="BI505" s="3" t="str">
        <x:v>Taladrod|Fortuner|ICE|Unknown</x:v>
      </x:c>
      <x:c r="BJ505" s="3" t="n">
        <x:v>506</x:v>
      </x:c>
      <x:c r="BK505" s="3" t="n">
        <x:f>'中古車掲載'!AM506</x:f>
        <x:v>825000</x:v>
      </x:c>
      <x:c r="BL505" s="3" t="str">
        <x:f>IF(ISNUMBER('中古車掲載'!AN506),'中古車掲載'!AN506,"")</x:f>
      </x:c>
      <x:c r="BM505" s="3"/>
      <x:c r="BN505" s="3"/>
      <x:c r="BO505" s="3"/>
      <x:c r="BP505" s="3"/>
      <x:c r="BQ505" s="3"/>
      <x:c r="BR505" s="3"/>
    </x:row>
    <x:row r="506" ht="22" customHeight="1">
      <x:c r="A506" s="3" t="str">
        <x:v>Fortuner</x:v>
      </x:c>
      <x:c r="B506" s="3" t="str">
        <x:v>ICE</x:v>
      </x:c>
      <x:c r="C506" s="3" t="str">
        <x:v>Taladrod</x:v>
      </x:c>
      <x:c r="D506" s="3" t="str">
        <x:v>SUV</x:v>
      </x:c>
      <x:c r="E506" s="3" t="str"/>
      <x:c r="F506" s="3" t="n">
        <x:v>2023</x:v>
      </x:c>
      <x:c r="G506" s="3" t="str">
        <x:v>2.4 G LEADER</x:v>
      </x:c>
      <x:c r="H506" s="3" t="str">
        <x:v>未掲載</x:v>
      </x:c>
      <x:c r="I506" s="3" t="str">
        <x:v>15-ปัจจุบัน</x:v>
      </x:c>
      <x:c r="J506" s="22" t="n">
        <x:f>COUNT('中古車掲載'!AM606:AM610)</x:f>
        <x:v>5</x:v>
      </x:c>
      <x:c r="K506" s="22" t="n">
        <x:f>IF(COUNT('中古車掲載'!AM606:AM610)=0,"",QUARTILE('中古車掲載'!AM606:AM610,1))</x:f>
        <x:v>844000</x:v>
      </x:c>
      <x:c r="L506" s="22" t="n">
        <x:f>IF(COUNT('中古車掲載'!AM606:AM610)=0,"",MEDIAN('中古車掲載'!AM606:AM610))</x:f>
        <x:v>849000</x:v>
      </x:c>
      <x:c r="M506" s="22" t="n">
        <x:f>IF(COUNT('中古車掲載'!AM606:AM610)=0,"",QUARTILE('中古車掲載'!AM606:AM610,3))</x:f>
        <x:v>899000</x:v>
      </x:c>
      <x:c r="N506" s="22" t="n">
        <x:f>COUNT('中古車掲載'!AN606:AN610)</x:f>
        <x:v>0</x:v>
      </x:c>
      <x:c r="O506" s="23" t="str">
        <x:f>IF(COUNT('中古車掲載'!AN606:AN610)=0,"",MEDIAN('中古車掲載'!AN606:AN610))</x:f>
      </x:c>
      <x:c r="P506" s="3"/>
      <x:c r="Q506" s="3"/>
      <x:c r="R506" s="3"/>
      <x:c r="S506" s="3"/>
      <x:c r="T506" s="3"/>
      <x:c r="U506" s="3"/>
      <x:c r="V506" s="3"/>
      <x:c r="W506" s="3"/>
      <x:c r="X506" s="3"/>
      <x:c r="Y506" s="3"/>
      <x:c r="Z506" s="3"/>
      <x:c r="AA506" s="3"/>
      <x:c r="AB506" s="3"/>
      <x:c r="AC506" s="3"/>
      <x:c r="AD506" s="3"/>
      <x:c r="AE506" s="3"/>
      <x:c r="AF506" s="3"/>
      <x:c r="AG506" s="3"/>
      <x:c r="AH506" s="3"/>
      <x:c r="AI506" s="3"/>
      <x:c r="AJ506" s="3"/>
      <x:c r="AK506" s="3"/>
      <x:c r="AL506" s="3"/>
      <x:c r="AM506" s="3"/>
      <x:c r="AN506" s="3"/>
      <x:c r="AO506" s="3"/>
      <x:c r="AP506" s="3"/>
      <x:c r="AQ506" s="3"/>
      <x:c r="AR506" s="3"/>
      <x:c r="AS506" s="3"/>
      <x:c r="AT506" s="3"/>
      <x:c r="AU506" s="3"/>
      <x:c r="AV506" s="3"/>
      <x:c r="AW506" s="3"/>
      <x:c r="AX506" s="3"/>
      <x:c r="AY506" s="3"/>
      <x:c r="AZ506" s="3" t="str">
        <x:f>IF(AND('中古車掲載'!C507="One2car",'中古車掲載'!F507="ATTO 3",'中古車掲載'!L507="EXTENDED RANGE",'中古車掲載'!J507=2023,ISNUMBER('中古車掲載'!N507),'中古車掲載'!N507&gt;=20000,'中古車掲載'!O507&lt;=100000,'中古車掲載'!AL507=1),'中古車掲載'!U507,"")</x:f>
      </x:c>
      <x:c r="BA506" s="3" t="str">
        <x:f>IF(AND('中古車掲載'!C507="One2car",'中古車掲載'!F507="Corolla Cross",'中古車掲載'!L507="HEV PREMIUM SAFETY",'中古車掲載'!J507=2023,ISNUMBER('中古車掲載'!N507),'中古車掲載'!N507&gt;=20000,'中古車掲載'!O507&lt;=100000,'中古車掲載'!AL507=1,'中古車掲載'!Z507="https://www.one2car.com/en/cars-for-sale/toyota/corolla-cross/year-2023"),'中古車掲載'!U507,"")</x:f>
      </x:c>
      <x:c r="BB506" s="3" t="str">
        <x:f>IF(AND('中古車掲載'!C507="One2car",'中古車掲載'!F507="ATTO 3",'中古車掲載'!L507="EXTENDED RANGE",'中古車掲載'!J507=2023,ISNUMBER('中古車掲載'!N507),'中古車掲載'!N507&gt;=50000,'中古車掲載'!O507&lt;=100000,'中古車掲載'!AL507=1),'中古車掲載'!U507,"")</x:f>
      </x:c>
      <x:c r="BC506" s="3" t="str">
        <x:f>IF(AND('中古車掲載'!C507="One2car",'中古車掲載'!F507="Corolla Cross",'中古車掲載'!L507="HEV PREMIUM SAFETY",'中古車掲載'!J507=2023,ISNUMBER('中古車掲載'!N507),'中古車掲載'!N507&gt;=50000,'中古車掲載'!O507&lt;=100000,'中古車掲載'!AL507=1,'中古車掲載'!Z507="https://www.one2car.com/en/cars-for-sale/toyota/corolla-cross/year-2023"),'中古車掲載'!U507,"")</x:f>
      </x:c>
      <x:c r="BD506" s="3" t="str">
        <x:f>IF(AND('中古車掲載'!C507="One2car",'中古車掲載'!F507="ATTO 3",'中古車掲載'!L507="EXTENDED RANGE",'中古車掲載'!J507=2023,ISNUMBER('中古車掲載'!N507),'中古車掲載'!N507&gt;=20000,'中古車掲載'!O507&lt;=50000,'中古車掲載'!AL507=1),'中古車掲載'!U507,"")</x:f>
      </x:c>
      <x:c r="BE506" s="3" t="str">
        <x:f>IF(AND('中古車掲載'!C507="One2car",'中古車掲載'!F507="Corolla Cross",'中古車掲載'!L507="HEV PREMIUM SAFETY",'中古車掲載'!J507=2023,ISNUMBER('中古車掲載'!N507),'中古車掲載'!N507&gt;=20000,'中古車掲載'!O507&lt;=50000,'中古車掲載'!AL507=1,'中古車掲載'!Z507="https://www.one2car.com/en/cars-for-sale/toyota/corolla-cross/year-2023"),'中古車掲載'!U507,"")</x:f>
      </x:c>
      <x:c r="BF506" s="3" t="str">
        <x:f>IF(AND('中古車掲載'!C507="One2car",'中古車掲載'!F507="Corolla Cross",'中古車掲載'!L507="HEV PREMIUM",'中古車掲載'!J507=2023,ISNUMBER('中古車掲載'!N507),'中古車掲載'!N507&gt;=20000,'中古車掲載'!O507&lt;=100000,'中古車掲載'!AL507=1,'中古車掲載'!Z507="https://www.one2car.com/en/cars-for-sale/toyota/corolla-cross/year-2023"),'中古車掲載'!U507,"")</x:f>
      </x:c>
      <x:c r="BG506" s="3" t="str">
        <x:f>IF(AND('中古車掲載'!C507="One2car",'中古車掲載'!F507="Corolla Cross",'中古車掲載'!L507="HEV GR SPORT",'中古車掲載'!J507=2023,ISNUMBER('中古車掲載'!N507),'中古車掲載'!N507&gt;=20000,'中古車掲載'!O507&lt;=100000,'中古車掲載'!AL507=1,'中古車掲載'!Z507="https://www.one2car.com/en/cars-for-sale/toyota/corolla-cross/year-2023"),'中古車掲載'!U507,"")</x:f>
      </x:c>
      <x:c r="BH506" s="3" t="str">
        <x:f>IF(AND('中古車掲載'!C507="One2car",'中古車掲載'!F507="DOLPHIN",'中古車掲載'!L507="STANDARD RANGE",'中古車掲載'!J507=2023,ISNUMBER('中古車掲載'!N507),'中古車掲載'!N507&gt;=20000,'中古車掲載'!O507&lt;=100000,'中古車掲載'!AL507=1),'中古車掲載'!U507,"")</x:f>
      </x:c>
      <x:c r="BI506" s="3" t="str">
        <x:v>Taladrod|Fortuner|ICE|Unknown</x:v>
      </x:c>
      <x:c r="BJ506" s="3" t="n">
        <x:v>507</x:v>
      </x:c>
      <x:c r="BK506" s="3" t="n">
        <x:f>'中古車掲載'!AM507</x:f>
        <x:v>909000</x:v>
      </x:c>
      <x:c r="BL506" s="3" t="str">
        <x:f>IF(ISNUMBER('中古車掲載'!AN507),'中古車掲載'!AN507,"")</x:f>
      </x:c>
      <x:c r="BM506" s="3"/>
      <x:c r="BN506" s="3"/>
      <x:c r="BO506" s="3"/>
      <x:c r="BP506" s="3"/>
      <x:c r="BQ506" s="3"/>
      <x:c r="BR506" s="3"/>
    </x:row>
    <x:row r="507" ht="22" customHeight="1">
      <x:c r="A507" s="3" t="str">
        <x:v>Fortuner</x:v>
      </x:c>
      <x:c r="B507" s="3" t="str">
        <x:v>ICE</x:v>
      </x:c>
      <x:c r="C507" s="3" t="str">
        <x:v>Taladrod</x:v>
      </x:c>
      <x:c r="D507" s="3" t="str">
        <x:v>SUV</x:v>
      </x:c>
      <x:c r="E507" s="3" t="str"/>
      <x:c r="F507" s="3" t="n">
        <x:v>2023</x:v>
      </x:c>
      <x:c r="G507" s="3" t="str">
        <x:v>2.4 LEGENDER</x:v>
      </x:c>
      <x:c r="H507" s="3" t="str">
        <x:v>未掲載</x:v>
      </x:c>
      <x:c r="I507" s="3" t="str">
        <x:v>15-ปัจจุบัน</x:v>
      </x:c>
      <x:c r="J507" s="22" t="n">
        <x:f>COUNT('中古車掲載'!AM611:AM611)</x:f>
        <x:v>1</x:v>
      </x:c>
      <x:c r="K507" s="22" t="n">
        <x:f>IF(COUNT('中古車掲載'!AM611:AM611)=0,"",QUARTILE('中古車掲載'!AM611:AM611,1))</x:f>
        <x:v>888000</x:v>
      </x:c>
      <x:c r="L507" s="22" t="n">
        <x:f>IF(COUNT('中古車掲載'!AM611:AM611)=0,"",MEDIAN('中古車掲載'!AM611:AM611))</x:f>
        <x:v>888000</x:v>
      </x:c>
      <x:c r="M507" s="22" t="n">
        <x:f>IF(COUNT('中古車掲載'!AM611:AM611)=0,"",QUARTILE('中古車掲載'!AM611:AM611,3))</x:f>
        <x:v>888000</x:v>
      </x:c>
      <x:c r="N507" s="22" t="n">
        <x:f>COUNT('中古車掲載'!AN611:AN611)</x:f>
        <x:v>0</x:v>
      </x:c>
      <x:c r="O507" s="23" t="str">
        <x:f>IF(COUNT('中古車掲載'!AN611:AN611)=0,"",MEDIAN('中古車掲載'!AN611:AN611))</x:f>
      </x:c>
      <x:c r="P507" s="3"/>
      <x:c r="Q507" s="3"/>
      <x:c r="R507" s="3"/>
      <x:c r="S507" s="3"/>
      <x:c r="T507" s="3"/>
      <x:c r="U507" s="3"/>
      <x:c r="V507" s="3"/>
      <x:c r="W507" s="3"/>
      <x:c r="X507" s="3"/>
      <x:c r="Y507" s="3"/>
      <x:c r="Z507" s="3"/>
      <x:c r="AA507" s="3"/>
      <x:c r="AB507" s="3"/>
      <x:c r="AC507" s="3"/>
      <x:c r="AD507" s="3"/>
      <x:c r="AE507" s="3"/>
      <x:c r="AF507" s="3"/>
      <x:c r="AG507" s="3"/>
      <x:c r="AH507" s="3"/>
      <x:c r="AI507" s="3"/>
      <x:c r="AJ507" s="3"/>
      <x:c r="AK507" s="3"/>
      <x:c r="AL507" s="3"/>
      <x:c r="AM507" s="3"/>
      <x:c r="AN507" s="3"/>
      <x:c r="AO507" s="3"/>
      <x:c r="AP507" s="3"/>
      <x:c r="AQ507" s="3"/>
      <x:c r="AR507" s="3"/>
      <x:c r="AS507" s="3"/>
      <x:c r="AT507" s="3"/>
      <x:c r="AU507" s="3"/>
      <x:c r="AV507" s="3"/>
      <x:c r="AW507" s="3"/>
      <x:c r="AX507" s="3"/>
      <x:c r="AY507" s="3"/>
      <x:c r="AZ507" s="3" t="str">
        <x:f>IF(AND('中古車掲載'!C508="One2car",'中古車掲載'!F508="ATTO 3",'中古車掲載'!L508="EXTENDED RANGE",'中古車掲載'!J508=2023,ISNUMBER('中古車掲載'!N508),'中古車掲載'!N508&gt;=20000,'中古車掲載'!O508&lt;=100000,'中古車掲載'!AL508=1),'中古車掲載'!U508,"")</x:f>
      </x:c>
      <x:c r="BA507" s="3" t="str">
        <x:f>IF(AND('中古車掲載'!C508="One2car",'中古車掲載'!F508="Corolla Cross",'中古車掲載'!L508="HEV PREMIUM SAFETY",'中古車掲載'!J508=2023,ISNUMBER('中古車掲載'!N508),'中古車掲載'!N508&gt;=20000,'中古車掲載'!O508&lt;=100000,'中古車掲載'!AL508=1,'中古車掲載'!Z508="https://www.one2car.com/en/cars-for-sale/toyota/corolla-cross/year-2023"),'中古車掲載'!U508,"")</x:f>
      </x:c>
      <x:c r="BB507" s="3" t="str">
        <x:f>IF(AND('中古車掲載'!C508="One2car",'中古車掲載'!F508="ATTO 3",'中古車掲載'!L508="EXTENDED RANGE",'中古車掲載'!J508=2023,ISNUMBER('中古車掲載'!N508),'中古車掲載'!N508&gt;=50000,'中古車掲載'!O508&lt;=100000,'中古車掲載'!AL508=1),'中古車掲載'!U508,"")</x:f>
      </x:c>
      <x:c r="BC507" s="3" t="str">
        <x:f>IF(AND('中古車掲載'!C508="One2car",'中古車掲載'!F508="Corolla Cross",'中古車掲載'!L508="HEV PREMIUM SAFETY",'中古車掲載'!J508=2023,ISNUMBER('中古車掲載'!N508),'中古車掲載'!N508&gt;=50000,'中古車掲載'!O508&lt;=100000,'中古車掲載'!AL508=1,'中古車掲載'!Z508="https://www.one2car.com/en/cars-for-sale/toyota/corolla-cross/year-2023"),'中古車掲載'!U508,"")</x:f>
      </x:c>
      <x:c r="BD507" s="3" t="str">
        <x:f>IF(AND('中古車掲載'!C508="One2car",'中古車掲載'!F508="ATTO 3",'中古車掲載'!L508="EXTENDED RANGE",'中古車掲載'!J508=2023,ISNUMBER('中古車掲載'!N508),'中古車掲載'!N508&gt;=20000,'中古車掲載'!O508&lt;=50000,'中古車掲載'!AL508=1),'中古車掲載'!U508,"")</x:f>
      </x:c>
      <x:c r="BE507" s="3" t="str">
        <x:f>IF(AND('中古車掲載'!C508="One2car",'中古車掲載'!F508="Corolla Cross",'中古車掲載'!L508="HEV PREMIUM SAFETY",'中古車掲載'!J508=2023,ISNUMBER('中古車掲載'!N508),'中古車掲載'!N508&gt;=20000,'中古車掲載'!O508&lt;=50000,'中古車掲載'!AL508=1,'中古車掲載'!Z508="https://www.one2car.com/en/cars-for-sale/toyota/corolla-cross/year-2023"),'中古車掲載'!U508,"")</x:f>
      </x:c>
      <x:c r="BF507" s="3" t="str">
        <x:f>IF(AND('中古車掲載'!C508="One2car",'中古車掲載'!F508="Corolla Cross",'中古車掲載'!L508="HEV PREMIUM",'中古車掲載'!J508=2023,ISNUMBER('中古車掲載'!N508),'中古車掲載'!N508&gt;=20000,'中古車掲載'!O508&lt;=100000,'中古車掲載'!AL508=1,'中古車掲載'!Z508="https://www.one2car.com/en/cars-for-sale/toyota/corolla-cross/year-2023"),'中古車掲載'!U508,"")</x:f>
      </x:c>
      <x:c r="BG507" s="3" t="str">
        <x:f>IF(AND('中古車掲載'!C508="One2car",'中古車掲載'!F508="Corolla Cross",'中古車掲載'!L508="HEV GR SPORT",'中古車掲載'!J508=2023,ISNUMBER('中古車掲載'!N508),'中古車掲載'!N508&gt;=20000,'中古車掲載'!O508&lt;=100000,'中古車掲載'!AL508=1,'中古車掲載'!Z508="https://www.one2car.com/en/cars-for-sale/toyota/corolla-cross/year-2023"),'中古車掲載'!U508,"")</x:f>
      </x:c>
      <x:c r="BH507" s="3" t="str">
        <x:f>IF(AND('中古車掲載'!C508="One2car",'中古車掲載'!F508="DOLPHIN",'中古車掲載'!L508="STANDARD RANGE",'中古車掲載'!J508=2023,ISNUMBER('中古車掲載'!N508),'中古車掲載'!N508&gt;=20000,'中古車掲載'!O508&lt;=100000,'中古車掲載'!AL508=1),'中古車掲載'!U508,"")</x:f>
      </x:c>
      <x:c r="BI507" s="3" t="str">
        <x:v>Taladrod|Fortuner|ICE|Unknown</x:v>
      </x:c>
      <x:c r="BJ507" s="3" t="n">
        <x:v>508</x:v>
      </x:c>
      <x:c r="BK507" s="3" t="n">
        <x:f>'中古車掲載'!AM508</x:f>
        <x:v>879000</x:v>
      </x:c>
      <x:c r="BL507" s="3" t="str">
        <x:f>IF(ISNUMBER('中古車掲載'!AN508),'中古車掲載'!AN508,"")</x:f>
      </x:c>
      <x:c r="BM507" s="3"/>
      <x:c r="BN507" s="3"/>
      <x:c r="BO507" s="3"/>
      <x:c r="BP507" s="3"/>
      <x:c r="BQ507" s="3"/>
      <x:c r="BR507" s="3"/>
    </x:row>
    <x:row r="508" ht="22" customHeight="1">
      <x:c r="A508" s="3" t="str">
        <x:v>Fortuner</x:v>
      </x:c>
      <x:c r="B508" s="3" t="str">
        <x:v>ICE</x:v>
      </x:c>
      <x:c r="C508" s="3" t="str">
        <x:v>Taladrod</x:v>
      </x:c>
      <x:c r="D508" s="3" t="str">
        <x:v>SUV</x:v>
      </x:c>
      <x:c r="E508" s="3" t="str"/>
      <x:c r="F508" s="3" t="n">
        <x:v>2023</x:v>
      </x:c>
      <x:c r="G508" s="3" t="str">
        <x:v>2.4 LEGENDER BLACK TOP</x:v>
      </x:c>
      <x:c r="H508" s="3" t="str">
        <x:v>未掲載</x:v>
      </x:c>
      <x:c r="I508" s="3" t="str">
        <x:v>15-ปัจจุบัน</x:v>
      </x:c>
      <x:c r="J508" s="22" t="n">
        <x:f>COUNT('中古車掲載'!AM612:AM613)</x:f>
        <x:v>2</x:v>
      </x:c>
      <x:c r="K508" s="22" t="n">
        <x:f>IF(COUNT('中古車掲載'!AM612:AM613)=0,"",QUARTILE('中古車掲載'!AM612:AM613,1))</x:f>
        <x:v>940750</x:v>
      </x:c>
      <x:c r="L508" s="22" t="n">
        <x:f>IF(COUNT('中古車掲載'!AM612:AM613)=0,"",MEDIAN('中古車掲載'!AM612:AM613))</x:f>
        <x:v>953500</x:v>
      </x:c>
      <x:c r="M508" s="22" t="n">
        <x:f>IF(COUNT('中古車掲載'!AM612:AM613)=0,"",QUARTILE('中古車掲載'!AM612:AM613,3))</x:f>
        <x:v>966250</x:v>
      </x:c>
      <x:c r="N508" s="22" t="n">
        <x:f>COUNT('中古車掲載'!AN612:AN613)</x:f>
        <x:v>0</x:v>
      </x:c>
      <x:c r="O508" s="23" t="str">
        <x:f>IF(COUNT('中古車掲載'!AN612:AN613)=0,"",MEDIAN('中古車掲載'!AN612:AN613))</x:f>
      </x:c>
      <x:c r="P508" s="3"/>
      <x:c r="Q508" s="3"/>
      <x:c r="R508" s="3"/>
      <x:c r="S508" s="3"/>
      <x:c r="T508" s="3"/>
      <x:c r="U508" s="3"/>
      <x:c r="V508" s="3"/>
      <x:c r="W508" s="3"/>
      <x:c r="X508" s="3"/>
      <x:c r="Y508" s="3"/>
      <x:c r="Z508" s="3"/>
      <x:c r="AA508" s="3"/>
      <x:c r="AB508" s="3"/>
      <x:c r="AC508" s="3"/>
      <x:c r="AD508" s="3"/>
      <x:c r="AE508" s="3"/>
      <x:c r="AF508" s="3"/>
      <x:c r="AG508" s="3"/>
      <x:c r="AH508" s="3"/>
      <x:c r="AI508" s="3"/>
      <x:c r="AJ508" s="3"/>
      <x:c r="AK508" s="3"/>
      <x:c r="AL508" s="3"/>
      <x:c r="AM508" s="3"/>
      <x:c r="AN508" s="3"/>
      <x:c r="AO508" s="3"/>
      <x:c r="AP508" s="3"/>
      <x:c r="AQ508" s="3"/>
      <x:c r="AR508" s="3"/>
      <x:c r="AS508" s="3"/>
      <x:c r="AT508" s="3"/>
      <x:c r="AU508" s="3"/>
      <x:c r="AV508" s="3"/>
      <x:c r="AW508" s="3"/>
      <x:c r="AX508" s="3"/>
      <x:c r="AY508" s="3"/>
      <x:c r="AZ508" s="3" t="str">
        <x:f>IF(AND('中古車掲載'!C509="One2car",'中古車掲載'!F509="ATTO 3",'中古車掲載'!L509="EXTENDED RANGE",'中古車掲載'!J509=2023,ISNUMBER('中古車掲載'!N509),'中古車掲載'!N509&gt;=20000,'中古車掲載'!O509&lt;=100000,'中古車掲載'!AL509=1),'中古車掲載'!U509,"")</x:f>
      </x:c>
      <x:c r="BA508" s="3" t="str">
        <x:f>IF(AND('中古車掲載'!C509="One2car",'中古車掲載'!F509="Corolla Cross",'中古車掲載'!L509="HEV PREMIUM SAFETY",'中古車掲載'!J509=2023,ISNUMBER('中古車掲載'!N509),'中古車掲載'!N509&gt;=20000,'中古車掲載'!O509&lt;=100000,'中古車掲載'!AL509=1,'中古車掲載'!Z509="https://www.one2car.com/en/cars-for-sale/toyota/corolla-cross/year-2023"),'中古車掲載'!U509,"")</x:f>
      </x:c>
      <x:c r="BB508" s="3" t="str">
        <x:f>IF(AND('中古車掲載'!C509="One2car",'中古車掲載'!F509="ATTO 3",'中古車掲載'!L509="EXTENDED RANGE",'中古車掲載'!J509=2023,ISNUMBER('中古車掲載'!N509),'中古車掲載'!N509&gt;=50000,'中古車掲載'!O509&lt;=100000,'中古車掲載'!AL509=1),'中古車掲載'!U509,"")</x:f>
      </x:c>
      <x:c r="BC508" s="3" t="str">
        <x:f>IF(AND('中古車掲載'!C509="One2car",'中古車掲載'!F509="Corolla Cross",'中古車掲載'!L509="HEV PREMIUM SAFETY",'中古車掲載'!J509=2023,ISNUMBER('中古車掲載'!N509),'中古車掲載'!N509&gt;=50000,'中古車掲載'!O509&lt;=100000,'中古車掲載'!AL509=1,'中古車掲載'!Z509="https://www.one2car.com/en/cars-for-sale/toyota/corolla-cross/year-2023"),'中古車掲載'!U509,"")</x:f>
      </x:c>
      <x:c r="BD508" s="3" t="str">
        <x:f>IF(AND('中古車掲載'!C509="One2car",'中古車掲載'!F509="ATTO 3",'中古車掲載'!L509="EXTENDED RANGE",'中古車掲載'!J509=2023,ISNUMBER('中古車掲載'!N509),'中古車掲載'!N509&gt;=20000,'中古車掲載'!O509&lt;=50000,'中古車掲載'!AL509=1),'中古車掲載'!U509,"")</x:f>
      </x:c>
      <x:c r="BE508" s="3" t="str">
        <x:f>IF(AND('中古車掲載'!C509="One2car",'中古車掲載'!F509="Corolla Cross",'中古車掲載'!L509="HEV PREMIUM SAFETY",'中古車掲載'!J509=2023,ISNUMBER('中古車掲載'!N509),'中古車掲載'!N509&gt;=20000,'中古車掲載'!O509&lt;=50000,'中古車掲載'!AL509=1,'中古車掲載'!Z509="https://www.one2car.com/en/cars-for-sale/toyota/corolla-cross/year-2023"),'中古車掲載'!U509,"")</x:f>
      </x:c>
      <x:c r="BF508" s="3" t="str">
        <x:f>IF(AND('中古車掲載'!C509="One2car",'中古車掲載'!F509="Corolla Cross",'中古車掲載'!L509="HEV PREMIUM",'中古車掲載'!J509=2023,ISNUMBER('中古車掲載'!N509),'中古車掲載'!N509&gt;=20000,'中古車掲載'!O509&lt;=100000,'中古車掲載'!AL509=1,'中古車掲載'!Z509="https://www.one2car.com/en/cars-for-sale/toyota/corolla-cross/year-2023"),'中古車掲載'!U509,"")</x:f>
      </x:c>
      <x:c r="BG508" s="3" t="str">
        <x:f>IF(AND('中古車掲載'!C509="One2car",'中古車掲載'!F509="Corolla Cross",'中古車掲載'!L509="HEV GR SPORT",'中古車掲載'!J509=2023,ISNUMBER('中古車掲載'!N509),'中古車掲載'!N509&gt;=20000,'中古車掲載'!O509&lt;=100000,'中古車掲載'!AL509=1,'中古車掲載'!Z509="https://www.one2car.com/en/cars-for-sale/toyota/corolla-cross/year-2023"),'中古車掲載'!U509,"")</x:f>
      </x:c>
      <x:c r="BH508" s="3" t="str">
        <x:f>IF(AND('中古車掲載'!C509="One2car",'中古車掲載'!F509="DOLPHIN",'中古車掲載'!L509="STANDARD RANGE",'中古車掲載'!J509=2023,ISNUMBER('中古車掲載'!N509),'中古車掲載'!N509&gt;=20000,'中古車掲載'!O509&lt;=100000,'中古車掲載'!AL509=1),'中古車掲載'!U509,"")</x:f>
      </x:c>
      <x:c r="BI508" s="3" t="str">
        <x:v>Taladrod|Fortuner|ICE|Unknown</x:v>
      </x:c>
      <x:c r="BJ508" s="3" t="n">
        <x:v>509</x:v>
      </x:c>
      <x:c r="BK508" s="3" t="n">
        <x:f>'中古車掲載'!AM509</x:f>
        <x:v>859000</x:v>
      </x:c>
      <x:c r="BL508" s="3" t="str">
        <x:f>IF(ISNUMBER('中古車掲載'!AN509),'中古車掲載'!AN509,"")</x:f>
      </x:c>
      <x:c r="BM508" s="3"/>
      <x:c r="BN508" s="3"/>
      <x:c r="BO508" s="3"/>
      <x:c r="BP508" s="3"/>
      <x:c r="BQ508" s="3"/>
      <x:c r="BR508" s="3"/>
    </x:row>
    <x:row r="509" ht="22" customHeight="1">
      <x:c r="A509" s="3" t="str">
        <x:v>Fortuner</x:v>
      </x:c>
      <x:c r="B509" s="3" t="str">
        <x:v>ICE</x:v>
      </x:c>
      <x:c r="C509" s="3" t="str">
        <x:v>Taladrod</x:v>
      </x:c>
      <x:c r="D509" s="3" t="str">
        <x:v>SUV</x:v>
      </x:c>
      <x:c r="E509" s="3" t="str"/>
      <x:c r="F509" s="3" t="n">
        <x:v>2023</x:v>
      </x:c>
      <x:c r="G509" s="3" t="str">
        <x:v>2.4 V LEADER</x:v>
      </x:c>
      <x:c r="H509" s="3" t="str">
        <x:v>未掲載</x:v>
      </x:c>
      <x:c r="I509" s="3" t="str">
        <x:v>15-ปัจจุบัน</x:v>
      </x:c>
      <x:c r="J509" s="22" t="n">
        <x:f>COUNT('中古車掲載'!AM614:AM619)</x:f>
        <x:v>6</x:v>
      </x:c>
      <x:c r="K509" s="22" t="n">
        <x:f>IF(COUNT('中古車掲載'!AM614:AM619)=0,"",QUARTILE('中古車掲載'!AM614:AM619,1))</x:f>
        <x:v>951500</x:v>
      </x:c>
      <x:c r="L509" s="22" t="n">
        <x:f>IF(COUNT('中古車掲載'!AM614:AM619)=0,"",MEDIAN('中古車掲載'!AM614:AM619))</x:f>
        <x:v>979000</x:v>
      </x:c>
      <x:c r="M509" s="22" t="n">
        <x:f>IF(COUNT('中古車掲載'!AM614:AM619)=0,"",QUARTILE('中古車掲載'!AM614:AM619,3))</x:f>
        <x:v>999000</x:v>
      </x:c>
      <x:c r="N509" s="22" t="n">
        <x:f>COUNT('中古車掲載'!AN614:AN619)</x:f>
        <x:v>0</x:v>
      </x:c>
      <x:c r="O509" s="23" t="str">
        <x:f>IF(COUNT('中古車掲載'!AN614:AN619)=0,"",MEDIAN('中古車掲載'!AN614:AN619))</x:f>
      </x:c>
      <x:c r="P509" s="3"/>
      <x:c r="Q509" s="3"/>
      <x:c r="R509" s="3"/>
      <x:c r="S509" s="3"/>
      <x:c r="T509" s="3"/>
      <x:c r="U509" s="3"/>
      <x:c r="V509" s="3"/>
      <x:c r="W509" s="3"/>
      <x:c r="X509" s="3"/>
      <x:c r="Y509" s="3"/>
      <x:c r="Z509" s="3"/>
      <x:c r="AA509" s="3"/>
      <x:c r="AB509" s="3"/>
      <x:c r="AC509" s="3"/>
      <x:c r="AD509" s="3"/>
      <x:c r="AE509" s="3"/>
      <x:c r="AF509" s="3"/>
      <x:c r="AG509" s="3"/>
      <x:c r="AH509" s="3"/>
      <x:c r="AI509" s="3"/>
      <x:c r="AJ509" s="3"/>
      <x:c r="AK509" s="3"/>
      <x:c r="AL509" s="3"/>
      <x:c r="AM509" s="3"/>
      <x:c r="AN509" s="3"/>
      <x:c r="AO509" s="3"/>
      <x:c r="AP509" s="3"/>
      <x:c r="AQ509" s="3"/>
      <x:c r="AR509" s="3"/>
      <x:c r="AS509" s="3"/>
      <x:c r="AT509" s="3"/>
      <x:c r="AU509" s="3"/>
      <x:c r="AV509" s="3"/>
      <x:c r="AW509" s="3"/>
      <x:c r="AX509" s="3"/>
      <x:c r="AY509" s="3"/>
      <x:c r="AZ509" s="3" t="str">
        <x:f>IF(AND('中古車掲載'!C510="One2car",'中古車掲載'!F510="ATTO 3",'中古車掲載'!L510="EXTENDED RANGE",'中古車掲載'!J510=2023,ISNUMBER('中古車掲載'!N510),'中古車掲載'!N510&gt;=20000,'中古車掲載'!O510&lt;=100000,'中古車掲載'!AL510=1),'中古車掲載'!U510,"")</x:f>
      </x:c>
      <x:c r="BA509" s="3" t="str">
        <x:f>IF(AND('中古車掲載'!C510="One2car",'中古車掲載'!F510="Corolla Cross",'中古車掲載'!L510="HEV PREMIUM SAFETY",'中古車掲載'!J510=2023,ISNUMBER('中古車掲載'!N510),'中古車掲載'!N510&gt;=20000,'中古車掲載'!O510&lt;=100000,'中古車掲載'!AL510=1,'中古車掲載'!Z510="https://www.one2car.com/en/cars-for-sale/toyota/corolla-cross/year-2023"),'中古車掲載'!U510,"")</x:f>
      </x:c>
      <x:c r="BB509" s="3" t="str">
        <x:f>IF(AND('中古車掲載'!C510="One2car",'中古車掲載'!F510="ATTO 3",'中古車掲載'!L510="EXTENDED RANGE",'中古車掲載'!J510=2023,ISNUMBER('中古車掲載'!N510),'中古車掲載'!N510&gt;=50000,'中古車掲載'!O510&lt;=100000,'中古車掲載'!AL510=1),'中古車掲載'!U510,"")</x:f>
      </x:c>
      <x:c r="BC509" s="3" t="str">
        <x:f>IF(AND('中古車掲載'!C510="One2car",'中古車掲載'!F510="Corolla Cross",'中古車掲載'!L510="HEV PREMIUM SAFETY",'中古車掲載'!J510=2023,ISNUMBER('中古車掲載'!N510),'中古車掲載'!N510&gt;=50000,'中古車掲載'!O510&lt;=100000,'中古車掲載'!AL510=1,'中古車掲載'!Z510="https://www.one2car.com/en/cars-for-sale/toyota/corolla-cross/year-2023"),'中古車掲載'!U510,"")</x:f>
      </x:c>
      <x:c r="BD509" s="3" t="str">
        <x:f>IF(AND('中古車掲載'!C510="One2car",'中古車掲載'!F510="ATTO 3",'中古車掲載'!L510="EXTENDED RANGE",'中古車掲載'!J510=2023,ISNUMBER('中古車掲載'!N510),'中古車掲載'!N510&gt;=20000,'中古車掲載'!O510&lt;=50000,'中古車掲載'!AL510=1),'中古車掲載'!U510,"")</x:f>
      </x:c>
      <x:c r="BE509" s="3" t="str">
        <x:f>IF(AND('中古車掲載'!C510="One2car",'中古車掲載'!F510="Corolla Cross",'中古車掲載'!L510="HEV PREMIUM SAFETY",'中古車掲載'!J510=2023,ISNUMBER('中古車掲載'!N510),'中古車掲載'!N510&gt;=20000,'中古車掲載'!O510&lt;=50000,'中古車掲載'!AL510=1,'中古車掲載'!Z510="https://www.one2car.com/en/cars-for-sale/toyota/corolla-cross/year-2023"),'中古車掲載'!U510,"")</x:f>
      </x:c>
      <x:c r="BF509" s="3" t="str">
        <x:f>IF(AND('中古車掲載'!C510="One2car",'中古車掲載'!F510="Corolla Cross",'中古車掲載'!L510="HEV PREMIUM",'中古車掲載'!J510=2023,ISNUMBER('中古車掲載'!N510),'中古車掲載'!N510&gt;=20000,'中古車掲載'!O510&lt;=100000,'中古車掲載'!AL510=1,'中古車掲載'!Z510="https://www.one2car.com/en/cars-for-sale/toyota/corolla-cross/year-2023"),'中古車掲載'!U510,"")</x:f>
      </x:c>
      <x:c r="BG509" s="3" t="str">
        <x:f>IF(AND('中古車掲載'!C510="One2car",'中古車掲載'!F510="Corolla Cross",'中古車掲載'!L510="HEV GR SPORT",'中古車掲載'!J510=2023,ISNUMBER('中古車掲載'!N510),'中古車掲載'!N510&gt;=20000,'中古車掲載'!O510&lt;=100000,'中古車掲載'!AL510=1,'中古車掲載'!Z510="https://www.one2car.com/en/cars-for-sale/toyota/corolla-cross/year-2023"),'中古車掲載'!U510,"")</x:f>
      </x:c>
      <x:c r="BH509" s="3" t="str">
        <x:f>IF(AND('中古車掲載'!C510="One2car",'中古車掲載'!F510="DOLPHIN",'中古車掲載'!L510="STANDARD RANGE",'中古車掲載'!J510=2023,ISNUMBER('中古車掲載'!N510),'中古車掲載'!N510&gt;=20000,'中古車掲載'!O510&lt;=100000,'中古車掲載'!AL510=1),'中古車掲載'!U510,"")</x:f>
      </x:c>
      <x:c r="BI509" s="3" t="str">
        <x:v>Taladrod|Fortuner|ICE|Unknown</x:v>
      </x:c>
      <x:c r="BJ509" s="3" t="n">
        <x:v>510</x:v>
      </x:c>
      <x:c r="BK509" s="3" t="n">
        <x:f>'中古車掲載'!AM510</x:f>
        <x:v>779000</x:v>
      </x:c>
      <x:c r="BL509" s="3" t="str">
        <x:f>IF(ISNUMBER('中古車掲載'!AN510),'中古車掲載'!AN510,"")</x:f>
      </x:c>
      <x:c r="BM509" s="3"/>
      <x:c r="BN509" s="3"/>
      <x:c r="BO509" s="3"/>
      <x:c r="BP509" s="3"/>
      <x:c r="BQ509" s="3"/>
      <x:c r="BR509" s="3"/>
    </x:row>
    <x:row r="510" ht="22" customHeight="1">
      <x:c r="A510" s="3" t="str">
        <x:v>Fortuner</x:v>
      </x:c>
      <x:c r="B510" s="3" t="str">
        <x:v>ICE</x:v>
      </x:c>
      <x:c r="C510" s="3" t="str">
        <x:v>Taladrod</x:v>
      </x:c>
      <x:c r="D510" s="3" t="str">
        <x:v>SUV</x:v>
      </x:c>
      <x:c r="E510" s="3" t="str"/>
      <x:c r="F510" s="3" t="n">
        <x:v>2024</x:v>
      </x:c>
      <x:c r="G510" s="3" t="str">
        <x:v>2.4 G LEADER</x:v>
      </x:c>
      <x:c r="H510" s="3" t="str">
        <x:v>未掲載</x:v>
      </x:c>
      <x:c r="I510" s="3" t="str">
        <x:v>15-ปัจจุบัน</x:v>
      </x:c>
      <x:c r="J510" s="22" t="n">
        <x:f>COUNT('中古車掲載'!AM620:AM620)</x:f>
        <x:v>1</x:v>
      </x:c>
      <x:c r="K510" s="22" t="n">
        <x:f>IF(COUNT('中古車掲載'!AM620:AM620)=0,"",QUARTILE('中古車掲載'!AM620:AM620,1))</x:f>
        <x:v>979000</x:v>
      </x:c>
      <x:c r="L510" s="22" t="n">
        <x:f>IF(COUNT('中古車掲載'!AM620:AM620)=0,"",MEDIAN('中古車掲載'!AM620:AM620))</x:f>
        <x:v>979000</x:v>
      </x:c>
      <x:c r="M510" s="22" t="n">
        <x:f>IF(COUNT('中古車掲載'!AM620:AM620)=0,"",QUARTILE('中古車掲載'!AM620:AM620,3))</x:f>
        <x:v>979000</x:v>
      </x:c>
      <x:c r="N510" s="22" t="n">
        <x:f>COUNT('中古車掲載'!AN620:AN620)</x:f>
        <x:v>0</x:v>
      </x:c>
      <x:c r="O510" s="23" t="str">
        <x:f>IF(COUNT('中古車掲載'!AN620:AN620)=0,"",MEDIAN('中古車掲載'!AN620:AN620))</x:f>
      </x:c>
      <x:c r="P510" s="3"/>
      <x:c r="Q510" s="3"/>
      <x:c r="R510" s="3"/>
      <x:c r="S510" s="3"/>
      <x:c r="T510" s="3"/>
      <x:c r="U510" s="3"/>
      <x:c r="V510" s="3"/>
      <x:c r="W510" s="3"/>
      <x:c r="X510" s="3"/>
      <x:c r="Y510" s="3"/>
      <x:c r="Z510" s="3"/>
      <x:c r="AA510" s="3"/>
      <x:c r="AB510" s="3"/>
      <x:c r="AC510" s="3"/>
      <x:c r="AD510" s="3"/>
      <x:c r="AE510" s="3"/>
      <x:c r="AF510" s="3"/>
      <x:c r="AG510" s="3"/>
      <x:c r="AH510" s="3"/>
      <x:c r="AI510" s="3"/>
      <x:c r="AJ510" s="3"/>
      <x:c r="AK510" s="3"/>
      <x:c r="AL510" s="3"/>
      <x:c r="AM510" s="3"/>
      <x:c r="AN510" s="3"/>
      <x:c r="AO510" s="3"/>
      <x:c r="AP510" s="3"/>
      <x:c r="AQ510" s="3"/>
      <x:c r="AR510" s="3"/>
      <x:c r="AS510" s="3"/>
      <x:c r="AT510" s="3"/>
      <x:c r="AU510" s="3"/>
      <x:c r="AV510" s="3"/>
      <x:c r="AW510" s="3"/>
      <x:c r="AX510" s="3"/>
      <x:c r="AY510" s="3"/>
      <x:c r="AZ510" s="3" t="str">
        <x:f>IF(AND('中古車掲載'!C511="One2car",'中古車掲載'!F511="ATTO 3",'中古車掲載'!L511="EXTENDED RANGE",'中古車掲載'!J511=2023,ISNUMBER('中古車掲載'!N511),'中古車掲載'!N511&gt;=20000,'中古車掲載'!O511&lt;=100000,'中古車掲載'!AL511=1),'中古車掲載'!U511,"")</x:f>
      </x:c>
      <x:c r="BA510" s="3" t="str">
        <x:f>IF(AND('中古車掲載'!C511="One2car",'中古車掲載'!F511="Corolla Cross",'中古車掲載'!L511="HEV PREMIUM SAFETY",'中古車掲載'!J511=2023,ISNUMBER('中古車掲載'!N511),'中古車掲載'!N511&gt;=20000,'中古車掲載'!O511&lt;=100000,'中古車掲載'!AL511=1,'中古車掲載'!Z511="https://www.one2car.com/en/cars-for-sale/toyota/corolla-cross/year-2023"),'中古車掲載'!U511,"")</x:f>
      </x:c>
      <x:c r="BB510" s="3" t="str">
        <x:f>IF(AND('中古車掲載'!C511="One2car",'中古車掲載'!F511="ATTO 3",'中古車掲載'!L511="EXTENDED RANGE",'中古車掲載'!J511=2023,ISNUMBER('中古車掲載'!N511),'中古車掲載'!N511&gt;=50000,'中古車掲載'!O511&lt;=100000,'中古車掲載'!AL511=1),'中古車掲載'!U511,"")</x:f>
      </x:c>
      <x:c r="BC510" s="3" t="str">
        <x:f>IF(AND('中古車掲載'!C511="One2car",'中古車掲載'!F511="Corolla Cross",'中古車掲載'!L511="HEV PREMIUM SAFETY",'中古車掲載'!J511=2023,ISNUMBER('中古車掲載'!N511),'中古車掲載'!N511&gt;=50000,'中古車掲載'!O511&lt;=100000,'中古車掲載'!AL511=1,'中古車掲載'!Z511="https://www.one2car.com/en/cars-for-sale/toyota/corolla-cross/year-2023"),'中古車掲載'!U511,"")</x:f>
      </x:c>
      <x:c r="BD510" s="3" t="str">
        <x:f>IF(AND('中古車掲載'!C511="One2car",'中古車掲載'!F511="ATTO 3",'中古車掲載'!L511="EXTENDED RANGE",'中古車掲載'!J511=2023,ISNUMBER('中古車掲載'!N511),'中古車掲載'!N511&gt;=20000,'中古車掲載'!O511&lt;=50000,'中古車掲載'!AL511=1),'中古車掲載'!U511,"")</x:f>
      </x:c>
      <x:c r="BE510" s="3" t="str">
        <x:f>IF(AND('中古車掲載'!C511="One2car",'中古車掲載'!F511="Corolla Cross",'中古車掲載'!L511="HEV PREMIUM SAFETY",'中古車掲載'!J511=2023,ISNUMBER('中古車掲載'!N511),'中古車掲載'!N511&gt;=20000,'中古車掲載'!O511&lt;=50000,'中古車掲載'!AL511=1,'中古車掲載'!Z511="https://www.one2car.com/en/cars-for-sale/toyota/corolla-cross/year-2023"),'中古車掲載'!U511,"")</x:f>
      </x:c>
      <x:c r="BF510" s="3" t="str">
        <x:f>IF(AND('中古車掲載'!C511="One2car",'中古車掲載'!F511="Corolla Cross",'中古車掲載'!L511="HEV PREMIUM",'中古車掲載'!J511=2023,ISNUMBER('中古車掲載'!N511),'中古車掲載'!N511&gt;=20000,'中古車掲載'!O511&lt;=100000,'中古車掲載'!AL511=1,'中古車掲載'!Z511="https://www.one2car.com/en/cars-for-sale/toyota/corolla-cross/year-2023"),'中古車掲載'!U511,"")</x:f>
      </x:c>
      <x:c r="BG510" s="3" t="str">
        <x:f>IF(AND('中古車掲載'!C511="One2car",'中古車掲載'!F511="Corolla Cross",'中古車掲載'!L511="HEV GR SPORT",'中古車掲載'!J511=2023,ISNUMBER('中古車掲載'!N511),'中古車掲載'!N511&gt;=20000,'中古車掲載'!O511&lt;=100000,'中古車掲載'!AL511=1,'中古車掲載'!Z511="https://www.one2car.com/en/cars-for-sale/toyota/corolla-cross/year-2023"),'中古車掲載'!U511,"")</x:f>
      </x:c>
      <x:c r="BH510" s="3" t="str">
        <x:f>IF(AND('中古車掲載'!C511="One2car",'中古車掲載'!F511="DOLPHIN",'中古車掲載'!L511="STANDARD RANGE",'中古車掲載'!J511=2023,ISNUMBER('中古車掲載'!N511),'中古車掲載'!N511&gt;=20000,'中古車掲載'!O511&lt;=100000,'中古車掲載'!AL511=1),'中古車掲載'!U511,"")</x:f>
      </x:c>
      <x:c r="BI510" s="3" t="str">
        <x:v>Taladrod|Fortuner|ICE|Unknown</x:v>
      </x:c>
      <x:c r="BJ510" s="3" t="n">
        <x:v>511</x:v>
      </x:c>
      <x:c r="BK510" s="3" t="n">
        <x:f>'中古車掲載'!AM511</x:f>
        <x:v>779000</x:v>
      </x:c>
      <x:c r="BL510" s="3" t="str">
        <x:f>IF(ISNUMBER('中古車掲載'!AN511),'中古車掲載'!AN511,"")</x:f>
      </x:c>
      <x:c r="BM510" s="3"/>
      <x:c r="BN510" s="3"/>
      <x:c r="BO510" s="3"/>
      <x:c r="BP510" s="3"/>
      <x:c r="BQ510" s="3"/>
      <x:c r="BR510" s="3"/>
    </x:row>
    <x:row r="511" ht="22" customHeight="1">
      <x:c r="A511" s="3" t="str">
        <x:v>Fortuner</x:v>
      </x:c>
      <x:c r="B511" s="3" t="str">
        <x:v>ICE</x:v>
      </x:c>
      <x:c r="C511" s="3" t="str">
        <x:v>Taladrod</x:v>
      </x:c>
      <x:c r="D511" s="3" t="str">
        <x:v>SUV</x:v>
      </x:c>
      <x:c r="E511" s="3" t="str"/>
      <x:c r="F511" s="3" t="n">
        <x:v>2024</x:v>
      </x:c>
      <x:c r="G511" s="3" t="str">
        <x:v>2.4 V LEADER</x:v>
      </x:c>
      <x:c r="H511" s="3" t="str">
        <x:v>未掲載</x:v>
      </x:c>
      <x:c r="I511" s="3" t="str">
        <x:v>15-ปัจจุบัน</x:v>
      </x:c>
      <x:c r="J511" s="22" t="n">
        <x:f>COUNT('中古車掲載'!AM621:AM622)</x:f>
        <x:v>2</x:v>
      </x:c>
      <x:c r="K511" s="22" t="n">
        <x:f>IF(COUNT('中古車掲載'!AM621:AM622)=0,"",QUARTILE('中古車掲載'!AM621:AM622,1))</x:f>
        <x:v>999000</x:v>
      </x:c>
      <x:c r="L511" s="22" t="n">
        <x:f>IF(COUNT('中古車掲載'!AM621:AM622)=0,"",MEDIAN('中古車掲載'!AM621:AM622))</x:f>
        <x:v>999000</x:v>
      </x:c>
      <x:c r="M511" s="22" t="n">
        <x:f>IF(COUNT('中古車掲載'!AM621:AM622)=0,"",QUARTILE('中古車掲載'!AM621:AM622,3))</x:f>
        <x:v>999000</x:v>
      </x:c>
      <x:c r="N511" s="22" t="n">
        <x:f>COUNT('中古車掲載'!AN621:AN622)</x:f>
        <x:v>0</x:v>
      </x:c>
      <x:c r="O511" s="23" t="str">
        <x:f>IF(COUNT('中古車掲載'!AN621:AN622)=0,"",MEDIAN('中古車掲載'!AN621:AN622))</x:f>
      </x:c>
      <x:c r="P511" s="3"/>
      <x:c r="Q511" s="3"/>
      <x:c r="R511" s="3"/>
      <x:c r="S511" s="3"/>
      <x:c r="T511" s="3"/>
      <x:c r="U511" s="3"/>
      <x:c r="V511" s="3"/>
      <x:c r="W511" s="3"/>
      <x:c r="X511" s="3"/>
      <x:c r="Y511" s="3"/>
      <x:c r="Z511" s="3"/>
      <x:c r="AA511" s="3"/>
      <x:c r="AB511" s="3"/>
      <x:c r="AC511" s="3"/>
      <x:c r="AD511" s="3"/>
      <x:c r="AE511" s="3"/>
      <x:c r="AF511" s="3"/>
      <x:c r="AG511" s="3"/>
      <x:c r="AH511" s="3"/>
      <x:c r="AI511" s="3"/>
      <x:c r="AJ511" s="3"/>
      <x:c r="AK511" s="3"/>
      <x:c r="AL511" s="3"/>
      <x:c r="AM511" s="3"/>
      <x:c r="AN511" s="3"/>
      <x:c r="AO511" s="3"/>
      <x:c r="AP511" s="3"/>
      <x:c r="AQ511" s="3"/>
      <x:c r="AR511" s="3"/>
      <x:c r="AS511" s="3"/>
      <x:c r="AT511" s="3"/>
      <x:c r="AU511" s="3"/>
      <x:c r="AV511" s="3"/>
      <x:c r="AW511" s="3"/>
      <x:c r="AX511" s="3"/>
      <x:c r="AY511" s="3"/>
      <x:c r="AZ511" s="3" t="str">
        <x:f>IF(AND('中古車掲載'!C512="One2car",'中古車掲載'!F512="ATTO 3",'中古車掲載'!L512="EXTENDED RANGE",'中古車掲載'!J512=2023,ISNUMBER('中古車掲載'!N512),'中古車掲載'!N512&gt;=20000,'中古車掲載'!O512&lt;=100000,'中古車掲載'!AL512=1),'中古車掲載'!U512,"")</x:f>
      </x:c>
      <x:c r="BA511" s="3" t="str">
        <x:f>IF(AND('中古車掲載'!C512="One2car",'中古車掲載'!F512="Corolla Cross",'中古車掲載'!L512="HEV PREMIUM SAFETY",'中古車掲載'!J512=2023,ISNUMBER('中古車掲載'!N512),'中古車掲載'!N512&gt;=20000,'中古車掲載'!O512&lt;=100000,'中古車掲載'!AL512=1,'中古車掲載'!Z512="https://www.one2car.com/en/cars-for-sale/toyota/corolla-cross/year-2023"),'中古車掲載'!U512,"")</x:f>
      </x:c>
      <x:c r="BB511" s="3" t="str">
        <x:f>IF(AND('中古車掲載'!C512="One2car",'中古車掲載'!F512="ATTO 3",'中古車掲載'!L512="EXTENDED RANGE",'中古車掲載'!J512=2023,ISNUMBER('中古車掲載'!N512),'中古車掲載'!N512&gt;=50000,'中古車掲載'!O512&lt;=100000,'中古車掲載'!AL512=1),'中古車掲載'!U512,"")</x:f>
      </x:c>
      <x:c r="BC511" s="3" t="str">
        <x:f>IF(AND('中古車掲載'!C512="One2car",'中古車掲載'!F512="Corolla Cross",'中古車掲載'!L512="HEV PREMIUM SAFETY",'中古車掲載'!J512=2023,ISNUMBER('中古車掲載'!N512),'中古車掲載'!N512&gt;=50000,'中古車掲載'!O512&lt;=100000,'中古車掲載'!AL512=1,'中古車掲載'!Z512="https://www.one2car.com/en/cars-for-sale/toyota/corolla-cross/year-2023"),'中古車掲載'!U512,"")</x:f>
      </x:c>
      <x:c r="BD511" s="3" t="str">
        <x:f>IF(AND('中古車掲載'!C512="One2car",'中古車掲載'!F512="ATTO 3",'中古車掲載'!L512="EXTENDED RANGE",'中古車掲載'!J512=2023,ISNUMBER('中古車掲載'!N512),'中古車掲載'!N512&gt;=20000,'中古車掲載'!O512&lt;=50000,'中古車掲載'!AL512=1),'中古車掲載'!U512,"")</x:f>
      </x:c>
      <x:c r="BE511" s="3" t="str">
        <x:f>IF(AND('中古車掲載'!C512="One2car",'中古車掲載'!F512="Corolla Cross",'中古車掲載'!L512="HEV PREMIUM SAFETY",'中古車掲載'!J512=2023,ISNUMBER('中古車掲載'!N512),'中古車掲載'!N512&gt;=20000,'中古車掲載'!O512&lt;=50000,'中古車掲載'!AL512=1,'中古車掲載'!Z512="https://www.one2car.com/en/cars-for-sale/toyota/corolla-cross/year-2023"),'中古車掲載'!U512,"")</x:f>
      </x:c>
      <x:c r="BF511" s="3" t="str">
        <x:f>IF(AND('中古車掲載'!C512="One2car",'中古車掲載'!F512="Corolla Cross",'中古車掲載'!L512="HEV PREMIUM",'中古車掲載'!J512=2023,ISNUMBER('中古車掲載'!N512),'中古車掲載'!N512&gt;=20000,'中古車掲載'!O512&lt;=100000,'中古車掲載'!AL512=1,'中古車掲載'!Z512="https://www.one2car.com/en/cars-for-sale/toyota/corolla-cross/year-2023"),'中古車掲載'!U512,"")</x:f>
      </x:c>
      <x:c r="BG511" s="3" t="str">
        <x:f>IF(AND('中古車掲載'!C512="One2car",'中古車掲載'!F512="Corolla Cross",'中古車掲載'!L512="HEV GR SPORT",'中古車掲載'!J512=2023,ISNUMBER('中古車掲載'!N512),'中古車掲載'!N512&gt;=20000,'中古車掲載'!O512&lt;=100000,'中古車掲載'!AL512=1,'中古車掲載'!Z512="https://www.one2car.com/en/cars-for-sale/toyota/corolla-cross/year-2023"),'中古車掲載'!U512,"")</x:f>
      </x:c>
      <x:c r="BH511" s="3" t="str">
        <x:f>IF(AND('中古車掲載'!C512="One2car",'中古車掲載'!F512="DOLPHIN",'中古車掲載'!L512="STANDARD RANGE",'中古車掲載'!J512=2023,ISNUMBER('中古車掲載'!N512),'中古車掲載'!N512&gt;=20000,'中古車掲載'!O512&lt;=100000,'中古車掲載'!AL512=1),'中古車掲載'!U512,"")</x:f>
      </x:c>
      <x:c r="BI511" s="3" t="str">
        <x:v>Taladrod|Fortuner|ICE|Unknown</x:v>
      </x:c>
      <x:c r="BJ511" s="3" t="n">
        <x:v>512</x:v>
      </x:c>
      <x:c r="BK511" s="3" t="n">
        <x:f>'中古車掲載'!AM512</x:f>
        <x:v>779000</x:v>
      </x:c>
      <x:c r="BL511" s="3" t="str">
        <x:f>IF(ISNUMBER('中古車掲載'!AN512),'中古車掲載'!AN512,"")</x:f>
      </x:c>
      <x:c r="BM511" s="3"/>
      <x:c r="BN511" s="3"/>
      <x:c r="BO511" s="3"/>
      <x:c r="BP511" s="3"/>
      <x:c r="BQ511" s="3"/>
      <x:c r="BR511" s="3"/>
    </x:row>
    <x:row r="512" ht="22" customHeight="1">
      <x:c r="A512" s="3" t="str">
        <x:v>Fortuner</x:v>
      </x:c>
      <x:c r="B512" s="3" t="str">
        <x:v>ICE</x:v>
      </x:c>
      <x:c r="C512" s="3" t="str">
        <x:v>Taladrod</x:v>
      </x:c>
      <x:c r="D512" s="3" t="str">
        <x:v>SUV</x:v>
      </x:c>
      <x:c r="E512" s="3" t="str"/>
      <x:c r="F512" s="3" t="n">
        <x:v>2025</x:v>
      </x:c>
      <x:c r="G512" s="3" t="str">
        <x:v>2.4 S LEADER</x:v>
      </x:c>
      <x:c r="H512" s="3" t="str">
        <x:v>未掲載</x:v>
      </x:c>
      <x:c r="I512" s="3" t="str">
        <x:v>15-ปัจจุบัน</x:v>
      </x:c>
      <x:c r="J512" s="22" t="n">
        <x:f>COUNT('中古車掲載'!AM623:AM623)</x:f>
        <x:v>1</x:v>
      </x:c>
      <x:c r="K512" s="22" t="n">
        <x:f>IF(COUNT('中古車掲載'!AM623:AM623)=0,"",QUARTILE('中古車掲載'!AM623:AM623,1))</x:f>
        <x:v>979000</x:v>
      </x:c>
      <x:c r="L512" s="22" t="n">
        <x:f>IF(COUNT('中古車掲載'!AM623:AM623)=0,"",MEDIAN('中古車掲載'!AM623:AM623))</x:f>
        <x:v>979000</x:v>
      </x:c>
      <x:c r="M512" s="22" t="n">
        <x:f>IF(COUNT('中古車掲載'!AM623:AM623)=0,"",QUARTILE('中古車掲載'!AM623:AM623,3))</x:f>
        <x:v>979000</x:v>
      </x:c>
      <x:c r="N512" s="22" t="n">
        <x:f>COUNT('中古車掲載'!AN623:AN623)</x:f>
        <x:v>0</x:v>
      </x:c>
      <x:c r="O512" s="23" t="str">
        <x:f>IF(COUNT('中古車掲載'!AN623:AN623)=0,"",MEDIAN('中古車掲載'!AN623:AN623))</x:f>
      </x:c>
      <x:c r="P512" s="3"/>
      <x:c r="Q512" s="3"/>
      <x:c r="R512" s="3"/>
      <x:c r="S512" s="3"/>
      <x:c r="T512" s="3"/>
      <x:c r="U512" s="3"/>
      <x:c r="V512" s="3"/>
      <x:c r="W512" s="3"/>
      <x:c r="X512" s="3"/>
      <x:c r="Y512" s="3"/>
      <x:c r="Z512" s="3"/>
      <x:c r="AA512" s="3"/>
      <x:c r="AB512" s="3"/>
      <x:c r="AC512" s="3"/>
      <x:c r="AD512" s="3"/>
      <x:c r="AE512" s="3"/>
      <x:c r="AF512" s="3"/>
      <x:c r="AG512" s="3"/>
      <x:c r="AH512" s="3"/>
      <x:c r="AI512" s="3"/>
      <x:c r="AJ512" s="3"/>
      <x:c r="AK512" s="3"/>
      <x:c r="AL512" s="3"/>
      <x:c r="AM512" s="3"/>
      <x:c r="AN512" s="3"/>
      <x:c r="AO512" s="3"/>
      <x:c r="AP512" s="3"/>
      <x:c r="AQ512" s="3"/>
      <x:c r="AR512" s="3"/>
      <x:c r="AS512" s="3"/>
      <x:c r="AT512" s="3"/>
      <x:c r="AU512" s="3"/>
      <x:c r="AV512" s="3"/>
      <x:c r="AW512" s="3"/>
      <x:c r="AX512" s="3"/>
      <x:c r="AY512" s="3"/>
      <x:c r="AZ512" s="3" t="str">
        <x:f>IF(AND('中古車掲載'!C513="One2car",'中古車掲載'!F513="ATTO 3",'中古車掲載'!L513="EXTENDED RANGE",'中古車掲載'!J513=2023,ISNUMBER('中古車掲載'!N513),'中古車掲載'!N513&gt;=20000,'中古車掲載'!O513&lt;=100000,'中古車掲載'!AL513=1),'中古車掲載'!U513,"")</x:f>
      </x:c>
      <x:c r="BA512" s="3" t="str">
        <x:f>IF(AND('中古車掲載'!C513="One2car",'中古車掲載'!F513="Corolla Cross",'中古車掲載'!L513="HEV PREMIUM SAFETY",'中古車掲載'!J513=2023,ISNUMBER('中古車掲載'!N513),'中古車掲載'!N513&gt;=20000,'中古車掲載'!O513&lt;=100000,'中古車掲載'!AL513=1,'中古車掲載'!Z513="https://www.one2car.com/en/cars-for-sale/toyota/corolla-cross/year-2023"),'中古車掲載'!U513,"")</x:f>
      </x:c>
      <x:c r="BB512" s="3" t="str">
        <x:f>IF(AND('中古車掲載'!C513="One2car",'中古車掲載'!F513="ATTO 3",'中古車掲載'!L513="EXTENDED RANGE",'中古車掲載'!J513=2023,ISNUMBER('中古車掲載'!N513),'中古車掲載'!N513&gt;=50000,'中古車掲載'!O513&lt;=100000,'中古車掲載'!AL513=1),'中古車掲載'!U513,"")</x:f>
      </x:c>
      <x:c r="BC512" s="3" t="str">
        <x:f>IF(AND('中古車掲載'!C513="One2car",'中古車掲載'!F513="Corolla Cross",'中古車掲載'!L513="HEV PREMIUM SAFETY",'中古車掲載'!J513=2023,ISNUMBER('中古車掲載'!N513),'中古車掲載'!N513&gt;=50000,'中古車掲載'!O513&lt;=100000,'中古車掲載'!AL513=1,'中古車掲載'!Z513="https://www.one2car.com/en/cars-for-sale/toyota/corolla-cross/year-2023"),'中古車掲載'!U513,"")</x:f>
      </x:c>
      <x:c r="BD512" s="3" t="str">
        <x:f>IF(AND('中古車掲載'!C513="One2car",'中古車掲載'!F513="ATTO 3",'中古車掲載'!L513="EXTENDED RANGE",'中古車掲載'!J513=2023,ISNUMBER('中古車掲載'!N513),'中古車掲載'!N513&gt;=20000,'中古車掲載'!O513&lt;=50000,'中古車掲載'!AL513=1),'中古車掲載'!U513,"")</x:f>
      </x:c>
      <x:c r="BE512" s="3" t="str">
        <x:f>IF(AND('中古車掲載'!C513="One2car",'中古車掲載'!F513="Corolla Cross",'中古車掲載'!L513="HEV PREMIUM SAFETY",'中古車掲載'!J513=2023,ISNUMBER('中古車掲載'!N513),'中古車掲載'!N513&gt;=20000,'中古車掲載'!O513&lt;=50000,'中古車掲載'!AL513=1,'中古車掲載'!Z513="https://www.one2car.com/en/cars-for-sale/toyota/corolla-cross/year-2023"),'中古車掲載'!U513,"")</x:f>
      </x:c>
      <x:c r="BF512" s="3" t="str">
        <x:f>IF(AND('中古車掲載'!C513="One2car",'中古車掲載'!F513="Corolla Cross",'中古車掲載'!L513="HEV PREMIUM",'中古車掲載'!J513=2023,ISNUMBER('中古車掲載'!N513),'中古車掲載'!N513&gt;=20000,'中古車掲載'!O513&lt;=100000,'中古車掲載'!AL513=1,'中古車掲載'!Z513="https://www.one2car.com/en/cars-for-sale/toyota/corolla-cross/year-2023"),'中古車掲載'!U513,"")</x:f>
      </x:c>
      <x:c r="BG512" s="3" t="str">
        <x:f>IF(AND('中古車掲載'!C513="One2car",'中古車掲載'!F513="Corolla Cross",'中古車掲載'!L513="HEV GR SPORT",'中古車掲載'!J513=2023,ISNUMBER('中古車掲載'!N513),'中古車掲載'!N513&gt;=20000,'中古車掲載'!O513&lt;=100000,'中古車掲載'!AL513=1,'中古車掲載'!Z513="https://www.one2car.com/en/cars-for-sale/toyota/corolla-cross/year-2023"),'中古車掲載'!U513,"")</x:f>
      </x:c>
      <x:c r="BH512" s="3" t="str">
        <x:f>IF(AND('中古車掲載'!C513="One2car",'中古車掲載'!F513="DOLPHIN",'中古車掲載'!L513="STANDARD RANGE",'中古車掲載'!J513=2023,ISNUMBER('中古車掲載'!N513),'中古車掲載'!N513&gt;=20000,'中古車掲載'!O513&lt;=100000,'中古車掲載'!AL513=1),'中古車掲載'!U513,"")</x:f>
      </x:c>
      <x:c r="BI512" s="3" t="str">
        <x:v>Taladrod|Fortuner|ICE|Unknown</x:v>
      </x:c>
      <x:c r="BJ512" s="3" t="n">
        <x:v>513</x:v>
      </x:c>
      <x:c r="BK512" s="3" t="n">
        <x:f>'中古車掲載'!AM513</x:f>
        <x:v>889000</x:v>
      </x:c>
      <x:c r="BL512" s="3" t="str">
        <x:f>IF(ISNUMBER('中古車掲載'!AN513),'中古車掲載'!AN513,"")</x:f>
      </x:c>
      <x:c r="BM512" s="3"/>
      <x:c r="BN512" s="3"/>
      <x:c r="BO512" s="3"/>
      <x:c r="BP512" s="3"/>
      <x:c r="BQ512" s="3"/>
      <x:c r="BR512" s="3"/>
    </x:row>
    <x:row r="513" ht="22" customHeight="1">
      <x:c r="A513" s="3" t="str">
        <x:v>Hilux Champ</x:v>
      </x:c>
      <x:c r="B513" s="3" t="str">
        <x:v>ICE</x:v>
      </x:c>
      <x:c r="C513" s="3" t="str">
        <x:v>Taladrod</x:v>
      </x:c>
      <x:c r="D513" s="3" t="str">
        <x:v>Pickup</x:v>
      </x:c>
      <x:c r="E513" s="3" t="str">
        <x:v>キャブ不明</x:v>
      </x:c>
      <x:c r="F513" s="3" t="n">
        <x:v>2024</x:v>
      </x:c>
      <x:c r="G513" s="3" t="str">
        <x:v>2.4 LWB AT</x:v>
      </x:c>
      <x:c r="H513" s="3" t="str">
        <x:v>未掲載</x:v>
      </x:c>
      <x:c r="I513" s="3" t="str">
        <x:v>世代不明</x:v>
      </x:c>
      <x:c r="J513" s="22" t="n">
        <x:f>COUNT('中古車掲載'!AM624:AM626)</x:f>
        <x:v>3</x:v>
      </x:c>
      <x:c r="K513" s="22" t="n">
        <x:f>IF(COUNT('中古車掲載'!AM624:AM626)=0,"",QUARTILE('中古車掲載'!AM624:AM626,1))</x:f>
        <x:v>447500</x:v>
      </x:c>
      <x:c r="L513" s="22" t="n">
        <x:f>IF(COUNT('中古車掲載'!AM624:AM626)=0,"",MEDIAN('中古車掲載'!AM624:AM626))</x:f>
        <x:v>450000</x:v>
      </x:c>
      <x:c r="M513" s="22" t="n">
        <x:f>IF(COUNT('中古車掲載'!AM624:AM626)=0,"",QUARTILE('中古車掲載'!AM624:AM626,3))</x:f>
        <x:v>459500</x:v>
      </x:c>
      <x:c r="N513" s="22" t="n">
        <x:f>COUNT('中古車掲載'!AN624:AN626)</x:f>
        <x:v>0</x:v>
      </x:c>
      <x:c r="O513" s="23" t="str">
        <x:f>IF(COUNT('中古車掲載'!AN624:AN626)=0,"",MEDIAN('中古車掲載'!AN624:AN626))</x:f>
      </x:c>
      <x:c r="P513" s="3"/>
      <x:c r="Q513" s="3"/>
      <x:c r="R513" s="3"/>
      <x:c r="S513" s="3"/>
      <x:c r="T513" s="3"/>
      <x:c r="U513" s="3"/>
      <x:c r="V513" s="3"/>
      <x:c r="W513" s="3"/>
      <x:c r="X513" s="3"/>
      <x:c r="Y513" s="3"/>
      <x:c r="Z513" s="3"/>
      <x:c r="AA513" s="3"/>
      <x:c r="AB513" s="3"/>
      <x:c r="AC513" s="3"/>
      <x:c r="AD513" s="3"/>
      <x:c r="AE513" s="3"/>
      <x:c r="AF513" s="3"/>
      <x:c r="AG513" s="3"/>
      <x:c r="AH513" s="3"/>
      <x:c r="AI513" s="3"/>
      <x:c r="AJ513" s="3"/>
      <x:c r="AK513" s="3"/>
      <x:c r="AL513" s="3"/>
      <x:c r="AM513" s="3"/>
      <x:c r="AN513" s="3"/>
      <x:c r="AO513" s="3"/>
      <x:c r="AP513" s="3"/>
      <x:c r="AQ513" s="3"/>
      <x:c r="AR513" s="3"/>
      <x:c r="AS513" s="3"/>
      <x:c r="AT513" s="3"/>
      <x:c r="AU513" s="3"/>
      <x:c r="AV513" s="3"/>
      <x:c r="AW513" s="3"/>
      <x:c r="AX513" s="3"/>
      <x:c r="AY513" s="3"/>
      <x:c r="AZ513" s="3" t="str">
        <x:f>IF(AND('中古車掲載'!C514="One2car",'中古車掲載'!F514="ATTO 3",'中古車掲載'!L514="EXTENDED RANGE",'中古車掲載'!J514=2023,ISNUMBER('中古車掲載'!N514),'中古車掲載'!N514&gt;=20000,'中古車掲載'!O514&lt;=100000,'中古車掲載'!AL514=1),'中古車掲載'!U514,"")</x:f>
      </x:c>
      <x:c r="BA513" s="3" t="str">
        <x:f>IF(AND('中古車掲載'!C514="One2car",'中古車掲載'!F514="Corolla Cross",'中古車掲載'!L514="HEV PREMIUM SAFETY",'中古車掲載'!J514=2023,ISNUMBER('中古車掲載'!N514),'中古車掲載'!N514&gt;=20000,'中古車掲載'!O514&lt;=100000,'中古車掲載'!AL514=1,'中古車掲載'!Z514="https://www.one2car.com/en/cars-for-sale/toyota/corolla-cross/year-2023"),'中古車掲載'!U514,"")</x:f>
      </x:c>
      <x:c r="BB513" s="3" t="str">
        <x:f>IF(AND('中古車掲載'!C514="One2car",'中古車掲載'!F514="ATTO 3",'中古車掲載'!L514="EXTENDED RANGE",'中古車掲載'!J514=2023,ISNUMBER('中古車掲載'!N514),'中古車掲載'!N514&gt;=50000,'中古車掲載'!O514&lt;=100000,'中古車掲載'!AL514=1),'中古車掲載'!U514,"")</x:f>
      </x:c>
      <x:c r="BC513" s="3" t="str">
        <x:f>IF(AND('中古車掲載'!C514="One2car",'中古車掲載'!F514="Corolla Cross",'中古車掲載'!L514="HEV PREMIUM SAFETY",'中古車掲載'!J514=2023,ISNUMBER('中古車掲載'!N514),'中古車掲載'!N514&gt;=50000,'中古車掲載'!O514&lt;=100000,'中古車掲載'!AL514=1,'中古車掲載'!Z514="https://www.one2car.com/en/cars-for-sale/toyota/corolla-cross/year-2023"),'中古車掲載'!U514,"")</x:f>
      </x:c>
      <x:c r="BD513" s="3" t="str">
        <x:f>IF(AND('中古車掲載'!C514="One2car",'中古車掲載'!F514="ATTO 3",'中古車掲載'!L514="EXTENDED RANGE",'中古車掲載'!J514=2023,ISNUMBER('中古車掲載'!N514),'中古車掲載'!N514&gt;=20000,'中古車掲載'!O514&lt;=50000,'中古車掲載'!AL514=1),'中古車掲載'!U514,"")</x:f>
      </x:c>
      <x:c r="BE513" s="3" t="str">
        <x:f>IF(AND('中古車掲載'!C514="One2car",'中古車掲載'!F514="Corolla Cross",'中古車掲載'!L514="HEV PREMIUM SAFETY",'中古車掲載'!J514=2023,ISNUMBER('中古車掲載'!N514),'中古車掲載'!N514&gt;=20000,'中古車掲載'!O514&lt;=50000,'中古車掲載'!AL514=1,'中古車掲載'!Z514="https://www.one2car.com/en/cars-for-sale/toyota/corolla-cross/year-2023"),'中古車掲載'!U514,"")</x:f>
      </x:c>
      <x:c r="BF513" s="3" t="str">
        <x:f>IF(AND('中古車掲載'!C514="One2car",'中古車掲載'!F514="Corolla Cross",'中古車掲載'!L514="HEV PREMIUM",'中古車掲載'!J514=2023,ISNUMBER('中古車掲載'!N514),'中古車掲載'!N514&gt;=20000,'中古車掲載'!O514&lt;=100000,'中古車掲載'!AL514=1,'中古車掲載'!Z514="https://www.one2car.com/en/cars-for-sale/toyota/corolla-cross/year-2023"),'中古車掲載'!U514,"")</x:f>
      </x:c>
      <x:c r="BG513" s="3" t="str">
        <x:f>IF(AND('中古車掲載'!C514="One2car",'中古車掲載'!F514="Corolla Cross",'中古車掲載'!L514="HEV GR SPORT",'中古車掲載'!J514=2023,ISNUMBER('中古車掲載'!N514),'中古車掲載'!N514&gt;=20000,'中古車掲載'!O514&lt;=100000,'中古車掲載'!AL514=1,'中古車掲載'!Z514="https://www.one2car.com/en/cars-for-sale/toyota/corolla-cross/year-2023"),'中古車掲載'!U514,"")</x:f>
      </x:c>
      <x:c r="BH513" s="3" t="str">
        <x:f>IF(AND('中古車掲載'!C514="One2car",'中古車掲載'!F514="DOLPHIN",'中古車掲載'!L514="STANDARD RANGE",'中古車掲載'!J514=2023,ISNUMBER('中古車掲載'!N514),'中古車掲載'!N514&gt;=20000,'中古車掲載'!O514&lt;=100000,'中古車掲載'!AL514=1),'中古車掲載'!U514,"")</x:f>
      </x:c>
      <x:c r="BI513" s="3" t="str">
        <x:v>Taladrod|Fortuner|ICE|Unknown</x:v>
      </x:c>
      <x:c r="BJ513" s="3" t="n">
        <x:v>514</x:v>
      </x:c>
      <x:c r="BK513" s="3" t="n">
        <x:f>'中古車掲載'!AM514</x:f>
        <x:v>799000</x:v>
      </x:c>
      <x:c r="BL513" s="3" t="str">
        <x:f>IF(ISNUMBER('中古車掲載'!AN514),'中古車掲載'!AN514,"")</x:f>
      </x:c>
      <x:c r="BM513" s="3"/>
      <x:c r="BN513" s="3"/>
      <x:c r="BO513" s="3"/>
      <x:c r="BP513" s="3"/>
      <x:c r="BQ513" s="3"/>
      <x:c r="BR513" s="3"/>
    </x:row>
    <x:row r="514" ht="22" customHeight="1">
      <x:c r="A514" s="3" t="str">
        <x:v>Hilux Champ</x:v>
      </x:c>
      <x:c r="B514" s="3" t="str">
        <x:v>ICE</x:v>
      </x:c>
      <x:c r="C514" s="3" t="str">
        <x:v>Taladrod</x:v>
      </x:c>
      <x:c r="D514" s="3" t="str">
        <x:v>Pickup</x:v>
      </x:c>
      <x:c r="E514" s="3" t="str">
        <x:v>キャブ不明</x:v>
      </x:c>
      <x:c r="F514" s="3" t="n">
        <x:v>2024</x:v>
      </x:c>
      <x:c r="G514" s="3" t="str">
        <x:v>2.4 LWB C&amp;C</x:v>
      </x:c>
      <x:c r="H514" s="3" t="str">
        <x:v>未掲載</x:v>
      </x:c>
      <x:c r="I514" s="3" t="str">
        <x:v>世代不明</x:v>
      </x:c>
      <x:c r="J514" s="22" t="n">
        <x:f>COUNT('中古車掲載'!AM627:AM627)</x:f>
        <x:v>1</x:v>
      </x:c>
      <x:c r="K514" s="22" t="n">
        <x:f>IF(COUNT('中古車掲載'!AM627:AM627)=0,"",QUARTILE('中古車掲載'!AM627:AM627,1))</x:f>
        <x:v>449000</x:v>
      </x:c>
      <x:c r="L514" s="22" t="n">
        <x:f>IF(COUNT('中古車掲載'!AM627:AM627)=0,"",MEDIAN('中古車掲載'!AM627:AM627))</x:f>
        <x:v>449000</x:v>
      </x:c>
      <x:c r="M514" s="22" t="n">
        <x:f>IF(COUNT('中古車掲載'!AM627:AM627)=0,"",QUARTILE('中古車掲載'!AM627:AM627,3))</x:f>
        <x:v>449000</x:v>
      </x:c>
      <x:c r="N514" s="22" t="n">
        <x:f>COUNT('中古車掲載'!AN627:AN627)</x:f>
        <x:v>0</x:v>
      </x:c>
      <x:c r="O514" s="23" t="str">
        <x:f>IF(COUNT('中古車掲載'!AN627:AN627)=0,"",MEDIAN('中古車掲載'!AN627:AN627))</x:f>
      </x:c>
      <x:c r="P514" s="3"/>
      <x:c r="Q514" s="3"/>
      <x:c r="R514" s="3"/>
      <x:c r="S514" s="3"/>
      <x:c r="T514" s="3"/>
      <x:c r="U514" s="3"/>
      <x:c r="V514" s="3"/>
      <x:c r="W514" s="3"/>
      <x:c r="X514" s="3"/>
      <x:c r="Y514" s="3"/>
      <x:c r="Z514" s="3"/>
      <x:c r="AA514" s="3"/>
      <x:c r="AB514" s="3"/>
      <x:c r="AC514" s="3"/>
      <x:c r="AD514" s="3"/>
      <x:c r="AE514" s="3"/>
      <x:c r="AF514" s="3"/>
      <x:c r="AG514" s="3"/>
      <x:c r="AH514" s="3"/>
      <x:c r="AI514" s="3"/>
      <x:c r="AJ514" s="3"/>
      <x:c r="AK514" s="3"/>
      <x:c r="AL514" s="3"/>
      <x:c r="AM514" s="3"/>
      <x:c r="AN514" s="3"/>
      <x:c r="AO514" s="3"/>
      <x:c r="AP514" s="3"/>
      <x:c r="AQ514" s="3"/>
      <x:c r="AR514" s="3"/>
      <x:c r="AS514" s="3"/>
      <x:c r="AT514" s="3"/>
      <x:c r="AU514" s="3"/>
      <x:c r="AV514" s="3"/>
      <x:c r="AW514" s="3"/>
      <x:c r="AX514" s="3"/>
      <x:c r="AY514" s="3"/>
      <x:c r="AZ514" s="3" t="str">
        <x:f>IF(AND('中古車掲載'!C515="One2car",'中古車掲載'!F515="ATTO 3",'中古車掲載'!L515="EXTENDED RANGE",'中古車掲載'!J515=2023,ISNUMBER('中古車掲載'!N515),'中古車掲載'!N515&gt;=20000,'中古車掲載'!O515&lt;=100000,'中古車掲載'!AL515=1),'中古車掲載'!U515,"")</x:f>
      </x:c>
      <x:c r="BA514" s="3" t="str">
        <x:f>IF(AND('中古車掲載'!C515="One2car",'中古車掲載'!F515="Corolla Cross",'中古車掲載'!L515="HEV PREMIUM SAFETY",'中古車掲載'!J515=2023,ISNUMBER('中古車掲載'!N515),'中古車掲載'!N515&gt;=20000,'中古車掲載'!O515&lt;=100000,'中古車掲載'!AL515=1,'中古車掲載'!Z515="https://www.one2car.com/en/cars-for-sale/toyota/corolla-cross/year-2023"),'中古車掲載'!U515,"")</x:f>
      </x:c>
      <x:c r="BB514" s="3" t="str">
        <x:f>IF(AND('中古車掲載'!C515="One2car",'中古車掲載'!F515="ATTO 3",'中古車掲載'!L515="EXTENDED RANGE",'中古車掲載'!J515=2023,ISNUMBER('中古車掲載'!N515),'中古車掲載'!N515&gt;=50000,'中古車掲載'!O515&lt;=100000,'中古車掲載'!AL515=1),'中古車掲載'!U515,"")</x:f>
      </x:c>
      <x:c r="BC514" s="3" t="str">
        <x:f>IF(AND('中古車掲載'!C515="One2car",'中古車掲載'!F515="Corolla Cross",'中古車掲載'!L515="HEV PREMIUM SAFETY",'中古車掲載'!J515=2023,ISNUMBER('中古車掲載'!N515),'中古車掲載'!N515&gt;=50000,'中古車掲載'!O515&lt;=100000,'中古車掲載'!AL515=1,'中古車掲載'!Z515="https://www.one2car.com/en/cars-for-sale/toyota/corolla-cross/year-2023"),'中古車掲載'!U515,"")</x:f>
      </x:c>
      <x:c r="BD514" s="3" t="str">
        <x:f>IF(AND('中古車掲載'!C515="One2car",'中古車掲載'!F515="ATTO 3",'中古車掲載'!L515="EXTENDED RANGE",'中古車掲載'!J515=2023,ISNUMBER('中古車掲載'!N515),'中古車掲載'!N515&gt;=20000,'中古車掲載'!O515&lt;=50000,'中古車掲載'!AL515=1),'中古車掲載'!U515,"")</x:f>
      </x:c>
      <x:c r="BE514" s="3" t="str">
        <x:f>IF(AND('中古車掲載'!C515="One2car",'中古車掲載'!F515="Corolla Cross",'中古車掲載'!L515="HEV PREMIUM SAFETY",'中古車掲載'!J515=2023,ISNUMBER('中古車掲載'!N515),'中古車掲載'!N515&gt;=20000,'中古車掲載'!O515&lt;=50000,'中古車掲載'!AL515=1,'中古車掲載'!Z515="https://www.one2car.com/en/cars-for-sale/toyota/corolla-cross/year-2023"),'中古車掲載'!U515,"")</x:f>
      </x:c>
      <x:c r="BF514" s="3" t="str">
        <x:f>IF(AND('中古車掲載'!C515="One2car",'中古車掲載'!F515="Corolla Cross",'中古車掲載'!L515="HEV PREMIUM",'中古車掲載'!J515=2023,ISNUMBER('中古車掲載'!N515),'中古車掲載'!N515&gt;=20000,'中古車掲載'!O515&lt;=100000,'中古車掲載'!AL515=1,'中古車掲載'!Z515="https://www.one2car.com/en/cars-for-sale/toyota/corolla-cross/year-2023"),'中古車掲載'!U515,"")</x:f>
      </x:c>
      <x:c r="BG514" s="3" t="str">
        <x:f>IF(AND('中古車掲載'!C515="One2car",'中古車掲載'!F515="Corolla Cross",'中古車掲載'!L515="HEV GR SPORT",'中古車掲載'!J515=2023,ISNUMBER('中古車掲載'!N515),'中古車掲載'!N515&gt;=20000,'中古車掲載'!O515&lt;=100000,'中古車掲載'!AL515=1,'中古車掲載'!Z515="https://www.one2car.com/en/cars-for-sale/toyota/corolla-cross/year-2023"),'中古車掲載'!U515,"")</x:f>
      </x:c>
      <x:c r="BH514" s="3" t="str">
        <x:f>IF(AND('中古車掲載'!C515="One2car",'中古車掲載'!F515="DOLPHIN",'中古車掲載'!L515="STANDARD RANGE",'中古車掲載'!J515=2023,ISNUMBER('中古車掲載'!N515),'中古車掲載'!N515&gt;=20000,'中古車掲載'!O515&lt;=100000,'中古車掲載'!AL515=1),'中古車掲載'!U515,"")</x:f>
      </x:c>
      <x:c r="BI514" s="3" t="str">
        <x:v>Taladrod|Fortuner|ICE|Unknown</x:v>
      </x:c>
      <x:c r="BJ514" s="3" t="n">
        <x:v>515</x:v>
      </x:c>
      <x:c r="BK514" s="3" t="n">
        <x:f>'中古車掲載'!AM515</x:f>
        <x:v>828000</x:v>
      </x:c>
      <x:c r="BL514" s="3" t="str">
        <x:f>IF(ISNUMBER('中古車掲載'!AN515),'中古車掲載'!AN515,"")</x:f>
      </x:c>
      <x:c r="BM514" s="3"/>
      <x:c r="BN514" s="3"/>
      <x:c r="BO514" s="3"/>
      <x:c r="BP514" s="3"/>
      <x:c r="BQ514" s="3"/>
      <x:c r="BR514" s="3"/>
    </x:row>
    <x:row r="515" ht="22" customHeight="1">
      <x:c r="A515" s="3" t="str">
        <x:v>Hilux Champ</x:v>
      </x:c>
      <x:c r="B515" s="3" t="str">
        <x:v>ICE</x:v>
      </x:c>
      <x:c r="C515" s="3" t="str">
        <x:v>Taladrod</x:v>
      </x:c>
      <x:c r="D515" s="3" t="str">
        <x:v>Pickup</x:v>
      </x:c>
      <x:c r="E515" s="3" t="str">
        <x:v>キャブ不明</x:v>
      </x:c>
      <x:c r="F515" s="3" t="n">
        <x:v>2024</x:v>
      </x:c>
      <x:c r="G515" s="3" t="str">
        <x:v>2.4 LWB MT</x:v>
      </x:c>
      <x:c r="H515" s="3" t="str">
        <x:v>未掲載</x:v>
      </x:c>
      <x:c r="I515" s="3" t="str">
        <x:v>世代不明</x:v>
      </x:c>
      <x:c r="J515" s="22" t="n">
        <x:f>COUNT('中古車掲載'!AM628:AM633)</x:f>
        <x:v>6</x:v>
      </x:c>
      <x:c r="K515" s="22" t="n">
        <x:f>IF(COUNT('中古車掲載'!AM628:AM633)=0,"",QUARTILE('中古車掲載'!AM628:AM633,1))</x:f>
        <x:v>439000</x:v>
      </x:c>
      <x:c r="L515" s="22" t="n">
        <x:f>IF(COUNT('中古車掲載'!AM628:AM633)=0,"",MEDIAN('中古車掲載'!AM628:AM633))</x:f>
        <x:v>444000</x:v>
      </x:c>
      <x:c r="M515" s="22" t="n">
        <x:f>IF(COUNT('中古車掲載'!AM628:AM633)=0,"",QUARTILE('中古車掲載'!AM628:AM633,3))</x:f>
        <x:v>449000</x:v>
      </x:c>
      <x:c r="N515" s="22" t="n">
        <x:f>COUNT('中古車掲載'!AN628:AN633)</x:f>
        <x:v>0</x:v>
      </x:c>
      <x:c r="O515" s="23" t="str">
        <x:f>IF(COUNT('中古車掲載'!AN628:AN633)=0,"",MEDIAN('中古車掲載'!AN628:AN633))</x:f>
      </x:c>
      <x:c r="P515" s="3"/>
      <x:c r="Q515" s="3"/>
      <x:c r="R515" s="3"/>
      <x:c r="S515" s="3"/>
      <x:c r="T515" s="3"/>
      <x:c r="U515" s="3"/>
      <x:c r="V515" s="3"/>
      <x:c r="W515" s="3"/>
      <x:c r="X515" s="3"/>
      <x:c r="Y515" s="3"/>
      <x:c r="Z515" s="3"/>
      <x:c r="AA515" s="3"/>
      <x:c r="AB515" s="3"/>
      <x:c r="AC515" s="3"/>
      <x:c r="AD515" s="3"/>
      <x:c r="AE515" s="3"/>
      <x:c r="AF515" s="3"/>
      <x:c r="AG515" s="3"/>
      <x:c r="AH515" s="3"/>
      <x:c r="AI515" s="3"/>
      <x:c r="AJ515" s="3"/>
      <x:c r="AK515" s="3"/>
      <x:c r="AL515" s="3"/>
      <x:c r="AM515" s="3"/>
      <x:c r="AN515" s="3"/>
      <x:c r="AO515" s="3"/>
      <x:c r="AP515" s="3"/>
      <x:c r="AQ515" s="3"/>
      <x:c r="AR515" s="3"/>
      <x:c r="AS515" s="3"/>
      <x:c r="AT515" s="3"/>
      <x:c r="AU515" s="3"/>
      <x:c r="AV515" s="3"/>
      <x:c r="AW515" s="3"/>
      <x:c r="AX515" s="3"/>
      <x:c r="AY515" s="3"/>
      <x:c r="AZ515" s="3" t="str">
        <x:f>IF(AND('中古車掲載'!C516="One2car",'中古車掲載'!F516="ATTO 3",'中古車掲載'!L516="EXTENDED RANGE",'中古車掲載'!J516=2023,ISNUMBER('中古車掲載'!N516),'中古車掲載'!N516&gt;=20000,'中古車掲載'!O516&lt;=100000,'中古車掲載'!AL516=1),'中古車掲載'!U516,"")</x:f>
      </x:c>
      <x:c r="BA515" s="3" t="str">
        <x:f>IF(AND('中古車掲載'!C516="One2car",'中古車掲載'!F516="Corolla Cross",'中古車掲載'!L516="HEV PREMIUM SAFETY",'中古車掲載'!J516=2023,ISNUMBER('中古車掲載'!N516),'中古車掲載'!N516&gt;=20000,'中古車掲載'!O516&lt;=100000,'中古車掲載'!AL516=1,'中古車掲載'!Z516="https://www.one2car.com/en/cars-for-sale/toyota/corolla-cross/year-2023"),'中古車掲載'!U516,"")</x:f>
      </x:c>
      <x:c r="BB515" s="3" t="str">
        <x:f>IF(AND('中古車掲載'!C516="One2car",'中古車掲載'!F516="ATTO 3",'中古車掲載'!L516="EXTENDED RANGE",'中古車掲載'!J516=2023,ISNUMBER('中古車掲載'!N516),'中古車掲載'!N516&gt;=50000,'中古車掲載'!O516&lt;=100000,'中古車掲載'!AL516=1),'中古車掲載'!U516,"")</x:f>
      </x:c>
      <x:c r="BC515" s="3" t="str">
        <x:f>IF(AND('中古車掲載'!C516="One2car",'中古車掲載'!F516="Corolla Cross",'中古車掲載'!L516="HEV PREMIUM SAFETY",'中古車掲載'!J516=2023,ISNUMBER('中古車掲載'!N516),'中古車掲載'!N516&gt;=50000,'中古車掲載'!O516&lt;=100000,'中古車掲載'!AL516=1,'中古車掲載'!Z516="https://www.one2car.com/en/cars-for-sale/toyota/corolla-cross/year-2023"),'中古車掲載'!U516,"")</x:f>
      </x:c>
      <x:c r="BD515" s="3" t="str">
        <x:f>IF(AND('中古車掲載'!C516="One2car",'中古車掲載'!F516="ATTO 3",'中古車掲載'!L516="EXTENDED RANGE",'中古車掲載'!J516=2023,ISNUMBER('中古車掲載'!N516),'中古車掲載'!N516&gt;=20000,'中古車掲載'!O516&lt;=50000,'中古車掲載'!AL516=1),'中古車掲載'!U516,"")</x:f>
      </x:c>
      <x:c r="BE515" s="3" t="str">
        <x:f>IF(AND('中古車掲載'!C516="One2car",'中古車掲載'!F516="Corolla Cross",'中古車掲載'!L516="HEV PREMIUM SAFETY",'中古車掲載'!J516=2023,ISNUMBER('中古車掲載'!N516),'中古車掲載'!N516&gt;=20000,'中古車掲載'!O516&lt;=50000,'中古車掲載'!AL516=1,'中古車掲載'!Z516="https://www.one2car.com/en/cars-for-sale/toyota/corolla-cross/year-2023"),'中古車掲載'!U516,"")</x:f>
      </x:c>
      <x:c r="BF515" s="3" t="str">
        <x:f>IF(AND('中古車掲載'!C516="One2car",'中古車掲載'!F516="Corolla Cross",'中古車掲載'!L516="HEV PREMIUM",'中古車掲載'!J516=2023,ISNUMBER('中古車掲載'!N516),'中古車掲載'!N516&gt;=20000,'中古車掲載'!O516&lt;=100000,'中古車掲載'!AL516=1,'中古車掲載'!Z516="https://www.one2car.com/en/cars-for-sale/toyota/corolla-cross/year-2023"),'中古車掲載'!U516,"")</x:f>
      </x:c>
      <x:c r="BG515" s="3" t="str">
        <x:f>IF(AND('中古車掲載'!C516="One2car",'中古車掲載'!F516="Corolla Cross",'中古車掲載'!L516="HEV GR SPORT",'中古車掲載'!J516=2023,ISNUMBER('中古車掲載'!N516),'中古車掲載'!N516&gt;=20000,'中古車掲載'!O516&lt;=100000,'中古車掲載'!AL516=1,'中古車掲載'!Z516="https://www.one2car.com/en/cars-for-sale/toyota/corolla-cross/year-2023"),'中古車掲載'!U516,"")</x:f>
      </x:c>
      <x:c r="BH515" s="3" t="str">
        <x:f>IF(AND('中古車掲載'!C516="One2car",'中古車掲載'!F516="DOLPHIN",'中古車掲載'!L516="STANDARD RANGE",'中古車掲載'!J516=2023,ISNUMBER('中古車掲載'!N516),'中古車掲載'!N516&gt;=20000,'中古車掲載'!O516&lt;=100000,'中古車掲載'!AL516=1),'中古車掲載'!U516,"")</x:f>
      </x:c>
      <x:c r="BI515" s="3" t="str">
        <x:v>Taladrod|Fortuner|ICE|Unknown</x:v>
      </x:c>
      <x:c r="BJ515" s="3" t="n">
        <x:v>516</x:v>
      </x:c>
      <x:c r="BK515" s="3" t="n">
        <x:f>'中古車掲載'!AM516</x:f>
        <x:v>889000</x:v>
      </x:c>
      <x:c r="BL515" s="3" t="str">
        <x:f>IF(ISNUMBER('中古車掲載'!AN516),'中古車掲載'!AN516,"")</x:f>
      </x:c>
      <x:c r="BM515" s="3"/>
      <x:c r="BN515" s="3"/>
      <x:c r="BO515" s="3"/>
      <x:c r="BP515" s="3"/>
      <x:c r="BQ515" s="3"/>
      <x:c r="BR515" s="3"/>
    </x:row>
    <x:row r="516" ht="22" customHeight="1">
      <x:c r="A516" s="3" t="str">
        <x:v>Hilux Champ</x:v>
      </x:c>
      <x:c r="B516" s="3" t="str">
        <x:v>ICE</x:v>
      </x:c>
      <x:c r="C516" s="3" t="str">
        <x:v>Taladrod</x:v>
      </x:c>
      <x:c r="D516" s="3" t="str">
        <x:v>Pickup</x:v>
      </x:c>
      <x:c r="E516" s="3" t="str">
        <x:v>キャブ不明</x:v>
      </x:c>
      <x:c r="F516" s="3" t="n">
        <x:v>2024</x:v>
      </x:c>
      <x:c r="G516" s="3" t="str">
        <x:v>2.4 SWB ATTRACTIVE PACKAGE</x:v>
      </x:c>
      <x:c r="H516" s="3" t="str">
        <x:v>未掲載</x:v>
      </x:c>
      <x:c r="I516" s="3" t="str">
        <x:v>世代不明</x:v>
      </x:c>
      <x:c r="J516" s="22" t="n">
        <x:f>COUNT('中古車掲載'!AM634:AM637)</x:f>
        <x:v>4</x:v>
      </x:c>
      <x:c r="K516" s="22" t="n">
        <x:f>IF(COUNT('中古車掲載'!AM634:AM637)=0,"",QUARTILE('中古車掲載'!AM634:AM637,1))</x:f>
        <x:v>448750</x:v>
      </x:c>
      <x:c r="L516" s="22" t="n">
        <x:f>IF(COUNT('中古車掲載'!AM634:AM637)=0,"",MEDIAN('中古車掲載'!AM634:AM637))</x:f>
        <x:v>455000</x:v>
      </x:c>
      <x:c r="M516" s="22" t="n">
        <x:f>IF(COUNT('中古車掲載'!AM634:AM637)=0,"",QUARTILE('中古車掲載'!AM634:AM637,3))</x:f>
        <x:v>465000</x:v>
      </x:c>
      <x:c r="N516" s="22" t="n">
        <x:f>COUNT('中古車掲載'!AN634:AN637)</x:f>
        <x:v>0</x:v>
      </x:c>
      <x:c r="O516" s="23" t="str">
        <x:f>IF(COUNT('中古車掲載'!AN634:AN637)=0,"",MEDIAN('中古車掲載'!AN634:AN637))</x:f>
      </x:c>
      <x:c r="P516" s="3"/>
      <x:c r="Q516" s="3"/>
      <x:c r="R516" s="3"/>
      <x:c r="S516" s="3"/>
      <x:c r="T516" s="3"/>
      <x:c r="U516" s="3"/>
      <x:c r="V516" s="3"/>
      <x:c r="W516" s="3"/>
      <x:c r="X516" s="3"/>
      <x:c r="Y516" s="3"/>
      <x:c r="Z516" s="3"/>
      <x:c r="AA516" s="3"/>
      <x:c r="AB516" s="3"/>
      <x:c r="AC516" s="3"/>
      <x:c r="AD516" s="3"/>
      <x:c r="AE516" s="3"/>
      <x:c r="AF516" s="3"/>
      <x:c r="AG516" s="3"/>
      <x:c r="AH516" s="3"/>
      <x:c r="AI516" s="3"/>
      <x:c r="AJ516" s="3"/>
      <x:c r="AK516" s="3"/>
      <x:c r="AL516" s="3"/>
      <x:c r="AM516" s="3"/>
      <x:c r="AN516" s="3"/>
      <x:c r="AO516" s="3"/>
      <x:c r="AP516" s="3"/>
      <x:c r="AQ516" s="3"/>
      <x:c r="AR516" s="3"/>
      <x:c r="AS516" s="3"/>
      <x:c r="AT516" s="3"/>
      <x:c r="AU516" s="3"/>
      <x:c r="AV516" s="3"/>
      <x:c r="AW516" s="3"/>
      <x:c r="AX516" s="3"/>
      <x:c r="AY516" s="3"/>
      <x:c r="AZ516" s="3" t="str">
        <x:f>IF(AND('中古車掲載'!C517="One2car",'中古車掲載'!F517="ATTO 3",'中古車掲載'!L517="EXTENDED RANGE",'中古車掲載'!J517=2023,ISNUMBER('中古車掲載'!N517),'中古車掲載'!N517&gt;=20000,'中古車掲載'!O517&lt;=100000,'中古車掲載'!AL517=1),'中古車掲載'!U517,"")</x:f>
      </x:c>
      <x:c r="BA516" s="3" t="str">
        <x:f>IF(AND('中古車掲載'!C517="One2car",'中古車掲載'!F517="Corolla Cross",'中古車掲載'!L517="HEV PREMIUM SAFETY",'中古車掲載'!J517=2023,ISNUMBER('中古車掲載'!N517),'中古車掲載'!N517&gt;=20000,'中古車掲載'!O517&lt;=100000,'中古車掲載'!AL517=1,'中古車掲載'!Z517="https://www.one2car.com/en/cars-for-sale/toyota/corolla-cross/year-2023"),'中古車掲載'!U517,"")</x:f>
      </x:c>
      <x:c r="BB516" s="3" t="str">
        <x:f>IF(AND('中古車掲載'!C517="One2car",'中古車掲載'!F517="ATTO 3",'中古車掲載'!L517="EXTENDED RANGE",'中古車掲載'!J517=2023,ISNUMBER('中古車掲載'!N517),'中古車掲載'!N517&gt;=50000,'中古車掲載'!O517&lt;=100000,'中古車掲載'!AL517=1),'中古車掲載'!U517,"")</x:f>
      </x:c>
      <x:c r="BC516" s="3" t="str">
        <x:f>IF(AND('中古車掲載'!C517="One2car",'中古車掲載'!F517="Corolla Cross",'中古車掲載'!L517="HEV PREMIUM SAFETY",'中古車掲載'!J517=2023,ISNUMBER('中古車掲載'!N517),'中古車掲載'!N517&gt;=50000,'中古車掲載'!O517&lt;=100000,'中古車掲載'!AL517=1,'中古車掲載'!Z517="https://www.one2car.com/en/cars-for-sale/toyota/corolla-cross/year-2023"),'中古車掲載'!U517,"")</x:f>
      </x:c>
      <x:c r="BD516" s="3" t="str">
        <x:f>IF(AND('中古車掲載'!C517="One2car",'中古車掲載'!F517="ATTO 3",'中古車掲載'!L517="EXTENDED RANGE",'中古車掲載'!J517=2023,ISNUMBER('中古車掲載'!N517),'中古車掲載'!N517&gt;=20000,'中古車掲載'!O517&lt;=50000,'中古車掲載'!AL517=1),'中古車掲載'!U517,"")</x:f>
      </x:c>
      <x:c r="BE516" s="3" t="str">
        <x:f>IF(AND('中古車掲載'!C517="One2car",'中古車掲載'!F517="Corolla Cross",'中古車掲載'!L517="HEV PREMIUM SAFETY",'中古車掲載'!J517=2023,ISNUMBER('中古車掲載'!N517),'中古車掲載'!N517&gt;=20000,'中古車掲載'!O517&lt;=50000,'中古車掲載'!AL517=1,'中古車掲載'!Z517="https://www.one2car.com/en/cars-for-sale/toyota/corolla-cross/year-2023"),'中古車掲載'!U517,"")</x:f>
      </x:c>
      <x:c r="BF516" s="3" t="str">
        <x:f>IF(AND('中古車掲載'!C517="One2car",'中古車掲載'!F517="Corolla Cross",'中古車掲載'!L517="HEV PREMIUM",'中古車掲載'!J517=2023,ISNUMBER('中古車掲載'!N517),'中古車掲載'!N517&gt;=20000,'中古車掲載'!O517&lt;=100000,'中古車掲載'!AL517=1,'中古車掲載'!Z517="https://www.one2car.com/en/cars-for-sale/toyota/corolla-cross/year-2023"),'中古車掲載'!U517,"")</x:f>
      </x:c>
      <x:c r="BG516" s="3" t="str">
        <x:f>IF(AND('中古車掲載'!C517="One2car",'中古車掲載'!F517="Corolla Cross",'中古車掲載'!L517="HEV GR SPORT",'中古車掲載'!J517=2023,ISNUMBER('中古車掲載'!N517),'中古車掲載'!N517&gt;=20000,'中古車掲載'!O517&lt;=100000,'中古車掲載'!AL517=1,'中古車掲載'!Z517="https://www.one2car.com/en/cars-for-sale/toyota/corolla-cross/year-2023"),'中古車掲載'!U517,"")</x:f>
      </x:c>
      <x:c r="BH516" s="3" t="str">
        <x:f>IF(AND('中古車掲載'!C517="One2car",'中古車掲載'!F517="DOLPHIN",'中古車掲載'!L517="STANDARD RANGE",'中古車掲載'!J517=2023,ISNUMBER('中古車掲載'!N517),'中古車掲載'!N517&gt;=20000,'中古車掲載'!O517&lt;=100000,'中古車掲載'!AL517=1),'中古車掲載'!U517,"")</x:f>
      </x:c>
      <x:c r="BI516" s="3" t="str">
        <x:v>Taladrod|Fortuner|ICE|Unknown</x:v>
      </x:c>
      <x:c r="BJ516" s="3" t="n">
        <x:v>517</x:v>
      </x:c>
      <x:c r="BK516" s="3" t="n">
        <x:f>'中古車掲載'!AM517</x:f>
        <x:v>899000</x:v>
      </x:c>
      <x:c r="BL516" s="3" t="str">
        <x:f>IF(ISNUMBER('中古車掲載'!AN517),'中古車掲載'!AN517,"")</x:f>
      </x:c>
      <x:c r="BM516" s="3"/>
      <x:c r="BN516" s="3"/>
      <x:c r="BO516" s="3"/>
      <x:c r="BP516" s="3"/>
      <x:c r="BQ516" s="3"/>
      <x:c r="BR516" s="3"/>
    </x:row>
    <x:row r="517" ht="22" customHeight="1">
      <x:c r="A517" s="3" t="str">
        <x:v>Hilux Champ</x:v>
      </x:c>
      <x:c r="B517" s="3" t="str">
        <x:v>ICE</x:v>
      </x:c>
      <x:c r="C517" s="3" t="str">
        <x:v>Taladrod</x:v>
      </x:c>
      <x:c r="D517" s="3" t="str">
        <x:v>Pickup</x:v>
      </x:c>
      <x:c r="E517" s="3" t="str">
        <x:v>キャブ不明</x:v>
      </x:c>
      <x:c r="F517" s="3" t="n">
        <x:v>2025</x:v>
      </x:c>
      <x:c r="G517" s="3" t="str">
        <x:v>2.4 LWB AT</x:v>
      </x:c>
      <x:c r="H517" s="3" t="str">
        <x:v>未掲載</x:v>
      </x:c>
      <x:c r="I517" s="3" t="str">
        <x:v>世代不明</x:v>
      </x:c>
      <x:c r="J517" s="22" t="n">
        <x:f>COUNT('中古車掲載'!AM638:AM641)</x:f>
        <x:v>4</x:v>
      </x:c>
      <x:c r="K517" s="22" t="n">
        <x:f>IF(COUNT('中古車掲載'!AM638:AM641)=0,"",QUARTILE('中古車掲載'!AM638:AM641,1))</x:f>
        <x:v>462000</x:v>
      </x:c>
      <x:c r="L517" s="22" t="n">
        <x:f>IF(COUNT('中古車掲載'!AM638:AM641)=0,"",MEDIAN('中古車掲載'!AM638:AM641))</x:f>
        <x:v>477500</x:v>
      </x:c>
      <x:c r="M517" s="22" t="n">
        <x:f>IF(COUNT('中古車掲載'!AM638:AM641)=0,"",QUARTILE('中古車掲載'!AM638:AM641,3))</x:f>
        <x:v>501750</x:v>
      </x:c>
      <x:c r="N517" s="22" t="n">
        <x:f>COUNT('中古車掲載'!AN638:AN641)</x:f>
        <x:v>0</x:v>
      </x:c>
      <x:c r="O517" s="23" t="str">
        <x:f>IF(COUNT('中古車掲載'!AN638:AN641)=0,"",MEDIAN('中古車掲載'!AN638:AN641))</x:f>
      </x:c>
      <x:c r="P517" s="3"/>
      <x:c r="Q517" s="3"/>
      <x:c r="R517" s="3"/>
      <x:c r="S517" s="3"/>
      <x:c r="T517" s="3"/>
      <x:c r="U517" s="3"/>
      <x:c r="V517" s="3"/>
      <x:c r="W517" s="3"/>
      <x:c r="X517" s="3"/>
      <x:c r="Y517" s="3"/>
      <x:c r="Z517" s="3"/>
      <x:c r="AA517" s="3"/>
      <x:c r="AB517" s="3"/>
      <x:c r="AC517" s="3"/>
      <x:c r="AD517" s="3"/>
      <x:c r="AE517" s="3"/>
      <x:c r="AF517" s="3"/>
      <x:c r="AG517" s="3"/>
      <x:c r="AH517" s="3"/>
      <x:c r="AI517" s="3"/>
      <x:c r="AJ517" s="3"/>
      <x:c r="AK517" s="3"/>
      <x:c r="AL517" s="3"/>
      <x:c r="AM517" s="3"/>
      <x:c r="AN517" s="3"/>
      <x:c r="AO517" s="3"/>
      <x:c r="AP517" s="3"/>
      <x:c r="AQ517" s="3"/>
      <x:c r="AR517" s="3"/>
      <x:c r="AS517" s="3"/>
      <x:c r="AT517" s="3"/>
      <x:c r="AU517" s="3"/>
      <x:c r="AV517" s="3"/>
      <x:c r="AW517" s="3"/>
      <x:c r="AX517" s="3"/>
      <x:c r="AY517" s="3"/>
      <x:c r="AZ517" s="3" t="str">
        <x:f>IF(AND('中古車掲載'!C518="One2car",'中古車掲載'!F518="ATTO 3",'中古車掲載'!L518="EXTENDED RANGE",'中古車掲載'!J518=2023,ISNUMBER('中古車掲載'!N518),'中古車掲載'!N518&gt;=20000,'中古車掲載'!O518&lt;=100000,'中古車掲載'!AL518=1),'中古車掲載'!U518,"")</x:f>
      </x:c>
      <x:c r="BA517" s="3" t="str">
        <x:f>IF(AND('中古車掲載'!C518="One2car",'中古車掲載'!F518="Corolla Cross",'中古車掲載'!L518="HEV PREMIUM SAFETY",'中古車掲載'!J518=2023,ISNUMBER('中古車掲載'!N518),'中古車掲載'!N518&gt;=20000,'中古車掲載'!O518&lt;=100000,'中古車掲載'!AL518=1,'中古車掲載'!Z518="https://www.one2car.com/en/cars-for-sale/toyota/corolla-cross/year-2023"),'中古車掲載'!U518,"")</x:f>
      </x:c>
      <x:c r="BB517" s="3" t="str">
        <x:f>IF(AND('中古車掲載'!C518="One2car",'中古車掲載'!F518="ATTO 3",'中古車掲載'!L518="EXTENDED RANGE",'中古車掲載'!J518=2023,ISNUMBER('中古車掲載'!N518),'中古車掲載'!N518&gt;=50000,'中古車掲載'!O518&lt;=100000,'中古車掲載'!AL518=1),'中古車掲載'!U518,"")</x:f>
      </x:c>
      <x:c r="BC517" s="3" t="str">
        <x:f>IF(AND('中古車掲載'!C518="One2car",'中古車掲載'!F518="Corolla Cross",'中古車掲載'!L518="HEV PREMIUM SAFETY",'中古車掲載'!J518=2023,ISNUMBER('中古車掲載'!N518),'中古車掲載'!N518&gt;=50000,'中古車掲載'!O518&lt;=100000,'中古車掲載'!AL518=1,'中古車掲載'!Z518="https://www.one2car.com/en/cars-for-sale/toyota/corolla-cross/year-2023"),'中古車掲載'!U518,"")</x:f>
      </x:c>
      <x:c r="BD517" s="3" t="str">
        <x:f>IF(AND('中古車掲載'!C518="One2car",'中古車掲載'!F518="ATTO 3",'中古車掲載'!L518="EXTENDED RANGE",'中古車掲載'!J518=2023,ISNUMBER('中古車掲載'!N518),'中古車掲載'!N518&gt;=20000,'中古車掲載'!O518&lt;=50000,'中古車掲載'!AL518=1),'中古車掲載'!U518,"")</x:f>
      </x:c>
      <x:c r="BE517" s="3" t="str">
        <x:f>IF(AND('中古車掲載'!C518="One2car",'中古車掲載'!F518="Corolla Cross",'中古車掲載'!L518="HEV PREMIUM SAFETY",'中古車掲載'!J518=2023,ISNUMBER('中古車掲載'!N518),'中古車掲載'!N518&gt;=20000,'中古車掲載'!O518&lt;=50000,'中古車掲載'!AL518=1,'中古車掲載'!Z518="https://www.one2car.com/en/cars-for-sale/toyota/corolla-cross/year-2023"),'中古車掲載'!U518,"")</x:f>
      </x:c>
      <x:c r="BF517" s="3" t="str">
        <x:f>IF(AND('中古車掲載'!C518="One2car",'中古車掲載'!F518="Corolla Cross",'中古車掲載'!L518="HEV PREMIUM",'中古車掲載'!J518=2023,ISNUMBER('中古車掲載'!N518),'中古車掲載'!N518&gt;=20000,'中古車掲載'!O518&lt;=100000,'中古車掲載'!AL518=1,'中古車掲載'!Z518="https://www.one2car.com/en/cars-for-sale/toyota/corolla-cross/year-2023"),'中古車掲載'!U518,"")</x:f>
      </x:c>
      <x:c r="BG517" s="3" t="str">
        <x:f>IF(AND('中古車掲載'!C518="One2car",'中古車掲載'!F518="Corolla Cross",'中古車掲載'!L518="HEV GR SPORT",'中古車掲載'!J518=2023,ISNUMBER('中古車掲載'!N518),'中古車掲載'!N518&gt;=20000,'中古車掲載'!O518&lt;=100000,'中古車掲載'!AL518=1,'中古車掲載'!Z518="https://www.one2car.com/en/cars-for-sale/toyota/corolla-cross/year-2023"),'中古車掲載'!U518,"")</x:f>
      </x:c>
      <x:c r="BH517" s="3" t="str">
        <x:f>IF(AND('中古車掲載'!C518="One2car",'中古車掲載'!F518="DOLPHIN",'中古車掲載'!L518="STANDARD RANGE",'中古車掲載'!J518=2023,ISNUMBER('中古車掲載'!N518),'中古車掲載'!N518&gt;=20000,'中古車掲載'!O518&lt;=100000,'中古車掲載'!AL518=1),'中古車掲載'!U518,"")</x:f>
      </x:c>
      <x:c r="BI517" s="3" t="str">
        <x:v>Taladrod|Fortuner|ICE|Unknown</x:v>
      </x:c>
      <x:c r="BJ517" s="3" t="n">
        <x:v>518</x:v>
      </x:c>
      <x:c r="BK517" s="3" t="n">
        <x:f>'中古車掲載'!AM518</x:f>
        <x:v>899000</x:v>
      </x:c>
      <x:c r="BL517" s="3" t="str">
        <x:f>IF(ISNUMBER('中古車掲載'!AN518),'中古車掲載'!AN518,"")</x:f>
      </x:c>
      <x:c r="BM517" s="3"/>
      <x:c r="BN517" s="3"/>
      <x:c r="BO517" s="3"/>
      <x:c r="BP517" s="3"/>
      <x:c r="BQ517" s="3"/>
      <x:c r="BR517" s="3"/>
    </x:row>
    <x:row r="518" ht="22" customHeight="1">
      <x:c r="A518" s="3" t="str">
        <x:v>Hilux Champ</x:v>
      </x:c>
      <x:c r="B518" s="3" t="str">
        <x:v>ICE</x:v>
      </x:c>
      <x:c r="C518" s="3" t="str">
        <x:v>Taladrod</x:v>
      </x:c>
      <x:c r="D518" s="3" t="str">
        <x:v>Pickup</x:v>
      </x:c>
      <x:c r="E518" s="3" t="str">
        <x:v>キャブ不明</x:v>
      </x:c>
      <x:c r="F518" s="3" t="n">
        <x:v>2025</x:v>
      </x:c>
      <x:c r="G518" s="3" t="str">
        <x:v>2.4 LWB C&amp;C</x:v>
      </x:c>
      <x:c r="H518" s="3" t="str">
        <x:v>未掲載</x:v>
      </x:c>
      <x:c r="I518" s="3" t="str">
        <x:v>世代不明</x:v>
      </x:c>
      <x:c r="J518" s="22" t="n">
        <x:f>COUNT('中古車掲載'!AM642:AM642)</x:f>
        <x:v>1</x:v>
      </x:c>
      <x:c r="K518" s="22" t="n">
        <x:f>IF(COUNT('中古車掲載'!AM642:AM642)=0,"",QUARTILE('中古車掲載'!AM642:AM642,1))</x:f>
        <x:v>488000</x:v>
      </x:c>
      <x:c r="L518" s="22" t="n">
        <x:f>IF(COUNT('中古車掲載'!AM642:AM642)=0,"",MEDIAN('中古車掲載'!AM642:AM642))</x:f>
        <x:v>488000</x:v>
      </x:c>
      <x:c r="M518" s="22" t="n">
        <x:f>IF(COUNT('中古車掲載'!AM642:AM642)=0,"",QUARTILE('中古車掲載'!AM642:AM642,3))</x:f>
        <x:v>488000</x:v>
      </x:c>
      <x:c r="N518" s="22" t="n">
        <x:f>COUNT('中古車掲載'!AN642:AN642)</x:f>
        <x:v>0</x:v>
      </x:c>
      <x:c r="O518" s="23" t="str">
        <x:f>IF(COUNT('中古車掲載'!AN642:AN642)=0,"",MEDIAN('中古車掲載'!AN642:AN642))</x:f>
      </x:c>
      <x:c r="P518" s="3"/>
      <x:c r="Q518" s="3"/>
      <x:c r="R518" s="3"/>
      <x:c r="S518" s="3"/>
      <x:c r="T518" s="3"/>
      <x:c r="U518" s="3"/>
      <x:c r="V518" s="3"/>
      <x:c r="W518" s="3"/>
      <x:c r="X518" s="3"/>
      <x:c r="Y518" s="3"/>
      <x:c r="Z518" s="3"/>
      <x:c r="AA518" s="3"/>
      <x:c r="AB518" s="3"/>
      <x:c r="AC518" s="3"/>
      <x:c r="AD518" s="3"/>
      <x:c r="AE518" s="3"/>
      <x:c r="AF518" s="3"/>
      <x:c r="AG518" s="3"/>
      <x:c r="AH518" s="3"/>
      <x:c r="AI518" s="3"/>
      <x:c r="AJ518" s="3"/>
      <x:c r="AK518" s="3"/>
      <x:c r="AL518" s="3"/>
      <x:c r="AM518" s="3"/>
      <x:c r="AN518" s="3"/>
      <x:c r="AO518" s="3"/>
      <x:c r="AP518" s="3"/>
      <x:c r="AQ518" s="3"/>
      <x:c r="AR518" s="3"/>
      <x:c r="AS518" s="3"/>
      <x:c r="AT518" s="3"/>
      <x:c r="AU518" s="3"/>
      <x:c r="AV518" s="3"/>
      <x:c r="AW518" s="3"/>
      <x:c r="AX518" s="3"/>
      <x:c r="AY518" s="3"/>
      <x:c r="AZ518" s="3" t="str">
        <x:f>IF(AND('中古車掲載'!C519="One2car",'中古車掲載'!F519="ATTO 3",'中古車掲載'!L519="EXTENDED RANGE",'中古車掲載'!J519=2023,ISNUMBER('中古車掲載'!N519),'中古車掲載'!N519&gt;=20000,'中古車掲載'!O519&lt;=100000,'中古車掲載'!AL519=1),'中古車掲載'!U519,"")</x:f>
      </x:c>
      <x:c r="BA518" s="3" t="str">
        <x:f>IF(AND('中古車掲載'!C519="One2car",'中古車掲載'!F519="Corolla Cross",'中古車掲載'!L519="HEV PREMIUM SAFETY",'中古車掲載'!J519=2023,ISNUMBER('中古車掲載'!N519),'中古車掲載'!N519&gt;=20000,'中古車掲載'!O519&lt;=100000,'中古車掲載'!AL519=1,'中古車掲載'!Z519="https://www.one2car.com/en/cars-for-sale/toyota/corolla-cross/year-2023"),'中古車掲載'!U519,"")</x:f>
      </x:c>
      <x:c r="BB518" s="3" t="str">
        <x:f>IF(AND('中古車掲載'!C519="One2car",'中古車掲載'!F519="ATTO 3",'中古車掲載'!L519="EXTENDED RANGE",'中古車掲載'!J519=2023,ISNUMBER('中古車掲載'!N519),'中古車掲載'!N519&gt;=50000,'中古車掲載'!O519&lt;=100000,'中古車掲載'!AL519=1),'中古車掲載'!U519,"")</x:f>
      </x:c>
      <x:c r="BC518" s="3" t="str">
        <x:f>IF(AND('中古車掲載'!C519="One2car",'中古車掲載'!F519="Corolla Cross",'中古車掲載'!L519="HEV PREMIUM SAFETY",'中古車掲載'!J519=2023,ISNUMBER('中古車掲載'!N519),'中古車掲載'!N519&gt;=50000,'中古車掲載'!O519&lt;=100000,'中古車掲載'!AL519=1,'中古車掲載'!Z519="https://www.one2car.com/en/cars-for-sale/toyota/corolla-cross/year-2023"),'中古車掲載'!U519,"")</x:f>
      </x:c>
      <x:c r="BD518" s="3" t="str">
        <x:f>IF(AND('中古車掲載'!C519="One2car",'中古車掲載'!F519="ATTO 3",'中古車掲載'!L519="EXTENDED RANGE",'中古車掲載'!J519=2023,ISNUMBER('中古車掲載'!N519),'中古車掲載'!N519&gt;=20000,'中古車掲載'!O519&lt;=50000,'中古車掲載'!AL519=1),'中古車掲載'!U519,"")</x:f>
      </x:c>
      <x:c r="BE518" s="3" t="str">
        <x:f>IF(AND('中古車掲載'!C519="One2car",'中古車掲載'!F519="Corolla Cross",'中古車掲載'!L519="HEV PREMIUM SAFETY",'中古車掲載'!J519=2023,ISNUMBER('中古車掲載'!N519),'中古車掲載'!N519&gt;=20000,'中古車掲載'!O519&lt;=50000,'中古車掲載'!AL519=1,'中古車掲載'!Z519="https://www.one2car.com/en/cars-for-sale/toyota/corolla-cross/year-2023"),'中古車掲載'!U519,"")</x:f>
      </x:c>
      <x:c r="BF518" s="3" t="str">
        <x:f>IF(AND('中古車掲載'!C519="One2car",'中古車掲載'!F519="Corolla Cross",'中古車掲載'!L519="HEV PREMIUM",'中古車掲載'!J519=2023,ISNUMBER('中古車掲載'!N519),'中古車掲載'!N519&gt;=20000,'中古車掲載'!O519&lt;=100000,'中古車掲載'!AL519=1,'中古車掲載'!Z519="https://www.one2car.com/en/cars-for-sale/toyota/corolla-cross/year-2023"),'中古車掲載'!U519,"")</x:f>
      </x:c>
      <x:c r="BG518" s="3" t="str">
        <x:f>IF(AND('中古車掲載'!C519="One2car",'中古車掲載'!F519="Corolla Cross",'中古車掲載'!L519="HEV GR SPORT",'中古車掲載'!J519=2023,ISNUMBER('中古車掲載'!N519),'中古車掲載'!N519&gt;=20000,'中古車掲載'!O519&lt;=100000,'中古車掲載'!AL519=1,'中古車掲載'!Z519="https://www.one2car.com/en/cars-for-sale/toyota/corolla-cross/year-2023"),'中古車掲載'!U519,"")</x:f>
      </x:c>
      <x:c r="BH518" s="3" t="str">
        <x:f>IF(AND('中古車掲載'!C519="One2car",'中古車掲載'!F519="DOLPHIN",'中古車掲載'!L519="STANDARD RANGE",'中古車掲載'!J519=2023,ISNUMBER('中古車掲載'!N519),'中古車掲載'!N519&gt;=20000,'中古車掲載'!O519&lt;=100000,'中古車掲載'!AL519=1),'中古車掲載'!U519,"")</x:f>
      </x:c>
      <x:c r="BI518" s="3" t="str">
        <x:v>Taladrod|Fortuner|ICE|Unknown</x:v>
      </x:c>
      <x:c r="BJ518" s="3" t="n">
        <x:v>519</x:v>
      </x:c>
      <x:c r="BK518" s="3" t="n">
        <x:f>'中古車掲載'!AM519</x:f>
        <x:v>899000</x:v>
      </x:c>
      <x:c r="BL518" s="3" t="str">
        <x:f>IF(ISNUMBER('中古車掲載'!AN519),'中古車掲載'!AN519,"")</x:f>
      </x:c>
      <x:c r="BM518" s="3"/>
      <x:c r="BN518" s="3"/>
      <x:c r="BO518" s="3"/>
      <x:c r="BP518" s="3"/>
      <x:c r="BQ518" s="3"/>
      <x:c r="BR518" s="3"/>
    </x:row>
    <x:row r="519" ht="22" customHeight="1">
      <x:c r="A519" s="3" t="str">
        <x:v>Hilux Champ</x:v>
      </x:c>
      <x:c r="B519" s="3" t="str">
        <x:v>ICE</x:v>
      </x:c>
      <x:c r="C519" s="3" t="str">
        <x:v>Taladrod</x:v>
      </x:c>
      <x:c r="D519" s="3" t="str">
        <x:v>Pickup</x:v>
      </x:c>
      <x:c r="E519" s="3" t="str">
        <x:v>キャブ不明</x:v>
      </x:c>
      <x:c r="F519" s="3" t="n">
        <x:v>2025</x:v>
      </x:c>
      <x:c r="G519" s="3" t="str">
        <x:v>2.4 SWB ATTRACTIVE PACKAGE</x:v>
      </x:c>
      <x:c r="H519" s="3" t="str">
        <x:v>未掲載</x:v>
      </x:c>
      <x:c r="I519" s="3" t="str">
        <x:v>世代不明</x:v>
      </x:c>
      <x:c r="J519" s="22" t="n">
        <x:f>COUNT('中古車掲載'!AM643:AM649)</x:f>
        <x:v>7</x:v>
      </x:c>
      <x:c r="K519" s="22" t="n">
        <x:f>IF(COUNT('中古車掲載'!AM643:AM649)=0,"",QUARTILE('中古車掲載'!AM643:AM649,1))</x:f>
        <x:v>464000</x:v>
      </x:c>
      <x:c r="L519" s="22" t="n">
        <x:f>IF(COUNT('中古車掲載'!AM643:AM649)=0,"",MEDIAN('中古車掲載'!AM643:AM649))</x:f>
        <x:v>464000</x:v>
      </x:c>
      <x:c r="M519" s="22" t="n">
        <x:f>IF(COUNT('中古車掲載'!AM643:AM649)=0,"",QUARTILE('中古車掲載'!AM643:AM649,3))</x:f>
        <x:v>469000</x:v>
      </x:c>
      <x:c r="N519" s="22" t="n">
        <x:f>COUNT('中古車掲載'!AN643:AN649)</x:f>
        <x:v>0</x:v>
      </x:c>
      <x:c r="O519" s="23" t="str">
        <x:f>IF(COUNT('中古車掲載'!AN643:AN649)=0,"",MEDIAN('中古車掲載'!AN643:AN649))</x:f>
      </x:c>
      <x:c r="P519" s="3"/>
      <x:c r="Q519" s="3"/>
      <x:c r="R519" s="3"/>
      <x:c r="S519" s="3"/>
      <x:c r="T519" s="3"/>
      <x:c r="U519" s="3"/>
      <x:c r="V519" s="3"/>
      <x:c r="W519" s="3"/>
      <x:c r="X519" s="3"/>
      <x:c r="Y519" s="3"/>
      <x:c r="Z519" s="3"/>
      <x:c r="AA519" s="3"/>
      <x:c r="AB519" s="3"/>
      <x:c r="AC519" s="3"/>
      <x:c r="AD519" s="3"/>
      <x:c r="AE519" s="3"/>
      <x:c r="AF519" s="3"/>
      <x:c r="AG519" s="3"/>
      <x:c r="AH519" s="3"/>
      <x:c r="AI519" s="3"/>
      <x:c r="AJ519" s="3"/>
      <x:c r="AK519" s="3"/>
      <x:c r="AL519" s="3"/>
      <x:c r="AM519" s="3"/>
      <x:c r="AN519" s="3"/>
      <x:c r="AO519" s="3"/>
      <x:c r="AP519" s="3"/>
      <x:c r="AQ519" s="3"/>
      <x:c r="AR519" s="3"/>
      <x:c r="AS519" s="3"/>
      <x:c r="AT519" s="3"/>
      <x:c r="AU519" s="3"/>
      <x:c r="AV519" s="3"/>
      <x:c r="AW519" s="3"/>
      <x:c r="AX519" s="3"/>
      <x:c r="AY519" s="3"/>
      <x:c r="AZ519" s="3" t="str">
        <x:f>IF(AND('中古車掲載'!C520="One2car",'中古車掲載'!F520="ATTO 3",'中古車掲載'!L520="EXTENDED RANGE",'中古車掲載'!J520=2023,ISNUMBER('中古車掲載'!N520),'中古車掲載'!N520&gt;=20000,'中古車掲載'!O520&lt;=100000,'中古車掲載'!AL520=1),'中古車掲載'!U520,"")</x:f>
      </x:c>
      <x:c r="BA519" s="3" t="str">
        <x:f>IF(AND('中古車掲載'!C520="One2car",'中古車掲載'!F520="Corolla Cross",'中古車掲載'!L520="HEV PREMIUM SAFETY",'中古車掲載'!J520=2023,ISNUMBER('中古車掲載'!N520),'中古車掲載'!N520&gt;=20000,'中古車掲載'!O520&lt;=100000,'中古車掲載'!AL520=1,'中古車掲載'!Z520="https://www.one2car.com/en/cars-for-sale/toyota/corolla-cross/year-2023"),'中古車掲載'!U520,"")</x:f>
      </x:c>
      <x:c r="BB519" s="3" t="str">
        <x:f>IF(AND('中古車掲載'!C520="One2car",'中古車掲載'!F520="ATTO 3",'中古車掲載'!L520="EXTENDED RANGE",'中古車掲載'!J520=2023,ISNUMBER('中古車掲載'!N520),'中古車掲載'!N520&gt;=50000,'中古車掲載'!O520&lt;=100000,'中古車掲載'!AL520=1),'中古車掲載'!U520,"")</x:f>
      </x:c>
      <x:c r="BC519" s="3" t="str">
        <x:f>IF(AND('中古車掲載'!C520="One2car",'中古車掲載'!F520="Corolla Cross",'中古車掲載'!L520="HEV PREMIUM SAFETY",'中古車掲載'!J520=2023,ISNUMBER('中古車掲載'!N520),'中古車掲載'!N520&gt;=50000,'中古車掲載'!O520&lt;=100000,'中古車掲載'!AL520=1,'中古車掲載'!Z520="https://www.one2car.com/en/cars-for-sale/toyota/corolla-cross/year-2023"),'中古車掲載'!U520,"")</x:f>
      </x:c>
      <x:c r="BD519" s="3" t="str">
        <x:f>IF(AND('中古車掲載'!C520="One2car",'中古車掲載'!F520="ATTO 3",'中古車掲載'!L520="EXTENDED RANGE",'中古車掲載'!J520=2023,ISNUMBER('中古車掲載'!N520),'中古車掲載'!N520&gt;=20000,'中古車掲載'!O520&lt;=50000,'中古車掲載'!AL520=1),'中古車掲載'!U520,"")</x:f>
      </x:c>
      <x:c r="BE519" s="3" t="str">
        <x:f>IF(AND('中古車掲載'!C520="One2car",'中古車掲載'!F520="Corolla Cross",'中古車掲載'!L520="HEV PREMIUM SAFETY",'中古車掲載'!J520=2023,ISNUMBER('中古車掲載'!N520),'中古車掲載'!N520&gt;=20000,'中古車掲載'!O520&lt;=50000,'中古車掲載'!AL520=1,'中古車掲載'!Z520="https://www.one2car.com/en/cars-for-sale/toyota/corolla-cross/year-2023"),'中古車掲載'!U520,"")</x:f>
      </x:c>
      <x:c r="BF519" s="3" t="str">
        <x:f>IF(AND('中古車掲載'!C520="One2car",'中古車掲載'!F520="Corolla Cross",'中古車掲載'!L520="HEV PREMIUM",'中古車掲載'!J520=2023,ISNUMBER('中古車掲載'!N520),'中古車掲載'!N520&gt;=20000,'中古車掲載'!O520&lt;=100000,'中古車掲載'!AL520=1,'中古車掲載'!Z520="https://www.one2car.com/en/cars-for-sale/toyota/corolla-cross/year-2023"),'中古車掲載'!U520,"")</x:f>
      </x:c>
      <x:c r="BG519" s="3" t="str">
        <x:f>IF(AND('中古車掲載'!C520="One2car",'中古車掲載'!F520="Corolla Cross",'中古車掲載'!L520="HEV GR SPORT",'中古車掲載'!J520=2023,ISNUMBER('中古車掲載'!N520),'中古車掲載'!N520&gt;=20000,'中古車掲載'!O520&lt;=100000,'中古車掲載'!AL520=1,'中古車掲載'!Z520="https://www.one2car.com/en/cars-for-sale/toyota/corolla-cross/year-2023"),'中古車掲載'!U520,"")</x:f>
      </x:c>
      <x:c r="BH519" s="3" t="str">
        <x:f>IF(AND('中古車掲載'!C520="One2car",'中古車掲載'!F520="DOLPHIN",'中古車掲載'!L520="STANDARD RANGE",'中古車掲載'!J520=2023,ISNUMBER('中古車掲載'!N520),'中古車掲載'!N520&gt;=20000,'中古車掲載'!O520&lt;=100000,'中古車掲載'!AL520=1),'中古車掲載'!U520,"")</x:f>
      </x:c>
      <x:c r="BI519" s="3" t="str">
        <x:v>Taladrod|Fortuner|ICE|Unknown</x:v>
      </x:c>
      <x:c r="BJ519" s="3" t="n">
        <x:v>520</x:v>
      </x:c>
      <x:c r="BK519" s="3" t="n">
        <x:f>'中古車掲載'!AM520</x:f>
        <x:v>829000</x:v>
      </x:c>
      <x:c r="BL519" s="3" t="str">
        <x:f>IF(ISNUMBER('中古車掲載'!AN520),'中古車掲載'!AN520,"")</x:f>
      </x:c>
      <x:c r="BM519" s="3"/>
      <x:c r="BN519" s="3"/>
      <x:c r="BO519" s="3"/>
      <x:c r="BP519" s="3"/>
      <x:c r="BQ519" s="3"/>
      <x:c r="BR519" s="3"/>
    </x:row>
    <x:row r="520" ht="22" customHeight="1">
      <x:c r="A520" s="3" t="str">
        <x:v>Hilux Revo</x:v>
      </x:c>
      <x:c r="B520" s="3" t="str">
        <x:v>ICE</x:v>
      </x:c>
      <x:c r="C520" s="3" t="str">
        <x:v>Taladrod</x:v>
      </x:c>
      <x:c r="D520" s="3" t="str">
        <x:v>Pickup</x:v>
      </x:c>
      <x:c r="E520" s="3" t="str">
        <x:v>Double cab</x:v>
      </x:c>
      <x:c r="F520" s="3" t="n">
        <x:v>2020</x:v>
      </x:c>
      <x:c r="G520" s="3" t="str">
        <x:v>2.4 E DOUBLE CAB</x:v>
      </x:c>
      <x:c r="H520" s="3" t="str">
        <x:v>未掲載</x:v>
      </x:c>
      <x:c r="I520" s="3" t="str">
        <x:v>世代不明</x:v>
      </x:c>
      <x:c r="J520" s="22" t="n">
        <x:f>COUNT('中古車掲載'!AM650:AM650)</x:f>
        <x:v>1</x:v>
      </x:c>
      <x:c r="K520" s="22" t="n">
        <x:f>IF(COUNT('中古車掲載'!AM650:AM650)=0,"",QUARTILE('中古車掲載'!AM650:AM650,1))</x:f>
        <x:v>389000</x:v>
      </x:c>
      <x:c r="L520" s="22" t="n">
        <x:f>IF(COUNT('中古車掲載'!AM650:AM650)=0,"",MEDIAN('中古車掲載'!AM650:AM650))</x:f>
        <x:v>389000</x:v>
      </x:c>
      <x:c r="M520" s="22" t="n">
        <x:f>IF(COUNT('中古車掲載'!AM650:AM650)=0,"",QUARTILE('中古車掲載'!AM650:AM650,3))</x:f>
        <x:v>389000</x:v>
      </x:c>
      <x:c r="N520" s="22" t="n">
        <x:f>COUNT('中古車掲載'!AN650:AN650)</x:f>
        <x:v>0</x:v>
      </x:c>
      <x:c r="O520" s="23" t="str">
        <x:f>IF(COUNT('中古車掲載'!AN650:AN650)=0,"",MEDIAN('中古車掲載'!AN650:AN650))</x:f>
      </x:c>
      <x:c r="P520" s="3"/>
      <x:c r="Q520" s="3"/>
      <x:c r="R520" s="3"/>
      <x:c r="S520" s="3"/>
      <x:c r="T520" s="3"/>
      <x:c r="U520" s="3"/>
      <x:c r="V520" s="3"/>
      <x:c r="W520" s="3"/>
      <x:c r="X520" s="3"/>
      <x:c r="Y520" s="3"/>
      <x:c r="Z520" s="3"/>
      <x:c r="AA520" s="3"/>
      <x:c r="AB520" s="3"/>
      <x:c r="AC520" s="3"/>
      <x:c r="AD520" s="3"/>
      <x:c r="AE520" s="3"/>
      <x:c r="AF520" s="3"/>
      <x:c r="AG520" s="3"/>
      <x:c r="AH520" s="3"/>
      <x:c r="AI520" s="3"/>
      <x:c r="AJ520" s="3"/>
      <x:c r="AK520" s="3"/>
      <x:c r="AL520" s="3"/>
      <x:c r="AM520" s="3"/>
      <x:c r="AN520" s="3"/>
      <x:c r="AO520" s="3"/>
      <x:c r="AP520" s="3"/>
      <x:c r="AQ520" s="3"/>
      <x:c r="AR520" s="3"/>
      <x:c r="AS520" s="3"/>
      <x:c r="AT520" s="3"/>
      <x:c r="AU520" s="3"/>
      <x:c r="AV520" s="3"/>
      <x:c r="AW520" s="3"/>
      <x:c r="AX520" s="3"/>
      <x:c r="AY520" s="3"/>
      <x:c r="AZ520" s="3" t="str">
        <x:f>IF(AND('中古車掲載'!C521="One2car",'中古車掲載'!F521="ATTO 3",'中古車掲載'!L521="EXTENDED RANGE",'中古車掲載'!J521=2023,ISNUMBER('中古車掲載'!N521),'中古車掲載'!N521&gt;=20000,'中古車掲載'!O521&lt;=100000,'中古車掲載'!AL521=1),'中古車掲載'!U521,"")</x:f>
      </x:c>
      <x:c r="BA520" s="3" t="str">
        <x:f>IF(AND('中古車掲載'!C521="One2car",'中古車掲載'!F521="Corolla Cross",'中古車掲載'!L521="HEV PREMIUM SAFETY",'中古車掲載'!J521=2023,ISNUMBER('中古車掲載'!N521),'中古車掲載'!N521&gt;=20000,'中古車掲載'!O521&lt;=100000,'中古車掲載'!AL521=1,'中古車掲載'!Z521="https://www.one2car.com/en/cars-for-sale/toyota/corolla-cross/year-2023"),'中古車掲載'!U521,"")</x:f>
      </x:c>
      <x:c r="BB520" s="3" t="str">
        <x:f>IF(AND('中古車掲載'!C521="One2car",'中古車掲載'!F521="ATTO 3",'中古車掲載'!L521="EXTENDED RANGE",'中古車掲載'!J521=2023,ISNUMBER('中古車掲載'!N521),'中古車掲載'!N521&gt;=50000,'中古車掲載'!O521&lt;=100000,'中古車掲載'!AL521=1),'中古車掲載'!U521,"")</x:f>
      </x:c>
      <x:c r="BC520" s="3" t="str">
        <x:f>IF(AND('中古車掲載'!C521="One2car",'中古車掲載'!F521="Corolla Cross",'中古車掲載'!L521="HEV PREMIUM SAFETY",'中古車掲載'!J521=2023,ISNUMBER('中古車掲載'!N521),'中古車掲載'!N521&gt;=50000,'中古車掲載'!O521&lt;=100000,'中古車掲載'!AL521=1,'中古車掲載'!Z521="https://www.one2car.com/en/cars-for-sale/toyota/corolla-cross/year-2023"),'中古車掲載'!U521,"")</x:f>
      </x:c>
      <x:c r="BD520" s="3" t="str">
        <x:f>IF(AND('中古車掲載'!C521="One2car",'中古車掲載'!F521="ATTO 3",'中古車掲載'!L521="EXTENDED RANGE",'中古車掲載'!J521=2023,ISNUMBER('中古車掲載'!N521),'中古車掲載'!N521&gt;=20000,'中古車掲載'!O521&lt;=50000,'中古車掲載'!AL521=1),'中古車掲載'!U521,"")</x:f>
      </x:c>
      <x:c r="BE520" s="3" t="str">
        <x:f>IF(AND('中古車掲載'!C521="One2car",'中古車掲載'!F521="Corolla Cross",'中古車掲載'!L521="HEV PREMIUM SAFETY",'中古車掲載'!J521=2023,ISNUMBER('中古車掲載'!N521),'中古車掲載'!N521&gt;=20000,'中古車掲載'!O521&lt;=50000,'中古車掲載'!AL521=1,'中古車掲載'!Z521="https://www.one2car.com/en/cars-for-sale/toyota/corolla-cross/year-2023"),'中古車掲載'!U521,"")</x:f>
      </x:c>
      <x:c r="BF520" s="3" t="str">
        <x:f>IF(AND('中古車掲載'!C521="One2car",'中古車掲載'!F521="Corolla Cross",'中古車掲載'!L521="HEV PREMIUM",'中古車掲載'!J521=2023,ISNUMBER('中古車掲載'!N521),'中古車掲載'!N521&gt;=20000,'中古車掲載'!O521&lt;=100000,'中古車掲載'!AL521=1,'中古車掲載'!Z521="https://www.one2car.com/en/cars-for-sale/toyota/corolla-cross/year-2023"),'中古車掲載'!U521,"")</x:f>
      </x:c>
      <x:c r="BG520" s="3" t="str">
        <x:f>IF(AND('中古車掲載'!C521="One2car",'中古車掲載'!F521="Corolla Cross",'中古車掲載'!L521="HEV GR SPORT",'中古車掲載'!J521=2023,ISNUMBER('中古車掲載'!N521),'中古車掲載'!N521&gt;=20000,'中古車掲載'!O521&lt;=100000,'中古車掲載'!AL521=1,'中古車掲載'!Z521="https://www.one2car.com/en/cars-for-sale/toyota/corolla-cross/year-2023"),'中古車掲載'!U521,"")</x:f>
      </x:c>
      <x:c r="BH520" s="3" t="str">
        <x:f>IF(AND('中古車掲載'!C521="One2car",'中古車掲載'!F521="DOLPHIN",'中古車掲載'!L521="STANDARD RANGE",'中古車掲載'!J521=2023,ISNUMBER('中古車掲載'!N521),'中古車掲載'!N521&gt;=20000,'中古車掲載'!O521&lt;=100000,'中古車掲載'!AL521=1),'中古車掲載'!U521,"")</x:f>
      </x:c>
      <x:c r="BI520" s="3" t="str">
        <x:v>Taladrod|Fortuner|ICE|Unknown</x:v>
      </x:c>
      <x:c r="BJ520" s="3" t="n">
        <x:v>521</x:v>
      </x:c>
      <x:c r="BK520" s="3" t="n">
        <x:f>'中古車掲載'!AM521</x:f>
        <x:v>759000</x:v>
      </x:c>
      <x:c r="BL520" s="3" t="str">
        <x:f>IF(ISNUMBER('中古車掲載'!AN521),'中古車掲載'!AN521,"")</x:f>
      </x:c>
      <x:c r="BM520" s="3"/>
      <x:c r="BN520" s="3"/>
      <x:c r="BO520" s="3"/>
      <x:c r="BP520" s="3"/>
      <x:c r="BQ520" s="3"/>
      <x:c r="BR520" s="3"/>
    </x:row>
    <x:row r="521" ht="22" customHeight="1">
      <x:c r="A521" s="3" t="str">
        <x:v>Hilux Revo</x:v>
      </x:c>
      <x:c r="B521" s="3" t="str">
        <x:v>ICE</x:v>
      </x:c>
      <x:c r="C521" s="3" t="str">
        <x:v>Taladrod</x:v>
      </x:c>
      <x:c r="D521" s="3" t="str">
        <x:v>Pickup</x:v>
      </x:c>
      <x:c r="E521" s="3" t="str">
        <x:v>Double cab</x:v>
      </x:c>
      <x:c r="F521" s="3" t="n">
        <x:v>2020</x:v>
      </x:c>
      <x:c r="G521" s="3" t="str">
        <x:v>2.4 E PLUS PRERUNNER DOUBLE CAB</x:v>
      </x:c>
      <x:c r="H521" s="3" t="str">
        <x:v>未掲載</x:v>
      </x:c>
      <x:c r="I521" s="3" t="str">
        <x:v>世代不明</x:v>
      </x:c>
      <x:c r="J521" s="22" t="n">
        <x:f>COUNT('中古車掲載'!AM651:AM652)</x:f>
        <x:v>2</x:v>
      </x:c>
      <x:c r="K521" s="22" t="n">
        <x:f>IF(COUNT('中古車掲載'!AM651:AM652)=0,"",QUARTILE('中古車掲載'!AM651:AM652,1))</x:f>
        <x:v>558000</x:v>
      </x:c>
      <x:c r="L521" s="22" t="n">
        <x:f>IF(COUNT('中古車掲載'!AM651:AM652)=0,"",MEDIAN('中古車掲載'!AM651:AM652))</x:f>
        <x:v>562000</x:v>
      </x:c>
      <x:c r="M521" s="22" t="n">
        <x:f>IF(COUNT('中古車掲載'!AM651:AM652)=0,"",QUARTILE('中古車掲載'!AM651:AM652,3))</x:f>
        <x:v>566000</x:v>
      </x:c>
      <x:c r="N521" s="22" t="n">
        <x:f>COUNT('中古車掲載'!AN651:AN652)</x:f>
        <x:v>0</x:v>
      </x:c>
      <x:c r="O521" s="23" t="str">
        <x:f>IF(COUNT('中古車掲載'!AN651:AN652)=0,"",MEDIAN('中古車掲載'!AN651:AN652))</x:f>
      </x:c>
      <x:c r="P521" s="3"/>
      <x:c r="Q521" s="3"/>
      <x:c r="R521" s="3"/>
      <x:c r="S521" s="3"/>
      <x:c r="T521" s="3"/>
      <x:c r="U521" s="3"/>
      <x:c r="V521" s="3"/>
      <x:c r="W521" s="3"/>
      <x:c r="X521" s="3"/>
      <x:c r="Y521" s="3"/>
      <x:c r="Z521" s="3"/>
      <x:c r="AA521" s="3"/>
      <x:c r="AB521" s="3"/>
      <x:c r="AC521" s="3"/>
      <x:c r="AD521" s="3"/>
      <x:c r="AE521" s="3"/>
      <x:c r="AF521" s="3"/>
      <x:c r="AG521" s="3"/>
      <x:c r="AH521" s="3"/>
      <x:c r="AI521" s="3"/>
      <x:c r="AJ521" s="3"/>
      <x:c r="AK521" s="3"/>
      <x:c r="AL521" s="3"/>
      <x:c r="AM521" s="3"/>
      <x:c r="AN521" s="3"/>
      <x:c r="AO521" s="3"/>
      <x:c r="AP521" s="3"/>
      <x:c r="AQ521" s="3"/>
      <x:c r="AR521" s="3"/>
      <x:c r="AS521" s="3"/>
      <x:c r="AT521" s="3"/>
      <x:c r="AU521" s="3"/>
      <x:c r="AV521" s="3"/>
      <x:c r="AW521" s="3"/>
      <x:c r="AX521" s="3"/>
      <x:c r="AY521" s="3"/>
      <x:c r="AZ521" s="3" t="str">
        <x:f>IF(AND('中古車掲載'!C522="One2car",'中古車掲載'!F522="ATTO 3",'中古車掲載'!L522="EXTENDED RANGE",'中古車掲載'!J522=2023,ISNUMBER('中古車掲載'!N522),'中古車掲載'!N522&gt;=20000,'中古車掲載'!O522&lt;=100000,'中古車掲載'!AL522=1),'中古車掲載'!U522,"")</x:f>
      </x:c>
      <x:c r="BA521" s="3" t="str">
        <x:f>IF(AND('中古車掲載'!C522="One2car",'中古車掲載'!F522="Corolla Cross",'中古車掲載'!L522="HEV PREMIUM SAFETY",'中古車掲載'!J522=2023,ISNUMBER('中古車掲載'!N522),'中古車掲載'!N522&gt;=20000,'中古車掲載'!O522&lt;=100000,'中古車掲載'!AL522=1,'中古車掲載'!Z522="https://www.one2car.com/en/cars-for-sale/toyota/corolla-cross/year-2023"),'中古車掲載'!U522,"")</x:f>
      </x:c>
      <x:c r="BB521" s="3" t="str">
        <x:f>IF(AND('中古車掲載'!C522="One2car",'中古車掲載'!F522="ATTO 3",'中古車掲載'!L522="EXTENDED RANGE",'中古車掲載'!J522=2023,ISNUMBER('中古車掲載'!N522),'中古車掲載'!N522&gt;=50000,'中古車掲載'!O522&lt;=100000,'中古車掲載'!AL522=1),'中古車掲載'!U522,"")</x:f>
      </x:c>
      <x:c r="BC521" s="3" t="str">
        <x:f>IF(AND('中古車掲載'!C522="One2car",'中古車掲載'!F522="Corolla Cross",'中古車掲載'!L522="HEV PREMIUM SAFETY",'中古車掲載'!J522=2023,ISNUMBER('中古車掲載'!N522),'中古車掲載'!N522&gt;=50000,'中古車掲載'!O522&lt;=100000,'中古車掲載'!AL522=1,'中古車掲載'!Z522="https://www.one2car.com/en/cars-for-sale/toyota/corolla-cross/year-2023"),'中古車掲載'!U522,"")</x:f>
      </x:c>
      <x:c r="BD521" s="3" t="str">
        <x:f>IF(AND('中古車掲載'!C522="One2car",'中古車掲載'!F522="ATTO 3",'中古車掲載'!L522="EXTENDED RANGE",'中古車掲載'!J522=2023,ISNUMBER('中古車掲載'!N522),'中古車掲載'!N522&gt;=20000,'中古車掲載'!O522&lt;=50000,'中古車掲載'!AL522=1),'中古車掲載'!U522,"")</x:f>
      </x:c>
      <x:c r="BE521" s="3" t="str">
        <x:f>IF(AND('中古車掲載'!C522="One2car",'中古車掲載'!F522="Corolla Cross",'中古車掲載'!L522="HEV PREMIUM SAFETY",'中古車掲載'!J522=2023,ISNUMBER('中古車掲載'!N522),'中古車掲載'!N522&gt;=20000,'中古車掲載'!O522&lt;=50000,'中古車掲載'!AL522=1,'中古車掲載'!Z522="https://www.one2car.com/en/cars-for-sale/toyota/corolla-cross/year-2023"),'中古車掲載'!U522,"")</x:f>
      </x:c>
      <x:c r="BF521" s="3" t="str">
        <x:f>IF(AND('中古車掲載'!C522="One2car",'中古車掲載'!F522="Corolla Cross",'中古車掲載'!L522="HEV PREMIUM",'中古車掲載'!J522=2023,ISNUMBER('中古車掲載'!N522),'中古車掲載'!N522&gt;=20000,'中古車掲載'!O522&lt;=100000,'中古車掲載'!AL522=1,'中古車掲載'!Z522="https://www.one2car.com/en/cars-for-sale/toyota/corolla-cross/year-2023"),'中古車掲載'!U522,"")</x:f>
      </x:c>
      <x:c r="BG521" s="3" t="str">
        <x:f>IF(AND('中古車掲載'!C522="One2car",'中古車掲載'!F522="Corolla Cross",'中古車掲載'!L522="HEV GR SPORT",'中古車掲載'!J522=2023,ISNUMBER('中古車掲載'!N522),'中古車掲載'!N522&gt;=20000,'中古車掲載'!O522&lt;=100000,'中古車掲載'!AL522=1,'中古車掲載'!Z522="https://www.one2car.com/en/cars-for-sale/toyota/corolla-cross/year-2023"),'中古車掲載'!U522,"")</x:f>
      </x:c>
      <x:c r="BH521" s="3" t="str">
        <x:f>IF(AND('中古車掲載'!C522="One2car",'中古車掲載'!F522="DOLPHIN",'中古車掲載'!L522="STANDARD RANGE",'中古車掲載'!J522=2023,ISNUMBER('中古車掲載'!N522),'中古車掲載'!N522&gt;=20000,'中古車掲載'!O522&lt;=100000,'中古車掲載'!AL522=1),'中古車掲載'!U522,"")</x:f>
      </x:c>
      <x:c r="BI521" s="3" t="str">
        <x:v>Taladrod|Fortuner|ICE|Unknown</x:v>
      </x:c>
      <x:c r="BJ521" s="3" t="n">
        <x:v>522</x:v>
      </x:c>
      <x:c r="BK521" s="3" t="n">
        <x:f>'中古車掲載'!AM522</x:f>
        <x:v>899000</x:v>
      </x:c>
      <x:c r="BL521" s="3" t="str">
        <x:f>IF(ISNUMBER('中古車掲載'!AN522),'中古車掲載'!AN522,"")</x:f>
      </x:c>
      <x:c r="BM521" s="3"/>
      <x:c r="BN521" s="3"/>
      <x:c r="BO521" s="3"/>
      <x:c r="BP521" s="3"/>
      <x:c r="BQ521" s="3"/>
      <x:c r="BR521" s="3"/>
    </x:row>
    <x:row r="522" ht="22" customHeight="1">
      <x:c r="A522" s="3" t="str">
        <x:v>Hilux Revo</x:v>
      </x:c>
      <x:c r="B522" s="3" t="str">
        <x:v>ICE</x:v>
      </x:c>
      <x:c r="C522" s="3" t="str">
        <x:v>Taladrod</x:v>
      </x:c>
      <x:c r="D522" s="3" t="str">
        <x:v>Pickup</x:v>
      </x:c>
      <x:c r="E522" s="3" t="str">
        <x:v>Double cab</x:v>
      </x:c>
      <x:c r="F522" s="3" t="n">
        <x:v>2020</x:v>
      </x:c>
      <x:c r="G522" s="3" t="str">
        <x:v>2.4 E PRERUNNER DOUBLE CAB</x:v>
      </x:c>
      <x:c r="H522" s="3" t="str">
        <x:v>未掲載</x:v>
      </x:c>
      <x:c r="I522" s="3" t="str">
        <x:v>世代不明</x:v>
      </x:c>
      <x:c r="J522" s="22" t="n">
        <x:f>COUNT('中古車掲載'!AM653:AM653)</x:f>
        <x:v>1</x:v>
      </x:c>
      <x:c r="K522" s="22" t="n">
        <x:f>IF(COUNT('中古車掲載'!AM653:AM653)=0,"",QUARTILE('中古車掲載'!AM653:AM653,1))</x:f>
        <x:v>539000</x:v>
      </x:c>
      <x:c r="L522" s="22" t="n">
        <x:f>IF(COUNT('中古車掲載'!AM653:AM653)=0,"",MEDIAN('中古車掲載'!AM653:AM653))</x:f>
        <x:v>539000</x:v>
      </x:c>
      <x:c r="M522" s="22" t="n">
        <x:f>IF(COUNT('中古車掲載'!AM653:AM653)=0,"",QUARTILE('中古車掲載'!AM653:AM653,3))</x:f>
        <x:v>539000</x:v>
      </x:c>
      <x:c r="N522" s="22" t="n">
        <x:f>COUNT('中古車掲載'!AN653:AN653)</x:f>
        <x:v>0</x:v>
      </x:c>
      <x:c r="O522" s="23" t="str">
        <x:f>IF(COUNT('中古車掲載'!AN653:AN653)=0,"",MEDIAN('中古車掲載'!AN653:AN653))</x:f>
      </x:c>
      <x:c r="P522" s="3"/>
      <x:c r="Q522" s="3"/>
      <x:c r="R522" s="3"/>
      <x:c r="S522" s="3"/>
      <x:c r="T522" s="3"/>
      <x:c r="U522" s="3"/>
      <x:c r="V522" s="3"/>
      <x:c r="W522" s="3"/>
      <x:c r="X522" s="3"/>
      <x:c r="Y522" s="3"/>
      <x:c r="Z522" s="3"/>
      <x:c r="AA522" s="3"/>
      <x:c r="AB522" s="3"/>
      <x:c r="AC522" s="3"/>
      <x:c r="AD522" s="3"/>
      <x:c r="AE522" s="3"/>
      <x:c r="AF522" s="3"/>
      <x:c r="AG522" s="3"/>
      <x:c r="AH522" s="3"/>
      <x:c r="AI522" s="3"/>
      <x:c r="AJ522" s="3"/>
      <x:c r="AK522" s="3"/>
      <x:c r="AL522" s="3"/>
      <x:c r="AM522" s="3"/>
      <x:c r="AN522" s="3"/>
      <x:c r="AO522" s="3"/>
      <x:c r="AP522" s="3"/>
      <x:c r="AQ522" s="3"/>
      <x:c r="AR522" s="3"/>
      <x:c r="AS522" s="3"/>
      <x:c r="AT522" s="3"/>
      <x:c r="AU522" s="3"/>
      <x:c r="AV522" s="3"/>
      <x:c r="AW522" s="3"/>
      <x:c r="AX522" s="3"/>
      <x:c r="AY522" s="3"/>
      <x:c r="AZ522" s="3" t="str">
        <x:f>IF(AND('中古車掲載'!C523="One2car",'中古車掲載'!F523="ATTO 3",'中古車掲載'!L523="EXTENDED RANGE",'中古車掲載'!J523=2023,ISNUMBER('中古車掲載'!N523),'中古車掲載'!N523&gt;=20000,'中古車掲載'!O523&lt;=100000,'中古車掲載'!AL523=1),'中古車掲載'!U523,"")</x:f>
      </x:c>
      <x:c r="BA522" s="3" t="str">
        <x:f>IF(AND('中古車掲載'!C523="One2car",'中古車掲載'!F523="Corolla Cross",'中古車掲載'!L523="HEV PREMIUM SAFETY",'中古車掲載'!J523=2023,ISNUMBER('中古車掲載'!N523),'中古車掲載'!N523&gt;=20000,'中古車掲載'!O523&lt;=100000,'中古車掲載'!AL523=1,'中古車掲載'!Z523="https://www.one2car.com/en/cars-for-sale/toyota/corolla-cross/year-2023"),'中古車掲載'!U523,"")</x:f>
      </x:c>
      <x:c r="BB522" s="3" t="str">
        <x:f>IF(AND('中古車掲載'!C523="One2car",'中古車掲載'!F523="ATTO 3",'中古車掲載'!L523="EXTENDED RANGE",'中古車掲載'!J523=2023,ISNUMBER('中古車掲載'!N523),'中古車掲載'!N523&gt;=50000,'中古車掲載'!O523&lt;=100000,'中古車掲載'!AL523=1),'中古車掲載'!U523,"")</x:f>
      </x:c>
      <x:c r="BC522" s="3" t="str">
        <x:f>IF(AND('中古車掲載'!C523="One2car",'中古車掲載'!F523="Corolla Cross",'中古車掲載'!L523="HEV PREMIUM SAFETY",'中古車掲載'!J523=2023,ISNUMBER('中古車掲載'!N523),'中古車掲載'!N523&gt;=50000,'中古車掲載'!O523&lt;=100000,'中古車掲載'!AL523=1,'中古車掲載'!Z523="https://www.one2car.com/en/cars-for-sale/toyota/corolla-cross/year-2023"),'中古車掲載'!U523,"")</x:f>
      </x:c>
      <x:c r="BD522" s="3" t="str">
        <x:f>IF(AND('中古車掲載'!C523="One2car",'中古車掲載'!F523="ATTO 3",'中古車掲載'!L523="EXTENDED RANGE",'中古車掲載'!J523=2023,ISNUMBER('中古車掲載'!N523),'中古車掲載'!N523&gt;=20000,'中古車掲載'!O523&lt;=50000,'中古車掲載'!AL523=1),'中古車掲載'!U523,"")</x:f>
      </x:c>
      <x:c r="BE522" s="3" t="str">
        <x:f>IF(AND('中古車掲載'!C523="One2car",'中古車掲載'!F523="Corolla Cross",'中古車掲載'!L523="HEV PREMIUM SAFETY",'中古車掲載'!J523=2023,ISNUMBER('中古車掲載'!N523),'中古車掲載'!N523&gt;=20000,'中古車掲載'!O523&lt;=50000,'中古車掲載'!AL523=1,'中古車掲載'!Z523="https://www.one2car.com/en/cars-for-sale/toyota/corolla-cross/year-2023"),'中古車掲載'!U523,"")</x:f>
      </x:c>
      <x:c r="BF522" s="3" t="str">
        <x:f>IF(AND('中古車掲載'!C523="One2car",'中古車掲載'!F523="Corolla Cross",'中古車掲載'!L523="HEV PREMIUM",'中古車掲載'!J523=2023,ISNUMBER('中古車掲載'!N523),'中古車掲載'!N523&gt;=20000,'中古車掲載'!O523&lt;=100000,'中古車掲載'!AL523=1,'中古車掲載'!Z523="https://www.one2car.com/en/cars-for-sale/toyota/corolla-cross/year-2023"),'中古車掲載'!U523,"")</x:f>
      </x:c>
      <x:c r="BG522" s="3" t="str">
        <x:f>IF(AND('中古車掲載'!C523="One2car",'中古車掲載'!F523="Corolla Cross",'中古車掲載'!L523="HEV GR SPORT",'中古車掲載'!J523=2023,ISNUMBER('中古車掲載'!N523),'中古車掲載'!N523&gt;=20000,'中古車掲載'!O523&lt;=100000,'中古車掲載'!AL523=1,'中古車掲載'!Z523="https://www.one2car.com/en/cars-for-sale/toyota/corolla-cross/year-2023"),'中古車掲載'!U523,"")</x:f>
      </x:c>
      <x:c r="BH522" s="3" t="str">
        <x:f>IF(AND('中古車掲載'!C523="One2car",'中古車掲載'!F523="DOLPHIN",'中古車掲載'!L523="STANDARD RANGE",'中古車掲載'!J523=2023,ISNUMBER('中古車掲載'!N523),'中古車掲載'!N523&gt;=20000,'中古車掲載'!O523&lt;=100000,'中古車掲載'!AL523=1),'中古車掲載'!U523,"")</x:f>
      </x:c>
      <x:c r="BI522" s="3" t="str">
        <x:v>Taladrod|Fortuner|ICE|Unknown</x:v>
      </x:c>
      <x:c r="BJ522" s="3" t="n">
        <x:v>523</x:v>
      </x:c>
      <x:c r="BK522" s="3" t="n">
        <x:f>'中古車掲載'!AM523</x:f>
        <x:v>919000</x:v>
      </x:c>
      <x:c r="BL522" s="3" t="str">
        <x:f>IF(ISNUMBER('中古車掲載'!AN523),'中古車掲載'!AN523,"")</x:f>
      </x:c>
      <x:c r="BM522" s="3"/>
      <x:c r="BN522" s="3"/>
      <x:c r="BO522" s="3"/>
      <x:c r="BP522" s="3"/>
      <x:c r="BQ522" s="3"/>
      <x:c r="BR522" s="3"/>
    </x:row>
    <x:row r="523" ht="22" customHeight="1">
      <x:c r="A523" s="3" t="str">
        <x:v>Hilux Revo</x:v>
      </x:c>
      <x:c r="B523" s="3" t="str">
        <x:v>ICE</x:v>
      </x:c>
      <x:c r="C523" s="3" t="str">
        <x:v>Taladrod</x:v>
      </x:c>
      <x:c r="D523" s="3" t="str">
        <x:v>Pickup</x:v>
      </x:c>
      <x:c r="E523" s="3" t="str">
        <x:v>Double cab</x:v>
      </x:c>
      <x:c r="F523" s="3" t="n">
        <x:v>2020</x:v>
      </x:c>
      <x:c r="G523" s="3" t="str">
        <x:v>2.4 ENTRY PRERUNNER DOUBLE CAB</x:v>
      </x:c>
      <x:c r="H523" s="3" t="str">
        <x:v>未掲載</x:v>
      </x:c>
      <x:c r="I523" s="3" t="str">
        <x:v>世代不明</x:v>
      </x:c>
      <x:c r="J523" s="22" t="n">
        <x:f>COUNT('中古車掲載'!AM656:AM656)</x:f>
        <x:v>1</x:v>
      </x:c>
      <x:c r="K523" s="22" t="n">
        <x:f>IF(COUNT('中古車掲載'!AM656:AM656)=0,"",QUARTILE('中古車掲載'!AM656:AM656,1))</x:f>
        <x:v>599000</x:v>
      </x:c>
      <x:c r="L523" s="22" t="n">
        <x:f>IF(COUNT('中古車掲載'!AM656:AM656)=0,"",MEDIAN('中古車掲載'!AM656:AM656))</x:f>
        <x:v>599000</x:v>
      </x:c>
      <x:c r="M523" s="22" t="n">
        <x:f>IF(COUNT('中古車掲載'!AM656:AM656)=0,"",QUARTILE('中古車掲載'!AM656:AM656,3))</x:f>
        <x:v>599000</x:v>
      </x:c>
      <x:c r="N523" s="22" t="n">
        <x:f>COUNT('中古車掲載'!AN656:AN656)</x:f>
        <x:v>0</x:v>
      </x:c>
      <x:c r="O523" s="23" t="str">
        <x:f>IF(COUNT('中古車掲載'!AN656:AN656)=0,"",MEDIAN('中古車掲載'!AN656:AN656))</x:f>
      </x:c>
      <x:c r="P523" s="3"/>
      <x:c r="Q523" s="3"/>
      <x:c r="R523" s="3"/>
      <x:c r="S523" s="3"/>
      <x:c r="T523" s="3"/>
      <x:c r="U523" s="3"/>
      <x:c r="V523" s="3"/>
      <x:c r="W523" s="3"/>
      <x:c r="X523" s="3"/>
      <x:c r="Y523" s="3"/>
      <x:c r="Z523" s="3"/>
      <x:c r="AA523" s="3"/>
      <x:c r="AB523" s="3"/>
      <x:c r="AC523" s="3"/>
      <x:c r="AD523" s="3"/>
      <x:c r="AE523" s="3"/>
      <x:c r="AF523" s="3"/>
      <x:c r="AG523" s="3"/>
      <x:c r="AH523" s="3"/>
      <x:c r="AI523" s="3"/>
      <x:c r="AJ523" s="3"/>
      <x:c r="AK523" s="3"/>
      <x:c r="AL523" s="3"/>
      <x:c r="AM523" s="3"/>
      <x:c r="AN523" s="3"/>
      <x:c r="AO523" s="3"/>
      <x:c r="AP523" s="3"/>
      <x:c r="AQ523" s="3"/>
      <x:c r="AR523" s="3"/>
      <x:c r="AS523" s="3"/>
      <x:c r="AT523" s="3"/>
      <x:c r="AU523" s="3"/>
      <x:c r="AV523" s="3"/>
      <x:c r="AW523" s="3"/>
      <x:c r="AX523" s="3"/>
      <x:c r="AY523" s="3"/>
      <x:c r="AZ523" s="3" t="str">
        <x:f>IF(AND('中古車掲載'!C524="One2car",'中古車掲載'!F524="ATTO 3",'中古車掲載'!L524="EXTENDED RANGE",'中古車掲載'!J524=2023,ISNUMBER('中古車掲載'!N524),'中古車掲載'!N524&gt;=20000,'中古車掲載'!O524&lt;=100000,'中古車掲載'!AL524=1),'中古車掲載'!U524,"")</x:f>
      </x:c>
      <x:c r="BA523" s="3" t="str">
        <x:f>IF(AND('中古車掲載'!C524="One2car",'中古車掲載'!F524="Corolla Cross",'中古車掲載'!L524="HEV PREMIUM SAFETY",'中古車掲載'!J524=2023,ISNUMBER('中古車掲載'!N524),'中古車掲載'!N524&gt;=20000,'中古車掲載'!O524&lt;=100000,'中古車掲載'!AL524=1,'中古車掲載'!Z524="https://www.one2car.com/en/cars-for-sale/toyota/corolla-cross/year-2023"),'中古車掲載'!U524,"")</x:f>
      </x:c>
      <x:c r="BB523" s="3" t="str">
        <x:f>IF(AND('中古車掲載'!C524="One2car",'中古車掲載'!F524="ATTO 3",'中古車掲載'!L524="EXTENDED RANGE",'中古車掲載'!J524=2023,ISNUMBER('中古車掲載'!N524),'中古車掲載'!N524&gt;=50000,'中古車掲載'!O524&lt;=100000,'中古車掲載'!AL524=1),'中古車掲載'!U524,"")</x:f>
      </x:c>
      <x:c r="BC523" s="3" t="str">
        <x:f>IF(AND('中古車掲載'!C524="One2car",'中古車掲載'!F524="Corolla Cross",'中古車掲載'!L524="HEV PREMIUM SAFETY",'中古車掲載'!J524=2023,ISNUMBER('中古車掲載'!N524),'中古車掲載'!N524&gt;=50000,'中古車掲載'!O524&lt;=100000,'中古車掲載'!AL524=1,'中古車掲載'!Z524="https://www.one2car.com/en/cars-for-sale/toyota/corolla-cross/year-2023"),'中古車掲載'!U524,"")</x:f>
      </x:c>
      <x:c r="BD523" s="3" t="str">
        <x:f>IF(AND('中古車掲載'!C524="One2car",'中古車掲載'!F524="ATTO 3",'中古車掲載'!L524="EXTENDED RANGE",'中古車掲載'!J524=2023,ISNUMBER('中古車掲載'!N524),'中古車掲載'!N524&gt;=20000,'中古車掲載'!O524&lt;=50000,'中古車掲載'!AL524=1),'中古車掲載'!U524,"")</x:f>
      </x:c>
      <x:c r="BE523" s="3" t="str">
        <x:f>IF(AND('中古車掲載'!C524="One2car",'中古車掲載'!F524="Corolla Cross",'中古車掲載'!L524="HEV PREMIUM SAFETY",'中古車掲載'!J524=2023,ISNUMBER('中古車掲載'!N524),'中古車掲載'!N524&gt;=20000,'中古車掲載'!O524&lt;=50000,'中古車掲載'!AL524=1,'中古車掲載'!Z524="https://www.one2car.com/en/cars-for-sale/toyota/corolla-cross/year-2023"),'中古車掲載'!U524,"")</x:f>
      </x:c>
      <x:c r="BF523" s="3" t="str">
        <x:f>IF(AND('中古車掲載'!C524="One2car",'中古車掲載'!F524="Corolla Cross",'中古車掲載'!L524="HEV PREMIUM",'中古車掲載'!J524=2023,ISNUMBER('中古車掲載'!N524),'中古車掲載'!N524&gt;=20000,'中古車掲載'!O524&lt;=100000,'中古車掲載'!AL524=1,'中古車掲載'!Z524="https://www.one2car.com/en/cars-for-sale/toyota/corolla-cross/year-2023"),'中古車掲載'!U524,"")</x:f>
      </x:c>
      <x:c r="BG523" s="3" t="str">
        <x:f>IF(AND('中古車掲載'!C524="One2car",'中古車掲載'!F524="Corolla Cross",'中古車掲載'!L524="HEV GR SPORT",'中古車掲載'!J524=2023,ISNUMBER('中古車掲載'!N524),'中古車掲載'!N524&gt;=20000,'中古車掲載'!O524&lt;=100000,'中古車掲載'!AL524=1,'中古車掲載'!Z524="https://www.one2car.com/en/cars-for-sale/toyota/corolla-cross/year-2023"),'中古車掲載'!U524,"")</x:f>
      </x:c>
      <x:c r="BH523" s="3" t="str">
        <x:f>IF(AND('中古車掲載'!C524="One2car",'中古車掲載'!F524="DOLPHIN",'中古車掲載'!L524="STANDARD RANGE",'中古車掲載'!J524=2023,ISNUMBER('中古車掲載'!N524),'中古車掲載'!N524&gt;=20000,'中古車掲載'!O524&lt;=100000,'中古車掲載'!AL524=1),'中古車掲載'!U524,"")</x:f>
      </x:c>
      <x:c r="BI523" s="3" t="str">
        <x:v>Taladrod|Fortuner|ICE|Unknown</x:v>
      </x:c>
      <x:c r="BJ523" s="3" t="n">
        <x:v>524</x:v>
      </x:c>
      <x:c r="BK523" s="3" t="n">
        <x:f>'中古車掲載'!AM524</x:f>
        <x:v>819000</x:v>
      </x:c>
      <x:c r="BL523" s="3" t="str">
        <x:f>IF(ISNUMBER('中古車掲載'!AN524),'中古車掲載'!AN524,"")</x:f>
      </x:c>
      <x:c r="BM523" s="3"/>
      <x:c r="BN523" s="3"/>
      <x:c r="BO523" s="3"/>
      <x:c r="BP523" s="3"/>
      <x:c r="BQ523" s="3"/>
      <x:c r="BR523" s="3"/>
    </x:row>
    <x:row r="524" ht="22" customHeight="1">
      <x:c r="A524" s="3" t="str">
        <x:v>Hilux Revo</x:v>
      </x:c>
      <x:c r="B524" s="3" t="str">
        <x:v>ICE</x:v>
      </x:c>
      <x:c r="C524" s="3" t="str">
        <x:v>Taladrod</x:v>
      </x:c>
      <x:c r="D524" s="3" t="str">
        <x:v>Pickup</x:v>
      </x:c>
      <x:c r="E524" s="3" t="str">
        <x:v>Double cab</x:v>
      </x:c>
      <x:c r="F524" s="3" t="n">
        <x:v>2020</x:v>
      </x:c>
      <x:c r="G524" s="3" t="str">
        <x:v>2.4 ENTRY Z EDITION DOUBLE CAB</x:v>
      </x:c>
      <x:c r="H524" s="3" t="str">
        <x:v>未掲載</x:v>
      </x:c>
      <x:c r="I524" s="3" t="str">
        <x:v>世代不明</x:v>
      </x:c>
      <x:c r="J524" s="22" t="n">
        <x:f>COUNT('中古車掲載'!AM664:AM665)</x:f>
        <x:v>2</x:v>
      </x:c>
      <x:c r="K524" s="22" t="n">
        <x:f>IF(COUNT('中古車掲載'!AM664:AM665)=0,"",QUARTILE('中古車掲載'!AM664:AM665,1))</x:f>
        <x:v>405500</x:v>
      </x:c>
      <x:c r="L524" s="22" t="n">
        <x:f>IF(COUNT('中古車掲載'!AM664:AM665)=0,"",MEDIAN('中古車掲載'!AM664:AM665))</x:f>
        <x:v>412000</x:v>
      </x:c>
      <x:c r="M524" s="22" t="n">
        <x:f>IF(COUNT('中古車掲載'!AM664:AM665)=0,"",QUARTILE('中古車掲載'!AM664:AM665,3))</x:f>
        <x:v>418500</x:v>
      </x:c>
      <x:c r="N524" s="22" t="n">
        <x:f>COUNT('中古車掲載'!AN664:AN665)</x:f>
        <x:v>0</x:v>
      </x:c>
      <x:c r="O524" s="23" t="str">
        <x:f>IF(COUNT('中古車掲載'!AN664:AN665)=0,"",MEDIAN('中古車掲載'!AN664:AN665))</x:f>
      </x:c>
      <x:c r="P524" s="3"/>
      <x:c r="Q524" s="3"/>
      <x:c r="R524" s="3"/>
      <x:c r="S524" s="3"/>
      <x:c r="T524" s="3"/>
      <x:c r="U524" s="3"/>
      <x:c r="V524" s="3"/>
      <x:c r="W524" s="3"/>
      <x:c r="X524" s="3"/>
      <x:c r="Y524" s="3"/>
      <x:c r="Z524" s="3"/>
      <x:c r="AA524" s="3"/>
      <x:c r="AB524" s="3"/>
      <x:c r="AC524" s="3"/>
      <x:c r="AD524" s="3"/>
      <x:c r="AE524" s="3"/>
      <x:c r="AF524" s="3"/>
      <x:c r="AG524" s="3"/>
      <x:c r="AH524" s="3"/>
      <x:c r="AI524" s="3"/>
      <x:c r="AJ524" s="3"/>
      <x:c r="AK524" s="3"/>
      <x:c r="AL524" s="3"/>
      <x:c r="AM524" s="3"/>
      <x:c r="AN524" s="3"/>
      <x:c r="AO524" s="3"/>
      <x:c r="AP524" s="3"/>
      <x:c r="AQ524" s="3"/>
      <x:c r="AR524" s="3"/>
      <x:c r="AS524" s="3"/>
      <x:c r="AT524" s="3"/>
      <x:c r="AU524" s="3"/>
      <x:c r="AV524" s="3"/>
      <x:c r="AW524" s="3"/>
      <x:c r="AX524" s="3"/>
      <x:c r="AY524" s="3"/>
      <x:c r="AZ524" s="3" t="str">
        <x:f>IF(AND('中古車掲載'!C525="One2car",'中古車掲載'!F525="ATTO 3",'中古車掲載'!L525="EXTENDED RANGE",'中古車掲載'!J525=2023,ISNUMBER('中古車掲載'!N525),'中古車掲載'!N525&gt;=20000,'中古車掲載'!O525&lt;=100000,'中古車掲載'!AL525=1),'中古車掲載'!U525,"")</x:f>
      </x:c>
      <x:c r="BA524" s="3" t="str">
        <x:f>IF(AND('中古車掲載'!C525="One2car",'中古車掲載'!F525="Corolla Cross",'中古車掲載'!L525="HEV PREMIUM SAFETY",'中古車掲載'!J525=2023,ISNUMBER('中古車掲載'!N525),'中古車掲載'!N525&gt;=20000,'中古車掲載'!O525&lt;=100000,'中古車掲載'!AL525=1,'中古車掲載'!Z525="https://www.one2car.com/en/cars-for-sale/toyota/corolla-cross/year-2023"),'中古車掲載'!U525,"")</x:f>
      </x:c>
      <x:c r="BB524" s="3" t="str">
        <x:f>IF(AND('中古車掲載'!C525="One2car",'中古車掲載'!F525="ATTO 3",'中古車掲載'!L525="EXTENDED RANGE",'中古車掲載'!J525=2023,ISNUMBER('中古車掲載'!N525),'中古車掲載'!N525&gt;=50000,'中古車掲載'!O525&lt;=100000,'中古車掲載'!AL525=1),'中古車掲載'!U525,"")</x:f>
      </x:c>
      <x:c r="BC524" s="3" t="str">
        <x:f>IF(AND('中古車掲載'!C525="One2car",'中古車掲載'!F525="Corolla Cross",'中古車掲載'!L525="HEV PREMIUM SAFETY",'中古車掲載'!J525=2023,ISNUMBER('中古車掲載'!N525),'中古車掲載'!N525&gt;=50000,'中古車掲載'!O525&lt;=100000,'中古車掲載'!AL525=1,'中古車掲載'!Z525="https://www.one2car.com/en/cars-for-sale/toyota/corolla-cross/year-2023"),'中古車掲載'!U525,"")</x:f>
      </x:c>
      <x:c r="BD524" s="3" t="str">
        <x:f>IF(AND('中古車掲載'!C525="One2car",'中古車掲載'!F525="ATTO 3",'中古車掲載'!L525="EXTENDED RANGE",'中古車掲載'!J525=2023,ISNUMBER('中古車掲載'!N525),'中古車掲載'!N525&gt;=20000,'中古車掲載'!O525&lt;=50000,'中古車掲載'!AL525=1),'中古車掲載'!U525,"")</x:f>
      </x:c>
      <x:c r="BE524" s="3" t="str">
        <x:f>IF(AND('中古車掲載'!C525="One2car",'中古車掲載'!F525="Corolla Cross",'中古車掲載'!L525="HEV PREMIUM SAFETY",'中古車掲載'!J525=2023,ISNUMBER('中古車掲載'!N525),'中古車掲載'!N525&gt;=20000,'中古車掲載'!O525&lt;=50000,'中古車掲載'!AL525=1,'中古車掲載'!Z525="https://www.one2car.com/en/cars-for-sale/toyota/corolla-cross/year-2023"),'中古車掲載'!U525,"")</x:f>
      </x:c>
      <x:c r="BF524" s="3" t="str">
        <x:f>IF(AND('中古車掲載'!C525="One2car",'中古車掲載'!F525="Corolla Cross",'中古車掲載'!L525="HEV PREMIUM",'中古車掲載'!J525=2023,ISNUMBER('中古車掲載'!N525),'中古車掲載'!N525&gt;=20000,'中古車掲載'!O525&lt;=100000,'中古車掲載'!AL525=1,'中古車掲載'!Z525="https://www.one2car.com/en/cars-for-sale/toyota/corolla-cross/year-2023"),'中古車掲載'!U525,"")</x:f>
      </x:c>
      <x:c r="BG524" s="3" t="str">
        <x:f>IF(AND('中古車掲載'!C525="One2car",'中古車掲載'!F525="Corolla Cross",'中古車掲載'!L525="HEV GR SPORT",'中古車掲載'!J525=2023,ISNUMBER('中古車掲載'!N525),'中古車掲載'!N525&gt;=20000,'中古車掲載'!O525&lt;=100000,'中古車掲載'!AL525=1,'中古車掲載'!Z525="https://www.one2car.com/en/cars-for-sale/toyota/corolla-cross/year-2023"),'中古車掲載'!U525,"")</x:f>
      </x:c>
      <x:c r="BH524" s="3" t="str">
        <x:f>IF(AND('中古車掲載'!C525="One2car",'中古車掲載'!F525="DOLPHIN",'中古車掲載'!L525="STANDARD RANGE",'中古車掲載'!J525=2023,ISNUMBER('中古車掲載'!N525),'中古車掲載'!N525&gt;=20000,'中古車掲載'!O525&lt;=100000,'中古車掲載'!AL525=1),'中古車掲載'!U525,"")</x:f>
      </x:c>
      <x:c r="BI524" s="3" t="str">
        <x:v>Taladrod|Fortuner|ICE|Unknown</x:v>
      </x:c>
      <x:c r="BJ524" s="3" t="n">
        <x:v>525</x:v>
      </x:c>
      <x:c r="BK524" s="3" t="n">
        <x:f>'中古車掲載'!AM525</x:f>
        <x:v>799000</x:v>
      </x:c>
      <x:c r="BL524" s="3" t="str">
        <x:f>IF(ISNUMBER('中古車掲載'!AN525),'中古車掲載'!AN525,"")</x:f>
      </x:c>
      <x:c r="BM524" s="3"/>
      <x:c r="BN524" s="3"/>
      <x:c r="BO524" s="3"/>
      <x:c r="BP524" s="3"/>
      <x:c r="BQ524" s="3"/>
      <x:c r="BR524" s="3"/>
    </x:row>
    <x:row r="525" ht="22" customHeight="1">
      <x:c r="A525" s="3" t="str">
        <x:v>Hilux Revo</x:v>
      </x:c>
      <x:c r="B525" s="3" t="str">
        <x:v>ICE</x:v>
      </x:c>
      <x:c r="C525" s="3" t="str">
        <x:v>Taladrod</x:v>
      </x:c>
      <x:c r="D525" s="3" t="str">
        <x:v>Pickup</x:v>
      </x:c>
      <x:c r="E525" s="3" t="str">
        <x:v>Double cab</x:v>
      </x:c>
      <x:c r="F525" s="3" t="n">
        <x:v>2020</x:v>
      </x:c>
      <x:c r="G525" s="3" t="str">
        <x:v>2.4 HIGH PRERUNNER DOUBLE CAB</x:v>
      </x:c>
      <x:c r="H525" s="3" t="str">
        <x:v>未掲載</x:v>
      </x:c>
      <x:c r="I525" s="3" t="str">
        <x:v>世代不明</x:v>
      </x:c>
      <x:c r="J525" s="22" t="n">
        <x:f>COUNT('中古車掲載'!AM667:AM667)</x:f>
        <x:v>1</x:v>
      </x:c>
      <x:c r="K525" s="22" t="n">
        <x:f>IF(COUNT('中古車掲載'!AM667:AM667)=0,"",QUARTILE('中古車掲載'!AM667:AM667,1))</x:f>
        <x:v>629000</x:v>
      </x:c>
      <x:c r="L525" s="22" t="n">
        <x:f>IF(COUNT('中古車掲載'!AM667:AM667)=0,"",MEDIAN('中古車掲載'!AM667:AM667))</x:f>
        <x:v>629000</x:v>
      </x:c>
      <x:c r="M525" s="22" t="n">
        <x:f>IF(COUNT('中古車掲載'!AM667:AM667)=0,"",QUARTILE('中古車掲載'!AM667:AM667,3))</x:f>
        <x:v>629000</x:v>
      </x:c>
      <x:c r="N525" s="22" t="n">
        <x:f>COUNT('中古車掲載'!AN667:AN667)</x:f>
        <x:v>0</x:v>
      </x:c>
      <x:c r="O525" s="23" t="str">
        <x:f>IF(COUNT('中古車掲載'!AN667:AN667)=0,"",MEDIAN('中古車掲載'!AN667:AN667))</x:f>
      </x:c>
      <x:c r="P525" s="3"/>
      <x:c r="Q525" s="3"/>
      <x:c r="R525" s="3"/>
      <x:c r="S525" s="3"/>
      <x:c r="T525" s="3"/>
      <x:c r="U525" s="3"/>
      <x:c r="V525" s="3"/>
      <x:c r="W525" s="3"/>
      <x:c r="X525" s="3"/>
      <x:c r="Y525" s="3"/>
      <x:c r="Z525" s="3"/>
      <x:c r="AA525" s="3"/>
      <x:c r="AB525" s="3"/>
      <x:c r="AC525" s="3"/>
      <x:c r="AD525" s="3"/>
      <x:c r="AE525" s="3"/>
      <x:c r="AF525" s="3"/>
      <x:c r="AG525" s="3"/>
      <x:c r="AH525" s="3"/>
      <x:c r="AI525" s="3"/>
      <x:c r="AJ525" s="3"/>
      <x:c r="AK525" s="3"/>
      <x:c r="AL525" s="3"/>
      <x:c r="AM525" s="3"/>
      <x:c r="AN525" s="3"/>
      <x:c r="AO525" s="3"/>
      <x:c r="AP525" s="3"/>
      <x:c r="AQ525" s="3"/>
      <x:c r="AR525" s="3"/>
      <x:c r="AS525" s="3"/>
      <x:c r="AT525" s="3"/>
      <x:c r="AU525" s="3"/>
      <x:c r="AV525" s="3"/>
      <x:c r="AW525" s="3"/>
      <x:c r="AX525" s="3"/>
      <x:c r="AY525" s="3"/>
      <x:c r="AZ525" s="3" t="str">
        <x:f>IF(AND('中古車掲載'!C526="One2car",'中古車掲載'!F526="ATTO 3",'中古車掲載'!L526="EXTENDED RANGE",'中古車掲載'!J526=2023,ISNUMBER('中古車掲載'!N526),'中古車掲載'!N526&gt;=20000,'中古車掲載'!O526&lt;=100000,'中古車掲載'!AL526=1),'中古車掲載'!U526,"")</x:f>
      </x:c>
      <x:c r="BA525" s="3" t="str">
        <x:f>IF(AND('中古車掲載'!C526="One2car",'中古車掲載'!F526="Corolla Cross",'中古車掲載'!L526="HEV PREMIUM SAFETY",'中古車掲載'!J526=2023,ISNUMBER('中古車掲載'!N526),'中古車掲載'!N526&gt;=20000,'中古車掲載'!O526&lt;=100000,'中古車掲載'!AL526=1,'中古車掲載'!Z526="https://www.one2car.com/en/cars-for-sale/toyota/corolla-cross/year-2023"),'中古車掲載'!U526,"")</x:f>
      </x:c>
      <x:c r="BB525" s="3" t="str">
        <x:f>IF(AND('中古車掲載'!C526="One2car",'中古車掲載'!F526="ATTO 3",'中古車掲載'!L526="EXTENDED RANGE",'中古車掲載'!J526=2023,ISNUMBER('中古車掲載'!N526),'中古車掲載'!N526&gt;=50000,'中古車掲載'!O526&lt;=100000,'中古車掲載'!AL526=1),'中古車掲載'!U526,"")</x:f>
      </x:c>
      <x:c r="BC525" s="3" t="str">
        <x:f>IF(AND('中古車掲載'!C526="One2car",'中古車掲載'!F526="Corolla Cross",'中古車掲載'!L526="HEV PREMIUM SAFETY",'中古車掲載'!J526=2023,ISNUMBER('中古車掲載'!N526),'中古車掲載'!N526&gt;=50000,'中古車掲載'!O526&lt;=100000,'中古車掲載'!AL526=1,'中古車掲載'!Z526="https://www.one2car.com/en/cars-for-sale/toyota/corolla-cross/year-2023"),'中古車掲載'!U526,"")</x:f>
      </x:c>
      <x:c r="BD525" s="3" t="str">
        <x:f>IF(AND('中古車掲載'!C526="One2car",'中古車掲載'!F526="ATTO 3",'中古車掲載'!L526="EXTENDED RANGE",'中古車掲載'!J526=2023,ISNUMBER('中古車掲載'!N526),'中古車掲載'!N526&gt;=20000,'中古車掲載'!O526&lt;=50000,'中古車掲載'!AL526=1),'中古車掲載'!U526,"")</x:f>
      </x:c>
      <x:c r="BE525" s="3" t="str">
        <x:f>IF(AND('中古車掲載'!C526="One2car",'中古車掲載'!F526="Corolla Cross",'中古車掲載'!L526="HEV PREMIUM SAFETY",'中古車掲載'!J526=2023,ISNUMBER('中古車掲載'!N526),'中古車掲載'!N526&gt;=20000,'中古車掲載'!O526&lt;=50000,'中古車掲載'!AL526=1,'中古車掲載'!Z526="https://www.one2car.com/en/cars-for-sale/toyota/corolla-cross/year-2023"),'中古車掲載'!U526,"")</x:f>
      </x:c>
      <x:c r="BF525" s="3" t="str">
        <x:f>IF(AND('中古車掲載'!C526="One2car",'中古車掲載'!F526="Corolla Cross",'中古車掲載'!L526="HEV PREMIUM",'中古車掲載'!J526=2023,ISNUMBER('中古車掲載'!N526),'中古車掲載'!N526&gt;=20000,'中古車掲載'!O526&lt;=100000,'中古車掲載'!AL526=1,'中古車掲載'!Z526="https://www.one2car.com/en/cars-for-sale/toyota/corolla-cross/year-2023"),'中古車掲載'!U526,"")</x:f>
      </x:c>
      <x:c r="BG525" s="3" t="str">
        <x:f>IF(AND('中古車掲載'!C526="One2car",'中古車掲載'!F526="Corolla Cross",'中古車掲載'!L526="HEV GR SPORT",'中古車掲載'!J526=2023,ISNUMBER('中古車掲載'!N526),'中古車掲載'!N526&gt;=20000,'中古車掲載'!O526&lt;=100000,'中古車掲載'!AL526=1,'中古車掲載'!Z526="https://www.one2car.com/en/cars-for-sale/toyota/corolla-cross/year-2023"),'中古車掲載'!U526,"")</x:f>
      </x:c>
      <x:c r="BH525" s="3" t="str">
        <x:f>IF(AND('中古車掲載'!C526="One2car",'中古車掲載'!F526="DOLPHIN",'中古車掲載'!L526="STANDARD RANGE",'中古車掲載'!J526=2023,ISNUMBER('中古車掲載'!N526),'中古車掲載'!N526&gt;=20000,'中古車掲載'!O526&lt;=100000,'中古車掲載'!AL526=1),'中古車掲載'!U526,"")</x:f>
      </x:c>
      <x:c r="BI525" s="3" t="str">
        <x:v>Taladrod|Fortuner|ICE|Unknown</x:v>
      </x:c>
      <x:c r="BJ525" s="3" t="n">
        <x:v>526</x:v>
      </x:c>
      <x:c r="BK525" s="3" t="n">
        <x:f>'中古車掲載'!AM526</x:f>
        <x:v>789000</x:v>
      </x:c>
      <x:c r="BL525" s="3" t="str">
        <x:f>IF(ISNUMBER('中古車掲載'!AN526),'中古車掲載'!AN526,"")</x:f>
      </x:c>
      <x:c r="BM525" s="3"/>
      <x:c r="BN525" s="3"/>
      <x:c r="BO525" s="3"/>
      <x:c r="BP525" s="3"/>
      <x:c r="BQ525" s="3"/>
      <x:c r="BR525" s="3"/>
    </x:row>
    <x:row r="526" ht="22" customHeight="1">
      <x:c r="A526" s="3" t="str">
        <x:v>Hilux Revo</x:v>
      </x:c>
      <x:c r="B526" s="3" t="str">
        <x:v>ICE</x:v>
      </x:c>
      <x:c r="C526" s="3" t="str">
        <x:v>Taladrod</x:v>
      </x:c>
      <x:c r="D526" s="3" t="str">
        <x:v>Pickup</x:v>
      </x:c>
      <x:c r="E526" s="3" t="str">
        <x:v>Double cab</x:v>
      </x:c>
      <x:c r="F526" s="3" t="n">
        <x:v>2020</x:v>
      </x:c>
      <x:c r="G526" s="3" t="str">
        <x:v>2.4 J PLUS DOUBLE CAB</x:v>
      </x:c>
      <x:c r="H526" s="3" t="str">
        <x:v>未掲載</x:v>
      </x:c>
      <x:c r="I526" s="3" t="str">
        <x:v>世代不明</x:v>
      </x:c>
      <x:c r="J526" s="22" t="n">
        <x:f>COUNT('中古車掲載'!AM668:AM668)</x:f>
        <x:v>1</x:v>
      </x:c>
      <x:c r="K526" s="22" t="n">
        <x:f>IF(COUNT('中古車掲載'!AM668:AM668)=0,"",QUARTILE('中古車掲載'!AM668:AM668,1))</x:f>
        <x:v>404000</x:v>
      </x:c>
      <x:c r="L526" s="22" t="n">
        <x:f>IF(COUNT('中古車掲載'!AM668:AM668)=0,"",MEDIAN('中古車掲載'!AM668:AM668))</x:f>
        <x:v>404000</x:v>
      </x:c>
      <x:c r="M526" s="22" t="n">
        <x:f>IF(COUNT('中古車掲載'!AM668:AM668)=0,"",QUARTILE('中古車掲載'!AM668:AM668,3))</x:f>
        <x:v>404000</x:v>
      </x:c>
      <x:c r="N526" s="22" t="n">
        <x:f>COUNT('中古車掲載'!AN668:AN668)</x:f>
        <x:v>0</x:v>
      </x:c>
      <x:c r="O526" s="23" t="str">
        <x:f>IF(COUNT('中古車掲載'!AN668:AN668)=0,"",MEDIAN('中古車掲載'!AN668:AN668))</x:f>
      </x:c>
      <x:c r="P526" s="3"/>
      <x:c r="Q526" s="3"/>
      <x:c r="R526" s="3"/>
      <x:c r="S526" s="3"/>
      <x:c r="T526" s="3"/>
      <x:c r="U526" s="3"/>
      <x:c r="V526" s="3"/>
      <x:c r="W526" s="3"/>
      <x:c r="X526" s="3"/>
      <x:c r="Y526" s="3"/>
      <x:c r="Z526" s="3"/>
      <x:c r="AA526" s="3"/>
      <x:c r="AB526" s="3"/>
      <x:c r="AC526" s="3"/>
      <x:c r="AD526" s="3"/>
      <x:c r="AE526" s="3"/>
      <x:c r="AF526" s="3"/>
      <x:c r="AG526" s="3"/>
      <x:c r="AH526" s="3"/>
      <x:c r="AI526" s="3"/>
      <x:c r="AJ526" s="3"/>
      <x:c r="AK526" s="3"/>
      <x:c r="AL526" s="3"/>
      <x:c r="AM526" s="3"/>
      <x:c r="AN526" s="3"/>
      <x:c r="AO526" s="3"/>
      <x:c r="AP526" s="3"/>
      <x:c r="AQ526" s="3"/>
      <x:c r="AR526" s="3"/>
      <x:c r="AS526" s="3"/>
      <x:c r="AT526" s="3"/>
      <x:c r="AU526" s="3"/>
      <x:c r="AV526" s="3"/>
      <x:c r="AW526" s="3"/>
      <x:c r="AX526" s="3"/>
      <x:c r="AY526" s="3"/>
      <x:c r="AZ526" s="3" t="str">
        <x:f>IF(AND('中古車掲載'!C527="One2car",'中古車掲載'!F527="ATTO 3",'中古車掲載'!L527="EXTENDED RANGE",'中古車掲載'!J527=2023,ISNUMBER('中古車掲載'!N527),'中古車掲載'!N527&gt;=20000,'中古車掲載'!O527&lt;=100000,'中古車掲載'!AL527=1),'中古車掲載'!U527,"")</x:f>
      </x:c>
      <x:c r="BA526" s="3" t="str">
        <x:f>IF(AND('中古車掲載'!C527="One2car",'中古車掲載'!F527="Corolla Cross",'中古車掲載'!L527="HEV PREMIUM SAFETY",'中古車掲載'!J527=2023,ISNUMBER('中古車掲載'!N527),'中古車掲載'!N527&gt;=20000,'中古車掲載'!O527&lt;=100000,'中古車掲載'!AL527=1,'中古車掲載'!Z527="https://www.one2car.com/en/cars-for-sale/toyota/corolla-cross/year-2023"),'中古車掲載'!U527,"")</x:f>
      </x:c>
      <x:c r="BB526" s="3" t="str">
        <x:f>IF(AND('中古車掲載'!C527="One2car",'中古車掲載'!F527="ATTO 3",'中古車掲載'!L527="EXTENDED RANGE",'中古車掲載'!J527=2023,ISNUMBER('中古車掲載'!N527),'中古車掲載'!N527&gt;=50000,'中古車掲載'!O527&lt;=100000,'中古車掲載'!AL527=1),'中古車掲載'!U527,"")</x:f>
      </x:c>
      <x:c r="BC526" s="3" t="str">
        <x:f>IF(AND('中古車掲載'!C527="One2car",'中古車掲載'!F527="Corolla Cross",'中古車掲載'!L527="HEV PREMIUM SAFETY",'中古車掲載'!J527=2023,ISNUMBER('中古車掲載'!N527),'中古車掲載'!N527&gt;=50000,'中古車掲載'!O527&lt;=100000,'中古車掲載'!AL527=1,'中古車掲載'!Z527="https://www.one2car.com/en/cars-for-sale/toyota/corolla-cross/year-2023"),'中古車掲載'!U527,"")</x:f>
      </x:c>
      <x:c r="BD526" s="3" t="str">
        <x:f>IF(AND('中古車掲載'!C527="One2car",'中古車掲載'!F527="ATTO 3",'中古車掲載'!L527="EXTENDED RANGE",'中古車掲載'!J527=2023,ISNUMBER('中古車掲載'!N527),'中古車掲載'!N527&gt;=20000,'中古車掲載'!O527&lt;=50000,'中古車掲載'!AL527=1),'中古車掲載'!U527,"")</x:f>
      </x:c>
      <x:c r="BE526" s="3" t="str">
        <x:f>IF(AND('中古車掲載'!C527="One2car",'中古車掲載'!F527="Corolla Cross",'中古車掲載'!L527="HEV PREMIUM SAFETY",'中古車掲載'!J527=2023,ISNUMBER('中古車掲載'!N527),'中古車掲載'!N527&gt;=20000,'中古車掲載'!O527&lt;=50000,'中古車掲載'!AL527=1,'中古車掲載'!Z527="https://www.one2car.com/en/cars-for-sale/toyota/corolla-cross/year-2023"),'中古車掲載'!U527,"")</x:f>
      </x:c>
      <x:c r="BF526" s="3" t="str">
        <x:f>IF(AND('中古車掲載'!C527="One2car",'中古車掲載'!F527="Corolla Cross",'中古車掲載'!L527="HEV PREMIUM",'中古車掲載'!J527=2023,ISNUMBER('中古車掲載'!N527),'中古車掲載'!N527&gt;=20000,'中古車掲載'!O527&lt;=100000,'中古車掲載'!AL527=1,'中古車掲載'!Z527="https://www.one2car.com/en/cars-for-sale/toyota/corolla-cross/year-2023"),'中古車掲載'!U527,"")</x:f>
      </x:c>
      <x:c r="BG526" s="3" t="str">
        <x:f>IF(AND('中古車掲載'!C527="One2car",'中古車掲載'!F527="Corolla Cross",'中古車掲載'!L527="HEV GR SPORT",'中古車掲載'!J527=2023,ISNUMBER('中古車掲載'!N527),'中古車掲載'!N527&gt;=20000,'中古車掲載'!O527&lt;=100000,'中古車掲載'!AL527=1,'中古車掲載'!Z527="https://www.one2car.com/en/cars-for-sale/toyota/corolla-cross/year-2023"),'中古車掲載'!U527,"")</x:f>
      </x:c>
      <x:c r="BH526" s="3" t="str">
        <x:f>IF(AND('中古車掲載'!C527="One2car",'中古車掲載'!F527="DOLPHIN",'中古車掲載'!L527="STANDARD RANGE",'中古車掲載'!J527=2023,ISNUMBER('中古車掲載'!N527),'中古車掲載'!N527&gt;=20000,'中古車掲載'!O527&lt;=100000,'中古車掲載'!AL527=1),'中古車掲載'!U527,"")</x:f>
      </x:c>
      <x:c r="BI526" s="3" t="str">
        <x:v>Taladrod|Fortuner|ICE|Unknown</x:v>
      </x:c>
      <x:c r="BJ526" s="3" t="n">
        <x:v>527</x:v>
      </x:c>
      <x:c r="BK526" s="3" t="n">
        <x:f>'中古車掲載'!AM527</x:f>
        <x:v>879000</x:v>
      </x:c>
      <x:c r="BL526" s="3" t="str">
        <x:f>IF(ISNUMBER('中古車掲載'!AN527),'中古車掲載'!AN527,"")</x:f>
      </x:c>
      <x:c r="BM526" s="3"/>
      <x:c r="BN526" s="3"/>
      <x:c r="BO526" s="3"/>
      <x:c r="BP526" s="3"/>
      <x:c r="BQ526" s="3"/>
      <x:c r="BR526" s="3"/>
    </x:row>
    <x:row r="527" ht="22" customHeight="1">
      <x:c r="A527" s="3" t="str">
        <x:v>Hilux Revo</x:v>
      </x:c>
      <x:c r="B527" s="3" t="str">
        <x:v>ICE</x:v>
      </x:c>
      <x:c r="C527" s="3" t="str">
        <x:v>Taladrod</x:v>
      </x:c>
      <x:c r="D527" s="3" t="str">
        <x:v>Pickup</x:v>
      </x:c>
      <x:c r="E527" s="3" t="str">
        <x:v>Double cab</x:v>
      </x:c>
      <x:c r="F527" s="3" t="n">
        <x:v>2020</x:v>
      </x:c>
      <x:c r="G527" s="3" t="str">
        <x:v>2.4 MID PRERUNNER DOUBLE CAB</x:v>
      </x:c>
      <x:c r="H527" s="3" t="str">
        <x:v>未掲載</x:v>
      </x:c>
      <x:c r="I527" s="3" t="str">
        <x:v>世代不明</x:v>
      </x:c>
      <x:c r="J527" s="22" t="n">
        <x:f>COUNT('中古車掲載'!AM673:AM674)</x:f>
        <x:v>2</x:v>
      </x:c>
      <x:c r="K527" s="22" t="n">
        <x:f>IF(COUNT('中古車掲載'!AM673:AM674)=0,"",QUARTILE('中古車掲載'!AM673:AM674,1))</x:f>
        <x:v>515000</x:v>
      </x:c>
      <x:c r="L527" s="22" t="n">
        <x:f>IF(COUNT('中古車掲載'!AM673:AM674)=0,"",MEDIAN('中古車掲載'!AM673:AM674))</x:f>
        <x:v>515000</x:v>
      </x:c>
      <x:c r="M527" s="22" t="n">
        <x:f>IF(COUNT('中古車掲載'!AM673:AM674)=0,"",QUARTILE('中古車掲載'!AM673:AM674,3))</x:f>
        <x:v>515000</x:v>
      </x:c>
      <x:c r="N527" s="22" t="n">
        <x:f>COUNT('中古車掲載'!AN673:AN674)</x:f>
        <x:v>0</x:v>
      </x:c>
      <x:c r="O527" s="23" t="str">
        <x:f>IF(COUNT('中古車掲載'!AN673:AN674)=0,"",MEDIAN('中古車掲載'!AN673:AN674))</x:f>
      </x:c>
      <x:c r="P527" s="3"/>
      <x:c r="Q527" s="3"/>
      <x:c r="R527" s="3"/>
      <x:c r="S527" s="3"/>
      <x:c r="T527" s="3"/>
      <x:c r="U527" s="3"/>
      <x:c r="V527" s="3"/>
      <x:c r="W527" s="3"/>
      <x:c r="X527" s="3"/>
      <x:c r="Y527" s="3"/>
      <x:c r="Z527" s="3"/>
      <x:c r="AA527" s="3"/>
      <x:c r="AB527" s="3"/>
      <x:c r="AC527" s="3"/>
      <x:c r="AD527" s="3"/>
      <x:c r="AE527" s="3"/>
      <x:c r="AF527" s="3"/>
      <x:c r="AG527" s="3"/>
      <x:c r="AH527" s="3"/>
      <x:c r="AI527" s="3"/>
      <x:c r="AJ527" s="3"/>
      <x:c r="AK527" s="3"/>
      <x:c r="AL527" s="3"/>
      <x:c r="AM527" s="3"/>
      <x:c r="AN527" s="3"/>
      <x:c r="AO527" s="3"/>
      <x:c r="AP527" s="3"/>
      <x:c r="AQ527" s="3"/>
      <x:c r="AR527" s="3"/>
      <x:c r="AS527" s="3"/>
      <x:c r="AT527" s="3"/>
      <x:c r="AU527" s="3"/>
      <x:c r="AV527" s="3"/>
      <x:c r="AW527" s="3"/>
      <x:c r="AX527" s="3"/>
      <x:c r="AY527" s="3"/>
      <x:c r="AZ527" s="3" t="str">
        <x:f>IF(AND('中古車掲載'!C528="One2car",'中古車掲載'!F528="ATTO 3",'中古車掲載'!L528="EXTENDED RANGE",'中古車掲載'!J528=2023,ISNUMBER('中古車掲載'!N528),'中古車掲載'!N528&gt;=20000,'中古車掲載'!O528&lt;=100000,'中古車掲載'!AL528=1),'中古車掲載'!U528,"")</x:f>
      </x:c>
      <x:c r="BA527" s="3" t="str">
        <x:f>IF(AND('中古車掲載'!C528="One2car",'中古車掲載'!F528="Corolla Cross",'中古車掲載'!L528="HEV PREMIUM SAFETY",'中古車掲載'!J528=2023,ISNUMBER('中古車掲載'!N528),'中古車掲載'!N528&gt;=20000,'中古車掲載'!O528&lt;=100000,'中古車掲載'!AL528=1,'中古車掲載'!Z528="https://www.one2car.com/en/cars-for-sale/toyota/corolla-cross/year-2023"),'中古車掲載'!U528,"")</x:f>
      </x:c>
      <x:c r="BB527" s="3" t="str">
        <x:f>IF(AND('中古車掲載'!C528="One2car",'中古車掲載'!F528="ATTO 3",'中古車掲載'!L528="EXTENDED RANGE",'中古車掲載'!J528=2023,ISNUMBER('中古車掲載'!N528),'中古車掲載'!N528&gt;=50000,'中古車掲載'!O528&lt;=100000,'中古車掲載'!AL528=1),'中古車掲載'!U528,"")</x:f>
      </x:c>
      <x:c r="BC527" s="3" t="str">
        <x:f>IF(AND('中古車掲載'!C528="One2car",'中古車掲載'!F528="Corolla Cross",'中古車掲載'!L528="HEV PREMIUM SAFETY",'中古車掲載'!J528=2023,ISNUMBER('中古車掲載'!N528),'中古車掲載'!N528&gt;=50000,'中古車掲載'!O528&lt;=100000,'中古車掲載'!AL528=1,'中古車掲載'!Z528="https://www.one2car.com/en/cars-for-sale/toyota/corolla-cross/year-2023"),'中古車掲載'!U528,"")</x:f>
      </x:c>
      <x:c r="BD527" s="3" t="str">
        <x:f>IF(AND('中古車掲載'!C528="One2car",'中古車掲載'!F528="ATTO 3",'中古車掲載'!L528="EXTENDED RANGE",'中古車掲載'!J528=2023,ISNUMBER('中古車掲載'!N528),'中古車掲載'!N528&gt;=20000,'中古車掲載'!O528&lt;=50000,'中古車掲載'!AL528=1),'中古車掲載'!U528,"")</x:f>
      </x:c>
      <x:c r="BE527" s="3" t="str">
        <x:f>IF(AND('中古車掲載'!C528="One2car",'中古車掲載'!F528="Corolla Cross",'中古車掲載'!L528="HEV PREMIUM SAFETY",'中古車掲載'!J528=2023,ISNUMBER('中古車掲載'!N528),'中古車掲載'!N528&gt;=20000,'中古車掲載'!O528&lt;=50000,'中古車掲載'!AL528=1,'中古車掲載'!Z528="https://www.one2car.com/en/cars-for-sale/toyota/corolla-cross/year-2023"),'中古車掲載'!U528,"")</x:f>
      </x:c>
      <x:c r="BF527" s="3" t="str">
        <x:f>IF(AND('中古車掲載'!C528="One2car",'中古車掲載'!F528="Corolla Cross",'中古車掲載'!L528="HEV PREMIUM",'中古車掲載'!J528=2023,ISNUMBER('中古車掲載'!N528),'中古車掲載'!N528&gt;=20000,'中古車掲載'!O528&lt;=100000,'中古車掲載'!AL528=1,'中古車掲載'!Z528="https://www.one2car.com/en/cars-for-sale/toyota/corolla-cross/year-2023"),'中古車掲載'!U528,"")</x:f>
      </x:c>
      <x:c r="BG527" s="3" t="str">
        <x:f>IF(AND('中古車掲載'!C528="One2car",'中古車掲載'!F528="Corolla Cross",'中古車掲載'!L528="HEV GR SPORT",'中古車掲載'!J528=2023,ISNUMBER('中古車掲載'!N528),'中古車掲載'!N528&gt;=20000,'中古車掲載'!O528&lt;=100000,'中古車掲載'!AL528=1,'中古車掲載'!Z528="https://www.one2car.com/en/cars-for-sale/toyota/corolla-cross/year-2023"),'中古車掲載'!U528,"")</x:f>
      </x:c>
      <x:c r="BH527" s="3" t="str">
        <x:f>IF(AND('中古車掲載'!C528="One2car",'中古車掲載'!F528="DOLPHIN",'中古車掲載'!L528="STANDARD RANGE",'中古車掲載'!J528=2023,ISNUMBER('中古車掲載'!N528),'中古車掲載'!N528&gt;=20000,'中古車掲載'!O528&lt;=100000,'中古車掲載'!AL528=1),'中古車掲載'!U528,"")</x:f>
      </x:c>
      <x:c r="BI527" s="3" t="str">
        <x:v>Taladrod|Fortuner|ICE|Unknown</x:v>
      </x:c>
      <x:c r="BJ527" s="3" t="n">
        <x:v>528</x:v>
      </x:c>
      <x:c r="BK527" s="3" t="n">
        <x:f>'中古車掲載'!AM528</x:f>
        <x:v>948000</x:v>
      </x:c>
      <x:c r="BL527" s="3" t="str">
        <x:f>IF(ISNUMBER('中古車掲載'!AN528),'中古車掲載'!AN528,"")</x:f>
      </x:c>
      <x:c r="BM527" s="3"/>
      <x:c r="BN527" s="3"/>
      <x:c r="BO527" s="3"/>
      <x:c r="BP527" s="3"/>
      <x:c r="BQ527" s="3"/>
      <x:c r="BR527" s="3"/>
    </x:row>
    <x:row r="528" ht="22" customHeight="1">
      <x:c r="A528" s="3" t="str">
        <x:v>Hilux Revo</x:v>
      </x:c>
      <x:c r="B528" s="3" t="str">
        <x:v>ICE</x:v>
      </x:c>
      <x:c r="C528" s="3" t="str">
        <x:v>Taladrod</x:v>
      </x:c>
      <x:c r="D528" s="3" t="str">
        <x:v>Pickup</x:v>
      </x:c>
      <x:c r="E528" s="3" t="str">
        <x:v>Double cab</x:v>
      </x:c>
      <x:c r="F528" s="3" t="n">
        <x:v>2020</x:v>
      </x:c>
      <x:c r="G528" s="3" t="str">
        <x:v>2.4 MID Z EDITION DOUBLE CAB</x:v>
      </x:c>
      <x:c r="H528" s="3" t="str">
        <x:v>未掲載</x:v>
      </x:c>
      <x:c r="I528" s="3" t="str">
        <x:v>世代不明</x:v>
      </x:c>
      <x:c r="J528" s="22" t="n">
        <x:f>COUNT('中古車掲載'!AM676:AM683)</x:f>
        <x:v>8</x:v>
      </x:c>
      <x:c r="K528" s="22" t="n">
        <x:f>IF(COUNT('中古車掲載'!AM676:AM683)=0,"",QUARTILE('中古車掲載'!AM676:AM683,1))</x:f>
        <x:v>438750</x:v>
      </x:c>
      <x:c r="L528" s="22" t="n">
        <x:f>IF(COUNT('中古車掲載'!AM676:AM683)=0,"",MEDIAN('中古車掲載'!AM676:AM683))</x:f>
        <x:v>456500</x:v>
      </x:c>
      <x:c r="M528" s="22" t="n">
        <x:f>IF(COUNT('中古車掲載'!AM676:AM683)=0,"",QUARTILE('中古車掲載'!AM676:AM683,3))</x:f>
        <x:v>469000</x:v>
      </x:c>
      <x:c r="N528" s="22" t="n">
        <x:f>COUNT('中古車掲載'!AN676:AN683)</x:f>
        <x:v>0</x:v>
      </x:c>
      <x:c r="O528" s="23" t="str">
        <x:f>IF(COUNT('中古車掲載'!AN676:AN683)=0,"",MEDIAN('中古車掲載'!AN676:AN683))</x:f>
      </x:c>
      <x:c r="P528" s="3"/>
      <x:c r="Q528" s="3"/>
      <x:c r="R528" s="3"/>
      <x:c r="S528" s="3"/>
      <x:c r="T528" s="3"/>
      <x:c r="U528" s="3"/>
      <x:c r="V528" s="3"/>
      <x:c r="W528" s="3"/>
      <x:c r="X528" s="3"/>
      <x:c r="Y528" s="3"/>
      <x:c r="Z528" s="3"/>
      <x:c r="AA528" s="3"/>
      <x:c r="AB528" s="3"/>
      <x:c r="AC528" s="3"/>
      <x:c r="AD528" s="3"/>
      <x:c r="AE528" s="3"/>
      <x:c r="AF528" s="3"/>
      <x:c r="AG528" s="3"/>
      <x:c r="AH528" s="3"/>
      <x:c r="AI528" s="3"/>
      <x:c r="AJ528" s="3"/>
      <x:c r="AK528" s="3"/>
      <x:c r="AL528" s="3"/>
      <x:c r="AM528" s="3"/>
      <x:c r="AN528" s="3"/>
      <x:c r="AO528" s="3"/>
      <x:c r="AP528" s="3"/>
      <x:c r="AQ528" s="3"/>
      <x:c r="AR528" s="3"/>
      <x:c r="AS528" s="3"/>
      <x:c r="AT528" s="3"/>
      <x:c r="AU528" s="3"/>
      <x:c r="AV528" s="3"/>
      <x:c r="AW528" s="3"/>
      <x:c r="AX528" s="3"/>
      <x:c r="AY528" s="3"/>
      <x:c r="AZ528" s="3" t="str">
        <x:f>IF(AND('中古車掲載'!C529="One2car",'中古車掲載'!F529="ATTO 3",'中古車掲載'!L529="EXTENDED RANGE",'中古車掲載'!J529=2023,ISNUMBER('中古車掲載'!N529),'中古車掲載'!N529&gt;=20000,'中古車掲載'!O529&lt;=100000,'中古車掲載'!AL529=1),'中古車掲載'!U529,"")</x:f>
      </x:c>
      <x:c r="BA528" s="3" t="str">
        <x:f>IF(AND('中古車掲載'!C529="One2car",'中古車掲載'!F529="Corolla Cross",'中古車掲載'!L529="HEV PREMIUM SAFETY",'中古車掲載'!J529=2023,ISNUMBER('中古車掲載'!N529),'中古車掲載'!N529&gt;=20000,'中古車掲載'!O529&lt;=100000,'中古車掲載'!AL529=1,'中古車掲載'!Z529="https://www.one2car.com/en/cars-for-sale/toyota/corolla-cross/year-2023"),'中古車掲載'!U529,"")</x:f>
      </x:c>
      <x:c r="BB528" s="3" t="str">
        <x:f>IF(AND('中古車掲載'!C529="One2car",'中古車掲載'!F529="ATTO 3",'中古車掲載'!L529="EXTENDED RANGE",'中古車掲載'!J529=2023,ISNUMBER('中古車掲載'!N529),'中古車掲載'!N529&gt;=50000,'中古車掲載'!O529&lt;=100000,'中古車掲載'!AL529=1),'中古車掲載'!U529,"")</x:f>
      </x:c>
      <x:c r="BC528" s="3" t="str">
        <x:f>IF(AND('中古車掲載'!C529="One2car",'中古車掲載'!F529="Corolla Cross",'中古車掲載'!L529="HEV PREMIUM SAFETY",'中古車掲載'!J529=2023,ISNUMBER('中古車掲載'!N529),'中古車掲載'!N529&gt;=50000,'中古車掲載'!O529&lt;=100000,'中古車掲載'!AL529=1,'中古車掲載'!Z529="https://www.one2car.com/en/cars-for-sale/toyota/corolla-cross/year-2023"),'中古車掲載'!U529,"")</x:f>
      </x:c>
      <x:c r="BD528" s="3" t="str">
        <x:f>IF(AND('中古車掲載'!C529="One2car",'中古車掲載'!F529="ATTO 3",'中古車掲載'!L529="EXTENDED RANGE",'中古車掲載'!J529=2023,ISNUMBER('中古車掲載'!N529),'中古車掲載'!N529&gt;=20000,'中古車掲載'!O529&lt;=50000,'中古車掲載'!AL529=1),'中古車掲載'!U529,"")</x:f>
      </x:c>
      <x:c r="BE528" s="3" t="str">
        <x:f>IF(AND('中古車掲載'!C529="One2car",'中古車掲載'!F529="Corolla Cross",'中古車掲載'!L529="HEV PREMIUM SAFETY",'中古車掲載'!J529=2023,ISNUMBER('中古車掲載'!N529),'中古車掲載'!N529&gt;=20000,'中古車掲載'!O529&lt;=50000,'中古車掲載'!AL529=1,'中古車掲載'!Z529="https://www.one2car.com/en/cars-for-sale/toyota/corolla-cross/year-2023"),'中古車掲載'!U529,"")</x:f>
      </x:c>
      <x:c r="BF528" s="3" t="str">
        <x:f>IF(AND('中古車掲載'!C529="One2car",'中古車掲載'!F529="Corolla Cross",'中古車掲載'!L529="HEV PREMIUM",'中古車掲載'!J529=2023,ISNUMBER('中古車掲載'!N529),'中古車掲載'!N529&gt;=20000,'中古車掲載'!O529&lt;=100000,'中古車掲載'!AL529=1,'中古車掲載'!Z529="https://www.one2car.com/en/cars-for-sale/toyota/corolla-cross/year-2023"),'中古車掲載'!U529,"")</x:f>
      </x:c>
      <x:c r="BG528" s="3" t="str">
        <x:f>IF(AND('中古車掲載'!C529="One2car",'中古車掲載'!F529="Corolla Cross",'中古車掲載'!L529="HEV GR SPORT",'中古車掲載'!J529=2023,ISNUMBER('中古車掲載'!N529),'中古車掲載'!N529&gt;=20000,'中古車掲載'!O529&lt;=100000,'中古車掲載'!AL529=1,'中古車掲載'!Z529="https://www.one2car.com/en/cars-for-sale/toyota/corolla-cross/year-2023"),'中古車掲載'!U529,"")</x:f>
      </x:c>
      <x:c r="BH528" s="3" t="str">
        <x:f>IF(AND('中古車掲載'!C529="One2car",'中古車掲載'!F529="DOLPHIN",'中古車掲載'!L529="STANDARD RANGE",'中古車掲載'!J529=2023,ISNUMBER('中古車掲載'!N529),'中古車掲載'!N529&gt;=20000,'中古車掲載'!O529&lt;=100000,'中古車掲載'!AL529=1),'中古車掲載'!U529,"")</x:f>
      </x:c>
      <x:c r="BI528" s="3" t="str">
        <x:v>Taladrod|Fortuner|ICE|Unknown</x:v>
      </x:c>
      <x:c r="BJ528" s="3" t="n">
        <x:v>529</x:v>
      </x:c>
      <x:c r="BK528" s="3" t="n">
        <x:f>'中古車掲載'!AM529</x:f>
        <x:v>949000</x:v>
      </x:c>
      <x:c r="BL528" s="3" t="str">
        <x:f>IF(ISNUMBER('中古車掲載'!AN529),'中古車掲載'!AN529,"")</x:f>
      </x:c>
      <x:c r="BM528" s="3"/>
      <x:c r="BN528" s="3"/>
      <x:c r="BO528" s="3"/>
      <x:c r="BP528" s="3"/>
      <x:c r="BQ528" s="3"/>
      <x:c r="BR528" s="3"/>
    </x:row>
    <x:row r="529" ht="22" customHeight="1">
      <x:c r="A529" s="3" t="str">
        <x:v>Hilux Revo</x:v>
      </x:c>
      <x:c r="B529" s="3" t="str">
        <x:v>ICE</x:v>
      </x:c>
      <x:c r="C529" s="3" t="str">
        <x:v>Taladrod</x:v>
      </x:c>
      <x:c r="D529" s="3" t="str">
        <x:v>Pickup</x:v>
      </x:c>
      <x:c r="E529" s="3" t="str">
        <x:v>Double cab</x:v>
      </x:c>
      <x:c r="F529" s="3" t="n">
        <x:v>2020</x:v>
      </x:c>
      <x:c r="G529" s="3" t="str">
        <x:v>2.4 PRERUNNER DOUBLE CAB</x:v>
      </x:c>
      <x:c r="H529" s="3" t="str">
        <x:v>未掲載</x:v>
      </x:c>
      <x:c r="I529" s="3" t="str">
        <x:v>世代不明</x:v>
      </x:c>
      <x:c r="J529" s="22" t="n">
        <x:f>COUNT('中古車掲載'!AM691:AM695)</x:f>
        <x:v>5</x:v>
      </x:c>
      <x:c r="K529" s="22" t="n">
        <x:f>IF(COUNT('中古車掲載'!AM691:AM695)=0,"",QUARTILE('中古車掲載'!AM691:AM695,1))</x:f>
        <x:v>599000</x:v>
      </x:c>
      <x:c r="L529" s="22" t="n">
        <x:f>IF(COUNT('中古車掲載'!AM691:AM695)=0,"",MEDIAN('中古車掲載'!AM691:AM695))</x:f>
        <x:v>620000</x:v>
      </x:c>
      <x:c r="M529" s="22" t="n">
        <x:f>IF(COUNT('中古車掲載'!AM691:AM695)=0,"",QUARTILE('中古車掲載'!AM691:AM695,3))</x:f>
        <x:v>649000</x:v>
      </x:c>
      <x:c r="N529" s="22" t="n">
        <x:f>COUNT('中古車掲載'!AN691:AN695)</x:f>
        <x:v>0</x:v>
      </x:c>
      <x:c r="O529" s="23" t="str">
        <x:f>IF(COUNT('中古車掲載'!AN691:AN695)=0,"",MEDIAN('中古車掲載'!AN691:AN695))</x:f>
      </x:c>
      <x:c r="P529" s="3"/>
      <x:c r="Q529" s="3"/>
      <x:c r="R529" s="3"/>
      <x:c r="S529" s="3"/>
      <x:c r="T529" s="3"/>
      <x:c r="U529" s="3"/>
      <x:c r="V529" s="3"/>
      <x:c r="W529" s="3"/>
      <x:c r="X529" s="3"/>
      <x:c r="Y529" s="3"/>
      <x:c r="Z529" s="3"/>
      <x:c r="AA529" s="3"/>
      <x:c r="AB529" s="3"/>
      <x:c r="AC529" s="3"/>
      <x:c r="AD529" s="3"/>
      <x:c r="AE529" s="3"/>
      <x:c r="AF529" s="3"/>
      <x:c r="AG529" s="3"/>
      <x:c r="AH529" s="3"/>
      <x:c r="AI529" s="3"/>
      <x:c r="AJ529" s="3"/>
      <x:c r="AK529" s="3"/>
      <x:c r="AL529" s="3"/>
      <x:c r="AM529" s="3"/>
      <x:c r="AN529" s="3"/>
      <x:c r="AO529" s="3"/>
      <x:c r="AP529" s="3"/>
      <x:c r="AQ529" s="3"/>
      <x:c r="AR529" s="3"/>
      <x:c r="AS529" s="3"/>
      <x:c r="AT529" s="3"/>
      <x:c r="AU529" s="3"/>
      <x:c r="AV529" s="3"/>
      <x:c r="AW529" s="3"/>
      <x:c r="AX529" s="3"/>
      <x:c r="AY529" s="3"/>
      <x:c r="AZ529" s="3" t="str">
        <x:f>IF(AND('中古車掲載'!C530="One2car",'中古車掲載'!F530="ATTO 3",'中古車掲載'!L530="EXTENDED RANGE",'中古車掲載'!J530=2023,ISNUMBER('中古車掲載'!N530),'中古車掲載'!N530&gt;=20000,'中古車掲載'!O530&lt;=100000,'中古車掲載'!AL530=1),'中古車掲載'!U530,"")</x:f>
      </x:c>
      <x:c r="BA529" s="3" t="str">
        <x:f>IF(AND('中古車掲載'!C530="One2car",'中古車掲載'!F530="Corolla Cross",'中古車掲載'!L530="HEV PREMIUM SAFETY",'中古車掲載'!J530=2023,ISNUMBER('中古車掲載'!N530),'中古車掲載'!N530&gt;=20000,'中古車掲載'!O530&lt;=100000,'中古車掲載'!AL530=1,'中古車掲載'!Z530="https://www.one2car.com/en/cars-for-sale/toyota/corolla-cross/year-2023"),'中古車掲載'!U530,"")</x:f>
      </x:c>
      <x:c r="BB529" s="3" t="str">
        <x:f>IF(AND('中古車掲載'!C530="One2car",'中古車掲載'!F530="ATTO 3",'中古車掲載'!L530="EXTENDED RANGE",'中古車掲載'!J530=2023,ISNUMBER('中古車掲載'!N530),'中古車掲載'!N530&gt;=50000,'中古車掲載'!O530&lt;=100000,'中古車掲載'!AL530=1),'中古車掲載'!U530,"")</x:f>
      </x:c>
      <x:c r="BC529" s="3" t="str">
        <x:f>IF(AND('中古車掲載'!C530="One2car",'中古車掲載'!F530="Corolla Cross",'中古車掲載'!L530="HEV PREMIUM SAFETY",'中古車掲載'!J530=2023,ISNUMBER('中古車掲載'!N530),'中古車掲載'!N530&gt;=50000,'中古車掲載'!O530&lt;=100000,'中古車掲載'!AL530=1,'中古車掲載'!Z530="https://www.one2car.com/en/cars-for-sale/toyota/corolla-cross/year-2023"),'中古車掲載'!U530,"")</x:f>
      </x:c>
      <x:c r="BD529" s="3" t="str">
        <x:f>IF(AND('中古車掲載'!C530="One2car",'中古車掲載'!F530="ATTO 3",'中古車掲載'!L530="EXTENDED RANGE",'中古車掲載'!J530=2023,ISNUMBER('中古車掲載'!N530),'中古車掲載'!N530&gt;=20000,'中古車掲載'!O530&lt;=50000,'中古車掲載'!AL530=1),'中古車掲載'!U530,"")</x:f>
      </x:c>
      <x:c r="BE529" s="3" t="str">
        <x:f>IF(AND('中古車掲載'!C530="One2car",'中古車掲載'!F530="Corolla Cross",'中古車掲載'!L530="HEV PREMIUM SAFETY",'中古車掲載'!J530=2023,ISNUMBER('中古車掲載'!N530),'中古車掲載'!N530&gt;=20000,'中古車掲載'!O530&lt;=50000,'中古車掲載'!AL530=1,'中古車掲載'!Z530="https://www.one2car.com/en/cars-for-sale/toyota/corolla-cross/year-2023"),'中古車掲載'!U530,"")</x:f>
      </x:c>
      <x:c r="BF529" s="3" t="str">
        <x:f>IF(AND('中古車掲載'!C530="One2car",'中古車掲載'!F530="Corolla Cross",'中古車掲載'!L530="HEV PREMIUM",'中古車掲載'!J530=2023,ISNUMBER('中古車掲載'!N530),'中古車掲載'!N530&gt;=20000,'中古車掲載'!O530&lt;=100000,'中古車掲載'!AL530=1,'中古車掲載'!Z530="https://www.one2car.com/en/cars-for-sale/toyota/corolla-cross/year-2023"),'中古車掲載'!U530,"")</x:f>
      </x:c>
      <x:c r="BG529" s="3" t="str">
        <x:f>IF(AND('中古車掲載'!C530="One2car",'中古車掲載'!F530="Corolla Cross",'中古車掲載'!L530="HEV GR SPORT",'中古車掲載'!J530=2023,ISNUMBER('中古車掲載'!N530),'中古車掲載'!N530&gt;=20000,'中古車掲載'!O530&lt;=100000,'中古車掲載'!AL530=1,'中古車掲載'!Z530="https://www.one2car.com/en/cars-for-sale/toyota/corolla-cross/year-2023"),'中古車掲載'!U530,"")</x:f>
      </x:c>
      <x:c r="BH529" s="3" t="str">
        <x:f>IF(AND('中古車掲載'!C530="One2car",'中古車掲載'!F530="DOLPHIN",'中古車掲載'!L530="STANDARD RANGE",'中古車掲載'!J530=2023,ISNUMBER('中古車掲載'!N530),'中古車掲載'!N530&gt;=20000,'中古車掲載'!O530&lt;=100000,'中古車掲載'!AL530=1),'中古車掲載'!U530,"")</x:f>
      </x:c>
      <x:c r="BI529" s="3" t="str">
        <x:v>Taladrod|Fortuner|ICE|Unknown</x:v>
      </x:c>
      <x:c r="BJ529" s="3" t="n">
        <x:v>530</x:v>
      </x:c>
      <x:c r="BK529" s="3" t="n">
        <x:f>'中古車掲載'!AM530</x:f>
        <x:v>929000</x:v>
      </x:c>
      <x:c r="BL529" s="3" t="str">
        <x:f>IF(ISNUMBER('中古車掲載'!AN530),'中古車掲載'!AN530,"")</x:f>
      </x:c>
      <x:c r="BM529" s="3"/>
      <x:c r="BN529" s="3"/>
      <x:c r="BO529" s="3"/>
      <x:c r="BP529" s="3"/>
      <x:c r="BQ529" s="3"/>
      <x:c r="BR529" s="3"/>
    </x:row>
    <x:row r="530" ht="22" customHeight="1">
      <x:c r="A530" s="3" t="str">
        <x:v>Hilux Revo</x:v>
      </x:c>
      <x:c r="B530" s="3" t="str">
        <x:v>ICE</x:v>
      </x:c>
      <x:c r="C530" s="3" t="str">
        <x:v>Taladrod</x:v>
      </x:c>
      <x:c r="D530" s="3" t="str">
        <x:v>Pickup</x:v>
      </x:c>
      <x:c r="E530" s="3" t="str">
        <x:v>Double cab</x:v>
      </x:c>
      <x:c r="F530" s="3" t="n">
        <x:v>2021</x:v>
      </x:c>
      <x:c r="G530" s="3" t="str">
        <x:v>2.4 ENTRY PRERUNNER DOUBLE CAB</x:v>
      </x:c>
      <x:c r="H530" s="3" t="str">
        <x:v>未掲載</x:v>
      </x:c>
      <x:c r="I530" s="3" t="str">
        <x:v>世代不明</x:v>
      </x:c>
      <x:c r="J530" s="22" t="n">
        <x:f>COUNT('中古車掲載'!AM703:AM709)</x:f>
        <x:v>7</x:v>
      </x:c>
      <x:c r="K530" s="22" t="n">
        <x:f>IF(COUNT('中古車掲載'!AM703:AM709)=0,"",QUARTILE('中古車掲載'!AM703:AM709,1))</x:f>
        <x:v>544000</x:v>
      </x:c>
      <x:c r="L530" s="22" t="n">
        <x:f>IF(COUNT('中古車掲載'!AM703:AM709)=0,"",MEDIAN('中古車掲載'!AM703:AM709))</x:f>
        <x:v>565000</x:v>
      </x:c>
      <x:c r="M530" s="22" t="n">
        <x:f>IF(COUNT('中古車掲載'!AM703:AM709)=0,"",QUARTILE('中古車掲載'!AM703:AM709,3))</x:f>
        <x:v>615000</x:v>
      </x:c>
      <x:c r="N530" s="22" t="n">
        <x:f>COUNT('中古車掲載'!AN703:AN709)</x:f>
        <x:v>0</x:v>
      </x:c>
      <x:c r="O530" s="23" t="str">
        <x:f>IF(COUNT('中古車掲載'!AN703:AN709)=0,"",MEDIAN('中古車掲載'!AN703:AN709))</x:f>
      </x:c>
      <x:c r="P530" s="3"/>
      <x:c r="Q530" s="3"/>
      <x:c r="R530" s="3"/>
      <x:c r="S530" s="3"/>
      <x:c r="T530" s="3"/>
      <x:c r="U530" s="3"/>
      <x:c r="V530" s="3"/>
      <x:c r="W530" s="3"/>
      <x:c r="X530" s="3"/>
      <x:c r="Y530" s="3"/>
      <x:c r="Z530" s="3"/>
      <x:c r="AA530" s="3"/>
      <x:c r="AB530" s="3"/>
      <x:c r="AC530" s="3"/>
      <x:c r="AD530" s="3"/>
      <x:c r="AE530" s="3"/>
      <x:c r="AF530" s="3"/>
      <x:c r="AG530" s="3"/>
      <x:c r="AH530" s="3"/>
      <x:c r="AI530" s="3"/>
      <x:c r="AJ530" s="3"/>
      <x:c r="AK530" s="3"/>
      <x:c r="AL530" s="3"/>
      <x:c r="AM530" s="3"/>
      <x:c r="AN530" s="3"/>
      <x:c r="AO530" s="3"/>
      <x:c r="AP530" s="3"/>
      <x:c r="AQ530" s="3"/>
      <x:c r="AR530" s="3"/>
      <x:c r="AS530" s="3"/>
      <x:c r="AT530" s="3"/>
      <x:c r="AU530" s="3"/>
      <x:c r="AV530" s="3"/>
      <x:c r="AW530" s="3"/>
      <x:c r="AX530" s="3"/>
      <x:c r="AY530" s="3"/>
      <x:c r="AZ530" s="3" t="str">
        <x:f>IF(AND('中古車掲載'!C531="One2car",'中古車掲載'!F531="ATTO 3",'中古車掲載'!L531="EXTENDED RANGE",'中古車掲載'!J531=2023,ISNUMBER('中古車掲載'!N531),'中古車掲載'!N531&gt;=20000,'中古車掲載'!O531&lt;=100000,'中古車掲載'!AL531=1),'中古車掲載'!U531,"")</x:f>
      </x:c>
      <x:c r="BA530" s="3" t="str">
        <x:f>IF(AND('中古車掲載'!C531="One2car",'中古車掲載'!F531="Corolla Cross",'中古車掲載'!L531="HEV PREMIUM SAFETY",'中古車掲載'!J531=2023,ISNUMBER('中古車掲載'!N531),'中古車掲載'!N531&gt;=20000,'中古車掲載'!O531&lt;=100000,'中古車掲載'!AL531=1,'中古車掲載'!Z531="https://www.one2car.com/en/cars-for-sale/toyota/corolla-cross/year-2023"),'中古車掲載'!U531,"")</x:f>
      </x:c>
      <x:c r="BB530" s="3" t="str">
        <x:f>IF(AND('中古車掲載'!C531="One2car",'中古車掲載'!F531="ATTO 3",'中古車掲載'!L531="EXTENDED RANGE",'中古車掲載'!J531=2023,ISNUMBER('中古車掲載'!N531),'中古車掲載'!N531&gt;=50000,'中古車掲載'!O531&lt;=100000,'中古車掲載'!AL531=1),'中古車掲載'!U531,"")</x:f>
      </x:c>
      <x:c r="BC530" s="3" t="str">
        <x:f>IF(AND('中古車掲載'!C531="One2car",'中古車掲載'!F531="Corolla Cross",'中古車掲載'!L531="HEV PREMIUM SAFETY",'中古車掲載'!J531=2023,ISNUMBER('中古車掲載'!N531),'中古車掲載'!N531&gt;=50000,'中古車掲載'!O531&lt;=100000,'中古車掲載'!AL531=1,'中古車掲載'!Z531="https://www.one2car.com/en/cars-for-sale/toyota/corolla-cross/year-2023"),'中古車掲載'!U531,"")</x:f>
      </x:c>
      <x:c r="BD530" s="3" t="str">
        <x:f>IF(AND('中古車掲載'!C531="One2car",'中古車掲載'!F531="ATTO 3",'中古車掲載'!L531="EXTENDED RANGE",'中古車掲載'!J531=2023,ISNUMBER('中古車掲載'!N531),'中古車掲載'!N531&gt;=20000,'中古車掲載'!O531&lt;=50000,'中古車掲載'!AL531=1),'中古車掲載'!U531,"")</x:f>
      </x:c>
      <x:c r="BE530" s="3" t="str">
        <x:f>IF(AND('中古車掲載'!C531="One2car",'中古車掲載'!F531="Corolla Cross",'中古車掲載'!L531="HEV PREMIUM SAFETY",'中古車掲載'!J531=2023,ISNUMBER('中古車掲載'!N531),'中古車掲載'!N531&gt;=20000,'中古車掲載'!O531&lt;=50000,'中古車掲載'!AL531=1,'中古車掲載'!Z531="https://www.one2car.com/en/cars-for-sale/toyota/corolla-cross/year-2023"),'中古車掲載'!U531,"")</x:f>
      </x:c>
      <x:c r="BF530" s="3" t="str">
        <x:f>IF(AND('中古車掲載'!C531="One2car",'中古車掲載'!F531="Corolla Cross",'中古車掲載'!L531="HEV PREMIUM",'中古車掲載'!J531=2023,ISNUMBER('中古車掲載'!N531),'中古車掲載'!N531&gt;=20000,'中古車掲載'!O531&lt;=100000,'中古車掲載'!AL531=1,'中古車掲載'!Z531="https://www.one2car.com/en/cars-for-sale/toyota/corolla-cross/year-2023"),'中古車掲載'!U531,"")</x:f>
      </x:c>
      <x:c r="BG530" s="3" t="str">
        <x:f>IF(AND('中古車掲載'!C531="One2car",'中古車掲載'!F531="Corolla Cross",'中古車掲載'!L531="HEV GR SPORT",'中古車掲載'!J531=2023,ISNUMBER('中古車掲載'!N531),'中古車掲載'!N531&gt;=20000,'中古車掲載'!O531&lt;=100000,'中古車掲載'!AL531=1,'中古車掲載'!Z531="https://www.one2car.com/en/cars-for-sale/toyota/corolla-cross/year-2023"),'中古車掲載'!U531,"")</x:f>
      </x:c>
      <x:c r="BH530" s="3" t="str">
        <x:f>IF(AND('中古車掲載'!C531="One2car",'中古車掲載'!F531="DOLPHIN",'中古車掲載'!L531="STANDARD RANGE",'中古車掲載'!J531=2023,ISNUMBER('中古車掲載'!N531),'中古車掲載'!N531&gt;=20000,'中古車掲載'!O531&lt;=100000,'中古車掲載'!AL531=1),'中古車掲載'!U531,"")</x:f>
      </x:c>
      <x:c r="BI530" s="3" t="str">
        <x:v>Taladrod|Fortuner|ICE|Unknown</x:v>
      </x:c>
      <x:c r="BJ530" s="3" t="n">
        <x:v>531</x:v>
      </x:c>
      <x:c r="BK530" s="3" t="n">
        <x:f>'中古車掲載'!AM531</x:f>
        <x:v>935000</x:v>
      </x:c>
      <x:c r="BL530" s="3" t="str">
        <x:f>IF(ISNUMBER('中古車掲載'!AN531),'中古車掲載'!AN531,"")</x:f>
      </x:c>
      <x:c r="BM530" s="3"/>
      <x:c r="BN530" s="3"/>
      <x:c r="BO530" s="3"/>
      <x:c r="BP530" s="3"/>
      <x:c r="BQ530" s="3"/>
      <x:c r="BR530" s="3"/>
    </x:row>
    <x:row r="531" ht="22" customHeight="1">
      <x:c r="A531" s="3" t="str">
        <x:v>Hilux Revo</x:v>
      </x:c>
      <x:c r="B531" s="3" t="str">
        <x:v>ICE</x:v>
      </x:c>
      <x:c r="C531" s="3" t="str">
        <x:v>Taladrod</x:v>
      </x:c>
      <x:c r="D531" s="3" t="str">
        <x:v>Pickup</x:v>
      </x:c>
      <x:c r="E531" s="3" t="str">
        <x:v>Double cab</x:v>
      </x:c>
      <x:c r="F531" s="3" t="n">
        <x:v>2021</x:v>
      </x:c>
      <x:c r="G531" s="3" t="str">
        <x:v>2.4 ENTRY Z EDITION DOUBLE CAB</x:v>
      </x:c>
      <x:c r="H531" s="3" t="str">
        <x:v>未掲載</x:v>
      </x:c>
      <x:c r="I531" s="3" t="str">
        <x:v>世代不明</x:v>
      </x:c>
      <x:c r="J531" s="22" t="n">
        <x:f>COUNT('中古車掲載'!AM724:AM731)</x:f>
        <x:v>8</x:v>
      </x:c>
      <x:c r="K531" s="22" t="n">
        <x:f>IF(COUNT('中古車掲載'!AM724:AM731)=0,"",QUARTILE('中古車掲載'!AM724:AM731,1))</x:f>
        <x:v>438000</x:v>
      </x:c>
      <x:c r="L531" s="22" t="n">
        <x:f>IF(COUNT('中古車掲載'!AM724:AM731)=0,"",MEDIAN('中古車掲載'!AM724:AM731))</x:f>
        <x:v>458500</x:v>
      </x:c>
      <x:c r="M531" s="22" t="n">
        <x:f>IF(COUNT('中古車掲載'!AM724:AM731)=0,"",QUARTILE('中古車掲載'!AM724:AM731,3))</x:f>
        <x:v>473750</x:v>
      </x:c>
      <x:c r="N531" s="22" t="n">
        <x:f>COUNT('中古車掲載'!AN724:AN731)</x:f>
        <x:v>0</x:v>
      </x:c>
      <x:c r="O531" s="23" t="str">
        <x:f>IF(COUNT('中古車掲載'!AN724:AN731)=0,"",MEDIAN('中古車掲載'!AN724:AN731))</x:f>
      </x:c>
      <x:c r="P531" s="3"/>
      <x:c r="Q531" s="3"/>
      <x:c r="R531" s="3"/>
      <x:c r="S531" s="3"/>
      <x:c r="T531" s="3"/>
      <x:c r="U531" s="3"/>
      <x:c r="V531" s="3"/>
      <x:c r="W531" s="3"/>
      <x:c r="X531" s="3"/>
      <x:c r="Y531" s="3"/>
      <x:c r="Z531" s="3"/>
      <x:c r="AA531" s="3"/>
      <x:c r="AB531" s="3"/>
      <x:c r="AC531" s="3"/>
      <x:c r="AD531" s="3"/>
      <x:c r="AE531" s="3"/>
      <x:c r="AF531" s="3"/>
      <x:c r="AG531" s="3"/>
      <x:c r="AH531" s="3"/>
      <x:c r="AI531" s="3"/>
      <x:c r="AJ531" s="3"/>
      <x:c r="AK531" s="3"/>
      <x:c r="AL531" s="3"/>
      <x:c r="AM531" s="3"/>
      <x:c r="AN531" s="3"/>
      <x:c r="AO531" s="3"/>
      <x:c r="AP531" s="3"/>
      <x:c r="AQ531" s="3"/>
      <x:c r="AR531" s="3"/>
      <x:c r="AS531" s="3"/>
      <x:c r="AT531" s="3"/>
      <x:c r="AU531" s="3"/>
      <x:c r="AV531" s="3"/>
      <x:c r="AW531" s="3"/>
      <x:c r="AX531" s="3"/>
      <x:c r="AY531" s="3"/>
      <x:c r="AZ531" s="3" t="str">
        <x:f>IF(AND('中古車掲載'!C532="One2car",'中古車掲載'!F532="ATTO 3",'中古車掲載'!L532="EXTENDED RANGE",'中古車掲載'!J532=2023,ISNUMBER('中古車掲載'!N532),'中古車掲載'!N532&gt;=20000,'中古車掲載'!O532&lt;=100000,'中古車掲載'!AL532=1),'中古車掲載'!U532,"")</x:f>
      </x:c>
      <x:c r="BA531" s="3" t="str">
        <x:f>IF(AND('中古車掲載'!C532="One2car",'中古車掲載'!F532="Corolla Cross",'中古車掲載'!L532="HEV PREMIUM SAFETY",'中古車掲載'!J532=2023,ISNUMBER('中古車掲載'!N532),'中古車掲載'!N532&gt;=20000,'中古車掲載'!O532&lt;=100000,'中古車掲載'!AL532=1,'中古車掲載'!Z532="https://www.one2car.com/en/cars-for-sale/toyota/corolla-cross/year-2023"),'中古車掲載'!U532,"")</x:f>
      </x:c>
      <x:c r="BB531" s="3" t="str">
        <x:f>IF(AND('中古車掲載'!C532="One2car",'中古車掲載'!F532="ATTO 3",'中古車掲載'!L532="EXTENDED RANGE",'中古車掲載'!J532=2023,ISNUMBER('中古車掲載'!N532),'中古車掲載'!N532&gt;=50000,'中古車掲載'!O532&lt;=100000,'中古車掲載'!AL532=1),'中古車掲載'!U532,"")</x:f>
      </x:c>
      <x:c r="BC531" s="3" t="str">
        <x:f>IF(AND('中古車掲載'!C532="One2car",'中古車掲載'!F532="Corolla Cross",'中古車掲載'!L532="HEV PREMIUM SAFETY",'中古車掲載'!J532=2023,ISNUMBER('中古車掲載'!N532),'中古車掲載'!N532&gt;=50000,'中古車掲載'!O532&lt;=100000,'中古車掲載'!AL532=1,'中古車掲載'!Z532="https://www.one2car.com/en/cars-for-sale/toyota/corolla-cross/year-2023"),'中古車掲載'!U532,"")</x:f>
      </x:c>
      <x:c r="BD531" s="3" t="str">
        <x:f>IF(AND('中古車掲載'!C532="One2car",'中古車掲載'!F532="ATTO 3",'中古車掲載'!L532="EXTENDED RANGE",'中古車掲載'!J532=2023,ISNUMBER('中古車掲載'!N532),'中古車掲載'!N532&gt;=20000,'中古車掲載'!O532&lt;=50000,'中古車掲載'!AL532=1),'中古車掲載'!U532,"")</x:f>
      </x:c>
      <x:c r="BE531" s="3" t="str">
        <x:f>IF(AND('中古車掲載'!C532="One2car",'中古車掲載'!F532="Corolla Cross",'中古車掲載'!L532="HEV PREMIUM SAFETY",'中古車掲載'!J532=2023,ISNUMBER('中古車掲載'!N532),'中古車掲載'!N532&gt;=20000,'中古車掲載'!O532&lt;=50000,'中古車掲載'!AL532=1,'中古車掲載'!Z532="https://www.one2car.com/en/cars-for-sale/toyota/corolla-cross/year-2023"),'中古車掲載'!U532,"")</x:f>
      </x:c>
      <x:c r="BF531" s="3" t="str">
        <x:f>IF(AND('中古車掲載'!C532="One2car",'中古車掲載'!F532="Corolla Cross",'中古車掲載'!L532="HEV PREMIUM",'中古車掲載'!J532=2023,ISNUMBER('中古車掲載'!N532),'中古車掲載'!N532&gt;=20000,'中古車掲載'!O532&lt;=100000,'中古車掲載'!AL532=1,'中古車掲載'!Z532="https://www.one2car.com/en/cars-for-sale/toyota/corolla-cross/year-2023"),'中古車掲載'!U532,"")</x:f>
      </x:c>
      <x:c r="BG531" s="3" t="str">
        <x:f>IF(AND('中古車掲載'!C532="One2car",'中古車掲載'!F532="Corolla Cross",'中古車掲載'!L532="HEV GR SPORT",'中古車掲載'!J532=2023,ISNUMBER('中古車掲載'!N532),'中古車掲載'!N532&gt;=20000,'中古車掲載'!O532&lt;=100000,'中古車掲載'!AL532=1,'中古車掲載'!Z532="https://www.one2car.com/en/cars-for-sale/toyota/corolla-cross/year-2023"),'中古車掲載'!U532,"")</x:f>
      </x:c>
      <x:c r="BH531" s="3" t="str">
        <x:f>IF(AND('中古車掲載'!C532="One2car",'中古車掲載'!F532="DOLPHIN",'中古車掲載'!L532="STANDARD RANGE",'中古車掲載'!J532=2023,ISNUMBER('中古車掲載'!N532),'中古車掲載'!N532&gt;=20000,'中古車掲載'!O532&lt;=100000,'中古車掲載'!AL532=1),'中古車掲載'!U532,"")</x:f>
      </x:c>
      <x:c r="BI531" s="3" t="str">
        <x:v>Taladrod|Fortuner|ICE|Unknown</x:v>
      </x:c>
      <x:c r="BJ531" s="3" t="n">
        <x:v>532</x:v>
      </x:c>
      <x:c r="BK531" s="3" t="n">
        <x:f>'中古車掲載'!AM532</x:f>
        <x:v>994000</x:v>
      </x:c>
      <x:c r="BL531" s="3" t="str">
        <x:f>IF(ISNUMBER('中古車掲載'!AN532),'中古車掲載'!AN532,"")</x:f>
      </x:c>
      <x:c r="BM531" s="3"/>
      <x:c r="BN531" s="3"/>
      <x:c r="BO531" s="3"/>
      <x:c r="BP531" s="3"/>
      <x:c r="BQ531" s="3"/>
      <x:c r="BR531" s="3"/>
    </x:row>
    <x:row r="532" ht="22" customHeight="1">
      <x:c r="A532" s="3" t="str">
        <x:v>Hilux Revo</x:v>
      </x:c>
      <x:c r="B532" s="3" t="str">
        <x:v>ICE</x:v>
      </x:c>
      <x:c r="C532" s="3" t="str">
        <x:v>Taladrod</x:v>
      </x:c>
      <x:c r="D532" s="3" t="str">
        <x:v>Pickup</x:v>
      </x:c>
      <x:c r="E532" s="3" t="str">
        <x:v>Double cab</x:v>
      </x:c>
      <x:c r="F532" s="3" t="n">
        <x:v>2021</x:v>
      </x:c>
      <x:c r="G532" s="3" t="str">
        <x:v>2.4 MID PRERUNNER DOUBLE CAB</x:v>
      </x:c>
      <x:c r="H532" s="3" t="str">
        <x:v>未掲載</x:v>
      </x:c>
      <x:c r="I532" s="3" t="str">
        <x:v>世代不明</x:v>
      </x:c>
      <x:c r="J532" s="22" t="n">
        <x:f>COUNT('中古車掲載'!AM741:AM744)</x:f>
        <x:v>4</x:v>
      </x:c>
      <x:c r="K532" s="22" t="n">
        <x:f>IF(COUNT('中古車掲載'!AM741:AM744)=0,"",QUARTILE('中古車掲載'!AM741:AM744,1))</x:f>
        <x:v>571750</x:v>
      </x:c>
      <x:c r="L532" s="22" t="n">
        <x:f>IF(COUNT('中古車掲載'!AM741:AM744)=0,"",MEDIAN('中古車掲載'!AM741:AM744))</x:f>
        <x:v>584000</x:v>
      </x:c>
      <x:c r="M532" s="22" t="n">
        <x:f>IF(COUNT('中古車掲載'!AM741:AM744)=0,"",QUARTILE('中古車掲載'!AM741:AM744,3))</x:f>
        <x:v>594000</x:v>
      </x:c>
      <x:c r="N532" s="22" t="n">
        <x:f>COUNT('中古車掲載'!AN741:AN744)</x:f>
        <x:v>0</x:v>
      </x:c>
      <x:c r="O532" s="23" t="str">
        <x:f>IF(COUNT('中古車掲載'!AN741:AN744)=0,"",MEDIAN('中古車掲載'!AN741:AN744))</x:f>
      </x:c>
      <x:c r="P532" s="3"/>
      <x:c r="Q532" s="3"/>
      <x:c r="R532" s="3"/>
      <x:c r="S532" s="3"/>
      <x:c r="T532" s="3"/>
      <x:c r="U532" s="3"/>
      <x:c r="V532" s="3"/>
      <x:c r="W532" s="3"/>
      <x:c r="X532" s="3"/>
      <x:c r="Y532" s="3"/>
      <x:c r="Z532" s="3"/>
      <x:c r="AA532" s="3"/>
      <x:c r="AB532" s="3"/>
      <x:c r="AC532" s="3"/>
      <x:c r="AD532" s="3"/>
      <x:c r="AE532" s="3"/>
      <x:c r="AF532" s="3"/>
      <x:c r="AG532" s="3"/>
      <x:c r="AH532" s="3"/>
      <x:c r="AI532" s="3"/>
      <x:c r="AJ532" s="3"/>
      <x:c r="AK532" s="3"/>
      <x:c r="AL532" s="3"/>
      <x:c r="AM532" s="3"/>
      <x:c r="AN532" s="3"/>
      <x:c r="AO532" s="3"/>
      <x:c r="AP532" s="3"/>
      <x:c r="AQ532" s="3"/>
      <x:c r="AR532" s="3"/>
      <x:c r="AS532" s="3"/>
      <x:c r="AT532" s="3"/>
      <x:c r="AU532" s="3"/>
      <x:c r="AV532" s="3"/>
      <x:c r="AW532" s="3"/>
      <x:c r="AX532" s="3"/>
      <x:c r="AY532" s="3"/>
      <x:c r="AZ532" s="3" t="str">
        <x:f>IF(AND('中古車掲載'!C533="One2car",'中古車掲載'!F533="ATTO 3",'中古車掲載'!L533="EXTENDED RANGE",'中古車掲載'!J533=2023,ISNUMBER('中古車掲載'!N533),'中古車掲載'!N533&gt;=20000,'中古車掲載'!O533&lt;=100000,'中古車掲載'!AL533=1),'中古車掲載'!U533,"")</x:f>
      </x:c>
      <x:c r="BA532" s="3" t="str">
        <x:f>IF(AND('中古車掲載'!C533="One2car",'中古車掲載'!F533="Corolla Cross",'中古車掲載'!L533="HEV PREMIUM SAFETY",'中古車掲載'!J533=2023,ISNUMBER('中古車掲載'!N533),'中古車掲載'!N533&gt;=20000,'中古車掲載'!O533&lt;=100000,'中古車掲載'!AL533=1,'中古車掲載'!Z533="https://www.one2car.com/en/cars-for-sale/toyota/corolla-cross/year-2023"),'中古車掲載'!U533,"")</x:f>
      </x:c>
      <x:c r="BB532" s="3" t="str">
        <x:f>IF(AND('中古車掲載'!C533="One2car",'中古車掲載'!F533="ATTO 3",'中古車掲載'!L533="EXTENDED RANGE",'中古車掲載'!J533=2023,ISNUMBER('中古車掲載'!N533),'中古車掲載'!N533&gt;=50000,'中古車掲載'!O533&lt;=100000,'中古車掲載'!AL533=1),'中古車掲載'!U533,"")</x:f>
      </x:c>
      <x:c r="BC532" s="3" t="str">
        <x:f>IF(AND('中古車掲載'!C533="One2car",'中古車掲載'!F533="Corolla Cross",'中古車掲載'!L533="HEV PREMIUM SAFETY",'中古車掲載'!J533=2023,ISNUMBER('中古車掲載'!N533),'中古車掲載'!N533&gt;=50000,'中古車掲載'!O533&lt;=100000,'中古車掲載'!AL533=1,'中古車掲載'!Z533="https://www.one2car.com/en/cars-for-sale/toyota/corolla-cross/year-2023"),'中古車掲載'!U533,"")</x:f>
      </x:c>
      <x:c r="BD532" s="3" t="str">
        <x:f>IF(AND('中古車掲載'!C533="One2car",'中古車掲載'!F533="ATTO 3",'中古車掲載'!L533="EXTENDED RANGE",'中古車掲載'!J533=2023,ISNUMBER('中古車掲載'!N533),'中古車掲載'!N533&gt;=20000,'中古車掲載'!O533&lt;=50000,'中古車掲載'!AL533=1),'中古車掲載'!U533,"")</x:f>
      </x:c>
      <x:c r="BE532" s="3" t="str">
        <x:f>IF(AND('中古車掲載'!C533="One2car",'中古車掲載'!F533="Corolla Cross",'中古車掲載'!L533="HEV PREMIUM SAFETY",'中古車掲載'!J533=2023,ISNUMBER('中古車掲載'!N533),'中古車掲載'!N533&gt;=20000,'中古車掲載'!O533&lt;=50000,'中古車掲載'!AL533=1,'中古車掲載'!Z533="https://www.one2car.com/en/cars-for-sale/toyota/corolla-cross/year-2023"),'中古車掲載'!U533,"")</x:f>
      </x:c>
      <x:c r="BF532" s="3" t="str">
        <x:f>IF(AND('中古車掲載'!C533="One2car",'中古車掲載'!F533="Corolla Cross",'中古車掲載'!L533="HEV PREMIUM",'中古車掲載'!J533=2023,ISNUMBER('中古車掲載'!N533),'中古車掲載'!N533&gt;=20000,'中古車掲載'!O533&lt;=100000,'中古車掲載'!AL533=1,'中古車掲載'!Z533="https://www.one2car.com/en/cars-for-sale/toyota/corolla-cross/year-2023"),'中古車掲載'!U533,"")</x:f>
      </x:c>
      <x:c r="BG532" s="3" t="str">
        <x:f>IF(AND('中古車掲載'!C533="One2car",'中古車掲載'!F533="Corolla Cross",'中古車掲載'!L533="HEV GR SPORT",'中古車掲載'!J533=2023,ISNUMBER('中古車掲載'!N533),'中古車掲載'!N533&gt;=20000,'中古車掲載'!O533&lt;=100000,'中古車掲載'!AL533=1,'中古車掲載'!Z533="https://www.one2car.com/en/cars-for-sale/toyota/corolla-cross/year-2023"),'中古車掲載'!U533,"")</x:f>
      </x:c>
      <x:c r="BH532" s="3" t="str">
        <x:f>IF(AND('中古車掲載'!C533="One2car",'中古車掲載'!F533="DOLPHIN",'中古車掲載'!L533="STANDARD RANGE",'中古車掲載'!J533=2023,ISNUMBER('中古車掲載'!N533),'中古車掲載'!N533&gt;=20000,'中古車掲載'!O533&lt;=100000,'中古車掲載'!AL533=1),'中古車掲載'!U533,"")</x:f>
      </x:c>
      <x:c r="BI532" s="3" t="str">
        <x:v>Taladrod|Fortuner|ICE|Unknown</x:v>
      </x:c>
      <x:c r="BJ532" s="3" t="n">
        <x:v>533</x:v>
      </x:c>
      <x:c r="BK532" s="3" t="n">
        <x:f>'中古車掲載'!AM533</x:f>
        <x:v>979000</x:v>
      </x:c>
      <x:c r="BL532" s="3" t="str">
        <x:f>IF(ISNUMBER('中古車掲載'!AN533),'中古車掲載'!AN533,"")</x:f>
      </x:c>
      <x:c r="BM532" s="3"/>
      <x:c r="BN532" s="3"/>
      <x:c r="BO532" s="3"/>
      <x:c r="BP532" s="3"/>
      <x:c r="BQ532" s="3"/>
      <x:c r="BR532" s="3"/>
    </x:row>
    <x:row r="533" ht="22" customHeight="1">
      <x:c r="A533" s="3" t="str">
        <x:v>Hilux Revo</x:v>
      </x:c>
      <x:c r="B533" s="3" t="str">
        <x:v>ICE</x:v>
      </x:c>
      <x:c r="C533" s="3" t="str">
        <x:v>Taladrod</x:v>
      </x:c>
      <x:c r="D533" s="3" t="str">
        <x:v>Pickup</x:v>
      </x:c>
      <x:c r="E533" s="3" t="str">
        <x:v>Double cab</x:v>
      </x:c>
      <x:c r="F533" s="3" t="n">
        <x:v>2021</x:v>
      </x:c>
      <x:c r="G533" s="3" t="str">
        <x:v>2.4 MID Z EDITION DOUBLE CAB</x:v>
      </x:c>
      <x:c r="H533" s="3" t="str">
        <x:v>未掲載</x:v>
      </x:c>
      <x:c r="I533" s="3" t="str">
        <x:v>世代不明</x:v>
      </x:c>
      <x:c r="J533" s="22" t="n">
        <x:f>COUNT('中古車掲載'!AM748:AM754)</x:f>
        <x:v>7</x:v>
      </x:c>
      <x:c r="K533" s="22" t="n">
        <x:f>IF(COUNT('中古車掲載'!AM748:AM754)=0,"",QUARTILE('中古車掲載'!AM748:AM754,1))</x:f>
        <x:v>459000</x:v>
      </x:c>
      <x:c r="L533" s="22" t="n">
        <x:f>IF(COUNT('中古車掲載'!AM748:AM754)=0,"",MEDIAN('中古車掲載'!AM748:AM754))</x:f>
        <x:v>469000</x:v>
      </x:c>
      <x:c r="M533" s="22" t="n">
        <x:f>IF(COUNT('中古車掲載'!AM748:AM754)=0,"",QUARTILE('中古車掲載'!AM748:AM754,3))</x:f>
        <x:v>487000</x:v>
      </x:c>
      <x:c r="N533" s="22" t="n">
        <x:f>COUNT('中古車掲載'!AN748:AN754)</x:f>
        <x:v>0</x:v>
      </x:c>
      <x:c r="O533" s="23" t="str">
        <x:f>IF(COUNT('中古車掲載'!AN748:AN754)=0,"",MEDIAN('中古車掲載'!AN748:AN754))</x:f>
      </x:c>
      <x:c r="P533" s="3"/>
      <x:c r="Q533" s="3"/>
      <x:c r="R533" s="3"/>
      <x:c r="S533" s="3"/>
      <x:c r="T533" s="3"/>
      <x:c r="U533" s="3"/>
      <x:c r="V533" s="3"/>
      <x:c r="W533" s="3"/>
      <x:c r="X533" s="3"/>
      <x:c r="Y533" s="3"/>
      <x:c r="Z533" s="3"/>
      <x:c r="AA533" s="3"/>
      <x:c r="AB533" s="3"/>
      <x:c r="AC533" s="3"/>
      <x:c r="AD533" s="3"/>
      <x:c r="AE533" s="3"/>
      <x:c r="AF533" s="3"/>
      <x:c r="AG533" s="3"/>
      <x:c r="AH533" s="3"/>
      <x:c r="AI533" s="3"/>
      <x:c r="AJ533" s="3"/>
      <x:c r="AK533" s="3"/>
      <x:c r="AL533" s="3"/>
      <x:c r="AM533" s="3"/>
      <x:c r="AN533" s="3"/>
      <x:c r="AO533" s="3"/>
      <x:c r="AP533" s="3"/>
      <x:c r="AQ533" s="3"/>
      <x:c r="AR533" s="3"/>
      <x:c r="AS533" s="3"/>
      <x:c r="AT533" s="3"/>
      <x:c r="AU533" s="3"/>
      <x:c r="AV533" s="3"/>
      <x:c r="AW533" s="3"/>
      <x:c r="AX533" s="3"/>
      <x:c r="AY533" s="3"/>
      <x:c r="AZ533" s="3" t="str">
        <x:f>IF(AND('中古車掲載'!C534="One2car",'中古車掲載'!F534="ATTO 3",'中古車掲載'!L534="EXTENDED RANGE",'中古車掲載'!J534=2023,ISNUMBER('中古車掲載'!N534),'中古車掲載'!N534&gt;=20000,'中古車掲載'!O534&lt;=100000,'中古車掲載'!AL534=1),'中古車掲載'!U534,"")</x:f>
      </x:c>
      <x:c r="BA533" s="3" t="str">
        <x:f>IF(AND('中古車掲載'!C534="One2car",'中古車掲載'!F534="Corolla Cross",'中古車掲載'!L534="HEV PREMIUM SAFETY",'中古車掲載'!J534=2023,ISNUMBER('中古車掲載'!N534),'中古車掲載'!N534&gt;=20000,'中古車掲載'!O534&lt;=100000,'中古車掲載'!AL534=1,'中古車掲載'!Z534="https://www.one2car.com/en/cars-for-sale/toyota/corolla-cross/year-2023"),'中古車掲載'!U534,"")</x:f>
      </x:c>
      <x:c r="BB533" s="3" t="str">
        <x:f>IF(AND('中古車掲載'!C534="One2car",'中古車掲載'!F534="ATTO 3",'中古車掲載'!L534="EXTENDED RANGE",'中古車掲載'!J534=2023,ISNUMBER('中古車掲載'!N534),'中古車掲載'!N534&gt;=50000,'中古車掲載'!O534&lt;=100000,'中古車掲載'!AL534=1),'中古車掲載'!U534,"")</x:f>
      </x:c>
      <x:c r="BC533" s="3" t="str">
        <x:f>IF(AND('中古車掲載'!C534="One2car",'中古車掲載'!F534="Corolla Cross",'中古車掲載'!L534="HEV PREMIUM SAFETY",'中古車掲載'!J534=2023,ISNUMBER('中古車掲載'!N534),'中古車掲載'!N534&gt;=50000,'中古車掲載'!O534&lt;=100000,'中古車掲載'!AL534=1,'中古車掲載'!Z534="https://www.one2car.com/en/cars-for-sale/toyota/corolla-cross/year-2023"),'中古車掲載'!U534,"")</x:f>
      </x:c>
      <x:c r="BD533" s="3" t="str">
        <x:f>IF(AND('中古車掲載'!C534="One2car",'中古車掲載'!F534="ATTO 3",'中古車掲載'!L534="EXTENDED RANGE",'中古車掲載'!J534=2023,ISNUMBER('中古車掲載'!N534),'中古車掲載'!N534&gt;=20000,'中古車掲載'!O534&lt;=50000,'中古車掲載'!AL534=1),'中古車掲載'!U534,"")</x:f>
      </x:c>
      <x:c r="BE533" s="3" t="str">
        <x:f>IF(AND('中古車掲載'!C534="One2car",'中古車掲載'!F534="Corolla Cross",'中古車掲載'!L534="HEV PREMIUM SAFETY",'中古車掲載'!J534=2023,ISNUMBER('中古車掲載'!N534),'中古車掲載'!N534&gt;=20000,'中古車掲載'!O534&lt;=50000,'中古車掲載'!AL534=1,'中古車掲載'!Z534="https://www.one2car.com/en/cars-for-sale/toyota/corolla-cross/year-2023"),'中古車掲載'!U534,"")</x:f>
      </x:c>
      <x:c r="BF533" s="3" t="str">
        <x:f>IF(AND('中古車掲載'!C534="One2car",'中古車掲載'!F534="Corolla Cross",'中古車掲載'!L534="HEV PREMIUM",'中古車掲載'!J534=2023,ISNUMBER('中古車掲載'!N534),'中古車掲載'!N534&gt;=20000,'中古車掲載'!O534&lt;=100000,'中古車掲載'!AL534=1,'中古車掲載'!Z534="https://www.one2car.com/en/cars-for-sale/toyota/corolla-cross/year-2023"),'中古車掲載'!U534,"")</x:f>
      </x:c>
      <x:c r="BG533" s="3" t="str">
        <x:f>IF(AND('中古車掲載'!C534="One2car",'中古車掲載'!F534="Corolla Cross",'中古車掲載'!L534="HEV GR SPORT",'中古車掲載'!J534=2023,ISNUMBER('中古車掲載'!N534),'中古車掲載'!N534&gt;=20000,'中古車掲載'!O534&lt;=100000,'中古車掲載'!AL534=1,'中古車掲載'!Z534="https://www.one2car.com/en/cars-for-sale/toyota/corolla-cross/year-2023"),'中古車掲載'!U534,"")</x:f>
      </x:c>
      <x:c r="BH533" s="3" t="str">
        <x:f>IF(AND('中古車掲載'!C534="One2car",'中古車掲載'!F534="DOLPHIN",'中古車掲載'!L534="STANDARD RANGE",'中古車掲載'!J534=2023,ISNUMBER('中古車掲載'!N534),'中古車掲載'!N534&gt;=20000,'中古車掲載'!O534&lt;=100000,'中古車掲載'!AL534=1),'中古車掲載'!U534,"")</x:f>
      </x:c>
      <x:c r="BI533" s="3" t="str">
        <x:v>Taladrod|Fortuner|ICE|Unknown</x:v>
      </x:c>
      <x:c r="BJ533" s="3" t="n">
        <x:v>534</x:v>
      </x:c>
      <x:c r="BK533" s="3" t="n">
        <x:f>'中古車掲載'!AM534</x:f>
        <x:v>939000</x:v>
      </x:c>
      <x:c r="BL533" s="3" t="str">
        <x:f>IF(ISNUMBER('中古車掲載'!AN534),'中古車掲載'!AN534,"")</x:f>
      </x:c>
      <x:c r="BM533" s="3"/>
      <x:c r="BN533" s="3"/>
      <x:c r="BO533" s="3"/>
      <x:c r="BP533" s="3"/>
      <x:c r="BQ533" s="3"/>
      <x:c r="BR533" s="3"/>
    </x:row>
    <x:row r="534" ht="22" customHeight="1">
      <x:c r="A534" s="3" t="str">
        <x:v>Hilux Revo</x:v>
      </x:c>
      <x:c r="B534" s="3" t="str">
        <x:v>ICE</x:v>
      </x:c>
      <x:c r="C534" s="3" t="str">
        <x:v>Taladrod</x:v>
      </x:c>
      <x:c r="D534" s="3" t="str">
        <x:v>Pickup</x:v>
      </x:c>
      <x:c r="E534" s="3" t="str">
        <x:v>Double cab</x:v>
      </x:c>
      <x:c r="F534" s="3" t="n">
        <x:v>2021</x:v>
      </x:c>
      <x:c r="G534" s="3" t="str">
        <x:v>2.4 PRERUNNER DOUBLE CAB</x:v>
      </x:c>
      <x:c r="H534" s="3" t="str">
        <x:v>未掲載</x:v>
      </x:c>
      <x:c r="I534" s="3" t="str">
        <x:v>世代不明</x:v>
      </x:c>
      <x:c r="J534" s="22" t="n">
        <x:f>COUNT('中古車掲載'!AM762:AM763)</x:f>
        <x:v>2</x:v>
      </x:c>
      <x:c r="K534" s="22" t="n">
        <x:f>IF(COUNT('中古車掲載'!AM762:AM763)=0,"",QUARTILE('中古車掲載'!AM762:AM763,1))</x:f>
        <x:v>752500</x:v>
      </x:c>
      <x:c r="L534" s="22" t="n">
        <x:f>IF(COUNT('中古車掲載'!AM762:AM763)=0,"",MEDIAN('中古車掲載'!AM762:AM763))</x:f>
        <x:v>755000</x:v>
      </x:c>
      <x:c r="M534" s="22" t="n">
        <x:f>IF(COUNT('中古車掲載'!AM762:AM763)=0,"",QUARTILE('中古車掲載'!AM762:AM763,3))</x:f>
        <x:v>757500</x:v>
      </x:c>
      <x:c r="N534" s="22" t="n">
        <x:f>COUNT('中古車掲載'!AN762:AN763)</x:f>
        <x:v>0</x:v>
      </x:c>
      <x:c r="O534" s="23" t="str">
        <x:f>IF(COUNT('中古車掲載'!AN762:AN763)=0,"",MEDIAN('中古車掲載'!AN762:AN763))</x:f>
      </x:c>
      <x:c r="P534" s="3"/>
      <x:c r="Q534" s="3"/>
      <x:c r="R534" s="3"/>
      <x:c r="S534" s="3"/>
      <x:c r="T534" s="3"/>
      <x:c r="U534" s="3"/>
      <x:c r="V534" s="3"/>
      <x:c r="W534" s="3"/>
      <x:c r="X534" s="3"/>
      <x:c r="Y534" s="3"/>
      <x:c r="Z534" s="3"/>
      <x:c r="AA534" s="3"/>
      <x:c r="AB534" s="3"/>
      <x:c r="AC534" s="3"/>
      <x:c r="AD534" s="3"/>
      <x:c r="AE534" s="3"/>
      <x:c r="AF534" s="3"/>
      <x:c r="AG534" s="3"/>
      <x:c r="AH534" s="3"/>
      <x:c r="AI534" s="3"/>
      <x:c r="AJ534" s="3"/>
      <x:c r="AK534" s="3"/>
      <x:c r="AL534" s="3"/>
      <x:c r="AM534" s="3"/>
      <x:c r="AN534" s="3"/>
      <x:c r="AO534" s="3"/>
      <x:c r="AP534" s="3"/>
      <x:c r="AQ534" s="3"/>
      <x:c r="AR534" s="3"/>
      <x:c r="AS534" s="3"/>
      <x:c r="AT534" s="3"/>
      <x:c r="AU534" s="3"/>
      <x:c r="AV534" s="3"/>
      <x:c r="AW534" s="3"/>
      <x:c r="AX534" s="3"/>
      <x:c r="AY534" s="3"/>
      <x:c r="AZ534" s="3" t="str">
        <x:f>IF(AND('中古車掲載'!C535="One2car",'中古車掲載'!F535="ATTO 3",'中古車掲載'!L535="EXTENDED RANGE",'中古車掲載'!J535=2023,ISNUMBER('中古車掲載'!N535),'中古車掲載'!N535&gt;=20000,'中古車掲載'!O535&lt;=100000,'中古車掲載'!AL535=1),'中古車掲載'!U535,"")</x:f>
      </x:c>
      <x:c r="BA534" s="3" t="str">
        <x:f>IF(AND('中古車掲載'!C535="One2car",'中古車掲載'!F535="Corolla Cross",'中古車掲載'!L535="HEV PREMIUM SAFETY",'中古車掲載'!J535=2023,ISNUMBER('中古車掲載'!N535),'中古車掲載'!N535&gt;=20000,'中古車掲載'!O535&lt;=100000,'中古車掲載'!AL535=1,'中古車掲載'!Z535="https://www.one2car.com/en/cars-for-sale/toyota/corolla-cross/year-2023"),'中古車掲載'!U535,"")</x:f>
      </x:c>
      <x:c r="BB534" s="3" t="str">
        <x:f>IF(AND('中古車掲載'!C535="One2car",'中古車掲載'!F535="ATTO 3",'中古車掲載'!L535="EXTENDED RANGE",'中古車掲載'!J535=2023,ISNUMBER('中古車掲載'!N535),'中古車掲載'!N535&gt;=50000,'中古車掲載'!O535&lt;=100000,'中古車掲載'!AL535=1),'中古車掲載'!U535,"")</x:f>
      </x:c>
      <x:c r="BC534" s="3" t="str">
        <x:f>IF(AND('中古車掲載'!C535="One2car",'中古車掲載'!F535="Corolla Cross",'中古車掲載'!L535="HEV PREMIUM SAFETY",'中古車掲載'!J535=2023,ISNUMBER('中古車掲載'!N535),'中古車掲載'!N535&gt;=50000,'中古車掲載'!O535&lt;=100000,'中古車掲載'!AL535=1,'中古車掲載'!Z535="https://www.one2car.com/en/cars-for-sale/toyota/corolla-cross/year-2023"),'中古車掲載'!U535,"")</x:f>
      </x:c>
      <x:c r="BD534" s="3" t="str">
        <x:f>IF(AND('中古車掲載'!C535="One2car",'中古車掲載'!F535="ATTO 3",'中古車掲載'!L535="EXTENDED RANGE",'中古車掲載'!J535=2023,ISNUMBER('中古車掲載'!N535),'中古車掲載'!N535&gt;=20000,'中古車掲載'!O535&lt;=50000,'中古車掲載'!AL535=1),'中古車掲載'!U535,"")</x:f>
      </x:c>
      <x:c r="BE534" s="3" t="str">
        <x:f>IF(AND('中古車掲載'!C535="One2car",'中古車掲載'!F535="Corolla Cross",'中古車掲載'!L535="HEV PREMIUM SAFETY",'中古車掲載'!J535=2023,ISNUMBER('中古車掲載'!N535),'中古車掲載'!N535&gt;=20000,'中古車掲載'!O535&lt;=50000,'中古車掲載'!AL535=1,'中古車掲載'!Z535="https://www.one2car.com/en/cars-for-sale/toyota/corolla-cross/year-2023"),'中古車掲載'!U535,"")</x:f>
      </x:c>
      <x:c r="BF534" s="3" t="str">
        <x:f>IF(AND('中古車掲載'!C535="One2car",'中古車掲載'!F535="Corolla Cross",'中古車掲載'!L535="HEV PREMIUM",'中古車掲載'!J535=2023,ISNUMBER('中古車掲載'!N535),'中古車掲載'!N535&gt;=20000,'中古車掲載'!O535&lt;=100000,'中古車掲載'!AL535=1,'中古車掲載'!Z535="https://www.one2car.com/en/cars-for-sale/toyota/corolla-cross/year-2023"),'中古車掲載'!U535,"")</x:f>
      </x:c>
      <x:c r="BG534" s="3" t="str">
        <x:f>IF(AND('中古車掲載'!C535="One2car",'中古車掲載'!F535="Corolla Cross",'中古車掲載'!L535="HEV GR SPORT",'中古車掲載'!J535=2023,ISNUMBER('中古車掲載'!N535),'中古車掲載'!N535&gt;=20000,'中古車掲載'!O535&lt;=100000,'中古車掲載'!AL535=1,'中古車掲載'!Z535="https://www.one2car.com/en/cars-for-sale/toyota/corolla-cross/year-2023"),'中古車掲載'!U535,"")</x:f>
      </x:c>
      <x:c r="BH534" s="3" t="str">
        <x:f>IF(AND('中古車掲載'!C535="One2car",'中古車掲載'!F535="DOLPHIN",'中古車掲載'!L535="STANDARD RANGE",'中古車掲載'!J535=2023,ISNUMBER('中古車掲載'!N535),'中古車掲載'!N535&gt;=20000,'中古車掲載'!O535&lt;=100000,'中古車掲載'!AL535=1),'中古車掲載'!U535,"")</x:f>
      </x:c>
      <x:c r="BI534" s="3" t="str">
        <x:v>Taladrod|Fortuner|ICE|Unknown</x:v>
      </x:c>
      <x:c r="BJ534" s="3" t="n">
        <x:v>535</x:v>
      </x:c>
      <x:c r="BK534" s="3" t="n">
        <x:f>'中古車掲載'!AM535</x:f>
        <x:v>985000</x:v>
      </x:c>
      <x:c r="BL534" s="3" t="str">
        <x:f>IF(ISNUMBER('中古車掲載'!AN535),'中古車掲載'!AN535,"")</x:f>
      </x:c>
      <x:c r="BM534" s="3"/>
      <x:c r="BN534" s="3"/>
      <x:c r="BO534" s="3"/>
      <x:c r="BP534" s="3"/>
      <x:c r="BQ534" s="3"/>
      <x:c r="BR534" s="3"/>
    </x:row>
    <x:row r="535" ht="22" customHeight="1">
      <x:c r="A535" s="3" t="str">
        <x:v>Hilux Revo</x:v>
      </x:c>
      <x:c r="B535" s="3" t="str">
        <x:v>ICE</x:v>
      </x:c>
      <x:c r="C535" s="3" t="str">
        <x:v>Taladrod</x:v>
      </x:c>
      <x:c r="D535" s="3" t="str">
        <x:v>Pickup</x:v>
      </x:c>
      <x:c r="E535" s="3" t="str">
        <x:v>Double cab</x:v>
      </x:c>
      <x:c r="F535" s="3" t="n">
        <x:v>2021</x:v>
      </x:c>
      <x:c r="G535" s="3" t="str">
        <x:v>2.8 GR SPORT DOUBLE CAB</x:v>
      </x:c>
      <x:c r="H535" s="3" t="str">
        <x:v>未掲載</x:v>
      </x:c>
      <x:c r="I535" s="3" t="str">
        <x:v>世代不明</x:v>
      </x:c>
      <x:c r="J535" s="22" t="n">
        <x:f>COUNT('中古車掲載'!AM765:AM765)</x:f>
        <x:v>1</x:v>
      </x:c>
      <x:c r="K535" s="22" t="n">
        <x:f>IF(COUNT('中古車掲載'!AM765:AM765)=0,"",QUARTILE('中古車掲載'!AM765:AM765,1))</x:f>
        <x:v>655000</x:v>
      </x:c>
      <x:c r="L535" s="22" t="n">
        <x:f>IF(COUNT('中古車掲載'!AM765:AM765)=0,"",MEDIAN('中古車掲載'!AM765:AM765))</x:f>
        <x:v>655000</x:v>
      </x:c>
      <x:c r="M535" s="22" t="n">
        <x:f>IF(COUNT('中古車掲載'!AM765:AM765)=0,"",QUARTILE('中古車掲載'!AM765:AM765,3))</x:f>
        <x:v>655000</x:v>
      </x:c>
      <x:c r="N535" s="22" t="n">
        <x:f>COUNT('中古車掲載'!AN765:AN765)</x:f>
        <x:v>0</x:v>
      </x:c>
      <x:c r="O535" s="23" t="str">
        <x:f>IF(COUNT('中古車掲載'!AN765:AN765)=0,"",MEDIAN('中古車掲載'!AN765:AN765))</x:f>
      </x:c>
      <x:c r="P535" s="3"/>
      <x:c r="Q535" s="3"/>
      <x:c r="R535" s="3"/>
      <x:c r="S535" s="3"/>
      <x:c r="T535" s="3"/>
      <x:c r="U535" s="3"/>
      <x:c r="V535" s="3"/>
      <x:c r="W535" s="3"/>
      <x:c r="X535" s="3"/>
      <x:c r="Y535" s="3"/>
      <x:c r="Z535" s="3"/>
      <x:c r="AA535" s="3"/>
      <x:c r="AB535" s="3"/>
      <x:c r="AC535" s="3"/>
      <x:c r="AD535" s="3"/>
      <x:c r="AE535" s="3"/>
      <x:c r="AF535" s="3"/>
      <x:c r="AG535" s="3"/>
      <x:c r="AH535" s="3"/>
      <x:c r="AI535" s="3"/>
      <x:c r="AJ535" s="3"/>
      <x:c r="AK535" s="3"/>
      <x:c r="AL535" s="3"/>
      <x:c r="AM535" s="3"/>
      <x:c r="AN535" s="3"/>
      <x:c r="AO535" s="3"/>
      <x:c r="AP535" s="3"/>
      <x:c r="AQ535" s="3"/>
      <x:c r="AR535" s="3"/>
      <x:c r="AS535" s="3"/>
      <x:c r="AT535" s="3"/>
      <x:c r="AU535" s="3"/>
      <x:c r="AV535" s="3"/>
      <x:c r="AW535" s="3"/>
      <x:c r="AX535" s="3"/>
      <x:c r="AY535" s="3"/>
      <x:c r="AZ535" s="3" t="str">
        <x:f>IF(AND('中古車掲載'!C536="One2car",'中古車掲載'!F536="ATTO 3",'中古車掲載'!L536="EXTENDED RANGE",'中古車掲載'!J536=2023,ISNUMBER('中古車掲載'!N536),'中古車掲載'!N536&gt;=20000,'中古車掲載'!O536&lt;=100000,'中古車掲載'!AL536=1),'中古車掲載'!U536,"")</x:f>
      </x:c>
      <x:c r="BA535" s="3" t="str">
        <x:f>IF(AND('中古車掲載'!C536="One2car",'中古車掲載'!F536="Corolla Cross",'中古車掲載'!L536="HEV PREMIUM SAFETY",'中古車掲載'!J536=2023,ISNUMBER('中古車掲載'!N536),'中古車掲載'!N536&gt;=20000,'中古車掲載'!O536&lt;=100000,'中古車掲載'!AL536=1,'中古車掲載'!Z536="https://www.one2car.com/en/cars-for-sale/toyota/corolla-cross/year-2023"),'中古車掲載'!U536,"")</x:f>
      </x:c>
      <x:c r="BB535" s="3" t="str">
        <x:f>IF(AND('中古車掲載'!C536="One2car",'中古車掲載'!F536="ATTO 3",'中古車掲載'!L536="EXTENDED RANGE",'中古車掲載'!J536=2023,ISNUMBER('中古車掲載'!N536),'中古車掲載'!N536&gt;=50000,'中古車掲載'!O536&lt;=100000,'中古車掲載'!AL536=1),'中古車掲載'!U536,"")</x:f>
      </x:c>
      <x:c r="BC535" s="3" t="str">
        <x:f>IF(AND('中古車掲載'!C536="One2car",'中古車掲載'!F536="Corolla Cross",'中古車掲載'!L536="HEV PREMIUM SAFETY",'中古車掲載'!J536=2023,ISNUMBER('中古車掲載'!N536),'中古車掲載'!N536&gt;=50000,'中古車掲載'!O536&lt;=100000,'中古車掲載'!AL536=1,'中古車掲載'!Z536="https://www.one2car.com/en/cars-for-sale/toyota/corolla-cross/year-2023"),'中古車掲載'!U536,"")</x:f>
      </x:c>
      <x:c r="BD535" s="3" t="str">
        <x:f>IF(AND('中古車掲載'!C536="One2car",'中古車掲載'!F536="ATTO 3",'中古車掲載'!L536="EXTENDED RANGE",'中古車掲載'!J536=2023,ISNUMBER('中古車掲載'!N536),'中古車掲載'!N536&gt;=20000,'中古車掲載'!O536&lt;=50000,'中古車掲載'!AL536=1),'中古車掲載'!U536,"")</x:f>
      </x:c>
      <x:c r="BE535" s="3" t="str">
        <x:f>IF(AND('中古車掲載'!C536="One2car",'中古車掲載'!F536="Corolla Cross",'中古車掲載'!L536="HEV PREMIUM SAFETY",'中古車掲載'!J536=2023,ISNUMBER('中古車掲載'!N536),'中古車掲載'!N536&gt;=20000,'中古車掲載'!O536&lt;=50000,'中古車掲載'!AL536=1,'中古車掲載'!Z536="https://www.one2car.com/en/cars-for-sale/toyota/corolla-cross/year-2023"),'中古車掲載'!U536,"")</x:f>
      </x:c>
      <x:c r="BF535" s="3" t="str">
        <x:f>IF(AND('中古車掲載'!C536="One2car",'中古車掲載'!F536="Corolla Cross",'中古車掲載'!L536="HEV PREMIUM",'中古車掲載'!J536=2023,ISNUMBER('中古車掲載'!N536),'中古車掲載'!N536&gt;=20000,'中古車掲載'!O536&lt;=100000,'中古車掲載'!AL536=1,'中古車掲載'!Z536="https://www.one2car.com/en/cars-for-sale/toyota/corolla-cross/year-2023"),'中古車掲載'!U536,"")</x:f>
      </x:c>
      <x:c r="BG535" s="3" t="str">
        <x:f>IF(AND('中古車掲載'!C536="One2car",'中古車掲載'!F536="Corolla Cross",'中古車掲載'!L536="HEV GR SPORT",'中古車掲載'!J536=2023,ISNUMBER('中古車掲載'!N536),'中古車掲載'!N536&gt;=20000,'中古車掲載'!O536&lt;=100000,'中古車掲載'!AL536=1,'中古車掲載'!Z536="https://www.one2car.com/en/cars-for-sale/toyota/corolla-cross/year-2023"),'中古車掲載'!U536,"")</x:f>
      </x:c>
      <x:c r="BH535" s="3" t="str">
        <x:f>IF(AND('中古車掲載'!C536="One2car",'中古車掲載'!F536="DOLPHIN",'中古車掲載'!L536="STANDARD RANGE",'中古車掲載'!J536=2023,ISNUMBER('中古車掲載'!N536),'中古車掲載'!N536&gt;=20000,'中古車掲載'!O536&lt;=100000,'中古車掲載'!AL536=1),'中古車掲載'!U536,"")</x:f>
      </x:c>
      <x:c r="BI535" s="3" t="str">
        <x:v>Taladrod|Fortuner|ICE|Unknown</x:v>
      </x:c>
      <x:c r="BJ535" s="3" t="n">
        <x:v>536</x:v>
      </x:c>
      <x:c r="BK535" s="3" t="n">
        <x:f>'中古車掲載'!AM536</x:f>
        <x:v>864000</x:v>
      </x:c>
      <x:c r="BL535" s="3" t="str">
        <x:f>IF(ISNUMBER('中古車掲載'!AN536),'中古車掲載'!AN536,"")</x:f>
      </x:c>
      <x:c r="BM535" s="3"/>
      <x:c r="BN535" s="3"/>
      <x:c r="BO535" s="3"/>
      <x:c r="BP535" s="3"/>
      <x:c r="BQ535" s="3"/>
      <x:c r="BR535" s="3"/>
    </x:row>
    <x:row r="536" ht="22" customHeight="1">
      <x:c r="A536" s="3" t="str">
        <x:v>Hilux Revo</x:v>
      </x:c>
      <x:c r="B536" s="3" t="str">
        <x:v>ICE</x:v>
      </x:c>
      <x:c r="C536" s="3" t="str">
        <x:v>Taladrod</x:v>
      </x:c>
      <x:c r="D536" s="3" t="str">
        <x:v>Pickup</x:v>
      </x:c>
      <x:c r="E536" s="3" t="str">
        <x:v>Double cab</x:v>
      </x:c>
      <x:c r="F536" s="3" t="n">
        <x:v>2021</x:v>
      </x:c>
      <x:c r="G536" s="3" t="str">
        <x:v>2.8 HIGH 4WD DOUBLE CAB</x:v>
      </x:c>
      <x:c r="H536" s="3" t="str">
        <x:v>未掲載</x:v>
      </x:c>
      <x:c r="I536" s="3" t="str">
        <x:v>世代不明</x:v>
      </x:c>
      <x:c r="J536" s="22" t="n">
        <x:f>COUNT('中古車掲載'!AM766:AM766)</x:f>
        <x:v>1</x:v>
      </x:c>
      <x:c r="K536" s="22" t="n">
        <x:f>IF(COUNT('中古車掲載'!AM766:AM766)=0,"",QUARTILE('中古車掲載'!AM766:AM766,1))</x:f>
        <x:v>949000</x:v>
      </x:c>
      <x:c r="L536" s="22" t="n">
        <x:f>IF(COUNT('中古車掲載'!AM766:AM766)=0,"",MEDIAN('中古車掲載'!AM766:AM766))</x:f>
        <x:v>949000</x:v>
      </x:c>
      <x:c r="M536" s="22" t="n">
        <x:f>IF(COUNT('中古車掲載'!AM766:AM766)=0,"",QUARTILE('中古車掲載'!AM766:AM766,3))</x:f>
        <x:v>949000</x:v>
      </x:c>
      <x:c r="N536" s="22" t="n">
        <x:f>COUNT('中古車掲載'!AN766:AN766)</x:f>
        <x:v>0</x:v>
      </x:c>
      <x:c r="O536" s="23" t="str">
        <x:f>IF(COUNT('中古車掲載'!AN766:AN766)=0,"",MEDIAN('中古車掲載'!AN766:AN766))</x:f>
      </x:c>
      <x:c r="P536" s="3"/>
      <x:c r="Q536" s="3"/>
      <x:c r="R536" s="3"/>
      <x:c r="S536" s="3"/>
      <x:c r="T536" s="3"/>
      <x:c r="U536" s="3"/>
      <x:c r="V536" s="3"/>
      <x:c r="W536" s="3"/>
      <x:c r="X536" s="3"/>
      <x:c r="Y536" s="3"/>
      <x:c r="Z536" s="3"/>
      <x:c r="AA536" s="3"/>
      <x:c r="AB536" s="3"/>
      <x:c r="AC536" s="3"/>
      <x:c r="AD536" s="3"/>
      <x:c r="AE536" s="3"/>
      <x:c r="AF536" s="3"/>
      <x:c r="AG536" s="3"/>
      <x:c r="AH536" s="3"/>
      <x:c r="AI536" s="3"/>
      <x:c r="AJ536" s="3"/>
      <x:c r="AK536" s="3"/>
      <x:c r="AL536" s="3"/>
      <x:c r="AM536" s="3"/>
      <x:c r="AN536" s="3"/>
      <x:c r="AO536" s="3"/>
      <x:c r="AP536" s="3"/>
      <x:c r="AQ536" s="3"/>
      <x:c r="AR536" s="3"/>
      <x:c r="AS536" s="3"/>
      <x:c r="AT536" s="3"/>
      <x:c r="AU536" s="3"/>
      <x:c r="AV536" s="3"/>
      <x:c r="AW536" s="3"/>
      <x:c r="AX536" s="3"/>
      <x:c r="AY536" s="3"/>
      <x:c r="AZ536" s="3" t="str">
        <x:f>IF(AND('中古車掲載'!C537="One2car",'中古車掲載'!F537="ATTO 3",'中古車掲載'!L537="EXTENDED RANGE",'中古車掲載'!J537=2023,ISNUMBER('中古車掲載'!N537),'中古車掲載'!N537&gt;=20000,'中古車掲載'!O537&lt;=100000,'中古車掲載'!AL537=1),'中古車掲載'!U537,"")</x:f>
      </x:c>
      <x:c r="BA536" s="3" t="str">
        <x:f>IF(AND('中古車掲載'!C537="One2car",'中古車掲載'!F537="Corolla Cross",'中古車掲載'!L537="HEV PREMIUM SAFETY",'中古車掲載'!J537=2023,ISNUMBER('中古車掲載'!N537),'中古車掲載'!N537&gt;=20000,'中古車掲載'!O537&lt;=100000,'中古車掲載'!AL537=1,'中古車掲載'!Z537="https://www.one2car.com/en/cars-for-sale/toyota/corolla-cross/year-2023"),'中古車掲載'!U537,"")</x:f>
      </x:c>
      <x:c r="BB536" s="3" t="str">
        <x:f>IF(AND('中古車掲載'!C537="One2car",'中古車掲載'!F537="ATTO 3",'中古車掲載'!L537="EXTENDED RANGE",'中古車掲載'!J537=2023,ISNUMBER('中古車掲載'!N537),'中古車掲載'!N537&gt;=50000,'中古車掲載'!O537&lt;=100000,'中古車掲載'!AL537=1),'中古車掲載'!U537,"")</x:f>
      </x:c>
      <x:c r="BC536" s="3" t="str">
        <x:f>IF(AND('中古車掲載'!C537="One2car",'中古車掲載'!F537="Corolla Cross",'中古車掲載'!L537="HEV PREMIUM SAFETY",'中古車掲載'!J537=2023,ISNUMBER('中古車掲載'!N537),'中古車掲載'!N537&gt;=50000,'中古車掲載'!O537&lt;=100000,'中古車掲載'!AL537=1,'中古車掲載'!Z537="https://www.one2car.com/en/cars-for-sale/toyota/corolla-cross/year-2023"),'中古車掲載'!U537,"")</x:f>
      </x:c>
      <x:c r="BD536" s="3" t="str">
        <x:f>IF(AND('中古車掲載'!C537="One2car",'中古車掲載'!F537="ATTO 3",'中古車掲載'!L537="EXTENDED RANGE",'中古車掲載'!J537=2023,ISNUMBER('中古車掲載'!N537),'中古車掲載'!N537&gt;=20000,'中古車掲載'!O537&lt;=50000,'中古車掲載'!AL537=1),'中古車掲載'!U537,"")</x:f>
      </x:c>
      <x:c r="BE536" s="3" t="str">
        <x:f>IF(AND('中古車掲載'!C537="One2car",'中古車掲載'!F537="Corolla Cross",'中古車掲載'!L537="HEV PREMIUM SAFETY",'中古車掲載'!J537=2023,ISNUMBER('中古車掲載'!N537),'中古車掲載'!N537&gt;=20000,'中古車掲載'!O537&lt;=50000,'中古車掲載'!AL537=1,'中古車掲載'!Z537="https://www.one2car.com/en/cars-for-sale/toyota/corolla-cross/year-2023"),'中古車掲載'!U537,"")</x:f>
      </x:c>
      <x:c r="BF536" s="3" t="str">
        <x:f>IF(AND('中古車掲載'!C537="One2car",'中古車掲載'!F537="Corolla Cross",'中古車掲載'!L537="HEV PREMIUM",'中古車掲載'!J537=2023,ISNUMBER('中古車掲載'!N537),'中古車掲載'!N537&gt;=20000,'中古車掲載'!O537&lt;=100000,'中古車掲載'!AL537=1,'中古車掲載'!Z537="https://www.one2car.com/en/cars-for-sale/toyota/corolla-cross/year-2023"),'中古車掲載'!U537,"")</x:f>
      </x:c>
      <x:c r="BG536" s="3" t="str">
        <x:f>IF(AND('中古車掲載'!C537="One2car",'中古車掲載'!F537="Corolla Cross",'中古車掲載'!L537="HEV GR SPORT",'中古車掲載'!J537=2023,ISNUMBER('中古車掲載'!N537),'中古車掲載'!N537&gt;=20000,'中古車掲載'!O537&lt;=100000,'中古車掲載'!AL537=1,'中古車掲載'!Z537="https://www.one2car.com/en/cars-for-sale/toyota/corolla-cross/year-2023"),'中古車掲載'!U537,"")</x:f>
      </x:c>
      <x:c r="BH536" s="3" t="str">
        <x:f>IF(AND('中古車掲載'!C537="One2car",'中古車掲載'!F537="DOLPHIN",'中古車掲載'!L537="STANDARD RANGE",'中古車掲載'!J537=2023,ISNUMBER('中古車掲載'!N537),'中古車掲載'!N537&gt;=20000,'中古車掲載'!O537&lt;=100000,'中古車掲載'!AL537=1),'中古車掲載'!U537,"")</x:f>
      </x:c>
      <x:c r="BI536" s="3" t="str">
        <x:v>Taladrod|Fortuner|ICE|Unknown</x:v>
      </x:c>
      <x:c r="BJ536" s="3" t="n">
        <x:v>537</x:v>
      </x:c>
      <x:c r="BK536" s="3" t="n">
        <x:f>'中古車掲載'!AM537</x:f>
        <x:v>979000</x:v>
      </x:c>
      <x:c r="BL536" s="3" t="str">
        <x:f>IF(ISNUMBER('中古車掲載'!AN537),'中古車掲載'!AN537,"")</x:f>
      </x:c>
      <x:c r="BM536" s="3"/>
      <x:c r="BN536" s="3"/>
      <x:c r="BO536" s="3"/>
      <x:c r="BP536" s="3"/>
      <x:c r="BQ536" s="3"/>
      <x:c r="BR536" s="3"/>
    </x:row>
    <x:row r="537" ht="22" customHeight="1">
      <x:c r="A537" s="3" t="str">
        <x:v>Hilux Revo</x:v>
      </x:c>
      <x:c r="B537" s="3" t="str">
        <x:v>ICE</x:v>
      </x:c>
      <x:c r="C537" s="3" t="str">
        <x:v>Taladrod</x:v>
      </x:c>
      <x:c r="D537" s="3" t="str">
        <x:v>Pickup</x:v>
      </x:c>
      <x:c r="E537" s="3" t="str">
        <x:v>Double cab</x:v>
      </x:c>
      <x:c r="F537" s="3" t="n">
        <x:v>2022</x:v>
      </x:c>
      <x:c r="G537" s="3" t="str">
        <x:v>2.4 E PRERUNNER DOUBLE CAB</x:v>
      </x:c>
      <x:c r="H537" s="3" t="str">
        <x:v>未掲載</x:v>
      </x:c>
      <x:c r="I537" s="3" t="str">
        <x:v>世代不明</x:v>
      </x:c>
      <x:c r="J537" s="22" t="n">
        <x:f>COUNT('中古車掲載'!AM767:AM767)</x:f>
        <x:v>1</x:v>
      </x:c>
      <x:c r="K537" s="22" t="n">
        <x:f>IF(COUNT('中古車掲載'!AM767:AM767)=0,"",QUARTILE('中古車掲載'!AM767:AM767,1))</x:f>
        <x:v>570000</x:v>
      </x:c>
      <x:c r="L537" s="22" t="n">
        <x:f>IF(COUNT('中古車掲載'!AM767:AM767)=0,"",MEDIAN('中古車掲載'!AM767:AM767))</x:f>
        <x:v>570000</x:v>
      </x:c>
      <x:c r="M537" s="22" t="n">
        <x:f>IF(COUNT('中古車掲載'!AM767:AM767)=0,"",QUARTILE('中古車掲載'!AM767:AM767,3))</x:f>
        <x:v>570000</x:v>
      </x:c>
      <x:c r="N537" s="22" t="n">
        <x:f>COUNT('中古車掲載'!AN767:AN767)</x:f>
        <x:v>0</x:v>
      </x:c>
      <x:c r="O537" s="23" t="str">
        <x:f>IF(COUNT('中古車掲載'!AN767:AN767)=0,"",MEDIAN('中古車掲載'!AN767:AN767))</x:f>
      </x:c>
      <x:c r="P537" s="3"/>
      <x:c r="Q537" s="3"/>
      <x:c r="R537" s="3"/>
      <x:c r="S537" s="3"/>
      <x:c r="T537" s="3"/>
      <x:c r="U537" s="3"/>
      <x:c r="V537" s="3"/>
      <x:c r="W537" s="3"/>
      <x:c r="X537" s="3"/>
      <x:c r="Y537" s="3"/>
      <x:c r="Z537" s="3"/>
      <x:c r="AA537" s="3"/>
      <x:c r="AB537" s="3"/>
      <x:c r="AC537" s="3"/>
      <x:c r="AD537" s="3"/>
      <x:c r="AE537" s="3"/>
      <x:c r="AF537" s="3"/>
      <x:c r="AG537" s="3"/>
      <x:c r="AH537" s="3"/>
      <x:c r="AI537" s="3"/>
      <x:c r="AJ537" s="3"/>
      <x:c r="AK537" s="3"/>
      <x:c r="AL537" s="3"/>
      <x:c r="AM537" s="3"/>
      <x:c r="AN537" s="3"/>
      <x:c r="AO537" s="3"/>
      <x:c r="AP537" s="3"/>
      <x:c r="AQ537" s="3"/>
      <x:c r="AR537" s="3"/>
      <x:c r="AS537" s="3"/>
      <x:c r="AT537" s="3"/>
      <x:c r="AU537" s="3"/>
      <x:c r="AV537" s="3"/>
      <x:c r="AW537" s="3"/>
      <x:c r="AX537" s="3"/>
      <x:c r="AY537" s="3"/>
      <x:c r="AZ537" s="3" t="str">
        <x:f>IF(AND('中古車掲載'!C538="One2car",'中古車掲載'!F538="ATTO 3",'中古車掲載'!L538="EXTENDED RANGE",'中古車掲載'!J538=2023,ISNUMBER('中古車掲載'!N538),'中古車掲載'!N538&gt;=20000,'中古車掲載'!O538&lt;=100000,'中古車掲載'!AL538=1),'中古車掲載'!U538,"")</x:f>
      </x:c>
      <x:c r="BA537" s="3" t="str">
        <x:f>IF(AND('中古車掲載'!C538="One2car",'中古車掲載'!F538="Corolla Cross",'中古車掲載'!L538="HEV PREMIUM SAFETY",'中古車掲載'!J538=2023,ISNUMBER('中古車掲載'!N538),'中古車掲載'!N538&gt;=20000,'中古車掲載'!O538&lt;=100000,'中古車掲載'!AL538=1,'中古車掲載'!Z538="https://www.one2car.com/en/cars-for-sale/toyota/corolla-cross/year-2023"),'中古車掲載'!U538,"")</x:f>
      </x:c>
      <x:c r="BB537" s="3" t="str">
        <x:f>IF(AND('中古車掲載'!C538="One2car",'中古車掲載'!F538="ATTO 3",'中古車掲載'!L538="EXTENDED RANGE",'中古車掲載'!J538=2023,ISNUMBER('中古車掲載'!N538),'中古車掲載'!N538&gt;=50000,'中古車掲載'!O538&lt;=100000,'中古車掲載'!AL538=1),'中古車掲載'!U538,"")</x:f>
      </x:c>
      <x:c r="BC537" s="3" t="str">
        <x:f>IF(AND('中古車掲載'!C538="One2car",'中古車掲載'!F538="Corolla Cross",'中古車掲載'!L538="HEV PREMIUM SAFETY",'中古車掲載'!J538=2023,ISNUMBER('中古車掲載'!N538),'中古車掲載'!N538&gt;=50000,'中古車掲載'!O538&lt;=100000,'中古車掲載'!AL538=1,'中古車掲載'!Z538="https://www.one2car.com/en/cars-for-sale/toyota/corolla-cross/year-2023"),'中古車掲載'!U538,"")</x:f>
      </x:c>
      <x:c r="BD537" s="3" t="str">
        <x:f>IF(AND('中古車掲載'!C538="One2car",'中古車掲載'!F538="ATTO 3",'中古車掲載'!L538="EXTENDED RANGE",'中古車掲載'!J538=2023,ISNUMBER('中古車掲載'!N538),'中古車掲載'!N538&gt;=20000,'中古車掲載'!O538&lt;=50000,'中古車掲載'!AL538=1),'中古車掲載'!U538,"")</x:f>
      </x:c>
      <x:c r="BE537" s="3" t="str">
        <x:f>IF(AND('中古車掲載'!C538="One2car",'中古車掲載'!F538="Corolla Cross",'中古車掲載'!L538="HEV PREMIUM SAFETY",'中古車掲載'!J538=2023,ISNUMBER('中古車掲載'!N538),'中古車掲載'!N538&gt;=20000,'中古車掲載'!O538&lt;=50000,'中古車掲載'!AL538=1,'中古車掲載'!Z538="https://www.one2car.com/en/cars-for-sale/toyota/corolla-cross/year-2023"),'中古車掲載'!U538,"")</x:f>
      </x:c>
      <x:c r="BF537" s="3" t="str">
        <x:f>IF(AND('中古車掲載'!C538="One2car",'中古車掲載'!F538="Corolla Cross",'中古車掲載'!L538="HEV PREMIUM",'中古車掲載'!J538=2023,ISNUMBER('中古車掲載'!N538),'中古車掲載'!N538&gt;=20000,'中古車掲載'!O538&lt;=100000,'中古車掲載'!AL538=1,'中古車掲載'!Z538="https://www.one2car.com/en/cars-for-sale/toyota/corolla-cross/year-2023"),'中古車掲載'!U538,"")</x:f>
      </x:c>
      <x:c r="BG537" s="3" t="str">
        <x:f>IF(AND('中古車掲載'!C538="One2car",'中古車掲載'!F538="Corolla Cross",'中古車掲載'!L538="HEV GR SPORT",'中古車掲載'!J538=2023,ISNUMBER('中古車掲載'!N538),'中古車掲載'!N538&gt;=20000,'中古車掲載'!O538&lt;=100000,'中古車掲載'!AL538=1,'中古車掲載'!Z538="https://www.one2car.com/en/cars-for-sale/toyota/corolla-cross/year-2023"),'中古車掲載'!U538,"")</x:f>
      </x:c>
      <x:c r="BH537" s="3" t="str">
        <x:f>IF(AND('中古車掲載'!C538="One2car",'中古車掲載'!F538="DOLPHIN",'中古車掲載'!L538="STANDARD RANGE",'中古車掲載'!J538=2023,ISNUMBER('中古車掲載'!N538),'中古車掲載'!N538&gt;=20000,'中古車掲載'!O538&lt;=100000,'中古車掲載'!AL538=1),'中古車掲載'!U538,"")</x:f>
      </x:c>
      <x:c r="BI537" s="3" t="str">
        <x:v>Taladrod|Fortuner|ICE|Unknown</x:v>
      </x:c>
      <x:c r="BJ537" s="3" t="n">
        <x:v>538</x:v>
      </x:c>
      <x:c r="BK537" s="3" t="n">
        <x:f>'中古車掲載'!AM538</x:f>
        <x:v>980000</x:v>
      </x:c>
      <x:c r="BL537" s="3" t="str">
        <x:f>IF(ISNUMBER('中古車掲載'!AN538),'中古車掲載'!AN538,"")</x:f>
      </x:c>
      <x:c r="BM537" s="3"/>
      <x:c r="BN537" s="3"/>
      <x:c r="BO537" s="3"/>
      <x:c r="BP537" s="3"/>
      <x:c r="BQ537" s="3"/>
      <x:c r="BR537" s="3"/>
    </x:row>
    <x:row r="538" ht="22" customHeight="1">
      <x:c r="A538" s="3" t="str">
        <x:v>Hilux Revo</x:v>
      </x:c>
      <x:c r="B538" s="3" t="str">
        <x:v>ICE</x:v>
      </x:c>
      <x:c r="C538" s="3" t="str">
        <x:v>Taladrod</x:v>
      </x:c>
      <x:c r="D538" s="3" t="str">
        <x:v>Pickup</x:v>
      </x:c>
      <x:c r="E538" s="3" t="str">
        <x:v>Double cab</x:v>
      </x:c>
      <x:c r="F538" s="3" t="n">
        <x:v>2022</x:v>
      </x:c>
      <x:c r="G538" s="3" t="str">
        <x:v>2.4 ENTRY PRERUNNER DOUBLE CAB</x:v>
      </x:c>
      <x:c r="H538" s="3" t="str">
        <x:v>未掲載</x:v>
      </x:c>
      <x:c r="I538" s="3" t="str">
        <x:v>世代不明</x:v>
      </x:c>
      <x:c r="J538" s="22" t="n">
        <x:f>COUNT('中古車掲載'!AM771:AM773)</x:f>
        <x:v>3</x:v>
      </x:c>
      <x:c r="K538" s="22" t="n">
        <x:f>IF(COUNT('中古車掲載'!AM771:AM773)=0,"",QUARTILE('中古車掲載'!AM771:AM773,1))</x:f>
        <x:v>608500</x:v>
      </x:c>
      <x:c r="L538" s="22" t="n">
        <x:f>IF(COUNT('中古車掲載'!AM771:AM773)=0,"",MEDIAN('中古車掲載'!AM771:AM773))</x:f>
        <x:v>629000</x:v>
      </x:c>
      <x:c r="M538" s="22" t="n">
        <x:f>IF(COUNT('中古車掲載'!AM771:AM773)=0,"",QUARTILE('中古車掲載'!AM771:AM773,3))</x:f>
        <x:v>664000</x:v>
      </x:c>
      <x:c r="N538" s="22" t="n">
        <x:f>COUNT('中古車掲載'!AN771:AN773)</x:f>
        <x:v>0</x:v>
      </x:c>
      <x:c r="O538" s="23" t="str">
        <x:f>IF(COUNT('中古車掲載'!AN771:AN773)=0,"",MEDIAN('中古車掲載'!AN771:AN773))</x:f>
      </x:c>
      <x:c r="P538" s="3"/>
      <x:c r="Q538" s="3"/>
      <x:c r="R538" s="3"/>
      <x:c r="S538" s="3"/>
      <x:c r="T538" s="3"/>
      <x:c r="U538" s="3"/>
      <x:c r="V538" s="3"/>
      <x:c r="W538" s="3"/>
      <x:c r="X538" s="3"/>
      <x:c r="Y538" s="3"/>
      <x:c r="Z538" s="3"/>
      <x:c r="AA538" s="3"/>
      <x:c r="AB538" s="3"/>
      <x:c r="AC538" s="3"/>
      <x:c r="AD538" s="3"/>
      <x:c r="AE538" s="3"/>
      <x:c r="AF538" s="3"/>
      <x:c r="AG538" s="3"/>
      <x:c r="AH538" s="3"/>
      <x:c r="AI538" s="3"/>
      <x:c r="AJ538" s="3"/>
      <x:c r="AK538" s="3"/>
      <x:c r="AL538" s="3"/>
      <x:c r="AM538" s="3"/>
      <x:c r="AN538" s="3"/>
      <x:c r="AO538" s="3"/>
      <x:c r="AP538" s="3"/>
      <x:c r="AQ538" s="3"/>
      <x:c r="AR538" s="3"/>
      <x:c r="AS538" s="3"/>
      <x:c r="AT538" s="3"/>
      <x:c r="AU538" s="3"/>
      <x:c r="AV538" s="3"/>
      <x:c r="AW538" s="3"/>
      <x:c r="AX538" s="3"/>
      <x:c r="AY538" s="3"/>
      <x:c r="AZ538" s="3" t="str">
        <x:f>IF(AND('中古車掲載'!C539="One2car",'中古車掲載'!F539="ATTO 3",'中古車掲載'!L539="EXTENDED RANGE",'中古車掲載'!J539=2023,ISNUMBER('中古車掲載'!N539),'中古車掲載'!N539&gt;=20000,'中古車掲載'!O539&lt;=100000,'中古車掲載'!AL539=1),'中古車掲載'!U539,"")</x:f>
      </x:c>
      <x:c r="BA538" s="3" t="str">
        <x:f>IF(AND('中古車掲載'!C539="One2car",'中古車掲載'!F539="Corolla Cross",'中古車掲載'!L539="HEV PREMIUM SAFETY",'中古車掲載'!J539=2023,ISNUMBER('中古車掲載'!N539),'中古車掲載'!N539&gt;=20000,'中古車掲載'!O539&lt;=100000,'中古車掲載'!AL539=1,'中古車掲載'!Z539="https://www.one2car.com/en/cars-for-sale/toyota/corolla-cross/year-2023"),'中古車掲載'!U539,"")</x:f>
      </x:c>
      <x:c r="BB538" s="3" t="str">
        <x:f>IF(AND('中古車掲載'!C539="One2car",'中古車掲載'!F539="ATTO 3",'中古車掲載'!L539="EXTENDED RANGE",'中古車掲載'!J539=2023,ISNUMBER('中古車掲載'!N539),'中古車掲載'!N539&gt;=50000,'中古車掲載'!O539&lt;=100000,'中古車掲載'!AL539=1),'中古車掲載'!U539,"")</x:f>
      </x:c>
      <x:c r="BC538" s="3" t="str">
        <x:f>IF(AND('中古車掲載'!C539="One2car",'中古車掲載'!F539="Corolla Cross",'中古車掲載'!L539="HEV PREMIUM SAFETY",'中古車掲載'!J539=2023,ISNUMBER('中古車掲載'!N539),'中古車掲載'!N539&gt;=50000,'中古車掲載'!O539&lt;=100000,'中古車掲載'!AL539=1,'中古車掲載'!Z539="https://www.one2car.com/en/cars-for-sale/toyota/corolla-cross/year-2023"),'中古車掲載'!U539,"")</x:f>
      </x:c>
      <x:c r="BD538" s="3" t="str">
        <x:f>IF(AND('中古車掲載'!C539="One2car",'中古車掲載'!F539="ATTO 3",'中古車掲載'!L539="EXTENDED RANGE",'中古車掲載'!J539=2023,ISNUMBER('中古車掲載'!N539),'中古車掲載'!N539&gt;=20000,'中古車掲載'!O539&lt;=50000,'中古車掲載'!AL539=1),'中古車掲載'!U539,"")</x:f>
      </x:c>
      <x:c r="BE538" s="3" t="str">
        <x:f>IF(AND('中古車掲載'!C539="One2car",'中古車掲載'!F539="Corolla Cross",'中古車掲載'!L539="HEV PREMIUM SAFETY",'中古車掲載'!J539=2023,ISNUMBER('中古車掲載'!N539),'中古車掲載'!N539&gt;=20000,'中古車掲載'!O539&lt;=50000,'中古車掲載'!AL539=1,'中古車掲載'!Z539="https://www.one2car.com/en/cars-for-sale/toyota/corolla-cross/year-2023"),'中古車掲載'!U539,"")</x:f>
      </x:c>
      <x:c r="BF538" s="3" t="str">
        <x:f>IF(AND('中古車掲載'!C539="One2car",'中古車掲載'!F539="Corolla Cross",'中古車掲載'!L539="HEV PREMIUM",'中古車掲載'!J539=2023,ISNUMBER('中古車掲載'!N539),'中古車掲載'!N539&gt;=20000,'中古車掲載'!O539&lt;=100000,'中古車掲載'!AL539=1,'中古車掲載'!Z539="https://www.one2car.com/en/cars-for-sale/toyota/corolla-cross/year-2023"),'中古車掲載'!U539,"")</x:f>
      </x:c>
      <x:c r="BG538" s="3" t="str">
        <x:f>IF(AND('中古車掲載'!C539="One2car",'中古車掲載'!F539="Corolla Cross",'中古車掲載'!L539="HEV GR SPORT",'中古車掲載'!J539=2023,ISNUMBER('中古車掲載'!N539),'中古車掲載'!N539&gt;=20000,'中古車掲載'!O539&lt;=100000,'中古車掲載'!AL539=1,'中古車掲載'!Z539="https://www.one2car.com/en/cars-for-sale/toyota/corolla-cross/year-2023"),'中古車掲載'!U539,"")</x:f>
      </x:c>
      <x:c r="BH538" s="3" t="str">
        <x:f>IF(AND('中古車掲載'!C539="One2car",'中古車掲載'!F539="DOLPHIN",'中古車掲載'!L539="STANDARD RANGE",'中古車掲載'!J539=2023,ISNUMBER('中古車掲載'!N539),'中古車掲載'!N539&gt;=20000,'中古車掲載'!O539&lt;=100000,'中古車掲載'!AL539=1),'中古車掲載'!U539,"")</x:f>
      </x:c>
      <x:c r="BI538" s="3" t="str">
        <x:v>Taladrod|Fortuner|ICE|Unknown</x:v>
      </x:c>
      <x:c r="BJ538" s="3" t="n">
        <x:v>539</x:v>
      </x:c>
      <x:c r="BK538" s="3" t="n">
        <x:f>'中古車掲載'!AM539</x:f>
        <x:v>919000</x:v>
      </x:c>
      <x:c r="BL538" s="3" t="str">
        <x:f>IF(ISNUMBER('中古車掲載'!AN539),'中古車掲載'!AN539,"")</x:f>
      </x:c>
      <x:c r="BM538" s="3"/>
      <x:c r="BN538" s="3"/>
      <x:c r="BO538" s="3"/>
      <x:c r="BP538" s="3"/>
      <x:c r="BQ538" s="3"/>
      <x:c r="BR538" s="3"/>
    </x:row>
    <x:row r="539" ht="22" customHeight="1">
      <x:c r="A539" s="3" t="str">
        <x:v>Hilux Revo</x:v>
      </x:c>
      <x:c r="B539" s="3" t="str">
        <x:v>ICE</x:v>
      </x:c>
      <x:c r="C539" s="3" t="str">
        <x:v>Taladrod</x:v>
      </x:c>
      <x:c r="D539" s="3" t="str">
        <x:v>Pickup</x:v>
      </x:c>
      <x:c r="E539" s="3" t="str">
        <x:v>Double cab</x:v>
      </x:c>
      <x:c r="F539" s="3" t="n">
        <x:v>2022</x:v>
      </x:c>
      <x:c r="G539" s="3" t="str">
        <x:v>2.4 ENTRY Z EDITION DOUBLE CAB</x:v>
      </x:c>
      <x:c r="H539" s="3" t="str">
        <x:v>未掲載</x:v>
      </x:c>
      <x:c r="I539" s="3" t="str">
        <x:v>世代不明</x:v>
      </x:c>
      <x:c r="J539" s="22" t="n">
        <x:f>COUNT('中古車掲載'!AM787:AM790)</x:f>
        <x:v>4</x:v>
      </x:c>
      <x:c r="K539" s="22" t="n">
        <x:f>IF(COUNT('中古車掲載'!AM787:AM790)=0,"",QUARTILE('中古車掲載'!AM787:AM790,1))</x:f>
        <x:v>399000</x:v>
      </x:c>
      <x:c r="L539" s="22" t="n">
        <x:f>IF(COUNT('中古車掲載'!AM787:AM790)=0,"",MEDIAN('中古車掲載'!AM787:AM790))</x:f>
        <x:v>424000</x:v>
      </x:c>
      <x:c r="M539" s="22" t="n">
        <x:f>IF(COUNT('中古車掲載'!AM787:AM790)=0,"",QUARTILE('中古車掲載'!AM787:AM790,3))</x:f>
        <x:v>458000</x:v>
      </x:c>
      <x:c r="N539" s="22" t="n">
        <x:f>COUNT('中古車掲載'!AN787:AN790)</x:f>
        <x:v>0</x:v>
      </x:c>
      <x:c r="O539" s="23" t="str">
        <x:f>IF(COUNT('中古車掲載'!AN787:AN790)=0,"",MEDIAN('中古車掲載'!AN787:AN790))</x:f>
      </x:c>
      <x:c r="P539" s="3"/>
      <x:c r="Q539" s="3"/>
      <x:c r="R539" s="3"/>
      <x:c r="S539" s="3"/>
      <x:c r="T539" s="3"/>
      <x:c r="U539" s="3"/>
      <x:c r="V539" s="3"/>
      <x:c r="W539" s="3"/>
      <x:c r="X539" s="3"/>
      <x:c r="Y539" s="3"/>
      <x:c r="Z539" s="3"/>
      <x:c r="AA539" s="3"/>
      <x:c r="AB539" s="3"/>
      <x:c r="AC539" s="3"/>
      <x:c r="AD539" s="3"/>
      <x:c r="AE539" s="3"/>
      <x:c r="AF539" s="3"/>
      <x:c r="AG539" s="3"/>
      <x:c r="AH539" s="3"/>
      <x:c r="AI539" s="3"/>
      <x:c r="AJ539" s="3"/>
      <x:c r="AK539" s="3"/>
      <x:c r="AL539" s="3"/>
      <x:c r="AM539" s="3"/>
      <x:c r="AN539" s="3"/>
      <x:c r="AO539" s="3"/>
      <x:c r="AP539" s="3"/>
      <x:c r="AQ539" s="3"/>
      <x:c r="AR539" s="3"/>
      <x:c r="AS539" s="3"/>
      <x:c r="AT539" s="3"/>
      <x:c r="AU539" s="3"/>
      <x:c r="AV539" s="3"/>
      <x:c r="AW539" s="3"/>
      <x:c r="AX539" s="3"/>
      <x:c r="AY539" s="3"/>
      <x:c r="AZ539" s="3" t="str">
        <x:f>IF(AND('中古車掲載'!C540="One2car",'中古車掲載'!F540="ATTO 3",'中古車掲載'!L540="EXTENDED RANGE",'中古車掲載'!J540=2023,ISNUMBER('中古車掲載'!N540),'中古車掲載'!N540&gt;=20000,'中古車掲載'!O540&lt;=100000,'中古車掲載'!AL540=1),'中古車掲載'!U540,"")</x:f>
      </x:c>
      <x:c r="BA539" s="3" t="str">
        <x:f>IF(AND('中古車掲載'!C540="One2car",'中古車掲載'!F540="Corolla Cross",'中古車掲載'!L540="HEV PREMIUM SAFETY",'中古車掲載'!J540=2023,ISNUMBER('中古車掲載'!N540),'中古車掲載'!N540&gt;=20000,'中古車掲載'!O540&lt;=100000,'中古車掲載'!AL540=1,'中古車掲載'!Z540="https://www.one2car.com/en/cars-for-sale/toyota/corolla-cross/year-2023"),'中古車掲載'!U540,"")</x:f>
      </x:c>
      <x:c r="BB539" s="3" t="str">
        <x:f>IF(AND('中古車掲載'!C540="One2car",'中古車掲載'!F540="ATTO 3",'中古車掲載'!L540="EXTENDED RANGE",'中古車掲載'!J540=2023,ISNUMBER('中古車掲載'!N540),'中古車掲載'!N540&gt;=50000,'中古車掲載'!O540&lt;=100000,'中古車掲載'!AL540=1),'中古車掲載'!U540,"")</x:f>
      </x:c>
      <x:c r="BC539" s="3" t="str">
        <x:f>IF(AND('中古車掲載'!C540="One2car",'中古車掲載'!F540="Corolla Cross",'中古車掲載'!L540="HEV PREMIUM SAFETY",'中古車掲載'!J540=2023,ISNUMBER('中古車掲載'!N540),'中古車掲載'!N540&gt;=50000,'中古車掲載'!O540&lt;=100000,'中古車掲載'!AL540=1,'中古車掲載'!Z540="https://www.one2car.com/en/cars-for-sale/toyota/corolla-cross/year-2023"),'中古車掲載'!U540,"")</x:f>
      </x:c>
      <x:c r="BD539" s="3" t="str">
        <x:f>IF(AND('中古車掲載'!C540="One2car",'中古車掲載'!F540="ATTO 3",'中古車掲載'!L540="EXTENDED RANGE",'中古車掲載'!J540=2023,ISNUMBER('中古車掲載'!N540),'中古車掲載'!N540&gt;=20000,'中古車掲載'!O540&lt;=50000,'中古車掲載'!AL540=1),'中古車掲載'!U540,"")</x:f>
      </x:c>
      <x:c r="BE539" s="3" t="str">
        <x:f>IF(AND('中古車掲載'!C540="One2car",'中古車掲載'!F540="Corolla Cross",'中古車掲載'!L540="HEV PREMIUM SAFETY",'中古車掲載'!J540=2023,ISNUMBER('中古車掲載'!N540),'中古車掲載'!N540&gt;=20000,'中古車掲載'!O540&lt;=50000,'中古車掲載'!AL540=1,'中古車掲載'!Z540="https://www.one2car.com/en/cars-for-sale/toyota/corolla-cross/year-2023"),'中古車掲載'!U540,"")</x:f>
      </x:c>
      <x:c r="BF539" s="3" t="str">
        <x:f>IF(AND('中古車掲載'!C540="One2car",'中古車掲載'!F540="Corolla Cross",'中古車掲載'!L540="HEV PREMIUM",'中古車掲載'!J540=2023,ISNUMBER('中古車掲載'!N540),'中古車掲載'!N540&gt;=20000,'中古車掲載'!O540&lt;=100000,'中古車掲載'!AL540=1,'中古車掲載'!Z540="https://www.one2car.com/en/cars-for-sale/toyota/corolla-cross/year-2023"),'中古車掲載'!U540,"")</x:f>
      </x:c>
      <x:c r="BG539" s="3" t="str">
        <x:f>IF(AND('中古車掲載'!C540="One2car",'中古車掲載'!F540="Corolla Cross",'中古車掲載'!L540="HEV GR SPORT",'中古車掲載'!J540=2023,ISNUMBER('中古車掲載'!N540),'中古車掲載'!N540&gt;=20000,'中古車掲載'!O540&lt;=100000,'中古車掲載'!AL540=1,'中古車掲載'!Z540="https://www.one2car.com/en/cars-for-sale/toyota/corolla-cross/year-2023"),'中古車掲載'!U540,"")</x:f>
      </x:c>
      <x:c r="BH539" s="3" t="str">
        <x:f>IF(AND('中古車掲載'!C540="One2car",'中古車掲載'!F540="DOLPHIN",'中古車掲載'!L540="STANDARD RANGE",'中古車掲載'!J540=2023,ISNUMBER('中古車掲載'!N540),'中古車掲載'!N540&gt;=20000,'中古車掲載'!O540&lt;=100000,'中古車掲載'!AL540=1),'中古車掲載'!U540,"")</x:f>
      </x:c>
      <x:c r="BI539" s="3" t="str">
        <x:v>Taladrod|Fortuner|ICE|Unknown</x:v>
      </x:c>
      <x:c r="BJ539" s="3" t="n">
        <x:v>540</x:v>
      </x:c>
      <x:c r="BK539" s="3" t="n">
        <x:f>'中古車掲載'!AM540</x:f>
        <x:v>999000</x:v>
      </x:c>
      <x:c r="BL539" s="3" t="str">
        <x:f>IF(ISNUMBER('中古車掲載'!AN540),'中古車掲載'!AN540,"")</x:f>
      </x:c>
      <x:c r="BM539" s="3"/>
      <x:c r="BN539" s="3"/>
      <x:c r="BO539" s="3"/>
      <x:c r="BP539" s="3"/>
      <x:c r="BQ539" s="3"/>
      <x:c r="BR539" s="3"/>
    </x:row>
    <x:row r="540" ht="22" customHeight="1">
      <x:c r="A540" s="3" t="str">
        <x:v>Hilux Revo</x:v>
      </x:c>
      <x:c r="B540" s="3" t="str">
        <x:v>ICE</x:v>
      </x:c>
      <x:c r="C540" s="3" t="str">
        <x:v>Taladrod</x:v>
      </x:c>
      <x:c r="D540" s="3" t="str">
        <x:v>Pickup</x:v>
      </x:c>
      <x:c r="E540" s="3" t="str">
        <x:v>Double cab</x:v>
      </x:c>
      <x:c r="F540" s="3" t="n">
        <x:v>2022</x:v>
      </x:c>
      <x:c r="G540" s="3" t="str">
        <x:v>2.4 HIGH PRERUNNER DOUBLE CAB</x:v>
      </x:c>
      <x:c r="H540" s="3" t="str">
        <x:v>未掲載</x:v>
      </x:c>
      <x:c r="I540" s="3" t="str">
        <x:v>世代不明</x:v>
      </x:c>
      <x:c r="J540" s="22" t="n">
        <x:f>COUNT('中古車掲載'!AM801:AM801)</x:f>
        <x:v>1</x:v>
      </x:c>
      <x:c r="K540" s="22" t="n">
        <x:f>IF(COUNT('中古車掲載'!AM801:AM801)=0,"",QUARTILE('中古車掲載'!AM801:AM801,1))</x:f>
        <x:v>599000</x:v>
      </x:c>
      <x:c r="L540" s="22" t="n">
        <x:f>IF(COUNT('中古車掲載'!AM801:AM801)=0,"",MEDIAN('中古車掲載'!AM801:AM801))</x:f>
        <x:v>599000</x:v>
      </x:c>
      <x:c r="M540" s="22" t="n">
        <x:f>IF(COUNT('中古車掲載'!AM801:AM801)=0,"",QUARTILE('中古車掲載'!AM801:AM801,3))</x:f>
        <x:v>599000</x:v>
      </x:c>
      <x:c r="N540" s="22" t="n">
        <x:f>COUNT('中古車掲載'!AN801:AN801)</x:f>
        <x:v>0</x:v>
      </x:c>
      <x:c r="O540" s="23" t="str">
        <x:f>IF(COUNT('中古車掲載'!AN801:AN801)=0,"",MEDIAN('中古車掲載'!AN801:AN801))</x:f>
      </x:c>
      <x:c r="P540" s="3"/>
      <x:c r="Q540" s="3"/>
      <x:c r="R540" s="3"/>
      <x:c r="S540" s="3"/>
      <x:c r="T540" s="3"/>
      <x:c r="U540" s="3"/>
      <x:c r="V540" s="3"/>
      <x:c r="W540" s="3"/>
      <x:c r="X540" s="3"/>
      <x:c r="Y540" s="3"/>
      <x:c r="Z540" s="3"/>
      <x:c r="AA540" s="3"/>
      <x:c r="AB540" s="3"/>
      <x:c r="AC540" s="3"/>
      <x:c r="AD540" s="3"/>
      <x:c r="AE540" s="3"/>
      <x:c r="AF540" s="3"/>
      <x:c r="AG540" s="3"/>
      <x:c r="AH540" s="3"/>
      <x:c r="AI540" s="3"/>
      <x:c r="AJ540" s="3"/>
      <x:c r="AK540" s="3"/>
      <x:c r="AL540" s="3"/>
      <x:c r="AM540" s="3"/>
      <x:c r="AN540" s="3"/>
      <x:c r="AO540" s="3"/>
      <x:c r="AP540" s="3"/>
      <x:c r="AQ540" s="3"/>
      <x:c r="AR540" s="3"/>
      <x:c r="AS540" s="3"/>
      <x:c r="AT540" s="3"/>
      <x:c r="AU540" s="3"/>
      <x:c r="AV540" s="3"/>
      <x:c r="AW540" s="3"/>
      <x:c r="AX540" s="3"/>
      <x:c r="AY540" s="3"/>
      <x:c r="AZ540" s="3" t="str">
        <x:f>IF(AND('中古車掲載'!C541="One2car",'中古車掲載'!F541="ATTO 3",'中古車掲載'!L541="EXTENDED RANGE",'中古車掲載'!J541=2023,ISNUMBER('中古車掲載'!N541),'中古車掲載'!N541&gt;=20000,'中古車掲載'!O541&lt;=100000,'中古車掲載'!AL541=1),'中古車掲載'!U541,"")</x:f>
      </x:c>
      <x:c r="BA540" s="3" t="str">
        <x:f>IF(AND('中古車掲載'!C541="One2car",'中古車掲載'!F541="Corolla Cross",'中古車掲載'!L541="HEV PREMIUM SAFETY",'中古車掲載'!J541=2023,ISNUMBER('中古車掲載'!N541),'中古車掲載'!N541&gt;=20000,'中古車掲載'!O541&lt;=100000,'中古車掲載'!AL541=1,'中古車掲載'!Z541="https://www.one2car.com/en/cars-for-sale/toyota/corolla-cross/year-2023"),'中古車掲載'!U541,"")</x:f>
      </x:c>
      <x:c r="BB540" s="3" t="str">
        <x:f>IF(AND('中古車掲載'!C541="One2car",'中古車掲載'!F541="ATTO 3",'中古車掲載'!L541="EXTENDED RANGE",'中古車掲載'!J541=2023,ISNUMBER('中古車掲載'!N541),'中古車掲載'!N541&gt;=50000,'中古車掲載'!O541&lt;=100000,'中古車掲載'!AL541=1),'中古車掲載'!U541,"")</x:f>
      </x:c>
      <x:c r="BC540" s="3" t="str">
        <x:f>IF(AND('中古車掲載'!C541="One2car",'中古車掲載'!F541="Corolla Cross",'中古車掲載'!L541="HEV PREMIUM SAFETY",'中古車掲載'!J541=2023,ISNUMBER('中古車掲載'!N541),'中古車掲載'!N541&gt;=50000,'中古車掲載'!O541&lt;=100000,'中古車掲載'!AL541=1,'中古車掲載'!Z541="https://www.one2car.com/en/cars-for-sale/toyota/corolla-cross/year-2023"),'中古車掲載'!U541,"")</x:f>
      </x:c>
      <x:c r="BD540" s="3" t="str">
        <x:f>IF(AND('中古車掲載'!C541="One2car",'中古車掲載'!F541="ATTO 3",'中古車掲載'!L541="EXTENDED RANGE",'中古車掲載'!J541=2023,ISNUMBER('中古車掲載'!N541),'中古車掲載'!N541&gt;=20000,'中古車掲載'!O541&lt;=50000,'中古車掲載'!AL541=1),'中古車掲載'!U541,"")</x:f>
      </x:c>
      <x:c r="BE540" s="3" t="str">
        <x:f>IF(AND('中古車掲載'!C541="One2car",'中古車掲載'!F541="Corolla Cross",'中古車掲載'!L541="HEV PREMIUM SAFETY",'中古車掲載'!J541=2023,ISNUMBER('中古車掲載'!N541),'中古車掲載'!N541&gt;=20000,'中古車掲載'!O541&lt;=50000,'中古車掲載'!AL541=1,'中古車掲載'!Z541="https://www.one2car.com/en/cars-for-sale/toyota/corolla-cross/year-2023"),'中古車掲載'!U541,"")</x:f>
      </x:c>
      <x:c r="BF540" s="3" t="str">
        <x:f>IF(AND('中古車掲載'!C541="One2car",'中古車掲載'!F541="Corolla Cross",'中古車掲載'!L541="HEV PREMIUM",'中古車掲載'!J541=2023,ISNUMBER('中古車掲載'!N541),'中古車掲載'!N541&gt;=20000,'中古車掲載'!O541&lt;=100000,'中古車掲載'!AL541=1,'中古車掲載'!Z541="https://www.one2car.com/en/cars-for-sale/toyota/corolla-cross/year-2023"),'中古車掲載'!U541,"")</x:f>
      </x:c>
      <x:c r="BG540" s="3" t="str">
        <x:f>IF(AND('中古車掲載'!C541="One2car",'中古車掲載'!F541="Corolla Cross",'中古車掲載'!L541="HEV GR SPORT",'中古車掲載'!J541=2023,ISNUMBER('中古車掲載'!N541),'中古車掲載'!N541&gt;=20000,'中古車掲載'!O541&lt;=100000,'中古車掲載'!AL541=1,'中古車掲載'!Z541="https://www.one2car.com/en/cars-for-sale/toyota/corolla-cross/year-2023"),'中古車掲載'!U541,"")</x:f>
      </x:c>
      <x:c r="BH540" s="3" t="str">
        <x:f>IF(AND('中古車掲載'!C541="One2car",'中古車掲載'!F541="DOLPHIN",'中古車掲載'!L541="STANDARD RANGE",'中古車掲載'!J541=2023,ISNUMBER('中古車掲載'!N541),'中古車掲載'!N541&gt;=20000,'中古車掲載'!O541&lt;=100000,'中古車掲載'!AL541=1),'中古車掲載'!U541,"")</x:f>
      </x:c>
      <x:c r="BI540" s="3" t="str">
        <x:v>Taladrod|Fortuner|ICE|Unknown</x:v>
      </x:c>
      <x:c r="BJ540" s="3" t="n">
        <x:v>541</x:v>
      </x:c>
      <x:c r="BK540" s="3" t="n">
        <x:f>'中古車掲載'!AM541</x:f>
        <x:v>989000</x:v>
      </x:c>
      <x:c r="BL540" s="3" t="str">
        <x:f>IF(ISNUMBER('中古車掲載'!AN541),'中古車掲載'!AN541,"")</x:f>
      </x:c>
      <x:c r="BM540" s="3"/>
      <x:c r="BN540" s="3"/>
      <x:c r="BO540" s="3"/>
      <x:c r="BP540" s="3"/>
      <x:c r="BQ540" s="3"/>
      <x:c r="BR540" s="3"/>
    </x:row>
    <x:row r="541" ht="22" customHeight="1">
      <x:c r="A541" s="3" t="str">
        <x:v>Hilux Revo</x:v>
      </x:c>
      <x:c r="B541" s="3" t="str">
        <x:v>ICE</x:v>
      </x:c>
      <x:c r="C541" s="3" t="str">
        <x:v>Taladrod</x:v>
      </x:c>
      <x:c r="D541" s="3" t="str">
        <x:v>Pickup</x:v>
      </x:c>
      <x:c r="E541" s="3" t="str">
        <x:v>Double cab</x:v>
      </x:c>
      <x:c r="F541" s="3" t="n">
        <x:v>2022</x:v>
      </x:c>
      <x:c r="G541" s="3" t="str">
        <x:v>2.4 MID 4WD DOUBLE CAB</x:v>
      </x:c>
      <x:c r="H541" s="3" t="str">
        <x:v>未掲載</x:v>
      </x:c>
      <x:c r="I541" s="3" t="str">
        <x:v>世代不明</x:v>
      </x:c>
      <x:c r="J541" s="22" t="n">
        <x:f>COUNT('中古車掲載'!AM802:AM802)</x:f>
        <x:v>1</x:v>
      </x:c>
      <x:c r="K541" s="22" t="n">
        <x:f>IF(COUNT('中古車掲載'!AM802:AM802)=0,"",QUARTILE('中古車掲載'!AM802:AM802,1))</x:f>
        <x:v>739000</x:v>
      </x:c>
      <x:c r="L541" s="22" t="n">
        <x:f>IF(COUNT('中古車掲載'!AM802:AM802)=0,"",MEDIAN('中古車掲載'!AM802:AM802))</x:f>
        <x:v>739000</x:v>
      </x:c>
      <x:c r="M541" s="22" t="n">
        <x:f>IF(COUNT('中古車掲載'!AM802:AM802)=0,"",QUARTILE('中古車掲載'!AM802:AM802,3))</x:f>
        <x:v>739000</x:v>
      </x:c>
      <x:c r="N541" s="22" t="n">
        <x:f>COUNT('中古車掲載'!AN802:AN802)</x:f>
        <x:v>0</x:v>
      </x:c>
      <x:c r="O541" s="23" t="str">
        <x:f>IF(COUNT('中古車掲載'!AN802:AN802)=0,"",MEDIAN('中古車掲載'!AN802:AN802))</x:f>
      </x:c>
      <x:c r="P541" s="3"/>
      <x:c r="Q541" s="3"/>
      <x:c r="R541" s="3"/>
      <x:c r="S541" s="3"/>
      <x:c r="T541" s="3"/>
      <x:c r="U541" s="3"/>
      <x:c r="V541" s="3"/>
      <x:c r="W541" s="3"/>
      <x:c r="X541" s="3"/>
      <x:c r="Y541" s="3"/>
      <x:c r="Z541" s="3"/>
      <x:c r="AA541" s="3"/>
      <x:c r="AB541" s="3"/>
      <x:c r="AC541" s="3"/>
      <x:c r="AD541" s="3"/>
      <x:c r="AE541" s="3"/>
      <x:c r="AF541" s="3"/>
      <x:c r="AG541" s="3"/>
      <x:c r="AH541" s="3"/>
      <x:c r="AI541" s="3"/>
      <x:c r="AJ541" s="3"/>
      <x:c r="AK541" s="3"/>
      <x:c r="AL541" s="3"/>
      <x:c r="AM541" s="3"/>
      <x:c r="AN541" s="3"/>
      <x:c r="AO541" s="3"/>
      <x:c r="AP541" s="3"/>
      <x:c r="AQ541" s="3"/>
      <x:c r="AR541" s="3"/>
      <x:c r="AS541" s="3"/>
      <x:c r="AT541" s="3"/>
      <x:c r="AU541" s="3"/>
      <x:c r="AV541" s="3"/>
      <x:c r="AW541" s="3"/>
      <x:c r="AX541" s="3"/>
      <x:c r="AY541" s="3"/>
      <x:c r="AZ541" s="3" t="str">
        <x:f>IF(AND('中古車掲載'!C542="One2car",'中古車掲載'!F542="ATTO 3",'中古車掲載'!L542="EXTENDED RANGE",'中古車掲載'!J542=2023,ISNUMBER('中古車掲載'!N542),'中古車掲載'!N542&gt;=20000,'中古車掲載'!O542&lt;=100000,'中古車掲載'!AL542=1),'中古車掲載'!U542,"")</x:f>
      </x:c>
      <x:c r="BA541" s="3" t="str">
        <x:f>IF(AND('中古車掲載'!C542="One2car",'中古車掲載'!F542="Corolla Cross",'中古車掲載'!L542="HEV PREMIUM SAFETY",'中古車掲載'!J542=2023,ISNUMBER('中古車掲載'!N542),'中古車掲載'!N542&gt;=20000,'中古車掲載'!O542&lt;=100000,'中古車掲載'!AL542=1,'中古車掲載'!Z542="https://www.one2car.com/en/cars-for-sale/toyota/corolla-cross/year-2023"),'中古車掲載'!U542,"")</x:f>
      </x:c>
      <x:c r="BB541" s="3" t="str">
        <x:f>IF(AND('中古車掲載'!C542="One2car",'中古車掲載'!F542="ATTO 3",'中古車掲載'!L542="EXTENDED RANGE",'中古車掲載'!J542=2023,ISNUMBER('中古車掲載'!N542),'中古車掲載'!N542&gt;=50000,'中古車掲載'!O542&lt;=100000,'中古車掲載'!AL542=1),'中古車掲載'!U542,"")</x:f>
      </x:c>
      <x:c r="BC541" s="3" t="str">
        <x:f>IF(AND('中古車掲載'!C542="One2car",'中古車掲載'!F542="Corolla Cross",'中古車掲載'!L542="HEV PREMIUM SAFETY",'中古車掲載'!J542=2023,ISNUMBER('中古車掲載'!N542),'中古車掲載'!N542&gt;=50000,'中古車掲載'!O542&lt;=100000,'中古車掲載'!AL542=1,'中古車掲載'!Z542="https://www.one2car.com/en/cars-for-sale/toyota/corolla-cross/year-2023"),'中古車掲載'!U542,"")</x:f>
      </x:c>
      <x:c r="BD541" s="3" t="str">
        <x:f>IF(AND('中古車掲載'!C542="One2car",'中古車掲載'!F542="ATTO 3",'中古車掲載'!L542="EXTENDED RANGE",'中古車掲載'!J542=2023,ISNUMBER('中古車掲載'!N542),'中古車掲載'!N542&gt;=20000,'中古車掲載'!O542&lt;=50000,'中古車掲載'!AL542=1),'中古車掲載'!U542,"")</x:f>
      </x:c>
      <x:c r="BE541" s="3" t="str">
        <x:f>IF(AND('中古車掲載'!C542="One2car",'中古車掲載'!F542="Corolla Cross",'中古車掲載'!L542="HEV PREMIUM SAFETY",'中古車掲載'!J542=2023,ISNUMBER('中古車掲載'!N542),'中古車掲載'!N542&gt;=20000,'中古車掲載'!O542&lt;=50000,'中古車掲載'!AL542=1,'中古車掲載'!Z542="https://www.one2car.com/en/cars-for-sale/toyota/corolla-cross/year-2023"),'中古車掲載'!U542,"")</x:f>
      </x:c>
      <x:c r="BF541" s="3" t="str">
        <x:f>IF(AND('中古車掲載'!C542="One2car",'中古車掲載'!F542="Corolla Cross",'中古車掲載'!L542="HEV PREMIUM",'中古車掲載'!J542=2023,ISNUMBER('中古車掲載'!N542),'中古車掲載'!N542&gt;=20000,'中古車掲載'!O542&lt;=100000,'中古車掲載'!AL542=1,'中古車掲載'!Z542="https://www.one2car.com/en/cars-for-sale/toyota/corolla-cross/year-2023"),'中古車掲載'!U542,"")</x:f>
      </x:c>
      <x:c r="BG541" s="3" t="str">
        <x:f>IF(AND('中古車掲載'!C542="One2car",'中古車掲載'!F542="Corolla Cross",'中古車掲載'!L542="HEV GR SPORT",'中古車掲載'!J542=2023,ISNUMBER('中古車掲載'!N542),'中古車掲載'!N542&gt;=20000,'中古車掲載'!O542&lt;=100000,'中古車掲載'!AL542=1,'中古車掲載'!Z542="https://www.one2car.com/en/cars-for-sale/toyota/corolla-cross/year-2023"),'中古車掲載'!U542,"")</x:f>
      </x:c>
      <x:c r="BH541" s="3" t="str">
        <x:f>IF(AND('中古車掲載'!C542="One2car",'中古車掲載'!F542="DOLPHIN",'中古車掲載'!L542="STANDARD RANGE",'中古車掲載'!J542=2023,ISNUMBER('中古車掲載'!N542),'中古車掲載'!N542&gt;=20000,'中古車掲載'!O542&lt;=100000,'中古車掲載'!AL542=1),'中古車掲載'!U542,"")</x:f>
      </x:c>
      <x:c r="BI541" s="3" t="str">
        <x:v>Taladrod|Fortuner|ICE|Unknown</x:v>
      </x:c>
      <x:c r="BJ541" s="3" t="n">
        <x:v>542</x:v>
      </x:c>
      <x:c r="BK541" s="3" t="n">
        <x:f>'中古車掲載'!AM542</x:f>
        <x:v>891000</x:v>
      </x:c>
      <x:c r="BL541" s="3" t="str">
        <x:f>IF(ISNUMBER('中古車掲載'!AN542),'中古車掲載'!AN542,"")</x:f>
      </x:c>
      <x:c r="BM541" s="3"/>
      <x:c r="BN541" s="3"/>
      <x:c r="BO541" s="3"/>
      <x:c r="BP541" s="3"/>
      <x:c r="BQ541" s="3"/>
      <x:c r="BR541" s="3"/>
    </x:row>
    <x:row r="542" ht="22" customHeight="1">
      <x:c r="A542" s="3" t="str">
        <x:v>Hilux Revo</x:v>
      </x:c>
      <x:c r="B542" s="3" t="str">
        <x:v>ICE</x:v>
      </x:c>
      <x:c r="C542" s="3" t="str">
        <x:v>Taladrod</x:v>
      </x:c>
      <x:c r="D542" s="3" t="str">
        <x:v>Pickup</x:v>
      </x:c>
      <x:c r="E542" s="3" t="str">
        <x:v>Double cab</x:v>
      </x:c>
      <x:c r="F542" s="3" t="n">
        <x:v>2022</x:v>
      </x:c>
      <x:c r="G542" s="3" t="str">
        <x:v>2.4 MID PRERUNNER DOUBLE CAB</x:v>
      </x:c>
      <x:c r="H542" s="3" t="str">
        <x:v>未掲載</x:v>
      </x:c>
      <x:c r="I542" s="3" t="str">
        <x:v>世代不明</x:v>
      </x:c>
      <x:c r="J542" s="22" t="n">
        <x:f>COUNT('中古車掲載'!AM804:AM808)</x:f>
        <x:v>5</x:v>
      </x:c>
      <x:c r="K542" s="22" t="n">
        <x:f>IF(COUNT('中古車掲載'!AM804:AM808)=0,"",QUARTILE('中古車掲載'!AM804:AM808,1))</x:f>
        <x:v>639000</x:v>
      </x:c>
      <x:c r="L542" s="22" t="n">
        <x:f>IF(COUNT('中古車掲載'!AM804:AM808)=0,"",MEDIAN('中古車掲載'!AM804:AM808))</x:f>
        <x:v>649000</x:v>
      </x:c>
      <x:c r="M542" s="22" t="n">
        <x:f>IF(COUNT('中古車掲載'!AM804:AM808)=0,"",QUARTILE('中古車掲載'!AM804:AM808,3))</x:f>
        <x:v>659000</x:v>
      </x:c>
      <x:c r="N542" s="22" t="n">
        <x:f>COUNT('中古車掲載'!AN804:AN808)</x:f>
        <x:v>0</x:v>
      </x:c>
      <x:c r="O542" s="23" t="str">
        <x:f>IF(COUNT('中古車掲載'!AN804:AN808)=0,"",MEDIAN('中古車掲載'!AN804:AN808))</x:f>
      </x:c>
      <x:c r="P542" s="3"/>
      <x:c r="Q542" s="3"/>
      <x:c r="R542" s="3"/>
      <x:c r="S542" s="3"/>
      <x:c r="T542" s="3"/>
      <x:c r="U542" s="3"/>
      <x:c r="V542" s="3"/>
      <x:c r="W542" s="3"/>
      <x:c r="X542" s="3"/>
      <x:c r="Y542" s="3"/>
      <x:c r="Z542" s="3"/>
      <x:c r="AA542" s="3"/>
      <x:c r="AB542" s="3"/>
      <x:c r="AC542" s="3"/>
      <x:c r="AD542" s="3"/>
      <x:c r="AE542" s="3"/>
      <x:c r="AF542" s="3"/>
      <x:c r="AG542" s="3"/>
      <x:c r="AH542" s="3"/>
      <x:c r="AI542" s="3"/>
      <x:c r="AJ542" s="3"/>
      <x:c r="AK542" s="3"/>
      <x:c r="AL542" s="3"/>
      <x:c r="AM542" s="3"/>
      <x:c r="AN542" s="3"/>
      <x:c r="AO542" s="3"/>
      <x:c r="AP542" s="3"/>
      <x:c r="AQ542" s="3"/>
      <x:c r="AR542" s="3"/>
      <x:c r="AS542" s="3"/>
      <x:c r="AT542" s="3"/>
      <x:c r="AU542" s="3"/>
      <x:c r="AV542" s="3"/>
      <x:c r="AW542" s="3"/>
      <x:c r="AX542" s="3"/>
      <x:c r="AY542" s="3"/>
      <x:c r="AZ542" s="3" t="str">
        <x:f>IF(AND('中古車掲載'!C543="One2car",'中古車掲載'!F543="ATTO 3",'中古車掲載'!L543="EXTENDED RANGE",'中古車掲載'!J543=2023,ISNUMBER('中古車掲載'!N543),'中古車掲載'!N543&gt;=20000,'中古車掲載'!O543&lt;=100000,'中古車掲載'!AL543=1),'中古車掲載'!U543,"")</x:f>
      </x:c>
      <x:c r="BA542" s="3" t="str">
        <x:f>IF(AND('中古車掲載'!C543="One2car",'中古車掲載'!F543="Corolla Cross",'中古車掲載'!L543="HEV PREMIUM SAFETY",'中古車掲載'!J543=2023,ISNUMBER('中古車掲載'!N543),'中古車掲載'!N543&gt;=20000,'中古車掲載'!O543&lt;=100000,'中古車掲載'!AL543=1,'中古車掲載'!Z543="https://www.one2car.com/en/cars-for-sale/toyota/corolla-cross/year-2023"),'中古車掲載'!U543,"")</x:f>
      </x:c>
      <x:c r="BB542" s="3" t="str">
        <x:f>IF(AND('中古車掲載'!C543="One2car",'中古車掲載'!F543="ATTO 3",'中古車掲載'!L543="EXTENDED RANGE",'中古車掲載'!J543=2023,ISNUMBER('中古車掲載'!N543),'中古車掲載'!N543&gt;=50000,'中古車掲載'!O543&lt;=100000,'中古車掲載'!AL543=1),'中古車掲載'!U543,"")</x:f>
      </x:c>
      <x:c r="BC542" s="3" t="str">
        <x:f>IF(AND('中古車掲載'!C543="One2car",'中古車掲載'!F543="Corolla Cross",'中古車掲載'!L543="HEV PREMIUM SAFETY",'中古車掲載'!J543=2023,ISNUMBER('中古車掲載'!N543),'中古車掲載'!N543&gt;=50000,'中古車掲載'!O543&lt;=100000,'中古車掲載'!AL543=1,'中古車掲載'!Z543="https://www.one2car.com/en/cars-for-sale/toyota/corolla-cross/year-2023"),'中古車掲載'!U543,"")</x:f>
      </x:c>
      <x:c r="BD542" s="3" t="str">
        <x:f>IF(AND('中古車掲載'!C543="One2car",'中古車掲載'!F543="ATTO 3",'中古車掲載'!L543="EXTENDED RANGE",'中古車掲載'!J543=2023,ISNUMBER('中古車掲載'!N543),'中古車掲載'!N543&gt;=20000,'中古車掲載'!O543&lt;=50000,'中古車掲載'!AL543=1),'中古車掲載'!U543,"")</x:f>
      </x:c>
      <x:c r="BE542" s="3" t="str">
        <x:f>IF(AND('中古車掲載'!C543="One2car",'中古車掲載'!F543="Corolla Cross",'中古車掲載'!L543="HEV PREMIUM SAFETY",'中古車掲載'!J543=2023,ISNUMBER('中古車掲載'!N543),'中古車掲載'!N543&gt;=20000,'中古車掲載'!O543&lt;=50000,'中古車掲載'!AL543=1,'中古車掲載'!Z543="https://www.one2car.com/en/cars-for-sale/toyota/corolla-cross/year-2023"),'中古車掲載'!U543,"")</x:f>
      </x:c>
      <x:c r="BF542" s="3" t="str">
        <x:f>IF(AND('中古車掲載'!C543="One2car",'中古車掲載'!F543="Corolla Cross",'中古車掲載'!L543="HEV PREMIUM",'中古車掲載'!J543=2023,ISNUMBER('中古車掲載'!N543),'中古車掲載'!N543&gt;=20000,'中古車掲載'!O543&lt;=100000,'中古車掲載'!AL543=1,'中古車掲載'!Z543="https://www.one2car.com/en/cars-for-sale/toyota/corolla-cross/year-2023"),'中古車掲載'!U543,"")</x:f>
      </x:c>
      <x:c r="BG542" s="3" t="str">
        <x:f>IF(AND('中古車掲載'!C543="One2car",'中古車掲載'!F543="Corolla Cross",'中古車掲載'!L543="HEV GR SPORT",'中古車掲載'!J543=2023,ISNUMBER('中古車掲載'!N543),'中古車掲載'!N543&gt;=20000,'中古車掲載'!O543&lt;=100000,'中古車掲載'!AL543=1,'中古車掲載'!Z543="https://www.one2car.com/en/cars-for-sale/toyota/corolla-cross/year-2023"),'中古車掲載'!U543,"")</x:f>
      </x:c>
      <x:c r="BH542" s="3" t="str">
        <x:f>IF(AND('中古車掲載'!C543="One2car",'中古車掲載'!F543="DOLPHIN",'中古車掲載'!L543="STANDARD RANGE",'中古車掲載'!J543=2023,ISNUMBER('中古車掲載'!N543),'中古車掲載'!N543&gt;=20000,'中古車掲載'!O543&lt;=100000,'中古車掲載'!AL543=1),'中古車掲載'!U543,"")</x:f>
      </x:c>
      <x:c r="BI542" s="3" t="str">
        <x:v>Taladrod|Fortuner|ICE|Unknown</x:v>
      </x:c>
      <x:c r="BJ542" s="3" t="n">
        <x:v>543</x:v>
      </x:c>
      <x:c r="BK542" s="3" t="n">
        <x:f>'中古車掲載'!AM543</x:f>
        <x:v>844000</x:v>
      </x:c>
      <x:c r="BL542" s="3" t="str">
        <x:f>IF(ISNUMBER('中古車掲載'!AN543),'中古車掲載'!AN543,"")</x:f>
      </x:c>
      <x:c r="BM542" s="3"/>
      <x:c r="BN542" s="3"/>
      <x:c r="BO542" s="3"/>
      <x:c r="BP542" s="3"/>
      <x:c r="BQ542" s="3"/>
      <x:c r="BR542" s="3"/>
    </x:row>
    <x:row r="543" ht="22" customHeight="1">
      <x:c r="A543" s="3" t="str">
        <x:v>Hilux Revo</x:v>
      </x:c>
      <x:c r="B543" s="3" t="str">
        <x:v>ICE</x:v>
      </x:c>
      <x:c r="C543" s="3" t="str">
        <x:v>Taladrod</x:v>
      </x:c>
      <x:c r="D543" s="3" t="str">
        <x:v>Pickup</x:v>
      </x:c>
      <x:c r="E543" s="3" t="str">
        <x:v>Double cab</x:v>
      </x:c>
      <x:c r="F543" s="3" t="n">
        <x:v>2022</x:v>
      </x:c>
      <x:c r="G543" s="3" t="str">
        <x:v>2.4 MID Z EDITION DOUBLE CAB</x:v>
      </x:c>
      <x:c r="H543" s="3" t="str">
        <x:v>未掲載</x:v>
      </x:c>
      <x:c r="I543" s="3" t="str">
        <x:v>世代不明</x:v>
      </x:c>
      <x:c r="J543" s="22" t="n">
        <x:f>COUNT('中古車掲載'!AM814:AM817)</x:f>
        <x:v>4</x:v>
      </x:c>
      <x:c r="K543" s="22" t="n">
        <x:f>IF(COUNT('中古車掲載'!AM814:AM817)=0,"",QUARTILE('中古車掲載'!AM814:AM817,1))</x:f>
        <x:v>456250</x:v>
      </x:c>
      <x:c r="L543" s="22" t="n">
        <x:f>IF(COUNT('中古車掲載'!AM814:AM817)=0,"",MEDIAN('中古車掲載'!AM814:AM817))</x:f>
        <x:v>462000</x:v>
      </x:c>
      <x:c r="M543" s="22" t="n">
        <x:f>IF(COUNT('中古車掲載'!AM814:AM817)=0,"",QUARTILE('中古車掲載'!AM814:AM817,3))</x:f>
        <x:v>467500</x:v>
      </x:c>
      <x:c r="N543" s="22" t="n">
        <x:f>COUNT('中古車掲載'!AN814:AN817)</x:f>
        <x:v>0</x:v>
      </x:c>
      <x:c r="O543" s="23" t="str">
        <x:f>IF(COUNT('中古車掲載'!AN814:AN817)=0,"",MEDIAN('中古車掲載'!AN814:AN817))</x:f>
      </x:c>
      <x:c r="P543" s="3"/>
      <x:c r="Q543" s="3"/>
      <x:c r="R543" s="3"/>
      <x:c r="S543" s="3"/>
      <x:c r="T543" s="3"/>
      <x:c r="U543" s="3"/>
      <x:c r="V543" s="3"/>
      <x:c r="W543" s="3"/>
      <x:c r="X543" s="3"/>
      <x:c r="Y543" s="3"/>
      <x:c r="Z543" s="3"/>
      <x:c r="AA543" s="3"/>
      <x:c r="AB543" s="3"/>
      <x:c r="AC543" s="3"/>
      <x:c r="AD543" s="3"/>
      <x:c r="AE543" s="3"/>
      <x:c r="AF543" s="3"/>
      <x:c r="AG543" s="3"/>
      <x:c r="AH543" s="3"/>
      <x:c r="AI543" s="3"/>
      <x:c r="AJ543" s="3"/>
      <x:c r="AK543" s="3"/>
      <x:c r="AL543" s="3"/>
      <x:c r="AM543" s="3"/>
      <x:c r="AN543" s="3"/>
      <x:c r="AO543" s="3"/>
      <x:c r="AP543" s="3"/>
      <x:c r="AQ543" s="3"/>
      <x:c r="AR543" s="3"/>
      <x:c r="AS543" s="3"/>
      <x:c r="AT543" s="3"/>
      <x:c r="AU543" s="3"/>
      <x:c r="AV543" s="3"/>
      <x:c r="AW543" s="3"/>
      <x:c r="AX543" s="3"/>
      <x:c r="AY543" s="3"/>
      <x:c r="AZ543" s="3" t="str">
        <x:f>IF(AND('中古車掲載'!C544="One2car",'中古車掲載'!F544="ATTO 3",'中古車掲載'!L544="EXTENDED RANGE",'中古車掲載'!J544=2023,ISNUMBER('中古車掲載'!N544),'中古車掲載'!N544&gt;=20000,'中古車掲載'!O544&lt;=100000,'中古車掲載'!AL544=1),'中古車掲載'!U544,"")</x:f>
      </x:c>
      <x:c r="BA543" s="3" t="str">
        <x:f>IF(AND('中古車掲載'!C544="One2car",'中古車掲載'!F544="Corolla Cross",'中古車掲載'!L544="HEV PREMIUM SAFETY",'中古車掲載'!J544=2023,ISNUMBER('中古車掲載'!N544),'中古車掲載'!N544&gt;=20000,'中古車掲載'!O544&lt;=100000,'中古車掲載'!AL544=1,'中古車掲載'!Z544="https://www.one2car.com/en/cars-for-sale/toyota/corolla-cross/year-2023"),'中古車掲載'!U544,"")</x:f>
      </x:c>
      <x:c r="BB543" s="3" t="str">
        <x:f>IF(AND('中古車掲載'!C544="One2car",'中古車掲載'!F544="ATTO 3",'中古車掲載'!L544="EXTENDED RANGE",'中古車掲載'!J544=2023,ISNUMBER('中古車掲載'!N544),'中古車掲載'!N544&gt;=50000,'中古車掲載'!O544&lt;=100000,'中古車掲載'!AL544=1),'中古車掲載'!U544,"")</x:f>
      </x:c>
      <x:c r="BC543" s="3" t="str">
        <x:f>IF(AND('中古車掲載'!C544="One2car",'中古車掲載'!F544="Corolla Cross",'中古車掲載'!L544="HEV PREMIUM SAFETY",'中古車掲載'!J544=2023,ISNUMBER('中古車掲載'!N544),'中古車掲載'!N544&gt;=50000,'中古車掲載'!O544&lt;=100000,'中古車掲載'!AL544=1,'中古車掲載'!Z544="https://www.one2car.com/en/cars-for-sale/toyota/corolla-cross/year-2023"),'中古車掲載'!U544,"")</x:f>
      </x:c>
      <x:c r="BD543" s="3" t="str">
        <x:f>IF(AND('中古車掲載'!C544="One2car",'中古車掲載'!F544="ATTO 3",'中古車掲載'!L544="EXTENDED RANGE",'中古車掲載'!J544=2023,ISNUMBER('中古車掲載'!N544),'中古車掲載'!N544&gt;=20000,'中古車掲載'!O544&lt;=50000,'中古車掲載'!AL544=1),'中古車掲載'!U544,"")</x:f>
      </x:c>
      <x:c r="BE543" s="3" t="str">
        <x:f>IF(AND('中古車掲載'!C544="One2car",'中古車掲載'!F544="Corolla Cross",'中古車掲載'!L544="HEV PREMIUM SAFETY",'中古車掲載'!J544=2023,ISNUMBER('中古車掲載'!N544),'中古車掲載'!N544&gt;=20000,'中古車掲載'!O544&lt;=50000,'中古車掲載'!AL544=1,'中古車掲載'!Z544="https://www.one2car.com/en/cars-for-sale/toyota/corolla-cross/year-2023"),'中古車掲載'!U544,"")</x:f>
      </x:c>
      <x:c r="BF543" s="3" t="str">
        <x:f>IF(AND('中古車掲載'!C544="One2car",'中古車掲載'!F544="Corolla Cross",'中古車掲載'!L544="HEV PREMIUM",'中古車掲載'!J544=2023,ISNUMBER('中古車掲載'!N544),'中古車掲載'!N544&gt;=20000,'中古車掲載'!O544&lt;=100000,'中古車掲載'!AL544=1,'中古車掲載'!Z544="https://www.one2car.com/en/cars-for-sale/toyota/corolla-cross/year-2023"),'中古車掲載'!U544,"")</x:f>
      </x:c>
      <x:c r="BG543" s="3" t="str">
        <x:f>IF(AND('中古車掲載'!C544="One2car",'中古車掲載'!F544="Corolla Cross",'中古車掲載'!L544="HEV GR SPORT",'中古車掲載'!J544=2023,ISNUMBER('中古車掲載'!N544),'中古車掲載'!N544&gt;=20000,'中古車掲載'!O544&lt;=100000,'中古車掲載'!AL544=1,'中古車掲載'!Z544="https://www.one2car.com/en/cars-for-sale/toyota/corolla-cross/year-2023"),'中古車掲載'!U544,"")</x:f>
      </x:c>
      <x:c r="BH543" s="3" t="str">
        <x:f>IF(AND('中古車掲載'!C544="One2car",'中古車掲載'!F544="DOLPHIN",'中古車掲載'!L544="STANDARD RANGE",'中古車掲載'!J544=2023,ISNUMBER('中古車掲載'!N544),'中古車掲載'!N544&gt;=20000,'中古車掲載'!O544&lt;=100000,'中古車掲載'!AL544=1),'中古車掲載'!U544,"")</x:f>
      </x:c>
      <x:c r="BI543" s="3" t="str">
        <x:v>Taladrod|Fortuner|ICE|Unknown</x:v>
      </x:c>
      <x:c r="BJ543" s="3" t="n">
        <x:v>544</x:v>
      </x:c>
      <x:c r="BK543" s="3" t="n">
        <x:f>'中古車掲載'!AM544</x:f>
        <x:v>804000</x:v>
      </x:c>
      <x:c r="BL543" s="3" t="str">
        <x:f>IF(ISNUMBER('中古車掲載'!AN544),'中古車掲載'!AN544,"")</x:f>
      </x:c>
      <x:c r="BM543" s="3"/>
      <x:c r="BN543" s="3"/>
      <x:c r="BO543" s="3"/>
      <x:c r="BP543" s="3"/>
      <x:c r="BQ543" s="3"/>
      <x:c r="BR543" s="3"/>
    </x:row>
    <x:row r="544" ht="22" customHeight="1">
      <x:c r="A544" s="3" t="str">
        <x:v>Hilux Revo</x:v>
      </x:c>
      <x:c r="B544" s="3" t="str">
        <x:v>ICE</x:v>
      </x:c>
      <x:c r="C544" s="3" t="str">
        <x:v>Taladrod</x:v>
      </x:c>
      <x:c r="D544" s="3" t="str">
        <x:v>Pickup</x:v>
      </x:c>
      <x:c r="E544" s="3" t="str">
        <x:v>Double cab</x:v>
      </x:c>
      <x:c r="F544" s="3" t="n">
        <x:v>2022</x:v>
      </x:c>
      <x:c r="G544" s="3" t="str">
        <x:v>2.4 PRERUNNER DOUBLE CAB</x:v>
      </x:c>
      <x:c r="H544" s="3" t="str">
        <x:v>未掲載</x:v>
      </x:c>
      <x:c r="I544" s="3" t="str">
        <x:v>世代不明</x:v>
      </x:c>
      <x:c r="J544" s="22" t="n">
        <x:f>COUNT('中古車掲載'!AM822:AM824)</x:f>
        <x:v>3</x:v>
      </x:c>
      <x:c r="K544" s="22" t="n">
        <x:f>IF(COUNT('中古車掲載'!AM822:AM824)=0,"",QUARTILE('中古車掲載'!AM822:AM824,1))</x:f>
        <x:v>749000</x:v>
      </x:c>
      <x:c r="L544" s="22" t="n">
        <x:f>IF(COUNT('中古車掲載'!AM822:AM824)=0,"",MEDIAN('中古車掲載'!AM822:AM824))</x:f>
        <x:v>749000</x:v>
      </x:c>
      <x:c r="M544" s="22" t="n">
        <x:f>IF(COUNT('中古車掲載'!AM822:AM824)=0,"",QUARTILE('中古車掲載'!AM822:AM824,3))</x:f>
        <x:v>760000</x:v>
      </x:c>
      <x:c r="N544" s="22" t="n">
        <x:f>COUNT('中古車掲載'!AN822:AN824)</x:f>
        <x:v>0</x:v>
      </x:c>
      <x:c r="O544" s="23" t="str">
        <x:f>IF(COUNT('中古車掲載'!AN822:AN824)=0,"",MEDIAN('中古車掲載'!AN822:AN824))</x:f>
      </x:c>
      <x:c r="P544" s="3"/>
      <x:c r="Q544" s="3"/>
      <x:c r="R544" s="3"/>
      <x:c r="S544" s="3"/>
      <x:c r="T544" s="3"/>
      <x:c r="U544" s="3"/>
      <x:c r="V544" s="3"/>
      <x:c r="W544" s="3"/>
      <x:c r="X544" s="3"/>
      <x:c r="Y544" s="3"/>
      <x:c r="Z544" s="3"/>
      <x:c r="AA544" s="3"/>
      <x:c r="AB544" s="3"/>
      <x:c r="AC544" s="3"/>
      <x:c r="AD544" s="3"/>
      <x:c r="AE544" s="3"/>
      <x:c r="AF544" s="3"/>
      <x:c r="AG544" s="3"/>
      <x:c r="AH544" s="3"/>
      <x:c r="AI544" s="3"/>
      <x:c r="AJ544" s="3"/>
      <x:c r="AK544" s="3"/>
      <x:c r="AL544" s="3"/>
      <x:c r="AM544" s="3"/>
      <x:c r="AN544" s="3"/>
      <x:c r="AO544" s="3"/>
      <x:c r="AP544" s="3"/>
      <x:c r="AQ544" s="3"/>
      <x:c r="AR544" s="3"/>
      <x:c r="AS544" s="3"/>
      <x:c r="AT544" s="3"/>
      <x:c r="AU544" s="3"/>
      <x:c r="AV544" s="3"/>
      <x:c r="AW544" s="3"/>
      <x:c r="AX544" s="3"/>
      <x:c r="AY544" s="3"/>
      <x:c r="AZ544" s="3" t="str">
        <x:f>IF(AND('中古車掲載'!C545="One2car",'中古車掲載'!F545="ATTO 3",'中古車掲載'!L545="EXTENDED RANGE",'中古車掲載'!J545=2023,ISNUMBER('中古車掲載'!N545),'中古車掲載'!N545&gt;=20000,'中古車掲載'!O545&lt;=100000,'中古車掲載'!AL545=1),'中古車掲載'!U545,"")</x:f>
      </x:c>
      <x:c r="BA544" s="3" t="str">
        <x:f>IF(AND('中古車掲載'!C545="One2car",'中古車掲載'!F545="Corolla Cross",'中古車掲載'!L545="HEV PREMIUM SAFETY",'中古車掲載'!J545=2023,ISNUMBER('中古車掲載'!N545),'中古車掲載'!N545&gt;=20000,'中古車掲載'!O545&lt;=100000,'中古車掲載'!AL545=1,'中古車掲載'!Z545="https://www.one2car.com/en/cars-for-sale/toyota/corolla-cross/year-2023"),'中古車掲載'!U545,"")</x:f>
      </x:c>
      <x:c r="BB544" s="3" t="str">
        <x:f>IF(AND('中古車掲載'!C545="One2car",'中古車掲載'!F545="ATTO 3",'中古車掲載'!L545="EXTENDED RANGE",'中古車掲載'!J545=2023,ISNUMBER('中古車掲載'!N545),'中古車掲載'!N545&gt;=50000,'中古車掲載'!O545&lt;=100000,'中古車掲載'!AL545=1),'中古車掲載'!U545,"")</x:f>
      </x:c>
      <x:c r="BC544" s="3" t="str">
        <x:f>IF(AND('中古車掲載'!C545="One2car",'中古車掲載'!F545="Corolla Cross",'中古車掲載'!L545="HEV PREMIUM SAFETY",'中古車掲載'!J545=2023,ISNUMBER('中古車掲載'!N545),'中古車掲載'!N545&gt;=50000,'中古車掲載'!O545&lt;=100000,'中古車掲載'!AL545=1,'中古車掲載'!Z545="https://www.one2car.com/en/cars-for-sale/toyota/corolla-cross/year-2023"),'中古車掲載'!U545,"")</x:f>
      </x:c>
      <x:c r="BD544" s="3" t="str">
        <x:f>IF(AND('中古車掲載'!C545="One2car",'中古車掲載'!F545="ATTO 3",'中古車掲載'!L545="EXTENDED RANGE",'中古車掲載'!J545=2023,ISNUMBER('中古車掲載'!N545),'中古車掲載'!N545&gt;=20000,'中古車掲載'!O545&lt;=50000,'中古車掲載'!AL545=1),'中古車掲載'!U545,"")</x:f>
      </x:c>
      <x:c r="BE544" s="3" t="str">
        <x:f>IF(AND('中古車掲載'!C545="One2car",'中古車掲載'!F545="Corolla Cross",'中古車掲載'!L545="HEV PREMIUM SAFETY",'中古車掲載'!J545=2023,ISNUMBER('中古車掲載'!N545),'中古車掲載'!N545&gt;=20000,'中古車掲載'!O545&lt;=50000,'中古車掲載'!AL545=1,'中古車掲載'!Z545="https://www.one2car.com/en/cars-for-sale/toyota/corolla-cross/year-2023"),'中古車掲載'!U545,"")</x:f>
      </x:c>
      <x:c r="BF544" s="3" t="str">
        <x:f>IF(AND('中古車掲載'!C545="One2car",'中古車掲載'!F545="Corolla Cross",'中古車掲載'!L545="HEV PREMIUM",'中古車掲載'!J545=2023,ISNUMBER('中古車掲載'!N545),'中古車掲載'!N545&gt;=20000,'中古車掲載'!O545&lt;=100000,'中古車掲載'!AL545=1,'中古車掲載'!Z545="https://www.one2car.com/en/cars-for-sale/toyota/corolla-cross/year-2023"),'中古車掲載'!U545,"")</x:f>
      </x:c>
      <x:c r="BG544" s="3" t="str">
        <x:f>IF(AND('中古車掲載'!C545="One2car",'中古車掲載'!F545="Corolla Cross",'中古車掲載'!L545="HEV GR SPORT",'中古車掲載'!J545=2023,ISNUMBER('中古車掲載'!N545),'中古車掲載'!N545&gt;=20000,'中古車掲載'!O545&lt;=100000,'中古車掲載'!AL545=1,'中古車掲載'!Z545="https://www.one2car.com/en/cars-for-sale/toyota/corolla-cross/year-2023"),'中古車掲載'!U545,"")</x:f>
      </x:c>
      <x:c r="BH544" s="3" t="str">
        <x:f>IF(AND('中古車掲載'!C545="One2car",'中古車掲載'!F545="DOLPHIN",'中古車掲載'!L545="STANDARD RANGE",'中古車掲載'!J545=2023,ISNUMBER('中古車掲載'!N545),'中古車掲載'!N545&gt;=20000,'中古車掲載'!O545&lt;=100000,'中古車掲載'!AL545=1),'中古車掲載'!U545,"")</x:f>
      </x:c>
      <x:c r="BI544" s="3" t="str">
        <x:v>Taladrod|Fortuner|ICE|Unknown</x:v>
      </x:c>
      <x:c r="BJ544" s="3" t="n">
        <x:v>545</x:v>
      </x:c>
      <x:c r="BK544" s="3" t="n">
        <x:f>'中古車掲載'!AM545</x:f>
        <x:v>849000</x:v>
      </x:c>
      <x:c r="BL544" s="3" t="str">
        <x:f>IF(ISNUMBER('中古車掲載'!AN545),'中古車掲載'!AN545,"")</x:f>
      </x:c>
      <x:c r="BM544" s="3"/>
      <x:c r="BN544" s="3"/>
      <x:c r="BO544" s="3"/>
      <x:c r="BP544" s="3"/>
      <x:c r="BQ544" s="3"/>
      <x:c r="BR544" s="3"/>
    </x:row>
    <x:row r="545" ht="22" customHeight="1">
      <x:c r="A545" s="3" t="str">
        <x:v>Hilux Revo</x:v>
      </x:c>
      <x:c r="B545" s="3" t="str">
        <x:v>ICE</x:v>
      </x:c>
      <x:c r="C545" s="3" t="str">
        <x:v>Taladrod</x:v>
      </x:c>
      <x:c r="D545" s="3" t="str">
        <x:v>Pickup</x:v>
      </x:c>
      <x:c r="E545" s="3" t="str">
        <x:v>Double cab</x:v>
      </x:c>
      <x:c r="F545" s="3" t="n">
        <x:v>2022</x:v>
      </x:c>
      <x:c r="G545" s="3" t="str">
        <x:v>2.8 GR SPORT DOUBLE CAB</x:v>
      </x:c>
      <x:c r="H545" s="3" t="str">
        <x:v>未掲載</x:v>
      </x:c>
      <x:c r="I545" s="3" t="str">
        <x:v>世代不明</x:v>
      </x:c>
      <x:c r="J545" s="22" t="n">
        <x:f>COUNT('中古車掲載'!AM827:AM828)</x:f>
        <x:v>2</x:v>
      </x:c>
      <x:c r="K545" s="22" t="n">
        <x:f>IF(COUNT('中古車掲載'!AM827:AM828)=0,"",QUARTILE('中古車掲載'!AM827:AM828,1))</x:f>
        <x:v>584000</x:v>
      </x:c>
      <x:c r="L545" s="22" t="n">
        <x:f>IF(COUNT('中古車掲載'!AM827:AM828)=0,"",MEDIAN('中古車掲載'!AM827:AM828))</x:f>
        <x:v>589000</x:v>
      </x:c>
      <x:c r="M545" s="22" t="n">
        <x:f>IF(COUNT('中古車掲載'!AM827:AM828)=0,"",QUARTILE('中古車掲載'!AM827:AM828,3))</x:f>
        <x:v>594000</x:v>
      </x:c>
      <x:c r="N545" s="22" t="n">
        <x:f>COUNT('中古車掲載'!AN827:AN828)</x:f>
        <x:v>0</x:v>
      </x:c>
      <x:c r="O545" s="23" t="str">
        <x:f>IF(COUNT('中古車掲載'!AN827:AN828)=0,"",MEDIAN('中古車掲載'!AN827:AN828))</x:f>
      </x:c>
      <x:c r="P545" s="3"/>
      <x:c r="Q545" s="3"/>
      <x:c r="R545" s="3"/>
      <x:c r="S545" s="3"/>
      <x:c r="T545" s="3"/>
      <x:c r="U545" s="3"/>
      <x:c r="V545" s="3"/>
      <x:c r="W545" s="3"/>
      <x:c r="X545" s="3"/>
      <x:c r="Y545" s="3"/>
      <x:c r="Z545" s="3"/>
      <x:c r="AA545" s="3"/>
      <x:c r="AB545" s="3"/>
      <x:c r="AC545" s="3"/>
      <x:c r="AD545" s="3"/>
      <x:c r="AE545" s="3"/>
      <x:c r="AF545" s="3"/>
      <x:c r="AG545" s="3"/>
      <x:c r="AH545" s="3"/>
      <x:c r="AI545" s="3"/>
      <x:c r="AJ545" s="3"/>
      <x:c r="AK545" s="3"/>
      <x:c r="AL545" s="3"/>
      <x:c r="AM545" s="3"/>
      <x:c r="AN545" s="3"/>
      <x:c r="AO545" s="3"/>
      <x:c r="AP545" s="3"/>
      <x:c r="AQ545" s="3"/>
      <x:c r="AR545" s="3"/>
      <x:c r="AS545" s="3"/>
      <x:c r="AT545" s="3"/>
      <x:c r="AU545" s="3"/>
      <x:c r="AV545" s="3"/>
      <x:c r="AW545" s="3"/>
      <x:c r="AX545" s="3"/>
      <x:c r="AY545" s="3"/>
      <x:c r="AZ545" s="3" t="str">
        <x:f>IF(AND('中古車掲載'!C546="One2car",'中古車掲載'!F546="ATTO 3",'中古車掲載'!L546="EXTENDED RANGE",'中古車掲載'!J546=2023,ISNUMBER('中古車掲載'!N546),'中古車掲載'!N546&gt;=20000,'中古車掲載'!O546&lt;=100000,'中古車掲載'!AL546=1),'中古車掲載'!U546,"")</x:f>
      </x:c>
      <x:c r="BA545" s="3" t="str">
        <x:f>IF(AND('中古車掲載'!C546="One2car",'中古車掲載'!F546="Corolla Cross",'中古車掲載'!L546="HEV PREMIUM SAFETY",'中古車掲載'!J546=2023,ISNUMBER('中古車掲載'!N546),'中古車掲載'!N546&gt;=20000,'中古車掲載'!O546&lt;=100000,'中古車掲載'!AL546=1,'中古車掲載'!Z546="https://www.one2car.com/en/cars-for-sale/toyota/corolla-cross/year-2023"),'中古車掲載'!U546,"")</x:f>
      </x:c>
      <x:c r="BB545" s="3" t="str">
        <x:f>IF(AND('中古車掲載'!C546="One2car",'中古車掲載'!F546="ATTO 3",'中古車掲載'!L546="EXTENDED RANGE",'中古車掲載'!J546=2023,ISNUMBER('中古車掲載'!N546),'中古車掲載'!N546&gt;=50000,'中古車掲載'!O546&lt;=100000,'中古車掲載'!AL546=1),'中古車掲載'!U546,"")</x:f>
      </x:c>
      <x:c r="BC545" s="3" t="str">
        <x:f>IF(AND('中古車掲載'!C546="One2car",'中古車掲載'!F546="Corolla Cross",'中古車掲載'!L546="HEV PREMIUM SAFETY",'中古車掲載'!J546=2023,ISNUMBER('中古車掲載'!N546),'中古車掲載'!N546&gt;=50000,'中古車掲載'!O546&lt;=100000,'中古車掲載'!AL546=1,'中古車掲載'!Z546="https://www.one2car.com/en/cars-for-sale/toyota/corolla-cross/year-2023"),'中古車掲載'!U546,"")</x:f>
      </x:c>
      <x:c r="BD545" s="3" t="str">
        <x:f>IF(AND('中古車掲載'!C546="One2car",'中古車掲載'!F546="ATTO 3",'中古車掲載'!L546="EXTENDED RANGE",'中古車掲載'!J546=2023,ISNUMBER('中古車掲載'!N546),'中古車掲載'!N546&gt;=20000,'中古車掲載'!O546&lt;=50000,'中古車掲載'!AL546=1),'中古車掲載'!U546,"")</x:f>
      </x:c>
      <x:c r="BE545" s="3" t="str">
        <x:f>IF(AND('中古車掲載'!C546="One2car",'中古車掲載'!F546="Corolla Cross",'中古車掲載'!L546="HEV PREMIUM SAFETY",'中古車掲載'!J546=2023,ISNUMBER('中古車掲載'!N546),'中古車掲載'!N546&gt;=20000,'中古車掲載'!O546&lt;=50000,'中古車掲載'!AL546=1,'中古車掲載'!Z546="https://www.one2car.com/en/cars-for-sale/toyota/corolla-cross/year-2023"),'中古車掲載'!U546,"")</x:f>
      </x:c>
      <x:c r="BF545" s="3" t="str">
        <x:f>IF(AND('中古車掲載'!C546="One2car",'中古車掲載'!F546="Corolla Cross",'中古車掲載'!L546="HEV PREMIUM",'中古車掲載'!J546=2023,ISNUMBER('中古車掲載'!N546),'中古車掲載'!N546&gt;=20000,'中古車掲載'!O546&lt;=100000,'中古車掲載'!AL546=1,'中古車掲載'!Z546="https://www.one2car.com/en/cars-for-sale/toyota/corolla-cross/year-2023"),'中古車掲載'!U546,"")</x:f>
      </x:c>
      <x:c r="BG545" s="3" t="str">
        <x:f>IF(AND('中古車掲載'!C546="One2car",'中古車掲載'!F546="Corolla Cross",'中古車掲載'!L546="HEV GR SPORT",'中古車掲載'!J546=2023,ISNUMBER('中古車掲載'!N546),'中古車掲載'!N546&gt;=20000,'中古車掲載'!O546&lt;=100000,'中古車掲載'!AL546=1,'中古車掲載'!Z546="https://www.one2car.com/en/cars-for-sale/toyota/corolla-cross/year-2023"),'中古車掲載'!U546,"")</x:f>
      </x:c>
      <x:c r="BH545" s="3" t="str">
        <x:f>IF(AND('中古車掲載'!C546="One2car",'中古車掲載'!F546="DOLPHIN",'中古車掲載'!L546="STANDARD RANGE",'中古車掲載'!J546=2023,ISNUMBER('中古車掲載'!N546),'中古車掲載'!N546&gt;=20000,'中古車掲載'!O546&lt;=100000,'中古車掲載'!AL546=1),'中古車掲載'!U546,"")</x:f>
      </x:c>
      <x:c r="BI545" s="3" t="str">
        <x:v>Taladrod|Fortuner|ICE|Unknown</x:v>
      </x:c>
      <x:c r="BJ545" s="3" t="n">
        <x:v>546</x:v>
      </x:c>
      <x:c r="BK545" s="3" t="n">
        <x:f>'中古車掲載'!AM546</x:f>
        <x:v>829000</x:v>
      </x:c>
      <x:c r="BL545" s="3" t="str">
        <x:f>IF(ISNUMBER('中古車掲載'!AN546),'中古車掲載'!AN546,"")</x:f>
      </x:c>
      <x:c r="BM545" s="3"/>
      <x:c r="BN545" s="3"/>
      <x:c r="BO545" s="3"/>
      <x:c r="BP545" s="3"/>
      <x:c r="BQ545" s="3"/>
      <x:c r="BR545" s="3"/>
    </x:row>
    <x:row r="546" ht="22" customHeight="1">
      <x:c r="A546" s="3" t="str">
        <x:v>Hilux Revo</x:v>
      </x:c>
      <x:c r="B546" s="3" t="str">
        <x:v>ICE</x:v>
      </x:c>
      <x:c r="C546" s="3" t="str">
        <x:v>Taladrod</x:v>
      </x:c>
      <x:c r="D546" s="3" t="str">
        <x:v>Pickup</x:v>
      </x:c>
      <x:c r="E546" s="3" t="str">
        <x:v>Double cab</x:v>
      </x:c>
      <x:c r="F546" s="3" t="n">
        <x:v>2022</x:v>
      </x:c>
      <x:c r="G546" s="3" t="str">
        <x:v>2.8 HIGH 4WD DOUBLE CAB</x:v>
      </x:c>
      <x:c r="H546" s="3" t="str">
        <x:v>未掲載</x:v>
      </x:c>
      <x:c r="I546" s="3" t="str">
        <x:v>世代不明</x:v>
      </x:c>
      <x:c r="J546" s="22" t="n">
        <x:f>COUNT('中古車掲載'!AM829:AM829)</x:f>
        <x:v>1</x:v>
      </x:c>
      <x:c r="K546" s="22" t="n">
        <x:f>IF(COUNT('中古車掲載'!AM829:AM829)=0,"",QUARTILE('中古車掲載'!AM829:AM829,1))</x:f>
        <x:v>899000</x:v>
      </x:c>
      <x:c r="L546" s="22" t="n">
        <x:f>IF(COUNT('中古車掲載'!AM829:AM829)=0,"",MEDIAN('中古車掲載'!AM829:AM829))</x:f>
        <x:v>899000</x:v>
      </x:c>
      <x:c r="M546" s="22" t="n">
        <x:f>IF(COUNT('中古車掲載'!AM829:AM829)=0,"",QUARTILE('中古車掲載'!AM829:AM829,3))</x:f>
        <x:v>899000</x:v>
      </x:c>
      <x:c r="N546" s="22" t="n">
        <x:f>COUNT('中古車掲載'!AN829:AN829)</x:f>
        <x:v>0</x:v>
      </x:c>
      <x:c r="O546" s="23" t="str">
        <x:f>IF(COUNT('中古車掲載'!AN829:AN829)=0,"",MEDIAN('中古車掲載'!AN829:AN829))</x:f>
      </x:c>
      <x:c r="P546" s="3"/>
      <x:c r="Q546" s="3"/>
      <x:c r="R546" s="3"/>
      <x:c r="S546" s="3"/>
      <x:c r="T546" s="3"/>
      <x:c r="U546" s="3"/>
      <x:c r="V546" s="3"/>
      <x:c r="W546" s="3"/>
      <x:c r="X546" s="3"/>
      <x:c r="Y546" s="3"/>
      <x:c r="Z546" s="3"/>
      <x:c r="AA546" s="3"/>
      <x:c r="AB546" s="3"/>
      <x:c r="AC546" s="3"/>
      <x:c r="AD546" s="3"/>
      <x:c r="AE546" s="3"/>
      <x:c r="AF546" s="3"/>
      <x:c r="AG546" s="3"/>
      <x:c r="AH546" s="3"/>
      <x:c r="AI546" s="3"/>
      <x:c r="AJ546" s="3"/>
      <x:c r="AK546" s="3"/>
      <x:c r="AL546" s="3"/>
      <x:c r="AM546" s="3"/>
      <x:c r="AN546" s="3"/>
      <x:c r="AO546" s="3"/>
      <x:c r="AP546" s="3"/>
      <x:c r="AQ546" s="3"/>
      <x:c r="AR546" s="3"/>
      <x:c r="AS546" s="3"/>
      <x:c r="AT546" s="3"/>
      <x:c r="AU546" s="3"/>
      <x:c r="AV546" s="3"/>
      <x:c r="AW546" s="3"/>
      <x:c r="AX546" s="3"/>
      <x:c r="AY546" s="3"/>
      <x:c r="AZ546" s="3" t="str">
        <x:f>IF(AND('中古車掲載'!C547="One2car",'中古車掲載'!F547="ATTO 3",'中古車掲載'!L547="EXTENDED RANGE",'中古車掲載'!J547=2023,ISNUMBER('中古車掲載'!N547),'中古車掲載'!N547&gt;=20000,'中古車掲載'!O547&lt;=100000,'中古車掲載'!AL547=1),'中古車掲載'!U547,"")</x:f>
      </x:c>
      <x:c r="BA546" s="3" t="str">
        <x:f>IF(AND('中古車掲載'!C547="One2car",'中古車掲載'!F547="Corolla Cross",'中古車掲載'!L547="HEV PREMIUM SAFETY",'中古車掲載'!J547=2023,ISNUMBER('中古車掲載'!N547),'中古車掲載'!N547&gt;=20000,'中古車掲載'!O547&lt;=100000,'中古車掲載'!AL547=1,'中古車掲載'!Z547="https://www.one2car.com/en/cars-for-sale/toyota/corolla-cross/year-2023"),'中古車掲載'!U547,"")</x:f>
      </x:c>
      <x:c r="BB546" s="3" t="str">
        <x:f>IF(AND('中古車掲載'!C547="One2car",'中古車掲載'!F547="ATTO 3",'中古車掲載'!L547="EXTENDED RANGE",'中古車掲載'!J547=2023,ISNUMBER('中古車掲載'!N547),'中古車掲載'!N547&gt;=50000,'中古車掲載'!O547&lt;=100000,'中古車掲載'!AL547=1),'中古車掲載'!U547,"")</x:f>
      </x:c>
      <x:c r="BC546" s="3" t="str">
        <x:f>IF(AND('中古車掲載'!C547="One2car",'中古車掲載'!F547="Corolla Cross",'中古車掲載'!L547="HEV PREMIUM SAFETY",'中古車掲載'!J547=2023,ISNUMBER('中古車掲載'!N547),'中古車掲載'!N547&gt;=50000,'中古車掲載'!O547&lt;=100000,'中古車掲載'!AL547=1,'中古車掲載'!Z547="https://www.one2car.com/en/cars-for-sale/toyota/corolla-cross/year-2023"),'中古車掲載'!U547,"")</x:f>
      </x:c>
      <x:c r="BD546" s="3" t="str">
        <x:f>IF(AND('中古車掲載'!C547="One2car",'中古車掲載'!F547="ATTO 3",'中古車掲載'!L547="EXTENDED RANGE",'中古車掲載'!J547=2023,ISNUMBER('中古車掲載'!N547),'中古車掲載'!N547&gt;=20000,'中古車掲載'!O547&lt;=50000,'中古車掲載'!AL547=1),'中古車掲載'!U547,"")</x:f>
      </x:c>
      <x:c r="BE546" s="3" t="str">
        <x:f>IF(AND('中古車掲載'!C547="One2car",'中古車掲載'!F547="Corolla Cross",'中古車掲載'!L547="HEV PREMIUM SAFETY",'中古車掲載'!J547=2023,ISNUMBER('中古車掲載'!N547),'中古車掲載'!N547&gt;=20000,'中古車掲載'!O547&lt;=50000,'中古車掲載'!AL547=1,'中古車掲載'!Z547="https://www.one2car.com/en/cars-for-sale/toyota/corolla-cross/year-2023"),'中古車掲載'!U547,"")</x:f>
      </x:c>
      <x:c r="BF546" s="3" t="str">
        <x:f>IF(AND('中古車掲載'!C547="One2car",'中古車掲載'!F547="Corolla Cross",'中古車掲載'!L547="HEV PREMIUM",'中古車掲載'!J547=2023,ISNUMBER('中古車掲載'!N547),'中古車掲載'!N547&gt;=20000,'中古車掲載'!O547&lt;=100000,'中古車掲載'!AL547=1,'中古車掲載'!Z547="https://www.one2car.com/en/cars-for-sale/toyota/corolla-cross/year-2023"),'中古車掲載'!U547,"")</x:f>
      </x:c>
      <x:c r="BG546" s="3" t="str">
        <x:f>IF(AND('中古車掲載'!C547="One2car",'中古車掲載'!F547="Corolla Cross",'中古車掲載'!L547="HEV GR SPORT",'中古車掲載'!J547=2023,ISNUMBER('中古車掲載'!N547),'中古車掲載'!N547&gt;=20000,'中古車掲載'!O547&lt;=100000,'中古車掲載'!AL547=1,'中古車掲載'!Z547="https://www.one2car.com/en/cars-for-sale/toyota/corolla-cross/year-2023"),'中古車掲載'!U547,"")</x:f>
      </x:c>
      <x:c r="BH546" s="3" t="str">
        <x:f>IF(AND('中古車掲載'!C547="One2car",'中古車掲載'!F547="DOLPHIN",'中古車掲載'!L547="STANDARD RANGE",'中古車掲載'!J547=2023,ISNUMBER('中古車掲載'!N547),'中古車掲載'!N547&gt;=20000,'中古車掲載'!O547&lt;=100000,'中古車掲載'!AL547=1),'中古車掲載'!U547,"")</x:f>
      </x:c>
      <x:c r="BI546" s="3" t="str">
        <x:v>Taladrod|Fortuner|ICE|Unknown</x:v>
      </x:c>
      <x:c r="BJ546" s="3" t="n">
        <x:v>547</x:v>
      </x:c>
      <x:c r="BK546" s="3" t="n">
        <x:f>'中古車掲載'!AM547</x:f>
        <x:v>849000</x:v>
      </x:c>
      <x:c r="BL546" s="3" t="str">
        <x:f>IF(ISNUMBER('中古車掲載'!AN547),'中古車掲載'!AN547,"")</x:f>
      </x:c>
      <x:c r="BM546" s="3"/>
      <x:c r="BN546" s="3"/>
      <x:c r="BO546" s="3"/>
      <x:c r="BP546" s="3"/>
      <x:c r="BQ546" s="3"/>
      <x:c r="BR546" s="3"/>
    </x:row>
    <x:row r="547" ht="22" customHeight="1">
      <x:c r="A547" s="3" t="str">
        <x:v>Hilux Revo</x:v>
      </x:c>
      <x:c r="B547" s="3" t="str">
        <x:v>ICE</x:v>
      </x:c>
      <x:c r="C547" s="3" t="str">
        <x:v>Taladrod</x:v>
      </x:c>
      <x:c r="D547" s="3" t="str">
        <x:v>Pickup</x:v>
      </x:c>
      <x:c r="E547" s="3" t="str">
        <x:v>Double cab</x:v>
      </x:c>
      <x:c r="F547" s="3" t="n">
        <x:v>2023</x:v>
      </x:c>
      <x:c r="G547" s="3" t="str">
        <x:v>2.4 ENTRY PRERUNNER DOUBLE CAB</x:v>
      </x:c>
      <x:c r="H547" s="3" t="str">
        <x:v>未掲載</x:v>
      </x:c>
      <x:c r="I547" s="3" t="str">
        <x:v>世代不明</x:v>
      </x:c>
      <x:c r="J547" s="22" t="n">
        <x:f>COUNT('中古車掲載'!AM831:AM832)</x:f>
        <x:v>2</x:v>
      </x:c>
      <x:c r="K547" s="22" t="n">
        <x:f>IF(COUNT('中古車掲載'!AM831:AM832)=0,"",QUARTILE('中古車掲載'!AM831:AM832,1))</x:f>
        <x:v>630750</x:v>
      </x:c>
      <x:c r="L547" s="22" t="n">
        <x:f>IF(COUNT('中古車掲載'!AM831:AM832)=0,"",MEDIAN('中古車掲載'!AM831:AM832))</x:f>
        <x:v>633500</x:v>
      </x:c>
      <x:c r="M547" s="22" t="n">
        <x:f>IF(COUNT('中古車掲載'!AM831:AM832)=0,"",QUARTILE('中古車掲載'!AM831:AM832,3))</x:f>
        <x:v>636250</x:v>
      </x:c>
      <x:c r="N547" s="22" t="n">
        <x:f>COUNT('中古車掲載'!AN831:AN832)</x:f>
        <x:v>0</x:v>
      </x:c>
      <x:c r="O547" s="23" t="str">
        <x:f>IF(COUNT('中古車掲載'!AN831:AN832)=0,"",MEDIAN('中古車掲載'!AN831:AN832))</x:f>
      </x:c>
      <x:c r="P547" s="3"/>
      <x:c r="Q547" s="3"/>
      <x:c r="R547" s="3"/>
      <x:c r="S547" s="3"/>
      <x:c r="T547" s="3"/>
      <x:c r="U547" s="3"/>
      <x:c r="V547" s="3"/>
      <x:c r="W547" s="3"/>
      <x:c r="X547" s="3"/>
      <x:c r="Y547" s="3"/>
      <x:c r="Z547" s="3"/>
      <x:c r="AA547" s="3"/>
      <x:c r="AB547" s="3"/>
      <x:c r="AC547" s="3"/>
      <x:c r="AD547" s="3"/>
      <x:c r="AE547" s="3"/>
      <x:c r="AF547" s="3"/>
      <x:c r="AG547" s="3"/>
      <x:c r="AH547" s="3"/>
      <x:c r="AI547" s="3"/>
      <x:c r="AJ547" s="3"/>
      <x:c r="AK547" s="3"/>
      <x:c r="AL547" s="3"/>
      <x:c r="AM547" s="3"/>
      <x:c r="AN547" s="3"/>
      <x:c r="AO547" s="3"/>
      <x:c r="AP547" s="3"/>
      <x:c r="AQ547" s="3"/>
      <x:c r="AR547" s="3"/>
      <x:c r="AS547" s="3"/>
      <x:c r="AT547" s="3"/>
      <x:c r="AU547" s="3"/>
      <x:c r="AV547" s="3"/>
      <x:c r="AW547" s="3"/>
      <x:c r="AX547" s="3"/>
      <x:c r="AY547" s="3"/>
      <x:c r="AZ547" s="3" t="str">
        <x:f>IF(AND('中古車掲載'!C548="One2car",'中古車掲載'!F548="ATTO 3",'中古車掲載'!L548="EXTENDED RANGE",'中古車掲載'!J548=2023,ISNUMBER('中古車掲載'!N548),'中古車掲載'!N548&gt;=20000,'中古車掲載'!O548&lt;=100000,'中古車掲載'!AL548=1),'中古車掲載'!U548,"")</x:f>
      </x:c>
      <x:c r="BA547" s="3" t="str">
        <x:f>IF(AND('中古車掲載'!C548="One2car",'中古車掲載'!F548="Corolla Cross",'中古車掲載'!L548="HEV PREMIUM SAFETY",'中古車掲載'!J548=2023,ISNUMBER('中古車掲載'!N548),'中古車掲載'!N548&gt;=20000,'中古車掲載'!O548&lt;=100000,'中古車掲載'!AL548=1,'中古車掲載'!Z548="https://www.one2car.com/en/cars-for-sale/toyota/corolla-cross/year-2023"),'中古車掲載'!U548,"")</x:f>
      </x:c>
      <x:c r="BB547" s="3" t="str">
        <x:f>IF(AND('中古車掲載'!C548="One2car",'中古車掲載'!F548="ATTO 3",'中古車掲載'!L548="EXTENDED RANGE",'中古車掲載'!J548=2023,ISNUMBER('中古車掲載'!N548),'中古車掲載'!N548&gt;=50000,'中古車掲載'!O548&lt;=100000,'中古車掲載'!AL548=1),'中古車掲載'!U548,"")</x:f>
      </x:c>
      <x:c r="BC547" s="3" t="str">
        <x:f>IF(AND('中古車掲載'!C548="One2car",'中古車掲載'!F548="Corolla Cross",'中古車掲載'!L548="HEV PREMIUM SAFETY",'中古車掲載'!J548=2023,ISNUMBER('中古車掲載'!N548),'中古車掲載'!N548&gt;=50000,'中古車掲載'!O548&lt;=100000,'中古車掲載'!AL548=1,'中古車掲載'!Z548="https://www.one2car.com/en/cars-for-sale/toyota/corolla-cross/year-2023"),'中古車掲載'!U548,"")</x:f>
      </x:c>
      <x:c r="BD547" s="3" t="str">
        <x:f>IF(AND('中古車掲載'!C548="One2car",'中古車掲載'!F548="ATTO 3",'中古車掲載'!L548="EXTENDED RANGE",'中古車掲載'!J548=2023,ISNUMBER('中古車掲載'!N548),'中古車掲載'!N548&gt;=20000,'中古車掲載'!O548&lt;=50000,'中古車掲載'!AL548=1),'中古車掲載'!U548,"")</x:f>
      </x:c>
      <x:c r="BE547" s="3" t="str">
        <x:f>IF(AND('中古車掲載'!C548="One2car",'中古車掲載'!F548="Corolla Cross",'中古車掲載'!L548="HEV PREMIUM SAFETY",'中古車掲載'!J548=2023,ISNUMBER('中古車掲載'!N548),'中古車掲載'!N548&gt;=20000,'中古車掲載'!O548&lt;=50000,'中古車掲載'!AL548=1,'中古車掲載'!Z548="https://www.one2car.com/en/cars-for-sale/toyota/corolla-cross/year-2023"),'中古車掲載'!U548,"")</x:f>
      </x:c>
      <x:c r="BF547" s="3" t="str">
        <x:f>IF(AND('中古車掲載'!C548="One2car",'中古車掲載'!F548="Corolla Cross",'中古車掲載'!L548="HEV PREMIUM",'中古車掲載'!J548=2023,ISNUMBER('中古車掲載'!N548),'中古車掲載'!N548&gt;=20000,'中古車掲載'!O548&lt;=100000,'中古車掲載'!AL548=1,'中古車掲載'!Z548="https://www.one2car.com/en/cars-for-sale/toyota/corolla-cross/year-2023"),'中古車掲載'!U548,"")</x:f>
      </x:c>
      <x:c r="BG547" s="3" t="str">
        <x:f>IF(AND('中古車掲載'!C548="One2car",'中古車掲載'!F548="Corolla Cross",'中古車掲載'!L548="HEV GR SPORT",'中古車掲載'!J548=2023,ISNUMBER('中古車掲載'!N548),'中古車掲載'!N548&gt;=20000,'中古車掲載'!O548&lt;=100000,'中古車掲載'!AL548=1,'中古車掲載'!Z548="https://www.one2car.com/en/cars-for-sale/toyota/corolla-cross/year-2023"),'中古車掲載'!U548,"")</x:f>
      </x:c>
      <x:c r="BH547" s="3" t="str">
        <x:f>IF(AND('中古車掲載'!C548="One2car",'中古車掲載'!F548="DOLPHIN",'中古車掲載'!L548="STANDARD RANGE",'中古車掲載'!J548=2023,ISNUMBER('中古車掲載'!N548),'中古車掲載'!N548&gt;=20000,'中古車掲載'!O548&lt;=100000,'中古車掲載'!AL548=1),'中古車掲載'!U548,"")</x:f>
      </x:c>
      <x:c r="BI547" s="3" t="str">
        <x:v>Taladrod|Fortuner|ICE|Unknown</x:v>
      </x:c>
      <x:c r="BJ547" s="3" t="n">
        <x:v>548</x:v>
      </x:c>
      <x:c r="BK547" s="3" t="n">
        <x:f>'中古車掲載'!AM548</x:f>
        <x:v>804000</x:v>
      </x:c>
      <x:c r="BL547" s="3" t="str">
        <x:f>IF(ISNUMBER('中古車掲載'!AN548),'中古車掲載'!AN548,"")</x:f>
      </x:c>
      <x:c r="BM547" s="3"/>
      <x:c r="BN547" s="3"/>
      <x:c r="BO547" s="3"/>
      <x:c r="BP547" s="3"/>
      <x:c r="BQ547" s="3"/>
      <x:c r="BR547" s="3"/>
    </x:row>
    <x:row r="548" ht="22" customHeight="1">
      <x:c r="A548" s="3" t="str">
        <x:v>Hilux Revo</x:v>
      </x:c>
      <x:c r="B548" s="3" t="str">
        <x:v>ICE</x:v>
      </x:c>
      <x:c r="C548" s="3" t="str">
        <x:v>Taladrod</x:v>
      </x:c>
      <x:c r="D548" s="3" t="str">
        <x:v>Pickup</x:v>
      </x:c>
      <x:c r="E548" s="3" t="str">
        <x:v>Double cab</x:v>
      </x:c>
      <x:c r="F548" s="3" t="n">
        <x:v>2023</x:v>
      </x:c>
      <x:c r="G548" s="3" t="str">
        <x:v>2.4 ENTRY Z EDITION DOUBLE CAB</x:v>
      </x:c>
      <x:c r="H548" s="3" t="str">
        <x:v>未掲載</x:v>
      </x:c>
      <x:c r="I548" s="3" t="str">
        <x:v>世代不明</x:v>
      </x:c>
      <x:c r="J548" s="22" t="n">
        <x:f>COUNT('中古車掲載'!AM840:AM842)</x:f>
        <x:v>3</x:v>
      </x:c>
      <x:c r="K548" s="22" t="n">
        <x:f>IF(COUNT('中古車掲載'!AM840:AM842)=0,"",QUARTILE('中古車掲載'!AM840:AM842,1))</x:f>
        <x:v>505000</x:v>
      </x:c>
      <x:c r="L548" s="22" t="n">
        <x:f>IF(COUNT('中古車掲載'!AM840:AM842)=0,"",MEDIAN('中古車掲載'!AM840:AM842))</x:f>
        <x:v>515000</x:v>
      </x:c>
      <x:c r="M548" s="22" t="n">
        <x:f>IF(COUNT('中古車掲載'!AM840:AM842)=0,"",QUARTILE('中古車掲載'!AM840:AM842,3))</x:f>
        <x:v>541500</x:v>
      </x:c>
      <x:c r="N548" s="22" t="n">
        <x:f>COUNT('中古車掲載'!AN840:AN842)</x:f>
        <x:v>0</x:v>
      </x:c>
      <x:c r="O548" s="23" t="str">
        <x:f>IF(COUNT('中古車掲載'!AN840:AN842)=0,"",MEDIAN('中古車掲載'!AN840:AN842))</x:f>
      </x:c>
      <x:c r="P548" s="3"/>
      <x:c r="Q548" s="3"/>
      <x:c r="R548" s="3"/>
      <x:c r="S548" s="3"/>
      <x:c r="T548" s="3"/>
      <x:c r="U548" s="3"/>
      <x:c r="V548" s="3"/>
      <x:c r="W548" s="3"/>
      <x:c r="X548" s="3"/>
      <x:c r="Y548" s="3"/>
      <x:c r="Z548" s="3"/>
      <x:c r="AA548" s="3"/>
      <x:c r="AB548" s="3"/>
      <x:c r="AC548" s="3"/>
      <x:c r="AD548" s="3"/>
      <x:c r="AE548" s="3"/>
      <x:c r="AF548" s="3"/>
      <x:c r="AG548" s="3"/>
      <x:c r="AH548" s="3"/>
      <x:c r="AI548" s="3"/>
      <x:c r="AJ548" s="3"/>
      <x:c r="AK548" s="3"/>
      <x:c r="AL548" s="3"/>
      <x:c r="AM548" s="3"/>
      <x:c r="AN548" s="3"/>
      <x:c r="AO548" s="3"/>
      <x:c r="AP548" s="3"/>
      <x:c r="AQ548" s="3"/>
      <x:c r="AR548" s="3"/>
      <x:c r="AS548" s="3"/>
      <x:c r="AT548" s="3"/>
      <x:c r="AU548" s="3"/>
      <x:c r="AV548" s="3"/>
      <x:c r="AW548" s="3"/>
      <x:c r="AX548" s="3"/>
      <x:c r="AY548" s="3"/>
      <x:c r="AZ548" s="3" t="str">
        <x:f>IF(AND('中古車掲載'!C549="One2car",'中古車掲載'!F549="ATTO 3",'中古車掲載'!L549="EXTENDED RANGE",'中古車掲載'!J549=2023,ISNUMBER('中古車掲載'!N549),'中古車掲載'!N549&gt;=20000,'中古車掲載'!O549&lt;=100000,'中古車掲載'!AL549=1),'中古車掲載'!U549,"")</x:f>
      </x:c>
      <x:c r="BA548" s="3" t="str">
        <x:f>IF(AND('中古車掲載'!C549="One2car",'中古車掲載'!F549="Corolla Cross",'中古車掲載'!L549="HEV PREMIUM SAFETY",'中古車掲載'!J549=2023,ISNUMBER('中古車掲載'!N549),'中古車掲載'!N549&gt;=20000,'中古車掲載'!O549&lt;=100000,'中古車掲載'!AL549=1,'中古車掲載'!Z549="https://www.one2car.com/en/cars-for-sale/toyota/corolla-cross/year-2023"),'中古車掲載'!U549,"")</x:f>
      </x:c>
      <x:c r="BB548" s="3" t="str">
        <x:f>IF(AND('中古車掲載'!C549="One2car",'中古車掲載'!F549="ATTO 3",'中古車掲載'!L549="EXTENDED RANGE",'中古車掲載'!J549=2023,ISNUMBER('中古車掲載'!N549),'中古車掲載'!N549&gt;=50000,'中古車掲載'!O549&lt;=100000,'中古車掲載'!AL549=1),'中古車掲載'!U549,"")</x:f>
      </x:c>
      <x:c r="BC548" s="3" t="str">
        <x:f>IF(AND('中古車掲載'!C549="One2car",'中古車掲載'!F549="Corolla Cross",'中古車掲載'!L549="HEV PREMIUM SAFETY",'中古車掲載'!J549=2023,ISNUMBER('中古車掲載'!N549),'中古車掲載'!N549&gt;=50000,'中古車掲載'!O549&lt;=100000,'中古車掲載'!AL549=1,'中古車掲載'!Z549="https://www.one2car.com/en/cars-for-sale/toyota/corolla-cross/year-2023"),'中古車掲載'!U549,"")</x:f>
      </x:c>
      <x:c r="BD548" s="3" t="str">
        <x:f>IF(AND('中古車掲載'!C549="One2car",'中古車掲載'!F549="ATTO 3",'中古車掲載'!L549="EXTENDED RANGE",'中古車掲載'!J549=2023,ISNUMBER('中古車掲載'!N549),'中古車掲載'!N549&gt;=20000,'中古車掲載'!O549&lt;=50000,'中古車掲載'!AL549=1),'中古車掲載'!U549,"")</x:f>
      </x:c>
      <x:c r="BE548" s="3" t="str">
        <x:f>IF(AND('中古車掲載'!C549="One2car",'中古車掲載'!F549="Corolla Cross",'中古車掲載'!L549="HEV PREMIUM SAFETY",'中古車掲載'!J549=2023,ISNUMBER('中古車掲載'!N549),'中古車掲載'!N549&gt;=20000,'中古車掲載'!O549&lt;=50000,'中古車掲載'!AL549=1,'中古車掲載'!Z549="https://www.one2car.com/en/cars-for-sale/toyota/corolla-cross/year-2023"),'中古車掲載'!U549,"")</x:f>
      </x:c>
      <x:c r="BF548" s="3" t="str">
        <x:f>IF(AND('中古車掲載'!C549="One2car",'中古車掲載'!F549="Corolla Cross",'中古車掲載'!L549="HEV PREMIUM",'中古車掲載'!J549=2023,ISNUMBER('中古車掲載'!N549),'中古車掲載'!N549&gt;=20000,'中古車掲載'!O549&lt;=100000,'中古車掲載'!AL549=1,'中古車掲載'!Z549="https://www.one2car.com/en/cars-for-sale/toyota/corolla-cross/year-2023"),'中古車掲載'!U549,"")</x:f>
      </x:c>
      <x:c r="BG548" s="3" t="str">
        <x:f>IF(AND('中古車掲載'!C549="One2car",'中古車掲載'!F549="Corolla Cross",'中古車掲載'!L549="HEV GR SPORT",'中古車掲載'!J549=2023,ISNUMBER('中古車掲載'!N549),'中古車掲載'!N549&gt;=20000,'中古車掲載'!O549&lt;=100000,'中古車掲載'!AL549=1,'中古車掲載'!Z549="https://www.one2car.com/en/cars-for-sale/toyota/corolla-cross/year-2023"),'中古車掲載'!U549,"")</x:f>
      </x:c>
      <x:c r="BH548" s="3" t="str">
        <x:f>IF(AND('中古車掲載'!C549="One2car",'中古車掲載'!F549="DOLPHIN",'中古車掲載'!L549="STANDARD RANGE",'中古車掲載'!J549=2023,ISNUMBER('中古車掲載'!N549),'中古車掲載'!N549&gt;=20000,'中古車掲載'!O549&lt;=100000,'中古車掲載'!AL549=1),'中古車掲載'!U549,"")</x:f>
      </x:c>
      <x:c r="BI548" s="3" t="str">
        <x:v>Taladrod|Fortuner|ICE|Unknown</x:v>
      </x:c>
      <x:c r="BJ548" s="3" t="n">
        <x:v>549</x:v>
      </x:c>
      <x:c r="BK548" s="3" t="n">
        <x:f>'中古車掲載'!AM549</x:f>
        <x:v>849000</x:v>
      </x:c>
      <x:c r="BL548" s="3" t="str">
        <x:f>IF(ISNUMBER('中古車掲載'!AN549),'中古車掲載'!AN549,"")</x:f>
      </x:c>
      <x:c r="BM548" s="3"/>
      <x:c r="BN548" s="3"/>
      <x:c r="BO548" s="3"/>
      <x:c r="BP548" s="3"/>
      <x:c r="BQ548" s="3"/>
      <x:c r="BR548" s="3"/>
    </x:row>
    <x:row r="549" ht="22" customHeight="1">
      <x:c r="A549" s="3" t="str">
        <x:v>Hilux Revo</x:v>
      </x:c>
      <x:c r="B549" s="3" t="str">
        <x:v>ICE</x:v>
      </x:c>
      <x:c r="C549" s="3" t="str">
        <x:v>Taladrod</x:v>
      </x:c>
      <x:c r="D549" s="3" t="str">
        <x:v>Pickup</x:v>
      </x:c>
      <x:c r="E549" s="3" t="str">
        <x:v>Double cab</x:v>
      </x:c>
      <x:c r="F549" s="3" t="n">
        <x:v>2023</x:v>
      </x:c>
      <x:c r="G549" s="3" t="str">
        <x:v>2.4 MID PRERUNNER DOUBLE CAB</x:v>
      </x:c>
      <x:c r="H549" s="3" t="str">
        <x:v>未掲載</x:v>
      </x:c>
      <x:c r="I549" s="3" t="str">
        <x:v>世代不明</x:v>
      </x:c>
      <x:c r="J549" s="22" t="n">
        <x:f>COUNT('中古車掲載'!AM850:AM856)</x:f>
        <x:v>7</x:v>
      </x:c>
      <x:c r="K549" s="22" t="n">
        <x:f>IF(COUNT('中古車掲載'!AM850:AM856)=0,"",QUARTILE('中古車掲載'!AM850:AM856,1))</x:f>
        <x:v>664500</x:v>
      </x:c>
      <x:c r="L549" s="22" t="n">
        <x:f>IF(COUNT('中古車掲載'!AM850:AM856)=0,"",MEDIAN('中古車掲載'!AM850:AM856))</x:f>
        <x:v>699000</x:v>
      </x:c>
      <x:c r="M549" s="22" t="n">
        <x:f>IF(COUNT('中古車掲載'!AM850:AM856)=0,"",QUARTILE('中古車掲載'!AM850:AM856,3))</x:f>
        <x:v>724000</x:v>
      </x:c>
      <x:c r="N549" s="22" t="n">
        <x:f>COUNT('中古車掲載'!AN850:AN856)</x:f>
        <x:v>0</x:v>
      </x:c>
      <x:c r="O549" s="23" t="str">
        <x:f>IF(COUNT('中古車掲載'!AN850:AN856)=0,"",MEDIAN('中古車掲載'!AN850:AN856))</x:f>
      </x:c>
      <x:c r="P549" s="3"/>
      <x:c r="Q549" s="3"/>
      <x:c r="R549" s="3"/>
      <x:c r="S549" s="3"/>
      <x:c r="T549" s="3"/>
      <x:c r="U549" s="3"/>
      <x:c r="V549" s="3"/>
      <x:c r="W549" s="3"/>
      <x:c r="X549" s="3"/>
      <x:c r="Y549" s="3"/>
      <x:c r="Z549" s="3"/>
      <x:c r="AA549" s="3"/>
      <x:c r="AB549" s="3"/>
      <x:c r="AC549" s="3"/>
      <x:c r="AD549" s="3"/>
      <x:c r="AE549" s="3"/>
      <x:c r="AF549" s="3"/>
      <x:c r="AG549" s="3"/>
      <x:c r="AH549" s="3"/>
      <x:c r="AI549" s="3"/>
      <x:c r="AJ549" s="3"/>
      <x:c r="AK549" s="3"/>
      <x:c r="AL549" s="3"/>
      <x:c r="AM549" s="3"/>
      <x:c r="AN549" s="3"/>
      <x:c r="AO549" s="3"/>
      <x:c r="AP549" s="3"/>
      <x:c r="AQ549" s="3"/>
      <x:c r="AR549" s="3"/>
      <x:c r="AS549" s="3"/>
      <x:c r="AT549" s="3"/>
      <x:c r="AU549" s="3"/>
      <x:c r="AV549" s="3"/>
      <x:c r="AW549" s="3"/>
      <x:c r="AX549" s="3"/>
      <x:c r="AY549" s="3"/>
      <x:c r="AZ549" s="3" t="str">
        <x:f>IF(AND('中古車掲載'!C550="One2car",'中古車掲載'!F550="ATTO 3",'中古車掲載'!L550="EXTENDED RANGE",'中古車掲載'!J550=2023,ISNUMBER('中古車掲載'!N550),'中古車掲載'!N550&gt;=20000,'中古車掲載'!O550&lt;=100000,'中古車掲載'!AL550=1),'中古車掲載'!U550,"")</x:f>
      </x:c>
      <x:c r="BA549" s="3" t="str">
        <x:f>IF(AND('中古車掲載'!C550="One2car",'中古車掲載'!F550="Corolla Cross",'中古車掲載'!L550="HEV PREMIUM SAFETY",'中古車掲載'!J550=2023,ISNUMBER('中古車掲載'!N550),'中古車掲載'!N550&gt;=20000,'中古車掲載'!O550&lt;=100000,'中古車掲載'!AL550=1,'中古車掲載'!Z550="https://www.one2car.com/en/cars-for-sale/toyota/corolla-cross/year-2023"),'中古車掲載'!U550,"")</x:f>
      </x:c>
      <x:c r="BB549" s="3" t="str">
        <x:f>IF(AND('中古車掲載'!C550="One2car",'中古車掲載'!F550="ATTO 3",'中古車掲載'!L550="EXTENDED RANGE",'中古車掲載'!J550=2023,ISNUMBER('中古車掲載'!N550),'中古車掲載'!N550&gt;=50000,'中古車掲載'!O550&lt;=100000,'中古車掲載'!AL550=1),'中古車掲載'!U550,"")</x:f>
      </x:c>
      <x:c r="BC549" s="3" t="str">
        <x:f>IF(AND('中古車掲載'!C550="One2car",'中古車掲載'!F550="Corolla Cross",'中古車掲載'!L550="HEV PREMIUM SAFETY",'中古車掲載'!J550=2023,ISNUMBER('中古車掲載'!N550),'中古車掲載'!N550&gt;=50000,'中古車掲載'!O550&lt;=100000,'中古車掲載'!AL550=1,'中古車掲載'!Z550="https://www.one2car.com/en/cars-for-sale/toyota/corolla-cross/year-2023"),'中古車掲載'!U550,"")</x:f>
      </x:c>
      <x:c r="BD549" s="3" t="str">
        <x:f>IF(AND('中古車掲載'!C550="One2car",'中古車掲載'!F550="ATTO 3",'中古車掲載'!L550="EXTENDED RANGE",'中古車掲載'!J550=2023,ISNUMBER('中古車掲載'!N550),'中古車掲載'!N550&gt;=20000,'中古車掲載'!O550&lt;=50000,'中古車掲載'!AL550=1),'中古車掲載'!U550,"")</x:f>
      </x:c>
      <x:c r="BE549" s="3" t="str">
        <x:f>IF(AND('中古車掲載'!C550="One2car",'中古車掲載'!F550="Corolla Cross",'中古車掲載'!L550="HEV PREMIUM SAFETY",'中古車掲載'!J550=2023,ISNUMBER('中古車掲載'!N550),'中古車掲載'!N550&gt;=20000,'中古車掲載'!O550&lt;=50000,'中古車掲載'!AL550=1,'中古車掲載'!Z550="https://www.one2car.com/en/cars-for-sale/toyota/corolla-cross/year-2023"),'中古車掲載'!U550,"")</x:f>
      </x:c>
      <x:c r="BF549" s="3" t="str">
        <x:f>IF(AND('中古車掲載'!C550="One2car",'中古車掲載'!F550="Corolla Cross",'中古車掲載'!L550="HEV PREMIUM",'中古車掲載'!J550=2023,ISNUMBER('中古車掲載'!N550),'中古車掲載'!N550&gt;=20000,'中古車掲載'!O550&lt;=100000,'中古車掲載'!AL550=1,'中古車掲載'!Z550="https://www.one2car.com/en/cars-for-sale/toyota/corolla-cross/year-2023"),'中古車掲載'!U550,"")</x:f>
      </x:c>
      <x:c r="BG549" s="3" t="str">
        <x:f>IF(AND('中古車掲載'!C550="One2car",'中古車掲載'!F550="Corolla Cross",'中古車掲載'!L550="HEV GR SPORT",'中古車掲載'!J550=2023,ISNUMBER('中古車掲載'!N550),'中古車掲載'!N550&gt;=20000,'中古車掲載'!O550&lt;=100000,'中古車掲載'!AL550=1,'中古車掲載'!Z550="https://www.one2car.com/en/cars-for-sale/toyota/corolla-cross/year-2023"),'中古車掲載'!U550,"")</x:f>
      </x:c>
      <x:c r="BH549" s="3" t="str">
        <x:f>IF(AND('中古車掲載'!C550="One2car",'中古車掲載'!F550="DOLPHIN",'中古車掲載'!L550="STANDARD RANGE",'中古車掲載'!J550=2023,ISNUMBER('中古車掲載'!N550),'中古車掲載'!N550&gt;=20000,'中古車掲載'!O550&lt;=100000,'中古車掲載'!AL550=1),'中古車掲載'!U550,"")</x:f>
      </x:c>
      <x:c r="BI549" s="3" t="str">
        <x:v>Taladrod|Fortuner|ICE|Unknown</x:v>
      </x:c>
      <x:c r="BJ549" s="3" t="n">
        <x:v>550</x:v>
      </x:c>
      <x:c r="BK549" s="3" t="n">
        <x:f>'中古車掲載'!AM550</x:f>
        <x:v>879000</x:v>
      </x:c>
      <x:c r="BL549" s="3" t="str">
        <x:f>IF(ISNUMBER('中古車掲載'!AN550),'中古車掲載'!AN550,"")</x:f>
      </x:c>
      <x:c r="BM549" s="3"/>
      <x:c r="BN549" s="3"/>
      <x:c r="BO549" s="3"/>
      <x:c r="BP549" s="3"/>
      <x:c r="BQ549" s="3"/>
      <x:c r="BR549" s="3"/>
    </x:row>
    <x:row r="550" ht="22" customHeight="1">
      <x:c r="A550" s="3" t="str">
        <x:v>Hilux Revo</x:v>
      </x:c>
      <x:c r="B550" s="3" t="str">
        <x:v>ICE</x:v>
      </x:c>
      <x:c r="C550" s="3" t="str">
        <x:v>Taladrod</x:v>
      </x:c>
      <x:c r="D550" s="3" t="str">
        <x:v>Pickup</x:v>
      </x:c>
      <x:c r="E550" s="3" t="str">
        <x:v>Double cab</x:v>
      </x:c>
      <x:c r="F550" s="3" t="n">
        <x:v>2023</x:v>
      </x:c>
      <x:c r="G550" s="3" t="str">
        <x:v>2.4 MID Z EDITION DOUBLE CAB</x:v>
      </x:c>
      <x:c r="H550" s="3" t="str">
        <x:v>未掲載</x:v>
      </x:c>
      <x:c r="I550" s="3" t="str">
        <x:v>世代不明</x:v>
      </x:c>
      <x:c r="J550" s="22" t="n">
        <x:f>COUNT('中古車掲載'!AM859:AM860)</x:f>
        <x:v>2</x:v>
      </x:c>
      <x:c r="K550" s="22" t="n">
        <x:f>IF(COUNT('中古車掲載'!AM859:AM860)=0,"",QUARTILE('中古車掲載'!AM859:AM860,1))</x:f>
        <x:v>500000</x:v>
      </x:c>
      <x:c r="L550" s="22" t="n">
        <x:f>IF(COUNT('中古車掲載'!AM859:AM860)=0,"",MEDIAN('中古車掲載'!AM859:AM860))</x:f>
        <x:v>540000</x:v>
      </x:c>
      <x:c r="M550" s="22" t="n">
        <x:f>IF(COUNT('中古車掲載'!AM859:AM860)=0,"",QUARTILE('中古車掲載'!AM859:AM860,3))</x:f>
        <x:v>580000</x:v>
      </x:c>
      <x:c r="N550" s="22" t="n">
        <x:f>COUNT('中古車掲載'!AN859:AN860)</x:f>
        <x:v>0</x:v>
      </x:c>
      <x:c r="O550" s="23" t="str">
        <x:f>IF(COUNT('中古車掲載'!AN859:AN860)=0,"",MEDIAN('中古車掲載'!AN859:AN860))</x:f>
      </x:c>
      <x:c r="P550" s="3"/>
      <x:c r="Q550" s="3"/>
      <x:c r="R550" s="3"/>
      <x:c r="S550" s="3"/>
      <x:c r="T550" s="3"/>
      <x:c r="U550" s="3"/>
      <x:c r="V550" s="3"/>
      <x:c r="W550" s="3"/>
      <x:c r="X550" s="3"/>
      <x:c r="Y550" s="3"/>
      <x:c r="Z550" s="3"/>
      <x:c r="AA550" s="3"/>
      <x:c r="AB550" s="3"/>
      <x:c r="AC550" s="3"/>
      <x:c r="AD550" s="3"/>
      <x:c r="AE550" s="3"/>
      <x:c r="AF550" s="3"/>
      <x:c r="AG550" s="3"/>
      <x:c r="AH550" s="3"/>
      <x:c r="AI550" s="3"/>
      <x:c r="AJ550" s="3"/>
      <x:c r="AK550" s="3"/>
      <x:c r="AL550" s="3"/>
      <x:c r="AM550" s="3"/>
      <x:c r="AN550" s="3"/>
      <x:c r="AO550" s="3"/>
      <x:c r="AP550" s="3"/>
      <x:c r="AQ550" s="3"/>
      <x:c r="AR550" s="3"/>
      <x:c r="AS550" s="3"/>
      <x:c r="AT550" s="3"/>
      <x:c r="AU550" s="3"/>
      <x:c r="AV550" s="3"/>
      <x:c r="AW550" s="3"/>
      <x:c r="AX550" s="3"/>
      <x:c r="AY550" s="3"/>
      <x:c r="AZ550" s="3" t="str">
        <x:f>IF(AND('中古車掲載'!C551="One2car",'中古車掲載'!F551="ATTO 3",'中古車掲載'!L551="EXTENDED RANGE",'中古車掲載'!J551=2023,ISNUMBER('中古車掲載'!N551),'中古車掲載'!N551&gt;=20000,'中古車掲載'!O551&lt;=100000,'中古車掲載'!AL551=1),'中古車掲載'!U551,"")</x:f>
      </x:c>
      <x:c r="BA550" s="3" t="str">
        <x:f>IF(AND('中古車掲載'!C551="One2car",'中古車掲載'!F551="Corolla Cross",'中古車掲載'!L551="HEV PREMIUM SAFETY",'中古車掲載'!J551=2023,ISNUMBER('中古車掲載'!N551),'中古車掲載'!N551&gt;=20000,'中古車掲載'!O551&lt;=100000,'中古車掲載'!AL551=1,'中古車掲載'!Z551="https://www.one2car.com/en/cars-for-sale/toyota/corolla-cross/year-2023"),'中古車掲載'!U551,"")</x:f>
      </x:c>
      <x:c r="BB550" s="3" t="str">
        <x:f>IF(AND('中古車掲載'!C551="One2car",'中古車掲載'!F551="ATTO 3",'中古車掲載'!L551="EXTENDED RANGE",'中古車掲載'!J551=2023,ISNUMBER('中古車掲載'!N551),'中古車掲載'!N551&gt;=50000,'中古車掲載'!O551&lt;=100000,'中古車掲載'!AL551=1),'中古車掲載'!U551,"")</x:f>
      </x:c>
      <x:c r="BC550" s="3" t="str">
        <x:f>IF(AND('中古車掲載'!C551="One2car",'中古車掲載'!F551="Corolla Cross",'中古車掲載'!L551="HEV PREMIUM SAFETY",'中古車掲載'!J551=2023,ISNUMBER('中古車掲載'!N551),'中古車掲載'!N551&gt;=50000,'中古車掲載'!O551&lt;=100000,'中古車掲載'!AL551=1,'中古車掲載'!Z551="https://www.one2car.com/en/cars-for-sale/toyota/corolla-cross/year-2023"),'中古車掲載'!U551,"")</x:f>
      </x:c>
      <x:c r="BD550" s="3" t="str">
        <x:f>IF(AND('中古車掲載'!C551="One2car",'中古車掲載'!F551="ATTO 3",'中古車掲載'!L551="EXTENDED RANGE",'中古車掲載'!J551=2023,ISNUMBER('中古車掲載'!N551),'中古車掲載'!N551&gt;=20000,'中古車掲載'!O551&lt;=50000,'中古車掲載'!AL551=1),'中古車掲載'!U551,"")</x:f>
      </x:c>
      <x:c r="BE550" s="3" t="str">
        <x:f>IF(AND('中古車掲載'!C551="One2car",'中古車掲載'!F551="Corolla Cross",'中古車掲載'!L551="HEV PREMIUM SAFETY",'中古車掲載'!J551=2023,ISNUMBER('中古車掲載'!N551),'中古車掲載'!N551&gt;=20000,'中古車掲載'!O551&lt;=50000,'中古車掲載'!AL551=1,'中古車掲載'!Z551="https://www.one2car.com/en/cars-for-sale/toyota/corolla-cross/year-2023"),'中古車掲載'!U551,"")</x:f>
      </x:c>
      <x:c r="BF550" s="3" t="str">
        <x:f>IF(AND('中古車掲載'!C551="One2car",'中古車掲載'!F551="Corolla Cross",'中古車掲載'!L551="HEV PREMIUM",'中古車掲載'!J551=2023,ISNUMBER('中古車掲載'!N551),'中古車掲載'!N551&gt;=20000,'中古車掲載'!O551&lt;=100000,'中古車掲載'!AL551=1,'中古車掲載'!Z551="https://www.one2car.com/en/cars-for-sale/toyota/corolla-cross/year-2023"),'中古車掲載'!U551,"")</x:f>
      </x:c>
      <x:c r="BG550" s="3" t="str">
        <x:f>IF(AND('中古車掲載'!C551="One2car",'中古車掲載'!F551="Corolla Cross",'中古車掲載'!L551="HEV GR SPORT",'中古車掲載'!J551=2023,ISNUMBER('中古車掲載'!N551),'中古車掲載'!N551&gt;=20000,'中古車掲載'!O551&lt;=100000,'中古車掲載'!AL551=1,'中古車掲載'!Z551="https://www.one2car.com/en/cars-for-sale/toyota/corolla-cross/year-2023"),'中古車掲載'!U551,"")</x:f>
      </x:c>
      <x:c r="BH550" s="3" t="str">
        <x:f>IF(AND('中古車掲載'!C551="One2car",'中古車掲載'!F551="DOLPHIN",'中古車掲載'!L551="STANDARD RANGE",'中古車掲載'!J551=2023,ISNUMBER('中古車掲載'!N551),'中古車掲載'!N551&gt;=20000,'中古車掲載'!O551&lt;=100000,'中古車掲載'!AL551=1),'中古車掲載'!U551,"")</x:f>
      </x:c>
      <x:c r="BI550" s="3" t="str">
        <x:v>Taladrod|Fortuner|ICE|Unknown</x:v>
      </x:c>
      <x:c r="BJ550" s="3" t="n">
        <x:v>551</x:v>
      </x:c>
      <x:c r="BK550" s="3" t="n">
        <x:f>'中古車掲載'!AM551</x:f>
        <x:v>929000</x:v>
      </x:c>
      <x:c r="BL550" s="3" t="str">
        <x:f>IF(ISNUMBER('中古車掲載'!AN551),'中古車掲載'!AN551,"")</x:f>
      </x:c>
      <x:c r="BM550" s="3"/>
      <x:c r="BN550" s="3"/>
      <x:c r="BO550" s="3"/>
      <x:c r="BP550" s="3"/>
      <x:c r="BQ550" s="3"/>
      <x:c r="BR550" s="3"/>
    </x:row>
    <x:row r="551" ht="22" customHeight="1">
      <x:c r="A551" s="3" t="str">
        <x:v>Hilux Revo</x:v>
      </x:c>
      <x:c r="B551" s="3" t="str">
        <x:v>ICE</x:v>
      </x:c>
      <x:c r="C551" s="3" t="str">
        <x:v>Taladrod</x:v>
      </x:c>
      <x:c r="D551" s="3" t="str">
        <x:v>Pickup</x:v>
      </x:c>
      <x:c r="E551" s="3" t="str">
        <x:v>Double cab</x:v>
      </x:c>
      <x:c r="F551" s="3" t="n">
        <x:v>2023</x:v>
      </x:c>
      <x:c r="G551" s="3" t="str">
        <x:v>2.4 PRERUNNER DOUBLE CAB</x:v>
      </x:c>
      <x:c r="H551" s="3" t="str">
        <x:v>未掲載</x:v>
      </x:c>
      <x:c r="I551" s="3" t="str">
        <x:v>世代不明</x:v>
      </x:c>
      <x:c r="J551" s="22" t="n">
        <x:f>COUNT('中古車掲載'!AM861:AM862)</x:f>
        <x:v>2</x:v>
      </x:c>
      <x:c r="K551" s="22" t="n">
        <x:f>IF(COUNT('中古車掲載'!AM861:AM862)=0,"",QUARTILE('中古車掲載'!AM861:AM862,1))</x:f>
        <x:v>769750</x:v>
      </x:c>
      <x:c r="L551" s="22" t="n">
        <x:f>IF(COUNT('中古車掲載'!AM861:AM862)=0,"",MEDIAN('中古車掲載'!AM861:AM862))</x:f>
        <x:v>779500</x:v>
      </x:c>
      <x:c r="M551" s="22" t="n">
        <x:f>IF(COUNT('中古車掲載'!AM861:AM862)=0,"",QUARTILE('中古車掲載'!AM861:AM862,3))</x:f>
        <x:v>789250</x:v>
      </x:c>
      <x:c r="N551" s="22" t="n">
        <x:f>COUNT('中古車掲載'!AN861:AN862)</x:f>
        <x:v>0</x:v>
      </x:c>
      <x:c r="O551" s="23" t="str">
        <x:f>IF(COUNT('中古車掲載'!AN861:AN862)=0,"",MEDIAN('中古車掲載'!AN861:AN862))</x:f>
      </x:c>
      <x:c r="P551" s="3"/>
      <x:c r="Q551" s="3"/>
      <x:c r="R551" s="3"/>
      <x:c r="S551" s="3"/>
      <x:c r="T551" s="3"/>
      <x:c r="U551" s="3"/>
      <x:c r="V551" s="3"/>
      <x:c r="W551" s="3"/>
      <x:c r="X551" s="3"/>
      <x:c r="Y551" s="3"/>
      <x:c r="Z551" s="3"/>
      <x:c r="AA551" s="3"/>
      <x:c r="AB551" s="3"/>
      <x:c r="AC551" s="3"/>
      <x:c r="AD551" s="3"/>
      <x:c r="AE551" s="3"/>
      <x:c r="AF551" s="3"/>
      <x:c r="AG551" s="3"/>
      <x:c r="AH551" s="3"/>
      <x:c r="AI551" s="3"/>
      <x:c r="AJ551" s="3"/>
      <x:c r="AK551" s="3"/>
      <x:c r="AL551" s="3"/>
      <x:c r="AM551" s="3"/>
      <x:c r="AN551" s="3"/>
      <x:c r="AO551" s="3"/>
      <x:c r="AP551" s="3"/>
      <x:c r="AQ551" s="3"/>
      <x:c r="AR551" s="3"/>
      <x:c r="AS551" s="3"/>
      <x:c r="AT551" s="3"/>
      <x:c r="AU551" s="3"/>
      <x:c r="AV551" s="3"/>
      <x:c r="AW551" s="3"/>
      <x:c r="AX551" s="3"/>
      <x:c r="AY551" s="3"/>
      <x:c r="AZ551" s="3" t="str">
        <x:f>IF(AND('中古車掲載'!C552="One2car",'中古車掲載'!F552="ATTO 3",'中古車掲載'!L552="EXTENDED RANGE",'中古車掲載'!J552=2023,ISNUMBER('中古車掲載'!N552),'中古車掲載'!N552&gt;=20000,'中古車掲載'!O552&lt;=100000,'中古車掲載'!AL552=1),'中古車掲載'!U552,"")</x:f>
      </x:c>
      <x:c r="BA551" s="3" t="str">
        <x:f>IF(AND('中古車掲載'!C552="One2car",'中古車掲載'!F552="Corolla Cross",'中古車掲載'!L552="HEV PREMIUM SAFETY",'中古車掲載'!J552=2023,ISNUMBER('中古車掲載'!N552),'中古車掲載'!N552&gt;=20000,'中古車掲載'!O552&lt;=100000,'中古車掲載'!AL552=1,'中古車掲載'!Z552="https://www.one2car.com/en/cars-for-sale/toyota/corolla-cross/year-2023"),'中古車掲載'!U552,"")</x:f>
      </x:c>
      <x:c r="BB551" s="3" t="str">
        <x:f>IF(AND('中古車掲載'!C552="One2car",'中古車掲載'!F552="ATTO 3",'中古車掲載'!L552="EXTENDED RANGE",'中古車掲載'!J552=2023,ISNUMBER('中古車掲載'!N552),'中古車掲載'!N552&gt;=50000,'中古車掲載'!O552&lt;=100000,'中古車掲載'!AL552=1),'中古車掲載'!U552,"")</x:f>
      </x:c>
      <x:c r="BC551" s="3" t="str">
        <x:f>IF(AND('中古車掲載'!C552="One2car",'中古車掲載'!F552="Corolla Cross",'中古車掲載'!L552="HEV PREMIUM SAFETY",'中古車掲載'!J552=2023,ISNUMBER('中古車掲載'!N552),'中古車掲載'!N552&gt;=50000,'中古車掲載'!O552&lt;=100000,'中古車掲載'!AL552=1,'中古車掲載'!Z552="https://www.one2car.com/en/cars-for-sale/toyota/corolla-cross/year-2023"),'中古車掲載'!U552,"")</x:f>
      </x:c>
      <x:c r="BD551" s="3" t="str">
        <x:f>IF(AND('中古車掲載'!C552="One2car",'中古車掲載'!F552="ATTO 3",'中古車掲載'!L552="EXTENDED RANGE",'中古車掲載'!J552=2023,ISNUMBER('中古車掲載'!N552),'中古車掲載'!N552&gt;=20000,'中古車掲載'!O552&lt;=50000,'中古車掲載'!AL552=1),'中古車掲載'!U552,"")</x:f>
      </x:c>
      <x:c r="BE551" s="3" t="str">
        <x:f>IF(AND('中古車掲載'!C552="One2car",'中古車掲載'!F552="Corolla Cross",'中古車掲載'!L552="HEV PREMIUM SAFETY",'中古車掲載'!J552=2023,ISNUMBER('中古車掲載'!N552),'中古車掲載'!N552&gt;=20000,'中古車掲載'!O552&lt;=50000,'中古車掲載'!AL552=1,'中古車掲載'!Z552="https://www.one2car.com/en/cars-for-sale/toyota/corolla-cross/year-2023"),'中古車掲載'!U552,"")</x:f>
      </x:c>
      <x:c r="BF551" s="3" t="str">
        <x:f>IF(AND('中古車掲載'!C552="One2car",'中古車掲載'!F552="Corolla Cross",'中古車掲載'!L552="HEV PREMIUM",'中古車掲載'!J552=2023,ISNUMBER('中古車掲載'!N552),'中古車掲載'!N552&gt;=20000,'中古車掲載'!O552&lt;=100000,'中古車掲載'!AL552=1,'中古車掲載'!Z552="https://www.one2car.com/en/cars-for-sale/toyota/corolla-cross/year-2023"),'中古車掲載'!U552,"")</x:f>
      </x:c>
      <x:c r="BG551" s="3" t="str">
        <x:f>IF(AND('中古車掲載'!C552="One2car",'中古車掲載'!F552="Corolla Cross",'中古車掲載'!L552="HEV GR SPORT",'中古車掲載'!J552=2023,ISNUMBER('中古車掲載'!N552),'中古車掲載'!N552&gt;=20000,'中古車掲載'!O552&lt;=100000,'中古車掲載'!AL552=1,'中古車掲載'!Z552="https://www.one2car.com/en/cars-for-sale/toyota/corolla-cross/year-2023"),'中古車掲載'!U552,"")</x:f>
      </x:c>
      <x:c r="BH551" s="3" t="str">
        <x:f>IF(AND('中古車掲載'!C552="One2car",'中古車掲載'!F552="DOLPHIN",'中古車掲載'!L552="STANDARD RANGE",'中古車掲載'!J552=2023,ISNUMBER('中古車掲載'!N552),'中古車掲載'!N552&gt;=20000,'中古車掲載'!O552&lt;=100000,'中古車掲載'!AL552=1),'中古車掲載'!U552,"")</x:f>
      </x:c>
      <x:c r="BI551" s="3" t="str">
        <x:v>Taladrod|Fortuner|ICE|Unknown</x:v>
      </x:c>
      <x:c r="BJ551" s="3" t="n">
        <x:v>552</x:v>
      </x:c>
      <x:c r="BK551" s="3" t="n">
        <x:f>'中古車掲載'!AM552</x:f>
        <x:v>959000</x:v>
      </x:c>
      <x:c r="BL551" s="3" t="str">
        <x:f>IF(ISNUMBER('中古車掲載'!AN552),'中古車掲載'!AN552,"")</x:f>
      </x:c>
      <x:c r="BM551" s="3"/>
      <x:c r="BN551" s="3"/>
      <x:c r="BO551" s="3"/>
      <x:c r="BP551" s="3"/>
      <x:c r="BQ551" s="3"/>
      <x:c r="BR551" s="3"/>
    </x:row>
    <x:row r="552" ht="22" customHeight="1">
      <x:c r="A552" s="3" t="str">
        <x:v>Hilux Revo</x:v>
      </x:c>
      <x:c r="B552" s="3" t="str">
        <x:v>ICE</x:v>
      </x:c>
      <x:c r="C552" s="3" t="str">
        <x:v>Taladrod</x:v>
      </x:c>
      <x:c r="D552" s="3" t="str">
        <x:v>Pickup</x:v>
      </x:c>
      <x:c r="E552" s="3" t="str">
        <x:v>Double cab</x:v>
      </x:c>
      <x:c r="F552" s="3" t="n">
        <x:v>2023</x:v>
      </x:c>
      <x:c r="G552" s="3" t="str">
        <x:v>2.8 HIGH 4WD DOUBLE CAB</x:v>
      </x:c>
      <x:c r="H552" s="3" t="str">
        <x:v>未掲載</x:v>
      </x:c>
      <x:c r="I552" s="3" t="str">
        <x:v>世代不明</x:v>
      </x:c>
      <x:c r="J552" s="22" t="n">
        <x:f>COUNT('中古車掲載'!AM866:AM866)</x:f>
        <x:v>1</x:v>
      </x:c>
      <x:c r="K552" s="22" t="n">
        <x:f>IF(COUNT('中古車掲載'!AM866:AM866)=0,"",QUARTILE('中古車掲載'!AM866:AM866,1))</x:f>
        <x:v>899000</x:v>
      </x:c>
      <x:c r="L552" s="22" t="n">
        <x:f>IF(COUNT('中古車掲載'!AM866:AM866)=0,"",MEDIAN('中古車掲載'!AM866:AM866))</x:f>
        <x:v>899000</x:v>
      </x:c>
      <x:c r="M552" s="22" t="n">
        <x:f>IF(COUNT('中古車掲載'!AM866:AM866)=0,"",QUARTILE('中古車掲載'!AM866:AM866,3))</x:f>
        <x:v>899000</x:v>
      </x:c>
      <x:c r="N552" s="22" t="n">
        <x:f>COUNT('中古車掲載'!AN866:AN866)</x:f>
        <x:v>0</x:v>
      </x:c>
      <x:c r="O552" s="23" t="str">
        <x:f>IF(COUNT('中古車掲載'!AN866:AN866)=0,"",MEDIAN('中古車掲載'!AN866:AN866))</x:f>
      </x:c>
      <x:c r="P552" s="3"/>
      <x:c r="Q552" s="3"/>
      <x:c r="R552" s="3"/>
      <x:c r="S552" s="3"/>
      <x:c r="T552" s="3"/>
      <x:c r="U552" s="3"/>
      <x:c r="V552" s="3"/>
      <x:c r="W552" s="3"/>
      <x:c r="X552" s="3"/>
      <x:c r="Y552" s="3"/>
      <x:c r="Z552" s="3"/>
      <x:c r="AA552" s="3"/>
      <x:c r="AB552" s="3"/>
      <x:c r="AC552" s="3"/>
      <x:c r="AD552" s="3"/>
      <x:c r="AE552" s="3"/>
      <x:c r="AF552" s="3"/>
      <x:c r="AG552" s="3"/>
      <x:c r="AH552" s="3"/>
      <x:c r="AI552" s="3"/>
      <x:c r="AJ552" s="3"/>
      <x:c r="AK552" s="3"/>
      <x:c r="AL552" s="3"/>
      <x:c r="AM552" s="3"/>
      <x:c r="AN552" s="3"/>
      <x:c r="AO552" s="3"/>
      <x:c r="AP552" s="3"/>
      <x:c r="AQ552" s="3"/>
      <x:c r="AR552" s="3"/>
      <x:c r="AS552" s="3"/>
      <x:c r="AT552" s="3"/>
      <x:c r="AU552" s="3"/>
      <x:c r="AV552" s="3"/>
      <x:c r="AW552" s="3"/>
      <x:c r="AX552" s="3"/>
      <x:c r="AY552" s="3"/>
      <x:c r="AZ552" s="3" t="str">
        <x:f>IF(AND('中古車掲載'!C553="One2car",'中古車掲載'!F553="ATTO 3",'中古車掲載'!L553="EXTENDED RANGE",'中古車掲載'!J553=2023,ISNUMBER('中古車掲載'!N553),'中古車掲載'!N553&gt;=20000,'中古車掲載'!O553&lt;=100000,'中古車掲載'!AL553=1),'中古車掲載'!U553,"")</x:f>
      </x:c>
      <x:c r="BA552" s="3" t="str">
        <x:f>IF(AND('中古車掲載'!C553="One2car",'中古車掲載'!F553="Corolla Cross",'中古車掲載'!L553="HEV PREMIUM SAFETY",'中古車掲載'!J553=2023,ISNUMBER('中古車掲載'!N553),'中古車掲載'!N553&gt;=20000,'中古車掲載'!O553&lt;=100000,'中古車掲載'!AL553=1,'中古車掲載'!Z553="https://www.one2car.com/en/cars-for-sale/toyota/corolla-cross/year-2023"),'中古車掲載'!U553,"")</x:f>
      </x:c>
      <x:c r="BB552" s="3" t="str">
        <x:f>IF(AND('中古車掲載'!C553="One2car",'中古車掲載'!F553="ATTO 3",'中古車掲載'!L553="EXTENDED RANGE",'中古車掲載'!J553=2023,ISNUMBER('中古車掲載'!N553),'中古車掲載'!N553&gt;=50000,'中古車掲載'!O553&lt;=100000,'中古車掲載'!AL553=1),'中古車掲載'!U553,"")</x:f>
      </x:c>
      <x:c r="BC552" s="3" t="str">
        <x:f>IF(AND('中古車掲載'!C553="One2car",'中古車掲載'!F553="Corolla Cross",'中古車掲載'!L553="HEV PREMIUM SAFETY",'中古車掲載'!J553=2023,ISNUMBER('中古車掲載'!N553),'中古車掲載'!N553&gt;=50000,'中古車掲載'!O553&lt;=100000,'中古車掲載'!AL553=1,'中古車掲載'!Z553="https://www.one2car.com/en/cars-for-sale/toyota/corolla-cross/year-2023"),'中古車掲載'!U553,"")</x:f>
      </x:c>
      <x:c r="BD552" s="3" t="str">
        <x:f>IF(AND('中古車掲載'!C553="One2car",'中古車掲載'!F553="ATTO 3",'中古車掲載'!L553="EXTENDED RANGE",'中古車掲載'!J553=2023,ISNUMBER('中古車掲載'!N553),'中古車掲載'!N553&gt;=20000,'中古車掲載'!O553&lt;=50000,'中古車掲載'!AL553=1),'中古車掲載'!U553,"")</x:f>
      </x:c>
      <x:c r="BE552" s="3" t="str">
        <x:f>IF(AND('中古車掲載'!C553="One2car",'中古車掲載'!F553="Corolla Cross",'中古車掲載'!L553="HEV PREMIUM SAFETY",'中古車掲載'!J553=2023,ISNUMBER('中古車掲載'!N553),'中古車掲載'!N553&gt;=20000,'中古車掲載'!O553&lt;=50000,'中古車掲載'!AL553=1,'中古車掲載'!Z553="https://www.one2car.com/en/cars-for-sale/toyota/corolla-cross/year-2023"),'中古車掲載'!U553,"")</x:f>
      </x:c>
      <x:c r="BF552" s="3" t="str">
        <x:f>IF(AND('中古車掲載'!C553="One2car",'中古車掲載'!F553="Corolla Cross",'中古車掲載'!L553="HEV PREMIUM",'中古車掲載'!J553=2023,ISNUMBER('中古車掲載'!N553),'中古車掲載'!N553&gt;=20000,'中古車掲載'!O553&lt;=100000,'中古車掲載'!AL553=1,'中古車掲載'!Z553="https://www.one2car.com/en/cars-for-sale/toyota/corolla-cross/year-2023"),'中古車掲載'!U553,"")</x:f>
      </x:c>
      <x:c r="BG552" s="3" t="str">
        <x:f>IF(AND('中古車掲載'!C553="One2car",'中古車掲載'!F553="Corolla Cross",'中古車掲載'!L553="HEV GR SPORT",'中古車掲載'!J553=2023,ISNUMBER('中古車掲載'!N553),'中古車掲載'!N553&gt;=20000,'中古車掲載'!O553&lt;=100000,'中古車掲載'!AL553=1,'中古車掲載'!Z553="https://www.one2car.com/en/cars-for-sale/toyota/corolla-cross/year-2023"),'中古車掲載'!U553,"")</x:f>
      </x:c>
      <x:c r="BH552" s="3" t="str">
        <x:f>IF(AND('中古車掲載'!C553="One2car",'中古車掲載'!F553="DOLPHIN",'中古車掲載'!L553="STANDARD RANGE",'中古車掲載'!J553=2023,ISNUMBER('中古車掲載'!N553),'中古車掲載'!N553&gt;=20000,'中古車掲載'!O553&lt;=100000,'中古車掲載'!AL553=1),'中古車掲載'!U553,"")</x:f>
      </x:c>
      <x:c r="BI552" s="3" t="str">
        <x:v>Taladrod|Fortuner|ICE|Unknown</x:v>
      </x:c>
      <x:c r="BJ552" s="3" t="n">
        <x:v>553</x:v>
      </x:c>
      <x:c r="BK552" s="3" t="n">
        <x:f>'中古車掲載'!AM553</x:f>
        <x:v>778000</x:v>
      </x:c>
      <x:c r="BL552" s="3" t="str">
        <x:f>IF(ISNUMBER('中古車掲載'!AN553),'中古車掲載'!AN553,"")</x:f>
      </x:c>
      <x:c r="BM552" s="3"/>
      <x:c r="BN552" s="3"/>
      <x:c r="BO552" s="3"/>
      <x:c r="BP552" s="3"/>
      <x:c r="BQ552" s="3"/>
      <x:c r="BR552" s="3"/>
    </x:row>
    <x:row r="553" ht="22" customHeight="1">
      <x:c r="A553" s="3" t="str">
        <x:v>Hilux Revo</x:v>
      </x:c>
      <x:c r="B553" s="3" t="str">
        <x:v>ICE</x:v>
      </x:c>
      <x:c r="C553" s="3" t="str">
        <x:v>Taladrod</x:v>
      </x:c>
      <x:c r="D553" s="3" t="str">
        <x:v>Pickup</x:v>
      </x:c>
      <x:c r="E553" s="3" t="str">
        <x:v>Double cab</x:v>
      </x:c>
      <x:c r="F553" s="3" t="n">
        <x:v>2024</x:v>
      </x:c>
      <x:c r="G553" s="3" t="str">
        <x:v>2.4 ENTRY PRERUNNER DOUBLE CAB</x:v>
      </x:c>
      <x:c r="H553" s="3" t="str">
        <x:v>未掲載</x:v>
      </x:c>
      <x:c r="I553" s="3" t="str">
        <x:v>世代不明</x:v>
      </x:c>
      <x:c r="J553" s="22" t="n">
        <x:f>COUNT('中古車掲載'!AM868:AM868)</x:f>
        <x:v>1</x:v>
      </x:c>
      <x:c r="K553" s="22" t="n">
        <x:f>IF(COUNT('中古車掲載'!AM868:AM868)=0,"",QUARTILE('中古車掲載'!AM868:AM868,1))</x:f>
        <x:v>699000</x:v>
      </x:c>
      <x:c r="L553" s="22" t="n">
        <x:f>IF(COUNT('中古車掲載'!AM868:AM868)=0,"",MEDIAN('中古車掲載'!AM868:AM868))</x:f>
        <x:v>699000</x:v>
      </x:c>
      <x:c r="M553" s="22" t="n">
        <x:f>IF(COUNT('中古車掲載'!AM868:AM868)=0,"",QUARTILE('中古車掲載'!AM868:AM868,3))</x:f>
        <x:v>699000</x:v>
      </x:c>
      <x:c r="N553" s="22" t="n">
        <x:f>COUNT('中古車掲載'!AN868:AN868)</x:f>
        <x:v>0</x:v>
      </x:c>
      <x:c r="O553" s="23" t="str">
        <x:f>IF(COUNT('中古車掲載'!AN868:AN868)=0,"",MEDIAN('中古車掲載'!AN868:AN868))</x:f>
      </x:c>
      <x:c r="P553" s="3"/>
      <x:c r="Q553" s="3"/>
      <x:c r="R553" s="3"/>
      <x:c r="S553" s="3"/>
      <x:c r="T553" s="3"/>
      <x:c r="U553" s="3"/>
      <x:c r="V553" s="3"/>
      <x:c r="W553" s="3"/>
      <x:c r="X553" s="3"/>
      <x:c r="Y553" s="3"/>
      <x:c r="Z553" s="3"/>
      <x:c r="AA553" s="3"/>
      <x:c r="AB553" s="3"/>
      <x:c r="AC553" s="3"/>
      <x:c r="AD553" s="3"/>
      <x:c r="AE553" s="3"/>
      <x:c r="AF553" s="3"/>
      <x:c r="AG553" s="3"/>
      <x:c r="AH553" s="3"/>
      <x:c r="AI553" s="3"/>
      <x:c r="AJ553" s="3"/>
      <x:c r="AK553" s="3"/>
      <x:c r="AL553" s="3"/>
      <x:c r="AM553" s="3"/>
      <x:c r="AN553" s="3"/>
      <x:c r="AO553" s="3"/>
      <x:c r="AP553" s="3"/>
      <x:c r="AQ553" s="3"/>
      <x:c r="AR553" s="3"/>
      <x:c r="AS553" s="3"/>
      <x:c r="AT553" s="3"/>
      <x:c r="AU553" s="3"/>
      <x:c r="AV553" s="3"/>
      <x:c r="AW553" s="3"/>
      <x:c r="AX553" s="3"/>
      <x:c r="AY553" s="3"/>
      <x:c r="AZ553" s="3" t="str">
        <x:f>IF(AND('中古車掲載'!C554="One2car",'中古車掲載'!F554="ATTO 3",'中古車掲載'!L554="EXTENDED RANGE",'中古車掲載'!J554=2023,ISNUMBER('中古車掲載'!N554),'中古車掲載'!N554&gt;=20000,'中古車掲載'!O554&lt;=100000,'中古車掲載'!AL554=1),'中古車掲載'!U554,"")</x:f>
      </x:c>
      <x:c r="BA553" s="3" t="str">
        <x:f>IF(AND('中古車掲載'!C554="One2car",'中古車掲載'!F554="Corolla Cross",'中古車掲載'!L554="HEV PREMIUM SAFETY",'中古車掲載'!J554=2023,ISNUMBER('中古車掲載'!N554),'中古車掲載'!N554&gt;=20000,'中古車掲載'!O554&lt;=100000,'中古車掲載'!AL554=1,'中古車掲載'!Z554="https://www.one2car.com/en/cars-for-sale/toyota/corolla-cross/year-2023"),'中古車掲載'!U554,"")</x:f>
      </x:c>
      <x:c r="BB553" s="3" t="str">
        <x:f>IF(AND('中古車掲載'!C554="One2car",'中古車掲載'!F554="ATTO 3",'中古車掲載'!L554="EXTENDED RANGE",'中古車掲載'!J554=2023,ISNUMBER('中古車掲載'!N554),'中古車掲載'!N554&gt;=50000,'中古車掲載'!O554&lt;=100000,'中古車掲載'!AL554=1),'中古車掲載'!U554,"")</x:f>
      </x:c>
      <x:c r="BC553" s="3" t="str">
        <x:f>IF(AND('中古車掲載'!C554="One2car",'中古車掲載'!F554="Corolla Cross",'中古車掲載'!L554="HEV PREMIUM SAFETY",'中古車掲載'!J554=2023,ISNUMBER('中古車掲載'!N554),'中古車掲載'!N554&gt;=50000,'中古車掲載'!O554&lt;=100000,'中古車掲載'!AL554=1,'中古車掲載'!Z554="https://www.one2car.com/en/cars-for-sale/toyota/corolla-cross/year-2023"),'中古車掲載'!U554,"")</x:f>
      </x:c>
      <x:c r="BD553" s="3" t="str">
        <x:f>IF(AND('中古車掲載'!C554="One2car",'中古車掲載'!F554="ATTO 3",'中古車掲載'!L554="EXTENDED RANGE",'中古車掲載'!J554=2023,ISNUMBER('中古車掲載'!N554),'中古車掲載'!N554&gt;=20000,'中古車掲載'!O554&lt;=50000,'中古車掲載'!AL554=1),'中古車掲載'!U554,"")</x:f>
      </x:c>
      <x:c r="BE553" s="3" t="str">
        <x:f>IF(AND('中古車掲載'!C554="One2car",'中古車掲載'!F554="Corolla Cross",'中古車掲載'!L554="HEV PREMIUM SAFETY",'中古車掲載'!J554=2023,ISNUMBER('中古車掲載'!N554),'中古車掲載'!N554&gt;=20000,'中古車掲載'!O554&lt;=50000,'中古車掲載'!AL554=1,'中古車掲載'!Z554="https://www.one2car.com/en/cars-for-sale/toyota/corolla-cross/year-2023"),'中古車掲載'!U554,"")</x:f>
      </x:c>
      <x:c r="BF553" s="3" t="str">
        <x:f>IF(AND('中古車掲載'!C554="One2car",'中古車掲載'!F554="Corolla Cross",'中古車掲載'!L554="HEV PREMIUM",'中古車掲載'!J554=2023,ISNUMBER('中古車掲載'!N554),'中古車掲載'!N554&gt;=20000,'中古車掲載'!O554&lt;=100000,'中古車掲載'!AL554=1,'中古車掲載'!Z554="https://www.one2car.com/en/cars-for-sale/toyota/corolla-cross/year-2023"),'中古車掲載'!U554,"")</x:f>
      </x:c>
      <x:c r="BG553" s="3" t="str">
        <x:f>IF(AND('中古車掲載'!C554="One2car",'中古車掲載'!F554="Corolla Cross",'中古車掲載'!L554="HEV GR SPORT",'中古車掲載'!J554=2023,ISNUMBER('中古車掲載'!N554),'中古車掲載'!N554&gt;=20000,'中古車掲載'!O554&lt;=100000,'中古車掲載'!AL554=1,'中古車掲載'!Z554="https://www.one2car.com/en/cars-for-sale/toyota/corolla-cross/year-2023"),'中古車掲載'!U554,"")</x:f>
      </x:c>
      <x:c r="BH553" s="3" t="str">
        <x:f>IF(AND('中古車掲載'!C554="One2car",'中古車掲載'!F554="DOLPHIN",'中古車掲載'!L554="STANDARD RANGE",'中古車掲載'!J554=2023,ISNUMBER('中古車掲載'!N554),'中古車掲載'!N554&gt;=20000,'中古車掲載'!O554&lt;=100000,'中古車掲載'!AL554=1),'中古車掲載'!U554,"")</x:f>
      </x:c>
      <x:c r="BI553" s="3" t="str">
        <x:v>Taladrod|Fortuner|ICE|Unknown</x:v>
      </x:c>
      <x:c r="BJ553" s="3" t="n">
        <x:v>554</x:v>
      </x:c>
      <x:c r="BK553" s="3" t="n">
        <x:f>'中古車掲載'!AM554</x:f>
        <x:v>990000</x:v>
      </x:c>
      <x:c r="BL553" s="3" t="str">
        <x:f>IF(ISNUMBER('中古車掲載'!AN554),'中古車掲載'!AN554,"")</x:f>
      </x:c>
      <x:c r="BM553" s="3"/>
      <x:c r="BN553" s="3"/>
      <x:c r="BO553" s="3"/>
      <x:c r="BP553" s="3"/>
      <x:c r="BQ553" s="3"/>
      <x:c r="BR553" s="3"/>
    </x:row>
    <x:row r="554" ht="22" customHeight="1">
      <x:c r="A554" s="3" t="str">
        <x:v>Hilux Revo</x:v>
      </x:c>
      <x:c r="B554" s="3" t="str">
        <x:v>ICE</x:v>
      </x:c>
      <x:c r="C554" s="3" t="str">
        <x:v>Taladrod</x:v>
      </x:c>
      <x:c r="D554" s="3" t="str">
        <x:v>Pickup</x:v>
      </x:c>
      <x:c r="E554" s="3" t="str">
        <x:v>Double cab</x:v>
      </x:c>
      <x:c r="F554" s="3" t="n">
        <x:v>2024</x:v>
      </x:c>
      <x:c r="G554" s="3" t="str">
        <x:v>2.4 ENTRY Z EDITION DOUBLE CAB</x:v>
      </x:c>
      <x:c r="H554" s="3" t="str">
        <x:v>未掲載</x:v>
      </x:c>
      <x:c r="I554" s="3" t="str">
        <x:v>世代不明</x:v>
      </x:c>
      <x:c r="J554" s="22" t="n">
        <x:f>COUNT('中古車掲載'!AM877:AM879)</x:f>
        <x:v>3</x:v>
      </x:c>
      <x:c r="K554" s="22" t="n">
        <x:f>IF(COUNT('中古車掲載'!AM877:AM879)=0,"",QUARTILE('中古車掲載'!AM877:AM879,1))</x:f>
        <x:v>498500</x:v>
      </x:c>
      <x:c r="L554" s="22" t="n">
        <x:f>IF(COUNT('中古車掲載'!AM877:AM879)=0,"",MEDIAN('中古車掲載'!AM877:AM879))</x:f>
        <x:v>529000</x:v>
      </x:c>
      <x:c r="M554" s="22" t="n">
        <x:f>IF(COUNT('中古車掲載'!AM877:AM879)=0,"",QUARTILE('中古車掲載'!AM877:AM879,3))</x:f>
        <x:v>559000</x:v>
      </x:c>
      <x:c r="N554" s="22" t="n">
        <x:f>COUNT('中古車掲載'!AN877:AN879)</x:f>
        <x:v>0</x:v>
      </x:c>
      <x:c r="O554" s="23" t="str">
        <x:f>IF(COUNT('中古車掲載'!AN877:AN879)=0,"",MEDIAN('中古車掲載'!AN877:AN879))</x:f>
      </x:c>
      <x:c r="P554" s="3"/>
      <x:c r="Q554" s="3"/>
      <x:c r="R554" s="3"/>
      <x:c r="S554" s="3"/>
      <x:c r="T554" s="3"/>
      <x:c r="U554" s="3"/>
      <x:c r="V554" s="3"/>
      <x:c r="W554" s="3"/>
      <x:c r="X554" s="3"/>
      <x:c r="Y554" s="3"/>
      <x:c r="Z554" s="3"/>
      <x:c r="AA554" s="3"/>
      <x:c r="AB554" s="3"/>
      <x:c r="AC554" s="3"/>
      <x:c r="AD554" s="3"/>
      <x:c r="AE554" s="3"/>
      <x:c r="AF554" s="3"/>
      <x:c r="AG554" s="3"/>
      <x:c r="AH554" s="3"/>
      <x:c r="AI554" s="3"/>
      <x:c r="AJ554" s="3"/>
      <x:c r="AK554" s="3"/>
      <x:c r="AL554" s="3"/>
      <x:c r="AM554" s="3"/>
      <x:c r="AN554" s="3"/>
      <x:c r="AO554" s="3"/>
      <x:c r="AP554" s="3"/>
      <x:c r="AQ554" s="3"/>
      <x:c r="AR554" s="3"/>
      <x:c r="AS554" s="3"/>
      <x:c r="AT554" s="3"/>
      <x:c r="AU554" s="3"/>
      <x:c r="AV554" s="3"/>
      <x:c r="AW554" s="3"/>
      <x:c r="AX554" s="3"/>
      <x:c r="AY554" s="3"/>
      <x:c r="AZ554" s="3" t="str">
        <x:f>IF(AND('中古車掲載'!C555="One2car",'中古車掲載'!F555="ATTO 3",'中古車掲載'!L555="EXTENDED RANGE",'中古車掲載'!J555=2023,ISNUMBER('中古車掲載'!N555),'中古車掲載'!N555&gt;=20000,'中古車掲載'!O555&lt;=100000,'中古車掲載'!AL555=1),'中古車掲載'!U555,"")</x:f>
      </x:c>
      <x:c r="BA554" s="3" t="str">
        <x:f>IF(AND('中古車掲載'!C555="One2car",'中古車掲載'!F555="Corolla Cross",'中古車掲載'!L555="HEV PREMIUM SAFETY",'中古車掲載'!J555=2023,ISNUMBER('中古車掲載'!N555),'中古車掲載'!N555&gt;=20000,'中古車掲載'!O555&lt;=100000,'中古車掲載'!AL555=1,'中古車掲載'!Z555="https://www.one2car.com/en/cars-for-sale/toyota/corolla-cross/year-2023"),'中古車掲載'!U555,"")</x:f>
      </x:c>
      <x:c r="BB554" s="3" t="str">
        <x:f>IF(AND('中古車掲載'!C555="One2car",'中古車掲載'!F555="ATTO 3",'中古車掲載'!L555="EXTENDED RANGE",'中古車掲載'!J555=2023,ISNUMBER('中古車掲載'!N555),'中古車掲載'!N555&gt;=50000,'中古車掲載'!O555&lt;=100000,'中古車掲載'!AL555=1),'中古車掲載'!U555,"")</x:f>
      </x:c>
      <x:c r="BC554" s="3" t="str">
        <x:f>IF(AND('中古車掲載'!C555="One2car",'中古車掲載'!F555="Corolla Cross",'中古車掲載'!L555="HEV PREMIUM SAFETY",'中古車掲載'!J555=2023,ISNUMBER('中古車掲載'!N555),'中古車掲載'!N555&gt;=50000,'中古車掲載'!O555&lt;=100000,'中古車掲載'!AL555=1,'中古車掲載'!Z555="https://www.one2car.com/en/cars-for-sale/toyota/corolla-cross/year-2023"),'中古車掲載'!U555,"")</x:f>
      </x:c>
      <x:c r="BD554" s="3" t="str">
        <x:f>IF(AND('中古車掲載'!C555="One2car",'中古車掲載'!F555="ATTO 3",'中古車掲載'!L555="EXTENDED RANGE",'中古車掲載'!J555=2023,ISNUMBER('中古車掲載'!N555),'中古車掲載'!N555&gt;=20000,'中古車掲載'!O555&lt;=50000,'中古車掲載'!AL555=1),'中古車掲載'!U555,"")</x:f>
      </x:c>
      <x:c r="BE554" s="3" t="str">
        <x:f>IF(AND('中古車掲載'!C555="One2car",'中古車掲載'!F555="Corolla Cross",'中古車掲載'!L555="HEV PREMIUM SAFETY",'中古車掲載'!J555=2023,ISNUMBER('中古車掲載'!N555),'中古車掲載'!N555&gt;=20000,'中古車掲載'!O555&lt;=50000,'中古車掲載'!AL555=1,'中古車掲載'!Z555="https://www.one2car.com/en/cars-for-sale/toyota/corolla-cross/year-2023"),'中古車掲載'!U555,"")</x:f>
      </x:c>
      <x:c r="BF554" s="3" t="str">
        <x:f>IF(AND('中古車掲載'!C555="One2car",'中古車掲載'!F555="Corolla Cross",'中古車掲載'!L555="HEV PREMIUM",'中古車掲載'!J555=2023,ISNUMBER('中古車掲載'!N555),'中古車掲載'!N555&gt;=20000,'中古車掲載'!O555&lt;=100000,'中古車掲載'!AL555=1,'中古車掲載'!Z555="https://www.one2car.com/en/cars-for-sale/toyota/corolla-cross/year-2023"),'中古車掲載'!U555,"")</x:f>
      </x:c>
      <x:c r="BG554" s="3" t="str">
        <x:f>IF(AND('中古車掲載'!C555="One2car",'中古車掲載'!F555="Corolla Cross",'中古車掲載'!L555="HEV GR SPORT",'中古車掲載'!J555=2023,ISNUMBER('中古車掲載'!N555),'中古車掲載'!N555&gt;=20000,'中古車掲載'!O555&lt;=100000,'中古車掲載'!AL555=1,'中古車掲載'!Z555="https://www.one2car.com/en/cars-for-sale/toyota/corolla-cross/year-2023"),'中古車掲載'!U555,"")</x:f>
      </x:c>
      <x:c r="BH554" s="3" t="str">
        <x:f>IF(AND('中古車掲載'!C555="One2car",'中古車掲載'!F555="DOLPHIN",'中古車掲載'!L555="STANDARD RANGE",'中古車掲載'!J555=2023,ISNUMBER('中古車掲載'!N555),'中古車掲載'!N555&gt;=20000,'中古車掲載'!O555&lt;=100000,'中古車掲載'!AL555=1),'中古車掲載'!U555,"")</x:f>
      </x:c>
      <x:c r="BI554" s="3" t="str">
        <x:v>Taladrod|Fortuner|ICE|Unknown</x:v>
      </x:c>
      <x:c r="BJ554" s="3" t="n">
        <x:v>555</x:v>
      </x:c>
      <x:c r="BK554" s="3" t="n">
        <x:f>'中古車掲載'!AM555</x:f>
        <x:v>974000</x:v>
      </x:c>
      <x:c r="BL554" s="3" t="str">
        <x:f>IF(ISNUMBER('中古車掲載'!AN555),'中古車掲載'!AN555,"")</x:f>
      </x:c>
      <x:c r="BM554" s="3"/>
      <x:c r="BN554" s="3"/>
      <x:c r="BO554" s="3"/>
      <x:c r="BP554" s="3"/>
      <x:c r="BQ554" s="3"/>
      <x:c r="BR554" s="3"/>
    </x:row>
    <x:row r="555" ht="22" customHeight="1">
      <x:c r="A555" s="3" t="str">
        <x:v>Hilux Revo</x:v>
      </x:c>
      <x:c r="B555" s="3" t="str">
        <x:v>ICE</x:v>
      </x:c>
      <x:c r="C555" s="3" t="str">
        <x:v>Taladrod</x:v>
      </x:c>
      <x:c r="D555" s="3" t="str">
        <x:v>Pickup</x:v>
      </x:c>
      <x:c r="E555" s="3" t="str">
        <x:v>Double cab</x:v>
      </x:c>
      <x:c r="F555" s="3" t="n">
        <x:v>2024</x:v>
      </x:c>
      <x:c r="G555" s="3" t="str">
        <x:v>2.4 HIGH PRERUNNER DOUBLE CAB</x:v>
      </x:c>
      <x:c r="H555" s="3" t="str">
        <x:v>未掲載</x:v>
      </x:c>
      <x:c r="I555" s="3" t="str">
        <x:v>世代不明</x:v>
      </x:c>
      <x:c r="J555" s="22" t="n">
        <x:f>COUNT('中古車掲載'!AM882:AM882)</x:f>
        <x:v>1</x:v>
      </x:c>
      <x:c r="K555" s="22" t="n">
        <x:f>IF(COUNT('中古車掲載'!AM882:AM882)=0,"",QUARTILE('中古車掲載'!AM882:AM882,1))</x:f>
        <x:v>799000</x:v>
      </x:c>
      <x:c r="L555" s="22" t="n">
        <x:f>IF(COUNT('中古車掲載'!AM882:AM882)=0,"",MEDIAN('中古車掲載'!AM882:AM882))</x:f>
        <x:v>799000</x:v>
      </x:c>
      <x:c r="M555" s="22" t="n">
        <x:f>IF(COUNT('中古車掲載'!AM882:AM882)=0,"",QUARTILE('中古車掲載'!AM882:AM882,3))</x:f>
        <x:v>799000</x:v>
      </x:c>
      <x:c r="N555" s="22" t="n">
        <x:f>COUNT('中古車掲載'!AN882:AN882)</x:f>
        <x:v>0</x:v>
      </x:c>
      <x:c r="O555" s="23" t="str">
        <x:f>IF(COUNT('中古車掲載'!AN882:AN882)=0,"",MEDIAN('中古車掲載'!AN882:AN882))</x:f>
      </x:c>
      <x:c r="P555" s="3"/>
      <x:c r="Q555" s="3"/>
      <x:c r="R555" s="3"/>
      <x:c r="S555" s="3"/>
      <x:c r="T555" s="3"/>
      <x:c r="U555" s="3"/>
      <x:c r="V555" s="3"/>
      <x:c r="W555" s="3"/>
      <x:c r="X555" s="3"/>
      <x:c r="Y555" s="3"/>
      <x:c r="Z555" s="3"/>
      <x:c r="AA555" s="3"/>
      <x:c r="AB555" s="3"/>
      <x:c r="AC555" s="3"/>
      <x:c r="AD555" s="3"/>
      <x:c r="AE555" s="3"/>
      <x:c r="AF555" s="3"/>
      <x:c r="AG555" s="3"/>
      <x:c r="AH555" s="3"/>
      <x:c r="AI555" s="3"/>
      <x:c r="AJ555" s="3"/>
      <x:c r="AK555" s="3"/>
      <x:c r="AL555" s="3"/>
      <x:c r="AM555" s="3"/>
      <x:c r="AN555" s="3"/>
      <x:c r="AO555" s="3"/>
      <x:c r="AP555" s="3"/>
      <x:c r="AQ555" s="3"/>
      <x:c r="AR555" s="3"/>
      <x:c r="AS555" s="3"/>
      <x:c r="AT555" s="3"/>
      <x:c r="AU555" s="3"/>
      <x:c r="AV555" s="3"/>
      <x:c r="AW555" s="3"/>
      <x:c r="AX555" s="3"/>
      <x:c r="AY555" s="3"/>
      <x:c r="AZ555" s="3" t="str">
        <x:f>IF(AND('中古車掲載'!C556="One2car",'中古車掲載'!F556="ATTO 3",'中古車掲載'!L556="EXTENDED RANGE",'中古車掲載'!J556=2023,ISNUMBER('中古車掲載'!N556),'中古車掲載'!N556&gt;=20000,'中古車掲載'!O556&lt;=100000,'中古車掲載'!AL556=1),'中古車掲載'!U556,"")</x:f>
      </x:c>
      <x:c r="BA555" s="3" t="str">
        <x:f>IF(AND('中古車掲載'!C556="One2car",'中古車掲載'!F556="Corolla Cross",'中古車掲載'!L556="HEV PREMIUM SAFETY",'中古車掲載'!J556=2023,ISNUMBER('中古車掲載'!N556),'中古車掲載'!N556&gt;=20000,'中古車掲載'!O556&lt;=100000,'中古車掲載'!AL556=1,'中古車掲載'!Z556="https://www.one2car.com/en/cars-for-sale/toyota/corolla-cross/year-2023"),'中古車掲載'!U556,"")</x:f>
      </x:c>
      <x:c r="BB555" s="3" t="str">
        <x:f>IF(AND('中古車掲載'!C556="One2car",'中古車掲載'!F556="ATTO 3",'中古車掲載'!L556="EXTENDED RANGE",'中古車掲載'!J556=2023,ISNUMBER('中古車掲載'!N556),'中古車掲載'!N556&gt;=50000,'中古車掲載'!O556&lt;=100000,'中古車掲載'!AL556=1),'中古車掲載'!U556,"")</x:f>
      </x:c>
      <x:c r="BC555" s="3" t="str">
        <x:f>IF(AND('中古車掲載'!C556="One2car",'中古車掲載'!F556="Corolla Cross",'中古車掲載'!L556="HEV PREMIUM SAFETY",'中古車掲載'!J556=2023,ISNUMBER('中古車掲載'!N556),'中古車掲載'!N556&gt;=50000,'中古車掲載'!O556&lt;=100000,'中古車掲載'!AL556=1,'中古車掲載'!Z556="https://www.one2car.com/en/cars-for-sale/toyota/corolla-cross/year-2023"),'中古車掲載'!U556,"")</x:f>
      </x:c>
      <x:c r="BD555" s="3" t="str">
        <x:f>IF(AND('中古車掲載'!C556="One2car",'中古車掲載'!F556="ATTO 3",'中古車掲載'!L556="EXTENDED RANGE",'中古車掲載'!J556=2023,ISNUMBER('中古車掲載'!N556),'中古車掲載'!N556&gt;=20000,'中古車掲載'!O556&lt;=50000,'中古車掲載'!AL556=1),'中古車掲載'!U556,"")</x:f>
      </x:c>
      <x:c r="BE555" s="3" t="str">
        <x:f>IF(AND('中古車掲載'!C556="One2car",'中古車掲載'!F556="Corolla Cross",'中古車掲載'!L556="HEV PREMIUM SAFETY",'中古車掲載'!J556=2023,ISNUMBER('中古車掲載'!N556),'中古車掲載'!N556&gt;=20000,'中古車掲載'!O556&lt;=50000,'中古車掲載'!AL556=1,'中古車掲載'!Z556="https://www.one2car.com/en/cars-for-sale/toyota/corolla-cross/year-2023"),'中古車掲載'!U556,"")</x:f>
      </x:c>
      <x:c r="BF555" s="3" t="str">
        <x:f>IF(AND('中古車掲載'!C556="One2car",'中古車掲載'!F556="Corolla Cross",'中古車掲載'!L556="HEV PREMIUM",'中古車掲載'!J556=2023,ISNUMBER('中古車掲載'!N556),'中古車掲載'!N556&gt;=20000,'中古車掲載'!O556&lt;=100000,'中古車掲載'!AL556=1,'中古車掲載'!Z556="https://www.one2car.com/en/cars-for-sale/toyota/corolla-cross/year-2023"),'中古車掲載'!U556,"")</x:f>
      </x:c>
      <x:c r="BG555" s="3" t="str">
        <x:f>IF(AND('中古車掲載'!C556="One2car",'中古車掲載'!F556="Corolla Cross",'中古車掲載'!L556="HEV GR SPORT",'中古車掲載'!J556=2023,ISNUMBER('中古車掲載'!N556),'中古車掲載'!N556&gt;=20000,'中古車掲載'!O556&lt;=100000,'中古車掲載'!AL556=1,'中古車掲載'!Z556="https://www.one2car.com/en/cars-for-sale/toyota/corolla-cross/year-2023"),'中古車掲載'!U556,"")</x:f>
      </x:c>
      <x:c r="BH555" s="3" t="str">
        <x:f>IF(AND('中古車掲載'!C556="One2car",'中古車掲載'!F556="DOLPHIN",'中古車掲載'!L556="STANDARD RANGE",'中古車掲載'!J556=2023,ISNUMBER('中古車掲載'!N556),'中古車掲載'!N556&gt;=20000,'中古車掲載'!O556&lt;=100000,'中古車掲載'!AL556=1),'中古車掲載'!U556,"")</x:f>
      </x:c>
      <x:c r="BI555" s="3" t="str">
        <x:v>Taladrod|Fortuner|ICE|Unknown</x:v>
      </x:c>
      <x:c r="BJ555" s="3" t="n">
        <x:v>556</x:v>
      </x:c>
      <x:c r="BK555" s="3" t="n">
        <x:f>'中古車掲載'!AM556</x:f>
        <x:v>995000</x:v>
      </x:c>
      <x:c r="BL555" s="3" t="str">
        <x:f>IF(ISNUMBER('中古車掲載'!AN556),'中古車掲載'!AN556,"")</x:f>
      </x:c>
      <x:c r="BM555" s="3"/>
      <x:c r="BN555" s="3"/>
      <x:c r="BO555" s="3"/>
      <x:c r="BP555" s="3"/>
      <x:c r="BQ555" s="3"/>
      <x:c r="BR555" s="3"/>
    </x:row>
    <x:row r="556" ht="22" customHeight="1">
      <x:c r="A556" s="3" t="str">
        <x:v>Hilux Revo</x:v>
      </x:c>
      <x:c r="B556" s="3" t="str">
        <x:v>ICE</x:v>
      </x:c>
      <x:c r="C556" s="3" t="str">
        <x:v>Taladrod</x:v>
      </x:c>
      <x:c r="D556" s="3" t="str">
        <x:v>Pickup</x:v>
      </x:c>
      <x:c r="E556" s="3" t="str">
        <x:v>Double cab</x:v>
      </x:c>
      <x:c r="F556" s="3" t="n">
        <x:v>2024</x:v>
      </x:c>
      <x:c r="G556" s="3" t="str">
        <x:v>2.4 MID PRERUNNER DOUBLE CAB</x:v>
      </x:c>
      <x:c r="H556" s="3" t="str">
        <x:v>未掲載</x:v>
      </x:c>
      <x:c r="I556" s="3" t="str">
        <x:v>世代不明</x:v>
      </x:c>
      <x:c r="J556" s="22" t="n">
        <x:f>COUNT('中古車掲載'!AM883:AM887)</x:f>
        <x:v>5</x:v>
      </x:c>
      <x:c r="K556" s="22" t="n">
        <x:f>IF(COUNT('中古車掲載'!AM883:AM887)=0,"",QUARTILE('中古車掲載'!AM883:AM887,1))</x:f>
        <x:v>699000</x:v>
      </x:c>
      <x:c r="L556" s="22" t="n">
        <x:f>IF(COUNT('中古車掲載'!AM883:AM887)=0,"",MEDIAN('中古車掲載'!AM883:AM887))</x:f>
        <x:v>719000</x:v>
      </x:c>
      <x:c r="M556" s="22" t="n">
        <x:f>IF(COUNT('中古車掲載'!AM883:AM887)=0,"",QUARTILE('中古車掲載'!AM883:AM887,3))</x:f>
        <x:v>739000</x:v>
      </x:c>
      <x:c r="N556" s="22" t="n">
        <x:f>COUNT('中古車掲載'!AN883:AN887)</x:f>
        <x:v>0</x:v>
      </x:c>
      <x:c r="O556" s="23" t="str">
        <x:f>IF(COUNT('中古車掲載'!AN883:AN887)=0,"",MEDIAN('中古車掲載'!AN883:AN887))</x:f>
      </x:c>
      <x:c r="P556" s="3"/>
      <x:c r="Q556" s="3"/>
      <x:c r="R556" s="3"/>
      <x:c r="S556" s="3"/>
      <x:c r="T556" s="3"/>
      <x:c r="U556" s="3"/>
      <x:c r="V556" s="3"/>
      <x:c r="W556" s="3"/>
      <x:c r="X556" s="3"/>
      <x:c r="Y556" s="3"/>
      <x:c r="Z556" s="3"/>
      <x:c r="AA556" s="3"/>
      <x:c r="AB556" s="3"/>
      <x:c r="AC556" s="3"/>
      <x:c r="AD556" s="3"/>
      <x:c r="AE556" s="3"/>
      <x:c r="AF556" s="3"/>
      <x:c r="AG556" s="3"/>
      <x:c r="AH556" s="3"/>
      <x:c r="AI556" s="3"/>
      <x:c r="AJ556" s="3"/>
      <x:c r="AK556" s="3"/>
      <x:c r="AL556" s="3"/>
      <x:c r="AM556" s="3"/>
      <x:c r="AN556" s="3"/>
      <x:c r="AO556" s="3"/>
      <x:c r="AP556" s="3"/>
      <x:c r="AQ556" s="3"/>
      <x:c r="AR556" s="3"/>
      <x:c r="AS556" s="3"/>
      <x:c r="AT556" s="3"/>
      <x:c r="AU556" s="3"/>
      <x:c r="AV556" s="3"/>
      <x:c r="AW556" s="3"/>
      <x:c r="AX556" s="3"/>
      <x:c r="AY556" s="3"/>
      <x:c r="AZ556" s="3" t="str">
        <x:f>IF(AND('中古車掲載'!C557="One2car",'中古車掲載'!F557="ATTO 3",'中古車掲載'!L557="EXTENDED RANGE",'中古車掲載'!J557=2023,ISNUMBER('中古車掲載'!N557),'中古車掲載'!N557&gt;=20000,'中古車掲載'!O557&lt;=100000,'中古車掲載'!AL557=1),'中古車掲載'!U557,"")</x:f>
      </x:c>
      <x:c r="BA556" s="3" t="str">
        <x:f>IF(AND('中古車掲載'!C557="One2car",'中古車掲載'!F557="Corolla Cross",'中古車掲載'!L557="HEV PREMIUM SAFETY",'中古車掲載'!J557=2023,ISNUMBER('中古車掲載'!N557),'中古車掲載'!N557&gt;=20000,'中古車掲載'!O557&lt;=100000,'中古車掲載'!AL557=1,'中古車掲載'!Z557="https://www.one2car.com/en/cars-for-sale/toyota/corolla-cross/year-2023"),'中古車掲載'!U557,"")</x:f>
      </x:c>
      <x:c r="BB556" s="3" t="str">
        <x:f>IF(AND('中古車掲載'!C557="One2car",'中古車掲載'!F557="ATTO 3",'中古車掲載'!L557="EXTENDED RANGE",'中古車掲載'!J557=2023,ISNUMBER('中古車掲載'!N557),'中古車掲載'!N557&gt;=50000,'中古車掲載'!O557&lt;=100000,'中古車掲載'!AL557=1),'中古車掲載'!U557,"")</x:f>
      </x:c>
      <x:c r="BC556" s="3" t="str">
        <x:f>IF(AND('中古車掲載'!C557="One2car",'中古車掲載'!F557="Corolla Cross",'中古車掲載'!L557="HEV PREMIUM SAFETY",'中古車掲載'!J557=2023,ISNUMBER('中古車掲載'!N557),'中古車掲載'!N557&gt;=50000,'中古車掲載'!O557&lt;=100000,'中古車掲載'!AL557=1,'中古車掲載'!Z557="https://www.one2car.com/en/cars-for-sale/toyota/corolla-cross/year-2023"),'中古車掲載'!U557,"")</x:f>
      </x:c>
      <x:c r="BD556" s="3" t="str">
        <x:f>IF(AND('中古車掲載'!C557="One2car",'中古車掲載'!F557="ATTO 3",'中古車掲載'!L557="EXTENDED RANGE",'中古車掲載'!J557=2023,ISNUMBER('中古車掲載'!N557),'中古車掲載'!N557&gt;=20000,'中古車掲載'!O557&lt;=50000,'中古車掲載'!AL557=1),'中古車掲載'!U557,"")</x:f>
      </x:c>
      <x:c r="BE556" s="3" t="str">
        <x:f>IF(AND('中古車掲載'!C557="One2car",'中古車掲載'!F557="Corolla Cross",'中古車掲載'!L557="HEV PREMIUM SAFETY",'中古車掲載'!J557=2023,ISNUMBER('中古車掲載'!N557),'中古車掲載'!N557&gt;=20000,'中古車掲載'!O557&lt;=50000,'中古車掲載'!AL557=1,'中古車掲載'!Z557="https://www.one2car.com/en/cars-for-sale/toyota/corolla-cross/year-2023"),'中古車掲載'!U557,"")</x:f>
      </x:c>
      <x:c r="BF556" s="3" t="str">
        <x:f>IF(AND('中古車掲載'!C557="One2car",'中古車掲載'!F557="Corolla Cross",'中古車掲載'!L557="HEV PREMIUM",'中古車掲載'!J557=2023,ISNUMBER('中古車掲載'!N557),'中古車掲載'!N557&gt;=20000,'中古車掲載'!O557&lt;=100000,'中古車掲載'!AL557=1,'中古車掲載'!Z557="https://www.one2car.com/en/cars-for-sale/toyota/corolla-cross/year-2023"),'中古車掲載'!U557,"")</x:f>
      </x:c>
      <x:c r="BG556" s="3" t="str">
        <x:f>IF(AND('中古車掲載'!C557="One2car",'中古車掲載'!F557="Corolla Cross",'中古車掲載'!L557="HEV GR SPORT",'中古車掲載'!J557=2023,ISNUMBER('中古車掲載'!N557),'中古車掲載'!N557&gt;=20000,'中古車掲載'!O557&lt;=100000,'中古車掲載'!AL557=1,'中古車掲載'!Z557="https://www.one2car.com/en/cars-for-sale/toyota/corolla-cross/year-2023"),'中古車掲載'!U557,"")</x:f>
      </x:c>
      <x:c r="BH556" s="3" t="str">
        <x:f>IF(AND('中古車掲載'!C557="One2car",'中古車掲載'!F557="DOLPHIN",'中古車掲載'!L557="STANDARD RANGE",'中古車掲載'!J557=2023,ISNUMBER('中古車掲載'!N557),'中古車掲載'!N557&gt;=20000,'中古車掲載'!O557&lt;=100000,'中古車掲載'!AL557=1),'中古車掲載'!U557,"")</x:f>
      </x:c>
      <x:c r="BI556" s="3" t="str">
        <x:v>Taladrod|Fortuner|ICE|Unknown</x:v>
      </x:c>
      <x:c r="BJ556" s="3" t="n">
        <x:v>557</x:v>
      </x:c>
      <x:c r="BK556" s="3" t="n">
        <x:f>'中古車掲載'!AM557</x:f>
        <x:v>959000</x:v>
      </x:c>
      <x:c r="BL556" s="3" t="str">
        <x:f>IF(ISNUMBER('中古車掲載'!AN557),'中古車掲載'!AN557,"")</x:f>
      </x:c>
      <x:c r="BM556" s="3"/>
      <x:c r="BN556" s="3"/>
      <x:c r="BO556" s="3"/>
      <x:c r="BP556" s="3"/>
      <x:c r="BQ556" s="3"/>
      <x:c r="BR556" s="3"/>
    </x:row>
    <x:row r="557" ht="22" customHeight="1">
      <x:c r="A557" s="3" t="str">
        <x:v>Hilux Revo</x:v>
      </x:c>
      <x:c r="B557" s="3" t="str">
        <x:v>ICE</x:v>
      </x:c>
      <x:c r="C557" s="3" t="str">
        <x:v>Taladrod</x:v>
      </x:c>
      <x:c r="D557" s="3" t="str">
        <x:v>Pickup</x:v>
      </x:c>
      <x:c r="E557" s="3" t="str">
        <x:v>Double cab</x:v>
      </x:c>
      <x:c r="F557" s="3" t="n">
        <x:v>2024</x:v>
      </x:c>
      <x:c r="G557" s="3" t="str">
        <x:v>2.4 PRERUNNER DOUBLE CAB</x:v>
      </x:c>
      <x:c r="H557" s="3" t="str">
        <x:v>未掲載</x:v>
      </x:c>
      <x:c r="I557" s="3" t="str">
        <x:v>世代不明</x:v>
      </x:c>
      <x:c r="J557" s="22" t="n">
        <x:f>COUNT('中古車掲載'!AM889:AM889)</x:f>
        <x:v>1</x:v>
      </x:c>
      <x:c r="K557" s="22" t="n">
        <x:f>IF(COUNT('中古車掲載'!AM889:AM889)=0,"",QUARTILE('中古車掲載'!AM889:AM889,1))</x:f>
        <x:v>829000</x:v>
      </x:c>
      <x:c r="L557" s="22" t="n">
        <x:f>IF(COUNT('中古車掲載'!AM889:AM889)=0,"",MEDIAN('中古車掲載'!AM889:AM889))</x:f>
        <x:v>829000</x:v>
      </x:c>
      <x:c r="M557" s="22" t="n">
        <x:f>IF(COUNT('中古車掲載'!AM889:AM889)=0,"",QUARTILE('中古車掲載'!AM889:AM889,3))</x:f>
        <x:v>829000</x:v>
      </x:c>
      <x:c r="N557" s="22" t="n">
        <x:f>COUNT('中古車掲載'!AN889:AN889)</x:f>
        <x:v>0</x:v>
      </x:c>
      <x:c r="O557" s="23" t="str">
        <x:f>IF(COUNT('中古車掲載'!AN889:AN889)=0,"",MEDIAN('中古車掲載'!AN889:AN889))</x:f>
      </x:c>
      <x:c r="P557" s="3"/>
      <x:c r="Q557" s="3"/>
      <x:c r="R557" s="3"/>
      <x:c r="S557" s="3"/>
      <x:c r="T557" s="3"/>
      <x:c r="U557" s="3"/>
      <x:c r="V557" s="3"/>
      <x:c r="W557" s="3"/>
      <x:c r="X557" s="3"/>
      <x:c r="Y557" s="3"/>
      <x:c r="Z557" s="3"/>
      <x:c r="AA557" s="3"/>
      <x:c r="AB557" s="3"/>
      <x:c r="AC557" s="3"/>
      <x:c r="AD557" s="3"/>
      <x:c r="AE557" s="3"/>
      <x:c r="AF557" s="3"/>
      <x:c r="AG557" s="3"/>
      <x:c r="AH557" s="3"/>
      <x:c r="AI557" s="3"/>
      <x:c r="AJ557" s="3"/>
      <x:c r="AK557" s="3"/>
      <x:c r="AL557" s="3"/>
      <x:c r="AM557" s="3"/>
      <x:c r="AN557" s="3"/>
      <x:c r="AO557" s="3"/>
      <x:c r="AP557" s="3"/>
      <x:c r="AQ557" s="3"/>
      <x:c r="AR557" s="3"/>
      <x:c r="AS557" s="3"/>
      <x:c r="AT557" s="3"/>
      <x:c r="AU557" s="3"/>
      <x:c r="AV557" s="3"/>
      <x:c r="AW557" s="3"/>
      <x:c r="AX557" s="3"/>
      <x:c r="AY557" s="3"/>
      <x:c r="AZ557" s="3" t="str">
        <x:f>IF(AND('中古車掲載'!C558="One2car",'中古車掲載'!F558="ATTO 3",'中古車掲載'!L558="EXTENDED RANGE",'中古車掲載'!J558=2023,ISNUMBER('中古車掲載'!N558),'中古車掲載'!N558&gt;=20000,'中古車掲載'!O558&lt;=100000,'中古車掲載'!AL558=1),'中古車掲載'!U558,"")</x:f>
      </x:c>
      <x:c r="BA557" s="3" t="str">
        <x:f>IF(AND('中古車掲載'!C558="One2car",'中古車掲載'!F558="Corolla Cross",'中古車掲載'!L558="HEV PREMIUM SAFETY",'中古車掲載'!J558=2023,ISNUMBER('中古車掲載'!N558),'中古車掲載'!N558&gt;=20000,'中古車掲載'!O558&lt;=100000,'中古車掲載'!AL558=1,'中古車掲載'!Z558="https://www.one2car.com/en/cars-for-sale/toyota/corolla-cross/year-2023"),'中古車掲載'!U558,"")</x:f>
      </x:c>
      <x:c r="BB557" s="3" t="str">
        <x:f>IF(AND('中古車掲載'!C558="One2car",'中古車掲載'!F558="ATTO 3",'中古車掲載'!L558="EXTENDED RANGE",'中古車掲載'!J558=2023,ISNUMBER('中古車掲載'!N558),'中古車掲載'!N558&gt;=50000,'中古車掲載'!O558&lt;=100000,'中古車掲載'!AL558=1),'中古車掲載'!U558,"")</x:f>
      </x:c>
      <x:c r="BC557" s="3" t="str">
        <x:f>IF(AND('中古車掲載'!C558="One2car",'中古車掲載'!F558="Corolla Cross",'中古車掲載'!L558="HEV PREMIUM SAFETY",'中古車掲載'!J558=2023,ISNUMBER('中古車掲載'!N558),'中古車掲載'!N558&gt;=50000,'中古車掲載'!O558&lt;=100000,'中古車掲載'!AL558=1,'中古車掲載'!Z558="https://www.one2car.com/en/cars-for-sale/toyota/corolla-cross/year-2023"),'中古車掲載'!U558,"")</x:f>
      </x:c>
      <x:c r="BD557" s="3" t="str">
        <x:f>IF(AND('中古車掲載'!C558="One2car",'中古車掲載'!F558="ATTO 3",'中古車掲載'!L558="EXTENDED RANGE",'中古車掲載'!J558=2023,ISNUMBER('中古車掲載'!N558),'中古車掲載'!N558&gt;=20000,'中古車掲載'!O558&lt;=50000,'中古車掲載'!AL558=1),'中古車掲載'!U558,"")</x:f>
      </x:c>
      <x:c r="BE557" s="3" t="str">
        <x:f>IF(AND('中古車掲載'!C558="One2car",'中古車掲載'!F558="Corolla Cross",'中古車掲載'!L558="HEV PREMIUM SAFETY",'中古車掲載'!J558=2023,ISNUMBER('中古車掲載'!N558),'中古車掲載'!N558&gt;=20000,'中古車掲載'!O558&lt;=50000,'中古車掲載'!AL558=1,'中古車掲載'!Z558="https://www.one2car.com/en/cars-for-sale/toyota/corolla-cross/year-2023"),'中古車掲載'!U558,"")</x:f>
      </x:c>
      <x:c r="BF557" s="3" t="str">
        <x:f>IF(AND('中古車掲載'!C558="One2car",'中古車掲載'!F558="Corolla Cross",'中古車掲載'!L558="HEV PREMIUM",'中古車掲載'!J558=2023,ISNUMBER('中古車掲載'!N558),'中古車掲載'!N558&gt;=20000,'中古車掲載'!O558&lt;=100000,'中古車掲載'!AL558=1,'中古車掲載'!Z558="https://www.one2car.com/en/cars-for-sale/toyota/corolla-cross/year-2023"),'中古車掲載'!U558,"")</x:f>
      </x:c>
      <x:c r="BG557" s="3" t="str">
        <x:f>IF(AND('中古車掲載'!C558="One2car",'中古車掲載'!F558="Corolla Cross",'中古車掲載'!L558="HEV GR SPORT",'中古車掲載'!J558=2023,ISNUMBER('中古車掲載'!N558),'中古車掲載'!N558&gt;=20000,'中古車掲載'!O558&lt;=100000,'中古車掲載'!AL558=1,'中古車掲載'!Z558="https://www.one2car.com/en/cars-for-sale/toyota/corolla-cross/year-2023"),'中古車掲載'!U558,"")</x:f>
      </x:c>
      <x:c r="BH557" s="3" t="str">
        <x:f>IF(AND('中古車掲載'!C558="One2car",'中古車掲載'!F558="DOLPHIN",'中古車掲載'!L558="STANDARD RANGE",'中古車掲載'!J558=2023,ISNUMBER('中古車掲載'!N558),'中古車掲載'!N558&gt;=20000,'中古車掲載'!O558&lt;=100000,'中古車掲載'!AL558=1),'中古車掲載'!U558,"")</x:f>
      </x:c>
      <x:c r="BI557" s="3" t="str">
        <x:v>Taladrod|Fortuner|ICE|Unknown</x:v>
      </x:c>
      <x:c r="BJ557" s="3" t="n">
        <x:v>558</x:v>
      </x:c>
      <x:c r="BK557" s="3" t="n">
        <x:f>'中古車掲載'!AM558</x:f>
        <x:v>979000</x:v>
      </x:c>
      <x:c r="BL557" s="3" t="str">
        <x:f>IF(ISNUMBER('中古車掲載'!AN558),'中古車掲載'!AN558,"")</x:f>
      </x:c>
      <x:c r="BM557" s="3"/>
      <x:c r="BN557" s="3"/>
      <x:c r="BO557" s="3"/>
      <x:c r="BP557" s="3"/>
      <x:c r="BQ557" s="3"/>
      <x:c r="BR557" s="3"/>
    </x:row>
    <x:row r="558" ht="22" customHeight="1">
      <x:c r="A558" s="3" t="str">
        <x:v>Hilux Revo</x:v>
      </x:c>
      <x:c r="B558" s="3" t="str">
        <x:v>ICE</x:v>
      </x:c>
      <x:c r="C558" s="3" t="str">
        <x:v>Taladrod</x:v>
      </x:c>
      <x:c r="D558" s="3" t="str">
        <x:v>Pickup</x:v>
      </x:c>
      <x:c r="E558" s="3" t="str">
        <x:v>Double cab</x:v>
      </x:c>
      <x:c r="F558" s="3" t="n">
        <x:v>2024</x:v>
      </x:c>
      <x:c r="G558" s="3" t="str">
        <x:v>2.8 GR SPORT DOUBLE CAB</x:v>
      </x:c>
      <x:c r="H558" s="3" t="str">
        <x:v>未掲載</x:v>
      </x:c>
      <x:c r="I558" s="3" t="str">
        <x:v>世代不明</x:v>
      </x:c>
      <x:c r="J558" s="22" t="n">
        <x:f>COUNT('中古車掲載'!AM893:AM893)</x:f>
        <x:v>1</x:v>
      </x:c>
      <x:c r="K558" s="22" t="n">
        <x:f>IF(COUNT('中古車掲載'!AM893:AM893)=0,"",QUARTILE('中古車掲載'!AM893:AM893,1))</x:f>
        <x:v>678000</x:v>
      </x:c>
      <x:c r="L558" s="22" t="n">
        <x:f>IF(COUNT('中古車掲載'!AM893:AM893)=0,"",MEDIAN('中古車掲載'!AM893:AM893))</x:f>
        <x:v>678000</x:v>
      </x:c>
      <x:c r="M558" s="22" t="n">
        <x:f>IF(COUNT('中古車掲載'!AM893:AM893)=0,"",QUARTILE('中古車掲載'!AM893:AM893,3))</x:f>
        <x:v>678000</x:v>
      </x:c>
      <x:c r="N558" s="22" t="n">
        <x:f>COUNT('中古車掲載'!AN893:AN893)</x:f>
        <x:v>0</x:v>
      </x:c>
      <x:c r="O558" s="23" t="str">
        <x:f>IF(COUNT('中古車掲載'!AN893:AN893)=0,"",MEDIAN('中古車掲載'!AN893:AN893))</x:f>
      </x:c>
      <x:c r="P558" s="3"/>
      <x:c r="Q558" s="3"/>
      <x:c r="R558" s="3"/>
      <x:c r="S558" s="3"/>
      <x:c r="T558" s="3"/>
      <x:c r="U558" s="3"/>
      <x:c r="V558" s="3"/>
      <x:c r="W558" s="3"/>
      <x:c r="X558" s="3"/>
      <x:c r="Y558" s="3"/>
      <x:c r="Z558" s="3"/>
      <x:c r="AA558" s="3"/>
      <x:c r="AB558" s="3"/>
      <x:c r="AC558" s="3"/>
      <x:c r="AD558" s="3"/>
      <x:c r="AE558" s="3"/>
      <x:c r="AF558" s="3"/>
      <x:c r="AG558" s="3"/>
      <x:c r="AH558" s="3"/>
      <x:c r="AI558" s="3"/>
      <x:c r="AJ558" s="3"/>
      <x:c r="AK558" s="3"/>
      <x:c r="AL558" s="3"/>
      <x:c r="AM558" s="3"/>
      <x:c r="AN558" s="3"/>
      <x:c r="AO558" s="3"/>
      <x:c r="AP558" s="3"/>
      <x:c r="AQ558" s="3"/>
      <x:c r="AR558" s="3"/>
      <x:c r="AS558" s="3"/>
      <x:c r="AT558" s="3"/>
      <x:c r="AU558" s="3"/>
      <x:c r="AV558" s="3"/>
      <x:c r="AW558" s="3"/>
      <x:c r="AX558" s="3"/>
      <x:c r="AY558" s="3"/>
      <x:c r="AZ558" s="3" t="str">
        <x:f>IF(AND('中古車掲載'!C559="One2car",'中古車掲載'!F559="ATTO 3",'中古車掲載'!L559="EXTENDED RANGE",'中古車掲載'!J559=2023,ISNUMBER('中古車掲載'!N559),'中古車掲載'!N559&gt;=20000,'中古車掲載'!O559&lt;=100000,'中古車掲載'!AL559=1),'中古車掲載'!U559,"")</x:f>
      </x:c>
      <x:c r="BA558" s="3" t="str">
        <x:f>IF(AND('中古車掲載'!C559="One2car",'中古車掲載'!F559="Corolla Cross",'中古車掲載'!L559="HEV PREMIUM SAFETY",'中古車掲載'!J559=2023,ISNUMBER('中古車掲載'!N559),'中古車掲載'!N559&gt;=20000,'中古車掲載'!O559&lt;=100000,'中古車掲載'!AL559=1,'中古車掲載'!Z559="https://www.one2car.com/en/cars-for-sale/toyota/corolla-cross/year-2023"),'中古車掲載'!U559,"")</x:f>
      </x:c>
      <x:c r="BB558" s="3" t="str">
        <x:f>IF(AND('中古車掲載'!C559="One2car",'中古車掲載'!F559="ATTO 3",'中古車掲載'!L559="EXTENDED RANGE",'中古車掲載'!J559=2023,ISNUMBER('中古車掲載'!N559),'中古車掲載'!N559&gt;=50000,'中古車掲載'!O559&lt;=100000,'中古車掲載'!AL559=1),'中古車掲載'!U559,"")</x:f>
      </x:c>
      <x:c r="BC558" s="3" t="str">
        <x:f>IF(AND('中古車掲載'!C559="One2car",'中古車掲載'!F559="Corolla Cross",'中古車掲載'!L559="HEV PREMIUM SAFETY",'中古車掲載'!J559=2023,ISNUMBER('中古車掲載'!N559),'中古車掲載'!N559&gt;=50000,'中古車掲載'!O559&lt;=100000,'中古車掲載'!AL559=1,'中古車掲載'!Z559="https://www.one2car.com/en/cars-for-sale/toyota/corolla-cross/year-2023"),'中古車掲載'!U559,"")</x:f>
      </x:c>
      <x:c r="BD558" s="3" t="str">
        <x:f>IF(AND('中古車掲載'!C559="One2car",'中古車掲載'!F559="ATTO 3",'中古車掲載'!L559="EXTENDED RANGE",'中古車掲載'!J559=2023,ISNUMBER('中古車掲載'!N559),'中古車掲載'!N559&gt;=20000,'中古車掲載'!O559&lt;=50000,'中古車掲載'!AL559=1),'中古車掲載'!U559,"")</x:f>
      </x:c>
      <x:c r="BE558" s="3" t="str">
        <x:f>IF(AND('中古車掲載'!C559="One2car",'中古車掲載'!F559="Corolla Cross",'中古車掲載'!L559="HEV PREMIUM SAFETY",'中古車掲載'!J559=2023,ISNUMBER('中古車掲載'!N559),'中古車掲載'!N559&gt;=20000,'中古車掲載'!O559&lt;=50000,'中古車掲載'!AL559=1,'中古車掲載'!Z559="https://www.one2car.com/en/cars-for-sale/toyota/corolla-cross/year-2023"),'中古車掲載'!U559,"")</x:f>
      </x:c>
      <x:c r="BF558" s="3" t="str">
        <x:f>IF(AND('中古車掲載'!C559="One2car",'中古車掲載'!F559="Corolla Cross",'中古車掲載'!L559="HEV PREMIUM",'中古車掲載'!J559=2023,ISNUMBER('中古車掲載'!N559),'中古車掲載'!N559&gt;=20000,'中古車掲載'!O559&lt;=100000,'中古車掲載'!AL559=1,'中古車掲載'!Z559="https://www.one2car.com/en/cars-for-sale/toyota/corolla-cross/year-2023"),'中古車掲載'!U559,"")</x:f>
      </x:c>
      <x:c r="BG558" s="3" t="str">
        <x:f>IF(AND('中古車掲載'!C559="One2car",'中古車掲載'!F559="Corolla Cross",'中古車掲載'!L559="HEV GR SPORT",'中古車掲載'!J559=2023,ISNUMBER('中古車掲載'!N559),'中古車掲載'!N559&gt;=20000,'中古車掲載'!O559&lt;=100000,'中古車掲載'!AL559=1,'中古車掲載'!Z559="https://www.one2car.com/en/cars-for-sale/toyota/corolla-cross/year-2023"),'中古車掲載'!U559,"")</x:f>
      </x:c>
      <x:c r="BH558" s="3" t="str">
        <x:f>IF(AND('中古車掲載'!C559="One2car",'中古車掲載'!F559="DOLPHIN",'中古車掲載'!L559="STANDARD RANGE",'中古車掲載'!J559=2023,ISNUMBER('中古車掲載'!N559),'中古車掲載'!N559&gt;=20000,'中古車掲載'!O559&lt;=100000,'中古車掲載'!AL559=1),'中古車掲載'!U559,"")</x:f>
      </x:c>
      <x:c r="BI558" s="3" t="str">
        <x:v>Taladrod|Fortuner|ICE|Unknown</x:v>
      </x:c>
      <x:c r="BJ558" s="3" t="n">
        <x:v>559</x:v>
      </x:c>
      <x:c r="BK558" s="3" t="n">
        <x:f>'中古車掲載'!AM559</x:f>
        <x:v>929000</x:v>
      </x:c>
      <x:c r="BL558" s="3" t="str">
        <x:f>IF(ISNUMBER('中古車掲載'!AN559),'中古車掲載'!AN559,"")</x:f>
      </x:c>
      <x:c r="BM558" s="3"/>
      <x:c r="BN558" s="3"/>
      <x:c r="BO558" s="3"/>
      <x:c r="BP558" s="3"/>
      <x:c r="BQ558" s="3"/>
      <x:c r="BR558" s="3"/>
    </x:row>
    <x:row r="559" ht="22" customHeight="1">
      <x:c r="A559" s="3" t="str">
        <x:v>Hilux Revo</x:v>
      </x:c>
      <x:c r="B559" s="3" t="str">
        <x:v>ICE</x:v>
      </x:c>
      <x:c r="C559" s="3" t="str">
        <x:v>Taladrod</x:v>
      </x:c>
      <x:c r="D559" s="3" t="str">
        <x:v>Pickup</x:v>
      </x:c>
      <x:c r="E559" s="3" t="str">
        <x:v>Double cab</x:v>
      </x:c>
      <x:c r="F559" s="3" t="n">
        <x:v>2025</x:v>
      </x:c>
      <x:c r="G559" s="3" t="str">
        <x:v>2.4 ENTRY PRERUNNER DOUBLE CAB</x:v>
      </x:c>
      <x:c r="H559" s="3" t="str">
        <x:v>未掲載</x:v>
      </x:c>
      <x:c r="I559" s="3" t="str">
        <x:v>世代不明</x:v>
      </x:c>
      <x:c r="J559" s="22" t="n">
        <x:f>COUNT('中古車掲載'!AM894:AM897)</x:f>
        <x:v>4</x:v>
      </x:c>
      <x:c r="K559" s="22" t="n">
        <x:f>IF(COUNT('中古車掲載'!AM894:AM897)=0,"",QUARTILE('中古車掲載'!AM894:AM897,1))</x:f>
        <x:v>694000</x:v>
      </x:c>
      <x:c r="L559" s="22" t="n">
        <x:f>IF(COUNT('中古車掲載'!AM894:AM897)=0,"",MEDIAN('中古車掲載'!AM894:AM897))</x:f>
        <x:v>699000</x:v>
      </x:c>
      <x:c r="M559" s="22" t="n">
        <x:f>IF(COUNT('中古車掲載'!AM894:AM897)=0,"",QUARTILE('中古車掲載'!AM894:AM897,3))</x:f>
        <x:v>699000</x:v>
      </x:c>
      <x:c r="N559" s="22" t="n">
        <x:f>COUNT('中古車掲載'!AN894:AN897)</x:f>
        <x:v>0</x:v>
      </x:c>
      <x:c r="O559" s="23" t="str">
        <x:f>IF(COUNT('中古車掲載'!AN894:AN897)=0,"",MEDIAN('中古車掲載'!AN894:AN897))</x:f>
      </x:c>
      <x:c r="P559" s="3"/>
      <x:c r="Q559" s="3"/>
      <x:c r="R559" s="3"/>
      <x:c r="S559" s="3"/>
      <x:c r="T559" s="3"/>
      <x:c r="U559" s="3"/>
      <x:c r="V559" s="3"/>
      <x:c r="W559" s="3"/>
      <x:c r="X559" s="3"/>
      <x:c r="Y559" s="3"/>
      <x:c r="Z559" s="3"/>
      <x:c r="AA559" s="3"/>
      <x:c r="AB559" s="3"/>
      <x:c r="AC559" s="3"/>
      <x:c r="AD559" s="3"/>
      <x:c r="AE559" s="3"/>
      <x:c r="AF559" s="3"/>
      <x:c r="AG559" s="3"/>
      <x:c r="AH559" s="3"/>
      <x:c r="AI559" s="3"/>
      <x:c r="AJ559" s="3"/>
      <x:c r="AK559" s="3"/>
      <x:c r="AL559" s="3"/>
      <x:c r="AM559" s="3"/>
      <x:c r="AN559" s="3"/>
      <x:c r="AO559" s="3"/>
      <x:c r="AP559" s="3"/>
      <x:c r="AQ559" s="3"/>
      <x:c r="AR559" s="3"/>
      <x:c r="AS559" s="3"/>
      <x:c r="AT559" s="3"/>
      <x:c r="AU559" s="3"/>
      <x:c r="AV559" s="3"/>
      <x:c r="AW559" s="3"/>
      <x:c r="AX559" s="3"/>
      <x:c r="AY559" s="3"/>
      <x:c r="AZ559" s="3" t="str">
        <x:f>IF(AND('中古車掲載'!C560="One2car",'中古車掲載'!F560="ATTO 3",'中古車掲載'!L560="EXTENDED RANGE",'中古車掲載'!J560=2023,ISNUMBER('中古車掲載'!N560),'中古車掲載'!N560&gt;=20000,'中古車掲載'!O560&lt;=100000,'中古車掲載'!AL560=1),'中古車掲載'!U560,"")</x:f>
      </x:c>
      <x:c r="BA559" s="3" t="str">
        <x:f>IF(AND('中古車掲載'!C560="One2car",'中古車掲載'!F560="Corolla Cross",'中古車掲載'!L560="HEV PREMIUM SAFETY",'中古車掲載'!J560=2023,ISNUMBER('中古車掲載'!N560),'中古車掲載'!N560&gt;=20000,'中古車掲載'!O560&lt;=100000,'中古車掲載'!AL560=1,'中古車掲載'!Z560="https://www.one2car.com/en/cars-for-sale/toyota/corolla-cross/year-2023"),'中古車掲載'!U560,"")</x:f>
      </x:c>
      <x:c r="BB559" s="3" t="str">
        <x:f>IF(AND('中古車掲載'!C560="One2car",'中古車掲載'!F560="ATTO 3",'中古車掲載'!L560="EXTENDED RANGE",'中古車掲載'!J560=2023,ISNUMBER('中古車掲載'!N560),'中古車掲載'!N560&gt;=50000,'中古車掲載'!O560&lt;=100000,'中古車掲載'!AL560=1),'中古車掲載'!U560,"")</x:f>
      </x:c>
      <x:c r="BC559" s="3" t="str">
        <x:f>IF(AND('中古車掲載'!C560="One2car",'中古車掲載'!F560="Corolla Cross",'中古車掲載'!L560="HEV PREMIUM SAFETY",'中古車掲載'!J560=2023,ISNUMBER('中古車掲載'!N560),'中古車掲載'!N560&gt;=50000,'中古車掲載'!O560&lt;=100000,'中古車掲載'!AL560=1,'中古車掲載'!Z560="https://www.one2car.com/en/cars-for-sale/toyota/corolla-cross/year-2023"),'中古車掲載'!U560,"")</x:f>
      </x:c>
      <x:c r="BD559" s="3" t="str">
        <x:f>IF(AND('中古車掲載'!C560="One2car",'中古車掲載'!F560="ATTO 3",'中古車掲載'!L560="EXTENDED RANGE",'中古車掲載'!J560=2023,ISNUMBER('中古車掲載'!N560),'中古車掲載'!N560&gt;=20000,'中古車掲載'!O560&lt;=50000,'中古車掲載'!AL560=1),'中古車掲載'!U560,"")</x:f>
      </x:c>
      <x:c r="BE559" s="3" t="str">
        <x:f>IF(AND('中古車掲載'!C560="One2car",'中古車掲載'!F560="Corolla Cross",'中古車掲載'!L560="HEV PREMIUM SAFETY",'中古車掲載'!J560=2023,ISNUMBER('中古車掲載'!N560),'中古車掲載'!N560&gt;=20000,'中古車掲載'!O560&lt;=50000,'中古車掲載'!AL560=1,'中古車掲載'!Z560="https://www.one2car.com/en/cars-for-sale/toyota/corolla-cross/year-2023"),'中古車掲載'!U560,"")</x:f>
      </x:c>
      <x:c r="BF559" s="3" t="str">
        <x:f>IF(AND('中古車掲載'!C560="One2car",'中古車掲載'!F560="Corolla Cross",'中古車掲載'!L560="HEV PREMIUM",'中古車掲載'!J560=2023,ISNUMBER('中古車掲載'!N560),'中古車掲載'!N560&gt;=20000,'中古車掲載'!O560&lt;=100000,'中古車掲載'!AL560=1,'中古車掲載'!Z560="https://www.one2car.com/en/cars-for-sale/toyota/corolla-cross/year-2023"),'中古車掲載'!U560,"")</x:f>
      </x:c>
      <x:c r="BG559" s="3" t="str">
        <x:f>IF(AND('中古車掲載'!C560="One2car",'中古車掲載'!F560="Corolla Cross",'中古車掲載'!L560="HEV GR SPORT",'中古車掲載'!J560=2023,ISNUMBER('中古車掲載'!N560),'中古車掲載'!N560&gt;=20000,'中古車掲載'!O560&lt;=100000,'中古車掲載'!AL560=1,'中古車掲載'!Z560="https://www.one2car.com/en/cars-for-sale/toyota/corolla-cross/year-2023"),'中古車掲載'!U560,"")</x:f>
      </x:c>
      <x:c r="BH559" s="3" t="str">
        <x:f>IF(AND('中古車掲載'!C560="One2car",'中古車掲載'!F560="DOLPHIN",'中古車掲載'!L560="STANDARD RANGE",'中古車掲載'!J560=2023,ISNUMBER('中古車掲載'!N560),'中古車掲載'!N560&gt;=20000,'中古車掲載'!O560&lt;=100000,'中古車掲載'!AL560=1),'中古車掲載'!U560,"")</x:f>
      </x:c>
      <x:c r="BI559" s="3" t="str">
        <x:v>Taladrod|Fortuner|ICE|Unknown</x:v>
      </x:c>
      <x:c r="BJ559" s="3" t="n">
        <x:v>560</x:v>
      </x:c>
      <x:c r="BK559" s="3" t="n">
        <x:f>'中古車掲載'!AM560</x:f>
        <x:v>999000</x:v>
      </x:c>
      <x:c r="BL559" s="3" t="str">
        <x:f>IF(ISNUMBER('中古車掲載'!AN560),'中古車掲載'!AN560,"")</x:f>
      </x:c>
      <x:c r="BM559" s="3"/>
      <x:c r="BN559" s="3"/>
      <x:c r="BO559" s="3"/>
      <x:c r="BP559" s="3"/>
      <x:c r="BQ559" s="3"/>
      <x:c r="BR559" s="3"/>
    </x:row>
    <x:row r="560" ht="22" customHeight="1">
      <x:c r="A560" s="3" t="str">
        <x:v>Hilux Revo</x:v>
      </x:c>
      <x:c r="B560" s="3" t="str">
        <x:v>ICE</x:v>
      </x:c>
      <x:c r="C560" s="3" t="str">
        <x:v>Taladrod</x:v>
      </x:c>
      <x:c r="D560" s="3" t="str">
        <x:v>Pickup</x:v>
      </x:c>
      <x:c r="E560" s="3" t="str">
        <x:v>Double cab</x:v>
      </x:c>
      <x:c r="F560" s="3" t="n">
        <x:v>2025</x:v>
      </x:c>
      <x:c r="G560" s="3" t="str">
        <x:v>2.4 ENTRY Z EDITION DOUBLE CAB</x:v>
      </x:c>
      <x:c r="H560" s="3" t="str">
        <x:v>未掲載</x:v>
      </x:c>
      <x:c r="I560" s="3" t="str">
        <x:v>世代不明</x:v>
      </x:c>
      <x:c r="J560" s="22" t="n">
        <x:f>COUNT('中古車掲載'!AM907:AM909)</x:f>
        <x:v>3</x:v>
      </x:c>
      <x:c r="K560" s="22" t="n">
        <x:f>IF(COUNT('中古車掲載'!AM907:AM909)=0,"",QUARTILE('中古車掲載'!AM907:AM909,1))</x:f>
        <x:v>554000</x:v>
      </x:c>
      <x:c r="L560" s="22" t="n">
        <x:f>IF(COUNT('中古車掲載'!AM907:AM909)=0,"",MEDIAN('中古車掲載'!AM907:AM909))</x:f>
        <x:v>589000</x:v>
      </x:c>
      <x:c r="M560" s="22" t="n">
        <x:f>IF(COUNT('中古車掲載'!AM907:AM909)=0,"",QUARTILE('中古車掲載'!AM907:AM909,3))</x:f>
        <x:v>594000</x:v>
      </x:c>
      <x:c r="N560" s="22" t="n">
        <x:f>COUNT('中古車掲載'!AN907:AN909)</x:f>
        <x:v>0</x:v>
      </x:c>
      <x:c r="O560" s="23" t="str">
        <x:f>IF(COUNT('中古車掲載'!AN907:AN909)=0,"",MEDIAN('中古車掲載'!AN907:AN909))</x:f>
      </x:c>
      <x:c r="P560" s="3"/>
      <x:c r="Q560" s="3"/>
      <x:c r="R560" s="3"/>
      <x:c r="S560" s="3"/>
      <x:c r="T560" s="3"/>
      <x:c r="U560" s="3"/>
      <x:c r="V560" s="3"/>
      <x:c r="W560" s="3"/>
      <x:c r="X560" s="3"/>
      <x:c r="Y560" s="3"/>
      <x:c r="Z560" s="3"/>
      <x:c r="AA560" s="3"/>
      <x:c r="AB560" s="3"/>
      <x:c r="AC560" s="3"/>
      <x:c r="AD560" s="3"/>
      <x:c r="AE560" s="3"/>
      <x:c r="AF560" s="3"/>
      <x:c r="AG560" s="3"/>
      <x:c r="AH560" s="3"/>
      <x:c r="AI560" s="3"/>
      <x:c r="AJ560" s="3"/>
      <x:c r="AK560" s="3"/>
      <x:c r="AL560" s="3"/>
      <x:c r="AM560" s="3"/>
      <x:c r="AN560" s="3"/>
      <x:c r="AO560" s="3"/>
      <x:c r="AP560" s="3"/>
      <x:c r="AQ560" s="3"/>
      <x:c r="AR560" s="3"/>
      <x:c r="AS560" s="3"/>
      <x:c r="AT560" s="3"/>
      <x:c r="AU560" s="3"/>
      <x:c r="AV560" s="3"/>
      <x:c r="AW560" s="3"/>
      <x:c r="AX560" s="3"/>
      <x:c r="AY560" s="3"/>
      <x:c r="AZ560" s="3" t="str">
        <x:f>IF(AND('中古車掲載'!C561="One2car",'中古車掲載'!F561="ATTO 3",'中古車掲載'!L561="EXTENDED RANGE",'中古車掲載'!J561=2023,ISNUMBER('中古車掲載'!N561),'中古車掲載'!N561&gt;=20000,'中古車掲載'!O561&lt;=100000,'中古車掲載'!AL561=1),'中古車掲載'!U561,"")</x:f>
      </x:c>
      <x:c r="BA560" s="3" t="str">
        <x:f>IF(AND('中古車掲載'!C561="One2car",'中古車掲載'!F561="Corolla Cross",'中古車掲載'!L561="HEV PREMIUM SAFETY",'中古車掲載'!J561=2023,ISNUMBER('中古車掲載'!N561),'中古車掲載'!N561&gt;=20000,'中古車掲載'!O561&lt;=100000,'中古車掲載'!AL561=1,'中古車掲載'!Z561="https://www.one2car.com/en/cars-for-sale/toyota/corolla-cross/year-2023"),'中古車掲載'!U561,"")</x:f>
      </x:c>
      <x:c r="BB560" s="3" t="str">
        <x:f>IF(AND('中古車掲載'!C561="One2car",'中古車掲載'!F561="ATTO 3",'中古車掲載'!L561="EXTENDED RANGE",'中古車掲載'!J561=2023,ISNUMBER('中古車掲載'!N561),'中古車掲載'!N561&gt;=50000,'中古車掲載'!O561&lt;=100000,'中古車掲載'!AL561=1),'中古車掲載'!U561,"")</x:f>
      </x:c>
      <x:c r="BC560" s="3" t="str">
        <x:f>IF(AND('中古車掲載'!C561="One2car",'中古車掲載'!F561="Corolla Cross",'中古車掲載'!L561="HEV PREMIUM SAFETY",'中古車掲載'!J561=2023,ISNUMBER('中古車掲載'!N561),'中古車掲載'!N561&gt;=50000,'中古車掲載'!O561&lt;=100000,'中古車掲載'!AL561=1,'中古車掲載'!Z561="https://www.one2car.com/en/cars-for-sale/toyota/corolla-cross/year-2023"),'中古車掲載'!U561,"")</x:f>
      </x:c>
      <x:c r="BD560" s="3" t="str">
        <x:f>IF(AND('中古車掲載'!C561="One2car",'中古車掲載'!F561="ATTO 3",'中古車掲載'!L561="EXTENDED RANGE",'中古車掲載'!J561=2023,ISNUMBER('中古車掲載'!N561),'中古車掲載'!N561&gt;=20000,'中古車掲載'!O561&lt;=50000,'中古車掲載'!AL561=1),'中古車掲載'!U561,"")</x:f>
      </x:c>
      <x:c r="BE560" s="3" t="str">
        <x:f>IF(AND('中古車掲載'!C561="One2car",'中古車掲載'!F561="Corolla Cross",'中古車掲載'!L561="HEV PREMIUM SAFETY",'中古車掲載'!J561=2023,ISNUMBER('中古車掲載'!N561),'中古車掲載'!N561&gt;=20000,'中古車掲載'!O561&lt;=50000,'中古車掲載'!AL561=1,'中古車掲載'!Z561="https://www.one2car.com/en/cars-for-sale/toyota/corolla-cross/year-2023"),'中古車掲載'!U561,"")</x:f>
      </x:c>
      <x:c r="BF560" s="3" t="str">
        <x:f>IF(AND('中古車掲載'!C561="One2car",'中古車掲載'!F561="Corolla Cross",'中古車掲載'!L561="HEV PREMIUM",'中古車掲載'!J561=2023,ISNUMBER('中古車掲載'!N561),'中古車掲載'!N561&gt;=20000,'中古車掲載'!O561&lt;=100000,'中古車掲載'!AL561=1,'中古車掲載'!Z561="https://www.one2car.com/en/cars-for-sale/toyota/corolla-cross/year-2023"),'中古車掲載'!U561,"")</x:f>
      </x:c>
      <x:c r="BG560" s="3" t="str">
        <x:f>IF(AND('中古車掲載'!C561="One2car",'中古車掲載'!F561="Corolla Cross",'中古車掲載'!L561="HEV GR SPORT",'中古車掲載'!J561=2023,ISNUMBER('中古車掲載'!N561),'中古車掲載'!N561&gt;=20000,'中古車掲載'!O561&lt;=100000,'中古車掲載'!AL561=1,'中古車掲載'!Z561="https://www.one2car.com/en/cars-for-sale/toyota/corolla-cross/year-2023"),'中古車掲載'!U561,"")</x:f>
      </x:c>
      <x:c r="BH560" s="3" t="str">
        <x:f>IF(AND('中古車掲載'!C561="One2car",'中古車掲載'!F561="DOLPHIN",'中古車掲載'!L561="STANDARD RANGE",'中古車掲載'!J561=2023,ISNUMBER('中古車掲載'!N561),'中古車掲載'!N561&gt;=20000,'中古車掲載'!O561&lt;=100000,'中古車掲載'!AL561=1),'中古車掲載'!U561,"")</x:f>
      </x:c>
      <x:c r="BI560" s="3" t="str">
        <x:v>Taladrod|Fortuner|ICE|Unknown</x:v>
      </x:c>
      <x:c r="BJ560" s="3" t="n">
        <x:v>561</x:v>
      </x:c>
      <x:c r="BK560" s="3" t="n">
        <x:f>'中古車掲載'!AM561</x:f>
        <x:v>929000</x:v>
      </x:c>
      <x:c r="BL560" s="3" t="str">
        <x:f>IF(ISNUMBER('中古車掲載'!AN561),'中古車掲載'!AN561,"")</x:f>
      </x:c>
      <x:c r="BM560" s="3"/>
      <x:c r="BN560" s="3"/>
      <x:c r="BO560" s="3"/>
      <x:c r="BP560" s="3"/>
      <x:c r="BQ560" s="3"/>
      <x:c r="BR560" s="3"/>
    </x:row>
    <x:row r="561" ht="22" customHeight="1">
      <x:c r="A561" s="3" t="str">
        <x:v>Hilux Revo</x:v>
      </x:c>
      <x:c r="B561" s="3" t="str">
        <x:v>ICE</x:v>
      </x:c>
      <x:c r="C561" s="3" t="str">
        <x:v>Taladrod</x:v>
      </x:c>
      <x:c r="D561" s="3" t="str">
        <x:v>Pickup</x:v>
      </x:c>
      <x:c r="E561" s="3" t="str">
        <x:v>Double cab</x:v>
      </x:c>
      <x:c r="F561" s="3" t="n">
        <x:v>2025</x:v>
      </x:c>
      <x:c r="G561" s="3" t="str">
        <x:v>2.4 MID PRERUNNER DOUBLE CAB</x:v>
      </x:c>
      <x:c r="H561" s="3" t="str">
        <x:v>未掲載</x:v>
      </x:c>
      <x:c r="I561" s="3" t="str">
        <x:v>世代不明</x:v>
      </x:c>
      <x:c r="J561" s="22" t="n">
        <x:f>COUNT('中古車掲載'!AM910:AM913)</x:f>
        <x:v>4</x:v>
      </x:c>
      <x:c r="K561" s="22" t="n">
        <x:f>IF(COUNT('中古車掲載'!AM910:AM913)=0,"",QUARTILE('中古車掲載'!AM910:AM913,1))</x:f>
        <x:v>726500</x:v>
      </x:c>
      <x:c r="L561" s="22" t="n">
        <x:f>IF(COUNT('中古車掲載'!AM910:AM913)=0,"",MEDIAN('中古車掲載'!AM910:AM913))</x:f>
        <x:v>749000</x:v>
      </x:c>
      <x:c r="M561" s="22" t="n">
        <x:f>IF(COUNT('中古車掲載'!AM910:AM913)=0,"",QUARTILE('中古車掲載'!AM910:AM913,3))</x:f>
        <x:v>771500</x:v>
      </x:c>
      <x:c r="N561" s="22" t="n">
        <x:f>COUNT('中古車掲載'!AN910:AN913)</x:f>
        <x:v>0</x:v>
      </x:c>
      <x:c r="O561" s="23" t="str">
        <x:f>IF(COUNT('中古車掲載'!AN910:AN913)=0,"",MEDIAN('中古車掲載'!AN910:AN913))</x:f>
      </x:c>
      <x:c r="P561" s="3"/>
      <x:c r="Q561" s="3"/>
      <x:c r="R561" s="3"/>
      <x:c r="S561" s="3"/>
      <x:c r="T561" s="3"/>
      <x:c r="U561" s="3"/>
      <x:c r="V561" s="3"/>
      <x:c r="W561" s="3"/>
      <x:c r="X561" s="3"/>
      <x:c r="Y561" s="3"/>
      <x:c r="Z561" s="3"/>
      <x:c r="AA561" s="3"/>
      <x:c r="AB561" s="3"/>
      <x:c r="AC561" s="3"/>
      <x:c r="AD561" s="3"/>
      <x:c r="AE561" s="3"/>
      <x:c r="AF561" s="3"/>
      <x:c r="AG561" s="3"/>
      <x:c r="AH561" s="3"/>
      <x:c r="AI561" s="3"/>
      <x:c r="AJ561" s="3"/>
      <x:c r="AK561" s="3"/>
      <x:c r="AL561" s="3"/>
      <x:c r="AM561" s="3"/>
      <x:c r="AN561" s="3"/>
      <x:c r="AO561" s="3"/>
      <x:c r="AP561" s="3"/>
      <x:c r="AQ561" s="3"/>
      <x:c r="AR561" s="3"/>
      <x:c r="AS561" s="3"/>
      <x:c r="AT561" s="3"/>
      <x:c r="AU561" s="3"/>
      <x:c r="AV561" s="3"/>
      <x:c r="AW561" s="3"/>
      <x:c r="AX561" s="3"/>
      <x:c r="AY561" s="3"/>
      <x:c r="AZ561" s="3" t="str">
        <x:f>IF(AND('中古車掲載'!C562="One2car",'中古車掲載'!F562="ATTO 3",'中古車掲載'!L562="EXTENDED RANGE",'中古車掲載'!J562=2023,ISNUMBER('中古車掲載'!N562),'中古車掲載'!N562&gt;=20000,'中古車掲載'!O562&lt;=100000,'中古車掲載'!AL562=1),'中古車掲載'!U562,"")</x:f>
      </x:c>
      <x:c r="BA561" s="3" t="str">
        <x:f>IF(AND('中古車掲載'!C562="One2car",'中古車掲載'!F562="Corolla Cross",'中古車掲載'!L562="HEV PREMIUM SAFETY",'中古車掲載'!J562=2023,ISNUMBER('中古車掲載'!N562),'中古車掲載'!N562&gt;=20000,'中古車掲載'!O562&lt;=100000,'中古車掲載'!AL562=1,'中古車掲載'!Z562="https://www.one2car.com/en/cars-for-sale/toyota/corolla-cross/year-2023"),'中古車掲載'!U562,"")</x:f>
      </x:c>
      <x:c r="BB561" s="3" t="str">
        <x:f>IF(AND('中古車掲載'!C562="One2car",'中古車掲載'!F562="ATTO 3",'中古車掲載'!L562="EXTENDED RANGE",'中古車掲載'!J562=2023,ISNUMBER('中古車掲載'!N562),'中古車掲載'!N562&gt;=50000,'中古車掲載'!O562&lt;=100000,'中古車掲載'!AL562=1),'中古車掲載'!U562,"")</x:f>
      </x:c>
      <x:c r="BC561" s="3" t="str">
        <x:f>IF(AND('中古車掲載'!C562="One2car",'中古車掲載'!F562="Corolla Cross",'中古車掲載'!L562="HEV PREMIUM SAFETY",'中古車掲載'!J562=2023,ISNUMBER('中古車掲載'!N562),'中古車掲載'!N562&gt;=50000,'中古車掲載'!O562&lt;=100000,'中古車掲載'!AL562=1,'中古車掲載'!Z562="https://www.one2car.com/en/cars-for-sale/toyota/corolla-cross/year-2023"),'中古車掲載'!U562,"")</x:f>
      </x:c>
      <x:c r="BD561" s="3" t="str">
        <x:f>IF(AND('中古車掲載'!C562="One2car",'中古車掲載'!F562="ATTO 3",'中古車掲載'!L562="EXTENDED RANGE",'中古車掲載'!J562=2023,ISNUMBER('中古車掲載'!N562),'中古車掲載'!N562&gt;=20000,'中古車掲載'!O562&lt;=50000,'中古車掲載'!AL562=1),'中古車掲載'!U562,"")</x:f>
      </x:c>
      <x:c r="BE561" s="3" t="str">
        <x:f>IF(AND('中古車掲載'!C562="One2car",'中古車掲載'!F562="Corolla Cross",'中古車掲載'!L562="HEV PREMIUM SAFETY",'中古車掲載'!J562=2023,ISNUMBER('中古車掲載'!N562),'中古車掲載'!N562&gt;=20000,'中古車掲載'!O562&lt;=50000,'中古車掲載'!AL562=1,'中古車掲載'!Z562="https://www.one2car.com/en/cars-for-sale/toyota/corolla-cross/year-2023"),'中古車掲載'!U562,"")</x:f>
      </x:c>
      <x:c r="BF561" s="3" t="str">
        <x:f>IF(AND('中古車掲載'!C562="One2car",'中古車掲載'!F562="Corolla Cross",'中古車掲載'!L562="HEV PREMIUM",'中古車掲載'!J562=2023,ISNUMBER('中古車掲載'!N562),'中古車掲載'!N562&gt;=20000,'中古車掲載'!O562&lt;=100000,'中古車掲載'!AL562=1,'中古車掲載'!Z562="https://www.one2car.com/en/cars-for-sale/toyota/corolla-cross/year-2023"),'中古車掲載'!U562,"")</x:f>
      </x:c>
      <x:c r="BG561" s="3" t="str">
        <x:f>IF(AND('中古車掲載'!C562="One2car",'中古車掲載'!F562="Corolla Cross",'中古車掲載'!L562="HEV GR SPORT",'中古車掲載'!J562=2023,ISNUMBER('中古車掲載'!N562),'中古車掲載'!N562&gt;=20000,'中古車掲載'!O562&lt;=100000,'中古車掲載'!AL562=1,'中古車掲載'!Z562="https://www.one2car.com/en/cars-for-sale/toyota/corolla-cross/year-2023"),'中古車掲載'!U562,"")</x:f>
      </x:c>
      <x:c r="BH561" s="3" t="str">
        <x:f>IF(AND('中古車掲載'!C562="One2car",'中古車掲載'!F562="DOLPHIN",'中古車掲載'!L562="STANDARD RANGE",'中古車掲載'!J562=2023,ISNUMBER('中古車掲載'!N562),'中古車掲載'!N562&gt;=20000,'中古車掲載'!O562&lt;=100000,'中古車掲載'!AL562=1),'中古車掲載'!U562,"")</x:f>
      </x:c>
      <x:c r="BI561" s="3" t="str">
        <x:v>Taladrod|Fortuner|ICE|Unknown</x:v>
      </x:c>
      <x:c r="BJ561" s="3" t="n">
        <x:v>562</x:v>
      </x:c>
      <x:c r="BK561" s="3" t="n">
        <x:f>'中古車掲載'!AM562</x:f>
        <x:v>899000</x:v>
      </x:c>
      <x:c r="BL561" s="3" t="str">
        <x:f>IF(ISNUMBER('中古車掲載'!AN562),'中古車掲載'!AN562,"")</x:f>
      </x:c>
      <x:c r="BM561" s="3"/>
      <x:c r="BN561" s="3"/>
      <x:c r="BO561" s="3"/>
      <x:c r="BP561" s="3"/>
      <x:c r="BQ561" s="3"/>
      <x:c r="BR561" s="3"/>
    </x:row>
    <x:row r="562" ht="22" customHeight="1">
      <x:c r="A562" s="3" t="str">
        <x:v>Hilux Revo</x:v>
      </x:c>
      <x:c r="B562" s="3" t="str">
        <x:v>ICE</x:v>
      </x:c>
      <x:c r="C562" s="3" t="str">
        <x:v>Taladrod</x:v>
      </x:c>
      <x:c r="D562" s="3" t="str">
        <x:v>Pickup</x:v>
      </x:c>
      <x:c r="E562" s="3" t="str">
        <x:v>Double cab</x:v>
      </x:c>
      <x:c r="F562" s="3" t="n">
        <x:v>2025</x:v>
      </x:c>
      <x:c r="G562" s="3" t="str">
        <x:v>2.4 MID Z EDITION DOUBLE CAB</x:v>
      </x:c>
      <x:c r="H562" s="3" t="str">
        <x:v>未掲載</x:v>
      </x:c>
      <x:c r="I562" s="3" t="str">
        <x:v>世代不明</x:v>
      </x:c>
      <x:c r="J562" s="22" t="n">
        <x:f>COUNT('中古車掲載'!AM917:AM917)</x:f>
        <x:v>1</x:v>
      </x:c>
      <x:c r="K562" s="22" t="n">
        <x:f>IF(COUNT('中古車掲載'!AM917:AM917)=0,"",QUARTILE('中古車掲載'!AM917:AM917,1))</x:f>
        <x:v>649000</x:v>
      </x:c>
      <x:c r="L562" s="22" t="n">
        <x:f>IF(COUNT('中古車掲載'!AM917:AM917)=0,"",MEDIAN('中古車掲載'!AM917:AM917))</x:f>
        <x:v>649000</x:v>
      </x:c>
      <x:c r="M562" s="22" t="n">
        <x:f>IF(COUNT('中古車掲載'!AM917:AM917)=0,"",QUARTILE('中古車掲載'!AM917:AM917,3))</x:f>
        <x:v>649000</x:v>
      </x:c>
      <x:c r="N562" s="22" t="n">
        <x:f>COUNT('中古車掲載'!AN917:AN917)</x:f>
        <x:v>0</x:v>
      </x:c>
      <x:c r="O562" s="23" t="str">
        <x:f>IF(COUNT('中古車掲載'!AN917:AN917)=0,"",MEDIAN('中古車掲載'!AN917:AN917))</x:f>
      </x:c>
      <x:c r="P562" s="3"/>
      <x:c r="Q562" s="3"/>
      <x:c r="R562" s="3"/>
      <x:c r="S562" s="3"/>
      <x:c r="T562" s="3"/>
      <x:c r="U562" s="3"/>
      <x:c r="V562" s="3"/>
      <x:c r="W562" s="3"/>
      <x:c r="X562" s="3"/>
      <x:c r="Y562" s="3"/>
      <x:c r="Z562" s="3"/>
      <x:c r="AA562" s="3"/>
      <x:c r="AB562" s="3"/>
      <x:c r="AC562" s="3"/>
      <x:c r="AD562" s="3"/>
      <x:c r="AE562" s="3"/>
      <x:c r="AF562" s="3"/>
      <x:c r="AG562" s="3"/>
      <x:c r="AH562" s="3"/>
      <x:c r="AI562" s="3"/>
      <x:c r="AJ562" s="3"/>
      <x:c r="AK562" s="3"/>
      <x:c r="AL562" s="3"/>
      <x:c r="AM562" s="3"/>
      <x:c r="AN562" s="3"/>
      <x:c r="AO562" s="3"/>
      <x:c r="AP562" s="3"/>
      <x:c r="AQ562" s="3"/>
      <x:c r="AR562" s="3"/>
      <x:c r="AS562" s="3"/>
      <x:c r="AT562" s="3"/>
      <x:c r="AU562" s="3"/>
      <x:c r="AV562" s="3"/>
      <x:c r="AW562" s="3"/>
      <x:c r="AX562" s="3"/>
      <x:c r="AY562" s="3"/>
      <x:c r="AZ562" s="3" t="str">
        <x:f>IF(AND('中古車掲載'!C563="One2car",'中古車掲載'!F563="ATTO 3",'中古車掲載'!L563="EXTENDED RANGE",'中古車掲載'!J563=2023,ISNUMBER('中古車掲載'!N563),'中古車掲載'!N563&gt;=20000,'中古車掲載'!O563&lt;=100000,'中古車掲載'!AL563=1),'中古車掲載'!U563,"")</x:f>
      </x:c>
      <x:c r="BA562" s="3" t="str">
        <x:f>IF(AND('中古車掲載'!C563="One2car",'中古車掲載'!F563="Corolla Cross",'中古車掲載'!L563="HEV PREMIUM SAFETY",'中古車掲載'!J563=2023,ISNUMBER('中古車掲載'!N563),'中古車掲載'!N563&gt;=20000,'中古車掲載'!O563&lt;=100000,'中古車掲載'!AL563=1,'中古車掲載'!Z563="https://www.one2car.com/en/cars-for-sale/toyota/corolla-cross/year-2023"),'中古車掲載'!U563,"")</x:f>
      </x:c>
      <x:c r="BB562" s="3" t="str">
        <x:f>IF(AND('中古車掲載'!C563="One2car",'中古車掲載'!F563="ATTO 3",'中古車掲載'!L563="EXTENDED RANGE",'中古車掲載'!J563=2023,ISNUMBER('中古車掲載'!N563),'中古車掲載'!N563&gt;=50000,'中古車掲載'!O563&lt;=100000,'中古車掲載'!AL563=1),'中古車掲載'!U563,"")</x:f>
      </x:c>
      <x:c r="BC562" s="3" t="str">
        <x:f>IF(AND('中古車掲載'!C563="One2car",'中古車掲載'!F563="Corolla Cross",'中古車掲載'!L563="HEV PREMIUM SAFETY",'中古車掲載'!J563=2023,ISNUMBER('中古車掲載'!N563),'中古車掲載'!N563&gt;=50000,'中古車掲載'!O563&lt;=100000,'中古車掲載'!AL563=1,'中古車掲載'!Z563="https://www.one2car.com/en/cars-for-sale/toyota/corolla-cross/year-2023"),'中古車掲載'!U563,"")</x:f>
      </x:c>
      <x:c r="BD562" s="3" t="str">
        <x:f>IF(AND('中古車掲載'!C563="One2car",'中古車掲載'!F563="ATTO 3",'中古車掲載'!L563="EXTENDED RANGE",'中古車掲載'!J563=2023,ISNUMBER('中古車掲載'!N563),'中古車掲載'!N563&gt;=20000,'中古車掲載'!O563&lt;=50000,'中古車掲載'!AL563=1),'中古車掲載'!U563,"")</x:f>
      </x:c>
      <x:c r="BE562" s="3" t="str">
        <x:f>IF(AND('中古車掲載'!C563="One2car",'中古車掲載'!F563="Corolla Cross",'中古車掲載'!L563="HEV PREMIUM SAFETY",'中古車掲載'!J563=2023,ISNUMBER('中古車掲載'!N563),'中古車掲載'!N563&gt;=20000,'中古車掲載'!O563&lt;=50000,'中古車掲載'!AL563=1,'中古車掲載'!Z563="https://www.one2car.com/en/cars-for-sale/toyota/corolla-cross/year-2023"),'中古車掲載'!U563,"")</x:f>
      </x:c>
      <x:c r="BF562" s="3" t="str">
        <x:f>IF(AND('中古車掲載'!C563="One2car",'中古車掲載'!F563="Corolla Cross",'中古車掲載'!L563="HEV PREMIUM",'中古車掲載'!J563=2023,ISNUMBER('中古車掲載'!N563),'中古車掲載'!N563&gt;=20000,'中古車掲載'!O563&lt;=100000,'中古車掲載'!AL563=1,'中古車掲載'!Z563="https://www.one2car.com/en/cars-for-sale/toyota/corolla-cross/year-2023"),'中古車掲載'!U563,"")</x:f>
      </x:c>
      <x:c r="BG562" s="3" t="str">
        <x:f>IF(AND('中古車掲載'!C563="One2car",'中古車掲載'!F563="Corolla Cross",'中古車掲載'!L563="HEV GR SPORT",'中古車掲載'!J563=2023,ISNUMBER('中古車掲載'!N563),'中古車掲載'!N563&gt;=20000,'中古車掲載'!O563&lt;=100000,'中古車掲載'!AL563=1,'中古車掲載'!Z563="https://www.one2car.com/en/cars-for-sale/toyota/corolla-cross/year-2023"),'中古車掲載'!U563,"")</x:f>
      </x:c>
      <x:c r="BH562" s="3" t="str">
        <x:f>IF(AND('中古車掲載'!C563="One2car",'中古車掲載'!F563="DOLPHIN",'中古車掲載'!L563="STANDARD RANGE",'中古車掲載'!J563=2023,ISNUMBER('中古車掲載'!N563),'中古車掲載'!N563&gt;=20000,'中古車掲載'!O563&lt;=100000,'中古車掲載'!AL563=1),'中古車掲載'!U563,"")</x:f>
      </x:c>
      <x:c r="BI562" s="3" t="str">
        <x:v>Taladrod|Fortuner|ICE|Unknown</x:v>
      </x:c>
      <x:c r="BJ562" s="3" t="n">
        <x:v>563</x:v>
      </x:c>
      <x:c r="BK562" s="3" t="n">
        <x:f>'中古車掲載'!AM563</x:f>
        <x:v>898000</x:v>
      </x:c>
      <x:c r="BL562" s="3" t="str">
        <x:f>IF(ISNUMBER('中古車掲載'!AN563),'中古車掲載'!AN563,"")</x:f>
      </x:c>
      <x:c r="BM562" s="3"/>
      <x:c r="BN562" s="3"/>
      <x:c r="BO562" s="3"/>
      <x:c r="BP562" s="3"/>
      <x:c r="BQ562" s="3"/>
      <x:c r="BR562" s="3"/>
    </x:row>
    <x:row r="563" ht="22" customHeight="1">
      <x:c r="A563" s="3" t="str">
        <x:v>Hilux Revo</x:v>
      </x:c>
      <x:c r="B563" s="3" t="str">
        <x:v>ICE</x:v>
      </x:c>
      <x:c r="C563" s="3" t="str">
        <x:v>Taladrod</x:v>
      </x:c>
      <x:c r="D563" s="3" t="str">
        <x:v>Pickup</x:v>
      </x:c>
      <x:c r="E563" s="3" t="str">
        <x:v>Single cab</x:v>
      </x:c>
      <x:c r="F563" s="3" t="n">
        <x:v>2020</x:v>
      </x:c>
      <x:c r="G563" s="3" t="str">
        <x:v>2.4 ENTRY STANDARD CAB</x:v>
      </x:c>
      <x:c r="H563" s="3" t="str">
        <x:v>未掲載</x:v>
      </x:c>
      <x:c r="I563" s="3" t="str">
        <x:v>世代不明</x:v>
      </x:c>
      <x:c r="J563" s="22" t="n">
        <x:f>COUNT('中古車掲載'!AM660:AM663)</x:f>
        <x:v>4</x:v>
      </x:c>
      <x:c r="K563" s="22" t="n">
        <x:f>IF(COUNT('中古車掲載'!AM660:AM663)=0,"",QUARTILE('中古車掲載'!AM660:AM663,1))</x:f>
        <x:v>345500</x:v>
      </x:c>
      <x:c r="L563" s="22" t="n">
        <x:f>IF(COUNT('中古車掲載'!AM660:AM663)=0,"",MEDIAN('中古車掲載'!AM660:AM663))</x:f>
        <x:v>376500</x:v>
      </x:c>
      <x:c r="M563" s="22" t="n">
        <x:f>IF(COUNT('中古車掲載'!AM660:AM663)=0,"",QUARTILE('中古車掲載'!AM660:AM663,3))</x:f>
        <x:v>394250</x:v>
      </x:c>
      <x:c r="N563" s="22" t="n">
        <x:f>COUNT('中古車掲載'!AN660:AN663)</x:f>
        <x:v>0</x:v>
      </x:c>
      <x:c r="O563" s="23" t="str">
        <x:f>IF(COUNT('中古車掲載'!AN660:AN663)=0,"",MEDIAN('中古車掲載'!AN660:AN663))</x:f>
      </x:c>
      <x:c r="P563" s="3"/>
      <x:c r="Q563" s="3"/>
      <x:c r="R563" s="3"/>
      <x:c r="S563" s="3"/>
      <x:c r="T563" s="3"/>
      <x:c r="U563" s="3"/>
      <x:c r="V563" s="3"/>
      <x:c r="W563" s="3"/>
      <x:c r="X563" s="3"/>
      <x:c r="Y563" s="3"/>
      <x:c r="Z563" s="3"/>
      <x:c r="AA563" s="3"/>
      <x:c r="AB563" s="3"/>
      <x:c r="AC563" s="3"/>
      <x:c r="AD563" s="3"/>
      <x:c r="AE563" s="3"/>
      <x:c r="AF563" s="3"/>
      <x:c r="AG563" s="3"/>
      <x:c r="AH563" s="3"/>
      <x:c r="AI563" s="3"/>
      <x:c r="AJ563" s="3"/>
      <x:c r="AK563" s="3"/>
      <x:c r="AL563" s="3"/>
      <x:c r="AM563" s="3"/>
      <x:c r="AN563" s="3"/>
      <x:c r="AO563" s="3"/>
      <x:c r="AP563" s="3"/>
      <x:c r="AQ563" s="3"/>
      <x:c r="AR563" s="3"/>
      <x:c r="AS563" s="3"/>
      <x:c r="AT563" s="3"/>
      <x:c r="AU563" s="3"/>
      <x:c r="AV563" s="3"/>
      <x:c r="AW563" s="3"/>
      <x:c r="AX563" s="3"/>
      <x:c r="AY563" s="3"/>
      <x:c r="AZ563" s="3" t="str">
        <x:f>IF(AND('中古車掲載'!C564="One2car",'中古車掲載'!F564="ATTO 3",'中古車掲載'!L564="EXTENDED RANGE",'中古車掲載'!J564=2023,ISNUMBER('中古車掲載'!N564),'中古車掲載'!N564&gt;=20000,'中古車掲載'!O564&lt;=100000,'中古車掲載'!AL564=1),'中古車掲載'!U564,"")</x:f>
      </x:c>
      <x:c r="BA563" s="3" t="str">
        <x:f>IF(AND('中古車掲載'!C564="One2car",'中古車掲載'!F564="Corolla Cross",'中古車掲載'!L564="HEV PREMIUM SAFETY",'中古車掲載'!J564=2023,ISNUMBER('中古車掲載'!N564),'中古車掲載'!N564&gt;=20000,'中古車掲載'!O564&lt;=100000,'中古車掲載'!AL564=1,'中古車掲載'!Z564="https://www.one2car.com/en/cars-for-sale/toyota/corolla-cross/year-2023"),'中古車掲載'!U564,"")</x:f>
      </x:c>
      <x:c r="BB563" s="3" t="str">
        <x:f>IF(AND('中古車掲載'!C564="One2car",'中古車掲載'!F564="ATTO 3",'中古車掲載'!L564="EXTENDED RANGE",'中古車掲載'!J564=2023,ISNUMBER('中古車掲載'!N564),'中古車掲載'!N564&gt;=50000,'中古車掲載'!O564&lt;=100000,'中古車掲載'!AL564=1),'中古車掲載'!U564,"")</x:f>
      </x:c>
      <x:c r="BC563" s="3" t="str">
        <x:f>IF(AND('中古車掲載'!C564="One2car",'中古車掲載'!F564="Corolla Cross",'中古車掲載'!L564="HEV PREMIUM SAFETY",'中古車掲載'!J564=2023,ISNUMBER('中古車掲載'!N564),'中古車掲載'!N564&gt;=50000,'中古車掲載'!O564&lt;=100000,'中古車掲載'!AL564=1,'中古車掲載'!Z564="https://www.one2car.com/en/cars-for-sale/toyota/corolla-cross/year-2023"),'中古車掲載'!U564,"")</x:f>
      </x:c>
      <x:c r="BD563" s="3" t="str">
        <x:f>IF(AND('中古車掲載'!C564="One2car",'中古車掲載'!F564="ATTO 3",'中古車掲載'!L564="EXTENDED RANGE",'中古車掲載'!J564=2023,ISNUMBER('中古車掲載'!N564),'中古車掲載'!N564&gt;=20000,'中古車掲載'!O564&lt;=50000,'中古車掲載'!AL564=1),'中古車掲載'!U564,"")</x:f>
      </x:c>
      <x:c r="BE563" s="3" t="str">
        <x:f>IF(AND('中古車掲載'!C564="One2car",'中古車掲載'!F564="Corolla Cross",'中古車掲載'!L564="HEV PREMIUM SAFETY",'中古車掲載'!J564=2023,ISNUMBER('中古車掲載'!N564),'中古車掲載'!N564&gt;=20000,'中古車掲載'!O564&lt;=50000,'中古車掲載'!AL564=1,'中古車掲載'!Z564="https://www.one2car.com/en/cars-for-sale/toyota/corolla-cross/year-2023"),'中古車掲載'!U564,"")</x:f>
      </x:c>
      <x:c r="BF563" s="3" t="str">
        <x:f>IF(AND('中古車掲載'!C564="One2car",'中古車掲載'!F564="Corolla Cross",'中古車掲載'!L564="HEV PREMIUM",'中古車掲載'!J564=2023,ISNUMBER('中古車掲載'!N564),'中古車掲載'!N564&gt;=20000,'中古車掲載'!O564&lt;=100000,'中古車掲載'!AL564=1,'中古車掲載'!Z564="https://www.one2car.com/en/cars-for-sale/toyota/corolla-cross/year-2023"),'中古車掲載'!U564,"")</x:f>
      </x:c>
      <x:c r="BG563" s="3" t="str">
        <x:f>IF(AND('中古車掲載'!C564="One2car",'中古車掲載'!F564="Corolla Cross",'中古車掲載'!L564="HEV GR SPORT",'中古車掲載'!J564=2023,ISNUMBER('中古車掲載'!N564),'中古車掲載'!N564&gt;=20000,'中古車掲載'!O564&lt;=100000,'中古車掲載'!AL564=1,'中古車掲載'!Z564="https://www.one2car.com/en/cars-for-sale/toyota/corolla-cross/year-2023"),'中古車掲載'!U564,"")</x:f>
      </x:c>
      <x:c r="BH563" s="3" t="str">
        <x:f>IF(AND('中古車掲載'!C564="One2car",'中古車掲載'!F564="DOLPHIN",'中古車掲載'!L564="STANDARD RANGE",'中古車掲載'!J564=2023,ISNUMBER('中古車掲載'!N564),'中古車掲載'!N564&gt;=20000,'中古車掲載'!O564&lt;=100000,'中古車掲載'!AL564=1),'中古車掲載'!U564,"")</x:f>
      </x:c>
      <x:c r="BI563" s="3" t="str">
        <x:v>Taladrod|Fortuner|ICE|Unknown</x:v>
      </x:c>
      <x:c r="BJ563" s="3" t="n">
        <x:v>564</x:v>
      </x:c>
      <x:c r="BK563" s="3" t="n">
        <x:f>'中古車掲載'!AM564</x:f>
        <x:v>939000</x:v>
      </x:c>
      <x:c r="BL563" s="3" t="str">
        <x:f>IF(ISNUMBER('中古車掲載'!AN564),'中古車掲載'!AN564,"")</x:f>
      </x:c>
      <x:c r="BM563" s="3"/>
      <x:c r="BN563" s="3"/>
      <x:c r="BO563" s="3"/>
      <x:c r="BP563" s="3"/>
      <x:c r="BQ563" s="3"/>
      <x:c r="BR563" s="3"/>
    </x:row>
    <x:row r="564" ht="22" customHeight="1">
      <x:c r="A564" s="3" t="str">
        <x:v>Hilux Revo</x:v>
      </x:c>
      <x:c r="B564" s="3" t="str">
        <x:v>ICE</x:v>
      </x:c>
      <x:c r="C564" s="3" t="str">
        <x:v>Taladrod</x:v>
      </x:c>
      <x:c r="D564" s="3" t="str">
        <x:v>Pickup</x:v>
      </x:c>
      <x:c r="E564" s="3" t="str">
        <x:v>Single cab</x:v>
      </x:c>
      <x:c r="F564" s="3" t="n">
        <x:v>2020</x:v>
      </x:c>
      <x:c r="G564" s="3" t="str">
        <x:v>2.4 J STANDARD CAB</x:v>
      </x:c>
      <x:c r="H564" s="3" t="str">
        <x:v>未掲載</x:v>
      </x:c>
      <x:c r="I564" s="3" t="str">
        <x:v>世代不明</x:v>
      </x:c>
      <x:c r="J564" s="22" t="n">
        <x:f>COUNT('中古車掲載'!AM672:AM672)</x:f>
        <x:v>1</x:v>
      </x:c>
      <x:c r="K564" s="22" t="n">
        <x:f>IF(COUNT('中古車掲載'!AM672:AM672)=0,"",QUARTILE('中古車掲載'!AM672:AM672,1))</x:f>
        <x:v>299000</x:v>
      </x:c>
      <x:c r="L564" s="22" t="n">
        <x:f>IF(COUNT('中古車掲載'!AM672:AM672)=0,"",MEDIAN('中古車掲載'!AM672:AM672))</x:f>
        <x:v>299000</x:v>
      </x:c>
      <x:c r="M564" s="22" t="n">
        <x:f>IF(COUNT('中古車掲載'!AM672:AM672)=0,"",QUARTILE('中古車掲載'!AM672:AM672,3))</x:f>
        <x:v>299000</x:v>
      </x:c>
      <x:c r="N564" s="22" t="n">
        <x:f>COUNT('中古車掲載'!AN672:AN672)</x:f>
        <x:v>0</x:v>
      </x:c>
      <x:c r="O564" s="23" t="str">
        <x:f>IF(COUNT('中古車掲載'!AN672:AN672)=0,"",MEDIAN('中古車掲載'!AN672:AN672))</x:f>
      </x:c>
      <x:c r="P564" s="3"/>
      <x:c r="Q564" s="3"/>
      <x:c r="R564" s="3"/>
      <x:c r="S564" s="3"/>
      <x:c r="T564" s="3"/>
      <x:c r="U564" s="3"/>
      <x:c r="V564" s="3"/>
      <x:c r="W564" s="3"/>
      <x:c r="X564" s="3"/>
      <x:c r="Y564" s="3"/>
      <x:c r="Z564" s="3"/>
      <x:c r="AA564" s="3"/>
      <x:c r="AB564" s="3"/>
      <x:c r="AC564" s="3"/>
      <x:c r="AD564" s="3"/>
      <x:c r="AE564" s="3"/>
      <x:c r="AF564" s="3"/>
      <x:c r="AG564" s="3"/>
      <x:c r="AH564" s="3"/>
      <x:c r="AI564" s="3"/>
      <x:c r="AJ564" s="3"/>
      <x:c r="AK564" s="3"/>
      <x:c r="AL564" s="3"/>
      <x:c r="AM564" s="3"/>
      <x:c r="AN564" s="3"/>
      <x:c r="AO564" s="3"/>
      <x:c r="AP564" s="3"/>
      <x:c r="AQ564" s="3"/>
      <x:c r="AR564" s="3"/>
      <x:c r="AS564" s="3"/>
      <x:c r="AT564" s="3"/>
      <x:c r="AU564" s="3"/>
      <x:c r="AV564" s="3"/>
      <x:c r="AW564" s="3"/>
      <x:c r="AX564" s="3"/>
      <x:c r="AY564" s="3"/>
      <x:c r="AZ564" s="3" t="str">
        <x:f>IF(AND('中古車掲載'!C565="One2car",'中古車掲載'!F565="ATTO 3",'中古車掲載'!L565="EXTENDED RANGE",'中古車掲載'!J565=2023,ISNUMBER('中古車掲載'!N565),'中古車掲載'!N565&gt;=20000,'中古車掲載'!O565&lt;=100000,'中古車掲載'!AL565=1),'中古車掲載'!U565,"")</x:f>
      </x:c>
      <x:c r="BA564" s="3" t="str">
        <x:f>IF(AND('中古車掲載'!C565="One2car",'中古車掲載'!F565="Corolla Cross",'中古車掲載'!L565="HEV PREMIUM SAFETY",'中古車掲載'!J565=2023,ISNUMBER('中古車掲載'!N565),'中古車掲載'!N565&gt;=20000,'中古車掲載'!O565&lt;=100000,'中古車掲載'!AL565=1,'中古車掲載'!Z565="https://www.one2car.com/en/cars-for-sale/toyota/corolla-cross/year-2023"),'中古車掲載'!U565,"")</x:f>
      </x:c>
      <x:c r="BB564" s="3" t="str">
        <x:f>IF(AND('中古車掲載'!C565="One2car",'中古車掲載'!F565="ATTO 3",'中古車掲載'!L565="EXTENDED RANGE",'中古車掲載'!J565=2023,ISNUMBER('中古車掲載'!N565),'中古車掲載'!N565&gt;=50000,'中古車掲載'!O565&lt;=100000,'中古車掲載'!AL565=1),'中古車掲載'!U565,"")</x:f>
      </x:c>
      <x:c r="BC564" s="3" t="str">
        <x:f>IF(AND('中古車掲載'!C565="One2car",'中古車掲載'!F565="Corolla Cross",'中古車掲載'!L565="HEV PREMIUM SAFETY",'中古車掲載'!J565=2023,ISNUMBER('中古車掲載'!N565),'中古車掲載'!N565&gt;=50000,'中古車掲載'!O565&lt;=100000,'中古車掲載'!AL565=1,'中古車掲載'!Z565="https://www.one2car.com/en/cars-for-sale/toyota/corolla-cross/year-2023"),'中古車掲載'!U565,"")</x:f>
      </x:c>
      <x:c r="BD564" s="3" t="str">
        <x:f>IF(AND('中古車掲載'!C565="One2car",'中古車掲載'!F565="ATTO 3",'中古車掲載'!L565="EXTENDED RANGE",'中古車掲載'!J565=2023,ISNUMBER('中古車掲載'!N565),'中古車掲載'!N565&gt;=20000,'中古車掲載'!O565&lt;=50000,'中古車掲載'!AL565=1),'中古車掲載'!U565,"")</x:f>
      </x:c>
      <x:c r="BE564" s="3" t="str">
        <x:f>IF(AND('中古車掲載'!C565="One2car",'中古車掲載'!F565="Corolla Cross",'中古車掲載'!L565="HEV PREMIUM SAFETY",'中古車掲載'!J565=2023,ISNUMBER('中古車掲載'!N565),'中古車掲載'!N565&gt;=20000,'中古車掲載'!O565&lt;=50000,'中古車掲載'!AL565=1,'中古車掲載'!Z565="https://www.one2car.com/en/cars-for-sale/toyota/corolla-cross/year-2023"),'中古車掲載'!U565,"")</x:f>
      </x:c>
      <x:c r="BF564" s="3" t="str">
        <x:f>IF(AND('中古車掲載'!C565="One2car",'中古車掲載'!F565="Corolla Cross",'中古車掲載'!L565="HEV PREMIUM",'中古車掲載'!J565=2023,ISNUMBER('中古車掲載'!N565),'中古車掲載'!N565&gt;=20000,'中古車掲載'!O565&lt;=100000,'中古車掲載'!AL565=1,'中古車掲載'!Z565="https://www.one2car.com/en/cars-for-sale/toyota/corolla-cross/year-2023"),'中古車掲載'!U565,"")</x:f>
      </x:c>
      <x:c r="BG564" s="3" t="str">
        <x:f>IF(AND('中古車掲載'!C565="One2car",'中古車掲載'!F565="Corolla Cross",'中古車掲載'!L565="HEV GR SPORT",'中古車掲載'!J565=2023,ISNUMBER('中古車掲載'!N565),'中古車掲載'!N565&gt;=20000,'中古車掲載'!O565&lt;=100000,'中古車掲載'!AL565=1,'中古車掲載'!Z565="https://www.one2car.com/en/cars-for-sale/toyota/corolla-cross/year-2023"),'中古車掲載'!U565,"")</x:f>
      </x:c>
      <x:c r="BH564" s="3" t="str">
        <x:f>IF(AND('中古車掲載'!C565="One2car",'中古車掲載'!F565="DOLPHIN",'中古車掲載'!L565="STANDARD RANGE",'中古車掲載'!J565=2023,ISNUMBER('中古車掲載'!N565),'中古車掲載'!N565&gt;=20000,'中古車掲載'!O565&lt;=100000,'中古車掲載'!AL565=1),'中古車掲載'!U565,"")</x:f>
      </x:c>
      <x:c r="BI564" s="3" t="str">
        <x:v>Taladrod|Fortuner|ICE|Unknown</x:v>
      </x:c>
      <x:c r="BJ564" s="3" t="n">
        <x:v>565</x:v>
      </x:c>
      <x:c r="BK564" s="3" t="n">
        <x:f>'中古車掲載'!AM565</x:f>
        <x:v>794000</x:v>
      </x:c>
      <x:c r="BL564" s="3" t="str">
        <x:f>IF(ISNUMBER('中古車掲載'!AN565),'中古車掲載'!AN565,"")</x:f>
      </x:c>
      <x:c r="BM564" s="3"/>
      <x:c r="BN564" s="3"/>
      <x:c r="BO564" s="3"/>
      <x:c r="BP564" s="3"/>
      <x:c r="BQ564" s="3"/>
      <x:c r="BR564" s="3"/>
    </x:row>
    <x:row r="565" ht="22" customHeight="1">
      <x:c r="A565" s="3" t="str">
        <x:v>Hilux Revo</x:v>
      </x:c>
      <x:c r="B565" s="3" t="str">
        <x:v>ICE</x:v>
      </x:c>
      <x:c r="C565" s="3" t="str">
        <x:v>Taladrod</x:v>
      </x:c>
      <x:c r="D565" s="3" t="str">
        <x:v>Pickup</x:v>
      </x:c>
      <x:c r="E565" s="3" t="str">
        <x:v>Single cab</x:v>
      </x:c>
      <x:c r="F565" s="3" t="n">
        <x:v>2020</x:v>
      </x:c>
      <x:c r="G565" s="3" t="str">
        <x:v>2.8 ENTRY 4WD STANDARD CAB</x:v>
      </x:c>
      <x:c r="H565" s="3" t="str">
        <x:v>未掲載</x:v>
      </x:c>
      <x:c r="I565" s="3" t="str">
        <x:v>世代不明</x:v>
      </x:c>
      <x:c r="J565" s="22" t="n">
        <x:f>COUNT('中古車掲載'!AM699:AM699)</x:f>
        <x:v>1</x:v>
      </x:c>
      <x:c r="K565" s="22" t="n">
        <x:f>IF(COUNT('中古車掲載'!AM699:AM699)=0,"",QUARTILE('中古車掲載'!AM699:AM699,1))</x:f>
        <x:v>539000</x:v>
      </x:c>
      <x:c r="L565" s="22" t="n">
        <x:f>IF(COUNT('中古車掲載'!AM699:AM699)=0,"",MEDIAN('中古車掲載'!AM699:AM699))</x:f>
        <x:v>539000</x:v>
      </x:c>
      <x:c r="M565" s="22" t="n">
        <x:f>IF(COUNT('中古車掲載'!AM699:AM699)=0,"",QUARTILE('中古車掲載'!AM699:AM699,3))</x:f>
        <x:v>539000</x:v>
      </x:c>
      <x:c r="N565" s="22" t="n">
        <x:f>COUNT('中古車掲載'!AN699:AN699)</x:f>
        <x:v>0</x:v>
      </x:c>
      <x:c r="O565" s="23" t="str">
        <x:f>IF(COUNT('中古車掲載'!AN699:AN699)=0,"",MEDIAN('中古車掲載'!AN699:AN699))</x:f>
      </x:c>
      <x:c r="P565" s="3"/>
      <x:c r="Q565" s="3"/>
      <x:c r="R565" s="3"/>
      <x:c r="S565" s="3"/>
      <x:c r="T565" s="3"/>
      <x:c r="U565" s="3"/>
      <x:c r="V565" s="3"/>
      <x:c r="W565" s="3"/>
      <x:c r="X565" s="3"/>
      <x:c r="Y565" s="3"/>
      <x:c r="Z565" s="3"/>
      <x:c r="AA565" s="3"/>
      <x:c r="AB565" s="3"/>
      <x:c r="AC565" s="3"/>
      <x:c r="AD565" s="3"/>
      <x:c r="AE565" s="3"/>
      <x:c r="AF565" s="3"/>
      <x:c r="AG565" s="3"/>
      <x:c r="AH565" s="3"/>
      <x:c r="AI565" s="3"/>
      <x:c r="AJ565" s="3"/>
      <x:c r="AK565" s="3"/>
      <x:c r="AL565" s="3"/>
      <x:c r="AM565" s="3"/>
      <x:c r="AN565" s="3"/>
      <x:c r="AO565" s="3"/>
      <x:c r="AP565" s="3"/>
      <x:c r="AQ565" s="3"/>
      <x:c r="AR565" s="3"/>
      <x:c r="AS565" s="3"/>
      <x:c r="AT565" s="3"/>
      <x:c r="AU565" s="3"/>
      <x:c r="AV565" s="3"/>
      <x:c r="AW565" s="3"/>
      <x:c r="AX565" s="3"/>
      <x:c r="AY565" s="3"/>
      <x:c r="AZ565" s="3" t="str">
        <x:f>IF(AND('中古車掲載'!C566="One2car",'中古車掲載'!F566="ATTO 3",'中古車掲載'!L566="EXTENDED RANGE",'中古車掲載'!J566=2023,ISNUMBER('中古車掲載'!N566),'中古車掲載'!N566&gt;=20000,'中古車掲載'!O566&lt;=100000,'中古車掲載'!AL566=1),'中古車掲載'!U566,"")</x:f>
      </x:c>
      <x:c r="BA565" s="3" t="str">
        <x:f>IF(AND('中古車掲載'!C566="One2car",'中古車掲載'!F566="Corolla Cross",'中古車掲載'!L566="HEV PREMIUM SAFETY",'中古車掲載'!J566=2023,ISNUMBER('中古車掲載'!N566),'中古車掲載'!N566&gt;=20000,'中古車掲載'!O566&lt;=100000,'中古車掲載'!AL566=1,'中古車掲載'!Z566="https://www.one2car.com/en/cars-for-sale/toyota/corolla-cross/year-2023"),'中古車掲載'!U566,"")</x:f>
      </x:c>
      <x:c r="BB565" s="3" t="str">
        <x:f>IF(AND('中古車掲載'!C566="One2car",'中古車掲載'!F566="ATTO 3",'中古車掲載'!L566="EXTENDED RANGE",'中古車掲載'!J566=2023,ISNUMBER('中古車掲載'!N566),'中古車掲載'!N566&gt;=50000,'中古車掲載'!O566&lt;=100000,'中古車掲載'!AL566=1),'中古車掲載'!U566,"")</x:f>
      </x:c>
      <x:c r="BC565" s="3" t="str">
        <x:f>IF(AND('中古車掲載'!C566="One2car",'中古車掲載'!F566="Corolla Cross",'中古車掲載'!L566="HEV PREMIUM SAFETY",'中古車掲載'!J566=2023,ISNUMBER('中古車掲載'!N566),'中古車掲載'!N566&gt;=50000,'中古車掲載'!O566&lt;=100000,'中古車掲載'!AL566=1,'中古車掲載'!Z566="https://www.one2car.com/en/cars-for-sale/toyota/corolla-cross/year-2023"),'中古車掲載'!U566,"")</x:f>
      </x:c>
      <x:c r="BD565" s="3" t="str">
        <x:f>IF(AND('中古車掲載'!C566="One2car",'中古車掲載'!F566="ATTO 3",'中古車掲載'!L566="EXTENDED RANGE",'中古車掲載'!J566=2023,ISNUMBER('中古車掲載'!N566),'中古車掲載'!N566&gt;=20000,'中古車掲載'!O566&lt;=50000,'中古車掲載'!AL566=1),'中古車掲載'!U566,"")</x:f>
      </x:c>
      <x:c r="BE565" s="3" t="str">
        <x:f>IF(AND('中古車掲載'!C566="One2car",'中古車掲載'!F566="Corolla Cross",'中古車掲載'!L566="HEV PREMIUM SAFETY",'中古車掲載'!J566=2023,ISNUMBER('中古車掲載'!N566),'中古車掲載'!N566&gt;=20000,'中古車掲載'!O566&lt;=50000,'中古車掲載'!AL566=1,'中古車掲載'!Z566="https://www.one2car.com/en/cars-for-sale/toyota/corolla-cross/year-2023"),'中古車掲載'!U566,"")</x:f>
      </x:c>
      <x:c r="BF565" s="3" t="str">
        <x:f>IF(AND('中古車掲載'!C566="One2car",'中古車掲載'!F566="Corolla Cross",'中古車掲載'!L566="HEV PREMIUM",'中古車掲載'!J566=2023,ISNUMBER('中古車掲載'!N566),'中古車掲載'!N566&gt;=20000,'中古車掲載'!O566&lt;=100000,'中古車掲載'!AL566=1,'中古車掲載'!Z566="https://www.one2car.com/en/cars-for-sale/toyota/corolla-cross/year-2023"),'中古車掲載'!U566,"")</x:f>
      </x:c>
      <x:c r="BG565" s="3" t="str">
        <x:f>IF(AND('中古車掲載'!C566="One2car",'中古車掲載'!F566="Corolla Cross",'中古車掲載'!L566="HEV GR SPORT",'中古車掲載'!J566=2023,ISNUMBER('中古車掲載'!N566),'中古車掲載'!N566&gt;=20000,'中古車掲載'!O566&lt;=100000,'中古車掲載'!AL566=1,'中古車掲載'!Z566="https://www.one2car.com/en/cars-for-sale/toyota/corolla-cross/year-2023"),'中古車掲載'!U566,"")</x:f>
      </x:c>
      <x:c r="BH565" s="3" t="str">
        <x:f>IF(AND('中古車掲載'!C566="One2car",'中古車掲載'!F566="DOLPHIN",'中古車掲載'!L566="STANDARD RANGE",'中古車掲載'!J566=2023,ISNUMBER('中古車掲載'!N566),'中古車掲載'!N566&gt;=20000,'中古車掲載'!O566&lt;=100000,'中古車掲載'!AL566=1),'中古車掲載'!U566,"")</x:f>
      </x:c>
      <x:c r="BI565" s="3" t="str">
        <x:v>Taladrod|Fortuner|ICE|Unknown</x:v>
      </x:c>
      <x:c r="BJ565" s="3" t="n">
        <x:v>566</x:v>
      </x:c>
      <x:c r="BK565" s="3" t="n">
        <x:f>'中古車掲載'!AM566</x:f>
        <x:v>879000</x:v>
      </x:c>
      <x:c r="BL565" s="3" t="str">
        <x:f>IF(ISNUMBER('中古車掲載'!AN566),'中古車掲載'!AN566,"")</x:f>
      </x:c>
      <x:c r="BM565" s="3"/>
      <x:c r="BN565" s="3"/>
      <x:c r="BO565" s="3"/>
      <x:c r="BP565" s="3"/>
      <x:c r="BQ565" s="3"/>
      <x:c r="BR565" s="3"/>
    </x:row>
    <x:row r="566" ht="22" customHeight="1">
      <x:c r="A566" s="3" t="str">
        <x:v>Hilux Revo</x:v>
      </x:c>
      <x:c r="B566" s="3" t="str">
        <x:v>ICE</x:v>
      </x:c>
      <x:c r="C566" s="3" t="str">
        <x:v>Taladrod</x:v>
      </x:c>
      <x:c r="D566" s="3" t="str">
        <x:v>Pickup</x:v>
      </x:c>
      <x:c r="E566" s="3" t="str">
        <x:v>Single cab</x:v>
      </x:c>
      <x:c r="F566" s="3" t="n">
        <x:v>2020</x:v>
      </x:c>
      <x:c r="G566" s="3" t="str">
        <x:v>2.8 J PLUS STANDARD CAB</x:v>
      </x:c>
      <x:c r="H566" s="3" t="str">
        <x:v>未掲載</x:v>
      </x:c>
      <x:c r="I566" s="3" t="str">
        <x:v>世代不明</x:v>
      </x:c>
      <x:c r="J566" s="22" t="n">
        <x:f>COUNT('中古車掲載'!AM700:AM700)</x:f>
        <x:v>1</x:v>
      </x:c>
      <x:c r="K566" s="22" t="n">
        <x:f>IF(COUNT('中古車掲載'!AM700:AM700)=0,"",QUARTILE('中古車掲載'!AM700:AM700,1))</x:f>
        <x:v>320000</x:v>
      </x:c>
      <x:c r="L566" s="22" t="n">
        <x:f>IF(COUNT('中古車掲載'!AM700:AM700)=0,"",MEDIAN('中古車掲載'!AM700:AM700))</x:f>
        <x:v>320000</x:v>
      </x:c>
      <x:c r="M566" s="22" t="n">
        <x:f>IF(COUNT('中古車掲載'!AM700:AM700)=0,"",QUARTILE('中古車掲載'!AM700:AM700,3))</x:f>
        <x:v>320000</x:v>
      </x:c>
      <x:c r="N566" s="22" t="n">
        <x:f>COUNT('中古車掲載'!AN700:AN700)</x:f>
        <x:v>0</x:v>
      </x:c>
      <x:c r="O566" s="23" t="str">
        <x:f>IF(COUNT('中古車掲載'!AN700:AN700)=0,"",MEDIAN('中古車掲載'!AN700:AN700))</x:f>
      </x:c>
      <x:c r="P566" s="3"/>
      <x:c r="Q566" s="3"/>
      <x:c r="R566" s="3"/>
      <x:c r="S566" s="3"/>
      <x:c r="T566" s="3"/>
      <x:c r="U566" s="3"/>
      <x:c r="V566" s="3"/>
      <x:c r="W566" s="3"/>
      <x:c r="X566" s="3"/>
      <x:c r="Y566" s="3"/>
      <x:c r="Z566" s="3"/>
      <x:c r="AA566" s="3"/>
      <x:c r="AB566" s="3"/>
      <x:c r="AC566" s="3"/>
      <x:c r="AD566" s="3"/>
      <x:c r="AE566" s="3"/>
      <x:c r="AF566" s="3"/>
      <x:c r="AG566" s="3"/>
      <x:c r="AH566" s="3"/>
      <x:c r="AI566" s="3"/>
      <x:c r="AJ566" s="3"/>
      <x:c r="AK566" s="3"/>
      <x:c r="AL566" s="3"/>
      <x:c r="AM566" s="3"/>
      <x:c r="AN566" s="3"/>
      <x:c r="AO566" s="3"/>
      <x:c r="AP566" s="3"/>
      <x:c r="AQ566" s="3"/>
      <x:c r="AR566" s="3"/>
      <x:c r="AS566" s="3"/>
      <x:c r="AT566" s="3"/>
      <x:c r="AU566" s="3"/>
      <x:c r="AV566" s="3"/>
      <x:c r="AW566" s="3"/>
      <x:c r="AX566" s="3"/>
      <x:c r="AY566" s="3"/>
      <x:c r="AZ566" s="3" t="str">
        <x:f>IF(AND('中古車掲載'!C567="One2car",'中古車掲載'!F567="ATTO 3",'中古車掲載'!L567="EXTENDED RANGE",'中古車掲載'!J567=2023,ISNUMBER('中古車掲載'!N567),'中古車掲載'!N567&gt;=20000,'中古車掲載'!O567&lt;=100000,'中古車掲載'!AL567=1),'中古車掲載'!U567,"")</x:f>
      </x:c>
      <x:c r="BA566" s="3" t="str">
        <x:f>IF(AND('中古車掲載'!C567="One2car",'中古車掲載'!F567="Corolla Cross",'中古車掲載'!L567="HEV PREMIUM SAFETY",'中古車掲載'!J567=2023,ISNUMBER('中古車掲載'!N567),'中古車掲載'!N567&gt;=20000,'中古車掲載'!O567&lt;=100000,'中古車掲載'!AL567=1,'中古車掲載'!Z567="https://www.one2car.com/en/cars-for-sale/toyota/corolla-cross/year-2023"),'中古車掲載'!U567,"")</x:f>
      </x:c>
      <x:c r="BB566" s="3" t="str">
        <x:f>IF(AND('中古車掲載'!C567="One2car",'中古車掲載'!F567="ATTO 3",'中古車掲載'!L567="EXTENDED RANGE",'中古車掲載'!J567=2023,ISNUMBER('中古車掲載'!N567),'中古車掲載'!N567&gt;=50000,'中古車掲載'!O567&lt;=100000,'中古車掲載'!AL567=1),'中古車掲載'!U567,"")</x:f>
      </x:c>
      <x:c r="BC566" s="3" t="str">
        <x:f>IF(AND('中古車掲載'!C567="One2car",'中古車掲載'!F567="Corolla Cross",'中古車掲載'!L567="HEV PREMIUM SAFETY",'中古車掲載'!J567=2023,ISNUMBER('中古車掲載'!N567),'中古車掲載'!N567&gt;=50000,'中古車掲載'!O567&lt;=100000,'中古車掲載'!AL567=1,'中古車掲載'!Z567="https://www.one2car.com/en/cars-for-sale/toyota/corolla-cross/year-2023"),'中古車掲載'!U567,"")</x:f>
      </x:c>
      <x:c r="BD566" s="3" t="str">
        <x:f>IF(AND('中古車掲載'!C567="One2car",'中古車掲載'!F567="ATTO 3",'中古車掲載'!L567="EXTENDED RANGE",'中古車掲載'!J567=2023,ISNUMBER('中古車掲載'!N567),'中古車掲載'!N567&gt;=20000,'中古車掲載'!O567&lt;=50000,'中古車掲載'!AL567=1),'中古車掲載'!U567,"")</x:f>
      </x:c>
      <x:c r="BE566" s="3" t="str">
        <x:f>IF(AND('中古車掲載'!C567="One2car",'中古車掲載'!F567="Corolla Cross",'中古車掲載'!L567="HEV PREMIUM SAFETY",'中古車掲載'!J567=2023,ISNUMBER('中古車掲載'!N567),'中古車掲載'!N567&gt;=20000,'中古車掲載'!O567&lt;=50000,'中古車掲載'!AL567=1,'中古車掲載'!Z567="https://www.one2car.com/en/cars-for-sale/toyota/corolla-cross/year-2023"),'中古車掲載'!U567,"")</x:f>
      </x:c>
      <x:c r="BF566" s="3" t="str">
        <x:f>IF(AND('中古車掲載'!C567="One2car",'中古車掲載'!F567="Corolla Cross",'中古車掲載'!L567="HEV PREMIUM",'中古車掲載'!J567=2023,ISNUMBER('中古車掲載'!N567),'中古車掲載'!N567&gt;=20000,'中古車掲載'!O567&lt;=100000,'中古車掲載'!AL567=1,'中古車掲載'!Z567="https://www.one2car.com/en/cars-for-sale/toyota/corolla-cross/year-2023"),'中古車掲載'!U567,"")</x:f>
      </x:c>
      <x:c r="BG566" s="3" t="str">
        <x:f>IF(AND('中古車掲載'!C567="One2car",'中古車掲載'!F567="Corolla Cross",'中古車掲載'!L567="HEV GR SPORT",'中古車掲載'!J567=2023,ISNUMBER('中古車掲載'!N567),'中古車掲載'!N567&gt;=20000,'中古車掲載'!O567&lt;=100000,'中古車掲載'!AL567=1,'中古車掲載'!Z567="https://www.one2car.com/en/cars-for-sale/toyota/corolla-cross/year-2023"),'中古車掲載'!U567,"")</x:f>
      </x:c>
      <x:c r="BH566" s="3" t="str">
        <x:f>IF(AND('中古車掲載'!C567="One2car",'中古車掲載'!F567="DOLPHIN",'中古車掲載'!L567="STANDARD RANGE",'中古車掲載'!J567=2023,ISNUMBER('中古車掲載'!N567),'中古車掲載'!N567&gt;=20000,'中古車掲載'!O567&lt;=100000,'中古車掲載'!AL567=1),'中古車掲載'!U567,"")</x:f>
      </x:c>
      <x:c r="BI566" s="3" t="str">
        <x:v>Taladrod|Fortuner|ICE|Unknown</x:v>
      </x:c>
      <x:c r="BJ566" s="3" t="n">
        <x:v>567</x:v>
      </x:c>
      <x:c r="BK566" s="3" t="n">
        <x:f>'中古車掲載'!AM567</x:f>
        <x:v>829000</x:v>
      </x:c>
      <x:c r="BL566" s="3" t="str">
        <x:f>IF(ISNUMBER('中古車掲載'!AN567),'中古車掲載'!AN567,"")</x:f>
      </x:c>
      <x:c r="BM566" s="3"/>
      <x:c r="BN566" s="3"/>
      <x:c r="BO566" s="3"/>
      <x:c r="BP566" s="3"/>
      <x:c r="BQ566" s="3"/>
      <x:c r="BR566" s="3"/>
    </x:row>
    <x:row r="567" ht="22" customHeight="1">
      <x:c r="A567" s="3" t="str">
        <x:v>Hilux Revo</x:v>
      </x:c>
      <x:c r="B567" s="3" t="str">
        <x:v>ICE</x:v>
      </x:c>
      <x:c r="C567" s="3" t="str">
        <x:v>Taladrod</x:v>
      </x:c>
      <x:c r="D567" s="3" t="str">
        <x:v>Pickup</x:v>
      </x:c>
      <x:c r="E567" s="3" t="str">
        <x:v>Single cab</x:v>
      </x:c>
      <x:c r="F567" s="3" t="n">
        <x:v>2021</x:v>
      </x:c>
      <x:c r="G567" s="3" t="str">
        <x:v>2.4 ENTRY CHASSIS</x:v>
      </x:c>
      <x:c r="H567" s="3" t="str">
        <x:v>未掲載</x:v>
      </x:c>
      <x:c r="I567" s="3" t="str">
        <x:v>世代不明</x:v>
      </x:c>
      <x:c r="J567" s="22" t="n">
        <x:f>COUNT('中古車掲載'!AM702:AM702)</x:f>
        <x:v>1</x:v>
      </x:c>
      <x:c r="K567" s="22" t="n">
        <x:f>IF(COUNT('中古車掲載'!AM702:AM702)=0,"",QUARTILE('中古車掲載'!AM702:AM702,1))</x:f>
        <x:v>330000</x:v>
      </x:c>
      <x:c r="L567" s="22" t="n">
        <x:f>IF(COUNT('中古車掲載'!AM702:AM702)=0,"",MEDIAN('中古車掲載'!AM702:AM702))</x:f>
        <x:v>330000</x:v>
      </x:c>
      <x:c r="M567" s="22" t="n">
        <x:f>IF(COUNT('中古車掲載'!AM702:AM702)=0,"",QUARTILE('中古車掲載'!AM702:AM702,3))</x:f>
        <x:v>330000</x:v>
      </x:c>
      <x:c r="N567" s="22" t="n">
        <x:f>COUNT('中古車掲載'!AN702:AN702)</x:f>
        <x:v>0</x:v>
      </x:c>
      <x:c r="O567" s="23" t="str">
        <x:f>IF(COUNT('中古車掲載'!AN702:AN702)=0,"",MEDIAN('中古車掲載'!AN702:AN702))</x:f>
      </x:c>
      <x:c r="P567" s="3"/>
      <x:c r="Q567" s="3"/>
      <x:c r="R567" s="3"/>
      <x:c r="S567" s="3"/>
      <x:c r="T567" s="3"/>
      <x:c r="U567" s="3"/>
      <x:c r="V567" s="3"/>
      <x:c r="W567" s="3"/>
      <x:c r="X567" s="3"/>
      <x:c r="Y567" s="3"/>
      <x:c r="Z567" s="3"/>
      <x:c r="AA567" s="3"/>
      <x:c r="AB567" s="3"/>
      <x:c r="AC567" s="3"/>
      <x:c r="AD567" s="3"/>
      <x:c r="AE567" s="3"/>
      <x:c r="AF567" s="3"/>
      <x:c r="AG567" s="3"/>
      <x:c r="AH567" s="3"/>
      <x:c r="AI567" s="3"/>
      <x:c r="AJ567" s="3"/>
      <x:c r="AK567" s="3"/>
      <x:c r="AL567" s="3"/>
      <x:c r="AM567" s="3"/>
      <x:c r="AN567" s="3"/>
      <x:c r="AO567" s="3"/>
      <x:c r="AP567" s="3"/>
      <x:c r="AQ567" s="3"/>
      <x:c r="AR567" s="3"/>
      <x:c r="AS567" s="3"/>
      <x:c r="AT567" s="3"/>
      <x:c r="AU567" s="3"/>
      <x:c r="AV567" s="3"/>
      <x:c r="AW567" s="3"/>
      <x:c r="AX567" s="3"/>
      <x:c r="AY567" s="3"/>
      <x:c r="AZ567" s="3" t="str">
        <x:f>IF(AND('中古車掲載'!C568="One2car",'中古車掲載'!F568="ATTO 3",'中古車掲載'!L568="EXTENDED RANGE",'中古車掲載'!J568=2023,ISNUMBER('中古車掲載'!N568),'中古車掲載'!N568&gt;=20000,'中古車掲載'!O568&lt;=100000,'中古車掲載'!AL568=1),'中古車掲載'!U568,"")</x:f>
      </x:c>
      <x:c r="BA567" s="3" t="str">
        <x:f>IF(AND('中古車掲載'!C568="One2car",'中古車掲載'!F568="Corolla Cross",'中古車掲載'!L568="HEV PREMIUM SAFETY",'中古車掲載'!J568=2023,ISNUMBER('中古車掲載'!N568),'中古車掲載'!N568&gt;=20000,'中古車掲載'!O568&lt;=100000,'中古車掲載'!AL568=1,'中古車掲載'!Z568="https://www.one2car.com/en/cars-for-sale/toyota/corolla-cross/year-2023"),'中古車掲載'!U568,"")</x:f>
      </x:c>
      <x:c r="BB567" s="3" t="str">
        <x:f>IF(AND('中古車掲載'!C568="One2car",'中古車掲載'!F568="ATTO 3",'中古車掲載'!L568="EXTENDED RANGE",'中古車掲載'!J568=2023,ISNUMBER('中古車掲載'!N568),'中古車掲載'!N568&gt;=50000,'中古車掲載'!O568&lt;=100000,'中古車掲載'!AL568=1),'中古車掲載'!U568,"")</x:f>
      </x:c>
      <x:c r="BC567" s="3" t="str">
        <x:f>IF(AND('中古車掲載'!C568="One2car",'中古車掲載'!F568="Corolla Cross",'中古車掲載'!L568="HEV PREMIUM SAFETY",'中古車掲載'!J568=2023,ISNUMBER('中古車掲載'!N568),'中古車掲載'!N568&gt;=50000,'中古車掲載'!O568&lt;=100000,'中古車掲載'!AL568=1,'中古車掲載'!Z568="https://www.one2car.com/en/cars-for-sale/toyota/corolla-cross/year-2023"),'中古車掲載'!U568,"")</x:f>
      </x:c>
      <x:c r="BD567" s="3" t="str">
        <x:f>IF(AND('中古車掲載'!C568="One2car",'中古車掲載'!F568="ATTO 3",'中古車掲載'!L568="EXTENDED RANGE",'中古車掲載'!J568=2023,ISNUMBER('中古車掲載'!N568),'中古車掲載'!N568&gt;=20000,'中古車掲載'!O568&lt;=50000,'中古車掲載'!AL568=1),'中古車掲載'!U568,"")</x:f>
      </x:c>
      <x:c r="BE567" s="3" t="str">
        <x:f>IF(AND('中古車掲載'!C568="One2car",'中古車掲載'!F568="Corolla Cross",'中古車掲載'!L568="HEV PREMIUM SAFETY",'中古車掲載'!J568=2023,ISNUMBER('中古車掲載'!N568),'中古車掲載'!N568&gt;=20000,'中古車掲載'!O568&lt;=50000,'中古車掲載'!AL568=1,'中古車掲載'!Z568="https://www.one2car.com/en/cars-for-sale/toyota/corolla-cross/year-2023"),'中古車掲載'!U568,"")</x:f>
      </x:c>
      <x:c r="BF567" s="3" t="str">
        <x:f>IF(AND('中古車掲載'!C568="One2car",'中古車掲載'!F568="Corolla Cross",'中古車掲載'!L568="HEV PREMIUM",'中古車掲載'!J568=2023,ISNUMBER('中古車掲載'!N568),'中古車掲載'!N568&gt;=20000,'中古車掲載'!O568&lt;=100000,'中古車掲載'!AL568=1,'中古車掲載'!Z568="https://www.one2car.com/en/cars-for-sale/toyota/corolla-cross/year-2023"),'中古車掲載'!U568,"")</x:f>
      </x:c>
      <x:c r="BG567" s="3" t="str">
        <x:f>IF(AND('中古車掲載'!C568="One2car",'中古車掲載'!F568="Corolla Cross",'中古車掲載'!L568="HEV GR SPORT",'中古車掲載'!J568=2023,ISNUMBER('中古車掲載'!N568),'中古車掲載'!N568&gt;=20000,'中古車掲載'!O568&lt;=100000,'中古車掲載'!AL568=1,'中古車掲載'!Z568="https://www.one2car.com/en/cars-for-sale/toyota/corolla-cross/year-2023"),'中古車掲載'!U568,"")</x:f>
      </x:c>
      <x:c r="BH567" s="3" t="str">
        <x:f>IF(AND('中古車掲載'!C568="One2car",'中古車掲載'!F568="DOLPHIN",'中古車掲載'!L568="STANDARD RANGE",'中古車掲載'!J568=2023,ISNUMBER('中古車掲載'!N568),'中古車掲載'!N568&gt;=20000,'中古車掲載'!O568&lt;=100000,'中古車掲載'!AL568=1),'中古車掲載'!U568,"")</x:f>
      </x:c>
      <x:c r="BI567" s="3" t="str">
        <x:v>Taladrod|Fortuner|ICE|Unknown</x:v>
      </x:c>
      <x:c r="BJ567" s="3" t="n">
        <x:v>568</x:v>
      </x:c>
      <x:c r="BK567" s="3" t="n">
        <x:f>'中古車掲載'!AM568</x:f>
        <x:v>895000</x:v>
      </x:c>
      <x:c r="BL567" s="3" t="str">
        <x:f>IF(ISNUMBER('中古車掲載'!AN568),'中古車掲載'!AN568,"")</x:f>
      </x:c>
      <x:c r="BM567" s="3"/>
      <x:c r="BN567" s="3"/>
      <x:c r="BO567" s="3"/>
      <x:c r="BP567" s="3"/>
      <x:c r="BQ567" s="3"/>
      <x:c r="BR567" s="3"/>
    </x:row>
    <x:row r="568" ht="22" customHeight="1">
      <x:c r="A568" s="3" t="str">
        <x:v>Hilux Revo</x:v>
      </x:c>
      <x:c r="B568" s="3" t="str">
        <x:v>ICE</x:v>
      </x:c>
      <x:c r="C568" s="3" t="str">
        <x:v>Taladrod</x:v>
      </x:c>
      <x:c r="D568" s="3" t="str">
        <x:v>Pickup</x:v>
      </x:c>
      <x:c r="E568" s="3" t="str">
        <x:v>Single cab</x:v>
      </x:c>
      <x:c r="F568" s="3" t="n">
        <x:v>2021</x:v>
      </x:c>
      <x:c r="G568" s="3" t="str">
        <x:v>2.4 ENTRY STANDARD CAB</x:v>
      </x:c>
      <x:c r="H568" s="3" t="str">
        <x:v>未掲載</x:v>
      </x:c>
      <x:c r="I568" s="3" t="str">
        <x:v>世代不明</x:v>
      </x:c>
      <x:c r="J568" s="22" t="n">
        <x:f>COUNT('中古車掲載'!AM713:AM722)</x:f>
        <x:v>10</x:v>
      </x:c>
      <x:c r="K568" s="22" t="n">
        <x:f>IF(COUNT('中古車掲載'!AM713:AM722)=0,"",QUARTILE('中古車掲載'!AM713:AM722,1))</x:f>
        <x:v>336500</x:v>
      </x:c>
      <x:c r="L568" s="22" t="n">
        <x:f>IF(COUNT('中古車掲載'!AM713:AM722)=0,"",MEDIAN('中古車掲載'!AM713:AM722))</x:f>
        <x:v>424000</x:v>
      </x:c>
      <x:c r="M568" s="22" t="n">
        <x:f>IF(COUNT('中古車掲載'!AM713:AM722)=0,"",QUARTILE('中古車掲載'!AM713:AM722,3))</x:f>
        <x:v>456500</x:v>
      </x:c>
      <x:c r="N568" s="22" t="n">
        <x:f>COUNT('中古車掲載'!AN713:AN722)</x:f>
        <x:v>0</x:v>
      </x:c>
      <x:c r="O568" s="23" t="str">
        <x:f>IF(COUNT('中古車掲載'!AN713:AN722)=0,"",MEDIAN('中古車掲載'!AN713:AN722))</x:f>
      </x:c>
      <x:c r="P568" s="3"/>
      <x:c r="Q568" s="3"/>
      <x:c r="R568" s="3"/>
      <x:c r="S568" s="3"/>
      <x:c r="T568" s="3"/>
      <x:c r="U568" s="3"/>
      <x:c r="V568" s="3"/>
      <x:c r="W568" s="3"/>
      <x:c r="X568" s="3"/>
      <x:c r="Y568" s="3"/>
      <x:c r="Z568" s="3"/>
      <x:c r="AA568" s="3"/>
      <x:c r="AB568" s="3"/>
      <x:c r="AC568" s="3"/>
      <x:c r="AD568" s="3"/>
      <x:c r="AE568" s="3"/>
      <x:c r="AF568" s="3"/>
      <x:c r="AG568" s="3"/>
      <x:c r="AH568" s="3"/>
      <x:c r="AI568" s="3"/>
      <x:c r="AJ568" s="3"/>
      <x:c r="AK568" s="3"/>
      <x:c r="AL568" s="3"/>
      <x:c r="AM568" s="3"/>
      <x:c r="AN568" s="3"/>
      <x:c r="AO568" s="3"/>
      <x:c r="AP568" s="3"/>
      <x:c r="AQ568" s="3"/>
      <x:c r="AR568" s="3"/>
      <x:c r="AS568" s="3"/>
      <x:c r="AT568" s="3"/>
      <x:c r="AU568" s="3"/>
      <x:c r="AV568" s="3"/>
      <x:c r="AW568" s="3"/>
      <x:c r="AX568" s="3"/>
      <x:c r="AY568" s="3"/>
      <x:c r="AZ568" s="3" t="str">
        <x:f>IF(AND('中古車掲載'!C569="One2car",'中古車掲載'!F569="ATTO 3",'中古車掲載'!L569="EXTENDED RANGE",'中古車掲載'!J569=2023,ISNUMBER('中古車掲載'!N569),'中古車掲載'!N569&gt;=20000,'中古車掲載'!O569&lt;=100000,'中古車掲載'!AL569=1),'中古車掲載'!U569,"")</x:f>
      </x:c>
      <x:c r="BA568" s="3" t="str">
        <x:f>IF(AND('中古車掲載'!C569="One2car",'中古車掲載'!F569="Corolla Cross",'中古車掲載'!L569="HEV PREMIUM SAFETY",'中古車掲載'!J569=2023,ISNUMBER('中古車掲載'!N569),'中古車掲載'!N569&gt;=20000,'中古車掲載'!O569&lt;=100000,'中古車掲載'!AL569=1,'中古車掲載'!Z569="https://www.one2car.com/en/cars-for-sale/toyota/corolla-cross/year-2023"),'中古車掲載'!U569,"")</x:f>
      </x:c>
      <x:c r="BB568" s="3" t="str">
        <x:f>IF(AND('中古車掲載'!C569="One2car",'中古車掲載'!F569="ATTO 3",'中古車掲載'!L569="EXTENDED RANGE",'中古車掲載'!J569=2023,ISNUMBER('中古車掲載'!N569),'中古車掲載'!N569&gt;=50000,'中古車掲載'!O569&lt;=100000,'中古車掲載'!AL569=1),'中古車掲載'!U569,"")</x:f>
      </x:c>
      <x:c r="BC568" s="3" t="str">
        <x:f>IF(AND('中古車掲載'!C569="One2car",'中古車掲載'!F569="Corolla Cross",'中古車掲載'!L569="HEV PREMIUM SAFETY",'中古車掲載'!J569=2023,ISNUMBER('中古車掲載'!N569),'中古車掲載'!N569&gt;=50000,'中古車掲載'!O569&lt;=100000,'中古車掲載'!AL569=1,'中古車掲載'!Z569="https://www.one2car.com/en/cars-for-sale/toyota/corolla-cross/year-2023"),'中古車掲載'!U569,"")</x:f>
      </x:c>
      <x:c r="BD568" s="3" t="str">
        <x:f>IF(AND('中古車掲載'!C569="One2car",'中古車掲載'!F569="ATTO 3",'中古車掲載'!L569="EXTENDED RANGE",'中古車掲載'!J569=2023,ISNUMBER('中古車掲載'!N569),'中古車掲載'!N569&gt;=20000,'中古車掲載'!O569&lt;=50000,'中古車掲載'!AL569=1),'中古車掲載'!U569,"")</x:f>
      </x:c>
      <x:c r="BE568" s="3" t="str">
        <x:f>IF(AND('中古車掲載'!C569="One2car",'中古車掲載'!F569="Corolla Cross",'中古車掲載'!L569="HEV PREMIUM SAFETY",'中古車掲載'!J569=2023,ISNUMBER('中古車掲載'!N569),'中古車掲載'!N569&gt;=20000,'中古車掲載'!O569&lt;=50000,'中古車掲載'!AL569=1,'中古車掲載'!Z569="https://www.one2car.com/en/cars-for-sale/toyota/corolla-cross/year-2023"),'中古車掲載'!U569,"")</x:f>
      </x:c>
      <x:c r="BF568" s="3" t="str">
        <x:f>IF(AND('中古車掲載'!C569="One2car",'中古車掲載'!F569="Corolla Cross",'中古車掲載'!L569="HEV PREMIUM",'中古車掲載'!J569=2023,ISNUMBER('中古車掲載'!N569),'中古車掲載'!N569&gt;=20000,'中古車掲載'!O569&lt;=100000,'中古車掲載'!AL569=1,'中古車掲載'!Z569="https://www.one2car.com/en/cars-for-sale/toyota/corolla-cross/year-2023"),'中古車掲載'!U569,"")</x:f>
      </x:c>
      <x:c r="BG568" s="3" t="str">
        <x:f>IF(AND('中古車掲載'!C569="One2car",'中古車掲載'!F569="Corolla Cross",'中古車掲載'!L569="HEV GR SPORT",'中古車掲載'!J569=2023,ISNUMBER('中古車掲載'!N569),'中古車掲載'!N569&gt;=20000,'中古車掲載'!O569&lt;=100000,'中古車掲載'!AL569=1,'中古車掲載'!Z569="https://www.one2car.com/en/cars-for-sale/toyota/corolla-cross/year-2023"),'中古車掲載'!U569,"")</x:f>
      </x:c>
      <x:c r="BH568" s="3" t="str">
        <x:f>IF(AND('中古車掲載'!C569="One2car",'中古車掲載'!F569="DOLPHIN",'中古車掲載'!L569="STANDARD RANGE",'中古車掲載'!J569=2023,ISNUMBER('中古車掲載'!N569),'中古車掲載'!N569&gt;=20000,'中古車掲載'!O569&lt;=100000,'中古車掲載'!AL569=1),'中古車掲載'!U569,"")</x:f>
      </x:c>
      <x:c r="BI568" s="3" t="str">
        <x:v>Taladrod|Fortuner|ICE|Unknown</x:v>
      </x:c>
      <x:c r="BJ568" s="3" t="n">
        <x:v>569</x:v>
      </x:c>
      <x:c r="BK568" s="3" t="n">
        <x:f>'中古車掲載'!AM569</x:f>
        <x:v>898000</x:v>
      </x:c>
      <x:c r="BL568" s="3" t="str">
        <x:f>IF(ISNUMBER('中古車掲載'!AN569),'中古車掲載'!AN569,"")</x:f>
      </x:c>
      <x:c r="BM568" s="3"/>
      <x:c r="BN568" s="3"/>
      <x:c r="BO568" s="3"/>
      <x:c r="BP568" s="3"/>
      <x:c r="BQ568" s="3"/>
      <x:c r="BR568" s="3"/>
    </x:row>
    <x:row r="569" ht="22" customHeight="1">
      <x:c r="A569" s="3" t="str">
        <x:v>Hilux Revo</x:v>
      </x:c>
      <x:c r="B569" s="3" t="str">
        <x:v>ICE</x:v>
      </x:c>
      <x:c r="C569" s="3" t="str">
        <x:v>Taladrod</x:v>
      </x:c>
      <x:c r="D569" s="3" t="str">
        <x:v>Pickup</x:v>
      </x:c>
      <x:c r="E569" s="3" t="str">
        <x:v>Single cab</x:v>
      </x:c>
      <x:c r="F569" s="3" t="n">
        <x:v>2021</x:v>
      </x:c>
      <x:c r="G569" s="3" t="str">
        <x:v>2.4 ENTRY SWB STANDARD CAB</x:v>
      </x:c>
      <x:c r="H569" s="3" t="str">
        <x:v>未掲載</x:v>
      </x:c>
      <x:c r="I569" s="3" t="str">
        <x:v>世代不明</x:v>
      </x:c>
      <x:c r="J569" s="22" t="n">
        <x:f>COUNT('中古車掲載'!AM723:AM723)</x:f>
        <x:v>1</x:v>
      </x:c>
      <x:c r="K569" s="22" t="n">
        <x:f>IF(COUNT('中古車掲載'!AM723:AM723)=0,"",QUARTILE('中古車掲載'!AM723:AM723,1))</x:f>
        <x:v>459000</x:v>
      </x:c>
      <x:c r="L569" s="22" t="n">
        <x:f>IF(COUNT('中古車掲載'!AM723:AM723)=0,"",MEDIAN('中古車掲載'!AM723:AM723))</x:f>
        <x:v>459000</x:v>
      </x:c>
      <x:c r="M569" s="22" t="n">
        <x:f>IF(COUNT('中古車掲載'!AM723:AM723)=0,"",QUARTILE('中古車掲載'!AM723:AM723,3))</x:f>
        <x:v>459000</x:v>
      </x:c>
      <x:c r="N569" s="22" t="n">
        <x:f>COUNT('中古車掲載'!AN723:AN723)</x:f>
        <x:v>0</x:v>
      </x:c>
      <x:c r="O569" s="23" t="str">
        <x:f>IF(COUNT('中古車掲載'!AN723:AN723)=0,"",MEDIAN('中古車掲載'!AN723:AN723))</x:f>
      </x:c>
      <x:c r="P569" s="3"/>
      <x:c r="Q569" s="3"/>
      <x:c r="R569" s="3"/>
      <x:c r="S569" s="3"/>
      <x:c r="T569" s="3"/>
      <x:c r="U569" s="3"/>
      <x:c r="V569" s="3"/>
      <x:c r="W569" s="3"/>
      <x:c r="X569" s="3"/>
      <x:c r="Y569" s="3"/>
      <x:c r="Z569" s="3"/>
      <x:c r="AA569" s="3"/>
      <x:c r="AB569" s="3"/>
      <x:c r="AC569" s="3"/>
      <x:c r="AD569" s="3"/>
      <x:c r="AE569" s="3"/>
      <x:c r="AF569" s="3"/>
      <x:c r="AG569" s="3"/>
      <x:c r="AH569" s="3"/>
      <x:c r="AI569" s="3"/>
      <x:c r="AJ569" s="3"/>
      <x:c r="AK569" s="3"/>
      <x:c r="AL569" s="3"/>
      <x:c r="AM569" s="3"/>
      <x:c r="AN569" s="3"/>
      <x:c r="AO569" s="3"/>
      <x:c r="AP569" s="3"/>
      <x:c r="AQ569" s="3"/>
      <x:c r="AR569" s="3"/>
      <x:c r="AS569" s="3"/>
      <x:c r="AT569" s="3"/>
      <x:c r="AU569" s="3"/>
      <x:c r="AV569" s="3"/>
      <x:c r="AW569" s="3"/>
      <x:c r="AX569" s="3"/>
      <x:c r="AY569" s="3"/>
      <x:c r="AZ569" s="3" t="str">
        <x:f>IF(AND('中古車掲載'!C570="One2car",'中古車掲載'!F570="ATTO 3",'中古車掲載'!L570="EXTENDED RANGE",'中古車掲載'!J570=2023,ISNUMBER('中古車掲載'!N570),'中古車掲載'!N570&gt;=20000,'中古車掲載'!O570&lt;=100000,'中古車掲載'!AL570=1),'中古車掲載'!U570,"")</x:f>
      </x:c>
      <x:c r="BA569" s="3" t="str">
        <x:f>IF(AND('中古車掲載'!C570="One2car",'中古車掲載'!F570="Corolla Cross",'中古車掲載'!L570="HEV PREMIUM SAFETY",'中古車掲載'!J570=2023,ISNUMBER('中古車掲載'!N570),'中古車掲載'!N570&gt;=20000,'中古車掲載'!O570&lt;=100000,'中古車掲載'!AL570=1,'中古車掲載'!Z570="https://www.one2car.com/en/cars-for-sale/toyota/corolla-cross/year-2023"),'中古車掲載'!U570,"")</x:f>
      </x:c>
      <x:c r="BB569" s="3" t="str">
        <x:f>IF(AND('中古車掲載'!C570="One2car",'中古車掲載'!F570="ATTO 3",'中古車掲載'!L570="EXTENDED RANGE",'中古車掲載'!J570=2023,ISNUMBER('中古車掲載'!N570),'中古車掲載'!N570&gt;=50000,'中古車掲載'!O570&lt;=100000,'中古車掲載'!AL570=1),'中古車掲載'!U570,"")</x:f>
      </x:c>
      <x:c r="BC569" s="3" t="str">
        <x:f>IF(AND('中古車掲載'!C570="One2car",'中古車掲載'!F570="Corolla Cross",'中古車掲載'!L570="HEV PREMIUM SAFETY",'中古車掲載'!J570=2023,ISNUMBER('中古車掲載'!N570),'中古車掲載'!N570&gt;=50000,'中古車掲載'!O570&lt;=100000,'中古車掲載'!AL570=1,'中古車掲載'!Z570="https://www.one2car.com/en/cars-for-sale/toyota/corolla-cross/year-2023"),'中古車掲載'!U570,"")</x:f>
      </x:c>
      <x:c r="BD569" s="3" t="str">
        <x:f>IF(AND('中古車掲載'!C570="One2car",'中古車掲載'!F570="ATTO 3",'中古車掲載'!L570="EXTENDED RANGE",'中古車掲載'!J570=2023,ISNUMBER('中古車掲載'!N570),'中古車掲載'!N570&gt;=20000,'中古車掲載'!O570&lt;=50000,'中古車掲載'!AL570=1),'中古車掲載'!U570,"")</x:f>
      </x:c>
      <x:c r="BE569" s="3" t="str">
        <x:f>IF(AND('中古車掲載'!C570="One2car",'中古車掲載'!F570="Corolla Cross",'中古車掲載'!L570="HEV PREMIUM SAFETY",'中古車掲載'!J570=2023,ISNUMBER('中古車掲載'!N570),'中古車掲載'!N570&gt;=20000,'中古車掲載'!O570&lt;=50000,'中古車掲載'!AL570=1,'中古車掲載'!Z570="https://www.one2car.com/en/cars-for-sale/toyota/corolla-cross/year-2023"),'中古車掲載'!U570,"")</x:f>
      </x:c>
      <x:c r="BF569" s="3" t="str">
        <x:f>IF(AND('中古車掲載'!C570="One2car",'中古車掲載'!F570="Corolla Cross",'中古車掲載'!L570="HEV PREMIUM",'中古車掲載'!J570=2023,ISNUMBER('中古車掲載'!N570),'中古車掲載'!N570&gt;=20000,'中古車掲載'!O570&lt;=100000,'中古車掲載'!AL570=1,'中古車掲載'!Z570="https://www.one2car.com/en/cars-for-sale/toyota/corolla-cross/year-2023"),'中古車掲載'!U570,"")</x:f>
      </x:c>
      <x:c r="BG569" s="3" t="str">
        <x:f>IF(AND('中古車掲載'!C570="One2car",'中古車掲載'!F570="Corolla Cross",'中古車掲載'!L570="HEV GR SPORT",'中古車掲載'!J570=2023,ISNUMBER('中古車掲載'!N570),'中古車掲載'!N570&gt;=20000,'中古車掲載'!O570&lt;=100000,'中古車掲載'!AL570=1,'中古車掲載'!Z570="https://www.one2car.com/en/cars-for-sale/toyota/corolla-cross/year-2023"),'中古車掲載'!U570,"")</x:f>
      </x:c>
      <x:c r="BH569" s="3" t="str">
        <x:f>IF(AND('中古車掲載'!C570="One2car",'中古車掲載'!F570="DOLPHIN",'中古車掲載'!L570="STANDARD RANGE",'中古車掲載'!J570=2023,ISNUMBER('中古車掲載'!N570),'中古車掲載'!N570&gt;=20000,'中古車掲載'!O570&lt;=100000,'中古車掲載'!AL570=1),'中古車掲載'!U570,"")</x:f>
      </x:c>
      <x:c r="BI569" s="3" t="str">
        <x:v>Taladrod|Fortuner|ICE|Unknown</x:v>
      </x:c>
      <x:c r="BJ569" s="3" t="n">
        <x:v>570</x:v>
      </x:c>
      <x:c r="BK569" s="3" t="n">
        <x:f>'中古車掲載'!AM570</x:f>
        <x:v>950000</x:v>
      </x:c>
      <x:c r="BL569" s="3" t="str">
        <x:f>IF(ISNUMBER('中古車掲載'!AN570),'中古車掲載'!AN570,"")</x:f>
      </x:c>
      <x:c r="BM569" s="3"/>
      <x:c r="BN569" s="3"/>
      <x:c r="BO569" s="3"/>
      <x:c r="BP569" s="3"/>
      <x:c r="BQ569" s="3"/>
      <x:c r="BR569" s="3"/>
    </x:row>
    <x:row r="570" ht="22" customHeight="1">
      <x:c r="A570" s="3" t="str">
        <x:v>Hilux Revo</x:v>
      </x:c>
      <x:c r="B570" s="3" t="str">
        <x:v>ICE</x:v>
      </x:c>
      <x:c r="C570" s="3" t="str">
        <x:v>Taladrod</x:v>
      </x:c>
      <x:c r="D570" s="3" t="str">
        <x:v>Pickup</x:v>
      </x:c>
      <x:c r="E570" s="3" t="str">
        <x:v>Single cab</x:v>
      </x:c>
      <x:c r="F570" s="3" t="n">
        <x:v>2021</x:v>
      </x:c>
      <x:c r="G570" s="3" t="str">
        <x:v>2.8 ENTRY STANDARD CAB</x:v>
      </x:c>
      <x:c r="H570" s="3" t="str">
        <x:v>未掲載</x:v>
      </x:c>
      <x:c r="I570" s="3" t="str">
        <x:v>世代不明</x:v>
      </x:c>
      <x:c r="J570" s="22" t="n">
        <x:f>COUNT('中古車掲載'!AM764:AM764)</x:f>
        <x:v>1</x:v>
      </x:c>
      <x:c r="K570" s="22" t="n">
        <x:f>IF(COUNT('中古車掲載'!AM764:AM764)=0,"",QUARTILE('中古車掲載'!AM764:AM764,1))</x:f>
        <x:v>364000</x:v>
      </x:c>
      <x:c r="L570" s="22" t="n">
        <x:f>IF(COUNT('中古車掲載'!AM764:AM764)=0,"",MEDIAN('中古車掲載'!AM764:AM764))</x:f>
        <x:v>364000</x:v>
      </x:c>
      <x:c r="M570" s="22" t="n">
        <x:f>IF(COUNT('中古車掲載'!AM764:AM764)=0,"",QUARTILE('中古車掲載'!AM764:AM764,3))</x:f>
        <x:v>364000</x:v>
      </x:c>
      <x:c r="N570" s="22" t="n">
        <x:f>COUNT('中古車掲載'!AN764:AN764)</x:f>
        <x:v>0</x:v>
      </x:c>
      <x:c r="O570" s="23" t="str">
        <x:f>IF(COUNT('中古車掲載'!AN764:AN764)=0,"",MEDIAN('中古車掲載'!AN764:AN764))</x:f>
      </x:c>
      <x:c r="P570" s="3"/>
      <x:c r="Q570" s="3"/>
      <x:c r="R570" s="3"/>
      <x:c r="S570" s="3"/>
      <x:c r="T570" s="3"/>
      <x:c r="U570" s="3"/>
      <x:c r="V570" s="3"/>
      <x:c r="W570" s="3"/>
      <x:c r="X570" s="3"/>
      <x:c r="Y570" s="3"/>
      <x:c r="Z570" s="3"/>
      <x:c r="AA570" s="3"/>
      <x:c r="AB570" s="3"/>
      <x:c r="AC570" s="3"/>
      <x:c r="AD570" s="3"/>
      <x:c r="AE570" s="3"/>
      <x:c r="AF570" s="3"/>
      <x:c r="AG570" s="3"/>
      <x:c r="AH570" s="3"/>
      <x:c r="AI570" s="3"/>
      <x:c r="AJ570" s="3"/>
      <x:c r="AK570" s="3"/>
      <x:c r="AL570" s="3"/>
      <x:c r="AM570" s="3"/>
      <x:c r="AN570" s="3"/>
      <x:c r="AO570" s="3"/>
      <x:c r="AP570" s="3"/>
      <x:c r="AQ570" s="3"/>
      <x:c r="AR570" s="3"/>
      <x:c r="AS570" s="3"/>
      <x:c r="AT570" s="3"/>
      <x:c r="AU570" s="3"/>
      <x:c r="AV570" s="3"/>
      <x:c r="AW570" s="3"/>
      <x:c r="AX570" s="3"/>
      <x:c r="AY570" s="3"/>
      <x:c r="AZ570" s="3" t="str">
        <x:f>IF(AND('中古車掲載'!C571="One2car",'中古車掲載'!F571="ATTO 3",'中古車掲載'!L571="EXTENDED RANGE",'中古車掲載'!J571=2023,ISNUMBER('中古車掲載'!N571),'中古車掲載'!N571&gt;=20000,'中古車掲載'!O571&lt;=100000,'中古車掲載'!AL571=1),'中古車掲載'!U571,"")</x:f>
      </x:c>
      <x:c r="BA570" s="3" t="str">
        <x:f>IF(AND('中古車掲載'!C571="One2car",'中古車掲載'!F571="Corolla Cross",'中古車掲載'!L571="HEV PREMIUM SAFETY",'中古車掲載'!J571=2023,ISNUMBER('中古車掲載'!N571),'中古車掲載'!N571&gt;=20000,'中古車掲載'!O571&lt;=100000,'中古車掲載'!AL571=1,'中古車掲載'!Z571="https://www.one2car.com/en/cars-for-sale/toyota/corolla-cross/year-2023"),'中古車掲載'!U571,"")</x:f>
      </x:c>
      <x:c r="BB570" s="3" t="str">
        <x:f>IF(AND('中古車掲載'!C571="One2car",'中古車掲載'!F571="ATTO 3",'中古車掲載'!L571="EXTENDED RANGE",'中古車掲載'!J571=2023,ISNUMBER('中古車掲載'!N571),'中古車掲載'!N571&gt;=50000,'中古車掲載'!O571&lt;=100000,'中古車掲載'!AL571=1),'中古車掲載'!U571,"")</x:f>
      </x:c>
      <x:c r="BC570" s="3" t="str">
        <x:f>IF(AND('中古車掲載'!C571="One2car",'中古車掲載'!F571="Corolla Cross",'中古車掲載'!L571="HEV PREMIUM SAFETY",'中古車掲載'!J571=2023,ISNUMBER('中古車掲載'!N571),'中古車掲載'!N571&gt;=50000,'中古車掲載'!O571&lt;=100000,'中古車掲載'!AL571=1,'中古車掲載'!Z571="https://www.one2car.com/en/cars-for-sale/toyota/corolla-cross/year-2023"),'中古車掲載'!U571,"")</x:f>
      </x:c>
      <x:c r="BD570" s="3" t="str">
        <x:f>IF(AND('中古車掲載'!C571="One2car",'中古車掲載'!F571="ATTO 3",'中古車掲載'!L571="EXTENDED RANGE",'中古車掲載'!J571=2023,ISNUMBER('中古車掲載'!N571),'中古車掲載'!N571&gt;=20000,'中古車掲載'!O571&lt;=50000,'中古車掲載'!AL571=1),'中古車掲載'!U571,"")</x:f>
      </x:c>
      <x:c r="BE570" s="3" t="str">
        <x:f>IF(AND('中古車掲載'!C571="One2car",'中古車掲載'!F571="Corolla Cross",'中古車掲載'!L571="HEV PREMIUM SAFETY",'中古車掲載'!J571=2023,ISNUMBER('中古車掲載'!N571),'中古車掲載'!N571&gt;=20000,'中古車掲載'!O571&lt;=50000,'中古車掲載'!AL571=1,'中古車掲載'!Z571="https://www.one2car.com/en/cars-for-sale/toyota/corolla-cross/year-2023"),'中古車掲載'!U571,"")</x:f>
      </x:c>
      <x:c r="BF570" s="3" t="str">
        <x:f>IF(AND('中古車掲載'!C571="One2car",'中古車掲載'!F571="Corolla Cross",'中古車掲載'!L571="HEV PREMIUM",'中古車掲載'!J571=2023,ISNUMBER('中古車掲載'!N571),'中古車掲載'!N571&gt;=20000,'中古車掲載'!O571&lt;=100000,'中古車掲載'!AL571=1,'中古車掲載'!Z571="https://www.one2car.com/en/cars-for-sale/toyota/corolla-cross/year-2023"),'中古車掲載'!U571,"")</x:f>
      </x:c>
      <x:c r="BG570" s="3" t="str">
        <x:f>IF(AND('中古車掲載'!C571="One2car",'中古車掲載'!F571="Corolla Cross",'中古車掲載'!L571="HEV GR SPORT",'中古車掲載'!J571=2023,ISNUMBER('中古車掲載'!N571),'中古車掲載'!N571&gt;=20000,'中古車掲載'!O571&lt;=100000,'中古車掲載'!AL571=1,'中古車掲載'!Z571="https://www.one2car.com/en/cars-for-sale/toyota/corolla-cross/year-2023"),'中古車掲載'!U571,"")</x:f>
      </x:c>
      <x:c r="BH570" s="3" t="str">
        <x:f>IF(AND('中古車掲載'!C571="One2car",'中古車掲載'!F571="DOLPHIN",'中古車掲載'!L571="STANDARD RANGE",'中古車掲載'!J571=2023,ISNUMBER('中古車掲載'!N571),'中古車掲載'!N571&gt;=20000,'中古車掲載'!O571&lt;=100000,'中古車掲載'!AL571=1),'中古車掲載'!U571,"")</x:f>
      </x:c>
      <x:c r="BI570" s="3" t="str">
        <x:v>Taladrod|Fortuner|ICE|Unknown</x:v>
      </x:c>
      <x:c r="BJ570" s="3" t="n">
        <x:v>571</x:v>
      </x:c>
      <x:c r="BK570" s="3" t="n">
        <x:f>'中古車掲載'!AM571</x:f>
        <x:v>914000</x:v>
      </x:c>
      <x:c r="BL570" s="3" t="str">
        <x:f>IF(ISNUMBER('中古車掲載'!AN571),'中古車掲載'!AN571,"")</x:f>
      </x:c>
      <x:c r="BM570" s="3"/>
      <x:c r="BN570" s="3"/>
      <x:c r="BO570" s="3"/>
      <x:c r="BP570" s="3"/>
      <x:c r="BQ570" s="3"/>
      <x:c r="BR570" s="3"/>
    </x:row>
    <x:row r="571" ht="22" customHeight="1">
      <x:c r="A571" s="3" t="str">
        <x:v>Hilux Revo</x:v>
      </x:c>
      <x:c r="B571" s="3" t="str">
        <x:v>ICE</x:v>
      </x:c>
      <x:c r="C571" s="3" t="str">
        <x:v>Taladrod</x:v>
      </x:c>
      <x:c r="D571" s="3" t="str">
        <x:v>Pickup</x:v>
      </x:c>
      <x:c r="E571" s="3" t="str">
        <x:v>Single cab</x:v>
      </x:c>
      <x:c r="F571" s="3" t="n">
        <x:v>2022</x:v>
      </x:c>
      <x:c r="G571" s="3" t="str">
        <x:v>2.4 ENTRY STANDARD CAB</x:v>
      </x:c>
      <x:c r="H571" s="3" t="str">
        <x:v>未掲載</x:v>
      </x:c>
      <x:c r="I571" s="3" t="str">
        <x:v>世代不明</x:v>
      </x:c>
      <x:c r="J571" s="22" t="n">
        <x:f>COUNT('中古車掲載'!AM775:AM786)</x:f>
        <x:v>12</x:v>
      </x:c>
      <x:c r="K571" s="22" t="n">
        <x:f>IF(COUNT('中古車掲載'!AM775:AM786)=0,"",QUARTILE('中古車掲載'!AM775:AM786,1))</x:f>
        <x:v>378000</x:v>
      </x:c>
      <x:c r="L571" s="22" t="n">
        <x:f>IF(COUNT('中古車掲載'!AM775:AM786)=0,"",MEDIAN('中古車掲載'!AM775:AM786))</x:f>
        <x:v>399000</x:v>
      </x:c>
      <x:c r="M571" s="22" t="n">
        <x:f>IF(COUNT('中古車掲載'!AM775:AM786)=0,"",QUARTILE('中古車掲載'!AM775:AM786,3))</x:f>
        <x:v>418500</x:v>
      </x:c>
      <x:c r="N571" s="22" t="n">
        <x:f>COUNT('中古車掲載'!AN775:AN786)</x:f>
        <x:v>0</x:v>
      </x:c>
      <x:c r="O571" s="23" t="str">
        <x:f>IF(COUNT('中古車掲載'!AN775:AN786)=0,"",MEDIAN('中古車掲載'!AN775:AN786))</x:f>
      </x:c>
      <x:c r="P571" s="3"/>
      <x:c r="Q571" s="3"/>
      <x:c r="R571" s="3"/>
      <x:c r="S571" s="3"/>
      <x:c r="T571" s="3"/>
      <x:c r="U571" s="3"/>
      <x:c r="V571" s="3"/>
      <x:c r="W571" s="3"/>
      <x:c r="X571" s="3"/>
      <x:c r="Y571" s="3"/>
      <x:c r="Z571" s="3"/>
      <x:c r="AA571" s="3"/>
      <x:c r="AB571" s="3"/>
      <x:c r="AC571" s="3"/>
      <x:c r="AD571" s="3"/>
      <x:c r="AE571" s="3"/>
      <x:c r="AF571" s="3"/>
      <x:c r="AG571" s="3"/>
      <x:c r="AH571" s="3"/>
      <x:c r="AI571" s="3"/>
      <x:c r="AJ571" s="3"/>
      <x:c r="AK571" s="3"/>
      <x:c r="AL571" s="3"/>
      <x:c r="AM571" s="3"/>
      <x:c r="AN571" s="3"/>
      <x:c r="AO571" s="3"/>
      <x:c r="AP571" s="3"/>
      <x:c r="AQ571" s="3"/>
      <x:c r="AR571" s="3"/>
      <x:c r="AS571" s="3"/>
      <x:c r="AT571" s="3"/>
      <x:c r="AU571" s="3"/>
      <x:c r="AV571" s="3"/>
      <x:c r="AW571" s="3"/>
      <x:c r="AX571" s="3"/>
      <x:c r="AY571" s="3"/>
      <x:c r="AZ571" s="3" t="str">
        <x:f>IF(AND('中古車掲載'!C572="One2car",'中古車掲載'!F572="ATTO 3",'中古車掲載'!L572="EXTENDED RANGE",'中古車掲載'!J572=2023,ISNUMBER('中古車掲載'!N572),'中古車掲載'!N572&gt;=20000,'中古車掲載'!O572&lt;=100000,'中古車掲載'!AL572=1),'中古車掲載'!U572,"")</x:f>
      </x:c>
      <x:c r="BA571" s="3" t="str">
        <x:f>IF(AND('中古車掲載'!C572="One2car",'中古車掲載'!F572="Corolla Cross",'中古車掲載'!L572="HEV PREMIUM SAFETY",'中古車掲載'!J572=2023,ISNUMBER('中古車掲載'!N572),'中古車掲載'!N572&gt;=20000,'中古車掲載'!O572&lt;=100000,'中古車掲載'!AL572=1,'中古車掲載'!Z572="https://www.one2car.com/en/cars-for-sale/toyota/corolla-cross/year-2023"),'中古車掲載'!U572,"")</x:f>
      </x:c>
      <x:c r="BB571" s="3" t="str">
        <x:f>IF(AND('中古車掲載'!C572="One2car",'中古車掲載'!F572="ATTO 3",'中古車掲載'!L572="EXTENDED RANGE",'中古車掲載'!J572=2023,ISNUMBER('中古車掲載'!N572),'中古車掲載'!N572&gt;=50000,'中古車掲載'!O572&lt;=100000,'中古車掲載'!AL572=1),'中古車掲載'!U572,"")</x:f>
      </x:c>
      <x:c r="BC571" s="3" t="str">
        <x:f>IF(AND('中古車掲載'!C572="One2car",'中古車掲載'!F572="Corolla Cross",'中古車掲載'!L572="HEV PREMIUM SAFETY",'中古車掲載'!J572=2023,ISNUMBER('中古車掲載'!N572),'中古車掲載'!N572&gt;=50000,'中古車掲載'!O572&lt;=100000,'中古車掲載'!AL572=1,'中古車掲載'!Z572="https://www.one2car.com/en/cars-for-sale/toyota/corolla-cross/year-2023"),'中古車掲載'!U572,"")</x:f>
      </x:c>
      <x:c r="BD571" s="3" t="str">
        <x:f>IF(AND('中古車掲載'!C572="One2car",'中古車掲載'!F572="ATTO 3",'中古車掲載'!L572="EXTENDED RANGE",'中古車掲載'!J572=2023,ISNUMBER('中古車掲載'!N572),'中古車掲載'!N572&gt;=20000,'中古車掲載'!O572&lt;=50000,'中古車掲載'!AL572=1),'中古車掲載'!U572,"")</x:f>
      </x:c>
      <x:c r="BE571" s="3" t="str">
        <x:f>IF(AND('中古車掲載'!C572="One2car",'中古車掲載'!F572="Corolla Cross",'中古車掲載'!L572="HEV PREMIUM SAFETY",'中古車掲載'!J572=2023,ISNUMBER('中古車掲載'!N572),'中古車掲載'!N572&gt;=20000,'中古車掲載'!O572&lt;=50000,'中古車掲載'!AL572=1,'中古車掲載'!Z572="https://www.one2car.com/en/cars-for-sale/toyota/corolla-cross/year-2023"),'中古車掲載'!U572,"")</x:f>
      </x:c>
      <x:c r="BF571" s="3" t="str">
        <x:f>IF(AND('中古車掲載'!C572="One2car",'中古車掲載'!F572="Corolla Cross",'中古車掲載'!L572="HEV PREMIUM",'中古車掲載'!J572=2023,ISNUMBER('中古車掲載'!N572),'中古車掲載'!N572&gt;=20000,'中古車掲載'!O572&lt;=100000,'中古車掲載'!AL572=1,'中古車掲載'!Z572="https://www.one2car.com/en/cars-for-sale/toyota/corolla-cross/year-2023"),'中古車掲載'!U572,"")</x:f>
      </x:c>
      <x:c r="BG571" s="3" t="str">
        <x:f>IF(AND('中古車掲載'!C572="One2car",'中古車掲載'!F572="Corolla Cross",'中古車掲載'!L572="HEV GR SPORT",'中古車掲載'!J572=2023,ISNUMBER('中古車掲載'!N572),'中古車掲載'!N572&gt;=20000,'中古車掲載'!O572&lt;=100000,'中古車掲載'!AL572=1,'中古車掲載'!Z572="https://www.one2car.com/en/cars-for-sale/toyota/corolla-cross/year-2023"),'中古車掲載'!U572,"")</x:f>
      </x:c>
      <x:c r="BH571" s="3" t="str">
        <x:f>IF(AND('中古車掲載'!C572="One2car",'中古車掲載'!F572="DOLPHIN",'中古車掲載'!L572="STANDARD RANGE",'中古車掲載'!J572=2023,ISNUMBER('中古車掲載'!N572),'中古車掲載'!N572&gt;=20000,'中古車掲載'!O572&lt;=100000,'中古車掲載'!AL572=1),'中古車掲載'!U572,"")</x:f>
      </x:c>
      <x:c r="BI571" s="3" t="str">
        <x:v>Taladrod|Fortuner|ICE|Unknown</x:v>
      </x:c>
      <x:c r="BJ571" s="3" t="n">
        <x:v>572</x:v>
      </x:c>
      <x:c r="BK571" s="3" t="n">
        <x:f>'中古車掲載'!AM572</x:f>
        <x:v>984000</x:v>
      </x:c>
      <x:c r="BL571" s="3" t="str">
        <x:f>IF(ISNUMBER('中古車掲載'!AN572),'中古車掲載'!AN572,"")</x:f>
      </x:c>
      <x:c r="BM571" s="3"/>
      <x:c r="BN571" s="3"/>
      <x:c r="BO571" s="3"/>
      <x:c r="BP571" s="3"/>
      <x:c r="BQ571" s="3"/>
      <x:c r="BR571" s="3"/>
    </x:row>
    <x:row r="572" ht="22" customHeight="1">
      <x:c r="A572" s="3" t="str">
        <x:v>Hilux Revo</x:v>
      </x:c>
      <x:c r="B572" s="3" t="str">
        <x:v>ICE</x:v>
      </x:c>
      <x:c r="C572" s="3" t="str">
        <x:v>Taladrod</x:v>
      </x:c>
      <x:c r="D572" s="3" t="str">
        <x:v>Pickup</x:v>
      </x:c>
      <x:c r="E572" s="3" t="str">
        <x:v>Single cab</x:v>
      </x:c>
      <x:c r="F572" s="3" t="n">
        <x:v>2022</x:v>
      </x:c>
      <x:c r="G572" s="3" t="str">
        <x:v>2.8 ENTRY 4WD STANDARD CAB</x:v>
      </x:c>
      <x:c r="H572" s="3" t="str">
        <x:v>未掲載</x:v>
      </x:c>
      <x:c r="I572" s="3" t="str">
        <x:v>世代不明</x:v>
      </x:c>
      <x:c r="J572" s="22" t="n">
        <x:f>COUNT('中古車掲載'!AM826:AM826)</x:f>
        <x:v>1</x:v>
      </x:c>
      <x:c r="K572" s="22" t="n">
        <x:f>IF(COUNT('中古車掲載'!AM826:AM826)=0,"",QUARTILE('中古車掲載'!AM826:AM826,1))</x:f>
        <x:v>585000</x:v>
      </x:c>
      <x:c r="L572" s="22" t="n">
        <x:f>IF(COUNT('中古車掲載'!AM826:AM826)=0,"",MEDIAN('中古車掲載'!AM826:AM826))</x:f>
        <x:v>585000</x:v>
      </x:c>
      <x:c r="M572" s="22" t="n">
        <x:f>IF(COUNT('中古車掲載'!AM826:AM826)=0,"",QUARTILE('中古車掲載'!AM826:AM826,3))</x:f>
        <x:v>585000</x:v>
      </x:c>
      <x:c r="N572" s="22" t="n">
        <x:f>COUNT('中古車掲載'!AN826:AN826)</x:f>
        <x:v>0</x:v>
      </x:c>
      <x:c r="O572" s="23" t="str">
        <x:f>IF(COUNT('中古車掲載'!AN826:AN826)=0,"",MEDIAN('中古車掲載'!AN826:AN826))</x:f>
      </x:c>
      <x:c r="P572" s="3"/>
      <x:c r="Q572" s="3"/>
      <x:c r="R572" s="3"/>
      <x:c r="S572" s="3"/>
      <x:c r="T572" s="3"/>
      <x:c r="U572" s="3"/>
      <x:c r="V572" s="3"/>
      <x:c r="W572" s="3"/>
      <x:c r="X572" s="3"/>
      <x:c r="Y572" s="3"/>
      <x:c r="Z572" s="3"/>
      <x:c r="AA572" s="3"/>
      <x:c r="AB572" s="3"/>
      <x:c r="AC572" s="3"/>
      <x:c r="AD572" s="3"/>
      <x:c r="AE572" s="3"/>
      <x:c r="AF572" s="3"/>
      <x:c r="AG572" s="3"/>
      <x:c r="AH572" s="3"/>
      <x:c r="AI572" s="3"/>
      <x:c r="AJ572" s="3"/>
      <x:c r="AK572" s="3"/>
      <x:c r="AL572" s="3"/>
      <x:c r="AM572" s="3"/>
      <x:c r="AN572" s="3"/>
      <x:c r="AO572" s="3"/>
      <x:c r="AP572" s="3"/>
      <x:c r="AQ572" s="3"/>
      <x:c r="AR572" s="3"/>
      <x:c r="AS572" s="3"/>
      <x:c r="AT572" s="3"/>
      <x:c r="AU572" s="3"/>
      <x:c r="AV572" s="3"/>
      <x:c r="AW572" s="3"/>
      <x:c r="AX572" s="3"/>
      <x:c r="AY572" s="3"/>
      <x:c r="AZ572" s="3" t="str">
        <x:f>IF(AND('中古車掲載'!C573="One2car",'中古車掲載'!F573="ATTO 3",'中古車掲載'!L573="EXTENDED RANGE",'中古車掲載'!J573=2023,ISNUMBER('中古車掲載'!N573),'中古車掲載'!N573&gt;=20000,'中古車掲載'!O573&lt;=100000,'中古車掲載'!AL573=1),'中古車掲載'!U573,"")</x:f>
      </x:c>
      <x:c r="BA572" s="3" t="str">
        <x:f>IF(AND('中古車掲載'!C573="One2car",'中古車掲載'!F573="Corolla Cross",'中古車掲載'!L573="HEV PREMIUM SAFETY",'中古車掲載'!J573=2023,ISNUMBER('中古車掲載'!N573),'中古車掲載'!N573&gt;=20000,'中古車掲載'!O573&lt;=100000,'中古車掲載'!AL573=1,'中古車掲載'!Z573="https://www.one2car.com/en/cars-for-sale/toyota/corolla-cross/year-2023"),'中古車掲載'!U573,"")</x:f>
      </x:c>
      <x:c r="BB572" s="3" t="str">
        <x:f>IF(AND('中古車掲載'!C573="One2car",'中古車掲載'!F573="ATTO 3",'中古車掲載'!L573="EXTENDED RANGE",'中古車掲載'!J573=2023,ISNUMBER('中古車掲載'!N573),'中古車掲載'!N573&gt;=50000,'中古車掲載'!O573&lt;=100000,'中古車掲載'!AL573=1),'中古車掲載'!U573,"")</x:f>
      </x:c>
      <x:c r="BC572" s="3" t="str">
        <x:f>IF(AND('中古車掲載'!C573="One2car",'中古車掲載'!F573="Corolla Cross",'中古車掲載'!L573="HEV PREMIUM SAFETY",'中古車掲載'!J573=2023,ISNUMBER('中古車掲載'!N573),'中古車掲載'!N573&gt;=50000,'中古車掲載'!O573&lt;=100000,'中古車掲載'!AL573=1,'中古車掲載'!Z573="https://www.one2car.com/en/cars-for-sale/toyota/corolla-cross/year-2023"),'中古車掲載'!U573,"")</x:f>
      </x:c>
      <x:c r="BD572" s="3" t="str">
        <x:f>IF(AND('中古車掲載'!C573="One2car",'中古車掲載'!F573="ATTO 3",'中古車掲載'!L573="EXTENDED RANGE",'中古車掲載'!J573=2023,ISNUMBER('中古車掲載'!N573),'中古車掲載'!N573&gt;=20000,'中古車掲載'!O573&lt;=50000,'中古車掲載'!AL573=1),'中古車掲載'!U573,"")</x:f>
      </x:c>
      <x:c r="BE572" s="3" t="str">
        <x:f>IF(AND('中古車掲載'!C573="One2car",'中古車掲載'!F573="Corolla Cross",'中古車掲載'!L573="HEV PREMIUM SAFETY",'中古車掲載'!J573=2023,ISNUMBER('中古車掲載'!N573),'中古車掲載'!N573&gt;=20000,'中古車掲載'!O573&lt;=50000,'中古車掲載'!AL573=1,'中古車掲載'!Z573="https://www.one2car.com/en/cars-for-sale/toyota/corolla-cross/year-2023"),'中古車掲載'!U573,"")</x:f>
      </x:c>
      <x:c r="BF572" s="3" t="str">
        <x:f>IF(AND('中古車掲載'!C573="One2car",'中古車掲載'!F573="Corolla Cross",'中古車掲載'!L573="HEV PREMIUM",'中古車掲載'!J573=2023,ISNUMBER('中古車掲載'!N573),'中古車掲載'!N573&gt;=20000,'中古車掲載'!O573&lt;=100000,'中古車掲載'!AL573=1,'中古車掲載'!Z573="https://www.one2car.com/en/cars-for-sale/toyota/corolla-cross/year-2023"),'中古車掲載'!U573,"")</x:f>
      </x:c>
      <x:c r="BG572" s="3" t="str">
        <x:f>IF(AND('中古車掲載'!C573="One2car",'中古車掲載'!F573="Corolla Cross",'中古車掲載'!L573="HEV GR SPORT",'中古車掲載'!J573=2023,ISNUMBER('中古車掲載'!N573),'中古車掲載'!N573&gt;=20000,'中古車掲載'!O573&lt;=100000,'中古車掲載'!AL573=1,'中古車掲載'!Z573="https://www.one2car.com/en/cars-for-sale/toyota/corolla-cross/year-2023"),'中古車掲載'!U573,"")</x:f>
      </x:c>
      <x:c r="BH572" s="3" t="str">
        <x:f>IF(AND('中古車掲載'!C573="One2car",'中古車掲載'!F573="DOLPHIN",'中古車掲載'!L573="STANDARD RANGE",'中古車掲載'!J573=2023,ISNUMBER('中古車掲載'!N573),'中古車掲載'!N573&gt;=20000,'中古車掲載'!O573&lt;=100000,'中古車掲載'!AL573=1),'中古車掲載'!U573,"")</x:f>
      </x:c>
      <x:c r="BI572" s="3" t="str">
        <x:v>Taladrod|Fortuner|ICE|Unknown</x:v>
      </x:c>
      <x:c r="BJ572" s="3" t="n">
        <x:v>573</x:v>
      </x:c>
      <x:c r="BK572" s="3" t="n">
        <x:f>'中古車掲載'!AM573</x:f>
        <x:v>989000</x:v>
      </x:c>
      <x:c r="BL572" s="3" t="str">
        <x:f>IF(ISNUMBER('中古車掲載'!AN573),'中古車掲載'!AN573,"")</x:f>
      </x:c>
      <x:c r="BM572" s="3"/>
      <x:c r="BN572" s="3"/>
      <x:c r="BO572" s="3"/>
      <x:c r="BP572" s="3"/>
      <x:c r="BQ572" s="3"/>
      <x:c r="BR572" s="3"/>
    </x:row>
    <x:row r="573" ht="22" customHeight="1">
      <x:c r="A573" s="3" t="str">
        <x:v>Hilux Revo</x:v>
      </x:c>
      <x:c r="B573" s="3" t="str">
        <x:v>ICE</x:v>
      </x:c>
      <x:c r="C573" s="3" t="str">
        <x:v>Taladrod</x:v>
      </x:c>
      <x:c r="D573" s="3" t="str">
        <x:v>Pickup</x:v>
      </x:c>
      <x:c r="E573" s="3" t="str">
        <x:v>Single cab</x:v>
      </x:c>
      <x:c r="F573" s="3" t="n">
        <x:v>2023</x:v>
      </x:c>
      <x:c r="G573" s="3" t="str">
        <x:v>2.4 ENTRY STANDARD CAB</x:v>
      </x:c>
      <x:c r="H573" s="3" t="str">
        <x:v>未掲載</x:v>
      </x:c>
      <x:c r="I573" s="3" t="str">
        <x:v>世代不明</x:v>
      </x:c>
      <x:c r="J573" s="22" t="n">
        <x:f>COUNT('中古車掲載'!AM834:AM838)</x:f>
        <x:v>5</x:v>
      </x:c>
      <x:c r="K573" s="22" t="n">
        <x:f>IF(COUNT('中古車掲載'!AM834:AM838)=0,"",QUARTILE('中古車掲載'!AM834:AM838,1))</x:f>
        <x:v>429000</x:v>
      </x:c>
      <x:c r="L573" s="22" t="n">
        <x:f>IF(COUNT('中古車掲載'!AM834:AM838)=0,"",MEDIAN('中古車掲載'!AM834:AM838))</x:f>
        <x:v>479000</x:v>
      </x:c>
      <x:c r="M573" s="22" t="n">
        <x:f>IF(COUNT('中古車掲載'!AM834:AM838)=0,"",QUARTILE('中古車掲載'!AM834:AM838,3))</x:f>
        <x:v>479000</x:v>
      </x:c>
      <x:c r="N573" s="22" t="n">
        <x:f>COUNT('中古車掲載'!AN834:AN838)</x:f>
        <x:v>0</x:v>
      </x:c>
      <x:c r="O573" s="23" t="str">
        <x:f>IF(COUNT('中古車掲載'!AN834:AN838)=0,"",MEDIAN('中古車掲載'!AN834:AN838))</x:f>
      </x:c>
      <x:c r="P573" s="3"/>
      <x:c r="Q573" s="3"/>
      <x:c r="R573" s="3"/>
      <x:c r="S573" s="3"/>
      <x:c r="T573" s="3"/>
      <x:c r="U573" s="3"/>
      <x:c r="V573" s="3"/>
      <x:c r="W573" s="3"/>
      <x:c r="X573" s="3"/>
      <x:c r="Y573" s="3"/>
      <x:c r="Z573" s="3"/>
      <x:c r="AA573" s="3"/>
      <x:c r="AB573" s="3"/>
      <x:c r="AC573" s="3"/>
      <x:c r="AD573" s="3"/>
      <x:c r="AE573" s="3"/>
      <x:c r="AF573" s="3"/>
      <x:c r="AG573" s="3"/>
      <x:c r="AH573" s="3"/>
      <x:c r="AI573" s="3"/>
      <x:c r="AJ573" s="3"/>
      <x:c r="AK573" s="3"/>
      <x:c r="AL573" s="3"/>
      <x:c r="AM573" s="3"/>
      <x:c r="AN573" s="3"/>
      <x:c r="AO573" s="3"/>
      <x:c r="AP573" s="3"/>
      <x:c r="AQ573" s="3"/>
      <x:c r="AR573" s="3"/>
      <x:c r="AS573" s="3"/>
      <x:c r="AT573" s="3"/>
      <x:c r="AU573" s="3"/>
      <x:c r="AV573" s="3"/>
      <x:c r="AW573" s="3"/>
      <x:c r="AX573" s="3"/>
      <x:c r="AY573" s="3"/>
      <x:c r="AZ573" s="3" t="str">
        <x:f>IF(AND('中古車掲載'!C574="One2car",'中古車掲載'!F574="ATTO 3",'中古車掲載'!L574="EXTENDED RANGE",'中古車掲載'!J574=2023,ISNUMBER('中古車掲載'!N574),'中古車掲載'!N574&gt;=20000,'中古車掲載'!O574&lt;=100000,'中古車掲載'!AL574=1),'中古車掲載'!U574,"")</x:f>
      </x:c>
      <x:c r="BA573" s="3" t="str">
        <x:f>IF(AND('中古車掲載'!C574="One2car",'中古車掲載'!F574="Corolla Cross",'中古車掲載'!L574="HEV PREMIUM SAFETY",'中古車掲載'!J574=2023,ISNUMBER('中古車掲載'!N574),'中古車掲載'!N574&gt;=20000,'中古車掲載'!O574&lt;=100000,'中古車掲載'!AL574=1,'中古車掲載'!Z574="https://www.one2car.com/en/cars-for-sale/toyota/corolla-cross/year-2023"),'中古車掲載'!U574,"")</x:f>
      </x:c>
      <x:c r="BB573" s="3" t="str">
        <x:f>IF(AND('中古車掲載'!C574="One2car",'中古車掲載'!F574="ATTO 3",'中古車掲載'!L574="EXTENDED RANGE",'中古車掲載'!J574=2023,ISNUMBER('中古車掲載'!N574),'中古車掲載'!N574&gt;=50000,'中古車掲載'!O574&lt;=100000,'中古車掲載'!AL574=1),'中古車掲載'!U574,"")</x:f>
      </x:c>
      <x:c r="BC573" s="3" t="str">
        <x:f>IF(AND('中古車掲載'!C574="One2car",'中古車掲載'!F574="Corolla Cross",'中古車掲載'!L574="HEV PREMIUM SAFETY",'中古車掲載'!J574=2023,ISNUMBER('中古車掲載'!N574),'中古車掲載'!N574&gt;=50000,'中古車掲載'!O574&lt;=100000,'中古車掲載'!AL574=1,'中古車掲載'!Z574="https://www.one2car.com/en/cars-for-sale/toyota/corolla-cross/year-2023"),'中古車掲載'!U574,"")</x:f>
      </x:c>
      <x:c r="BD573" s="3" t="str">
        <x:f>IF(AND('中古車掲載'!C574="One2car",'中古車掲載'!F574="ATTO 3",'中古車掲載'!L574="EXTENDED RANGE",'中古車掲載'!J574=2023,ISNUMBER('中古車掲載'!N574),'中古車掲載'!N574&gt;=20000,'中古車掲載'!O574&lt;=50000,'中古車掲載'!AL574=1),'中古車掲載'!U574,"")</x:f>
      </x:c>
      <x:c r="BE573" s="3" t="str">
        <x:f>IF(AND('中古車掲載'!C574="One2car",'中古車掲載'!F574="Corolla Cross",'中古車掲載'!L574="HEV PREMIUM SAFETY",'中古車掲載'!J574=2023,ISNUMBER('中古車掲載'!N574),'中古車掲載'!N574&gt;=20000,'中古車掲載'!O574&lt;=50000,'中古車掲載'!AL574=1,'中古車掲載'!Z574="https://www.one2car.com/en/cars-for-sale/toyota/corolla-cross/year-2023"),'中古車掲載'!U574,"")</x:f>
      </x:c>
      <x:c r="BF573" s="3" t="str">
        <x:f>IF(AND('中古車掲載'!C574="One2car",'中古車掲載'!F574="Corolla Cross",'中古車掲載'!L574="HEV PREMIUM",'中古車掲載'!J574=2023,ISNUMBER('中古車掲載'!N574),'中古車掲載'!N574&gt;=20000,'中古車掲載'!O574&lt;=100000,'中古車掲載'!AL574=1,'中古車掲載'!Z574="https://www.one2car.com/en/cars-for-sale/toyota/corolla-cross/year-2023"),'中古車掲載'!U574,"")</x:f>
      </x:c>
      <x:c r="BG573" s="3" t="str">
        <x:f>IF(AND('中古車掲載'!C574="One2car",'中古車掲載'!F574="Corolla Cross",'中古車掲載'!L574="HEV GR SPORT",'中古車掲載'!J574=2023,ISNUMBER('中古車掲載'!N574),'中古車掲載'!N574&gt;=20000,'中古車掲載'!O574&lt;=100000,'中古車掲載'!AL574=1,'中古車掲載'!Z574="https://www.one2car.com/en/cars-for-sale/toyota/corolla-cross/year-2023"),'中古車掲載'!U574,"")</x:f>
      </x:c>
      <x:c r="BH573" s="3" t="str">
        <x:f>IF(AND('中古車掲載'!C574="One2car",'中古車掲載'!F574="DOLPHIN",'中古車掲載'!L574="STANDARD RANGE",'中古車掲載'!J574=2023,ISNUMBER('中古車掲載'!N574),'中古車掲載'!N574&gt;=20000,'中古車掲載'!O574&lt;=100000,'中古車掲載'!AL574=1),'中古車掲載'!U574,"")</x:f>
      </x:c>
      <x:c r="BI573" s="3" t="str">
        <x:v>Taladrod|Fortuner|ICE|Unknown</x:v>
      </x:c>
      <x:c r="BJ573" s="3" t="n">
        <x:v>574</x:v>
      </x:c>
      <x:c r="BK573" s="3" t="n">
        <x:f>'中古車掲載'!AM574</x:f>
        <x:v>999000</x:v>
      </x:c>
      <x:c r="BL573" s="3" t="str">
        <x:f>IF(ISNUMBER('中古車掲載'!AN574),'中古車掲載'!AN574,"")</x:f>
      </x:c>
      <x:c r="BM573" s="3"/>
      <x:c r="BN573" s="3"/>
      <x:c r="BO573" s="3"/>
      <x:c r="BP573" s="3"/>
      <x:c r="BQ573" s="3"/>
      <x:c r="BR573" s="3"/>
    </x:row>
    <x:row r="574" ht="22" customHeight="1">
      <x:c r="A574" s="3" t="str">
        <x:v>Hilux Revo</x:v>
      </x:c>
      <x:c r="B574" s="3" t="str">
        <x:v>ICE</x:v>
      </x:c>
      <x:c r="C574" s="3" t="str">
        <x:v>Taladrod</x:v>
      </x:c>
      <x:c r="D574" s="3" t="str">
        <x:v>Pickup</x:v>
      </x:c>
      <x:c r="E574" s="3" t="str">
        <x:v>Single cab</x:v>
      </x:c>
      <x:c r="F574" s="3" t="n">
        <x:v>2023</x:v>
      </x:c>
      <x:c r="G574" s="3" t="str">
        <x:v>2.4 ENTRY SWB STANDARD CAB</x:v>
      </x:c>
      <x:c r="H574" s="3" t="str">
        <x:v>未掲載</x:v>
      </x:c>
      <x:c r="I574" s="3" t="str">
        <x:v>世代不明</x:v>
      </x:c>
      <x:c r="J574" s="22" t="n">
        <x:f>COUNT('中古車掲載'!AM839:AM839)</x:f>
        <x:v>1</x:v>
      </x:c>
      <x:c r="K574" s="22" t="n">
        <x:f>IF(COUNT('中古車掲載'!AM839:AM839)=0,"",QUARTILE('中古車掲載'!AM839:AM839,1))</x:f>
        <x:v>459000</x:v>
      </x:c>
      <x:c r="L574" s="22" t="n">
        <x:f>IF(COUNT('中古車掲載'!AM839:AM839)=0,"",MEDIAN('中古車掲載'!AM839:AM839))</x:f>
        <x:v>459000</x:v>
      </x:c>
      <x:c r="M574" s="22" t="n">
        <x:f>IF(COUNT('中古車掲載'!AM839:AM839)=0,"",QUARTILE('中古車掲載'!AM839:AM839,3))</x:f>
        <x:v>459000</x:v>
      </x:c>
      <x:c r="N574" s="22" t="n">
        <x:f>COUNT('中古車掲載'!AN839:AN839)</x:f>
        <x:v>0</x:v>
      </x:c>
      <x:c r="O574" s="23" t="str">
        <x:f>IF(COUNT('中古車掲載'!AN839:AN839)=0,"",MEDIAN('中古車掲載'!AN839:AN839))</x:f>
      </x:c>
      <x:c r="P574" s="3"/>
      <x:c r="Q574" s="3"/>
      <x:c r="R574" s="3"/>
      <x:c r="S574" s="3"/>
      <x:c r="T574" s="3"/>
      <x:c r="U574" s="3"/>
      <x:c r="V574" s="3"/>
      <x:c r="W574" s="3"/>
      <x:c r="X574" s="3"/>
      <x:c r="Y574" s="3"/>
      <x:c r="Z574" s="3"/>
      <x:c r="AA574" s="3"/>
      <x:c r="AB574" s="3"/>
      <x:c r="AC574" s="3"/>
      <x:c r="AD574" s="3"/>
      <x:c r="AE574" s="3"/>
      <x:c r="AF574" s="3"/>
      <x:c r="AG574" s="3"/>
      <x:c r="AH574" s="3"/>
      <x:c r="AI574" s="3"/>
      <x:c r="AJ574" s="3"/>
      <x:c r="AK574" s="3"/>
      <x:c r="AL574" s="3"/>
      <x:c r="AM574" s="3"/>
      <x:c r="AN574" s="3"/>
      <x:c r="AO574" s="3"/>
      <x:c r="AP574" s="3"/>
      <x:c r="AQ574" s="3"/>
      <x:c r="AR574" s="3"/>
      <x:c r="AS574" s="3"/>
      <x:c r="AT574" s="3"/>
      <x:c r="AU574" s="3"/>
      <x:c r="AV574" s="3"/>
      <x:c r="AW574" s="3"/>
      <x:c r="AX574" s="3"/>
      <x:c r="AY574" s="3"/>
      <x:c r="AZ574" s="3" t="str">
        <x:f>IF(AND('中古車掲載'!C575="One2car",'中古車掲載'!F575="ATTO 3",'中古車掲載'!L575="EXTENDED RANGE",'中古車掲載'!J575=2023,ISNUMBER('中古車掲載'!N575),'中古車掲載'!N575&gt;=20000,'中古車掲載'!O575&lt;=100000,'中古車掲載'!AL575=1),'中古車掲載'!U575,"")</x:f>
      </x:c>
      <x:c r="BA574" s="3" t="str">
        <x:f>IF(AND('中古車掲載'!C575="One2car",'中古車掲載'!F575="Corolla Cross",'中古車掲載'!L575="HEV PREMIUM SAFETY",'中古車掲載'!J575=2023,ISNUMBER('中古車掲載'!N575),'中古車掲載'!N575&gt;=20000,'中古車掲載'!O575&lt;=100000,'中古車掲載'!AL575=1,'中古車掲載'!Z575="https://www.one2car.com/en/cars-for-sale/toyota/corolla-cross/year-2023"),'中古車掲載'!U575,"")</x:f>
      </x:c>
      <x:c r="BB574" s="3" t="str">
        <x:f>IF(AND('中古車掲載'!C575="One2car",'中古車掲載'!F575="ATTO 3",'中古車掲載'!L575="EXTENDED RANGE",'中古車掲載'!J575=2023,ISNUMBER('中古車掲載'!N575),'中古車掲載'!N575&gt;=50000,'中古車掲載'!O575&lt;=100000,'中古車掲載'!AL575=1),'中古車掲載'!U575,"")</x:f>
      </x:c>
      <x:c r="BC574" s="3" t="str">
        <x:f>IF(AND('中古車掲載'!C575="One2car",'中古車掲載'!F575="Corolla Cross",'中古車掲載'!L575="HEV PREMIUM SAFETY",'中古車掲載'!J575=2023,ISNUMBER('中古車掲載'!N575),'中古車掲載'!N575&gt;=50000,'中古車掲載'!O575&lt;=100000,'中古車掲載'!AL575=1,'中古車掲載'!Z575="https://www.one2car.com/en/cars-for-sale/toyota/corolla-cross/year-2023"),'中古車掲載'!U575,"")</x:f>
      </x:c>
      <x:c r="BD574" s="3" t="str">
        <x:f>IF(AND('中古車掲載'!C575="One2car",'中古車掲載'!F575="ATTO 3",'中古車掲載'!L575="EXTENDED RANGE",'中古車掲載'!J575=2023,ISNUMBER('中古車掲載'!N575),'中古車掲載'!N575&gt;=20000,'中古車掲載'!O575&lt;=50000,'中古車掲載'!AL575=1),'中古車掲載'!U575,"")</x:f>
      </x:c>
      <x:c r="BE574" s="3" t="str">
        <x:f>IF(AND('中古車掲載'!C575="One2car",'中古車掲載'!F575="Corolla Cross",'中古車掲載'!L575="HEV PREMIUM SAFETY",'中古車掲載'!J575=2023,ISNUMBER('中古車掲載'!N575),'中古車掲載'!N575&gt;=20000,'中古車掲載'!O575&lt;=50000,'中古車掲載'!AL575=1,'中古車掲載'!Z575="https://www.one2car.com/en/cars-for-sale/toyota/corolla-cross/year-2023"),'中古車掲載'!U575,"")</x:f>
      </x:c>
      <x:c r="BF574" s="3" t="str">
        <x:f>IF(AND('中古車掲載'!C575="One2car",'中古車掲載'!F575="Corolla Cross",'中古車掲載'!L575="HEV PREMIUM",'中古車掲載'!J575=2023,ISNUMBER('中古車掲載'!N575),'中古車掲載'!N575&gt;=20000,'中古車掲載'!O575&lt;=100000,'中古車掲載'!AL575=1,'中古車掲載'!Z575="https://www.one2car.com/en/cars-for-sale/toyota/corolla-cross/year-2023"),'中古車掲載'!U575,"")</x:f>
      </x:c>
      <x:c r="BG574" s="3" t="str">
        <x:f>IF(AND('中古車掲載'!C575="One2car",'中古車掲載'!F575="Corolla Cross",'中古車掲載'!L575="HEV GR SPORT",'中古車掲載'!J575=2023,ISNUMBER('中古車掲載'!N575),'中古車掲載'!N575&gt;=20000,'中古車掲載'!O575&lt;=100000,'中古車掲載'!AL575=1,'中古車掲載'!Z575="https://www.one2car.com/en/cars-for-sale/toyota/corolla-cross/year-2023"),'中古車掲載'!U575,"")</x:f>
      </x:c>
      <x:c r="BH574" s="3" t="str">
        <x:f>IF(AND('中古車掲載'!C575="One2car",'中古車掲載'!F575="DOLPHIN",'中古車掲載'!L575="STANDARD RANGE",'中古車掲載'!J575=2023,ISNUMBER('中古車掲載'!N575),'中古車掲載'!N575&gt;=20000,'中古車掲載'!O575&lt;=100000,'中古車掲載'!AL575=1),'中古車掲載'!U575,"")</x:f>
      </x:c>
      <x:c r="BI574" s="3" t="str">
        <x:v>Taladrod|Fortuner|ICE|Unknown</x:v>
      </x:c>
      <x:c r="BJ574" s="3" t="n">
        <x:v>575</x:v>
      </x:c>
      <x:c r="BK574" s="3" t="n">
        <x:f>'中古車掲載'!AM575</x:f>
        <x:v>979000</x:v>
      </x:c>
      <x:c r="BL574" s="3" t="str">
        <x:f>IF(ISNUMBER('中古車掲載'!AN575),'中古車掲載'!AN575,"")</x:f>
      </x:c>
      <x:c r="BM574" s="3"/>
      <x:c r="BN574" s="3"/>
      <x:c r="BO574" s="3"/>
      <x:c r="BP574" s="3"/>
      <x:c r="BQ574" s="3"/>
      <x:c r="BR574" s="3"/>
    </x:row>
    <x:row r="575" ht="22" customHeight="1">
      <x:c r="A575" s="3" t="str">
        <x:v>Hilux Revo</x:v>
      </x:c>
      <x:c r="B575" s="3" t="str">
        <x:v>ICE</x:v>
      </x:c>
      <x:c r="C575" s="3" t="str">
        <x:v>Taladrod</x:v>
      </x:c>
      <x:c r="D575" s="3" t="str">
        <x:v>Pickup</x:v>
      </x:c>
      <x:c r="E575" s="3" t="str">
        <x:v>Single cab</x:v>
      </x:c>
      <x:c r="F575" s="3" t="n">
        <x:v>2023</x:v>
      </x:c>
      <x:c r="G575" s="3" t="str">
        <x:v>2.8 ENTRY 4WD STANDARD CAB</x:v>
      </x:c>
      <x:c r="H575" s="3" t="str">
        <x:v>未掲載</x:v>
      </x:c>
      <x:c r="I575" s="3" t="str">
        <x:v>世代不明</x:v>
      </x:c>
      <x:c r="J575" s="22" t="n">
        <x:f>COUNT('中古車掲載'!AM863:AM864)</x:f>
        <x:v>2</x:v>
      </x:c>
      <x:c r="K575" s="22" t="n">
        <x:f>IF(COUNT('中古車掲載'!AM863:AM864)=0,"",QUARTILE('中古車掲載'!AM863:AM864,1))</x:f>
        <x:v>575500</x:v>
      </x:c>
      <x:c r="L575" s="22" t="n">
        <x:f>IF(COUNT('中古車掲載'!AM863:AM864)=0,"",MEDIAN('中古車掲載'!AM863:AM864))</x:f>
        <x:v>582000</x:v>
      </x:c>
      <x:c r="M575" s="22" t="n">
        <x:f>IF(COUNT('中古車掲載'!AM863:AM864)=0,"",QUARTILE('中古車掲載'!AM863:AM864,3))</x:f>
        <x:v>588500</x:v>
      </x:c>
      <x:c r="N575" s="22" t="n">
        <x:f>COUNT('中古車掲載'!AN863:AN864)</x:f>
        <x:v>0</x:v>
      </x:c>
      <x:c r="O575" s="23" t="str">
        <x:f>IF(COUNT('中古車掲載'!AN863:AN864)=0,"",MEDIAN('中古車掲載'!AN863:AN864))</x:f>
      </x:c>
      <x:c r="P575" s="3"/>
      <x:c r="Q575" s="3"/>
      <x:c r="R575" s="3"/>
      <x:c r="S575" s="3"/>
      <x:c r="T575" s="3"/>
      <x:c r="U575" s="3"/>
      <x:c r="V575" s="3"/>
      <x:c r="W575" s="3"/>
      <x:c r="X575" s="3"/>
      <x:c r="Y575" s="3"/>
      <x:c r="Z575" s="3"/>
      <x:c r="AA575" s="3"/>
      <x:c r="AB575" s="3"/>
      <x:c r="AC575" s="3"/>
      <x:c r="AD575" s="3"/>
      <x:c r="AE575" s="3"/>
      <x:c r="AF575" s="3"/>
      <x:c r="AG575" s="3"/>
      <x:c r="AH575" s="3"/>
      <x:c r="AI575" s="3"/>
      <x:c r="AJ575" s="3"/>
      <x:c r="AK575" s="3"/>
      <x:c r="AL575" s="3"/>
      <x:c r="AM575" s="3"/>
      <x:c r="AN575" s="3"/>
      <x:c r="AO575" s="3"/>
      <x:c r="AP575" s="3"/>
      <x:c r="AQ575" s="3"/>
      <x:c r="AR575" s="3"/>
      <x:c r="AS575" s="3"/>
      <x:c r="AT575" s="3"/>
      <x:c r="AU575" s="3"/>
      <x:c r="AV575" s="3"/>
      <x:c r="AW575" s="3"/>
      <x:c r="AX575" s="3"/>
      <x:c r="AY575" s="3"/>
      <x:c r="AZ575" s="3" t="str">
        <x:f>IF(AND('中古車掲載'!C576="One2car",'中古車掲載'!F576="ATTO 3",'中古車掲載'!L576="EXTENDED RANGE",'中古車掲載'!J576=2023,ISNUMBER('中古車掲載'!N576),'中古車掲載'!N576&gt;=20000,'中古車掲載'!O576&lt;=100000,'中古車掲載'!AL576=1),'中古車掲載'!U576,"")</x:f>
      </x:c>
      <x:c r="BA575" s="3" t="str">
        <x:f>IF(AND('中古車掲載'!C576="One2car",'中古車掲載'!F576="Corolla Cross",'中古車掲載'!L576="HEV PREMIUM SAFETY",'中古車掲載'!J576=2023,ISNUMBER('中古車掲載'!N576),'中古車掲載'!N576&gt;=20000,'中古車掲載'!O576&lt;=100000,'中古車掲載'!AL576=1,'中古車掲載'!Z576="https://www.one2car.com/en/cars-for-sale/toyota/corolla-cross/year-2023"),'中古車掲載'!U576,"")</x:f>
      </x:c>
      <x:c r="BB575" s="3" t="str">
        <x:f>IF(AND('中古車掲載'!C576="One2car",'中古車掲載'!F576="ATTO 3",'中古車掲載'!L576="EXTENDED RANGE",'中古車掲載'!J576=2023,ISNUMBER('中古車掲載'!N576),'中古車掲載'!N576&gt;=50000,'中古車掲載'!O576&lt;=100000,'中古車掲載'!AL576=1),'中古車掲載'!U576,"")</x:f>
      </x:c>
      <x:c r="BC575" s="3" t="str">
        <x:f>IF(AND('中古車掲載'!C576="One2car",'中古車掲載'!F576="Corolla Cross",'中古車掲載'!L576="HEV PREMIUM SAFETY",'中古車掲載'!J576=2023,ISNUMBER('中古車掲載'!N576),'中古車掲載'!N576&gt;=50000,'中古車掲載'!O576&lt;=100000,'中古車掲載'!AL576=1,'中古車掲載'!Z576="https://www.one2car.com/en/cars-for-sale/toyota/corolla-cross/year-2023"),'中古車掲載'!U576,"")</x:f>
      </x:c>
      <x:c r="BD575" s="3" t="str">
        <x:f>IF(AND('中古車掲載'!C576="One2car",'中古車掲載'!F576="ATTO 3",'中古車掲載'!L576="EXTENDED RANGE",'中古車掲載'!J576=2023,ISNUMBER('中古車掲載'!N576),'中古車掲載'!N576&gt;=20000,'中古車掲載'!O576&lt;=50000,'中古車掲載'!AL576=1),'中古車掲載'!U576,"")</x:f>
      </x:c>
      <x:c r="BE575" s="3" t="str">
        <x:f>IF(AND('中古車掲載'!C576="One2car",'中古車掲載'!F576="Corolla Cross",'中古車掲載'!L576="HEV PREMIUM SAFETY",'中古車掲載'!J576=2023,ISNUMBER('中古車掲載'!N576),'中古車掲載'!N576&gt;=20000,'中古車掲載'!O576&lt;=50000,'中古車掲載'!AL576=1,'中古車掲載'!Z576="https://www.one2car.com/en/cars-for-sale/toyota/corolla-cross/year-2023"),'中古車掲載'!U576,"")</x:f>
      </x:c>
      <x:c r="BF575" s="3" t="str">
        <x:f>IF(AND('中古車掲載'!C576="One2car",'中古車掲載'!F576="Corolla Cross",'中古車掲載'!L576="HEV PREMIUM",'中古車掲載'!J576=2023,ISNUMBER('中古車掲載'!N576),'中古車掲載'!N576&gt;=20000,'中古車掲載'!O576&lt;=100000,'中古車掲載'!AL576=1,'中古車掲載'!Z576="https://www.one2car.com/en/cars-for-sale/toyota/corolla-cross/year-2023"),'中古車掲載'!U576,"")</x:f>
      </x:c>
      <x:c r="BG575" s="3" t="str">
        <x:f>IF(AND('中古車掲載'!C576="One2car",'中古車掲載'!F576="Corolla Cross",'中古車掲載'!L576="HEV GR SPORT",'中古車掲載'!J576=2023,ISNUMBER('中古車掲載'!N576),'中古車掲載'!N576&gt;=20000,'中古車掲載'!O576&lt;=100000,'中古車掲載'!AL576=1,'中古車掲載'!Z576="https://www.one2car.com/en/cars-for-sale/toyota/corolla-cross/year-2023"),'中古車掲載'!U576,"")</x:f>
      </x:c>
      <x:c r="BH575" s="3" t="str">
        <x:f>IF(AND('中古車掲載'!C576="One2car",'中古車掲載'!F576="DOLPHIN",'中古車掲載'!L576="STANDARD RANGE",'中古車掲載'!J576=2023,ISNUMBER('中古車掲載'!N576),'中古車掲載'!N576&gt;=20000,'中古車掲載'!O576&lt;=100000,'中古車掲載'!AL576=1),'中古車掲載'!U576,"")</x:f>
      </x:c>
      <x:c r="BI575" s="3" t="str">
        <x:v>Taladrod|Fortuner|ICE|Unknown</x:v>
      </x:c>
      <x:c r="BJ575" s="3" t="n">
        <x:v>576</x:v>
      </x:c>
      <x:c r="BK575" s="3" t="n">
        <x:f>'中古車掲載'!AM576</x:f>
        <x:v>999000</x:v>
      </x:c>
      <x:c r="BL575" s="3" t="str">
        <x:f>IF(ISNUMBER('中古車掲載'!AN576),'中古車掲載'!AN576,"")</x:f>
      </x:c>
      <x:c r="BM575" s="3"/>
      <x:c r="BN575" s="3"/>
      <x:c r="BO575" s="3"/>
      <x:c r="BP575" s="3"/>
      <x:c r="BQ575" s="3"/>
      <x:c r="BR575" s="3"/>
    </x:row>
    <x:row r="576" ht="22" customHeight="1">
      <x:c r="A576" s="3" t="str">
        <x:v>Hilux Revo</x:v>
      </x:c>
      <x:c r="B576" s="3" t="str">
        <x:v>ICE</x:v>
      </x:c>
      <x:c r="C576" s="3" t="str">
        <x:v>Taladrod</x:v>
      </x:c>
      <x:c r="D576" s="3" t="str">
        <x:v>Pickup</x:v>
      </x:c>
      <x:c r="E576" s="3" t="str">
        <x:v>Single cab</x:v>
      </x:c>
      <x:c r="F576" s="3" t="n">
        <x:v>2023</x:v>
      </x:c>
      <x:c r="G576" s="3" t="str">
        <x:v>2.8 ENTRY STANDARD CAB</x:v>
      </x:c>
      <x:c r="H576" s="3" t="str">
        <x:v>未掲載</x:v>
      </x:c>
      <x:c r="I576" s="3" t="str">
        <x:v>世代不明</x:v>
      </x:c>
      <x:c r="J576" s="22" t="n">
        <x:f>COUNT('中古車掲載'!AM865:AM865)</x:f>
        <x:v>1</x:v>
      </x:c>
      <x:c r="K576" s="22" t="n">
        <x:f>IF(COUNT('中古車掲載'!AM865:AM865)=0,"",QUARTILE('中古車掲載'!AM865:AM865,1))</x:f>
        <x:v>450000</x:v>
      </x:c>
      <x:c r="L576" s="22" t="n">
        <x:f>IF(COUNT('中古車掲載'!AM865:AM865)=0,"",MEDIAN('中古車掲載'!AM865:AM865))</x:f>
        <x:v>450000</x:v>
      </x:c>
      <x:c r="M576" s="22" t="n">
        <x:f>IF(COUNT('中古車掲載'!AM865:AM865)=0,"",QUARTILE('中古車掲載'!AM865:AM865,3))</x:f>
        <x:v>450000</x:v>
      </x:c>
      <x:c r="N576" s="22" t="n">
        <x:f>COUNT('中古車掲載'!AN865:AN865)</x:f>
        <x:v>0</x:v>
      </x:c>
      <x:c r="O576" s="23" t="str">
        <x:f>IF(COUNT('中古車掲載'!AN865:AN865)=0,"",MEDIAN('中古車掲載'!AN865:AN865))</x:f>
      </x:c>
      <x:c r="P576" s="3"/>
      <x:c r="Q576" s="3"/>
      <x:c r="R576" s="3"/>
      <x:c r="S576" s="3"/>
      <x:c r="T576" s="3"/>
      <x:c r="U576" s="3"/>
      <x:c r="V576" s="3"/>
      <x:c r="W576" s="3"/>
      <x:c r="X576" s="3"/>
      <x:c r="Y576" s="3"/>
      <x:c r="Z576" s="3"/>
      <x:c r="AA576" s="3"/>
      <x:c r="AB576" s="3"/>
      <x:c r="AC576" s="3"/>
      <x:c r="AD576" s="3"/>
      <x:c r="AE576" s="3"/>
      <x:c r="AF576" s="3"/>
      <x:c r="AG576" s="3"/>
      <x:c r="AH576" s="3"/>
      <x:c r="AI576" s="3"/>
      <x:c r="AJ576" s="3"/>
      <x:c r="AK576" s="3"/>
      <x:c r="AL576" s="3"/>
      <x:c r="AM576" s="3"/>
      <x:c r="AN576" s="3"/>
      <x:c r="AO576" s="3"/>
      <x:c r="AP576" s="3"/>
      <x:c r="AQ576" s="3"/>
      <x:c r="AR576" s="3"/>
      <x:c r="AS576" s="3"/>
      <x:c r="AT576" s="3"/>
      <x:c r="AU576" s="3"/>
      <x:c r="AV576" s="3"/>
      <x:c r="AW576" s="3"/>
      <x:c r="AX576" s="3"/>
      <x:c r="AY576" s="3"/>
      <x:c r="AZ576" s="3" t="str">
        <x:f>IF(AND('中古車掲載'!C577="One2car",'中古車掲載'!F577="ATTO 3",'中古車掲載'!L577="EXTENDED RANGE",'中古車掲載'!J577=2023,ISNUMBER('中古車掲載'!N577),'中古車掲載'!N577&gt;=20000,'中古車掲載'!O577&lt;=100000,'中古車掲載'!AL577=1),'中古車掲載'!U577,"")</x:f>
      </x:c>
      <x:c r="BA576" s="3" t="str">
        <x:f>IF(AND('中古車掲載'!C577="One2car",'中古車掲載'!F577="Corolla Cross",'中古車掲載'!L577="HEV PREMIUM SAFETY",'中古車掲載'!J577=2023,ISNUMBER('中古車掲載'!N577),'中古車掲載'!N577&gt;=20000,'中古車掲載'!O577&lt;=100000,'中古車掲載'!AL577=1,'中古車掲載'!Z577="https://www.one2car.com/en/cars-for-sale/toyota/corolla-cross/year-2023"),'中古車掲載'!U577,"")</x:f>
      </x:c>
      <x:c r="BB576" s="3" t="str">
        <x:f>IF(AND('中古車掲載'!C577="One2car",'中古車掲載'!F577="ATTO 3",'中古車掲載'!L577="EXTENDED RANGE",'中古車掲載'!J577=2023,ISNUMBER('中古車掲載'!N577),'中古車掲載'!N577&gt;=50000,'中古車掲載'!O577&lt;=100000,'中古車掲載'!AL577=1),'中古車掲載'!U577,"")</x:f>
      </x:c>
      <x:c r="BC576" s="3" t="str">
        <x:f>IF(AND('中古車掲載'!C577="One2car",'中古車掲載'!F577="Corolla Cross",'中古車掲載'!L577="HEV PREMIUM SAFETY",'中古車掲載'!J577=2023,ISNUMBER('中古車掲載'!N577),'中古車掲載'!N577&gt;=50000,'中古車掲載'!O577&lt;=100000,'中古車掲載'!AL577=1,'中古車掲載'!Z577="https://www.one2car.com/en/cars-for-sale/toyota/corolla-cross/year-2023"),'中古車掲載'!U577,"")</x:f>
      </x:c>
      <x:c r="BD576" s="3" t="str">
        <x:f>IF(AND('中古車掲載'!C577="One2car",'中古車掲載'!F577="ATTO 3",'中古車掲載'!L577="EXTENDED RANGE",'中古車掲載'!J577=2023,ISNUMBER('中古車掲載'!N577),'中古車掲載'!N577&gt;=20000,'中古車掲載'!O577&lt;=50000,'中古車掲載'!AL577=1),'中古車掲載'!U577,"")</x:f>
      </x:c>
      <x:c r="BE576" s="3" t="str">
        <x:f>IF(AND('中古車掲載'!C577="One2car",'中古車掲載'!F577="Corolla Cross",'中古車掲載'!L577="HEV PREMIUM SAFETY",'中古車掲載'!J577=2023,ISNUMBER('中古車掲載'!N577),'中古車掲載'!N577&gt;=20000,'中古車掲載'!O577&lt;=50000,'中古車掲載'!AL577=1,'中古車掲載'!Z577="https://www.one2car.com/en/cars-for-sale/toyota/corolla-cross/year-2023"),'中古車掲載'!U577,"")</x:f>
      </x:c>
      <x:c r="BF576" s="3" t="str">
        <x:f>IF(AND('中古車掲載'!C577="One2car",'中古車掲載'!F577="Corolla Cross",'中古車掲載'!L577="HEV PREMIUM",'中古車掲載'!J577=2023,ISNUMBER('中古車掲載'!N577),'中古車掲載'!N577&gt;=20000,'中古車掲載'!O577&lt;=100000,'中古車掲載'!AL577=1,'中古車掲載'!Z577="https://www.one2car.com/en/cars-for-sale/toyota/corolla-cross/year-2023"),'中古車掲載'!U577,"")</x:f>
      </x:c>
      <x:c r="BG576" s="3" t="str">
        <x:f>IF(AND('中古車掲載'!C577="One2car",'中古車掲載'!F577="Corolla Cross",'中古車掲載'!L577="HEV GR SPORT",'中古車掲載'!J577=2023,ISNUMBER('中古車掲載'!N577),'中古車掲載'!N577&gt;=20000,'中古車掲載'!O577&lt;=100000,'中古車掲載'!AL577=1,'中古車掲載'!Z577="https://www.one2car.com/en/cars-for-sale/toyota/corolla-cross/year-2023"),'中古車掲載'!U577,"")</x:f>
      </x:c>
      <x:c r="BH576" s="3" t="str">
        <x:f>IF(AND('中古車掲載'!C577="One2car",'中古車掲載'!F577="DOLPHIN",'中古車掲載'!L577="STANDARD RANGE",'中古車掲載'!J577=2023,ISNUMBER('中古車掲載'!N577),'中古車掲載'!N577&gt;=20000,'中古車掲載'!O577&lt;=100000,'中古車掲載'!AL577=1),'中古車掲載'!U577,"")</x:f>
      </x:c>
      <x:c r="BI576" s="3" t="str">
        <x:v>Taladrod|Fortuner|ICE|Unknown</x:v>
      </x:c>
      <x:c r="BJ576" s="3" t="n">
        <x:v>577</x:v>
      </x:c>
      <x:c r="BK576" s="3" t="n">
        <x:f>'中古車掲載'!AM577</x:f>
        <x:v>929000</x:v>
      </x:c>
      <x:c r="BL576" s="3" t="str">
        <x:f>IF(ISNUMBER('中古車掲載'!AN577),'中古車掲載'!AN577,"")</x:f>
      </x:c>
      <x:c r="BM576" s="3"/>
      <x:c r="BN576" s="3"/>
      <x:c r="BO576" s="3"/>
      <x:c r="BP576" s="3"/>
      <x:c r="BQ576" s="3"/>
      <x:c r="BR576" s="3"/>
    </x:row>
    <x:row r="577" ht="22" customHeight="1">
      <x:c r="A577" s="3" t="str">
        <x:v>Hilux Revo</x:v>
      </x:c>
      <x:c r="B577" s="3" t="str">
        <x:v>ICE</x:v>
      </x:c>
      <x:c r="C577" s="3" t="str">
        <x:v>Taladrod</x:v>
      </x:c>
      <x:c r="D577" s="3" t="str">
        <x:v>Pickup</x:v>
      </x:c>
      <x:c r="E577" s="3" t="str">
        <x:v>Single cab</x:v>
      </x:c>
      <x:c r="F577" s="3" t="n">
        <x:v>2024</x:v>
      </x:c>
      <x:c r="G577" s="3" t="str">
        <x:v>2.4 ENTRY STANDARD CAB</x:v>
      </x:c>
      <x:c r="H577" s="3" t="str">
        <x:v>未掲載</x:v>
      </x:c>
      <x:c r="I577" s="3" t="str">
        <x:v>世代不明</x:v>
      </x:c>
      <x:c r="J577" s="22" t="n">
        <x:f>COUNT('中古車掲載'!AM872:AM876)</x:f>
        <x:v>5</x:v>
      </x:c>
      <x:c r="K577" s="22" t="n">
        <x:f>IF(COUNT('中古車掲載'!AM872:AM876)=0,"",QUARTILE('中古車掲載'!AM872:AM876,1))</x:f>
        <x:v>399000</x:v>
      </x:c>
      <x:c r="L577" s="22" t="n">
        <x:f>IF(COUNT('中古車掲載'!AM872:AM876)=0,"",MEDIAN('中古車掲載'!AM872:AM876))</x:f>
        <x:v>419000</x:v>
      </x:c>
      <x:c r="M577" s="22" t="n">
        <x:f>IF(COUNT('中古車掲載'!AM872:AM876)=0,"",QUARTILE('中古車掲載'!AM872:AM876,3))</x:f>
        <x:v>479000</x:v>
      </x:c>
      <x:c r="N577" s="22" t="n">
        <x:f>COUNT('中古車掲載'!AN872:AN876)</x:f>
        <x:v>0</x:v>
      </x:c>
      <x:c r="O577" s="23" t="str">
        <x:f>IF(COUNT('中古車掲載'!AN872:AN876)=0,"",MEDIAN('中古車掲載'!AN872:AN876))</x:f>
      </x:c>
      <x:c r="P577" s="3"/>
      <x:c r="Q577" s="3"/>
      <x:c r="R577" s="3"/>
      <x:c r="S577" s="3"/>
      <x:c r="T577" s="3"/>
      <x:c r="U577" s="3"/>
      <x:c r="V577" s="3"/>
      <x:c r="W577" s="3"/>
      <x:c r="X577" s="3"/>
      <x:c r="Y577" s="3"/>
      <x:c r="Z577" s="3"/>
      <x:c r="AA577" s="3"/>
      <x:c r="AB577" s="3"/>
      <x:c r="AC577" s="3"/>
      <x:c r="AD577" s="3"/>
      <x:c r="AE577" s="3"/>
      <x:c r="AF577" s="3"/>
      <x:c r="AG577" s="3"/>
      <x:c r="AH577" s="3"/>
      <x:c r="AI577" s="3"/>
      <x:c r="AJ577" s="3"/>
      <x:c r="AK577" s="3"/>
      <x:c r="AL577" s="3"/>
      <x:c r="AM577" s="3"/>
      <x:c r="AN577" s="3"/>
      <x:c r="AO577" s="3"/>
      <x:c r="AP577" s="3"/>
      <x:c r="AQ577" s="3"/>
      <x:c r="AR577" s="3"/>
      <x:c r="AS577" s="3"/>
      <x:c r="AT577" s="3"/>
      <x:c r="AU577" s="3"/>
      <x:c r="AV577" s="3"/>
      <x:c r="AW577" s="3"/>
      <x:c r="AX577" s="3"/>
      <x:c r="AY577" s="3"/>
      <x:c r="AZ577" s="3" t="str">
        <x:f>IF(AND('中古車掲載'!C578="One2car",'中古車掲載'!F578="ATTO 3",'中古車掲載'!L578="EXTENDED RANGE",'中古車掲載'!J578=2023,ISNUMBER('中古車掲載'!N578),'中古車掲載'!N578&gt;=20000,'中古車掲載'!O578&lt;=100000,'中古車掲載'!AL578=1),'中古車掲載'!U578,"")</x:f>
      </x:c>
      <x:c r="BA577" s="3" t="str">
        <x:f>IF(AND('中古車掲載'!C578="One2car",'中古車掲載'!F578="Corolla Cross",'中古車掲載'!L578="HEV PREMIUM SAFETY",'中古車掲載'!J578=2023,ISNUMBER('中古車掲載'!N578),'中古車掲載'!N578&gt;=20000,'中古車掲載'!O578&lt;=100000,'中古車掲載'!AL578=1,'中古車掲載'!Z578="https://www.one2car.com/en/cars-for-sale/toyota/corolla-cross/year-2023"),'中古車掲載'!U578,"")</x:f>
      </x:c>
      <x:c r="BB577" s="3" t="str">
        <x:f>IF(AND('中古車掲載'!C578="One2car",'中古車掲載'!F578="ATTO 3",'中古車掲載'!L578="EXTENDED RANGE",'中古車掲載'!J578=2023,ISNUMBER('中古車掲載'!N578),'中古車掲載'!N578&gt;=50000,'中古車掲載'!O578&lt;=100000,'中古車掲載'!AL578=1),'中古車掲載'!U578,"")</x:f>
      </x:c>
      <x:c r="BC577" s="3" t="str">
        <x:f>IF(AND('中古車掲載'!C578="One2car",'中古車掲載'!F578="Corolla Cross",'中古車掲載'!L578="HEV PREMIUM SAFETY",'中古車掲載'!J578=2023,ISNUMBER('中古車掲載'!N578),'中古車掲載'!N578&gt;=50000,'中古車掲載'!O578&lt;=100000,'中古車掲載'!AL578=1,'中古車掲載'!Z578="https://www.one2car.com/en/cars-for-sale/toyota/corolla-cross/year-2023"),'中古車掲載'!U578,"")</x:f>
      </x:c>
      <x:c r="BD577" s="3" t="str">
        <x:f>IF(AND('中古車掲載'!C578="One2car",'中古車掲載'!F578="ATTO 3",'中古車掲載'!L578="EXTENDED RANGE",'中古車掲載'!J578=2023,ISNUMBER('中古車掲載'!N578),'中古車掲載'!N578&gt;=20000,'中古車掲載'!O578&lt;=50000,'中古車掲載'!AL578=1),'中古車掲載'!U578,"")</x:f>
      </x:c>
      <x:c r="BE577" s="3" t="str">
        <x:f>IF(AND('中古車掲載'!C578="One2car",'中古車掲載'!F578="Corolla Cross",'中古車掲載'!L578="HEV PREMIUM SAFETY",'中古車掲載'!J578=2023,ISNUMBER('中古車掲載'!N578),'中古車掲載'!N578&gt;=20000,'中古車掲載'!O578&lt;=50000,'中古車掲載'!AL578=1,'中古車掲載'!Z578="https://www.one2car.com/en/cars-for-sale/toyota/corolla-cross/year-2023"),'中古車掲載'!U578,"")</x:f>
      </x:c>
      <x:c r="BF577" s="3" t="str">
        <x:f>IF(AND('中古車掲載'!C578="One2car",'中古車掲載'!F578="Corolla Cross",'中古車掲載'!L578="HEV PREMIUM",'中古車掲載'!J578=2023,ISNUMBER('中古車掲載'!N578),'中古車掲載'!N578&gt;=20000,'中古車掲載'!O578&lt;=100000,'中古車掲載'!AL578=1,'中古車掲載'!Z578="https://www.one2car.com/en/cars-for-sale/toyota/corolla-cross/year-2023"),'中古車掲載'!U578,"")</x:f>
      </x:c>
      <x:c r="BG577" s="3" t="str">
        <x:f>IF(AND('中古車掲載'!C578="One2car",'中古車掲載'!F578="Corolla Cross",'中古車掲載'!L578="HEV GR SPORT",'中古車掲載'!J578=2023,ISNUMBER('中古車掲載'!N578),'中古車掲載'!N578&gt;=20000,'中古車掲載'!O578&lt;=100000,'中古車掲載'!AL578=1,'中古車掲載'!Z578="https://www.one2car.com/en/cars-for-sale/toyota/corolla-cross/year-2023"),'中古車掲載'!U578,"")</x:f>
      </x:c>
      <x:c r="BH577" s="3" t="str">
        <x:f>IF(AND('中古車掲載'!C578="One2car",'中古車掲載'!F578="DOLPHIN",'中古車掲載'!L578="STANDARD RANGE",'中古車掲載'!J578=2023,ISNUMBER('中古車掲載'!N578),'中古車掲載'!N578&gt;=20000,'中古車掲載'!O578&lt;=100000,'中古車掲載'!AL578=1),'中古車掲載'!U578,"")</x:f>
      </x:c>
      <x:c r="BI577" s="3" t="str">
        <x:v>Taladrod|Fortuner|ICE|Unknown</x:v>
      </x:c>
      <x:c r="BJ577" s="3" t="n">
        <x:v>578</x:v>
      </x:c>
      <x:c r="BK577" s="3" t="n">
        <x:f>'中古車掲載'!AM578</x:f>
        <x:v>936000</x:v>
      </x:c>
      <x:c r="BL577" s="3" t="str">
        <x:f>IF(ISNUMBER('中古車掲載'!AN578),'中古車掲載'!AN578,"")</x:f>
      </x:c>
      <x:c r="BM577" s="3"/>
      <x:c r="BN577" s="3"/>
      <x:c r="BO577" s="3"/>
      <x:c r="BP577" s="3"/>
      <x:c r="BQ577" s="3"/>
      <x:c r="BR577" s="3"/>
    </x:row>
    <x:row r="578" ht="22" customHeight="1">
      <x:c r="A578" s="3" t="str">
        <x:v>Hilux Revo</x:v>
      </x:c>
      <x:c r="B578" s="3" t="str">
        <x:v>ICE</x:v>
      </x:c>
      <x:c r="C578" s="3" t="str">
        <x:v>Taladrod</x:v>
      </x:c>
      <x:c r="D578" s="3" t="str">
        <x:v>Pickup</x:v>
      </x:c>
      <x:c r="E578" s="3" t="str">
        <x:v>Single cab</x:v>
      </x:c>
      <x:c r="F578" s="3" t="n">
        <x:v>2024</x:v>
      </x:c>
      <x:c r="G578" s="3" t="str">
        <x:v>2.8 ENTRY 4WD STANDARD CAB</x:v>
      </x:c>
      <x:c r="H578" s="3" t="str">
        <x:v>未掲載</x:v>
      </x:c>
      <x:c r="I578" s="3" t="str">
        <x:v>世代不明</x:v>
      </x:c>
      <x:c r="J578" s="22" t="n">
        <x:f>COUNT('中古車掲載'!AM890:AM891)</x:f>
        <x:v>2</x:v>
      </x:c>
      <x:c r="K578" s="22" t="n">
        <x:f>IF(COUNT('中古車掲載'!AM890:AM891)=0,"",QUARTILE('中古車掲載'!AM890:AM891,1))</x:f>
        <x:v>589000</x:v>
      </x:c>
      <x:c r="L578" s="22" t="n">
        <x:f>IF(COUNT('中古車掲載'!AM890:AM891)=0,"",MEDIAN('中古車掲載'!AM890:AM891))</x:f>
        <x:v>589000</x:v>
      </x:c>
      <x:c r="M578" s="22" t="n">
        <x:f>IF(COUNT('中古車掲載'!AM890:AM891)=0,"",QUARTILE('中古車掲載'!AM890:AM891,3))</x:f>
        <x:v>589000</x:v>
      </x:c>
      <x:c r="N578" s="22" t="n">
        <x:f>COUNT('中古車掲載'!AN890:AN891)</x:f>
        <x:v>0</x:v>
      </x:c>
      <x:c r="O578" s="23" t="str">
        <x:f>IF(COUNT('中古車掲載'!AN890:AN891)=0,"",MEDIAN('中古車掲載'!AN890:AN891))</x:f>
      </x:c>
      <x:c r="P578" s="3"/>
      <x:c r="Q578" s="3"/>
      <x:c r="R578" s="3"/>
      <x:c r="S578" s="3"/>
      <x:c r="T578" s="3"/>
      <x:c r="U578" s="3"/>
      <x:c r="V578" s="3"/>
      <x:c r="W578" s="3"/>
      <x:c r="X578" s="3"/>
      <x:c r="Y578" s="3"/>
      <x:c r="Z578" s="3"/>
      <x:c r="AA578" s="3"/>
      <x:c r="AB578" s="3"/>
      <x:c r="AC578" s="3"/>
      <x:c r="AD578" s="3"/>
      <x:c r="AE578" s="3"/>
      <x:c r="AF578" s="3"/>
      <x:c r="AG578" s="3"/>
      <x:c r="AH578" s="3"/>
      <x:c r="AI578" s="3"/>
      <x:c r="AJ578" s="3"/>
      <x:c r="AK578" s="3"/>
      <x:c r="AL578" s="3"/>
      <x:c r="AM578" s="3"/>
      <x:c r="AN578" s="3"/>
      <x:c r="AO578" s="3"/>
      <x:c r="AP578" s="3"/>
      <x:c r="AQ578" s="3"/>
      <x:c r="AR578" s="3"/>
      <x:c r="AS578" s="3"/>
      <x:c r="AT578" s="3"/>
      <x:c r="AU578" s="3"/>
      <x:c r="AV578" s="3"/>
      <x:c r="AW578" s="3"/>
      <x:c r="AX578" s="3"/>
      <x:c r="AY578" s="3"/>
      <x:c r="AZ578" s="3" t="str">
        <x:f>IF(AND('中古車掲載'!C579="One2car",'中古車掲載'!F579="ATTO 3",'中古車掲載'!L579="EXTENDED RANGE",'中古車掲載'!J579=2023,ISNUMBER('中古車掲載'!N579),'中古車掲載'!N579&gt;=20000,'中古車掲載'!O579&lt;=100000,'中古車掲載'!AL579=1),'中古車掲載'!U579,"")</x:f>
      </x:c>
      <x:c r="BA578" s="3" t="str">
        <x:f>IF(AND('中古車掲載'!C579="One2car",'中古車掲載'!F579="Corolla Cross",'中古車掲載'!L579="HEV PREMIUM SAFETY",'中古車掲載'!J579=2023,ISNUMBER('中古車掲載'!N579),'中古車掲載'!N579&gt;=20000,'中古車掲載'!O579&lt;=100000,'中古車掲載'!AL579=1,'中古車掲載'!Z579="https://www.one2car.com/en/cars-for-sale/toyota/corolla-cross/year-2023"),'中古車掲載'!U579,"")</x:f>
      </x:c>
      <x:c r="BB578" s="3" t="str">
        <x:f>IF(AND('中古車掲載'!C579="One2car",'中古車掲載'!F579="ATTO 3",'中古車掲載'!L579="EXTENDED RANGE",'中古車掲載'!J579=2023,ISNUMBER('中古車掲載'!N579),'中古車掲載'!N579&gt;=50000,'中古車掲載'!O579&lt;=100000,'中古車掲載'!AL579=1),'中古車掲載'!U579,"")</x:f>
      </x:c>
      <x:c r="BC578" s="3" t="str">
        <x:f>IF(AND('中古車掲載'!C579="One2car",'中古車掲載'!F579="Corolla Cross",'中古車掲載'!L579="HEV PREMIUM SAFETY",'中古車掲載'!J579=2023,ISNUMBER('中古車掲載'!N579),'中古車掲載'!N579&gt;=50000,'中古車掲載'!O579&lt;=100000,'中古車掲載'!AL579=1,'中古車掲載'!Z579="https://www.one2car.com/en/cars-for-sale/toyota/corolla-cross/year-2023"),'中古車掲載'!U579,"")</x:f>
      </x:c>
      <x:c r="BD578" s="3" t="str">
        <x:f>IF(AND('中古車掲載'!C579="One2car",'中古車掲載'!F579="ATTO 3",'中古車掲載'!L579="EXTENDED RANGE",'中古車掲載'!J579=2023,ISNUMBER('中古車掲載'!N579),'中古車掲載'!N579&gt;=20000,'中古車掲載'!O579&lt;=50000,'中古車掲載'!AL579=1),'中古車掲載'!U579,"")</x:f>
      </x:c>
      <x:c r="BE578" s="3" t="str">
        <x:f>IF(AND('中古車掲載'!C579="One2car",'中古車掲載'!F579="Corolla Cross",'中古車掲載'!L579="HEV PREMIUM SAFETY",'中古車掲載'!J579=2023,ISNUMBER('中古車掲載'!N579),'中古車掲載'!N579&gt;=20000,'中古車掲載'!O579&lt;=50000,'中古車掲載'!AL579=1,'中古車掲載'!Z579="https://www.one2car.com/en/cars-for-sale/toyota/corolla-cross/year-2023"),'中古車掲載'!U579,"")</x:f>
      </x:c>
      <x:c r="BF578" s="3" t="str">
        <x:f>IF(AND('中古車掲載'!C579="One2car",'中古車掲載'!F579="Corolla Cross",'中古車掲載'!L579="HEV PREMIUM",'中古車掲載'!J579=2023,ISNUMBER('中古車掲載'!N579),'中古車掲載'!N579&gt;=20000,'中古車掲載'!O579&lt;=100000,'中古車掲載'!AL579=1,'中古車掲載'!Z579="https://www.one2car.com/en/cars-for-sale/toyota/corolla-cross/year-2023"),'中古車掲載'!U579,"")</x:f>
      </x:c>
      <x:c r="BG578" s="3" t="str">
        <x:f>IF(AND('中古車掲載'!C579="One2car",'中古車掲載'!F579="Corolla Cross",'中古車掲載'!L579="HEV GR SPORT",'中古車掲載'!J579=2023,ISNUMBER('中古車掲載'!N579),'中古車掲載'!N579&gt;=20000,'中古車掲載'!O579&lt;=100000,'中古車掲載'!AL579=1,'中古車掲載'!Z579="https://www.one2car.com/en/cars-for-sale/toyota/corolla-cross/year-2023"),'中古車掲載'!U579,"")</x:f>
      </x:c>
      <x:c r="BH578" s="3" t="str">
        <x:f>IF(AND('中古車掲載'!C579="One2car",'中古車掲載'!F579="DOLPHIN",'中古車掲載'!L579="STANDARD RANGE",'中古車掲載'!J579=2023,ISNUMBER('中古車掲載'!N579),'中古車掲載'!N579&gt;=20000,'中古車掲載'!O579&lt;=100000,'中古車掲載'!AL579=1),'中古車掲載'!U579,"")</x:f>
      </x:c>
      <x:c r="BI578" s="3" t="str">
        <x:v>Taladrod|Fortuner|ICE|Unknown</x:v>
      </x:c>
      <x:c r="BJ578" s="3" t="n">
        <x:v>579</x:v>
      </x:c>
      <x:c r="BK578" s="3" t="n">
        <x:f>'中古車掲載'!AM579</x:f>
        <x:v>989000</x:v>
      </x:c>
      <x:c r="BL578" s="3" t="str">
        <x:f>IF(ISNUMBER('中古車掲載'!AN579),'中古車掲載'!AN579,"")</x:f>
      </x:c>
      <x:c r="BM578" s="3"/>
      <x:c r="BN578" s="3"/>
      <x:c r="BO578" s="3"/>
      <x:c r="BP578" s="3"/>
      <x:c r="BQ578" s="3"/>
      <x:c r="BR578" s="3"/>
    </x:row>
    <x:row r="579" ht="22" customHeight="1">
      <x:c r="A579" s="3" t="str">
        <x:v>Hilux Revo</x:v>
      </x:c>
      <x:c r="B579" s="3" t="str">
        <x:v>ICE</x:v>
      </x:c>
      <x:c r="C579" s="3" t="str">
        <x:v>Taladrod</x:v>
      </x:c>
      <x:c r="D579" s="3" t="str">
        <x:v>Pickup</x:v>
      </x:c>
      <x:c r="E579" s="3" t="str">
        <x:v>Single cab</x:v>
      </x:c>
      <x:c r="F579" s="3" t="n">
        <x:v>2024</x:v>
      </x:c>
      <x:c r="G579" s="3" t="str">
        <x:v>2.8 ENTRY STANDARD CAB</x:v>
      </x:c>
      <x:c r="H579" s="3" t="str">
        <x:v>未掲載</x:v>
      </x:c>
      <x:c r="I579" s="3" t="str">
        <x:v>世代不明</x:v>
      </x:c>
      <x:c r="J579" s="22" t="n">
        <x:f>COUNT('中古車掲載'!AM892:AM892)</x:f>
        <x:v>1</x:v>
      </x:c>
      <x:c r="K579" s="22" t="n">
        <x:f>IF(COUNT('中古車掲載'!AM892:AM892)=0,"",QUARTILE('中古車掲載'!AM892:AM892,1))</x:f>
        <x:v>659000</x:v>
      </x:c>
      <x:c r="L579" s="22" t="n">
        <x:f>IF(COUNT('中古車掲載'!AM892:AM892)=0,"",MEDIAN('中古車掲載'!AM892:AM892))</x:f>
        <x:v>659000</x:v>
      </x:c>
      <x:c r="M579" s="22" t="n">
        <x:f>IF(COUNT('中古車掲載'!AM892:AM892)=0,"",QUARTILE('中古車掲載'!AM892:AM892,3))</x:f>
        <x:v>659000</x:v>
      </x:c>
      <x:c r="N579" s="22" t="n">
        <x:f>COUNT('中古車掲載'!AN892:AN892)</x:f>
        <x:v>0</x:v>
      </x:c>
      <x:c r="O579" s="23" t="str">
        <x:f>IF(COUNT('中古車掲載'!AN892:AN892)=0,"",MEDIAN('中古車掲載'!AN892:AN892))</x:f>
      </x:c>
      <x:c r="P579" s="3"/>
      <x:c r="Q579" s="3"/>
      <x:c r="R579" s="3"/>
      <x:c r="S579" s="3"/>
      <x:c r="T579" s="3"/>
      <x:c r="U579" s="3"/>
      <x:c r="V579" s="3"/>
      <x:c r="W579" s="3"/>
      <x:c r="X579" s="3"/>
      <x:c r="Y579" s="3"/>
      <x:c r="Z579" s="3"/>
      <x:c r="AA579" s="3"/>
      <x:c r="AB579" s="3"/>
      <x:c r="AC579" s="3"/>
      <x:c r="AD579" s="3"/>
      <x:c r="AE579" s="3"/>
      <x:c r="AF579" s="3"/>
      <x:c r="AG579" s="3"/>
      <x:c r="AH579" s="3"/>
      <x:c r="AI579" s="3"/>
      <x:c r="AJ579" s="3"/>
      <x:c r="AK579" s="3"/>
      <x:c r="AL579" s="3"/>
      <x:c r="AM579" s="3"/>
      <x:c r="AN579" s="3"/>
      <x:c r="AO579" s="3"/>
      <x:c r="AP579" s="3"/>
      <x:c r="AQ579" s="3"/>
      <x:c r="AR579" s="3"/>
      <x:c r="AS579" s="3"/>
      <x:c r="AT579" s="3"/>
      <x:c r="AU579" s="3"/>
      <x:c r="AV579" s="3"/>
      <x:c r="AW579" s="3"/>
      <x:c r="AX579" s="3"/>
      <x:c r="AY579" s="3"/>
      <x:c r="AZ579" s="3" t="str">
        <x:f>IF(AND('中古車掲載'!C580="One2car",'中古車掲載'!F580="ATTO 3",'中古車掲載'!L580="EXTENDED RANGE",'中古車掲載'!J580=2023,ISNUMBER('中古車掲載'!N580),'中古車掲載'!N580&gt;=20000,'中古車掲載'!O580&lt;=100000,'中古車掲載'!AL580=1),'中古車掲載'!U580,"")</x:f>
      </x:c>
      <x:c r="BA579" s="3" t="str">
        <x:f>IF(AND('中古車掲載'!C580="One2car",'中古車掲載'!F580="Corolla Cross",'中古車掲載'!L580="HEV PREMIUM SAFETY",'中古車掲載'!J580=2023,ISNUMBER('中古車掲載'!N580),'中古車掲載'!N580&gt;=20000,'中古車掲載'!O580&lt;=100000,'中古車掲載'!AL580=1,'中古車掲載'!Z580="https://www.one2car.com/en/cars-for-sale/toyota/corolla-cross/year-2023"),'中古車掲載'!U580,"")</x:f>
      </x:c>
      <x:c r="BB579" s="3" t="str">
        <x:f>IF(AND('中古車掲載'!C580="One2car",'中古車掲載'!F580="ATTO 3",'中古車掲載'!L580="EXTENDED RANGE",'中古車掲載'!J580=2023,ISNUMBER('中古車掲載'!N580),'中古車掲載'!N580&gt;=50000,'中古車掲載'!O580&lt;=100000,'中古車掲載'!AL580=1),'中古車掲載'!U580,"")</x:f>
      </x:c>
      <x:c r="BC579" s="3" t="str">
        <x:f>IF(AND('中古車掲載'!C580="One2car",'中古車掲載'!F580="Corolla Cross",'中古車掲載'!L580="HEV PREMIUM SAFETY",'中古車掲載'!J580=2023,ISNUMBER('中古車掲載'!N580),'中古車掲載'!N580&gt;=50000,'中古車掲載'!O580&lt;=100000,'中古車掲載'!AL580=1,'中古車掲載'!Z580="https://www.one2car.com/en/cars-for-sale/toyota/corolla-cross/year-2023"),'中古車掲載'!U580,"")</x:f>
      </x:c>
      <x:c r="BD579" s="3" t="str">
        <x:f>IF(AND('中古車掲載'!C580="One2car",'中古車掲載'!F580="ATTO 3",'中古車掲載'!L580="EXTENDED RANGE",'中古車掲載'!J580=2023,ISNUMBER('中古車掲載'!N580),'中古車掲載'!N580&gt;=20000,'中古車掲載'!O580&lt;=50000,'中古車掲載'!AL580=1),'中古車掲載'!U580,"")</x:f>
      </x:c>
      <x:c r="BE579" s="3" t="str">
        <x:f>IF(AND('中古車掲載'!C580="One2car",'中古車掲載'!F580="Corolla Cross",'中古車掲載'!L580="HEV PREMIUM SAFETY",'中古車掲載'!J580=2023,ISNUMBER('中古車掲載'!N580),'中古車掲載'!N580&gt;=20000,'中古車掲載'!O580&lt;=50000,'中古車掲載'!AL580=1,'中古車掲載'!Z580="https://www.one2car.com/en/cars-for-sale/toyota/corolla-cross/year-2023"),'中古車掲載'!U580,"")</x:f>
      </x:c>
      <x:c r="BF579" s="3" t="str">
        <x:f>IF(AND('中古車掲載'!C580="One2car",'中古車掲載'!F580="Corolla Cross",'中古車掲載'!L580="HEV PREMIUM",'中古車掲載'!J580=2023,ISNUMBER('中古車掲載'!N580),'中古車掲載'!N580&gt;=20000,'中古車掲載'!O580&lt;=100000,'中古車掲載'!AL580=1,'中古車掲載'!Z580="https://www.one2car.com/en/cars-for-sale/toyota/corolla-cross/year-2023"),'中古車掲載'!U580,"")</x:f>
      </x:c>
      <x:c r="BG579" s="3" t="str">
        <x:f>IF(AND('中古車掲載'!C580="One2car",'中古車掲載'!F580="Corolla Cross",'中古車掲載'!L580="HEV GR SPORT",'中古車掲載'!J580=2023,ISNUMBER('中古車掲載'!N580),'中古車掲載'!N580&gt;=20000,'中古車掲載'!O580&lt;=100000,'中古車掲載'!AL580=1,'中古車掲載'!Z580="https://www.one2car.com/en/cars-for-sale/toyota/corolla-cross/year-2023"),'中古車掲載'!U580,"")</x:f>
      </x:c>
      <x:c r="BH579" s="3" t="str">
        <x:f>IF(AND('中古車掲載'!C580="One2car",'中古車掲載'!F580="DOLPHIN",'中古車掲載'!L580="STANDARD RANGE",'中古車掲載'!J580=2023,ISNUMBER('中古車掲載'!N580),'中古車掲載'!N580&gt;=20000,'中古車掲載'!O580&lt;=100000,'中古車掲載'!AL580=1),'中古車掲載'!U580,"")</x:f>
      </x:c>
      <x:c r="BI579" s="3" t="str">
        <x:v>Taladrod|Fortuner|ICE|Unknown</x:v>
      </x:c>
      <x:c r="BJ579" s="3" t="n">
        <x:v>580</x:v>
      </x:c>
      <x:c r="BK579" s="3" t="n">
        <x:f>'中古車掲載'!AM580</x:f>
        <x:v>999000</x:v>
      </x:c>
      <x:c r="BL579" s="3" t="str">
        <x:f>IF(ISNUMBER('中古車掲載'!AN580),'中古車掲載'!AN580,"")</x:f>
      </x:c>
      <x:c r="BM579" s="3"/>
      <x:c r="BN579" s="3"/>
      <x:c r="BO579" s="3"/>
      <x:c r="BP579" s="3"/>
      <x:c r="BQ579" s="3"/>
      <x:c r="BR579" s="3"/>
    </x:row>
    <x:row r="580" ht="22" customHeight="1">
      <x:c r="A580" s="3" t="str">
        <x:v>Hilux Revo</x:v>
      </x:c>
      <x:c r="B580" s="3" t="str">
        <x:v>ICE</x:v>
      </x:c>
      <x:c r="C580" s="3" t="str">
        <x:v>Taladrod</x:v>
      </x:c>
      <x:c r="D580" s="3" t="str">
        <x:v>Pickup</x:v>
      </x:c>
      <x:c r="E580" s="3" t="str">
        <x:v>Single cab</x:v>
      </x:c>
      <x:c r="F580" s="3" t="n">
        <x:v>2025</x:v>
      </x:c>
      <x:c r="G580" s="3" t="str">
        <x:v>2.4 ENTRY STANDARD CAB</x:v>
      </x:c>
      <x:c r="H580" s="3" t="str">
        <x:v>未掲載</x:v>
      </x:c>
      <x:c r="I580" s="3" t="str">
        <x:v>世代不明</x:v>
      </x:c>
      <x:c r="J580" s="22" t="n">
        <x:f>COUNT('中古車掲載'!AM901:AM906)</x:f>
        <x:v>6</x:v>
      </x:c>
      <x:c r="K580" s="22" t="n">
        <x:f>IF(COUNT('中古車掲載'!AM901:AM906)=0,"",QUARTILE('中古車掲載'!AM901:AM906,1))</x:f>
        <x:v>504000</x:v>
      </x:c>
      <x:c r="L580" s="22" t="n">
        <x:f>IF(COUNT('中古車掲載'!AM901:AM906)=0,"",MEDIAN('中古車掲載'!AM901:AM906))</x:f>
        <x:v>534000</x:v>
      </x:c>
      <x:c r="M580" s="22" t="n">
        <x:f>IF(COUNT('中古車掲載'!AM901:AM906)=0,"",QUARTILE('中古車掲載'!AM901:AM906,3))</x:f>
        <x:v>586500</x:v>
      </x:c>
      <x:c r="N580" s="22" t="n">
        <x:f>COUNT('中古車掲載'!AN901:AN906)</x:f>
        <x:v>0</x:v>
      </x:c>
      <x:c r="O580" s="23" t="str">
        <x:f>IF(COUNT('中古車掲載'!AN901:AN906)=0,"",MEDIAN('中古車掲載'!AN901:AN906))</x:f>
      </x:c>
      <x:c r="P580" s="3"/>
      <x:c r="Q580" s="3"/>
      <x:c r="R580" s="3"/>
      <x:c r="S580" s="3"/>
      <x:c r="T580" s="3"/>
      <x:c r="U580" s="3"/>
      <x:c r="V580" s="3"/>
      <x:c r="W580" s="3"/>
      <x:c r="X580" s="3"/>
      <x:c r="Y580" s="3"/>
      <x:c r="Z580" s="3"/>
      <x:c r="AA580" s="3"/>
      <x:c r="AB580" s="3"/>
      <x:c r="AC580" s="3"/>
      <x:c r="AD580" s="3"/>
      <x:c r="AE580" s="3"/>
      <x:c r="AF580" s="3"/>
      <x:c r="AG580" s="3"/>
      <x:c r="AH580" s="3"/>
      <x:c r="AI580" s="3"/>
      <x:c r="AJ580" s="3"/>
      <x:c r="AK580" s="3"/>
      <x:c r="AL580" s="3"/>
      <x:c r="AM580" s="3"/>
      <x:c r="AN580" s="3"/>
      <x:c r="AO580" s="3"/>
      <x:c r="AP580" s="3"/>
      <x:c r="AQ580" s="3"/>
      <x:c r="AR580" s="3"/>
      <x:c r="AS580" s="3"/>
      <x:c r="AT580" s="3"/>
      <x:c r="AU580" s="3"/>
      <x:c r="AV580" s="3"/>
      <x:c r="AW580" s="3"/>
      <x:c r="AX580" s="3"/>
      <x:c r="AY580" s="3"/>
      <x:c r="AZ580" s="3" t="str">
        <x:f>IF(AND('中古車掲載'!C581="One2car",'中古車掲載'!F581="ATTO 3",'中古車掲載'!L581="EXTENDED RANGE",'中古車掲載'!J581=2023,ISNUMBER('中古車掲載'!N581),'中古車掲載'!N581&gt;=20000,'中古車掲載'!O581&lt;=100000,'中古車掲載'!AL581=1),'中古車掲載'!U581,"")</x:f>
      </x:c>
      <x:c r="BA580" s="3" t="str">
        <x:f>IF(AND('中古車掲載'!C581="One2car",'中古車掲載'!F581="Corolla Cross",'中古車掲載'!L581="HEV PREMIUM SAFETY",'中古車掲載'!J581=2023,ISNUMBER('中古車掲載'!N581),'中古車掲載'!N581&gt;=20000,'中古車掲載'!O581&lt;=100000,'中古車掲載'!AL581=1,'中古車掲載'!Z581="https://www.one2car.com/en/cars-for-sale/toyota/corolla-cross/year-2023"),'中古車掲載'!U581,"")</x:f>
      </x:c>
      <x:c r="BB580" s="3" t="str">
        <x:f>IF(AND('中古車掲載'!C581="One2car",'中古車掲載'!F581="ATTO 3",'中古車掲載'!L581="EXTENDED RANGE",'中古車掲載'!J581=2023,ISNUMBER('中古車掲載'!N581),'中古車掲載'!N581&gt;=50000,'中古車掲載'!O581&lt;=100000,'中古車掲載'!AL581=1),'中古車掲載'!U581,"")</x:f>
      </x:c>
      <x:c r="BC580" s="3" t="str">
        <x:f>IF(AND('中古車掲載'!C581="One2car",'中古車掲載'!F581="Corolla Cross",'中古車掲載'!L581="HEV PREMIUM SAFETY",'中古車掲載'!J581=2023,ISNUMBER('中古車掲載'!N581),'中古車掲載'!N581&gt;=50000,'中古車掲載'!O581&lt;=100000,'中古車掲載'!AL581=1,'中古車掲載'!Z581="https://www.one2car.com/en/cars-for-sale/toyota/corolla-cross/year-2023"),'中古車掲載'!U581,"")</x:f>
      </x:c>
      <x:c r="BD580" s="3" t="str">
        <x:f>IF(AND('中古車掲載'!C581="One2car",'中古車掲載'!F581="ATTO 3",'中古車掲載'!L581="EXTENDED RANGE",'中古車掲載'!J581=2023,ISNUMBER('中古車掲載'!N581),'中古車掲載'!N581&gt;=20000,'中古車掲載'!O581&lt;=50000,'中古車掲載'!AL581=1),'中古車掲載'!U581,"")</x:f>
      </x:c>
      <x:c r="BE580" s="3" t="str">
        <x:f>IF(AND('中古車掲載'!C581="One2car",'中古車掲載'!F581="Corolla Cross",'中古車掲載'!L581="HEV PREMIUM SAFETY",'中古車掲載'!J581=2023,ISNUMBER('中古車掲載'!N581),'中古車掲載'!N581&gt;=20000,'中古車掲載'!O581&lt;=50000,'中古車掲載'!AL581=1,'中古車掲載'!Z581="https://www.one2car.com/en/cars-for-sale/toyota/corolla-cross/year-2023"),'中古車掲載'!U581,"")</x:f>
      </x:c>
      <x:c r="BF580" s="3" t="str">
        <x:f>IF(AND('中古車掲載'!C581="One2car",'中古車掲載'!F581="Corolla Cross",'中古車掲載'!L581="HEV PREMIUM",'中古車掲載'!J581=2023,ISNUMBER('中古車掲載'!N581),'中古車掲載'!N581&gt;=20000,'中古車掲載'!O581&lt;=100000,'中古車掲載'!AL581=1,'中古車掲載'!Z581="https://www.one2car.com/en/cars-for-sale/toyota/corolla-cross/year-2023"),'中古車掲載'!U581,"")</x:f>
      </x:c>
      <x:c r="BG580" s="3" t="str">
        <x:f>IF(AND('中古車掲載'!C581="One2car",'中古車掲載'!F581="Corolla Cross",'中古車掲載'!L581="HEV GR SPORT",'中古車掲載'!J581=2023,ISNUMBER('中古車掲載'!N581),'中古車掲載'!N581&gt;=20000,'中古車掲載'!O581&lt;=100000,'中古車掲載'!AL581=1,'中古車掲載'!Z581="https://www.one2car.com/en/cars-for-sale/toyota/corolla-cross/year-2023"),'中古車掲載'!U581,"")</x:f>
      </x:c>
      <x:c r="BH580" s="3" t="str">
        <x:f>IF(AND('中古車掲載'!C581="One2car",'中古車掲載'!F581="DOLPHIN",'中古車掲載'!L581="STANDARD RANGE",'中古車掲載'!J581=2023,ISNUMBER('中古車掲載'!N581),'中古車掲載'!N581&gt;=20000,'中古車掲載'!O581&lt;=100000,'中古車掲載'!AL581=1),'中古車掲載'!U581,"")</x:f>
      </x:c>
      <x:c r="BI580" s="3" t="str">
        <x:v>Taladrod|Fortuner|ICE|Unknown</x:v>
      </x:c>
      <x:c r="BJ580" s="3" t="n">
        <x:v>581</x:v>
      </x:c>
      <x:c r="BK580" s="3" t="n">
        <x:f>'中古車掲載'!AM581</x:f>
        <x:v>969000</x:v>
      </x:c>
      <x:c r="BL580" s="3" t="str">
        <x:f>IF(ISNUMBER('中古車掲載'!AN581),'中古車掲載'!AN581,"")</x:f>
      </x:c>
      <x:c r="BM580" s="3"/>
      <x:c r="BN580" s="3"/>
      <x:c r="BO580" s="3"/>
      <x:c r="BP580" s="3"/>
      <x:c r="BQ580" s="3"/>
      <x:c r="BR580" s="3"/>
    </x:row>
    <x:row r="581" ht="22" customHeight="1">
      <x:c r="A581" s="3" t="str">
        <x:v>Hilux Revo</x:v>
      </x:c>
      <x:c r="B581" s="3" t="str">
        <x:v>ICE</x:v>
      </x:c>
      <x:c r="C581" s="3" t="str">
        <x:v>Taladrod</x:v>
      </x:c>
      <x:c r="D581" s="3" t="str">
        <x:v>Pickup</x:v>
      </x:c>
      <x:c r="E581" s="3" t="str">
        <x:v>Single cab</x:v>
      </x:c>
      <x:c r="F581" s="3" t="n">
        <x:v>2026</x:v>
      </x:c>
      <x:c r="G581" s="3" t="str">
        <x:v>2.4 ENTRY STANDARD CAB</x:v>
      </x:c>
      <x:c r="H581" s="3" t="str">
        <x:v>未掲載</x:v>
      </x:c>
      <x:c r="I581" s="3" t="str">
        <x:v>世代不明</x:v>
      </x:c>
      <x:c r="J581" s="22" t="n">
        <x:f>COUNT('中古車掲載'!AM918:AM918)</x:f>
        <x:v>0</x:v>
      </x:c>
      <x:c r="K581" s="22" t="str">
        <x:f>IF(COUNT('中古車掲載'!AM918:AM918)=0,"",QUARTILE('中古車掲載'!AM918:AM918,1))</x:f>
      </x:c>
      <x:c r="L581" s="22" t="str">
        <x:f>IF(COUNT('中古車掲載'!AM918:AM918)=0,"",MEDIAN('中古車掲載'!AM918:AM918))</x:f>
      </x:c>
      <x:c r="M581" s="22" t="str">
        <x:f>IF(COUNT('中古車掲載'!AM918:AM918)=0,"",QUARTILE('中古車掲載'!AM918:AM918,3))</x:f>
      </x:c>
      <x:c r="N581" s="22" t="n">
        <x:f>COUNT('中古車掲載'!AN918:AN918)</x:f>
        <x:v>0</x:v>
      </x:c>
      <x:c r="O581" s="23" t="str">
        <x:f>IF(COUNT('中古車掲載'!AN918:AN918)=0,"",MEDIAN('中古車掲載'!AN918:AN918))</x:f>
      </x:c>
      <x:c r="P581" s="3"/>
      <x:c r="Q581" s="3"/>
      <x:c r="R581" s="3"/>
      <x:c r="S581" s="3"/>
      <x:c r="T581" s="3"/>
      <x:c r="U581" s="3"/>
      <x:c r="V581" s="3"/>
      <x:c r="W581" s="3"/>
      <x:c r="X581" s="3"/>
      <x:c r="Y581" s="3"/>
      <x:c r="Z581" s="3"/>
      <x:c r="AA581" s="3"/>
      <x:c r="AB581" s="3"/>
      <x:c r="AC581" s="3"/>
      <x:c r="AD581" s="3"/>
      <x:c r="AE581" s="3"/>
      <x:c r="AF581" s="3"/>
      <x:c r="AG581" s="3"/>
      <x:c r="AH581" s="3"/>
      <x:c r="AI581" s="3"/>
      <x:c r="AJ581" s="3"/>
      <x:c r="AK581" s="3"/>
      <x:c r="AL581" s="3"/>
      <x:c r="AM581" s="3"/>
      <x:c r="AN581" s="3"/>
      <x:c r="AO581" s="3"/>
      <x:c r="AP581" s="3"/>
      <x:c r="AQ581" s="3"/>
      <x:c r="AR581" s="3"/>
      <x:c r="AS581" s="3"/>
      <x:c r="AT581" s="3"/>
      <x:c r="AU581" s="3"/>
      <x:c r="AV581" s="3"/>
      <x:c r="AW581" s="3"/>
      <x:c r="AX581" s="3"/>
      <x:c r="AY581" s="3"/>
      <x:c r="AZ581" s="3" t="str">
        <x:f>IF(AND('中古車掲載'!C582="One2car",'中古車掲載'!F582="ATTO 3",'中古車掲載'!L582="EXTENDED RANGE",'中古車掲載'!J582=2023,ISNUMBER('中古車掲載'!N582),'中古車掲載'!N582&gt;=20000,'中古車掲載'!O582&lt;=100000,'中古車掲載'!AL582=1),'中古車掲載'!U582,"")</x:f>
      </x:c>
      <x:c r="BA581" s="3" t="str">
        <x:f>IF(AND('中古車掲載'!C582="One2car",'中古車掲載'!F582="Corolla Cross",'中古車掲載'!L582="HEV PREMIUM SAFETY",'中古車掲載'!J582=2023,ISNUMBER('中古車掲載'!N582),'中古車掲載'!N582&gt;=20000,'中古車掲載'!O582&lt;=100000,'中古車掲載'!AL582=1,'中古車掲載'!Z582="https://www.one2car.com/en/cars-for-sale/toyota/corolla-cross/year-2023"),'中古車掲載'!U582,"")</x:f>
      </x:c>
      <x:c r="BB581" s="3" t="str">
        <x:f>IF(AND('中古車掲載'!C582="One2car",'中古車掲載'!F582="ATTO 3",'中古車掲載'!L582="EXTENDED RANGE",'中古車掲載'!J582=2023,ISNUMBER('中古車掲載'!N582),'中古車掲載'!N582&gt;=50000,'中古車掲載'!O582&lt;=100000,'中古車掲載'!AL582=1),'中古車掲載'!U582,"")</x:f>
      </x:c>
      <x:c r="BC581" s="3" t="str">
        <x:f>IF(AND('中古車掲載'!C582="One2car",'中古車掲載'!F582="Corolla Cross",'中古車掲載'!L582="HEV PREMIUM SAFETY",'中古車掲載'!J582=2023,ISNUMBER('中古車掲載'!N582),'中古車掲載'!N582&gt;=50000,'中古車掲載'!O582&lt;=100000,'中古車掲載'!AL582=1,'中古車掲載'!Z582="https://www.one2car.com/en/cars-for-sale/toyota/corolla-cross/year-2023"),'中古車掲載'!U582,"")</x:f>
      </x:c>
      <x:c r="BD581" s="3" t="str">
        <x:f>IF(AND('中古車掲載'!C582="One2car",'中古車掲載'!F582="ATTO 3",'中古車掲載'!L582="EXTENDED RANGE",'中古車掲載'!J582=2023,ISNUMBER('中古車掲載'!N582),'中古車掲載'!N582&gt;=20000,'中古車掲載'!O582&lt;=50000,'中古車掲載'!AL582=1),'中古車掲載'!U582,"")</x:f>
      </x:c>
      <x:c r="BE581" s="3" t="str">
        <x:f>IF(AND('中古車掲載'!C582="One2car",'中古車掲載'!F582="Corolla Cross",'中古車掲載'!L582="HEV PREMIUM SAFETY",'中古車掲載'!J582=2023,ISNUMBER('中古車掲載'!N582),'中古車掲載'!N582&gt;=20000,'中古車掲載'!O582&lt;=50000,'中古車掲載'!AL582=1,'中古車掲載'!Z582="https://www.one2car.com/en/cars-for-sale/toyota/corolla-cross/year-2023"),'中古車掲載'!U582,"")</x:f>
      </x:c>
      <x:c r="BF581" s="3" t="str">
        <x:f>IF(AND('中古車掲載'!C582="One2car",'中古車掲載'!F582="Corolla Cross",'中古車掲載'!L582="HEV PREMIUM",'中古車掲載'!J582=2023,ISNUMBER('中古車掲載'!N582),'中古車掲載'!N582&gt;=20000,'中古車掲載'!O582&lt;=100000,'中古車掲載'!AL582=1,'中古車掲載'!Z582="https://www.one2car.com/en/cars-for-sale/toyota/corolla-cross/year-2023"),'中古車掲載'!U582,"")</x:f>
      </x:c>
      <x:c r="BG581" s="3" t="str">
        <x:f>IF(AND('中古車掲載'!C582="One2car",'中古車掲載'!F582="Corolla Cross",'中古車掲載'!L582="HEV GR SPORT",'中古車掲載'!J582=2023,ISNUMBER('中古車掲載'!N582),'中古車掲載'!N582&gt;=20000,'中古車掲載'!O582&lt;=100000,'中古車掲載'!AL582=1,'中古車掲載'!Z582="https://www.one2car.com/en/cars-for-sale/toyota/corolla-cross/year-2023"),'中古車掲載'!U582,"")</x:f>
      </x:c>
      <x:c r="BH581" s="3" t="str">
        <x:f>IF(AND('中古車掲載'!C582="One2car",'中古車掲載'!F582="DOLPHIN",'中古車掲載'!L582="STANDARD RANGE",'中古車掲載'!J582=2023,ISNUMBER('中古車掲載'!N582),'中古車掲載'!N582&gt;=20000,'中古車掲載'!O582&lt;=100000,'中古車掲載'!AL582=1),'中古車掲載'!U582,"")</x:f>
      </x:c>
      <x:c r="BI581" s="3" t="str">
        <x:v>Taladrod|Fortuner|ICE|Unknown</x:v>
      </x:c>
      <x:c r="BJ581" s="3" t="n">
        <x:v>582</x:v>
      </x:c>
      <x:c r="BK581" s="3" t="n">
        <x:f>'中古車掲載'!AM582</x:f>
        <x:v>924000</x:v>
      </x:c>
      <x:c r="BL581" s="3" t="str">
        <x:f>IF(ISNUMBER('中古車掲載'!AN582),'中古車掲載'!AN582,"")</x:f>
      </x:c>
      <x:c r="BM581" s="3"/>
      <x:c r="BN581" s="3"/>
      <x:c r="BO581" s="3"/>
      <x:c r="BP581" s="3"/>
      <x:c r="BQ581" s="3"/>
      <x:c r="BR581" s="3"/>
    </x:row>
    <x:row r="582" ht="22" customHeight="1">
      <x:c r="A582" s="3" t="str">
        <x:v>Hilux Revo</x:v>
      </x:c>
      <x:c r="B582" s="3" t="str">
        <x:v>ICE</x:v>
      </x:c>
      <x:c r="C582" s="3" t="str">
        <x:v>Taladrod</x:v>
      </x:c>
      <x:c r="D582" s="3" t="str">
        <x:v>Pickup</x:v>
      </x:c>
      <x:c r="E582" s="3" t="str">
        <x:v>Smart cab</x:v>
      </x:c>
      <x:c r="F582" s="3" t="n">
        <x:v>2020</x:v>
      </x:c>
      <x:c r="G582" s="3" t="str">
        <x:v>2.4 E SMART CAB</x:v>
      </x:c>
      <x:c r="H582" s="3" t="str">
        <x:v>未掲載</x:v>
      </x:c>
      <x:c r="I582" s="3" t="str">
        <x:v>世代不明</x:v>
      </x:c>
      <x:c r="J582" s="22" t="n">
        <x:f>COUNT('中古車掲載'!AM654:AM654)</x:f>
        <x:v>1</x:v>
      </x:c>
      <x:c r="K582" s="22" t="n">
        <x:f>IF(COUNT('中古車掲載'!AM654:AM654)=0,"",QUARTILE('中古車掲載'!AM654:AM654,1))</x:f>
        <x:v>385000</x:v>
      </x:c>
      <x:c r="L582" s="22" t="n">
        <x:f>IF(COUNT('中古車掲載'!AM654:AM654)=0,"",MEDIAN('中古車掲載'!AM654:AM654))</x:f>
        <x:v>385000</x:v>
      </x:c>
      <x:c r="M582" s="22" t="n">
        <x:f>IF(COUNT('中古車掲載'!AM654:AM654)=0,"",QUARTILE('中古車掲載'!AM654:AM654,3))</x:f>
        <x:v>385000</x:v>
      </x:c>
      <x:c r="N582" s="22" t="n">
        <x:f>COUNT('中古車掲載'!AN654:AN654)</x:f>
        <x:v>0</x:v>
      </x:c>
      <x:c r="O582" s="23" t="str">
        <x:f>IF(COUNT('中古車掲載'!AN654:AN654)=0,"",MEDIAN('中古車掲載'!AN654:AN654))</x:f>
      </x:c>
      <x:c r="P582" s="3"/>
      <x:c r="Q582" s="3"/>
      <x:c r="R582" s="3"/>
      <x:c r="S582" s="3"/>
      <x:c r="T582" s="3"/>
      <x:c r="U582" s="3"/>
      <x:c r="V582" s="3"/>
      <x:c r="W582" s="3"/>
      <x:c r="X582" s="3"/>
      <x:c r="Y582" s="3"/>
      <x:c r="Z582" s="3"/>
      <x:c r="AA582" s="3"/>
      <x:c r="AB582" s="3"/>
      <x:c r="AC582" s="3"/>
      <x:c r="AD582" s="3"/>
      <x:c r="AE582" s="3"/>
      <x:c r="AF582" s="3"/>
      <x:c r="AG582" s="3"/>
      <x:c r="AH582" s="3"/>
      <x:c r="AI582" s="3"/>
      <x:c r="AJ582" s="3"/>
      <x:c r="AK582" s="3"/>
      <x:c r="AL582" s="3"/>
      <x:c r="AM582" s="3"/>
      <x:c r="AN582" s="3"/>
      <x:c r="AO582" s="3"/>
      <x:c r="AP582" s="3"/>
      <x:c r="AQ582" s="3"/>
      <x:c r="AR582" s="3"/>
      <x:c r="AS582" s="3"/>
      <x:c r="AT582" s="3"/>
      <x:c r="AU582" s="3"/>
      <x:c r="AV582" s="3"/>
      <x:c r="AW582" s="3"/>
      <x:c r="AX582" s="3"/>
      <x:c r="AY582" s="3"/>
      <x:c r="AZ582" s="3" t="str">
        <x:f>IF(AND('中古車掲載'!C583="One2car",'中古車掲載'!F583="ATTO 3",'中古車掲載'!L583="EXTENDED RANGE",'中古車掲載'!J583=2023,ISNUMBER('中古車掲載'!N583),'中古車掲載'!N583&gt;=20000,'中古車掲載'!O583&lt;=100000,'中古車掲載'!AL583=1),'中古車掲載'!U583,"")</x:f>
      </x:c>
      <x:c r="BA582" s="3" t="str">
        <x:f>IF(AND('中古車掲載'!C583="One2car",'中古車掲載'!F583="Corolla Cross",'中古車掲載'!L583="HEV PREMIUM SAFETY",'中古車掲載'!J583=2023,ISNUMBER('中古車掲載'!N583),'中古車掲載'!N583&gt;=20000,'中古車掲載'!O583&lt;=100000,'中古車掲載'!AL583=1,'中古車掲載'!Z583="https://www.one2car.com/en/cars-for-sale/toyota/corolla-cross/year-2023"),'中古車掲載'!U583,"")</x:f>
      </x:c>
      <x:c r="BB582" s="3" t="str">
        <x:f>IF(AND('中古車掲載'!C583="One2car",'中古車掲載'!F583="ATTO 3",'中古車掲載'!L583="EXTENDED RANGE",'中古車掲載'!J583=2023,ISNUMBER('中古車掲載'!N583),'中古車掲載'!N583&gt;=50000,'中古車掲載'!O583&lt;=100000,'中古車掲載'!AL583=1),'中古車掲載'!U583,"")</x:f>
      </x:c>
      <x:c r="BC582" s="3" t="str">
        <x:f>IF(AND('中古車掲載'!C583="One2car",'中古車掲載'!F583="Corolla Cross",'中古車掲載'!L583="HEV PREMIUM SAFETY",'中古車掲載'!J583=2023,ISNUMBER('中古車掲載'!N583),'中古車掲載'!N583&gt;=50000,'中古車掲載'!O583&lt;=100000,'中古車掲載'!AL583=1,'中古車掲載'!Z583="https://www.one2car.com/en/cars-for-sale/toyota/corolla-cross/year-2023"),'中古車掲載'!U583,"")</x:f>
      </x:c>
      <x:c r="BD582" s="3" t="str">
        <x:f>IF(AND('中古車掲載'!C583="One2car",'中古車掲載'!F583="ATTO 3",'中古車掲載'!L583="EXTENDED RANGE",'中古車掲載'!J583=2023,ISNUMBER('中古車掲載'!N583),'中古車掲載'!N583&gt;=20000,'中古車掲載'!O583&lt;=50000,'中古車掲載'!AL583=1),'中古車掲載'!U583,"")</x:f>
      </x:c>
      <x:c r="BE582" s="3" t="str">
        <x:f>IF(AND('中古車掲載'!C583="One2car",'中古車掲載'!F583="Corolla Cross",'中古車掲載'!L583="HEV PREMIUM SAFETY",'中古車掲載'!J583=2023,ISNUMBER('中古車掲載'!N583),'中古車掲載'!N583&gt;=20000,'中古車掲載'!O583&lt;=50000,'中古車掲載'!AL583=1,'中古車掲載'!Z583="https://www.one2car.com/en/cars-for-sale/toyota/corolla-cross/year-2023"),'中古車掲載'!U583,"")</x:f>
      </x:c>
      <x:c r="BF582" s="3" t="str">
        <x:f>IF(AND('中古車掲載'!C583="One2car",'中古車掲載'!F583="Corolla Cross",'中古車掲載'!L583="HEV PREMIUM",'中古車掲載'!J583=2023,ISNUMBER('中古車掲載'!N583),'中古車掲載'!N583&gt;=20000,'中古車掲載'!O583&lt;=100000,'中古車掲載'!AL583=1,'中古車掲載'!Z583="https://www.one2car.com/en/cars-for-sale/toyota/corolla-cross/year-2023"),'中古車掲載'!U583,"")</x:f>
      </x:c>
      <x:c r="BG582" s="3" t="str">
        <x:f>IF(AND('中古車掲載'!C583="One2car",'中古車掲載'!F583="Corolla Cross",'中古車掲載'!L583="HEV GR SPORT",'中古車掲載'!J583=2023,ISNUMBER('中古車掲載'!N583),'中古車掲載'!N583&gt;=20000,'中古車掲載'!O583&lt;=100000,'中古車掲載'!AL583=1,'中古車掲載'!Z583="https://www.one2car.com/en/cars-for-sale/toyota/corolla-cross/year-2023"),'中古車掲載'!U583,"")</x:f>
      </x:c>
      <x:c r="BH582" s="3" t="str">
        <x:f>IF(AND('中古車掲載'!C583="One2car",'中古車掲載'!F583="DOLPHIN",'中古車掲載'!L583="STANDARD RANGE",'中古車掲載'!J583=2023,ISNUMBER('中古車掲載'!N583),'中古車掲載'!N583&gt;=20000,'中古車掲載'!O583&lt;=100000,'中古車掲載'!AL583=1),'中古車掲載'!U583,"")</x:f>
      </x:c>
      <x:c r="BI582" s="3" t="str">
        <x:v>Taladrod|Fortuner|ICE|Unknown</x:v>
      </x:c>
      <x:c r="BJ582" s="3" t="n">
        <x:v>583</x:v>
      </x:c>
      <x:c r="BK582" s="3" t="n">
        <x:f>'中古車掲載'!AM583</x:f>
        <x:v>979000</x:v>
      </x:c>
      <x:c r="BL582" s="3" t="str">
        <x:f>IF(ISNUMBER('中古車掲載'!AN583),'中古車掲載'!AN583,"")</x:f>
      </x:c>
      <x:c r="BM582" s="3"/>
      <x:c r="BN582" s="3"/>
      <x:c r="BO582" s="3"/>
      <x:c r="BP582" s="3"/>
      <x:c r="BQ582" s="3"/>
      <x:c r="BR582" s="3"/>
    </x:row>
    <x:row r="583" ht="22" customHeight="1">
      <x:c r="A583" s="3" t="str">
        <x:v>Hilux Revo</x:v>
      </x:c>
      <x:c r="B583" s="3" t="str">
        <x:v>ICE</x:v>
      </x:c>
      <x:c r="C583" s="3" t="str">
        <x:v>Taladrod</x:v>
      </x:c>
      <x:c r="D583" s="3" t="str">
        <x:v>Pickup</x:v>
      </x:c>
      <x:c r="E583" s="3" t="str">
        <x:v>Smart cab</x:v>
      </x:c>
      <x:c r="F583" s="3" t="n">
        <x:v>2020</x:v>
      </x:c>
      <x:c r="G583" s="3" t="str">
        <x:v>2.4 E Z EDITION SMART CAB</x:v>
      </x:c>
      <x:c r="H583" s="3" t="str">
        <x:v>未掲載</x:v>
      </x:c>
      <x:c r="I583" s="3" t="str">
        <x:v>世代不明</x:v>
      </x:c>
      <x:c r="J583" s="22" t="n">
        <x:f>COUNT('中古車掲載'!AM655:AM655)</x:f>
        <x:v>1</x:v>
      </x:c>
      <x:c r="K583" s="22" t="n">
        <x:f>IF(COUNT('中古車掲載'!AM655:AM655)=0,"",QUARTILE('中古車掲載'!AM655:AM655,1))</x:f>
        <x:v>359000</x:v>
      </x:c>
      <x:c r="L583" s="22" t="n">
        <x:f>IF(COUNT('中古車掲載'!AM655:AM655)=0,"",MEDIAN('中古車掲載'!AM655:AM655))</x:f>
        <x:v>359000</x:v>
      </x:c>
      <x:c r="M583" s="22" t="n">
        <x:f>IF(COUNT('中古車掲載'!AM655:AM655)=0,"",QUARTILE('中古車掲載'!AM655:AM655,3))</x:f>
        <x:v>359000</x:v>
      </x:c>
      <x:c r="N583" s="22" t="n">
        <x:f>COUNT('中古車掲載'!AN655:AN655)</x:f>
        <x:v>0</x:v>
      </x:c>
      <x:c r="O583" s="23" t="str">
        <x:f>IF(COUNT('中古車掲載'!AN655:AN655)=0,"",MEDIAN('中古車掲載'!AN655:AN655))</x:f>
      </x:c>
      <x:c r="P583" s="3"/>
      <x:c r="Q583" s="3"/>
      <x:c r="R583" s="3"/>
      <x:c r="S583" s="3"/>
      <x:c r="T583" s="3"/>
      <x:c r="U583" s="3"/>
      <x:c r="V583" s="3"/>
      <x:c r="W583" s="3"/>
      <x:c r="X583" s="3"/>
      <x:c r="Y583" s="3"/>
      <x:c r="Z583" s="3"/>
      <x:c r="AA583" s="3"/>
      <x:c r="AB583" s="3"/>
      <x:c r="AC583" s="3"/>
      <x:c r="AD583" s="3"/>
      <x:c r="AE583" s="3"/>
      <x:c r="AF583" s="3"/>
      <x:c r="AG583" s="3"/>
      <x:c r="AH583" s="3"/>
      <x:c r="AI583" s="3"/>
      <x:c r="AJ583" s="3"/>
      <x:c r="AK583" s="3"/>
      <x:c r="AL583" s="3"/>
      <x:c r="AM583" s="3"/>
      <x:c r="AN583" s="3"/>
      <x:c r="AO583" s="3"/>
      <x:c r="AP583" s="3"/>
      <x:c r="AQ583" s="3"/>
      <x:c r="AR583" s="3"/>
      <x:c r="AS583" s="3"/>
      <x:c r="AT583" s="3"/>
      <x:c r="AU583" s="3"/>
      <x:c r="AV583" s="3"/>
      <x:c r="AW583" s="3"/>
      <x:c r="AX583" s="3"/>
      <x:c r="AY583" s="3"/>
      <x:c r="AZ583" s="3" t="str">
        <x:f>IF(AND('中古車掲載'!C584="One2car",'中古車掲載'!F584="ATTO 3",'中古車掲載'!L584="EXTENDED RANGE",'中古車掲載'!J584=2023,ISNUMBER('中古車掲載'!N584),'中古車掲載'!N584&gt;=20000,'中古車掲載'!O584&lt;=100000,'中古車掲載'!AL584=1),'中古車掲載'!U584,"")</x:f>
      </x:c>
      <x:c r="BA583" s="3" t="str">
        <x:f>IF(AND('中古車掲載'!C584="One2car",'中古車掲載'!F584="Corolla Cross",'中古車掲載'!L584="HEV PREMIUM SAFETY",'中古車掲載'!J584=2023,ISNUMBER('中古車掲載'!N584),'中古車掲載'!N584&gt;=20000,'中古車掲載'!O584&lt;=100000,'中古車掲載'!AL584=1,'中古車掲載'!Z584="https://www.one2car.com/en/cars-for-sale/toyota/corolla-cross/year-2023"),'中古車掲載'!U584,"")</x:f>
      </x:c>
      <x:c r="BB583" s="3" t="str">
        <x:f>IF(AND('中古車掲載'!C584="One2car",'中古車掲載'!F584="ATTO 3",'中古車掲載'!L584="EXTENDED RANGE",'中古車掲載'!J584=2023,ISNUMBER('中古車掲載'!N584),'中古車掲載'!N584&gt;=50000,'中古車掲載'!O584&lt;=100000,'中古車掲載'!AL584=1),'中古車掲載'!U584,"")</x:f>
      </x:c>
      <x:c r="BC583" s="3" t="str">
        <x:f>IF(AND('中古車掲載'!C584="One2car",'中古車掲載'!F584="Corolla Cross",'中古車掲載'!L584="HEV PREMIUM SAFETY",'中古車掲載'!J584=2023,ISNUMBER('中古車掲載'!N584),'中古車掲載'!N584&gt;=50000,'中古車掲載'!O584&lt;=100000,'中古車掲載'!AL584=1,'中古車掲載'!Z584="https://www.one2car.com/en/cars-for-sale/toyota/corolla-cross/year-2023"),'中古車掲載'!U584,"")</x:f>
      </x:c>
      <x:c r="BD583" s="3" t="str">
        <x:f>IF(AND('中古車掲載'!C584="One2car",'中古車掲載'!F584="ATTO 3",'中古車掲載'!L584="EXTENDED RANGE",'中古車掲載'!J584=2023,ISNUMBER('中古車掲載'!N584),'中古車掲載'!N584&gt;=20000,'中古車掲載'!O584&lt;=50000,'中古車掲載'!AL584=1),'中古車掲載'!U584,"")</x:f>
      </x:c>
      <x:c r="BE583" s="3" t="str">
        <x:f>IF(AND('中古車掲載'!C584="One2car",'中古車掲載'!F584="Corolla Cross",'中古車掲載'!L584="HEV PREMIUM SAFETY",'中古車掲載'!J584=2023,ISNUMBER('中古車掲載'!N584),'中古車掲載'!N584&gt;=20000,'中古車掲載'!O584&lt;=50000,'中古車掲載'!AL584=1,'中古車掲載'!Z584="https://www.one2car.com/en/cars-for-sale/toyota/corolla-cross/year-2023"),'中古車掲載'!U584,"")</x:f>
      </x:c>
      <x:c r="BF583" s="3" t="str">
        <x:f>IF(AND('中古車掲載'!C584="One2car",'中古車掲載'!F584="Corolla Cross",'中古車掲載'!L584="HEV PREMIUM",'中古車掲載'!J584=2023,ISNUMBER('中古車掲載'!N584),'中古車掲載'!N584&gt;=20000,'中古車掲載'!O584&lt;=100000,'中古車掲載'!AL584=1,'中古車掲載'!Z584="https://www.one2car.com/en/cars-for-sale/toyota/corolla-cross/year-2023"),'中古車掲載'!U584,"")</x:f>
      </x:c>
      <x:c r="BG583" s="3" t="str">
        <x:f>IF(AND('中古車掲載'!C584="One2car",'中古車掲載'!F584="Corolla Cross",'中古車掲載'!L584="HEV GR SPORT",'中古車掲載'!J584=2023,ISNUMBER('中古車掲載'!N584),'中古車掲載'!N584&gt;=20000,'中古車掲載'!O584&lt;=100000,'中古車掲載'!AL584=1,'中古車掲載'!Z584="https://www.one2car.com/en/cars-for-sale/toyota/corolla-cross/year-2023"),'中古車掲載'!U584,"")</x:f>
      </x:c>
      <x:c r="BH583" s="3" t="str">
        <x:f>IF(AND('中古車掲載'!C584="One2car",'中古車掲載'!F584="DOLPHIN",'中古車掲載'!L584="STANDARD RANGE",'中古車掲載'!J584=2023,ISNUMBER('中古車掲載'!N584),'中古車掲載'!N584&gt;=20000,'中古車掲載'!O584&lt;=100000,'中古車掲載'!AL584=1),'中古車掲載'!U584,"")</x:f>
      </x:c>
      <x:c r="BI583" s="3" t="str">
        <x:v>Taladrod|Fortuner|ICE|Unknown</x:v>
      </x:c>
      <x:c r="BJ583" s="3" t="n">
        <x:v>584</x:v>
      </x:c>
      <x:c r="BK583" s="3" t="n">
        <x:f>'中古車掲載'!AM584</x:f>
        <x:v>925000</x:v>
      </x:c>
      <x:c r="BL583" s="3" t="str">
        <x:f>IF(ISNUMBER('中古車掲載'!AN584),'中古車掲載'!AN584,"")</x:f>
      </x:c>
      <x:c r="BM583" s="3"/>
      <x:c r="BN583" s="3"/>
      <x:c r="BO583" s="3"/>
      <x:c r="BP583" s="3"/>
      <x:c r="BQ583" s="3"/>
      <x:c r="BR583" s="3"/>
    </x:row>
    <x:row r="584" ht="22" customHeight="1">
      <x:c r="A584" s="3" t="str">
        <x:v>Hilux Revo</x:v>
      </x:c>
      <x:c r="B584" s="3" t="str">
        <x:v>ICE</x:v>
      </x:c>
      <x:c r="C584" s="3" t="str">
        <x:v>Taladrod</x:v>
      </x:c>
      <x:c r="D584" s="3" t="str">
        <x:v>Pickup</x:v>
      </x:c>
      <x:c r="E584" s="3" t="str">
        <x:v>Smart cab</x:v>
      </x:c>
      <x:c r="F584" s="3" t="n">
        <x:v>2020</x:v>
      </x:c>
      <x:c r="G584" s="3" t="str">
        <x:v>2.4 ENTRY PRERUNNER SMART CAB</x:v>
      </x:c>
      <x:c r="H584" s="3" t="str">
        <x:v>未掲載</x:v>
      </x:c>
      <x:c r="I584" s="3" t="str">
        <x:v>世代不明</x:v>
      </x:c>
      <x:c r="J584" s="22" t="n">
        <x:f>COUNT('中古車掲載'!AM657:AM659)</x:f>
        <x:v>3</x:v>
      </x:c>
      <x:c r="K584" s="22" t="n">
        <x:f>IF(COUNT('中古車掲載'!AM657:AM659)=0,"",QUARTILE('中古車掲載'!AM657:AM659,1))</x:f>
        <x:v>394000</x:v>
      </x:c>
      <x:c r="L584" s="22" t="n">
        <x:f>IF(COUNT('中古車掲載'!AM657:AM659)=0,"",MEDIAN('中古車掲載'!AM657:AM659))</x:f>
        <x:v>399000</x:v>
      </x:c>
      <x:c r="M584" s="22" t="n">
        <x:f>IF(COUNT('中古車掲載'!AM657:AM659)=0,"",QUARTILE('中古車掲載'!AM657:AM659,3))</x:f>
        <x:v>414000</x:v>
      </x:c>
      <x:c r="N584" s="22" t="n">
        <x:f>COUNT('中古車掲載'!AN657:AN659)</x:f>
        <x:v>0</x:v>
      </x:c>
      <x:c r="O584" s="23" t="str">
        <x:f>IF(COUNT('中古車掲載'!AN657:AN659)=0,"",MEDIAN('中古車掲載'!AN657:AN659))</x:f>
      </x:c>
      <x:c r="P584" s="3"/>
      <x:c r="Q584" s="3"/>
      <x:c r="R584" s="3"/>
      <x:c r="S584" s="3"/>
      <x:c r="T584" s="3"/>
      <x:c r="U584" s="3"/>
      <x:c r="V584" s="3"/>
      <x:c r="W584" s="3"/>
      <x:c r="X584" s="3"/>
      <x:c r="Y584" s="3"/>
      <x:c r="Z584" s="3"/>
      <x:c r="AA584" s="3"/>
      <x:c r="AB584" s="3"/>
      <x:c r="AC584" s="3"/>
      <x:c r="AD584" s="3"/>
      <x:c r="AE584" s="3"/>
      <x:c r="AF584" s="3"/>
      <x:c r="AG584" s="3"/>
      <x:c r="AH584" s="3"/>
      <x:c r="AI584" s="3"/>
      <x:c r="AJ584" s="3"/>
      <x:c r="AK584" s="3"/>
      <x:c r="AL584" s="3"/>
      <x:c r="AM584" s="3"/>
      <x:c r="AN584" s="3"/>
      <x:c r="AO584" s="3"/>
      <x:c r="AP584" s="3"/>
      <x:c r="AQ584" s="3"/>
      <x:c r="AR584" s="3"/>
      <x:c r="AS584" s="3"/>
      <x:c r="AT584" s="3"/>
      <x:c r="AU584" s="3"/>
      <x:c r="AV584" s="3"/>
      <x:c r="AW584" s="3"/>
      <x:c r="AX584" s="3"/>
      <x:c r="AY584" s="3"/>
      <x:c r="AZ584" s="3" t="str">
        <x:f>IF(AND('中古車掲載'!C585="One2car",'中古車掲載'!F585="ATTO 3",'中古車掲載'!L585="EXTENDED RANGE",'中古車掲載'!J585=2023,ISNUMBER('中古車掲載'!N585),'中古車掲載'!N585&gt;=20000,'中古車掲載'!O585&lt;=100000,'中古車掲載'!AL585=1),'中古車掲載'!U585,"")</x:f>
      </x:c>
      <x:c r="BA584" s="3" t="str">
        <x:f>IF(AND('中古車掲載'!C585="One2car",'中古車掲載'!F585="Corolla Cross",'中古車掲載'!L585="HEV PREMIUM SAFETY",'中古車掲載'!J585=2023,ISNUMBER('中古車掲載'!N585),'中古車掲載'!N585&gt;=20000,'中古車掲載'!O585&lt;=100000,'中古車掲載'!AL585=1,'中古車掲載'!Z585="https://www.one2car.com/en/cars-for-sale/toyota/corolla-cross/year-2023"),'中古車掲載'!U585,"")</x:f>
      </x:c>
      <x:c r="BB584" s="3" t="str">
        <x:f>IF(AND('中古車掲載'!C585="One2car",'中古車掲載'!F585="ATTO 3",'中古車掲載'!L585="EXTENDED RANGE",'中古車掲載'!J585=2023,ISNUMBER('中古車掲載'!N585),'中古車掲載'!N585&gt;=50000,'中古車掲載'!O585&lt;=100000,'中古車掲載'!AL585=1),'中古車掲載'!U585,"")</x:f>
      </x:c>
      <x:c r="BC584" s="3" t="str">
        <x:f>IF(AND('中古車掲載'!C585="One2car",'中古車掲載'!F585="Corolla Cross",'中古車掲載'!L585="HEV PREMIUM SAFETY",'中古車掲載'!J585=2023,ISNUMBER('中古車掲載'!N585),'中古車掲載'!N585&gt;=50000,'中古車掲載'!O585&lt;=100000,'中古車掲載'!AL585=1,'中古車掲載'!Z585="https://www.one2car.com/en/cars-for-sale/toyota/corolla-cross/year-2023"),'中古車掲載'!U585,"")</x:f>
      </x:c>
      <x:c r="BD584" s="3" t="str">
        <x:f>IF(AND('中古車掲載'!C585="One2car",'中古車掲載'!F585="ATTO 3",'中古車掲載'!L585="EXTENDED RANGE",'中古車掲載'!J585=2023,ISNUMBER('中古車掲載'!N585),'中古車掲載'!N585&gt;=20000,'中古車掲載'!O585&lt;=50000,'中古車掲載'!AL585=1),'中古車掲載'!U585,"")</x:f>
      </x:c>
      <x:c r="BE584" s="3" t="str">
        <x:f>IF(AND('中古車掲載'!C585="One2car",'中古車掲載'!F585="Corolla Cross",'中古車掲載'!L585="HEV PREMIUM SAFETY",'中古車掲載'!J585=2023,ISNUMBER('中古車掲載'!N585),'中古車掲載'!N585&gt;=20000,'中古車掲載'!O585&lt;=50000,'中古車掲載'!AL585=1,'中古車掲載'!Z585="https://www.one2car.com/en/cars-for-sale/toyota/corolla-cross/year-2023"),'中古車掲載'!U585,"")</x:f>
      </x:c>
      <x:c r="BF584" s="3" t="str">
        <x:f>IF(AND('中古車掲載'!C585="One2car",'中古車掲載'!F585="Corolla Cross",'中古車掲載'!L585="HEV PREMIUM",'中古車掲載'!J585=2023,ISNUMBER('中古車掲載'!N585),'中古車掲載'!N585&gt;=20000,'中古車掲載'!O585&lt;=100000,'中古車掲載'!AL585=1,'中古車掲載'!Z585="https://www.one2car.com/en/cars-for-sale/toyota/corolla-cross/year-2023"),'中古車掲載'!U585,"")</x:f>
      </x:c>
      <x:c r="BG584" s="3" t="str">
        <x:f>IF(AND('中古車掲載'!C585="One2car",'中古車掲載'!F585="Corolla Cross",'中古車掲載'!L585="HEV GR SPORT",'中古車掲載'!J585=2023,ISNUMBER('中古車掲載'!N585),'中古車掲載'!N585&gt;=20000,'中古車掲載'!O585&lt;=100000,'中古車掲載'!AL585=1,'中古車掲載'!Z585="https://www.one2car.com/en/cars-for-sale/toyota/corolla-cross/year-2023"),'中古車掲載'!U585,"")</x:f>
      </x:c>
      <x:c r="BH584" s="3" t="str">
        <x:f>IF(AND('中古車掲載'!C585="One2car",'中古車掲載'!F585="DOLPHIN",'中古車掲載'!L585="STANDARD RANGE",'中古車掲載'!J585=2023,ISNUMBER('中古車掲載'!N585),'中古車掲載'!N585&gt;=20000,'中古車掲載'!O585&lt;=100000,'中古車掲載'!AL585=1),'中古車掲載'!U585,"")</x:f>
      </x:c>
      <x:c r="BI584" s="3" t="str">
        <x:v>Taladrod|Fortuner|ICE|Unknown</x:v>
      </x:c>
      <x:c r="BJ584" s="3" t="n">
        <x:v>585</x:v>
      </x:c>
      <x:c r="BK584" s="3" t="n">
        <x:f>'中古車掲載'!AM585</x:f>
        <x:v>879000</x:v>
      </x:c>
      <x:c r="BL584" s="3" t="str">
        <x:f>IF(ISNUMBER('中古車掲載'!AN585),'中古車掲載'!AN585,"")</x:f>
      </x:c>
      <x:c r="BM584" s="3"/>
      <x:c r="BN584" s="3"/>
      <x:c r="BO584" s="3"/>
      <x:c r="BP584" s="3"/>
      <x:c r="BQ584" s="3"/>
      <x:c r="BR584" s="3"/>
    </x:row>
    <x:row r="585" ht="22" customHeight="1">
      <x:c r="A585" s="3" t="str">
        <x:v>Hilux Revo</x:v>
      </x:c>
      <x:c r="B585" s="3" t="str">
        <x:v>ICE</x:v>
      </x:c>
      <x:c r="C585" s="3" t="str">
        <x:v>Taladrod</x:v>
      </x:c>
      <x:c r="D585" s="3" t="str">
        <x:v>Pickup</x:v>
      </x:c>
      <x:c r="E585" s="3" t="str">
        <x:v>Smart cab</x:v>
      </x:c>
      <x:c r="F585" s="3" t="n">
        <x:v>2020</x:v>
      </x:c>
      <x:c r="G585" s="3" t="str">
        <x:v>2.4 ENTRY Z EDITION SMART CAB</x:v>
      </x:c>
      <x:c r="H585" s="3" t="str">
        <x:v>未掲載</x:v>
      </x:c>
      <x:c r="I585" s="3" t="str">
        <x:v>世代不明</x:v>
      </x:c>
      <x:c r="J585" s="22" t="n">
        <x:f>COUNT('中古車掲載'!AM666:AM666)</x:f>
        <x:v>1</x:v>
      </x:c>
      <x:c r="K585" s="22" t="n">
        <x:f>IF(COUNT('中古車掲載'!AM666:AM666)=0,"",QUARTILE('中古車掲載'!AM666:AM666,1))</x:f>
        <x:v>419000</x:v>
      </x:c>
      <x:c r="L585" s="22" t="n">
        <x:f>IF(COUNT('中古車掲載'!AM666:AM666)=0,"",MEDIAN('中古車掲載'!AM666:AM666))</x:f>
        <x:v>419000</x:v>
      </x:c>
      <x:c r="M585" s="22" t="n">
        <x:f>IF(COUNT('中古車掲載'!AM666:AM666)=0,"",QUARTILE('中古車掲載'!AM666:AM666,3))</x:f>
        <x:v>419000</x:v>
      </x:c>
      <x:c r="N585" s="22" t="n">
        <x:f>COUNT('中古車掲載'!AN666:AN666)</x:f>
        <x:v>0</x:v>
      </x:c>
      <x:c r="O585" s="23" t="str">
        <x:f>IF(COUNT('中古車掲載'!AN666:AN666)=0,"",MEDIAN('中古車掲載'!AN666:AN666))</x:f>
      </x:c>
      <x:c r="P585" s="3"/>
      <x:c r="Q585" s="3"/>
      <x:c r="R585" s="3"/>
      <x:c r="S585" s="3"/>
      <x:c r="T585" s="3"/>
      <x:c r="U585" s="3"/>
      <x:c r="V585" s="3"/>
      <x:c r="W585" s="3"/>
      <x:c r="X585" s="3"/>
      <x:c r="Y585" s="3"/>
      <x:c r="Z585" s="3"/>
      <x:c r="AA585" s="3"/>
      <x:c r="AB585" s="3"/>
      <x:c r="AC585" s="3"/>
      <x:c r="AD585" s="3"/>
      <x:c r="AE585" s="3"/>
      <x:c r="AF585" s="3"/>
      <x:c r="AG585" s="3"/>
      <x:c r="AH585" s="3"/>
      <x:c r="AI585" s="3"/>
      <x:c r="AJ585" s="3"/>
      <x:c r="AK585" s="3"/>
      <x:c r="AL585" s="3"/>
      <x:c r="AM585" s="3"/>
      <x:c r="AN585" s="3"/>
      <x:c r="AO585" s="3"/>
      <x:c r="AP585" s="3"/>
      <x:c r="AQ585" s="3"/>
      <x:c r="AR585" s="3"/>
      <x:c r="AS585" s="3"/>
      <x:c r="AT585" s="3"/>
      <x:c r="AU585" s="3"/>
      <x:c r="AV585" s="3"/>
      <x:c r="AW585" s="3"/>
      <x:c r="AX585" s="3"/>
      <x:c r="AY585" s="3"/>
      <x:c r="AZ585" s="3" t="str">
        <x:f>IF(AND('中古車掲載'!C586="One2car",'中古車掲載'!F586="ATTO 3",'中古車掲載'!L586="EXTENDED RANGE",'中古車掲載'!J586=2023,ISNUMBER('中古車掲載'!N586),'中古車掲載'!N586&gt;=20000,'中古車掲載'!O586&lt;=100000,'中古車掲載'!AL586=1),'中古車掲載'!U586,"")</x:f>
      </x:c>
      <x:c r="BA585" s="3" t="str">
        <x:f>IF(AND('中古車掲載'!C586="One2car",'中古車掲載'!F586="Corolla Cross",'中古車掲載'!L586="HEV PREMIUM SAFETY",'中古車掲載'!J586=2023,ISNUMBER('中古車掲載'!N586),'中古車掲載'!N586&gt;=20000,'中古車掲載'!O586&lt;=100000,'中古車掲載'!AL586=1,'中古車掲載'!Z586="https://www.one2car.com/en/cars-for-sale/toyota/corolla-cross/year-2023"),'中古車掲載'!U586,"")</x:f>
      </x:c>
      <x:c r="BB585" s="3" t="str">
        <x:f>IF(AND('中古車掲載'!C586="One2car",'中古車掲載'!F586="ATTO 3",'中古車掲載'!L586="EXTENDED RANGE",'中古車掲載'!J586=2023,ISNUMBER('中古車掲載'!N586),'中古車掲載'!N586&gt;=50000,'中古車掲載'!O586&lt;=100000,'中古車掲載'!AL586=1),'中古車掲載'!U586,"")</x:f>
      </x:c>
      <x:c r="BC585" s="3" t="str">
        <x:f>IF(AND('中古車掲載'!C586="One2car",'中古車掲載'!F586="Corolla Cross",'中古車掲載'!L586="HEV PREMIUM SAFETY",'中古車掲載'!J586=2023,ISNUMBER('中古車掲載'!N586),'中古車掲載'!N586&gt;=50000,'中古車掲載'!O586&lt;=100000,'中古車掲載'!AL586=1,'中古車掲載'!Z586="https://www.one2car.com/en/cars-for-sale/toyota/corolla-cross/year-2023"),'中古車掲載'!U586,"")</x:f>
      </x:c>
      <x:c r="BD585" s="3" t="str">
        <x:f>IF(AND('中古車掲載'!C586="One2car",'中古車掲載'!F586="ATTO 3",'中古車掲載'!L586="EXTENDED RANGE",'中古車掲載'!J586=2023,ISNUMBER('中古車掲載'!N586),'中古車掲載'!N586&gt;=20000,'中古車掲載'!O586&lt;=50000,'中古車掲載'!AL586=1),'中古車掲載'!U586,"")</x:f>
      </x:c>
      <x:c r="BE585" s="3" t="str">
        <x:f>IF(AND('中古車掲載'!C586="One2car",'中古車掲載'!F586="Corolla Cross",'中古車掲載'!L586="HEV PREMIUM SAFETY",'中古車掲載'!J586=2023,ISNUMBER('中古車掲載'!N586),'中古車掲載'!N586&gt;=20000,'中古車掲載'!O586&lt;=50000,'中古車掲載'!AL586=1,'中古車掲載'!Z586="https://www.one2car.com/en/cars-for-sale/toyota/corolla-cross/year-2023"),'中古車掲載'!U586,"")</x:f>
      </x:c>
      <x:c r="BF585" s="3" t="str">
        <x:f>IF(AND('中古車掲載'!C586="One2car",'中古車掲載'!F586="Corolla Cross",'中古車掲載'!L586="HEV PREMIUM",'中古車掲載'!J586=2023,ISNUMBER('中古車掲載'!N586),'中古車掲載'!N586&gt;=20000,'中古車掲載'!O586&lt;=100000,'中古車掲載'!AL586=1,'中古車掲載'!Z586="https://www.one2car.com/en/cars-for-sale/toyota/corolla-cross/year-2023"),'中古車掲載'!U586,"")</x:f>
      </x:c>
      <x:c r="BG585" s="3" t="str">
        <x:f>IF(AND('中古車掲載'!C586="One2car",'中古車掲載'!F586="Corolla Cross",'中古車掲載'!L586="HEV GR SPORT",'中古車掲載'!J586=2023,ISNUMBER('中古車掲載'!N586),'中古車掲載'!N586&gt;=20000,'中古車掲載'!O586&lt;=100000,'中古車掲載'!AL586=1,'中古車掲載'!Z586="https://www.one2car.com/en/cars-for-sale/toyota/corolla-cross/year-2023"),'中古車掲載'!U586,"")</x:f>
      </x:c>
      <x:c r="BH585" s="3" t="str">
        <x:f>IF(AND('中古車掲載'!C586="One2car",'中古車掲載'!F586="DOLPHIN",'中古車掲載'!L586="STANDARD RANGE",'中古車掲載'!J586=2023,ISNUMBER('中古車掲載'!N586),'中古車掲載'!N586&gt;=20000,'中古車掲載'!O586&lt;=100000,'中古車掲載'!AL586=1),'中古車掲載'!U586,"")</x:f>
      </x:c>
      <x:c r="BI585" s="3" t="str">
        <x:v>Taladrod|Fortuner|ICE|Unknown</x:v>
      </x:c>
      <x:c r="BJ585" s="3" t="n">
        <x:v>586</x:v>
      </x:c>
      <x:c r="BK585" s="3" t="n">
        <x:f>'中古車掲載'!AM586</x:f>
        <x:v>899000</x:v>
      </x:c>
      <x:c r="BL585" s="3" t="str">
        <x:f>IF(ISNUMBER('中古車掲載'!AN586),'中古車掲載'!AN586,"")</x:f>
      </x:c>
      <x:c r="BM585" s="3"/>
      <x:c r="BN585" s="3"/>
      <x:c r="BO585" s="3"/>
      <x:c r="BP585" s="3"/>
      <x:c r="BQ585" s="3"/>
      <x:c r="BR585" s="3"/>
    </x:row>
    <x:row r="586" ht="22" customHeight="1">
      <x:c r="A586" s="3" t="str">
        <x:v>Hilux Revo</x:v>
      </x:c>
      <x:c r="B586" s="3" t="str">
        <x:v>ICE</x:v>
      </x:c>
      <x:c r="C586" s="3" t="str">
        <x:v>Taladrod</x:v>
      </x:c>
      <x:c r="D586" s="3" t="str">
        <x:v>Pickup</x:v>
      </x:c>
      <x:c r="E586" s="3" t="str">
        <x:v>Smart cab</x:v>
      </x:c>
      <x:c r="F586" s="3" t="n">
        <x:v>2020</x:v>
      </x:c>
      <x:c r="G586" s="3" t="str">
        <x:v>2.4 J PLUS Z EDITION SMART CAB</x:v>
      </x:c>
      <x:c r="H586" s="3" t="str">
        <x:v>未掲載</x:v>
      </x:c>
      <x:c r="I586" s="3" t="str">
        <x:v>世代不明</x:v>
      </x:c>
      <x:c r="J586" s="22" t="n">
        <x:f>COUNT('中古車掲載'!AM669:AM671)</x:f>
        <x:v>3</x:v>
      </x:c>
      <x:c r="K586" s="22" t="n">
        <x:f>IF(COUNT('中古車掲載'!AM669:AM671)=0,"",QUARTILE('中古車掲載'!AM669:AM671,1))</x:f>
        <x:v>338500</x:v>
      </x:c>
      <x:c r="L586" s="22" t="n">
        <x:f>IF(COUNT('中古車掲載'!AM669:AM671)=0,"",MEDIAN('中古車掲載'!AM669:AM671))</x:f>
        <x:v>349000</x:v>
      </x:c>
      <x:c r="M586" s="22" t="n">
        <x:f>IF(COUNT('中古車掲載'!AM669:AM671)=0,"",QUARTILE('中古車掲載'!AM669:AM671,3))</x:f>
        <x:v>373500</x:v>
      </x:c>
      <x:c r="N586" s="22" t="n">
        <x:f>COUNT('中古車掲載'!AN669:AN671)</x:f>
        <x:v>0</x:v>
      </x:c>
      <x:c r="O586" s="23" t="str">
        <x:f>IF(COUNT('中古車掲載'!AN669:AN671)=0,"",MEDIAN('中古車掲載'!AN669:AN671))</x:f>
      </x:c>
      <x:c r="P586" s="3"/>
      <x:c r="Q586" s="3"/>
      <x:c r="R586" s="3"/>
      <x:c r="S586" s="3"/>
      <x:c r="T586" s="3"/>
      <x:c r="U586" s="3"/>
      <x:c r="V586" s="3"/>
      <x:c r="W586" s="3"/>
      <x:c r="X586" s="3"/>
      <x:c r="Y586" s="3"/>
      <x:c r="Z586" s="3"/>
      <x:c r="AA586" s="3"/>
      <x:c r="AB586" s="3"/>
      <x:c r="AC586" s="3"/>
      <x:c r="AD586" s="3"/>
      <x:c r="AE586" s="3"/>
      <x:c r="AF586" s="3"/>
      <x:c r="AG586" s="3"/>
      <x:c r="AH586" s="3"/>
      <x:c r="AI586" s="3"/>
      <x:c r="AJ586" s="3"/>
      <x:c r="AK586" s="3"/>
      <x:c r="AL586" s="3"/>
      <x:c r="AM586" s="3"/>
      <x:c r="AN586" s="3"/>
      <x:c r="AO586" s="3"/>
      <x:c r="AP586" s="3"/>
      <x:c r="AQ586" s="3"/>
      <x:c r="AR586" s="3"/>
      <x:c r="AS586" s="3"/>
      <x:c r="AT586" s="3"/>
      <x:c r="AU586" s="3"/>
      <x:c r="AV586" s="3"/>
      <x:c r="AW586" s="3"/>
      <x:c r="AX586" s="3"/>
      <x:c r="AY586" s="3"/>
      <x:c r="AZ586" s="3" t="str">
        <x:f>IF(AND('中古車掲載'!C587="One2car",'中古車掲載'!F587="ATTO 3",'中古車掲載'!L587="EXTENDED RANGE",'中古車掲載'!J587=2023,ISNUMBER('中古車掲載'!N587),'中古車掲載'!N587&gt;=20000,'中古車掲載'!O587&lt;=100000,'中古車掲載'!AL587=1),'中古車掲載'!U587,"")</x:f>
      </x:c>
      <x:c r="BA586" s="3" t="str">
        <x:f>IF(AND('中古車掲載'!C587="One2car",'中古車掲載'!F587="Corolla Cross",'中古車掲載'!L587="HEV PREMIUM SAFETY",'中古車掲載'!J587=2023,ISNUMBER('中古車掲載'!N587),'中古車掲載'!N587&gt;=20000,'中古車掲載'!O587&lt;=100000,'中古車掲載'!AL587=1,'中古車掲載'!Z587="https://www.one2car.com/en/cars-for-sale/toyota/corolla-cross/year-2023"),'中古車掲載'!U587,"")</x:f>
      </x:c>
      <x:c r="BB586" s="3" t="str">
        <x:f>IF(AND('中古車掲載'!C587="One2car",'中古車掲載'!F587="ATTO 3",'中古車掲載'!L587="EXTENDED RANGE",'中古車掲載'!J587=2023,ISNUMBER('中古車掲載'!N587),'中古車掲載'!N587&gt;=50000,'中古車掲載'!O587&lt;=100000,'中古車掲載'!AL587=1),'中古車掲載'!U587,"")</x:f>
      </x:c>
      <x:c r="BC586" s="3" t="str">
        <x:f>IF(AND('中古車掲載'!C587="One2car",'中古車掲載'!F587="Corolla Cross",'中古車掲載'!L587="HEV PREMIUM SAFETY",'中古車掲載'!J587=2023,ISNUMBER('中古車掲載'!N587),'中古車掲載'!N587&gt;=50000,'中古車掲載'!O587&lt;=100000,'中古車掲載'!AL587=1,'中古車掲載'!Z587="https://www.one2car.com/en/cars-for-sale/toyota/corolla-cross/year-2023"),'中古車掲載'!U587,"")</x:f>
      </x:c>
      <x:c r="BD586" s="3" t="str">
        <x:f>IF(AND('中古車掲載'!C587="One2car",'中古車掲載'!F587="ATTO 3",'中古車掲載'!L587="EXTENDED RANGE",'中古車掲載'!J587=2023,ISNUMBER('中古車掲載'!N587),'中古車掲載'!N587&gt;=20000,'中古車掲載'!O587&lt;=50000,'中古車掲載'!AL587=1),'中古車掲載'!U587,"")</x:f>
      </x:c>
      <x:c r="BE586" s="3" t="str">
        <x:f>IF(AND('中古車掲載'!C587="One2car",'中古車掲載'!F587="Corolla Cross",'中古車掲載'!L587="HEV PREMIUM SAFETY",'中古車掲載'!J587=2023,ISNUMBER('中古車掲載'!N587),'中古車掲載'!N587&gt;=20000,'中古車掲載'!O587&lt;=50000,'中古車掲載'!AL587=1,'中古車掲載'!Z587="https://www.one2car.com/en/cars-for-sale/toyota/corolla-cross/year-2023"),'中古車掲載'!U587,"")</x:f>
      </x:c>
      <x:c r="BF586" s="3" t="str">
        <x:f>IF(AND('中古車掲載'!C587="One2car",'中古車掲載'!F587="Corolla Cross",'中古車掲載'!L587="HEV PREMIUM",'中古車掲載'!J587=2023,ISNUMBER('中古車掲載'!N587),'中古車掲載'!N587&gt;=20000,'中古車掲載'!O587&lt;=100000,'中古車掲載'!AL587=1,'中古車掲載'!Z587="https://www.one2car.com/en/cars-for-sale/toyota/corolla-cross/year-2023"),'中古車掲載'!U587,"")</x:f>
      </x:c>
      <x:c r="BG586" s="3" t="str">
        <x:f>IF(AND('中古車掲載'!C587="One2car",'中古車掲載'!F587="Corolla Cross",'中古車掲載'!L587="HEV GR SPORT",'中古車掲載'!J587=2023,ISNUMBER('中古車掲載'!N587),'中古車掲載'!N587&gt;=20000,'中古車掲載'!O587&lt;=100000,'中古車掲載'!AL587=1,'中古車掲載'!Z587="https://www.one2car.com/en/cars-for-sale/toyota/corolla-cross/year-2023"),'中古車掲載'!U587,"")</x:f>
      </x:c>
      <x:c r="BH586" s="3" t="str">
        <x:f>IF(AND('中古車掲載'!C587="One2car",'中古車掲載'!F587="DOLPHIN",'中古車掲載'!L587="STANDARD RANGE",'中古車掲載'!J587=2023,ISNUMBER('中古車掲載'!N587),'中古車掲載'!N587&gt;=20000,'中古車掲載'!O587&lt;=100000,'中古車掲載'!AL587=1),'中古車掲載'!U587,"")</x:f>
      </x:c>
      <x:c r="BI586" s="3" t="str">
        <x:v>Taladrod|Fortuner|ICE|Unknown</x:v>
      </x:c>
      <x:c r="BJ586" s="3" t="n">
        <x:v>587</x:v>
      </x:c>
      <x:c r="BK586" s="3" t="n">
        <x:f>'中古車掲載'!AM587</x:f>
        <x:v>809000</x:v>
      </x:c>
      <x:c r="BL586" s="3" t="str">
        <x:f>IF(ISNUMBER('中古車掲載'!AN587),'中古車掲載'!AN587,"")</x:f>
      </x:c>
      <x:c r="BM586" s="3"/>
      <x:c r="BN586" s="3"/>
      <x:c r="BO586" s="3"/>
      <x:c r="BP586" s="3"/>
      <x:c r="BQ586" s="3"/>
      <x:c r="BR586" s="3"/>
    </x:row>
    <x:row r="587" ht="22" customHeight="1">
      <x:c r="A587" s="3" t="str">
        <x:v>Hilux Revo</x:v>
      </x:c>
      <x:c r="B587" s="3" t="str">
        <x:v>ICE</x:v>
      </x:c>
      <x:c r="C587" s="3" t="str">
        <x:v>Taladrod</x:v>
      </x:c>
      <x:c r="D587" s="3" t="str">
        <x:v>Pickup</x:v>
      </x:c>
      <x:c r="E587" s="3" t="str">
        <x:v>Smart cab</x:v>
      </x:c>
      <x:c r="F587" s="3" t="n">
        <x:v>2020</x:v>
      </x:c>
      <x:c r="G587" s="3" t="str">
        <x:v>2.4 MID PRERUNNER SMART CAB</x:v>
      </x:c>
      <x:c r="H587" s="3" t="str">
        <x:v>未掲載</x:v>
      </x:c>
      <x:c r="I587" s="3" t="str">
        <x:v>世代不明</x:v>
      </x:c>
      <x:c r="J587" s="22" t="n">
        <x:f>COUNT('中古車掲載'!AM675:AM675)</x:f>
        <x:v>1</x:v>
      </x:c>
      <x:c r="K587" s="22" t="n">
        <x:f>IF(COUNT('中古車掲載'!AM675:AM675)=0,"",QUARTILE('中古車掲載'!AM675:AM675,1))</x:f>
        <x:v>499000</x:v>
      </x:c>
      <x:c r="L587" s="22" t="n">
        <x:f>IF(COUNT('中古車掲載'!AM675:AM675)=0,"",MEDIAN('中古車掲載'!AM675:AM675))</x:f>
        <x:v>499000</x:v>
      </x:c>
      <x:c r="M587" s="22" t="n">
        <x:f>IF(COUNT('中古車掲載'!AM675:AM675)=0,"",QUARTILE('中古車掲載'!AM675:AM675,3))</x:f>
        <x:v>499000</x:v>
      </x:c>
      <x:c r="N587" s="22" t="n">
        <x:f>COUNT('中古車掲載'!AN675:AN675)</x:f>
        <x:v>0</x:v>
      </x:c>
      <x:c r="O587" s="23" t="str">
        <x:f>IF(COUNT('中古車掲載'!AN675:AN675)=0,"",MEDIAN('中古車掲載'!AN675:AN675))</x:f>
      </x:c>
      <x:c r="P587" s="3"/>
      <x:c r="Q587" s="3"/>
      <x:c r="R587" s="3"/>
      <x:c r="S587" s="3"/>
      <x:c r="T587" s="3"/>
      <x:c r="U587" s="3"/>
      <x:c r="V587" s="3"/>
      <x:c r="W587" s="3"/>
      <x:c r="X587" s="3"/>
      <x:c r="Y587" s="3"/>
      <x:c r="Z587" s="3"/>
      <x:c r="AA587" s="3"/>
      <x:c r="AB587" s="3"/>
      <x:c r="AC587" s="3"/>
      <x:c r="AD587" s="3"/>
      <x:c r="AE587" s="3"/>
      <x:c r="AF587" s="3"/>
      <x:c r="AG587" s="3"/>
      <x:c r="AH587" s="3"/>
      <x:c r="AI587" s="3"/>
      <x:c r="AJ587" s="3"/>
      <x:c r="AK587" s="3"/>
      <x:c r="AL587" s="3"/>
      <x:c r="AM587" s="3"/>
      <x:c r="AN587" s="3"/>
      <x:c r="AO587" s="3"/>
      <x:c r="AP587" s="3"/>
      <x:c r="AQ587" s="3"/>
      <x:c r="AR587" s="3"/>
      <x:c r="AS587" s="3"/>
      <x:c r="AT587" s="3"/>
      <x:c r="AU587" s="3"/>
      <x:c r="AV587" s="3"/>
      <x:c r="AW587" s="3"/>
      <x:c r="AX587" s="3"/>
      <x:c r="AY587" s="3"/>
      <x:c r="AZ587" s="3" t="str">
        <x:f>IF(AND('中古車掲載'!C588="One2car",'中古車掲載'!F588="ATTO 3",'中古車掲載'!L588="EXTENDED RANGE",'中古車掲載'!J588=2023,ISNUMBER('中古車掲載'!N588),'中古車掲載'!N588&gt;=20000,'中古車掲載'!O588&lt;=100000,'中古車掲載'!AL588=1),'中古車掲載'!U588,"")</x:f>
      </x:c>
      <x:c r="BA587" s="3" t="str">
        <x:f>IF(AND('中古車掲載'!C588="One2car",'中古車掲載'!F588="Corolla Cross",'中古車掲載'!L588="HEV PREMIUM SAFETY",'中古車掲載'!J588=2023,ISNUMBER('中古車掲載'!N588),'中古車掲載'!N588&gt;=20000,'中古車掲載'!O588&lt;=100000,'中古車掲載'!AL588=1,'中古車掲載'!Z588="https://www.one2car.com/en/cars-for-sale/toyota/corolla-cross/year-2023"),'中古車掲載'!U588,"")</x:f>
      </x:c>
      <x:c r="BB587" s="3" t="str">
        <x:f>IF(AND('中古車掲載'!C588="One2car",'中古車掲載'!F588="ATTO 3",'中古車掲載'!L588="EXTENDED RANGE",'中古車掲載'!J588=2023,ISNUMBER('中古車掲載'!N588),'中古車掲載'!N588&gt;=50000,'中古車掲載'!O588&lt;=100000,'中古車掲載'!AL588=1),'中古車掲載'!U588,"")</x:f>
      </x:c>
      <x:c r="BC587" s="3" t="str">
        <x:f>IF(AND('中古車掲載'!C588="One2car",'中古車掲載'!F588="Corolla Cross",'中古車掲載'!L588="HEV PREMIUM SAFETY",'中古車掲載'!J588=2023,ISNUMBER('中古車掲載'!N588),'中古車掲載'!N588&gt;=50000,'中古車掲載'!O588&lt;=100000,'中古車掲載'!AL588=1,'中古車掲載'!Z588="https://www.one2car.com/en/cars-for-sale/toyota/corolla-cross/year-2023"),'中古車掲載'!U588,"")</x:f>
      </x:c>
      <x:c r="BD587" s="3" t="str">
        <x:f>IF(AND('中古車掲載'!C588="One2car",'中古車掲載'!F588="ATTO 3",'中古車掲載'!L588="EXTENDED RANGE",'中古車掲載'!J588=2023,ISNUMBER('中古車掲載'!N588),'中古車掲載'!N588&gt;=20000,'中古車掲載'!O588&lt;=50000,'中古車掲載'!AL588=1),'中古車掲載'!U588,"")</x:f>
      </x:c>
      <x:c r="BE587" s="3" t="str">
        <x:f>IF(AND('中古車掲載'!C588="One2car",'中古車掲載'!F588="Corolla Cross",'中古車掲載'!L588="HEV PREMIUM SAFETY",'中古車掲載'!J588=2023,ISNUMBER('中古車掲載'!N588),'中古車掲載'!N588&gt;=20000,'中古車掲載'!O588&lt;=50000,'中古車掲載'!AL588=1,'中古車掲載'!Z588="https://www.one2car.com/en/cars-for-sale/toyota/corolla-cross/year-2023"),'中古車掲載'!U588,"")</x:f>
      </x:c>
      <x:c r="BF587" s="3" t="str">
        <x:f>IF(AND('中古車掲載'!C588="One2car",'中古車掲載'!F588="Corolla Cross",'中古車掲載'!L588="HEV PREMIUM",'中古車掲載'!J588=2023,ISNUMBER('中古車掲載'!N588),'中古車掲載'!N588&gt;=20000,'中古車掲載'!O588&lt;=100000,'中古車掲載'!AL588=1,'中古車掲載'!Z588="https://www.one2car.com/en/cars-for-sale/toyota/corolla-cross/year-2023"),'中古車掲載'!U588,"")</x:f>
      </x:c>
      <x:c r="BG587" s="3" t="str">
        <x:f>IF(AND('中古車掲載'!C588="One2car",'中古車掲載'!F588="Corolla Cross",'中古車掲載'!L588="HEV GR SPORT",'中古車掲載'!J588=2023,ISNUMBER('中古車掲載'!N588),'中古車掲載'!N588&gt;=20000,'中古車掲載'!O588&lt;=100000,'中古車掲載'!AL588=1,'中古車掲載'!Z588="https://www.one2car.com/en/cars-for-sale/toyota/corolla-cross/year-2023"),'中古車掲載'!U588,"")</x:f>
      </x:c>
      <x:c r="BH587" s="3" t="str">
        <x:f>IF(AND('中古車掲載'!C588="One2car",'中古車掲載'!F588="DOLPHIN",'中古車掲載'!L588="STANDARD RANGE",'中古車掲載'!J588=2023,ISNUMBER('中古車掲載'!N588),'中古車掲載'!N588&gt;=20000,'中古車掲載'!O588&lt;=100000,'中古車掲載'!AL588=1),'中古車掲載'!U588,"")</x:f>
      </x:c>
      <x:c r="BI587" s="3" t="str">
        <x:v>Taladrod|Fortuner|ICE|Unknown</x:v>
      </x:c>
      <x:c r="BJ587" s="3" t="n">
        <x:v>588</x:v>
      </x:c>
      <x:c r="BK587" s="3" t="n">
        <x:f>'中古車掲載'!AM588</x:f>
        <x:v>809000</x:v>
      </x:c>
      <x:c r="BL587" s="3" t="str">
        <x:f>IF(ISNUMBER('中古車掲載'!AN588),'中古車掲載'!AN588,"")</x:f>
      </x:c>
      <x:c r="BM587" s="3"/>
      <x:c r="BN587" s="3"/>
      <x:c r="BO587" s="3"/>
      <x:c r="BP587" s="3"/>
      <x:c r="BQ587" s="3"/>
      <x:c r="BR587" s="3"/>
    </x:row>
    <x:row r="588" ht="22" customHeight="1">
      <x:c r="A588" s="3" t="str">
        <x:v>Hilux Revo</x:v>
      </x:c>
      <x:c r="B588" s="3" t="str">
        <x:v>ICE</x:v>
      </x:c>
      <x:c r="C588" s="3" t="str">
        <x:v>Taladrod</x:v>
      </x:c>
      <x:c r="D588" s="3" t="str">
        <x:v>Pickup</x:v>
      </x:c>
      <x:c r="E588" s="3" t="str">
        <x:v>Smart cab</x:v>
      </x:c>
      <x:c r="F588" s="3" t="n">
        <x:v>2020</x:v>
      </x:c>
      <x:c r="G588" s="3" t="str">
        <x:v>2.4 MID Z EDITION SMART CAB</x:v>
      </x:c>
      <x:c r="H588" s="3" t="str">
        <x:v>未掲載</x:v>
      </x:c>
      <x:c r="I588" s="3" t="str">
        <x:v>世代不明</x:v>
      </x:c>
      <x:c r="J588" s="22" t="n">
        <x:f>COUNT('中古車掲載'!AM684:AM690)</x:f>
        <x:v>7</x:v>
      </x:c>
      <x:c r="K588" s="22" t="n">
        <x:f>IF(COUNT('中古車掲載'!AM684:AM690)=0,"",QUARTILE('中古車掲載'!AM684:AM690,1))</x:f>
        <x:v>374000</x:v>
      </x:c>
      <x:c r="L588" s="22" t="n">
        <x:f>IF(COUNT('中古車掲載'!AM684:AM690)=0,"",MEDIAN('中古車掲載'!AM684:AM690))</x:f>
        <x:v>379000</x:v>
      </x:c>
      <x:c r="M588" s="22" t="n">
        <x:f>IF(COUNT('中古車掲載'!AM684:AM690)=0,"",QUARTILE('中古車掲載'!AM684:AM690,3))</x:f>
        <x:v>389000</x:v>
      </x:c>
      <x:c r="N588" s="22" t="n">
        <x:f>COUNT('中古車掲載'!AN684:AN690)</x:f>
        <x:v>0</x:v>
      </x:c>
      <x:c r="O588" s="23" t="str">
        <x:f>IF(COUNT('中古車掲載'!AN684:AN690)=0,"",MEDIAN('中古車掲載'!AN684:AN690))</x:f>
      </x:c>
      <x:c r="P588" s="3"/>
      <x:c r="Q588" s="3"/>
      <x:c r="R588" s="3"/>
      <x:c r="S588" s="3"/>
      <x:c r="T588" s="3"/>
      <x:c r="U588" s="3"/>
      <x:c r="V588" s="3"/>
      <x:c r="W588" s="3"/>
      <x:c r="X588" s="3"/>
      <x:c r="Y588" s="3"/>
      <x:c r="Z588" s="3"/>
      <x:c r="AA588" s="3"/>
      <x:c r="AB588" s="3"/>
      <x:c r="AC588" s="3"/>
      <x:c r="AD588" s="3"/>
      <x:c r="AE588" s="3"/>
      <x:c r="AF588" s="3"/>
      <x:c r="AG588" s="3"/>
      <x:c r="AH588" s="3"/>
      <x:c r="AI588" s="3"/>
      <x:c r="AJ588" s="3"/>
      <x:c r="AK588" s="3"/>
      <x:c r="AL588" s="3"/>
      <x:c r="AM588" s="3"/>
      <x:c r="AN588" s="3"/>
      <x:c r="AO588" s="3"/>
      <x:c r="AP588" s="3"/>
      <x:c r="AQ588" s="3"/>
      <x:c r="AR588" s="3"/>
      <x:c r="AS588" s="3"/>
      <x:c r="AT588" s="3"/>
      <x:c r="AU588" s="3"/>
      <x:c r="AV588" s="3"/>
      <x:c r="AW588" s="3"/>
      <x:c r="AX588" s="3"/>
      <x:c r="AY588" s="3"/>
      <x:c r="AZ588" s="3" t="str">
        <x:f>IF(AND('中古車掲載'!C589="One2car",'中古車掲載'!F589="ATTO 3",'中古車掲載'!L589="EXTENDED RANGE",'中古車掲載'!J589=2023,ISNUMBER('中古車掲載'!N589),'中古車掲載'!N589&gt;=20000,'中古車掲載'!O589&lt;=100000,'中古車掲載'!AL589=1),'中古車掲載'!U589,"")</x:f>
      </x:c>
      <x:c r="BA588" s="3" t="str">
        <x:f>IF(AND('中古車掲載'!C589="One2car",'中古車掲載'!F589="Corolla Cross",'中古車掲載'!L589="HEV PREMIUM SAFETY",'中古車掲載'!J589=2023,ISNUMBER('中古車掲載'!N589),'中古車掲載'!N589&gt;=20000,'中古車掲載'!O589&lt;=100000,'中古車掲載'!AL589=1,'中古車掲載'!Z589="https://www.one2car.com/en/cars-for-sale/toyota/corolla-cross/year-2023"),'中古車掲載'!U589,"")</x:f>
      </x:c>
      <x:c r="BB588" s="3" t="str">
        <x:f>IF(AND('中古車掲載'!C589="One2car",'中古車掲載'!F589="ATTO 3",'中古車掲載'!L589="EXTENDED RANGE",'中古車掲載'!J589=2023,ISNUMBER('中古車掲載'!N589),'中古車掲載'!N589&gt;=50000,'中古車掲載'!O589&lt;=100000,'中古車掲載'!AL589=1),'中古車掲載'!U589,"")</x:f>
      </x:c>
      <x:c r="BC588" s="3" t="str">
        <x:f>IF(AND('中古車掲載'!C589="One2car",'中古車掲載'!F589="Corolla Cross",'中古車掲載'!L589="HEV PREMIUM SAFETY",'中古車掲載'!J589=2023,ISNUMBER('中古車掲載'!N589),'中古車掲載'!N589&gt;=50000,'中古車掲載'!O589&lt;=100000,'中古車掲載'!AL589=1,'中古車掲載'!Z589="https://www.one2car.com/en/cars-for-sale/toyota/corolla-cross/year-2023"),'中古車掲載'!U589,"")</x:f>
      </x:c>
      <x:c r="BD588" s="3" t="str">
        <x:f>IF(AND('中古車掲載'!C589="One2car",'中古車掲載'!F589="ATTO 3",'中古車掲載'!L589="EXTENDED RANGE",'中古車掲載'!J589=2023,ISNUMBER('中古車掲載'!N589),'中古車掲載'!N589&gt;=20000,'中古車掲載'!O589&lt;=50000,'中古車掲載'!AL589=1),'中古車掲載'!U589,"")</x:f>
      </x:c>
      <x:c r="BE588" s="3" t="str">
        <x:f>IF(AND('中古車掲載'!C589="One2car",'中古車掲載'!F589="Corolla Cross",'中古車掲載'!L589="HEV PREMIUM SAFETY",'中古車掲載'!J589=2023,ISNUMBER('中古車掲載'!N589),'中古車掲載'!N589&gt;=20000,'中古車掲載'!O589&lt;=50000,'中古車掲載'!AL589=1,'中古車掲載'!Z589="https://www.one2car.com/en/cars-for-sale/toyota/corolla-cross/year-2023"),'中古車掲載'!U589,"")</x:f>
      </x:c>
      <x:c r="BF588" s="3" t="str">
        <x:f>IF(AND('中古車掲載'!C589="One2car",'中古車掲載'!F589="Corolla Cross",'中古車掲載'!L589="HEV PREMIUM",'中古車掲載'!J589=2023,ISNUMBER('中古車掲載'!N589),'中古車掲載'!N589&gt;=20000,'中古車掲載'!O589&lt;=100000,'中古車掲載'!AL589=1,'中古車掲載'!Z589="https://www.one2car.com/en/cars-for-sale/toyota/corolla-cross/year-2023"),'中古車掲載'!U589,"")</x:f>
      </x:c>
      <x:c r="BG588" s="3" t="str">
        <x:f>IF(AND('中古車掲載'!C589="One2car",'中古車掲載'!F589="Corolla Cross",'中古車掲載'!L589="HEV GR SPORT",'中古車掲載'!J589=2023,ISNUMBER('中古車掲載'!N589),'中古車掲載'!N589&gt;=20000,'中古車掲載'!O589&lt;=100000,'中古車掲載'!AL589=1,'中古車掲載'!Z589="https://www.one2car.com/en/cars-for-sale/toyota/corolla-cross/year-2023"),'中古車掲載'!U589,"")</x:f>
      </x:c>
      <x:c r="BH588" s="3" t="str">
        <x:f>IF(AND('中古車掲載'!C589="One2car",'中古車掲載'!F589="DOLPHIN",'中古車掲載'!L589="STANDARD RANGE",'中古車掲載'!J589=2023,ISNUMBER('中古車掲載'!N589),'中古車掲載'!N589&gt;=20000,'中古車掲載'!O589&lt;=100000,'中古車掲載'!AL589=1),'中古車掲載'!U589,"")</x:f>
      </x:c>
      <x:c r="BI588" s="3" t="str">
        <x:v>Taladrod|Fortuner|ICE|Unknown</x:v>
      </x:c>
      <x:c r="BJ588" s="3" t="n">
        <x:v>589</x:v>
      </x:c>
      <x:c r="BK588" s="3" t="n">
        <x:f>'中古車掲載'!AM589</x:f>
        <x:v>839000</x:v>
      </x:c>
      <x:c r="BL588" s="3" t="str">
        <x:f>IF(ISNUMBER('中古車掲載'!AN589),'中古車掲載'!AN589,"")</x:f>
      </x:c>
      <x:c r="BM588" s="3"/>
      <x:c r="BN588" s="3"/>
      <x:c r="BO588" s="3"/>
      <x:c r="BP588" s="3"/>
      <x:c r="BQ588" s="3"/>
      <x:c r="BR588" s="3"/>
    </x:row>
    <x:row r="589" ht="22" customHeight="1">
      <x:c r="A589" s="3" t="str">
        <x:v>Hilux Revo</x:v>
      </x:c>
      <x:c r="B589" s="3" t="str">
        <x:v>ICE</x:v>
      </x:c>
      <x:c r="C589" s="3" t="str">
        <x:v>Taladrod</x:v>
      </x:c>
      <x:c r="D589" s="3" t="str">
        <x:v>Pickup</x:v>
      </x:c>
      <x:c r="E589" s="3" t="str">
        <x:v>Smart cab</x:v>
      </x:c>
      <x:c r="F589" s="3" t="n">
        <x:v>2020</x:v>
      </x:c>
      <x:c r="G589" s="3" t="str">
        <x:v>2.4 PRERUNNER SMART CAB</x:v>
      </x:c>
      <x:c r="H589" s="3" t="str">
        <x:v>未掲載</x:v>
      </x:c>
      <x:c r="I589" s="3" t="str">
        <x:v>世代不明</x:v>
      </x:c>
      <x:c r="J589" s="22" t="n">
        <x:f>COUNT('中古車掲載'!AM696:AM698)</x:f>
        <x:v>3</x:v>
      </x:c>
      <x:c r="K589" s="22" t="n">
        <x:f>IF(COUNT('中古車掲載'!AM696:AM698)=0,"",QUARTILE('中古車掲載'!AM696:AM698,1))</x:f>
        <x:v>501500</x:v>
      </x:c>
      <x:c r="L589" s="22" t="n">
        <x:f>IF(COUNT('中古車掲載'!AM696:AM698)=0,"",MEDIAN('中古車掲載'!AM696:AM698))</x:f>
        <x:v>514000</x:v>
      </x:c>
      <x:c r="M589" s="22" t="n">
        <x:f>IF(COUNT('中古車掲載'!AM696:AM698)=0,"",QUARTILE('中古車掲載'!AM696:AM698,3))</x:f>
        <x:v>551500</x:v>
      </x:c>
      <x:c r="N589" s="22" t="n">
        <x:f>COUNT('中古車掲載'!AN696:AN698)</x:f>
        <x:v>0</x:v>
      </x:c>
      <x:c r="O589" s="23" t="str">
        <x:f>IF(COUNT('中古車掲載'!AN696:AN698)=0,"",MEDIAN('中古車掲載'!AN696:AN698))</x:f>
      </x:c>
      <x:c r="P589" s="3"/>
      <x:c r="Q589" s="3"/>
      <x:c r="R589" s="3"/>
      <x:c r="S589" s="3"/>
      <x:c r="T589" s="3"/>
      <x:c r="U589" s="3"/>
      <x:c r="V589" s="3"/>
      <x:c r="W589" s="3"/>
      <x:c r="X589" s="3"/>
      <x:c r="Y589" s="3"/>
      <x:c r="Z589" s="3"/>
      <x:c r="AA589" s="3"/>
      <x:c r="AB589" s="3"/>
      <x:c r="AC589" s="3"/>
      <x:c r="AD589" s="3"/>
      <x:c r="AE589" s="3"/>
      <x:c r="AF589" s="3"/>
      <x:c r="AG589" s="3"/>
      <x:c r="AH589" s="3"/>
      <x:c r="AI589" s="3"/>
      <x:c r="AJ589" s="3"/>
      <x:c r="AK589" s="3"/>
      <x:c r="AL589" s="3"/>
      <x:c r="AM589" s="3"/>
      <x:c r="AN589" s="3"/>
      <x:c r="AO589" s="3"/>
      <x:c r="AP589" s="3"/>
      <x:c r="AQ589" s="3"/>
      <x:c r="AR589" s="3"/>
      <x:c r="AS589" s="3"/>
      <x:c r="AT589" s="3"/>
      <x:c r="AU589" s="3"/>
      <x:c r="AV589" s="3"/>
      <x:c r="AW589" s="3"/>
      <x:c r="AX589" s="3"/>
      <x:c r="AY589" s="3"/>
      <x:c r="AZ589" s="3" t="str">
        <x:f>IF(AND('中古車掲載'!C590="One2car",'中古車掲載'!F590="ATTO 3",'中古車掲載'!L590="EXTENDED RANGE",'中古車掲載'!J590=2023,ISNUMBER('中古車掲載'!N590),'中古車掲載'!N590&gt;=20000,'中古車掲載'!O590&lt;=100000,'中古車掲載'!AL590=1),'中古車掲載'!U590,"")</x:f>
      </x:c>
      <x:c r="BA589" s="3" t="str">
        <x:f>IF(AND('中古車掲載'!C590="One2car",'中古車掲載'!F590="Corolla Cross",'中古車掲載'!L590="HEV PREMIUM SAFETY",'中古車掲載'!J590=2023,ISNUMBER('中古車掲載'!N590),'中古車掲載'!N590&gt;=20000,'中古車掲載'!O590&lt;=100000,'中古車掲載'!AL590=1,'中古車掲載'!Z590="https://www.one2car.com/en/cars-for-sale/toyota/corolla-cross/year-2023"),'中古車掲載'!U590,"")</x:f>
      </x:c>
      <x:c r="BB589" s="3" t="str">
        <x:f>IF(AND('中古車掲載'!C590="One2car",'中古車掲載'!F590="ATTO 3",'中古車掲載'!L590="EXTENDED RANGE",'中古車掲載'!J590=2023,ISNUMBER('中古車掲載'!N590),'中古車掲載'!N590&gt;=50000,'中古車掲載'!O590&lt;=100000,'中古車掲載'!AL590=1),'中古車掲載'!U590,"")</x:f>
      </x:c>
      <x:c r="BC589" s="3" t="str">
        <x:f>IF(AND('中古車掲載'!C590="One2car",'中古車掲載'!F590="Corolla Cross",'中古車掲載'!L590="HEV PREMIUM SAFETY",'中古車掲載'!J590=2023,ISNUMBER('中古車掲載'!N590),'中古車掲載'!N590&gt;=50000,'中古車掲載'!O590&lt;=100000,'中古車掲載'!AL590=1,'中古車掲載'!Z590="https://www.one2car.com/en/cars-for-sale/toyota/corolla-cross/year-2023"),'中古車掲載'!U590,"")</x:f>
      </x:c>
      <x:c r="BD589" s="3" t="str">
        <x:f>IF(AND('中古車掲載'!C590="One2car",'中古車掲載'!F590="ATTO 3",'中古車掲載'!L590="EXTENDED RANGE",'中古車掲載'!J590=2023,ISNUMBER('中古車掲載'!N590),'中古車掲載'!N590&gt;=20000,'中古車掲載'!O590&lt;=50000,'中古車掲載'!AL590=1),'中古車掲載'!U590,"")</x:f>
      </x:c>
      <x:c r="BE589" s="3" t="str">
        <x:f>IF(AND('中古車掲載'!C590="One2car",'中古車掲載'!F590="Corolla Cross",'中古車掲載'!L590="HEV PREMIUM SAFETY",'中古車掲載'!J590=2023,ISNUMBER('中古車掲載'!N590),'中古車掲載'!N590&gt;=20000,'中古車掲載'!O590&lt;=50000,'中古車掲載'!AL590=1,'中古車掲載'!Z590="https://www.one2car.com/en/cars-for-sale/toyota/corolla-cross/year-2023"),'中古車掲載'!U590,"")</x:f>
      </x:c>
      <x:c r="BF589" s="3" t="str">
        <x:f>IF(AND('中古車掲載'!C590="One2car",'中古車掲載'!F590="Corolla Cross",'中古車掲載'!L590="HEV PREMIUM",'中古車掲載'!J590=2023,ISNUMBER('中古車掲載'!N590),'中古車掲載'!N590&gt;=20000,'中古車掲載'!O590&lt;=100000,'中古車掲載'!AL590=1,'中古車掲載'!Z590="https://www.one2car.com/en/cars-for-sale/toyota/corolla-cross/year-2023"),'中古車掲載'!U590,"")</x:f>
      </x:c>
      <x:c r="BG589" s="3" t="str">
        <x:f>IF(AND('中古車掲載'!C590="One2car",'中古車掲載'!F590="Corolla Cross",'中古車掲載'!L590="HEV GR SPORT",'中古車掲載'!J590=2023,ISNUMBER('中古車掲載'!N590),'中古車掲載'!N590&gt;=20000,'中古車掲載'!O590&lt;=100000,'中古車掲載'!AL590=1,'中古車掲載'!Z590="https://www.one2car.com/en/cars-for-sale/toyota/corolla-cross/year-2023"),'中古車掲載'!U590,"")</x:f>
      </x:c>
      <x:c r="BH589" s="3" t="str">
        <x:f>IF(AND('中古車掲載'!C590="One2car",'中古車掲載'!F590="DOLPHIN",'中古車掲載'!L590="STANDARD RANGE",'中古車掲載'!J590=2023,ISNUMBER('中古車掲載'!N590),'中古車掲載'!N590&gt;=20000,'中古車掲載'!O590&lt;=100000,'中古車掲載'!AL590=1),'中古車掲載'!U590,"")</x:f>
      </x:c>
      <x:c r="BI589" s="3" t="str">
        <x:v>Taladrod|Fortuner|ICE|Unknown</x:v>
      </x:c>
      <x:c r="BJ589" s="3" t="n">
        <x:v>590</x:v>
      </x:c>
      <x:c r="BK589" s="3" t="n">
        <x:f>'中古車掲載'!AM590</x:f>
        <x:v>809000</x:v>
      </x:c>
      <x:c r="BL589" s="3" t="str">
        <x:f>IF(ISNUMBER('中古車掲載'!AN590),'中古車掲載'!AN590,"")</x:f>
      </x:c>
      <x:c r="BM589" s="3"/>
      <x:c r="BN589" s="3"/>
      <x:c r="BO589" s="3"/>
      <x:c r="BP589" s="3"/>
      <x:c r="BQ589" s="3"/>
      <x:c r="BR589" s="3"/>
    </x:row>
    <x:row r="590" ht="22" customHeight="1">
      <x:c r="A590" s="3" t="str">
        <x:v>Hilux Revo</x:v>
      </x:c>
      <x:c r="B590" s="3" t="str">
        <x:v>ICE</x:v>
      </x:c>
      <x:c r="C590" s="3" t="str">
        <x:v>Taladrod</x:v>
      </x:c>
      <x:c r="D590" s="3" t="str">
        <x:v>Pickup</x:v>
      </x:c>
      <x:c r="E590" s="3" t="str">
        <x:v>Smart cab</x:v>
      </x:c>
      <x:c r="F590" s="3" t="n">
        <x:v>2021</x:v>
      </x:c>
      <x:c r="G590" s="3" t="str">
        <x:v>2.4 E Z EDITION SMART CAB</x:v>
      </x:c>
      <x:c r="H590" s="3" t="str">
        <x:v>未掲載</x:v>
      </x:c>
      <x:c r="I590" s="3" t="str">
        <x:v>世代不明</x:v>
      </x:c>
      <x:c r="J590" s="22" t="n">
        <x:f>COUNT('中古車掲載'!AM701:AM701)</x:f>
        <x:v>1</x:v>
      </x:c>
      <x:c r="K590" s="22" t="n">
        <x:f>IF(COUNT('中古車掲載'!AM701:AM701)=0,"",QUARTILE('中古車掲載'!AM701:AM701,1))</x:f>
        <x:v>355000</x:v>
      </x:c>
      <x:c r="L590" s="22" t="n">
        <x:f>IF(COUNT('中古車掲載'!AM701:AM701)=0,"",MEDIAN('中古車掲載'!AM701:AM701))</x:f>
        <x:v>355000</x:v>
      </x:c>
      <x:c r="M590" s="22" t="n">
        <x:f>IF(COUNT('中古車掲載'!AM701:AM701)=0,"",QUARTILE('中古車掲載'!AM701:AM701,3))</x:f>
        <x:v>355000</x:v>
      </x:c>
      <x:c r="N590" s="22" t="n">
        <x:f>COUNT('中古車掲載'!AN701:AN701)</x:f>
        <x:v>0</x:v>
      </x:c>
      <x:c r="O590" s="23" t="str">
        <x:f>IF(COUNT('中古車掲載'!AN701:AN701)=0,"",MEDIAN('中古車掲載'!AN701:AN701))</x:f>
      </x:c>
      <x:c r="P590" s="3"/>
      <x:c r="Q590" s="3"/>
      <x:c r="R590" s="3"/>
      <x:c r="S590" s="3"/>
      <x:c r="T590" s="3"/>
      <x:c r="U590" s="3"/>
      <x:c r="V590" s="3"/>
      <x:c r="W590" s="3"/>
      <x:c r="X590" s="3"/>
      <x:c r="Y590" s="3"/>
      <x:c r="Z590" s="3"/>
      <x:c r="AA590" s="3"/>
      <x:c r="AB590" s="3"/>
      <x:c r="AC590" s="3"/>
      <x:c r="AD590" s="3"/>
      <x:c r="AE590" s="3"/>
      <x:c r="AF590" s="3"/>
      <x:c r="AG590" s="3"/>
      <x:c r="AH590" s="3"/>
      <x:c r="AI590" s="3"/>
      <x:c r="AJ590" s="3"/>
      <x:c r="AK590" s="3"/>
      <x:c r="AL590" s="3"/>
      <x:c r="AM590" s="3"/>
      <x:c r="AN590" s="3"/>
      <x:c r="AO590" s="3"/>
      <x:c r="AP590" s="3"/>
      <x:c r="AQ590" s="3"/>
      <x:c r="AR590" s="3"/>
      <x:c r="AS590" s="3"/>
      <x:c r="AT590" s="3"/>
      <x:c r="AU590" s="3"/>
      <x:c r="AV590" s="3"/>
      <x:c r="AW590" s="3"/>
      <x:c r="AX590" s="3"/>
      <x:c r="AY590" s="3"/>
      <x:c r="AZ590" s="3" t="str">
        <x:f>IF(AND('中古車掲載'!C591="One2car",'中古車掲載'!F591="ATTO 3",'中古車掲載'!L591="EXTENDED RANGE",'中古車掲載'!J591=2023,ISNUMBER('中古車掲載'!N591),'中古車掲載'!N591&gt;=20000,'中古車掲載'!O591&lt;=100000,'中古車掲載'!AL591=1),'中古車掲載'!U591,"")</x:f>
      </x:c>
      <x:c r="BA590" s="3" t="str">
        <x:f>IF(AND('中古車掲載'!C591="One2car",'中古車掲載'!F591="Corolla Cross",'中古車掲載'!L591="HEV PREMIUM SAFETY",'中古車掲載'!J591=2023,ISNUMBER('中古車掲載'!N591),'中古車掲載'!N591&gt;=20000,'中古車掲載'!O591&lt;=100000,'中古車掲載'!AL591=1,'中古車掲載'!Z591="https://www.one2car.com/en/cars-for-sale/toyota/corolla-cross/year-2023"),'中古車掲載'!U591,"")</x:f>
      </x:c>
      <x:c r="BB590" s="3" t="str">
        <x:f>IF(AND('中古車掲載'!C591="One2car",'中古車掲載'!F591="ATTO 3",'中古車掲載'!L591="EXTENDED RANGE",'中古車掲載'!J591=2023,ISNUMBER('中古車掲載'!N591),'中古車掲載'!N591&gt;=50000,'中古車掲載'!O591&lt;=100000,'中古車掲載'!AL591=1),'中古車掲載'!U591,"")</x:f>
      </x:c>
      <x:c r="BC590" s="3" t="str">
        <x:f>IF(AND('中古車掲載'!C591="One2car",'中古車掲載'!F591="Corolla Cross",'中古車掲載'!L591="HEV PREMIUM SAFETY",'中古車掲載'!J591=2023,ISNUMBER('中古車掲載'!N591),'中古車掲載'!N591&gt;=50000,'中古車掲載'!O591&lt;=100000,'中古車掲載'!AL591=1,'中古車掲載'!Z591="https://www.one2car.com/en/cars-for-sale/toyota/corolla-cross/year-2023"),'中古車掲載'!U591,"")</x:f>
      </x:c>
      <x:c r="BD590" s="3" t="str">
        <x:f>IF(AND('中古車掲載'!C591="One2car",'中古車掲載'!F591="ATTO 3",'中古車掲載'!L591="EXTENDED RANGE",'中古車掲載'!J591=2023,ISNUMBER('中古車掲載'!N591),'中古車掲載'!N591&gt;=20000,'中古車掲載'!O591&lt;=50000,'中古車掲載'!AL591=1),'中古車掲載'!U591,"")</x:f>
      </x:c>
      <x:c r="BE590" s="3" t="str">
        <x:f>IF(AND('中古車掲載'!C591="One2car",'中古車掲載'!F591="Corolla Cross",'中古車掲載'!L591="HEV PREMIUM SAFETY",'中古車掲載'!J591=2023,ISNUMBER('中古車掲載'!N591),'中古車掲載'!N591&gt;=20000,'中古車掲載'!O591&lt;=50000,'中古車掲載'!AL591=1,'中古車掲載'!Z591="https://www.one2car.com/en/cars-for-sale/toyota/corolla-cross/year-2023"),'中古車掲載'!U591,"")</x:f>
      </x:c>
      <x:c r="BF590" s="3" t="str">
        <x:f>IF(AND('中古車掲載'!C591="One2car",'中古車掲載'!F591="Corolla Cross",'中古車掲載'!L591="HEV PREMIUM",'中古車掲載'!J591=2023,ISNUMBER('中古車掲載'!N591),'中古車掲載'!N591&gt;=20000,'中古車掲載'!O591&lt;=100000,'中古車掲載'!AL591=1,'中古車掲載'!Z591="https://www.one2car.com/en/cars-for-sale/toyota/corolla-cross/year-2023"),'中古車掲載'!U591,"")</x:f>
      </x:c>
      <x:c r="BG590" s="3" t="str">
        <x:f>IF(AND('中古車掲載'!C591="One2car",'中古車掲載'!F591="Corolla Cross",'中古車掲載'!L591="HEV GR SPORT",'中古車掲載'!J591=2023,ISNUMBER('中古車掲載'!N591),'中古車掲載'!N591&gt;=20000,'中古車掲載'!O591&lt;=100000,'中古車掲載'!AL591=1,'中古車掲載'!Z591="https://www.one2car.com/en/cars-for-sale/toyota/corolla-cross/year-2023"),'中古車掲載'!U591,"")</x:f>
      </x:c>
      <x:c r="BH590" s="3" t="str">
        <x:f>IF(AND('中古車掲載'!C591="One2car",'中古車掲載'!F591="DOLPHIN",'中古車掲載'!L591="STANDARD RANGE",'中古車掲載'!J591=2023,ISNUMBER('中古車掲載'!N591),'中古車掲載'!N591&gt;=20000,'中古車掲載'!O591&lt;=100000,'中古車掲載'!AL591=1),'中古車掲載'!U591,"")</x:f>
      </x:c>
      <x:c r="BI590" s="3" t="str">
        <x:v>Taladrod|Fortuner|ICE|Unknown</x:v>
      </x:c>
      <x:c r="BJ590" s="3" t="n">
        <x:v>591</x:v>
      </x:c>
      <x:c r="BK590" s="3" t="n">
        <x:f>'中古車掲載'!AM591</x:f>
        <x:v>859000</x:v>
      </x:c>
      <x:c r="BL590" s="3" t="str">
        <x:f>IF(ISNUMBER('中古車掲載'!AN591),'中古車掲載'!AN591,"")</x:f>
      </x:c>
      <x:c r="BM590" s="3"/>
      <x:c r="BN590" s="3"/>
      <x:c r="BO590" s="3"/>
      <x:c r="BP590" s="3"/>
      <x:c r="BQ590" s="3"/>
      <x:c r="BR590" s="3"/>
    </x:row>
    <x:row r="591" ht="22" customHeight="1">
      <x:c r="A591" s="3" t="str">
        <x:v>Hilux Revo</x:v>
      </x:c>
      <x:c r="B591" s="3" t="str">
        <x:v>ICE</x:v>
      </x:c>
      <x:c r="C591" s="3" t="str">
        <x:v>Taladrod</x:v>
      </x:c>
      <x:c r="D591" s="3" t="str">
        <x:v>Pickup</x:v>
      </x:c>
      <x:c r="E591" s="3" t="str">
        <x:v>Smart cab</x:v>
      </x:c>
      <x:c r="F591" s="3" t="n">
        <x:v>2021</x:v>
      </x:c>
      <x:c r="G591" s="3" t="str">
        <x:v>2.4 ENTRY PRERUNNER SMART CAB</x:v>
      </x:c>
      <x:c r="H591" s="3" t="str">
        <x:v>未掲載</x:v>
      </x:c>
      <x:c r="I591" s="3" t="str">
        <x:v>世代不明</x:v>
      </x:c>
      <x:c r="J591" s="22" t="n">
        <x:f>COUNT('中古車掲載'!AM710:AM712)</x:f>
        <x:v>3</x:v>
      </x:c>
      <x:c r="K591" s="22" t="n">
        <x:f>IF(COUNT('中古車掲載'!AM710:AM712)=0,"",QUARTILE('中古車掲載'!AM710:AM712,1))</x:f>
        <x:v>468500</x:v>
      </x:c>
      <x:c r="L591" s="22" t="n">
        <x:f>IF(COUNT('中古車掲載'!AM710:AM712)=0,"",MEDIAN('中古車掲載'!AM710:AM712))</x:f>
        <x:v>488000</x:v>
      </x:c>
      <x:c r="M591" s="22" t="n">
        <x:f>IF(COUNT('中古車掲載'!AM710:AM712)=0,"",QUARTILE('中古車掲載'!AM710:AM712,3))</x:f>
        <x:v>521500</x:v>
      </x:c>
      <x:c r="N591" s="22" t="n">
        <x:f>COUNT('中古車掲載'!AN710:AN712)</x:f>
        <x:v>0</x:v>
      </x:c>
      <x:c r="O591" s="23" t="str">
        <x:f>IF(COUNT('中古車掲載'!AN710:AN712)=0,"",MEDIAN('中古車掲載'!AN710:AN712))</x:f>
      </x:c>
      <x:c r="P591" s="3"/>
      <x:c r="Q591" s="3"/>
      <x:c r="R591" s="3"/>
      <x:c r="S591" s="3"/>
      <x:c r="T591" s="3"/>
      <x:c r="U591" s="3"/>
      <x:c r="V591" s="3"/>
      <x:c r="W591" s="3"/>
      <x:c r="X591" s="3"/>
      <x:c r="Y591" s="3"/>
      <x:c r="Z591" s="3"/>
      <x:c r="AA591" s="3"/>
      <x:c r="AB591" s="3"/>
      <x:c r="AC591" s="3"/>
      <x:c r="AD591" s="3"/>
      <x:c r="AE591" s="3"/>
      <x:c r="AF591" s="3"/>
      <x:c r="AG591" s="3"/>
      <x:c r="AH591" s="3"/>
      <x:c r="AI591" s="3"/>
      <x:c r="AJ591" s="3"/>
      <x:c r="AK591" s="3"/>
      <x:c r="AL591" s="3"/>
      <x:c r="AM591" s="3"/>
      <x:c r="AN591" s="3"/>
      <x:c r="AO591" s="3"/>
      <x:c r="AP591" s="3"/>
      <x:c r="AQ591" s="3"/>
      <x:c r="AR591" s="3"/>
      <x:c r="AS591" s="3"/>
      <x:c r="AT591" s="3"/>
      <x:c r="AU591" s="3"/>
      <x:c r="AV591" s="3"/>
      <x:c r="AW591" s="3"/>
      <x:c r="AX591" s="3"/>
      <x:c r="AY591" s="3"/>
      <x:c r="AZ591" s="3" t="str">
        <x:f>IF(AND('中古車掲載'!C592="One2car",'中古車掲載'!F592="ATTO 3",'中古車掲載'!L592="EXTENDED RANGE",'中古車掲載'!J592=2023,ISNUMBER('中古車掲載'!N592),'中古車掲載'!N592&gt;=20000,'中古車掲載'!O592&lt;=100000,'中古車掲載'!AL592=1),'中古車掲載'!U592,"")</x:f>
      </x:c>
      <x:c r="BA591" s="3" t="str">
        <x:f>IF(AND('中古車掲載'!C592="One2car",'中古車掲載'!F592="Corolla Cross",'中古車掲載'!L592="HEV PREMIUM SAFETY",'中古車掲載'!J592=2023,ISNUMBER('中古車掲載'!N592),'中古車掲載'!N592&gt;=20000,'中古車掲載'!O592&lt;=100000,'中古車掲載'!AL592=1,'中古車掲載'!Z592="https://www.one2car.com/en/cars-for-sale/toyota/corolla-cross/year-2023"),'中古車掲載'!U592,"")</x:f>
      </x:c>
      <x:c r="BB591" s="3" t="str">
        <x:f>IF(AND('中古車掲載'!C592="One2car",'中古車掲載'!F592="ATTO 3",'中古車掲載'!L592="EXTENDED RANGE",'中古車掲載'!J592=2023,ISNUMBER('中古車掲載'!N592),'中古車掲載'!N592&gt;=50000,'中古車掲載'!O592&lt;=100000,'中古車掲載'!AL592=1),'中古車掲載'!U592,"")</x:f>
      </x:c>
      <x:c r="BC591" s="3" t="str">
        <x:f>IF(AND('中古車掲載'!C592="One2car",'中古車掲載'!F592="Corolla Cross",'中古車掲載'!L592="HEV PREMIUM SAFETY",'中古車掲載'!J592=2023,ISNUMBER('中古車掲載'!N592),'中古車掲載'!N592&gt;=50000,'中古車掲載'!O592&lt;=100000,'中古車掲載'!AL592=1,'中古車掲載'!Z592="https://www.one2car.com/en/cars-for-sale/toyota/corolla-cross/year-2023"),'中古車掲載'!U592,"")</x:f>
      </x:c>
      <x:c r="BD591" s="3" t="str">
        <x:f>IF(AND('中古車掲載'!C592="One2car",'中古車掲載'!F592="ATTO 3",'中古車掲載'!L592="EXTENDED RANGE",'中古車掲載'!J592=2023,ISNUMBER('中古車掲載'!N592),'中古車掲載'!N592&gt;=20000,'中古車掲載'!O592&lt;=50000,'中古車掲載'!AL592=1),'中古車掲載'!U592,"")</x:f>
      </x:c>
      <x:c r="BE591" s="3" t="str">
        <x:f>IF(AND('中古車掲載'!C592="One2car",'中古車掲載'!F592="Corolla Cross",'中古車掲載'!L592="HEV PREMIUM SAFETY",'中古車掲載'!J592=2023,ISNUMBER('中古車掲載'!N592),'中古車掲載'!N592&gt;=20000,'中古車掲載'!O592&lt;=50000,'中古車掲載'!AL592=1,'中古車掲載'!Z592="https://www.one2car.com/en/cars-for-sale/toyota/corolla-cross/year-2023"),'中古車掲載'!U592,"")</x:f>
      </x:c>
      <x:c r="BF591" s="3" t="str">
        <x:f>IF(AND('中古車掲載'!C592="One2car",'中古車掲載'!F592="Corolla Cross",'中古車掲載'!L592="HEV PREMIUM",'中古車掲載'!J592=2023,ISNUMBER('中古車掲載'!N592),'中古車掲載'!N592&gt;=20000,'中古車掲載'!O592&lt;=100000,'中古車掲載'!AL592=1,'中古車掲載'!Z592="https://www.one2car.com/en/cars-for-sale/toyota/corolla-cross/year-2023"),'中古車掲載'!U592,"")</x:f>
      </x:c>
      <x:c r="BG591" s="3" t="str">
        <x:f>IF(AND('中古車掲載'!C592="One2car",'中古車掲載'!F592="Corolla Cross",'中古車掲載'!L592="HEV GR SPORT",'中古車掲載'!J592=2023,ISNUMBER('中古車掲載'!N592),'中古車掲載'!N592&gt;=20000,'中古車掲載'!O592&lt;=100000,'中古車掲載'!AL592=1,'中古車掲載'!Z592="https://www.one2car.com/en/cars-for-sale/toyota/corolla-cross/year-2023"),'中古車掲載'!U592,"")</x:f>
      </x:c>
      <x:c r="BH591" s="3" t="str">
        <x:f>IF(AND('中古車掲載'!C592="One2car",'中古車掲載'!F592="DOLPHIN",'中古車掲載'!L592="STANDARD RANGE",'中古車掲載'!J592=2023,ISNUMBER('中古車掲載'!N592),'中古車掲載'!N592&gt;=20000,'中古車掲載'!O592&lt;=100000,'中古車掲載'!AL592=1),'中古車掲載'!U592,"")</x:f>
      </x:c>
      <x:c r="BI591" s="3" t="str">
        <x:v>Taladrod|Fortuner|ICE|Unknown</x:v>
      </x:c>
      <x:c r="BJ591" s="3" t="n">
        <x:v>592</x:v>
      </x:c>
      <x:c r="BK591" s="3" t="n">
        <x:f>'中古車掲載'!AM592</x:f>
        <x:v>899000</x:v>
      </x:c>
      <x:c r="BL591" s="3" t="str">
        <x:f>IF(ISNUMBER('中古車掲載'!AN592),'中古車掲載'!AN592,"")</x:f>
      </x:c>
      <x:c r="BM591" s="3"/>
      <x:c r="BN591" s="3"/>
      <x:c r="BO591" s="3"/>
      <x:c r="BP591" s="3"/>
      <x:c r="BQ591" s="3"/>
      <x:c r="BR591" s="3"/>
    </x:row>
    <x:row r="592" ht="22" customHeight="1">
      <x:c r="A592" s="3" t="str">
        <x:v>Hilux Revo</x:v>
      </x:c>
      <x:c r="B592" s="3" t="str">
        <x:v>ICE</x:v>
      </x:c>
      <x:c r="C592" s="3" t="str">
        <x:v>Taladrod</x:v>
      </x:c>
      <x:c r="D592" s="3" t="str">
        <x:v>Pickup</x:v>
      </x:c>
      <x:c r="E592" s="3" t="str">
        <x:v>Smart cab</x:v>
      </x:c>
      <x:c r="F592" s="3" t="n">
        <x:v>2021</x:v>
      </x:c>
      <x:c r="G592" s="3" t="str">
        <x:v>2.4 ENTRY Z EDITION SMART CAB</x:v>
      </x:c>
      <x:c r="H592" s="3" t="str">
        <x:v>未掲載</x:v>
      </x:c>
      <x:c r="I592" s="3" t="str">
        <x:v>世代不明</x:v>
      </x:c>
      <x:c r="J592" s="22" t="n">
        <x:f>COUNT('中古車掲載'!AM732:AM739)</x:f>
        <x:v>8</x:v>
      </x:c>
      <x:c r="K592" s="22" t="n">
        <x:f>IF(COUNT('中古車掲載'!AM732:AM739)=0,"",QUARTILE('中古車掲載'!AM732:AM739,1))</x:f>
        <x:v>366250</x:v>
      </x:c>
      <x:c r="L592" s="22" t="n">
        <x:f>IF(COUNT('中古車掲載'!AM732:AM739)=0,"",MEDIAN('中古車掲載'!AM732:AM739))</x:f>
        <x:v>389000</x:v>
      </x:c>
      <x:c r="M592" s="22" t="n">
        <x:f>IF(COUNT('中古車掲載'!AM732:AM739)=0,"",QUARTILE('中古車掲載'!AM732:AM739,3))</x:f>
        <x:v>416500</x:v>
      </x:c>
      <x:c r="N592" s="22" t="n">
        <x:f>COUNT('中古車掲載'!AN732:AN739)</x:f>
        <x:v>0</x:v>
      </x:c>
      <x:c r="O592" s="23" t="str">
        <x:f>IF(COUNT('中古車掲載'!AN732:AN739)=0,"",MEDIAN('中古車掲載'!AN732:AN739))</x:f>
      </x:c>
      <x:c r="P592" s="3"/>
      <x:c r="Q592" s="3"/>
      <x:c r="R592" s="3"/>
      <x:c r="S592" s="3"/>
      <x:c r="T592" s="3"/>
      <x:c r="U592" s="3"/>
      <x:c r="V592" s="3"/>
      <x:c r="W592" s="3"/>
      <x:c r="X592" s="3"/>
      <x:c r="Y592" s="3"/>
      <x:c r="Z592" s="3"/>
      <x:c r="AA592" s="3"/>
      <x:c r="AB592" s="3"/>
      <x:c r="AC592" s="3"/>
      <x:c r="AD592" s="3"/>
      <x:c r="AE592" s="3"/>
      <x:c r="AF592" s="3"/>
      <x:c r="AG592" s="3"/>
      <x:c r="AH592" s="3"/>
      <x:c r="AI592" s="3"/>
      <x:c r="AJ592" s="3"/>
      <x:c r="AK592" s="3"/>
      <x:c r="AL592" s="3"/>
      <x:c r="AM592" s="3"/>
      <x:c r="AN592" s="3"/>
      <x:c r="AO592" s="3"/>
      <x:c r="AP592" s="3"/>
      <x:c r="AQ592" s="3"/>
      <x:c r="AR592" s="3"/>
      <x:c r="AS592" s="3"/>
      <x:c r="AT592" s="3"/>
      <x:c r="AU592" s="3"/>
      <x:c r="AV592" s="3"/>
      <x:c r="AW592" s="3"/>
      <x:c r="AX592" s="3"/>
      <x:c r="AY592" s="3"/>
      <x:c r="AZ592" s="3" t="str">
        <x:f>IF(AND('中古車掲載'!C593="One2car",'中古車掲載'!F593="ATTO 3",'中古車掲載'!L593="EXTENDED RANGE",'中古車掲載'!J593=2023,ISNUMBER('中古車掲載'!N593),'中古車掲載'!N593&gt;=20000,'中古車掲載'!O593&lt;=100000,'中古車掲載'!AL593=1),'中古車掲載'!U593,"")</x:f>
      </x:c>
      <x:c r="BA592" s="3" t="str">
        <x:f>IF(AND('中古車掲載'!C593="One2car",'中古車掲載'!F593="Corolla Cross",'中古車掲載'!L593="HEV PREMIUM SAFETY",'中古車掲載'!J593=2023,ISNUMBER('中古車掲載'!N593),'中古車掲載'!N593&gt;=20000,'中古車掲載'!O593&lt;=100000,'中古車掲載'!AL593=1,'中古車掲載'!Z593="https://www.one2car.com/en/cars-for-sale/toyota/corolla-cross/year-2023"),'中古車掲載'!U593,"")</x:f>
      </x:c>
      <x:c r="BB592" s="3" t="str">
        <x:f>IF(AND('中古車掲載'!C593="One2car",'中古車掲載'!F593="ATTO 3",'中古車掲載'!L593="EXTENDED RANGE",'中古車掲載'!J593=2023,ISNUMBER('中古車掲載'!N593),'中古車掲載'!N593&gt;=50000,'中古車掲載'!O593&lt;=100000,'中古車掲載'!AL593=1),'中古車掲載'!U593,"")</x:f>
      </x:c>
      <x:c r="BC592" s="3" t="str">
        <x:f>IF(AND('中古車掲載'!C593="One2car",'中古車掲載'!F593="Corolla Cross",'中古車掲載'!L593="HEV PREMIUM SAFETY",'中古車掲載'!J593=2023,ISNUMBER('中古車掲載'!N593),'中古車掲載'!N593&gt;=50000,'中古車掲載'!O593&lt;=100000,'中古車掲載'!AL593=1,'中古車掲載'!Z593="https://www.one2car.com/en/cars-for-sale/toyota/corolla-cross/year-2023"),'中古車掲載'!U593,"")</x:f>
      </x:c>
      <x:c r="BD592" s="3" t="str">
        <x:f>IF(AND('中古車掲載'!C593="One2car",'中古車掲載'!F593="ATTO 3",'中古車掲載'!L593="EXTENDED RANGE",'中古車掲載'!J593=2023,ISNUMBER('中古車掲載'!N593),'中古車掲載'!N593&gt;=20000,'中古車掲載'!O593&lt;=50000,'中古車掲載'!AL593=1),'中古車掲載'!U593,"")</x:f>
      </x:c>
      <x:c r="BE592" s="3" t="str">
        <x:f>IF(AND('中古車掲載'!C593="One2car",'中古車掲載'!F593="Corolla Cross",'中古車掲載'!L593="HEV PREMIUM SAFETY",'中古車掲載'!J593=2023,ISNUMBER('中古車掲載'!N593),'中古車掲載'!N593&gt;=20000,'中古車掲載'!O593&lt;=50000,'中古車掲載'!AL593=1,'中古車掲載'!Z593="https://www.one2car.com/en/cars-for-sale/toyota/corolla-cross/year-2023"),'中古車掲載'!U593,"")</x:f>
      </x:c>
      <x:c r="BF592" s="3" t="str">
        <x:f>IF(AND('中古車掲載'!C593="One2car",'中古車掲載'!F593="Corolla Cross",'中古車掲載'!L593="HEV PREMIUM",'中古車掲載'!J593=2023,ISNUMBER('中古車掲載'!N593),'中古車掲載'!N593&gt;=20000,'中古車掲載'!O593&lt;=100000,'中古車掲載'!AL593=1,'中古車掲載'!Z593="https://www.one2car.com/en/cars-for-sale/toyota/corolla-cross/year-2023"),'中古車掲載'!U593,"")</x:f>
      </x:c>
      <x:c r="BG592" s="3" t="str">
        <x:f>IF(AND('中古車掲載'!C593="One2car",'中古車掲載'!F593="Corolla Cross",'中古車掲載'!L593="HEV GR SPORT",'中古車掲載'!J593=2023,ISNUMBER('中古車掲載'!N593),'中古車掲載'!N593&gt;=20000,'中古車掲載'!O593&lt;=100000,'中古車掲載'!AL593=1,'中古車掲載'!Z593="https://www.one2car.com/en/cars-for-sale/toyota/corolla-cross/year-2023"),'中古車掲載'!U593,"")</x:f>
      </x:c>
      <x:c r="BH592" s="3" t="str">
        <x:f>IF(AND('中古車掲載'!C593="One2car",'中古車掲載'!F593="DOLPHIN",'中古車掲載'!L593="STANDARD RANGE",'中古車掲載'!J593=2023,ISNUMBER('中古車掲載'!N593),'中古車掲載'!N593&gt;=20000,'中古車掲載'!O593&lt;=100000,'中古車掲載'!AL593=1),'中古車掲載'!U593,"")</x:f>
      </x:c>
      <x:c r="BI592" s="3" t="str">
        <x:v>Taladrod|Fortuner|ICE|Unknown</x:v>
      </x:c>
      <x:c r="BJ592" s="3" t="n">
        <x:v>593</x:v>
      </x:c>
      <x:c r="BK592" s="3" t="n">
        <x:f>'中古車掲載'!AM593</x:f>
        <x:v>989000</x:v>
      </x:c>
      <x:c r="BL592" s="3" t="str">
        <x:f>IF(ISNUMBER('中古車掲載'!AN593),'中古車掲載'!AN593,"")</x:f>
      </x:c>
      <x:c r="BM592" s="3"/>
      <x:c r="BN592" s="3"/>
      <x:c r="BO592" s="3"/>
      <x:c r="BP592" s="3"/>
      <x:c r="BQ592" s="3"/>
      <x:c r="BR592" s="3"/>
    </x:row>
    <x:row r="593" ht="22" customHeight="1">
      <x:c r="A593" s="3" t="str">
        <x:v>Hilux Revo</x:v>
      </x:c>
      <x:c r="B593" s="3" t="str">
        <x:v>ICE</x:v>
      </x:c>
      <x:c r="C593" s="3" t="str">
        <x:v>Taladrod</x:v>
      </x:c>
      <x:c r="D593" s="3" t="str">
        <x:v>Pickup</x:v>
      </x:c>
      <x:c r="E593" s="3" t="str">
        <x:v>Smart cab</x:v>
      </x:c>
      <x:c r="F593" s="3" t="n">
        <x:v>2021</x:v>
      </x:c>
      <x:c r="G593" s="3" t="str">
        <x:v>2.4 J PLUS SMART CAB</x:v>
      </x:c>
      <x:c r="H593" s="3" t="str">
        <x:v>未掲載</x:v>
      </x:c>
      <x:c r="I593" s="3" t="str">
        <x:v>世代不明</x:v>
      </x:c>
      <x:c r="J593" s="22" t="n">
        <x:f>COUNT('中古車掲載'!AM740:AM740)</x:f>
        <x:v>1</x:v>
      </x:c>
      <x:c r="K593" s="22" t="n">
        <x:f>IF(COUNT('中古車掲載'!AM740:AM740)=0,"",QUARTILE('中古車掲載'!AM740:AM740,1))</x:f>
        <x:v>408000</x:v>
      </x:c>
      <x:c r="L593" s="22" t="n">
        <x:f>IF(COUNT('中古車掲載'!AM740:AM740)=0,"",MEDIAN('中古車掲載'!AM740:AM740))</x:f>
        <x:v>408000</x:v>
      </x:c>
      <x:c r="M593" s="22" t="n">
        <x:f>IF(COUNT('中古車掲載'!AM740:AM740)=0,"",QUARTILE('中古車掲載'!AM740:AM740,3))</x:f>
        <x:v>408000</x:v>
      </x:c>
      <x:c r="N593" s="22" t="n">
        <x:f>COUNT('中古車掲載'!AN740:AN740)</x:f>
        <x:v>0</x:v>
      </x:c>
      <x:c r="O593" s="23" t="str">
        <x:f>IF(COUNT('中古車掲載'!AN740:AN740)=0,"",MEDIAN('中古車掲載'!AN740:AN740))</x:f>
      </x:c>
      <x:c r="P593" s="3"/>
      <x:c r="Q593" s="3"/>
      <x:c r="R593" s="3"/>
      <x:c r="S593" s="3"/>
      <x:c r="T593" s="3"/>
      <x:c r="U593" s="3"/>
      <x:c r="V593" s="3"/>
      <x:c r="W593" s="3"/>
      <x:c r="X593" s="3"/>
      <x:c r="Y593" s="3"/>
      <x:c r="Z593" s="3"/>
      <x:c r="AA593" s="3"/>
      <x:c r="AB593" s="3"/>
      <x:c r="AC593" s="3"/>
      <x:c r="AD593" s="3"/>
      <x:c r="AE593" s="3"/>
      <x:c r="AF593" s="3"/>
      <x:c r="AG593" s="3"/>
      <x:c r="AH593" s="3"/>
      <x:c r="AI593" s="3"/>
      <x:c r="AJ593" s="3"/>
      <x:c r="AK593" s="3"/>
      <x:c r="AL593" s="3"/>
      <x:c r="AM593" s="3"/>
      <x:c r="AN593" s="3"/>
      <x:c r="AO593" s="3"/>
      <x:c r="AP593" s="3"/>
      <x:c r="AQ593" s="3"/>
      <x:c r="AR593" s="3"/>
      <x:c r="AS593" s="3"/>
      <x:c r="AT593" s="3"/>
      <x:c r="AU593" s="3"/>
      <x:c r="AV593" s="3"/>
      <x:c r="AW593" s="3"/>
      <x:c r="AX593" s="3"/>
      <x:c r="AY593" s="3"/>
      <x:c r="AZ593" s="3" t="str">
        <x:f>IF(AND('中古車掲載'!C594="One2car",'中古車掲載'!F594="ATTO 3",'中古車掲載'!L594="EXTENDED RANGE",'中古車掲載'!J594=2023,ISNUMBER('中古車掲載'!N594),'中古車掲載'!N594&gt;=20000,'中古車掲載'!O594&lt;=100000,'中古車掲載'!AL594=1),'中古車掲載'!U594,"")</x:f>
      </x:c>
      <x:c r="BA593" s="3" t="str">
        <x:f>IF(AND('中古車掲載'!C594="One2car",'中古車掲載'!F594="Corolla Cross",'中古車掲載'!L594="HEV PREMIUM SAFETY",'中古車掲載'!J594=2023,ISNUMBER('中古車掲載'!N594),'中古車掲載'!N594&gt;=20000,'中古車掲載'!O594&lt;=100000,'中古車掲載'!AL594=1,'中古車掲載'!Z594="https://www.one2car.com/en/cars-for-sale/toyota/corolla-cross/year-2023"),'中古車掲載'!U594,"")</x:f>
      </x:c>
      <x:c r="BB593" s="3" t="str">
        <x:f>IF(AND('中古車掲載'!C594="One2car",'中古車掲載'!F594="ATTO 3",'中古車掲載'!L594="EXTENDED RANGE",'中古車掲載'!J594=2023,ISNUMBER('中古車掲載'!N594),'中古車掲載'!N594&gt;=50000,'中古車掲載'!O594&lt;=100000,'中古車掲載'!AL594=1),'中古車掲載'!U594,"")</x:f>
      </x:c>
      <x:c r="BC593" s="3" t="str">
        <x:f>IF(AND('中古車掲載'!C594="One2car",'中古車掲載'!F594="Corolla Cross",'中古車掲載'!L594="HEV PREMIUM SAFETY",'中古車掲載'!J594=2023,ISNUMBER('中古車掲載'!N594),'中古車掲載'!N594&gt;=50000,'中古車掲載'!O594&lt;=100000,'中古車掲載'!AL594=1,'中古車掲載'!Z594="https://www.one2car.com/en/cars-for-sale/toyota/corolla-cross/year-2023"),'中古車掲載'!U594,"")</x:f>
      </x:c>
      <x:c r="BD593" s="3" t="str">
        <x:f>IF(AND('中古車掲載'!C594="One2car",'中古車掲載'!F594="ATTO 3",'中古車掲載'!L594="EXTENDED RANGE",'中古車掲載'!J594=2023,ISNUMBER('中古車掲載'!N594),'中古車掲載'!N594&gt;=20000,'中古車掲載'!O594&lt;=50000,'中古車掲載'!AL594=1),'中古車掲載'!U594,"")</x:f>
      </x:c>
      <x:c r="BE593" s="3" t="str">
        <x:f>IF(AND('中古車掲載'!C594="One2car",'中古車掲載'!F594="Corolla Cross",'中古車掲載'!L594="HEV PREMIUM SAFETY",'中古車掲載'!J594=2023,ISNUMBER('中古車掲載'!N594),'中古車掲載'!N594&gt;=20000,'中古車掲載'!O594&lt;=50000,'中古車掲載'!AL594=1,'中古車掲載'!Z594="https://www.one2car.com/en/cars-for-sale/toyota/corolla-cross/year-2023"),'中古車掲載'!U594,"")</x:f>
      </x:c>
      <x:c r="BF593" s="3" t="str">
        <x:f>IF(AND('中古車掲載'!C594="One2car",'中古車掲載'!F594="Corolla Cross",'中古車掲載'!L594="HEV PREMIUM",'中古車掲載'!J594=2023,ISNUMBER('中古車掲載'!N594),'中古車掲載'!N594&gt;=20000,'中古車掲載'!O594&lt;=100000,'中古車掲載'!AL594=1,'中古車掲載'!Z594="https://www.one2car.com/en/cars-for-sale/toyota/corolla-cross/year-2023"),'中古車掲載'!U594,"")</x:f>
      </x:c>
      <x:c r="BG593" s="3" t="str">
        <x:f>IF(AND('中古車掲載'!C594="One2car",'中古車掲載'!F594="Corolla Cross",'中古車掲載'!L594="HEV GR SPORT",'中古車掲載'!J594=2023,ISNUMBER('中古車掲載'!N594),'中古車掲載'!N594&gt;=20000,'中古車掲載'!O594&lt;=100000,'中古車掲載'!AL594=1,'中古車掲載'!Z594="https://www.one2car.com/en/cars-for-sale/toyota/corolla-cross/year-2023"),'中古車掲載'!U594,"")</x:f>
      </x:c>
      <x:c r="BH593" s="3" t="str">
        <x:f>IF(AND('中古車掲載'!C594="One2car",'中古車掲載'!F594="DOLPHIN",'中古車掲載'!L594="STANDARD RANGE",'中古車掲載'!J594=2023,ISNUMBER('中古車掲載'!N594),'中古車掲載'!N594&gt;=20000,'中古車掲載'!O594&lt;=100000,'中古車掲載'!AL594=1),'中古車掲載'!U594,"")</x:f>
      </x:c>
      <x:c r="BI593" s="3" t="str">
        <x:v>Taladrod|Fortuner|ICE|Unknown</x:v>
      </x:c>
      <x:c r="BJ593" s="3" t="n">
        <x:v>594</x:v>
      </x:c>
      <x:c r="BK593" s="3" t="n">
        <x:f>'中古車掲載'!AM594</x:f>
        <x:v>939000</x:v>
      </x:c>
      <x:c r="BL593" s="3" t="str">
        <x:f>IF(ISNUMBER('中古車掲載'!AN594),'中古車掲載'!AN594,"")</x:f>
      </x:c>
      <x:c r="BM593" s="3"/>
      <x:c r="BN593" s="3"/>
      <x:c r="BO593" s="3"/>
      <x:c r="BP593" s="3"/>
      <x:c r="BQ593" s="3"/>
      <x:c r="BR593" s="3"/>
    </x:row>
    <x:row r="594" ht="22" customHeight="1">
      <x:c r="A594" s="3" t="str">
        <x:v>Hilux Revo</x:v>
      </x:c>
      <x:c r="B594" s="3" t="str">
        <x:v>ICE</x:v>
      </x:c>
      <x:c r="C594" s="3" t="str">
        <x:v>Taladrod</x:v>
      </x:c>
      <x:c r="D594" s="3" t="str">
        <x:v>Pickup</x:v>
      </x:c>
      <x:c r="E594" s="3" t="str">
        <x:v>Smart cab</x:v>
      </x:c>
      <x:c r="F594" s="3" t="n">
        <x:v>2021</x:v>
      </x:c>
      <x:c r="G594" s="3" t="str">
        <x:v>2.4 MID PRERUNNER SMART CAB</x:v>
      </x:c>
      <x:c r="H594" s="3" t="str">
        <x:v>未掲載</x:v>
      </x:c>
      <x:c r="I594" s="3" t="str">
        <x:v>世代不明</x:v>
      </x:c>
      <x:c r="J594" s="22" t="n">
        <x:f>COUNT('中古車掲載'!AM745:AM747)</x:f>
        <x:v>3</x:v>
      </x:c>
      <x:c r="K594" s="22" t="n">
        <x:f>IF(COUNT('中古車掲載'!AM745:AM747)=0,"",QUARTILE('中古車掲載'!AM745:AM747,1))</x:f>
        <x:v>464000</x:v>
      </x:c>
      <x:c r="L594" s="22" t="n">
        <x:f>IF(COUNT('中古車掲載'!AM745:AM747)=0,"",MEDIAN('中古車掲載'!AM745:AM747))</x:f>
        <x:v>489000</x:v>
      </x:c>
      <x:c r="M594" s="22" t="n">
        <x:f>IF(COUNT('中古車掲載'!AM745:AM747)=0,"",QUARTILE('中古車掲載'!AM745:AM747,3))</x:f>
        <x:v>539000</x:v>
      </x:c>
      <x:c r="N594" s="22" t="n">
        <x:f>COUNT('中古車掲載'!AN745:AN747)</x:f>
        <x:v>0</x:v>
      </x:c>
      <x:c r="O594" s="23" t="str">
        <x:f>IF(COUNT('中古車掲載'!AN745:AN747)=0,"",MEDIAN('中古車掲載'!AN745:AN747))</x:f>
      </x:c>
      <x:c r="P594" s="3"/>
      <x:c r="Q594" s="3"/>
      <x:c r="R594" s="3"/>
      <x:c r="S594" s="3"/>
      <x:c r="T594" s="3"/>
      <x:c r="U594" s="3"/>
      <x:c r="V594" s="3"/>
      <x:c r="W594" s="3"/>
      <x:c r="X594" s="3"/>
      <x:c r="Y594" s="3"/>
      <x:c r="Z594" s="3"/>
      <x:c r="AA594" s="3"/>
      <x:c r="AB594" s="3"/>
      <x:c r="AC594" s="3"/>
      <x:c r="AD594" s="3"/>
      <x:c r="AE594" s="3"/>
      <x:c r="AF594" s="3"/>
      <x:c r="AG594" s="3"/>
      <x:c r="AH594" s="3"/>
      <x:c r="AI594" s="3"/>
      <x:c r="AJ594" s="3"/>
      <x:c r="AK594" s="3"/>
      <x:c r="AL594" s="3"/>
      <x:c r="AM594" s="3"/>
      <x:c r="AN594" s="3"/>
      <x:c r="AO594" s="3"/>
      <x:c r="AP594" s="3"/>
      <x:c r="AQ594" s="3"/>
      <x:c r="AR594" s="3"/>
      <x:c r="AS594" s="3"/>
      <x:c r="AT594" s="3"/>
      <x:c r="AU594" s="3"/>
      <x:c r="AV594" s="3"/>
      <x:c r="AW594" s="3"/>
      <x:c r="AX594" s="3"/>
      <x:c r="AY594" s="3"/>
      <x:c r="AZ594" s="3" t="str">
        <x:f>IF(AND('中古車掲載'!C595="One2car",'中古車掲載'!F595="ATTO 3",'中古車掲載'!L595="EXTENDED RANGE",'中古車掲載'!J595=2023,ISNUMBER('中古車掲載'!N595),'中古車掲載'!N595&gt;=20000,'中古車掲載'!O595&lt;=100000,'中古車掲載'!AL595=1),'中古車掲載'!U595,"")</x:f>
      </x:c>
      <x:c r="BA594" s="3" t="str">
        <x:f>IF(AND('中古車掲載'!C595="One2car",'中古車掲載'!F595="Corolla Cross",'中古車掲載'!L595="HEV PREMIUM SAFETY",'中古車掲載'!J595=2023,ISNUMBER('中古車掲載'!N595),'中古車掲載'!N595&gt;=20000,'中古車掲載'!O595&lt;=100000,'中古車掲載'!AL595=1,'中古車掲載'!Z595="https://www.one2car.com/en/cars-for-sale/toyota/corolla-cross/year-2023"),'中古車掲載'!U595,"")</x:f>
      </x:c>
      <x:c r="BB594" s="3" t="str">
        <x:f>IF(AND('中古車掲載'!C595="One2car",'中古車掲載'!F595="ATTO 3",'中古車掲載'!L595="EXTENDED RANGE",'中古車掲載'!J595=2023,ISNUMBER('中古車掲載'!N595),'中古車掲載'!N595&gt;=50000,'中古車掲載'!O595&lt;=100000,'中古車掲載'!AL595=1),'中古車掲載'!U595,"")</x:f>
      </x:c>
      <x:c r="BC594" s="3" t="str">
        <x:f>IF(AND('中古車掲載'!C595="One2car",'中古車掲載'!F595="Corolla Cross",'中古車掲載'!L595="HEV PREMIUM SAFETY",'中古車掲載'!J595=2023,ISNUMBER('中古車掲載'!N595),'中古車掲載'!N595&gt;=50000,'中古車掲載'!O595&lt;=100000,'中古車掲載'!AL595=1,'中古車掲載'!Z595="https://www.one2car.com/en/cars-for-sale/toyota/corolla-cross/year-2023"),'中古車掲載'!U595,"")</x:f>
      </x:c>
      <x:c r="BD594" s="3" t="str">
        <x:f>IF(AND('中古車掲載'!C595="One2car",'中古車掲載'!F595="ATTO 3",'中古車掲載'!L595="EXTENDED RANGE",'中古車掲載'!J595=2023,ISNUMBER('中古車掲載'!N595),'中古車掲載'!N595&gt;=20000,'中古車掲載'!O595&lt;=50000,'中古車掲載'!AL595=1),'中古車掲載'!U595,"")</x:f>
      </x:c>
      <x:c r="BE594" s="3" t="str">
        <x:f>IF(AND('中古車掲載'!C595="One2car",'中古車掲載'!F595="Corolla Cross",'中古車掲載'!L595="HEV PREMIUM SAFETY",'中古車掲載'!J595=2023,ISNUMBER('中古車掲載'!N595),'中古車掲載'!N595&gt;=20000,'中古車掲載'!O595&lt;=50000,'中古車掲載'!AL595=1,'中古車掲載'!Z595="https://www.one2car.com/en/cars-for-sale/toyota/corolla-cross/year-2023"),'中古車掲載'!U595,"")</x:f>
      </x:c>
      <x:c r="BF594" s="3" t="str">
        <x:f>IF(AND('中古車掲載'!C595="One2car",'中古車掲載'!F595="Corolla Cross",'中古車掲載'!L595="HEV PREMIUM",'中古車掲載'!J595=2023,ISNUMBER('中古車掲載'!N595),'中古車掲載'!N595&gt;=20000,'中古車掲載'!O595&lt;=100000,'中古車掲載'!AL595=1,'中古車掲載'!Z595="https://www.one2car.com/en/cars-for-sale/toyota/corolla-cross/year-2023"),'中古車掲載'!U595,"")</x:f>
      </x:c>
      <x:c r="BG594" s="3" t="str">
        <x:f>IF(AND('中古車掲載'!C595="One2car",'中古車掲載'!F595="Corolla Cross",'中古車掲載'!L595="HEV GR SPORT",'中古車掲載'!J595=2023,ISNUMBER('中古車掲載'!N595),'中古車掲載'!N595&gt;=20000,'中古車掲載'!O595&lt;=100000,'中古車掲載'!AL595=1,'中古車掲載'!Z595="https://www.one2car.com/en/cars-for-sale/toyota/corolla-cross/year-2023"),'中古車掲載'!U595,"")</x:f>
      </x:c>
      <x:c r="BH594" s="3" t="str">
        <x:f>IF(AND('中古車掲載'!C595="One2car",'中古車掲載'!F595="DOLPHIN",'中古車掲載'!L595="STANDARD RANGE",'中古車掲載'!J595=2023,ISNUMBER('中古車掲載'!N595),'中古車掲載'!N595&gt;=20000,'中古車掲載'!O595&lt;=100000,'中古車掲載'!AL595=1),'中古車掲載'!U595,"")</x:f>
      </x:c>
      <x:c r="BI594" s="3" t="str">
        <x:v>Taladrod|Fortuner|ICE|Unknown</x:v>
      </x:c>
      <x:c r="BJ594" s="3" t="n">
        <x:v>595</x:v>
      </x:c>
      <x:c r="BK594" s="3" t="n">
        <x:f>'中古車掲載'!AM595</x:f>
        <x:v>939000</x:v>
      </x:c>
      <x:c r="BL594" s="3" t="str">
        <x:f>IF(ISNUMBER('中古車掲載'!AN595),'中古車掲載'!AN595,"")</x:f>
      </x:c>
      <x:c r="BM594" s="3"/>
      <x:c r="BN594" s="3"/>
      <x:c r="BO594" s="3"/>
      <x:c r="BP594" s="3"/>
      <x:c r="BQ594" s="3"/>
      <x:c r="BR594" s="3"/>
    </x:row>
    <x:row r="595" ht="22" customHeight="1">
      <x:c r="A595" s="3" t="str">
        <x:v>Hilux Revo</x:v>
      </x:c>
      <x:c r="B595" s="3" t="str">
        <x:v>ICE</x:v>
      </x:c>
      <x:c r="C595" s="3" t="str">
        <x:v>Taladrod</x:v>
      </x:c>
      <x:c r="D595" s="3" t="str">
        <x:v>Pickup</x:v>
      </x:c>
      <x:c r="E595" s="3" t="str">
        <x:v>Smart cab</x:v>
      </x:c>
      <x:c r="F595" s="3" t="n">
        <x:v>2021</x:v>
      </x:c>
      <x:c r="G595" s="3" t="str">
        <x:v>2.4 MID Z EDITION SMART CAB</x:v>
      </x:c>
      <x:c r="H595" s="3" t="str">
        <x:v>未掲載</x:v>
      </x:c>
      <x:c r="I595" s="3" t="str">
        <x:v>世代不明</x:v>
      </x:c>
      <x:c r="J595" s="22" t="n">
        <x:f>COUNT('中古車掲載'!AM755:AM761)</x:f>
        <x:v>7</x:v>
      </x:c>
      <x:c r="K595" s="22" t="n">
        <x:f>IF(COUNT('中古車掲載'!AM755:AM761)=0,"",QUARTILE('中古車掲載'!AM755:AM761,1))</x:f>
        <x:v>368500</x:v>
      </x:c>
      <x:c r="L595" s="22" t="n">
        <x:f>IF(COUNT('中古車掲載'!AM755:AM761)=0,"",MEDIAN('中古車掲載'!AM755:AM761))</x:f>
        <x:v>379000</x:v>
      </x:c>
      <x:c r="M595" s="22" t="n">
        <x:f>IF(COUNT('中古車掲載'!AM755:AM761)=0,"",QUARTILE('中古車掲載'!AM755:AM761,3))</x:f>
        <x:v>414000</x:v>
      </x:c>
      <x:c r="N595" s="22" t="n">
        <x:f>COUNT('中古車掲載'!AN755:AN761)</x:f>
        <x:v>0</x:v>
      </x:c>
      <x:c r="O595" s="23" t="str">
        <x:f>IF(COUNT('中古車掲載'!AN755:AN761)=0,"",MEDIAN('中古車掲載'!AN755:AN761))</x:f>
      </x:c>
      <x:c r="P595" s="3"/>
      <x:c r="Q595" s="3"/>
      <x:c r="R595" s="3"/>
      <x:c r="S595" s="3"/>
      <x:c r="T595" s="3"/>
      <x:c r="U595" s="3"/>
      <x:c r="V595" s="3"/>
      <x:c r="W595" s="3"/>
      <x:c r="X595" s="3"/>
      <x:c r="Y595" s="3"/>
      <x:c r="Z595" s="3"/>
      <x:c r="AA595" s="3"/>
      <x:c r="AB595" s="3"/>
      <x:c r="AC595" s="3"/>
      <x:c r="AD595" s="3"/>
      <x:c r="AE595" s="3"/>
      <x:c r="AF595" s="3"/>
      <x:c r="AG595" s="3"/>
      <x:c r="AH595" s="3"/>
      <x:c r="AI595" s="3"/>
      <x:c r="AJ595" s="3"/>
      <x:c r="AK595" s="3"/>
      <x:c r="AL595" s="3"/>
      <x:c r="AM595" s="3"/>
      <x:c r="AN595" s="3"/>
      <x:c r="AO595" s="3"/>
      <x:c r="AP595" s="3"/>
      <x:c r="AQ595" s="3"/>
      <x:c r="AR595" s="3"/>
      <x:c r="AS595" s="3"/>
      <x:c r="AT595" s="3"/>
      <x:c r="AU595" s="3"/>
      <x:c r="AV595" s="3"/>
      <x:c r="AW595" s="3"/>
      <x:c r="AX595" s="3"/>
      <x:c r="AY595" s="3"/>
      <x:c r="AZ595" s="3" t="str">
        <x:f>IF(AND('中古車掲載'!C596="One2car",'中古車掲載'!F596="ATTO 3",'中古車掲載'!L596="EXTENDED RANGE",'中古車掲載'!J596=2023,ISNUMBER('中古車掲載'!N596),'中古車掲載'!N596&gt;=20000,'中古車掲載'!O596&lt;=100000,'中古車掲載'!AL596=1),'中古車掲載'!U596,"")</x:f>
      </x:c>
      <x:c r="BA595" s="3" t="str">
        <x:f>IF(AND('中古車掲載'!C596="One2car",'中古車掲載'!F596="Corolla Cross",'中古車掲載'!L596="HEV PREMIUM SAFETY",'中古車掲載'!J596=2023,ISNUMBER('中古車掲載'!N596),'中古車掲載'!N596&gt;=20000,'中古車掲載'!O596&lt;=100000,'中古車掲載'!AL596=1,'中古車掲載'!Z596="https://www.one2car.com/en/cars-for-sale/toyota/corolla-cross/year-2023"),'中古車掲載'!U596,"")</x:f>
      </x:c>
      <x:c r="BB595" s="3" t="str">
        <x:f>IF(AND('中古車掲載'!C596="One2car",'中古車掲載'!F596="ATTO 3",'中古車掲載'!L596="EXTENDED RANGE",'中古車掲載'!J596=2023,ISNUMBER('中古車掲載'!N596),'中古車掲載'!N596&gt;=50000,'中古車掲載'!O596&lt;=100000,'中古車掲載'!AL596=1),'中古車掲載'!U596,"")</x:f>
      </x:c>
      <x:c r="BC595" s="3" t="str">
        <x:f>IF(AND('中古車掲載'!C596="One2car",'中古車掲載'!F596="Corolla Cross",'中古車掲載'!L596="HEV PREMIUM SAFETY",'中古車掲載'!J596=2023,ISNUMBER('中古車掲載'!N596),'中古車掲載'!N596&gt;=50000,'中古車掲載'!O596&lt;=100000,'中古車掲載'!AL596=1,'中古車掲載'!Z596="https://www.one2car.com/en/cars-for-sale/toyota/corolla-cross/year-2023"),'中古車掲載'!U596,"")</x:f>
      </x:c>
      <x:c r="BD595" s="3" t="str">
        <x:f>IF(AND('中古車掲載'!C596="One2car",'中古車掲載'!F596="ATTO 3",'中古車掲載'!L596="EXTENDED RANGE",'中古車掲載'!J596=2023,ISNUMBER('中古車掲載'!N596),'中古車掲載'!N596&gt;=20000,'中古車掲載'!O596&lt;=50000,'中古車掲載'!AL596=1),'中古車掲載'!U596,"")</x:f>
      </x:c>
      <x:c r="BE595" s="3" t="str">
        <x:f>IF(AND('中古車掲載'!C596="One2car",'中古車掲載'!F596="Corolla Cross",'中古車掲載'!L596="HEV PREMIUM SAFETY",'中古車掲載'!J596=2023,ISNUMBER('中古車掲載'!N596),'中古車掲載'!N596&gt;=20000,'中古車掲載'!O596&lt;=50000,'中古車掲載'!AL596=1,'中古車掲載'!Z596="https://www.one2car.com/en/cars-for-sale/toyota/corolla-cross/year-2023"),'中古車掲載'!U596,"")</x:f>
      </x:c>
      <x:c r="BF595" s="3" t="str">
        <x:f>IF(AND('中古車掲載'!C596="One2car",'中古車掲載'!F596="Corolla Cross",'中古車掲載'!L596="HEV PREMIUM",'中古車掲載'!J596=2023,ISNUMBER('中古車掲載'!N596),'中古車掲載'!N596&gt;=20000,'中古車掲載'!O596&lt;=100000,'中古車掲載'!AL596=1,'中古車掲載'!Z596="https://www.one2car.com/en/cars-for-sale/toyota/corolla-cross/year-2023"),'中古車掲載'!U596,"")</x:f>
      </x:c>
      <x:c r="BG595" s="3" t="str">
        <x:f>IF(AND('中古車掲載'!C596="One2car",'中古車掲載'!F596="Corolla Cross",'中古車掲載'!L596="HEV GR SPORT",'中古車掲載'!J596=2023,ISNUMBER('中古車掲載'!N596),'中古車掲載'!N596&gt;=20000,'中古車掲載'!O596&lt;=100000,'中古車掲載'!AL596=1,'中古車掲載'!Z596="https://www.one2car.com/en/cars-for-sale/toyota/corolla-cross/year-2023"),'中古車掲載'!U596,"")</x:f>
      </x:c>
      <x:c r="BH595" s="3" t="str">
        <x:f>IF(AND('中古車掲載'!C596="One2car",'中古車掲載'!F596="DOLPHIN",'中古車掲載'!L596="STANDARD RANGE",'中古車掲載'!J596=2023,ISNUMBER('中古車掲載'!N596),'中古車掲載'!N596&gt;=20000,'中古車掲載'!O596&lt;=100000,'中古車掲載'!AL596=1),'中古車掲載'!U596,"")</x:f>
      </x:c>
      <x:c r="BI595" s="3" t="str">
        <x:v>Taladrod|Fortuner|ICE|Unknown</x:v>
      </x:c>
      <x:c r="BJ595" s="3" t="n">
        <x:v>596</x:v>
      </x:c>
      <x:c r="BK595" s="3" t="n">
        <x:f>'中古車掲載'!AM596</x:f>
        <x:v>938000</x:v>
      </x:c>
      <x:c r="BL595" s="3" t="str">
        <x:f>IF(ISNUMBER('中古車掲載'!AN596),'中古車掲載'!AN596,"")</x:f>
      </x:c>
      <x:c r="BM595" s="3"/>
      <x:c r="BN595" s="3"/>
      <x:c r="BO595" s="3"/>
      <x:c r="BP595" s="3"/>
      <x:c r="BQ595" s="3"/>
      <x:c r="BR595" s="3"/>
    </x:row>
    <x:row r="596" ht="22" customHeight="1">
      <x:c r="A596" s="3" t="str">
        <x:v>Hilux Revo</x:v>
      </x:c>
      <x:c r="B596" s="3" t="str">
        <x:v>ICE</x:v>
      </x:c>
      <x:c r="C596" s="3" t="str">
        <x:v>Taladrod</x:v>
      </x:c>
      <x:c r="D596" s="3" t="str">
        <x:v>Pickup</x:v>
      </x:c>
      <x:c r="E596" s="3" t="str">
        <x:v>Smart cab</x:v>
      </x:c>
      <x:c r="F596" s="3" t="n">
        <x:v>2022</x:v>
      </x:c>
      <x:c r="G596" s="3" t="str">
        <x:v>2.4 E SMART CAB</x:v>
      </x:c>
      <x:c r="H596" s="3" t="str">
        <x:v>未掲載</x:v>
      </x:c>
      <x:c r="I596" s="3" t="str">
        <x:v>世代不明</x:v>
      </x:c>
      <x:c r="J596" s="22" t="n">
        <x:f>COUNT('中古車掲載'!AM768:AM768)</x:f>
        <x:v>1</x:v>
      </x:c>
      <x:c r="K596" s="22" t="n">
        <x:f>IF(COUNT('中古車掲載'!AM768:AM768)=0,"",QUARTILE('中古車掲載'!AM768:AM768,1))</x:f>
        <x:v>389000</x:v>
      </x:c>
      <x:c r="L596" s="22" t="n">
        <x:f>IF(COUNT('中古車掲載'!AM768:AM768)=0,"",MEDIAN('中古車掲載'!AM768:AM768))</x:f>
        <x:v>389000</x:v>
      </x:c>
      <x:c r="M596" s="22" t="n">
        <x:f>IF(COUNT('中古車掲載'!AM768:AM768)=0,"",QUARTILE('中古車掲載'!AM768:AM768,3))</x:f>
        <x:v>389000</x:v>
      </x:c>
      <x:c r="N596" s="22" t="n">
        <x:f>COUNT('中古車掲載'!AN768:AN768)</x:f>
        <x:v>0</x:v>
      </x:c>
      <x:c r="O596" s="23" t="str">
        <x:f>IF(COUNT('中古車掲載'!AN768:AN768)=0,"",MEDIAN('中古車掲載'!AN768:AN768))</x:f>
      </x:c>
      <x:c r="P596" s="3"/>
      <x:c r="Q596" s="3"/>
      <x:c r="R596" s="3"/>
      <x:c r="S596" s="3"/>
      <x:c r="T596" s="3"/>
      <x:c r="U596" s="3"/>
      <x:c r="V596" s="3"/>
      <x:c r="W596" s="3"/>
      <x:c r="X596" s="3"/>
      <x:c r="Y596" s="3"/>
      <x:c r="Z596" s="3"/>
      <x:c r="AA596" s="3"/>
      <x:c r="AB596" s="3"/>
      <x:c r="AC596" s="3"/>
      <x:c r="AD596" s="3"/>
      <x:c r="AE596" s="3"/>
      <x:c r="AF596" s="3"/>
      <x:c r="AG596" s="3"/>
      <x:c r="AH596" s="3"/>
      <x:c r="AI596" s="3"/>
      <x:c r="AJ596" s="3"/>
      <x:c r="AK596" s="3"/>
      <x:c r="AL596" s="3"/>
      <x:c r="AM596" s="3"/>
      <x:c r="AN596" s="3"/>
      <x:c r="AO596" s="3"/>
      <x:c r="AP596" s="3"/>
      <x:c r="AQ596" s="3"/>
      <x:c r="AR596" s="3"/>
      <x:c r="AS596" s="3"/>
      <x:c r="AT596" s="3"/>
      <x:c r="AU596" s="3"/>
      <x:c r="AV596" s="3"/>
      <x:c r="AW596" s="3"/>
      <x:c r="AX596" s="3"/>
      <x:c r="AY596" s="3"/>
      <x:c r="AZ596" s="3" t="str">
        <x:f>IF(AND('中古車掲載'!C597="One2car",'中古車掲載'!F597="ATTO 3",'中古車掲載'!L597="EXTENDED RANGE",'中古車掲載'!J597=2023,ISNUMBER('中古車掲載'!N597),'中古車掲載'!N597&gt;=20000,'中古車掲載'!O597&lt;=100000,'中古車掲載'!AL597=1),'中古車掲載'!U597,"")</x:f>
      </x:c>
      <x:c r="BA596" s="3" t="str">
        <x:f>IF(AND('中古車掲載'!C597="One2car",'中古車掲載'!F597="Corolla Cross",'中古車掲載'!L597="HEV PREMIUM SAFETY",'中古車掲載'!J597=2023,ISNUMBER('中古車掲載'!N597),'中古車掲載'!N597&gt;=20000,'中古車掲載'!O597&lt;=100000,'中古車掲載'!AL597=1,'中古車掲載'!Z597="https://www.one2car.com/en/cars-for-sale/toyota/corolla-cross/year-2023"),'中古車掲載'!U597,"")</x:f>
      </x:c>
      <x:c r="BB596" s="3" t="str">
        <x:f>IF(AND('中古車掲載'!C597="One2car",'中古車掲載'!F597="ATTO 3",'中古車掲載'!L597="EXTENDED RANGE",'中古車掲載'!J597=2023,ISNUMBER('中古車掲載'!N597),'中古車掲載'!N597&gt;=50000,'中古車掲載'!O597&lt;=100000,'中古車掲載'!AL597=1),'中古車掲載'!U597,"")</x:f>
      </x:c>
      <x:c r="BC596" s="3" t="str">
        <x:f>IF(AND('中古車掲載'!C597="One2car",'中古車掲載'!F597="Corolla Cross",'中古車掲載'!L597="HEV PREMIUM SAFETY",'中古車掲載'!J597=2023,ISNUMBER('中古車掲載'!N597),'中古車掲載'!N597&gt;=50000,'中古車掲載'!O597&lt;=100000,'中古車掲載'!AL597=1,'中古車掲載'!Z597="https://www.one2car.com/en/cars-for-sale/toyota/corolla-cross/year-2023"),'中古車掲載'!U597,"")</x:f>
      </x:c>
      <x:c r="BD596" s="3" t="str">
        <x:f>IF(AND('中古車掲載'!C597="One2car",'中古車掲載'!F597="ATTO 3",'中古車掲載'!L597="EXTENDED RANGE",'中古車掲載'!J597=2023,ISNUMBER('中古車掲載'!N597),'中古車掲載'!N597&gt;=20000,'中古車掲載'!O597&lt;=50000,'中古車掲載'!AL597=1),'中古車掲載'!U597,"")</x:f>
      </x:c>
      <x:c r="BE596" s="3" t="str">
        <x:f>IF(AND('中古車掲載'!C597="One2car",'中古車掲載'!F597="Corolla Cross",'中古車掲載'!L597="HEV PREMIUM SAFETY",'中古車掲載'!J597=2023,ISNUMBER('中古車掲載'!N597),'中古車掲載'!N597&gt;=20000,'中古車掲載'!O597&lt;=50000,'中古車掲載'!AL597=1,'中古車掲載'!Z597="https://www.one2car.com/en/cars-for-sale/toyota/corolla-cross/year-2023"),'中古車掲載'!U597,"")</x:f>
      </x:c>
      <x:c r="BF596" s="3" t="str">
        <x:f>IF(AND('中古車掲載'!C597="One2car",'中古車掲載'!F597="Corolla Cross",'中古車掲載'!L597="HEV PREMIUM",'中古車掲載'!J597=2023,ISNUMBER('中古車掲載'!N597),'中古車掲載'!N597&gt;=20000,'中古車掲載'!O597&lt;=100000,'中古車掲載'!AL597=1,'中古車掲載'!Z597="https://www.one2car.com/en/cars-for-sale/toyota/corolla-cross/year-2023"),'中古車掲載'!U597,"")</x:f>
      </x:c>
      <x:c r="BG596" s="3" t="str">
        <x:f>IF(AND('中古車掲載'!C597="One2car",'中古車掲載'!F597="Corolla Cross",'中古車掲載'!L597="HEV GR SPORT",'中古車掲載'!J597=2023,ISNUMBER('中古車掲載'!N597),'中古車掲載'!N597&gt;=20000,'中古車掲載'!O597&lt;=100000,'中古車掲載'!AL597=1,'中古車掲載'!Z597="https://www.one2car.com/en/cars-for-sale/toyota/corolla-cross/year-2023"),'中古車掲載'!U597,"")</x:f>
      </x:c>
      <x:c r="BH596" s="3" t="str">
        <x:f>IF(AND('中古車掲載'!C597="One2car",'中古車掲載'!F597="DOLPHIN",'中古車掲載'!L597="STANDARD RANGE",'中古車掲載'!J597=2023,ISNUMBER('中古車掲載'!N597),'中古車掲載'!N597&gt;=20000,'中古車掲載'!O597&lt;=100000,'中古車掲載'!AL597=1),'中古車掲載'!U597,"")</x:f>
      </x:c>
      <x:c r="BI596" s="3" t="str">
        <x:v>Taladrod|Fortuner|ICE|Unknown</x:v>
      </x:c>
      <x:c r="BJ596" s="3" t="n">
        <x:v>597</x:v>
      </x:c>
      <x:c r="BK596" s="3" t="n">
        <x:f>'中古車掲載'!AM597</x:f>
        <x:v>999000</x:v>
      </x:c>
      <x:c r="BL596" s="3" t="str">
        <x:f>IF(ISNUMBER('中古車掲載'!AN597),'中古車掲載'!AN597,"")</x:f>
      </x:c>
      <x:c r="BM596" s="3"/>
      <x:c r="BN596" s="3"/>
      <x:c r="BO596" s="3"/>
      <x:c r="BP596" s="3"/>
      <x:c r="BQ596" s="3"/>
      <x:c r="BR596" s="3"/>
    </x:row>
    <x:row r="597" ht="22" customHeight="1">
      <x:c r="A597" s="3" t="str">
        <x:v>Hilux Revo</x:v>
      </x:c>
      <x:c r="B597" s="3" t="str">
        <x:v>ICE</x:v>
      </x:c>
      <x:c r="C597" s="3" t="str">
        <x:v>Taladrod</x:v>
      </x:c>
      <x:c r="D597" s="3" t="str">
        <x:v>Pickup</x:v>
      </x:c>
      <x:c r="E597" s="3" t="str">
        <x:v>Smart cab</x:v>
      </x:c>
      <x:c r="F597" s="3" t="n">
        <x:v>2022</x:v>
      </x:c>
      <x:c r="G597" s="3" t="str">
        <x:v>2.4 E Z EDITION SMART CAB</x:v>
      </x:c>
      <x:c r="H597" s="3" t="str">
        <x:v>未掲載</x:v>
      </x:c>
      <x:c r="I597" s="3" t="str">
        <x:v>世代不明</x:v>
      </x:c>
      <x:c r="J597" s="22" t="n">
        <x:f>COUNT('中古車掲載'!AM769:AM770)</x:f>
        <x:v>2</x:v>
      </x:c>
      <x:c r="K597" s="22" t="n">
        <x:f>IF(COUNT('中古車掲載'!AM769:AM770)=0,"",QUARTILE('中古車掲載'!AM769:AM770,1))</x:f>
        <x:v>375750</x:v>
      </x:c>
      <x:c r="L597" s="22" t="n">
        <x:f>IF(COUNT('中古車掲載'!AM769:AM770)=0,"",MEDIAN('中古車掲載'!AM769:AM770))</x:f>
        <x:v>383500</x:v>
      </x:c>
      <x:c r="M597" s="22" t="n">
        <x:f>IF(COUNT('中古車掲載'!AM769:AM770)=0,"",QUARTILE('中古車掲載'!AM769:AM770,3))</x:f>
        <x:v>391250</x:v>
      </x:c>
      <x:c r="N597" s="22" t="n">
        <x:f>COUNT('中古車掲載'!AN769:AN770)</x:f>
        <x:v>0</x:v>
      </x:c>
      <x:c r="O597" s="23" t="str">
        <x:f>IF(COUNT('中古車掲載'!AN769:AN770)=0,"",MEDIAN('中古車掲載'!AN769:AN770))</x:f>
      </x:c>
      <x:c r="P597" s="3"/>
      <x:c r="Q597" s="3"/>
      <x:c r="R597" s="3"/>
      <x:c r="S597" s="3"/>
      <x:c r="T597" s="3"/>
      <x:c r="U597" s="3"/>
      <x:c r="V597" s="3"/>
      <x:c r="W597" s="3"/>
      <x:c r="X597" s="3"/>
      <x:c r="Y597" s="3"/>
      <x:c r="Z597" s="3"/>
      <x:c r="AA597" s="3"/>
      <x:c r="AB597" s="3"/>
      <x:c r="AC597" s="3"/>
      <x:c r="AD597" s="3"/>
      <x:c r="AE597" s="3"/>
      <x:c r="AF597" s="3"/>
      <x:c r="AG597" s="3"/>
      <x:c r="AH597" s="3"/>
      <x:c r="AI597" s="3"/>
      <x:c r="AJ597" s="3"/>
      <x:c r="AK597" s="3"/>
      <x:c r="AL597" s="3"/>
      <x:c r="AM597" s="3"/>
      <x:c r="AN597" s="3"/>
      <x:c r="AO597" s="3"/>
      <x:c r="AP597" s="3"/>
      <x:c r="AQ597" s="3"/>
      <x:c r="AR597" s="3"/>
      <x:c r="AS597" s="3"/>
      <x:c r="AT597" s="3"/>
      <x:c r="AU597" s="3"/>
      <x:c r="AV597" s="3"/>
      <x:c r="AW597" s="3"/>
      <x:c r="AX597" s="3"/>
      <x:c r="AY597" s="3"/>
      <x:c r="AZ597" s="3" t="str">
        <x:f>IF(AND('中古車掲載'!C598="One2car",'中古車掲載'!F598="ATTO 3",'中古車掲載'!L598="EXTENDED RANGE",'中古車掲載'!J598=2023,ISNUMBER('中古車掲載'!N598),'中古車掲載'!N598&gt;=20000,'中古車掲載'!O598&lt;=100000,'中古車掲載'!AL598=1),'中古車掲載'!U598,"")</x:f>
      </x:c>
      <x:c r="BA597" s="3" t="str">
        <x:f>IF(AND('中古車掲載'!C598="One2car",'中古車掲載'!F598="Corolla Cross",'中古車掲載'!L598="HEV PREMIUM SAFETY",'中古車掲載'!J598=2023,ISNUMBER('中古車掲載'!N598),'中古車掲載'!N598&gt;=20000,'中古車掲載'!O598&lt;=100000,'中古車掲載'!AL598=1,'中古車掲載'!Z598="https://www.one2car.com/en/cars-for-sale/toyota/corolla-cross/year-2023"),'中古車掲載'!U598,"")</x:f>
      </x:c>
      <x:c r="BB597" s="3" t="str">
        <x:f>IF(AND('中古車掲載'!C598="One2car",'中古車掲載'!F598="ATTO 3",'中古車掲載'!L598="EXTENDED RANGE",'中古車掲載'!J598=2023,ISNUMBER('中古車掲載'!N598),'中古車掲載'!N598&gt;=50000,'中古車掲載'!O598&lt;=100000,'中古車掲載'!AL598=1),'中古車掲載'!U598,"")</x:f>
      </x:c>
      <x:c r="BC597" s="3" t="str">
        <x:f>IF(AND('中古車掲載'!C598="One2car",'中古車掲載'!F598="Corolla Cross",'中古車掲載'!L598="HEV PREMIUM SAFETY",'中古車掲載'!J598=2023,ISNUMBER('中古車掲載'!N598),'中古車掲載'!N598&gt;=50000,'中古車掲載'!O598&lt;=100000,'中古車掲載'!AL598=1,'中古車掲載'!Z598="https://www.one2car.com/en/cars-for-sale/toyota/corolla-cross/year-2023"),'中古車掲載'!U598,"")</x:f>
      </x:c>
      <x:c r="BD597" s="3" t="str">
        <x:f>IF(AND('中古車掲載'!C598="One2car",'中古車掲載'!F598="ATTO 3",'中古車掲載'!L598="EXTENDED RANGE",'中古車掲載'!J598=2023,ISNUMBER('中古車掲載'!N598),'中古車掲載'!N598&gt;=20000,'中古車掲載'!O598&lt;=50000,'中古車掲載'!AL598=1),'中古車掲載'!U598,"")</x:f>
      </x:c>
      <x:c r="BE597" s="3" t="str">
        <x:f>IF(AND('中古車掲載'!C598="One2car",'中古車掲載'!F598="Corolla Cross",'中古車掲載'!L598="HEV PREMIUM SAFETY",'中古車掲載'!J598=2023,ISNUMBER('中古車掲載'!N598),'中古車掲載'!N598&gt;=20000,'中古車掲載'!O598&lt;=50000,'中古車掲載'!AL598=1,'中古車掲載'!Z598="https://www.one2car.com/en/cars-for-sale/toyota/corolla-cross/year-2023"),'中古車掲載'!U598,"")</x:f>
      </x:c>
      <x:c r="BF597" s="3" t="str">
        <x:f>IF(AND('中古車掲載'!C598="One2car",'中古車掲載'!F598="Corolla Cross",'中古車掲載'!L598="HEV PREMIUM",'中古車掲載'!J598=2023,ISNUMBER('中古車掲載'!N598),'中古車掲載'!N598&gt;=20000,'中古車掲載'!O598&lt;=100000,'中古車掲載'!AL598=1,'中古車掲載'!Z598="https://www.one2car.com/en/cars-for-sale/toyota/corolla-cross/year-2023"),'中古車掲載'!U598,"")</x:f>
      </x:c>
      <x:c r="BG597" s="3" t="str">
        <x:f>IF(AND('中古車掲載'!C598="One2car",'中古車掲載'!F598="Corolla Cross",'中古車掲載'!L598="HEV GR SPORT",'中古車掲載'!J598=2023,ISNUMBER('中古車掲載'!N598),'中古車掲載'!N598&gt;=20000,'中古車掲載'!O598&lt;=100000,'中古車掲載'!AL598=1,'中古車掲載'!Z598="https://www.one2car.com/en/cars-for-sale/toyota/corolla-cross/year-2023"),'中古車掲載'!U598,"")</x:f>
      </x:c>
      <x:c r="BH597" s="3" t="str">
        <x:f>IF(AND('中古車掲載'!C598="One2car",'中古車掲載'!F598="DOLPHIN",'中古車掲載'!L598="STANDARD RANGE",'中古車掲載'!J598=2023,ISNUMBER('中古車掲載'!N598),'中古車掲載'!N598&gt;=20000,'中古車掲載'!O598&lt;=100000,'中古車掲載'!AL598=1),'中古車掲載'!U598,"")</x:f>
      </x:c>
      <x:c r="BI597" s="3" t="str">
        <x:v>Taladrod|Fortuner|ICE|Unknown</x:v>
      </x:c>
      <x:c r="BJ597" s="3" t="n">
        <x:v>598</x:v>
      </x:c>
      <x:c r="BK597" s="3" t="n">
        <x:f>'中古車掲載'!AM598</x:f>
        <x:v>969000</x:v>
      </x:c>
      <x:c r="BL597" s="3" t="str">
        <x:f>IF(ISNUMBER('中古車掲載'!AN598),'中古車掲載'!AN598,"")</x:f>
      </x:c>
      <x:c r="BM597" s="3"/>
      <x:c r="BN597" s="3"/>
      <x:c r="BO597" s="3"/>
      <x:c r="BP597" s="3"/>
      <x:c r="BQ597" s="3"/>
      <x:c r="BR597" s="3"/>
    </x:row>
    <x:row r="598" ht="22" customHeight="1">
      <x:c r="A598" s="3" t="str">
        <x:v>Hilux Revo</x:v>
      </x:c>
      <x:c r="B598" s="3" t="str">
        <x:v>ICE</x:v>
      </x:c>
      <x:c r="C598" s="3" t="str">
        <x:v>Taladrod</x:v>
      </x:c>
      <x:c r="D598" s="3" t="str">
        <x:v>Pickup</x:v>
      </x:c>
      <x:c r="E598" s="3" t="str">
        <x:v>Smart cab</x:v>
      </x:c>
      <x:c r="F598" s="3" t="n">
        <x:v>2022</x:v>
      </x:c>
      <x:c r="G598" s="3" t="str">
        <x:v>2.4 ENTRY PRERUNNER SMART CAB</x:v>
      </x:c>
      <x:c r="H598" s="3" t="str">
        <x:v>未掲載</x:v>
      </x:c>
      <x:c r="I598" s="3" t="str">
        <x:v>世代不明</x:v>
      </x:c>
      <x:c r="J598" s="22" t="n">
        <x:f>COUNT('中古車掲載'!AM774:AM774)</x:f>
        <x:v>1</x:v>
      </x:c>
      <x:c r="K598" s="22" t="n">
        <x:f>IF(COUNT('中古車掲載'!AM774:AM774)=0,"",QUARTILE('中古車掲載'!AM774:AM774,1))</x:f>
        <x:v>479000</x:v>
      </x:c>
      <x:c r="L598" s="22" t="n">
        <x:f>IF(COUNT('中古車掲載'!AM774:AM774)=0,"",MEDIAN('中古車掲載'!AM774:AM774))</x:f>
        <x:v>479000</x:v>
      </x:c>
      <x:c r="M598" s="22" t="n">
        <x:f>IF(COUNT('中古車掲載'!AM774:AM774)=0,"",QUARTILE('中古車掲載'!AM774:AM774,3))</x:f>
        <x:v>479000</x:v>
      </x:c>
      <x:c r="N598" s="22" t="n">
        <x:f>COUNT('中古車掲載'!AN774:AN774)</x:f>
        <x:v>0</x:v>
      </x:c>
      <x:c r="O598" s="23" t="str">
        <x:f>IF(COUNT('中古車掲載'!AN774:AN774)=0,"",MEDIAN('中古車掲載'!AN774:AN774))</x:f>
      </x:c>
      <x:c r="P598" s="3"/>
      <x:c r="Q598" s="3"/>
      <x:c r="R598" s="3"/>
      <x:c r="S598" s="3"/>
      <x:c r="T598" s="3"/>
      <x:c r="U598" s="3"/>
      <x:c r="V598" s="3"/>
      <x:c r="W598" s="3"/>
      <x:c r="X598" s="3"/>
      <x:c r="Y598" s="3"/>
      <x:c r="Z598" s="3"/>
      <x:c r="AA598" s="3"/>
      <x:c r="AB598" s="3"/>
      <x:c r="AC598" s="3"/>
      <x:c r="AD598" s="3"/>
      <x:c r="AE598" s="3"/>
      <x:c r="AF598" s="3"/>
      <x:c r="AG598" s="3"/>
      <x:c r="AH598" s="3"/>
      <x:c r="AI598" s="3"/>
      <x:c r="AJ598" s="3"/>
      <x:c r="AK598" s="3"/>
      <x:c r="AL598" s="3"/>
      <x:c r="AM598" s="3"/>
      <x:c r="AN598" s="3"/>
      <x:c r="AO598" s="3"/>
      <x:c r="AP598" s="3"/>
      <x:c r="AQ598" s="3"/>
      <x:c r="AR598" s="3"/>
      <x:c r="AS598" s="3"/>
      <x:c r="AT598" s="3"/>
      <x:c r="AU598" s="3"/>
      <x:c r="AV598" s="3"/>
      <x:c r="AW598" s="3"/>
      <x:c r="AX598" s="3"/>
      <x:c r="AY598" s="3"/>
      <x:c r="AZ598" s="3" t="str">
        <x:f>IF(AND('中古車掲載'!C599="One2car",'中古車掲載'!F599="ATTO 3",'中古車掲載'!L599="EXTENDED RANGE",'中古車掲載'!J599=2023,ISNUMBER('中古車掲載'!N599),'中古車掲載'!N599&gt;=20000,'中古車掲載'!O599&lt;=100000,'中古車掲載'!AL599=1),'中古車掲載'!U599,"")</x:f>
      </x:c>
      <x:c r="BA598" s="3" t="str">
        <x:f>IF(AND('中古車掲載'!C599="One2car",'中古車掲載'!F599="Corolla Cross",'中古車掲載'!L599="HEV PREMIUM SAFETY",'中古車掲載'!J599=2023,ISNUMBER('中古車掲載'!N599),'中古車掲載'!N599&gt;=20000,'中古車掲載'!O599&lt;=100000,'中古車掲載'!AL599=1,'中古車掲載'!Z599="https://www.one2car.com/en/cars-for-sale/toyota/corolla-cross/year-2023"),'中古車掲載'!U599,"")</x:f>
      </x:c>
      <x:c r="BB598" s="3" t="str">
        <x:f>IF(AND('中古車掲載'!C599="One2car",'中古車掲載'!F599="ATTO 3",'中古車掲載'!L599="EXTENDED RANGE",'中古車掲載'!J599=2023,ISNUMBER('中古車掲載'!N599),'中古車掲載'!N599&gt;=50000,'中古車掲載'!O599&lt;=100000,'中古車掲載'!AL599=1),'中古車掲載'!U599,"")</x:f>
      </x:c>
      <x:c r="BC598" s="3" t="str">
        <x:f>IF(AND('中古車掲載'!C599="One2car",'中古車掲載'!F599="Corolla Cross",'中古車掲載'!L599="HEV PREMIUM SAFETY",'中古車掲載'!J599=2023,ISNUMBER('中古車掲載'!N599),'中古車掲載'!N599&gt;=50000,'中古車掲載'!O599&lt;=100000,'中古車掲載'!AL599=1,'中古車掲載'!Z599="https://www.one2car.com/en/cars-for-sale/toyota/corolla-cross/year-2023"),'中古車掲載'!U599,"")</x:f>
      </x:c>
      <x:c r="BD598" s="3" t="str">
        <x:f>IF(AND('中古車掲載'!C599="One2car",'中古車掲載'!F599="ATTO 3",'中古車掲載'!L599="EXTENDED RANGE",'中古車掲載'!J599=2023,ISNUMBER('中古車掲載'!N599),'中古車掲載'!N599&gt;=20000,'中古車掲載'!O599&lt;=50000,'中古車掲載'!AL599=1),'中古車掲載'!U599,"")</x:f>
      </x:c>
      <x:c r="BE598" s="3" t="str">
        <x:f>IF(AND('中古車掲載'!C599="One2car",'中古車掲載'!F599="Corolla Cross",'中古車掲載'!L599="HEV PREMIUM SAFETY",'中古車掲載'!J599=2023,ISNUMBER('中古車掲載'!N599),'中古車掲載'!N599&gt;=20000,'中古車掲載'!O599&lt;=50000,'中古車掲載'!AL599=1,'中古車掲載'!Z599="https://www.one2car.com/en/cars-for-sale/toyota/corolla-cross/year-2023"),'中古車掲載'!U599,"")</x:f>
      </x:c>
      <x:c r="BF598" s="3" t="str">
        <x:f>IF(AND('中古車掲載'!C599="One2car",'中古車掲載'!F599="Corolla Cross",'中古車掲載'!L599="HEV PREMIUM",'中古車掲載'!J599=2023,ISNUMBER('中古車掲載'!N599),'中古車掲載'!N599&gt;=20000,'中古車掲載'!O599&lt;=100000,'中古車掲載'!AL599=1,'中古車掲載'!Z599="https://www.one2car.com/en/cars-for-sale/toyota/corolla-cross/year-2023"),'中古車掲載'!U599,"")</x:f>
      </x:c>
      <x:c r="BG598" s="3" t="str">
        <x:f>IF(AND('中古車掲載'!C599="One2car",'中古車掲載'!F599="Corolla Cross",'中古車掲載'!L599="HEV GR SPORT",'中古車掲載'!J599=2023,ISNUMBER('中古車掲載'!N599),'中古車掲載'!N599&gt;=20000,'中古車掲載'!O599&lt;=100000,'中古車掲載'!AL599=1,'中古車掲載'!Z599="https://www.one2car.com/en/cars-for-sale/toyota/corolla-cross/year-2023"),'中古車掲載'!U599,"")</x:f>
      </x:c>
      <x:c r="BH598" s="3" t="str">
        <x:f>IF(AND('中古車掲載'!C599="One2car",'中古車掲載'!F599="DOLPHIN",'中古車掲載'!L599="STANDARD RANGE",'中古車掲載'!J599=2023,ISNUMBER('中古車掲載'!N599),'中古車掲載'!N599&gt;=20000,'中古車掲載'!O599&lt;=100000,'中古車掲載'!AL599=1),'中古車掲載'!U599,"")</x:f>
      </x:c>
      <x:c r="BI598" s="3" t="str">
        <x:v>Taladrod|Fortuner|ICE|Unknown</x:v>
      </x:c>
      <x:c r="BJ598" s="3" t="n">
        <x:v>599</x:v>
      </x:c>
      <x:c r="BK598" s="3" t="n">
        <x:f>'中古車掲載'!AM599</x:f>
        <x:v>929000</x:v>
      </x:c>
      <x:c r="BL598" s="3" t="str">
        <x:f>IF(ISNUMBER('中古車掲載'!AN599),'中古車掲載'!AN599,"")</x:f>
      </x:c>
      <x:c r="BM598" s="3"/>
      <x:c r="BN598" s="3"/>
      <x:c r="BO598" s="3"/>
      <x:c r="BP598" s="3"/>
      <x:c r="BQ598" s="3"/>
      <x:c r="BR598" s="3"/>
    </x:row>
    <x:row r="599" ht="22" customHeight="1">
      <x:c r="A599" s="3" t="str">
        <x:v>Hilux Revo</x:v>
      </x:c>
      <x:c r="B599" s="3" t="str">
        <x:v>ICE</x:v>
      </x:c>
      <x:c r="C599" s="3" t="str">
        <x:v>Taladrod</x:v>
      </x:c>
      <x:c r="D599" s="3" t="str">
        <x:v>Pickup</x:v>
      </x:c>
      <x:c r="E599" s="3" t="str">
        <x:v>Smart cab</x:v>
      </x:c>
      <x:c r="F599" s="3" t="n">
        <x:v>2022</x:v>
      </x:c>
      <x:c r="G599" s="3" t="str">
        <x:v>2.4 ENTRY Z EDITION SMART CAB</x:v>
      </x:c>
      <x:c r="H599" s="3" t="str">
        <x:v>未掲載</x:v>
      </x:c>
      <x:c r="I599" s="3" t="str">
        <x:v>世代不明</x:v>
      </x:c>
      <x:c r="J599" s="22" t="n">
        <x:f>COUNT('中古車掲載'!AM791:AM800)</x:f>
        <x:v>10</x:v>
      </x:c>
      <x:c r="K599" s="22" t="n">
        <x:f>IF(COUNT('中古車掲載'!AM791:AM800)=0,"",QUARTILE('中古車掲載'!AM791:AM800,1))</x:f>
        <x:v>375250</x:v>
      </x:c>
      <x:c r="L599" s="22" t="n">
        <x:f>IF(COUNT('中古車掲載'!AM791:AM800)=0,"",MEDIAN('中古車掲載'!AM791:AM800))</x:f>
        <x:v>384000</x:v>
      </x:c>
      <x:c r="M599" s="22" t="n">
        <x:f>IF(COUNT('中古車掲載'!AM791:AM800)=0,"",QUARTILE('中古車掲載'!AM791:AM800,3))</x:f>
        <x:v>406500</x:v>
      </x:c>
      <x:c r="N599" s="22" t="n">
        <x:f>COUNT('中古車掲載'!AN791:AN800)</x:f>
        <x:v>0</x:v>
      </x:c>
      <x:c r="O599" s="23" t="str">
        <x:f>IF(COUNT('中古車掲載'!AN791:AN800)=0,"",MEDIAN('中古車掲載'!AN791:AN800))</x:f>
      </x:c>
      <x:c r="P599" s="3"/>
      <x:c r="Q599" s="3"/>
      <x:c r="R599" s="3"/>
      <x:c r="S599" s="3"/>
      <x:c r="T599" s="3"/>
      <x:c r="U599" s="3"/>
      <x:c r="V599" s="3"/>
      <x:c r="W599" s="3"/>
      <x:c r="X599" s="3"/>
      <x:c r="Y599" s="3"/>
      <x:c r="Z599" s="3"/>
      <x:c r="AA599" s="3"/>
      <x:c r="AB599" s="3"/>
      <x:c r="AC599" s="3"/>
      <x:c r="AD599" s="3"/>
      <x:c r="AE599" s="3"/>
      <x:c r="AF599" s="3"/>
      <x:c r="AG599" s="3"/>
      <x:c r="AH599" s="3"/>
      <x:c r="AI599" s="3"/>
      <x:c r="AJ599" s="3"/>
      <x:c r="AK599" s="3"/>
      <x:c r="AL599" s="3"/>
      <x:c r="AM599" s="3"/>
      <x:c r="AN599" s="3"/>
      <x:c r="AO599" s="3"/>
      <x:c r="AP599" s="3"/>
      <x:c r="AQ599" s="3"/>
      <x:c r="AR599" s="3"/>
      <x:c r="AS599" s="3"/>
      <x:c r="AT599" s="3"/>
      <x:c r="AU599" s="3"/>
      <x:c r="AV599" s="3"/>
      <x:c r="AW599" s="3"/>
      <x:c r="AX599" s="3"/>
      <x:c r="AY599" s="3"/>
      <x:c r="AZ599" s="3" t="str">
        <x:f>IF(AND('中古車掲載'!C600="One2car",'中古車掲載'!F600="ATTO 3",'中古車掲載'!L600="EXTENDED RANGE",'中古車掲載'!J600=2023,ISNUMBER('中古車掲載'!N600),'中古車掲載'!N600&gt;=20000,'中古車掲載'!O600&lt;=100000,'中古車掲載'!AL600=1),'中古車掲載'!U600,"")</x:f>
      </x:c>
      <x:c r="BA599" s="3" t="str">
        <x:f>IF(AND('中古車掲載'!C600="One2car",'中古車掲載'!F600="Corolla Cross",'中古車掲載'!L600="HEV PREMIUM SAFETY",'中古車掲載'!J600=2023,ISNUMBER('中古車掲載'!N600),'中古車掲載'!N600&gt;=20000,'中古車掲載'!O600&lt;=100000,'中古車掲載'!AL600=1,'中古車掲載'!Z600="https://www.one2car.com/en/cars-for-sale/toyota/corolla-cross/year-2023"),'中古車掲載'!U600,"")</x:f>
      </x:c>
      <x:c r="BB599" s="3" t="str">
        <x:f>IF(AND('中古車掲載'!C600="One2car",'中古車掲載'!F600="ATTO 3",'中古車掲載'!L600="EXTENDED RANGE",'中古車掲載'!J600=2023,ISNUMBER('中古車掲載'!N600),'中古車掲載'!N600&gt;=50000,'中古車掲載'!O600&lt;=100000,'中古車掲載'!AL600=1),'中古車掲載'!U600,"")</x:f>
      </x:c>
      <x:c r="BC599" s="3" t="str">
        <x:f>IF(AND('中古車掲載'!C600="One2car",'中古車掲載'!F600="Corolla Cross",'中古車掲載'!L600="HEV PREMIUM SAFETY",'中古車掲載'!J600=2023,ISNUMBER('中古車掲載'!N600),'中古車掲載'!N600&gt;=50000,'中古車掲載'!O600&lt;=100000,'中古車掲載'!AL600=1,'中古車掲載'!Z600="https://www.one2car.com/en/cars-for-sale/toyota/corolla-cross/year-2023"),'中古車掲載'!U600,"")</x:f>
      </x:c>
      <x:c r="BD599" s="3" t="str">
        <x:f>IF(AND('中古車掲載'!C600="One2car",'中古車掲載'!F600="ATTO 3",'中古車掲載'!L600="EXTENDED RANGE",'中古車掲載'!J600=2023,ISNUMBER('中古車掲載'!N600),'中古車掲載'!N600&gt;=20000,'中古車掲載'!O600&lt;=50000,'中古車掲載'!AL600=1),'中古車掲載'!U600,"")</x:f>
      </x:c>
      <x:c r="BE599" s="3" t="str">
        <x:f>IF(AND('中古車掲載'!C600="One2car",'中古車掲載'!F600="Corolla Cross",'中古車掲載'!L600="HEV PREMIUM SAFETY",'中古車掲載'!J600=2023,ISNUMBER('中古車掲載'!N600),'中古車掲載'!N600&gt;=20000,'中古車掲載'!O600&lt;=50000,'中古車掲載'!AL600=1,'中古車掲載'!Z600="https://www.one2car.com/en/cars-for-sale/toyota/corolla-cross/year-2023"),'中古車掲載'!U600,"")</x:f>
      </x:c>
      <x:c r="BF599" s="3" t="str">
        <x:f>IF(AND('中古車掲載'!C600="One2car",'中古車掲載'!F600="Corolla Cross",'中古車掲載'!L600="HEV PREMIUM",'中古車掲載'!J600=2023,ISNUMBER('中古車掲載'!N600),'中古車掲載'!N600&gt;=20000,'中古車掲載'!O600&lt;=100000,'中古車掲載'!AL600=1,'中古車掲載'!Z600="https://www.one2car.com/en/cars-for-sale/toyota/corolla-cross/year-2023"),'中古車掲載'!U600,"")</x:f>
      </x:c>
      <x:c r="BG599" s="3" t="str">
        <x:f>IF(AND('中古車掲載'!C600="One2car",'中古車掲載'!F600="Corolla Cross",'中古車掲載'!L600="HEV GR SPORT",'中古車掲載'!J600=2023,ISNUMBER('中古車掲載'!N600),'中古車掲載'!N600&gt;=20000,'中古車掲載'!O600&lt;=100000,'中古車掲載'!AL600=1,'中古車掲載'!Z600="https://www.one2car.com/en/cars-for-sale/toyota/corolla-cross/year-2023"),'中古車掲載'!U600,"")</x:f>
      </x:c>
      <x:c r="BH599" s="3" t="str">
        <x:f>IF(AND('中古車掲載'!C600="One2car",'中古車掲載'!F600="DOLPHIN",'中古車掲載'!L600="STANDARD RANGE",'中古車掲載'!J600=2023,ISNUMBER('中古車掲載'!N600),'中古車掲載'!N600&gt;=20000,'中古車掲載'!O600&lt;=100000,'中古車掲載'!AL600=1),'中古車掲載'!U600,"")</x:f>
      </x:c>
      <x:c r="BI599" s="3" t="str">
        <x:v>Taladrod|Fortuner|ICE|Unknown</x:v>
      </x:c>
      <x:c r="BJ599" s="3" t="n">
        <x:v>600</x:v>
      </x:c>
      <x:c r="BK599" s="3" t="n">
        <x:f>'中古車掲載'!AM600</x:f>
        <x:v>939000</x:v>
      </x:c>
      <x:c r="BL599" s="3" t="str">
        <x:f>IF(ISNUMBER('中古車掲載'!AN600),'中古車掲載'!AN600,"")</x:f>
      </x:c>
      <x:c r="BM599" s="3"/>
      <x:c r="BN599" s="3"/>
      <x:c r="BO599" s="3"/>
      <x:c r="BP599" s="3"/>
      <x:c r="BQ599" s="3"/>
      <x:c r="BR599" s="3"/>
    </x:row>
    <x:row r="600" ht="22" customHeight="1">
      <x:c r="A600" s="3" t="str">
        <x:v>Hilux Revo</x:v>
      </x:c>
      <x:c r="B600" s="3" t="str">
        <x:v>ICE</x:v>
      </x:c>
      <x:c r="C600" s="3" t="str">
        <x:v>Taladrod</x:v>
      </x:c>
      <x:c r="D600" s="3" t="str">
        <x:v>Pickup</x:v>
      </x:c>
      <x:c r="E600" s="3" t="str">
        <x:v>Smart cab</x:v>
      </x:c>
      <x:c r="F600" s="3" t="n">
        <x:v>2022</x:v>
      </x:c>
      <x:c r="G600" s="3" t="str">
        <x:v>2.4 MID 4WD SMART CAB</x:v>
      </x:c>
      <x:c r="H600" s="3" t="str">
        <x:v>未掲載</x:v>
      </x:c>
      <x:c r="I600" s="3" t="str">
        <x:v>世代不明</x:v>
      </x:c>
      <x:c r="J600" s="22" t="n">
        <x:f>COUNT('中古車掲載'!AM803:AM803)</x:f>
        <x:v>1</x:v>
      </x:c>
      <x:c r="K600" s="22" t="n">
        <x:f>IF(COUNT('中古車掲載'!AM803:AM803)=0,"",QUARTILE('中古車掲載'!AM803:AM803,1))</x:f>
        <x:v>579000</x:v>
      </x:c>
      <x:c r="L600" s="22" t="n">
        <x:f>IF(COUNT('中古車掲載'!AM803:AM803)=0,"",MEDIAN('中古車掲載'!AM803:AM803))</x:f>
        <x:v>579000</x:v>
      </x:c>
      <x:c r="M600" s="22" t="n">
        <x:f>IF(COUNT('中古車掲載'!AM803:AM803)=0,"",QUARTILE('中古車掲載'!AM803:AM803,3))</x:f>
        <x:v>579000</x:v>
      </x:c>
      <x:c r="N600" s="22" t="n">
        <x:f>COUNT('中古車掲載'!AN803:AN803)</x:f>
        <x:v>0</x:v>
      </x:c>
      <x:c r="O600" s="23" t="str">
        <x:f>IF(COUNT('中古車掲載'!AN803:AN803)=0,"",MEDIAN('中古車掲載'!AN803:AN803))</x:f>
      </x:c>
      <x:c r="P600" s="3"/>
      <x:c r="Q600" s="3"/>
      <x:c r="R600" s="3"/>
      <x:c r="S600" s="3"/>
      <x:c r="T600" s="3"/>
      <x:c r="U600" s="3"/>
      <x:c r="V600" s="3"/>
      <x:c r="W600" s="3"/>
      <x:c r="X600" s="3"/>
      <x:c r="Y600" s="3"/>
      <x:c r="Z600" s="3"/>
      <x:c r="AA600" s="3"/>
      <x:c r="AB600" s="3"/>
      <x:c r="AC600" s="3"/>
      <x:c r="AD600" s="3"/>
      <x:c r="AE600" s="3"/>
      <x:c r="AF600" s="3"/>
      <x:c r="AG600" s="3"/>
      <x:c r="AH600" s="3"/>
      <x:c r="AI600" s="3"/>
      <x:c r="AJ600" s="3"/>
      <x:c r="AK600" s="3"/>
      <x:c r="AL600" s="3"/>
      <x:c r="AM600" s="3"/>
      <x:c r="AN600" s="3"/>
      <x:c r="AO600" s="3"/>
      <x:c r="AP600" s="3"/>
      <x:c r="AQ600" s="3"/>
      <x:c r="AR600" s="3"/>
      <x:c r="AS600" s="3"/>
      <x:c r="AT600" s="3"/>
      <x:c r="AU600" s="3"/>
      <x:c r="AV600" s="3"/>
      <x:c r="AW600" s="3"/>
      <x:c r="AX600" s="3"/>
      <x:c r="AY600" s="3"/>
      <x:c r="AZ600" s="3" t="str">
        <x:f>IF(AND('中古車掲載'!C601="One2car",'中古車掲載'!F601="ATTO 3",'中古車掲載'!L601="EXTENDED RANGE",'中古車掲載'!J601=2023,ISNUMBER('中古車掲載'!N601),'中古車掲載'!N601&gt;=20000,'中古車掲載'!O601&lt;=100000,'中古車掲載'!AL601=1),'中古車掲載'!U601,"")</x:f>
      </x:c>
      <x:c r="BA600" s="3" t="str">
        <x:f>IF(AND('中古車掲載'!C601="One2car",'中古車掲載'!F601="Corolla Cross",'中古車掲載'!L601="HEV PREMIUM SAFETY",'中古車掲載'!J601=2023,ISNUMBER('中古車掲載'!N601),'中古車掲載'!N601&gt;=20000,'中古車掲載'!O601&lt;=100000,'中古車掲載'!AL601=1,'中古車掲載'!Z601="https://www.one2car.com/en/cars-for-sale/toyota/corolla-cross/year-2023"),'中古車掲載'!U601,"")</x:f>
      </x:c>
      <x:c r="BB600" s="3" t="str">
        <x:f>IF(AND('中古車掲載'!C601="One2car",'中古車掲載'!F601="ATTO 3",'中古車掲載'!L601="EXTENDED RANGE",'中古車掲載'!J601=2023,ISNUMBER('中古車掲載'!N601),'中古車掲載'!N601&gt;=50000,'中古車掲載'!O601&lt;=100000,'中古車掲載'!AL601=1),'中古車掲載'!U601,"")</x:f>
      </x:c>
      <x:c r="BC600" s="3" t="str">
        <x:f>IF(AND('中古車掲載'!C601="One2car",'中古車掲載'!F601="Corolla Cross",'中古車掲載'!L601="HEV PREMIUM SAFETY",'中古車掲載'!J601=2023,ISNUMBER('中古車掲載'!N601),'中古車掲載'!N601&gt;=50000,'中古車掲載'!O601&lt;=100000,'中古車掲載'!AL601=1,'中古車掲載'!Z601="https://www.one2car.com/en/cars-for-sale/toyota/corolla-cross/year-2023"),'中古車掲載'!U601,"")</x:f>
      </x:c>
      <x:c r="BD600" s="3" t="str">
        <x:f>IF(AND('中古車掲載'!C601="One2car",'中古車掲載'!F601="ATTO 3",'中古車掲載'!L601="EXTENDED RANGE",'中古車掲載'!J601=2023,ISNUMBER('中古車掲載'!N601),'中古車掲載'!N601&gt;=20000,'中古車掲載'!O601&lt;=50000,'中古車掲載'!AL601=1),'中古車掲載'!U601,"")</x:f>
      </x:c>
      <x:c r="BE600" s="3" t="str">
        <x:f>IF(AND('中古車掲載'!C601="One2car",'中古車掲載'!F601="Corolla Cross",'中古車掲載'!L601="HEV PREMIUM SAFETY",'中古車掲載'!J601=2023,ISNUMBER('中古車掲載'!N601),'中古車掲載'!N601&gt;=20000,'中古車掲載'!O601&lt;=50000,'中古車掲載'!AL601=1,'中古車掲載'!Z601="https://www.one2car.com/en/cars-for-sale/toyota/corolla-cross/year-2023"),'中古車掲載'!U601,"")</x:f>
      </x:c>
      <x:c r="BF600" s="3" t="str">
        <x:f>IF(AND('中古車掲載'!C601="One2car",'中古車掲載'!F601="Corolla Cross",'中古車掲載'!L601="HEV PREMIUM",'中古車掲載'!J601=2023,ISNUMBER('中古車掲載'!N601),'中古車掲載'!N601&gt;=20000,'中古車掲載'!O601&lt;=100000,'中古車掲載'!AL601=1,'中古車掲載'!Z601="https://www.one2car.com/en/cars-for-sale/toyota/corolla-cross/year-2023"),'中古車掲載'!U601,"")</x:f>
      </x:c>
      <x:c r="BG600" s="3" t="str">
        <x:f>IF(AND('中古車掲載'!C601="One2car",'中古車掲載'!F601="Corolla Cross",'中古車掲載'!L601="HEV GR SPORT",'中古車掲載'!J601=2023,ISNUMBER('中古車掲載'!N601),'中古車掲載'!N601&gt;=20000,'中古車掲載'!O601&lt;=100000,'中古車掲載'!AL601=1,'中古車掲載'!Z601="https://www.one2car.com/en/cars-for-sale/toyota/corolla-cross/year-2023"),'中古車掲載'!U601,"")</x:f>
      </x:c>
      <x:c r="BH600" s="3" t="str">
        <x:f>IF(AND('中古車掲載'!C601="One2car",'中古車掲載'!F601="DOLPHIN",'中古車掲載'!L601="STANDARD RANGE",'中古車掲載'!J601=2023,ISNUMBER('中古車掲載'!N601),'中古車掲載'!N601&gt;=20000,'中古車掲載'!O601&lt;=100000,'中古車掲載'!AL601=1),'中古車掲載'!U601,"")</x:f>
      </x:c>
      <x:c r="BI600" s="3" t="str">
        <x:v>Taladrod|Fortuner|ICE|Unknown</x:v>
      </x:c>
      <x:c r="BJ600" s="3" t="n">
        <x:v>601</x:v>
      </x:c>
      <x:c r="BK600" s="3" t="n">
        <x:f>'中古車掲載'!AM601</x:f>
        <x:v>929000</x:v>
      </x:c>
      <x:c r="BL600" s="3" t="str">
        <x:f>IF(ISNUMBER('中古車掲載'!AN601),'中古車掲載'!AN601,"")</x:f>
      </x:c>
      <x:c r="BM600" s="3"/>
      <x:c r="BN600" s="3"/>
      <x:c r="BO600" s="3"/>
      <x:c r="BP600" s="3"/>
      <x:c r="BQ600" s="3"/>
      <x:c r="BR600" s="3"/>
    </x:row>
    <x:row r="601" ht="22" customHeight="1">
      <x:c r="A601" s="3" t="str">
        <x:v>Hilux Revo</x:v>
      </x:c>
      <x:c r="B601" s="3" t="str">
        <x:v>ICE</x:v>
      </x:c>
      <x:c r="C601" s="3" t="str">
        <x:v>Taladrod</x:v>
      </x:c>
      <x:c r="D601" s="3" t="str">
        <x:v>Pickup</x:v>
      </x:c>
      <x:c r="E601" s="3" t="str">
        <x:v>Smart cab</x:v>
      </x:c>
      <x:c r="F601" s="3" t="n">
        <x:v>2022</x:v>
      </x:c>
      <x:c r="G601" s="3" t="str">
        <x:v>2.4 MID PRERUNNER SMART CAB</x:v>
      </x:c>
      <x:c r="H601" s="3" t="str">
        <x:v>未掲載</x:v>
      </x:c>
      <x:c r="I601" s="3" t="str">
        <x:v>世代不明</x:v>
      </x:c>
      <x:c r="J601" s="22" t="n">
        <x:f>COUNT('中古車掲載'!AM809:AM813)</x:f>
        <x:v>5</x:v>
      </x:c>
      <x:c r="K601" s="22" t="n">
        <x:f>IF(COUNT('中古車掲載'!AM809:AM813)=0,"",QUARTILE('中古車掲載'!AM809:AM813,1))</x:f>
        <x:v>494000</x:v>
      </x:c>
      <x:c r="L601" s="22" t="n">
        <x:f>IF(COUNT('中古車掲載'!AM809:AM813)=0,"",MEDIAN('中古車掲載'!AM809:AM813))</x:f>
        <x:v>499000</x:v>
      </x:c>
      <x:c r="M601" s="22" t="n">
        <x:f>IF(COUNT('中古車掲載'!AM809:AM813)=0,"",QUARTILE('中古車掲載'!AM809:AM813,3))</x:f>
        <x:v>569000</x:v>
      </x:c>
      <x:c r="N601" s="22" t="n">
        <x:f>COUNT('中古車掲載'!AN809:AN813)</x:f>
        <x:v>0</x:v>
      </x:c>
      <x:c r="O601" s="23" t="str">
        <x:f>IF(COUNT('中古車掲載'!AN809:AN813)=0,"",MEDIAN('中古車掲載'!AN809:AN813))</x:f>
      </x:c>
      <x:c r="P601" s="3"/>
      <x:c r="Q601" s="3"/>
      <x:c r="R601" s="3"/>
      <x:c r="S601" s="3"/>
      <x:c r="T601" s="3"/>
      <x:c r="U601" s="3"/>
      <x:c r="V601" s="3"/>
      <x:c r="W601" s="3"/>
      <x:c r="X601" s="3"/>
      <x:c r="Y601" s="3"/>
      <x:c r="Z601" s="3"/>
      <x:c r="AA601" s="3"/>
      <x:c r="AB601" s="3"/>
      <x:c r="AC601" s="3"/>
      <x:c r="AD601" s="3"/>
      <x:c r="AE601" s="3"/>
      <x:c r="AF601" s="3"/>
      <x:c r="AG601" s="3"/>
      <x:c r="AH601" s="3"/>
      <x:c r="AI601" s="3"/>
      <x:c r="AJ601" s="3"/>
      <x:c r="AK601" s="3"/>
      <x:c r="AL601" s="3"/>
      <x:c r="AM601" s="3"/>
      <x:c r="AN601" s="3"/>
      <x:c r="AO601" s="3"/>
      <x:c r="AP601" s="3"/>
      <x:c r="AQ601" s="3"/>
      <x:c r="AR601" s="3"/>
      <x:c r="AS601" s="3"/>
      <x:c r="AT601" s="3"/>
      <x:c r="AU601" s="3"/>
      <x:c r="AV601" s="3"/>
      <x:c r="AW601" s="3"/>
      <x:c r="AX601" s="3"/>
      <x:c r="AY601" s="3"/>
      <x:c r="AZ601" s="3" t="str">
        <x:f>IF(AND('中古車掲載'!C602="One2car",'中古車掲載'!F602="ATTO 3",'中古車掲載'!L602="EXTENDED RANGE",'中古車掲載'!J602=2023,ISNUMBER('中古車掲載'!N602),'中古車掲載'!N602&gt;=20000,'中古車掲載'!O602&lt;=100000,'中古車掲載'!AL602=1),'中古車掲載'!U602,"")</x:f>
      </x:c>
      <x:c r="BA601" s="3" t="str">
        <x:f>IF(AND('中古車掲載'!C602="One2car",'中古車掲載'!F602="Corolla Cross",'中古車掲載'!L602="HEV PREMIUM SAFETY",'中古車掲載'!J602=2023,ISNUMBER('中古車掲載'!N602),'中古車掲載'!N602&gt;=20000,'中古車掲載'!O602&lt;=100000,'中古車掲載'!AL602=1,'中古車掲載'!Z602="https://www.one2car.com/en/cars-for-sale/toyota/corolla-cross/year-2023"),'中古車掲載'!U602,"")</x:f>
      </x:c>
      <x:c r="BB601" s="3" t="str">
        <x:f>IF(AND('中古車掲載'!C602="One2car",'中古車掲載'!F602="ATTO 3",'中古車掲載'!L602="EXTENDED RANGE",'中古車掲載'!J602=2023,ISNUMBER('中古車掲載'!N602),'中古車掲載'!N602&gt;=50000,'中古車掲載'!O602&lt;=100000,'中古車掲載'!AL602=1),'中古車掲載'!U602,"")</x:f>
      </x:c>
      <x:c r="BC601" s="3" t="str">
        <x:f>IF(AND('中古車掲載'!C602="One2car",'中古車掲載'!F602="Corolla Cross",'中古車掲載'!L602="HEV PREMIUM SAFETY",'中古車掲載'!J602=2023,ISNUMBER('中古車掲載'!N602),'中古車掲載'!N602&gt;=50000,'中古車掲載'!O602&lt;=100000,'中古車掲載'!AL602=1,'中古車掲載'!Z602="https://www.one2car.com/en/cars-for-sale/toyota/corolla-cross/year-2023"),'中古車掲載'!U602,"")</x:f>
      </x:c>
      <x:c r="BD601" s="3" t="str">
        <x:f>IF(AND('中古車掲載'!C602="One2car",'中古車掲載'!F602="ATTO 3",'中古車掲載'!L602="EXTENDED RANGE",'中古車掲載'!J602=2023,ISNUMBER('中古車掲載'!N602),'中古車掲載'!N602&gt;=20000,'中古車掲載'!O602&lt;=50000,'中古車掲載'!AL602=1),'中古車掲載'!U602,"")</x:f>
      </x:c>
      <x:c r="BE601" s="3" t="str">
        <x:f>IF(AND('中古車掲載'!C602="One2car",'中古車掲載'!F602="Corolla Cross",'中古車掲載'!L602="HEV PREMIUM SAFETY",'中古車掲載'!J602=2023,ISNUMBER('中古車掲載'!N602),'中古車掲載'!N602&gt;=20000,'中古車掲載'!O602&lt;=50000,'中古車掲載'!AL602=1,'中古車掲載'!Z602="https://www.one2car.com/en/cars-for-sale/toyota/corolla-cross/year-2023"),'中古車掲載'!U602,"")</x:f>
      </x:c>
      <x:c r="BF601" s="3" t="str">
        <x:f>IF(AND('中古車掲載'!C602="One2car",'中古車掲載'!F602="Corolla Cross",'中古車掲載'!L602="HEV PREMIUM",'中古車掲載'!J602=2023,ISNUMBER('中古車掲載'!N602),'中古車掲載'!N602&gt;=20000,'中古車掲載'!O602&lt;=100000,'中古車掲載'!AL602=1,'中古車掲載'!Z602="https://www.one2car.com/en/cars-for-sale/toyota/corolla-cross/year-2023"),'中古車掲載'!U602,"")</x:f>
      </x:c>
      <x:c r="BG601" s="3" t="str">
        <x:f>IF(AND('中古車掲載'!C602="One2car",'中古車掲載'!F602="Corolla Cross",'中古車掲載'!L602="HEV GR SPORT",'中古車掲載'!J602=2023,ISNUMBER('中古車掲載'!N602),'中古車掲載'!N602&gt;=20000,'中古車掲載'!O602&lt;=100000,'中古車掲載'!AL602=1,'中古車掲載'!Z602="https://www.one2car.com/en/cars-for-sale/toyota/corolla-cross/year-2023"),'中古車掲載'!U602,"")</x:f>
      </x:c>
      <x:c r="BH601" s="3" t="str">
        <x:f>IF(AND('中古車掲載'!C602="One2car",'中古車掲載'!F602="DOLPHIN",'中古車掲載'!L602="STANDARD RANGE",'中古車掲載'!J602=2023,ISNUMBER('中古車掲載'!N602),'中古車掲載'!N602&gt;=20000,'中古車掲載'!O602&lt;=100000,'中古車掲載'!AL602=1),'中古車掲載'!U602,"")</x:f>
      </x:c>
      <x:c r="BI601" s="3" t="str">
        <x:v>Taladrod|Fortuner|ICE|Unknown</x:v>
      </x:c>
      <x:c r="BJ601" s="3" t="n">
        <x:v>602</x:v>
      </x:c>
      <x:c r="BK601" s="3" t="n">
        <x:f>'中古車掲載'!AM602</x:f>
        <x:v>919000</x:v>
      </x:c>
      <x:c r="BL601" s="3" t="str">
        <x:f>IF(ISNUMBER('中古車掲載'!AN602),'中古車掲載'!AN602,"")</x:f>
      </x:c>
      <x:c r="BM601" s="3"/>
      <x:c r="BN601" s="3"/>
      <x:c r="BO601" s="3"/>
      <x:c r="BP601" s="3"/>
      <x:c r="BQ601" s="3"/>
      <x:c r="BR601" s="3"/>
    </x:row>
    <x:row r="602" ht="22" customHeight="1">
      <x:c r="A602" s="3" t="str">
        <x:v>Hilux Revo</x:v>
      </x:c>
      <x:c r="B602" s="3" t="str">
        <x:v>ICE</x:v>
      </x:c>
      <x:c r="C602" s="3" t="str">
        <x:v>Taladrod</x:v>
      </x:c>
      <x:c r="D602" s="3" t="str">
        <x:v>Pickup</x:v>
      </x:c>
      <x:c r="E602" s="3" t="str">
        <x:v>Smart cab</x:v>
      </x:c>
      <x:c r="F602" s="3" t="n">
        <x:v>2022</x:v>
      </x:c>
      <x:c r="G602" s="3" t="str">
        <x:v>2.4 MID Z EDITION SMART CAB</x:v>
      </x:c>
      <x:c r="H602" s="3" t="str">
        <x:v>未掲載</x:v>
      </x:c>
      <x:c r="I602" s="3" t="str">
        <x:v>世代不明</x:v>
      </x:c>
      <x:c r="J602" s="22" t="n">
        <x:f>COUNT('中古車掲載'!AM818:AM821)</x:f>
        <x:v>4</x:v>
      </x:c>
      <x:c r="K602" s="22" t="n">
        <x:f>IF(COUNT('中古車掲載'!AM818:AM821)=0,"",QUARTILE('中古車掲載'!AM818:AM821,1))</x:f>
        <x:v>390250</x:v>
      </x:c>
      <x:c r="L602" s="22" t="n">
        <x:f>IF(COUNT('中古車掲載'!AM818:AM821)=0,"",MEDIAN('中古車掲載'!AM818:AM821))</x:f>
        <x:v>394500</x:v>
      </x:c>
      <x:c r="M602" s="22" t="n">
        <x:f>IF(COUNT('中古車掲載'!AM818:AM821)=0,"",QUARTILE('中古車掲載'!AM818:AM821,3))</x:f>
        <x:v>421250</x:v>
      </x:c>
      <x:c r="N602" s="22" t="n">
        <x:f>COUNT('中古車掲載'!AN818:AN821)</x:f>
        <x:v>0</x:v>
      </x:c>
      <x:c r="O602" s="23" t="str">
        <x:f>IF(COUNT('中古車掲載'!AN818:AN821)=0,"",MEDIAN('中古車掲載'!AN818:AN821))</x:f>
      </x:c>
      <x:c r="P602" s="3"/>
      <x:c r="Q602" s="3"/>
      <x:c r="R602" s="3"/>
      <x:c r="S602" s="3"/>
      <x:c r="T602" s="3"/>
      <x:c r="U602" s="3"/>
      <x:c r="V602" s="3"/>
      <x:c r="W602" s="3"/>
      <x:c r="X602" s="3"/>
      <x:c r="Y602" s="3"/>
      <x:c r="Z602" s="3"/>
      <x:c r="AA602" s="3"/>
      <x:c r="AB602" s="3"/>
      <x:c r="AC602" s="3"/>
      <x:c r="AD602" s="3"/>
      <x:c r="AE602" s="3"/>
      <x:c r="AF602" s="3"/>
      <x:c r="AG602" s="3"/>
      <x:c r="AH602" s="3"/>
      <x:c r="AI602" s="3"/>
      <x:c r="AJ602" s="3"/>
      <x:c r="AK602" s="3"/>
      <x:c r="AL602" s="3"/>
      <x:c r="AM602" s="3"/>
      <x:c r="AN602" s="3"/>
      <x:c r="AO602" s="3"/>
      <x:c r="AP602" s="3"/>
      <x:c r="AQ602" s="3"/>
      <x:c r="AR602" s="3"/>
      <x:c r="AS602" s="3"/>
      <x:c r="AT602" s="3"/>
      <x:c r="AU602" s="3"/>
      <x:c r="AV602" s="3"/>
      <x:c r="AW602" s="3"/>
      <x:c r="AX602" s="3"/>
      <x:c r="AY602" s="3"/>
      <x:c r="AZ602" s="3" t="str">
        <x:f>IF(AND('中古車掲載'!C603="One2car",'中古車掲載'!F603="ATTO 3",'中古車掲載'!L603="EXTENDED RANGE",'中古車掲載'!J603=2023,ISNUMBER('中古車掲載'!N603),'中古車掲載'!N603&gt;=20000,'中古車掲載'!O603&lt;=100000,'中古車掲載'!AL603=1),'中古車掲載'!U603,"")</x:f>
      </x:c>
      <x:c r="BA602" s="3" t="str">
        <x:f>IF(AND('中古車掲載'!C603="One2car",'中古車掲載'!F603="Corolla Cross",'中古車掲載'!L603="HEV PREMIUM SAFETY",'中古車掲載'!J603=2023,ISNUMBER('中古車掲載'!N603),'中古車掲載'!N603&gt;=20000,'中古車掲載'!O603&lt;=100000,'中古車掲載'!AL603=1,'中古車掲載'!Z603="https://www.one2car.com/en/cars-for-sale/toyota/corolla-cross/year-2023"),'中古車掲載'!U603,"")</x:f>
      </x:c>
      <x:c r="BB602" s="3" t="str">
        <x:f>IF(AND('中古車掲載'!C603="One2car",'中古車掲載'!F603="ATTO 3",'中古車掲載'!L603="EXTENDED RANGE",'中古車掲載'!J603=2023,ISNUMBER('中古車掲載'!N603),'中古車掲載'!N603&gt;=50000,'中古車掲載'!O603&lt;=100000,'中古車掲載'!AL603=1),'中古車掲載'!U603,"")</x:f>
      </x:c>
      <x:c r="BC602" s="3" t="str">
        <x:f>IF(AND('中古車掲載'!C603="One2car",'中古車掲載'!F603="Corolla Cross",'中古車掲載'!L603="HEV PREMIUM SAFETY",'中古車掲載'!J603=2023,ISNUMBER('中古車掲載'!N603),'中古車掲載'!N603&gt;=50000,'中古車掲載'!O603&lt;=100000,'中古車掲載'!AL603=1,'中古車掲載'!Z603="https://www.one2car.com/en/cars-for-sale/toyota/corolla-cross/year-2023"),'中古車掲載'!U603,"")</x:f>
      </x:c>
      <x:c r="BD602" s="3" t="str">
        <x:f>IF(AND('中古車掲載'!C603="One2car",'中古車掲載'!F603="ATTO 3",'中古車掲載'!L603="EXTENDED RANGE",'中古車掲載'!J603=2023,ISNUMBER('中古車掲載'!N603),'中古車掲載'!N603&gt;=20000,'中古車掲載'!O603&lt;=50000,'中古車掲載'!AL603=1),'中古車掲載'!U603,"")</x:f>
      </x:c>
      <x:c r="BE602" s="3" t="str">
        <x:f>IF(AND('中古車掲載'!C603="One2car",'中古車掲載'!F603="Corolla Cross",'中古車掲載'!L603="HEV PREMIUM SAFETY",'中古車掲載'!J603=2023,ISNUMBER('中古車掲載'!N603),'中古車掲載'!N603&gt;=20000,'中古車掲載'!O603&lt;=50000,'中古車掲載'!AL603=1,'中古車掲載'!Z603="https://www.one2car.com/en/cars-for-sale/toyota/corolla-cross/year-2023"),'中古車掲載'!U603,"")</x:f>
      </x:c>
      <x:c r="BF602" s="3" t="str">
        <x:f>IF(AND('中古車掲載'!C603="One2car",'中古車掲載'!F603="Corolla Cross",'中古車掲載'!L603="HEV PREMIUM",'中古車掲載'!J603=2023,ISNUMBER('中古車掲載'!N603),'中古車掲載'!N603&gt;=20000,'中古車掲載'!O603&lt;=100000,'中古車掲載'!AL603=1,'中古車掲載'!Z603="https://www.one2car.com/en/cars-for-sale/toyota/corolla-cross/year-2023"),'中古車掲載'!U603,"")</x:f>
      </x:c>
      <x:c r="BG602" s="3" t="str">
        <x:f>IF(AND('中古車掲載'!C603="One2car",'中古車掲載'!F603="Corolla Cross",'中古車掲載'!L603="HEV GR SPORT",'中古車掲載'!J603=2023,ISNUMBER('中古車掲載'!N603),'中古車掲載'!N603&gt;=20000,'中古車掲載'!O603&lt;=100000,'中古車掲載'!AL603=1,'中古車掲載'!Z603="https://www.one2car.com/en/cars-for-sale/toyota/corolla-cross/year-2023"),'中古車掲載'!U603,"")</x:f>
      </x:c>
      <x:c r="BH602" s="3" t="str">
        <x:f>IF(AND('中古車掲載'!C603="One2car",'中古車掲載'!F603="DOLPHIN",'中古車掲載'!L603="STANDARD RANGE",'中古車掲載'!J603=2023,ISNUMBER('中古車掲載'!N603),'中古車掲載'!N603&gt;=20000,'中古車掲載'!O603&lt;=100000,'中古車掲載'!AL603=1),'中古車掲載'!U603,"")</x:f>
      </x:c>
      <x:c r="BI602" s="3" t="str">
        <x:v>Taladrod|Fortuner|ICE|Unknown</x:v>
      </x:c>
      <x:c r="BJ602" s="3" t="n">
        <x:v>603</x:v>
      </x:c>
      <x:c r="BK602" s="3" t="n">
        <x:f>'中古車掲載'!AM603</x:f>
        <x:v>859000</x:v>
      </x:c>
      <x:c r="BL602" s="3" t="str">
        <x:f>IF(ISNUMBER('中古車掲載'!AN603),'中古車掲載'!AN603,"")</x:f>
      </x:c>
      <x:c r="BM602" s="3"/>
      <x:c r="BN602" s="3"/>
      <x:c r="BO602" s="3"/>
      <x:c r="BP602" s="3"/>
      <x:c r="BQ602" s="3"/>
      <x:c r="BR602" s="3"/>
    </x:row>
    <x:row r="603" ht="22" customHeight="1">
      <x:c r="A603" s="3" t="str">
        <x:v>Hilux Revo</x:v>
      </x:c>
      <x:c r="B603" s="3" t="str">
        <x:v>ICE</x:v>
      </x:c>
      <x:c r="C603" s="3" t="str">
        <x:v>Taladrod</x:v>
      </x:c>
      <x:c r="D603" s="3" t="str">
        <x:v>Pickup</x:v>
      </x:c>
      <x:c r="E603" s="3" t="str">
        <x:v>Smart cab</x:v>
      </x:c>
      <x:c r="F603" s="3" t="n">
        <x:v>2022</x:v>
      </x:c>
      <x:c r="G603" s="3" t="str">
        <x:v>2.4 PRERUNNER SMART CAB</x:v>
      </x:c>
      <x:c r="H603" s="3" t="str">
        <x:v>未掲載</x:v>
      </x:c>
      <x:c r="I603" s="3" t="str">
        <x:v>世代不明</x:v>
      </x:c>
      <x:c r="J603" s="22" t="n">
        <x:f>COUNT('中古車掲載'!AM825:AM825)</x:f>
        <x:v>1</x:v>
      </x:c>
      <x:c r="K603" s="22" t="n">
        <x:f>IF(COUNT('中古車掲載'!AM825:AM825)=0,"",QUARTILE('中古車掲載'!AM825:AM825,1))</x:f>
        <x:v>619000</x:v>
      </x:c>
      <x:c r="L603" s="22" t="n">
        <x:f>IF(COUNT('中古車掲載'!AM825:AM825)=0,"",MEDIAN('中古車掲載'!AM825:AM825))</x:f>
        <x:v>619000</x:v>
      </x:c>
      <x:c r="M603" s="22" t="n">
        <x:f>IF(COUNT('中古車掲載'!AM825:AM825)=0,"",QUARTILE('中古車掲載'!AM825:AM825,3))</x:f>
        <x:v>619000</x:v>
      </x:c>
      <x:c r="N603" s="22" t="n">
        <x:f>COUNT('中古車掲載'!AN825:AN825)</x:f>
        <x:v>0</x:v>
      </x:c>
      <x:c r="O603" s="23" t="str">
        <x:f>IF(COUNT('中古車掲載'!AN825:AN825)=0,"",MEDIAN('中古車掲載'!AN825:AN825))</x:f>
      </x:c>
      <x:c r="P603" s="3"/>
      <x:c r="Q603" s="3"/>
      <x:c r="R603" s="3"/>
      <x:c r="S603" s="3"/>
      <x:c r="T603" s="3"/>
      <x:c r="U603" s="3"/>
      <x:c r="V603" s="3"/>
      <x:c r="W603" s="3"/>
      <x:c r="X603" s="3"/>
      <x:c r="Y603" s="3"/>
      <x:c r="Z603" s="3"/>
      <x:c r="AA603" s="3"/>
      <x:c r="AB603" s="3"/>
      <x:c r="AC603" s="3"/>
      <x:c r="AD603" s="3"/>
      <x:c r="AE603" s="3"/>
      <x:c r="AF603" s="3"/>
      <x:c r="AG603" s="3"/>
      <x:c r="AH603" s="3"/>
      <x:c r="AI603" s="3"/>
      <x:c r="AJ603" s="3"/>
      <x:c r="AK603" s="3"/>
      <x:c r="AL603" s="3"/>
      <x:c r="AM603" s="3"/>
      <x:c r="AN603" s="3"/>
      <x:c r="AO603" s="3"/>
      <x:c r="AP603" s="3"/>
      <x:c r="AQ603" s="3"/>
      <x:c r="AR603" s="3"/>
      <x:c r="AS603" s="3"/>
      <x:c r="AT603" s="3"/>
      <x:c r="AU603" s="3"/>
      <x:c r="AV603" s="3"/>
      <x:c r="AW603" s="3"/>
      <x:c r="AX603" s="3"/>
      <x:c r="AY603" s="3"/>
      <x:c r="AZ603" s="3" t="str">
        <x:f>IF(AND('中古車掲載'!C604="One2car",'中古車掲載'!F604="ATTO 3",'中古車掲載'!L604="EXTENDED RANGE",'中古車掲載'!J604=2023,ISNUMBER('中古車掲載'!N604),'中古車掲載'!N604&gt;=20000,'中古車掲載'!O604&lt;=100000,'中古車掲載'!AL604=1),'中古車掲載'!U604,"")</x:f>
      </x:c>
      <x:c r="BA603" s="3" t="str">
        <x:f>IF(AND('中古車掲載'!C604="One2car",'中古車掲載'!F604="Corolla Cross",'中古車掲載'!L604="HEV PREMIUM SAFETY",'中古車掲載'!J604=2023,ISNUMBER('中古車掲載'!N604),'中古車掲載'!N604&gt;=20000,'中古車掲載'!O604&lt;=100000,'中古車掲載'!AL604=1,'中古車掲載'!Z604="https://www.one2car.com/en/cars-for-sale/toyota/corolla-cross/year-2023"),'中古車掲載'!U604,"")</x:f>
      </x:c>
      <x:c r="BB603" s="3" t="str">
        <x:f>IF(AND('中古車掲載'!C604="One2car",'中古車掲載'!F604="ATTO 3",'中古車掲載'!L604="EXTENDED RANGE",'中古車掲載'!J604=2023,ISNUMBER('中古車掲載'!N604),'中古車掲載'!N604&gt;=50000,'中古車掲載'!O604&lt;=100000,'中古車掲載'!AL604=1),'中古車掲載'!U604,"")</x:f>
      </x:c>
      <x:c r="BC603" s="3" t="str">
        <x:f>IF(AND('中古車掲載'!C604="One2car",'中古車掲載'!F604="Corolla Cross",'中古車掲載'!L604="HEV PREMIUM SAFETY",'中古車掲載'!J604=2023,ISNUMBER('中古車掲載'!N604),'中古車掲載'!N604&gt;=50000,'中古車掲載'!O604&lt;=100000,'中古車掲載'!AL604=1,'中古車掲載'!Z604="https://www.one2car.com/en/cars-for-sale/toyota/corolla-cross/year-2023"),'中古車掲載'!U604,"")</x:f>
      </x:c>
      <x:c r="BD603" s="3" t="str">
        <x:f>IF(AND('中古車掲載'!C604="One2car",'中古車掲載'!F604="ATTO 3",'中古車掲載'!L604="EXTENDED RANGE",'中古車掲載'!J604=2023,ISNUMBER('中古車掲載'!N604),'中古車掲載'!N604&gt;=20000,'中古車掲載'!O604&lt;=50000,'中古車掲載'!AL604=1),'中古車掲載'!U604,"")</x:f>
      </x:c>
      <x:c r="BE603" s="3" t="str">
        <x:f>IF(AND('中古車掲載'!C604="One2car",'中古車掲載'!F604="Corolla Cross",'中古車掲載'!L604="HEV PREMIUM SAFETY",'中古車掲載'!J604=2023,ISNUMBER('中古車掲載'!N604),'中古車掲載'!N604&gt;=20000,'中古車掲載'!O604&lt;=50000,'中古車掲載'!AL604=1,'中古車掲載'!Z604="https://www.one2car.com/en/cars-for-sale/toyota/corolla-cross/year-2023"),'中古車掲載'!U604,"")</x:f>
      </x:c>
      <x:c r="BF603" s="3" t="str">
        <x:f>IF(AND('中古車掲載'!C604="One2car",'中古車掲載'!F604="Corolla Cross",'中古車掲載'!L604="HEV PREMIUM",'中古車掲載'!J604=2023,ISNUMBER('中古車掲載'!N604),'中古車掲載'!N604&gt;=20000,'中古車掲載'!O604&lt;=100000,'中古車掲載'!AL604=1,'中古車掲載'!Z604="https://www.one2car.com/en/cars-for-sale/toyota/corolla-cross/year-2023"),'中古車掲載'!U604,"")</x:f>
      </x:c>
      <x:c r="BG603" s="3" t="str">
        <x:f>IF(AND('中古車掲載'!C604="One2car",'中古車掲載'!F604="Corolla Cross",'中古車掲載'!L604="HEV GR SPORT",'中古車掲載'!J604=2023,ISNUMBER('中古車掲載'!N604),'中古車掲載'!N604&gt;=20000,'中古車掲載'!O604&lt;=100000,'中古車掲載'!AL604=1,'中古車掲載'!Z604="https://www.one2car.com/en/cars-for-sale/toyota/corolla-cross/year-2023"),'中古車掲載'!U604,"")</x:f>
      </x:c>
      <x:c r="BH603" s="3" t="str">
        <x:f>IF(AND('中古車掲載'!C604="One2car",'中古車掲載'!F604="DOLPHIN",'中古車掲載'!L604="STANDARD RANGE",'中古車掲載'!J604=2023,ISNUMBER('中古車掲載'!N604),'中古車掲載'!N604&gt;=20000,'中古車掲載'!O604&lt;=100000,'中古車掲載'!AL604=1),'中古車掲載'!U604,"")</x:f>
      </x:c>
      <x:c r="BI603" s="3" t="str">
        <x:v>Taladrod|Fortuner|ICE|Unknown</x:v>
      </x:c>
      <x:c r="BJ603" s="3" t="n">
        <x:v>604</x:v>
      </x:c>
      <x:c r="BK603" s="3" t="n">
        <x:f>'中古車掲載'!AM604</x:f>
        <x:v>909000</x:v>
      </x:c>
      <x:c r="BL603" s="3" t="str">
        <x:f>IF(ISNUMBER('中古車掲載'!AN604),'中古車掲載'!AN604,"")</x:f>
      </x:c>
      <x:c r="BM603" s="3"/>
      <x:c r="BN603" s="3"/>
      <x:c r="BO603" s="3"/>
      <x:c r="BP603" s="3"/>
      <x:c r="BQ603" s="3"/>
      <x:c r="BR603" s="3"/>
    </x:row>
    <x:row r="604" ht="22" customHeight="1">
      <x:c r="A604" s="3" t="str">
        <x:v>Hilux Revo</x:v>
      </x:c>
      <x:c r="B604" s="3" t="str">
        <x:v>ICE</x:v>
      </x:c>
      <x:c r="C604" s="3" t="str">
        <x:v>Taladrod</x:v>
      </x:c>
      <x:c r="D604" s="3" t="str">
        <x:v>Pickup</x:v>
      </x:c>
      <x:c r="E604" s="3" t="str">
        <x:v>Smart cab</x:v>
      </x:c>
      <x:c r="F604" s="3" t="n">
        <x:v>2023</x:v>
      </x:c>
      <x:c r="G604" s="3" t="str">
        <x:v>2.4 E Z EDITION SMART CAB</x:v>
      </x:c>
      <x:c r="H604" s="3" t="str">
        <x:v>未掲載</x:v>
      </x:c>
      <x:c r="I604" s="3" t="str">
        <x:v>世代不明</x:v>
      </x:c>
      <x:c r="J604" s="22" t="n">
        <x:f>COUNT('中古車掲載'!AM830:AM830)</x:f>
        <x:v>1</x:v>
      </x:c>
      <x:c r="K604" s="22" t="n">
        <x:f>IF(COUNT('中古車掲載'!AM830:AM830)=0,"",QUARTILE('中古車掲載'!AM830:AM830,1))</x:f>
        <x:v>499000</x:v>
      </x:c>
      <x:c r="L604" s="22" t="n">
        <x:f>IF(COUNT('中古車掲載'!AM830:AM830)=0,"",MEDIAN('中古車掲載'!AM830:AM830))</x:f>
        <x:v>499000</x:v>
      </x:c>
      <x:c r="M604" s="22" t="n">
        <x:f>IF(COUNT('中古車掲載'!AM830:AM830)=0,"",QUARTILE('中古車掲載'!AM830:AM830,3))</x:f>
        <x:v>499000</x:v>
      </x:c>
      <x:c r="N604" s="22" t="n">
        <x:f>COUNT('中古車掲載'!AN830:AN830)</x:f>
        <x:v>0</x:v>
      </x:c>
      <x:c r="O604" s="23" t="str">
        <x:f>IF(COUNT('中古車掲載'!AN830:AN830)=0,"",MEDIAN('中古車掲載'!AN830:AN830))</x:f>
      </x:c>
      <x:c r="P604" s="3"/>
      <x:c r="Q604" s="3"/>
      <x:c r="R604" s="3"/>
      <x:c r="S604" s="3"/>
      <x:c r="T604" s="3"/>
      <x:c r="U604" s="3"/>
      <x:c r="V604" s="3"/>
      <x:c r="W604" s="3"/>
      <x:c r="X604" s="3"/>
      <x:c r="Y604" s="3"/>
      <x:c r="Z604" s="3"/>
      <x:c r="AA604" s="3"/>
      <x:c r="AB604" s="3"/>
      <x:c r="AC604" s="3"/>
      <x:c r="AD604" s="3"/>
      <x:c r="AE604" s="3"/>
      <x:c r="AF604" s="3"/>
      <x:c r="AG604" s="3"/>
      <x:c r="AH604" s="3"/>
      <x:c r="AI604" s="3"/>
      <x:c r="AJ604" s="3"/>
      <x:c r="AK604" s="3"/>
      <x:c r="AL604" s="3"/>
      <x:c r="AM604" s="3"/>
      <x:c r="AN604" s="3"/>
      <x:c r="AO604" s="3"/>
      <x:c r="AP604" s="3"/>
      <x:c r="AQ604" s="3"/>
      <x:c r="AR604" s="3"/>
      <x:c r="AS604" s="3"/>
      <x:c r="AT604" s="3"/>
      <x:c r="AU604" s="3"/>
      <x:c r="AV604" s="3"/>
      <x:c r="AW604" s="3"/>
      <x:c r="AX604" s="3"/>
      <x:c r="AY604" s="3"/>
      <x:c r="AZ604" s="3" t="str">
        <x:f>IF(AND('中古車掲載'!C605="One2car",'中古車掲載'!F605="ATTO 3",'中古車掲載'!L605="EXTENDED RANGE",'中古車掲載'!J605=2023,ISNUMBER('中古車掲載'!N605),'中古車掲載'!N605&gt;=20000,'中古車掲載'!O605&lt;=100000,'中古車掲載'!AL605=1),'中古車掲載'!U605,"")</x:f>
      </x:c>
      <x:c r="BA604" s="3" t="str">
        <x:f>IF(AND('中古車掲載'!C605="One2car",'中古車掲載'!F605="Corolla Cross",'中古車掲載'!L605="HEV PREMIUM SAFETY",'中古車掲載'!J605=2023,ISNUMBER('中古車掲載'!N605),'中古車掲載'!N605&gt;=20000,'中古車掲載'!O605&lt;=100000,'中古車掲載'!AL605=1,'中古車掲載'!Z605="https://www.one2car.com/en/cars-for-sale/toyota/corolla-cross/year-2023"),'中古車掲載'!U605,"")</x:f>
      </x:c>
      <x:c r="BB604" s="3" t="str">
        <x:f>IF(AND('中古車掲載'!C605="One2car",'中古車掲載'!F605="ATTO 3",'中古車掲載'!L605="EXTENDED RANGE",'中古車掲載'!J605=2023,ISNUMBER('中古車掲載'!N605),'中古車掲載'!N605&gt;=50000,'中古車掲載'!O605&lt;=100000,'中古車掲載'!AL605=1),'中古車掲載'!U605,"")</x:f>
      </x:c>
      <x:c r="BC604" s="3" t="str">
        <x:f>IF(AND('中古車掲載'!C605="One2car",'中古車掲載'!F605="Corolla Cross",'中古車掲載'!L605="HEV PREMIUM SAFETY",'中古車掲載'!J605=2023,ISNUMBER('中古車掲載'!N605),'中古車掲載'!N605&gt;=50000,'中古車掲載'!O605&lt;=100000,'中古車掲載'!AL605=1,'中古車掲載'!Z605="https://www.one2car.com/en/cars-for-sale/toyota/corolla-cross/year-2023"),'中古車掲載'!U605,"")</x:f>
      </x:c>
      <x:c r="BD604" s="3" t="str">
        <x:f>IF(AND('中古車掲載'!C605="One2car",'中古車掲載'!F605="ATTO 3",'中古車掲載'!L605="EXTENDED RANGE",'中古車掲載'!J605=2023,ISNUMBER('中古車掲載'!N605),'中古車掲載'!N605&gt;=20000,'中古車掲載'!O605&lt;=50000,'中古車掲載'!AL605=1),'中古車掲載'!U605,"")</x:f>
      </x:c>
      <x:c r="BE604" s="3" t="str">
        <x:f>IF(AND('中古車掲載'!C605="One2car",'中古車掲載'!F605="Corolla Cross",'中古車掲載'!L605="HEV PREMIUM SAFETY",'中古車掲載'!J605=2023,ISNUMBER('中古車掲載'!N605),'中古車掲載'!N605&gt;=20000,'中古車掲載'!O605&lt;=50000,'中古車掲載'!AL605=1,'中古車掲載'!Z605="https://www.one2car.com/en/cars-for-sale/toyota/corolla-cross/year-2023"),'中古車掲載'!U605,"")</x:f>
      </x:c>
      <x:c r="BF604" s="3" t="str">
        <x:f>IF(AND('中古車掲載'!C605="One2car",'中古車掲載'!F605="Corolla Cross",'中古車掲載'!L605="HEV PREMIUM",'中古車掲載'!J605=2023,ISNUMBER('中古車掲載'!N605),'中古車掲載'!N605&gt;=20000,'中古車掲載'!O605&lt;=100000,'中古車掲載'!AL605=1,'中古車掲載'!Z605="https://www.one2car.com/en/cars-for-sale/toyota/corolla-cross/year-2023"),'中古車掲載'!U605,"")</x:f>
      </x:c>
      <x:c r="BG604" s="3" t="str">
        <x:f>IF(AND('中古車掲載'!C605="One2car",'中古車掲載'!F605="Corolla Cross",'中古車掲載'!L605="HEV GR SPORT",'中古車掲載'!J605=2023,ISNUMBER('中古車掲載'!N605),'中古車掲載'!N605&gt;=20000,'中古車掲載'!O605&lt;=100000,'中古車掲載'!AL605=1,'中古車掲載'!Z605="https://www.one2car.com/en/cars-for-sale/toyota/corolla-cross/year-2023"),'中古車掲載'!U605,"")</x:f>
      </x:c>
      <x:c r="BH604" s="3" t="str">
        <x:f>IF(AND('中古車掲載'!C605="One2car",'中古車掲載'!F605="DOLPHIN",'中古車掲載'!L605="STANDARD RANGE",'中古車掲載'!J605=2023,ISNUMBER('中古車掲載'!N605),'中古車掲載'!N605&gt;=20000,'中古車掲載'!O605&lt;=100000,'中古車掲載'!AL605=1),'中古車掲載'!U605,"")</x:f>
      </x:c>
      <x:c r="BI604" s="3" t="str">
        <x:v>Taladrod|Fortuner|ICE|Unknown</x:v>
      </x:c>
      <x:c r="BJ604" s="3" t="n">
        <x:v>605</x:v>
      </x:c>
      <x:c r="BK604" s="3" t="n">
        <x:f>'中古車掲載'!AM605</x:f>
        <x:v>999000</x:v>
      </x:c>
      <x:c r="BL604" s="3" t="str">
        <x:f>IF(ISNUMBER('中古車掲載'!AN605),'中古車掲載'!AN605,"")</x:f>
      </x:c>
      <x:c r="BM604" s="3"/>
      <x:c r="BN604" s="3"/>
      <x:c r="BO604" s="3"/>
      <x:c r="BP604" s="3"/>
      <x:c r="BQ604" s="3"/>
      <x:c r="BR604" s="3"/>
    </x:row>
    <x:row r="605" ht="22" customHeight="1">
      <x:c r="A605" s="3" t="str">
        <x:v>Hilux Revo</x:v>
      </x:c>
      <x:c r="B605" s="3" t="str">
        <x:v>ICE</x:v>
      </x:c>
      <x:c r="C605" s="3" t="str">
        <x:v>Taladrod</x:v>
      </x:c>
      <x:c r="D605" s="3" t="str">
        <x:v>Pickup</x:v>
      </x:c>
      <x:c r="E605" s="3" t="str">
        <x:v>Smart cab</x:v>
      </x:c>
      <x:c r="F605" s="3" t="n">
        <x:v>2023</x:v>
      </x:c>
      <x:c r="G605" s="3" t="str">
        <x:v>2.4 ENTRY PRERUNNER SMART CAB</x:v>
      </x:c>
      <x:c r="H605" s="3" t="str">
        <x:v>未掲載</x:v>
      </x:c>
      <x:c r="I605" s="3" t="str">
        <x:v>世代不明</x:v>
      </x:c>
      <x:c r="J605" s="22" t="n">
        <x:f>COUNT('中古車掲載'!AM833:AM833)</x:f>
        <x:v>1</x:v>
      </x:c>
      <x:c r="K605" s="22" t="n">
        <x:f>IF(COUNT('中古車掲載'!AM833:AM833)=0,"",QUARTILE('中古車掲載'!AM833:AM833,1))</x:f>
        <x:v>504000</x:v>
      </x:c>
      <x:c r="L605" s="22" t="n">
        <x:f>IF(COUNT('中古車掲載'!AM833:AM833)=0,"",MEDIAN('中古車掲載'!AM833:AM833))</x:f>
        <x:v>504000</x:v>
      </x:c>
      <x:c r="M605" s="22" t="n">
        <x:f>IF(COUNT('中古車掲載'!AM833:AM833)=0,"",QUARTILE('中古車掲載'!AM833:AM833,3))</x:f>
        <x:v>504000</x:v>
      </x:c>
      <x:c r="N605" s="22" t="n">
        <x:f>COUNT('中古車掲載'!AN833:AN833)</x:f>
        <x:v>0</x:v>
      </x:c>
      <x:c r="O605" s="23" t="str">
        <x:f>IF(COUNT('中古車掲載'!AN833:AN833)=0,"",MEDIAN('中古車掲載'!AN833:AN833))</x:f>
      </x:c>
      <x:c r="P605" s="3"/>
      <x:c r="Q605" s="3"/>
      <x:c r="R605" s="3"/>
      <x:c r="S605" s="3"/>
      <x:c r="T605" s="3"/>
      <x:c r="U605" s="3"/>
      <x:c r="V605" s="3"/>
      <x:c r="W605" s="3"/>
      <x:c r="X605" s="3"/>
      <x:c r="Y605" s="3"/>
      <x:c r="Z605" s="3"/>
      <x:c r="AA605" s="3"/>
      <x:c r="AB605" s="3"/>
      <x:c r="AC605" s="3"/>
      <x:c r="AD605" s="3"/>
      <x:c r="AE605" s="3"/>
      <x:c r="AF605" s="3"/>
      <x:c r="AG605" s="3"/>
      <x:c r="AH605" s="3"/>
      <x:c r="AI605" s="3"/>
      <x:c r="AJ605" s="3"/>
      <x:c r="AK605" s="3"/>
      <x:c r="AL605" s="3"/>
      <x:c r="AM605" s="3"/>
      <x:c r="AN605" s="3"/>
      <x:c r="AO605" s="3"/>
      <x:c r="AP605" s="3"/>
      <x:c r="AQ605" s="3"/>
      <x:c r="AR605" s="3"/>
      <x:c r="AS605" s="3"/>
      <x:c r="AT605" s="3"/>
      <x:c r="AU605" s="3"/>
      <x:c r="AV605" s="3"/>
      <x:c r="AW605" s="3"/>
      <x:c r="AX605" s="3"/>
      <x:c r="AY605" s="3"/>
      <x:c r="AZ605" s="3" t="str">
        <x:f>IF(AND('中古車掲載'!C606="One2car",'中古車掲載'!F606="ATTO 3",'中古車掲載'!L606="EXTENDED RANGE",'中古車掲載'!J606=2023,ISNUMBER('中古車掲載'!N606),'中古車掲載'!N606&gt;=20000,'中古車掲載'!O606&lt;=100000,'中古車掲載'!AL606=1),'中古車掲載'!U606,"")</x:f>
      </x:c>
      <x:c r="BA605" s="3" t="str">
        <x:f>IF(AND('中古車掲載'!C606="One2car",'中古車掲載'!F606="Corolla Cross",'中古車掲載'!L606="HEV PREMIUM SAFETY",'中古車掲載'!J606=2023,ISNUMBER('中古車掲載'!N606),'中古車掲載'!N606&gt;=20000,'中古車掲載'!O606&lt;=100000,'中古車掲載'!AL606=1,'中古車掲載'!Z606="https://www.one2car.com/en/cars-for-sale/toyota/corolla-cross/year-2023"),'中古車掲載'!U606,"")</x:f>
      </x:c>
      <x:c r="BB605" s="3" t="str">
        <x:f>IF(AND('中古車掲載'!C606="One2car",'中古車掲載'!F606="ATTO 3",'中古車掲載'!L606="EXTENDED RANGE",'中古車掲載'!J606=2023,ISNUMBER('中古車掲載'!N606),'中古車掲載'!N606&gt;=50000,'中古車掲載'!O606&lt;=100000,'中古車掲載'!AL606=1),'中古車掲載'!U606,"")</x:f>
      </x:c>
      <x:c r="BC605" s="3" t="str">
        <x:f>IF(AND('中古車掲載'!C606="One2car",'中古車掲載'!F606="Corolla Cross",'中古車掲載'!L606="HEV PREMIUM SAFETY",'中古車掲載'!J606=2023,ISNUMBER('中古車掲載'!N606),'中古車掲載'!N606&gt;=50000,'中古車掲載'!O606&lt;=100000,'中古車掲載'!AL606=1,'中古車掲載'!Z606="https://www.one2car.com/en/cars-for-sale/toyota/corolla-cross/year-2023"),'中古車掲載'!U606,"")</x:f>
      </x:c>
      <x:c r="BD605" s="3" t="str">
        <x:f>IF(AND('中古車掲載'!C606="One2car",'中古車掲載'!F606="ATTO 3",'中古車掲載'!L606="EXTENDED RANGE",'中古車掲載'!J606=2023,ISNUMBER('中古車掲載'!N606),'中古車掲載'!N606&gt;=20000,'中古車掲載'!O606&lt;=50000,'中古車掲載'!AL606=1),'中古車掲載'!U606,"")</x:f>
      </x:c>
      <x:c r="BE605" s="3" t="str">
        <x:f>IF(AND('中古車掲載'!C606="One2car",'中古車掲載'!F606="Corolla Cross",'中古車掲載'!L606="HEV PREMIUM SAFETY",'中古車掲載'!J606=2023,ISNUMBER('中古車掲載'!N606),'中古車掲載'!N606&gt;=20000,'中古車掲載'!O606&lt;=50000,'中古車掲載'!AL606=1,'中古車掲載'!Z606="https://www.one2car.com/en/cars-for-sale/toyota/corolla-cross/year-2023"),'中古車掲載'!U606,"")</x:f>
      </x:c>
      <x:c r="BF605" s="3" t="str">
        <x:f>IF(AND('中古車掲載'!C606="One2car",'中古車掲載'!F606="Corolla Cross",'中古車掲載'!L606="HEV PREMIUM",'中古車掲載'!J606=2023,ISNUMBER('中古車掲載'!N606),'中古車掲載'!N606&gt;=20000,'中古車掲載'!O606&lt;=100000,'中古車掲載'!AL606=1,'中古車掲載'!Z606="https://www.one2car.com/en/cars-for-sale/toyota/corolla-cross/year-2023"),'中古車掲載'!U606,"")</x:f>
      </x:c>
      <x:c r="BG605" s="3" t="str">
        <x:f>IF(AND('中古車掲載'!C606="One2car",'中古車掲載'!F606="Corolla Cross",'中古車掲載'!L606="HEV GR SPORT",'中古車掲載'!J606=2023,ISNUMBER('中古車掲載'!N606),'中古車掲載'!N606&gt;=20000,'中古車掲載'!O606&lt;=100000,'中古車掲載'!AL606=1,'中古車掲載'!Z606="https://www.one2car.com/en/cars-for-sale/toyota/corolla-cross/year-2023"),'中古車掲載'!U606,"")</x:f>
      </x:c>
      <x:c r="BH605" s="3" t="str">
        <x:f>IF(AND('中古車掲載'!C606="One2car",'中古車掲載'!F606="DOLPHIN",'中古車掲載'!L606="STANDARD RANGE",'中古車掲載'!J606=2023,ISNUMBER('中古車掲載'!N606),'中古車掲載'!N606&gt;=20000,'中古車掲載'!O606&lt;=100000,'中古車掲載'!AL606=1),'中古車掲載'!U606,"")</x:f>
      </x:c>
      <x:c r="BI605" s="3" t="str">
        <x:v>Taladrod|Fortuner|ICE|Unknown</x:v>
      </x:c>
      <x:c r="BJ605" s="3" t="n">
        <x:v>606</x:v>
      </x:c>
      <x:c r="BK605" s="3" t="n">
        <x:f>'中古車掲載'!AM606</x:f>
        <x:v>899000</x:v>
      </x:c>
      <x:c r="BL605" s="3" t="str">
        <x:f>IF(ISNUMBER('中古車掲載'!AN606),'中古車掲載'!AN606,"")</x:f>
      </x:c>
      <x:c r="BM605" s="3"/>
      <x:c r="BN605" s="3"/>
      <x:c r="BO605" s="3"/>
      <x:c r="BP605" s="3"/>
      <x:c r="BQ605" s="3"/>
      <x:c r="BR605" s="3"/>
    </x:row>
    <x:row r="606" ht="22" customHeight="1">
      <x:c r="A606" s="3" t="str">
        <x:v>Hilux Revo</x:v>
      </x:c>
      <x:c r="B606" s="3" t="str">
        <x:v>ICE</x:v>
      </x:c>
      <x:c r="C606" s="3" t="str">
        <x:v>Taladrod</x:v>
      </x:c>
      <x:c r="D606" s="3" t="str">
        <x:v>Pickup</x:v>
      </x:c>
      <x:c r="E606" s="3" t="str">
        <x:v>Smart cab</x:v>
      </x:c>
      <x:c r="F606" s="3" t="n">
        <x:v>2023</x:v>
      </x:c>
      <x:c r="G606" s="3" t="str">
        <x:v>2.4 ENTRY Z EDITION SMART CAB</x:v>
      </x:c>
      <x:c r="H606" s="3" t="str">
        <x:v>未掲載</x:v>
      </x:c>
      <x:c r="I606" s="3" t="str">
        <x:v>世代不明</x:v>
      </x:c>
      <x:c r="J606" s="22" t="n">
        <x:f>COUNT('中古車掲載'!AM843:AM849)</x:f>
        <x:v>7</x:v>
      </x:c>
      <x:c r="K606" s="22" t="n">
        <x:f>IF(COUNT('中古車掲載'!AM843:AM849)=0,"",QUARTILE('中古車掲載'!AM843:AM849,1))</x:f>
        <x:v>413500</x:v>
      </x:c>
      <x:c r="L606" s="22" t="n">
        <x:f>IF(COUNT('中古車掲載'!AM843:AM849)=0,"",MEDIAN('中古車掲載'!AM843:AM849))</x:f>
        <x:v>439000</x:v>
      </x:c>
      <x:c r="M606" s="22" t="n">
        <x:f>IF(COUNT('中古車掲載'!AM843:AM849)=0,"",QUARTILE('中古車掲載'!AM843:AM849,3))</x:f>
        <x:v>471500</x:v>
      </x:c>
      <x:c r="N606" s="22" t="n">
        <x:f>COUNT('中古車掲載'!AN843:AN849)</x:f>
        <x:v>0</x:v>
      </x:c>
      <x:c r="O606" s="23" t="str">
        <x:f>IF(COUNT('中古車掲載'!AN843:AN849)=0,"",MEDIAN('中古車掲載'!AN843:AN849))</x:f>
      </x:c>
      <x:c r="P606" s="3"/>
      <x:c r="Q606" s="3"/>
      <x:c r="R606" s="3"/>
      <x:c r="S606" s="3"/>
      <x:c r="T606" s="3"/>
      <x:c r="U606" s="3"/>
      <x:c r="V606" s="3"/>
      <x:c r="W606" s="3"/>
      <x:c r="X606" s="3"/>
      <x:c r="Y606" s="3"/>
      <x:c r="Z606" s="3"/>
      <x:c r="AA606" s="3"/>
      <x:c r="AB606" s="3"/>
      <x:c r="AC606" s="3"/>
      <x:c r="AD606" s="3"/>
      <x:c r="AE606" s="3"/>
      <x:c r="AF606" s="3"/>
      <x:c r="AG606" s="3"/>
      <x:c r="AH606" s="3"/>
      <x:c r="AI606" s="3"/>
      <x:c r="AJ606" s="3"/>
      <x:c r="AK606" s="3"/>
      <x:c r="AL606" s="3"/>
      <x:c r="AM606" s="3"/>
      <x:c r="AN606" s="3"/>
      <x:c r="AO606" s="3"/>
      <x:c r="AP606" s="3"/>
      <x:c r="AQ606" s="3"/>
      <x:c r="AR606" s="3"/>
      <x:c r="AS606" s="3"/>
      <x:c r="AT606" s="3"/>
      <x:c r="AU606" s="3"/>
      <x:c r="AV606" s="3"/>
      <x:c r="AW606" s="3"/>
      <x:c r="AX606" s="3"/>
      <x:c r="AY606" s="3"/>
      <x:c r="AZ606" s="3" t="str">
        <x:f>IF(AND('中古車掲載'!C607="One2car",'中古車掲載'!F607="ATTO 3",'中古車掲載'!L607="EXTENDED RANGE",'中古車掲載'!J607=2023,ISNUMBER('中古車掲載'!N607),'中古車掲載'!N607&gt;=20000,'中古車掲載'!O607&lt;=100000,'中古車掲載'!AL607=1),'中古車掲載'!U607,"")</x:f>
      </x:c>
      <x:c r="BA606" s="3" t="str">
        <x:f>IF(AND('中古車掲載'!C607="One2car",'中古車掲載'!F607="Corolla Cross",'中古車掲載'!L607="HEV PREMIUM SAFETY",'中古車掲載'!J607=2023,ISNUMBER('中古車掲載'!N607),'中古車掲載'!N607&gt;=20000,'中古車掲載'!O607&lt;=100000,'中古車掲載'!AL607=1,'中古車掲載'!Z607="https://www.one2car.com/en/cars-for-sale/toyota/corolla-cross/year-2023"),'中古車掲載'!U607,"")</x:f>
      </x:c>
      <x:c r="BB606" s="3" t="str">
        <x:f>IF(AND('中古車掲載'!C607="One2car",'中古車掲載'!F607="ATTO 3",'中古車掲載'!L607="EXTENDED RANGE",'中古車掲載'!J607=2023,ISNUMBER('中古車掲載'!N607),'中古車掲載'!N607&gt;=50000,'中古車掲載'!O607&lt;=100000,'中古車掲載'!AL607=1),'中古車掲載'!U607,"")</x:f>
      </x:c>
      <x:c r="BC606" s="3" t="str">
        <x:f>IF(AND('中古車掲載'!C607="One2car",'中古車掲載'!F607="Corolla Cross",'中古車掲載'!L607="HEV PREMIUM SAFETY",'中古車掲載'!J607=2023,ISNUMBER('中古車掲載'!N607),'中古車掲載'!N607&gt;=50000,'中古車掲載'!O607&lt;=100000,'中古車掲載'!AL607=1,'中古車掲載'!Z607="https://www.one2car.com/en/cars-for-sale/toyota/corolla-cross/year-2023"),'中古車掲載'!U607,"")</x:f>
      </x:c>
      <x:c r="BD606" s="3" t="str">
        <x:f>IF(AND('中古車掲載'!C607="One2car",'中古車掲載'!F607="ATTO 3",'中古車掲載'!L607="EXTENDED RANGE",'中古車掲載'!J607=2023,ISNUMBER('中古車掲載'!N607),'中古車掲載'!N607&gt;=20000,'中古車掲載'!O607&lt;=50000,'中古車掲載'!AL607=1),'中古車掲載'!U607,"")</x:f>
      </x:c>
      <x:c r="BE606" s="3" t="str">
        <x:f>IF(AND('中古車掲載'!C607="One2car",'中古車掲載'!F607="Corolla Cross",'中古車掲載'!L607="HEV PREMIUM SAFETY",'中古車掲載'!J607=2023,ISNUMBER('中古車掲載'!N607),'中古車掲載'!N607&gt;=20000,'中古車掲載'!O607&lt;=50000,'中古車掲載'!AL607=1,'中古車掲載'!Z607="https://www.one2car.com/en/cars-for-sale/toyota/corolla-cross/year-2023"),'中古車掲載'!U607,"")</x:f>
      </x:c>
      <x:c r="BF606" s="3" t="str">
        <x:f>IF(AND('中古車掲載'!C607="One2car",'中古車掲載'!F607="Corolla Cross",'中古車掲載'!L607="HEV PREMIUM",'中古車掲載'!J607=2023,ISNUMBER('中古車掲載'!N607),'中古車掲載'!N607&gt;=20000,'中古車掲載'!O607&lt;=100000,'中古車掲載'!AL607=1,'中古車掲載'!Z607="https://www.one2car.com/en/cars-for-sale/toyota/corolla-cross/year-2023"),'中古車掲載'!U607,"")</x:f>
      </x:c>
      <x:c r="BG606" s="3" t="str">
        <x:f>IF(AND('中古車掲載'!C607="One2car",'中古車掲載'!F607="Corolla Cross",'中古車掲載'!L607="HEV GR SPORT",'中古車掲載'!J607=2023,ISNUMBER('中古車掲載'!N607),'中古車掲載'!N607&gt;=20000,'中古車掲載'!O607&lt;=100000,'中古車掲載'!AL607=1,'中古車掲載'!Z607="https://www.one2car.com/en/cars-for-sale/toyota/corolla-cross/year-2023"),'中古車掲載'!U607,"")</x:f>
      </x:c>
      <x:c r="BH606" s="3" t="str">
        <x:f>IF(AND('中古車掲載'!C607="One2car",'中古車掲載'!F607="DOLPHIN",'中古車掲載'!L607="STANDARD RANGE",'中古車掲載'!J607=2023,ISNUMBER('中古車掲載'!N607),'中古車掲載'!N607&gt;=20000,'中古車掲載'!O607&lt;=100000,'中古車掲載'!AL607=1),'中古車掲載'!U607,"")</x:f>
      </x:c>
      <x:c r="BI606" s="3" t="str">
        <x:v>Taladrod|Fortuner|ICE|Unknown</x:v>
      </x:c>
      <x:c r="BJ606" s="3" t="n">
        <x:v>607</x:v>
      </x:c>
      <x:c r="BK606" s="3" t="n">
        <x:f>'中古車掲載'!AM607</x:f>
        <x:v>969000</x:v>
      </x:c>
      <x:c r="BL606" s="3" t="str">
        <x:f>IF(ISNUMBER('中古車掲載'!AN607),'中古車掲載'!AN607,"")</x:f>
      </x:c>
      <x:c r="BM606" s="3"/>
      <x:c r="BN606" s="3"/>
      <x:c r="BO606" s="3"/>
      <x:c r="BP606" s="3"/>
      <x:c r="BQ606" s="3"/>
      <x:c r="BR606" s="3"/>
    </x:row>
    <x:row r="607" ht="22" customHeight="1">
      <x:c r="A607" s="3" t="str">
        <x:v>Hilux Revo</x:v>
      </x:c>
      <x:c r="B607" s="3" t="str">
        <x:v>ICE</x:v>
      </x:c>
      <x:c r="C607" s="3" t="str">
        <x:v>Taladrod</x:v>
      </x:c>
      <x:c r="D607" s="3" t="str">
        <x:v>Pickup</x:v>
      </x:c>
      <x:c r="E607" s="3" t="str">
        <x:v>Smart cab</x:v>
      </x:c>
      <x:c r="F607" s="3" t="n">
        <x:v>2023</x:v>
      </x:c>
      <x:c r="G607" s="3" t="str">
        <x:v>2.4 MID PRERUNNER SMART CAB</x:v>
      </x:c>
      <x:c r="H607" s="3" t="str">
        <x:v>未掲載</x:v>
      </x:c>
      <x:c r="I607" s="3" t="str">
        <x:v>世代不明</x:v>
      </x:c>
      <x:c r="J607" s="22" t="n">
        <x:f>COUNT('中古車掲載'!AM857:AM858)</x:f>
        <x:v>2</x:v>
      </x:c>
      <x:c r="K607" s="22" t="n">
        <x:f>IF(COUNT('中古車掲載'!AM857:AM858)=0,"",QUARTILE('中古車掲載'!AM857:AM858,1))</x:f>
        <x:v>599000</x:v>
      </x:c>
      <x:c r="L607" s="22" t="n">
        <x:f>IF(COUNT('中古車掲載'!AM857:AM858)=0,"",MEDIAN('中古車掲載'!AM857:AM858))</x:f>
        <x:v>599000</x:v>
      </x:c>
      <x:c r="M607" s="22" t="n">
        <x:f>IF(COUNT('中古車掲載'!AM857:AM858)=0,"",QUARTILE('中古車掲載'!AM857:AM858,3))</x:f>
        <x:v>599000</x:v>
      </x:c>
      <x:c r="N607" s="22" t="n">
        <x:f>COUNT('中古車掲載'!AN857:AN858)</x:f>
        <x:v>0</x:v>
      </x:c>
      <x:c r="O607" s="23" t="str">
        <x:f>IF(COUNT('中古車掲載'!AN857:AN858)=0,"",MEDIAN('中古車掲載'!AN857:AN858))</x:f>
      </x:c>
      <x:c r="P607" s="3"/>
      <x:c r="Q607" s="3"/>
      <x:c r="R607" s="3"/>
      <x:c r="S607" s="3"/>
      <x:c r="T607" s="3"/>
      <x:c r="U607" s="3"/>
      <x:c r="V607" s="3"/>
      <x:c r="W607" s="3"/>
      <x:c r="X607" s="3"/>
      <x:c r="Y607" s="3"/>
      <x:c r="Z607" s="3"/>
      <x:c r="AA607" s="3"/>
      <x:c r="AB607" s="3"/>
      <x:c r="AC607" s="3"/>
      <x:c r="AD607" s="3"/>
      <x:c r="AE607" s="3"/>
      <x:c r="AF607" s="3"/>
      <x:c r="AG607" s="3"/>
      <x:c r="AH607" s="3"/>
      <x:c r="AI607" s="3"/>
      <x:c r="AJ607" s="3"/>
      <x:c r="AK607" s="3"/>
      <x:c r="AL607" s="3"/>
      <x:c r="AM607" s="3"/>
      <x:c r="AN607" s="3"/>
      <x:c r="AO607" s="3"/>
      <x:c r="AP607" s="3"/>
      <x:c r="AQ607" s="3"/>
      <x:c r="AR607" s="3"/>
      <x:c r="AS607" s="3"/>
      <x:c r="AT607" s="3"/>
      <x:c r="AU607" s="3"/>
      <x:c r="AV607" s="3"/>
      <x:c r="AW607" s="3"/>
      <x:c r="AX607" s="3"/>
      <x:c r="AY607" s="3"/>
      <x:c r="AZ607" s="3" t="str">
        <x:f>IF(AND('中古車掲載'!C608="One2car",'中古車掲載'!F608="ATTO 3",'中古車掲載'!L608="EXTENDED RANGE",'中古車掲載'!J608=2023,ISNUMBER('中古車掲載'!N608),'中古車掲載'!N608&gt;=20000,'中古車掲載'!O608&lt;=100000,'中古車掲載'!AL608=1),'中古車掲載'!U608,"")</x:f>
      </x:c>
      <x:c r="BA607" s="3" t="str">
        <x:f>IF(AND('中古車掲載'!C608="One2car",'中古車掲載'!F608="Corolla Cross",'中古車掲載'!L608="HEV PREMIUM SAFETY",'中古車掲載'!J608=2023,ISNUMBER('中古車掲載'!N608),'中古車掲載'!N608&gt;=20000,'中古車掲載'!O608&lt;=100000,'中古車掲載'!AL608=1,'中古車掲載'!Z608="https://www.one2car.com/en/cars-for-sale/toyota/corolla-cross/year-2023"),'中古車掲載'!U608,"")</x:f>
      </x:c>
      <x:c r="BB607" s="3" t="str">
        <x:f>IF(AND('中古車掲載'!C608="One2car",'中古車掲載'!F608="ATTO 3",'中古車掲載'!L608="EXTENDED RANGE",'中古車掲載'!J608=2023,ISNUMBER('中古車掲載'!N608),'中古車掲載'!N608&gt;=50000,'中古車掲載'!O608&lt;=100000,'中古車掲載'!AL608=1),'中古車掲載'!U608,"")</x:f>
      </x:c>
      <x:c r="BC607" s="3" t="str">
        <x:f>IF(AND('中古車掲載'!C608="One2car",'中古車掲載'!F608="Corolla Cross",'中古車掲載'!L608="HEV PREMIUM SAFETY",'中古車掲載'!J608=2023,ISNUMBER('中古車掲載'!N608),'中古車掲載'!N608&gt;=50000,'中古車掲載'!O608&lt;=100000,'中古車掲載'!AL608=1,'中古車掲載'!Z608="https://www.one2car.com/en/cars-for-sale/toyota/corolla-cross/year-2023"),'中古車掲載'!U608,"")</x:f>
      </x:c>
      <x:c r="BD607" s="3" t="str">
        <x:f>IF(AND('中古車掲載'!C608="One2car",'中古車掲載'!F608="ATTO 3",'中古車掲載'!L608="EXTENDED RANGE",'中古車掲載'!J608=2023,ISNUMBER('中古車掲載'!N608),'中古車掲載'!N608&gt;=20000,'中古車掲載'!O608&lt;=50000,'中古車掲載'!AL608=1),'中古車掲載'!U608,"")</x:f>
      </x:c>
      <x:c r="BE607" s="3" t="str">
        <x:f>IF(AND('中古車掲載'!C608="One2car",'中古車掲載'!F608="Corolla Cross",'中古車掲載'!L608="HEV PREMIUM SAFETY",'中古車掲載'!J608=2023,ISNUMBER('中古車掲載'!N608),'中古車掲載'!N608&gt;=20000,'中古車掲載'!O608&lt;=50000,'中古車掲載'!AL608=1,'中古車掲載'!Z608="https://www.one2car.com/en/cars-for-sale/toyota/corolla-cross/year-2023"),'中古車掲載'!U608,"")</x:f>
      </x:c>
      <x:c r="BF607" s="3" t="str">
        <x:f>IF(AND('中古車掲載'!C608="One2car",'中古車掲載'!F608="Corolla Cross",'中古車掲載'!L608="HEV PREMIUM",'中古車掲載'!J608=2023,ISNUMBER('中古車掲載'!N608),'中古車掲載'!N608&gt;=20000,'中古車掲載'!O608&lt;=100000,'中古車掲載'!AL608=1,'中古車掲載'!Z608="https://www.one2car.com/en/cars-for-sale/toyota/corolla-cross/year-2023"),'中古車掲載'!U608,"")</x:f>
      </x:c>
      <x:c r="BG607" s="3" t="str">
        <x:f>IF(AND('中古車掲載'!C608="One2car",'中古車掲載'!F608="Corolla Cross",'中古車掲載'!L608="HEV GR SPORT",'中古車掲載'!J608=2023,ISNUMBER('中古車掲載'!N608),'中古車掲載'!N608&gt;=20000,'中古車掲載'!O608&lt;=100000,'中古車掲載'!AL608=1,'中古車掲載'!Z608="https://www.one2car.com/en/cars-for-sale/toyota/corolla-cross/year-2023"),'中古車掲載'!U608,"")</x:f>
      </x:c>
      <x:c r="BH607" s="3" t="str">
        <x:f>IF(AND('中古車掲載'!C608="One2car",'中古車掲載'!F608="DOLPHIN",'中古車掲載'!L608="STANDARD RANGE",'中古車掲載'!J608=2023,ISNUMBER('中古車掲載'!N608),'中古車掲載'!N608&gt;=20000,'中古車掲載'!O608&lt;=100000,'中古車掲載'!AL608=1),'中古車掲載'!U608,"")</x:f>
      </x:c>
      <x:c r="BI607" s="3" t="str">
        <x:v>Taladrod|Fortuner|ICE|Unknown</x:v>
      </x:c>
      <x:c r="BJ607" s="3" t="n">
        <x:v>608</x:v>
      </x:c>
      <x:c r="BK607" s="3" t="n">
        <x:f>'中古車掲載'!AM608</x:f>
        <x:v>849000</x:v>
      </x:c>
      <x:c r="BL607" s="3" t="str">
        <x:f>IF(ISNUMBER('中古車掲載'!AN608),'中古車掲載'!AN608,"")</x:f>
      </x:c>
      <x:c r="BM607" s="3"/>
      <x:c r="BN607" s="3"/>
      <x:c r="BO607" s="3"/>
      <x:c r="BP607" s="3"/>
      <x:c r="BQ607" s="3"/>
      <x:c r="BR607" s="3"/>
    </x:row>
    <x:row r="608" ht="22" customHeight="1">
      <x:c r="A608" s="3" t="str">
        <x:v>Hilux Revo</x:v>
      </x:c>
      <x:c r="B608" s="3" t="str">
        <x:v>ICE</x:v>
      </x:c>
      <x:c r="C608" s="3" t="str">
        <x:v>Taladrod</x:v>
      </x:c>
      <x:c r="D608" s="3" t="str">
        <x:v>Pickup</x:v>
      </x:c>
      <x:c r="E608" s="3" t="str">
        <x:v>Smart cab</x:v>
      </x:c>
      <x:c r="F608" s="3" t="n">
        <x:v>2023</x:v>
      </x:c>
      <x:c r="G608" s="3" t="str">
        <x:v>2.8 HIGH 4WD SMART CAB</x:v>
      </x:c>
      <x:c r="H608" s="3" t="str">
        <x:v>未掲載</x:v>
      </x:c>
      <x:c r="I608" s="3" t="str">
        <x:v>世代不明</x:v>
      </x:c>
      <x:c r="J608" s="22" t="n">
        <x:f>COUNT('中古車掲載'!AM867:AM867)</x:f>
        <x:v>1</x:v>
      </x:c>
      <x:c r="K608" s="22" t="n">
        <x:f>IF(COUNT('中古車掲載'!AM867:AM867)=0,"",QUARTILE('中古車掲載'!AM867:AM867,1))</x:f>
        <x:v>834000</x:v>
      </x:c>
      <x:c r="L608" s="22" t="n">
        <x:f>IF(COUNT('中古車掲載'!AM867:AM867)=0,"",MEDIAN('中古車掲載'!AM867:AM867))</x:f>
        <x:v>834000</x:v>
      </x:c>
      <x:c r="M608" s="22" t="n">
        <x:f>IF(COUNT('中古車掲載'!AM867:AM867)=0,"",QUARTILE('中古車掲載'!AM867:AM867,3))</x:f>
        <x:v>834000</x:v>
      </x:c>
      <x:c r="N608" s="22" t="n">
        <x:f>COUNT('中古車掲載'!AN867:AN867)</x:f>
        <x:v>0</x:v>
      </x:c>
      <x:c r="O608" s="23" t="str">
        <x:f>IF(COUNT('中古車掲載'!AN867:AN867)=0,"",MEDIAN('中古車掲載'!AN867:AN867))</x:f>
      </x:c>
      <x:c r="P608" s="3"/>
      <x:c r="Q608" s="3"/>
      <x:c r="R608" s="3"/>
      <x:c r="S608" s="3"/>
      <x:c r="T608" s="3"/>
      <x:c r="U608" s="3"/>
      <x:c r="V608" s="3"/>
      <x:c r="W608" s="3"/>
      <x:c r="X608" s="3"/>
      <x:c r="Y608" s="3"/>
      <x:c r="Z608" s="3"/>
      <x:c r="AA608" s="3"/>
      <x:c r="AB608" s="3"/>
      <x:c r="AC608" s="3"/>
      <x:c r="AD608" s="3"/>
      <x:c r="AE608" s="3"/>
      <x:c r="AF608" s="3"/>
      <x:c r="AG608" s="3"/>
      <x:c r="AH608" s="3"/>
      <x:c r="AI608" s="3"/>
      <x:c r="AJ608" s="3"/>
      <x:c r="AK608" s="3"/>
      <x:c r="AL608" s="3"/>
      <x:c r="AM608" s="3"/>
      <x:c r="AN608" s="3"/>
      <x:c r="AO608" s="3"/>
      <x:c r="AP608" s="3"/>
      <x:c r="AQ608" s="3"/>
      <x:c r="AR608" s="3"/>
      <x:c r="AS608" s="3"/>
      <x:c r="AT608" s="3"/>
      <x:c r="AU608" s="3"/>
      <x:c r="AV608" s="3"/>
      <x:c r="AW608" s="3"/>
      <x:c r="AX608" s="3"/>
      <x:c r="AY608" s="3"/>
      <x:c r="AZ608" s="3" t="str">
        <x:f>IF(AND('中古車掲載'!C609="One2car",'中古車掲載'!F609="ATTO 3",'中古車掲載'!L609="EXTENDED RANGE",'中古車掲載'!J609=2023,ISNUMBER('中古車掲載'!N609),'中古車掲載'!N609&gt;=20000,'中古車掲載'!O609&lt;=100000,'中古車掲載'!AL609=1),'中古車掲載'!U609,"")</x:f>
      </x:c>
      <x:c r="BA608" s="3" t="str">
        <x:f>IF(AND('中古車掲載'!C609="One2car",'中古車掲載'!F609="Corolla Cross",'中古車掲載'!L609="HEV PREMIUM SAFETY",'中古車掲載'!J609=2023,ISNUMBER('中古車掲載'!N609),'中古車掲載'!N609&gt;=20000,'中古車掲載'!O609&lt;=100000,'中古車掲載'!AL609=1,'中古車掲載'!Z609="https://www.one2car.com/en/cars-for-sale/toyota/corolla-cross/year-2023"),'中古車掲載'!U609,"")</x:f>
      </x:c>
      <x:c r="BB608" s="3" t="str">
        <x:f>IF(AND('中古車掲載'!C609="One2car",'中古車掲載'!F609="ATTO 3",'中古車掲載'!L609="EXTENDED RANGE",'中古車掲載'!J609=2023,ISNUMBER('中古車掲載'!N609),'中古車掲載'!N609&gt;=50000,'中古車掲載'!O609&lt;=100000,'中古車掲載'!AL609=1),'中古車掲載'!U609,"")</x:f>
      </x:c>
      <x:c r="BC608" s="3" t="str">
        <x:f>IF(AND('中古車掲載'!C609="One2car",'中古車掲載'!F609="Corolla Cross",'中古車掲載'!L609="HEV PREMIUM SAFETY",'中古車掲載'!J609=2023,ISNUMBER('中古車掲載'!N609),'中古車掲載'!N609&gt;=50000,'中古車掲載'!O609&lt;=100000,'中古車掲載'!AL609=1,'中古車掲載'!Z609="https://www.one2car.com/en/cars-for-sale/toyota/corolla-cross/year-2023"),'中古車掲載'!U609,"")</x:f>
      </x:c>
      <x:c r="BD608" s="3" t="str">
        <x:f>IF(AND('中古車掲載'!C609="One2car",'中古車掲載'!F609="ATTO 3",'中古車掲載'!L609="EXTENDED RANGE",'中古車掲載'!J609=2023,ISNUMBER('中古車掲載'!N609),'中古車掲載'!N609&gt;=20000,'中古車掲載'!O609&lt;=50000,'中古車掲載'!AL609=1),'中古車掲載'!U609,"")</x:f>
      </x:c>
      <x:c r="BE608" s="3" t="str">
        <x:f>IF(AND('中古車掲載'!C609="One2car",'中古車掲載'!F609="Corolla Cross",'中古車掲載'!L609="HEV PREMIUM SAFETY",'中古車掲載'!J609=2023,ISNUMBER('中古車掲載'!N609),'中古車掲載'!N609&gt;=20000,'中古車掲載'!O609&lt;=50000,'中古車掲載'!AL609=1,'中古車掲載'!Z609="https://www.one2car.com/en/cars-for-sale/toyota/corolla-cross/year-2023"),'中古車掲載'!U609,"")</x:f>
      </x:c>
      <x:c r="BF608" s="3" t="str">
        <x:f>IF(AND('中古車掲載'!C609="One2car",'中古車掲載'!F609="Corolla Cross",'中古車掲載'!L609="HEV PREMIUM",'中古車掲載'!J609=2023,ISNUMBER('中古車掲載'!N609),'中古車掲載'!N609&gt;=20000,'中古車掲載'!O609&lt;=100000,'中古車掲載'!AL609=1,'中古車掲載'!Z609="https://www.one2car.com/en/cars-for-sale/toyota/corolla-cross/year-2023"),'中古車掲載'!U609,"")</x:f>
      </x:c>
      <x:c r="BG608" s="3" t="str">
        <x:f>IF(AND('中古車掲載'!C609="One2car",'中古車掲載'!F609="Corolla Cross",'中古車掲載'!L609="HEV GR SPORT",'中古車掲載'!J609=2023,ISNUMBER('中古車掲載'!N609),'中古車掲載'!N609&gt;=20000,'中古車掲載'!O609&lt;=100000,'中古車掲載'!AL609=1,'中古車掲載'!Z609="https://www.one2car.com/en/cars-for-sale/toyota/corolla-cross/year-2023"),'中古車掲載'!U609,"")</x:f>
      </x:c>
      <x:c r="BH608" s="3" t="str">
        <x:f>IF(AND('中古車掲載'!C609="One2car",'中古車掲載'!F609="DOLPHIN",'中古車掲載'!L609="STANDARD RANGE",'中古車掲載'!J609=2023,ISNUMBER('中古車掲載'!N609),'中古車掲載'!N609&gt;=20000,'中古車掲載'!O609&lt;=100000,'中古車掲載'!AL609=1),'中古車掲載'!U609,"")</x:f>
      </x:c>
      <x:c r="BI608" s="3" t="str">
        <x:v>Taladrod|Fortuner|ICE|Unknown</x:v>
      </x:c>
      <x:c r="BJ608" s="3" t="n">
        <x:v>609</x:v>
      </x:c>
      <x:c r="BK608" s="3" t="n">
        <x:f>'中古車掲載'!AM609</x:f>
        <x:v>829000</x:v>
      </x:c>
      <x:c r="BL608" s="3" t="str">
        <x:f>IF(ISNUMBER('中古車掲載'!AN609),'中古車掲載'!AN609,"")</x:f>
      </x:c>
      <x:c r="BM608" s="3"/>
      <x:c r="BN608" s="3"/>
      <x:c r="BO608" s="3"/>
      <x:c r="BP608" s="3"/>
      <x:c r="BQ608" s="3"/>
      <x:c r="BR608" s="3"/>
    </x:row>
    <x:row r="609" ht="22" customHeight="1">
      <x:c r="A609" s="3" t="str">
        <x:v>Hilux Revo</x:v>
      </x:c>
      <x:c r="B609" s="3" t="str">
        <x:v>ICE</x:v>
      </x:c>
      <x:c r="C609" s="3" t="str">
        <x:v>Taladrod</x:v>
      </x:c>
      <x:c r="D609" s="3" t="str">
        <x:v>Pickup</x:v>
      </x:c>
      <x:c r="E609" s="3" t="str">
        <x:v>Smart cab</x:v>
      </x:c>
      <x:c r="F609" s="3" t="n">
        <x:v>2024</x:v>
      </x:c>
      <x:c r="G609" s="3" t="str">
        <x:v>2.4 ENTRY PRERUNNER SMART CAB</x:v>
      </x:c>
      <x:c r="H609" s="3" t="str">
        <x:v>未掲載</x:v>
      </x:c>
      <x:c r="I609" s="3" t="str">
        <x:v>世代不明</x:v>
      </x:c>
      <x:c r="J609" s="22" t="n">
        <x:f>COUNT('中古車掲載'!AM869:AM871)</x:f>
        <x:v>3</x:v>
      </x:c>
      <x:c r="K609" s="22" t="n">
        <x:f>IF(COUNT('中古車掲載'!AM869:AM871)=0,"",QUARTILE('中古車掲載'!AM869:AM871,1))</x:f>
        <x:v>542000</x:v>
      </x:c>
      <x:c r="L609" s="22" t="n">
        <x:f>IF(COUNT('中古車掲載'!AM869:AM871)=0,"",MEDIAN('中古車掲載'!AM869:AM871))</x:f>
        <x:v>565000</x:v>
      </x:c>
      <x:c r="M609" s="22" t="n">
        <x:f>IF(COUNT('中古車掲載'!AM869:AM871)=0,"",QUARTILE('中古車掲載'!AM869:AM871,3))</x:f>
        <x:v>565000</x:v>
      </x:c>
      <x:c r="N609" s="22" t="n">
        <x:f>COUNT('中古車掲載'!AN869:AN871)</x:f>
        <x:v>0</x:v>
      </x:c>
      <x:c r="O609" s="23" t="str">
        <x:f>IF(COUNT('中古車掲載'!AN869:AN871)=0,"",MEDIAN('中古車掲載'!AN869:AN871))</x:f>
      </x:c>
      <x:c r="P609" s="3"/>
      <x:c r="Q609" s="3"/>
      <x:c r="R609" s="3"/>
      <x:c r="S609" s="3"/>
      <x:c r="T609" s="3"/>
      <x:c r="U609" s="3"/>
      <x:c r="V609" s="3"/>
      <x:c r="W609" s="3"/>
      <x:c r="X609" s="3"/>
      <x:c r="Y609" s="3"/>
      <x:c r="Z609" s="3"/>
      <x:c r="AA609" s="3"/>
      <x:c r="AB609" s="3"/>
      <x:c r="AC609" s="3"/>
      <x:c r="AD609" s="3"/>
      <x:c r="AE609" s="3"/>
      <x:c r="AF609" s="3"/>
      <x:c r="AG609" s="3"/>
      <x:c r="AH609" s="3"/>
      <x:c r="AI609" s="3"/>
      <x:c r="AJ609" s="3"/>
      <x:c r="AK609" s="3"/>
      <x:c r="AL609" s="3"/>
      <x:c r="AM609" s="3"/>
      <x:c r="AN609" s="3"/>
      <x:c r="AO609" s="3"/>
      <x:c r="AP609" s="3"/>
      <x:c r="AQ609" s="3"/>
      <x:c r="AR609" s="3"/>
      <x:c r="AS609" s="3"/>
      <x:c r="AT609" s="3"/>
      <x:c r="AU609" s="3"/>
      <x:c r="AV609" s="3"/>
      <x:c r="AW609" s="3"/>
      <x:c r="AX609" s="3"/>
      <x:c r="AY609" s="3"/>
      <x:c r="AZ609" s="3" t="str">
        <x:f>IF(AND('中古車掲載'!C610="One2car",'中古車掲載'!F610="ATTO 3",'中古車掲載'!L610="EXTENDED RANGE",'中古車掲載'!J610=2023,ISNUMBER('中古車掲載'!N610),'中古車掲載'!N610&gt;=20000,'中古車掲載'!O610&lt;=100000,'中古車掲載'!AL610=1),'中古車掲載'!U610,"")</x:f>
      </x:c>
      <x:c r="BA609" s="3" t="str">
        <x:f>IF(AND('中古車掲載'!C610="One2car",'中古車掲載'!F610="Corolla Cross",'中古車掲載'!L610="HEV PREMIUM SAFETY",'中古車掲載'!J610=2023,ISNUMBER('中古車掲載'!N610),'中古車掲載'!N610&gt;=20000,'中古車掲載'!O610&lt;=100000,'中古車掲載'!AL610=1,'中古車掲載'!Z610="https://www.one2car.com/en/cars-for-sale/toyota/corolla-cross/year-2023"),'中古車掲載'!U610,"")</x:f>
      </x:c>
      <x:c r="BB609" s="3" t="str">
        <x:f>IF(AND('中古車掲載'!C610="One2car",'中古車掲載'!F610="ATTO 3",'中古車掲載'!L610="EXTENDED RANGE",'中古車掲載'!J610=2023,ISNUMBER('中古車掲載'!N610),'中古車掲載'!N610&gt;=50000,'中古車掲載'!O610&lt;=100000,'中古車掲載'!AL610=1),'中古車掲載'!U610,"")</x:f>
      </x:c>
      <x:c r="BC609" s="3" t="str">
        <x:f>IF(AND('中古車掲載'!C610="One2car",'中古車掲載'!F610="Corolla Cross",'中古車掲載'!L610="HEV PREMIUM SAFETY",'中古車掲載'!J610=2023,ISNUMBER('中古車掲載'!N610),'中古車掲載'!N610&gt;=50000,'中古車掲載'!O610&lt;=100000,'中古車掲載'!AL610=1,'中古車掲載'!Z610="https://www.one2car.com/en/cars-for-sale/toyota/corolla-cross/year-2023"),'中古車掲載'!U610,"")</x:f>
      </x:c>
      <x:c r="BD609" s="3" t="str">
        <x:f>IF(AND('中古車掲載'!C610="One2car",'中古車掲載'!F610="ATTO 3",'中古車掲載'!L610="EXTENDED RANGE",'中古車掲載'!J610=2023,ISNUMBER('中古車掲載'!N610),'中古車掲載'!N610&gt;=20000,'中古車掲載'!O610&lt;=50000,'中古車掲載'!AL610=1),'中古車掲載'!U610,"")</x:f>
      </x:c>
      <x:c r="BE609" s="3" t="str">
        <x:f>IF(AND('中古車掲載'!C610="One2car",'中古車掲載'!F610="Corolla Cross",'中古車掲載'!L610="HEV PREMIUM SAFETY",'中古車掲載'!J610=2023,ISNUMBER('中古車掲載'!N610),'中古車掲載'!N610&gt;=20000,'中古車掲載'!O610&lt;=50000,'中古車掲載'!AL610=1,'中古車掲載'!Z610="https://www.one2car.com/en/cars-for-sale/toyota/corolla-cross/year-2023"),'中古車掲載'!U610,"")</x:f>
      </x:c>
      <x:c r="BF609" s="3" t="str">
        <x:f>IF(AND('中古車掲載'!C610="One2car",'中古車掲載'!F610="Corolla Cross",'中古車掲載'!L610="HEV PREMIUM",'中古車掲載'!J610=2023,ISNUMBER('中古車掲載'!N610),'中古車掲載'!N610&gt;=20000,'中古車掲載'!O610&lt;=100000,'中古車掲載'!AL610=1,'中古車掲載'!Z610="https://www.one2car.com/en/cars-for-sale/toyota/corolla-cross/year-2023"),'中古車掲載'!U610,"")</x:f>
      </x:c>
      <x:c r="BG609" s="3" t="str">
        <x:f>IF(AND('中古車掲載'!C610="One2car",'中古車掲載'!F610="Corolla Cross",'中古車掲載'!L610="HEV GR SPORT",'中古車掲載'!J610=2023,ISNUMBER('中古車掲載'!N610),'中古車掲載'!N610&gt;=20000,'中古車掲載'!O610&lt;=100000,'中古車掲載'!AL610=1,'中古車掲載'!Z610="https://www.one2car.com/en/cars-for-sale/toyota/corolla-cross/year-2023"),'中古車掲載'!U610,"")</x:f>
      </x:c>
      <x:c r="BH609" s="3" t="str">
        <x:f>IF(AND('中古車掲載'!C610="One2car",'中古車掲載'!F610="DOLPHIN",'中古車掲載'!L610="STANDARD RANGE",'中古車掲載'!J610=2023,ISNUMBER('中古車掲載'!N610),'中古車掲載'!N610&gt;=20000,'中古車掲載'!O610&lt;=100000,'中古車掲載'!AL610=1),'中古車掲載'!U610,"")</x:f>
      </x:c>
      <x:c r="BI609" s="3" t="str">
        <x:v>Taladrod|Fortuner|ICE|Unknown</x:v>
      </x:c>
      <x:c r="BJ609" s="3" t="n">
        <x:v>610</x:v>
      </x:c>
      <x:c r="BK609" s="3" t="n">
        <x:f>'中古車掲載'!AM610</x:f>
        <x:v>844000</x:v>
      </x:c>
      <x:c r="BL609" s="3" t="str">
        <x:f>IF(ISNUMBER('中古車掲載'!AN610),'中古車掲載'!AN610,"")</x:f>
      </x:c>
      <x:c r="BM609" s="3"/>
      <x:c r="BN609" s="3"/>
      <x:c r="BO609" s="3"/>
      <x:c r="BP609" s="3"/>
      <x:c r="BQ609" s="3"/>
      <x:c r="BR609" s="3"/>
    </x:row>
    <x:row r="610" ht="22" customHeight="1">
      <x:c r="A610" s="3" t="str">
        <x:v>Hilux Revo</x:v>
      </x:c>
      <x:c r="B610" s="3" t="str">
        <x:v>ICE</x:v>
      </x:c>
      <x:c r="C610" s="3" t="str">
        <x:v>Taladrod</x:v>
      </x:c>
      <x:c r="D610" s="3" t="str">
        <x:v>Pickup</x:v>
      </x:c>
      <x:c r="E610" s="3" t="str">
        <x:v>Smart cab</x:v>
      </x:c>
      <x:c r="F610" s="3" t="n">
        <x:v>2024</x:v>
      </x:c>
      <x:c r="G610" s="3" t="str">
        <x:v>2.4 ENTRY Z EDITION SMART CAB</x:v>
      </x:c>
      <x:c r="H610" s="3" t="str">
        <x:v>未掲載</x:v>
      </x:c>
      <x:c r="I610" s="3" t="str">
        <x:v>世代不明</x:v>
      </x:c>
      <x:c r="J610" s="22" t="n">
        <x:f>COUNT('中古車掲載'!AM880:AM881)</x:f>
        <x:v>2</x:v>
      </x:c>
      <x:c r="K610" s="22" t="n">
        <x:f>IF(COUNT('中古車掲載'!AM880:AM881)=0,"",QUARTILE('中古車掲載'!AM880:AM881,1))</x:f>
        <x:v>372750</x:v>
      </x:c>
      <x:c r="L610" s="22" t="n">
        <x:f>IF(COUNT('中古車掲載'!AM880:AM881)=0,"",MEDIAN('中古車掲載'!AM880:AM881))</x:f>
        <x:v>381500</x:v>
      </x:c>
      <x:c r="M610" s="22" t="n">
        <x:f>IF(COUNT('中古車掲載'!AM880:AM881)=0,"",QUARTILE('中古車掲載'!AM880:AM881,3))</x:f>
        <x:v>390250</x:v>
      </x:c>
      <x:c r="N610" s="22" t="n">
        <x:f>COUNT('中古車掲載'!AN880:AN881)</x:f>
        <x:v>0</x:v>
      </x:c>
      <x:c r="O610" s="23" t="str">
        <x:f>IF(COUNT('中古車掲載'!AN880:AN881)=0,"",MEDIAN('中古車掲載'!AN880:AN881))</x:f>
      </x:c>
      <x:c r="P610" s="3"/>
      <x:c r="Q610" s="3"/>
      <x:c r="R610" s="3"/>
      <x:c r="S610" s="3"/>
      <x:c r="T610" s="3"/>
      <x:c r="U610" s="3"/>
      <x:c r="V610" s="3"/>
      <x:c r="W610" s="3"/>
      <x:c r="X610" s="3"/>
      <x:c r="Y610" s="3"/>
      <x:c r="Z610" s="3"/>
      <x:c r="AA610" s="3"/>
      <x:c r="AB610" s="3"/>
      <x:c r="AC610" s="3"/>
      <x:c r="AD610" s="3"/>
      <x:c r="AE610" s="3"/>
      <x:c r="AF610" s="3"/>
      <x:c r="AG610" s="3"/>
      <x:c r="AH610" s="3"/>
      <x:c r="AI610" s="3"/>
      <x:c r="AJ610" s="3"/>
      <x:c r="AK610" s="3"/>
      <x:c r="AL610" s="3"/>
      <x:c r="AM610" s="3"/>
      <x:c r="AN610" s="3"/>
      <x:c r="AO610" s="3"/>
      <x:c r="AP610" s="3"/>
      <x:c r="AQ610" s="3"/>
      <x:c r="AR610" s="3"/>
      <x:c r="AS610" s="3"/>
      <x:c r="AT610" s="3"/>
      <x:c r="AU610" s="3"/>
      <x:c r="AV610" s="3"/>
      <x:c r="AW610" s="3"/>
      <x:c r="AX610" s="3"/>
      <x:c r="AY610" s="3"/>
      <x:c r="AZ610" s="3" t="str">
        <x:f>IF(AND('中古車掲載'!C611="One2car",'中古車掲載'!F611="ATTO 3",'中古車掲載'!L611="EXTENDED RANGE",'中古車掲載'!J611=2023,ISNUMBER('中古車掲載'!N611),'中古車掲載'!N611&gt;=20000,'中古車掲載'!O611&lt;=100000,'中古車掲載'!AL611=1),'中古車掲載'!U611,"")</x:f>
      </x:c>
      <x:c r="BA610" s="3" t="str">
        <x:f>IF(AND('中古車掲載'!C611="One2car",'中古車掲載'!F611="Corolla Cross",'中古車掲載'!L611="HEV PREMIUM SAFETY",'中古車掲載'!J611=2023,ISNUMBER('中古車掲載'!N611),'中古車掲載'!N611&gt;=20000,'中古車掲載'!O611&lt;=100000,'中古車掲載'!AL611=1,'中古車掲載'!Z611="https://www.one2car.com/en/cars-for-sale/toyota/corolla-cross/year-2023"),'中古車掲載'!U611,"")</x:f>
      </x:c>
      <x:c r="BB610" s="3" t="str">
        <x:f>IF(AND('中古車掲載'!C611="One2car",'中古車掲載'!F611="ATTO 3",'中古車掲載'!L611="EXTENDED RANGE",'中古車掲載'!J611=2023,ISNUMBER('中古車掲載'!N611),'中古車掲載'!N611&gt;=50000,'中古車掲載'!O611&lt;=100000,'中古車掲載'!AL611=1),'中古車掲載'!U611,"")</x:f>
      </x:c>
      <x:c r="BC610" s="3" t="str">
        <x:f>IF(AND('中古車掲載'!C611="One2car",'中古車掲載'!F611="Corolla Cross",'中古車掲載'!L611="HEV PREMIUM SAFETY",'中古車掲載'!J611=2023,ISNUMBER('中古車掲載'!N611),'中古車掲載'!N611&gt;=50000,'中古車掲載'!O611&lt;=100000,'中古車掲載'!AL611=1,'中古車掲載'!Z611="https://www.one2car.com/en/cars-for-sale/toyota/corolla-cross/year-2023"),'中古車掲載'!U611,"")</x:f>
      </x:c>
      <x:c r="BD610" s="3" t="str">
        <x:f>IF(AND('中古車掲載'!C611="One2car",'中古車掲載'!F611="ATTO 3",'中古車掲載'!L611="EXTENDED RANGE",'中古車掲載'!J611=2023,ISNUMBER('中古車掲載'!N611),'中古車掲載'!N611&gt;=20000,'中古車掲載'!O611&lt;=50000,'中古車掲載'!AL611=1),'中古車掲載'!U611,"")</x:f>
      </x:c>
      <x:c r="BE610" s="3" t="str">
        <x:f>IF(AND('中古車掲載'!C611="One2car",'中古車掲載'!F611="Corolla Cross",'中古車掲載'!L611="HEV PREMIUM SAFETY",'中古車掲載'!J611=2023,ISNUMBER('中古車掲載'!N611),'中古車掲載'!N611&gt;=20000,'中古車掲載'!O611&lt;=50000,'中古車掲載'!AL611=1,'中古車掲載'!Z611="https://www.one2car.com/en/cars-for-sale/toyota/corolla-cross/year-2023"),'中古車掲載'!U611,"")</x:f>
      </x:c>
      <x:c r="BF610" s="3" t="str">
        <x:f>IF(AND('中古車掲載'!C611="One2car",'中古車掲載'!F611="Corolla Cross",'中古車掲載'!L611="HEV PREMIUM",'中古車掲載'!J611=2023,ISNUMBER('中古車掲載'!N611),'中古車掲載'!N611&gt;=20000,'中古車掲載'!O611&lt;=100000,'中古車掲載'!AL611=1,'中古車掲載'!Z611="https://www.one2car.com/en/cars-for-sale/toyota/corolla-cross/year-2023"),'中古車掲載'!U611,"")</x:f>
      </x:c>
      <x:c r="BG610" s="3" t="str">
        <x:f>IF(AND('中古車掲載'!C611="One2car",'中古車掲載'!F611="Corolla Cross",'中古車掲載'!L611="HEV GR SPORT",'中古車掲載'!J611=2023,ISNUMBER('中古車掲載'!N611),'中古車掲載'!N611&gt;=20000,'中古車掲載'!O611&lt;=100000,'中古車掲載'!AL611=1,'中古車掲載'!Z611="https://www.one2car.com/en/cars-for-sale/toyota/corolla-cross/year-2023"),'中古車掲載'!U611,"")</x:f>
      </x:c>
      <x:c r="BH610" s="3" t="str">
        <x:f>IF(AND('中古車掲載'!C611="One2car",'中古車掲載'!F611="DOLPHIN",'中古車掲載'!L611="STANDARD RANGE",'中古車掲載'!J611=2023,ISNUMBER('中古車掲載'!N611),'中古車掲載'!N611&gt;=20000,'中古車掲載'!O611&lt;=100000,'中古車掲載'!AL611=1),'中古車掲載'!U611,"")</x:f>
      </x:c>
      <x:c r="BI610" s="3" t="str">
        <x:v>Taladrod|Fortuner|ICE|Unknown</x:v>
      </x:c>
      <x:c r="BJ610" s="3" t="n">
        <x:v>611</x:v>
      </x:c>
      <x:c r="BK610" s="3" t="n">
        <x:f>'中古車掲載'!AM611</x:f>
        <x:v>888000</x:v>
      </x:c>
      <x:c r="BL610" s="3" t="str">
        <x:f>IF(ISNUMBER('中古車掲載'!AN611),'中古車掲載'!AN611,"")</x:f>
      </x:c>
      <x:c r="BM610" s="3"/>
      <x:c r="BN610" s="3"/>
      <x:c r="BO610" s="3"/>
      <x:c r="BP610" s="3"/>
      <x:c r="BQ610" s="3"/>
      <x:c r="BR610" s="3"/>
    </x:row>
    <x:row r="611" ht="22" customHeight="1">
      <x:c r="A611" s="3" t="str">
        <x:v>Hilux Revo</x:v>
      </x:c>
      <x:c r="B611" s="3" t="str">
        <x:v>ICE</x:v>
      </x:c>
      <x:c r="C611" s="3" t="str">
        <x:v>Taladrod</x:v>
      </x:c>
      <x:c r="D611" s="3" t="str">
        <x:v>Pickup</x:v>
      </x:c>
      <x:c r="E611" s="3" t="str">
        <x:v>Smart cab</x:v>
      </x:c>
      <x:c r="F611" s="3" t="n">
        <x:v>2024</x:v>
      </x:c>
      <x:c r="G611" s="3" t="str">
        <x:v>2.4 MID PRERUNNER SMART CAB</x:v>
      </x:c>
      <x:c r="H611" s="3" t="str">
        <x:v>未掲載</x:v>
      </x:c>
      <x:c r="I611" s="3" t="str">
        <x:v>世代不明</x:v>
      </x:c>
      <x:c r="J611" s="22" t="n">
        <x:f>COUNT('中古車掲載'!AM888:AM888)</x:f>
        <x:v>1</x:v>
      </x:c>
      <x:c r="K611" s="22" t="n">
        <x:f>IF(COUNT('中古車掲載'!AM888:AM888)=0,"",QUARTILE('中古車掲載'!AM888:AM888,1))</x:f>
        <x:v>679000</x:v>
      </x:c>
      <x:c r="L611" s="22" t="n">
        <x:f>IF(COUNT('中古車掲載'!AM888:AM888)=0,"",MEDIAN('中古車掲載'!AM888:AM888))</x:f>
        <x:v>679000</x:v>
      </x:c>
      <x:c r="M611" s="22" t="n">
        <x:f>IF(COUNT('中古車掲載'!AM888:AM888)=0,"",QUARTILE('中古車掲載'!AM888:AM888,3))</x:f>
        <x:v>679000</x:v>
      </x:c>
      <x:c r="N611" s="22" t="n">
        <x:f>COUNT('中古車掲載'!AN888:AN888)</x:f>
        <x:v>0</x:v>
      </x:c>
      <x:c r="O611" s="23" t="str">
        <x:f>IF(COUNT('中古車掲載'!AN888:AN888)=0,"",MEDIAN('中古車掲載'!AN888:AN888))</x:f>
      </x:c>
      <x:c r="P611" s="3"/>
      <x:c r="Q611" s="3"/>
      <x:c r="R611" s="3"/>
      <x:c r="S611" s="3"/>
      <x:c r="T611" s="3"/>
      <x:c r="U611" s="3"/>
      <x:c r="V611" s="3"/>
      <x:c r="W611" s="3"/>
      <x:c r="X611" s="3"/>
      <x:c r="Y611" s="3"/>
      <x:c r="Z611" s="3"/>
      <x:c r="AA611" s="3"/>
      <x:c r="AB611" s="3"/>
      <x:c r="AC611" s="3"/>
      <x:c r="AD611" s="3"/>
      <x:c r="AE611" s="3"/>
      <x:c r="AF611" s="3"/>
      <x:c r="AG611" s="3"/>
      <x:c r="AH611" s="3"/>
      <x:c r="AI611" s="3"/>
      <x:c r="AJ611" s="3"/>
      <x:c r="AK611" s="3"/>
      <x:c r="AL611" s="3"/>
      <x:c r="AM611" s="3"/>
      <x:c r="AN611" s="3"/>
      <x:c r="AO611" s="3"/>
      <x:c r="AP611" s="3"/>
      <x:c r="AQ611" s="3"/>
      <x:c r="AR611" s="3"/>
      <x:c r="AS611" s="3"/>
      <x:c r="AT611" s="3"/>
      <x:c r="AU611" s="3"/>
      <x:c r="AV611" s="3"/>
      <x:c r="AW611" s="3"/>
      <x:c r="AX611" s="3"/>
      <x:c r="AY611" s="3"/>
      <x:c r="AZ611" s="3" t="str">
        <x:f>IF(AND('中古車掲載'!C612="One2car",'中古車掲載'!F612="ATTO 3",'中古車掲載'!L612="EXTENDED RANGE",'中古車掲載'!J612=2023,ISNUMBER('中古車掲載'!N612),'中古車掲載'!N612&gt;=20000,'中古車掲載'!O612&lt;=100000,'中古車掲載'!AL612=1),'中古車掲載'!U612,"")</x:f>
      </x:c>
      <x:c r="BA611" s="3" t="str">
        <x:f>IF(AND('中古車掲載'!C612="One2car",'中古車掲載'!F612="Corolla Cross",'中古車掲載'!L612="HEV PREMIUM SAFETY",'中古車掲載'!J612=2023,ISNUMBER('中古車掲載'!N612),'中古車掲載'!N612&gt;=20000,'中古車掲載'!O612&lt;=100000,'中古車掲載'!AL612=1,'中古車掲載'!Z612="https://www.one2car.com/en/cars-for-sale/toyota/corolla-cross/year-2023"),'中古車掲載'!U612,"")</x:f>
      </x:c>
      <x:c r="BB611" s="3" t="str">
        <x:f>IF(AND('中古車掲載'!C612="One2car",'中古車掲載'!F612="ATTO 3",'中古車掲載'!L612="EXTENDED RANGE",'中古車掲載'!J612=2023,ISNUMBER('中古車掲載'!N612),'中古車掲載'!N612&gt;=50000,'中古車掲載'!O612&lt;=100000,'中古車掲載'!AL612=1),'中古車掲載'!U612,"")</x:f>
      </x:c>
      <x:c r="BC611" s="3" t="str">
        <x:f>IF(AND('中古車掲載'!C612="One2car",'中古車掲載'!F612="Corolla Cross",'中古車掲載'!L612="HEV PREMIUM SAFETY",'中古車掲載'!J612=2023,ISNUMBER('中古車掲載'!N612),'中古車掲載'!N612&gt;=50000,'中古車掲載'!O612&lt;=100000,'中古車掲載'!AL612=1,'中古車掲載'!Z612="https://www.one2car.com/en/cars-for-sale/toyota/corolla-cross/year-2023"),'中古車掲載'!U612,"")</x:f>
      </x:c>
      <x:c r="BD611" s="3" t="str">
        <x:f>IF(AND('中古車掲載'!C612="One2car",'中古車掲載'!F612="ATTO 3",'中古車掲載'!L612="EXTENDED RANGE",'中古車掲載'!J612=2023,ISNUMBER('中古車掲載'!N612),'中古車掲載'!N612&gt;=20000,'中古車掲載'!O612&lt;=50000,'中古車掲載'!AL612=1),'中古車掲載'!U612,"")</x:f>
      </x:c>
      <x:c r="BE611" s="3" t="str">
        <x:f>IF(AND('中古車掲載'!C612="One2car",'中古車掲載'!F612="Corolla Cross",'中古車掲載'!L612="HEV PREMIUM SAFETY",'中古車掲載'!J612=2023,ISNUMBER('中古車掲載'!N612),'中古車掲載'!N612&gt;=20000,'中古車掲載'!O612&lt;=50000,'中古車掲載'!AL612=1,'中古車掲載'!Z612="https://www.one2car.com/en/cars-for-sale/toyota/corolla-cross/year-2023"),'中古車掲載'!U612,"")</x:f>
      </x:c>
      <x:c r="BF611" s="3" t="str">
        <x:f>IF(AND('中古車掲載'!C612="One2car",'中古車掲載'!F612="Corolla Cross",'中古車掲載'!L612="HEV PREMIUM",'中古車掲載'!J612=2023,ISNUMBER('中古車掲載'!N612),'中古車掲載'!N612&gt;=20000,'中古車掲載'!O612&lt;=100000,'中古車掲載'!AL612=1,'中古車掲載'!Z612="https://www.one2car.com/en/cars-for-sale/toyota/corolla-cross/year-2023"),'中古車掲載'!U612,"")</x:f>
      </x:c>
      <x:c r="BG611" s="3" t="str">
        <x:f>IF(AND('中古車掲載'!C612="One2car",'中古車掲載'!F612="Corolla Cross",'中古車掲載'!L612="HEV GR SPORT",'中古車掲載'!J612=2023,ISNUMBER('中古車掲載'!N612),'中古車掲載'!N612&gt;=20000,'中古車掲載'!O612&lt;=100000,'中古車掲載'!AL612=1,'中古車掲載'!Z612="https://www.one2car.com/en/cars-for-sale/toyota/corolla-cross/year-2023"),'中古車掲載'!U612,"")</x:f>
      </x:c>
      <x:c r="BH611" s="3" t="str">
        <x:f>IF(AND('中古車掲載'!C612="One2car",'中古車掲載'!F612="DOLPHIN",'中古車掲載'!L612="STANDARD RANGE",'中古車掲載'!J612=2023,ISNUMBER('中古車掲載'!N612),'中古車掲載'!N612&gt;=20000,'中古車掲載'!O612&lt;=100000,'中古車掲載'!AL612=1),'中古車掲載'!U612,"")</x:f>
      </x:c>
      <x:c r="BI611" s="3" t="str">
        <x:v>Taladrod|Fortuner|ICE|Unknown</x:v>
      </x:c>
      <x:c r="BJ611" s="3" t="n">
        <x:v>612</x:v>
      </x:c>
      <x:c r="BK611" s="3" t="n">
        <x:f>'中古車掲載'!AM612</x:f>
        <x:v>979000</x:v>
      </x:c>
      <x:c r="BL611" s="3" t="str">
        <x:f>IF(ISNUMBER('中古車掲載'!AN612),'中古車掲載'!AN612,"")</x:f>
      </x:c>
      <x:c r="BM611" s="3"/>
      <x:c r="BN611" s="3"/>
      <x:c r="BO611" s="3"/>
      <x:c r="BP611" s="3"/>
      <x:c r="BQ611" s="3"/>
      <x:c r="BR611" s="3"/>
    </x:row>
    <x:row r="612" ht="22" customHeight="1">
      <x:c r="A612" s="3" t="str">
        <x:v>Hilux Revo</x:v>
      </x:c>
      <x:c r="B612" s="3" t="str">
        <x:v>ICE</x:v>
      </x:c>
      <x:c r="C612" s="3" t="str">
        <x:v>Taladrod</x:v>
      </x:c>
      <x:c r="D612" s="3" t="str">
        <x:v>Pickup</x:v>
      </x:c>
      <x:c r="E612" s="3" t="str">
        <x:v>Smart cab</x:v>
      </x:c>
      <x:c r="F612" s="3" t="n">
        <x:v>2025</x:v>
      </x:c>
      <x:c r="G612" s="3" t="str">
        <x:v>2.4 ENTRY PRERUNNER SMART CAB</x:v>
      </x:c>
      <x:c r="H612" s="3" t="str">
        <x:v>未掲載</x:v>
      </x:c>
      <x:c r="I612" s="3" t="str">
        <x:v>世代不明</x:v>
      </x:c>
      <x:c r="J612" s="22" t="n">
        <x:f>COUNT('中古車掲載'!AM898:AM900)</x:f>
        <x:v>3</x:v>
      </x:c>
      <x:c r="K612" s="22" t="n">
        <x:f>IF(COUNT('中古車掲載'!AM898:AM900)=0,"",QUARTILE('中古車掲載'!AM898:AM900,1))</x:f>
        <x:v>574000</x:v>
      </x:c>
      <x:c r="L612" s="22" t="n">
        <x:f>IF(COUNT('中古車掲載'!AM898:AM900)=0,"",MEDIAN('中古車掲載'!AM898:AM900))</x:f>
        <x:v>579000</x:v>
      </x:c>
      <x:c r="M612" s="22" t="n">
        <x:f>IF(COUNT('中古車掲載'!AM898:AM900)=0,"",QUARTILE('中古車掲載'!AM898:AM900,3))</x:f>
        <x:v>579000</x:v>
      </x:c>
      <x:c r="N612" s="22" t="n">
        <x:f>COUNT('中古車掲載'!AN898:AN900)</x:f>
        <x:v>0</x:v>
      </x:c>
      <x:c r="O612" s="23" t="str">
        <x:f>IF(COUNT('中古車掲載'!AN898:AN900)=0,"",MEDIAN('中古車掲載'!AN898:AN900))</x:f>
      </x:c>
      <x:c r="P612" s="3"/>
      <x:c r="Q612" s="3"/>
      <x:c r="R612" s="3"/>
      <x:c r="S612" s="3"/>
      <x:c r="T612" s="3"/>
      <x:c r="U612" s="3"/>
      <x:c r="V612" s="3"/>
      <x:c r="W612" s="3"/>
      <x:c r="X612" s="3"/>
      <x:c r="Y612" s="3"/>
      <x:c r="Z612" s="3"/>
      <x:c r="AA612" s="3"/>
      <x:c r="AB612" s="3"/>
      <x:c r="AC612" s="3"/>
      <x:c r="AD612" s="3"/>
      <x:c r="AE612" s="3"/>
      <x:c r="AF612" s="3"/>
      <x:c r="AG612" s="3"/>
      <x:c r="AH612" s="3"/>
      <x:c r="AI612" s="3"/>
      <x:c r="AJ612" s="3"/>
      <x:c r="AK612" s="3"/>
      <x:c r="AL612" s="3"/>
      <x:c r="AM612" s="3"/>
      <x:c r="AN612" s="3"/>
      <x:c r="AO612" s="3"/>
      <x:c r="AP612" s="3"/>
      <x:c r="AQ612" s="3"/>
      <x:c r="AR612" s="3"/>
      <x:c r="AS612" s="3"/>
      <x:c r="AT612" s="3"/>
      <x:c r="AU612" s="3"/>
      <x:c r="AV612" s="3"/>
      <x:c r="AW612" s="3"/>
      <x:c r="AX612" s="3"/>
      <x:c r="AY612" s="3"/>
      <x:c r="AZ612" s="3" t="str">
        <x:f>IF(AND('中古車掲載'!C613="One2car",'中古車掲載'!F613="ATTO 3",'中古車掲載'!L613="EXTENDED RANGE",'中古車掲載'!J613=2023,ISNUMBER('中古車掲載'!N613),'中古車掲載'!N613&gt;=20000,'中古車掲載'!O613&lt;=100000,'中古車掲載'!AL613=1),'中古車掲載'!U613,"")</x:f>
      </x:c>
      <x:c r="BA612" s="3" t="str">
        <x:f>IF(AND('中古車掲載'!C613="One2car",'中古車掲載'!F613="Corolla Cross",'中古車掲載'!L613="HEV PREMIUM SAFETY",'中古車掲載'!J613=2023,ISNUMBER('中古車掲載'!N613),'中古車掲載'!N613&gt;=20000,'中古車掲載'!O613&lt;=100000,'中古車掲載'!AL613=1,'中古車掲載'!Z613="https://www.one2car.com/en/cars-for-sale/toyota/corolla-cross/year-2023"),'中古車掲載'!U613,"")</x:f>
      </x:c>
      <x:c r="BB612" s="3" t="str">
        <x:f>IF(AND('中古車掲載'!C613="One2car",'中古車掲載'!F613="ATTO 3",'中古車掲載'!L613="EXTENDED RANGE",'中古車掲載'!J613=2023,ISNUMBER('中古車掲載'!N613),'中古車掲載'!N613&gt;=50000,'中古車掲載'!O613&lt;=100000,'中古車掲載'!AL613=1),'中古車掲載'!U613,"")</x:f>
      </x:c>
      <x:c r="BC612" s="3" t="str">
        <x:f>IF(AND('中古車掲載'!C613="One2car",'中古車掲載'!F613="Corolla Cross",'中古車掲載'!L613="HEV PREMIUM SAFETY",'中古車掲載'!J613=2023,ISNUMBER('中古車掲載'!N613),'中古車掲載'!N613&gt;=50000,'中古車掲載'!O613&lt;=100000,'中古車掲載'!AL613=1,'中古車掲載'!Z613="https://www.one2car.com/en/cars-for-sale/toyota/corolla-cross/year-2023"),'中古車掲載'!U613,"")</x:f>
      </x:c>
      <x:c r="BD612" s="3" t="str">
        <x:f>IF(AND('中古車掲載'!C613="One2car",'中古車掲載'!F613="ATTO 3",'中古車掲載'!L613="EXTENDED RANGE",'中古車掲載'!J613=2023,ISNUMBER('中古車掲載'!N613),'中古車掲載'!N613&gt;=20000,'中古車掲載'!O613&lt;=50000,'中古車掲載'!AL613=1),'中古車掲載'!U613,"")</x:f>
      </x:c>
      <x:c r="BE612" s="3" t="str">
        <x:f>IF(AND('中古車掲載'!C613="One2car",'中古車掲載'!F613="Corolla Cross",'中古車掲載'!L613="HEV PREMIUM SAFETY",'中古車掲載'!J613=2023,ISNUMBER('中古車掲載'!N613),'中古車掲載'!N613&gt;=20000,'中古車掲載'!O613&lt;=50000,'中古車掲載'!AL613=1,'中古車掲載'!Z613="https://www.one2car.com/en/cars-for-sale/toyota/corolla-cross/year-2023"),'中古車掲載'!U613,"")</x:f>
      </x:c>
      <x:c r="BF612" s="3" t="str">
        <x:f>IF(AND('中古車掲載'!C613="One2car",'中古車掲載'!F613="Corolla Cross",'中古車掲載'!L613="HEV PREMIUM",'中古車掲載'!J613=2023,ISNUMBER('中古車掲載'!N613),'中古車掲載'!N613&gt;=20000,'中古車掲載'!O613&lt;=100000,'中古車掲載'!AL613=1,'中古車掲載'!Z613="https://www.one2car.com/en/cars-for-sale/toyota/corolla-cross/year-2023"),'中古車掲載'!U613,"")</x:f>
      </x:c>
      <x:c r="BG612" s="3" t="str">
        <x:f>IF(AND('中古車掲載'!C613="One2car",'中古車掲載'!F613="Corolla Cross",'中古車掲載'!L613="HEV GR SPORT",'中古車掲載'!J613=2023,ISNUMBER('中古車掲載'!N613),'中古車掲載'!N613&gt;=20000,'中古車掲載'!O613&lt;=100000,'中古車掲載'!AL613=1,'中古車掲載'!Z613="https://www.one2car.com/en/cars-for-sale/toyota/corolla-cross/year-2023"),'中古車掲載'!U613,"")</x:f>
      </x:c>
      <x:c r="BH612" s="3" t="str">
        <x:f>IF(AND('中古車掲載'!C613="One2car",'中古車掲載'!F613="DOLPHIN",'中古車掲載'!L613="STANDARD RANGE",'中古車掲載'!J613=2023,ISNUMBER('中古車掲載'!N613),'中古車掲載'!N613&gt;=20000,'中古車掲載'!O613&lt;=100000,'中古車掲載'!AL613=1),'中古車掲載'!U613,"")</x:f>
      </x:c>
      <x:c r="BI612" s="3" t="str">
        <x:v>Taladrod|Fortuner|ICE|Unknown</x:v>
      </x:c>
      <x:c r="BJ612" s="3" t="n">
        <x:v>613</x:v>
      </x:c>
      <x:c r="BK612" s="3" t="n">
        <x:f>'中古車掲載'!AM613</x:f>
        <x:v>928000</x:v>
      </x:c>
      <x:c r="BL612" s="3" t="str">
        <x:f>IF(ISNUMBER('中古車掲載'!AN613),'中古車掲載'!AN613,"")</x:f>
      </x:c>
      <x:c r="BM612" s="3"/>
      <x:c r="BN612" s="3"/>
      <x:c r="BO612" s="3"/>
      <x:c r="BP612" s="3"/>
      <x:c r="BQ612" s="3"/>
      <x:c r="BR612" s="3"/>
    </x:row>
    <x:row r="613" ht="22" customHeight="1">
      <x:c r="A613" s="3" t="str">
        <x:v>Hilux Revo</x:v>
      </x:c>
      <x:c r="B613" s="3" t="str">
        <x:v>ICE</x:v>
      </x:c>
      <x:c r="C613" s="3" t="str">
        <x:v>Taladrod</x:v>
      </x:c>
      <x:c r="D613" s="3" t="str">
        <x:v>Pickup</x:v>
      </x:c>
      <x:c r="E613" s="3" t="str">
        <x:v>Smart cab</x:v>
      </x:c>
      <x:c r="F613" s="3" t="n">
        <x:v>2025</x:v>
      </x:c>
      <x:c r="G613" s="3" t="str">
        <x:v>2.4 MID PRERUNNER SMART CAB</x:v>
      </x:c>
      <x:c r="H613" s="3" t="str">
        <x:v>未掲載</x:v>
      </x:c>
      <x:c r="I613" s="3" t="str">
        <x:v>世代不明</x:v>
      </x:c>
      <x:c r="J613" s="22" t="n">
        <x:f>COUNT('中古車掲載'!AM914:AM916)</x:f>
        <x:v>3</x:v>
      </x:c>
      <x:c r="K613" s="22" t="n">
        <x:f>IF(COUNT('中古車掲載'!AM914:AM916)=0,"",QUARTILE('中古車掲載'!AM914:AM916,1))</x:f>
        <x:v>639000</x:v>
      </x:c>
      <x:c r="L613" s="22" t="n">
        <x:f>IF(COUNT('中古車掲載'!AM914:AM916)=0,"",MEDIAN('中古車掲載'!AM914:AM916))</x:f>
        <x:v>679000</x:v>
      </x:c>
      <x:c r="M613" s="22" t="n">
        <x:f>IF(COUNT('中古車掲載'!AM914:AM916)=0,"",QUARTILE('中古車掲載'!AM914:AM916,3))</x:f>
        <x:v>689000</x:v>
      </x:c>
      <x:c r="N613" s="22" t="n">
        <x:f>COUNT('中古車掲載'!AN914:AN916)</x:f>
        <x:v>0</x:v>
      </x:c>
      <x:c r="O613" s="23" t="str">
        <x:f>IF(COUNT('中古車掲載'!AN914:AN916)=0,"",MEDIAN('中古車掲載'!AN914:AN916))</x:f>
      </x:c>
      <x:c r="P613" s="3"/>
      <x:c r="Q613" s="3"/>
      <x:c r="R613" s="3"/>
      <x:c r="S613" s="3"/>
      <x:c r="T613" s="3"/>
      <x:c r="U613" s="3"/>
      <x:c r="V613" s="3"/>
      <x:c r="W613" s="3"/>
      <x:c r="X613" s="3"/>
      <x:c r="Y613" s="3"/>
      <x:c r="Z613" s="3"/>
      <x:c r="AA613" s="3"/>
      <x:c r="AB613" s="3"/>
      <x:c r="AC613" s="3"/>
      <x:c r="AD613" s="3"/>
      <x:c r="AE613" s="3"/>
      <x:c r="AF613" s="3"/>
      <x:c r="AG613" s="3"/>
      <x:c r="AH613" s="3"/>
      <x:c r="AI613" s="3"/>
      <x:c r="AJ613" s="3"/>
      <x:c r="AK613" s="3"/>
      <x:c r="AL613" s="3"/>
      <x:c r="AM613" s="3"/>
      <x:c r="AN613" s="3"/>
      <x:c r="AO613" s="3"/>
      <x:c r="AP613" s="3"/>
      <x:c r="AQ613" s="3"/>
      <x:c r="AR613" s="3"/>
      <x:c r="AS613" s="3"/>
      <x:c r="AT613" s="3"/>
      <x:c r="AU613" s="3"/>
      <x:c r="AV613" s="3"/>
      <x:c r="AW613" s="3"/>
      <x:c r="AX613" s="3"/>
      <x:c r="AY613" s="3"/>
      <x:c r="AZ613" s="3" t="str">
        <x:f>IF(AND('中古車掲載'!C614="One2car",'中古車掲載'!F614="ATTO 3",'中古車掲載'!L614="EXTENDED RANGE",'中古車掲載'!J614=2023,ISNUMBER('中古車掲載'!N614),'中古車掲載'!N614&gt;=20000,'中古車掲載'!O614&lt;=100000,'中古車掲載'!AL614=1),'中古車掲載'!U614,"")</x:f>
      </x:c>
      <x:c r="BA613" s="3" t="str">
        <x:f>IF(AND('中古車掲載'!C614="One2car",'中古車掲載'!F614="Corolla Cross",'中古車掲載'!L614="HEV PREMIUM SAFETY",'中古車掲載'!J614=2023,ISNUMBER('中古車掲載'!N614),'中古車掲載'!N614&gt;=20000,'中古車掲載'!O614&lt;=100000,'中古車掲載'!AL614=1,'中古車掲載'!Z614="https://www.one2car.com/en/cars-for-sale/toyota/corolla-cross/year-2023"),'中古車掲載'!U614,"")</x:f>
      </x:c>
      <x:c r="BB613" s="3" t="str">
        <x:f>IF(AND('中古車掲載'!C614="One2car",'中古車掲載'!F614="ATTO 3",'中古車掲載'!L614="EXTENDED RANGE",'中古車掲載'!J614=2023,ISNUMBER('中古車掲載'!N614),'中古車掲載'!N614&gt;=50000,'中古車掲載'!O614&lt;=100000,'中古車掲載'!AL614=1),'中古車掲載'!U614,"")</x:f>
      </x:c>
      <x:c r="BC613" s="3" t="str">
        <x:f>IF(AND('中古車掲載'!C614="One2car",'中古車掲載'!F614="Corolla Cross",'中古車掲載'!L614="HEV PREMIUM SAFETY",'中古車掲載'!J614=2023,ISNUMBER('中古車掲載'!N614),'中古車掲載'!N614&gt;=50000,'中古車掲載'!O614&lt;=100000,'中古車掲載'!AL614=1,'中古車掲載'!Z614="https://www.one2car.com/en/cars-for-sale/toyota/corolla-cross/year-2023"),'中古車掲載'!U614,"")</x:f>
      </x:c>
      <x:c r="BD613" s="3" t="str">
        <x:f>IF(AND('中古車掲載'!C614="One2car",'中古車掲載'!F614="ATTO 3",'中古車掲載'!L614="EXTENDED RANGE",'中古車掲載'!J614=2023,ISNUMBER('中古車掲載'!N614),'中古車掲載'!N614&gt;=20000,'中古車掲載'!O614&lt;=50000,'中古車掲載'!AL614=1),'中古車掲載'!U614,"")</x:f>
      </x:c>
      <x:c r="BE613" s="3" t="str">
        <x:f>IF(AND('中古車掲載'!C614="One2car",'中古車掲載'!F614="Corolla Cross",'中古車掲載'!L614="HEV PREMIUM SAFETY",'中古車掲載'!J614=2023,ISNUMBER('中古車掲載'!N614),'中古車掲載'!N614&gt;=20000,'中古車掲載'!O614&lt;=50000,'中古車掲載'!AL614=1,'中古車掲載'!Z614="https://www.one2car.com/en/cars-for-sale/toyota/corolla-cross/year-2023"),'中古車掲載'!U614,"")</x:f>
      </x:c>
      <x:c r="BF613" s="3" t="str">
        <x:f>IF(AND('中古車掲載'!C614="One2car",'中古車掲載'!F614="Corolla Cross",'中古車掲載'!L614="HEV PREMIUM",'中古車掲載'!J614=2023,ISNUMBER('中古車掲載'!N614),'中古車掲載'!N614&gt;=20000,'中古車掲載'!O614&lt;=100000,'中古車掲載'!AL614=1,'中古車掲載'!Z614="https://www.one2car.com/en/cars-for-sale/toyota/corolla-cross/year-2023"),'中古車掲載'!U614,"")</x:f>
      </x:c>
      <x:c r="BG613" s="3" t="str">
        <x:f>IF(AND('中古車掲載'!C614="One2car",'中古車掲載'!F614="Corolla Cross",'中古車掲載'!L614="HEV GR SPORT",'中古車掲載'!J614=2023,ISNUMBER('中古車掲載'!N614),'中古車掲載'!N614&gt;=20000,'中古車掲載'!O614&lt;=100000,'中古車掲載'!AL614=1,'中古車掲載'!Z614="https://www.one2car.com/en/cars-for-sale/toyota/corolla-cross/year-2023"),'中古車掲載'!U614,"")</x:f>
      </x:c>
      <x:c r="BH613" s="3" t="str">
        <x:f>IF(AND('中古車掲載'!C614="One2car",'中古車掲載'!F614="DOLPHIN",'中古車掲載'!L614="STANDARD RANGE",'中古車掲載'!J614=2023,ISNUMBER('中古車掲載'!N614),'中古車掲載'!N614&gt;=20000,'中古車掲載'!O614&lt;=100000,'中古車掲載'!AL614=1),'中古車掲載'!U614,"")</x:f>
      </x:c>
      <x:c r="BI613" s="3" t="str">
        <x:v>Taladrod|Fortuner|ICE|Unknown</x:v>
      </x:c>
      <x:c r="BJ613" s="3" t="n">
        <x:v>614</x:v>
      </x:c>
      <x:c r="BK613" s="3" t="n">
        <x:f>'中古車掲載'!AM614</x:f>
        <x:v>999000</x:v>
      </x:c>
      <x:c r="BL613" s="3" t="str">
        <x:f>IF(ISNUMBER('中古車掲載'!AN614),'中古車掲載'!AN614,"")</x:f>
      </x:c>
      <x:c r="BM613" s="3"/>
      <x:c r="BN613" s="3"/>
      <x:c r="BO613" s="3"/>
      <x:c r="BP613" s="3"/>
      <x:c r="BQ613" s="3"/>
      <x:c r="BR613" s="3"/>
    </x:row>
    <x:row r="614" ht="22" customHeight="1">
      <x:c r="A614" s="3" t="str">
        <x:v>Hilux Revo</x:v>
      </x:c>
      <x:c r="B614" s="3" t="str">
        <x:v>ICE</x:v>
      </x:c>
      <x:c r="C614" s="3" t="str">
        <x:v>Taladrod</x:v>
      </x:c>
      <x:c r="D614" s="3" t="str">
        <x:v>Pickup</x:v>
      </x:c>
      <x:c r="E614" s="3" t="str">
        <x:v>Smart cab</x:v>
      </x:c>
      <x:c r="F614" s="3" t="n">
        <x:v>2026</x:v>
      </x:c>
      <x:c r="G614" s="3" t="str">
        <x:v>2.4 ENTRY Z EDITION SMART CAB</x:v>
      </x:c>
      <x:c r="H614" s="3" t="str">
        <x:v>未掲載</x:v>
      </x:c>
      <x:c r="I614" s="3" t="str">
        <x:v>世代不明</x:v>
      </x:c>
      <x:c r="J614" s="22" t="n">
        <x:f>COUNT('中古車掲載'!AM919:AM919)</x:f>
        <x:v>0</x:v>
      </x:c>
      <x:c r="K614" s="22" t="str">
        <x:f>IF(COUNT('中古車掲載'!AM919:AM919)=0,"",QUARTILE('中古車掲載'!AM919:AM919,1))</x:f>
      </x:c>
      <x:c r="L614" s="22" t="str">
        <x:f>IF(COUNT('中古車掲載'!AM919:AM919)=0,"",MEDIAN('中古車掲載'!AM919:AM919))</x:f>
      </x:c>
      <x:c r="M614" s="22" t="str">
        <x:f>IF(COUNT('中古車掲載'!AM919:AM919)=0,"",QUARTILE('中古車掲載'!AM919:AM919,3))</x:f>
      </x:c>
      <x:c r="N614" s="22" t="n">
        <x:f>COUNT('中古車掲載'!AN919:AN919)</x:f>
        <x:v>0</x:v>
      </x:c>
      <x:c r="O614" s="23" t="str">
        <x:f>IF(COUNT('中古車掲載'!AN919:AN919)=0,"",MEDIAN('中古車掲載'!AN919:AN919))</x:f>
      </x:c>
      <x:c r="P614" s="3"/>
      <x:c r="Q614" s="3"/>
      <x:c r="R614" s="3"/>
      <x:c r="S614" s="3"/>
      <x:c r="T614" s="3"/>
      <x:c r="U614" s="3"/>
      <x:c r="V614" s="3"/>
      <x:c r="W614" s="3"/>
      <x:c r="X614" s="3"/>
      <x:c r="Y614" s="3"/>
      <x:c r="Z614" s="3"/>
      <x:c r="AA614" s="3"/>
      <x:c r="AB614" s="3"/>
      <x:c r="AC614" s="3"/>
      <x:c r="AD614" s="3"/>
      <x:c r="AE614" s="3"/>
      <x:c r="AF614" s="3"/>
      <x:c r="AG614" s="3"/>
      <x:c r="AH614" s="3"/>
      <x:c r="AI614" s="3"/>
      <x:c r="AJ614" s="3"/>
      <x:c r="AK614" s="3"/>
      <x:c r="AL614" s="3"/>
      <x:c r="AM614" s="3"/>
      <x:c r="AN614" s="3"/>
      <x:c r="AO614" s="3"/>
      <x:c r="AP614" s="3"/>
      <x:c r="AQ614" s="3"/>
      <x:c r="AR614" s="3"/>
      <x:c r="AS614" s="3"/>
      <x:c r="AT614" s="3"/>
      <x:c r="AU614" s="3"/>
      <x:c r="AV614" s="3"/>
      <x:c r="AW614" s="3"/>
      <x:c r="AX614" s="3"/>
      <x:c r="AY614" s="3"/>
      <x:c r="AZ614" s="3" t="str">
        <x:f>IF(AND('中古車掲載'!C615="One2car",'中古車掲載'!F615="ATTO 3",'中古車掲載'!L615="EXTENDED RANGE",'中古車掲載'!J615=2023,ISNUMBER('中古車掲載'!N615),'中古車掲載'!N615&gt;=20000,'中古車掲載'!O615&lt;=100000,'中古車掲載'!AL615=1),'中古車掲載'!U615,"")</x:f>
      </x:c>
      <x:c r="BA614" s="3" t="str">
        <x:f>IF(AND('中古車掲載'!C615="One2car",'中古車掲載'!F615="Corolla Cross",'中古車掲載'!L615="HEV PREMIUM SAFETY",'中古車掲載'!J615=2023,ISNUMBER('中古車掲載'!N615),'中古車掲載'!N615&gt;=20000,'中古車掲載'!O615&lt;=100000,'中古車掲載'!AL615=1,'中古車掲載'!Z615="https://www.one2car.com/en/cars-for-sale/toyota/corolla-cross/year-2023"),'中古車掲載'!U615,"")</x:f>
      </x:c>
      <x:c r="BB614" s="3" t="str">
        <x:f>IF(AND('中古車掲載'!C615="One2car",'中古車掲載'!F615="ATTO 3",'中古車掲載'!L615="EXTENDED RANGE",'中古車掲載'!J615=2023,ISNUMBER('中古車掲載'!N615),'中古車掲載'!N615&gt;=50000,'中古車掲載'!O615&lt;=100000,'中古車掲載'!AL615=1),'中古車掲載'!U615,"")</x:f>
      </x:c>
      <x:c r="BC614" s="3" t="str">
        <x:f>IF(AND('中古車掲載'!C615="One2car",'中古車掲載'!F615="Corolla Cross",'中古車掲載'!L615="HEV PREMIUM SAFETY",'中古車掲載'!J615=2023,ISNUMBER('中古車掲載'!N615),'中古車掲載'!N615&gt;=50000,'中古車掲載'!O615&lt;=100000,'中古車掲載'!AL615=1,'中古車掲載'!Z615="https://www.one2car.com/en/cars-for-sale/toyota/corolla-cross/year-2023"),'中古車掲載'!U615,"")</x:f>
      </x:c>
      <x:c r="BD614" s="3" t="str">
        <x:f>IF(AND('中古車掲載'!C615="One2car",'中古車掲載'!F615="ATTO 3",'中古車掲載'!L615="EXTENDED RANGE",'中古車掲載'!J615=2023,ISNUMBER('中古車掲載'!N615),'中古車掲載'!N615&gt;=20000,'中古車掲載'!O615&lt;=50000,'中古車掲載'!AL615=1),'中古車掲載'!U615,"")</x:f>
      </x:c>
      <x:c r="BE614" s="3" t="str">
        <x:f>IF(AND('中古車掲載'!C615="One2car",'中古車掲載'!F615="Corolla Cross",'中古車掲載'!L615="HEV PREMIUM SAFETY",'中古車掲載'!J615=2023,ISNUMBER('中古車掲載'!N615),'中古車掲載'!N615&gt;=20000,'中古車掲載'!O615&lt;=50000,'中古車掲載'!AL615=1,'中古車掲載'!Z615="https://www.one2car.com/en/cars-for-sale/toyota/corolla-cross/year-2023"),'中古車掲載'!U615,"")</x:f>
      </x:c>
      <x:c r="BF614" s="3" t="str">
        <x:f>IF(AND('中古車掲載'!C615="One2car",'中古車掲載'!F615="Corolla Cross",'中古車掲載'!L615="HEV PREMIUM",'中古車掲載'!J615=2023,ISNUMBER('中古車掲載'!N615),'中古車掲載'!N615&gt;=20000,'中古車掲載'!O615&lt;=100000,'中古車掲載'!AL615=1,'中古車掲載'!Z615="https://www.one2car.com/en/cars-for-sale/toyota/corolla-cross/year-2023"),'中古車掲載'!U615,"")</x:f>
      </x:c>
      <x:c r="BG614" s="3" t="str">
        <x:f>IF(AND('中古車掲載'!C615="One2car",'中古車掲載'!F615="Corolla Cross",'中古車掲載'!L615="HEV GR SPORT",'中古車掲載'!J615=2023,ISNUMBER('中古車掲載'!N615),'中古車掲載'!N615&gt;=20000,'中古車掲載'!O615&lt;=100000,'中古車掲載'!AL615=1,'中古車掲載'!Z615="https://www.one2car.com/en/cars-for-sale/toyota/corolla-cross/year-2023"),'中古車掲載'!U615,"")</x:f>
      </x:c>
      <x:c r="BH614" s="3" t="str">
        <x:f>IF(AND('中古車掲載'!C615="One2car",'中古車掲載'!F615="DOLPHIN",'中古車掲載'!L615="STANDARD RANGE",'中古車掲載'!J615=2023,ISNUMBER('中古車掲載'!N615),'中古車掲載'!N615&gt;=20000,'中古車掲載'!O615&lt;=100000,'中古車掲載'!AL615=1),'中古車掲載'!U615,"")</x:f>
      </x:c>
      <x:c r="BI614" s="3" t="str">
        <x:v>Taladrod|Fortuner|ICE|Unknown</x:v>
      </x:c>
      <x:c r="BJ614" s="3" t="n">
        <x:v>615</x:v>
      </x:c>
      <x:c r="BK614" s="3" t="n">
        <x:f>'中古車掲載'!AM615</x:f>
        <x:v>959000</x:v>
      </x:c>
      <x:c r="BL614" s="3" t="str">
        <x:f>IF(ISNUMBER('中古車掲載'!AN615),'中古車掲載'!AN615,"")</x:f>
      </x:c>
      <x:c r="BM614" s="3"/>
      <x:c r="BN614" s="3"/>
      <x:c r="BO614" s="3"/>
      <x:c r="BP614" s="3"/>
      <x:c r="BQ614" s="3"/>
      <x:c r="BR614" s="3"/>
    </x:row>
    <x:row r="615" ht="22" customHeight="1">
      <x:c r="A615" s="3" t="str">
        <x:v>Hilux Revo</x:v>
      </x:c>
      <x:c r="B615" s="3" t="str">
        <x:v>不明</x:v>
      </x:c>
      <x:c r="C615" s="3" t="str">
        <x:v>Taladrod</x:v>
      </x:c>
      <x:c r="D615" s="3" t="str">
        <x:v>Pickup</x:v>
      </x:c>
      <x:c r="E615" s="3" t="str">
        <x:v>キャブ不明</x:v>
      </x:c>
      <x:c r="F615" s="3" t="n">
        <x:v>2020</x:v>
      </x:c>
      <x:c r="G615" s="3" t="str">
        <x:v>グレード不明</x:v>
      </x:c>
      <x:c r="H615" s="3" t="str">
        <x:v>未掲載</x:v>
      </x:c>
      <x:c r="I615" s="3" t="str">
        <x:v>世代不明</x:v>
      </x:c>
      <x:c r="J615" s="22" t="n">
        <x:f>COUNT('中古車掲載'!AM920:AM920)</x:f>
        <x:v>1</x:v>
      </x:c>
      <x:c r="K615" s="22" t="n">
        <x:f>IF(COUNT('中古車掲載'!AM920:AM920)=0,"",QUARTILE('中古車掲載'!AM920:AM920,1))</x:f>
        <x:v>550000</x:v>
      </x:c>
      <x:c r="L615" s="22" t="n">
        <x:f>IF(COUNT('中古車掲載'!AM920:AM920)=0,"",MEDIAN('中古車掲載'!AM920:AM920))</x:f>
        <x:v>550000</x:v>
      </x:c>
      <x:c r="M615" s="22" t="n">
        <x:f>IF(COUNT('中古車掲載'!AM920:AM920)=0,"",QUARTILE('中古車掲載'!AM920:AM920,3))</x:f>
        <x:v>550000</x:v>
      </x:c>
      <x:c r="N615" s="22" t="n">
        <x:f>COUNT('中古車掲載'!AN920:AN920)</x:f>
        <x:v>0</x:v>
      </x:c>
      <x:c r="O615" s="23" t="str">
        <x:f>IF(COUNT('中古車掲載'!AN920:AN920)=0,"",MEDIAN('中古車掲載'!AN920:AN920))</x:f>
      </x:c>
      <x:c r="P615" s="3"/>
      <x:c r="Q615" s="3"/>
      <x:c r="R615" s="3"/>
      <x:c r="S615" s="3"/>
      <x:c r="T615" s="3"/>
      <x:c r="U615" s="3"/>
      <x:c r="V615" s="3"/>
      <x:c r="W615" s="3"/>
      <x:c r="X615" s="3"/>
      <x:c r="Y615" s="3"/>
      <x:c r="Z615" s="3"/>
      <x:c r="AA615" s="3"/>
      <x:c r="AB615" s="3"/>
      <x:c r="AC615" s="3"/>
      <x:c r="AD615" s="3"/>
      <x:c r="AE615" s="3"/>
      <x:c r="AF615" s="3"/>
      <x:c r="AG615" s="3"/>
      <x:c r="AH615" s="3"/>
      <x:c r="AI615" s="3"/>
      <x:c r="AJ615" s="3"/>
      <x:c r="AK615" s="3"/>
      <x:c r="AL615" s="3"/>
      <x:c r="AM615" s="3"/>
      <x:c r="AN615" s="3"/>
      <x:c r="AO615" s="3"/>
      <x:c r="AP615" s="3"/>
      <x:c r="AQ615" s="3"/>
      <x:c r="AR615" s="3"/>
      <x:c r="AS615" s="3"/>
      <x:c r="AT615" s="3"/>
      <x:c r="AU615" s="3"/>
      <x:c r="AV615" s="3"/>
      <x:c r="AW615" s="3"/>
      <x:c r="AX615" s="3"/>
      <x:c r="AY615" s="3"/>
      <x:c r="AZ615" s="3" t="str">
        <x:f>IF(AND('中古車掲載'!C616="One2car",'中古車掲載'!F616="ATTO 3",'中古車掲載'!L616="EXTENDED RANGE",'中古車掲載'!J616=2023,ISNUMBER('中古車掲載'!N616),'中古車掲載'!N616&gt;=20000,'中古車掲載'!O616&lt;=100000,'中古車掲載'!AL616=1),'中古車掲載'!U616,"")</x:f>
      </x:c>
      <x:c r="BA615" s="3" t="str">
        <x:f>IF(AND('中古車掲載'!C616="One2car",'中古車掲載'!F616="Corolla Cross",'中古車掲載'!L616="HEV PREMIUM SAFETY",'中古車掲載'!J616=2023,ISNUMBER('中古車掲載'!N616),'中古車掲載'!N616&gt;=20000,'中古車掲載'!O616&lt;=100000,'中古車掲載'!AL616=1,'中古車掲載'!Z616="https://www.one2car.com/en/cars-for-sale/toyota/corolla-cross/year-2023"),'中古車掲載'!U616,"")</x:f>
      </x:c>
      <x:c r="BB615" s="3" t="str">
        <x:f>IF(AND('中古車掲載'!C616="One2car",'中古車掲載'!F616="ATTO 3",'中古車掲載'!L616="EXTENDED RANGE",'中古車掲載'!J616=2023,ISNUMBER('中古車掲載'!N616),'中古車掲載'!N616&gt;=50000,'中古車掲載'!O616&lt;=100000,'中古車掲載'!AL616=1),'中古車掲載'!U616,"")</x:f>
      </x:c>
      <x:c r="BC615" s="3" t="str">
        <x:f>IF(AND('中古車掲載'!C616="One2car",'中古車掲載'!F616="Corolla Cross",'中古車掲載'!L616="HEV PREMIUM SAFETY",'中古車掲載'!J616=2023,ISNUMBER('中古車掲載'!N616),'中古車掲載'!N616&gt;=50000,'中古車掲載'!O616&lt;=100000,'中古車掲載'!AL616=1,'中古車掲載'!Z616="https://www.one2car.com/en/cars-for-sale/toyota/corolla-cross/year-2023"),'中古車掲載'!U616,"")</x:f>
      </x:c>
      <x:c r="BD615" s="3" t="str">
        <x:f>IF(AND('中古車掲載'!C616="One2car",'中古車掲載'!F616="ATTO 3",'中古車掲載'!L616="EXTENDED RANGE",'中古車掲載'!J616=2023,ISNUMBER('中古車掲載'!N616),'中古車掲載'!N616&gt;=20000,'中古車掲載'!O616&lt;=50000,'中古車掲載'!AL616=1),'中古車掲載'!U616,"")</x:f>
      </x:c>
      <x:c r="BE615" s="3" t="str">
        <x:f>IF(AND('中古車掲載'!C616="One2car",'中古車掲載'!F616="Corolla Cross",'中古車掲載'!L616="HEV PREMIUM SAFETY",'中古車掲載'!J616=2023,ISNUMBER('中古車掲載'!N616),'中古車掲載'!N616&gt;=20000,'中古車掲載'!O616&lt;=50000,'中古車掲載'!AL616=1,'中古車掲載'!Z616="https://www.one2car.com/en/cars-for-sale/toyota/corolla-cross/year-2023"),'中古車掲載'!U616,"")</x:f>
      </x:c>
      <x:c r="BF615" s="3" t="str">
        <x:f>IF(AND('中古車掲載'!C616="One2car",'中古車掲載'!F616="Corolla Cross",'中古車掲載'!L616="HEV PREMIUM",'中古車掲載'!J616=2023,ISNUMBER('中古車掲載'!N616),'中古車掲載'!N616&gt;=20000,'中古車掲載'!O616&lt;=100000,'中古車掲載'!AL616=1,'中古車掲載'!Z616="https://www.one2car.com/en/cars-for-sale/toyota/corolla-cross/year-2023"),'中古車掲載'!U616,"")</x:f>
      </x:c>
      <x:c r="BG615" s="3" t="str">
        <x:f>IF(AND('中古車掲載'!C616="One2car",'中古車掲載'!F616="Corolla Cross",'中古車掲載'!L616="HEV GR SPORT",'中古車掲載'!J616=2023,ISNUMBER('中古車掲載'!N616),'中古車掲載'!N616&gt;=20000,'中古車掲載'!O616&lt;=100000,'中古車掲載'!AL616=1,'中古車掲載'!Z616="https://www.one2car.com/en/cars-for-sale/toyota/corolla-cross/year-2023"),'中古車掲載'!U616,"")</x:f>
      </x:c>
      <x:c r="BH615" s="3" t="str">
        <x:f>IF(AND('中古車掲載'!C616="One2car",'中古車掲載'!F616="DOLPHIN",'中古車掲載'!L616="STANDARD RANGE",'中古車掲載'!J616=2023,ISNUMBER('中古車掲載'!N616),'中古車掲載'!N616&gt;=20000,'中古車掲載'!O616&lt;=100000,'中古車掲載'!AL616=1),'中古車掲載'!U616,"")</x:f>
      </x:c>
      <x:c r="BI615" s="3" t="str">
        <x:v>Taladrod|Fortuner|ICE|Unknown</x:v>
      </x:c>
      <x:c r="BJ615" s="3" t="n">
        <x:v>616</x:v>
      </x:c>
      <x:c r="BK615" s="3" t="n">
        <x:f>'中古車掲載'!AM616</x:f>
        <x:v>999000</x:v>
      </x:c>
      <x:c r="BL615" s="3" t="str">
        <x:f>IF(ISNUMBER('中古車掲載'!AN616),'中古車掲載'!AN616,"")</x:f>
      </x:c>
      <x:c r="BM615" s="3"/>
      <x:c r="BN615" s="3"/>
      <x:c r="BO615" s="3"/>
      <x:c r="BP615" s="3"/>
      <x:c r="BQ615" s="3"/>
      <x:c r="BR615" s="3"/>
    </x:row>
    <x:row r="616" ht="22" customHeight="1">
      <x:c r="A616" s="3" t="str">
        <x:v>Hilux Revo</x:v>
      </x:c>
      <x:c r="B616" s="3" t="str">
        <x:v>不明</x:v>
      </x:c>
      <x:c r="C616" s="3" t="str">
        <x:v>Taladrod</x:v>
      </x:c>
      <x:c r="D616" s="3" t="str">
        <x:v>Pickup</x:v>
      </x:c>
      <x:c r="E616" s="3" t="str">
        <x:v>キャブ不明</x:v>
      </x:c>
      <x:c r="F616" s="3" t="n">
        <x:v>2021</x:v>
      </x:c>
      <x:c r="G616" s="3" t="str">
        <x:v>グレード不明</x:v>
      </x:c>
      <x:c r="H616" s="3" t="str">
        <x:v>未掲載</x:v>
      </x:c>
      <x:c r="I616" s="3" t="str">
        <x:v>世代不明</x:v>
      </x:c>
      <x:c r="J616" s="22" t="n">
        <x:f>COUNT('中古車掲載'!AM921:AM921)</x:f>
        <x:v>1</x:v>
      </x:c>
      <x:c r="K616" s="22" t="n">
        <x:f>IF(COUNT('中古車掲載'!AM921:AM921)=0,"",QUARTILE('中古車掲載'!AM921:AM921,1))</x:f>
        <x:v>360000</x:v>
      </x:c>
      <x:c r="L616" s="22" t="n">
        <x:f>IF(COUNT('中古車掲載'!AM921:AM921)=0,"",MEDIAN('中古車掲載'!AM921:AM921))</x:f>
        <x:v>360000</x:v>
      </x:c>
      <x:c r="M616" s="22" t="n">
        <x:f>IF(COUNT('中古車掲載'!AM921:AM921)=0,"",QUARTILE('中古車掲載'!AM921:AM921,3))</x:f>
        <x:v>360000</x:v>
      </x:c>
      <x:c r="N616" s="22" t="n">
        <x:f>COUNT('中古車掲載'!AN921:AN921)</x:f>
        <x:v>0</x:v>
      </x:c>
      <x:c r="O616" s="23" t="str">
        <x:f>IF(COUNT('中古車掲載'!AN921:AN921)=0,"",MEDIAN('中古車掲載'!AN921:AN921))</x:f>
      </x:c>
      <x:c r="P616" s="3"/>
      <x:c r="Q616" s="3"/>
      <x:c r="R616" s="3"/>
      <x:c r="S616" s="3"/>
      <x:c r="T616" s="3"/>
      <x:c r="U616" s="3"/>
      <x:c r="V616" s="3"/>
      <x:c r="W616" s="3"/>
      <x:c r="X616" s="3"/>
      <x:c r="Y616" s="3"/>
      <x:c r="Z616" s="3"/>
      <x:c r="AA616" s="3"/>
      <x:c r="AB616" s="3"/>
      <x:c r="AC616" s="3"/>
      <x:c r="AD616" s="3"/>
      <x:c r="AE616" s="3"/>
      <x:c r="AF616" s="3"/>
      <x:c r="AG616" s="3"/>
      <x:c r="AH616" s="3"/>
      <x:c r="AI616" s="3"/>
      <x:c r="AJ616" s="3"/>
      <x:c r="AK616" s="3"/>
      <x:c r="AL616" s="3"/>
      <x:c r="AM616" s="3"/>
      <x:c r="AN616" s="3"/>
      <x:c r="AO616" s="3"/>
      <x:c r="AP616" s="3"/>
      <x:c r="AQ616" s="3"/>
      <x:c r="AR616" s="3"/>
      <x:c r="AS616" s="3"/>
      <x:c r="AT616" s="3"/>
      <x:c r="AU616" s="3"/>
      <x:c r="AV616" s="3"/>
      <x:c r="AW616" s="3"/>
      <x:c r="AX616" s="3"/>
      <x:c r="AY616" s="3"/>
      <x:c r="AZ616" s="3" t="str">
        <x:f>IF(AND('中古車掲載'!C617="One2car",'中古車掲載'!F617="ATTO 3",'中古車掲載'!L617="EXTENDED RANGE",'中古車掲載'!J617=2023,ISNUMBER('中古車掲載'!N617),'中古車掲載'!N617&gt;=20000,'中古車掲載'!O617&lt;=100000,'中古車掲載'!AL617=1),'中古車掲載'!U617,"")</x:f>
      </x:c>
      <x:c r="BA616" s="3" t="str">
        <x:f>IF(AND('中古車掲載'!C617="One2car",'中古車掲載'!F617="Corolla Cross",'中古車掲載'!L617="HEV PREMIUM SAFETY",'中古車掲載'!J617=2023,ISNUMBER('中古車掲載'!N617),'中古車掲載'!N617&gt;=20000,'中古車掲載'!O617&lt;=100000,'中古車掲載'!AL617=1,'中古車掲載'!Z617="https://www.one2car.com/en/cars-for-sale/toyota/corolla-cross/year-2023"),'中古車掲載'!U617,"")</x:f>
      </x:c>
      <x:c r="BB616" s="3" t="str">
        <x:f>IF(AND('中古車掲載'!C617="One2car",'中古車掲載'!F617="ATTO 3",'中古車掲載'!L617="EXTENDED RANGE",'中古車掲載'!J617=2023,ISNUMBER('中古車掲載'!N617),'中古車掲載'!N617&gt;=50000,'中古車掲載'!O617&lt;=100000,'中古車掲載'!AL617=1),'中古車掲載'!U617,"")</x:f>
      </x:c>
      <x:c r="BC616" s="3" t="str">
        <x:f>IF(AND('中古車掲載'!C617="One2car",'中古車掲載'!F617="Corolla Cross",'中古車掲載'!L617="HEV PREMIUM SAFETY",'中古車掲載'!J617=2023,ISNUMBER('中古車掲載'!N617),'中古車掲載'!N617&gt;=50000,'中古車掲載'!O617&lt;=100000,'中古車掲載'!AL617=1,'中古車掲載'!Z617="https://www.one2car.com/en/cars-for-sale/toyota/corolla-cross/year-2023"),'中古車掲載'!U617,"")</x:f>
      </x:c>
      <x:c r="BD616" s="3" t="str">
        <x:f>IF(AND('中古車掲載'!C617="One2car",'中古車掲載'!F617="ATTO 3",'中古車掲載'!L617="EXTENDED RANGE",'中古車掲載'!J617=2023,ISNUMBER('中古車掲載'!N617),'中古車掲載'!N617&gt;=20000,'中古車掲載'!O617&lt;=50000,'中古車掲載'!AL617=1),'中古車掲載'!U617,"")</x:f>
      </x:c>
      <x:c r="BE616" s="3" t="str">
        <x:f>IF(AND('中古車掲載'!C617="One2car",'中古車掲載'!F617="Corolla Cross",'中古車掲載'!L617="HEV PREMIUM SAFETY",'中古車掲載'!J617=2023,ISNUMBER('中古車掲載'!N617),'中古車掲載'!N617&gt;=20000,'中古車掲載'!O617&lt;=50000,'中古車掲載'!AL617=1,'中古車掲載'!Z617="https://www.one2car.com/en/cars-for-sale/toyota/corolla-cross/year-2023"),'中古車掲載'!U617,"")</x:f>
      </x:c>
      <x:c r="BF616" s="3" t="str">
        <x:f>IF(AND('中古車掲載'!C617="One2car",'中古車掲載'!F617="Corolla Cross",'中古車掲載'!L617="HEV PREMIUM",'中古車掲載'!J617=2023,ISNUMBER('中古車掲載'!N617),'中古車掲載'!N617&gt;=20000,'中古車掲載'!O617&lt;=100000,'中古車掲載'!AL617=1,'中古車掲載'!Z617="https://www.one2car.com/en/cars-for-sale/toyota/corolla-cross/year-2023"),'中古車掲載'!U617,"")</x:f>
      </x:c>
      <x:c r="BG616" s="3" t="str">
        <x:f>IF(AND('中古車掲載'!C617="One2car",'中古車掲載'!F617="Corolla Cross",'中古車掲載'!L617="HEV GR SPORT",'中古車掲載'!J617=2023,ISNUMBER('中古車掲載'!N617),'中古車掲載'!N617&gt;=20000,'中古車掲載'!O617&lt;=100000,'中古車掲載'!AL617=1,'中古車掲載'!Z617="https://www.one2car.com/en/cars-for-sale/toyota/corolla-cross/year-2023"),'中古車掲載'!U617,"")</x:f>
      </x:c>
      <x:c r="BH616" s="3" t="str">
        <x:f>IF(AND('中古車掲載'!C617="One2car",'中古車掲載'!F617="DOLPHIN",'中古車掲載'!L617="STANDARD RANGE",'中古車掲載'!J617=2023,ISNUMBER('中古車掲載'!N617),'中古車掲載'!N617&gt;=20000,'中古車掲載'!O617&lt;=100000,'中古車掲載'!AL617=1),'中古車掲載'!U617,"")</x:f>
      </x:c>
      <x:c r="BI616" s="3" t="str">
        <x:v>Taladrod|Fortuner|ICE|Unknown</x:v>
      </x:c>
      <x:c r="BJ616" s="3" t="n">
        <x:v>617</x:v>
      </x:c>
      <x:c r="BK616" s="3" t="n">
        <x:f>'中古車掲載'!AM617</x:f>
        <x:v>999000</x:v>
      </x:c>
      <x:c r="BL616" s="3" t="str">
        <x:f>IF(ISNUMBER('中古車掲載'!AN617),'中古車掲載'!AN617,"")</x:f>
      </x:c>
      <x:c r="BM616" s="3"/>
      <x:c r="BN616" s="3"/>
      <x:c r="BO616" s="3"/>
      <x:c r="BP616" s="3"/>
      <x:c r="BQ616" s="3"/>
      <x:c r="BR616" s="3"/>
    </x:row>
    <x:row r="617" ht="22" customHeight="1">
      <x:c r="A617" s="3" t="str">
        <x:v>M6</x:v>
      </x:c>
      <x:c r="B617" s="3" t="str">
        <x:v>BEV</x:v>
      </x:c>
      <x:c r="C617" s="3" t="str">
        <x:v>Taladrod</x:v>
      </x:c>
      <x:c r="D617" s="3" t="str">
        <x:v>MPV</x:v>
      </x:c>
      <x:c r="E617" s="3" t="str"/>
      <x:c r="F617" s="3" t="n">
        <x:v>2024</x:v>
      </x:c>
      <x:c r="G617" s="3" t="str">
        <x:v>EXTENDED</x:v>
      </x:c>
      <x:c r="H617" s="3" t="str">
        <x:v>未掲載</x:v>
      </x:c>
      <x:c r="I617" s="3" t="str">
        <x:v>24-ปัจจุบัน</x:v>
      </x:c>
      <x:c r="J617" s="22" t="n">
        <x:f>COUNT('中古車掲載'!AM922:AM922)</x:f>
        <x:v>1</x:v>
      </x:c>
      <x:c r="K617" s="22" t="n">
        <x:f>IF(COUNT('中古車掲載'!AM922:AM922)=0,"",QUARTILE('中古車掲載'!AM922:AM922,1))</x:f>
        <x:v>699000</x:v>
      </x:c>
      <x:c r="L617" s="22" t="n">
        <x:f>IF(COUNT('中古車掲載'!AM922:AM922)=0,"",MEDIAN('中古車掲載'!AM922:AM922))</x:f>
        <x:v>699000</x:v>
      </x:c>
      <x:c r="M617" s="22" t="n">
        <x:f>IF(COUNT('中古車掲載'!AM922:AM922)=0,"",QUARTILE('中古車掲載'!AM922:AM922,3))</x:f>
        <x:v>699000</x:v>
      </x:c>
      <x:c r="N617" s="22" t="n">
        <x:f>COUNT('中古車掲載'!AN922:AN922)</x:f>
        <x:v>0</x:v>
      </x:c>
      <x:c r="O617" s="23" t="str">
        <x:f>IF(COUNT('中古車掲載'!AN922:AN922)=0,"",MEDIAN('中古車掲載'!AN922:AN922))</x:f>
      </x:c>
      <x:c r="P617" s="3"/>
      <x:c r="Q617" s="3"/>
      <x:c r="R617" s="3"/>
      <x:c r="S617" s="3"/>
      <x:c r="T617" s="3"/>
      <x:c r="U617" s="3"/>
      <x:c r="V617" s="3"/>
      <x:c r="W617" s="3"/>
      <x:c r="X617" s="3"/>
      <x:c r="Y617" s="3"/>
      <x:c r="Z617" s="3"/>
      <x:c r="AA617" s="3"/>
      <x:c r="AB617" s="3"/>
      <x:c r="AC617" s="3"/>
      <x:c r="AD617" s="3"/>
      <x:c r="AE617" s="3"/>
      <x:c r="AF617" s="3"/>
      <x:c r="AG617" s="3"/>
      <x:c r="AH617" s="3"/>
      <x:c r="AI617" s="3"/>
      <x:c r="AJ617" s="3"/>
      <x:c r="AK617" s="3"/>
      <x:c r="AL617" s="3"/>
      <x:c r="AM617" s="3"/>
      <x:c r="AN617" s="3"/>
      <x:c r="AO617" s="3"/>
      <x:c r="AP617" s="3"/>
      <x:c r="AQ617" s="3"/>
      <x:c r="AR617" s="3"/>
      <x:c r="AS617" s="3"/>
      <x:c r="AT617" s="3"/>
      <x:c r="AU617" s="3"/>
      <x:c r="AV617" s="3"/>
      <x:c r="AW617" s="3"/>
      <x:c r="AX617" s="3"/>
      <x:c r="AY617" s="3"/>
      <x:c r="AZ617" s="3" t="str">
        <x:f>IF(AND('中古車掲載'!C618="One2car",'中古車掲載'!F618="ATTO 3",'中古車掲載'!L618="EXTENDED RANGE",'中古車掲載'!J618=2023,ISNUMBER('中古車掲載'!N618),'中古車掲載'!N618&gt;=20000,'中古車掲載'!O618&lt;=100000,'中古車掲載'!AL618=1),'中古車掲載'!U618,"")</x:f>
      </x:c>
      <x:c r="BA617" s="3" t="str">
        <x:f>IF(AND('中古車掲載'!C618="One2car",'中古車掲載'!F618="Corolla Cross",'中古車掲載'!L618="HEV PREMIUM SAFETY",'中古車掲載'!J618=2023,ISNUMBER('中古車掲載'!N618),'中古車掲載'!N618&gt;=20000,'中古車掲載'!O618&lt;=100000,'中古車掲載'!AL618=1,'中古車掲載'!Z618="https://www.one2car.com/en/cars-for-sale/toyota/corolla-cross/year-2023"),'中古車掲載'!U618,"")</x:f>
      </x:c>
      <x:c r="BB617" s="3" t="str">
        <x:f>IF(AND('中古車掲載'!C618="One2car",'中古車掲載'!F618="ATTO 3",'中古車掲載'!L618="EXTENDED RANGE",'中古車掲載'!J618=2023,ISNUMBER('中古車掲載'!N618),'中古車掲載'!N618&gt;=50000,'中古車掲載'!O618&lt;=100000,'中古車掲載'!AL618=1),'中古車掲載'!U618,"")</x:f>
      </x:c>
      <x:c r="BC617" s="3" t="str">
        <x:f>IF(AND('中古車掲載'!C618="One2car",'中古車掲載'!F618="Corolla Cross",'中古車掲載'!L618="HEV PREMIUM SAFETY",'中古車掲載'!J618=2023,ISNUMBER('中古車掲載'!N618),'中古車掲載'!N618&gt;=50000,'中古車掲載'!O618&lt;=100000,'中古車掲載'!AL618=1,'中古車掲載'!Z618="https://www.one2car.com/en/cars-for-sale/toyota/corolla-cross/year-2023"),'中古車掲載'!U618,"")</x:f>
      </x:c>
      <x:c r="BD617" s="3" t="str">
        <x:f>IF(AND('中古車掲載'!C618="One2car",'中古車掲載'!F618="ATTO 3",'中古車掲載'!L618="EXTENDED RANGE",'中古車掲載'!J618=2023,ISNUMBER('中古車掲載'!N618),'中古車掲載'!N618&gt;=20000,'中古車掲載'!O618&lt;=50000,'中古車掲載'!AL618=1),'中古車掲載'!U618,"")</x:f>
      </x:c>
      <x:c r="BE617" s="3" t="str">
        <x:f>IF(AND('中古車掲載'!C618="One2car",'中古車掲載'!F618="Corolla Cross",'中古車掲載'!L618="HEV PREMIUM SAFETY",'中古車掲載'!J618=2023,ISNUMBER('中古車掲載'!N618),'中古車掲載'!N618&gt;=20000,'中古車掲載'!O618&lt;=50000,'中古車掲載'!AL618=1,'中古車掲載'!Z618="https://www.one2car.com/en/cars-for-sale/toyota/corolla-cross/year-2023"),'中古車掲載'!U618,"")</x:f>
      </x:c>
      <x:c r="BF617" s="3" t="str">
        <x:f>IF(AND('中古車掲載'!C618="One2car",'中古車掲載'!F618="Corolla Cross",'中古車掲載'!L618="HEV PREMIUM",'中古車掲載'!J618=2023,ISNUMBER('中古車掲載'!N618),'中古車掲載'!N618&gt;=20000,'中古車掲載'!O618&lt;=100000,'中古車掲載'!AL618=1,'中古車掲載'!Z618="https://www.one2car.com/en/cars-for-sale/toyota/corolla-cross/year-2023"),'中古車掲載'!U618,"")</x:f>
      </x:c>
      <x:c r="BG617" s="3" t="str">
        <x:f>IF(AND('中古車掲載'!C618="One2car",'中古車掲載'!F618="Corolla Cross",'中古車掲載'!L618="HEV GR SPORT",'中古車掲載'!J618=2023,ISNUMBER('中古車掲載'!N618),'中古車掲載'!N618&gt;=20000,'中古車掲載'!O618&lt;=100000,'中古車掲載'!AL618=1,'中古車掲載'!Z618="https://www.one2car.com/en/cars-for-sale/toyota/corolla-cross/year-2023"),'中古車掲載'!U618,"")</x:f>
      </x:c>
      <x:c r="BH617" s="3" t="str">
        <x:f>IF(AND('中古車掲載'!C618="One2car",'中古車掲載'!F618="DOLPHIN",'中古車掲載'!L618="STANDARD RANGE",'中古車掲載'!J618=2023,ISNUMBER('中古車掲載'!N618),'中古車掲載'!N618&gt;=20000,'中古車掲載'!O618&lt;=100000,'中古車掲載'!AL618=1),'中古車掲載'!U618,"")</x:f>
      </x:c>
      <x:c r="BI617" s="3" t="str">
        <x:v>Taladrod|Fortuner|ICE|Unknown</x:v>
      </x:c>
      <x:c r="BJ617" s="3" t="n">
        <x:v>618</x:v>
      </x:c>
      <x:c r="BK617" s="3" t="n">
        <x:f>'中古車掲載'!AM618</x:f>
        <x:v>929000</x:v>
      </x:c>
      <x:c r="BL617" s="3" t="str">
        <x:f>IF(ISNUMBER('中古車掲載'!AN618),'中古車掲載'!AN618,"")</x:f>
      </x:c>
      <x:c r="BM617" s="3"/>
      <x:c r="BN617" s="3"/>
      <x:c r="BO617" s="3"/>
      <x:c r="BP617" s="3"/>
      <x:c r="BQ617" s="3"/>
      <x:c r="BR617" s="3"/>
    </x:row>
    <x:row r="618" ht="22" customHeight="1">
      <x:c r="A618" s="3" t="str">
        <x:v>M6</x:v>
      </x:c>
      <x:c r="B618" s="3" t="str">
        <x:v>BEV</x:v>
      </x:c>
      <x:c r="C618" s="3" t="str">
        <x:v>Taladrod</x:v>
      </x:c>
      <x:c r="D618" s="3" t="str">
        <x:v>MPV</x:v>
      </x:c>
      <x:c r="E618" s="3" t="str"/>
      <x:c r="F618" s="3" t="n">
        <x:v>2025</x:v>
      </x:c>
      <x:c r="G618" s="3" t="str">
        <x:v>DYNAMIC</x:v>
      </x:c>
      <x:c r="H618" s="3" t="str">
        <x:v>未掲載</x:v>
      </x:c>
      <x:c r="I618" s="3" t="str">
        <x:v>24-ปัจจุบัน</x:v>
      </x:c>
      <x:c r="J618" s="22" t="n">
        <x:f>COUNT('中古車掲載'!AM923:AM923)</x:f>
        <x:v>1</x:v>
      </x:c>
      <x:c r="K618" s="22" t="n">
        <x:f>IF(COUNT('中古車掲載'!AM923:AM923)=0,"",QUARTILE('中古車掲載'!AM923:AM923,1))</x:f>
        <x:v>599000</x:v>
      </x:c>
      <x:c r="L618" s="22" t="n">
        <x:f>IF(COUNT('中古車掲載'!AM923:AM923)=0,"",MEDIAN('中古車掲載'!AM923:AM923))</x:f>
        <x:v>599000</x:v>
      </x:c>
      <x:c r="M618" s="22" t="n">
        <x:f>IF(COUNT('中古車掲載'!AM923:AM923)=0,"",QUARTILE('中古車掲載'!AM923:AM923,3))</x:f>
        <x:v>599000</x:v>
      </x:c>
      <x:c r="N618" s="22" t="n">
        <x:f>COUNT('中古車掲載'!AN923:AN923)</x:f>
        <x:v>1</x:v>
      </x:c>
      <x:c r="O618" s="23" t="n">
        <x:f>IF(COUNT('中古車掲載'!AN923:AN923)=0,"",MEDIAN('中古車掲載'!AN923:AN923))</x:f>
        <x:v>0.7217737076756235</x:v>
      </x:c>
      <x:c r="P618" s="3"/>
      <x:c r="Q618" s="3"/>
      <x:c r="R618" s="3"/>
      <x:c r="S618" s="3"/>
      <x:c r="T618" s="3"/>
      <x:c r="U618" s="3"/>
      <x:c r="V618" s="3"/>
      <x:c r="W618" s="3"/>
      <x:c r="X618" s="3"/>
      <x:c r="Y618" s="3"/>
      <x:c r="Z618" s="3"/>
      <x:c r="AA618" s="3"/>
      <x:c r="AB618" s="3"/>
      <x:c r="AC618" s="3"/>
      <x:c r="AD618" s="3"/>
      <x:c r="AE618" s="3"/>
      <x:c r="AF618" s="3"/>
      <x:c r="AG618" s="3"/>
      <x:c r="AH618" s="3"/>
      <x:c r="AI618" s="3"/>
      <x:c r="AJ618" s="3"/>
      <x:c r="AK618" s="3"/>
      <x:c r="AL618" s="3"/>
      <x:c r="AM618" s="3"/>
      <x:c r="AN618" s="3"/>
      <x:c r="AO618" s="3"/>
      <x:c r="AP618" s="3"/>
      <x:c r="AQ618" s="3"/>
      <x:c r="AR618" s="3"/>
      <x:c r="AS618" s="3"/>
      <x:c r="AT618" s="3"/>
      <x:c r="AU618" s="3"/>
      <x:c r="AV618" s="3"/>
      <x:c r="AW618" s="3"/>
      <x:c r="AX618" s="3"/>
      <x:c r="AY618" s="3"/>
      <x:c r="AZ618" s="3" t="str">
        <x:f>IF(AND('中古車掲載'!C619="One2car",'中古車掲載'!F619="ATTO 3",'中古車掲載'!L619="EXTENDED RANGE",'中古車掲載'!J619=2023,ISNUMBER('中古車掲載'!N619),'中古車掲載'!N619&gt;=20000,'中古車掲載'!O619&lt;=100000,'中古車掲載'!AL619=1),'中古車掲載'!U619,"")</x:f>
      </x:c>
      <x:c r="BA618" s="3" t="str">
        <x:f>IF(AND('中古車掲載'!C619="One2car",'中古車掲載'!F619="Corolla Cross",'中古車掲載'!L619="HEV PREMIUM SAFETY",'中古車掲載'!J619=2023,ISNUMBER('中古車掲載'!N619),'中古車掲載'!N619&gt;=20000,'中古車掲載'!O619&lt;=100000,'中古車掲載'!AL619=1,'中古車掲載'!Z619="https://www.one2car.com/en/cars-for-sale/toyota/corolla-cross/year-2023"),'中古車掲載'!U619,"")</x:f>
      </x:c>
      <x:c r="BB618" s="3" t="str">
        <x:f>IF(AND('中古車掲載'!C619="One2car",'中古車掲載'!F619="ATTO 3",'中古車掲載'!L619="EXTENDED RANGE",'中古車掲載'!J619=2023,ISNUMBER('中古車掲載'!N619),'中古車掲載'!N619&gt;=50000,'中古車掲載'!O619&lt;=100000,'中古車掲載'!AL619=1),'中古車掲載'!U619,"")</x:f>
      </x:c>
      <x:c r="BC618" s="3" t="str">
        <x:f>IF(AND('中古車掲載'!C619="One2car",'中古車掲載'!F619="Corolla Cross",'中古車掲載'!L619="HEV PREMIUM SAFETY",'中古車掲載'!J619=2023,ISNUMBER('中古車掲載'!N619),'中古車掲載'!N619&gt;=50000,'中古車掲載'!O619&lt;=100000,'中古車掲載'!AL619=1,'中古車掲載'!Z619="https://www.one2car.com/en/cars-for-sale/toyota/corolla-cross/year-2023"),'中古車掲載'!U619,"")</x:f>
      </x:c>
      <x:c r="BD618" s="3" t="str">
        <x:f>IF(AND('中古車掲載'!C619="One2car",'中古車掲載'!F619="ATTO 3",'中古車掲載'!L619="EXTENDED RANGE",'中古車掲載'!J619=2023,ISNUMBER('中古車掲載'!N619),'中古車掲載'!N619&gt;=20000,'中古車掲載'!O619&lt;=50000,'中古車掲載'!AL619=1),'中古車掲載'!U619,"")</x:f>
      </x:c>
      <x:c r="BE618" s="3" t="str">
        <x:f>IF(AND('中古車掲載'!C619="One2car",'中古車掲載'!F619="Corolla Cross",'中古車掲載'!L619="HEV PREMIUM SAFETY",'中古車掲載'!J619=2023,ISNUMBER('中古車掲載'!N619),'中古車掲載'!N619&gt;=20000,'中古車掲載'!O619&lt;=50000,'中古車掲載'!AL619=1,'中古車掲載'!Z619="https://www.one2car.com/en/cars-for-sale/toyota/corolla-cross/year-2023"),'中古車掲載'!U619,"")</x:f>
      </x:c>
      <x:c r="BF618" s="3" t="str">
        <x:f>IF(AND('中古車掲載'!C619="One2car",'中古車掲載'!F619="Corolla Cross",'中古車掲載'!L619="HEV PREMIUM",'中古車掲載'!J619=2023,ISNUMBER('中古車掲載'!N619),'中古車掲載'!N619&gt;=20000,'中古車掲載'!O619&lt;=100000,'中古車掲載'!AL619=1,'中古車掲載'!Z619="https://www.one2car.com/en/cars-for-sale/toyota/corolla-cross/year-2023"),'中古車掲載'!U619,"")</x:f>
      </x:c>
      <x:c r="BG618" s="3" t="str">
        <x:f>IF(AND('中古車掲載'!C619="One2car",'中古車掲載'!F619="Corolla Cross",'中古車掲載'!L619="HEV GR SPORT",'中古車掲載'!J619=2023,ISNUMBER('中古車掲載'!N619),'中古車掲載'!N619&gt;=20000,'中古車掲載'!O619&lt;=100000,'中古車掲載'!AL619=1,'中古車掲載'!Z619="https://www.one2car.com/en/cars-for-sale/toyota/corolla-cross/year-2023"),'中古車掲載'!U619,"")</x:f>
      </x:c>
      <x:c r="BH618" s="3" t="str">
        <x:f>IF(AND('中古車掲載'!C619="One2car",'中古車掲載'!F619="DOLPHIN",'中古車掲載'!L619="STANDARD RANGE",'中古車掲載'!J619=2023,ISNUMBER('中古車掲載'!N619),'中古車掲載'!N619&gt;=20000,'中古車掲載'!O619&lt;=100000,'中古車掲載'!AL619=1),'中古車掲載'!U619,"")</x:f>
      </x:c>
      <x:c r="BI618" s="3" t="str">
        <x:v>Taladrod|Fortuner|ICE|Unknown</x:v>
      </x:c>
      <x:c r="BJ618" s="3" t="n">
        <x:v>619</x:v>
      </x:c>
      <x:c r="BK618" s="3" t="n">
        <x:f>'中古車掲載'!AM619</x:f>
        <x:v>949000</x:v>
      </x:c>
      <x:c r="BL618" s="3" t="str">
        <x:f>IF(ISNUMBER('中古車掲載'!AN619),'中古車掲載'!AN619,"")</x:f>
      </x:c>
      <x:c r="BM618" s="3"/>
      <x:c r="BN618" s="3"/>
      <x:c r="BO618" s="3"/>
      <x:c r="BP618" s="3"/>
      <x:c r="BQ618" s="3"/>
      <x:c r="BR618" s="3"/>
    </x:row>
    <x:row r="619" ht="22" customHeight="1">
      <x:c r="A619" s="3" t="str">
        <x:v>SEAL</x:v>
      </x:c>
      <x:c r="B619" s="3" t="str">
        <x:v>BEV</x:v>
      </x:c>
      <x:c r="C619" s="3" t="str">
        <x:v>Taladrod</x:v>
      </x:c>
      <x:c r="D619" s="3" t="str">
        <x:v>Sedan</x:v>
      </x:c>
      <x:c r="E619" s="3" t="str"/>
      <x:c r="F619" s="3" t="n">
        <x:v>2023</x:v>
      </x:c>
      <x:c r="G619" s="3" t="str">
        <x:v>PREMIUM</x:v>
      </x:c>
      <x:c r="H619" s="3" t="str">
        <x:v>未掲載</x:v>
      </x:c>
      <x:c r="I619" s="3" t="str">
        <x:v>23-ปัจจุบัน</x:v>
      </x:c>
      <x:c r="J619" s="22" t="n">
        <x:f>COUNT('中古車掲載'!AM924:AM924)</x:f>
        <x:v>1</x:v>
      </x:c>
      <x:c r="K619" s="22" t="n">
        <x:f>IF(COUNT('中古車掲載'!AM924:AM924)=0,"",QUARTILE('中古車掲載'!AM924:AM924,1))</x:f>
        <x:v>699000</x:v>
      </x:c>
      <x:c r="L619" s="22" t="n">
        <x:f>IF(COUNT('中古車掲載'!AM924:AM924)=0,"",MEDIAN('中古車掲載'!AM924:AM924))</x:f>
        <x:v>699000</x:v>
      </x:c>
      <x:c r="M619" s="22" t="n">
        <x:f>IF(COUNT('中古車掲載'!AM924:AM924)=0,"",QUARTILE('中古車掲載'!AM924:AM924,3))</x:f>
        <x:v>699000</x:v>
      </x:c>
      <x:c r="N619" s="22" t="n">
        <x:f>COUNT('中古車掲載'!AN924:AN924)</x:f>
        <x:v>1</x:v>
      </x:c>
      <x:c r="O619" s="23" t="n">
        <x:f>IF(COUNT('中古車掲載'!AN924:AN924)=0,"",MEDIAN('中古車掲載'!AN924:AN924))</x:f>
        <x:v>0.4824016563146998</x:v>
      </x:c>
      <x:c r="P619" s="3"/>
      <x:c r="Q619" s="3"/>
      <x:c r="R619" s="3"/>
      <x:c r="S619" s="3"/>
      <x:c r="T619" s="3"/>
      <x:c r="U619" s="3"/>
      <x:c r="V619" s="3"/>
      <x:c r="W619" s="3"/>
      <x:c r="X619" s="3"/>
      <x:c r="Y619" s="3"/>
      <x:c r="Z619" s="3"/>
      <x:c r="AA619" s="3"/>
      <x:c r="AB619" s="3"/>
      <x:c r="AC619" s="3"/>
      <x:c r="AD619" s="3"/>
      <x:c r="AE619" s="3"/>
      <x:c r="AF619" s="3"/>
      <x:c r="AG619" s="3"/>
      <x:c r="AH619" s="3"/>
      <x:c r="AI619" s="3"/>
      <x:c r="AJ619" s="3"/>
      <x:c r="AK619" s="3"/>
      <x:c r="AL619" s="3"/>
      <x:c r="AM619" s="3"/>
      <x:c r="AN619" s="3"/>
      <x:c r="AO619" s="3"/>
      <x:c r="AP619" s="3"/>
      <x:c r="AQ619" s="3"/>
      <x:c r="AR619" s="3"/>
      <x:c r="AS619" s="3"/>
      <x:c r="AT619" s="3"/>
      <x:c r="AU619" s="3"/>
      <x:c r="AV619" s="3"/>
      <x:c r="AW619" s="3"/>
      <x:c r="AX619" s="3"/>
      <x:c r="AY619" s="3"/>
      <x:c r="AZ619" s="3" t="str">
        <x:f>IF(AND('中古車掲載'!C620="One2car",'中古車掲載'!F620="ATTO 3",'中古車掲載'!L620="EXTENDED RANGE",'中古車掲載'!J620=2023,ISNUMBER('中古車掲載'!N620),'中古車掲載'!N620&gt;=20000,'中古車掲載'!O620&lt;=100000,'中古車掲載'!AL620=1),'中古車掲載'!U620,"")</x:f>
      </x:c>
      <x:c r="BA619" s="3" t="str">
        <x:f>IF(AND('中古車掲載'!C620="One2car",'中古車掲載'!F620="Corolla Cross",'中古車掲載'!L620="HEV PREMIUM SAFETY",'中古車掲載'!J620=2023,ISNUMBER('中古車掲載'!N620),'中古車掲載'!N620&gt;=20000,'中古車掲載'!O620&lt;=100000,'中古車掲載'!AL620=1,'中古車掲載'!Z620="https://www.one2car.com/en/cars-for-sale/toyota/corolla-cross/year-2023"),'中古車掲載'!U620,"")</x:f>
      </x:c>
      <x:c r="BB619" s="3" t="str">
        <x:f>IF(AND('中古車掲載'!C620="One2car",'中古車掲載'!F620="ATTO 3",'中古車掲載'!L620="EXTENDED RANGE",'中古車掲載'!J620=2023,ISNUMBER('中古車掲載'!N620),'中古車掲載'!N620&gt;=50000,'中古車掲載'!O620&lt;=100000,'中古車掲載'!AL620=1),'中古車掲載'!U620,"")</x:f>
      </x:c>
      <x:c r="BC619" s="3" t="str">
        <x:f>IF(AND('中古車掲載'!C620="One2car",'中古車掲載'!F620="Corolla Cross",'中古車掲載'!L620="HEV PREMIUM SAFETY",'中古車掲載'!J620=2023,ISNUMBER('中古車掲載'!N620),'中古車掲載'!N620&gt;=50000,'中古車掲載'!O620&lt;=100000,'中古車掲載'!AL620=1,'中古車掲載'!Z620="https://www.one2car.com/en/cars-for-sale/toyota/corolla-cross/year-2023"),'中古車掲載'!U620,"")</x:f>
      </x:c>
      <x:c r="BD619" s="3" t="str">
        <x:f>IF(AND('中古車掲載'!C620="One2car",'中古車掲載'!F620="ATTO 3",'中古車掲載'!L620="EXTENDED RANGE",'中古車掲載'!J620=2023,ISNUMBER('中古車掲載'!N620),'中古車掲載'!N620&gt;=20000,'中古車掲載'!O620&lt;=50000,'中古車掲載'!AL620=1),'中古車掲載'!U620,"")</x:f>
      </x:c>
      <x:c r="BE619" s="3" t="str">
        <x:f>IF(AND('中古車掲載'!C620="One2car",'中古車掲載'!F620="Corolla Cross",'中古車掲載'!L620="HEV PREMIUM SAFETY",'中古車掲載'!J620=2023,ISNUMBER('中古車掲載'!N620),'中古車掲載'!N620&gt;=20000,'中古車掲載'!O620&lt;=50000,'中古車掲載'!AL620=1,'中古車掲載'!Z620="https://www.one2car.com/en/cars-for-sale/toyota/corolla-cross/year-2023"),'中古車掲載'!U620,"")</x:f>
      </x:c>
      <x:c r="BF619" s="3" t="str">
        <x:f>IF(AND('中古車掲載'!C620="One2car",'中古車掲載'!F620="Corolla Cross",'中古車掲載'!L620="HEV PREMIUM",'中古車掲載'!J620=2023,ISNUMBER('中古車掲載'!N620),'中古車掲載'!N620&gt;=20000,'中古車掲載'!O620&lt;=100000,'中古車掲載'!AL620=1,'中古車掲載'!Z620="https://www.one2car.com/en/cars-for-sale/toyota/corolla-cross/year-2023"),'中古車掲載'!U620,"")</x:f>
      </x:c>
      <x:c r="BG619" s="3" t="str">
        <x:f>IF(AND('中古車掲載'!C620="One2car",'中古車掲載'!F620="Corolla Cross",'中古車掲載'!L620="HEV GR SPORT",'中古車掲載'!J620=2023,ISNUMBER('中古車掲載'!N620),'中古車掲載'!N620&gt;=20000,'中古車掲載'!O620&lt;=100000,'中古車掲載'!AL620=1,'中古車掲載'!Z620="https://www.one2car.com/en/cars-for-sale/toyota/corolla-cross/year-2023"),'中古車掲載'!U620,"")</x:f>
      </x:c>
      <x:c r="BH619" s="3" t="str">
        <x:f>IF(AND('中古車掲載'!C620="One2car",'中古車掲載'!F620="DOLPHIN",'中古車掲載'!L620="STANDARD RANGE",'中古車掲載'!J620=2023,ISNUMBER('中古車掲載'!N620),'中古車掲載'!N620&gt;=20000,'中古車掲載'!O620&lt;=100000,'中古車掲載'!AL620=1),'中古車掲載'!U620,"")</x:f>
      </x:c>
      <x:c r="BI619" s="3" t="str">
        <x:v>Taladrod|Fortuner|ICE|Unknown</x:v>
      </x:c>
      <x:c r="BJ619" s="3" t="n">
        <x:v>620</x:v>
      </x:c>
      <x:c r="BK619" s="3" t="n">
        <x:f>'中古車掲載'!AM620</x:f>
        <x:v>979000</x:v>
      </x:c>
      <x:c r="BL619" s="3" t="str">
        <x:f>IF(ISNUMBER('中古車掲載'!AN620),'中古車掲載'!AN620,"")</x:f>
      </x:c>
      <x:c r="BM619" s="3"/>
      <x:c r="BN619" s="3"/>
      <x:c r="BO619" s="3"/>
      <x:c r="BP619" s="3"/>
      <x:c r="BQ619" s="3"/>
      <x:c r="BR619" s="3"/>
    </x:row>
    <x:row r="620" ht="22" customHeight="1">
      <x:c r="A620" s="3" t="str">
        <x:v>SEAL</x:v>
      </x:c>
      <x:c r="B620" s="3" t="str">
        <x:v>BEV</x:v>
      </x:c>
      <x:c r="C620" s="3" t="str">
        <x:v>Taladrod</x:v>
      </x:c>
      <x:c r="D620" s="3" t="str">
        <x:v>Sedan</x:v>
      </x:c>
      <x:c r="E620" s="3" t="str"/>
      <x:c r="F620" s="3" t="n">
        <x:v>2024</x:v>
      </x:c>
      <x:c r="G620" s="3" t="str">
        <x:v>AWD PERFORMANCE</x:v>
      </x:c>
      <x:c r="H620" s="3" t="str">
        <x:v>未掲載</x:v>
      </x:c>
      <x:c r="I620" s="3" t="str">
        <x:v>23-ปัจจุบัน</x:v>
      </x:c>
      <x:c r="J620" s="22" t="n">
        <x:f>COUNT('中古車掲載'!AM925:AM925)</x:f>
        <x:v>1</x:v>
      </x:c>
      <x:c r="K620" s="22" t="n">
        <x:f>IF(COUNT('中古車掲載'!AM925:AM925)=0,"",QUARTILE('中古車掲載'!AM925:AM925,1))</x:f>
        <x:v>799000</x:v>
      </x:c>
      <x:c r="L620" s="22" t="n">
        <x:f>IF(COUNT('中古車掲載'!AM925:AM925)=0,"",MEDIAN('中古車掲載'!AM925:AM925))</x:f>
        <x:v>799000</x:v>
      </x:c>
      <x:c r="M620" s="22" t="n">
        <x:f>IF(COUNT('中古車掲載'!AM925:AM925)=0,"",QUARTILE('中古車掲載'!AM925:AM925,3))</x:f>
        <x:v>799000</x:v>
      </x:c>
      <x:c r="N620" s="22" t="n">
        <x:f>COUNT('中古車掲載'!AN925:AN925)</x:f>
        <x:v>1</x:v>
      </x:c>
      <x:c r="O620" s="23" t="n">
        <x:f>IF(COUNT('中古車掲載'!AN925:AN925)=0,"",MEDIAN('中古車掲載'!AN925:AN925))</x:f>
        <x:v>0.4996873045653533</x:v>
      </x:c>
      <x:c r="P620" s="3"/>
      <x:c r="Q620" s="3"/>
      <x:c r="R620" s="3"/>
      <x:c r="S620" s="3"/>
      <x:c r="T620" s="3"/>
      <x:c r="U620" s="3"/>
      <x:c r="V620" s="3"/>
      <x:c r="W620" s="3"/>
      <x:c r="X620" s="3"/>
      <x:c r="Y620" s="3"/>
      <x:c r="Z620" s="3"/>
      <x:c r="AA620" s="3"/>
      <x:c r="AB620" s="3"/>
      <x:c r="AC620" s="3"/>
      <x:c r="AD620" s="3"/>
      <x:c r="AE620" s="3"/>
      <x:c r="AF620" s="3"/>
      <x:c r="AG620" s="3"/>
      <x:c r="AH620" s="3"/>
      <x:c r="AI620" s="3"/>
      <x:c r="AJ620" s="3"/>
      <x:c r="AK620" s="3"/>
      <x:c r="AL620" s="3"/>
      <x:c r="AM620" s="3"/>
      <x:c r="AN620" s="3"/>
      <x:c r="AO620" s="3"/>
      <x:c r="AP620" s="3"/>
      <x:c r="AQ620" s="3"/>
      <x:c r="AR620" s="3"/>
      <x:c r="AS620" s="3"/>
      <x:c r="AT620" s="3"/>
      <x:c r="AU620" s="3"/>
      <x:c r="AV620" s="3"/>
      <x:c r="AW620" s="3"/>
      <x:c r="AX620" s="3"/>
      <x:c r="AY620" s="3"/>
      <x:c r="AZ620" s="3" t="str">
        <x:f>IF(AND('中古車掲載'!C621="One2car",'中古車掲載'!F621="ATTO 3",'中古車掲載'!L621="EXTENDED RANGE",'中古車掲載'!J621=2023,ISNUMBER('中古車掲載'!N621),'中古車掲載'!N621&gt;=20000,'中古車掲載'!O621&lt;=100000,'中古車掲載'!AL621=1),'中古車掲載'!U621,"")</x:f>
      </x:c>
      <x:c r="BA620" s="3" t="str">
        <x:f>IF(AND('中古車掲載'!C621="One2car",'中古車掲載'!F621="Corolla Cross",'中古車掲載'!L621="HEV PREMIUM SAFETY",'中古車掲載'!J621=2023,ISNUMBER('中古車掲載'!N621),'中古車掲載'!N621&gt;=20000,'中古車掲載'!O621&lt;=100000,'中古車掲載'!AL621=1,'中古車掲載'!Z621="https://www.one2car.com/en/cars-for-sale/toyota/corolla-cross/year-2023"),'中古車掲載'!U621,"")</x:f>
      </x:c>
      <x:c r="BB620" s="3" t="str">
        <x:f>IF(AND('中古車掲載'!C621="One2car",'中古車掲載'!F621="ATTO 3",'中古車掲載'!L621="EXTENDED RANGE",'中古車掲載'!J621=2023,ISNUMBER('中古車掲載'!N621),'中古車掲載'!N621&gt;=50000,'中古車掲載'!O621&lt;=100000,'中古車掲載'!AL621=1),'中古車掲載'!U621,"")</x:f>
      </x:c>
      <x:c r="BC620" s="3" t="str">
        <x:f>IF(AND('中古車掲載'!C621="One2car",'中古車掲載'!F621="Corolla Cross",'中古車掲載'!L621="HEV PREMIUM SAFETY",'中古車掲載'!J621=2023,ISNUMBER('中古車掲載'!N621),'中古車掲載'!N621&gt;=50000,'中古車掲載'!O621&lt;=100000,'中古車掲載'!AL621=1,'中古車掲載'!Z621="https://www.one2car.com/en/cars-for-sale/toyota/corolla-cross/year-2023"),'中古車掲載'!U621,"")</x:f>
      </x:c>
      <x:c r="BD620" s="3" t="str">
        <x:f>IF(AND('中古車掲載'!C621="One2car",'中古車掲載'!F621="ATTO 3",'中古車掲載'!L621="EXTENDED RANGE",'中古車掲載'!J621=2023,ISNUMBER('中古車掲載'!N621),'中古車掲載'!N621&gt;=20000,'中古車掲載'!O621&lt;=50000,'中古車掲載'!AL621=1),'中古車掲載'!U621,"")</x:f>
      </x:c>
      <x:c r="BE620" s="3" t="str">
        <x:f>IF(AND('中古車掲載'!C621="One2car",'中古車掲載'!F621="Corolla Cross",'中古車掲載'!L621="HEV PREMIUM SAFETY",'中古車掲載'!J621=2023,ISNUMBER('中古車掲載'!N621),'中古車掲載'!N621&gt;=20000,'中古車掲載'!O621&lt;=50000,'中古車掲載'!AL621=1,'中古車掲載'!Z621="https://www.one2car.com/en/cars-for-sale/toyota/corolla-cross/year-2023"),'中古車掲載'!U621,"")</x:f>
      </x:c>
      <x:c r="BF620" s="3" t="str">
        <x:f>IF(AND('中古車掲載'!C621="One2car",'中古車掲載'!F621="Corolla Cross",'中古車掲載'!L621="HEV PREMIUM",'中古車掲載'!J621=2023,ISNUMBER('中古車掲載'!N621),'中古車掲載'!N621&gt;=20000,'中古車掲載'!O621&lt;=100000,'中古車掲載'!AL621=1,'中古車掲載'!Z621="https://www.one2car.com/en/cars-for-sale/toyota/corolla-cross/year-2023"),'中古車掲載'!U621,"")</x:f>
      </x:c>
      <x:c r="BG620" s="3" t="str">
        <x:f>IF(AND('中古車掲載'!C621="One2car",'中古車掲載'!F621="Corolla Cross",'中古車掲載'!L621="HEV GR SPORT",'中古車掲載'!J621=2023,ISNUMBER('中古車掲載'!N621),'中古車掲載'!N621&gt;=20000,'中古車掲載'!O621&lt;=100000,'中古車掲載'!AL621=1,'中古車掲載'!Z621="https://www.one2car.com/en/cars-for-sale/toyota/corolla-cross/year-2023"),'中古車掲載'!U621,"")</x:f>
      </x:c>
      <x:c r="BH620" s="3" t="str">
        <x:f>IF(AND('中古車掲載'!C621="One2car",'中古車掲載'!F621="DOLPHIN",'中古車掲載'!L621="STANDARD RANGE",'中古車掲載'!J621=2023,ISNUMBER('中古車掲載'!N621),'中古車掲載'!N621&gt;=20000,'中古車掲載'!O621&lt;=100000,'中古車掲載'!AL621=1),'中古車掲載'!U621,"")</x:f>
      </x:c>
      <x:c r="BI620" s="3" t="str">
        <x:v>Taladrod|Fortuner|ICE|Unknown</x:v>
      </x:c>
      <x:c r="BJ620" s="3" t="n">
        <x:v>621</x:v>
      </x:c>
      <x:c r="BK620" s="3" t="n">
        <x:f>'中古車掲載'!AM621</x:f>
        <x:v>999000</x:v>
      </x:c>
      <x:c r="BL620" s="3" t="str">
        <x:f>IF(ISNUMBER('中古車掲載'!AN621),'中古車掲載'!AN621,"")</x:f>
      </x:c>
      <x:c r="BM620" s="3"/>
      <x:c r="BN620" s="3"/>
      <x:c r="BO620" s="3"/>
      <x:c r="BP620" s="3"/>
      <x:c r="BQ620" s="3"/>
      <x:c r="BR620" s="3"/>
    </x:row>
    <x:row r="621" ht="22" customHeight="1">
      <x:c r="A621" s="3" t="str">
        <x:v>SEAL</x:v>
      </x:c>
      <x:c r="B621" s="3" t="str">
        <x:v>BEV</x:v>
      </x:c>
      <x:c r="C621" s="3" t="str">
        <x:v>Taladrod</x:v>
      </x:c>
      <x:c r="D621" s="3" t="str">
        <x:v>Sedan</x:v>
      </x:c>
      <x:c r="E621" s="3" t="str"/>
      <x:c r="F621" s="3" t="n">
        <x:v>2024</x:v>
      </x:c>
      <x:c r="G621" s="3" t="str">
        <x:v>DYNAMIC</x:v>
      </x:c>
      <x:c r="H621" s="3" t="str">
        <x:v>未掲載</x:v>
      </x:c>
      <x:c r="I621" s="3" t="str">
        <x:v>23-ปัจจุบัน</x:v>
      </x:c>
      <x:c r="J621" s="22" t="n">
        <x:f>COUNT('中古車掲載'!AM926:AM926)</x:f>
        <x:v>1</x:v>
      </x:c>
      <x:c r="K621" s="22" t="n">
        <x:f>IF(COUNT('中古車掲載'!AM926:AM926)=0,"",QUARTILE('中古車掲載'!AM926:AM926,1))</x:f>
        <x:v>659000</x:v>
      </x:c>
      <x:c r="L621" s="22" t="n">
        <x:f>IF(COUNT('中古車掲載'!AM926:AM926)=0,"",MEDIAN('中古車掲載'!AM926:AM926))</x:f>
        <x:v>659000</x:v>
      </x:c>
      <x:c r="M621" s="22" t="n">
        <x:f>IF(COUNT('中古車掲載'!AM926:AM926)=0,"",QUARTILE('中古車掲載'!AM926:AM926,3))</x:f>
        <x:v>659000</x:v>
      </x:c>
      <x:c r="N621" s="22" t="n">
        <x:f>COUNT('中古車掲載'!AN926:AN926)</x:f>
        <x:v>1</x:v>
      </x:c>
      <x:c r="O621" s="23" t="n">
        <x:f>IF(COUNT('中古車掲載'!AN926:AN926)=0,"",MEDIAN('中古車掲載'!AN926:AN926))</x:f>
        <x:v>0.49735849056603776</x:v>
      </x:c>
      <x:c r="P621" s="3"/>
      <x:c r="Q621" s="3"/>
      <x:c r="R621" s="3"/>
      <x:c r="S621" s="3"/>
      <x:c r="T621" s="3"/>
      <x:c r="U621" s="3"/>
      <x:c r="V621" s="3"/>
      <x:c r="W621" s="3"/>
      <x:c r="X621" s="3"/>
      <x:c r="Y621" s="3"/>
      <x:c r="Z621" s="3"/>
      <x:c r="AA621" s="3"/>
      <x:c r="AB621" s="3"/>
      <x:c r="AC621" s="3"/>
      <x:c r="AD621" s="3"/>
      <x:c r="AE621" s="3"/>
      <x:c r="AF621" s="3"/>
      <x:c r="AG621" s="3"/>
      <x:c r="AH621" s="3"/>
      <x:c r="AI621" s="3"/>
      <x:c r="AJ621" s="3"/>
      <x:c r="AK621" s="3"/>
      <x:c r="AL621" s="3"/>
      <x:c r="AM621" s="3"/>
      <x:c r="AN621" s="3"/>
      <x:c r="AO621" s="3"/>
      <x:c r="AP621" s="3"/>
      <x:c r="AQ621" s="3"/>
      <x:c r="AR621" s="3"/>
      <x:c r="AS621" s="3"/>
      <x:c r="AT621" s="3"/>
      <x:c r="AU621" s="3"/>
      <x:c r="AV621" s="3"/>
      <x:c r="AW621" s="3"/>
      <x:c r="AX621" s="3"/>
      <x:c r="AY621" s="3"/>
      <x:c r="AZ621" s="3" t="str">
        <x:f>IF(AND('中古車掲載'!C622="One2car",'中古車掲載'!F622="ATTO 3",'中古車掲載'!L622="EXTENDED RANGE",'中古車掲載'!J622=2023,ISNUMBER('中古車掲載'!N622),'中古車掲載'!N622&gt;=20000,'中古車掲載'!O622&lt;=100000,'中古車掲載'!AL622=1),'中古車掲載'!U622,"")</x:f>
      </x:c>
      <x:c r="BA621" s="3" t="str">
        <x:f>IF(AND('中古車掲載'!C622="One2car",'中古車掲載'!F622="Corolla Cross",'中古車掲載'!L622="HEV PREMIUM SAFETY",'中古車掲載'!J622=2023,ISNUMBER('中古車掲載'!N622),'中古車掲載'!N622&gt;=20000,'中古車掲載'!O622&lt;=100000,'中古車掲載'!AL622=1,'中古車掲載'!Z622="https://www.one2car.com/en/cars-for-sale/toyota/corolla-cross/year-2023"),'中古車掲載'!U622,"")</x:f>
      </x:c>
      <x:c r="BB621" s="3" t="str">
        <x:f>IF(AND('中古車掲載'!C622="One2car",'中古車掲載'!F622="ATTO 3",'中古車掲載'!L622="EXTENDED RANGE",'中古車掲載'!J622=2023,ISNUMBER('中古車掲載'!N622),'中古車掲載'!N622&gt;=50000,'中古車掲載'!O622&lt;=100000,'中古車掲載'!AL622=1),'中古車掲載'!U622,"")</x:f>
      </x:c>
      <x:c r="BC621" s="3" t="str">
        <x:f>IF(AND('中古車掲載'!C622="One2car",'中古車掲載'!F622="Corolla Cross",'中古車掲載'!L622="HEV PREMIUM SAFETY",'中古車掲載'!J622=2023,ISNUMBER('中古車掲載'!N622),'中古車掲載'!N622&gt;=50000,'中古車掲載'!O622&lt;=100000,'中古車掲載'!AL622=1,'中古車掲載'!Z622="https://www.one2car.com/en/cars-for-sale/toyota/corolla-cross/year-2023"),'中古車掲載'!U622,"")</x:f>
      </x:c>
      <x:c r="BD621" s="3" t="str">
        <x:f>IF(AND('中古車掲載'!C622="One2car",'中古車掲載'!F622="ATTO 3",'中古車掲載'!L622="EXTENDED RANGE",'中古車掲載'!J622=2023,ISNUMBER('中古車掲載'!N622),'中古車掲載'!N622&gt;=20000,'中古車掲載'!O622&lt;=50000,'中古車掲載'!AL622=1),'中古車掲載'!U622,"")</x:f>
      </x:c>
      <x:c r="BE621" s="3" t="str">
        <x:f>IF(AND('中古車掲載'!C622="One2car",'中古車掲載'!F622="Corolla Cross",'中古車掲載'!L622="HEV PREMIUM SAFETY",'中古車掲載'!J622=2023,ISNUMBER('中古車掲載'!N622),'中古車掲載'!N622&gt;=20000,'中古車掲載'!O622&lt;=50000,'中古車掲載'!AL622=1,'中古車掲載'!Z622="https://www.one2car.com/en/cars-for-sale/toyota/corolla-cross/year-2023"),'中古車掲載'!U622,"")</x:f>
      </x:c>
      <x:c r="BF621" s="3" t="str">
        <x:f>IF(AND('中古車掲載'!C622="One2car",'中古車掲載'!F622="Corolla Cross",'中古車掲載'!L622="HEV PREMIUM",'中古車掲載'!J622=2023,ISNUMBER('中古車掲載'!N622),'中古車掲載'!N622&gt;=20000,'中古車掲載'!O622&lt;=100000,'中古車掲載'!AL622=1,'中古車掲載'!Z622="https://www.one2car.com/en/cars-for-sale/toyota/corolla-cross/year-2023"),'中古車掲載'!U622,"")</x:f>
      </x:c>
      <x:c r="BG621" s="3" t="str">
        <x:f>IF(AND('中古車掲載'!C622="One2car",'中古車掲載'!F622="Corolla Cross",'中古車掲載'!L622="HEV GR SPORT",'中古車掲載'!J622=2023,ISNUMBER('中古車掲載'!N622),'中古車掲載'!N622&gt;=20000,'中古車掲載'!O622&lt;=100000,'中古車掲載'!AL622=1,'中古車掲載'!Z622="https://www.one2car.com/en/cars-for-sale/toyota/corolla-cross/year-2023"),'中古車掲載'!U622,"")</x:f>
      </x:c>
      <x:c r="BH621" s="3" t="str">
        <x:f>IF(AND('中古車掲載'!C622="One2car",'中古車掲載'!F622="DOLPHIN",'中古車掲載'!L622="STANDARD RANGE",'中古車掲載'!J622=2023,ISNUMBER('中古車掲載'!N622),'中古車掲載'!N622&gt;=20000,'中古車掲載'!O622&lt;=100000,'中古車掲載'!AL622=1),'中古車掲載'!U622,"")</x:f>
      </x:c>
      <x:c r="BI621" s="3" t="str">
        <x:v>Taladrod|Fortuner|ICE|Unknown</x:v>
      </x:c>
      <x:c r="BJ621" s="3" t="n">
        <x:v>622</x:v>
      </x:c>
      <x:c r="BK621" s="3" t="n">
        <x:f>'中古車掲載'!AM622</x:f>
        <x:v>999000</x:v>
      </x:c>
      <x:c r="BL621" s="3" t="str">
        <x:f>IF(ISNUMBER('中古車掲載'!AN622),'中古車掲載'!AN622,"")</x:f>
      </x:c>
      <x:c r="BM621" s="3"/>
      <x:c r="BN621" s="3"/>
      <x:c r="BO621" s="3"/>
      <x:c r="BP621" s="3"/>
      <x:c r="BQ621" s="3"/>
      <x:c r="BR621" s="3"/>
    </x:row>
    <x:row r="622" ht="22" customHeight="1">
      <x:c r="A622" s="3" t="str">
        <x:v>SEAL 5</x:v>
      </x:c>
      <x:c r="B622" s="3" t="str">
        <x:v>PHEV</x:v>
      </x:c>
      <x:c r="C622" s="3" t="str">
        <x:v>Taladrod</x:v>
      </x:c>
      <x:c r="D622" s="3" t="str">
        <x:v>Sedan</x:v>
      </x:c>
      <x:c r="E622" s="3" t="str"/>
      <x:c r="F622" s="3" t="n">
        <x:v>2026</x:v>
      </x:c>
      <x:c r="G622" s="3" t="str">
        <x:v>1.5 PREMIUM</x:v>
      </x:c>
      <x:c r="H622" s="3" t="str">
        <x:v>未掲載</x:v>
      </x:c>
      <x:c r="I622" s="3" t="str">
        <x:v>26-ปัจจุบัน</x:v>
      </x:c>
      <x:c r="J622" s="22" t="n">
        <x:f>COUNT('中古車掲載'!AM927:AM928)</x:f>
        <x:v>0</x:v>
      </x:c>
      <x:c r="K622" s="22" t="str">
        <x:f>IF(COUNT('中古車掲載'!AM927:AM928)=0,"",QUARTILE('中古車掲載'!AM927:AM928,1))</x:f>
      </x:c>
      <x:c r="L622" s="22" t="str">
        <x:f>IF(COUNT('中古車掲載'!AM927:AM928)=0,"",MEDIAN('中古車掲載'!AM927:AM928))</x:f>
      </x:c>
      <x:c r="M622" s="22" t="str">
        <x:f>IF(COUNT('中古車掲載'!AM927:AM928)=0,"",QUARTILE('中古車掲載'!AM927:AM928,3))</x:f>
      </x:c>
      <x:c r="N622" s="22" t="n">
        <x:f>COUNT('中古車掲載'!AN927:AN928)</x:f>
        <x:v>0</x:v>
      </x:c>
      <x:c r="O622" s="23" t="str">
        <x:f>IF(COUNT('中古車掲載'!AN927:AN928)=0,"",MEDIAN('中古車掲載'!AN927:AN928))</x:f>
      </x:c>
      <x:c r="P622" s="3"/>
      <x:c r="Q622" s="3"/>
      <x:c r="R622" s="3"/>
      <x:c r="S622" s="3"/>
      <x:c r="T622" s="3"/>
      <x:c r="U622" s="3"/>
      <x:c r="V622" s="3"/>
      <x:c r="W622" s="3"/>
      <x:c r="X622" s="3"/>
      <x:c r="Y622" s="3"/>
      <x:c r="Z622" s="3"/>
      <x:c r="AA622" s="3"/>
      <x:c r="AB622" s="3"/>
      <x:c r="AC622" s="3"/>
      <x:c r="AD622" s="3"/>
      <x:c r="AE622" s="3"/>
      <x:c r="AF622" s="3"/>
      <x:c r="AG622" s="3"/>
      <x:c r="AH622" s="3"/>
      <x:c r="AI622" s="3"/>
      <x:c r="AJ622" s="3"/>
      <x:c r="AK622" s="3"/>
      <x:c r="AL622" s="3"/>
      <x:c r="AM622" s="3"/>
      <x:c r="AN622" s="3"/>
      <x:c r="AO622" s="3"/>
      <x:c r="AP622" s="3"/>
      <x:c r="AQ622" s="3"/>
      <x:c r="AR622" s="3"/>
      <x:c r="AS622" s="3"/>
      <x:c r="AT622" s="3"/>
      <x:c r="AU622" s="3"/>
      <x:c r="AV622" s="3"/>
      <x:c r="AW622" s="3"/>
      <x:c r="AX622" s="3"/>
      <x:c r="AY622" s="3"/>
      <x:c r="AZ622" s="3" t="str">
        <x:f>IF(AND('中古車掲載'!C623="One2car",'中古車掲載'!F623="ATTO 3",'中古車掲載'!L623="EXTENDED RANGE",'中古車掲載'!J623=2023,ISNUMBER('中古車掲載'!N623),'中古車掲載'!N623&gt;=20000,'中古車掲載'!O623&lt;=100000,'中古車掲載'!AL623=1),'中古車掲載'!U623,"")</x:f>
      </x:c>
      <x:c r="BA622" s="3" t="str">
        <x:f>IF(AND('中古車掲載'!C623="One2car",'中古車掲載'!F623="Corolla Cross",'中古車掲載'!L623="HEV PREMIUM SAFETY",'中古車掲載'!J623=2023,ISNUMBER('中古車掲載'!N623),'中古車掲載'!N623&gt;=20000,'中古車掲載'!O623&lt;=100000,'中古車掲載'!AL623=1,'中古車掲載'!Z623="https://www.one2car.com/en/cars-for-sale/toyota/corolla-cross/year-2023"),'中古車掲載'!U623,"")</x:f>
      </x:c>
      <x:c r="BB622" s="3" t="str">
        <x:f>IF(AND('中古車掲載'!C623="One2car",'中古車掲載'!F623="ATTO 3",'中古車掲載'!L623="EXTENDED RANGE",'中古車掲載'!J623=2023,ISNUMBER('中古車掲載'!N623),'中古車掲載'!N623&gt;=50000,'中古車掲載'!O623&lt;=100000,'中古車掲載'!AL623=1),'中古車掲載'!U623,"")</x:f>
      </x:c>
      <x:c r="BC622" s="3" t="str">
        <x:f>IF(AND('中古車掲載'!C623="One2car",'中古車掲載'!F623="Corolla Cross",'中古車掲載'!L623="HEV PREMIUM SAFETY",'中古車掲載'!J623=2023,ISNUMBER('中古車掲載'!N623),'中古車掲載'!N623&gt;=50000,'中古車掲載'!O623&lt;=100000,'中古車掲載'!AL623=1,'中古車掲載'!Z623="https://www.one2car.com/en/cars-for-sale/toyota/corolla-cross/year-2023"),'中古車掲載'!U623,"")</x:f>
      </x:c>
      <x:c r="BD622" s="3" t="str">
        <x:f>IF(AND('中古車掲載'!C623="One2car",'中古車掲載'!F623="ATTO 3",'中古車掲載'!L623="EXTENDED RANGE",'中古車掲載'!J623=2023,ISNUMBER('中古車掲載'!N623),'中古車掲載'!N623&gt;=20000,'中古車掲載'!O623&lt;=50000,'中古車掲載'!AL623=1),'中古車掲載'!U623,"")</x:f>
      </x:c>
      <x:c r="BE622" s="3" t="str">
        <x:f>IF(AND('中古車掲載'!C623="One2car",'中古車掲載'!F623="Corolla Cross",'中古車掲載'!L623="HEV PREMIUM SAFETY",'中古車掲載'!J623=2023,ISNUMBER('中古車掲載'!N623),'中古車掲載'!N623&gt;=20000,'中古車掲載'!O623&lt;=50000,'中古車掲載'!AL623=1,'中古車掲載'!Z623="https://www.one2car.com/en/cars-for-sale/toyota/corolla-cross/year-2023"),'中古車掲載'!U623,"")</x:f>
      </x:c>
      <x:c r="BF622" s="3" t="str">
        <x:f>IF(AND('中古車掲載'!C623="One2car",'中古車掲載'!F623="Corolla Cross",'中古車掲載'!L623="HEV PREMIUM",'中古車掲載'!J623=2023,ISNUMBER('中古車掲載'!N623),'中古車掲載'!N623&gt;=20000,'中古車掲載'!O623&lt;=100000,'中古車掲載'!AL623=1,'中古車掲載'!Z623="https://www.one2car.com/en/cars-for-sale/toyota/corolla-cross/year-2023"),'中古車掲載'!U623,"")</x:f>
      </x:c>
      <x:c r="BG622" s="3" t="str">
        <x:f>IF(AND('中古車掲載'!C623="One2car",'中古車掲載'!F623="Corolla Cross",'中古車掲載'!L623="HEV GR SPORT",'中古車掲載'!J623=2023,ISNUMBER('中古車掲載'!N623),'中古車掲載'!N623&gt;=20000,'中古車掲載'!O623&lt;=100000,'中古車掲載'!AL623=1,'中古車掲載'!Z623="https://www.one2car.com/en/cars-for-sale/toyota/corolla-cross/year-2023"),'中古車掲載'!U623,"")</x:f>
      </x:c>
      <x:c r="BH622" s="3" t="str">
        <x:f>IF(AND('中古車掲載'!C623="One2car",'中古車掲載'!F623="DOLPHIN",'中古車掲載'!L623="STANDARD RANGE",'中古車掲載'!J623=2023,ISNUMBER('中古車掲載'!N623),'中古車掲載'!N623&gt;=20000,'中古車掲載'!O623&lt;=100000,'中古車掲載'!AL623=1),'中古車掲載'!U623,"")</x:f>
      </x:c>
      <x:c r="BI622" s="3" t="str">
        <x:v>Taladrod|Fortuner|ICE|Unknown</x:v>
      </x:c>
      <x:c r="BJ622" s="3" t="n">
        <x:v>623</x:v>
      </x:c>
      <x:c r="BK622" s="3" t="n">
        <x:f>'中古車掲載'!AM623</x:f>
        <x:v>979000</x:v>
      </x:c>
      <x:c r="BL622" s="3" t="str">
        <x:f>IF(ISNUMBER('中古車掲載'!AN623),'中古車掲載'!AN623,"")</x:f>
      </x:c>
      <x:c r="BM622" s="3"/>
      <x:c r="BN622" s="3"/>
      <x:c r="BO622" s="3"/>
      <x:c r="BP622" s="3"/>
      <x:c r="BQ622" s="3"/>
      <x:c r="BR622" s="3"/>
    </x:row>
    <x:row r="623" ht="22" customHeight="1">
      <x:c r="A623" s="3" t="str">
        <x:v>SEALION 6</x:v>
      </x:c>
      <x:c r="B623" s="3" t="str">
        <x:v>PHEV</x:v>
      </x:c>
      <x:c r="C623" s="3" t="str">
        <x:v>Taladrod</x:v>
      </x:c>
      <x:c r="D623" s="3" t="str">
        <x:v>SUV</x:v>
      </x:c>
      <x:c r="E623" s="3" t="str"/>
      <x:c r="F623" s="3" t="n">
        <x:v>2024</x:v>
      </x:c>
      <x:c r="G623" s="3" t="str">
        <x:v>PREMIUM</x:v>
      </x:c>
      <x:c r="H623" s="3" t="str">
        <x:v>未掲載</x:v>
      </x:c>
      <x:c r="I623" s="3" t="str">
        <x:v>24-ปัจจุบัน</x:v>
      </x:c>
      <x:c r="J623" s="22" t="n">
        <x:f>COUNT('中古車掲載'!AM929:AM929)</x:f>
        <x:v>1</x:v>
      </x:c>
      <x:c r="K623" s="22" t="n">
        <x:f>IF(COUNT('中古車掲載'!AM929:AM929)=0,"",QUARTILE('中古車掲載'!AM929:AM929,1))</x:f>
        <x:v>790000</x:v>
      </x:c>
      <x:c r="L623" s="22" t="n">
        <x:f>IF(COUNT('中古車掲載'!AM929:AM929)=0,"",MEDIAN('中古車掲載'!AM929:AM929))</x:f>
        <x:v>790000</x:v>
      </x:c>
      <x:c r="M623" s="22" t="n">
        <x:f>IF(COUNT('中古車掲載'!AM929:AM929)=0,"",QUARTILE('中古車掲載'!AM929:AM929,3))</x:f>
        <x:v>790000</x:v>
      </x:c>
      <x:c r="N623" s="22" t="n">
        <x:f>COUNT('中古車掲載'!AN929:AN929)</x:f>
        <x:v>0</x:v>
      </x:c>
      <x:c r="O623" s="23" t="str">
        <x:f>IF(COUNT('中古車掲載'!AN929:AN929)=0,"",MEDIAN('中古車掲載'!AN929:AN929))</x:f>
      </x:c>
      <x:c r="P623" s="3"/>
      <x:c r="Q623" s="3"/>
      <x:c r="R623" s="3"/>
      <x:c r="S623" s="3"/>
      <x:c r="T623" s="3"/>
      <x:c r="U623" s="3"/>
      <x:c r="V623" s="3"/>
      <x:c r="W623" s="3"/>
      <x:c r="X623" s="3"/>
      <x:c r="Y623" s="3"/>
      <x:c r="Z623" s="3"/>
      <x:c r="AA623" s="3"/>
      <x:c r="AB623" s="3"/>
      <x:c r="AC623" s="3"/>
      <x:c r="AD623" s="3"/>
      <x:c r="AE623" s="3"/>
      <x:c r="AF623" s="3"/>
      <x:c r="AG623" s="3"/>
      <x:c r="AH623" s="3"/>
      <x:c r="AI623" s="3"/>
      <x:c r="AJ623" s="3"/>
      <x:c r="AK623" s="3"/>
      <x:c r="AL623" s="3"/>
      <x:c r="AM623" s="3"/>
      <x:c r="AN623" s="3"/>
      <x:c r="AO623" s="3"/>
      <x:c r="AP623" s="3"/>
      <x:c r="AQ623" s="3"/>
      <x:c r="AR623" s="3"/>
      <x:c r="AS623" s="3"/>
      <x:c r="AT623" s="3"/>
      <x:c r="AU623" s="3"/>
      <x:c r="AV623" s="3"/>
      <x:c r="AW623" s="3"/>
      <x:c r="AX623" s="3"/>
      <x:c r="AY623" s="3"/>
      <x:c r="AZ623" s="3" t="str">
        <x:f>IF(AND('中古車掲載'!C624="One2car",'中古車掲載'!F624="ATTO 3",'中古車掲載'!L624="EXTENDED RANGE",'中古車掲載'!J624=2023,ISNUMBER('中古車掲載'!N624),'中古車掲載'!N624&gt;=20000,'中古車掲載'!O624&lt;=100000,'中古車掲載'!AL624=1),'中古車掲載'!U624,"")</x:f>
      </x:c>
      <x:c r="BA623" s="3" t="str">
        <x:f>IF(AND('中古車掲載'!C624="One2car",'中古車掲載'!F624="Corolla Cross",'中古車掲載'!L624="HEV PREMIUM SAFETY",'中古車掲載'!J624=2023,ISNUMBER('中古車掲載'!N624),'中古車掲載'!N624&gt;=20000,'中古車掲載'!O624&lt;=100000,'中古車掲載'!AL624=1,'中古車掲載'!Z624="https://www.one2car.com/en/cars-for-sale/toyota/corolla-cross/year-2023"),'中古車掲載'!U624,"")</x:f>
      </x:c>
      <x:c r="BB623" s="3" t="str">
        <x:f>IF(AND('中古車掲載'!C624="One2car",'中古車掲載'!F624="ATTO 3",'中古車掲載'!L624="EXTENDED RANGE",'中古車掲載'!J624=2023,ISNUMBER('中古車掲載'!N624),'中古車掲載'!N624&gt;=50000,'中古車掲載'!O624&lt;=100000,'中古車掲載'!AL624=1),'中古車掲載'!U624,"")</x:f>
      </x:c>
      <x:c r="BC623" s="3" t="str">
        <x:f>IF(AND('中古車掲載'!C624="One2car",'中古車掲載'!F624="Corolla Cross",'中古車掲載'!L624="HEV PREMIUM SAFETY",'中古車掲載'!J624=2023,ISNUMBER('中古車掲載'!N624),'中古車掲載'!N624&gt;=50000,'中古車掲載'!O624&lt;=100000,'中古車掲載'!AL624=1,'中古車掲載'!Z624="https://www.one2car.com/en/cars-for-sale/toyota/corolla-cross/year-2023"),'中古車掲載'!U624,"")</x:f>
      </x:c>
      <x:c r="BD623" s="3" t="str">
        <x:f>IF(AND('中古車掲載'!C624="One2car",'中古車掲載'!F624="ATTO 3",'中古車掲載'!L624="EXTENDED RANGE",'中古車掲載'!J624=2023,ISNUMBER('中古車掲載'!N624),'中古車掲載'!N624&gt;=20000,'中古車掲載'!O624&lt;=50000,'中古車掲載'!AL624=1),'中古車掲載'!U624,"")</x:f>
      </x:c>
      <x:c r="BE623" s="3" t="str">
        <x:f>IF(AND('中古車掲載'!C624="One2car",'中古車掲載'!F624="Corolla Cross",'中古車掲載'!L624="HEV PREMIUM SAFETY",'中古車掲載'!J624=2023,ISNUMBER('中古車掲載'!N624),'中古車掲載'!N624&gt;=20000,'中古車掲載'!O624&lt;=50000,'中古車掲載'!AL624=1,'中古車掲載'!Z624="https://www.one2car.com/en/cars-for-sale/toyota/corolla-cross/year-2023"),'中古車掲載'!U624,"")</x:f>
      </x:c>
      <x:c r="BF623" s="3" t="str">
        <x:f>IF(AND('中古車掲載'!C624="One2car",'中古車掲載'!F624="Corolla Cross",'中古車掲載'!L624="HEV PREMIUM",'中古車掲載'!J624=2023,ISNUMBER('中古車掲載'!N624),'中古車掲載'!N624&gt;=20000,'中古車掲載'!O624&lt;=100000,'中古車掲載'!AL624=1,'中古車掲載'!Z624="https://www.one2car.com/en/cars-for-sale/toyota/corolla-cross/year-2023"),'中古車掲載'!U624,"")</x:f>
      </x:c>
      <x:c r="BG623" s="3" t="str">
        <x:f>IF(AND('中古車掲載'!C624="One2car",'中古車掲載'!F624="Corolla Cross",'中古車掲載'!L624="HEV GR SPORT",'中古車掲載'!J624=2023,ISNUMBER('中古車掲載'!N624),'中古車掲載'!N624&gt;=20000,'中古車掲載'!O624&lt;=100000,'中古車掲載'!AL624=1,'中古車掲載'!Z624="https://www.one2car.com/en/cars-for-sale/toyota/corolla-cross/year-2023"),'中古車掲載'!U624,"")</x:f>
      </x:c>
      <x:c r="BH623" s="3" t="str">
        <x:f>IF(AND('中古車掲載'!C624="One2car",'中古車掲載'!F624="DOLPHIN",'中古車掲載'!L624="STANDARD RANGE",'中古車掲載'!J624=2023,ISNUMBER('中古車掲載'!N624),'中古車掲載'!N624&gt;=20000,'中古車掲載'!O624&lt;=100000,'中古車掲載'!AL624=1),'中古車掲載'!U624,"")</x:f>
      </x:c>
      <x:c r="BI623" s="3" t="str">
        <x:v>Taladrod|Hilux Champ|ICE|Unknown</x:v>
      </x:c>
      <x:c r="BJ623" s="3" t="n">
        <x:v>624</x:v>
      </x:c>
      <x:c r="BK623" s="3" t="n">
        <x:f>'中古車掲載'!AM624</x:f>
        <x:v>445000</x:v>
      </x:c>
      <x:c r="BL623" s="3" t="str">
        <x:f>IF(ISNUMBER('中古車掲載'!AN624),'中古車掲載'!AN624,"")</x:f>
      </x:c>
      <x:c r="BM623" s="3"/>
      <x:c r="BN623" s="3"/>
      <x:c r="BO623" s="3"/>
      <x:c r="BP623" s="3"/>
      <x:c r="BQ623" s="3"/>
      <x:c r="BR623" s="3"/>
    </x:row>
    <x:row r="624" ht="22" customHeight="1">
      <x:c r="A624" s="3" t="str">
        <x:v>SEALION 6</x:v>
      </x:c>
      <x:c r="B624" s="3" t="str">
        <x:v>PHEV</x:v>
      </x:c>
      <x:c r="C624" s="3" t="str">
        <x:v>Taladrod</x:v>
      </x:c>
      <x:c r="D624" s="3" t="str">
        <x:v>SUV</x:v>
      </x:c>
      <x:c r="E624" s="3" t="str"/>
      <x:c r="F624" s="3" t="n">
        <x:v>2025</x:v>
      </x:c>
      <x:c r="G624" s="3" t="str">
        <x:v>PREMIUM</x:v>
      </x:c>
      <x:c r="H624" s="3" t="str">
        <x:v>未掲載</x:v>
      </x:c>
      <x:c r="I624" s="3" t="str">
        <x:v>24-ปัจจุบัน</x:v>
      </x:c>
      <x:c r="J624" s="22" t="n">
        <x:f>COUNT('中古車掲載'!AM930:AM933)</x:f>
        <x:v>4</x:v>
      </x:c>
      <x:c r="K624" s="22" t="n">
        <x:f>IF(COUNT('中古車掲載'!AM930:AM933)=0,"",QUARTILE('中古車掲載'!AM930:AM933,1))</x:f>
        <x:v>716500</x:v>
      </x:c>
      <x:c r="L624" s="22" t="n">
        <x:f>IF(COUNT('中古車掲載'!AM930:AM933)=0,"",MEDIAN('中古車掲載'!AM930:AM933))</x:f>
        <x:v>764000</x:v>
      </x:c>
      <x:c r="M624" s="22" t="n">
        <x:f>IF(COUNT('中古車掲載'!AM930:AM933)=0,"",QUARTILE('中古車掲載'!AM930:AM933,3))</x:f>
        <x:v>801750</x:v>
      </x:c>
      <x:c r="N624" s="22" t="n">
        <x:f>COUNT('中古車掲載'!AN930:AN933)</x:f>
        <x:v>4</x:v>
      </x:c>
      <x:c r="O624" s="23" t="n">
        <x:f>IF(COUNT('中古車掲載'!AN930:AN933)=0,"",MEDIAN('中古車掲載'!AN930:AN933))</x:f>
        <x:v>0.6946086007818892</x:v>
      </x:c>
      <x:c r="P624" s="3"/>
      <x:c r="Q624" s="3"/>
      <x:c r="R624" s="3"/>
      <x:c r="S624" s="3"/>
      <x:c r="T624" s="3"/>
      <x:c r="U624" s="3"/>
      <x:c r="V624" s="3"/>
      <x:c r="W624" s="3"/>
      <x:c r="X624" s="3"/>
      <x:c r="Y624" s="3"/>
      <x:c r="Z624" s="3"/>
      <x:c r="AA624" s="3"/>
      <x:c r="AB624" s="3"/>
      <x:c r="AC624" s="3"/>
      <x:c r="AD624" s="3"/>
      <x:c r="AE624" s="3"/>
      <x:c r="AF624" s="3"/>
      <x:c r="AG624" s="3"/>
      <x:c r="AH624" s="3"/>
      <x:c r="AI624" s="3"/>
      <x:c r="AJ624" s="3"/>
      <x:c r="AK624" s="3"/>
      <x:c r="AL624" s="3"/>
      <x:c r="AM624" s="3"/>
      <x:c r="AN624" s="3"/>
      <x:c r="AO624" s="3"/>
      <x:c r="AP624" s="3"/>
      <x:c r="AQ624" s="3"/>
      <x:c r="AR624" s="3"/>
      <x:c r="AS624" s="3"/>
      <x:c r="AT624" s="3"/>
      <x:c r="AU624" s="3"/>
      <x:c r="AV624" s="3"/>
      <x:c r="AW624" s="3"/>
      <x:c r="AX624" s="3"/>
      <x:c r="AY624" s="3"/>
      <x:c r="AZ624" s="3" t="str">
        <x:f>IF(AND('中古車掲載'!C625="One2car",'中古車掲載'!F625="ATTO 3",'中古車掲載'!L625="EXTENDED RANGE",'中古車掲載'!J625=2023,ISNUMBER('中古車掲載'!N625),'中古車掲載'!N625&gt;=20000,'中古車掲載'!O625&lt;=100000,'中古車掲載'!AL625=1),'中古車掲載'!U625,"")</x:f>
      </x:c>
      <x:c r="BA624" s="3" t="str">
        <x:f>IF(AND('中古車掲載'!C625="One2car",'中古車掲載'!F625="Corolla Cross",'中古車掲載'!L625="HEV PREMIUM SAFETY",'中古車掲載'!J625=2023,ISNUMBER('中古車掲載'!N625),'中古車掲載'!N625&gt;=20000,'中古車掲載'!O625&lt;=100000,'中古車掲載'!AL625=1,'中古車掲載'!Z625="https://www.one2car.com/en/cars-for-sale/toyota/corolla-cross/year-2023"),'中古車掲載'!U625,"")</x:f>
      </x:c>
      <x:c r="BB624" s="3" t="str">
        <x:f>IF(AND('中古車掲載'!C625="One2car",'中古車掲載'!F625="ATTO 3",'中古車掲載'!L625="EXTENDED RANGE",'中古車掲載'!J625=2023,ISNUMBER('中古車掲載'!N625),'中古車掲載'!N625&gt;=50000,'中古車掲載'!O625&lt;=100000,'中古車掲載'!AL625=1),'中古車掲載'!U625,"")</x:f>
      </x:c>
      <x:c r="BC624" s="3" t="str">
        <x:f>IF(AND('中古車掲載'!C625="One2car",'中古車掲載'!F625="Corolla Cross",'中古車掲載'!L625="HEV PREMIUM SAFETY",'中古車掲載'!J625=2023,ISNUMBER('中古車掲載'!N625),'中古車掲載'!N625&gt;=50000,'中古車掲載'!O625&lt;=100000,'中古車掲載'!AL625=1,'中古車掲載'!Z625="https://www.one2car.com/en/cars-for-sale/toyota/corolla-cross/year-2023"),'中古車掲載'!U625,"")</x:f>
      </x:c>
      <x:c r="BD624" s="3" t="str">
        <x:f>IF(AND('中古車掲載'!C625="One2car",'中古車掲載'!F625="ATTO 3",'中古車掲載'!L625="EXTENDED RANGE",'中古車掲載'!J625=2023,ISNUMBER('中古車掲載'!N625),'中古車掲載'!N625&gt;=20000,'中古車掲載'!O625&lt;=50000,'中古車掲載'!AL625=1),'中古車掲載'!U625,"")</x:f>
      </x:c>
      <x:c r="BE624" s="3" t="str">
        <x:f>IF(AND('中古車掲載'!C625="One2car",'中古車掲載'!F625="Corolla Cross",'中古車掲載'!L625="HEV PREMIUM SAFETY",'中古車掲載'!J625=2023,ISNUMBER('中古車掲載'!N625),'中古車掲載'!N625&gt;=20000,'中古車掲載'!O625&lt;=50000,'中古車掲載'!AL625=1,'中古車掲載'!Z625="https://www.one2car.com/en/cars-for-sale/toyota/corolla-cross/year-2023"),'中古車掲載'!U625,"")</x:f>
      </x:c>
      <x:c r="BF624" s="3" t="str">
        <x:f>IF(AND('中古車掲載'!C625="One2car",'中古車掲載'!F625="Corolla Cross",'中古車掲載'!L625="HEV PREMIUM",'中古車掲載'!J625=2023,ISNUMBER('中古車掲載'!N625),'中古車掲載'!N625&gt;=20000,'中古車掲載'!O625&lt;=100000,'中古車掲載'!AL625=1,'中古車掲載'!Z625="https://www.one2car.com/en/cars-for-sale/toyota/corolla-cross/year-2023"),'中古車掲載'!U625,"")</x:f>
      </x:c>
      <x:c r="BG624" s="3" t="str">
        <x:f>IF(AND('中古車掲載'!C625="One2car",'中古車掲載'!F625="Corolla Cross",'中古車掲載'!L625="HEV GR SPORT",'中古車掲載'!J625=2023,ISNUMBER('中古車掲載'!N625),'中古車掲載'!N625&gt;=20000,'中古車掲載'!O625&lt;=100000,'中古車掲載'!AL625=1,'中古車掲載'!Z625="https://www.one2car.com/en/cars-for-sale/toyota/corolla-cross/year-2023"),'中古車掲載'!U625,"")</x:f>
      </x:c>
      <x:c r="BH624" s="3" t="str">
        <x:f>IF(AND('中古車掲載'!C625="One2car",'中古車掲載'!F625="DOLPHIN",'中古車掲載'!L625="STANDARD RANGE",'中古車掲載'!J625=2023,ISNUMBER('中古車掲載'!N625),'中古車掲載'!N625&gt;=20000,'中古車掲載'!O625&lt;=100000,'中古車掲載'!AL625=1),'中古車掲載'!U625,"")</x:f>
      </x:c>
      <x:c r="BI624" s="3" t="str">
        <x:v>Taladrod|Hilux Champ|ICE|Unknown</x:v>
      </x:c>
      <x:c r="BJ624" s="3" t="n">
        <x:v>625</x:v>
      </x:c>
      <x:c r="BK624" s="3" t="n">
        <x:f>'中古車掲載'!AM625</x:f>
        <x:v>450000</x:v>
      </x:c>
      <x:c r="BL624" s="3" t="str">
        <x:f>IF(ISNUMBER('中古車掲載'!AN625),'中古車掲載'!AN625,"")</x:f>
      </x:c>
      <x:c r="BM624" s="3"/>
      <x:c r="BN624" s="3"/>
      <x:c r="BO624" s="3"/>
      <x:c r="BP624" s="3"/>
      <x:c r="BQ624" s="3"/>
      <x:c r="BR624" s="3"/>
    </x:row>
    <x:row r="625" ht="22" customHeight="1">
      <x:c r="A625" s="3" t="str">
        <x:v>SEALION 7</x:v>
      </x:c>
      <x:c r="B625" s="3" t="str">
        <x:v>BEV</x:v>
      </x:c>
      <x:c r="C625" s="3" t="str">
        <x:v>Taladrod</x:v>
      </x:c>
      <x:c r="D625" s="3" t="str">
        <x:v>SUV</x:v>
      </x:c>
      <x:c r="E625" s="3" t="str"/>
      <x:c r="F625" s="3" t="n">
        <x:v>2025</x:v>
      </x:c>
      <x:c r="G625" s="3" t="str">
        <x:v>AWD PERFORMANCE</x:v>
      </x:c>
      <x:c r="H625" s="3" t="str">
        <x:v>未掲載</x:v>
      </x:c>
      <x:c r="I625" s="3" t="str">
        <x:v>24-ปัจจุบัน</x:v>
      </x:c>
      <x:c r="J625" s="22" t="n">
        <x:f>COUNT('中古車掲載'!AM934:AM936)</x:f>
        <x:v>3</x:v>
      </x:c>
      <x:c r="K625" s="22" t="n">
        <x:f>IF(COUNT('中古車掲載'!AM934:AM936)=0,"",QUARTILE('中古車掲載'!AM934:AM936,1))</x:f>
        <x:v>938500</x:v>
      </x:c>
      <x:c r="L625" s="22" t="n">
        <x:f>IF(COUNT('中古車掲載'!AM934:AM936)=0,"",MEDIAN('中古車掲載'!AM934:AM936))</x:f>
        <x:v>939000</x:v>
      </x:c>
      <x:c r="M625" s="22" t="n">
        <x:f>IF(COUNT('中古車掲載'!AM934:AM936)=0,"",QUARTILE('中古車掲載'!AM934:AM936,3))</x:f>
        <x:v>969000</x:v>
      </x:c>
      <x:c r="N625" s="22" t="n">
        <x:f>COUNT('中古車掲載'!AN934:AN936)</x:f>
        <x:v>3</x:v>
      </x:c>
      <x:c r="O625" s="23" t="n">
        <x:f>IF(COUNT('中古車掲載'!AN934:AN936)=0,"",MEDIAN('中古車掲載'!AN934:AN936))</x:f>
        <x:v>0.6707621972998071</x:v>
      </x:c>
      <x:c r="P625" s="3"/>
      <x:c r="Q625" s="3"/>
      <x:c r="R625" s="3"/>
      <x:c r="S625" s="3"/>
      <x:c r="T625" s="3"/>
      <x:c r="U625" s="3"/>
      <x:c r="V625" s="3"/>
      <x:c r="W625" s="3"/>
      <x:c r="X625" s="3"/>
      <x:c r="Y625" s="3"/>
      <x:c r="Z625" s="3"/>
      <x:c r="AA625" s="3"/>
      <x:c r="AB625" s="3"/>
      <x:c r="AC625" s="3"/>
      <x:c r="AD625" s="3"/>
      <x:c r="AE625" s="3"/>
      <x:c r="AF625" s="3"/>
      <x:c r="AG625" s="3"/>
      <x:c r="AH625" s="3"/>
      <x:c r="AI625" s="3"/>
      <x:c r="AJ625" s="3"/>
      <x:c r="AK625" s="3"/>
      <x:c r="AL625" s="3"/>
      <x:c r="AM625" s="3"/>
      <x:c r="AN625" s="3"/>
      <x:c r="AO625" s="3"/>
      <x:c r="AP625" s="3"/>
      <x:c r="AQ625" s="3"/>
      <x:c r="AR625" s="3"/>
      <x:c r="AS625" s="3"/>
      <x:c r="AT625" s="3"/>
      <x:c r="AU625" s="3"/>
      <x:c r="AV625" s="3"/>
      <x:c r="AW625" s="3"/>
      <x:c r="AX625" s="3"/>
      <x:c r="AY625" s="3"/>
      <x:c r="AZ625" s="3" t="str">
        <x:f>IF(AND('中古車掲載'!C626="One2car",'中古車掲載'!F626="ATTO 3",'中古車掲載'!L626="EXTENDED RANGE",'中古車掲載'!J626=2023,ISNUMBER('中古車掲載'!N626),'中古車掲載'!N626&gt;=20000,'中古車掲載'!O626&lt;=100000,'中古車掲載'!AL626=1),'中古車掲載'!U626,"")</x:f>
      </x:c>
      <x:c r="BA625" s="3" t="str">
        <x:f>IF(AND('中古車掲載'!C626="One2car",'中古車掲載'!F626="Corolla Cross",'中古車掲載'!L626="HEV PREMIUM SAFETY",'中古車掲載'!J626=2023,ISNUMBER('中古車掲載'!N626),'中古車掲載'!N626&gt;=20000,'中古車掲載'!O626&lt;=100000,'中古車掲載'!AL626=1,'中古車掲載'!Z626="https://www.one2car.com/en/cars-for-sale/toyota/corolla-cross/year-2023"),'中古車掲載'!U626,"")</x:f>
      </x:c>
      <x:c r="BB625" s="3" t="str">
        <x:f>IF(AND('中古車掲載'!C626="One2car",'中古車掲載'!F626="ATTO 3",'中古車掲載'!L626="EXTENDED RANGE",'中古車掲載'!J626=2023,ISNUMBER('中古車掲載'!N626),'中古車掲載'!N626&gt;=50000,'中古車掲載'!O626&lt;=100000,'中古車掲載'!AL626=1),'中古車掲載'!U626,"")</x:f>
      </x:c>
      <x:c r="BC625" s="3" t="str">
        <x:f>IF(AND('中古車掲載'!C626="One2car",'中古車掲載'!F626="Corolla Cross",'中古車掲載'!L626="HEV PREMIUM SAFETY",'中古車掲載'!J626=2023,ISNUMBER('中古車掲載'!N626),'中古車掲載'!N626&gt;=50000,'中古車掲載'!O626&lt;=100000,'中古車掲載'!AL626=1,'中古車掲載'!Z626="https://www.one2car.com/en/cars-for-sale/toyota/corolla-cross/year-2023"),'中古車掲載'!U626,"")</x:f>
      </x:c>
      <x:c r="BD625" s="3" t="str">
        <x:f>IF(AND('中古車掲載'!C626="One2car",'中古車掲載'!F626="ATTO 3",'中古車掲載'!L626="EXTENDED RANGE",'中古車掲載'!J626=2023,ISNUMBER('中古車掲載'!N626),'中古車掲載'!N626&gt;=20000,'中古車掲載'!O626&lt;=50000,'中古車掲載'!AL626=1),'中古車掲載'!U626,"")</x:f>
      </x:c>
      <x:c r="BE625" s="3" t="str">
        <x:f>IF(AND('中古車掲載'!C626="One2car",'中古車掲載'!F626="Corolla Cross",'中古車掲載'!L626="HEV PREMIUM SAFETY",'中古車掲載'!J626=2023,ISNUMBER('中古車掲載'!N626),'中古車掲載'!N626&gt;=20000,'中古車掲載'!O626&lt;=50000,'中古車掲載'!AL626=1,'中古車掲載'!Z626="https://www.one2car.com/en/cars-for-sale/toyota/corolla-cross/year-2023"),'中古車掲載'!U626,"")</x:f>
      </x:c>
      <x:c r="BF625" s="3" t="str">
        <x:f>IF(AND('中古車掲載'!C626="One2car",'中古車掲載'!F626="Corolla Cross",'中古車掲載'!L626="HEV PREMIUM",'中古車掲載'!J626=2023,ISNUMBER('中古車掲載'!N626),'中古車掲載'!N626&gt;=20000,'中古車掲載'!O626&lt;=100000,'中古車掲載'!AL626=1,'中古車掲載'!Z626="https://www.one2car.com/en/cars-for-sale/toyota/corolla-cross/year-2023"),'中古車掲載'!U626,"")</x:f>
      </x:c>
      <x:c r="BG625" s="3" t="str">
        <x:f>IF(AND('中古車掲載'!C626="One2car",'中古車掲載'!F626="Corolla Cross",'中古車掲載'!L626="HEV GR SPORT",'中古車掲載'!J626=2023,ISNUMBER('中古車掲載'!N626),'中古車掲載'!N626&gt;=20000,'中古車掲載'!O626&lt;=100000,'中古車掲載'!AL626=1,'中古車掲載'!Z626="https://www.one2car.com/en/cars-for-sale/toyota/corolla-cross/year-2023"),'中古車掲載'!U626,"")</x:f>
      </x:c>
      <x:c r="BH625" s="3" t="str">
        <x:f>IF(AND('中古車掲載'!C626="One2car",'中古車掲載'!F626="DOLPHIN",'中古車掲載'!L626="STANDARD RANGE",'中古車掲載'!J626=2023,ISNUMBER('中古車掲載'!N626),'中古車掲載'!N626&gt;=20000,'中古車掲載'!O626&lt;=100000,'中古車掲載'!AL626=1),'中古車掲載'!U626,"")</x:f>
      </x:c>
      <x:c r="BI625" s="3" t="str">
        <x:v>Taladrod|Hilux Champ|ICE|Unknown</x:v>
      </x:c>
      <x:c r="BJ625" s="3" t="n">
        <x:v>626</x:v>
      </x:c>
      <x:c r="BK625" s="3" t="n">
        <x:f>'中古車掲載'!AM626</x:f>
        <x:v>469000</x:v>
      </x:c>
      <x:c r="BL625" s="3" t="str">
        <x:f>IF(ISNUMBER('中古車掲載'!AN626),'中古車掲載'!AN626,"")</x:f>
      </x:c>
      <x:c r="BM625" s="3"/>
      <x:c r="BN625" s="3"/>
      <x:c r="BO625" s="3"/>
      <x:c r="BP625" s="3"/>
      <x:c r="BQ625" s="3"/>
      <x:c r="BR625" s="3"/>
    </x:row>
    <x:row r="626" ht="22" customHeight="1">
      <x:c r="A626" s="3" t="str">
        <x:v>SEALION 7</x:v>
      </x:c>
      <x:c r="B626" s="3" t="str">
        <x:v>BEV</x:v>
      </x:c>
      <x:c r="C626" s="3" t="str">
        <x:v>Taladrod</x:v>
      </x:c>
      <x:c r="D626" s="3" t="str">
        <x:v>SUV</x:v>
      </x:c>
      <x:c r="E626" s="3" t="str"/>
      <x:c r="F626" s="3" t="n">
        <x:v>2026</x:v>
      </x:c>
      <x:c r="G626" s="3" t="str">
        <x:v>PREMIUM</x:v>
      </x:c>
      <x:c r="H626" s="3" t="str">
        <x:v>未掲載</x:v>
      </x:c>
      <x:c r="I626" s="3" t="str">
        <x:v>24-ปัจจุบัน</x:v>
      </x:c>
      <x:c r="J626" s="22" t="n">
        <x:f>COUNT('中古車掲載'!AM937:AM937)</x:f>
        <x:v>0</x:v>
      </x:c>
      <x:c r="K626" s="22" t="str">
        <x:f>IF(COUNT('中古車掲載'!AM937:AM937)=0,"",QUARTILE('中古車掲載'!AM937:AM937,1))</x:f>
      </x:c>
      <x:c r="L626" s="22" t="str">
        <x:f>IF(COUNT('中古車掲載'!AM937:AM937)=0,"",MEDIAN('中古車掲載'!AM937:AM937))</x:f>
      </x:c>
      <x:c r="M626" s="22" t="str">
        <x:f>IF(COUNT('中古車掲載'!AM937:AM937)=0,"",QUARTILE('中古車掲載'!AM937:AM937,3))</x:f>
      </x:c>
      <x:c r="N626" s="22" t="n">
        <x:f>COUNT('中古車掲載'!AN937:AN937)</x:f>
        <x:v>0</x:v>
      </x:c>
      <x:c r="O626" s="23" t="str">
        <x:f>IF(COUNT('中古車掲載'!AN937:AN937)=0,"",MEDIAN('中古車掲載'!AN937:AN937))</x:f>
      </x:c>
      <x:c r="P626" s="3"/>
      <x:c r="Q626" s="3"/>
      <x:c r="R626" s="3"/>
      <x:c r="S626" s="3"/>
      <x:c r="T626" s="3"/>
      <x:c r="U626" s="3"/>
      <x:c r="V626" s="3"/>
      <x:c r="W626" s="3"/>
      <x:c r="X626" s="3"/>
      <x:c r="Y626" s="3"/>
      <x:c r="Z626" s="3"/>
      <x:c r="AA626" s="3"/>
      <x:c r="AB626" s="3"/>
      <x:c r="AC626" s="3"/>
      <x:c r="AD626" s="3"/>
      <x:c r="AE626" s="3"/>
      <x:c r="AF626" s="3"/>
      <x:c r="AG626" s="3"/>
      <x:c r="AH626" s="3"/>
      <x:c r="AI626" s="3"/>
      <x:c r="AJ626" s="3"/>
      <x:c r="AK626" s="3"/>
      <x:c r="AL626" s="3"/>
      <x:c r="AM626" s="3"/>
      <x:c r="AN626" s="3"/>
      <x:c r="AO626" s="3"/>
      <x:c r="AP626" s="3"/>
      <x:c r="AQ626" s="3"/>
      <x:c r="AR626" s="3"/>
      <x:c r="AS626" s="3"/>
      <x:c r="AT626" s="3"/>
      <x:c r="AU626" s="3"/>
      <x:c r="AV626" s="3"/>
      <x:c r="AW626" s="3"/>
      <x:c r="AX626" s="3"/>
      <x:c r="AY626" s="3"/>
      <x:c r="AZ626" s="3" t="str">
        <x:f>IF(AND('中古車掲載'!C627="One2car",'中古車掲載'!F627="ATTO 3",'中古車掲載'!L627="EXTENDED RANGE",'中古車掲載'!J627=2023,ISNUMBER('中古車掲載'!N627),'中古車掲載'!N627&gt;=20000,'中古車掲載'!O627&lt;=100000,'中古車掲載'!AL627=1),'中古車掲載'!U627,"")</x:f>
      </x:c>
      <x:c r="BA626" s="3" t="str">
        <x:f>IF(AND('中古車掲載'!C627="One2car",'中古車掲載'!F627="Corolla Cross",'中古車掲載'!L627="HEV PREMIUM SAFETY",'中古車掲載'!J627=2023,ISNUMBER('中古車掲載'!N627),'中古車掲載'!N627&gt;=20000,'中古車掲載'!O627&lt;=100000,'中古車掲載'!AL627=1,'中古車掲載'!Z627="https://www.one2car.com/en/cars-for-sale/toyota/corolla-cross/year-2023"),'中古車掲載'!U627,"")</x:f>
      </x:c>
      <x:c r="BB626" s="3" t="str">
        <x:f>IF(AND('中古車掲載'!C627="One2car",'中古車掲載'!F627="ATTO 3",'中古車掲載'!L627="EXTENDED RANGE",'中古車掲載'!J627=2023,ISNUMBER('中古車掲載'!N627),'中古車掲載'!N627&gt;=50000,'中古車掲載'!O627&lt;=100000,'中古車掲載'!AL627=1),'中古車掲載'!U627,"")</x:f>
      </x:c>
      <x:c r="BC626" s="3" t="str">
        <x:f>IF(AND('中古車掲載'!C627="One2car",'中古車掲載'!F627="Corolla Cross",'中古車掲載'!L627="HEV PREMIUM SAFETY",'中古車掲載'!J627=2023,ISNUMBER('中古車掲載'!N627),'中古車掲載'!N627&gt;=50000,'中古車掲載'!O627&lt;=100000,'中古車掲載'!AL627=1,'中古車掲載'!Z627="https://www.one2car.com/en/cars-for-sale/toyota/corolla-cross/year-2023"),'中古車掲載'!U627,"")</x:f>
      </x:c>
      <x:c r="BD626" s="3" t="str">
        <x:f>IF(AND('中古車掲載'!C627="One2car",'中古車掲載'!F627="ATTO 3",'中古車掲載'!L627="EXTENDED RANGE",'中古車掲載'!J627=2023,ISNUMBER('中古車掲載'!N627),'中古車掲載'!N627&gt;=20000,'中古車掲載'!O627&lt;=50000,'中古車掲載'!AL627=1),'中古車掲載'!U627,"")</x:f>
      </x:c>
      <x:c r="BE626" s="3" t="str">
        <x:f>IF(AND('中古車掲載'!C627="One2car",'中古車掲載'!F627="Corolla Cross",'中古車掲載'!L627="HEV PREMIUM SAFETY",'中古車掲載'!J627=2023,ISNUMBER('中古車掲載'!N627),'中古車掲載'!N627&gt;=20000,'中古車掲載'!O627&lt;=50000,'中古車掲載'!AL627=1,'中古車掲載'!Z627="https://www.one2car.com/en/cars-for-sale/toyota/corolla-cross/year-2023"),'中古車掲載'!U627,"")</x:f>
      </x:c>
      <x:c r="BF626" s="3" t="str">
        <x:f>IF(AND('中古車掲載'!C627="One2car",'中古車掲載'!F627="Corolla Cross",'中古車掲載'!L627="HEV PREMIUM",'中古車掲載'!J627=2023,ISNUMBER('中古車掲載'!N627),'中古車掲載'!N627&gt;=20000,'中古車掲載'!O627&lt;=100000,'中古車掲載'!AL627=1,'中古車掲載'!Z627="https://www.one2car.com/en/cars-for-sale/toyota/corolla-cross/year-2023"),'中古車掲載'!U627,"")</x:f>
      </x:c>
      <x:c r="BG626" s="3" t="str">
        <x:f>IF(AND('中古車掲載'!C627="One2car",'中古車掲載'!F627="Corolla Cross",'中古車掲載'!L627="HEV GR SPORT",'中古車掲載'!J627=2023,ISNUMBER('中古車掲載'!N627),'中古車掲載'!N627&gt;=20000,'中古車掲載'!O627&lt;=100000,'中古車掲載'!AL627=1,'中古車掲載'!Z627="https://www.one2car.com/en/cars-for-sale/toyota/corolla-cross/year-2023"),'中古車掲載'!U627,"")</x:f>
      </x:c>
      <x:c r="BH626" s="3" t="str">
        <x:f>IF(AND('中古車掲載'!C627="One2car",'中古車掲載'!F627="DOLPHIN",'中古車掲載'!L627="STANDARD RANGE",'中古車掲載'!J627=2023,ISNUMBER('中古車掲載'!N627),'中古車掲載'!N627&gt;=20000,'中古車掲載'!O627&lt;=100000,'中古車掲載'!AL627=1),'中古車掲載'!U627,"")</x:f>
      </x:c>
      <x:c r="BI626" s="3" t="str">
        <x:v>Taladrod|Hilux Champ|ICE|Unknown</x:v>
      </x:c>
      <x:c r="BJ626" s="3" t="n">
        <x:v>627</x:v>
      </x:c>
      <x:c r="BK626" s="3" t="n">
        <x:f>'中古車掲載'!AM627</x:f>
        <x:v>449000</x:v>
      </x:c>
      <x:c r="BL626" s="3" t="str">
        <x:f>IF(ISNUMBER('中古車掲載'!AN627),'中古車掲載'!AN627,"")</x:f>
      </x:c>
      <x:c r="BM626" s="3"/>
      <x:c r="BN626" s="3"/>
      <x:c r="BO626" s="3"/>
      <x:c r="BP626" s="3"/>
      <x:c r="BQ626" s="3"/>
      <x:c r="BR626" s="3"/>
    </x:row>
    <x:row r="627" ht="22" customHeight="1">
      <x:c r="A627" s="3" t="str">
        <x:v>Yaris Ativ</x:v>
      </x:c>
      <x:c r="B627" s="3" t="str">
        <x:v>HEV</x:v>
      </x:c>
      <x:c r="C627" s="3" t="str">
        <x:v>Taladrod</x:v>
      </x:c>
      <x:c r="D627" s="3" t="str">
        <x:v>Sedan</x:v>
      </x:c>
      <x:c r="E627" s="3" t="str"/>
      <x:c r="F627" s="3" t="n">
        <x:v>2025</x:v>
      </x:c>
      <x:c r="G627" s="3" t="str">
        <x:v>1.5 HEV GR SPORT</x:v>
      </x:c>
      <x:c r="H627" s="3" t="str">
        <x:v>未掲載</x:v>
      </x:c>
      <x:c r="I627" s="3" t="str">
        <x:v>22-ปัจจุบัน</x:v>
      </x:c>
      <x:c r="J627" s="22" t="n">
        <x:f>COUNT('中古車掲載'!AM938:AM940)</x:f>
        <x:v>3</x:v>
      </x:c>
      <x:c r="K627" s="22" t="n">
        <x:f>IF(COUNT('中古車掲載'!AM938:AM940)=0,"",QUARTILE('中古車掲載'!AM938:AM940,1))</x:f>
        <x:v>657000</x:v>
      </x:c>
      <x:c r="L627" s="22" t="n">
        <x:f>IF(COUNT('中古車掲載'!AM938:AM940)=0,"",MEDIAN('中古車掲載'!AM938:AM940))</x:f>
        <x:v>690000</x:v>
      </x:c>
      <x:c r="M627" s="22" t="n">
        <x:f>IF(COUNT('中古車掲載'!AM938:AM940)=0,"",QUARTILE('中古車掲載'!AM938:AM940,3))</x:f>
        <x:v>690000</x:v>
      </x:c>
      <x:c r="N627" s="22" t="n">
        <x:f>COUNT('中古車掲載'!AN938:AN940)</x:f>
        <x:v>0</x:v>
      </x:c>
      <x:c r="O627" s="23" t="str">
        <x:f>IF(COUNT('中古車掲載'!AN938:AN940)=0,"",MEDIAN('中古車掲載'!AN938:AN940))</x:f>
      </x:c>
      <x:c r="P627" s="3"/>
      <x:c r="Q627" s="3"/>
      <x:c r="R627" s="3"/>
      <x:c r="S627" s="3"/>
      <x:c r="T627" s="3"/>
      <x:c r="U627" s="3"/>
      <x:c r="V627" s="3"/>
      <x:c r="W627" s="3"/>
      <x:c r="X627" s="3"/>
      <x:c r="Y627" s="3"/>
      <x:c r="Z627" s="3"/>
      <x:c r="AA627" s="3"/>
      <x:c r="AB627" s="3"/>
      <x:c r="AC627" s="3"/>
      <x:c r="AD627" s="3"/>
      <x:c r="AE627" s="3"/>
      <x:c r="AF627" s="3"/>
      <x:c r="AG627" s="3"/>
      <x:c r="AH627" s="3"/>
      <x:c r="AI627" s="3"/>
      <x:c r="AJ627" s="3"/>
      <x:c r="AK627" s="3"/>
      <x:c r="AL627" s="3"/>
      <x:c r="AM627" s="3"/>
      <x:c r="AN627" s="3"/>
      <x:c r="AO627" s="3"/>
      <x:c r="AP627" s="3"/>
      <x:c r="AQ627" s="3"/>
      <x:c r="AR627" s="3"/>
      <x:c r="AS627" s="3"/>
      <x:c r="AT627" s="3"/>
      <x:c r="AU627" s="3"/>
      <x:c r="AV627" s="3"/>
      <x:c r="AW627" s="3"/>
      <x:c r="AX627" s="3"/>
      <x:c r="AY627" s="3"/>
      <x:c r="AZ627" s="3" t="str">
        <x:f>IF(AND('中古車掲載'!C628="One2car",'中古車掲載'!F628="ATTO 3",'中古車掲載'!L628="EXTENDED RANGE",'中古車掲載'!J628=2023,ISNUMBER('中古車掲載'!N628),'中古車掲載'!N628&gt;=20000,'中古車掲載'!O628&lt;=100000,'中古車掲載'!AL628=1),'中古車掲載'!U628,"")</x:f>
      </x:c>
      <x:c r="BA627" s="3" t="str">
        <x:f>IF(AND('中古車掲載'!C628="One2car",'中古車掲載'!F628="Corolla Cross",'中古車掲載'!L628="HEV PREMIUM SAFETY",'中古車掲載'!J628=2023,ISNUMBER('中古車掲載'!N628),'中古車掲載'!N628&gt;=20000,'中古車掲載'!O628&lt;=100000,'中古車掲載'!AL628=1,'中古車掲載'!Z628="https://www.one2car.com/en/cars-for-sale/toyota/corolla-cross/year-2023"),'中古車掲載'!U628,"")</x:f>
      </x:c>
      <x:c r="BB627" s="3" t="str">
        <x:f>IF(AND('中古車掲載'!C628="One2car",'中古車掲載'!F628="ATTO 3",'中古車掲載'!L628="EXTENDED RANGE",'中古車掲載'!J628=2023,ISNUMBER('中古車掲載'!N628),'中古車掲載'!N628&gt;=50000,'中古車掲載'!O628&lt;=100000,'中古車掲載'!AL628=1),'中古車掲載'!U628,"")</x:f>
      </x:c>
      <x:c r="BC627" s="3" t="str">
        <x:f>IF(AND('中古車掲載'!C628="One2car",'中古車掲載'!F628="Corolla Cross",'中古車掲載'!L628="HEV PREMIUM SAFETY",'中古車掲載'!J628=2023,ISNUMBER('中古車掲載'!N628),'中古車掲載'!N628&gt;=50000,'中古車掲載'!O628&lt;=100000,'中古車掲載'!AL628=1,'中古車掲載'!Z628="https://www.one2car.com/en/cars-for-sale/toyota/corolla-cross/year-2023"),'中古車掲載'!U628,"")</x:f>
      </x:c>
      <x:c r="BD627" s="3" t="str">
        <x:f>IF(AND('中古車掲載'!C628="One2car",'中古車掲載'!F628="ATTO 3",'中古車掲載'!L628="EXTENDED RANGE",'中古車掲載'!J628=2023,ISNUMBER('中古車掲載'!N628),'中古車掲載'!N628&gt;=20000,'中古車掲載'!O628&lt;=50000,'中古車掲載'!AL628=1),'中古車掲載'!U628,"")</x:f>
      </x:c>
      <x:c r="BE627" s="3" t="str">
        <x:f>IF(AND('中古車掲載'!C628="One2car",'中古車掲載'!F628="Corolla Cross",'中古車掲載'!L628="HEV PREMIUM SAFETY",'中古車掲載'!J628=2023,ISNUMBER('中古車掲載'!N628),'中古車掲載'!N628&gt;=20000,'中古車掲載'!O628&lt;=50000,'中古車掲載'!AL628=1,'中古車掲載'!Z628="https://www.one2car.com/en/cars-for-sale/toyota/corolla-cross/year-2023"),'中古車掲載'!U628,"")</x:f>
      </x:c>
      <x:c r="BF627" s="3" t="str">
        <x:f>IF(AND('中古車掲載'!C628="One2car",'中古車掲載'!F628="Corolla Cross",'中古車掲載'!L628="HEV PREMIUM",'中古車掲載'!J628=2023,ISNUMBER('中古車掲載'!N628),'中古車掲載'!N628&gt;=20000,'中古車掲載'!O628&lt;=100000,'中古車掲載'!AL628=1,'中古車掲載'!Z628="https://www.one2car.com/en/cars-for-sale/toyota/corolla-cross/year-2023"),'中古車掲載'!U628,"")</x:f>
      </x:c>
      <x:c r="BG627" s="3" t="str">
        <x:f>IF(AND('中古車掲載'!C628="One2car",'中古車掲載'!F628="Corolla Cross",'中古車掲載'!L628="HEV GR SPORT",'中古車掲載'!J628=2023,ISNUMBER('中古車掲載'!N628),'中古車掲載'!N628&gt;=20000,'中古車掲載'!O628&lt;=100000,'中古車掲載'!AL628=1,'中古車掲載'!Z628="https://www.one2car.com/en/cars-for-sale/toyota/corolla-cross/year-2023"),'中古車掲載'!U628,"")</x:f>
      </x:c>
      <x:c r="BH627" s="3" t="str">
        <x:f>IF(AND('中古車掲載'!C628="One2car",'中古車掲載'!F628="DOLPHIN",'中古車掲載'!L628="STANDARD RANGE",'中古車掲載'!J628=2023,ISNUMBER('中古車掲載'!N628),'中古車掲載'!N628&gt;=20000,'中古車掲載'!O628&lt;=100000,'中古車掲載'!AL628=1),'中古車掲載'!U628,"")</x:f>
      </x:c>
      <x:c r="BI627" s="3" t="str">
        <x:v>Taladrod|Hilux Champ|ICE|Unknown</x:v>
      </x:c>
      <x:c r="BJ627" s="3" t="n">
        <x:v>628</x:v>
      </x:c>
      <x:c r="BK627" s="3" t="n">
        <x:f>'中古車掲載'!AM628</x:f>
        <x:v>449000</x:v>
      </x:c>
      <x:c r="BL627" s="3" t="str">
        <x:f>IF(ISNUMBER('中古車掲載'!AN628),'中古車掲載'!AN628,"")</x:f>
      </x:c>
      <x:c r="BM627" s="3"/>
      <x:c r="BN627" s="3"/>
      <x:c r="BO627" s="3"/>
      <x:c r="BP627" s="3"/>
      <x:c r="BQ627" s="3"/>
      <x:c r="BR627" s="3"/>
    </x:row>
    <x:row r="628" ht="22" customHeight="1">
      <x:c r="A628" s="3" t="str">
        <x:v>Yaris Ativ</x:v>
      </x:c>
      <x:c r="B628" s="3" t="str">
        <x:v>HEV</x:v>
      </x:c>
      <x:c r="C628" s="3" t="str">
        <x:v>Taladrod</x:v>
      </x:c>
      <x:c r="D628" s="3" t="str">
        <x:v>Sedan</x:v>
      </x:c>
      <x:c r="E628" s="3" t="str"/>
      <x:c r="F628" s="3" t="n">
        <x:v>2026</x:v>
      </x:c>
      <x:c r="G628" s="3" t="str">
        <x:v>1.5 HEV GR SPORT</x:v>
      </x:c>
      <x:c r="H628" s="3" t="str">
        <x:v>未掲載</x:v>
      </x:c>
      <x:c r="I628" s="3" t="str">
        <x:v>22-ปัจจุบัน</x:v>
      </x:c>
      <x:c r="J628" s="22" t="n">
        <x:f>COUNT('中古車掲載'!AM941:AM941)</x:f>
        <x:v>0</x:v>
      </x:c>
      <x:c r="K628" s="22" t="str">
        <x:f>IF(COUNT('中古車掲載'!AM941:AM941)=0,"",QUARTILE('中古車掲載'!AM941:AM941,1))</x:f>
      </x:c>
      <x:c r="L628" s="22" t="str">
        <x:f>IF(COUNT('中古車掲載'!AM941:AM941)=0,"",MEDIAN('中古車掲載'!AM941:AM941))</x:f>
      </x:c>
      <x:c r="M628" s="22" t="str">
        <x:f>IF(COUNT('中古車掲載'!AM941:AM941)=0,"",QUARTILE('中古車掲載'!AM941:AM941,3))</x:f>
      </x:c>
      <x:c r="N628" s="22" t="n">
        <x:f>COUNT('中古車掲載'!AN941:AN941)</x:f>
        <x:v>0</x:v>
      </x:c>
      <x:c r="O628" s="23" t="str">
        <x:f>IF(COUNT('中古車掲載'!AN941:AN941)=0,"",MEDIAN('中古車掲載'!AN941:AN941))</x:f>
      </x:c>
      <x:c r="P628" s="3"/>
      <x:c r="Q628" s="3"/>
      <x:c r="R628" s="3"/>
      <x:c r="S628" s="3"/>
      <x:c r="T628" s="3"/>
      <x:c r="U628" s="3"/>
      <x:c r="V628" s="3"/>
      <x:c r="W628" s="3"/>
      <x:c r="X628" s="3"/>
      <x:c r="Y628" s="3"/>
      <x:c r="Z628" s="3"/>
      <x:c r="AA628" s="3"/>
      <x:c r="AB628" s="3"/>
      <x:c r="AC628" s="3"/>
      <x:c r="AD628" s="3"/>
      <x:c r="AE628" s="3"/>
      <x:c r="AF628" s="3"/>
      <x:c r="AG628" s="3"/>
      <x:c r="AH628" s="3"/>
      <x:c r="AI628" s="3"/>
      <x:c r="AJ628" s="3"/>
      <x:c r="AK628" s="3"/>
      <x:c r="AL628" s="3"/>
      <x:c r="AM628" s="3"/>
      <x:c r="AN628" s="3"/>
      <x:c r="AO628" s="3"/>
      <x:c r="AP628" s="3"/>
      <x:c r="AQ628" s="3"/>
      <x:c r="AR628" s="3"/>
      <x:c r="AS628" s="3"/>
      <x:c r="AT628" s="3"/>
      <x:c r="AU628" s="3"/>
      <x:c r="AV628" s="3"/>
      <x:c r="AW628" s="3"/>
      <x:c r="AX628" s="3"/>
      <x:c r="AY628" s="3"/>
      <x:c r="AZ628" s="3" t="str">
        <x:f>IF(AND('中古車掲載'!C629="One2car",'中古車掲載'!F629="ATTO 3",'中古車掲載'!L629="EXTENDED RANGE",'中古車掲載'!J629=2023,ISNUMBER('中古車掲載'!N629),'中古車掲載'!N629&gt;=20000,'中古車掲載'!O629&lt;=100000,'中古車掲載'!AL629=1),'中古車掲載'!U629,"")</x:f>
      </x:c>
      <x:c r="BA628" s="3" t="str">
        <x:f>IF(AND('中古車掲載'!C629="One2car",'中古車掲載'!F629="Corolla Cross",'中古車掲載'!L629="HEV PREMIUM SAFETY",'中古車掲載'!J629=2023,ISNUMBER('中古車掲載'!N629),'中古車掲載'!N629&gt;=20000,'中古車掲載'!O629&lt;=100000,'中古車掲載'!AL629=1,'中古車掲載'!Z629="https://www.one2car.com/en/cars-for-sale/toyota/corolla-cross/year-2023"),'中古車掲載'!U629,"")</x:f>
      </x:c>
      <x:c r="BB628" s="3" t="str">
        <x:f>IF(AND('中古車掲載'!C629="One2car",'中古車掲載'!F629="ATTO 3",'中古車掲載'!L629="EXTENDED RANGE",'中古車掲載'!J629=2023,ISNUMBER('中古車掲載'!N629),'中古車掲載'!N629&gt;=50000,'中古車掲載'!O629&lt;=100000,'中古車掲載'!AL629=1),'中古車掲載'!U629,"")</x:f>
      </x:c>
      <x:c r="BC628" s="3" t="str">
        <x:f>IF(AND('中古車掲載'!C629="One2car",'中古車掲載'!F629="Corolla Cross",'中古車掲載'!L629="HEV PREMIUM SAFETY",'中古車掲載'!J629=2023,ISNUMBER('中古車掲載'!N629),'中古車掲載'!N629&gt;=50000,'中古車掲載'!O629&lt;=100000,'中古車掲載'!AL629=1,'中古車掲載'!Z629="https://www.one2car.com/en/cars-for-sale/toyota/corolla-cross/year-2023"),'中古車掲載'!U629,"")</x:f>
      </x:c>
      <x:c r="BD628" s="3" t="str">
        <x:f>IF(AND('中古車掲載'!C629="One2car",'中古車掲載'!F629="ATTO 3",'中古車掲載'!L629="EXTENDED RANGE",'中古車掲載'!J629=2023,ISNUMBER('中古車掲載'!N629),'中古車掲載'!N629&gt;=20000,'中古車掲載'!O629&lt;=50000,'中古車掲載'!AL629=1),'中古車掲載'!U629,"")</x:f>
      </x:c>
      <x:c r="BE628" s="3" t="str">
        <x:f>IF(AND('中古車掲載'!C629="One2car",'中古車掲載'!F629="Corolla Cross",'中古車掲載'!L629="HEV PREMIUM SAFETY",'中古車掲載'!J629=2023,ISNUMBER('中古車掲載'!N629),'中古車掲載'!N629&gt;=20000,'中古車掲載'!O629&lt;=50000,'中古車掲載'!AL629=1,'中古車掲載'!Z629="https://www.one2car.com/en/cars-for-sale/toyota/corolla-cross/year-2023"),'中古車掲載'!U629,"")</x:f>
      </x:c>
      <x:c r="BF628" s="3" t="str">
        <x:f>IF(AND('中古車掲載'!C629="One2car",'中古車掲載'!F629="Corolla Cross",'中古車掲載'!L629="HEV PREMIUM",'中古車掲載'!J629=2023,ISNUMBER('中古車掲載'!N629),'中古車掲載'!N629&gt;=20000,'中古車掲載'!O629&lt;=100000,'中古車掲載'!AL629=1,'中古車掲載'!Z629="https://www.one2car.com/en/cars-for-sale/toyota/corolla-cross/year-2023"),'中古車掲載'!U629,"")</x:f>
      </x:c>
      <x:c r="BG628" s="3" t="str">
        <x:f>IF(AND('中古車掲載'!C629="One2car",'中古車掲載'!F629="Corolla Cross",'中古車掲載'!L629="HEV GR SPORT",'中古車掲載'!J629=2023,ISNUMBER('中古車掲載'!N629),'中古車掲載'!N629&gt;=20000,'中古車掲載'!O629&lt;=100000,'中古車掲載'!AL629=1,'中古車掲載'!Z629="https://www.one2car.com/en/cars-for-sale/toyota/corolla-cross/year-2023"),'中古車掲載'!U629,"")</x:f>
      </x:c>
      <x:c r="BH628" s="3" t="str">
        <x:f>IF(AND('中古車掲載'!C629="One2car",'中古車掲載'!F629="DOLPHIN",'中古車掲載'!L629="STANDARD RANGE",'中古車掲載'!J629=2023,ISNUMBER('中古車掲載'!N629),'中古車掲載'!N629&gt;=20000,'中古車掲載'!O629&lt;=100000,'中古車掲載'!AL629=1),'中古車掲載'!U629,"")</x:f>
      </x:c>
      <x:c r="BI628" s="3" t="str">
        <x:v>Taladrod|Hilux Champ|ICE|Unknown</x:v>
      </x:c>
      <x:c r="BJ628" s="3" t="n">
        <x:v>629</x:v>
      </x:c>
      <x:c r="BK628" s="3" t="n">
        <x:f>'中古車掲載'!AM629</x:f>
        <x:v>459000</x:v>
      </x:c>
      <x:c r="BL628" s="3" t="str">
        <x:f>IF(ISNUMBER('中古車掲載'!AN629),'中古車掲載'!AN629,"")</x:f>
      </x:c>
      <x:c r="BM628" s="3"/>
      <x:c r="BN628" s="3"/>
      <x:c r="BO628" s="3"/>
      <x:c r="BP628" s="3"/>
      <x:c r="BQ628" s="3"/>
      <x:c r="BR628" s="3"/>
    </x:row>
    <x:row r="629" ht="22" customHeight="1">
      <x:c r="A629" s="3" t="str">
        <x:v>Yaris Ativ</x:v>
      </x:c>
      <x:c r="B629" s="3" t="str">
        <x:v>ICE</x:v>
      </x:c>
      <x:c r="C629" s="3" t="str">
        <x:v>Taladrod</x:v>
      </x:c>
      <x:c r="D629" s="3" t="str">
        <x:v>Sedan</x:v>
      </x:c>
      <x:c r="E629" s="3" t="str"/>
      <x:c r="F629" s="3" t="n">
        <x:v>2020</x:v>
      </x:c>
      <x:c r="G629" s="3" t="str">
        <x:v>ENTRY</x:v>
      </x:c>
      <x:c r="H629" s="3" t="str">
        <x:v>未掲載</x:v>
      </x:c>
      <x:c r="I629" s="3" t="str">
        <x:v>17-22</x:v>
      </x:c>
      <x:c r="J629" s="22" t="n">
        <x:f>COUNT('中古車掲載'!AM942:AM943)</x:f>
        <x:v>2</x:v>
      </x:c>
      <x:c r="K629" s="22" t="n">
        <x:f>IF(COUNT('中古車掲載'!AM942:AM943)=0,"",QUARTILE('中古車掲載'!AM942:AM943,1))</x:f>
        <x:v>314000</x:v>
      </x:c>
      <x:c r="L629" s="22" t="n">
        <x:f>IF(COUNT('中古車掲載'!AM942:AM943)=0,"",MEDIAN('中古車掲載'!AM942:AM943))</x:f>
        <x:v>319000</x:v>
      </x:c>
      <x:c r="M629" s="22" t="n">
        <x:f>IF(COUNT('中古車掲載'!AM942:AM943)=0,"",QUARTILE('中古車掲載'!AM942:AM943,3))</x:f>
        <x:v>324000</x:v>
      </x:c>
      <x:c r="N629" s="22" t="n">
        <x:f>COUNT('中古車掲載'!AN942:AN943)</x:f>
        <x:v>0</x:v>
      </x:c>
      <x:c r="O629" s="23" t="str">
        <x:f>IF(COUNT('中古車掲載'!AN942:AN943)=0,"",MEDIAN('中古車掲載'!AN942:AN943))</x:f>
      </x:c>
      <x:c r="P629" s="3"/>
      <x:c r="Q629" s="3"/>
      <x:c r="R629" s="3"/>
      <x:c r="S629" s="3"/>
      <x:c r="T629" s="3"/>
      <x:c r="U629" s="3"/>
      <x:c r="V629" s="3"/>
      <x:c r="W629" s="3"/>
      <x:c r="X629" s="3"/>
      <x:c r="Y629" s="3"/>
      <x:c r="Z629" s="3"/>
      <x:c r="AA629" s="3"/>
      <x:c r="AB629" s="3"/>
      <x:c r="AC629" s="3"/>
      <x:c r="AD629" s="3"/>
      <x:c r="AE629" s="3"/>
      <x:c r="AF629" s="3"/>
      <x:c r="AG629" s="3"/>
      <x:c r="AH629" s="3"/>
      <x:c r="AI629" s="3"/>
      <x:c r="AJ629" s="3"/>
      <x:c r="AK629" s="3"/>
      <x:c r="AL629" s="3"/>
      <x:c r="AM629" s="3"/>
      <x:c r="AN629" s="3"/>
      <x:c r="AO629" s="3"/>
      <x:c r="AP629" s="3"/>
      <x:c r="AQ629" s="3"/>
      <x:c r="AR629" s="3"/>
      <x:c r="AS629" s="3"/>
      <x:c r="AT629" s="3"/>
      <x:c r="AU629" s="3"/>
      <x:c r="AV629" s="3"/>
      <x:c r="AW629" s="3"/>
      <x:c r="AX629" s="3"/>
      <x:c r="AY629" s="3"/>
      <x:c r="AZ629" s="3" t="str">
        <x:f>IF(AND('中古車掲載'!C630="One2car",'中古車掲載'!F630="ATTO 3",'中古車掲載'!L630="EXTENDED RANGE",'中古車掲載'!J630=2023,ISNUMBER('中古車掲載'!N630),'中古車掲載'!N630&gt;=20000,'中古車掲載'!O630&lt;=100000,'中古車掲載'!AL630=1),'中古車掲載'!U630,"")</x:f>
      </x:c>
      <x:c r="BA629" s="3" t="str">
        <x:f>IF(AND('中古車掲載'!C630="One2car",'中古車掲載'!F630="Corolla Cross",'中古車掲載'!L630="HEV PREMIUM SAFETY",'中古車掲載'!J630=2023,ISNUMBER('中古車掲載'!N630),'中古車掲載'!N630&gt;=20000,'中古車掲載'!O630&lt;=100000,'中古車掲載'!AL630=1,'中古車掲載'!Z630="https://www.one2car.com/en/cars-for-sale/toyota/corolla-cross/year-2023"),'中古車掲載'!U630,"")</x:f>
      </x:c>
      <x:c r="BB629" s="3" t="str">
        <x:f>IF(AND('中古車掲載'!C630="One2car",'中古車掲載'!F630="ATTO 3",'中古車掲載'!L630="EXTENDED RANGE",'中古車掲載'!J630=2023,ISNUMBER('中古車掲載'!N630),'中古車掲載'!N630&gt;=50000,'中古車掲載'!O630&lt;=100000,'中古車掲載'!AL630=1),'中古車掲載'!U630,"")</x:f>
      </x:c>
      <x:c r="BC629" s="3" t="str">
        <x:f>IF(AND('中古車掲載'!C630="One2car",'中古車掲載'!F630="Corolla Cross",'中古車掲載'!L630="HEV PREMIUM SAFETY",'中古車掲載'!J630=2023,ISNUMBER('中古車掲載'!N630),'中古車掲載'!N630&gt;=50000,'中古車掲載'!O630&lt;=100000,'中古車掲載'!AL630=1,'中古車掲載'!Z630="https://www.one2car.com/en/cars-for-sale/toyota/corolla-cross/year-2023"),'中古車掲載'!U630,"")</x:f>
      </x:c>
      <x:c r="BD629" s="3" t="str">
        <x:f>IF(AND('中古車掲載'!C630="One2car",'中古車掲載'!F630="ATTO 3",'中古車掲載'!L630="EXTENDED RANGE",'中古車掲載'!J630=2023,ISNUMBER('中古車掲載'!N630),'中古車掲載'!N630&gt;=20000,'中古車掲載'!O630&lt;=50000,'中古車掲載'!AL630=1),'中古車掲載'!U630,"")</x:f>
      </x:c>
      <x:c r="BE629" s="3" t="str">
        <x:f>IF(AND('中古車掲載'!C630="One2car",'中古車掲載'!F630="Corolla Cross",'中古車掲載'!L630="HEV PREMIUM SAFETY",'中古車掲載'!J630=2023,ISNUMBER('中古車掲載'!N630),'中古車掲載'!N630&gt;=20000,'中古車掲載'!O630&lt;=50000,'中古車掲載'!AL630=1,'中古車掲載'!Z630="https://www.one2car.com/en/cars-for-sale/toyota/corolla-cross/year-2023"),'中古車掲載'!U630,"")</x:f>
      </x:c>
      <x:c r="BF629" s="3" t="str">
        <x:f>IF(AND('中古車掲載'!C630="One2car",'中古車掲載'!F630="Corolla Cross",'中古車掲載'!L630="HEV PREMIUM",'中古車掲載'!J630=2023,ISNUMBER('中古車掲載'!N630),'中古車掲載'!N630&gt;=20000,'中古車掲載'!O630&lt;=100000,'中古車掲載'!AL630=1,'中古車掲載'!Z630="https://www.one2car.com/en/cars-for-sale/toyota/corolla-cross/year-2023"),'中古車掲載'!U630,"")</x:f>
      </x:c>
      <x:c r="BG629" s="3" t="str">
        <x:f>IF(AND('中古車掲載'!C630="One2car",'中古車掲載'!F630="Corolla Cross",'中古車掲載'!L630="HEV GR SPORT",'中古車掲載'!J630=2023,ISNUMBER('中古車掲載'!N630),'中古車掲載'!N630&gt;=20000,'中古車掲載'!O630&lt;=100000,'中古車掲載'!AL630=1,'中古車掲載'!Z630="https://www.one2car.com/en/cars-for-sale/toyota/corolla-cross/year-2023"),'中古車掲載'!U630,"")</x:f>
      </x:c>
      <x:c r="BH629" s="3" t="str">
        <x:f>IF(AND('中古車掲載'!C630="One2car",'中古車掲載'!F630="DOLPHIN",'中古車掲載'!L630="STANDARD RANGE",'中古車掲載'!J630=2023,ISNUMBER('中古車掲載'!N630),'中古車掲載'!N630&gt;=20000,'中古車掲載'!O630&lt;=100000,'中古車掲載'!AL630=1),'中古車掲載'!U630,"")</x:f>
      </x:c>
      <x:c r="BI629" s="3" t="str">
        <x:v>Taladrod|Hilux Champ|ICE|Unknown</x:v>
      </x:c>
      <x:c r="BJ629" s="3" t="n">
        <x:v>630</x:v>
      </x:c>
      <x:c r="BK629" s="3" t="n">
        <x:f>'中古車掲載'!AM630</x:f>
        <x:v>449000</x:v>
      </x:c>
      <x:c r="BL629" s="3" t="str">
        <x:f>IF(ISNUMBER('中古車掲載'!AN630),'中古車掲載'!AN630,"")</x:f>
      </x:c>
      <x:c r="BM629" s="3"/>
      <x:c r="BN629" s="3"/>
      <x:c r="BO629" s="3"/>
      <x:c r="BP629" s="3"/>
      <x:c r="BQ629" s="3"/>
      <x:c r="BR629" s="3"/>
    </x:row>
    <x:row r="630" ht="22" customHeight="1">
      <x:c r="A630" s="3" t="str">
        <x:v>Yaris Ativ</x:v>
      </x:c>
      <x:c r="B630" s="3" t="str">
        <x:v>ICE</x:v>
      </x:c>
      <x:c r="C630" s="3" t="str">
        <x:v>Taladrod</x:v>
      </x:c>
      <x:c r="D630" s="3" t="str">
        <x:v>Sedan</x:v>
      </x:c>
      <x:c r="E630" s="3" t="str"/>
      <x:c r="F630" s="3" t="n">
        <x:v>2020</x:v>
      </x:c>
      <x:c r="G630" s="3" t="str">
        <x:v>HIGH</x:v>
      </x:c>
      <x:c r="H630" s="3" t="str">
        <x:v>未掲載</x:v>
      </x:c>
      <x:c r="I630" s="3" t="str">
        <x:v>17-22</x:v>
      </x:c>
      <x:c r="J630" s="22" t="n">
        <x:f>COUNT('中古車掲載'!AM944:AM944)</x:f>
        <x:v>1</x:v>
      </x:c>
      <x:c r="K630" s="22" t="n">
        <x:f>IF(COUNT('中古車掲載'!AM944:AM944)=0,"",QUARTILE('中古車掲載'!AM944:AM944,1))</x:f>
        <x:v>389000</x:v>
      </x:c>
      <x:c r="L630" s="22" t="n">
        <x:f>IF(COUNT('中古車掲載'!AM944:AM944)=0,"",MEDIAN('中古車掲載'!AM944:AM944))</x:f>
        <x:v>389000</x:v>
      </x:c>
      <x:c r="M630" s="22" t="n">
        <x:f>IF(COUNT('中古車掲載'!AM944:AM944)=0,"",QUARTILE('中古車掲載'!AM944:AM944,3))</x:f>
        <x:v>389000</x:v>
      </x:c>
      <x:c r="N630" s="22" t="n">
        <x:f>COUNT('中古車掲載'!AN944:AN944)</x:f>
        <x:v>0</x:v>
      </x:c>
      <x:c r="O630" s="23" t="str">
        <x:f>IF(COUNT('中古車掲載'!AN944:AN944)=0,"",MEDIAN('中古車掲載'!AN944:AN944))</x:f>
      </x:c>
      <x:c r="P630" s="3"/>
      <x:c r="Q630" s="3"/>
      <x:c r="R630" s="3"/>
      <x:c r="S630" s="3"/>
      <x:c r="T630" s="3"/>
      <x:c r="U630" s="3"/>
      <x:c r="V630" s="3"/>
      <x:c r="W630" s="3"/>
      <x:c r="X630" s="3"/>
      <x:c r="Y630" s="3"/>
      <x:c r="Z630" s="3"/>
      <x:c r="AA630" s="3"/>
      <x:c r="AB630" s="3"/>
      <x:c r="AC630" s="3"/>
      <x:c r="AD630" s="3"/>
      <x:c r="AE630" s="3"/>
      <x:c r="AF630" s="3"/>
      <x:c r="AG630" s="3"/>
      <x:c r="AH630" s="3"/>
      <x:c r="AI630" s="3"/>
      <x:c r="AJ630" s="3"/>
      <x:c r="AK630" s="3"/>
      <x:c r="AL630" s="3"/>
      <x:c r="AM630" s="3"/>
      <x:c r="AN630" s="3"/>
      <x:c r="AO630" s="3"/>
      <x:c r="AP630" s="3"/>
      <x:c r="AQ630" s="3"/>
      <x:c r="AR630" s="3"/>
      <x:c r="AS630" s="3"/>
      <x:c r="AT630" s="3"/>
      <x:c r="AU630" s="3"/>
      <x:c r="AV630" s="3"/>
      <x:c r="AW630" s="3"/>
      <x:c r="AX630" s="3"/>
      <x:c r="AY630" s="3"/>
      <x:c r="AZ630" s="3" t="str">
        <x:f>IF(AND('中古車掲載'!C631="One2car",'中古車掲載'!F631="ATTO 3",'中古車掲載'!L631="EXTENDED RANGE",'中古車掲載'!J631=2023,ISNUMBER('中古車掲載'!N631),'中古車掲載'!N631&gt;=20000,'中古車掲載'!O631&lt;=100000,'中古車掲載'!AL631=1),'中古車掲載'!U631,"")</x:f>
      </x:c>
      <x:c r="BA630" s="3" t="str">
        <x:f>IF(AND('中古車掲載'!C631="One2car",'中古車掲載'!F631="Corolla Cross",'中古車掲載'!L631="HEV PREMIUM SAFETY",'中古車掲載'!J631=2023,ISNUMBER('中古車掲載'!N631),'中古車掲載'!N631&gt;=20000,'中古車掲載'!O631&lt;=100000,'中古車掲載'!AL631=1,'中古車掲載'!Z631="https://www.one2car.com/en/cars-for-sale/toyota/corolla-cross/year-2023"),'中古車掲載'!U631,"")</x:f>
      </x:c>
      <x:c r="BB630" s="3" t="str">
        <x:f>IF(AND('中古車掲載'!C631="One2car",'中古車掲載'!F631="ATTO 3",'中古車掲載'!L631="EXTENDED RANGE",'中古車掲載'!J631=2023,ISNUMBER('中古車掲載'!N631),'中古車掲載'!N631&gt;=50000,'中古車掲載'!O631&lt;=100000,'中古車掲載'!AL631=1),'中古車掲載'!U631,"")</x:f>
      </x:c>
      <x:c r="BC630" s="3" t="str">
        <x:f>IF(AND('中古車掲載'!C631="One2car",'中古車掲載'!F631="Corolla Cross",'中古車掲載'!L631="HEV PREMIUM SAFETY",'中古車掲載'!J631=2023,ISNUMBER('中古車掲載'!N631),'中古車掲載'!N631&gt;=50000,'中古車掲載'!O631&lt;=100000,'中古車掲載'!AL631=1,'中古車掲載'!Z631="https://www.one2car.com/en/cars-for-sale/toyota/corolla-cross/year-2023"),'中古車掲載'!U631,"")</x:f>
      </x:c>
      <x:c r="BD630" s="3" t="str">
        <x:f>IF(AND('中古車掲載'!C631="One2car",'中古車掲載'!F631="ATTO 3",'中古車掲載'!L631="EXTENDED RANGE",'中古車掲載'!J631=2023,ISNUMBER('中古車掲載'!N631),'中古車掲載'!N631&gt;=20000,'中古車掲載'!O631&lt;=50000,'中古車掲載'!AL631=1),'中古車掲載'!U631,"")</x:f>
      </x:c>
      <x:c r="BE630" s="3" t="str">
        <x:f>IF(AND('中古車掲載'!C631="One2car",'中古車掲載'!F631="Corolla Cross",'中古車掲載'!L631="HEV PREMIUM SAFETY",'中古車掲載'!J631=2023,ISNUMBER('中古車掲載'!N631),'中古車掲載'!N631&gt;=20000,'中古車掲載'!O631&lt;=50000,'中古車掲載'!AL631=1,'中古車掲載'!Z631="https://www.one2car.com/en/cars-for-sale/toyota/corolla-cross/year-2023"),'中古車掲載'!U631,"")</x:f>
      </x:c>
      <x:c r="BF630" s="3" t="str">
        <x:f>IF(AND('中古車掲載'!C631="One2car",'中古車掲載'!F631="Corolla Cross",'中古車掲載'!L631="HEV PREMIUM",'中古車掲載'!J631=2023,ISNUMBER('中古車掲載'!N631),'中古車掲載'!N631&gt;=20000,'中古車掲載'!O631&lt;=100000,'中古車掲載'!AL631=1,'中古車掲載'!Z631="https://www.one2car.com/en/cars-for-sale/toyota/corolla-cross/year-2023"),'中古車掲載'!U631,"")</x:f>
      </x:c>
      <x:c r="BG630" s="3" t="str">
        <x:f>IF(AND('中古車掲載'!C631="One2car",'中古車掲載'!F631="Corolla Cross",'中古車掲載'!L631="HEV GR SPORT",'中古車掲載'!J631=2023,ISNUMBER('中古車掲載'!N631),'中古車掲載'!N631&gt;=20000,'中古車掲載'!O631&lt;=100000,'中古車掲載'!AL631=1,'中古車掲載'!Z631="https://www.one2car.com/en/cars-for-sale/toyota/corolla-cross/year-2023"),'中古車掲載'!U631,"")</x:f>
      </x:c>
      <x:c r="BH630" s="3" t="str">
        <x:f>IF(AND('中古車掲載'!C631="One2car",'中古車掲載'!F631="DOLPHIN",'中古車掲載'!L631="STANDARD RANGE",'中古車掲載'!J631=2023,ISNUMBER('中古車掲載'!N631),'中古車掲載'!N631&gt;=20000,'中古車掲載'!O631&lt;=100000,'中古車掲載'!AL631=1),'中古車掲載'!U631,"")</x:f>
      </x:c>
      <x:c r="BI630" s="3" t="str">
        <x:v>Taladrod|Hilux Champ|ICE|Unknown</x:v>
      </x:c>
      <x:c r="BJ630" s="3" t="n">
        <x:v>631</x:v>
      </x:c>
      <x:c r="BK630" s="3" t="n">
        <x:f>'中古車掲載'!AM631</x:f>
        <x:v>439000</x:v>
      </x:c>
      <x:c r="BL630" s="3" t="str">
        <x:f>IF(ISNUMBER('中古車掲載'!AN631),'中古車掲載'!AN631,"")</x:f>
      </x:c>
      <x:c r="BM630" s="3"/>
      <x:c r="BN630" s="3"/>
      <x:c r="BO630" s="3"/>
      <x:c r="BP630" s="3"/>
      <x:c r="BQ630" s="3"/>
      <x:c r="BR630" s="3"/>
    </x:row>
    <x:row r="631" ht="22" customHeight="1">
      <x:c r="A631" s="3" t="str">
        <x:v>Yaris Ativ</x:v>
      </x:c>
      <x:c r="B631" s="3" t="str">
        <x:v>ICE</x:v>
      </x:c>
      <x:c r="C631" s="3" t="str">
        <x:v>Taladrod</x:v>
      </x:c>
      <x:c r="D631" s="3" t="str">
        <x:v>Sedan</x:v>
      </x:c>
      <x:c r="E631" s="3" t="str"/>
      <x:c r="F631" s="3" t="n">
        <x:v>2020</x:v>
      </x:c>
      <x:c r="G631" s="3" t="str">
        <x:v>J ECO</x:v>
      </x:c>
      <x:c r="H631" s="3" t="str">
        <x:v>未掲載</x:v>
      </x:c>
      <x:c r="I631" s="3" t="str">
        <x:v>17-22</x:v>
      </x:c>
      <x:c r="J631" s="22" t="n">
        <x:f>COUNT('中古車掲載'!AM945:AM945)</x:f>
        <x:v>1</x:v>
      </x:c>
      <x:c r="K631" s="22" t="n">
        <x:f>IF(COUNT('中古車掲載'!AM945:AM945)=0,"",QUARTILE('中古車掲載'!AM945:AM945,1))</x:f>
        <x:v>295000</x:v>
      </x:c>
      <x:c r="L631" s="22" t="n">
        <x:f>IF(COUNT('中古車掲載'!AM945:AM945)=0,"",MEDIAN('中古車掲載'!AM945:AM945))</x:f>
        <x:v>295000</x:v>
      </x:c>
      <x:c r="M631" s="22" t="n">
        <x:f>IF(COUNT('中古車掲載'!AM945:AM945)=0,"",QUARTILE('中古車掲載'!AM945:AM945,3))</x:f>
        <x:v>295000</x:v>
      </x:c>
      <x:c r="N631" s="22" t="n">
        <x:f>COUNT('中古車掲載'!AN945:AN945)</x:f>
        <x:v>0</x:v>
      </x:c>
      <x:c r="O631" s="23" t="str">
        <x:f>IF(COUNT('中古車掲載'!AN945:AN945)=0,"",MEDIAN('中古車掲載'!AN945:AN945))</x:f>
      </x:c>
      <x:c r="P631" s="3"/>
      <x:c r="Q631" s="3"/>
      <x:c r="R631" s="3"/>
      <x:c r="S631" s="3"/>
      <x:c r="T631" s="3"/>
      <x:c r="U631" s="3"/>
      <x:c r="V631" s="3"/>
      <x:c r="W631" s="3"/>
      <x:c r="X631" s="3"/>
      <x:c r="Y631" s="3"/>
      <x:c r="Z631" s="3"/>
      <x:c r="AA631" s="3"/>
      <x:c r="AB631" s="3"/>
      <x:c r="AC631" s="3"/>
      <x:c r="AD631" s="3"/>
      <x:c r="AE631" s="3"/>
      <x:c r="AF631" s="3"/>
      <x:c r="AG631" s="3"/>
      <x:c r="AH631" s="3"/>
      <x:c r="AI631" s="3"/>
      <x:c r="AJ631" s="3"/>
      <x:c r="AK631" s="3"/>
      <x:c r="AL631" s="3"/>
      <x:c r="AM631" s="3"/>
      <x:c r="AN631" s="3"/>
      <x:c r="AO631" s="3"/>
      <x:c r="AP631" s="3"/>
      <x:c r="AQ631" s="3"/>
      <x:c r="AR631" s="3"/>
      <x:c r="AS631" s="3"/>
      <x:c r="AT631" s="3"/>
      <x:c r="AU631" s="3"/>
      <x:c r="AV631" s="3"/>
      <x:c r="AW631" s="3"/>
      <x:c r="AX631" s="3"/>
      <x:c r="AY631" s="3"/>
      <x:c r="AZ631" s="3" t="str">
        <x:f>IF(AND('中古車掲載'!C632="One2car",'中古車掲載'!F632="ATTO 3",'中古車掲載'!L632="EXTENDED RANGE",'中古車掲載'!J632=2023,ISNUMBER('中古車掲載'!N632),'中古車掲載'!N632&gt;=20000,'中古車掲載'!O632&lt;=100000,'中古車掲載'!AL632=1),'中古車掲載'!U632,"")</x:f>
      </x:c>
      <x:c r="BA631" s="3" t="str">
        <x:f>IF(AND('中古車掲載'!C632="One2car",'中古車掲載'!F632="Corolla Cross",'中古車掲載'!L632="HEV PREMIUM SAFETY",'中古車掲載'!J632=2023,ISNUMBER('中古車掲載'!N632),'中古車掲載'!N632&gt;=20000,'中古車掲載'!O632&lt;=100000,'中古車掲載'!AL632=1,'中古車掲載'!Z632="https://www.one2car.com/en/cars-for-sale/toyota/corolla-cross/year-2023"),'中古車掲載'!U632,"")</x:f>
      </x:c>
      <x:c r="BB631" s="3" t="str">
        <x:f>IF(AND('中古車掲載'!C632="One2car",'中古車掲載'!F632="ATTO 3",'中古車掲載'!L632="EXTENDED RANGE",'中古車掲載'!J632=2023,ISNUMBER('中古車掲載'!N632),'中古車掲載'!N632&gt;=50000,'中古車掲載'!O632&lt;=100000,'中古車掲載'!AL632=1),'中古車掲載'!U632,"")</x:f>
      </x:c>
      <x:c r="BC631" s="3" t="str">
        <x:f>IF(AND('中古車掲載'!C632="One2car",'中古車掲載'!F632="Corolla Cross",'中古車掲載'!L632="HEV PREMIUM SAFETY",'中古車掲載'!J632=2023,ISNUMBER('中古車掲載'!N632),'中古車掲載'!N632&gt;=50000,'中古車掲載'!O632&lt;=100000,'中古車掲載'!AL632=1,'中古車掲載'!Z632="https://www.one2car.com/en/cars-for-sale/toyota/corolla-cross/year-2023"),'中古車掲載'!U632,"")</x:f>
      </x:c>
      <x:c r="BD631" s="3" t="str">
        <x:f>IF(AND('中古車掲載'!C632="One2car",'中古車掲載'!F632="ATTO 3",'中古車掲載'!L632="EXTENDED RANGE",'中古車掲載'!J632=2023,ISNUMBER('中古車掲載'!N632),'中古車掲載'!N632&gt;=20000,'中古車掲載'!O632&lt;=50000,'中古車掲載'!AL632=1),'中古車掲載'!U632,"")</x:f>
      </x:c>
      <x:c r="BE631" s="3" t="str">
        <x:f>IF(AND('中古車掲載'!C632="One2car",'中古車掲載'!F632="Corolla Cross",'中古車掲載'!L632="HEV PREMIUM SAFETY",'中古車掲載'!J632=2023,ISNUMBER('中古車掲載'!N632),'中古車掲載'!N632&gt;=20000,'中古車掲載'!O632&lt;=50000,'中古車掲載'!AL632=1,'中古車掲載'!Z632="https://www.one2car.com/en/cars-for-sale/toyota/corolla-cross/year-2023"),'中古車掲載'!U632,"")</x:f>
      </x:c>
      <x:c r="BF631" s="3" t="str">
        <x:f>IF(AND('中古車掲載'!C632="One2car",'中古車掲載'!F632="Corolla Cross",'中古車掲載'!L632="HEV PREMIUM",'中古車掲載'!J632=2023,ISNUMBER('中古車掲載'!N632),'中古車掲載'!N632&gt;=20000,'中古車掲載'!O632&lt;=100000,'中古車掲載'!AL632=1,'中古車掲載'!Z632="https://www.one2car.com/en/cars-for-sale/toyota/corolla-cross/year-2023"),'中古車掲載'!U632,"")</x:f>
      </x:c>
      <x:c r="BG631" s="3" t="str">
        <x:f>IF(AND('中古車掲載'!C632="One2car",'中古車掲載'!F632="Corolla Cross",'中古車掲載'!L632="HEV GR SPORT",'中古車掲載'!J632=2023,ISNUMBER('中古車掲載'!N632),'中古車掲載'!N632&gt;=20000,'中古車掲載'!O632&lt;=100000,'中古車掲載'!AL632=1,'中古車掲載'!Z632="https://www.one2car.com/en/cars-for-sale/toyota/corolla-cross/year-2023"),'中古車掲載'!U632,"")</x:f>
      </x:c>
      <x:c r="BH631" s="3" t="str">
        <x:f>IF(AND('中古車掲載'!C632="One2car",'中古車掲載'!F632="DOLPHIN",'中古車掲載'!L632="STANDARD RANGE",'中古車掲載'!J632=2023,ISNUMBER('中古車掲載'!N632),'中古車掲載'!N632&gt;=20000,'中古車掲載'!O632&lt;=100000,'中古車掲載'!AL632=1),'中古車掲載'!U632,"")</x:f>
      </x:c>
      <x:c r="BI631" s="3" t="str">
        <x:v>Taladrod|Hilux Champ|ICE|Unknown</x:v>
      </x:c>
      <x:c r="BJ631" s="3" t="n">
        <x:v>632</x:v>
      </x:c>
      <x:c r="BK631" s="3" t="n">
        <x:f>'中古車掲載'!AM632</x:f>
        <x:v>439000</x:v>
      </x:c>
      <x:c r="BL631" s="3" t="str">
        <x:f>IF(ISNUMBER('中古車掲載'!AN632),'中古車掲載'!AN632,"")</x:f>
      </x:c>
      <x:c r="BM631" s="3"/>
      <x:c r="BN631" s="3"/>
      <x:c r="BO631" s="3"/>
      <x:c r="BP631" s="3"/>
      <x:c r="BQ631" s="3"/>
      <x:c r="BR631" s="3"/>
    </x:row>
    <x:row r="632" ht="22" customHeight="1">
      <x:c r="A632" s="3" t="str">
        <x:v>Yaris Ativ</x:v>
      </x:c>
      <x:c r="B632" s="3" t="str">
        <x:v>ICE</x:v>
      </x:c>
      <x:c r="C632" s="3" t="str">
        <x:v>Taladrod</x:v>
      </x:c>
      <x:c r="D632" s="3" t="str">
        <x:v>Sedan</x:v>
      </x:c>
      <x:c r="E632" s="3" t="str"/>
      <x:c r="F632" s="3" t="n">
        <x:v>2020</x:v>
      </x:c>
      <x:c r="G632" s="3" t="str">
        <x:v>MID</x:v>
      </x:c>
      <x:c r="H632" s="3" t="str">
        <x:v>未掲載</x:v>
      </x:c>
      <x:c r="I632" s="3" t="str">
        <x:v>17-22</x:v>
      </x:c>
      <x:c r="J632" s="22" t="n">
        <x:f>COUNT('中古車掲載'!AM946:AM947)</x:f>
        <x:v>2</x:v>
      </x:c>
      <x:c r="K632" s="22" t="n">
        <x:f>IF(COUNT('中古車掲載'!AM946:AM947)=0,"",QUARTILE('中古車掲載'!AM946:AM947,1))</x:f>
        <x:v>312500</x:v>
      </x:c>
      <x:c r="L632" s="22" t="n">
        <x:f>IF(COUNT('中古車掲載'!AM946:AM947)=0,"",MEDIAN('中古車掲載'!AM946:AM947))</x:f>
        <x:v>328000</x:v>
      </x:c>
      <x:c r="M632" s="22" t="n">
        <x:f>IF(COUNT('中古車掲載'!AM946:AM947)=0,"",QUARTILE('中古車掲載'!AM946:AM947,3))</x:f>
        <x:v>343500</x:v>
      </x:c>
      <x:c r="N632" s="22" t="n">
        <x:f>COUNT('中古車掲載'!AN946:AN947)</x:f>
        <x:v>0</x:v>
      </x:c>
      <x:c r="O632" s="23" t="str">
        <x:f>IF(COUNT('中古車掲載'!AN946:AN947)=0,"",MEDIAN('中古車掲載'!AN946:AN947))</x:f>
      </x:c>
      <x:c r="P632" s="3"/>
      <x:c r="Q632" s="3"/>
      <x:c r="R632" s="3"/>
      <x:c r="S632" s="3"/>
      <x:c r="T632" s="3"/>
      <x:c r="U632" s="3"/>
      <x:c r="V632" s="3"/>
      <x:c r="W632" s="3"/>
      <x:c r="X632" s="3"/>
      <x:c r="Y632" s="3"/>
      <x:c r="Z632" s="3"/>
      <x:c r="AA632" s="3"/>
      <x:c r="AB632" s="3"/>
      <x:c r="AC632" s="3"/>
      <x:c r="AD632" s="3"/>
      <x:c r="AE632" s="3"/>
      <x:c r="AF632" s="3"/>
      <x:c r="AG632" s="3"/>
      <x:c r="AH632" s="3"/>
      <x:c r="AI632" s="3"/>
      <x:c r="AJ632" s="3"/>
      <x:c r="AK632" s="3"/>
      <x:c r="AL632" s="3"/>
      <x:c r="AM632" s="3"/>
      <x:c r="AN632" s="3"/>
      <x:c r="AO632" s="3"/>
      <x:c r="AP632" s="3"/>
      <x:c r="AQ632" s="3"/>
      <x:c r="AR632" s="3"/>
      <x:c r="AS632" s="3"/>
      <x:c r="AT632" s="3"/>
      <x:c r="AU632" s="3"/>
      <x:c r="AV632" s="3"/>
      <x:c r="AW632" s="3"/>
      <x:c r="AX632" s="3"/>
      <x:c r="AY632" s="3"/>
      <x:c r="AZ632" s="3" t="str">
        <x:f>IF(AND('中古車掲載'!C633="One2car",'中古車掲載'!F633="ATTO 3",'中古車掲載'!L633="EXTENDED RANGE",'中古車掲載'!J633=2023,ISNUMBER('中古車掲載'!N633),'中古車掲載'!N633&gt;=20000,'中古車掲載'!O633&lt;=100000,'中古車掲載'!AL633=1),'中古車掲載'!U633,"")</x:f>
      </x:c>
      <x:c r="BA632" s="3" t="str">
        <x:f>IF(AND('中古車掲載'!C633="One2car",'中古車掲載'!F633="Corolla Cross",'中古車掲載'!L633="HEV PREMIUM SAFETY",'中古車掲載'!J633=2023,ISNUMBER('中古車掲載'!N633),'中古車掲載'!N633&gt;=20000,'中古車掲載'!O633&lt;=100000,'中古車掲載'!AL633=1,'中古車掲載'!Z633="https://www.one2car.com/en/cars-for-sale/toyota/corolla-cross/year-2023"),'中古車掲載'!U633,"")</x:f>
      </x:c>
      <x:c r="BB632" s="3" t="str">
        <x:f>IF(AND('中古車掲載'!C633="One2car",'中古車掲載'!F633="ATTO 3",'中古車掲載'!L633="EXTENDED RANGE",'中古車掲載'!J633=2023,ISNUMBER('中古車掲載'!N633),'中古車掲載'!N633&gt;=50000,'中古車掲載'!O633&lt;=100000,'中古車掲載'!AL633=1),'中古車掲載'!U633,"")</x:f>
      </x:c>
      <x:c r="BC632" s="3" t="str">
        <x:f>IF(AND('中古車掲載'!C633="One2car",'中古車掲載'!F633="Corolla Cross",'中古車掲載'!L633="HEV PREMIUM SAFETY",'中古車掲載'!J633=2023,ISNUMBER('中古車掲載'!N633),'中古車掲載'!N633&gt;=50000,'中古車掲載'!O633&lt;=100000,'中古車掲載'!AL633=1,'中古車掲載'!Z633="https://www.one2car.com/en/cars-for-sale/toyota/corolla-cross/year-2023"),'中古車掲載'!U633,"")</x:f>
      </x:c>
      <x:c r="BD632" s="3" t="str">
        <x:f>IF(AND('中古車掲載'!C633="One2car",'中古車掲載'!F633="ATTO 3",'中古車掲載'!L633="EXTENDED RANGE",'中古車掲載'!J633=2023,ISNUMBER('中古車掲載'!N633),'中古車掲載'!N633&gt;=20000,'中古車掲載'!O633&lt;=50000,'中古車掲載'!AL633=1),'中古車掲載'!U633,"")</x:f>
      </x:c>
      <x:c r="BE632" s="3" t="str">
        <x:f>IF(AND('中古車掲載'!C633="One2car",'中古車掲載'!F633="Corolla Cross",'中古車掲載'!L633="HEV PREMIUM SAFETY",'中古車掲載'!J633=2023,ISNUMBER('中古車掲載'!N633),'中古車掲載'!N633&gt;=20000,'中古車掲載'!O633&lt;=50000,'中古車掲載'!AL633=1,'中古車掲載'!Z633="https://www.one2car.com/en/cars-for-sale/toyota/corolla-cross/year-2023"),'中古車掲載'!U633,"")</x:f>
      </x:c>
      <x:c r="BF632" s="3" t="str">
        <x:f>IF(AND('中古車掲載'!C633="One2car",'中古車掲載'!F633="Corolla Cross",'中古車掲載'!L633="HEV PREMIUM",'中古車掲載'!J633=2023,ISNUMBER('中古車掲載'!N633),'中古車掲載'!N633&gt;=20000,'中古車掲載'!O633&lt;=100000,'中古車掲載'!AL633=1,'中古車掲載'!Z633="https://www.one2car.com/en/cars-for-sale/toyota/corolla-cross/year-2023"),'中古車掲載'!U633,"")</x:f>
      </x:c>
      <x:c r="BG632" s="3" t="str">
        <x:f>IF(AND('中古車掲載'!C633="One2car",'中古車掲載'!F633="Corolla Cross",'中古車掲載'!L633="HEV GR SPORT",'中古車掲載'!J633=2023,ISNUMBER('中古車掲載'!N633),'中古車掲載'!N633&gt;=20000,'中古車掲載'!O633&lt;=100000,'中古車掲載'!AL633=1,'中古車掲載'!Z633="https://www.one2car.com/en/cars-for-sale/toyota/corolla-cross/year-2023"),'中古車掲載'!U633,"")</x:f>
      </x:c>
      <x:c r="BH632" s="3" t="str">
        <x:f>IF(AND('中古車掲載'!C633="One2car",'中古車掲載'!F633="DOLPHIN",'中古車掲載'!L633="STANDARD RANGE",'中古車掲載'!J633=2023,ISNUMBER('中古車掲載'!N633),'中古車掲載'!N633&gt;=20000,'中古車掲載'!O633&lt;=100000,'中古車掲載'!AL633=1),'中古車掲載'!U633,"")</x:f>
      </x:c>
      <x:c r="BI632" s="3" t="str">
        <x:v>Taladrod|Hilux Champ|ICE|Unknown</x:v>
      </x:c>
      <x:c r="BJ632" s="3" t="n">
        <x:v>633</x:v>
      </x:c>
      <x:c r="BK632" s="3" t="n">
        <x:f>'中古車掲載'!AM633</x:f>
        <x:v>424000</x:v>
      </x:c>
      <x:c r="BL632" s="3" t="str">
        <x:f>IF(ISNUMBER('中古車掲載'!AN633),'中古車掲載'!AN633,"")</x:f>
      </x:c>
      <x:c r="BM632" s="3"/>
      <x:c r="BN632" s="3"/>
      <x:c r="BO632" s="3"/>
      <x:c r="BP632" s="3"/>
      <x:c r="BQ632" s="3"/>
      <x:c r="BR632" s="3"/>
    </x:row>
    <x:row r="633" ht="22" customHeight="1">
      <x:c r="A633" s="3" t="str">
        <x:v>Yaris Ativ</x:v>
      </x:c>
      <x:c r="B633" s="3" t="str">
        <x:v>ICE</x:v>
      </x:c>
      <x:c r="C633" s="3" t="str">
        <x:v>Taladrod</x:v>
      </x:c>
      <x:c r="D633" s="3" t="str">
        <x:v>Sedan</x:v>
      </x:c>
      <x:c r="E633" s="3" t="str"/>
      <x:c r="F633" s="3" t="n">
        <x:v>2020</x:v>
      </x:c>
      <x:c r="G633" s="3" t="str">
        <x:v>S</x:v>
      </x:c>
      <x:c r="H633" s="3" t="str">
        <x:v>未掲載</x:v>
      </x:c>
      <x:c r="I633" s="3" t="str">
        <x:v>17-22</x:v>
      </x:c>
      <x:c r="J633" s="22" t="n">
        <x:f>COUNT('中古車掲載'!AM948:AM949)</x:f>
        <x:v>2</x:v>
      </x:c>
      <x:c r="K633" s="22" t="n">
        <x:f>IF(COUNT('中古車掲載'!AM948:AM949)=0,"",QUARTILE('中古車掲載'!AM948:AM949,1))</x:f>
        <x:v>284000</x:v>
      </x:c>
      <x:c r="L633" s="22" t="n">
        <x:f>IF(COUNT('中古車掲載'!AM948:AM949)=0,"",MEDIAN('中古車掲載'!AM948:AM949))</x:f>
        <x:v>309000</x:v>
      </x:c>
      <x:c r="M633" s="22" t="n">
        <x:f>IF(COUNT('中古車掲載'!AM948:AM949)=0,"",QUARTILE('中古車掲載'!AM948:AM949,3))</x:f>
        <x:v>334000</x:v>
      </x:c>
      <x:c r="N633" s="22" t="n">
        <x:f>COUNT('中古車掲載'!AN948:AN949)</x:f>
        <x:v>0</x:v>
      </x:c>
      <x:c r="O633" s="23" t="str">
        <x:f>IF(COUNT('中古車掲載'!AN948:AN949)=0,"",MEDIAN('中古車掲載'!AN948:AN949))</x:f>
      </x:c>
      <x:c r="P633" s="3"/>
      <x:c r="Q633" s="3"/>
      <x:c r="R633" s="3"/>
      <x:c r="S633" s="3"/>
      <x:c r="T633" s="3"/>
      <x:c r="U633" s="3"/>
      <x:c r="V633" s="3"/>
      <x:c r="W633" s="3"/>
      <x:c r="X633" s="3"/>
      <x:c r="Y633" s="3"/>
      <x:c r="Z633" s="3"/>
      <x:c r="AA633" s="3"/>
      <x:c r="AB633" s="3"/>
      <x:c r="AC633" s="3"/>
      <x:c r="AD633" s="3"/>
      <x:c r="AE633" s="3"/>
      <x:c r="AF633" s="3"/>
      <x:c r="AG633" s="3"/>
      <x:c r="AH633" s="3"/>
      <x:c r="AI633" s="3"/>
      <x:c r="AJ633" s="3"/>
      <x:c r="AK633" s="3"/>
      <x:c r="AL633" s="3"/>
      <x:c r="AM633" s="3"/>
      <x:c r="AN633" s="3"/>
      <x:c r="AO633" s="3"/>
      <x:c r="AP633" s="3"/>
      <x:c r="AQ633" s="3"/>
      <x:c r="AR633" s="3"/>
      <x:c r="AS633" s="3"/>
      <x:c r="AT633" s="3"/>
      <x:c r="AU633" s="3"/>
      <x:c r="AV633" s="3"/>
      <x:c r="AW633" s="3"/>
      <x:c r="AX633" s="3"/>
      <x:c r="AY633" s="3"/>
      <x:c r="AZ633" s="3" t="str">
        <x:f>IF(AND('中古車掲載'!C634="One2car",'中古車掲載'!F634="ATTO 3",'中古車掲載'!L634="EXTENDED RANGE",'中古車掲載'!J634=2023,ISNUMBER('中古車掲載'!N634),'中古車掲載'!N634&gt;=20000,'中古車掲載'!O634&lt;=100000,'中古車掲載'!AL634=1),'中古車掲載'!U634,"")</x:f>
      </x:c>
      <x:c r="BA633" s="3" t="str">
        <x:f>IF(AND('中古車掲載'!C634="One2car",'中古車掲載'!F634="Corolla Cross",'中古車掲載'!L634="HEV PREMIUM SAFETY",'中古車掲載'!J634=2023,ISNUMBER('中古車掲載'!N634),'中古車掲載'!N634&gt;=20000,'中古車掲載'!O634&lt;=100000,'中古車掲載'!AL634=1,'中古車掲載'!Z634="https://www.one2car.com/en/cars-for-sale/toyota/corolla-cross/year-2023"),'中古車掲載'!U634,"")</x:f>
      </x:c>
      <x:c r="BB633" s="3" t="str">
        <x:f>IF(AND('中古車掲載'!C634="One2car",'中古車掲載'!F634="ATTO 3",'中古車掲載'!L634="EXTENDED RANGE",'中古車掲載'!J634=2023,ISNUMBER('中古車掲載'!N634),'中古車掲載'!N634&gt;=50000,'中古車掲載'!O634&lt;=100000,'中古車掲載'!AL634=1),'中古車掲載'!U634,"")</x:f>
      </x:c>
      <x:c r="BC633" s="3" t="str">
        <x:f>IF(AND('中古車掲載'!C634="One2car",'中古車掲載'!F634="Corolla Cross",'中古車掲載'!L634="HEV PREMIUM SAFETY",'中古車掲載'!J634=2023,ISNUMBER('中古車掲載'!N634),'中古車掲載'!N634&gt;=50000,'中古車掲載'!O634&lt;=100000,'中古車掲載'!AL634=1,'中古車掲載'!Z634="https://www.one2car.com/en/cars-for-sale/toyota/corolla-cross/year-2023"),'中古車掲載'!U634,"")</x:f>
      </x:c>
      <x:c r="BD633" s="3" t="str">
        <x:f>IF(AND('中古車掲載'!C634="One2car",'中古車掲載'!F634="ATTO 3",'中古車掲載'!L634="EXTENDED RANGE",'中古車掲載'!J634=2023,ISNUMBER('中古車掲載'!N634),'中古車掲載'!N634&gt;=20000,'中古車掲載'!O634&lt;=50000,'中古車掲載'!AL634=1),'中古車掲載'!U634,"")</x:f>
      </x:c>
      <x:c r="BE633" s="3" t="str">
        <x:f>IF(AND('中古車掲載'!C634="One2car",'中古車掲載'!F634="Corolla Cross",'中古車掲載'!L634="HEV PREMIUM SAFETY",'中古車掲載'!J634=2023,ISNUMBER('中古車掲載'!N634),'中古車掲載'!N634&gt;=20000,'中古車掲載'!O634&lt;=50000,'中古車掲載'!AL634=1,'中古車掲載'!Z634="https://www.one2car.com/en/cars-for-sale/toyota/corolla-cross/year-2023"),'中古車掲載'!U634,"")</x:f>
      </x:c>
      <x:c r="BF633" s="3" t="str">
        <x:f>IF(AND('中古車掲載'!C634="One2car",'中古車掲載'!F634="Corolla Cross",'中古車掲載'!L634="HEV PREMIUM",'中古車掲載'!J634=2023,ISNUMBER('中古車掲載'!N634),'中古車掲載'!N634&gt;=20000,'中古車掲載'!O634&lt;=100000,'中古車掲載'!AL634=1,'中古車掲載'!Z634="https://www.one2car.com/en/cars-for-sale/toyota/corolla-cross/year-2023"),'中古車掲載'!U634,"")</x:f>
      </x:c>
      <x:c r="BG633" s="3" t="str">
        <x:f>IF(AND('中古車掲載'!C634="One2car",'中古車掲載'!F634="Corolla Cross",'中古車掲載'!L634="HEV GR SPORT",'中古車掲載'!J634=2023,ISNUMBER('中古車掲載'!N634),'中古車掲載'!N634&gt;=20000,'中古車掲載'!O634&lt;=100000,'中古車掲載'!AL634=1,'中古車掲載'!Z634="https://www.one2car.com/en/cars-for-sale/toyota/corolla-cross/year-2023"),'中古車掲載'!U634,"")</x:f>
      </x:c>
      <x:c r="BH633" s="3" t="str">
        <x:f>IF(AND('中古車掲載'!C634="One2car",'中古車掲載'!F634="DOLPHIN",'中古車掲載'!L634="STANDARD RANGE",'中古車掲載'!J634=2023,ISNUMBER('中古車掲載'!N634),'中古車掲載'!N634&gt;=20000,'中古車掲載'!O634&lt;=100000,'中古車掲載'!AL634=1),'中古車掲載'!U634,"")</x:f>
      </x:c>
      <x:c r="BI633" s="3" t="str">
        <x:v>Taladrod|Hilux Champ|ICE|Unknown</x:v>
      </x:c>
      <x:c r="BJ633" s="3" t="n">
        <x:v>634</x:v>
      </x:c>
      <x:c r="BK633" s="3" t="n">
        <x:f>'中古車掲載'!AM634</x:f>
        <x:v>460000</x:v>
      </x:c>
      <x:c r="BL633" s="3" t="str">
        <x:f>IF(ISNUMBER('中古車掲載'!AN634),'中古車掲載'!AN634,"")</x:f>
      </x:c>
      <x:c r="BM633" s="3"/>
      <x:c r="BN633" s="3"/>
      <x:c r="BO633" s="3"/>
      <x:c r="BP633" s="3"/>
      <x:c r="BQ633" s="3"/>
      <x:c r="BR633" s="3"/>
    </x:row>
    <x:row r="634" ht="22" customHeight="1">
      <x:c r="A634" s="3" t="str">
        <x:v>Yaris Ativ</x:v>
      </x:c>
      <x:c r="B634" s="3" t="str">
        <x:v>ICE</x:v>
      </x:c>
      <x:c r="C634" s="3" t="str">
        <x:v>Taladrod</x:v>
      </x:c>
      <x:c r="D634" s="3" t="str">
        <x:v>Sedan</x:v>
      </x:c>
      <x:c r="E634" s="3" t="str"/>
      <x:c r="F634" s="3" t="n">
        <x:v>2020</x:v>
      </x:c>
      <x:c r="G634" s="3" t="str">
        <x:v>S+</x:v>
      </x:c>
      <x:c r="H634" s="3" t="str">
        <x:v>未掲載</x:v>
      </x:c>
      <x:c r="I634" s="3" t="str">
        <x:v>17-22</x:v>
      </x:c>
      <x:c r="J634" s="22" t="n">
        <x:f>COUNT('中古車掲載'!AM950:AM950)</x:f>
        <x:v>1</x:v>
      </x:c>
      <x:c r="K634" s="22" t="n">
        <x:f>IF(COUNT('中古車掲載'!AM950:AM950)=0,"",QUARTILE('中古車掲載'!AM950:AM950,1))</x:f>
        <x:v>359000</x:v>
      </x:c>
      <x:c r="L634" s="22" t="n">
        <x:f>IF(COUNT('中古車掲載'!AM950:AM950)=0,"",MEDIAN('中古車掲載'!AM950:AM950))</x:f>
        <x:v>359000</x:v>
      </x:c>
      <x:c r="M634" s="22" t="n">
        <x:f>IF(COUNT('中古車掲載'!AM950:AM950)=0,"",QUARTILE('中古車掲載'!AM950:AM950,3))</x:f>
        <x:v>359000</x:v>
      </x:c>
      <x:c r="N634" s="22" t="n">
        <x:f>COUNT('中古車掲載'!AN950:AN950)</x:f>
        <x:v>0</x:v>
      </x:c>
      <x:c r="O634" s="23" t="str">
        <x:f>IF(COUNT('中古車掲載'!AN950:AN950)=0,"",MEDIAN('中古車掲載'!AN950:AN950))</x:f>
      </x:c>
      <x:c r="P634" s="3"/>
      <x:c r="Q634" s="3"/>
      <x:c r="R634" s="3"/>
      <x:c r="S634" s="3"/>
      <x:c r="T634" s="3"/>
      <x:c r="U634" s="3"/>
      <x:c r="V634" s="3"/>
      <x:c r="W634" s="3"/>
      <x:c r="X634" s="3"/>
      <x:c r="Y634" s="3"/>
      <x:c r="Z634" s="3"/>
      <x:c r="AA634" s="3"/>
      <x:c r="AB634" s="3"/>
      <x:c r="AC634" s="3"/>
      <x:c r="AD634" s="3"/>
      <x:c r="AE634" s="3"/>
      <x:c r="AF634" s="3"/>
      <x:c r="AG634" s="3"/>
      <x:c r="AH634" s="3"/>
      <x:c r="AI634" s="3"/>
      <x:c r="AJ634" s="3"/>
      <x:c r="AK634" s="3"/>
      <x:c r="AL634" s="3"/>
      <x:c r="AM634" s="3"/>
      <x:c r="AN634" s="3"/>
      <x:c r="AO634" s="3"/>
      <x:c r="AP634" s="3"/>
      <x:c r="AQ634" s="3"/>
      <x:c r="AR634" s="3"/>
      <x:c r="AS634" s="3"/>
      <x:c r="AT634" s="3"/>
      <x:c r="AU634" s="3"/>
      <x:c r="AV634" s="3"/>
      <x:c r="AW634" s="3"/>
      <x:c r="AX634" s="3"/>
      <x:c r="AY634" s="3"/>
      <x:c r="AZ634" s="3" t="str">
        <x:f>IF(AND('中古車掲載'!C635="One2car",'中古車掲載'!F635="ATTO 3",'中古車掲載'!L635="EXTENDED RANGE",'中古車掲載'!J635=2023,ISNUMBER('中古車掲載'!N635),'中古車掲載'!N635&gt;=20000,'中古車掲載'!O635&lt;=100000,'中古車掲載'!AL635=1),'中古車掲載'!U635,"")</x:f>
      </x:c>
      <x:c r="BA634" s="3" t="str">
        <x:f>IF(AND('中古車掲載'!C635="One2car",'中古車掲載'!F635="Corolla Cross",'中古車掲載'!L635="HEV PREMIUM SAFETY",'中古車掲載'!J635=2023,ISNUMBER('中古車掲載'!N635),'中古車掲載'!N635&gt;=20000,'中古車掲載'!O635&lt;=100000,'中古車掲載'!AL635=1,'中古車掲載'!Z635="https://www.one2car.com/en/cars-for-sale/toyota/corolla-cross/year-2023"),'中古車掲載'!U635,"")</x:f>
      </x:c>
      <x:c r="BB634" s="3" t="str">
        <x:f>IF(AND('中古車掲載'!C635="One2car",'中古車掲載'!F635="ATTO 3",'中古車掲載'!L635="EXTENDED RANGE",'中古車掲載'!J635=2023,ISNUMBER('中古車掲載'!N635),'中古車掲載'!N635&gt;=50000,'中古車掲載'!O635&lt;=100000,'中古車掲載'!AL635=1),'中古車掲載'!U635,"")</x:f>
      </x:c>
      <x:c r="BC634" s="3" t="str">
        <x:f>IF(AND('中古車掲載'!C635="One2car",'中古車掲載'!F635="Corolla Cross",'中古車掲載'!L635="HEV PREMIUM SAFETY",'中古車掲載'!J635=2023,ISNUMBER('中古車掲載'!N635),'中古車掲載'!N635&gt;=50000,'中古車掲載'!O635&lt;=100000,'中古車掲載'!AL635=1,'中古車掲載'!Z635="https://www.one2car.com/en/cars-for-sale/toyota/corolla-cross/year-2023"),'中古車掲載'!U635,"")</x:f>
      </x:c>
      <x:c r="BD634" s="3" t="str">
        <x:f>IF(AND('中古車掲載'!C635="One2car",'中古車掲載'!F635="ATTO 3",'中古車掲載'!L635="EXTENDED RANGE",'中古車掲載'!J635=2023,ISNUMBER('中古車掲載'!N635),'中古車掲載'!N635&gt;=20000,'中古車掲載'!O635&lt;=50000,'中古車掲載'!AL635=1),'中古車掲載'!U635,"")</x:f>
      </x:c>
      <x:c r="BE634" s="3" t="str">
        <x:f>IF(AND('中古車掲載'!C635="One2car",'中古車掲載'!F635="Corolla Cross",'中古車掲載'!L635="HEV PREMIUM SAFETY",'中古車掲載'!J635=2023,ISNUMBER('中古車掲載'!N635),'中古車掲載'!N635&gt;=20000,'中古車掲載'!O635&lt;=50000,'中古車掲載'!AL635=1,'中古車掲載'!Z635="https://www.one2car.com/en/cars-for-sale/toyota/corolla-cross/year-2023"),'中古車掲載'!U635,"")</x:f>
      </x:c>
      <x:c r="BF634" s="3" t="str">
        <x:f>IF(AND('中古車掲載'!C635="One2car",'中古車掲載'!F635="Corolla Cross",'中古車掲載'!L635="HEV PREMIUM",'中古車掲載'!J635=2023,ISNUMBER('中古車掲載'!N635),'中古車掲載'!N635&gt;=20000,'中古車掲載'!O635&lt;=100000,'中古車掲載'!AL635=1,'中古車掲載'!Z635="https://www.one2car.com/en/cars-for-sale/toyota/corolla-cross/year-2023"),'中古車掲載'!U635,"")</x:f>
      </x:c>
      <x:c r="BG634" s="3" t="str">
        <x:f>IF(AND('中古車掲載'!C635="One2car",'中古車掲載'!F635="Corolla Cross",'中古車掲載'!L635="HEV GR SPORT",'中古車掲載'!J635=2023,ISNUMBER('中古車掲載'!N635),'中古車掲載'!N635&gt;=20000,'中古車掲載'!O635&lt;=100000,'中古車掲載'!AL635=1,'中古車掲載'!Z635="https://www.one2car.com/en/cars-for-sale/toyota/corolla-cross/year-2023"),'中古車掲載'!U635,"")</x:f>
      </x:c>
      <x:c r="BH634" s="3" t="str">
        <x:f>IF(AND('中古車掲載'!C635="One2car",'中古車掲載'!F635="DOLPHIN",'中古車掲載'!L635="STANDARD RANGE",'中古車掲載'!J635=2023,ISNUMBER('中古車掲載'!N635),'中古車掲載'!N635&gt;=20000,'中古車掲載'!O635&lt;=100000,'中古車掲載'!AL635=1),'中古車掲載'!U635,"")</x:f>
      </x:c>
      <x:c r="BI634" s="3" t="str">
        <x:v>Taladrod|Hilux Champ|ICE|Unknown</x:v>
      </x:c>
      <x:c r="BJ634" s="3" t="n">
        <x:v>635</x:v>
      </x:c>
      <x:c r="BK634" s="3" t="n">
        <x:f>'中古車掲載'!AM635</x:f>
        <x:v>450000</x:v>
      </x:c>
      <x:c r="BL634" s="3" t="str">
        <x:f>IF(ISNUMBER('中古車掲載'!AN635),'中古車掲載'!AN635,"")</x:f>
      </x:c>
      <x:c r="BM634" s="3"/>
      <x:c r="BN634" s="3"/>
      <x:c r="BO634" s="3"/>
      <x:c r="BP634" s="3"/>
      <x:c r="BQ634" s="3"/>
      <x:c r="BR634" s="3"/>
    </x:row>
    <x:row r="635" ht="22" customHeight="1">
      <x:c r="A635" s="3" t="str">
        <x:v>Yaris Ativ</x:v>
      </x:c>
      <x:c r="B635" s="3" t="str">
        <x:v>ICE</x:v>
      </x:c>
      <x:c r="C635" s="3" t="str">
        <x:v>Taladrod</x:v>
      </x:c>
      <x:c r="D635" s="3" t="str">
        <x:v>Sedan</x:v>
      </x:c>
      <x:c r="E635" s="3" t="str"/>
      <x:c r="F635" s="3" t="n">
        <x:v>2020</x:v>
      </x:c>
      <x:c r="G635" s="3" t="str">
        <x:v>SPORT</x:v>
      </x:c>
      <x:c r="H635" s="3" t="str">
        <x:v>未掲載</x:v>
      </x:c>
      <x:c r="I635" s="3" t="str">
        <x:v>17-22</x:v>
      </x:c>
      <x:c r="J635" s="22" t="n">
        <x:f>COUNT('中古車掲載'!AM951:AM953)</x:f>
        <x:v>3</x:v>
      </x:c>
      <x:c r="K635" s="22" t="n">
        <x:f>IF(COUNT('中古車掲載'!AM951:AM953)=0,"",QUARTILE('中古車掲載'!AM951:AM953,1))</x:f>
        <x:v>329000</x:v>
      </x:c>
      <x:c r="L635" s="22" t="n">
        <x:f>IF(COUNT('中古車掲載'!AM951:AM953)=0,"",MEDIAN('中古車掲載'!AM951:AM953))</x:f>
        <x:v>339000</x:v>
      </x:c>
      <x:c r="M635" s="22" t="n">
        <x:f>IF(COUNT('中古車掲載'!AM951:AM953)=0,"",QUARTILE('中古車掲載'!AM951:AM953,3))</x:f>
        <x:v>349000</x:v>
      </x:c>
      <x:c r="N635" s="22" t="n">
        <x:f>COUNT('中古車掲載'!AN951:AN953)</x:f>
        <x:v>0</x:v>
      </x:c>
      <x:c r="O635" s="23" t="str">
        <x:f>IF(COUNT('中古車掲載'!AN951:AN953)=0,"",MEDIAN('中古車掲載'!AN951:AN953))</x:f>
      </x:c>
      <x:c r="P635" s="3"/>
      <x:c r="Q635" s="3"/>
      <x:c r="R635" s="3"/>
      <x:c r="S635" s="3"/>
      <x:c r="T635" s="3"/>
      <x:c r="U635" s="3"/>
      <x:c r="V635" s="3"/>
      <x:c r="W635" s="3"/>
      <x:c r="X635" s="3"/>
      <x:c r="Y635" s="3"/>
      <x:c r="Z635" s="3"/>
      <x:c r="AA635" s="3"/>
      <x:c r="AB635" s="3"/>
      <x:c r="AC635" s="3"/>
      <x:c r="AD635" s="3"/>
      <x:c r="AE635" s="3"/>
      <x:c r="AF635" s="3"/>
      <x:c r="AG635" s="3"/>
      <x:c r="AH635" s="3"/>
      <x:c r="AI635" s="3"/>
      <x:c r="AJ635" s="3"/>
      <x:c r="AK635" s="3"/>
      <x:c r="AL635" s="3"/>
      <x:c r="AM635" s="3"/>
      <x:c r="AN635" s="3"/>
      <x:c r="AO635" s="3"/>
      <x:c r="AP635" s="3"/>
      <x:c r="AQ635" s="3"/>
      <x:c r="AR635" s="3"/>
      <x:c r="AS635" s="3"/>
      <x:c r="AT635" s="3"/>
      <x:c r="AU635" s="3"/>
      <x:c r="AV635" s="3"/>
      <x:c r="AW635" s="3"/>
      <x:c r="AX635" s="3"/>
      <x:c r="AY635" s="3"/>
      <x:c r="AZ635" s="3" t="str">
        <x:f>IF(AND('中古車掲載'!C636="One2car",'中古車掲載'!F636="ATTO 3",'中古車掲載'!L636="EXTENDED RANGE",'中古車掲載'!J636=2023,ISNUMBER('中古車掲載'!N636),'中古車掲載'!N636&gt;=20000,'中古車掲載'!O636&lt;=100000,'中古車掲載'!AL636=1),'中古車掲載'!U636,"")</x:f>
      </x:c>
      <x:c r="BA635" s="3" t="str">
        <x:f>IF(AND('中古車掲載'!C636="One2car",'中古車掲載'!F636="Corolla Cross",'中古車掲載'!L636="HEV PREMIUM SAFETY",'中古車掲載'!J636=2023,ISNUMBER('中古車掲載'!N636),'中古車掲載'!N636&gt;=20000,'中古車掲載'!O636&lt;=100000,'中古車掲載'!AL636=1,'中古車掲載'!Z636="https://www.one2car.com/en/cars-for-sale/toyota/corolla-cross/year-2023"),'中古車掲載'!U636,"")</x:f>
      </x:c>
      <x:c r="BB635" s="3" t="str">
        <x:f>IF(AND('中古車掲載'!C636="One2car",'中古車掲載'!F636="ATTO 3",'中古車掲載'!L636="EXTENDED RANGE",'中古車掲載'!J636=2023,ISNUMBER('中古車掲載'!N636),'中古車掲載'!N636&gt;=50000,'中古車掲載'!O636&lt;=100000,'中古車掲載'!AL636=1),'中古車掲載'!U636,"")</x:f>
      </x:c>
      <x:c r="BC635" s="3" t="str">
        <x:f>IF(AND('中古車掲載'!C636="One2car",'中古車掲載'!F636="Corolla Cross",'中古車掲載'!L636="HEV PREMIUM SAFETY",'中古車掲載'!J636=2023,ISNUMBER('中古車掲載'!N636),'中古車掲載'!N636&gt;=50000,'中古車掲載'!O636&lt;=100000,'中古車掲載'!AL636=1,'中古車掲載'!Z636="https://www.one2car.com/en/cars-for-sale/toyota/corolla-cross/year-2023"),'中古車掲載'!U636,"")</x:f>
      </x:c>
      <x:c r="BD635" s="3" t="str">
        <x:f>IF(AND('中古車掲載'!C636="One2car",'中古車掲載'!F636="ATTO 3",'中古車掲載'!L636="EXTENDED RANGE",'中古車掲載'!J636=2023,ISNUMBER('中古車掲載'!N636),'中古車掲載'!N636&gt;=20000,'中古車掲載'!O636&lt;=50000,'中古車掲載'!AL636=1),'中古車掲載'!U636,"")</x:f>
      </x:c>
      <x:c r="BE635" s="3" t="str">
        <x:f>IF(AND('中古車掲載'!C636="One2car",'中古車掲載'!F636="Corolla Cross",'中古車掲載'!L636="HEV PREMIUM SAFETY",'中古車掲載'!J636=2023,ISNUMBER('中古車掲載'!N636),'中古車掲載'!N636&gt;=20000,'中古車掲載'!O636&lt;=50000,'中古車掲載'!AL636=1,'中古車掲載'!Z636="https://www.one2car.com/en/cars-for-sale/toyota/corolla-cross/year-2023"),'中古車掲載'!U636,"")</x:f>
      </x:c>
      <x:c r="BF635" s="3" t="str">
        <x:f>IF(AND('中古車掲載'!C636="One2car",'中古車掲載'!F636="Corolla Cross",'中古車掲載'!L636="HEV PREMIUM",'中古車掲載'!J636=2023,ISNUMBER('中古車掲載'!N636),'中古車掲載'!N636&gt;=20000,'中古車掲載'!O636&lt;=100000,'中古車掲載'!AL636=1,'中古車掲載'!Z636="https://www.one2car.com/en/cars-for-sale/toyota/corolla-cross/year-2023"),'中古車掲載'!U636,"")</x:f>
      </x:c>
      <x:c r="BG635" s="3" t="str">
        <x:f>IF(AND('中古車掲載'!C636="One2car",'中古車掲載'!F636="Corolla Cross",'中古車掲載'!L636="HEV GR SPORT",'中古車掲載'!J636=2023,ISNUMBER('中古車掲載'!N636),'中古車掲載'!N636&gt;=20000,'中古車掲載'!O636&lt;=100000,'中古車掲載'!AL636=1,'中古車掲載'!Z636="https://www.one2car.com/en/cars-for-sale/toyota/corolla-cross/year-2023"),'中古車掲載'!U636,"")</x:f>
      </x:c>
      <x:c r="BH635" s="3" t="str">
        <x:f>IF(AND('中古車掲載'!C636="One2car",'中古車掲載'!F636="DOLPHIN",'中古車掲載'!L636="STANDARD RANGE",'中古車掲載'!J636=2023,ISNUMBER('中古車掲載'!N636),'中古車掲載'!N636&gt;=20000,'中古車掲載'!O636&lt;=100000,'中古車掲載'!AL636=1),'中古車掲載'!U636,"")</x:f>
      </x:c>
      <x:c r="BI635" s="3" t="str">
        <x:v>Taladrod|Hilux Champ|ICE|Unknown</x:v>
      </x:c>
      <x:c r="BJ635" s="3" t="n">
        <x:v>636</x:v>
      </x:c>
      <x:c r="BK635" s="3" t="n">
        <x:f>'中古車掲載'!AM636</x:f>
        <x:v>445000</x:v>
      </x:c>
      <x:c r="BL635" s="3" t="str">
        <x:f>IF(ISNUMBER('中古車掲載'!AN636),'中古車掲載'!AN636,"")</x:f>
      </x:c>
      <x:c r="BM635" s="3"/>
      <x:c r="BN635" s="3"/>
      <x:c r="BO635" s="3"/>
      <x:c r="BP635" s="3"/>
      <x:c r="BQ635" s="3"/>
      <x:c r="BR635" s="3"/>
    </x:row>
    <x:row r="636" ht="22" customHeight="1">
      <x:c r="A636" s="3" t="str">
        <x:v>Yaris Ativ</x:v>
      </x:c>
      <x:c r="B636" s="3" t="str">
        <x:v>ICE</x:v>
      </x:c>
      <x:c r="C636" s="3" t="str">
        <x:v>Taladrod</x:v>
      </x:c>
      <x:c r="D636" s="3" t="str">
        <x:v>Sedan</x:v>
      </x:c>
      <x:c r="E636" s="3" t="str"/>
      <x:c r="F636" s="3" t="n">
        <x:v>2020</x:v>
      </x:c>
      <x:c r="G636" s="3" t="str">
        <x:v>SPORT PREMIUM</x:v>
      </x:c>
      <x:c r="H636" s="3" t="str">
        <x:v>未掲載</x:v>
      </x:c>
      <x:c r="I636" s="3" t="str">
        <x:v>17-22</x:v>
      </x:c>
      <x:c r="J636" s="22" t="n">
        <x:f>COUNT('中古車掲載'!AM954:AM956)</x:f>
        <x:v>3</x:v>
      </x:c>
      <x:c r="K636" s="22" t="n">
        <x:f>IF(COUNT('中古車掲載'!AM954:AM956)=0,"",QUARTILE('中古車掲載'!AM954:AM956,1))</x:f>
        <x:v>357500</x:v>
      </x:c>
      <x:c r="L636" s="22" t="n">
        <x:f>IF(COUNT('中古車掲載'!AM954:AM956)=0,"",MEDIAN('中古車掲載'!AM954:AM956))</x:f>
        <x:v>365000</x:v>
      </x:c>
      <x:c r="M636" s="22" t="n">
        <x:f>IF(COUNT('中古車掲載'!AM954:AM956)=0,"",QUARTILE('中古車掲載'!AM954:AM956,3))</x:f>
        <x:v>387500</x:v>
      </x:c>
      <x:c r="N636" s="22" t="n">
        <x:f>COUNT('中古車掲載'!AN954:AN956)</x:f>
        <x:v>0</x:v>
      </x:c>
      <x:c r="O636" s="23" t="str">
        <x:f>IF(COUNT('中古車掲載'!AN954:AN956)=0,"",MEDIAN('中古車掲載'!AN954:AN956))</x:f>
      </x:c>
      <x:c r="P636" s="3"/>
      <x:c r="Q636" s="3"/>
      <x:c r="R636" s="3"/>
      <x:c r="S636" s="3"/>
      <x:c r="T636" s="3"/>
      <x:c r="U636" s="3"/>
      <x:c r="V636" s="3"/>
      <x:c r="W636" s="3"/>
      <x:c r="X636" s="3"/>
      <x:c r="Y636" s="3"/>
      <x:c r="Z636" s="3"/>
      <x:c r="AA636" s="3"/>
      <x:c r="AB636" s="3"/>
      <x:c r="AC636" s="3"/>
      <x:c r="AD636" s="3"/>
      <x:c r="AE636" s="3"/>
      <x:c r="AF636" s="3"/>
      <x:c r="AG636" s="3"/>
      <x:c r="AH636" s="3"/>
      <x:c r="AI636" s="3"/>
      <x:c r="AJ636" s="3"/>
      <x:c r="AK636" s="3"/>
      <x:c r="AL636" s="3"/>
      <x:c r="AM636" s="3"/>
      <x:c r="AN636" s="3"/>
      <x:c r="AO636" s="3"/>
      <x:c r="AP636" s="3"/>
      <x:c r="AQ636" s="3"/>
      <x:c r="AR636" s="3"/>
      <x:c r="AS636" s="3"/>
      <x:c r="AT636" s="3"/>
      <x:c r="AU636" s="3"/>
      <x:c r="AV636" s="3"/>
      <x:c r="AW636" s="3"/>
      <x:c r="AX636" s="3"/>
      <x:c r="AY636" s="3"/>
      <x:c r="AZ636" s="3" t="str">
        <x:f>IF(AND('中古車掲載'!C637="One2car",'中古車掲載'!F637="ATTO 3",'中古車掲載'!L637="EXTENDED RANGE",'中古車掲載'!J637=2023,ISNUMBER('中古車掲載'!N637),'中古車掲載'!N637&gt;=20000,'中古車掲載'!O637&lt;=100000,'中古車掲載'!AL637=1),'中古車掲載'!U637,"")</x:f>
      </x:c>
      <x:c r="BA636" s="3" t="str">
        <x:f>IF(AND('中古車掲載'!C637="One2car",'中古車掲載'!F637="Corolla Cross",'中古車掲載'!L637="HEV PREMIUM SAFETY",'中古車掲載'!J637=2023,ISNUMBER('中古車掲載'!N637),'中古車掲載'!N637&gt;=20000,'中古車掲載'!O637&lt;=100000,'中古車掲載'!AL637=1,'中古車掲載'!Z637="https://www.one2car.com/en/cars-for-sale/toyota/corolla-cross/year-2023"),'中古車掲載'!U637,"")</x:f>
      </x:c>
      <x:c r="BB636" s="3" t="str">
        <x:f>IF(AND('中古車掲載'!C637="One2car",'中古車掲載'!F637="ATTO 3",'中古車掲載'!L637="EXTENDED RANGE",'中古車掲載'!J637=2023,ISNUMBER('中古車掲載'!N637),'中古車掲載'!N637&gt;=50000,'中古車掲載'!O637&lt;=100000,'中古車掲載'!AL637=1),'中古車掲載'!U637,"")</x:f>
      </x:c>
      <x:c r="BC636" s="3" t="str">
        <x:f>IF(AND('中古車掲載'!C637="One2car",'中古車掲載'!F637="Corolla Cross",'中古車掲載'!L637="HEV PREMIUM SAFETY",'中古車掲載'!J637=2023,ISNUMBER('中古車掲載'!N637),'中古車掲載'!N637&gt;=50000,'中古車掲載'!O637&lt;=100000,'中古車掲載'!AL637=1,'中古車掲載'!Z637="https://www.one2car.com/en/cars-for-sale/toyota/corolla-cross/year-2023"),'中古車掲載'!U637,"")</x:f>
      </x:c>
      <x:c r="BD636" s="3" t="str">
        <x:f>IF(AND('中古車掲載'!C637="One2car",'中古車掲載'!F637="ATTO 3",'中古車掲載'!L637="EXTENDED RANGE",'中古車掲載'!J637=2023,ISNUMBER('中古車掲載'!N637),'中古車掲載'!N637&gt;=20000,'中古車掲載'!O637&lt;=50000,'中古車掲載'!AL637=1),'中古車掲載'!U637,"")</x:f>
      </x:c>
      <x:c r="BE636" s="3" t="str">
        <x:f>IF(AND('中古車掲載'!C637="One2car",'中古車掲載'!F637="Corolla Cross",'中古車掲載'!L637="HEV PREMIUM SAFETY",'中古車掲載'!J637=2023,ISNUMBER('中古車掲載'!N637),'中古車掲載'!N637&gt;=20000,'中古車掲載'!O637&lt;=50000,'中古車掲載'!AL637=1,'中古車掲載'!Z637="https://www.one2car.com/en/cars-for-sale/toyota/corolla-cross/year-2023"),'中古車掲載'!U637,"")</x:f>
      </x:c>
      <x:c r="BF636" s="3" t="str">
        <x:f>IF(AND('中古車掲載'!C637="One2car",'中古車掲載'!F637="Corolla Cross",'中古車掲載'!L637="HEV PREMIUM",'中古車掲載'!J637=2023,ISNUMBER('中古車掲載'!N637),'中古車掲載'!N637&gt;=20000,'中古車掲載'!O637&lt;=100000,'中古車掲載'!AL637=1,'中古車掲載'!Z637="https://www.one2car.com/en/cars-for-sale/toyota/corolla-cross/year-2023"),'中古車掲載'!U637,"")</x:f>
      </x:c>
      <x:c r="BG636" s="3" t="str">
        <x:f>IF(AND('中古車掲載'!C637="One2car",'中古車掲載'!F637="Corolla Cross",'中古車掲載'!L637="HEV GR SPORT",'中古車掲載'!J637=2023,ISNUMBER('中古車掲載'!N637),'中古車掲載'!N637&gt;=20000,'中古車掲載'!O637&lt;=100000,'中古車掲載'!AL637=1,'中古車掲載'!Z637="https://www.one2car.com/en/cars-for-sale/toyota/corolla-cross/year-2023"),'中古車掲載'!U637,"")</x:f>
      </x:c>
      <x:c r="BH636" s="3" t="str">
        <x:f>IF(AND('中古車掲載'!C637="One2car",'中古車掲載'!F637="DOLPHIN",'中古車掲載'!L637="STANDARD RANGE",'中古車掲載'!J637=2023,ISNUMBER('中古車掲載'!N637),'中古車掲載'!N637&gt;=20000,'中古車掲載'!O637&lt;=100000,'中古車掲載'!AL637=1),'中古車掲載'!U637,"")</x:f>
      </x:c>
      <x:c r="BI636" s="3" t="str">
        <x:v>Taladrod|Hilux Champ|ICE|Unknown</x:v>
      </x:c>
      <x:c r="BJ636" s="3" t="n">
        <x:v>637</x:v>
      </x:c>
      <x:c r="BK636" s="3" t="n">
        <x:f>'中古車掲載'!AM637</x:f>
        <x:v>480000</x:v>
      </x:c>
      <x:c r="BL636" s="3" t="str">
        <x:f>IF(ISNUMBER('中古車掲載'!AN637),'中古車掲載'!AN637,"")</x:f>
      </x:c>
      <x:c r="BM636" s="3"/>
      <x:c r="BN636" s="3"/>
      <x:c r="BO636" s="3"/>
      <x:c r="BP636" s="3"/>
      <x:c r="BQ636" s="3"/>
      <x:c r="BR636" s="3"/>
    </x:row>
    <x:row r="637" ht="22" customHeight="1">
      <x:c r="A637" s="3" t="str">
        <x:v>Yaris Ativ</x:v>
      </x:c>
      <x:c r="B637" s="3" t="str">
        <x:v>ICE</x:v>
      </x:c>
      <x:c r="C637" s="3" t="str">
        <x:v>Taladrod</x:v>
      </x:c>
      <x:c r="D637" s="3" t="str">
        <x:v>Sedan</x:v>
      </x:c>
      <x:c r="E637" s="3" t="str"/>
      <x:c r="F637" s="3" t="n">
        <x:v>2021</x:v>
      </x:c>
      <x:c r="G637" s="3" t="str">
        <x:v>E</x:v>
      </x:c>
      <x:c r="H637" s="3" t="str">
        <x:v>未掲載</x:v>
      </x:c>
      <x:c r="I637" s="3" t="str">
        <x:v>17-22</x:v>
      </x:c>
      <x:c r="J637" s="22" t="n">
        <x:f>COUNT('中古車掲載'!AM957:AM957)</x:f>
        <x:v>1</x:v>
      </x:c>
      <x:c r="K637" s="22" t="n">
        <x:f>IF(COUNT('中古車掲載'!AM957:AM957)=0,"",QUARTILE('中古車掲載'!AM957:AM957,1))</x:f>
        <x:v>339000</x:v>
      </x:c>
      <x:c r="L637" s="22" t="n">
        <x:f>IF(COUNT('中古車掲載'!AM957:AM957)=0,"",MEDIAN('中古車掲載'!AM957:AM957))</x:f>
        <x:v>339000</x:v>
      </x:c>
      <x:c r="M637" s="22" t="n">
        <x:f>IF(COUNT('中古車掲載'!AM957:AM957)=0,"",QUARTILE('中古車掲載'!AM957:AM957,3))</x:f>
        <x:v>339000</x:v>
      </x:c>
      <x:c r="N637" s="22" t="n">
        <x:f>COUNT('中古車掲載'!AN957:AN957)</x:f>
        <x:v>0</x:v>
      </x:c>
      <x:c r="O637" s="23" t="str">
        <x:f>IF(COUNT('中古車掲載'!AN957:AN957)=0,"",MEDIAN('中古車掲載'!AN957:AN957))</x:f>
      </x:c>
      <x:c r="P637" s="3"/>
      <x:c r="Q637" s="3"/>
      <x:c r="R637" s="3"/>
      <x:c r="S637" s="3"/>
      <x:c r="T637" s="3"/>
      <x:c r="U637" s="3"/>
      <x:c r="V637" s="3"/>
      <x:c r="W637" s="3"/>
      <x:c r="X637" s="3"/>
      <x:c r="Y637" s="3"/>
      <x:c r="Z637" s="3"/>
      <x:c r="AA637" s="3"/>
      <x:c r="AB637" s="3"/>
      <x:c r="AC637" s="3"/>
      <x:c r="AD637" s="3"/>
      <x:c r="AE637" s="3"/>
      <x:c r="AF637" s="3"/>
      <x:c r="AG637" s="3"/>
      <x:c r="AH637" s="3"/>
      <x:c r="AI637" s="3"/>
      <x:c r="AJ637" s="3"/>
      <x:c r="AK637" s="3"/>
      <x:c r="AL637" s="3"/>
      <x:c r="AM637" s="3"/>
      <x:c r="AN637" s="3"/>
      <x:c r="AO637" s="3"/>
      <x:c r="AP637" s="3"/>
      <x:c r="AQ637" s="3"/>
      <x:c r="AR637" s="3"/>
      <x:c r="AS637" s="3"/>
      <x:c r="AT637" s="3"/>
      <x:c r="AU637" s="3"/>
      <x:c r="AV637" s="3"/>
      <x:c r="AW637" s="3"/>
      <x:c r="AX637" s="3"/>
      <x:c r="AY637" s="3"/>
      <x:c r="AZ637" s="3" t="str">
        <x:f>IF(AND('中古車掲載'!C638="One2car",'中古車掲載'!F638="ATTO 3",'中古車掲載'!L638="EXTENDED RANGE",'中古車掲載'!J638=2023,ISNUMBER('中古車掲載'!N638),'中古車掲載'!N638&gt;=20000,'中古車掲載'!O638&lt;=100000,'中古車掲載'!AL638=1),'中古車掲載'!U638,"")</x:f>
      </x:c>
      <x:c r="BA637" s="3" t="str">
        <x:f>IF(AND('中古車掲載'!C638="One2car",'中古車掲載'!F638="Corolla Cross",'中古車掲載'!L638="HEV PREMIUM SAFETY",'中古車掲載'!J638=2023,ISNUMBER('中古車掲載'!N638),'中古車掲載'!N638&gt;=20000,'中古車掲載'!O638&lt;=100000,'中古車掲載'!AL638=1,'中古車掲載'!Z638="https://www.one2car.com/en/cars-for-sale/toyota/corolla-cross/year-2023"),'中古車掲載'!U638,"")</x:f>
      </x:c>
      <x:c r="BB637" s="3" t="str">
        <x:f>IF(AND('中古車掲載'!C638="One2car",'中古車掲載'!F638="ATTO 3",'中古車掲載'!L638="EXTENDED RANGE",'中古車掲載'!J638=2023,ISNUMBER('中古車掲載'!N638),'中古車掲載'!N638&gt;=50000,'中古車掲載'!O638&lt;=100000,'中古車掲載'!AL638=1),'中古車掲載'!U638,"")</x:f>
      </x:c>
      <x:c r="BC637" s="3" t="str">
        <x:f>IF(AND('中古車掲載'!C638="One2car",'中古車掲載'!F638="Corolla Cross",'中古車掲載'!L638="HEV PREMIUM SAFETY",'中古車掲載'!J638=2023,ISNUMBER('中古車掲載'!N638),'中古車掲載'!N638&gt;=50000,'中古車掲載'!O638&lt;=100000,'中古車掲載'!AL638=1,'中古車掲載'!Z638="https://www.one2car.com/en/cars-for-sale/toyota/corolla-cross/year-2023"),'中古車掲載'!U638,"")</x:f>
      </x:c>
      <x:c r="BD637" s="3" t="str">
        <x:f>IF(AND('中古車掲載'!C638="One2car",'中古車掲載'!F638="ATTO 3",'中古車掲載'!L638="EXTENDED RANGE",'中古車掲載'!J638=2023,ISNUMBER('中古車掲載'!N638),'中古車掲載'!N638&gt;=20000,'中古車掲載'!O638&lt;=50000,'中古車掲載'!AL638=1),'中古車掲載'!U638,"")</x:f>
      </x:c>
      <x:c r="BE637" s="3" t="str">
        <x:f>IF(AND('中古車掲載'!C638="One2car",'中古車掲載'!F638="Corolla Cross",'中古車掲載'!L638="HEV PREMIUM SAFETY",'中古車掲載'!J638=2023,ISNUMBER('中古車掲載'!N638),'中古車掲載'!N638&gt;=20000,'中古車掲載'!O638&lt;=50000,'中古車掲載'!AL638=1,'中古車掲載'!Z638="https://www.one2car.com/en/cars-for-sale/toyota/corolla-cross/year-2023"),'中古車掲載'!U638,"")</x:f>
      </x:c>
      <x:c r="BF637" s="3" t="str">
        <x:f>IF(AND('中古車掲載'!C638="One2car",'中古車掲載'!F638="Corolla Cross",'中古車掲載'!L638="HEV PREMIUM",'中古車掲載'!J638=2023,ISNUMBER('中古車掲載'!N638),'中古車掲載'!N638&gt;=20000,'中古車掲載'!O638&lt;=100000,'中古車掲載'!AL638=1,'中古車掲載'!Z638="https://www.one2car.com/en/cars-for-sale/toyota/corolla-cross/year-2023"),'中古車掲載'!U638,"")</x:f>
      </x:c>
      <x:c r="BG637" s="3" t="str">
        <x:f>IF(AND('中古車掲載'!C638="One2car",'中古車掲載'!F638="Corolla Cross",'中古車掲載'!L638="HEV GR SPORT",'中古車掲載'!J638=2023,ISNUMBER('中古車掲載'!N638),'中古車掲載'!N638&gt;=20000,'中古車掲載'!O638&lt;=100000,'中古車掲載'!AL638=1,'中古車掲載'!Z638="https://www.one2car.com/en/cars-for-sale/toyota/corolla-cross/year-2023"),'中古車掲載'!U638,"")</x:f>
      </x:c>
      <x:c r="BH637" s="3" t="str">
        <x:f>IF(AND('中古車掲載'!C638="One2car",'中古車掲載'!F638="DOLPHIN",'中古車掲載'!L638="STANDARD RANGE",'中古車掲載'!J638=2023,ISNUMBER('中古車掲載'!N638),'中古車掲載'!N638&gt;=20000,'中古車掲載'!O638&lt;=100000,'中古車掲載'!AL638=1),'中古車掲載'!U638,"")</x:f>
      </x:c>
      <x:c r="BI637" s="3" t="str">
        <x:v>Taladrod|Hilux Champ|ICE|Unknown</x:v>
      </x:c>
      <x:c r="BJ637" s="3" t="n">
        <x:v>638</x:v>
      </x:c>
      <x:c r="BK637" s="3" t="n">
        <x:f>'中古車掲載'!AM638</x:f>
        <x:v>466000</x:v>
      </x:c>
      <x:c r="BL637" s="3" t="str">
        <x:f>IF(ISNUMBER('中古車掲載'!AN638),'中古車掲載'!AN638,"")</x:f>
      </x:c>
      <x:c r="BM637" s="3"/>
      <x:c r="BN637" s="3"/>
      <x:c r="BO637" s="3"/>
      <x:c r="BP637" s="3"/>
      <x:c r="BQ637" s="3"/>
      <x:c r="BR637" s="3"/>
    </x:row>
    <x:row r="638" ht="22" customHeight="1">
      <x:c r="A638" s="3" t="str">
        <x:v>Yaris Ativ</x:v>
      </x:c>
      <x:c r="B638" s="3" t="str">
        <x:v>ICE</x:v>
      </x:c>
      <x:c r="C638" s="3" t="str">
        <x:v>Taladrod</x:v>
      </x:c>
      <x:c r="D638" s="3" t="str">
        <x:v>Sedan</x:v>
      </x:c>
      <x:c r="E638" s="3" t="str"/>
      <x:c r="F638" s="3" t="n">
        <x:v>2021</x:v>
      </x:c>
      <x:c r="G638" s="3" t="str">
        <x:v>ENTRY</x:v>
      </x:c>
      <x:c r="H638" s="3" t="str">
        <x:v>未掲載</x:v>
      </x:c>
      <x:c r="I638" s="3" t="str">
        <x:v>17-22</x:v>
      </x:c>
      <x:c r="J638" s="22" t="n">
        <x:f>COUNT('中古車掲載'!AM958:AM962)</x:f>
        <x:v>5</x:v>
      </x:c>
      <x:c r="K638" s="22" t="n">
        <x:f>IF(COUNT('中古車掲載'!AM958:AM962)=0,"",QUARTILE('中古車掲載'!AM958:AM962,1))</x:f>
        <x:v>324000</x:v>
      </x:c>
      <x:c r="L638" s="22" t="n">
        <x:f>IF(COUNT('中古車掲載'!AM958:AM962)=0,"",MEDIAN('中古車掲載'!AM958:AM962))</x:f>
        <x:v>339000</x:v>
      </x:c>
      <x:c r="M638" s="22" t="n">
        <x:f>IF(COUNT('中古車掲載'!AM958:AM962)=0,"",QUARTILE('中古車掲載'!AM958:AM962,3))</x:f>
        <x:v>349000</x:v>
      </x:c>
      <x:c r="N638" s="22" t="n">
        <x:f>COUNT('中古車掲載'!AN958:AN962)</x:f>
        <x:v>0</x:v>
      </x:c>
      <x:c r="O638" s="23" t="str">
        <x:f>IF(COUNT('中古車掲載'!AN958:AN962)=0,"",MEDIAN('中古車掲載'!AN958:AN962))</x:f>
      </x:c>
      <x:c r="P638" s="3"/>
      <x:c r="Q638" s="3"/>
      <x:c r="R638" s="3"/>
      <x:c r="S638" s="3"/>
      <x:c r="T638" s="3"/>
      <x:c r="U638" s="3"/>
      <x:c r="V638" s="3"/>
      <x:c r="W638" s="3"/>
      <x:c r="X638" s="3"/>
      <x:c r="Y638" s="3"/>
      <x:c r="Z638" s="3"/>
      <x:c r="AA638" s="3"/>
      <x:c r="AB638" s="3"/>
      <x:c r="AC638" s="3"/>
      <x:c r="AD638" s="3"/>
      <x:c r="AE638" s="3"/>
      <x:c r="AF638" s="3"/>
      <x:c r="AG638" s="3"/>
      <x:c r="AH638" s="3"/>
      <x:c r="AI638" s="3"/>
      <x:c r="AJ638" s="3"/>
      <x:c r="AK638" s="3"/>
      <x:c r="AL638" s="3"/>
      <x:c r="AM638" s="3"/>
      <x:c r="AN638" s="3"/>
      <x:c r="AO638" s="3"/>
      <x:c r="AP638" s="3"/>
      <x:c r="AQ638" s="3"/>
      <x:c r="AR638" s="3"/>
      <x:c r="AS638" s="3"/>
      <x:c r="AT638" s="3"/>
      <x:c r="AU638" s="3"/>
      <x:c r="AV638" s="3"/>
      <x:c r="AW638" s="3"/>
      <x:c r="AX638" s="3"/>
      <x:c r="AY638" s="3"/>
      <x:c r="AZ638" s="3" t="str">
        <x:f>IF(AND('中古車掲載'!C639="One2car",'中古車掲載'!F639="ATTO 3",'中古車掲載'!L639="EXTENDED RANGE",'中古車掲載'!J639=2023,ISNUMBER('中古車掲載'!N639),'中古車掲載'!N639&gt;=20000,'中古車掲載'!O639&lt;=100000,'中古車掲載'!AL639=1),'中古車掲載'!U639,"")</x:f>
      </x:c>
      <x:c r="BA638" s="3" t="str">
        <x:f>IF(AND('中古車掲載'!C639="One2car",'中古車掲載'!F639="Corolla Cross",'中古車掲載'!L639="HEV PREMIUM SAFETY",'中古車掲載'!J639=2023,ISNUMBER('中古車掲載'!N639),'中古車掲載'!N639&gt;=20000,'中古車掲載'!O639&lt;=100000,'中古車掲載'!AL639=1,'中古車掲載'!Z639="https://www.one2car.com/en/cars-for-sale/toyota/corolla-cross/year-2023"),'中古車掲載'!U639,"")</x:f>
      </x:c>
      <x:c r="BB638" s="3" t="str">
        <x:f>IF(AND('中古車掲載'!C639="One2car",'中古車掲載'!F639="ATTO 3",'中古車掲載'!L639="EXTENDED RANGE",'中古車掲載'!J639=2023,ISNUMBER('中古車掲載'!N639),'中古車掲載'!N639&gt;=50000,'中古車掲載'!O639&lt;=100000,'中古車掲載'!AL639=1),'中古車掲載'!U639,"")</x:f>
      </x:c>
      <x:c r="BC638" s="3" t="str">
        <x:f>IF(AND('中古車掲載'!C639="One2car",'中古車掲載'!F639="Corolla Cross",'中古車掲載'!L639="HEV PREMIUM SAFETY",'中古車掲載'!J639=2023,ISNUMBER('中古車掲載'!N639),'中古車掲載'!N639&gt;=50000,'中古車掲載'!O639&lt;=100000,'中古車掲載'!AL639=1,'中古車掲載'!Z639="https://www.one2car.com/en/cars-for-sale/toyota/corolla-cross/year-2023"),'中古車掲載'!U639,"")</x:f>
      </x:c>
      <x:c r="BD638" s="3" t="str">
        <x:f>IF(AND('中古車掲載'!C639="One2car",'中古車掲載'!F639="ATTO 3",'中古車掲載'!L639="EXTENDED RANGE",'中古車掲載'!J639=2023,ISNUMBER('中古車掲載'!N639),'中古車掲載'!N639&gt;=20000,'中古車掲載'!O639&lt;=50000,'中古車掲載'!AL639=1),'中古車掲載'!U639,"")</x:f>
      </x:c>
      <x:c r="BE638" s="3" t="str">
        <x:f>IF(AND('中古車掲載'!C639="One2car",'中古車掲載'!F639="Corolla Cross",'中古車掲載'!L639="HEV PREMIUM SAFETY",'中古車掲載'!J639=2023,ISNUMBER('中古車掲載'!N639),'中古車掲載'!N639&gt;=20000,'中古車掲載'!O639&lt;=50000,'中古車掲載'!AL639=1,'中古車掲載'!Z639="https://www.one2car.com/en/cars-for-sale/toyota/corolla-cross/year-2023"),'中古車掲載'!U639,"")</x:f>
      </x:c>
      <x:c r="BF638" s="3" t="str">
        <x:f>IF(AND('中古車掲載'!C639="One2car",'中古車掲載'!F639="Corolla Cross",'中古車掲載'!L639="HEV PREMIUM",'中古車掲載'!J639=2023,ISNUMBER('中古車掲載'!N639),'中古車掲載'!N639&gt;=20000,'中古車掲載'!O639&lt;=100000,'中古車掲載'!AL639=1,'中古車掲載'!Z639="https://www.one2car.com/en/cars-for-sale/toyota/corolla-cross/year-2023"),'中古車掲載'!U639,"")</x:f>
      </x:c>
      <x:c r="BG638" s="3" t="str">
        <x:f>IF(AND('中古車掲載'!C639="One2car",'中古車掲載'!F639="Corolla Cross",'中古車掲載'!L639="HEV GR SPORT",'中古車掲載'!J639=2023,ISNUMBER('中古車掲載'!N639),'中古車掲載'!N639&gt;=20000,'中古車掲載'!O639&lt;=100000,'中古車掲載'!AL639=1,'中古車掲載'!Z639="https://www.one2car.com/en/cars-for-sale/toyota/corolla-cross/year-2023"),'中古車掲載'!U639,"")</x:f>
      </x:c>
      <x:c r="BH638" s="3" t="str">
        <x:f>IF(AND('中古車掲載'!C639="One2car",'中古車掲載'!F639="DOLPHIN",'中古車掲載'!L639="STANDARD RANGE",'中古車掲載'!J639=2023,ISNUMBER('中古車掲載'!N639),'中古車掲載'!N639&gt;=20000,'中古車掲載'!O639&lt;=100000,'中古車掲載'!AL639=1),'中古車掲載'!U639,"")</x:f>
      </x:c>
      <x:c r="BI638" s="3" t="str">
        <x:v>Taladrod|Hilux Champ|ICE|Unknown</x:v>
      </x:c>
      <x:c r="BJ638" s="3" t="n">
        <x:v>639</x:v>
      </x:c>
      <x:c r="BK638" s="3" t="n">
        <x:f>'中古車掲載'!AM639</x:f>
        <x:v>540000</x:v>
      </x:c>
      <x:c r="BL638" s="3" t="str">
        <x:f>IF(ISNUMBER('中古車掲載'!AN639),'中古車掲載'!AN639,"")</x:f>
      </x:c>
      <x:c r="BM638" s="3"/>
      <x:c r="BN638" s="3"/>
      <x:c r="BO638" s="3"/>
      <x:c r="BP638" s="3"/>
      <x:c r="BQ638" s="3"/>
      <x:c r="BR638" s="3"/>
    </x:row>
    <x:row r="639" ht="22" customHeight="1">
      <x:c r="A639" s="3" t="str">
        <x:v>Yaris Ativ</x:v>
      </x:c>
      <x:c r="B639" s="3" t="str">
        <x:v>ICE</x:v>
      </x:c>
      <x:c r="C639" s="3" t="str">
        <x:v>Taladrod</x:v>
      </x:c>
      <x:c r="D639" s="3" t="str">
        <x:v>Sedan</x:v>
      </x:c>
      <x:c r="E639" s="3" t="str"/>
      <x:c r="F639" s="3" t="n">
        <x:v>2021</x:v>
      </x:c>
      <x:c r="G639" s="3" t="str">
        <x:v>SPORT</x:v>
      </x:c>
      <x:c r="H639" s="3" t="str">
        <x:v>未掲載</x:v>
      </x:c>
      <x:c r="I639" s="3" t="str">
        <x:v>17-22</x:v>
      </x:c>
      <x:c r="J639" s="22" t="n">
        <x:f>COUNT('中古車掲載'!AM963:AM966)</x:f>
        <x:v>4</x:v>
      </x:c>
      <x:c r="K639" s="22" t="n">
        <x:f>IF(COUNT('中古車掲載'!AM963:AM966)=0,"",QUARTILE('中古車掲載'!AM963:AM966,1))</x:f>
        <x:v>307500</x:v>
      </x:c>
      <x:c r="L639" s="22" t="n">
        <x:f>IF(COUNT('中古車掲載'!AM963:AM966)=0,"",MEDIAN('中古車掲載'!AM963:AM966))</x:f>
        <x:v>317000</x:v>
      </x:c>
      <x:c r="M639" s="22" t="n">
        <x:f>IF(COUNT('中古車掲載'!AM963:AM966)=0,"",QUARTILE('中古車掲載'!AM963:AM966,3))</x:f>
        <x:v>340250</x:v>
      </x:c>
      <x:c r="N639" s="22" t="n">
        <x:f>COUNT('中古車掲載'!AN963:AN966)</x:f>
        <x:v>0</x:v>
      </x:c>
      <x:c r="O639" s="23" t="str">
        <x:f>IF(COUNT('中古車掲載'!AN963:AN966)=0,"",MEDIAN('中古車掲載'!AN963:AN966))</x:f>
      </x:c>
      <x:c r="P639" s="3"/>
      <x:c r="Q639" s="3"/>
      <x:c r="R639" s="3"/>
      <x:c r="S639" s="3"/>
      <x:c r="T639" s="3"/>
      <x:c r="U639" s="3"/>
      <x:c r="V639" s="3"/>
      <x:c r="W639" s="3"/>
      <x:c r="X639" s="3"/>
      <x:c r="Y639" s="3"/>
      <x:c r="Z639" s="3"/>
      <x:c r="AA639" s="3"/>
      <x:c r="AB639" s="3"/>
      <x:c r="AC639" s="3"/>
      <x:c r="AD639" s="3"/>
      <x:c r="AE639" s="3"/>
      <x:c r="AF639" s="3"/>
      <x:c r="AG639" s="3"/>
      <x:c r="AH639" s="3"/>
      <x:c r="AI639" s="3"/>
      <x:c r="AJ639" s="3"/>
      <x:c r="AK639" s="3"/>
      <x:c r="AL639" s="3"/>
      <x:c r="AM639" s="3"/>
      <x:c r="AN639" s="3"/>
      <x:c r="AO639" s="3"/>
      <x:c r="AP639" s="3"/>
      <x:c r="AQ639" s="3"/>
      <x:c r="AR639" s="3"/>
      <x:c r="AS639" s="3"/>
      <x:c r="AT639" s="3"/>
      <x:c r="AU639" s="3"/>
      <x:c r="AV639" s="3"/>
      <x:c r="AW639" s="3"/>
      <x:c r="AX639" s="3"/>
      <x:c r="AY639" s="3"/>
      <x:c r="AZ639" s="3" t="str">
        <x:f>IF(AND('中古車掲載'!C640="One2car",'中古車掲載'!F640="ATTO 3",'中古車掲載'!L640="EXTENDED RANGE",'中古車掲載'!J640=2023,ISNUMBER('中古車掲載'!N640),'中古車掲載'!N640&gt;=20000,'中古車掲載'!O640&lt;=100000,'中古車掲載'!AL640=1),'中古車掲載'!U640,"")</x:f>
      </x:c>
      <x:c r="BA639" s="3" t="str">
        <x:f>IF(AND('中古車掲載'!C640="One2car",'中古車掲載'!F640="Corolla Cross",'中古車掲載'!L640="HEV PREMIUM SAFETY",'中古車掲載'!J640=2023,ISNUMBER('中古車掲載'!N640),'中古車掲載'!N640&gt;=20000,'中古車掲載'!O640&lt;=100000,'中古車掲載'!AL640=1,'中古車掲載'!Z640="https://www.one2car.com/en/cars-for-sale/toyota/corolla-cross/year-2023"),'中古車掲載'!U640,"")</x:f>
      </x:c>
      <x:c r="BB639" s="3" t="str">
        <x:f>IF(AND('中古車掲載'!C640="One2car",'中古車掲載'!F640="ATTO 3",'中古車掲載'!L640="EXTENDED RANGE",'中古車掲載'!J640=2023,ISNUMBER('中古車掲載'!N640),'中古車掲載'!N640&gt;=50000,'中古車掲載'!O640&lt;=100000,'中古車掲載'!AL640=1),'中古車掲載'!U640,"")</x:f>
      </x:c>
      <x:c r="BC639" s="3" t="str">
        <x:f>IF(AND('中古車掲載'!C640="One2car",'中古車掲載'!F640="Corolla Cross",'中古車掲載'!L640="HEV PREMIUM SAFETY",'中古車掲載'!J640=2023,ISNUMBER('中古車掲載'!N640),'中古車掲載'!N640&gt;=50000,'中古車掲載'!O640&lt;=100000,'中古車掲載'!AL640=1,'中古車掲載'!Z640="https://www.one2car.com/en/cars-for-sale/toyota/corolla-cross/year-2023"),'中古車掲載'!U640,"")</x:f>
      </x:c>
      <x:c r="BD639" s="3" t="str">
        <x:f>IF(AND('中古車掲載'!C640="One2car",'中古車掲載'!F640="ATTO 3",'中古車掲載'!L640="EXTENDED RANGE",'中古車掲載'!J640=2023,ISNUMBER('中古車掲載'!N640),'中古車掲載'!N640&gt;=20000,'中古車掲載'!O640&lt;=50000,'中古車掲載'!AL640=1),'中古車掲載'!U640,"")</x:f>
      </x:c>
      <x:c r="BE639" s="3" t="str">
        <x:f>IF(AND('中古車掲載'!C640="One2car",'中古車掲載'!F640="Corolla Cross",'中古車掲載'!L640="HEV PREMIUM SAFETY",'中古車掲載'!J640=2023,ISNUMBER('中古車掲載'!N640),'中古車掲載'!N640&gt;=20000,'中古車掲載'!O640&lt;=50000,'中古車掲載'!AL640=1,'中古車掲載'!Z640="https://www.one2car.com/en/cars-for-sale/toyota/corolla-cross/year-2023"),'中古車掲載'!U640,"")</x:f>
      </x:c>
      <x:c r="BF639" s="3" t="str">
        <x:f>IF(AND('中古車掲載'!C640="One2car",'中古車掲載'!F640="Corolla Cross",'中古車掲載'!L640="HEV PREMIUM",'中古車掲載'!J640=2023,ISNUMBER('中古車掲載'!N640),'中古車掲載'!N640&gt;=20000,'中古車掲載'!O640&lt;=100000,'中古車掲載'!AL640=1,'中古車掲載'!Z640="https://www.one2car.com/en/cars-for-sale/toyota/corolla-cross/year-2023"),'中古車掲載'!U640,"")</x:f>
      </x:c>
      <x:c r="BG639" s="3" t="str">
        <x:f>IF(AND('中古車掲載'!C640="One2car",'中古車掲載'!F640="Corolla Cross",'中古車掲載'!L640="HEV GR SPORT",'中古車掲載'!J640=2023,ISNUMBER('中古車掲載'!N640),'中古車掲載'!N640&gt;=20000,'中古車掲載'!O640&lt;=100000,'中古車掲載'!AL640=1,'中古車掲載'!Z640="https://www.one2car.com/en/cars-for-sale/toyota/corolla-cross/year-2023"),'中古車掲載'!U640,"")</x:f>
      </x:c>
      <x:c r="BH639" s="3" t="str">
        <x:f>IF(AND('中古車掲載'!C640="One2car",'中古車掲載'!F640="DOLPHIN",'中古車掲載'!L640="STANDARD RANGE",'中古車掲載'!J640=2023,ISNUMBER('中古車掲載'!N640),'中古車掲載'!N640&gt;=20000,'中古車掲載'!O640&lt;=100000,'中古車掲載'!AL640=1),'中古車掲載'!U640,"")</x:f>
      </x:c>
      <x:c r="BI639" s="3" t="str">
        <x:v>Taladrod|Hilux Champ|ICE|Unknown</x:v>
      </x:c>
      <x:c r="BJ639" s="3" t="n">
        <x:v>640</x:v>
      </x:c>
      <x:c r="BK639" s="3" t="n">
        <x:f>'中古車掲載'!AM640</x:f>
        <x:v>450000</x:v>
      </x:c>
      <x:c r="BL639" s="3" t="str">
        <x:f>IF(ISNUMBER('中古車掲載'!AN640),'中古車掲載'!AN640,"")</x:f>
      </x:c>
      <x:c r="BM639" s="3"/>
      <x:c r="BN639" s="3"/>
      <x:c r="BO639" s="3"/>
      <x:c r="BP639" s="3"/>
      <x:c r="BQ639" s="3"/>
      <x:c r="BR639" s="3"/>
    </x:row>
    <x:row r="640" ht="22" customHeight="1">
      <x:c r="A640" s="3" t="str">
        <x:v>Yaris Ativ</x:v>
      </x:c>
      <x:c r="B640" s="3" t="str">
        <x:v>ICE</x:v>
      </x:c>
      <x:c r="C640" s="3" t="str">
        <x:v>Taladrod</x:v>
      </x:c>
      <x:c r="D640" s="3" t="str">
        <x:v>Sedan</x:v>
      </x:c>
      <x:c r="E640" s="3" t="str"/>
      <x:c r="F640" s="3" t="n">
        <x:v>2021</x:v>
      </x:c>
      <x:c r="G640" s="3" t="str">
        <x:v>SPORT PREMIUM</x:v>
      </x:c>
      <x:c r="H640" s="3" t="str">
        <x:v>未掲載</x:v>
      </x:c>
      <x:c r="I640" s="3" t="str">
        <x:v>17-22</x:v>
      </x:c>
      <x:c r="J640" s="22" t="n">
        <x:f>COUNT('中古車掲載'!AM967:AM969)</x:f>
        <x:v>3</x:v>
      </x:c>
      <x:c r="K640" s="22" t="n">
        <x:f>IF(COUNT('中古車掲載'!AM967:AM969)=0,"",QUARTILE('中古車掲載'!AM967:AM969,1))</x:f>
        <x:v>336500</x:v>
      </x:c>
      <x:c r="L640" s="22" t="n">
        <x:f>IF(COUNT('中古車掲載'!AM967:AM969)=0,"",MEDIAN('中古車掲載'!AM967:AM969))</x:f>
        <x:v>349000</x:v>
      </x:c>
      <x:c r="M640" s="22" t="n">
        <x:f>IF(COUNT('中古車掲載'!AM967:AM969)=0,"",QUARTILE('中古車掲載'!AM967:AM969,3))</x:f>
        <x:v>384000</x:v>
      </x:c>
      <x:c r="N640" s="22" t="n">
        <x:f>COUNT('中古車掲載'!AN967:AN969)</x:f>
        <x:v>0</x:v>
      </x:c>
      <x:c r="O640" s="23" t="str">
        <x:f>IF(COUNT('中古車掲載'!AN967:AN969)=0,"",MEDIAN('中古車掲載'!AN967:AN969))</x:f>
      </x:c>
      <x:c r="P640" s="3"/>
      <x:c r="Q640" s="3"/>
      <x:c r="R640" s="3"/>
      <x:c r="S640" s="3"/>
      <x:c r="T640" s="3"/>
      <x:c r="U640" s="3"/>
      <x:c r="V640" s="3"/>
      <x:c r="W640" s="3"/>
      <x:c r="X640" s="3"/>
      <x:c r="Y640" s="3"/>
      <x:c r="Z640" s="3"/>
      <x:c r="AA640" s="3"/>
      <x:c r="AB640" s="3"/>
      <x:c r="AC640" s="3"/>
      <x:c r="AD640" s="3"/>
      <x:c r="AE640" s="3"/>
      <x:c r="AF640" s="3"/>
      <x:c r="AG640" s="3"/>
      <x:c r="AH640" s="3"/>
      <x:c r="AI640" s="3"/>
      <x:c r="AJ640" s="3"/>
      <x:c r="AK640" s="3"/>
      <x:c r="AL640" s="3"/>
      <x:c r="AM640" s="3"/>
      <x:c r="AN640" s="3"/>
      <x:c r="AO640" s="3"/>
      <x:c r="AP640" s="3"/>
      <x:c r="AQ640" s="3"/>
      <x:c r="AR640" s="3"/>
      <x:c r="AS640" s="3"/>
      <x:c r="AT640" s="3"/>
      <x:c r="AU640" s="3"/>
      <x:c r="AV640" s="3"/>
      <x:c r="AW640" s="3"/>
      <x:c r="AX640" s="3"/>
      <x:c r="AY640" s="3"/>
      <x:c r="AZ640" s="3" t="str">
        <x:f>IF(AND('中古車掲載'!C641="One2car",'中古車掲載'!F641="ATTO 3",'中古車掲載'!L641="EXTENDED RANGE",'中古車掲載'!J641=2023,ISNUMBER('中古車掲載'!N641),'中古車掲載'!N641&gt;=20000,'中古車掲載'!O641&lt;=100000,'中古車掲載'!AL641=1),'中古車掲載'!U641,"")</x:f>
      </x:c>
      <x:c r="BA640" s="3" t="str">
        <x:f>IF(AND('中古車掲載'!C641="One2car",'中古車掲載'!F641="Corolla Cross",'中古車掲載'!L641="HEV PREMIUM SAFETY",'中古車掲載'!J641=2023,ISNUMBER('中古車掲載'!N641),'中古車掲載'!N641&gt;=20000,'中古車掲載'!O641&lt;=100000,'中古車掲載'!AL641=1,'中古車掲載'!Z641="https://www.one2car.com/en/cars-for-sale/toyota/corolla-cross/year-2023"),'中古車掲載'!U641,"")</x:f>
      </x:c>
      <x:c r="BB640" s="3" t="str">
        <x:f>IF(AND('中古車掲載'!C641="One2car",'中古車掲載'!F641="ATTO 3",'中古車掲載'!L641="EXTENDED RANGE",'中古車掲載'!J641=2023,ISNUMBER('中古車掲載'!N641),'中古車掲載'!N641&gt;=50000,'中古車掲載'!O641&lt;=100000,'中古車掲載'!AL641=1),'中古車掲載'!U641,"")</x:f>
      </x:c>
      <x:c r="BC640" s="3" t="str">
        <x:f>IF(AND('中古車掲載'!C641="One2car",'中古車掲載'!F641="Corolla Cross",'中古車掲載'!L641="HEV PREMIUM SAFETY",'中古車掲載'!J641=2023,ISNUMBER('中古車掲載'!N641),'中古車掲載'!N641&gt;=50000,'中古車掲載'!O641&lt;=100000,'中古車掲載'!AL641=1,'中古車掲載'!Z641="https://www.one2car.com/en/cars-for-sale/toyota/corolla-cross/year-2023"),'中古車掲載'!U641,"")</x:f>
      </x:c>
      <x:c r="BD640" s="3" t="str">
        <x:f>IF(AND('中古車掲載'!C641="One2car",'中古車掲載'!F641="ATTO 3",'中古車掲載'!L641="EXTENDED RANGE",'中古車掲載'!J641=2023,ISNUMBER('中古車掲載'!N641),'中古車掲載'!N641&gt;=20000,'中古車掲載'!O641&lt;=50000,'中古車掲載'!AL641=1),'中古車掲載'!U641,"")</x:f>
      </x:c>
      <x:c r="BE640" s="3" t="str">
        <x:f>IF(AND('中古車掲載'!C641="One2car",'中古車掲載'!F641="Corolla Cross",'中古車掲載'!L641="HEV PREMIUM SAFETY",'中古車掲載'!J641=2023,ISNUMBER('中古車掲載'!N641),'中古車掲載'!N641&gt;=20000,'中古車掲載'!O641&lt;=50000,'中古車掲載'!AL641=1,'中古車掲載'!Z641="https://www.one2car.com/en/cars-for-sale/toyota/corolla-cross/year-2023"),'中古車掲載'!U641,"")</x:f>
      </x:c>
      <x:c r="BF640" s="3" t="str">
        <x:f>IF(AND('中古車掲載'!C641="One2car",'中古車掲載'!F641="Corolla Cross",'中古車掲載'!L641="HEV PREMIUM",'中古車掲載'!J641=2023,ISNUMBER('中古車掲載'!N641),'中古車掲載'!N641&gt;=20000,'中古車掲載'!O641&lt;=100000,'中古車掲載'!AL641=1,'中古車掲載'!Z641="https://www.one2car.com/en/cars-for-sale/toyota/corolla-cross/year-2023"),'中古車掲載'!U641,"")</x:f>
      </x:c>
      <x:c r="BG640" s="3" t="str">
        <x:f>IF(AND('中古車掲載'!C641="One2car",'中古車掲載'!F641="Corolla Cross",'中古車掲載'!L641="HEV GR SPORT",'中古車掲載'!J641=2023,ISNUMBER('中古車掲載'!N641),'中古車掲載'!N641&gt;=20000,'中古車掲載'!O641&lt;=100000,'中古車掲載'!AL641=1,'中古車掲載'!Z641="https://www.one2car.com/en/cars-for-sale/toyota/corolla-cross/year-2023"),'中古車掲載'!U641,"")</x:f>
      </x:c>
      <x:c r="BH640" s="3" t="str">
        <x:f>IF(AND('中古車掲載'!C641="One2car",'中古車掲載'!F641="DOLPHIN",'中古車掲載'!L641="STANDARD RANGE",'中古車掲載'!J641=2023,ISNUMBER('中古車掲載'!N641),'中古車掲載'!N641&gt;=20000,'中古車掲載'!O641&lt;=100000,'中古車掲載'!AL641=1),'中古車掲載'!U641,"")</x:f>
      </x:c>
      <x:c r="BI640" s="3" t="str">
        <x:v>Taladrod|Hilux Champ|ICE|Unknown</x:v>
      </x:c>
      <x:c r="BJ640" s="3" t="n">
        <x:v>641</x:v>
      </x:c>
      <x:c r="BK640" s="3" t="n">
        <x:f>'中古車掲載'!AM641</x:f>
        <x:v>489000</x:v>
      </x:c>
      <x:c r="BL640" s="3" t="str">
        <x:f>IF(ISNUMBER('中古車掲載'!AN641),'中古車掲載'!AN641,"")</x:f>
      </x:c>
      <x:c r="BM640" s="3"/>
      <x:c r="BN640" s="3"/>
      <x:c r="BO640" s="3"/>
      <x:c r="BP640" s="3"/>
      <x:c r="BQ640" s="3"/>
      <x:c r="BR640" s="3"/>
    </x:row>
    <x:row r="641" ht="22" customHeight="1">
      <x:c r="A641" s="3" t="str">
        <x:v>Yaris Ativ</x:v>
      </x:c>
      <x:c r="B641" s="3" t="str">
        <x:v>ICE</x:v>
      </x:c>
      <x:c r="C641" s="3" t="str">
        <x:v>Taladrod</x:v>
      </x:c>
      <x:c r="D641" s="3" t="str">
        <x:v>Sedan</x:v>
      </x:c>
      <x:c r="E641" s="3" t="str"/>
      <x:c r="F641" s="3" t="n">
        <x:v>2022</x:v>
      </x:c>
      <x:c r="G641" s="3" t="str">
        <x:v>ENTRY</x:v>
      </x:c>
      <x:c r="H641" s="3" t="str">
        <x:v>未掲載</x:v>
      </x:c>
      <x:c r="I641" s="3" t="str">
        <x:v>17-22</x:v>
      </x:c>
      <x:c r="J641" s="22" t="n">
        <x:f>COUNT('中古車掲載'!AM970:AM971)</x:f>
        <x:v>2</x:v>
      </x:c>
      <x:c r="K641" s="22" t="n">
        <x:f>IF(COUNT('中古車掲載'!AM970:AM971)=0,"",QUARTILE('中古車掲載'!AM970:AM971,1))</x:f>
        <x:v>334750</x:v>
      </x:c>
      <x:c r="L641" s="22" t="n">
        <x:f>IF(COUNT('中古車掲載'!AM970:AM971)=0,"",MEDIAN('中古車掲載'!AM970:AM971))</x:f>
        <x:v>345500</x:v>
      </x:c>
      <x:c r="M641" s="22" t="n">
        <x:f>IF(COUNT('中古車掲載'!AM970:AM971)=0,"",QUARTILE('中古車掲載'!AM970:AM971,3))</x:f>
        <x:v>356250</x:v>
      </x:c>
      <x:c r="N641" s="22" t="n">
        <x:f>COUNT('中古車掲載'!AN970:AN971)</x:f>
        <x:v>0</x:v>
      </x:c>
      <x:c r="O641" s="23" t="str">
        <x:f>IF(COUNT('中古車掲載'!AN970:AN971)=0,"",MEDIAN('中古車掲載'!AN970:AN971))</x:f>
      </x:c>
      <x:c r="P641" s="3"/>
      <x:c r="Q641" s="3"/>
      <x:c r="R641" s="3"/>
      <x:c r="S641" s="3"/>
      <x:c r="T641" s="3"/>
      <x:c r="U641" s="3"/>
      <x:c r="V641" s="3"/>
      <x:c r="W641" s="3"/>
      <x:c r="X641" s="3"/>
      <x:c r="Y641" s="3"/>
      <x:c r="Z641" s="3"/>
      <x:c r="AA641" s="3"/>
      <x:c r="AB641" s="3"/>
      <x:c r="AC641" s="3"/>
      <x:c r="AD641" s="3"/>
      <x:c r="AE641" s="3"/>
      <x:c r="AF641" s="3"/>
      <x:c r="AG641" s="3"/>
      <x:c r="AH641" s="3"/>
      <x:c r="AI641" s="3"/>
      <x:c r="AJ641" s="3"/>
      <x:c r="AK641" s="3"/>
      <x:c r="AL641" s="3"/>
      <x:c r="AM641" s="3"/>
      <x:c r="AN641" s="3"/>
      <x:c r="AO641" s="3"/>
      <x:c r="AP641" s="3"/>
      <x:c r="AQ641" s="3"/>
      <x:c r="AR641" s="3"/>
      <x:c r="AS641" s="3"/>
      <x:c r="AT641" s="3"/>
      <x:c r="AU641" s="3"/>
      <x:c r="AV641" s="3"/>
      <x:c r="AW641" s="3"/>
      <x:c r="AX641" s="3"/>
      <x:c r="AY641" s="3"/>
      <x:c r="AZ641" s="3" t="str">
        <x:f>IF(AND('中古車掲載'!C642="One2car",'中古車掲載'!F642="ATTO 3",'中古車掲載'!L642="EXTENDED RANGE",'中古車掲載'!J642=2023,ISNUMBER('中古車掲載'!N642),'中古車掲載'!N642&gt;=20000,'中古車掲載'!O642&lt;=100000,'中古車掲載'!AL642=1),'中古車掲載'!U642,"")</x:f>
      </x:c>
      <x:c r="BA641" s="3" t="str">
        <x:f>IF(AND('中古車掲載'!C642="One2car",'中古車掲載'!F642="Corolla Cross",'中古車掲載'!L642="HEV PREMIUM SAFETY",'中古車掲載'!J642=2023,ISNUMBER('中古車掲載'!N642),'中古車掲載'!N642&gt;=20000,'中古車掲載'!O642&lt;=100000,'中古車掲載'!AL642=1,'中古車掲載'!Z642="https://www.one2car.com/en/cars-for-sale/toyota/corolla-cross/year-2023"),'中古車掲載'!U642,"")</x:f>
      </x:c>
      <x:c r="BB641" s="3" t="str">
        <x:f>IF(AND('中古車掲載'!C642="One2car",'中古車掲載'!F642="ATTO 3",'中古車掲載'!L642="EXTENDED RANGE",'中古車掲載'!J642=2023,ISNUMBER('中古車掲載'!N642),'中古車掲載'!N642&gt;=50000,'中古車掲載'!O642&lt;=100000,'中古車掲載'!AL642=1),'中古車掲載'!U642,"")</x:f>
      </x:c>
      <x:c r="BC641" s="3" t="str">
        <x:f>IF(AND('中古車掲載'!C642="One2car",'中古車掲載'!F642="Corolla Cross",'中古車掲載'!L642="HEV PREMIUM SAFETY",'中古車掲載'!J642=2023,ISNUMBER('中古車掲載'!N642),'中古車掲載'!N642&gt;=50000,'中古車掲載'!O642&lt;=100000,'中古車掲載'!AL642=1,'中古車掲載'!Z642="https://www.one2car.com/en/cars-for-sale/toyota/corolla-cross/year-2023"),'中古車掲載'!U642,"")</x:f>
      </x:c>
      <x:c r="BD641" s="3" t="str">
        <x:f>IF(AND('中古車掲載'!C642="One2car",'中古車掲載'!F642="ATTO 3",'中古車掲載'!L642="EXTENDED RANGE",'中古車掲載'!J642=2023,ISNUMBER('中古車掲載'!N642),'中古車掲載'!N642&gt;=20000,'中古車掲載'!O642&lt;=50000,'中古車掲載'!AL642=1),'中古車掲載'!U642,"")</x:f>
      </x:c>
      <x:c r="BE641" s="3" t="str">
        <x:f>IF(AND('中古車掲載'!C642="One2car",'中古車掲載'!F642="Corolla Cross",'中古車掲載'!L642="HEV PREMIUM SAFETY",'中古車掲載'!J642=2023,ISNUMBER('中古車掲載'!N642),'中古車掲載'!N642&gt;=20000,'中古車掲載'!O642&lt;=50000,'中古車掲載'!AL642=1,'中古車掲載'!Z642="https://www.one2car.com/en/cars-for-sale/toyota/corolla-cross/year-2023"),'中古車掲載'!U642,"")</x:f>
      </x:c>
      <x:c r="BF641" s="3" t="str">
        <x:f>IF(AND('中古車掲載'!C642="One2car",'中古車掲載'!F642="Corolla Cross",'中古車掲載'!L642="HEV PREMIUM",'中古車掲載'!J642=2023,ISNUMBER('中古車掲載'!N642),'中古車掲載'!N642&gt;=20000,'中古車掲載'!O642&lt;=100000,'中古車掲載'!AL642=1,'中古車掲載'!Z642="https://www.one2car.com/en/cars-for-sale/toyota/corolla-cross/year-2023"),'中古車掲載'!U642,"")</x:f>
      </x:c>
      <x:c r="BG641" s="3" t="str">
        <x:f>IF(AND('中古車掲載'!C642="One2car",'中古車掲載'!F642="Corolla Cross",'中古車掲載'!L642="HEV GR SPORT",'中古車掲載'!J642=2023,ISNUMBER('中古車掲載'!N642),'中古車掲載'!N642&gt;=20000,'中古車掲載'!O642&lt;=100000,'中古車掲載'!AL642=1,'中古車掲載'!Z642="https://www.one2car.com/en/cars-for-sale/toyota/corolla-cross/year-2023"),'中古車掲載'!U642,"")</x:f>
      </x:c>
      <x:c r="BH641" s="3" t="str">
        <x:f>IF(AND('中古車掲載'!C642="One2car",'中古車掲載'!F642="DOLPHIN",'中古車掲載'!L642="STANDARD RANGE",'中古車掲載'!J642=2023,ISNUMBER('中古車掲載'!N642),'中古車掲載'!N642&gt;=20000,'中古車掲載'!O642&lt;=100000,'中古車掲載'!AL642=1),'中古車掲載'!U642,"")</x:f>
      </x:c>
      <x:c r="BI641" s="3" t="str">
        <x:v>Taladrod|Hilux Champ|ICE|Unknown</x:v>
      </x:c>
      <x:c r="BJ641" s="3" t="n">
        <x:v>642</x:v>
      </x:c>
      <x:c r="BK641" s="3" t="n">
        <x:f>'中古車掲載'!AM642</x:f>
        <x:v>488000</x:v>
      </x:c>
      <x:c r="BL641" s="3" t="str">
        <x:f>IF(ISNUMBER('中古車掲載'!AN642),'中古車掲載'!AN642,"")</x:f>
      </x:c>
      <x:c r="BM641" s="3"/>
      <x:c r="BN641" s="3"/>
      <x:c r="BO641" s="3"/>
      <x:c r="BP641" s="3"/>
      <x:c r="BQ641" s="3"/>
      <x:c r="BR641" s="3"/>
    </x:row>
    <x:row r="642" ht="22" customHeight="1">
      <x:c r="A642" s="3" t="str">
        <x:v>Yaris Ativ</x:v>
      </x:c>
      <x:c r="B642" s="3" t="str">
        <x:v>ICE</x:v>
      </x:c>
      <x:c r="C642" s="3" t="str">
        <x:v>Taladrod</x:v>
      </x:c>
      <x:c r="D642" s="3" t="str">
        <x:v>Sedan</x:v>
      </x:c>
      <x:c r="E642" s="3" t="str"/>
      <x:c r="F642" s="3" t="n">
        <x:v>2022</x:v>
      </x:c>
      <x:c r="G642" s="3" t="str">
        <x:v>PREMIUM</x:v>
      </x:c>
      <x:c r="H642" s="3" t="str">
        <x:v>未掲載</x:v>
      </x:c>
      <x:c r="I642" s="3" t="str">
        <x:v>22-ปัจจุบัน</x:v>
      </x:c>
      <x:c r="J642" s="22" t="n">
        <x:f>COUNT('中古車掲載'!AM972:AM974)</x:f>
        <x:v>3</x:v>
      </x:c>
      <x:c r="K642" s="22" t="n">
        <x:f>IF(COUNT('中古車掲載'!AM972:AM974)=0,"",QUARTILE('中古車掲載'!AM972:AM974,1))</x:f>
        <x:v>412000</x:v>
      </x:c>
      <x:c r="L642" s="22" t="n">
        <x:f>IF(COUNT('中古車掲載'!AM972:AM974)=0,"",MEDIAN('中古車掲載'!AM972:AM974))</x:f>
        <x:v>439000</x:v>
      </x:c>
      <x:c r="M642" s="22" t="n">
        <x:f>IF(COUNT('中古車掲載'!AM972:AM974)=0,"",QUARTILE('中古車掲載'!AM972:AM974,3))</x:f>
        <x:v>462500</x:v>
      </x:c>
      <x:c r="N642" s="22" t="n">
        <x:f>COUNT('中古車掲載'!AN972:AN974)</x:f>
        <x:v>0</x:v>
      </x:c>
      <x:c r="O642" s="23" t="str">
        <x:f>IF(COUNT('中古車掲載'!AN972:AN974)=0,"",MEDIAN('中古車掲載'!AN972:AN974))</x:f>
      </x:c>
      <x:c r="P642" s="3"/>
      <x:c r="Q642" s="3"/>
      <x:c r="R642" s="3"/>
      <x:c r="S642" s="3"/>
      <x:c r="T642" s="3"/>
      <x:c r="U642" s="3"/>
      <x:c r="V642" s="3"/>
      <x:c r="W642" s="3"/>
      <x:c r="X642" s="3"/>
      <x:c r="Y642" s="3"/>
      <x:c r="Z642" s="3"/>
      <x:c r="AA642" s="3"/>
      <x:c r="AB642" s="3"/>
      <x:c r="AC642" s="3"/>
      <x:c r="AD642" s="3"/>
      <x:c r="AE642" s="3"/>
      <x:c r="AF642" s="3"/>
      <x:c r="AG642" s="3"/>
      <x:c r="AH642" s="3"/>
      <x:c r="AI642" s="3"/>
      <x:c r="AJ642" s="3"/>
      <x:c r="AK642" s="3"/>
      <x:c r="AL642" s="3"/>
      <x:c r="AM642" s="3"/>
      <x:c r="AN642" s="3"/>
      <x:c r="AO642" s="3"/>
      <x:c r="AP642" s="3"/>
      <x:c r="AQ642" s="3"/>
      <x:c r="AR642" s="3"/>
      <x:c r="AS642" s="3"/>
      <x:c r="AT642" s="3"/>
      <x:c r="AU642" s="3"/>
      <x:c r="AV642" s="3"/>
      <x:c r="AW642" s="3"/>
      <x:c r="AX642" s="3"/>
      <x:c r="AY642" s="3"/>
      <x:c r="AZ642" s="3" t="str">
        <x:f>IF(AND('中古車掲載'!C643="One2car",'中古車掲載'!F643="ATTO 3",'中古車掲載'!L643="EXTENDED RANGE",'中古車掲載'!J643=2023,ISNUMBER('中古車掲載'!N643),'中古車掲載'!N643&gt;=20000,'中古車掲載'!O643&lt;=100000,'中古車掲載'!AL643=1),'中古車掲載'!U643,"")</x:f>
      </x:c>
      <x:c r="BA642" s="3" t="str">
        <x:f>IF(AND('中古車掲載'!C643="One2car",'中古車掲載'!F643="Corolla Cross",'中古車掲載'!L643="HEV PREMIUM SAFETY",'中古車掲載'!J643=2023,ISNUMBER('中古車掲載'!N643),'中古車掲載'!N643&gt;=20000,'中古車掲載'!O643&lt;=100000,'中古車掲載'!AL643=1,'中古車掲載'!Z643="https://www.one2car.com/en/cars-for-sale/toyota/corolla-cross/year-2023"),'中古車掲載'!U643,"")</x:f>
      </x:c>
      <x:c r="BB642" s="3" t="str">
        <x:f>IF(AND('中古車掲載'!C643="One2car",'中古車掲載'!F643="ATTO 3",'中古車掲載'!L643="EXTENDED RANGE",'中古車掲載'!J643=2023,ISNUMBER('中古車掲載'!N643),'中古車掲載'!N643&gt;=50000,'中古車掲載'!O643&lt;=100000,'中古車掲載'!AL643=1),'中古車掲載'!U643,"")</x:f>
      </x:c>
      <x:c r="BC642" s="3" t="str">
        <x:f>IF(AND('中古車掲載'!C643="One2car",'中古車掲載'!F643="Corolla Cross",'中古車掲載'!L643="HEV PREMIUM SAFETY",'中古車掲載'!J643=2023,ISNUMBER('中古車掲載'!N643),'中古車掲載'!N643&gt;=50000,'中古車掲載'!O643&lt;=100000,'中古車掲載'!AL643=1,'中古車掲載'!Z643="https://www.one2car.com/en/cars-for-sale/toyota/corolla-cross/year-2023"),'中古車掲載'!U643,"")</x:f>
      </x:c>
      <x:c r="BD642" s="3" t="str">
        <x:f>IF(AND('中古車掲載'!C643="One2car",'中古車掲載'!F643="ATTO 3",'中古車掲載'!L643="EXTENDED RANGE",'中古車掲載'!J643=2023,ISNUMBER('中古車掲載'!N643),'中古車掲載'!N643&gt;=20000,'中古車掲載'!O643&lt;=50000,'中古車掲載'!AL643=1),'中古車掲載'!U643,"")</x:f>
      </x:c>
      <x:c r="BE642" s="3" t="str">
        <x:f>IF(AND('中古車掲載'!C643="One2car",'中古車掲載'!F643="Corolla Cross",'中古車掲載'!L643="HEV PREMIUM SAFETY",'中古車掲載'!J643=2023,ISNUMBER('中古車掲載'!N643),'中古車掲載'!N643&gt;=20000,'中古車掲載'!O643&lt;=50000,'中古車掲載'!AL643=1,'中古車掲載'!Z643="https://www.one2car.com/en/cars-for-sale/toyota/corolla-cross/year-2023"),'中古車掲載'!U643,"")</x:f>
      </x:c>
      <x:c r="BF642" s="3" t="str">
        <x:f>IF(AND('中古車掲載'!C643="One2car",'中古車掲載'!F643="Corolla Cross",'中古車掲載'!L643="HEV PREMIUM",'中古車掲載'!J643=2023,ISNUMBER('中古車掲載'!N643),'中古車掲載'!N643&gt;=20000,'中古車掲載'!O643&lt;=100000,'中古車掲載'!AL643=1,'中古車掲載'!Z643="https://www.one2car.com/en/cars-for-sale/toyota/corolla-cross/year-2023"),'中古車掲載'!U643,"")</x:f>
      </x:c>
      <x:c r="BG642" s="3" t="str">
        <x:f>IF(AND('中古車掲載'!C643="One2car",'中古車掲載'!F643="Corolla Cross",'中古車掲載'!L643="HEV GR SPORT",'中古車掲載'!J643=2023,ISNUMBER('中古車掲載'!N643),'中古車掲載'!N643&gt;=20000,'中古車掲載'!O643&lt;=100000,'中古車掲載'!AL643=1,'中古車掲載'!Z643="https://www.one2car.com/en/cars-for-sale/toyota/corolla-cross/year-2023"),'中古車掲載'!U643,"")</x:f>
      </x:c>
      <x:c r="BH642" s="3" t="str">
        <x:f>IF(AND('中古車掲載'!C643="One2car",'中古車掲載'!F643="DOLPHIN",'中古車掲載'!L643="STANDARD RANGE",'中古車掲載'!J643=2023,ISNUMBER('中古車掲載'!N643),'中古車掲載'!N643&gt;=20000,'中古車掲載'!O643&lt;=100000,'中古車掲載'!AL643=1),'中古車掲載'!U643,"")</x:f>
      </x:c>
      <x:c r="BI642" s="3" t="str">
        <x:v>Taladrod|Hilux Champ|ICE|Unknown</x:v>
      </x:c>
      <x:c r="BJ642" s="3" t="n">
        <x:v>643</x:v>
      </x:c>
      <x:c r="BK642" s="3" t="n">
        <x:f>'中古車掲載'!AM643</x:f>
        <x:v>469000</x:v>
      </x:c>
      <x:c r="BL642" s="3" t="str">
        <x:f>IF(ISNUMBER('中古車掲載'!AN643),'中古車掲載'!AN643,"")</x:f>
      </x:c>
      <x:c r="BM642" s="3"/>
      <x:c r="BN642" s="3"/>
      <x:c r="BO642" s="3"/>
      <x:c r="BP642" s="3"/>
      <x:c r="BQ642" s="3"/>
      <x:c r="BR642" s="3"/>
    </x:row>
    <x:row r="643" ht="22" customHeight="1">
      <x:c r="A643" s="3" t="str">
        <x:v>Yaris Ativ</x:v>
      </x:c>
      <x:c r="B643" s="3" t="str">
        <x:v>ICE</x:v>
      </x:c>
      <x:c r="C643" s="3" t="str">
        <x:v>Taladrod</x:v>
      </x:c>
      <x:c r="D643" s="3" t="str">
        <x:v>Sedan</x:v>
      </x:c>
      <x:c r="E643" s="3" t="str"/>
      <x:c r="F643" s="3" t="n">
        <x:v>2022</x:v>
      </x:c>
      <x:c r="G643" s="3" t="str">
        <x:v>PREMIUM LUXURY</x:v>
      </x:c>
      <x:c r="H643" s="3" t="str">
        <x:v>未掲載</x:v>
      </x:c>
      <x:c r="I643" s="3" t="str">
        <x:v>22-ปัจจุบัน</x:v>
      </x:c>
      <x:c r="J643" s="22" t="n">
        <x:f>COUNT('中古車掲載'!AM975:AM976)</x:f>
        <x:v>2</x:v>
      </x:c>
      <x:c r="K643" s="22" t="n">
        <x:f>IF(COUNT('中古車掲載'!AM975:AM976)=0,"",QUARTILE('中古車掲載'!AM975:AM976,1))</x:f>
        <x:v>456500</x:v>
      </x:c>
      <x:c r="L643" s="22" t="n">
        <x:f>IF(COUNT('中古車掲載'!AM975:AM976)=0,"",MEDIAN('中古車掲載'!AM975:AM976))</x:f>
        <x:v>459000</x:v>
      </x:c>
      <x:c r="M643" s="22" t="n">
        <x:f>IF(COUNT('中古車掲載'!AM975:AM976)=0,"",QUARTILE('中古車掲載'!AM975:AM976,3))</x:f>
        <x:v>461500</x:v>
      </x:c>
      <x:c r="N643" s="22" t="n">
        <x:f>COUNT('中古車掲載'!AN975:AN976)</x:f>
        <x:v>0</x:v>
      </x:c>
      <x:c r="O643" s="23" t="str">
        <x:f>IF(COUNT('中古車掲載'!AN975:AN976)=0,"",MEDIAN('中古車掲載'!AN975:AN976))</x:f>
      </x:c>
      <x:c r="P643" s="3"/>
      <x:c r="Q643" s="3"/>
      <x:c r="R643" s="3"/>
      <x:c r="S643" s="3"/>
      <x:c r="T643" s="3"/>
      <x:c r="U643" s="3"/>
      <x:c r="V643" s="3"/>
      <x:c r="W643" s="3"/>
      <x:c r="X643" s="3"/>
      <x:c r="Y643" s="3"/>
      <x:c r="Z643" s="3"/>
      <x:c r="AA643" s="3"/>
      <x:c r="AB643" s="3"/>
      <x:c r="AC643" s="3"/>
      <x:c r="AD643" s="3"/>
      <x:c r="AE643" s="3"/>
      <x:c r="AF643" s="3"/>
      <x:c r="AG643" s="3"/>
      <x:c r="AH643" s="3"/>
      <x:c r="AI643" s="3"/>
      <x:c r="AJ643" s="3"/>
      <x:c r="AK643" s="3"/>
      <x:c r="AL643" s="3"/>
      <x:c r="AM643" s="3"/>
      <x:c r="AN643" s="3"/>
      <x:c r="AO643" s="3"/>
      <x:c r="AP643" s="3"/>
      <x:c r="AQ643" s="3"/>
      <x:c r="AR643" s="3"/>
      <x:c r="AS643" s="3"/>
      <x:c r="AT643" s="3"/>
      <x:c r="AU643" s="3"/>
      <x:c r="AV643" s="3"/>
      <x:c r="AW643" s="3"/>
      <x:c r="AX643" s="3"/>
      <x:c r="AY643" s="3"/>
      <x:c r="AZ643" s="3" t="str">
        <x:f>IF(AND('中古車掲載'!C644="One2car",'中古車掲載'!F644="ATTO 3",'中古車掲載'!L644="EXTENDED RANGE",'中古車掲載'!J644=2023,ISNUMBER('中古車掲載'!N644),'中古車掲載'!N644&gt;=20000,'中古車掲載'!O644&lt;=100000,'中古車掲載'!AL644=1),'中古車掲載'!U644,"")</x:f>
      </x:c>
      <x:c r="BA643" s="3" t="str">
        <x:f>IF(AND('中古車掲載'!C644="One2car",'中古車掲載'!F644="Corolla Cross",'中古車掲載'!L644="HEV PREMIUM SAFETY",'中古車掲載'!J644=2023,ISNUMBER('中古車掲載'!N644),'中古車掲載'!N644&gt;=20000,'中古車掲載'!O644&lt;=100000,'中古車掲載'!AL644=1,'中古車掲載'!Z644="https://www.one2car.com/en/cars-for-sale/toyota/corolla-cross/year-2023"),'中古車掲載'!U644,"")</x:f>
      </x:c>
      <x:c r="BB643" s="3" t="str">
        <x:f>IF(AND('中古車掲載'!C644="One2car",'中古車掲載'!F644="ATTO 3",'中古車掲載'!L644="EXTENDED RANGE",'中古車掲載'!J644=2023,ISNUMBER('中古車掲載'!N644),'中古車掲載'!N644&gt;=50000,'中古車掲載'!O644&lt;=100000,'中古車掲載'!AL644=1),'中古車掲載'!U644,"")</x:f>
      </x:c>
      <x:c r="BC643" s="3" t="str">
        <x:f>IF(AND('中古車掲載'!C644="One2car",'中古車掲載'!F644="Corolla Cross",'中古車掲載'!L644="HEV PREMIUM SAFETY",'中古車掲載'!J644=2023,ISNUMBER('中古車掲載'!N644),'中古車掲載'!N644&gt;=50000,'中古車掲載'!O644&lt;=100000,'中古車掲載'!AL644=1,'中古車掲載'!Z644="https://www.one2car.com/en/cars-for-sale/toyota/corolla-cross/year-2023"),'中古車掲載'!U644,"")</x:f>
      </x:c>
      <x:c r="BD643" s="3" t="str">
        <x:f>IF(AND('中古車掲載'!C644="One2car",'中古車掲載'!F644="ATTO 3",'中古車掲載'!L644="EXTENDED RANGE",'中古車掲載'!J644=2023,ISNUMBER('中古車掲載'!N644),'中古車掲載'!N644&gt;=20000,'中古車掲載'!O644&lt;=50000,'中古車掲載'!AL644=1),'中古車掲載'!U644,"")</x:f>
      </x:c>
      <x:c r="BE643" s="3" t="str">
        <x:f>IF(AND('中古車掲載'!C644="One2car",'中古車掲載'!F644="Corolla Cross",'中古車掲載'!L644="HEV PREMIUM SAFETY",'中古車掲載'!J644=2023,ISNUMBER('中古車掲載'!N644),'中古車掲載'!N644&gt;=20000,'中古車掲載'!O644&lt;=50000,'中古車掲載'!AL644=1,'中古車掲載'!Z644="https://www.one2car.com/en/cars-for-sale/toyota/corolla-cross/year-2023"),'中古車掲載'!U644,"")</x:f>
      </x:c>
      <x:c r="BF643" s="3" t="str">
        <x:f>IF(AND('中古車掲載'!C644="One2car",'中古車掲載'!F644="Corolla Cross",'中古車掲載'!L644="HEV PREMIUM",'中古車掲載'!J644=2023,ISNUMBER('中古車掲載'!N644),'中古車掲載'!N644&gt;=20000,'中古車掲載'!O644&lt;=100000,'中古車掲載'!AL644=1,'中古車掲載'!Z644="https://www.one2car.com/en/cars-for-sale/toyota/corolla-cross/year-2023"),'中古車掲載'!U644,"")</x:f>
      </x:c>
      <x:c r="BG643" s="3" t="str">
        <x:f>IF(AND('中古車掲載'!C644="One2car",'中古車掲載'!F644="Corolla Cross",'中古車掲載'!L644="HEV GR SPORT",'中古車掲載'!J644=2023,ISNUMBER('中古車掲載'!N644),'中古車掲載'!N644&gt;=20000,'中古車掲載'!O644&lt;=100000,'中古車掲載'!AL644=1,'中古車掲載'!Z644="https://www.one2car.com/en/cars-for-sale/toyota/corolla-cross/year-2023"),'中古車掲載'!U644,"")</x:f>
      </x:c>
      <x:c r="BH643" s="3" t="str">
        <x:f>IF(AND('中古車掲載'!C644="One2car",'中古車掲載'!F644="DOLPHIN",'中古車掲載'!L644="STANDARD RANGE",'中古車掲載'!J644=2023,ISNUMBER('中古車掲載'!N644),'中古車掲載'!N644&gt;=20000,'中古車掲載'!O644&lt;=100000,'中古車掲載'!AL644=1),'中古車掲載'!U644,"")</x:f>
      </x:c>
      <x:c r="BI643" s="3" t="str">
        <x:v>Taladrod|Hilux Champ|ICE|Unknown</x:v>
      </x:c>
      <x:c r="BJ643" s="3" t="n">
        <x:v>644</x:v>
      </x:c>
      <x:c r="BK643" s="3" t="n">
        <x:f>'中古車掲載'!AM644</x:f>
        <x:v>469000</x:v>
      </x:c>
      <x:c r="BL643" s="3" t="str">
        <x:f>IF(ISNUMBER('中古車掲載'!AN644),'中古車掲載'!AN644,"")</x:f>
      </x:c>
      <x:c r="BM643" s="3"/>
      <x:c r="BN643" s="3"/>
      <x:c r="BO643" s="3"/>
      <x:c r="BP643" s="3"/>
      <x:c r="BQ643" s="3"/>
      <x:c r="BR643" s="3"/>
    </x:row>
    <x:row r="644" ht="22" customHeight="1">
      <x:c r="A644" s="3" t="str">
        <x:v>Yaris Ativ</x:v>
      </x:c>
      <x:c r="B644" s="3" t="str">
        <x:v>ICE</x:v>
      </x:c>
      <x:c r="C644" s="3" t="str">
        <x:v>Taladrod</x:v>
      </x:c>
      <x:c r="D644" s="3" t="str">
        <x:v>Sedan</x:v>
      </x:c>
      <x:c r="E644" s="3" t="str"/>
      <x:c r="F644" s="3" t="n">
        <x:v>2022</x:v>
      </x:c>
      <x:c r="G644" s="3" t="str">
        <x:v>SMART</x:v>
      </x:c>
      <x:c r="H644" s="3" t="str">
        <x:v>未掲載</x:v>
      </x:c>
      <x:c r="I644" s="3" t="str">
        <x:v>22-ปัจจุบัน</x:v>
      </x:c>
      <x:c r="J644" s="22" t="n">
        <x:f>COUNT('中古車掲載'!AM977:AM979)</x:f>
        <x:v>3</x:v>
      </x:c>
      <x:c r="K644" s="22" t="n">
        <x:f>IF(COUNT('中古車掲載'!AM977:AM979)=0,"",QUARTILE('中古車掲載'!AM977:AM979,1))</x:f>
        <x:v>402000</x:v>
      </x:c>
      <x:c r="L644" s="22" t="n">
        <x:f>IF(COUNT('中古車掲載'!AM977:AM979)=0,"",MEDIAN('中古車掲載'!AM977:AM979))</x:f>
        <x:v>409000</x:v>
      </x:c>
      <x:c r="M644" s="22" t="n">
        <x:f>IF(COUNT('中古車掲載'!AM977:AM979)=0,"",QUARTILE('中古車掲載'!AM977:AM979,3))</x:f>
        <x:v>419000</x:v>
      </x:c>
      <x:c r="N644" s="22" t="n">
        <x:f>COUNT('中古車掲載'!AN977:AN979)</x:f>
        <x:v>0</x:v>
      </x:c>
      <x:c r="O644" s="23" t="str">
        <x:f>IF(COUNT('中古車掲載'!AN977:AN979)=0,"",MEDIAN('中古車掲載'!AN977:AN979))</x:f>
      </x:c>
      <x:c r="P644" s="3"/>
      <x:c r="Q644" s="3"/>
      <x:c r="R644" s="3"/>
      <x:c r="S644" s="3"/>
      <x:c r="T644" s="3"/>
      <x:c r="U644" s="3"/>
      <x:c r="V644" s="3"/>
      <x:c r="W644" s="3"/>
      <x:c r="X644" s="3"/>
      <x:c r="Y644" s="3"/>
      <x:c r="Z644" s="3"/>
      <x:c r="AA644" s="3"/>
      <x:c r="AB644" s="3"/>
      <x:c r="AC644" s="3"/>
      <x:c r="AD644" s="3"/>
      <x:c r="AE644" s="3"/>
      <x:c r="AF644" s="3"/>
      <x:c r="AG644" s="3"/>
      <x:c r="AH644" s="3"/>
      <x:c r="AI644" s="3"/>
      <x:c r="AJ644" s="3"/>
      <x:c r="AK644" s="3"/>
      <x:c r="AL644" s="3"/>
      <x:c r="AM644" s="3"/>
      <x:c r="AN644" s="3"/>
      <x:c r="AO644" s="3"/>
      <x:c r="AP644" s="3"/>
      <x:c r="AQ644" s="3"/>
      <x:c r="AR644" s="3"/>
      <x:c r="AS644" s="3"/>
      <x:c r="AT644" s="3"/>
      <x:c r="AU644" s="3"/>
      <x:c r="AV644" s="3"/>
      <x:c r="AW644" s="3"/>
      <x:c r="AX644" s="3"/>
      <x:c r="AY644" s="3"/>
      <x:c r="AZ644" s="3" t="str">
        <x:f>IF(AND('中古車掲載'!C645="One2car",'中古車掲載'!F645="ATTO 3",'中古車掲載'!L645="EXTENDED RANGE",'中古車掲載'!J645=2023,ISNUMBER('中古車掲載'!N645),'中古車掲載'!N645&gt;=20000,'中古車掲載'!O645&lt;=100000,'中古車掲載'!AL645=1),'中古車掲載'!U645,"")</x:f>
      </x:c>
      <x:c r="BA644" s="3" t="str">
        <x:f>IF(AND('中古車掲載'!C645="One2car",'中古車掲載'!F645="Corolla Cross",'中古車掲載'!L645="HEV PREMIUM SAFETY",'中古車掲載'!J645=2023,ISNUMBER('中古車掲載'!N645),'中古車掲載'!N645&gt;=20000,'中古車掲載'!O645&lt;=100000,'中古車掲載'!AL645=1,'中古車掲載'!Z645="https://www.one2car.com/en/cars-for-sale/toyota/corolla-cross/year-2023"),'中古車掲載'!U645,"")</x:f>
      </x:c>
      <x:c r="BB644" s="3" t="str">
        <x:f>IF(AND('中古車掲載'!C645="One2car",'中古車掲載'!F645="ATTO 3",'中古車掲載'!L645="EXTENDED RANGE",'中古車掲載'!J645=2023,ISNUMBER('中古車掲載'!N645),'中古車掲載'!N645&gt;=50000,'中古車掲載'!O645&lt;=100000,'中古車掲載'!AL645=1),'中古車掲載'!U645,"")</x:f>
      </x:c>
      <x:c r="BC644" s="3" t="str">
        <x:f>IF(AND('中古車掲載'!C645="One2car",'中古車掲載'!F645="Corolla Cross",'中古車掲載'!L645="HEV PREMIUM SAFETY",'中古車掲載'!J645=2023,ISNUMBER('中古車掲載'!N645),'中古車掲載'!N645&gt;=50000,'中古車掲載'!O645&lt;=100000,'中古車掲載'!AL645=1,'中古車掲載'!Z645="https://www.one2car.com/en/cars-for-sale/toyota/corolla-cross/year-2023"),'中古車掲載'!U645,"")</x:f>
      </x:c>
      <x:c r="BD644" s="3" t="str">
        <x:f>IF(AND('中古車掲載'!C645="One2car",'中古車掲載'!F645="ATTO 3",'中古車掲載'!L645="EXTENDED RANGE",'中古車掲載'!J645=2023,ISNUMBER('中古車掲載'!N645),'中古車掲載'!N645&gt;=20000,'中古車掲載'!O645&lt;=50000,'中古車掲載'!AL645=1),'中古車掲載'!U645,"")</x:f>
      </x:c>
      <x:c r="BE644" s="3" t="str">
        <x:f>IF(AND('中古車掲載'!C645="One2car",'中古車掲載'!F645="Corolla Cross",'中古車掲載'!L645="HEV PREMIUM SAFETY",'中古車掲載'!J645=2023,ISNUMBER('中古車掲載'!N645),'中古車掲載'!N645&gt;=20000,'中古車掲載'!O645&lt;=50000,'中古車掲載'!AL645=1,'中古車掲載'!Z645="https://www.one2car.com/en/cars-for-sale/toyota/corolla-cross/year-2023"),'中古車掲載'!U645,"")</x:f>
      </x:c>
      <x:c r="BF644" s="3" t="str">
        <x:f>IF(AND('中古車掲載'!C645="One2car",'中古車掲載'!F645="Corolla Cross",'中古車掲載'!L645="HEV PREMIUM",'中古車掲載'!J645=2023,ISNUMBER('中古車掲載'!N645),'中古車掲載'!N645&gt;=20000,'中古車掲載'!O645&lt;=100000,'中古車掲載'!AL645=1,'中古車掲載'!Z645="https://www.one2car.com/en/cars-for-sale/toyota/corolla-cross/year-2023"),'中古車掲載'!U645,"")</x:f>
      </x:c>
      <x:c r="BG644" s="3" t="str">
        <x:f>IF(AND('中古車掲載'!C645="One2car",'中古車掲載'!F645="Corolla Cross",'中古車掲載'!L645="HEV GR SPORT",'中古車掲載'!J645=2023,ISNUMBER('中古車掲載'!N645),'中古車掲載'!N645&gt;=20000,'中古車掲載'!O645&lt;=100000,'中古車掲載'!AL645=1,'中古車掲載'!Z645="https://www.one2car.com/en/cars-for-sale/toyota/corolla-cross/year-2023"),'中古車掲載'!U645,"")</x:f>
      </x:c>
      <x:c r="BH644" s="3" t="str">
        <x:f>IF(AND('中古車掲載'!C645="One2car",'中古車掲載'!F645="DOLPHIN",'中古車掲載'!L645="STANDARD RANGE",'中古車掲載'!J645=2023,ISNUMBER('中古車掲載'!N645),'中古車掲載'!N645&gt;=20000,'中古車掲載'!O645&lt;=100000,'中古車掲載'!AL645=1),'中古車掲載'!U645,"")</x:f>
      </x:c>
      <x:c r="BI644" s="3" t="str">
        <x:v>Taladrod|Hilux Champ|ICE|Unknown</x:v>
      </x:c>
      <x:c r="BJ644" s="3" t="n">
        <x:v>645</x:v>
      </x:c>
      <x:c r="BK644" s="3" t="n">
        <x:f>'中古車掲載'!AM645</x:f>
        <x:v>464000</x:v>
      </x:c>
      <x:c r="BL644" s="3" t="str">
        <x:f>IF(ISNUMBER('中古車掲載'!AN645),'中古車掲載'!AN645,"")</x:f>
      </x:c>
      <x:c r="BM644" s="3"/>
      <x:c r="BN644" s="3"/>
      <x:c r="BO644" s="3"/>
      <x:c r="BP644" s="3"/>
      <x:c r="BQ644" s="3"/>
      <x:c r="BR644" s="3"/>
    </x:row>
    <x:row r="645" ht="22" customHeight="1">
      <x:c r="A645" s="3" t="str">
        <x:v>Yaris Ativ</x:v>
      </x:c>
      <x:c r="B645" s="3" t="str">
        <x:v>ICE</x:v>
      </x:c>
      <x:c r="C645" s="3" t="str">
        <x:v>Taladrod</x:v>
      </x:c>
      <x:c r="D645" s="3" t="str">
        <x:v>Sedan</x:v>
      </x:c>
      <x:c r="E645" s="3" t="str"/>
      <x:c r="F645" s="3" t="n">
        <x:v>2022</x:v>
      </x:c>
      <x:c r="G645" s="3" t="str">
        <x:v>SPORT</x:v>
      </x:c>
      <x:c r="H645" s="3" t="str">
        <x:v>未掲載</x:v>
      </x:c>
      <x:c r="I645" s="3" t="str">
        <x:v>17-22</x:v>
      </x:c>
      <x:c r="J645" s="22" t="n">
        <x:f>COUNT('中古車掲載'!AM980:AM987)</x:f>
        <x:v>8</x:v>
      </x:c>
      <x:c r="K645" s="22" t="n">
        <x:f>IF(COUNT('中古車掲載'!AM980:AM987)=0,"",QUARTILE('中古車掲載'!AM980:AM987,1))</x:f>
        <x:v>349000</x:v>
      </x:c>
      <x:c r="L645" s="22" t="n">
        <x:f>IF(COUNT('中古車掲載'!AM980:AM987)=0,"",MEDIAN('中古車掲載'!AM980:AM987))</x:f>
        <x:v>356500</x:v>
      </x:c>
      <x:c r="M645" s="22" t="n">
        <x:f>IF(COUNT('中古車掲載'!AM980:AM987)=0,"",QUARTILE('中古車掲載'!AM980:AM987,3))</x:f>
        <x:v>362250</x:v>
      </x:c>
      <x:c r="N645" s="22" t="n">
        <x:f>COUNT('中古車掲載'!AN980:AN987)</x:f>
        <x:v>0</x:v>
      </x:c>
      <x:c r="O645" s="23" t="str">
        <x:f>IF(COUNT('中古車掲載'!AN980:AN987)=0,"",MEDIAN('中古車掲載'!AN980:AN987))</x:f>
      </x:c>
      <x:c r="P645" s="3"/>
      <x:c r="Q645" s="3"/>
      <x:c r="R645" s="3"/>
      <x:c r="S645" s="3"/>
      <x:c r="T645" s="3"/>
      <x:c r="U645" s="3"/>
      <x:c r="V645" s="3"/>
      <x:c r="W645" s="3"/>
      <x:c r="X645" s="3"/>
      <x:c r="Y645" s="3"/>
      <x:c r="Z645" s="3"/>
      <x:c r="AA645" s="3"/>
      <x:c r="AB645" s="3"/>
      <x:c r="AC645" s="3"/>
      <x:c r="AD645" s="3"/>
      <x:c r="AE645" s="3"/>
      <x:c r="AF645" s="3"/>
      <x:c r="AG645" s="3"/>
      <x:c r="AH645" s="3"/>
      <x:c r="AI645" s="3"/>
      <x:c r="AJ645" s="3"/>
      <x:c r="AK645" s="3"/>
      <x:c r="AL645" s="3"/>
      <x:c r="AM645" s="3"/>
      <x:c r="AN645" s="3"/>
      <x:c r="AO645" s="3"/>
      <x:c r="AP645" s="3"/>
      <x:c r="AQ645" s="3"/>
      <x:c r="AR645" s="3"/>
      <x:c r="AS645" s="3"/>
      <x:c r="AT645" s="3"/>
      <x:c r="AU645" s="3"/>
      <x:c r="AV645" s="3"/>
      <x:c r="AW645" s="3"/>
      <x:c r="AX645" s="3"/>
      <x:c r="AY645" s="3"/>
      <x:c r="AZ645" s="3" t="str">
        <x:f>IF(AND('中古車掲載'!C646="One2car",'中古車掲載'!F646="ATTO 3",'中古車掲載'!L646="EXTENDED RANGE",'中古車掲載'!J646=2023,ISNUMBER('中古車掲載'!N646),'中古車掲載'!N646&gt;=20000,'中古車掲載'!O646&lt;=100000,'中古車掲載'!AL646=1),'中古車掲載'!U646,"")</x:f>
      </x:c>
      <x:c r="BA645" s="3" t="str">
        <x:f>IF(AND('中古車掲載'!C646="One2car",'中古車掲載'!F646="Corolla Cross",'中古車掲載'!L646="HEV PREMIUM SAFETY",'中古車掲載'!J646=2023,ISNUMBER('中古車掲載'!N646),'中古車掲載'!N646&gt;=20000,'中古車掲載'!O646&lt;=100000,'中古車掲載'!AL646=1,'中古車掲載'!Z646="https://www.one2car.com/en/cars-for-sale/toyota/corolla-cross/year-2023"),'中古車掲載'!U646,"")</x:f>
      </x:c>
      <x:c r="BB645" s="3" t="str">
        <x:f>IF(AND('中古車掲載'!C646="One2car",'中古車掲載'!F646="ATTO 3",'中古車掲載'!L646="EXTENDED RANGE",'中古車掲載'!J646=2023,ISNUMBER('中古車掲載'!N646),'中古車掲載'!N646&gt;=50000,'中古車掲載'!O646&lt;=100000,'中古車掲載'!AL646=1),'中古車掲載'!U646,"")</x:f>
      </x:c>
      <x:c r="BC645" s="3" t="str">
        <x:f>IF(AND('中古車掲載'!C646="One2car",'中古車掲載'!F646="Corolla Cross",'中古車掲載'!L646="HEV PREMIUM SAFETY",'中古車掲載'!J646=2023,ISNUMBER('中古車掲載'!N646),'中古車掲載'!N646&gt;=50000,'中古車掲載'!O646&lt;=100000,'中古車掲載'!AL646=1,'中古車掲載'!Z646="https://www.one2car.com/en/cars-for-sale/toyota/corolla-cross/year-2023"),'中古車掲載'!U646,"")</x:f>
      </x:c>
      <x:c r="BD645" s="3" t="str">
        <x:f>IF(AND('中古車掲載'!C646="One2car",'中古車掲載'!F646="ATTO 3",'中古車掲載'!L646="EXTENDED RANGE",'中古車掲載'!J646=2023,ISNUMBER('中古車掲載'!N646),'中古車掲載'!N646&gt;=20000,'中古車掲載'!O646&lt;=50000,'中古車掲載'!AL646=1),'中古車掲載'!U646,"")</x:f>
      </x:c>
      <x:c r="BE645" s="3" t="str">
        <x:f>IF(AND('中古車掲載'!C646="One2car",'中古車掲載'!F646="Corolla Cross",'中古車掲載'!L646="HEV PREMIUM SAFETY",'中古車掲載'!J646=2023,ISNUMBER('中古車掲載'!N646),'中古車掲載'!N646&gt;=20000,'中古車掲載'!O646&lt;=50000,'中古車掲載'!AL646=1,'中古車掲載'!Z646="https://www.one2car.com/en/cars-for-sale/toyota/corolla-cross/year-2023"),'中古車掲載'!U646,"")</x:f>
      </x:c>
      <x:c r="BF645" s="3" t="str">
        <x:f>IF(AND('中古車掲載'!C646="One2car",'中古車掲載'!F646="Corolla Cross",'中古車掲載'!L646="HEV PREMIUM",'中古車掲載'!J646=2023,ISNUMBER('中古車掲載'!N646),'中古車掲載'!N646&gt;=20000,'中古車掲載'!O646&lt;=100000,'中古車掲載'!AL646=1,'中古車掲載'!Z646="https://www.one2car.com/en/cars-for-sale/toyota/corolla-cross/year-2023"),'中古車掲載'!U646,"")</x:f>
      </x:c>
      <x:c r="BG645" s="3" t="str">
        <x:f>IF(AND('中古車掲載'!C646="One2car",'中古車掲載'!F646="Corolla Cross",'中古車掲載'!L646="HEV GR SPORT",'中古車掲載'!J646=2023,ISNUMBER('中古車掲載'!N646),'中古車掲載'!N646&gt;=20000,'中古車掲載'!O646&lt;=100000,'中古車掲載'!AL646=1,'中古車掲載'!Z646="https://www.one2car.com/en/cars-for-sale/toyota/corolla-cross/year-2023"),'中古車掲載'!U646,"")</x:f>
      </x:c>
      <x:c r="BH645" s="3" t="str">
        <x:f>IF(AND('中古車掲載'!C646="One2car",'中古車掲載'!F646="DOLPHIN",'中古車掲載'!L646="STANDARD RANGE",'中古車掲載'!J646=2023,ISNUMBER('中古車掲載'!N646),'中古車掲載'!N646&gt;=20000,'中古車掲載'!O646&lt;=100000,'中古車掲載'!AL646=1),'中古車掲載'!U646,"")</x:f>
      </x:c>
      <x:c r="BI645" s="3" t="str">
        <x:v>Taladrod|Hilux Champ|ICE|Unknown</x:v>
      </x:c>
      <x:c r="BJ645" s="3" t="n">
        <x:v>646</x:v>
      </x:c>
      <x:c r="BK645" s="3" t="n">
        <x:f>'中古車掲載'!AM646</x:f>
        <x:v>464000</x:v>
      </x:c>
      <x:c r="BL645" s="3" t="str">
        <x:f>IF(ISNUMBER('中古車掲載'!AN646),'中古車掲載'!AN646,"")</x:f>
      </x:c>
      <x:c r="BM645" s="3"/>
      <x:c r="BN645" s="3"/>
      <x:c r="BO645" s="3"/>
      <x:c r="BP645" s="3"/>
      <x:c r="BQ645" s="3"/>
      <x:c r="BR645" s="3"/>
    </x:row>
    <x:row r="646" ht="22" customHeight="1">
      <x:c r="A646" s="3" t="str">
        <x:v>Yaris Ativ</x:v>
      </x:c>
      <x:c r="B646" s="3" t="str">
        <x:v>ICE</x:v>
      </x:c>
      <x:c r="C646" s="3" t="str">
        <x:v>Taladrod</x:v>
      </x:c>
      <x:c r="D646" s="3" t="str">
        <x:v>Sedan</x:v>
      </x:c>
      <x:c r="E646" s="3" t="str"/>
      <x:c r="F646" s="3" t="n">
        <x:v>2022</x:v>
      </x:c>
      <x:c r="G646" s="3" t="str">
        <x:v>SPORT</x:v>
      </x:c>
      <x:c r="H646" s="3" t="str">
        <x:v>未掲載</x:v>
      </x:c>
      <x:c r="I646" s="3" t="str">
        <x:v>22-ปัจจุบัน</x:v>
      </x:c>
      <x:c r="J646" s="22" t="n">
        <x:f>COUNT('中古車掲載'!AM988:AM992)</x:f>
        <x:v>5</x:v>
      </x:c>
      <x:c r="K646" s="22" t="n">
        <x:f>IF(COUNT('中古車掲載'!AM988:AM992)=0,"",QUARTILE('中古車掲載'!AM988:AM992,1))</x:f>
        <x:v>374000</x:v>
      </x:c>
      <x:c r="L646" s="22" t="n">
        <x:f>IF(COUNT('中古車掲載'!AM988:AM992)=0,"",MEDIAN('中古車掲載'!AM988:AM992))</x:f>
        <x:v>419000</x:v>
      </x:c>
      <x:c r="M646" s="22" t="n">
        <x:f>IF(COUNT('中古車掲載'!AM988:AM992)=0,"",QUARTILE('中古車掲載'!AM988:AM992,3))</x:f>
        <x:v>425000</x:v>
      </x:c>
      <x:c r="N646" s="22" t="n">
        <x:f>COUNT('中古車掲載'!AN988:AN992)</x:f>
        <x:v>0</x:v>
      </x:c>
      <x:c r="O646" s="23" t="str">
        <x:f>IF(COUNT('中古車掲載'!AN988:AN992)=0,"",MEDIAN('中古車掲載'!AN988:AN992))</x:f>
      </x:c>
      <x:c r="P646" s="3"/>
      <x:c r="Q646" s="3"/>
      <x:c r="R646" s="3"/>
      <x:c r="S646" s="3"/>
      <x:c r="T646" s="3"/>
      <x:c r="U646" s="3"/>
      <x:c r="V646" s="3"/>
      <x:c r="W646" s="3"/>
      <x:c r="X646" s="3"/>
      <x:c r="Y646" s="3"/>
      <x:c r="Z646" s="3"/>
      <x:c r="AA646" s="3"/>
      <x:c r="AB646" s="3"/>
      <x:c r="AC646" s="3"/>
      <x:c r="AD646" s="3"/>
      <x:c r="AE646" s="3"/>
      <x:c r="AF646" s="3"/>
      <x:c r="AG646" s="3"/>
      <x:c r="AH646" s="3"/>
      <x:c r="AI646" s="3"/>
      <x:c r="AJ646" s="3"/>
      <x:c r="AK646" s="3"/>
      <x:c r="AL646" s="3"/>
      <x:c r="AM646" s="3"/>
      <x:c r="AN646" s="3"/>
      <x:c r="AO646" s="3"/>
      <x:c r="AP646" s="3"/>
      <x:c r="AQ646" s="3"/>
      <x:c r="AR646" s="3"/>
      <x:c r="AS646" s="3"/>
      <x:c r="AT646" s="3"/>
      <x:c r="AU646" s="3"/>
      <x:c r="AV646" s="3"/>
      <x:c r="AW646" s="3"/>
      <x:c r="AX646" s="3"/>
      <x:c r="AY646" s="3"/>
      <x:c r="AZ646" s="3" t="str">
        <x:f>IF(AND('中古車掲載'!C647="One2car",'中古車掲載'!F647="ATTO 3",'中古車掲載'!L647="EXTENDED RANGE",'中古車掲載'!J647=2023,ISNUMBER('中古車掲載'!N647),'中古車掲載'!N647&gt;=20000,'中古車掲載'!O647&lt;=100000,'中古車掲載'!AL647=1),'中古車掲載'!U647,"")</x:f>
      </x:c>
      <x:c r="BA646" s="3" t="str">
        <x:f>IF(AND('中古車掲載'!C647="One2car",'中古車掲載'!F647="Corolla Cross",'中古車掲載'!L647="HEV PREMIUM SAFETY",'中古車掲載'!J647=2023,ISNUMBER('中古車掲載'!N647),'中古車掲載'!N647&gt;=20000,'中古車掲載'!O647&lt;=100000,'中古車掲載'!AL647=1,'中古車掲載'!Z647="https://www.one2car.com/en/cars-for-sale/toyota/corolla-cross/year-2023"),'中古車掲載'!U647,"")</x:f>
      </x:c>
      <x:c r="BB646" s="3" t="str">
        <x:f>IF(AND('中古車掲載'!C647="One2car",'中古車掲載'!F647="ATTO 3",'中古車掲載'!L647="EXTENDED RANGE",'中古車掲載'!J647=2023,ISNUMBER('中古車掲載'!N647),'中古車掲載'!N647&gt;=50000,'中古車掲載'!O647&lt;=100000,'中古車掲載'!AL647=1),'中古車掲載'!U647,"")</x:f>
      </x:c>
      <x:c r="BC646" s="3" t="str">
        <x:f>IF(AND('中古車掲載'!C647="One2car",'中古車掲載'!F647="Corolla Cross",'中古車掲載'!L647="HEV PREMIUM SAFETY",'中古車掲載'!J647=2023,ISNUMBER('中古車掲載'!N647),'中古車掲載'!N647&gt;=50000,'中古車掲載'!O647&lt;=100000,'中古車掲載'!AL647=1,'中古車掲載'!Z647="https://www.one2car.com/en/cars-for-sale/toyota/corolla-cross/year-2023"),'中古車掲載'!U647,"")</x:f>
      </x:c>
      <x:c r="BD646" s="3" t="str">
        <x:f>IF(AND('中古車掲載'!C647="One2car",'中古車掲載'!F647="ATTO 3",'中古車掲載'!L647="EXTENDED RANGE",'中古車掲載'!J647=2023,ISNUMBER('中古車掲載'!N647),'中古車掲載'!N647&gt;=20000,'中古車掲載'!O647&lt;=50000,'中古車掲載'!AL647=1),'中古車掲載'!U647,"")</x:f>
      </x:c>
      <x:c r="BE646" s="3" t="str">
        <x:f>IF(AND('中古車掲載'!C647="One2car",'中古車掲載'!F647="Corolla Cross",'中古車掲載'!L647="HEV PREMIUM SAFETY",'中古車掲載'!J647=2023,ISNUMBER('中古車掲載'!N647),'中古車掲載'!N647&gt;=20000,'中古車掲載'!O647&lt;=50000,'中古車掲載'!AL647=1,'中古車掲載'!Z647="https://www.one2car.com/en/cars-for-sale/toyota/corolla-cross/year-2023"),'中古車掲載'!U647,"")</x:f>
      </x:c>
      <x:c r="BF646" s="3" t="str">
        <x:f>IF(AND('中古車掲載'!C647="One2car",'中古車掲載'!F647="Corolla Cross",'中古車掲載'!L647="HEV PREMIUM",'中古車掲載'!J647=2023,ISNUMBER('中古車掲載'!N647),'中古車掲載'!N647&gt;=20000,'中古車掲載'!O647&lt;=100000,'中古車掲載'!AL647=1,'中古車掲載'!Z647="https://www.one2car.com/en/cars-for-sale/toyota/corolla-cross/year-2023"),'中古車掲載'!U647,"")</x:f>
      </x:c>
      <x:c r="BG646" s="3" t="str">
        <x:f>IF(AND('中古車掲載'!C647="One2car",'中古車掲載'!F647="Corolla Cross",'中古車掲載'!L647="HEV GR SPORT",'中古車掲載'!J647=2023,ISNUMBER('中古車掲載'!N647),'中古車掲載'!N647&gt;=20000,'中古車掲載'!O647&lt;=100000,'中古車掲載'!AL647=1,'中古車掲載'!Z647="https://www.one2car.com/en/cars-for-sale/toyota/corolla-cross/year-2023"),'中古車掲載'!U647,"")</x:f>
      </x:c>
      <x:c r="BH646" s="3" t="str">
        <x:f>IF(AND('中古車掲載'!C647="One2car",'中古車掲載'!F647="DOLPHIN",'中古車掲載'!L647="STANDARD RANGE",'中古車掲載'!J647=2023,ISNUMBER('中古車掲載'!N647),'中古車掲載'!N647&gt;=20000,'中古車掲載'!O647&lt;=100000,'中古車掲載'!AL647=1),'中古車掲載'!U647,"")</x:f>
      </x:c>
      <x:c r="BI646" s="3" t="str">
        <x:v>Taladrod|Hilux Champ|ICE|Unknown</x:v>
      </x:c>
      <x:c r="BJ646" s="3" t="n">
        <x:v>647</x:v>
      </x:c>
      <x:c r="BK646" s="3" t="n">
        <x:f>'中古車掲載'!AM647</x:f>
        <x:v>464000</x:v>
      </x:c>
      <x:c r="BL646" s="3" t="str">
        <x:f>IF(ISNUMBER('中古車掲載'!AN647),'中古車掲載'!AN647,"")</x:f>
      </x:c>
      <x:c r="BM646" s="3"/>
      <x:c r="BN646" s="3"/>
      <x:c r="BO646" s="3"/>
      <x:c r="BP646" s="3"/>
      <x:c r="BQ646" s="3"/>
      <x:c r="BR646" s="3"/>
    </x:row>
    <x:row r="647" ht="22" customHeight="1">
      <x:c r="A647" s="3" t="str">
        <x:v>Yaris Ativ</x:v>
      </x:c>
      <x:c r="B647" s="3" t="str">
        <x:v>ICE</x:v>
      </x:c>
      <x:c r="C647" s="3" t="str">
        <x:v>Taladrod</x:v>
      </x:c>
      <x:c r="D647" s="3" t="str">
        <x:v>Sedan</x:v>
      </x:c>
      <x:c r="E647" s="3" t="str"/>
      <x:c r="F647" s="3" t="n">
        <x:v>2023</x:v>
      </x:c>
      <x:c r="G647" s="3" t="str">
        <x:v>PREMIUM</x:v>
      </x:c>
      <x:c r="H647" s="3" t="str">
        <x:v>未掲載</x:v>
      </x:c>
      <x:c r="I647" s="3" t="str">
        <x:v>22-ปัจจุบัน</x:v>
      </x:c>
      <x:c r="J647" s="22" t="n">
        <x:f>COUNT('中古車掲載'!AM993:AM1002)</x:f>
        <x:v>10</x:v>
      </x:c>
      <x:c r="K647" s="22" t="n">
        <x:f>IF(COUNT('中古車掲載'!AM993:AM1002)=0,"",QUARTILE('中古車掲載'!AM993:AM1002,1))</x:f>
        <x:v>459000</x:v>
      </x:c>
      <x:c r="L647" s="22" t="n">
        <x:f>IF(COUNT('中古車掲載'!AM993:AM1002)=0,"",MEDIAN('中古車掲載'!AM993:AM1002))</x:f>
        <x:v>459000</x:v>
      </x:c>
      <x:c r="M647" s="22" t="n">
        <x:f>IF(COUNT('中古車掲載'!AM993:AM1002)=0,"",QUARTILE('中古車掲載'!AM993:AM1002,3))</x:f>
        <x:v>469000</x:v>
      </x:c>
      <x:c r="N647" s="22" t="n">
        <x:f>COUNT('中古車掲載'!AN993:AN1002)</x:f>
        <x:v>0</x:v>
      </x:c>
      <x:c r="O647" s="23" t="str">
        <x:f>IF(COUNT('中古車掲載'!AN993:AN1002)=0,"",MEDIAN('中古車掲載'!AN993:AN1002))</x:f>
      </x:c>
      <x:c r="P647" s="3"/>
      <x:c r="Q647" s="3"/>
      <x:c r="R647" s="3"/>
      <x:c r="S647" s="3"/>
      <x:c r="T647" s="3"/>
      <x:c r="U647" s="3"/>
      <x:c r="V647" s="3"/>
      <x:c r="W647" s="3"/>
      <x:c r="X647" s="3"/>
      <x:c r="Y647" s="3"/>
      <x:c r="Z647" s="3"/>
      <x:c r="AA647" s="3"/>
      <x:c r="AB647" s="3"/>
      <x:c r="AC647" s="3"/>
      <x:c r="AD647" s="3"/>
      <x:c r="AE647" s="3"/>
      <x:c r="AF647" s="3"/>
      <x:c r="AG647" s="3"/>
      <x:c r="AH647" s="3"/>
      <x:c r="AI647" s="3"/>
      <x:c r="AJ647" s="3"/>
      <x:c r="AK647" s="3"/>
      <x:c r="AL647" s="3"/>
      <x:c r="AM647" s="3"/>
      <x:c r="AN647" s="3"/>
      <x:c r="AO647" s="3"/>
      <x:c r="AP647" s="3"/>
      <x:c r="AQ647" s="3"/>
      <x:c r="AR647" s="3"/>
      <x:c r="AS647" s="3"/>
      <x:c r="AT647" s="3"/>
      <x:c r="AU647" s="3"/>
      <x:c r="AV647" s="3"/>
      <x:c r="AW647" s="3"/>
      <x:c r="AX647" s="3"/>
      <x:c r="AY647" s="3"/>
      <x:c r="AZ647" s="3" t="str">
        <x:f>IF(AND('中古車掲載'!C648="One2car",'中古車掲載'!F648="ATTO 3",'中古車掲載'!L648="EXTENDED RANGE",'中古車掲載'!J648=2023,ISNUMBER('中古車掲載'!N648),'中古車掲載'!N648&gt;=20000,'中古車掲載'!O648&lt;=100000,'中古車掲載'!AL648=1),'中古車掲載'!U648,"")</x:f>
      </x:c>
      <x:c r="BA647" s="3" t="str">
        <x:f>IF(AND('中古車掲載'!C648="One2car",'中古車掲載'!F648="Corolla Cross",'中古車掲載'!L648="HEV PREMIUM SAFETY",'中古車掲載'!J648=2023,ISNUMBER('中古車掲載'!N648),'中古車掲載'!N648&gt;=20000,'中古車掲載'!O648&lt;=100000,'中古車掲載'!AL648=1,'中古車掲載'!Z648="https://www.one2car.com/en/cars-for-sale/toyota/corolla-cross/year-2023"),'中古車掲載'!U648,"")</x:f>
      </x:c>
      <x:c r="BB647" s="3" t="str">
        <x:f>IF(AND('中古車掲載'!C648="One2car",'中古車掲載'!F648="ATTO 3",'中古車掲載'!L648="EXTENDED RANGE",'中古車掲載'!J648=2023,ISNUMBER('中古車掲載'!N648),'中古車掲載'!N648&gt;=50000,'中古車掲載'!O648&lt;=100000,'中古車掲載'!AL648=1),'中古車掲載'!U648,"")</x:f>
      </x:c>
      <x:c r="BC647" s="3" t="str">
        <x:f>IF(AND('中古車掲載'!C648="One2car",'中古車掲載'!F648="Corolla Cross",'中古車掲載'!L648="HEV PREMIUM SAFETY",'中古車掲載'!J648=2023,ISNUMBER('中古車掲載'!N648),'中古車掲載'!N648&gt;=50000,'中古車掲載'!O648&lt;=100000,'中古車掲載'!AL648=1,'中古車掲載'!Z648="https://www.one2car.com/en/cars-for-sale/toyota/corolla-cross/year-2023"),'中古車掲載'!U648,"")</x:f>
      </x:c>
      <x:c r="BD647" s="3" t="str">
        <x:f>IF(AND('中古車掲載'!C648="One2car",'中古車掲載'!F648="ATTO 3",'中古車掲載'!L648="EXTENDED RANGE",'中古車掲載'!J648=2023,ISNUMBER('中古車掲載'!N648),'中古車掲載'!N648&gt;=20000,'中古車掲載'!O648&lt;=50000,'中古車掲載'!AL648=1),'中古車掲載'!U648,"")</x:f>
      </x:c>
      <x:c r="BE647" s="3" t="str">
        <x:f>IF(AND('中古車掲載'!C648="One2car",'中古車掲載'!F648="Corolla Cross",'中古車掲載'!L648="HEV PREMIUM SAFETY",'中古車掲載'!J648=2023,ISNUMBER('中古車掲載'!N648),'中古車掲載'!N648&gt;=20000,'中古車掲載'!O648&lt;=50000,'中古車掲載'!AL648=1,'中古車掲載'!Z648="https://www.one2car.com/en/cars-for-sale/toyota/corolla-cross/year-2023"),'中古車掲載'!U648,"")</x:f>
      </x:c>
      <x:c r="BF647" s="3" t="str">
        <x:f>IF(AND('中古車掲載'!C648="One2car",'中古車掲載'!F648="Corolla Cross",'中古車掲載'!L648="HEV PREMIUM",'中古車掲載'!J648=2023,ISNUMBER('中古車掲載'!N648),'中古車掲載'!N648&gt;=20000,'中古車掲載'!O648&lt;=100000,'中古車掲載'!AL648=1,'中古車掲載'!Z648="https://www.one2car.com/en/cars-for-sale/toyota/corolla-cross/year-2023"),'中古車掲載'!U648,"")</x:f>
      </x:c>
      <x:c r="BG647" s="3" t="str">
        <x:f>IF(AND('中古車掲載'!C648="One2car",'中古車掲載'!F648="Corolla Cross",'中古車掲載'!L648="HEV GR SPORT",'中古車掲載'!J648=2023,ISNUMBER('中古車掲載'!N648),'中古車掲載'!N648&gt;=20000,'中古車掲載'!O648&lt;=100000,'中古車掲載'!AL648=1,'中古車掲載'!Z648="https://www.one2car.com/en/cars-for-sale/toyota/corolla-cross/year-2023"),'中古車掲載'!U648,"")</x:f>
      </x:c>
      <x:c r="BH647" s="3" t="str">
        <x:f>IF(AND('中古車掲載'!C648="One2car",'中古車掲載'!F648="DOLPHIN",'中古車掲載'!L648="STANDARD RANGE",'中古車掲載'!J648=2023,ISNUMBER('中古車掲載'!N648),'中古車掲載'!N648&gt;=20000,'中古車掲載'!O648&lt;=100000,'中古車掲載'!AL648=1),'中古車掲載'!U648,"")</x:f>
      </x:c>
      <x:c r="BI647" s="3" t="str">
        <x:v>Taladrod|Hilux Champ|ICE|Unknown</x:v>
      </x:c>
      <x:c r="BJ647" s="3" t="n">
        <x:v>648</x:v>
      </x:c>
      <x:c r="BK647" s="3" t="n">
        <x:f>'中古車掲載'!AM648</x:f>
        <x:v>464000</x:v>
      </x:c>
      <x:c r="BL647" s="3" t="str">
        <x:f>IF(ISNUMBER('中古車掲載'!AN648),'中古車掲載'!AN648,"")</x:f>
      </x:c>
      <x:c r="BM647" s="3"/>
      <x:c r="BN647" s="3"/>
      <x:c r="BO647" s="3"/>
      <x:c r="BP647" s="3"/>
      <x:c r="BQ647" s="3"/>
      <x:c r="BR647" s="3"/>
    </x:row>
    <x:row r="648" ht="22" customHeight="1">
      <x:c r="A648" s="3" t="str">
        <x:v>Yaris Ativ</x:v>
      </x:c>
      <x:c r="B648" s="3" t="str">
        <x:v>ICE</x:v>
      </x:c>
      <x:c r="C648" s="3" t="str">
        <x:v>Taladrod</x:v>
      </x:c>
      <x:c r="D648" s="3" t="str">
        <x:v>Sedan</x:v>
      </x:c>
      <x:c r="E648" s="3" t="str"/>
      <x:c r="F648" s="3" t="n">
        <x:v>2023</x:v>
      </x:c>
      <x:c r="G648" s="3" t="str">
        <x:v>PREMIUM LUXURY</x:v>
      </x:c>
      <x:c r="H648" s="3" t="str">
        <x:v>未掲載</x:v>
      </x:c>
      <x:c r="I648" s="3" t="str">
        <x:v>22-ปัจจุบัน</x:v>
      </x:c>
      <x:c r="J648" s="22" t="n">
        <x:f>COUNT('中古車掲載'!AM1003:AM1015)</x:f>
        <x:v>13</x:v>
      </x:c>
      <x:c r="K648" s="22" t="n">
        <x:f>IF(COUNT('中古車掲載'!AM1003:AM1015)=0,"",QUARTILE('中古車掲載'!AM1003:AM1015,1))</x:f>
        <x:v>479000</x:v>
      </x:c>
      <x:c r="L648" s="22" t="n">
        <x:f>IF(COUNT('中古車掲載'!AM1003:AM1015)=0,"",MEDIAN('中古車掲載'!AM1003:AM1015))</x:f>
        <x:v>484000</x:v>
      </x:c>
      <x:c r="M648" s="22" t="n">
        <x:f>IF(COUNT('中古車掲載'!AM1003:AM1015)=0,"",QUARTILE('中古車掲載'!AM1003:AM1015,3))</x:f>
        <x:v>499000</x:v>
      </x:c>
      <x:c r="N648" s="22" t="n">
        <x:f>COUNT('中古車掲載'!AN1003:AN1015)</x:f>
        <x:v>0</x:v>
      </x:c>
      <x:c r="O648" s="23" t="str">
        <x:f>IF(COUNT('中古車掲載'!AN1003:AN1015)=0,"",MEDIAN('中古車掲載'!AN1003:AN1015))</x:f>
      </x:c>
      <x:c r="P648" s="3"/>
      <x:c r="Q648" s="3"/>
      <x:c r="R648" s="3"/>
      <x:c r="S648" s="3"/>
      <x:c r="T648" s="3"/>
      <x:c r="U648" s="3"/>
      <x:c r="V648" s="3"/>
      <x:c r="W648" s="3"/>
      <x:c r="X648" s="3"/>
      <x:c r="Y648" s="3"/>
      <x:c r="Z648" s="3"/>
      <x:c r="AA648" s="3"/>
      <x:c r="AB648" s="3"/>
      <x:c r="AC648" s="3"/>
      <x:c r="AD648" s="3"/>
      <x:c r="AE648" s="3"/>
      <x:c r="AF648" s="3"/>
      <x:c r="AG648" s="3"/>
      <x:c r="AH648" s="3"/>
      <x:c r="AI648" s="3"/>
      <x:c r="AJ648" s="3"/>
      <x:c r="AK648" s="3"/>
      <x:c r="AL648" s="3"/>
      <x:c r="AM648" s="3"/>
      <x:c r="AN648" s="3"/>
      <x:c r="AO648" s="3"/>
      <x:c r="AP648" s="3"/>
      <x:c r="AQ648" s="3"/>
      <x:c r="AR648" s="3"/>
      <x:c r="AS648" s="3"/>
      <x:c r="AT648" s="3"/>
      <x:c r="AU648" s="3"/>
      <x:c r="AV648" s="3"/>
      <x:c r="AW648" s="3"/>
      <x:c r="AX648" s="3"/>
      <x:c r="AY648" s="3"/>
      <x:c r="AZ648" s="3" t="str">
        <x:f>IF(AND('中古車掲載'!C649="One2car",'中古車掲載'!F649="ATTO 3",'中古車掲載'!L649="EXTENDED RANGE",'中古車掲載'!J649=2023,ISNUMBER('中古車掲載'!N649),'中古車掲載'!N649&gt;=20000,'中古車掲載'!O649&lt;=100000,'中古車掲載'!AL649=1),'中古車掲載'!U649,"")</x:f>
      </x:c>
      <x:c r="BA648" s="3" t="str">
        <x:f>IF(AND('中古車掲載'!C649="One2car",'中古車掲載'!F649="Corolla Cross",'中古車掲載'!L649="HEV PREMIUM SAFETY",'中古車掲載'!J649=2023,ISNUMBER('中古車掲載'!N649),'中古車掲載'!N649&gt;=20000,'中古車掲載'!O649&lt;=100000,'中古車掲載'!AL649=1,'中古車掲載'!Z649="https://www.one2car.com/en/cars-for-sale/toyota/corolla-cross/year-2023"),'中古車掲載'!U649,"")</x:f>
      </x:c>
      <x:c r="BB648" s="3" t="str">
        <x:f>IF(AND('中古車掲載'!C649="One2car",'中古車掲載'!F649="ATTO 3",'中古車掲載'!L649="EXTENDED RANGE",'中古車掲載'!J649=2023,ISNUMBER('中古車掲載'!N649),'中古車掲載'!N649&gt;=50000,'中古車掲載'!O649&lt;=100000,'中古車掲載'!AL649=1),'中古車掲載'!U649,"")</x:f>
      </x:c>
      <x:c r="BC648" s="3" t="str">
        <x:f>IF(AND('中古車掲載'!C649="One2car",'中古車掲載'!F649="Corolla Cross",'中古車掲載'!L649="HEV PREMIUM SAFETY",'中古車掲載'!J649=2023,ISNUMBER('中古車掲載'!N649),'中古車掲載'!N649&gt;=50000,'中古車掲載'!O649&lt;=100000,'中古車掲載'!AL649=1,'中古車掲載'!Z649="https://www.one2car.com/en/cars-for-sale/toyota/corolla-cross/year-2023"),'中古車掲載'!U649,"")</x:f>
      </x:c>
      <x:c r="BD648" s="3" t="str">
        <x:f>IF(AND('中古車掲載'!C649="One2car",'中古車掲載'!F649="ATTO 3",'中古車掲載'!L649="EXTENDED RANGE",'中古車掲載'!J649=2023,ISNUMBER('中古車掲載'!N649),'中古車掲載'!N649&gt;=20000,'中古車掲載'!O649&lt;=50000,'中古車掲載'!AL649=1),'中古車掲載'!U649,"")</x:f>
      </x:c>
      <x:c r="BE648" s="3" t="str">
        <x:f>IF(AND('中古車掲載'!C649="One2car",'中古車掲載'!F649="Corolla Cross",'中古車掲載'!L649="HEV PREMIUM SAFETY",'中古車掲載'!J649=2023,ISNUMBER('中古車掲載'!N649),'中古車掲載'!N649&gt;=20000,'中古車掲載'!O649&lt;=50000,'中古車掲載'!AL649=1,'中古車掲載'!Z649="https://www.one2car.com/en/cars-for-sale/toyota/corolla-cross/year-2023"),'中古車掲載'!U649,"")</x:f>
      </x:c>
      <x:c r="BF648" s="3" t="str">
        <x:f>IF(AND('中古車掲載'!C649="One2car",'中古車掲載'!F649="Corolla Cross",'中古車掲載'!L649="HEV PREMIUM",'中古車掲載'!J649=2023,ISNUMBER('中古車掲載'!N649),'中古車掲載'!N649&gt;=20000,'中古車掲載'!O649&lt;=100000,'中古車掲載'!AL649=1,'中古車掲載'!Z649="https://www.one2car.com/en/cars-for-sale/toyota/corolla-cross/year-2023"),'中古車掲載'!U649,"")</x:f>
      </x:c>
      <x:c r="BG648" s="3" t="str">
        <x:f>IF(AND('中古車掲載'!C649="One2car",'中古車掲載'!F649="Corolla Cross",'中古車掲載'!L649="HEV GR SPORT",'中古車掲載'!J649=2023,ISNUMBER('中古車掲載'!N649),'中古車掲載'!N649&gt;=20000,'中古車掲載'!O649&lt;=100000,'中古車掲載'!AL649=1,'中古車掲載'!Z649="https://www.one2car.com/en/cars-for-sale/toyota/corolla-cross/year-2023"),'中古車掲載'!U649,"")</x:f>
      </x:c>
      <x:c r="BH648" s="3" t="str">
        <x:f>IF(AND('中古車掲載'!C649="One2car",'中古車掲載'!F649="DOLPHIN",'中古車掲載'!L649="STANDARD RANGE",'中古車掲載'!J649=2023,ISNUMBER('中古車掲載'!N649),'中古車掲載'!N649&gt;=20000,'中古車掲載'!O649&lt;=100000,'中古車掲載'!AL649=1),'中古車掲載'!U649,"")</x:f>
      </x:c>
      <x:c r="BI648" s="3" t="str">
        <x:v>Taladrod|Hilux Champ|ICE|Unknown</x:v>
      </x:c>
      <x:c r="BJ648" s="3" t="n">
        <x:v>649</x:v>
      </x:c>
      <x:c r="BK648" s="3" t="n">
        <x:f>'中古車掲載'!AM649</x:f>
        <x:v>550000</x:v>
      </x:c>
      <x:c r="BL648" s="3" t="str">
        <x:f>IF(ISNUMBER('中古車掲載'!AN649),'中古車掲載'!AN649,"")</x:f>
      </x:c>
      <x:c r="BM648" s="3"/>
      <x:c r="BN648" s="3"/>
      <x:c r="BO648" s="3"/>
      <x:c r="BP648" s="3"/>
      <x:c r="BQ648" s="3"/>
      <x:c r="BR648" s="3"/>
    </x:row>
    <x:row r="649" ht="22" customHeight="1">
      <x:c r="A649" s="3" t="str">
        <x:v>Yaris Ativ</x:v>
      </x:c>
      <x:c r="B649" s="3" t="str">
        <x:v>ICE</x:v>
      </x:c>
      <x:c r="C649" s="3" t="str">
        <x:v>Taladrod</x:v>
      </x:c>
      <x:c r="D649" s="3" t="str">
        <x:v>Sedan</x:v>
      </x:c>
      <x:c r="E649" s="3" t="str"/>
      <x:c r="F649" s="3" t="n">
        <x:v>2023</x:v>
      </x:c>
      <x:c r="G649" s="3" t="str">
        <x:v>PREMIUM LUXURY MODELLISTA</x:v>
      </x:c>
      <x:c r="H649" s="3" t="str">
        <x:v>未掲載</x:v>
      </x:c>
      <x:c r="I649" s="3" t="str">
        <x:v>22-ปัจจุบัน</x:v>
      </x:c>
      <x:c r="J649" s="22" t="n">
        <x:f>COUNT('中古車掲載'!AM1016:AM1016)</x:f>
        <x:v>1</x:v>
      </x:c>
      <x:c r="K649" s="22" t="n">
        <x:f>IF(COUNT('中古車掲載'!AM1016:AM1016)=0,"",QUARTILE('中古車掲載'!AM1016:AM1016,1))</x:f>
        <x:v>499000</x:v>
      </x:c>
      <x:c r="L649" s="22" t="n">
        <x:f>IF(COUNT('中古車掲載'!AM1016:AM1016)=0,"",MEDIAN('中古車掲載'!AM1016:AM1016))</x:f>
        <x:v>499000</x:v>
      </x:c>
      <x:c r="M649" s="22" t="n">
        <x:f>IF(COUNT('中古車掲載'!AM1016:AM1016)=0,"",QUARTILE('中古車掲載'!AM1016:AM1016,3))</x:f>
        <x:v>499000</x:v>
      </x:c>
      <x:c r="N649" s="22" t="n">
        <x:f>COUNT('中古車掲載'!AN1016:AN1016)</x:f>
        <x:v>0</x:v>
      </x:c>
      <x:c r="O649" s="23" t="str">
        <x:f>IF(COUNT('中古車掲載'!AN1016:AN1016)=0,"",MEDIAN('中古車掲載'!AN1016:AN1016))</x:f>
      </x:c>
      <x:c r="P649" s="3"/>
      <x:c r="Q649" s="3"/>
      <x:c r="R649" s="3"/>
      <x:c r="S649" s="3"/>
      <x:c r="T649" s="3"/>
      <x:c r="U649" s="3"/>
      <x:c r="V649" s="3"/>
      <x:c r="W649" s="3"/>
      <x:c r="X649" s="3"/>
      <x:c r="Y649" s="3"/>
      <x:c r="Z649" s="3"/>
      <x:c r="AA649" s="3"/>
      <x:c r="AB649" s="3"/>
      <x:c r="AC649" s="3"/>
      <x:c r="AD649" s="3"/>
      <x:c r="AE649" s="3"/>
      <x:c r="AF649" s="3"/>
      <x:c r="AG649" s="3"/>
      <x:c r="AH649" s="3"/>
      <x:c r="AI649" s="3"/>
      <x:c r="AJ649" s="3"/>
      <x:c r="AK649" s="3"/>
      <x:c r="AL649" s="3"/>
      <x:c r="AM649" s="3"/>
      <x:c r="AN649" s="3"/>
      <x:c r="AO649" s="3"/>
      <x:c r="AP649" s="3"/>
      <x:c r="AQ649" s="3"/>
      <x:c r="AR649" s="3"/>
      <x:c r="AS649" s="3"/>
      <x:c r="AT649" s="3"/>
      <x:c r="AU649" s="3"/>
      <x:c r="AV649" s="3"/>
      <x:c r="AW649" s="3"/>
      <x:c r="AX649" s="3"/>
      <x:c r="AY649" s="3"/>
      <x:c r="AZ649" s="3" t="str">
        <x:f>IF(AND('中古車掲載'!C650="One2car",'中古車掲載'!F650="ATTO 3",'中古車掲載'!L650="EXTENDED RANGE",'中古車掲載'!J650=2023,ISNUMBER('中古車掲載'!N650),'中古車掲載'!N650&gt;=20000,'中古車掲載'!O650&lt;=100000,'中古車掲載'!AL650=1),'中古車掲載'!U650,"")</x:f>
      </x:c>
      <x:c r="BA649" s="3" t="str">
        <x:f>IF(AND('中古車掲載'!C650="One2car",'中古車掲載'!F650="Corolla Cross",'中古車掲載'!L650="HEV PREMIUM SAFETY",'中古車掲載'!J650=2023,ISNUMBER('中古車掲載'!N650),'中古車掲載'!N650&gt;=20000,'中古車掲載'!O650&lt;=100000,'中古車掲載'!AL650=1,'中古車掲載'!Z650="https://www.one2car.com/en/cars-for-sale/toyota/corolla-cross/year-2023"),'中古車掲載'!U650,"")</x:f>
      </x:c>
      <x:c r="BB649" s="3" t="str">
        <x:f>IF(AND('中古車掲載'!C650="One2car",'中古車掲載'!F650="ATTO 3",'中古車掲載'!L650="EXTENDED RANGE",'中古車掲載'!J650=2023,ISNUMBER('中古車掲載'!N650),'中古車掲載'!N650&gt;=50000,'中古車掲載'!O650&lt;=100000,'中古車掲載'!AL650=1),'中古車掲載'!U650,"")</x:f>
      </x:c>
      <x:c r="BC649" s="3" t="str">
        <x:f>IF(AND('中古車掲載'!C650="One2car",'中古車掲載'!F650="Corolla Cross",'中古車掲載'!L650="HEV PREMIUM SAFETY",'中古車掲載'!J650=2023,ISNUMBER('中古車掲載'!N650),'中古車掲載'!N650&gt;=50000,'中古車掲載'!O650&lt;=100000,'中古車掲載'!AL650=1,'中古車掲載'!Z650="https://www.one2car.com/en/cars-for-sale/toyota/corolla-cross/year-2023"),'中古車掲載'!U650,"")</x:f>
      </x:c>
      <x:c r="BD649" s="3" t="str">
        <x:f>IF(AND('中古車掲載'!C650="One2car",'中古車掲載'!F650="ATTO 3",'中古車掲載'!L650="EXTENDED RANGE",'中古車掲載'!J650=2023,ISNUMBER('中古車掲載'!N650),'中古車掲載'!N650&gt;=20000,'中古車掲載'!O650&lt;=50000,'中古車掲載'!AL650=1),'中古車掲載'!U650,"")</x:f>
      </x:c>
      <x:c r="BE649" s="3" t="str">
        <x:f>IF(AND('中古車掲載'!C650="One2car",'中古車掲載'!F650="Corolla Cross",'中古車掲載'!L650="HEV PREMIUM SAFETY",'中古車掲載'!J650=2023,ISNUMBER('中古車掲載'!N650),'中古車掲載'!N650&gt;=20000,'中古車掲載'!O650&lt;=50000,'中古車掲載'!AL650=1,'中古車掲載'!Z650="https://www.one2car.com/en/cars-for-sale/toyota/corolla-cross/year-2023"),'中古車掲載'!U650,"")</x:f>
      </x:c>
      <x:c r="BF649" s="3" t="str">
        <x:f>IF(AND('中古車掲載'!C650="One2car",'中古車掲載'!F650="Corolla Cross",'中古車掲載'!L650="HEV PREMIUM",'中古車掲載'!J650=2023,ISNUMBER('中古車掲載'!N650),'中古車掲載'!N650&gt;=20000,'中古車掲載'!O650&lt;=100000,'中古車掲載'!AL650=1,'中古車掲載'!Z650="https://www.one2car.com/en/cars-for-sale/toyota/corolla-cross/year-2023"),'中古車掲載'!U650,"")</x:f>
      </x:c>
      <x:c r="BG649" s="3" t="str">
        <x:f>IF(AND('中古車掲載'!C650="One2car",'中古車掲載'!F650="Corolla Cross",'中古車掲載'!L650="HEV GR SPORT",'中古車掲載'!J650=2023,ISNUMBER('中古車掲載'!N650),'中古車掲載'!N650&gt;=20000,'中古車掲載'!O650&lt;=100000,'中古車掲載'!AL650=1,'中古車掲載'!Z650="https://www.one2car.com/en/cars-for-sale/toyota/corolla-cross/year-2023"),'中古車掲載'!U650,"")</x:f>
      </x:c>
      <x:c r="BH649" s="3" t="str">
        <x:f>IF(AND('中古車掲載'!C650="One2car",'中古車掲載'!F650="DOLPHIN",'中古車掲載'!L650="STANDARD RANGE",'中古車掲載'!J650=2023,ISNUMBER('中古車掲載'!N650),'中古車掲載'!N650&gt;=20000,'中古車掲載'!O650&lt;=100000,'中古車掲載'!AL650=1),'中古車掲載'!U650,"")</x:f>
      </x:c>
      <x:c r="BI649" s="3" t="str">
        <x:v>Taladrod|Hilux Revo|ICE|Unknown</x:v>
      </x:c>
      <x:c r="BJ649" s="3" t="n">
        <x:v>650</x:v>
      </x:c>
      <x:c r="BK649" s="3" t="n">
        <x:f>'中古車掲載'!AM650</x:f>
        <x:v>389000</x:v>
      </x:c>
      <x:c r="BL649" s="3" t="str">
        <x:f>IF(ISNUMBER('中古車掲載'!AN650),'中古車掲載'!AN650,"")</x:f>
      </x:c>
      <x:c r="BM649" s="3"/>
      <x:c r="BN649" s="3"/>
      <x:c r="BO649" s="3"/>
      <x:c r="BP649" s="3"/>
      <x:c r="BQ649" s="3"/>
      <x:c r="BR649" s="3"/>
    </x:row>
    <x:row r="650" ht="22" customHeight="1">
      <x:c r="A650" s="3" t="str">
        <x:v>Yaris Ativ</x:v>
      </x:c>
      <x:c r="B650" s="3" t="str">
        <x:v>ICE</x:v>
      </x:c>
      <x:c r="C650" s="3" t="str">
        <x:v>Taladrod</x:v>
      </x:c>
      <x:c r="D650" s="3" t="str">
        <x:v>Sedan</x:v>
      </x:c>
      <x:c r="E650" s="3" t="str"/>
      <x:c r="F650" s="3" t="n">
        <x:v>2023</x:v>
      </x:c>
      <x:c r="G650" s="3" t="str">
        <x:v>SMART</x:v>
      </x:c>
      <x:c r="H650" s="3" t="str">
        <x:v>未掲載</x:v>
      </x:c>
      <x:c r="I650" s="3" t="str">
        <x:v>22-ปัจจุบัน</x:v>
      </x:c>
      <x:c r="J650" s="22" t="n">
        <x:f>COUNT('中古車掲載'!AM1017:AM1027)</x:f>
        <x:v>11</x:v>
      </x:c>
      <x:c r="K650" s="22" t="n">
        <x:f>IF(COUNT('中古車掲載'!AM1017:AM1027)=0,"",QUARTILE('中古車掲載'!AM1017:AM1027,1))</x:f>
        <x:v>416500</x:v>
      </x:c>
      <x:c r="L650" s="22" t="n">
        <x:f>IF(COUNT('中古車掲載'!AM1017:AM1027)=0,"",MEDIAN('中古車掲載'!AM1017:AM1027))</x:f>
        <x:v>419000</x:v>
      </x:c>
      <x:c r="M650" s="22" t="n">
        <x:f>IF(COUNT('中古車掲載'!AM1017:AM1027)=0,"",QUARTILE('中古車掲載'!AM1017:AM1027,3))</x:f>
        <x:v>431500</x:v>
      </x:c>
      <x:c r="N650" s="22" t="n">
        <x:f>COUNT('中古車掲載'!AN1017:AN1027)</x:f>
        <x:v>0</x:v>
      </x:c>
      <x:c r="O650" s="23" t="str">
        <x:f>IF(COUNT('中古車掲載'!AN1017:AN1027)=0,"",MEDIAN('中古車掲載'!AN1017:AN1027))</x:f>
      </x:c>
      <x:c r="P650" s="3"/>
      <x:c r="Q650" s="3"/>
      <x:c r="R650" s="3"/>
      <x:c r="S650" s="3"/>
      <x:c r="T650" s="3"/>
      <x:c r="U650" s="3"/>
      <x:c r="V650" s="3"/>
      <x:c r="W650" s="3"/>
      <x:c r="X650" s="3"/>
      <x:c r="Y650" s="3"/>
      <x:c r="Z650" s="3"/>
      <x:c r="AA650" s="3"/>
      <x:c r="AB650" s="3"/>
      <x:c r="AC650" s="3"/>
      <x:c r="AD650" s="3"/>
      <x:c r="AE650" s="3"/>
      <x:c r="AF650" s="3"/>
      <x:c r="AG650" s="3"/>
      <x:c r="AH650" s="3"/>
      <x:c r="AI650" s="3"/>
      <x:c r="AJ650" s="3"/>
      <x:c r="AK650" s="3"/>
      <x:c r="AL650" s="3"/>
      <x:c r="AM650" s="3"/>
      <x:c r="AN650" s="3"/>
      <x:c r="AO650" s="3"/>
      <x:c r="AP650" s="3"/>
      <x:c r="AQ650" s="3"/>
      <x:c r="AR650" s="3"/>
      <x:c r="AS650" s="3"/>
      <x:c r="AT650" s="3"/>
      <x:c r="AU650" s="3"/>
      <x:c r="AV650" s="3"/>
      <x:c r="AW650" s="3"/>
      <x:c r="AX650" s="3"/>
      <x:c r="AY650" s="3"/>
      <x:c r="AZ650" s="3" t="str">
        <x:f>IF(AND('中古車掲載'!C651="One2car",'中古車掲載'!F651="ATTO 3",'中古車掲載'!L651="EXTENDED RANGE",'中古車掲載'!J651=2023,ISNUMBER('中古車掲載'!N651),'中古車掲載'!N651&gt;=20000,'中古車掲載'!O651&lt;=100000,'中古車掲載'!AL651=1),'中古車掲載'!U651,"")</x:f>
      </x:c>
      <x:c r="BA650" s="3" t="str">
        <x:f>IF(AND('中古車掲載'!C651="One2car",'中古車掲載'!F651="Corolla Cross",'中古車掲載'!L651="HEV PREMIUM SAFETY",'中古車掲載'!J651=2023,ISNUMBER('中古車掲載'!N651),'中古車掲載'!N651&gt;=20000,'中古車掲載'!O651&lt;=100000,'中古車掲載'!AL651=1,'中古車掲載'!Z651="https://www.one2car.com/en/cars-for-sale/toyota/corolla-cross/year-2023"),'中古車掲載'!U651,"")</x:f>
      </x:c>
      <x:c r="BB650" s="3" t="str">
        <x:f>IF(AND('中古車掲載'!C651="One2car",'中古車掲載'!F651="ATTO 3",'中古車掲載'!L651="EXTENDED RANGE",'中古車掲載'!J651=2023,ISNUMBER('中古車掲載'!N651),'中古車掲載'!N651&gt;=50000,'中古車掲載'!O651&lt;=100000,'中古車掲載'!AL651=1),'中古車掲載'!U651,"")</x:f>
      </x:c>
      <x:c r="BC650" s="3" t="str">
        <x:f>IF(AND('中古車掲載'!C651="One2car",'中古車掲載'!F651="Corolla Cross",'中古車掲載'!L651="HEV PREMIUM SAFETY",'中古車掲載'!J651=2023,ISNUMBER('中古車掲載'!N651),'中古車掲載'!N651&gt;=50000,'中古車掲載'!O651&lt;=100000,'中古車掲載'!AL651=1,'中古車掲載'!Z651="https://www.one2car.com/en/cars-for-sale/toyota/corolla-cross/year-2023"),'中古車掲載'!U651,"")</x:f>
      </x:c>
      <x:c r="BD650" s="3" t="str">
        <x:f>IF(AND('中古車掲載'!C651="One2car",'中古車掲載'!F651="ATTO 3",'中古車掲載'!L651="EXTENDED RANGE",'中古車掲載'!J651=2023,ISNUMBER('中古車掲載'!N651),'中古車掲載'!N651&gt;=20000,'中古車掲載'!O651&lt;=50000,'中古車掲載'!AL651=1),'中古車掲載'!U651,"")</x:f>
      </x:c>
      <x:c r="BE650" s="3" t="str">
        <x:f>IF(AND('中古車掲載'!C651="One2car",'中古車掲載'!F651="Corolla Cross",'中古車掲載'!L651="HEV PREMIUM SAFETY",'中古車掲載'!J651=2023,ISNUMBER('中古車掲載'!N651),'中古車掲載'!N651&gt;=20000,'中古車掲載'!O651&lt;=50000,'中古車掲載'!AL651=1,'中古車掲載'!Z651="https://www.one2car.com/en/cars-for-sale/toyota/corolla-cross/year-2023"),'中古車掲載'!U651,"")</x:f>
      </x:c>
      <x:c r="BF650" s="3" t="str">
        <x:f>IF(AND('中古車掲載'!C651="One2car",'中古車掲載'!F651="Corolla Cross",'中古車掲載'!L651="HEV PREMIUM",'中古車掲載'!J651=2023,ISNUMBER('中古車掲載'!N651),'中古車掲載'!N651&gt;=20000,'中古車掲載'!O651&lt;=100000,'中古車掲載'!AL651=1,'中古車掲載'!Z651="https://www.one2car.com/en/cars-for-sale/toyota/corolla-cross/year-2023"),'中古車掲載'!U651,"")</x:f>
      </x:c>
      <x:c r="BG650" s="3" t="str">
        <x:f>IF(AND('中古車掲載'!C651="One2car",'中古車掲載'!F651="Corolla Cross",'中古車掲載'!L651="HEV GR SPORT",'中古車掲載'!J651=2023,ISNUMBER('中古車掲載'!N651),'中古車掲載'!N651&gt;=20000,'中古車掲載'!O651&lt;=100000,'中古車掲載'!AL651=1,'中古車掲載'!Z651="https://www.one2car.com/en/cars-for-sale/toyota/corolla-cross/year-2023"),'中古車掲載'!U651,"")</x:f>
      </x:c>
      <x:c r="BH650" s="3" t="str">
        <x:f>IF(AND('中古車掲載'!C651="One2car",'中古車掲載'!F651="DOLPHIN",'中古車掲載'!L651="STANDARD RANGE",'中古車掲載'!J651=2023,ISNUMBER('中古車掲載'!N651),'中古車掲載'!N651&gt;=20000,'中古車掲載'!O651&lt;=100000,'中古車掲載'!AL651=1),'中古車掲載'!U651,"")</x:f>
      </x:c>
      <x:c r="BI650" s="3" t="str">
        <x:v>Taladrod|Hilux Revo|ICE|Unknown</x:v>
      </x:c>
      <x:c r="BJ650" s="3" t="n">
        <x:v>651</x:v>
      </x:c>
      <x:c r="BK650" s="3" t="n">
        <x:f>'中古車掲載'!AM651</x:f>
        <x:v>570000</x:v>
      </x:c>
      <x:c r="BL650" s="3" t="str">
        <x:f>IF(ISNUMBER('中古車掲載'!AN651),'中古車掲載'!AN651,"")</x:f>
      </x:c>
      <x:c r="BM650" s="3"/>
      <x:c r="BN650" s="3"/>
      <x:c r="BO650" s="3"/>
      <x:c r="BP650" s="3"/>
      <x:c r="BQ650" s="3"/>
      <x:c r="BR650" s="3"/>
    </x:row>
    <x:row r="651" ht="22" customHeight="1">
      <x:c r="A651" s="3" t="str">
        <x:v>Yaris Ativ</x:v>
      </x:c>
      <x:c r="B651" s="3" t="str">
        <x:v>ICE</x:v>
      </x:c>
      <x:c r="C651" s="3" t="str">
        <x:v>Taladrod</x:v>
      </x:c>
      <x:c r="D651" s="3" t="str">
        <x:v>Sedan</x:v>
      </x:c>
      <x:c r="E651" s="3" t="str"/>
      <x:c r="F651" s="3" t="n">
        <x:v>2023</x:v>
      </x:c>
      <x:c r="G651" s="3" t="str">
        <x:v>SPORT</x:v>
      </x:c>
      <x:c r="H651" s="3" t="str">
        <x:v>未掲載</x:v>
      </x:c>
      <x:c r="I651" s="3" t="str">
        <x:v>22-ปัจจุบัน</x:v>
      </x:c>
      <x:c r="J651" s="22" t="n">
        <x:f>COUNT('中古車掲載'!AM1028:AM1037)</x:f>
        <x:v>10</x:v>
      </x:c>
      <x:c r="K651" s="22" t="n">
        <x:f>IF(COUNT('中古車掲載'!AM1028:AM1037)=0,"",QUARTILE('中古車掲載'!AM1028:AM1037,1))</x:f>
        <x:v>389000</x:v>
      </x:c>
      <x:c r="L651" s="22" t="n">
        <x:f>IF(COUNT('中古車掲載'!AM1028:AM1037)=0,"",MEDIAN('中古車掲載'!AM1028:AM1037))</x:f>
        <x:v>399000</x:v>
      </x:c>
      <x:c r="M651" s="22" t="n">
        <x:f>IF(COUNT('中古車掲載'!AM1028:AM1037)=0,"",QUARTILE('中古車掲載'!AM1028:AM1037,3))</x:f>
        <x:v>426500</x:v>
      </x:c>
      <x:c r="N651" s="22" t="n">
        <x:f>COUNT('中古車掲載'!AN1028:AN1037)</x:f>
        <x:v>0</x:v>
      </x:c>
      <x:c r="O651" s="23" t="str">
        <x:f>IF(COUNT('中古車掲載'!AN1028:AN1037)=0,"",MEDIAN('中古車掲載'!AN1028:AN1037))</x:f>
      </x:c>
      <x:c r="P651" s="3"/>
      <x:c r="Q651" s="3"/>
      <x:c r="R651" s="3"/>
      <x:c r="S651" s="3"/>
      <x:c r="T651" s="3"/>
      <x:c r="U651" s="3"/>
      <x:c r="V651" s="3"/>
      <x:c r="W651" s="3"/>
      <x:c r="X651" s="3"/>
      <x:c r="Y651" s="3"/>
      <x:c r="Z651" s="3"/>
      <x:c r="AA651" s="3"/>
      <x:c r="AB651" s="3"/>
      <x:c r="AC651" s="3"/>
      <x:c r="AD651" s="3"/>
      <x:c r="AE651" s="3"/>
      <x:c r="AF651" s="3"/>
      <x:c r="AG651" s="3"/>
      <x:c r="AH651" s="3"/>
      <x:c r="AI651" s="3"/>
      <x:c r="AJ651" s="3"/>
      <x:c r="AK651" s="3"/>
      <x:c r="AL651" s="3"/>
      <x:c r="AM651" s="3"/>
      <x:c r="AN651" s="3"/>
      <x:c r="AO651" s="3"/>
      <x:c r="AP651" s="3"/>
      <x:c r="AQ651" s="3"/>
      <x:c r="AR651" s="3"/>
      <x:c r="AS651" s="3"/>
      <x:c r="AT651" s="3"/>
      <x:c r="AU651" s="3"/>
      <x:c r="AV651" s="3"/>
      <x:c r="AW651" s="3"/>
      <x:c r="AX651" s="3"/>
      <x:c r="AY651" s="3"/>
      <x:c r="AZ651" s="3" t="str">
        <x:f>IF(AND('中古車掲載'!C652="One2car",'中古車掲載'!F652="ATTO 3",'中古車掲載'!L652="EXTENDED RANGE",'中古車掲載'!J652=2023,ISNUMBER('中古車掲載'!N652),'中古車掲載'!N652&gt;=20000,'中古車掲載'!O652&lt;=100000,'中古車掲載'!AL652=1),'中古車掲載'!U652,"")</x:f>
      </x:c>
      <x:c r="BA651" s="3" t="str">
        <x:f>IF(AND('中古車掲載'!C652="One2car",'中古車掲載'!F652="Corolla Cross",'中古車掲載'!L652="HEV PREMIUM SAFETY",'中古車掲載'!J652=2023,ISNUMBER('中古車掲載'!N652),'中古車掲載'!N652&gt;=20000,'中古車掲載'!O652&lt;=100000,'中古車掲載'!AL652=1,'中古車掲載'!Z652="https://www.one2car.com/en/cars-for-sale/toyota/corolla-cross/year-2023"),'中古車掲載'!U652,"")</x:f>
      </x:c>
      <x:c r="BB651" s="3" t="str">
        <x:f>IF(AND('中古車掲載'!C652="One2car",'中古車掲載'!F652="ATTO 3",'中古車掲載'!L652="EXTENDED RANGE",'中古車掲載'!J652=2023,ISNUMBER('中古車掲載'!N652),'中古車掲載'!N652&gt;=50000,'中古車掲載'!O652&lt;=100000,'中古車掲載'!AL652=1),'中古車掲載'!U652,"")</x:f>
      </x:c>
      <x:c r="BC651" s="3" t="str">
        <x:f>IF(AND('中古車掲載'!C652="One2car",'中古車掲載'!F652="Corolla Cross",'中古車掲載'!L652="HEV PREMIUM SAFETY",'中古車掲載'!J652=2023,ISNUMBER('中古車掲載'!N652),'中古車掲載'!N652&gt;=50000,'中古車掲載'!O652&lt;=100000,'中古車掲載'!AL652=1,'中古車掲載'!Z652="https://www.one2car.com/en/cars-for-sale/toyota/corolla-cross/year-2023"),'中古車掲載'!U652,"")</x:f>
      </x:c>
      <x:c r="BD651" s="3" t="str">
        <x:f>IF(AND('中古車掲載'!C652="One2car",'中古車掲載'!F652="ATTO 3",'中古車掲載'!L652="EXTENDED RANGE",'中古車掲載'!J652=2023,ISNUMBER('中古車掲載'!N652),'中古車掲載'!N652&gt;=20000,'中古車掲載'!O652&lt;=50000,'中古車掲載'!AL652=1),'中古車掲載'!U652,"")</x:f>
      </x:c>
      <x:c r="BE651" s="3" t="str">
        <x:f>IF(AND('中古車掲載'!C652="One2car",'中古車掲載'!F652="Corolla Cross",'中古車掲載'!L652="HEV PREMIUM SAFETY",'中古車掲載'!J652=2023,ISNUMBER('中古車掲載'!N652),'中古車掲載'!N652&gt;=20000,'中古車掲載'!O652&lt;=50000,'中古車掲載'!AL652=1,'中古車掲載'!Z652="https://www.one2car.com/en/cars-for-sale/toyota/corolla-cross/year-2023"),'中古車掲載'!U652,"")</x:f>
      </x:c>
      <x:c r="BF651" s="3" t="str">
        <x:f>IF(AND('中古車掲載'!C652="One2car",'中古車掲載'!F652="Corolla Cross",'中古車掲載'!L652="HEV PREMIUM",'中古車掲載'!J652=2023,ISNUMBER('中古車掲載'!N652),'中古車掲載'!N652&gt;=20000,'中古車掲載'!O652&lt;=100000,'中古車掲載'!AL652=1,'中古車掲載'!Z652="https://www.one2car.com/en/cars-for-sale/toyota/corolla-cross/year-2023"),'中古車掲載'!U652,"")</x:f>
      </x:c>
      <x:c r="BG651" s="3" t="str">
        <x:f>IF(AND('中古車掲載'!C652="One2car",'中古車掲載'!F652="Corolla Cross",'中古車掲載'!L652="HEV GR SPORT",'中古車掲載'!J652=2023,ISNUMBER('中古車掲載'!N652),'中古車掲載'!N652&gt;=20000,'中古車掲載'!O652&lt;=100000,'中古車掲載'!AL652=1,'中古車掲載'!Z652="https://www.one2car.com/en/cars-for-sale/toyota/corolla-cross/year-2023"),'中古車掲載'!U652,"")</x:f>
      </x:c>
      <x:c r="BH651" s="3" t="str">
        <x:f>IF(AND('中古車掲載'!C652="One2car",'中古車掲載'!F652="DOLPHIN",'中古車掲載'!L652="STANDARD RANGE",'中古車掲載'!J652=2023,ISNUMBER('中古車掲載'!N652),'中古車掲載'!N652&gt;=20000,'中古車掲載'!O652&lt;=100000,'中古車掲載'!AL652=1),'中古車掲載'!U652,"")</x:f>
      </x:c>
      <x:c r="BI651" s="3" t="str">
        <x:v>Taladrod|Hilux Revo|ICE|Unknown</x:v>
      </x:c>
      <x:c r="BJ651" s="3" t="n">
        <x:v>652</x:v>
      </x:c>
      <x:c r="BK651" s="3" t="n">
        <x:f>'中古車掲載'!AM652</x:f>
        <x:v>554000</x:v>
      </x:c>
      <x:c r="BL651" s="3" t="str">
        <x:f>IF(ISNUMBER('中古車掲載'!AN652),'中古車掲載'!AN652,"")</x:f>
      </x:c>
      <x:c r="BM651" s="3"/>
      <x:c r="BN651" s="3"/>
      <x:c r="BO651" s="3"/>
      <x:c r="BP651" s="3"/>
      <x:c r="BQ651" s="3"/>
      <x:c r="BR651" s="3"/>
    </x:row>
    <x:row r="652" ht="22" customHeight="1">
      <x:c r="A652" s="3" t="str">
        <x:v>Yaris Ativ</x:v>
      </x:c>
      <x:c r="B652" s="3" t="str">
        <x:v>ICE</x:v>
      </x:c>
      <x:c r="C652" s="3" t="str">
        <x:v>Taladrod</x:v>
      </x:c>
      <x:c r="D652" s="3" t="str">
        <x:v>Sedan</x:v>
      </x:c>
      <x:c r="E652" s="3" t="str"/>
      <x:c r="F652" s="3" t="n">
        <x:v>2024</x:v>
      </x:c>
      <x:c r="G652" s="3" t="str">
        <x:v>PREMIUM</x:v>
      </x:c>
      <x:c r="H652" s="3" t="str">
        <x:v>未掲載</x:v>
      </x:c>
      <x:c r="I652" s="3" t="str">
        <x:v>22-ปัจจุบัน</x:v>
      </x:c>
      <x:c r="J652" s="22" t="n">
        <x:f>COUNT('中古車掲載'!AM1038:AM1046)</x:f>
        <x:v>9</x:v>
      </x:c>
      <x:c r="K652" s="22" t="n">
        <x:f>IF(COUNT('中古車掲載'!AM1038:AM1046)=0,"",QUARTILE('中古車掲載'!AM1038:AM1046,1))</x:f>
        <x:v>469000</x:v>
      </x:c>
      <x:c r="L652" s="22" t="n">
        <x:f>IF(COUNT('中古車掲載'!AM1038:AM1046)=0,"",MEDIAN('中古車掲載'!AM1038:AM1046))</x:f>
        <x:v>479000</x:v>
      </x:c>
      <x:c r="M652" s="22" t="n">
        <x:f>IF(COUNT('中古車掲載'!AM1038:AM1046)=0,"",QUARTILE('中古車掲載'!AM1038:AM1046,3))</x:f>
        <x:v>498000</x:v>
      </x:c>
      <x:c r="N652" s="22" t="n">
        <x:f>COUNT('中古車掲載'!AN1038:AN1046)</x:f>
        <x:v>0</x:v>
      </x:c>
      <x:c r="O652" s="23" t="str">
        <x:f>IF(COUNT('中古車掲載'!AN1038:AN1046)=0,"",MEDIAN('中古車掲載'!AN1038:AN1046))</x:f>
      </x:c>
      <x:c r="P652" s="3"/>
      <x:c r="Q652" s="3"/>
      <x:c r="R652" s="3"/>
      <x:c r="S652" s="3"/>
      <x:c r="T652" s="3"/>
      <x:c r="U652" s="3"/>
      <x:c r="V652" s="3"/>
      <x:c r="W652" s="3"/>
      <x:c r="X652" s="3"/>
      <x:c r="Y652" s="3"/>
      <x:c r="Z652" s="3"/>
      <x:c r="AA652" s="3"/>
      <x:c r="AB652" s="3"/>
      <x:c r="AC652" s="3"/>
      <x:c r="AD652" s="3"/>
      <x:c r="AE652" s="3"/>
      <x:c r="AF652" s="3"/>
      <x:c r="AG652" s="3"/>
      <x:c r="AH652" s="3"/>
      <x:c r="AI652" s="3"/>
      <x:c r="AJ652" s="3"/>
      <x:c r="AK652" s="3"/>
      <x:c r="AL652" s="3"/>
      <x:c r="AM652" s="3"/>
      <x:c r="AN652" s="3"/>
      <x:c r="AO652" s="3"/>
      <x:c r="AP652" s="3"/>
      <x:c r="AQ652" s="3"/>
      <x:c r="AR652" s="3"/>
      <x:c r="AS652" s="3"/>
      <x:c r="AT652" s="3"/>
      <x:c r="AU652" s="3"/>
      <x:c r="AV652" s="3"/>
      <x:c r="AW652" s="3"/>
      <x:c r="AX652" s="3"/>
      <x:c r="AY652" s="3"/>
      <x:c r="AZ652" s="3" t="str">
        <x:f>IF(AND('中古車掲載'!C653="One2car",'中古車掲載'!F653="ATTO 3",'中古車掲載'!L653="EXTENDED RANGE",'中古車掲載'!J653=2023,ISNUMBER('中古車掲載'!N653),'中古車掲載'!N653&gt;=20000,'中古車掲載'!O653&lt;=100000,'中古車掲載'!AL653=1),'中古車掲載'!U653,"")</x:f>
      </x:c>
      <x:c r="BA652" s="3" t="str">
        <x:f>IF(AND('中古車掲載'!C653="One2car",'中古車掲載'!F653="Corolla Cross",'中古車掲載'!L653="HEV PREMIUM SAFETY",'中古車掲載'!J653=2023,ISNUMBER('中古車掲載'!N653),'中古車掲載'!N653&gt;=20000,'中古車掲載'!O653&lt;=100000,'中古車掲載'!AL653=1,'中古車掲載'!Z653="https://www.one2car.com/en/cars-for-sale/toyota/corolla-cross/year-2023"),'中古車掲載'!U653,"")</x:f>
      </x:c>
      <x:c r="BB652" s="3" t="str">
        <x:f>IF(AND('中古車掲載'!C653="One2car",'中古車掲載'!F653="ATTO 3",'中古車掲載'!L653="EXTENDED RANGE",'中古車掲載'!J653=2023,ISNUMBER('中古車掲載'!N653),'中古車掲載'!N653&gt;=50000,'中古車掲載'!O653&lt;=100000,'中古車掲載'!AL653=1),'中古車掲載'!U653,"")</x:f>
      </x:c>
      <x:c r="BC652" s="3" t="str">
        <x:f>IF(AND('中古車掲載'!C653="One2car",'中古車掲載'!F653="Corolla Cross",'中古車掲載'!L653="HEV PREMIUM SAFETY",'中古車掲載'!J653=2023,ISNUMBER('中古車掲載'!N653),'中古車掲載'!N653&gt;=50000,'中古車掲載'!O653&lt;=100000,'中古車掲載'!AL653=1,'中古車掲載'!Z653="https://www.one2car.com/en/cars-for-sale/toyota/corolla-cross/year-2023"),'中古車掲載'!U653,"")</x:f>
      </x:c>
      <x:c r="BD652" s="3" t="str">
        <x:f>IF(AND('中古車掲載'!C653="One2car",'中古車掲載'!F653="ATTO 3",'中古車掲載'!L653="EXTENDED RANGE",'中古車掲載'!J653=2023,ISNUMBER('中古車掲載'!N653),'中古車掲載'!N653&gt;=20000,'中古車掲載'!O653&lt;=50000,'中古車掲載'!AL653=1),'中古車掲載'!U653,"")</x:f>
      </x:c>
      <x:c r="BE652" s="3" t="str">
        <x:f>IF(AND('中古車掲載'!C653="One2car",'中古車掲載'!F653="Corolla Cross",'中古車掲載'!L653="HEV PREMIUM SAFETY",'中古車掲載'!J653=2023,ISNUMBER('中古車掲載'!N653),'中古車掲載'!N653&gt;=20000,'中古車掲載'!O653&lt;=50000,'中古車掲載'!AL653=1,'中古車掲載'!Z653="https://www.one2car.com/en/cars-for-sale/toyota/corolla-cross/year-2023"),'中古車掲載'!U653,"")</x:f>
      </x:c>
      <x:c r="BF652" s="3" t="str">
        <x:f>IF(AND('中古車掲載'!C653="One2car",'中古車掲載'!F653="Corolla Cross",'中古車掲載'!L653="HEV PREMIUM",'中古車掲載'!J653=2023,ISNUMBER('中古車掲載'!N653),'中古車掲載'!N653&gt;=20000,'中古車掲載'!O653&lt;=100000,'中古車掲載'!AL653=1,'中古車掲載'!Z653="https://www.one2car.com/en/cars-for-sale/toyota/corolla-cross/year-2023"),'中古車掲載'!U653,"")</x:f>
      </x:c>
      <x:c r="BG652" s="3" t="str">
        <x:f>IF(AND('中古車掲載'!C653="One2car",'中古車掲載'!F653="Corolla Cross",'中古車掲載'!L653="HEV GR SPORT",'中古車掲載'!J653=2023,ISNUMBER('中古車掲載'!N653),'中古車掲載'!N653&gt;=20000,'中古車掲載'!O653&lt;=100000,'中古車掲載'!AL653=1,'中古車掲載'!Z653="https://www.one2car.com/en/cars-for-sale/toyota/corolla-cross/year-2023"),'中古車掲載'!U653,"")</x:f>
      </x:c>
      <x:c r="BH652" s="3" t="str">
        <x:f>IF(AND('中古車掲載'!C653="One2car",'中古車掲載'!F653="DOLPHIN",'中古車掲載'!L653="STANDARD RANGE",'中古車掲載'!J653=2023,ISNUMBER('中古車掲載'!N653),'中古車掲載'!N653&gt;=20000,'中古車掲載'!O653&lt;=100000,'中古車掲載'!AL653=1),'中古車掲載'!U653,"")</x:f>
      </x:c>
      <x:c r="BI652" s="3" t="str">
        <x:v>Taladrod|Hilux Revo|ICE|Unknown</x:v>
      </x:c>
      <x:c r="BJ652" s="3" t="n">
        <x:v>653</x:v>
      </x:c>
      <x:c r="BK652" s="3" t="n">
        <x:f>'中古車掲載'!AM653</x:f>
        <x:v>539000</x:v>
      </x:c>
      <x:c r="BL652" s="3" t="str">
        <x:f>IF(ISNUMBER('中古車掲載'!AN653),'中古車掲載'!AN653,"")</x:f>
      </x:c>
      <x:c r="BM652" s="3"/>
      <x:c r="BN652" s="3"/>
      <x:c r="BO652" s="3"/>
      <x:c r="BP652" s="3"/>
      <x:c r="BQ652" s="3"/>
      <x:c r="BR652" s="3"/>
    </x:row>
    <x:row r="653" ht="22" customHeight="1">
      <x:c r="A653" s="3" t="str">
        <x:v>Yaris Ativ</x:v>
      </x:c>
      <x:c r="B653" s="3" t="str">
        <x:v>ICE</x:v>
      </x:c>
      <x:c r="C653" s="3" t="str">
        <x:v>Taladrod</x:v>
      </x:c>
      <x:c r="D653" s="3" t="str">
        <x:v>Sedan</x:v>
      </x:c>
      <x:c r="E653" s="3" t="str"/>
      <x:c r="F653" s="3" t="n">
        <x:v>2024</x:v>
      </x:c>
      <x:c r="G653" s="3" t="str">
        <x:v>PREMIUM LUXURY</x:v>
      </x:c>
      <x:c r="H653" s="3" t="str">
        <x:v>未掲載</x:v>
      </x:c>
      <x:c r="I653" s="3" t="str">
        <x:v>22-ปัจจุบัน</x:v>
      </x:c>
      <x:c r="J653" s="22" t="n">
        <x:f>COUNT('中古車掲載'!AM1047:AM1057)</x:f>
        <x:v>11</x:v>
      </x:c>
      <x:c r="K653" s="22" t="n">
        <x:f>IF(COUNT('中古車掲載'!AM1047:AM1057)=0,"",QUARTILE('中古車掲載'!AM1047:AM1057,1))</x:f>
        <x:v>499000</x:v>
      </x:c>
      <x:c r="L653" s="22" t="n">
        <x:f>IF(COUNT('中古車掲載'!AM1047:AM1057)=0,"",MEDIAN('中古車掲載'!AM1047:AM1057))</x:f>
        <x:v>499000</x:v>
      </x:c>
      <x:c r="M653" s="22" t="n">
        <x:f>IF(COUNT('中古車掲載'!AM1047:AM1057)=0,"",QUARTILE('中古車掲載'!AM1047:AM1057,3))</x:f>
        <x:v>521000</x:v>
      </x:c>
      <x:c r="N653" s="22" t="n">
        <x:f>COUNT('中古車掲載'!AN1047:AN1057)</x:f>
        <x:v>0</x:v>
      </x:c>
      <x:c r="O653" s="23" t="str">
        <x:f>IF(COUNT('中古車掲載'!AN1047:AN1057)=0,"",MEDIAN('中古車掲載'!AN1047:AN1057))</x:f>
      </x:c>
      <x:c r="P653" s="3"/>
      <x:c r="Q653" s="3"/>
      <x:c r="R653" s="3"/>
      <x:c r="S653" s="3"/>
      <x:c r="T653" s="3"/>
      <x:c r="U653" s="3"/>
      <x:c r="V653" s="3"/>
      <x:c r="W653" s="3"/>
      <x:c r="X653" s="3"/>
      <x:c r="Y653" s="3"/>
      <x:c r="Z653" s="3"/>
      <x:c r="AA653" s="3"/>
      <x:c r="AB653" s="3"/>
      <x:c r="AC653" s="3"/>
      <x:c r="AD653" s="3"/>
      <x:c r="AE653" s="3"/>
      <x:c r="AF653" s="3"/>
      <x:c r="AG653" s="3"/>
      <x:c r="AH653" s="3"/>
      <x:c r="AI653" s="3"/>
      <x:c r="AJ653" s="3"/>
      <x:c r="AK653" s="3"/>
      <x:c r="AL653" s="3"/>
      <x:c r="AM653" s="3"/>
      <x:c r="AN653" s="3"/>
      <x:c r="AO653" s="3"/>
      <x:c r="AP653" s="3"/>
      <x:c r="AQ653" s="3"/>
      <x:c r="AR653" s="3"/>
      <x:c r="AS653" s="3"/>
      <x:c r="AT653" s="3"/>
      <x:c r="AU653" s="3"/>
      <x:c r="AV653" s="3"/>
      <x:c r="AW653" s="3"/>
      <x:c r="AX653" s="3"/>
      <x:c r="AY653" s="3"/>
      <x:c r="AZ653" s="3" t="str">
        <x:f>IF(AND('中古車掲載'!C654="One2car",'中古車掲載'!F654="ATTO 3",'中古車掲載'!L654="EXTENDED RANGE",'中古車掲載'!J654=2023,ISNUMBER('中古車掲載'!N654),'中古車掲載'!N654&gt;=20000,'中古車掲載'!O654&lt;=100000,'中古車掲載'!AL654=1),'中古車掲載'!U654,"")</x:f>
      </x:c>
      <x:c r="BA653" s="3" t="str">
        <x:f>IF(AND('中古車掲載'!C654="One2car",'中古車掲載'!F654="Corolla Cross",'中古車掲載'!L654="HEV PREMIUM SAFETY",'中古車掲載'!J654=2023,ISNUMBER('中古車掲載'!N654),'中古車掲載'!N654&gt;=20000,'中古車掲載'!O654&lt;=100000,'中古車掲載'!AL654=1,'中古車掲載'!Z654="https://www.one2car.com/en/cars-for-sale/toyota/corolla-cross/year-2023"),'中古車掲載'!U654,"")</x:f>
      </x:c>
      <x:c r="BB653" s="3" t="str">
        <x:f>IF(AND('中古車掲載'!C654="One2car",'中古車掲載'!F654="ATTO 3",'中古車掲載'!L654="EXTENDED RANGE",'中古車掲載'!J654=2023,ISNUMBER('中古車掲載'!N654),'中古車掲載'!N654&gt;=50000,'中古車掲載'!O654&lt;=100000,'中古車掲載'!AL654=1),'中古車掲載'!U654,"")</x:f>
      </x:c>
      <x:c r="BC653" s="3" t="str">
        <x:f>IF(AND('中古車掲載'!C654="One2car",'中古車掲載'!F654="Corolla Cross",'中古車掲載'!L654="HEV PREMIUM SAFETY",'中古車掲載'!J654=2023,ISNUMBER('中古車掲載'!N654),'中古車掲載'!N654&gt;=50000,'中古車掲載'!O654&lt;=100000,'中古車掲載'!AL654=1,'中古車掲載'!Z654="https://www.one2car.com/en/cars-for-sale/toyota/corolla-cross/year-2023"),'中古車掲載'!U654,"")</x:f>
      </x:c>
      <x:c r="BD653" s="3" t="str">
        <x:f>IF(AND('中古車掲載'!C654="One2car",'中古車掲載'!F654="ATTO 3",'中古車掲載'!L654="EXTENDED RANGE",'中古車掲載'!J654=2023,ISNUMBER('中古車掲載'!N654),'中古車掲載'!N654&gt;=20000,'中古車掲載'!O654&lt;=50000,'中古車掲載'!AL654=1),'中古車掲載'!U654,"")</x:f>
      </x:c>
      <x:c r="BE653" s="3" t="str">
        <x:f>IF(AND('中古車掲載'!C654="One2car",'中古車掲載'!F654="Corolla Cross",'中古車掲載'!L654="HEV PREMIUM SAFETY",'中古車掲載'!J654=2023,ISNUMBER('中古車掲載'!N654),'中古車掲載'!N654&gt;=20000,'中古車掲載'!O654&lt;=50000,'中古車掲載'!AL654=1,'中古車掲載'!Z654="https://www.one2car.com/en/cars-for-sale/toyota/corolla-cross/year-2023"),'中古車掲載'!U654,"")</x:f>
      </x:c>
      <x:c r="BF653" s="3" t="str">
        <x:f>IF(AND('中古車掲載'!C654="One2car",'中古車掲載'!F654="Corolla Cross",'中古車掲載'!L654="HEV PREMIUM",'中古車掲載'!J654=2023,ISNUMBER('中古車掲載'!N654),'中古車掲載'!N654&gt;=20000,'中古車掲載'!O654&lt;=100000,'中古車掲載'!AL654=1,'中古車掲載'!Z654="https://www.one2car.com/en/cars-for-sale/toyota/corolla-cross/year-2023"),'中古車掲載'!U654,"")</x:f>
      </x:c>
      <x:c r="BG653" s="3" t="str">
        <x:f>IF(AND('中古車掲載'!C654="One2car",'中古車掲載'!F654="Corolla Cross",'中古車掲載'!L654="HEV GR SPORT",'中古車掲載'!J654=2023,ISNUMBER('中古車掲載'!N654),'中古車掲載'!N654&gt;=20000,'中古車掲載'!O654&lt;=100000,'中古車掲載'!AL654=1,'中古車掲載'!Z654="https://www.one2car.com/en/cars-for-sale/toyota/corolla-cross/year-2023"),'中古車掲載'!U654,"")</x:f>
      </x:c>
      <x:c r="BH653" s="3" t="str">
        <x:f>IF(AND('中古車掲載'!C654="One2car",'中古車掲載'!F654="DOLPHIN",'中古車掲載'!L654="STANDARD RANGE",'中古車掲載'!J654=2023,ISNUMBER('中古車掲載'!N654),'中古車掲載'!N654&gt;=20000,'中古車掲載'!O654&lt;=100000,'中古車掲載'!AL654=1),'中古車掲載'!U654,"")</x:f>
      </x:c>
      <x:c r="BI653" s="3" t="str">
        <x:v>Taladrod|Hilux Revo|ICE|Unknown</x:v>
      </x:c>
      <x:c r="BJ653" s="3" t="n">
        <x:v>654</x:v>
      </x:c>
      <x:c r="BK653" s="3" t="n">
        <x:f>'中古車掲載'!AM654</x:f>
        <x:v>385000</x:v>
      </x:c>
      <x:c r="BL653" s="3" t="str">
        <x:f>IF(ISNUMBER('中古車掲載'!AN654),'中古車掲載'!AN654,"")</x:f>
      </x:c>
      <x:c r="BM653" s="3"/>
      <x:c r="BN653" s="3"/>
      <x:c r="BO653" s="3"/>
      <x:c r="BP653" s="3"/>
      <x:c r="BQ653" s="3"/>
      <x:c r="BR653" s="3"/>
    </x:row>
    <x:row r="654" ht="22" customHeight="1">
      <x:c r="A654" s="3" t="str">
        <x:v>Yaris Ativ</x:v>
      </x:c>
      <x:c r="B654" s="3" t="str">
        <x:v>ICE</x:v>
      </x:c>
      <x:c r="C654" s="3" t="str">
        <x:v>Taladrod</x:v>
      </x:c>
      <x:c r="D654" s="3" t="str">
        <x:v>Sedan</x:v>
      </x:c>
      <x:c r="E654" s="3" t="str"/>
      <x:c r="F654" s="3" t="n">
        <x:v>2024</x:v>
      </x:c>
      <x:c r="G654" s="3" t="str">
        <x:v>SMART</x:v>
      </x:c>
      <x:c r="H654" s="3" t="str">
        <x:v>未掲載</x:v>
      </x:c>
      <x:c r="I654" s="3" t="str">
        <x:v>22-ปัจจุบัน</x:v>
      </x:c>
      <x:c r="J654" s="22" t="n">
        <x:f>COUNT('中古車掲載'!AM1058:AM1073)</x:f>
        <x:v>16</x:v>
      </x:c>
      <x:c r="K654" s="22" t="n">
        <x:f>IF(COUNT('中古車掲載'!AM1058:AM1073)=0,"",QUARTILE('中古車掲載'!AM1058:AM1073,1))</x:f>
        <x:v>385000</x:v>
      </x:c>
      <x:c r="L654" s="22" t="n">
        <x:f>IF(COUNT('中古車掲載'!AM1058:AM1073)=0,"",MEDIAN('中古車掲載'!AM1058:AM1073))</x:f>
        <x:v>463000</x:v>
      </x:c>
      <x:c r="M654" s="22" t="n">
        <x:f>IF(COUNT('中古車掲載'!AM1058:AM1073)=0,"",QUARTILE('中古車掲載'!AM1058:AM1073,3))</x:f>
        <x:v>476000</x:v>
      </x:c>
      <x:c r="N654" s="22" t="n">
        <x:f>COUNT('中古車掲載'!AN1058:AN1073)</x:f>
        <x:v>0</x:v>
      </x:c>
      <x:c r="O654" s="23" t="str">
        <x:f>IF(COUNT('中古車掲載'!AN1058:AN1073)=0,"",MEDIAN('中古車掲載'!AN1058:AN1073))</x:f>
      </x:c>
      <x:c r="P654" s="3"/>
      <x:c r="Q654" s="3"/>
      <x:c r="R654" s="3"/>
      <x:c r="S654" s="3"/>
      <x:c r="T654" s="3"/>
      <x:c r="U654" s="3"/>
      <x:c r="V654" s="3"/>
      <x:c r="W654" s="3"/>
      <x:c r="X654" s="3"/>
      <x:c r="Y654" s="3"/>
      <x:c r="Z654" s="3"/>
      <x:c r="AA654" s="3"/>
      <x:c r="AB654" s="3"/>
      <x:c r="AC654" s="3"/>
      <x:c r="AD654" s="3"/>
      <x:c r="AE654" s="3"/>
      <x:c r="AF654" s="3"/>
      <x:c r="AG654" s="3"/>
      <x:c r="AH654" s="3"/>
      <x:c r="AI654" s="3"/>
      <x:c r="AJ654" s="3"/>
      <x:c r="AK654" s="3"/>
      <x:c r="AL654" s="3"/>
      <x:c r="AM654" s="3"/>
      <x:c r="AN654" s="3"/>
      <x:c r="AO654" s="3"/>
      <x:c r="AP654" s="3"/>
      <x:c r="AQ654" s="3"/>
      <x:c r="AR654" s="3"/>
      <x:c r="AS654" s="3"/>
      <x:c r="AT654" s="3"/>
      <x:c r="AU654" s="3"/>
      <x:c r="AV654" s="3"/>
      <x:c r="AW654" s="3"/>
      <x:c r="AX654" s="3"/>
      <x:c r="AY654" s="3"/>
      <x:c r="AZ654" s="3" t="str">
        <x:f>IF(AND('中古車掲載'!C655="One2car",'中古車掲載'!F655="ATTO 3",'中古車掲載'!L655="EXTENDED RANGE",'中古車掲載'!J655=2023,ISNUMBER('中古車掲載'!N655),'中古車掲載'!N655&gt;=20000,'中古車掲載'!O655&lt;=100000,'中古車掲載'!AL655=1),'中古車掲載'!U655,"")</x:f>
      </x:c>
      <x:c r="BA654" s="3" t="str">
        <x:f>IF(AND('中古車掲載'!C655="One2car",'中古車掲載'!F655="Corolla Cross",'中古車掲載'!L655="HEV PREMIUM SAFETY",'中古車掲載'!J655=2023,ISNUMBER('中古車掲載'!N655),'中古車掲載'!N655&gt;=20000,'中古車掲載'!O655&lt;=100000,'中古車掲載'!AL655=1,'中古車掲載'!Z655="https://www.one2car.com/en/cars-for-sale/toyota/corolla-cross/year-2023"),'中古車掲載'!U655,"")</x:f>
      </x:c>
      <x:c r="BB654" s="3" t="str">
        <x:f>IF(AND('中古車掲載'!C655="One2car",'中古車掲載'!F655="ATTO 3",'中古車掲載'!L655="EXTENDED RANGE",'中古車掲載'!J655=2023,ISNUMBER('中古車掲載'!N655),'中古車掲載'!N655&gt;=50000,'中古車掲載'!O655&lt;=100000,'中古車掲載'!AL655=1),'中古車掲載'!U655,"")</x:f>
      </x:c>
      <x:c r="BC654" s="3" t="str">
        <x:f>IF(AND('中古車掲載'!C655="One2car",'中古車掲載'!F655="Corolla Cross",'中古車掲載'!L655="HEV PREMIUM SAFETY",'中古車掲載'!J655=2023,ISNUMBER('中古車掲載'!N655),'中古車掲載'!N655&gt;=50000,'中古車掲載'!O655&lt;=100000,'中古車掲載'!AL655=1,'中古車掲載'!Z655="https://www.one2car.com/en/cars-for-sale/toyota/corolla-cross/year-2023"),'中古車掲載'!U655,"")</x:f>
      </x:c>
      <x:c r="BD654" s="3" t="str">
        <x:f>IF(AND('中古車掲載'!C655="One2car",'中古車掲載'!F655="ATTO 3",'中古車掲載'!L655="EXTENDED RANGE",'中古車掲載'!J655=2023,ISNUMBER('中古車掲載'!N655),'中古車掲載'!N655&gt;=20000,'中古車掲載'!O655&lt;=50000,'中古車掲載'!AL655=1),'中古車掲載'!U655,"")</x:f>
      </x:c>
      <x:c r="BE654" s="3" t="str">
        <x:f>IF(AND('中古車掲載'!C655="One2car",'中古車掲載'!F655="Corolla Cross",'中古車掲載'!L655="HEV PREMIUM SAFETY",'中古車掲載'!J655=2023,ISNUMBER('中古車掲載'!N655),'中古車掲載'!N655&gt;=20000,'中古車掲載'!O655&lt;=50000,'中古車掲載'!AL655=1,'中古車掲載'!Z655="https://www.one2car.com/en/cars-for-sale/toyota/corolla-cross/year-2023"),'中古車掲載'!U655,"")</x:f>
      </x:c>
      <x:c r="BF654" s="3" t="str">
        <x:f>IF(AND('中古車掲載'!C655="One2car",'中古車掲載'!F655="Corolla Cross",'中古車掲載'!L655="HEV PREMIUM",'中古車掲載'!J655=2023,ISNUMBER('中古車掲載'!N655),'中古車掲載'!N655&gt;=20000,'中古車掲載'!O655&lt;=100000,'中古車掲載'!AL655=1,'中古車掲載'!Z655="https://www.one2car.com/en/cars-for-sale/toyota/corolla-cross/year-2023"),'中古車掲載'!U655,"")</x:f>
      </x:c>
      <x:c r="BG654" s="3" t="str">
        <x:f>IF(AND('中古車掲載'!C655="One2car",'中古車掲載'!F655="Corolla Cross",'中古車掲載'!L655="HEV GR SPORT",'中古車掲載'!J655=2023,ISNUMBER('中古車掲載'!N655),'中古車掲載'!N655&gt;=20000,'中古車掲載'!O655&lt;=100000,'中古車掲載'!AL655=1,'中古車掲載'!Z655="https://www.one2car.com/en/cars-for-sale/toyota/corolla-cross/year-2023"),'中古車掲載'!U655,"")</x:f>
      </x:c>
      <x:c r="BH654" s="3" t="str">
        <x:f>IF(AND('中古車掲載'!C655="One2car",'中古車掲載'!F655="DOLPHIN",'中古車掲載'!L655="STANDARD RANGE",'中古車掲載'!J655=2023,ISNUMBER('中古車掲載'!N655),'中古車掲載'!N655&gt;=20000,'中古車掲載'!O655&lt;=100000,'中古車掲載'!AL655=1),'中古車掲載'!U655,"")</x:f>
      </x:c>
      <x:c r="BI654" s="3" t="str">
        <x:v>Taladrod|Hilux Revo|ICE|Unknown</x:v>
      </x:c>
      <x:c r="BJ654" s="3" t="n">
        <x:v>655</x:v>
      </x:c>
      <x:c r="BK654" s="3" t="n">
        <x:f>'中古車掲載'!AM655</x:f>
        <x:v>359000</x:v>
      </x:c>
      <x:c r="BL654" s="3" t="str">
        <x:f>IF(ISNUMBER('中古車掲載'!AN655),'中古車掲載'!AN655,"")</x:f>
      </x:c>
      <x:c r="BM654" s="3"/>
      <x:c r="BN654" s="3"/>
      <x:c r="BO654" s="3"/>
      <x:c r="BP654" s="3"/>
      <x:c r="BQ654" s="3"/>
      <x:c r="BR654" s="3"/>
    </x:row>
    <x:row r="655" ht="22" customHeight="1">
      <x:c r="A655" s="3" t="str">
        <x:v>Yaris Ativ</x:v>
      </x:c>
      <x:c r="B655" s="3" t="str">
        <x:v>ICE</x:v>
      </x:c>
      <x:c r="C655" s="3" t="str">
        <x:v>Taladrod</x:v>
      </x:c>
      <x:c r="D655" s="3" t="str">
        <x:v>Sedan</x:v>
      </x:c>
      <x:c r="E655" s="3" t="str"/>
      <x:c r="F655" s="3" t="n">
        <x:v>2024</x:v>
      </x:c>
      <x:c r="G655" s="3" t="str">
        <x:v>SPORT</x:v>
      </x:c>
      <x:c r="H655" s="3" t="str">
        <x:v>未掲載</x:v>
      </x:c>
      <x:c r="I655" s="3" t="str">
        <x:v>22-ปัจจุบัน</x:v>
      </x:c>
      <x:c r="J655" s="22" t="n">
        <x:f>COUNT('中古車掲載'!AM1074:AM1077)</x:f>
        <x:v>4</x:v>
      </x:c>
      <x:c r="K655" s="22" t="n">
        <x:f>IF(COUNT('中古車掲載'!AM1074:AM1077)=0,"",QUARTILE('中古車掲載'!AM1074:AM1077,1))</x:f>
        <x:v>409000</x:v>
      </x:c>
      <x:c r="L655" s="22" t="n">
        <x:f>IF(COUNT('中古車掲載'!AM1074:AM1077)=0,"",MEDIAN('中古車掲載'!AM1074:AM1077))</x:f>
        <x:v>421500</x:v>
      </x:c>
      <x:c r="M655" s="22" t="n">
        <x:f>IF(COUNT('中古車掲載'!AM1074:AM1077)=0,"",QUARTILE('中古車掲載'!AM1074:AM1077,3))</x:f>
        <x:v>430000</x:v>
      </x:c>
      <x:c r="N655" s="22" t="n">
        <x:f>COUNT('中古車掲載'!AN1074:AN1077)</x:f>
        <x:v>0</x:v>
      </x:c>
      <x:c r="O655" s="23" t="str">
        <x:f>IF(COUNT('中古車掲載'!AN1074:AN1077)=0,"",MEDIAN('中古車掲載'!AN1074:AN1077))</x:f>
      </x:c>
      <x:c r="P655" s="3"/>
      <x:c r="Q655" s="3"/>
      <x:c r="R655" s="3"/>
      <x:c r="S655" s="3"/>
      <x:c r="T655" s="3"/>
      <x:c r="U655" s="3"/>
      <x:c r="V655" s="3"/>
      <x:c r="W655" s="3"/>
      <x:c r="X655" s="3"/>
      <x:c r="Y655" s="3"/>
      <x:c r="Z655" s="3"/>
      <x:c r="AA655" s="3"/>
      <x:c r="AB655" s="3"/>
      <x:c r="AC655" s="3"/>
      <x:c r="AD655" s="3"/>
      <x:c r="AE655" s="3"/>
      <x:c r="AF655" s="3"/>
      <x:c r="AG655" s="3"/>
      <x:c r="AH655" s="3"/>
      <x:c r="AI655" s="3"/>
      <x:c r="AJ655" s="3"/>
      <x:c r="AK655" s="3"/>
      <x:c r="AL655" s="3"/>
      <x:c r="AM655" s="3"/>
      <x:c r="AN655" s="3"/>
      <x:c r="AO655" s="3"/>
      <x:c r="AP655" s="3"/>
      <x:c r="AQ655" s="3"/>
      <x:c r="AR655" s="3"/>
      <x:c r="AS655" s="3"/>
      <x:c r="AT655" s="3"/>
      <x:c r="AU655" s="3"/>
      <x:c r="AV655" s="3"/>
      <x:c r="AW655" s="3"/>
      <x:c r="AX655" s="3"/>
      <x:c r="AY655" s="3"/>
      <x:c r="AZ655" s="3" t="str">
        <x:f>IF(AND('中古車掲載'!C656="One2car",'中古車掲載'!F656="ATTO 3",'中古車掲載'!L656="EXTENDED RANGE",'中古車掲載'!J656=2023,ISNUMBER('中古車掲載'!N656),'中古車掲載'!N656&gt;=20000,'中古車掲載'!O656&lt;=100000,'中古車掲載'!AL656=1),'中古車掲載'!U656,"")</x:f>
      </x:c>
      <x:c r="BA655" s="3" t="str">
        <x:f>IF(AND('中古車掲載'!C656="One2car",'中古車掲載'!F656="Corolla Cross",'中古車掲載'!L656="HEV PREMIUM SAFETY",'中古車掲載'!J656=2023,ISNUMBER('中古車掲載'!N656),'中古車掲載'!N656&gt;=20000,'中古車掲載'!O656&lt;=100000,'中古車掲載'!AL656=1,'中古車掲載'!Z656="https://www.one2car.com/en/cars-for-sale/toyota/corolla-cross/year-2023"),'中古車掲載'!U656,"")</x:f>
      </x:c>
      <x:c r="BB655" s="3" t="str">
        <x:f>IF(AND('中古車掲載'!C656="One2car",'中古車掲載'!F656="ATTO 3",'中古車掲載'!L656="EXTENDED RANGE",'中古車掲載'!J656=2023,ISNUMBER('中古車掲載'!N656),'中古車掲載'!N656&gt;=50000,'中古車掲載'!O656&lt;=100000,'中古車掲載'!AL656=1),'中古車掲載'!U656,"")</x:f>
      </x:c>
      <x:c r="BC655" s="3" t="str">
        <x:f>IF(AND('中古車掲載'!C656="One2car",'中古車掲載'!F656="Corolla Cross",'中古車掲載'!L656="HEV PREMIUM SAFETY",'中古車掲載'!J656=2023,ISNUMBER('中古車掲載'!N656),'中古車掲載'!N656&gt;=50000,'中古車掲載'!O656&lt;=100000,'中古車掲載'!AL656=1,'中古車掲載'!Z656="https://www.one2car.com/en/cars-for-sale/toyota/corolla-cross/year-2023"),'中古車掲載'!U656,"")</x:f>
      </x:c>
      <x:c r="BD655" s="3" t="str">
        <x:f>IF(AND('中古車掲載'!C656="One2car",'中古車掲載'!F656="ATTO 3",'中古車掲載'!L656="EXTENDED RANGE",'中古車掲載'!J656=2023,ISNUMBER('中古車掲載'!N656),'中古車掲載'!N656&gt;=20000,'中古車掲載'!O656&lt;=50000,'中古車掲載'!AL656=1),'中古車掲載'!U656,"")</x:f>
      </x:c>
      <x:c r="BE655" s="3" t="str">
        <x:f>IF(AND('中古車掲載'!C656="One2car",'中古車掲載'!F656="Corolla Cross",'中古車掲載'!L656="HEV PREMIUM SAFETY",'中古車掲載'!J656=2023,ISNUMBER('中古車掲載'!N656),'中古車掲載'!N656&gt;=20000,'中古車掲載'!O656&lt;=50000,'中古車掲載'!AL656=1,'中古車掲載'!Z656="https://www.one2car.com/en/cars-for-sale/toyota/corolla-cross/year-2023"),'中古車掲載'!U656,"")</x:f>
      </x:c>
      <x:c r="BF655" s="3" t="str">
        <x:f>IF(AND('中古車掲載'!C656="One2car",'中古車掲載'!F656="Corolla Cross",'中古車掲載'!L656="HEV PREMIUM",'中古車掲載'!J656=2023,ISNUMBER('中古車掲載'!N656),'中古車掲載'!N656&gt;=20000,'中古車掲載'!O656&lt;=100000,'中古車掲載'!AL656=1,'中古車掲載'!Z656="https://www.one2car.com/en/cars-for-sale/toyota/corolla-cross/year-2023"),'中古車掲載'!U656,"")</x:f>
      </x:c>
      <x:c r="BG655" s="3" t="str">
        <x:f>IF(AND('中古車掲載'!C656="One2car",'中古車掲載'!F656="Corolla Cross",'中古車掲載'!L656="HEV GR SPORT",'中古車掲載'!J656=2023,ISNUMBER('中古車掲載'!N656),'中古車掲載'!N656&gt;=20000,'中古車掲載'!O656&lt;=100000,'中古車掲載'!AL656=1,'中古車掲載'!Z656="https://www.one2car.com/en/cars-for-sale/toyota/corolla-cross/year-2023"),'中古車掲載'!U656,"")</x:f>
      </x:c>
      <x:c r="BH655" s="3" t="str">
        <x:f>IF(AND('中古車掲載'!C656="One2car",'中古車掲載'!F656="DOLPHIN",'中古車掲載'!L656="STANDARD RANGE",'中古車掲載'!J656=2023,ISNUMBER('中古車掲載'!N656),'中古車掲載'!N656&gt;=20000,'中古車掲載'!O656&lt;=100000,'中古車掲載'!AL656=1),'中古車掲載'!U656,"")</x:f>
      </x:c>
      <x:c r="BI655" s="3" t="str">
        <x:v>Taladrod|Hilux Revo|ICE|Unknown</x:v>
      </x:c>
      <x:c r="BJ655" s="3" t="n">
        <x:v>656</x:v>
      </x:c>
      <x:c r="BK655" s="3" t="n">
        <x:f>'中古車掲載'!AM656</x:f>
        <x:v>599000</x:v>
      </x:c>
      <x:c r="BL655" s="3" t="str">
        <x:f>IF(ISNUMBER('中古車掲載'!AN656),'中古車掲載'!AN656,"")</x:f>
      </x:c>
      <x:c r="BM655" s="3"/>
      <x:c r="BN655" s="3"/>
      <x:c r="BO655" s="3"/>
      <x:c r="BP655" s="3"/>
      <x:c r="BQ655" s="3"/>
      <x:c r="BR655" s="3"/>
    </x:row>
    <x:row r="656" ht="22" customHeight="1">
      <x:c r="A656" s="3" t="str">
        <x:v>Yaris Ativ</x:v>
      </x:c>
      <x:c r="B656" s="3" t="str">
        <x:v>ICE</x:v>
      </x:c>
      <x:c r="C656" s="3" t="str">
        <x:v>Taladrod</x:v>
      </x:c>
      <x:c r="D656" s="3" t="str">
        <x:v>Sedan</x:v>
      </x:c>
      <x:c r="E656" s="3" t="str"/>
      <x:c r="F656" s="3" t="n">
        <x:v>2025</x:v>
      </x:c>
      <x:c r="G656" s="3" t="str">
        <x:v>NIGHTSHADE</x:v>
      </x:c>
      <x:c r="H656" s="3" t="str">
        <x:v>未掲載</x:v>
      </x:c>
      <x:c r="I656" s="3" t="str">
        <x:v>22-ปัจจุบัน</x:v>
      </x:c>
      <x:c r="J656" s="22" t="n">
        <x:f>COUNT('中古車掲載'!AM1078:AM1079)</x:f>
        <x:v>2</x:v>
      </x:c>
      <x:c r="K656" s="22" t="n">
        <x:f>IF(COUNT('中古車掲載'!AM1078:AM1079)=0,"",QUARTILE('中古車掲載'!AM1078:AM1079,1))</x:f>
        <x:v>561250</x:v>
      </x:c>
      <x:c r="L656" s="22" t="n">
        <x:f>IF(COUNT('中古車掲載'!AM1078:AM1079)=0,"",MEDIAN('中古車掲載'!AM1078:AM1079))</x:f>
        <x:v>563500</x:v>
      </x:c>
      <x:c r="M656" s="22" t="n">
        <x:f>IF(COUNT('中古車掲載'!AM1078:AM1079)=0,"",QUARTILE('中古車掲載'!AM1078:AM1079,3))</x:f>
        <x:v>565750</x:v>
      </x:c>
      <x:c r="N656" s="22" t="n">
        <x:f>COUNT('中古車掲載'!AN1078:AN1079)</x:f>
        <x:v>0</x:v>
      </x:c>
      <x:c r="O656" s="23" t="str">
        <x:f>IF(COUNT('中古車掲載'!AN1078:AN1079)=0,"",MEDIAN('中古車掲載'!AN1078:AN1079))</x:f>
      </x:c>
      <x:c r="P656" s="3"/>
      <x:c r="Q656" s="3"/>
      <x:c r="R656" s="3"/>
      <x:c r="S656" s="3"/>
      <x:c r="T656" s="3"/>
      <x:c r="U656" s="3"/>
      <x:c r="V656" s="3"/>
      <x:c r="W656" s="3"/>
      <x:c r="X656" s="3"/>
      <x:c r="Y656" s="3"/>
      <x:c r="Z656" s="3"/>
      <x:c r="AA656" s="3"/>
      <x:c r="AB656" s="3"/>
      <x:c r="AC656" s="3"/>
      <x:c r="AD656" s="3"/>
      <x:c r="AE656" s="3"/>
      <x:c r="AF656" s="3"/>
      <x:c r="AG656" s="3"/>
      <x:c r="AH656" s="3"/>
      <x:c r="AI656" s="3"/>
      <x:c r="AJ656" s="3"/>
      <x:c r="AK656" s="3"/>
      <x:c r="AL656" s="3"/>
      <x:c r="AM656" s="3"/>
      <x:c r="AN656" s="3"/>
      <x:c r="AO656" s="3"/>
      <x:c r="AP656" s="3"/>
      <x:c r="AQ656" s="3"/>
      <x:c r="AR656" s="3"/>
      <x:c r="AS656" s="3"/>
      <x:c r="AT656" s="3"/>
      <x:c r="AU656" s="3"/>
      <x:c r="AV656" s="3"/>
      <x:c r="AW656" s="3"/>
      <x:c r="AX656" s="3"/>
      <x:c r="AY656" s="3"/>
      <x:c r="AZ656" s="3" t="str">
        <x:f>IF(AND('中古車掲載'!C657="One2car",'中古車掲載'!F657="ATTO 3",'中古車掲載'!L657="EXTENDED RANGE",'中古車掲載'!J657=2023,ISNUMBER('中古車掲載'!N657),'中古車掲載'!N657&gt;=20000,'中古車掲載'!O657&lt;=100000,'中古車掲載'!AL657=1),'中古車掲載'!U657,"")</x:f>
      </x:c>
      <x:c r="BA656" s="3" t="str">
        <x:f>IF(AND('中古車掲載'!C657="One2car",'中古車掲載'!F657="Corolla Cross",'中古車掲載'!L657="HEV PREMIUM SAFETY",'中古車掲載'!J657=2023,ISNUMBER('中古車掲載'!N657),'中古車掲載'!N657&gt;=20000,'中古車掲載'!O657&lt;=100000,'中古車掲載'!AL657=1,'中古車掲載'!Z657="https://www.one2car.com/en/cars-for-sale/toyota/corolla-cross/year-2023"),'中古車掲載'!U657,"")</x:f>
      </x:c>
      <x:c r="BB656" s="3" t="str">
        <x:f>IF(AND('中古車掲載'!C657="One2car",'中古車掲載'!F657="ATTO 3",'中古車掲載'!L657="EXTENDED RANGE",'中古車掲載'!J657=2023,ISNUMBER('中古車掲載'!N657),'中古車掲載'!N657&gt;=50000,'中古車掲載'!O657&lt;=100000,'中古車掲載'!AL657=1),'中古車掲載'!U657,"")</x:f>
      </x:c>
      <x:c r="BC656" s="3" t="str">
        <x:f>IF(AND('中古車掲載'!C657="One2car",'中古車掲載'!F657="Corolla Cross",'中古車掲載'!L657="HEV PREMIUM SAFETY",'中古車掲載'!J657=2023,ISNUMBER('中古車掲載'!N657),'中古車掲載'!N657&gt;=50000,'中古車掲載'!O657&lt;=100000,'中古車掲載'!AL657=1,'中古車掲載'!Z657="https://www.one2car.com/en/cars-for-sale/toyota/corolla-cross/year-2023"),'中古車掲載'!U657,"")</x:f>
      </x:c>
      <x:c r="BD656" s="3" t="str">
        <x:f>IF(AND('中古車掲載'!C657="One2car",'中古車掲載'!F657="ATTO 3",'中古車掲載'!L657="EXTENDED RANGE",'中古車掲載'!J657=2023,ISNUMBER('中古車掲載'!N657),'中古車掲載'!N657&gt;=20000,'中古車掲載'!O657&lt;=50000,'中古車掲載'!AL657=1),'中古車掲載'!U657,"")</x:f>
      </x:c>
      <x:c r="BE656" s="3" t="str">
        <x:f>IF(AND('中古車掲載'!C657="One2car",'中古車掲載'!F657="Corolla Cross",'中古車掲載'!L657="HEV PREMIUM SAFETY",'中古車掲載'!J657=2023,ISNUMBER('中古車掲載'!N657),'中古車掲載'!N657&gt;=20000,'中古車掲載'!O657&lt;=50000,'中古車掲載'!AL657=1,'中古車掲載'!Z657="https://www.one2car.com/en/cars-for-sale/toyota/corolla-cross/year-2023"),'中古車掲載'!U657,"")</x:f>
      </x:c>
      <x:c r="BF656" s="3" t="str">
        <x:f>IF(AND('中古車掲載'!C657="One2car",'中古車掲載'!F657="Corolla Cross",'中古車掲載'!L657="HEV PREMIUM",'中古車掲載'!J657=2023,ISNUMBER('中古車掲載'!N657),'中古車掲載'!N657&gt;=20000,'中古車掲載'!O657&lt;=100000,'中古車掲載'!AL657=1,'中古車掲載'!Z657="https://www.one2car.com/en/cars-for-sale/toyota/corolla-cross/year-2023"),'中古車掲載'!U657,"")</x:f>
      </x:c>
      <x:c r="BG656" s="3" t="str">
        <x:f>IF(AND('中古車掲載'!C657="One2car",'中古車掲載'!F657="Corolla Cross",'中古車掲載'!L657="HEV GR SPORT",'中古車掲載'!J657=2023,ISNUMBER('中古車掲載'!N657),'中古車掲載'!N657&gt;=20000,'中古車掲載'!O657&lt;=100000,'中古車掲載'!AL657=1,'中古車掲載'!Z657="https://www.one2car.com/en/cars-for-sale/toyota/corolla-cross/year-2023"),'中古車掲載'!U657,"")</x:f>
      </x:c>
      <x:c r="BH656" s="3" t="str">
        <x:f>IF(AND('中古車掲載'!C657="One2car",'中古車掲載'!F657="DOLPHIN",'中古車掲載'!L657="STANDARD RANGE",'中古車掲載'!J657=2023,ISNUMBER('中古車掲載'!N657),'中古車掲載'!N657&gt;=20000,'中古車掲載'!O657&lt;=100000,'中古車掲載'!AL657=1),'中古車掲載'!U657,"")</x:f>
      </x:c>
      <x:c r="BI656" s="3" t="str">
        <x:v>Taladrod|Hilux Revo|ICE|Unknown</x:v>
      </x:c>
      <x:c r="BJ656" s="3" t="n">
        <x:v>657</x:v>
      </x:c>
      <x:c r="BK656" s="3" t="n">
        <x:f>'中古車掲載'!AM657</x:f>
        <x:v>399000</x:v>
      </x:c>
      <x:c r="BL656" s="3" t="str">
        <x:f>IF(ISNUMBER('中古車掲載'!AN657),'中古車掲載'!AN657,"")</x:f>
      </x:c>
      <x:c r="BM656" s="3"/>
      <x:c r="BN656" s="3"/>
      <x:c r="BO656" s="3"/>
      <x:c r="BP656" s="3"/>
      <x:c r="BQ656" s="3"/>
      <x:c r="BR656" s="3"/>
    </x:row>
    <x:row r="657" ht="22" customHeight="1">
      <x:c r="A657" s="3" t="str">
        <x:v>Yaris Ativ</x:v>
      </x:c>
      <x:c r="B657" s="3" t="str">
        <x:v>ICE</x:v>
      </x:c>
      <x:c r="C657" s="3" t="str">
        <x:v>Taladrod</x:v>
      </x:c>
      <x:c r="D657" s="3" t="str">
        <x:v>Sedan</x:v>
      </x:c>
      <x:c r="E657" s="3" t="str"/>
      <x:c r="F657" s="3" t="n">
        <x:v>2025</x:v>
      </x:c>
      <x:c r="G657" s="3" t="str">
        <x:v>PREMIUM</x:v>
      </x:c>
      <x:c r="H657" s="3" t="str">
        <x:v>未掲載</x:v>
      </x:c>
      <x:c r="I657" s="3" t="str">
        <x:v>22-ปัจจุบัน</x:v>
      </x:c>
      <x:c r="J657" s="22" t="n">
        <x:f>COUNT('中古車掲載'!AM1080:AM1081)</x:f>
        <x:v>2</x:v>
      </x:c>
      <x:c r="K657" s="22" t="n">
        <x:f>IF(COUNT('中古車掲載'!AM1080:AM1081)=0,"",QUARTILE('中古車掲載'!AM1080:AM1081,1))</x:f>
        <x:v>465250</x:v>
      </x:c>
      <x:c r="L657" s="22" t="n">
        <x:f>IF(COUNT('中古車掲載'!AM1080:AM1081)=0,"",MEDIAN('中古車掲載'!AM1080:AM1081))</x:f>
        <x:v>471500</x:v>
      </x:c>
      <x:c r="M657" s="22" t="n">
        <x:f>IF(COUNT('中古車掲載'!AM1080:AM1081)=0,"",QUARTILE('中古車掲載'!AM1080:AM1081,3))</x:f>
        <x:v>477750</x:v>
      </x:c>
      <x:c r="N657" s="22" t="n">
        <x:f>COUNT('中古車掲載'!AN1080:AN1081)</x:f>
        <x:v>0</x:v>
      </x:c>
      <x:c r="O657" s="23" t="str">
        <x:f>IF(COUNT('中古車掲載'!AN1080:AN1081)=0,"",MEDIAN('中古車掲載'!AN1080:AN1081))</x:f>
      </x:c>
      <x:c r="P657" s="3"/>
      <x:c r="Q657" s="3"/>
      <x:c r="R657" s="3"/>
      <x:c r="S657" s="3"/>
      <x:c r="T657" s="3"/>
      <x:c r="U657" s="3"/>
      <x:c r="V657" s="3"/>
      <x:c r="W657" s="3"/>
      <x:c r="X657" s="3"/>
      <x:c r="Y657" s="3"/>
      <x:c r="Z657" s="3"/>
      <x:c r="AA657" s="3"/>
      <x:c r="AB657" s="3"/>
      <x:c r="AC657" s="3"/>
      <x:c r="AD657" s="3"/>
      <x:c r="AE657" s="3"/>
      <x:c r="AF657" s="3"/>
      <x:c r="AG657" s="3"/>
      <x:c r="AH657" s="3"/>
      <x:c r="AI657" s="3"/>
      <x:c r="AJ657" s="3"/>
      <x:c r="AK657" s="3"/>
      <x:c r="AL657" s="3"/>
      <x:c r="AM657" s="3"/>
      <x:c r="AN657" s="3"/>
      <x:c r="AO657" s="3"/>
      <x:c r="AP657" s="3"/>
      <x:c r="AQ657" s="3"/>
      <x:c r="AR657" s="3"/>
      <x:c r="AS657" s="3"/>
      <x:c r="AT657" s="3"/>
      <x:c r="AU657" s="3"/>
      <x:c r="AV657" s="3"/>
      <x:c r="AW657" s="3"/>
      <x:c r="AX657" s="3"/>
      <x:c r="AY657" s="3"/>
      <x:c r="AZ657" s="3" t="str">
        <x:f>IF(AND('中古車掲載'!C658="One2car",'中古車掲載'!F658="ATTO 3",'中古車掲載'!L658="EXTENDED RANGE",'中古車掲載'!J658=2023,ISNUMBER('中古車掲載'!N658),'中古車掲載'!N658&gt;=20000,'中古車掲載'!O658&lt;=100000,'中古車掲載'!AL658=1),'中古車掲載'!U658,"")</x:f>
      </x:c>
      <x:c r="BA657" s="3" t="str">
        <x:f>IF(AND('中古車掲載'!C658="One2car",'中古車掲載'!F658="Corolla Cross",'中古車掲載'!L658="HEV PREMIUM SAFETY",'中古車掲載'!J658=2023,ISNUMBER('中古車掲載'!N658),'中古車掲載'!N658&gt;=20000,'中古車掲載'!O658&lt;=100000,'中古車掲載'!AL658=1,'中古車掲載'!Z658="https://www.one2car.com/en/cars-for-sale/toyota/corolla-cross/year-2023"),'中古車掲載'!U658,"")</x:f>
      </x:c>
      <x:c r="BB657" s="3" t="str">
        <x:f>IF(AND('中古車掲載'!C658="One2car",'中古車掲載'!F658="ATTO 3",'中古車掲載'!L658="EXTENDED RANGE",'中古車掲載'!J658=2023,ISNUMBER('中古車掲載'!N658),'中古車掲載'!N658&gt;=50000,'中古車掲載'!O658&lt;=100000,'中古車掲載'!AL658=1),'中古車掲載'!U658,"")</x:f>
      </x:c>
      <x:c r="BC657" s="3" t="str">
        <x:f>IF(AND('中古車掲載'!C658="One2car",'中古車掲載'!F658="Corolla Cross",'中古車掲載'!L658="HEV PREMIUM SAFETY",'中古車掲載'!J658=2023,ISNUMBER('中古車掲載'!N658),'中古車掲載'!N658&gt;=50000,'中古車掲載'!O658&lt;=100000,'中古車掲載'!AL658=1,'中古車掲載'!Z658="https://www.one2car.com/en/cars-for-sale/toyota/corolla-cross/year-2023"),'中古車掲載'!U658,"")</x:f>
      </x:c>
      <x:c r="BD657" s="3" t="str">
        <x:f>IF(AND('中古車掲載'!C658="One2car",'中古車掲載'!F658="ATTO 3",'中古車掲載'!L658="EXTENDED RANGE",'中古車掲載'!J658=2023,ISNUMBER('中古車掲載'!N658),'中古車掲載'!N658&gt;=20000,'中古車掲載'!O658&lt;=50000,'中古車掲載'!AL658=1),'中古車掲載'!U658,"")</x:f>
      </x:c>
      <x:c r="BE657" s="3" t="str">
        <x:f>IF(AND('中古車掲載'!C658="One2car",'中古車掲載'!F658="Corolla Cross",'中古車掲載'!L658="HEV PREMIUM SAFETY",'中古車掲載'!J658=2023,ISNUMBER('中古車掲載'!N658),'中古車掲載'!N658&gt;=20000,'中古車掲載'!O658&lt;=50000,'中古車掲載'!AL658=1,'中古車掲載'!Z658="https://www.one2car.com/en/cars-for-sale/toyota/corolla-cross/year-2023"),'中古車掲載'!U658,"")</x:f>
      </x:c>
      <x:c r="BF657" s="3" t="str">
        <x:f>IF(AND('中古車掲載'!C658="One2car",'中古車掲載'!F658="Corolla Cross",'中古車掲載'!L658="HEV PREMIUM",'中古車掲載'!J658=2023,ISNUMBER('中古車掲載'!N658),'中古車掲載'!N658&gt;=20000,'中古車掲載'!O658&lt;=100000,'中古車掲載'!AL658=1,'中古車掲載'!Z658="https://www.one2car.com/en/cars-for-sale/toyota/corolla-cross/year-2023"),'中古車掲載'!U658,"")</x:f>
      </x:c>
      <x:c r="BG657" s="3" t="str">
        <x:f>IF(AND('中古車掲載'!C658="One2car",'中古車掲載'!F658="Corolla Cross",'中古車掲載'!L658="HEV GR SPORT",'中古車掲載'!J658=2023,ISNUMBER('中古車掲載'!N658),'中古車掲載'!N658&gt;=20000,'中古車掲載'!O658&lt;=100000,'中古車掲載'!AL658=1,'中古車掲載'!Z658="https://www.one2car.com/en/cars-for-sale/toyota/corolla-cross/year-2023"),'中古車掲載'!U658,"")</x:f>
      </x:c>
      <x:c r="BH657" s="3" t="str">
        <x:f>IF(AND('中古車掲載'!C658="One2car",'中古車掲載'!F658="DOLPHIN",'中古車掲載'!L658="STANDARD RANGE",'中古車掲載'!J658=2023,ISNUMBER('中古車掲載'!N658),'中古車掲載'!N658&gt;=20000,'中古車掲載'!O658&lt;=100000,'中古車掲載'!AL658=1),'中古車掲載'!U658,"")</x:f>
      </x:c>
      <x:c r="BI657" s="3" t="str">
        <x:v>Taladrod|Hilux Revo|ICE|Unknown</x:v>
      </x:c>
      <x:c r="BJ657" s="3" t="n">
        <x:v>658</x:v>
      </x:c>
      <x:c r="BK657" s="3" t="n">
        <x:f>'中古車掲載'!AM658</x:f>
        <x:v>389000</x:v>
      </x:c>
      <x:c r="BL657" s="3" t="str">
        <x:f>IF(ISNUMBER('中古車掲載'!AN658),'中古車掲載'!AN658,"")</x:f>
      </x:c>
      <x:c r="BM657" s="3"/>
      <x:c r="BN657" s="3"/>
      <x:c r="BO657" s="3"/>
      <x:c r="BP657" s="3"/>
      <x:c r="BQ657" s="3"/>
      <x:c r="BR657" s="3"/>
    </x:row>
    <x:row r="658" ht="22" customHeight="1">
      <x:c r="A658" s="3" t="str">
        <x:v>Yaris Ativ</x:v>
      </x:c>
      <x:c r="B658" s="3" t="str">
        <x:v>ICE</x:v>
      </x:c>
      <x:c r="C658" s="3" t="str">
        <x:v>Taladrod</x:v>
      </x:c>
      <x:c r="D658" s="3" t="str">
        <x:v>Sedan</x:v>
      </x:c>
      <x:c r="E658" s="3" t="str"/>
      <x:c r="F658" s="3" t="n">
        <x:v>2025</x:v>
      </x:c>
      <x:c r="G658" s="3" t="str">
        <x:v>PREMIUM LUXURY</x:v>
      </x:c>
      <x:c r="H658" s="3" t="str">
        <x:v>未掲載</x:v>
      </x:c>
      <x:c r="I658" s="3" t="str">
        <x:v>22-ปัจจุบัน</x:v>
      </x:c>
      <x:c r="J658" s="22" t="n">
        <x:f>COUNT('中古車掲載'!AM1082:AM1083)</x:f>
        <x:v>2</x:v>
      </x:c>
      <x:c r="K658" s="22" t="n">
        <x:f>IF(COUNT('中古車掲載'!AM1082:AM1083)=0,"",QUARTILE('中古車掲載'!AM1082:AM1083,1))</x:f>
        <x:v>561500</x:v>
      </x:c>
      <x:c r="L658" s="22" t="n">
        <x:f>IF(COUNT('中古車掲載'!AM1082:AM1083)=0,"",MEDIAN('中古車掲載'!AM1082:AM1083))</x:f>
        <x:v>564000</x:v>
      </x:c>
      <x:c r="M658" s="22" t="n">
        <x:f>IF(COUNT('中古車掲載'!AM1082:AM1083)=0,"",QUARTILE('中古車掲載'!AM1082:AM1083,3))</x:f>
        <x:v>566500</x:v>
      </x:c>
      <x:c r="N658" s="22" t="n">
        <x:f>COUNT('中古車掲載'!AN1082:AN1083)</x:f>
        <x:v>0</x:v>
      </x:c>
      <x:c r="O658" s="23" t="str">
        <x:f>IF(COUNT('中古車掲載'!AN1082:AN1083)=0,"",MEDIAN('中古車掲載'!AN1082:AN1083))</x:f>
      </x:c>
      <x:c r="P658" s="3"/>
      <x:c r="Q658" s="3"/>
      <x:c r="R658" s="3"/>
      <x:c r="S658" s="3"/>
      <x:c r="T658" s="3"/>
      <x:c r="U658" s="3"/>
      <x:c r="V658" s="3"/>
      <x:c r="W658" s="3"/>
      <x:c r="X658" s="3"/>
      <x:c r="Y658" s="3"/>
      <x:c r="Z658" s="3"/>
      <x:c r="AA658" s="3"/>
      <x:c r="AB658" s="3"/>
      <x:c r="AC658" s="3"/>
      <x:c r="AD658" s="3"/>
      <x:c r="AE658" s="3"/>
      <x:c r="AF658" s="3"/>
      <x:c r="AG658" s="3"/>
      <x:c r="AH658" s="3"/>
      <x:c r="AI658" s="3"/>
      <x:c r="AJ658" s="3"/>
      <x:c r="AK658" s="3"/>
      <x:c r="AL658" s="3"/>
      <x:c r="AM658" s="3"/>
      <x:c r="AN658" s="3"/>
      <x:c r="AO658" s="3"/>
      <x:c r="AP658" s="3"/>
      <x:c r="AQ658" s="3"/>
      <x:c r="AR658" s="3"/>
      <x:c r="AS658" s="3"/>
      <x:c r="AT658" s="3"/>
      <x:c r="AU658" s="3"/>
      <x:c r="AV658" s="3"/>
      <x:c r="AW658" s="3"/>
      <x:c r="AX658" s="3"/>
      <x:c r="AY658" s="3"/>
      <x:c r="AZ658" s="3" t="str">
        <x:f>IF(AND('中古車掲載'!C659="One2car",'中古車掲載'!F659="ATTO 3",'中古車掲載'!L659="EXTENDED RANGE",'中古車掲載'!J659=2023,ISNUMBER('中古車掲載'!N659),'中古車掲載'!N659&gt;=20000,'中古車掲載'!O659&lt;=100000,'中古車掲載'!AL659=1),'中古車掲載'!U659,"")</x:f>
      </x:c>
      <x:c r="BA658" s="3" t="str">
        <x:f>IF(AND('中古車掲載'!C659="One2car",'中古車掲載'!F659="Corolla Cross",'中古車掲載'!L659="HEV PREMIUM SAFETY",'中古車掲載'!J659=2023,ISNUMBER('中古車掲載'!N659),'中古車掲載'!N659&gt;=20000,'中古車掲載'!O659&lt;=100000,'中古車掲載'!AL659=1,'中古車掲載'!Z659="https://www.one2car.com/en/cars-for-sale/toyota/corolla-cross/year-2023"),'中古車掲載'!U659,"")</x:f>
      </x:c>
      <x:c r="BB658" s="3" t="str">
        <x:f>IF(AND('中古車掲載'!C659="One2car",'中古車掲載'!F659="ATTO 3",'中古車掲載'!L659="EXTENDED RANGE",'中古車掲載'!J659=2023,ISNUMBER('中古車掲載'!N659),'中古車掲載'!N659&gt;=50000,'中古車掲載'!O659&lt;=100000,'中古車掲載'!AL659=1),'中古車掲載'!U659,"")</x:f>
      </x:c>
      <x:c r="BC658" s="3" t="str">
        <x:f>IF(AND('中古車掲載'!C659="One2car",'中古車掲載'!F659="Corolla Cross",'中古車掲載'!L659="HEV PREMIUM SAFETY",'中古車掲載'!J659=2023,ISNUMBER('中古車掲載'!N659),'中古車掲載'!N659&gt;=50000,'中古車掲載'!O659&lt;=100000,'中古車掲載'!AL659=1,'中古車掲載'!Z659="https://www.one2car.com/en/cars-for-sale/toyota/corolla-cross/year-2023"),'中古車掲載'!U659,"")</x:f>
      </x:c>
      <x:c r="BD658" s="3" t="str">
        <x:f>IF(AND('中古車掲載'!C659="One2car",'中古車掲載'!F659="ATTO 3",'中古車掲載'!L659="EXTENDED RANGE",'中古車掲載'!J659=2023,ISNUMBER('中古車掲載'!N659),'中古車掲載'!N659&gt;=20000,'中古車掲載'!O659&lt;=50000,'中古車掲載'!AL659=1),'中古車掲載'!U659,"")</x:f>
      </x:c>
      <x:c r="BE658" s="3" t="str">
        <x:f>IF(AND('中古車掲載'!C659="One2car",'中古車掲載'!F659="Corolla Cross",'中古車掲載'!L659="HEV PREMIUM SAFETY",'中古車掲載'!J659=2023,ISNUMBER('中古車掲載'!N659),'中古車掲載'!N659&gt;=20000,'中古車掲載'!O659&lt;=50000,'中古車掲載'!AL659=1,'中古車掲載'!Z659="https://www.one2car.com/en/cars-for-sale/toyota/corolla-cross/year-2023"),'中古車掲載'!U659,"")</x:f>
      </x:c>
      <x:c r="BF658" s="3" t="str">
        <x:f>IF(AND('中古車掲載'!C659="One2car",'中古車掲載'!F659="Corolla Cross",'中古車掲載'!L659="HEV PREMIUM",'中古車掲載'!J659=2023,ISNUMBER('中古車掲載'!N659),'中古車掲載'!N659&gt;=20000,'中古車掲載'!O659&lt;=100000,'中古車掲載'!AL659=1,'中古車掲載'!Z659="https://www.one2car.com/en/cars-for-sale/toyota/corolla-cross/year-2023"),'中古車掲載'!U659,"")</x:f>
      </x:c>
      <x:c r="BG658" s="3" t="str">
        <x:f>IF(AND('中古車掲載'!C659="One2car",'中古車掲載'!F659="Corolla Cross",'中古車掲載'!L659="HEV GR SPORT",'中古車掲載'!J659=2023,ISNUMBER('中古車掲載'!N659),'中古車掲載'!N659&gt;=20000,'中古車掲載'!O659&lt;=100000,'中古車掲載'!AL659=1,'中古車掲載'!Z659="https://www.one2car.com/en/cars-for-sale/toyota/corolla-cross/year-2023"),'中古車掲載'!U659,"")</x:f>
      </x:c>
      <x:c r="BH658" s="3" t="str">
        <x:f>IF(AND('中古車掲載'!C659="One2car",'中古車掲載'!F659="DOLPHIN",'中古車掲載'!L659="STANDARD RANGE",'中古車掲載'!J659=2023,ISNUMBER('中古車掲載'!N659),'中古車掲載'!N659&gt;=20000,'中古車掲載'!O659&lt;=100000,'中古車掲載'!AL659=1),'中古車掲載'!U659,"")</x:f>
      </x:c>
      <x:c r="BI658" s="3" t="str">
        <x:v>Taladrod|Hilux Revo|ICE|Unknown</x:v>
      </x:c>
      <x:c r="BJ658" s="3" t="n">
        <x:v>659</x:v>
      </x:c>
      <x:c r="BK658" s="3" t="n">
        <x:f>'中古車掲載'!AM659</x:f>
        <x:v>429000</x:v>
      </x:c>
      <x:c r="BL658" s="3" t="str">
        <x:f>IF(ISNUMBER('中古車掲載'!AN659),'中古車掲載'!AN659,"")</x:f>
      </x:c>
      <x:c r="BM658" s="3"/>
      <x:c r="BN658" s="3"/>
      <x:c r="BO658" s="3"/>
      <x:c r="BP658" s="3"/>
      <x:c r="BQ658" s="3"/>
      <x:c r="BR658" s="3"/>
    </x:row>
    <x:row r="659" ht="22" customHeight="1">
      <x:c r="A659" s="3" t="str">
        <x:v>Yaris Ativ</x:v>
      </x:c>
      <x:c r="B659" s="3" t="str">
        <x:v>ICE</x:v>
      </x:c>
      <x:c r="C659" s="3" t="str">
        <x:v>Taladrod</x:v>
      </x:c>
      <x:c r="D659" s="3" t="str">
        <x:v>Sedan</x:v>
      </x:c>
      <x:c r="E659" s="3" t="str"/>
      <x:c r="F659" s="3" t="n">
        <x:v>2025</x:v>
      </x:c>
      <x:c r="G659" s="3" t="str">
        <x:v>SMART</x:v>
      </x:c>
      <x:c r="H659" s="3" t="str">
        <x:v>未掲載</x:v>
      </x:c>
      <x:c r="I659" s="3" t="str">
        <x:v>22-ปัจจุบัน</x:v>
      </x:c>
      <x:c r="J659" s="22" t="n">
        <x:f>COUNT('中古車掲載'!AM1084:AM1091)</x:f>
        <x:v>8</x:v>
      </x:c>
      <x:c r="K659" s="22" t="n">
        <x:f>IF(COUNT('中古車掲載'!AM1084:AM1091)=0,"",QUARTILE('中古車掲載'!AM1084:AM1091,1))</x:f>
        <x:v>471000</x:v>
      </x:c>
      <x:c r="L659" s="22" t="n">
        <x:f>IF(COUNT('中古車掲載'!AM1084:AM1091)=0,"",MEDIAN('中古車掲載'!AM1084:AM1091))</x:f>
        <x:v>478500</x:v>
      </x:c>
      <x:c r="M659" s="22" t="n">
        <x:f>IF(COUNT('中古車掲載'!AM1084:AM1091)=0,"",QUARTILE('中古車掲載'!AM1084:AM1091,3))</x:f>
        <x:v>491500</x:v>
      </x:c>
      <x:c r="N659" s="22" t="n">
        <x:f>COUNT('中古車掲載'!AN1084:AN1091)</x:f>
        <x:v>0</x:v>
      </x:c>
      <x:c r="O659" s="23" t="str">
        <x:f>IF(COUNT('中古車掲載'!AN1084:AN1091)=0,"",MEDIAN('中古車掲載'!AN1084:AN1091))</x:f>
      </x:c>
      <x:c r="P659" s="3"/>
      <x:c r="Q659" s="3"/>
      <x:c r="R659" s="3"/>
      <x:c r="S659" s="3"/>
      <x:c r="T659" s="3"/>
      <x:c r="U659" s="3"/>
      <x:c r="V659" s="3"/>
      <x:c r="W659" s="3"/>
      <x:c r="X659" s="3"/>
      <x:c r="Y659" s="3"/>
      <x:c r="Z659" s="3"/>
      <x:c r="AA659" s="3"/>
      <x:c r="AB659" s="3"/>
      <x:c r="AC659" s="3"/>
      <x:c r="AD659" s="3"/>
      <x:c r="AE659" s="3"/>
      <x:c r="AF659" s="3"/>
      <x:c r="AG659" s="3"/>
      <x:c r="AH659" s="3"/>
      <x:c r="AI659" s="3"/>
      <x:c r="AJ659" s="3"/>
      <x:c r="AK659" s="3"/>
      <x:c r="AL659" s="3"/>
      <x:c r="AM659" s="3"/>
      <x:c r="AN659" s="3"/>
      <x:c r="AO659" s="3"/>
      <x:c r="AP659" s="3"/>
      <x:c r="AQ659" s="3"/>
      <x:c r="AR659" s="3"/>
      <x:c r="AS659" s="3"/>
      <x:c r="AT659" s="3"/>
      <x:c r="AU659" s="3"/>
      <x:c r="AV659" s="3"/>
      <x:c r="AW659" s="3"/>
      <x:c r="AX659" s="3"/>
      <x:c r="AY659" s="3"/>
      <x:c r="AZ659" s="3" t="str">
        <x:f>IF(AND('中古車掲載'!C660="One2car",'中古車掲載'!F660="ATTO 3",'中古車掲載'!L660="EXTENDED RANGE",'中古車掲載'!J660=2023,ISNUMBER('中古車掲載'!N660),'中古車掲載'!N660&gt;=20000,'中古車掲載'!O660&lt;=100000,'中古車掲載'!AL660=1),'中古車掲載'!U660,"")</x:f>
      </x:c>
      <x:c r="BA659" s="3" t="str">
        <x:f>IF(AND('中古車掲載'!C660="One2car",'中古車掲載'!F660="Corolla Cross",'中古車掲載'!L660="HEV PREMIUM SAFETY",'中古車掲載'!J660=2023,ISNUMBER('中古車掲載'!N660),'中古車掲載'!N660&gt;=20000,'中古車掲載'!O660&lt;=100000,'中古車掲載'!AL660=1,'中古車掲載'!Z660="https://www.one2car.com/en/cars-for-sale/toyota/corolla-cross/year-2023"),'中古車掲載'!U660,"")</x:f>
      </x:c>
      <x:c r="BB659" s="3" t="str">
        <x:f>IF(AND('中古車掲載'!C660="One2car",'中古車掲載'!F660="ATTO 3",'中古車掲載'!L660="EXTENDED RANGE",'中古車掲載'!J660=2023,ISNUMBER('中古車掲載'!N660),'中古車掲載'!N660&gt;=50000,'中古車掲載'!O660&lt;=100000,'中古車掲載'!AL660=1),'中古車掲載'!U660,"")</x:f>
      </x:c>
      <x:c r="BC659" s="3" t="str">
        <x:f>IF(AND('中古車掲載'!C660="One2car",'中古車掲載'!F660="Corolla Cross",'中古車掲載'!L660="HEV PREMIUM SAFETY",'中古車掲載'!J660=2023,ISNUMBER('中古車掲載'!N660),'中古車掲載'!N660&gt;=50000,'中古車掲載'!O660&lt;=100000,'中古車掲載'!AL660=1,'中古車掲載'!Z660="https://www.one2car.com/en/cars-for-sale/toyota/corolla-cross/year-2023"),'中古車掲載'!U660,"")</x:f>
      </x:c>
      <x:c r="BD659" s="3" t="str">
        <x:f>IF(AND('中古車掲載'!C660="One2car",'中古車掲載'!F660="ATTO 3",'中古車掲載'!L660="EXTENDED RANGE",'中古車掲載'!J660=2023,ISNUMBER('中古車掲載'!N660),'中古車掲載'!N660&gt;=20000,'中古車掲載'!O660&lt;=50000,'中古車掲載'!AL660=1),'中古車掲載'!U660,"")</x:f>
      </x:c>
      <x:c r="BE659" s="3" t="str">
        <x:f>IF(AND('中古車掲載'!C660="One2car",'中古車掲載'!F660="Corolla Cross",'中古車掲載'!L660="HEV PREMIUM SAFETY",'中古車掲載'!J660=2023,ISNUMBER('中古車掲載'!N660),'中古車掲載'!N660&gt;=20000,'中古車掲載'!O660&lt;=50000,'中古車掲載'!AL660=1,'中古車掲載'!Z660="https://www.one2car.com/en/cars-for-sale/toyota/corolla-cross/year-2023"),'中古車掲載'!U660,"")</x:f>
      </x:c>
      <x:c r="BF659" s="3" t="str">
        <x:f>IF(AND('中古車掲載'!C660="One2car",'中古車掲載'!F660="Corolla Cross",'中古車掲載'!L660="HEV PREMIUM",'中古車掲載'!J660=2023,ISNUMBER('中古車掲載'!N660),'中古車掲載'!N660&gt;=20000,'中古車掲載'!O660&lt;=100000,'中古車掲載'!AL660=1,'中古車掲載'!Z660="https://www.one2car.com/en/cars-for-sale/toyota/corolla-cross/year-2023"),'中古車掲載'!U660,"")</x:f>
      </x:c>
      <x:c r="BG659" s="3" t="str">
        <x:f>IF(AND('中古車掲載'!C660="One2car",'中古車掲載'!F660="Corolla Cross",'中古車掲載'!L660="HEV GR SPORT",'中古車掲載'!J660=2023,ISNUMBER('中古車掲載'!N660),'中古車掲載'!N660&gt;=20000,'中古車掲載'!O660&lt;=100000,'中古車掲載'!AL660=1,'中古車掲載'!Z660="https://www.one2car.com/en/cars-for-sale/toyota/corolla-cross/year-2023"),'中古車掲載'!U660,"")</x:f>
      </x:c>
      <x:c r="BH659" s="3" t="str">
        <x:f>IF(AND('中古車掲載'!C660="One2car",'中古車掲載'!F660="DOLPHIN",'中古車掲載'!L660="STANDARD RANGE",'中古車掲載'!J660=2023,ISNUMBER('中古車掲載'!N660),'中古車掲載'!N660&gt;=20000,'中古車掲載'!O660&lt;=100000,'中古車掲載'!AL660=1),'中古車掲載'!U660,"")</x:f>
      </x:c>
      <x:c r="BI659" s="3" t="str">
        <x:v>Taladrod|Hilux Revo|ICE|Unknown</x:v>
      </x:c>
      <x:c r="BJ659" s="3" t="n">
        <x:v>660</x:v>
      </x:c>
      <x:c r="BK659" s="3" t="n">
        <x:f>'中古車掲載'!AM660</x:f>
        <x:v>389000</x:v>
      </x:c>
      <x:c r="BL659" s="3" t="str">
        <x:f>IF(ISNUMBER('中古車掲載'!AN660),'中古車掲載'!AN660,"")</x:f>
      </x:c>
      <x:c r="BM659" s="3"/>
      <x:c r="BN659" s="3"/>
      <x:c r="BO659" s="3"/>
      <x:c r="BP659" s="3"/>
      <x:c r="BQ659" s="3"/>
      <x:c r="BR659" s="3"/>
    </x:row>
    <x:row r="660" ht="22" customHeight="1">
      <x:c r="A660" s="3" t="str">
        <x:v>Yaris Ativ</x:v>
      </x:c>
      <x:c r="B660" s="3" t="str">
        <x:v>ICE</x:v>
      </x:c>
      <x:c r="C660" s="3" t="str">
        <x:v>Taladrod</x:v>
      </x:c>
      <x:c r="D660" s="3" t="str">
        <x:v>Sedan</x:v>
      </x:c>
      <x:c r="E660" s="3" t="str"/>
      <x:c r="F660" s="3" t="n">
        <x:v>2025</x:v>
      </x:c>
      <x:c r="G660" s="3" t="str">
        <x:v>SPORT</x:v>
      </x:c>
      <x:c r="H660" s="3" t="str">
        <x:v>未掲載</x:v>
      </x:c>
      <x:c r="I660" s="3" t="str">
        <x:v>22-ปัจจุบัน</x:v>
      </x:c>
      <x:c r="J660" s="22" t="n">
        <x:f>COUNT('中古車掲載'!AM1092:AM1092)</x:f>
        <x:v>1</x:v>
      </x:c>
      <x:c r="K660" s="22" t="n">
        <x:f>IF(COUNT('中古車掲載'!AM1092:AM1092)=0,"",QUARTILE('中古車掲載'!AM1092:AM1092,1))</x:f>
        <x:v>459000</x:v>
      </x:c>
      <x:c r="L660" s="22" t="n">
        <x:f>IF(COUNT('中古車掲載'!AM1092:AM1092)=0,"",MEDIAN('中古車掲載'!AM1092:AM1092))</x:f>
        <x:v>459000</x:v>
      </x:c>
      <x:c r="M660" s="22" t="n">
        <x:f>IF(COUNT('中古車掲載'!AM1092:AM1092)=0,"",QUARTILE('中古車掲載'!AM1092:AM1092,3))</x:f>
        <x:v>459000</x:v>
      </x:c>
      <x:c r="N660" s="22" t="n">
        <x:f>COUNT('中古車掲載'!AN1092:AN1092)</x:f>
        <x:v>0</x:v>
      </x:c>
      <x:c r="O660" s="23" t="str">
        <x:f>IF(COUNT('中古車掲載'!AN1092:AN1092)=0,"",MEDIAN('中古車掲載'!AN1092:AN1092))</x:f>
      </x:c>
      <x:c r="P660" s="3"/>
      <x:c r="Q660" s="3"/>
      <x:c r="R660" s="3"/>
      <x:c r="S660" s="3"/>
      <x:c r="T660" s="3"/>
      <x:c r="U660" s="3"/>
      <x:c r="V660" s="3"/>
      <x:c r="W660" s="3"/>
      <x:c r="X660" s="3"/>
      <x:c r="Y660" s="3"/>
      <x:c r="Z660" s="3"/>
      <x:c r="AA660" s="3"/>
      <x:c r="AB660" s="3"/>
      <x:c r="AC660" s="3"/>
      <x:c r="AD660" s="3"/>
      <x:c r="AE660" s="3"/>
      <x:c r="AF660" s="3"/>
      <x:c r="AG660" s="3"/>
      <x:c r="AH660" s="3"/>
      <x:c r="AI660" s="3"/>
      <x:c r="AJ660" s="3"/>
      <x:c r="AK660" s="3"/>
      <x:c r="AL660" s="3"/>
      <x:c r="AM660" s="3"/>
      <x:c r="AN660" s="3"/>
      <x:c r="AO660" s="3"/>
      <x:c r="AP660" s="3"/>
      <x:c r="AQ660" s="3"/>
      <x:c r="AR660" s="3"/>
      <x:c r="AS660" s="3"/>
      <x:c r="AT660" s="3"/>
      <x:c r="AU660" s="3"/>
      <x:c r="AV660" s="3"/>
      <x:c r="AW660" s="3"/>
      <x:c r="AX660" s="3"/>
      <x:c r="AY660" s="3"/>
      <x:c r="AZ660" s="3" t="str">
        <x:f>IF(AND('中古車掲載'!C661="One2car",'中古車掲載'!F661="ATTO 3",'中古車掲載'!L661="EXTENDED RANGE",'中古車掲載'!J661=2023,ISNUMBER('中古車掲載'!N661),'中古車掲載'!N661&gt;=20000,'中古車掲載'!O661&lt;=100000,'中古車掲載'!AL661=1),'中古車掲載'!U661,"")</x:f>
      </x:c>
      <x:c r="BA660" s="3" t="str">
        <x:f>IF(AND('中古車掲載'!C661="One2car",'中古車掲載'!F661="Corolla Cross",'中古車掲載'!L661="HEV PREMIUM SAFETY",'中古車掲載'!J661=2023,ISNUMBER('中古車掲載'!N661),'中古車掲載'!N661&gt;=20000,'中古車掲載'!O661&lt;=100000,'中古車掲載'!AL661=1,'中古車掲載'!Z661="https://www.one2car.com/en/cars-for-sale/toyota/corolla-cross/year-2023"),'中古車掲載'!U661,"")</x:f>
      </x:c>
      <x:c r="BB660" s="3" t="str">
        <x:f>IF(AND('中古車掲載'!C661="One2car",'中古車掲載'!F661="ATTO 3",'中古車掲載'!L661="EXTENDED RANGE",'中古車掲載'!J661=2023,ISNUMBER('中古車掲載'!N661),'中古車掲載'!N661&gt;=50000,'中古車掲載'!O661&lt;=100000,'中古車掲載'!AL661=1),'中古車掲載'!U661,"")</x:f>
      </x:c>
      <x:c r="BC660" s="3" t="str">
        <x:f>IF(AND('中古車掲載'!C661="One2car",'中古車掲載'!F661="Corolla Cross",'中古車掲載'!L661="HEV PREMIUM SAFETY",'中古車掲載'!J661=2023,ISNUMBER('中古車掲載'!N661),'中古車掲載'!N661&gt;=50000,'中古車掲載'!O661&lt;=100000,'中古車掲載'!AL661=1,'中古車掲載'!Z661="https://www.one2car.com/en/cars-for-sale/toyota/corolla-cross/year-2023"),'中古車掲載'!U661,"")</x:f>
      </x:c>
      <x:c r="BD660" s="3" t="str">
        <x:f>IF(AND('中古車掲載'!C661="One2car",'中古車掲載'!F661="ATTO 3",'中古車掲載'!L661="EXTENDED RANGE",'中古車掲載'!J661=2023,ISNUMBER('中古車掲載'!N661),'中古車掲載'!N661&gt;=20000,'中古車掲載'!O661&lt;=50000,'中古車掲載'!AL661=1),'中古車掲載'!U661,"")</x:f>
      </x:c>
      <x:c r="BE660" s="3" t="str">
        <x:f>IF(AND('中古車掲載'!C661="One2car",'中古車掲載'!F661="Corolla Cross",'中古車掲載'!L661="HEV PREMIUM SAFETY",'中古車掲載'!J661=2023,ISNUMBER('中古車掲載'!N661),'中古車掲載'!N661&gt;=20000,'中古車掲載'!O661&lt;=50000,'中古車掲載'!AL661=1,'中古車掲載'!Z661="https://www.one2car.com/en/cars-for-sale/toyota/corolla-cross/year-2023"),'中古車掲載'!U661,"")</x:f>
      </x:c>
      <x:c r="BF660" s="3" t="str">
        <x:f>IF(AND('中古車掲載'!C661="One2car",'中古車掲載'!F661="Corolla Cross",'中古車掲載'!L661="HEV PREMIUM",'中古車掲載'!J661=2023,ISNUMBER('中古車掲載'!N661),'中古車掲載'!N661&gt;=20000,'中古車掲載'!O661&lt;=100000,'中古車掲載'!AL661=1,'中古車掲載'!Z661="https://www.one2car.com/en/cars-for-sale/toyota/corolla-cross/year-2023"),'中古車掲載'!U661,"")</x:f>
      </x:c>
      <x:c r="BG660" s="3" t="str">
        <x:f>IF(AND('中古車掲載'!C661="One2car",'中古車掲載'!F661="Corolla Cross",'中古車掲載'!L661="HEV GR SPORT",'中古車掲載'!J661=2023,ISNUMBER('中古車掲載'!N661),'中古車掲載'!N661&gt;=20000,'中古車掲載'!O661&lt;=100000,'中古車掲載'!AL661=1,'中古車掲載'!Z661="https://www.one2car.com/en/cars-for-sale/toyota/corolla-cross/year-2023"),'中古車掲載'!U661,"")</x:f>
      </x:c>
      <x:c r="BH660" s="3" t="str">
        <x:f>IF(AND('中古車掲載'!C661="One2car",'中古車掲載'!F661="DOLPHIN",'中古車掲載'!L661="STANDARD RANGE",'中古車掲載'!J661=2023,ISNUMBER('中古車掲載'!N661),'中古車掲載'!N661&gt;=20000,'中古車掲載'!O661&lt;=100000,'中古車掲載'!AL661=1),'中古車掲載'!U661,"")</x:f>
      </x:c>
      <x:c r="BI660" s="3" t="str">
        <x:v>Taladrod|Hilux Revo|ICE|Unknown</x:v>
      </x:c>
      <x:c r="BJ660" s="3" t="n">
        <x:v>661</x:v>
      </x:c>
      <x:c r="BK660" s="3" t="n">
        <x:f>'中古車掲載'!AM661</x:f>
        <x:v>364000</x:v>
      </x:c>
      <x:c r="BL660" s="3" t="str">
        <x:f>IF(ISNUMBER('中古車掲載'!AN661),'中古車掲載'!AN661,"")</x:f>
      </x:c>
      <x:c r="BM660" s="3"/>
      <x:c r="BN660" s="3"/>
      <x:c r="BO660" s="3"/>
      <x:c r="BP660" s="3"/>
      <x:c r="BQ660" s="3"/>
      <x:c r="BR660" s="3"/>
    </x:row>
    <x:row r="661" ht="22" customHeight="1">
      <x:c r="A661" s="3" t="str">
        <x:v>Yaris Ativ</x:v>
      </x:c>
      <x:c r="B661" s="3" t="str">
        <x:v>ICE</x:v>
      </x:c>
      <x:c r="C661" s="3" t="str">
        <x:v>Taladrod</x:v>
      </x:c>
      <x:c r="D661" s="3" t="str">
        <x:v>Sedan</x:v>
      </x:c>
      <x:c r="E661" s="3" t="str"/>
      <x:c r="F661" s="3" t="n">
        <x:v>2026</x:v>
      </x:c>
      <x:c r="G661" s="3" t="str">
        <x:v>PREMIUM LUXURY</x:v>
      </x:c>
      <x:c r="H661" s="3" t="str">
        <x:v>未掲載</x:v>
      </x:c>
      <x:c r="I661" s="3" t="str">
        <x:v>22-ปัจจุบัน</x:v>
      </x:c>
      <x:c r="J661" s="22" t="n">
        <x:f>COUNT('中古車掲載'!AM1093:AM1093)</x:f>
        <x:v>0</x:v>
      </x:c>
      <x:c r="K661" s="22" t="str">
        <x:f>IF(COUNT('中古車掲載'!AM1093:AM1093)=0,"",QUARTILE('中古車掲載'!AM1093:AM1093,1))</x:f>
      </x:c>
      <x:c r="L661" s="22" t="str">
        <x:f>IF(COUNT('中古車掲載'!AM1093:AM1093)=0,"",MEDIAN('中古車掲載'!AM1093:AM1093))</x:f>
      </x:c>
      <x:c r="M661" s="22" t="str">
        <x:f>IF(COUNT('中古車掲載'!AM1093:AM1093)=0,"",QUARTILE('中古車掲載'!AM1093:AM1093,3))</x:f>
      </x:c>
      <x:c r="N661" s="22" t="n">
        <x:f>COUNT('中古車掲載'!AN1093:AN1093)</x:f>
        <x:v>0</x:v>
      </x:c>
      <x:c r="O661" s="23" t="str">
        <x:f>IF(COUNT('中古車掲載'!AN1093:AN1093)=0,"",MEDIAN('中古車掲載'!AN1093:AN1093))</x:f>
      </x:c>
      <x:c r="P661" s="3"/>
      <x:c r="Q661" s="3"/>
      <x:c r="R661" s="3"/>
      <x:c r="S661" s="3"/>
      <x:c r="T661" s="3"/>
      <x:c r="U661" s="3"/>
      <x:c r="V661" s="3"/>
      <x:c r="W661" s="3"/>
      <x:c r="X661" s="3"/>
      <x:c r="Y661" s="3"/>
      <x:c r="Z661" s="3"/>
      <x:c r="AA661" s="3"/>
      <x:c r="AB661" s="3"/>
      <x:c r="AC661" s="3"/>
      <x:c r="AD661" s="3"/>
      <x:c r="AE661" s="3"/>
      <x:c r="AF661" s="3"/>
      <x:c r="AG661" s="3"/>
      <x:c r="AH661" s="3"/>
      <x:c r="AI661" s="3"/>
      <x:c r="AJ661" s="3"/>
      <x:c r="AK661" s="3"/>
      <x:c r="AL661" s="3"/>
      <x:c r="AM661" s="3"/>
      <x:c r="AN661" s="3"/>
      <x:c r="AO661" s="3"/>
      <x:c r="AP661" s="3"/>
      <x:c r="AQ661" s="3"/>
      <x:c r="AR661" s="3"/>
      <x:c r="AS661" s="3"/>
      <x:c r="AT661" s="3"/>
      <x:c r="AU661" s="3"/>
      <x:c r="AV661" s="3"/>
      <x:c r="AW661" s="3"/>
      <x:c r="AX661" s="3"/>
      <x:c r="AY661" s="3"/>
      <x:c r="AZ661" s="3" t="str">
        <x:f>IF(AND('中古車掲載'!C662="One2car",'中古車掲載'!F662="ATTO 3",'中古車掲載'!L662="EXTENDED RANGE",'中古車掲載'!J662=2023,ISNUMBER('中古車掲載'!N662),'中古車掲載'!N662&gt;=20000,'中古車掲載'!O662&lt;=100000,'中古車掲載'!AL662=1),'中古車掲載'!U662,"")</x:f>
      </x:c>
      <x:c r="BA661" s="3" t="str">
        <x:f>IF(AND('中古車掲載'!C662="One2car",'中古車掲載'!F662="Corolla Cross",'中古車掲載'!L662="HEV PREMIUM SAFETY",'中古車掲載'!J662=2023,ISNUMBER('中古車掲載'!N662),'中古車掲載'!N662&gt;=20000,'中古車掲載'!O662&lt;=100000,'中古車掲載'!AL662=1,'中古車掲載'!Z662="https://www.one2car.com/en/cars-for-sale/toyota/corolla-cross/year-2023"),'中古車掲載'!U662,"")</x:f>
      </x:c>
      <x:c r="BB661" s="3" t="str">
        <x:f>IF(AND('中古車掲載'!C662="One2car",'中古車掲載'!F662="ATTO 3",'中古車掲載'!L662="EXTENDED RANGE",'中古車掲載'!J662=2023,ISNUMBER('中古車掲載'!N662),'中古車掲載'!N662&gt;=50000,'中古車掲載'!O662&lt;=100000,'中古車掲載'!AL662=1),'中古車掲載'!U662,"")</x:f>
      </x:c>
      <x:c r="BC661" s="3" t="str">
        <x:f>IF(AND('中古車掲載'!C662="One2car",'中古車掲載'!F662="Corolla Cross",'中古車掲載'!L662="HEV PREMIUM SAFETY",'中古車掲載'!J662=2023,ISNUMBER('中古車掲載'!N662),'中古車掲載'!N662&gt;=50000,'中古車掲載'!O662&lt;=100000,'中古車掲載'!AL662=1,'中古車掲載'!Z662="https://www.one2car.com/en/cars-for-sale/toyota/corolla-cross/year-2023"),'中古車掲載'!U662,"")</x:f>
      </x:c>
      <x:c r="BD661" s="3" t="str">
        <x:f>IF(AND('中古車掲載'!C662="One2car",'中古車掲載'!F662="ATTO 3",'中古車掲載'!L662="EXTENDED RANGE",'中古車掲載'!J662=2023,ISNUMBER('中古車掲載'!N662),'中古車掲載'!N662&gt;=20000,'中古車掲載'!O662&lt;=50000,'中古車掲載'!AL662=1),'中古車掲載'!U662,"")</x:f>
      </x:c>
      <x:c r="BE661" s="3" t="str">
        <x:f>IF(AND('中古車掲載'!C662="One2car",'中古車掲載'!F662="Corolla Cross",'中古車掲載'!L662="HEV PREMIUM SAFETY",'中古車掲載'!J662=2023,ISNUMBER('中古車掲載'!N662),'中古車掲載'!N662&gt;=20000,'中古車掲載'!O662&lt;=50000,'中古車掲載'!AL662=1,'中古車掲載'!Z662="https://www.one2car.com/en/cars-for-sale/toyota/corolla-cross/year-2023"),'中古車掲載'!U662,"")</x:f>
      </x:c>
      <x:c r="BF661" s="3" t="str">
        <x:f>IF(AND('中古車掲載'!C662="One2car",'中古車掲載'!F662="Corolla Cross",'中古車掲載'!L662="HEV PREMIUM",'中古車掲載'!J662=2023,ISNUMBER('中古車掲載'!N662),'中古車掲載'!N662&gt;=20000,'中古車掲載'!O662&lt;=100000,'中古車掲載'!AL662=1,'中古車掲載'!Z662="https://www.one2car.com/en/cars-for-sale/toyota/corolla-cross/year-2023"),'中古車掲載'!U662,"")</x:f>
      </x:c>
      <x:c r="BG661" s="3" t="str">
        <x:f>IF(AND('中古車掲載'!C662="One2car",'中古車掲載'!F662="Corolla Cross",'中古車掲載'!L662="HEV GR SPORT",'中古車掲載'!J662=2023,ISNUMBER('中古車掲載'!N662),'中古車掲載'!N662&gt;=20000,'中古車掲載'!O662&lt;=100000,'中古車掲載'!AL662=1,'中古車掲載'!Z662="https://www.one2car.com/en/cars-for-sale/toyota/corolla-cross/year-2023"),'中古車掲載'!U662,"")</x:f>
      </x:c>
      <x:c r="BH661" s="3" t="str">
        <x:f>IF(AND('中古車掲載'!C662="One2car",'中古車掲載'!F662="DOLPHIN",'中古車掲載'!L662="STANDARD RANGE",'中古車掲載'!J662=2023,ISNUMBER('中古車掲載'!N662),'中古車掲載'!N662&gt;=20000,'中古車掲載'!O662&lt;=100000,'中古車掲載'!AL662=1),'中古車掲載'!U662,"")</x:f>
      </x:c>
      <x:c r="BI661" s="3" t="str">
        <x:v>Taladrod|Hilux Revo|ICE|Unknown</x:v>
      </x:c>
      <x:c r="BJ661" s="3" t="n">
        <x:v>662</x:v>
      </x:c>
      <x:c r="BK661" s="3" t="n">
        <x:f>'中古車掲載'!AM662</x:f>
        <x:v>410000</x:v>
      </x:c>
      <x:c r="BL661" s="3" t="str">
        <x:f>IF(ISNUMBER('中古車掲載'!AN662),'中古車掲載'!AN662,"")</x:f>
      </x:c>
      <x:c r="BM661" s="3"/>
      <x:c r="BN661" s="3"/>
      <x:c r="BO661" s="3"/>
      <x:c r="BP661" s="3"/>
      <x:c r="BQ661" s="3"/>
      <x:c r="BR661" s="3"/>
    </x:row>
    <x:row r="662" ht="22" customHeight="1">
      <x:c r="A662" s="3" t="str">
        <x:v>Yaris Ativ</x:v>
      </x:c>
      <x:c r="B662" s="3" t="str">
        <x:v>ICE</x:v>
      </x:c>
      <x:c r="C662" s="3" t="str">
        <x:v>Taladrod</x:v>
      </x:c>
      <x:c r="D662" s="3" t="str">
        <x:v>Sedan</x:v>
      </x:c>
      <x:c r="E662" s="3" t="str"/>
      <x:c r="F662" s="3" t="n">
        <x:v>2026</x:v>
      </x:c>
      <x:c r="G662" s="3" t="str">
        <x:v>SMART</x:v>
      </x:c>
      <x:c r="H662" s="3" t="str">
        <x:v>未掲載</x:v>
      </x:c>
      <x:c r="I662" s="3" t="str">
        <x:v>22-ปัจจุบัน</x:v>
      </x:c>
      <x:c r="J662" s="22" t="n">
        <x:f>COUNT('中古車掲載'!AM1094:AM1094)</x:f>
        <x:v>0</x:v>
      </x:c>
      <x:c r="K662" s="22" t="str">
        <x:f>IF(COUNT('中古車掲載'!AM1094:AM1094)=0,"",QUARTILE('中古車掲載'!AM1094:AM1094,1))</x:f>
      </x:c>
      <x:c r="L662" s="22" t="str">
        <x:f>IF(COUNT('中古車掲載'!AM1094:AM1094)=0,"",MEDIAN('中古車掲載'!AM1094:AM1094))</x:f>
      </x:c>
      <x:c r="M662" s="22" t="str">
        <x:f>IF(COUNT('中古車掲載'!AM1094:AM1094)=0,"",QUARTILE('中古車掲載'!AM1094:AM1094,3))</x:f>
      </x:c>
      <x:c r="N662" s="22" t="n">
        <x:f>COUNT('中古車掲載'!AN1094:AN1094)</x:f>
        <x:v>0</x:v>
      </x:c>
      <x:c r="O662" s="23" t="str">
        <x:f>IF(COUNT('中古車掲載'!AN1094:AN1094)=0,"",MEDIAN('中古車掲載'!AN1094:AN1094))</x:f>
      </x:c>
      <x:c r="P662" s="3"/>
      <x:c r="Q662" s="3"/>
      <x:c r="R662" s="3"/>
      <x:c r="S662" s="3"/>
      <x:c r="T662" s="3"/>
      <x:c r="U662" s="3"/>
      <x:c r="V662" s="3"/>
      <x:c r="W662" s="3"/>
      <x:c r="X662" s="3"/>
      <x:c r="Y662" s="3"/>
      <x:c r="Z662" s="3"/>
      <x:c r="AA662" s="3"/>
      <x:c r="AB662" s="3"/>
      <x:c r="AC662" s="3"/>
      <x:c r="AD662" s="3"/>
      <x:c r="AE662" s="3"/>
      <x:c r="AF662" s="3"/>
      <x:c r="AG662" s="3"/>
      <x:c r="AH662" s="3"/>
      <x:c r="AI662" s="3"/>
      <x:c r="AJ662" s="3"/>
      <x:c r="AK662" s="3"/>
      <x:c r="AL662" s="3"/>
      <x:c r="AM662" s="3"/>
      <x:c r="AN662" s="3"/>
      <x:c r="AO662" s="3"/>
      <x:c r="AP662" s="3"/>
      <x:c r="AQ662" s="3"/>
      <x:c r="AR662" s="3"/>
      <x:c r="AS662" s="3"/>
      <x:c r="AT662" s="3"/>
      <x:c r="AU662" s="3"/>
      <x:c r="AV662" s="3"/>
      <x:c r="AW662" s="3"/>
      <x:c r="AX662" s="3"/>
      <x:c r="AY662" s="3"/>
      <x:c r="AZ662" s="3" t="str">
        <x:f>IF(AND('中古車掲載'!C663="One2car",'中古車掲載'!F663="ATTO 3",'中古車掲載'!L663="EXTENDED RANGE",'中古車掲載'!J663=2023,ISNUMBER('中古車掲載'!N663),'中古車掲載'!N663&gt;=20000,'中古車掲載'!O663&lt;=100000,'中古車掲載'!AL663=1),'中古車掲載'!U663,"")</x:f>
      </x:c>
      <x:c r="BA662" s="3" t="str">
        <x:f>IF(AND('中古車掲載'!C663="One2car",'中古車掲載'!F663="Corolla Cross",'中古車掲載'!L663="HEV PREMIUM SAFETY",'中古車掲載'!J663=2023,ISNUMBER('中古車掲載'!N663),'中古車掲載'!N663&gt;=20000,'中古車掲載'!O663&lt;=100000,'中古車掲載'!AL663=1,'中古車掲載'!Z663="https://www.one2car.com/en/cars-for-sale/toyota/corolla-cross/year-2023"),'中古車掲載'!U663,"")</x:f>
      </x:c>
      <x:c r="BB662" s="3" t="str">
        <x:f>IF(AND('中古車掲載'!C663="One2car",'中古車掲載'!F663="ATTO 3",'中古車掲載'!L663="EXTENDED RANGE",'中古車掲載'!J663=2023,ISNUMBER('中古車掲載'!N663),'中古車掲載'!N663&gt;=50000,'中古車掲載'!O663&lt;=100000,'中古車掲載'!AL663=1),'中古車掲載'!U663,"")</x:f>
      </x:c>
      <x:c r="BC662" s="3" t="str">
        <x:f>IF(AND('中古車掲載'!C663="One2car",'中古車掲載'!F663="Corolla Cross",'中古車掲載'!L663="HEV PREMIUM SAFETY",'中古車掲載'!J663=2023,ISNUMBER('中古車掲載'!N663),'中古車掲載'!N663&gt;=50000,'中古車掲載'!O663&lt;=100000,'中古車掲載'!AL663=1,'中古車掲載'!Z663="https://www.one2car.com/en/cars-for-sale/toyota/corolla-cross/year-2023"),'中古車掲載'!U663,"")</x:f>
      </x:c>
      <x:c r="BD662" s="3" t="str">
        <x:f>IF(AND('中古車掲載'!C663="One2car",'中古車掲載'!F663="ATTO 3",'中古車掲載'!L663="EXTENDED RANGE",'中古車掲載'!J663=2023,ISNUMBER('中古車掲載'!N663),'中古車掲載'!N663&gt;=20000,'中古車掲載'!O663&lt;=50000,'中古車掲載'!AL663=1),'中古車掲載'!U663,"")</x:f>
      </x:c>
      <x:c r="BE662" s="3" t="str">
        <x:f>IF(AND('中古車掲載'!C663="One2car",'中古車掲載'!F663="Corolla Cross",'中古車掲載'!L663="HEV PREMIUM SAFETY",'中古車掲載'!J663=2023,ISNUMBER('中古車掲載'!N663),'中古車掲載'!N663&gt;=20000,'中古車掲載'!O663&lt;=50000,'中古車掲載'!AL663=1,'中古車掲載'!Z663="https://www.one2car.com/en/cars-for-sale/toyota/corolla-cross/year-2023"),'中古車掲載'!U663,"")</x:f>
      </x:c>
      <x:c r="BF662" s="3" t="str">
        <x:f>IF(AND('中古車掲載'!C663="One2car",'中古車掲載'!F663="Corolla Cross",'中古車掲載'!L663="HEV PREMIUM",'中古車掲載'!J663=2023,ISNUMBER('中古車掲載'!N663),'中古車掲載'!N663&gt;=20000,'中古車掲載'!O663&lt;=100000,'中古車掲載'!AL663=1,'中古車掲載'!Z663="https://www.one2car.com/en/cars-for-sale/toyota/corolla-cross/year-2023"),'中古車掲載'!U663,"")</x:f>
      </x:c>
      <x:c r="BG662" s="3" t="str">
        <x:f>IF(AND('中古車掲載'!C663="One2car",'中古車掲載'!F663="Corolla Cross",'中古車掲載'!L663="HEV GR SPORT",'中古車掲載'!J663=2023,ISNUMBER('中古車掲載'!N663),'中古車掲載'!N663&gt;=20000,'中古車掲載'!O663&lt;=100000,'中古車掲載'!AL663=1,'中古車掲載'!Z663="https://www.one2car.com/en/cars-for-sale/toyota/corolla-cross/year-2023"),'中古車掲載'!U663,"")</x:f>
      </x:c>
      <x:c r="BH662" s="3" t="str">
        <x:f>IF(AND('中古車掲載'!C663="One2car",'中古車掲載'!F663="DOLPHIN",'中古車掲載'!L663="STANDARD RANGE",'中古車掲載'!J663=2023,ISNUMBER('中古車掲載'!N663),'中古車掲載'!N663&gt;=20000,'中古車掲載'!O663&lt;=100000,'中古車掲載'!AL663=1),'中古車掲載'!U663,"")</x:f>
      </x:c>
      <x:c r="BI662" s="3" t="str">
        <x:v>Taladrod|Hilux Revo|ICE|Unknown</x:v>
      </x:c>
      <x:c r="BJ662" s="3" t="n">
        <x:v>663</x:v>
      </x:c>
      <x:c r="BK662" s="3" t="n">
        <x:f>'中古車掲載'!AM663</x:f>
        <x:v>290000</x:v>
      </x:c>
      <x:c r="BL662" s="3" t="str">
        <x:f>IF(ISNUMBER('中古車掲載'!AN663),'中古車掲載'!AN663,"")</x:f>
      </x:c>
      <x:c r="BM662" s="3"/>
      <x:c r="BN662" s="3"/>
      <x:c r="BO662" s="3"/>
      <x:c r="BP662" s="3"/>
      <x:c r="BQ662" s="3"/>
      <x:c r="BR662" s="3"/>
    </x:row>
    <x:row r="663" ht="22" customHeight="1">
      <x:c r="A663" s="3" t="str">
        <x:v>Yaris Ativ</x:v>
      </x:c>
      <x:c r="B663" s="3" t="str">
        <x:v>ICE</x:v>
      </x:c>
      <x:c r="C663" s="3" t="str">
        <x:v>Taladrod</x:v>
      </x:c>
      <x:c r="D663" s="3" t="str">
        <x:v>Sedan</x:v>
      </x:c>
      <x:c r="E663" s="3" t="str"/>
      <x:c r="F663" s="3" t="n">
        <x:v>2026</x:v>
      </x:c>
      <x:c r="G663" s="3" t="str">
        <x:v>SPORT</x:v>
      </x:c>
      <x:c r="H663" s="3" t="str">
        <x:v>未掲載</x:v>
      </x:c>
      <x:c r="I663" s="3" t="str">
        <x:v>22-ปัจจุบัน</x:v>
      </x:c>
      <x:c r="J663" s="22" t="n">
        <x:f>COUNT('中古車掲載'!AM1095:AM1095)</x:f>
        <x:v>0</x:v>
      </x:c>
      <x:c r="K663" s="22" t="str">
        <x:f>IF(COUNT('中古車掲載'!AM1095:AM1095)=0,"",QUARTILE('中古車掲載'!AM1095:AM1095,1))</x:f>
      </x:c>
      <x:c r="L663" s="22" t="str">
        <x:f>IF(COUNT('中古車掲載'!AM1095:AM1095)=0,"",MEDIAN('中古車掲載'!AM1095:AM1095))</x:f>
      </x:c>
      <x:c r="M663" s="22" t="str">
        <x:f>IF(COUNT('中古車掲載'!AM1095:AM1095)=0,"",QUARTILE('中古車掲載'!AM1095:AM1095,3))</x:f>
      </x:c>
      <x:c r="N663" s="22" t="n">
        <x:f>COUNT('中古車掲載'!AN1095:AN1095)</x:f>
        <x:v>0</x:v>
      </x:c>
      <x:c r="O663" s="23" t="str">
        <x:f>IF(COUNT('中古車掲載'!AN1095:AN1095)=0,"",MEDIAN('中古車掲載'!AN1095:AN1095))</x:f>
      </x:c>
      <x:c r="P663" s="3"/>
      <x:c r="Q663" s="3"/>
      <x:c r="R663" s="3"/>
      <x:c r="S663" s="3"/>
      <x:c r="T663" s="3"/>
      <x:c r="U663" s="3"/>
      <x:c r="V663" s="3"/>
      <x:c r="W663" s="3"/>
      <x:c r="X663" s="3"/>
      <x:c r="Y663" s="3"/>
      <x:c r="Z663" s="3"/>
      <x:c r="AA663" s="3"/>
      <x:c r="AB663" s="3"/>
      <x:c r="AC663" s="3"/>
      <x:c r="AD663" s="3"/>
      <x:c r="AE663" s="3"/>
      <x:c r="AF663" s="3"/>
      <x:c r="AG663" s="3"/>
      <x:c r="AH663" s="3"/>
      <x:c r="AI663" s="3"/>
      <x:c r="AJ663" s="3"/>
      <x:c r="AK663" s="3"/>
      <x:c r="AL663" s="3"/>
      <x:c r="AM663" s="3"/>
      <x:c r="AN663" s="3"/>
      <x:c r="AO663" s="3"/>
      <x:c r="AP663" s="3"/>
      <x:c r="AQ663" s="3"/>
      <x:c r="AR663" s="3"/>
      <x:c r="AS663" s="3"/>
      <x:c r="AT663" s="3"/>
      <x:c r="AU663" s="3"/>
      <x:c r="AV663" s="3"/>
      <x:c r="AW663" s="3"/>
      <x:c r="AX663" s="3"/>
      <x:c r="AY663" s="3"/>
      <x:c r="AZ663" s="3" t="str">
        <x:f>IF(AND('中古車掲載'!C664="One2car",'中古車掲載'!F664="ATTO 3",'中古車掲載'!L664="EXTENDED RANGE",'中古車掲載'!J664=2023,ISNUMBER('中古車掲載'!N664),'中古車掲載'!N664&gt;=20000,'中古車掲載'!O664&lt;=100000,'中古車掲載'!AL664=1),'中古車掲載'!U664,"")</x:f>
      </x:c>
      <x:c r="BA663" s="3" t="str">
        <x:f>IF(AND('中古車掲載'!C664="One2car",'中古車掲載'!F664="Corolla Cross",'中古車掲載'!L664="HEV PREMIUM SAFETY",'中古車掲載'!J664=2023,ISNUMBER('中古車掲載'!N664),'中古車掲載'!N664&gt;=20000,'中古車掲載'!O664&lt;=100000,'中古車掲載'!AL664=1,'中古車掲載'!Z664="https://www.one2car.com/en/cars-for-sale/toyota/corolla-cross/year-2023"),'中古車掲載'!U664,"")</x:f>
      </x:c>
      <x:c r="BB663" s="3" t="str">
        <x:f>IF(AND('中古車掲載'!C664="One2car",'中古車掲載'!F664="ATTO 3",'中古車掲載'!L664="EXTENDED RANGE",'中古車掲載'!J664=2023,ISNUMBER('中古車掲載'!N664),'中古車掲載'!N664&gt;=50000,'中古車掲載'!O664&lt;=100000,'中古車掲載'!AL664=1),'中古車掲載'!U664,"")</x:f>
      </x:c>
      <x:c r="BC663" s="3" t="str">
        <x:f>IF(AND('中古車掲載'!C664="One2car",'中古車掲載'!F664="Corolla Cross",'中古車掲載'!L664="HEV PREMIUM SAFETY",'中古車掲載'!J664=2023,ISNUMBER('中古車掲載'!N664),'中古車掲載'!N664&gt;=50000,'中古車掲載'!O664&lt;=100000,'中古車掲載'!AL664=1,'中古車掲載'!Z664="https://www.one2car.com/en/cars-for-sale/toyota/corolla-cross/year-2023"),'中古車掲載'!U664,"")</x:f>
      </x:c>
      <x:c r="BD663" s="3" t="str">
        <x:f>IF(AND('中古車掲載'!C664="One2car",'中古車掲載'!F664="ATTO 3",'中古車掲載'!L664="EXTENDED RANGE",'中古車掲載'!J664=2023,ISNUMBER('中古車掲載'!N664),'中古車掲載'!N664&gt;=20000,'中古車掲載'!O664&lt;=50000,'中古車掲載'!AL664=1),'中古車掲載'!U664,"")</x:f>
      </x:c>
      <x:c r="BE663" s="3" t="str">
        <x:f>IF(AND('中古車掲載'!C664="One2car",'中古車掲載'!F664="Corolla Cross",'中古車掲載'!L664="HEV PREMIUM SAFETY",'中古車掲載'!J664=2023,ISNUMBER('中古車掲載'!N664),'中古車掲載'!N664&gt;=20000,'中古車掲載'!O664&lt;=50000,'中古車掲載'!AL664=1,'中古車掲載'!Z664="https://www.one2car.com/en/cars-for-sale/toyota/corolla-cross/year-2023"),'中古車掲載'!U664,"")</x:f>
      </x:c>
      <x:c r="BF663" s="3" t="str">
        <x:f>IF(AND('中古車掲載'!C664="One2car",'中古車掲載'!F664="Corolla Cross",'中古車掲載'!L664="HEV PREMIUM",'中古車掲載'!J664=2023,ISNUMBER('中古車掲載'!N664),'中古車掲載'!N664&gt;=20000,'中古車掲載'!O664&lt;=100000,'中古車掲載'!AL664=1,'中古車掲載'!Z664="https://www.one2car.com/en/cars-for-sale/toyota/corolla-cross/year-2023"),'中古車掲載'!U664,"")</x:f>
      </x:c>
      <x:c r="BG663" s="3" t="str">
        <x:f>IF(AND('中古車掲載'!C664="One2car",'中古車掲載'!F664="Corolla Cross",'中古車掲載'!L664="HEV GR SPORT",'中古車掲載'!J664=2023,ISNUMBER('中古車掲載'!N664),'中古車掲載'!N664&gt;=20000,'中古車掲載'!O664&lt;=100000,'中古車掲載'!AL664=1,'中古車掲載'!Z664="https://www.one2car.com/en/cars-for-sale/toyota/corolla-cross/year-2023"),'中古車掲載'!U664,"")</x:f>
      </x:c>
      <x:c r="BH663" s="3" t="str">
        <x:f>IF(AND('中古車掲載'!C664="One2car",'中古車掲載'!F664="DOLPHIN",'中古車掲載'!L664="STANDARD RANGE",'中古車掲載'!J664=2023,ISNUMBER('中古車掲載'!N664),'中古車掲載'!N664&gt;=20000,'中古車掲載'!O664&lt;=100000,'中古車掲載'!AL664=1),'中古車掲載'!U664,"")</x:f>
      </x:c>
      <x:c r="BI663" s="3" t="str">
        <x:v>Taladrod|Hilux Revo|ICE|Unknown</x:v>
      </x:c>
      <x:c r="BJ663" s="3" t="n">
        <x:v>664</x:v>
      </x:c>
      <x:c r="BK663" s="3" t="n">
        <x:f>'中古車掲載'!AM664</x:f>
        <x:v>399000</x:v>
      </x:c>
      <x:c r="BL663" s="3" t="str">
        <x:f>IF(ISNUMBER('中古車掲載'!AN664),'中古車掲載'!AN664,"")</x:f>
      </x:c>
      <x:c r="BM663" s="3"/>
      <x:c r="BN663" s="3"/>
      <x:c r="BO663" s="3"/>
      <x:c r="BP663" s="3"/>
      <x:c r="BQ663" s="3"/>
      <x:c r="BR663" s="3"/>
    </x:row>
    <x:row r="664" ht="22" customHeight="1">
      <x:c r="A664" s="3" t="str">
        <x:v>Yaris Ativ</x:v>
      </x:c>
      <x:c r="B664" s="3" t="str">
        <x:v>不明</x:v>
      </x:c>
      <x:c r="C664" s="3" t="str">
        <x:v>Taladrod</x:v>
      </x:c>
      <x:c r="D664" s="3" t="str">
        <x:v>Sedan</x:v>
      </x:c>
      <x:c r="E664" s="3" t="str"/>
      <x:c r="F664" s="3" t="n">
        <x:v>2022</x:v>
      </x:c>
      <x:c r="G664" s="3" t="str">
        <x:v>グレード不明</x:v>
      </x:c>
      <x:c r="H664" s="3" t="str">
        <x:v>未掲載</x:v>
      </x:c>
      <x:c r="I664" s="3" t="str">
        <x:v>22-ปัจจุบัน</x:v>
      </x:c>
      <x:c r="J664" s="22" t="n">
        <x:f>COUNT('中古車掲載'!AM1096:AM1096)</x:f>
        <x:v>1</x:v>
      </x:c>
      <x:c r="K664" s="22" t="n">
        <x:f>IF(COUNT('中古車掲載'!AM1096:AM1096)=0,"",QUARTILE('中古車掲載'!AM1096:AM1096,1))</x:f>
        <x:v>390000</x:v>
      </x:c>
      <x:c r="L664" s="22" t="n">
        <x:f>IF(COUNT('中古車掲載'!AM1096:AM1096)=0,"",MEDIAN('中古車掲載'!AM1096:AM1096))</x:f>
        <x:v>390000</x:v>
      </x:c>
      <x:c r="M664" s="22" t="n">
        <x:f>IF(COUNT('中古車掲載'!AM1096:AM1096)=0,"",QUARTILE('中古車掲載'!AM1096:AM1096,3))</x:f>
        <x:v>390000</x:v>
      </x:c>
      <x:c r="N664" s="22" t="n">
        <x:f>COUNT('中古車掲載'!AN1096:AN1096)</x:f>
        <x:v>0</x:v>
      </x:c>
      <x:c r="O664" s="23" t="str">
        <x:f>IF(COUNT('中古車掲載'!AN1096:AN1096)=0,"",MEDIAN('中古車掲載'!AN1096:AN1096))</x:f>
      </x:c>
      <x:c r="P664" s="3"/>
      <x:c r="Q664" s="3"/>
      <x:c r="R664" s="3"/>
      <x:c r="S664" s="3"/>
      <x:c r="T664" s="3"/>
      <x:c r="U664" s="3"/>
      <x:c r="V664" s="3"/>
      <x:c r="W664" s="3"/>
      <x:c r="X664" s="3"/>
      <x:c r="Y664" s="3"/>
      <x:c r="Z664" s="3"/>
      <x:c r="AA664" s="3"/>
      <x:c r="AB664" s="3"/>
      <x:c r="AC664" s="3"/>
      <x:c r="AD664" s="3"/>
      <x:c r="AE664" s="3"/>
      <x:c r="AF664" s="3"/>
      <x:c r="AG664" s="3"/>
      <x:c r="AH664" s="3"/>
      <x:c r="AI664" s="3"/>
      <x:c r="AJ664" s="3"/>
      <x:c r="AK664" s="3"/>
      <x:c r="AL664" s="3"/>
      <x:c r="AM664" s="3"/>
      <x:c r="AN664" s="3"/>
      <x:c r="AO664" s="3"/>
      <x:c r="AP664" s="3"/>
      <x:c r="AQ664" s="3"/>
      <x:c r="AR664" s="3"/>
      <x:c r="AS664" s="3"/>
      <x:c r="AT664" s="3"/>
      <x:c r="AU664" s="3"/>
      <x:c r="AV664" s="3"/>
      <x:c r="AW664" s="3"/>
      <x:c r="AX664" s="3"/>
      <x:c r="AY664" s="3"/>
      <x:c r="AZ664" s="3" t="str">
        <x:f>IF(AND('中古車掲載'!C665="One2car",'中古車掲載'!F665="ATTO 3",'中古車掲載'!L665="EXTENDED RANGE",'中古車掲載'!J665=2023,ISNUMBER('中古車掲載'!N665),'中古車掲載'!N665&gt;=20000,'中古車掲載'!O665&lt;=100000,'中古車掲載'!AL665=1),'中古車掲載'!U665,"")</x:f>
      </x:c>
      <x:c r="BA664" s="3" t="str">
        <x:f>IF(AND('中古車掲載'!C665="One2car",'中古車掲載'!F665="Corolla Cross",'中古車掲載'!L665="HEV PREMIUM SAFETY",'中古車掲載'!J665=2023,ISNUMBER('中古車掲載'!N665),'中古車掲載'!N665&gt;=20000,'中古車掲載'!O665&lt;=100000,'中古車掲載'!AL665=1,'中古車掲載'!Z665="https://www.one2car.com/en/cars-for-sale/toyota/corolla-cross/year-2023"),'中古車掲載'!U665,"")</x:f>
      </x:c>
      <x:c r="BB664" s="3" t="str">
        <x:f>IF(AND('中古車掲載'!C665="One2car",'中古車掲載'!F665="ATTO 3",'中古車掲載'!L665="EXTENDED RANGE",'中古車掲載'!J665=2023,ISNUMBER('中古車掲載'!N665),'中古車掲載'!N665&gt;=50000,'中古車掲載'!O665&lt;=100000,'中古車掲載'!AL665=1),'中古車掲載'!U665,"")</x:f>
      </x:c>
      <x:c r="BC664" s="3" t="str">
        <x:f>IF(AND('中古車掲載'!C665="One2car",'中古車掲載'!F665="Corolla Cross",'中古車掲載'!L665="HEV PREMIUM SAFETY",'中古車掲載'!J665=2023,ISNUMBER('中古車掲載'!N665),'中古車掲載'!N665&gt;=50000,'中古車掲載'!O665&lt;=100000,'中古車掲載'!AL665=1,'中古車掲載'!Z665="https://www.one2car.com/en/cars-for-sale/toyota/corolla-cross/year-2023"),'中古車掲載'!U665,"")</x:f>
      </x:c>
      <x:c r="BD664" s="3" t="str">
        <x:f>IF(AND('中古車掲載'!C665="One2car",'中古車掲載'!F665="ATTO 3",'中古車掲載'!L665="EXTENDED RANGE",'中古車掲載'!J665=2023,ISNUMBER('中古車掲載'!N665),'中古車掲載'!N665&gt;=20000,'中古車掲載'!O665&lt;=50000,'中古車掲載'!AL665=1),'中古車掲載'!U665,"")</x:f>
      </x:c>
      <x:c r="BE664" s="3" t="str">
        <x:f>IF(AND('中古車掲載'!C665="One2car",'中古車掲載'!F665="Corolla Cross",'中古車掲載'!L665="HEV PREMIUM SAFETY",'中古車掲載'!J665=2023,ISNUMBER('中古車掲載'!N665),'中古車掲載'!N665&gt;=20000,'中古車掲載'!O665&lt;=50000,'中古車掲載'!AL665=1,'中古車掲載'!Z665="https://www.one2car.com/en/cars-for-sale/toyota/corolla-cross/year-2023"),'中古車掲載'!U665,"")</x:f>
      </x:c>
      <x:c r="BF664" s="3" t="str">
        <x:f>IF(AND('中古車掲載'!C665="One2car",'中古車掲載'!F665="Corolla Cross",'中古車掲載'!L665="HEV PREMIUM",'中古車掲載'!J665=2023,ISNUMBER('中古車掲載'!N665),'中古車掲載'!N665&gt;=20000,'中古車掲載'!O665&lt;=100000,'中古車掲載'!AL665=1,'中古車掲載'!Z665="https://www.one2car.com/en/cars-for-sale/toyota/corolla-cross/year-2023"),'中古車掲載'!U665,"")</x:f>
      </x:c>
      <x:c r="BG664" s="3" t="str">
        <x:f>IF(AND('中古車掲載'!C665="One2car",'中古車掲載'!F665="Corolla Cross",'中古車掲載'!L665="HEV GR SPORT",'中古車掲載'!J665=2023,ISNUMBER('中古車掲載'!N665),'中古車掲載'!N665&gt;=20000,'中古車掲載'!O665&lt;=100000,'中古車掲載'!AL665=1,'中古車掲載'!Z665="https://www.one2car.com/en/cars-for-sale/toyota/corolla-cross/year-2023"),'中古車掲載'!U665,"")</x:f>
      </x:c>
      <x:c r="BH664" s="3" t="str">
        <x:f>IF(AND('中古車掲載'!C665="One2car",'中古車掲載'!F665="DOLPHIN",'中古車掲載'!L665="STANDARD RANGE",'中古車掲載'!J665=2023,ISNUMBER('中古車掲載'!N665),'中古車掲載'!N665&gt;=20000,'中古車掲載'!O665&lt;=100000,'中古車掲載'!AL665=1),'中古車掲載'!U665,"")</x:f>
      </x:c>
      <x:c r="BI664" s="3" t="str">
        <x:v>Taladrod|Hilux Revo|ICE|Unknown</x:v>
      </x:c>
      <x:c r="BJ664" s="3" t="n">
        <x:v>665</x:v>
      </x:c>
      <x:c r="BK664" s="3" t="n">
        <x:f>'中古車掲載'!AM665</x:f>
        <x:v>425000</x:v>
      </x:c>
      <x:c r="BL664" s="3" t="str">
        <x:f>IF(ISNUMBER('中古車掲載'!AN665),'中古車掲載'!AN665,"")</x:f>
      </x:c>
      <x:c r="BM664" s="3"/>
      <x:c r="BN664" s="3"/>
      <x:c r="BO664" s="3"/>
      <x:c r="BP664" s="3"/>
      <x:c r="BQ664" s="3"/>
      <x:c r="BR664" s="3"/>
    </x:row>
    <x:row r="665" ht="22" customHeight="1">
      <x:c r="A665" s="3" t="str">
        <x:v>Yaris Cross</x:v>
      </x:c>
      <x:c r="B665" s="3" t="str">
        <x:v>HEV</x:v>
      </x:c>
      <x:c r="C665" s="3" t="str">
        <x:v>Taladrod</x:v>
      </x:c>
      <x:c r="D665" s="3" t="str">
        <x:v>SUV</x:v>
      </x:c>
      <x:c r="E665" s="3" t="str"/>
      <x:c r="F665" s="3" t="n">
        <x:v>2023</x:v>
      </x:c>
      <x:c r="G665" s="3" t="str">
        <x:v>1.5 HEV PREMIUM</x:v>
      </x:c>
      <x:c r="H665" s="3" t="str">
        <x:v>未掲載</x:v>
      </x:c>
      <x:c r="I665" s="3" t="str">
        <x:v>23-ปัจจุบัน</x:v>
      </x:c>
      <x:c r="J665" s="22" t="n">
        <x:f>COUNT('中古車掲載'!AM1097:AM1097)</x:f>
        <x:v>1</x:v>
      </x:c>
      <x:c r="K665" s="22" t="n">
        <x:f>IF(COUNT('中古車掲載'!AM1097:AM1097)=0,"",QUARTILE('中古車掲載'!AM1097:AM1097,1))</x:f>
        <x:v>604000</x:v>
      </x:c>
      <x:c r="L665" s="22" t="n">
        <x:f>IF(COUNT('中古車掲載'!AM1097:AM1097)=0,"",MEDIAN('中古車掲載'!AM1097:AM1097))</x:f>
        <x:v>604000</x:v>
      </x:c>
      <x:c r="M665" s="22" t="n">
        <x:f>IF(COUNT('中古車掲載'!AM1097:AM1097)=0,"",QUARTILE('中古車掲載'!AM1097:AM1097,3))</x:f>
        <x:v>604000</x:v>
      </x:c>
      <x:c r="N665" s="22" t="n">
        <x:f>COUNT('中古車掲載'!AN1097:AN1097)</x:f>
        <x:v>0</x:v>
      </x:c>
      <x:c r="O665" s="23" t="str">
        <x:f>IF(COUNT('中古車掲載'!AN1097:AN1097)=0,"",MEDIAN('中古車掲載'!AN1097:AN1097))</x:f>
      </x:c>
      <x:c r="P665" s="3"/>
      <x:c r="Q665" s="3"/>
      <x:c r="R665" s="3"/>
      <x:c r="S665" s="3"/>
      <x:c r="T665" s="3"/>
      <x:c r="U665" s="3"/>
      <x:c r="V665" s="3"/>
      <x:c r="W665" s="3"/>
      <x:c r="X665" s="3"/>
      <x:c r="Y665" s="3"/>
      <x:c r="Z665" s="3"/>
      <x:c r="AA665" s="3"/>
      <x:c r="AB665" s="3"/>
      <x:c r="AC665" s="3"/>
      <x:c r="AD665" s="3"/>
      <x:c r="AE665" s="3"/>
      <x:c r="AF665" s="3"/>
      <x:c r="AG665" s="3"/>
      <x:c r="AH665" s="3"/>
      <x:c r="AI665" s="3"/>
      <x:c r="AJ665" s="3"/>
      <x:c r="AK665" s="3"/>
      <x:c r="AL665" s="3"/>
      <x:c r="AM665" s="3"/>
      <x:c r="AN665" s="3"/>
      <x:c r="AO665" s="3"/>
      <x:c r="AP665" s="3"/>
      <x:c r="AQ665" s="3"/>
      <x:c r="AR665" s="3"/>
      <x:c r="AS665" s="3"/>
      <x:c r="AT665" s="3"/>
      <x:c r="AU665" s="3"/>
      <x:c r="AV665" s="3"/>
      <x:c r="AW665" s="3"/>
      <x:c r="AX665" s="3"/>
      <x:c r="AY665" s="3"/>
      <x:c r="AZ665" s="3" t="str">
        <x:f>IF(AND('中古車掲載'!C666="One2car",'中古車掲載'!F666="ATTO 3",'中古車掲載'!L666="EXTENDED RANGE",'中古車掲載'!J666=2023,ISNUMBER('中古車掲載'!N666),'中古車掲載'!N666&gt;=20000,'中古車掲載'!O666&lt;=100000,'中古車掲載'!AL666=1),'中古車掲載'!U666,"")</x:f>
      </x:c>
      <x:c r="BA665" s="3" t="str">
        <x:f>IF(AND('中古車掲載'!C666="One2car",'中古車掲載'!F666="Corolla Cross",'中古車掲載'!L666="HEV PREMIUM SAFETY",'中古車掲載'!J666=2023,ISNUMBER('中古車掲載'!N666),'中古車掲載'!N666&gt;=20000,'中古車掲載'!O666&lt;=100000,'中古車掲載'!AL666=1,'中古車掲載'!Z666="https://www.one2car.com/en/cars-for-sale/toyota/corolla-cross/year-2023"),'中古車掲載'!U666,"")</x:f>
      </x:c>
      <x:c r="BB665" s="3" t="str">
        <x:f>IF(AND('中古車掲載'!C666="One2car",'中古車掲載'!F666="ATTO 3",'中古車掲載'!L666="EXTENDED RANGE",'中古車掲載'!J666=2023,ISNUMBER('中古車掲載'!N666),'中古車掲載'!N666&gt;=50000,'中古車掲載'!O666&lt;=100000,'中古車掲載'!AL666=1),'中古車掲載'!U666,"")</x:f>
      </x:c>
      <x:c r="BC665" s="3" t="str">
        <x:f>IF(AND('中古車掲載'!C666="One2car",'中古車掲載'!F666="Corolla Cross",'中古車掲載'!L666="HEV PREMIUM SAFETY",'中古車掲載'!J666=2023,ISNUMBER('中古車掲載'!N666),'中古車掲載'!N666&gt;=50000,'中古車掲載'!O666&lt;=100000,'中古車掲載'!AL666=1,'中古車掲載'!Z666="https://www.one2car.com/en/cars-for-sale/toyota/corolla-cross/year-2023"),'中古車掲載'!U666,"")</x:f>
      </x:c>
      <x:c r="BD665" s="3" t="str">
        <x:f>IF(AND('中古車掲載'!C666="One2car",'中古車掲載'!F666="ATTO 3",'中古車掲載'!L666="EXTENDED RANGE",'中古車掲載'!J666=2023,ISNUMBER('中古車掲載'!N666),'中古車掲載'!N666&gt;=20000,'中古車掲載'!O666&lt;=50000,'中古車掲載'!AL666=1),'中古車掲載'!U666,"")</x:f>
      </x:c>
      <x:c r="BE665" s="3" t="str">
        <x:f>IF(AND('中古車掲載'!C666="One2car",'中古車掲載'!F666="Corolla Cross",'中古車掲載'!L666="HEV PREMIUM SAFETY",'中古車掲載'!J666=2023,ISNUMBER('中古車掲載'!N666),'中古車掲載'!N666&gt;=20000,'中古車掲載'!O666&lt;=50000,'中古車掲載'!AL666=1,'中古車掲載'!Z666="https://www.one2car.com/en/cars-for-sale/toyota/corolla-cross/year-2023"),'中古車掲載'!U666,"")</x:f>
      </x:c>
      <x:c r="BF665" s="3" t="str">
        <x:f>IF(AND('中古車掲載'!C666="One2car",'中古車掲載'!F666="Corolla Cross",'中古車掲載'!L666="HEV PREMIUM",'中古車掲載'!J666=2023,ISNUMBER('中古車掲載'!N666),'中古車掲載'!N666&gt;=20000,'中古車掲載'!O666&lt;=100000,'中古車掲載'!AL666=1,'中古車掲載'!Z666="https://www.one2car.com/en/cars-for-sale/toyota/corolla-cross/year-2023"),'中古車掲載'!U666,"")</x:f>
      </x:c>
      <x:c r="BG665" s="3" t="str">
        <x:f>IF(AND('中古車掲載'!C666="One2car",'中古車掲載'!F666="Corolla Cross",'中古車掲載'!L666="HEV GR SPORT",'中古車掲載'!J666=2023,ISNUMBER('中古車掲載'!N666),'中古車掲載'!N666&gt;=20000,'中古車掲載'!O666&lt;=100000,'中古車掲載'!AL666=1,'中古車掲載'!Z666="https://www.one2car.com/en/cars-for-sale/toyota/corolla-cross/year-2023"),'中古車掲載'!U666,"")</x:f>
      </x:c>
      <x:c r="BH665" s="3" t="str">
        <x:f>IF(AND('中古車掲載'!C666="One2car",'中古車掲載'!F666="DOLPHIN",'中古車掲載'!L666="STANDARD RANGE",'中古車掲載'!J666=2023,ISNUMBER('中古車掲載'!N666),'中古車掲載'!N666&gt;=20000,'中古車掲載'!O666&lt;=100000,'中古車掲載'!AL666=1),'中古車掲載'!U666,"")</x:f>
      </x:c>
      <x:c r="BI665" s="3" t="str">
        <x:v>Taladrod|Hilux Revo|ICE|Unknown</x:v>
      </x:c>
      <x:c r="BJ665" s="3" t="n">
        <x:v>666</x:v>
      </x:c>
      <x:c r="BK665" s="3" t="n">
        <x:f>'中古車掲載'!AM666</x:f>
        <x:v>419000</x:v>
      </x:c>
      <x:c r="BL665" s="3" t="str">
        <x:f>IF(ISNUMBER('中古車掲載'!AN666),'中古車掲載'!AN666,"")</x:f>
      </x:c>
      <x:c r="BM665" s="3"/>
      <x:c r="BN665" s="3"/>
      <x:c r="BO665" s="3"/>
      <x:c r="BP665" s="3"/>
      <x:c r="BQ665" s="3"/>
      <x:c r="BR665" s="3"/>
    </x:row>
    <x:row r="666" ht="22" customHeight="1">
      <x:c r="A666" s="3" t="str">
        <x:v>Yaris Cross</x:v>
      </x:c>
      <x:c r="B666" s="3" t="str">
        <x:v>HEV</x:v>
      </x:c>
      <x:c r="C666" s="3" t="str">
        <x:v>Taladrod</x:v>
      </x:c>
      <x:c r="D666" s="3" t="str">
        <x:v>SUV</x:v>
      </x:c>
      <x:c r="E666" s="3" t="str"/>
      <x:c r="F666" s="3" t="n">
        <x:v>2023</x:v>
      </x:c>
      <x:c r="G666" s="3" t="str">
        <x:v>1.5 HEV PREMIUM LUXURY</x:v>
      </x:c>
      <x:c r="H666" s="3" t="str">
        <x:v>未掲載</x:v>
      </x:c>
      <x:c r="I666" s="3" t="str">
        <x:v>23-ปัจจุบัน</x:v>
      </x:c>
      <x:c r="J666" s="22" t="n">
        <x:f>COUNT('中古車掲載'!AM1098:AM1102)</x:f>
        <x:v>5</x:v>
      </x:c>
      <x:c r="K666" s="22" t="n">
        <x:f>IF(COUNT('中古車掲載'!AM1098:AM1102)=0,"",QUARTILE('中古車掲載'!AM1098:AM1102,1))</x:f>
        <x:v>689000</x:v>
      </x:c>
      <x:c r="L666" s="22" t="n">
        <x:f>IF(COUNT('中古車掲載'!AM1098:AM1102)=0,"",MEDIAN('中古車掲載'!AM1098:AM1102))</x:f>
        <x:v>699000</x:v>
      </x:c>
      <x:c r="M666" s="22" t="n">
        <x:f>IF(COUNT('中古車掲載'!AM1098:AM1102)=0,"",QUARTILE('中古車掲載'!AM1098:AM1102,3))</x:f>
        <x:v>729000</x:v>
      </x:c>
      <x:c r="N666" s="22" t="n">
        <x:f>COUNT('中古車掲載'!AN1098:AN1102)</x:f>
        <x:v>0</x:v>
      </x:c>
      <x:c r="O666" s="23" t="str">
        <x:f>IF(COUNT('中古車掲載'!AN1098:AN1102)=0,"",MEDIAN('中古車掲載'!AN1098:AN1102))</x:f>
      </x:c>
      <x:c r="P666" s="3"/>
      <x:c r="Q666" s="3"/>
      <x:c r="R666" s="3"/>
      <x:c r="S666" s="3"/>
      <x:c r="T666" s="3"/>
      <x:c r="U666" s="3"/>
      <x:c r="V666" s="3"/>
      <x:c r="W666" s="3"/>
      <x:c r="X666" s="3"/>
      <x:c r="Y666" s="3"/>
      <x:c r="Z666" s="3"/>
      <x:c r="AA666" s="3"/>
      <x:c r="AB666" s="3"/>
      <x:c r="AC666" s="3"/>
      <x:c r="AD666" s="3"/>
      <x:c r="AE666" s="3"/>
      <x:c r="AF666" s="3"/>
      <x:c r="AG666" s="3"/>
      <x:c r="AH666" s="3"/>
      <x:c r="AI666" s="3"/>
      <x:c r="AJ666" s="3"/>
      <x:c r="AK666" s="3"/>
      <x:c r="AL666" s="3"/>
      <x:c r="AM666" s="3"/>
      <x:c r="AN666" s="3"/>
      <x:c r="AO666" s="3"/>
      <x:c r="AP666" s="3"/>
      <x:c r="AQ666" s="3"/>
      <x:c r="AR666" s="3"/>
      <x:c r="AS666" s="3"/>
      <x:c r="AT666" s="3"/>
      <x:c r="AU666" s="3"/>
      <x:c r="AV666" s="3"/>
      <x:c r="AW666" s="3"/>
      <x:c r="AX666" s="3"/>
      <x:c r="AY666" s="3"/>
      <x:c r="AZ666" s="3" t="str">
        <x:f>IF(AND('中古車掲載'!C667="One2car",'中古車掲載'!F667="ATTO 3",'中古車掲載'!L667="EXTENDED RANGE",'中古車掲載'!J667=2023,ISNUMBER('中古車掲載'!N667),'中古車掲載'!N667&gt;=20000,'中古車掲載'!O667&lt;=100000,'中古車掲載'!AL667=1),'中古車掲載'!U667,"")</x:f>
      </x:c>
      <x:c r="BA666" s="3" t="str">
        <x:f>IF(AND('中古車掲載'!C667="One2car",'中古車掲載'!F667="Corolla Cross",'中古車掲載'!L667="HEV PREMIUM SAFETY",'中古車掲載'!J667=2023,ISNUMBER('中古車掲載'!N667),'中古車掲載'!N667&gt;=20000,'中古車掲載'!O667&lt;=100000,'中古車掲載'!AL667=1,'中古車掲載'!Z667="https://www.one2car.com/en/cars-for-sale/toyota/corolla-cross/year-2023"),'中古車掲載'!U667,"")</x:f>
      </x:c>
      <x:c r="BB666" s="3" t="str">
        <x:f>IF(AND('中古車掲載'!C667="One2car",'中古車掲載'!F667="ATTO 3",'中古車掲載'!L667="EXTENDED RANGE",'中古車掲載'!J667=2023,ISNUMBER('中古車掲載'!N667),'中古車掲載'!N667&gt;=50000,'中古車掲載'!O667&lt;=100000,'中古車掲載'!AL667=1),'中古車掲載'!U667,"")</x:f>
      </x:c>
      <x:c r="BC666" s="3" t="str">
        <x:f>IF(AND('中古車掲載'!C667="One2car",'中古車掲載'!F667="Corolla Cross",'中古車掲載'!L667="HEV PREMIUM SAFETY",'中古車掲載'!J667=2023,ISNUMBER('中古車掲載'!N667),'中古車掲載'!N667&gt;=50000,'中古車掲載'!O667&lt;=100000,'中古車掲載'!AL667=1,'中古車掲載'!Z667="https://www.one2car.com/en/cars-for-sale/toyota/corolla-cross/year-2023"),'中古車掲載'!U667,"")</x:f>
      </x:c>
      <x:c r="BD666" s="3" t="str">
        <x:f>IF(AND('中古車掲載'!C667="One2car",'中古車掲載'!F667="ATTO 3",'中古車掲載'!L667="EXTENDED RANGE",'中古車掲載'!J667=2023,ISNUMBER('中古車掲載'!N667),'中古車掲載'!N667&gt;=20000,'中古車掲載'!O667&lt;=50000,'中古車掲載'!AL667=1),'中古車掲載'!U667,"")</x:f>
      </x:c>
      <x:c r="BE666" s="3" t="str">
        <x:f>IF(AND('中古車掲載'!C667="One2car",'中古車掲載'!F667="Corolla Cross",'中古車掲載'!L667="HEV PREMIUM SAFETY",'中古車掲載'!J667=2023,ISNUMBER('中古車掲載'!N667),'中古車掲載'!N667&gt;=20000,'中古車掲載'!O667&lt;=50000,'中古車掲載'!AL667=1,'中古車掲載'!Z667="https://www.one2car.com/en/cars-for-sale/toyota/corolla-cross/year-2023"),'中古車掲載'!U667,"")</x:f>
      </x:c>
      <x:c r="BF666" s="3" t="str">
        <x:f>IF(AND('中古車掲載'!C667="One2car",'中古車掲載'!F667="Corolla Cross",'中古車掲載'!L667="HEV PREMIUM",'中古車掲載'!J667=2023,ISNUMBER('中古車掲載'!N667),'中古車掲載'!N667&gt;=20000,'中古車掲載'!O667&lt;=100000,'中古車掲載'!AL667=1,'中古車掲載'!Z667="https://www.one2car.com/en/cars-for-sale/toyota/corolla-cross/year-2023"),'中古車掲載'!U667,"")</x:f>
      </x:c>
      <x:c r="BG666" s="3" t="str">
        <x:f>IF(AND('中古車掲載'!C667="One2car",'中古車掲載'!F667="Corolla Cross",'中古車掲載'!L667="HEV GR SPORT",'中古車掲載'!J667=2023,ISNUMBER('中古車掲載'!N667),'中古車掲載'!N667&gt;=20000,'中古車掲載'!O667&lt;=100000,'中古車掲載'!AL667=1,'中古車掲載'!Z667="https://www.one2car.com/en/cars-for-sale/toyota/corolla-cross/year-2023"),'中古車掲載'!U667,"")</x:f>
      </x:c>
      <x:c r="BH666" s="3" t="str">
        <x:f>IF(AND('中古車掲載'!C667="One2car",'中古車掲載'!F667="DOLPHIN",'中古車掲載'!L667="STANDARD RANGE",'中古車掲載'!J667=2023,ISNUMBER('中古車掲載'!N667),'中古車掲載'!N667&gt;=20000,'中古車掲載'!O667&lt;=100000,'中古車掲載'!AL667=1),'中古車掲載'!U667,"")</x:f>
      </x:c>
      <x:c r="BI666" s="3" t="str">
        <x:v>Taladrod|Hilux Revo|ICE|Unknown</x:v>
      </x:c>
      <x:c r="BJ666" s="3" t="n">
        <x:v>667</x:v>
      </x:c>
      <x:c r="BK666" s="3" t="n">
        <x:f>'中古車掲載'!AM667</x:f>
        <x:v>629000</x:v>
      </x:c>
      <x:c r="BL666" s="3" t="str">
        <x:f>IF(ISNUMBER('中古車掲載'!AN667),'中古車掲載'!AN667,"")</x:f>
      </x:c>
      <x:c r="BM666" s="3"/>
      <x:c r="BN666" s="3"/>
      <x:c r="BO666" s="3"/>
      <x:c r="BP666" s="3"/>
      <x:c r="BQ666" s="3"/>
      <x:c r="BR666" s="3"/>
    </x:row>
    <x:row r="667" ht="22" customHeight="1">
      <x:c r="A667" s="3" t="str">
        <x:v>Yaris Cross</x:v>
      </x:c>
      <x:c r="B667" s="3" t="str">
        <x:v>HEV</x:v>
      </x:c>
      <x:c r="C667" s="3" t="str">
        <x:v>Taladrod</x:v>
      </x:c>
      <x:c r="D667" s="3" t="str">
        <x:v>SUV</x:v>
      </x:c>
      <x:c r="E667" s="3" t="str"/>
      <x:c r="F667" s="3" t="n">
        <x:v>2024</x:v>
      </x:c>
      <x:c r="G667" s="3" t="str">
        <x:v>1.5 HEV PREMIUM</x:v>
      </x:c>
      <x:c r="H667" s="3" t="str">
        <x:v>未掲載</x:v>
      </x:c>
      <x:c r="I667" s="3" t="str">
        <x:v>23-ปัจจุบัน</x:v>
      </x:c>
      <x:c r="J667" s="22" t="n">
        <x:f>COUNT('中古車掲載'!AM1103:AM1115)</x:f>
        <x:v>13</x:v>
      </x:c>
      <x:c r="K667" s="22" t="n">
        <x:f>IF(COUNT('中古車掲載'!AM1103:AM1115)=0,"",QUARTILE('中古車掲載'!AM1103:AM1115,1))</x:f>
        <x:v>668000</x:v>
      </x:c>
      <x:c r="L667" s="22" t="n">
        <x:f>IF(COUNT('中古車掲載'!AM1103:AM1115)=0,"",MEDIAN('中古車掲載'!AM1103:AM1115))</x:f>
        <x:v>679000</x:v>
      </x:c>
      <x:c r="M667" s="22" t="n">
        <x:f>IF(COUNT('中古車掲載'!AM1103:AM1115)=0,"",QUARTILE('中古車掲載'!AM1103:AM1115,3))</x:f>
        <x:v>689000</x:v>
      </x:c>
      <x:c r="N667" s="22" t="n">
        <x:f>COUNT('中古車掲載'!AN1103:AN1115)</x:f>
        <x:v>0</x:v>
      </x:c>
      <x:c r="O667" s="23" t="str">
        <x:f>IF(COUNT('中古車掲載'!AN1103:AN1115)=0,"",MEDIAN('中古車掲載'!AN1103:AN1115))</x:f>
      </x:c>
      <x:c r="P667" s="3"/>
      <x:c r="Q667" s="3"/>
      <x:c r="R667" s="3"/>
      <x:c r="S667" s="3"/>
      <x:c r="T667" s="3"/>
      <x:c r="U667" s="3"/>
      <x:c r="V667" s="3"/>
      <x:c r="W667" s="3"/>
      <x:c r="X667" s="3"/>
      <x:c r="Y667" s="3"/>
      <x:c r="Z667" s="3"/>
      <x:c r="AA667" s="3"/>
      <x:c r="AB667" s="3"/>
      <x:c r="AC667" s="3"/>
      <x:c r="AD667" s="3"/>
      <x:c r="AE667" s="3"/>
      <x:c r="AF667" s="3"/>
      <x:c r="AG667" s="3"/>
      <x:c r="AH667" s="3"/>
      <x:c r="AI667" s="3"/>
      <x:c r="AJ667" s="3"/>
      <x:c r="AK667" s="3"/>
      <x:c r="AL667" s="3"/>
      <x:c r="AM667" s="3"/>
      <x:c r="AN667" s="3"/>
      <x:c r="AO667" s="3"/>
      <x:c r="AP667" s="3"/>
      <x:c r="AQ667" s="3"/>
      <x:c r="AR667" s="3"/>
      <x:c r="AS667" s="3"/>
      <x:c r="AT667" s="3"/>
      <x:c r="AU667" s="3"/>
      <x:c r="AV667" s="3"/>
      <x:c r="AW667" s="3"/>
      <x:c r="AX667" s="3"/>
      <x:c r="AY667" s="3"/>
      <x:c r="AZ667" s="3" t="str">
        <x:f>IF(AND('中古車掲載'!C668="One2car",'中古車掲載'!F668="ATTO 3",'中古車掲載'!L668="EXTENDED RANGE",'中古車掲載'!J668=2023,ISNUMBER('中古車掲載'!N668),'中古車掲載'!N668&gt;=20000,'中古車掲載'!O668&lt;=100000,'中古車掲載'!AL668=1),'中古車掲載'!U668,"")</x:f>
      </x:c>
      <x:c r="BA667" s="3" t="str">
        <x:f>IF(AND('中古車掲載'!C668="One2car",'中古車掲載'!F668="Corolla Cross",'中古車掲載'!L668="HEV PREMIUM SAFETY",'中古車掲載'!J668=2023,ISNUMBER('中古車掲載'!N668),'中古車掲載'!N668&gt;=20000,'中古車掲載'!O668&lt;=100000,'中古車掲載'!AL668=1,'中古車掲載'!Z668="https://www.one2car.com/en/cars-for-sale/toyota/corolla-cross/year-2023"),'中古車掲載'!U668,"")</x:f>
      </x:c>
      <x:c r="BB667" s="3" t="str">
        <x:f>IF(AND('中古車掲載'!C668="One2car",'中古車掲載'!F668="ATTO 3",'中古車掲載'!L668="EXTENDED RANGE",'中古車掲載'!J668=2023,ISNUMBER('中古車掲載'!N668),'中古車掲載'!N668&gt;=50000,'中古車掲載'!O668&lt;=100000,'中古車掲載'!AL668=1),'中古車掲載'!U668,"")</x:f>
      </x:c>
      <x:c r="BC667" s="3" t="str">
        <x:f>IF(AND('中古車掲載'!C668="One2car",'中古車掲載'!F668="Corolla Cross",'中古車掲載'!L668="HEV PREMIUM SAFETY",'中古車掲載'!J668=2023,ISNUMBER('中古車掲載'!N668),'中古車掲載'!N668&gt;=50000,'中古車掲載'!O668&lt;=100000,'中古車掲載'!AL668=1,'中古車掲載'!Z668="https://www.one2car.com/en/cars-for-sale/toyota/corolla-cross/year-2023"),'中古車掲載'!U668,"")</x:f>
      </x:c>
      <x:c r="BD667" s="3" t="str">
        <x:f>IF(AND('中古車掲載'!C668="One2car",'中古車掲載'!F668="ATTO 3",'中古車掲載'!L668="EXTENDED RANGE",'中古車掲載'!J668=2023,ISNUMBER('中古車掲載'!N668),'中古車掲載'!N668&gt;=20000,'中古車掲載'!O668&lt;=50000,'中古車掲載'!AL668=1),'中古車掲載'!U668,"")</x:f>
      </x:c>
      <x:c r="BE667" s="3" t="str">
        <x:f>IF(AND('中古車掲載'!C668="One2car",'中古車掲載'!F668="Corolla Cross",'中古車掲載'!L668="HEV PREMIUM SAFETY",'中古車掲載'!J668=2023,ISNUMBER('中古車掲載'!N668),'中古車掲載'!N668&gt;=20000,'中古車掲載'!O668&lt;=50000,'中古車掲載'!AL668=1,'中古車掲載'!Z668="https://www.one2car.com/en/cars-for-sale/toyota/corolla-cross/year-2023"),'中古車掲載'!U668,"")</x:f>
      </x:c>
      <x:c r="BF667" s="3" t="str">
        <x:f>IF(AND('中古車掲載'!C668="One2car",'中古車掲載'!F668="Corolla Cross",'中古車掲載'!L668="HEV PREMIUM",'中古車掲載'!J668=2023,ISNUMBER('中古車掲載'!N668),'中古車掲載'!N668&gt;=20000,'中古車掲載'!O668&lt;=100000,'中古車掲載'!AL668=1,'中古車掲載'!Z668="https://www.one2car.com/en/cars-for-sale/toyota/corolla-cross/year-2023"),'中古車掲載'!U668,"")</x:f>
      </x:c>
      <x:c r="BG667" s="3" t="str">
        <x:f>IF(AND('中古車掲載'!C668="One2car",'中古車掲載'!F668="Corolla Cross",'中古車掲載'!L668="HEV GR SPORT",'中古車掲載'!J668=2023,ISNUMBER('中古車掲載'!N668),'中古車掲載'!N668&gt;=20000,'中古車掲載'!O668&lt;=100000,'中古車掲載'!AL668=1,'中古車掲載'!Z668="https://www.one2car.com/en/cars-for-sale/toyota/corolla-cross/year-2023"),'中古車掲載'!U668,"")</x:f>
      </x:c>
      <x:c r="BH667" s="3" t="str">
        <x:f>IF(AND('中古車掲載'!C668="One2car",'中古車掲載'!F668="DOLPHIN",'中古車掲載'!L668="STANDARD RANGE",'中古車掲載'!J668=2023,ISNUMBER('中古車掲載'!N668),'中古車掲載'!N668&gt;=20000,'中古車掲載'!O668&lt;=100000,'中古車掲載'!AL668=1),'中古車掲載'!U668,"")</x:f>
      </x:c>
      <x:c r="BI667" s="3" t="str">
        <x:v>Taladrod|Hilux Revo|ICE|Unknown</x:v>
      </x:c>
      <x:c r="BJ667" s="3" t="n">
        <x:v>668</x:v>
      </x:c>
      <x:c r="BK667" s="3" t="n">
        <x:f>'中古車掲載'!AM668</x:f>
        <x:v>404000</x:v>
      </x:c>
      <x:c r="BL667" s="3" t="str">
        <x:f>IF(ISNUMBER('中古車掲載'!AN668),'中古車掲載'!AN668,"")</x:f>
      </x:c>
      <x:c r="BM667" s="3"/>
      <x:c r="BN667" s="3"/>
      <x:c r="BO667" s="3"/>
      <x:c r="BP667" s="3"/>
      <x:c r="BQ667" s="3"/>
      <x:c r="BR667" s="3"/>
    </x:row>
    <x:row r="668" ht="22" customHeight="1">
      <x:c r="A668" s="3" t="str">
        <x:v>Yaris Cross</x:v>
      </x:c>
      <x:c r="B668" s="3" t="str">
        <x:v>HEV</x:v>
      </x:c>
      <x:c r="C668" s="3" t="str">
        <x:v>Taladrod</x:v>
      </x:c>
      <x:c r="D668" s="3" t="str">
        <x:v>SUV</x:v>
      </x:c>
      <x:c r="E668" s="3" t="str"/>
      <x:c r="F668" s="3" t="n">
        <x:v>2024</x:v>
      </x:c>
      <x:c r="G668" s="3" t="str">
        <x:v>1.5 HEV PREMIUM LUXURY</x:v>
      </x:c>
      <x:c r="H668" s="3" t="str">
        <x:v>未掲載</x:v>
      </x:c>
      <x:c r="I668" s="3" t="str">
        <x:v>23-ปัจจุบัน</x:v>
      </x:c>
      <x:c r="J668" s="22" t="n">
        <x:f>COUNT('中古車掲載'!AM1116:AM1125)</x:f>
        <x:v>10</x:v>
      </x:c>
      <x:c r="K668" s="22" t="n">
        <x:f>IF(COUNT('中古車掲載'!AM1116:AM1125)=0,"",QUARTILE('中古車掲載'!AM1116:AM1125,1))</x:f>
        <x:v>660250</x:v>
      </x:c>
      <x:c r="L668" s="22" t="n">
        <x:f>IF(COUNT('中古車掲載'!AM1116:AM1125)=0,"",MEDIAN('中古車掲載'!AM1116:AM1125))</x:f>
        <x:v>679000</x:v>
      </x:c>
      <x:c r="M668" s="22" t="n">
        <x:f>IF(COUNT('中古車掲載'!AM1116:AM1125)=0,"",QUARTILE('中古車掲載'!AM1116:AM1125,3))</x:f>
        <x:v>722000</x:v>
      </x:c>
      <x:c r="N668" s="22" t="n">
        <x:f>COUNT('中古車掲載'!AN1116:AN1125)</x:f>
        <x:v>0</x:v>
      </x:c>
      <x:c r="O668" s="23" t="str">
        <x:f>IF(COUNT('中古車掲載'!AN1116:AN1125)=0,"",MEDIAN('中古車掲載'!AN1116:AN1125))</x:f>
      </x:c>
      <x:c r="P668" s="3"/>
      <x:c r="Q668" s="3"/>
      <x:c r="R668" s="3"/>
      <x:c r="S668" s="3"/>
      <x:c r="T668" s="3"/>
      <x:c r="U668" s="3"/>
      <x:c r="V668" s="3"/>
      <x:c r="W668" s="3"/>
      <x:c r="X668" s="3"/>
      <x:c r="Y668" s="3"/>
      <x:c r="Z668" s="3"/>
      <x:c r="AA668" s="3"/>
      <x:c r="AB668" s="3"/>
      <x:c r="AC668" s="3"/>
      <x:c r="AD668" s="3"/>
      <x:c r="AE668" s="3"/>
      <x:c r="AF668" s="3"/>
      <x:c r="AG668" s="3"/>
      <x:c r="AH668" s="3"/>
      <x:c r="AI668" s="3"/>
      <x:c r="AJ668" s="3"/>
      <x:c r="AK668" s="3"/>
      <x:c r="AL668" s="3"/>
      <x:c r="AM668" s="3"/>
      <x:c r="AN668" s="3"/>
      <x:c r="AO668" s="3"/>
      <x:c r="AP668" s="3"/>
      <x:c r="AQ668" s="3"/>
      <x:c r="AR668" s="3"/>
      <x:c r="AS668" s="3"/>
      <x:c r="AT668" s="3"/>
      <x:c r="AU668" s="3"/>
      <x:c r="AV668" s="3"/>
      <x:c r="AW668" s="3"/>
      <x:c r="AX668" s="3"/>
      <x:c r="AY668" s="3"/>
      <x:c r="AZ668" s="3" t="str">
        <x:f>IF(AND('中古車掲載'!C669="One2car",'中古車掲載'!F669="ATTO 3",'中古車掲載'!L669="EXTENDED RANGE",'中古車掲載'!J669=2023,ISNUMBER('中古車掲載'!N669),'中古車掲載'!N669&gt;=20000,'中古車掲載'!O669&lt;=100000,'中古車掲載'!AL669=1),'中古車掲載'!U669,"")</x:f>
      </x:c>
      <x:c r="BA668" s="3" t="str">
        <x:f>IF(AND('中古車掲載'!C669="One2car",'中古車掲載'!F669="Corolla Cross",'中古車掲載'!L669="HEV PREMIUM SAFETY",'中古車掲載'!J669=2023,ISNUMBER('中古車掲載'!N669),'中古車掲載'!N669&gt;=20000,'中古車掲載'!O669&lt;=100000,'中古車掲載'!AL669=1,'中古車掲載'!Z669="https://www.one2car.com/en/cars-for-sale/toyota/corolla-cross/year-2023"),'中古車掲載'!U669,"")</x:f>
      </x:c>
      <x:c r="BB668" s="3" t="str">
        <x:f>IF(AND('中古車掲載'!C669="One2car",'中古車掲載'!F669="ATTO 3",'中古車掲載'!L669="EXTENDED RANGE",'中古車掲載'!J669=2023,ISNUMBER('中古車掲載'!N669),'中古車掲載'!N669&gt;=50000,'中古車掲載'!O669&lt;=100000,'中古車掲載'!AL669=1),'中古車掲載'!U669,"")</x:f>
      </x:c>
      <x:c r="BC668" s="3" t="str">
        <x:f>IF(AND('中古車掲載'!C669="One2car",'中古車掲載'!F669="Corolla Cross",'中古車掲載'!L669="HEV PREMIUM SAFETY",'中古車掲載'!J669=2023,ISNUMBER('中古車掲載'!N669),'中古車掲載'!N669&gt;=50000,'中古車掲載'!O669&lt;=100000,'中古車掲載'!AL669=1,'中古車掲載'!Z669="https://www.one2car.com/en/cars-for-sale/toyota/corolla-cross/year-2023"),'中古車掲載'!U669,"")</x:f>
      </x:c>
      <x:c r="BD668" s="3" t="str">
        <x:f>IF(AND('中古車掲載'!C669="One2car",'中古車掲載'!F669="ATTO 3",'中古車掲載'!L669="EXTENDED RANGE",'中古車掲載'!J669=2023,ISNUMBER('中古車掲載'!N669),'中古車掲載'!N669&gt;=20000,'中古車掲載'!O669&lt;=50000,'中古車掲載'!AL669=1),'中古車掲載'!U669,"")</x:f>
      </x:c>
      <x:c r="BE668" s="3" t="str">
        <x:f>IF(AND('中古車掲載'!C669="One2car",'中古車掲載'!F669="Corolla Cross",'中古車掲載'!L669="HEV PREMIUM SAFETY",'中古車掲載'!J669=2023,ISNUMBER('中古車掲載'!N669),'中古車掲載'!N669&gt;=20000,'中古車掲載'!O669&lt;=50000,'中古車掲載'!AL669=1,'中古車掲載'!Z669="https://www.one2car.com/en/cars-for-sale/toyota/corolla-cross/year-2023"),'中古車掲載'!U669,"")</x:f>
      </x:c>
      <x:c r="BF668" s="3" t="str">
        <x:f>IF(AND('中古車掲載'!C669="One2car",'中古車掲載'!F669="Corolla Cross",'中古車掲載'!L669="HEV PREMIUM",'中古車掲載'!J669=2023,ISNUMBER('中古車掲載'!N669),'中古車掲載'!N669&gt;=20000,'中古車掲載'!O669&lt;=100000,'中古車掲載'!AL669=1,'中古車掲載'!Z669="https://www.one2car.com/en/cars-for-sale/toyota/corolla-cross/year-2023"),'中古車掲載'!U669,"")</x:f>
      </x:c>
      <x:c r="BG668" s="3" t="str">
        <x:f>IF(AND('中古車掲載'!C669="One2car",'中古車掲載'!F669="Corolla Cross",'中古車掲載'!L669="HEV GR SPORT",'中古車掲載'!J669=2023,ISNUMBER('中古車掲載'!N669),'中古車掲載'!N669&gt;=20000,'中古車掲載'!O669&lt;=100000,'中古車掲載'!AL669=1,'中古車掲載'!Z669="https://www.one2car.com/en/cars-for-sale/toyota/corolla-cross/year-2023"),'中古車掲載'!U669,"")</x:f>
      </x:c>
      <x:c r="BH668" s="3" t="str">
        <x:f>IF(AND('中古車掲載'!C669="One2car",'中古車掲載'!F669="DOLPHIN",'中古車掲載'!L669="STANDARD RANGE",'中古車掲載'!J669=2023,ISNUMBER('中古車掲載'!N669),'中古車掲載'!N669&gt;=20000,'中古車掲載'!O669&lt;=100000,'中古車掲載'!AL669=1),'中古車掲載'!U669,"")</x:f>
      </x:c>
      <x:c r="BI668" s="3" t="str">
        <x:v>Taladrod|Hilux Revo|ICE|Unknown</x:v>
      </x:c>
      <x:c r="BJ668" s="3" t="n">
        <x:v>669</x:v>
      </x:c>
      <x:c r="BK668" s="3" t="n">
        <x:f>'中古車掲載'!AM669</x:f>
        <x:v>398000</x:v>
      </x:c>
      <x:c r="BL668" s="3" t="str">
        <x:f>IF(ISNUMBER('中古車掲載'!AN669),'中古車掲載'!AN669,"")</x:f>
      </x:c>
      <x:c r="BM668" s="3"/>
      <x:c r="BN668" s="3"/>
      <x:c r="BO668" s="3"/>
      <x:c r="BP668" s="3"/>
      <x:c r="BQ668" s="3"/>
      <x:c r="BR668" s="3"/>
    </x:row>
    <x:row r="669" ht="22" customHeight="1">
      <x:c r="A669" s="3" t="str">
        <x:v>Yaris Cross</x:v>
      </x:c>
      <x:c r="B669" s="3" t="str">
        <x:v>HEV</x:v>
      </x:c>
      <x:c r="C669" s="3" t="str">
        <x:v>Taladrod</x:v>
      </x:c>
      <x:c r="D669" s="3" t="str">
        <x:v>SUV</x:v>
      </x:c>
      <x:c r="E669" s="3" t="str"/>
      <x:c r="F669" s="3" t="n">
        <x:v>2024</x:v>
      </x:c>
      <x:c r="G669" s="3" t="str">
        <x:v>1.5 HEV SMART</x:v>
      </x:c>
      <x:c r="H669" s="3" t="str">
        <x:v>未掲載</x:v>
      </x:c>
      <x:c r="I669" s="3" t="str">
        <x:v>23-ปัจจุบัน</x:v>
      </x:c>
      <x:c r="J669" s="22" t="n">
        <x:f>COUNT('中古車掲載'!AM1126:AM1126)</x:f>
        <x:v>1</x:v>
      </x:c>
      <x:c r="K669" s="22" t="n">
        <x:f>IF(COUNT('中古車掲載'!AM1126:AM1126)=0,"",QUARTILE('中古車掲載'!AM1126:AM1126,1))</x:f>
        <x:v>659000</x:v>
      </x:c>
      <x:c r="L669" s="22" t="n">
        <x:f>IF(COUNT('中古車掲載'!AM1126:AM1126)=0,"",MEDIAN('中古車掲載'!AM1126:AM1126))</x:f>
        <x:v>659000</x:v>
      </x:c>
      <x:c r="M669" s="22" t="n">
        <x:f>IF(COUNT('中古車掲載'!AM1126:AM1126)=0,"",QUARTILE('中古車掲載'!AM1126:AM1126,3))</x:f>
        <x:v>659000</x:v>
      </x:c>
      <x:c r="N669" s="22" t="n">
        <x:f>COUNT('中古車掲載'!AN1126:AN1126)</x:f>
        <x:v>0</x:v>
      </x:c>
      <x:c r="O669" s="23" t="str">
        <x:f>IF(COUNT('中古車掲載'!AN1126:AN1126)=0,"",MEDIAN('中古車掲載'!AN1126:AN1126))</x:f>
      </x:c>
      <x:c r="P669" s="3"/>
      <x:c r="Q669" s="3"/>
      <x:c r="R669" s="3"/>
      <x:c r="S669" s="3"/>
      <x:c r="T669" s="3"/>
      <x:c r="U669" s="3"/>
      <x:c r="V669" s="3"/>
      <x:c r="W669" s="3"/>
      <x:c r="X669" s="3"/>
      <x:c r="Y669" s="3"/>
      <x:c r="Z669" s="3"/>
      <x:c r="AA669" s="3"/>
      <x:c r="AB669" s="3"/>
      <x:c r="AC669" s="3"/>
      <x:c r="AD669" s="3"/>
      <x:c r="AE669" s="3"/>
      <x:c r="AF669" s="3"/>
      <x:c r="AG669" s="3"/>
      <x:c r="AH669" s="3"/>
      <x:c r="AI669" s="3"/>
      <x:c r="AJ669" s="3"/>
      <x:c r="AK669" s="3"/>
      <x:c r="AL669" s="3"/>
      <x:c r="AM669" s="3"/>
      <x:c r="AN669" s="3"/>
      <x:c r="AO669" s="3"/>
      <x:c r="AP669" s="3"/>
      <x:c r="AQ669" s="3"/>
      <x:c r="AR669" s="3"/>
      <x:c r="AS669" s="3"/>
      <x:c r="AT669" s="3"/>
      <x:c r="AU669" s="3"/>
      <x:c r="AV669" s="3"/>
      <x:c r="AW669" s="3"/>
      <x:c r="AX669" s="3"/>
      <x:c r="AY669" s="3"/>
      <x:c r="AZ669" s="3" t="str">
        <x:f>IF(AND('中古車掲載'!C670="One2car",'中古車掲載'!F670="ATTO 3",'中古車掲載'!L670="EXTENDED RANGE",'中古車掲載'!J670=2023,ISNUMBER('中古車掲載'!N670),'中古車掲載'!N670&gt;=20000,'中古車掲載'!O670&lt;=100000,'中古車掲載'!AL670=1),'中古車掲載'!U670,"")</x:f>
      </x:c>
      <x:c r="BA669" s="3" t="str">
        <x:f>IF(AND('中古車掲載'!C670="One2car",'中古車掲載'!F670="Corolla Cross",'中古車掲載'!L670="HEV PREMIUM SAFETY",'中古車掲載'!J670=2023,ISNUMBER('中古車掲載'!N670),'中古車掲載'!N670&gt;=20000,'中古車掲載'!O670&lt;=100000,'中古車掲載'!AL670=1,'中古車掲載'!Z670="https://www.one2car.com/en/cars-for-sale/toyota/corolla-cross/year-2023"),'中古車掲載'!U670,"")</x:f>
      </x:c>
      <x:c r="BB669" s="3" t="str">
        <x:f>IF(AND('中古車掲載'!C670="One2car",'中古車掲載'!F670="ATTO 3",'中古車掲載'!L670="EXTENDED RANGE",'中古車掲載'!J670=2023,ISNUMBER('中古車掲載'!N670),'中古車掲載'!N670&gt;=50000,'中古車掲載'!O670&lt;=100000,'中古車掲載'!AL670=1),'中古車掲載'!U670,"")</x:f>
      </x:c>
      <x:c r="BC669" s="3" t="str">
        <x:f>IF(AND('中古車掲載'!C670="One2car",'中古車掲載'!F670="Corolla Cross",'中古車掲載'!L670="HEV PREMIUM SAFETY",'中古車掲載'!J670=2023,ISNUMBER('中古車掲載'!N670),'中古車掲載'!N670&gt;=50000,'中古車掲載'!O670&lt;=100000,'中古車掲載'!AL670=1,'中古車掲載'!Z670="https://www.one2car.com/en/cars-for-sale/toyota/corolla-cross/year-2023"),'中古車掲載'!U670,"")</x:f>
      </x:c>
      <x:c r="BD669" s="3" t="str">
        <x:f>IF(AND('中古車掲載'!C670="One2car",'中古車掲載'!F670="ATTO 3",'中古車掲載'!L670="EXTENDED RANGE",'中古車掲載'!J670=2023,ISNUMBER('中古車掲載'!N670),'中古車掲載'!N670&gt;=20000,'中古車掲載'!O670&lt;=50000,'中古車掲載'!AL670=1),'中古車掲載'!U670,"")</x:f>
      </x:c>
      <x:c r="BE669" s="3" t="str">
        <x:f>IF(AND('中古車掲載'!C670="One2car",'中古車掲載'!F670="Corolla Cross",'中古車掲載'!L670="HEV PREMIUM SAFETY",'中古車掲載'!J670=2023,ISNUMBER('中古車掲載'!N670),'中古車掲載'!N670&gt;=20000,'中古車掲載'!O670&lt;=50000,'中古車掲載'!AL670=1,'中古車掲載'!Z670="https://www.one2car.com/en/cars-for-sale/toyota/corolla-cross/year-2023"),'中古車掲載'!U670,"")</x:f>
      </x:c>
      <x:c r="BF669" s="3" t="str">
        <x:f>IF(AND('中古車掲載'!C670="One2car",'中古車掲載'!F670="Corolla Cross",'中古車掲載'!L670="HEV PREMIUM",'中古車掲載'!J670=2023,ISNUMBER('中古車掲載'!N670),'中古車掲載'!N670&gt;=20000,'中古車掲載'!O670&lt;=100000,'中古車掲載'!AL670=1,'中古車掲載'!Z670="https://www.one2car.com/en/cars-for-sale/toyota/corolla-cross/year-2023"),'中古車掲載'!U670,"")</x:f>
      </x:c>
      <x:c r="BG669" s="3" t="str">
        <x:f>IF(AND('中古車掲載'!C670="One2car",'中古車掲載'!F670="Corolla Cross",'中古車掲載'!L670="HEV GR SPORT",'中古車掲載'!J670=2023,ISNUMBER('中古車掲載'!N670),'中古車掲載'!N670&gt;=20000,'中古車掲載'!O670&lt;=100000,'中古車掲載'!AL670=1,'中古車掲載'!Z670="https://www.one2car.com/en/cars-for-sale/toyota/corolla-cross/year-2023"),'中古車掲載'!U670,"")</x:f>
      </x:c>
      <x:c r="BH669" s="3" t="str">
        <x:f>IF(AND('中古車掲載'!C670="One2car",'中古車掲載'!F670="DOLPHIN",'中古車掲載'!L670="STANDARD RANGE",'中古車掲載'!J670=2023,ISNUMBER('中古車掲載'!N670),'中古車掲載'!N670&gt;=20000,'中古車掲載'!O670&lt;=100000,'中古車掲載'!AL670=1),'中古車掲載'!U670,"")</x:f>
      </x:c>
      <x:c r="BI669" s="3" t="str">
        <x:v>Taladrod|Hilux Revo|ICE|Unknown</x:v>
      </x:c>
      <x:c r="BJ669" s="3" t="n">
        <x:v>670</x:v>
      </x:c>
      <x:c r="BK669" s="3" t="n">
        <x:f>'中古車掲載'!AM670</x:f>
        <x:v>328000</x:v>
      </x:c>
      <x:c r="BL669" s="3" t="str">
        <x:f>IF(ISNUMBER('中古車掲載'!AN670),'中古車掲載'!AN670,"")</x:f>
      </x:c>
      <x:c r="BM669" s="3"/>
      <x:c r="BN669" s="3"/>
      <x:c r="BO669" s="3"/>
      <x:c r="BP669" s="3"/>
      <x:c r="BQ669" s="3"/>
      <x:c r="BR669" s="3"/>
    </x:row>
    <x:row r="670" ht="22" customHeight="1">
      <x:c r="A670" s="3" t="str">
        <x:v>Yaris Cross</x:v>
      </x:c>
      <x:c r="B670" s="3" t="str">
        <x:v>HEV</x:v>
      </x:c>
      <x:c r="C670" s="3" t="str">
        <x:v>Taladrod</x:v>
      </x:c>
      <x:c r="D670" s="3" t="str">
        <x:v>SUV</x:v>
      </x:c>
      <x:c r="E670" s="3" t="str"/>
      <x:c r="F670" s="3" t="n">
        <x:v>2025</x:v>
      </x:c>
      <x:c r="G670" s="3" t="str">
        <x:v>1.5 HEV PREMIUM</x:v>
      </x:c>
      <x:c r="H670" s="3" t="str">
        <x:v>未掲載</x:v>
      </x:c>
      <x:c r="I670" s="3" t="str">
        <x:v>23-ปัจจุบัน</x:v>
      </x:c>
      <x:c r="J670" s="22" t="n">
        <x:f>COUNT('中古車掲載'!AM1127:AM1133)</x:f>
        <x:v>7</x:v>
      </x:c>
      <x:c r="K670" s="22" t="n">
        <x:f>IF(COUNT('中古車掲載'!AM1127:AM1133)=0,"",QUARTILE('中古車掲載'!AM1127:AM1133,1))</x:f>
        <x:v>669000</x:v>
      </x:c>
      <x:c r="L670" s="22" t="n">
        <x:f>IF(COUNT('中古車掲載'!AM1127:AM1133)=0,"",MEDIAN('中古車掲載'!AM1127:AM1133))</x:f>
        <x:v>674000</x:v>
      </x:c>
      <x:c r="M670" s="22" t="n">
        <x:f>IF(COUNT('中古車掲載'!AM1127:AM1133)=0,"",QUARTILE('中古車掲載'!AM1127:AM1133,3))</x:f>
        <x:v>681500</x:v>
      </x:c>
      <x:c r="N670" s="22" t="n">
        <x:f>COUNT('中古車掲載'!AN1127:AN1133)</x:f>
        <x:v>0</x:v>
      </x:c>
      <x:c r="O670" s="23" t="str">
        <x:f>IF(COUNT('中古車掲載'!AN1127:AN1133)=0,"",MEDIAN('中古車掲載'!AN1127:AN1133))</x:f>
      </x:c>
      <x:c r="P670" s="3"/>
      <x:c r="Q670" s="3"/>
      <x:c r="R670" s="3"/>
      <x:c r="S670" s="3"/>
      <x:c r="T670" s="3"/>
      <x:c r="U670" s="3"/>
      <x:c r="V670" s="3"/>
      <x:c r="W670" s="3"/>
      <x:c r="X670" s="3"/>
      <x:c r="Y670" s="3"/>
      <x:c r="Z670" s="3"/>
      <x:c r="AA670" s="3"/>
      <x:c r="AB670" s="3"/>
      <x:c r="AC670" s="3"/>
      <x:c r="AD670" s="3"/>
      <x:c r="AE670" s="3"/>
      <x:c r="AF670" s="3"/>
      <x:c r="AG670" s="3"/>
      <x:c r="AH670" s="3"/>
      <x:c r="AI670" s="3"/>
      <x:c r="AJ670" s="3"/>
      <x:c r="AK670" s="3"/>
      <x:c r="AL670" s="3"/>
      <x:c r="AM670" s="3"/>
      <x:c r="AN670" s="3"/>
      <x:c r="AO670" s="3"/>
      <x:c r="AP670" s="3"/>
      <x:c r="AQ670" s="3"/>
      <x:c r="AR670" s="3"/>
      <x:c r="AS670" s="3"/>
      <x:c r="AT670" s="3"/>
      <x:c r="AU670" s="3"/>
      <x:c r="AV670" s="3"/>
      <x:c r="AW670" s="3"/>
      <x:c r="AX670" s="3"/>
      <x:c r="AY670" s="3"/>
      <x:c r="AZ670" s="3" t="str">
        <x:f>IF(AND('中古車掲載'!C671="One2car",'中古車掲載'!F671="ATTO 3",'中古車掲載'!L671="EXTENDED RANGE",'中古車掲載'!J671=2023,ISNUMBER('中古車掲載'!N671),'中古車掲載'!N671&gt;=20000,'中古車掲載'!O671&lt;=100000,'中古車掲載'!AL671=1),'中古車掲載'!U671,"")</x:f>
      </x:c>
      <x:c r="BA670" s="3" t="str">
        <x:f>IF(AND('中古車掲載'!C671="One2car",'中古車掲載'!F671="Corolla Cross",'中古車掲載'!L671="HEV PREMIUM SAFETY",'中古車掲載'!J671=2023,ISNUMBER('中古車掲載'!N671),'中古車掲載'!N671&gt;=20000,'中古車掲載'!O671&lt;=100000,'中古車掲載'!AL671=1,'中古車掲載'!Z671="https://www.one2car.com/en/cars-for-sale/toyota/corolla-cross/year-2023"),'中古車掲載'!U671,"")</x:f>
      </x:c>
      <x:c r="BB670" s="3" t="str">
        <x:f>IF(AND('中古車掲載'!C671="One2car",'中古車掲載'!F671="ATTO 3",'中古車掲載'!L671="EXTENDED RANGE",'中古車掲載'!J671=2023,ISNUMBER('中古車掲載'!N671),'中古車掲載'!N671&gt;=50000,'中古車掲載'!O671&lt;=100000,'中古車掲載'!AL671=1),'中古車掲載'!U671,"")</x:f>
      </x:c>
      <x:c r="BC670" s="3" t="str">
        <x:f>IF(AND('中古車掲載'!C671="One2car",'中古車掲載'!F671="Corolla Cross",'中古車掲載'!L671="HEV PREMIUM SAFETY",'中古車掲載'!J671=2023,ISNUMBER('中古車掲載'!N671),'中古車掲載'!N671&gt;=50000,'中古車掲載'!O671&lt;=100000,'中古車掲載'!AL671=1,'中古車掲載'!Z671="https://www.one2car.com/en/cars-for-sale/toyota/corolla-cross/year-2023"),'中古車掲載'!U671,"")</x:f>
      </x:c>
      <x:c r="BD670" s="3" t="str">
        <x:f>IF(AND('中古車掲載'!C671="One2car",'中古車掲載'!F671="ATTO 3",'中古車掲載'!L671="EXTENDED RANGE",'中古車掲載'!J671=2023,ISNUMBER('中古車掲載'!N671),'中古車掲載'!N671&gt;=20000,'中古車掲載'!O671&lt;=50000,'中古車掲載'!AL671=1),'中古車掲載'!U671,"")</x:f>
      </x:c>
      <x:c r="BE670" s="3" t="str">
        <x:f>IF(AND('中古車掲載'!C671="One2car",'中古車掲載'!F671="Corolla Cross",'中古車掲載'!L671="HEV PREMIUM SAFETY",'中古車掲載'!J671=2023,ISNUMBER('中古車掲載'!N671),'中古車掲載'!N671&gt;=20000,'中古車掲載'!O671&lt;=50000,'中古車掲載'!AL671=1,'中古車掲載'!Z671="https://www.one2car.com/en/cars-for-sale/toyota/corolla-cross/year-2023"),'中古車掲載'!U671,"")</x:f>
      </x:c>
      <x:c r="BF670" s="3" t="str">
        <x:f>IF(AND('中古車掲載'!C671="One2car",'中古車掲載'!F671="Corolla Cross",'中古車掲載'!L671="HEV PREMIUM",'中古車掲載'!J671=2023,ISNUMBER('中古車掲載'!N671),'中古車掲載'!N671&gt;=20000,'中古車掲載'!O671&lt;=100000,'中古車掲載'!AL671=1,'中古車掲載'!Z671="https://www.one2car.com/en/cars-for-sale/toyota/corolla-cross/year-2023"),'中古車掲載'!U671,"")</x:f>
      </x:c>
      <x:c r="BG670" s="3" t="str">
        <x:f>IF(AND('中古車掲載'!C671="One2car",'中古車掲載'!F671="Corolla Cross",'中古車掲載'!L671="HEV GR SPORT",'中古車掲載'!J671=2023,ISNUMBER('中古車掲載'!N671),'中古車掲載'!N671&gt;=20000,'中古車掲載'!O671&lt;=100000,'中古車掲載'!AL671=1,'中古車掲載'!Z671="https://www.one2car.com/en/cars-for-sale/toyota/corolla-cross/year-2023"),'中古車掲載'!U671,"")</x:f>
      </x:c>
      <x:c r="BH670" s="3" t="str">
        <x:f>IF(AND('中古車掲載'!C671="One2car",'中古車掲載'!F671="DOLPHIN",'中古車掲載'!L671="STANDARD RANGE",'中古車掲載'!J671=2023,ISNUMBER('中古車掲載'!N671),'中古車掲載'!N671&gt;=20000,'中古車掲載'!O671&lt;=100000,'中古車掲載'!AL671=1),'中古車掲載'!U671,"")</x:f>
      </x:c>
      <x:c r="BI670" s="3" t="str">
        <x:v>Taladrod|Hilux Revo|ICE|Unknown</x:v>
      </x:c>
      <x:c r="BJ670" s="3" t="n">
        <x:v>671</x:v>
      </x:c>
      <x:c r="BK670" s="3" t="n">
        <x:f>'中古車掲載'!AM671</x:f>
        <x:v>349000</x:v>
      </x:c>
      <x:c r="BL670" s="3" t="str">
        <x:f>IF(ISNUMBER('中古車掲載'!AN671),'中古車掲載'!AN671,"")</x:f>
      </x:c>
      <x:c r="BM670" s="3"/>
      <x:c r="BN670" s="3"/>
      <x:c r="BO670" s="3"/>
      <x:c r="BP670" s="3"/>
      <x:c r="BQ670" s="3"/>
      <x:c r="BR670" s="3"/>
    </x:row>
    <x:row r="671" ht="22" customHeight="1">
      <x:c r="A671" s="3" t="str">
        <x:v>Yaris Cross</x:v>
      </x:c>
      <x:c r="B671" s="3" t="str">
        <x:v>HEV</x:v>
      </x:c>
      <x:c r="C671" s="3" t="str">
        <x:v>Taladrod</x:v>
      </x:c>
      <x:c r="D671" s="3" t="str">
        <x:v>SUV</x:v>
      </x:c>
      <x:c r="E671" s="3" t="str"/>
      <x:c r="F671" s="3" t="n">
        <x:v>2025</x:v>
      </x:c>
      <x:c r="G671" s="3" t="str">
        <x:v>1.5 HEV PREMIUM LUXURY</x:v>
      </x:c>
      <x:c r="H671" s="3" t="str">
        <x:v>未掲載</x:v>
      </x:c>
      <x:c r="I671" s="3" t="str">
        <x:v>23-ปัจจุบัน</x:v>
      </x:c>
      <x:c r="J671" s="22" t="n">
        <x:f>COUNT('中古車掲載'!AM1134:AM1136)</x:f>
        <x:v>3</x:v>
      </x:c>
      <x:c r="K671" s="22" t="n">
        <x:f>IF(COUNT('中古車掲載'!AM1134:AM1136)=0,"",QUARTILE('中古車掲載'!AM1134:AM1136,1))</x:f>
        <x:v>726500</x:v>
      </x:c>
      <x:c r="L671" s="22" t="n">
        <x:f>IF(COUNT('中古車掲載'!AM1134:AM1136)=0,"",MEDIAN('中古車掲載'!AM1134:AM1136))</x:f>
        <x:v>744000</x:v>
      </x:c>
      <x:c r="M671" s="22" t="n">
        <x:f>IF(COUNT('中古車掲載'!AM1134:AM1136)=0,"",QUARTILE('中古車掲載'!AM1134:AM1136,3))</x:f>
        <x:v>764500</x:v>
      </x:c>
      <x:c r="N671" s="22" t="n">
        <x:f>COUNT('中古車掲載'!AN1134:AN1136)</x:f>
        <x:v>0</x:v>
      </x:c>
      <x:c r="O671" s="23" t="str">
        <x:f>IF(COUNT('中古車掲載'!AN1134:AN1136)=0,"",MEDIAN('中古車掲載'!AN1134:AN1136))</x:f>
      </x:c>
      <x:c r="P671" s="3"/>
      <x:c r="Q671" s="3"/>
      <x:c r="R671" s="3"/>
      <x:c r="S671" s="3"/>
      <x:c r="T671" s="3"/>
      <x:c r="U671" s="3"/>
      <x:c r="V671" s="3"/>
      <x:c r="W671" s="3"/>
      <x:c r="X671" s="3"/>
      <x:c r="Y671" s="3"/>
      <x:c r="Z671" s="3"/>
      <x:c r="AA671" s="3"/>
      <x:c r="AB671" s="3"/>
      <x:c r="AC671" s="3"/>
      <x:c r="AD671" s="3"/>
      <x:c r="AE671" s="3"/>
      <x:c r="AF671" s="3"/>
      <x:c r="AG671" s="3"/>
      <x:c r="AH671" s="3"/>
      <x:c r="AI671" s="3"/>
      <x:c r="AJ671" s="3"/>
      <x:c r="AK671" s="3"/>
      <x:c r="AL671" s="3"/>
      <x:c r="AM671" s="3"/>
      <x:c r="AN671" s="3"/>
      <x:c r="AO671" s="3"/>
      <x:c r="AP671" s="3"/>
      <x:c r="AQ671" s="3"/>
      <x:c r="AR671" s="3"/>
      <x:c r="AS671" s="3"/>
      <x:c r="AT671" s="3"/>
      <x:c r="AU671" s="3"/>
      <x:c r="AV671" s="3"/>
      <x:c r="AW671" s="3"/>
      <x:c r="AX671" s="3"/>
      <x:c r="AY671" s="3"/>
      <x:c r="AZ671" s="3" t="str">
        <x:f>IF(AND('中古車掲載'!C672="One2car",'中古車掲載'!F672="ATTO 3",'中古車掲載'!L672="EXTENDED RANGE",'中古車掲載'!J672=2023,ISNUMBER('中古車掲載'!N672),'中古車掲載'!N672&gt;=20000,'中古車掲載'!O672&lt;=100000,'中古車掲載'!AL672=1),'中古車掲載'!U672,"")</x:f>
      </x:c>
      <x:c r="BA671" s="3" t="str">
        <x:f>IF(AND('中古車掲載'!C672="One2car",'中古車掲載'!F672="Corolla Cross",'中古車掲載'!L672="HEV PREMIUM SAFETY",'中古車掲載'!J672=2023,ISNUMBER('中古車掲載'!N672),'中古車掲載'!N672&gt;=20000,'中古車掲載'!O672&lt;=100000,'中古車掲載'!AL672=1,'中古車掲載'!Z672="https://www.one2car.com/en/cars-for-sale/toyota/corolla-cross/year-2023"),'中古車掲載'!U672,"")</x:f>
      </x:c>
      <x:c r="BB671" s="3" t="str">
        <x:f>IF(AND('中古車掲載'!C672="One2car",'中古車掲載'!F672="ATTO 3",'中古車掲載'!L672="EXTENDED RANGE",'中古車掲載'!J672=2023,ISNUMBER('中古車掲載'!N672),'中古車掲載'!N672&gt;=50000,'中古車掲載'!O672&lt;=100000,'中古車掲載'!AL672=1),'中古車掲載'!U672,"")</x:f>
      </x:c>
      <x:c r="BC671" s="3" t="str">
        <x:f>IF(AND('中古車掲載'!C672="One2car",'中古車掲載'!F672="Corolla Cross",'中古車掲載'!L672="HEV PREMIUM SAFETY",'中古車掲載'!J672=2023,ISNUMBER('中古車掲載'!N672),'中古車掲載'!N672&gt;=50000,'中古車掲載'!O672&lt;=100000,'中古車掲載'!AL672=1,'中古車掲載'!Z672="https://www.one2car.com/en/cars-for-sale/toyota/corolla-cross/year-2023"),'中古車掲載'!U672,"")</x:f>
      </x:c>
      <x:c r="BD671" s="3" t="str">
        <x:f>IF(AND('中古車掲載'!C672="One2car",'中古車掲載'!F672="ATTO 3",'中古車掲載'!L672="EXTENDED RANGE",'中古車掲載'!J672=2023,ISNUMBER('中古車掲載'!N672),'中古車掲載'!N672&gt;=20000,'中古車掲載'!O672&lt;=50000,'中古車掲載'!AL672=1),'中古車掲載'!U672,"")</x:f>
      </x:c>
      <x:c r="BE671" s="3" t="str">
        <x:f>IF(AND('中古車掲載'!C672="One2car",'中古車掲載'!F672="Corolla Cross",'中古車掲載'!L672="HEV PREMIUM SAFETY",'中古車掲載'!J672=2023,ISNUMBER('中古車掲載'!N672),'中古車掲載'!N672&gt;=20000,'中古車掲載'!O672&lt;=50000,'中古車掲載'!AL672=1,'中古車掲載'!Z672="https://www.one2car.com/en/cars-for-sale/toyota/corolla-cross/year-2023"),'中古車掲載'!U672,"")</x:f>
      </x:c>
      <x:c r="BF671" s="3" t="str">
        <x:f>IF(AND('中古車掲載'!C672="One2car",'中古車掲載'!F672="Corolla Cross",'中古車掲載'!L672="HEV PREMIUM",'中古車掲載'!J672=2023,ISNUMBER('中古車掲載'!N672),'中古車掲載'!N672&gt;=20000,'中古車掲載'!O672&lt;=100000,'中古車掲載'!AL672=1,'中古車掲載'!Z672="https://www.one2car.com/en/cars-for-sale/toyota/corolla-cross/year-2023"),'中古車掲載'!U672,"")</x:f>
      </x:c>
      <x:c r="BG671" s="3" t="str">
        <x:f>IF(AND('中古車掲載'!C672="One2car",'中古車掲載'!F672="Corolla Cross",'中古車掲載'!L672="HEV GR SPORT",'中古車掲載'!J672=2023,ISNUMBER('中古車掲載'!N672),'中古車掲載'!N672&gt;=20000,'中古車掲載'!O672&lt;=100000,'中古車掲載'!AL672=1,'中古車掲載'!Z672="https://www.one2car.com/en/cars-for-sale/toyota/corolla-cross/year-2023"),'中古車掲載'!U672,"")</x:f>
      </x:c>
      <x:c r="BH671" s="3" t="str">
        <x:f>IF(AND('中古車掲載'!C672="One2car",'中古車掲載'!F672="DOLPHIN",'中古車掲載'!L672="STANDARD RANGE",'中古車掲載'!J672=2023,ISNUMBER('中古車掲載'!N672),'中古車掲載'!N672&gt;=20000,'中古車掲載'!O672&lt;=100000,'中古車掲載'!AL672=1),'中古車掲載'!U672,"")</x:f>
      </x:c>
      <x:c r="BI671" s="3" t="str">
        <x:v>Taladrod|Hilux Revo|ICE|Unknown</x:v>
      </x:c>
      <x:c r="BJ671" s="3" t="n">
        <x:v>672</x:v>
      </x:c>
      <x:c r="BK671" s="3" t="n">
        <x:f>'中古車掲載'!AM672</x:f>
        <x:v>299000</x:v>
      </x:c>
      <x:c r="BL671" s="3" t="str">
        <x:f>IF(ISNUMBER('中古車掲載'!AN672),'中古車掲載'!AN672,"")</x:f>
      </x:c>
      <x:c r="BM671" s="3"/>
      <x:c r="BN671" s="3"/>
      <x:c r="BO671" s="3"/>
      <x:c r="BP671" s="3"/>
      <x:c r="BQ671" s="3"/>
      <x:c r="BR671" s="3"/>
    </x:row>
    <x:row r="672" ht="22" customHeight="1">
      <x:c r="A672" s="3" t="str">
        <x:v>Yaris Cross</x:v>
      </x:c>
      <x:c r="B672" s="3" t="str">
        <x:v>HEV</x:v>
      </x:c>
      <x:c r="C672" s="3" t="str">
        <x:v>Taladrod</x:v>
      </x:c>
      <x:c r="D672" s="3" t="str">
        <x:v>SUV</x:v>
      </x:c>
      <x:c r="E672" s="3" t="str"/>
      <x:c r="F672" s="3" t="n">
        <x:v>2025</x:v>
      </x:c>
      <x:c r="G672" s="3" t="str">
        <x:v>1.5 HEV SMART</x:v>
      </x:c>
      <x:c r="H672" s="3" t="str">
        <x:v>未掲載</x:v>
      </x:c>
      <x:c r="I672" s="3" t="str">
        <x:v>23-ปัจจุบัน</x:v>
      </x:c>
      <x:c r="J672" s="22" t="n">
        <x:f>COUNT('中古車掲載'!AM1137:AM1137)</x:f>
        <x:v>1</x:v>
      </x:c>
      <x:c r="K672" s="22" t="n">
        <x:f>IF(COUNT('中古車掲載'!AM1137:AM1137)=0,"",QUARTILE('中古車掲載'!AM1137:AM1137,1))</x:f>
        <x:v>639000</x:v>
      </x:c>
      <x:c r="L672" s="22" t="n">
        <x:f>IF(COUNT('中古車掲載'!AM1137:AM1137)=0,"",MEDIAN('中古車掲載'!AM1137:AM1137))</x:f>
        <x:v>639000</x:v>
      </x:c>
      <x:c r="M672" s="22" t="n">
        <x:f>IF(COUNT('中古車掲載'!AM1137:AM1137)=0,"",QUARTILE('中古車掲載'!AM1137:AM1137,3))</x:f>
        <x:v>639000</x:v>
      </x:c>
      <x:c r="N672" s="22" t="n">
        <x:f>COUNT('中古車掲載'!AN1137:AN1137)</x:f>
        <x:v>0</x:v>
      </x:c>
      <x:c r="O672" s="23" t="str">
        <x:f>IF(COUNT('中古車掲載'!AN1137:AN1137)=0,"",MEDIAN('中古車掲載'!AN1137:AN1137))</x:f>
      </x:c>
      <x:c r="P672" s="3"/>
      <x:c r="Q672" s="3"/>
      <x:c r="R672" s="3"/>
      <x:c r="S672" s="3"/>
      <x:c r="T672" s="3"/>
      <x:c r="U672" s="3"/>
      <x:c r="V672" s="3"/>
      <x:c r="W672" s="3"/>
      <x:c r="X672" s="3"/>
      <x:c r="Y672" s="3"/>
      <x:c r="Z672" s="3"/>
      <x:c r="AA672" s="3"/>
      <x:c r="AB672" s="3"/>
      <x:c r="AC672" s="3"/>
      <x:c r="AD672" s="3"/>
      <x:c r="AE672" s="3"/>
      <x:c r="AF672" s="3"/>
      <x:c r="AG672" s="3"/>
      <x:c r="AH672" s="3"/>
      <x:c r="AI672" s="3"/>
      <x:c r="AJ672" s="3"/>
      <x:c r="AK672" s="3"/>
      <x:c r="AL672" s="3"/>
      <x:c r="AM672" s="3"/>
      <x:c r="AN672" s="3"/>
      <x:c r="AO672" s="3"/>
      <x:c r="AP672" s="3"/>
      <x:c r="AQ672" s="3"/>
      <x:c r="AR672" s="3"/>
      <x:c r="AS672" s="3"/>
      <x:c r="AT672" s="3"/>
      <x:c r="AU672" s="3"/>
      <x:c r="AV672" s="3"/>
      <x:c r="AW672" s="3"/>
      <x:c r="AX672" s="3"/>
      <x:c r="AY672" s="3"/>
      <x:c r="AZ672" s="3" t="str">
        <x:f>IF(AND('中古車掲載'!C673="One2car",'中古車掲載'!F673="ATTO 3",'中古車掲載'!L673="EXTENDED RANGE",'中古車掲載'!J673=2023,ISNUMBER('中古車掲載'!N673),'中古車掲載'!N673&gt;=20000,'中古車掲載'!O673&lt;=100000,'中古車掲載'!AL673=1),'中古車掲載'!U673,"")</x:f>
      </x:c>
      <x:c r="BA672" s="3" t="str">
        <x:f>IF(AND('中古車掲載'!C673="One2car",'中古車掲載'!F673="Corolla Cross",'中古車掲載'!L673="HEV PREMIUM SAFETY",'中古車掲載'!J673=2023,ISNUMBER('中古車掲載'!N673),'中古車掲載'!N673&gt;=20000,'中古車掲載'!O673&lt;=100000,'中古車掲載'!AL673=1,'中古車掲載'!Z673="https://www.one2car.com/en/cars-for-sale/toyota/corolla-cross/year-2023"),'中古車掲載'!U673,"")</x:f>
      </x:c>
      <x:c r="BB672" s="3" t="str">
        <x:f>IF(AND('中古車掲載'!C673="One2car",'中古車掲載'!F673="ATTO 3",'中古車掲載'!L673="EXTENDED RANGE",'中古車掲載'!J673=2023,ISNUMBER('中古車掲載'!N673),'中古車掲載'!N673&gt;=50000,'中古車掲載'!O673&lt;=100000,'中古車掲載'!AL673=1),'中古車掲載'!U673,"")</x:f>
      </x:c>
      <x:c r="BC672" s="3" t="str">
        <x:f>IF(AND('中古車掲載'!C673="One2car",'中古車掲載'!F673="Corolla Cross",'中古車掲載'!L673="HEV PREMIUM SAFETY",'中古車掲載'!J673=2023,ISNUMBER('中古車掲載'!N673),'中古車掲載'!N673&gt;=50000,'中古車掲載'!O673&lt;=100000,'中古車掲載'!AL673=1,'中古車掲載'!Z673="https://www.one2car.com/en/cars-for-sale/toyota/corolla-cross/year-2023"),'中古車掲載'!U673,"")</x:f>
      </x:c>
      <x:c r="BD672" s="3" t="str">
        <x:f>IF(AND('中古車掲載'!C673="One2car",'中古車掲載'!F673="ATTO 3",'中古車掲載'!L673="EXTENDED RANGE",'中古車掲載'!J673=2023,ISNUMBER('中古車掲載'!N673),'中古車掲載'!N673&gt;=20000,'中古車掲載'!O673&lt;=50000,'中古車掲載'!AL673=1),'中古車掲載'!U673,"")</x:f>
      </x:c>
      <x:c r="BE672" s="3" t="str">
        <x:f>IF(AND('中古車掲載'!C673="One2car",'中古車掲載'!F673="Corolla Cross",'中古車掲載'!L673="HEV PREMIUM SAFETY",'中古車掲載'!J673=2023,ISNUMBER('中古車掲載'!N673),'中古車掲載'!N673&gt;=20000,'中古車掲載'!O673&lt;=50000,'中古車掲載'!AL673=1,'中古車掲載'!Z673="https://www.one2car.com/en/cars-for-sale/toyota/corolla-cross/year-2023"),'中古車掲載'!U673,"")</x:f>
      </x:c>
      <x:c r="BF672" s="3" t="str">
        <x:f>IF(AND('中古車掲載'!C673="One2car",'中古車掲載'!F673="Corolla Cross",'中古車掲載'!L673="HEV PREMIUM",'中古車掲載'!J673=2023,ISNUMBER('中古車掲載'!N673),'中古車掲載'!N673&gt;=20000,'中古車掲載'!O673&lt;=100000,'中古車掲載'!AL673=1,'中古車掲載'!Z673="https://www.one2car.com/en/cars-for-sale/toyota/corolla-cross/year-2023"),'中古車掲載'!U673,"")</x:f>
      </x:c>
      <x:c r="BG672" s="3" t="str">
        <x:f>IF(AND('中古車掲載'!C673="One2car",'中古車掲載'!F673="Corolla Cross",'中古車掲載'!L673="HEV GR SPORT",'中古車掲載'!J673=2023,ISNUMBER('中古車掲載'!N673),'中古車掲載'!N673&gt;=20000,'中古車掲載'!O673&lt;=100000,'中古車掲載'!AL673=1,'中古車掲載'!Z673="https://www.one2car.com/en/cars-for-sale/toyota/corolla-cross/year-2023"),'中古車掲載'!U673,"")</x:f>
      </x:c>
      <x:c r="BH672" s="3" t="str">
        <x:f>IF(AND('中古車掲載'!C673="One2car",'中古車掲載'!F673="DOLPHIN",'中古車掲載'!L673="STANDARD RANGE",'中古車掲載'!J673=2023,ISNUMBER('中古車掲載'!N673),'中古車掲載'!N673&gt;=20000,'中古車掲載'!O673&lt;=100000,'中古車掲載'!AL673=1),'中古車掲載'!U673,"")</x:f>
      </x:c>
      <x:c r="BI672" s="3" t="str">
        <x:v>Taladrod|Hilux Revo|ICE|Unknown</x:v>
      </x:c>
      <x:c r="BJ672" s="3" t="n">
        <x:v>673</x:v>
      </x:c>
      <x:c r="BK672" s="3" t="n">
        <x:f>'中古車掲載'!AM673</x:f>
        <x:v>515000</x:v>
      </x:c>
      <x:c r="BL672" s="3" t="str">
        <x:f>IF(ISNUMBER('中古車掲載'!AN673),'中古車掲載'!AN673,"")</x:f>
      </x:c>
      <x:c r="BM672" s="3"/>
      <x:c r="BN672" s="3"/>
      <x:c r="BO672" s="3"/>
      <x:c r="BP672" s="3"/>
      <x:c r="BQ672" s="3"/>
      <x:c r="BR672" s="3"/>
    </x:row>
    <x:row r="673" ht="22" customHeight="1">
      <x:c r="A673" s="3" t="str">
        <x:v>Yaris Cross</x:v>
      </x:c>
      <x:c r="B673" s="3" t="str">
        <x:v>HEV</x:v>
      </x:c>
      <x:c r="C673" s="3" t="str">
        <x:v>Taladrod</x:v>
      </x:c>
      <x:c r="D673" s="3" t="str">
        <x:v>SUV</x:v>
      </x:c>
      <x:c r="E673" s="3" t="str"/>
      <x:c r="F673" s="3" t="n">
        <x:v>2026</x:v>
      </x:c>
      <x:c r="G673" s="3" t="str">
        <x:v>1.5 HEV NIGHTSHADE</x:v>
      </x:c>
      <x:c r="H673" s="3" t="str">
        <x:v>未掲載</x:v>
      </x:c>
      <x:c r="I673" s="3" t="str">
        <x:v>23-ปัจจุบัน</x:v>
      </x:c>
      <x:c r="J673" s="22" t="n">
        <x:f>COUNT('中古車掲載'!AM1138:AM1138)</x:f>
        <x:v>0</x:v>
      </x:c>
      <x:c r="K673" s="22" t="str">
        <x:f>IF(COUNT('中古車掲載'!AM1138:AM1138)=0,"",QUARTILE('中古車掲載'!AM1138:AM1138,1))</x:f>
      </x:c>
      <x:c r="L673" s="22" t="str">
        <x:f>IF(COUNT('中古車掲載'!AM1138:AM1138)=0,"",MEDIAN('中古車掲載'!AM1138:AM1138))</x:f>
      </x:c>
      <x:c r="M673" s="22" t="str">
        <x:f>IF(COUNT('中古車掲載'!AM1138:AM1138)=0,"",QUARTILE('中古車掲載'!AM1138:AM1138,3))</x:f>
      </x:c>
      <x:c r="N673" s="22" t="n">
        <x:f>COUNT('中古車掲載'!AN1138:AN1138)</x:f>
        <x:v>0</x:v>
      </x:c>
      <x:c r="O673" s="23" t="str">
        <x:f>IF(COUNT('中古車掲載'!AN1138:AN1138)=0,"",MEDIAN('中古車掲載'!AN1138:AN1138))</x:f>
      </x:c>
      <x:c r="P673" s="3"/>
      <x:c r="Q673" s="3"/>
      <x:c r="R673" s="3"/>
      <x:c r="S673" s="3"/>
      <x:c r="T673" s="3"/>
      <x:c r="U673" s="3"/>
      <x:c r="V673" s="3"/>
      <x:c r="W673" s="3"/>
      <x:c r="X673" s="3"/>
      <x:c r="Y673" s="3"/>
      <x:c r="Z673" s="3"/>
      <x:c r="AA673" s="3"/>
      <x:c r="AB673" s="3"/>
      <x:c r="AC673" s="3"/>
      <x:c r="AD673" s="3"/>
      <x:c r="AE673" s="3"/>
      <x:c r="AF673" s="3"/>
      <x:c r="AG673" s="3"/>
      <x:c r="AH673" s="3"/>
      <x:c r="AI673" s="3"/>
      <x:c r="AJ673" s="3"/>
      <x:c r="AK673" s="3"/>
      <x:c r="AL673" s="3"/>
      <x:c r="AM673" s="3"/>
      <x:c r="AN673" s="3"/>
      <x:c r="AO673" s="3"/>
      <x:c r="AP673" s="3"/>
      <x:c r="AQ673" s="3"/>
      <x:c r="AR673" s="3"/>
      <x:c r="AS673" s="3"/>
      <x:c r="AT673" s="3"/>
      <x:c r="AU673" s="3"/>
      <x:c r="AV673" s="3"/>
      <x:c r="AW673" s="3"/>
      <x:c r="AX673" s="3"/>
      <x:c r="AY673" s="3"/>
      <x:c r="AZ673" s="3" t="str">
        <x:f>IF(AND('中古車掲載'!C674="One2car",'中古車掲載'!F674="ATTO 3",'中古車掲載'!L674="EXTENDED RANGE",'中古車掲載'!J674=2023,ISNUMBER('中古車掲載'!N674),'中古車掲載'!N674&gt;=20000,'中古車掲載'!O674&lt;=100000,'中古車掲載'!AL674=1),'中古車掲載'!U674,"")</x:f>
      </x:c>
      <x:c r="BA673" s="3" t="str">
        <x:f>IF(AND('中古車掲載'!C674="One2car",'中古車掲載'!F674="Corolla Cross",'中古車掲載'!L674="HEV PREMIUM SAFETY",'中古車掲載'!J674=2023,ISNUMBER('中古車掲載'!N674),'中古車掲載'!N674&gt;=20000,'中古車掲載'!O674&lt;=100000,'中古車掲載'!AL674=1,'中古車掲載'!Z674="https://www.one2car.com/en/cars-for-sale/toyota/corolla-cross/year-2023"),'中古車掲載'!U674,"")</x:f>
      </x:c>
      <x:c r="BB673" s="3" t="str">
        <x:f>IF(AND('中古車掲載'!C674="One2car",'中古車掲載'!F674="ATTO 3",'中古車掲載'!L674="EXTENDED RANGE",'中古車掲載'!J674=2023,ISNUMBER('中古車掲載'!N674),'中古車掲載'!N674&gt;=50000,'中古車掲載'!O674&lt;=100000,'中古車掲載'!AL674=1),'中古車掲載'!U674,"")</x:f>
      </x:c>
      <x:c r="BC673" s="3" t="str">
        <x:f>IF(AND('中古車掲載'!C674="One2car",'中古車掲載'!F674="Corolla Cross",'中古車掲載'!L674="HEV PREMIUM SAFETY",'中古車掲載'!J674=2023,ISNUMBER('中古車掲載'!N674),'中古車掲載'!N674&gt;=50000,'中古車掲載'!O674&lt;=100000,'中古車掲載'!AL674=1,'中古車掲載'!Z674="https://www.one2car.com/en/cars-for-sale/toyota/corolla-cross/year-2023"),'中古車掲載'!U674,"")</x:f>
      </x:c>
      <x:c r="BD673" s="3" t="str">
        <x:f>IF(AND('中古車掲載'!C674="One2car",'中古車掲載'!F674="ATTO 3",'中古車掲載'!L674="EXTENDED RANGE",'中古車掲載'!J674=2023,ISNUMBER('中古車掲載'!N674),'中古車掲載'!N674&gt;=20000,'中古車掲載'!O674&lt;=50000,'中古車掲載'!AL674=1),'中古車掲載'!U674,"")</x:f>
      </x:c>
      <x:c r="BE673" s="3" t="str">
        <x:f>IF(AND('中古車掲載'!C674="One2car",'中古車掲載'!F674="Corolla Cross",'中古車掲載'!L674="HEV PREMIUM SAFETY",'中古車掲載'!J674=2023,ISNUMBER('中古車掲載'!N674),'中古車掲載'!N674&gt;=20000,'中古車掲載'!O674&lt;=50000,'中古車掲載'!AL674=1,'中古車掲載'!Z674="https://www.one2car.com/en/cars-for-sale/toyota/corolla-cross/year-2023"),'中古車掲載'!U674,"")</x:f>
      </x:c>
      <x:c r="BF673" s="3" t="str">
        <x:f>IF(AND('中古車掲載'!C674="One2car",'中古車掲載'!F674="Corolla Cross",'中古車掲載'!L674="HEV PREMIUM",'中古車掲載'!J674=2023,ISNUMBER('中古車掲載'!N674),'中古車掲載'!N674&gt;=20000,'中古車掲載'!O674&lt;=100000,'中古車掲載'!AL674=1,'中古車掲載'!Z674="https://www.one2car.com/en/cars-for-sale/toyota/corolla-cross/year-2023"),'中古車掲載'!U674,"")</x:f>
      </x:c>
      <x:c r="BG673" s="3" t="str">
        <x:f>IF(AND('中古車掲載'!C674="One2car",'中古車掲載'!F674="Corolla Cross",'中古車掲載'!L674="HEV GR SPORT",'中古車掲載'!J674=2023,ISNUMBER('中古車掲載'!N674),'中古車掲載'!N674&gt;=20000,'中古車掲載'!O674&lt;=100000,'中古車掲載'!AL674=1,'中古車掲載'!Z674="https://www.one2car.com/en/cars-for-sale/toyota/corolla-cross/year-2023"),'中古車掲載'!U674,"")</x:f>
      </x:c>
      <x:c r="BH673" s="3" t="str">
        <x:f>IF(AND('中古車掲載'!C674="One2car",'中古車掲載'!F674="DOLPHIN",'中古車掲載'!L674="STANDARD RANGE",'中古車掲載'!J674=2023,ISNUMBER('中古車掲載'!N674),'中古車掲載'!N674&gt;=20000,'中古車掲載'!O674&lt;=100000,'中古車掲載'!AL674=1),'中古車掲載'!U674,"")</x:f>
      </x:c>
      <x:c r="BI673" s="3" t="str">
        <x:v>Taladrod|Hilux Revo|ICE|Unknown</x:v>
      </x:c>
      <x:c r="BJ673" s="3" t="n">
        <x:v>674</x:v>
      </x:c>
      <x:c r="BK673" s="3" t="n">
        <x:f>'中古車掲載'!AM674</x:f>
        <x:v>515000</x:v>
      </x:c>
      <x:c r="BL673" s="3" t="str">
        <x:f>IF(ISNUMBER('中古車掲載'!AN674),'中古車掲載'!AN674,"")</x:f>
      </x:c>
      <x:c r="BM673" s="3"/>
      <x:c r="BN673" s="3"/>
      <x:c r="BO673" s="3"/>
      <x:c r="BP673" s="3"/>
      <x:c r="BQ673" s="3"/>
      <x:c r="BR673" s="3"/>
    </x:row>
    <x:row r="674" ht="22" customHeight="1">
      <x:c r="A674" s="3" t="str">
        <x:v>Yaris Cross</x:v>
      </x:c>
      <x:c r="B674" s="3" t="str">
        <x:v>HEV</x:v>
      </x:c>
      <x:c r="C674" s="3" t="str">
        <x:v>Taladrod</x:v>
      </x:c>
      <x:c r="D674" s="3" t="str">
        <x:v>SUV</x:v>
      </x:c>
      <x:c r="E674" s="3" t="str"/>
      <x:c r="F674" s="3" t="n">
        <x:v>2026</x:v>
      </x:c>
      <x:c r="G674" s="3" t="str">
        <x:v>1.5 HEV PREMIUM LUXURY</x:v>
      </x:c>
      <x:c r="H674" s="3" t="str">
        <x:v>未掲載</x:v>
      </x:c>
      <x:c r="I674" s="3" t="str">
        <x:v>23-ปัจจุบัน</x:v>
      </x:c>
      <x:c r="J674" s="22" t="n">
        <x:f>COUNT('中古車掲載'!AM1139:AM1139)</x:f>
        <x:v>0</x:v>
      </x:c>
      <x:c r="K674" s="22" t="str">
        <x:f>IF(COUNT('中古車掲載'!AM1139:AM1139)=0,"",QUARTILE('中古車掲載'!AM1139:AM1139,1))</x:f>
      </x:c>
      <x:c r="L674" s="22" t="str">
        <x:f>IF(COUNT('中古車掲載'!AM1139:AM1139)=0,"",MEDIAN('中古車掲載'!AM1139:AM1139))</x:f>
      </x:c>
      <x:c r="M674" s="22" t="str">
        <x:f>IF(COUNT('中古車掲載'!AM1139:AM1139)=0,"",QUARTILE('中古車掲載'!AM1139:AM1139,3))</x:f>
      </x:c>
      <x:c r="N674" s="22" t="n">
        <x:f>COUNT('中古車掲載'!AN1139:AN1139)</x:f>
        <x:v>0</x:v>
      </x:c>
      <x:c r="O674" s="23" t="str">
        <x:f>IF(COUNT('中古車掲載'!AN1139:AN1139)=0,"",MEDIAN('中古車掲載'!AN1139:AN1139))</x:f>
      </x:c>
      <x:c r="P674" s="3"/>
      <x:c r="Q674" s="3"/>
      <x:c r="R674" s="3"/>
      <x:c r="S674" s="3"/>
      <x:c r="T674" s="3"/>
      <x:c r="U674" s="3"/>
      <x:c r="V674" s="3"/>
      <x:c r="W674" s="3"/>
      <x:c r="X674" s="3"/>
      <x:c r="Y674" s="3"/>
      <x:c r="Z674" s="3"/>
      <x:c r="AA674" s="3"/>
      <x:c r="AB674" s="3"/>
      <x:c r="AC674" s="3"/>
      <x:c r="AD674" s="3"/>
      <x:c r="AE674" s="3"/>
      <x:c r="AF674" s="3"/>
      <x:c r="AG674" s="3"/>
      <x:c r="AH674" s="3"/>
      <x:c r="AI674" s="3"/>
      <x:c r="AJ674" s="3"/>
      <x:c r="AK674" s="3"/>
      <x:c r="AL674" s="3"/>
      <x:c r="AM674" s="3"/>
      <x:c r="AN674" s="3"/>
      <x:c r="AO674" s="3"/>
      <x:c r="AP674" s="3"/>
      <x:c r="AQ674" s="3"/>
      <x:c r="AR674" s="3"/>
      <x:c r="AS674" s="3"/>
      <x:c r="AT674" s="3"/>
      <x:c r="AU674" s="3"/>
      <x:c r="AV674" s="3"/>
      <x:c r="AW674" s="3"/>
      <x:c r="AX674" s="3"/>
      <x:c r="AY674" s="3"/>
      <x:c r="AZ674" s="3" t="str">
        <x:f>IF(AND('中古車掲載'!C675="One2car",'中古車掲載'!F675="ATTO 3",'中古車掲載'!L675="EXTENDED RANGE",'中古車掲載'!J675=2023,ISNUMBER('中古車掲載'!N675),'中古車掲載'!N675&gt;=20000,'中古車掲載'!O675&lt;=100000,'中古車掲載'!AL675=1),'中古車掲載'!U675,"")</x:f>
      </x:c>
      <x:c r="BA674" s="3" t="str">
        <x:f>IF(AND('中古車掲載'!C675="One2car",'中古車掲載'!F675="Corolla Cross",'中古車掲載'!L675="HEV PREMIUM SAFETY",'中古車掲載'!J675=2023,ISNUMBER('中古車掲載'!N675),'中古車掲載'!N675&gt;=20000,'中古車掲載'!O675&lt;=100000,'中古車掲載'!AL675=1,'中古車掲載'!Z675="https://www.one2car.com/en/cars-for-sale/toyota/corolla-cross/year-2023"),'中古車掲載'!U675,"")</x:f>
      </x:c>
      <x:c r="BB674" s="3" t="str">
        <x:f>IF(AND('中古車掲載'!C675="One2car",'中古車掲載'!F675="ATTO 3",'中古車掲載'!L675="EXTENDED RANGE",'中古車掲載'!J675=2023,ISNUMBER('中古車掲載'!N675),'中古車掲載'!N675&gt;=50000,'中古車掲載'!O675&lt;=100000,'中古車掲載'!AL675=1),'中古車掲載'!U675,"")</x:f>
      </x:c>
      <x:c r="BC674" s="3" t="str">
        <x:f>IF(AND('中古車掲載'!C675="One2car",'中古車掲載'!F675="Corolla Cross",'中古車掲載'!L675="HEV PREMIUM SAFETY",'中古車掲載'!J675=2023,ISNUMBER('中古車掲載'!N675),'中古車掲載'!N675&gt;=50000,'中古車掲載'!O675&lt;=100000,'中古車掲載'!AL675=1,'中古車掲載'!Z675="https://www.one2car.com/en/cars-for-sale/toyota/corolla-cross/year-2023"),'中古車掲載'!U675,"")</x:f>
      </x:c>
      <x:c r="BD674" s="3" t="str">
        <x:f>IF(AND('中古車掲載'!C675="One2car",'中古車掲載'!F675="ATTO 3",'中古車掲載'!L675="EXTENDED RANGE",'中古車掲載'!J675=2023,ISNUMBER('中古車掲載'!N675),'中古車掲載'!N675&gt;=20000,'中古車掲載'!O675&lt;=50000,'中古車掲載'!AL675=1),'中古車掲載'!U675,"")</x:f>
      </x:c>
      <x:c r="BE674" s="3" t="str">
        <x:f>IF(AND('中古車掲載'!C675="One2car",'中古車掲載'!F675="Corolla Cross",'中古車掲載'!L675="HEV PREMIUM SAFETY",'中古車掲載'!J675=2023,ISNUMBER('中古車掲載'!N675),'中古車掲載'!N675&gt;=20000,'中古車掲載'!O675&lt;=50000,'中古車掲載'!AL675=1,'中古車掲載'!Z675="https://www.one2car.com/en/cars-for-sale/toyota/corolla-cross/year-2023"),'中古車掲載'!U675,"")</x:f>
      </x:c>
      <x:c r="BF674" s="3" t="str">
        <x:f>IF(AND('中古車掲載'!C675="One2car",'中古車掲載'!F675="Corolla Cross",'中古車掲載'!L675="HEV PREMIUM",'中古車掲載'!J675=2023,ISNUMBER('中古車掲載'!N675),'中古車掲載'!N675&gt;=20000,'中古車掲載'!O675&lt;=100000,'中古車掲載'!AL675=1,'中古車掲載'!Z675="https://www.one2car.com/en/cars-for-sale/toyota/corolla-cross/year-2023"),'中古車掲載'!U675,"")</x:f>
      </x:c>
      <x:c r="BG674" s="3" t="str">
        <x:f>IF(AND('中古車掲載'!C675="One2car",'中古車掲載'!F675="Corolla Cross",'中古車掲載'!L675="HEV GR SPORT",'中古車掲載'!J675=2023,ISNUMBER('中古車掲載'!N675),'中古車掲載'!N675&gt;=20000,'中古車掲載'!O675&lt;=100000,'中古車掲載'!AL675=1,'中古車掲載'!Z675="https://www.one2car.com/en/cars-for-sale/toyota/corolla-cross/year-2023"),'中古車掲載'!U675,"")</x:f>
      </x:c>
      <x:c r="BH674" s="3" t="str">
        <x:f>IF(AND('中古車掲載'!C675="One2car",'中古車掲載'!F675="DOLPHIN",'中古車掲載'!L675="STANDARD RANGE",'中古車掲載'!J675=2023,ISNUMBER('中古車掲載'!N675),'中古車掲載'!N675&gt;=20000,'中古車掲載'!O675&lt;=100000,'中古車掲載'!AL675=1),'中古車掲載'!U675,"")</x:f>
      </x:c>
      <x:c r="BI674" s="3" t="str">
        <x:v>Taladrod|Hilux Revo|ICE|Unknown</x:v>
      </x:c>
      <x:c r="BJ674" s="3" t="n">
        <x:v>675</x:v>
      </x:c>
      <x:c r="BK674" s="3" t="n">
        <x:f>'中古車掲載'!AM675</x:f>
        <x:v>499000</x:v>
      </x:c>
      <x:c r="BL674" s="3" t="str">
        <x:f>IF(ISNUMBER('中古車掲載'!AN675),'中古車掲載'!AN675,"")</x:f>
      </x:c>
      <x:c r="BM674" s="3"/>
      <x:c r="BN674" s="3"/>
      <x:c r="BO674" s="3"/>
      <x:c r="BP674" s="3"/>
      <x:c r="BQ674" s="3"/>
      <x:c r="BR674" s="3"/>
    </x:row>
    <x:row r="675" ht="22" customHeight="1">
      <x:c r="A675" s="3" t="str">
        <x:v>bZ4X</x:v>
      </x:c>
      <x:c r="B675" s="3" t="str">
        <x:v>BEV</x:v>
      </x:c>
      <x:c r="C675" s="3" t="str">
        <x:v>Taladrod</x:v>
      </x:c>
      <x:c r="D675" s="3" t="str">
        <x:v>SUV</x:v>
      </x:c>
      <x:c r="E675" s="3" t="str"/>
      <x:c r="F675" s="3" t="n">
        <x:v>2023</x:v>
      </x:c>
      <x:c r="G675" s="3" t="str">
        <x:v>EV AWD</x:v>
      </x:c>
      <x:c r="H675" s="3" t="str">
        <x:v>未掲載</x:v>
      </x:c>
      <x:c r="I675" s="3" t="str">
        <x:v>22-ปัจจุบัน</x:v>
      </x:c>
      <x:c r="J675" s="22" t="n">
        <x:f>COUNT('中古車掲載'!AM1140:AM1140)</x:f>
        <x:v>1</x:v>
      </x:c>
      <x:c r="K675" s="22" t="n">
        <x:f>IF(COUNT('中古車掲載'!AM1140:AM1140)=0,"",QUARTILE('中古車掲載'!AM1140:AM1140,1))</x:f>
        <x:v>980000</x:v>
      </x:c>
      <x:c r="L675" s="22" t="n">
        <x:f>IF(COUNT('中古車掲載'!AM1140:AM1140)=0,"",MEDIAN('中古車掲載'!AM1140:AM1140))</x:f>
        <x:v>980000</x:v>
      </x:c>
      <x:c r="M675" s="22" t="n">
        <x:f>IF(COUNT('中古車掲載'!AM1140:AM1140)=0,"",QUARTILE('中古車掲載'!AM1140:AM1140,3))</x:f>
        <x:v>980000</x:v>
      </x:c>
      <x:c r="N675" s="22" t="n">
        <x:f>COUNT('中古車掲載'!AN1140:AN1140)</x:f>
        <x:v>0</x:v>
      </x:c>
      <x:c r="O675" s="23" t="str">
        <x:f>IF(COUNT('中古車掲載'!AN1140:AN1140)=0,"",MEDIAN('中古車掲載'!AN1140:AN1140))</x:f>
      </x:c>
      <x:c r="P675" s="3"/>
      <x:c r="Q675" s="3"/>
      <x:c r="R675" s="3"/>
      <x:c r="S675" s="3"/>
      <x:c r="T675" s="3"/>
      <x:c r="U675" s="3"/>
      <x:c r="V675" s="3"/>
      <x:c r="W675" s="3"/>
      <x:c r="X675" s="3"/>
      <x:c r="Y675" s="3"/>
      <x:c r="Z675" s="3"/>
      <x:c r="AA675" s="3"/>
      <x:c r="AB675" s="3"/>
      <x:c r="AC675" s="3"/>
      <x:c r="AD675" s="3"/>
      <x:c r="AE675" s="3"/>
      <x:c r="AF675" s="3"/>
      <x:c r="AG675" s="3"/>
      <x:c r="AH675" s="3"/>
      <x:c r="AI675" s="3"/>
      <x:c r="AJ675" s="3"/>
      <x:c r="AK675" s="3"/>
      <x:c r="AL675" s="3"/>
      <x:c r="AM675" s="3"/>
      <x:c r="AN675" s="3"/>
      <x:c r="AO675" s="3"/>
      <x:c r="AP675" s="3"/>
      <x:c r="AQ675" s="3"/>
      <x:c r="AR675" s="3"/>
      <x:c r="AS675" s="3"/>
      <x:c r="AT675" s="3"/>
      <x:c r="AU675" s="3"/>
      <x:c r="AV675" s="3"/>
      <x:c r="AW675" s="3"/>
      <x:c r="AX675" s="3"/>
      <x:c r="AY675" s="3"/>
      <x:c r="AZ675" s="3" t="str">
        <x:f>IF(AND('中古車掲載'!C676="One2car",'中古車掲載'!F676="ATTO 3",'中古車掲載'!L676="EXTENDED RANGE",'中古車掲載'!J676=2023,ISNUMBER('中古車掲載'!N676),'中古車掲載'!N676&gt;=20000,'中古車掲載'!O676&lt;=100000,'中古車掲載'!AL676=1),'中古車掲載'!U676,"")</x:f>
      </x:c>
      <x:c r="BA675" s="3" t="str">
        <x:f>IF(AND('中古車掲載'!C676="One2car",'中古車掲載'!F676="Corolla Cross",'中古車掲載'!L676="HEV PREMIUM SAFETY",'中古車掲載'!J676=2023,ISNUMBER('中古車掲載'!N676),'中古車掲載'!N676&gt;=20000,'中古車掲載'!O676&lt;=100000,'中古車掲載'!AL676=1,'中古車掲載'!Z676="https://www.one2car.com/en/cars-for-sale/toyota/corolla-cross/year-2023"),'中古車掲載'!U676,"")</x:f>
      </x:c>
      <x:c r="BB675" s="3" t="str">
        <x:f>IF(AND('中古車掲載'!C676="One2car",'中古車掲載'!F676="ATTO 3",'中古車掲載'!L676="EXTENDED RANGE",'中古車掲載'!J676=2023,ISNUMBER('中古車掲載'!N676),'中古車掲載'!N676&gt;=50000,'中古車掲載'!O676&lt;=100000,'中古車掲載'!AL676=1),'中古車掲載'!U676,"")</x:f>
      </x:c>
      <x:c r="BC675" s="3" t="str">
        <x:f>IF(AND('中古車掲載'!C676="One2car",'中古車掲載'!F676="Corolla Cross",'中古車掲載'!L676="HEV PREMIUM SAFETY",'中古車掲載'!J676=2023,ISNUMBER('中古車掲載'!N676),'中古車掲載'!N676&gt;=50000,'中古車掲載'!O676&lt;=100000,'中古車掲載'!AL676=1,'中古車掲載'!Z676="https://www.one2car.com/en/cars-for-sale/toyota/corolla-cross/year-2023"),'中古車掲載'!U676,"")</x:f>
      </x:c>
      <x:c r="BD675" s="3" t="str">
        <x:f>IF(AND('中古車掲載'!C676="One2car",'中古車掲載'!F676="ATTO 3",'中古車掲載'!L676="EXTENDED RANGE",'中古車掲載'!J676=2023,ISNUMBER('中古車掲載'!N676),'中古車掲載'!N676&gt;=20000,'中古車掲載'!O676&lt;=50000,'中古車掲載'!AL676=1),'中古車掲載'!U676,"")</x:f>
      </x:c>
      <x:c r="BE675" s="3" t="str">
        <x:f>IF(AND('中古車掲載'!C676="One2car",'中古車掲載'!F676="Corolla Cross",'中古車掲載'!L676="HEV PREMIUM SAFETY",'中古車掲載'!J676=2023,ISNUMBER('中古車掲載'!N676),'中古車掲載'!N676&gt;=20000,'中古車掲載'!O676&lt;=50000,'中古車掲載'!AL676=1,'中古車掲載'!Z676="https://www.one2car.com/en/cars-for-sale/toyota/corolla-cross/year-2023"),'中古車掲載'!U676,"")</x:f>
      </x:c>
      <x:c r="BF675" s="3" t="str">
        <x:f>IF(AND('中古車掲載'!C676="One2car",'中古車掲載'!F676="Corolla Cross",'中古車掲載'!L676="HEV PREMIUM",'中古車掲載'!J676=2023,ISNUMBER('中古車掲載'!N676),'中古車掲載'!N676&gt;=20000,'中古車掲載'!O676&lt;=100000,'中古車掲載'!AL676=1,'中古車掲載'!Z676="https://www.one2car.com/en/cars-for-sale/toyota/corolla-cross/year-2023"),'中古車掲載'!U676,"")</x:f>
      </x:c>
      <x:c r="BG675" s="3" t="str">
        <x:f>IF(AND('中古車掲載'!C676="One2car",'中古車掲載'!F676="Corolla Cross",'中古車掲載'!L676="HEV GR SPORT",'中古車掲載'!J676=2023,ISNUMBER('中古車掲載'!N676),'中古車掲載'!N676&gt;=20000,'中古車掲載'!O676&lt;=100000,'中古車掲載'!AL676=1,'中古車掲載'!Z676="https://www.one2car.com/en/cars-for-sale/toyota/corolla-cross/year-2023"),'中古車掲載'!U676,"")</x:f>
      </x:c>
      <x:c r="BH675" s="3" t="str">
        <x:f>IF(AND('中古車掲載'!C676="One2car",'中古車掲載'!F676="DOLPHIN",'中古車掲載'!L676="STANDARD RANGE",'中古車掲載'!J676=2023,ISNUMBER('中古車掲載'!N676),'中古車掲載'!N676&gt;=20000,'中古車掲載'!O676&lt;=100000,'中古車掲載'!AL676=1),'中古車掲載'!U676,"")</x:f>
      </x:c>
      <x:c r="BI675" s="3" t="str">
        <x:v>Taladrod|Hilux Revo|ICE|Unknown</x:v>
      </x:c>
      <x:c r="BJ675" s="3" t="n">
        <x:v>676</x:v>
      </x:c>
      <x:c r="BK675" s="3" t="n">
        <x:f>'中古車掲載'!AM676</x:f>
        <x:v>464000</x:v>
      </x:c>
      <x:c r="BL675" s="3" t="str">
        <x:f>IF(ISNUMBER('中古車掲載'!AN676),'中古車掲載'!AN676,"")</x:f>
      </x:c>
      <x:c r="BM675" s="3"/>
      <x:c r="BN675" s="3"/>
      <x:c r="BO675" s="3"/>
      <x:c r="BP675" s="3"/>
      <x:c r="BQ675" s="3"/>
      <x:c r="BR675" s="3"/>
    </x:row>
    <x:row r="676" ht="22" customHeight="1">
      <x:c r="A676" s="3"/>
      <x:c r="B676" s="3"/>
      <x:c r="C676" s="3"/>
      <x:c r="D676" s="3"/>
      <x:c r="E676" s="3"/>
      <x:c r="F676" s="3"/>
      <x:c r="G676" s="3"/>
      <x:c r="H676" s="3"/>
      <x:c r="I676" s="3"/>
      <x:c r="J676" s="3"/>
      <x:c r="K676" s="3"/>
      <x:c r="L676" s="3"/>
      <x:c r="M676" s="3"/>
      <x:c r="N676" s="3"/>
      <x:c r="O676" s="3"/>
      <x:c r="P676" s="3"/>
      <x:c r="Q676" s="3"/>
      <x:c r="R676" s="3"/>
      <x:c r="S676" s="3"/>
      <x:c r="T676" s="3"/>
      <x:c r="U676" s="3"/>
      <x:c r="V676" s="3"/>
      <x:c r="W676" s="3"/>
      <x:c r="X676" s="3"/>
      <x:c r="Y676" s="3"/>
      <x:c r="Z676" s="3"/>
      <x:c r="AA676" s="3"/>
      <x:c r="AB676" s="3"/>
      <x:c r="AC676" s="3"/>
      <x:c r="AD676" s="3"/>
      <x:c r="AE676" s="3"/>
      <x:c r="AF676" s="3"/>
      <x:c r="AG676" s="3"/>
      <x:c r="AH676" s="3"/>
      <x:c r="AI676" s="3"/>
      <x:c r="AJ676" s="3"/>
      <x:c r="AK676" s="3"/>
      <x:c r="AL676" s="3"/>
      <x:c r="AM676" s="3"/>
      <x:c r="AN676" s="3"/>
      <x:c r="AO676" s="3"/>
      <x:c r="AP676" s="3"/>
      <x:c r="AQ676" s="3"/>
      <x:c r="AR676" s="3"/>
      <x:c r="AS676" s="3"/>
      <x:c r="AT676" s="3"/>
      <x:c r="AU676" s="3"/>
      <x:c r="AV676" s="3"/>
      <x:c r="AW676" s="3"/>
      <x:c r="AX676" s="3"/>
      <x:c r="AY676" s="3"/>
      <x:c r="AZ676" s="3" t="str">
        <x:f>IF(AND('中古車掲載'!C677="One2car",'中古車掲載'!F677="ATTO 3",'中古車掲載'!L677="EXTENDED RANGE",'中古車掲載'!J677=2023,ISNUMBER('中古車掲載'!N677),'中古車掲載'!N677&gt;=20000,'中古車掲載'!O677&lt;=100000,'中古車掲載'!AL677=1),'中古車掲載'!U677,"")</x:f>
      </x:c>
      <x:c r="BA676" s="3" t="str">
        <x:f>IF(AND('中古車掲載'!C677="One2car",'中古車掲載'!F677="Corolla Cross",'中古車掲載'!L677="HEV PREMIUM SAFETY",'中古車掲載'!J677=2023,ISNUMBER('中古車掲載'!N677),'中古車掲載'!N677&gt;=20000,'中古車掲載'!O677&lt;=100000,'中古車掲載'!AL677=1,'中古車掲載'!Z677="https://www.one2car.com/en/cars-for-sale/toyota/corolla-cross/year-2023"),'中古車掲載'!U677,"")</x:f>
      </x:c>
      <x:c r="BB676" s="3" t="str">
        <x:f>IF(AND('中古車掲載'!C677="One2car",'中古車掲載'!F677="ATTO 3",'中古車掲載'!L677="EXTENDED RANGE",'中古車掲載'!J677=2023,ISNUMBER('中古車掲載'!N677),'中古車掲載'!N677&gt;=50000,'中古車掲載'!O677&lt;=100000,'中古車掲載'!AL677=1),'中古車掲載'!U677,"")</x:f>
      </x:c>
      <x:c r="BC676" s="3" t="str">
        <x:f>IF(AND('中古車掲載'!C677="One2car",'中古車掲載'!F677="Corolla Cross",'中古車掲載'!L677="HEV PREMIUM SAFETY",'中古車掲載'!J677=2023,ISNUMBER('中古車掲載'!N677),'中古車掲載'!N677&gt;=50000,'中古車掲載'!O677&lt;=100000,'中古車掲載'!AL677=1,'中古車掲載'!Z677="https://www.one2car.com/en/cars-for-sale/toyota/corolla-cross/year-2023"),'中古車掲載'!U677,"")</x:f>
      </x:c>
      <x:c r="BD676" s="3" t="str">
        <x:f>IF(AND('中古車掲載'!C677="One2car",'中古車掲載'!F677="ATTO 3",'中古車掲載'!L677="EXTENDED RANGE",'中古車掲載'!J677=2023,ISNUMBER('中古車掲載'!N677),'中古車掲載'!N677&gt;=20000,'中古車掲載'!O677&lt;=50000,'中古車掲載'!AL677=1),'中古車掲載'!U677,"")</x:f>
      </x:c>
      <x:c r="BE676" s="3" t="str">
        <x:f>IF(AND('中古車掲載'!C677="One2car",'中古車掲載'!F677="Corolla Cross",'中古車掲載'!L677="HEV PREMIUM SAFETY",'中古車掲載'!J677=2023,ISNUMBER('中古車掲載'!N677),'中古車掲載'!N677&gt;=20000,'中古車掲載'!O677&lt;=50000,'中古車掲載'!AL677=1,'中古車掲載'!Z677="https://www.one2car.com/en/cars-for-sale/toyota/corolla-cross/year-2023"),'中古車掲載'!U677,"")</x:f>
      </x:c>
      <x:c r="BF676" s="3" t="str">
        <x:f>IF(AND('中古車掲載'!C677="One2car",'中古車掲載'!F677="Corolla Cross",'中古車掲載'!L677="HEV PREMIUM",'中古車掲載'!J677=2023,ISNUMBER('中古車掲載'!N677),'中古車掲載'!N677&gt;=20000,'中古車掲載'!O677&lt;=100000,'中古車掲載'!AL677=1,'中古車掲載'!Z677="https://www.one2car.com/en/cars-for-sale/toyota/corolla-cross/year-2023"),'中古車掲載'!U677,"")</x:f>
      </x:c>
      <x:c r="BG676" s="3" t="str">
        <x:f>IF(AND('中古車掲載'!C677="One2car",'中古車掲載'!F677="Corolla Cross",'中古車掲載'!L677="HEV GR SPORT",'中古車掲載'!J677=2023,ISNUMBER('中古車掲載'!N677),'中古車掲載'!N677&gt;=20000,'中古車掲載'!O677&lt;=100000,'中古車掲載'!AL677=1,'中古車掲載'!Z677="https://www.one2car.com/en/cars-for-sale/toyota/corolla-cross/year-2023"),'中古車掲載'!U677,"")</x:f>
      </x:c>
      <x:c r="BH676" s="3" t="str">
        <x:f>IF(AND('中古車掲載'!C677="One2car",'中古車掲載'!F677="DOLPHIN",'中古車掲載'!L677="STANDARD RANGE",'中古車掲載'!J677=2023,ISNUMBER('中古車掲載'!N677),'中古車掲載'!N677&gt;=20000,'中古車掲載'!O677&lt;=100000,'中古車掲載'!AL677=1),'中古車掲載'!U677,"")</x:f>
      </x:c>
      <x:c r="BI676" s="3" t="str">
        <x:v>Taladrod|Hilux Revo|ICE|Unknown</x:v>
      </x:c>
      <x:c r="BJ676" s="3" t="n">
        <x:v>677</x:v>
      </x:c>
      <x:c r="BK676" s="3" t="n">
        <x:f>'中古車掲載'!AM677</x:f>
        <x:v>469000</x:v>
      </x:c>
      <x:c r="BL676" s="3" t="str">
        <x:f>IF(ISNUMBER('中古車掲載'!AN677),'中古車掲載'!AN677,"")</x:f>
      </x:c>
      <x:c r="BM676" s="3"/>
      <x:c r="BN676" s="3"/>
      <x:c r="BO676" s="3"/>
      <x:c r="BP676" s="3"/>
      <x:c r="BQ676" s="3"/>
      <x:c r="BR676" s="3"/>
    </x:row>
    <x:row r="677" ht="22" customHeight="1">
      <x:c r="A677" s="3"/>
      <x:c r="B677" s="3"/>
      <x:c r="C677" s="3"/>
      <x:c r="D677" s="3"/>
      <x:c r="E677" s="3"/>
      <x:c r="F677" s="3"/>
      <x:c r="G677" s="3"/>
      <x:c r="H677" s="3"/>
      <x:c r="I677" s="3"/>
      <x:c r="J677" s="3"/>
      <x:c r="K677" s="3"/>
      <x:c r="L677" s="3"/>
      <x:c r="M677" s="3"/>
      <x:c r="N677" s="3"/>
      <x:c r="O677" s="3"/>
      <x:c r="P677" s="3"/>
      <x:c r="Q677" s="3"/>
      <x:c r="R677" s="3"/>
      <x:c r="S677" s="3"/>
      <x:c r="T677" s="3"/>
      <x:c r="U677" s="3"/>
      <x:c r="V677" s="3"/>
      <x:c r="W677" s="3"/>
      <x:c r="X677" s="3"/>
      <x:c r="Y677" s="3"/>
      <x:c r="Z677" s="3"/>
      <x:c r="AA677" s="3"/>
      <x:c r="AB677" s="3"/>
      <x:c r="AC677" s="3"/>
      <x:c r="AD677" s="3"/>
      <x:c r="AE677" s="3"/>
      <x:c r="AF677" s="3"/>
      <x:c r="AG677" s="3"/>
      <x:c r="AH677" s="3"/>
      <x:c r="AI677" s="3"/>
      <x:c r="AJ677" s="3"/>
      <x:c r="AK677" s="3"/>
      <x:c r="AL677" s="3"/>
      <x:c r="AM677" s="3"/>
      <x:c r="AN677" s="3"/>
      <x:c r="AO677" s="3"/>
      <x:c r="AP677" s="3"/>
      <x:c r="AQ677" s="3"/>
      <x:c r="AR677" s="3"/>
      <x:c r="AS677" s="3"/>
      <x:c r="AT677" s="3"/>
      <x:c r="AU677" s="3"/>
      <x:c r="AV677" s="3"/>
      <x:c r="AW677" s="3"/>
      <x:c r="AX677" s="3"/>
      <x:c r="AY677" s="3"/>
      <x:c r="AZ677" s="3" t="str">
        <x:f>IF(AND('中古車掲載'!C678="One2car",'中古車掲載'!F678="ATTO 3",'中古車掲載'!L678="EXTENDED RANGE",'中古車掲載'!J678=2023,ISNUMBER('中古車掲載'!N678),'中古車掲載'!N678&gt;=20000,'中古車掲載'!O678&lt;=100000,'中古車掲載'!AL678=1),'中古車掲載'!U678,"")</x:f>
      </x:c>
      <x:c r="BA677" s="3" t="str">
        <x:f>IF(AND('中古車掲載'!C678="One2car",'中古車掲載'!F678="Corolla Cross",'中古車掲載'!L678="HEV PREMIUM SAFETY",'中古車掲載'!J678=2023,ISNUMBER('中古車掲載'!N678),'中古車掲載'!N678&gt;=20000,'中古車掲載'!O678&lt;=100000,'中古車掲載'!AL678=1,'中古車掲載'!Z678="https://www.one2car.com/en/cars-for-sale/toyota/corolla-cross/year-2023"),'中古車掲載'!U678,"")</x:f>
      </x:c>
      <x:c r="BB677" s="3" t="str">
        <x:f>IF(AND('中古車掲載'!C678="One2car",'中古車掲載'!F678="ATTO 3",'中古車掲載'!L678="EXTENDED RANGE",'中古車掲載'!J678=2023,ISNUMBER('中古車掲載'!N678),'中古車掲載'!N678&gt;=50000,'中古車掲載'!O678&lt;=100000,'中古車掲載'!AL678=1),'中古車掲載'!U678,"")</x:f>
      </x:c>
      <x:c r="BC677" s="3" t="str">
        <x:f>IF(AND('中古車掲載'!C678="One2car",'中古車掲載'!F678="Corolla Cross",'中古車掲載'!L678="HEV PREMIUM SAFETY",'中古車掲載'!J678=2023,ISNUMBER('中古車掲載'!N678),'中古車掲載'!N678&gt;=50000,'中古車掲載'!O678&lt;=100000,'中古車掲載'!AL678=1,'中古車掲載'!Z678="https://www.one2car.com/en/cars-for-sale/toyota/corolla-cross/year-2023"),'中古車掲載'!U678,"")</x:f>
      </x:c>
      <x:c r="BD677" s="3" t="str">
        <x:f>IF(AND('中古車掲載'!C678="One2car",'中古車掲載'!F678="ATTO 3",'中古車掲載'!L678="EXTENDED RANGE",'中古車掲載'!J678=2023,ISNUMBER('中古車掲載'!N678),'中古車掲載'!N678&gt;=20000,'中古車掲載'!O678&lt;=50000,'中古車掲載'!AL678=1),'中古車掲載'!U678,"")</x:f>
      </x:c>
      <x:c r="BE677" s="3" t="str">
        <x:f>IF(AND('中古車掲載'!C678="One2car",'中古車掲載'!F678="Corolla Cross",'中古車掲載'!L678="HEV PREMIUM SAFETY",'中古車掲載'!J678=2023,ISNUMBER('中古車掲載'!N678),'中古車掲載'!N678&gt;=20000,'中古車掲載'!O678&lt;=50000,'中古車掲載'!AL678=1,'中古車掲載'!Z678="https://www.one2car.com/en/cars-for-sale/toyota/corolla-cross/year-2023"),'中古車掲載'!U678,"")</x:f>
      </x:c>
      <x:c r="BF677" s="3" t="str">
        <x:f>IF(AND('中古車掲載'!C678="One2car",'中古車掲載'!F678="Corolla Cross",'中古車掲載'!L678="HEV PREMIUM",'中古車掲載'!J678=2023,ISNUMBER('中古車掲載'!N678),'中古車掲載'!N678&gt;=20000,'中古車掲載'!O678&lt;=100000,'中古車掲載'!AL678=1,'中古車掲載'!Z678="https://www.one2car.com/en/cars-for-sale/toyota/corolla-cross/year-2023"),'中古車掲載'!U678,"")</x:f>
      </x:c>
      <x:c r="BG677" s="3" t="str">
        <x:f>IF(AND('中古車掲載'!C678="One2car",'中古車掲載'!F678="Corolla Cross",'中古車掲載'!L678="HEV GR SPORT",'中古車掲載'!J678=2023,ISNUMBER('中古車掲載'!N678),'中古車掲載'!N678&gt;=20000,'中古車掲載'!O678&lt;=100000,'中古車掲載'!AL678=1,'中古車掲載'!Z678="https://www.one2car.com/en/cars-for-sale/toyota/corolla-cross/year-2023"),'中古車掲載'!U678,"")</x:f>
      </x:c>
      <x:c r="BH677" s="3" t="str">
        <x:f>IF(AND('中古車掲載'!C678="One2car",'中古車掲載'!F678="DOLPHIN",'中古車掲載'!L678="STANDARD RANGE",'中古車掲載'!J678=2023,ISNUMBER('中古車掲載'!N678),'中古車掲載'!N678&gt;=20000,'中古車掲載'!O678&lt;=100000,'中古車掲載'!AL678=1),'中古車掲載'!U678,"")</x:f>
      </x:c>
      <x:c r="BI677" s="3" t="str">
        <x:v>Taladrod|Hilux Revo|ICE|Unknown</x:v>
      </x:c>
      <x:c r="BJ677" s="3" t="n">
        <x:v>678</x:v>
      </x:c>
      <x:c r="BK677" s="3" t="n">
        <x:f>'中古車掲載'!AM678</x:f>
        <x:v>439000</x:v>
      </x:c>
      <x:c r="BL677" s="3" t="str">
        <x:f>IF(ISNUMBER('中古車掲載'!AN678),'中古車掲載'!AN678,"")</x:f>
      </x:c>
      <x:c r="BM677" s="3"/>
      <x:c r="BN677" s="3"/>
      <x:c r="BO677" s="3"/>
      <x:c r="BP677" s="3"/>
      <x:c r="BQ677" s="3"/>
      <x:c r="BR677" s="3"/>
    </x:row>
    <x:row r="678" ht="22" customHeight="1">
      <x:c r="A678" s="3"/>
      <x:c r="B678" s="3"/>
      <x:c r="C678" s="3"/>
      <x:c r="D678" s="3"/>
      <x:c r="E678" s="3"/>
      <x:c r="F678" s="3"/>
      <x:c r="G678" s="3"/>
      <x:c r="H678" s="3"/>
      <x:c r="I678" s="3"/>
      <x:c r="J678" s="3"/>
      <x:c r="K678" s="3"/>
      <x:c r="L678" s="3"/>
      <x:c r="M678" s="3"/>
      <x:c r="N678" s="3"/>
      <x:c r="O678" s="3"/>
      <x:c r="P678" s="3"/>
      <x:c r="Q678" s="3"/>
      <x:c r="R678" s="3"/>
      <x:c r="S678" s="3"/>
      <x:c r="T678" s="3"/>
      <x:c r="U678" s="3"/>
      <x:c r="V678" s="3"/>
      <x:c r="W678" s="3"/>
      <x:c r="X678" s="3"/>
      <x:c r="Y678" s="3"/>
      <x:c r="Z678" s="3"/>
      <x:c r="AA678" s="3"/>
      <x:c r="AB678" s="3"/>
      <x:c r="AC678" s="3"/>
      <x:c r="AD678" s="3"/>
      <x:c r="AE678" s="3"/>
      <x:c r="AF678" s="3"/>
      <x:c r="AG678" s="3"/>
      <x:c r="AH678" s="3"/>
      <x:c r="AI678" s="3"/>
      <x:c r="AJ678" s="3"/>
      <x:c r="AK678" s="3"/>
      <x:c r="AL678" s="3"/>
      <x:c r="AM678" s="3"/>
      <x:c r="AN678" s="3"/>
      <x:c r="AO678" s="3"/>
      <x:c r="AP678" s="3"/>
      <x:c r="AQ678" s="3"/>
      <x:c r="AR678" s="3"/>
      <x:c r="AS678" s="3"/>
      <x:c r="AT678" s="3"/>
      <x:c r="AU678" s="3"/>
      <x:c r="AV678" s="3"/>
      <x:c r="AW678" s="3"/>
      <x:c r="AX678" s="3"/>
      <x:c r="AY678" s="3"/>
      <x:c r="AZ678" s="3" t="str">
        <x:f>IF(AND('中古車掲載'!C679="One2car",'中古車掲載'!F679="ATTO 3",'中古車掲載'!L679="EXTENDED RANGE",'中古車掲載'!J679=2023,ISNUMBER('中古車掲載'!N679),'中古車掲載'!N679&gt;=20000,'中古車掲載'!O679&lt;=100000,'中古車掲載'!AL679=1),'中古車掲載'!U679,"")</x:f>
      </x:c>
      <x:c r="BA678" s="3" t="str">
        <x:f>IF(AND('中古車掲載'!C679="One2car",'中古車掲載'!F679="Corolla Cross",'中古車掲載'!L679="HEV PREMIUM SAFETY",'中古車掲載'!J679=2023,ISNUMBER('中古車掲載'!N679),'中古車掲載'!N679&gt;=20000,'中古車掲載'!O679&lt;=100000,'中古車掲載'!AL679=1,'中古車掲載'!Z679="https://www.one2car.com/en/cars-for-sale/toyota/corolla-cross/year-2023"),'中古車掲載'!U679,"")</x:f>
      </x:c>
      <x:c r="BB678" s="3" t="str">
        <x:f>IF(AND('中古車掲載'!C679="One2car",'中古車掲載'!F679="ATTO 3",'中古車掲載'!L679="EXTENDED RANGE",'中古車掲載'!J679=2023,ISNUMBER('中古車掲載'!N679),'中古車掲載'!N679&gt;=50000,'中古車掲載'!O679&lt;=100000,'中古車掲載'!AL679=1),'中古車掲載'!U679,"")</x:f>
      </x:c>
      <x:c r="BC678" s="3" t="str">
        <x:f>IF(AND('中古車掲載'!C679="One2car",'中古車掲載'!F679="Corolla Cross",'中古車掲載'!L679="HEV PREMIUM SAFETY",'中古車掲載'!J679=2023,ISNUMBER('中古車掲載'!N679),'中古車掲載'!N679&gt;=50000,'中古車掲載'!O679&lt;=100000,'中古車掲載'!AL679=1,'中古車掲載'!Z679="https://www.one2car.com/en/cars-for-sale/toyota/corolla-cross/year-2023"),'中古車掲載'!U679,"")</x:f>
      </x:c>
      <x:c r="BD678" s="3" t="str">
        <x:f>IF(AND('中古車掲載'!C679="One2car",'中古車掲載'!F679="ATTO 3",'中古車掲載'!L679="EXTENDED RANGE",'中古車掲載'!J679=2023,ISNUMBER('中古車掲載'!N679),'中古車掲載'!N679&gt;=20000,'中古車掲載'!O679&lt;=50000,'中古車掲載'!AL679=1),'中古車掲載'!U679,"")</x:f>
      </x:c>
      <x:c r="BE678" s="3" t="str">
        <x:f>IF(AND('中古車掲載'!C679="One2car",'中古車掲載'!F679="Corolla Cross",'中古車掲載'!L679="HEV PREMIUM SAFETY",'中古車掲載'!J679=2023,ISNUMBER('中古車掲載'!N679),'中古車掲載'!N679&gt;=20000,'中古車掲載'!O679&lt;=50000,'中古車掲載'!AL679=1,'中古車掲載'!Z679="https://www.one2car.com/en/cars-for-sale/toyota/corolla-cross/year-2023"),'中古車掲載'!U679,"")</x:f>
      </x:c>
      <x:c r="BF678" s="3" t="str">
        <x:f>IF(AND('中古車掲載'!C679="One2car",'中古車掲載'!F679="Corolla Cross",'中古車掲載'!L679="HEV PREMIUM",'中古車掲載'!J679=2023,ISNUMBER('中古車掲載'!N679),'中古車掲載'!N679&gt;=20000,'中古車掲載'!O679&lt;=100000,'中古車掲載'!AL679=1,'中古車掲載'!Z679="https://www.one2car.com/en/cars-for-sale/toyota/corolla-cross/year-2023"),'中古車掲載'!U679,"")</x:f>
      </x:c>
      <x:c r="BG678" s="3" t="str">
        <x:f>IF(AND('中古車掲載'!C679="One2car",'中古車掲載'!F679="Corolla Cross",'中古車掲載'!L679="HEV GR SPORT",'中古車掲載'!J679=2023,ISNUMBER('中古車掲載'!N679),'中古車掲載'!N679&gt;=20000,'中古車掲載'!O679&lt;=100000,'中古車掲載'!AL679=1,'中古車掲載'!Z679="https://www.one2car.com/en/cars-for-sale/toyota/corolla-cross/year-2023"),'中古車掲載'!U679,"")</x:f>
      </x:c>
      <x:c r="BH678" s="3" t="str">
        <x:f>IF(AND('中古車掲載'!C679="One2car",'中古車掲載'!F679="DOLPHIN",'中古車掲載'!L679="STANDARD RANGE",'中古車掲載'!J679=2023,ISNUMBER('中古車掲載'!N679),'中古車掲載'!N679&gt;=20000,'中古車掲載'!O679&lt;=100000,'中古車掲載'!AL679=1),'中古車掲載'!U679,"")</x:f>
      </x:c>
      <x:c r="BI678" s="3" t="str">
        <x:v>Taladrod|Hilux Revo|ICE|Unknown</x:v>
      </x:c>
      <x:c r="BJ678" s="3" t="n">
        <x:v>679</x:v>
      </x:c>
      <x:c r="BK678" s="3" t="n">
        <x:f>'中古車掲載'!AM679</x:f>
        <x:v>475000</x:v>
      </x:c>
      <x:c r="BL678" s="3" t="str">
        <x:f>IF(ISNUMBER('中古車掲載'!AN679),'中古車掲載'!AN679,"")</x:f>
      </x:c>
      <x:c r="BM678" s="3"/>
      <x:c r="BN678" s="3"/>
      <x:c r="BO678" s="3"/>
      <x:c r="BP678" s="3"/>
      <x:c r="BQ678" s="3"/>
      <x:c r="BR678" s="3"/>
    </x:row>
    <x:row r="679" ht="22" customHeight="1">
      <x:c r="A679" s="3"/>
      <x:c r="B679" s="3"/>
      <x:c r="C679" s="3"/>
      <x:c r="D679" s="3"/>
      <x:c r="E679" s="3"/>
      <x:c r="F679" s="3"/>
      <x:c r="G679" s="3"/>
      <x:c r="H679" s="3"/>
      <x:c r="I679" s="3"/>
      <x:c r="J679" s="3"/>
      <x:c r="K679" s="3"/>
      <x:c r="L679" s="3"/>
      <x:c r="M679" s="3"/>
      <x:c r="N679" s="3"/>
      <x:c r="O679" s="3"/>
      <x:c r="P679" s="3"/>
      <x:c r="Q679" s="3"/>
      <x:c r="R679" s="3"/>
      <x:c r="S679" s="3"/>
      <x:c r="T679" s="3"/>
      <x:c r="U679" s="3"/>
      <x:c r="V679" s="3"/>
      <x:c r="W679" s="3"/>
      <x:c r="X679" s="3"/>
      <x:c r="Y679" s="3"/>
      <x:c r="Z679" s="3"/>
      <x:c r="AA679" s="3"/>
      <x:c r="AB679" s="3"/>
      <x:c r="AC679" s="3"/>
      <x:c r="AD679" s="3"/>
      <x:c r="AE679" s="3"/>
      <x:c r="AF679" s="3"/>
      <x:c r="AG679" s="3"/>
      <x:c r="AH679" s="3"/>
      <x:c r="AI679" s="3"/>
      <x:c r="AJ679" s="3"/>
      <x:c r="AK679" s="3"/>
      <x:c r="AL679" s="3"/>
      <x:c r="AM679" s="3"/>
      <x:c r="AN679" s="3"/>
      <x:c r="AO679" s="3"/>
      <x:c r="AP679" s="3"/>
      <x:c r="AQ679" s="3"/>
      <x:c r="AR679" s="3"/>
      <x:c r="AS679" s="3"/>
      <x:c r="AT679" s="3"/>
      <x:c r="AU679" s="3"/>
      <x:c r="AV679" s="3"/>
      <x:c r="AW679" s="3"/>
      <x:c r="AX679" s="3"/>
      <x:c r="AY679" s="3"/>
      <x:c r="AZ679" s="3" t="str">
        <x:f>IF(AND('中古車掲載'!C680="One2car",'中古車掲載'!F680="ATTO 3",'中古車掲載'!L680="EXTENDED RANGE",'中古車掲載'!J680=2023,ISNUMBER('中古車掲載'!N680),'中古車掲載'!N680&gt;=20000,'中古車掲載'!O680&lt;=100000,'中古車掲載'!AL680=1),'中古車掲載'!U680,"")</x:f>
      </x:c>
      <x:c r="BA679" s="3" t="str">
        <x:f>IF(AND('中古車掲載'!C680="One2car",'中古車掲載'!F680="Corolla Cross",'中古車掲載'!L680="HEV PREMIUM SAFETY",'中古車掲載'!J680=2023,ISNUMBER('中古車掲載'!N680),'中古車掲載'!N680&gt;=20000,'中古車掲載'!O680&lt;=100000,'中古車掲載'!AL680=1,'中古車掲載'!Z680="https://www.one2car.com/en/cars-for-sale/toyota/corolla-cross/year-2023"),'中古車掲載'!U680,"")</x:f>
      </x:c>
      <x:c r="BB679" s="3" t="str">
        <x:f>IF(AND('中古車掲載'!C680="One2car",'中古車掲載'!F680="ATTO 3",'中古車掲載'!L680="EXTENDED RANGE",'中古車掲載'!J680=2023,ISNUMBER('中古車掲載'!N680),'中古車掲載'!N680&gt;=50000,'中古車掲載'!O680&lt;=100000,'中古車掲載'!AL680=1),'中古車掲載'!U680,"")</x:f>
      </x:c>
      <x:c r="BC679" s="3" t="str">
        <x:f>IF(AND('中古車掲載'!C680="One2car",'中古車掲載'!F680="Corolla Cross",'中古車掲載'!L680="HEV PREMIUM SAFETY",'中古車掲載'!J680=2023,ISNUMBER('中古車掲載'!N680),'中古車掲載'!N680&gt;=50000,'中古車掲載'!O680&lt;=100000,'中古車掲載'!AL680=1,'中古車掲載'!Z680="https://www.one2car.com/en/cars-for-sale/toyota/corolla-cross/year-2023"),'中古車掲載'!U680,"")</x:f>
      </x:c>
      <x:c r="BD679" s="3" t="str">
        <x:f>IF(AND('中古車掲載'!C680="One2car",'中古車掲載'!F680="ATTO 3",'中古車掲載'!L680="EXTENDED RANGE",'中古車掲載'!J680=2023,ISNUMBER('中古車掲載'!N680),'中古車掲載'!N680&gt;=20000,'中古車掲載'!O680&lt;=50000,'中古車掲載'!AL680=1),'中古車掲載'!U680,"")</x:f>
      </x:c>
      <x:c r="BE679" s="3" t="str">
        <x:f>IF(AND('中古車掲載'!C680="One2car",'中古車掲載'!F680="Corolla Cross",'中古車掲載'!L680="HEV PREMIUM SAFETY",'中古車掲載'!J680=2023,ISNUMBER('中古車掲載'!N680),'中古車掲載'!N680&gt;=20000,'中古車掲載'!O680&lt;=50000,'中古車掲載'!AL680=1,'中古車掲載'!Z680="https://www.one2car.com/en/cars-for-sale/toyota/corolla-cross/year-2023"),'中古車掲載'!U680,"")</x:f>
      </x:c>
      <x:c r="BF679" s="3" t="str">
        <x:f>IF(AND('中古車掲載'!C680="One2car",'中古車掲載'!F680="Corolla Cross",'中古車掲載'!L680="HEV PREMIUM",'中古車掲載'!J680=2023,ISNUMBER('中古車掲載'!N680),'中古車掲載'!N680&gt;=20000,'中古車掲載'!O680&lt;=100000,'中古車掲載'!AL680=1,'中古車掲載'!Z680="https://www.one2car.com/en/cars-for-sale/toyota/corolla-cross/year-2023"),'中古車掲載'!U680,"")</x:f>
      </x:c>
      <x:c r="BG679" s="3" t="str">
        <x:f>IF(AND('中古車掲載'!C680="One2car",'中古車掲載'!F680="Corolla Cross",'中古車掲載'!L680="HEV GR SPORT",'中古車掲載'!J680=2023,ISNUMBER('中古車掲載'!N680),'中古車掲載'!N680&gt;=20000,'中古車掲載'!O680&lt;=100000,'中古車掲載'!AL680=1,'中古車掲載'!Z680="https://www.one2car.com/en/cars-for-sale/toyota/corolla-cross/year-2023"),'中古車掲載'!U680,"")</x:f>
      </x:c>
      <x:c r="BH679" s="3" t="str">
        <x:f>IF(AND('中古車掲載'!C680="One2car",'中古車掲載'!F680="DOLPHIN",'中古車掲載'!L680="STANDARD RANGE",'中古車掲載'!J680=2023,ISNUMBER('中古車掲載'!N680),'中古車掲載'!N680&gt;=20000,'中古車掲載'!O680&lt;=100000,'中古車掲載'!AL680=1),'中古車掲載'!U680,"")</x:f>
      </x:c>
      <x:c r="BI679" s="3" t="str">
        <x:v>Taladrod|Hilux Revo|ICE|Unknown</x:v>
      </x:c>
      <x:c r="BJ679" s="3" t="n">
        <x:v>680</x:v>
      </x:c>
      <x:c r="BK679" s="3" t="n">
        <x:f>'中古車掲載'!AM680</x:f>
        <x:v>424000</x:v>
      </x:c>
      <x:c r="BL679" s="3" t="str">
        <x:f>IF(ISNUMBER('中古車掲載'!AN680),'中古車掲載'!AN680,"")</x:f>
      </x:c>
      <x:c r="BM679" s="3"/>
      <x:c r="BN679" s="3"/>
      <x:c r="BO679" s="3"/>
      <x:c r="BP679" s="3"/>
      <x:c r="BQ679" s="3"/>
      <x:c r="BR679" s="3"/>
    </x:row>
    <x:row r="680" ht="22" customHeight="1">
      <x:c r="A680" s="3"/>
      <x:c r="B680" s="3"/>
      <x:c r="C680" s="3"/>
      <x:c r="D680" s="3"/>
      <x:c r="E680" s="3"/>
      <x:c r="F680" s="3"/>
      <x:c r="G680" s="3"/>
      <x:c r="H680" s="3"/>
      <x:c r="I680" s="3"/>
      <x:c r="J680" s="3"/>
      <x:c r="K680" s="3"/>
      <x:c r="L680" s="3"/>
      <x:c r="M680" s="3"/>
      <x:c r="N680" s="3"/>
      <x:c r="O680" s="3"/>
      <x:c r="P680" s="3"/>
      <x:c r="Q680" s="3"/>
      <x:c r="R680" s="3"/>
      <x:c r="S680" s="3"/>
      <x:c r="T680" s="3"/>
      <x:c r="U680" s="3"/>
      <x:c r="V680" s="3"/>
      <x:c r="W680" s="3"/>
      <x:c r="X680" s="3"/>
      <x:c r="Y680" s="3"/>
      <x:c r="Z680" s="3"/>
      <x:c r="AA680" s="3"/>
      <x:c r="AB680" s="3"/>
      <x:c r="AC680" s="3"/>
      <x:c r="AD680" s="3"/>
      <x:c r="AE680" s="3"/>
      <x:c r="AF680" s="3"/>
      <x:c r="AG680" s="3"/>
      <x:c r="AH680" s="3"/>
      <x:c r="AI680" s="3"/>
      <x:c r="AJ680" s="3"/>
      <x:c r="AK680" s="3"/>
      <x:c r="AL680" s="3"/>
      <x:c r="AM680" s="3"/>
      <x:c r="AN680" s="3"/>
      <x:c r="AO680" s="3"/>
      <x:c r="AP680" s="3"/>
      <x:c r="AQ680" s="3"/>
      <x:c r="AR680" s="3"/>
      <x:c r="AS680" s="3"/>
      <x:c r="AT680" s="3"/>
      <x:c r="AU680" s="3"/>
      <x:c r="AV680" s="3"/>
      <x:c r="AW680" s="3"/>
      <x:c r="AX680" s="3"/>
      <x:c r="AY680" s="3"/>
      <x:c r="AZ680" s="3" t="str">
        <x:f>IF(AND('中古車掲載'!C681="One2car",'中古車掲載'!F681="ATTO 3",'中古車掲載'!L681="EXTENDED RANGE",'中古車掲載'!J681=2023,ISNUMBER('中古車掲載'!N681),'中古車掲載'!N681&gt;=20000,'中古車掲載'!O681&lt;=100000,'中古車掲載'!AL681=1),'中古車掲載'!U681,"")</x:f>
      </x:c>
      <x:c r="BA680" s="3" t="str">
        <x:f>IF(AND('中古車掲載'!C681="One2car",'中古車掲載'!F681="Corolla Cross",'中古車掲載'!L681="HEV PREMIUM SAFETY",'中古車掲載'!J681=2023,ISNUMBER('中古車掲載'!N681),'中古車掲載'!N681&gt;=20000,'中古車掲載'!O681&lt;=100000,'中古車掲載'!AL681=1,'中古車掲載'!Z681="https://www.one2car.com/en/cars-for-sale/toyota/corolla-cross/year-2023"),'中古車掲載'!U681,"")</x:f>
      </x:c>
      <x:c r="BB680" s="3" t="str">
        <x:f>IF(AND('中古車掲載'!C681="One2car",'中古車掲載'!F681="ATTO 3",'中古車掲載'!L681="EXTENDED RANGE",'中古車掲載'!J681=2023,ISNUMBER('中古車掲載'!N681),'中古車掲載'!N681&gt;=50000,'中古車掲載'!O681&lt;=100000,'中古車掲載'!AL681=1),'中古車掲載'!U681,"")</x:f>
      </x:c>
      <x:c r="BC680" s="3" t="str">
        <x:f>IF(AND('中古車掲載'!C681="One2car",'中古車掲載'!F681="Corolla Cross",'中古車掲載'!L681="HEV PREMIUM SAFETY",'中古車掲載'!J681=2023,ISNUMBER('中古車掲載'!N681),'中古車掲載'!N681&gt;=50000,'中古車掲載'!O681&lt;=100000,'中古車掲載'!AL681=1,'中古車掲載'!Z681="https://www.one2car.com/en/cars-for-sale/toyota/corolla-cross/year-2023"),'中古車掲載'!U681,"")</x:f>
      </x:c>
      <x:c r="BD680" s="3" t="str">
        <x:f>IF(AND('中古車掲載'!C681="One2car",'中古車掲載'!F681="ATTO 3",'中古車掲載'!L681="EXTENDED RANGE",'中古車掲載'!J681=2023,ISNUMBER('中古車掲載'!N681),'中古車掲載'!N681&gt;=20000,'中古車掲載'!O681&lt;=50000,'中古車掲載'!AL681=1),'中古車掲載'!U681,"")</x:f>
      </x:c>
      <x:c r="BE680" s="3" t="str">
        <x:f>IF(AND('中古車掲載'!C681="One2car",'中古車掲載'!F681="Corolla Cross",'中古車掲載'!L681="HEV PREMIUM SAFETY",'中古車掲載'!J681=2023,ISNUMBER('中古車掲載'!N681),'中古車掲載'!N681&gt;=20000,'中古車掲載'!O681&lt;=50000,'中古車掲載'!AL681=1,'中古車掲載'!Z681="https://www.one2car.com/en/cars-for-sale/toyota/corolla-cross/year-2023"),'中古車掲載'!U681,"")</x:f>
      </x:c>
      <x:c r="BF680" s="3" t="str">
        <x:f>IF(AND('中古車掲載'!C681="One2car",'中古車掲載'!F681="Corolla Cross",'中古車掲載'!L681="HEV PREMIUM",'中古車掲載'!J681=2023,ISNUMBER('中古車掲載'!N681),'中古車掲載'!N681&gt;=20000,'中古車掲載'!O681&lt;=100000,'中古車掲載'!AL681=1,'中古車掲載'!Z681="https://www.one2car.com/en/cars-for-sale/toyota/corolla-cross/year-2023"),'中古車掲載'!U681,"")</x:f>
      </x:c>
      <x:c r="BG680" s="3" t="str">
        <x:f>IF(AND('中古車掲載'!C681="One2car",'中古車掲載'!F681="Corolla Cross",'中古車掲載'!L681="HEV GR SPORT",'中古車掲載'!J681=2023,ISNUMBER('中古車掲載'!N681),'中古車掲載'!N681&gt;=20000,'中古車掲載'!O681&lt;=100000,'中古車掲載'!AL681=1,'中古車掲載'!Z681="https://www.one2car.com/en/cars-for-sale/toyota/corolla-cross/year-2023"),'中古車掲載'!U681,"")</x:f>
      </x:c>
      <x:c r="BH680" s="3" t="str">
        <x:f>IF(AND('中古車掲載'!C681="One2car",'中古車掲載'!F681="DOLPHIN",'中古車掲載'!L681="STANDARD RANGE",'中古車掲載'!J681=2023,ISNUMBER('中古車掲載'!N681),'中古車掲載'!N681&gt;=20000,'中古車掲載'!O681&lt;=100000,'中古車掲載'!AL681=1),'中古車掲載'!U681,"")</x:f>
      </x:c>
      <x:c r="BI680" s="3" t="str">
        <x:v>Taladrod|Hilux Revo|ICE|Unknown</x:v>
      </x:c>
      <x:c r="BJ680" s="3" t="n">
        <x:v>681</x:v>
      </x:c>
      <x:c r="BK680" s="3" t="n">
        <x:f>'中古車掲載'!AM681</x:f>
        <x:v>438000</x:v>
      </x:c>
      <x:c r="BL680" s="3" t="str">
        <x:f>IF(ISNUMBER('中古車掲載'!AN681),'中古車掲載'!AN681,"")</x:f>
      </x:c>
      <x:c r="BM680" s="3"/>
      <x:c r="BN680" s="3"/>
      <x:c r="BO680" s="3"/>
      <x:c r="BP680" s="3"/>
      <x:c r="BQ680" s="3"/>
      <x:c r="BR680" s="3"/>
    </x:row>
    <x:row r="681" ht="22" customHeight="1">
      <x:c r="A681" s="3"/>
      <x:c r="B681" s="3"/>
      <x:c r="C681" s="3"/>
      <x:c r="D681" s="3"/>
      <x:c r="E681" s="3"/>
      <x:c r="F681" s="3"/>
      <x:c r="G681" s="3"/>
      <x:c r="H681" s="3"/>
      <x:c r="I681" s="3"/>
      <x:c r="J681" s="3"/>
      <x:c r="K681" s="3"/>
      <x:c r="L681" s="3"/>
      <x:c r="M681" s="3"/>
      <x:c r="N681" s="3"/>
      <x:c r="O681" s="3"/>
      <x:c r="P681" s="3"/>
      <x:c r="Q681" s="3"/>
      <x:c r="R681" s="3"/>
      <x:c r="S681" s="3"/>
      <x:c r="T681" s="3"/>
      <x:c r="U681" s="3"/>
      <x:c r="V681" s="3"/>
      <x:c r="W681" s="3"/>
      <x:c r="X681" s="3"/>
      <x:c r="Y681" s="3"/>
      <x:c r="Z681" s="3"/>
      <x:c r="AA681" s="3"/>
      <x:c r="AB681" s="3"/>
      <x:c r="AC681" s="3"/>
      <x:c r="AD681" s="3"/>
      <x:c r="AE681" s="3"/>
      <x:c r="AF681" s="3"/>
      <x:c r="AG681" s="3"/>
      <x:c r="AH681" s="3"/>
      <x:c r="AI681" s="3"/>
      <x:c r="AJ681" s="3"/>
      <x:c r="AK681" s="3"/>
      <x:c r="AL681" s="3"/>
      <x:c r="AM681" s="3"/>
      <x:c r="AN681" s="3"/>
      <x:c r="AO681" s="3"/>
      <x:c r="AP681" s="3"/>
      <x:c r="AQ681" s="3"/>
      <x:c r="AR681" s="3"/>
      <x:c r="AS681" s="3"/>
      <x:c r="AT681" s="3"/>
      <x:c r="AU681" s="3"/>
      <x:c r="AV681" s="3"/>
      <x:c r="AW681" s="3"/>
      <x:c r="AX681" s="3"/>
      <x:c r="AY681" s="3"/>
      <x:c r="AZ681" s="3" t="str">
        <x:f>IF(AND('中古車掲載'!C682="One2car",'中古車掲載'!F682="ATTO 3",'中古車掲載'!L682="EXTENDED RANGE",'中古車掲載'!J682=2023,ISNUMBER('中古車掲載'!N682),'中古車掲載'!N682&gt;=20000,'中古車掲載'!O682&lt;=100000,'中古車掲載'!AL682=1),'中古車掲載'!U682,"")</x:f>
      </x:c>
      <x:c r="BA681" s="3" t="str">
        <x:f>IF(AND('中古車掲載'!C682="One2car",'中古車掲載'!F682="Corolla Cross",'中古車掲載'!L682="HEV PREMIUM SAFETY",'中古車掲載'!J682=2023,ISNUMBER('中古車掲載'!N682),'中古車掲載'!N682&gt;=20000,'中古車掲載'!O682&lt;=100000,'中古車掲載'!AL682=1,'中古車掲載'!Z682="https://www.one2car.com/en/cars-for-sale/toyota/corolla-cross/year-2023"),'中古車掲載'!U682,"")</x:f>
      </x:c>
      <x:c r="BB681" s="3" t="str">
        <x:f>IF(AND('中古車掲載'!C682="One2car",'中古車掲載'!F682="ATTO 3",'中古車掲載'!L682="EXTENDED RANGE",'中古車掲載'!J682=2023,ISNUMBER('中古車掲載'!N682),'中古車掲載'!N682&gt;=50000,'中古車掲載'!O682&lt;=100000,'中古車掲載'!AL682=1),'中古車掲載'!U682,"")</x:f>
      </x:c>
      <x:c r="BC681" s="3" t="str">
        <x:f>IF(AND('中古車掲載'!C682="One2car",'中古車掲載'!F682="Corolla Cross",'中古車掲載'!L682="HEV PREMIUM SAFETY",'中古車掲載'!J682=2023,ISNUMBER('中古車掲載'!N682),'中古車掲載'!N682&gt;=50000,'中古車掲載'!O682&lt;=100000,'中古車掲載'!AL682=1,'中古車掲載'!Z682="https://www.one2car.com/en/cars-for-sale/toyota/corolla-cross/year-2023"),'中古車掲載'!U682,"")</x:f>
      </x:c>
      <x:c r="BD681" s="3" t="str">
        <x:f>IF(AND('中古車掲載'!C682="One2car",'中古車掲載'!F682="ATTO 3",'中古車掲載'!L682="EXTENDED RANGE",'中古車掲載'!J682=2023,ISNUMBER('中古車掲載'!N682),'中古車掲載'!N682&gt;=20000,'中古車掲載'!O682&lt;=50000,'中古車掲載'!AL682=1),'中古車掲載'!U682,"")</x:f>
      </x:c>
      <x:c r="BE681" s="3" t="str">
        <x:f>IF(AND('中古車掲載'!C682="One2car",'中古車掲載'!F682="Corolla Cross",'中古車掲載'!L682="HEV PREMIUM SAFETY",'中古車掲載'!J682=2023,ISNUMBER('中古車掲載'!N682),'中古車掲載'!N682&gt;=20000,'中古車掲載'!O682&lt;=50000,'中古車掲載'!AL682=1,'中古車掲載'!Z682="https://www.one2car.com/en/cars-for-sale/toyota/corolla-cross/year-2023"),'中古車掲載'!U682,"")</x:f>
      </x:c>
      <x:c r="BF681" s="3" t="str">
        <x:f>IF(AND('中古車掲載'!C682="One2car",'中古車掲載'!F682="Corolla Cross",'中古車掲載'!L682="HEV PREMIUM",'中古車掲載'!J682=2023,ISNUMBER('中古車掲載'!N682),'中古車掲載'!N682&gt;=20000,'中古車掲載'!O682&lt;=100000,'中古車掲載'!AL682=1,'中古車掲載'!Z682="https://www.one2car.com/en/cars-for-sale/toyota/corolla-cross/year-2023"),'中古車掲載'!U682,"")</x:f>
      </x:c>
      <x:c r="BG681" s="3" t="str">
        <x:f>IF(AND('中古車掲載'!C682="One2car",'中古車掲載'!F682="Corolla Cross",'中古車掲載'!L682="HEV GR SPORT",'中古車掲載'!J682=2023,ISNUMBER('中古車掲載'!N682),'中古車掲載'!N682&gt;=20000,'中古車掲載'!O682&lt;=100000,'中古車掲載'!AL682=1,'中古車掲載'!Z682="https://www.one2car.com/en/cars-for-sale/toyota/corolla-cross/year-2023"),'中古車掲載'!U682,"")</x:f>
      </x:c>
      <x:c r="BH681" s="3" t="str">
        <x:f>IF(AND('中古車掲載'!C682="One2car",'中古車掲載'!F682="DOLPHIN",'中古車掲載'!L682="STANDARD RANGE",'中古車掲載'!J682=2023,ISNUMBER('中古車掲載'!N682),'中古車掲載'!N682&gt;=20000,'中古車掲載'!O682&lt;=100000,'中古車掲載'!AL682=1),'中古車掲載'!U682,"")</x:f>
      </x:c>
      <x:c r="BI681" s="3" t="str">
        <x:v>Taladrod|Hilux Revo|ICE|Unknown</x:v>
      </x:c>
      <x:c r="BJ681" s="3" t="n">
        <x:v>682</x:v>
      </x:c>
      <x:c r="BK681" s="3" t="n">
        <x:f>'中古車掲載'!AM682</x:f>
        <x:v>469000</x:v>
      </x:c>
      <x:c r="BL681" s="3" t="str">
        <x:f>IF(ISNUMBER('中古車掲載'!AN682),'中古車掲載'!AN682,"")</x:f>
      </x:c>
      <x:c r="BM681" s="3"/>
      <x:c r="BN681" s="3"/>
      <x:c r="BO681" s="3"/>
      <x:c r="BP681" s="3"/>
      <x:c r="BQ681" s="3"/>
      <x:c r="BR681" s="3"/>
    </x:row>
    <x:row r="682" ht="22" customHeight="1">
      <x:c r="A682" s="3"/>
      <x:c r="B682" s="3"/>
      <x:c r="C682" s="3"/>
      <x:c r="D682" s="3"/>
      <x:c r="E682" s="3"/>
      <x:c r="F682" s="3"/>
      <x:c r="G682" s="3"/>
      <x:c r="H682" s="3"/>
      <x:c r="I682" s="3"/>
      <x:c r="J682" s="3"/>
      <x:c r="K682" s="3"/>
      <x:c r="L682" s="3"/>
      <x:c r="M682" s="3"/>
      <x:c r="N682" s="3"/>
      <x:c r="O682" s="3"/>
      <x:c r="P682" s="3"/>
      <x:c r="Q682" s="3"/>
      <x:c r="R682" s="3"/>
      <x:c r="S682" s="3"/>
      <x:c r="T682" s="3"/>
      <x:c r="U682" s="3"/>
      <x:c r="V682" s="3"/>
      <x:c r="W682" s="3"/>
      <x:c r="X682" s="3"/>
      <x:c r="Y682" s="3"/>
      <x:c r="Z682" s="3"/>
      <x:c r="AA682" s="3"/>
      <x:c r="AB682" s="3"/>
      <x:c r="AC682" s="3"/>
      <x:c r="AD682" s="3"/>
      <x:c r="AE682" s="3"/>
      <x:c r="AF682" s="3"/>
      <x:c r="AG682" s="3"/>
      <x:c r="AH682" s="3"/>
      <x:c r="AI682" s="3"/>
      <x:c r="AJ682" s="3"/>
      <x:c r="AK682" s="3"/>
      <x:c r="AL682" s="3"/>
      <x:c r="AM682" s="3"/>
      <x:c r="AN682" s="3"/>
      <x:c r="AO682" s="3"/>
      <x:c r="AP682" s="3"/>
      <x:c r="AQ682" s="3"/>
      <x:c r="AR682" s="3"/>
      <x:c r="AS682" s="3"/>
      <x:c r="AT682" s="3"/>
      <x:c r="AU682" s="3"/>
      <x:c r="AV682" s="3"/>
      <x:c r="AW682" s="3"/>
      <x:c r="AX682" s="3"/>
      <x:c r="AY682" s="3"/>
      <x:c r="AZ682" s="3" t="str">
        <x:f>IF(AND('中古車掲載'!C683="One2car",'中古車掲載'!F683="ATTO 3",'中古車掲載'!L683="EXTENDED RANGE",'中古車掲載'!J683=2023,ISNUMBER('中古車掲載'!N683),'中古車掲載'!N683&gt;=20000,'中古車掲載'!O683&lt;=100000,'中古車掲載'!AL683=1),'中古車掲載'!U683,"")</x:f>
      </x:c>
      <x:c r="BA682" s="3" t="str">
        <x:f>IF(AND('中古車掲載'!C683="One2car",'中古車掲載'!F683="Corolla Cross",'中古車掲載'!L683="HEV PREMIUM SAFETY",'中古車掲載'!J683=2023,ISNUMBER('中古車掲載'!N683),'中古車掲載'!N683&gt;=20000,'中古車掲載'!O683&lt;=100000,'中古車掲載'!AL683=1,'中古車掲載'!Z683="https://www.one2car.com/en/cars-for-sale/toyota/corolla-cross/year-2023"),'中古車掲載'!U683,"")</x:f>
      </x:c>
      <x:c r="BB682" s="3" t="str">
        <x:f>IF(AND('中古車掲載'!C683="One2car",'中古車掲載'!F683="ATTO 3",'中古車掲載'!L683="EXTENDED RANGE",'中古車掲載'!J683=2023,ISNUMBER('中古車掲載'!N683),'中古車掲載'!N683&gt;=50000,'中古車掲載'!O683&lt;=100000,'中古車掲載'!AL683=1),'中古車掲載'!U683,"")</x:f>
      </x:c>
      <x:c r="BC682" s="3" t="str">
        <x:f>IF(AND('中古車掲載'!C683="One2car",'中古車掲載'!F683="Corolla Cross",'中古車掲載'!L683="HEV PREMIUM SAFETY",'中古車掲載'!J683=2023,ISNUMBER('中古車掲載'!N683),'中古車掲載'!N683&gt;=50000,'中古車掲載'!O683&lt;=100000,'中古車掲載'!AL683=1,'中古車掲載'!Z683="https://www.one2car.com/en/cars-for-sale/toyota/corolla-cross/year-2023"),'中古車掲載'!U683,"")</x:f>
      </x:c>
      <x:c r="BD682" s="3" t="str">
        <x:f>IF(AND('中古車掲載'!C683="One2car",'中古車掲載'!F683="ATTO 3",'中古車掲載'!L683="EXTENDED RANGE",'中古車掲載'!J683=2023,ISNUMBER('中古車掲載'!N683),'中古車掲載'!N683&gt;=20000,'中古車掲載'!O683&lt;=50000,'中古車掲載'!AL683=1),'中古車掲載'!U683,"")</x:f>
      </x:c>
      <x:c r="BE682" s="3" t="str">
        <x:f>IF(AND('中古車掲載'!C683="One2car",'中古車掲載'!F683="Corolla Cross",'中古車掲載'!L683="HEV PREMIUM SAFETY",'中古車掲載'!J683=2023,ISNUMBER('中古車掲載'!N683),'中古車掲載'!N683&gt;=20000,'中古車掲載'!O683&lt;=50000,'中古車掲載'!AL683=1,'中古車掲載'!Z683="https://www.one2car.com/en/cars-for-sale/toyota/corolla-cross/year-2023"),'中古車掲載'!U683,"")</x:f>
      </x:c>
      <x:c r="BF682" s="3" t="str">
        <x:f>IF(AND('中古車掲載'!C683="One2car",'中古車掲載'!F683="Corolla Cross",'中古車掲載'!L683="HEV PREMIUM",'中古車掲載'!J683=2023,ISNUMBER('中古車掲載'!N683),'中古車掲載'!N683&gt;=20000,'中古車掲載'!O683&lt;=100000,'中古車掲載'!AL683=1,'中古車掲載'!Z683="https://www.one2car.com/en/cars-for-sale/toyota/corolla-cross/year-2023"),'中古車掲載'!U683,"")</x:f>
      </x:c>
      <x:c r="BG682" s="3" t="str">
        <x:f>IF(AND('中古車掲載'!C683="One2car",'中古車掲載'!F683="Corolla Cross",'中古車掲載'!L683="HEV GR SPORT",'中古車掲載'!J683=2023,ISNUMBER('中古車掲載'!N683),'中古車掲載'!N683&gt;=20000,'中古車掲載'!O683&lt;=100000,'中古車掲載'!AL683=1,'中古車掲載'!Z683="https://www.one2car.com/en/cars-for-sale/toyota/corolla-cross/year-2023"),'中古車掲載'!U683,"")</x:f>
      </x:c>
      <x:c r="BH682" s="3" t="str">
        <x:f>IF(AND('中古車掲載'!C683="One2car",'中古車掲載'!F683="DOLPHIN",'中古車掲載'!L683="STANDARD RANGE",'中古車掲載'!J683=2023,ISNUMBER('中古車掲載'!N683),'中古車掲載'!N683&gt;=20000,'中古車掲載'!O683&lt;=100000,'中古車掲載'!AL683=1),'中古車掲載'!U683,"")</x:f>
      </x:c>
      <x:c r="BI682" s="3" t="str">
        <x:v>Taladrod|Hilux Revo|ICE|Unknown</x:v>
      </x:c>
      <x:c r="BJ682" s="3" t="n">
        <x:v>683</x:v>
      </x:c>
      <x:c r="BK682" s="3" t="n">
        <x:f>'中古車掲載'!AM683</x:f>
        <x:v>449000</x:v>
      </x:c>
      <x:c r="BL682" s="3" t="str">
        <x:f>IF(ISNUMBER('中古車掲載'!AN683),'中古車掲載'!AN683,"")</x:f>
      </x:c>
      <x:c r="BM682" s="3"/>
      <x:c r="BN682" s="3"/>
      <x:c r="BO682" s="3"/>
      <x:c r="BP682" s="3"/>
      <x:c r="BQ682" s="3"/>
      <x:c r="BR682" s="3"/>
    </x:row>
    <x:row r="683" ht="22" customHeight="1">
      <x:c r="A683" s="3"/>
      <x:c r="B683" s="3"/>
      <x:c r="C683" s="3"/>
      <x:c r="D683" s="3"/>
      <x:c r="E683" s="3"/>
      <x:c r="F683" s="3"/>
      <x:c r="G683" s="3"/>
      <x:c r="H683" s="3"/>
      <x:c r="I683" s="3"/>
      <x:c r="J683" s="3"/>
      <x:c r="K683" s="3"/>
      <x:c r="L683" s="3"/>
      <x:c r="M683" s="3"/>
      <x:c r="N683" s="3"/>
      <x:c r="O683" s="3"/>
      <x:c r="P683" s="3"/>
      <x:c r="Q683" s="3"/>
      <x:c r="R683" s="3"/>
      <x:c r="S683" s="3"/>
      <x:c r="T683" s="3"/>
      <x:c r="U683" s="3"/>
      <x:c r="V683" s="3"/>
      <x:c r="W683" s="3"/>
      <x:c r="X683" s="3"/>
      <x:c r="Y683" s="3"/>
      <x:c r="Z683" s="3"/>
      <x:c r="AA683" s="3"/>
      <x:c r="AB683" s="3"/>
      <x:c r="AC683" s="3"/>
      <x:c r="AD683" s="3"/>
      <x:c r="AE683" s="3"/>
      <x:c r="AF683" s="3"/>
      <x:c r="AG683" s="3"/>
      <x:c r="AH683" s="3"/>
      <x:c r="AI683" s="3"/>
      <x:c r="AJ683" s="3"/>
      <x:c r="AK683" s="3"/>
      <x:c r="AL683" s="3"/>
      <x:c r="AM683" s="3"/>
      <x:c r="AN683" s="3"/>
      <x:c r="AO683" s="3"/>
      <x:c r="AP683" s="3"/>
      <x:c r="AQ683" s="3"/>
      <x:c r="AR683" s="3"/>
      <x:c r="AS683" s="3"/>
      <x:c r="AT683" s="3"/>
      <x:c r="AU683" s="3"/>
      <x:c r="AV683" s="3"/>
      <x:c r="AW683" s="3"/>
      <x:c r="AX683" s="3"/>
      <x:c r="AY683" s="3"/>
      <x:c r="AZ683" s="3" t="str">
        <x:f>IF(AND('中古車掲載'!C684="One2car",'中古車掲載'!F684="ATTO 3",'中古車掲載'!L684="EXTENDED RANGE",'中古車掲載'!J684=2023,ISNUMBER('中古車掲載'!N684),'中古車掲載'!N684&gt;=20000,'中古車掲載'!O684&lt;=100000,'中古車掲載'!AL684=1),'中古車掲載'!U684,"")</x:f>
      </x:c>
      <x:c r="BA683" s="3" t="str">
        <x:f>IF(AND('中古車掲載'!C684="One2car",'中古車掲載'!F684="Corolla Cross",'中古車掲載'!L684="HEV PREMIUM SAFETY",'中古車掲載'!J684=2023,ISNUMBER('中古車掲載'!N684),'中古車掲載'!N684&gt;=20000,'中古車掲載'!O684&lt;=100000,'中古車掲載'!AL684=1,'中古車掲載'!Z684="https://www.one2car.com/en/cars-for-sale/toyota/corolla-cross/year-2023"),'中古車掲載'!U684,"")</x:f>
      </x:c>
      <x:c r="BB683" s="3" t="str">
        <x:f>IF(AND('中古車掲載'!C684="One2car",'中古車掲載'!F684="ATTO 3",'中古車掲載'!L684="EXTENDED RANGE",'中古車掲載'!J684=2023,ISNUMBER('中古車掲載'!N684),'中古車掲載'!N684&gt;=50000,'中古車掲載'!O684&lt;=100000,'中古車掲載'!AL684=1),'中古車掲載'!U684,"")</x:f>
      </x:c>
      <x:c r="BC683" s="3" t="str">
        <x:f>IF(AND('中古車掲載'!C684="One2car",'中古車掲載'!F684="Corolla Cross",'中古車掲載'!L684="HEV PREMIUM SAFETY",'中古車掲載'!J684=2023,ISNUMBER('中古車掲載'!N684),'中古車掲載'!N684&gt;=50000,'中古車掲載'!O684&lt;=100000,'中古車掲載'!AL684=1,'中古車掲載'!Z684="https://www.one2car.com/en/cars-for-sale/toyota/corolla-cross/year-2023"),'中古車掲載'!U684,"")</x:f>
      </x:c>
      <x:c r="BD683" s="3" t="str">
        <x:f>IF(AND('中古車掲載'!C684="One2car",'中古車掲載'!F684="ATTO 3",'中古車掲載'!L684="EXTENDED RANGE",'中古車掲載'!J684=2023,ISNUMBER('中古車掲載'!N684),'中古車掲載'!N684&gt;=20000,'中古車掲載'!O684&lt;=50000,'中古車掲載'!AL684=1),'中古車掲載'!U684,"")</x:f>
      </x:c>
      <x:c r="BE683" s="3" t="str">
        <x:f>IF(AND('中古車掲載'!C684="One2car",'中古車掲載'!F684="Corolla Cross",'中古車掲載'!L684="HEV PREMIUM SAFETY",'中古車掲載'!J684=2023,ISNUMBER('中古車掲載'!N684),'中古車掲載'!N684&gt;=20000,'中古車掲載'!O684&lt;=50000,'中古車掲載'!AL684=1,'中古車掲載'!Z684="https://www.one2car.com/en/cars-for-sale/toyota/corolla-cross/year-2023"),'中古車掲載'!U684,"")</x:f>
      </x:c>
      <x:c r="BF683" s="3" t="str">
        <x:f>IF(AND('中古車掲載'!C684="One2car",'中古車掲載'!F684="Corolla Cross",'中古車掲載'!L684="HEV PREMIUM",'中古車掲載'!J684=2023,ISNUMBER('中古車掲載'!N684),'中古車掲載'!N684&gt;=20000,'中古車掲載'!O684&lt;=100000,'中古車掲載'!AL684=1,'中古車掲載'!Z684="https://www.one2car.com/en/cars-for-sale/toyota/corolla-cross/year-2023"),'中古車掲載'!U684,"")</x:f>
      </x:c>
      <x:c r="BG683" s="3" t="str">
        <x:f>IF(AND('中古車掲載'!C684="One2car",'中古車掲載'!F684="Corolla Cross",'中古車掲載'!L684="HEV GR SPORT",'中古車掲載'!J684=2023,ISNUMBER('中古車掲載'!N684),'中古車掲載'!N684&gt;=20000,'中古車掲載'!O684&lt;=100000,'中古車掲載'!AL684=1,'中古車掲載'!Z684="https://www.one2car.com/en/cars-for-sale/toyota/corolla-cross/year-2023"),'中古車掲載'!U684,"")</x:f>
      </x:c>
      <x:c r="BH683" s="3" t="str">
        <x:f>IF(AND('中古車掲載'!C684="One2car",'中古車掲載'!F684="DOLPHIN",'中古車掲載'!L684="STANDARD RANGE",'中古車掲載'!J684=2023,ISNUMBER('中古車掲載'!N684),'中古車掲載'!N684&gt;=20000,'中古車掲載'!O684&lt;=100000,'中古車掲載'!AL684=1),'中古車掲載'!U684,"")</x:f>
      </x:c>
      <x:c r="BI683" s="3" t="str">
        <x:v>Taladrod|Hilux Revo|ICE|Unknown</x:v>
      </x:c>
      <x:c r="BJ683" s="3" t="n">
        <x:v>684</x:v>
      </x:c>
      <x:c r="BK683" s="3" t="n">
        <x:f>'中古車掲載'!AM684</x:f>
        <x:v>379000</x:v>
      </x:c>
      <x:c r="BL683" s="3" t="str">
        <x:f>IF(ISNUMBER('中古車掲載'!AN684),'中古車掲載'!AN684,"")</x:f>
      </x:c>
      <x:c r="BM683" s="3"/>
      <x:c r="BN683" s="3"/>
      <x:c r="BO683" s="3"/>
      <x:c r="BP683" s="3"/>
      <x:c r="BQ683" s="3"/>
      <x:c r="BR683" s="3"/>
    </x:row>
    <x:row r="684" ht="22" customHeight="1">
      <x:c r="A684" s="3"/>
      <x:c r="B684" s="3"/>
      <x:c r="C684" s="3"/>
      <x:c r="D684" s="3"/>
      <x:c r="E684" s="3"/>
      <x:c r="F684" s="3"/>
      <x:c r="G684" s="3"/>
      <x:c r="H684" s="3"/>
      <x:c r="I684" s="3"/>
      <x:c r="J684" s="3"/>
      <x:c r="K684" s="3"/>
      <x:c r="L684" s="3"/>
      <x:c r="M684" s="3"/>
      <x:c r="N684" s="3"/>
      <x:c r="O684" s="3"/>
      <x:c r="P684" s="3"/>
      <x:c r="Q684" s="3"/>
      <x:c r="R684" s="3"/>
      <x:c r="S684" s="3"/>
      <x:c r="T684" s="3"/>
      <x:c r="U684" s="3"/>
      <x:c r="V684" s="3"/>
      <x:c r="W684" s="3"/>
      <x:c r="X684" s="3"/>
      <x:c r="Y684" s="3"/>
      <x:c r="Z684" s="3"/>
      <x:c r="AA684" s="3"/>
      <x:c r="AB684" s="3"/>
      <x:c r="AC684" s="3"/>
      <x:c r="AD684" s="3"/>
      <x:c r="AE684" s="3"/>
      <x:c r="AF684" s="3"/>
      <x:c r="AG684" s="3"/>
      <x:c r="AH684" s="3"/>
      <x:c r="AI684" s="3"/>
      <x:c r="AJ684" s="3"/>
      <x:c r="AK684" s="3"/>
      <x:c r="AL684" s="3"/>
      <x:c r="AM684" s="3"/>
      <x:c r="AN684" s="3"/>
      <x:c r="AO684" s="3"/>
      <x:c r="AP684" s="3"/>
      <x:c r="AQ684" s="3"/>
      <x:c r="AR684" s="3"/>
      <x:c r="AS684" s="3"/>
      <x:c r="AT684" s="3"/>
      <x:c r="AU684" s="3"/>
      <x:c r="AV684" s="3"/>
      <x:c r="AW684" s="3"/>
      <x:c r="AX684" s="3"/>
      <x:c r="AY684" s="3"/>
      <x:c r="AZ684" s="3" t="str">
        <x:f>IF(AND('中古車掲載'!C685="One2car",'中古車掲載'!F685="ATTO 3",'中古車掲載'!L685="EXTENDED RANGE",'中古車掲載'!J685=2023,ISNUMBER('中古車掲載'!N685),'中古車掲載'!N685&gt;=20000,'中古車掲載'!O685&lt;=100000,'中古車掲載'!AL685=1),'中古車掲載'!U685,"")</x:f>
      </x:c>
      <x:c r="BA684" s="3" t="str">
        <x:f>IF(AND('中古車掲載'!C685="One2car",'中古車掲載'!F685="Corolla Cross",'中古車掲載'!L685="HEV PREMIUM SAFETY",'中古車掲載'!J685=2023,ISNUMBER('中古車掲載'!N685),'中古車掲載'!N685&gt;=20000,'中古車掲載'!O685&lt;=100000,'中古車掲載'!AL685=1,'中古車掲載'!Z685="https://www.one2car.com/en/cars-for-sale/toyota/corolla-cross/year-2023"),'中古車掲載'!U685,"")</x:f>
      </x:c>
      <x:c r="BB684" s="3" t="str">
        <x:f>IF(AND('中古車掲載'!C685="One2car",'中古車掲載'!F685="ATTO 3",'中古車掲載'!L685="EXTENDED RANGE",'中古車掲載'!J685=2023,ISNUMBER('中古車掲載'!N685),'中古車掲載'!N685&gt;=50000,'中古車掲載'!O685&lt;=100000,'中古車掲載'!AL685=1),'中古車掲載'!U685,"")</x:f>
      </x:c>
      <x:c r="BC684" s="3" t="str">
        <x:f>IF(AND('中古車掲載'!C685="One2car",'中古車掲載'!F685="Corolla Cross",'中古車掲載'!L685="HEV PREMIUM SAFETY",'中古車掲載'!J685=2023,ISNUMBER('中古車掲載'!N685),'中古車掲載'!N685&gt;=50000,'中古車掲載'!O685&lt;=100000,'中古車掲載'!AL685=1,'中古車掲載'!Z685="https://www.one2car.com/en/cars-for-sale/toyota/corolla-cross/year-2023"),'中古車掲載'!U685,"")</x:f>
      </x:c>
      <x:c r="BD684" s="3" t="str">
        <x:f>IF(AND('中古車掲載'!C685="One2car",'中古車掲載'!F685="ATTO 3",'中古車掲載'!L685="EXTENDED RANGE",'中古車掲載'!J685=2023,ISNUMBER('中古車掲載'!N685),'中古車掲載'!N685&gt;=20000,'中古車掲載'!O685&lt;=50000,'中古車掲載'!AL685=1),'中古車掲載'!U685,"")</x:f>
      </x:c>
      <x:c r="BE684" s="3" t="str">
        <x:f>IF(AND('中古車掲載'!C685="One2car",'中古車掲載'!F685="Corolla Cross",'中古車掲載'!L685="HEV PREMIUM SAFETY",'中古車掲載'!J685=2023,ISNUMBER('中古車掲載'!N685),'中古車掲載'!N685&gt;=20000,'中古車掲載'!O685&lt;=50000,'中古車掲載'!AL685=1,'中古車掲載'!Z685="https://www.one2car.com/en/cars-for-sale/toyota/corolla-cross/year-2023"),'中古車掲載'!U685,"")</x:f>
      </x:c>
      <x:c r="BF684" s="3" t="str">
        <x:f>IF(AND('中古車掲載'!C685="One2car",'中古車掲載'!F685="Corolla Cross",'中古車掲載'!L685="HEV PREMIUM",'中古車掲載'!J685=2023,ISNUMBER('中古車掲載'!N685),'中古車掲載'!N685&gt;=20000,'中古車掲載'!O685&lt;=100000,'中古車掲載'!AL685=1,'中古車掲載'!Z685="https://www.one2car.com/en/cars-for-sale/toyota/corolla-cross/year-2023"),'中古車掲載'!U685,"")</x:f>
      </x:c>
      <x:c r="BG684" s="3" t="str">
        <x:f>IF(AND('中古車掲載'!C685="One2car",'中古車掲載'!F685="Corolla Cross",'中古車掲載'!L685="HEV GR SPORT",'中古車掲載'!J685=2023,ISNUMBER('中古車掲載'!N685),'中古車掲載'!N685&gt;=20000,'中古車掲載'!O685&lt;=100000,'中古車掲載'!AL685=1,'中古車掲載'!Z685="https://www.one2car.com/en/cars-for-sale/toyota/corolla-cross/year-2023"),'中古車掲載'!U685,"")</x:f>
      </x:c>
      <x:c r="BH684" s="3" t="str">
        <x:f>IF(AND('中古車掲載'!C685="One2car",'中古車掲載'!F685="DOLPHIN",'中古車掲載'!L685="STANDARD RANGE",'中古車掲載'!J685=2023,ISNUMBER('中古車掲載'!N685),'中古車掲載'!N685&gt;=20000,'中古車掲載'!O685&lt;=100000,'中古車掲載'!AL685=1),'中古車掲載'!U685,"")</x:f>
      </x:c>
      <x:c r="BI684" s="3" t="str">
        <x:v>Taladrod|Hilux Revo|ICE|Unknown</x:v>
      </x:c>
      <x:c r="BJ684" s="3" t="n">
        <x:v>685</x:v>
      </x:c>
      <x:c r="BK684" s="3" t="n">
        <x:f>'中古車掲載'!AM685</x:f>
        <x:v>369000</x:v>
      </x:c>
      <x:c r="BL684" s="3" t="str">
        <x:f>IF(ISNUMBER('中古車掲載'!AN685),'中古車掲載'!AN685,"")</x:f>
      </x:c>
      <x:c r="BM684" s="3"/>
      <x:c r="BN684" s="3"/>
      <x:c r="BO684" s="3"/>
      <x:c r="BP684" s="3"/>
      <x:c r="BQ684" s="3"/>
      <x:c r="BR684" s="3"/>
    </x:row>
    <x:row r="685" ht="22" customHeight="1">
      <x:c r="A685" s="3"/>
      <x:c r="B685" s="3"/>
      <x:c r="C685" s="3"/>
      <x:c r="D685" s="3"/>
      <x:c r="E685" s="3"/>
      <x:c r="F685" s="3"/>
      <x:c r="G685" s="3"/>
      <x:c r="H685" s="3"/>
      <x:c r="I685" s="3"/>
      <x:c r="J685" s="3"/>
      <x:c r="K685" s="3"/>
      <x:c r="L685" s="3"/>
      <x:c r="M685" s="3"/>
      <x:c r="N685" s="3"/>
      <x:c r="O685" s="3"/>
      <x:c r="P685" s="3"/>
      <x:c r="Q685" s="3"/>
      <x:c r="R685" s="3"/>
      <x:c r="S685" s="3"/>
      <x:c r="T685" s="3"/>
      <x:c r="U685" s="3"/>
      <x:c r="V685" s="3"/>
      <x:c r="W685" s="3"/>
      <x:c r="X685" s="3"/>
      <x:c r="Y685" s="3"/>
      <x:c r="Z685" s="3"/>
      <x:c r="AA685" s="3"/>
      <x:c r="AB685" s="3"/>
      <x:c r="AC685" s="3"/>
      <x:c r="AD685" s="3"/>
      <x:c r="AE685" s="3"/>
      <x:c r="AF685" s="3"/>
      <x:c r="AG685" s="3"/>
      <x:c r="AH685" s="3"/>
      <x:c r="AI685" s="3"/>
      <x:c r="AJ685" s="3"/>
      <x:c r="AK685" s="3"/>
      <x:c r="AL685" s="3"/>
      <x:c r="AM685" s="3"/>
      <x:c r="AN685" s="3"/>
      <x:c r="AO685" s="3"/>
      <x:c r="AP685" s="3"/>
      <x:c r="AQ685" s="3"/>
      <x:c r="AR685" s="3"/>
      <x:c r="AS685" s="3"/>
      <x:c r="AT685" s="3"/>
      <x:c r="AU685" s="3"/>
      <x:c r="AV685" s="3"/>
      <x:c r="AW685" s="3"/>
      <x:c r="AX685" s="3"/>
      <x:c r="AY685" s="3"/>
      <x:c r="AZ685" s="3" t="str">
        <x:f>IF(AND('中古車掲載'!C686="One2car",'中古車掲載'!F686="ATTO 3",'中古車掲載'!L686="EXTENDED RANGE",'中古車掲載'!J686=2023,ISNUMBER('中古車掲載'!N686),'中古車掲載'!N686&gt;=20000,'中古車掲載'!O686&lt;=100000,'中古車掲載'!AL686=1),'中古車掲載'!U686,"")</x:f>
      </x:c>
      <x:c r="BA685" s="3" t="str">
        <x:f>IF(AND('中古車掲載'!C686="One2car",'中古車掲載'!F686="Corolla Cross",'中古車掲載'!L686="HEV PREMIUM SAFETY",'中古車掲載'!J686=2023,ISNUMBER('中古車掲載'!N686),'中古車掲載'!N686&gt;=20000,'中古車掲載'!O686&lt;=100000,'中古車掲載'!AL686=1,'中古車掲載'!Z686="https://www.one2car.com/en/cars-for-sale/toyota/corolla-cross/year-2023"),'中古車掲載'!U686,"")</x:f>
      </x:c>
      <x:c r="BB685" s="3" t="str">
        <x:f>IF(AND('中古車掲載'!C686="One2car",'中古車掲載'!F686="ATTO 3",'中古車掲載'!L686="EXTENDED RANGE",'中古車掲載'!J686=2023,ISNUMBER('中古車掲載'!N686),'中古車掲載'!N686&gt;=50000,'中古車掲載'!O686&lt;=100000,'中古車掲載'!AL686=1),'中古車掲載'!U686,"")</x:f>
      </x:c>
      <x:c r="BC685" s="3" t="str">
        <x:f>IF(AND('中古車掲載'!C686="One2car",'中古車掲載'!F686="Corolla Cross",'中古車掲載'!L686="HEV PREMIUM SAFETY",'中古車掲載'!J686=2023,ISNUMBER('中古車掲載'!N686),'中古車掲載'!N686&gt;=50000,'中古車掲載'!O686&lt;=100000,'中古車掲載'!AL686=1,'中古車掲載'!Z686="https://www.one2car.com/en/cars-for-sale/toyota/corolla-cross/year-2023"),'中古車掲載'!U686,"")</x:f>
      </x:c>
      <x:c r="BD685" s="3" t="str">
        <x:f>IF(AND('中古車掲載'!C686="One2car",'中古車掲載'!F686="ATTO 3",'中古車掲載'!L686="EXTENDED RANGE",'中古車掲載'!J686=2023,ISNUMBER('中古車掲載'!N686),'中古車掲載'!N686&gt;=20000,'中古車掲載'!O686&lt;=50000,'中古車掲載'!AL686=1),'中古車掲載'!U686,"")</x:f>
      </x:c>
      <x:c r="BE685" s="3" t="str">
        <x:f>IF(AND('中古車掲載'!C686="One2car",'中古車掲載'!F686="Corolla Cross",'中古車掲載'!L686="HEV PREMIUM SAFETY",'中古車掲載'!J686=2023,ISNUMBER('中古車掲載'!N686),'中古車掲載'!N686&gt;=20000,'中古車掲載'!O686&lt;=50000,'中古車掲載'!AL686=1,'中古車掲載'!Z686="https://www.one2car.com/en/cars-for-sale/toyota/corolla-cross/year-2023"),'中古車掲載'!U686,"")</x:f>
      </x:c>
      <x:c r="BF685" s="3" t="str">
        <x:f>IF(AND('中古車掲載'!C686="One2car",'中古車掲載'!F686="Corolla Cross",'中古車掲載'!L686="HEV PREMIUM",'中古車掲載'!J686=2023,ISNUMBER('中古車掲載'!N686),'中古車掲載'!N686&gt;=20000,'中古車掲載'!O686&lt;=100000,'中古車掲載'!AL686=1,'中古車掲載'!Z686="https://www.one2car.com/en/cars-for-sale/toyota/corolla-cross/year-2023"),'中古車掲載'!U686,"")</x:f>
      </x:c>
      <x:c r="BG685" s="3" t="str">
        <x:f>IF(AND('中古車掲載'!C686="One2car",'中古車掲載'!F686="Corolla Cross",'中古車掲載'!L686="HEV GR SPORT",'中古車掲載'!J686=2023,ISNUMBER('中古車掲載'!N686),'中古車掲載'!N686&gt;=20000,'中古車掲載'!O686&lt;=100000,'中古車掲載'!AL686=1,'中古車掲載'!Z686="https://www.one2car.com/en/cars-for-sale/toyota/corolla-cross/year-2023"),'中古車掲載'!U686,"")</x:f>
      </x:c>
      <x:c r="BH685" s="3" t="str">
        <x:f>IF(AND('中古車掲載'!C686="One2car",'中古車掲載'!F686="DOLPHIN",'中古車掲載'!L686="STANDARD RANGE",'中古車掲載'!J686=2023,ISNUMBER('中古車掲載'!N686),'中古車掲載'!N686&gt;=20000,'中古車掲載'!O686&lt;=100000,'中古車掲載'!AL686=1),'中古車掲載'!U686,"")</x:f>
      </x:c>
      <x:c r="BI685" s="3" t="str">
        <x:v>Taladrod|Hilux Revo|ICE|Unknown</x:v>
      </x:c>
      <x:c r="BJ685" s="3" t="n">
        <x:v>686</x:v>
      </x:c>
      <x:c r="BK685" s="3" t="n">
        <x:f>'中古車掲載'!AM686</x:f>
        <x:v>379000</x:v>
      </x:c>
      <x:c r="BL685" s="3" t="str">
        <x:f>IF(ISNUMBER('中古車掲載'!AN686),'中古車掲載'!AN686,"")</x:f>
      </x:c>
      <x:c r="BM685" s="3"/>
      <x:c r="BN685" s="3"/>
      <x:c r="BO685" s="3"/>
      <x:c r="BP685" s="3"/>
      <x:c r="BQ685" s="3"/>
      <x:c r="BR685" s="3"/>
    </x:row>
    <x:row r="686" ht="22" customHeight="1">
      <x:c r="A686" s="3"/>
      <x:c r="B686" s="3"/>
      <x:c r="C686" s="3"/>
      <x:c r="D686" s="3"/>
      <x:c r="E686" s="3"/>
      <x:c r="F686" s="3"/>
      <x:c r="G686" s="3"/>
      <x:c r="H686" s="3"/>
      <x:c r="I686" s="3"/>
      <x:c r="J686" s="3"/>
      <x:c r="K686" s="3"/>
      <x:c r="L686" s="3"/>
      <x:c r="M686" s="3"/>
      <x:c r="N686" s="3"/>
      <x:c r="O686" s="3"/>
      <x:c r="P686" s="3"/>
      <x:c r="Q686" s="3"/>
      <x:c r="R686" s="3"/>
      <x:c r="S686" s="3"/>
      <x:c r="T686" s="3"/>
      <x:c r="U686" s="3"/>
      <x:c r="V686" s="3"/>
      <x:c r="W686" s="3"/>
      <x:c r="X686" s="3"/>
      <x:c r="Y686" s="3"/>
      <x:c r="Z686" s="3"/>
      <x:c r="AA686" s="3"/>
      <x:c r="AB686" s="3"/>
      <x:c r="AC686" s="3"/>
      <x:c r="AD686" s="3"/>
      <x:c r="AE686" s="3"/>
      <x:c r="AF686" s="3"/>
      <x:c r="AG686" s="3"/>
      <x:c r="AH686" s="3"/>
      <x:c r="AI686" s="3"/>
      <x:c r="AJ686" s="3"/>
      <x:c r="AK686" s="3"/>
      <x:c r="AL686" s="3"/>
      <x:c r="AM686" s="3"/>
      <x:c r="AN686" s="3"/>
      <x:c r="AO686" s="3"/>
      <x:c r="AP686" s="3"/>
      <x:c r="AQ686" s="3"/>
      <x:c r="AR686" s="3"/>
      <x:c r="AS686" s="3"/>
      <x:c r="AT686" s="3"/>
      <x:c r="AU686" s="3"/>
      <x:c r="AV686" s="3"/>
      <x:c r="AW686" s="3"/>
      <x:c r="AX686" s="3"/>
      <x:c r="AY686" s="3"/>
      <x:c r="AZ686" s="3" t="str">
        <x:f>IF(AND('中古車掲載'!C687="One2car",'中古車掲載'!F687="ATTO 3",'中古車掲載'!L687="EXTENDED RANGE",'中古車掲載'!J687=2023,ISNUMBER('中古車掲載'!N687),'中古車掲載'!N687&gt;=20000,'中古車掲載'!O687&lt;=100000,'中古車掲載'!AL687=1),'中古車掲載'!U687,"")</x:f>
      </x:c>
      <x:c r="BA686" s="3" t="str">
        <x:f>IF(AND('中古車掲載'!C687="One2car",'中古車掲載'!F687="Corolla Cross",'中古車掲載'!L687="HEV PREMIUM SAFETY",'中古車掲載'!J687=2023,ISNUMBER('中古車掲載'!N687),'中古車掲載'!N687&gt;=20000,'中古車掲載'!O687&lt;=100000,'中古車掲載'!AL687=1,'中古車掲載'!Z687="https://www.one2car.com/en/cars-for-sale/toyota/corolla-cross/year-2023"),'中古車掲載'!U687,"")</x:f>
      </x:c>
      <x:c r="BB686" s="3" t="str">
        <x:f>IF(AND('中古車掲載'!C687="One2car",'中古車掲載'!F687="ATTO 3",'中古車掲載'!L687="EXTENDED RANGE",'中古車掲載'!J687=2023,ISNUMBER('中古車掲載'!N687),'中古車掲載'!N687&gt;=50000,'中古車掲載'!O687&lt;=100000,'中古車掲載'!AL687=1),'中古車掲載'!U687,"")</x:f>
      </x:c>
      <x:c r="BC686" s="3" t="str">
        <x:f>IF(AND('中古車掲載'!C687="One2car",'中古車掲載'!F687="Corolla Cross",'中古車掲載'!L687="HEV PREMIUM SAFETY",'中古車掲載'!J687=2023,ISNUMBER('中古車掲載'!N687),'中古車掲載'!N687&gt;=50000,'中古車掲載'!O687&lt;=100000,'中古車掲載'!AL687=1,'中古車掲載'!Z687="https://www.one2car.com/en/cars-for-sale/toyota/corolla-cross/year-2023"),'中古車掲載'!U687,"")</x:f>
      </x:c>
      <x:c r="BD686" s="3" t="str">
        <x:f>IF(AND('中古車掲載'!C687="One2car",'中古車掲載'!F687="ATTO 3",'中古車掲載'!L687="EXTENDED RANGE",'中古車掲載'!J687=2023,ISNUMBER('中古車掲載'!N687),'中古車掲載'!N687&gt;=20000,'中古車掲載'!O687&lt;=50000,'中古車掲載'!AL687=1),'中古車掲載'!U687,"")</x:f>
      </x:c>
      <x:c r="BE686" s="3" t="str">
        <x:f>IF(AND('中古車掲載'!C687="One2car",'中古車掲載'!F687="Corolla Cross",'中古車掲載'!L687="HEV PREMIUM SAFETY",'中古車掲載'!J687=2023,ISNUMBER('中古車掲載'!N687),'中古車掲載'!N687&gt;=20000,'中古車掲載'!O687&lt;=50000,'中古車掲載'!AL687=1,'中古車掲載'!Z687="https://www.one2car.com/en/cars-for-sale/toyota/corolla-cross/year-2023"),'中古車掲載'!U687,"")</x:f>
      </x:c>
      <x:c r="BF686" s="3" t="str">
        <x:f>IF(AND('中古車掲載'!C687="One2car",'中古車掲載'!F687="Corolla Cross",'中古車掲載'!L687="HEV PREMIUM",'中古車掲載'!J687=2023,ISNUMBER('中古車掲載'!N687),'中古車掲載'!N687&gt;=20000,'中古車掲載'!O687&lt;=100000,'中古車掲載'!AL687=1,'中古車掲載'!Z687="https://www.one2car.com/en/cars-for-sale/toyota/corolla-cross/year-2023"),'中古車掲載'!U687,"")</x:f>
      </x:c>
      <x:c r="BG686" s="3" t="str">
        <x:f>IF(AND('中古車掲載'!C687="One2car",'中古車掲載'!F687="Corolla Cross",'中古車掲載'!L687="HEV GR SPORT",'中古車掲載'!J687=2023,ISNUMBER('中古車掲載'!N687),'中古車掲載'!N687&gt;=20000,'中古車掲載'!O687&lt;=100000,'中古車掲載'!AL687=1,'中古車掲載'!Z687="https://www.one2car.com/en/cars-for-sale/toyota/corolla-cross/year-2023"),'中古車掲載'!U687,"")</x:f>
      </x:c>
      <x:c r="BH686" s="3" t="str">
        <x:f>IF(AND('中古車掲載'!C687="One2car",'中古車掲載'!F687="DOLPHIN",'中古車掲載'!L687="STANDARD RANGE",'中古車掲載'!J687=2023,ISNUMBER('中古車掲載'!N687),'中古車掲載'!N687&gt;=20000,'中古車掲載'!O687&lt;=100000,'中古車掲載'!AL687=1),'中古車掲載'!U687,"")</x:f>
      </x:c>
      <x:c r="BI686" s="3" t="str">
        <x:v>Taladrod|Hilux Revo|ICE|Unknown</x:v>
      </x:c>
      <x:c r="BJ686" s="3" t="n">
        <x:v>687</x:v>
      </x:c>
      <x:c r="BK686" s="3" t="n">
        <x:f>'中古車掲載'!AM687</x:f>
        <x:v>379000</x:v>
      </x:c>
      <x:c r="BL686" s="3" t="str">
        <x:f>IF(ISNUMBER('中古車掲載'!AN687),'中古車掲載'!AN687,"")</x:f>
      </x:c>
      <x:c r="BM686" s="3"/>
      <x:c r="BN686" s="3"/>
      <x:c r="BO686" s="3"/>
      <x:c r="BP686" s="3"/>
      <x:c r="BQ686" s="3"/>
      <x:c r="BR686" s="3"/>
    </x:row>
    <x:row r="687" ht="22" customHeight="1">
      <x:c r="A687" s="3"/>
      <x:c r="B687" s="3"/>
      <x:c r="C687" s="3"/>
      <x:c r="D687" s="3"/>
      <x:c r="E687" s="3"/>
      <x:c r="F687" s="3"/>
      <x:c r="G687" s="3"/>
      <x:c r="H687" s="3"/>
      <x:c r="I687" s="3"/>
      <x:c r="J687" s="3"/>
      <x:c r="K687" s="3"/>
      <x:c r="L687" s="3"/>
      <x:c r="M687" s="3"/>
      <x:c r="N687" s="3"/>
      <x:c r="O687" s="3"/>
      <x:c r="P687" s="3"/>
      <x:c r="Q687" s="3"/>
      <x:c r="R687" s="3"/>
      <x:c r="S687" s="3"/>
      <x:c r="T687" s="3"/>
      <x:c r="U687" s="3"/>
      <x:c r="V687" s="3"/>
      <x:c r="W687" s="3"/>
      <x:c r="X687" s="3"/>
      <x:c r="Y687" s="3"/>
      <x:c r="Z687" s="3"/>
      <x:c r="AA687" s="3"/>
      <x:c r="AB687" s="3"/>
      <x:c r="AC687" s="3"/>
      <x:c r="AD687" s="3"/>
      <x:c r="AE687" s="3"/>
      <x:c r="AF687" s="3"/>
      <x:c r="AG687" s="3"/>
      <x:c r="AH687" s="3"/>
      <x:c r="AI687" s="3"/>
      <x:c r="AJ687" s="3"/>
      <x:c r="AK687" s="3"/>
      <x:c r="AL687" s="3"/>
      <x:c r="AM687" s="3"/>
      <x:c r="AN687" s="3"/>
      <x:c r="AO687" s="3"/>
      <x:c r="AP687" s="3"/>
      <x:c r="AQ687" s="3"/>
      <x:c r="AR687" s="3"/>
      <x:c r="AS687" s="3"/>
      <x:c r="AT687" s="3"/>
      <x:c r="AU687" s="3"/>
      <x:c r="AV687" s="3"/>
      <x:c r="AW687" s="3"/>
      <x:c r="AX687" s="3"/>
      <x:c r="AY687" s="3"/>
      <x:c r="AZ687" s="3" t="str">
        <x:f>IF(AND('中古車掲載'!C688="One2car",'中古車掲載'!F688="ATTO 3",'中古車掲載'!L688="EXTENDED RANGE",'中古車掲載'!J688=2023,ISNUMBER('中古車掲載'!N688),'中古車掲載'!N688&gt;=20000,'中古車掲載'!O688&lt;=100000,'中古車掲載'!AL688=1),'中古車掲載'!U688,"")</x:f>
      </x:c>
      <x:c r="BA687" s="3" t="str">
        <x:f>IF(AND('中古車掲載'!C688="One2car",'中古車掲載'!F688="Corolla Cross",'中古車掲載'!L688="HEV PREMIUM SAFETY",'中古車掲載'!J688=2023,ISNUMBER('中古車掲載'!N688),'中古車掲載'!N688&gt;=20000,'中古車掲載'!O688&lt;=100000,'中古車掲載'!AL688=1,'中古車掲載'!Z688="https://www.one2car.com/en/cars-for-sale/toyota/corolla-cross/year-2023"),'中古車掲載'!U688,"")</x:f>
      </x:c>
      <x:c r="BB687" s="3" t="str">
        <x:f>IF(AND('中古車掲載'!C688="One2car",'中古車掲載'!F688="ATTO 3",'中古車掲載'!L688="EXTENDED RANGE",'中古車掲載'!J688=2023,ISNUMBER('中古車掲載'!N688),'中古車掲載'!N688&gt;=50000,'中古車掲載'!O688&lt;=100000,'中古車掲載'!AL688=1),'中古車掲載'!U688,"")</x:f>
      </x:c>
      <x:c r="BC687" s="3" t="str">
        <x:f>IF(AND('中古車掲載'!C688="One2car",'中古車掲載'!F688="Corolla Cross",'中古車掲載'!L688="HEV PREMIUM SAFETY",'中古車掲載'!J688=2023,ISNUMBER('中古車掲載'!N688),'中古車掲載'!N688&gt;=50000,'中古車掲載'!O688&lt;=100000,'中古車掲載'!AL688=1,'中古車掲載'!Z688="https://www.one2car.com/en/cars-for-sale/toyota/corolla-cross/year-2023"),'中古車掲載'!U688,"")</x:f>
      </x:c>
      <x:c r="BD687" s="3" t="str">
        <x:f>IF(AND('中古車掲載'!C688="One2car",'中古車掲載'!F688="ATTO 3",'中古車掲載'!L688="EXTENDED RANGE",'中古車掲載'!J688=2023,ISNUMBER('中古車掲載'!N688),'中古車掲載'!N688&gt;=20000,'中古車掲載'!O688&lt;=50000,'中古車掲載'!AL688=1),'中古車掲載'!U688,"")</x:f>
      </x:c>
      <x:c r="BE687" s="3" t="str">
        <x:f>IF(AND('中古車掲載'!C688="One2car",'中古車掲載'!F688="Corolla Cross",'中古車掲載'!L688="HEV PREMIUM SAFETY",'中古車掲載'!J688=2023,ISNUMBER('中古車掲載'!N688),'中古車掲載'!N688&gt;=20000,'中古車掲載'!O688&lt;=50000,'中古車掲載'!AL688=1,'中古車掲載'!Z688="https://www.one2car.com/en/cars-for-sale/toyota/corolla-cross/year-2023"),'中古車掲載'!U688,"")</x:f>
      </x:c>
      <x:c r="BF687" s="3" t="str">
        <x:f>IF(AND('中古車掲載'!C688="One2car",'中古車掲載'!F688="Corolla Cross",'中古車掲載'!L688="HEV PREMIUM",'中古車掲載'!J688=2023,ISNUMBER('中古車掲載'!N688),'中古車掲載'!N688&gt;=20000,'中古車掲載'!O688&lt;=100000,'中古車掲載'!AL688=1,'中古車掲載'!Z688="https://www.one2car.com/en/cars-for-sale/toyota/corolla-cross/year-2023"),'中古車掲載'!U688,"")</x:f>
      </x:c>
      <x:c r="BG687" s="3" t="str">
        <x:f>IF(AND('中古車掲載'!C688="One2car",'中古車掲載'!F688="Corolla Cross",'中古車掲載'!L688="HEV GR SPORT",'中古車掲載'!J688=2023,ISNUMBER('中古車掲載'!N688),'中古車掲載'!N688&gt;=20000,'中古車掲載'!O688&lt;=100000,'中古車掲載'!AL688=1,'中古車掲載'!Z688="https://www.one2car.com/en/cars-for-sale/toyota/corolla-cross/year-2023"),'中古車掲載'!U688,"")</x:f>
      </x:c>
      <x:c r="BH687" s="3" t="str">
        <x:f>IF(AND('中古車掲載'!C688="One2car",'中古車掲載'!F688="DOLPHIN",'中古車掲載'!L688="STANDARD RANGE",'中古車掲載'!J688=2023,ISNUMBER('中古車掲載'!N688),'中古車掲載'!N688&gt;=20000,'中古車掲載'!O688&lt;=100000,'中古車掲載'!AL688=1),'中古車掲載'!U688,"")</x:f>
      </x:c>
      <x:c r="BI687" s="3" t="str">
        <x:v>Taladrod|Hilux Revo|ICE|Unknown</x:v>
      </x:c>
      <x:c r="BJ687" s="3" t="n">
        <x:v>688</x:v>
      </x:c>
      <x:c r="BK687" s="3" t="n">
        <x:f>'中古車掲載'!AM688</x:f>
        <x:v>439000</x:v>
      </x:c>
      <x:c r="BL687" s="3" t="str">
        <x:f>IF(ISNUMBER('中古車掲載'!AN688),'中古車掲載'!AN688,"")</x:f>
      </x:c>
      <x:c r="BM687" s="3"/>
      <x:c r="BN687" s="3"/>
      <x:c r="BO687" s="3"/>
      <x:c r="BP687" s="3"/>
      <x:c r="BQ687" s="3"/>
      <x:c r="BR687" s="3"/>
    </x:row>
    <x:row r="688" ht="22" customHeight="1">
      <x:c r="A688" s="3"/>
      <x:c r="B688" s="3"/>
      <x:c r="C688" s="3"/>
      <x:c r="D688" s="3"/>
      <x:c r="E688" s="3"/>
      <x:c r="F688" s="3"/>
      <x:c r="G688" s="3"/>
      <x:c r="H688" s="3"/>
      <x:c r="I688" s="3"/>
      <x:c r="J688" s="3"/>
      <x:c r="K688" s="3"/>
      <x:c r="L688" s="3"/>
      <x:c r="M688" s="3"/>
      <x:c r="N688" s="3"/>
      <x:c r="O688" s="3"/>
      <x:c r="P688" s="3"/>
      <x:c r="Q688" s="3"/>
      <x:c r="R688" s="3"/>
      <x:c r="S688" s="3"/>
      <x:c r="T688" s="3"/>
      <x:c r="U688" s="3"/>
      <x:c r="V688" s="3"/>
      <x:c r="W688" s="3"/>
      <x:c r="X688" s="3"/>
      <x:c r="Y688" s="3"/>
      <x:c r="Z688" s="3"/>
      <x:c r="AA688" s="3"/>
      <x:c r="AB688" s="3"/>
      <x:c r="AC688" s="3"/>
      <x:c r="AD688" s="3"/>
      <x:c r="AE688" s="3"/>
      <x:c r="AF688" s="3"/>
      <x:c r="AG688" s="3"/>
      <x:c r="AH688" s="3"/>
      <x:c r="AI688" s="3"/>
      <x:c r="AJ688" s="3"/>
      <x:c r="AK688" s="3"/>
      <x:c r="AL688" s="3"/>
      <x:c r="AM688" s="3"/>
      <x:c r="AN688" s="3"/>
      <x:c r="AO688" s="3"/>
      <x:c r="AP688" s="3"/>
      <x:c r="AQ688" s="3"/>
      <x:c r="AR688" s="3"/>
      <x:c r="AS688" s="3"/>
      <x:c r="AT688" s="3"/>
      <x:c r="AU688" s="3"/>
      <x:c r="AV688" s="3"/>
      <x:c r="AW688" s="3"/>
      <x:c r="AX688" s="3"/>
      <x:c r="AY688" s="3"/>
      <x:c r="AZ688" s="3" t="str">
        <x:f>IF(AND('中古車掲載'!C689="One2car",'中古車掲載'!F689="ATTO 3",'中古車掲載'!L689="EXTENDED RANGE",'中古車掲載'!J689=2023,ISNUMBER('中古車掲載'!N689),'中古車掲載'!N689&gt;=20000,'中古車掲載'!O689&lt;=100000,'中古車掲載'!AL689=1),'中古車掲載'!U689,"")</x:f>
      </x:c>
      <x:c r="BA688" s="3" t="str">
        <x:f>IF(AND('中古車掲載'!C689="One2car",'中古車掲載'!F689="Corolla Cross",'中古車掲載'!L689="HEV PREMIUM SAFETY",'中古車掲載'!J689=2023,ISNUMBER('中古車掲載'!N689),'中古車掲載'!N689&gt;=20000,'中古車掲載'!O689&lt;=100000,'中古車掲載'!AL689=1,'中古車掲載'!Z689="https://www.one2car.com/en/cars-for-sale/toyota/corolla-cross/year-2023"),'中古車掲載'!U689,"")</x:f>
      </x:c>
      <x:c r="BB688" s="3" t="str">
        <x:f>IF(AND('中古車掲載'!C689="One2car",'中古車掲載'!F689="ATTO 3",'中古車掲載'!L689="EXTENDED RANGE",'中古車掲載'!J689=2023,ISNUMBER('中古車掲載'!N689),'中古車掲載'!N689&gt;=50000,'中古車掲載'!O689&lt;=100000,'中古車掲載'!AL689=1),'中古車掲載'!U689,"")</x:f>
      </x:c>
      <x:c r="BC688" s="3" t="str">
        <x:f>IF(AND('中古車掲載'!C689="One2car",'中古車掲載'!F689="Corolla Cross",'中古車掲載'!L689="HEV PREMIUM SAFETY",'中古車掲載'!J689=2023,ISNUMBER('中古車掲載'!N689),'中古車掲載'!N689&gt;=50000,'中古車掲載'!O689&lt;=100000,'中古車掲載'!AL689=1,'中古車掲載'!Z689="https://www.one2car.com/en/cars-for-sale/toyota/corolla-cross/year-2023"),'中古車掲載'!U689,"")</x:f>
      </x:c>
      <x:c r="BD688" s="3" t="str">
        <x:f>IF(AND('中古車掲載'!C689="One2car",'中古車掲載'!F689="ATTO 3",'中古車掲載'!L689="EXTENDED RANGE",'中古車掲載'!J689=2023,ISNUMBER('中古車掲載'!N689),'中古車掲載'!N689&gt;=20000,'中古車掲載'!O689&lt;=50000,'中古車掲載'!AL689=1),'中古車掲載'!U689,"")</x:f>
      </x:c>
      <x:c r="BE688" s="3" t="str">
        <x:f>IF(AND('中古車掲載'!C689="One2car",'中古車掲載'!F689="Corolla Cross",'中古車掲載'!L689="HEV PREMIUM SAFETY",'中古車掲載'!J689=2023,ISNUMBER('中古車掲載'!N689),'中古車掲載'!N689&gt;=20000,'中古車掲載'!O689&lt;=50000,'中古車掲載'!AL689=1,'中古車掲載'!Z689="https://www.one2car.com/en/cars-for-sale/toyota/corolla-cross/year-2023"),'中古車掲載'!U689,"")</x:f>
      </x:c>
      <x:c r="BF688" s="3" t="str">
        <x:f>IF(AND('中古車掲載'!C689="One2car",'中古車掲載'!F689="Corolla Cross",'中古車掲載'!L689="HEV PREMIUM",'中古車掲載'!J689=2023,ISNUMBER('中古車掲載'!N689),'中古車掲載'!N689&gt;=20000,'中古車掲載'!O689&lt;=100000,'中古車掲載'!AL689=1,'中古車掲載'!Z689="https://www.one2car.com/en/cars-for-sale/toyota/corolla-cross/year-2023"),'中古車掲載'!U689,"")</x:f>
      </x:c>
      <x:c r="BG688" s="3" t="str">
        <x:f>IF(AND('中古車掲載'!C689="One2car",'中古車掲載'!F689="Corolla Cross",'中古車掲載'!L689="HEV GR SPORT",'中古車掲載'!J689=2023,ISNUMBER('中古車掲載'!N689),'中古車掲載'!N689&gt;=20000,'中古車掲載'!O689&lt;=100000,'中古車掲載'!AL689=1,'中古車掲載'!Z689="https://www.one2car.com/en/cars-for-sale/toyota/corolla-cross/year-2023"),'中古車掲載'!U689,"")</x:f>
      </x:c>
      <x:c r="BH688" s="3" t="str">
        <x:f>IF(AND('中古車掲載'!C689="One2car",'中古車掲載'!F689="DOLPHIN",'中古車掲載'!L689="STANDARD RANGE",'中古車掲載'!J689=2023,ISNUMBER('中古車掲載'!N689),'中古車掲載'!N689&gt;=20000,'中古車掲載'!O689&lt;=100000,'中古車掲載'!AL689=1),'中古車掲載'!U689,"")</x:f>
      </x:c>
      <x:c r="BI688" s="3" t="str">
        <x:v>Taladrod|Hilux Revo|ICE|Unknown</x:v>
      </x:c>
      <x:c r="BJ688" s="3" t="n">
        <x:v>689</x:v>
      </x:c>
      <x:c r="BK688" s="3" t="n">
        <x:f>'中古車掲載'!AM689</x:f>
        <x:v>399000</x:v>
      </x:c>
      <x:c r="BL688" s="3" t="str">
        <x:f>IF(ISNUMBER('中古車掲載'!AN689),'中古車掲載'!AN689,"")</x:f>
      </x:c>
      <x:c r="BM688" s="3"/>
      <x:c r="BN688" s="3"/>
      <x:c r="BO688" s="3"/>
      <x:c r="BP688" s="3"/>
      <x:c r="BQ688" s="3"/>
      <x:c r="BR688" s="3"/>
    </x:row>
    <x:row r="689" ht="22" customHeight="1">
      <x:c r="A689" s="3"/>
      <x:c r="B689" s="3"/>
      <x:c r="C689" s="3"/>
      <x:c r="D689" s="3"/>
      <x:c r="E689" s="3"/>
      <x:c r="F689" s="3"/>
      <x:c r="G689" s="3"/>
      <x:c r="H689" s="3"/>
      <x:c r="I689" s="3"/>
      <x:c r="J689" s="3"/>
      <x:c r="K689" s="3"/>
      <x:c r="L689" s="3"/>
      <x:c r="M689" s="3"/>
      <x:c r="N689" s="3"/>
      <x:c r="O689" s="3"/>
      <x:c r="P689" s="3"/>
      <x:c r="Q689" s="3"/>
      <x:c r="R689" s="3"/>
      <x:c r="S689" s="3"/>
      <x:c r="T689" s="3"/>
      <x:c r="U689" s="3"/>
      <x:c r="V689" s="3"/>
      <x:c r="W689" s="3"/>
      <x:c r="X689" s="3"/>
      <x:c r="Y689" s="3"/>
      <x:c r="Z689" s="3"/>
      <x:c r="AA689" s="3"/>
      <x:c r="AB689" s="3"/>
      <x:c r="AC689" s="3"/>
      <x:c r="AD689" s="3"/>
      <x:c r="AE689" s="3"/>
      <x:c r="AF689" s="3"/>
      <x:c r="AG689" s="3"/>
      <x:c r="AH689" s="3"/>
      <x:c r="AI689" s="3"/>
      <x:c r="AJ689" s="3"/>
      <x:c r="AK689" s="3"/>
      <x:c r="AL689" s="3"/>
      <x:c r="AM689" s="3"/>
      <x:c r="AN689" s="3"/>
      <x:c r="AO689" s="3"/>
      <x:c r="AP689" s="3"/>
      <x:c r="AQ689" s="3"/>
      <x:c r="AR689" s="3"/>
      <x:c r="AS689" s="3"/>
      <x:c r="AT689" s="3"/>
      <x:c r="AU689" s="3"/>
      <x:c r="AV689" s="3"/>
      <x:c r="AW689" s="3"/>
      <x:c r="AX689" s="3"/>
      <x:c r="AY689" s="3"/>
      <x:c r="AZ689" s="3" t="str">
        <x:f>IF(AND('中古車掲載'!C690="One2car",'中古車掲載'!F690="ATTO 3",'中古車掲載'!L690="EXTENDED RANGE",'中古車掲載'!J690=2023,ISNUMBER('中古車掲載'!N690),'中古車掲載'!N690&gt;=20000,'中古車掲載'!O690&lt;=100000,'中古車掲載'!AL690=1),'中古車掲載'!U690,"")</x:f>
      </x:c>
      <x:c r="BA689" s="3" t="str">
        <x:f>IF(AND('中古車掲載'!C690="One2car",'中古車掲載'!F690="Corolla Cross",'中古車掲載'!L690="HEV PREMIUM SAFETY",'中古車掲載'!J690=2023,ISNUMBER('中古車掲載'!N690),'中古車掲載'!N690&gt;=20000,'中古車掲載'!O690&lt;=100000,'中古車掲載'!AL690=1,'中古車掲載'!Z690="https://www.one2car.com/en/cars-for-sale/toyota/corolla-cross/year-2023"),'中古車掲載'!U690,"")</x:f>
      </x:c>
      <x:c r="BB689" s="3" t="str">
        <x:f>IF(AND('中古車掲載'!C690="One2car",'中古車掲載'!F690="ATTO 3",'中古車掲載'!L690="EXTENDED RANGE",'中古車掲載'!J690=2023,ISNUMBER('中古車掲載'!N690),'中古車掲載'!N690&gt;=50000,'中古車掲載'!O690&lt;=100000,'中古車掲載'!AL690=1),'中古車掲載'!U690,"")</x:f>
      </x:c>
      <x:c r="BC689" s="3" t="str">
        <x:f>IF(AND('中古車掲載'!C690="One2car",'中古車掲載'!F690="Corolla Cross",'中古車掲載'!L690="HEV PREMIUM SAFETY",'中古車掲載'!J690=2023,ISNUMBER('中古車掲載'!N690),'中古車掲載'!N690&gt;=50000,'中古車掲載'!O690&lt;=100000,'中古車掲載'!AL690=1,'中古車掲載'!Z690="https://www.one2car.com/en/cars-for-sale/toyota/corolla-cross/year-2023"),'中古車掲載'!U690,"")</x:f>
      </x:c>
      <x:c r="BD689" s="3" t="str">
        <x:f>IF(AND('中古車掲載'!C690="One2car",'中古車掲載'!F690="ATTO 3",'中古車掲載'!L690="EXTENDED RANGE",'中古車掲載'!J690=2023,ISNUMBER('中古車掲載'!N690),'中古車掲載'!N690&gt;=20000,'中古車掲載'!O690&lt;=50000,'中古車掲載'!AL690=1),'中古車掲載'!U690,"")</x:f>
      </x:c>
      <x:c r="BE689" s="3" t="str">
        <x:f>IF(AND('中古車掲載'!C690="One2car",'中古車掲載'!F690="Corolla Cross",'中古車掲載'!L690="HEV PREMIUM SAFETY",'中古車掲載'!J690=2023,ISNUMBER('中古車掲載'!N690),'中古車掲載'!N690&gt;=20000,'中古車掲載'!O690&lt;=50000,'中古車掲載'!AL690=1,'中古車掲載'!Z690="https://www.one2car.com/en/cars-for-sale/toyota/corolla-cross/year-2023"),'中古車掲載'!U690,"")</x:f>
      </x:c>
      <x:c r="BF689" s="3" t="str">
        <x:f>IF(AND('中古車掲載'!C690="One2car",'中古車掲載'!F690="Corolla Cross",'中古車掲載'!L690="HEV PREMIUM",'中古車掲載'!J690=2023,ISNUMBER('中古車掲載'!N690),'中古車掲載'!N690&gt;=20000,'中古車掲載'!O690&lt;=100000,'中古車掲載'!AL690=1,'中古車掲載'!Z690="https://www.one2car.com/en/cars-for-sale/toyota/corolla-cross/year-2023"),'中古車掲載'!U690,"")</x:f>
      </x:c>
      <x:c r="BG689" s="3" t="str">
        <x:f>IF(AND('中古車掲載'!C690="One2car",'中古車掲載'!F690="Corolla Cross",'中古車掲載'!L690="HEV GR SPORT",'中古車掲載'!J690=2023,ISNUMBER('中古車掲載'!N690),'中古車掲載'!N690&gt;=20000,'中古車掲載'!O690&lt;=100000,'中古車掲載'!AL690=1,'中古車掲載'!Z690="https://www.one2car.com/en/cars-for-sale/toyota/corolla-cross/year-2023"),'中古車掲載'!U690,"")</x:f>
      </x:c>
      <x:c r="BH689" s="3" t="str">
        <x:f>IF(AND('中古車掲載'!C690="One2car",'中古車掲載'!F690="DOLPHIN",'中古車掲載'!L690="STANDARD RANGE",'中古車掲載'!J690=2023,ISNUMBER('中古車掲載'!N690),'中古車掲載'!N690&gt;=20000,'中古車掲載'!O690&lt;=100000,'中古車掲載'!AL690=1),'中古車掲載'!U690,"")</x:f>
      </x:c>
      <x:c r="BI689" s="3" t="str">
        <x:v>Taladrod|Hilux Revo|ICE|Unknown</x:v>
      </x:c>
      <x:c r="BJ689" s="3" t="n">
        <x:v>690</x:v>
      </x:c>
      <x:c r="BK689" s="3" t="n">
        <x:f>'中古車掲載'!AM690</x:f>
        <x:v>358000</x:v>
      </x:c>
      <x:c r="BL689" s="3" t="str">
        <x:f>IF(ISNUMBER('中古車掲載'!AN690),'中古車掲載'!AN690,"")</x:f>
      </x:c>
      <x:c r="BM689" s="3"/>
      <x:c r="BN689" s="3"/>
      <x:c r="BO689" s="3"/>
      <x:c r="BP689" s="3"/>
      <x:c r="BQ689" s="3"/>
      <x:c r="BR689" s="3"/>
    </x:row>
    <x:row r="690" ht="22" customHeight="1">
      <x:c r="A690" s="3"/>
      <x:c r="B690" s="3"/>
      <x:c r="C690" s="3"/>
      <x:c r="D690" s="3"/>
      <x:c r="E690" s="3"/>
      <x:c r="F690" s="3"/>
      <x:c r="G690" s="3"/>
      <x:c r="H690" s="3"/>
      <x:c r="I690" s="3"/>
      <x:c r="J690" s="3"/>
      <x:c r="K690" s="3"/>
      <x:c r="L690" s="3"/>
      <x:c r="M690" s="3"/>
      <x:c r="N690" s="3"/>
      <x:c r="O690" s="3"/>
      <x:c r="P690" s="3"/>
      <x:c r="Q690" s="3"/>
      <x:c r="R690" s="3"/>
      <x:c r="S690" s="3"/>
      <x:c r="T690" s="3"/>
      <x:c r="U690" s="3"/>
      <x:c r="V690" s="3"/>
      <x:c r="W690" s="3"/>
      <x:c r="X690" s="3"/>
      <x:c r="Y690" s="3"/>
      <x:c r="Z690" s="3"/>
      <x:c r="AA690" s="3"/>
      <x:c r="AB690" s="3"/>
      <x:c r="AC690" s="3"/>
      <x:c r="AD690" s="3"/>
      <x:c r="AE690" s="3"/>
      <x:c r="AF690" s="3"/>
      <x:c r="AG690" s="3"/>
      <x:c r="AH690" s="3"/>
      <x:c r="AI690" s="3"/>
      <x:c r="AJ690" s="3"/>
      <x:c r="AK690" s="3"/>
      <x:c r="AL690" s="3"/>
      <x:c r="AM690" s="3"/>
      <x:c r="AN690" s="3"/>
      <x:c r="AO690" s="3"/>
      <x:c r="AP690" s="3"/>
      <x:c r="AQ690" s="3"/>
      <x:c r="AR690" s="3"/>
      <x:c r="AS690" s="3"/>
      <x:c r="AT690" s="3"/>
      <x:c r="AU690" s="3"/>
      <x:c r="AV690" s="3"/>
      <x:c r="AW690" s="3"/>
      <x:c r="AX690" s="3"/>
      <x:c r="AY690" s="3"/>
      <x:c r="AZ690" s="3" t="str">
        <x:f>IF(AND('中古車掲載'!C691="One2car",'中古車掲載'!F691="ATTO 3",'中古車掲載'!L691="EXTENDED RANGE",'中古車掲載'!J691=2023,ISNUMBER('中古車掲載'!N691),'中古車掲載'!N691&gt;=20000,'中古車掲載'!O691&lt;=100000,'中古車掲載'!AL691=1),'中古車掲載'!U691,"")</x:f>
      </x:c>
      <x:c r="BA690" s="3" t="str">
        <x:f>IF(AND('中古車掲載'!C691="One2car",'中古車掲載'!F691="Corolla Cross",'中古車掲載'!L691="HEV PREMIUM SAFETY",'中古車掲載'!J691=2023,ISNUMBER('中古車掲載'!N691),'中古車掲載'!N691&gt;=20000,'中古車掲載'!O691&lt;=100000,'中古車掲載'!AL691=1,'中古車掲載'!Z691="https://www.one2car.com/en/cars-for-sale/toyota/corolla-cross/year-2023"),'中古車掲載'!U691,"")</x:f>
      </x:c>
      <x:c r="BB690" s="3" t="str">
        <x:f>IF(AND('中古車掲載'!C691="One2car",'中古車掲載'!F691="ATTO 3",'中古車掲載'!L691="EXTENDED RANGE",'中古車掲載'!J691=2023,ISNUMBER('中古車掲載'!N691),'中古車掲載'!N691&gt;=50000,'中古車掲載'!O691&lt;=100000,'中古車掲載'!AL691=1),'中古車掲載'!U691,"")</x:f>
      </x:c>
      <x:c r="BC690" s="3" t="str">
        <x:f>IF(AND('中古車掲載'!C691="One2car",'中古車掲載'!F691="Corolla Cross",'中古車掲載'!L691="HEV PREMIUM SAFETY",'中古車掲載'!J691=2023,ISNUMBER('中古車掲載'!N691),'中古車掲載'!N691&gt;=50000,'中古車掲載'!O691&lt;=100000,'中古車掲載'!AL691=1,'中古車掲載'!Z691="https://www.one2car.com/en/cars-for-sale/toyota/corolla-cross/year-2023"),'中古車掲載'!U691,"")</x:f>
      </x:c>
      <x:c r="BD690" s="3" t="str">
        <x:f>IF(AND('中古車掲載'!C691="One2car",'中古車掲載'!F691="ATTO 3",'中古車掲載'!L691="EXTENDED RANGE",'中古車掲載'!J691=2023,ISNUMBER('中古車掲載'!N691),'中古車掲載'!N691&gt;=20000,'中古車掲載'!O691&lt;=50000,'中古車掲載'!AL691=1),'中古車掲載'!U691,"")</x:f>
      </x:c>
      <x:c r="BE690" s="3" t="str">
        <x:f>IF(AND('中古車掲載'!C691="One2car",'中古車掲載'!F691="Corolla Cross",'中古車掲載'!L691="HEV PREMIUM SAFETY",'中古車掲載'!J691=2023,ISNUMBER('中古車掲載'!N691),'中古車掲載'!N691&gt;=20000,'中古車掲載'!O691&lt;=50000,'中古車掲載'!AL691=1,'中古車掲載'!Z691="https://www.one2car.com/en/cars-for-sale/toyota/corolla-cross/year-2023"),'中古車掲載'!U691,"")</x:f>
      </x:c>
      <x:c r="BF690" s="3" t="str">
        <x:f>IF(AND('中古車掲載'!C691="One2car",'中古車掲載'!F691="Corolla Cross",'中古車掲載'!L691="HEV PREMIUM",'中古車掲載'!J691=2023,ISNUMBER('中古車掲載'!N691),'中古車掲載'!N691&gt;=20000,'中古車掲載'!O691&lt;=100000,'中古車掲載'!AL691=1,'中古車掲載'!Z691="https://www.one2car.com/en/cars-for-sale/toyota/corolla-cross/year-2023"),'中古車掲載'!U691,"")</x:f>
      </x:c>
      <x:c r="BG690" s="3" t="str">
        <x:f>IF(AND('中古車掲載'!C691="One2car",'中古車掲載'!F691="Corolla Cross",'中古車掲載'!L691="HEV GR SPORT",'中古車掲載'!J691=2023,ISNUMBER('中古車掲載'!N691),'中古車掲載'!N691&gt;=20000,'中古車掲載'!O691&lt;=100000,'中古車掲載'!AL691=1,'中古車掲載'!Z691="https://www.one2car.com/en/cars-for-sale/toyota/corolla-cross/year-2023"),'中古車掲載'!U691,"")</x:f>
      </x:c>
      <x:c r="BH690" s="3" t="str">
        <x:f>IF(AND('中古車掲載'!C691="One2car",'中古車掲載'!F691="DOLPHIN",'中古車掲載'!L691="STANDARD RANGE",'中古車掲載'!J691=2023,ISNUMBER('中古車掲載'!N691),'中古車掲載'!N691&gt;=20000,'中古車掲載'!O691&lt;=100000,'中古車掲載'!AL691=1),'中古車掲載'!U691,"")</x:f>
      </x:c>
      <x:c r="BI690" s="3" t="str">
        <x:v>Taladrod|Hilux Revo|ICE|Unknown</x:v>
      </x:c>
      <x:c r="BJ690" s="3" t="n">
        <x:v>691</x:v>
      </x:c>
      <x:c r="BK690" s="3" t="n">
        <x:f>'中古車掲載'!AM691</x:f>
        <x:v>650000</x:v>
      </x:c>
      <x:c r="BL690" s="3" t="str">
        <x:f>IF(ISNUMBER('中古車掲載'!AN691),'中古車掲載'!AN691,"")</x:f>
      </x:c>
      <x:c r="BM690" s="3"/>
      <x:c r="BN690" s="3"/>
      <x:c r="BO690" s="3"/>
      <x:c r="BP690" s="3"/>
      <x:c r="BQ690" s="3"/>
      <x:c r="BR690" s="3"/>
    </x:row>
    <x:row r="691" ht="22" customHeight="1">
      <x:c r="A691" s="3"/>
      <x:c r="B691" s="3"/>
      <x:c r="C691" s="3"/>
      <x:c r="D691" s="3"/>
      <x:c r="E691" s="3"/>
      <x:c r="F691" s="3"/>
      <x:c r="G691" s="3"/>
      <x:c r="H691" s="3"/>
      <x:c r="I691" s="3"/>
      <x:c r="J691" s="3"/>
      <x:c r="K691" s="3"/>
      <x:c r="L691" s="3"/>
      <x:c r="M691" s="3"/>
      <x:c r="N691" s="3"/>
      <x:c r="O691" s="3"/>
      <x:c r="P691" s="3"/>
      <x:c r="Q691" s="3"/>
      <x:c r="R691" s="3"/>
      <x:c r="S691" s="3"/>
      <x:c r="T691" s="3"/>
      <x:c r="U691" s="3"/>
      <x:c r="V691" s="3"/>
      <x:c r="W691" s="3"/>
      <x:c r="X691" s="3"/>
      <x:c r="Y691" s="3"/>
      <x:c r="Z691" s="3"/>
      <x:c r="AA691" s="3"/>
      <x:c r="AB691" s="3"/>
      <x:c r="AC691" s="3"/>
      <x:c r="AD691" s="3"/>
      <x:c r="AE691" s="3"/>
      <x:c r="AF691" s="3"/>
      <x:c r="AG691" s="3"/>
      <x:c r="AH691" s="3"/>
      <x:c r="AI691" s="3"/>
      <x:c r="AJ691" s="3"/>
      <x:c r="AK691" s="3"/>
      <x:c r="AL691" s="3"/>
      <x:c r="AM691" s="3"/>
      <x:c r="AN691" s="3"/>
      <x:c r="AO691" s="3"/>
      <x:c r="AP691" s="3"/>
      <x:c r="AQ691" s="3"/>
      <x:c r="AR691" s="3"/>
      <x:c r="AS691" s="3"/>
      <x:c r="AT691" s="3"/>
      <x:c r="AU691" s="3"/>
      <x:c r="AV691" s="3"/>
      <x:c r="AW691" s="3"/>
      <x:c r="AX691" s="3"/>
      <x:c r="AY691" s="3"/>
      <x:c r="AZ691" s="3" t="str">
        <x:f>IF(AND('中古車掲載'!C692="One2car",'中古車掲載'!F692="ATTO 3",'中古車掲載'!L692="EXTENDED RANGE",'中古車掲載'!J692=2023,ISNUMBER('中古車掲載'!N692),'中古車掲載'!N692&gt;=20000,'中古車掲載'!O692&lt;=100000,'中古車掲載'!AL692=1),'中古車掲載'!U692,"")</x:f>
      </x:c>
      <x:c r="BA691" s="3" t="str">
        <x:f>IF(AND('中古車掲載'!C692="One2car",'中古車掲載'!F692="Corolla Cross",'中古車掲載'!L692="HEV PREMIUM SAFETY",'中古車掲載'!J692=2023,ISNUMBER('中古車掲載'!N692),'中古車掲載'!N692&gt;=20000,'中古車掲載'!O692&lt;=100000,'中古車掲載'!AL692=1,'中古車掲載'!Z692="https://www.one2car.com/en/cars-for-sale/toyota/corolla-cross/year-2023"),'中古車掲載'!U692,"")</x:f>
      </x:c>
      <x:c r="BB691" s="3" t="str">
        <x:f>IF(AND('中古車掲載'!C692="One2car",'中古車掲載'!F692="ATTO 3",'中古車掲載'!L692="EXTENDED RANGE",'中古車掲載'!J692=2023,ISNUMBER('中古車掲載'!N692),'中古車掲載'!N692&gt;=50000,'中古車掲載'!O692&lt;=100000,'中古車掲載'!AL692=1),'中古車掲載'!U692,"")</x:f>
      </x:c>
      <x:c r="BC691" s="3" t="str">
        <x:f>IF(AND('中古車掲載'!C692="One2car",'中古車掲載'!F692="Corolla Cross",'中古車掲載'!L692="HEV PREMIUM SAFETY",'中古車掲載'!J692=2023,ISNUMBER('中古車掲載'!N692),'中古車掲載'!N692&gt;=50000,'中古車掲載'!O692&lt;=100000,'中古車掲載'!AL692=1,'中古車掲載'!Z692="https://www.one2car.com/en/cars-for-sale/toyota/corolla-cross/year-2023"),'中古車掲載'!U692,"")</x:f>
      </x:c>
      <x:c r="BD691" s="3" t="str">
        <x:f>IF(AND('中古車掲載'!C692="One2car",'中古車掲載'!F692="ATTO 3",'中古車掲載'!L692="EXTENDED RANGE",'中古車掲載'!J692=2023,ISNUMBER('中古車掲載'!N692),'中古車掲載'!N692&gt;=20000,'中古車掲載'!O692&lt;=50000,'中古車掲載'!AL692=1),'中古車掲載'!U692,"")</x:f>
      </x:c>
      <x:c r="BE691" s="3" t="str">
        <x:f>IF(AND('中古車掲載'!C692="One2car",'中古車掲載'!F692="Corolla Cross",'中古車掲載'!L692="HEV PREMIUM SAFETY",'中古車掲載'!J692=2023,ISNUMBER('中古車掲載'!N692),'中古車掲載'!N692&gt;=20000,'中古車掲載'!O692&lt;=50000,'中古車掲載'!AL692=1,'中古車掲載'!Z692="https://www.one2car.com/en/cars-for-sale/toyota/corolla-cross/year-2023"),'中古車掲載'!U692,"")</x:f>
      </x:c>
      <x:c r="BF691" s="3" t="str">
        <x:f>IF(AND('中古車掲載'!C692="One2car",'中古車掲載'!F692="Corolla Cross",'中古車掲載'!L692="HEV PREMIUM",'中古車掲載'!J692=2023,ISNUMBER('中古車掲載'!N692),'中古車掲載'!N692&gt;=20000,'中古車掲載'!O692&lt;=100000,'中古車掲載'!AL692=1,'中古車掲載'!Z692="https://www.one2car.com/en/cars-for-sale/toyota/corolla-cross/year-2023"),'中古車掲載'!U692,"")</x:f>
      </x:c>
      <x:c r="BG691" s="3" t="str">
        <x:f>IF(AND('中古車掲載'!C692="One2car",'中古車掲載'!F692="Corolla Cross",'中古車掲載'!L692="HEV GR SPORT",'中古車掲載'!J692=2023,ISNUMBER('中古車掲載'!N692),'中古車掲載'!N692&gt;=20000,'中古車掲載'!O692&lt;=100000,'中古車掲載'!AL692=1,'中古車掲載'!Z692="https://www.one2car.com/en/cars-for-sale/toyota/corolla-cross/year-2023"),'中古車掲載'!U692,"")</x:f>
      </x:c>
      <x:c r="BH691" s="3" t="str">
        <x:f>IF(AND('中古車掲載'!C692="One2car",'中古車掲載'!F692="DOLPHIN",'中古車掲載'!L692="STANDARD RANGE",'中古車掲載'!J692=2023,ISNUMBER('中古車掲載'!N692),'中古車掲載'!N692&gt;=20000,'中古車掲載'!O692&lt;=100000,'中古車掲載'!AL692=1),'中古車掲載'!U692,"")</x:f>
      </x:c>
      <x:c r="BI691" s="3" t="str">
        <x:v>Taladrod|Hilux Revo|ICE|Unknown</x:v>
      </x:c>
      <x:c r="BJ691" s="3" t="n">
        <x:v>692</x:v>
      </x:c>
      <x:c r="BK691" s="3" t="n">
        <x:f>'中古車掲載'!AM692</x:f>
        <x:v>649000</x:v>
      </x:c>
      <x:c r="BL691" s="3" t="str">
        <x:f>IF(ISNUMBER('中古車掲載'!AN692),'中古車掲載'!AN692,"")</x:f>
      </x:c>
      <x:c r="BM691" s="3"/>
      <x:c r="BN691" s="3"/>
      <x:c r="BO691" s="3"/>
      <x:c r="BP691" s="3"/>
      <x:c r="BQ691" s="3"/>
      <x:c r="BR691" s="3"/>
    </x:row>
    <x:row r="692" ht="22" customHeight="1">
      <x:c r="A692" s="3"/>
      <x:c r="B692" s="3"/>
      <x:c r="C692" s="3"/>
      <x:c r="D692" s="3"/>
      <x:c r="E692" s="3"/>
      <x:c r="F692" s="3"/>
      <x:c r="G692" s="3"/>
      <x:c r="H692" s="3"/>
      <x:c r="I692" s="3"/>
      <x:c r="J692" s="3"/>
      <x:c r="K692" s="3"/>
      <x:c r="L692" s="3"/>
      <x:c r="M692" s="3"/>
      <x:c r="N692" s="3"/>
      <x:c r="O692" s="3"/>
      <x:c r="P692" s="3"/>
      <x:c r="Q692" s="3"/>
      <x:c r="R692" s="3"/>
      <x:c r="S692" s="3"/>
      <x:c r="T692" s="3"/>
      <x:c r="U692" s="3"/>
      <x:c r="V692" s="3"/>
      <x:c r="W692" s="3"/>
      <x:c r="X692" s="3"/>
      <x:c r="Y692" s="3"/>
      <x:c r="Z692" s="3"/>
      <x:c r="AA692" s="3"/>
      <x:c r="AB692" s="3"/>
      <x:c r="AC692" s="3"/>
      <x:c r="AD692" s="3"/>
      <x:c r="AE692" s="3"/>
      <x:c r="AF692" s="3"/>
      <x:c r="AG692" s="3"/>
      <x:c r="AH692" s="3"/>
      <x:c r="AI692" s="3"/>
      <x:c r="AJ692" s="3"/>
      <x:c r="AK692" s="3"/>
      <x:c r="AL692" s="3"/>
      <x:c r="AM692" s="3"/>
      <x:c r="AN692" s="3"/>
      <x:c r="AO692" s="3"/>
      <x:c r="AP692" s="3"/>
      <x:c r="AQ692" s="3"/>
      <x:c r="AR692" s="3"/>
      <x:c r="AS692" s="3"/>
      <x:c r="AT692" s="3"/>
      <x:c r="AU692" s="3"/>
      <x:c r="AV692" s="3"/>
      <x:c r="AW692" s="3"/>
      <x:c r="AX692" s="3"/>
      <x:c r="AY692" s="3"/>
      <x:c r="AZ692" s="3" t="str">
        <x:f>IF(AND('中古車掲載'!C693="One2car",'中古車掲載'!F693="ATTO 3",'中古車掲載'!L693="EXTENDED RANGE",'中古車掲載'!J693=2023,ISNUMBER('中古車掲載'!N693),'中古車掲載'!N693&gt;=20000,'中古車掲載'!O693&lt;=100000,'中古車掲載'!AL693=1),'中古車掲載'!U693,"")</x:f>
      </x:c>
      <x:c r="BA692" s="3" t="str">
        <x:f>IF(AND('中古車掲載'!C693="One2car",'中古車掲載'!F693="Corolla Cross",'中古車掲載'!L693="HEV PREMIUM SAFETY",'中古車掲載'!J693=2023,ISNUMBER('中古車掲載'!N693),'中古車掲載'!N693&gt;=20000,'中古車掲載'!O693&lt;=100000,'中古車掲載'!AL693=1,'中古車掲載'!Z693="https://www.one2car.com/en/cars-for-sale/toyota/corolla-cross/year-2023"),'中古車掲載'!U693,"")</x:f>
      </x:c>
      <x:c r="BB692" s="3" t="str">
        <x:f>IF(AND('中古車掲載'!C693="One2car",'中古車掲載'!F693="ATTO 3",'中古車掲載'!L693="EXTENDED RANGE",'中古車掲載'!J693=2023,ISNUMBER('中古車掲載'!N693),'中古車掲載'!N693&gt;=50000,'中古車掲載'!O693&lt;=100000,'中古車掲載'!AL693=1),'中古車掲載'!U693,"")</x:f>
      </x:c>
      <x:c r="BC692" s="3" t="str">
        <x:f>IF(AND('中古車掲載'!C693="One2car",'中古車掲載'!F693="Corolla Cross",'中古車掲載'!L693="HEV PREMIUM SAFETY",'中古車掲載'!J693=2023,ISNUMBER('中古車掲載'!N693),'中古車掲載'!N693&gt;=50000,'中古車掲載'!O693&lt;=100000,'中古車掲載'!AL693=1,'中古車掲載'!Z693="https://www.one2car.com/en/cars-for-sale/toyota/corolla-cross/year-2023"),'中古車掲載'!U693,"")</x:f>
      </x:c>
      <x:c r="BD692" s="3" t="str">
        <x:f>IF(AND('中古車掲載'!C693="One2car",'中古車掲載'!F693="ATTO 3",'中古車掲載'!L693="EXTENDED RANGE",'中古車掲載'!J693=2023,ISNUMBER('中古車掲載'!N693),'中古車掲載'!N693&gt;=20000,'中古車掲載'!O693&lt;=50000,'中古車掲載'!AL693=1),'中古車掲載'!U693,"")</x:f>
      </x:c>
      <x:c r="BE692" s="3" t="str">
        <x:f>IF(AND('中古車掲載'!C693="One2car",'中古車掲載'!F693="Corolla Cross",'中古車掲載'!L693="HEV PREMIUM SAFETY",'中古車掲載'!J693=2023,ISNUMBER('中古車掲載'!N693),'中古車掲載'!N693&gt;=20000,'中古車掲載'!O693&lt;=50000,'中古車掲載'!AL693=1,'中古車掲載'!Z693="https://www.one2car.com/en/cars-for-sale/toyota/corolla-cross/year-2023"),'中古車掲載'!U693,"")</x:f>
      </x:c>
      <x:c r="BF692" s="3" t="str">
        <x:f>IF(AND('中古車掲載'!C693="One2car",'中古車掲載'!F693="Corolla Cross",'中古車掲載'!L693="HEV PREMIUM",'中古車掲載'!J693=2023,ISNUMBER('中古車掲載'!N693),'中古車掲載'!N693&gt;=20000,'中古車掲載'!O693&lt;=100000,'中古車掲載'!AL693=1,'中古車掲載'!Z693="https://www.one2car.com/en/cars-for-sale/toyota/corolla-cross/year-2023"),'中古車掲載'!U693,"")</x:f>
      </x:c>
      <x:c r="BG692" s="3" t="str">
        <x:f>IF(AND('中古車掲載'!C693="One2car",'中古車掲載'!F693="Corolla Cross",'中古車掲載'!L693="HEV GR SPORT",'中古車掲載'!J693=2023,ISNUMBER('中古車掲載'!N693),'中古車掲載'!N693&gt;=20000,'中古車掲載'!O693&lt;=100000,'中古車掲載'!AL693=1,'中古車掲載'!Z693="https://www.one2car.com/en/cars-for-sale/toyota/corolla-cross/year-2023"),'中古車掲載'!U693,"")</x:f>
      </x:c>
      <x:c r="BH692" s="3" t="str">
        <x:f>IF(AND('中古車掲載'!C693="One2car",'中古車掲載'!F693="DOLPHIN",'中古車掲載'!L693="STANDARD RANGE",'中古車掲載'!J693=2023,ISNUMBER('中古車掲載'!N693),'中古車掲載'!N693&gt;=20000,'中古車掲載'!O693&lt;=100000,'中古車掲載'!AL693=1),'中古車掲載'!U693,"")</x:f>
      </x:c>
      <x:c r="BI692" s="3" t="str">
        <x:v>Taladrod|Hilux Revo|ICE|Unknown</x:v>
      </x:c>
      <x:c r="BJ692" s="3" t="n">
        <x:v>693</x:v>
      </x:c>
      <x:c r="BK692" s="3" t="n">
        <x:f>'中古車掲載'!AM693</x:f>
        <x:v>350000</x:v>
      </x:c>
      <x:c r="BL692" s="3" t="str">
        <x:f>IF(ISNUMBER('中古車掲載'!AN693),'中古車掲載'!AN693,"")</x:f>
      </x:c>
      <x:c r="BM692" s="3"/>
      <x:c r="BN692" s="3"/>
      <x:c r="BO692" s="3"/>
      <x:c r="BP692" s="3"/>
      <x:c r="BQ692" s="3"/>
      <x:c r="BR692" s="3"/>
    </x:row>
    <x:row r="693" ht="22" customHeight="1">
      <x:c r="A693" s="3"/>
      <x:c r="B693" s="3"/>
      <x:c r="C693" s="3"/>
      <x:c r="D693" s="3"/>
      <x:c r="E693" s="3"/>
      <x:c r="F693" s="3"/>
      <x:c r="G693" s="3"/>
      <x:c r="H693" s="3"/>
      <x:c r="I693" s="3"/>
      <x:c r="J693" s="3"/>
      <x:c r="K693" s="3"/>
      <x:c r="L693" s="3"/>
      <x:c r="M693" s="3"/>
      <x:c r="N693" s="3"/>
      <x:c r="O693" s="3"/>
      <x:c r="P693" s="3"/>
      <x:c r="Q693" s="3"/>
      <x:c r="R693" s="3"/>
      <x:c r="S693" s="3"/>
      <x:c r="T693" s="3"/>
      <x:c r="U693" s="3"/>
      <x:c r="V693" s="3"/>
      <x:c r="W693" s="3"/>
      <x:c r="X693" s="3"/>
      <x:c r="Y693" s="3"/>
      <x:c r="Z693" s="3"/>
      <x:c r="AA693" s="3"/>
      <x:c r="AB693" s="3"/>
      <x:c r="AC693" s="3"/>
      <x:c r="AD693" s="3"/>
      <x:c r="AE693" s="3"/>
      <x:c r="AF693" s="3"/>
      <x:c r="AG693" s="3"/>
      <x:c r="AH693" s="3"/>
      <x:c r="AI693" s="3"/>
      <x:c r="AJ693" s="3"/>
      <x:c r="AK693" s="3"/>
      <x:c r="AL693" s="3"/>
      <x:c r="AM693" s="3"/>
      <x:c r="AN693" s="3"/>
      <x:c r="AO693" s="3"/>
      <x:c r="AP693" s="3"/>
      <x:c r="AQ693" s="3"/>
      <x:c r="AR693" s="3"/>
      <x:c r="AS693" s="3"/>
      <x:c r="AT693" s="3"/>
      <x:c r="AU693" s="3"/>
      <x:c r="AV693" s="3"/>
      <x:c r="AW693" s="3"/>
      <x:c r="AX693" s="3"/>
      <x:c r="AY693" s="3"/>
      <x:c r="AZ693" s="3" t="str">
        <x:f>IF(AND('中古車掲載'!C694="One2car",'中古車掲載'!F694="ATTO 3",'中古車掲載'!L694="EXTENDED RANGE",'中古車掲載'!J694=2023,ISNUMBER('中古車掲載'!N694),'中古車掲載'!N694&gt;=20000,'中古車掲載'!O694&lt;=100000,'中古車掲載'!AL694=1),'中古車掲載'!U694,"")</x:f>
      </x:c>
      <x:c r="BA693" s="3" t="str">
        <x:f>IF(AND('中古車掲載'!C694="One2car",'中古車掲載'!F694="Corolla Cross",'中古車掲載'!L694="HEV PREMIUM SAFETY",'中古車掲載'!J694=2023,ISNUMBER('中古車掲載'!N694),'中古車掲載'!N694&gt;=20000,'中古車掲載'!O694&lt;=100000,'中古車掲載'!AL694=1,'中古車掲載'!Z694="https://www.one2car.com/en/cars-for-sale/toyota/corolla-cross/year-2023"),'中古車掲載'!U694,"")</x:f>
      </x:c>
      <x:c r="BB693" s="3" t="str">
        <x:f>IF(AND('中古車掲載'!C694="One2car",'中古車掲載'!F694="ATTO 3",'中古車掲載'!L694="EXTENDED RANGE",'中古車掲載'!J694=2023,ISNUMBER('中古車掲載'!N694),'中古車掲載'!N694&gt;=50000,'中古車掲載'!O694&lt;=100000,'中古車掲載'!AL694=1),'中古車掲載'!U694,"")</x:f>
      </x:c>
      <x:c r="BC693" s="3" t="str">
        <x:f>IF(AND('中古車掲載'!C694="One2car",'中古車掲載'!F694="Corolla Cross",'中古車掲載'!L694="HEV PREMIUM SAFETY",'中古車掲載'!J694=2023,ISNUMBER('中古車掲載'!N694),'中古車掲載'!N694&gt;=50000,'中古車掲載'!O694&lt;=100000,'中古車掲載'!AL694=1,'中古車掲載'!Z694="https://www.one2car.com/en/cars-for-sale/toyota/corolla-cross/year-2023"),'中古車掲載'!U694,"")</x:f>
      </x:c>
      <x:c r="BD693" s="3" t="str">
        <x:f>IF(AND('中古車掲載'!C694="One2car",'中古車掲載'!F694="ATTO 3",'中古車掲載'!L694="EXTENDED RANGE",'中古車掲載'!J694=2023,ISNUMBER('中古車掲載'!N694),'中古車掲載'!N694&gt;=20000,'中古車掲載'!O694&lt;=50000,'中古車掲載'!AL694=1),'中古車掲載'!U694,"")</x:f>
      </x:c>
      <x:c r="BE693" s="3" t="str">
        <x:f>IF(AND('中古車掲載'!C694="One2car",'中古車掲載'!F694="Corolla Cross",'中古車掲載'!L694="HEV PREMIUM SAFETY",'中古車掲載'!J694=2023,ISNUMBER('中古車掲載'!N694),'中古車掲載'!N694&gt;=20000,'中古車掲載'!O694&lt;=50000,'中古車掲載'!AL694=1,'中古車掲載'!Z694="https://www.one2car.com/en/cars-for-sale/toyota/corolla-cross/year-2023"),'中古車掲載'!U694,"")</x:f>
      </x:c>
      <x:c r="BF693" s="3" t="str">
        <x:f>IF(AND('中古車掲載'!C694="One2car",'中古車掲載'!F694="Corolla Cross",'中古車掲載'!L694="HEV PREMIUM",'中古車掲載'!J694=2023,ISNUMBER('中古車掲載'!N694),'中古車掲載'!N694&gt;=20000,'中古車掲載'!O694&lt;=100000,'中古車掲載'!AL694=1,'中古車掲載'!Z694="https://www.one2car.com/en/cars-for-sale/toyota/corolla-cross/year-2023"),'中古車掲載'!U694,"")</x:f>
      </x:c>
      <x:c r="BG693" s="3" t="str">
        <x:f>IF(AND('中古車掲載'!C694="One2car",'中古車掲載'!F694="Corolla Cross",'中古車掲載'!L694="HEV GR SPORT",'中古車掲載'!J694=2023,ISNUMBER('中古車掲載'!N694),'中古車掲載'!N694&gt;=20000,'中古車掲載'!O694&lt;=100000,'中古車掲載'!AL694=1,'中古車掲載'!Z694="https://www.one2car.com/en/cars-for-sale/toyota/corolla-cross/year-2023"),'中古車掲載'!U694,"")</x:f>
      </x:c>
      <x:c r="BH693" s="3" t="str">
        <x:f>IF(AND('中古車掲載'!C694="One2car",'中古車掲載'!F694="DOLPHIN",'中古車掲載'!L694="STANDARD RANGE",'中古車掲載'!J694=2023,ISNUMBER('中古車掲載'!N694),'中古車掲載'!N694&gt;=20000,'中古車掲載'!O694&lt;=100000,'中古車掲載'!AL694=1),'中古車掲載'!U694,"")</x:f>
      </x:c>
      <x:c r="BI693" s="3" t="str">
        <x:v>Taladrod|Hilux Revo|ICE|Unknown</x:v>
      </x:c>
      <x:c r="BJ693" s="3" t="n">
        <x:v>694</x:v>
      </x:c>
      <x:c r="BK693" s="3" t="n">
        <x:f>'中古車掲載'!AM694</x:f>
        <x:v>599000</x:v>
      </x:c>
      <x:c r="BL693" s="3" t="str">
        <x:f>IF(ISNUMBER('中古車掲載'!AN694),'中古車掲載'!AN694,"")</x:f>
      </x:c>
      <x:c r="BM693" s="3"/>
      <x:c r="BN693" s="3"/>
      <x:c r="BO693" s="3"/>
      <x:c r="BP693" s="3"/>
      <x:c r="BQ693" s="3"/>
      <x:c r="BR693" s="3"/>
    </x:row>
    <x:row r="694" ht="22" customHeight="1">
      <x:c r="A694" s="3"/>
      <x:c r="B694" s="3"/>
      <x:c r="C694" s="3"/>
      <x:c r="D694" s="3"/>
      <x:c r="E694" s="3"/>
      <x:c r="F694" s="3"/>
      <x:c r="G694" s="3"/>
      <x:c r="H694" s="3"/>
      <x:c r="I694" s="3"/>
      <x:c r="J694" s="3"/>
      <x:c r="K694" s="3"/>
      <x:c r="L694" s="3"/>
      <x:c r="M694" s="3"/>
      <x:c r="N694" s="3"/>
      <x:c r="O694" s="3"/>
      <x:c r="P694" s="3"/>
      <x:c r="Q694" s="3"/>
      <x:c r="R694" s="3"/>
      <x:c r="S694" s="3"/>
      <x:c r="T694" s="3"/>
      <x:c r="U694" s="3"/>
      <x:c r="V694" s="3"/>
      <x:c r="W694" s="3"/>
      <x:c r="X694" s="3"/>
      <x:c r="Y694" s="3"/>
      <x:c r="Z694" s="3"/>
      <x:c r="AA694" s="3"/>
      <x:c r="AB694" s="3"/>
      <x:c r="AC694" s="3"/>
      <x:c r="AD694" s="3"/>
      <x:c r="AE694" s="3"/>
      <x:c r="AF694" s="3"/>
      <x:c r="AG694" s="3"/>
      <x:c r="AH694" s="3"/>
      <x:c r="AI694" s="3"/>
      <x:c r="AJ694" s="3"/>
      <x:c r="AK694" s="3"/>
      <x:c r="AL694" s="3"/>
      <x:c r="AM694" s="3"/>
      <x:c r="AN694" s="3"/>
      <x:c r="AO694" s="3"/>
      <x:c r="AP694" s="3"/>
      <x:c r="AQ694" s="3"/>
      <x:c r="AR694" s="3"/>
      <x:c r="AS694" s="3"/>
      <x:c r="AT694" s="3"/>
      <x:c r="AU694" s="3"/>
      <x:c r="AV694" s="3"/>
      <x:c r="AW694" s="3"/>
      <x:c r="AX694" s="3"/>
      <x:c r="AY694" s="3"/>
      <x:c r="AZ694" s="3" t="str">
        <x:f>IF(AND('中古車掲載'!C695="One2car",'中古車掲載'!F695="ATTO 3",'中古車掲載'!L695="EXTENDED RANGE",'中古車掲載'!J695=2023,ISNUMBER('中古車掲載'!N695),'中古車掲載'!N695&gt;=20000,'中古車掲載'!O695&lt;=100000,'中古車掲載'!AL695=1),'中古車掲載'!U695,"")</x:f>
      </x:c>
      <x:c r="BA694" s="3" t="str">
        <x:f>IF(AND('中古車掲載'!C695="One2car",'中古車掲載'!F695="Corolla Cross",'中古車掲載'!L695="HEV PREMIUM SAFETY",'中古車掲載'!J695=2023,ISNUMBER('中古車掲載'!N695),'中古車掲載'!N695&gt;=20000,'中古車掲載'!O695&lt;=100000,'中古車掲載'!AL695=1,'中古車掲載'!Z695="https://www.one2car.com/en/cars-for-sale/toyota/corolla-cross/year-2023"),'中古車掲載'!U695,"")</x:f>
      </x:c>
      <x:c r="BB694" s="3" t="str">
        <x:f>IF(AND('中古車掲載'!C695="One2car",'中古車掲載'!F695="ATTO 3",'中古車掲載'!L695="EXTENDED RANGE",'中古車掲載'!J695=2023,ISNUMBER('中古車掲載'!N695),'中古車掲載'!N695&gt;=50000,'中古車掲載'!O695&lt;=100000,'中古車掲載'!AL695=1),'中古車掲載'!U695,"")</x:f>
      </x:c>
      <x:c r="BC694" s="3" t="str">
        <x:f>IF(AND('中古車掲載'!C695="One2car",'中古車掲載'!F695="Corolla Cross",'中古車掲載'!L695="HEV PREMIUM SAFETY",'中古車掲載'!J695=2023,ISNUMBER('中古車掲載'!N695),'中古車掲載'!N695&gt;=50000,'中古車掲載'!O695&lt;=100000,'中古車掲載'!AL695=1,'中古車掲載'!Z695="https://www.one2car.com/en/cars-for-sale/toyota/corolla-cross/year-2023"),'中古車掲載'!U695,"")</x:f>
      </x:c>
      <x:c r="BD694" s="3" t="str">
        <x:f>IF(AND('中古車掲載'!C695="One2car",'中古車掲載'!F695="ATTO 3",'中古車掲載'!L695="EXTENDED RANGE",'中古車掲載'!J695=2023,ISNUMBER('中古車掲載'!N695),'中古車掲載'!N695&gt;=20000,'中古車掲載'!O695&lt;=50000,'中古車掲載'!AL695=1),'中古車掲載'!U695,"")</x:f>
      </x:c>
      <x:c r="BE694" s="3" t="str">
        <x:f>IF(AND('中古車掲載'!C695="One2car",'中古車掲載'!F695="Corolla Cross",'中古車掲載'!L695="HEV PREMIUM SAFETY",'中古車掲載'!J695=2023,ISNUMBER('中古車掲載'!N695),'中古車掲載'!N695&gt;=20000,'中古車掲載'!O695&lt;=50000,'中古車掲載'!AL695=1,'中古車掲載'!Z695="https://www.one2car.com/en/cars-for-sale/toyota/corolla-cross/year-2023"),'中古車掲載'!U695,"")</x:f>
      </x:c>
      <x:c r="BF694" s="3" t="str">
        <x:f>IF(AND('中古車掲載'!C695="One2car",'中古車掲載'!F695="Corolla Cross",'中古車掲載'!L695="HEV PREMIUM",'中古車掲載'!J695=2023,ISNUMBER('中古車掲載'!N695),'中古車掲載'!N695&gt;=20000,'中古車掲載'!O695&lt;=100000,'中古車掲載'!AL695=1,'中古車掲載'!Z695="https://www.one2car.com/en/cars-for-sale/toyota/corolla-cross/year-2023"),'中古車掲載'!U695,"")</x:f>
      </x:c>
      <x:c r="BG694" s="3" t="str">
        <x:f>IF(AND('中古車掲載'!C695="One2car",'中古車掲載'!F695="Corolla Cross",'中古車掲載'!L695="HEV GR SPORT",'中古車掲載'!J695=2023,ISNUMBER('中古車掲載'!N695),'中古車掲載'!N695&gt;=20000,'中古車掲載'!O695&lt;=100000,'中古車掲載'!AL695=1,'中古車掲載'!Z695="https://www.one2car.com/en/cars-for-sale/toyota/corolla-cross/year-2023"),'中古車掲載'!U695,"")</x:f>
      </x:c>
      <x:c r="BH694" s="3" t="str">
        <x:f>IF(AND('中古車掲載'!C695="One2car",'中古車掲載'!F695="DOLPHIN",'中古車掲載'!L695="STANDARD RANGE",'中古車掲載'!J695=2023,ISNUMBER('中古車掲載'!N695),'中古車掲載'!N695&gt;=20000,'中古車掲載'!O695&lt;=100000,'中古車掲載'!AL695=1),'中古車掲載'!U695,"")</x:f>
      </x:c>
      <x:c r="BI694" s="3" t="str">
        <x:v>Taladrod|Hilux Revo|ICE|Unknown</x:v>
      </x:c>
      <x:c r="BJ694" s="3" t="n">
        <x:v>695</x:v>
      </x:c>
      <x:c r="BK694" s="3" t="n">
        <x:f>'中古車掲載'!AM695</x:f>
        <x:v>620000</x:v>
      </x:c>
      <x:c r="BL694" s="3" t="str">
        <x:f>IF(ISNUMBER('中古車掲載'!AN695),'中古車掲載'!AN695,"")</x:f>
      </x:c>
      <x:c r="BM694" s="3"/>
      <x:c r="BN694" s="3"/>
      <x:c r="BO694" s="3"/>
      <x:c r="BP694" s="3"/>
      <x:c r="BQ694" s="3"/>
      <x:c r="BR694" s="3"/>
    </x:row>
    <x:row r="695" ht="22" customHeight="1">
      <x:c r="A695" s="3"/>
      <x:c r="B695" s="3"/>
      <x:c r="C695" s="3"/>
      <x:c r="D695" s="3"/>
      <x:c r="E695" s="3"/>
      <x:c r="F695" s="3"/>
      <x:c r="G695" s="3"/>
      <x:c r="H695" s="3"/>
      <x:c r="I695" s="3"/>
      <x:c r="J695" s="3"/>
      <x:c r="K695" s="3"/>
      <x:c r="L695" s="3"/>
      <x:c r="M695" s="3"/>
      <x:c r="N695" s="3"/>
      <x:c r="O695" s="3"/>
      <x:c r="P695" s="3"/>
      <x:c r="Q695" s="3"/>
      <x:c r="R695" s="3"/>
      <x:c r="S695" s="3"/>
      <x:c r="T695" s="3"/>
      <x:c r="U695" s="3"/>
      <x:c r="V695" s="3"/>
      <x:c r="W695" s="3"/>
      <x:c r="X695" s="3"/>
      <x:c r="Y695" s="3"/>
      <x:c r="Z695" s="3"/>
      <x:c r="AA695" s="3"/>
      <x:c r="AB695" s="3"/>
      <x:c r="AC695" s="3"/>
      <x:c r="AD695" s="3"/>
      <x:c r="AE695" s="3"/>
      <x:c r="AF695" s="3"/>
      <x:c r="AG695" s="3"/>
      <x:c r="AH695" s="3"/>
      <x:c r="AI695" s="3"/>
      <x:c r="AJ695" s="3"/>
      <x:c r="AK695" s="3"/>
      <x:c r="AL695" s="3"/>
      <x:c r="AM695" s="3"/>
      <x:c r="AN695" s="3"/>
      <x:c r="AO695" s="3"/>
      <x:c r="AP695" s="3"/>
      <x:c r="AQ695" s="3"/>
      <x:c r="AR695" s="3"/>
      <x:c r="AS695" s="3"/>
      <x:c r="AT695" s="3"/>
      <x:c r="AU695" s="3"/>
      <x:c r="AV695" s="3"/>
      <x:c r="AW695" s="3"/>
      <x:c r="AX695" s="3"/>
      <x:c r="AY695" s="3"/>
      <x:c r="AZ695" s="3" t="str">
        <x:f>IF(AND('中古車掲載'!C696="One2car",'中古車掲載'!F696="ATTO 3",'中古車掲載'!L696="EXTENDED RANGE",'中古車掲載'!J696=2023,ISNUMBER('中古車掲載'!N696),'中古車掲載'!N696&gt;=20000,'中古車掲載'!O696&lt;=100000,'中古車掲載'!AL696=1),'中古車掲載'!U696,"")</x:f>
      </x:c>
      <x:c r="BA695" s="3" t="str">
        <x:f>IF(AND('中古車掲載'!C696="One2car",'中古車掲載'!F696="Corolla Cross",'中古車掲載'!L696="HEV PREMIUM SAFETY",'中古車掲載'!J696=2023,ISNUMBER('中古車掲載'!N696),'中古車掲載'!N696&gt;=20000,'中古車掲載'!O696&lt;=100000,'中古車掲載'!AL696=1,'中古車掲載'!Z696="https://www.one2car.com/en/cars-for-sale/toyota/corolla-cross/year-2023"),'中古車掲載'!U696,"")</x:f>
      </x:c>
      <x:c r="BB695" s="3" t="str">
        <x:f>IF(AND('中古車掲載'!C696="One2car",'中古車掲載'!F696="ATTO 3",'中古車掲載'!L696="EXTENDED RANGE",'中古車掲載'!J696=2023,ISNUMBER('中古車掲載'!N696),'中古車掲載'!N696&gt;=50000,'中古車掲載'!O696&lt;=100000,'中古車掲載'!AL696=1),'中古車掲載'!U696,"")</x:f>
      </x:c>
      <x:c r="BC695" s="3" t="str">
        <x:f>IF(AND('中古車掲載'!C696="One2car",'中古車掲載'!F696="Corolla Cross",'中古車掲載'!L696="HEV PREMIUM SAFETY",'中古車掲載'!J696=2023,ISNUMBER('中古車掲載'!N696),'中古車掲載'!N696&gt;=50000,'中古車掲載'!O696&lt;=100000,'中古車掲載'!AL696=1,'中古車掲載'!Z696="https://www.one2car.com/en/cars-for-sale/toyota/corolla-cross/year-2023"),'中古車掲載'!U696,"")</x:f>
      </x:c>
      <x:c r="BD695" s="3" t="str">
        <x:f>IF(AND('中古車掲載'!C696="One2car",'中古車掲載'!F696="ATTO 3",'中古車掲載'!L696="EXTENDED RANGE",'中古車掲載'!J696=2023,ISNUMBER('中古車掲載'!N696),'中古車掲載'!N696&gt;=20000,'中古車掲載'!O696&lt;=50000,'中古車掲載'!AL696=1),'中古車掲載'!U696,"")</x:f>
      </x:c>
      <x:c r="BE695" s="3" t="str">
        <x:f>IF(AND('中古車掲載'!C696="One2car",'中古車掲載'!F696="Corolla Cross",'中古車掲載'!L696="HEV PREMIUM SAFETY",'中古車掲載'!J696=2023,ISNUMBER('中古車掲載'!N696),'中古車掲載'!N696&gt;=20000,'中古車掲載'!O696&lt;=50000,'中古車掲載'!AL696=1,'中古車掲載'!Z696="https://www.one2car.com/en/cars-for-sale/toyota/corolla-cross/year-2023"),'中古車掲載'!U696,"")</x:f>
      </x:c>
      <x:c r="BF695" s="3" t="str">
        <x:f>IF(AND('中古車掲載'!C696="One2car",'中古車掲載'!F696="Corolla Cross",'中古車掲載'!L696="HEV PREMIUM",'中古車掲載'!J696=2023,ISNUMBER('中古車掲載'!N696),'中古車掲載'!N696&gt;=20000,'中古車掲載'!O696&lt;=100000,'中古車掲載'!AL696=1,'中古車掲載'!Z696="https://www.one2car.com/en/cars-for-sale/toyota/corolla-cross/year-2023"),'中古車掲載'!U696,"")</x:f>
      </x:c>
      <x:c r="BG695" s="3" t="str">
        <x:f>IF(AND('中古車掲載'!C696="One2car",'中古車掲載'!F696="Corolla Cross",'中古車掲載'!L696="HEV GR SPORT",'中古車掲載'!J696=2023,ISNUMBER('中古車掲載'!N696),'中古車掲載'!N696&gt;=20000,'中古車掲載'!O696&lt;=100000,'中古車掲載'!AL696=1,'中古車掲載'!Z696="https://www.one2car.com/en/cars-for-sale/toyota/corolla-cross/year-2023"),'中古車掲載'!U696,"")</x:f>
      </x:c>
      <x:c r="BH695" s="3" t="str">
        <x:f>IF(AND('中古車掲載'!C696="One2car",'中古車掲載'!F696="DOLPHIN",'中古車掲載'!L696="STANDARD RANGE",'中古車掲載'!J696=2023,ISNUMBER('中古車掲載'!N696),'中古車掲載'!N696&gt;=20000,'中古車掲載'!O696&lt;=100000,'中古車掲載'!AL696=1),'中古車掲載'!U696,"")</x:f>
      </x:c>
      <x:c r="BI695" s="3" t="str">
        <x:v>Taladrod|Hilux Revo|ICE|Unknown</x:v>
      </x:c>
      <x:c r="BJ695" s="3" t="n">
        <x:v>696</x:v>
      </x:c>
      <x:c r="BK695" s="3" t="n">
        <x:f>'中古車掲載'!AM696</x:f>
        <x:v>514000</x:v>
      </x:c>
      <x:c r="BL695" s="3" t="str">
        <x:f>IF(ISNUMBER('中古車掲載'!AN696),'中古車掲載'!AN696,"")</x:f>
      </x:c>
      <x:c r="BM695" s="3"/>
      <x:c r="BN695" s="3"/>
      <x:c r="BO695" s="3"/>
      <x:c r="BP695" s="3"/>
      <x:c r="BQ695" s="3"/>
      <x:c r="BR695" s="3"/>
    </x:row>
    <x:row r="696" ht="22" customHeight="1">
      <x:c r="A696" s="3"/>
      <x:c r="B696" s="3"/>
      <x:c r="C696" s="3"/>
      <x:c r="D696" s="3"/>
      <x:c r="E696" s="3"/>
      <x:c r="F696" s="3"/>
      <x:c r="G696" s="3"/>
      <x:c r="H696" s="3"/>
      <x:c r="I696" s="3"/>
      <x:c r="J696" s="3"/>
      <x:c r="K696" s="3"/>
      <x:c r="L696" s="3"/>
      <x:c r="M696" s="3"/>
      <x:c r="N696" s="3"/>
      <x:c r="O696" s="3"/>
      <x:c r="P696" s="3"/>
      <x:c r="Q696" s="3"/>
      <x:c r="R696" s="3"/>
      <x:c r="S696" s="3"/>
      <x:c r="T696" s="3"/>
      <x:c r="U696" s="3"/>
      <x:c r="V696" s="3"/>
      <x:c r="W696" s="3"/>
      <x:c r="X696" s="3"/>
      <x:c r="Y696" s="3"/>
      <x:c r="Z696" s="3"/>
      <x:c r="AA696" s="3"/>
      <x:c r="AB696" s="3"/>
      <x:c r="AC696" s="3"/>
      <x:c r="AD696" s="3"/>
      <x:c r="AE696" s="3"/>
      <x:c r="AF696" s="3"/>
      <x:c r="AG696" s="3"/>
      <x:c r="AH696" s="3"/>
      <x:c r="AI696" s="3"/>
      <x:c r="AJ696" s="3"/>
      <x:c r="AK696" s="3"/>
      <x:c r="AL696" s="3"/>
      <x:c r="AM696" s="3"/>
      <x:c r="AN696" s="3"/>
      <x:c r="AO696" s="3"/>
      <x:c r="AP696" s="3"/>
      <x:c r="AQ696" s="3"/>
      <x:c r="AR696" s="3"/>
      <x:c r="AS696" s="3"/>
      <x:c r="AT696" s="3"/>
      <x:c r="AU696" s="3"/>
      <x:c r="AV696" s="3"/>
      <x:c r="AW696" s="3"/>
      <x:c r="AX696" s="3"/>
      <x:c r="AY696" s="3"/>
      <x:c r="AZ696" s="3" t="str">
        <x:f>IF(AND('中古車掲載'!C697="One2car",'中古車掲載'!F697="ATTO 3",'中古車掲載'!L697="EXTENDED RANGE",'中古車掲載'!J697=2023,ISNUMBER('中古車掲載'!N697),'中古車掲載'!N697&gt;=20000,'中古車掲載'!O697&lt;=100000,'中古車掲載'!AL697=1),'中古車掲載'!U697,"")</x:f>
      </x:c>
      <x:c r="BA696" s="3" t="str">
        <x:f>IF(AND('中古車掲載'!C697="One2car",'中古車掲載'!F697="Corolla Cross",'中古車掲載'!L697="HEV PREMIUM SAFETY",'中古車掲載'!J697=2023,ISNUMBER('中古車掲載'!N697),'中古車掲載'!N697&gt;=20000,'中古車掲載'!O697&lt;=100000,'中古車掲載'!AL697=1,'中古車掲載'!Z697="https://www.one2car.com/en/cars-for-sale/toyota/corolla-cross/year-2023"),'中古車掲載'!U697,"")</x:f>
      </x:c>
      <x:c r="BB696" s="3" t="str">
        <x:f>IF(AND('中古車掲載'!C697="One2car",'中古車掲載'!F697="ATTO 3",'中古車掲載'!L697="EXTENDED RANGE",'中古車掲載'!J697=2023,ISNUMBER('中古車掲載'!N697),'中古車掲載'!N697&gt;=50000,'中古車掲載'!O697&lt;=100000,'中古車掲載'!AL697=1),'中古車掲載'!U697,"")</x:f>
      </x:c>
      <x:c r="BC696" s="3" t="str">
        <x:f>IF(AND('中古車掲載'!C697="One2car",'中古車掲載'!F697="Corolla Cross",'中古車掲載'!L697="HEV PREMIUM SAFETY",'中古車掲載'!J697=2023,ISNUMBER('中古車掲載'!N697),'中古車掲載'!N697&gt;=50000,'中古車掲載'!O697&lt;=100000,'中古車掲載'!AL697=1,'中古車掲載'!Z697="https://www.one2car.com/en/cars-for-sale/toyota/corolla-cross/year-2023"),'中古車掲載'!U697,"")</x:f>
      </x:c>
      <x:c r="BD696" s="3" t="str">
        <x:f>IF(AND('中古車掲載'!C697="One2car",'中古車掲載'!F697="ATTO 3",'中古車掲載'!L697="EXTENDED RANGE",'中古車掲載'!J697=2023,ISNUMBER('中古車掲載'!N697),'中古車掲載'!N697&gt;=20000,'中古車掲載'!O697&lt;=50000,'中古車掲載'!AL697=1),'中古車掲載'!U697,"")</x:f>
      </x:c>
      <x:c r="BE696" s="3" t="str">
        <x:f>IF(AND('中古車掲載'!C697="One2car",'中古車掲載'!F697="Corolla Cross",'中古車掲載'!L697="HEV PREMIUM SAFETY",'中古車掲載'!J697=2023,ISNUMBER('中古車掲載'!N697),'中古車掲載'!N697&gt;=20000,'中古車掲載'!O697&lt;=50000,'中古車掲載'!AL697=1,'中古車掲載'!Z697="https://www.one2car.com/en/cars-for-sale/toyota/corolla-cross/year-2023"),'中古車掲載'!U697,"")</x:f>
      </x:c>
      <x:c r="BF696" s="3" t="str">
        <x:f>IF(AND('中古車掲載'!C697="One2car",'中古車掲載'!F697="Corolla Cross",'中古車掲載'!L697="HEV PREMIUM",'中古車掲載'!J697=2023,ISNUMBER('中古車掲載'!N697),'中古車掲載'!N697&gt;=20000,'中古車掲載'!O697&lt;=100000,'中古車掲載'!AL697=1,'中古車掲載'!Z697="https://www.one2car.com/en/cars-for-sale/toyota/corolla-cross/year-2023"),'中古車掲載'!U697,"")</x:f>
      </x:c>
      <x:c r="BG696" s="3" t="str">
        <x:f>IF(AND('中古車掲載'!C697="One2car",'中古車掲載'!F697="Corolla Cross",'中古車掲載'!L697="HEV GR SPORT",'中古車掲載'!J697=2023,ISNUMBER('中古車掲載'!N697),'中古車掲載'!N697&gt;=20000,'中古車掲載'!O697&lt;=100000,'中古車掲載'!AL697=1,'中古車掲載'!Z697="https://www.one2car.com/en/cars-for-sale/toyota/corolla-cross/year-2023"),'中古車掲載'!U697,"")</x:f>
      </x:c>
      <x:c r="BH696" s="3" t="str">
        <x:f>IF(AND('中古車掲載'!C697="One2car",'中古車掲載'!F697="DOLPHIN",'中古車掲載'!L697="STANDARD RANGE",'中古車掲載'!J697=2023,ISNUMBER('中古車掲載'!N697),'中古車掲載'!N697&gt;=20000,'中古車掲載'!O697&lt;=100000,'中古車掲載'!AL697=1),'中古車掲載'!U697,"")</x:f>
      </x:c>
      <x:c r="BI696" s="3" t="str">
        <x:v>Taladrod|Hilux Revo|ICE|Unknown</x:v>
      </x:c>
      <x:c r="BJ696" s="3" t="n">
        <x:v>697</x:v>
      </x:c>
      <x:c r="BK696" s="3" t="n">
        <x:f>'中古車掲載'!AM697</x:f>
        <x:v>489000</x:v>
      </x:c>
      <x:c r="BL696" s="3" t="str">
        <x:f>IF(ISNUMBER('中古車掲載'!AN697),'中古車掲載'!AN697,"")</x:f>
      </x:c>
      <x:c r="BM696" s="3"/>
      <x:c r="BN696" s="3"/>
      <x:c r="BO696" s="3"/>
      <x:c r="BP696" s="3"/>
      <x:c r="BQ696" s="3"/>
      <x:c r="BR696" s="3"/>
    </x:row>
    <x:row r="697" ht="22" customHeight="1">
      <x:c r="A697" s="3"/>
      <x:c r="B697" s="3"/>
      <x:c r="C697" s="3"/>
      <x:c r="D697" s="3"/>
      <x:c r="E697" s="3"/>
      <x:c r="F697" s="3"/>
      <x:c r="G697" s="3"/>
      <x:c r="H697" s="3"/>
      <x:c r="I697" s="3"/>
      <x:c r="J697" s="3"/>
      <x:c r="K697" s="3"/>
      <x:c r="L697" s="3"/>
      <x:c r="M697" s="3"/>
      <x:c r="N697" s="3"/>
      <x:c r="O697" s="3"/>
      <x:c r="P697" s="3"/>
      <x:c r="Q697" s="3"/>
      <x:c r="R697" s="3"/>
      <x:c r="S697" s="3"/>
      <x:c r="T697" s="3"/>
      <x:c r="U697" s="3"/>
      <x:c r="V697" s="3"/>
      <x:c r="W697" s="3"/>
      <x:c r="X697" s="3"/>
      <x:c r="Y697" s="3"/>
      <x:c r="Z697" s="3"/>
      <x:c r="AA697" s="3"/>
      <x:c r="AB697" s="3"/>
      <x:c r="AC697" s="3"/>
      <x:c r="AD697" s="3"/>
      <x:c r="AE697" s="3"/>
      <x:c r="AF697" s="3"/>
      <x:c r="AG697" s="3"/>
      <x:c r="AH697" s="3"/>
      <x:c r="AI697" s="3"/>
      <x:c r="AJ697" s="3"/>
      <x:c r="AK697" s="3"/>
      <x:c r="AL697" s="3"/>
      <x:c r="AM697" s="3"/>
      <x:c r="AN697" s="3"/>
      <x:c r="AO697" s="3"/>
      <x:c r="AP697" s="3"/>
      <x:c r="AQ697" s="3"/>
      <x:c r="AR697" s="3"/>
      <x:c r="AS697" s="3"/>
      <x:c r="AT697" s="3"/>
      <x:c r="AU697" s="3"/>
      <x:c r="AV697" s="3"/>
      <x:c r="AW697" s="3"/>
      <x:c r="AX697" s="3"/>
      <x:c r="AY697" s="3"/>
      <x:c r="AZ697" s="3" t="str">
        <x:f>IF(AND('中古車掲載'!C698="One2car",'中古車掲載'!F698="ATTO 3",'中古車掲載'!L698="EXTENDED RANGE",'中古車掲載'!J698=2023,ISNUMBER('中古車掲載'!N698),'中古車掲載'!N698&gt;=20000,'中古車掲載'!O698&lt;=100000,'中古車掲載'!AL698=1),'中古車掲載'!U698,"")</x:f>
      </x:c>
      <x:c r="BA697" s="3" t="str">
        <x:f>IF(AND('中古車掲載'!C698="One2car",'中古車掲載'!F698="Corolla Cross",'中古車掲載'!L698="HEV PREMIUM SAFETY",'中古車掲載'!J698=2023,ISNUMBER('中古車掲載'!N698),'中古車掲載'!N698&gt;=20000,'中古車掲載'!O698&lt;=100000,'中古車掲載'!AL698=1,'中古車掲載'!Z698="https://www.one2car.com/en/cars-for-sale/toyota/corolla-cross/year-2023"),'中古車掲載'!U698,"")</x:f>
      </x:c>
      <x:c r="BB697" s="3" t="str">
        <x:f>IF(AND('中古車掲載'!C698="One2car",'中古車掲載'!F698="ATTO 3",'中古車掲載'!L698="EXTENDED RANGE",'中古車掲載'!J698=2023,ISNUMBER('中古車掲載'!N698),'中古車掲載'!N698&gt;=50000,'中古車掲載'!O698&lt;=100000,'中古車掲載'!AL698=1),'中古車掲載'!U698,"")</x:f>
      </x:c>
      <x:c r="BC697" s="3" t="str">
        <x:f>IF(AND('中古車掲載'!C698="One2car",'中古車掲載'!F698="Corolla Cross",'中古車掲載'!L698="HEV PREMIUM SAFETY",'中古車掲載'!J698=2023,ISNUMBER('中古車掲載'!N698),'中古車掲載'!N698&gt;=50000,'中古車掲載'!O698&lt;=100000,'中古車掲載'!AL698=1,'中古車掲載'!Z698="https://www.one2car.com/en/cars-for-sale/toyota/corolla-cross/year-2023"),'中古車掲載'!U698,"")</x:f>
      </x:c>
      <x:c r="BD697" s="3" t="str">
        <x:f>IF(AND('中古車掲載'!C698="One2car",'中古車掲載'!F698="ATTO 3",'中古車掲載'!L698="EXTENDED RANGE",'中古車掲載'!J698=2023,ISNUMBER('中古車掲載'!N698),'中古車掲載'!N698&gt;=20000,'中古車掲載'!O698&lt;=50000,'中古車掲載'!AL698=1),'中古車掲載'!U698,"")</x:f>
      </x:c>
      <x:c r="BE697" s="3" t="str">
        <x:f>IF(AND('中古車掲載'!C698="One2car",'中古車掲載'!F698="Corolla Cross",'中古車掲載'!L698="HEV PREMIUM SAFETY",'中古車掲載'!J698=2023,ISNUMBER('中古車掲載'!N698),'中古車掲載'!N698&gt;=20000,'中古車掲載'!O698&lt;=50000,'中古車掲載'!AL698=1,'中古車掲載'!Z698="https://www.one2car.com/en/cars-for-sale/toyota/corolla-cross/year-2023"),'中古車掲載'!U698,"")</x:f>
      </x:c>
      <x:c r="BF697" s="3" t="str">
        <x:f>IF(AND('中古車掲載'!C698="One2car",'中古車掲載'!F698="Corolla Cross",'中古車掲載'!L698="HEV PREMIUM",'中古車掲載'!J698=2023,ISNUMBER('中古車掲載'!N698),'中古車掲載'!N698&gt;=20000,'中古車掲載'!O698&lt;=100000,'中古車掲載'!AL698=1,'中古車掲載'!Z698="https://www.one2car.com/en/cars-for-sale/toyota/corolla-cross/year-2023"),'中古車掲載'!U698,"")</x:f>
      </x:c>
      <x:c r="BG697" s="3" t="str">
        <x:f>IF(AND('中古車掲載'!C698="One2car",'中古車掲載'!F698="Corolla Cross",'中古車掲載'!L698="HEV GR SPORT",'中古車掲載'!J698=2023,ISNUMBER('中古車掲載'!N698),'中古車掲載'!N698&gt;=20000,'中古車掲載'!O698&lt;=100000,'中古車掲載'!AL698=1,'中古車掲載'!Z698="https://www.one2car.com/en/cars-for-sale/toyota/corolla-cross/year-2023"),'中古車掲載'!U698,"")</x:f>
      </x:c>
      <x:c r="BH697" s="3" t="str">
        <x:f>IF(AND('中古車掲載'!C698="One2car",'中古車掲載'!F698="DOLPHIN",'中古車掲載'!L698="STANDARD RANGE",'中古車掲載'!J698=2023,ISNUMBER('中古車掲載'!N698),'中古車掲載'!N698&gt;=20000,'中古車掲載'!O698&lt;=100000,'中古車掲載'!AL698=1),'中古車掲載'!U698,"")</x:f>
      </x:c>
      <x:c r="BI697" s="3" t="str">
        <x:v>Taladrod|Hilux Revo|ICE|Unknown</x:v>
      </x:c>
      <x:c r="BJ697" s="3" t="n">
        <x:v>698</x:v>
      </x:c>
      <x:c r="BK697" s="3" t="n">
        <x:f>'中古車掲載'!AM698</x:f>
        <x:v>589000</x:v>
      </x:c>
      <x:c r="BL697" s="3" t="str">
        <x:f>IF(ISNUMBER('中古車掲載'!AN698),'中古車掲載'!AN698,"")</x:f>
      </x:c>
      <x:c r="BM697" s="3"/>
      <x:c r="BN697" s="3"/>
      <x:c r="BO697" s="3"/>
      <x:c r="BP697" s="3"/>
      <x:c r="BQ697" s="3"/>
      <x:c r="BR697" s="3"/>
    </x:row>
    <x:row r="698" ht="22" customHeight="1">
      <x:c r="A698" s="3"/>
      <x:c r="B698" s="3"/>
      <x:c r="C698" s="3"/>
      <x:c r="D698" s="3"/>
      <x:c r="E698" s="3"/>
      <x:c r="F698" s="3"/>
      <x:c r="G698" s="3"/>
      <x:c r="H698" s="3"/>
      <x:c r="I698" s="3"/>
      <x:c r="J698" s="3"/>
      <x:c r="K698" s="3"/>
      <x:c r="L698" s="3"/>
      <x:c r="M698" s="3"/>
      <x:c r="N698" s="3"/>
      <x:c r="O698" s="3"/>
      <x:c r="P698" s="3"/>
      <x:c r="Q698" s="3"/>
      <x:c r="R698" s="3"/>
      <x:c r="S698" s="3"/>
      <x:c r="T698" s="3"/>
      <x:c r="U698" s="3"/>
      <x:c r="V698" s="3"/>
      <x:c r="W698" s="3"/>
      <x:c r="X698" s="3"/>
      <x:c r="Y698" s="3"/>
      <x:c r="Z698" s="3"/>
      <x:c r="AA698" s="3"/>
      <x:c r="AB698" s="3"/>
      <x:c r="AC698" s="3"/>
      <x:c r="AD698" s="3"/>
      <x:c r="AE698" s="3"/>
      <x:c r="AF698" s="3"/>
      <x:c r="AG698" s="3"/>
      <x:c r="AH698" s="3"/>
      <x:c r="AI698" s="3"/>
      <x:c r="AJ698" s="3"/>
      <x:c r="AK698" s="3"/>
      <x:c r="AL698" s="3"/>
      <x:c r="AM698" s="3"/>
      <x:c r="AN698" s="3"/>
      <x:c r="AO698" s="3"/>
      <x:c r="AP698" s="3"/>
      <x:c r="AQ698" s="3"/>
      <x:c r="AR698" s="3"/>
      <x:c r="AS698" s="3"/>
      <x:c r="AT698" s="3"/>
      <x:c r="AU698" s="3"/>
      <x:c r="AV698" s="3"/>
      <x:c r="AW698" s="3"/>
      <x:c r="AX698" s="3"/>
      <x:c r="AY698" s="3"/>
      <x:c r="AZ698" s="3" t="str">
        <x:f>IF(AND('中古車掲載'!C699="One2car",'中古車掲載'!F699="ATTO 3",'中古車掲載'!L699="EXTENDED RANGE",'中古車掲載'!J699=2023,ISNUMBER('中古車掲載'!N699),'中古車掲載'!N699&gt;=20000,'中古車掲載'!O699&lt;=100000,'中古車掲載'!AL699=1),'中古車掲載'!U699,"")</x:f>
      </x:c>
      <x:c r="BA698" s="3" t="str">
        <x:f>IF(AND('中古車掲載'!C699="One2car",'中古車掲載'!F699="Corolla Cross",'中古車掲載'!L699="HEV PREMIUM SAFETY",'中古車掲載'!J699=2023,ISNUMBER('中古車掲載'!N699),'中古車掲載'!N699&gt;=20000,'中古車掲載'!O699&lt;=100000,'中古車掲載'!AL699=1,'中古車掲載'!Z699="https://www.one2car.com/en/cars-for-sale/toyota/corolla-cross/year-2023"),'中古車掲載'!U699,"")</x:f>
      </x:c>
      <x:c r="BB698" s="3" t="str">
        <x:f>IF(AND('中古車掲載'!C699="One2car",'中古車掲載'!F699="ATTO 3",'中古車掲載'!L699="EXTENDED RANGE",'中古車掲載'!J699=2023,ISNUMBER('中古車掲載'!N699),'中古車掲載'!N699&gt;=50000,'中古車掲載'!O699&lt;=100000,'中古車掲載'!AL699=1),'中古車掲載'!U699,"")</x:f>
      </x:c>
      <x:c r="BC698" s="3" t="str">
        <x:f>IF(AND('中古車掲載'!C699="One2car",'中古車掲載'!F699="Corolla Cross",'中古車掲載'!L699="HEV PREMIUM SAFETY",'中古車掲載'!J699=2023,ISNUMBER('中古車掲載'!N699),'中古車掲載'!N699&gt;=50000,'中古車掲載'!O699&lt;=100000,'中古車掲載'!AL699=1,'中古車掲載'!Z699="https://www.one2car.com/en/cars-for-sale/toyota/corolla-cross/year-2023"),'中古車掲載'!U699,"")</x:f>
      </x:c>
      <x:c r="BD698" s="3" t="str">
        <x:f>IF(AND('中古車掲載'!C699="One2car",'中古車掲載'!F699="ATTO 3",'中古車掲載'!L699="EXTENDED RANGE",'中古車掲載'!J699=2023,ISNUMBER('中古車掲載'!N699),'中古車掲載'!N699&gt;=20000,'中古車掲載'!O699&lt;=50000,'中古車掲載'!AL699=1),'中古車掲載'!U699,"")</x:f>
      </x:c>
      <x:c r="BE698" s="3" t="str">
        <x:f>IF(AND('中古車掲載'!C699="One2car",'中古車掲載'!F699="Corolla Cross",'中古車掲載'!L699="HEV PREMIUM SAFETY",'中古車掲載'!J699=2023,ISNUMBER('中古車掲載'!N699),'中古車掲載'!N699&gt;=20000,'中古車掲載'!O699&lt;=50000,'中古車掲載'!AL699=1,'中古車掲載'!Z699="https://www.one2car.com/en/cars-for-sale/toyota/corolla-cross/year-2023"),'中古車掲載'!U699,"")</x:f>
      </x:c>
      <x:c r="BF698" s="3" t="str">
        <x:f>IF(AND('中古車掲載'!C699="One2car",'中古車掲載'!F699="Corolla Cross",'中古車掲載'!L699="HEV PREMIUM",'中古車掲載'!J699=2023,ISNUMBER('中古車掲載'!N699),'中古車掲載'!N699&gt;=20000,'中古車掲載'!O699&lt;=100000,'中古車掲載'!AL699=1,'中古車掲載'!Z699="https://www.one2car.com/en/cars-for-sale/toyota/corolla-cross/year-2023"),'中古車掲載'!U699,"")</x:f>
      </x:c>
      <x:c r="BG698" s="3" t="str">
        <x:f>IF(AND('中古車掲載'!C699="One2car",'中古車掲載'!F699="Corolla Cross",'中古車掲載'!L699="HEV GR SPORT",'中古車掲載'!J699=2023,ISNUMBER('中古車掲載'!N699),'中古車掲載'!N699&gt;=20000,'中古車掲載'!O699&lt;=100000,'中古車掲載'!AL699=1,'中古車掲載'!Z699="https://www.one2car.com/en/cars-for-sale/toyota/corolla-cross/year-2023"),'中古車掲載'!U699,"")</x:f>
      </x:c>
      <x:c r="BH698" s="3" t="str">
        <x:f>IF(AND('中古車掲載'!C699="One2car",'中古車掲載'!F699="DOLPHIN",'中古車掲載'!L699="STANDARD RANGE",'中古車掲載'!J699=2023,ISNUMBER('中古車掲載'!N699),'中古車掲載'!N699&gt;=20000,'中古車掲載'!O699&lt;=100000,'中古車掲載'!AL699=1),'中古車掲載'!U699,"")</x:f>
      </x:c>
      <x:c r="BI698" s="3" t="str">
        <x:v>Taladrod|Hilux Revo|ICE|Unknown</x:v>
      </x:c>
      <x:c r="BJ698" s="3" t="n">
        <x:v>699</x:v>
      </x:c>
      <x:c r="BK698" s="3" t="n">
        <x:f>'中古車掲載'!AM699</x:f>
        <x:v>539000</x:v>
      </x:c>
      <x:c r="BL698" s="3" t="str">
        <x:f>IF(ISNUMBER('中古車掲載'!AN699),'中古車掲載'!AN699,"")</x:f>
      </x:c>
      <x:c r="BM698" s="3"/>
      <x:c r="BN698" s="3"/>
      <x:c r="BO698" s="3"/>
      <x:c r="BP698" s="3"/>
      <x:c r="BQ698" s="3"/>
      <x:c r="BR698" s="3"/>
    </x:row>
    <x:row r="699" ht="22" customHeight="1">
      <x:c r="A699" s="3"/>
      <x:c r="B699" s="3"/>
      <x:c r="C699" s="3"/>
      <x:c r="D699" s="3"/>
      <x:c r="E699" s="3"/>
      <x:c r="F699" s="3"/>
      <x:c r="G699" s="3"/>
      <x:c r="H699" s="3"/>
      <x:c r="I699" s="3"/>
      <x:c r="J699" s="3"/>
      <x:c r="K699" s="3"/>
      <x:c r="L699" s="3"/>
      <x:c r="M699" s="3"/>
      <x:c r="N699" s="3"/>
      <x:c r="O699" s="3"/>
      <x:c r="P699" s="3"/>
      <x:c r="Q699" s="3"/>
      <x:c r="R699" s="3"/>
      <x:c r="S699" s="3"/>
      <x:c r="T699" s="3"/>
      <x:c r="U699" s="3"/>
      <x:c r="V699" s="3"/>
      <x:c r="W699" s="3"/>
      <x:c r="X699" s="3"/>
      <x:c r="Y699" s="3"/>
      <x:c r="Z699" s="3"/>
      <x:c r="AA699" s="3"/>
      <x:c r="AB699" s="3"/>
      <x:c r="AC699" s="3"/>
      <x:c r="AD699" s="3"/>
      <x:c r="AE699" s="3"/>
      <x:c r="AF699" s="3"/>
      <x:c r="AG699" s="3"/>
      <x:c r="AH699" s="3"/>
      <x:c r="AI699" s="3"/>
      <x:c r="AJ699" s="3"/>
      <x:c r="AK699" s="3"/>
      <x:c r="AL699" s="3"/>
      <x:c r="AM699" s="3"/>
      <x:c r="AN699" s="3"/>
      <x:c r="AO699" s="3"/>
      <x:c r="AP699" s="3"/>
      <x:c r="AQ699" s="3"/>
      <x:c r="AR699" s="3"/>
      <x:c r="AS699" s="3"/>
      <x:c r="AT699" s="3"/>
      <x:c r="AU699" s="3"/>
      <x:c r="AV699" s="3"/>
      <x:c r="AW699" s="3"/>
      <x:c r="AX699" s="3"/>
      <x:c r="AY699" s="3"/>
      <x:c r="AZ699" s="3" t="str">
        <x:f>IF(AND('中古車掲載'!C700="One2car",'中古車掲載'!F700="ATTO 3",'中古車掲載'!L700="EXTENDED RANGE",'中古車掲載'!J700=2023,ISNUMBER('中古車掲載'!N700),'中古車掲載'!N700&gt;=20000,'中古車掲載'!O700&lt;=100000,'中古車掲載'!AL700=1),'中古車掲載'!U700,"")</x:f>
      </x:c>
      <x:c r="BA699" s="3" t="str">
        <x:f>IF(AND('中古車掲載'!C700="One2car",'中古車掲載'!F700="Corolla Cross",'中古車掲載'!L700="HEV PREMIUM SAFETY",'中古車掲載'!J700=2023,ISNUMBER('中古車掲載'!N700),'中古車掲載'!N700&gt;=20000,'中古車掲載'!O700&lt;=100000,'中古車掲載'!AL700=1,'中古車掲載'!Z700="https://www.one2car.com/en/cars-for-sale/toyota/corolla-cross/year-2023"),'中古車掲載'!U700,"")</x:f>
      </x:c>
      <x:c r="BB699" s="3" t="str">
        <x:f>IF(AND('中古車掲載'!C700="One2car",'中古車掲載'!F700="ATTO 3",'中古車掲載'!L700="EXTENDED RANGE",'中古車掲載'!J700=2023,ISNUMBER('中古車掲載'!N700),'中古車掲載'!N700&gt;=50000,'中古車掲載'!O700&lt;=100000,'中古車掲載'!AL700=1),'中古車掲載'!U700,"")</x:f>
      </x:c>
      <x:c r="BC699" s="3" t="str">
        <x:f>IF(AND('中古車掲載'!C700="One2car",'中古車掲載'!F700="Corolla Cross",'中古車掲載'!L700="HEV PREMIUM SAFETY",'中古車掲載'!J700=2023,ISNUMBER('中古車掲載'!N700),'中古車掲載'!N700&gt;=50000,'中古車掲載'!O700&lt;=100000,'中古車掲載'!AL700=1,'中古車掲載'!Z700="https://www.one2car.com/en/cars-for-sale/toyota/corolla-cross/year-2023"),'中古車掲載'!U700,"")</x:f>
      </x:c>
      <x:c r="BD699" s="3" t="str">
        <x:f>IF(AND('中古車掲載'!C700="One2car",'中古車掲載'!F700="ATTO 3",'中古車掲載'!L700="EXTENDED RANGE",'中古車掲載'!J700=2023,ISNUMBER('中古車掲載'!N700),'中古車掲載'!N700&gt;=20000,'中古車掲載'!O700&lt;=50000,'中古車掲載'!AL700=1),'中古車掲載'!U700,"")</x:f>
      </x:c>
      <x:c r="BE699" s="3" t="str">
        <x:f>IF(AND('中古車掲載'!C700="One2car",'中古車掲載'!F700="Corolla Cross",'中古車掲載'!L700="HEV PREMIUM SAFETY",'中古車掲載'!J700=2023,ISNUMBER('中古車掲載'!N700),'中古車掲載'!N700&gt;=20000,'中古車掲載'!O700&lt;=50000,'中古車掲載'!AL700=1,'中古車掲載'!Z700="https://www.one2car.com/en/cars-for-sale/toyota/corolla-cross/year-2023"),'中古車掲載'!U700,"")</x:f>
      </x:c>
      <x:c r="BF699" s="3" t="str">
        <x:f>IF(AND('中古車掲載'!C700="One2car",'中古車掲載'!F700="Corolla Cross",'中古車掲載'!L700="HEV PREMIUM",'中古車掲載'!J700=2023,ISNUMBER('中古車掲載'!N700),'中古車掲載'!N700&gt;=20000,'中古車掲載'!O700&lt;=100000,'中古車掲載'!AL700=1,'中古車掲載'!Z700="https://www.one2car.com/en/cars-for-sale/toyota/corolla-cross/year-2023"),'中古車掲載'!U700,"")</x:f>
      </x:c>
      <x:c r="BG699" s="3" t="str">
        <x:f>IF(AND('中古車掲載'!C700="One2car",'中古車掲載'!F700="Corolla Cross",'中古車掲載'!L700="HEV GR SPORT",'中古車掲載'!J700=2023,ISNUMBER('中古車掲載'!N700),'中古車掲載'!N700&gt;=20000,'中古車掲載'!O700&lt;=100000,'中古車掲載'!AL700=1,'中古車掲載'!Z700="https://www.one2car.com/en/cars-for-sale/toyota/corolla-cross/year-2023"),'中古車掲載'!U700,"")</x:f>
      </x:c>
      <x:c r="BH699" s="3" t="str">
        <x:f>IF(AND('中古車掲載'!C700="One2car",'中古車掲載'!F700="DOLPHIN",'中古車掲載'!L700="STANDARD RANGE",'中古車掲載'!J700=2023,ISNUMBER('中古車掲載'!N700),'中古車掲載'!N700&gt;=20000,'中古車掲載'!O700&lt;=100000,'中古車掲載'!AL700=1),'中古車掲載'!U700,"")</x:f>
      </x:c>
      <x:c r="BI699" s="3" t="str">
        <x:v>Taladrod|Hilux Revo|ICE|Unknown</x:v>
      </x:c>
      <x:c r="BJ699" s="3" t="n">
        <x:v>700</x:v>
      </x:c>
      <x:c r="BK699" s="3" t="n">
        <x:f>'中古車掲載'!AM700</x:f>
        <x:v>320000</x:v>
      </x:c>
      <x:c r="BL699" s="3" t="str">
        <x:f>IF(ISNUMBER('中古車掲載'!AN700),'中古車掲載'!AN700,"")</x:f>
      </x:c>
      <x:c r="BM699" s="3"/>
      <x:c r="BN699" s="3"/>
      <x:c r="BO699" s="3"/>
      <x:c r="BP699" s="3"/>
      <x:c r="BQ699" s="3"/>
      <x:c r="BR699" s="3"/>
    </x:row>
    <x:row r="700" ht="22" customHeight="1">
      <x:c r="A700" s="3"/>
      <x:c r="B700" s="3"/>
      <x:c r="C700" s="3"/>
      <x:c r="D700" s="3"/>
      <x:c r="E700" s="3"/>
      <x:c r="F700" s="3"/>
      <x:c r="G700" s="3"/>
      <x:c r="H700" s="3"/>
      <x:c r="I700" s="3"/>
      <x:c r="J700" s="3"/>
      <x:c r="K700" s="3"/>
      <x:c r="L700" s="3"/>
      <x:c r="M700" s="3"/>
      <x:c r="N700" s="3"/>
      <x:c r="O700" s="3"/>
      <x:c r="P700" s="3"/>
      <x:c r="Q700" s="3"/>
      <x:c r="R700" s="3"/>
      <x:c r="S700" s="3"/>
      <x:c r="T700" s="3"/>
      <x:c r="U700" s="3"/>
      <x:c r="V700" s="3"/>
      <x:c r="W700" s="3"/>
      <x:c r="X700" s="3"/>
      <x:c r="Y700" s="3"/>
      <x:c r="Z700" s="3"/>
      <x:c r="AA700" s="3"/>
      <x:c r="AB700" s="3"/>
      <x:c r="AC700" s="3"/>
      <x:c r="AD700" s="3"/>
      <x:c r="AE700" s="3"/>
      <x:c r="AF700" s="3"/>
      <x:c r="AG700" s="3"/>
      <x:c r="AH700" s="3"/>
      <x:c r="AI700" s="3"/>
      <x:c r="AJ700" s="3"/>
      <x:c r="AK700" s="3"/>
      <x:c r="AL700" s="3"/>
      <x:c r="AM700" s="3"/>
      <x:c r="AN700" s="3"/>
      <x:c r="AO700" s="3"/>
      <x:c r="AP700" s="3"/>
      <x:c r="AQ700" s="3"/>
      <x:c r="AR700" s="3"/>
      <x:c r="AS700" s="3"/>
      <x:c r="AT700" s="3"/>
      <x:c r="AU700" s="3"/>
      <x:c r="AV700" s="3"/>
      <x:c r="AW700" s="3"/>
      <x:c r="AX700" s="3"/>
      <x:c r="AY700" s="3"/>
      <x:c r="AZ700" s="3" t="str">
        <x:f>IF(AND('中古車掲載'!C701="One2car",'中古車掲載'!F701="ATTO 3",'中古車掲載'!L701="EXTENDED RANGE",'中古車掲載'!J701=2023,ISNUMBER('中古車掲載'!N701),'中古車掲載'!N701&gt;=20000,'中古車掲載'!O701&lt;=100000,'中古車掲載'!AL701=1),'中古車掲載'!U701,"")</x:f>
      </x:c>
      <x:c r="BA700" s="3" t="str">
        <x:f>IF(AND('中古車掲載'!C701="One2car",'中古車掲載'!F701="Corolla Cross",'中古車掲載'!L701="HEV PREMIUM SAFETY",'中古車掲載'!J701=2023,ISNUMBER('中古車掲載'!N701),'中古車掲載'!N701&gt;=20000,'中古車掲載'!O701&lt;=100000,'中古車掲載'!AL701=1,'中古車掲載'!Z701="https://www.one2car.com/en/cars-for-sale/toyota/corolla-cross/year-2023"),'中古車掲載'!U701,"")</x:f>
      </x:c>
      <x:c r="BB700" s="3" t="str">
        <x:f>IF(AND('中古車掲載'!C701="One2car",'中古車掲載'!F701="ATTO 3",'中古車掲載'!L701="EXTENDED RANGE",'中古車掲載'!J701=2023,ISNUMBER('中古車掲載'!N701),'中古車掲載'!N701&gt;=50000,'中古車掲載'!O701&lt;=100000,'中古車掲載'!AL701=1),'中古車掲載'!U701,"")</x:f>
      </x:c>
      <x:c r="BC700" s="3" t="str">
        <x:f>IF(AND('中古車掲載'!C701="One2car",'中古車掲載'!F701="Corolla Cross",'中古車掲載'!L701="HEV PREMIUM SAFETY",'中古車掲載'!J701=2023,ISNUMBER('中古車掲載'!N701),'中古車掲載'!N701&gt;=50000,'中古車掲載'!O701&lt;=100000,'中古車掲載'!AL701=1,'中古車掲載'!Z701="https://www.one2car.com/en/cars-for-sale/toyota/corolla-cross/year-2023"),'中古車掲載'!U701,"")</x:f>
      </x:c>
      <x:c r="BD700" s="3" t="str">
        <x:f>IF(AND('中古車掲載'!C701="One2car",'中古車掲載'!F701="ATTO 3",'中古車掲載'!L701="EXTENDED RANGE",'中古車掲載'!J701=2023,ISNUMBER('中古車掲載'!N701),'中古車掲載'!N701&gt;=20000,'中古車掲載'!O701&lt;=50000,'中古車掲載'!AL701=1),'中古車掲載'!U701,"")</x:f>
      </x:c>
      <x:c r="BE700" s="3" t="str">
        <x:f>IF(AND('中古車掲載'!C701="One2car",'中古車掲載'!F701="Corolla Cross",'中古車掲載'!L701="HEV PREMIUM SAFETY",'中古車掲載'!J701=2023,ISNUMBER('中古車掲載'!N701),'中古車掲載'!N701&gt;=20000,'中古車掲載'!O701&lt;=50000,'中古車掲載'!AL701=1,'中古車掲載'!Z701="https://www.one2car.com/en/cars-for-sale/toyota/corolla-cross/year-2023"),'中古車掲載'!U701,"")</x:f>
      </x:c>
      <x:c r="BF700" s="3" t="str">
        <x:f>IF(AND('中古車掲載'!C701="One2car",'中古車掲載'!F701="Corolla Cross",'中古車掲載'!L701="HEV PREMIUM",'中古車掲載'!J701=2023,ISNUMBER('中古車掲載'!N701),'中古車掲載'!N701&gt;=20000,'中古車掲載'!O701&lt;=100000,'中古車掲載'!AL701=1,'中古車掲載'!Z701="https://www.one2car.com/en/cars-for-sale/toyota/corolla-cross/year-2023"),'中古車掲載'!U701,"")</x:f>
      </x:c>
      <x:c r="BG700" s="3" t="str">
        <x:f>IF(AND('中古車掲載'!C701="One2car",'中古車掲載'!F701="Corolla Cross",'中古車掲載'!L701="HEV GR SPORT",'中古車掲載'!J701=2023,ISNUMBER('中古車掲載'!N701),'中古車掲載'!N701&gt;=20000,'中古車掲載'!O701&lt;=100000,'中古車掲載'!AL701=1,'中古車掲載'!Z701="https://www.one2car.com/en/cars-for-sale/toyota/corolla-cross/year-2023"),'中古車掲載'!U701,"")</x:f>
      </x:c>
      <x:c r="BH700" s="3" t="str">
        <x:f>IF(AND('中古車掲載'!C701="One2car",'中古車掲載'!F701="DOLPHIN",'中古車掲載'!L701="STANDARD RANGE",'中古車掲載'!J701=2023,ISNUMBER('中古車掲載'!N701),'中古車掲載'!N701&gt;=20000,'中古車掲載'!O701&lt;=100000,'中古車掲載'!AL701=1),'中古車掲載'!U701,"")</x:f>
      </x:c>
      <x:c r="BI700" s="3" t="str">
        <x:v>Taladrod|Hilux Revo|ICE|Unknown</x:v>
      </x:c>
      <x:c r="BJ700" s="3" t="n">
        <x:v>701</x:v>
      </x:c>
      <x:c r="BK700" s="3" t="n">
        <x:f>'中古車掲載'!AM701</x:f>
        <x:v>355000</x:v>
      </x:c>
      <x:c r="BL700" s="3" t="str">
        <x:f>IF(ISNUMBER('中古車掲載'!AN701),'中古車掲載'!AN701,"")</x:f>
      </x:c>
      <x:c r="BM700" s="3"/>
      <x:c r="BN700" s="3"/>
      <x:c r="BO700" s="3"/>
      <x:c r="BP700" s="3"/>
      <x:c r="BQ700" s="3"/>
      <x:c r="BR700" s="3"/>
    </x:row>
    <x:row r="701" ht="22" customHeight="1">
      <x:c r="A701" s="3"/>
      <x:c r="B701" s="3"/>
      <x:c r="C701" s="3"/>
      <x:c r="D701" s="3"/>
      <x:c r="E701" s="3"/>
      <x:c r="F701" s="3"/>
      <x:c r="G701" s="3"/>
      <x:c r="H701" s="3"/>
      <x:c r="I701" s="3"/>
      <x:c r="J701" s="3"/>
      <x:c r="K701" s="3"/>
      <x:c r="L701" s="3"/>
      <x:c r="M701" s="3"/>
      <x:c r="N701" s="3"/>
      <x:c r="O701" s="3"/>
      <x:c r="P701" s="3"/>
      <x:c r="Q701" s="3"/>
      <x:c r="R701" s="3"/>
      <x:c r="S701" s="3"/>
      <x:c r="T701" s="3"/>
      <x:c r="U701" s="3"/>
      <x:c r="V701" s="3"/>
      <x:c r="W701" s="3"/>
      <x:c r="X701" s="3"/>
      <x:c r="Y701" s="3"/>
      <x:c r="Z701" s="3"/>
      <x:c r="AA701" s="3"/>
      <x:c r="AB701" s="3"/>
      <x:c r="AC701" s="3"/>
      <x:c r="AD701" s="3"/>
      <x:c r="AE701" s="3"/>
      <x:c r="AF701" s="3"/>
      <x:c r="AG701" s="3"/>
      <x:c r="AH701" s="3"/>
      <x:c r="AI701" s="3"/>
      <x:c r="AJ701" s="3"/>
      <x:c r="AK701" s="3"/>
      <x:c r="AL701" s="3"/>
      <x:c r="AM701" s="3"/>
      <x:c r="AN701" s="3"/>
      <x:c r="AO701" s="3"/>
      <x:c r="AP701" s="3"/>
      <x:c r="AQ701" s="3"/>
      <x:c r="AR701" s="3"/>
      <x:c r="AS701" s="3"/>
      <x:c r="AT701" s="3"/>
      <x:c r="AU701" s="3"/>
      <x:c r="AV701" s="3"/>
      <x:c r="AW701" s="3"/>
      <x:c r="AX701" s="3"/>
      <x:c r="AY701" s="3"/>
      <x:c r="AZ701" s="3" t="str">
        <x:f>IF(AND('中古車掲載'!C702="One2car",'中古車掲載'!F702="ATTO 3",'中古車掲載'!L702="EXTENDED RANGE",'中古車掲載'!J702=2023,ISNUMBER('中古車掲載'!N702),'中古車掲載'!N702&gt;=20000,'中古車掲載'!O702&lt;=100000,'中古車掲載'!AL702=1),'中古車掲載'!U702,"")</x:f>
      </x:c>
      <x:c r="BA701" s="3" t="str">
        <x:f>IF(AND('中古車掲載'!C702="One2car",'中古車掲載'!F702="Corolla Cross",'中古車掲載'!L702="HEV PREMIUM SAFETY",'中古車掲載'!J702=2023,ISNUMBER('中古車掲載'!N702),'中古車掲載'!N702&gt;=20000,'中古車掲載'!O702&lt;=100000,'中古車掲載'!AL702=1,'中古車掲載'!Z702="https://www.one2car.com/en/cars-for-sale/toyota/corolla-cross/year-2023"),'中古車掲載'!U702,"")</x:f>
      </x:c>
      <x:c r="BB701" s="3" t="str">
        <x:f>IF(AND('中古車掲載'!C702="One2car",'中古車掲載'!F702="ATTO 3",'中古車掲載'!L702="EXTENDED RANGE",'中古車掲載'!J702=2023,ISNUMBER('中古車掲載'!N702),'中古車掲載'!N702&gt;=50000,'中古車掲載'!O702&lt;=100000,'中古車掲載'!AL702=1),'中古車掲載'!U702,"")</x:f>
      </x:c>
      <x:c r="BC701" s="3" t="str">
        <x:f>IF(AND('中古車掲載'!C702="One2car",'中古車掲載'!F702="Corolla Cross",'中古車掲載'!L702="HEV PREMIUM SAFETY",'中古車掲載'!J702=2023,ISNUMBER('中古車掲載'!N702),'中古車掲載'!N702&gt;=50000,'中古車掲載'!O702&lt;=100000,'中古車掲載'!AL702=1,'中古車掲載'!Z702="https://www.one2car.com/en/cars-for-sale/toyota/corolla-cross/year-2023"),'中古車掲載'!U702,"")</x:f>
      </x:c>
      <x:c r="BD701" s="3" t="str">
        <x:f>IF(AND('中古車掲載'!C702="One2car",'中古車掲載'!F702="ATTO 3",'中古車掲載'!L702="EXTENDED RANGE",'中古車掲載'!J702=2023,ISNUMBER('中古車掲載'!N702),'中古車掲載'!N702&gt;=20000,'中古車掲載'!O702&lt;=50000,'中古車掲載'!AL702=1),'中古車掲載'!U702,"")</x:f>
      </x:c>
      <x:c r="BE701" s="3" t="str">
        <x:f>IF(AND('中古車掲載'!C702="One2car",'中古車掲載'!F702="Corolla Cross",'中古車掲載'!L702="HEV PREMIUM SAFETY",'中古車掲載'!J702=2023,ISNUMBER('中古車掲載'!N702),'中古車掲載'!N702&gt;=20000,'中古車掲載'!O702&lt;=50000,'中古車掲載'!AL702=1,'中古車掲載'!Z702="https://www.one2car.com/en/cars-for-sale/toyota/corolla-cross/year-2023"),'中古車掲載'!U702,"")</x:f>
      </x:c>
      <x:c r="BF701" s="3" t="str">
        <x:f>IF(AND('中古車掲載'!C702="One2car",'中古車掲載'!F702="Corolla Cross",'中古車掲載'!L702="HEV PREMIUM",'中古車掲載'!J702=2023,ISNUMBER('中古車掲載'!N702),'中古車掲載'!N702&gt;=20000,'中古車掲載'!O702&lt;=100000,'中古車掲載'!AL702=1,'中古車掲載'!Z702="https://www.one2car.com/en/cars-for-sale/toyota/corolla-cross/year-2023"),'中古車掲載'!U702,"")</x:f>
      </x:c>
      <x:c r="BG701" s="3" t="str">
        <x:f>IF(AND('中古車掲載'!C702="One2car",'中古車掲載'!F702="Corolla Cross",'中古車掲載'!L702="HEV GR SPORT",'中古車掲載'!J702=2023,ISNUMBER('中古車掲載'!N702),'中古車掲載'!N702&gt;=20000,'中古車掲載'!O702&lt;=100000,'中古車掲載'!AL702=1,'中古車掲載'!Z702="https://www.one2car.com/en/cars-for-sale/toyota/corolla-cross/year-2023"),'中古車掲載'!U702,"")</x:f>
      </x:c>
      <x:c r="BH701" s="3" t="str">
        <x:f>IF(AND('中古車掲載'!C702="One2car",'中古車掲載'!F702="DOLPHIN",'中古車掲載'!L702="STANDARD RANGE",'中古車掲載'!J702=2023,ISNUMBER('中古車掲載'!N702),'中古車掲載'!N702&gt;=20000,'中古車掲載'!O702&lt;=100000,'中古車掲載'!AL702=1),'中古車掲載'!U702,"")</x:f>
      </x:c>
      <x:c r="BI701" s="3" t="str">
        <x:v>Taladrod|Hilux Revo|ICE|Unknown</x:v>
      </x:c>
      <x:c r="BJ701" s="3" t="n">
        <x:v>702</x:v>
      </x:c>
      <x:c r="BK701" s="3" t="n">
        <x:f>'中古車掲載'!AM702</x:f>
        <x:v>330000</x:v>
      </x:c>
      <x:c r="BL701" s="3" t="str">
        <x:f>IF(ISNUMBER('中古車掲載'!AN702),'中古車掲載'!AN702,"")</x:f>
      </x:c>
      <x:c r="BM701" s="3"/>
      <x:c r="BN701" s="3"/>
      <x:c r="BO701" s="3"/>
      <x:c r="BP701" s="3"/>
      <x:c r="BQ701" s="3"/>
      <x:c r="BR701" s="3"/>
    </x:row>
    <x:row r="702" ht="22" customHeight="1">
      <x:c r="A702" s="3"/>
      <x:c r="B702" s="3"/>
      <x:c r="C702" s="3"/>
      <x:c r="D702" s="3"/>
      <x:c r="E702" s="3"/>
      <x:c r="F702" s="3"/>
      <x:c r="G702" s="3"/>
      <x:c r="H702" s="3"/>
      <x:c r="I702" s="3"/>
      <x:c r="J702" s="3"/>
      <x:c r="K702" s="3"/>
      <x:c r="L702" s="3"/>
      <x:c r="M702" s="3"/>
      <x:c r="N702" s="3"/>
      <x:c r="O702" s="3"/>
      <x:c r="P702" s="3"/>
      <x:c r="Q702" s="3"/>
      <x:c r="R702" s="3"/>
      <x:c r="S702" s="3"/>
      <x:c r="T702" s="3"/>
      <x:c r="U702" s="3"/>
      <x:c r="V702" s="3"/>
      <x:c r="W702" s="3"/>
      <x:c r="X702" s="3"/>
      <x:c r="Y702" s="3"/>
      <x:c r="Z702" s="3"/>
      <x:c r="AA702" s="3"/>
      <x:c r="AB702" s="3"/>
      <x:c r="AC702" s="3"/>
      <x:c r="AD702" s="3"/>
      <x:c r="AE702" s="3"/>
      <x:c r="AF702" s="3"/>
      <x:c r="AG702" s="3"/>
      <x:c r="AH702" s="3"/>
      <x:c r="AI702" s="3"/>
      <x:c r="AJ702" s="3"/>
      <x:c r="AK702" s="3"/>
      <x:c r="AL702" s="3"/>
      <x:c r="AM702" s="3"/>
      <x:c r="AN702" s="3"/>
      <x:c r="AO702" s="3"/>
      <x:c r="AP702" s="3"/>
      <x:c r="AQ702" s="3"/>
      <x:c r="AR702" s="3"/>
      <x:c r="AS702" s="3"/>
      <x:c r="AT702" s="3"/>
      <x:c r="AU702" s="3"/>
      <x:c r="AV702" s="3"/>
      <x:c r="AW702" s="3"/>
      <x:c r="AX702" s="3"/>
      <x:c r="AY702" s="3"/>
      <x:c r="AZ702" s="3" t="str">
        <x:f>IF(AND('中古車掲載'!C703="One2car",'中古車掲載'!F703="ATTO 3",'中古車掲載'!L703="EXTENDED RANGE",'中古車掲載'!J703=2023,ISNUMBER('中古車掲載'!N703),'中古車掲載'!N703&gt;=20000,'中古車掲載'!O703&lt;=100000,'中古車掲載'!AL703=1),'中古車掲載'!U703,"")</x:f>
      </x:c>
      <x:c r="BA702" s="3" t="str">
        <x:f>IF(AND('中古車掲載'!C703="One2car",'中古車掲載'!F703="Corolla Cross",'中古車掲載'!L703="HEV PREMIUM SAFETY",'中古車掲載'!J703=2023,ISNUMBER('中古車掲載'!N703),'中古車掲載'!N703&gt;=20000,'中古車掲載'!O703&lt;=100000,'中古車掲載'!AL703=1,'中古車掲載'!Z703="https://www.one2car.com/en/cars-for-sale/toyota/corolla-cross/year-2023"),'中古車掲載'!U703,"")</x:f>
      </x:c>
      <x:c r="BB702" s="3" t="str">
        <x:f>IF(AND('中古車掲載'!C703="One2car",'中古車掲載'!F703="ATTO 3",'中古車掲載'!L703="EXTENDED RANGE",'中古車掲載'!J703=2023,ISNUMBER('中古車掲載'!N703),'中古車掲載'!N703&gt;=50000,'中古車掲載'!O703&lt;=100000,'中古車掲載'!AL703=1),'中古車掲載'!U703,"")</x:f>
      </x:c>
      <x:c r="BC702" s="3" t="str">
        <x:f>IF(AND('中古車掲載'!C703="One2car",'中古車掲載'!F703="Corolla Cross",'中古車掲載'!L703="HEV PREMIUM SAFETY",'中古車掲載'!J703=2023,ISNUMBER('中古車掲載'!N703),'中古車掲載'!N703&gt;=50000,'中古車掲載'!O703&lt;=100000,'中古車掲載'!AL703=1,'中古車掲載'!Z703="https://www.one2car.com/en/cars-for-sale/toyota/corolla-cross/year-2023"),'中古車掲載'!U703,"")</x:f>
      </x:c>
      <x:c r="BD702" s="3" t="str">
        <x:f>IF(AND('中古車掲載'!C703="One2car",'中古車掲載'!F703="ATTO 3",'中古車掲載'!L703="EXTENDED RANGE",'中古車掲載'!J703=2023,ISNUMBER('中古車掲載'!N703),'中古車掲載'!N703&gt;=20000,'中古車掲載'!O703&lt;=50000,'中古車掲載'!AL703=1),'中古車掲載'!U703,"")</x:f>
      </x:c>
      <x:c r="BE702" s="3" t="str">
        <x:f>IF(AND('中古車掲載'!C703="One2car",'中古車掲載'!F703="Corolla Cross",'中古車掲載'!L703="HEV PREMIUM SAFETY",'中古車掲載'!J703=2023,ISNUMBER('中古車掲載'!N703),'中古車掲載'!N703&gt;=20000,'中古車掲載'!O703&lt;=50000,'中古車掲載'!AL703=1,'中古車掲載'!Z703="https://www.one2car.com/en/cars-for-sale/toyota/corolla-cross/year-2023"),'中古車掲載'!U703,"")</x:f>
      </x:c>
      <x:c r="BF702" s="3" t="str">
        <x:f>IF(AND('中古車掲載'!C703="One2car",'中古車掲載'!F703="Corolla Cross",'中古車掲載'!L703="HEV PREMIUM",'中古車掲載'!J703=2023,ISNUMBER('中古車掲載'!N703),'中古車掲載'!N703&gt;=20000,'中古車掲載'!O703&lt;=100000,'中古車掲載'!AL703=1,'中古車掲載'!Z703="https://www.one2car.com/en/cars-for-sale/toyota/corolla-cross/year-2023"),'中古車掲載'!U703,"")</x:f>
      </x:c>
      <x:c r="BG702" s="3" t="str">
        <x:f>IF(AND('中古車掲載'!C703="One2car",'中古車掲載'!F703="Corolla Cross",'中古車掲載'!L703="HEV GR SPORT",'中古車掲載'!J703=2023,ISNUMBER('中古車掲載'!N703),'中古車掲載'!N703&gt;=20000,'中古車掲載'!O703&lt;=100000,'中古車掲載'!AL703=1,'中古車掲載'!Z703="https://www.one2car.com/en/cars-for-sale/toyota/corolla-cross/year-2023"),'中古車掲載'!U703,"")</x:f>
      </x:c>
      <x:c r="BH702" s="3" t="str">
        <x:f>IF(AND('中古車掲載'!C703="One2car",'中古車掲載'!F703="DOLPHIN",'中古車掲載'!L703="STANDARD RANGE",'中古車掲載'!J703=2023,ISNUMBER('中古車掲載'!N703),'中古車掲載'!N703&gt;=20000,'中古車掲載'!O703&lt;=100000,'中古車掲載'!AL703=1),'中古車掲載'!U703,"")</x:f>
      </x:c>
      <x:c r="BI702" s="3" t="str">
        <x:v>Taladrod|Hilux Revo|ICE|Unknown</x:v>
      </x:c>
      <x:c r="BJ702" s="3" t="n">
        <x:v>703</x:v>
      </x:c>
      <x:c r="BK702" s="3" t="n">
        <x:f>'中古車掲載'!AM703</x:f>
        <x:v>539000</x:v>
      </x:c>
      <x:c r="BL702" s="3" t="str">
        <x:f>IF(ISNUMBER('中古車掲載'!AN703),'中古車掲載'!AN703,"")</x:f>
      </x:c>
      <x:c r="BM702" s="3"/>
      <x:c r="BN702" s="3"/>
      <x:c r="BO702" s="3"/>
      <x:c r="BP702" s="3"/>
      <x:c r="BQ702" s="3"/>
      <x:c r="BR702" s="3"/>
    </x:row>
    <x:row r="703" ht="22" customHeight="1">
      <x:c r="A703" s="3"/>
      <x:c r="B703" s="3"/>
      <x:c r="C703" s="3"/>
      <x:c r="D703" s="3"/>
      <x:c r="E703" s="3"/>
      <x:c r="F703" s="3"/>
      <x:c r="G703" s="3"/>
      <x:c r="H703" s="3"/>
      <x:c r="I703" s="3"/>
      <x:c r="J703" s="3"/>
      <x:c r="K703" s="3"/>
      <x:c r="L703" s="3"/>
      <x:c r="M703" s="3"/>
      <x:c r="N703" s="3"/>
      <x:c r="O703" s="3"/>
      <x:c r="P703" s="3"/>
      <x:c r="Q703" s="3"/>
      <x:c r="R703" s="3"/>
      <x:c r="S703" s="3"/>
      <x:c r="T703" s="3"/>
      <x:c r="U703" s="3"/>
      <x:c r="V703" s="3"/>
      <x:c r="W703" s="3"/>
      <x:c r="X703" s="3"/>
      <x:c r="Y703" s="3"/>
      <x:c r="Z703" s="3"/>
      <x:c r="AA703" s="3"/>
      <x:c r="AB703" s="3"/>
      <x:c r="AC703" s="3"/>
      <x:c r="AD703" s="3"/>
      <x:c r="AE703" s="3"/>
      <x:c r="AF703" s="3"/>
      <x:c r="AG703" s="3"/>
      <x:c r="AH703" s="3"/>
      <x:c r="AI703" s="3"/>
      <x:c r="AJ703" s="3"/>
      <x:c r="AK703" s="3"/>
      <x:c r="AL703" s="3"/>
      <x:c r="AM703" s="3"/>
      <x:c r="AN703" s="3"/>
      <x:c r="AO703" s="3"/>
      <x:c r="AP703" s="3"/>
      <x:c r="AQ703" s="3"/>
      <x:c r="AR703" s="3"/>
      <x:c r="AS703" s="3"/>
      <x:c r="AT703" s="3"/>
      <x:c r="AU703" s="3"/>
      <x:c r="AV703" s="3"/>
      <x:c r="AW703" s="3"/>
      <x:c r="AX703" s="3"/>
      <x:c r="AY703" s="3"/>
      <x:c r="AZ703" s="3" t="str">
        <x:f>IF(AND('中古車掲載'!C704="One2car",'中古車掲載'!F704="ATTO 3",'中古車掲載'!L704="EXTENDED RANGE",'中古車掲載'!J704=2023,ISNUMBER('中古車掲載'!N704),'中古車掲載'!N704&gt;=20000,'中古車掲載'!O704&lt;=100000,'中古車掲載'!AL704=1),'中古車掲載'!U704,"")</x:f>
      </x:c>
      <x:c r="BA703" s="3" t="str">
        <x:f>IF(AND('中古車掲載'!C704="One2car",'中古車掲載'!F704="Corolla Cross",'中古車掲載'!L704="HEV PREMIUM SAFETY",'中古車掲載'!J704=2023,ISNUMBER('中古車掲載'!N704),'中古車掲載'!N704&gt;=20000,'中古車掲載'!O704&lt;=100000,'中古車掲載'!AL704=1,'中古車掲載'!Z704="https://www.one2car.com/en/cars-for-sale/toyota/corolla-cross/year-2023"),'中古車掲載'!U704,"")</x:f>
      </x:c>
      <x:c r="BB703" s="3" t="str">
        <x:f>IF(AND('中古車掲載'!C704="One2car",'中古車掲載'!F704="ATTO 3",'中古車掲載'!L704="EXTENDED RANGE",'中古車掲載'!J704=2023,ISNUMBER('中古車掲載'!N704),'中古車掲載'!N704&gt;=50000,'中古車掲載'!O704&lt;=100000,'中古車掲載'!AL704=1),'中古車掲載'!U704,"")</x:f>
      </x:c>
      <x:c r="BC703" s="3" t="str">
        <x:f>IF(AND('中古車掲載'!C704="One2car",'中古車掲載'!F704="Corolla Cross",'中古車掲載'!L704="HEV PREMIUM SAFETY",'中古車掲載'!J704=2023,ISNUMBER('中古車掲載'!N704),'中古車掲載'!N704&gt;=50000,'中古車掲載'!O704&lt;=100000,'中古車掲載'!AL704=1,'中古車掲載'!Z704="https://www.one2car.com/en/cars-for-sale/toyota/corolla-cross/year-2023"),'中古車掲載'!U704,"")</x:f>
      </x:c>
      <x:c r="BD703" s="3" t="str">
        <x:f>IF(AND('中古車掲載'!C704="One2car",'中古車掲載'!F704="ATTO 3",'中古車掲載'!L704="EXTENDED RANGE",'中古車掲載'!J704=2023,ISNUMBER('中古車掲載'!N704),'中古車掲載'!N704&gt;=20000,'中古車掲載'!O704&lt;=50000,'中古車掲載'!AL704=1),'中古車掲載'!U704,"")</x:f>
      </x:c>
      <x:c r="BE703" s="3" t="str">
        <x:f>IF(AND('中古車掲載'!C704="One2car",'中古車掲載'!F704="Corolla Cross",'中古車掲載'!L704="HEV PREMIUM SAFETY",'中古車掲載'!J704=2023,ISNUMBER('中古車掲載'!N704),'中古車掲載'!N704&gt;=20000,'中古車掲載'!O704&lt;=50000,'中古車掲載'!AL704=1,'中古車掲載'!Z704="https://www.one2car.com/en/cars-for-sale/toyota/corolla-cross/year-2023"),'中古車掲載'!U704,"")</x:f>
      </x:c>
      <x:c r="BF703" s="3" t="str">
        <x:f>IF(AND('中古車掲載'!C704="One2car",'中古車掲載'!F704="Corolla Cross",'中古車掲載'!L704="HEV PREMIUM",'中古車掲載'!J704=2023,ISNUMBER('中古車掲載'!N704),'中古車掲載'!N704&gt;=20000,'中古車掲載'!O704&lt;=100000,'中古車掲載'!AL704=1,'中古車掲載'!Z704="https://www.one2car.com/en/cars-for-sale/toyota/corolla-cross/year-2023"),'中古車掲載'!U704,"")</x:f>
      </x:c>
      <x:c r="BG703" s="3" t="str">
        <x:f>IF(AND('中古車掲載'!C704="One2car",'中古車掲載'!F704="Corolla Cross",'中古車掲載'!L704="HEV GR SPORT",'中古車掲載'!J704=2023,ISNUMBER('中古車掲載'!N704),'中古車掲載'!N704&gt;=20000,'中古車掲載'!O704&lt;=100000,'中古車掲載'!AL704=1,'中古車掲載'!Z704="https://www.one2car.com/en/cars-for-sale/toyota/corolla-cross/year-2023"),'中古車掲載'!U704,"")</x:f>
      </x:c>
      <x:c r="BH703" s="3" t="str">
        <x:f>IF(AND('中古車掲載'!C704="One2car",'中古車掲載'!F704="DOLPHIN",'中古車掲載'!L704="STANDARD RANGE",'中古車掲載'!J704=2023,ISNUMBER('中古車掲載'!N704),'中古車掲載'!N704&gt;=20000,'中古車掲載'!O704&lt;=100000,'中古車掲載'!AL704=1),'中古車掲載'!U704,"")</x:f>
      </x:c>
      <x:c r="BI703" s="3" t="str">
        <x:v>Taladrod|Hilux Revo|ICE|Unknown</x:v>
      </x:c>
      <x:c r="BJ703" s="3" t="n">
        <x:v>704</x:v>
      </x:c>
      <x:c r="BK703" s="3" t="n">
        <x:f>'中古車掲載'!AM704</x:f>
        <x:v>504000</x:v>
      </x:c>
      <x:c r="BL703" s="3" t="str">
        <x:f>IF(ISNUMBER('中古車掲載'!AN704),'中古車掲載'!AN704,"")</x:f>
      </x:c>
      <x:c r="BM703" s="3"/>
      <x:c r="BN703" s="3"/>
      <x:c r="BO703" s="3"/>
      <x:c r="BP703" s="3"/>
      <x:c r="BQ703" s="3"/>
      <x:c r="BR703" s="3"/>
    </x:row>
    <x:row r="704" ht="22" customHeight="1">
      <x:c r="A704" s="3"/>
      <x:c r="B704" s="3"/>
      <x:c r="C704" s="3"/>
      <x:c r="D704" s="3"/>
      <x:c r="E704" s="3"/>
      <x:c r="F704" s="3"/>
      <x:c r="G704" s="3"/>
      <x:c r="H704" s="3"/>
      <x:c r="I704" s="3"/>
      <x:c r="J704" s="3"/>
      <x:c r="K704" s="3"/>
      <x:c r="L704" s="3"/>
      <x:c r="M704" s="3"/>
      <x:c r="N704" s="3"/>
      <x:c r="O704" s="3"/>
      <x:c r="P704" s="3"/>
      <x:c r="Q704" s="3"/>
      <x:c r="R704" s="3"/>
      <x:c r="S704" s="3"/>
      <x:c r="T704" s="3"/>
      <x:c r="U704" s="3"/>
      <x:c r="V704" s="3"/>
      <x:c r="W704" s="3"/>
      <x:c r="X704" s="3"/>
      <x:c r="Y704" s="3"/>
      <x:c r="Z704" s="3"/>
      <x:c r="AA704" s="3"/>
      <x:c r="AB704" s="3"/>
      <x:c r="AC704" s="3"/>
      <x:c r="AD704" s="3"/>
      <x:c r="AE704" s="3"/>
      <x:c r="AF704" s="3"/>
      <x:c r="AG704" s="3"/>
      <x:c r="AH704" s="3"/>
      <x:c r="AI704" s="3"/>
      <x:c r="AJ704" s="3"/>
      <x:c r="AK704" s="3"/>
      <x:c r="AL704" s="3"/>
      <x:c r="AM704" s="3"/>
      <x:c r="AN704" s="3"/>
      <x:c r="AO704" s="3"/>
      <x:c r="AP704" s="3"/>
      <x:c r="AQ704" s="3"/>
      <x:c r="AR704" s="3"/>
      <x:c r="AS704" s="3"/>
      <x:c r="AT704" s="3"/>
      <x:c r="AU704" s="3"/>
      <x:c r="AV704" s="3"/>
      <x:c r="AW704" s="3"/>
      <x:c r="AX704" s="3"/>
      <x:c r="AY704" s="3"/>
      <x:c r="AZ704" s="3" t="str">
        <x:f>IF(AND('中古車掲載'!C705="One2car",'中古車掲載'!F705="ATTO 3",'中古車掲載'!L705="EXTENDED RANGE",'中古車掲載'!J705=2023,ISNUMBER('中古車掲載'!N705),'中古車掲載'!N705&gt;=20000,'中古車掲載'!O705&lt;=100000,'中古車掲載'!AL705=1),'中古車掲載'!U705,"")</x:f>
      </x:c>
      <x:c r="BA704" s="3" t="str">
        <x:f>IF(AND('中古車掲載'!C705="One2car",'中古車掲載'!F705="Corolla Cross",'中古車掲載'!L705="HEV PREMIUM SAFETY",'中古車掲載'!J705=2023,ISNUMBER('中古車掲載'!N705),'中古車掲載'!N705&gt;=20000,'中古車掲載'!O705&lt;=100000,'中古車掲載'!AL705=1,'中古車掲載'!Z705="https://www.one2car.com/en/cars-for-sale/toyota/corolla-cross/year-2023"),'中古車掲載'!U705,"")</x:f>
      </x:c>
      <x:c r="BB704" s="3" t="str">
        <x:f>IF(AND('中古車掲載'!C705="One2car",'中古車掲載'!F705="ATTO 3",'中古車掲載'!L705="EXTENDED RANGE",'中古車掲載'!J705=2023,ISNUMBER('中古車掲載'!N705),'中古車掲載'!N705&gt;=50000,'中古車掲載'!O705&lt;=100000,'中古車掲載'!AL705=1),'中古車掲載'!U705,"")</x:f>
      </x:c>
      <x:c r="BC704" s="3" t="str">
        <x:f>IF(AND('中古車掲載'!C705="One2car",'中古車掲載'!F705="Corolla Cross",'中古車掲載'!L705="HEV PREMIUM SAFETY",'中古車掲載'!J705=2023,ISNUMBER('中古車掲載'!N705),'中古車掲載'!N705&gt;=50000,'中古車掲載'!O705&lt;=100000,'中古車掲載'!AL705=1,'中古車掲載'!Z705="https://www.one2car.com/en/cars-for-sale/toyota/corolla-cross/year-2023"),'中古車掲載'!U705,"")</x:f>
      </x:c>
      <x:c r="BD704" s="3" t="str">
        <x:f>IF(AND('中古車掲載'!C705="One2car",'中古車掲載'!F705="ATTO 3",'中古車掲載'!L705="EXTENDED RANGE",'中古車掲載'!J705=2023,ISNUMBER('中古車掲載'!N705),'中古車掲載'!N705&gt;=20000,'中古車掲載'!O705&lt;=50000,'中古車掲載'!AL705=1),'中古車掲載'!U705,"")</x:f>
      </x:c>
      <x:c r="BE704" s="3" t="str">
        <x:f>IF(AND('中古車掲載'!C705="One2car",'中古車掲載'!F705="Corolla Cross",'中古車掲載'!L705="HEV PREMIUM SAFETY",'中古車掲載'!J705=2023,ISNUMBER('中古車掲載'!N705),'中古車掲載'!N705&gt;=20000,'中古車掲載'!O705&lt;=50000,'中古車掲載'!AL705=1,'中古車掲載'!Z705="https://www.one2car.com/en/cars-for-sale/toyota/corolla-cross/year-2023"),'中古車掲載'!U705,"")</x:f>
      </x:c>
      <x:c r="BF704" s="3" t="str">
        <x:f>IF(AND('中古車掲載'!C705="One2car",'中古車掲載'!F705="Corolla Cross",'中古車掲載'!L705="HEV PREMIUM",'中古車掲載'!J705=2023,ISNUMBER('中古車掲載'!N705),'中古車掲載'!N705&gt;=20000,'中古車掲載'!O705&lt;=100000,'中古車掲載'!AL705=1,'中古車掲載'!Z705="https://www.one2car.com/en/cars-for-sale/toyota/corolla-cross/year-2023"),'中古車掲載'!U705,"")</x:f>
      </x:c>
      <x:c r="BG704" s="3" t="str">
        <x:f>IF(AND('中古車掲載'!C705="One2car",'中古車掲載'!F705="Corolla Cross",'中古車掲載'!L705="HEV GR SPORT",'中古車掲載'!J705=2023,ISNUMBER('中古車掲載'!N705),'中古車掲載'!N705&gt;=20000,'中古車掲載'!O705&lt;=100000,'中古車掲載'!AL705=1,'中古車掲載'!Z705="https://www.one2car.com/en/cars-for-sale/toyota/corolla-cross/year-2023"),'中古車掲載'!U705,"")</x:f>
      </x:c>
      <x:c r="BH704" s="3" t="str">
        <x:f>IF(AND('中古車掲載'!C705="One2car",'中古車掲載'!F705="DOLPHIN",'中古車掲載'!L705="STANDARD RANGE",'中古車掲載'!J705=2023,ISNUMBER('中古車掲載'!N705),'中古車掲載'!N705&gt;=20000,'中古車掲載'!O705&lt;=100000,'中古車掲載'!AL705=1),'中古車掲載'!U705,"")</x:f>
      </x:c>
      <x:c r="BI704" s="3" t="str">
        <x:v>Taladrod|Hilux Revo|ICE|Unknown</x:v>
      </x:c>
      <x:c r="BJ704" s="3" t="n">
        <x:v>705</x:v>
      </x:c>
      <x:c r="BK704" s="3" t="n">
        <x:f>'中古車掲載'!AM705</x:f>
        <x:v>549000</x:v>
      </x:c>
      <x:c r="BL704" s="3" t="str">
        <x:f>IF(ISNUMBER('中古車掲載'!AN705),'中古車掲載'!AN705,"")</x:f>
      </x:c>
      <x:c r="BM704" s="3"/>
      <x:c r="BN704" s="3"/>
      <x:c r="BO704" s="3"/>
      <x:c r="BP704" s="3"/>
      <x:c r="BQ704" s="3"/>
      <x:c r="BR704" s="3"/>
    </x:row>
    <x:row r="705" ht="22" customHeight="1">
      <x:c r="A705" s="3"/>
      <x:c r="B705" s="3"/>
      <x:c r="C705" s="3"/>
      <x:c r="D705" s="3"/>
      <x:c r="E705" s="3"/>
      <x:c r="F705" s="3"/>
      <x:c r="G705" s="3"/>
      <x:c r="H705" s="3"/>
      <x:c r="I705" s="3"/>
      <x:c r="J705" s="3"/>
      <x:c r="K705" s="3"/>
      <x:c r="L705" s="3"/>
      <x:c r="M705" s="3"/>
      <x:c r="N705" s="3"/>
      <x:c r="O705" s="3"/>
      <x:c r="P705" s="3"/>
      <x:c r="Q705" s="3"/>
      <x:c r="R705" s="3"/>
      <x:c r="S705" s="3"/>
      <x:c r="T705" s="3"/>
      <x:c r="U705" s="3"/>
      <x:c r="V705" s="3"/>
      <x:c r="W705" s="3"/>
      <x:c r="X705" s="3"/>
      <x:c r="Y705" s="3"/>
      <x:c r="Z705" s="3"/>
      <x:c r="AA705" s="3"/>
      <x:c r="AB705" s="3"/>
      <x:c r="AC705" s="3"/>
      <x:c r="AD705" s="3"/>
      <x:c r="AE705" s="3"/>
      <x:c r="AF705" s="3"/>
      <x:c r="AG705" s="3"/>
      <x:c r="AH705" s="3"/>
      <x:c r="AI705" s="3"/>
      <x:c r="AJ705" s="3"/>
      <x:c r="AK705" s="3"/>
      <x:c r="AL705" s="3"/>
      <x:c r="AM705" s="3"/>
      <x:c r="AN705" s="3"/>
      <x:c r="AO705" s="3"/>
      <x:c r="AP705" s="3"/>
      <x:c r="AQ705" s="3"/>
      <x:c r="AR705" s="3"/>
      <x:c r="AS705" s="3"/>
      <x:c r="AT705" s="3"/>
      <x:c r="AU705" s="3"/>
      <x:c r="AV705" s="3"/>
      <x:c r="AW705" s="3"/>
      <x:c r="AX705" s="3"/>
      <x:c r="AY705" s="3"/>
      <x:c r="AZ705" s="3" t="str">
        <x:f>IF(AND('中古車掲載'!C706="One2car",'中古車掲載'!F706="ATTO 3",'中古車掲載'!L706="EXTENDED RANGE",'中古車掲載'!J706=2023,ISNUMBER('中古車掲載'!N706),'中古車掲載'!N706&gt;=20000,'中古車掲載'!O706&lt;=100000,'中古車掲載'!AL706=1),'中古車掲載'!U706,"")</x:f>
      </x:c>
      <x:c r="BA705" s="3" t="str">
        <x:f>IF(AND('中古車掲載'!C706="One2car",'中古車掲載'!F706="Corolla Cross",'中古車掲載'!L706="HEV PREMIUM SAFETY",'中古車掲載'!J706=2023,ISNUMBER('中古車掲載'!N706),'中古車掲載'!N706&gt;=20000,'中古車掲載'!O706&lt;=100000,'中古車掲載'!AL706=1,'中古車掲載'!Z706="https://www.one2car.com/en/cars-for-sale/toyota/corolla-cross/year-2023"),'中古車掲載'!U706,"")</x:f>
      </x:c>
      <x:c r="BB705" s="3" t="str">
        <x:f>IF(AND('中古車掲載'!C706="One2car",'中古車掲載'!F706="ATTO 3",'中古車掲載'!L706="EXTENDED RANGE",'中古車掲載'!J706=2023,ISNUMBER('中古車掲載'!N706),'中古車掲載'!N706&gt;=50000,'中古車掲載'!O706&lt;=100000,'中古車掲載'!AL706=1),'中古車掲載'!U706,"")</x:f>
      </x:c>
      <x:c r="BC705" s="3" t="str">
        <x:f>IF(AND('中古車掲載'!C706="One2car",'中古車掲載'!F706="Corolla Cross",'中古車掲載'!L706="HEV PREMIUM SAFETY",'中古車掲載'!J706=2023,ISNUMBER('中古車掲載'!N706),'中古車掲載'!N706&gt;=50000,'中古車掲載'!O706&lt;=100000,'中古車掲載'!AL706=1,'中古車掲載'!Z706="https://www.one2car.com/en/cars-for-sale/toyota/corolla-cross/year-2023"),'中古車掲載'!U706,"")</x:f>
      </x:c>
      <x:c r="BD705" s="3" t="str">
        <x:f>IF(AND('中古車掲載'!C706="One2car",'中古車掲載'!F706="ATTO 3",'中古車掲載'!L706="EXTENDED RANGE",'中古車掲載'!J706=2023,ISNUMBER('中古車掲載'!N706),'中古車掲載'!N706&gt;=20000,'中古車掲載'!O706&lt;=50000,'中古車掲載'!AL706=1),'中古車掲載'!U706,"")</x:f>
      </x:c>
      <x:c r="BE705" s="3" t="str">
        <x:f>IF(AND('中古車掲載'!C706="One2car",'中古車掲載'!F706="Corolla Cross",'中古車掲載'!L706="HEV PREMIUM SAFETY",'中古車掲載'!J706=2023,ISNUMBER('中古車掲載'!N706),'中古車掲載'!N706&gt;=20000,'中古車掲載'!O706&lt;=50000,'中古車掲載'!AL706=1,'中古車掲載'!Z706="https://www.one2car.com/en/cars-for-sale/toyota/corolla-cross/year-2023"),'中古車掲載'!U706,"")</x:f>
      </x:c>
      <x:c r="BF705" s="3" t="str">
        <x:f>IF(AND('中古車掲載'!C706="One2car",'中古車掲載'!F706="Corolla Cross",'中古車掲載'!L706="HEV PREMIUM",'中古車掲載'!J706=2023,ISNUMBER('中古車掲載'!N706),'中古車掲載'!N706&gt;=20000,'中古車掲載'!O706&lt;=100000,'中古車掲載'!AL706=1,'中古車掲載'!Z706="https://www.one2car.com/en/cars-for-sale/toyota/corolla-cross/year-2023"),'中古車掲載'!U706,"")</x:f>
      </x:c>
      <x:c r="BG705" s="3" t="str">
        <x:f>IF(AND('中古車掲載'!C706="One2car",'中古車掲載'!F706="Corolla Cross",'中古車掲載'!L706="HEV GR SPORT",'中古車掲載'!J706=2023,ISNUMBER('中古車掲載'!N706),'中古車掲載'!N706&gt;=20000,'中古車掲載'!O706&lt;=100000,'中古車掲載'!AL706=1,'中古車掲載'!Z706="https://www.one2car.com/en/cars-for-sale/toyota/corolla-cross/year-2023"),'中古車掲載'!U706,"")</x:f>
      </x:c>
      <x:c r="BH705" s="3" t="str">
        <x:f>IF(AND('中古車掲載'!C706="One2car",'中古車掲載'!F706="DOLPHIN",'中古車掲載'!L706="STANDARD RANGE",'中古車掲載'!J706=2023,ISNUMBER('中古車掲載'!N706),'中古車掲載'!N706&gt;=20000,'中古車掲載'!O706&lt;=100000,'中古車掲載'!AL706=1),'中古車掲載'!U706,"")</x:f>
      </x:c>
      <x:c r="BI705" s="3" t="str">
        <x:v>Taladrod|Hilux Revo|ICE|Unknown</x:v>
      </x:c>
      <x:c r="BJ705" s="3" t="n">
        <x:v>706</x:v>
      </x:c>
      <x:c r="BK705" s="3" t="n">
        <x:f>'中古車掲載'!AM706</x:f>
        <x:v>575000</x:v>
      </x:c>
      <x:c r="BL705" s="3" t="str">
        <x:f>IF(ISNUMBER('中古車掲載'!AN706),'中古車掲載'!AN706,"")</x:f>
      </x:c>
      <x:c r="BM705" s="3"/>
      <x:c r="BN705" s="3"/>
      <x:c r="BO705" s="3"/>
      <x:c r="BP705" s="3"/>
      <x:c r="BQ705" s="3"/>
      <x:c r="BR705" s="3"/>
    </x:row>
    <x:row r="706" ht="22" customHeight="1">
      <x:c r="A706" s="3"/>
      <x:c r="B706" s="3"/>
      <x:c r="C706" s="3"/>
      <x:c r="D706" s="3"/>
      <x:c r="E706" s="3"/>
      <x:c r="F706" s="3"/>
      <x:c r="G706" s="3"/>
      <x:c r="H706" s="3"/>
      <x:c r="I706" s="3"/>
      <x:c r="J706" s="3"/>
      <x:c r="K706" s="3"/>
      <x:c r="L706" s="3"/>
      <x:c r="M706" s="3"/>
      <x:c r="N706" s="3"/>
      <x:c r="O706" s="3"/>
      <x:c r="P706" s="3"/>
      <x:c r="Q706" s="3"/>
      <x:c r="R706" s="3"/>
      <x:c r="S706" s="3"/>
      <x:c r="T706" s="3"/>
      <x:c r="U706" s="3"/>
      <x:c r="V706" s="3"/>
      <x:c r="W706" s="3"/>
      <x:c r="X706" s="3"/>
      <x:c r="Y706" s="3"/>
      <x:c r="Z706" s="3"/>
      <x:c r="AA706" s="3"/>
      <x:c r="AB706" s="3"/>
      <x:c r="AC706" s="3"/>
      <x:c r="AD706" s="3"/>
      <x:c r="AE706" s="3"/>
      <x:c r="AF706" s="3"/>
      <x:c r="AG706" s="3"/>
      <x:c r="AH706" s="3"/>
      <x:c r="AI706" s="3"/>
      <x:c r="AJ706" s="3"/>
      <x:c r="AK706" s="3"/>
      <x:c r="AL706" s="3"/>
      <x:c r="AM706" s="3"/>
      <x:c r="AN706" s="3"/>
      <x:c r="AO706" s="3"/>
      <x:c r="AP706" s="3"/>
      <x:c r="AQ706" s="3"/>
      <x:c r="AR706" s="3"/>
      <x:c r="AS706" s="3"/>
      <x:c r="AT706" s="3"/>
      <x:c r="AU706" s="3"/>
      <x:c r="AV706" s="3"/>
      <x:c r="AW706" s="3"/>
      <x:c r="AX706" s="3"/>
      <x:c r="AY706" s="3"/>
      <x:c r="AZ706" s="3" t="str">
        <x:f>IF(AND('中古車掲載'!C707="One2car",'中古車掲載'!F707="ATTO 3",'中古車掲載'!L707="EXTENDED RANGE",'中古車掲載'!J707=2023,ISNUMBER('中古車掲載'!N707),'中古車掲載'!N707&gt;=20000,'中古車掲載'!O707&lt;=100000,'中古車掲載'!AL707=1),'中古車掲載'!U707,"")</x:f>
      </x:c>
      <x:c r="BA706" s="3" t="str">
        <x:f>IF(AND('中古車掲載'!C707="One2car",'中古車掲載'!F707="Corolla Cross",'中古車掲載'!L707="HEV PREMIUM SAFETY",'中古車掲載'!J707=2023,ISNUMBER('中古車掲載'!N707),'中古車掲載'!N707&gt;=20000,'中古車掲載'!O707&lt;=100000,'中古車掲載'!AL707=1,'中古車掲載'!Z707="https://www.one2car.com/en/cars-for-sale/toyota/corolla-cross/year-2023"),'中古車掲載'!U707,"")</x:f>
      </x:c>
      <x:c r="BB706" s="3" t="str">
        <x:f>IF(AND('中古車掲載'!C707="One2car",'中古車掲載'!F707="ATTO 3",'中古車掲載'!L707="EXTENDED RANGE",'中古車掲載'!J707=2023,ISNUMBER('中古車掲載'!N707),'中古車掲載'!N707&gt;=50000,'中古車掲載'!O707&lt;=100000,'中古車掲載'!AL707=1),'中古車掲載'!U707,"")</x:f>
      </x:c>
      <x:c r="BC706" s="3" t="str">
        <x:f>IF(AND('中古車掲載'!C707="One2car",'中古車掲載'!F707="Corolla Cross",'中古車掲載'!L707="HEV PREMIUM SAFETY",'中古車掲載'!J707=2023,ISNUMBER('中古車掲載'!N707),'中古車掲載'!N707&gt;=50000,'中古車掲載'!O707&lt;=100000,'中古車掲載'!AL707=1,'中古車掲載'!Z707="https://www.one2car.com/en/cars-for-sale/toyota/corolla-cross/year-2023"),'中古車掲載'!U707,"")</x:f>
      </x:c>
      <x:c r="BD706" s="3" t="str">
        <x:f>IF(AND('中古車掲載'!C707="One2car",'中古車掲載'!F707="ATTO 3",'中古車掲載'!L707="EXTENDED RANGE",'中古車掲載'!J707=2023,ISNUMBER('中古車掲載'!N707),'中古車掲載'!N707&gt;=20000,'中古車掲載'!O707&lt;=50000,'中古車掲載'!AL707=1),'中古車掲載'!U707,"")</x:f>
      </x:c>
      <x:c r="BE706" s="3" t="str">
        <x:f>IF(AND('中古車掲載'!C707="One2car",'中古車掲載'!F707="Corolla Cross",'中古車掲載'!L707="HEV PREMIUM SAFETY",'中古車掲載'!J707=2023,ISNUMBER('中古車掲載'!N707),'中古車掲載'!N707&gt;=20000,'中古車掲載'!O707&lt;=50000,'中古車掲載'!AL707=1,'中古車掲載'!Z707="https://www.one2car.com/en/cars-for-sale/toyota/corolla-cross/year-2023"),'中古車掲載'!U707,"")</x:f>
      </x:c>
      <x:c r="BF706" s="3" t="str">
        <x:f>IF(AND('中古車掲載'!C707="One2car",'中古車掲載'!F707="Corolla Cross",'中古車掲載'!L707="HEV PREMIUM",'中古車掲載'!J707=2023,ISNUMBER('中古車掲載'!N707),'中古車掲載'!N707&gt;=20000,'中古車掲載'!O707&lt;=100000,'中古車掲載'!AL707=1,'中古車掲載'!Z707="https://www.one2car.com/en/cars-for-sale/toyota/corolla-cross/year-2023"),'中古車掲載'!U707,"")</x:f>
      </x:c>
      <x:c r="BG706" s="3" t="str">
        <x:f>IF(AND('中古車掲載'!C707="One2car",'中古車掲載'!F707="Corolla Cross",'中古車掲載'!L707="HEV GR SPORT",'中古車掲載'!J707=2023,ISNUMBER('中古車掲載'!N707),'中古車掲載'!N707&gt;=20000,'中古車掲載'!O707&lt;=100000,'中古車掲載'!AL707=1,'中古車掲載'!Z707="https://www.one2car.com/en/cars-for-sale/toyota/corolla-cross/year-2023"),'中古車掲載'!U707,"")</x:f>
      </x:c>
      <x:c r="BH706" s="3" t="str">
        <x:f>IF(AND('中古車掲載'!C707="One2car",'中古車掲載'!F707="DOLPHIN",'中古車掲載'!L707="STANDARD RANGE",'中古車掲載'!J707=2023,ISNUMBER('中古車掲載'!N707),'中古車掲載'!N707&gt;=20000,'中古車掲載'!O707&lt;=100000,'中古車掲載'!AL707=1),'中古車掲載'!U707,"")</x:f>
      </x:c>
      <x:c r="BI706" s="3" t="str">
        <x:v>Taladrod|Hilux Revo|ICE|Unknown</x:v>
      </x:c>
      <x:c r="BJ706" s="3" t="n">
        <x:v>707</x:v>
      </x:c>
      <x:c r="BK706" s="3" t="n">
        <x:f>'中古車掲載'!AM707</x:f>
        <x:v>655000</x:v>
      </x:c>
      <x:c r="BL706" s="3" t="str">
        <x:f>IF(ISNUMBER('中古車掲載'!AN707),'中古車掲載'!AN707,"")</x:f>
      </x:c>
      <x:c r="BM706" s="3"/>
      <x:c r="BN706" s="3"/>
      <x:c r="BO706" s="3"/>
      <x:c r="BP706" s="3"/>
      <x:c r="BQ706" s="3"/>
      <x:c r="BR706" s="3"/>
    </x:row>
    <x:row r="707" ht="22" customHeight="1">
      <x:c r="A707" s="3"/>
      <x:c r="B707" s="3"/>
      <x:c r="C707" s="3"/>
      <x:c r="D707" s="3"/>
      <x:c r="E707" s="3"/>
      <x:c r="F707" s="3"/>
      <x:c r="G707" s="3"/>
      <x:c r="H707" s="3"/>
      <x:c r="I707" s="3"/>
      <x:c r="J707" s="3"/>
      <x:c r="K707" s="3"/>
      <x:c r="L707" s="3"/>
      <x:c r="M707" s="3"/>
      <x:c r="N707" s="3"/>
      <x:c r="O707" s="3"/>
      <x:c r="P707" s="3"/>
      <x:c r="Q707" s="3"/>
      <x:c r="R707" s="3"/>
      <x:c r="S707" s="3"/>
      <x:c r="T707" s="3"/>
      <x:c r="U707" s="3"/>
      <x:c r="V707" s="3"/>
      <x:c r="W707" s="3"/>
      <x:c r="X707" s="3"/>
      <x:c r="Y707" s="3"/>
      <x:c r="Z707" s="3"/>
      <x:c r="AA707" s="3"/>
      <x:c r="AB707" s="3"/>
      <x:c r="AC707" s="3"/>
      <x:c r="AD707" s="3"/>
      <x:c r="AE707" s="3"/>
      <x:c r="AF707" s="3"/>
      <x:c r="AG707" s="3"/>
      <x:c r="AH707" s="3"/>
      <x:c r="AI707" s="3"/>
      <x:c r="AJ707" s="3"/>
      <x:c r="AK707" s="3"/>
      <x:c r="AL707" s="3"/>
      <x:c r="AM707" s="3"/>
      <x:c r="AN707" s="3"/>
      <x:c r="AO707" s="3"/>
      <x:c r="AP707" s="3"/>
      <x:c r="AQ707" s="3"/>
      <x:c r="AR707" s="3"/>
      <x:c r="AS707" s="3"/>
      <x:c r="AT707" s="3"/>
      <x:c r="AU707" s="3"/>
      <x:c r="AV707" s="3"/>
      <x:c r="AW707" s="3"/>
      <x:c r="AX707" s="3"/>
      <x:c r="AY707" s="3"/>
      <x:c r="AZ707" s="3" t="str">
        <x:f>IF(AND('中古車掲載'!C708="One2car",'中古車掲載'!F708="ATTO 3",'中古車掲載'!L708="EXTENDED RANGE",'中古車掲載'!J708=2023,ISNUMBER('中古車掲載'!N708),'中古車掲載'!N708&gt;=20000,'中古車掲載'!O708&lt;=100000,'中古車掲載'!AL708=1),'中古車掲載'!U708,"")</x:f>
      </x:c>
      <x:c r="BA707" s="3" t="str">
        <x:f>IF(AND('中古車掲載'!C708="One2car",'中古車掲載'!F708="Corolla Cross",'中古車掲載'!L708="HEV PREMIUM SAFETY",'中古車掲載'!J708=2023,ISNUMBER('中古車掲載'!N708),'中古車掲載'!N708&gt;=20000,'中古車掲載'!O708&lt;=100000,'中古車掲載'!AL708=1,'中古車掲載'!Z708="https://www.one2car.com/en/cars-for-sale/toyota/corolla-cross/year-2023"),'中古車掲載'!U708,"")</x:f>
      </x:c>
      <x:c r="BB707" s="3" t="str">
        <x:f>IF(AND('中古車掲載'!C708="One2car",'中古車掲載'!F708="ATTO 3",'中古車掲載'!L708="EXTENDED RANGE",'中古車掲載'!J708=2023,ISNUMBER('中古車掲載'!N708),'中古車掲載'!N708&gt;=50000,'中古車掲載'!O708&lt;=100000,'中古車掲載'!AL708=1),'中古車掲載'!U708,"")</x:f>
      </x:c>
      <x:c r="BC707" s="3" t="str">
        <x:f>IF(AND('中古車掲載'!C708="One2car",'中古車掲載'!F708="Corolla Cross",'中古車掲載'!L708="HEV PREMIUM SAFETY",'中古車掲載'!J708=2023,ISNUMBER('中古車掲載'!N708),'中古車掲載'!N708&gt;=50000,'中古車掲載'!O708&lt;=100000,'中古車掲載'!AL708=1,'中古車掲載'!Z708="https://www.one2car.com/en/cars-for-sale/toyota/corolla-cross/year-2023"),'中古車掲載'!U708,"")</x:f>
      </x:c>
      <x:c r="BD707" s="3" t="str">
        <x:f>IF(AND('中古車掲載'!C708="One2car",'中古車掲載'!F708="ATTO 3",'中古車掲載'!L708="EXTENDED RANGE",'中古車掲載'!J708=2023,ISNUMBER('中古車掲載'!N708),'中古車掲載'!N708&gt;=20000,'中古車掲載'!O708&lt;=50000,'中古車掲載'!AL708=1),'中古車掲載'!U708,"")</x:f>
      </x:c>
      <x:c r="BE707" s="3" t="str">
        <x:f>IF(AND('中古車掲載'!C708="One2car",'中古車掲載'!F708="Corolla Cross",'中古車掲載'!L708="HEV PREMIUM SAFETY",'中古車掲載'!J708=2023,ISNUMBER('中古車掲載'!N708),'中古車掲載'!N708&gt;=20000,'中古車掲載'!O708&lt;=50000,'中古車掲載'!AL708=1,'中古車掲載'!Z708="https://www.one2car.com/en/cars-for-sale/toyota/corolla-cross/year-2023"),'中古車掲載'!U708,"")</x:f>
      </x:c>
      <x:c r="BF707" s="3" t="str">
        <x:f>IF(AND('中古車掲載'!C708="One2car",'中古車掲載'!F708="Corolla Cross",'中古車掲載'!L708="HEV PREMIUM",'中古車掲載'!J708=2023,ISNUMBER('中古車掲載'!N708),'中古車掲載'!N708&gt;=20000,'中古車掲載'!O708&lt;=100000,'中古車掲載'!AL708=1,'中古車掲載'!Z708="https://www.one2car.com/en/cars-for-sale/toyota/corolla-cross/year-2023"),'中古車掲載'!U708,"")</x:f>
      </x:c>
      <x:c r="BG707" s="3" t="str">
        <x:f>IF(AND('中古車掲載'!C708="One2car",'中古車掲載'!F708="Corolla Cross",'中古車掲載'!L708="HEV GR SPORT",'中古車掲載'!J708=2023,ISNUMBER('中古車掲載'!N708),'中古車掲載'!N708&gt;=20000,'中古車掲載'!O708&lt;=100000,'中古車掲載'!AL708=1,'中古車掲載'!Z708="https://www.one2car.com/en/cars-for-sale/toyota/corolla-cross/year-2023"),'中古車掲載'!U708,"")</x:f>
      </x:c>
      <x:c r="BH707" s="3" t="str">
        <x:f>IF(AND('中古車掲載'!C708="One2car",'中古車掲載'!F708="DOLPHIN",'中古車掲載'!L708="STANDARD RANGE",'中古車掲載'!J708=2023,ISNUMBER('中古車掲載'!N708),'中古車掲載'!N708&gt;=20000,'中古車掲載'!O708&lt;=100000,'中古車掲載'!AL708=1),'中古車掲載'!U708,"")</x:f>
      </x:c>
      <x:c r="BI707" s="3" t="str">
        <x:v>Taladrod|Hilux Revo|ICE|Unknown</x:v>
      </x:c>
      <x:c r="BJ707" s="3" t="n">
        <x:v>708</x:v>
      </x:c>
      <x:c r="BK707" s="3" t="n">
        <x:f>'中古車掲載'!AM708</x:f>
        <x:v>565000</x:v>
      </x:c>
      <x:c r="BL707" s="3" t="str">
        <x:f>IF(ISNUMBER('中古車掲載'!AN708),'中古車掲載'!AN708,"")</x:f>
      </x:c>
      <x:c r="BM707" s="3"/>
      <x:c r="BN707" s="3"/>
      <x:c r="BO707" s="3"/>
      <x:c r="BP707" s="3"/>
      <x:c r="BQ707" s="3"/>
      <x:c r="BR707" s="3"/>
    </x:row>
    <x:row r="708" ht="22" customHeight="1">
      <x:c r="A708" s="3"/>
      <x:c r="B708" s="3"/>
      <x:c r="C708" s="3"/>
      <x:c r="D708" s="3"/>
      <x:c r="E708" s="3"/>
      <x:c r="F708" s="3"/>
      <x:c r="G708" s="3"/>
      <x:c r="H708" s="3"/>
      <x:c r="I708" s="3"/>
      <x:c r="J708" s="3"/>
      <x:c r="K708" s="3"/>
      <x:c r="L708" s="3"/>
      <x:c r="M708" s="3"/>
      <x:c r="N708" s="3"/>
      <x:c r="O708" s="3"/>
      <x:c r="P708" s="3"/>
      <x:c r="Q708" s="3"/>
      <x:c r="R708" s="3"/>
      <x:c r="S708" s="3"/>
      <x:c r="T708" s="3"/>
      <x:c r="U708" s="3"/>
      <x:c r="V708" s="3"/>
      <x:c r="W708" s="3"/>
      <x:c r="X708" s="3"/>
      <x:c r="Y708" s="3"/>
      <x:c r="Z708" s="3"/>
      <x:c r="AA708" s="3"/>
      <x:c r="AB708" s="3"/>
      <x:c r="AC708" s="3"/>
      <x:c r="AD708" s="3"/>
      <x:c r="AE708" s="3"/>
      <x:c r="AF708" s="3"/>
      <x:c r="AG708" s="3"/>
      <x:c r="AH708" s="3"/>
      <x:c r="AI708" s="3"/>
      <x:c r="AJ708" s="3"/>
      <x:c r="AK708" s="3"/>
      <x:c r="AL708" s="3"/>
      <x:c r="AM708" s="3"/>
      <x:c r="AN708" s="3"/>
      <x:c r="AO708" s="3"/>
      <x:c r="AP708" s="3"/>
      <x:c r="AQ708" s="3"/>
      <x:c r="AR708" s="3"/>
      <x:c r="AS708" s="3"/>
      <x:c r="AT708" s="3"/>
      <x:c r="AU708" s="3"/>
      <x:c r="AV708" s="3"/>
      <x:c r="AW708" s="3"/>
      <x:c r="AX708" s="3"/>
      <x:c r="AY708" s="3"/>
      <x:c r="AZ708" s="3" t="str">
        <x:f>IF(AND('中古車掲載'!C709="One2car",'中古車掲載'!F709="ATTO 3",'中古車掲載'!L709="EXTENDED RANGE",'中古車掲載'!J709=2023,ISNUMBER('中古車掲載'!N709),'中古車掲載'!N709&gt;=20000,'中古車掲載'!O709&lt;=100000,'中古車掲載'!AL709=1),'中古車掲載'!U709,"")</x:f>
      </x:c>
      <x:c r="BA708" s="3" t="str">
        <x:f>IF(AND('中古車掲載'!C709="One2car",'中古車掲載'!F709="Corolla Cross",'中古車掲載'!L709="HEV PREMIUM SAFETY",'中古車掲載'!J709=2023,ISNUMBER('中古車掲載'!N709),'中古車掲載'!N709&gt;=20000,'中古車掲載'!O709&lt;=100000,'中古車掲載'!AL709=1,'中古車掲載'!Z709="https://www.one2car.com/en/cars-for-sale/toyota/corolla-cross/year-2023"),'中古車掲載'!U709,"")</x:f>
      </x:c>
      <x:c r="BB708" s="3" t="str">
        <x:f>IF(AND('中古車掲載'!C709="One2car",'中古車掲載'!F709="ATTO 3",'中古車掲載'!L709="EXTENDED RANGE",'中古車掲載'!J709=2023,ISNUMBER('中古車掲載'!N709),'中古車掲載'!N709&gt;=50000,'中古車掲載'!O709&lt;=100000,'中古車掲載'!AL709=1),'中古車掲載'!U709,"")</x:f>
      </x:c>
      <x:c r="BC708" s="3" t="str">
        <x:f>IF(AND('中古車掲載'!C709="One2car",'中古車掲載'!F709="Corolla Cross",'中古車掲載'!L709="HEV PREMIUM SAFETY",'中古車掲載'!J709=2023,ISNUMBER('中古車掲載'!N709),'中古車掲載'!N709&gt;=50000,'中古車掲載'!O709&lt;=100000,'中古車掲載'!AL709=1,'中古車掲載'!Z709="https://www.one2car.com/en/cars-for-sale/toyota/corolla-cross/year-2023"),'中古車掲載'!U709,"")</x:f>
      </x:c>
      <x:c r="BD708" s="3" t="str">
        <x:f>IF(AND('中古車掲載'!C709="One2car",'中古車掲載'!F709="ATTO 3",'中古車掲載'!L709="EXTENDED RANGE",'中古車掲載'!J709=2023,ISNUMBER('中古車掲載'!N709),'中古車掲載'!N709&gt;=20000,'中古車掲載'!O709&lt;=50000,'中古車掲載'!AL709=1),'中古車掲載'!U709,"")</x:f>
      </x:c>
      <x:c r="BE708" s="3" t="str">
        <x:f>IF(AND('中古車掲載'!C709="One2car",'中古車掲載'!F709="Corolla Cross",'中古車掲載'!L709="HEV PREMIUM SAFETY",'中古車掲載'!J709=2023,ISNUMBER('中古車掲載'!N709),'中古車掲載'!N709&gt;=20000,'中古車掲載'!O709&lt;=50000,'中古車掲載'!AL709=1,'中古車掲載'!Z709="https://www.one2car.com/en/cars-for-sale/toyota/corolla-cross/year-2023"),'中古車掲載'!U709,"")</x:f>
      </x:c>
      <x:c r="BF708" s="3" t="str">
        <x:f>IF(AND('中古車掲載'!C709="One2car",'中古車掲載'!F709="Corolla Cross",'中古車掲載'!L709="HEV PREMIUM",'中古車掲載'!J709=2023,ISNUMBER('中古車掲載'!N709),'中古車掲載'!N709&gt;=20000,'中古車掲載'!O709&lt;=100000,'中古車掲載'!AL709=1,'中古車掲載'!Z709="https://www.one2car.com/en/cars-for-sale/toyota/corolla-cross/year-2023"),'中古車掲載'!U709,"")</x:f>
      </x:c>
      <x:c r="BG708" s="3" t="str">
        <x:f>IF(AND('中古車掲載'!C709="One2car",'中古車掲載'!F709="Corolla Cross",'中古車掲載'!L709="HEV GR SPORT",'中古車掲載'!J709=2023,ISNUMBER('中古車掲載'!N709),'中古車掲載'!N709&gt;=20000,'中古車掲載'!O709&lt;=100000,'中古車掲載'!AL709=1,'中古車掲載'!Z709="https://www.one2car.com/en/cars-for-sale/toyota/corolla-cross/year-2023"),'中古車掲載'!U709,"")</x:f>
      </x:c>
      <x:c r="BH708" s="3" t="str">
        <x:f>IF(AND('中古車掲載'!C709="One2car",'中古車掲載'!F709="DOLPHIN",'中古車掲載'!L709="STANDARD RANGE",'中古車掲載'!J709=2023,ISNUMBER('中古車掲載'!N709),'中古車掲載'!N709&gt;=20000,'中古車掲載'!O709&lt;=100000,'中古車掲載'!AL709=1),'中古車掲載'!U709,"")</x:f>
      </x:c>
      <x:c r="BI708" s="3" t="str">
        <x:v>Taladrod|Hilux Revo|ICE|Unknown</x:v>
      </x:c>
      <x:c r="BJ708" s="3" t="n">
        <x:v>709</x:v>
      </x:c>
      <x:c r="BK708" s="3" t="n">
        <x:f>'中古車掲載'!AM709</x:f>
        <x:v>659000</x:v>
      </x:c>
      <x:c r="BL708" s="3" t="str">
        <x:f>IF(ISNUMBER('中古車掲載'!AN709),'中古車掲載'!AN709,"")</x:f>
      </x:c>
      <x:c r="BM708" s="3"/>
      <x:c r="BN708" s="3"/>
      <x:c r="BO708" s="3"/>
      <x:c r="BP708" s="3"/>
      <x:c r="BQ708" s="3"/>
      <x:c r="BR708" s="3"/>
    </x:row>
    <x:row r="709" ht="22" customHeight="1">
      <x:c r="A709" s="3"/>
      <x:c r="B709" s="3"/>
      <x:c r="C709" s="3"/>
      <x:c r="D709" s="3"/>
      <x:c r="E709" s="3"/>
      <x:c r="F709" s="3"/>
      <x:c r="G709" s="3"/>
      <x:c r="H709" s="3"/>
      <x:c r="I709" s="3"/>
      <x:c r="J709" s="3"/>
      <x:c r="K709" s="3"/>
      <x:c r="L709" s="3"/>
      <x:c r="M709" s="3"/>
      <x:c r="N709" s="3"/>
      <x:c r="O709" s="3"/>
      <x:c r="P709" s="3"/>
      <x:c r="Q709" s="3"/>
      <x:c r="R709" s="3"/>
      <x:c r="S709" s="3"/>
      <x:c r="T709" s="3"/>
      <x:c r="U709" s="3"/>
      <x:c r="V709" s="3"/>
      <x:c r="W709" s="3"/>
      <x:c r="X709" s="3"/>
      <x:c r="Y709" s="3"/>
      <x:c r="Z709" s="3"/>
      <x:c r="AA709" s="3"/>
      <x:c r="AB709" s="3"/>
      <x:c r="AC709" s="3"/>
      <x:c r="AD709" s="3"/>
      <x:c r="AE709" s="3"/>
      <x:c r="AF709" s="3"/>
      <x:c r="AG709" s="3"/>
      <x:c r="AH709" s="3"/>
      <x:c r="AI709" s="3"/>
      <x:c r="AJ709" s="3"/>
      <x:c r="AK709" s="3"/>
      <x:c r="AL709" s="3"/>
      <x:c r="AM709" s="3"/>
      <x:c r="AN709" s="3"/>
      <x:c r="AO709" s="3"/>
      <x:c r="AP709" s="3"/>
      <x:c r="AQ709" s="3"/>
      <x:c r="AR709" s="3"/>
      <x:c r="AS709" s="3"/>
      <x:c r="AT709" s="3"/>
      <x:c r="AU709" s="3"/>
      <x:c r="AV709" s="3"/>
      <x:c r="AW709" s="3"/>
      <x:c r="AX709" s="3"/>
      <x:c r="AY709" s="3"/>
      <x:c r="AZ709" s="3" t="str">
        <x:f>IF(AND('中古車掲載'!C710="One2car",'中古車掲載'!F710="ATTO 3",'中古車掲載'!L710="EXTENDED RANGE",'中古車掲載'!J710=2023,ISNUMBER('中古車掲載'!N710),'中古車掲載'!N710&gt;=20000,'中古車掲載'!O710&lt;=100000,'中古車掲載'!AL710=1),'中古車掲載'!U710,"")</x:f>
      </x:c>
      <x:c r="BA709" s="3" t="str">
        <x:f>IF(AND('中古車掲載'!C710="One2car",'中古車掲載'!F710="Corolla Cross",'中古車掲載'!L710="HEV PREMIUM SAFETY",'中古車掲載'!J710=2023,ISNUMBER('中古車掲載'!N710),'中古車掲載'!N710&gt;=20000,'中古車掲載'!O710&lt;=100000,'中古車掲載'!AL710=1,'中古車掲載'!Z710="https://www.one2car.com/en/cars-for-sale/toyota/corolla-cross/year-2023"),'中古車掲載'!U710,"")</x:f>
      </x:c>
      <x:c r="BB709" s="3" t="str">
        <x:f>IF(AND('中古車掲載'!C710="One2car",'中古車掲載'!F710="ATTO 3",'中古車掲載'!L710="EXTENDED RANGE",'中古車掲載'!J710=2023,ISNUMBER('中古車掲載'!N710),'中古車掲載'!N710&gt;=50000,'中古車掲載'!O710&lt;=100000,'中古車掲載'!AL710=1),'中古車掲載'!U710,"")</x:f>
      </x:c>
      <x:c r="BC709" s="3" t="str">
        <x:f>IF(AND('中古車掲載'!C710="One2car",'中古車掲載'!F710="Corolla Cross",'中古車掲載'!L710="HEV PREMIUM SAFETY",'中古車掲載'!J710=2023,ISNUMBER('中古車掲載'!N710),'中古車掲載'!N710&gt;=50000,'中古車掲載'!O710&lt;=100000,'中古車掲載'!AL710=1,'中古車掲載'!Z710="https://www.one2car.com/en/cars-for-sale/toyota/corolla-cross/year-2023"),'中古車掲載'!U710,"")</x:f>
      </x:c>
      <x:c r="BD709" s="3" t="str">
        <x:f>IF(AND('中古車掲載'!C710="One2car",'中古車掲載'!F710="ATTO 3",'中古車掲載'!L710="EXTENDED RANGE",'中古車掲載'!J710=2023,ISNUMBER('中古車掲載'!N710),'中古車掲載'!N710&gt;=20000,'中古車掲載'!O710&lt;=50000,'中古車掲載'!AL710=1),'中古車掲載'!U710,"")</x:f>
      </x:c>
      <x:c r="BE709" s="3" t="str">
        <x:f>IF(AND('中古車掲載'!C710="One2car",'中古車掲載'!F710="Corolla Cross",'中古車掲載'!L710="HEV PREMIUM SAFETY",'中古車掲載'!J710=2023,ISNUMBER('中古車掲載'!N710),'中古車掲載'!N710&gt;=20000,'中古車掲載'!O710&lt;=50000,'中古車掲載'!AL710=1,'中古車掲載'!Z710="https://www.one2car.com/en/cars-for-sale/toyota/corolla-cross/year-2023"),'中古車掲載'!U710,"")</x:f>
      </x:c>
      <x:c r="BF709" s="3" t="str">
        <x:f>IF(AND('中古車掲載'!C710="One2car",'中古車掲載'!F710="Corolla Cross",'中古車掲載'!L710="HEV PREMIUM",'中古車掲載'!J710=2023,ISNUMBER('中古車掲載'!N710),'中古車掲載'!N710&gt;=20000,'中古車掲載'!O710&lt;=100000,'中古車掲載'!AL710=1,'中古車掲載'!Z710="https://www.one2car.com/en/cars-for-sale/toyota/corolla-cross/year-2023"),'中古車掲載'!U710,"")</x:f>
      </x:c>
      <x:c r="BG709" s="3" t="str">
        <x:f>IF(AND('中古車掲載'!C710="One2car",'中古車掲載'!F710="Corolla Cross",'中古車掲載'!L710="HEV GR SPORT",'中古車掲載'!J710=2023,ISNUMBER('中古車掲載'!N710),'中古車掲載'!N710&gt;=20000,'中古車掲載'!O710&lt;=100000,'中古車掲載'!AL710=1,'中古車掲載'!Z710="https://www.one2car.com/en/cars-for-sale/toyota/corolla-cross/year-2023"),'中古車掲載'!U710,"")</x:f>
      </x:c>
      <x:c r="BH709" s="3" t="str">
        <x:f>IF(AND('中古車掲載'!C710="One2car",'中古車掲載'!F710="DOLPHIN",'中古車掲載'!L710="STANDARD RANGE",'中古車掲載'!J710=2023,ISNUMBER('中古車掲載'!N710),'中古車掲載'!N710&gt;=20000,'中古車掲載'!O710&lt;=100000,'中古車掲載'!AL710=1),'中古車掲載'!U710,"")</x:f>
      </x:c>
      <x:c r="BI709" s="3" t="str">
        <x:v>Taladrod|Hilux Revo|ICE|Unknown</x:v>
      </x:c>
      <x:c r="BJ709" s="3" t="n">
        <x:v>710</x:v>
      </x:c>
      <x:c r="BK709" s="3" t="n">
        <x:f>'中古車掲載'!AM710</x:f>
        <x:v>555000</x:v>
      </x:c>
      <x:c r="BL709" s="3" t="str">
        <x:f>IF(ISNUMBER('中古車掲載'!AN710),'中古車掲載'!AN710,"")</x:f>
      </x:c>
      <x:c r="BM709" s="3"/>
      <x:c r="BN709" s="3"/>
      <x:c r="BO709" s="3"/>
      <x:c r="BP709" s="3"/>
      <x:c r="BQ709" s="3"/>
      <x:c r="BR709" s="3"/>
    </x:row>
    <x:row r="710" ht="22" customHeight="1">
      <x:c r="A710" s="3"/>
      <x:c r="B710" s="3"/>
      <x:c r="C710" s="3"/>
      <x:c r="D710" s="3"/>
      <x:c r="E710" s="3"/>
      <x:c r="F710" s="3"/>
      <x:c r="G710" s="3"/>
      <x:c r="H710" s="3"/>
      <x:c r="I710" s="3"/>
      <x:c r="J710" s="3"/>
      <x:c r="K710" s="3"/>
      <x:c r="L710" s="3"/>
      <x:c r="M710" s="3"/>
      <x:c r="N710" s="3"/>
      <x:c r="O710" s="3"/>
      <x:c r="P710" s="3"/>
      <x:c r="Q710" s="3"/>
      <x:c r="R710" s="3"/>
      <x:c r="S710" s="3"/>
      <x:c r="T710" s="3"/>
      <x:c r="U710" s="3"/>
      <x:c r="V710" s="3"/>
      <x:c r="W710" s="3"/>
      <x:c r="X710" s="3"/>
      <x:c r="Y710" s="3"/>
      <x:c r="Z710" s="3"/>
      <x:c r="AA710" s="3"/>
      <x:c r="AB710" s="3"/>
      <x:c r="AC710" s="3"/>
      <x:c r="AD710" s="3"/>
      <x:c r="AE710" s="3"/>
      <x:c r="AF710" s="3"/>
      <x:c r="AG710" s="3"/>
      <x:c r="AH710" s="3"/>
      <x:c r="AI710" s="3"/>
      <x:c r="AJ710" s="3"/>
      <x:c r="AK710" s="3"/>
      <x:c r="AL710" s="3"/>
      <x:c r="AM710" s="3"/>
      <x:c r="AN710" s="3"/>
      <x:c r="AO710" s="3"/>
      <x:c r="AP710" s="3"/>
      <x:c r="AQ710" s="3"/>
      <x:c r="AR710" s="3"/>
      <x:c r="AS710" s="3"/>
      <x:c r="AT710" s="3"/>
      <x:c r="AU710" s="3"/>
      <x:c r="AV710" s="3"/>
      <x:c r="AW710" s="3"/>
      <x:c r="AX710" s="3"/>
      <x:c r="AY710" s="3"/>
      <x:c r="AZ710" s="3" t="str">
        <x:f>IF(AND('中古車掲載'!C711="One2car",'中古車掲載'!F711="ATTO 3",'中古車掲載'!L711="EXTENDED RANGE",'中古車掲載'!J711=2023,ISNUMBER('中古車掲載'!N711),'中古車掲載'!N711&gt;=20000,'中古車掲載'!O711&lt;=100000,'中古車掲載'!AL711=1),'中古車掲載'!U711,"")</x:f>
      </x:c>
      <x:c r="BA710" s="3" t="str">
        <x:f>IF(AND('中古車掲載'!C711="One2car",'中古車掲載'!F711="Corolla Cross",'中古車掲載'!L711="HEV PREMIUM SAFETY",'中古車掲載'!J711=2023,ISNUMBER('中古車掲載'!N711),'中古車掲載'!N711&gt;=20000,'中古車掲載'!O711&lt;=100000,'中古車掲載'!AL711=1,'中古車掲載'!Z711="https://www.one2car.com/en/cars-for-sale/toyota/corolla-cross/year-2023"),'中古車掲載'!U711,"")</x:f>
      </x:c>
      <x:c r="BB710" s="3" t="str">
        <x:f>IF(AND('中古車掲載'!C711="One2car",'中古車掲載'!F711="ATTO 3",'中古車掲載'!L711="EXTENDED RANGE",'中古車掲載'!J711=2023,ISNUMBER('中古車掲載'!N711),'中古車掲載'!N711&gt;=50000,'中古車掲載'!O711&lt;=100000,'中古車掲載'!AL711=1),'中古車掲載'!U711,"")</x:f>
      </x:c>
      <x:c r="BC710" s="3" t="str">
        <x:f>IF(AND('中古車掲載'!C711="One2car",'中古車掲載'!F711="Corolla Cross",'中古車掲載'!L711="HEV PREMIUM SAFETY",'中古車掲載'!J711=2023,ISNUMBER('中古車掲載'!N711),'中古車掲載'!N711&gt;=50000,'中古車掲載'!O711&lt;=100000,'中古車掲載'!AL711=1,'中古車掲載'!Z711="https://www.one2car.com/en/cars-for-sale/toyota/corolla-cross/year-2023"),'中古車掲載'!U711,"")</x:f>
      </x:c>
      <x:c r="BD710" s="3" t="str">
        <x:f>IF(AND('中古車掲載'!C711="One2car",'中古車掲載'!F711="ATTO 3",'中古車掲載'!L711="EXTENDED RANGE",'中古車掲載'!J711=2023,ISNUMBER('中古車掲載'!N711),'中古車掲載'!N711&gt;=20000,'中古車掲載'!O711&lt;=50000,'中古車掲載'!AL711=1),'中古車掲載'!U711,"")</x:f>
      </x:c>
      <x:c r="BE710" s="3" t="str">
        <x:f>IF(AND('中古車掲載'!C711="One2car",'中古車掲載'!F711="Corolla Cross",'中古車掲載'!L711="HEV PREMIUM SAFETY",'中古車掲載'!J711=2023,ISNUMBER('中古車掲載'!N711),'中古車掲載'!N711&gt;=20000,'中古車掲載'!O711&lt;=50000,'中古車掲載'!AL711=1,'中古車掲載'!Z711="https://www.one2car.com/en/cars-for-sale/toyota/corolla-cross/year-2023"),'中古車掲載'!U711,"")</x:f>
      </x:c>
      <x:c r="BF710" s="3" t="str">
        <x:f>IF(AND('中古車掲載'!C711="One2car",'中古車掲載'!F711="Corolla Cross",'中古車掲載'!L711="HEV PREMIUM",'中古車掲載'!J711=2023,ISNUMBER('中古車掲載'!N711),'中古車掲載'!N711&gt;=20000,'中古車掲載'!O711&lt;=100000,'中古車掲載'!AL711=1,'中古車掲載'!Z711="https://www.one2car.com/en/cars-for-sale/toyota/corolla-cross/year-2023"),'中古車掲載'!U711,"")</x:f>
      </x:c>
      <x:c r="BG710" s="3" t="str">
        <x:f>IF(AND('中古車掲載'!C711="One2car",'中古車掲載'!F711="Corolla Cross",'中古車掲載'!L711="HEV GR SPORT",'中古車掲載'!J711=2023,ISNUMBER('中古車掲載'!N711),'中古車掲載'!N711&gt;=20000,'中古車掲載'!O711&lt;=100000,'中古車掲載'!AL711=1,'中古車掲載'!Z711="https://www.one2car.com/en/cars-for-sale/toyota/corolla-cross/year-2023"),'中古車掲載'!U711,"")</x:f>
      </x:c>
      <x:c r="BH710" s="3" t="str">
        <x:f>IF(AND('中古車掲載'!C711="One2car",'中古車掲載'!F711="DOLPHIN",'中古車掲載'!L711="STANDARD RANGE",'中古車掲載'!J711=2023,ISNUMBER('中古車掲載'!N711),'中古車掲載'!N711&gt;=20000,'中古車掲載'!O711&lt;=100000,'中古車掲載'!AL711=1),'中古車掲載'!U711,"")</x:f>
      </x:c>
      <x:c r="BI710" s="3" t="str">
        <x:v>Taladrod|Hilux Revo|ICE|Unknown</x:v>
      </x:c>
      <x:c r="BJ710" s="3" t="n">
        <x:v>711</x:v>
      </x:c>
      <x:c r="BK710" s="3" t="n">
        <x:f>'中古車掲載'!AM711</x:f>
        <x:v>449000</x:v>
      </x:c>
      <x:c r="BL710" s="3" t="str">
        <x:f>IF(ISNUMBER('中古車掲載'!AN711),'中古車掲載'!AN711,"")</x:f>
      </x:c>
      <x:c r="BM710" s="3"/>
      <x:c r="BN710" s="3"/>
      <x:c r="BO710" s="3"/>
      <x:c r="BP710" s="3"/>
      <x:c r="BQ710" s="3"/>
      <x:c r="BR710" s="3"/>
    </x:row>
    <x:row r="711" ht="22" customHeight="1">
      <x:c r="A711" s="3"/>
      <x:c r="B711" s="3"/>
      <x:c r="C711" s="3"/>
      <x:c r="D711" s="3"/>
      <x:c r="E711" s="3"/>
      <x:c r="F711" s="3"/>
      <x:c r="G711" s="3"/>
      <x:c r="H711" s="3"/>
      <x:c r="I711" s="3"/>
      <x:c r="J711" s="3"/>
      <x:c r="K711" s="3"/>
      <x:c r="L711" s="3"/>
      <x:c r="M711" s="3"/>
      <x:c r="N711" s="3"/>
      <x:c r="O711" s="3"/>
      <x:c r="P711" s="3"/>
      <x:c r="Q711" s="3"/>
      <x:c r="R711" s="3"/>
      <x:c r="S711" s="3"/>
      <x:c r="T711" s="3"/>
      <x:c r="U711" s="3"/>
      <x:c r="V711" s="3"/>
      <x:c r="W711" s="3"/>
      <x:c r="X711" s="3"/>
      <x:c r="Y711" s="3"/>
      <x:c r="Z711" s="3"/>
      <x:c r="AA711" s="3"/>
      <x:c r="AB711" s="3"/>
      <x:c r="AC711" s="3"/>
      <x:c r="AD711" s="3"/>
      <x:c r="AE711" s="3"/>
      <x:c r="AF711" s="3"/>
      <x:c r="AG711" s="3"/>
      <x:c r="AH711" s="3"/>
      <x:c r="AI711" s="3"/>
      <x:c r="AJ711" s="3"/>
      <x:c r="AK711" s="3"/>
      <x:c r="AL711" s="3"/>
      <x:c r="AM711" s="3"/>
      <x:c r="AN711" s="3"/>
      <x:c r="AO711" s="3"/>
      <x:c r="AP711" s="3"/>
      <x:c r="AQ711" s="3"/>
      <x:c r="AR711" s="3"/>
      <x:c r="AS711" s="3"/>
      <x:c r="AT711" s="3"/>
      <x:c r="AU711" s="3"/>
      <x:c r="AV711" s="3"/>
      <x:c r="AW711" s="3"/>
      <x:c r="AX711" s="3"/>
      <x:c r="AY711" s="3"/>
      <x:c r="AZ711" s="3" t="str">
        <x:f>IF(AND('中古車掲載'!C712="One2car",'中古車掲載'!F712="ATTO 3",'中古車掲載'!L712="EXTENDED RANGE",'中古車掲載'!J712=2023,ISNUMBER('中古車掲載'!N712),'中古車掲載'!N712&gt;=20000,'中古車掲載'!O712&lt;=100000,'中古車掲載'!AL712=1),'中古車掲載'!U712,"")</x:f>
      </x:c>
      <x:c r="BA711" s="3" t="str">
        <x:f>IF(AND('中古車掲載'!C712="One2car",'中古車掲載'!F712="Corolla Cross",'中古車掲載'!L712="HEV PREMIUM SAFETY",'中古車掲載'!J712=2023,ISNUMBER('中古車掲載'!N712),'中古車掲載'!N712&gt;=20000,'中古車掲載'!O712&lt;=100000,'中古車掲載'!AL712=1,'中古車掲載'!Z712="https://www.one2car.com/en/cars-for-sale/toyota/corolla-cross/year-2023"),'中古車掲載'!U712,"")</x:f>
      </x:c>
      <x:c r="BB711" s="3" t="str">
        <x:f>IF(AND('中古車掲載'!C712="One2car",'中古車掲載'!F712="ATTO 3",'中古車掲載'!L712="EXTENDED RANGE",'中古車掲載'!J712=2023,ISNUMBER('中古車掲載'!N712),'中古車掲載'!N712&gt;=50000,'中古車掲載'!O712&lt;=100000,'中古車掲載'!AL712=1),'中古車掲載'!U712,"")</x:f>
      </x:c>
      <x:c r="BC711" s="3" t="str">
        <x:f>IF(AND('中古車掲載'!C712="One2car",'中古車掲載'!F712="Corolla Cross",'中古車掲載'!L712="HEV PREMIUM SAFETY",'中古車掲載'!J712=2023,ISNUMBER('中古車掲載'!N712),'中古車掲載'!N712&gt;=50000,'中古車掲載'!O712&lt;=100000,'中古車掲載'!AL712=1,'中古車掲載'!Z712="https://www.one2car.com/en/cars-for-sale/toyota/corolla-cross/year-2023"),'中古車掲載'!U712,"")</x:f>
      </x:c>
      <x:c r="BD711" s="3" t="str">
        <x:f>IF(AND('中古車掲載'!C712="One2car",'中古車掲載'!F712="ATTO 3",'中古車掲載'!L712="EXTENDED RANGE",'中古車掲載'!J712=2023,ISNUMBER('中古車掲載'!N712),'中古車掲載'!N712&gt;=20000,'中古車掲載'!O712&lt;=50000,'中古車掲載'!AL712=1),'中古車掲載'!U712,"")</x:f>
      </x:c>
      <x:c r="BE711" s="3" t="str">
        <x:f>IF(AND('中古車掲載'!C712="One2car",'中古車掲載'!F712="Corolla Cross",'中古車掲載'!L712="HEV PREMIUM SAFETY",'中古車掲載'!J712=2023,ISNUMBER('中古車掲載'!N712),'中古車掲載'!N712&gt;=20000,'中古車掲載'!O712&lt;=50000,'中古車掲載'!AL712=1,'中古車掲載'!Z712="https://www.one2car.com/en/cars-for-sale/toyota/corolla-cross/year-2023"),'中古車掲載'!U712,"")</x:f>
      </x:c>
      <x:c r="BF711" s="3" t="str">
        <x:f>IF(AND('中古車掲載'!C712="One2car",'中古車掲載'!F712="Corolla Cross",'中古車掲載'!L712="HEV PREMIUM",'中古車掲載'!J712=2023,ISNUMBER('中古車掲載'!N712),'中古車掲載'!N712&gt;=20000,'中古車掲載'!O712&lt;=100000,'中古車掲載'!AL712=1,'中古車掲載'!Z712="https://www.one2car.com/en/cars-for-sale/toyota/corolla-cross/year-2023"),'中古車掲載'!U712,"")</x:f>
      </x:c>
      <x:c r="BG711" s="3" t="str">
        <x:f>IF(AND('中古車掲載'!C712="One2car",'中古車掲載'!F712="Corolla Cross",'中古車掲載'!L712="HEV GR SPORT",'中古車掲載'!J712=2023,ISNUMBER('中古車掲載'!N712),'中古車掲載'!N712&gt;=20000,'中古車掲載'!O712&lt;=100000,'中古車掲載'!AL712=1,'中古車掲載'!Z712="https://www.one2car.com/en/cars-for-sale/toyota/corolla-cross/year-2023"),'中古車掲載'!U712,"")</x:f>
      </x:c>
      <x:c r="BH711" s="3" t="str">
        <x:f>IF(AND('中古車掲載'!C712="One2car",'中古車掲載'!F712="DOLPHIN",'中古車掲載'!L712="STANDARD RANGE",'中古車掲載'!J712=2023,ISNUMBER('中古車掲載'!N712),'中古車掲載'!N712&gt;=20000,'中古車掲載'!O712&lt;=100000,'中古車掲載'!AL712=1),'中古車掲載'!U712,"")</x:f>
      </x:c>
      <x:c r="BI711" s="3" t="str">
        <x:v>Taladrod|Hilux Revo|ICE|Unknown</x:v>
      </x:c>
      <x:c r="BJ711" s="3" t="n">
        <x:v>712</x:v>
      </x:c>
      <x:c r="BK711" s="3" t="n">
        <x:f>'中古車掲載'!AM712</x:f>
        <x:v>488000</x:v>
      </x:c>
      <x:c r="BL711" s="3" t="str">
        <x:f>IF(ISNUMBER('中古車掲載'!AN712),'中古車掲載'!AN712,"")</x:f>
      </x:c>
      <x:c r="BM711" s="3"/>
      <x:c r="BN711" s="3"/>
      <x:c r="BO711" s="3"/>
      <x:c r="BP711" s="3"/>
      <x:c r="BQ711" s="3"/>
      <x:c r="BR711" s="3"/>
    </x:row>
    <x:row r="712" ht="22" customHeight="1">
      <x:c r="A712" s="3"/>
      <x:c r="B712" s="3"/>
      <x:c r="C712" s="3"/>
      <x:c r="D712" s="3"/>
      <x:c r="E712" s="3"/>
      <x:c r="F712" s="3"/>
      <x:c r="G712" s="3"/>
      <x:c r="H712" s="3"/>
      <x:c r="I712" s="3"/>
      <x:c r="J712" s="3"/>
      <x:c r="K712" s="3"/>
      <x:c r="L712" s="3"/>
      <x:c r="M712" s="3"/>
      <x:c r="N712" s="3"/>
      <x:c r="O712" s="3"/>
      <x:c r="P712" s="3"/>
      <x:c r="Q712" s="3"/>
      <x:c r="R712" s="3"/>
      <x:c r="S712" s="3"/>
      <x:c r="T712" s="3"/>
      <x:c r="U712" s="3"/>
      <x:c r="V712" s="3"/>
      <x:c r="W712" s="3"/>
      <x:c r="X712" s="3"/>
      <x:c r="Y712" s="3"/>
      <x:c r="Z712" s="3"/>
      <x:c r="AA712" s="3"/>
      <x:c r="AB712" s="3"/>
      <x:c r="AC712" s="3"/>
      <x:c r="AD712" s="3"/>
      <x:c r="AE712" s="3"/>
      <x:c r="AF712" s="3"/>
      <x:c r="AG712" s="3"/>
      <x:c r="AH712" s="3"/>
      <x:c r="AI712" s="3"/>
      <x:c r="AJ712" s="3"/>
      <x:c r="AK712" s="3"/>
      <x:c r="AL712" s="3"/>
      <x:c r="AM712" s="3"/>
      <x:c r="AN712" s="3"/>
      <x:c r="AO712" s="3"/>
      <x:c r="AP712" s="3"/>
      <x:c r="AQ712" s="3"/>
      <x:c r="AR712" s="3"/>
      <x:c r="AS712" s="3"/>
      <x:c r="AT712" s="3"/>
      <x:c r="AU712" s="3"/>
      <x:c r="AV712" s="3"/>
      <x:c r="AW712" s="3"/>
      <x:c r="AX712" s="3"/>
      <x:c r="AY712" s="3"/>
      <x:c r="AZ712" s="3" t="str">
        <x:f>IF(AND('中古車掲載'!C713="One2car",'中古車掲載'!F713="ATTO 3",'中古車掲載'!L713="EXTENDED RANGE",'中古車掲載'!J713=2023,ISNUMBER('中古車掲載'!N713),'中古車掲載'!N713&gt;=20000,'中古車掲載'!O713&lt;=100000,'中古車掲載'!AL713=1),'中古車掲載'!U713,"")</x:f>
      </x:c>
      <x:c r="BA712" s="3" t="str">
        <x:f>IF(AND('中古車掲載'!C713="One2car",'中古車掲載'!F713="Corolla Cross",'中古車掲載'!L713="HEV PREMIUM SAFETY",'中古車掲載'!J713=2023,ISNUMBER('中古車掲載'!N713),'中古車掲載'!N713&gt;=20000,'中古車掲載'!O713&lt;=100000,'中古車掲載'!AL713=1,'中古車掲載'!Z713="https://www.one2car.com/en/cars-for-sale/toyota/corolla-cross/year-2023"),'中古車掲載'!U713,"")</x:f>
      </x:c>
      <x:c r="BB712" s="3" t="str">
        <x:f>IF(AND('中古車掲載'!C713="One2car",'中古車掲載'!F713="ATTO 3",'中古車掲載'!L713="EXTENDED RANGE",'中古車掲載'!J713=2023,ISNUMBER('中古車掲載'!N713),'中古車掲載'!N713&gt;=50000,'中古車掲載'!O713&lt;=100000,'中古車掲載'!AL713=1),'中古車掲載'!U713,"")</x:f>
      </x:c>
      <x:c r="BC712" s="3" t="str">
        <x:f>IF(AND('中古車掲載'!C713="One2car",'中古車掲載'!F713="Corolla Cross",'中古車掲載'!L713="HEV PREMIUM SAFETY",'中古車掲載'!J713=2023,ISNUMBER('中古車掲載'!N713),'中古車掲載'!N713&gt;=50000,'中古車掲載'!O713&lt;=100000,'中古車掲載'!AL713=1,'中古車掲載'!Z713="https://www.one2car.com/en/cars-for-sale/toyota/corolla-cross/year-2023"),'中古車掲載'!U713,"")</x:f>
      </x:c>
      <x:c r="BD712" s="3" t="str">
        <x:f>IF(AND('中古車掲載'!C713="One2car",'中古車掲載'!F713="ATTO 3",'中古車掲載'!L713="EXTENDED RANGE",'中古車掲載'!J713=2023,ISNUMBER('中古車掲載'!N713),'中古車掲載'!N713&gt;=20000,'中古車掲載'!O713&lt;=50000,'中古車掲載'!AL713=1),'中古車掲載'!U713,"")</x:f>
      </x:c>
      <x:c r="BE712" s="3" t="str">
        <x:f>IF(AND('中古車掲載'!C713="One2car",'中古車掲載'!F713="Corolla Cross",'中古車掲載'!L713="HEV PREMIUM SAFETY",'中古車掲載'!J713=2023,ISNUMBER('中古車掲載'!N713),'中古車掲載'!N713&gt;=20000,'中古車掲載'!O713&lt;=50000,'中古車掲載'!AL713=1,'中古車掲載'!Z713="https://www.one2car.com/en/cars-for-sale/toyota/corolla-cross/year-2023"),'中古車掲載'!U713,"")</x:f>
      </x:c>
      <x:c r="BF712" s="3" t="str">
        <x:f>IF(AND('中古車掲載'!C713="One2car",'中古車掲載'!F713="Corolla Cross",'中古車掲載'!L713="HEV PREMIUM",'中古車掲載'!J713=2023,ISNUMBER('中古車掲載'!N713),'中古車掲載'!N713&gt;=20000,'中古車掲載'!O713&lt;=100000,'中古車掲載'!AL713=1,'中古車掲載'!Z713="https://www.one2car.com/en/cars-for-sale/toyota/corolla-cross/year-2023"),'中古車掲載'!U713,"")</x:f>
      </x:c>
      <x:c r="BG712" s="3" t="str">
        <x:f>IF(AND('中古車掲載'!C713="One2car",'中古車掲載'!F713="Corolla Cross",'中古車掲載'!L713="HEV GR SPORT",'中古車掲載'!J713=2023,ISNUMBER('中古車掲載'!N713),'中古車掲載'!N713&gt;=20000,'中古車掲載'!O713&lt;=100000,'中古車掲載'!AL713=1,'中古車掲載'!Z713="https://www.one2car.com/en/cars-for-sale/toyota/corolla-cross/year-2023"),'中古車掲載'!U713,"")</x:f>
      </x:c>
      <x:c r="BH712" s="3" t="str">
        <x:f>IF(AND('中古車掲載'!C713="One2car",'中古車掲載'!F713="DOLPHIN",'中古車掲載'!L713="STANDARD RANGE",'中古車掲載'!J713=2023,ISNUMBER('中古車掲載'!N713),'中古車掲載'!N713&gt;=20000,'中古車掲載'!O713&lt;=100000,'中古車掲載'!AL713=1),'中古車掲載'!U713,"")</x:f>
      </x:c>
      <x:c r="BI712" s="3" t="str">
        <x:v>Taladrod|Hilux Revo|ICE|Unknown</x:v>
      </x:c>
      <x:c r="BJ712" s="3" t="n">
        <x:v>713</x:v>
      </x:c>
      <x:c r="BK712" s="3" t="n">
        <x:f>'中古車掲載'!AM713</x:f>
        <x:v>309000</x:v>
      </x:c>
      <x:c r="BL712" s="3" t="str">
        <x:f>IF(ISNUMBER('中古車掲載'!AN713),'中古車掲載'!AN713,"")</x:f>
      </x:c>
      <x:c r="BM712" s="3"/>
      <x:c r="BN712" s="3"/>
      <x:c r="BO712" s="3"/>
      <x:c r="BP712" s="3"/>
      <x:c r="BQ712" s="3"/>
      <x:c r="BR712" s="3"/>
    </x:row>
    <x:row r="713" ht="22" customHeight="1">
      <x:c r="A713" s="3"/>
      <x:c r="B713" s="3"/>
      <x:c r="C713" s="3"/>
      <x:c r="D713" s="3"/>
      <x:c r="E713" s="3"/>
      <x:c r="F713" s="3"/>
      <x:c r="G713" s="3"/>
      <x:c r="H713" s="3"/>
      <x:c r="I713" s="3"/>
      <x:c r="J713" s="3"/>
      <x:c r="K713" s="3"/>
      <x:c r="L713" s="3"/>
      <x:c r="M713" s="3"/>
      <x:c r="N713" s="3"/>
      <x:c r="O713" s="3"/>
      <x:c r="P713" s="3"/>
      <x:c r="Q713" s="3"/>
      <x:c r="R713" s="3"/>
      <x:c r="S713" s="3"/>
      <x:c r="T713" s="3"/>
      <x:c r="U713" s="3"/>
      <x:c r="V713" s="3"/>
      <x:c r="W713" s="3"/>
      <x:c r="X713" s="3"/>
      <x:c r="Y713" s="3"/>
      <x:c r="Z713" s="3"/>
      <x:c r="AA713" s="3"/>
      <x:c r="AB713" s="3"/>
      <x:c r="AC713" s="3"/>
      <x:c r="AD713" s="3"/>
      <x:c r="AE713" s="3"/>
      <x:c r="AF713" s="3"/>
      <x:c r="AG713" s="3"/>
      <x:c r="AH713" s="3"/>
      <x:c r="AI713" s="3"/>
      <x:c r="AJ713" s="3"/>
      <x:c r="AK713" s="3"/>
      <x:c r="AL713" s="3"/>
      <x:c r="AM713" s="3"/>
      <x:c r="AN713" s="3"/>
      <x:c r="AO713" s="3"/>
      <x:c r="AP713" s="3"/>
      <x:c r="AQ713" s="3"/>
      <x:c r="AR713" s="3"/>
      <x:c r="AS713" s="3"/>
      <x:c r="AT713" s="3"/>
      <x:c r="AU713" s="3"/>
      <x:c r="AV713" s="3"/>
      <x:c r="AW713" s="3"/>
      <x:c r="AX713" s="3"/>
      <x:c r="AY713" s="3"/>
      <x:c r="AZ713" s="3" t="str">
        <x:f>IF(AND('中古車掲載'!C714="One2car",'中古車掲載'!F714="ATTO 3",'中古車掲載'!L714="EXTENDED RANGE",'中古車掲載'!J714=2023,ISNUMBER('中古車掲載'!N714),'中古車掲載'!N714&gt;=20000,'中古車掲載'!O714&lt;=100000,'中古車掲載'!AL714=1),'中古車掲載'!U714,"")</x:f>
      </x:c>
      <x:c r="BA713" s="3" t="str">
        <x:f>IF(AND('中古車掲載'!C714="One2car",'中古車掲載'!F714="Corolla Cross",'中古車掲載'!L714="HEV PREMIUM SAFETY",'中古車掲載'!J714=2023,ISNUMBER('中古車掲載'!N714),'中古車掲載'!N714&gt;=20000,'中古車掲載'!O714&lt;=100000,'中古車掲載'!AL714=1,'中古車掲載'!Z714="https://www.one2car.com/en/cars-for-sale/toyota/corolla-cross/year-2023"),'中古車掲載'!U714,"")</x:f>
      </x:c>
      <x:c r="BB713" s="3" t="str">
        <x:f>IF(AND('中古車掲載'!C714="One2car",'中古車掲載'!F714="ATTO 3",'中古車掲載'!L714="EXTENDED RANGE",'中古車掲載'!J714=2023,ISNUMBER('中古車掲載'!N714),'中古車掲載'!N714&gt;=50000,'中古車掲載'!O714&lt;=100000,'中古車掲載'!AL714=1),'中古車掲載'!U714,"")</x:f>
      </x:c>
      <x:c r="BC713" s="3" t="str">
        <x:f>IF(AND('中古車掲載'!C714="One2car",'中古車掲載'!F714="Corolla Cross",'中古車掲載'!L714="HEV PREMIUM SAFETY",'中古車掲載'!J714=2023,ISNUMBER('中古車掲載'!N714),'中古車掲載'!N714&gt;=50000,'中古車掲載'!O714&lt;=100000,'中古車掲載'!AL714=1,'中古車掲載'!Z714="https://www.one2car.com/en/cars-for-sale/toyota/corolla-cross/year-2023"),'中古車掲載'!U714,"")</x:f>
      </x:c>
      <x:c r="BD713" s="3" t="str">
        <x:f>IF(AND('中古車掲載'!C714="One2car",'中古車掲載'!F714="ATTO 3",'中古車掲載'!L714="EXTENDED RANGE",'中古車掲載'!J714=2023,ISNUMBER('中古車掲載'!N714),'中古車掲載'!N714&gt;=20000,'中古車掲載'!O714&lt;=50000,'中古車掲載'!AL714=1),'中古車掲載'!U714,"")</x:f>
      </x:c>
      <x:c r="BE713" s="3" t="str">
        <x:f>IF(AND('中古車掲載'!C714="One2car",'中古車掲載'!F714="Corolla Cross",'中古車掲載'!L714="HEV PREMIUM SAFETY",'中古車掲載'!J714=2023,ISNUMBER('中古車掲載'!N714),'中古車掲載'!N714&gt;=20000,'中古車掲載'!O714&lt;=50000,'中古車掲載'!AL714=1,'中古車掲載'!Z714="https://www.one2car.com/en/cars-for-sale/toyota/corolla-cross/year-2023"),'中古車掲載'!U714,"")</x:f>
      </x:c>
      <x:c r="BF713" s="3" t="str">
        <x:f>IF(AND('中古車掲載'!C714="One2car",'中古車掲載'!F714="Corolla Cross",'中古車掲載'!L714="HEV PREMIUM",'中古車掲載'!J714=2023,ISNUMBER('中古車掲載'!N714),'中古車掲載'!N714&gt;=20000,'中古車掲載'!O714&lt;=100000,'中古車掲載'!AL714=1,'中古車掲載'!Z714="https://www.one2car.com/en/cars-for-sale/toyota/corolla-cross/year-2023"),'中古車掲載'!U714,"")</x:f>
      </x:c>
      <x:c r="BG713" s="3" t="str">
        <x:f>IF(AND('中古車掲載'!C714="One2car",'中古車掲載'!F714="Corolla Cross",'中古車掲載'!L714="HEV GR SPORT",'中古車掲載'!J714=2023,ISNUMBER('中古車掲載'!N714),'中古車掲載'!N714&gt;=20000,'中古車掲載'!O714&lt;=100000,'中古車掲載'!AL714=1,'中古車掲載'!Z714="https://www.one2car.com/en/cars-for-sale/toyota/corolla-cross/year-2023"),'中古車掲載'!U714,"")</x:f>
      </x:c>
      <x:c r="BH713" s="3" t="str">
        <x:f>IF(AND('中古車掲載'!C714="One2car",'中古車掲載'!F714="DOLPHIN",'中古車掲載'!L714="STANDARD RANGE",'中古車掲載'!J714=2023,ISNUMBER('中古車掲載'!N714),'中古車掲載'!N714&gt;=20000,'中古車掲載'!O714&lt;=100000,'中古車掲載'!AL714=1),'中古車掲載'!U714,"")</x:f>
      </x:c>
      <x:c r="BI713" s="3" t="str">
        <x:v>Taladrod|Hilux Revo|ICE|Unknown</x:v>
      </x:c>
      <x:c r="BJ713" s="3" t="n">
        <x:v>714</x:v>
      </x:c>
      <x:c r="BK713" s="3" t="n">
        <x:f>'中古車掲載'!AM714</x:f>
        <x:v>344000</x:v>
      </x:c>
      <x:c r="BL713" s="3" t="str">
        <x:f>IF(ISNUMBER('中古車掲載'!AN714),'中古車掲載'!AN714,"")</x:f>
      </x:c>
      <x:c r="BM713" s="3"/>
      <x:c r="BN713" s="3"/>
      <x:c r="BO713" s="3"/>
      <x:c r="BP713" s="3"/>
      <x:c r="BQ713" s="3"/>
      <x:c r="BR713" s="3"/>
    </x:row>
    <x:row r="714" ht="22" customHeight="1">
      <x:c r="A714" s="3"/>
      <x:c r="B714" s="3"/>
      <x:c r="C714" s="3"/>
      <x:c r="D714" s="3"/>
      <x:c r="E714" s="3"/>
      <x:c r="F714" s="3"/>
      <x:c r="G714" s="3"/>
      <x:c r="H714" s="3"/>
      <x:c r="I714" s="3"/>
      <x:c r="J714" s="3"/>
      <x:c r="K714" s="3"/>
      <x:c r="L714" s="3"/>
      <x:c r="M714" s="3"/>
      <x:c r="N714" s="3"/>
      <x:c r="O714" s="3"/>
      <x:c r="P714" s="3"/>
      <x:c r="Q714" s="3"/>
      <x:c r="R714" s="3"/>
      <x:c r="S714" s="3"/>
      <x:c r="T714" s="3"/>
      <x:c r="U714" s="3"/>
      <x:c r="V714" s="3"/>
      <x:c r="W714" s="3"/>
      <x:c r="X714" s="3"/>
      <x:c r="Y714" s="3"/>
      <x:c r="Z714" s="3"/>
      <x:c r="AA714" s="3"/>
      <x:c r="AB714" s="3"/>
      <x:c r="AC714" s="3"/>
      <x:c r="AD714" s="3"/>
      <x:c r="AE714" s="3"/>
      <x:c r="AF714" s="3"/>
      <x:c r="AG714" s="3"/>
      <x:c r="AH714" s="3"/>
      <x:c r="AI714" s="3"/>
      <x:c r="AJ714" s="3"/>
      <x:c r="AK714" s="3"/>
      <x:c r="AL714" s="3"/>
      <x:c r="AM714" s="3"/>
      <x:c r="AN714" s="3"/>
      <x:c r="AO714" s="3"/>
      <x:c r="AP714" s="3"/>
      <x:c r="AQ714" s="3"/>
      <x:c r="AR714" s="3"/>
      <x:c r="AS714" s="3"/>
      <x:c r="AT714" s="3"/>
      <x:c r="AU714" s="3"/>
      <x:c r="AV714" s="3"/>
      <x:c r="AW714" s="3"/>
      <x:c r="AX714" s="3"/>
      <x:c r="AY714" s="3"/>
      <x:c r="AZ714" s="3" t="str">
        <x:f>IF(AND('中古車掲載'!C715="One2car",'中古車掲載'!F715="ATTO 3",'中古車掲載'!L715="EXTENDED RANGE",'中古車掲載'!J715=2023,ISNUMBER('中古車掲載'!N715),'中古車掲載'!N715&gt;=20000,'中古車掲載'!O715&lt;=100000,'中古車掲載'!AL715=1),'中古車掲載'!U715,"")</x:f>
      </x:c>
      <x:c r="BA714" s="3" t="str">
        <x:f>IF(AND('中古車掲載'!C715="One2car",'中古車掲載'!F715="Corolla Cross",'中古車掲載'!L715="HEV PREMIUM SAFETY",'中古車掲載'!J715=2023,ISNUMBER('中古車掲載'!N715),'中古車掲載'!N715&gt;=20000,'中古車掲載'!O715&lt;=100000,'中古車掲載'!AL715=1,'中古車掲載'!Z715="https://www.one2car.com/en/cars-for-sale/toyota/corolla-cross/year-2023"),'中古車掲載'!U715,"")</x:f>
      </x:c>
      <x:c r="BB714" s="3" t="str">
        <x:f>IF(AND('中古車掲載'!C715="One2car",'中古車掲載'!F715="ATTO 3",'中古車掲載'!L715="EXTENDED RANGE",'中古車掲載'!J715=2023,ISNUMBER('中古車掲載'!N715),'中古車掲載'!N715&gt;=50000,'中古車掲載'!O715&lt;=100000,'中古車掲載'!AL715=1),'中古車掲載'!U715,"")</x:f>
      </x:c>
      <x:c r="BC714" s="3" t="str">
        <x:f>IF(AND('中古車掲載'!C715="One2car",'中古車掲載'!F715="Corolla Cross",'中古車掲載'!L715="HEV PREMIUM SAFETY",'中古車掲載'!J715=2023,ISNUMBER('中古車掲載'!N715),'中古車掲載'!N715&gt;=50000,'中古車掲載'!O715&lt;=100000,'中古車掲載'!AL715=1,'中古車掲載'!Z715="https://www.one2car.com/en/cars-for-sale/toyota/corolla-cross/year-2023"),'中古車掲載'!U715,"")</x:f>
      </x:c>
      <x:c r="BD714" s="3" t="str">
        <x:f>IF(AND('中古車掲載'!C715="One2car",'中古車掲載'!F715="ATTO 3",'中古車掲載'!L715="EXTENDED RANGE",'中古車掲載'!J715=2023,ISNUMBER('中古車掲載'!N715),'中古車掲載'!N715&gt;=20000,'中古車掲載'!O715&lt;=50000,'中古車掲載'!AL715=1),'中古車掲載'!U715,"")</x:f>
      </x:c>
      <x:c r="BE714" s="3" t="str">
        <x:f>IF(AND('中古車掲載'!C715="One2car",'中古車掲載'!F715="Corolla Cross",'中古車掲載'!L715="HEV PREMIUM SAFETY",'中古車掲載'!J715=2023,ISNUMBER('中古車掲載'!N715),'中古車掲載'!N715&gt;=20000,'中古車掲載'!O715&lt;=50000,'中古車掲載'!AL715=1,'中古車掲載'!Z715="https://www.one2car.com/en/cars-for-sale/toyota/corolla-cross/year-2023"),'中古車掲載'!U715,"")</x:f>
      </x:c>
      <x:c r="BF714" s="3" t="str">
        <x:f>IF(AND('中古車掲載'!C715="One2car",'中古車掲載'!F715="Corolla Cross",'中古車掲載'!L715="HEV PREMIUM",'中古車掲載'!J715=2023,ISNUMBER('中古車掲載'!N715),'中古車掲載'!N715&gt;=20000,'中古車掲載'!O715&lt;=100000,'中古車掲載'!AL715=1,'中古車掲載'!Z715="https://www.one2car.com/en/cars-for-sale/toyota/corolla-cross/year-2023"),'中古車掲載'!U715,"")</x:f>
      </x:c>
      <x:c r="BG714" s="3" t="str">
        <x:f>IF(AND('中古車掲載'!C715="One2car",'中古車掲載'!F715="Corolla Cross",'中古車掲載'!L715="HEV GR SPORT",'中古車掲載'!J715=2023,ISNUMBER('中古車掲載'!N715),'中古車掲載'!N715&gt;=20000,'中古車掲載'!O715&lt;=100000,'中古車掲載'!AL715=1,'中古車掲載'!Z715="https://www.one2car.com/en/cars-for-sale/toyota/corolla-cross/year-2023"),'中古車掲載'!U715,"")</x:f>
      </x:c>
      <x:c r="BH714" s="3" t="str">
        <x:f>IF(AND('中古車掲載'!C715="One2car",'中古車掲載'!F715="DOLPHIN",'中古車掲載'!L715="STANDARD RANGE",'中古車掲載'!J715=2023,ISNUMBER('中古車掲載'!N715),'中古車掲載'!N715&gt;=20000,'中古車掲載'!O715&lt;=100000,'中古車掲載'!AL715=1),'中古車掲載'!U715,"")</x:f>
      </x:c>
      <x:c r="BI714" s="3" t="str">
        <x:v>Taladrod|Hilux Revo|ICE|Unknown</x:v>
      </x:c>
      <x:c r="BJ714" s="3" t="n">
        <x:v>715</x:v>
      </x:c>
      <x:c r="BK714" s="3" t="n">
        <x:f>'中古車掲載'!AM715</x:f>
        <x:v>334000</x:v>
      </x:c>
      <x:c r="BL714" s="3" t="str">
        <x:f>IF(ISNUMBER('中古車掲載'!AN715),'中古車掲載'!AN715,"")</x:f>
      </x:c>
      <x:c r="BM714" s="3"/>
      <x:c r="BN714" s="3"/>
      <x:c r="BO714" s="3"/>
      <x:c r="BP714" s="3"/>
      <x:c r="BQ714" s="3"/>
      <x:c r="BR714" s="3"/>
    </x:row>
    <x:row r="715" ht="22" customHeight="1">
      <x:c r="A715" s="3"/>
      <x:c r="B715" s="3"/>
      <x:c r="C715" s="3"/>
      <x:c r="D715" s="3"/>
      <x:c r="E715" s="3"/>
      <x:c r="F715" s="3"/>
      <x:c r="G715" s="3"/>
      <x:c r="H715" s="3"/>
      <x:c r="I715" s="3"/>
      <x:c r="J715" s="3"/>
      <x:c r="K715" s="3"/>
      <x:c r="L715" s="3"/>
      <x:c r="M715" s="3"/>
      <x:c r="N715" s="3"/>
      <x:c r="O715" s="3"/>
      <x:c r="P715" s="3"/>
      <x:c r="Q715" s="3"/>
      <x:c r="R715" s="3"/>
      <x:c r="S715" s="3"/>
      <x:c r="T715" s="3"/>
      <x:c r="U715" s="3"/>
      <x:c r="V715" s="3"/>
      <x:c r="W715" s="3"/>
      <x:c r="X715" s="3"/>
      <x:c r="Y715" s="3"/>
      <x:c r="Z715" s="3"/>
      <x:c r="AA715" s="3"/>
      <x:c r="AB715" s="3"/>
      <x:c r="AC715" s="3"/>
      <x:c r="AD715" s="3"/>
      <x:c r="AE715" s="3"/>
      <x:c r="AF715" s="3"/>
      <x:c r="AG715" s="3"/>
      <x:c r="AH715" s="3"/>
      <x:c r="AI715" s="3"/>
      <x:c r="AJ715" s="3"/>
      <x:c r="AK715" s="3"/>
      <x:c r="AL715" s="3"/>
      <x:c r="AM715" s="3"/>
      <x:c r="AN715" s="3"/>
      <x:c r="AO715" s="3"/>
      <x:c r="AP715" s="3"/>
      <x:c r="AQ715" s="3"/>
      <x:c r="AR715" s="3"/>
      <x:c r="AS715" s="3"/>
      <x:c r="AT715" s="3"/>
      <x:c r="AU715" s="3"/>
      <x:c r="AV715" s="3"/>
      <x:c r="AW715" s="3"/>
      <x:c r="AX715" s="3"/>
      <x:c r="AY715" s="3"/>
      <x:c r="AZ715" s="3" t="str">
        <x:f>IF(AND('中古車掲載'!C716="One2car",'中古車掲載'!F716="ATTO 3",'中古車掲載'!L716="EXTENDED RANGE",'中古車掲載'!J716=2023,ISNUMBER('中古車掲載'!N716),'中古車掲載'!N716&gt;=20000,'中古車掲載'!O716&lt;=100000,'中古車掲載'!AL716=1),'中古車掲載'!U716,"")</x:f>
      </x:c>
      <x:c r="BA715" s="3" t="str">
        <x:f>IF(AND('中古車掲載'!C716="One2car",'中古車掲載'!F716="Corolla Cross",'中古車掲載'!L716="HEV PREMIUM SAFETY",'中古車掲載'!J716=2023,ISNUMBER('中古車掲載'!N716),'中古車掲載'!N716&gt;=20000,'中古車掲載'!O716&lt;=100000,'中古車掲載'!AL716=1,'中古車掲載'!Z716="https://www.one2car.com/en/cars-for-sale/toyota/corolla-cross/year-2023"),'中古車掲載'!U716,"")</x:f>
      </x:c>
      <x:c r="BB715" s="3" t="str">
        <x:f>IF(AND('中古車掲載'!C716="One2car",'中古車掲載'!F716="ATTO 3",'中古車掲載'!L716="EXTENDED RANGE",'中古車掲載'!J716=2023,ISNUMBER('中古車掲載'!N716),'中古車掲載'!N716&gt;=50000,'中古車掲載'!O716&lt;=100000,'中古車掲載'!AL716=1),'中古車掲載'!U716,"")</x:f>
      </x:c>
      <x:c r="BC715" s="3" t="str">
        <x:f>IF(AND('中古車掲載'!C716="One2car",'中古車掲載'!F716="Corolla Cross",'中古車掲載'!L716="HEV PREMIUM SAFETY",'中古車掲載'!J716=2023,ISNUMBER('中古車掲載'!N716),'中古車掲載'!N716&gt;=50000,'中古車掲載'!O716&lt;=100000,'中古車掲載'!AL716=1,'中古車掲載'!Z716="https://www.one2car.com/en/cars-for-sale/toyota/corolla-cross/year-2023"),'中古車掲載'!U716,"")</x:f>
      </x:c>
      <x:c r="BD715" s="3" t="str">
        <x:f>IF(AND('中古車掲載'!C716="One2car",'中古車掲載'!F716="ATTO 3",'中古車掲載'!L716="EXTENDED RANGE",'中古車掲載'!J716=2023,ISNUMBER('中古車掲載'!N716),'中古車掲載'!N716&gt;=20000,'中古車掲載'!O716&lt;=50000,'中古車掲載'!AL716=1),'中古車掲載'!U716,"")</x:f>
      </x:c>
      <x:c r="BE715" s="3" t="str">
        <x:f>IF(AND('中古車掲載'!C716="One2car",'中古車掲載'!F716="Corolla Cross",'中古車掲載'!L716="HEV PREMIUM SAFETY",'中古車掲載'!J716=2023,ISNUMBER('中古車掲載'!N716),'中古車掲載'!N716&gt;=20000,'中古車掲載'!O716&lt;=50000,'中古車掲載'!AL716=1,'中古車掲載'!Z716="https://www.one2car.com/en/cars-for-sale/toyota/corolla-cross/year-2023"),'中古車掲載'!U716,"")</x:f>
      </x:c>
      <x:c r="BF715" s="3" t="str">
        <x:f>IF(AND('中古車掲載'!C716="One2car",'中古車掲載'!F716="Corolla Cross",'中古車掲載'!L716="HEV PREMIUM",'中古車掲載'!J716=2023,ISNUMBER('中古車掲載'!N716),'中古車掲載'!N716&gt;=20000,'中古車掲載'!O716&lt;=100000,'中古車掲載'!AL716=1,'中古車掲載'!Z716="https://www.one2car.com/en/cars-for-sale/toyota/corolla-cross/year-2023"),'中古車掲載'!U716,"")</x:f>
      </x:c>
      <x:c r="BG715" s="3" t="str">
        <x:f>IF(AND('中古車掲載'!C716="One2car",'中古車掲載'!F716="Corolla Cross",'中古車掲載'!L716="HEV GR SPORT",'中古車掲載'!J716=2023,ISNUMBER('中古車掲載'!N716),'中古車掲載'!N716&gt;=20000,'中古車掲載'!O716&lt;=100000,'中古車掲載'!AL716=1,'中古車掲載'!Z716="https://www.one2car.com/en/cars-for-sale/toyota/corolla-cross/year-2023"),'中古車掲載'!U716,"")</x:f>
      </x:c>
      <x:c r="BH715" s="3" t="str">
        <x:f>IF(AND('中古車掲載'!C716="One2car",'中古車掲載'!F716="DOLPHIN",'中古車掲載'!L716="STANDARD RANGE",'中古車掲載'!J716=2023,ISNUMBER('中古車掲載'!N716),'中古車掲載'!N716&gt;=20000,'中古車掲載'!O716&lt;=100000,'中古車掲載'!AL716=1),'中古車掲載'!U716,"")</x:f>
      </x:c>
      <x:c r="BI715" s="3" t="str">
        <x:v>Taladrod|Hilux Revo|ICE|Unknown</x:v>
      </x:c>
      <x:c r="BJ715" s="3" t="n">
        <x:v>716</x:v>
      </x:c>
      <x:c r="BK715" s="3" t="n">
        <x:f>'中古車掲載'!AM716</x:f>
        <x:v>429000</x:v>
      </x:c>
      <x:c r="BL715" s="3" t="str">
        <x:f>IF(ISNUMBER('中古車掲載'!AN716),'中古車掲載'!AN716,"")</x:f>
      </x:c>
      <x:c r="BM715" s="3"/>
      <x:c r="BN715" s="3"/>
      <x:c r="BO715" s="3"/>
      <x:c r="BP715" s="3"/>
      <x:c r="BQ715" s="3"/>
      <x:c r="BR715" s="3"/>
    </x:row>
    <x:row r="716" ht="22" customHeight="1">
      <x:c r="A716" s="3"/>
      <x:c r="B716" s="3"/>
      <x:c r="C716" s="3"/>
      <x:c r="D716" s="3"/>
      <x:c r="E716" s="3"/>
      <x:c r="F716" s="3"/>
      <x:c r="G716" s="3"/>
      <x:c r="H716" s="3"/>
      <x:c r="I716" s="3"/>
      <x:c r="J716" s="3"/>
      <x:c r="K716" s="3"/>
      <x:c r="L716" s="3"/>
      <x:c r="M716" s="3"/>
      <x:c r="N716" s="3"/>
      <x:c r="O716" s="3"/>
      <x:c r="P716" s="3"/>
      <x:c r="Q716" s="3"/>
      <x:c r="R716" s="3"/>
      <x:c r="S716" s="3"/>
      <x:c r="T716" s="3"/>
      <x:c r="U716" s="3"/>
      <x:c r="V716" s="3"/>
      <x:c r="W716" s="3"/>
      <x:c r="X716" s="3"/>
      <x:c r="Y716" s="3"/>
      <x:c r="Z716" s="3"/>
      <x:c r="AA716" s="3"/>
      <x:c r="AB716" s="3"/>
      <x:c r="AC716" s="3"/>
      <x:c r="AD716" s="3"/>
      <x:c r="AE716" s="3"/>
      <x:c r="AF716" s="3"/>
      <x:c r="AG716" s="3"/>
      <x:c r="AH716" s="3"/>
      <x:c r="AI716" s="3"/>
      <x:c r="AJ716" s="3"/>
      <x:c r="AK716" s="3"/>
      <x:c r="AL716" s="3"/>
      <x:c r="AM716" s="3"/>
      <x:c r="AN716" s="3"/>
      <x:c r="AO716" s="3"/>
      <x:c r="AP716" s="3"/>
      <x:c r="AQ716" s="3"/>
      <x:c r="AR716" s="3"/>
      <x:c r="AS716" s="3"/>
      <x:c r="AT716" s="3"/>
      <x:c r="AU716" s="3"/>
      <x:c r="AV716" s="3"/>
      <x:c r="AW716" s="3"/>
      <x:c r="AX716" s="3"/>
      <x:c r="AY716" s="3"/>
      <x:c r="AZ716" s="3" t="str">
        <x:f>IF(AND('中古車掲載'!C717="One2car",'中古車掲載'!F717="ATTO 3",'中古車掲載'!L717="EXTENDED RANGE",'中古車掲載'!J717=2023,ISNUMBER('中古車掲載'!N717),'中古車掲載'!N717&gt;=20000,'中古車掲載'!O717&lt;=100000,'中古車掲載'!AL717=1),'中古車掲載'!U717,"")</x:f>
      </x:c>
      <x:c r="BA716" s="3" t="str">
        <x:f>IF(AND('中古車掲載'!C717="One2car",'中古車掲載'!F717="Corolla Cross",'中古車掲載'!L717="HEV PREMIUM SAFETY",'中古車掲載'!J717=2023,ISNUMBER('中古車掲載'!N717),'中古車掲載'!N717&gt;=20000,'中古車掲載'!O717&lt;=100000,'中古車掲載'!AL717=1,'中古車掲載'!Z717="https://www.one2car.com/en/cars-for-sale/toyota/corolla-cross/year-2023"),'中古車掲載'!U717,"")</x:f>
      </x:c>
      <x:c r="BB716" s="3" t="str">
        <x:f>IF(AND('中古車掲載'!C717="One2car",'中古車掲載'!F717="ATTO 3",'中古車掲載'!L717="EXTENDED RANGE",'中古車掲載'!J717=2023,ISNUMBER('中古車掲載'!N717),'中古車掲載'!N717&gt;=50000,'中古車掲載'!O717&lt;=100000,'中古車掲載'!AL717=1),'中古車掲載'!U717,"")</x:f>
      </x:c>
      <x:c r="BC716" s="3" t="str">
        <x:f>IF(AND('中古車掲載'!C717="One2car",'中古車掲載'!F717="Corolla Cross",'中古車掲載'!L717="HEV PREMIUM SAFETY",'中古車掲載'!J717=2023,ISNUMBER('中古車掲載'!N717),'中古車掲載'!N717&gt;=50000,'中古車掲載'!O717&lt;=100000,'中古車掲載'!AL717=1,'中古車掲載'!Z717="https://www.one2car.com/en/cars-for-sale/toyota/corolla-cross/year-2023"),'中古車掲載'!U717,"")</x:f>
      </x:c>
      <x:c r="BD716" s="3" t="str">
        <x:f>IF(AND('中古車掲載'!C717="One2car",'中古車掲載'!F717="ATTO 3",'中古車掲載'!L717="EXTENDED RANGE",'中古車掲載'!J717=2023,ISNUMBER('中古車掲載'!N717),'中古車掲載'!N717&gt;=20000,'中古車掲載'!O717&lt;=50000,'中古車掲載'!AL717=1),'中古車掲載'!U717,"")</x:f>
      </x:c>
      <x:c r="BE716" s="3" t="str">
        <x:f>IF(AND('中古車掲載'!C717="One2car",'中古車掲載'!F717="Corolla Cross",'中古車掲載'!L717="HEV PREMIUM SAFETY",'中古車掲載'!J717=2023,ISNUMBER('中古車掲載'!N717),'中古車掲載'!N717&gt;=20000,'中古車掲載'!O717&lt;=50000,'中古車掲載'!AL717=1,'中古車掲載'!Z717="https://www.one2car.com/en/cars-for-sale/toyota/corolla-cross/year-2023"),'中古車掲載'!U717,"")</x:f>
      </x:c>
      <x:c r="BF716" s="3" t="str">
        <x:f>IF(AND('中古車掲載'!C717="One2car",'中古車掲載'!F717="Corolla Cross",'中古車掲載'!L717="HEV PREMIUM",'中古車掲載'!J717=2023,ISNUMBER('中古車掲載'!N717),'中古車掲載'!N717&gt;=20000,'中古車掲載'!O717&lt;=100000,'中古車掲載'!AL717=1,'中古車掲載'!Z717="https://www.one2car.com/en/cars-for-sale/toyota/corolla-cross/year-2023"),'中古車掲載'!U717,"")</x:f>
      </x:c>
      <x:c r="BG716" s="3" t="str">
        <x:f>IF(AND('中古車掲載'!C717="One2car",'中古車掲載'!F717="Corolla Cross",'中古車掲載'!L717="HEV GR SPORT",'中古車掲載'!J717=2023,ISNUMBER('中古車掲載'!N717),'中古車掲載'!N717&gt;=20000,'中古車掲載'!O717&lt;=100000,'中古車掲載'!AL717=1,'中古車掲載'!Z717="https://www.one2car.com/en/cars-for-sale/toyota/corolla-cross/year-2023"),'中古車掲載'!U717,"")</x:f>
      </x:c>
      <x:c r="BH716" s="3" t="str">
        <x:f>IF(AND('中古車掲載'!C717="One2car",'中古車掲載'!F717="DOLPHIN",'中古車掲載'!L717="STANDARD RANGE",'中古車掲載'!J717=2023,ISNUMBER('中古車掲載'!N717),'中古車掲載'!N717&gt;=20000,'中古車掲載'!O717&lt;=100000,'中古車掲載'!AL717=1),'中古車掲載'!U717,"")</x:f>
      </x:c>
      <x:c r="BI716" s="3" t="str">
        <x:v>Taladrod|Hilux Revo|ICE|Unknown</x:v>
      </x:c>
      <x:c r="BJ716" s="3" t="n">
        <x:v>717</x:v>
      </x:c>
      <x:c r="BK716" s="3" t="n">
        <x:f>'中古車掲載'!AM717</x:f>
        <x:v>449000</x:v>
      </x:c>
      <x:c r="BL716" s="3" t="str">
        <x:f>IF(ISNUMBER('中古車掲載'!AN717),'中古車掲載'!AN717,"")</x:f>
      </x:c>
      <x:c r="BM716" s="3"/>
      <x:c r="BN716" s="3"/>
      <x:c r="BO716" s="3"/>
      <x:c r="BP716" s="3"/>
      <x:c r="BQ716" s="3"/>
      <x:c r="BR716" s="3"/>
    </x:row>
    <x:row r="717" ht="22" customHeight="1">
      <x:c r="A717" s="3"/>
      <x:c r="B717" s="3"/>
      <x:c r="C717" s="3"/>
      <x:c r="D717" s="3"/>
      <x:c r="E717" s="3"/>
      <x:c r="F717" s="3"/>
      <x:c r="G717" s="3"/>
      <x:c r="H717" s="3"/>
      <x:c r="I717" s="3"/>
      <x:c r="J717" s="3"/>
      <x:c r="K717" s="3"/>
      <x:c r="L717" s="3"/>
      <x:c r="M717" s="3"/>
      <x:c r="N717" s="3"/>
      <x:c r="O717" s="3"/>
      <x:c r="P717" s="3"/>
      <x:c r="Q717" s="3"/>
      <x:c r="R717" s="3"/>
      <x:c r="S717" s="3"/>
      <x:c r="T717" s="3"/>
      <x:c r="U717" s="3"/>
      <x:c r="V717" s="3"/>
      <x:c r="W717" s="3"/>
      <x:c r="X717" s="3"/>
      <x:c r="Y717" s="3"/>
      <x:c r="Z717" s="3"/>
      <x:c r="AA717" s="3"/>
      <x:c r="AB717" s="3"/>
      <x:c r="AC717" s="3"/>
      <x:c r="AD717" s="3"/>
      <x:c r="AE717" s="3"/>
      <x:c r="AF717" s="3"/>
      <x:c r="AG717" s="3"/>
      <x:c r="AH717" s="3"/>
      <x:c r="AI717" s="3"/>
      <x:c r="AJ717" s="3"/>
      <x:c r="AK717" s="3"/>
      <x:c r="AL717" s="3"/>
      <x:c r="AM717" s="3"/>
      <x:c r="AN717" s="3"/>
      <x:c r="AO717" s="3"/>
      <x:c r="AP717" s="3"/>
      <x:c r="AQ717" s="3"/>
      <x:c r="AR717" s="3"/>
      <x:c r="AS717" s="3"/>
      <x:c r="AT717" s="3"/>
      <x:c r="AU717" s="3"/>
      <x:c r="AV717" s="3"/>
      <x:c r="AW717" s="3"/>
      <x:c r="AX717" s="3"/>
      <x:c r="AY717" s="3"/>
      <x:c r="AZ717" s="3" t="str">
        <x:f>IF(AND('中古車掲載'!C718="One2car",'中古車掲載'!F718="ATTO 3",'中古車掲載'!L718="EXTENDED RANGE",'中古車掲載'!J718=2023,ISNUMBER('中古車掲載'!N718),'中古車掲載'!N718&gt;=20000,'中古車掲載'!O718&lt;=100000,'中古車掲載'!AL718=1),'中古車掲載'!U718,"")</x:f>
      </x:c>
      <x:c r="BA717" s="3" t="str">
        <x:f>IF(AND('中古車掲載'!C718="One2car",'中古車掲載'!F718="Corolla Cross",'中古車掲載'!L718="HEV PREMIUM SAFETY",'中古車掲載'!J718=2023,ISNUMBER('中古車掲載'!N718),'中古車掲載'!N718&gt;=20000,'中古車掲載'!O718&lt;=100000,'中古車掲載'!AL718=1,'中古車掲載'!Z718="https://www.one2car.com/en/cars-for-sale/toyota/corolla-cross/year-2023"),'中古車掲載'!U718,"")</x:f>
      </x:c>
      <x:c r="BB717" s="3" t="str">
        <x:f>IF(AND('中古車掲載'!C718="One2car",'中古車掲載'!F718="ATTO 3",'中古車掲載'!L718="EXTENDED RANGE",'中古車掲載'!J718=2023,ISNUMBER('中古車掲載'!N718),'中古車掲載'!N718&gt;=50000,'中古車掲載'!O718&lt;=100000,'中古車掲載'!AL718=1),'中古車掲載'!U718,"")</x:f>
      </x:c>
      <x:c r="BC717" s="3" t="str">
        <x:f>IF(AND('中古車掲載'!C718="One2car",'中古車掲載'!F718="Corolla Cross",'中古車掲載'!L718="HEV PREMIUM SAFETY",'中古車掲載'!J718=2023,ISNUMBER('中古車掲載'!N718),'中古車掲載'!N718&gt;=50000,'中古車掲載'!O718&lt;=100000,'中古車掲載'!AL718=1,'中古車掲載'!Z718="https://www.one2car.com/en/cars-for-sale/toyota/corolla-cross/year-2023"),'中古車掲載'!U718,"")</x:f>
      </x:c>
      <x:c r="BD717" s="3" t="str">
        <x:f>IF(AND('中古車掲載'!C718="One2car",'中古車掲載'!F718="ATTO 3",'中古車掲載'!L718="EXTENDED RANGE",'中古車掲載'!J718=2023,ISNUMBER('中古車掲載'!N718),'中古車掲載'!N718&gt;=20000,'中古車掲載'!O718&lt;=50000,'中古車掲載'!AL718=1),'中古車掲載'!U718,"")</x:f>
      </x:c>
      <x:c r="BE717" s="3" t="str">
        <x:f>IF(AND('中古車掲載'!C718="One2car",'中古車掲載'!F718="Corolla Cross",'中古車掲載'!L718="HEV PREMIUM SAFETY",'中古車掲載'!J718=2023,ISNUMBER('中古車掲載'!N718),'中古車掲載'!N718&gt;=20000,'中古車掲載'!O718&lt;=50000,'中古車掲載'!AL718=1,'中古車掲載'!Z718="https://www.one2car.com/en/cars-for-sale/toyota/corolla-cross/year-2023"),'中古車掲載'!U718,"")</x:f>
      </x:c>
      <x:c r="BF717" s="3" t="str">
        <x:f>IF(AND('中古車掲載'!C718="One2car",'中古車掲載'!F718="Corolla Cross",'中古車掲載'!L718="HEV PREMIUM",'中古車掲載'!J718=2023,ISNUMBER('中古車掲載'!N718),'中古車掲載'!N718&gt;=20000,'中古車掲載'!O718&lt;=100000,'中古車掲載'!AL718=1,'中古車掲載'!Z718="https://www.one2car.com/en/cars-for-sale/toyota/corolla-cross/year-2023"),'中古車掲載'!U718,"")</x:f>
      </x:c>
      <x:c r="BG717" s="3" t="str">
        <x:f>IF(AND('中古車掲載'!C718="One2car",'中古車掲載'!F718="Corolla Cross",'中古車掲載'!L718="HEV GR SPORT",'中古車掲載'!J718=2023,ISNUMBER('中古車掲載'!N718),'中古車掲載'!N718&gt;=20000,'中古車掲載'!O718&lt;=100000,'中古車掲載'!AL718=1,'中古車掲載'!Z718="https://www.one2car.com/en/cars-for-sale/toyota/corolla-cross/year-2023"),'中古車掲載'!U718,"")</x:f>
      </x:c>
      <x:c r="BH717" s="3" t="str">
        <x:f>IF(AND('中古車掲載'!C718="One2car",'中古車掲載'!F718="DOLPHIN",'中古車掲載'!L718="STANDARD RANGE",'中古車掲載'!J718=2023,ISNUMBER('中古車掲載'!N718),'中古車掲載'!N718&gt;=20000,'中古車掲載'!O718&lt;=100000,'中古車掲載'!AL718=1),'中古車掲載'!U718,"")</x:f>
      </x:c>
      <x:c r="BI717" s="3" t="str">
        <x:v>Taladrod|Hilux Revo|ICE|Unknown</x:v>
      </x:c>
      <x:c r="BJ717" s="3" t="n">
        <x:v>718</x:v>
      </x:c>
      <x:c r="BK717" s="3" t="n">
        <x:f>'中古車掲載'!AM718</x:f>
        <x:v>297000</x:v>
      </x:c>
      <x:c r="BL717" s="3" t="str">
        <x:f>IF(ISNUMBER('中古車掲載'!AN718),'中古車掲載'!AN718,"")</x:f>
      </x:c>
      <x:c r="BM717" s="3"/>
      <x:c r="BN717" s="3"/>
      <x:c r="BO717" s="3"/>
      <x:c r="BP717" s="3"/>
      <x:c r="BQ717" s="3"/>
      <x:c r="BR717" s="3"/>
    </x:row>
    <x:row r="718" ht="22" customHeight="1">
      <x:c r="A718" s="3"/>
      <x:c r="B718" s="3"/>
      <x:c r="C718" s="3"/>
      <x:c r="D718" s="3"/>
      <x:c r="E718" s="3"/>
      <x:c r="F718" s="3"/>
      <x:c r="G718" s="3"/>
      <x:c r="H718" s="3"/>
      <x:c r="I718" s="3"/>
      <x:c r="J718" s="3"/>
      <x:c r="K718" s="3"/>
      <x:c r="L718" s="3"/>
      <x:c r="M718" s="3"/>
      <x:c r="N718" s="3"/>
      <x:c r="O718" s="3"/>
      <x:c r="P718" s="3"/>
      <x:c r="Q718" s="3"/>
      <x:c r="R718" s="3"/>
      <x:c r="S718" s="3"/>
      <x:c r="T718" s="3"/>
      <x:c r="U718" s="3"/>
      <x:c r="V718" s="3"/>
      <x:c r="W718" s="3"/>
      <x:c r="X718" s="3"/>
      <x:c r="Y718" s="3"/>
      <x:c r="Z718" s="3"/>
      <x:c r="AA718" s="3"/>
      <x:c r="AB718" s="3"/>
      <x:c r="AC718" s="3"/>
      <x:c r="AD718" s="3"/>
      <x:c r="AE718" s="3"/>
      <x:c r="AF718" s="3"/>
      <x:c r="AG718" s="3"/>
      <x:c r="AH718" s="3"/>
      <x:c r="AI718" s="3"/>
      <x:c r="AJ718" s="3"/>
      <x:c r="AK718" s="3"/>
      <x:c r="AL718" s="3"/>
      <x:c r="AM718" s="3"/>
      <x:c r="AN718" s="3"/>
      <x:c r="AO718" s="3"/>
      <x:c r="AP718" s="3"/>
      <x:c r="AQ718" s="3"/>
      <x:c r="AR718" s="3"/>
      <x:c r="AS718" s="3"/>
      <x:c r="AT718" s="3"/>
      <x:c r="AU718" s="3"/>
      <x:c r="AV718" s="3"/>
      <x:c r="AW718" s="3"/>
      <x:c r="AX718" s="3"/>
      <x:c r="AY718" s="3"/>
      <x:c r="AZ718" s="3" t="str">
        <x:f>IF(AND('中古車掲載'!C719="One2car",'中古車掲載'!F719="ATTO 3",'中古車掲載'!L719="EXTENDED RANGE",'中古車掲載'!J719=2023,ISNUMBER('中古車掲載'!N719),'中古車掲載'!N719&gt;=20000,'中古車掲載'!O719&lt;=100000,'中古車掲載'!AL719=1),'中古車掲載'!U719,"")</x:f>
      </x:c>
      <x:c r="BA718" s="3" t="str">
        <x:f>IF(AND('中古車掲載'!C719="One2car",'中古車掲載'!F719="Corolla Cross",'中古車掲載'!L719="HEV PREMIUM SAFETY",'中古車掲載'!J719=2023,ISNUMBER('中古車掲載'!N719),'中古車掲載'!N719&gt;=20000,'中古車掲載'!O719&lt;=100000,'中古車掲載'!AL719=1,'中古車掲載'!Z719="https://www.one2car.com/en/cars-for-sale/toyota/corolla-cross/year-2023"),'中古車掲載'!U719,"")</x:f>
      </x:c>
      <x:c r="BB718" s="3" t="str">
        <x:f>IF(AND('中古車掲載'!C719="One2car",'中古車掲載'!F719="ATTO 3",'中古車掲載'!L719="EXTENDED RANGE",'中古車掲載'!J719=2023,ISNUMBER('中古車掲載'!N719),'中古車掲載'!N719&gt;=50000,'中古車掲載'!O719&lt;=100000,'中古車掲載'!AL719=1),'中古車掲載'!U719,"")</x:f>
      </x:c>
      <x:c r="BC718" s="3" t="str">
        <x:f>IF(AND('中古車掲載'!C719="One2car",'中古車掲載'!F719="Corolla Cross",'中古車掲載'!L719="HEV PREMIUM SAFETY",'中古車掲載'!J719=2023,ISNUMBER('中古車掲載'!N719),'中古車掲載'!N719&gt;=50000,'中古車掲載'!O719&lt;=100000,'中古車掲載'!AL719=1,'中古車掲載'!Z719="https://www.one2car.com/en/cars-for-sale/toyota/corolla-cross/year-2023"),'中古車掲載'!U719,"")</x:f>
      </x:c>
      <x:c r="BD718" s="3" t="str">
        <x:f>IF(AND('中古車掲載'!C719="One2car",'中古車掲載'!F719="ATTO 3",'中古車掲載'!L719="EXTENDED RANGE",'中古車掲載'!J719=2023,ISNUMBER('中古車掲載'!N719),'中古車掲載'!N719&gt;=20000,'中古車掲載'!O719&lt;=50000,'中古車掲載'!AL719=1),'中古車掲載'!U719,"")</x:f>
      </x:c>
      <x:c r="BE718" s="3" t="str">
        <x:f>IF(AND('中古車掲載'!C719="One2car",'中古車掲載'!F719="Corolla Cross",'中古車掲載'!L719="HEV PREMIUM SAFETY",'中古車掲載'!J719=2023,ISNUMBER('中古車掲載'!N719),'中古車掲載'!N719&gt;=20000,'中古車掲載'!O719&lt;=50000,'中古車掲載'!AL719=1,'中古車掲載'!Z719="https://www.one2car.com/en/cars-for-sale/toyota/corolla-cross/year-2023"),'中古車掲載'!U719,"")</x:f>
      </x:c>
      <x:c r="BF718" s="3" t="str">
        <x:f>IF(AND('中古車掲載'!C719="One2car",'中古車掲載'!F719="Corolla Cross",'中古車掲載'!L719="HEV PREMIUM",'中古車掲載'!J719=2023,ISNUMBER('中古車掲載'!N719),'中古車掲載'!N719&gt;=20000,'中古車掲載'!O719&lt;=100000,'中古車掲載'!AL719=1,'中古車掲載'!Z719="https://www.one2car.com/en/cars-for-sale/toyota/corolla-cross/year-2023"),'中古車掲載'!U719,"")</x:f>
      </x:c>
      <x:c r="BG718" s="3" t="str">
        <x:f>IF(AND('中古車掲載'!C719="One2car",'中古車掲載'!F719="Corolla Cross",'中古車掲載'!L719="HEV GR SPORT",'中古車掲載'!J719=2023,ISNUMBER('中古車掲載'!N719),'中古車掲載'!N719&gt;=20000,'中古車掲載'!O719&lt;=100000,'中古車掲載'!AL719=1,'中古車掲載'!Z719="https://www.one2car.com/en/cars-for-sale/toyota/corolla-cross/year-2023"),'中古車掲載'!U719,"")</x:f>
      </x:c>
      <x:c r="BH718" s="3" t="str">
        <x:f>IF(AND('中古車掲載'!C719="One2car",'中古車掲載'!F719="DOLPHIN",'中古車掲載'!L719="STANDARD RANGE",'中古車掲載'!J719=2023,ISNUMBER('中古車掲載'!N719),'中古車掲載'!N719&gt;=20000,'中古車掲載'!O719&lt;=100000,'中古車掲載'!AL719=1),'中古車掲載'!U719,"")</x:f>
      </x:c>
      <x:c r="BI718" s="3" t="str">
        <x:v>Taladrod|Hilux Revo|ICE|Unknown</x:v>
      </x:c>
      <x:c r="BJ718" s="3" t="n">
        <x:v>719</x:v>
      </x:c>
      <x:c r="BK718" s="3" t="n">
        <x:f>'中古車掲載'!AM719</x:f>
        <x:v>459000</x:v>
      </x:c>
      <x:c r="BL718" s="3" t="str">
        <x:f>IF(ISNUMBER('中古車掲載'!AN719),'中古車掲載'!AN719,"")</x:f>
      </x:c>
      <x:c r="BM718" s="3"/>
      <x:c r="BN718" s="3"/>
      <x:c r="BO718" s="3"/>
      <x:c r="BP718" s="3"/>
      <x:c r="BQ718" s="3"/>
      <x:c r="BR718" s="3"/>
    </x:row>
    <x:row r="719" ht="22" customHeight="1">
      <x:c r="A719" s="3"/>
      <x:c r="B719" s="3"/>
      <x:c r="C719" s="3"/>
      <x:c r="D719" s="3"/>
      <x:c r="E719" s="3"/>
      <x:c r="F719" s="3"/>
      <x:c r="G719" s="3"/>
      <x:c r="H719" s="3"/>
      <x:c r="I719" s="3"/>
      <x:c r="J719" s="3"/>
      <x:c r="K719" s="3"/>
      <x:c r="L719" s="3"/>
      <x:c r="M719" s="3"/>
      <x:c r="N719" s="3"/>
      <x:c r="O719" s="3"/>
      <x:c r="P719" s="3"/>
      <x:c r="Q719" s="3"/>
      <x:c r="R719" s="3"/>
      <x:c r="S719" s="3"/>
      <x:c r="T719" s="3"/>
      <x:c r="U719" s="3"/>
      <x:c r="V719" s="3"/>
      <x:c r="W719" s="3"/>
      <x:c r="X719" s="3"/>
      <x:c r="Y719" s="3"/>
      <x:c r="Z719" s="3"/>
      <x:c r="AA719" s="3"/>
      <x:c r="AB719" s="3"/>
      <x:c r="AC719" s="3"/>
      <x:c r="AD719" s="3"/>
      <x:c r="AE719" s="3"/>
      <x:c r="AF719" s="3"/>
      <x:c r="AG719" s="3"/>
      <x:c r="AH719" s="3"/>
      <x:c r="AI719" s="3"/>
      <x:c r="AJ719" s="3"/>
      <x:c r="AK719" s="3"/>
      <x:c r="AL719" s="3"/>
      <x:c r="AM719" s="3"/>
      <x:c r="AN719" s="3"/>
      <x:c r="AO719" s="3"/>
      <x:c r="AP719" s="3"/>
      <x:c r="AQ719" s="3"/>
      <x:c r="AR719" s="3"/>
      <x:c r="AS719" s="3"/>
      <x:c r="AT719" s="3"/>
      <x:c r="AU719" s="3"/>
      <x:c r="AV719" s="3"/>
      <x:c r="AW719" s="3"/>
      <x:c r="AX719" s="3"/>
      <x:c r="AY719" s="3"/>
      <x:c r="AZ719" s="3" t="str">
        <x:f>IF(AND('中古車掲載'!C720="One2car",'中古車掲載'!F720="ATTO 3",'中古車掲載'!L720="EXTENDED RANGE",'中古車掲載'!J720=2023,ISNUMBER('中古車掲載'!N720),'中古車掲載'!N720&gt;=20000,'中古車掲載'!O720&lt;=100000,'中古車掲載'!AL720=1),'中古車掲載'!U720,"")</x:f>
      </x:c>
      <x:c r="BA719" s="3" t="str">
        <x:f>IF(AND('中古車掲載'!C720="One2car",'中古車掲載'!F720="Corolla Cross",'中古車掲載'!L720="HEV PREMIUM SAFETY",'中古車掲載'!J720=2023,ISNUMBER('中古車掲載'!N720),'中古車掲載'!N720&gt;=20000,'中古車掲載'!O720&lt;=100000,'中古車掲載'!AL720=1,'中古車掲載'!Z720="https://www.one2car.com/en/cars-for-sale/toyota/corolla-cross/year-2023"),'中古車掲載'!U720,"")</x:f>
      </x:c>
      <x:c r="BB719" s="3" t="str">
        <x:f>IF(AND('中古車掲載'!C720="One2car",'中古車掲載'!F720="ATTO 3",'中古車掲載'!L720="EXTENDED RANGE",'中古車掲載'!J720=2023,ISNUMBER('中古車掲載'!N720),'中古車掲載'!N720&gt;=50000,'中古車掲載'!O720&lt;=100000,'中古車掲載'!AL720=1),'中古車掲載'!U720,"")</x:f>
      </x:c>
      <x:c r="BC719" s="3" t="str">
        <x:f>IF(AND('中古車掲載'!C720="One2car",'中古車掲載'!F720="Corolla Cross",'中古車掲載'!L720="HEV PREMIUM SAFETY",'中古車掲載'!J720=2023,ISNUMBER('中古車掲載'!N720),'中古車掲載'!N720&gt;=50000,'中古車掲載'!O720&lt;=100000,'中古車掲載'!AL720=1,'中古車掲載'!Z720="https://www.one2car.com/en/cars-for-sale/toyota/corolla-cross/year-2023"),'中古車掲載'!U720,"")</x:f>
      </x:c>
      <x:c r="BD719" s="3" t="str">
        <x:f>IF(AND('中古車掲載'!C720="One2car",'中古車掲載'!F720="ATTO 3",'中古車掲載'!L720="EXTENDED RANGE",'中古車掲載'!J720=2023,ISNUMBER('中古車掲載'!N720),'中古車掲載'!N720&gt;=20000,'中古車掲載'!O720&lt;=50000,'中古車掲載'!AL720=1),'中古車掲載'!U720,"")</x:f>
      </x:c>
      <x:c r="BE719" s="3" t="str">
        <x:f>IF(AND('中古車掲載'!C720="One2car",'中古車掲載'!F720="Corolla Cross",'中古車掲載'!L720="HEV PREMIUM SAFETY",'中古車掲載'!J720=2023,ISNUMBER('中古車掲載'!N720),'中古車掲載'!N720&gt;=20000,'中古車掲載'!O720&lt;=50000,'中古車掲載'!AL720=1,'中古車掲載'!Z720="https://www.one2car.com/en/cars-for-sale/toyota/corolla-cross/year-2023"),'中古車掲載'!U720,"")</x:f>
      </x:c>
      <x:c r="BF719" s="3" t="str">
        <x:f>IF(AND('中古車掲載'!C720="One2car",'中古車掲載'!F720="Corolla Cross",'中古車掲載'!L720="HEV PREMIUM",'中古車掲載'!J720=2023,ISNUMBER('中古車掲載'!N720),'中古車掲載'!N720&gt;=20000,'中古車掲載'!O720&lt;=100000,'中古車掲載'!AL720=1,'中古車掲載'!Z720="https://www.one2car.com/en/cars-for-sale/toyota/corolla-cross/year-2023"),'中古車掲載'!U720,"")</x:f>
      </x:c>
      <x:c r="BG719" s="3" t="str">
        <x:f>IF(AND('中古車掲載'!C720="One2car",'中古車掲載'!F720="Corolla Cross",'中古車掲載'!L720="HEV GR SPORT",'中古車掲載'!J720=2023,ISNUMBER('中古車掲載'!N720),'中古車掲載'!N720&gt;=20000,'中古車掲載'!O720&lt;=100000,'中古車掲載'!AL720=1,'中古車掲載'!Z720="https://www.one2car.com/en/cars-for-sale/toyota/corolla-cross/year-2023"),'中古車掲載'!U720,"")</x:f>
      </x:c>
      <x:c r="BH719" s="3" t="str">
        <x:f>IF(AND('中古車掲載'!C720="One2car",'中古車掲載'!F720="DOLPHIN",'中古車掲載'!L720="STANDARD RANGE",'中古車掲載'!J720=2023,ISNUMBER('中古車掲載'!N720),'中古車掲載'!N720&gt;=20000,'中古車掲載'!O720&lt;=100000,'中古車掲載'!AL720=1),'中古車掲載'!U720,"")</x:f>
      </x:c>
      <x:c r="BI719" s="3" t="str">
        <x:v>Taladrod|Hilux Revo|ICE|Unknown</x:v>
      </x:c>
      <x:c r="BJ719" s="3" t="n">
        <x:v>720</x:v>
      </x:c>
      <x:c r="BK719" s="3" t="n">
        <x:f>'中古車掲載'!AM720</x:f>
        <x:v>459000</x:v>
      </x:c>
      <x:c r="BL719" s="3" t="str">
        <x:f>IF(ISNUMBER('中古車掲載'!AN720),'中古車掲載'!AN720,"")</x:f>
      </x:c>
      <x:c r="BM719" s="3"/>
      <x:c r="BN719" s="3"/>
      <x:c r="BO719" s="3"/>
      <x:c r="BP719" s="3"/>
      <x:c r="BQ719" s="3"/>
      <x:c r="BR719" s="3"/>
    </x:row>
    <x:row r="720" ht="22" customHeight="1">
      <x:c r="A720" s="3"/>
      <x:c r="B720" s="3"/>
      <x:c r="C720" s="3"/>
      <x:c r="D720" s="3"/>
      <x:c r="E720" s="3"/>
      <x:c r="F720" s="3"/>
      <x:c r="G720" s="3"/>
      <x:c r="H720" s="3"/>
      <x:c r="I720" s="3"/>
      <x:c r="J720" s="3"/>
      <x:c r="K720" s="3"/>
      <x:c r="L720" s="3"/>
      <x:c r="M720" s="3"/>
      <x:c r="N720" s="3"/>
      <x:c r="O720" s="3"/>
      <x:c r="P720" s="3"/>
      <x:c r="Q720" s="3"/>
      <x:c r="R720" s="3"/>
      <x:c r="S720" s="3"/>
      <x:c r="T720" s="3"/>
      <x:c r="U720" s="3"/>
      <x:c r="V720" s="3"/>
      <x:c r="W720" s="3"/>
      <x:c r="X720" s="3"/>
      <x:c r="Y720" s="3"/>
      <x:c r="Z720" s="3"/>
      <x:c r="AA720" s="3"/>
      <x:c r="AB720" s="3"/>
      <x:c r="AC720" s="3"/>
      <x:c r="AD720" s="3"/>
      <x:c r="AE720" s="3"/>
      <x:c r="AF720" s="3"/>
      <x:c r="AG720" s="3"/>
      <x:c r="AH720" s="3"/>
      <x:c r="AI720" s="3"/>
      <x:c r="AJ720" s="3"/>
      <x:c r="AK720" s="3"/>
      <x:c r="AL720" s="3"/>
      <x:c r="AM720" s="3"/>
      <x:c r="AN720" s="3"/>
      <x:c r="AO720" s="3"/>
      <x:c r="AP720" s="3"/>
      <x:c r="AQ720" s="3"/>
      <x:c r="AR720" s="3"/>
      <x:c r="AS720" s="3"/>
      <x:c r="AT720" s="3"/>
      <x:c r="AU720" s="3"/>
      <x:c r="AV720" s="3"/>
      <x:c r="AW720" s="3"/>
      <x:c r="AX720" s="3"/>
      <x:c r="AY720" s="3"/>
      <x:c r="AZ720" s="3" t="str">
        <x:f>IF(AND('中古車掲載'!C721="One2car",'中古車掲載'!F721="ATTO 3",'中古車掲載'!L721="EXTENDED RANGE",'中古車掲載'!J721=2023,ISNUMBER('中古車掲載'!N721),'中古車掲載'!N721&gt;=20000,'中古車掲載'!O721&lt;=100000,'中古車掲載'!AL721=1),'中古車掲載'!U721,"")</x:f>
      </x:c>
      <x:c r="BA720" s="3" t="str">
        <x:f>IF(AND('中古車掲載'!C721="One2car",'中古車掲載'!F721="Corolla Cross",'中古車掲載'!L721="HEV PREMIUM SAFETY",'中古車掲載'!J721=2023,ISNUMBER('中古車掲載'!N721),'中古車掲載'!N721&gt;=20000,'中古車掲載'!O721&lt;=100000,'中古車掲載'!AL721=1,'中古車掲載'!Z721="https://www.one2car.com/en/cars-for-sale/toyota/corolla-cross/year-2023"),'中古車掲載'!U721,"")</x:f>
      </x:c>
      <x:c r="BB720" s="3" t="str">
        <x:f>IF(AND('中古車掲載'!C721="One2car",'中古車掲載'!F721="ATTO 3",'中古車掲載'!L721="EXTENDED RANGE",'中古車掲載'!J721=2023,ISNUMBER('中古車掲載'!N721),'中古車掲載'!N721&gt;=50000,'中古車掲載'!O721&lt;=100000,'中古車掲載'!AL721=1),'中古車掲載'!U721,"")</x:f>
      </x:c>
      <x:c r="BC720" s="3" t="str">
        <x:f>IF(AND('中古車掲載'!C721="One2car",'中古車掲載'!F721="Corolla Cross",'中古車掲載'!L721="HEV PREMIUM SAFETY",'中古車掲載'!J721=2023,ISNUMBER('中古車掲載'!N721),'中古車掲載'!N721&gt;=50000,'中古車掲載'!O721&lt;=100000,'中古車掲載'!AL721=1,'中古車掲載'!Z721="https://www.one2car.com/en/cars-for-sale/toyota/corolla-cross/year-2023"),'中古車掲載'!U721,"")</x:f>
      </x:c>
      <x:c r="BD720" s="3" t="str">
        <x:f>IF(AND('中古車掲載'!C721="One2car",'中古車掲載'!F721="ATTO 3",'中古車掲載'!L721="EXTENDED RANGE",'中古車掲載'!J721=2023,ISNUMBER('中古車掲載'!N721),'中古車掲載'!N721&gt;=20000,'中古車掲載'!O721&lt;=50000,'中古車掲載'!AL721=1),'中古車掲載'!U721,"")</x:f>
      </x:c>
      <x:c r="BE720" s="3" t="str">
        <x:f>IF(AND('中古車掲載'!C721="One2car",'中古車掲載'!F721="Corolla Cross",'中古車掲載'!L721="HEV PREMIUM SAFETY",'中古車掲載'!J721=2023,ISNUMBER('中古車掲載'!N721),'中古車掲載'!N721&gt;=20000,'中古車掲載'!O721&lt;=50000,'中古車掲載'!AL721=1,'中古車掲載'!Z721="https://www.one2car.com/en/cars-for-sale/toyota/corolla-cross/year-2023"),'中古車掲載'!U721,"")</x:f>
      </x:c>
      <x:c r="BF720" s="3" t="str">
        <x:f>IF(AND('中古車掲載'!C721="One2car",'中古車掲載'!F721="Corolla Cross",'中古車掲載'!L721="HEV PREMIUM",'中古車掲載'!J721=2023,ISNUMBER('中古車掲載'!N721),'中古車掲載'!N721&gt;=20000,'中古車掲載'!O721&lt;=100000,'中古車掲載'!AL721=1,'中古車掲載'!Z721="https://www.one2car.com/en/cars-for-sale/toyota/corolla-cross/year-2023"),'中古車掲載'!U721,"")</x:f>
      </x:c>
      <x:c r="BG720" s="3" t="str">
        <x:f>IF(AND('中古車掲載'!C721="One2car",'中古車掲載'!F721="Corolla Cross",'中古車掲載'!L721="HEV GR SPORT",'中古車掲載'!J721=2023,ISNUMBER('中古車掲載'!N721),'中古車掲載'!N721&gt;=20000,'中古車掲載'!O721&lt;=100000,'中古車掲載'!AL721=1,'中古車掲載'!Z721="https://www.one2car.com/en/cars-for-sale/toyota/corolla-cross/year-2023"),'中古車掲載'!U721,"")</x:f>
      </x:c>
      <x:c r="BH720" s="3" t="str">
        <x:f>IF(AND('中古車掲載'!C721="One2car",'中古車掲載'!F721="DOLPHIN",'中古車掲載'!L721="STANDARD RANGE",'中古車掲載'!J721=2023,ISNUMBER('中古車掲載'!N721),'中古車掲載'!N721&gt;=20000,'中古車掲載'!O721&lt;=100000,'中古車掲載'!AL721=1),'中古車掲載'!U721,"")</x:f>
      </x:c>
      <x:c r="BI720" s="3" t="str">
        <x:v>Taladrod|Hilux Revo|ICE|Unknown</x:v>
      </x:c>
      <x:c r="BJ720" s="3" t="n">
        <x:v>721</x:v>
      </x:c>
      <x:c r="BK720" s="3" t="n">
        <x:f>'中古車掲載'!AM721</x:f>
        <x:v>459000</x:v>
      </x:c>
      <x:c r="BL720" s="3" t="str">
        <x:f>IF(ISNUMBER('中古車掲載'!AN721),'中古車掲載'!AN721,"")</x:f>
      </x:c>
      <x:c r="BM720" s="3"/>
      <x:c r="BN720" s="3"/>
      <x:c r="BO720" s="3"/>
      <x:c r="BP720" s="3"/>
      <x:c r="BQ720" s="3"/>
      <x:c r="BR720" s="3"/>
    </x:row>
    <x:row r="721" ht="22" customHeight="1">
      <x:c r="A721" s="3"/>
      <x:c r="B721" s="3"/>
      <x:c r="C721" s="3"/>
      <x:c r="D721" s="3"/>
      <x:c r="E721" s="3"/>
      <x:c r="F721" s="3"/>
      <x:c r="G721" s="3"/>
      <x:c r="H721" s="3"/>
      <x:c r="I721" s="3"/>
      <x:c r="J721" s="3"/>
      <x:c r="K721" s="3"/>
      <x:c r="L721" s="3"/>
      <x:c r="M721" s="3"/>
      <x:c r="N721" s="3"/>
      <x:c r="O721" s="3"/>
      <x:c r="P721" s="3"/>
      <x:c r="Q721" s="3"/>
      <x:c r="R721" s="3"/>
      <x:c r="S721" s="3"/>
      <x:c r="T721" s="3"/>
      <x:c r="U721" s="3"/>
      <x:c r="V721" s="3"/>
      <x:c r="W721" s="3"/>
      <x:c r="X721" s="3"/>
      <x:c r="Y721" s="3"/>
      <x:c r="Z721" s="3"/>
      <x:c r="AA721" s="3"/>
      <x:c r="AB721" s="3"/>
      <x:c r="AC721" s="3"/>
      <x:c r="AD721" s="3"/>
      <x:c r="AE721" s="3"/>
      <x:c r="AF721" s="3"/>
      <x:c r="AG721" s="3"/>
      <x:c r="AH721" s="3"/>
      <x:c r="AI721" s="3"/>
      <x:c r="AJ721" s="3"/>
      <x:c r="AK721" s="3"/>
      <x:c r="AL721" s="3"/>
      <x:c r="AM721" s="3"/>
      <x:c r="AN721" s="3"/>
      <x:c r="AO721" s="3"/>
      <x:c r="AP721" s="3"/>
      <x:c r="AQ721" s="3"/>
      <x:c r="AR721" s="3"/>
      <x:c r="AS721" s="3"/>
      <x:c r="AT721" s="3"/>
      <x:c r="AU721" s="3"/>
      <x:c r="AV721" s="3"/>
      <x:c r="AW721" s="3"/>
      <x:c r="AX721" s="3"/>
      <x:c r="AY721" s="3"/>
      <x:c r="AZ721" s="3" t="str">
        <x:f>IF(AND('中古車掲載'!C722="One2car",'中古車掲載'!F722="ATTO 3",'中古車掲載'!L722="EXTENDED RANGE",'中古車掲載'!J722=2023,ISNUMBER('中古車掲載'!N722),'中古車掲載'!N722&gt;=20000,'中古車掲載'!O722&lt;=100000,'中古車掲載'!AL722=1),'中古車掲載'!U722,"")</x:f>
      </x:c>
      <x:c r="BA721" s="3" t="str">
        <x:f>IF(AND('中古車掲載'!C722="One2car",'中古車掲載'!F722="Corolla Cross",'中古車掲載'!L722="HEV PREMIUM SAFETY",'中古車掲載'!J722=2023,ISNUMBER('中古車掲載'!N722),'中古車掲載'!N722&gt;=20000,'中古車掲載'!O722&lt;=100000,'中古車掲載'!AL722=1,'中古車掲載'!Z722="https://www.one2car.com/en/cars-for-sale/toyota/corolla-cross/year-2023"),'中古車掲載'!U722,"")</x:f>
      </x:c>
      <x:c r="BB721" s="3" t="str">
        <x:f>IF(AND('中古車掲載'!C722="One2car",'中古車掲載'!F722="ATTO 3",'中古車掲載'!L722="EXTENDED RANGE",'中古車掲載'!J722=2023,ISNUMBER('中古車掲載'!N722),'中古車掲載'!N722&gt;=50000,'中古車掲載'!O722&lt;=100000,'中古車掲載'!AL722=1),'中古車掲載'!U722,"")</x:f>
      </x:c>
      <x:c r="BC721" s="3" t="str">
        <x:f>IF(AND('中古車掲載'!C722="One2car",'中古車掲載'!F722="Corolla Cross",'中古車掲載'!L722="HEV PREMIUM SAFETY",'中古車掲載'!J722=2023,ISNUMBER('中古車掲載'!N722),'中古車掲載'!N722&gt;=50000,'中古車掲載'!O722&lt;=100000,'中古車掲載'!AL722=1,'中古車掲載'!Z722="https://www.one2car.com/en/cars-for-sale/toyota/corolla-cross/year-2023"),'中古車掲載'!U722,"")</x:f>
      </x:c>
      <x:c r="BD721" s="3" t="str">
        <x:f>IF(AND('中古車掲載'!C722="One2car",'中古車掲載'!F722="ATTO 3",'中古車掲載'!L722="EXTENDED RANGE",'中古車掲載'!J722=2023,ISNUMBER('中古車掲載'!N722),'中古車掲載'!N722&gt;=20000,'中古車掲載'!O722&lt;=50000,'中古車掲載'!AL722=1),'中古車掲載'!U722,"")</x:f>
      </x:c>
      <x:c r="BE721" s="3" t="str">
        <x:f>IF(AND('中古車掲載'!C722="One2car",'中古車掲載'!F722="Corolla Cross",'中古車掲載'!L722="HEV PREMIUM SAFETY",'中古車掲載'!J722=2023,ISNUMBER('中古車掲載'!N722),'中古車掲載'!N722&gt;=20000,'中古車掲載'!O722&lt;=50000,'中古車掲載'!AL722=1,'中古車掲載'!Z722="https://www.one2car.com/en/cars-for-sale/toyota/corolla-cross/year-2023"),'中古車掲載'!U722,"")</x:f>
      </x:c>
      <x:c r="BF721" s="3" t="str">
        <x:f>IF(AND('中古車掲載'!C722="One2car",'中古車掲載'!F722="Corolla Cross",'中古車掲載'!L722="HEV PREMIUM",'中古車掲載'!J722=2023,ISNUMBER('中古車掲載'!N722),'中古車掲載'!N722&gt;=20000,'中古車掲載'!O722&lt;=100000,'中古車掲載'!AL722=1,'中古車掲載'!Z722="https://www.one2car.com/en/cars-for-sale/toyota/corolla-cross/year-2023"),'中古車掲載'!U722,"")</x:f>
      </x:c>
      <x:c r="BG721" s="3" t="str">
        <x:f>IF(AND('中古車掲載'!C722="One2car",'中古車掲載'!F722="Corolla Cross",'中古車掲載'!L722="HEV GR SPORT",'中古車掲載'!J722=2023,ISNUMBER('中古車掲載'!N722),'中古車掲載'!N722&gt;=20000,'中古車掲載'!O722&lt;=100000,'中古車掲載'!AL722=1,'中古車掲載'!Z722="https://www.one2car.com/en/cars-for-sale/toyota/corolla-cross/year-2023"),'中古車掲載'!U722,"")</x:f>
      </x:c>
      <x:c r="BH721" s="3" t="str">
        <x:f>IF(AND('中古車掲載'!C722="One2car",'中古車掲載'!F722="DOLPHIN",'中古車掲載'!L722="STANDARD RANGE",'中古車掲載'!J722=2023,ISNUMBER('中古車掲載'!N722),'中古車掲載'!N722&gt;=20000,'中古車掲載'!O722&lt;=100000,'中古車掲載'!AL722=1),'中古車掲載'!U722,"")</x:f>
      </x:c>
      <x:c r="BI721" s="3" t="str">
        <x:v>Taladrod|Hilux Revo|ICE|Unknown</x:v>
      </x:c>
      <x:c r="BJ721" s="3" t="n">
        <x:v>722</x:v>
      </x:c>
      <x:c r="BK721" s="3" t="n">
        <x:f>'中古車掲載'!AM722</x:f>
        <x:v>419000</x:v>
      </x:c>
      <x:c r="BL721" s="3" t="str">
        <x:f>IF(ISNUMBER('中古車掲載'!AN722),'中古車掲載'!AN722,"")</x:f>
      </x:c>
      <x:c r="BM721" s="3"/>
      <x:c r="BN721" s="3"/>
      <x:c r="BO721" s="3"/>
      <x:c r="BP721" s="3"/>
      <x:c r="BQ721" s="3"/>
      <x:c r="BR721" s="3"/>
    </x:row>
    <x:row r="722" ht="22" customHeight="1">
      <x:c r="A722" s="3"/>
      <x:c r="B722" s="3"/>
      <x:c r="C722" s="3"/>
      <x:c r="D722" s="3"/>
      <x:c r="E722" s="3"/>
      <x:c r="F722" s="3"/>
      <x:c r="G722" s="3"/>
      <x:c r="H722" s="3"/>
      <x:c r="I722" s="3"/>
      <x:c r="J722" s="3"/>
      <x:c r="K722" s="3"/>
      <x:c r="L722" s="3"/>
      <x:c r="M722" s="3"/>
      <x:c r="N722" s="3"/>
      <x:c r="O722" s="3"/>
      <x:c r="P722" s="3"/>
      <x:c r="Q722" s="3"/>
      <x:c r="R722" s="3"/>
      <x:c r="S722" s="3"/>
      <x:c r="T722" s="3"/>
      <x:c r="U722" s="3"/>
      <x:c r="V722" s="3"/>
      <x:c r="W722" s="3"/>
      <x:c r="X722" s="3"/>
      <x:c r="Y722" s="3"/>
      <x:c r="Z722" s="3"/>
      <x:c r="AA722" s="3"/>
      <x:c r="AB722" s="3"/>
      <x:c r="AC722" s="3"/>
      <x:c r="AD722" s="3"/>
      <x:c r="AE722" s="3"/>
      <x:c r="AF722" s="3"/>
      <x:c r="AG722" s="3"/>
      <x:c r="AH722" s="3"/>
      <x:c r="AI722" s="3"/>
      <x:c r="AJ722" s="3"/>
      <x:c r="AK722" s="3"/>
      <x:c r="AL722" s="3"/>
      <x:c r="AM722" s="3"/>
      <x:c r="AN722" s="3"/>
      <x:c r="AO722" s="3"/>
      <x:c r="AP722" s="3"/>
      <x:c r="AQ722" s="3"/>
      <x:c r="AR722" s="3"/>
      <x:c r="AS722" s="3"/>
      <x:c r="AT722" s="3"/>
      <x:c r="AU722" s="3"/>
      <x:c r="AV722" s="3"/>
      <x:c r="AW722" s="3"/>
      <x:c r="AX722" s="3"/>
      <x:c r="AY722" s="3"/>
      <x:c r="AZ722" s="3" t="str">
        <x:f>IF(AND('中古車掲載'!C723="One2car",'中古車掲載'!F723="ATTO 3",'中古車掲載'!L723="EXTENDED RANGE",'中古車掲載'!J723=2023,ISNUMBER('中古車掲載'!N723),'中古車掲載'!N723&gt;=20000,'中古車掲載'!O723&lt;=100000,'中古車掲載'!AL723=1),'中古車掲載'!U723,"")</x:f>
      </x:c>
      <x:c r="BA722" s="3" t="str">
        <x:f>IF(AND('中古車掲載'!C723="One2car",'中古車掲載'!F723="Corolla Cross",'中古車掲載'!L723="HEV PREMIUM SAFETY",'中古車掲載'!J723=2023,ISNUMBER('中古車掲載'!N723),'中古車掲載'!N723&gt;=20000,'中古車掲載'!O723&lt;=100000,'中古車掲載'!AL723=1,'中古車掲載'!Z723="https://www.one2car.com/en/cars-for-sale/toyota/corolla-cross/year-2023"),'中古車掲載'!U723,"")</x:f>
      </x:c>
      <x:c r="BB722" s="3" t="str">
        <x:f>IF(AND('中古車掲載'!C723="One2car",'中古車掲載'!F723="ATTO 3",'中古車掲載'!L723="EXTENDED RANGE",'中古車掲載'!J723=2023,ISNUMBER('中古車掲載'!N723),'中古車掲載'!N723&gt;=50000,'中古車掲載'!O723&lt;=100000,'中古車掲載'!AL723=1),'中古車掲載'!U723,"")</x:f>
      </x:c>
      <x:c r="BC722" s="3" t="str">
        <x:f>IF(AND('中古車掲載'!C723="One2car",'中古車掲載'!F723="Corolla Cross",'中古車掲載'!L723="HEV PREMIUM SAFETY",'中古車掲載'!J723=2023,ISNUMBER('中古車掲載'!N723),'中古車掲載'!N723&gt;=50000,'中古車掲載'!O723&lt;=100000,'中古車掲載'!AL723=1,'中古車掲載'!Z723="https://www.one2car.com/en/cars-for-sale/toyota/corolla-cross/year-2023"),'中古車掲載'!U723,"")</x:f>
      </x:c>
      <x:c r="BD722" s="3" t="str">
        <x:f>IF(AND('中古車掲載'!C723="One2car",'中古車掲載'!F723="ATTO 3",'中古車掲載'!L723="EXTENDED RANGE",'中古車掲載'!J723=2023,ISNUMBER('中古車掲載'!N723),'中古車掲載'!N723&gt;=20000,'中古車掲載'!O723&lt;=50000,'中古車掲載'!AL723=1),'中古車掲載'!U723,"")</x:f>
      </x:c>
      <x:c r="BE722" s="3" t="str">
        <x:f>IF(AND('中古車掲載'!C723="One2car",'中古車掲載'!F723="Corolla Cross",'中古車掲載'!L723="HEV PREMIUM SAFETY",'中古車掲載'!J723=2023,ISNUMBER('中古車掲載'!N723),'中古車掲載'!N723&gt;=20000,'中古車掲載'!O723&lt;=50000,'中古車掲載'!AL723=1,'中古車掲載'!Z723="https://www.one2car.com/en/cars-for-sale/toyota/corolla-cross/year-2023"),'中古車掲載'!U723,"")</x:f>
      </x:c>
      <x:c r="BF722" s="3" t="str">
        <x:f>IF(AND('中古車掲載'!C723="One2car",'中古車掲載'!F723="Corolla Cross",'中古車掲載'!L723="HEV PREMIUM",'中古車掲載'!J723=2023,ISNUMBER('中古車掲載'!N723),'中古車掲載'!N723&gt;=20000,'中古車掲載'!O723&lt;=100000,'中古車掲載'!AL723=1,'中古車掲載'!Z723="https://www.one2car.com/en/cars-for-sale/toyota/corolla-cross/year-2023"),'中古車掲載'!U723,"")</x:f>
      </x:c>
      <x:c r="BG722" s="3" t="str">
        <x:f>IF(AND('中古車掲載'!C723="One2car",'中古車掲載'!F723="Corolla Cross",'中古車掲載'!L723="HEV GR SPORT",'中古車掲載'!J723=2023,ISNUMBER('中古車掲載'!N723),'中古車掲載'!N723&gt;=20000,'中古車掲載'!O723&lt;=100000,'中古車掲載'!AL723=1,'中古車掲載'!Z723="https://www.one2car.com/en/cars-for-sale/toyota/corolla-cross/year-2023"),'中古車掲載'!U723,"")</x:f>
      </x:c>
      <x:c r="BH722" s="3" t="str">
        <x:f>IF(AND('中古車掲載'!C723="One2car",'中古車掲載'!F723="DOLPHIN",'中古車掲載'!L723="STANDARD RANGE",'中古車掲載'!J723=2023,ISNUMBER('中古車掲載'!N723),'中古車掲載'!N723&gt;=20000,'中古車掲載'!O723&lt;=100000,'中古車掲載'!AL723=1),'中古車掲載'!U723,"")</x:f>
      </x:c>
      <x:c r="BI722" s="3" t="str">
        <x:v>Taladrod|Hilux Revo|ICE|Unknown</x:v>
      </x:c>
      <x:c r="BJ722" s="3" t="n">
        <x:v>723</x:v>
      </x:c>
      <x:c r="BK722" s="3" t="n">
        <x:f>'中古車掲載'!AM723</x:f>
        <x:v>459000</x:v>
      </x:c>
      <x:c r="BL722" s="3" t="str">
        <x:f>IF(ISNUMBER('中古車掲載'!AN723),'中古車掲載'!AN723,"")</x:f>
      </x:c>
      <x:c r="BM722" s="3"/>
      <x:c r="BN722" s="3"/>
      <x:c r="BO722" s="3"/>
      <x:c r="BP722" s="3"/>
      <x:c r="BQ722" s="3"/>
      <x:c r="BR722" s="3"/>
    </x:row>
    <x:row r="723" ht="22" customHeight="1">
      <x:c r="A723" s="3"/>
      <x:c r="B723" s="3"/>
      <x:c r="C723" s="3"/>
      <x:c r="D723" s="3"/>
      <x:c r="E723" s="3"/>
      <x:c r="F723" s="3"/>
      <x:c r="G723" s="3"/>
      <x:c r="H723" s="3"/>
      <x:c r="I723" s="3"/>
      <x:c r="J723" s="3"/>
      <x:c r="K723" s="3"/>
      <x:c r="L723" s="3"/>
      <x:c r="M723" s="3"/>
      <x:c r="N723" s="3"/>
      <x:c r="O723" s="3"/>
      <x:c r="P723" s="3"/>
      <x:c r="Q723" s="3"/>
      <x:c r="R723" s="3"/>
      <x:c r="S723" s="3"/>
      <x:c r="T723" s="3"/>
      <x:c r="U723" s="3"/>
      <x:c r="V723" s="3"/>
      <x:c r="W723" s="3"/>
      <x:c r="X723" s="3"/>
      <x:c r="Y723" s="3"/>
      <x:c r="Z723" s="3"/>
      <x:c r="AA723" s="3"/>
      <x:c r="AB723" s="3"/>
      <x:c r="AC723" s="3"/>
      <x:c r="AD723" s="3"/>
      <x:c r="AE723" s="3"/>
      <x:c r="AF723" s="3"/>
      <x:c r="AG723" s="3"/>
      <x:c r="AH723" s="3"/>
      <x:c r="AI723" s="3"/>
      <x:c r="AJ723" s="3"/>
      <x:c r="AK723" s="3"/>
      <x:c r="AL723" s="3"/>
      <x:c r="AM723" s="3"/>
      <x:c r="AN723" s="3"/>
      <x:c r="AO723" s="3"/>
      <x:c r="AP723" s="3"/>
      <x:c r="AQ723" s="3"/>
      <x:c r="AR723" s="3"/>
      <x:c r="AS723" s="3"/>
      <x:c r="AT723" s="3"/>
      <x:c r="AU723" s="3"/>
      <x:c r="AV723" s="3"/>
      <x:c r="AW723" s="3"/>
      <x:c r="AX723" s="3"/>
      <x:c r="AY723" s="3"/>
      <x:c r="AZ723" s="3" t="str">
        <x:f>IF(AND('中古車掲載'!C724="One2car",'中古車掲載'!F724="ATTO 3",'中古車掲載'!L724="EXTENDED RANGE",'中古車掲載'!J724=2023,ISNUMBER('中古車掲載'!N724),'中古車掲載'!N724&gt;=20000,'中古車掲載'!O724&lt;=100000,'中古車掲載'!AL724=1),'中古車掲載'!U724,"")</x:f>
      </x:c>
      <x:c r="BA723" s="3" t="str">
        <x:f>IF(AND('中古車掲載'!C724="One2car",'中古車掲載'!F724="Corolla Cross",'中古車掲載'!L724="HEV PREMIUM SAFETY",'中古車掲載'!J724=2023,ISNUMBER('中古車掲載'!N724),'中古車掲載'!N724&gt;=20000,'中古車掲載'!O724&lt;=100000,'中古車掲載'!AL724=1,'中古車掲載'!Z724="https://www.one2car.com/en/cars-for-sale/toyota/corolla-cross/year-2023"),'中古車掲載'!U724,"")</x:f>
      </x:c>
      <x:c r="BB723" s="3" t="str">
        <x:f>IF(AND('中古車掲載'!C724="One2car",'中古車掲載'!F724="ATTO 3",'中古車掲載'!L724="EXTENDED RANGE",'中古車掲載'!J724=2023,ISNUMBER('中古車掲載'!N724),'中古車掲載'!N724&gt;=50000,'中古車掲載'!O724&lt;=100000,'中古車掲載'!AL724=1),'中古車掲載'!U724,"")</x:f>
      </x:c>
      <x:c r="BC723" s="3" t="str">
        <x:f>IF(AND('中古車掲載'!C724="One2car",'中古車掲載'!F724="Corolla Cross",'中古車掲載'!L724="HEV PREMIUM SAFETY",'中古車掲載'!J724=2023,ISNUMBER('中古車掲載'!N724),'中古車掲載'!N724&gt;=50000,'中古車掲載'!O724&lt;=100000,'中古車掲載'!AL724=1,'中古車掲載'!Z724="https://www.one2car.com/en/cars-for-sale/toyota/corolla-cross/year-2023"),'中古車掲載'!U724,"")</x:f>
      </x:c>
      <x:c r="BD723" s="3" t="str">
        <x:f>IF(AND('中古車掲載'!C724="One2car",'中古車掲載'!F724="ATTO 3",'中古車掲載'!L724="EXTENDED RANGE",'中古車掲載'!J724=2023,ISNUMBER('中古車掲載'!N724),'中古車掲載'!N724&gt;=20000,'中古車掲載'!O724&lt;=50000,'中古車掲載'!AL724=1),'中古車掲載'!U724,"")</x:f>
      </x:c>
      <x:c r="BE723" s="3" t="str">
        <x:f>IF(AND('中古車掲載'!C724="One2car",'中古車掲載'!F724="Corolla Cross",'中古車掲載'!L724="HEV PREMIUM SAFETY",'中古車掲載'!J724=2023,ISNUMBER('中古車掲載'!N724),'中古車掲載'!N724&gt;=20000,'中古車掲載'!O724&lt;=50000,'中古車掲載'!AL724=1,'中古車掲載'!Z724="https://www.one2car.com/en/cars-for-sale/toyota/corolla-cross/year-2023"),'中古車掲載'!U724,"")</x:f>
      </x:c>
      <x:c r="BF723" s="3" t="str">
        <x:f>IF(AND('中古車掲載'!C724="One2car",'中古車掲載'!F724="Corolla Cross",'中古車掲載'!L724="HEV PREMIUM",'中古車掲載'!J724=2023,ISNUMBER('中古車掲載'!N724),'中古車掲載'!N724&gt;=20000,'中古車掲載'!O724&lt;=100000,'中古車掲載'!AL724=1,'中古車掲載'!Z724="https://www.one2car.com/en/cars-for-sale/toyota/corolla-cross/year-2023"),'中古車掲載'!U724,"")</x:f>
      </x:c>
      <x:c r="BG723" s="3" t="str">
        <x:f>IF(AND('中古車掲載'!C724="One2car",'中古車掲載'!F724="Corolla Cross",'中古車掲載'!L724="HEV GR SPORT",'中古車掲載'!J724=2023,ISNUMBER('中古車掲載'!N724),'中古車掲載'!N724&gt;=20000,'中古車掲載'!O724&lt;=100000,'中古車掲載'!AL724=1,'中古車掲載'!Z724="https://www.one2car.com/en/cars-for-sale/toyota/corolla-cross/year-2023"),'中古車掲載'!U724,"")</x:f>
      </x:c>
      <x:c r="BH723" s="3" t="str">
        <x:f>IF(AND('中古車掲載'!C724="One2car",'中古車掲載'!F724="DOLPHIN",'中古車掲載'!L724="STANDARD RANGE",'中古車掲載'!J724=2023,ISNUMBER('中古車掲載'!N724),'中古車掲載'!N724&gt;=20000,'中古車掲載'!O724&lt;=100000,'中古車掲載'!AL724=1),'中古車掲載'!U724,"")</x:f>
      </x:c>
      <x:c r="BI723" s="3" t="str">
        <x:v>Taladrod|Hilux Revo|ICE|Unknown</x:v>
      </x:c>
      <x:c r="BJ723" s="3" t="n">
        <x:v>724</x:v>
      </x:c>
      <x:c r="BK723" s="3" t="n">
        <x:f>'中古車掲載'!AM724</x:f>
        <x:v>469000</x:v>
      </x:c>
      <x:c r="BL723" s="3" t="str">
        <x:f>IF(ISNUMBER('中古車掲載'!AN724),'中古車掲載'!AN724,"")</x:f>
      </x:c>
      <x:c r="BM723" s="3"/>
      <x:c r="BN723" s="3"/>
      <x:c r="BO723" s="3"/>
      <x:c r="BP723" s="3"/>
      <x:c r="BQ723" s="3"/>
      <x:c r="BR723" s="3"/>
    </x:row>
    <x:row r="724" ht="22" customHeight="1">
      <x:c r="A724" s="3"/>
      <x:c r="B724" s="3"/>
      <x:c r="C724" s="3"/>
      <x:c r="D724" s="3"/>
      <x:c r="E724" s="3"/>
      <x:c r="F724" s="3"/>
      <x:c r="G724" s="3"/>
      <x:c r="H724" s="3"/>
      <x:c r="I724" s="3"/>
      <x:c r="J724" s="3"/>
      <x:c r="K724" s="3"/>
      <x:c r="L724" s="3"/>
      <x:c r="M724" s="3"/>
      <x:c r="N724" s="3"/>
      <x:c r="O724" s="3"/>
      <x:c r="P724" s="3"/>
      <x:c r="Q724" s="3"/>
      <x:c r="R724" s="3"/>
      <x:c r="S724" s="3"/>
      <x:c r="T724" s="3"/>
      <x:c r="U724" s="3"/>
      <x:c r="V724" s="3"/>
      <x:c r="W724" s="3"/>
      <x:c r="X724" s="3"/>
      <x:c r="Y724" s="3"/>
      <x:c r="Z724" s="3"/>
      <x:c r="AA724" s="3"/>
      <x:c r="AB724" s="3"/>
      <x:c r="AC724" s="3"/>
      <x:c r="AD724" s="3"/>
      <x:c r="AE724" s="3"/>
      <x:c r="AF724" s="3"/>
      <x:c r="AG724" s="3"/>
      <x:c r="AH724" s="3"/>
      <x:c r="AI724" s="3"/>
      <x:c r="AJ724" s="3"/>
      <x:c r="AK724" s="3"/>
      <x:c r="AL724" s="3"/>
      <x:c r="AM724" s="3"/>
      <x:c r="AN724" s="3"/>
      <x:c r="AO724" s="3"/>
      <x:c r="AP724" s="3"/>
      <x:c r="AQ724" s="3"/>
      <x:c r="AR724" s="3"/>
      <x:c r="AS724" s="3"/>
      <x:c r="AT724" s="3"/>
      <x:c r="AU724" s="3"/>
      <x:c r="AV724" s="3"/>
      <x:c r="AW724" s="3"/>
      <x:c r="AX724" s="3"/>
      <x:c r="AY724" s="3"/>
      <x:c r="AZ724" s="3" t="str">
        <x:f>IF(AND('中古車掲載'!C725="One2car",'中古車掲載'!F725="ATTO 3",'中古車掲載'!L725="EXTENDED RANGE",'中古車掲載'!J725=2023,ISNUMBER('中古車掲載'!N725),'中古車掲載'!N725&gt;=20000,'中古車掲載'!O725&lt;=100000,'中古車掲載'!AL725=1),'中古車掲載'!U725,"")</x:f>
      </x:c>
      <x:c r="BA724" s="3" t="str">
        <x:f>IF(AND('中古車掲載'!C725="One2car",'中古車掲載'!F725="Corolla Cross",'中古車掲載'!L725="HEV PREMIUM SAFETY",'中古車掲載'!J725=2023,ISNUMBER('中古車掲載'!N725),'中古車掲載'!N725&gt;=20000,'中古車掲載'!O725&lt;=100000,'中古車掲載'!AL725=1,'中古車掲載'!Z725="https://www.one2car.com/en/cars-for-sale/toyota/corolla-cross/year-2023"),'中古車掲載'!U725,"")</x:f>
      </x:c>
      <x:c r="BB724" s="3" t="str">
        <x:f>IF(AND('中古車掲載'!C725="One2car",'中古車掲載'!F725="ATTO 3",'中古車掲載'!L725="EXTENDED RANGE",'中古車掲載'!J725=2023,ISNUMBER('中古車掲載'!N725),'中古車掲載'!N725&gt;=50000,'中古車掲載'!O725&lt;=100000,'中古車掲載'!AL725=1),'中古車掲載'!U725,"")</x:f>
      </x:c>
      <x:c r="BC724" s="3" t="str">
        <x:f>IF(AND('中古車掲載'!C725="One2car",'中古車掲載'!F725="Corolla Cross",'中古車掲載'!L725="HEV PREMIUM SAFETY",'中古車掲載'!J725=2023,ISNUMBER('中古車掲載'!N725),'中古車掲載'!N725&gt;=50000,'中古車掲載'!O725&lt;=100000,'中古車掲載'!AL725=1,'中古車掲載'!Z725="https://www.one2car.com/en/cars-for-sale/toyota/corolla-cross/year-2023"),'中古車掲載'!U725,"")</x:f>
      </x:c>
      <x:c r="BD724" s="3" t="str">
        <x:f>IF(AND('中古車掲載'!C725="One2car",'中古車掲載'!F725="ATTO 3",'中古車掲載'!L725="EXTENDED RANGE",'中古車掲載'!J725=2023,ISNUMBER('中古車掲載'!N725),'中古車掲載'!N725&gt;=20000,'中古車掲載'!O725&lt;=50000,'中古車掲載'!AL725=1),'中古車掲載'!U725,"")</x:f>
      </x:c>
      <x:c r="BE724" s="3" t="str">
        <x:f>IF(AND('中古車掲載'!C725="One2car",'中古車掲載'!F725="Corolla Cross",'中古車掲載'!L725="HEV PREMIUM SAFETY",'中古車掲載'!J725=2023,ISNUMBER('中古車掲載'!N725),'中古車掲載'!N725&gt;=20000,'中古車掲載'!O725&lt;=50000,'中古車掲載'!AL725=1,'中古車掲載'!Z725="https://www.one2car.com/en/cars-for-sale/toyota/corolla-cross/year-2023"),'中古車掲載'!U725,"")</x:f>
      </x:c>
      <x:c r="BF724" s="3" t="str">
        <x:f>IF(AND('中古車掲載'!C725="One2car",'中古車掲載'!F725="Corolla Cross",'中古車掲載'!L725="HEV PREMIUM",'中古車掲載'!J725=2023,ISNUMBER('中古車掲載'!N725),'中古車掲載'!N725&gt;=20000,'中古車掲載'!O725&lt;=100000,'中古車掲載'!AL725=1,'中古車掲載'!Z725="https://www.one2car.com/en/cars-for-sale/toyota/corolla-cross/year-2023"),'中古車掲載'!U725,"")</x:f>
      </x:c>
      <x:c r="BG724" s="3" t="str">
        <x:f>IF(AND('中古車掲載'!C725="One2car",'中古車掲載'!F725="Corolla Cross",'中古車掲載'!L725="HEV GR SPORT",'中古車掲載'!J725=2023,ISNUMBER('中古車掲載'!N725),'中古車掲載'!N725&gt;=20000,'中古車掲載'!O725&lt;=100000,'中古車掲載'!AL725=1,'中古車掲載'!Z725="https://www.one2car.com/en/cars-for-sale/toyota/corolla-cross/year-2023"),'中古車掲載'!U725,"")</x:f>
      </x:c>
      <x:c r="BH724" s="3" t="str">
        <x:f>IF(AND('中古車掲載'!C725="One2car",'中古車掲載'!F725="DOLPHIN",'中古車掲載'!L725="STANDARD RANGE",'中古車掲載'!J725=2023,ISNUMBER('中古車掲載'!N725),'中古車掲載'!N725&gt;=20000,'中古車掲載'!O725&lt;=100000,'中古車掲載'!AL725=1),'中古車掲載'!U725,"")</x:f>
      </x:c>
      <x:c r="BI724" s="3" t="str">
        <x:v>Taladrod|Hilux Revo|ICE|Unknown</x:v>
      </x:c>
      <x:c r="BJ724" s="3" t="n">
        <x:v>725</x:v>
      </x:c>
      <x:c r="BK724" s="3" t="n">
        <x:f>'中古車掲載'!AM725</x:f>
        <x:v>448000</x:v>
      </x:c>
      <x:c r="BL724" s="3" t="str">
        <x:f>IF(ISNUMBER('中古車掲載'!AN725),'中古車掲載'!AN725,"")</x:f>
      </x:c>
      <x:c r="BM724" s="3"/>
      <x:c r="BN724" s="3"/>
      <x:c r="BO724" s="3"/>
      <x:c r="BP724" s="3"/>
      <x:c r="BQ724" s="3"/>
      <x:c r="BR724" s="3"/>
    </x:row>
    <x:row r="725" ht="22" customHeight="1">
      <x:c r="A725" s="3"/>
      <x:c r="B725" s="3"/>
      <x:c r="C725" s="3"/>
      <x:c r="D725" s="3"/>
      <x:c r="E725" s="3"/>
      <x:c r="F725" s="3"/>
      <x:c r="G725" s="3"/>
      <x:c r="H725" s="3"/>
      <x:c r="I725" s="3"/>
      <x:c r="J725" s="3"/>
      <x:c r="K725" s="3"/>
      <x:c r="L725" s="3"/>
      <x:c r="M725" s="3"/>
      <x:c r="N725" s="3"/>
      <x:c r="O725" s="3"/>
      <x:c r="P725" s="3"/>
      <x:c r="Q725" s="3"/>
      <x:c r="R725" s="3"/>
      <x:c r="S725" s="3"/>
      <x:c r="T725" s="3"/>
      <x:c r="U725" s="3"/>
      <x:c r="V725" s="3"/>
      <x:c r="W725" s="3"/>
      <x:c r="X725" s="3"/>
      <x:c r="Y725" s="3"/>
      <x:c r="Z725" s="3"/>
      <x:c r="AA725" s="3"/>
      <x:c r="AB725" s="3"/>
      <x:c r="AC725" s="3"/>
      <x:c r="AD725" s="3"/>
      <x:c r="AE725" s="3"/>
      <x:c r="AF725" s="3"/>
      <x:c r="AG725" s="3"/>
      <x:c r="AH725" s="3"/>
      <x:c r="AI725" s="3"/>
      <x:c r="AJ725" s="3"/>
      <x:c r="AK725" s="3"/>
      <x:c r="AL725" s="3"/>
      <x:c r="AM725" s="3"/>
      <x:c r="AN725" s="3"/>
      <x:c r="AO725" s="3"/>
      <x:c r="AP725" s="3"/>
      <x:c r="AQ725" s="3"/>
      <x:c r="AR725" s="3"/>
      <x:c r="AS725" s="3"/>
      <x:c r="AT725" s="3"/>
      <x:c r="AU725" s="3"/>
      <x:c r="AV725" s="3"/>
      <x:c r="AW725" s="3"/>
      <x:c r="AX725" s="3"/>
      <x:c r="AY725" s="3"/>
      <x:c r="AZ725" s="3" t="str">
        <x:f>IF(AND('中古車掲載'!C726="One2car",'中古車掲載'!F726="ATTO 3",'中古車掲載'!L726="EXTENDED RANGE",'中古車掲載'!J726=2023,ISNUMBER('中古車掲載'!N726),'中古車掲載'!N726&gt;=20000,'中古車掲載'!O726&lt;=100000,'中古車掲載'!AL726=1),'中古車掲載'!U726,"")</x:f>
      </x:c>
      <x:c r="BA725" s="3" t="str">
        <x:f>IF(AND('中古車掲載'!C726="One2car",'中古車掲載'!F726="Corolla Cross",'中古車掲載'!L726="HEV PREMIUM SAFETY",'中古車掲載'!J726=2023,ISNUMBER('中古車掲載'!N726),'中古車掲載'!N726&gt;=20000,'中古車掲載'!O726&lt;=100000,'中古車掲載'!AL726=1,'中古車掲載'!Z726="https://www.one2car.com/en/cars-for-sale/toyota/corolla-cross/year-2023"),'中古車掲載'!U726,"")</x:f>
      </x:c>
      <x:c r="BB725" s="3" t="str">
        <x:f>IF(AND('中古車掲載'!C726="One2car",'中古車掲載'!F726="ATTO 3",'中古車掲載'!L726="EXTENDED RANGE",'中古車掲載'!J726=2023,ISNUMBER('中古車掲載'!N726),'中古車掲載'!N726&gt;=50000,'中古車掲載'!O726&lt;=100000,'中古車掲載'!AL726=1),'中古車掲載'!U726,"")</x:f>
      </x:c>
      <x:c r="BC725" s="3" t="str">
        <x:f>IF(AND('中古車掲載'!C726="One2car",'中古車掲載'!F726="Corolla Cross",'中古車掲載'!L726="HEV PREMIUM SAFETY",'中古車掲載'!J726=2023,ISNUMBER('中古車掲載'!N726),'中古車掲載'!N726&gt;=50000,'中古車掲載'!O726&lt;=100000,'中古車掲載'!AL726=1,'中古車掲載'!Z726="https://www.one2car.com/en/cars-for-sale/toyota/corolla-cross/year-2023"),'中古車掲載'!U726,"")</x:f>
      </x:c>
      <x:c r="BD725" s="3" t="str">
        <x:f>IF(AND('中古車掲載'!C726="One2car",'中古車掲載'!F726="ATTO 3",'中古車掲載'!L726="EXTENDED RANGE",'中古車掲載'!J726=2023,ISNUMBER('中古車掲載'!N726),'中古車掲載'!N726&gt;=20000,'中古車掲載'!O726&lt;=50000,'中古車掲載'!AL726=1),'中古車掲載'!U726,"")</x:f>
      </x:c>
      <x:c r="BE725" s="3" t="str">
        <x:f>IF(AND('中古車掲載'!C726="One2car",'中古車掲載'!F726="Corolla Cross",'中古車掲載'!L726="HEV PREMIUM SAFETY",'中古車掲載'!J726=2023,ISNUMBER('中古車掲載'!N726),'中古車掲載'!N726&gt;=20000,'中古車掲載'!O726&lt;=50000,'中古車掲載'!AL726=1,'中古車掲載'!Z726="https://www.one2car.com/en/cars-for-sale/toyota/corolla-cross/year-2023"),'中古車掲載'!U726,"")</x:f>
      </x:c>
      <x:c r="BF725" s="3" t="str">
        <x:f>IF(AND('中古車掲載'!C726="One2car",'中古車掲載'!F726="Corolla Cross",'中古車掲載'!L726="HEV PREMIUM",'中古車掲載'!J726=2023,ISNUMBER('中古車掲載'!N726),'中古車掲載'!N726&gt;=20000,'中古車掲載'!O726&lt;=100000,'中古車掲載'!AL726=1,'中古車掲載'!Z726="https://www.one2car.com/en/cars-for-sale/toyota/corolla-cross/year-2023"),'中古車掲載'!U726,"")</x:f>
      </x:c>
      <x:c r="BG725" s="3" t="str">
        <x:f>IF(AND('中古車掲載'!C726="One2car",'中古車掲載'!F726="Corolla Cross",'中古車掲載'!L726="HEV GR SPORT",'中古車掲載'!J726=2023,ISNUMBER('中古車掲載'!N726),'中古車掲載'!N726&gt;=20000,'中古車掲載'!O726&lt;=100000,'中古車掲載'!AL726=1,'中古車掲載'!Z726="https://www.one2car.com/en/cars-for-sale/toyota/corolla-cross/year-2023"),'中古車掲載'!U726,"")</x:f>
      </x:c>
      <x:c r="BH725" s="3" t="str">
        <x:f>IF(AND('中古車掲載'!C726="One2car",'中古車掲載'!F726="DOLPHIN",'中古車掲載'!L726="STANDARD RANGE",'中古車掲載'!J726=2023,ISNUMBER('中古車掲載'!N726),'中古車掲載'!N726&gt;=20000,'中古車掲載'!O726&lt;=100000,'中古車掲載'!AL726=1),'中古車掲載'!U726,"")</x:f>
      </x:c>
      <x:c r="BI725" s="3" t="str">
        <x:v>Taladrod|Hilux Revo|ICE|Unknown</x:v>
      </x:c>
      <x:c r="BJ725" s="3" t="n">
        <x:v>726</x:v>
      </x:c>
      <x:c r="BK725" s="3" t="n">
        <x:f>'中古車掲載'!AM726</x:f>
        <x:v>469000</x:v>
      </x:c>
      <x:c r="BL725" s="3" t="str">
        <x:f>IF(ISNUMBER('中古車掲載'!AN726),'中古車掲載'!AN726,"")</x:f>
      </x:c>
      <x:c r="BM725" s="3"/>
      <x:c r="BN725" s="3"/>
      <x:c r="BO725" s="3"/>
      <x:c r="BP725" s="3"/>
      <x:c r="BQ725" s="3"/>
      <x:c r="BR725" s="3"/>
    </x:row>
    <x:row r="726" ht="22" customHeight="1">
      <x:c r="A726" s="3"/>
      <x:c r="B726" s="3"/>
      <x:c r="C726" s="3"/>
      <x:c r="D726" s="3"/>
      <x:c r="E726" s="3"/>
      <x:c r="F726" s="3"/>
      <x:c r="G726" s="3"/>
      <x:c r="H726" s="3"/>
      <x:c r="I726" s="3"/>
      <x:c r="J726" s="3"/>
      <x:c r="K726" s="3"/>
      <x:c r="L726" s="3"/>
      <x:c r="M726" s="3"/>
      <x:c r="N726" s="3"/>
      <x:c r="O726" s="3"/>
      <x:c r="P726" s="3"/>
      <x:c r="Q726" s="3"/>
      <x:c r="R726" s="3"/>
      <x:c r="S726" s="3"/>
      <x:c r="T726" s="3"/>
      <x:c r="U726" s="3"/>
      <x:c r="V726" s="3"/>
      <x:c r="W726" s="3"/>
      <x:c r="X726" s="3"/>
      <x:c r="Y726" s="3"/>
      <x:c r="Z726" s="3"/>
      <x:c r="AA726" s="3"/>
      <x:c r="AB726" s="3"/>
      <x:c r="AC726" s="3"/>
      <x:c r="AD726" s="3"/>
      <x:c r="AE726" s="3"/>
      <x:c r="AF726" s="3"/>
      <x:c r="AG726" s="3"/>
      <x:c r="AH726" s="3"/>
      <x:c r="AI726" s="3"/>
      <x:c r="AJ726" s="3"/>
      <x:c r="AK726" s="3"/>
      <x:c r="AL726" s="3"/>
      <x:c r="AM726" s="3"/>
      <x:c r="AN726" s="3"/>
      <x:c r="AO726" s="3"/>
      <x:c r="AP726" s="3"/>
      <x:c r="AQ726" s="3"/>
      <x:c r="AR726" s="3"/>
      <x:c r="AS726" s="3"/>
      <x:c r="AT726" s="3"/>
      <x:c r="AU726" s="3"/>
      <x:c r="AV726" s="3"/>
      <x:c r="AW726" s="3"/>
      <x:c r="AX726" s="3"/>
      <x:c r="AY726" s="3"/>
      <x:c r="AZ726" s="3" t="str">
        <x:f>IF(AND('中古車掲載'!C727="One2car",'中古車掲載'!F727="ATTO 3",'中古車掲載'!L727="EXTENDED RANGE",'中古車掲載'!J727=2023,ISNUMBER('中古車掲載'!N727),'中古車掲載'!N727&gt;=20000,'中古車掲載'!O727&lt;=100000,'中古車掲載'!AL727=1),'中古車掲載'!U727,"")</x:f>
      </x:c>
      <x:c r="BA726" s="3" t="str">
        <x:f>IF(AND('中古車掲載'!C727="One2car",'中古車掲載'!F727="Corolla Cross",'中古車掲載'!L727="HEV PREMIUM SAFETY",'中古車掲載'!J727=2023,ISNUMBER('中古車掲載'!N727),'中古車掲載'!N727&gt;=20000,'中古車掲載'!O727&lt;=100000,'中古車掲載'!AL727=1,'中古車掲載'!Z727="https://www.one2car.com/en/cars-for-sale/toyota/corolla-cross/year-2023"),'中古車掲載'!U727,"")</x:f>
      </x:c>
      <x:c r="BB726" s="3" t="str">
        <x:f>IF(AND('中古車掲載'!C727="One2car",'中古車掲載'!F727="ATTO 3",'中古車掲載'!L727="EXTENDED RANGE",'中古車掲載'!J727=2023,ISNUMBER('中古車掲載'!N727),'中古車掲載'!N727&gt;=50000,'中古車掲載'!O727&lt;=100000,'中古車掲載'!AL727=1),'中古車掲載'!U727,"")</x:f>
      </x:c>
      <x:c r="BC726" s="3" t="str">
        <x:f>IF(AND('中古車掲載'!C727="One2car",'中古車掲載'!F727="Corolla Cross",'中古車掲載'!L727="HEV PREMIUM SAFETY",'中古車掲載'!J727=2023,ISNUMBER('中古車掲載'!N727),'中古車掲載'!N727&gt;=50000,'中古車掲載'!O727&lt;=100000,'中古車掲載'!AL727=1,'中古車掲載'!Z727="https://www.one2car.com/en/cars-for-sale/toyota/corolla-cross/year-2023"),'中古車掲載'!U727,"")</x:f>
      </x:c>
      <x:c r="BD726" s="3" t="str">
        <x:f>IF(AND('中古車掲載'!C727="One2car",'中古車掲載'!F727="ATTO 3",'中古車掲載'!L727="EXTENDED RANGE",'中古車掲載'!J727=2023,ISNUMBER('中古車掲載'!N727),'中古車掲載'!N727&gt;=20000,'中古車掲載'!O727&lt;=50000,'中古車掲載'!AL727=1),'中古車掲載'!U727,"")</x:f>
      </x:c>
      <x:c r="BE726" s="3" t="str">
        <x:f>IF(AND('中古車掲載'!C727="One2car",'中古車掲載'!F727="Corolla Cross",'中古車掲載'!L727="HEV PREMIUM SAFETY",'中古車掲載'!J727=2023,ISNUMBER('中古車掲載'!N727),'中古車掲載'!N727&gt;=20000,'中古車掲載'!O727&lt;=50000,'中古車掲載'!AL727=1,'中古車掲載'!Z727="https://www.one2car.com/en/cars-for-sale/toyota/corolla-cross/year-2023"),'中古車掲載'!U727,"")</x:f>
      </x:c>
      <x:c r="BF726" s="3" t="str">
        <x:f>IF(AND('中古車掲載'!C727="One2car",'中古車掲載'!F727="Corolla Cross",'中古車掲載'!L727="HEV PREMIUM",'中古車掲載'!J727=2023,ISNUMBER('中古車掲載'!N727),'中古車掲載'!N727&gt;=20000,'中古車掲載'!O727&lt;=100000,'中古車掲載'!AL727=1,'中古車掲載'!Z727="https://www.one2car.com/en/cars-for-sale/toyota/corolla-cross/year-2023"),'中古車掲載'!U727,"")</x:f>
      </x:c>
      <x:c r="BG726" s="3" t="str">
        <x:f>IF(AND('中古車掲載'!C727="One2car",'中古車掲載'!F727="Corolla Cross",'中古車掲載'!L727="HEV GR SPORT",'中古車掲載'!J727=2023,ISNUMBER('中古車掲載'!N727),'中古車掲載'!N727&gt;=20000,'中古車掲載'!O727&lt;=100000,'中古車掲載'!AL727=1,'中古車掲載'!Z727="https://www.one2car.com/en/cars-for-sale/toyota/corolla-cross/year-2023"),'中古車掲載'!U727,"")</x:f>
      </x:c>
      <x:c r="BH726" s="3" t="str">
        <x:f>IF(AND('中古車掲載'!C727="One2car",'中古車掲載'!F727="DOLPHIN",'中古車掲載'!L727="STANDARD RANGE",'中古車掲載'!J727=2023,ISNUMBER('中古車掲載'!N727),'中古車掲載'!N727&gt;=20000,'中古車掲載'!O727&lt;=100000,'中古車掲載'!AL727=1),'中古車掲載'!U727,"")</x:f>
      </x:c>
      <x:c r="BI726" s="3" t="str">
        <x:v>Taladrod|Hilux Revo|ICE|Unknown</x:v>
      </x:c>
      <x:c r="BJ726" s="3" t="n">
        <x:v>727</x:v>
      </x:c>
      <x:c r="BK726" s="3" t="n">
        <x:f>'中古車掲載'!AM727</x:f>
        <x:v>399000</x:v>
      </x:c>
      <x:c r="BL726" s="3" t="str">
        <x:f>IF(ISNUMBER('中古車掲載'!AN727),'中古車掲載'!AN727,"")</x:f>
      </x:c>
      <x:c r="BM726" s="3"/>
      <x:c r="BN726" s="3"/>
      <x:c r="BO726" s="3"/>
      <x:c r="BP726" s="3"/>
      <x:c r="BQ726" s="3"/>
      <x:c r="BR726" s="3"/>
    </x:row>
    <x:row r="727" ht="22" customHeight="1">
      <x:c r="A727" s="3"/>
      <x:c r="B727" s="3"/>
      <x:c r="C727" s="3"/>
      <x:c r="D727" s="3"/>
      <x:c r="E727" s="3"/>
      <x:c r="F727" s="3"/>
      <x:c r="G727" s="3"/>
      <x:c r="H727" s="3"/>
      <x:c r="I727" s="3"/>
      <x:c r="J727" s="3"/>
      <x:c r="K727" s="3"/>
      <x:c r="L727" s="3"/>
      <x:c r="M727" s="3"/>
      <x:c r="N727" s="3"/>
      <x:c r="O727" s="3"/>
      <x:c r="P727" s="3"/>
      <x:c r="Q727" s="3"/>
      <x:c r="R727" s="3"/>
      <x:c r="S727" s="3"/>
      <x:c r="T727" s="3"/>
      <x:c r="U727" s="3"/>
      <x:c r="V727" s="3"/>
      <x:c r="W727" s="3"/>
      <x:c r="X727" s="3"/>
      <x:c r="Y727" s="3"/>
      <x:c r="Z727" s="3"/>
      <x:c r="AA727" s="3"/>
      <x:c r="AB727" s="3"/>
      <x:c r="AC727" s="3"/>
      <x:c r="AD727" s="3"/>
      <x:c r="AE727" s="3"/>
      <x:c r="AF727" s="3"/>
      <x:c r="AG727" s="3"/>
      <x:c r="AH727" s="3"/>
      <x:c r="AI727" s="3"/>
      <x:c r="AJ727" s="3"/>
      <x:c r="AK727" s="3"/>
      <x:c r="AL727" s="3"/>
      <x:c r="AM727" s="3"/>
      <x:c r="AN727" s="3"/>
      <x:c r="AO727" s="3"/>
      <x:c r="AP727" s="3"/>
      <x:c r="AQ727" s="3"/>
      <x:c r="AR727" s="3"/>
      <x:c r="AS727" s="3"/>
      <x:c r="AT727" s="3"/>
      <x:c r="AU727" s="3"/>
      <x:c r="AV727" s="3"/>
      <x:c r="AW727" s="3"/>
      <x:c r="AX727" s="3"/>
      <x:c r="AY727" s="3"/>
      <x:c r="AZ727" s="3" t="str">
        <x:f>IF(AND('中古車掲載'!C728="One2car",'中古車掲載'!F728="ATTO 3",'中古車掲載'!L728="EXTENDED RANGE",'中古車掲載'!J728=2023,ISNUMBER('中古車掲載'!N728),'中古車掲載'!N728&gt;=20000,'中古車掲載'!O728&lt;=100000,'中古車掲載'!AL728=1),'中古車掲載'!U728,"")</x:f>
      </x:c>
      <x:c r="BA727" s="3" t="str">
        <x:f>IF(AND('中古車掲載'!C728="One2car",'中古車掲載'!F728="Corolla Cross",'中古車掲載'!L728="HEV PREMIUM SAFETY",'中古車掲載'!J728=2023,ISNUMBER('中古車掲載'!N728),'中古車掲載'!N728&gt;=20000,'中古車掲載'!O728&lt;=100000,'中古車掲載'!AL728=1,'中古車掲載'!Z728="https://www.one2car.com/en/cars-for-sale/toyota/corolla-cross/year-2023"),'中古車掲載'!U728,"")</x:f>
      </x:c>
      <x:c r="BB727" s="3" t="str">
        <x:f>IF(AND('中古車掲載'!C728="One2car",'中古車掲載'!F728="ATTO 3",'中古車掲載'!L728="EXTENDED RANGE",'中古車掲載'!J728=2023,ISNUMBER('中古車掲載'!N728),'中古車掲載'!N728&gt;=50000,'中古車掲載'!O728&lt;=100000,'中古車掲載'!AL728=1),'中古車掲載'!U728,"")</x:f>
      </x:c>
      <x:c r="BC727" s="3" t="str">
        <x:f>IF(AND('中古車掲載'!C728="One2car",'中古車掲載'!F728="Corolla Cross",'中古車掲載'!L728="HEV PREMIUM SAFETY",'中古車掲載'!J728=2023,ISNUMBER('中古車掲載'!N728),'中古車掲載'!N728&gt;=50000,'中古車掲載'!O728&lt;=100000,'中古車掲載'!AL728=1,'中古車掲載'!Z728="https://www.one2car.com/en/cars-for-sale/toyota/corolla-cross/year-2023"),'中古車掲載'!U728,"")</x:f>
      </x:c>
      <x:c r="BD727" s="3" t="str">
        <x:f>IF(AND('中古車掲載'!C728="One2car",'中古車掲載'!F728="ATTO 3",'中古車掲載'!L728="EXTENDED RANGE",'中古車掲載'!J728=2023,ISNUMBER('中古車掲載'!N728),'中古車掲載'!N728&gt;=20000,'中古車掲載'!O728&lt;=50000,'中古車掲載'!AL728=1),'中古車掲載'!U728,"")</x:f>
      </x:c>
      <x:c r="BE727" s="3" t="str">
        <x:f>IF(AND('中古車掲載'!C728="One2car",'中古車掲載'!F728="Corolla Cross",'中古車掲載'!L728="HEV PREMIUM SAFETY",'中古車掲載'!J728=2023,ISNUMBER('中古車掲載'!N728),'中古車掲載'!N728&gt;=20000,'中古車掲載'!O728&lt;=50000,'中古車掲載'!AL728=1,'中古車掲載'!Z728="https://www.one2car.com/en/cars-for-sale/toyota/corolla-cross/year-2023"),'中古車掲載'!U728,"")</x:f>
      </x:c>
      <x:c r="BF727" s="3" t="str">
        <x:f>IF(AND('中古車掲載'!C728="One2car",'中古車掲載'!F728="Corolla Cross",'中古車掲載'!L728="HEV PREMIUM",'中古車掲載'!J728=2023,ISNUMBER('中古車掲載'!N728),'中古車掲載'!N728&gt;=20000,'中古車掲載'!O728&lt;=100000,'中古車掲載'!AL728=1,'中古車掲載'!Z728="https://www.one2car.com/en/cars-for-sale/toyota/corolla-cross/year-2023"),'中古車掲載'!U728,"")</x:f>
      </x:c>
      <x:c r="BG727" s="3" t="str">
        <x:f>IF(AND('中古車掲載'!C728="One2car",'中古車掲載'!F728="Corolla Cross",'中古車掲載'!L728="HEV GR SPORT",'中古車掲載'!J728=2023,ISNUMBER('中古車掲載'!N728),'中古車掲載'!N728&gt;=20000,'中古車掲載'!O728&lt;=100000,'中古車掲載'!AL728=1,'中古車掲載'!Z728="https://www.one2car.com/en/cars-for-sale/toyota/corolla-cross/year-2023"),'中古車掲載'!U728,"")</x:f>
      </x:c>
      <x:c r="BH727" s="3" t="str">
        <x:f>IF(AND('中古車掲載'!C728="One2car",'中古車掲載'!F728="DOLPHIN",'中古車掲載'!L728="STANDARD RANGE",'中古車掲載'!J728=2023,ISNUMBER('中古車掲載'!N728),'中古車掲載'!N728&gt;=20000,'中古車掲載'!O728&lt;=100000,'中古車掲載'!AL728=1),'中古車掲載'!U728,"")</x:f>
      </x:c>
      <x:c r="BI727" s="3" t="str">
        <x:v>Taladrod|Hilux Revo|ICE|Unknown</x:v>
      </x:c>
      <x:c r="BJ727" s="3" t="n">
        <x:v>728</x:v>
      </x:c>
      <x:c r="BK727" s="3" t="n">
        <x:f>'中古車掲載'!AM728</x:f>
        <x:v>489000</x:v>
      </x:c>
      <x:c r="BL727" s="3" t="str">
        <x:f>IF(ISNUMBER('中古車掲載'!AN728),'中古車掲載'!AN728,"")</x:f>
      </x:c>
      <x:c r="BM727" s="3"/>
      <x:c r="BN727" s="3"/>
      <x:c r="BO727" s="3"/>
      <x:c r="BP727" s="3"/>
      <x:c r="BQ727" s="3"/>
      <x:c r="BR727" s="3"/>
    </x:row>
    <x:row r="728" ht="22" customHeight="1">
      <x:c r="A728" s="3"/>
      <x:c r="B728" s="3"/>
      <x:c r="C728" s="3"/>
      <x:c r="D728" s="3"/>
      <x:c r="E728" s="3"/>
      <x:c r="F728" s="3"/>
      <x:c r="G728" s="3"/>
      <x:c r="H728" s="3"/>
      <x:c r="I728" s="3"/>
      <x:c r="J728" s="3"/>
      <x:c r="K728" s="3"/>
      <x:c r="L728" s="3"/>
      <x:c r="M728" s="3"/>
      <x:c r="N728" s="3"/>
      <x:c r="O728" s="3"/>
      <x:c r="P728" s="3"/>
      <x:c r="Q728" s="3"/>
      <x:c r="R728" s="3"/>
      <x:c r="S728" s="3"/>
      <x:c r="T728" s="3"/>
      <x:c r="U728" s="3"/>
      <x:c r="V728" s="3"/>
      <x:c r="W728" s="3"/>
      <x:c r="X728" s="3"/>
      <x:c r="Y728" s="3"/>
      <x:c r="Z728" s="3"/>
      <x:c r="AA728" s="3"/>
      <x:c r="AB728" s="3"/>
      <x:c r="AC728" s="3"/>
      <x:c r="AD728" s="3"/>
      <x:c r="AE728" s="3"/>
      <x:c r="AF728" s="3"/>
      <x:c r="AG728" s="3"/>
      <x:c r="AH728" s="3"/>
      <x:c r="AI728" s="3"/>
      <x:c r="AJ728" s="3"/>
      <x:c r="AK728" s="3"/>
      <x:c r="AL728" s="3"/>
      <x:c r="AM728" s="3"/>
      <x:c r="AN728" s="3"/>
      <x:c r="AO728" s="3"/>
      <x:c r="AP728" s="3"/>
      <x:c r="AQ728" s="3"/>
      <x:c r="AR728" s="3"/>
      <x:c r="AS728" s="3"/>
      <x:c r="AT728" s="3"/>
      <x:c r="AU728" s="3"/>
      <x:c r="AV728" s="3"/>
      <x:c r="AW728" s="3"/>
      <x:c r="AX728" s="3"/>
      <x:c r="AY728" s="3"/>
      <x:c r="AZ728" s="3" t="str">
        <x:f>IF(AND('中古車掲載'!C729="One2car",'中古車掲載'!F729="ATTO 3",'中古車掲載'!L729="EXTENDED RANGE",'中古車掲載'!J729=2023,ISNUMBER('中古車掲載'!N729),'中古車掲載'!N729&gt;=20000,'中古車掲載'!O729&lt;=100000,'中古車掲載'!AL729=1),'中古車掲載'!U729,"")</x:f>
      </x:c>
      <x:c r="BA728" s="3" t="str">
        <x:f>IF(AND('中古車掲載'!C729="One2car",'中古車掲載'!F729="Corolla Cross",'中古車掲載'!L729="HEV PREMIUM SAFETY",'中古車掲載'!J729=2023,ISNUMBER('中古車掲載'!N729),'中古車掲載'!N729&gt;=20000,'中古車掲載'!O729&lt;=100000,'中古車掲載'!AL729=1,'中古車掲載'!Z729="https://www.one2car.com/en/cars-for-sale/toyota/corolla-cross/year-2023"),'中古車掲載'!U729,"")</x:f>
      </x:c>
      <x:c r="BB728" s="3" t="str">
        <x:f>IF(AND('中古車掲載'!C729="One2car",'中古車掲載'!F729="ATTO 3",'中古車掲載'!L729="EXTENDED RANGE",'中古車掲載'!J729=2023,ISNUMBER('中古車掲載'!N729),'中古車掲載'!N729&gt;=50000,'中古車掲載'!O729&lt;=100000,'中古車掲載'!AL729=1),'中古車掲載'!U729,"")</x:f>
      </x:c>
      <x:c r="BC728" s="3" t="str">
        <x:f>IF(AND('中古車掲載'!C729="One2car",'中古車掲載'!F729="Corolla Cross",'中古車掲載'!L729="HEV PREMIUM SAFETY",'中古車掲載'!J729=2023,ISNUMBER('中古車掲載'!N729),'中古車掲載'!N729&gt;=50000,'中古車掲載'!O729&lt;=100000,'中古車掲載'!AL729=1,'中古車掲載'!Z729="https://www.one2car.com/en/cars-for-sale/toyota/corolla-cross/year-2023"),'中古車掲載'!U729,"")</x:f>
      </x:c>
      <x:c r="BD728" s="3" t="str">
        <x:f>IF(AND('中古車掲載'!C729="One2car",'中古車掲載'!F729="ATTO 3",'中古車掲載'!L729="EXTENDED RANGE",'中古車掲載'!J729=2023,ISNUMBER('中古車掲載'!N729),'中古車掲載'!N729&gt;=20000,'中古車掲載'!O729&lt;=50000,'中古車掲載'!AL729=1),'中古車掲載'!U729,"")</x:f>
      </x:c>
      <x:c r="BE728" s="3" t="str">
        <x:f>IF(AND('中古車掲載'!C729="One2car",'中古車掲載'!F729="Corolla Cross",'中古車掲載'!L729="HEV PREMIUM SAFETY",'中古車掲載'!J729=2023,ISNUMBER('中古車掲載'!N729),'中古車掲載'!N729&gt;=20000,'中古車掲載'!O729&lt;=50000,'中古車掲載'!AL729=1,'中古車掲載'!Z729="https://www.one2car.com/en/cars-for-sale/toyota/corolla-cross/year-2023"),'中古車掲載'!U729,"")</x:f>
      </x:c>
      <x:c r="BF728" s="3" t="str">
        <x:f>IF(AND('中古車掲載'!C729="One2car",'中古車掲載'!F729="Corolla Cross",'中古車掲載'!L729="HEV PREMIUM",'中古車掲載'!J729=2023,ISNUMBER('中古車掲載'!N729),'中古車掲載'!N729&gt;=20000,'中古車掲載'!O729&lt;=100000,'中古車掲載'!AL729=1,'中古車掲載'!Z729="https://www.one2car.com/en/cars-for-sale/toyota/corolla-cross/year-2023"),'中古車掲載'!U729,"")</x:f>
      </x:c>
      <x:c r="BG728" s="3" t="str">
        <x:f>IF(AND('中古車掲載'!C729="One2car",'中古車掲載'!F729="Corolla Cross",'中古車掲載'!L729="HEV GR SPORT",'中古車掲載'!J729=2023,ISNUMBER('中古車掲載'!N729),'中古車掲載'!N729&gt;=20000,'中古車掲載'!O729&lt;=100000,'中古車掲載'!AL729=1,'中古車掲載'!Z729="https://www.one2car.com/en/cars-for-sale/toyota/corolla-cross/year-2023"),'中古車掲載'!U729,"")</x:f>
      </x:c>
      <x:c r="BH728" s="3" t="str">
        <x:f>IF(AND('中古車掲載'!C729="One2car",'中古車掲載'!F729="DOLPHIN",'中古車掲載'!L729="STANDARD RANGE",'中古車掲載'!J729=2023,ISNUMBER('中古車掲載'!N729),'中古車掲載'!N729&gt;=20000,'中古車掲載'!O729&lt;=100000,'中古車掲載'!AL729=1),'中古車掲載'!U729,"")</x:f>
      </x:c>
      <x:c r="BI728" s="3" t="str">
        <x:v>Taladrod|Hilux Revo|ICE|Unknown</x:v>
      </x:c>
      <x:c r="BJ728" s="3" t="n">
        <x:v>729</x:v>
      </x:c>
      <x:c r="BK728" s="3" t="n">
        <x:f>'中古車掲載'!AM729</x:f>
        <x:v>488000</x:v>
      </x:c>
      <x:c r="BL728" s="3" t="str">
        <x:f>IF(ISNUMBER('中古車掲載'!AN729),'中古車掲載'!AN729,"")</x:f>
      </x:c>
      <x:c r="BM728" s="3"/>
      <x:c r="BN728" s="3"/>
      <x:c r="BO728" s="3"/>
      <x:c r="BP728" s="3"/>
      <x:c r="BQ728" s="3"/>
      <x:c r="BR728" s="3"/>
    </x:row>
    <x:row r="729" ht="22" customHeight="1">
      <x:c r="A729" s="3"/>
      <x:c r="B729" s="3"/>
      <x:c r="C729" s="3"/>
      <x:c r="D729" s="3"/>
      <x:c r="E729" s="3"/>
      <x:c r="F729" s="3"/>
      <x:c r="G729" s="3"/>
      <x:c r="H729" s="3"/>
      <x:c r="I729" s="3"/>
      <x:c r="J729" s="3"/>
      <x:c r="K729" s="3"/>
      <x:c r="L729" s="3"/>
      <x:c r="M729" s="3"/>
      <x:c r="N729" s="3"/>
      <x:c r="O729" s="3"/>
      <x:c r="P729" s="3"/>
      <x:c r="Q729" s="3"/>
      <x:c r="R729" s="3"/>
      <x:c r="S729" s="3"/>
      <x:c r="T729" s="3"/>
      <x:c r="U729" s="3"/>
      <x:c r="V729" s="3"/>
      <x:c r="W729" s="3"/>
      <x:c r="X729" s="3"/>
      <x:c r="Y729" s="3"/>
      <x:c r="Z729" s="3"/>
      <x:c r="AA729" s="3"/>
      <x:c r="AB729" s="3"/>
      <x:c r="AC729" s="3"/>
      <x:c r="AD729" s="3"/>
      <x:c r="AE729" s="3"/>
      <x:c r="AF729" s="3"/>
      <x:c r="AG729" s="3"/>
      <x:c r="AH729" s="3"/>
      <x:c r="AI729" s="3"/>
      <x:c r="AJ729" s="3"/>
      <x:c r="AK729" s="3"/>
      <x:c r="AL729" s="3"/>
      <x:c r="AM729" s="3"/>
      <x:c r="AN729" s="3"/>
      <x:c r="AO729" s="3"/>
      <x:c r="AP729" s="3"/>
      <x:c r="AQ729" s="3"/>
      <x:c r="AR729" s="3"/>
      <x:c r="AS729" s="3"/>
      <x:c r="AT729" s="3"/>
      <x:c r="AU729" s="3"/>
      <x:c r="AV729" s="3"/>
      <x:c r="AW729" s="3"/>
      <x:c r="AX729" s="3"/>
      <x:c r="AY729" s="3"/>
      <x:c r="AZ729" s="3" t="str">
        <x:f>IF(AND('中古車掲載'!C730="One2car",'中古車掲載'!F730="ATTO 3",'中古車掲載'!L730="EXTENDED RANGE",'中古車掲載'!J730=2023,ISNUMBER('中古車掲載'!N730),'中古車掲載'!N730&gt;=20000,'中古車掲載'!O730&lt;=100000,'中古車掲載'!AL730=1),'中古車掲載'!U730,"")</x:f>
      </x:c>
      <x:c r="BA729" s="3" t="str">
        <x:f>IF(AND('中古車掲載'!C730="One2car",'中古車掲載'!F730="Corolla Cross",'中古車掲載'!L730="HEV PREMIUM SAFETY",'中古車掲載'!J730=2023,ISNUMBER('中古車掲載'!N730),'中古車掲載'!N730&gt;=20000,'中古車掲載'!O730&lt;=100000,'中古車掲載'!AL730=1,'中古車掲載'!Z730="https://www.one2car.com/en/cars-for-sale/toyota/corolla-cross/year-2023"),'中古車掲載'!U730,"")</x:f>
      </x:c>
      <x:c r="BB729" s="3" t="str">
        <x:f>IF(AND('中古車掲載'!C730="One2car",'中古車掲載'!F730="ATTO 3",'中古車掲載'!L730="EXTENDED RANGE",'中古車掲載'!J730=2023,ISNUMBER('中古車掲載'!N730),'中古車掲載'!N730&gt;=50000,'中古車掲載'!O730&lt;=100000,'中古車掲載'!AL730=1),'中古車掲載'!U730,"")</x:f>
      </x:c>
      <x:c r="BC729" s="3" t="str">
        <x:f>IF(AND('中古車掲載'!C730="One2car",'中古車掲載'!F730="Corolla Cross",'中古車掲載'!L730="HEV PREMIUM SAFETY",'中古車掲載'!J730=2023,ISNUMBER('中古車掲載'!N730),'中古車掲載'!N730&gt;=50000,'中古車掲載'!O730&lt;=100000,'中古車掲載'!AL730=1,'中古車掲載'!Z730="https://www.one2car.com/en/cars-for-sale/toyota/corolla-cross/year-2023"),'中古車掲載'!U730,"")</x:f>
      </x:c>
      <x:c r="BD729" s="3" t="str">
        <x:f>IF(AND('中古車掲載'!C730="One2car",'中古車掲載'!F730="ATTO 3",'中古車掲載'!L730="EXTENDED RANGE",'中古車掲載'!J730=2023,ISNUMBER('中古車掲載'!N730),'中古車掲載'!N730&gt;=20000,'中古車掲載'!O730&lt;=50000,'中古車掲載'!AL730=1),'中古車掲載'!U730,"")</x:f>
      </x:c>
      <x:c r="BE729" s="3" t="str">
        <x:f>IF(AND('中古車掲載'!C730="One2car",'中古車掲載'!F730="Corolla Cross",'中古車掲載'!L730="HEV PREMIUM SAFETY",'中古車掲載'!J730=2023,ISNUMBER('中古車掲載'!N730),'中古車掲載'!N730&gt;=20000,'中古車掲載'!O730&lt;=50000,'中古車掲載'!AL730=1,'中古車掲載'!Z730="https://www.one2car.com/en/cars-for-sale/toyota/corolla-cross/year-2023"),'中古車掲載'!U730,"")</x:f>
      </x:c>
      <x:c r="BF729" s="3" t="str">
        <x:f>IF(AND('中古車掲載'!C730="One2car",'中古車掲載'!F730="Corolla Cross",'中古車掲載'!L730="HEV PREMIUM",'中古車掲載'!J730=2023,ISNUMBER('中古車掲載'!N730),'中古車掲載'!N730&gt;=20000,'中古車掲載'!O730&lt;=100000,'中古車掲載'!AL730=1,'中古車掲載'!Z730="https://www.one2car.com/en/cars-for-sale/toyota/corolla-cross/year-2023"),'中古車掲載'!U730,"")</x:f>
      </x:c>
      <x:c r="BG729" s="3" t="str">
        <x:f>IF(AND('中古車掲載'!C730="One2car",'中古車掲載'!F730="Corolla Cross",'中古車掲載'!L730="HEV GR SPORT",'中古車掲載'!J730=2023,ISNUMBER('中古車掲載'!N730),'中古車掲載'!N730&gt;=20000,'中古車掲載'!O730&lt;=100000,'中古車掲載'!AL730=1,'中古車掲載'!Z730="https://www.one2car.com/en/cars-for-sale/toyota/corolla-cross/year-2023"),'中古車掲載'!U730,"")</x:f>
      </x:c>
      <x:c r="BH729" s="3" t="str">
        <x:f>IF(AND('中古車掲載'!C730="One2car",'中古車掲載'!F730="DOLPHIN",'中古車掲載'!L730="STANDARD RANGE",'中古車掲載'!J730=2023,ISNUMBER('中古車掲載'!N730),'中古車掲載'!N730&gt;=20000,'中古車掲載'!O730&lt;=100000,'中古車掲載'!AL730=1),'中古車掲載'!U730,"")</x:f>
      </x:c>
      <x:c r="BI729" s="3" t="str">
        <x:v>Taladrod|Hilux Revo|ICE|Unknown</x:v>
      </x:c>
      <x:c r="BJ729" s="3" t="n">
        <x:v>730</x:v>
      </x:c>
      <x:c r="BK729" s="3" t="n">
        <x:f>'中古車掲載'!AM730</x:f>
        <x:v>439000</x:v>
      </x:c>
      <x:c r="BL729" s="3" t="str">
        <x:f>IF(ISNUMBER('中古車掲載'!AN730),'中古車掲載'!AN730,"")</x:f>
      </x:c>
      <x:c r="BM729" s="3"/>
      <x:c r="BN729" s="3"/>
      <x:c r="BO729" s="3"/>
      <x:c r="BP729" s="3"/>
      <x:c r="BQ729" s="3"/>
      <x:c r="BR729" s="3"/>
    </x:row>
    <x:row r="730" ht="22" customHeight="1">
      <x:c r="A730" s="3"/>
      <x:c r="B730" s="3"/>
      <x:c r="C730" s="3"/>
      <x:c r="D730" s="3"/>
      <x:c r="E730" s="3"/>
      <x:c r="F730" s="3"/>
      <x:c r="G730" s="3"/>
      <x:c r="H730" s="3"/>
      <x:c r="I730" s="3"/>
      <x:c r="J730" s="3"/>
      <x:c r="K730" s="3"/>
      <x:c r="L730" s="3"/>
      <x:c r="M730" s="3"/>
      <x:c r="N730" s="3"/>
      <x:c r="O730" s="3"/>
      <x:c r="P730" s="3"/>
      <x:c r="Q730" s="3"/>
      <x:c r="R730" s="3"/>
      <x:c r="S730" s="3"/>
      <x:c r="T730" s="3"/>
      <x:c r="U730" s="3"/>
      <x:c r="V730" s="3"/>
      <x:c r="W730" s="3"/>
      <x:c r="X730" s="3"/>
      <x:c r="Y730" s="3"/>
      <x:c r="Z730" s="3"/>
      <x:c r="AA730" s="3"/>
      <x:c r="AB730" s="3"/>
      <x:c r="AC730" s="3"/>
      <x:c r="AD730" s="3"/>
      <x:c r="AE730" s="3"/>
      <x:c r="AF730" s="3"/>
      <x:c r="AG730" s="3"/>
      <x:c r="AH730" s="3"/>
      <x:c r="AI730" s="3"/>
      <x:c r="AJ730" s="3"/>
      <x:c r="AK730" s="3"/>
      <x:c r="AL730" s="3"/>
      <x:c r="AM730" s="3"/>
      <x:c r="AN730" s="3"/>
      <x:c r="AO730" s="3"/>
      <x:c r="AP730" s="3"/>
      <x:c r="AQ730" s="3"/>
      <x:c r="AR730" s="3"/>
      <x:c r="AS730" s="3"/>
      <x:c r="AT730" s="3"/>
      <x:c r="AU730" s="3"/>
      <x:c r="AV730" s="3"/>
      <x:c r="AW730" s="3"/>
      <x:c r="AX730" s="3"/>
      <x:c r="AY730" s="3"/>
      <x:c r="AZ730" s="3" t="str">
        <x:f>IF(AND('中古車掲載'!C731="One2car",'中古車掲載'!F731="ATTO 3",'中古車掲載'!L731="EXTENDED RANGE",'中古車掲載'!J731=2023,ISNUMBER('中古車掲載'!N731),'中古車掲載'!N731&gt;=20000,'中古車掲載'!O731&lt;=100000,'中古車掲載'!AL731=1),'中古車掲載'!U731,"")</x:f>
      </x:c>
      <x:c r="BA730" s="3" t="str">
        <x:f>IF(AND('中古車掲載'!C731="One2car",'中古車掲載'!F731="Corolla Cross",'中古車掲載'!L731="HEV PREMIUM SAFETY",'中古車掲載'!J731=2023,ISNUMBER('中古車掲載'!N731),'中古車掲載'!N731&gt;=20000,'中古車掲載'!O731&lt;=100000,'中古車掲載'!AL731=1,'中古車掲載'!Z731="https://www.one2car.com/en/cars-for-sale/toyota/corolla-cross/year-2023"),'中古車掲載'!U731,"")</x:f>
      </x:c>
      <x:c r="BB730" s="3" t="str">
        <x:f>IF(AND('中古車掲載'!C731="One2car",'中古車掲載'!F731="ATTO 3",'中古車掲載'!L731="EXTENDED RANGE",'中古車掲載'!J731=2023,ISNUMBER('中古車掲載'!N731),'中古車掲載'!N731&gt;=50000,'中古車掲載'!O731&lt;=100000,'中古車掲載'!AL731=1),'中古車掲載'!U731,"")</x:f>
      </x:c>
      <x:c r="BC730" s="3" t="str">
        <x:f>IF(AND('中古車掲載'!C731="One2car",'中古車掲載'!F731="Corolla Cross",'中古車掲載'!L731="HEV PREMIUM SAFETY",'中古車掲載'!J731=2023,ISNUMBER('中古車掲載'!N731),'中古車掲載'!N731&gt;=50000,'中古車掲載'!O731&lt;=100000,'中古車掲載'!AL731=1,'中古車掲載'!Z731="https://www.one2car.com/en/cars-for-sale/toyota/corolla-cross/year-2023"),'中古車掲載'!U731,"")</x:f>
      </x:c>
      <x:c r="BD730" s="3" t="str">
        <x:f>IF(AND('中古車掲載'!C731="One2car",'中古車掲載'!F731="ATTO 3",'中古車掲載'!L731="EXTENDED RANGE",'中古車掲載'!J731=2023,ISNUMBER('中古車掲載'!N731),'中古車掲載'!N731&gt;=20000,'中古車掲載'!O731&lt;=50000,'中古車掲載'!AL731=1),'中古車掲載'!U731,"")</x:f>
      </x:c>
      <x:c r="BE730" s="3" t="str">
        <x:f>IF(AND('中古車掲載'!C731="One2car",'中古車掲載'!F731="Corolla Cross",'中古車掲載'!L731="HEV PREMIUM SAFETY",'中古車掲載'!J731=2023,ISNUMBER('中古車掲載'!N731),'中古車掲載'!N731&gt;=20000,'中古車掲載'!O731&lt;=50000,'中古車掲載'!AL731=1,'中古車掲載'!Z731="https://www.one2car.com/en/cars-for-sale/toyota/corolla-cross/year-2023"),'中古車掲載'!U731,"")</x:f>
      </x:c>
      <x:c r="BF730" s="3" t="str">
        <x:f>IF(AND('中古車掲載'!C731="One2car",'中古車掲載'!F731="Corolla Cross",'中古車掲載'!L731="HEV PREMIUM",'中古車掲載'!J731=2023,ISNUMBER('中古車掲載'!N731),'中古車掲載'!N731&gt;=20000,'中古車掲載'!O731&lt;=100000,'中古車掲載'!AL731=1,'中古車掲載'!Z731="https://www.one2car.com/en/cars-for-sale/toyota/corolla-cross/year-2023"),'中古車掲載'!U731,"")</x:f>
      </x:c>
      <x:c r="BG730" s="3" t="str">
        <x:f>IF(AND('中古車掲載'!C731="One2car",'中古車掲載'!F731="Corolla Cross",'中古車掲載'!L731="HEV GR SPORT",'中古車掲載'!J731=2023,ISNUMBER('中古車掲載'!N731),'中古車掲載'!N731&gt;=20000,'中古車掲載'!O731&lt;=100000,'中古車掲載'!AL731=1,'中古車掲載'!Z731="https://www.one2car.com/en/cars-for-sale/toyota/corolla-cross/year-2023"),'中古車掲載'!U731,"")</x:f>
      </x:c>
      <x:c r="BH730" s="3" t="str">
        <x:f>IF(AND('中古車掲載'!C731="One2car",'中古車掲載'!F731="DOLPHIN",'中古車掲載'!L731="STANDARD RANGE",'中古車掲載'!J731=2023,ISNUMBER('中古車掲載'!N731),'中古車掲載'!N731&gt;=20000,'中古車掲載'!O731&lt;=100000,'中古車掲載'!AL731=1),'中古車掲載'!U731,"")</x:f>
      </x:c>
      <x:c r="BI730" s="3" t="str">
        <x:v>Taladrod|Hilux Revo|ICE|Unknown</x:v>
      </x:c>
      <x:c r="BJ730" s="3" t="n">
        <x:v>731</x:v>
      </x:c>
      <x:c r="BK730" s="3" t="n">
        <x:f>'中古車掲載'!AM731</x:f>
        <x:v>435000</x:v>
      </x:c>
      <x:c r="BL730" s="3" t="str">
        <x:f>IF(ISNUMBER('中古車掲載'!AN731),'中古車掲載'!AN731,"")</x:f>
      </x:c>
      <x:c r="BM730" s="3"/>
      <x:c r="BN730" s="3"/>
      <x:c r="BO730" s="3"/>
      <x:c r="BP730" s="3"/>
      <x:c r="BQ730" s="3"/>
      <x:c r="BR730" s="3"/>
    </x:row>
    <x:row r="731" ht="22" customHeight="1">
      <x:c r="A731" s="3"/>
      <x:c r="B731" s="3"/>
      <x:c r="C731" s="3"/>
      <x:c r="D731" s="3"/>
      <x:c r="E731" s="3"/>
      <x:c r="F731" s="3"/>
      <x:c r="G731" s="3"/>
      <x:c r="H731" s="3"/>
      <x:c r="I731" s="3"/>
      <x:c r="J731" s="3"/>
      <x:c r="K731" s="3"/>
      <x:c r="L731" s="3"/>
      <x:c r="M731" s="3"/>
      <x:c r="N731" s="3"/>
      <x:c r="O731" s="3"/>
      <x:c r="P731" s="3"/>
      <x:c r="Q731" s="3"/>
      <x:c r="R731" s="3"/>
      <x:c r="S731" s="3"/>
      <x:c r="T731" s="3"/>
      <x:c r="U731" s="3"/>
      <x:c r="V731" s="3"/>
      <x:c r="W731" s="3"/>
      <x:c r="X731" s="3"/>
      <x:c r="Y731" s="3"/>
      <x:c r="Z731" s="3"/>
      <x:c r="AA731" s="3"/>
      <x:c r="AB731" s="3"/>
      <x:c r="AC731" s="3"/>
      <x:c r="AD731" s="3"/>
      <x:c r="AE731" s="3"/>
      <x:c r="AF731" s="3"/>
      <x:c r="AG731" s="3"/>
      <x:c r="AH731" s="3"/>
      <x:c r="AI731" s="3"/>
      <x:c r="AJ731" s="3"/>
      <x:c r="AK731" s="3"/>
      <x:c r="AL731" s="3"/>
      <x:c r="AM731" s="3"/>
      <x:c r="AN731" s="3"/>
      <x:c r="AO731" s="3"/>
      <x:c r="AP731" s="3"/>
      <x:c r="AQ731" s="3"/>
      <x:c r="AR731" s="3"/>
      <x:c r="AS731" s="3"/>
      <x:c r="AT731" s="3"/>
      <x:c r="AU731" s="3"/>
      <x:c r="AV731" s="3"/>
      <x:c r="AW731" s="3"/>
      <x:c r="AX731" s="3"/>
      <x:c r="AY731" s="3"/>
      <x:c r="AZ731" s="3" t="str">
        <x:f>IF(AND('中古車掲載'!C732="One2car",'中古車掲載'!F732="ATTO 3",'中古車掲載'!L732="EXTENDED RANGE",'中古車掲載'!J732=2023,ISNUMBER('中古車掲載'!N732),'中古車掲載'!N732&gt;=20000,'中古車掲載'!O732&lt;=100000,'中古車掲載'!AL732=1),'中古車掲載'!U732,"")</x:f>
      </x:c>
      <x:c r="BA731" s="3" t="str">
        <x:f>IF(AND('中古車掲載'!C732="One2car",'中古車掲載'!F732="Corolla Cross",'中古車掲載'!L732="HEV PREMIUM SAFETY",'中古車掲載'!J732=2023,ISNUMBER('中古車掲載'!N732),'中古車掲載'!N732&gt;=20000,'中古車掲載'!O732&lt;=100000,'中古車掲載'!AL732=1,'中古車掲載'!Z732="https://www.one2car.com/en/cars-for-sale/toyota/corolla-cross/year-2023"),'中古車掲載'!U732,"")</x:f>
      </x:c>
      <x:c r="BB731" s="3" t="str">
        <x:f>IF(AND('中古車掲載'!C732="One2car",'中古車掲載'!F732="ATTO 3",'中古車掲載'!L732="EXTENDED RANGE",'中古車掲載'!J732=2023,ISNUMBER('中古車掲載'!N732),'中古車掲載'!N732&gt;=50000,'中古車掲載'!O732&lt;=100000,'中古車掲載'!AL732=1),'中古車掲載'!U732,"")</x:f>
      </x:c>
      <x:c r="BC731" s="3" t="str">
        <x:f>IF(AND('中古車掲載'!C732="One2car",'中古車掲載'!F732="Corolla Cross",'中古車掲載'!L732="HEV PREMIUM SAFETY",'中古車掲載'!J732=2023,ISNUMBER('中古車掲載'!N732),'中古車掲載'!N732&gt;=50000,'中古車掲載'!O732&lt;=100000,'中古車掲載'!AL732=1,'中古車掲載'!Z732="https://www.one2car.com/en/cars-for-sale/toyota/corolla-cross/year-2023"),'中古車掲載'!U732,"")</x:f>
      </x:c>
      <x:c r="BD731" s="3" t="str">
        <x:f>IF(AND('中古車掲載'!C732="One2car",'中古車掲載'!F732="ATTO 3",'中古車掲載'!L732="EXTENDED RANGE",'中古車掲載'!J732=2023,ISNUMBER('中古車掲載'!N732),'中古車掲載'!N732&gt;=20000,'中古車掲載'!O732&lt;=50000,'中古車掲載'!AL732=1),'中古車掲載'!U732,"")</x:f>
      </x:c>
      <x:c r="BE731" s="3" t="str">
        <x:f>IF(AND('中古車掲載'!C732="One2car",'中古車掲載'!F732="Corolla Cross",'中古車掲載'!L732="HEV PREMIUM SAFETY",'中古車掲載'!J732=2023,ISNUMBER('中古車掲載'!N732),'中古車掲載'!N732&gt;=20000,'中古車掲載'!O732&lt;=50000,'中古車掲載'!AL732=1,'中古車掲載'!Z732="https://www.one2car.com/en/cars-for-sale/toyota/corolla-cross/year-2023"),'中古車掲載'!U732,"")</x:f>
      </x:c>
      <x:c r="BF731" s="3" t="str">
        <x:f>IF(AND('中古車掲載'!C732="One2car",'中古車掲載'!F732="Corolla Cross",'中古車掲載'!L732="HEV PREMIUM",'中古車掲載'!J732=2023,ISNUMBER('中古車掲載'!N732),'中古車掲載'!N732&gt;=20000,'中古車掲載'!O732&lt;=100000,'中古車掲載'!AL732=1,'中古車掲載'!Z732="https://www.one2car.com/en/cars-for-sale/toyota/corolla-cross/year-2023"),'中古車掲載'!U732,"")</x:f>
      </x:c>
      <x:c r="BG731" s="3" t="str">
        <x:f>IF(AND('中古車掲載'!C732="One2car",'中古車掲載'!F732="Corolla Cross",'中古車掲載'!L732="HEV GR SPORT",'中古車掲載'!J732=2023,ISNUMBER('中古車掲載'!N732),'中古車掲載'!N732&gt;=20000,'中古車掲載'!O732&lt;=100000,'中古車掲載'!AL732=1,'中古車掲載'!Z732="https://www.one2car.com/en/cars-for-sale/toyota/corolla-cross/year-2023"),'中古車掲載'!U732,"")</x:f>
      </x:c>
      <x:c r="BH731" s="3" t="str">
        <x:f>IF(AND('中古車掲載'!C732="One2car",'中古車掲載'!F732="DOLPHIN",'中古車掲載'!L732="STANDARD RANGE",'中古車掲載'!J732=2023,ISNUMBER('中古車掲載'!N732),'中古車掲載'!N732&gt;=20000,'中古車掲載'!O732&lt;=100000,'中古車掲載'!AL732=1),'中古車掲載'!U732,"")</x:f>
      </x:c>
      <x:c r="BI731" s="3" t="str">
        <x:v>Taladrod|Hilux Revo|ICE|Unknown</x:v>
      </x:c>
      <x:c r="BJ731" s="3" t="n">
        <x:v>732</x:v>
      </x:c>
      <x:c r="BK731" s="3" t="n">
        <x:f>'中古車掲載'!AM732</x:f>
        <x:v>439000</x:v>
      </x:c>
      <x:c r="BL731" s="3" t="str">
        <x:f>IF(ISNUMBER('中古車掲載'!AN732),'中古車掲載'!AN732,"")</x:f>
      </x:c>
      <x:c r="BM731" s="3"/>
      <x:c r="BN731" s="3"/>
      <x:c r="BO731" s="3"/>
      <x:c r="BP731" s="3"/>
      <x:c r="BQ731" s="3"/>
      <x:c r="BR731" s="3"/>
    </x:row>
    <x:row r="732" ht="22" customHeight="1">
      <x:c r="A732" s="3"/>
      <x:c r="B732" s="3"/>
      <x:c r="C732" s="3"/>
      <x:c r="D732" s="3"/>
      <x:c r="E732" s="3"/>
      <x:c r="F732" s="3"/>
      <x:c r="G732" s="3"/>
      <x:c r="H732" s="3"/>
      <x:c r="I732" s="3"/>
      <x:c r="J732" s="3"/>
      <x:c r="K732" s="3"/>
      <x:c r="L732" s="3"/>
      <x:c r="M732" s="3"/>
      <x:c r="N732" s="3"/>
      <x:c r="O732" s="3"/>
      <x:c r="P732" s="3"/>
      <x:c r="Q732" s="3"/>
      <x:c r="R732" s="3"/>
      <x:c r="S732" s="3"/>
      <x:c r="T732" s="3"/>
      <x:c r="U732" s="3"/>
      <x:c r="V732" s="3"/>
      <x:c r="W732" s="3"/>
      <x:c r="X732" s="3"/>
      <x:c r="Y732" s="3"/>
      <x:c r="Z732" s="3"/>
      <x:c r="AA732" s="3"/>
      <x:c r="AB732" s="3"/>
      <x:c r="AC732" s="3"/>
      <x:c r="AD732" s="3"/>
      <x:c r="AE732" s="3"/>
      <x:c r="AF732" s="3"/>
      <x:c r="AG732" s="3"/>
      <x:c r="AH732" s="3"/>
      <x:c r="AI732" s="3"/>
      <x:c r="AJ732" s="3"/>
      <x:c r="AK732" s="3"/>
      <x:c r="AL732" s="3"/>
      <x:c r="AM732" s="3"/>
      <x:c r="AN732" s="3"/>
      <x:c r="AO732" s="3"/>
      <x:c r="AP732" s="3"/>
      <x:c r="AQ732" s="3"/>
      <x:c r="AR732" s="3"/>
      <x:c r="AS732" s="3"/>
      <x:c r="AT732" s="3"/>
      <x:c r="AU732" s="3"/>
      <x:c r="AV732" s="3"/>
      <x:c r="AW732" s="3"/>
      <x:c r="AX732" s="3"/>
      <x:c r="AY732" s="3"/>
      <x:c r="AZ732" s="3" t="str">
        <x:f>IF(AND('中古車掲載'!C733="One2car",'中古車掲載'!F733="ATTO 3",'中古車掲載'!L733="EXTENDED RANGE",'中古車掲載'!J733=2023,ISNUMBER('中古車掲載'!N733),'中古車掲載'!N733&gt;=20000,'中古車掲載'!O733&lt;=100000,'中古車掲載'!AL733=1),'中古車掲載'!U733,"")</x:f>
      </x:c>
      <x:c r="BA732" s="3" t="str">
        <x:f>IF(AND('中古車掲載'!C733="One2car",'中古車掲載'!F733="Corolla Cross",'中古車掲載'!L733="HEV PREMIUM SAFETY",'中古車掲載'!J733=2023,ISNUMBER('中古車掲載'!N733),'中古車掲載'!N733&gt;=20000,'中古車掲載'!O733&lt;=100000,'中古車掲載'!AL733=1,'中古車掲載'!Z733="https://www.one2car.com/en/cars-for-sale/toyota/corolla-cross/year-2023"),'中古車掲載'!U733,"")</x:f>
      </x:c>
      <x:c r="BB732" s="3" t="str">
        <x:f>IF(AND('中古車掲載'!C733="One2car",'中古車掲載'!F733="ATTO 3",'中古車掲載'!L733="EXTENDED RANGE",'中古車掲載'!J733=2023,ISNUMBER('中古車掲載'!N733),'中古車掲載'!N733&gt;=50000,'中古車掲載'!O733&lt;=100000,'中古車掲載'!AL733=1),'中古車掲載'!U733,"")</x:f>
      </x:c>
      <x:c r="BC732" s="3" t="str">
        <x:f>IF(AND('中古車掲載'!C733="One2car",'中古車掲載'!F733="Corolla Cross",'中古車掲載'!L733="HEV PREMIUM SAFETY",'中古車掲載'!J733=2023,ISNUMBER('中古車掲載'!N733),'中古車掲載'!N733&gt;=50000,'中古車掲載'!O733&lt;=100000,'中古車掲載'!AL733=1,'中古車掲載'!Z733="https://www.one2car.com/en/cars-for-sale/toyota/corolla-cross/year-2023"),'中古車掲載'!U733,"")</x:f>
      </x:c>
      <x:c r="BD732" s="3" t="str">
        <x:f>IF(AND('中古車掲載'!C733="One2car",'中古車掲載'!F733="ATTO 3",'中古車掲載'!L733="EXTENDED RANGE",'中古車掲載'!J733=2023,ISNUMBER('中古車掲載'!N733),'中古車掲載'!N733&gt;=20000,'中古車掲載'!O733&lt;=50000,'中古車掲載'!AL733=1),'中古車掲載'!U733,"")</x:f>
      </x:c>
      <x:c r="BE732" s="3" t="str">
        <x:f>IF(AND('中古車掲載'!C733="One2car",'中古車掲載'!F733="Corolla Cross",'中古車掲載'!L733="HEV PREMIUM SAFETY",'中古車掲載'!J733=2023,ISNUMBER('中古車掲載'!N733),'中古車掲載'!N733&gt;=20000,'中古車掲載'!O733&lt;=50000,'中古車掲載'!AL733=1,'中古車掲載'!Z733="https://www.one2car.com/en/cars-for-sale/toyota/corolla-cross/year-2023"),'中古車掲載'!U733,"")</x:f>
      </x:c>
      <x:c r="BF732" s="3" t="str">
        <x:f>IF(AND('中古車掲載'!C733="One2car",'中古車掲載'!F733="Corolla Cross",'中古車掲載'!L733="HEV PREMIUM",'中古車掲載'!J733=2023,ISNUMBER('中古車掲載'!N733),'中古車掲載'!N733&gt;=20000,'中古車掲載'!O733&lt;=100000,'中古車掲載'!AL733=1,'中古車掲載'!Z733="https://www.one2car.com/en/cars-for-sale/toyota/corolla-cross/year-2023"),'中古車掲載'!U733,"")</x:f>
      </x:c>
      <x:c r="BG732" s="3" t="str">
        <x:f>IF(AND('中古車掲載'!C733="One2car",'中古車掲載'!F733="Corolla Cross",'中古車掲載'!L733="HEV GR SPORT",'中古車掲載'!J733=2023,ISNUMBER('中古車掲載'!N733),'中古車掲載'!N733&gt;=20000,'中古車掲載'!O733&lt;=100000,'中古車掲載'!AL733=1,'中古車掲載'!Z733="https://www.one2car.com/en/cars-for-sale/toyota/corolla-cross/year-2023"),'中古車掲載'!U733,"")</x:f>
      </x:c>
      <x:c r="BH732" s="3" t="str">
        <x:f>IF(AND('中古車掲載'!C733="One2car",'中古車掲載'!F733="DOLPHIN",'中古車掲載'!L733="STANDARD RANGE",'中古車掲載'!J733=2023,ISNUMBER('中古車掲載'!N733),'中古車掲載'!N733&gt;=20000,'中古車掲載'!O733&lt;=100000,'中古車掲載'!AL733=1),'中古車掲載'!U733,"")</x:f>
      </x:c>
      <x:c r="BI732" s="3" t="str">
        <x:v>Taladrod|Hilux Revo|ICE|Unknown</x:v>
      </x:c>
      <x:c r="BJ732" s="3" t="n">
        <x:v>733</x:v>
      </x:c>
      <x:c r="BK732" s="3" t="n">
        <x:f>'中古車掲載'!AM733</x:f>
        <x:v>375000</x:v>
      </x:c>
      <x:c r="BL732" s="3" t="str">
        <x:f>IF(ISNUMBER('中古車掲載'!AN733),'中古車掲載'!AN733,"")</x:f>
      </x:c>
      <x:c r="BM732" s="3"/>
      <x:c r="BN732" s="3"/>
      <x:c r="BO732" s="3"/>
      <x:c r="BP732" s="3"/>
      <x:c r="BQ732" s="3"/>
      <x:c r="BR732" s="3"/>
    </x:row>
    <x:row r="733" ht="22" customHeight="1">
      <x:c r="A733" s="3"/>
      <x:c r="B733" s="3"/>
      <x:c r="C733" s="3"/>
      <x:c r="D733" s="3"/>
      <x:c r="E733" s="3"/>
      <x:c r="F733" s="3"/>
      <x:c r="G733" s="3"/>
      <x:c r="H733" s="3"/>
      <x:c r="I733" s="3"/>
      <x:c r="J733" s="3"/>
      <x:c r="K733" s="3"/>
      <x:c r="L733" s="3"/>
      <x:c r="M733" s="3"/>
      <x:c r="N733" s="3"/>
      <x:c r="O733" s="3"/>
      <x:c r="P733" s="3"/>
      <x:c r="Q733" s="3"/>
      <x:c r="R733" s="3"/>
      <x:c r="S733" s="3"/>
      <x:c r="T733" s="3"/>
      <x:c r="U733" s="3"/>
      <x:c r="V733" s="3"/>
      <x:c r="W733" s="3"/>
      <x:c r="X733" s="3"/>
      <x:c r="Y733" s="3"/>
      <x:c r="Z733" s="3"/>
      <x:c r="AA733" s="3"/>
      <x:c r="AB733" s="3"/>
      <x:c r="AC733" s="3"/>
      <x:c r="AD733" s="3"/>
      <x:c r="AE733" s="3"/>
      <x:c r="AF733" s="3"/>
      <x:c r="AG733" s="3"/>
      <x:c r="AH733" s="3"/>
      <x:c r="AI733" s="3"/>
      <x:c r="AJ733" s="3"/>
      <x:c r="AK733" s="3"/>
      <x:c r="AL733" s="3"/>
      <x:c r="AM733" s="3"/>
      <x:c r="AN733" s="3"/>
      <x:c r="AO733" s="3"/>
      <x:c r="AP733" s="3"/>
      <x:c r="AQ733" s="3"/>
      <x:c r="AR733" s="3"/>
      <x:c r="AS733" s="3"/>
      <x:c r="AT733" s="3"/>
      <x:c r="AU733" s="3"/>
      <x:c r="AV733" s="3"/>
      <x:c r="AW733" s="3"/>
      <x:c r="AX733" s="3"/>
      <x:c r="AY733" s="3"/>
      <x:c r="AZ733" s="3" t="str">
        <x:f>IF(AND('中古車掲載'!C734="One2car",'中古車掲載'!F734="ATTO 3",'中古車掲載'!L734="EXTENDED RANGE",'中古車掲載'!J734=2023,ISNUMBER('中古車掲載'!N734),'中古車掲載'!N734&gt;=20000,'中古車掲載'!O734&lt;=100000,'中古車掲載'!AL734=1),'中古車掲載'!U734,"")</x:f>
      </x:c>
      <x:c r="BA733" s="3" t="str">
        <x:f>IF(AND('中古車掲載'!C734="One2car",'中古車掲載'!F734="Corolla Cross",'中古車掲載'!L734="HEV PREMIUM SAFETY",'中古車掲載'!J734=2023,ISNUMBER('中古車掲載'!N734),'中古車掲載'!N734&gt;=20000,'中古車掲載'!O734&lt;=100000,'中古車掲載'!AL734=1,'中古車掲載'!Z734="https://www.one2car.com/en/cars-for-sale/toyota/corolla-cross/year-2023"),'中古車掲載'!U734,"")</x:f>
      </x:c>
      <x:c r="BB733" s="3" t="str">
        <x:f>IF(AND('中古車掲載'!C734="One2car",'中古車掲載'!F734="ATTO 3",'中古車掲載'!L734="EXTENDED RANGE",'中古車掲載'!J734=2023,ISNUMBER('中古車掲載'!N734),'中古車掲載'!N734&gt;=50000,'中古車掲載'!O734&lt;=100000,'中古車掲載'!AL734=1),'中古車掲載'!U734,"")</x:f>
      </x:c>
      <x:c r="BC733" s="3" t="str">
        <x:f>IF(AND('中古車掲載'!C734="One2car",'中古車掲載'!F734="Corolla Cross",'中古車掲載'!L734="HEV PREMIUM SAFETY",'中古車掲載'!J734=2023,ISNUMBER('中古車掲載'!N734),'中古車掲載'!N734&gt;=50000,'中古車掲載'!O734&lt;=100000,'中古車掲載'!AL734=1,'中古車掲載'!Z734="https://www.one2car.com/en/cars-for-sale/toyota/corolla-cross/year-2023"),'中古車掲載'!U734,"")</x:f>
      </x:c>
      <x:c r="BD733" s="3" t="str">
        <x:f>IF(AND('中古車掲載'!C734="One2car",'中古車掲載'!F734="ATTO 3",'中古車掲載'!L734="EXTENDED RANGE",'中古車掲載'!J734=2023,ISNUMBER('中古車掲載'!N734),'中古車掲載'!N734&gt;=20000,'中古車掲載'!O734&lt;=50000,'中古車掲載'!AL734=1),'中古車掲載'!U734,"")</x:f>
      </x:c>
      <x:c r="BE733" s="3" t="str">
        <x:f>IF(AND('中古車掲載'!C734="One2car",'中古車掲載'!F734="Corolla Cross",'中古車掲載'!L734="HEV PREMIUM SAFETY",'中古車掲載'!J734=2023,ISNUMBER('中古車掲載'!N734),'中古車掲載'!N734&gt;=20000,'中古車掲載'!O734&lt;=50000,'中古車掲載'!AL734=1,'中古車掲載'!Z734="https://www.one2car.com/en/cars-for-sale/toyota/corolla-cross/year-2023"),'中古車掲載'!U734,"")</x:f>
      </x:c>
      <x:c r="BF733" s="3" t="str">
        <x:f>IF(AND('中古車掲載'!C734="One2car",'中古車掲載'!F734="Corolla Cross",'中古車掲載'!L734="HEV PREMIUM",'中古車掲載'!J734=2023,ISNUMBER('中古車掲載'!N734),'中古車掲載'!N734&gt;=20000,'中古車掲載'!O734&lt;=100000,'中古車掲載'!AL734=1,'中古車掲載'!Z734="https://www.one2car.com/en/cars-for-sale/toyota/corolla-cross/year-2023"),'中古車掲載'!U734,"")</x:f>
      </x:c>
      <x:c r="BG733" s="3" t="str">
        <x:f>IF(AND('中古車掲載'!C734="One2car",'中古車掲載'!F734="Corolla Cross",'中古車掲載'!L734="HEV GR SPORT",'中古車掲載'!J734=2023,ISNUMBER('中古車掲載'!N734),'中古車掲載'!N734&gt;=20000,'中古車掲載'!O734&lt;=100000,'中古車掲載'!AL734=1,'中古車掲載'!Z734="https://www.one2car.com/en/cars-for-sale/toyota/corolla-cross/year-2023"),'中古車掲載'!U734,"")</x:f>
      </x:c>
      <x:c r="BH733" s="3" t="str">
        <x:f>IF(AND('中古車掲載'!C734="One2car",'中古車掲載'!F734="DOLPHIN",'中古車掲載'!L734="STANDARD RANGE",'中古車掲載'!J734=2023,ISNUMBER('中古車掲載'!N734),'中古車掲載'!N734&gt;=20000,'中古車掲載'!O734&lt;=100000,'中古車掲載'!AL734=1),'中古車掲載'!U734,"")</x:f>
      </x:c>
      <x:c r="BI733" s="3" t="str">
        <x:v>Taladrod|Hilux Revo|ICE|Unknown</x:v>
      </x:c>
      <x:c r="BJ733" s="3" t="n">
        <x:v>734</x:v>
      </x:c>
      <x:c r="BK733" s="3" t="n">
        <x:f>'中古車掲載'!AM734</x:f>
        <x:v>379000</x:v>
      </x:c>
      <x:c r="BL733" s="3" t="str">
        <x:f>IF(ISNUMBER('中古車掲載'!AN734),'中古車掲載'!AN734,"")</x:f>
      </x:c>
      <x:c r="BM733" s="3"/>
      <x:c r="BN733" s="3"/>
      <x:c r="BO733" s="3"/>
      <x:c r="BP733" s="3"/>
      <x:c r="BQ733" s="3"/>
      <x:c r="BR733" s="3"/>
    </x:row>
    <x:row r="734" ht="22" customHeight="1">
      <x:c r="A734" s="3"/>
      <x:c r="B734" s="3"/>
      <x:c r="C734" s="3"/>
      <x:c r="D734" s="3"/>
      <x:c r="E734" s="3"/>
      <x:c r="F734" s="3"/>
      <x:c r="G734" s="3"/>
      <x:c r="H734" s="3"/>
      <x:c r="I734" s="3"/>
      <x:c r="J734" s="3"/>
      <x:c r="K734" s="3"/>
      <x:c r="L734" s="3"/>
      <x:c r="M734" s="3"/>
      <x:c r="N734" s="3"/>
      <x:c r="O734" s="3"/>
      <x:c r="P734" s="3"/>
      <x:c r="Q734" s="3"/>
      <x:c r="R734" s="3"/>
      <x:c r="S734" s="3"/>
      <x:c r="T734" s="3"/>
      <x:c r="U734" s="3"/>
      <x:c r="V734" s="3"/>
      <x:c r="W734" s="3"/>
      <x:c r="X734" s="3"/>
      <x:c r="Y734" s="3"/>
      <x:c r="Z734" s="3"/>
      <x:c r="AA734" s="3"/>
      <x:c r="AB734" s="3"/>
      <x:c r="AC734" s="3"/>
      <x:c r="AD734" s="3"/>
      <x:c r="AE734" s="3"/>
      <x:c r="AF734" s="3"/>
      <x:c r="AG734" s="3"/>
      <x:c r="AH734" s="3"/>
      <x:c r="AI734" s="3"/>
      <x:c r="AJ734" s="3"/>
      <x:c r="AK734" s="3"/>
      <x:c r="AL734" s="3"/>
      <x:c r="AM734" s="3"/>
      <x:c r="AN734" s="3"/>
      <x:c r="AO734" s="3"/>
      <x:c r="AP734" s="3"/>
      <x:c r="AQ734" s="3"/>
      <x:c r="AR734" s="3"/>
      <x:c r="AS734" s="3"/>
      <x:c r="AT734" s="3"/>
      <x:c r="AU734" s="3"/>
      <x:c r="AV734" s="3"/>
      <x:c r="AW734" s="3"/>
      <x:c r="AX734" s="3"/>
      <x:c r="AY734" s="3"/>
      <x:c r="AZ734" s="3" t="str">
        <x:f>IF(AND('中古車掲載'!C735="One2car",'中古車掲載'!F735="ATTO 3",'中古車掲載'!L735="EXTENDED RANGE",'中古車掲載'!J735=2023,ISNUMBER('中古車掲載'!N735),'中古車掲載'!N735&gt;=20000,'中古車掲載'!O735&lt;=100000,'中古車掲載'!AL735=1),'中古車掲載'!U735,"")</x:f>
      </x:c>
      <x:c r="BA734" s="3" t="str">
        <x:f>IF(AND('中古車掲載'!C735="One2car",'中古車掲載'!F735="Corolla Cross",'中古車掲載'!L735="HEV PREMIUM SAFETY",'中古車掲載'!J735=2023,ISNUMBER('中古車掲載'!N735),'中古車掲載'!N735&gt;=20000,'中古車掲載'!O735&lt;=100000,'中古車掲載'!AL735=1,'中古車掲載'!Z735="https://www.one2car.com/en/cars-for-sale/toyota/corolla-cross/year-2023"),'中古車掲載'!U735,"")</x:f>
      </x:c>
      <x:c r="BB734" s="3" t="str">
        <x:f>IF(AND('中古車掲載'!C735="One2car",'中古車掲載'!F735="ATTO 3",'中古車掲載'!L735="EXTENDED RANGE",'中古車掲載'!J735=2023,ISNUMBER('中古車掲載'!N735),'中古車掲載'!N735&gt;=50000,'中古車掲載'!O735&lt;=100000,'中古車掲載'!AL735=1),'中古車掲載'!U735,"")</x:f>
      </x:c>
      <x:c r="BC734" s="3" t="str">
        <x:f>IF(AND('中古車掲載'!C735="One2car",'中古車掲載'!F735="Corolla Cross",'中古車掲載'!L735="HEV PREMIUM SAFETY",'中古車掲載'!J735=2023,ISNUMBER('中古車掲載'!N735),'中古車掲載'!N735&gt;=50000,'中古車掲載'!O735&lt;=100000,'中古車掲載'!AL735=1,'中古車掲載'!Z735="https://www.one2car.com/en/cars-for-sale/toyota/corolla-cross/year-2023"),'中古車掲載'!U735,"")</x:f>
      </x:c>
      <x:c r="BD734" s="3" t="str">
        <x:f>IF(AND('中古車掲載'!C735="One2car",'中古車掲載'!F735="ATTO 3",'中古車掲載'!L735="EXTENDED RANGE",'中古車掲載'!J735=2023,ISNUMBER('中古車掲載'!N735),'中古車掲載'!N735&gt;=20000,'中古車掲載'!O735&lt;=50000,'中古車掲載'!AL735=1),'中古車掲載'!U735,"")</x:f>
      </x:c>
      <x:c r="BE734" s="3" t="str">
        <x:f>IF(AND('中古車掲載'!C735="One2car",'中古車掲載'!F735="Corolla Cross",'中古車掲載'!L735="HEV PREMIUM SAFETY",'中古車掲載'!J735=2023,ISNUMBER('中古車掲載'!N735),'中古車掲載'!N735&gt;=20000,'中古車掲載'!O735&lt;=50000,'中古車掲載'!AL735=1,'中古車掲載'!Z735="https://www.one2car.com/en/cars-for-sale/toyota/corolla-cross/year-2023"),'中古車掲載'!U735,"")</x:f>
      </x:c>
      <x:c r="BF734" s="3" t="str">
        <x:f>IF(AND('中古車掲載'!C735="One2car",'中古車掲載'!F735="Corolla Cross",'中古車掲載'!L735="HEV PREMIUM",'中古車掲載'!J735=2023,ISNUMBER('中古車掲載'!N735),'中古車掲載'!N735&gt;=20000,'中古車掲載'!O735&lt;=100000,'中古車掲載'!AL735=1,'中古車掲載'!Z735="https://www.one2car.com/en/cars-for-sale/toyota/corolla-cross/year-2023"),'中古車掲載'!U735,"")</x:f>
      </x:c>
      <x:c r="BG734" s="3" t="str">
        <x:f>IF(AND('中古車掲載'!C735="One2car",'中古車掲載'!F735="Corolla Cross",'中古車掲載'!L735="HEV GR SPORT",'中古車掲載'!J735=2023,ISNUMBER('中古車掲載'!N735),'中古車掲載'!N735&gt;=20000,'中古車掲載'!O735&lt;=100000,'中古車掲載'!AL735=1,'中古車掲載'!Z735="https://www.one2car.com/en/cars-for-sale/toyota/corolla-cross/year-2023"),'中古車掲載'!U735,"")</x:f>
      </x:c>
      <x:c r="BH734" s="3" t="str">
        <x:f>IF(AND('中古車掲載'!C735="One2car",'中古車掲載'!F735="DOLPHIN",'中古車掲載'!L735="STANDARD RANGE",'中古車掲載'!J735=2023,ISNUMBER('中古車掲載'!N735),'中古車掲載'!N735&gt;=20000,'中古車掲載'!O735&lt;=100000,'中古車掲載'!AL735=1),'中古車掲載'!U735,"")</x:f>
      </x:c>
      <x:c r="BI734" s="3" t="str">
        <x:v>Taladrod|Hilux Revo|ICE|Unknown</x:v>
      </x:c>
      <x:c r="BJ734" s="3" t="n">
        <x:v>735</x:v>
      </x:c>
      <x:c r="BK734" s="3" t="n">
        <x:f>'中古車掲載'!AM735</x:f>
        <x:v>340000</x:v>
      </x:c>
      <x:c r="BL734" s="3" t="str">
        <x:f>IF(ISNUMBER('中古車掲載'!AN735),'中古車掲載'!AN735,"")</x:f>
      </x:c>
      <x:c r="BM734" s="3"/>
      <x:c r="BN734" s="3"/>
      <x:c r="BO734" s="3"/>
      <x:c r="BP734" s="3"/>
      <x:c r="BQ734" s="3"/>
      <x:c r="BR734" s="3"/>
    </x:row>
    <x:row r="735" ht="22" customHeight="1">
      <x:c r="A735" s="3"/>
      <x:c r="B735" s="3"/>
      <x:c r="C735" s="3"/>
      <x:c r="D735" s="3"/>
      <x:c r="E735" s="3"/>
      <x:c r="F735" s="3"/>
      <x:c r="G735" s="3"/>
      <x:c r="H735" s="3"/>
      <x:c r="I735" s="3"/>
      <x:c r="J735" s="3"/>
      <x:c r="K735" s="3"/>
      <x:c r="L735" s="3"/>
      <x:c r="M735" s="3"/>
      <x:c r="N735" s="3"/>
      <x:c r="O735" s="3"/>
      <x:c r="P735" s="3"/>
      <x:c r="Q735" s="3"/>
      <x:c r="R735" s="3"/>
      <x:c r="S735" s="3"/>
      <x:c r="T735" s="3"/>
      <x:c r="U735" s="3"/>
      <x:c r="V735" s="3"/>
      <x:c r="W735" s="3"/>
      <x:c r="X735" s="3"/>
      <x:c r="Y735" s="3"/>
      <x:c r="Z735" s="3"/>
      <x:c r="AA735" s="3"/>
      <x:c r="AB735" s="3"/>
      <x:c r="AC735" s="3"/>
      <x:c r="AD735" s="3"/>
      <x:c r="AE735" s="3"/>
      <x:c r="AF735" s="3"/>
      <x:c r="AG735" s="3"/>
      <x:c r="AH735" s="3"/>
      <x:c r="AI735" s="3"/>
      <x:c r="AJ735" s="3"/>
      <x:c r="AK735" s="3"/>
      <x:c r="AL735" s="3"/>
      <x:c r="AM735" s="3"/>
      <x:c r="AN735" s="3"/>
      <x:c r="AO735" s="3"/>
      <x:c r="AP735" s="3"/>
      <x:c r="AQ735" s="3"/>
      <x:c r="AR735" s="3"/>
      <x:c r="AS735" s="3"/>
      <x:c r="AT735" s="3"/>
      <x:c r="AU735" s="3"/>
      <x:c r="AV735" s="3"/>
      <x:c r="AW735" s="3"/>
      <x:c r="AX735" s="3"/>
      <x:c r="AY735" s="3"/>
      <x:c r="AZ735" s="3" t="str">
        <x:f>IF(AND('中古車掲載'!C736="One2car",'中古車掲載'!F736="ATTO 3",'中古車掲載'!L736="EXTENDED RANGE",'中古車掲載'!J736=2023,ISNUMBER('中古車掲載'!N736),'中古車掲載'!N736&gt;=20000,'中古車掲載'!O736&lt;=100000,'中古車掲載'!AL736=1),'中古車掲載'!U736,"")</x:f>
      </x:c>
      <x:c r="BA735" s="3" t="str">
        <x:f>IF(AND('中古車掲載'!C736="One2car",'中古車掲載'!F736="Corolla Cross",'中古車掲載'!L736="HEV PREMIUM SAFETY",'中古車掲載'!J736=2023,ISNUMBER('中古車掲載'!N736),'中古車掲載'!N736&gt;=20000,'中古車掲載'!O736&lt;=100000,'中古車掲載'!AL736=1,'中古車掲載'!Z736="https://www.one2car.com/en/cars-for-sale/toyota/corolla-cross/year-2023"),'中古車掲載'!U736,"")</x:f>
      </x:c>
      <x:c r="BB735" s="3" t="str">
        <x:f>IF(AND('中古車掲載'!C736="One2car",'中古車掲載'!F736="ATTO 3",'中古車掲載'!L736="EXTENDED RANGE",'中古車掲載'!J736=2023,ISNUMBER('中古車掲載'!N736),'中古車掲載'!N736&gt;=50000,'中古車掲載'!O736&lt;=100000,'中古車掲載'!AL736=1),'中古車掲載'!U736,"")</x:f>
      </x:c>
      <x:c r="BC735" s="3" t="str">
        <x:f>IF(AND('中古車掲載'!C736="One2car",'中古車掲載'!F736="Corolla Cross",'中古車掲載'!L736="HEV PREMIUM SAFETY",'中古車掲載'!J736=2023,ISNUMBER('中古車掲載'!N736),'中古車掲載'!N736&gt;=50000,'中古車掲載'!O736&lt;=100000,'中古車掲載'!AL736=1,'中古車掲載'!Z736="https://www.one2car.com/en/cars-for-sale/toyota/corolla-cross/year-2023"),'中古車掲載'!U736,"")</x:f>
      </x:c>
      <x:c r="BD735" s="3" t="str">
        <x:f>IF(AND('中古車掲載'!C736="One2car",'中古車掲載'!F736="ATTO 3",'中古車掲載'!L736="EXTENDED RANGE",'中古車掲載'!J736=2023,ISNUMBER('中古車掲載'!N736),'中古車掲載'!N736&gt;=20000,'中古車掲載'!O736&lt;=50000,'中古車掲載'!AL736=1),'中古車掲載'!U736,"")</x:f>
      </x:c>
      <x:c r="BE735" s="3" t="str">
        <x:f>IF(AND('中古車掲載'!C736="One2car",'中古車掲載'!F736="Corolla Cross",'中古車掲載'!L736="HEV PREMIUM SAFETY",'中古車掲載'!J736=2023,ISNUMBER('中古車掲載'!N736),'中古車掲載'!N736&gt;=20000,'中古車掲載'!O736&lt;=50000,'中古車掲載'!AL736=1,'中古車掲載'!Z736="https://www.one2car.com/en/cars-for-sale/toyota/corolla-cross/year-2023"),'中古車掲載'!U736,"")</x:f>
      </x:c>
      <x:c r="BF735" s="3" t="str">
        <x:f>IF(AND('中古車掲載'!C736="One2car",'中古車掲載'!F736="Corolla Cross",'中古車掲載'!L736="HEV PREMIUM",'中古車掲載'!J736=2023,ISNUMBER('中古車掲載'!N736),'中古車掲載'!N736&gt;=20000,'中古車掲載'!O736&lt;=100000,'中古車掲載'!AL736=1,'中古車掲載'!Z736="https://www.one2car.com/en/cars-for-sale/toyota/corolla-cross/year-2023"),'中古車掲載'!U736,"")</x:f>
      </x:c>
      <x:c r="BG735" s="3" t="str">
        <x:f>IF(AND('中古車掲載'!C736="One2car",'中古車掲載'!F736="Corolla Cross",'中古車掲載'!L736="HEV GR SPORT",'中古車掲載'!J736=2023,ISNUMBER('中古車掲載'!N736),'中古車掲載'!N736&gt;=20000,'中古車掲載'!O736&lt;=100000,'中古車掲載'!AL736=1,'中古車掲載'!Z736="https://www.one2car.com/en/cars-for-sale/toyota/corolla-cross/year-2023"),'中古車掲載'!U736,"")</x:f>
      </x:c>
      <x:c r="BH735" s="3" t="str">
        <x:f>IF(AND('中古車掲載'!C736="One2car",'中古車掲載'!F736="DOLPHIN",'中古車掲載'!L736="STANDARD RANGE",'中古車掲載'!J736=2023,ISNUMBER('中古車掲載'!N736),'中古車掲載'!N736&gt;=20000,'中古車掲載'!O736&lt;=100000,'中古車掲載'!AL736=1),'中古車掲載'!U736,"")</x:f>
      </x:c>
      <x:c r="BI735" s="3" t="str">
        <x:v>Taladrod|Hilux Revo|ICE|Unknown</x:v>
      </x:c>
      <x:c r="BJ735" s="3" t="n">
        <x:v>736</x:v>
      </x:c>
      <x:c r="BK735" s="3" t="n">
        <x:f>'中古車掲載'!AM736</x:f>
        <x:v>399000</x:v>
      </x:c>
      <x:c r="BL735" s="3" t="str">
        <x:f>IF(ISNUMBER('中古車掲載'!AN736),'中古車掲載'!AN736,"")</x:f>
      </x:c>
      <x:c r="BM735" s="3"/>
      <x:c r="BN735" s="3"/>
      <x:c r="BO735" s="3"/>
      <x:c r="BP735" s="3"/>
      <x:c r="BQ735" s="3"/>
      <x:c r="BR735" s="3"/>
    </x:row>
    <x:row r="736" ht="22" customHeight="1">
      <x:c r="A736" s="3"/>
      <x:c r="B736" s="3"/>
      <x:c r="C736" s="3"/>
      <x:c r="D736" s="3"/>
      <x:c r="E736" s="3"/>
      <x:c r="F736" s="3"/>
      <x:c r="G736" s="3"/>
      <x:c r="H736" s="3"/>
      <x:c r="I736" s="3"/>
      <x:c r="J736" s="3"/>
      <x:c r="K736" s="3"/>
      <x:c r="L736" s="3"/>
      <x:c r="M736" s="3"/>
      <x:c r="N736" s="3"/>
      <x:c r="O736" s="3"/>
      <x:c r="P736" s="3"/>
      <x:c r="Q736" s="3"/>
      <x:c r="R736" s="3"/>
      <x:c r="S736" s="3"/>
      <x:c r="T736" s="3"/>
      <x:c r="U736" s="3"/>
      <x:c r="V736" s="3"/>
      <x:c r="W736" s="3"/>
      <x:c r="X736" s="3"/>
      <x:c r="Y736" s="3"/>
      <x:c r="Z736" s="3"/>
      <x:c r="AA736" s="3"/>
      <x:c r="AB736" s="3"/>
      <x:c r="AC736" s="3"/>
      <x:c r="AD736" s="3"/>
      <x:c r="AE736" s="3"/>
      <x:c r="AF736" s="3"/>
      <x:c r="AG736" s="3"/>
      <x:c r="AH736" s="3"/>
      <x:c r="AI736" s="3"/>
      <x:c r="AJ736" s="3"/>
      <x:c r="AK736" s="3"/>
      <x:c r="AL736" s="3"/>
      <x:c r="AM736" s="3"/>
      <x:c r="AN736" s="3"/>
      <x:c r="AO736" s="3"/>
      <x:c r="AP736" s="3"/>
      <x:c r="AQ736" s="3"/>
      <x:c r="AR736" s="3"/>
      <x:c r="AS736" s="3"/>
      <x:c r="AT736" s="3"/>
      <x:c r="AU736" s="3"/>
      <x:c r="AV736" s="3"/>
      <x:c r="AW736" s="3"/>
      <x:c r="AX736" s="3"/>
      <x:c r="AY736" s="3"/>
      <x:c r="AZ736" s="3" t="str">
        <x:f>IF(AND('中古車掲載'!C737="One2car",'中古車掲載'!F737="ATTO 3",'中古車掲載'!L737="EXTENDED RANGE",'中古車掲載'!J737=2023,ISNUMBER('中古車掲載'!N737),'中古車掲載'!N737&gt;=20000,'中古車掲載'!O737&lt;=100000,'中古車掲載'!AL737=1),'中古車掲載'!U737,"")</x:f>
      </x:c>
      <x:c r="BA736" s="3" t="str">
        <x:f>IF(AND('中古車掲載'!C737="One2car",'中古車掲載'!F737="Corolla Cross",'中古車掲載'!L737="HEV PREMIUM SAFETY",'中古車掲載'!J737=2023,ISNUMBER('中古車掲載'!N737),'中古車掲載'!N737&gt;=20000,'中古車掲載'!O737&lt;=100000,'中古車掲載'!AL737=1,'中古車掲載'!Z737="https://www.one2car.com/en/cars-for-sale/toyota/corolla-cross/year-2023"),'中古車掲載'!U737,"")</x:f>
      </x:c>
      <x:c r="BB736" s="3" t="str">
        <x:f>IF(AND('中古車掲載'!C737="One2car",'中古車掲載'!F737="ATTO 3",'中古車掲載'!L737="EXTENDED RANGE",'中古車掲載'!J737=2023,ISNUMBER('中古車掲載'!N737),'中古車掲載'!N737&gt;=50000,'中古車掲載'!O737&lt;=100000,'中古車掲載'!AL737=1),'中古車掲載'!U737,"")</x:f>
      </x:c>
      <x:c r="BC736" s="3" t="str">
        <x:f>IF(AND('中古車掲載'!C737="One2car",'中古車掲載'!F737="Corolla Cross",'中古車掲載'!L737="HEV PREMIUM SAFETY",'中古車掲載'!J737=2023,ISNUMBER('中古車掲載'!N737),'中古車掲載'!N737&gt;=50000,'中古車掲載'!O737&lt;=100000,'中古車掲載'!AL737=1,'中古車掲載'!Z737="https://www.one2car.com/en/cars-for-sale/toyota/corolla-cross/year-2023"),'中古車掲載'!U737,"")</x:f>
      </x:c>
      <x:c r="BD736" s="3" t="str">
        <x:f>IF(AND('中古車掲載'!C737="One2car",'中古車掲載'!F737="ATTO 3",'中古車掲載'!L737="EXTENDED RANGE",'中古車掲載'!J737=2023,ISNUMBER('中古車掲載'!N737),'中古車掲載'!N737&gt;=20000,'中古車掲載'!O737&lt;=50000,'中古車掲載'!AL737=1),'中古車掲載'!U737,"")</x:f>
      </x:c>
      <x:c r="BE736" s="3" t="str">
        <x:f>IF(AND('中古車掲載'!C737="One2car",'中古車掲載'!F737="Corolla Cross",'中古車掲載'!L737="HEV PREMIUM SAFETY",'中古車掲載'!J737=2023,ISNUMBER('中古車掲載'!N737),'中古車掲載'!N737&gt;=20000,'中古車掲載'!O737&lt;=50000,'中古車掲載'!AL737=1,'中古車掲載'!Z737="https://www.one2car.com/en/cars-for-sale/toyota/corolla-cross/year-2023"),'中古車掲載'!U737,"")</x:f>
      </x:c>
      <x:c r="BF736" s="3" t="str">
        <x:f>IF(AND('中古車掲載'!C737="One2car",'中古車掲載'!F737="Corolla Cross",'中古車掲載'!L737="HEV PREMIUM",'中古車掲載'!J737=2023,ISNUMBER('中古車掲載'!N737),'中古車掲載'!N737&gt;=20000,'中古車掲載'!O737&lt;=100000,'中古車掲載'!AL737=1,'中古車掲載'!Z737="https://www.one2car.com/en/cars-for-sale/toyota/corolla-cross/year-2023"),'中古車掲載'!U737,"")</x:f>
      </x:c>
      <x:c r="BG736" s="3" t="str">
        <x:f>IF(AND('中古車掲載'!C737="One2car",'中古車掲載'!F737="Corolla Cross",'中古車掲載'!L737="HEV GR SPORT",'中古車掲載'!J737=2023,ISNUMBER('中古車掲載'!N737),'中古車掲載'!N737&gt;=20000,'中古車掲載'!O737&lt;=100000,'中古車掲載'!AL737=1,'中古車掲載'!Z737="https://www.one2car.com/en/cars-for-sale/toyota/corolla-cross/year-2023"),'中古車掲載'!U737,"")</x:f>
      </x:c>
      <x:c r="BH736" s="3" t="str">
        <x:f>IF(AND('中古車掲載'!C737="One2car",'中古車掲載'!F737="DOLPHIN",'中古車掲載'!L737="STANDARD RANGE",'中古車掲載'!J737=2023,ISNUMBER('中古車掲載'!N737),'中古車掲載'!N737&gt;=20000,'中古車掲載'!O737&lt;=100000,'中古車掲載'!AL737=1),'中古車掲載'!U737,"")</x:f>
      </x:c>
      <x:c r="BI736" s="3" t="str">
        <x:v>Taladrod|Hilux Revo|ICE|Unknown</x:v>
      </x:c>
      <x:c r="BJ736" s="3" t="n">
        <x:v>737</x:v>
      </x:c>
      <x:c r="BK736" s="3" t="n">
        <x:f>'中古車掲載'!AM737</x:f>
        <x:v>319000</x:v>
      </x:c>
      <x:c r="BL736" s="3" t="str">
        <x:f>IF(ISNUMBER('中古車掲載'!AN737),'中古車掲載'!AN737,"")</x:f>
      </x:c>
      <x:c r="BM736" s="3"/>
      <x:c r="BN736" s="3"/>
      <x:c r="BO736" s="3"/>
      <x:c r="BP736" s="3"/>
      <x:c r="BQ736" s="3"/>
      <x:c r="BR736" s="3"/>
    </x:row>
    <x:row r="737" ht="22" customHeight="1">
      <x:c r="A737" s="3"/>
      <x:c r="B737" s="3"/>
      <x:c r="C737" s="3"/>
      <x:c r="D737" s="3"/>
      <x:c r="E737" s="3"/>
      <x:c r="F737" s="3"/>
      <x:c r="G737" s="3"/>
      <x:c r="H737" s="3"/>
      <x:c r="I737" s="3"/>
      <x:c r="J737" s="3"/>
      <x:c r="K737" s="3"/>
      <x:c r="L737" s="3"/>
      <x:c r="M737" s="3"/>
      <x:c r="N737" s="3"/>
      <x:c r="O737" s="3"/>
      <x:c r="P737" s="3"/>
      <x:c r="Q737" s="3"/>
      <x:c r="R737" s="3"/>
      <x:c r="S737" s="3"/>
      <x:c r="T737" s="3"/>
      <x:c r="U737" s="3"/>
      <x:c r="V737" s="3"/>
      <x:c r="W737" s="3"/>
      <x:c r="X737" s="3"/>
      <x:c r="Y737" s="3"/>
      <x:c r="Z737" s="3"/>
      <x:c r="AA737" s="3"/>
      <x:c r="AB737" s="3"/>
      <x:c r="AC737" s="3"/>
      <x:c r="AD737" s="3"/>
      <x:c r="AE737" s="3"/>
      <x:c r="AF737" s="3"/>
      <x:c r="AG737" s="3"/>
      <x:c r="AH737" s="3"/>
      <x:c r="AI737" s="3"/>
      <x:c r="AJ737" s="3"/>
      <x:c r="AK737" s="3"/>
      <x:c r="AL737" s="3"/>
      <x:c r="AM737" s="3"/>
      <x:c r="AN737" s="3"/>
      <x:c r="AO737" s="3"/>
      <x:c r="AP737" s="3"/>
      <x:c r="AQ737" s="3"/>
      <x:c r="AR737" s="3"/>
      <x:c r="AS737" s="3"/>
      <x:c r="AT737" s="3"/>
      <x:c r="AU737" s="3"/>
      <x:c r="AV737" s="3"/>
      <x:c r="AW737" s="3"/>
      <x:c r="AX737" s="3"/>
      <x:c r="AY737" s="3"/>
      <x:c r="AZ737" s="3" t="str">
        <x:f>IF(AND('中古車掲載'!C738="One2car",'中古車掲載'!F738="ATTO 3",'中古車掲載'!L738="EXTENDED RANGE",'中古車掲載'!J738=2023,ISNUMBER('中古車掲載'!N738),'中古車掲載'!N738&gt;=20000,'中古車掲載'!O738&lt;=100000,'中古車掲載'!AL738=1),'中古車掲載'!U738,"")</x:f>
      </x:c>
      <x:c r="BA737" s="3" t="str">
        <x:f>IF(AND('中古車掲載'!C738="One2car",'中古車掲載'!F738="Corolla Cross",'中古車掲載'!L738="HEV PREMIUM SAFETY",'中古車掲載'!J738=2023,ISNUMBER('中古車掲載'!N738),'中古車掲載'!N738&gt;=20000,'中古車掲載'!O738&lt;=100000,'中古車掲載'!AL738=1,'中古車掲載'!Z738="https://www.one2car.com/en/cars-for-sale/toyota/corolla-cross/year-2023"),'中古車掲載'!U738,"")</x:f>
      </x:c>
      <x:c r="BB737" s="3" t="str">
        <x:f>IF(AND('中古車掲載'!C738="One2car",'中古車掲載'!F738="ATTO 3",'中古車掲載'!L738="EXTENDED RANGE",'中古車掲載'!J738=2023,ISNUMBER('中古車掲載'!N738),'中古車掲載'!N738&gt;=50000,'中古車掲載'!O738&lt;=100000,'中古車掲載'!AL738=1),'中古車掲載'!U738,"")</x:f>
      </x:c>
      <x:c r="BC737" s="3" t="str">
        <x:f>IF(AND('中古車掲載'!C738="One2car",'中古車掲載'!F738="Corolla Cross",'中古車掲載'!L738="HEV PREMIUM SAFETY",'中古車掲載'!J738=2023,ISNUMBER('中古車掲載'!N738),'中古車掲載'!N738&gt;=50000,'中古車掲載'!O738&lt;=100000,'中古車掲載'!AL738=1,'中古車掲載'!Z738="https://www.one2car.com/en/cars-for-sale/toyota/corolla-cross/year-2023"),'中古車掲載'!U738,"")</x:f>
      </x:c>
      <x:c r="BD737" s="3" t="str">
        <x:f>IF(AND('中古車掲載'!C738="One2car",'中古車掲載'!F738="ATTO 3",'中古車掲載'!L738="EXTENDED RANGE",'中古車掲載'!J738=2023,ISNUMBER('中古車掲載'!N738),'中古車掲載'!N738&gt;=20000,'中古車掲載'!O738&lt;=50000,'中古車掲載'!AL738=1),'中古車掲載'!U738,"")</x:f>
      </x:c>
      <x:c r="BE737" s="3" t="str">
        <x:f>IF(AND('中古車掲載'!C738="One2car",'中古車掲載'!F738="Corolla Cross",'中古車掲載'!L738="HEV PREMIUM SAFETY",'中古車掲載'!J738=2023,ISNUMBER('中古車掲載'!N738),'中古車掲載'!N738&gt;=20000,'中古車掲載'!O738&lt;=50000,'中古車掲載'!AL738=1,'中古車掲載'!Z738="https://www.one2car.com/en/cars-for-sale/toyota/corolla-cross/year-2023"),'中古車掲載'!U738,"")</x:f>
      </x:c>
      <x:c r="BF737" s="3" t="str">
        <x:f>IF(AND('中古車掲載'!C738="One2car",'中古車掲載'!F738="Corolla Cross",'中古車掲載'!L738="HEV PREMIUM",'中古車掲載'!J738=2023,ISNUMBER('中古車掲載'!N738),'中古車掲載'!N738&gt;=20000,'中古車掲載'!O738&lt;=100000,'中古車掲載'!AL738=1,'中古車掲載'!Z738="https://www.one2car.com/en/cars-for-sale/toyota/corolla-cross/year-2023"),'中古車掲載'!U738,"")</x:f>
      </x:c>
      <x:c r="BG737" s="3" t="str">
        <x:f>IF(AND('中古車掲載'!C738="One2car",'中古車掲載'!F738="Corolla Cross",'中古車掲載'!L738="HEV GR SPORT",'中古車掲載'!J738=2023,ISNUMBER('中古車掲載'!N738),'中古車掲載'!N738&gt;=20000,'中古車掲載'!O738&lt;=100000,'中古車掲載'!AL738=1,'中古車掲載'!Z738="https://www.one2car.com/en/cars-for-sale/toyota/corolla-cross/year-2023"),'中古車掲載'!U738,"")</x:f>
      </x:c>
      <x:c r="BH737" s="3" t="str">
        <x:f>IF(AND('中古車掲載'!C738="One2car",'中古車掲載'!F738="DOLPHIN",'中古車掲載'!L738="STANDARD RANGE",'中古車掲載'!J738=2023,ISNUMBER('中古車掲載'!N738),'中古車掲載'!N738&gt;=20000,'中古車掲載'!O738&lt;=100000,'中古車掲載'!AL738=1),'中古車掲載'!U738,"")</x:f>
      </x:c>
      <x:c r="BI737" s="3" t="str">
        <x:v>Taladrod|Hilux Revo|ICE|Unknown</x:v>
      </x:c>
      <x:c r="BJ737" s="3" t="n">
        <x:v>738</x:v>
      </x:c>
      <x:c r="BK737" s="3" t="n">
        <x:f>'中古車掲載'!AM738</x:f>
        <x:v>439000</x:v>
      </x:c>
      <x:c r="BL737" s="3" t="str">
        <x:f>IF(ISNUMBER('中古車掲載'!AN738),'中古車掲載'!AN738,"")</x:f>
      </x:c>
      <x:c r="BM737" s="3"/>
      <x:c r="BN737" s="3"/>
      <x:c r="BO737" s="3"/>
      <x:c r="BP737" s="3"/>
      <x:c r="BQ737" s="3"/>
      <x:c r="BR737" s="3"/>
    </x:row>
    <x:row r="738" ht="22" customHeight="1">
      <x:c r="A738" s="3"/>
      <x:c r="B738" s="3"/>
      <x:c r="C738" s="3"/>
      <x:c r="D738" s="3"/>
      <x:c r="E738" s="3"/>
      <x:c r="F738" s="3"/>
      <x:c r="G738" s="3"/>
      <x:c r="H738" s="3"/>
      <x:c r="I738" s="3"/>
      <x:c r="J738" s="3"/>
      <x:c r="K738" s="3"/>
      <x:c r="L738" s="3"/>
      <x:c r="M738" s="3"/>
      <x:c r="N738" s="3"/>
      <x:c r="O738" s="3"/>
      <x:c r="P738" s="3"/>
      <x:c r="Q738" s="3"/>
      <x:c r="R738" s="3"/>
      <x:c r="S738" s="3"/>
      <x:c r="T738" s="3"/>
      <x:c r="U738" s="3"/>
      <x:c r="V738" s="3"/>
      <x:c r="W738" s="3"/>
      <x:c r="X738" s="3"/>
      <x:c r="Y738" s="3"/>
      <x:c r="Z738" s="3"/>
      <x:c r="AA738" s="3"/>
      <x:c r="AB738" s="3"/>
      <x:c r="AC738" s="3"/>
      <x:c r="AD738" s="3"/>
      <x:c r="AE738" s="3"/>
      <x:c r="AF738" s="3"/>
      <x:c r="AG738" s="3"/>
      <x:c r="AH738" s="3"/>
      <x:c r="AI738" s="3"/>
      <x:c r="AJ738" s="3"/>
      <x:c r="AK738" s="3"/>
      <x:c r="AL738" s="3"/>
      <x:c r="AM738" s="3"/>
      <x:c r="AN738" s="3"/>
      <x:c r="AO738" s="3"/>
      <x:c r="AP738" s="3"/>
      <x:c r="AQ738" s="3"/>
      <x:c r="AR738" s="3"/>
      <x:c r="AS738" s="3"/>
      <x:c r="AT738" s="3"/>
      <x:c r="AU738" s="3"/>
      <x:c r="AV738" s="3"/>
      <x:c r="AW738" s="3"/>
      <x:c r="AX738" s="3"/>
      <x:c r="AY738" s="3"/>
      <x:c r="AZ738" s="3" t="str">
        <x:f>IF(AND('中古車掲載'!C739="One2car",'中古車掲載'!F739="ATTO 3",'中古車掲載'!L739="EXTENDED RANGE",'中古車掲載'!J739=2023,ISNUMBER('中古車掲載'!N739),'中古車掲載'!N739&gt;=20000,'中古車掲載'!O739&lt;=100000,'中古車掲載'!AL739=1),'中古車掲載'!U739,"")</x:f>
      </x:c>
      <x:c r="BA738" s="3" t="str">
        <x:f>IF(AND('中古車掲載'!C739="One2car",'中古車掲載'!F739="Corolla Cross",'中古車掲載'!L739="HEV PREMIUM SAFETY",'中古車掲載'!J739=2023,ISNUMBER('中古車掲載'!N739),'中古車掲載'!N739&gt;=20000,'中古車掲載'!O739&lt;=100000,'中古車掲載'!AL739=1,'中古車掲載'!Z739="https://www.one2car.com/en/cars-for-sale/toyota/corolla-cross/year-2023"),'中古車掲載'!U739,"")</x:f>
      </x:c>
      <x:c r="BB738" s="3" t="str">
        <x:f>IF(AND('中古車掲載'!C739="One2car",'中古車掲載'!F739="ATTO 3",'中古車掲載'!L739="EXTENDED RANGE",'中古車掲載'!J739=2023,ISNUMBER('中古車掲載'!N739),'中古車掲載'!N739&gt;=50000,'中古車掲載'!O739&lt;=100000,'中古車掲載'!AL739=1),'中古車掲載'!U739,"")</x:f>
      </x:c>
      <x:c r="BC738" s="3" t="str">
        <x:f>IF(AND('中古車掲載'!C739="One2car",'中古車掲載'!F739="Corolla Cross",'中古車掲載'!L739="HEV PREMIUM SAFETY",'中古車掲載'!J739=2023,ISNUMBER('中古車掲載'!N739),'中古車掲載'!N739&gt;=50000,'中古車掲載'!O739&lt;=100000,'中古車掲載'!AL739=1,'中古車掲載'!Z739="https://www.one2car.com/en/cars-for-sale/toyota/corolla-cross/year-2023"),'中古車掲載'!U739,"")</x:f>
      </x:c>
      <x:c r="BD738" s="3" t="str">
        <x:f>IF(AND('中古車掲載'!C739="One2car",'中古車掲載'!F739="ATTO 3",'中古車掲載'!L739="EXTENDED RANGE",'中古車掲載'!J739=2023,ISNUMBER('中古車掲載'!N739),'中古車掲載'!N739&gt;=20000,'中古車掲載'!O739&lt;=50000,'中古車掲載'!AL739=1),'中古車掲載'!U739,"")</x:f>
      </x:c>
      <x:c r="BE738" s="3" t="str">
        <x:f>IF(AND('中古車掲載'!C739="One2car",'中古車掲載'!F739="Corolla Cross",'中古車掲載'!L739="HEV PREMIUM SAFETY",'中古車掲載'!J739=2023,ISNUMBER('中古車掲載'!N739),'中古車掲載'!N739&gt;=20000,'中古車掲載'!O739&lt;=50000,'中古車掲載'!AL739=1,'中古車掲載'!Z739="https://www.one2car.com/en/cars-for-sale/toyota/corolla-cross/year-2023"),'中古車掲載'!U739,"")</x:f>
      </x:c>
      <x:c r="BF738" s="3" t="str">
        <x:f>IF(AND('中古車掲載'!C739="One2car",'中古車掲載'!F739="Corolla Cross",'中古車掲載'!L739="HEV PREMIUM",'中古車掲載'!J739=2023,ISNUMBER('中古車掲載'!N739),'中古車掲載'!N739&gt;=20000,'中古車掲載'!O739&lt;=100000,'中古車掲載'!AL739=1,'中古車掲載'!Z739="https://www.one2car.com/en/cars-for-sale/toyota/corolla-cross/year-2023"),'中古車掲載'!U739,"")</x:f>
      </x:c>
      <x:c r="BG738" s="3" t="str">
        <x:f>IF(AND('中古車掲載'!C739="One2car",'中古車掲載'!F739="Corolla Cross",'中古車掲載'!L739="HEV GR SPORT",'中古車掲載'!J739=2023,ISNUMBER('中古車掲載'!N739),'中古車掲載'!N739&gt;=20000,'中古車掲載'!O739&lt;=100000,'中古車掲載'!AL739=1,'中古車掲載'!Z739="https://www.one2car.com/en/cars-for-sale/toyota/corolla-cross/year-2023"),'中古車掲載'!U739,"")</x:f>
      </x:c>
      <x:c r="BH738" s="3" t="str">
        <x:f>IF(AND('中古車掲載'!C739="One2car",'中古車掲載'!F739="DOLPHIN",'中古車掲載'!L739="STANDARD RANGE",'中古車掲載'!J739=2023,ISNUMBER('中古車掲載'!N739),'中古車掲載'!N739&gt;=20000,'中古車掲載'!O739&lt;=100000,'中古車掲載'!AL739=1),'中古車掲載'!U739,"")</x:f>
      </x:c>
      <x:c r="BI738" s="3" t="str">
        <x:v>Taladrod|Hilux Revo|ICE|Unknown</x:v>
      </x:c>
      <x:c r="BJ738" s="3" t="n">
        <x:v>739</x:v>
      </x:c>
      <x:c r="BK738" s="3" t="n">
        <x:f>'中古車掲載'!AM739</x:f>
        <x:v>409000</x:v>
      </x:c>
      <x:c r="BL738" s="3" t="str">
        <x:f>IF(ISNUMBER('中古車掲載'!AN739),'中古車掲載'!AN739,"")</x:f>
      </x:c>
      <x:c r="BM738" s="3"/>
      <x:c r="BN738" s="3"/>
      <x:c r="BO738" s="3"/>
      <x:c r="BP738" s="3"/>
      <x:c r="BQ738" s="3"/>
      <x:c r="BR738" s="3"/>
    </x:row>
    <x:row r="739" ht="22" customHeight="1">
      <x:c r="A739" s="3"/>
      <x:c r="B739" s="3"/>
      <x:c r="C739" s="3"/>
      <x:c r="D739" s="3"/>
      <x:c r="E739" s="3"/>
      <x:c r="F739" s="3"/>
      <x:c r="G739" s="3"/>
      <x:c r="H739" s="3"/>
      <x:c r="I739" s="3"/>
      <x:c r="J739" s="3"/>
      <x:c r="K739" s="3"/>
      <x:c r="L739" s="3"/>
      <x:c r="M739" s="3"/>
      <x:c r="N739" s="3"/>
      <x:c r="O739" s="3"/>
      <x:c r="P739" s="3"/>
      <x:c r="Q739" s="3"/>
      <x:c r="R739" s="3"/>
      <x:c r="S739" s="3"/>
      <x:c r="T739" s="3"/>
      <x:c r="U739" s="3"/>
      <x:c r="V739" s="3"/>
      <x:c r="W739" s="3"/>
      <x:c r="X739" s="3"/>
      <x:c r="Y739" s="3"/>
      <x:c r="Z739" s="3"/>
      <x:c r="AA739" s="3"/>
      <x:c r="AB739" s="3"/>
      <x:c r="AC739" s="3"/>
      <x:c r="AD739" s="3"/>
      <x:c r="AE739" s="3"/>
      <x:c r="AF739" s="3"/>
      <x:c r="AG739" s="3"/>
      <x:c r="AH739" s="3"/>
      <x:c r="AI739" s="3"/>
      <x:c r="AJ739" s="3"/>
      <x:c r="AK739" s="3"/>
      <x:c r="AL739" s="3"/>
      <x:c r="AM739" s="3"/>
      <x:c r="AN739" s="3"/>
      <x:c r="AO739" s="3"/>
      <x:c r="AP739" s="3"/>
      <x:c r="AQ739" s="3"/>
      <x:c r="AR739" s="3"/>
      <x:c r="AS739" s="3"/>
      <x:c r="AT739" s="3"/>
      <x:c r="AU739" s="3"/>
      <x:c r="AV739" s="3"/>
      <x:c r="AW739" s="3"/>
      <x:c r="AX739" s="3"/>
      <x:c r="AY739" s="3"/>
      <x:c r="AZ739" s="3" t="str">
        <x:f>IF(AND('中古車掲載'!C740="One2car",'中古車掲載'!F740="ATTO 3",'中古車掲載'!L740="EXTENDED RANGE",'中古車掲載'!J740=2023,ISNUMBER('中古車掲載'!N740),'中古車掲載'!N740&gt;=20000,'中古車掲載'!O740&lt;=100000,'中古車掲載'!AL740=1),'中古車掲載'!U740,"")</x:f>
      </x:c>
      <x:c r="BA739" s="3" t="str">
        <x:f>IF(AND('中古車掲載'!C740="One2car",'中古車掲載'!F740="Corolla Cross",'中古車掲載'!L740="HEV PREMIUM SAFETY",'中古車掲載'!J740=2023,ISNUMBER('中古車掲載'!N740),'中古車掲載'!N740&gt;=20000,'中古車掲載'!O740&lt;=100000,'中古車掲載'!AL740=1,'中古車掲載'!Z740="https://www.one2car.com/en/cars-for-sale/toyota/corolla-cross/year-2023"),'中古車掲載'!U740,"")</x:f>
      </x:c>
      <x:c r="BB739" s="3" t="str">
        <x:f>IF(AND('中古車掲載'!C740="One2car",'中古車掲載'!F740="ATTO 3",'中古車掲載'!L740="EXTENDED RANGE",'中古車掲載'!J740=2023,ISNUMBER('中古車掲載'!N740),'中古車掲載'!N740&gt;=50000,'中古車掲載'!O740&lt;=100000,'中古車掲載'!AL740=1),'中古車掲載'!U740,"")</x:f>
      </x:c>
      <x:c r="BC739" s="3" t="str">
        <x:f>IF(AND('中古車掲載'!C740="One2car",'中古車掲載'!F740="Corolla Cross",'中古車掲載'!L740="HEV PREMIUM SAFETY",'中古車掲載'!J740=2023,ISNUMBER('中古車掲載'!N740),'中古車掲載'!N740&gt;=50000,'中古車掲載'!O740&lt;=100000,'中古車掲載'!AL740=1,'中古車掲載'!Z740="https://www.one2car.com/en/cars-for-sale/toyota/corolla-cross/year-2023"),'中古車掲載'!U740,"")</x:f>
      </x:c>
      <x:c r="BD739" s="3" t="str">
        <x:f>IF(AND('中古車掲載'!C740="One2car",'中古車掲載'!F740="ATTO 3",'中古車掲載'!L740="EXTENDED RANGE",'中古車掲載'!J740=2023,ISNUMBER('中古車掲載'!N740),'中古車掲載'!N740&gt;=20000,'中古車掲載'!O740&lt;=50000,'中古車掲載'!AL740=1),'中古車掲載'!U740,"")</x:f>
      </x:c>
      <x:c r="BE739" s="3" t="str">
        <x:f>IF(AND('中古車掲載'!C740="One2car",'中古車掲載'!F740="Corolla Cross",'中古車掲載'!L740="HEV PREMIUM SAFETY",'中古車掲載'!J740=2023,ISNUMBER('中古車掲載'!N740),'中古車掲載'!N740&gt;=20000,'中古車掲載'!O740&lt;=50000,'中古車掲載'!AL740=1,'中古車掲載'!Z740="https://www.one2car.com/en/cars-for-sale/toyota/corolla-cross/year-2023"),'中古車掲載'!U740,"")</x:f>
      </x:c>
      <x:c r="BF739" s="3" t="str">
        <x:f>IF(AND('中古車掲載'!C740="One2car",'中古車掲載'!F740="Corolla Cross",'中古車掲載'!L740="HEV PREMIUM",'中古車掲載'!J740=2023,ISNUMBER('中古車掲載'!N740),'中古車掲載'!N740&gt;=20000,'中古車掲載'!O740&lt;=100000,'中古車掲載'!AL740=1,'中古車掲載'!Z740="https://www.one2car.com/en/cars-for-sale/toyota/corolla-cross/year-2023"),'中古車掲載'!U740,"")</x:f>
      </x:c>
      <x:c r="BG739" s="3" t="str">
        <x:f>IF(AND('中古車掲載'!C740="One2car",'中古車掲載'!F740="Corolla Cross",'中古車掲載'!L740="HEV GR SPORT",'中古車掲載'!J740=2023,ISNUMBER('中古車掲載'!N740),'中古車掲載'!N740&gt;=20000,'中古車掲載'!O740&lt;=100000,'中古車掲載'!AL740=1,'中古車掲載'!Z740="https://www.one2car.com/en/cars-for-sale/toyota/corolla-cross/year-2023"),'中古車掲載'!U740,"")</x:f>
      </x:c>
      <x:c r="BH739" s="3" t="str">
        <x:f>IF(AND('中古車掲載'!C740="One2car",'中古車掲載'!F740="DOLPHIN",'中古車掲載'!L740="STANDARD RANGE",'中古車掲載'!J740=2023,ISNUMBER('中古車掲載'!N740),'中古車掲載'!N740&gt;=20000,'中古車掲載'!O740&lt;=100000,'中古車掲載'!AL740=1),'中古車掲載'!U740,"")</x:f>
      </x:c>
      <x:c r="BI739" s="3" t="str">
        <x:v>Taladrod|Hilux Revo|ICE|Unknown</x:v>
      </x:c>
      <x:c r="BJ739" s="3" t="n">
        <x:v>740</x:v>
      </x:c>
      <x:c r="BK739" s="3" t="n">
        <x:f>'中古車掲載'!AM740</x:f>
        <x:v>408000</x:v>
      </x:c>
      <x:c r="BL739" s="3" t="str">
        <x:f>IF(ISNUMBER('中古車掲載'!AN740),'中古車掲載'!AN740,"")</x:f>
      </x:c>
      <x:c r="BM739" s="3"/>
      <x:c r="BN739" s="3"/>
      <x:c r="BO739" s="3"/>
      <x:c r="BP739" s="3"/>
      <x:c r="BQ739" s="3"/>
      <x:c r="BR739" s="3"/>
    </x:row>
    <x:row r="740" ht="22" customHeight="1">
      <x:c r="A740" s="3"/>
      <x:c r="B740" s="3"/>
      <x:c r="C740" s="3"/>
      <x:c r="D740" s="3"/>
      <x:c r="E740" s="3"/>
      <x:c r="F740" s="3"/>
      <x:c r="G740" s="3"/>
      <x:c r="H740" s="3"/>
      <x:c r="I740" s="3"/>
      <x:c r="J740" s="3"/>
      <x:c r="K740" s="3"/>
      <x:c r="L740" s="3"/>
      <x:c r="M740" s="3"/>
      <x:c r="N740" s="3"/>
      <x:c r="O740" s="3"/>
      <x:c r="P740" s="3"/>
      <x:c r="Q740" s="3"/>
      <x:c r="R740" s="3"/>
      <x:c r="S740" s="3"/>
      <x:c r="T740" s="3"/>
      <x:c r="U740" s="3"/>
      <x:c r="V740" s="3"/>
      <x:c r="W740" s="3"/>
      <x:c r="X740" s="3"/>
      <x:c r="Y740" s="3"/>
      <x:c r="Z740" s="3"/>
      <x:c r="AA740" s="3"/>
      <x:c r="AB740" s="3"/>
      <x:c r="AC740" s="3"/>
      <x:c r="AD740" s="3"/>
      <x:c r="AE740" s="3"/>
      <x:c r="AF740" s="3"/>
      <x:c r="AG740" s="3"/>
      <x:c r="AH740" s="3"/>
      <x:c r="AI740" s="3"/>
      <x:c r="AJ740" s="3"/>
      <x:c r="AK740" s="3"/>
      <x:c r="AL740" s="3"/>
      <x:c r="AM740" s="3"/>
      <x:c r="AN740" s="3"/>
      <x:c r="AO740" s="3"/>
      <x:c r="AP740" s="3"/>
      <x:c r="AQ740" s="3"/>
      <x:c r="AR740" s="3"/>
      <x:c r="AS740" s="3"/>
      <x:c r="AT740" s="3"/>
      <x:c r="AU740" s="3"/>
      <x:c r="AV740" s="3"/>
      <x:c r="AW740" s="3"/>
      <x:c r="AX740" s="3"/>
      <x:c r="AY740" s="3"/>
      <x:c r="AZ740" s="3" t="str">
        <x:f>IF(AND('中古車掲載'!C741="One2car",'中古車掲載'!F741="ATTO 3",'中古車掲載'!L741="EXTENDED RANGE",'中古車掲載'!J741=2023,ISNUMBER('中古車掲載'!N741),'中古車掲載'!N741&gt;=20000,'中古車掲載'!O741&lt;=100000,'中古車掲載'!AL741=1),'中古車掲載'!U741,"")</x:f>
      </x:c>
      <x:c r="BA740" s="3" t="str">
        <x:f>IF(AND('中古車掲載'!C741="One2car",'中古車掲載'!F741="Corolla Cross",'中古車掲載'!L741="HEV PREMIUM SAFETY",'中古車掲載'!J741=2023,ISNUMBER('中古車掲載'!N741),'中古車掲載'!N741&gt;=20000,'中古車掲載'!O741&lt;=100000,'中古車掲載'!AL741=1,'中古車掲載'!Z741="https://www.one2car.com/en/cars-for-sale/toyota/corolla-cross/year-2023"),'中古車掲載'!U741,"")</x:f>
      </x:c>
      <x:c r="BB740" s="3" t="str">
        <x:f>IF(AND('中古車掲載'!C741="One2car",'中古車掲載'!F741="ATTO 3",'中古車掲載'!L741="EXTENDED RANGE",'中古車掲載'!J741=2023,ISNUMBER('中古車掲載'!N741),'中古車掲載'!N741&gt;=50000,'中古車掲載'!O741&lt;=100000,'中古車掲載'!AL741=1),'中古車掲載'!U741,"")</x:f>
      </x:c>
      <x:c r="BC740" s="3" t="str">
        <x:f>IF(AND('中古車掲載'!C741="One2car",'中古車掲載'!F741="Corolla Cross",'中古車掲載'!L741="HEV PREMIUM SAFETY",'中古車掲載'!J741=2023,ISNUMBER('中古車掲載'!N741),'中古車掲載'!N741&gt;=50000,'中古車掲載'!O741&lt;=100000,'中古車掲載'!AL741=1,'中古車掲載'!Z741="https://www.one2car.com/en/cars-for-sale/toyota/corolla-cross/year-2023"),'中古車掲載'!U741,"")</x:f>
      </x:c>
      <x:c r="BD740" s="3" t="str">
        <x:f>IF(AND('中古車掲載'!C741="One2car",'中古車掲載'!F741="ATTO 3",'中古車掲載'!L741="EXTENDED RANGE",'中古車掲載'!J741=2023,ISNUMBER('中古車掲載'!N741),'中古車掲載'!N741&gt;=20000,'中古車掲載'!O741&lt;=50000,'中古車掲載'!AL741=1),'中古車掲載'!U741,"")</x:f>
      </x:c>
      <x:c r="BE740" s="3" t="str">
        <x:f>IF(AND('中古車掲載'!C741="One2car",'中古車掲載'!F741="Corolla Cross",'中古車掲載'!L741="HEV PREMIUM SAFETY",'中古車掲載'!J741=2023,ISNUMBER('中古車掲載'!N741),'中古車掲載'!N741&gt;=20000,'中古車掲載'!O741&lt;=50000,'中古車掲載'!AL741=1,'中古車掲載'!Z741="https://www.one2car.com/en/cars-for-sale/toyota/corolla-cross/year-2023"),'中古車掲載'!U741,"")</x:f>
      </x:c>
      <x:c r="BF740" s="3" t="str">
        <x:f>IF(AND('中古車掲載'!C741="One2car",'中古車掲載'!F741="Corolla Cross",'中古車掲載'!L741="HEV PREMIUM",'中古車掲載'!J741=2023,ISNUMBER('中古車掲載'!N741),'中古車掲載'!N741&gt;=20000,'中古車掲載'!O741&lt;=100000,'中古車掲載'!AL741=1,'中古車掲載'!Z741="https://www.one2car.com/en/cars-for-sale/toyota/corolla-cross/year-2023"),'中古車掲載'!U741,"")</x:f>
      </x:c>
      <x:c r="BG740" s="3" t="str">
        <x:f>IF(AND('中古車掲載'!C741="One2car",'中古車掲載'!F741="Corolla Cross",'中古車掲載'!L741="HEV GR SPORT",'中古車掲載'!J741=2023,ISNUMBER('中古車掲載'!N741),'中古車掲載'!N741&gt;=20000,'中古車掲載'!O741&lt;=100000,'中古車掲載'!AL741=1,'中古車掲載'!Z741="https://www.one2car.com/en/cars-for-sale/toyota/corolla-cross/year-2023"),'中古車掲載'!U741,"")</x:f>
      </x:c>
      <x:c r="BH740" s="3" t="str">
        <x:f>IF(AND('中古車掲載'!C741="One2car",'中古車掲載'!F741="DOLPHIN",'中古車掲載'!L741="STANDARD RANGE",'中古車掲載'!J741=2023,ISNUMBER('中古車掲載'!N741),'中古車掲載'!N741&gt;=20000,'中古車掲載'!O741&lt;=100000,'中古車掲載'!AL741=1),'中古車掲載'!U741,"")</x:f>
      </x:c>
      <x:c r="BI740" s="3" t="str">
        <x:v>Taladrod|Hilux Revo|ICE|Unknown</x:v>
      </x:c>
      <x:c r="BJ740" s="3" t="n">
        <x:v>741</x:v>
      </x:c>
      <x:c r="BK740" s="3" t="n">
        <x:f>'中古車掲載'!AM741</x:f>
        <x:v>550000</x:v>
      </x:c>
      <x:c r="BL740" s="3" t="str">
        <x:f>IF(ISNUMBER('中古車掲載'!AN741),'中古車掲載'!AN741,"")</x:f>
      </x:c>
      <x:c r="BM740" s="3"/>
      <x:c r="BN740" s="3"/>
      <x:c r="BO740" s="3"/>
      <x:c r="BP740" s="3"/>
      <x:c r="BQ740" s="3"/>
      <x:c r="BR740" s="3"/>
    </x:row>
    <x:row r="741" ht="22" customHeight="1">
      <x:c r="A741" s="3"/>
      <x:c r="B741" s="3"/>
      <x:c r="C741" s="3"/>
      <x:c r="D741" s="3"/>
      <x:c r="E741" s="3"/>
      <x:c r="F741" s="3"/>
      <x:c r="G741" s="3"/>
      <x:c r="H741" s="3"/>
      <x:c r="I741" s="3"/>
      <x:c r="J741" s="3"/>
      <x:c r="K741" s="3"/>
      <x:c r="L741" s="3"/>
      <x:c r="M741" s="3"/>
      <x:c r="N741" s="3"/>
      <x:c r="O741" s="3"/>
      <x:c r="P741" s="3"/>
      <x:c r="Q741" s="3"/>
      <x:c r="R741" s="3"/>
      <x:c r="S741" s="3"/>
      <x:c r="T741" s="3"/>
      <x:c r="U741" s="3"/>
      <x:c r="V741" s="3"/>
      <x:c r="W741" s="3"/>
      <x:c r="X741" s="3"/>
      <x:c r="Y741" s="3"/>
      <x:c r="Z741" s="3"/>
      <x:c r="AA741" s="3"/>
      <x:c r="AB741" s="3"/>
      <x:c r="AC741" s="3"/>
      <x:c r="AD741" s="3"/>
      <x:c r="AE741" s="3"/>
      <x:c r="AF741" s="3"/>
      <x:c r="AG741" s="3"/>
      <x:c r="AH741" s="3"/>
      <x:c r="AI741" s="3"/>
      <x:c r="AJ741" s="3"/>
      <x:c r="AK741" s="3"/>
      <x:c r="AL741" s="3"/>
      <x:c r="AM741" s="3"/>
      <x:c r="AN741" s="3"/>
      <x:c r="AO741" s="3"/>
      <x:c r="AP741" s="3"/>
      <x:c r="AQ741" s="3"/>
      <x:c r="AR741" s="3"/>
      <x:c r="AS741" s="3"/>
      <x:c r="AT741" s="3"/>
      <x:c r="AU741" s="3"/>
      <x:c r="AV741" s="3"/>
      <x:c r="AW741" s="3"/>
      <x:c r="AX741" s="3"/>
      <x:c r="AY741" s="3"/>
      <x:c r="AZ741" s="3" t="str">
        <x:f>IF(AND('中古車掲載'!C742="One2car",'中古車掲載'!F742="ATTO 3",'中古車掲載'!L742="EXTENDED RANGE",'中古車掲載'!J742=2023,ISNUMBER('中古車掲載'!N742),'中古車掲載'!N742&gt;=20000,'中古車掲載'!O742&lt;=100000,'中古車掲載'!AL742=1),'中古車掲載'!U742,"")</x:f>
      </x:c>
      <x:c r="BA741" s="3" t="str">
        <x:f>IF(AND('中古車掲載'!C742="One2car",'中古車掲載'!F742="Corolla Cross",'中古車掲載'!L742="HEV PREMIUM SAFETY",'中古車掲載'!J742=2023,ISNUMBER('中古車掲載'!N742),'中古車掲載'!N742&gt;=20000,'中古車掲載'!O742&lt;=100000,'中古車掲載'!AL742=1,'中古車掲載'!Z742="https://www.one2car.com/en/cars-for-sale/toyota/corolla-cross/year-2023"),'中古車掲載'!U742,"")</x:f>
      </x:c>
      <x:c r="BB741" s="3" t="str">
        <x:f>IF(AND('中古車掲載'!C742="One2car",'中古車掲載'!F742="ATTO 3",'中古車掲載'!L742="EXTENDED RANGE",'中古車掲載'!J742=2023,ISNUMBER('中古車掲載'!N742),'中古車掲載'!N742&gt;=50000,'中古車掲載'!O742&lt;=100000,'中古車掲載'!AL742=1),'中古車掲載'!U742,"")</x:f>
      </x:c>
      <x:c r="BC741" s="3" t="str">
        <x:f>IF(AND('中古車掲載'!C742="One2car",'中古車掲載'!F742="Corolla Cross",'中古車掲載'!L742="HEV PREMIUM SAFETY",'中古車掲載'!J742=2023,ISNUMBER('中古車掲載'!N742),'中古車掲載'!N742&gt;=50000,'中古車掲載'!O742&lt;=100000,'中古車掲載'!AL742=1,'中古車掲載'!Z742="https://www.one2car.com/en/cars-for-sale/toyota/corolla-cross/year-2023"),'中古車掲載'!U742,"")</x:f>
      </x:c>
      <x:c r="BD741" s="3" t="str">
        <x:f>IF(AND('中古車掲載'!C742="One2car",'中古車掲載'!F742="ATTO 3",'中古車掲載'!L742="EXTENDED RANGE",'中古車掲載'!J742=2023,ISNUMBER('中古車掲載'!N742),'中古車掲載'!N742&gt;=20000,'中古車掲載'!O742&lt;=50000,'中古車掲載'!AL742=1),'中古車掲載'!U742,"")</x:f>
      </x:c>
      <x:c r="BE741" s="3" t="str">
        <x:f>IF(AND('中古車掲載'!C742="One2car",'中古車掲載'!F742="Corolla Cross",'中古車掲載'!L742="HEV PREMIUM SAFETY",'中古車掲載'!J742=2023,ISNUMBER('中古車掲載'!N742),'中古車掲載'!N742&gt;=20000,'中古車掲載'!O742&lt;=50000,'中古車掲載'!AL742=1,'中古車掲載'!Z742="https://www.one2car.com/en/cars-for-sale/toyota/corolla-cross/year-2023"),'中古車掲載'!U742,"")</x:f>
      </x:c>
      <x:c r="BF741" s="3" t="str">
        <x:f>IF(AND('中古車掲載'!C742="One2car",'中古車掲載'!F742="Corolla Cross",'中古車掲載'!L742="HEV PREMIUM",'中古車掲載'!J742=2023,ISNUMBER('中古車掲載'!N742),'中古車掲載'!N742&gt;=20000,'中古車掲載'!O742&lt;=100000,'中古車掲載'!AL742=1,'中古車掲載'!Z742="https://www.one2car.com/en/cars-for-sale/toyota/corolla-cross/year-2023"),'中古車掲載'!U742,"")</x:f>
      </x:c>
      <x:c r="BG741" s="3" t="str">
        <x:f>IF(AND('中古車掲載'!C742="One2car",'中古車掲載'!F742="Corolla Cross",'中古車掲載'!L742="HEV GR SPORT",'中古車掲載'!J742=2023,ISNUMBER('中古車掲載'!N742),'中古車掲載'!N742&gt;=20000,'中古車掲載'!O742&lt;=100000,'中古車掲載'!AL742=1,'中古車掲載'!Z742="https://www.one2car.com/en/cars-for-sale/toyota/corolla-cross/year-2023"),'中古車掲載'!U742,"")</x:f>
      </x:c>
      <x:c r="BH741" s="3" t="str">
        <x:f>IF(AND('中古車掲載'!C742="One2car",'中古車掲載'!F742="DOLPHIN",'中古車掲載'!L742="STANDARD RANGE",'中古車掲載'!J742=2023,ISNUMBER('中古車掲載'!N742),'中古車掲載'!N742&gt;=20000,'中古車掲載'!O742&lt;=100000,'中古車掲載'!AL742=1),'中古車掲載'!U742,"")</x:f>
      </x:c>
      <x:c r="BI741" s="3" t="str">
        <x:v>Taladrod|Hilux Revo|ICE|Unknown</x:v>
      </x:c>
      <x:c r="BJ741" s="3" t="n">
        <x:v>742</x:v>
      </x:c>
      <x:c r="BK741" s="3" t="n">
        <x:f>'中古車掲載'!AM742</x:f>
        <x:v>579000</x:v>
      </x:c>
      <x:c r="BL741" s="3" t="str">
        <x:f>IF(ISNUMBER('中古車掲載'!AN742),'中古車掲載'!AN742,"")</x:f>
      </x:c>
      <x:c r="BM741" s="3"/>
      <x:c r="BN741" s="3"/>
      <x:c r="BO741" s="3"/>
      <x:c r="BP741" s="3"/>
      <x:c r="BQ741" s="3"/>
      <x:c r="BR741" s="3"/>
    </x:row>
    <x:row r="742" ht="22" customHeight="1">
      <x:c r="A742" s="3"/>
      <x:c r="B742" s="3"/>
      <x:c r="C742" s="3"/>
      <x:c r="D742" s="3"/>
      <x:c r="E742" s="3"/>
      <x:c r="F742" s="3"/>
      <x:c r="G742" s="3"/>
      <x:c r="H742" s="3"/>
      <x:c r="I742" s="3"/>
      <x:c r="J742" s="3"/>
      <x:c r="K742" s="3"/>
      <x:c r="L742" s="3"/>
      <x:c r="M742" s="3"/>
      <x:c r="N742" s="3"/>
      <x:c r="O742" s="3"/>
      <x:c r="P742" s="3"/>
      <x:c r="Q742" s="3"/>
      <x:c r="R742" s="3"/>
      <x:c r="S742" s="3"/>
      <x:c r="T742" s="3"/>
      <x:c r="U742" s="3"/>
      <x:c r="V742" s="3"/>
      <x:c r="W742" s="3"/>
      <x:c r="X742" s="3"/>
      <x:c r="Y742" s="3"/>
      <x:c r="Z742" s="3"/>
      <x:c r="AA742" s="3"/>
      <x:c r="AB742" s="3"/>
      <x:c r="AC742" s="3"/>
      <x:c r="AD742" s="3"/>
      <x:c r="AE742" s="3"/>
      <x:c r="AF742" s="3"/>
      <x:c r="AG742" s="3"/>
      <x:c r="AH742" s="3"/>
      <x:c r="AI742" s="3"/>
      <x:c r="AJ742" s="3"/>
      <x:c r="AK742" s="3"/>
      <x:c r="AL742" s="3"/>
      <x:c r="AM742" s="3"/>
      <x:c r="AN742" s="3"/>
      <x:c r="AO742" s="3"/>
      <x:c r="AP742" s="3"/>
      <x:c r="AQ742" s="3"/>
      <x:c r="AR742" s="3"/>
      <x:c r="AS742" s="3"/>
      <x:c r="AT742" s="3"/>
      <x:c r="AU742" s="3"/>
      <x:c r="AV742" s="3"/>
      <x:c r="AW742" s="3"/>
      <x:c r="AX742" s="3"/>
      <x:c r="AY742" s="3"/>
      <x:c r="AZ742" s="3" t="str">
        <x:f>IF(AND('中古車掲載'!C743="One2car",'中古車掲載'!F743="ATTO 3",'中古車掲載'!L743="EXTENDED RANGE",'中古車掲載'!J743=2023,ISNUMBER('中古車掲載'!N743),'中古車掲載'!N743&gt;=20000,'中古車掲載'!O743&lt;=100000,'中古車掲載'!AL743=1),'中古車掲載'!U743,"")</x:f>
      </x:c>
      <x:c r="BA742" s="3" t="str">
        <x:f>IF(AND('中古車掲載'!C743="One2car",'中古車掲載'!F743="Corolla Cross",'中古車掲載'!L743="HEV PREMIUM SAFETY",'中古車掲載'!J743=2023,ISNUMBER('中古車掲載'!N743),'中古車掲載'!N743&gt;=20000,'中古車掲載'!O743&lt;=100000,'中古車掲載'!AL743=1,'中古車掲載'!Z743="https://www.one2car.com/en/cars-for-sale/toyota/corolla-cross/year-2023"),'中古車掲載'!U743,"")</x:f>
      </x:c>
      <x:c r="BB742" s="3" t="str">
        <x:f>IF(AND('中古車掲載'!C743="One2car",'中古車掲載'!F743="ATTO 3",'中古車掲載'!L743="EXTENDED RANGE",'中古車掲載'!J743=2023,ISNUMBER('中古車掲載'!N743),'中古車掲載'!N743&gt;=50000,'中古車掲載'!O743&lt;=100000,'中古車掲載'!AL743=1),'中古車掲載'!U743,"")</x:f>
      </x:c>
      <x:c r="BC742" s="3" t="str">
        <x:f>IF(AND('中古車掲載'!C743="One2car",'中古車掲載'!F743="Corolla Cross",'中古車掲載'!L743="HEV PREMIUM SAFETY",'中古車掲載'!J743=2023,ISNUMBER('中古車掲載'!N743),'中古車掲載'!N743&gt;=50000,'中古車掲載'!O743&lt;=100000,'中古車掲載'!AL743=1,'中古車掲載'!Z743="https://www.one2car.com/en/cars-for-sale/toyota/corolla-cross/year-2023"),'中古車掲載'!U743,"")</x:f>
      </x:c>
      <x:c r="BD742" s="3" t="str">
        <x:f>IF(AND('中古車掲載'!C743="One2car",'中古車掲載'!F743="ATTO 3",'中古車掲載'!L743="EXTENDED RANGE",'中古車掲載'!J743=2023,ISNUMBER('中古車掲載'!N743),'中古車掲載'!N743&gt;=20000,'中古車掲載'!O743&lt;=50000,'中古車掲載'!AL743=1),'中古車掲載'!U743,"")</x:f>
      </x:c>
      <x:c r="BE742" s="3" t="str">
        <x:f>IF(AND('中古車掲載'!C743="One2car",'中古車掲載'!F743="Corolla Cross",'中古車掲載'!L743="HEV PREMIUM SAFETY",'中古車掲載'!J743=2023,ISNUMBER('中古車掲載'!N743),'中古車掲載'!N743&gt;=20000,'中古車掲載'!O743&lt;=50000,'中古車掲載'!AL743=1,'中古車掲載'!Z743="https://www.one2car.com/en/cars-for-sale/toyota/corolla-cross/year-2023"),'中古車掲載'!U743,"")</x:f>
      </x:c>
      <x:c r="BF742" s="3" t="str">
        <x:f>IF(AND('中古車掲載'!C743="One2car",'中古車掲載'!F743="Corolla Cross",'中古車掲載'!L743="HEV PREMIUM",'中古車掲載'!J743=2023,ISNUMBER('中古車掲載'!N743),'中古車掲載'!N743&gt;=20000,'中古車掲載'!O743&lt;=100000,'中古車掲載'!AL743=1,'中古車掲載'!Z743="https://www.one2car.com/en/cars-for-sale/toyota/corolla-cross/year-2023"),'中古車掲載'!U743,"")</x:f>
      </x:c>
      <x:c r="BG742" s="3" t="str">
        <x:f>IF(AND('中古車掲載'!C743="One2car",'中古車掲載'!F743="Corolla Cross",'中古車掲載'!L743="HEV GR SPORT",'中古車掲載'!J743=2023,ISNUMBER('中古車掲載'!N743),'中古車掲載'!N743&gt;=20000,'中古車掲載'!O743&lt;=100000,'中古車掲載'!AL743=1,'中古車掲載'!Z743="https://www.one2car.com/en/cars-for-sale/toyota/corolla-cross/year-2023"),'中古車掲載'!U743,"")</x:f>
      </x:c>
      <x:c r="BH742" s="3" t="str">
        <x:f>IF(AND('中古車掲載'!C743="One2car",'中古車掲載'!F743="DOLPHIN",'中古車掲載'!L743="STANDARD RANGE",'中古車掲載'!J743=2023,ISNUMBER('中古車掲載'!N743),'中古車掲載'!N743&gt;=20000,'中古車掲載'!O743&lt;=100000,'中古車掲載'!AL743=1),'中古車掲載'!U743,"")</x:f>
      </x:c>
      <x:c r="BI742" s="3" t="str">
        <x:v>Taladrod|Hilux Revo|ICE|Unknown</x:v>
      </x:c>
      <x:c r="BJ742" s="3" t="n">
        <x:v>743</x:v>
      </x:c>
      <x:c r="BK742" s="3" t="n">
        <x:f>'中古車掲載'!AM743</x:f>
        <x:v>589000</x:v>
      </x:c>
      <x:c r="BL742" s="3" t="str">
        <x:f>IF(ISNUMBER('中古車掲載'!AN743),'中古車掲載'!AN743,"")</x:f>
      </x:c>
      <x:c r="BM742" s="3"/>
      <x:c r="BN742" s="3"/>
      <x:c r="BO742" s="3"/>
      <x:c r="BP742" s="3"/>
      <x:c r="BQ742" s="3"/>
      <x:c r="BR742" s="3"/>
    </x:row>
    <x:row r="743" ht="22" customHeight="1">
      <x:c r="A743" s="3"/>
      <x:c r="B743" s="3"/>
      <x:c r="C743" s="3"/>
      <x:c r="D743" s="3"/>
      <x:c r="E743" s="3"/>
      <x:c r="F743" s="3"/>
      <x:c r="G743" s="3"/>
      <x:c r="H743" s="3"/>
      <x:c r="I743" s="3"/>
      <x:c r="J743" s="3"/>
      <x:c r="K743" s="3"/>
      <x:c r="L743" s="3"/>
      <x:c r="M743" s="3"/>
      <x:c r="N743" s="3"/>
      <x:c r="O743" s="3"/>
      <x:c r="P743" s="3"/>
      <x:c r="Q743" s="3"/>
      <x:c r="R743" s="3"/>
      <x:c r="S743" s="3"/>
      <x:c r="T743" s="3"/>
      <x:c r="U743" s="3"/>
      <x:c r="V743" s="3"/>
      <x:c r="W743" s="3"/>
      <x:c r="X743" s="3"/>
      <x:c r="Y743" s="3"/>
      <x:c r="Z743" s="3"/>
      <x:c r="AA743" s="3"/>
      <x:c r="AB743" s="3"/>
      <x:c r="AC743" s="3"/>
      <x:c r="AD743" s="3"/>
      <x:c r="AE743" s="3"/>
      <x:c r="AF743" s="3"/>
      <x:c r="AG743" s="3"/>
      <x:c r="AH743" s="3"/>
      <x:c r="AI743" s="3"/>
      <x:c r="AJ743" s="3"/>
      <x:c r="AK743" s="3"/>
      <x:c r="AL743" s="3"/>
      <x:c r="AM743" s="3"/>
      <x:c r="AN743" s="3"/>
      <x:c r="AO743" s="3"/>
      <x:c r="AP743" s="3"/>
      <x:c r="AQ743" s="3"/>
      <x:c r="AR743" s="3"/>
      <x:c r="AS743" s="3"/>
      <x:c r="AT743" s="3"/>
      <x:c r="AU743" s="3"/>
      <x:c r="AV743" s="3"/>
      <x:c r="AW743" s="3"/>
      <x:c r="AX743" s="3"/>
      <x:c r="AY743" s="3"/>
      <x:c r="AZ743" s="3" t="str">
        <x:f>IF(AND('中古車掲載'!C744="One2car",'中古車掲載'!F744="ATTO 3",'中古車掲載'!L744="EXTENDED RANGE",'中古車掲載'!J744=2023,ISNUMBER('中古車掲載'!N744),'中古車掲載'!N744&gt;=20000,'中古車掲載'!O744&lt;=100000,'中古車掲載'!AL744=1),'中古車掲載'!U744,"")</x:f>
      </x:c>
      <x:c r="BA743" s="3" t="str">
        <x:f>IF(AND('中古車掲載'!C744="One2car",'中古車掲載'!F744="Corolla Cross",'中古車掲載'!L744="HEV PREMIUM SAFETY",'中古車掲載'!J744=2023,ISNUMBER('中古車掲載'!N744),'中古車掲載'!N744&gt;=20000,'中古車掲載'!O744&lt;=100000,'中古車掲載'!AL744=1,'中古車掲載'!Z744="https://www.one2car.com/en/cars-for-sale/toyota/corolla-cross/year-2023"),'中古車掲載'!U744,"")</x:f>
      </x:c>
      <x:c r="BB743" s="3" t="str">
        <x:f>IF(AND('中古車掲載'!C744="One2car",'中古車掲載'!F744="ATTO 3",'中古車掲載'!L744="EXTENDED RANGE",'中古車掲載'!J744=2023,ISNUMBER('中古車掲載'!N744),'中古車掲載'!N744&gt;=50000,'中古車掲載'!O744&lt;=100000,'中古車掲載'!AL744=1),'中古車掲載'!U744,"")</x:f>
      </x:c>
      <x:c r="BC743" s="3" t="str">
        <x:f>IF(AND('中古車掲載'!C744="One2car",'中古車掲載'!F744="Corolla Cross",'中古車掲載'!L744="HEV PREMIUM SAFETY",'中古車掲載'!J744=2023,ISNUMBER('中古車掲載'!N744),'中古車掲載'!N744&gt;=50000,'中古車掲載'!O744&lt;=100000,'中古車掲載'!AL744=1,'中古車掲載'!Z744="https://www.one2car.com/en/cars-for-sale/toyota/corolla-cross/year-2023"),'中古車掲載'!U744,"")</x:f>
      </x:c>
      <x:c r="BD743" s="3" t="str">
        <x:f>IF(AND('中古車掲載'!C744="One2car",'中古車掲載'!F744="ATTO 3",'中古車掲載'!L744="EXTENDED RANGE",'中古車掲載'!J744=2023,ISNUMBER('中古車掲載'!N744),'中古車掲載'!N744&gt;=20000,'中古車掲載'!O744&lt;=50000,'中古車掲載'!AL744=1),'中古車掲載'!U744,"")</x:f>
      </x:c>
      <x:c r="BE743" s="3" t="str">
        <x:f>IF(AND('中古車掲載'!C744="One2car",'中古車掲載'!F744="Corolla Cross",'中古車掲載'!L744="HEV PREMIUM SAFETY",'中古車掲載'!J744=2023,ISNUMBER('中古車掲載'!N744),'中古車掲載'!N744&gt;=20000,'中古車掲載'!O744&lt;=50000,'中古車掲載'!AL744=1,'中古車掲載'!Z744="https://www.one2car.com/en/cars-for-sale/toyota/corolla-cross/year-2023"),'中古車掲載'!U744,"")</x:f>
      </x:c>
      <x:c r="BF743" s="3" t="str">
        <x:f>IF(AND('中古車掲載'!C744="One2car",'中古車掲載'!F744="Corolla Cross",'中古車掲載'!L744="HEV PREMIUM",'中古車掲載'!J744=2023,ISNUMBER('中古車掲載'!N744),'中古車掲載'!N744&gt;=20000,'中古車掲載'!O744&lt;=100000,'中古車掲載'!AL744=1,'中古車掲載'!Z744="https://www.one2car.com/en/cars-for-sale/toyota/corolla-cross/year-2023"),'中古車掲載'!U744,"")</x:f>
      </x:c>
      <x:c r="BG743" s="3" t="str">
        <x:f>IF(AND('中古車掲載'!C744="One2car",'中古車掲載'!F744="Corolla Cross",'中古車掲載'!L744="HEV GR SPORT",'中古車掲載'!J744=2023,ISNUMBER('中古車掲載'!N744),'中古車掲載'!N744&gt;=20000,'中古車掲載'!O744&lt;=100000,'中古車掲載'!AL744=1,'中古車掲載'!Z744="https://www.one2car.com/en/cars-for-sale/toyota/corolla-cross/year-2023"),'中古車掲載'!U744,"")</x:f>
      </x:c>
      <x:c r="BH743" s="3" t="str">
        <x:f>IF(AND('中古車掲載'!C744="One2car",'中古車掲載'!F744="DOLPHIN",'中古車掲載'!L744="STANDARD RANGE",'中古車掲載'!J744=2023,ISNUMBER('中古車掲載'!N744),'中古車掲載'!N744&gt;=20000,'中古車掲載'!O744&lt;=100000,'中古車掲載'!AL744=1),'中古車掲載'!U744,"")</x:f>
      </x:c>
      <x:c r="BI743" s="3" t="str">
        <x:v>Taladrod|Hilux Revo|ICE|Unknown</x:v>
      </x:c>
      <x:c r="BJ743" s="3" t="n">
        <x:v>744</x:v>
      </x:c>
      <x:c r="BK743" s="3" t="n">
        <x:f>'中古車掲載'!AM744</x:f>
        <x:v>609000</x:v>
      </x:c>
      <x:c r="BL743" s="3" t="str">
        <x:f>IF(ISNUMBER('中古車掲載'!AN744),'中古車掲載'!AN744,"")</x:f>
      </x:c>
      <x:c r="BM743" s="3"/>
      <x:c r="BN743" s="3"/>
      <x:c r="BO743" s="3"/>
      <x:c r="BP743" s="3"/>
      <x:c r="BQ743" s="3"/>
      <x:c r="BR743" s="3"/>
    </x:row>
    <x:row r="744" ht="22" customHeight="1">
      <x:c r="A744" s="3"/>
      <x:c r="B744" s="3"/>
      <x:c r="C744" s="3"/>
      <x:c r="D744" s="3"/>
      <x:c r="E744" s="3"/>
      <x:c r="F744" s="3"/>
      <x:c r="G744" s="3"/>
      <x:c r="H744" s="3"/>
      <x:c r="I744" s="3"/>
      <x:c r="J744" s="3"/>
      <x:c r="K744" s="3"/>
      <x:c r="L744" s="3"/>
      <x:c r="M744" s="3"/>
      <x:c r="N744" s="3"/>
      <x:c r="O744" s="3"/>
      <x:c r="P744" s="3"/>
      <x:c r="Q744" s="3"/>
      <x:c r="R744" s="3"/>
      <x:c r="S744" s="3"/>
      <x:c r="T744" s="3"/>
      <x:c r="U744" s="3"/>
      <x:c r="V744" s="3"/>
      <x:c r="W744" s="3"/>
      <x:c r="X744" s="3"/>
      <x:c r="Y744" s="3"/>
      <x:c r="Z744" s="3"/>
      <x:c r="AA744" s="3"/>
      <x:c r="AB744" s="3"/>
      <x:c r="AC744" s="3"/>
      <x:c r="AD744" s="3"/>
      <x:c r="AE744" s="3"/>
      <x:c r="AF744" s="3"/>
      <x:c r="AG744" s="3"/>
      <x:c r="AH744" s="3"/>
      <x:c r="AI744" s="3"/>
      <x:c r="AJ744" s="3"/>
      <x:c r="AK744" s="3"/>
      <x:c r="AL744" s="3"/>
      <x:c r="AM744" s="3"/>
      <x:c r="AN744" s="3"/>
      <x:c r="AO744" s="3"/>
      <x:c r="AP744" s="3"/>
      <x:c r="AQ744" s="3"/>
      <x:c r="AR744" s="3"/>
      <x:c r="AS744" s="3"/>
      <x:c r="AT744" s="3"/>
      <x:c r="AU744" s="3"/>
      <x:c r="AV744" s="3"/>
      <x:c r="AW744" s="3"/>
      <x:c r="AX744" s="3"/>
      <x:c r="AY744" s="3"/>
      <x:c r="AZ744" s="3" t="str">
        <x:f>IF(AND('中古車掲載'!C745="One2car",'中古車掲載'!F745="ATTO 3",'中古車掲載'!L745="EXTENDED RANGE",'中古車掲載'!J745=2023,ISNUMBER('中古車掲載'!N745),'中古車掲載'!N745&gt;=20000,'中古車掲載'!O745&lt;=100000,'中古車掲載'!AL745=1),'中古車掲載'!U745,"")</x:f>
      </x:c>
      <x:c r="BA744" s="3" t="str">
        <x:f>IF(AND('中古車掲載'!C745="One2car",'中古車掲載'!F745="Corolla Cross",'中古車掲載'!L745="HEV PREMIUM SAFETY",'中古車掲載'!J745=2023,ISNUMBER('中古車掲載'!N745),'中古車掲載'!N745&gt;=20000,'中古車掲載'!O745&lt;=100000,'中古車掲載'!AL745=1,'中古車掲載'!Z745="https://www.one2car.com/en/cars-for-sale/toyota/corolla-cross/year-2023"),'中古車掲載'!U745,"")</x:f>
      </x:c>
      <x:c r="BB744" s="3" t="str">
        <x:f>IF(AND('中古車掲載'!C745="One2car",'中古車掲載'!F745="ATTO 3",'中古車掲載'!L745="EXTENDED RANGE",'中古車掲載'!J745=2023,ISNUMBER('中古車掲載'!N745),'中古車掲載'!N745&gt;=50000,'中古車掲載'!O745&lt;=100000,'中古車掲載'!AL745=1),'中古車掲載'!U745,"")</x:f>
      </x:c>
      <x:c r="BC744" s="3" t="str">
        <x:f>IF(AND('中古車掲載'!C745="One2car",'中古車掲載'!F745="Corolla Cross",'中古車掲載'!L745="HEV PREMIUM SAFETY",'中古車掲載'!J745=2023,ISNUMBER('中古車掲載'!N745),'中古車掲載'!N745&gt;=50000,'中古車掲載'!O745&lt;=100000,'中古車掲載'!AL745=1,'中古車掲載'!Z745="https://www.one2car.com/en/cars-for-sale/toyota/corolla-cross/year-2023"),'中古車掲載'!U745,"")</x:f>
      </x:c>
      <x:c r="BD744" s="3" t="str">
        <x:f>IF(AND('中古車掲載'!C745="One2car",'中古車掲載'!F745="ATTO 3",'中古車掲載'!L745="EXTENDED RANGE",'中古車掲載'!J745=2023,ISNUMBER('中古車掲載'!N745),'中古車掲載'!N745&gt;=20000,'中古車掲載'!O745&lt;=50000,'中古車掲載'!AL745=1),'中古車掲載'!U745,"")</x:f>
      </x:c>
      <x:c r="BE744" s="3" t="str">
        <x:f>IF(AND('中古車掲載'!C745="One2car",'中古車掲載'!F745="Corolla Cross",'中古車掲載'!L745="HEV PREMIUM SAFETY",'中古車掲載'!J745=2023,ISNUMBER('中古車掲載'!N745),'中古車掲載'!N745&gt;=20000,'中古車掲載'!O745&lt;=50000,'中古車掲載'!AL745=1,'中古車掲載'!Z745="https://www.one2car.com/en/cars-for-sale/toyota/corolla-cross/year-2023"),'中古車掲載'!U745,"")</x:f>
      </x:c>
      <x:c r="BF744" s="3" t="str">
        <x:f>IF(AND('中古車掲載'!C745="One2car",'中古車掲載'!F745="Corolla Cross",'中古車掲載'!L745="HEV PREMIUM",'中古車掲載'!J745=2023,ISNUMBER('中古車掲載'!N745),'中古車掲載'!N745&gt;=20000,'中古車掲載'!O745&lt;=100000,'中古車掲載'!AL745=1,'中古車掲載'!Z745="https://www.one2car.com/en/cars-for-sale/toyota/corolla-cross/year-2023"),'中古車掲載'!U745,"")</x:f>
      </x:c>
      <x:c r="BG744" s="3" t="str">
        <x:f>IF(AND('中古車掲載'!C745="One2car",'中古車掲載'!F745="Corolla Cross",'中古車掲載'!L745="HEV GR SPORT",'中古車掲載'!J745=2023,ISNUMBER('中古車掲載'!N745),'中古車掲載'!N745&gt;=20000,'中古車掲載'!O745&lt;=100000,'中古車掲載'!AL745=1,'中古車掲載'!Z745="https://www.one2car.com/en/cars-for-sale/toyota/corolla-cross/year-2023"),'中古車掲載'!U745,"")</x:f>
      </x:c>
      <x:c r="BH744" s="3" t="str">
        <x:f>IF(AND('中古車掲載'!C745="One2car",'中古車掲載'!F745="DOLPHIN",'中古車掲載'!L745="STANDARD RANGE",'中古車掲載'!J745=2023,ISNUMBER('中古車掲載'!N745),'中古車掲載'!N745&gt;=20000,'中古車掲載'!O745&lt;=100000,'中古車掲載'!AL745=1),'中古車掲載'!U745,"")</x:f>
      </x:c>
      <x:c r="BI744" s="3" t="str">
        <x:v>Taladrod|Hilux Revo|ICE|Unknown</x:v>
      </x:c>
      <x:c r="BJ744" s="3" t="n">
        <x:v>745</x:v>
      </x:c>
      <x:c r="BK744" s="3" t="n">
        <x:f>'中古車掲載'!AM745</x:f>
        <x:v>439000</x:v>
      </x:c>
      <x:c r="BL744" s="3" t="str">
        <x:f>IF(ISNUMBER('中古車掲載'!AN745),'中古車掲載'!AN745,"")</x:f>
      </x:c>
      <x:c r="BM744" s="3"/>
      <x:c r="BN744" s="3"/>
      <x:c r="BO744" s="3"/>
      <x:c r="BP744" s="3"/>
      <x:c r="BQ744" s="3"/>
      <x:c r="BR744" s="3"/>
    </x:row>
    <x:row r="745" ht="22" customHeight="1">
      <x:c r="A745" s="3"/>
      <x:c r="B745" s="3"/>
      <x:c r="C745" s="3"/>
      <x:c r="D745" s="3"/>
      <x:c r="E745" s="3"/>
      <x:c r="F745" s="3"/>
      <x:c r="G745" s="3"/>
      <x:c r="H745" s="3"/>
      <x:c r="I745" s="3"/>
      <x:c r="J745" s="3"/>
      <x:c r="K745" s="3"/>
      <x:c r="L745" s="3"/>
      <x:c r="M745" s="3"/>
      <x:c r="N745" s="3"/>
      <x:c r="O745" s="3"/>
      <x:c r="P745" s="3"/>
      <x:c r="Q745" s="3"/>
      <x:c r="R745" s="3"/>
      <x:c r="S745" s="3"/>
      <x:c r="T745" s="3"/>
      <x:c r="U745" s="3"/>
      <x:c r="V745" s="3"/>
      <x:c r="W745" s="3"/>
      <x:c r="X745" s="3"/>
      <x:c r="Y745" s="3"/>
      <x:c r="Z745" s="3"/>
      <x:c r="AA745" s="3"/>
      <x:c r="AB745" s="3"/>
      <x:c r="AC745" s="3"/>
      <x:c r="AD745" s="3"/>
      <x:c r="AE745" s="3"/>
      <x:c r="AF745" s="3"/>
      <x:c r="AG745" s="3"/>
      <x:c r="AH745" s="3"/>
      <x:c r="AI745" s="3"/>
      <x:c r="AJ745" s="3"/>
      <x:c r="AK745" s="3"/>
      <x:c r="AL745" s="3"/>
      <x:c r="AM745" s="3"/>
      <x:c r="AN745" s="3"/>
      <x:c r="AO745" s="3"/>
      <x:c r="AP745" s="3"/>
      <x:c r="AQ745" s="3"/>
      <x:c r="AR745" s="3"/>
      <x:c r="AS745" s="3"/>
      <x:c r="AT745" s="3"/>
      <x:c r="AU745" s="3"/>
      <x:c r="AV745" s="3"/>
      <x:c r="AW745" s="3"/>
      <x:c r="AX745" s="3"/>
      <x:c r="AY745" s="3"/>
      <x:c r="AZ745" s="3" t="str">
        <x:f>IF(AND('中古車掲載'!C746="One2car",'中古車掲載'!F746="ATTO 3",'中古車掲載'!L746="EXTENDED RANGE",'中古車掲載'!J746=2023,ISNUMBER('中古車掲載'!N746),'中古車掲載'!N746&gt;=20000,'中古車掲載'!O746&lt;=100000,'中古車掲載'!AL746=1),'中古車掲載'!U746,"")</x:f>
      </x:c>
      <x:c r="BA745" s="3" t="str">
        <x:f>IF(AND('中古車掲載'!C746="One2car",'中古車掲載'!F746="Corolla Cross",'中古車掲載'!L746="HEV PREMIUM SAFETY",'中古車掲載'!J746=2023,ISNUMBER('中古車掲載'!N746),'中古車掲載'!N746&gt;=20000,'中古車掲載'!O746&lt;=100000,'中古車掲載'!AL746=1,'中古車掲載'!Z746="https://www.one2car.com/en/cars-for-sale/toyota/corolla-cross/year-2023"),'中古車掲載'!U746,"")</x:f>
      </x:c>
      <x:c r="BB745" s="3" t="str">
        <x:f>IF(AND('中古車掲載'!C746="One2car",'中古車掲載'!F746="ATTO 3",'中古車掲載'!L746="EXTENDED RANGE",'中古車掲載'!J746=2023,ISNUMBER('中古車掲載'!N746),'中古車掲載'!N746&gt;=50000,'中古車掲載'!O746&lt;=100000,'中古車掲載'!AL746=1),'中古車掲載'!U746,"")</x:f>
      </x:c>
      <x:c r="BC745" s="3" t="str">
        <x:f>IF(AND('中古車掲載'!C746="One2car",'中古車掲載'!F746="Corolla Cross",'中古車掲載'!L746="HEV PREMIUM SAFETY",'中古車掲載'!J746=2023,ISNUMBER('中古車掲載'!N746),'中古車掲載'!N746&gt;=50000,'中古車掲載'!O746&lt;=100000,'中古車掲載'!AL746=1,'中古車掲載'!Z746="https://www.one2car.com/en/cars-for-sale/toyota/corolla-cross/year-2023"),'中古車掲載'!U746,"")</x:f>
      </x:c>
      <x:c r="BD745" s="3" t="str">
        <x:f>IF(AND('中古車掲載'!C746="One2car",'中古車掲載'!F746="ATTO 3",'中古車掲載'!L746="EXTENDED RANGE",'中古車掲載'!J746=2023,ISNUMBER('中古車掲載'!N746),'中古車掲載'!N746&gt;=20000,'中古車掲載'!O746&lt;=50000,'中古車掲載'!AL746=1),'中古車掲載'!U746,"")</x:f>
      </x:c>
      <x:c r="BE745" s="3" t="str">
        <x:f>IF(AND('中古車掲載'!C746="One2car",'中古車掲載'!F746="Corolla Cross",'中古車掲載'!L746="HEV PREMIUM SAFETY",'中古車掲載'!J746=2023,ISNUMBER('中古車掲載'!N746),'中古車掲載'!N746&gt;=20000,'中古車掲載'!O746&lt;=50000,'中古車掲載'!AL746=1,'中古車掲載'!Z746="https://www.one2car.com/en/cars-for-sale/toyota/corolla-cross/year-2023"),'中古車掲載'!U746,"")</x:f>
      </x:c>
      <x:c r="BF745" s="3" t="str">
        <x:f>IF(AND('中古車掲載'!C746="One2car",'中古車掲載'!F746="Corolla Cross",'中古車掲載'!L746="HEV PREMIUM",'中古車掲載'!J746=2023,ISNUMBER('中古車掲載'!N746),'中古車掲載'!N746&gt;=20000,'中古車掲載'!O746&lt;=100000,'中古車掲載'!AL746=1,'中古車掲載'!Z746="https://www.one2car.com/en/cars-for-sale/toyota/corolla-cross/year-2023"),'中古車掲載'!U746,"")</x:f>
      </x:c>
      <x:c r="BG745" s="3" t="str">
        <x:f>IF(AND('中古車掲載'!C746="One2car",'中古車掲載'!F746="Corolla Cross",'中古車掲載'!L746="HEV GR SPORT",'中古車掲載'!J746=2023,ISNUMBER('中古車掲載'!N746),'中古車掲載'!N746&gt;=20000,'中古車掲載'!O746&lt;=100000,'中古車掲載'!AL746=1,'中古車掲載'!Z746="https://www.one2car.com/en/cars-for-sale/toyota/corolla-cross/year-2023"),'中古車掲載'!U746,"")</x:f>
      </x:c>
      <x:c r="BH745" s="3" t="str">
        <x:f>IF(AND('中古車掲載'!C746="One2car",'中古車掲載'!F746="DOLPHIN",'中古車掲載'!L746="STANDARD RANGE",'中古車掲載'!J746=2023,ISNUMBER('中古車掲載'!N746),'中古車掲載'!N746&gt;=20000,'中古車掲載'!O746&lt;=100000,'中古車掲載'!AL746=1),'中古車掲載'!U746,"")</x:f>
      </x:c>
      <x:c r="BI745" s="3" t="str">
        <x:v>Taladrod|Hilux Revo|ICE|Unknown</x:v>
      </x:c>
      <x:c r="BJ745" s="3" t="n">
        <x:v>746</x:v>
      </x:c>
      <x:c r="BK745" s="3" t="n">
        <x:f>'中古車掲載'!AM746</x:f>
        <x:v>489000</x:v>
      </x:c>
      <x:c r="BL745" s="3" t="str">
        <x:f>IF(ISNUMBER('中古車掲載'!AN746),'中古車掲載'!AN746,"")</x:f>
      </x:c>
      <x:c r="BM745" s="3"/>
      <x:c r="BN745" s="3"/>
      <x:c r="BO745" s="3"/>
      <x:c r="BP745" s="3"/>
      <x:c r="BQ745" s="3"/>
      <x:c r="BR745" s="3"/>
    </x:row>
    <x:row r="746" ht="22" customHeight="1">
      <x:c r="A746" s="3"/>
      <x:c r="B746" s="3"/>
      <x:c r="C746" s="3"/>
      <x:c r="D746" s="3"/>
      <x:c r="E746" s="3"/>
      <x:c r="F746" s="3"/>
      <x:c r="G746" s="3"/>
      <x:c r="H746" s="3"/>
      <x:c r="I746" s="3"/>
      <x:c r="J746" s="3"/>
      <x:c r="K746" s="3"/>
      <x:c r="L746" s="3"/>
      <x:c r="M746" s="3"/>
      <x:c r="N746" s="3"/>
      <x:c r="O746" s="3"/>
      <x:c r="P746" s="3"/>
      <x:c r="Q746" s="3"/>
      <x:c r="R746" s="3"/>
      <x:c r="S746" s="3"/>
      <x:c r="T746" s="3"/>
      <x:c r="U746" s="3"/>
      <x:c r="V746" s="3"/>
      <x:c r="W746" s="3"/>
      <x:c r="X746" s="3"/>
      <x:c r="Y746" s="3"/>
      <x:c r="Z746" s="3"/>
      <x:c r="AA746" s="3"/>
      <x:c r="AB746" s="3"/>
      <x:c r="AC746" s="3"/>
      <x:c r="AD746" s="3"/>
      <x:c r="AE746" s="3"/>
      <x:c r="AF746" s="3"/>
      <x:c r="AG746" s="3"/>
      <x:c r="AH746" s="3"/>
      <x:c r="AI746" s="3"/>
      <x:c r="AJ746" s="3"/>
      <x:c r="AK746" s="3"/>
      <x:c r="AL746" s="3"/>
      <x:c r="AM746" s="3"/>
      <x:c r="AN746" s="3"/>
      <x:c r="AO746" s="3"/>
      <x:c r="AP746" s="3"/>
      <x:c r="AQ746" s="3"/>
      <x:c r="AR746" s="3"/>
      <x:c r="AS746" s="3"/>
      <x:c r="AT746" s="3"/>
      <x:c r="AU746" s="3"/>
      <x:c r="AV746" s="3"/>
      <x:c r="AW746" s="3"/>
      <x:c r="AX746" s="3"/>
      <x:c r="AY746" s="3"/>
      <x:c r="AZ746" s="3" t="str">
        <x:f>IF(AND('中古車掲載'!C747="One2car",'中古車掲載'!F747="ATTO 3",'中古車掲載'!L747="EXTENDED RANGE",'中古車掲載'!J747=2023,ISNUMBER('中古車掲載'!N747),'中古車掲載'!N747&gt;=20000,'中古車掲載'!O747&lt;=100000,'中古車掲載'!AL747=1),'中古車掲載'!U747,"")</x:f>
      </x:c>
      <x:c r="BA746" s="3" t="str">
        <x:f>IF(AND('中古車掲載'!C747="One2car",'中古車掲載'!F747="Corolla Cross",'中古車掲載'!L747="HEV PREMIUM SAFETY",'中古車掲載'!J747=2023,ISNUMBER('中古車掲載'!N747),'中古車掲載'!N747&gt;=20000,'中古車掲載'!O747&lt;=100000,'中古車掲載'!AL747=1,'中古車掲載'!Z747="https://www.one2car.com/en/cars-for-sale/toyota/corolla-cross/year-2023"),'中古車掲載'!U747,"")</x:f>
      </x:c>
      <x:c r="BB746" s="3" t="str">
        <x:f>IF(AND('中古車掲載'!C747="One2car",'中古車掲載'!F747="ATTO 3",'中古車掲載'!L747="EXTENDED RANGE",'中古車掲載'!J747=2023,ISNUMBER('中古車掲載'!N747),'中古車掲載'!N747&gt;=50000,'中古車掲載'!O747&lt;=100000,'中古車掲載'!AL747=1),'中古車掲載'!U747,"")</x:f>
      </x:c>
      <x:c r="BC746" s="3" t="str">
        <x:f>IF(AND('中古車掲載'!C747="One2car",'中古車掲載'!F747="Corolla Cross",'中古車掲載'!L747="HEV PREMIUM SAFETY",'中古車掲載'!J747=2023,ISNUMBER('中古車掲載'!N747),'中古車掲載'!N747&gt;=50000,'中古車掲載'!O747&lt;=100000,'中古車掲載'!AL747=1,'中古車掲載'!Z747="https://www.one2car.com/en/cars-for-sale/toyota/corolla-cross/year-2023"),'中古車掲載'!U747,"")</x:f>
      </x:c>
      <x:c r="BD746" s="3" t="str">
        <x:f>IF(AND('中古車掲載'!C747="One2car",'中古車掲載'!F747="ATTO 3",'中古車掲載'!L747="EXTENDED RANGE",'中古車掲載'!J747=2023,ISNUMBER('中古車掲載'!N747),'中古車掲載'!N747&gt;=20000,'中古車掲載'!O747&lt;=50000,'中古車掲載'!AL747=1),'中古車掲載'!U747,"")</x:f>
      </x:c>
      <x:c r="BE746" s="3" t="str">
        <x:f>IF(AND('中古車掲載'!C747="One2car",'中古車掲載'!F747="Corolla Cross",'中古車掲載'!L747="HEV PREMIUM SAFETY",'中古車掲載'!J747=2023,ISNUMBER('中古車掲載'!N747),'中古車掲載'!N747&gt;=20000,'中古車掲載'!O747&lt;=50000,'中古車掲載'!AL747=1,'中古車掲載'!Z747="https://www.one2car.com/en/cars-for-sale/toyota/corolla-cross/year-2023"),'中古車掲載'!U747,"")</x:f>
      </x:c>
      <x:c r="BF746" s="3" t="str">
        <x:f>IF(AND('中古車掲載'!C747="One2car",'中古車掲載'!F747="Corolla Cross",'中古車掲載'!L747="HEV PREMIUM",'中古車掲載'!J747=2023,ISNUMBER('中古車掲載'!N747),'中古車掲載'!N747&gt;=20000,'中古車掲載'!O747&lt;=100000,'中古車掲載'!AL747=1,'中古車掲載'!Z747="https://www.one2car.com/en/cars-for-sale/toyota/corolla-cross/year-2023"),'中古車掲載'!U747,"")</x:f>
      </x:c>
      <x:c r="BG746" s="3" t="str">
        <x:f>IF(AND('中古車掲載'!C747="One2car",'中古車掲載'!F747="Corolla Cross",'中古車掲載'!L747="HEV GR SPORT",'中古車掲載'!J747=2023,ISNUMBER('中古車掲載'!N747),'中古車掲載'!N747&gt;=20000,'中古車掲載'!O747&lt;=100000,'中古車掲載'!AL747=1,'中古車掲載'!Z747="https://www.one2car.com/en/cars-for-sale/toyota/corolla-cross/year-2023"),'中古車掲載'!U747,"")</x:f>
      </x:c>
      <x:c r="BH746" s="3" t="str">
        <x:f>IF(AND('中古車掲載'!C747="One2car",'中古車掲載'!F747="DOLPHIN",'中古車掲載'!L747="STANDARD RANGE",'中古車掲載'!J747=2023,ISNUMBER('中古車掲載'!N747),'中古車掲載'!N747&gt;=20000,'中古車掲載'!O747&lt;=100000,'中古車掲載'!AL747=1),'中古車掲載'!U747,"")</x:f>
      </x:c>
      <x:c r="BI746" s="3" t="str">
        <x:v>Taladrod|Hilux Revo|ICE|Unknown</x:v>
      </x:c>
      <x:c r="BJ746" s="3" t="n">
        <x:v>747</x:v>
      </x:c>
      <x:c r="BK746" s="3" t="n">
        <x:f>'中古車掲載'!AM747</x:f>
        <x:v>589000</x:v>
      </x:c>
      <x:c r="BL746" s="3" t="str">
        <x:f>IF(ISNUMBER('中古車掲載'!AN747),'中古車掲載'!AN747,"")</x:f>
      </x:c>
      <x:c r="BM746" s="3"/>
      <x:c r="BN746" s="3"/>
      <x:c r="BO746" s="3"/>
      <x:c r="BP746" s="3"/>
      <x:c r="BQ746" s="3"/>
      <x:c r="BR746" s="3"/>
    </x:row>
    <x:row r="747" ht="22" customHeight="1">
      <x:c r="A747" s="3"/>
      <x:c r="B747" s="3"/>
      <x:c r="C747" s="3"/>
      <x:c r="D747" s="3"/>
      <x:c r="E747" s="3"/>
      <x:c r="F747" s="3"/>
      <x:c r="G747" s="3"/>
      <x:c r="H747" s="3"/>
      <x:c r="I747" s="3"/>
      <x:c r="J747" s="3"/>
      <x:c r="K747" s="3"/>
      <x:c r="L747" s="3"/>
      <x:c r="M747" s="3"/>
      <x:c r="N747" s="3"/>
      <x:c r="O747" s="3"/>
      <x:c r="P747" s="3"/>
      <x:c r="Q747" s="3"/>
      <x:c r="R747" s="3"/>
      <x:c r="S747" s="3"/>
      <x:c r="T747" s="3"/>
      <x:c r="U747" s="3"/>
      <x:c r="V747" s="3"/>
      <x:c r="W747" s="3"/>
      <x:c r="X747" s="3"/>
      <x:c r="Y747" s="3"/>
      <x:c r="Z747" s="3"/>
      <x:c r="AA747" s="3"/>
      <x:c r="AB747" s="3"/>
      <x:c r="AC747" s="3"/>
      <x:c r="AD747" s="3"/>
      <x:c r="AE747" s="3"/>
      <x:c r="AF747" s="3"/>
      <x:c r="AG747" s="3"/>
      <x:c r="AH747" s="3"/>
      <x:c r="AI747" s="3"/>
      <x:c r="AJ747" s="3"/>
      <x:c r="AK747" s="3"/>
      <x:c r="AL747" s="3"/>
      <x:c r="AM747" s="3"/>
      <x:c r="AN747" s="3"/>
      <x:c r="AO747" s="3"/>
      <x:c r="AP747" s="3"/>
      <x:c r="AQ747" s="3"/>
      <x:c r="AR747" s="3"/>
      <x:c r="AS747" s="3"/>
      <x:c r="AT747" s="3"/>
      <x:c r="AU747" s="3"/>
      <x:c r="AV747" s="3"/>
      <x:c r="AW747" s="3"/>
      <x:c r="AX747" s="3"/>
      <x:c r="AY747" s="3"/>
      <x:c r="AZ747" s="3" t="str">
        <x:f>IF(AND('中古車掲載'!C748="One2car",'中古車掲載'!F748="ATTO 3",'中古車掲載'!L748="EXTENDED RANGE",'中古車掲載'!J748=2023,ISNUMBER('中古車掲載'!N748),'中古車掲載'!N748&gt;=20000,'中古車掲載'!O748&lt;=100000,'中古車掲載'!AL748=1),'中古車掲載'!U748,"")</x:f>
      </x:c>
      <x:c r="BA747" s="3" t="str">
        <x:f>IF(AND('中古車掲載'!C748="One2car",'中古車掲載'!F748="Corolla Cross",'中古車掲載'!L748="HEV PREMIUM SAFETY",'中古車掲載'!J748=2023,ISNUMBER('中古車掲載'!N748),'中古車掲載'!N748&gt;=20000,'中古車掲載'!O748&lt;=100000,'中古車掲載'!AL748=1,'中古車掲載'!Z748="https://www.one2car.com/en/cars-for-sale/toyota/corolla-cross/year-2023"),'中古車掲載'!U748,"")</x:f>
      </x:c>
      <x:c r="BB747" s="3" t="str">
        <x:f>IF(AND('中古車掲載'!C748="One2car",'中古車掲載'!F748="ATTO 3",'中古車掲載'!L748="EXTENDED RANGE",'中古車掲載'!J748=2023,ISNUMBER('中古車掲載'!N748),'中古車掲載'!N748&gt;=50000,'中古車掲載'!O748&lt;=100000,'中古車掲載'!AL748=1),'中古車掲載'!U748,"")</x:f>
      </x:c>
      <x:c r="BC747" s="3" t="str">
        <x:f>IF(AND('中古車掲載'!C748="One2car",'中古車掲載'!F748="Corolla Cross",'中古車掲載'!L748="HEV PREMIUM SAFETY",'中古車掲載'!J748=2023,ISNUMBER('中古車掲載'!N748),'中古車掲載'!N748&gt;=50000,'中古車掲載'!O748&lt;=100000,'中古車掲載'!AL748=1,'中古車掲載'!Z748="https://www.one2car.com/en/cars-for-sale/toyota/corolla-cross/year-2023"),'中古車掲載'!U748,"")</x:f>
      </x:c>
      <x:c r="BD747" s="3" t="str">
        <x:f>IF(AND('中古車掲載'!C748="One2car",'中古車掲載'!F748="ATTO 3",'中古車掲載'!L748="EXTENDED RANGE",'中古車掲載'!J748=2023,ISNUMBER('中古車掲載'!N748),'中古車掲載'!N748&gt;=20000,'中古車掲載'!O748&lt;=50000,'中古車掲載'!AL748=1),'中古車掲載'!U748,"")</x:f>
      </x:c>
      <x:c r="BE747" s="3" t="str">
        <x:f>IF(AND('中古車掲載'!C748="One2car",'中古車掲載'!F748="Corolla Cross",'中古車掲載'!L748="HEV PREMIUM SAFETY",'中古車掲載'!J748=2023,ISNUMBER('中古車掲載'!N748),'中古車掲載'!N748&gt;=20000,'中古車掲載'!O748&lt;=50000,'中古車掲載'!AL748=1,'中古車掲載'!Z748="https://www.one2car.com/en/cars-for-sale/toyota/corolla-cross/year-2023"),'中古車掲載'!U748,"")</x:f>
      </x:c>
      <x:c r="BF747" s="3" t="str">
        <x:f>IF(AND('中古車掲載'!C748="One2car",'中古車掲載'!F748="Corolla Cross",'中古車掲載'!L748="HEV PREMIUM",'中古車掲載'!J748=2023,ISNUMBER('中古車掲載'!N748),'中古車掲載'!N748&gt;=20000,'中古車掲載'!O748&lt;=100000,'中古車掲載'!AL748=1,'中古車掲載'!Z748="https://www.one2car.com/en/cars-for-sale/toyota/corolla-cross/year-2023"),'中古車掲載'!U748,"")</x:f>
      </x:c>
      <x:c r="BG747" s="3" t="str">
        <x:f>IF(AND('中古車掲載'!C748="One2car",'中古車掲載'!F748="Corolla Cross",'中古車掲載'!L748="HEV GR SPORT",'中古車掲載'!J748=2023,ISNUMBER('中古車掲載'!N748),'中古車掲載'!N748&gt;=20000,'中古車掲載'!O748&lt;=100000,'中古車掲載'!AL748=1,'中古車掲載'!Z748="https://www.one2car.com/en/cars-for-sale/toyota/corolla-cross/year-2023"),'中古車掲載'!U748,"")</x:f>
      </x:c>
      <x:c r="BH747" s="3" t="str">
        <x:f>IF(AND('中古車掲載'!C748="One2car",'中古車掲載'!F748="DOLPHIN",'中古車掲載'!L748="STANDARD RANGE",'中古車掲載'!J748=2023,ISNUMBER('中古車掲載'!N748),'中古車掲載'!N748&gt;=20000,'中古車掲載'!O748&lt;=100000,'中古車掲載'!AL748=1),'中古車掲載'!U748,"")</x:f>
      </x:c>
      <x:c r="BI747" s="3" t="str">
        <x:v>Taladrod|Hilux Revo|ICE|Unknown</x:v>
      </x:c>
      <x:c r="BJ747" s="3" t="n">
        <x:v>748</x:v>
      </x:c>
      <x:c r="BK747" s="3" t="n">
        <x:f>'中古車掲載'!AM748</x:f>
        <x:v>489000</x:v>
      </x:c>
      <x:c r="BL747" s="3" t="str">
        <x:f>IF(ISNUMBER('中古車掲載'!AN748),'中古車掲載'!AN748,"")</x:f>
      </x:c>
      <x:c r="BM747" s="3"/>
      <x:c r="BN747" s="3"/>
      <x:c r="BO747" s="3"/>
      <x:c r="BP747" s="3"/>
      <x:c r="BQ747" s="3"/>
      <x:c r="BR747" s="3"/>
    </x:row>
    <x:row r="748" ht="22" customHeight="1">
      <x:c r="A748" s="3"/>
      <x:c r="B748" s="3"/>
      <x:c r="C748" s="3"/>
      <x:c r="D748" s="3"/>
      <x:c r="E748" s="3"/>
      <x:c r="F748" s="3"/>
      <x:c r="G748" s="3"/>
      <x:c r="H748" s="3"/>
      <x:c r="I748" s="3"/>
      <x:c r="J748" s="3"/>
      <x:c r="K748" s="3"/>
      <x:c r="L748" s="3"/>
      <x:c r="M748" s="3"/>
      <x:c r="N748" s="3"/>
      <x:c r="O748" s="3"/>
      <x:c r="P748" s="3"/>
      <x:c r="Q748" s="3"/>
      <x:c r="R748" s="3"/>
      <x:c r="S748" s="3"/>
      <x:c r="T748" s="3"/>
      <x:c r="U748" s="3"/>
      <x:c r="V748" s="3"/>
      <x:c r="W748" s="3"/>
      <x:c r="X748" s="3"/>
      <x:c r="Y748" s="3"/>
      <x:c r="Z748" s="3"/>
      <x:c r="AA748" s="3"/>
      <x:c r="AB748" s="3"/>
      <x:c r="AC748" s="3"/>
      <x:c r="AD748" s="3"/>
      <x:c r="AE748" s="3"/>
      <x:c r="AF748" s="3"/>
      <x:c r="AG748" s="3"/>
      <x:c r="AH748" s="3"/>
      <x:c r="AI748" s="3"/>
      <x:c r="AJ748" s="3"/>
      <x:c r="AK748" s="3"/>
      <x:c r="AL748" s="3"/>
      <x:c r="AM748" s="3"/>
      <x:c r="AN748" s="3"/>
      <x:c r="AO748" s="3"/>
      <x:c r="AP748" s="3"/>
      <x:c r="AQ748" s="3"/>
      <x:c r="AR748" s="3"/>
      <x:c r="AS748" s="3"/>
      <x:c r="AT748" s="3"/>
      <x:c r="AU748" s="3"/>
      <x:c r="AV748" s="3"/>
      <x:c r="AW748" s="3"/>
      <x:c r="AX748" s="3"/>
      <x:c r="AY748" s="3"/>
      <x:c r="AZ748" s="3" t="str">
        <x:f>IF(AND('中古車掲載'!C749="One2car",'中古車掲載'!F749="ATTO 3",'中古車掲載'!L749="EXTENDED RANGE",'中古車掲載'!J749=2023,ISNUMBER('中古車掲載'!N749),'中古車掲載'!N749&gt;=20000,'中古車掲載'!O749&lt;=100000,'中古車掲載'!AL749=1),'中古車掲載'!U749,"")</x:f>
      </x:c>
      <x:c r="BA748" s="3" t="str">
        <x:f>IF(AND('中古車掲載'!C749="One2car",'中古車掲載'!F749="Corolla Cross",'中古車掲載'!L749="HEV PREMIUM SAFETY",'中古車掲載'!J749=2023,ISNUMBER('中古車掲載'!N749),'中古車掲載'!N749&gt;=20000,'中古車掲載'!O749&lt;=100000,'中古車掲載'!AL749=1,'中古車掲載'!Z749="https://www.one2car.com/en/cars-for-sale/toyota/corolla-cross/year-2023"),'中古車掲載'!U749,"")</x:f>
      </x:c>
      <x:c r="BB748" s="3" t="str">
        <x:f>IF(AND('中古車掲載'!C749="One2car",'中古車掲載'!F749="ATTO 3",'中古車掲載'!L749="EXTENDED RANGE",'中古車掲載'!J749=2023,ISNUMBER('中古車掲載'!N749),'中古車掲載'!N749&gt;=50000,'中古車掲載'!O749&lt;=100000,'中古車掲載'!AL749=1),'中古車掲載'!U749,"")</x:f>
      </x:c>
      <x:c r="BC748" s="3" t="str">
        <x:f>IF(AND('中古車掲載'!C749="One2car",'中古車掲載'!F749="Corolla Cross",'中古車掲載'!L749="HEV PREMIUM SAFETY",'中古車掲載'!J749=2023,ISNUMBER('中古車掲載'!N749),'中古車掲載'!N749&gt;=50000,'中古車掲載'!O749&lt;=100000,'中古車掲載'!AL749=1,'中古車掲載'!Z749="https://www.one2car.com/en/cars-for-sale/toyota/corolla-cross/year-2023"),'中古車掲載'!U749,"")</x:f>
      </x:c>
      <x:c r="BD748" s="3" t="str">
        <x:f>IF(AND('中古車掲載'!C749="One2car",'中古車掲載'!F749="ATTO 3",'中古車掲載'!L749="EXTENDED RANGE",'中古車掲載'!J749=2023,ISNUMBER('中古車掲載'!N749),'中古車掲載'!N749&gt;=20000,'中古車掲載'!O749&lt;=50000,'中古車掲載'!AL749=1),'中古車掲載'!U749,"")</x:f>
      </x:c>
      <x:c r="BE748" s="3" t="str">
        <x:f>IF(AND('中古車掲載'!C749="One2car",'中古車掲載'!F749="Corolla Cross",'中古車掲載'!L749="HEV PREMIUM SAFETY",'中古車掲載'!J749=2023,ISNUMBER('中古車掲載'!N749),'中古車掲載'!N749&gt;=20000,'中古車掲載'!O749&lt;=50000,'中古車掲載'!AL749=1,'中古車掲載'!Z749="https://www.one2car.com/en/cars-for-sale/toyota/corolla-cross/year-2023"),'中古車掲載'!U749,"")</x:f>
      </x:c>
      <x:c r="BF748" s="3" t="str">
        <x:f>IF(AND('中古車掲載'!C749="One2car",'中古車掲載'!F749="Corolla Cross",'中古車掲載'!L749="HEV PREMIUM",'中古車掲載'!J749=2023,ISNUMBER('中古車掲載'!N749),'中古車掲載'!N749&gt;=20000,'中古車掲載'!O749&lt;=100000,'中古車掲載'!AL749=1,'中古車掲載'!Z749="https://www.one2car.com/en/cars-for-sale/toyota/corolla-cross/year-2023"),'中古車掲載'!U749,"")</x:f>
      </x:c>
      <x:c r="BG748" s="3" t="str">
        <x:f>IF(AND('中古車掲載'!C749="One2car",'中古車掲載'!F749="Corolla Cross",'中古車掲載'!L749="HEV GR SPORT",'中古車掲載'!J749=2023,ISNUMBER('中古車掲載'!N749),'中古車掲載'!N749&gt;=20000,'中古車掲載'!O749&lt;=100000,'中古車掲載'!AL749=1,'中古車掲載'!Z749="https://www.one2car.com/en/cars-for-sale/toyota/corolla-cross/year-2023"),'中古車掲載'!U749,"")</x:f>
      </x:c>
      <x:c r="BH748" s="3" t="str">
        <x:f>IF(AND('中古車掲載'!C749="One2car",'中古車掲載'!F749="DOLPHIN",'中古車掲載'!L749="STANDARD RANGE",'中古車掲載'!J749=2023,ISNUMBER('中古車掲載'!N749),'中古車掲載'!N749&gt;=20000,'中古車掲載'!O749&lt;=100000,'中古車掲載'!AL749=1),'中古車掲載'!U749,"")</x:f>
      </x:c>
      <x:c r="BI748" s="3" t="str">
        <x:v>Taladrod|Hilux Revo|ICE|Unknown</x:v>
      </x:c>
      <x:c r="BJ748" s="3" t="n">
        <x:v>749</x:v>
      </x:c>
      <x:c r="BK748" s="3" t="n">
        <x:f>'中古車掲載'!AM749</x:f>
        <x:v>459000</x:v>
      </x:c>
      <x:c r="BL748" s="3" t="str">
        <x:f>IF(ISNUMBER('中古車掲載'!AN749),'中古車掲載'!AN749,"")</x:f>
      </x:c>
      <x:c r="BM748" s="3"/>
      <x:c r="BN748" s="3"/>
      <x:c r="BO748" s="3"/>
      <x:c r="BP748" s="3"/>
      <x:c r="BQ748" s="3"/>
      <x:c r="BR748" s="3"/>
    </x:row>
    <x:row r="749" ht="22" customHeight="1">
      <x:c r="A749" s="3"/>
      <x:c r="B749" s="3"/>
      <x:c r="C749" s="3"/>
      <x:c r="D749" s="3"/>
      <x:c r="E749" s="3"/>
      <x:c r="F749" s="3"/>
      <x:c r="G749" s="3"/>
      <x:c r="H749" s="3"/>
      <x:c r="I749" s="3"/>
      <x:c r="J749" s="3"/>
      <x:c r="K749" s="3"/>
      <x:c r="L749" s="3"/>
      <x:c r="M749" s="3"/>
      <x:c r="N749" s="3"/>
      <x:c r="O749" s="3"/>
      <x:c r="P749" s="3"/>
      <x:c r="Q749" s="3"/>
      <x:c r="R749" s="3"/>
      <x:c r="S749" s="3"/>
      <x:c r="T749" s="3"/>
      <x:c r="U749" s="3"/>
      <x:c r="V749" s="3"/>
      <x:c r="W749" s="3"/>
      <x:c r="X749" s="3"/>
      <x:c r="Y749" s="3"/>
      <x:c r="Z749" s="3"/>
      <x:c r="AA749" s="3"/>
      <x:c r="AB749" s="3"/>
      <x:c r="AC749" s="3"/>
      <x:c r="AD749" s="3"/>
      <x:c r="AE749" s="3"/>
      <x:c r="AF749" s="3"/>
      <x:c r="AG749" s="3"/>
      <x:c r="AH749" s="3"/>
      <x:c r="AI749" s="3"/>
      <x:c r="AJ749" s="3"/>
      <x:c r="AK749" s="3"/>
      <x:c r="AL749" s="3"/>
      <x:c r="AM749" s="3"/>
      <x:c r="AN749" s="3"/>
      <x:c r="AO749" s="3"/>
      <x:c r="AP749" s="3"/>
      <x:c r="AQ749" s="3"/>
      <x:c r="AR749" s="3"/>
      <x:c r="AS749" s="3"/>
      <x:c r="AT749" s="3"/>
      <x:c r="AU749" s="3"/>
      <x:c r="AV749" s="3"/>
      <x:c r="AW749" s="3"/>
      <x:c r="AX749" s="3"/>
      <x:c r="AY749" s="3"/>
      <x:c r="AZ749" s="3" t="str">
        <x:f>IF(AND('中古車掲載'!C750="One2car",'中古車掲載'!F750="ATTO 3",'中古車掲載'!L750="EXTENDED RANGE",'中古車掲載'!J750=2023,ISNUMBER('中古車掲載'!N750),'中古車掲載'!N750&gt;=20000,'中古車掲載'!O750&lt;=100000,'中古車掲載'!AL750=1),'中古車掲載'!U750,"")</x:f>
      </x:c>
      <x:c r="BA749" s="3" t="str">
        <x:f>IF(AND('中古車掲載'!C750="One2car",'中古車掲載'!F750="Corolla Cross",'中古車掲載'!L750="HEV PREMIUM SAFETY",'中古車掲載'!J750=2023,ISNUMBER('中古車掲載'!N750),'中古車掲載'!N750&gt;=20000,'中古車掲載'!O750&lt;=100000,'中古車掲載'!AL750=1,'中古車掲載'!Z750="https://www.one2car.com/en/cars-for-sale/toyota/corolla-cross/year-2023"),'中古車掲載'!U750,"")</x:f>
      </x:c>
      <x:c r="BB749" s="3" t="str">
        <x:f>IF(AND('中古車掲載'!C750="One2car",'中古車掲載'!F750="ATTO 3",'中古車掲載'!L750="EXTENDED RANGE",'中古車掲載'!J750=2023,ISNUMBER('中古車掲載'!N750),'中古車掲載'!N750&gt;=50000,'中古車掲載'!O750&lt;=100000,'中古車掲載'!AL750=1),'中古車掲載'!U750,"")</x:f>
      </x:c>
      <x:c r="BC749" s="3" t="str">
        <x:f>IF(AND('中古車掲載'!C750="One2car",'中古車掲載'!F750="Corolla Cross",'中古車掲載'!L750="HEV PREMIUM SAFETY",'中古車掲載'!J750=2023,ISNUMBER('中古車掲載'!N750),'中古車掲載'!N750&gt;=50000,'中古車掲載'!O750&lt;=100000,'中古車掲載'!AL750=1,'中古車掲載'!Z750="https://www.one2car.com/en/cars-for-sale/toyota/corolla-cross/year-2023"),'中古車掲載'!U750,"")</x:f>
      </x:c>
      <x:c r="BD749" s="3" t="str">
        <x:f>IF(AND('中古車掲載'!C750="One2car",'中古車掲載'!F750="ATTO 3",'中古車掲載'!L750="EXTENDED RANGE",'中古車掲載'!J750=2023,ISNUMBER('中古車掲載'!N750),'中古車掲載'!N750&gt;=20000,'中古車掲載'!O750&lt;=50000,'中古車掲載'!AL750=1),'中古車掲載'!U750,"")</x:f>
      </x:c>
      <x:c r="BE749" s="3" t="str">
        <x:f>IF(AND('中古車掲載'!C750="One2car",'中古車掲載'!F750="Corolla Cross",'中古車掲載'!L750="HEV PREMIUM SAFETY",'中古車掲載'!J750=2023,ISNUMBER('中古車掲載'!N750),'中古車掲載'!N750&gt;=20000,'中古車掲載'!O750&lt;=50000,'中古車掲載'!AL750=1,'中古車掲載'!Z750="https://www.one2car.com/en/cars-for-sale/toyota/corolla-cross/year-2023"),'中古車掲載'!U750,"")</x:f>
      </x:c>
      <x:c r="BF749" s="3" t="str">
        <x:f>IF(AND('中古車掲載'!C750="One2car",'中古車掲載'!F750="Corolla Cross",'中古車掲載'!L750="HEV PREMIUM",'中古車掲載'!J750=2023,ISNUMBER('中古車掲載'!N750),'中古車掲載'!N750&gt;=20000,'中古車掲載'!O750&lt;=100000,'中古車掲載'!AL750=1,'中古車掲載'!Z750="https://www.one2car.com/en/cars-for-sale/toyota/corolla-cross/year-2023"),'中古車掲載'!U750,"")</x:f>
      </x:c>
      <x:c r="BG749" s="3" t="str">
        <x:f>IF(AND('中古車掲載'!C750="One2car",'中古車掲載'!F750="Corolla Cross",'中古車掲載'!L750="HEV GR SPORT",'中古車掲載'!J750=2023,ISNUMBER('中古車掲載'!N750),'中古車掲載'!N750&gt;=20000,'中古車掲載'!O750&lt;=100000,'中古車掲載'!AL750=1,'中古車掲載'!Z750="https://www.one2car.com/en/cars-for-sale/toyota/corolla-cross/year-2023"),'中古車掲載'!U750,"")</x:f>
      </x:c>
      <x:c r="BH749" s="3" t="str">
        <x:f>IF(AND('中古車掲載'!C750="One2car",'中古車掲載'!F750="DOLPHIN",'中古車掲載'!L750="STANDARD RANGE",'中古車掲載'!J750=2023,ISNUMBER('中古車掲載'!N750),'中古車掲載'!N750&gt;=20000,'中古車掲載'!O750&lt;=100000,'中古車掲載'!AL750=1),'中古車掲載'!U750,"")</x:f>
      </x:c>
      <x:c r="BI749" s="3" t="str">
        <x:v>Taladrod|Hilux Revo|ICE|Unknown</x:v>
      </x:c>
      <x:c r="BJ749" s="3" t="n">
        <x:v>750</x:v>
      </x:c>
      <x:c r="BK749" s="3" t="n">
        <x:f>'中古車掲載'!AM750</x:f>
        <x:v>459000</x:v>
      </x:c>
      <x:c r="BL749" s="3" t="str">
        <x:f>IF(ISNUMBER('中古車掲載'!AN750),'中古車掲載'!AN750,"")</x:f>
      </x:c>
      <x:c r="BM749" s="3"/>
      <x:c r="BN749" s="3"/>
      <x:c r="BO749" s="3"/>
      <x:c r="BP749" s="3"/>
      <x:c r="BQ749" s="3"/>
      <x:c r="BR749" s="3"/>
    </x:row>
    <x:row r="750" ht="22" customHeight="1">
      <x:c r="A750" s="3"/>
      <x:c r="B750" s="3"/>
      <x:c r="C750" s="3"/>
      <x:c r="D750" s="3"/>
      <x:c r="E750" s="3"/>
      <x:c r="F750" s="3"/>
      <x:c r="G750" s="3"/>
      <x:c r="H750" s="3"/>
      <x:c r="I750" s="3"/>
      <x:c r="J750" s="3"/>
      <x:c r="K750" s="3"/>
      <x:c r="L750" s="3"/>
      <x:c r="M750" s="3"/>
      <x:c r="N750" s="3"/>
      <x:c r="O750" s="3"/>
      <x:c r="P750" s="3"/>
      <x:c r="Q750" s="3"/>
      <x:c r="R750" s="3"/>
      <x:c r="S750" s="3"/>
      <x:c r="T750" s="3"/>
      <x:c r="U750" s="3"/>
      <x:c r="V750" s="3"/>
      <x:c r="W750" s="3"/>
      <x:c r="X750" s="3"/>
      <x:c r="Y750" s="3"/>
      <x:c r="Z750" s="3"/>
      <x:c r="AA750" s="3"/>
      <x:c r="AB750" s="3"/>
      <x:c r="AC750" s="3"/>
      <x:c r="AD750" s="3"/>
      <x:c r="AE750" s="3"/>
      <x:c r="AF750" s="3"/>
      <x:c r="AG750" s="3"/>
      <x:c r="AH750" s="3"/>
      <x:c r="AI750" s="3"/>
      <x:c r="AJ750" s="3"/>
      <x:c r="AK750" s="3"/>
      <x:c r="AL750" s="3"/>
      <x:c r="AM750" s="3"/>
      <x:c r="AN750" s="3"/>
      <x:c r="AO750" s="3"/>
      <x:c r="AP750" s="3"/>
      <x:c r="AQ750" s="3"/>
      <x:c r="AR750" s="3"/>
      <x:c r="AS750" s="3"/>
      <x:c r="AT750" s="3"/>
      <x:c r="AU750" s="3"/>
      <x:c r="AV750" s="3"/>
      <x:c r="AW750" s="3"/>
      <x:c r="AX750" s="3"/>
      <x:c r="AY750" s="3"/>
      <x:c r="AZ750" s="3" t="str">
        <x:f>IF(AND('中古車掲載'!C751="One2car",'中古車掲載'!F751="ATTO 3",'中古車掲載'!L751="EXTENDED RANGE",'中古車掲載'!J751=2023,ISNUMBER('中古車掲載'!N751),'中古車掲載'!N751&gt;=20000,'中古車掲載'!O751&lt;=100000,'中古車掲載'!AL751=1),'中古車掲載'!U751,"")</x:f>
      </x:c>
      <x:c r="BA750" s="3" t="str">
        <x:f>IF(AND('中古車掲載'!C751="One2car",'中古車掲載'!F751="Corolla Cross",'中古車掲載'!L751="HEV PREMIUM SAFETY",'中古車掲載'!J751=2023,ISNUMBER('中古車掲載'!N751),'中古車掲載'!N751&gt;=20000,'中古車掲載'!O751&lt;=100000,'中古車掲載'!AL751=1,'中古車掲載'!Z751="https://www.one2car.com/en/cars-for-sale/toyota/corolla-cross/year-2023"),'中古車掲載'!U751,"")</x:f>
      </x:c>
      <x:c r="BB750" s="3" t="str">
        <x:f>IF(AND('中古車掲載'!C751="One2car",'中古車掲載'!F751="ATTO 3",'中古車掲載'!L751="EXTENDED RANGE",'中古車掲載'!J751=2023,ISNUMBER('中古車掲載'!N751),'中古車掲載'!N751&gt;=50000,'中古車掲載'!O751&lt;=100000,'中古車掲載'!AL751=1),'中古車掲載'!U751,"")</x:f>
      </x:c>
      <x:c r="BC750" s="3" t="str">
        <x:f>IF(AND('中古車掲載'!C751="One2car",'中古車掲載'!F751="Corolla Cross",'中古車掲載'!L751="HEV PREMIUM SAFETY",'中古車掲載'!J751=2023,ISNUMBER('中古車掲載'!N751),'中古車掲載'!N751&gt;=50000,'中古車掲載'!O751&lt;=100000,'中古車掲載'!AL751=1,'中古車掲載'!Z751="https://www.one2car.com/en/cars-for-sale/toyota/corolla-cross/year-2023"),'中古車掲載'!U751,"")</x:f>
      </x:c>
      <x:c r="BD750" s="3" t="str">
        <x:f>IF(AND('中古車掲載'!C751="One2car",'中古車掲載'!F751="ATTO 3",'中古車掲載'!L751="EXTENDED RANGE",'中古車掲載'!J751=2023,ISNUMBER('中古車掲載'!N751),'中古車掲載'!N751&gt;=20000,'中古車掲載'!O751&lt;=50000,'中古車掲載'!AL751=1),'中古車掲載'!U751,"")</x:f>
      </x:c>
      <x:c r="BE750" s="3" t="str">
        <x:f>IF(AND('中古車掲載'!C751="One2car",'中古車掲載'!F751="Corolla Cross",'中古車掲載'!L751="HEV PREMIUM SAFETY",'中古車掲載'!J751=2023,ISNUMBER('中古車掲載'!N751),'中古車掲載'!N751&gt;=20000,'中古車掲載'!O751&lt;=50000,'中古車掲載'!AL751=1,'中古車掲載'!Z751="https://www.one2car.com/en/cars-for-sale/toyota/corolla-cross/year-2023"),'中古車掲載'!U751,"")</x:f>
      </x:c>
      <x:c r="BF750" s="3" t="str">
        <x:f>IF(AND('中古車掲載'!C751="One2car",'中古車掲載'!F751="Corolla Cross",'中古車掲載'!L751="HEV PREMIUM",'中古車掲載'!J751=2023,ISNUMBER('中古車掲載'!N751),'中古車掲載'!N751&gt;=20000,'中古車掲載'!O751&lt;=100000,'中古車掲載'!AL751=1,'中古車掲載'!Z751="https://www.one2car.com/en/cars-for-sale/toyota/corolla-cross/year-2023"),'中古車掲載'!U751,"")</x:f>
      </x:c>
      <x:c r="BG750" s="3" t="str">
        <x:f>IF(AND('中古車掲載'!C751="One2car",'中古車掲載'!F751="Corolla Cross",'中古車掲載'!L751="HEV GR SPORT",'中古車掲載'!J751=2023,ISNUMBER('中古車掲載'!N751),'中古車掲載'!N751&gt;=20000,'中古車掲載'!O751&lt;=100000,'中古車掲載'!AL751=1,'中古車掲載'!Z751="https://www.one2car.com/en/cars-for-sale/toyota/corolla-cross/year-2023"),'中古車掲載'!U751,"")</x:f>
      </x:c>
      <x:c r="BH750" s="3" t="str">
        <x:f>IF(AND('中古車掲載'!C751="One2car",'中古車掲載'!F751="DOLPHIN",'中古車掲載'!L751="STANDARD RANGE",'中古車掲載'!J751=2023,ISNUMBER('中古車掲載'!N751),'中古車掲載'!N751&gt;=20000,'中古車掲載'!O751&lt;=100000,'中古車掲載'!AL751=1),'中古車掲載'!U751,"")</x:f>
      </x:c>
      <x:c r="BI750" s="3" t="str">
        <x:v>Taladrod|Hilux Revo|ICE|Unknown</x:v>
      </x:c>
      <x:c r="BJ750" s="3" t="n">
        <x:v>751</x:v>
      </x:c>
      <x:c r="BK750" s="3" t="n">
        <x:f>'中古車掲載'!AM751</x:f>
        <x:v>449000</x:v>
      </x:c>
      <x:c r="BL750" s="3" t="str">
        <x:f>IF(ISNUMBER('中古車掲載'!AN751),'中古車掲載'!AN751,"")</x:f>
      </x:c>
      <x:c r="BM750" s="3"/>
      <x:c r="BN750" s="3"/>
      <x:c r="BO750" s="3"/>
      <x:c r="BP750" s="3"/>
      <x:c r="BQ750" s="3"/>
      <x:c r="BR750" s="3"/>
    </x:row>
    <x:row r="751" ht="22" customHeight="1">
      <x:c r="A751" s="3"/>
      <x:c r="B751" s="3"/>
      <x:c r="C751" s="3"/>
      <x:c r="D751" s="3"/>
      <x:c r="E751" s="3"/>
      <x:c r="F751" s="3"/>
      <x:c r="G751" s="3"/>
      <x:c r="H751" s="3"/>
      <x:c r="I751" s="3"/>
      <x:c r="J751" s="3"/>
      <x:c r="K751" s="3"/>
      <x:c r="L751" s="3"/>
      <x:c r="M751" s="3"/>
      <x:c r="N751" s="3"/>
      <x:c r="O751" s="3"/>
      <x:c r="P751" s="3"/>
      <x:c r="Q751" s="3"/>
      <x:c r="R751" s="3"/>
      <x:c r="S751" s="3"/>
      <x:c r="T751" s="3"/>
      <x:c r="U751" s="3"/>
      <x:c r="V751" s="3"/>
      <x:c r="W751" s="3"/>
      <x:c r="X751" s="3"/>
      <x:c r="Y751" s="3"/>
      <x:c r="Z751" s="3"/>
      <x:c r="AA751" s="3"/>
      <x:c r="AB751" s="3"/>
      <x:c r="AC751" s="3"/>
      <x:c r="AD751" s="3"/>
      <x:c r="AE751" s="3"/>
      <x:c r="AF751" s="3"/>
      <x:c r="AG751" s="3"/>
      <x:c r="AH751" s="3"/>
      <x:c r="AI751" s="3"/>
      <x:c r="AJ751" s="3"/>
      <x:c r="AK751" s="3"/>
      <x:c r="AL751" s="3"/>
      <x:c r="AM751" s="3"/>
      <x:c r="AN751" s="3"/>
      <x:c r="AO751" s="3"/>
      <x:c r="AP751" s="3"/>
      <x:c r="AQ751" s="3"/>
      <x:c r="AR751" s="3"/>
      <x:c r="AS751" s="3"/>
      <x:c r="AT751" s="3"/>
      <x:c r="AU751" s="3"/>
      <x:c r="AV751" s="3"/>
      <x:c r="AW751" s="3"/>
      <x:c r="AX751" s="3"/>
      <x:c r="AY751" s="3"/>
      <x:c r="AZ751" s="3" t="str">
        <x:f>IF(AND('中古車掲載'!C752="One2car",'中古車掲載'!F752="ATTO 3",'中古車掲載'!L752="EXTENDED RANGE",'中古車掲載'!J752=2023,ISNUMBER('中古車掲載'!N752),'中古車掲載'!N752&gt;=20000,'中古車掲載'!O752&lt;=100000,'中古車掲載'!AL752=1),'中古車掲載'!U752,"")</x:f>
      </x:c>
      <x:c r="BA751" s="3" t="str">
        <x:f>IF(AND('中古車掲載'!C752="One2car",'中古車掲載'!F752="Corolla Cross",'中古車掲載'!L752="HEV PREMIUM SAFETY",'中古車掲載'!J752=2023,ISNUMBER('中古車掲載'!N752),'中古車掲載'!N752&gt;=20000,'中古車掲載'!O752&lt;=100000,'中古車掲載'!AL752=1,'中古車掲載'!Z752="https://www.one2car.com/en/cars-for-sale/toyota/corolla-cross/year-2023"),'中古車掲載'!U752,"")</x:f>
      </x:c>
      <x:c r="BB751" s="3" t="str">
        <x:f>IF(AND('中古車掲載'!C752="One2car",'中古車掲載'!F752="ATTO 3",'中古車掲載'!L752="EXTENDED RANGE",'中古車掲載'!J752=2023,ISNUMBER('中古車掲載'!N752),'中古車掲載'!N752&gt;=50000,'中古車掲載'!O752&lt;=100000,'中古車掲載'!AL752=1),'中古車掲載'!U752,"")</x:f>
      </x:c>
      <x:c r="BC751" s="3" t="str">
        <x:f>IF(AND('中古車掲載'!C752="One2car",'中古車掲載'!F752="Corolla Cross",'中古車掲載'!L752="HEV PREMIUM SAFETY",'中古車掲載'!J752=2023,ISNUMBER('中古車掲載'!N752),'中古車掲載'!N752&gt;=50000,'中古車掲載'!O752&lt;=100000,'中古車掲載'!AL752=1,'中古車掲載'!Z752="https://www.one2car.com/en/cars-for-sale/toyota/corolla-cross/year-2023"),'中古車掲載'!U752,"")</x:f>
      </x:c>
      <x:c r="BD751" s="3" t="str">
        <x:f>IF(AND('中古車掲載'!C752="One2car",'中古車掲載'!F752="ATTO 3",'中古車掲載'!L752="EXTENDED RANGE",'中古車掲載'!J752=2023,ISNUMBER('中古車掲載'!N752),'中古車掲載'!N752&gt;=20000,'中古車掲載'!O752&lt;=50000,'中古車掲載'!AL752=1),'中古車掲載'!U752,"")</x:f>
      </x:c>
      <x:c r="BE751" s="3" t="str">
        <x:f>IF(AND('中古車掲載'!C752="One2car",'中古車掲載'!F752="Corolla Cross",'中古車掲載'!L752="HEV PREMIUM SAFETY",'中古車掲載'!J752=2023,ISNUMBER('中古車掲載'!N752),'中古車掲載'!N752&gt;=20000,'中古車掲載'!O752&lt;=50000,'中古車掲載'!AL752=1,'中古車掲載'!Z752="https://www.one2car.com/en/cars-for-sale/toyota/corolla-cross/year-2023"),'中古車掲載'!U752,"")</x:f>
      </x:c>
      <x:c r="BF751" s="3" t="str">
        <x:f>IF(AND('中古車掲載'!C752="One2car",'中古車掲載'!F752="Corolla Cross",'中古車掲載'!L752="HEV PREMIUM",'中古車掲載'!J752=2023,ISNUMBER('中古車掲載'!N752),'中古車掲載'!N752&gt;=20000,'中古車掲載'!O752&lt;=100000,'中古車掲載'!AL752=1,'中古車掲載'!Z752="https://www.one2car.com/en/cars-for-sale/toyota/corolla-cross/year-2023"),'中古車掲載'!U752,"")</x:f>
      </x:c>
      <x:c r="BG751" s="3" t="str">
        <x:f>IF(AND('中古車掲載'!C752="One2car",'中古車掲載'!F752="Corolla Cross",'中古車掲載'!L752="HEV GR SPORT",'中古車掲載'!J752=2023,ISNUMBER('中古車掲載'!N752),'中古車掲載'!N752&gt;=20000,'中古車掲載'!O752&lt;=100000,'中古車掲載'!AL752=1,'中古車掲載'!Z752="https://www.one2car.com/en/cars-for-sale/toyota/corolla-cross/year-2023"),'中古車掲載'!U752,"")</x:f>
      </x:c>
      <x:c r="BH751" s="3" t="str">
        <x:f>IF(AND('中古車掲載'!C752="One2car",'中古車掲載'!F752="DOLPHIN",'中古車掲載'!L752="STANDARD RANGE",'中古車掲載'!J752=2023,ISNUMBER('中古車掲載'!N752),'中古車掲載'!N752&gt;=20000,'中古車掲載'!O752&lt;=100000,'中古車掲載'!AL752=1),'中古車掲載'!U752,"")</x:f>
      </x:c>
      <x:c r="BI751" s="3" t="str">
        <x:v>Taladrod|Hilux Revo|ICE|Unknown</x:v>
      </x:c>
      <x:c r="BJ751" s="3" t="n">
        <x:v>752</x:v>
      </x:c>
      <x:c r="BK751" s="3" t="n">
        <x:f>'中古車掲載'!AM752</x:f>
        <x:v>485000</x:v>
      </x:c>
      <x:c r="BL751" s="3" t="str">
        <x:f>IF(ISNUMBER('中古車掲載'!AN752),'中古車掲載'!AN752,"")</x:f>
      </x:c>
      <x:c r="BM751" s="3"/>
      <x:c r="BN751" s="3"/>
      <x:c r="BO751" s="3"/>
      <x:c r="BP751" s="3"/>
      <x:c r="BQ751" s="3"/>
      <x:c r="BR751" s="3"/>
    </x:row>
    <x:row r="752" ht="22" customHeight="1">
      <x:c r="A752" s="3"/>
      <x:c r="B752" s="3"/>
      <x:c r="C752" s="3"/>
      <x:c r="D752" s="3"/>
      <x:c r="E752" s="3"/>
      <x:c r="F752" s="3"/>
      <x:c r="G752" s="3"/>
      <x:c r="H752" s="3"/>
      <x:c r="I752" s="3"/>
      <x:c r="J752" s="3"/>
      <x:c r="K752" s="3"/>
      <x:c r="L752" s="3"/>
      <x:c r="M752" s="3"/>
      <x:c r="N752" s="3"/>
      <x:c r="O752" s="3"/>
      <x:c r="P752" s="3"/>
      <x:c r="Q752" s="3"/>
      <x:c r="R752" s="3"/>
      <x:c r="S752" s="3"/>
      <x:c r="T752" s="3"/>
      <x:c r="U752" s="3"/>
      <x:c r="V752" s="3"/>
      <x:c r="W752" s="3"/>
      <x:c r="X752" s="3"/>
      <x:c r="Y752" s="3"/>
      <x:c r="Z752" s="3"/>
      <x:c r="AA752" s="3"/>
      <x:c r="AB752" s="3"/>
      <x:c r="AC752" s="3"/>
      <x:c r="AD752" s="3"/>
      <x:c r="AE752" s="3"/>
      <x:c r="AF752" s="3"/>
      <x:c r="AG752" s="3"/>
      <x:c r="AH752" s="3"/>
      <x:c r="AI752" s="3"/>
      <x:c r="AJ752" s="3"/>
      <x:c r="AK752" s="3"/>
      <x:c r="AL752" s="3"/>
      <x:c r="AM752" s="3"/>
      <x:c r="AN752" s="3"/>
      <x:c r="AO752" s="3"/>
      <x:c r="AP752" s="3"/>
      <x:c r="AQ752" s="3"/>
      <x:c r="AR752" s="3"/>
      <x:c r="AS752" s="3"/>
      <x:c r="AT752" s="3"/>
      <x:c r="AU752" s="3"/>
      <x:c r="AV752" s="3"/>
      <x:c r="AW752" s="3"/>
      <x:c r="AX752" s="3"/>
      <x:c r="AY752" s="3"/>
      <x:c r="AZ752" s="3" t="str">
        <x:f>IF(AND('中古車掲載'!C753="One2car",'中古車掲載'!F753="ATTO 3",'中古車掲載'!L753="EXTENDED RANGE",'中古車掲載'!J753=2023,ISNUMBER('中古車掲載'!N753),'中古車掲載'!N753&gt;=20000,'中古車掲載'!O753&lt;=100000,'中古車掲載'!AL753=1),'中古車掲載'!U753,"")</x:f>
      </x:c>
      <x:c r="BA752" s="3" t="str">
        <x:f>IF(AND('中古車掲載'!C753="One2car",'中古車掲載'!F753="Corolla Cross",'中古車掲載'!L753="HEV PREMIUM SAFETY",'中古車掲載'!J753=2023,ISNUMBER('中古車掲載'!N753),'中古車掲載'!N753&gt;=20000,'中古車掲載'!O753&lt;=100000,'中古車掲載'!AL753=1,'中古車掲載'!Z753="https://www.one2car.com/en/cars-for-sale/toyota/corolla-cross/year-2023"),'中古車掲載'!U753,"")</x:f>
      </x:c>
      <x:c r="BB752" s="3" t="str">
        <x:f>IF(AND('中古車掲載'!C753="One2car",'中古車掲載'!F753="ATTO 3",'中古車掲載'!L753="EXTENDED RANGE",'中古車掲載'!J753=2023,ISNUMBER('中古車掲載'!N753),'中古車掲載'!N753&gt;=50000,'中古車掲載'!O753&lt;=100000,'中古車掲載'!AL753=1),'中古車掲載'!U753,"")</x:f>
      </x:c>
      <x:c r="BC752" s="3" t="str">
        <x:f>IF(AND('中古車掲載'!C753="One2car",'中古車掲載'!F753="Corolla Cross",'中古車掲載'!L753="HEV PREMIUM SAFETY",'中古車掲載'!J753=2023,ISNUMBER('中古車掲載'!N753),'中古車掲載'!N753&gt;=50000,'中古車掲載'!O753&lt;=100000,'中古車掲載'!AL753=1,'中古車掲載'!Z753="https://www.one2car.com/en/cars-for-sale/toyota/corolla-cross/year-2023"),'中古車掲載'!U753,"")</x:f>
      </x:c>
      <x:c r="BD752" s="3" t="str">
        <x:f>IF(AND('中古車掲載'!C753="One2car",'中古車掲載'!F753="ATTO 3",'中古車掲載'!L753="EXTENDED RANGE",'中古車掲載'!J753=2023,ISNUMBER('中古車掲載'!N753),'中古車掲載'!N753&gt;=20000,'中古車掲載'!O753&lt;=50000,'中古車掲載'!AL753=1),'中古車掲載'!U753,"")</x:f>
      </x:c>
      <x:c r="BE752" s="3" t="str">
        <x:f>IF(AND('中古車掲載'!C753="One2car",'中古車掲載'!F753="Corolla Cross",'中古車掲載'!L753="HEV PREMIUM SAFETY",'中古車掲載'!J753=2023,ISNUMBER('中古車掲載'!N753),'中古車掲載'!N753&gt;=20000,'中古車掲載'!O753&lt;=50000,'中古車掲載'!AL753=1,'中古車掲載'!Z753="https://www.one2car.com/en/cars-for-sale/toyota/corolla-cross/year-2023"),'中古車掲載'!U753,"")</x:f>
      </x:c>
      <x:c r="BF752" s="3" t="str">
        <x:f>IF(AND('中古車掲載'!C753="One2car",'中古車掲載'!F753="Corolla Cross",'中古車掲載'!L753="HEV PREMIUM",'中古車掲載'!J753=2023,ISNUMBER('中古車掲載'!N753),'中古車掲載'!N753&gt;=20000,'中古車掲載'!O753&lt;=100000,'中古車掲載'!AL753=1,'中古車掲載'!Z753="https://www.one2car.com/en/cars-for-sale/toyota/corolla-cross/year-2023"),'中古車掲載'!U753,"")</x:f>
      </x:c>
      <x:c r="BG752" s="3" t="str">
        <x:f>IF(AND('中古車掲載'!C753="One2car",'中古車掲載'!F753="Corolla Cross",'中古車掲載'!L753="HEV GR SPORT",'中古車掲載'!J753=2023,ISNUMBER('中古車掲載'!N753),'中古車掲載'!N753&gt;=20000,'中古車掲載'!O753&lt;=100000,'中古車掲載'!AL753=1,'中古車掲載'!Z753="https://www.one2car.com/en/cars-for-sale/toyota/corolla-cross/year-2023"),'中古車掲載'!U753,"")</x:f>
      </x:c>
      <x:c r="BH752" s="3" t="str">
        <x:f>IF(AND('中古車掲載'!C753="One2car",'中古車掲載'!F753="DOLPHIN",'中古車掲載'!L753="STANDARD RANGE",'中古車掲載'!J753=2023,ISNUMBER('中古車掲載'!N753),'中古車掲載'!N753&gt;=20000,'中古車掲載'!O753&lt;=100000,'中古車掲載'!AL753=1),'中古車掲載'!U753,"")</x:f>
      </x:c>
      <x:c r="BI752" s="3" t="str">
        <x:v>Taladrod|Hilux Revo|ICE|Unknown</x:v>
      </x:c>
      <x:c r="BJ752" s="3" t="n">
        <x:v>753</x:v>
      </x:c>
      <x:c r="BK752" s="3" t="n">
        <x:f>'中古車掲載'!AM753</x:f>
        <x:v>489000</x:v>
      </x:c>
      <x:c r="BL752" s="3" t="str">
        <x:f>IF(ISNUMBER('中古車掲載'!AN753),'中古車掲載'!AN753,"")</x:f>
      </x:c>
      <x:c r="BM752" s="3"/>
      <x:c r="BN752" s="3"/>
      <x:c r="BO752" s="3"/>
      <x:c r="BP752" s="3"/>
      <x:c r="BQ752" s="3"/>
      <x:c r="BR752" s="3"/>
    </x:row>
    <x:row r="753" ht="22" customHeight="1">
      <x:c r="A753" s="3"/>
      <x:c r="B753" s="3"/>
      <x:c r="C753" s="3"/>
      <x:c r="D753" s="3"/>
      <x:c r="E753" s="3"/>
      <x:c r="F753" s="3"/>
      <x:c r="G753" s="3"/>
      <x:c r="H753" s="3"/>
      <x:c r="I753" s="3"/>
      <x:c r="J753" s="3"/>
      <x:c r="K753" s="3"/>
      <x:c r="L753" s="3"/>
      <x:c r="M753" s="3"/>
      <x:c r="N753" s="3"/>
      <x:c r="O753" s="3"/>
      <x:c r="P753" s="3"/>
      <x:c r="Q753" s="3"/>
      <x:c r="R753" s="3"/>
      <x:c r="S753" s="3"/>
      <x:c r="T753" s="3"/>
      <x:c r="U753" s="3"/>
      <x:c r="V753" s="3"/>
      <x:c r="W753" s="3"/>
      <x:c r="X753" s="3"/>
      <x:c r="Y753" s="3"/>
      <x:c r="Z753" s="3"/>
      <x:c r="AA753" s="3"/>
      <x:c r="AB753" s="3"/>
      <x:c r="AC753" s="3"/>
      <x:c r="AD753" s="3"/>
      <x:c r="AE753" s="3"/>
      <x:c r="AF753" s="3"/>
      <x:c r="AG753" s="3"/>
      <x:c r="AH753" s="3"/>
      <x:c r="AI753" s="3"/>
      <x:c r="AJ753" s="3"/>
      <x:c r="AK753" s="3"/>
      <x:c r="AL753" s="3"/>
      <x:c r="AM753" s="3"/>
      <x:c r="AN753" s="3"/>
      <x:c r="AO753" s="3"/>
      <x:c r="AP753" s="3"/>
      <x:c r="AQ753" s="3"/>
      <x:c r="AR753" s="3"/>
      <x:c r="AS753" s="3"/>
      <x:c r="AT753" s="3"/>
      <x:c r="AU753" s="3"/>
      <x:c r="AV753" s="3"/>
      <x:c r="AW753" s="3"/>
      <x:c r="AX753" s="3"/>
      <x:c r="AY753" s="3"/>
      <x:c r="AZ753" s="3" t="str">
        <x:f>IF(AND('中古車掲載'!C754="One2car",'中古車掲載'!F754="ATTO 3",'中古車掲載'!L754="EXTENDED RANGE",'中古車掲載'!J754=2023,ISNUMBER('中古車掲載'!N754),'中古車掲載'!N754&gt;=20000,'中古車掲載'!O754&lt;=100000,'中古車掲載'!AL754=1),'中古車掲載'!U754,"")</x:f>
      </x:c>
      <x:c r="BA753" s="3" t="str">
        <x:f>IF(AND('中古車掲載'!C754="One2car",'中古車掲載'!F754="Corolla Cross",'中古車掲載'!L754="HEV PREMIUM SAFETY",'中古車掲載'!J754=2023,ISNUMBER('中古車掲載'!N754),'中古車掲載'!N754&gt;=20000,'中古車掲載'!O754&lt;=100000,'中古車掲載'!AL754=1,'中古車掲載'!Z754="https://www.one2car.com/en/cars-for-sale/toyota/corolla-cross/year-2023"),'中古車掲載'!U754,"")</x:f>
      </x:c>
      <x:c r="BB753" s="3" t="str">
        <x:f>IF(AND('中古車掲載'!C754="One2car",'中古車掲載'!F754="ATTO 3",'中古車掲載'!L754="EXTENDED RANGE",'中古車掲載'!J754=2023,ISNUMBER('中古車掲載'!N754),'中古車掲載'!N754&gt;=50000,'中古車掲載'!O754&lt;=100000,'中古車掲載'!AL754=1),'中古車掲載'!U754,"")</x:f>
      </x:c>
      <x:c r="BC753" s="3" t="str">
        <x:f>IF(AND('中古車掲載'!C754="One2car",'中古車掲載'!F754="Corolla Cross",'中古車掲載'!L754="HEV PREMIUM SAFETY",'中古車掲載'!J754=2023,ISNUMBER('中古車掲載'!N754),'中古車掲載'!N754&gt;=50000,'中古車掲載'!O754&lt;=100000,'中古車掲載'!AL754=1,'中古車掲載'!Z754="https://www.one2car.com/en/cars-for-sale/toyota/corolla-cross/year-2023"),'中古車掲載'!U754,"")</x:f>
      </x:c>
      <x:c r="BD753" s="3" t="str">
        <x:f>IF(AND('中古車掲載'!C754="One2car",'中古車掲載'!F754="ATTO 3",'中古車掲載'!L754="EXTENDED RANGE",'中古車掲載'!J754=2023,ISNUMBER('中古車掲載'!N754),'中古車掲載'!N754&gt;=20000,'中古車掲載'!O754&lt;=50000,'中古車掲載'!AL754=1),'中古車掲載'!U754,"")</x:f>
      </x:c>
      <x:c r="BE753" s="3" t="str">
        <x:f>IF(AND('中古車掲載'!C754="One2car",'中古車掲載'!F754="Corolla Cross",'中古車掲載'!L754="HEV PREMIUM SAFETY",'中古車掲載'!J754=2023,ISNUMBER('中古車掲載'!N754),'中古車掲載'!N754&gt;=20000,'中古車掲載'!O754&lt;=50000,'中古車掲載'!AL754=1,'中古車掲載'!Z754="https://www.one2car.com/en/cars-for-sale/toyota/corolla-cross/year-2023"),'中古車掲載'!U754,"")</x:f>
      </x:c>
      <x:c r="BF753" s="3" t="str">
        <x:f>IF(AND('中古車掲載'!C754="One2car",'中古車掲載'!F754="Corolla Cross",'中古車掲載'!L754="HEV PREMIUM",'中古車掲載'!J754=2023,ISNUMBER('中古車掲載'!N754),'中古車掲載'!N754&gt;=20000,'中古車掲載'!O754&lt;=100000,'中古車掲載'!AL754=1,'中古車掲載'!Z754="https://www.one2car.com/en/cars-for-sale/toyota/corolla-cross/year-2023"),'中古車掲載'!U754,"")</x:f>
      </x:c>
      <x:c r="BG753" s="3" t="str">
        <x:f>IF(AND('中古車掲載'!C754="One2car",'中古車掲載'!F754="Corolla Cross",'中古車掲載'!L754="HEV GR SPORT",'中古車掲載'!J754=2023,ISNUMBER('中古車掲載'!N754),'中古車掲載'!N754&gt;=20000,'中古車掲載'!O754&lt;=100000,'中古車掲載'!AL754=1,'中古車掲載'!Z754="https://www.one2car.com/en/cars-for-sale/toyota/corolla-cross/year-2023"),'中古車掲載'!U754,"")</x:f>
      </x:c>
      <x:c r="BH753" s="3" t="str">
        <x:f>IF(AND('中古車掲載'!C754="One2car",'中古車掲載'!F754="DOLPHIN",'中古車掲載'!L754="STANDARD RANGE",'中古車掲載'!J754=2023,ISNUMBER('中古車掲載'!N754),'中古車掲載'!N754&gt;=20000,'中古車掲載'!O754&lt;=100000,'中古車掲載'!AL754=1),'中古車掲載'!U754,"")</x:f>
      </x:c>
      <x:c r="BI753" s="3" t="str">
        <x:v>Taladrod|Hilux Revo|ICE|Unknown</x:v>
      </x:c>
      <x:c r="BJ753" s="3" t="n">
        <x:v>754</x:v>
      </x:c>
      <x:c r="BK753" s="3" t="n">
        <x:f>'中古車掲載'!AM754</x:f>
        <x:v>469000</x:v>
      </x:c>
      <x:c r="BL753" s="3" t="str">
        <x:f>IF(ISNUMBER('中古車掲載'!AN754),'中古車掲載'!AN754,"")</x:f>
      </x:c>
      <x:c r="BM753" s="3"/>
      <x:c r="BN753" s="3"/>
      <x:c r="BO753" s="3"/>
      <x:c r="BP753" s="3"/>
      <x:c r="BQ753" s="3"/>
      <x:c r="BR753" s="3"/>
    </x:row>
    <x:row r="754" ht="22" customHeight="1">
      <x:c r="A754" s="3"/>
      <x:c r="B754" s="3"/>
      <x:c r="C754" s="3"/>
      <x:c r="D754" s="3"/>
      <x:c r="E754" s="3"/>
      <x:c r="F754" s="3"/>
      <x:c r="G754" s="3"/>
      <x:c r="H754" s="3"/>
      <x:c r="I754" s="3"/>
      <x:c r="J754" s="3"/>
      <x:c r="K754" s="3"/>
      <x:c r="L754" s="3"/>
      <x:c r="M754" s="3"/>
      <x:c r="N754" s="3"/>
      <x:c r="O754" s="3"/>
      <x:c r="P754" s="3"/>
      <x:c r="Q754" s="3"/>
      <x:c r="R754" s="3"/>
      <x:c r="S754" s="3"/>
      <x:c r="T754" s="3"/>
      <x:c r="U754" s="3"/>
      <x:c r="V754" s="3"/>
      <x:c r="W754" s="3"/>
      <x:c r="X754" s="3"/>
      <x:c r="Y754" s="3"/>
      <x:c r="Z754" s="3"/>
      <x:c r="AA754" s="3"/>
      <x:c r="AB754" s="3"/>
      <x:c r="AC754" s="3"/>
      <x:c r="AD754" s="3"/>
      <x:c r="AE754" s="3"/>
      <x:c r="AF754" s="3"/>
      <x:c r="AG754" s="3"/>
      <x:c r="AH754" s="3"/>
      <x:c r="AI754" s="3"/>
      <x:c r="AJ754" s="3"/>
      <x:c r="AK754" s="3"/>
      <x:c r="AL754" s="3"/>
      <x:c r="AM754" s="3"/>
      <x:c r="AN754" s="3"/>
      <x:c r="AO754" s="3"/>
      <x:c r="AP754" s="3"/>
      <x:c r="AQ754" s="3"/>
      <x:c r="AR754" s="3"/>
      <x:c r="AS754" s="3"/>
      <x:c r="AT754" s="3"/>
      <x:c r="AU754" s="3"/>
      <x:c r="AV754" s="3"/>
      <x:c r="AW754" s="3"/>
      <x:c r="AX754" s="3"/>
      <x:c r="AY754" s="3"/>
      <x:c r="AZ754" s="3" t="str">
        <x:f>IF(AND('中古車掲載'!C755="One2car",'中古車掲載'!F755="ATTO 3",'中古車掲載'!L755="EXTENDED RANGE",'中古車掲載'!J755=2023,ISNUMBER('中古車掲載'!N755),'中古車掲載'!N755&gt;=20000,'中古車掲載'!O755&lt;=100000,'中古車掲載'!AL755=1),'中古車掲載'!U755,"")</x:f>
      </x:c>
      <x:c r="BA754" s="3" t="str">
        <x:f>IF(AND('中古車掲載'!C755="One2car",'中古車掲載'!F755="Corolla Cross",'中古車掲載'!L755="HEV PREMIUM SAFETY",'中古車掲載'!J755=2023,ISNUMBER('中古車掲載'!N755),'中古車掲載'!N755&gt;=20000,'中古車掲載'!O755&lt;=100000,'中古車掲載'!AL755=1,'中古車掲載'!Z755="https://www.one2car.com/en/cars-for-sale/toyota/corolla-cross/year-2023"),'中古車掲載'!U755,"")</x:f>
      </x:c>
      <x:c r="BB754" s="3" t="str">
        <x:f>IF(AND('中古車掲載'!C755="One2car",'中古車掲載'!F755="ATTO 3",'中古車掲載'!L755="EXTENDED RANGE",'中古車掲載'!J755=2023,ISNUMBER('中古車掲載'!N755),'中古車掲載'!N755&gt;=50000,'中古車掲載'!O755&lt;=100000,'中古車掲載'!AL755=1),'中古車掲載'!U755,"")</x:f>
      </x:c>
      <x:c r="BC754" s="3" t="str">
        <x:f>IF(AND('中古車掲載'!C755="One2car",'中古車掲載'!F755="Corolla Cross",'中古車掲載'!L755="HEV PREMIUM SAFETY",'中古車掲載'!J755=2023,ISNUMBER('中古車掲載'!N755),'中古車掲載'!N755&gt;=50000,'中古車掲載'!O755&lt;=100000,'中古車掲載'!AL755=1,'中古車掲載'!Z755="https://www.one2car.com/en/cars-for-sale/toyota/corolla-cross/year-2023"),'中古車掲載'!U755,"")</x:f>
      </x:c>
      <x:c r="BD754" s="3" t="str">
        <x:f>IF(AND('中古車掲載'!C755="One2car",'中古車掲載'!F755="ATTO 3",'中古車掲載'!L755="EXTENDED RANGE",'中古車掲載'!J755=2023,ISNUMBER('中古車掲載'!N755),'中古車掲載'!N755&gt;=20000,'中古車掲載'!O755&lt;=50000,'中古車掲載'!AL755=1),'中古車掲載'!U755,"")</x:f>
      </x:c>
      <x:c r="BE754" s="3" t="str">
        <x:f>IF(AND('中古車掲載'!C755="One2car",'中古車掲載'!F755="Corolla Cross",'中古車掲載'!L755="HEV PREMIUM SAFETY",'中古車掲載'!J755=2023,ISNUMBER('中古車掲載'!N755),'中古車掲載'!N755&gt;=20000,'中古車掲載'!O755&lt;=50000,'中古車掲載'!AL755=1,'中古車掲載'!Z755="https://www.one2car.com/en/cars-for-sale/toyota/corolla-cross/year-2023"),'中古車掲載'!U755,"")</x:f>
      </x:c>
      <x:c r="BF754" s="3" t="str">
        <x:f>IF(AND('中古車掲載'!C755="One2car",'中古車掲載'!F755="Corolla Cross",'中古車掲載'!L755="HEV PREMIUM",'中古車掲載'!J755=2023,ISNUMBER('中古車掲載'!N755),'中古車掲載'!N755&gt;=20000,'中古車掲載'!O755&lt;=100000,'中古車掲載'!AL755=1,'中古車掲載'!Z755="https://www.one2car.com/en/cars-for-sale/toyota/corolla-cross/year-2023"),'中古車掲載'!U755,"")</x:f>
      </x:c>
      <x:c r="BG754" s="3" t="str">
        <x:f>IF(AND('中古車掲載'!C755="One2car",'中古車掲載'!F755="Corolla Cross",'中古車掲載'!L755="HEV GR SPORT",'中古車掲載'!J755=2023,ISNUMBER('中古車掲載'!N755),'中古車掲載'!N755&gt;=20000,'中古車掲載'!O755&lt;=100000,'中古車掲載'!AL755=1,'中古車掲載'!Z755="https://www.one2car.com/en/cars-for-sale/toyota/corolla-cross/year-2023"),'中古車掲載'!U755,"")</x:f>
      </x:c>
      <x:c r="BH754" s="3" t="str">
        <x:f>IF(AND('中古車掲載'!C755="One2car",'中古車掲載'!F755="DOLPHIN",'中古車掲載'!L755="STANDARD RANGE",'中古車掲載'!J755=2023,ISNUMBER('中古車掲載'!N755),'中古車掲載'!N755&gt;=20000,'中古車掲載'!O755&lt;=100000,'中古車掲載'!AL755=1),'中古車掲載'!U755,"")</x:f>
      </x:c>
      <x:c r="BI754" s="3" t="str">
        <x:v>Taladrod|Hilux Revo|ICE|Unknown</x:v>
      </x:c>
      <x:c r="BJ754" s="3" t="n">
        <x:v>755</x:v>
      </x:c>
      <x:c r="BK754" s="3" t="n">
        <x:f>'中古車掲載'!AM755</x:f>
        <x:v>379000</x:v>
      </x:c>
      <x:c r="BL754" s="3" t="str">
        <x:f>IF(ISNUMBER('中古車掲載'!AN755),'中古車掲載'!AN755,"")</x:f>
      </x:c>
      <x:c r="BM754" s="3"/>
      <x:c r="BN754" s="3"/>
      <x:c r="BO754" s="3"/>
      <x:c r="BP754" s="3"/>
      <x:c r="BQ754" s="3"/>
      <x:c r="BR754" s="3"/>
    </x:row>
    <x:row r="755" ht="22" customHeight="1">
      <x:c r="A755" s="3"/>
      <x:c r="B755" s="3"/>
      <x:c r="C755" s="3"/>
      <x:c r="D755" s="3"/>
      <x:c r="E755" s="3"/>
      <x:c r="F755" s="3"/>
      <x:c r="G755" s="3"/>
      <x:c r="H755" s="3"/>
      <x:c r="I755" s="3"/>
      <x:c r="J755" s="3"/>
      <x:c r="K755" s="3"/>
      <x:c r="L755" s="3"/>
      <x:c r="M755" s="3"/>
      <x:c r="N755" s="3"/>
      <x:c r="O755" s="3"/>
      <x:c r="P755" s="3"/>
      <x:c r="Q755" s="3"/>
      <x:c r="R755" s="3"/>
      <x:c r="S755" s="3"/>
      <x:c r="T755" s="3"/>
      <x:c r="U755" s="3"/>
      <x:c r="V755" s="3"/>
      <x:c r="W755" s="3"/>
      <x:c r="X755" s="3"/>
      <x:c r="Y755" s="3"/>
      <x:c r="Z755" s="3"/>
      <x:c r="AA755" s="3"/>
      <x:c r="AB755" s="3"/>
      <x:c r="AC755" s="3"/>
      <x:c r="AD755" s="3"/>
      <x:c r="AE755" s="3"/>
      <x:c r="AF755" s="3"/>
      <x:c r="AG755" s="3"/>
      <x:c r="AH755" s="3"/>
      <x:c r="AI755" s="3"/>
      <x:c r="AJ755" s="3"/>
      <x:c r="AK755" s="3"/>
      <x:c r="AL755" s="3"/>
      <x:c r="AM755" s="3"/>
      <x:c r="AN755" s="3"/>
      <x:c r="AO755" s="3"/>
      <x:c r="AP755" s="3"/>
      <x:c r="AQ755" s="3"/>
      <x:c r="AR755" s="3"/>
      <x:c r="AS755" s="3"/>
      <x:c r="AT755" s="3"/>
      <x:c r="AU755" s="3"/>
      <x:c r="AV755" s="3"/>
      <x:c r="AW755" s="3"/>
      <x:c r="AX755" s="3"/>
      <x:c r="AY755" s="3"/>
      <x:c r="AZ755" s="3" t="str">
        <x:f>IF(AND('中古車掲載'!C756="One2car",'中古車掲載'!F756="ATTO 3",'中古車掲載'!L756="EXTENDED RANGE",'中古車掲載'!J756=2023,ISNUMBER('中古車掲載'!N756),'中古車掲載'!N756&gt;=20000,'中古車掲載'!O756&lt;=100000,'中古車掲載'!AL756=1),'中古車掲載'!U756,"")</x:f>
      </x:c>
      <x:c r="BA755" s="3" t="str">
        <x:f>IF(AND('中古車掲載'!C756="One2car",'中古車掲載'!F756="Corolla Cross",'中古車掲載'!L756="HEV PREMIUM SAFETY",'中古車掲載'!J756=2023,ISNUMBER('中古車掲載'!N756),'中古車掲載'!N756&gt;=20000,'中古車掲載'!O756&lt;=100000,'中古車掲載'!AL756=1,'中古車掲載'!Z756="https://www.one2car.com/en/cars-for-sale/toyota/corolla-cross/year-2023"),'中古車掲載'!U756,"")</x:f>
      </x:c>
      <x:c r="BB755" s="3" t="str">
        <x:f>IF(AND('中古車掲載'!C756="One2car",'中古車掲載'!F756="ATTO 3",'中古車掲載'!L756="EXTENDED RANGE",'中古車掲載'!J756=2023,ISNUMBER('中古車掲載'!N756),'中古車掲載'!N756&gt;=50000,'中古車掲載'!O756&lt;=100000,'中古車掲載'!AL756=1),'中古車掲載'!U756,"")</x:f>
      </x:c>
      <x:c r="BC755" s="3" t="str">
        <x:f>IF(AND('中古車掲載'!C756="One2car",'中古車掲載'!F756="Corolla Cross",'中古車掲載'!L756="HEV PREMIUM SAFETY",'中古車掲載'!J756=2023,ISNUMBER('中古車掲載'!N756),'中古車掲載'!N756&gt;=50000,'中古車掲載'!O756&lt;=100000,'中古車掲載'!AL756=1,'中古車掲載'!Z756="https://www.one2car.com/en/cars-for-sale/toyota/corolla-cross/year-2023"),'中古車掲載'!U756,"")</x:f>
      </x:c>
      <x:c r="BD755" s="3" t="str">
        <x:f>IF(AND('中古車掲載'!C756="One2car",'中古車掲載'!F756="ATTO 3",'中古車掲載'!L756="EXTENDED RANGE",'中古車掲載'!J756=2023,ISNUMBER('中古車掲載'!N756),'中古車掲載'!N756&gt;=20000,'中古車掲載'!O756&lt;=50000,'中古車掲載'!AL756=1),'中古車掲載'!U756,"")</x:f>
      </x:c>
      <x:c r="BE755" s="3" t="str">
        <x:f>IF(AND('中古車掲載'!C756="One2car",'中古車掲載'!F756="Corolla Cross",'中古車掲載'!L756="HEV PREMIUM SAFETY",'中古車掲載'!J756=2023,ISNUMBER('中古車掲載'!N756),'中古車掲載'!N756&gt;=20000,'中古車掲載'!O756&lt;=50000,'中古車掲載'!AL756=1,'中古車掲載'!Z756="https://www.one2car.com/en/cars-for-sale/toyota/corolla-cross/year-2023"),'中古車掲載'!U756,"")</x:f>
      </x:c>
      <x:c r="BF755" s="3" t="str">
        <x:f>IF(AND('中古車掲載'!C756="One2car",'中古車掲載'!F756="Corolla Cross",'中古車掲載'!L756="HEV PREMIUM",'中古車掲載'!J756=2023,ISNUMBER('中古車掲載'!N756),'中古車掲載'!N756&gt;=20000,'中古車掲載'!O756&lt;=100000,'中古車掲載'!AL756=1,'中古車掲載'!Z756="https://www.one2car.com/en/cars-for-sale/toyota/corolla-cross/year-2023"),'中古車掲載'!U756,"")</x:f>
      </x:c>
      <x:c r="BG755" s="3" t="str">
        <x:f>IF(AND('中古車掲載'!C756="One2car",'中古車掲載'!F756="Corolla Cross",'中古車掲載'!L756="HEV GR SPORT",'中古車掲載'!J756=2023,ISNUMBER('中古車掲載'!N756),'中古車掲載'!N756&gt;=20000,'中古車掲載'!O756&lt;=100000,'中古車掲載'!AL756=1,'中古車掲載'!Z756="https://www.one2car.com/en/cars-for-sale/toyota/corolla-cross/year-2023"),'中古車掲載'!U756,"")</x:f>
      </x:c>
      <x:c r="BH755" s="3" t="str">
        <x:f>IF(AND('中古車掲載'!C756="One2car",'中古車掲載'!F756="DOLPHIN",'中古車掲載'!L756="STANDARD RANGE",'中古車掲載'!J756=2023,ISNUMBER('中古車掲載'!N756),'中古車掲載'!N756&gt;=20000,'中古車掲載'!O756&lt;=100000,'中古車掲載'!AL756=1),'中古車掲載'!U756,"")</x:f>
      </x:c>
      <x:c r="BI755" s="3" t="str">
        <x:v>Taladrod|Hilux Revo|ICE|Unknown</x:v>
      </x:c>
      <x:c r="BJ755" s="3" t="n">
        <x:v>756</x:v>
      </x:c>
      <x:c r="BK755" s="3" t="n">
        <x:f>'中古車掲載'!AM756</x:f>
        <x:v>399000</x:v>
      </x:c>
      <x:c r="BL755" s="3" t="str">
        <x:f>IF(ISNUMBER('中古車掲載'!AN756),'中古車掲載'!AN756,"")</x:f>
      </x:c>
      <x:c r="BM755" s="3"/>
      <x:c r="BN755" s="3"/>
      <x:c r="BO755" s="3"/>
      <x:c r="BP755" s="3"/>
      <x:c r="BQ755" s="3"/>
      <x:c r="BR755" s="3"/>
    </x:row>
    <x:row r="756" ht="22" customHeight="1">
      <x:c r="A756" s="3"/>
      <x:c r="B756" s="3"/>
      <x:c r="C756" s="3"/>
      <x:c r="D756" s="3"/>
      <x:c r="E756" s="3"/>
      <x:c r="F756" s="3"/>
      <x:c r="G756" s="3"/>
      <x:c r="H756" s="3"/>
      <x:c r="I756" s="3"/>
      <x:c r="J756" s="3"/>
      <x:c r="K756" s="3"/>
      <x:c r="L756" s="3"/>
      <x:c r="M756" s="3"/>
      <x:c r="N756" s="3"/>
      <x:c r="O756" s="3"/>
      <x:c r="P756" s="3"/>
      <x:c r="Q756" s="3"/>
      <x:c r="R756" s="3"/>
      <x:c r="S756" s="3"/>
      <x:c r="T756" s="3"/>
      <x:c r="U756" s="3"/>
      <x:c r="V756" s="3"/>
      <x:c r="W756" s="3"/>
      <x:c r="X756" s="3"/>
      <x:c r="Y756" s="3"/>
      <x:c r="Z756" s="3"/>
      <x:c r="AA756" s="3"/>
      <x:c r="AB756" s="3"/>
      <x:c r="AC756" s="3"/>
      <x:c r="AD756" s="3"/>
      <x:c r="AE756" s="3"/>
      <x:c r="AF756" s="3"/>
      <x:c r="AG756" s="3"/>
      <x:c r="AH756" s="3"/>
      <x:c r="AI756" s="3"/>
      <x:c r="AJ756" s="3"/>
      <x:c r="AK756" s="3"/>
      <x:c r="AL756" s="3"/>
      <x:c r="AM756" s="3"/>
      <x:c r="AN756" s="3"/>
      <x:c r="AO756" s="3"/>
      <x:c r="AP756" s="3"/>
      <x:c r="AQ756" s="3"/>
      <x:c r="AR756" s="3"/>
      <x:c r="AS756" s="3"/>
      <x:c r="AT756" s="3"/>
      <x:c r="AU756" s="3"/>
      <x:c r="AV756" s="3"/>
      <x:c r="AW756" s="3"/>
      <x:c r="AX756" s="3"/>
      <x:c r="AY756" s="3"/>
      <x:c r="AZ756" s="3" t="str">
        <x:f>IF(AND('中古車掲載'!C757="One2car",'中古車掲載'!F757="ATTO 3",'中古車掲載'!L757="EXTENDED RANGE",'中古車掲載'!J757=2023,ISNUMBER('中古車掲載'!N757),'中古車掲載'!N757&gt;=20000,'中古車掲載'!O757&lt;=100000,'中古車掲載'!AL757=1),'中古車掲載'!U757,"")</x:f>
      </x:c>
      <x:c r="BA756" s="3" t="str">
        <x:f>IF(AND('中古車掲載'!C757="One2car",'中古車掲載'!F757="Corolla Cross",'中古車掲載'!L757="HEV PREMIUM SAFETY",'中古車掲載'!J757=2023,ISNUMBER('中古車掲載'!N757),'中古車掲載'!N757&gt;=20000,'中古車掲載'!O757&lt;=100000,'中古車掲載'!AL757=1,'中古車掲載'!Z757="https://www.one2car.com/en/cars-for-sale/toyota/corolla-cross/year-2023"),'中古車掲載'!U757,"")</x:f>
      </x:c>
      <x:c r="BB756" s="3" t="str">
        <x:f>IF(AND('中古車掲載'!C757="One2car",'中古車掲載'!F757="ATTO 3",'中古車掲載'!L757="EXTENDED RANGE",'中古車掲載'!J757=2023,ISNUMBER('中古車掲載'!N757),'中古車掲載'!N757&gt;=50000,'中古車掲載'!O757&lt;=100000,'中古車掲載'!AL757=1),'中古車掲載'!U757,"")</x:f>
      </x:c>
      <x:c r="BC756" s="3" t="str">
        <x:f>IF(AND('中古車掲載'!C757="One2car",'中古車掲載'!F757="Corolla Cross",'中古車掲載'!L757="HEV PREMIUM SAFETY",'中古車掲載'!J757=2023,ISNUMBER('中古車掲載'!N757),'中古車掲載'!N757&gt;=50000,'中古車掲載'!O757&lt;=100000,'中古車掲載'!AL757=1,'中古車掲載'!Z757="https://www.one2car.com/en/cars-for-sale/toyota/corolla-cross/year-2023"),'中古車掲載'!U757,"")</x:f>
      </x:c>
      <x:c r="BD756" s="3" t="str">
        <x:f>IF(AND('中古車掲載'!C757="One2car",'中古車掲載'!F757="ATTO 3",'中古車掲載'!L757="EXTENDED RANGE",'中古車掲載'!J757=2023,ISNUMBER('中古車掲載'!N757),'中古車掲載'!N757&gt;=20000,'中古車掲載'!O757&lt;=50000,'中古車掲載'!AL757=1),'中古車掲載'!U757,"")</x:f>
      </x:c>
      <x:c r="BE756" s="3" t="str">
        <x:f>IF(AND('中古車掲載'!C757="One2car",'中古車掲載'!F757="Corolla Cross",'中古車掲載'!L757="HEV PREMIUM SAFETY",'中古車掲載'!J757=2023,ISNUMBER('中古車掲載'!N757),'中古車掲載'!N757&gt;=20000,'中古車掲載'!O757&lt;=50000,'中古車掲載'!AL757=1,'中古車掲載'!Z757="https://www.one2car.com/en/cars-for-sale/toyota/corolla-cross/year-2023"),'中古車掲載'!U757,"")</x:f>
      </x:c>
      <x:c r="BF756" s="3" t="str">
        <x:f>IF(AND('中古車掲載'!C757="One2car",'中古車掲載'!F757="Corolla Cross",'中古車掲載'!L757="HEV PREMIUM",'中古車掲載'!J757=2023,ISNUMBER('中古車掲載'!N757),'中古車掲載'!N757&gt;=20000,'中古車掲載'!O757&lt;=100000,'中古車掲載'!AL757=1,'中古車掲載'!Z757="https://www.one2car.com/en/cars-for-sale/toyota/corolla-cross/year-2023"),'中古車掲載'!U757,"")</x:f>
      </x:c>
      <x:c r="BG756" s="3" t="str">
        <x:f>IF(AND('中古車掲載'!C757="One2car",'中古車掲載'!F757="Corolla Cross",'中古車掲載'!L757="HEV GR SPORT",'中古車掲載'!J757=2023,ISNUMBER('中古車掲載'!N757),'中古車掲載'!N757&gt;=20000,'中古車掲載'!O757&lt;=100000,'中古車掲載'!AL757=1,'中古車掲載'!Z757="https://www.one2car.com/en/cars-for-sale/toyota/corolla-cross/year-2023"),'中古車掲載'!U757,"")</x:f>
      </x:c>
      <x:c r="BH756" s="3" t="str">
        <x:f>IF(AND('中古車掲載'!C757="One2car",'中古車掲載'!F757="DOLPHIN",'中古車掲載'!L757="STANDARD RANGE",'中古車掲載'!J757=2023,ISNUMBER('中古車掲載'!N757),'中古車掲載'!N757&gt;=20000,'中古車掲載'!O757&lt;=100000,'中古車掲載'!AL757=1),'中古車掲載'!U757,"")</x:f>
      </x:c>
      <x:c r="BI756" s="3" t="str">
        <x:v>Taladrod|Hilux Revo|ICE|Unknown</x:v>
      </x:c>
      <x:c r="BJ756" s="3" t="n">
        <x:v>757</x:v>
      </x:c>
      <x:c r="BK756" s="3" t="n">
        <x:f>'中古車掲載'!AM757</x:f>
        <x:v>429000</x:v>
      </x:c>
      <x:c r="BL756" s="3" t="str">
        <x:f>IF(ISNUMBER('中古車掲載'!AN757),'中古車掲載'!AN757,"")</x:f>
      </x:c>
      <x:c r="BM756" s="3"/>
      <x:c r="BN756" s="3"/>
      <x:c r="BO756" s="3"/>
      <x:c r="BP756" s="3"/>
      <x:c r="BQ756" s="3"/>
      <x:c r="BR756" s="3"/>
    </x:row>
    <x:row r="757" ht="22" customHeight="1">
      <x:c r="A757" s="3"/>
      <x:c r="B757" s="3"/>
      <x:c r="C757" s="3"/>
      <x:c r="D757" s="3"/>
      <x:c r="E757" s="3"/>
      <x:c r="F757" s="3"/>
      <x:c r="G757" s="3"/>
      <x:c r="H757" s="3"/>
      <x:c r="I757" s="3"/>
      <x:c r="J757" s="3"/>
      <x:c r="K757" s="3"/>
      <x:c r="L757" s="3"/>
      <x:c r="M757" s="3"/>
      <x:c r="N757" s="3"/>
      <x:c r="O757" s="3"/>
      <x:c r="P757" s="3"/>
      <x:c r="Q757" s="3"/>
      <x:c r="R757" s="3"/>
      <x:c r="S757" s="3"/>
      <x:c r="T757" s="3"/>
      <x:c r="U757" s="3"/>
      <x:c r="V757" s="3"/>
      <x:c r="W757" s="3"/>
      <x:c r="X757" s="3"/>
      <x:c r="Y757" s="3"/>
      <x:c r="Z757" s="3"/>
      <x:c r="AA757" s="3"/>
      <x:c r="AB757" s="3"/>
      <x:c r="AC757" s="3"/>
      <x:c r="AD757" s="3"/>
      <x:c r="AE757" s="3"/>
      <x:c r="AF757" s="3"/>
      <x:c r="AG757" s="3"/>
      <x:c r="AH757" s="3"/>
      <x:c r="AI757" s="3"/>
      <x:c r="AJ757" s="3"/>
      <x:c r="AK757" s="3"/>
      <x:c r="AL757" s="3"/>
      <x:c r="AM757" s="3"/>
      <x:c r="AN757" s="3"/>
      <x:c r="AO757" s="3"/>
      <x:c r="AP757" s="3"/>
      <x:c r="AQ757" s="3"/>
      <x:c r="AR757" s="3"/>
      <x:c r="AS757" s="3"/>
      <x:c r="AT757" s="3"/>
      <x:c r="AU757" s="3"/>
      <x:c r="AV757" s="3"/>
      <x:c r="AW757" s="3"/>
      <x:c r="AX757" s="3"/>
      <x:c r="AY757" s="3"/>
      <x:c r="AZ757" s="3" t="str">
        <x:f>IF(AND('中古車掲載'!C758="One2car",'中古車掲載'!F758="ATTO 3",'中古車掲載'!L758="EXTENDED RANGE",'中古車掲載'!J758=2023,ISNUMBER('中古車掲載'!N758),'中古車掲載'!N758&gt;=20000,'中古車掲載'!O758&lt;=100000,'中古車掲載'!AL758=1),'中古車掲載'!U758,"")</x:f>
      </x:c>
      <x:c r="BA757" s="3" t="str">
        <x:f>IF(AND('中古車掲載'!C758="One2car",'中古車掲載'!F758="Corolla Cross",'中古車掲載'!L758="HEV PREMIUM SAFETY",'中古車掲載'!J758=2023,ISNUMBER('中古車掲載'!N758),'中古車掲載'!N758&gt;=20000,'中古車掲載'!O758&lt;=100000,'中古車掲載'!AL758=1,'中古車掲載'!Z758="https://www.one2car.com/en/cars-for-sale/toyota/corolla-cross/year-2023"),'中古車掲載'!U758,"")</x:f>
      </x:c>
      <x:c r="BB757" s="3" t="str">
        <x:f>IF(AND('中古車掲載'!C758="One2car",'中古車掲載'!F758="ATTO 3",'中古車掲載'!L758="EXTENDED RANGE",'中古車掲載'!J758=2023,ISNUMBER('中古車掲載'!N758),'中古車掲載'!N758&gt;=50000,'中古車掲載'!O758&lt;=100000,'中古車掲載'!AL758=1),'中古車掲載'!U758,"")</x:f>
      </x:c>
      <x:c r="BC757" s="3" t="str">
        <x:f>IF(AND('中古車掲載'!C758="One2car",'中古車掲載'!F758="Corolla Cross",'中古車掲載'!L758="HEV PREMIUM SAFETY",'中古車掲載'!J758=2023,ISNUMBER('中古車掲載'!N758),'中古車掲載'!N758&gt;=50000,'中古車掲載'!O758&lt;=100000,'中古車掲載'!AL758=1,'中古車掲載'!Z758="https://www.one2car.com/en/cars-for-sale/toyota/corolla-cross/year-2023"),'中古車掲載'!U758,"")</x:f>
      </x:c>
      <x:c r="BD757" s="3" t="str">
        <x:f>IF(AND('中古車掲載'!C758="One2car",'中古車掲載'!F758="ATTO 3",'中古車掲載'!L758="EXTENDED RANGE",'中古車掲載'!J758=2023,ISNUMBER('中古車掲載'!N758),'中古車掲載'!N758&gt;=20000,'中古車掲載'!O758&lt;=50000,'中古車掲載'!AL758=1),'中古車掲載'!U758,"")</x:f>
      </x:c>
      <x:c r="BE757" s="3" t="str">
        <x:f>IF(AND('中古車掲載'!C758="One2car",'中古車掲載'!F758="Corolla Cross",'中古車掲載'!L758="HEV PREMIUM SAFETY",'中古車掲載'!J758=2023,ISNUMBER('中古車掲載'!N758),'中古車掲載'!N758&gt;=20000,'中古車掲載'!O758&lt;=50000,'中古車掲載'!AL758=1,'中古車掲載'!Z758="https://www.one2car.com/en/cars-for-sale/toyota/corolla-cross/year-2023"),'中古車掲載'!U758,"")</x:f>
      </x:c>
      <x:c r="BF757" s="3" t="str">
        <x:f>IF(AND('中古車掲載'!C758="One2car",'中古車掲載'!F758="Corolla Cross",'中古車掲載'!L758="HEV PREMIUM",'中古車掲載'!J758=2023,ISNUMBER('中古車掲載'!N758),'中古車掲載'!N758&gt;=20000,'中古車掲載'!O758&lt;=100000,'中古車掲載'!AL758=1,'中古車掲載'!Z758="https://www.one2car.com/en/cars-for-sale/toyota/corolla-cross/year-2023"),'中古車掲載'!U758,"")</x:f>
      </x:c>
      <x:c r="BG757" s="3" t="str">
        <x:f>IF(AND('中古車掲載'!C758="One2car",'中古車掲載'!F758="Corolla Cross",'中古車掲載'!L758="HEV GR SPORT",'中古車掲載'!J758=2023,ISNUMBER('中古車掲載'!N758),'中古車掲載'!N758&gt;=20000,'中古車掲載'!O758&lt;=100000,'中古車掲載'!AL758=1,'中古車掲載'!Z758="https://www.one2car.com/en/cars-for-sale/toyota/corolla-cross/year-2023"),'中古車掲載'!U758,"")</x:f>
      </x:c>
      <x:c r="BH757" s="3" t="str">
        <x:f>IF(AND('中古車掲載'!C758="One2car",'中古車掲載'!F758="DOLPHIN",'中古車掲載'!L758="STANDARD RANGE",'中古車掲載'!J758=2023,ISNUMBER('中古車掲載'!N758),'中古車掲載'!N758&gt;=20000,'中古車掲載'!O758&lt;=100000,'中古車掲載'!AL758=1),'中古車掲載'!U758,"")</x:f>
      </x:c>
      <x:c r="BI757" s="3" t="str">
        <x:v>Taladrod|Hilux Revo|ICE|Unknown</x:v>
      </x:c>
      <x:c r="BJ757" s="3" t="n">
        <x:v>758</x:v>
      </x:c>
      <x:c r="BK757" s="3" t="n">
        <x:f>'中古車掲載'!AM758</x:f>
        <x:v>429000</x:v>
      </x:c>
      <x:c r="BL757" s="3" t="str">
        <x:f>IF(ISNUMBER('中古車掲載'!AN758),'中古車掲載'!AN758,"")</x:f>
      </x:c>
      <x:c r="BM757" s="3"/>
      <x:c r="BN757" s="3"/>
      <x:c r="BO757" s="3"/>
      <x:c r="BP757" s="3"/>
      <x:c r="BQ757" s="3"/>
      <x:c r="BR757" s="3"/>
    </x:row>
    <x:row r="758" ht="22" customHeight="1">
      <x:c r="A758" s="3"/>
      <x:c r="B758" s="3"/>
      <x:c r="C758" s="3"/>
      <x:c r="D758" s="3"/>
      <x:c r="E758" s="3"/>
      <x:c r="F758" s="3"/>
      <x:c r="G758" s="3"/>
      <x:c r="H758" s="3"/>
      <x:c r="I758" s="3"/>
      <x:c r="J758" s="3"/>
      <x:c r="K758" s="3"/>
      <x:c r="L758" s="3"/>
      <x:c r="M758" s="3"/>
      <x:c r="N758" s="3"/>
      <x:c r="O758" s="3"/>
      <x:c r="P758" s="3"/>
      <x:c r="Q758" s="3"/>
      <x:c r="R758" s="3"/>
      <x:c r="S758" s="3"/>
      <x:c r="T758" s="3"/>
      <x:c r="U758" s="3"/>
      <x:c r="V758" s="3"/>
      <x:c r="W758" s="3"/>
      <x:c r="X758" s="3"/>
      <x:c r="Y758" s="3"/>
      <x:c r="Z758" s="3"/>
      <x:c r="AA758" s="3"/>
      <x:c r="AB758" s="3"/>
      <x:c r="AC758" s="3"/>
      <x:c r="AD758" s="3"/>
      <x:c r="AE758" s="3"/>
      <x:c r="AF758" s="3"/>
      <x:c r="AG758" s="3"/>
      <x:c r="AH758" s="3"/>
      <x:c r="AI758" s="3"/>
      <x:c r="AJ758" s="3"/>
      <x:c r="AK758" s="3"/>
      <x:c r="AL758" s="3"/>
      <x:c r="AM758" s="3"/>
      <x:c r="AN758" s="3"/>
      <x:c r="AO758" s="3"/>
      <x:c r="AP758" s="3"/>
      <x:c r="AQ758" s="3"/>
      <x:c r="AR758" s="3"/>
      <x:c r="AS758" s="3"/>
      <x:c r="AT758" s="3"/>
      <x:c r="AU758" s="3"/>
      <x:c r="AV758" s="3"/>
      <x:c r="AW758" s="3"/>
      <x:c r="AX758" s="3"/>
      <x:c r="AY758" s="3"/>
      <x:c r="AZ758" s="3" t="str">
        <x:f>IF(AND('中古車掲載'!C759="One2car",'中古車掲載'!F759="ATTO 3",'中古車掲載'!L759="EXTENDED RANGE",'中古車掲載'!J759=2023,ISNUMBER('中古車掲載'!N759),'中古車掲載'!N759&gt;=20000,'中古車掲載'!O759&lt;=100000,'中古車掲載'!AL759=1),'中古車掲載'!U759,"")</x:f>
      </x:c>
      <x:c r="BA758" s="3" t="str">
        <x:f>IF(AND('中古車掲載'!C759="One2car",'中古車掲載'!F759="Corolla Cross",'中古車掲載'!L759="HEV PREMIUM SAFETY",'中古車掲載'!J759=2023,ISNUMBER('中古車掲載'!N759),'中古車掲載'!N759&gt;=20000,'中古車掲載'!O759&lt;=100000,'中古車掲載'!AL759=1,'中古車掲載'!Z759="https://www.one2car.com/en/cars-for-sale/toyota/corolla-cross/year-2023"),'中古車掲載'!U759,"")</x:f>
      </x:c>
      <x:c r="BB758" s="3" t="str">
        <x:f>IF(AND('中古車掲載'!C759="One2car",'中古車掲載'!F759="ATTO 3",'中古車掲載'!L759="EXTENDED RANGE",'中古車掲載'!J759=2023,ISNUMBER('中古車掲載'!N759),'中古車掲載'!N759&gt;=50000,'中古車掲載'!O759&lt;=100000,'中古車掲載'!AL759=1),'中古車掲載'!U759,"")</x:f>
      </x:c>
      <x:c r="BC758" s="3" t="str">
        <x:f>IF(AND('中古車掲載'!C759="One2car",'中古車掲載'!F759="Corolla Cross",'中古車掲載'!L759="HEV PREMIUM SAFETY",'中古車掲載'!J759=2023,ISNUMBER('中古車掲載'!N759),'中古車掲載'!N759&gt;=50000,'中古車掲載'!O759&lt;=100000,'中古車掲載'!AL759=1,'中古車掲載'!Z759="https://www.one2car.com/en/cars-for-sale/toyota/corolla-cross/year-2023"),'中古車掲載'!U759,"")</x:f>
      </x:c>
      <x:c r="BD758" s="3" t="str">
        <x:f>IF(AND('中古車掲載'!C759="One2car",'中古車掲載'!F759="ATTO 3",'中古車掲載'!L759="EXTENDED RANGE",'中古車掲載'!J759=2023,ISNUMBER('中古車掲載'!N759),'中古車掲載'!N759&gt;=20000,'中古車掲載'!O759&lt;=50000,'中古車掲載'!AL759=1),'中古車掲載'!U759,"")</x:f>
      </x:c>
      <x:c r="BE758" s="3" t="str">
        <x:f>IF(AND('中古車掲載'!C759="One2car",'中古車掲載'!F759="Corolla Cross",'中古車掲載'!L759="HEV PREMIUM SAFETY",'中古車掲載'!J759=2023,ISNUMBER('中古車掲載'!N759),'中古車掲載'!N759&gt;=20000,'中古車掲載'!O759&lt;=50000,'中古車掲載'!AL759=1,'中古車掲載'!Z759="https://www.one2car.com/en/cars-for-sale/toyota/corolla-cross/year-2023"),'中古車掲載'!U759,"")</x:f>
      </x:c>
      <x:c r="BF758" s="3" t="str">
        <x:f>IF(AND('中古車掲載'!C759="One2car",'中古車掲載'!F759="Corolla Cross",'中古車掲載'!L759="HEV PREMIUM",'中古車掲載'!J759=2023,ISNUMBER('中古車掲載'!N759),'中古車掲載'!N759&gt;=20000,'中古車掲載'!O759&lt;=100000,'中古車掲載'!AL759=1,'中古車掲載'!Z759="https://www.one2car.com/en/cars-for-sale/toyota/corolla-cross/year-2023"),'中古車掲載'!U759,"")</x:f>
      </x:c>
      <x:c r="BG758" s="3" t="str">
        <x:f>IF(AND('中古車掲載'!C759="One2car",'中古車掲載'!F759="Corolla Cross",'中古車掲載'!L759="HEV GR SPORT",'中古車掲載'!J759=2023,ISNUMBER('中古車掲載'!N759),'中古車掲載'!N759&gt;=20000,'中古車掲載'!O759&lt;=100000,'中古車掲載'!AL759=1,'中古車掲載'!Z759="https://www.one2car.com/en/cars-for-sale/toyota/corolla-cross/year-2023"),'中古車掲載'!U759,"")</x:f>
      </x:c>
      <x:c r="BH758" s="3" t="str">
        <x:f>IF(AND('中古車掲載'!C759="One2car",'中古車掲載'!F759="DOLPHIN",'中古車掲載'!L759="STANDARD RANGE",'中古車掲載'!J759=2023,ISNUMBER('中古車掲載'!N759),'中古車掲載'!N759&gt;=20000,'中古車掲載'!O759&lt;=100000,'中古車掲載'!AL759=1),'中古車掲載'!U759,"")</x:f>
      </x:c>
      <x:c r="BI758" s="3" t="str">
        <x:v>Taladrod|Hilux Revo|ICE|Unknown</x:v>
      </x:c>
      <x:c r="BJ758" s="3" t="n">
        <x:v>759</x:v>
      </x:c>
      <x:c r="BK758" s="3" t="n">
        <x:f>'中古車掲載'!AM759</x:f>
        <x:v>355000</x:v>
      </x:c>
      <x:c r="BL758" s="3" t="str">
        <x:f>IF(ISNUMBER('中古車掲載'!AN759),'中古車掲載'!AN759,"")</x:f>
      </x:c>
      <x:c r="BM758" s="3"/>
      <x:c r="BN758" s="3"/>
      <x:c r="BO758" s="3"/>
      <x:c r="BP758" s="3"/>
      <x:c r="BQ758" s="3"/>
      <x:c r="BR758" s="3"/>
    </x:row>
    <x:row r="759" ht="22" customHeight="1">
      <x:c r="A759" s="3"/>
      <x:c r="B759" s="3"/>
      <x:c r="C759" s="3"/>
      <x:c r="D759" s="3"/>
      <x:c r="E759" s="3"/>
      <x:c r="F759" s="3"/>
      <x:c r="G759" s="3"/>
      <x:c r="H759" s="3"/>
      <x:c r="I759" s="3"/>
      <x:c r="J759" s="3"/>
      <x:c r="K759" s="3"/>
      <x:c r="L759" s="3"/>
      <x:c r="M759" s="3"/>
      <x:c r="N759" s="3"/>
      <x:c r="O759" s="3"/>
      <x:c r="P759" s="3"/>
      <x:c r="Q759" s="3"/>
      <x:c r="R759" s="3"/>
      <x:c r="S759" s="3"/>
      <x:c r="T759" s="3"/>
      <x:c r="U759" s="3"/>
      <x:c r="V759" s="3"/>
      <x:c r="W759" s="3"/>
      <x:c r="X759" s="3"/>
      <x:c r="Y759" s="3"/>
      <x:c r="Z759" s="3"/>
      <x:c r="AA759" s="3"/>
      <x:c r="AB759" s="3"/>
      <x:c r="AC759" s="3"/>
      <x:c r="AD759" s="3"/>
      <x:c r="AE759" s="3"/>
      <x:c r="AF759" s="3"/>
      <x:c r="AG759" s="3"/>
      <x:c r="AH759" s="3"/>
      <x:c r="AI759" s="3"/>
      <x:c r="AJ759" s="3"/>
      <x:c r="AK759" s="3"/>
      <x:c r="AL759" s="3"/>
      <x:c r="AM759" s="3"/>
      <x:c r="AN759" s="3"/>
      <x:c r="AO759" s="3"/>
      <x:c r="AP759" s="3"/>
      <x:c r="AQ759" s="3"/>
      <x:c r="AR759" s="3"/>
      <x:c r="AS759" s="3"/>
      <x:c r="AT759" s="3"/>
      <x:c r="AU759" s="3"/>
      <x:c r="AV759" s="3"/>
      <x:c r="AW759" s="3"/>
      <x:c r="AX759" s="3"/>
      <x:c r="AY759" s="3"/>
      <x:c r="AZ759" s="3" t="str">
        <x:f>IF(AND('中古車掲載'!C760="One2car",'中古車掲載'!F760="ATTO 3",'中古車掲載'!L760="EXTENDED RANGE",'中古車掲載'!J760=2023,ISNUMBER('中古車掲載'!N760),'中古車掲載'!N760&gt;=20000,'中古車掲載'!O760&lt;=100000,'中古車掲載'!AL760=1),'中古車掲載'!U760,"")</x:f>
      </x:c>
      <x:c r="BA759" s="3" t="str">
        <x:f>IF(AND('中古車掲載'!C760="One2car",'中古車掲載'!F760="Corolla Cross",'中古車掲載'!L760="HEV PREMIUM SAFETY",'中古車掲載'!J760=2023,ISNUMBER('中古車掲載'!N760),'中古車掲載'!N760&gt;=20000,'中古車掲載'!O760&lt;=100000,'中古車掲載'!AL760=1,'中古車掲載'!Z760="https://www.one2car.com/en/cars-for-sale/toyota/corolla-cross/year-2023"),'中古車掲載'!U760,"")</x:f>
      </x:c>
      <x:c r="BB759" s="3" t="str">
        <x:f>IF(AND('中古車掲載'!C760="One2car",'中古車掲載'!F760="ATTO 3",'中古車掲載'!L760="EXTENDED RANGE",'中古車掲載'!J760=2023,ISNUMBER('中古車掲載'!N760),'中古車掲載'!N760&gt;=50000,'中古車掲載'!O760&lt;=100000,'中古車掲載'!AL760=1),'中古車掲載'!U760,"")</x:f>
      </x:c>
      <x:c r="BC759" s="3" t="str">
        <x:f>IF(AND('中古車掲載'!C760="One2car",'中古車掲載'!F760="Corolla Cross",'中古車掲載'!L760="HEV PREMIUM SAFETY",'中古車掲載'!J760=2023,ISNUMBER('中古車掲載'!N760),'中古車掲載'!N760&gt;=50000,'中古車掲載'!O760&lt;=100000,'中古車掲載'!AL760=1,'中古車掲載'!Z760="https://www.one2car.com/en/cars-for-sale/toyota/corolla-cross/year-2023"),'中古車掲載'!U760,"")</x:f>
      </x:c>
      <x:c r="BD759" s="3" t="str">
        <x:f>IF(AND('中古車掲載'!C760="One2car",'中古車掲載'!F760="ATTO 3",'中古車掲載'!L760="EXTENDED RANGE",'中古車掲載'!J760=2023,ISNUMBER('中古車掲載'!N760),'中古車掲載'!N760&gt;=20000,'中古車掲載'!O760&lt;=50000,'中古車掲載'!AL760=1),'中古車掲載'!U760,"")</x:f>
      </x:c>
      <x:c r="BE759" s="3" t="str">
        <x:f>IF(AND('中古車掲載'!C760="One2car",'中古車掲載'!F760="Corolla Cross",'中古車掲載'!L760="HEV PREMIUM SAFETY",'中古車掲載'!J760=2023,ISNUMBER('中古車掲載'!N760),'中古車掲載'!N760&gt;=20000,'中古車掲載'!O760&lt;=50000,'中古車掲載'!AL760=1,'中古車掲載'!Z760="https://www.one2car.com/en/cars-for-sale/toyota/corolla-cross/year-2023"),'中古車掲載'!U760,"")</x:f>
      </x:c>
      <x:c r="BF759" s="3" t="str">
        <x:f>IF(AND('中古車掲載'!C760="One2car",'中古車掲載'!F760="Corolla Cross",'中古車掲載'!L760="HEV PREMIUM",'中古車掲載'!J760=2023,ISNUMBER('中古車掲載'!N760),'中古車掲載'!N760&gt;=20000,'中古車掲載'!O760&lt;=100000,'中古車掲載'!AL760=1,'中古車掲載'!Z760="https://www.one2car.com/en/cars-for-sale/toyota/corolla-cross/year-2023"),'中古車掲載'!U760,"")</x:f>
      </x:c>
      <x:c r="BG759" s="3" t="str">
        <x:f>IF(AND('中古車掲載'!C760="One2car",'中古車掲載'!F760="Corolla Cross",'中古車掲載'!L760="HEV GR SPORT",'中古車掲載'!J760=2023,ISNUMBER('中古車掲載'!N760),'中古車掲載'!N760&gt;=20000,'中古車掲載'!O760&lt;=100000,'中古車掲載'!AL760=1,'中古車掲載'!Z760="https://www.one2car.com/en/cars-for-sale/toyota/corolla-cross/year-2023"),'中古車掲載'!U760,"")</x:f>
      </x:c>
      <x:c r="BH759" s="3" t="str">
        <x:f>IF(AND('中古車掲載'!C760="One2car",'中古車掲載'!F760="DOLPHIN",'中古車掲載'!L760="STANDARD RANGE",'中古車掲載'!J760=2023,ISNUMBER('中古車掲載'!N760),'中古車掲載'!N760&gt;=20000,'中古車掲載'!O760&lt;=100000,'中古車掲載'!AL760=1),'中古車掲載'!U760,"")</x:f>
      </x:c>
      <x:c r="BI759" s="3" t="str">
        <x:v>Taladrod|Hilux Revo|ICE|Unknown</x:v>
      </x:c>
      <x:c r="BJ759" s="3" t="n">
        <x:v>760</x:v>
      </x:c>
      <x:c r="BK759" s="3" t="n">
        <x:f>'中古車掲載'!AM760</x:f>
        <x:v>368000</x:v>
      </x:c>
      <x:c r="BL759" s="3" t="str">
        <x:f>IF(ISNUMBER('中古車掲載'!AN760),'中古車掲載'!AN760,"")</x:f>
      </x:c>
      <x:c r="BM759" s="3"/>
      <x:c r="BN759" s="3"/>
      <x:c r="BO759" s="3"/>
      <x:c r="BP759" s="3"/>
      <x:c r="BQ759" s="3"/>
      <x:c r="BR759" s="3"/>
    </x:row>
    <x:row r="760" ht="22" customHeight="1">
      <x:c r="A760" s="3"/>
      <x:c r="B760" s="3"/>
      <x:c r="C760" s="3"/>
      <x:c r="D760" s="3"/>
      <x:c r="E760" s="3"/>
      <x:c r="F760" s="3"/>
      <x:c r="G760" s="3"/>
      <x:c r="H760" s="3"/>
      <x:c r="I760" s="3"/>
      <x:c r="J760" s="3"/>
      <x:c r="K760" s="3"/>
      <x:c r="L760" s="3"/>
      <x:c r="M760" s="3"/>
      <x:c r="N760" s="3"/>
      <x:c r="O760" s="3"/>
      <x:c r="P760" s="3"/>
      <x:c r="Q760" s="3"/>
      <x:c r="R760" s="3"/>
      <x:c r="S760" s="3"/>
      <x:c r="T760" s="3"/>
      <x:c r="U760" s="3"/>
      <x:c r="V760" s="3"/>
      <x:c r="W760" s="3"/>
      <x:c r="X760" s="3"/>
      <x:c r="Y760" s="3"/>
      <x:c r="Z760" s="3"/>
      <x:c r="AA760" s="3"/>
      <x:c r="AB760" s="3"/>
      <x:c r="AC760" s="3"/>
      <x:c r="AD760" s="3"/>
      <x:c r="AE760" s="3"/>
      <x:c r="AF760" s="3"/>
      <x:c r="AG760" s="3"/>
      <x:c r="AH760" s="3"/>
      <x:c r="AI760" s="3"/>
      <x:c r="AJ760" s="3"/>
      <x:c r="AK760" s="3"/>
      <x:c r="AL760" s="3"/>
      <x:c r="AM760" s="3"/>
      <x:c r="AN760" s="3"/>
      <x:c r="AO760" s="3"/>
      <x:c r="AP760" s="3"/>
      <x:c r="AQ760" s="3"/>
      <x:c r="AR760" s="3"/>
      <x:c r="AS760" s="3"/>
      <x:c r="AT760" s="3"/>
      <x:c r="AU760" s="3"/>
      <x:c r="AV760" s="3"/>
      <x:c r="AW760" s="3"/>
      <x:c r="AX760" s="3"/>
      <x:c r="AY760" s="3"/>
      <x:c r="AZ760" s="3" t="str">
        <x:f>IF(AND('中古車掲載'!C761="One2car",'中古車掲載'!F761="ATTO 3",'中古車掲載'!L761="EXTENDED RANGE",'中古車掲載'!J761=2023,ISNUMBER('中古車掲載'!N761),'中古車掲載'!N761&gt;=20000,'中古車掲載'!O761&lt;=100000,'中古車掲載'!AL761=1),'中古車掲載'!U761,"")</x:f>
      </x:c>
      <x:c r="BA760" s="3" t="str">
        <x:f>IF(AND('中古車掲載'!C761="One2car",'中古車掲載'!F761="Corolla Cross",'中古車掲載'!L761="HEV PREMIUM SAFETY",'中古車掲載'!J761=2023,ISNUMBER('中古車掲載'!N761),'中古車掲載'!N761&gt;=20000,'中古車掲載'!O761&lt;=100000,'中古車掲載'!AL761=1,'中古車掲載'!Z761="https://www.one2car.com/en/cars-for-sale/toyota/corolla-cross/year-2023"),'中古車掲載'!U761,"")</x:f>
      </x:c>
      <x:c r="BB760" s="3" t="str">
        <x:f>IF(AND('中古車掲載'!C761="One2car",'中古車掲載'!F761="ATTO 3",'中古車掲載'!L761="EXTENDED RANGE",'中古車掲載'!J761=2023,ISNUMBER('中古車掲載'!N761),'中古車掲載'!N761&gt;=50000,'中古車掲載'!O761&lt;=100000,'中古車掲載'!AL761=1),'中古車掲載'!U761,"")</x:f>
      </x:c>
      <x:c r="BC760" s="3" t="str">
        <x:f>IF(AND('中古車掲載'!C761="One2car",'中古車掲載'!F761="Corolla Cross",'中古車掲載'!L761="HEV PREMIUM SAFETY",'中古車掲載'!J761=2023,ISNUMBER('中古車掲載'!N761),'中古車掲載'!N761&gt;=50000,'中古車掲載'!O761&lt;=100000,'中古車掲載'!AL761=1,'中古車掲載'!Z761="https://www.one2car.com/en/cars-for-sale/toyota/corolla-cross/year-2023"),'中古車掲載'!U761,"")</x:f>
      </x:c>
      <x:c r="BD760" s="3" t="str">
        <x:f>IF(AND('中古車掲載'!C761="One2car",'中古車掲載'!F761="ATTO 3",'中古車掲載'!L761="EXTENDED RANGE",'中古車掲載'!J761=2023,ISNUMBER('中古車掲載'!N761),'中古車掲載'!N761&gt;=20000,'中古車掲載'!O761&lt;=50000,'中古車掲載'!AL761=1),'中古車掲載'!U761,"")</x:f>
      </x:c>
      <x:c r="BE760" s="3" t="str">
        <x:f>IF(AND('中古車掲載'!C761="One2car",'中古車掲載'!F761="Corolla Cross",'中古車掲載'!L761="HEV PREMIUM SAFETY",'中古車掲載'!J761=2023,ISNUMBER('中古車掲載'!N761),'中古車掲載'!N761&gt;=20000,'中古車掲載'!O761&lt;=50000,'中古車掲載'!AL761=1,'中古車掲載'!Z761="https://www.one2car.com/en/cars-for-sale/toyota/corolla-cross/year-2023"),'中古車掲載'!U761,"")</x:f>
      </x:c>
      <x:c r="BF760" s="3" t="str">
        <x:f>IF(AND('中古車掲載'!C761="One2car",'中古車掲載'!F761="Corolla Cross",'中古車掲載'!L761="HEV PREMIUM",'中古車掲載'!J761=2023,ISNUMBER('中古車掲載'!N761),'中古車掲載'!N761&gt;=20000,'中古車掲載'!O761&lt;=100000,'中古車掲載'!AL761=1,'中古車掲載'!Z761="https://www.one2car.com/en/cars-for-sale/toyota/corolla-cross/year-2023"),'中古車掲載'!U761,"")</x:f>
      </x:c>
      <x:c r="BG760" s="3" t="str">
        <x:f>IF(AND('中古車掲載'!C761="One2car",'中古車掲載'!F761="Corolla Cross",'中古車掲載'!L761="HEV GR SPORT",'中古車掲載'!J761=2023,ISNUMBER('中古車掲載'!N761),'中古車掲載'!N761&gt;=20000,'中古車掲載'!O761&lt;=100000,'中古車掲載'!AL761=1,'中古車掲載'!Z761="https://www.one2car.com/en/cars-for-sale/toyota/corolla-cross/year-2023"),'中古車掲載'!U761,"")</x:f>
      </x:c>
      <x:c r="BH760" s="3" t="str">
        <x:f>IF(AND('中古車掲載'!C761="One2car",'中古車掲載'!F761="DOLPHIN",'中古車掲載'!L761="STANDARD RANGE",'中古車掲載'!J761=2023,ISNUMBER('中古車掲載'!N761),'中古車掲載'!N761&gt;=20000,'中古車掲載'!O761&lt;=100000,'中古車掲載'!AL761=1),'中古車掲載'!U761,"")</x:f>
      </x:c>
      <x:c r="BI760" s="3" t="str">
        <x:v>Taladrod|Hilux Revo|ICE|Unknown</x:v>
      </x:c>
      <x:c r="BJ760" s="3" t="n">
        <x:v>761</x:v>
      </x:c>
      <x:c r="BK760" s="3" t="n">
        <x:f>'中古車掲載'!AM761</x:f>
        <x:v>369000</x:v>
      </x:c>
      <x:c r="BL760" s="3" t="str">
        <x:f>IF(ISNUMBER('中古車掲載'!AN761),'中古車掲載'!AN761,"")</x:f>
      </x:c>
      <x:c r="BM760" s="3"/>
      <x:c r="BN760" s="3"/>
      <x:c r="BO760" s="3"/>
      <x:c r="BP760" s="3"/>
      <x:c r="BQ760" s="3"/>
      <x:c r="BR760" s="3"/>
    </x:row>
    <x:row r="761" ht="22" customHeight="1">
      <x:c r="A761" s="3"/>
      <x:c r="B761" s="3"/>
      <x:c r="C761" s="3"/>
      <x:c r="D761" s="3"/>
      <x:c r="E761" s="3"/>
      <x:c r="F761" s="3"/>
      <x:c r="G761" s="3"/>
      <x:c r="H761" s="3"/>
      <x:c r="I761" s="3"/>
      <x:c r="J761" s="3"/>
      <x:c r="K761" s="3"/>
      <x:c r="L761" s="3"/>
      <x:c r="M761" s="3"/>
      <x:c r="N761" s="3"/>
      <x:c r="O761" s="3"/>
      <x:c r="P761" s="3"/>
      <x:c r="Q761" s="3"/>
      <x:c r="R761" s="3"/>
      <x:c r="S761" s="3"/>
      <x:c r="T761" s="3"/>
      <x:c r="U761" s="3"/>
      <x:c r="V761" s="3"/>
      <x:c r="W761" s="3"/>
      <x:c r="X761" s="3"/>
      <x:c r="Y761" s="3"/>
      <x:c r="Z761" s="3"/>
      <x:c r="AA761" s="3"/>
      <x:c r="AB761" s="3"/>
      <x:c r="AC761" s="3"/>
      <x:c r="AD761" s="3"/>
      <x:c r="AE761" s="3"/>
      <x:c r="AF761" s="3"/>
      <x:c r="AG761" s="3"/>
      <x:c r="AH761" s="3"/>
      <x:c r="AI761" s="3"/>
      <x:c r="AJ761" s="3"/>
      <x:c r="AK761" s="3"/>
      <x:c r="AL761" s="3"/>
      <x:c r="AM761" s="3"/>
      <x:c r="AN761" s="3"/>
      <x:c r="AO761" s="3"/>
      <x:c r="AP761" s="3"/>
      <x:c r="AQ761" s="3"/>
      <x:c r="AR761" s="3"/>
      <x:c r="AS761" s="3"/>
      <x:c r="AT761" s="3"/>
      <x:c r="AU761" s="3"/>
      <x:c r="AV761" s="3"/>
      <x:c r="AW761" s="3"/>
      <x:c r="AX761" s="3"/>
      <x:c r="AY761" s="3"/>
      <x:c r="AZ761" s="3" t="str">
        <x:f>IF(AND('中古車掲載'!C762="One2car",'中古車掲載'!F762="ATTO 3",'中古車掲載'!L762="EXTENDED RANGE",'中古車掲載'!J762=2023,ISNUMBER('中古車掲載'!N762),'中古車掲載'!N762&gt;=20000,'中古車掲載'!O762&lt;=100000,'中古車掲載'!AL762=1),'中古車掲載'!U762,"")</x:f>
      </x:c>
      <x:c r="BA761" s="3" t="str">
        <x:f>IF(AND('中古車掲載'!C762="One2car",'中古車掲載'!F762="Corolla Cross",'中古車掲載'!L762="HEV PREMIUM SAFETY",'中古車掲載'!J762=2023,ISNUMBER('中古車掲載'!N762),'中古車掲載'!N762&gt;=20000,'中古車掲載'!O762&lt;=100000,'中古車掲載'!AL762=1,'中古車掲載'!Z762="https://www.one2car.com/en/cars-for-sale/toyota/corolla-cross/year-2023"),'中古車掲載'!U762,"")</x:f>
      </x:c>
      <x:c r="BB761" s="3" t="str">
        <x:f>IF(AND('中古車掲載'!C762="One2car",'中古車掲載'!F762="ATTO 3",'中古車掲載'!L762="EXTENDED RANGE",'中古車掲載'!J762=2023,ISNUMBER('中古車掲載'!N762),'中古車掲載'!N762&gt;=50000,'中古車掲載'!O762&lt;=100000,'中古車掲載'!AL762=1),'中古車掲載'!U762,"")</x:f>
      </x:c>
      <x:c r="BC761" s="3" t="str">
        <x:f>IF(AND('中古車掲載'!C762="One2car",'中古車掲載'!F762="Corolla Cross",'中古車掲載'!L762="HEV PREMIUM SAFETY",'中古車掲載'!J762=2023,ISNUMBER('中古車掲載'!N762),'中古車掲載'!N762&gt;=50000,'中古車掲載'!O762&lt;=100000,'中古車掲載'!AL762=1,'中古車掲載'!Z762="https://www.one2car.com/en/cars-for-sale/toyota/corolla-cross/year-2023"),'中古車掲載'!U762,"")</x:f>
      </x:c>
      <x:c r="BD761" s="3" t="str">
        <x:f>IF(AND('中古車掲載'!C762="One2car",'中古車掲載'!F762="ATTO 3",'中古車掲載'!L762="EXTENDED RANGE",'中古車掲載'!J762=2023,ISNUMBER('中古車掲載'!N762),'中古車掲載'!N762&gt;=20000,'中古車掲載'!O762&lt;=50000,'中古車掲載'!AL762=1),'中古車掲載'!U762,"")</x:f>
      </x:c>
      <x:c r="BE761" s="3" t="str">
        <x:f>IF(AND('中古車掲載'!C762="One2car",'中古車掲載'!F762="Corolla Cross",'中古車掲載'!L762="HEV PREMIUM SAFETY",'中古車掲載'!J762=2023,ISNUMBER('中古車掲載'!N762),'中古車掲載'!N762&gt;=20000,'中古車掲載'!O762&lt;=50000,'中古車掲載'!AL762=1,'中古車掲載'!Z762="https://www.one2car.com/en/cars-for-sale/toyota/corolla-cross/year-2023"),'中古車掲載'!U762,"")</x:f>
      </x:c>
      <x:c r="BF761" s="3" t="str">
        <x:f>IF(AND('中古車掲載'!C762="One2car",'中古車掲載'!F762="Corolla Cross",'中古車掲載'!L762="HEV PREMIUM",'中古車掲載'!J762=2023,ISNUMBER('中古車掲載'!N762),'中古車掲載'!N762&gt;=20000,'中古車掲載'!O762&lt;=100000,'中古車掲載'!AL762=1,'中古車掲載'!Z762="https://www.one2car.com/en/cars-for-sale/toyota/corolla-cross/year-2023"),'中古車掲載'!U762,"")</x:f>
      </x:c>
      <x:c r="BG761" s="3" t="str">
        <x:f>IF(AND('中古車掲載'!C762="One2car",'中古車掲載'!F762="Corolla Cross",'中古車掲載'!L762="HEV GR SPORT",'中古車掲載'!J762=2023,ISNUMBER('中古車掲載'!N762),'中古車掲載'!N762&gt;=20000,'中古車掲載'!O762&lt;=100000,'中古車掲載'!AL762=1,'中古車掲載'!Z762="https://www.one2car.com/en/cars-for-sale/toyota/corolla-cross/year-2023"),'中古車掲載'!U762,"")</x:f>
      </x:c>
      <x:c r="BH761" s="3" t="str">
        <x:f>IF(AND('中古車掲載'!C762="One2car",'中古車掲載'!F762="DOLPHIN",'中古車掲載'!L762="STANDARD RANGE",'中古車掲載'!J762=2023,ISNUMBER('中古車掲載'!N762),'中古車掲載'!N762&gt;=20000,'中古車掲載'!O762&lt;=100000,'中古車掲載'!AL762=1),'中古車掲載'!U762,"")</x:f>
      </x:c>
      <x:c r="BI761" s="3" t="str">
        <x:v>Taladrod|Hilux Revo|ICE|Unknown</x:v>
      </x:c>
      <x:c r="BJ761" s="3" t="n">
        <x:v>762</x:v>
      </x:c>
      <x:c r="BK761" s="3" t="n">
        <x:f>'中古車掲載'!AM762</x:f>
        <x:v>760000</x:v>
      </x:c>
      <x:c r="BL761" s="3" t="str">
        <x:f>IF(ISNUMBER('中古車掲載'!AN762),'中古車掲載'!AN762,"")</x:f>
      </x:c>
      <x:c r="BM761" s="3"/>
      <x:c r="BN761" s="3"/>
      <x:c r="BO761" s="3"/>
      <x:c r="BP761" s="3"/>
      <x:c r="BQ761" s="3"/>
      <x:c r="BR761" s="3"/>
    </x:row>
    <x:row r="762" ht="22" customHeight="1">
      <x:c r="A762" s="3"/>
      <x:c r="B762" s="3"/>
      <x:c r="C762" s="3"/>
      <x:c r="D762" s="3"/>
      <x:c r="E762" s="3"/>
      <x:c r="F762" s="3"/>
      <x:c r="G762" s="3"/>
      <x:c r="H762" s="3"/>
      <x:c r="I762" s="3"/>
      <x:c r="J762" s="3"/>
      <x:c r="K762" s="3"/>
      <x:c r="L762" s="3"/>
      <x:c r="M762" s="3"/>
      <x:c r="N762" s="3"/>
      <x:c r="O762" s="3"/>
      <x:c r="P762" s="3"/>
      <x:c r="Q762" s="3"/>
      <x:c r="R762" s="3"/>
      <x:c r="S762" s="3"/>
      <x:c r="T762" s="3"/>
      <x:c r="U762" s="3"/>
      <x:c r="V762" s="3"/>
      <x:c r="W762" s="3"/>
      <x:c r="X762" s="3"/>
      <x:c r="Y762" s="3"/>
      <x:c r="Z762" s="3"/>
      <x:c r="AA762" s="3"/>
      <x:c r="AB762" s="3"/>
      <x:c r="AC762" s="3"/>
      <x:c r="AD762" s="3"/>
      <x:c r="AE762" s="3"/>
      <x:c r="AF762" s="3"/>
      <x:c r="AG762" s="3"/>
      <x:c r="AH762" s="3"/>
      <x:c r="AI762" s="3"/>
      <x:c r="AJ762" s="3"/>
      <x:c r="AK762" s="3"/>
      <x:c r="AL762" s="3"/>
      <x:c r="AM762" s="3"/>
      <x:c r="AN762" s="3"/>
      <x:c r="AO762" s="3"/>
      <x:c r="AP762" s="3"/>
      <x:c r="AQ762" s="3"/>
      <x:c r="AR762" s="3"/>
      <x:c r="AS762" s="3"/>
      <x:c r="AT762" s="3"/>
      <x:c r="AU762" s="3"/>
      <x:c r="AV762" s="3"/>
      <x:c r="AW762" s="3"/>
      <x:c r="AX762" s="3"/>
      <x:c r="AY762" s="3"/>
      <x:c r="AZ762" s="3" t="str">
        <x:f>IF(AND('中古車掲載'!C763="One2car",'中古車掲載'!F763="ATTO 3",'中古車掲載'!L763="EXTENDED RANGE",'中古車掲載'!J763=2023,ISNUMBER('中古車掲載'!N763),'中古車掲載'!N763&gt;=20000,'中古車掲載'!O763&lt;=100000,'中古車掲載'!AL763=1),'中古車掲載'!U763,"")</x:f>
      </x:c>
      <x:c r="BA762" s="3" t="str">
        <x:f>IF(AND('中古車掲載'!C763="One2car",'中古車掲載'!F763="Corolla Cross",'中古車掲載'!L763="HEV PREMIUM SAFETY",'中古車掲載'!J763=2023,ISNUMBER('中古車掲載'!N763),'中古車掲載'!N763&gt;=20000,'中古車掲載'!O763&lt;=100000,'中古車掲載'!AL763=1,'中古車掲載'!Z763="https://www.one2car.com/en/cars-for-sale/toyota/corolla-cross/year-2023"),'中古車掲載'!U763,"")</x:f>
      </x:c>
      <x:c r="BB762" s="3" t="str">
        <x:f>IF(AND('中古車掲載'!C763="One2car",'中古車掲載'!F763="ATTO 3",'中古車掲載'!L763="EXTENDED RANGE",'中古車掲載'!J763=2023,ISNUMBER('中古車掲載'!N763),'中古車掲載'!N763&gt;=50000,'中古車掲載'!O763&lt;=100000,'中古車掲載'!AL763=1),'中古車掲載'!U763,"")</x:f>
      </x:c>
      <x:c r="BC762" s="3" t="str">
        <x:f>IF(AND('中古車掲載'!C763="One2car",'中古車掲載'!F763="Corolla Cross",'中古車掲載'!L763="HEV PREMIUM SAFETY",'中古車掲載'!J763=2023,ISNUMBER('中古車掲載'!N763),'中古車掲載'!N763&gt;=50000,'中古車掲載'!O763&lt;=100000,'中古車掲載'!AL763=1,'中古車掲載'!Z763="https://www.one2car.com/en/cars-for-sale/toyota/corolla-cross/year-2023"),'中古車掲載'!U763,"")</x:f>
      </x:c>
      <x:c r="BD762" s="3" t="str">
        <x:f>IF(AND('中古車掲載'!C763="One2car",'中古車掲載'!F763="ATTO 3",'中古車掲載'!L763="EXTENDED RANGE",'中古車掲載'!J763=2023,ISNUMBER('中古車掲載'!N763),'中古車掲載'!N763&gt;=20000,'中古車掲載'!O763&lt;=50000,'中古車掲載'!AL763=1),'中古車掲載'!U763,"")</x:f>
      </x:c>
      <x:c r="BE762" s="3" t="str">
        <x:f>IF(AND('中古車掲載'!C763="One2car",'中古車掲載'!F763="Corolla Cross",'中古車掲載'!L763="HEV PREMIUM SAFETY",'中古車掲載'!J763=2023,ISNUMBER('中古車掲載'!N763),'中古車掲載'!N763&gt;=20000,'中古車掲載'!O763&lt;=50000,'中古車掲載'!AL763=1,'中古車掲載'!Z763="https://www.one2car.com/en/cars-for-sale/toyota/corolla-cross/year-2023"),'中古車掲載'!U763,"")</x:f>
      </x:c>
      <x:c r="BF762" s="3" t="str">
        <x:f>IF(AND('中古車掲載'!C763="One2car",'中古車掲載'!F763="Corolla Cross",'中古車掲載'!L763="HEV PREMIUM",'中古車掲載'!J763=2023,ISNUMBER('中古車掲載'!N763),'中古車掲載'!N763&gt;=20000,'中古車掲載'!O763&lt;=100000,'中古車掲載'!AL763=1,'中古車掲載'!Z763="https://www.one2car.com/en/cars-for-sale/toyota/corolla-cross/year-2023"),'中古車掲載'!U763,"")</x:f>
      </x:c>
      <x:c r="BG762" s="3" t="str">
        <x:f>IF(AND('中古車掲載'!C763="One2car",'中古車掲載'!F763="Corolla Cross",'中古車掲載'!L763="HEV GR SPORT",'中古車掲載'!J763=2023,ISNUMBER('中古車掲載'!N763),'中古車掲載'!N763&gt;=20000,'中古車掲載'!O763&lt;=100000,'中古車掲載'!AL763=1,'中古車掲載'!Z763="https://www.one2car.com/en/cars-for-sale/toyota/corolla-cross/year-2023"),'中古車掲載'!U763,"")</x:f>
      </x:c>
      <x:c r="BH762" s="3" t="str">
        <x:f>IF(AND('中古車掲載'!C763="One2car",'中古車掲載'!F763="DOLPHIN",'中古車掲載'!L763="STANDARD RANGE",'中古車掲載'!J763=2023,ISNUMBER('中古車掲載'!N763),'中古車掲載'!N763&gt;=20000,'中古車掲載'!O763&lt;=100000,'中古車掲載'!AL763=1),'中古車掲載'!U763,"")</x:f>
      </x:c>
      <x:c r="BI762" s="3" t="str">
        <x:v>Taladrod|Hilux Revo|ICE|Unknown</x:v>
      </x:c>
      <x:c r="BJ762" s="3" t="n">
        <x:v>763</x:v>
      </x:c>
      <x:c r="BK762" s="3" t="n">
        <x:f>'中古車掲載'!AM763</x:f>
        <x:v>750000</x:v>
      </x:c>
      <x:c r="BL762" s="3" t="str">
        <x:f>IF(ISNUMBER('中古車掲載'!AN763),'中古車掲載'!AN763,"")</x:f>
      </x:c>
      <x:c r="BM762" s="3"/>
      <x:c r="BN762" s="3"/>
      <x:c r="BO762" s="3"/>
      <x:c r="BP762" s="3"/>
      <x:c r="BQ762" s="3"/>
      <x:c r="BR762" s="3"/>
    </x:row>
    <x:row r="763" ht="22" customHeight="1">
      <x:c r="A763" s="3"/>
      <x:c r="B763" s="3"/>
      <x:c r="C763" s="3"/>
      <x:c r="D763" s="3"/>
      <x:c r="E763" s="3"/>
      <x:c r="F763" s="3"/>
      <x:c r="G763" s="3"/>
      <x:c r="H763" s="3"/>
      <x:c r="I763" s="3"/>
      <x:c r="J763" s="3"/>
      <x:c r="K763" s="3"/>
      <x:c r="L763" s="3"/>
      <x:c r="M763" s="3"/>
      <x:c r="N763" s="3"/>
      <x:c r="O763" s="3"/>
      <x:c r="P763" s="3"/>
      <x:c r="Q763" s="3"/>
      <x:c r="R763" s="3"/>
      <x:c r="S763" s="3"/>
      <x:c r="T763" s="3"/>
      <x:c r="U763" s="3"/>
      <x:c r="V763" s="3"/>
      <x:c r="W763" s="3"/>
      <x:c r="X763" s="3"/>
      <x:c r="Y763" s="3"/>
      <x:c r="Z763" s="3"/>
      <x:c r="AA763" s="3"/>
      <x:c r="AB763" s="3"/>
      <x:c r="AC763" s="3"/>
      <x:c r="AD763" s="3"/>
      <x:c r="AE763" s="3"/>
      <x:c r="AF763" s="3"/>
      <x:c r="AG763" s="3"/>
      <x:c r="AH763" s="3"/>
      <x:c r="AI763" s="3"/>
      <x:c r="AJ763" s="3"/>
      <x:c r="AK763" s="3"/>
      <x:c r="AL763" s="3"/>
      <x:c r="AM763" s="3"/>
      <x:c r="AN763" s="3"/>
      <x:c r="AO763" s="3"/>
      <x:c r="AP763" s="3"/>
      <x:c r="AQ763" s="3"/>
      <x:c r="AR763" s="3"/>
      <x:c r="AS763" s="3"/>
      <x:c r="AT763" s="3"/>
      <x:c r="AU763" s="3"/>
      <x:c r="AV763" s="3"/>
      <x:c r="AW763" s="3"/>
      <x:c r="AX763" s="3"/>
      <x:c r="AY763" s="3"/>
      <x:c r="AZ763" s="3" t="str">
        <x:f>IF(AND('中古車掲載'!C764="One2car",'中古車掲載'!F764="ATTO 3",'中古車掲載'!L764="EXTENDED RANGE",'中古車掲載'!J764=2023,ISNUMBER('中古車掲載'!N764),'中古車掲載'!N764&gt;=20000,'中古車掲載'!O764&lt;=100000,'中古車掲載'!AL764=1),'中古車掲載'!U764,"")</x:f>
      </x:c>
      <x:c r="BA763" s="3" t="str">
        <x:f>IF(AND('中古車掲載'!C764="One2car",'中古車掲載'!F764="Corolla Cross",'中古車掲載'!L764="HEV PREMIUM SAFETY",'中古車掲載'!J764=2023,ISNUMBER('中古車掲載'!N764),'中古車掲載'!N764&gt;=20000,'中古車掲載'!O764&lt;=100000,'中古車掲載'!AL764=1,'中古車掲載'!Z764="https://www.one2car.com/en/cars-for-sale/toyota/corolla-cross/year-2023"),'中古車掲載'!U764,"")</x:f>
      </x:c>
      <x:c r="BB763" s="3" t="str">
        <x:f>IF(AND('中古車掲載'!C764="One2car",'中古車掲載'!F764="ATTO 3",'中古車掲載'!L764="EXTENDED RANGE",'中古車掲載'!J764=2023,ISNUMBER('中古車掲載'!N764),'中古車掲載'!N764&gt;=50000,'中古車掲載'!O764&lt;=100000,'中古車掲載'!AL764=1),'中古車掲載'!U764,"")</x:f>
      </x:c>
      <x:c r="BC763" s="3" t="str">
        <x:f>IF(AND('中古車掲載'!C764="One2car",'中古車掲載'!F764="Corolla Cross",'中古車掲載'!L764="HEV PREMIUM SAFETY",'中古車掲載'!J764=2023,ISNUMBER('中古車掲載'!N764),'中古車掲載'!N764&gt;=50000,'中古車掲載'!O764&lt;=100000,'中古車掲載'!AL764=1,'中古車掲載'!Z764="https://www.one2car.com/en/cars-for-sale/toyota/corolla-cross/year-2023"),'中古車掲載'!U764,"")</x:f>
      </x:c>
      <x:c r="BD763" s="3" t="str">
        <x:f>IF(AND('中古車掲載'!C764="One2car",'中古車掲載'!F764="ATTO 3",'中古車掲載'!L764="EXTENDED RANGE",'中古車掲載'!J764=2023,ISNUMBER('中古車掲載'!N764),'中古車掲載'!N764&gt;=20000,'中古車掲載'!O764&lt;=50000,'中古車掲載'!AL764=1),'中古車掲載'!U764,"")</x:f>
      </x:c>
      <x:c r="BE763" s="3" t="str">
        <x:f>IF(AND('中古車掲載'!C764="One2car",'中古車掲載'!F764="Corolla Cross",'中古車掲載'!L764="HEV PREMIUM SAFETY",'中古車掲載'!J764=2023,ISNUMBER('中古車掲載'!N764),'中古車掲載'!N764&gt;=20000,'中古車掲載'!O764&lt;=50000,'中古車掲載'!AL764=1,'中古車掲載'!Z764="https://www.one2car.com/en/cars-for-sale/toyota/corolla-cross/year-2023"),'中古車掲載'!U764,"")</x:f>
      </x:c>
      <x:c r="BF763" s="3" t="str">
        <x:f>IF(AND('中古車掲載'!C764="One2car",'中古車掲載'!F764="Corolla Cross",'中古車掲載'!L764="HEV PREMIUM",'中古車掲載'!J764=2023,ISNUMBER('中古車掲載'!N764),'中古車掲載'!N764&gt;=20000,'中古車掲載'!O764&lt;=100000,'中古車掲載'!AL764=1,'中古車掲載'!Z764="https://www.one2car.com/en/cars-for-sale/toyota/corolla-cross/year-2023"),'中古車掲載'!U764,"")</x:f>
      </x:c>
      <x:c r="BG763" s="3" t="str">
        <x:f>IF(AND('中古車掲載'!C764="One2car",'中古車掲載'!F764="Corolla Cross",'中古車掲載'!L764="HEV GR SPORT",'中古車掲載'!J764=2023,ISNUMBER('中古車掲載'!N764),'中古車掲載'!N764&gt;=20000,'中古車掲載'!O764&lt;=100000,'中古車掲載'!AL764=1,'中古車掲載'!Z764="https://www.one2car.com/en/cars-for-sale/toyota/corolla-cross/year-2023"),'中古車掲載'!U764,"")</x:f>
      </x:c>
      <x:c r="BH763" s="3" t="str">
        <x:f>IF(AND('中古車掲載'!C764="One2car",'中古車掲載'!F764="DOLPHIN",'中古車掲載'!L764="STANDARD RANGE",'中古車掲載'!J764=2023,ISNUMBER('中古車掲載'!N764),'中古車掲載'!N764&gt;=20000,'中古車掲載'!O764&lt;=100000,'中古車掲載'!AL764=1),'中古車掲載'!U764,"")</x:f>
      </x:c>
      <x:c r="BI763" s="3" t="str">
        <x:v>Taladrod|Hilux Revo|ICE|Unknown</x:v>
      </x:c>
      <x:c r="BJ763" s="3" t="n">
        <x:v>764</x:v>
      </x:c>
      <x:c r="BK763" s="3" t="n">
        <x:f>'中古車掲載'!AM764</x:f>
        <x:v>364000</x:v>
      </x:c>
      <x:c r="BL763" s="3" t="str">
        <x:f>IF(ISNUMBER('中古車掲載'!AN764),'中古車掲載'!AN764,"")</x:f>
      </x:c>
      <x:c r="BM763" s="3"/>
      <x:c r="BN763" s="3"/>
      <x:c r="BO763" s="3"/>
      <x:c r="BP763" s="3"/>
      <x:c r="BQ763" s="3"/>
      <x:c r="BR763" s="3"/>
    </x:row>
    <x:row r="764" ht="22" customHeight="1">
      <x:c r="A764" s="3"/>
      <x:c r="B764" s="3"/>
      <x:c r="C764" s="3"/>
      <x:c r="D764" s="3"/>
      <x:c r="E764" s="3"/>
      <x:c r="F764" s="3"/>
      <x:c r="G764" s="3"/>
      <x:c r="H764" s="3"/>
      <x:c r="I764" s="3"/>
      <x:c r="J764" s="3"/>
      <x:c r="K764" s="3"/>
      <x:c r="L764" s="3"/>
      <x:c r="M764" s="3"/>
      <x:c r="N764" s="3"/>
      <x:c r="O764" s="3"/>
      <x:c r="P764" s="3"/>
      <x:c r="Q764" s="3"/>
      <x:c r="R764" s="3"/>
      <x:c r="S764" s="3"/>
      <x:c r="T764" s="3"/>
      <x:c r="U764" s="3"/>
      <x:c r="V764" s="3"/>
      <x:c r="W764" s="3"/>
      <x:c r="X764" s="3"/>
      <x:c r="Y764" s="3"/>
      <x:c r="Z764" s="3"/>
      <x:c r="AA764" s="3"/>
      <x:c r="AB764" s="3"/>
      <x:c r="AC764" s="3"/>
      <x:c r="AD764" s="3"/>
      <x:c r="AE764" s="3"/>
      <x:c r="AF764" s="3"/>
      <x:c r="AG764" s="3"/>
      <x:c r="AH764" s="3"/>
      <x:c r="AI764" s="3"/>
      <x:c r="AJ764" s="3"/>
      <x:c r="AK764" s="3"/>
      <x:c r="AL764" s="3"/>
      <x:c r="AM764" s="3"/>
      <x:c r="AN764" s="3"/>
      <x:c r="AO764" s="3"/>
      <x:c r="AP764" s="3"/>
      <x:c r="AQ764" s="3"/>
      <x:c r="AR764" s="3"/>
      <x:c r="AS764" s="3"/>
      <x:c r="AT764" s="3"/>
      <x:c r="AU764" s="3"/>
      <x:c r="AV764" s="3"/>
      <x:c r="AW764" s="3"/>
      <x:c r="AX764" s="3"/>
      <x:c r="AY764" s="3"/>
      <x:c r="AZ764" s="3" t="str">
        <x:f>IF(AND('中古車掲載'!C765="One2car",'中古車掲載'!F765="ATTO 3",'中古車掲載'!L765="EXTENDED RANGE",'中古車掲載'!J765=2023,ISNUMBER('中古車掲載'!N765),'中古車掲載'!N765&gt;=20000,'中古車掲載'!O765&lt;=100000,'中古車掲載'!AL765=1),'中古車掲載'!U765,"")</x:f>
      </x:c>
      <x:c r="BA764" s="3" t="str">
        <x:f>IF(AND('中古車掲載'!C765="One2car",'中古車掲載'!F765="Corolla Cross",'中古車掲載'!L765="HEV PREMIUM SAFETY",'中古車掲載'!J765=2023,ISNUMBER('中古車掲載'!N765),'中古車掲載'!N765&gt;=20000,'中古車掲載'!O765&lt;=100000,'中古車掲載'!AL765=1,'中古車掲載'!Z765="https://www.one2car.com/en/cars-for-sale/toyota/corolla-cross/year-2023"),'中古車掲載'!U765,"")</x:f>
      </x:c>
      <x:c r="BB764" s="3" t="str">
        <x:f>IF(AND('中古車掲載'!C765="One2car",'中古車掲載'!F765="ATTO 3",'中古車掲載'!L765="EXTENDED RANGE",'中古車掲載'!J765=2023,ISNUMBER('中古車掲載'!N765),'中古車掲載'!N765&gt;=50000,'中古車掲載'!O765&lt;=100000,'中古車掲載'!AL765=1),'中古車掲載'!U765,"")</x:f>
      </x:c>
      <x:c r="BC764" s="3" t="str">
        <x:f>IF(AND('中古車掲載'!C765="One2car",'中古車掲載'!F765="Corolla Cross",'中古車掲載'!L765="HEV PREMIUM SAFETY",'中古車掲載'!J765=2023,ISNUMBER('中古車掲載'!N765),'中古車掲載'!N765&gt;=50000,'中古車掲載'!O765&lt;=100000,'中古車掲載'!AL765=1,'中古車掲載'!Z765="https://www.one2car.com/en/cars-for-sale/toyota/corolla-cross/year-2023"),'中古車掲載'!U765,"")</x:f>
      </x:c>
      <x:c r="BD764" s="3" t="str">
        <x:f>IF(AND('中古車掲載'!C765="One2car",'中古車掲載'!F765="ATTO 3",'中古車掲載'!L765="EXTENDED RANGE",'中古車掲載'!J765=2023,ISNUMBER('中古車掲載'!N765),'中古車掲載'!N765&gt;=20000,'中古車掲載'!O765&lt;=50000,'中古車掲載'!AL765=1),'中古車掲載'!U765,"")</x:f>
      </x:c>
      <x:c r="BE764" s="3" t="str">
        <x:f>IF(AND('中古車掲載'!C765="One2car",'中古車掲載'!F765="Corolla Cross",'中古車掲載'!L765="HEV PREMIUM SAFETY",'中古車掲載'!J765=2023,ISNUMBER('中古車掲載'!N765),'中古車掲載'!N765&gt;=20000,'中古車掲載'!O765&lt;=50000,'中古車掲載'!AL765=1,'中古車掲載'!Z765="https://www.one2car.com/en/cars-for-sale/toyota/corolla-cross/year-2023"),'中古車掲載'!U765,"")</x:f>
      </x:c>
      <x:c r="BF764" s="3" t="str">
        <x:f>IF(AND('中古車掲載'!C765="One2car",'中古車掲載'!F765="Corolla Cross",'中古車掲載'!L765="HEV PREMIUM",'中古車掲載'!J765=2023,ISNUMBER('中古車掲載'!N765),'中古車掲載'!N765&gt;=20000,'中古車掲載'!O765&lt;=100000,'中古車掲載'!AL765=1,'中古車掲載'!Z765="https://www.one2car.com/en/cars-for-sale/toyota/corolla-cross/year-2023"),'中古車掲載'!U765,"")</x:f>
      </x:c>
      <x:c r="BG764" s="3" t="str">
        <x:f>IF(AND('中古車掲載'!C765="One2car",'中古車掲載'!F765="Corolla Cross",'中古車掲載'!L765="HEV GR SPORT",'中古車掲載'!J765=2023,ISNUMBER('中古車掲載'!N765),'中古車掲載'!N765&gt;=20000,'中古車掲載'!O765&lt;=100000,'中古車掲載'!AL765=1,'中古車掲載'!Z765="https://www.one2car.com/en/cars-for-sale/toyota/corolla-cross/year-2023"),'中古車掲載'!U765,"")</x:f>
      </x:c>
      <x:c r="BH764" s="3" t="str">
        <x:f>IF(AND('中古車掲載'!C765="One2car",'中古車掲載'!F765="DOLPHIN",'中古車掲載'!L765="STANDARD RANGE",'中古車掲載'!J765=2023,ISNUMBER('中古車掲載'!N765),'中古車掲載'!N765&gt;=20000,'中古車掲載'!O765&lt;=100000,'中古車掲載'!AL765=1),'中古車掲載'!U765,"")</x:f>
      </x:c>
      <x:c r="BI764" s="3" t="str">
        <x:v>Taladrod|Hilux Revo|ICE|Unknown</x:v>
      </x:c>
      <x:c r="BJ764" s="3" t="n">
        <x:v>765</x:v>
      </x:c>
      <x:c r="BK764" s="3" t="n">
        <x:f>'中古車掲載'!AM765</x:f>
        <x:v>655000</x:v>
      </x:c>
      <x:c r="BL764" s="3" t="str">
        <x:f>IF(ISNUMBER('中古車掲載'!AN765),'中古車掲載'!AN765,"")</x:f>
      </x:c>
      <x:c r="BM764" s="3"/>
      <x:c r="BN764" s="3"/>
      <x:c r="BO764" s="3"/>
      <x:c r="BP764" s="3"/>
      <x:c r="BQ764" s="3"/>
      <x:c r="BR764" s="3"/>
    </x:row>
    <x:row r="765" ht="22" customHeight="1">
      <x:c r="A765" s="3"/>
      <x:c r="B765" s="3"/>
      <x:c r="C765" s="3"/>
      <x:c r="D765" s="3"/>
      <x:c r="E765" s="3"/>
      <x:c r="F765" s="3"/>
      <x:c r="G765" s="3"/>
      <x:c r="H765" s="3"/>
      <x:c r="I765" s="3"/>
      <x:c r="J765" s="3"/>
      <x:c r="K765" s="3"/>
      <x:c r="L765" s="3"/>
      <x:c r="M765" s="3"/>
      <x:c r="N765" s="3"/>
      <x:c r="O765" s="3"/>
      <x:c r="P765" s="3"/>
      <x:c r="Q765" s="3"/>
      <x:c r="R765" s="3"/>
      <x:c r="S765" s="3"/>
      <x:c r="T765" s="3"/>
      <x:c r="U765" s="3"/>
      <x:c r="V765" s="3"/>
      <x:c r="W765" s="3"/>
      <x:c r="X765" s="3"/>
      <x:c r="Y765" s="3"/>
      <x:c r="Z765" s="3"/>
      <x:c r="AA765" s="3"/>
      <x:c r="AB765" s="3"/>
      <x:c r="AC765" s="3"/>
      <x:c r="AD765" s="3"/>
      <x:c r="AE765" s="3"/>
      <x:c r="AF765" s="3"/>
      <x:c r="AG765" s="3"/>
      <x:c r="AH765" s="3"/>
      <x:c r="AI765" s="3"/>
      <x:c r="AJ765" s="3"/>
      <x:c r="AK765" s="3"/>
      <x:c r="AL765" s="3"/>
      <x:c r="AM765" s="3"/>
      <x:c r="AN765" s="3"/>
      <x:c r="AO765" s="3"/>
      <x:c r="AP765" s="3"/>
      <x:c r="AQ765" s="3"/>
      <x:c r="AR765" s="3"/>
      <x:c r="AS765" s="3"/>
      <x:c r="AT765" s="3"/>
      <x:c r="AU765" s="3"/>
      <x:c r="AV765" s="3"/>
      <x:c r="AW765" s="3"/>
      <x:c r="AX765" s="3"/>
      <x:c r="AY765" s="3"/>
      <x:c r="AZ765" s="3" t="str">
        <x:f>IF(AND('中古車掲載'!C766="One2car",'中古車掲載'!F766="ATTO 3",'中古車掲載'!L766="EXTENDED RANGE",'中古車掲載'!J766=2023,ISNUMBER('中古車掲載'!N766),'中古車掲載'!N766&gt;=20000,'中古車掲載'!O766&lt;=100000,'中古車掲載'!AL766=1),'中古車掲載'!U766,"")</x:f>
      </x:c>
      <x:c r="BA765" s="3" t="str">
        <x:f>IF(AND('中古車掲載'!C766="One2car",'中古車掲載'!F766="Corolla Cross",'中古車掲載'!L766="HEV PREMIUM SAFETY",'中古車掲載'!J766=2023,ISNUMBER('中古車掲載'!N766),'中古車掲載'!N766&gt;=20000,'中古車掲載'!O766&lt;=100000,'中古車掲載'!AL766=1,'中古車掲載'!Z766="https://www.one2car.com/en/cars-for-sale/toyota/corolla-cross/year-2023"),'中古車掲載'!U766,"")</x:f>
      </x:c>
      <x:c r="BB765" s="3" t="str">
        <x:f>IF(AND('中古車掲載'!C766="One2car",'中古車掲載'!F766="ATTO 3",'中古車掲載'!L766="EXTENDED RANGE",'中古車掲載'!J766=2023,ISNUMBER('中古車掲載'!N766),'中古車掲載'!N766&gt;=50000,'中古車掲載'!O766&lt;=100000,'中古車掲載'!AL766=1),'中古車掲載'!U766,"")</x:f>
      </x:c>
      <x:c r="BC765" s="3" t="str">
        <x:f>IF(AND('中古車掲載'!C766="One2car",'中古車掲載'!F766="Corolla Cross",'中古車掲載'!L766="HEV PREMIUM SAFETY",'中古車掲載'!J766=2023,ISNUMBER('中古車掲載'!N766),'中古車掲載'!N766&gt;=50000,'中古車掲載'!O766&lt;=100000,'中古車掲載'!AL766=1,'中古車掲載'!Z766="https://www.one2car.com/en/cars-for-sale/toyota/corolla-cross/year-2023"),'中古車掲載'!U766,"")</x:f>
      </x:c>
      <x:c r="BD765" s="3" t="str">
        <x:f>IF(AND('中古車掲載'!C766="One2car",'中古車掲載'!F766="ATTO 3",'中古車掲載'!L766="EXTENDED RANGE",'中古車掲載'!J766=2023,ISNUMBER('中古車掲載'!N766),'中古車掲載'!N766&gt;=20000,'中古車掲載'!O766&lt;=50000,'中古車掲載'!AL766=1),'中古車掲載'!U766,"")</x:f>
      </x:c>
      <x:c r="BE765" s="3" t="str">
        <x:f>IF(AND('中古車掲載'!C766="One2car",'中古車掲載'!F766="Corolla Cross",'中古車掲載'!L766="HEV PREMIUM SAFETY",'中古車掲載'!J766=2023,ISNUMBER('中古車掲載'!N766),'中古車掲載'!N766&gt;=20000,'中古車掲載'!O766&lt;=50000,'中古車掲載'!AL766=1,'中古車掲載'!Z766="https://www.one2car.com/en/cars-for-sale/toyota/corolla-cross/year-2023"),'中古車掲載'!U766,"")</x:f>
      </x:c>
      <x:c r="BF765" s="3" t="str">
        <x:f>IF(AND('中古車掲載'!C766="One2car",'中古車掲載'!F766="Corolla Cross",'中古車掲載'!L766="HEV PREMIUM",'中古車掲載'!J766=2023,ISNUMBER('中古車掲載'!N766),'中古車掲載'!N766&gt;=20000,'中古車掲載'!O766&lt;=100000,'中古車掲載'!AL766=1,'中古車掲載'!Z766="https://www.one2car.com/en/cars-for-sale/toyota/corolla-cross/year-2023"),'中古車掲載'!U766,"")</x:f>
      </x:c>
      <x:c r="BG765" s="3" t="str">
        <x:f>IF(AND('中古車掲載'!C766="One2car",'中古車掲載'!F766="Corolla Cross",'中古車掲載'!L766="HEV GR SPORT",'中古車掲載'!J766=2023,ISNUMBER('中古車掲載'!N766),'中古車掲載'!N766&gt;=20000,'中古車掲載'!O766&lt;=100000,'中古車掲載'!AL766=1,'中古車掲載'!Z766="https://www.one2car.com/en/cars-for-sale/toyota/corolla-cross/year-2023"),'中古車掲載'!U766,"")</x:f>
      </x:c>
      <x:c r="BH765" s="3" t="str">
        <x:f>IF(AND('中古車掲載'!C766="One2car",'中古車掲載'!F766="DOLPHIN",'中古車掲載'!L766="STANDARD RANGE",'中古車掲載'!J766=2023,ISNUMBER('中古車掲載'!N766),'中古車掲載'!N766&gt;=20000,'中古車掲載'!O766&lt;=100000,'中古車掲載'!AL766=1),'中古車掲載'!U766,"")</x:f>
      </x:c>
      <x:c r="BI765" s="3" t="str">
        <x:v>Taladrod|Hilux Revo|ICE|Unknown</x:v>
      </x:c>
      <x:c r="BJ765" s="3" t="n">
        <x:v>766</x:v>
      </x:c>
      <x:c r="BK765" s="3" t="n">
        <x:f>'中古車掲載'!AM766</x:f>
        <x:v>949000</x:v>
      </x:c>
      <x:c r="BL765" s="3" t="str">
        <x:f>IF(ISNUMBER('中古車掲載'!AN766),'中古車掲載'!AN766,"")</x:f>
      </x:c>
      <x:c r="BM765" s="3"/>
      <x:c r="BN765" s="3"/>
      <x:c r="BO765" s="3"/>
      <x:c r="BP765" s="3"/>
      <x:c r="BQ765" s="3"/>
      <x:c r="BR765" s="3"/>
    </x:row>
    <x:row r="766" ht="22" customHeight="1">
      <x:c r="A766" s="3"/>
      <x:c r="B766" s="3"/>
      <x:c r="C766" s="3"/>
      <x:c r="D766" s="3"/>
      <x:c r="E766" s="3"/>
      <x:c r="F766" s="3"/>
      <x:c r="G766" s="3"/>
      <x:c r="H766" s="3"/>
      <x:c r="I766" s="3"/>
      <x:c r="J766" s="3"/>
      <x:c r="K766" s="3"/>
      <x:c r="L766" s="3"/>
      <x:c r="M766" s="3"/>
      <x:c r="N766" s="3"/>
      <x:c r="O766" s="3"/>
      <x:c r="P766" s="3"/>
      <x:c r="Q766" s="3"/>
      <x:c r="R766" s="3"/>
      <x:c r="S766" s="3"/>
      <x:c r="T766" s="3"/>
      <x:c r="U766" s="3"/>
      <x:c r="V766" s="3"/>
      <x:c r="W766" s="3"/>
      <x:c r="X766" s="3"/>
      <x:c r="Y766" s="3"/>
      <x:c r="Z766" s="3"/>
      <x:c r="AA766" s="3"/>
      <x:c r="AB766" s="3"/>
      <x:c r="AC766" s="3"/>
      <x:c r="AD766" s="3"/>
      <x:c r="AE766" s="3"/>
      <x:c r="AF766" s="3"/>
      <x:c r="AG766" s="3"/>
      <x:c r="AH766" s="3"/>
      <x:c r="AI766" s="3"/>
      <x:c r="AJ766" s="3"/>
      <x:c r="AK766" s="3"/>
      <x:c r="AL766" s="3"/>
      <x:c r="AM766" s="3"/>
      <x:c r="AN766" s="3"/>
      <x:c r="AO766" s="3"/>
      <x:c r="AP766" s="3"/>
      <x:c r="AQ766" s="3"/>
      <x:c r="AR766" s="3"/>
      <x:c r="AS766" s="3"/>
      <x:c r="AT766" s="3"/>
      <x:c r="AU766" s="3"/>
      <x:c r="AV766" s="3"/>
      <x:c r="AW766" s="3"/>
      <x:c r="AX766" s="3"/>
      <x:c r="AY766" s="3"/>
      <x:c r="AZ766" s="3" t="str">
        <x:f>IF(AND('中古車掲載'!C767="One2car",'中古車掲載'!F767="ATTO 3",'中古車掲載'!L767="EXTENDED RANGE",'中古車掲載'!J767=2023,ISNUMBER('中古車掲載'!N767),'中古車掲載'!N767&gt;=20000,'中古車掲載'!O767&lt;=100000,'中古車掲載'!AL767=1),'中古車掲載'!U767,"")</x:f>
      </x:c>
      <x:c r="BA766" s="3" t="str">
        <x:f>IF(AND('中古車掲載'!C767="One2car",'中古車掲載'!F767="Corolla Cross",'中古車掲載'!L767="HEV PREMIUM SAFETY",'中古車掲載'!J767=2023,ISNUMBER('中古車掲載'!N767),'中古車掲載'!N767&gt;=20000,'中古車掲載'!O767&lt;=100000,'中古車掲載'!AL767=1,'中古車掲載'!Z767="https://www.one2car.com/en/cars-for-sale/toyota/corolla-cross/year-2023"),'中古車掲載'!U767,"")</x:f>
      </x:c>
      <x:c r="BB766" s="3" t="str">
        <x:f>IF(AND('中古車掲載'!C767="One2car",'中古車掲載'!F767="ATTO 3",'中古車掲載'!L767="EXTENDED RANGE",'中古車掲載'!J767=2023,ISNUMBER('中古車掲載'!N767),'中古車掲載'!N767&gt;=50000,'中古車掲載'!O767&lt;=100000,'中古車掲載'!AL767=1),'中古車掲載'!U767,"")</x:f>
      </x:c>
      <x:c r="BC766" s="3" t="str">
        <x:f>IF(AND('中古車掲載'!C767="One2car",'中古車掲載'!F767="Corolla Cross",'中古車掲載'!L767="HEV PREMIUM SAFETY",'中古車掲載'!J767=2023,ISNUMBER('中古車掲載'!N767),'中古車掲載'!N767&gt;=50000,'中古車掲載'!O767&lt;=100000,'中古車掲載'!AL767=1,'中古車掲載'!Z767="https://www.one2car.com/en/cars-for-sale/toyota/corolla-cross/year-2023"),'中古車掲載'!U767,"")</x:f>
      </x:c>
      <x:c r="BD766" s="3" t="str">
        <x:f>IF(AND('中古車掲載'!C767="One2car",'中古車掲載'!F767="ATTO 3",'中古車掲載'!L767="EXTENDED RANGE",'中古車掲載'!J767=2023,ISNUMBER('中古車掲載'!N767),'中古車掲載'!N767&gt;=20000,'中古車掲載'!O767&lt;=50000,'中古車掲載'!AL767=1),'中古車掲載'!U767,"")</x:f>
      </x:c>
      <x:c r="BE766" s="3" t="str">
        <x:f>IF(AND('中古車掲載'!C767="One2car",'中古車掲載'!F767="Corolla Cross",'中古車掲載'!L767="HEV PREMIUM SAFETY",'中古車掲載'!J767=2023,ISNUMBER('中古車掲載'!N767),'中古車掲載'!N767&gt;=20000,'中古車掲載'!O767&lt;=50000,'中古車掲載'!AL767=1,'中古車掲載'!Z767="https://www.one2car.com/en/cars-for-sale/toyota/corolla-cross/year-2023"),'中古車掲載'!U767,"")</x:f>
      </x:c>
      <x:c r="BF766" s="3" t="str">
        <x:f>IF(AND('中古車掲載'!C767="One2car",'中古車掲載'!F767="Corolla Cross",'中古車掲載'!L767="HEV PREMIUM",'中古車掲載'!J767=2023,ISNUMBER('中古車掲載'!N767),'中古車掲載'!N767&gt;=20000,'中古車掲載'!O767&lt;=100000,'中古車掲載'!AL767=1,'中古車掲載'!Z767="https://www.one2car.com/en/cars-for-sale/toyota/corolla-cross/year-2023"),'中古車掲載'!U767,"")</x:f>
      </x:c>
      <x:c r="BG766" s="3" t="str">
        <x:f>IF(AND('中古車掲載'!C767="One2car",'中古車掲載'!F767="Corolla Cross",'中古車掲載'!L767="HEV GR SPORT",'中古車掲載'!J767=2023,ISNUMBER('中古車掲載'!N767),'中古車掲載'!N767&gt;=20000,'中古車掲載'!O767&lt;=100000,'中古車掲載'!AL767=1,'中古車掲載'!Z767="https://www.one2car.com/en/cars-for-sale/toyota/corolla-cross/year-2023"),'中古車掲載'!U767,"")</x:f>
      </x:c>
      <x:c r="BH766" s="3" t="str">
        <x:f>IF(AND('中古車掲載'!C767="One2car",'中古車掲載'!F767="DOLPHIN",'中古車掲載'!L767="STANDARD RANGE",'中古車掲載'!J767=2023,ISNUMBER('中古車掲載'!N767),'中古車掲載'!N767&gt;=20000,'中古車掲載'!O767&lt;=100000,'中古車掲載'!AL767=1),'中古車掲載'!U767,"")</x:f>
      </x:c>
      <x:c r="BI766" s="3" t="str">
        <x:v>Taladrod|Hilux Revo|ICE|Unknown</x:v>
      </x:c>
      <x:c r="BJ766" s="3" t="n">
        <x:v>767</x:v>
      </x:c>
      <x:c r="BK766" s="3" t="n">
        <x:f>'中古車掲載'!AM767</x:f>
        <x:v>570000</x:v>
      </x:c>
      <x:c r="BL766" s="3" t="str">
        <x:f>IF(ISNUMBER('中古車掲載'!AN767),'中古車掲載'!AN767,"")</x:f>
      </x:c>
      <x:c r="BM766" s="3"/>
      <x:c r="BN766" s="3"/>
      <x:c r="BO766" s="3"/>
      <x:c r="BP766" s="3"/>
      <x:c r="BQ766" s="3"/>
      <x:c r="BR766" s="3"/>
    </x:row>
    <x:row r="767" ht="22" customHeight="1">
      <x:c r="A767" s="3"/>
      <x:c r="B767" s="3"/>
      <x:c r="C767" s="3"/>
      <x:c r="D767" s="3"/>
      <x:c r="E767" s="3"/>
      <x:c r="F767" s="3"/>
      <x:c r="G767" s="3"/>
      <x:c r="H767" s="3"/>
      <x:c r="I767" s="3"/>
      <x:c r="J767" s="3"/>
      <x:c r="K767" s="3"/>
      <x:c r="L767" s="3"/>
      <x:c r="M767" s="3"/>
      <x:c r="N767" s="3"/>
      <x:c r="O767" s="3"/>
      <x:c r="P767" s="3"/>
      <x:c r="Q767" s="3"/>
      <x:c r="R767" s="3"/>
      <x:c r="S767" s="3"/>
      <x:c r="T767" s="3"/>
      <x:c r="U767" s="3"/>
      <x:c r="V767" s="3"/>
      <x:c r="W767" s="3"/>
      <x:c r="X767" s="3"/>
      <x:c r="Y767" s="3"/>
      <x:c r="Z767" s="3"/>
      <x:c r="AA767" s="3"/>
      <x:c r="AB767" s="3"/>
      <x:c r="AC767" s="3"/>
      <x:c r="AD767" s="3"/>
      <x:c r="AE767" s="3"/>
      <x:c r="AF767" s="3"/>
      <x:c r="AG767" s="3"/>
      <x:c r="AH767" s="3"/>
      <x:c r="AI767" s="3"/>
      <x:c r="AJ767" s="3"/>
      <x:c r="AK767" s="3"/>
      <x:c r="AL767" s="3"/>
      <x:c r="AM767" s="3"/>
      <x:c r="AN767" s="3"/>
      <x:c r="AO767" s="3"/>
      <x:c r="AP767" s="3"/>
      <x:c r="AQ767" s="3"/>
      <x:c r="AR767" s="3"/>
      <x:c r="AS767" s="3"/>
      <x:c r="AT767" s="3"/>
      <x:c r="AU767" s="3"/>
      <x:c r="AV767" s="3"/>
      <x:c r="AW767" s="3"/>
      <x:c r="AX767" s="3"/>
      <x:c r="AY767" s="3"/>
      <x:c r="AZ767" s="3" t="str">
        <x:f>IF(AND('中古車掲載'!C768="One2car",'中古車掲載'!F768="ATTO 3",'中古車掲載'!L768="EXTENDED RANGE",'中古車掲載'!J768=2023,ISNUMBER('中古車掲載'!N768),'中古車掲載'!N768&gt;=20000,'中古車掲載'!O768&lt;=100000,'中古車掲載'!AL768=1),'中古車掲載'!U768,"")</x:f>
      </x:c>
      <x:c r="BA767" s="3" t="str">
        <x:f>IF(AND('中古車掲載'!C768="One2car",'中古車掲載'!F768="Corolla Cross",'中古車掲載'!L768="HEV PREMIUM SAFETY",'中古車掲載'!J768=2023,ISNUMBER('中古車掲載'!N768),'中古車掲載'!N768&gt;=20000,'中古車掲載'!O768&lt;=100000,'中古車掲載'!AL768=1,'中古車掲載'!Z768="https://www.one2car.com/en/cars-for-sale/toyota/corolla-cross/year-2023"),'中古車掲載'!U768,"")</x:f>
      </x:c>
      <x:c r="BB767" s="3" t="str">
        <x:f>IF(AND('中古車掲載'!C768="One2car",'中古車掲載'!F768="ATTO 3",'中古車掲載'!L768="EXTENDED RANGE",'中古車掲載'!J768=2023,ISNUMBER('中古車掲載'!N768),'中古車掲載'!N768&gt;=50000,'中古車掲載'!O768&lt;=100000,'中古車掲載'!AL768=1),'中古車掲載'!U768,"")</x:f>
      </x:c>
      <x:c r="BC767" s="3" t="str">
        <x:f>IF(AND('中古車掲載'!C768="One2car",'中古車掲載'!F768="Corolla Cross",'中古車掲載'!L768="HEV PREMIUM SAFETY",'中古車掲載'!J768=2023,ISNUMBER('中古車掲載'!N768),'中古車掲載'!N768&gt;=50000,'中古車掲載'!O768&lt;=100000,'中古車掲載'!AL768=1,'中古車掲載'!Z768="https://www.one2car.com/en/cars-for-sale/toyota/corolla-cross/year-2023"),'中古車掲載'!U768,"")</x:f>
      </x:c>
      <x:c r="BD767" s="3" t="str">
        <x:f>IF(AND('中古車掲載'!C768="One2car",'中古車掲載'!F768="ATTO 3",'中古車掲載'!L768="EXTENDED RANGE",'中古車掲載'!J768=2023,ISNUMBER('中古車掲載'!N768),'中古車掲載'!N768&gt;=20000,'中古車掲載'!O768&lt;=50000,'中古車掲載'!AL768=1),'中古車掲載'!U768,"")</x:f>
      </x:c>
      <x:c r="BE767" s="3" t="str">
        <x:f>IF(AND('中古車掲載'!C768="One2car",'中古車掲載'!F768="Corolla Cross",'中古車掲載'!L768="HEV PREMIUM SAFETY",'中古車掲載'!J768=2023,ISNUMBER('中古車掲載'!N768),'中古車掲載'!N768&gt;=20000,'中古車掲載'!O768&lt;=50000,'中古車掲載'!AL768=1,'中古車掲載'!Z768="https://www.one2car.com/en/cars-for-sale/toyota/corolla-cross/year-2023"),'中古車掲載'!U768,"")</x:f>
      </x:c>
      <x:c r="BF767" s="3" t="str">
        <x:f>IF(AND('中古車掲載'!C768="One2car",'中古車掲載'!F768="Corolla Cross",'中古車掲載'!L768="HEV PREMIUM",'中古車掲載'!J768=2023,ISNUMBER('中古車掲載'!N768),'中古車掲載'!N768&gt;=20000,'中古車掲載'!O768&lt;=100000,'中古車掲載'!AL768=1,'中古車掲載'!Z768="https://www.one2car.com/en/cars-for-sale/toyota/corolla-cross/year-2023"),'中古車掲載'!U768,"")</x:f>
      </x:c>
      <x:c r="BG767" s="3" t="str">
        <x:f>IF(AND('中古車掲載'!C768="One2car",'中古車掲載'!F768="Corolla Cross",'中古車掲載'!L768="HEV GR SPORT",'中古車掲載'!J768=2023,ISNUMBER('中古車掲載'!N768),'中古車掲載'!N768&gt;=20000,'中古車掲載'!O768&lt;=100000,'中古車掲載'!AL768=1,'中古車掲載'!Z768="https://www.one2car.com/en/cars-for-sale/toyota/corolla-cross/year-2023"),'中古車掲載'!U768,"")</x:f>
      </x:c>
      <x:c r="BH767" s="3" t="str">
        <x:f>IF(AND('中古車掲載'!C768="One2car",'中古車掲載'!F768="DOLPHIN",'中古車掲載'!L768="STANDARD RANGE",'中古車掲載'!J768=2023,ISNUMBER('中古車掲載'!N768),'中古車掲載'!N768&gt;=20000,'中古車掲載'!O768&lt;=100000,'中古車掲載'!AL768=1),'中古車掲載'!U768,"")</x:f>
      </x:c>
      <x:c r="BI767" s="3" t="str">
        <x:v>Taladrod|Hilux Revo|ICE|Unknown</x:v>
      </x:c>
      <x:c r="BJ767" s="3" t="n">
        <x:v>768</x:v>
      </x:c>
      <x:c r="BK767" s="3" t="n">
        <x:f>'中古車掲載'!AM768</x:f>
        <x:v>389000</x:v>
      </x:c>
      <x:c r="BL767" s="3" t="str">
        <x:f>IF(ISNUMBER('中古車掲載'!AN768),'中古車掲載'!AN768,"")</x:f>
      </x:c>
      <x:c r="BM767" s="3"/>
      <x:c r="BN767" s="3"/>
      <x:c r="BO767" s="3"/>
      <x:c r="BP767" s="3"/>
      <x:c r="BQ767" s="3"/>
      <x:c r="BR767" s="3"/>
    </x:row>
    <x:row r="768" ht="22" customHeight="1">
      <x:c r="A768" s="3"/>
      <x:c r="B768" s="3"/>
      <x:c r="C768" s="3"/>
      <x:c r="D768" s="3"/>
      <x:c r="E768" s="3"/>
      <x:c r="F768" s="3"/>
      <x:c r="G768" s="3"/>
      <x:c r="H768" s="3"/>
      <x:c r="I768" s="3"/>
      <x:c r="J768" s="3"/>
      <x:c r="K768" s="3"/>
      <x:c r="L768" s="3"/>
      <x:c r="M768" s="3"/>
      <x:c r="N768" s="3"/>
      <x:c r="O768" s="3"/>
      <x:c r="P768" s="3"/>
      <x:c r="Q768" s="3"/>
      <x:c r="R768" s="3"/>
      <x:c r="S768" s="3"/>
      <x:c r="T768" s="3"/>
      <x:c r="U768" s="3"/>
      <x:c r="V768" s="3"/>
      <x:c r="W768" s="3"/>
      <x:c r="X768" s="3"/>
      <x:c r="Y768" s="3"/>
      <x:c r="Z768" s="3"/>
      <x:c r="AA768" s="3"/>
      <x:c r="AB768" s="3"/>
      <x:c r="AC768" s="3"/>
      <x:c r="AD768" s="3"/>
      <x:c r="AE768" s="3"/>
      <x:c r="AF768" s="3"/>
      <x:c r="AG768" s="3"/>
      <x:c r="AH768" s="3"/>
      <x:c r="AI768" s="3"/>
      <x:c r="AJ768" s="3"/>
      <x:c r="AK768" s="3"/>
      <x:c r="AL768" s="3"/>
      <x:c r="AM768" s="3"/>
      <x:c r="AN768" s="3"/>
      <x:c r="AO768" s="3"/>
      <x:c r="AP768" s="3"/>
      <x:c r="AQ768" s="3"/>
      <x:c r="AR768" s="3"/>
      <x:c r="AS768" s="3"/>
      <x:c r="AT768" s="3"/>
      <x:c r="AU768" s="3"/>
      <x:c r="AV768" s="3"/>
      <x:c r="AW768" s="3"/>
      <x:c r="AX768" s="3"/>
      <x:c r="AY768" s="3"/>
      <x:c r="AZ768" s="3" t="str">
        <x:f>IF(AND('中古車掲載'!C769="One2car",'中古車掲載'!F769="ATTO 3",'中古車掲載'!L769="EXTENDED RANGE",'中古車掲載'!J769=2023,ISNUMBER('中古車掲載'!N769),'中古車掲載'!N769&gt;=20000,'中古車掲載'!O769&lt;=100000,'中古車掲載'!AL769=1),'中古車掲載'!U769,"")</x:f>
      </x:c>
      <x:c r="BA768" s="3" t="str">
        <x:f>IF(AND('中古車掲載'!C769="One2car",'中古車掲載'!F769="Corolla Cross",'中古車掲載'!L769="HEV PREMIUM SAFETY",'中古車掲載'!J769=2023,ISNUMBER('中古車掲載'!N769),'中古車掲載'!N769&gt;=20000,'中古車掲載'!O769&lt;=100000,'中古車掲載'!AL769=1,'中古車掲載'!Z769="https://www.one2car.com/en/cars-for-sale/toyota/corolla-cross/year-2023"),'中古車掲載'!U769,"")</x:f>
      </x:c>
      <x:c r="BB768" s="3" t="str">
        <x:f>IF(AND('中古車掲載'!C769="One2car",'中古車掲載'!F769="ATTO 3",'中古車掲載'!L769="EXTENDED RANGE",'中古車掲載'!J769=2023,ISNUMBER('中古車掲載'!N769),'中古車掲載'!N769&gt;=50000,'中古車掲載'!O769&lt;=100000,'中古車掲載'!AL769=1),'中古車掲載'!U769,"")</x:f>
      </x:c>
      <x:c r="BC768" s="3" t="str">
        <x:f>IF(AND('中古車掲載'!C769="One2car",'中古車掲載'!F769="Corolla Cross",'中古車掲載'!L769="HEV PREMIUM SAFETY",'中古車掲載'!J769=2023,ISNUMBER('中古車掲載'!N769),'中古車掲載'!N769&gt;=50000,'中古車掲載'!O769&lt;=100000,'中古車掲載'!AL769=1,'中古車掲載'!Z769="https://www.one2car.com/en/cars-for-sale/toyota/corolla-cross/year-2023"),'中古車掲載'!U769,"")</x:f>
      </x:c>
      <x:c r="BD768" s="3" t="str">
        <x:f>IF(AND('中古車掲載'!C769="One2car",'中古車掲載'!F769="ATTO 3",'中古車掲載'!L769="EXTENDED RANGE",'中古車掲載'!J769=2023,ISNUMBER('中古車掲載'!N769),'中古車掲載'!N769&gt;=20000,'中古車掲載'!O769&lt;=50000,'中古車掲載'!AL769=1),'中古車掲載'!U769,"")</x:f>
      </x:c>
      <x:c r="BE768" s="3" t="str">
        <x:f>IF(AND('中古車掲載'!C769="One2car",'中古車掲載'!F769="Corolla Cross",'中古車掲載'!L769="HEV PREMIUM SAFETY",'中古車掲載'!J769=2023,ISNUMBER('中古車掲載'!N769),'中古車掲載'!N769&gt;=20000,'中古車掲載'!O769&lt;=50000,'中古車掲載'!AL769=1,'中古車掲載'!Z769="https://www.one2car.com/en/cars-for-sale/toyota/corolla-cross/year-2023"),'中古車掲載'!U769,"")</x:f>
      </x:c>
      <x:c r="BF768" s="3" t="str">
        <x:f>IF(AND('中古車掲載'!C769="One2car",'中古車掲載'!F769="Corolla Cross",'中古車掲載'!L769="HEV PREMIUM",'中古車掲載'!J769=2023,ISNUMBER('中古車掲載'!N769),'中古車掲載'!N769&gt;=20000,'中古車掲載'!O769&lt;=100000,'中古車掲載'!AL769=1,'中古車掲載'!Z769="https://www.one2car.com/en/cars-for-sale/toyota/corolla-cross/year-2023"),'中古車掲載'!U769,"")</x:f>
      </x:c>
      <x:c r="BG768" s="3" t="str">
        <x:f>IF(AND('中古車掲載'!C769="One2car",'中古車掲載'!F769="Corolla Cross",'中古車掲載'!L769="HEV GR SPORT",'中古車掲載'!J769=2023,ISNUMBER('中古車掲載'!N769),'中古車掲載'!N769&gt;=20000,'中古車掲載'!O769&lt;=100000,'中古車掲載'!AL769=1,'中古車掲載'!Z769="https://www.one2car.com/en/cars-for-sale/toyota/corolla-cross/year-2023"),'中古車掲載'!U769,"")</x:f>
      </x:c>
      <x:c r="BH768" s="3" t="str">
        <x:f>IF(AND('中古車掲載'!C769="One2car",'中古車掲載'!F769="DOLPHIN",'中古車掲載'!L769="STANDARD RANGE",'中古車掲載'!J769=2023,ISNUMBER('中古車掲載'!N769),'中古車掲載'!N769&gt;=20000,'中古車掲載'!O769&lt;=100000,'中古車掲載'!AL769=1),'中古車掲載'!U769,"")</x:f>
      </x:c>
      <x:c r="BI768" s="3" t="str">
        <x:v>Taladrod|Hilux Revo|ICE|Unknown</x:v>
      </x:c>
      <x:c r="BJ768" s="3" t="n">
        <x:v>769</x:v>
      </x:c>
      <x:c r="BK768" s="3" t="n">
        <x:f>'中古車掲載'!AM769</x:f>
        <x:v>368000</x:v>
      </x:c>
      <x:c r="BL768" s="3" t="str">
        <x:f>IF(ISNUMBER('中古車掲載'!AN769),'中古車掲載'!AN769,"")</x:f>
      </x:c>
      <x:c r="BM768" s="3"/>
      <x:c r="BN768" s="3"/>
      <x:c r="BO768" s="3"/>
      <x:c r="BP768" s="3"/>
      <x:c r="BQ768" s="3"/>
      <x:c r="BR768" s="3"/>
    </x:row>
    <x:row r="769" ht="22" customHeight="1">
      <x:c r="A769" s="3"/>
      <x:c r="B769" s="3"/>
      <x:c r="C769" s="3"/>
      <x:c r="D769" s="3"/>
      <x:c r="E769" s="3"/>
      <x:c r="F769" s="3"/>
      <x:c r="G769" s="3"/>
      <x:c r="H769" s="3"/>
      <x:c r="I769" s="3"/>
      <x:c r="J769" s="3"/>
      <x:c r="K769" s="3"/>
      <x:c r="L769" s="3"/>
      <x:c r="M769" s="3"/>
      <x:c r="N769" s="3"/>
      <x:c r="O769" s="3"/>
      <x:c r="P769" s="3"/>
      <x:c r="Q769" s="3"/>
      <x:c r="R769" s="3"/>
      <x:c r="S769" s="3"/>
      <x:c r="T769" s="3"/>
      <x:c r="U769" s="3"/>
      <x:c r="V769" s="3"/>
      <x:c r="W769" s="3"/>
      <x:c r="X769" s="3"/>
      <x:c r="Y769" s="3"/>
      <x:c r="Z769" s="3"/>
      <x:c r="AA769" s="3"/>
      <x:c r="AB769" s="3"/>
      <x:c r="AC769" s="3"/>
      <x:c r="AD769" s="3"/>
      <x:c r="AE769" s="3"/>
      <x:c r="AF769" s="3"/>
      <x:c r="AG769" s="3"/>
      <x:c r="AH769" s="3"/>
      <x:c r="AI769" s="3"/>
      <x:c r="AJ769" s="3"/>
      <x:c r="AK769" s="3"/>
      <x:c r="AL769" s="3"/>
      <x:c r="AM769" s="3"/>
      <x:c r="AN769" s="3"/>
      <x:c r="AO769" s="3"/>
      <x:c r="AP769" s="3"/>
      <x:c r="AQ769" s="3"/>
      <x:c r="AR769" s="3"/>
      <x:c r="AS769" s="3"/>
      <x:c r="AT769" s="3"/>
      <x:c r="AU769" s="3"/>
      <x:c r="AV769" s="3"/>
      <x:c r="AW769" s="3"/>
      <x:c r="AX769" s="3"/>
      <x:c r="AY769" s="3"/>
      <x:c r="AZ769" s="3" t="str">
        <x:f>IF(AND('中古車掲載'!C770="One2car",'中古車掲載'!F770="ATTO 3",'中古車掲載'!L770="EXTENDED RANGE",'中古車掲載'!J770=2023,ISNUMBER('中古車掲載'!N770),'中古車掲載'!N770&gt;=20000,'中古車掲載'!O770&lt;=100000,'中古車掲載'!AL770=1),'中古車掲載'!U770,"")</x:f>
      </x:c>
      <x:c r="BA769" s="3" t="str">
        <x:f>IF(AND('中古車掲載'!C770="One2car",'中古車掲載'!F770="Corolla Cross",'中古車掲載'!L770="HEV PREMIUM SAFETY",'中古車掲載'!J770=2023,ISNUMBER('中古車掲載'!N770),'中古車掲載'!N770&gt;=20000,'中古車掲載'!O770&lt;=100000,'中古車掲載'!AL770=1,'中古車掲載'!Z770="https://www.one2car.com/en/cars-for-sale/toyota/corolla-cross/year-2023"),'中古車掲載'!U770,"")</x:f>
      </x:c>
      <x:c r="BB769" s="3" t="str">
        <x:f>IF(AND('中古車掲載'!C770="One2car",'中古車掲載'!F770="ATTO 3",'中古車掲載'!L770="EXTENDED RANGE",'中古車掲載'!J770=2023,ISNUMBER('中古車掲載'!N770),'中古車掲載'!N770&gt;=50000,'中古車掲載'!O770&lt;=100000,'中古車掲載'!AL770=1),'中古車掲載'!U770,"")</x:f>
      </x:c>
      <x:c r="BC769" s="3" t="str">
        <x:f>IF(AND('中古車掲載'!C770="One2car",'中古車掲載'!F770="Corolla Cross",'中古車掲載'!L770="HEV PREMIUM SAFETY",'中古車掲載'!J770=2023,ISNUMBER('中古車掲載'!N770),'中古車掲載'!N770&gt;=50000,'中古車掲載'!O770&lt;=100000,'中古車掲載'!AL770=1,'中古車掲載'!Z770="https://www.one2car.com/en/cars-for-sale/toyota/corolla-cross/year-2023"),'中古車掲載'!U770,"")</x:f>
      </x:c>
      <x:c r="BD769" s="3" t="str">
        <x:f>IF(AND('中古車掲載'!C770="One2car",'中古車掲載'!F770="ATTO 3",'中古車掲載'!L770="EXTENDED RANGE",'中古車掲載'!J770=2023,ISNUMBER('中古車掲載'!N770),'中古車掲載'!N770&gt;=20000,'中古車掲載'!O770&lt;=50000,'中古車掲載'!AL770=1),'中古車掲載'!U770,"")</x:f>
      </x:c>
      <x:c r="BE769" s="3" t="str">
        <x:f>IF(AND('中古車掲載'!C770="One2car",'中古車掲載'!F770="Corolla Cross",'中古車掲載'!L770="HEV PREMIUM SAFETY",'中古車掲載'!J770=2023,ISNUMBER('中古車掲載'!N770),'中古車掲載'!N770&gt;=20000,'中古車掲載'!O770&lt;=50000,'中古車掲載'!AL770=1,'中古車掲載'!Z770="https://www.one2car.com/en/cars-for-sale/toyota/corolla-cross/year-2023"),'中古車掲載'!U770,"")</x:f>
      </x:c>
      <x:c r="BF769" s="3" t="str">
        <x:f>IF(AND('中古車掲載'!C770="One2car",'中古車掲載'!F770="Corolla Cross",'中古車掲載'!L770="HEV PREMIUM",'中古車掲載'!J770=2023,ISNUMBER('中古車掲載'!N770),'中古車掲載'!N770&gt;=20000,'中古車掲載'!O770&lt;=100000,'中古車掲載'!AL770=1,'中古車掲載'!Z770="https://www.one2car.com/en/cars-for-sale/toyota/corolla-cross/year-2023"),'中古車掲載'!U770,"")</x:f>
      </x:c>
      <x:c r="BG769" s="3" t="str">
        <x:f>IF(AND('中古車掲載'!C770="One2car",'中古車掲載'!F770="Corolla Cross",'中古車掲載'!L770="HEV GR SPORT",'中古車掲載'!J770=2023,ISNUMBER('中古車掲載'!N770),'中古車掲載'!N770&gt;=20000,'中古車掲載'!O770&lt;=100000,'中古車掲載'!AL770=1,'中古車掲載'!Z770="https://www.one2car.com/en/cars-for-sale/toyota/corolla-cross/year-2023"),'中古車掲載'!U770,"")</x:f>
      </x:c>
      <x:c r="BH769" s="3" t="str">
        <x:f>IF(AND('中古車掲載'!C770="One2car",'中古車掲載'!F770="DOLPHIN",'中古車掲載'!L770="STANDARD RANGE",'中古車掲載'!J770=2023,ISNUMBER('中古車掲載'!N770),'中古車掲載'!N770&gt;=20000,'中古車掲載'!O770&lt;=100000,'中古車掲載'!AL770=1),'中古車掲載'!U770,"")</x:f>
      </x:c>
      <x:c r="BI769" s="3" t="str">
        <x:v>Taladrod|Hilux Revo|ICE|Unknown</x:v>
      </x:c>
      <x:c r="BJ769" s="3" t="n">
        <x:v>770</x:v>
      </x:c>
      <x:c r="BK769" s="3" t="n">
        <x:f>'中古車掲載'!AM770</x:f>
        <x:v>399000</x:v>
      </x:c>
      <x:c r="BL769" s="3" t="str">
        <x:f>IF(ISNUMBER('中古車掲載'!AN770),'中古車掲載'!AN770,"")</x:f>
      </x:c>
      <x:c r="BM769" s="3"/>
      <x:c r="BN769" s="3"/>
      <x:c r="BO769" s="3"/>
      <x:c r="BP769" s="3"/>
      <x:c r="BQ769" s="3"/>
      <x:c r="BR769" s="3"/>
    </x:row>
    <x:row r="770" ht="22" customHeight="1">
      <x:c r="A770" s="3"/>
      <x:c r="B770" s="3"/>
      <x:c r="C770" s="3"/>
      <x:c r="D770" s="3"/>
      <x:c r="E770" s="3"/>
      <x:c r="F770" s="3"/>
      <x:c r="G770" s="3"/>
      <x:c r="H770" s="3"/>
      <x:c r="I770" s="3"/>
      <x:c r="J770" s="3"/>
      <x:c r="K770" s="3"/>
      <x:c r="L770" s="3"/>
      <x:c r="M770" s="3"/>
      <x:c r="N770" s="3"/>
      <x:c r="O770" s="3"/>
      <x:c r="P770" s="3"/>
      <x:c r="Q770" s="3"/>
      <x:c r="R770" s="3"/>
      <x:c r="S770" s="3"/>
      <x:c r="T770" s="3"/>
      <x:c r="U770" s="3"/>
      <x:c r="V770" s="3"/>
      <x:c r="W770" s="3"/>
      <x:c r="X770" s="3"/>
      <x:c r="Y770" s="3"/>
      <x:c r="Z770" s="3"/>
      <x:c r="AA770" s="3"/>
      <x:c r="AB770" s="3"/>
      <x:c r="AC770" s="3"/>
      <x:c r="AD770" s="3"/>
      <x:c r="AE770" s="3"/>
      <x:c r="AF770" s="3"/>
      <x:c r="AG770" s="3"/>
      <x:c r="AH770" s="3"/>
      <x:c r="AI770" s="3"/>
      <x:c r="AJ770" s="3"/>
      <x:c r="AK770" s="3"/>
      <x:c r="AL770" s="3"/>
      <x:c r="AM770" s="3"/>
      <x:c r="AN770" s="3"/>
      <x:c r="AO770" s="3"/>
      <x:c r="AP770" s="3"/>
      <x:c r="AQ770" s="3"/>
      <x:c r="AR770" s="3"/>
      <x:c r="AS770" s="3"/>
      <x:c r="AT770" s="3"/>
      <x:c r="AU770" s="3"/>
      <x:c r="AV770" s="3"/>
      <x:c r="AW770" s="3"/>
      <x:c r="AX770" s="3"/>
      <x:c r="AY770" s="3"/>
      <x:c r="AZ770" s="3" t="str">
        <x:f>IF(AND('中古車掲載'!C771="One2car",'中古車掲載'!F771="ATTO 3",'中古車掲載'!L771="EXTENDED RANGE",'中古車掲載'!J771=2023,ISNUMBER('中古車掲載'!N771),'中古車掲載'!N771&gt;=20000,'中古車掲載'!O771&lt;=100000,'中古車掲載'!AL771=1),'中古車掲載'!U771,"")</x:f>
      </x:c>
      <x:c r="BA770" s="3" t="str">
        <x:f>IF(AND('中古車掲載'!C771="One2car",'中古車掲載'!F771="Corolla Cross",'中古車掲載'!L771="HEV PREMIUM SAFETY",'中古車掲載'!J771=2023,ISNUMBER('中古車掲載'!N771),'中古車掲載'!N771&gt;=20000,'中古車掲載'!O771&lt;=100000,'中古車掲載'!AL771=1,'中古車掲載'!Z771="https://www.one2car.com/en/cars-for-sale/toyota/corolla-cross/year-2023"),'中古車掲載'!U771,"")</x:f>
      </x:c>
      <x:c r="BB770" s="3" t="str">
        <x:f>IF(AND('中古車掲載'!C771="One2car",'中古車掲載'!F771="ATTO 3",'中古車掲載'!L771="EXTENDED RANGE",'中古車掲載'!J771=2023,ISNUMBER('中古車掲載'!N771),'中古車掲載'!N771&gt;=50000,'中古車掲載'!O771&lt;=100000,'中古車掲載'!AL771=1),'中古車掲載'!U771,"")</x:f>
      </x:c>
      <x:c r="BC770" s="3" t="str">
        <x:f>IF(AND('中古車掲載'!C771="One2car",'中古車掲載'!F771="Corolla Cross",'中古車掲載'!L771="HEV PREMIUM SAFETY",'中古車掲載'!J771=2023,ISNUMBER('中古車掲載'!N771),'中古車掲載'!N771&gt;=50000,'中古車掲載'!O771&lt;=100000,'中古車掲載'!AL771=1,'中古車掲載'!Z771="https://www.one2car.com/en/cars-for-sale/toyota/corolla-cross/year-2023"),'中古車掲載'!U771,"")</x:f>
      </x:c>
      <x:c r="BD770" s="3" t="str">
        <x:f>IF(AND('中古車掲載'!C771="One2car",'中古車掲載'!F771="ATTO 3",'中古車掲載'!L771="EXTENDED RANGE",'中古車掲載'!J771=2023,ISNUMBER('中古車掲載'!N771),'中古車掲載'!N771&gt;=20000,'中古車掲載'!O771&lt;=50000,'中古車掲載'!AL771=1),'中古車掲載'!U771,"")</x:f>
      </x:c>
      <x:c r="BE770" s="3" t="str">
        <x:f>IF(AND('中古車掲載'!C771="One2car",'中古車掲載'!F771="Corolla Cross",'中古車掲載'!L771="HEV PREMIUM SAFETY",'中古車掲載'!J771=2023,ISNUMBER('中古車掲載'!N771),'中古車掲載'!N771&gt;=20000,'中古車掲載'!O771&lt;=50000,'中古車掲載'!AL771=1,'中古車掲載'!Z771="https://www.one2car.com/en/cars-for-sale/toyota/corolla-cross/year-2023"),'中古車掲載'!U771,"")</x:f>
      </x:c>
      <x:c r="BF770" s="3" t="str">
        <x:f>IF(AND('中古車掲載'!C771="One2car",'中古車掲載'!F771="Corolla Cross",'中古車掲載'!L771="HEV PREMIUM",'中古車掲載'!J771=2023,ISNUMBER('中古車掲載'!N771),'中古車掲載'!N771&gt;=20000,'中古車掲載'!O771&lt;=100000,'中古車掲載'!AL771=1,'中古車掲載'!Z771="https://www.one2car.com/en/cars-for-sale/toyota/corolla-cross/year-2023"),'中古車掲載'!U771,"")</x:f>
      </x:c>
      <x:c r="BG770" s="3" t="str">
        <x:f>IF(AND('中古車掲載'!C771="One2car",'中古車掲載'!F771="Corolla Cross",'中古車掲載'!L771="HEV GR SPORT",'中古車掲載'!J771=2023,ISNUMBER('中古車掲載'!N771),'中古車掲載'!N771&gt;=20000,'中古車掲載'!O771&lt;=100000,'中古車掲載'!AL771=1,'中古車掲載'!Z771="https://www.one2car.com/en/cars-for-sale/toyota/corolla-cross/year-2023"),'中古車掲載'!U771,"")</x:f>
      </x:c>
      <x:c r="BH770" s="3" t="str">
        <x:f>IF(AND('中古車掲載'!C771="One2car",'中古車掲載'!F771="DOLPHIN",'中古車掲載'!L771="STANDARD RANGE",'中古車掲載'!J771=2023,ISNUMBER('中古車掲載'!N771),'中古車掲載'!N771&gt;=20000,'中古車掲載'!O771&lt;=100000,'中古車掲載'!AL771=1),'中古車掲載'!U771,"")</x:f>
      </x:c>
      <x:c r="BI770" s="3" t="str">
        <x:v>Taladrod|Hilux Revo|ICE|Unknown</x:v>
      </x:c>
      <x:c r="BJ770" s="3" t="n">
        <x:v>771</x:v>
      </x:c>
      <x:c r="BK770" s="3" t="n">
        <x:f>'中古車掲載'!AM771</x:f>
        <x:v>699000</x:v>
      </x:c>
      <x:c r="BL770" s="3" t="str">
        <x:f>IF(ISNUMBER('中古車掲載'!AN771),'中古車掲載'!AN771,"")</x:f>
      </x:c>
      <x:c r="BM770" s="3"/>
      <x:c r="BN770" s="3"/>
      <x:c r="BO770" s="3"/>
      <x:c r="BP770" s="3"/>
      <x:c r="BQ770" s="3"/>
      <x:c r="BR770" s="3"/>
    </x:row>
    <x:row r="771" ht="22" customHeight="1">
      <x:c r="A771" s="3"/>
      <x:c r="B771" s="3"/>
      <x:c r="C771" s="3"/>
      <x:c r="D771" s="3"/>
      <x:c r="E771" s="3"/>
      <x:c r="F771" s="3"/>
      <x:c r="G771" s="3"/>
      <x:c r="H771" s="3"/>
      <x:c r="I771" s="3"/>
      <x:c r="J771" s="3"/>
      <x:c r="K771" s="3"/>
      <x:c r="L771" s="3"/>
      <x:c r="M771" s="3"/>
      <x:c r="N771" s="3"/>
      <x:c r="O771" s="3"/>
      <x:c r="P771" s="3"/>
      <x:c r="Q771" s="3"/>
      <x:c r="R771" s="3"/>
      <x:c r="S771" s="3"/>
      <x:c r="T771" s="3"/>
      <x:c r="U771" s="3"/>
      <x:c r="V771" s="3"/>
      <x:c r="W771" s="3"/>
      <x:c r="X771" s="3"/>
      <x:c r="Y771" s="3"/>
      <x:c r="Z771" s="3"/>
      <x:c r="AA771" s="3"/>
      <x:c r="AB771" s="3"/>
      <x:c r="AC771" s="3"/>
      <x:c r="AD771" s="3"/>
      <x:c r="AE771" s="3"/>
      <x:c r="AF771" s="3"/>
      <x:c r="AG771" s="3"/>
      <x:c r="AH771" s="3"/>
      <x:c r="AI771" s="3"/>
      <x:c r="AJ771" s="3"/>
      <x:c r="AK771" s="3"/>
      <x:c r="AL771" s="3"/>
      <x:c r="AM771" s="3"/>
      <x:c r="AN771" s="3"/>
      <x:c r="AO771" s="3"/>
      <x:c r="AP771" s="3"/>
      <x:c r="AQ771" s="3"/>
      <x:c r="AR771" s="3"/>
      <x:c r="AS771" s="3"/>
      <x:c r="AT771" s="3"/>
      <x:c r="AU771" s="3"/>
      <x:c r="AV771" s="3"/>
      <x:c r="AW771" s="3"/>
      <x:c r="AX771" s="3"/>
      <x:c r="AY771" s="3"/>
      <x:c r="AZ771" s="3" t="str">
        <x:f>IF(AND('中古車掲載'!C772="One2car",'中古車掲載'!F772="ATTO 3",'中古車掲載'!L772="EXTENDED RANGE",'中古車掲載'!J772=2023,ISNUMBER('中古車掲載'!N772),'中古車掲載'!N772&gt;=20000,'中古車掲載'!O772&lt;=100000,'中古車掲載'!AL772=1),'中古車掲載'!U772,"")</x:f>
      </x:c>
      <x:c r="BA771" s="3" t="str">
        <x:f>IF(AND('中古車掲載'!C772="One2car",'中古車掲載'!F772="Corolla Cross",'中古車掲載'!L772="HEV PREMIUM SAFETY",'中古車掲載'!J772=2023,ISNUMBER('中古車掲載'!N772),'中古車掲載'!N772&gt;=20000,'中古車掲載'!O772&lt;=100000,'中古車掲載'!AL772=1,'中古車掲載'!Z772="https://www.one2car.com/en/cars-for-sale/toyota/corolla-cross/year-2023"),'中古車掲載'!U772,"")</x:f>
      </x:c>
      <x:c r="BB771" s="3" t="str">
        <x:f>IF(AND('中古車掲載'!C772="One2car",'中古車掲載'!F772="ATTO 3",'中古車掲載'!L772="EXTENDED RANGE",'中古車掲載'!J772=2023,ISNUMBER('中古車掲載'!N772),'中古車掲載'!N772&gt;=50000,'中古車掲載'!O772&lt;=100000,'中古車掲載'!AL772=1),'中古車掲載'!U772,"")</x:f>
      </x:c>
      <x:c r="BC771" s="3" t="str">
        <x:f>IF(AND('中古車掲載'!C772="One2car",'中古車掲載'!F772="Corolla Cross",'中古車掲載'!L772="HEV PREMIUM SAFETY",'中古車掲載'!J772=2023,ISNUMBER('中古車掲載'!N772),'中古車掲載'!N772&gt;=50000,'中古車掲載'!O772&lt;=100000,'中古車掲載'!AL772=1,'中古車掲載'!Z772="https://www.one2car.com/en/cars-for-sale/toyota/corolla-cross/year-2023"),'中古車掲載'!U772,"")</x:f>
      </x:c>
      <x:c r="BD771" s="3" t="str">
        <x:f>IF(AND('中古車掲載'!C772="One2car",'中古車掲載'!F772="ATTO 3",'中古車掲載'!L772="EXTENDED RANGE",'中古車掲載'!J772=2023,ISNUMBER('中古車掲載'!N772),'中古車掲載'!N772&gt;=20000,'中古車掲載'!O772&lt;=50000,'中古車掲載'!AL772=1),'中古車掲載'!U772,"")</x:f>
      </x:c>
      <x:c r="BE771" s="3" t="str">
        <x:f>IF(AND('中古車掲載'!C772="One2car",'中古車掲載'!F772="Corolla Cross",'中古車掲載'!L772="HEV PREMIUM SAFETY",'中古車掲載'!J772=2023,ISNUMBER('中古車掲載'!N772),'中古車掲載'!N772&gt;=20000,'中古車掲載'!O772&lt;=50000,'中古車掲載'!AL772=1,'中古車掲載'!Z772="https://www.one2car.com/en/cars-for-sale/toyota/corolla-cross/year-2023"),'中古車掲載'!U772,"")</x:f>
      </x:c>
      <x:c r="BF771" s="3" t="str">
        <x:f>IF(AND('中古車掲載'!C772="One2car",'中古車掲載'!F772="Corolla Cross",'中古車掲載'!L772="HEV PREMIUM",'中古車掲載'!J772=2023,ISNUMBER('中古車掲載'!N772),'中古車掲載'!N772&gt;=20000,'中古車掲載'!O772&lt;=100000,'中古車掲載'!AL772=1,'中古車掲載'!Z772="https://www.one2car.com/en/cars-for-sale/toyota/corolla-cross/year-2023"),'中古車掲載'!U772,"")</x:f>
      </x:c>
      <x:c r="BG771" s="3" t="str">
        <x:f>IF(AND('中古車掲載'!C772="One2car",'中古車掲載'!F772="Corolla Cross",'中古車掲載'!L772="HEV GR SPORT",'中古車掲載'!J772=2023,ISNUMBER('中古車掲載'!N772),'中古車掲載'!N772&gt;=20000,'中古車掲載'!O772&lt;=100000,'中古車掲載'!AL772=1,'中古車掲載'!Z772="https://www.one2car.com/en/cars-for-sale/toyota/corolla-cross/year-2023"),'中古車掲載'!U772,"")</x:f>
      </x:c>
      <x:c r="BH771" s="3" t="str">
        <x:f>IF(AND('中古車掲載'!C772="One2car",'中古車掲載'!F772="DOLPHIN",'中古車掲載'!L772="STANDARD RANGE",'中古車掲載'!J772=2023,ISNUMBER('中古車掲載'!N772),'中古車掲載'!N772&gt;=20000,'中古車掲載'!O772&lt;=100000,'中古車掲載'!AL772=1),'中古車掲載'!U772,"")</x:f>
      </x:c>
      <x:c r="BI771" s="3" t="str">
        <x:v>Taladrod|Hilux Revo|ICE|Unknown</x:v>
      </x:c>
      <x:c r="BJ771" s="3" t="n">
        <x:v>772</x:v>
      </x:c>
      <x:c r="BK771" s="3" t="n">
        <x:f>'中古車掲載'!AM772</x:f>
        <x:v>588000</x:v>
      </x:c>
      <x:c r="BL771" s="3" t="str">
        <x:f>IF(ISNUMBER('中古車掲載'!AN772),'中古車掲載'!AN772,"")</x:f>
      </x:c>
      <x:c r="BM771" s="3"/>
      <x:c r="BN771" s="3"/>
      <x:c r="BO771" s="3"/>
      <x:c r="BP771" s="3"/>
      <x:c r="BQ771" s="3"/>
      <x:c r="BR771" s="3"/>
    </x:row>
    <x:row r="772" ht="22" customHeight="1">
      <x:c r="A772" s="3"/>
      <x:c r="B772" s="3"/>
      <x:c r="C772" s="3"/>
      <x:c r="D772" s="3"/>
      <x:c r="E772" s="3"/>
      <x:c r="F772" s="3"/>
      <x:c r="G772" s="3"/>
      <x:c r="H772" s="3"/>
      <x:c r="I772" s="3"/>
      <x:c r="J772" s="3"/>
      <x:c r="K772" s="3"/>
      <x:c r="L772" s="3"/>
      <x:c r="M772" s="3"/>
      <x:c r="N772" s="3"/>
      <x:c r="O772" s="3"/>
      <x:c r="P772" s="3"/>
      <x:c r="Q772" s="3"/>
      <x:c r="R772" s="3"/>
      <x:c r="S772" s="3"/>
      <x:c r="T772" s="3"/>
      <x:c r="U772" s="3"/>
      <x:c r="V772" s="3"/>
      <x:c r="W772" s="3"/>
      <x:c r="X772" s="3"/>
      <x:c r="Y772" s="3"/>
      <x:c r="Z772" s="3"/>
      <x:c r="AA772" s="3"/>
      <x:c r="AB772" s="3"/>
      <x:c r="AC772" s="3"/>
      <x:c r="AD772" s="3"/>
      <x:c r="AE772" s="3"/>
      <x:c r="AF772" s="3"/>
      <x:c r="AG772" s="3"/>
      <x:c r="AH772" s="3"/>
      <x:c r="AI772" s="3"/>
      <x:c r="AJ772" s="3"/>
      <x:c r="AK772" s="3"/>
      <x:c r="AL772" s="3"/>
      <x:c r="AM772" s="3"/>
      <x:c r="AN772" s="3"/>
      <x:c r="AO772" s="3"/>
      <x:c r="AP772" s="3"/>
      <x:c r="AQ772" s="3"/>
      <x:c r="AR772" s="3"/>
      <x:c r="AS772" s="3"/>
      <x:c r="AT772" s="3"/>
      <x:c r="AU772" s="3"/>
      <x:c r="AV772" s="3"/>
      <x:c r="AW772" s="3"/>
      <x:c r="AX772" s="3"/>
      <x:c r="AY772" s="3"/>
      <x:c r="AZ772" s="3" t="str">
        <x:f>IF(AND('中古車掲載'!C773="One2car",'中古車掲載'!F773="ATTO 3",'中古車掲載'!L773="EXTENDED RANGE",'中古車掲載'!J773=2023,ISNUMBER('中古車掲載'!N773),'中古車掲載'!N773&gt;=20000,'中古車掲載'!O773&lt;=100000,'中古車掲載'!AL773=1),'中古車掲載'!U773,"")</x:f>
      </x:c>
      <x:c r="BA772" s="3" t="str">
        <x:f>IF(AND('中古車掲載'!C773="One2car",'中古車掲載'!F773="Corolla Cross",'中古車掲載'!L773="HEV PREMIUM SAFETY",'中古車掲載'!J773=2023,ISNUMBER('中古車掲載'!N773),'中古車掲載'!N773&gt;=20000,'中古車掲載'!O773&lt;=100000,'中古車掲載'!AL773=1,'中古車掲載'!Z773="https://www.one2car.com/en/cars-for-sale/toyota/corolla-cross/year-2023"),'中古車掲載'!U773,"")</x:f>
      </x:c>
      <x:c r="BB772" s="3" t="str">
        <x:f>IF(AND('中古車掲載'!C773="One2car",'中古車掲載'!F773="ATTO 3",'中古車掲載'!L773="EXTENDED RANGE",'中古車掲載'!J773=2023,ISNUMBER('中古車掲載'!N773),'中古車掲載'!N773&gt;=50000,'中古車掲載'!O773&lt;=100000,'中古車掲載'!AL773=1),'中古車掲載'!U773,"")</x:f>
      </x:c>
      <x:c r="BC772" s="3" t="str">
        <x:f>IF(AND('中古車掲載'!C773="One2car",'中古車掲載'!F773="Corolla Cross",'中古車掲載'!L773="HEV PREMIUM SAFETY",'中古車掲載'!J773=2023,ISNUMBER('中古車掲載'!N773),'中古車掲載'!N773&gt;=50000,'中古車掲載'!O773&lt;=100000,'中古車掲載'!AL773=1,'中古車掲載'!Z773="https://www.one2car.com/en/cars-for-sale/toyota/corolla-cross/year-2023"),'中古車掲載'!U773,"")</x:f>
      </x:c>
      <x:c r="BD772" s="3" t="str">
        <x:f>IF(AND('中古車掲載'!C773="One2car",'中古車掲載'!F773="ATTO 3",'中古車掲載'!L773="EXTENDED RANGE",'中古車掲載'!J773=2023,ISNUMBER('中古車掲載'!N773),'中古車掲載'!N773&gt;=20000,'中古車掲載'!O773&lt;=50000,'中古車掲載'!AL773=1),'中古車掲載'!U773,"")</x:f>
      </x:c>
      <x:c r="BE772" s="3" t="str">
        <x:f>IF(AND('中古車掲載'!C773="One2car",'中古車掲載'!F773="Corolla Cross",'中古車掲載'!L773="HEV PREMIUM SAFETY",'中古車掲載'!J773=2023,ISNUMBER('中古車掲載'!N773),'中古車掲載'!N773&gt;=20000,'中古車掲載'!O773&lt;=50000,'中古車掲載'!AL773=1,'中古車掲載'!Z773="https://www.one2car.com/en/cars-for-sale/toyota/corolla-cross/year-2023"),'中古車掲載'!U773,"")</x:f>
      </x:c>
      <x:c r="BF772" s="3" t="str">
        <x:f>IF(AND('中古車掲載'!C773="One2car",'中古車掲載'!F773="Corolla Cross",'中古車掲載'!L773="HEV PREMIUM",'中古車掲載'!J773=2023,ISNUMBER('中古車掲載'!N773),'中古車掲載'!N773&gt;=20000,'中古車掲載'!O773&lt;=100000,'中古車掲載'!AL773=1,'中古車掲載'!Z773="https://www.one2car.com/en/cars-for-sale/toyota/corolla-cross/year-2023"),'中古車掲載'!U773,"")</x:f>
      </x:c>
      <x:c r="BG772" s="3" t="str">
        <x:f>IF(AND('中古車掲載'!C773="One2car",'中古車掲載'!F773="Corolla Cross",'中古車掲載'!L773="HEV GR SPORT",'中古車掲載'!J773=2023,ISNUMBER('中古車掲載'!N773),'中古車掲載'!N773&gt;=20000,'中古車掲載'!O773&lt;=100000,'中古車掲載'!AL773=1,'中古車掲載'!Z773="https://www.one2car.com/en/cars-for-sale/toyota/corolla-cross/year-2023"),'中古車掲載'!U773,"")</x:f>
      </x:c>
      <x:c r="BH772" s="3" t="str">
        <x:f>IF(AND('中古車掲載'!C773="One2car",'中古車掲載'!F773="DOLPHIN",'中古車掲載'!L773="STANDARD RANGE",'中古車掲載'!J773=2023,ISNUMBER('中古車掲載'!N773),'中古車掲載'!N773&gt;=20000,'中古車掲載'!O773&lt;=100000,'中古車掲載'!AL773=1),'中古車掲載'!U773,"")</x:f>
      </x:c>
      <x:c r="BI772" s="3" t="str">
        <x:v>Taladrod|Hilux Revo|ICE|Unknown</x:v>
      </x:c>
      <x:c r="BJ772" s="3" t="n">
        <x:v>773</x:v>
      </x:c>
      <x:c r="BK772" s="3" t="n">
        <x:f>'中古車掲載'!AM773</x:f>
        <x:v>629000</x:v>
      </x:c>
      <x:c r="BL772" s="3" t="str">
        <x:f>IF(ISNUMBER('中古車掲載'!AN773),'中古車掲載'!AN773,"")</x:f>
      </x:c>
      <x:c r="BM772" s="3"/>
      <x:c r="BN772" s="3"/>
      <x:c r="BO772" s="3"/>
      <x:c r="BP772" s="3"/>
      <x:c r="BQ772" s="3"/>
      <x:c r="BR772" s="3"/>
    </x:row>
    <x:row r="773" ht="22" customHeight="1">
      <x:c r="A773" s="3"/>
      <x:c r="B773" s="3"/>
      <x:c r="C773" s="3"/>
      <x:c r="D773" s="3"/>
      <x:c r="E773" s="3"/>
      <x:c r="F773" s="3"/>
      <x:c r="G773" s="3"/>
      <x:c r="H773" s="3"/>
      <x:c r="I773" s="3"/>
      <x:c r="J773" s="3"/>
      <x:c r="K773" s="3"/>
      <x:c r="L773" s="3"/>
      <x:c r="M773" s="3"/>
      <x:c r="N773" s="3"/>
      <x:c r="O773" s="3"/>
      <x:c r="P773" s="3"/>
      <x:c r="Q773" s="3"/>
      <x:c r="R773" s="3"/>
      <x:c r="S773" s="3"/>
      <x:c r="T773" s="3"/>
      <x:c r="U773" s="3"/>
      <x:c r="V773" s="3"/>
      <x:c r="W773" s="3"/>
      <x:c r="X773" s="3"/>
      <x:c r="Y773" s="3"/>
      <x:c r="Z773" s="3"/>
      <x:c r="AA773" s="3"/>
      <x:c r="AB773" s="3"/>
      <x:c r="AC773" s="3"/>
      <x:c r="AD773" s="3"/>
      <x:c r="AE773" s="3"/>
      <x:c r="AF773" s="3"/>
      <x:c r="AG773" s="3"/>
      <x:c r="AH773" s="3"/>
      <x:c r="AI773" s="3"/>
      <x:c r="AJ773" s="3"/>
      <x:c r="AK773" s="3"/>
      <x:c r="AL773" s="3"/>
      <x:c r="AM773" s="3"/>
      <x:c r="AN773" s="3"/>
      <x:c r="AO773" s="3"/>
      <x:c r="AP773" s="3"/>
      <x:c r="AQ773" s="3"/>
      <x:c r="AR773" s="3"/>
      <x:c r="AS773" s="3"/>
      <x:c r="AT773" s="3"/>
      <x:c r="AU773" s="3"/>
      <x:c r="AV773" s="3"/>
      <x:c r="AW773" s="3"/>
      <x:c r="AX773" s="3"/>
      <x:c r="AY773" s="3"/>
      <x:c r="AZ773" s="3" t="str">
        <x:f>IF(AND('中古車掲載'!C774="One2car",'中古車掲載'!F774="ATTO 3",'中古車掲載'!L774="EXTENDED RANGE",'中古車掲載'!J774=2023,ISNUMBER('中古車掲載'!N774),'中古車掲載'!N774&gt;=20000,'中古車掲載'!O774&lt;=100000,'中古車掲載'!AL774=1),'中古車掲載'!U774,"")</x:f>
      </x:c>
      <x:c r="BA773" s="3" t="str">
        <x:f>IF(AND('中古車掲載'!C774="One2car",'中古車掲載'!F774="Corolla Cross",'中古車掲載'!L774="HEV PREMIUM SAFETY",'中古車掲載'!J774=2023,ISNUMBER('中古車掲載'!N774),'中古車掲載'!N774&gt;=20000,'中古車掲載'!O774&lt;=100000,'中古車掲載'!AL774=1,'中古車掲載'!Z774="https://www.one2car.com/en/cars-for-sale/toyota/corolla-cross/year-2023"),'中古車掲載'!U774,"")</x:f>
      </x:c>
      <x:c r="BB773" s="3" t="str">
        <x:f>IF(AND('中古車掲載'!C774="One2car",'中古車掲載'!F774="ATTO 3",'中古車掲載'!L774="EXTENDED RANGE",'中古車掲載'!J774=2023,ISNUMBER('中古車掲載'!N774),'中古車掲載'!N774&gt;=50000,'中古車掲載'!O774&lt;=100000,'中古車掲載'!AL774=1),'中古車掲載'!U774,"")</x:f>
      </x:c>
      <x:c r="BC773" s="3" t="str">
        <x:f>IF(AND('中古車掲載'!C774="One2car",'中古車掲載'!F774="Corolla Cross",'中古車掲載'!L774="HEV PREMIUM SAFETY",'中古車掲載'!J774=2023,ISNUMBER('中古車掲載'!N774),'中古車掲載'!N774&gt;=50000,'中古車掲載'!O774&lt;=100000,'中古車掲載'!AL774=1,'中古車掲載'!Z774="https://www.one2car.com/en/cars-for-sale/toyota/corolla-cross/year-2023"),'中古車掲載'!U774,"")</x:f>
      </x:c>
      <x:c r="BD773" s="3" t="str">
        <x:f>IF(AND('中古車掲載'!C774="One2car",'中古車掲載'!F774="ATTO 3",'中古車掲載'!L774="EXTENDED RANGE",'中古車掲載'!J774=2023,ISNUMBER('中古車掲載'!N774),'中古車掲載'!N774&gt;=20000,'中古車掲載'!O774&lt;=50000,'中古車掲載'!AL774=1),'中古車掲載'!U774,"")</x:f>
      </x:c>
      <x:c r="BE773" s="3" t="str">
        <x:f>IF(AND('中古車掲載'!C774="One2car",'中古車掲載'!F774="Corolla Cross",'中古車掲載'!L774="HEV PREMIUM SAFETY",'中古車掲載'!J774=2023,ISNUMBER('中古車掲載'!N774),'中古車掲載'!N774&gt;=20000,'中古車掲載'!O774&lt;=50000,'中古車掲載'!AL774=1,'中古車掲載'!Z774="https://www.one2car.com/en/cars-for-sale/toyota/corolla-cross/year-2023"),'中古車掲載'!U774,"")</x:f>
      </x:c>
      <x:c r="BF773" s="3" t="str">
        <x:f>IF(AND('中古車掲載'!C774="One2car",'中古車掲載'!F774="Corolla Cross",'中古車掲載'!L774="HEV PREMIUM",'中古車掲載'!J774=2023,ISNUMBER('中古車掲載'!N774),'中古車掲載'!N774&gt;=20000,'中古車掲載'!O774&lt;=100000,'中古車掲載'!AL774=1,'中古車掲載'!Z774="https://www.one2car.com/en/cars-for-sale/toyota/corolla-cross/year-2023"),'中古車掲載'!U774,"")</x:f>
      </x:c>
      <x:c r="BG773" s="3" t="str">
        <x:f>IF(AND('中古車掲載'!C774="One2car",'中古車掲載'!F774="Corolla Cross",'中古車掲載'!L774="HEV GR SPORT",'中古車掲載'!J774=2023,ISNUMBER('中古車掲載'!N774),'中古車掲載'!N774&gt;=20000,'中古車掲載'!O774&lt;=100000,'中古車掲載'!AL774=1,'中古車掲載'!Z774="https://www.one2car.com/en/cars-for-sale/toyota/corolla-cross/year-2023"),'中古車掲載'!U774,"")</x:f>
      </x:c>
      <x:c r="BH773" s="3" t="str">
        <x:f>IF(AND('中古車掲載'!C774="One2car",'中古車掲載'!F774="DOLPHIN",'中古車掲載'!L774="STANDARD RANGE",'中古車掲載'!J774=2023,ISNUMBER('中古車掲載'!N774),'中古車掲載'!N774&gt;=20000,'中古車掲載'!O774&lt;=100000,'中古車掲載'!AL774=1),'中古車掲載'!U774,"")</x:f>
      </x:c>
      <x:c r="BI773" s="3" t="str">
        <x:v>Taladrod|Hilux Revo|ICE|Unknown</x:v>
      </x:c>
      <x:c r="BJ773" s="3" t="n">
        <x:v>774</x:v>
      </x:c>
      <x:c r="BK773" s="3" t="n">
        <x:f>'中古車掲載'!AM774</x:f>
        <x:v>479000</x:v>
      </x:c>
      <x:c r="BL773" s="3" t="str">
        <x:f>IF(ISNUMBER('中古車掲載'!AN774),'中古車掲載'!AN774,"")</x:f>
      </x:c>
      <x:c r="BM773" s="3"/>
      <x:c r="BN773" s="3"/>
      <x:c r="BO773" s="3"/>
      <x:c r="BP773" s="3"/>
      <x:c r="BQ773" s="3"/>
      <x:c r="BR773" s="3"/>
    </x:row>
    <x:row r="774" ht="22" customHeight="1">
      <x:c r="A774" s="3"/>
      <x:c r="B774" s="3"/>
      <x:c r="C774" s="3"/>
      <x:c r="D774" s="3"/>
      <x:c r="E774" s="3"/>
      <x:c r="F774" s="3"/>
      <x:c r="G774" s="3"/>
      <x:c r="H774" s="3"/>
      <x:c r="I774" s="3"/>
      <x:c r="J774" s="3"/>
      <x:c r="K774" s="3"/>
      <x:c r="L774" s="3"/>
      <x:c r="M774" s="3"/>
      <x:c r="N774" s="3"/>
      <x:c r="O774" s="3"/>
      <x:c r="P774" s="3"/>
      <x:c r="Q774" s="3"/>
      <x:c r="R774" s="3"/>
      <x:c r="S774" s="3"/>
      <x:c r="T774" s="3"/>
      <x:c r="U774" s="3"/>
      <x:c r="V774" s="3"/>
      <x:c r="W774" s="3"/>
      <x:c r="X774" s="3"/>
      <x:c r="Y774" s="3"/>
      <x:c r="Z774" s="3"/>
      <x:c r="AA774" s="3"/>
      <x:c r="AB774" s="3"/>
      <x:c r="AC774" s="3"/>
      <x:c r="AD774" s="3"/>
      <x:c r="AE774" s="3"/>
      <x:c r="AF774" s="3"/>
      <x:c r="AG774" s="3"/>
      <x:c r="AH774" s="3"/>
      <x:c r="AI774" s="3"/>
      <x:c r="AJ774" s="3"/>
      <x:c r="AK774" s="3"/>
      <x:c r="AL774" s="3"/>
      <x:c r="AM774" s="3"/>
      <x:c r="AN774" s="3"/>
      <x:c r="AO774" s="3"/>
      <x:c r="AP774" s="3"/>
      <x:c r="AQ774" s="3"/>
      <x:c r="AR774" s="3"/>
      <x:c r="AS774" s="3"/>
      <x:c r="AT774" s="3"/>
      <x:c r="AU774" s="3"/>
      <x:c r="AV774" s="3"/>
      <x:c r="AW774" s="3"/>
      <x:c r="AX774" s="3"/>
      <x:c r="AY774" s="3"/>
      <x:c r="AZ774" s="3" t="str">
        <x:f>IF(AND('中古車掲載'!C775="One2car",'中古車掲載'!F775="ATTO 3",'中古車掲載'!L775="EXTENDED RANGE",'中古車掲載'!J775=2023,ISNUMBER('中古車掲載'!N775),'中古車掲載'!N775&gt;=20000,'中古車掲載'!O775&lt;=100000,'中古車掲載'!AL775=1),'中古車掲載'!U775,"")</x:f>
      </x:c>
      <x:c r="BA774" s="3" t="str">
        <x:f>IF(AND('中古車掲載'!C775="One2car",'中古車掲載'!F775="Corolla Cross",'中古車掲載'!L775="HEV PREMIUM SAFETY",'中古車掲載'!J775=2023,ISNUMBER('中古車掲載'!N775),'中古車掲載'!N775&gt;=20000,'中古車掲載'!O775&lt;=100000,'中古車掲載'!AL775=1,'中古車掲載'!Z775="https://www.one2car.com/en/cars-for-sale/toyota/corolla-cross/year-2023"),'中古車掲載'!U775,"")</x:f>
      </x:c>
      <x:c r="BB774" s="3" t="str">
        <x:f>IF(AND('中古車掲載'!C775="One2car",'中古車掲載'!F775="ATTO 3",'中古車掲載'!L775="EXTENDED RANGE",'中古車掲載'!J775=2023,ISNUMBER('中古車掲載'!N775),'中古車掲載'!N775&gt;=50000,'中古車掲載'!O775&lt;=100000,'中古車掲載'!AL775=1),'中古車掲載'!U775,"")</x:f>
      </x:c>
      <x:c r="BC774" s="3" t="str">
        <x:f>IF(AND('中古車掲載'!C775="One2car",'中古車掲載'!F775="Corolla Cross",'中古車掲載'!L775="HEV PREMIUM SAFETY",'中古車掲載'!J775=2023,ISNUMBER('中古車掲載'!N775),'中古車掲載'!N775&gt;=50000,'中古車掲載'!O775&lt;=100000,'中古車掲載'!AL775=1,'中古車掲載'!Z775="https://www.one2car.com/en/cars-for-sale/toyota/corolla-cross/year-2023"),'中古車掲載'!U775,"")</x:f>
      </x:c>
      <x:c r="BD774" s="3" t="str">
        <x:f>IF(AND('中古車掲載'!C775="One2car",'中古車掲載'!F775="ATTO 3",'中古車掲載'!L775="EXTENDED RANGE",'中古車掲載'!J775=2023,ISNUMBER('中古車掲載'!N775),'中古車掲載'!N775&gt;=20000,'中古車掲載'!O775&lt;=50000,'中古車掲載'!AL775=1),'中古車掲載'!U775,"")</x:f>
      </x:c>
      <x:c r="BE774" s="3" t="str">
        <x:f>IF(AND('中古車掲載'!C775="One2car",'中古車掲載'!F775="Corolla Cross",'中古車掲載'!L775="HEV PREMIUM SAFETY",'中古車掲載'!J775=2023,ISNUMBER('中古車掲載'!N775),'中古車掲載'!N775&gt;=20000,'中古車掲載'!O775&lt;=50000,'中古車掲載'!AL775=1,'中古車掲載'!Z775="https://www.one2car.com/en/cars-for-sale/toyota/corolla-cross/year-2023"),'中古車掲載'!U775,"")</x:f>
      </x:c>
      <x:c r="BF774" s="3" t="str">
        <x:f>IF(AND('中古車掲載'!C775="One2car",'中古車掲載'!F775="Corolla Cross",'中古車掲載'!L775="HEV PREMIUM",'中古車掲載'!J775=2023,ISNUMBER('中古車掲載'!N775),'中古車掲載'!N775&gt;=20000,'中古車掲載'!O775&lt;=100000,'中古車掲載'!AL775=1,'中古車掲載'!Z775="https://www.one2car.com/en/cars-for-sale/toyota/corolla-cross/year-2023"),'中古車掲載'!U775,"")</x:f>
      </x:c>
      <x:c r="BG774" s="3" t="str">
        <x:f>IF(AND('中古車掲載'!C775="One2car",'中古車掲載'!F775="Corolla Cross",'中古車掲載'!L775="HEV GR SPORT",'中古車掲載'!J775=2023,ISNUMBER('中古車掲載'!N775),'中古車掲載'!N775&gt;=20000,'中古車掲載'!O775&lt;=100000,'中古車掲載'!AL775=1,'中古車掲載'!Z775="https://www.one2car.com/en/cars-for-sale/toyota/corolla-cross/year-2023"),'中古車掲載'!U775,"")</x:f>
      </x:c>
      <x:c r="BH774" s="3" t="str">
        <x:f>IF(AND('中古車掲載'!C775="One2car",'中古車掲載'!F775="DOLPHIN",'中古車掲載'!L775="STANDARD RANGE",'中古車掲載'!J775=2023,ISNUMBER('中古車掲載'!N775),'中古車掲載'!N775&gt;=20000,'中古車掲載'!O775&lt;=100000,'中古車掲載'!AL775=1),'中古車掲載'!U775,"")</x:f>
      </x:c>
      <x:c r="BI774" s="3" t="str">
        <x:v>Taladrod|Hilux Revo|ICE|Unknown</x:v>
      </x:c>
      <x:c r="BJ774" s="3" t="n">
        <x:v>775</x:v>
      </x:c>
      <x:c r="BK774" s="3" t="n">
        <x:f>'中古車掲載'!AM775</x:f>
        <x:v>599000</x:v>
      </x:c>
      <x:c r="BL774" s="3" t="str">
        <x:f>IF(ISNUMBER('中古車掲載'!AN775),'中古車掲載'!AN775,"")</x:f>
      </x:c>
      <x:c r="BM774" s="3"/>
      <x:c r="BN774" s="3"/>
      <x:c r="BO774" s="3"/>
      <x:c r="BP774" s="3"/>
      <x:c r="BQ774" s="3"/>
      <x:c r="BR774" s="3"/>
    </x:row>
    <x:row r="775" ht="22" customHeight="1">
      <x:c r="A775" s="3"/>
      <x:c r="B775" s="3"/>
      <x:c r="C775" s="3"/>
      <x:c r="D775" s="3"/>
      <x:c r="E775" s="3"/>
      <x:c r="F775" s="3"/>
      <x:c r="G775" s="3"/>
      <x:c r="H775" s="3"/>
      <x:c r="I775" s="3"/>
      <x:c r="J775" s="3"/>
      <x:c r="K775" s="3"/>
      <x:c r="L775" s="3"/>
      <x:c r="M775" s="3"/>
      <x:c r="N775" s="3"/>
      <x:c r="O775" s="3"/>
      <x:c r="P775" s="3"/>
      <x:c r="Q775" s="3"/>
      <x:c r="R775" s="3"/>
      <x:c r="S775" s="3"/>
      <x:c r="T775" s="3"/>
      <x:c r="U775" s="3"/>
      <x:c r="V775" s="3"/>
      <x:c r="W775" s="3"/>
      <x:c r="X775" s="3"/>
      <x:c r="Y775" s="3"/>
      <x:c r="Z775" s="3"/>
      <x:c r="AA775" s="3"/>
      <x:c r="AB775" s="3"/>
      <x:c r="AC775" s="3"/>
      <x:c r="AD775" s="3"/>
      <x:c r="AE775" s="3"/>
      <x:c r="AF775" s="3"/>
      <x:c r="AG775" s="3"/>
      <x:c r="AH775" s="3"/>
      <x:c r="AI775" s="3"/>
      <x:c r="AJ775" s="3"/>
      <x:c r="AK775" s="3"/>
      <x:c r="AL775" s="3"/>
      <x:c r="AM775" s="3"/>
      <x:c r="AN775" s="3"/>
      <x:c r="AO775" s="3"/>
      <x:c r="AP775" s="3"/>
      <x:c r="AQ775" s="3"/>
      <x:c r="AR775" s="3"/>
      <x:c r="AS775" s="3"/>
      <x:c r="AT775" s="3"/>
      <x:c r="AU775" s="3"/>
      <x:c r="AV775" s="3"/>
      <x:c r="AW775" s="3"/>
      <x:c r="AX775" s="3"/>
      <x:c r="AY775" s="3"/>
      <x:c r="AZ775" s="3" t="str">
        <x:f>IF(AND('中古車掲載'!C776="One2car",'中古車掲載'!F776="ATTO 3",'中古車掲載'!L776="EXTENDED RANGE",'中古車掲載'!J776=2023,ISNUMBER('中古車掲載'!N776),'中古車掲載'!N776&gt;=20000,'中古車掲載'!O776&lt;=100000,'中古車掲載'!AL776=1),'中古車掲載'!U776,"")</x:f>
      </x:c>
      <x:c r="BA775" s="3" t="str">
        <x:f>IF(AND('中古車掲載'!C776="One2car",'中古車掲載'!F776="Corolla Cross",'中古車掲載'!L776="HEV PREMIUM SAFETY",'中古車掲載'!J776=2023,ISNUMBER('中古車掲載'!N776),'中古車掲載'!N776&gt;=20000,'中古車掲載'!O776&lt;=100000,'中古車掲載'!AL776=1,'中古車掲載'!Z776="https://www.one2car.com/en/cars-for-sale/toyota/corolla-cross/year-2023"),'中古車掲載'!U776,"")</x:f>
      </x:c>
      <x:c r="BB775" s="3" t="str">
        <x:f>IF(AND('中古車掲載'!C776="One2car",'中古車掲載'!F776="ATTO 3",'中古車掲載'!L776="EXTENDED RANGE",'中古車掲載'!J776=2023,ISNUMBER('中古車掲載'!N776),'中古車掲載'!N776&gt;=50000,'中古車掲載'!O776&lt;=100000,'中古車掲載'!AL776=1),'中古車掲載'!U776,"")</x:f>
      </x:c>
      <x:c r="BC775" s="3" t="str">
        <x:f>IF(AND('中古車掲載'!C776="One2car",'中古車掲載'!F776="Corolla Cross",'中古車掲載'!L776="HEV PREMIUM SAFETY",'中古車掲載'!J776=2023,ISNUMBER('中古車掲載'!N776),'中古車掲載'!N776&gt;=50000,'中古車掲載'!O776&lt;=100000,'中古車掲載'!AL776=1,'中古車掲載'!Z776="https://www.one2car.com/en/cars-for-sale/toyota/corolla-cross/year-2023"),'中古車掲載'!U776,"")</x:f>
      </x:c>
      <x:c r="BD775" s="3" t="str">
        <x:f>IF(AND('中古車掲載'!C776="One2car",'中古車掲載'!F776="ATTO 3",'中古車掲載'!L776="EXTENDED RANGE",'中古車掲載'!J776=2023,ISNUMBER('中古車掲載'!N776),'中古車掲載'!N776&gt;=20000,'中古車掲載'!O776&lt;=50000,'中古車掲載'!AL776=1),'中古車掲載'!U776,"")</x:f>
      </x:c>
      <x:c r="BE775" s="3" t="str">
        <x:f>IF(AND('中古車掲載'!C776="One2car",'中古車掲載'!F776="Corolla Cross",'中古車掲載'!L776="HEV PREMIUM SAFETY",'中古車掲載'!J776=2023,ISNUMBER('中古車掲載'!N776),'中古車掲載'!N776&gt;=20000,'中古車掲載'!O776&lt;=50000,'中古車掲載'!AL776=1,'中古車掲載'!Z776="https://www.one2car.com/en/cars-for-sale/toyota/corolla-cross/year-2023"),'中古車掲載'!U776,"")</x:f>
      </x:c>
      <x:c r="BF775" s="3" t="str">
        <x:f>IF(AND('中古車掲載'!C776="One2car",'中古車掲載'!F776="Corolla Cross",'中古車掲載'!L776="HEV PREMIUM",'中古車掲載'!J776=2023,ISNUMBER('中古車掲載'!N776),'中古車掲載'!N776&gt;=20000,'中古車掲載'!O776&lt;=100000,'中古車掲載'!AL776=1,'中古車掲載'!Z776="https://www.one2car.com/en/cars-for-sale/toyota/corolla-cross/year-2023"),'中古車掲載'!U776,"")</x:f>
      </x:c>
      <x:c r="BG775" s="3" t="str">
        <x:f>IF(AND('中古車掲載'!C776="One2car",'中古車掲載'!F776="Corolla Cross",'中古車掲載'!L776="HEV GR SPORT",'中古車掲載'!J776=2023,ISNUMBER('中古車掲載'!N776),'中古車掲載'!N776&gt;=20000,'中古車掲載'!O776&lt;=100000,'中古車掲載'!AL776=1,'中古車掲載'!Z776="https://www.one2car.com/en/cars-for-sale/toyota/corolla-cross/year-2023"),'中古車掲載'!U776,"")</x:f>
      </x:c>
      <x:c r="BH775" s="3" t="str">
        <x:f>IF(AND('中古車掲載'!C776="One2car",'中古車掲載'!F776="DOLPHIN",'中古車掲載'!L776="STANDARD RANGE",'中古車掲載'!J776=2023,ISNUMBER('中古車掲載'!N776),'中古車掲載'!N776&gt;=20000,'中古車掲載'!O776&lt;=100000,'中古車掲載'!AL776=1),'中古車掲載'!U776,"")</x:f>
      </x:c>
      <x:c r="BI775" s="3" t="str">
        <x:v>Taladrod|Hilux Revo|ICE|Unknown</x:v>
      </x:c>
      <x:c r="BJ775" s="3" t="n">
        <x:v>776</x:v>
      </x:c>
      <x:c r="BK775" s="3" t="n">
        <x:f>'中古車掲載'!AM776</x:f>
        <x:v>375000</x:v>
      </x:c>
      <x:c r="BL775" s="3" t="str">
        <x:f>IF(ISNUMBER('中古車掲載'!AN776),'中古車掲載'!AN776,"")</x:f>
      </x:c>
      <x:c r="BM775" s="3"/>
      <x:c r="BN775" s="3"/>
      <x:c r="BO775" s="3"/>
      <x:c r="BP775" s="3"/>
      <x:c r="BQ775" s="3"/>
      <x:c r="BR775" s="3"/>
    </x:row>
    <x:row r="776" ht="22" customHeight="1">
      <x:c r="A776" s="3"/>
      <x:c r="B776" s="3"/>
      <x:c r="C776" s="3"/>
      <x:c r="D776" s="3"/>
      <x:c r="E776" s="3"/>
      <x:c r="F776" s="3"/>
      <x:c r="G776" s="3"/>
      <x:c r="H776" s="3"/>
      <x:c r="I776" s="3"/>
      <x:c r="J776" s="3"/>
      <x:c r="K776" s="3"/>
      <x:c r="L776" s="3"/>
      <x:c r="M776" s="3"/>
      <x:c r="N776" s="3"/>
      <x:c r="O776" s="3"/>
      <x:c r="P776" s="3"/>
      <x:c r="Q776" s="3"/>
      <x:c r="R776" s="3"/>
      <x:c r="S776" s="3"/>
      <x:c r="T776" s="3"/>
      <x:c r="U776" s="3"/>
      <x:c r="V776" s="3"/>
      <x:c r="W776" s="3"/>
      <x:c r="X776" s="3"/>
      <x:c r="Y776" s="3"/>
      <x:c r="Z776" s="3"/>
      <x:c r="AA776" s="3"/>
      <x:c r="AB776" s="3"/>
      <x:c r="AC776" s="3"/>
      <x:c r="AD776" s="3"/>
      <x:c r="AE776" s="3"/>
      <x:c r="AF776" s="3"/>
      <x:c r="AG776" s="3"/>
      <x:c r="AH776" s="3"/>
      <x:c r="AI776" s="3"/>
      <x:c r="AJ776" s="3"/>
      <x:c r="AK776" s="3"/>
      <x:c r="AL776" s="3"/>
      <x:c r="AM776" s="3"/>
      <x:c r="AN776" s="3"/>
      <x:c r="AO776" s="3"/>
      <x:c r="AP776" s="3"/>
      <x:c r="AQ776" s="3"/>
      <x:c r="AR776" s="3"/>
      <x:c r="AS776" s="3"/>
      <x:c r="AT776" s="3"/>
      <x:c r="AU776" s="3"/>
      <x:c r="AV776" s="3"/>
      <x:c r="AW776" s="3"/>
      <x:c r="AX776" s="3"/>
      <x:c r="AY776" s="3"/>
      <x:c r="AZ776" s="3" t="str">
        <x:f>IF(AND('中古車掲載'!C777="One2car",'中古車掲載'!F777="ATTO 3",'中古車掲載'!L777="EXTENDED RANGE",'中古車掲載'!J777=2023,ISNUMBER('中古車掲載'!N777),'中古車掲載'!N777&gt;=20000,'中古車掲載'!O777&lt;=100000,'中古車掲載'!AL777=1),'中古車掲載'!U777,"")</x:f>
      </x:c>
      <x:c r="BA776" s="3" t="str">
        <x:f>IF(AND('中古車掲載'!C777="One2car",'中古車掲載'!F777="Corolla Cross",'中古車掲載'!L777="HEV PREMIUM SAFETY",'中古車掲載'!J777=2023,ISNUMBER('中古車掲載'!N777),'中古車掲載'!N777&gt;=20000,'中古車掲載'!O777&lt;=100000,'中古車掲載'!AL777=1,'中古車掲載'!Z777="https://www.one2car.com/en/cars-for-sale/toyota/corolla-cross/year-2023"),'中古車掲載'!U777,"")</x:f>
      </x:c>
      <x:c r="BB776" s="3" t="str">
        <x:f>IF(AND('中古車掲載'!C777="One2car",'中古車掲載'!F777="ATTO 3",'中古車掲載'!L777="EXTENDED RANGE",'中古車掲載'!J777=2023,ISNUMBER('中古車掲載'!N777),'中古車掲載'!N777&gt;=50000,'中古車掲載'!O777&lt;=100000,'中古車掲載'!AL777=1),'中古車掲載'!U777,"")</x:f>
      </x:c>
      <x:c r="BC776" s="3" t="str">
        <x:f>IF(AND('中古車掲載'!C777="One2car",'中古車掲載'!F777="Corolla Cross",'中古車掲載'!L777="HEV PREMIUM SAFETY",'中古車掲載'!J777=2023,ISNUMBER('中古車掲載'!N777),'中古車掲載'!N777&gt;=50000,'中古車掲載'!O777&lt;=100000,'中古車掲載'!AL777=1,'中古車掲載'!Z777="https://www.one2car.com/en/cars-for-sale/toyota/corolla-cross/year-2023"),'中古車掲載'!U777,"")</x:f>
      </x:c>
      <x:c r="BD776" s="3" t="str">
        <x:f>IF(AND('中古車掲載'!C777="One2car",'中古車掲載'!F777="ATTO 3",'中古車掲載'!L777="EXTENDED RANGE",'中古車掲載'!J777=2023,ISNUMBER('中古車掲載'!N777),'中古車掲載'!N777&gt;=20000,'中古車掲載'!O777&lt;=50000,'中古車掲載'!AL777=1),'中古車掲載'!U777,"")</x:f>
      </x:c>
      <x:c r="BE776" s="3" t="str">
        <x:f>IF(AND('中古車掲載'!C777="One2car",'中古車掲載'!F777="Corolla Cross",'中古車掲載'!L777="HEV PREMIUM SAFETY",'中古車掲載'!J777=2023,ISNUMBER('中古車掲載'!N777),'中古車掲載'!N777&gt;=20000,'中古車掲載'!O777&lt;=50000,'中古車掲載'!AL777=1,'中古車掲載'!Z777="https://www.one2car.com/en/cars-for-sale/toyota/corolla-cross/year-2023"),'中古車掲載'!U777,"")</x:f>
      </x:c>
      <x:c r="BF776" s="3" t="str">
        <x:f>IF(AND('中古車掲載'!C777="One2car",'中古車掲載'!F777="Corolla Cross",'中古車掲載'!L777="HEV PREMIUM",'中古車掲載'!J777=2023,ISNUMBER('中古車掲載'!N777),'中古車掲載'!N777&gt;=20000,'中古車掲載'!O777&lt;=100000,'中古車掲載'!AL777=1,'中古車掲載'!Z777="https://www.one2car.com/en/cars-for-sale/toyota/corolla-cross/year-2023"),'中古車掲載'!U777,"")</x:f>
      </x:c>
      <x:c r="BG776" s="3" t="str">
        <x:f>IF(AND('中古車掲載'!C777="One2car",'中古車掲載'!F777="Corolla Cross",'中古車掲載'!L777="HEV GR SPORT",'中古車掲載'!J777=2023,ISNUMBER('中古車掲載'!N777),'中古車掲載'!N777&gt;=20000,'中古車掲載'!O777&lt;=100000,'中古車掲載'!AL777=1,'中古車掲載'!Z777="https://www.one2car.com/en/cars-for-sale/toyota/corolla-cross/year-2023"),'中古車掲載'!U777,"")</x:f>
      </x:c>
      <x:c r="BH776" s="3" t="str">
        <x:f>IF(AND('中古車掲載'!C777="One2car",'中古車掲載'!F777="DOLPHIN",'中古車掲載'!L777="STANDARD RANGE",'中古車掲載'!J777=2023,ISNUMBER('中古車掲載'!N777),'中古車掲載'!N777&gt;=20000,'中古車掲載'!O777&lt;=100000,'中古車掲載'!AL777=1),'中古車掲載'!U777,"")</x:f>
      </x:c>
      <x:c r="BI776" s="3" t="str">
        <x:v>Taladrod|Hilux Revo|ICE|Unknown</x:v>
      </x:c>
      <x:c r="BJ776" s="3" t="n">
        <x:v>777</x:v>
      </x:c>
      <x:c r="BK776" s="3" t="n">
        <x:f>'中古車掲載'!AM777</x:f>
        <x:v>415000</x:v>
      </x:c>
      <x:c r="BL776" s="3" t="str">
        <x:f>IF(ISNUMBER('中古車掲載'!AN777),'中古車掲載'!AN777,"")</x:f>
      </x:c>
      <x:c r="BM776" s="3"/>
      <x:c r="BN776" s="3"/>
      <x:c r="BO776" s="3"/>
      <x:c r="BP776" s="3"/>
      <x:c r="BQ776" s="3"/>
      <x:c r="BR776" s="3"/>
    </x:row>
    <x:row r="777" ht="22" customHeight="1">
      <x:c r="A777" s="3"/>
      <x:c r="B777" s="3"/>
      <x:c r="C777" s="3"/>
      <x:c r="D777" s="3"/>
      <x:c r="E777" s="3"/>
      <x:c r="F777" s="3"/>
      <x:c r="G777" s="3"/>
      <x:c r="H777" s="3"/>
      <x:c r="I777" s="3"/>
      <x:c r="J777" s="3"/>
      <x:c r="K777" s="3"/>
      <x:c r="L777" s="3"/>
      <x:c r="M777" s="3"/>
      <x:c r="N777" s="3"/>
      <x:c r="O777" s="3"/>
      <x:c r="P777" s="3"/>
      <x:c r="Q777" s="3"/>
      <x:c r="R777" s="3"/>
      <x:c r="S777" s="3"/>
      <x:c r="T777" s="3"/>
      <x:c r="U777" s="3"/>
      <x:c r="V777" s="3"/>
      <x:c r="W777" s="3"/>
      <x:c r="X777" s="3"/>
      <x:c r="Y777" s="3"/>
      <x:c r="Z777" s="3"/>
      <x:c r="AA777" s="3"/>
      <x:c r="AB777" s="3"/>
      <x:c r="AC777" s="3"/>
      <x:c r="AD777" s="3"/>
      <x:c r="AE777" s="3"/>
      <x:c r="AF777" s="3"/>
      <x:c r="AG777" s="3"/>
      <x:c r="AH777" s="3"/>
      <x:c r="AI777" s="3"/>
      <x:c r="AJ777" s="3"/>
      <x:c r="AK777" s="3"/>
      <x:c r="AL777" s="3"/>
      <x:c r="AM777" s="3"/>
      <x:c r="AN777" s="3"/>
      <x:c r="AO777" s="3"/>
      <x:c r="AP777" s="3"/>
      <x:c r="AQ777" s="3"/>
      <x:c r="AR777" s="3"/>
      <x:c r="AS777" s="3"/>
      <x:c r="AT777" s="3"/>
      <x:c r="AU777" s="3"/>
      <x:c r="AV777" s="3"/>
      <x:c r="AW777" s="3"/>
      <x:c r="AX777" s="3"/>
      <x:c r="AY777" s="3"/>
      <x:c r="AZ777" s="3" t="str">
        <x:f>IF(AND('中古車掲載'!C778="One2car",'中古車掲載'!F778="ATTO 3",'中古車掲載'!L778="EXTENDED RANGE",'中古車掲載'!J778=2023,ISNUMBER('中古車掲載'!N778),'中古車掲載'!N778&gt;=20000,'中古車掲載'!O778&lt;=100000,'中古車掲載'!AL778=1),'中古車掲載'!U778,"")</x:f>
      </x:c>
      <x:c r="BA777" s="3" t="str">
        <x:f>IF(AND('中古車掲載'!C778="One2car",'中古車掲載'!F778="Corolla Cross",'中古車掲載'!L778="HEV PREMIUM SAFETY",'中古車掲載'!J778=2023,ISNUMBER('中古車掲載'!N778),'中古車掲載'!N778&gt;=20000,'中古車掲載'!O778&lt;=100000,'中古車掲載'!AL778=1,'中古車掲載'!Z778="https://www.one2car.com/en/cars-for-sale/toyota/corolla-cross/year-2023"),'中古車掲載'!U778,"")</x:f>
      </x:c>
      <x:c r="BB777" s="3" t="str">
        <x:f>IF(AND('中古車掲載'!C778="One2car",'中古車掲載'!F778="ATTO 3",'中古車掲載'!L778="EXTENDED RANGE",'中古車掲載'!J778=2023,ISNUMBER('中古車掲載'!N778),'中古車掲載'!N778&gt;=50000,'中古車掲載'!O778&lt;=100000,'中古車掲載'!AL778=1),'中古車掲載'!U778,"")</x:f>
      </x:c>
      <x:c r="BC777" s="3" t="str">
        <x:f>IF(AND('中古車掲載'!C778="One2car",'中古車掲載'!F778="Corolla Cross",'中古車掲載'!L778="HEV PREMIUM SAFETY",'中古車掲載'!J778=2023,ISNUMBER('中古車掲載'!N778),'中古車掲載'!N778&gt;=50000,'中古車掲載'!O778&lt;=100000,'中古車掲載'!AL778=1,'中古車掲載'!Z778="https://www.one2car.com/en/cars-for-sale/toyota/corolla-cross/year-2023"),'中古車掲載'!U778,"")</x:f>
      </x:c>
      <x:c r="BD777" s="3" t="str">
        <x:f>IF(AND('中古車掲載'!C778="One2car",'中古車掲載'!F778="ATTO 3",'中古車掲載'!L778="EXTENDED RANGE",'中古車掲載'!J778=2023,ISNUMBER('中古車掲載'!N778),'中古車掲載'!N778&gt;=20000,'中古車掲載'!O778&lt;=50000,'中古車掲載'!AL778=1),'中古車掲載'!U778,"")</x:f>
      </x:c>
      <x:c r="BE777" s="3" t="str">
        <x:f>IF(AND('中古車掲載'!C778="One2car",'中古車掲載'!F778="Corolla Cross",'中古車掲載'!L778="HEV PREMIUM SAFETY",'中古車掲載'!J778=2023,ISNUMBER('中古車掲載'!N778),'中古車掲載'!N778&gt;=20000,'中古車掲載'!O778&lt;=50000,'中古車掲載'!AL778=1,'中古車掲載'!Z778="https://www.one2car.com/en/cars-for-sale/toyota/corolla-cross/year-2023"),'中古車掲載'!U778,"")</x:f>
      </x:c>
      <x:c r="BF777" s="3" t="str">
        <x:f>IF(AND('中古車掲載'!C778="One2car",'中古車掲載'!F778="Corolla Cross",'中古車掲載'!L778="HEV PREMIUM",'中古車掲載'!J778=2023,ISNUMBER('中古車掲載'!N778),'中古車掲載'!N778&gt;=20000,'中古車掲載'!O778&lt;=100000,'中古車掲載'!AL778=1,'中古車掲載'!Z778="https://www.one2car.com/en/cars-for-sale/toyota/corolla-cross/year-2023"),'中古車掲載'!U778,"")</x:f>
      </x:c>
      <x:c r="BG777" s="3" t="str">
        <x:f>IF(AND('中古車掲載'!C778="One2car",'中古車掲載'!F778="Corolla Cross",'中古車掲載'!L778="HEV GR SPORT",'中古車掲載'!J778=2023,ISNUMBER('中古車掲載'!N778),'中古車掲載'!N778&gt;=20000,'中古車掲載'!O778&lt;=100000,'中古車掲載'!AL778=1,'中古車掲載'!Z778="https://www.one2car.com/en/cars-for-sale/toyota/corolla-cross/year-2023"),'中古車掲載'!U778,"")</x:f>
      </x:c>
      <x:c r="BH777" s="3" t="str">
        <x:f>IF(AND('中古車掲載'!C778="One2car",'中古車掲載'!F778="DOLPHIN",'中古車掲載'!L778="STANDARD RANGE",'中古車掲載'!J778=2023,ISNUMBER('中古車掲載'!N778),'中古車掲載'!N778&gt;=20000,'中古車掲載'!O778&lt;=100000,'中古車掲載'!AL778=1),'中古車掲載'!U778,"")</x:f>
      </x:c>
      <x:c r="BI777" s="3" t="str">
        <x:v>Taladrod|Hilux Revo|ICE|Unknown</x:v>
      </x:c>
      <x:c r="BJ777" s="3" t="n">
        <x:v>778</x:v>
      </x:c>
      <x:c r="BK777" s="3" t="n">
        <x:f>'中古車掲載'!AM778</x:f>
        <x:v>399000</x:v>
      </x:c>
      <x:c r="BL777" s="3" t="str">
        <x:f>IF(ISNUMBER('中古車掲載'!AN778),'中古車掲載'!AN778,"")</x:f>
      </x:c>
      <x:c r="BM777" s="3"/>
      <x:c r="BN777" s="3"/>
      <x:c r="BO777" s="3"/>
      <x:c r="BP777" s="3"/>
      <x:c r="BQ777" s="3"/>
      <x:c r="BR777" s="3"/>
    </x:row>
    <x:row r="778" ht="22" customHeight="1">
      <x:c r="A778" s="3"/>
      <x:c r="B778" s="3"/>
      <x:c r="C778" s="3"/>
      <x:c r="D778" s="3"/>
      <x:c r="E778" s="3"/>
      <x:c r="F778" s="3"/>
      <x:c r="G778" s="3"/>
      <x:c r="H778" s="3"/>
      <x:c r="I778" s="3"/>
      <x:c r="J778" s="3"/>
      <x:c r="K778" s="3"/>
      <x:c r="L778" s="3"/>
      <x:c r="M778" s="3"/>
      <x:c r="N778" s="3"/>
      <x:c r="O778" s="3"/>
      <x:c r="P778" s="3"/>
      <x:c r="Q778" s="3"/>
      <x:c r="R778" s="3"/>
      <x:c r="S778" s="3"/>
      <x:c r="T778" s="3"/>
      <x:c r="U778" s="3"/>
      <x:c r="V778" s="3"/>
      <x:c r="W778" s="3"/>
      <x:c r="X778" s="3"/>
      <x:c r="Y778" s="3"/>
      <x:c r="Z778" s="3"/>
      <x:c r="AA778" s="3"/>
      <x:c r="AB778" s="3"/>
      <x:c r="AC778" s="3"/>
      <x:c r="AD778" s="3"/>
      <x:c r="AE778" s="3"/>
      <x:c r="AF778" s="3"/>
      <x:c r="AG778" s="3"/>
      <x:c r="AH778" s="3"/>
      <x:c r="AI778" s="3"/>
      <x:c r="AJ778" s="3"/>
      <x:c r="AK778" s="3"/>
      <x:c r="AL778" s="3"/>
      <x:c r="AM778" s="3"/>
      <x:c r="AN778" s="3"/>
      <x:c r="AO778" s="3"/>
      <x:c r="AP778" s="3"/>
      <x:c r="AQ778" s="3"/>
      <x:c r="AR778" s="3"/>
      <x:c r="AS778" s="3"/>
      <x:c r="AT778" s="3"/>
      <x:c r="AU778" s="3"/>
      <x:c r="AV778" s="3"/>
      <x:c r="AW778" s="3"/>
      <x:c r="AX778" s="3"/>
      <x:c r="AY778" s="3"/>
      <x:c r="AZ778" s="3" t="str">
        <x:f>IF(AND('中古車掲載'!C779="One2car",'中古車掲載'!F779="ATTO 3",'中古車掲載'!L779="EXTENDED RANGE",'中古車掲載'!J779=2023,ISNUMBER('中古車掲載'!N779),'中古車掲載'!N779&gt;=20000,'中古車掲載'!O779&lt;=100000,'中古車掲載'!AL779=1),'中古車掲載'!U779,"")</x:f>
      </x:c>
      <x:c r="BA778" s="3" t="str">
        <x:f>IF(AND('中古車掲載'!C779="One2car",'中古車掲載'!F779="Corolla Cross",'中古車掲載'!L779="HEV PREMIUM SAFETY",'中古車掲載'!J779=2023,ISNUMBER('中古車掲載'!N779),'中古車掲載'!N779&gt;=20000,'中古車掲載'!O779&lt;=100000,'中古車掲載'!AL779=1,'中古車掲載'!Z779="https://www.one2car.com/en/cars-for-sale/toyota/corolla-cross/year-2023"),'中古車掲載'!U779,"")</x:f>
      </x:c>
      <x:c r="BB778" s="3" t="str">
        <x:f>IF(AND('中古車掲載'!C779="One2car",'中古車掲載'!F779="ATTO 3",'中古車掲載'!L779="EXTENDED RANGE",'中古車掲載'!J779=2023,ISNUMBER('中古車掲載'!N779),'中古車掲載'!N779&gt;=50000,'中古車掲載'!O779&lt;=100000,'中古車掲載'!AL779=1),'中古車掲載'!U779,"")</x:f>
      </x:c>
      <x:c r="BC778" s="3" t="str">
        <x:f>IF(AND('中古車掲載'!C779="One2car",'中古車掲載'!F779="Corolla Cross",'中古車掲載'!L779="HEV PREMIUM SAFETY",'中古車掲載'!J779=2023,ISNUMBER('中古車掲載'!N779),'中古車掲載'!N779&gt;=50000,'中古車掲載'!O779&lt;=100000,'中古車掲載'!AL779=1,'中古車掲載'!Z779="https://www.one2car.com/en/cars-for-sale/toyota/corolla-cross/year-2023"),'中古車掲載'!U779,"")</x:f>
      </x:c>
      <x:c r="BD778" s="3" t="str">
        <x:f>IF(AND('中古車掲載'!C779="One2car",'中古車掲載'!F779="ATTO 3",'中古車掲載'!L779="EXTENDED RANGE",'中古車掲載'!J779=2023,ISNUMBER('中古車掲載'!N779),'中古車掲載'!N779&gt;=20000,'中古車掲載'!O779&lt;=50000,'中古車掲載'!AL779=1),'中古車掲載'!U779,"")</x:f>
      </x:c>
      <x:c r="BE778" s="3" t="str">
        <x:f>IF(AND('中古車掲載'!C779="One2car",'中古車掲載'!F779="Corolla Cross",'中古車掲載'!L779="HEV PREMIUM SAFETY",'中古車掲載'!J779=2023,ISNUMBER('中古車掲載'!N779),'中古車掲載'!N779&gt;=20000,'中古車掲載'!O779&lt;=50000,'中古車掲載'!AL779=1,'中古車掲載'!Z779="https://www.one2car.com/en/cars-for-sale/toyota/corolla-cross/year-2023"),'中古車掲載'!U779,"")</x:f>
      </x:c>
      <x:c r="BF778" s="3" t="str">
        <x:f>IF(AND('中古車掲載'!C779="One2car",'中古車掲載'!F779="Corolla Cross",'中古車掲載'!L779="HEV PREMIUM",'中古車掲載'!J779=2023,ISNUMBER('中古車掲載'!N779),'中古車掲載'!N779&gt;=20000,'中古車掲載'!O779&lt;=100000,'中古車掲載'!AL779=1,'中古車掲載'!Z779="https://www.one2car.com/en/cars-for-sale/toyota/corolla-cross/year-2023"),'中古車掲載'!U779,"")</x:f>
      </x:c>
      <x:c r="BG778" s="3" t="str">
        <x:f>IF(AND('中古車掲載'!C779="One2car",'中古車掲載'!F779="Corolla Cross",'中古車掲載'!L779="HEV GR SPORT",'中古車掲載'!J779=2023,ISNUMBER('中古車掲載'!N779),'中古車掲載'!N779&gt;=20000,'中古車掲載'!O779&lt;=100000,'中古車掲載'!AL779=1,'中古車掲載'!Z779="https://www.one2car.com/en/cars-for-sale/toyota/corolla-cross/year-2023"),'中古車掲載'!U779,"")</x:f>
      </x:c>
      <x:c r="BH778" s="3" t="str">
        <x:f>IF(AND('中古車掲載'!C779="One2car",'中古車掲載'!F779="DOLPHIN",'中古車掲載'!L779="STANDARD RANGE",'中古車掲載'!J779=2023,ISNUMBER('中古車掲載'!N779),'中古車掲載'!N779&gt;=20000,'中古車掲載'!O779&lt;=100000,'中古車掲載'!AL779=1),'中古車掲載'!U779,"")</x:f>
      </x:c>
      <x:c r="BI778" s="3" t="str">
        <x:v>Taladrod|Hilux Revo|ICE|Unknown</x:v>
      </x:c>
      <x:c r="BJ778" s="3" t="n">
        <x:v>779</x:v>
      </x:c>
      <x:c r="BK778" s="3" t="n">
        <x:f>'中古車掲載'!AM779</x:f>
        <x:v>369000</x:v>
      </x:c>
      <x:c r="BL778" s="3" t="str">
        <x:f>IF(ISNUMBER('中古車掲載'!AN779),'中古車掲載'!AN779,"")</x:f>
      </x:c>
      <x:c r="BM778" s="3"/>
      <x:c r="BN778" s="3"/>
      <x:c r="BO778" s="3"/>
      <x:c r="BP778" s="3"/>
      <x:c r="BQ778" s="3"/>
      <x:c r="BR778" s="3"/>
    </x:row>
    <x:row r="779" ht="22" customHeight="1">
      <x:c r="A779" s="3"/>
      <x:c r="B779" s="3"/>
      <x:c r="C779" s="3"/>
      <x:c r="D779" s="3"/>
      <x:c r="E779" s="3"/>
      <x:c r="F779" s="3"/>
      <x:c r="G779" s="3"/>
      <x:c r="H779" s="3"/>
      <x:c r="I779" s="3"/>
      <x:c r="J779" s="3"/>
      <x:c r="K779" s="3"/>
      <x:c r="L779" s="3"/>
      <x:c r="M779" s="3"/>
      <x:c r="N779" s="3"/>
      <x:c r="O779" s="3"/>
      <x:c r="P779" s="3"/>
      <x:c r="Q779" s="3"/>
      <x:c r="R779" s="3"/>
      <x:c r="S779" s="3"/>
      <x:c r="T779" s="3"/>
      <x:c r="U779" s="3"/>
      <x:c r="V779" s="3"/>
      <x:c r="W779" s="3"/>
      <x:c r="X779" s="3"/>
      <x:c r="Y779" s="3"/>
      <x:c r="Z779" s="3"/>
      <x:c r="AA779" s="3"/>
      <x:c r="AB779" s="3"/>
      <x:c r="AC779" s="3"/>
      <x:c r="AD779" s="3"/>
      <x:c r="AE779" s="3"/>
      <x:c r="AF779" s="3"/>
      <x:c r="AG779" s="3"/>
      <x:c r="AH779" s="3"/>
      <x:c r="AI779" s="3"/>
      <x:c r="AJ779" s="3"/>
      <x:c r="AK779" s="3"/>
      <x:c r="AL779" s="3"/>
      <x:c r="AM779" s="3"/>
      <x:c r="AN779" s="3"/>
      <x:c r="AO779" s="3"/>
      <x:c r="AP779" s="3"/>
      <x:c r="AQ779" s="3"/>
      <x:c r="AR779" s="3"/>
      <x:c r="AS779" s="3"/>
      <x:c r="AT779" s="3"/>
      <x:c r="AU779" s="3"/>
      <x:c r="AV779" s="3"/>
      <x:c r="AW779" s="3"/>
      <x:c r="AX779" s="3"/>
      <x:c r="AY779" s="3"/>
      <x:c r="AZ779" s="3" t="str">
        <x:f>IF(AND('中古車掲載'!C780="One2car",'中古車掲載'!F780="ATTO 3",'中古車掲載'!L780="EXTENDED RANGE",'中古車掲載'!J780=2023,ISNUMBER('中古車掲載'!N780),'中古車掲載'!N780&gt;=20000,'中古車掲載'!O780&lt;=100000,'中古車掲載'!AL780=1),'中古車掲載'!U780,"")</x:f>
      </x:c>
      <x:c r="BA779" s="3" t="str">
        <x:f>IF(AND('中古車掲載'!C780="One2car",'中古車掲載'!F780="Corolla Cross",'中古車掲載'!L780="HEV PREMIUM SAFETY",'中古車掲載'!J780=2023,ISNUMBER('中古車掲載'!N780),'中古車掲載'!N780&gt;=20000,'中古車掲載'!O780&lt;=100000,'中古車掲載'!AL780=1,'中古車掲載'!Z780="https://www.one2car.com/en/cars-for-sale/toyota/corolla-cross/year-2023"),'中古車掲載'!U780,"")</x:f>
      </x:c>
      <x:c r="BB779" s="3" t="str">
        <x:f>IF(AND('中古車掲載'!C780="One2car",'中古車掲載'!F780="ATTO 3",'中古車掲載'!L780="EXTENDED RANGE",'中古車掲載'!J780=2023,ISNUMBER('中古車掲載'!N780),'中古車掲載'!N780&gt;=50000,'中古車掲載'!O780&lt;=100000,'中古車掲載'!AL780=1),'中古車掲載'!U780,"")</x:f>
      </x:c>
      <x:c r="BC779" s="3" t="str">
        <x:f>IF(AND('中古車掲載'!C780="One2car",'中古車掲載'!F780="Corolla Cross",'中古車掲載'!L780="HEV PREMIUM SAFETY",'中古車掲載'!J780=2023,ISNUMBER('中古車掲載'!N780),'中古車掲載'!N780&gt;=50000,'中古車掲載'!O780&lt;=100000,'中古車掲載'!AL780=1,'中古車掲載'!Z780="https://www.one2car.com/en/cars-for-sale/toyota/corolla-cross/year-2023"),'中古車掲載'!U780,"")</x:f>
      </x:c>
      <x:c r="BD779" s="3" t="str">
        <x:f>IF(AND('中古車掲載'!C780="One2car",'中古車掲載'!F780="ATTO 3",'中古車掲載'!L780="EXTENDED RANGE",'中古車掲載'!J780=2023,ISNUMBER('中古車掲載'!N780),'中古車掲載'!N780&gt;=20000,'中古車掲載'!O780&lt;=50000,'中古車掲載'!AL780=1),'中古車掲載'!U780,"")</x:f>
      </x:c>
      <x:c r="BE779" s="3" t="str">
        <x:f>IF(AND('中古車掲載'!C780="One2car",'中古車掲載'!F780="Corolla Cross",'中古車掲載'!L780="HEV PREMIUM SAFETY",'中古車掲載'!J780=2023,ISNUMBER('中古車掲載'!N780),'中古車掲載'!N780&gt;=20000,'中古車掲載'!O780&lt;=50000,'中古車掲載'!AL780=1,'中古車掲載'!Z780="https://www.one2car.com/en/cars-for-sale/toyota/corolla-cross/year-2023"),'中古車掲載'!U780,"")</x:f>
      </x:c>
      <x:c r="BF779" s="3" t="str">
        <x:f>IF(AND('中古車掲載'!C780="One2car",'中古車掲載'!F780="Corolla Cross",'中古車掲載'!L780="HEV PREMIUM",'中古車掲載'!J780=2023,ISNUMBER('中古車掲載'!N780),'中古車掲載'!N780&gt;=20000,'中古車掲載'!O780&lt;=100000,'中古車掲載'!AL780=1,'中古車掲載'!Z780="https://www.one2car.com/en/cars-for-sale/toyota/corolla-cross/year-2023"),'中古車掲載'!U780,"")</x:f>
      </x:c>
      <x:c r="BG779" s="3" t="str">
        <x:f>IF(AND('中古車掲載'!C780="One2car",'中古車掲載'!F780="Corolla Cross",'中古車掲載'!L780="HEV GR SPORT",'中古車掲載'!J780=2023,ISNUMBER('中古車掲載'!N780),'中古車掲載'!N780&gt;=20000,'中古車掲載'!O780&lt;=100000,'中古車掲載'!AL780=1,'中古車掲載'!Z780="https://www.one2car.com/en/cars-for-sale/toyota/corolla-cross/year-2023"),'中古車掲載'!U780,"")</x:f>
      </x:c>
      <x:c r="BH779" s="3" t="str">
        <x:f>IF(AND('中古車掲載'!C780="One2car",'中古車掲載'!F780="DOLPHIN",'中古車掲載'!L780="STANDARD RANGE",'中古車掲載'!J780=2023,ISNUMBER('中古車掲載'!N780),'中古車掲載'!N780&gt;=20000,'中古車掲載'!O780&lt;=100000,'中古車掲載'!AL780=1),'中古車掲載'!U780,"")</x:f>
      </x:c>
      <x:c r="BI779" s="3" t="str">
        <x:v>Taladrod|Hilux Revo|ICE|Unknown</x:v>
      </x:c>
      <x:c r="BJ779" s="3" t="n">
        <x:v>780</x:v>
      </x:c>
      <x:c r="BK779" s="3" t="n">
        <x:f>'中古車掲載'!AM780</x:f>
        <x:v>379000</x:v>
      </x:c>
      <x:c r="BL779" s="3" t="str">
        <x:f>IF(ISNUMBER('中古車掲載'!AN780),'中古車掲載'!AN780,"")</x:f>
      </x:c>
      <x:c r="BM779" s="3"/>
      <x:c r="BN779" s="3"/>
      <x:c r="BO779" s="3"/>
      <x:c r="BP779" s="3"/>
      <x:c r="BQ779" s="3"/>
      <x:c r="BR779" s="3"/>
    </x:row>
    <x:row r="780" ht="22" customHeight="1">
      <x:c r="A780" s="3"/>
      <x:c r="B780" s="3"/>
      <x:c r="C780" s="3"/>
      <x:c r="D780" s="3"/>
      <x:c r="E780" s="3"/>
      <x:c r="F780" s="3"/>
      <x:c r="G780" s="3"/>
      <x:c r="H780" s="3"/>
      <x:c r="I780" s="3"/>
      <x:c r="J780" s="3"/>
      <x:c r="K780" s="3"/>
      <x:c r="L780" s="3"/>
      <x:c r="M780" s="3"/>
      <x:c r="N780" s="3"/>
      <x:c r="O780" s="3"/>
      <x:c r="P780" s="3"/>
      <x:c r="Q780" s="3"/>
      <x:c r="R780" s="3"/>
      <x:c r="S780" s="3"/>
      <x:c r="T780" s="3"/>
      <x:c r="U780" s="3"/>
      <x:c r="V780" s="3"/>
      <x:c r="W780" s="3"/>
      <x:c r="X780" s="3"/>
      <x:c r="Y780" s="3"/>
      <x:c r="Z780" s="3"/>
      <x:c r="AA780" s="3"/>
      <x:c r="AB780" s="3"/>
      <x:c r="AC780" s="3"/>
      <x:c r="AD780" s="3"/>
      <x:c r="AE780" s="3"/>
      <x:c r="AF780" s="3"/>
      <x:c r="AG780" s="3"/>
      <x:c r="AH780" s="3"/>
      <x:c r="AI780" s="3"/>
      <x:c r="AJ780" s="3"/>
      <x:c r="AK780" s="3"/>
      <x:c r="AL780" s="3"/>
      <x:c r="AM780" s="3"/>
      <x:c r="AN780" s="3"/>
      <x:c r="AO780" s="3"/>
      <x:c r="AP780" s="3"/>
      <x:c r="AQ780" s="3"/>
      <x:c r="AR780" s="3"/>
      <x:c r="AS780" s="3"/>
      <x:c r="AT780" s="3"/>
      <x:c r="AU780" s="3"/>
      <x:c r="AV780" s="3"/>
      <x:c r="AW780" s="3"/>
      <x:c r="AX780" s="3"/>
      <x:c r="AY780" s="3"/>
      <x:c r="AZ780" s="3" t="str">
        <x:f>IF(AND('中古車掲載'!C781="One2car",'中古車掲載'!F781="ATTO 3",'中古車掲載'!L781="EXTENDED RANGE",'中古車掲載'!J781=2023,ISNUMBER('中古車掲載'!N781),'中古車掲載'!N781&gt;=20000,'中古車掲載'!O781&lt;=100000,'中古車掲載'!AL781=1),'中古車掲載'!U781,"")</x:f>
      </x:c>
      <x:c r="BA780" s="3" t="str">
        <x:f>IF(AND('中古車掲載'!C781="One2car",'中古車掲載'!F781="Corolla Cross",'中古車掲載'!L781="HEV PREMIUM SAFETY",'中古車掲載'!J781=2023,ISNUMBER('中古車掲載'!N781),'中古車掲載'!N781&gt;=20000,'中古車掲載'!O781&lt;=100000,'中古車掲載'!AL781=1,'中古車掲載'!Z781="https://www.one2car.com/en/cars-for-sale/toyota/corolla-cross/year-2023"),'中古車掲載'!U781,"")</x:f>
      </x:c>
      <x:c r="BB780" s="3" t="str">
        <x:f>IF(AND('中古車掲載'!C781="One2car",'中古車掲載'!F781="ATTO 3",'中古車掲載'!L781="EXTENDED RANGE",'中古車掲載'!J781=2023,ISNUMBER('中古車掲載'!N781),'中古車掲載'!N781&gt;=50000,'中古車掲載'!O781&lt;=100000,'中古車掲載'!AL781=1),'中古車掲載'!U781,"")</x:f>
      </x:c>
      <x:c r="BC780" s="3" t="str">
        <x:f>IF(AND('中古車掲載'!C781="One2car",'中古車掲載'!F781="Corolla Cross",'中古車掲載'!L781="HEV PREMIUM SAFETY",'中古車掲載'!J781=2023,ISNUMBER('中古車掲載'!N781),'中古車掲載'!N781&gt;=50000,'中古車掲載'!O781&lt;=100000,'中古車掲載'!AL781=1,'中古車掲載'!Z781="https://www.one2car.com/en/cars-for-sale/toyota/corolla-cross/year-2023"),'中古車掲載'!U781,"")</x:f>
      </x:c>
      <x:c r="BD780" s="3" t="str">
        <x:f>IF(AND('中古車掲載'!C781="One2car",'中古車掲載'!F781="ATTO 3",'中古車掲載'!L781="EXTENDED RANGE",'中古車掲載'!J781=2023,ISNUMBER('中古車掲載'!N781),'中古車掲載'!N781&gt;=20000,'中古車掲載'!O781&lt;=50000,'中古車掲載'!AL781=1),'中古車掲載'!U781,"")</x:f>
      </x:c>
      <x:c r="BE780" s="3" t="str">
        <x:f>IF(AND('中古車掲載'!C781="One2car",'中古車掲載'!F781="Corolla Cross",'中古車掲載'!L781="HEV PREMIUM SAFETY",'中古車掲載'!J781=2023,ISNUMBER('中古車掲載'!N781),'中古車掲載'!N781&gt;=20000,'中古車掲載'!O781&lt;=50000,'中古車掲載'!AL781=1,'中古車掲載'!Z781="https://www.one2car.com/en/cars-for-sale/toyota/corolla-cross/year-2023"),'中古車掲載'!U781,"")</x:f>
      </x:c>
      <x:c r="BF780" s="3" t="str">
        <x:f>IF(AND('中古車掲載'!C781="One2car",'中古車掲載'!F781="Corolla Cross",'中古車掲載'!L781="HEV PREMIUM",'中古車掲載'!J781=2023,ISNUMBER('中古車掲載'!N781),'中古車掲載'!N781&gt;=20000,'中古車掲載'!O781&lt;=100000,'中古車掲載'!AL781=1,'中古車掲載'!Z781="https://www.one2car.com/en/cars-for-sale/toyota/corolla-cross/year-2023"),'中古車掲載'!U781,"")</x:f>
      </x:c>
      <x:c r="BG780" s="3" t="str">
        <x:f>IF(AND('中古車掲載'!C781="One2car",'中古車掲載'!F781="Corolla Cross",'中古車掲載'!L781="HEV GR SPORT",'中古車掲載'!J781=2023,ISNUMBER('中古車掲載'!N781),'中古車掲載'!N781&gt;=20000,'中古車掲載'!O781&lt;=100000,'中古車掲載'!AL781=1,'中古車掲載'!Z781="https://www.one2car.com/en/cars-for-sale/toyota/corolla-cross/year-2023"),'中古車掲載'!U781,"")</x:f>
      </x:c>
      <x:c r="BH780" s="3" t="str">
        <x:f>IF(AND('中古車掲載'!C781="One2car",'中古車掲載'!F781="DOLPHIN",'中古車掲載'!L781="STANDARD RANGE",'中古車掲載'!J781=2023,ISNUMBER('中古車掲載'!N781),'中古車掲載'!N781&gt;=20000,'中古車掲載'!O781&lt;=100000,'中古車掲載'!AL781=1),'中古車掲載'!U781,"")</x:f>
      </x:c>
      <x:c r="BI780" s="3" t="str">
        <x:v>Taladrod|Hilux Revo|ICE|Unknown</x:v>
      </x:c>
      <x:c r="BJ780" s="3" t="n">
        <x:v>781</x:v>
      </x:c>
      <x:c r="BK780" s="3" t="n">
        <x:f>'中古車掲載'!AM781</x:f>
        <x:v>399000</x:v>
      </x:c>
      <x:c r="BL780" s="3" t="str">
        <x:f>IF(ISNUMBER('中古車掲載'!AN781),'中古車掲載'!AN781,"")</x:f>
      </x:c>
      <x:c r="BM780" s="3"/>
      <x:c r="BN780" s="3"/>
      <x:c r="BO780" s="3"/>
      <x:c r="BP780" s="3"/>
      <x:c r="BQ780" s="3"/>
      <x:c r="BR780" s="3"/>
    </x:row>
    <x:row r="781" ht="22" customHeight="1">
      <x:c r="A781" s="3"/>
      <x:c r="B781" s="3"/>
      <x:c r="C781" s="3"/>
      <x:c r="D781" s="3"/>
      <x:c r="E781" s="3"/>
      <x:c r="F781" s="3"/>
      <x:c r="G781" s="3"/>
      <x:c r="H781" s="3"/>
      <x:c r="I781" s="3"/>
      <x:c r="J781" s="3"/>
      <x:c r="K781" s="3"/>
      <x:c r="L781" s="3"/>
      <x:c r="M781" s="3"/>
      <x:c r="N781" s="3"/>
      <x:c r="O781" s="3"/>
      <x:c r="P781" s="3"/>
      <x:c r="Q781" s="3"/>
      <x:c r="R781" s="3"/>
      <x:c r="S781" s="3"/>
      <x:c r="T781" s="3"/>
      <x:c r="U781" s="3"/>
      <x:c r="V781" s="3"/>
      <x:c r="W781" s="3"/>
      <x:c r="X781" s="3"/>
      <x:c r="Y781" s="3"/>
      <x:c r="Z781" s="3"/>
      <x:c r="AA781" s="3"/>
      <x:c r="AB781" s="3"/>
      <x:c r="AC781" s="3"/>
      <x:c r="AD781" s="3"/>
      <x:c r="AE781" s="3"/>
      <x:c r="AF781" s="3"/>
      <x:c r="AG781" s="3"/>
      <x:c r="AH781" s="3"/>
      <x:c r="AI781" s="3"/>
      <x:c r="AJ781" s="3"/>
      <x:c r="AK781" s="3"/>
      <x:c r="AL781" s="3"/>
      <x:c r="AM781" s="3"/>
      <x:c r="AN781" s="3"/>
      <x:c r="AO781" s="3"/>
      <x:c r="AP781" s="3"/>
      <x:c r="AQ781" s="3"/>
      <x:c r="AR781" s="3"/>
      <x:c r="AS781" s="3"/>
      <x:c r="AT781" s="3"/>
      <x:c r="AU781" s="3"/>
      <x:c r="AV781" s="3"/>
      <x:c r="AW781" s="3"/>
      <x:c r="AX781" s="3"/>
      <x:c r="AY781" s="3"/>
      <x:c r="AZ781" s="3" t="str">
        <x:f>IF(AND('中古車掲載'!C782="One2car",'中古車掲載'!F782="ATTO 3",'中古車掲載'!L782="EXTENDED RANGE",'中古車掲載'!J782=2023,ISNUMBER('中古車掲載'!N782),'中古車掲載'!N782&gt;=20000,'中古車掲載'!O782&lt;=100000,'中古車掲載'!AL782=1),'中古車掲載'!U782,"")</x:f>
      </x:c>
      <x:c r="BA781" s="3" t="str">
        <x:f>IF(AND('中古車掲載'!C782="One2car",'中古車掲載'!F782="Corolla Cross",'中古車掲載'!L782="HEV PREMIUM SAFETY",'中古車掲載'!J782=2023,ISNUMBER('中古車掲載'!N782),'中古車掲載'!N782&gt;=20000,'中古車掲載'!O782&lt;=100000,'中古車掲載'!AL782=1,'中古車掲載'!Z782="https://www.one2car.com/en/cars-for-sale/toyota/corolla-cross/year-2023"),'中古車掲載'!U782,"")</x:f>
      </x:c>
      <x:c r="BB781" s="3" t="str">
        <x:f>IF(AND('中古車掲載'!C782="One2car",'中古車掲載'!F782="ATTO 3",'中古車掲載'!L782="EXTENDED RANGE",'中古車掲載'!J782=2023,ISNUMBER('中古車掲載'!N782),'中古車掲載'!N782&gt;=50000,'中古車掲載'!O782&lt;=100000,'中古車掲載'!AL782=1),'中古車掲載'!U782,"")</x:f>
      </x:c>
      <x:c r="BC781" s="3" t="str">
        <x:f>IF(AND('中古車掲載'!C782="One2car",'中古車掲載'!F782="Corolla Cross",'中古車掲載'!L782="HEV PREMIUM SAFETY",'中古車掲載'!J782=2023,ISNUMBER('中古車掲載'!N782),'中古車掲載'!N782&gt;=50000,'中古車掲載'!O782&lt;=100000,'中古車掲載'!AL782=1,'中古車掲載'!Z782="https://www.one2car.com/en/cars-for-sale/toyota/corolla-cross/year-2023"),'中古車掲載'!U782,"")</x:f>
      </x:c>
      <x:c r="BD781" s="3" t="str">
        <x:f>IF(AND('中古車掲載'!C782="One2car",'中古車掲載'!F782="ATTO 3",'中古車掲載'!L782="EXTENDED RANGE",'中古車掲載'!J782=2023,ISNUMBER('中古車掲載'!N782),'中古車掲載'!N782&gt;=20000,'中古車掲載'!O782&lt;=50000,'中古車掲載'!AL782=1),'中古車掲載'!U782,"")</x:f>
      </x:c>
      <x:c r="BE781" s="3" t="str">
        <x:f>IF(AND('中古車掲載'!C782="One2car",'中古車掲載'!F782="Corolla Cross",'中古車掲載'!L782="HEV PREMIUM SAFETY",'中古車掲載'!J782=2023,ISNUMBER('中古車掲載'!N782),'中古車掲載'!N782&gt;=20000,'中古車掲載'!O782&lt;=50000,'中古車掲載'!AL782=1,'中古車掲載'!Z782="https://www.one2car.com/en/cars-for-sale/toyota/corolla-cross/year-2023"),'中古車掲載'!U782,"")</x:f>
      </x:c>
      <x:c r="BF781" s="3" t="str">
        <x:f>IF(AND('中古車掲載'!C782="One2car",'中古車掲載'!F782="Corolla Cross",'中古車掲載'!L782="HEV PREMIUM",'中古車掲載'!J782=2023,ISNUMBER('中古車掲載'!N782),'中古車掲載'!N782&gt;=20000,'中古車掲載'!O782&lt;=100000,'中古車掲載'!AL782=1,'中古車掲載'!Z782="https://www.one2car.com/en/cars-for-sale/toyota/corolla-cross/year-2023"),'中古車掲載'!U782,"")</x:f>
      </x:c>
      <x:c r="BG781" s="3" t="str">
        <x:f>IF(AND('中古車掲載'!C782="One2car",'中古車掲載'!F782="Corolla Cross",'中古車掲載'!L782="HEV GR SPORT",'中古車掲載'!J782=2023,ISNUMBER('中古車掲載'!N782),'中古車掲載'!N782&gt;=20000,'中古車掲載'!O782&lt;=100000,'中古車掲載'!AL782=1,'中古車掲載'!Z782="https://www.one2car.com/en/cars-for-sale/toyota/corolla-cross/year-2023"),'中古車掲載'!U782,"")</x:f>
      </x:c>
      <x:c r="BH781" s="3" t="str">
        <x:f>IF(AND('中古車掲載'!C782="One2car",'中古車掲載'!F782="DOLPHIN",'中古車掲載'!L782="STANDARD RANGE",'中古車掲載'!J782=2023,ISNUMBER('中古車掲載'!N782),'中古車掲載'!N782&gt;=20000,'中古車掲載'!O782&lt;=100000,'中古車掲載'!AL782=1),'中古車掲載'!U782,"")</x:f>
      </x:c>
      <x:c r="BI781" s="3" t="str">
        <x:v>Taladrod|Hilux Revo|ICE|Unknown</x:v>
      </x:c>
      <x:c r="BJ781" s="3" t="n">
        <x:v>782</x:v>
      </x:c>
      <x:c r="BK781" s="3" t="n">
        <x:f>'中古車掲載'!AM782</x:f>
        <x:v>399000</x:v>
      </x:c>
      <x:c r="BL781" s="3" t="str">
        <x:f>IF(ISNUMBER('中古車掲載'!AN782),'中古車掲載'!AN782,"")</x:f>
      </x:c>
      <x:c r="BM781" s="3"/>
      <x:c r="BN781" s="3"/>
      <x:c r="BO781" s="3"/>
      <x:c r="BP781" s="3"/>
      <x:c r="BQ781" s="3"/>
      <x:c r="BR781" s="3"/>
    </x:row>
    <x:row r="782" ht="22" customHeight="1">
      <x:c r="A782" s="3"/>
      <x:c r="B782" s="3"/>
      <x:c r="C782" s="3"/>
      <x:c r="D782" s="3"/>
      <x:c r="E782" s="3"/>
      <x:c r="F782" s="3"/>
      <x:c r="G782" s="3"/>
      <x:c r="H782" s="3"/>
      <x:c r="I782" s="3"/>
      <x:c r="J782" s="3"/>
      <x:c r="K782" s="3"/>
      <x:c r="L782" s="3"/>
      <x:c r="M782" s="3"/>
      <x:c r="N782" s="3"/>
      <x:c r="O782" s="3"/>
      <x:c r="P782" s="3"/>
      <x:c r="Q782" s="3"/>
      <x:c r="R782" s="3"/>
      <x:c r="S782" s="3"/>
      <x:c r="T782" s="3"/>
      <x:c r="U782" s="3"/>
      <x:c r="V782" s="3"/>
      <x:c r="W782" s="3"/>
      <x:c r="X782" s="3"/>
      <x:c r="Y782" s="3"/>
      <x:c r="Z782" s="3"/>
      <x:c r="AA782" s="3"/>
      <x:c r="AB782" s="3"/>
      <x:c r="AC782" s="3"/>
      <x:c r="AD782" s="3"/>
      <x:c r="AE782" s="3"/>
      <x:c r="AF782" s="3"/>
      <x:c r="AG782" s="3"/>
      <x:c r="AH782" s="3"/>
      <x:c r="AI782" s="3"/>
      <x:c r="AJ782" s="3"/>
      <x:c r="AK782" s="3"/>
      <x:c r="AL782" s="3"/>
      <x:c r="AM782" s="3"/>
      <x:c r="AN782" s="3"/>
      <x:c r="AO782" s="3"/>
      <x:c r="AP782" s="3"/>
      <x:c r="AQ782" s="3"/>
      <x:c r="AR782" s="3"/>
      <x:c r="AS782" s="3"/>
      <x:c r="AT782" s="3"/>
      <x:c r="AU782" s="3"/>
      <x:c r="AV782" s="3"/>
      <x:c r="AW782" s="3"/>
      <x:c r="AX782" s="3"/>
      <x:c r="AY782" s="3"/>
      <x:c r="AZ782" s="3" t="str">
        <x:f>IF(AND('中古車掲載'!C783="One2car",'中古車掲載'!F783="ATTO 3",'中古車掲載'!L783="EXTENDED RANGE",'中古車掲載'!J783=2023,ISNUMBER('中古車掲載'!N783),'中古車掲載'!N783&gt;=20000,'中古車掲載'!O783&lt;=100000,'中古車掲載'!AL783=1),'中古車掲載'!U783,"")</x:f>
      </x:c>
      <x:c r="BA782" s="3" t="str">
        <x:f>IF(AND('中古車掲載'!C783="One2car",'中古車掲載'!F783="Corolla Cross",'中古車掲載'!L783="HEV PREMIUM SAFETY",'中古車掲載'!J783=2023,ISNUMBER('中古車掲載'!N783),'中古車掲載'!N783&gt;=20000,'中古車掲載'!O783&lt;=100000,'中古車掲載'!AL783=1,'中古車掲載'!Z783="https://www.one2car.com/en/cars-for-sale/toyota/corolla-cross/year-2023"),'中古車掲載'!U783,"")</x:f>
      </x:c>
      <x:c r="BB782" s="3" t="str">
        <x:f>IF(AND('中古車掲載'!C783="One2car",'中古車掲載'!F783="ATTO 3",'中古車掲載'!L783="EXTENDED RANGE",'中古車掲載'!J783=2023,ISNUMBER('中古車掲載'!N783),'中古車掲載'!N783&gt;=50000,'中古車掲載'!O783&lt;=100000,'中古車掲載'!AL783=1),'中古車掲載'!U783,"")</x:f>
      </x:c>
      <x:c r="BC782" s="3" t="str">
        <x:f>IF(AND('中古車掲載'!C783="One2car",'中古車掲載'!F783="Corolla Cross",'中古車掲載'!L783="HEV PREMIUM SAFETY",'中古車掲載'!J783=2023,ISNUMBER('中古車掲載'!N783),'中古車掲載'!N783&gt;=50000,'中古車掲載'!O783&lt;=100000,'中古車掲載'!AL783=1,'中古車掲載'!Z783="https://www.one2car.com/en/cars-for-sale/toyota/corolla-cross/year-2023"),'中古車掲載'!U783,"")</x:f>
      </x:c>
      <x:c r="BD782" s="3" t="str">
        <x:f>IF(AND('中古車掲載'!C783="One2car",'中古車掲載'!F783="ATTO 3",'中古車掲載'!L783="EXTENDED RANGE",'中古車掲載'!J783=2023,ISNUMBER('中古車掲載'!N783),'中古車掲載'!N783&gt;=20000,'中古車掲載'!O783&lt;=50000,'中古車掲載'!AL783=1),'中古車掲載'!U783,"")</x:f>
      </x:c>
      <x:c r="BE782" s="3" t="str">
        <x:f>IF(AND('中古車掲載'!C783="One2car",'中古車掲載'!F783="Corolla Cross",'中古車掲載'!L783="HEV PREMIUM SAFETY",'中古車掲載'!J783=2023,ISNUMBER('中古車掲載'!N783),'中古車掲載'!N783&gt;=20000,'中古車掲載'!O783&lt;=50000,'中古車掲載'!AL783=1,'中古車掲載'!Z783="https://www.one2car.com/en/cars-for-sale/toyota/corolla-cross/year-2023"),'中古車掲載'!U783,"")</x:f>
      </x:c>
      <x:c r="BF782" s="3" t="str">
        <x:f>IF(AND('中古車掲載'!C783="One2car",'中古車掲載'!F783="Corolla Cross",'中古車掲載'!L783="HEV PREMIUM",'中古車掲載'!J783=2023,ISNUMBER('中古車掲載'!N783),'中古車掲載'!N783&gt;=20000,'中古車掲載'!O783&lt;=100000,'中古車掲載'!AL783=1,'中古車掲載'!Z783="https://www.one2car.com/en/cars-for-sale/toyota/corolla-cross/year-2023"),'中古車掲載'!U783,"")</x:f>
      </x:c>
      <x:c r="BG782" s="3" t="str">
        <x:f>IF(AND('中古車掲載'!C783="One2car",'中古車掲載'!F783="Corolla Cross",'中古車掲載'!L783="HEV GR SPORT",'中古車掲載'!J783=2023,ISNUMBER('中古車掲載'!N783),'中古車掲載'!N783&gt;=20000,'中古車掲載'!O783&lt;=100000,'中古車掲載'!AL783=1,'中古車掲載'!Z783="https://www.one2car.com/en/cars-for-sale/toyota/corolla-cross/year-2023"),'中古車掲載'!U783,"")</x:f>
      </x:c>
      <x:c r="BH782" s="3" t="str">
        <x:f>IF(AND('中古車掲載'!C783="One2car",'中古車掲載'!F783="DOLPHIN",'中古車掲載'!L783="STANDARD RANGE",'中古車掲載'!J783=2023,ISNUMBER('中古車掲載'!N783),'中古車掲載'!N783&gt;=20000,'中古車掲載'!O783&lt;=100000,'中古車掲載'!AL783=1),'中古車掲載'!U783,"")</x:f>
      </x:c>
      <x:c r="BI782" s="3" t="str">
        <x:v>Taladrod|Hilux Revo|ICE|Unknown</x:v>
      </x:c>
      <x:c r="BJ782" s="3" t="n">
        <x:v>783</x:v>
      </x:c>
      <x:c r="BK782" s="3" t="n">
        <x:f>'中古車掲載'!AM783</x:f>
        <x:v>429000</x:v>
      </x:c>
      <x:c r="BL782" s="3" t="str">
        <x:f>IF(ISNUMBER('中古車掲載'!AN783),'中古車掲載'!AN783,"")</x:f>
      </x:c>
      <x:c r="BM782" s="3"/>
      <x:c r="BN782" s="3"/>
      <x:c r="BO782" s="3"/>
      <x:c r="BP782" s="3"/>
      <x:c r="BQ782" s="3"/>
      <x:c r="BR782" s="3"/>
    </x:row>
    <x:row r="783" ht="22" customHeight="1">
      <x:c r="A783" s="3"/>
      <x:c r="B783" s="3"/>
      <x:c r="C783" s="3"/>
      <x:c r="D783" s="3"/>
      <x:c r="E783" s="3"/>
      <x:c r="F783" s="3"/>
      <x:c r="G783" s="3"/>
      <x:c r="H783" s="3"/>
      <x:c r="I783" s="3"/>
      <x:c r="J783" s="3"/>
      <x:c r="K783" s="3"/>
      <x:c r="L783" s="3"/>
      <x:c r="M783" s="3"/>
      <x:c r="N783" s="3"/>
      <x:c r="O783" s="3"/>
      <x:c r="P783" s="3"/>
      <x:c r="Q783" s="3"/>
      <x:c r="R783" s="3"/>
      <x:c r="S783" s="3"/>
      <x:c r="T783" s="3"/>
      <x:c r="U783" s="3"/>
      <x:c r="V783" s="3"/>
      <x:c r="W783" s="3"/>
      <x:c r="X783" s="3"/>
      <x:c r="Y783" s="3"/>
      <x:c r="Z783" s="3"/>
      <x:c r="AA783" s="3"/>
      <x:c r="AB783" s="3"/>
      <x:c r="AC783" s="3"/>
      <x:c r="AD783" s="3"/>
      <x:c r="AE783" s="3"/>
      <x:c r="AF783" s="3"/>
      <x:c r="AG783" s="3"/>
      <x:c r="AH783" s="3"/>
      <x:c r="AI783" s="3"/>
      <x:c r="AJ783" s="3"/>
      <x:c r="AK783" s="3"/>
      <x:c r="AL783" s="3"/>
      <x:c r="AM783" s="3"/>
      <x:c r="AN783" s="3"/>
      <x:c r="AO783" s="3"/>
      <x:c r="AP783" s="3"/>
      <x:c r="AQ783" s="3"/>
      <x:c r="AR783" s="3"/>
      <x:c r="AS783" s="3"/>
      <x:c r="AT783" s="3"/>
      <x:c r="AU783" s="3"/>
      <x:c r="AV783" s="3"/>
      <x:c r="AW783" s="3"/>
      <x:c r="AX783" s="3"/>
      <x:c r="AY783" s="3"/>
      <x:c r="AZ783" s="3" t="str">
        <x:f>IF(AND('中古車掲載'!C784="One2car",'中古車掲載'!F784="ATTO 3",'中古車掲載'!L784="EXTENDED RANGE",'中古車掲載'!J784=2023,ISNUMBER('中古車掲載'!N784),'中古車掲載'!N784&gt;=20000,'中古車掲載'!O784&lt;=100000,'中古車掲載'!AL784=1),'中古車掲載'!U784,"")</x:f>
      </x:c>
      <x:c r="BA783" s="3" t="str">
        <x:f>IF(AND('中古車掲載'!C784="One2car",'中古車掲載'!F784="Corolla Cross",'中古車掲載'!L784="HEV PREMIUM SAFETY",'中古車掲載'!J784=2023,ISNUMBER('中古車掲載'!N784),'中古車掲載'!N784&gt;=20000,'中古車掲載'!O784&lt;=100000,'中古車掲載'!AL784=1,'中古車掲載'!Z784="https://www.one2car.com/en/cars-for-sale/toyota/corolla-cross/year-2023"),'中古車掲載'!U784,"")</x:f>
      </x:c>
      <x:c r="BB783" s="3" t="str">
        <x:f>IF(AND('中古車掲載'!C784="One2car",'中古車掲載'!F784="ATTO 3",'中古車掲載'!L784="EXTENDED RANGE",'中古車掲載'!J784=2023,ISNUMBER('中古車掲載'!N784),'中古車掲載'!N784&gt;=50000,'中古車掲載'!O784&lt;=100000,'中古車掲載'!AL784=1),'中古車掲載'!U784,"")</x:f>
      </x:c>
      <x:c r="BC783" s="3" t="str">
        <x:f>IF(AND('中古車掲載'!C784="One2car",'中古車掲載'!F784="Corolla Cross",'中古車掲載'!L784="HEV PREMIUM SAFETY",'中古車掲載'!J784=2023,ISNUMBER('中古車掲載'!N784),'中古車掲載'!N784&gt;=50000,'中古車掲載'!O784&lt;=100000,'中古車掲載'!AL784=1,'中古車掲載'!Z784="https://www.one2car.com/en/cars-for-sale/toyota/corolla-cross/year-2023"),'中古車掲載'!U784,"")</x:f>
      </x:c>
      <x:c r="BD783" s="3" t="str">
        <x:f>IF(AND('中古車掲載'!C784="One2car",'中古車掲載'!F784="ATTO 3",'中古車掲載'!L784="EXTENDED RANGE",'中古車掲載'!J784=2023,ISNUMBER('中古車掲載'!N784),'中古車掲載'!N784&gt;=20000,'中古車掲載'!O784&lt;=50000,'中古車掲載'!AL784=1),'中古車掲載'!U784,"")</x:f>
      </x:c>
      <x:c r="BE783" s="3" t="str">
        <x:f>IF(AND('中古車掲載'!C784="One2car",'中古車掲載'!F784="Corolla Cross",'中古車掲載'!L784="HEV PREMIUM SAFETY",'中古車掲載'!J784=2023,ISNUMBER('中古車掲載'!N784),'中古車掲載'!N784&gt;=20000,'中古車掲載'!O784&lt;=50000,'中古車掲載'!AL784=1,'中古車掲載'!Z784="https://www.one2car.com/en/cars-for-sale/toyota/corolla-cross/year-2023"),'中古車掲載'!U784,"")</x:f>
      </x:c>
      <x:c r="BF783" s="3" t="str">
        <x:f>IF(AND('中古車掲載'!C784="One2car",'中古車掲載'!F784="Corolla Cross",'中古車掲載'!L784="HEV PREMIUM",'中古車掲載'!J784=2023,ISNUMBER('中古車掲載'!N784),'中古車掲載'!N784&gt;=20000,'中古車掲載'!O784&lt;=100000,'中古車掲載'!AL784=1,'中古車掲載'!Z784="https://www.one2car.com/en/cars-for-sale/toyota/corolla-cross/year-2023"),'中古車掲載'!U784,"")</x:f>
      </x:c>
      <x:c r="BG783" s="3" t="str">
        <x:f>IF(AND('中古車掲載'!C784="One2car",'中古車掲載'!F784="Corolla Cross",'中古車掲載'!L784="HEV GR SPORT",'中古車掲載'!J784=2023,ISNUMBER('中古車掲載'!N784),'中古車掲載'!N784&gt;=20000,'中古車掲載'!O784&lt;=100000,'中古車掲載'!AL784=1,'中古車掲載'!Z784="https://www.one2car.com/en/cars-for-sale/toyota/corolla-cross/year-2023"),'中古車掲載'!U784,"")</x:f>
      </x:c>
      <x:c r="BH783" s="3" t="str">
        <x:f>IF(AND('中古車掲載'!C784="One2car",'中古車掲載'!F784="DOLPHIN",'中古車掲載'!L784="STANDARD RANGE",'中古車掲載'!J784=2023,ISNUMBER('中古車掲載'!N784),'中古車掲載'!N784&gt;=20000,'中古車掲載'!O784&lt;=100000,'中古車掲載'!AL784=1),'中古車掲載'!U784,"")</x:f>
      </x:c>
      <x:c r="BI783" s="3" t="str">
        <x:v>Taladrod|Hilux Revo|ICE|Unknown</x:v>
      </x:c>
      <x:c r="BJ783" s="3" t="n">
        <x:v>784</x:v>
      </x:c>
      <x:c r="BK783" s="3" t="n">
        <x:f>'中古車掲載'!AM784</x:f>
        <x:v>339000</x:v>
      </x:c>
      <x:c r="BL783" s="3" t="str">
        <x:f>IF(ISNUMBER('中古車掲載'!AN784),'中古車掲載'!AN784,"")</x:f>
      </x:c>
      <x:c r="BM783" s="3"/>
      <x:c r="BN783" s="3"/>
      <x:c r="BO783" s="3"/>
      <x:c r="BP783" s="3"/>
      <x:c r="BQ783" s="3"/>
      <x:c r="BR783" s="3"/>
    </x:row>
    <x:row r="784" ht="22" customHeight="1">
      <x:c r="A784" s="3"/>
      <x:c r="B784" s="3"/>
      <x:c r="C784" s="3"/>
      <x:c r="D784" s="3"/>
      <x:c r="E784" s="3"/>
      <x:c r="F784" s="3"/>
      <x:c r="G784" s="3"/>
      <x:c r="H784" s="3"/>
      <x:c r="I784" s="3"/>
      <x:c r="J784" s="3"/>
      <x:c r="K784" s="3"/>
      <x:c r="L784" s="3"/>
      <x:c r="M784" s="3"/>
      <x:c r="N784" s="3"/>
      <x:c r="O784" s="3"/>
      <x:c r="P784" s="3"/>
      <x:c r="Q784" s="3"/>
      <x:c r="R784" s="3"/>
      <x:c r="S784" s="3"/>
      <x:c r="T784" s="3"/>
      <x:c r="U784" s="3"/>
      <x:c r="V784" s="3"/>
      <x:c r="W784" s="3"/>
      <x:c r="X784" s="3"/>
      <x:c r="Y784" s="3"/>
      <x:c r="Z784" s="3"/>
      <x:c r="AA784" s="3"/>
      <x:c r="AB784" s="3"/>
      <x:c r="AC784" s="3"/>
      <x:c r="AD784" s="3"/>
      <x:c r="AE784" s="3"/>
      <x:c r="AF784" s="3"/>
      <x:c r="AG784" s="3"/>
      <x:c r="AH784" s="3"/>
      <x:c r="AI784" s="3"/>
      <x:c r="AJ784" s="3"/>
      <x:c r="AK784" s="3"/>
      <x:c r="AL784" s="3"/>
      <x:c r="AM784" s="3"/>
      <x:c r="AN784" s="3"/>
      <x:c r="AO784" s="3"/>
      <x:c r="AP784" s="3"/>
      <x:c r="AQ784" s="3"/>
      <x:c r="AR784" s="3"/>
      <x:c r="AS784" s="3"/>
      <x:c r="AT784" s="3"/>
      <x:c r="AU784" s="3"/>
      <x:c r="AV784" s="3"/>
      <x:c r="AW784" s="3"/>
      <x:c r="AX784" s="3"/>
      <x:c r="AY784" s="3"/>
      <x:c r="AZ784" s="3" t="str">
        <x:f>IF(AND('中古車掲載'!C785="One2car",'中古車掲載'!F785="ATTO 3",'中古車掲載'!L785="EXTENDED RANGE",'中古車掲載'!J785=2023,ISNUMBER('中古車掲載'!N785),'中古車掲載'!N785&gt;=20000,'中古車掲載'!O785&lt;=100000,'中古車掲載'!AL785=1),'中古車掲載'!U785,"")</x:f>
      </x:c>
      <x:c r="BA784" s="3" t="str">
        <x:f>IF(AND('中古車掲載'!C785="One2car",'中古車掲載'!F785="Corolla Cross",'中古車掲載'!L785="HEV PREMIUM SAFETY",'中古車掲載'!J785=2023,ISNUMBER('中古車掲載'!N785),'中古車掲載'!N785&gt;=20000,'中古車掲載'!O785&lt;=100000,'中古車掲載'!AL785=1,'中古車掲載'!Z785="https://www.one2car.com/en/cars-for-sale/toyota/corolla-cross/year-2023"),'中古車掲載'!U785,"")</x:f>
      </x:c>
      <x:c r="BB784" s="3" t="str">
        <x:f>IF(AND('中古車掲載'!C785="One2car",'中古車掲載'!F785="ATTO 3",'中古車掲載'!L785="EXTENDED RANGE",'中古車掲載'!J785=2023,ISNUMBER('中古車掲載'!N785),'中古車掲載'!N785&gt;=50000,'中古車掲載'!O785&lt;=100000,'中古車掲載'!AL785=1),'中古車掲載'!U785,"")</x:f>
      </x:c>
      <x:c r="BC784" s="3" t="str">
        <x:f>IF(AND('中古車掲載'!C785="One2car",'中古車掲載'!F785="Corolla Cross",'中古車掲載'!L785="HEV PREMIUM SAFETY",'中古車掲載'!J785=2023,ISNUMBER('中古車掲載'!N785),'中古車掲載'!N785&gt;=50000,'中古車掲載'!O785&lt;=100000,'中古車掲載'!AL785=1,'中古車掲載'!Z785="https://www.one2car.com/en/cars-for-sale/toyota/corolla-cross/year-2023"),'中古車掲載'!U785,"")</x:f>
      </x:c>
      <x:c r="BD784" s="3" t="str">
        <x:f>IF(AND('中古車掲載'!C785="One2car",'中古車掲載'!F785="ATTO 3",'中古車掲載'!L785="EXTENDED RANGE",'中古車掲載'!J785=2023,ISNUMBER('中古車掲載'!N785),'中古車掲載'!N785&gt;=20000,'中古車掲載'!O785&lt;=50000,'中古車掲載'!AL785=1),'中古車掲載'!U785,"")</x:f>
      </x:c>
      <x:c r="BE784" s="3" t="str">
        <x:f>IF(AND('中古車掲載'!C785="One2car",'中古車掲載'!F785="Corolla Cross",'中古車掲載'!L785="HEV PREMIUM SAFETY",'中古車掲載'!J785=2023,ISNUMBER('中古車掲載'!N785),'中古車掲載'!N785&gt;=20000,'中古車掲載'!O785&lt;=50000,'中古車掲載'!AL785=1,'中古車掲載'!Z785="https://www.one2car.com/en/cars-for-sale/toyota/corolla-cross/year-2023"),'中古車掲載'!U785,"")</x:f>
      </x:c>
      <x:c r="BF784" s="3" t="str">
        <x:f>IF(AND('中古車掲載'!C785="One2car",'中古車掲載'!F785="Corolla Cross",'中古車掲載'!L785="HEV PREMIUM",'中古車掲載'!J785=2023,ISNUMBER('中古車掲載'!N785),'中古車掲載'!N785&gt;=20000,'中古車掲載'!O785&lt;=100000,'中古車掲載'!AL785=1,'中古車掲載'!Z785="https://www.one2car.com/en/cars-for-sale/toyota/corolla-cross/year-2023"),'中古車掲載'!U785,"")</x:f>
      </x:c>
      <x:c r="BG784" s="3" t="str">
        <x:f>IF(AND('中古車掲載'!C785="One2car",'中古車掲載'!F785="Corolla Cross",'中古車掲載'!L785="HEV GR SPORT",'中古車掲載'!J785=2023,ISNUMBER('中古車掲載'!N785),'中古車掲載'!N785&gt;=20000,'中古車掲載'!O785&lt;=100000,'中古車掲載'!AL785=1,'中古車掲載'!Z785="https://www.one2car.com/en/cars-for-sale/toyota/corolla-cross/year-2023"),'中古車掲載'!U785,"")</x:f>
      </x:c>
      <x:c r="BH784" s="3" t="str">
        <x:f>IF(AND('中古車掲載'!C785="One2car",'中古車掲載'!F785="DOLPHIN",'中古車掲載'!L785="STANDARD RANGE",'中古車掲載'!J785=2023,ISNUMBER('中古車掲載'!N785),'中古車掲載'!N785&gt;=20000,'中古車掲載'!O785&lt;=100000,'中古車掲載'!AL785=1),'中古車掲載'!U785,"")</x:f>
      </x:c>
      <x:c r="BI784" s="3" t="str">
        <x:v>Taladrod|Hilux Revo|ICE|Unknown</x:v>
      </x:c>
      <x:c r="BJ784" s="3" t="n">
        <x:v>785</x:v>
      </x:c>
      <x:c r="BK784" s="3" t="n">
        <x:f>'中古車掲載'!AM785</x:f>
        <x:v>459000</x:v>
      </x:c>
      <x:c r="BL784" s="3" t="str">
        <x:f>IF(ISNUMBER('中古車掲載'!AN785),'中古車掲載'!AN785,"")</x:f>
      </x:c>
      <x:c r="BM784" s="3"/>
      <x:c r="BN784" s="3"/>
      <x:c r="BO784" s="3"/>
      <x:c r="BP784" s="3"/>
      <x:c r="BQ784" s="3"/>
      <x:c r="BR784" s="3"/>
    </x:row>
    <x:row r="785" ht="22" customHeight="1">
      <x:c r="A785" s="3"/>
      <x:c r="B785" s="3"/>
      <x:c r="C785" s="3"/>
      <x:c r="D785" s="3"/>
      <x:c r="E785" s="3"/>
      <x:c r="F785" s="3"/>
      <x:c r="G785" s="3"/>
      <x:c r="H785" s="3"/>
      <x:c r="I785" s="3"/>
      <x:c r="J785" s="3"/>
      <x:c r="K785" s="3"/>
      <x:c r="L785" s="3"/>
      <x:c r="M785" s="3"/>
      <x:c r="N785" s="3"/>
      <x:c r="O785" s="3"/>
      <x:c r="P785" s="3"/>
      <x:c r="Q785" s="3"/>
      <x:c r="R785" s="3"/>
      <x:c r="S785" s="3"/>
      <x:c r="T785" s="3"/>
      <x:c r="U785" s="3"/>
      <x:c r="V785" s="3"/>
      <x:c r="W785" s="3"/>
      <x:c r="X785" s="3"/>
      <x:c r="Y785" s="3"/>
      <x:c r="Z785" s="3"/>
      <x:c r="AA785" s="3"/>
      <x:c r="AB785" s="3"/>
      <x:c r="AC785" s="3"/>
      <x:c r="AD785" s="3"/>
      <x:c r="AE785" s="3"/>
      <x:c r="AF785" s="3"/>
      <x:c r="AG785" s="3"/>
      <x:c r="AH785" s="3"/>
      <x:c r="AI785" s="3"/>
      <x:c r="AJ785" s="3"/>
      <x:c r="AK785" s="3"/>
      <x:c r="AL785" s="3"/>
      <x:c r="AM785" s="3"/>
      <x:c r="AN785" s="3"/>
      <x:c r="AO785" s="3"/>
      <x:c r="AP785" s="3"/>
      <x:c r="AQ785" s="3"/>
      <x:c r="AR785" s="3"/>
      <x:c r="AS785" s="3"/>
      <x:c r="AT785" s="3"/>
      <x:c r="AU785" s="3"/>
      <x:c r="AV785" s="3"/>
      <x:c r="AW785" s="3"/>
      <x:c r="AX785" s="3"/>
      <x:c r="AY785" s="3"/>
      <x:c r="AZ785" s="3" t="str">
        <x:f>IF(AND('中古車掲載'!C786="One2car",'中古車掲載'!F786="ATTO 3",'中古車掲載'!L786="EXTENDED RANGE",'中古車掲載'!J786=2023,ISNUMBER('中古車掲載'!N786),'中古車掲載'!N786&gt;=20000,'中古車掲載'!O786&lt;=100000,'中古車掲載'!AL786=1),'中古車掲載'!U786,"")</x:f>
      </x:c>
      <x:c r="BA785" s="3" t="str">
        <x:f>IF(AND('中古車掲載'!C786="One2car",'中古車掲載'!F786="Corolla Cross",'中古車掲載'!L786="HEV PREMIUM SAFETY",'中古車掲載'!J786=2023,ISNUMBER('中古車掲載'!N786),'中古車掲載'!N786&gt;=20000,'中古車掲載'!O786&lt;=100000,'中古車掲載'!AL786=1,'中古車掲載'!Z786="https://www.one2car.com/en/cars-for-sale/toyota/corolla-cross/year-2023"),'中古車掲載'!U786,"")</x:f>
      </x:c>
      <x:c r="BB785" s="3" t="str">
        <x:f>IF(AND('中古車掲載'!C786="One2car",'中古車掲載'!F786="ATTO 3",'中古車掲載'!L786="EXTENDED RANGE",'中古車掲載'!J786=2023,ISNUMBER('中古車掲載'!N786),'中古車掲載'!N786&gt;=50000,'中古車掲載'!O786&lt;=100000,'中古車掲載'!AL786=1),'中古車掲載'!U786,"")</x:f>
      </x:c>
      <x:c r="BC785" s="3" t="str">
        <x:f>IF(AND('中古車掲載'!C786="One2car",'中古車掲載'!F786="Corolla Cross",'中古車掲載'!L786="HEV PREMIUM SAFETY",'中古車掲載'!J786=2023,ISNUMBER('中古車掲載'!N786),'中古車掲載'!N786&gt;=50000,'中古車掲載'!O786&lt;=100000,'中古車掲載'!AL786=1,'中古車掲載'!Z786="https://www.one2car.com/en/cars-for-sale/toyota/corolla-cross/year-2023"),'中古車掲載'!U786,"")</x:f>
      </x:c>
      <x:c r="BD785" s="3" t="str">
        <x:f>IF(AND('中古車掲載'!C786="One2car",'中古車掲載'!F786="ATTO 3",'中古車掲載'!L786="EXTENDED RANGE",'中古車掲載'!J786=2023,ISNUMBER('中古車掲載'!N786),'中古車掲載'!N786&gt;=20000,'中古車掲載'!O786&lt;=50000,'中古車掲載'!AL786=1),'中古車掲載'!U786,"")</x:f>
      </x:c>
      <x:c r="BE785" s="3" t="str">
        <x:f>IF(AND('中古車掲載'!C786="One2car",'中古車掲載'!F786="Corolla Cross",'中古車掲載'!L786="HEV PREMIUM SAFETY",'中古車掲載'!J786=2023,ISNUMBER('中古車掲載'!N786),'中古車掲載'!N786&gt;=20000,'中古車掲載'!O786&lt;=50000,'中古車掲載'!AL786=1,'中古車掲載'!Z786="https://www.one2car.com/en/cars-for-sale/toyota/corolla-cross/year-2023"),'中古車掲載'!U786,"")</x:f>
      </x:c>
      <x:c r="BF785" s="3" t="str">
        <x:f>IF(AND('中古車掲載'!C786="One2car",'中古車掲載'!F786="Corolla Cross",'中古車掲載'!L786="HEV PREMIUM",'中古車掲載'!J786=2023,ISNUMBER('中古車掲載'!N786),'中古車掲載'!N786&gt;=20000,'中古車掲載'!O786&lt;=100000,'中古車掲載'!AL786=1,'中古車掲載'!Z786="https://www.one2car.com/en/cars-for-sale/toyota/corolla-cross/year-2023"),'中古車掲載'!U786,"")</x:f>
      </x:c>
      <x:c r="BG785" s="3" t="str">
        <x:f>IF(AND('中古車掲載'!C786="One2car",'中古車掲載'!F786="Corolla Cross",'中古車掲載'!L786="HEV GR SPORT",'中古車掲載'!J786=2023,ISNUMBER('中古車掲載'!N786),'中古車掲載'!N786&gt;=20000,'中古車掲載'!O786&lt;=100000,'中古車掲載'!AL786=1,'中古車掲載'!Z786="https://www.one2car.com/en/cars-for-sale/toyota/corolla-cross/year-2023"),'中古車掲載'!U786,"")</x:f>
      </x:c>
      <x:c r="BH785" s="3" t="str">
        <x:f>IF(AND('中古車掲載'!C786="One2car",'中古車掲載'!F786="DOLPHIN",'中古車掲載'!L786="STANDARD RANGE",'中古車掲載'!J786=2023,ISNUMBER('中古車掲載'!N786),'中古車掲載'!N786&gt;=20000,'中古車掲載'!O786&lt;=100000,'中古車掲載'!AL786=1),'中古車掲載'!U786,"")</x:f>
      </x:c>
      <x:c r="BI785" s="3" t="str">
        <x:v>Taladrod|Hilux Revo|ICE|Unknown</x:v>
      </x:c>
      <x:c r="BJ785" s="3" t="n">
        <x:v>786</x:v>
      </x:c>
      <x:c r="BK785" s="3" t="n">
        <x:f>'中古車掲載'!AM786</x:f>
        <x:v>400000</x:v>
      </x:c>
      <x:c r="BL785" s="3" t="str">
        <x:f>IF(ISNUMBER('中古車掲載'!AN786),'中古車掲載'!AN786,"")</x:f>
      </x:c>
      <x:c r="BM785" s="3"/>
      <x:c r="BN785" s="3"/>
      <x:c r="BO785" s="3"/>
      <x:c r="BP785" s="3"/>
      <x:c r="BQ785" s="3"/>
      <x:c r="BR785" s="3"/>
    </x:row>
    <x:row r="786" ht="22" customHeight="1">
      <x:c r="A786" s="3"/>
      <x:c r="B786" s="3"/>
      <x:c r="C786" s="3"/>
      <x:c r="D786" s="3"/>
      <x:c r="E786" s="3"/>
      <x:c r="F786" s="3"/>
      <x:c r="G786" s="3"/>
      <x:c r="H786" s="3"/>
      <x:c r="I786" s="3"/>
      <x:c r="J786" s="3"/>
      <x:c r="K786" s="3"/>
      <x:c r="L786" s="3"/>
      <x:c r="M786" s="3"/>
      <x:c r="N786" s="3"/>
      <x:c r="O786" s="3"/>
      <x:c r="P786" s="3"/>
      <x:c r="Q786" s="3"/>
      <x:c r="R786" s="3"/>
      <x:c r="S786" s="3"/>
      <x:c r="T786" s="3"/>
      <x:c r="U786" s="3"/>
      <x:c r="V786" s="3"/>
      <x:c r="W786" s="3"/>
      <x:c r="X786" s="3"/>
      <x:c r="Y786" s="3"/>
      <x:c r="Z786" s="3"/>
      <x:c r="AA786" s="3"/>
      <x:c r="AB786" s="3"/>
      <x:c r="AC786" s="3"/>
      <x:c r="AD786" s="3"/>
      <x:c r="AE786" s="3"/>
      <x:c r="AF786" s="3"/>
      <x:c r="AG786" s="3"/>
      <x:c r="AH786" s="3"/>
      <x:c r="AI786" s="3"/>
      <x:c r="AJ786" s="3"/>
      <x:c r="AK786" s="3"/>
      <x:c r="AL786" s="3"/>
      <x:c r="AM786" s="3"/>
      <x:c r="AN786" s="3"/>
      <x:c r="AO786" s="3"/>
      <x:c r="AP786" s="3"/>
      <x:c r="AQ786" s="3"/>
      <x:c r="AR786" s="3"/>
      <x:c r="AS786" s="3"/>
      <x:c r="AT786" s="3"/>
      <x:c r="AU786" s="3"/>
      <x:c r="AV786" s="3"/>
      <x:c r="AW786" s="3"/>
      <x:c r="AX786" s="3"/>
      <x:c r="AY786" s="3"/>
      <x:c r="AZ786" s="3" t="str">
        <x:f>IF(AND('中古車掲載'!C787="One2car",'中古車掲載'!F787="ATTO 3",'中古車掲載'!L787="EXTENDED RANGE",'中古車掲載'!J787=2023,ISNUMBER('中古車掲載'!N787),'中古車掲載'!N787&gt;=20000,'中古車掲載'!O787&lt;=100000,'中古車掲載'!AL787=1),'中古車掲載'!U787,"")</x:f>
      </x:c>
      <x:c r="BA786" s="3" t="str">
        <x:f>IF(AND('中古車掲載'!C787="One2car",'中古車掲載'!F787="Corolla Cross",'中古車掲載'!L787="HEV PREMIUM SAFETY",'中古車掲載'!J787=2023,ISNUMBER('中古車掲載'!N787),'中古車掲載'!N787&gt;=20000,'中古車掲載'!O787&lt;=100000,'中古車掲載'!AL787=1,'中古車掲載'!Z787="https://www.one2car.com/en/cars-for-sale/toyota/corolla-cross/year-2023"),'中古車掲載'!U787,"")</x:f>
      </x:c>
      <x:c r="BB786" s="3" t="str">
        <x:f>IF(AND('中古車掲載'!C787="One2car",'中古車掲載'!F787="ATTO 3",'中古車掲載'!L787="EXTENDED RANGE",'中古車掲載'!J787=2023,ISNUMBER('中古車掲載'!N787),'中古車掲載'!N787&gt;=50000,'中古車掲載'!O787&lt;=100000,'中古車掲載'!AL787=1),'中古車掲載'!U787,"")</x:f>
      </x:c>
      <x:c r="BC786" s="3" t="str">
        <x:f>IF(AND('中古車掲載'!C787="One2car",'中古車掲載'!F787="Corolla Cross",'中古車掲載'!L787="HEV PREMIUM SAFETY",'中古車掲載'!J787=2023,ISNUMBER('中古車掲載'!N787),'中古車掲載'!N787&gt;=50000,'中古車掲載'!O787&lt;=100000,'中古車掲載'!AL787=1,'中古車掲載'!Z787="https://www.one2car.com/en/cars-for-sale/toyota/corolla-cross/year-2023"),'中古車掲載'!U787,"")</x:f>
      </x:c>
      <x:c r="BD786" s="3" t="str">
        <x:f>IF(AND('中古車掲載'!C787="One2car",'中古車掲載'!F787="ATTO 3",'中古車掲載'!L787="EXTENDED RANGE",'中古車掲載'!J787=2023,ISNUMBER('中古車掲載'!N787),'中古車掲載'!N787&gt;=20000,'中古車掲載'!O787&lt;=50000,'中古車掲載'!AL787=1),'中古車掲載'!U787,"")</x:f>
      </x:c>
      <x:c r="BE786" s="3" t="str">
        <x:f>IF(AND('中古車掲載'!C787="One2car",'中古車掲載'!F787="Corolla Cross",'中古車掲載'!L787="HEV PREMIUM SAFETY",'中古車掲載'!J787=2023,ISNUMBER('中古車掲載'!N787),'中古車掲載'!N787&gt;=20000,'中古車掲載'!O787&lt;=50000,'中古車掲載'!AL787=1,'中古車掲載'!Z787="https://www.one2car.com/en/cars-for-sale/toyota/corolla-cross/year-2023"),'中古車掲載'!U787,"")</x:f>
      </x:c>
      <x:c r="BF786" s="3" t="str">
        <x:f>IF(AND('中古車掲載'!C787="One2car",'中古車掲載'!F787="Corolla Cross",'中古車掲載'!L787="HEV PREMIUM",'中古車掲載'!J787=2023,ISNUMBER('中古車掲載'!N787),'中古車掲載'!N787&gt;=20000,'中古車掲載'!O787&lt;=100000,'中古車掲載'!AL787=1,'中古車掲載'!Z787="https://www.one2car.com/en/cars-for-sale/toyota/corolla-cross/year-2023"),'中古車掲載'!U787,"")</x:f>
      </x:c>
      <x:c r="BG786" s="3" t="str">
        <x:f>IF(AND('中古車掲載'!C787="One2car",'中古車掲載'!F787="Corolla Cross",'中古車掲載'!L787="HEV GR SPORT",'中古車掲載'!J787=2023,ISNUMBER('中古車掲載'!N787),'中古車掲載'!N787&gt;=20000,'中古車掲載'!O787&lt;=100000,'中古車掲載'!AL787=1,'中古車掲載'!Z787="https://www.one2car.com/en/cars-for-sale/toyota/corolla-cross/year-2023"),'中古車掲載'!U787,"")</x:f>
      </x:c>
      <x:c r="BH786" s="3" t="str">
        <x:f>IF(AND('中古車掲載'!C787="One2car",'中古車掲載'!F787="DOLPHIN",'中古車掲載'!L787="STANDARD RANGE",'中古車掲載'!J787=2023,ISNUMBER('中古車掲載'!N787),'中古車掲載'!N787&gt;=20000,'中古車掲載'!O787&lt;=100000,'中古車掲載'!AL787=1),'中古車掲載'!U787,"")</x:f>
      </x:c>
      <x:c r="BI786" s="3" t="str">
        <x:v>Taladrod|Hilux Revo|ICE|Unknown</x:v>
      </x:c>
      <x:c r="BJ786" s="3" t="n">
        <x:v>787</x:v>
      </x:c>
      <x:c r="BK786" s="3" t="n">
        <x:f>'中古車掲載'!AM787</x:f>
        <x:v>449000</x:v>
      </x:c>
      <x:c r="BL786" s="3" t="str">
        <x:f>IF(ISNUMBER('中古車掲載'!AN787),'中古車掲載'!AN787,"")</x:f>
      </x:c>
      <x:c r="BM786" s="3"/>
      <x:c r="BN786" s="3"/>
      <x:c r="BO786" s="3"/>
      <x:c r="BP786" s="3"/>
      <x:c r="BQ786" s="3"/>
      <x:c r="BR786" s="3"/>
    </x:row>
    <x:row r="787" ht="22" customHeight="1">
      <x:c r="A787" s="3"/>
      <x:c r="B787" s="3"/>
      <x:c r="C787" s="3"/>
      <x:c r="D787" s="3"/>
      <x:c r="E787" s="3"/>
      <x:c r="F787" s="3"/>
      <x:c r="G787" s="3"/>
      <x:c r="H787" s="3"/>
      <x:c r="I787" s="3"/>
      <x:c r="J787" s="3"/>
      <x:c r="K787" s="3"/>
      <x:c r="L787" s="3"/>
      <x:c r="M787" s="3"/>
      <x:c r="N787" s="3"/>
      <x:c r="O787" s="3"/>
      <x:c r="P787" s="3"/>
      <x:c r="Q787" s="3"/>
      <x:c r="R787" s="3"/>
      <x:c r="S787" s="3"/>
      <x:c r="T787" s="3"/>
      <x:c r="U787" s="3"/>
      <x:c r="V787" s="3"/>
      <x:c r="W787" s="3"/>
      <x:c r="X787" s="3"/>
      <x:c r="Y787" s="3"/>
      <x:c r="Z787" s="3"/>
      <x:c r="AA787" s="3"/>
      <x:c r="AB787" s="3"/>
      <x:c r="AC787" s="3"/>
      <x:c r="AD787" s="3"/>
      <x:c r="AE787" s="3"/>
      <x:c r="AF787" s="3"/>
      <x:c r="AG787" s="3"/>
      <x:c r="AH787" s="3"/>
      <x:c r="AI787" s="3"/>
      <x:c r="AJ787" s="3"/>
      <x:c r="AK787" s="3"/>
      <x:c r="AL787" s="3"/>
      <x:c r="AM787" s="3"/>
      <x:c r="AN787" s="3"/>
      <x:c r="AO787" s="3"/>
      <x:c r="AP787" s="3"/>
      <x:c r="AQ787" s="3"/>
      <x:c r="AR787" s="3"/>
      <x:c r="AS787" s="3"/>
      <x:c r="AT787" s="3"/>
      <x:c r="AU787" s="3"/>
      <x:c r="AV787" s="3"/>
      <x:c r="AW787" s="3"/>
      <x:c r="AX787" s="3"/>
      <x:c r="AY787" s="3"/>
      <x:c r="AZ787" s="3" t="str">
        <x:f>IF(AND('中古車掲載'!C788="One2car",'中古車掲載'!F788="ATTO 3",'中古車掲載'!L788="EXTENDED RANGE",'中古車掲載'!J788=2023,ISNUMBER('中古車掲載'!N788),'中古車掲載'!N788&gt;=20000,'中古車掲載'!O788&lt;=100000,'中古車掲載'!AL788=1),'中古車掲載'!U788,"")</x:f>
      </x:c>
      <x:c r="BA787" s="3" t="str">
        <x:f>IF(AND('中古車掲載'!C788="One2car",'中古車掲載'!F788="Corolla Cross",'中古車掲載'!L788="HEV PREMIUM SAFETY",'中古車掲載'!J788=2023,ISNUMBER('中古車掲載'!N788),'中古車掲載'!N788&gt;=20000,'中古車掲載'!O788&lt;=100000,'中古車掲載'!AL788=1,'中古車掲載'!Z788="https://www.one2car.com/en/cars-for-sale/toyota/corolla-cross/year-2023"),'中古車掲載'!U788,"")</x:f>
      </x:c>
      <x:c r="BB787" s="3" t="str">
        <x:f>IF(AND('中古車掲載'!C788="One2car",'中古車掲載'!F788="ATTO 3",'中古車掲載'!L788="EXTENDED RANGE",'中古車掲載'!J788=2023,ISNUMBER('中古車掲載'!N788),'中古車掲載'!N788&gt;=50000,'中古車掲載'!O788&lt;=100000,'中古車掲載'!AL788=1),'中古車掲載'!U788,"")</x:f>
      </x:c>
      <x:c r="BC787" s="3" t="str">
        <x:f>IF(AND('中古車掲載'!C788="One2car",'中古車掲載'!F788="Corolla Cross",'中古車掲載'!L788="HEV PREMIUM SAFETY",'中古車掲載'!J788=2023,ISNUMBER('中古車掲載'!N788),'中古車掲載'!N788&gt;=50000,'中古車掲載'!O788&lt;=100000,'中古車掲載'!AL788=1,'中古車掲載'!Z788="https://www.one2car.com/en/cars-for-sale/toyota/corolla-cross/year-2023"),'中古車掲載'!U788,"")</x:f>
      </x:c>
      <x:c r="BD787" s="3" t="str">
        <x:f>IF(AND('中古車掲載'!C788="One2car",'中古車掲載'!F788="ATTO 3",'中古車掲載'!L788="EXTENDED RANGE",'中古車掲載'!J788=2023,ISNUMBER('中古車掲載'!N788),'中古車掲載'!N788&gt;=20000,'中古車掲載'!O788&lt;=50000,'中古車掲載'!AL788=1),'中古車掲載'!U788,"")</x:f>
      </x:c>
      <x:c r="BE787" s="3" t="str">
        <x:f>IF(AND('中古車掲載'!C788="One2car",'中古車掲載'!F788="Corolla Cross",'中古車掲載'!L788="HEV PREMIUM SAFETY",'中古車掲載'!J788=2023,ISNUMBER('中古車掲載'!N788),'中古車掲載'!N788&gt;=20000,'中古車掲載'!O788&lt;=50000,'中古車掲載'!AL788=1,'中古車掲載'!Z788="https://www.one2car.com/en/cars-for-sale/toyota/corolla-cross/year-2023"),'中古車掲載'!U788,"")</x:f>
      </x:c>
      <x:c r="BF787" s="3" t="str">
        <x:f>IF(AND('中古車掲載'!C788="One2car",'中古車掲載'!F788="Corolla Cross",'中古車掲載'!L788="HEV PREMIUM",'中古車掲載'!J788=2023,ISNUMBER('中古車掲載'!N788),'中古車掲載'!N788&gt;=20000,'中古車掲載'!O788&lt;=100000,'中古車掲載'!AL788=1,'中古車掲載'!Z788="https://www.one2car.com/en/cars-for-sale/toyota/corolla-cross/year-2023"),'中古車掲載'!U788,"")</x:f>
      </x:c>
      <x:c r="BG787" s="3" t="str">
        <x:f>IF(AND('中古車掲載'!C788="One2car",'中古車掲載'!F788="Corolla Cross",'中古車掲載'!L788="HEV GR SPORT",'中古車掲載'!J788=2023,ISNUMBER('中古車掲載'!N788),'中古車掲載'!N788&gt;=20000,'中古車掲載'!O788&lt;=100000,'中古車掲載'!AL788=1,'中古車掲載'!Z788="https://www.one2car.com/en/cars-for-sale/toyota/corolla-cross/year-2023"),'中古車掲載'!U788,"")</x:f>
      </x:c>
      <x:c r="BH787" s="3" t="str">
        <x:f>IF(AND('中古車掲載'!C788="One2car",'中古車掲載'!F788="DOLPHIN",'中古車掲載'!L788="STANDARD RANGE",'中古車掲載'!J788=2023,ISNUMBER('中古車掲載'!N788),'中古車掲載'!N788&gt;=20000,'中古車掲載'!O788&lt;=100000,'中古車掲載'!AL788=1),'中古車掲載'!U788,"")</x:f>
      </x:c>
      <x:c r="BI787" s="3" t="str">
        <x:v>Taladrod|Hilux Revo|ICE|Unknown</x:v>
      </x:c>
      <x:c r="BJ787" s="3" t="n">
        <x:v>788</x:v>
      </x:c>
      <x:c r="BK787" s="3" t="n">
        <x:f>'中古車掲載'!AM788</x:f>
        <x:v>399000</x:v>
      </x:c>
      <x:c r="BL787" s="3" t="str">
        <x:f>IF(ISNUMBER('中古車掲載'!AN788),'中古車掲載'!AN788,"")</x:f>
      </x:c>
      <x:c r="BM787" s="3"/>
      <x:c r="BN787" s="3"/>
      <x:c r="BO787" s="3"/>
      <x:c r="BP787" s="3"/>
      <x:c r="BQ787" s="3"/>
      <x:c r="BR787" s="3"/>
    </x:row>
    <x:row r="788" ht="22" customHeight="1">
      <x:c r="A788" s="3"/>
      <x:c r="B788" s="3"/>
      <x:c r="C788" s="3"/>
      <x:c r="D788" s="3"/>
      <x:c r="E788" s="3"/>
      <x:c r="F788" s="3"/>
      <x:c r="G788" s="3"/>
      <x:c r="H788" s="3"/>
      <x:c r="I788" s="3"/>
      <x:c r="J788" s="3"/>
      <x:c r="K788" s="3"/>
      <x:c r="L788" s="3"/>
      <x:c r="M788" s="3"/>
      <x:c r="N788" s="3"/>
      <x:c r="O788" s="3"/>
      <x:c r="P788" s="3"/>
      <x:c r="Q788" s="3"/>
      <x:c r="R788" s="3"/>
      <x:c r="S788" s="3"/>
      <x:c r="T788" s="3"/>
      <x:c r="U788" s="3"/>
      <x:c r="V788" s="3"/>
      <x:c r="W788" s="3"/>
      <x:c r="X788" s="3"/>
      <x:c r="Y788" s="3"/>
      <x:c r="Z788" s="3"/>
      <x:c r="AA788" s="3"/>
      <x:c r="AB788" s="3"/>
      <x:c r="AC788" s="3"/>
      <x:c r="AD788" s="3"/>
      <x:c r="AE788" s="3"/>
      <x:c r="AF788" s="3"/>
      <x:c r="AG788" s="3"/>
      <x:c r="AH788" s="3"/>
      <x:c r="AI788" s="3"/>
      <x:c r="AJ788" s="3"/>
      <x:c r="AK788" s="3"/>
      <x:c r="AL788" s="3"/>
      <x:c r="AM788" s="3"/>
      <x:c r="AN788" s="3"/>
      <x:c r="AO788" s="3"/>
      <x:c r="AP788" s="3"/>
      <x:c r="AQ788" s="3"/>
      <x:c r="AR788" s="3"/>
      <x:c r="AS788" s="3"/>
      <x:c r="AT788" s="3"/>
      <x:c r="AU788" s="3"/>
      <x:c r="AV788" s="3"/>
      <x:c r="AW788" s="3"/>
      <x:c r="AX788" s="3"/>
      <x:c r="AY788" s="3"/>
      <x:c r="AZ788" s="3" t="str">
        <x:f>IF(AND('中古車掲載'!C789="One2car",'中古車掲載'!F789="ATTO 3",'中古車掲載'!L789="EXTENDED RANGE",'中古車掲載'!J789=2023,ISNUMBER('中古車掲載'!N789),'中古車掲載'!N789&gt;=20000,'中古車掲載'!O789&lt;=100000,'中古車掲載'!AL789=1),'中古車掲載'!U789,"")</x:f>
      </x:c>
      <x:c r="BA788" s="3" t="str">
        <x:f>IF(AND('中古車掲載'!C789="One2car",'中古車掲載'!F789="Corolla Cross",'中古車掲載'!L789="HEV PREMIUM SAFETY",'中古車掲載'!J789=2023,ISNUMBER('中古車掲載'!N789),'中古車掲載'!N789&gt;=20000,'中古車掲載'!O789&lt;=100000,'中古車掲載'!AL789=1,'中古車掲載'!Z789="https://www.one2car.com/en/cars-for-sale/toyota/corolla-cross/year-2023"),'中古車掲載'!U789,"")</x:f>
      </x:c>
      <x:c r="BB788" s="3" t="str">
        <x:f>IF(AND('中古車掲載'!C789="One2car",'中古車掲載'!F789="ATTO 3",'中古車掲載'!L789="EXTENDED RANGE",'中古車掲載'!J789=2023,ISNUMBER('中古車掲載'!N789),'中古車掲載'!N789&gt;=50000,'中古車掲載'!O789&lt;=100000,'中古車掲載'!AL789=1),'中古車掲載'!U789,"")</x:f>
      </x:c>
      <x:c r="BC788" s="3" t="str">
        <x:f>IF(AND('中古車掲載'!C789="One2car",'中古車掲載'!F789="Corolla Cross",'中古車掲載'!L789="HEV PREMIUM SAFETY",'中古車掲載'!J789=2023,ISNUMBER('中古車掲載'!N789),'中古車掲載'!N789&gt;=50000,'中古車掲載'!O789&lt;=100000,'中古車掲載'!AL789=1,'中古車掲載'!Z789="https://www.one2car.com/en/cars-for-sale/toyota/corolla-cross/year-2023"),'中古車掲載'!U789,"")</x:f>
      </x:c>
      <x:c r="BD788" s="3" t="str">
        <x:f>IF(AND('中古車掲載'!C789="One2car",'中古車掲載'!F789="ATTO 3",'中古車掲載'!L789="EXTENDED RANGE",'中古車掲載'!J789=2023,ISNUMBER('中古車掲載'!N789),'中古車掲載'!N789&gt;=20000,'中古車掲載'!O789&lt;=50000,'中古車掲載'!AL789=1),'中古車掲載'!U789,"")</x:f>
      </x:c>
      <x:c r="BE788" s="3" t="str">
        <x:f>IF(AND('中古車掲載'!C789="One2car",'中古車掲載'!F789="Corolla Cross",'中古車掲載'!L789="HEV PREMIUM SAFETY",'中古車掲載'!J789=2023,ISNUMBER('中古車掲載'!N789),'中古車掲載'!N789&gt;=20000,'中古車掲載'!O789&lt;=50000,'中古車掲載'!AL789=1,'中古車掲載'!Z789="https://www.one2car.com/en/cars-for-sale/toyota/corolla-cross/year-2023"),'中古車掲載'!U789,"")</x:f>
      </x:c>
      <x:c r="BF788" s="3" t="str">
        <x:f>IF(AND('中古車掲載'!C789="One2car",'中古車掲載'!F789="Corolla Cross",'中古車掲載'!L789="HEV PREMIUM",'中古車掲載'!J789=2023,ISNUMBER('中古車掲載'!N789),'中古車掲載'!N789&gt;=20000,'中古車掲載'!O789&lt;=100000,'中古車掲載'!AL789=1,'中古車掲載'!Z789="https://www.one2car.com/en/cars-for-sale/toyota/corolla-cross/year-2023"),'中古車掲載'!U789,"")</x:f>
      </x:c>
      <x:c r="BG788" s="3" t="str">
        <x:f>IF(AND('中古車掲載'!C789="One2car",'中古車掲載'!F789="Corolla Cross",'中古車掲載'!L789="HEV GR SPORT",'中古車掲載'!J789=2023,ISNUMBER('中古車掲載'!N789),'中古車掲載'!N789&gt;=20000,'中古車掲載'!O789&lt;=100000,'中古車掲載'!AL789=1,'中古車掲載'!Z789="https://www.one2car.com/en/cars-for-sale/toyota/corolla-cross/year-2023"),'中古車掲載'!U789,"")</x:f>
      </x:c>
      <x:c r="BH788" s="3" t="str">
        <x:f>IF(AND('中古車掲載'!C789="One2car",'中古車掲載'!F789="DOLPHIN",'中古車掲載'!L789="STANDARD RANGE",'中古車掲載'!J789=2023,ISNUMBER('中古車掲載'!N789),'中古車掲載'!N789&gt;=20000,'中古車掲載'!O789&lt;=100000,'中古車掲載'!AL789=1),'中古車掲載'!U789,"")</x:f>
      </x:c>
      <x:c r="BI788" s="3" t="str">
        <x:v>Taladrod|Hilux Revo|ICE|Unknown</x:v>
      </x:c>
      <x:c r="BJ788" s="3" t="n">
        <x:v>789</x:v>
      </x:c>
      <x:c r="BK788" s="3" t="n">
        <x:f>'中古車掲載'!AM789</x:f>
        <x:v>399000</x:v>
      </x:c>
      <x:c r="BL788" s="3" t="str">
        <x:f>IF(ISNUMBER('中古車掲載'!AN789),'中古車掲載'!AN789,"")</x:f>
      </x:c>
      <x:c r="BM788" s="3"/>
      <x:c r="BN788" s="3"/>
      <x:c r="BO788" s="3"/>
      <x:c r="BP788" s="3"/>
      <x:c r="BQ788" s="3"/>
      <x:c r="BR788" s="3"/>
    </x:row>
    <x:row r="789" ht="22" customHeight="1">
      <x:c r="A789" s="3"/>
      <x:c r="B789" s="3"/>
      <x:c r="C789" s="3"/>
      <x:c r="D789" s="3"/>
      <x:c r="E789" s="3"/>
      <x:c r="F789" s="3"/>
      <x:c r="G789" s="3"/>
      <x:c r="H789" s="3"/>
      <x:c r="I789" s="3"/>
      <x:c r="J789" s="3"/>
      <x:c r="K789" s="3"/>
      <x:c r="L789" s="3"/>
      <x:c r="M789" s="3"/>
      <x:c r="N789" s="3"/>
      <x:c r="O789" s="3"/>
      <x:c r="P789" s="3"/>
      <x:c r="Q789" s="3"/>
      <x:c r="R789" s="3"/>
      <x:c r="S789" s="3"/>
      <x:c r="T789" s="3"/>
      <x:c r="U789" s="3"/>
      <x:c r="V789" s="3"/>
      <x:c r="W789" s="3"/>
      <x:c r="X789" s="3"/>
      <x:c r="Y789" s="3"/>
      <x:c r="Z789" s="3"/>
      <x:c r="AA789" s="3"/>
      <x:c r="AB789" s="3"/>
      <x:c r="AC789" s="3"/>
      <x:c r="AD789" s="3"/>
      <x:c r="AE789" s="3"/>
      <x:c r="AF789" s="3"/>
      <x:c r="AG789" s="3"/>
      <x:c r="AH789" s="3"/>
      <x:c r="AI789" s="3"/>
      <x:c r="AJ789" s="3"/>
      <x:c r="AK789" s="3"/>
      <x:c r="AL789" s="3"/>
      <x:c r="AM789" s="3"/>
      <x:c r="AN789" s="3"/>
      <x:c r="AO789" s="3"/>
      <x:c r="AP789" s="3"/>
      <x:c r="AQ789" s="3"/>
      <x:c r="AR789" s="3"/>
      <x:c r="AS789" s="3"/>
      <x:c r="AT789" s="3"/>
      <x:c r="AU789" s="3"/>
      <x:c r="AV789" s="3"/>
      <x:c r="AW789" s="3"/>
      <x:c r="AX789" s="3"/>
      <x:c r="AY789" s="3"/>
      <x:c r="AZ789" s="3" t="str">
        <x:f>IF(AND('中古車掲載'!C790="One2car",'中古車掲載'!F790="ATTO 3",'中古車掲載'!L790="EXTENDED RANGE",'中古車掲載'!J790=2023,ISNUMBER('中古車掲載'!N790),'中古車掲載'!N790&gt;=20000,'中古車掲載'!O790&lt;=100000,'中古車掲載'!AL790=1),'中古車掲載'!U790,"")</x:f>
      </x:c>
      <x:c r="BA789" s="3" t="str">
        <x:f>IF(AND('中古車掲載'!C790="One2car",'中古車掲載'!F790="Corolla Cross",'中古車掲載'!L790="HEV PREMIUM SAFETY",'中古車掲載'!J790=2023,ISNUMBER('中古車掲載'!N790),'中古車掲載'!N790&gt;=20000,'中古車掲載'!O790&lt;=100000,'中古車掲載'!AL790=1,'中古車掲載'!Z790="https://www.one2car.com/en/cars-for-sale/toyota/corolla-cross/year-2023"),'中古車掲載'!U790,"")</x:f>
      </x:c>
      <x:c r="BB789" s="3" t="str">
        <x:f>IF(AND('中古車掲載'!C790="One2car",'中古車掲載'!F790="ATTO 3",'中古車掲載'!L790="EXTENDED RANGE",'中古車掲載'!J790=2023,ISNUMBER('中古車掲載'!N790),'中古車掲載'!N790&gt;=50000,'中古車掲載'!O790&lt;=100000,'中古車掲載'!AL790=1),'中古車掲載'!U790,"")</x:f>
      </x:c>
      <x:c r="BC789" s="3" t="str">
        <x:f>IF(AND('中古車掲載'!C790="One2car",'中古車掲載'!F790="Corolla Cross",'中古車掲載'!L790="HEV PREMIUM SAFETY",'中古車掲載'!J790=2023,ISNUMBER('中古車掲載'!N790),'中古車掲載'!N790&gt;=50000,'中古車掲載'!O790&lt;=100000,'中古車掲載'!AL790=1,'中古車掲載'!Z790="https://www.one2car.com/en/cars-for-sale/toyota/corolla-cross/year-2023"),'中古車掲載'!U790,"")</x:f>
      </x:c>
      <x:c r="BD789" s="3" t="str">
        <x:f>IF(AND('中古車掲載'!C790="One2car",'中古車掲載'!F790="ATTO 3",'中古車掲載'!L790="EXTENDED RANGE",'中古車掲載'!J790=2023,ISNUMBER('中古車掲載'!N790),'中古車掲載'!N790&gt;=20000,'中古車掲載'!O790&lt;=50000,'中古車掲載'!AL790=1),'中古車掲載'!U790,"")</x:f>
      </x:c>
      <x:c r="BE789" s="3" t="str">
        <x:f>IF(AND('中古車掲載'!C790="One2car",'中古車掲載'!F790="Corolla Cross",'中古車掲載'!L790="HEV PREMIUM SAFETY",'中古車掲載'!J790=2023,ISNUMBER('中古車掲載'!N790),'中古車掲載'!N790&gt;=20000,'中古車掲載'!O790&lt;=50000,'中古車掲載'!AL790=1,'中古車掲載'!Z790="https://www.one2car.com/en/cars-for-sale/toyota/corolla-cross/year-2023"),'中古車掲載'!U790,"")</x:f>
      </x:c>
      <x:c r="BF789" s="3" t="str">
        <x:f>IF(AND('中古車掲載'!C790="One2car",'中古車掲載'!F790="Corolla Cross",'中古車掲載'!L790="HEV PREMIUM",'中古車掲載'!J790=2023,ISNUMBER('中古車掲載'!N790),'中古車掲載'!N790&gt;=20000,'中古車掲載'!O790&lt;=100000,'中古車掲載'!AL790=1,'中古車掲載'!Z790="https://www.one2car.com/en/cars-for-sale/toyota/corolla-cross/year-2023"),'中古車掲載'!U790,"")</x:f>
      </x:c>
      <x:c r="BG789" s="3" t="str">
        <x:f>IF(AND('中古車掲載'!C790="One2car",'中古車掲載'!F790="Corolla Cross",'中古車掲載'!L790="HEV GR SPORT",'中古車掲載'!J790=2023,ISNUMBER('中古車掲載'!N790),'中古車掲載'!N790&gt;=20000,'中古車掲載'!O790&lt;=100000,'中古車掲載'!AL790=1,'中古車掲載'!Z790="https://www.one2car.com/en/cars-for-sale/toyota/corolla-cross/year-2023"),'中古車掲載'!U790,"")</x:f>
      </x:c>
      <x:c r="BH789" s="3" t="str">
        <x:f>IF(AND('中古車掲載'!C790="One2car",'中古車掲載'!F790="DOLPHIN",'中古車掲載'!L790="STANDARD RANGE",'中古車掲載'!J790=2023,ISNUMBER('中古車掲載'!N790),'中古車掲載'!N790&gt;=20000,'中古車掲載'!O790&lt;=100000,'中古車掲載'!AL790=1),'中古車掲載'!U790,"")</x:f>
      </x:c>
      <x:c r="BI789" s="3" t="str">
        <x:v>Taladrod|Hilux Revo|ICE|Unknown</x:v>
      </x:c>
      <x:c r="BJ789" s="3" t="n">
        <x:v>790</x:v>
      </x:c>
      <x:c r="BK789" s="3" t="n">
        <x:f>'中古車掲載'!AM790</x:f>
        <x:v>485000</x:v>
      </x:c>
      <x:c r="BL789" s="3" t="str">
        <x:f>IF(ISNUMBER('中古車掲載'!AN790),'中古車掲載'!AN790,"")</x:f>
      </x:c>
      <x:c r="BM789" s="3"/>
      <x:c r="BN789" s="3"/>
      <x:c r="BO789" s="3"/>
      <x:c r="BP789" s="3"/>
      <x:c r="BQ789" s="3"/>
      <x:c r="BR789" s="3"/>
    </x:row>
    <x:row r="790" ht="22" customHeight="1">
      <x:c r="A790" s="3"/>
      <x:c r="B790" s="3"/>
      <x:c r="C790" s="3"/>
      <x:c r="D790" s="3"/>
      <x:c r="E790" s="3"/>
      <x:c r="F790" s="3"/>
      <x:c r="G790" s="3"/>
      <x:c r="H790" s="3"/>
      <x:c r="I790" s="3"/>
      <x:c r="J790" s="3"/>
      <x:c r="K790" s="3"/>
      <x:c r="L790" s="3"/>
      <x:c r="M790" s="3"/>
      <x:c r="N790" s="3"/>
      <x:c r="O790" s="3"/>
      <x:c r="P790" s="3"/>
      <x:c r="Q790" s="3"/>
      <x:c r="R790" s="3"/>
      <x:c r="S790" s="3"/>
      <x:c r="T790" s="3"/>
      <x:c r="U790" s="3"/>
      <x:c r="V790" s="3"/>
      <x:c r="W790" s="3"/>
      <x:c r="X790" s="3"/>
      <x:c r="Y790" s="3"/>
      <x:c r="Z790" s="3"/>
      <x:c r="AA790" s="3"/>
      <x:c r="AB790" s="3"/>
      <x:c r="AC790" s="3"/>
      <x:c r="AD790" s="3"/>
      <x:c r="AE790" s="3"/>
      <x:c r="AF790" s="3"/>
      <x:c r="AG790" s="3"/>
      <x:c r="AH790" s="3"/>
      <x:c r="AI790" s="3"/>
      <x:c r="AJ790" s="3"/>
      <x:c r="AK790" s="3"/>
      <x:c r="AL790" s="3"/>
      <x:c r="AM790" s="3"/>
      <x:c r="AN790" s="3"/>
      <x:c r="AO790" s="3"/>
      <x:c r="AP790" s="3"/>
      <x:c r="AQ790" s="3"/>
      <x:c r="AR790" s="3"/>
      <x:c r="AS790" s="3"/>
      <x:c r="AT790" s="3"/>
      <x:c r="AU790" s="3"/>
      <x:c r="AV790" s="3"/>
      <x:c r="AW790" s="3"/>
      <x:c r="AX790" s="3"/>
      <x:c r="AY790" s="3"/>
      <x:c r="AZ790" s="3" t="str">
        <x:f>IF(AND('中古車掲載'!C791="One2car",'中古車掲載'!F791="ATTO 3",'中古車掲載'!L791="EXTENDED RANGE",'中古車掲載'!J791=2023,ISNUMBER('中古車掲載'!N791),'中古車掲載'!N791&gt;=20000,'中古車掲載'!O791&lt;=100000,'中古車掲載'!AL791=1),'中古車掲載'!U791,"")</x:f>
      </x:c>
      <x:c r="BA790" s="3" t="str">
        <x:f>IF(AND('中古車掲載'!C791="One2car",'中古車掲載'!F791="Corolla Cross",'中古車掲載'!L791="HEV PREMIUM SAFETY",'中古車掲載'!J791=2023,ISNUMBER('中古車掲載'!N791),'中古車掲載'!N791&gt;=20000,'中古車掲載'!O791&lt;=100000,'中古車掲載'!AL791=1,'中古車掲載'!Z791="https://www.one2car.com/en/cars-for-sale/toyota/corolla-cross/year-2023"),'中古車掲載'!U791,"")</x:f>
      </x:c>
      <x:c r="BB790" s="3" t="str">
        <x:f>IF(AND('中古車掲載'!C791="One2car",'中古車掲載'!F791="ATTO 3",'中古車掲載'!L791="EXTENDED RANGE",'中古車掲載'!J791=2023,ISNUMBER('中古車掲載'!N791),'中古車掲載'!N791&gt;=50000,'中古車掲載'!O791&lt;=100000,'中古車掲載'!AL791=1),'中古車掲載'!U791,"")</x:f>
      </x:c>
      <x:c r="BC790" s="3" t="str">
        <x:f>IF(AND('中古車掲載'!C791="One2car",'中古車掲載'!F791="Corolla Cross",'中古車掲載'!L791="HEV PREMIUM SAFETY",'中古車掲載'!J791=2023,ISNUMBER('中古車掲載'!N791),'中古車掲載'!N791&gt;=50000,'中古車掲載'!O791&lt;=100000,'中古車掲載'!AL791=1,'中古車掲載'!Z791="https://www.one2car.com/en/cars-for-sale/toyota/corolla-cross/year-2023"),'中古車掲載'!U791,"")</x:f>
      </x:c>
      <x:c r="BD790" s="3" t="str">
        <x:f>IF(AND('中古車掲載'!C791="One2car",'中古車掲載'!F791="ATTO 3",'中古車掲載'!L791="EXTENDED RANGE",'中古車掲載'!J791=2023,ISNUMBER('中古車掲載'!N791),'中古車掲載'!N791&gt;=20000,'中古車掲載'!O791&lt;=50000,'中古車掲載'!AL791=1),'中古車掲載'!U791,"")</x:f>
      </x:c>
      <x:c r="BE790" s="3" t="str">
        <x:f>IF(AND('中古車掲載'!C791="One2car",'中古車掲載'!F791="Corolla Cross",'中古車掲載'!L791="HEV PREMIUM SAFETY",'中古車掲載'!J791=2023,ISNUMBER('中古車掲載'!N791),'中古車掲載'!N791&gt;=20000,'中古車掲載'!O791&lt;=50000,'中古車掲載'!AL791=1,'中古車掲載'!Z791="https://www.one2car.com/en/cars-for-sale/toyota/corolla-cross/year-2023"),'中古車掲載'!U791,"")</x:f>
      </x:c>
      <x:c r="BF790" s="3" t="str">
        <x:f>IF(AND('中古車掲載'!C791="One2car",'中古車掲載'!F791="Corolla Cross",'中古車掲載'!L791="HEV PREMIUM",'中古車掲載'!J791=2023,ISNUMBER('中古車掲載'!N791),'中古車掲載'!N791&gt;=20000,'中古車掲載'!O791&lt;=100000,'中古車掲載'!AL791=1,'中古車掲載'!Z791="https://www.one2car.com/en/cars-for-sale/toyota/corolla-cross/year-2023"),'中古車掲載'!U791,"")</x:f>
      </x:c>
      <x:c r="BG790" s="3" t="str">
        <x:f>IF(AND('中古車掲載'!C791="One2car",'中古車掲載'!F791="Corolla Cross",'中古車掲載'!L791="HEV GR SPORT",'中古車掲載'!J791=2023,ISNUMBER('中古車掲載'!N791),'中古車掲載'!N791&gt;=20000,'中古車掲載'!O791&lt;=100000,'中古車掲載'!AL791=1,'中古車掲載'!Z791="https://www.one2car.com/en/cars-for-sale/toyota/corolla-cross/year-2023"),'中古車掲載'!U791,"")</x:f>
      </x:c>
      <x:c r="BH790" s="3" t="str">
        <x:f>IF(AND('中古車掲載'!C791="One2car",'中古車掲載'!F791="DOLPHIN",'中古車掲載'!L791="STANDARD RANGE",'中古車掲載'!J791=2023,ISNUMBER('中古車掲載'!N791),'中古車掲載'!N791&gt;=20000,'中古車掲載'!O791&lt;=100000,'中古車掲載'!AL791=1),'中古車掲載'!U791,"")</x:f>
      </x:c>
      <x:c r="BI790" s="3" t="str">
        <x:v>Taladrod|Hilux Revo|ICE|Unknown</x:v>
      </x:c>
      <x:c r="BJ790" s="3" t="n">
        <x:v>791</x:v>
      </x:c>
      <x:c r="BK790" s="3" t="n">
        <x:f>'中古車掲載'!AM791</x:f>
        <x:v>374000</x:v>
      </x:c>
      <x:c r="BL790" s="3" t="str">
        <x:f>IF(ISNUMBER('中古車掲載'!AN791),'中古車掲載'!AN791,"")</x:f>
      </x:c>
      <x:c r="BM790" s="3"/>
      <x:c r="BN790" s="3"/>
      <x:c r="BO790" s="3"/>
      <x:c r="BP790" s="3"/>
      <x:c r="BQ790" s="3"/>
      <x:c r="BR790" s="3"/>
    </x:row>
    <x:row r="791" ht="22" customHeight="1">
      <x:c r="A791" s="3"/>
      <x:c r="B791" s="3"/>
      <x:c r="C791" s="3"/>
      <x:c r="D791" s="3"/>
      <x:c r="E791" s="3"/>
      <x:c r="F791" s="3"/>
      <x:c r="G791" s="3"/>
      <x:c r="H791" s="3"/>
      <x:c r="I791" s="3"/>
      <x:c r="J791" s="3"/>
      <x:c r="K791" s="3"/>
      <x:c r="L791" s="3"/>
      <x:c r="M791" s="3"/>
      <x:c r="N791" s="3"/>
      <x:c r="O791" s="3"/>
      <x:c r="P791" s="3"/>
      <x:c r="Q791" s="3"/>
      <x:c r="R791" s="3"/>
      <x:c r="S791" s="3"/>
      <x:c r="T791" s="3"/>
      <x:c r="U791" s="3"/>
      <x:c r="V791" s="3"/>
      <x:c r="W791" s="3"/>
      <x:c r="X791" s="3"/>
      <x:c r="Y791" s="3"/>
      <x:c r="Z791" s="3"/>
      <x:c r="AA791" s="3"/>
      <x:c r="AB791" s="3"/>
      <x:c r="AC791" s="3"/>
      <x:c r="AD791" s="3"/>
      <x:c r="AE791" s="3"/>
      <x:c r="AF791" s="3"/>
      <x:c r="AG791" s="3"/>
      <x:c r="AH791" s="3"/>
      <x:c r="AI791" s="3"/>
      <x:c r="AJ791" s="3"/>
      <x:c r="AK791" s="3"/>
      <x:c r="AL791" s="3"/>
      <x:c r="AM791" s="3"/>
      <x:c r="AN791" s="3"/>
      <x:c r="AO791" s="3"/>
      <x:c r="AP791" s="3"/>
      <x:c r="AQ791" s="3"/>
      <x:c r="AR791" s="3"/>
      <x:c r="AS791" s="3"/>
      <x:c r="AT791" s="3"/>
      <x:c r="AU791" s="3"/>
      <x:c r="AV791" s="3"/>
      <x:c r="AW791" s="3"/>
      <x:c r="AX791" s="3"/>
      <x:c r="AY791" s="3"/>
      <x:c r="AZ791" s="3" t="str">
        <x:f>IF(AND('中古車掲載'!C792="One2car",'中古車掲載'!F792="ATTO 3",'中古車掲載'!L792="EXTENDED RANGE",'中古車掲載'!J792=2023,ISNUMBER('中古車掲載'!N792),'中古車掲載'!N792&gt;=20000,'中古車掲載'!O792&lt;=100000,'中古車掲載'!AL792=1),'中古車掲載'!U792,"")</x:f>
      </x:c>
      <x:c r="BA791" s="3" t="str">
        <x:f>IF(AND('中古車掲載'!C792="One2car",'中古車掲載'!F792="Corolla Cross",'中古車掲載'!L792="HEV PREMIUM SAFETY",'中古車掲載'!J792=2023,ISNUMBER('中古車掲載'!N792),'中古車掲載'!N792&gt;=20000,'中古車掲載'!O792&lt;=100000,'中古車掲載'!AL792=1,'中古車掲載'!Z792="https://www.one2car.com/en/cars-for-sale/toyota/corolla-cross/year-2023"),'中古車掲載'!U792,"")</x:f>
      </x:c>
      <x:c r="BB791" s="3" t="str">
        <x:f>IF(AND('中古車掲載'!C792="One2car",'中古車掲載'!F792="ATTO 3",'中古車掲載'!L792="EXTENDED RANGE",'中古車掲載'!J792=2023,ISNUMBER('中古車掲載'!N792),'中古車掲載'!N792&gt;=50000,'中古車掲載'!O792&lt;=100000,'中古車掲載'!AL792=1),'中古車掲載'!U792,"")</x:f>
      </x:c>
      <x:c r="BC791" s="3" t="str">
        <x:f>IF(AND('中古車掲載'!C792="One2car",'中古車掲載'!F792="Corolla Cross",'中古車掲載'!L792="HEV PREMIUM SAFETY",'中古車掲載'!J792=2023,ISNUMBER('中古車掲載'!N792),'中古車掲載'!N792&gt;=50000,'中古車掲載'!O792&lt;=100000,'中古車掲載'!AL792=1,'中古車掲載'!Z792="https://www.one2car.com/en/cars-for-sale/toyota/corolla-cross/year-2023"),'中古車掲載'!U792,"")</x:f>
      </x:c>
      <x:c r="BD791" s="3" t="str">
        <x:f>IF(AND('中古車掲載'!C792="One2car",'中古車掲載'!F792="ATTO 3",'中古車掲載'!L792="EXTENDED RANGE",'中古車掲載'!J792=2023,ISNUMBER('中古車掲載'!N792),'中古車掲載'!N792&gt;=20000,'中古車掲載'!O792&lt;=50000,'中古車掲載'!AL792=1),'中古車掲載'!U792,"")</x:f>
      </x:c>
      <x:c r="BE791" s="3" t="str">
        <x:f>IF(AND('中古車掲載'!C792="One2car",'中古車掲載'!F792="Corolla Cross",'中古車掲載'!L792="HEV PREMIUM SAFETY",'中古車掲載'!J792=2023,ISNUMBER('中古車掲載'!N792),'中古車掲載'!N792&gt;=20000,'中古車掲載'!O792&lt;=50000,'中古車掲載'!AL792=1,'中古車掲載'!Z792="https://www.one2car.com/en/cars-for-sale/toyota/corolla-cross/year-2023"),'中古車掲載'!U792,"")</x:f>
      </x:c>
      <x:c r="BF791" s="3" t="str">
        <x:f>IF(AND('中古車掲載'!C792="One2car",'中古車掲載'!F792="Corolla Cross",'中古車掲載'!L792="HEV PREMIUM",'中古車掲載'!J792=2023,ISNUMBER('中古車掲載'!N792),'中古車掲載'!N792&gt;=20000,'中古車掲載'!O792&lt;=100000,'中古車掲載'!AL792=1,'中古車掲載'!Z792="https://www.one2car.com/en/cars-for-sale/toyota/corolla-cross/year-2023"),'中古車掲載'!U792,"")</x:f>
      </x:c>
      <x:c r="BG791" s="3" t="str">
        <x:f>IF(AND('中古車掲載'!C792="One2car",'中古車掲載'!F792="Corolla Cross",'中古車掲載'!L792="HEV GR SPORT",'中古車掲載'!J792=2023,ISNUMBER('中古車掲載'!N792),'中古車掲載'!N792&gt;=20000,'中古車掲載'!O792&lt;=100000,'中古車掲載'!AL792=1,'中古車掲載'!Z792="https://www.one2car.com/en/cars-for-sale/toyota/corolla-cross/year-2023"),'中古車掲載'!U792,"")</x:f>
      </x:c>
      <x:c r="BH791" s="3" t="str">
        <x:f>IF(AND('中古車掲載'!C792="One2car",'中古車掲載'!F792="DOLPHIN",'中古車掲載'!L792="STANDARD RANGE",'中古車掲載'!J792=2023,ISNUMBER('中古車掲載'!N792),'中古車掲載'!N792&gt;=20000,'中古車掲載'!O792&lt;=100000,'中古車掲載'!AL792=1),'中古車掲載'!U792,"")</x:f>
      </x:c>
      <x:c r="BI791" s="3" t="str">
        <x:v>Taladrod|Hilux Revo|ICE|Unknown</x:v>
      </x:c>
      <x:c r="BJ791" s="3" t="n">
        <x:v>792</x:v>
      </x:c>
      <x:c r="BK791" s="3" t="n">
        <x:f>'中古車掲載'!AM792</x:f>
        <x:v>379000</x:v>
      </x:c>
      <x:c r="BL791" s="3" t="str">
        <x:f>IF(ISNUMBER('中古車掲載'!AN792),'中古車掲載'!AN792,"")</x:f>
      </x:c>
      <x:c r="BM791" s="3"/>
      <x:c r="BN791" s="3"/>
      <x:c r="BO791" s="3"/>
      <x:c r="BP791" s="3"/>
      <x:c r="BQ791" s="3"/>
      <x:c r="BR791" s="3"/>
    </x:row>
    <x:row r="792" ht="22" customHeight="1">
      <x:c r="A792" s="3"/>
      <x:c r="B792" s="3"/>
      <x:c r="C792" s="3"/>
      <x:c r="D792" s="3"/>
      <x:c r="E792" s="3"/>
      <x:c r="F792" s="3"/>
      <x:c r="G792" s="3"/>
      <x:c r="H792" s="3"/>
      <x:c r="I792" s="3"/>
      <x:c r="J792" s="3"/>
      <x:c r="K792" s="3"/>
      <x:c r="L792" s="3"/>
      <x:c r="M792" s="3"/>
      <x:c r="N792" s="3"/>
      <x:c r="O792" s="3"/>
      <x:c r="P792" s="3"/>
      <x:c r="Q792" s="3"/>
      <x:c r="R792" s="3"/>
      <x:c r="S792" s="3"/>
      <x:c r="T792" s="3"/>
      <x:c r="U792" s="3"/>
      <x:c r="V792" s="3"/>
      <x:c r="W792" s="3"/>
      <x:c r="X792" s="3"/>
      <x:c r="Y792" s="3"/>
      <x:c r="Z792" s="3"/>
      <x:c r="AA792" s="3"/>
      <x:c r="AB792" s="3"/>
      <x:c r="AC792" s="3"/>
      <x:c r="AD792" s="3"/>
      <x:c r="AE792" s="3"/>
      <x:c r="AF792" s="3"/>
      <x:c r="AG792" s="3"/>
      <x:c r="AH792" s="3"/>
      <x:c r="AI792" s="3"/>
      <x:c r="AJ792" s="3"/>
      <x:c r="AK792" s="3"/>
      <x:c r="AL792" s="3"/>
      <x:c r="AM792" s="3"/>
      <x:c r="AN792" s="3"/>
      <x:c r="AO792" s="3"/>
      <x:c r="AP792" s="3"/>
      <x:c r="AQ792" s="3"/>
      <x:c r="AR792" s="3"/>
      <x:c r="AS792" s="3"/>
      <x:c r="AT792" s="3"/>
      <x:c r="AU792" s="3"/>
      <x:c r="AV792" s="3"/>
      <x:c r="AW792" s="3"/>
      <x:c r="AX792" s="3"/>
      <x:c r="AY792" s="3"/>
      <x:c r="AZ792" s="3" t="str">
        <x:f>IF(AND('中古車掲載'!C793="One2car",'中古車掲載'!F793="ATTO 3",'中古車掲載'!L793="EXTENDED RANGE",'中古車掲載'!J793=2023,ISNUMBER('中古車掲載'!N793),'中古車掲載'!N793&gt;=20000,'中古車掲載'!O793&lt;=100000,'中古車掲載'!AL793=1),'中古車掲載'!U793,"")</x:f>
      </x:c>
      <x:c r="BA792" s="3" t="str">
        <x:f>IF(AND('中古車掲載'!C793="One2car",'中古車掲載'!F793="Corolla Cross",'中古車掲載'!L793="HEV PREMIUM SAFETY",'中古車掲載'!J793=2023,ISNUMBER('中古車掲載'!N793),'中古車掲載'!N793&gt;=20000,'中古車掲載'!O793&lt;=100000,'中古車掲載'!AL793=1,'中古車掲載'!Z793="https://www.one2car.com/en/cars-for-sale/toyota/corolla-cross/year-2023"),'中古車掲載'!U793,"")</x:f>
      </x:c>
      <x:c r="BB792" s="3" t="str">
        <x:f>IF(AND('中古車掲載'!C793="One2car",'中古車掲載'!F793="ATTO 3",'中古車掲載'!L793="EXTENDED RANGE",'中古車掲載'!J793=2023,ISNUMBER('中古車掲載'!N793),'中古車掲載'!N793&gt;=50000,'中古車掲載'!O793&lt;=100000,'中古車掲載'!AL793=1),'中古車掲載'!U793,"")</x:f>
      </x:c>
      <x:c r="BC792" s="3" t="str">
        <x:f>IF(AND('中古車掲載'!C793="One2car",'中古車掲載'!F793="Corolla Cross",'中古車掲載'!L793="HEV PREMIUM SAFETY",'中古車掲載'!J793=2023,ISNUMBER('中古車掲載'!N793),'中古車掲載'!N793&gt;=50000,'中古車掲載'!O793&lt;=100000,'中古車掲載'!AL793=1,'中古車掲載'!Z793="https://www.one2car.com/en/cars-for-sale/toyota/corolla-cross/year-2023"),'中古車掲載'!U793,"")</x:f>
      </x:c>
      <x:c r="BD792" s="3" t="str">
        <x:f>IF(AND('中古車掲載'!C793="One2car",'中古車掲載'!F793="ATTO 3",'中古車掲載'!L793="EXTENDED RANGE",'中古車掲載'!J793=2023,ISNUMBER('中古車掲載'!N793),'中古車掲載'!N793&gt;=20000,'中古車掲載'!O793&lt;=50000,'中古車掲載'!AL793=1),'中古車掲載'!U793,"")</x:f>
      </x:c>
      <x:c r="BE792" s="3" t="str">
        <x:f>IF(AND('中古車掲載'!C793="One2car",'中古車掲載'!F793="Corolla Cross",'中古車掲載'!L793="HEV PREMIUM SAFETY",'中古車掲載'!J793=2023,ISNUMBER('中古車掲載'!N793),'中古車掲載'!N793&gt;=20000,'中古車掲載'!O793&lt;=50000,'中古車掲載'!AL793=1,'中古車掲載'!Z793="https://www.one2car.com/en/cars-for-sale/toyota/corolla-cross/year-2023"),'中古車掲載'!U793,"")</x:f>
      </x:c>
      <x:c r="BF792" s="3" t="str">
        <x:f>IF(AND('中古車掲載'!C793="One2car",'中古車掲載'!F793="Corolla Cross",'中古車掲載'!L793="HEV PREMIUM",'中古車掲載'!J793=2023,ISNUMBER('中古車掲載'!N793),'中古車掲載'!N793&gt;=20000,'中古車掲載'!O793&lt;=100000,'中古車掲載'!AL793=1,'中古車掲載'!Z793="https://www.one2car.com/en/cars-for-sale/toyota/corolla-cross/year-2023"),'中古車掲載'!U793,"")</x:f>
      </x:c>
      <x:c r="BG792" s="3" t="str">
        <x:f>IF(AND('中古車掲載'!C793="One2car",'中古車掲載'!F793="Corolla Cross",'中古車掲載'!L793="HEV GR SPORT",'中古車掲載'!J793=2023,ISNUMBER('中古車掲載'!N793),'中古車掲載'!N793&gt;=20000,'中古車掲載'!O793&lt;=100000,'中古車掲載'!AL793=1,'中古車掲載'!Z793="https://www.one2car.com/en/cars-for-sale/toyota/corolla-cross/year-2023"),'中古車掲載'!U793,"")</x:f>
      </x:c>
      <x:c r="BH792" s="3" t="str">
        <x:f>IF(AND('中古車掲載'!C793="One2car",'中古車掲載'!F793="DOLPHIN",'中古車掲載'!L793="STANDARD RANGE",'中古車掲載'!J793=2023,ISNUMBER('中古車掲載'!N793),'中古車掲載'!N793&gt;=20000,'中古車掲載'!O793&lt;=100000,'中古車掲載'!AL793=1),'中古車掲載'!U793,"")</x:f>
      </x:c>
      <x:c r="BI792" s="3" t="str">
        <x:v>Taladrod|Hilux Revo|ICE|Unknown</x:v>
      </x:c>
      <x:c r="BJ792" s="3" t="n">
        <x:v>793</x:v>
      </x:c>
      <x:c r="BK792" s="3" t="n">
        <x:f>'中古車掲載'!AM793</x:f>
        <x:v>409000</x:v>
      </x:c>
      <x:c r="BL792" s="3" t="str">
        <x:f>IF(ISNUMBER('中古車掲載'!AN793),'中古車掲載'!AN793,"")</x:f>
      </x:c>
      <x:c r="BM792" s="3"/>
      <x:c r="BN792" s="3"/>
      <x:c r="BO792" s="3"/>
      <x:c r="BP792" s="3"/>
      <x:c r="BQ792" s="3"/>
      <x:c r="BR792" s="3"/>
    </x:row>
    <x:row r="793" ht="22" customHeight="1">
      <x:c r="A793" s="3"/>
      <x:c r="B793" s="3"/>
      <x:c r="C793" s="3"/>
      <x:c r="D793" s="3"/>
      <x:c r="E793" s="3"/>
      <x:c r="F793" s="3"/>
      <x:c r="G793" s="3"/>
      <x:c r="H793" s="3"/>
      <x:c r="I793" s="3"/>
      <x:c r="J793" s="3"/>
      <x:c r="K793" s="3"/>
      <x:c r="L793" s="3"/>
      <x:c r="M793" s="3"/>
      <x:c r="N793" s="3"/>
      <x:c r="O793" s="3"/>
      <x:c r="P793" s="3"/>
      <x:c r="Q793" s="3"/>
      <x:c r="R793" s="3"/>
      <x:c r="S793" s="3"/>
      <x:c r="T793" s="3"/>
      <x:c r="U793" s="3"/>
      <x:c r="V793" s="3"/>
      <x:c r="W793" s="3"/>
      <x:c r="X793" s="3"/>
      <x:c r="Y793" s="3"/>
      <x:c r="Z793" s="3"/>
      <x:c r="AA793" s="3"/>
      <x:c r="AB793" s="3"/>
      <x:c r="AC793" s="3"/>
      <x:c r="AD793" s="3"/>
      <x:c r="AE793" s="3"/>
      <x:c r="AF793" s="3"/>
      <x:c r="AG793" s="3"/>
      <x:c r="AH793" s="3"/>
      <x:c r="AI793" s="3"/>
      <x:c r="AJ793" s="3"/>
      <x:c r="AK793" s="3"/>
      <x:c r="AL793" s="3"/>
      <x:c r="AM793" s="3"/>
      <x:c r="AN793" s="3"/>
      <x:c r="AO793" s="3"/>
      <x:c r="AP793" s="3"/>
      <x:c r="AQ793" s="3"/>
      <x:c r="AR793" s="3"/>
      <x:c r="AS793" s="3"/>
      <x:c r="AT793" s="3"/>
      <x:c r="AU793" s="3"/>
      <x:c r="AV793" s="3"/>
      <x:c r="AW793" s="3"/>
      <x:c r="AX793" s="3"/>
      <x:c r="AY793" s="3"/>
      <x:c r="AZ793" s="3" t="str">
        <x:f>IF(AND('中古車掲載'!C794="One2car",'中古車掲載'!F794="ATTO 3",'中古車掲載'!L794="EXTENDED RANGE",'中古車掲載'!J794=2023,ISNUMBER('中古車掲載'!N794),'中古車掲載'!N794&gt;=20000,'中古車掲載'!O794&lt;=100000,'中古車掲載'!AL794=1),'中古車掲載'!U794,"")</x:f>
      </x:c>
      <x:c r="BA793" s="3" t="str">
        <x:f>IF(AND('中古車掲載'!C794="One2car",'中古車掲載'!F794="Corolla Cross",'中古車掲載'!L794="HEV PREMIUM SAFETY",'中古車掲載'!J794=2023,ISNUMBER('中古車掲載'!N794),'中古車掲載'!N794&gt;=20000,'中古車掲載'!O794&lt;=100000,'中古車掲載'!AL794=1,'中古車掲載'!Z794="https://www.one2car.com/en/cars-for-sale/toyota/corolla-cross/year-2023"),'中古車掲載'!U794,"")</x:f>
      </x:c>
      <x:c r="BB793" s="3" t="str">
        <x:f>IF(AND('中古車掲載'!C794="One2car",'中古車掲載'!F794="ATTO 3",'中古車掲載'!L794="EXTENDED RANGE",'中古車掲載'!J794=2023,ISNUMBER('中古車掲載'!N794),'中古車掲載'!N794&gt;=50000,'中古車掲載'!O794&lt;=100000,'中古車掲載'!AL794=1),'中古車掲載'!U794,"")</x:f>
      </x:c>
      <x:c r="BC793" s="3" t="str">
        <x:f>IF(AND('中古車掲載'!C794="One2car",'中古車掲載'!F794="Corolla Cross",'中古車掲載'!L794="HEV PREMIUM SAFETY",'中古車掲載'!J794=2023,ISNUMBER('中古車掲載'!N794),'中古車掲載'!N794&gt;=50000,'中古車掲載'!O794&lt;=100000,'中古車掲載'!AL794=1,'中古車掲載'!Z794="https://www.one2car.com/en/cars-for-sale/toyota/corolla-cross/year-2023"),'中古車掲載'!U794,"")</x:f>
      </x:c>
      <x:c r="BD793" s="3" t="str">
        <x:f>IF(AND('中古車掲載'!C794="One2car",'中古車掲載'!F794="ATTO 3",'中古車掲載'!L794="EXTENDED RANGE",'中古車掲載'!J794=2023,ISNUMBER('中古車掲載'!N794),'中古車掲載'!N794&gt;=20000,'中古車掲載'!O794&lt;=50000,'中古車掲載'!AL794=1),'中古車掲載'!U794,"")</x:f>
      </x:c>
      <x:c r="BE793" s="3" t="str">
        <x:f>IF(AND('中古車掲載'!C794="One2car",'中古車掲載'!F794="Corolla Cross",'中古車掲載'!L794="HEV PREMIUM SAFETY",'中古車掲載'!J794=2023,ISNUMBER('中古車掲載'!N794),'中古車掲載'!N794&gt;=20000,'中古車掲載'!O794&lt;=50000,'中古車掲載'!AL794=1,'中古車掲載'!Z794="https://www.one2car.com/en/cars-for-sale/toyota/corolla-cross/year-2023"),'中古車掲載'!U794,"")</x:f>
      </x:c>
      <x:c r="BF793" s="3" t="str">
        <x:f>IF(AND('中古車掲載'!C794="One2car",'中古車掲載'!F794="Corolla Cross",'中古車掲載'!L794="HEV PREMIUM",'中古車掲載'!J794=2023,ISNUMBER('中古車掲載'!N794),'中古車掲載'!N794&gt;=20000,'中古車掲載'!O794&lt;=100000,'中古車掲載'!AL794=1,'中古車掲載'!Z794="https://www.one2car.com/en/cars-for-sale/toyota/corolla-cross/year-2023"),'中古車掲載'!U794,"")</x:f>
      </x:c>
      <x:c r="BG793" s="3" t="str">
        <x:f>IF(AND('中古車掲載'!C794="One2car",'中古車掲載'!F794="Corolla Cross",'中古車掲載'!L794="HEV GR SPORT",'中古車掲載'!J794=2023,ISNUMBER('中古車掲載'!N794),'中古車掲載'!N794&gt;=20000,'中古車掲載'!O794&lt;=100000,'中古車掲載'!AL794=1,'中古車掲載'!Z794="https://www.one2car.com/en/cars-for-sale/toyota/corolla-cross/year-2023"),'中古車掲載'!U794,"")</x:f>
      </x:c>
      <x:c r="BH793" s="3" t="str">
        <x:f>IF(AND('中古車掲載'!C794="One2car",'中古車掲載'!F794="DOLPHIN",'中古車掲載'!L794="STANDARD RANGE",'中古車掲載'!J794=2023,ISNUMBER('中古車掲載'!N794),'中古車掲載'!N794&gt;=20000,'中古車掲載'!O794&lt;=100000,'中古車掲載'!AL794=1),'中古車掲載'!U794,"")</x:f>
      </x:c>
      <x:c r="BI793" s="3" t="str">
        <x:v>Taladrod|Hilux Revo|ICE|Unknown</x:v>
      </x:c>
      <x:c r="BJ793" s="3" t="n">
        <x:v>794</x:v>
      </x:c>
      <x:c r="BK793" s="3" t="n">
        <x:f>'中古車掲載'!AM794</x:f>
        <x:v>379000</x:v>
      </x:c>
      <x:c r="BL793" s="3" t="str">
        <x:f>IF(ISNUMBER('中古車掲載'!AN794),'中古車掲載'!AN794,"")</x:f>
      </x:c>
      <x:c r="BM793" s="3"/>
      <x:c r="BN793" s="3"/>
      <x:c r="BO793" s="3"/>
      <x:c r="BP793" s="3"/>
      <x:c r="BQ793" s="3"/>
      <x:c r="BR793" s="3"/>
    </x:row>
    <x:row r="794" ht="22" customHeight="1">
      <x:c r="A794" s="3"/>
      <x:c r="B794" s="3"/>
      <x:c r="C794" s="3"/>
      <x:c r="D794" s="3"/>
      <x:c r="E794" s="3"/>
      <x:c r="F794" s="3"/>
      <x:c r="G794" s="3"/>
      <x:c r="H794" s="3"/>
      <x:c r="I794" s="3"/>
      <x:c r="J794" s="3"/>
      <x:c r="K794" s="3"/>
      <x:c r="L794" s="3"/>
      <x:c r="M794" s="3"/>
      <x:c r="N794" s="3"/>
      <x:c r="O794" s="3"/>
      <x:c r="P794" s="3"/>
      <x:c r="Q794" s="3"/>
      <x:c r="R794" s="3"/>
      <x:c r="S794" s="3"/>
      <x:c r="T794" s="3"/>
      <x:c r="U794" s="3"/>
      <x:c r="V794" s="3"/>
      <x:c r="W794" s="3"/>
      <x:c r="X794" s="3"/>
      <x:c r="Y794" s="3"/>
      <x:c r="Z794" s="3"/>
      <x:c r="AA794" s="3"/>
      <x:c r="AB794" s="3"/>
      <x:c r="AC794" s="3"/>
      <x:c r="AD794" s="3"/>
      <x:c r="AE794" s="3"/>
      <x:c r="AF794" s="3"/>
      <x:c r="AG794" s="3"/>
      <x:c r="AH794" s="3"/>
      <x:c r="AI794" s="3"/>
      <x:c r="AJ794" s="3"/>
      <x:c r="AK794" s="3"/>
      <x:c r="AL794" s="3"/>
      <x:c r="AM794" s="3"/>
      <x:c r="AN794" s="3"/>
      <x:c r="AO794" s="3"/>
      <x:c r="AP794" s="3"/>
      <x:c r="AQ794" s="3"/>
      <x:c r="AR794" s="3"/>
      <x:c r="AS794" s="3"/>
      <x:c r="AT794" s="3"/>
      <x:c r="AU794" s="3"/>
      <x:c r="AV794" s="3"/>
      <x:c r="AW794" s="3"/>
      <x:c r="AX794" s="3"/>
      <x:c r="AY794" s="3"/>
      <x:c r="AZ794" s="3" t="str">
        <x:f>IF(AND('中古車掲載'!C795="One2car",'中古車掲載'!F795="ATTO 3",'中古車掲載'!L795="EXTENDED RANGE",'中古車掲載'!J795=2023,ISNUMBER('中古車掲載'!N795),'中古車掲載'!N795&gt;=20000,'中古車掲載'!O795&lt;=100000,'中古車掲載'!AL795=1),'中古車掲載'!U795,"")</x:f>
      </x:c>
      <x:c r="BA794" s="3" t="str">
        <x:f>IF(AND('中古車掲載'!C795="One2car",'中古車掲載'!F795="Corolla Cross",'中古車掲載'!L795="HEV PREMIUM SAFETY",'中古車掲載'!J795=2023,ISNUMBER('中古車掲載'!N795),'中古車掲載'!N795&gt;=20000,'中古車掲載'!O795&lt;=100000,'中古車掲載'!AL795=1,'中古車掲載'!Z795="https://www.one2car.com/en/cars-for-sale/toyota/corolla-cross/year-2023"),'中古車掲載'!U795,"")</x:f>
      </x:c>
      <x:c r="BB794" s="3" t="str">
        <x:f>IF(AND('中古車掲載'!C795="One2car",'中古車掲載'!F795="ATTO 3",'中古車掲載'!L795="EXTENDED RANGE",'中古車掲載'!J795=2023,ISNUMBER('中古車掲載'!N795),'中古車掲載'!N795&gt;=50000,'中古車掲載'!O795&lt;=100000,'中古車掲載'!AL795=1),'中古車掲載'!U795,"")</x:f>
      </x:c>
      <x:c r="BC794" s="3" t="str">
        <x:f>IF(AND('中古車掲載'!C795="One2car",'中古車掲載'!F795="Corolla Cross",'中古車掲載'!L795="HEV PREMIUM SAFETY",'中古車掲載'!J795=2023,ISNUMBER('中古車掲載'!N795),'中古車掲載'!N795&gt;=50000,'中古車掲載'!O795&lt;=100000,'中古車掲載'!AL795=1,'中古車掲載'!Z795="https://www.one2car.com/en/cars-for-sale/toyota/corolla-cross/year-2023"),'中古車掲載'!U795,"")</x:f>
      </x:c>
      <x:c r="BD794" s="3" t="str">
        <x:f>IF(AND('中古車掲載'!C795="One2car",'中古車掲載'!F795="ATTO 3",'中古車掲載'!L795="EXTENDED RANGE",'中古車掲載'!J795=2023,ISNUMBER('中古車掲載'!N795),'中古車掲載'!N795&gt;=20000,'中古車掲載'!O795&lt;=50000,'中古車掲載'!AL795=1),'中古車掲載'!U795,"")</x:f>
      </x:c>
      <x:c r="BE794" s="3" t="str">
        <x:f>IF(AND('中古車掲載'!C795="One2car",'中古車掲載'!F795="Corolla Cross",'中古車掲載'!L795="HEV PREMIUM SAFETY",'中古車掲載'!J795=2023,ISNUMBER('中古車掲載'!N795),'中古車掲載'!N795&gt;=20000,'中古車掲載'!O795&lt;=50000,'中古車掲載'!AL795=1,'中古車掲載'!Z795="https://www.one2car.com/en/cars-for-sale/toyota/corolla-cross/year-2023"),'中古車掲載'!U795,"")</x:f>
      </x:c>
      <x:c r="BF794" s="3" t="str">
        <x:f>IF(AND('中古車掲載'!C795="One2car",'中古車掲載'!F795="Corolla Cross",'中古車掲載'!L795="HEV PREMIUM",'中古車掲載'!J795=2023,ISNUMBER('中古車掲載'!N795),'中古車掲載'!N795&gt;=20000,'中古車掲載'!O795&lt;=100000,'中古車掲載'!AL795=1,'中古車掲載'!Z795="https://www.one2car.com/en/cars-for-sale/toyota/corolla-cross/year-2023"),'中古車掲載'!U795,"")</x:f>
      </x:c>
      <x:c r="BG794" s="3" t="str">
        <x:f>IF(AND('中古車掲載'!C795="One2car",'中古車掲載'!F795="Corolla Cross",'中古車掲載'!L795="HEV GR SPORT",'中古車掲載'!J795=2023,ISNUMBER('中古車掲載'!N795),'中古車掲載'!N795&gt;=20000,'中古車掲載'!O795&lt;=100000,'中古車掲載'!AL795=1,'中古車掲載'!Z795="https://www.one2car.com/en/cars-for-sale/toyota/corolla-cross/year-2023"),'中古車掲載'!U795,"")</x:f>
      </x:c>
      <x:c r="BH794" s="3" t="str">
        <x:f>IF(AND('中古車掲載'!C795="One2car",'中古車掲載'!F795="DOLPHIN",'中古車掲載'!L795="STANDARD RANGE",'中古車掲載'!J795=2023,ISNUMBER('中古車掲載'!N795),'中古車掲載'!N795&gt;=20000,'中古車掲載'!O795&lt;=100000,'中古車掲載'!AL795=1),'中古車掲載'!U795,"")</x:f>
      </x:c>
      <x:c r="BI794" s="3" t="str">
        <x:v>Taladrod|Hilux Revo|ICE|Unknown</x:v>
      </x:c>
      <x:c r="BJ794" s="3" t="n">
        <x:v>795</x:v>
      </x:c>
      <x:c r="BK794" s="3" t="n">
        <x:f>'中古車掲載'!AM795</x:f>
        <x:v>389000</x:v>
      </x:c>
      <x:c r="BL794" s="3" t="str">
        <x:f>IF(ISNUMBER('中古車掲載'!AN795),'中古車掲載'!AN795,"")</x:f>
      </x:c>
      <x:c r="BM794" s="3"/>
      <x:c r="BN794" s="3"/>
      <x:c r="BO794" s="3"/>
      <x:c r="BP794" s="3"/>
      <x:c r="BQ794" s="3"/>
      <x:c r="BR794" s="3"/>
    </x:row>
    <x:row r="795" ht="22" customHeight="1">
      <x:c r="A795" s="3"/>
      <x:c r="B795" s="3"/>
      <x:c r="C795" s="3"/>
      <x:c r="D795" s="3"/>
      <x:c r="E795" s="3"/>
      <x:c r="F795" s="3"/>
      <x:c r="G795" s="3"/>
      <x:c r="H795" s="3"/>
      <x:c r="I795" s="3"/>
      <x:c r="J795" s="3"/>
      <x:c r="K795" s="3"/>
      <x:c r="L795" s="3"/>
      <x:c r="M795" s="3"/>
      <x:c r="N795" s="3"/>
      <x:c r="O795" s="3"/>
      <x:c r="P795" s="3"/>
      <x:c r="Q795" s="3"/>
      <x:c r="R795" s="3"/>
      <x:c r="S795" s="3"/>
      <x:c r="T795" s="3"/>
      <x:c r="U795" s="3"/>
      <x:c r="V795" s="3"/>
      <x:c r="W795" s="3"/>
      <x:c r="X795" s="3"/>
      <x:c r="Y795" s="3"/>
      <x:c r="Z795" s="3"/>
      <x:c r="AA795" s="3"/>
      <x:c r="AB795" s="3"/>
      <x:c r="AC795" s="3"/>
      <x:c r="AD795" s="3"/>
      <x:c r="AE795" s="3"/>
      <x:c r="AF795" s="3"/>
      <x:c r="AG795" s="3"/>
      <x:c r="AH795" s="3"/>
      <x:c r="AI795" s="3"/>
      <x:c r="AJ795" s="3"/>
      <x:c r="AK795" s="3"/>
      <x:c r="AL795" s="3"/>
      <x:c r="AM795" s="3"/>
      <x:c r="AN795" s="3"/>
      <x:c r="AO795" s="3"/>
      <x:c r="AP795" s="3"/>
      <x:c r="AQ795" s="3"/>
      <x:c r="AR795" s="3"/>
      <x:c r="AS795" s="3"/>
      <x:c r="AT795" s="3"/>
      <x:c r="AU795" s="3"/>
      <x:c r="AV795" s="3"/>
      <x:c r="AW795" s="3"/>
      <x:c r="AX795" s="3"/>
      <x:c r="AY795" s="3"/>
      <x:c r="AZ795" s="3" t="str">
        <x:f>IF(AND('中古車掲載'!C796="One2car",'中古車掲載'!F796="ATTO 3",'中古車掲載'!L796="EXTENDED RANGE",'中古車掲載'!J796=2023,ISNUMBER('中古車掲載'!N796),'中古車掲載'!N796&gt;=20000,'中古車掲載'!O796&lt;=100000,'中古車掲載'!AL796=1),'中古車掲載'!U796,"")</x:f>
      </x:c>
      <x:c r="BA795" s="3" t="str">
        <x:f>IF(AND('中古車掲載'!C796="One2car",'中古車掲載'!F796="Corolla Cross",'中古車掲載'!L796="HEV PREMIUM SAFETY",'中古車掲載'!J796=2023,ISNUMBER('中古車掲載'!N796),'中古車掲載'!N796&gt;=20000,'中古車掲載'!O796&lt;=100000,'中古車掲載'!AL796=1,'中古車掲載'!Z796="https://www.one2car.com/en/cars-for-sale/toyota/corolla-cross/year-2023"),'中古車掲載'!U796,"")</x:f>
      </x:c>
      <x:c r="BB795" s="3" t="str">
        <x:f>IF(AND('中古車掲載'!C796="One2car",'中古車掲載'!F796="ATTO 3",'中古車掲載'!L796="EXTENDED RANGE",'中古車掲載'!J796=2023,ISNUMBER('中古車掲載'!N796),'中古車掲載'!N796&gt;=50000,'中古車掲載'!O796&lt;=100000,'中古車掲載'!AL796=1),'中古車掲載'!U796,"")</x:f>
      </x:c>
      <x:c r="BC795" s="3" t="str">
        <x:f>IF(AND('中古車掲載'!C796="One2car",'中古車掲載'!F796="Corolla Cross",'中古車掲載'!L796="HEV PREMIUM SAFETY",'中古車掲載'!J796=2023,ISNUMBER('中古車掲載'!N796),'中古車掲載'!N796&gt;=50000,'中古車掲載'!O796&lt;=100000,'中古車掲載'!AL796=1,'中古車掲載'!Z796="https://www.one2car.com/en/cars-for-sale/toyota/corolla-cross/year-2023"),'中古車掲載'!U796,"")</x:f>
      </x:c>
      <x:c r="BD795" s="3" t="str">
        <x:f>IF(AND('中古車掲載'!C796="One2car",'中古車掲載'!F796="ATTO 3",'中古車掲載'!L796="EXTENDED RANGE",'中古車掲載'!J796=2023,ISNUMBER('中古車掲載'!N796),'中古車掲載'!N796&gt;=20000,'中古車掲載'!O796&lt;=50000,'中古車掲載'!AL796=1),'中古車掲載'!U796,"")</x:f>
      </x:c>
      <x:c r="BE795" s="3" t="str">
        <x:f>IF(AND('中古車掲載'!C796="One2car",'中古車掲載'!F796="Corolla Cross",'中古車掲載'!L796="HEV PREMIUM SAFETY",'中古車掲載'!J796=2023,ISNUMBER('中古車掲載'!N796),'中古車掲載'!N796&gt;=20000,'中古車掲載'!O796&lt;=50000,'中古車掲載'!AL796=1,'中古車掲載'!Z796="https://www.one2car.com/en/cars-for-sale/toyota/corolla-cross/year-2023"),'中古車掲載'!U796,"")</x:f>
      </x:c>
      <x:c r="BF795" s="3" t="str">
        <x:f>IF(AND('中古車掲載'!C796="One2car",'中古車掲載'!F796="Corolla Cross",'中古車掲載'!L796="HEV PREMIUM",'中古車掲載'!J796=2023,ISNUMBER('中古車掲載'!N796),'中古車掲載'!N796&gt;=20000,'中古車掲載'!O796&lt;=100000,'中古車掲載'!AL796=1,'中古車掲載'!Z796="https://www.one2car.com/en/cars-for-sale/toyota/corolla-cross/year-2023"),'中古車掲載'!U796,"")</x:f>
      </x:c>
      <x:c r="BG795" s="3" t="str">
        <x:f>IF(AND('中古車掲載'!C796="One2car",'中古車掲載'!F796="Corolla Cross",'中古車掲載'!L796="HEV GR SPORT",'中古車掲載'!J796=2023,ISNUMBER('中古車掲載'!N796),'中古車掲載'!N796&gt;=20000,'中古車掲載'!O796&lt;=100000,'中古車掲載'!AL796=1,'中古車掲載'!Z796="https://www.one2car.com/en/cars-for-sale/toyota/corolla-cross/year-2023"),'中古車掲載'!U796,"")</x:f>
      </x:c>
      <x:c r="BH795" s="3" t="str">
        <x:f>IF(AND('中古車掲載'!C796="One2car",'中古車掲載'!F796="DOLPHIN",'中古車掲載'!L796="STANDARD RANGE",'中古車掲載'!J796=2023,ISNUMBER('中古車掲載'!N796),'中古車掲載'!N796&gt;=20000,'中古車掲載'!O796&lt;=100000,'中古車掲載'!AL796=1),'中古車掲載'!U796,"")</x:f>
      </x:c>
      <x:c r="BI795" s="3" t="str">
        <x:v>Taladrod|Hilux Revo|ICE|Unknown</x:v>
      </x:c>
      <x:c r="BJ795" s="3" t="n">
        <x:v>796</x:v>
      </x:c>
      <x:c r="BK795" s="3" t="n">
        <x:f>'中古車掲載'!AM796</x:f>
        <x:v>399000</x:v>
      </x:c>
      <x:c r="BL795" s="3" t="str">
        <x:f>IF(ISNUMBER('中古車掲載'!AN796),'中古車掲載'!AN796,"")</x:f>
      </x:c>
      <x:c r="BM795" s="3"/>
      <x:c r="BN795" s="3"/>
      <x:c r="BO795" s="3"/>
      <x:c r="BP795" s="3"/>
      <x:c r="BQ795" s="3"/>
      <x:c r="BR795" s="3"/>
    </x:row>
    <x:row r="796" ht="22" customHeight="1">
      <x:c r="A796" s="3"/>
      <x:c r="B796" s="3"/>
      <x:c r="C796" s="3"/>
      <x:c r="D796" s="3"/>
      <x:c r="E796" s="3"/>
      <x:c r="F796" s="3"/>
      <x:c r="G796" s="3"/>
      <x:c r="H796" s="3"/>
      <x:c r="I796" s="3"/>
      <x:c r="J796" s="3"/>
      <x:c r="K796" s="3"/>
      <x:c r="L796" s="3"/>
      <x:c r="M796" s="3"/>
      <x:c r="N796" s="3"/>
      <x:c r="O796" s="3"/>
      <x:c r="P796" s="3"/>
      <x:c r="Q796" s="3"/>
      <x:c r="R796" s="3"/>
      <x:c r="S796" s="3"/>
      <x:c r="T796" s="3"/>
      <x:c r="U796" s="3"/>
      <x:c r="V796" s="3"/>
      <x:c r="W796" s="3"/>
      <x:c r="X796" s="3"/>
      <x:c r="Y796" s="3"/>
      <x:c r="Z796" s="3"/>
      <x:c r="AA796" s="3"/>
      <x:c r="AB796" s="3"/>
      <x:c r="AC796" s="3"/>
      <x:c r="AD796" s="3"/>
      <x:c r="AE796" s="3"/>
      <x:c r="AF796" s="3"/>
      <x:c r="AG796" s="3"/>
      <x:c r="AH796" s="3"/>
      <x:c r="AI796" s="3"/>
      <x:c r="AJ796" s="3"/>
      <x:c r="AK796" s="3"/>
      <x:c r="AL796" s="3"/>
      <x:c r="AM796" s="3"/>
      <x:c r="AN796" s="3"/>
      <x:c r="AO796" s="3"/>
      <x:c r="AP796" s="3"/>
      <x:c r="AQ796" s="3"/>
      <x:c r="AR796" s="3"/>
      <x:c r="AS796" s="3"/>
      <x:c r="AT796" s="3"/>
      <x:c r="AU796" s="3"/>
      <x:c r="AV796" s="3"/>
      <x:c r="AW796" s="3"/>
      <x:c r="AX796" s="3"/>
      <x:c r="AY796" s="3"/>
      <x:c r="AZ796" s="3" t="str">
        <x:f>IF(AND('中古車掲載'!C797="One2car",'中古車掲載'!F797="ATTO 3",'中古車掲載'!L797="EXTENDED RANGE",'中古車掲載'!J797=2023,ISNUMBER('中古車掲載'!N797),'中古車掲載'!N797&gt;=20000,'中古車掲載'!O797&lt;=100000,'中古車掲載'!AL797=1),'中古車掲載'!U797,"")</x:f>
      </x:c>
      <x:c r="BA796" s="3" t="str">
        <x:f>IF(AND('中古車掲載'!C797="One2car",'中古車掲載'!F797="Corolla Cross",'中古車掲載'!L797="HEV PREMIUM SAFETY",'中古車掲載'!J797=2023,ISNUMBER('中古車掲載'!N797),'中古車掲載'!N797&gt;=20000,'中古車掲載'!O797&lt;=100000,'中古車掲載'!AL797=1,'中古車掲載'!Z797="https://www.one2car.com/en/cars-for-sale/toyota/corolla-cross/year-2023"),'中古車掲載'!U797,"")</x:f>
      </x:c>
      <x:c r="BB796" s="3" t="str">
        <x:f>IF(AND('中古車掲載'!C797="One2car",'中古車掲載'!F797="ATTO 3",'中古車掲載'!L797="EXTENDED RANGE",'中古車掲載'!J797=2023,ISNUMBER('中古車掲載'!N797),'中古車掲載'!N797&gt;=50000,'中古車掲載'!O797&lt;=100000,'中古車掲載'!AL797=1),'中古車掲載'!U797,"")</x:f>
      </x:c>
      <x:c r="BC796" s="3" t="str">
        <x:f>IF(AND('中古車掲載'!C797="One2car",'中古車掲載'!F797="Corolla Cross",'中古車掲載'!L797="HEV PREMIUM SAFETY",'中古車掲載'!J797=2023,ISNUMBER('中古車掲載'!N797),'中古車掲載'!N797&gt;=50000,'中古車掲載'!O797&lt;=100000,'中古車掲載'!AL797=1,'中古車掲載'!Z797="https://www.one2car.com/en/cars-for-sale/toyota/corolla-cross/year-2023"),'中古車掲載'!U797,"")</x:f>
      </x:c>
      <x:c r="BD796" s="3" t="str">
        <x:f>IF(AND('中古車掲載'!C797="One2car",'中古車掲載'!F797="ATTO 3",'中古車掲載'!L797="EXTENDED RANGE",'中古車掲載'!J797=2023,ISNUMBER('中古車掲載'!N797),'中古車掲載'!N797&gt;=20000,'中古車掲載'!O797&lt;=50000,'中古車掲載'!AL797=1),'中古車掲載'!U797,"")</x:f>
      </x:c>
      <x:c r="BE796" s="3" t="str">
        <x:f>IF(AND('中古車掲載'!C797="One2car",'中古車掲載'!F797="Corolla Cross",'中古車掲載'!L797="HEV PREMIUM SAFETY",'中古車掲載'!J797=2023,ISNUMBER('中古車掲載'!N797),'中古車掲載'!N797&gt;=20000,'中古車掲載'!O797&lt;=50000,'中古車掲載'!AL797=1,'中古車掲載'!Z797="https://www.one2car.com/en/cars-for-sale/toyota/corolla-cross/year-2023"),'中古車掲載'!U797,"")</x:f>
      </x:c>
      <x:c r="BF796" s="3" t="str">
        <x:f>IF(AND('中古車掲載'!C797="One2car",'中古車掲載'!F797="Corolla Cross",'中古車掲載'!L797="HEV PREMIUM",'中古車掲載'!J797=2023,ISNUMBER('中古車掲載'!N797),'中古車掲載'!N797&gt;=20000,'中古車掲載'!O797&lt;=100000,'中古車掲載'!AL797=1,'中古車掲載'!Z797="https://www.one2car.com/en/cars-for-sale/toyota/corolla-cross/year-2023"),'中古車掲載'!U797,"")</x:f>
      </x:c>
      <x:c r="BG796" s="3" t="str">
        <x:f>IF(AND('中古車掲載'!C797="One2car",'中古車掲載'!F797="Corolla Cross",'中古車掲載'!L797="HEV GR SPORT",'中古車掲載'!J797=2023,ISNUMBER('中古車掲載'!N797),'中古車掲載'!N797&gt;=20000,'中古車掲載'!O797&lt;=100000,'中古車掲載'!AL797=1,'中古車掲載'!Z797="https://www.one2car.com/en/cars-for-sale/toyota/corolla-cross/year-2023"),'中古車掲載'!U797,"")</x:f>
      </x:c>
      <x:c r="BH796" s="3" t="str">
        <x:f>IF(AND('中古車掲載'!C797="One2car",'中古車掲載'!F797="DOLPHIN",'中古車掲載'!L797="STANDARD RANGE",'中古車掲載'!J797=2023,ISNUMBER('中古車掲載'!N797),'中古車掲載'!N797&gt;=20000,'中古車掲載'!O797&lt;=100000,'中古車掲載'!AL797=1),'中古車掲載'!U797,"")</x:f>
      </x:c>
      <x:c r="BI796" s="3" t="str">
        <x:v>Taladrod|Hilux Revo|ICE|Unknown</x:v>
      </x:c>
      <x:c r="BJ796" s="3" t="n">
        <x:v>797</x:v>
      </x:c>
      <x:c r="BK796" s="3" t="n">
        <x:f>'中古車掲載'!AM797</x:f>
        <x:v>349000</x:v>
      </x:c>
      <x:c r="BL796" s="3" t="str">
        <x:f>IF(ISNUMBER('中古車掲載'!AN797),'中古車掲載'!AN797,"")</x:f>
      </x:c>
      <x:c r="BM796" s="3"/>
      <x:c r="BN796" s="3"/>
      <x:c r="BO796" s="3"/>
      <x:c r="BP796" s="3"/>
      <x:c r="BQ796" s="3"/>
      <x:c r="BR796" s="3"/>
    </x:row>
    <x:row r="797" ht="22" customHeight="1">
      <x:c r="A797" s="3"/>
      <x:c r="B797" s="3"/>
      <x:c r="C797" s="3"/>
      <x:c r="D797" s="3"/>
      <x:c r="E797" s="3"/>
      <x:c r="F797" s="3"/>
      <x:c r="G797" s="3"/>
      <x:c r="H797" s="3"/>
      <x:c r="I797" s="3"/>
      <x:c r="J797" s="3"/>
      <x:c r="K797" s="3"/>
      <x:c r="L797" s="3"/>
      <x:c r="M797" s="3"/>
      <x:c r="N797" s="3"/>
      <x:c r="O797" s="3"/>
      <x:c r="P797" s="3"/>
      <x:c r="Q797" s="3"/>
      <x:c r="R797" s="3"/>
      <x:c r="S797" s="3"/>
      <x:c r="T797" s="3"/>
      <x:c r="U797" s="3"/>
      <x:c r="V797" s="3"/>
      <x:c r="W797" s="3"/>
      <x:c r="X797" s="3"/>
      <x:c r="Y797" s="3"/>
      <x:c r="Z797" s="3"/>
      <x:c r="AA797" s="3"/>
      <x:c r="AB797" s="3"/>
      <x:c r="AC797" s="3"/>
      <x:c r="AD797" s="3"/>
      <x:c r="AE797" s="3"/>
      <x:c r="AF797" s="3"/>
      <x:c r="AG797" s="3"/>
      <x:c r="AH797" s="3"/>
      <x:c r="AI797" s="3"/>
      <x:c r="AJ797" s="3"/>
      <x:c r="AK797" s="3"/>
      <x:c r="AL797" s="3"/>
      <x:c r="AM797" s="3"/>
      <x:c r="AN797" s="3"/>
      <x:c r="AO797" s="3"/>
      <x:c r="AP797" s="3"/>
      <x:c r="AQ797" s="3"/>
      <x:c r="AR797" s="3"/>
      <x:c r="AS797" s="3"/>
      <x:c r="AT797" s="3"/>
      <x:c r="AU797" s="3"/>
      <x:c r="AV797" s="3"/>
      <x:c r="AW797" s="3"/>
      <x:c r="AX797" s="3"/>
      <x:c r="AY797" s="3"/>
      <x:c r="AZ797" s="3" t="str">
        <x:f>IF(AND('中古車掲載'!C798="One2car",'中古車掲載'!F798="ATTO 3",'中古車掲載'!L798="EXTENDED RANGE",'中古車掲載'!J798=2023,ISNUMBER('中古車掲載'!N798),'中古車掲載'!N798&gt;=20000,'中古車掲載'!O798&lt;=100000,'中古車掲載'!AL798=1),'中古車掲載'!U798,"")</x:f>
      </x:c>
      <x:c r="BA797" s="3" t="str">
        <x:f>IF(AND('中古車掲載'!C798="One2car",'中古車掲載'!F798="Corolla Cross",'中古車掲載'!L798="HEV PREMIUM SAFETY",'中古車掲載'!J798=2023,ISNUMBER('中古車掲載'!N798),'中古車掲載'!N798&gt;=20000,'中古車掲載'!O798&lt;=100000,'中古車掲載'!AL798=1,'中古車掲載'!Z798="https://www.one2car.com/en/cars-for-sale/toyota/corolla-cross/year-2023"),'中古車掲載'!U798,"")</x:f>
      </x:c>
      <x:c r="BB797" s="3" t="str">
        <x:f>IF(AND('中古車掲載'!C798="One2car",'中古車掲載'!F798="ATTO 3",'中古車掲載'!L798="EXTENDED RANGE",'中古車掲載'!J798=2023,ISNUMBER('中古車掲載'!N798),'中古車掲載'!N798&gt;=50000,'中古車掲載'!O798&lt;=100000,'中古車掲載'!AL798=1),'中古車掲載'!U798,"")</x:f>
      </x:c>
      <x:c r="BC797" s="3" t="str">
        <x:f>IF(AND('中古車掲載'!C798="One2car",'中古車掲載'!F798="Corolla Cross",'中古車掲載'!L798="HEV PREMIUM SAFETY",'中古車掲載'!J798=2023,ISNUMBER('中古車掲載'!N798),'中古車掲載'!N798&gt;=50000,'中古車掲載'!O798&lt;=100000,'中古車掲載'!AL798=1,'中古車掲載'!Z798="https://www.one2car.com/en/cars-for-sale/toyota/corolla-cross/year-2023"),'中古車掲載'!U798,"")</x:f>
      </x:c>
      <x:c r="BD797" s="3" t="str">
        <x:f>IF(AND('中古車掲載'!C798="One2car",'中古車掲載'!F798="ATTO 3",'中古車掲載'!L798="EXTENDED RANGE",'中古車掲載'!J798=2023,ISNUMBER('中古車掲載'!N798),'中古車掲載'!N798&gt;=20000,'中古車掲載'!O798&lt;=50000,'中古車掲載'!AL798=1),'中古車掲載'!U798,"")</x:f>
      </x:c>
      <x:c r="BE797" s="3" t="str">
        <x:f>IF(AND('中古車掲載'!C798="One2car",'中古車掲載'!F798="Corolla Cross",'中古車掲載'!L798="HEV PREMIUM SAFETY",'中古車掲載'!J798=2023,ISNUMBER('中古車掲載'!N798),'中古車掲載'!N798&gt;=20000,'中古車掲載'!O798&lt;=50000,'中古車掲載'!AL798=1,'中古車掲載'!Z798="https://www.one2car.com/en/cars-for-sale/toyota/corolla-cross/year-2023"),'中古車掲載'!U798,"")</x:f>
      </x:c>
      <x:c r="BF797" s="3" t="str">
        <x:f>IF(AND('中古車掲載'!C798="One2car",'中古車掲載'!F798="Corolla Cross",'中古車掲載'!L798="HEV PREMIUM",'中古車掲載'!J798=2023,ISNUMBER('中古車掲載'!N798),'中古車掲載'!N798&gt;=20000,'中古車掲載'!O798&lt;=100000,'中古車掲載'!AL798=1,'中古車掲載'!Z798="https://www.one2car.com/en/cars-for-sale/toyota/corolla-cross/year-2023"),'中古車掲載'!U798,"")</x:f>
      </x:c>
      <x:c r="BG797" s="3" t="str">
        <x:f>IF(AND('中古車掲載'!C798="One2car",'中古車掲載'!F798="Corolla Cross",'中古車掲載'!L798="HEV GR SPORT",'中古車掲載'!J798=2023,ISNUMBER('中古車掲載'!N798),'中古車掲載'!N798&gt;=20000,'中古車掲載'!O798&lt;=100000,'中古車掲載'!AL798=1,'中古車掲載'!Z798="https://www.one2car.com/en/cars-for-sale/toyota/corolla-cross/year-2023"),'中古車掲載'!U798,"")</x:f>
      </x:c>
      <x:c r="BH797" s="3" t="str">
        <x:f>IF(AND('中古車掲載'!C798="One2car",'中古車掲載'!F798="DOLPHIN",'中古車掲載'!L798="STANDARD RANGE",'中古車掲載'!J798=2023,ISNUMBER('中古車掲載'!N798),'中古車掲載'!N798&gt;=20000,'中古車掲載'!O798&lt;=100000,'中古車掲載'!AL798=1),'中古車掲載'!U798,"")</x:f>
      </x:c>
      <x:c r="BI797" s="3" t="str">
        <x:v>Taladrod|Hilux Revo|ICE|Unknown</x:v>
      </x:c>
      <x:c r="BJ797" s="3" t="n">
        <x:v>798</x:v>
      </x:c>
      <x:c r="BK797" s="3" t="n">
        <x:f>'中古車掲載'!AM798</x:f>
        <x:v>469000</x:v>
      </x:c>
      <x:c r="BL797" s="3" t="str">
        <x:f>IF(ISNUMBER('中古車掲載'!AN798),'中古車掲載'!AN798,"")</x:f>
      </x:c>
      <x:c r="BM797" s="3"/>
      <x:c r="BN797" s="3"/>
      <x:c r="BO797" s="3"/>
      <x:c r="BP797" s="3"/>
      <x:c r="BQ797" s="3"/>
      <x:c r="BR797" s="3"/>
    </x:row>
    <x:row r="798" ht="22" customHeight="1">
      <x:c r="A798" s="3"/>
      <x:c r="B798" s="3"/>
      <x:c r="C798" s="3"/>
      <x:c r="D798" s="3"/>
      <x:c r="E798" s="3"/>
      <x:c r="F798" s="3"/>
      <x:c r="G798" s="3"/>
      <x:c r="H798" s="3"/>
      <x:c r="I798" s="3"/>
      <x:c r="J798" s="3"/>
      <x:c r="K798" s="3"/>
      <x:c r="L798" s="3"/>
      <x:c r="M798" s="3"/>
      <x:c r="N798" s="3"/>
      <x:c r="O798" s="3"/>
      <x:c r="P798" s="3"/>
      <x:c r="Q798" s="3"/>
      <x:c r="R798" s="3"/>
      <x:c r="S798" s="3"/>
      <x:c r="T798" s="3"/>
      <x:c r="U798" s="3"/>
      <x:c r="V798" s="3"/>
      <x:c r="W798" s="3"/>
      <x:c r="X798" s="3"/>
      <x:c r="Y798" s="3"/>
      <x:c r="Z798" s="3"/>
      <x:c r="AA798" s="3"/>
      <x:c r="AB798" s="3"/>
      <x:c r="AC798" s="3"/>
      <x:c r="AD798" s="3"/>
      <x:c r="AE798" s="3"/>
      <x:c r="AF798" s="3"/>
      <x:c r="AG798" s="3"/>
      <x:c r="AH798" s="3"/>
      <x:c r="AI798" s="3"/>
      <x:c r="AJ798" s="3"/>
      <x:c r="AK798" s="3"/>
      <x:c r="AL798" s="3"/>
      <x:c r="AM798" s="3"/>
      <x:c r="AN798" s="3"/>
      <x:c r="AO798" s="3"/>
      <x:c r="AP798" s="3"/>
      <x:c r="AQ798" s="3"/>
      <x:c r="AR798" s="3"/>
      <x:c r="AS798" s="3"/>
      <x:c r="AT798" s="3"/>
      <x:c r="AU798" s="3"/>
      <x:c r="AV798" s="3"/>
      <x:c r="AW798" s="3"/>
      <x:c r="AX798" s="3"/>
      <x:c r="AY798" s="3"/>
      <x:c r="AZ798" s="3" t="str">
        <x:f>IF(AND('中古車掲載'!C799="One2car",'中古車掲載'!F799="ATTO 3",'中古車掲載'!L799="EXTENDED RANGE",'中古車掲載'!J799=2023,ISNUMBER('中古車掲載'!N799),'中古車掲載'!N799&gt;=20000,'中古車掲載'!O799&lt;=100000,'中古車掲載'!AL799=1),'中古車掲載'!U799,"")</x:f>
      </x:c>
      <x:c r="BA798" s="3" t="str">
        <x:f>IF(AND('中古車掲載'!C799="One2car",'中古車掲載'!F799="Corolla Cross",'中古車掲載'!L799="HEV PREMIUM SAFETY",'中古車掲載'!J799=2023,ISNUMBER('中古車掲載'!N799),'中古車掲載'!N799&gt;=20000,'中古車掲載'!O799&lt;=100000,'中古車掲載'!AL799=1,'中古車掲載'!Z799="https://www.one2car.com/en/cars-for-sale/toyota/corolla-cross/year-2023"),'中古車掲載'!U799,"")</x:f>
      </x:c>
      <x:c r="BB798" s="3" t="str">
        <x:f>IF(AND('中古車掲載'!C799="One2car",'中古車掲載'!F799="ATTO 3",'中古車掲載'!L799="EXTENDED RANGE",'中古車掲載'!J799=2023,ISNUMBER('中古車掲載'!N799),'中古車掲載'!N799&gt;=50000,'中古車掲載'!O799&lt;=100000,'中古車掲載'!AL799=1),'中古車掲載'!U799,"")</x:f>
      </x:c>
      <x:c r="BC798" s="3" t="str">
        <x:f>IF(AND('中古車掲載'!C799="One2car",'中古車掲載'!F799="Corolla Cross",'中古車掲載'!L799="HEV PREMIUM SAFETY",'中古車掲載'!J799=2023,ISNUMBER('中古車掲載'!N799),'中古車掲載'!N799&gt;=50000,'中古車掲載'!O799&lt;=100000,'中古車掲載'!AL799=1,'中古車掲載'!Z799="https://www.one2car.com/en/cars-for-sale/toyota/corolla-cross/year-2023"),'中古車掲載'!U799,"")</x:f>
      </x:c>
      <x:c r="BD798" s="3" t="str">
        <x:f>IF(AND('中古車掲載'!C799="One2car",'中古車掲載'!F799="ATTO 3",'中古車掲載'!L799="EXTENDED RANGE",'中古車掲載'!J799=2023,ISNUMBER('中古車掲載'!N799),'中古車掲載'!N799&gt;=20000,'中古車掲載'!O799&lt;=50000,'中古車掲載'!AL799=1),'中古車掲載'!U799,"")</x:f>
      </x:c>
      <x:c r="BE798" s="3" t="str">
        <x:f>IF(AND('中古車掲載'!C799="One2car",'中古車掲載'!F799="Corolla Cross",'中古車掲載'!L799="HEV PREMIUM SAFETY",'中古車掲載'!J799=2023,ISNUMBER('中古車掲載'!N799),'中古車掲載'!N799&gt;=20000,'中古車掲載'!O799&lt;=50000,'中古車掲載'!AL799=1,'中古車掲載'!Z799="https://www.one2car.com/en/cars-for-sale/toyota/corolla-cross/year-2023"),'中古車掲載'!U799,"")</x:f>
      </x:c>
      <x:c r="BF798" s="3" t="str">
        <x:f>IF(AND('中古車掲載'!C799="One2car",'中古車掲載'!F799="Corolla Cross",'中古車掲載'!L799="HEV PREMIUM",'中古車掲載'!J799=2023,ISNUMBER('中古車掲載'!N799),'中古車掲載'!N799&gt;=20000,'中古車掲載'!O799&lt;=100000,'中古車掲載'!AL799=1,'中古車掲載'!Z799="https://www.one2car.com/en/cars-for-sale/toyota/corolla-cross/year-2023"),'中古車掲載'!U799,"")</x:f>
      </x:c>
      <x:c r="BG798" s="3" t="str">
        <x:f>IF(AND('中古車掲載'!C799="One2car",'中古車掲載'!F799="Corolla Cross",'中古車掲載'!L799="HEV GR SPORT",'中古車掲載'!J799=2023,ISNUMBER('中古車掲載'!N799),'中古車掲載'!N799&gt;=20000,'中古車掲載'!O799&lt;=100000,'中古車掲載'!AL799=1,'中古車掲載'!Z799="https://www.one2car.com/en/cars-for-sale/toyota/corolla-cross/year-2023"),'中古車掲載'!U799,"")</x:f>
      </x:c>
      <x:c r="BH798" s="3" t="str">
        <x:f>IF(AND('中古車掲載'!C799="One2car",'中古車掲載'!F799="DOLPHIN",'中古車掲載'!L799="STANDARD RANGE",'中古車掲載'!J799=2023,ISNUMBER('中古車掲載'!N799),'中古車掲載'!N799&gt;=20000,'中古車掲載'!O799&lt;=100000,'中古車掲載'!AL799=1),'中古車掲載'!U799,"")</x:f>
      </x:c>
      <x:c r="BI798" s="3" t="str">
        <x:v>Taladrod|Hilux Revo|ICE|Unknown</x:v>
      </x:c>
      <x:c r="BJ798" s="3" t="n">
        <x:v>799</x:v>
      </x:c>
      <x:c r="BK798" s="3" t="n">
        <x:f>'中古車掲載'!AM799</x:f>
        <x:v>458000</x:v>
      </x:c>
      <x:c r="BL798" s="3" t="str">
        <x:f>IF(ISNUMBER('中古車掲載'!AN799),'中古車掲載'!AN799,"")</x:f>
      </x:c>
      <x:c r="BM798" s="3"/>
      <x:c r="BN798" s="3"/>
      <x:c r="BO798" s="3"/>
      <x:c r="BP798" s="3"/>
      <x:c r="BQ798" s="3"/>
      <x:c r="BR798" s="3"/>
    </x:row>
    <x:row r="799" ht="22" customHeight="1">
      <x:c r="A799" s="3"/>
      <x:c r="B799" s="3"/>
      <x:c r="C799" s="3"/>
      <x:c r="D799" s="3"/>
      <x:c r="E799" s="3"/>
      <x:c r="F799" s="3"/>
      <x:c r="G799" s="3"/>
      <x:c r="H799" s="3"/>
      <x:c r="I799" s="3"/>
      <x:c r="J799" s="3"/>
      <x:c r="K799" s="3"/>
      <x:c r="L799" s="3"/>
      <x:c r="M799" s="3"/>
      <x:c r="N799" s="3"/>
      <x:c r="O799" s="3"/>
      <x:c r="P799" s="3"/>
      <x:c r="Q799" s="3"/>
      <x:c r="R799" s="3"/>
      <x:c r="S799" s="3"/>
      <x:c r="T799" s="3"/>
      <x:c r="U799" s="3"/>
      <x:c r="V799" s="3"/>
      <x:c r="W799" s="3"/>
      <x:c r="X799" s="3"/>
      <x:c r="Y799" s="3"/>
      <x:c r="Z799" s="3"/>
      <x:c r="AA799" s="3"/>
      <x:c r="AB799" s="3"/>
      <x:c r="AC799" s="3"/>
      <x:c r="AD799" s="3"/>
      <x:c r="AE799" s="3"/>
      <x:c r="AF799" s="3"/>
      <x:c r="AG799" s="3"/>
      <x:c r="AH799" s="3"/>
      <x:c r="AI799" s="3"/>
      <x:c r="AJ799" s="3"/>
      <x:c r="AK799" s="3"/>
      <x:c r="AL799" s="3"/>
      <x:c r="AM799" s="3"/>
      <x:c r="AN799" s="3"/>
      <x:c r="AO799" s="3"/>
      <x:c r="AP799" s="3"/>
      <x:c r="AQ799" s="3"/>
      <x:c r="AR799" s="3"/>
      <x:c r="AS799" s="3"/>
      <x:c r="AT799" s="3"/>
      <x:c r="AU799" s="3"/>
      <x:c r="AV799" s="3"/>
      <x:c r="AW799" s="3"/>
      <x:c r="AX799" s="3"/>
      <x:c r="AY799" s="3"/>
      <x:c r="AZ799" s="3" t="str">
        <x:f>IF(AND('中古車掲載'!C800="One2car",'中古車掲載'!F800="ATTO 3",'中古車掲載'!L800="EXTENDED RANGE",'中古車掲載'!J800=2023,ISNUMBER('中古車掲載'!N800),'中古車掲載'!N800&gt;=20000,'中古車掲載'!O800&lt;=100000,'中古車掲載'!AL800=1),'中古車掲載'!U800,"")</x:f>
      </x:c>
      <x:c r="BA799" s="3" t="str">
        <x:f>IF(AND('中古車掲載'!C800="One2car",'中古車掲載'!F800="Corolla Cross",'中古車掲載'!L800="HEV PREMIUM SAFETY",'中古車掲載'!J800=2023,ISNUMBER('中古車掲載'!N800),'中古車掲載'!N800&gt;=20000,'中古車掲載'!O800&lt;=100000,'中古車掲載'!AL800=1,'中古車掲載'!Z800="https://www.one2car.com/en/cars-for-sale/toyota/corolla-cross/year-2023"),'中古車掲載'!U800,"")</x:f>
      </x:c>
      <x:c r="BB799" s="3" t="str">
        <x:f>IF(AND('中古車掲載'!C800="One2car",'中古車掲載'!F800="ATTO 3",'中古車掲載'!L800="EXTENDED RANGE",'中古車掲載'!J800=2023,ISNUMBER('中古車掲載'!N800),'中古車掲載'!N800&gt;=50000,'中古車掲載'!O800&lt;=100000,'中古車掲載'!AL800=1),'中古車掲載'!U800,"")</x:f>
      </x:c>
      <x:c r="BC799" s="3" t="str">
        <x:f>IF(AND('中古車掲載'!C800="One2car",'中古車掲載'!F800="Corolla Cross",'中古車掲載'!L800="HEV PREMIUM SAFETY",'中古車掲載'!J800=2023,ISNUMBER('中古車掲載'!N800),'中古車掲載'!N800&gt;=50000,'中古車掲載'!O800&lt;=100000,'中古車掲載'!AL800=1,'中古車掲載'!Z800="https://www.one2car.com/en/cars-for-sale/toyota/corolla-cross/year-2023"),'中古車掲載'!U800,"")</x:f>
      </x:c>
      <x:c r="BD799" s="3" t="str">
        <x:f>IF(AND('中古車掲載'!C800="One2car",'中古車掲載'!F800="ATTO 3",'中古車掲載'!L800="EXTENDED RANGE",'中古車掲載'!J800=2023,ISNUMBER('中古車掲載'!N800),'中古車掲載'!N800&gt;=20000,'中古車掲載'!O800&lt;=50000,'中古車掲載'!AL800=1),'中古車掲載'!U800,"")</x:f>
      </x:c>
      <x:c r="BE799" s="3" t="str">
        <x:f>IF(AND('中古車掲載'!C800="One2car",'中古車掲載'!F800="Corolla Cross",'中古車掲載'!L800="HEV PREMIUM SAFETY",'中古車掲載'!J800=2023,ISNUMBER('中古車掲載'!N800),'中古車掲載'!N800&gt;=20000,'中古車掲載'!O800&lt;=50000,'中古車掲載'!AL800=1,'中古車掲載'!Z800="https://www.one2car.com/en/cars-for-sale/toyota/corolla-cross/year-2023"),'中古車掲載'!U800,"")</x:f>
      </x:c>
      <x:c r="BF799" s="3" t="str">
        <x:f>IF(AND('中古車掲載'!C800="One2car",'中古車掲載'!F800="Corolla Cross",'中古車掲載'!L800="HEV PREMIUM",'中古車掲載'!J800=2023,ISNUMBER('中古車掲載'!N800),'中古車掲載'!N800&gt;=20000,'中古車掲載'!O800&lt;=100000,'中古車掲載'!AL800=1,'中古車掲載'!Z800="https://www.one2car.com/en/cars-for-sale/toyota/corolla-cross/year-2023"),'中古車掲載'!U800,"")</x:f>
      </x:c>
      <x:c r="BG799" s="3" t="str">
        <x:f>IF(AND('中古車掲載'!C800="One2car",'中古車掲載'!F800="Corolla Cross",'中古車掲載'!L800="HEV GR SPORT",'中古車掲載'!J800=2023,ISNUMBER('中古車掲載'!N800),'中古車掲載'!N800&gt;=20000,'中古車掲載'!O800&lt;=100000,'中古車掲載'!AL800=1,'中古車掲載'!Z800="https://www.one2car.com/en/cars-for-sale/toyota/corolla-cross/year-2023"),'中古車掲載'!U800,"")</x:f>
      </x:c>
      <x:c r="BH799" s="3" t="str">
        <x:f>IF(AND('中古車掲載'!C800="One2car",'中古車掲載'!F800="DOLPHIN",'中古車掲載'!L800="STANDARD RANGE",'中古車掲載'!J800=2023,ISNUMBER('中古車掲載'!N800),'中古車掲載'!N800&gt;=20000,'中古車掲載'!O800&lt;=100000,'中古車掲載'!AL800=1),'中古車掲載'!U800,"")</x:f>
      </x:c>
      <x:c r="BI799" s="3" t="str">
        <x:v>Taladrod|Hilux Revo|ICE|Unknown</x:v>
      </x:c>
      <x:c r="BJ799" s="3" t="n">
        <x:v>800</x:v>
      </x:c>
      <x:c r="BK799" s="3" t="n">
        <x:f>'中古車掲載'!AM800</x:f>
        <x:v>359000</x:v>
      </x:c>
      <x:c r="BL799" s="3" t="str">
        <x:f>IF(ISNUMBER('中古車掲載'!AN800),'中古車掲載'!AN800,"")</x:f>
      </x:c>
      <x:c r="BM799" s="3"/>
      <x:c r="BN799" s="3"/>
      <x:c r="BO799" s="3"/>
      <x:c r="BP799" s="3"/>
      <x:c r="BQ799" s="3"/>
      <x:c r="BR799" s="3"/>
    </x:row>
    <x:row r="800" ht="22" customHeight="1">
      <x:c r="A800" s="3"/>
      <x:c r="B800" s="3"/>
      <x:c r="C800" s="3"/>
      <x:c r="D800" s="3"/>
      <x:c r="E800" s="3"/>
      <x:c r="F800" s="3"/>
      <x:c r="G800" s="3"/>
      <x:c r="H800" s="3"/>
      <x:c r="I800" s="3"/>
      <x:c r="J800" s="3"/>
      <x:c r="K800" s="3"/>
      <x:c r="L800" s="3"/>
      <x:c r="M800" s="3"/>
      <x:c r="N800" s="3"/>
      <x:c r="O800" s="3"/>
      <x:c r="P800" s="3"/>
      <x:c r="Q800" s="3"/>
      <x:c r="R800" s="3"/>
      <x:c r="S800" s="3"/>
      <x:c r="T800" s="3"/>
      <x:c r="U800" s="3"/>
      <x:c r="V800" s="3"/>
      <x:c r="W800" s="3"/>
      <x:c r="X800" s="3"/>
      <x:c r="Y800" s="3"/>
      <x:c r="Z800" s="3"/>
      <x:c r="AA800" s="3"/>
      <x:c r="AB800" s="3"/>
      <x:c r="AC800" s="3"/>
      <x:c r="AD800" s="3"/>
      <x:c r="AE800" s="3"/>
      <x:c r="AF800" s="3"/>
      <x:c r="AG800" s="3"/>
      <x:c r="AH800" s="3"/>
      <x:c r="AI800" s="3"/>
      <x:c r="AJ800" s="3"/>
      <x:c r="AK800" s="3"/>
      <x:c r="AL800" s="3"/>
      <x:c r="AM800" s="3"/>
      <x:c r="AN800" s="3"/>
      <x:c r="AO800" s="3"/>
      <x:c r="AP800" s="3"/>
      <x:c r="AQ800" s="3"/>
      <x:c r="AR800" s="3"/>
      <x:c r="AS800" s="3"/>
      <x:c r="AT800" s="3"/>
      <x:c r="AU800" s="3"/>
      <x:c r="AV800" s="3"/>
      <x:c r="AW800" s="3"/>
      <x:c r="AX800" s="3"/>
      <x:c r="AY800" s="3"/>
      <x:c r="AZ800" s="3" t="str">
        <x:f>IF(AND('中古車掲載'!C801="One2car",'中古車掲載'!F801="ATTO 3",'中古車掲載'!L801="EXTENDED RANGE",'中古車掲載'!J801=2023,ISNUMBER('中古車掲載'!N801),'中古車掲載'!N801&gt;=20000,'中古車掲載'!O801&lt;=100000,'中古車掲載'!AL801=1),'中古車掲載'!U801,"")</x:f>
      </x:c>
      <x:c r="BA800" s="3" t="str">
        <x:f>IF(AND('中古車掲載'!C801="One2car",'中古車掲載'!F801="Corolla Cross",'中古車掲載'!L801="HEV PREMIUM SAFETY",'中古車掲載'!J801=2023,ISNUMBER('中古車掲載'!N801),'中古車掲載'!N801&gt;=20000,'中古車掲載'!O801&lt;=100000,'中古車掲載'!AL801=1,'中古車掲載'!Z801="https://www.one2car.com/en/cars-for-sale/toyota/corolla-cross/year-2023"),'中古車掲載'!U801,"")</x:f>
      </x:c>
      <x:c r="BB800" s="3" t="str">
        <x:f>IF(AND('中古車掲載'!C801="One2car",'中古車掲載'!F801="ATTO 3",'中古車掲載'!L801="EXTENDED RANGE",'中古車掲載'!J801=2023,ISNUMBER('中古車掲載'!N801),'中古車掲載'!N801&gt;=50000,'中古車掲載'!O801&lt;=100000,'中古車掲載'!AL801=1),'中古車掲載'!U801,"")</x:f>
      </x:c>
      <x:c r="BC800" s="3" t="str">
        <x:f>IF(AND('中古車掲載'!C801="One2car",'中古車掲載'!F801="Corolla Cross",'中古車掲載'!L801="HEV PREMIUM SAFETY",'中古車掲載'!J801=2023,ISNUMBER('中古車掲載'!N801),'中古車掲載'!N801&gt;=50000,'中古車掲載'!O801&lt;=100000,'中古車掲載'!AL801=1,'中古車掲載'!Z801="https://www.one2car.com/en/cars-for-sale/toyota/corolla-cross/year-2023"),'中古車掲載'!U801,"")</x:f>
      </x:c>
      <x:c r="BD800" s="3" t="str">
        <x:f>IF(AND('中古車掲載'!C801="One2car",'中古車掲載'!F801="ATTO 3",'中古車掲載'!L801="EXTENDED RANGE",'中古車掲載'!J801=2023,ISNUMBER('中古車掲載'!N801),'中古車掲載'!N801&gt;=20000,'中古車掲載'!O801&lt;=50000,'中古車掲載'!AL801=1),'中古車掲載'!U801,"")</x:f>
      </x:c>
      <x:c r="BE800" s="3" t="str">
        <x:f>IF(AND('中古車掲載'!C801="One2car",'中古車掲載'!F801="Corolla Cross",'中古車掲載'!L801="HEV PREMIUM SAFETY",'中古車掲載'!J801=2023,ISNUMBER('中古車掲載'!N801),'中古車掲載'!N801&gt;=20000,'中古車掲載'!O801&lt;=50000,'中古車掲載'!AL801=1,'中古車掲載'!Z801="https://www.one2car.com/en/cars-for-sale/toyota/corolla-cross/year-2023"),'中古車掲載'!U801,"")</x:f>
      </x:c>
      <x:c r="BF800" s="3" t="str">
        <x:f>IF(AND('中古車掲載'!C801="One2car",'中古車掲載'!F801="Corolla Cross",'中古車掲載'!L801="HEV PREMIUM",'中古車掲載'!J801=2023,ISNUMBER('中古車掲載'!N801),'中古車掲載'!N801&gt;=20000,'中古車掲載'!O801&lt;=100000,'中古車掲載'!AL801=1,'中古車掲載'!Z801="https://www.one2car.com/en/cars-for-sale/toyota/corolla-cross/year-2023"),'中古車掲載'!U801,"")</x:f>
      </x:c>
      <x:c r="BG800" s="3" t="str">
        <x:f>IF(AND('中古車掲載'!C801="One2car",'中古車掲載'!F801="Corolla Cross",'中古車掲載'!L801="HEV GR SPORT",'中古車掲載'!J801=2023,ISNUMBER('中古車掲載'!N801),'中古車掲載'!N801&gt;=20000,'中古車掲載'!O801&lt;=100000,'中古車掲載'!AL801=1,'中古車掲載'!Z801="https://www.one2car.com/en/cars-for-sale/toyota/corolla-cross/year-2023"),'中古車掲載'!U801,"")</x:f>
      </x:c>
      <x:c r="BH800" s="3" t="str">
        <x:f>IF(AND('中古車掲載'!C801="One2car",'中古車掲載'!F801="DOLPHIN",'中古車掲載'!L801="STANDARD RANGE",'中古車掲載'!J801=2023,ISNUMBER('中古車掲載'!N801),'中古車掲載'!N801&gt;=20000,'中古車掲載'!O801&lt;=100000,'中古車掲載'!AL801=1),'中古車掲載'!U801,"")</x:f>
      </x:c>
      <x:c r="BI800" s="3" t="str">
        <x:v>Taladrod|Hilux Revo|ICE|Unknown</x:v>
      </x:c>
      <x:c r="BJ800" s="3" t="n">
        <x:v>801</x:v>
      </x:c>
      <x:c r="BK800" s="3" t="n">
        <x:f>'中古車掲載'!AM801</x:f>
        <x:v>599000</x:v>
      </x:c>
      <x:c r="BL800" s="3" t="str">
        <x:f>IF(ISNUMBER('中古車掲載'!AN801),'中古車掲載'!AN801,"")</x:f>
      </x:c>
      <x:c r="BM800" s="3"/>
      <x:c r="BN800" s="3"/>
      <x:c r="BO800" s="3"/>
      <x:c r="BP800" s="3"/>
      <x:c r="BQ800" s="3"/>
      <x:c r="BR800" s="3"/>
    </x:row>
    <x:row r="801" ht="22" customHeight="1">
      <x:c r="A801" s="3"/>
      <x:c r="B801" s="3"/>
      <x:c r="C801" s="3"/>
      <x:c r="D801" s="3"/>
      <x:c r="E801" s="3"/>
      <x:c r="F801" s="3"/>
      <x:c r="G801" s="3"/>
      <x:c r="H801" s="3"/>
      <x:c r="I801" s="3"/>
      <x:c r="J801" s="3"/>
      <x:c r="K801" s="3"/>
      <x:c r="L801" s="3"/>
      <x:c r="M801" s="3"/>
      <x:c r="N801" s="3"/>
      <x:c r="O801" s="3"/>
      <x:c r="P801" s="3"/>
      <x:c r="Q801" s="3"/>
      <x:c r="R801" s="3"/>
      <x:c r="S801" s="3"/>
      <x:c r="T801" s="3"/>
      <x:c r="U801" s="3"/>
      <x:c r="V801" s="3"/>
      <x:c r="W801" s="3"/>
      <x:c r="X801" s="3"/>
      <x:c r="Y801" s="3"/>
      <x:c r="Z801" s="3"/>
      <x:c r="AA801" s="3"/>
      <x:c r="AB801" s="3"/>
      <x:c r="AC801" s="3"/>
      <x:c r="AD801" s="3"/>
      <x:c r="AE801" s="3"/>
      <x:c r="AF801" s="3"/>
      <x:c r="AG801" s="3"/>
      <x:c r="AH801" s="3"/>
      <x:c r="AI801" s="3"/>
      <x:c r="AJ801" s="3"/>
      <x:c r="AK801" s="3"/>
      <x:c r="AL801" s="3"/>
      <x:c r="AM801" s="3"/>
      <x:c r="AN801" s="3"/>
      <x:c r="AO801" s="3"/>
      <x:c r="AP801" s="3"/>
      <x:c r="AQ801" s="3"/>
      <x:c r="AR801" s="3"/>
      <x:c r="AS801" s="3"/>
      <x:c r="AT801" s="3"/>
      <x:c r="AU801" s="3"/>
      <x:c r="AV801" s="3"/>
      <x:c r="AW801" s="3"/>
      <x:c r="AX801" s="3"/>
      <x:c r="AY801" s="3"/>
      <x:c r="AZ801" s="3" t="str">
        <x:f>IF(AND('中古車掲載'!C802="One2car",'中古車掲載'!F802="ATTO 3",'中古車掲載'!L802="EXTENDED RANGE",'中古車掲載'!J802=2023,ISNUMBER('中古車掲載'!N802),'中古車掲載'!N802&gt;=20000,'中古車掲載'!O802&lt;=100000,'中古車掲載'!AL802=1),'中古車掲載'!U802,"")</x:f>
      </x:c>
      <x:c r="BA801" s="3" t="str">
        <x:f>IF(AND('中古車掲載'!C802="One2car",'中古車掲載'!F802="Corolla Cross",'中古車掲載'!L802="HEV PREMIUM SAFETY",'中古車掲載'!J802=2023,ISNUMBER('中古車掲載'!N802),'中古車掲載'!N802&gt;=20000,'中古車掲載'!O802&lt;=100000,'中古車掲載'!AL802=1,'中古車掲載'!Z802="https://www.one2car.com/en/cars-for-sale/toyota/corolla-cross/year-2023"),'中古車掲載'!U802,"")</x:f>
      </x:c>
      <x:c r="BB801" s="3" t="str">
        <x:f>IF(AND('中古車掲載'!C802="One2car",'中古車掲載'!F802="ATTO 3",'中古車掲載'!L802="EXTENDED RANGE",'中古車掲載'!J802=2023,ISNUMBER('中古車掲載'!N802),'中古車掲載'!N802&gt;=50000,'中古車掲載'!O802&lt;=100000,'中古車掲載'!AL802=1),'中古車掲載'!U802,"")</x:f>
      </x:c>
      <x:c r="BC801" s="3" t="str">
        <x:f>IF(AND('中古車掲載'!C802="One2car",'中古車掲載'!F802="Corolla Cross",'中古車掲載'!L802="HEV PREMIUM SAFETY",'中古車掲載'!J802=2023,ISNUMBER('中古車掲載'!N802),'中古車掲載'!N802&gt;=50000,'中古車掲載'!O802&lt;=100000,'中古車掲載'!AL802=1,'中古車掲載'!Z802="https://www.one2car.com/en/cars-for-sale/toyota/corolla-cross/year-2023"),'中古車掲載'!U802,"")</x:f>
      </x:c>
      <x:c r="BD801" s="3" t="str">
        <x:f>IF(AND('中古車掲載'!C802="One2car",'中古車掲載'!F802="ATTO 3",'中古車掲載'!L802="EXTENDED RANGE",'中古車掲載'!J802=2023,ISNUMBER('中古車掲載'!N802),'中古車掲載'!N802&gt;=20000,'中古車掲載'!O802&lt;=50000,'中古車掲載'!AL802=1),'中古車掲載'!U802,"")</x:f>
      </x:c>
      <x:c r="BE801" s="3" t="str">
        <x:f>IF(AND('中古車掲載'!C802="One2car",'中古車掲載'!F802="Corolla Cross",'中古車掲載'!L802="HEV PREMIUM SAFETY",'中古車掲載'!J802=2023,ISNUMBER('中古車掲載'!N802),'中古車掲載'!N802&gt;=20000,'中古車掲載'!O802&lt;=50000,'中古車掲載'!AL802=1,'中古車掲載'!Z802="https://www.one2car.com/en/cars-for-sale/toyota/corolla-cross/year-2023"),'中古車掲載'!U802,"")</x:f>
      </x:c>
      <x:c r="BF801" s="3" t="str">
        <x:f>IF(AND('中古車掲載'!C802="One2car",'中古車掲載'!F802="Corolla Cross",'中古車掲載'!L802="HEV PREMIUM",'中古車掲載'!J802=2023,ISNUMBER('中古車掲載'!N802),'中古車掲載'!N802&gt;=20000,'中古車掲載'!O802&lt;=100000,'中古車掲載'!AL802=1,'中古車掲載'!Z802="https://www.one2car.com/en/cars-for-sale/toyota/corolla-cross/year-2023"),'中古車掲載'!U802,"")</x:f>
      </x:c>
      <x:c r="BG801" s="3" t="str">
        <x:f>IF(AND('中古車掲載'!C802="One2car",'中古車掲載'!F802="Corolla Cross",'中古車掲載'!L802="HEV GR SPORT",'中古車掲載'!J802=2023,ISNUMBER('中古車掲載'!N802),'中古車掲載'!N802&gt;=20000,'中古車掲載'!O802&lt;=100000,'中古車掲載'!AL802=1,'中古車掲載'!Z802="https://www.one2car.com/en/cars-for-sale/toyota/corolla-cross/year-2023"),'中古車掲載'!U802,"")</x:f>
      </x:c>
      <x:c r="BH801" s="3" t="str">
        <x:f>IF(AND('中古車掲載'!C802="One2car",'中古車掲載'!F802="DOLPHIN",'中古車掲載'!L802="STANDARD RANGE",'中古車掲載'!J802=2023,ISNUMBER('中古車掲載'!N802),'中古車掲載'!N802&gt;=20000,'中古車掲載'!O802&lt;=100000,'中古車掲載'!AL802=1),'中古車掲載'!U802,"")</x:f>
      </x:c>
      <x:c r="BI801" s="3" t="str">
        <x:v>Taladrod|Hilux Revo|ICE|Unknown</x:v>
      </x:c>
      <x:c r="BJ801" s="3" t="n">
        <x:v>802</x:v>
      </x:c>
      <x:c r="BK801" s="3" t="n">
        <x:f>'中古車掲載'!AM802</x:f>
        <x:v>739000</x:v>
      </x:c>
      <x:c r="BL801" s="3" t="str">
        <x:f>IF(ISNUMBER('中古車掲載'!AN802),'中古車掲載'!AN802,"")</x:f>
      </x:c>
      <x:c r="BM801" s="3"/>
      <x:c r="BN801" s="3"/>
      <x:c r="BO801" s="3"/>
      <x:c r="BP801" s="3"/>
      <x:c r="BQ801" s="3"/>
      <x:c r="BR801" s="3"/>
    </x:row>
    <x:row r="802" ht="22" customHeight="1">
      <x:c r="A802" s="3"/>
      <x:c r="B802" s="3"/>
      <x:c r="C802" s="3"/>
      <x:c r="D802" s="3"/>
      <x:c r="E802" s="3"/>
      <x:c r="F802" s="3"/>
      <x:c r="G802" s="3"/>
      <x:c r="H802" s="3"/>
      <x:c r="I802" s="3"/>
      <x:c r="J802" s="3"/>
      <x:c r="K802" s="3"/>
      <x:c r="L802" s="3"/>
      <x:c r="M802" s="3"/>
      <x:c r="N802" s="3"/>
      <x:c r="O802" s="3"/>
      <x:c r="P802" s="3"/>
      <x:c r="Q802" s="3"/>
      <x:c r="R802" s="3"/>
      <x:c r="S802" s="3"/>
      <x:c r="T802" s="3"/>
      <x:c r="U802" s="3"/>
      <x:c r="V802" s="3"/>
      <x:c r="W802" s="3"/>
      <x:c r="X802" s="3"/>
      <x:c r="Y802" s="3"/>
      <x:c r="Z802" s="3"/>
      <x:c r="AA802" s="3"/>
      <x:c r="AB802" s="3"/>
      <x:c r="AC802" s="3"/>
      <x:c r="AD802" s="3"/>
      <x:c r="AE802" s="3"/>
      <x:c r="AF802" s="3"/>
      <x:c r="AG802" s="3"/>
      <x:c r="AH802" s="3"/>
      <x:c r="AI802" s="3"/>
      <x:c r="AJ802" s="3"/>
      <x:c r="AK802" s="3"/>
      <x:c r="AL802" s="3"/>
      <x:c r="AM802" s="3"/>
      <x:c r="AN802" s="3"/>
      <x:c r="AO802" s="3"/>
      <x:c r="AP802" s="3"/>
      <x:c r="AQ802" s="3"/>
      <x:c r="AR802" s="3"/>
      <x:c r="AS802" s="3"/>
      <x:c r="AT802" s="3"/>
      <x:c r="AU802" s="3"/>
      <x:c r="AV802" s="3"/>
      <x:c r="AW802" s="3"/>
      <x:c r="AX802" s="3"/>
      <x:c r="AY802" s="3"/>
      <x:c r="AZ802" s="3" t="str">
        <x:f>IF(AND('中古車掲載'!C803="One2car",'中古車掲載'!F803="ATTO 3",'中古車掲載'!L803="EXTENDED RANGE",'中古車掲載'!J803=2023,ISNUMBER('中古車掲載'!N803),'中古車掲載'!N803&gt;=20000,'中古車掲載'!O803&lt;=100000,'中古車掲載'!AL803=1),'中古車掲載'!U803,"")</x:f>
      </x:c>
      <x:c r="BA802" s="3" t="str">
        <x:f>IF(AND('中古車掲載'!C803="One2car",'中古車掲載'!F803="Corolla Cross",'中古車掲載'!L803="HEV PREMIUM SAFETY",'中古車掲載'!J803=2023,ISNUMBER('中古車掲載'!N803),'中古車掲載'!N803&gt;=20000,'中古車掲載'!O803&lt;=100000,'中古車掲載'!AL803=1,'中古車掲載'!Z803="https://www.one2car.com/en/cars-for-sale/toyota/corolla-cross/year-2023"),'中古車掲載'!U803,"")</x:f>
      </x:c>
      <x:c r="BB802" s="3" t="str">
        <x:f>IF(AND('中古車掲載'!C803="One2car",'中古車掲載'!F803="ATTO 3",'中古車掲載'!L803="EXTENDED RANGE",'中古車掲載'!J803=2023,ISNUMBER('中古車掲載'!N803),'中古車掲載'!N803&gt;=50000,'中古車掲載'!O803&lt;=100000,'中古車掲載'!AL803=1),'中古車掲載'!U803,"")</x:f>
      </x:c>
      <x:c r="BC802" s="3" t="str">
        <x:f>IF(AND('中古車掲載'!C803="One2car",'中古車掲載'!F803="Corolla Cross",'中古車掲載'!L803="HEV PREMIUM SAFETY",'中古車掲載'!J803=2023,ISNUMBER('中古車掲載'!N803),'中古車掲載'!N803&gt;=50000,'中古車掲載'!O803&lt;=100000,'中古車掲載'!AL803=1,'中古車掲載'!Z803="https://www.one2car.com/en/cars-for-sale/toyota/corolla-cross/year-2023"),'中古車掲載'!U803,"")</x:f>
      </x:c>
      <x:c r="BD802" s="3" t="str">
        <x:f>IF(AND('中古車掲載'!C803="One2car",'中古車掲載'!F803="ATTO 3",'中古車掲載'!L803="EXTENDED RANGE",'中古車掲載'!J803=2023,ISNUMBER('中古車掲載'!N803),'中古車掲載'!N803&gt;=20000,'中古車掲載'!O803&lt;=50000,'中古車掲載'!AL803=1),'中古車掲載'!U803,"")</x:f>
      </x:c>
      <x:c r="BE802" s="3" t="str">
        <x:f>IF(AND('中古車掲載'!C803="One2car",'中古車掲載'!F803="Corolla Cross",'中古車掲載'!L803="HEV PREMIUM SAFETY",'中古車掲載'!J803=2023,ISNUMBER('中古車掲載'!N803),'中古車掲載'!N803&gt;=20000,'中古車掲載'!O803&lt;=50000,'中古車掲載'!AL803=1,'中古車掲載'!Z803="https://www.one2car.com/en/cars-for-sale/toyota/corolla-cross/year-2023"),'中古車掲載'!U803,"")</x:f>
      </x:c>
      <x:c r="BF802" s="3" t="str">
        <x:f>IF(AND('中古車掲載'!C803="One2car",'中古車掲載'!F803="Corolla Cross",'中古車掲載'!L803="HEV PREMIUM",'中古車掲載'!J803=2023,ISNUMBER('中古車掲載'!N803),'中古車掲載'!N803&gt;=20000,'中古車掲載'!O803&lt;=100000,'中古車掲載'!AL803=1,'中古車掲載'!Z803="https://www.one2car.com/en/cars-for-sale/toyota/corolla-cross/year-2023"),'中古車掲載'!U803,"")</x:f>
      </x:c>
      <x:c r="BG802" s="3" t="str">
        <x:f>IF(AND('中古車掲載'!C803="One2car",'中古車掲載'!F803="Corolla Cross",'中古車掲載'!L803="HEV GR SPORT",'中古車掲載'!J803=2023,ISNUMBER('中古車掲載'!N803),'中古車掲載'!N803&gt;=20000,'中古車掲載'!O803&lt;=100000,'中古車掲載'!AL803=1,'中古車掲載'!Z803="https://www.one2car.com/en/cars-for-sale/toyota/corolla-cross/year-2023"),'中古車掲載'!U803,"")</x:f>
      </x:c>
      <x:c r="BH802" s="3" t="str">
        <x:f>IF(AND('中古車掲載'!C803="One2car",'中古車掲載'!F803="DOLPHIN",'中古車掲載'!L803="STANDARD RANGE",'中古車掲載'!J803=2023,ISNUMBER('中古車掲載'!N803),'中古車掲載'!N803&gt;=20000,'中古車掲載'!O803&lt;=100000,'中古車掲載'!AL803=1),'中古車掲載'!U803,"")</x:f>
      </x:c>
      <x:c r="BI802" s="3" t="str">
        <x:v>Taladrod|Hilux Revo|ICE|Unknown</x:v>
      </x:c>
      <x:c r="BJ802" s="3" t="n">
        <x:v>803</x:v>
      </x:c>
      <x:c r="BK802" s="3" t="n">
        <x:f>'中古車掲載'!AM803</x:f>
        <x:v>579000</x:v>
      </x:c>
      <x:c r="BL802" s="3" t="str">
        <x:f>IF(ISNUMBER('中古車掲載'!AN803),'中古車掲載'!AN803,"")</x:f>
      </x:c>
      <x:c r="BM802" s="3"/>
      <x:c r="BN802" s="3"/>
      <x:c r="BO802" s="3"/>
      <x:c r="BP802" s="3"/>
      <x:c r="BQ802" s="3"/>
      <x:c r="BR802" s="3"/>
    </x:row>
    <x:row r="803" ht="22" customHeight="1">
      <x:c r="A803" s="3"/>
      <x:c r="B803" s="3"/>
      <x:c r="C803" s="3"/>
      <x:c r="D803" s="3"/>
      <x:c r="E803" s="3"/>
      <x:c r="F803" s="3"/>
      <x:c r="G803" s="3"/>
      <x:c r="H803" s="3"/>
      <x:c r="I803" s="3"/>
      <x:c r="J803" s="3"/>
      <x:c r="K803" s="3"/>
      <x:c r="L803" s="3"/>
      <x:c r="M803" s="3"/>
      <x:c r="N803" s="3"/>
      <x:c r="O803" s="3"/>
      <x:c r="P803" s="3"/>
      <x:c r="Q803" s="3"/>
      <x:c r="R803" s="3"/>
      <x:c r="S803" s="3"/>
      <x:c r="T803" s="3"/>
      <x:c r="U803" s="3"/>
      <x:c r="V803" s="3"/>
      <x:c r="W803" s="3"/>
      <x:c r="X803" s="3"/>
      <x:c r="Y803" s="3"/>
      <x:c r="Z803" s="3"/>
      <x:c r="AA803" s="3"/>
      <x:c r="AB803" s="3"/>
      <x:c r="AC803" s="3"/>
      <x:c r="AD803" s="3"/>
      <x:c r="AE803" s="3"/>
      <x:c r="AF803" s="3"/>
      <x:c r="AG803" s="3"/>
      <x:c r="AH803" s="3"/>
      <x:c r="AI803" s="3"/>
      <x:c r="AJ803" s="3"/>
      <x:c r="AK803" s="3"/>
      <x:c r="AL803" s="3"/>
      <x:c r="AM803" s="3"/>
      <x:c r="AN803" s="3"/>
      <x:c r="AO803" s="3"/>
      <x:c r="AP803" s="3"/>
      <x:c r="AQ803" s="3"/>
      <x:c r="AR803" s="3"/>
      <x:c r="AS803" s="3"/>
      <x:c r="AT803" s="3"/>
      <x:c r="AU803" s="3"/>
      <x:c r="AV803" s="3"/>
      <x:c r="AW803" s="3"/>
      <x:c r="AX803" s="3"/>
      <x:c r="AY803" s="3"/>
      <x:c r="AZ803" s="3" t="str">
        <x:f>IF(AND('中古車掲載'!C804="One2car",'中古車掲載'!F804="ATTO 3",'中古車掲載'!L804="EXTENDED RANGE",'中古車掲載'!J804=2023,ISNUMBER('中古車掲載'!N804),'中古車掲載'!N804&gt;=20000,'中古車掲載'!O804&lt;=100000,'中古車掲載'!AL804=1),'中古車掲載'!U804,"")</x:f>
      </x:c>
      <x:c r="BA803" s="3" t="str">
        <x:f>IF(AND('中古車掲載'!C804="One2car",'中古車掲載'!F804="Corolla Cross",'中古車掲載'!L804="HEV PREMIUM SAFETY",'中古車掲載'!J804=2023,ISNUMBER('中古車掲載'!N804),'中古車掲載'!N804&gt;=20000,'中古車掲載'!O804&lt;=100000,'中古車掲載'!AL804=1,'中古車掲載'!Z804="https://www.one2car.com/en/cars-for-sale/toyota/corolla-cross/year-2023"),'中古車掲載'!U804,"")</x:f>
      </x:c>
      <x:c r="BB803" s="3" t="str">
        <x:f>IF(AND('中古車掲載'!C804="One2car",'中古車掲載'!F804="ATTO 3",'中古車掲載'!L804="EXTENDED RANGE",'中古車掲載'!J804=2023,ISNUMBER('中古車掲載'!N804),'中古車掲載'!N804&gt;=50000,'中古車掲載'!O804&lt;=100000,'中古車掲載'!AL804=1),'中古車掲載'!U804,"")</x:f>
      </x:c>
      <x:c r="BC803" s="3" t="str">
        <x:f>IF(AND('中古車掲載'!C804="One2car",'中古車掲載'!F804="Corolla Cross",'中古車掲載'!L804="HEV PREMIUM SAFETY",'中古車掲載'!J804=2023,ISNUMBER('中古車掲載'!N804),'中古車掲載'!N804&gt;=50000,'中古車掲載'!O804&lt;=100000,'中古車掲載'!AL804=1,'中古車掲載'!Z804="https://www.one2car.com/en/cars-for-sale/toyota/corolla-cross/year-2023"),'中古車掲載'!U804,"")</x:f>
      </x:c>
      <x:c r="BD803" s="3" t="str">
        <x:f>IF(AND('中古車掲載'!C804="One2car",'中古車掲載'!F804="ATTO 3",'中古車掲載'!L804="EXTENDED RANGE",'中古車掲載'!J804=2023,ISNUMBER('中古車掲載'!N804),'中古車掲載'!N804&gt;=20000,'中古車掲載'!O804&lt;=50000,'中古車掲載'!AL804=1),'中古車掲載'!U804,"")</x:f>
      </x:c>
      <x:c r="BE803" s="3" t="str">
        <x:f>IF(AND('中古車掲載'!C804="One2car",'中古車掲載'!F804="Corolla Cross",'中古車掲載'!L804="HEV PREMIUM SAFETY",'中古車掲載'!J804=2023,ISNUMBER('中古車掲載'!N804),'中古車掲載'!N804&gt;=20000,'中古車掲載'!O804&lt;=50000,'中古車掲載'!AL804=1,'中古車掲載'!Z804="https://www.one2car.com/en/cars-for-sale/toyota/corolla-cross/year-2023"),'中古車掲載'!U804,"")</x:f>
      </x:c>
      <x:c r="BF803" s="3" t="str">
        <x:f>IF(AND('中古車掲載'!C804="One2car",'中古車掲載'!F804="Corolla Cross",'中古車掲載'!L804="HEV PREMIUM",'中古車掲載'!J804=2023,ISNUMBER('中古車掲載'!N804),'中古車掲載'!N804&gt;=20000,'中古車掲載'!O804&lt;=100000,'中古車掲載'!AL804=1,'中古車掲載'!Z804="https://www.one2car.com/en/cars-for-sale/toyota/corolla-cross/year-2023"),'中古車掲載'!U804,"")</x:f>
      </x:c>
      <x:c r="BG803" s="3" t="str">
        <x:f>IF(AND('中古車掲載'!C804="One2car",'中古車掲載'!F804="Corolla Cross",'中古車掲載'!L804="HEV GR SPORT",'中古車掲載'!J804=2023,ISNUMBER('中古車掲載'!N804),'中古車掲載'!N804&gt;=20000,'中古車掲載'!O804&lt;=100000,'中古車掲載'!AL804=1,'中古車掲載'!Z804="https://www.one2car.com/en/cars-for-sale/toyota/corolla-cross/year-2023"),'中古車掲載'!U804,"")</x:f>
      </x:c>
      <x:c r="BH803" s="3" t="str">
        <x:f>IF(AND('中古車掲載'!C804="One2car",'中古車掲載'!F804="DOLPHIN",'中古車掲載'!L804="STANDARD RANGE",'中古車掲載'!J804=2023,ISNUMBER('中古車掲載'!N804),'中古車掲載'!N804&gt;=20000,'中古車掲載'!O804&lt;=100000,'中古車掲載'!AL804=1),'中古車掲載'!U804,"")</x:f>
      </x:c>
      <x:c r="BI803" s="3" t="str">
        <x:v>Taladrod|Hilux Revo|ICE|Unknown</x:v>
      </x:c>
      <x:c r="BJ803" s="3" t="n">
        <x:v>804</x:v>
      </x:c>
      <x:c r="BK803" s="3" t="n">
        <x:f>'中古車掲載'!AM804</x:f>
        <x:v>599000</x:v>
      </x:c>
      <x:c r="BL803" s="3" t="str">
        <x:f>IF(ISNUMBER('中古車掲載'!AN804),'中古車掲載'!AN804,"")</x:f>
      </x:c>
      <x:c r="BM803" s="3"/>
      <x:c r="BN803" s="3"/>
      <x:c r="BO803" s="3"/>
      <x:c r="BP803" s="3"/>
      <x:c r="BQ803" s="3"/>
      <x:c r="BR803" s="3"/>
    </x:row>
    <x:row r="804" ht="22" customHeight="1">
      <x:c r="A804" s="3"/>
      <x:c r="B804" s="3"/>
      <x:c r="C804" s="3"/>
      <x:c r="D804" s="3"/>
      <x:c r="E804" s="3"/>
      <x:c r="F804" s="3"/>
      <x:c r="G804" s="3"/>
      <x:c r="H804" s="3"/>
      <x:c r="I804" s="3"/>
      <x:c r="J804" s="3"/>
      <x:c r="K804" s="3"/>
      <x:c r="L804" s="3"/>
      <x:c r="M804" s="3"/>
      <x:c r="N804" s="3"/>
      <x:c r="O804" s="3"/>
      <x:c r="P804" s="3"/>
      <x:c r="Q804" s="3"/>
      <x:c r="R804" s="3"/>
      <x:c r="S804" s="3"/>
      <x:c r="T804" s="3"/>
      <x:c r="U804" s="3"/>
      <x:c r="V804" s="3"/>
      <x:c r="W804" s="3"/>
      <x:c r="X804" s="3"/>
      <x:c r="Y804" s="3"/>
      <x:c r="Z804" s="3"/>
      <x:c r="AA804" s="3"/>
      <x:c r="AB804" s="3"/>
      <x:c r="AC804" s="3"/>
      <x:c r="AD804" s="3"/>
      <x:c r="AE804" s="3"/>
      <x:c r="AF804" s="3"/>
      <x:c r="AG804" s="3"/>
      <x:c r="AH804" s="3"/>
      <x:c r="AI804" s="3"/>
      <x:c r="AJ804" s="3"/>
      <x:c r="AK804" s="3"/>
      <x:c r="AL804" s="3"/>
      <x:c r="AM804" s="3"/>
      <x:c r="AN804" s="3"/>
      <x:c r="AO804" s="3"/>
      <x:c r="AP804" s="3"/>
      <x:c r="AQ804" s="3"/>
      <x:c r="AR804" s="3"/>
      <x:c r="AS804" s="3"/>
      <x:c r="AT804" s="3"/>
      <x:c r="AU804" s="3"/>
      <x:c r="AV804" s="3"/>
      <x:c r="AW804" s="3"/>
      <x:c r="AX804" s="3"/>
      <x:c r="AY804" s="3"/>
      <x:c r="AZ804" s="3" t="str">
        <x:f>IF(AND('中古車掲載'!C805="One2car",'中古車掲載'!F805="ATTO 3",'中古車掲載'!L805="EXTENDED RANGE",'中古車掲載'!J805=2023,ISNUMBER('中古車掲載'!N805),'中古車掲載'!N805&gt;=20000,'中古車掲載'!O805&lt;=100000,'中古車掲載'!AL805=1),'中古車掲載'!U805,"")</x:f>
      </x:c>
      <x:c r="BA804" s="3" t="str">
        <x:f>IF(AND('中古車掲載'!C805="One2car",'中古車掲載'!F805="Corolla Cross",'中古車掲載'!L805="HEV PREMIUM SAFETY",'中古車掲載'!J805=2023,ISNUMBER('中古車掲載'!N805),'中古車掲載'!N805&gt;=20000,'中古車掲載'!O805&lt;=100000,'中古車掲載'!AL805=1,'中古車掲載'!Z805="https://www.one2car.com/en/cars-for-sale/toyota/corolla-cross/year-2023"),'中古車掲載'!U805,"")</x:f>
      </x:c>
      <x:c r="BB804" s="3" t="str">
        <x:f>IF(AND('中古車掲載'!C805="One2car",'中古車掲載'!F805="ATTO 3",'中古車掲載'!L805="EXTENDED RANGE",'中古車掲載'!J805=2023,ISNUMBER('中古車掲載'!N805),'中古車掲載'!N805&gt;=50000,'中古車掲載'!O805&lt;=100000,'中古車掲載'!AL805=1),'中古車掲載'!U805,"")</x:f>
      </x:c>
      <x:c r="BC804" s="3" t="str">
        <x:f>IF(AND('中古車掲載'!C805="One2car",'中古車掲載'!F805="Corolla Cross",'中古車掲載'!L805="HEV PREMIUM SAFETY",'中古車掲載'!J805=2023,ISNUMBER('中古車掲載'!N805),'中古車掲載'!N805&gt;=50000,'中古車掲載'!O805&lt;=100000,'中古車掲載'!AL805=1,'中古車掲載'!Z805="https://www.one2car.com/en/cars-for-sale/toyota/corolla-cross/year-2023"),'中古車掲載'!U805,"")</x:f>
      </x:c>
      <x:c r="BD804" s="3" t="str">
        <x:f>IF(AND('中古車掲載'!C805="One2car",'中古車掲載'!F805="ATTO 3",'中古車掲載'!L805="EXTENDED RANGE",'中古車掲載'!J805=2023,ISNUMBER('中古車掲載'!N805),'中古車掲載'!N805&gt;=20000,'中古車掲載'!O805&lt;=50000,'中古車掲載'!AL805=1),'中古車掲載'!U805,"")</x:f>
      </x:c>
      <x:c r="BE804" s="3" t="str">
        <x:f>IF(AND('中古車掲載'!C805="One2car",'中古車掲載'!F805="Corolla Cross",'中古車掲載'!L805="HEV PREMIUM SAFETY",'中古車掲載'!J805=2023,ISNUMBER('中古車掲載'!N805),'中古車掲載'!N805&gt;=20000,'中古車掲載'!O805&lt;=50000,'中古車掲載'!AL805=1,'中古車掲載'!Z805="https://www.one2car.com/en/cars-for-sale/toyota/corolla-cross/year-2023"),'中古車掲載'!U805,"")</x:f>
      </x:c>
      <x:c r="BF804" s="3" t="str">
        <x:f>IF(AND('中古車掲載'!C805="One2car",'中古車掲載'!F805="Corolla Cross",'中古車掲載'!L805="HEV PREMIUM",'中古車掲載'!J805=2023,ISNUMBER('中古車掲載'!N805),'中古車掲載'!N805&gt;=20000,'中古車掲載'!O805&lt;=100000,'中古車掲載'!AL805=1,'中古車掲載'!Z805="https://www.one2car.com/en/cars-for-sale/toyota/corolla-cross/year-2023"),'中古車掲載'!U805,"")</x:f>
      </x:c>
      <x:c r="BG804" s="3" t="str">
        <x:f>IF(AND('中古車掲載'!C805="One2car",'中古車掲載'!F805="Corolla Cross",'中古車掲載'!L805="HEV GR SPORT",'中古車掲載'!J805=2023,ISNUMBER('中古車掲載'!N805),'中古車掲載'!N805&gt;=20000,'中古車掲載'!O805&lt;=100000,'中古車掲載'!AL805=1,'中古車掲載'!Z805="https://www.one2car.com/en/cars-for-sale/toyota/corolla-cross/year-2023"),'中古車掲載'!U805,"")</x:f>
      </x:c>
      <x:c r="BH804" s="3" t="str">
        <x:f>IF(AND('中古車掲載'!C805="One2car",'中古車掲載'!F805="DOLPHIN",'中古車掲載'!L805="STANDARD RANGE",'中古車掲載'!J805=2023,ISNUMBER('中古車掲載'!N805),'中古車掲載'!N805&gt;=20000,'中古車掲載'!O805&lt;=100000,'中古車掲載'!AL805=1),'中古車掲載'!U805,"")</x:f>
      </x:c>
      <x:c r="BI804" s="3" t="str">
        <x:v>Taladrod|Hilux Revo|ICE|Unknown</x:v>
      </x:c>
      <x:c r="BJ804" s="3" t="n">
        <x:v>805</x:v>
      </x:c>
      <x:c r="BK804" s="3" t="n">
        <x:f>'中古車掲載'!AM805</x:f>
        <x:v>649000</x:v>
      </x:c>
      <x:c r="BL804" s="3" t="str">
        <x:f>IF(ISNUMBER('中古車掲載'!AN805),'中古車掲載'!AN805,"")</x:f>
      </x:c>
      <x:c r="BM804" s="3"/>
      <x:c r="BN804" s="3"/>
      <x:c r="BO804" s="3"/>
      <x:c r="BP804" s="3"/>
      <x:c r="BQ804" s="3"/>
      <x:c r="BR804" s="3"/>
    </x:row>
    <x:row r="805" ht="22" customHeight="1">
      <x:c r="A805" s="3"/>
      <x:c r="B805" s="3"/>
      <x:c r="C805" s="3"/>
      <x:c r="D805" s="3"/>
      <x:c r="E805" s="3"/>
      <x:c r="F805" s="3"/>
      <x:c r="G805" s="3"/>
      <x:c r="H805" s="3"/>
      <x:c r="I805" s="3"/>
      <x:c r="J805" s="3"/>
      <x:c r="K805" s="3"/>
      <x:c r="L805" s="3"/>
      <x:c r="M805" s="3"/>
      <x:c r="N805" s="3"/>
      <x:c r="O805" s="3"/>
      <x:c r="P805" s="3"/>
      <x:c r="Q805" s="3"/>
      <x:c r="R805" s="3"/>
      <x:c r="S805" s="3"/>
      <x:c r="T805" s="3"/>
      <x:c r="U805" s="3"/>
      <x:c r="V805" s="3"/>
      <x:c r="W805" s="3"/>
      <x:c r="X805" s="3"/>
      <x:c r="Y805" s="3"/>
      <x:c r="Z805" s="3"/>
      <x:c r="AA805" s="3"/>
      <x:c r="AB805" s="3"/>
      <x:c r="AC805" s="3"/>
      <x:c r="AD805" s="3"/>
      <x:c r="AE805" s="3"/>
      <x:c r="AF805" s="3"/>
      <x:c r="AG805" s="3"/>
      <x:c r="AH805" s="3"/>
      <x:c r="AI805" s="3"/>
      <x:c r="AJ805" s="3"/>
      <x:c r="AK805" s="3"/>
      <x:c r="AL805" s="3"/>
      <x:c r="AM805" s="3"/>
      <x:c r="AN805" s="3"/>
      <x:c r="AO805" s="3"/>
      <x:c r="AP805" s="3"/>
      <x:c r="AQ805" s="3"/>
      <x:c r="AR805" s="3"/>
      <x:c r="AS805" s="3"/>
      <x:c r="AT805" s="3"/>
      <x:c r="AU805" s="3"/>
      <x:c r="AV805" s="3"/>
      <x:c r="AW805" s="3"/>
      <x:c r="AX805" s="3"/>
      <x:c r="AY805" s="3"/>
      <x:c r="AZ805" s="3" t="str">
        <x:f>IF(AND('中古車掲載'!C806="One2car",'中古車掲載'!F806="ATTO 3",'中古車掲載'!L806="EXTENDED RANGE",'中古車掲載'!J806=2023,ISNUMBER('中古車掲載'!N806),'中古車掲載'!N806&gt;=20000,'中古車掲載'!O806&lt;=100000,'中古車掲載'!AL806=1),'中古車掲載'!U806,"")</x:f>
      </x:c>
      <x:c r="BA805" s="3" t="str">
        <x:f>IF(AND('中古車掲載'!C806="One2car",'中古車掲載'!F806="Corolla Cross",'中古車掲載'!L806="HEV PREMIUM SAFETY",'中古車掲載'!J806=2023,ISNUMBER('中古車掲載'!N806),'中古車掲載'!N806&gt;=20000,'中古車掲載'!O806&lt;=100000,'中古車掲載'!AL806=1,'中古車掲載'!Z806="https://www.one2car.com/en/cars-for-sale/toyota/corolla-cross/year-2023"),'中古車掲載'!U806,"")</x:f>
      </x:c>
      <x:c r="BB805" s="3" t="str">
        <x:f>IF(AND('中古車掲載'!C806="One2car",'中古車掲載'!F806="ATTO 3",'中古車掲載'!L806="EXTENDED RANGE",'中古車掲載'!J806=2023,ISNUMBER('中古車掲載'!N806),'中古車掲載'!N806&gt;=50000,'中古車掲載'!O806&lt;=100000,'中古車掲載'!AL806=1),'中古車掲載'!U806,"")</x:f>
      </x:c>
      <x:c r="BC805" s="3" t="str">
        <x:f>IF(AND('中古車掲載'!C806="One2car",'中古車掲載'!F806="Corolla Cross",'中古車掲載'!L806="HEV PREMIUM SAFETY",'中古車掲載'!J806=2023,ISNUMBER('中古車掲載'!N806),'中古車掲載'!N806&gt;=50000,'中古車掲載'!O806&lt;=100000,'中古車掲載'!AL806=1,'中古車掲載'!Z806="https://www.one2car.com/en/cars-for-sale/toyota/corolla-cross/year-2023"),'中古車掲載'!U806,"")</x:f>
      </x:c>
      <x:c r="BD805" s="3" t="str">
        <x:f>IF(AND('中古車掲載'!C806="One2car",'中古車掲載'!F806="ATTO 3",'中古車掲載'!L806="EXTENDED RANGE",'中古車掲載'!J806=2023,ISNUMBER('中古車掲載'!N806),'中古車掲載'!N806&gt;=20000,'中古車掲載'!O806&lt;=50000,'中古車掲載'!AL806=1),'中古車掲載'!U806,"")</x:f>
      </x:c>
      <x:c r="BE805" s="3" t="str">
        <x:f>IF(AND('中古車掲載'!C806="One2car",'中古車掲載'!F806="Corolla Cross",'中古車掲載'!L806="HEV PREMIUM SAFETY",'中古車掲載'!J806=2023,ISNUMBER('中古車掲載'!N806),'中古車掲載'!N806&gt;=20000,'中古車掲載'!O806&lt;=50000,'中古車掲載'!AL806=1,'中古車掲載'!Z806="https://www.one2car.com/en/cars-for-sale/toyota/corolla-cross/year-2023"),'中古車掲載'!U806,"")</x:f>
      </x:c>
      <x:c r="BF805" s="3" t="str">
        <x:f>IF(AND('中古車掲載'!C806="One2car",'中古車掲載'!F806="Corolla Cross",'中古車掲載'!L806="HEV PREMIUM",'中古車掲載'!J806=2023,ISNUMBER('中古車掲載'!N806),'中古車掲載'!N806&gt;=20000,'中古車掲載'!O806&lt;=100000,'中古車掲載'!AL806=1,'中古車掲載'!Z806="https://www.one2car.com/en/cars-for-sale/toyota/corolla-cross/year-2023"),'中古車掲載'!U806,"")</x:f>
      </x:c>
      <x:c r="BG805" s="3" t="str">
        <x:f>IF(AND('中古車掲載'!C806="One2car",'中古車掲載'!F806="Corolla Cross",'中古車掲載'!L806="HEV GR SPORT",'中古車掲載'!J806=2023,ISNUMBER('中古車掲載'!N806),'中古車掲載'!N806&gt;=20000,'中古車掲載'!O806&lt;=100000,'中古車掲載'!AL806=1,'中古車掲載'!Z806="https://www.one2car.com/en/cars-for-sale/toyota/corolla-cross/year-2023"),'中古車掲載'!U806,"")</x:f>
      </x:c>
      <x:c r="BH805" s="3" t="str">
        <x:f>IF(AND('中古車掲載'!C806="One2car",'中古車掲載'!F806="DOLPHIN",'中古車掲載'!L806="STANDARD RANGE",'中古車掲載'!J806=2023,ISNUMBER('中古車掲載'!N806),'中古車掲載'!N806&gt;=20000,'中古車掲載'!O806&lt;=100000,'中古車掲載'!AL806=1),'中古車掲載'!U806,"")</x:f>
      </x:c>
      <x:c r="BI805" s="3" t="str">
        <x:v>Taladrod|Hilux Revo|ICE|Unknown</x:v>
      </x:c>
      <x:c r="BJ805" s="3" t="n">
        <x:v>806</x:v>
      </x:c>
      <x:c r="BK805" s="3" t="n">
        <x:f>'中古車掲載'!AM806</x:f>
        <x:v>639000</x:v>
      </x:c>
      <x:c r="BL805" s="3" t="str">
        <x:f>IF(ISNUMBER('中古車掲載'!AN806),'中古車掲載'!AN806,"")</x:f>
      </x:c>
      <x:c r="BM805" s="3"/>
      <x:c r="BN805" s="3"/>
      <x:c r="BO805" s="3"/>
      <x:c r="BP805" s="3"/>
      <x:c r="BQ805" s="3"/>
      <x:c r="BR805" s="3"/>
    </x:row>
    <x:row r="806" ht="22" customHeight="1">
      <x:c r="A806" s="3"/>
      <x:c r="B806" s="3"/>
      <x:c r="C806" s="3"/>
      <x:c r="D806" s="3"/>
      <x:c r="E806" s="3"/>
      <x:c r="F806" s="3"/>
      <x:c r="G806" s="3"/>
      <x:c r="H806" s="3"/>
      <x:c r="I806" s="3"/>
      <x:c r="J806" s="3"/>
      <x:c r="K806" s="3"/>
      <x:c r="L806" s="3"/>
      <x:c r="M806" s="3"/>
      <x:c r="N806" s="3"/>
      <x:c r="O806" s="3"/>
      <x:c r="P806" s="3"/>
      <x:c r="Q806" s="3"/>
      <x:c r="R806" s="3"/>
      <x:c r="S806" s="3"/>
      <x:c r="T806" s="3"/>
      <x:c r="U806" s="3"/>
      <x:c r="V806" s="3"/>
      <x:c r="W806" s="3"/>
      <x:c r="X806" s="3"/>
      <x:c r="Y806" s="3"/>
      <x:c r="Z806" s="3"/>
      <x:c r="AA806" s="3"/>
      <x:c r="AB806" s="3"/>
      <x:c r="AC806" s="3"/>
      <x:c r="AD806" s="3"/>
      <x:c r="AE806" s="3"/>
      <x:c r="AF806" s="3"/>
      <x:c r="AG806" s="3"/>
      <x:c r="AH806" s="3"/>
      <x:c r="AI806" s="3"/>
      <x:c r="AJ806" s="3"/>
      <x:c r="AK806" s="3"/>
      <x:c r="AL806" s="3"/>
      <x:c r="AM806" s="3"/>
      <x:c r="AN806" s="3"/>
      <x:c r="AO806" s="3"/>
      <x:c r="AP806" s="3"/>
      <x:c r="AQ806" s="3"/>
      <x:c r="AR806" s="3"/>
      <x:c r="AS806" s="3"/>
      <x:c r="AT806" s="3"/>
      <x:c r="AU806" s="3"/>
      <x:c r="AV806" s="3"/>
      <x:c r="AW806" s="3"/>
      <x:c r="AX806" s="3"/>
      <x:c r="AY806" s="3"/>
      <x:c r="AZ806" s="3" t="str">
        <x:f>IF(AND('中古車掲載'!C807="One2car",'中古車掲載'!F807="ATTO 3",'中古車掲載'!L807="EXTENDED RANGE",'中古車掲載'!J807=2023,ISNUMBER('中古車掲載'!N807),'中古車掲載'!N807&gt;=20000,'中古車掲載'!O807&lt;=100000,'中古車掲載'!AL807=1),'中古車掲載'!U807,"")</x:f>
      </x:c>
      <x:c r="BA806" s="3" t="str">
        <x:f>IF(AND('中古車掲載'!C807="One2car",'中古車掲載'!F807="Corolla Cross",'中古車掲載'!L807="HEV PREMIUM SAFETY",'中古車掲載'!J807=2023,ISNUMBER('中古車掲載'!N807),'中古車掲載'!N807&gt;=20000,'中古車掲載'!O807&lt;=100000,'中古車掲載'!AL807=1,'中古車掲載'!Z807="https://www.one2car.com/en/cars-for-sale/toyota/corolla-cross/year-2023"),'中古車掲載'!U807,"")</x:f>
      </x:c>
      <x:c r="BB806" s="3" t="str">
        <x:f>IF(AND('中古車掲載'!C807="One2car",'中古車掲載'!F807="ATTO 3",'中古車掲載'!L807="EXTENDED RANGE",'中古車掲載'!J807=2023,ISNUMBER('中古車掲載'!N807),'中古車掲載'!N807&gt;=50000,'中古車掲載'!O807&lt;=100000,'中古車掲載'!AL807=1),'中古車掲載'!U807,"")</x:f>
      </x:c>
      <x:c r="BC806" s="3" t="str">
        <x:f>IF(AND('中古車掲載'!C807="One2car",'中古車掲載'!F807="Corolla Cross",'中古車掲載'!L807="HEV PREMIUM SAFETY",'中古車掲載'!J807=2023,ISNUMBER('中古車掲載'!N807),'中古車掲載'!N807&gt;=50000,'中古車掲載'!O807&lt;=100000,'中古車掲載'!AL807=1,'中古車掲載'!Z807="https://www.one2car.com/en/cars-for-sale/toyota/corolla-cross/year-2023"),'中古車掲載'!U807,"")</x:f>
      </x:c>
      <x:c r="BD806" s="3" t="str">
        <x:f>IF(AND('中古車掲載'!C807="One2car",'中古車掲載'!F807="ATTO 3",'中古車掲載'!L807="EXTENDED RANGE",'中古車掲載'!J807=2023,ISNUMBER('中古車掲載'!N807),'中古車掲載'!N807&gt;=20000,'中古車掲載'!O807&lt;=50000,'中古車掲載'!AL807=1),'中古車掲載'!U807,"")</x:f>
      </x:c>
      <x:c r="BE806" s="3" t="str">
        <x:f>IF(AND('中古車掲載'!C807="One2car",'中古車掲載'!F807="Corolla Cross",'中古車掲載'!L807="HEV PREMIUM SAFETY",'中古車掲載'!J807=2023,ISNUMBER('中古車掲載'!N807),'中古車掲載'!N807&gt;=20000,'中古車掲載'!O807&lt;=50000,'中古車掲載'!AL807=1,'中古車掲載'!Z807="https://www.one2car.com/en/cars-for-sale/toyota/corolla-cross/year-2023"),'中古車掲載'!U807,"")</x:f>
      </x:c>
      <x:c r="BF806" s="3" t="str">
        <x:f>IF(AND('中古車掲載'!C807="One2car",'中古車掲載'!F807="Corolla Cross",'中古車掲載'!L807="HEV PREMIUM",'中古車掲載'!J807=2023,ISNUMBER('中古車掲載'!N807),'中古車掲載'!N807&gt;=20000,'中古車掲載'!O807&lt;=100000,'中古車掲載'!AL807=1,'中古車掲載'!Z807="https://www.one2car.com/en/cars-for-sale/toyota/corolla-cross/year-2023"),'中古車掲載'!U807,"")</x:f>
      </x:c>
      <x:c r="BG806" s="3" t="str">
        <x:f>IF(AND('中古車掲載'!C807="One2car",'中古車掲載'!F807="Corolla Cross",'中古車掲載'!L807="HEV GR SPORT",'中古車掲載'!J807=2023,ISNUMBER('中古車掲載'!N807),'中古車掲載'!N807&gt;=20000,'中古車掲載'!O807&lt;=100000,'中古車掲載'!AL807=1,'中古車掲載'!Z807="https://www.one2car.com/en/cars-for-sale/toyota/corolla-cross/year-2023"),'中古車掲載'!U807,"")</x:f>
      </x:c>
      <x:c r="BH806" s="3" t="str">
        <x:f>IF(AND('中古車掲載'!C807="One2car",'中古車掲載'!F807="DOLPHIN",'中古車掲載'!L807="STANDARD RANGE",'中古車掲載'!J807=2023,ISNUMBER('中古車掲載'!N807),'中古車掲載'!N807&gt;=20000,'中古車掲載'!O807&lt;=100000,'中古車掲載'!AL807=1),'中古車掲載'!U807,"")</x:f>
      </x:c>
      <x:c r="BI806" s="3" t="str">
        <x:v>Taladrod|Hilux Revo|ICE|Unknown</x:v>
      </x:c>
      <x:c r="BJ806" s="3" t="n">
        <x:v>807</x:v>
      </x:c>
      <x:c r="BK806" s="3" t="n">
        <x:f>'中古車掲載'!AM807</x:f>
        <x:v>710000</x:v>
      </x:c>
      <x:c r="BL806" s="3" t="str">
        <x:f>IF(ISNUMBER('中古車掲載'!AN807),'中古車掲載'!AN807,"")</x:f>
      </x:c>
      <x:c r="BM806" s="3"/>
      <x:c r="BN806" s="3"/>
      <x:c r="BO806" s="3"/>
      <x:c r="BP806" s="3"/>
      <x:c r="BQ806" s="3"/>
      <x:c r="BR806" s="3"/>
    </x:row>
    <x:row r="807" ht="22" customHeight="1">
      <x:c r="A807" s="3"/>
      <x:c r="B807" s="3"/>
      <x:c r="C807" s="3"/>
      <x:c r="D807" s="3"/>
      <x:c r="E807" s="3"/>
      <x:c r="F807" s="3"/>
      <x:c r="G807" s="3"/>
      <x:c r="H807" s="3"/>
      <x:c r="I807" s="3"/>
      <x:c r="J807" s="3"/>
      <x:c r="K807" s="3"/>
      <x:c r="L807" s="3"/>
      <x:c r="M807" s="3"/>
      <x:c r="N807" s="3"/>
      <x:c r="O807" s="3"/>
      <x:c r="P807" s="3"/>
      <x:c r="Q807" s="3"/>
      <x:c r="R807" s="3"/>
      <x:c r="S807" s="3"/>
      <x:c r="T807" s="3"/>
      <x:c r="U807" s="3"/>
      <x:c r="V807" s="3"/>
      <x:c r="W807" s="3"/>
      <x:c r="X807" s="3"/>
      <x:c r="Y807" s="3"/>
      <x:c r="Z807" s="3"/>
      <x:c r="AA807" s="3"/>
      <x:c r="AB807" s="3"/>
      <x:c r="AC807" s="3"/>
      <x:c r="AD807" s="3"/>
      <x:c r="AE807" s="3"/>
      <x:c r="AF807" s="3"/>
      <x:c r="AG807" s="3"/>
      <x:c r="AH807" s="3"/>
      <x:c r="AI807" s="3"/>
      <x:c r="AJ807" s="3"/>
      <x:c r="AK807" s="3"/>
      <x:c r="AL807" s="3"/>
      <x:c r="AM807" s="3"/>
      <x:c r="AN807" s="3"/>
      <x:c r="AO807" s="3"/>
      <x:c r="AP807" s="3"/>
      <x:c r="AQ807" s="3"/>
      <x:c r="AR807" s="3"/>
      <x:c r="AS807" s="3"/>
      <x:c r="AT807" s="3"/>
      <x:c r="AU807" s="3"/>
      <x:c r="AV807" s="3"/>
      <x:c r="AW807" s="3"/>
      <x:c r="AX807" s="3"/>
      <x:c r="AY807" s="3"/>
      <x:c r="AZ807" s="3" t="str">
        <x:f>IF(AND('中古車掲載'!C808="One2car",'中古車掲載'!F808="ATTO 3",'中古車掲載'!L808="EXTENDED RANGE",'中古車掲載'!J808=2023,ISNUMBER('中古車掲載'!N808),'中古車掲載'!N808&gt;=20000,'中古車掲載'!O808&lt;=100000,'中古車掲載'!AL808=1),'中古車掲載'!U808,"")</x:f>
      </x:c>
      <x:c r="BA807" s="3" t="str">
        <x:f>IF(AND('中古車掲載'!C808="One2car",'中古車掲載'!F808="Corolla Cross",'中古車掲載'!L808="HEV PREMIUM SAFETY",'中古車掲載'!J808=2023,ISNUMBER('中古車掲載'!N808),'中古車掲載'!N808&gt;=20000,'中古車掲載'!O808&lt;=100000,'中古車掲載'!AL808=1,'中古車掲載'!Z808="https://www.one2car.com/en/cars-for-sale/toyota/corolla-cross/year-2023"),'中古車掲載'!U808,"")</x:f>
      </x:c>
      <x:c r="BB807" s="3" t="str">
        <x:f>IF(AND('中古車掲載'!C808="One2car",'中古車掲載'!F808="ATTO 3",'中古車掲載'!L808="EXTENDED RANGE",'中古車掲載'!J808=2023,ISNUMBER('中古車掲載'!N808),'中古車掲載'!N808&gt;=50000,'中古車掲載'!O808&lt;=100000,'中古車掲載'!AL808=1),'中古車掲載'!U808,"")</x:f>
      </x:c>
      <x:c r="BC807" s="3" t="str">
        <x:f>IF(AND('中古車掲載'!C808="One2car",'中古車掲載'!F808="Corolla Cross",'中古車掲載'!L808="HEV PREMIUM SAFETY",'中古車掲載'!J808=2023,ISNUMBER('中古車掲載'!N808),'中古車掲載'!N808&gt;=50000,'中古車掲載'!O808&lt;=100000,'中古車掲載'!AL808=1,'中古車掲載'!Z808="https://www.one2car.com/en/cars-for-sale/toyota/corolla-cross/year-2023"),'中古車掲載'!U808,"")</x:f>
      </x:c>
      <x:c r="BD807" s="3" t="str">
        <x:f>IF(AND('中古車掲載'!C808="One2car",'中古車掲載'!F808="ATTO 3",'中古車掲載'!L808="EXTENDED RANGE",'中古車掲載'!J808=2023,ISNUMBER('中古車掲載'!N808),'中古車掲載'!N808&gt;=20000,'中古車掲載'!O808&lt;=50000,'中古車掲載'!AL808=1),'中古車掲載'!U808,"")</x:f>
      </x:c>
      <x:c r="BE807" s="3" t="str">
        <x:f>IF(AND('中古車掲載'!C808="One2car",'中古車掲載'!F808="Corolla Cross",'中古車掲載'!L808="HEV PREMIUM SAFETY",'中古車掲載'!J808=2023,ISNUMBER('中古車掲載'!N808),'中古車掲載'!N808&gt;=20000,'中古車掲載'!O808&lt;=50000,'中古車掲載'!AL808=1,'中古車掲載'!Z808="https://www.one2car.com/en/cars-for-sale/toyota/corolla-cross/year-2023"),'中古車掲載'!U808,"")</x:f>
      </x:c>
      <x:c r="BF807" s="3" t="str">
        <x:f>IF(AND('中古車掲載'!C808="One2car",'中古車掲載'!F808="Corolla Cross",'中古車掲載'!L808="HEV PREMIUM",'中古車掲載'!J808=2023,ISNUMBER('中古車掲載'!N808),'中古車掲載'!N808&gt;=20000,'中古車掲載'!O808&lt;=100000,'中古車掲載'!AL808=1,'中古車掲載'!Z808="https://www.one2car.com/en/cars-for-sale/toyota/corolla-cross/year-2023"),'中古車掲載'!U808,"")</x:f>
      </x:c>
      <x:c r="BG807" s="3" t="str">
        <x:f>IF(AND('中古車掲載'!C808="One2car",'中古車掲載'!F808="Corolla Cross",'中古車掲載'!L808="HEV GR SPORT",'中古車掲載'!J808=2023,ISNUMBER('中古車掲載'!N808),'中古車掲載'!N808&gt;=20000,'中古車掲載'!O808&lt;=100000,'中古車掲載'!AL808=1,'中古車掲載'!Z808="https://www.one2car.com/en/cars-for-sale/toyota/corolla-cross/year-2023"),'中古車掲載'!U808,"")</x:f>
      </x:c>
      <x:c r="BH807" s="3" t="str">
        <x:f>IF(AND('中古車掲載'!C808="One2car",'中古車掲載'!F808="DOLPHIN",'中古車掲載'!L808="STANDARD RANGE",'中古車掲載'!J808=2023,ISNUMBER('中古車掲載'!N808),'中古車掲載'!N808&gt;=20000,'中古車掲載'!O808&lt;=100000,'中古車掲載'!AL808=1),'中古車掲載'!U808,"")</x:f>
      </x:c>
      <x:c r="BI807" s="3" t="str">
        <x:v>Taladrod|Hilux Revo|ICE|Unknown</x:v>
      </x:c>
      <x:c r="BJ807" s="3" t="n">
        <x:v>808</x:v>
      </x:c>
      <x:c r="BK807" s="3" t="n">
        <x:f>'中古車掲載'!AM808</x:f>
        <x:v>659000</x:v>
      </x:c>
      <x:c r="BL807" s="3" t="str">
        <x:f>IF(ISNUMBER('中古車掲載'!AN808),'中古車掲載'!AN808,"")</x:f>
      </x:c>
      <x:c r="BM807" s="3"/>
      <x:c r="BN807" s="3"/>
      <x:c r="BO807" s="3"/>
      <x:c r="BP807" s="3"/>
      <x:c r="BQ807" s="3"/>
      <x:c r="BR807" s="3"/>
    </x:row>
    <x:row r="808" ht="22" customHeight="1">
      <x:c r="A808" s="3"/>
      <x:c r="B808" s="3"/>
      <x:c r="C808" s="3"/>
      <x:c r="D808" s="3"/>
      <x:c r="E808" s="3"/>
      <x:c r="F808" s="3"/>
      <x:c r="G808" s="3"/>
      <x:c r="H808" s="3"/>
      <x:c r="I808" s="3"/>
      <x:c r="J808" s="3"/>
      <x:c r="K808" s="3"/>
      <x:c r="L808" s="3"/>
      <x:c r="M808" s="3"/>
      <x:c r="N808" s="3"/>
      <x:c r="O808" s="3"/>
      <x:c r="P808" s="3"/>
      <x:c r="Q808" s="3"/>
      <x:c r="R808" s="3"/>
      <x:c r="S808" s="3"/>
      <x:c r="T808" s="3"/>
      <x:c r="U808" s="3"/>
      <x:c r="V808" s="3"/>
      <x:c r="W808" s="3"/>
      <x:c r="X808" s="3"/>
      <x:c r="Y808" s="3"/>
      <x:c r="Z808" s="3"/>
      <x:c r="AA808" s="3"/>
      <x:c r="AB808" s="3"/>
      <x:c r="AC808" s="3"/>
      <x:c r="AD808" s="3"/>
      <x:c r="AE808" s="3"/>
      <x:c r="AF808" s="3"/>
      <x:c r="AG808" s="3"/>
      <x:c r="AH808" s="3"/>
      <x:c r="AI808" s="3"/>
      <x:c r="AJ808" s="3"/>
      <x:c r="AK808" s="3"/>
      <x:c r="AL808" s="3"/>
      <x:c r="AM808" s="3"/>
      <x:c r="AN808" s="3"/>
      <x:c r="AO808" s="3"/>
      <x:c r="AP808" s="3"/>
      <x:c r="AQ808" s="3"/>
      <x:c r="AR808" s="3"/>
      <x:c r="AS808" s="3"/>
      <x:c r="AT808" s="3"/>
      <x:c r="AU808" s="3"/>
      <x:c r="AV808" s="3"/>
      <x:c r="AW808" s="3"/>
      <x:c r="AX808" s="3"/>
      <x:c r="AY808" s="3"/>
      <x:c r="AZ808" s="3" t="str">
        <x:f>IF(AND('中古車掲載'!C809="One2car",'中古車掲載'!F809="ATTO 3",'中古車掲載'!L809="EXTENDED RANGE",'中古車掲載'!J809=2023,ISNUMBER('中古車掲載'!N809),'中古車掲載'!N809&gt;=20000,'中古車掲載'!O809&lt;=100000,'中古車掲載'!AL809=1),'中古車掲載'!U809,"")</x:f>
      </x:c>
      <x:c r="BA808" s="3" t="str">
        <x:f>IF(AND('中古車掲載'!C809="One2car",'中古車掲載'!F809="Corolla Cross",'中古車掲載'!L809="HEV PREMIUM SAFETY",'中古車掲載'!J809=2023,ISNUMBER('中古車掲載'!N809),'中古車掲載'!N809&gt;=20000,'中古車掲載'!O809&lt;=100000,'中古車掲載'!AL809=1,'中古車掲載'!Z809="https://www.one2car.com/en/cars-for-sale/toyota/corolla-cross/year-2023"),'中古車掲載'!U809,"")</x:f>
      </x:c>
      <x:c r="BB808" s="3" t="str">
        <x:f>IF(AND('中古車掲載'!C809="One2car",'中古車掲載'!F809="ATTO 3",'中古車掲載'!L809="EXTENDED RANGE",'中古車掲載'!J809=2023,ISNUMBER('中古車掲載'!N809),'中古車掲載'!N809&gt;=50000,'中古車掲載'!O809&lt;=100000,'中古車掲載'!AL809=1),'中古車掲載'!U809,"")</x:f>
      </x:c>
      <x:c r="BC808" s="3" t="str">
        <x:f>IF(AND('中古車掲載'!C809="One2car",'中古車掲載'!F809="Corolla Cross",'中古車掲載'!L809="HEV PREMIUM SAFETY",'中古車掲載'!J809=2023,ISNUMBER('中古車掲載'!N809),'中古車掲載'!N809&gt;=50000,'中古車掲載'!O809&lt;=100000,'中古車掲載'!AL809=1,'中古車掲載'!Z809="https://www.one2car.com/en/cars-for-sale/toyota/corolla-cross/year-2023"),'中古車掲載'!U809,"")</x:f>
      </x:c>
      <x:c r="BD808" s="3" t="str">
        <x:f>IF(AND('中古車掲載'!C809="One2car",'中古車掲載'!F809="ATTO 3",'中古車掲載'!L809="EXTENDED RANGE",'中古車掲載'!J809=2023,ISNUMBER('中古車掲載'!N809),'中古車掲載'!N809&gt;=20000,'中古車掲載'!O809&lt;=50000,'中古車掲載'!AL809=1),'中古車掲載'!U809,"")</x:f>
      </x:c>
      <x:c r="BE808" s="3" t="str">
        <x:f>IF(AND('中古車掲載'!C809="One2car",'中古車掲載'!F809="Corolla Cross",'中古車掲載'!L809="HEV PREMIUM SAFETY",'中古車掲載'!J809=2023,ISNUMBER('中古車掲載'!N809),'中古車掲載'!N809&gt;=20000,'中古車掲載'!O809&lt;=50000,'中古車掲載'!AL809=1,'中古車掲載'!Z809="https://www.one2car.com/en/cars-for-sale/toyota/corolla-cross/year-2023"),'中古車掲載'!U809,"")</x:f>
      </x:c>
      <x:c r="BF808" s="3" t="str">
        <x:f>IF(AND('中古車掲載'!C809="One2car",'中古車掲載'!F809="Corolla Cross",'中古車掲載'!L809="HEV PREMIUM",'中古車掲載'!J809=2023,ISNUMBER('中古車掲載'!N809),'中古車掲載'!N809&gt;=20000,'中古車掲載'!O809&lt;=100000,'中古車掲載'!AL809=1,'中古車掲載'!Z809="https://www.one2car.com/en/cars-for-sale/toyota/corolla-cross/year-2023"),'中古車掲載'!U809,"")</x:f>
      </x:c>
      <x:c r="BG808" s="3" t="str">
        <x:f>IF(AND('中古車掲載'!C809="One2car",'中古車掲載'!F809="Corolla Cross",'中古車掲載'!L809="HEV GR SPORT",'中古車掲載'!J809=2023,ISNUMBER('中古車掲載'!N809),'中古車掲載'!N809&gt;=20000,'中古車掲載'!O809&lt;=100000,'中古車掲載'!AL809=1,'中古車掲載'!Z809="https://www.one2car.com/en/cars-for-sale/toyota/corolla-cross/year-2023"),'中古車掲載'!U809,"")</x:f>
      </x:c>
      <x:c r="BH808" s="3" t="str">
        <x:f>IF(AND('中古車掲載'!C809="One2car",'中古車掲載'!F809="DOLPHIN",'中古車掲載'!L809="STANDARD RANGE",'中古車掲載'!J809=2023,ISNUMBER('中古車掲載'!N809),'中古車掲載'!N809&gt;=20000,'中古車掲載'!O809&lt;=100000,'中古車掲載'!AL809=1),'中古車掲載'!U809,"")</x:f>
      </x:c>
      <x:c r="BI808" s="3" t="str">
        <x:v>Taladrod|Hilux Revo|ICE|Unknown</x:v>
      </x:c>
      <x:c r="BJ808" s="3" t="n">
        <x:v>809</x:v>
      </x:c>
      <x:c r="BK808" s="3" t="n">
        <x:f>'中古車掲載'!AM809</x:f>
        <x:v>494000</x:v>
      </x:c>
      <x:c r="BL808" s="3" t="str">
        <x:f>IF(ISNUMBER('中古車掲載'!AN809),'中古車掲載'!AN809,"")</x:f>
      </x:c>
      <x:c r="BM808" s="3"/>
      <x:c r="BN808" s="3"/>
      <x:c r="BO808" s="3"/>
      <x:c r="BP808" s="3"/>
      <x:c r="BQ808" s="3"/>
      <x:c r="BR808" s="3"/>
    </x:row>
    <x:row r="809" ht="22" customHeight="1">
      <x:c r="A809" s="3"/>
      <x:c r="B809" s="3"/>
      <x:c r="C809" s="3"/>
      <x:c r="D809" s="3"/>
      <x:c r="E809" s="3"/>
      <x:c r="F809" s="3"/>
      <x:c r="G809" s="3"/>
      <x:c r="H809" s="3"/>
      <x:c r="I809" s="3"/>
      <x:c r="J809" s="3"/>
      <x:c r="K809" s="3"/>
      <x:c r="L809" s="3"/>
      <x:c r="M809" s="3"/>
      <x:c r="N809" s="3"/>
      <x:c r="O809" s="3"/>
      <x:c r="P809" s="3"/>
      <x:c r="Q809" s="3"/>
      <x:c r="R809" s="3"/>
      <x:c r="S809" s="3"/>
      <x:c r="T809" s="3"/>
      <x:c r="U809" s="3"/>
      <x:c r="V809" s="3"/>
      <x:c r="W809" s="3"/>
      <x:c r="X809" s="3"/>
      <x:c r="Y809" s="3"/>
      <x:c r="Z809" s="3"/>
      <x:c r="AA809" s="3"/>
      <x:c r="AB809" s="3"/>
      <x:c r="AC809" s="3"/>
      <x:c r="AD809" s="3"/>
      <x:c r="AE809" s="3"/>
      <x:c r="AF809" s="3"/>
      <x:c r="AG809" s="3"/>
      <x:c r="AH809" s="3"/>
      <x:c r="AI809" s="3"/>
      <x:c r="AJ809" s="3"/>
      <x:c r="AK809" s="3"/>
      <x:c r="AL809" s="3"/>
      <x:c r="AM809" s="3"/>
      <x:c r="AN809" s="3"/>
      <x:c r="AO809" s="3"/>
      <x:c r="AP809" s="3"/>
      <x:c r="AQ809" s="3"/>
      <x:c r="AR809" s="3"/>
      <x:c r="AS809" s="3"/>
      <x:c r="AT809" s="3"/>
      <x:c r="AU809" s="3"/>
      <x:c r="AV809" s="3"/>
      <x:c r="AW809" s="3"/>
      <x:c r="AX809" s="3"/>
      <x:c r="AY809" s="3"/>
      <x:c r="AZ809" s="3" t="str">
        <x:f>IF(AND('中古車掲載'!C810="One2car",'中古車掲載'!F810="ATTO 3",'中古車掲載'!L810="EXTENDED RANGE",'中古車掲載'!J810=2023,ISNUMBER('中古車掲載'!N810),'中古車掲載'!N810&gt;=20000,'中古車掲載'!O810&lt;=100000,'中古車掲載'!AL810=1),'中古車掲載'!U810,"")</x:f>
      </x:c>
      <x:c r="BA809" s="3" t="str">
        <x:f>IF(AND('中古車掲載'!C810="One2car",'中古車掲載'!F810="Corolla Cross",'中古車掲載'!L810="HEV PREMIUM SAFETY",'中古車掲載'!J810=2023,ISNUMBER('中古車掲載'!N810),'中古車掲載'!N810&gt;=20000,'中古車掲載'!O810&lt;=100000,'中古車掲載'!AL810=1,'中古車掲載'!Z810="https://www.one2car.com/en/cars-for-sale/toyota/corolla-cross/year-2023"),'中古車掲載'!U810,"")</x:f>
      </x:c>
      <x:c r="BB809" s="3" t="str">
        <x:f>IF(AND('中古車掲載'!C810="One2car",'中古車掲載'!F810="ATTO 3",'中古車掲載'!L810="EXTENDED RANGE",'中古車掲載'!J810=2023,ISNUMBER('中古車掲載'!N810),'中古車掲載'!N810&gt;=50000,'中古車掲載'!O810&lt;=100000,'中古車掲載'!AL810=1),'中古車掲載'!U810,"")</x:f>
      </x:c>
      <x:c r="BC809" s="3" t="str">
        <x:f>IF(AND('中古車掲載'!C810="One2car",'中古車掲載'!F810="Corolla Cross",'中古車掲載'!L810="HEV PREMIUM SAFETY",'中古車掲載'!J810=2023,ISNUMBER('中古車掲載'!N810),'中古車掲載'!N810&gt;=50000,'中古車掲載'!O810&lt;=100000,'中古車掲載'!AL810=1,'中古車掲載'!Z810="https://www.one2car.com/en/cars-for-sale/toyota/corolla-cross/year-2023"),'中古車掲載'!U810,"")</x:f>
      </x:c>
      <x:c r="BD809" s="3" t="str">
        <x:f>IF(AND('中古車掲載'!C810="One2car",'中古車掲載'!F810="ATTO 3",'中古車掲載'!L810="EXTENDED RANGE",'中古車掲載'!J810=2023,ISNUMBER('中古車掲載'!N810),'中古車掲載'!N810&gt;=20000,'中古車掲載'!O810&lt;=50000,'中古車掲載'!AL810=1),'中古車掲載'!U810,"")</x:f>
      </x:c>
      <x:c r="BE809" s="3" t="str">
        <x:f>IF(AND('中古車掲載'!C810="One2car",'中古車掲載'!F810="Corolla Cross",'中古車掲載'!L810="HEV PREMIUM SAFETY",'中古車掲載'!J810=2023,ISNUMBER('中古車掲載'!N810),'中古車掲載'!N810&gt;=20000,'中古車掲載'!O810&lt;=50000,'中古車掲載'!AL810=1,'中古車掲載'!Z810="https://www.one2car.com/en/cars-for-sale/toyota/corolla-cross/year-2023"),'中古車掲載'!U810,"")</x:f>
      </x:c>
      <x:c r="BF809" s="3" t="str">
        <x:f>IF(AND('中古車掲載'!C810="One2car",'中古車掲載'!F810="Corolla Cross",'中古車掲載'!L810="HEV PREMIUM",'中古車掲載'!J810=2023,ISNUMBER('中古車掲載'!N810),'中古車掲載'!N810&gt;=20000,'中古車掲載'!O810&lt;=100000,'中古車掲載'!AL810=1,'中古車掲載'!Z810="https://www.one2car.com/en/cars-for-sale/toyota/corolla-cross/year-2023"),'中古車掲載'!U810,"")</x:f>
      </x:c>
      <x:c r="BG809" s="3" t="str">
        <x:f>IF(AND('中古車掲載'!C810="One2car",'中古車掲載'!F810="Corolla Cross",'中古車掲載'!L810="HEV GR SPORT",'中古車掲載'!J810=2023,ISNUMBER('中古車掲載'!N810),'中古車掲載'!N810&gt;=20000,'中古車掲載'!O810&lt;=100000,'中古車掲載'!AL810=1,'中古車掲載'!Z810="https://www.one2car.com/en/cars-for-sale/toyota/corolla-cross/year-2023"),'中古車掲載'!U810,"")</x:f>
      </x:c>
      <x:c r="BH809" s="3" t="str">
        <x:f>IF(AND('中古車掲載'!C810="One2car",'中古車掲載'!F810="DOLPHIN",'中古車掲載'!L810="STANDARD RANGE",'中古車掲載'!J810=2023,ISNUMBER('中古車掲載'!N810),'中古車掲載'!N810&gt;=20000,'中古車掲載'!O810&lt;=100000,'中古車掲載'!AL810=1),'中古車掲載'!U810,"")</x:f>
      </x:c>
      <x:c r="BI809" s="3" t="str">
        <x:v>Taladrod|Hilux Revo|ICE|Unknown</x:v>
      </x:c>
      <x:c r="BJ809" s="3" t="n">
        <x:v>810</x:v>
      </x:c>
      <x:c r="BK809" s="3" t="n">
        <x:f>'中古車掲載'!AM810</x:f>
        <x:v>600000</x:v>
      </x:c>
      <x:c r="BL809" s="3" t="str">
        <x:f>IF(ISNUMBER('中古車掲載'!AN810),'中古車掲載'!AN810,"")</x:f>
      </x:c>
      <x:c r="BM809" s="3"/>
      <x:c r="BN809" s="3"/>
      <x:c r="BO809" s="3"/>
      <x:c r="BP809" s="3"/>
      <x:c r="BQ809" s="3"/>
      <x:c r="BR809" s="3"/>
    </x:row>
    <x:row r="810" ht="22" customHeight="1">
      <x:c r="A810" s="3"/>
      <x:c r="B810" s="3"/>
      <x:c r="C810" s="3"/>
      <x:c r="D810" s="3"/>
      <x:c r="E810" s="3"/>
      <x:c r="F810" s="3"/>
      <x:c r="G810" s="3"/>
      <x:c r="H810" s="3"/>
      <x:c r="I810" s="3"/>
      <x:c r="J810" s="3"/>
      <x:c r="K810" s="3"/>
      <x:c r="L810" s="3"/>
      <x:c r="M810" s="3"/>
      <x:c r="N810" s="3"/>
      <x:c r="O810" s="3"/>
      <x:c r="P810" s="3"/>
      <x:c r="Q810" s="3"/>
      <x:c r="R810" s="3"/>
      <x:c r="S810" s="3"/>
      <x:c r="T810" s="3"/>
      <x:c r="U810" s="3"/>
      <x:c r="V810" s="3"/>
      <x:c r="W810" s="3"/>
      <x:c r="X810" s="3"/>
      <x:c r="Y810" s="3"/>
      <x:c r="Z810" s="3"/>
      <x:c r="AA810" s="3"/>
      <x:c r="AB810" s="3"/>
      <x:c r="AC810" s="3"/>
      <x:c r="AD810" s="3"/>
      <x:c r="AE810" s="3"/>
      <x:c r="AF810" s="3"/>
      <x:c r="AG810" s="3"/>
      <x:c r="AH810" s="3"/>
      <x:c r="AI810" s="3"/>
      <x:c r="AJ810" s="3"/>
      <x:c r="AK810" s="3"/>
      <x:c r="AL810" s="3"/>
      <x:c r="AM810" s="3"/>
      <x:c r="AN810" s="3"/>
      <x:c r="AO810" s="3"/>
      <x:c r="AP810" s="3"/>
      <x:c r="AQ810" s="3"/>
      <x:c r="AR810" s="3"/>
      <x:c r="AS810" s="3"/>
      <x:c r="AT810" s="3"/>
      <x:c r="AU810" s="3"/>
      <x:c r="AV810" s="3"/>
      <x:c r="AW810" s="3"/>
      <x:c r="AX810" s="3"/>
      <x:c r="AY810" s="3"/>
      <x:c r="AZ810" s="3" t="str">
        <x:f>IF(AND('中古車掲載'!C811="One2car",'中古車掲載'!F811="ATTO 3",'中古車掲載'!L811="EXTENDED RANGE",'中古車掲載'!J811=2023,ISNUMBER('中古車掲載'!N811),'中古車掲載'!N811&gt;=20000,'中古車掲載'!O811&lt;=100000,'中古車掲載'!AL811=1),'中古車掲載'!U811,"")</x:f>
      </x:c>
      <x:c r="BA810" s="3" t="str">
        <x:f>IF(AND('中古車掲載'!C811="One2car",'中古車掲載'!F811="Corolla Cross",'中古車掲載'!L811="HEV PREMIUM SAFETY",'中古車掲載'!J811=2023,ISNUMBER('中古車掲載'!N811),'中古車掲載'!N811&gt;=20000,'中古車掲載'!O811&lt;=100000,'中古車掲載'!AL811=1,'中古車掲載'!Z811="https://www.one2car.com/en/cars-for-sale/toyota/corolla-cross/year-2023"),'中古車掲載'!U811,"")</x:f>
      </x:c>
      <x:c r="BB810" s="3" t="str">
        <x:f>IF(AND('中古車掲載'!C811="One2car",'中古車掲載'!F811="ATTO 3",'中古車掲載'!L811="EXTENDED RANGE",'中古車掲載'!J811=2023,ISNUMBER('中古車掲載'!N811),'中古車掲載'!N811&gt;=50000,'中古車掲載'!O811&lt;=100000,'中古車掲載'!AL811=1),'中古車掲載'!U811,"")</x:f>
      </x:c>
      <x:c r="BC810" s="3" t="str">
        <x:f>IF(AND('中古車掲載'!C811="One2car",'中古車掲載'!F811="Corolla Cross",'中古車掲載'!L811="HEV PREMIUM SAFETY",'中古車掲載'!J811=2023,ISNUMBER('中古車掲載'!N811),'中古車掲載'!N811&gt;=50000,'中古車掲載'!O811&lt;=100000,'中古車掲載'!AL811=1,'中古車掲載'!Z811="https://www.one2car.com/en/cars-for-sale/toyota/corolla-cross/year-2023"),'中古車掲載'!U811,"")</x:f>
      </x:c>
      <x:c r="BD810" s="3" t="str">
        <x:f>IF(AND('中古車掲載'!C811="One2car",'中古車掲載'!F811="ATTO 3",'中古車掲載'!L811="EXTENDED RANGE",'中古車掲載'!J811=2023,ISNUMBER('中古車掲載'!N811),'中古車掲載'!N811&gt;=20000,'中古車掲載'!O811&lt;=50000,'中古車掲載'!AL811=1),'中古車掲載'!U811,"")</x:f>
      </x:c>
      <x:c r="BE810" s="3" t="str">
        <x:f>IF(AND('中古車掲載'!C811="One2car",'中古車掲載'!F811="Corolla Cross",'中古車掲載'!L811="HEV PREMIUM SAFETY",'中古車掲載'!J811=2023,ISNUMBER('中古車掲載'!N811),'中古車掲載'!N811&gt;=20000,'中古車掲載'!O811&lt;=50000,'中古車掲載'!AL811=1,'中古車掲載'!Z811="https://www.one2car.com/en/cars-for-sale/toyota/corolla-cross/year-2023"),'中古車掲載'!U811,"")</x:f>
      </x:c>
      <x:c r="BF810" s="3" t="str">
        <x:f>IF(AND('中古車掲載'!C811="One2car",'中古車掲載'!F811="Corolla Cross",'中古車掲載'!L811="HEV PREMIUM",'中古車掲載'!J811=2023,ISNUMBER('中古車掲載'!N811),'中古車掲載'!N811&gt;=20000,'中古車掲載'!O811&lt;=100000,'中古車掲載'!AL811=1,'中古車掲載'!Z811="https://www.one2car.com/en/cars-for-sale/toyota/corolla-cross/year-2023"),'中古車掲載'!U811,"")</x:f>
      </x:c>
      <x:c r="BG810" s="3" t="str">
        <x:f>IF(AND('中古車掲載'!C811="One2car",'中古車掲載'!F811="Corolla Cross",'中古車掲載'!L811="HEV GR SPORT",'中古車掲載'!J811=2023,ISNUMBER('中古車掲載'!N811),'中古車掲載'!N811&gt;=20000,'中古車掲載'!O811&lt;=100000,'中古車掲載'!AL811=1,'中古車掲載'!Z811="https://www.one2car.com/en/cars-for-sale/toyota/corolla-cross/year-2023"),'中古車掲載'!U811,"")</x:f>
      </x:c>
      <x:c r="BH810" s="3" t="str">
        <x:f>IF(AND('中古車掲載'!C811="One2car",'中古車掲載'!F811="DOLPHIN",'中古車掲載'!L811="STANDARD RANGE",'中古車掲載'!J811=2023,ISNUMBER('中古車掲載'!N811),'中古車掲載'!N811&gt;=20000,'中古車掲載'!O811&lt;=100000,'中古車掲載'!AL811=1),'中古車掲載'!U811,"")</x:f>
      </x:c>
      <x:c r="BI810" s="3" t="str">
        <x:v>Taladrod|Hilux Revo|ICE|Unknown</x:v>
      </x:c>
      <x:c r="BJ810" s="3" t="n">
        <x:v>811</x:v>
      </x:c>
      <x:c r="BK810" s="3" t="n">
        <x:f>'中古車掲載'!AM811</x:f>
        <x:v>499000</x:v>
      </x:c>
      <x:c r="BL810" s="3" t="str">
        <x:f>IF(ISNUMBER('中古車掲載'!AN811),'中古車掲載'!AN811,"")</x:f>
      </x:c>
      <x:c r="BM810" s="3"/>
      <x:c r="BN810" s="3"/>
      <x:c r="BO810" s="3"/>
      <x:c r="BP810" s="3"/>
      <x:c r="BQ810" s="3"/>
      <x:c r="BR810" s="3"/>
    </x:row>
    <x:row r="811" ht="22" customHeight="1">
      <x:c r="A811" s="3"/>
      <x:c r="B811" s="3"/>
      <x:c r="C811" s="3"/>
      <x:c r="D811" s="3"/>
      <x:c r="E811" s="3"/>
      <x:c r="F811" s="3"/>
      <x:c r="G811" s="3"/>
      <x:c r="H811" s="3"/>
      <x:c r="I811" s="3"/>
      <x:c r="J811" s="3"/>
      <x:c r="K811" s="3"/>
      <x:c r="L811" s="3"/>
      <x:c r="M811" s="3"/>
      <x:c r="N811" s="3"/>
      <x:c r="O811" s="3"/>
      <x:c r="P811" s="3"/>
      <x:c r="Q811" s="3"/>
      <x:c r="R811" s="3"/>
      <x:c r="S811" s="3"/>
      <x:c r="T811" s="3"/>
      <x:c r="U811" s="3"/>
      <x:c r="V811" s="3"/>
      <x:c r="W811" s="3"/>
      <x:c r="X811" s="3"/>
      <x:c r="Y811" s="3"/>
      <x:c r="Z811" s="3"/>
      <x:c r="AA811" s="3"/>
      <x:c r="AB811" s="3"/>
      <x:c r="AC811" s="3"/>
      <x:c r="AD811" s="3"/>
      <x:c r="AE811" s="3"/>
      <x:c r="AF811" s="3"/>
      <x:c r="AG811" s="3"/>
      <x:c r="AH811" s="3"/>
      <x:c r="AI811" s="3"/>
      <x:c r="AJ811" s="3"/>
      <x:c r="AK811" s="3"/>
      <x:c r="AL811" s="3"/>
      <x:c r="AM811" s="3"/>
      <x:c r="AN811" s="3"/>
      <x:c r="AO811" s="3"/>
      <x:c r="AP811" s="3"/>
      <x:c r="AQ811" s="3"/>
      <x:c r="AR811" s="3"/>
      <x:c r="AS811" s="3"/>
      <x:c r="AT811" s="3"/>
      <x:c r="AU811" s="3"/>
      <x:c r="AV811" s="3"/>
      <x:c r="AW811" s="3"/>
      <x:c r="AX811" s="3"/>
      <x:c r="AY811" s="3"/>
      <x:c r="AZ811" s="3" t="str">
        <x:f>IF(AND('中古車掲載'!C812="One2car",'中古車掲載'!F812="ATTO 3",'中古車掲載'!L812="EXTENDED RANGE",'中古車掲載'!J812=2023,ISNUMBER('中古車掲載'!N812),'中古車掲載'!N812&gt;=20000,'中古車掲載'!O812&lt;=100000,'中古車掲載'!AL812=1),'中古車掲載'!U812,"")</x:f>
      </x:c>
      <x:c r="BA811" s="3" t="str">
        <x:f>IF(AND('中古車掲載'!C812="One2car",'中古車掲載'!F812="Corolla Cross",'中古車掲載'!L812="HEV PREMIUM SAFETY",'中古車掲載'!J812=2023,ISNUMBER('中古車掲載'!N812),'中古車掲載'!N812&gt;=20000,'中古車掲載'!O812&lt;=100000,'中古車掲載'!AL812=1,'中古車掲載'!Z812="https://www.one2car.com/en/cars-for-sale/toyota/corolla-cross/year-2023"),'中古車掲載'!U812,"")</x:f>
      </x:c>
      <x:c r="BB811" s="3" t="str">
        <x:f>IF(AND('中古車掲載'!C812="One2car",'中古車掲載'!F812="ATTO 3",'中古車掲載'!L812="EXTENDED RANGE",'中古車掲載'!J812=2023,ISNUMBER('中古車掲載'!N812),'中古車掲載'!N812&gt;=50000,'中古車掲載'!O812&lt;=100000,'中古車掲載'!AL812=1),'中古車掲載'!U812,"")</x:f>
      </x:c>
      <x:c r="BC811" s="3" t="str">
        <x:f>IF(AND('中古車掲載'!C812="One2car",'中古車掲載'!F812="Corolla Cross",'中古車掲載'!L812="HEV PREMIUM SAFETY",'中古車掲載'!J812=2023,ISNUMBER('中古車掲載'!N812),'中古車掲載'!N812&gt;=50000,'中古車掲載'!O812&lt;=100000,'中古車掲載'!AL812=1,'中古車掲載'!Z812="https://www.one2car.com/en/cars-for-sale/toyota/corolla-cross/year-2023"),'中古車掲載'!U812,"")</x:f>
      </x:c>
      <x:c r="BD811" s="3" t="str">
        <x:f>IF(AND('中古車掲載'!C812="One2car",'中古車掲載'!F812="ATTO 3",'中古車掲載'!L812="EXTENDED RANGE",'中古車掲載'!J812=2023,ISNUMBER('中古車掲載'!N812),'中古車掲載'!N812&gt;=20000,'中古車掲載'!O812&lt;=50000,'中古車掲載'!AL812=1),'中古車掲載'!U812,"")</x:f>
      </x:c>
      <x:c r="BE811" s="3" t="str">
        <x:f>IF(AND('中古車掲載'!C812="One2car",'中古車掲載'!F812="Corolla Cross",'中古車掲載'!L812="HEV PREMIUM SAFETY",'中古車掲載'!J812=2023,ISNUMBER('中古車掲載'!N812),'中古車掲載'!N812&gt;=20000,'中古車掲載'!O812&lt;=50000,'中古車掲載'!AL812=1,'中古車掲載'!Z812="https://www.one2car.com/en/cars-for-sale/toyota/corolla-cross/year-2023"),'中古車掲載'!U812,"")</x:f>
      </x:c>
      <x:c r="BF811" s="3" t="str">
        <x:f>IF(AND('中古車掲載'!C812="One2car",'中古車掲載'!F812="Corolla Cross",'中古車掲載'!L812="HEV PREMIUM",'中古車掲載'!J812=2023,ISNUMBER('中古車掲載'!N812),'中古車掲載'!N812&gt;=20000,'中古車掲載'!O812&lt;=100000,'中古車掲載'!AL812=1,'中古車掲載'!Z812="https://www.one2car.com/en/cars-for-sale/toyota/corolla-cross/year-2023"),'中古車掲載'!U812,"")</x:f>
      </x:c>
      <x:c r="BG811" s="3" t="str">
        <x:f>IF(AND('中古車掲載'!C812="One2car",'中古車掲載'!F812="Corolla Cross",'中古車掲載'!L812="HEV GR SPORT",'中古車掲載'!J812=2023,ISNUMBER('中古車掲載'!N812),'中古車掲載'!N812&gt;=20000,'中古車掲載'!O812&lt;=100000,'中古車掲載'!AL812=1,'中古車掲載'!Z812="https://www.one2car.com/en/cars-for-sale/toyota/corolla-cross/year-2023"),'中古車掲載'!U812,"")</x:f>
      </x:c>
      <x:c r="BH811" s="3" t="str">
        <x:f>IF(AND('中古車掲載'!C812="One2car",'中古車掲載'!F812="DOLPHIN",'中古車掲載'!L812="STANDARD RANGE",'中古車掲載'!J812=2023,ISNUMBER('中古車掲載'!N812),'中古車掲載'!N812&gt;=20000,'中古車掲載'!O812&lt;=100000,'中古車掲載'!AL812=1),'中古車掲載'!U812,"")</x:f>
      </x:c>
      <x:c r="BI811" s="3" t="str">
        <x:v>Taladrod|Hilux Revo|ICE|Unknown</x:v>
      </x:c>
      <x:c r="BJ811" s="3" t="n">
        <x:v>812</x:v>
      </x:c>
      <x:c r="BK811" s="3" t="n">
        <x:f>'中古車掲載'!AM812</x:f>
        <x:v>479000</x:v>
      </x:c>
      <x:c r="BL811" s="3" t="str">
        <x:f>IF(ISNUMBER('中古車掲載'!AN812),'中古車掲載'!AN812,"")</x:f>
      </x:c>
      <x:c r="BM811" s="3"/>
      <x:c r="BN811" s="3"/>
      <x:c r="BO811" s="3"/>
      <x:c r="BP811" s="3"/>
      <x:c r="BQ811" s="3"/>
      <x:c r="BR811" s="3"/>
    </x:row>
    <x:row r="812" ht="22" customHeight="1">
      <x:c r="A812" s="3"/>
      <x:c r="B812" s="3"/>
      <x:c r="C812" s="3"/>
      <x:c r="D812" s="3"/>
      <x:c r="E812" s="3"/>
      <x:c r="F812" s="3"/>
      <x:c r="G812" s="3"/>
      <x:c r="H812" s="3"/>
      <x:c r="I812" s="3"/>
      <x:c r="J812" s="3"/>
      <x:c r="K812" s="3"/>
      <x:c r="L812" s="3"/>
      <x:c r="M812" s="3"/>
      <x:c r="N812" s="3"/>
      <x:c r="O812" s="3"/>
      <x:c r="P812" s="3"/>
      <x:c r="Q812" s="3"/>
      <x:c r="R812" s="3"/>
      <x:c r="S812" s="3"/>
      <x:c r="T812" s="3"/>
      <x:c r="U812" s="3"/>
      <x:c r="V812" s="3"/>
      <x:c r="W812" s="3"/>
      <x:c r="X812" s="3"/>
      <x:c r="Y812" s="3"/>
      <x:c r="Z812" s="3"/>
      <x:c r="AA812" s="3"/>
      <x:c r="AB812" s="3"/>
      <x:c r="AC812" s="3"/>
      <x:c r="AD812" s="3"/>
      <x:c r="AE812" s="3"/>
      <x:c r="AF812" s="3"/>
      <x:c r="AG812" s="3"/>
      <x:c r="AH812" s="3"/>
      <x:c r="AI812" s="3"/>
      <x:c r="AJ812" s="3"/>
      <x:c r="AK812" s="3"/>
      <x:c r="AL812" s="3"/>
      <x:c r="AM812" s="3"/>
      <x:c r="AN812" s="3"/>
      <x:c r="AO812" s="3"/>
      <x:c r="AP812" s="3"/>
      <x:c r="AQ812" s="3"/>
      <x:c r="AR812" s="3"/>
      <x:c r="AS812" s="3"/>
      <x:c r="AT812" s="3"/>
      <x:c r="AU812" s="3"/>
      <x:c r="AV812" s="3"/>
      <x:c r="AW812" s="3"/>
      <x:c r="AX812" s="3"/>
      <x:c r="AY812" s="3"/>
      <x:c r="AZ812" s="3" t="str">
        <x:f>IF(AND('中古車掲載'!C813="One2car",'中古車掲載'!F813="ATTO 3",'中古車掲載'!L813="EXTENDED RANGE",'中古車掲載'!J813=2023,ISNUMBER('中古車掲載'!N813),'中古車掲載'!N813&gt;=20000,'中古車掲載'!O813&lt;=100000,'中古車掲載'!AL813=1),'中古車掲載'!U813,"")</x:f>
      </x:c>
      <x:c r="BA812" s="3" t="str">
        <x:f>IF(AND('中古車掲載'!C813="One2car",'中古車掲載'!F813="Corolla Cross",'中古車掲載'!L813="HEV PREMIUM SAFETY",'中古車掲載'!J813=2023,ISNUMBER('中古車掲載'!N813),'中古車掲載'!N813&gt;=20000,'中古車掲載'!O813&lt;=100000,'中古車掲載'!AL813=1,'中古車掲載'!Z813="https://www.one2car.com/en/cars-for-sale/toyota/corolla-cross/year-2023"),'中古車掲載'!U813,"")</x:f>
      </x:c>
      <x:c r="BB812" s="3" t="str">
        <x:f>IF(AND('中古車掲載'!C813="One2car",'中古車掲載'!F813="ATTO 3",'中古車掲載'!L813="EXTENDED RANGE",'中古車掲載'!J813=2023,ISNUMBER('中古車掲載'!N813),'中古車掲載'!N813&gt;=50000,'中古車掲載'!O813&lt;=100000,'中古車掲載'!AL813=1),'中古車掲載'!U813,"")</x:f>
      </x:c>
      <x:c r="BC812" s="3" t="str">
        <x:f>IF(AND('中古車掲載'!C813="One2car",'中古車掲載'!F813="Corolla Cross",'中古車掲載'!L813="HEV PREMIUM SAFETY",'中古車掲載'!J813=2023,ISNUMBER('中古車掲載'!N813),'中古車掲載'!N813&gt;=50000,'中古車掲載'!O813&lt;=100000,'中古車掲載'!AL813=1,'中古車掲載'!Z813="https://www.one2car.com/en/cars-for-sale/toyota/corolla-cross/year-2023"),'中古車掲載'!U813,"")</x:f>
      </x:c>
      <x:c r="BD812" s="3" t="str">
        <x:f>IF(AND('中古車掲載'!C813="One2car",'中古車掲載'!F813="ATTO 3",'中古車掲載'!L813="EXTENDED RANGE",'中古車掲載'!J813=2023,ISNUMBER('中古車掲載'!N813),'中古車掲載'!N813&gt;=20000,'中古車掲載'!O813&lt;=50000,'中古車掲載'!AL813=1),'中古車掲載'!U813,"")</x:f>
      </x:c>
      <x:c r="BE812" s="3" t="str">
        <x:f>IF(AND('中古車掲載'!C813="One2car",'中古車掲載'!F813="Corolla Cross",'中古車掲載'!L813="HEV PREMIUM SAFETY",'中古車掲載'!J813=2023,ISNUMBER('中古車掲載'!N813),'中古車掲載'!N813&gt;=20000,'中古車掲載'!O813&lt;=50000,'中古車掲載'!AL813=1,'中古車掲載'!Z813="https://www.one2car.com/en/cars-for-sale/toyota/corolla-cross/year-2023"),'中古車掲載'!U813,"")</x:f>
      </x:c>
      <x:c r="BF812" s="3" t="str">
        <x:f>IF(AND('中古車掲載'!C813="One2car",'中古車掲載'!F813="Corolla Cross",'中古車掲載'!L813="HEV PREMIUM",'中古車掲載'!J813=2023,ISNUMBER('中古車掲載'!N813),'中古車掲載'!N813&gt;=20000,'中古車掲載'!O813&lt;=100000,'中古車掲載'!AL813=1,'中古車掲載'!Z813="https://www.one2car.com/en/cars-for-sale/toyota/corolla-cross/year-2023"),'中古車掲載'!U813,"")</x:f>
      </x:c>
      <x:c r="BG812" s="3" t="str">
        <x:f>IF(AND('中古車掲載'!C813="One2car",'中古車掲載'!F813="Corolla Cross",'中古車掲載'!L813="HEV GR SPORT",'中古車掲載'!J813=2023,ISNUMBER('中古車掲載'!N813),'中古車掲載'!N813&gt;=20000,'中古車掲載'!O813&lt;=100000,'中古車掲載'!AL813=1,'中古車掲載'!Z813="https://www.one2car.com/en/cars-for-sale/toyota/corolla-cross/year-2023"),'中古車掲載'!U813,"")</x:f>
      </x:c>
      <x:c r="BH812" s="3" t="str">
        <x:f>IF(AND('中古車掲載'!C813="One2car",'中古車掲載'!F813="DOLPHIN",'中古車掲載'!L813="STANDARD RANGE",'中古車掲載'!J813=2023,ISNUMBER('中古車掲載'!N813),'中古車掲載'!N813&gt;=20000,'中古車掲載'!O813&lt;=100000,'中古車掲載'!AL813=1),'中古車掲載'!U813,"")</x:f>
      </x:c>
      <x:c r="BI812" s="3" t="str">
        <x:v>Taladrod|Hilux Revo|ICE|Unknown</x:v>
      </x:c>
      <x:c r="BJ812" s="3" t="n">
        <x:v>813</x:v>
      </x:c>
      <x:c r="BK812" s="3" t="n">
        <x:f>'中古車掲載'!AM813</x:f>
        <x:v>569000</x:v>
      </x:c>
      <x:c r="BL812" s="3" t="str">
        <x:f>IF(ISNUMBER('中古車掲載'!AN813),'中古車掲載'!AN813,"")</x:f>
      </x:c>
      <x:c r="BM812" s="3"/>
      <x:c r="BN812" s="3"/>
      <x:c r="BO812" s="3"/>
      <x:c r="BP812" s="3"/>
      <x:c r="BQ812" s="3"/>
      <x:c r="BR812" s="3"/>
    </x:row>
    <x:row r="813" ht="22" customHeight="1">
      <x:c r="A813" s="3"/>
      <x:c r="B813" s="3"/>
      <x:c r="C813" s="3"/>
      <x:c r="D813" s="3"/>
      <x:c r="E813" s="3"/>
      <x:c r="F813" s="3"/>
      <x:c r="G813" s="3"/>
      <x:c r="H813" s="3"/>
      <x:c r="I813" s="3"/>
      <x:c r="J813" s="3"/>
      <x:c r="K813" s="3"/>
      <x:c r="L813" s="3"/>
      <x:c r="M813" s="3"/>
      <x:c r="N813" s="3"/>
      <x:c r="O813" s="3"/>
      <x:c r="P813" s="3"/>
      <x:c r="Q813" s="3"/>
      <x:c r="R813" s="3"/>
      <x:c r="S813" s="3"/>
      <x:c r="T813" s="3"/>
      <x:c r="U813" s="3"/>
      <x:c r="V813" s="3"/>
      <x:c r="W813" s="3"/>
      <x:c r="X813" s="3"/>
      <x:c r="Y813" s="3"/>
      <x:c r="Z813" s="3"/>
      <x:c r="AA813" s="3"/>
      <x:c r="AB813" s="3"/>
      <x:c r="AC813" s="3"/>
      <x:c r="AD813" s="3"/>
      <x:c r="AE813" s="3"/>
      <x:c r="AF813" s="3"/>
      <x:c r="AG813" s="3"/>
      <x:c r="AH813" s="3"/>
      <x:c r="AI813" s="3"/>
      <x:c r="AJ813" s="3"/>
      <x:c r="AK813" s="3"/>
      <x:c r="AL813" s="3"/>
      <x:c r="AM813" s="3"/>
      <x:c r="AN813" s="3"/>
      <x:c r="AO813" s="3"/>
      <x:c r="AP813" s="3"/>
      <x:c r="AQ813" s="3"/>
      <x:c r="AR813" s="3"/>
      <x:c r="AS813" s="3"/>
      <x:c r="AT813" s="3"/>
      <x:c r="AU813" s="3"/>
      <x:c r="AV813" s="3"/>
      <x:c r="AW813" s="3"/>
      <x:c r="AX813" s="3"/>
      <x:c r="AY813" s="3"/>
      <x:c r="AZ813" s="3" t="str">
        <x:f>IF(AND('中古車掲載'!C814="One2car",'中古車掲載'!F814="ATTO 3",'中古車掲載'!L814="EXTENDED RANGE",'中古車掲載'!J814=2023,ISNUMBER('中古車掲載'!N814),'中古車掲載'!N814&gt;=20000,'中古車掲載'!O814&lt;=100000,'中古車掲載'!AL814=1),'中古車掲載'!U814,"")</x:f>
      </x:c>
      <x:c r="BA813" s="3" t="str">
        <x:f>IF(AND('中古車掲載'!C814="One2car",'中古車掲載'!F814="Corolla Cross",'中古車掲載'!L814="HEV PREMIUM SAFETY",'中古車掲載'!J814=2023,ISNUMBER('中古車掲載'!N814),'中古車掲載'!N814&gt;=20000,'中古車掲載'!O814&lt;=100000,'中古車掲載'!AL814=1,'中古車掲載'!Z814="https://www.one2car.com/en/cars-for-sale/toyota/corolla-cross/year-2023"),'中古車掲載'!U814,"")</x:f>
      </x:c>
      <x:c r="BB813" s="3" t="str">
        <x:f>IF(AND('中古車掲載'!C814="One2car",'中古車掲載'!F814="ATTO 3",'中古車掲載'!L814="EXTENDED RANGE",'中古車掲載'!J814=2023,ISNUMBER('中古車掲載'!N814),'中古車掲載'!N814&gt;=50000,'中古車掲載'!O814&lt;=100000,'中古車掲載'!AL814=1),'中古車掲載'!U814,"")</x:f>
      </x:c>
      <x:c r="BC813" s="3" t="str">
        <x:f>IF(AND('中古車掲載'!C814="One2car",'中古車掲載'!F814="Corolla Cross",'中古車掲載'!L814="HEV PREMIUM SAFETY",'中古車掲載'!J814=2023,ISNUMBER('中古車掲載'!N814),'中古車掲載'!N814&gt;=50000,'中古車掲載'!O814&lt;=100000,'中古車掲載'!AL814=1,'中古車掲載'!Z814="https://www.one2car.com/en/cars-for-sale/toyota/corolla-cross/year-2023"),'中古車掲載'!U814,"")</x:f>
      </x:c>
      <x:c r="BD813" s="3" t="str">
        <x:f>IF(AND('中古車掲載'!C814="One2car",'中古車掲載'!F814="ATTO 3",'中古車掲載'!L814="EXTENDED RANGE",'中古車掲載'!J814=2023,ISNUMBER('中古車掲載'!N814),'中古車掲載'!N814&gt;=20000,'中古車掲載'!O814&lt;=50000,'中古車掲載'!AL814=1),'中古車掲載'!U814,"")</x:f>
      </x:c>
      <x:c r="BE813" s="3" t="str">
        <x:f>IF(AND('中古車掲載'!C814="One2car",'中古車掲載'!F814="Corolla Cross",'中古車掲載'!L814="HEV PREMIUM SAFETY",'中古車掲載'!J814=2023,ISNUMBER('中古車掲載'!N814),'中古車掲載'!N814&gt;=20000,'中古車掲載'!O814&lt;=50000,'中古車掲載'!AL814=1,'中古車掲載'!Z814="https://www.one2car.com/en/cars-for-sale/toyota/corolla-cross/year-2023"),'中古車掲載'!U814,"")</x:f>
      </x:c>
      <x:c r="BF813" s="3" t="str">
        <x:f>IF(AND('中古車掲載'!C814="One2car",'中古車掲載'!F814="Corolla Cross",'中古車掲載'!L814="HEV PREMIUM",'中古車掲載'!J814=2023,ISNUMBER('中古車掲載'!N814),'中古車掲載'!N814&gt;=20000,'中古車掲載'!O814&lt;=100000,'中古車掲載'!AL814=1,'中古車掲載'!Z814="https://www.one2car.com/en/cars-for-sale/toyota/corolla-cross/year-2023"),'中古車掲載'!U814,"")</x:f>
      </x:c>
      <x:c r="BG813" s="3" t="str">
        <x:f>IF(AND('中古車掲載'!C814="One2car",'中古車掲載'!F814="Corolla Cross",'中古車掲載'!L814="HEV GR SPORT",'中古車掲載'!J814=2023,ISNUMBER('中古車掲載'!N814),'中古車掲載'!N814&gt;=20000,'中古車掲載'!O814&lt;=100000,'中古車掲載'!AL814=1,'中古車掲載'!Z814="https://www.one2car.com/en/cars-for-sale/toyota/corolla-cross/year-2023"),'中古車掲載'!U814,"")</x:f>
      </x:c>
      <x:c r="BH813" s="3" t="str">
        <x:f>IF(AND('中古車掲載'!C814="One2car",'中古車掲載'!F814="DOLPHIN",'中古車掲載'!L814="STANDARD RANGE",'中古車掲載'!J814=2023,ISNUMBER('中古車掲載'!N814),'中古車掲載'!N814&gt;=20000,'中古車掲載'!O814&lt;=100000,'中古車掲載'!AL814=1),'中古車掲載'!U814,"")</x:f>
      </x:c>
      <x:c r="BI813" s="3" t="str">
        <x:v>Taladrod|Hilux Revo|ICE|Unknown</x:v>
      </x:c>
      <x:c r="BJ813" s="3" t="n">
        <x:v>814</x:v>
      </x:c>
      <x:c r="BK813" s="3" t="n">
        <x:f>'中古車掲載'!AM814</x:f>
        <x:v>459000</x:v>
      </x:c>
      <x:c r="BL813" s="3" t="str">
        <x:f>IF(ISNUMBER('中古車掲載'!AN814),'中古車掲載'!AN814,"")</x:f>
      </x:c>
      <x:c r="BM813" s="3"/>
      <x:c r="BN813" s="3"/>
      <x:c r="BO813" s="3"/>
      <x:c r="BP813" s="3"/>
      <x:c r="BQ813" s="3"/>
      <x:c r="BR813" s="3"/>
    </x:row>
    <x:row r="814" ht="22" customHeight="1">
      <x:c r="A814" s="3"/>
      <x:c r="B814" s="3"/>
      <x:c r="C814" s="3"/>
      <x:c r="D814" s="3"/>
      <x:c r="E814" s="3"/>
      <x:c r="F814" s="3"/>
      <x:c r="G814" s="3"/>
      <x:c r="H814" s="3"/>
      <x:c r="I814" s="3"/>
      <x:c r="J814" s="3"/>
      <x:c r="K814" s="3"/>
      <x:c r="L814" s="3"/>
      <x:c r="M814" s="3"/>
      <x:c r="N814" s="3"/>
      <x:c r="O814" s="3"/>
      <x:c r="P814" s="3"/>
      <x:c r="Q814" s="3"/>
      <x:c r="R814" s="3"/>
      <x:c r="S814" s="3"/>
      <x:c r="T814" s="3"/>
      <x:c r="U814" s="3"/>
      <x:c r="V814" s="3"/>
      <x:c r="W814" s="3"/>
      <x:c r="X814" s="3"/>
      <x:c r="Y814" s="3"/>
      <x:c r="Z814" s="3"/>
      <x:c r="AA814" s="3"/>
      <x:c r="AB814" s="3"/>
      <x:c r="AC814" s="3"/>
      <x:c r="AD814" s="3"/>
      <x:c r="AE814" s="3"/>
      <x:c r="AF814" s="3"/>
      <x:c r="AG814" s="3"/>
      <x:c r="AH814" s="3"/>
      <x:c r="AI814" s="3"/>
      <x:c r="AJ814" s="3"/>
      <x:c r="AK814" s="3"/>
      <x:c r="AL814" s="3"/>
      <x:c r="AM814" s="3"/>
      <x:c r="AN814" s="3"/>
      <x:c r="AO814" s="3"/>
      <x:c r="AP814" s="3"/>
      <x:c r="AQ814" s="3"/>
      <x:c r="AR814" s="3"/>
      <x:c r="AS814" s="3"/>
      <x:c r="AT814" s="3"/>
      <x:c r="AU814" s="3"/>
      <x:c r="AV814" s="3"/>
      <x:c r="AW814" s="3"/>
      <x:c r="AX814" s="3"/>
      <x:c r="AY814" s="3"/>
      <x:c r="AZ814" s="3" t="str">
        <x:f>IF(AND('中古車掲載'!C815="One2car",'中古車掲載'!F815="ATTO 3",'中古車掲載'!L815="EXTENDED RANGE",'中古車掲載'!J815=2023,ISNUMBER('中古車掲載'!N815),'中古車掲載'!N815&gt;=20000,'中古車掲載'!O815&lt;=100000,'中古車掲載'!AL815=1),'中古車掲載'!U815,"")</x:f>
      </x:c>
      <x:c r="BA814" s="3" t="str">
        <x:f>IF(AND('中古車掲載'!C815="One2car",'中古車掲載'!F815="Corolla Cross",'中古車掲載'!L815="HEV PREMIUM SAFETY",'中古車掲載'!J815=2023,ISNUMBER('中古車掲載'!N815),'中古車掲載'!N815&gt;=20000,'中古車掲載'!O815&lt;=100000,'中古車掲載'!AL815=1,'中古車掲載'!Z815="https://www.one2car.com/en/cars-for-sale/toyota/corolla-cross/year-2023"),'中古車掲載'!U815,"")</x:f>
      </x:c>
      <x:c r="BB814" s="3" t="str">
        <x:f>IF(AND('中古車掲載'!C815="One2car",'中古車掲載'!F815="ATTO 3",'中古車掲載'!L815="EXTENDED RANGE",'中古車掲載'!J815=2023,ISNUMBER('中古車掲載'!N815),'中古車掲載'!N815&gt;=50000,'中古車掲載'!O815&lt;=100000,'中古車掲載'!AL815=1),'中古車掲載'!U815,"")</x:f>
      </x:c>
      <x:c r="BC814" s="3" t="str">
        <x:f>IF(AND('中古車掲載'!C815="One2car",'中古車掲載'!F815="Corolla Cross",'中古車掲載'!L815="HEV PREMIUM SAFETY",'中古車掲載'!J815=2023,ISNUMBER('中古車掲載'!N815),'中古車掲載'!N815&gt;=50000,'中古車掲載'!O815&lt;=100000,'中古車掲載'!AL815=1,'中古車掲載'!Z815="https://www.one2car.com/en/cars-for-sale/toyota/corolla-cross/year-2023"),'中古車掲載'!U815,"")</x:f>
      </x:c>
      <x:c r="BD814" s="3" t="str">
        <x:f>IF(AND('中古車掲載'!C815="One2car",'中古車掲載'!F815="ATTO 3",'中古車掲載'!L815="EXTENDED RANGE",'中古車掲載'!J815=2023,ISNUMBER('中古車掲載'!N815),'中古車掲載'!N815&gt;=20000,'中古車掲載'!O815&lt;=50000,'中古車掲載'!AL815=1),'中古車掲載'!U815,"")</x:f>
      </x:c>
      <x:c r="BE814" s="3" t="str">
        <x:f>IF(AND('中古車掲載'!C815="One2car",'中古車掲載'!F815="Corolla Cross",'中古車掲載'!L815="HEV PREMIUM SAFETY",'中古車掲載'!J815=2023,ISNUMBER('中古車掲載'!N815),'中古車掲載'!N815&gt;=20000,'中古車掲載'!O815&lt;=50000,'中古車掲載'!AL815=1,'中古車掲載'!Z815="https://www.one2car.com/en/cars-for-sale/toyota/corolla-cross/year-2023"),'中古車掲載'!U815,"")</x:f>
      </x:c>
      <x:c r="BF814" s="3" t="str">
        <x:f>IF(AND('中古車掲載'!C815="One2car",'中古車掲載'!F815="Corolla Cross",'中古車掲載'!L815="HEV PREMIUM",'中古車掲載'!J815=2023,ISNUMBER('中古車掲載'!N815),'中古車掲載'!N815&gt;=20000,'中古車掲載'!O815&lt;=100000,'中古車掲載'!AL815=1,'中古車掲載'!Z815="https://www.one2car.com/en/cars-for-sale/toyota/corolla-cross/year-2023"),'中古車掲載'!U815,"")</x:f>
      </x:c>
      <x:c r="BG814" s="3" t="str">
        <x:f>IF(AND('中古車掲載'!C815="One2car",'中古車掲載'!F815="Corolla Cross",'中古車掲載'!L815="HEV GR SPORT",'中古車掲載'!J815=2023,ISNUMBER('中古車掲載'!N815),'中古車掲載'!N815&gt;=20000,'中古車掲載'!O815&lt;=100000,'中古車掲載'!AL815=1,'中古車掲載'!Z815="https://www.one2car.com/en/cars-for-sale/toyota/corolla-cross/year-2023"),'中古車掲載'!U815,"")</x:f>
      </x:c>
      <x:c r="BH814" s="3" t="str">
        <x:f>IF(AND('中古車掲載'!C815="One2car",'中古車掲載'!F815="DOLPHIN",'中古車掲載'!L815="STANDARD RANGE",'中古車掲載'!J815=2023,ISNUMBER('中古車掲載'!N815),'中古車掲載'!N815&gt;=20000,'中古車掲載'!O815&lt;=100000,'中古車掲載'!AL815=1),'中古車掲載'!U815,"")</x:f>
      </x:c>
      <x:c r="BI814" s="3" t="str">
        <x:v>Taladrod|Hilux Revo|ICE|Unknown</x:v>
      </x:c>
      <x:c r="BJ814" s="3" t="n">
        <x:v>815</x:v>
      </x:c>
      <x:c r="BK814" s="3" t="n">
        <x:f>'中古車掲載'!AM815</x:f>
        <x:v>465000</x:v>
      </x:c>
      <x:c r="BL814" s="3" t="str">
        <x:f>IF(ISNUMBER('中古車掲載'!AN815),'中古車掲載'!AN815,"")</x:f>
      </x:c>
      <x:c r="BM814" s="3"/>
      <x:c r="BN814" s="3"/>
      <x:c r="BO814" s="3"/>
      <x:c r="BP814" s="3"/>
      <x:c r="BQ814" s="3"/>
      <x:c r="BR814" s="3"/>
    </x:row>
    <x:row r="815" ht="22" customHeight="1">
      <x:c r="A815" s="3"/>
      <x:c r="B815" s="3"/>
      <x:c r="C815" s="3"/>
      <x:c r="D815" s="3"/>
      <x:c r="E815" s="3"/>
      <x:c r="F815" s="3"/>
      <x:c r="G815" s="3"/>
      <x:c r="H815" s="3"/>
      <x:c r="I815" s="3"/>
      <x:c r="J815" s="3"/>
      <x:c r="K815" s="3"/>
      <x:c r="L815" s="3"/>
      <x:c r="M815" s="3"/>
      <x:c r="N815" s="3"/>
      <x:c r="O815" s="3"/>
      <x:c r="P815" s="3"/>
      <x:c r="Q815" s="3"/>
      <x:c r="R815" s="3"/>
      <x:c r="S815" s="3"/>
      <x:c r="T815" s="3"/>
      <x:c r="U815" s="3"/>
      <x:c r="V815" s="3"/>
      <x:c r="W815" s="3"/>
      <x:c r="X815" s="3"/>
      <x:c r="Y815" s="3"/>
      <x:c r="Z815" s="3"/>
      <x:c r="AA815" s="3"/>
      <x:c r="AB815" s="3"/>
      <x:c r="AC815" s="3"/>
      <x:c r="AD815" s="3"/>
      <x:c r="AE815" s="3"/>
      <x:c r="AF815" s="3"/>
      <x:c r="AG815" s="3"/>
      <x:c r="AH815" s="3"/>
      <x:c r="AI815" s="3"/>
      <x:c r="AJ815" s="3"/>
      <x:c r="AK815" s="3"/>
      <x:c r="AL815" s="3"/>
      <x:c r="AM815" s="3"/>
      <x:c r="AN815" s="3"/>
      <x:c r="AO815" s="3"/>
      <x:c r="AP815" s="3"/>
      <x:c r="AQ815" s="3"/>
      <x:c r="AR815" s="3"/>
      <x:c r="AS815" s="3"/>
      <x:c r="AT815" s="3"/>
      <x:c r="AU815" s="3"/>
      <x:c r="AV815" s="3"/>
      <x:c r="AW815" s="3"/>
      <x:c r="AX815" s="3"/>
      <x:c r="AY815" s="3"/>
      <x:c r="AZ815" s="3" t="str">
        <x:f>IF(AND('中古車掲載'!C816="One2car",'中古車掲載'!F816="ATTO 3",'中古車掲載'!L816="EXTENDED RANGE",'中古車掲載'!J816=2023,ISNUMBER('中古車掲載'!N816),'中古車掲載'!N816&gt;=20000,'中古車掲載'!O816&lt;=100000,'中古車掲載'!AL816=1),'中古車掲載'!U816,"")</x:f>
      </x:c>
      <x:c r="BA815" s="3" t="str">
        <x:f>IF(AND('中古車掲載'!C816="One2car",'中古車掲載'!F816="Corolla Cross",'中古車掲載'!L816="HEV PREMIUM SAFETY",'中古車掲載'!J816=2023,ISNUMBER('中古車掲載'!N816),'中古車掲載'!N816&gt;=20000,'中古車掲載'!O816&lt;=100000,'中古車掲載'!AL816=1,'中古車掲載'!Z816="https://www.one2car.com/en/cars-for-sale/toyota/corolla-cross/year-2023"),'中古車掲載'!U816,"")</x:f>
      </x:c>
      <x:c r="BB815" s="3" t="str">
        <x:f>IF(AND('中古車掲載'!C816="One2car",'中古車掲載'!F816="ATTO 3",'中古車掲載'!L816="EXTENDED RANGE",'中古車掲載'!J816=2023,ISNUMBER('中古車掲載'!N816),'中古車掲載'!N816&gt;=50000,'中古車掲載'!O816&lt;=100000,'中古車掲載'!AL816=1),'中古車掲載'!U816,"")</x:f>
      </x:c>
      <x:c r="BC815" s="3" t="str">
        <x:f>IF(AND('中古車掲載'!C816="One2car",'中古車掲載'!F816="Corolla Cross",'中古車掲載'!L816="HEV PREMIUM SAFETY",'中古車掲載'!J816=2023,ISNUMBER('中古車掲載'!N816),'中古車掲載'!N816&gt;=50000,'中古車掲載'!O816&lt;=100000,'中古車掲載'!AL816=1,'中古車掲載'!Z816="https://www.one2car.com/en/cars-for-sale/toyota/corolla-cross/year-2023"),'中古車掲載'!U816,"")</x:f>
      </x:c>
      <x:c r="BD815" s="3" t="str">
        <x:f>IF(AND('中古車掲載'!C816="One2car",'中古車掲載'!F816="ATTO 3",'中古車掲載'!L816="EXTENDED RANGE",'中古車掲載'!J816=2023,ISNUMBER('中古車掲載'!N816),'中古車掲載'!N816&gt;=20000,'中古車掲載'!O816&lt;=50000,'中古車掲載'!AL816=1),'中古車掲載'!U816,"")</x:f>
      </x:c>
      <x:c r="BE815" s="3" t="str">
        <x:f>IF(AND('中古車掲載'!C816="One2car",'中古車掲載'!F816="Corolla Cross",'中古車掲載'!L816="HEV PREMIUM SAFETY",'中古車掲載'!J816=2023,ISNUMBER('中古車掲載'!N816),'中古車掲載'!N816&gt;=20000,'中古車掲載'!O816&lt;=50000,'中古車掲載'!AL816=1,'中古車掲載'!Z816="https://www.one2car.com/en/cars-for-sale/toyota/corolla-cross/year-2023"),'中古車掲載'!U816,"")</x:f>
      </x:c>
      <x:c r="BF815" s="3" t="str">
        <x:f>IF(AND('中古車掲載'!C816="One2car",'中古車掲載'!F816="Corolla Cross",'中古車掲載'!L816="HEV PREMIUM",'中古車掲載'!J816=2023,ISNUMBER('中古車掲載'!N816),'中古車掲載'!N816&gt;=20000,'中古車掲載'!O816&lt;=100000,'中古車掲載'!AL816=1,'中古車掲載'!Z816="https://www.one2car.com/en/cars-for-sale/toyota/corolla-cross/year-2023"),'中古車掲載'!U816,"")</x:f>
      </x:c>
      <x:c r="BG815" s="3" t="str">
        <x:f>IF(AND('中古車掲載'!C816="One2car",'中古車掲載'!F816="Corolla Cross",'中古車掲載'!L816="HEV GR SPORT",'中古車掲載'!J816=2023,ISNUMBER('中古車掲載'!N816),'中古車掲載'!N816&gt;=20000,'中古車掲載'!O816&lt;=100000,'中古車掲載'!AL816=1,'中古車掲載'!Z816="https://www.one2car.com/en/cars-for-sale/toyota/corolla-cross/year-2023"),'中古車掲載'!U816,"")</x:f>
      </x:c>
      <x:c r="BH815" s="3" t="str">
        <x:f>IF(AND('中古車掲載'!C816="One2car",'中古車掲載'!F816="DOLPHIN",'中古車掲載'!L816="STANDARD RANGE",'中古車掲載'!J816=2023,ISNUMBER('中古車掲載'!N816),'中古車掲載'!N816&gt;=20000,'中古車掲載'!O816&lt;=100000,'中古車掲載'!AL816=1),'中古車掲載'!U816,"")</x:f>
      </x:c>
      <x:c r="BI815" s="3" t="str">
        <x:v>Taladrod|Hilux Revo|ICE|Unknown</x:v>
      </x:c>
      <x:c r="BJ815" s="3" t="n">
        <x:v>816</x:v>
      </x:c>
      <x:c r="BK815" s="3" t="n">
        <x:f>'中古車掲載'!AM816</x:f>
        <x:v>475000</x:v>
      </x:c>
      <x:c r="BL815" s="3" t="str">
        <x:f>IF(ISNUMBER('中古車掲載'!AN816),'中古車掲載'!AN816,"")</x:f>
      </x:c>
      <x:c r="BM815" s="3"/>
      <x:c r="BN815" s="3"/>
      <x:c r="BO815" s="3"/>
      <x:c r="BP815" s="3"/>
      <x:c r="BQ815" s="3"/>
      <x:c r="BR815" s="3"/>
    </x:row>
    <x:row r="816" ht="22" customHeight="1">
      <x:c r="A816" s="3"/>
      <x:c r="B816" s="3"/>
      <x:c r="C816" s="3"/>
      <x:c r="D816" s="3"/>
      <x:c r="E816" s="3"/>
      <x:c r="F816" s="3"/>
      <x:c r="G816" s="3"/>
      <x:c r="H816" s="3"/>
      <x:c r="I816" s="3"/>
      <x:c r="J816" s="3"/>
      <x:c r="K816" s="3"/>
      <x:c r="L816" s="3"/>
      <x:c r="M816" s="3"/>
      <x:c r="N816" s="3"/>
      <x:c r="O816" s="3"/>
      <x:c r="P816" s="3"/>
      <x:c r="Q816" s="3"/>
      <x:c r="R816" s="3"/>
      <x:c r="S816" s="3"/>
      <x:c r="T816" s="3"/>
      <x:c r="U816" s="3"/>
      <x:c r="V816" s="3"/>
      <x:c r="W816" s="3"/>
      <x:c r="X816" s="3"/>
      <x:c r="Y816" s="3"/>
      <x:c r="Z816" s="3"/>
      <x:c r="AA816" s="3"/>
      <x:c r="AB816" s="3"/>
      <x:c r="AC816" s="3"/>
      <x:c r="AD816" s="3"/>
      <x:c r="AE816" s="3"/>
      <x:c r="AF816" s="3"/>
      <x:c r="AG816" s="3"/>
      <x:c r="AH816" s="3"/>
      <x:c r="AI816" s="3"/>
      <x:c r="AJ816" s="3"/>
      <x:c r="AK816" s="3"/>
      <x:c r="AL816" s="3"/>
      <x:c r="AM816" s="3"/>
      <x:c r="AN816" s="3"/>
      <x:c r="AO816" s="3"/>
      <x:c r="AP816" s="3"/>
      <x:c r="AQ816" s="3"/>
      <x:c r="AR816" s="3"/>
      <x:c r="AS816" s="3"/>
      <x:c r="AT816" s="3"/>
      <x:c r="AU816" s="3"/>
      <x:c r="AV816" s="3"/>
      <x:c r="AW816" s="3"/>
      <x:c r="AX816" s="3"/>
      <x:c r="AY816" s="3"/>
      <x:c r="AZ816" s="3" t="str">
        <x:f>IF(AND('中古車掲載'!C817="One2car",'中古車掲載'!F817="ATTO 3",'中古車掲載'!L817="EXTENDED RANGE",'中古車掲載'!J817=2023,ISNUMBER('中古車掲載'!N817),'中古車掲載'!N817&gt;=20000,'中古車掲載'!O817&lt;=100000,'中古車掲載'!AL817=1),'中古車掲載'!U817,"")</x:f>
      </x:c>
      <x:c r="BA816" s="3" t="str">
        <x:f>IF(AND('中古車掲載'!C817="One2car",'中古車掲載'!F817="Corolla Cross",'中古車掲載'!L817="HEV PREMIUM SAFETY",'中古車掲載'!J817=2023,ISNUMBER('中古車掲載'!N817),'中古車掲載'!N817&gt;=20000,'中古車掲載'!O817&lt;=100000,'中古車掲載'!AL817=1,'中古車掲載'!Z817="https://www.one2car.com/en/cars-for-sale/toyota/corolla-cross/year-2023"),'中古車掲載'!U817,"")</x:f>
      </x:c>
      <x:c r="BB816" s="3" t="str">
        <x:f>IF(AND('中古車掲載'!C817="One2car",'中古車掲載'!F817="ATTO 3",'中古車掲載'!L817="EXTENDED RANGE",'中古車掲載'!J817=2023,ISNUMBER('中古車掲載'!N817),'中古車掲載'!N817&gt;=50000,'中古車掲載'!O817&lt;=100000,'中古車掲載'!AL817=1),'中古車掲載'!U817,"")</x:f>
      </x:c>
      <x:c r="BC816" s="3" t="str">
        <x:f>IF(AND('中古車掲載'!C817="One2car",'中古車掲載'!F817="Corolla Cross",'中古車掲載'!L817="HEV PREMIUM SAFETY",'中古車掲載'!J817=2023,ISNUMBER('中古車掲載'!N817),'中古車掲載'!N817&gt;=50000,'中古車掲載'!O817&lt;=100000,'中古車掲載'!AL817=1,'中古車掲載'!Z817="https://www.one2car.com/en/cars-for-sale/toyota/corolla-cross/year-2023"),'中古車掲載'!U817,"")</x:f>
      </x:c>
      <x:c r="BD816" s="3" t="str">
        <x:f>IF(AND('中古車掲載'!C817="One2car",'中古車掲載'!F817="ATTO 3",'中古車掲載'!L817="EXTENDED RANGE",'中古車掲載'!J817=2023,ISNUMBER('中古車掲載'!N817),'中古車掲載'!N817&gt;=20000,'中古車掲載'!O817&lt;=50000,'中古車掲載'!AL817=1),'中古車掲載'!U817,"")</x:f>
      </x:c>
      <x:c r="BE816" s="3" t="str">
        <x:f>IF(AND('中古車掲載'!C817="One2car",'中古車掲載'!F817="Corolla Cross",'中古車掲載'!L817="HEV PREMIUM SAFETY",'中古車掲載'!J817=2023,ISNUMBER('中古車掲載'!N817),'中古車掲載'!N817&gt;=20000,'中古車掲載'!O817&lt;=50000,'中古車掲載'!AL817=1,'中古車掲載'!Z817="https://www.one2car.com/en/cars-for-sale/toyota/corolla-cross/year-2023"),'中古車掲載'!U817,"")</x:f>
      </x:c>
      <x:c r="BF816" s="3" t="str">
        <x:f>IF(AND('中古車掲載'!C817="One2car",'中古車掲載'!F817="Corolla Cross",'中古車掲載'!L817="HEV PREMIUM",'中古車掲載'!J817=2023,ISNUMBER('中古車掲載'!N817),'中古車掲載'!N817&gt;=20000,'中古車掲載'!O817&lt;=100000,'中古車掲載'!AL817=1,'中古車掲載'!Z817="https://www.one2car.com/en/cars-for-sale/toyota/corolla-cross/year-2023"),'中古車掲載'!U817,"")</x:f>
      </x:c>
      <x:c r="BG816" s="3" t="str">
        <x:f>IF(AND('中古車掲載'!C817="One2car",'中古車掲載'!F817="Corolla Cross",'中古車掲載'!L817="HEV GR SPORT",'中古車掲載'!J817=2023,ISNUMBER('中古車掲載'!N817),'中古車掲載'!N817&gt;=20000,'中古車掲載'!O817&lt;=100000,'中古車掲載'!AL817=1,'中古車掲載'!Z817="https://www.one2car.com/en/cars-for-sale/toyota/corolla-cross/year-2023"),'中古車掲載'!U817,"")</x:f>
      </x:c>
      <x:c r="BH816" s="3" t="str">
        <x:f>IF(AND('中古車掲載'!C817="One2car",'中古車掲載'!F817="DOLPHIN",'中古車掲載'!L817="STANDARD RANGE",'中古車掲載'!J817=2023,ISNUMBER('中古車掲載'!N817),'中古車掲載'!N817&gt;=20000,'中古車掲載'!O817&lt;=100000,'中古車掲載'!AL817=1),'中古車掲載'!U817,"")</x:f>
      </x:c>
      <x:c r="BI816" s="3" t="str">
        <x:v>Taladrod|Hilux Revo|ICE|Unknown</x:v>
      </x:c>
      <x:c r="BJ816" s="3" t="n">
        <x:v>817</x:v>
      </x:c>
      <x:c r="BK816" s="3" t="n">
        <x:f>'中古車掲載'!AM817</x:f>
        <x:v>448000</x:v>
      </x:c>
      <x:c r="BL816" s="3" t="str">
        <x:f>IF(ISNUMBER('中古車掲載'!AN817),'中古車掲載'!AN817,"")</x:f>
      </x:c>
      <x:c r="BM816" s="3"/>
      <x:c r="BN816" s="3"/>
      <x:c r="BO816" s="3"/>
      <x:c r="BP816" s="3"/>
      <x:c r="BQ816" s="3"/>
      <x:c r="BR816" s="3"/>
    </x:row>
    <x:row r="817" ht="22" customHeight="1">
      <x:c r="A817" s="3"/>
      <x:c r="B817" s="3"/>
      <x:c r="C817" s="3"/>
      <x:c r="D817" s="3"/>
      <x:c r="E817" s="3"/>
      <x:c r="F817" s="3"/>
      <x:c r="G817" s="3"/>
      <x:c r="H817" s="3"/>
      <x:c r="I817" s="3"/>
      <x:c r="J817" s="3"/>
      <x:c r="K817" s="3"/>
      <x:c r="L817" s="3"/>
      <x:c r="M817" s="3"/>
      <x:c r="N817" s="3"/>
      <x:c r="O817" s="3"/>
      <x:c r="P817" s="3"/>
      <x:c r="Q817" s="3"/>
      <x:c r="R817" s="3"/>
      <x:c r="S817" s="3"/>
      <x:c r="T817" s="3"/>
      <x:c r="U817" s="3"/>
      <x:c r="V817" s="3"/>
      <x:c r="W817" s="3"/>
      <x:c r="X817" s="3"/>
      <x:c r="Y817" s="3"/>
      <x:c r="Z817" s="3"/>
      <x:c r="AA817" s="3"/>
      <x:c r="AB817" s="3"/>
      <x:c r="AC817" s="3"/>
      <x:c r="AD817" s="3"/>
      <x:c r="AE817" s="3"/>
      <x:c r="AF817" s="3"/>
      <x:c r="AG817" s="3"/>
      <x:c r="AH817" s="3"/>
      <x:c r="AI817" s="3"/>
      <x:c r="AJ817" s="3"/>
      <x:c r="AK817" s="3"/>
      <x:c r="AL817" s="3"/>
      <x:c r="AM817" s="3"/>
      <x:c r="AN817" s="3"/>
      <x:c r="AO817" s="3"/>
      <x:c r="AP817" s="3"/>
      <x:c r="AQ817" s="3"/>
      <x:c r="AR817" s="3"/>
      <x:c r="AS817" s="3"/>
      <x:c r="AT817" s="3"/>
      <x:c r="AU817" s="3"/>
      <x:c r="AV817" s="3"/>
      <x:c r="AW817" s="3"/>
      <x:c r="AX817" s="3"/>
      <x:c r="AY817" s="3"/>
      <x:c r="AZ817" s="3" t="str">
        <x:f>IF(AND('中古車掲載'!C818="One2car",'中古車掲載'!F818="ATTO 3",'中古車掲載'!L818="EXTENDED RANGE",'中古車掲載'!J818=2023,ISNUMBER('中古車掲載'!N818),'中古車掲載'!N818&gt;=20000,'中古車掲載'!O818&lt;=100000,'中古車掲載'!AL818=1),'中古車掲載'!U818,"")</x:f>
      </x:c>
      <x:c r="BA817" s="3" t="str">
        <x:f>IF(AND('中古車掲載'!C818="One2car",'中古車掲載'!F818="Corolla Cross",'中古車掲載'!L818="HEV PREMIUM SAFETY",'中古車掲載'!J818=2023,ISNUMBER('中古車掲載'!N818),'中古車掲載'!N818&gt;=20000,'中古車掲載'!O818&lt;=100000,'中古車掲載'!AL818=1,'中古車掲載'!Z818="https://www.one2car.com/en/cars-for-sale/toyota/corolla-cross/year-2023"),'中古車掲載'!U818,"")</x:f>
      </x:c>
      <x:c r="BB817" s="3" t="str">
        <x:f>IF(AND('中古車掲載'!C818="One2car",'中古車掲載'!F818="ATTO 3",'中古車掲載'!L818="EXTENDED RANGE",'中古車掲載'!J818=2023,ISNUMBER('中古車掲載'!N818),'中古車掲載'!N818&gt;=50000,'中古車掲載'!O818&lt;=100000,'中古車掲載'!AL818=1),'中古車掲載'!U818,"")</x:f>
      </x:c>
      <x:c r="BC817" s="3" t="str">
        <x:f>IF(AND('中古車掲載'!C818="One2car",'中古車掲載'!F818="Corolla Cross",'中古車掲載'!L818="HEV PREMIUM SAFETY",'中古車掲載'!J818=2023,ISNUMBER('中古車掲載'!N818),'中古車掲載'!N818&gt;=50000,'中古車掲載'!O818&lt;=100000,'中古車掲載'!AL818=1,'中古車掲載'!Z818="https://www.one2car.com/en/cars-for-sale/toyota/corolla-cross/year-2023"),'中古車掲載'!U818,"")</x:f>
      </x:c>
      <x:c r="BD817" s="3" t="str">
        <x:f>IF(AND('中古車掲載'!C818="One2car",'中古車掲載'!F818="ATTO 3",'中古車掲載'!L818="EXTENDED RANGE",'中古車掲載'!J818=2023,ISNUMBER('中古車掲載'!N818),'中古車掲載'!N818&gt;=20000,'中古車掲載'!O818&lt;=50000,'中古車掲載'!AL818=1),'中古車掲載'!U818,"")</x:f>
      </x:c>
      <x:c r="BE817" s="3" t="str">
        <x:f>IF(AND('中古車掲載'!C818="One2car",'中古車掲載'!F818="Corolla Cross",'中古車掲載'!L818="HEV PREMIUM SAFETY",'中古車掲載'!J818=2023,ISNUMBER('中古車掲載'!N818),'中古車掲載'!N818&gt;=20000,'中古車掲載'!O818&lt;=50000,'中古車掲載'!AL818=1,'中古車掲載'!Z818="https://www.one2car.com/en/cars-for-sale/toyota/corolla-cross/year-2023"),'中古車掲載'!U818,"")</x:f>
      </x:c>
      <x:c r="BF817" s="3" t="str">
        <x:f>IF(AND('中古車掲載'!C818="One2car",'中古車掲載'!F818="Corolla Cross",'中古車掲載'!L818="HEV PREMIUM",'中古車掲載'!J818=2023,ISNUMBER('中古車掲載'!N818),'中古車掲載'!N818&gt;=20000,'中古車掲載'!O818&lt;=100000,'中古車掲載'!AL818=1,'中古車掲載'!Z818="https://www.one2car.com/en/cars-for-sale/toyota/corolla-cross/year-2023"),'中古車掲載'!U818,"")</x:f>
      </x:c>
      <x:c r="BG817" s="3" t="str">
        <x:f>IF(AND('中古車掲載'!C818="One2car",'中古車掲載'!F818="Corolla Cross",'中古車掲載'!L818="HEV GR SPORT",'中古車掲載'!J818=2023,ISNUMBER('中古車掲載'!N818),'中古車掲載'!N818&gt;=20000,'中古車掲載'!O818&lt;=100000,'中古車掲載'!AL818=1,'中古車掲載'!Z818="https://www.one2car.com/en/cars-for-sale/toyota/corolla-cross/year-2023"),'中古車掲載'!U818,"")</x:f>
      </x:c>
      <x:c r="BH817" s="3" t="str">
        <x:f>IF(AND('中古車掲載'!C818="One2car",'中古車掲載'!F818="DOLPHIN",'中古車掲載'!L818="STANDARD RANGE",'中古車掲載'!J818=2023,ISNUMBER('中古車掲載'!N818),'中古車掲載'!N818&gt;=20000,'中古車掲載'!O818&lt;=100000,'中古車掲載'!AL818=1),'中古車掲載'!U818,"")</x:f>
      </x:c>
      <x:c r="BI817" s="3" t="str">
        <x:v>Taladrod|Hilux Revo|ICE|Unknown</x:v>
      </x:c>
      <x:c r="BJ817" s="3" t="n">
        <x:v>818</x:v>
      </x:c>
      <x:c r="BK817" s="3" t="n">
        <x:f>'中古車掲載'!AM818</x:f>
        <x:v>379000</x:v>
      </x:c>
      <x:c r="BL817" s="3" t="str">
        <x:f>IF(ISNUMBER('中古車掲載'!AN818),'中古車掲載'!AN818,"")</x:f>
      </x:c>
      <x:c r="BM817" s="3"/>
      <x:c r="BN817" s="3"/>
      <x:c r="BO817" s="3"/>
      <x:c r="BP817" s="3"/>
      <x:c r="BQ817" s="3"/>
      <x:c r="BR817" s="3"/>
    </x:row>
    <x:row r="818" ht="22" customHeight="1">
      <x:c r="A818" s="3"/>
      <x:c r="B818" s="3"/>
      <x:c r="C818" s="3"/>
      <x:c r="D818" s="3"/>
      <x:c r="E818" s="3"/>
      <x:c r="F818" s="3"/>
      <x:c r="G818" s="3"/>
      <x:c r="H818" s="3"/>
      <x:c r="I818" s="3"/>
      <x:c r="J818" s="3"/>
      <x:c r="K818" s="3"/>
      <x:c r="L818" s="3"/>
      <x:c r="M818" s="3"/>
      <x:c r="N818" s="3"/>
      <x:c r="O818" s="3"/>
      <x:c r="P818" s="3"/>
      <x:c r="Q818" s="3"/>
      <x:c r="R818" s="3"/>
      <x:c r="S818" s="3"/>
      <x:c r="T818" s="3"/>
      <x:c r="U818" s="3"/>
      <x:c r="V818" s="3"/>
      <x:c r="W818" s="3"/>
      <x:c r="X818" s="3"/>
      <x:c r="Y818" s="3"/>
      <x:c r="Z818" s="3"/>
      <x:c r="AA818" s="3"/>
      <x:c r="AB818" s="3"/>
      <x:c r="AC818" s="3"/>
      <x:c r="AD818" s="3"/>
      <x:c r="AE818" s="3"/>
      <x:c r="AF818" s="3"/>
      <x:c r="AG818" s="3"/>
      <x:c r="AH818" s="3"/>
      <x:c r="AI818" s="3"/>
      <x:c r="AJ818" s="3"/>
      <x:c r="AK818" s="3"/>
      <x:c r="AL818" s="3"/>
      <x:c r="AM818" s="3"/>
      <x:c r="AN818" s="3"/>
      <x:c r="AO818" s="3"/>
      <x:c r="AP818" s="3"/>
      <x:c r="AQ818" s="3"/>
      <x:c r="AR818" s="3"/>
      <x:c r="AS818" s="3"/>
      <x:c r="AT818" s="3"/>
      <x:c r="AU818" s="3"/>
      <x:c r="AV818" s="3"/>
      <x:c r="AW818" s="3"/>
      <x:c r="AX818" s="3"/>
      <x:c r="AY818" s="3"/>
      <x:c r="AZ818" s="3" t="str">
        <x:f>IF(AND('中古車掲載'!C819="One2car",'中古車掲載'!F819="ATTO 3",'中古車掲載'!L819="EXTENDED RANGE",'中古車掲載'!J819=2023,ISNUMBER('中古車掲載'!N819),'中古車掲載'!N819&gt;=20000,'中古車掲載'!O819&lt;=100000,'中古車掲載'!AL819=1),'中古車掲載'!U819,"")</x:f>
      </x:c>
      <x:c r="BA818" s="3" t="str">
        <x:f>IF(AND('中古車掲載'!C819="One2car",'中古車掲載'!F819="Corolla Cross",'中古車掲載'!L819="HEV PREMIUM SAFETY",'中古車掲載'!J819=2023,ISNUMBER('中古車掲載'!N819),'中古車掲載'!N819&gt;=20000,'中古車掲載'!O819&lt;=100000,'中古車掲載'!AL819=1,'中古車掲載'!Z819="https://www.one2car.com/en/cars-for-sale/toyota/corolla-cross/year-2023"),'中古車掲載'!U819,"")</x:f>
      </x:c>
      <x:c r="BB818" s="3" t="str">
        <x:f>IF(AND('中古車掲載'!C819="One2car",'中古車掲載'!F819="ATTO 3",'中古車掲載'!L819="EXTENDED RANGE",'中古車掲載'!J819=2023,ISNUMBER('中古車掲載'!N819),'中古車掲載'!N819&gt;=50000,'中古車掲載'!O819&lt;=100000,'中古車掲載'!AL819=1),'中古車掲載'!U819,"")</x:f>
      </x:c>
      <x:c r="BC818" s="3" t="str">
        <x:f>IF(AND('中古車掲載'!C819="One2car",'中古車掲載'!F819="Corolla Cross",'中古車掲載'!L819="HEV PREMIUM SAFETY",'中古車掲載'!J819=2023,ISNUMBER('中古車掲載'!N819),'中古車掲載'!N819&gt;=50000,'中古車掲載'!O819&lt;=100000,'中古車掲載'!AL819=1,'中古車掲載'!Z819="https://www.one2car.com/en/cars-for-sale/toyota/corolla-cross/year-2023"),'中古車掲載'!U819,"")</x:f>
      </x:c>
      <x:c r="BD818" s="3" t="str">
        <x:f>IF(AND('中古車掲載'!C819="One2car",'中古車掲載'!F819="ATTO 3",'中古車掲載'!L819="EXTENDED RANGE",'中古車掲載'!J819=2023,ISNUMBER('中古車掲載'!N819),'中古車掲載'!N819&gt;=20000,'中古車掲載'!O819&lt;=50000,'中古車掲載'!AL819=1),'中古車掲載'!U819,"")</x:f>
      </x:c>
      <x:c r="BE818" s="3" t="str">
        <x:f>IF(AND('中古車掲載'!C819="One2car",'中古車掲載'!F819="Corolla Cross",'中古車掲載'!L819="HEV PREMIUM SAFETY",'中古車掲載'!J819=2023,ISNUMBER('中古車掲載'!N819),'中古車掲載'!N819&gt;=20000,'中古車掲載'!O819&lt;=50000,'中古車掲載'!AL819=1,'中古車掲載'!Z819="https://www.one2car.com/en/cars-for-sale/toyota/corolla-cross/year-2023"),'中古車掲載'!U819,"")</x:f>
      </x:c>
      <x:c r="BF818" s="3" t="str">
        <x:f>IF(AND('中古車掲載'!C819="One2car",'中古車掲載'!F819="Corolla Cross",'中古車掲載'!L819="HEV PREMIUM",'中古車掲載'!J819=2023,ISNUMBER('中古車掲載'!N819),'中古車掲載'!N819&gt;=20000,'中古車掲載'!O819&lt;=100000,'中古車掲載'!AL819=1,'中古車掲載'!Z819="https://www.one2car.com/en/cars-for-sale/toyota/corolla-cross/year-2023"),'中古車掲載'!U819,"")</x:f>
      </x:c>
      <x:c r="BG818" s="3" t="str">
        <x:f>IF(AND('中古車掲載'!C819="One2car",'中古車掲載'!F819="Corolla Cross",'中古車掲載'!L819="HEV GR SPORT",'中古車掲載'!J819=2023,ISNUMBER('中古車掲載'!N819),'中古車掲載'!N819&gt;=20000,'中古車掲載'!O819&lt;=100000,'中古車掲載'!AL819=1,'中古車掲載'!Z819="https://www.one2car.com/en/cars-for-sale/toyota/corolla-cross/year-2023"),'中古車掲載'!U819,"")</x:f>
      </x:c>
      <x:c r="BH818" s="3" t="str">
        <x:f>IF(AND('中古車掲載'!C819="One2car",'中古車掲載'!F819="DOLPHIN",'中古車掲載'!L819="STANDARD RANGE",'中古車掲載'!J819=2023,ISNUMBER('中古車掲載'!N819),'中古車掲載'!N819&gt;=20000,'中古車掲載'!O819&lt;=100000,'中古車掲載'!AL819=1),'中古車掲載'!U819,"")</x:f>
      </x:c>
      <x:c r="BI818" s="3" t="str">
        <x:v>Taladrod|Hilux Revo|ICE|Unknown</x:v>
      </x:c>
      <x:c r="BJ818" s="3" t="n">
        <x:v>819</x:v>
      </x:c>
      <x:c r="BK818" s="3" t="n">
        <x:f>'中古車掲載'!AM819</x:f>
        <x:v>394000</x:v>
      </x:c>
      <x:c r="BL818" s="3" t="str">
        <x:f>IF(ISNUMBER('中古車掲載'!AN819),'中古車掲載'!AN819,"")</x:f>
      </x:c>
      <x:c r="BM818" s="3"/>
      <x:c r="BN818" s="3"/>
      <x:c r="BO818" s="3"/>
      <x:c r="BP818" s="3"/>
      <x:c r="BQ818" s="3"/>
      <x:c r="BR818" s="3"/>
    </x:row>
    <x:row r="819" ht="22" customHeight="1">
      <x:c r="A819" s="3"/>
      <x:c r="B819" s="3"/>
      <x:c r="C819" s="3"/>
      <x:c r="D819" s="3"/>
      <x:c r="E819" s="3"/>
      <x:c r="F819" s="3"/>
      <x:c r="G819" s="3"/>
      <x:c r="H819" s="3"/>
      <x:c r="I819" s="3"/>
      <x:c r="J819" s="3"/>
      <x:c r="K819" s="3"/>
      <x:c r="L819" s="3"/>
      <x:c r="M819" s="3"/>
      <x:c r="N819" s="3"/>
      <x:c r="O819" s="3"/>
      <x:c r="P819" s="3"/>
      <x:c r="Q819" s="3"/>
      <x:c r="R819" s="3"/>
      <x:c r="S819" s="3"/>
      <x:c r="T819" s="3"/>
      <x:c r="U819" s="3"/>
      <x:c r="V819" s="3"/>
      <x:c r="W819" s="3"/>
      <x:c r="X819" s="3"/>
      <x:c r="Y819" s="3"/>
      <x:c r="Z819" s="3"/>
      <x:c r="AA819" s="3"/>
      <x:c r="AB819" s="3"/>
      <x:c r="AC819" s="3"/>
      <x:c r="AD819" s="3"/>
      <x:c r="AE819" s="3"/>
      <x:c r="AF819" s="3"/>
      <x:c r="AG819" s="3"/>
      <x:c r="AH819" s="3"/>
      <x:c r="AI819" s="3"/>
      <x:c r="AJ819" s="3"/>
      <x:c r="AK819" s="3"/>
      <x:c r="AL819" s="3"/>
      <x:c r="AM819" s="3"/>
      <x:c r="AN819" s="3"/>
      <x:c r="AO819" s="3"/>
      <x:c r="AP819" s="3"/>
      <x:c r="AQ819" s="3"/>
      <x:c r="AR819" s="3"/>
      <x:c r="AS819" s="3"/>
      <x:c r="AT819" s="3"/>
      <x:c r="AU819" s="3"/>
      <x:c r="AV819" s="3"/>
      <x:c r="AW819" s="3"/>
      <x:c r="AX819" s="3"/>
      <x:c r="AY819" s="3"/>
      <x:c r="AZ819" s="3" t="str">
        <x:f>IF(AND('中古車掲載'!C820="One2car",'中古車掲載'!F820="ATTO 3",'中古車掲載'!L820="EXTENDED RANGE",'中古車掲載'!J820=2023,ISNUMBER('中古車掲載'!N820),'中古車掲載'!N820&gt;=20000,'中古車掲載'!O820&lt;=100000,'中古車掲載'!AL820=1),'中古車掲載'!U820,"")</x:f>
      </x:c>
      <x:c r="BA819" s="3" t="str">
        <x:f>IF(AND('中古車掲載'!C820="One2car",'中古車掲載'!F820="Corolla Cross",'中古車掲載'!L820="HEV PREMIUM SAFETY",'中古車掲載'!J820=2023,ISNUMBER('中古車掲載'!N820),'中古車掲載'!N820&gt;=20000,'中古車掲載'!O820&lt;=100000,'中古車掲載'!AL820=1,'中古車掲載'!Z820="https://www.one2car.com/en/cars-for-sale/toyota/corolla-cross/year-2023"),'中古車掲載'!U820,"")</x:f>
      </x:c>
      <x:c r="BB819" s="3" t="str">
        <x:f>IF(AND('中古車掲載'!C820="One2car",'中古車掲載'!F820="ATTO 3",'中古車掲載'!L820="EXTENDED RANGE",'中古車掲載'!J820=2023,ISNUMBER('中古車掲載'!N820),'中古車掲載'!N820&gt;=50000,'中古車掲載'!O820&lt;=100000,'中古車掲載'!AL820=1),'中古車掲載'!U820,"")</x:f>
      </x:c>
      <x:c r="BC819" s="3" t="str">
        <x:f>IF(AND('中古車掲載'!C820="One2car",'中古車掲載'!F820="Corolla Cross",'中古車掲載'!L820="HEV PREMIUM SAFETY",'中古車掲載'!J820=2023,ISNUMBER('中古車掲載'!N820),'中古車掲載'!N820&gt;=50000,'中古車掲載'!O820&lt;=100000,'中古車掲載'!AL820=1,'中古車掲載'!Z820="https://www.one2car.com/en/cars-for-sale/toyota/corolla-cross/year-2023"),'中古車掲載'!U820,"")</x:f>
      </x:c>
      <x:c r="BD819" s="3" t="str">
        <x:f>IF(AND('中古車掲載'!C820="One2car",'中古車掲載'!F820="ATTO 3",'中古車掲載'!L820="EXTENDED RANGE",'中古車掲載'!J820=2023,ISNUMBER('中古車掲載'!N820),'中古車掲載'!N820&gt;=20000,'中古車掲載'!O820&lt;=50000,'中古車掲載'!AL820=1),'中古車掲載'!U820,"")</x:f>
      </x:c>
      <x:c r="BE819" s="3" t="str">
        <x:f>IF(AND('中古車掲載'!C820="One2car",'中古車掲載'!F820="Corolla Cross",'中古車掲載'!L820="HEV PREMIUM SAFETY",'中古車掲載'!J820=2023,ISNUMBER('中古車掲載'!N820),'中古車掲載'!N820&gt;=20000,'中古車掲載'!O820&lt;=50000,'中古車掲載'!AL820=1,'中古車掲載'!Z820="https://www.one2car.com/en/cars-for-sale/toyota/corolla-cross/year-2023"),'中古車掲載'!U820,"")</x:f>
      </x:c>
      <x:c r="BF819" s="3" t="str">
        <x:f>IF(AND('中古車掲載'!C820="One2car",'中古車掲載'!F820="Corolla Cross",'中古車掲載'!L820="HEV PREMIUM",'中古車掲載'!J820=2023,ISNUMBER('中古車掲載'!N820),'中古車掲載'!N820&gt;=20000,'中古車掲載'!O820&lt;=100000,'中古車掲載'!AL820=1,'中古車掲載'!Z820="https://www.one2car.com/en/cars-for-sale/toyota/corolla-cross/year-2023"),'中古車掲載'!U820,"")</x:f>
      </x:c>
      <x:c r="BG819" s="3" t="str">
        <x:f>IF(AND('中古車掲載'!C820="One2car",'中古車掲載'!F820="Corolla Cross",'中古車掲載'!L820="HEV GR SPORT",'中古車掲載'!J820=2023,ISNUMBER('中古車掲載'!N820),'中古車掲載'!N820&gt;=20000,'中古車掲載'!O820&lt;=100000,'中古車掲載'!AL820=1,'中古車掲載'!Z820="https://www.one2car.com/en/cars-for-sale/toyota/corolla-cross/year-2023"),'中古車掲載'!U820,"")</x:f>
      </x:c>
      <x:c r="BH819" s="3" t="str">
        <x:f>IF(AND('中古車掲載'!C820="One2car",'中古車掲載'!F820="DOLPHIN",'中古車掲載'!L820="STANDARD RANGE",'中古車掲載'!J820=2023,ISNUMBER('中古車掲載'!N820),'中古車掲載'!N820&gt;=20000,'中古車掲載'!O820&lt;=100000,'中古車掲載'!AL820=1),'中古車掲載'!U820,"")</x:f>
      </x:c>
      <x:c r="BI819" s="3" t="str">
        <x:v>Taladrod|Hilux Revo|ICE|Unknown</x:v>
      </x:c>
      <x:c r="BJ819" s="3" t="n">
        <x:v>820</x:v>
      </x:c>
      <x:c r="BK819" s="3" t="n">
        <x:f>'中古車掲載'!AM820</x:f>
        <x:v>500000</x:v>
      </x:c>
      <x:c r="BL819" s="3" t="str">
        <x:f>IF(ISNUMBER('中古車掲載'!AN820),'中古車掲載'!AN820,"")</x:f>
      </x:c>
      <x:c r="BM819" s="3"/>
      <x:c r="BN819" s="3"/>
      <x:c r="BO819" s="3"/>
      <x:c r="BP819" s="3"/>
      <x:c r="BQ819" s="3"/>
      <x:c r="BR819" s="3"/>
    </x:row>
    <x:row r="820" ht="22" customHeight="1">
      <x:c r="A820" s="3"/>
      <x:c r="B820" s="3"/>
      <x:c r="C820" s="3"/>
      <x:c r="D820" s="3"/>
      <x:c r="E820" s="3"/>
      <x:c r="F820" s="3"/>
      <x:c r="G820" s="3"/>
      <x:c r="H820" s="3"/>
      <x:c r="I820" s="3"/>
      <x:c r="J820" s="3"/>
      <x:c r="K820" s="3"/>
      <x:c r="L820" s="3"/>
      <x:c r="M820" s="3"/>
      <x:c r="N820" s="3"/>
      <x:c r="O820" s="3"/>
      <x:c r="P820" s="3"/>
      <x:c r="Q820" s="3"/>
      <x:c r="R820" s="3"/>
      <x:c r="S820" s="3"/>
      <x:c r="T820" s="3"/>
      <x:c r="U820" s="3"/>
      <x:c r="V820" s="3"/>
      <x:c r="W820" s="3"/>
      <x:c r="X820" s="3"/>
      <x:c r="Y820" s="3"/>
      <x:c r="Z820" s="3"/>
      <x:c r="AA820" s="3"/>
      <x:c r="AB820" s="3"/>
      <x:c r="AC820" s="3"/>
      <x:c r="AD820" s="3"/>
      <x:c r="AE820" s="3"/>
      <x:c r="AF820" s="3"/>
      <x:c r="AG820" s="3"/>
      <x:c r="AH820" s="3"/>
      <x:c r="AI820" s="3"/>
      <x:c r="AJ820" s="3"/>
      <x:c r="AK820" s="3"/>
      <x:c r="AL820" s="3"/>
      <x:c r="AM820" s="3"/>
      <x:c r="AN820" s="3"/>
      <x:c r="AO820" s="3"/>
      <x:c r="AP820" s="3"/>
      <x:c r="AQ820" s="3"/>
      <x:c r="AR820" s="3"/>
      <x:c r="AS820" s="3"/>
      <x:c r="AT820" s="3"/>
      <x:c r="AU820" s="3"/>
      <x:c r="AV820" s="3"/>
      <x:c r="AW820" s="3"/>
      <x:c r="AX820" s="3"/>
      <x:c r="AY820" s="3"/>
      <x:c r="AZ820" s="3" t="str">
        <x:f>IF(AND('中古車掲載'!C821="One2car",'中古車掲載'!F821="ATTO 3",'中古車掲載'!L821="EXTENDED RANGE",'中古車掲載'!J821=2023,ISNUMBER('中古車掲載'!N821),'中古車掲載'!N821&gt;=20000,'中古車掲載'!O821&lt;=100000,'中古車掲載'!AL821=1),'中古車掲載'!U821,"")</x:f>
      </x:c>
      <x:c r="BA820" s="3" t="str">
        <x:f>IF(AND('中古車掲載'!C821="One2car",'中古車掲載'!F821="Corolla Cross",'中古車掲載'!L821="HEV PREMIUM SAFETY",'中古車掲載'!J821=2023,ISNUMBER('中古車掲載'!N821),'中古車掲載'!N821&gt;=20000,'中古車掲載'!O821&lt;=100000,'中古車掲載'!AL821=1,'中古車掲載'!Z821="https://www.one2car.com/en/cars-for-sale/toyota/corolla-cross/year-2023"),'中古車掲載'!U821,"")</x:f>
      </x:c>
      <x:c r="BB820" s="3" t="str">
        <x:f>IF(AND('中古車掲載'!C821="One2car",'中古車掲載'!F821="ATTO 3",'中古車掲載'!L821="EXTENDED RANGE",'中古車掲載'!J821=2023,ISNUMBER('中古車掲載'!N821),'中古車掲載'!N821&gt;=50000,'中古車掲載'!O821&lt;=100000,'中古車掲載'!AL821=1),'中古車掲載'!U821,"")</x:f>
      </x:c>
      <x:c r="BC820" s="3" t="str">
        <x:f>IF(AND('中古車掲載'!C821="One2car",'中古車掲載'!F821="Corolla Cross",'中古車掲載'!L821="HEV PREMIUM SAFETY",'中古車掲載'!J821=2023,ISNUMBER('中古車掲載'!N821),'中古車掲載'!N821&gt;=50000,'中古車掲載'!O821&lt;=100000,'中古車掲載'!AL821=1,'中古車掲載'!Z821="https://www.one2car.com/en/cars-for-sale/toyota/corolla-cross/year-2023"),'中古車掲載'!U821,"")</x:f>
      </x:c>
      <x:c r="BD820" s="3" t="str">
        <x:f>IF(AND('中古車掲載'!C821="One2car",'中古車掲載'!F821="ATTO 3",'中古車掲載'!L821="EXTENDED RANGE",'中古車掲載'!J821=2023,ISNUMBER('中古車掲載'!N821),'中古車掲載'!N821&gt;=20000,'中古車掲載'!O821&lt;=50000,'中古車掲載'!AL821=1),'中古車掲載'!U821,"")</x:f>
      </x:c>
      <x:c r="BE820" s="3" t="str">
        <x:f>IF(AND('中古車掲載'!C821="One2car",'中古車掲載'!F821="Corolla Cross",'中古車掲載'!L821="HEV PREMIUM SAFETY",'中古車掲載'!J821=2023,ISNUMBER('中古車掲載'!N821),'中古車掲載'!N821&gt;=20000,'中古車掲載'!O821&lt;=50000,'中古車掲載'!AL821=1,'中古車掲載'!Z821="https://www.one2car.com/en/cars-for-sale/toyota/corolla-cross/year-2023"),'中古車掲載'!U821,"")</x:f>
      </x:c>
      <x:c r="BF820" s="3" t="str">
        <x:f>IF(AND('中古車掲載'!C821="One2car",'中古車掲載'!F821="Corolla Cross",'中古車掲載'!L821="HEV PREMIUM",'中古車掲載'!J821=2023,ISNUMBER('中古車掲載'!N821),'中古車掲載'!N821&gt;=20000,'中古車掲載'!O821&lt;=100000,'中古車掲載'!AL821=1,'中古車掲載'!Z821="https://www.one2car.com/en/cars-for-sale/toyota/corolla-cross/year-2023"),'中古車掲載'!U821,"")</x:f>
      </x:c>
      <x:c r="BG820" s="3" t="str">
        <x:f>IF(AND('中古車掲載'!C821="One2car",'中古車掲載'!F821="Corolla Cross",'中古車掲載'!L821="HEV GR SPORT",'中古車掲載'!J821=2023,ISNUMBER('中古車掲載'!N821),'中古車掲載'!N821&gt;=20000,'中古車掲載'!O821&lt;=100000,'中古車掲載'!AL821=1,'中古車掲載'!Z821="https://www.one2car.com/en/cars-for-sale/toyota/corolla-cross/year-2023"),'中古車掲載'!U821,"")</x:f>
      </x:c>
      <x:c r="BH820" s="3" t="str">
        <x:f>IF(AND('中古車掲載'!C821="One2car",'中古車掲載'!F821="DOLPHIN",'中古車掲載'!L821="STANDARD RANGE",'中古車掲載'!J821=2023,ISNUMBER('中古車掲載'!N821),'中古車掲載'!N821&gt;=20000,'中古車掲載'!O821&lt;=100000,'中古車掲載'!AL821=1),'中古車掲載'!U821,"")</x:f>
      </x:c>
      <x:c r="BI820" s="3" t="str">
        <x:v>Taladrod|Hilux Revo|ICE|Unknown</x:v>
      </x:c>
      <x:c r="BJ820" s="3" t="n">
        <x:v>821</x:v>
      </x:c>
      <x:c r="BK820" s="3" t="n">
        <x:f>'中古車掲載'!AM821</x:f>
        <x:v>395000</x:v>
      </x:c>
      <x:c r="BL820" s="3" t="str">
        <x:f>IF(ISNUMBER('中古車掲載'!AN821),'中古車掲載'!AN821,"")</x:f>
      </x:c>
      <x:c r="BM820" s="3"/>
      <x:c r="BN820" s="3"/>
      <x:c r="BO820" s="3"/>
      <x:c r="BP820" s="3"/>
      <x:c r="BQ820" s="3"/>
      <x:c r="BR820" s="3"/>
    </x:row>
    <x:row r="821" ht="22" customHeight="1">
      <x:c r="A821" s="3"/>
      <x:c r="B821" s="3"/>
      <x:c r="C821" s="3"/>
      <x:c r="D821" s="3"/>
      <x:c r="E821" s="3"/>
      <x:c r="F821" s="3"/>
      <x:c r="G821" s="3"/>
      <x:c r="H821" s="3"/>
      <x:c r="I821" s="3"/>
      <x:c r="J821" s="3"/>
      <x:c r="K821" s="3"/>
      <x:c r="L821" s="3"/>
      <x:c r="M821" s="3"/>
      <x:c r="N821" s="3"/>
      <x:c r="O821" s="3"/>
      <x:c r="P821" s="3"/>
      <x:c r="Q821" s="3"/>
      <x:c r="R821" s="3"/>
      <x:c r="S821" s="3"/>
      <x:c r="T821" s="3"/>
      <x:c r="U821" s="3"/>
      <x:c r="V821" s="3"/>
      <x:c r="W821" s="3"/>
      <x:c r="X821" s="3"/>
      <x:c r="Y821" s="3"/>
      <x:c r="Z821" s="3"/>
      <x:c r="AA821" s="3"/>
      <x:c r="AB821" s="3"/>
      <x:c r="AC821" s="3"/>
      <x:c r="AD821" s="3"/>
      <x:c r="AE821" s="3"/>
      <x:c r="AF821" s="3"/>
      <x:c r="AG821" s="3"/>
      <x:c r="AH821" s="3"/>
      <x:c r="AI821" s="3"/>
      <x:c r="AJ821" s="3"/>
      <x:c r="AK821" s="3"/>
      <x:c r="AL821" s="3"/>
      <x:c r="AM821" s="3"/>
      <x:c r="AN821" s="3"/>
      <x:c r="AO821" s="3"/>
      <x:c r="AP821" s="3"/>
      <x:c r="AQ821" s="3"/>
      <x:c r="AR821" s="3"/>
      <x:c r="AS821" s="3"/>
      <x:c r="AT821" s="3"/>
      <x:c r="AU821" s="3"/>
      <x:c r="AV821" s="3"/>
      <x:c r="AW821" s="3"/>
      <x:c r="AX821" s="3"/>
      <x:c r="AY821" s="3"/>
      <x:c r="AZ821" s="3" t="str">
        <x:f>IF(AND('中古車掲載'!C822="One2car",'中古車掲載'!F822="ATTO 3",'中古車掲載'!L822="EXTENDED RANGE",'中古車掲載'!J822=2023,ISNUMBER('中古車掲載'!N822),'中古車掲載'!N822&gt;=20000,'中古車掲載'!O822&lt;=100000,'中古車掲載'!AL822=1),'中古車掲載'!U822,"")</x:f>
      </x:c>
      <x:c r="BA821" s="3" t="str">
        <x:f>IF(AND('中古車掲載'!C822="One2car",'中古車掲載'!F822="Corolla Cross",'中古車掲載'!L822="HEV PREMIUM SAFETY",'中古車掲載'!J822=2023,ISNUMBER('中古車掲載'!N822),'中古車掲載'!N822&gt;=20000,'中古車掲載'!O822&lt;=100000,'中古車掲載'!AL822=1,'中古車掲載'!Z822="https://www.one2car.com/en/cars-for-sale/toyota/corolla-cross/year-2023"),'中古車掲載'!U822,"")</x:f>
      </x:c>
      <x:c r="BB821" s="3" t="str">
        <x:f>IF(AND('中古車掲載'!C822="One2car",'中古車掲載'!F822="ATTO 3",'中古車掲載'!L822="EXTENDED RANGE",'中古車掲載'!J822=2023,ISNUMBER('中古車掲載'!N822),'中古車掲載'!N822&gt;=50000,'中古車掲載'!O822&lt;=100000,'中古車掲載'!AL822=1),'中古車掲載'!U822,"")</x:f>
      </x:c>
      <x:c r="BC821" s="3" t="str">
        <x:f>IF(AND('中古車掲載'!C822="One2car",'中古車掲載'!F822="Corolla Cross",'中古車掲載'!L822="HEV PREMIUM SAFETY",'中古車掲載'!J822=2023,ISNUMBER('中古車掲載'!N822),'中古車掲載'!N822&gt;=50000,'中古車掲載'!O822&lt;=100000,'中古車掲載'!AL822=1,'中古車掲載'!Z822="https://www.one2car.com/en/cars-for-sale/toyota/corolla-cross/year-2023"),'中古車掲載'!U822,"")</x:f>
      </x:c>
      <x:c r="BD821" s="3" t="str">
        <x:f>IF(AND('中古車掲載'!C822="One2car",'中古車掲載'!F822="ATTO 3",'中古車掲載'!L822="EXTENDED RANGE",'中古車掲載'!J822=2023,ISNUMBER('中古車掲載'!N822),'中古車掲載'!N822&gt;=20000,'中古車掲載'!O822&lt;=50000,'中古車掲載'!AL822=1),'中古車掲載'!U822,"")</x:f>
      </x:c>
      <x:c r="BE821" s="3" t="str">
        <x:f>IF(AND('中古車掲載'!C822="One2car",'中古車掲載'!F822="Corolla Cross",'中古車掲載'!L822="HEV PREMIUM SAFETY",'中古車掲載'!J822=2023,ISNUMBER('中古車掲載'!N822),'中古車掲載'!N822&gt;=20000,'中古車掲載'!O822&lt;=50000,'中古車掲載'!AL822=1,'中古車掲載'!Z822="https://www.one2car.com/en/cars-for-sale/toyota/corolla-cross/year-2023"),'中古車掲載'!U822,"")</x:f>
      </x:c>
      <x:c r="BF821" s="3" t="str">
        <x:f>IF(AND('中古車掲載'!C822="One2car",'中古車掲載'!F822="Corolla Cross",'中古車掲載'!L822="HEV PREMIUM",'中古車掲載'!J822=2023,ISNUMBER('中古車掲載'!N822),'中古車掲載'!N822&gt;=20000,'中古車掲載'!O822&lt;=100000,'中古車掲載'!AL822=1,'中古車掲載'!Z822="https://www.one2car.com/en/cars-for-sale/toyota/corolla-cross/year-2023"),'中古車掲載'!U822,"")</x:f>
      </x:c>
      <x:c r="BG821" s="3" t="str">
        <x:f>IF(AND('中古車掲載'!C822="One2car",'中古車掲載'!F822="Corolla Cross",'中古車掲載'!L822="HEV GR SPORT",'中古車掲載'!J822=2023,ISNUMBER('中古車掲載'!N822),'中古車掲載'!N822&gt;=20000,'中古車掲載'!O822&lt;=100000,'中古車掲載'!AL822=1,'中古車掲載'!Z822="https://www.one2car.com/en/cars-for-sale/toyota/corolla-cross/year-2023"),'中古車掲載'!U822,"")</x:f>
      </x:c>
      <x:c r="BH821" s="3" t="str">
        <x:f>IF(AND('中古車掲載'!C822="One2car",'中古車掲載'!F822="DOLPHIN",'中古車掲載'!L822="STANDARD RANGE",'中古車掲載'!J822=2023,ISNUMBER('中古車掲載'!N822),'中古車掲載'!N822&gt;=20000,'中古車掲載'!O822&lt;=100000,'中古車掲載'!AL822=1),'中古車掲載'!U822,"")</x:f>
      </x:c>
      <x:c r="BI821" s="3" t="str">
        <x:v>Taladrod|Hilux Revo|ICE|Unknown</x:v>
      </x:c>
      <x:c r="BJ821" s="3" t="n">
        <x:v>822</x:v>
      </x:c>
      <x:c r="BK821" s="3" t="n">
        <x:f>'中古車掲載'!AM822</x:f>
        <x:v>771000</x:v>
      </x:c>
      <x:c r="BL821" s="3" t="str">
        <x:f>IF(ISNUMBER('中古車掲載'!AN822),'中古車掲載'!AN822,"")</x:f>
      </x:c>
      <x:c r="BM821" s="3"/>
      <x:c r="BN821" s="3"/>
      <x:c r="BO821" s="3"/>
      <x:c r="BP821" s="3"/>
      <x:c r="BQ821" s="3"/>
      <x:c r="BR821" s="3"/>
    </x:row>
    <x:row r="822" ht="22" customHeight="1">
      <x:c r="A822" s="3"/>
      <x:c r="B822" s="3"/>
      <x:c r="C822" s="3"/>
      <x:c r="D822" s="3"/>
      <x:c r="E822" s="3"/>
      <x:c r="F822" s="3"/>
      <x:c r="G822" s="3"/>
      <x:c r="H822" s="3"/>
      <x:c r="I822" s="3"/>
      <x:c r="J822" s="3"/>
      <x:c r="K822" s="3"/>
      <x:c r="L822" s="3"/>
      <x:c r="M822" s="3"/>
      <x:c r="N822" s="3"/>
      <x:c r="O822" s="3"/>
      <x:c r="P822" s="3"/>
      <x:c r="Q822" s="3"/>
      <x:c r="R822" s="3"/>
      <x:c r="S822" s="3"/>
      <x:c r="T822" s="3"/>
      <x:c r="U822" s="3"/>
      <x:c r="V822" s="3"/>
      <x:c r="W822" s="3"/>
      <x:c r="X822" s="3"/>
      <x:c r="Y822" s="3"/>
      <x:c r="Z822" s="3"/>
      <x:c r="AA822" s="3"/>
      <x:c r="AB822" s="3"/>
      <x:c r="AC822" s="3"/>
      <x:c r="AD822" s="3"/>
      <x:c r="AE822" s="3"/>
      <x:c r="AF822" s="3"/>
      <x:c r="AG822" s="3"/>
      <x:c r="AH822" s="3"/>
      <x:c r="AI822" s="3"/>
      <x:c r="AJ822" s="3"/>
      <x:c r="AK822" s="3"/>
      <x:c r="AL822" s="3"/>
      <x:c r="AM822" s="3"/>
      <x:c r="AN822" s="3"/>
      <x:c r="AO822" s="3"/>
      <x:c r="AP822" s="3"/>
      <x:c r="AQ822" s="3"/>
      <x:c r="AR822" s="3"/>
      <x:c r="AS822" s="3"/>
      <x:c r="AT822" s="3"/>
      <x:c r="AU822" s="3"/>
      <x:c r="AV822" s="3"/>
      <x:c r="AW822" s="3"/>
      <x:c r="AX822" s="3"/>
      <x:c r="AY822" s="3"/>
      <x:c r="AZ822" s="3" t="str">
        <x:f>IF(AND('中古車掲載'!C823="One2car",'中古車掲載'!F823="ATTO 3",'中古車掲載'!L823="EXTENDED RANGE",'中古車掲載'!J823=2023,ISNUMBER('中古車掲載'!N823),'中古車掲載'!N823&gt;=20000,'中古車掲載'!O823&lt;=100000,'中古車掲載'!AL823=1),'中古車掲載'!U823,"")</x:f>
      </x:c>
      <x:c r="BA822" s="3" t="str">
        <x:f>IF(AND('中古車掲載'!C823="One2car",'中古車掲載'!F823="Corolla Cross",'中古車掲載'!L823="HEV PREMIUM SAFETY",'中古車掲載'!J823=2023,ISNUMBER('中古車掲載'!N823),'中古車掲載'!N823&gt;=20000,'中古車掲載'!O823&lt;=100000,'中古車掲載'!AL823=1,'中古車掲載'!Z823="https://www.one2car.com/en/cars-for-sale/toyota/corolla-cross/year-2023"),'中古車掲載'!U823,"")</x:f>
      </x:c>
      <x:c r="BB822" s="3" t="str">
        <x:f>IF(AND('中古車掲載'!C823="One2car",'中古車掲載'!F823="ATTO 3",'中古車掲載'!L823="EXTENDED RANGE",'中古車掲載'!J823=2023,ISNUMBER('中古車掲載'!N823),'中古車掲載'!N823&gt;=50000,'中古車掲載'!O823&lt;=100000,'中古車掲載'!AL823=1),'中古車掲載'!U823,"")</x:f>
      </x:c>
      <x:c r="BC822" s="3" t="str">
        <x:f>IF(AND('中古車掲載'!C823="One2car",'中古車掲載'!F823="Corolla Cross",'中古車掲載'!L823="HEV PREMIUM SAFETY",'中古車掲載'!J823=2023,ISNUMBER('中古車掲載'!N823),'中古車掲載'!N823&gt;=50000,'中古車掲載'!O823&lt;=100000,'中古車掲載'!AL823=1,'中古車掲載'!Z823="https://www.one2car.com/en/cars-for-sale/toyota/corolla-cross/year-2023"),'中古車掲載'!U823,"")</x:f>
      </x:c>
      <x:c r="BD822" s="3" t="str">
        <x:f>IF(AND('中古車掲載'!C823="One2car",'中古車掲載'!F823="ATTO 3",'中古車掲載'!L823="EXTENDED RANGE",'中古車掲載'!J823=2023,ISNUMBER('中古車掲載'!N823),'中古車掲載'!N823&gt;=20000,'中古車掲載'!O823&lt;=50000,'中古車掲載'!AL823=1),'中古車掲載'!U823,"")</x:f>
      </x:c>
      <x:c r="BE822" s="3" t="str">
        <x:f>IF(AND('中古車掲載'!C823="One2car",'中古車掲載'!F823="Corolla Cross",'中古車掲載'!L823="HEV PREMIUM SAFETY",'中古車掲載'!J823=2023,ISNUMBER('中古車掲載'!N823),'中古車掲載'!N823&gt;=20000,'中古車掲載'!O823&lt;=50000,'中古車掲載'!AL823=1,'中古車掲載'!Z823="https://www.one2car.com/en/cars-for-sale/toyota/corolla-cross/year-2023"),'中古車掲載'!U823,"")</x:f>
      </x:c>
      <x:c r="BF822" s="3" t="str">
        <x:f>IF(AND('中古車掲載'!C823="One2car",'中古車掲載'!F823="Corolla Cross",'中古車掲載'!L823="HEV PREMIUM",'中古車掲載'!J823=2023,ISNUMBER('中古車掲載'!N823),'中古車掲載'!N823&gt;=20000,'中古車掲載'!O823&lt;=100000,'中古車掲載'!AL823=1,'中古車掲載'!Z823="https://www.one2car.com/en/cars-for-sale/toyota/corolla-cross/year-2023"),'中古車掲載'!U823,"")</x:f>
      </x:c>
      <x:c r="BG822" s="3" t="str">
        <x:f>IF(AND('中古車掲載'!C823="One2car",'中古車掲載'!F823="Corolla Cross",'中古車掲載'!L823="HEV GR SPORT",'中古車掲載'!J823=2023,ISNUMBER('中古車掲載'!N823),'中古車掲載'!N823&gt;=20000,'中古車掲載'!O823&lt;=100000,'中古車掲載'!AL823=1,'中古車掲載'!Z823="https://www.one2car.com/en/cars-for-sale/toyota/corolla-cross/year-2023"),'中古車掲載'!U823,"")</x:f>
      </x:c>
      <x:c r="BH822" s="3" t="str">
        <x:f>IF(AND('中古車掲載'!C823="One2car",'中古車掲載'!F823="DOLPHIN",'中古車掲載'!L823="STANDARD RANGE",'中古車掲載'!J823=2023,ISNUMBER('中古車掲載'!N823),'中古車掲載'!N823&gt;=20000,'中古車掲載'!O823&lt;=100000,'中古車掲載'!AL823=1),'中古車掲載'!U823,"")</x:f>
      </x:c>
      <x:c r="BI822" s="3" t="str">
        <x:v>Taladrod|Hilux Revo|ICE|Unknown</x:v>
      </x:c>
      <x:c r="BJ822" s="3" t="n">
        <x:v>823</x:v>
      </x:c>
      <x:c r="BK822" s="3" t="n">
        <x:f>'中古車掲載'!AM823</x:f>
        <x:v>749000</x:v>
      </x:c>
      <x:c r="BL822" s="3" t="str">
        <x:f>IF(ISNUMBER('中古車掲載'!AN823),'中古車掲載'!AN823,"")</x:f>
      </x:c>
      <x:c r="BM822" s="3"/>
      <x:c r="BN822" s="3"/>
      <x:c r="BO822" s="3"/>
      <x:c r="BP822" s="3"/>
      <x:c r="BQ822" s="3"/>
      <x:c r="BR822" s="3"/>
    </x:row>
    <x:row r="823" ht="22" customHeight="1">
      <x:c r="A823" s="3"/>
      <x:c r="B823" s="3"/>
      <x:c r="C823" s="3"/>
      <x:c r="D823" s="3"/>
      <x:c r="E823" s="3"/>
      <x:c r="F823" s="3"/>
      <x:c r="G823" s="3"/>
      <x:c r="H823" s="3"/>
      <x:c r="I823" s="3"/>
      <x:c r="J823" s="3"/>
      <x:c r="K823" s="3"/>
      <x:c r="L823" s="3"/>
      <x:c r="M823" s="3"/>
      <x:c r="N823" s="3"/>
      <x:c r="O823" s="3"/>
      <x:c r="P823" s="3"/>
      <x:c r="Q823" s="3"/>
      <x:c r="R823" s="3"/>
      <x:c r="S823" s="3"/>
      <x:c r="T823" s="3"/>
      <x:c r="U823" s="3"/>
      <x:c r="V823" s="3"/>
      <x:c r="W823" s="3"/>
      <x:c r="X823" s="3"/>
      <x:c r="Y823" s="3"/>
      <x:c r="Z823" s="3"/>
      <x:c r="AA823" s="3"/>
      <x:c r="AB823" s="3"/>
      <x:c r="AC823" s="3"/>
      <x:c r="AD823" s="3"/>
      <x:c r="AE823" s="3"/>
      <x:c r="AF823" s="3"/>
      <x:c r="AG823" s="3"/>
      <x:c r="AH823" s="3"/>
      <x:c r="AI823" s="3"/>
      <x:c r="AJ823" s="3"/>
      <x:c r="AK823" s="3"/>
      <x:c r="AL823" s="3"/>
      <x:c r="AM823" s="3"/>
      <x:c r="AN823" s="3"/>
      <x:c r="AO823" s="3"/>
      <x:c r="AP823" s="3"/>
      <x:c r="AQ823" s="3"/>
      <x:c r="AR823" s="3"/>
      <x:c r="AS823" s="3"/>
      <x:c r="AT823" s="3"/>
      <x:c r="AU823" s="3"/>
      <x:c r="AV823" s="3"/>
      <x:c r="AW823" s="3"/>
      <x:c r="AX823" s="3"/>
      <x:c r="AY823" s="3"/>
      <x:c r="AZ823" s="3" t="str">
        <x:f>IF(AND('中古車掲載'!C824="One2car",'中古車掲載'!F824="ATTO 3",'中古車掲載'!L824="EXTENDED RANGE",'中古車掲載'!J824=2023,ISNUMBER('中古車掲載'!N824),'中古車掲載'!N824&gt;=20000,'中古車掲載'!O824&lt;=100000,'中古車掲載'!AL824=1),'中古車掲載'!U824,"")</x:f>
      </x:c>
      <x:c r="BA823" s="3" t="str">
        <x:f>IF(AND('中古車掲載'!C824="One2car",'中古車掲載'!F824="Corolla Cross",'中古車掲載'!L824="HEV PREMIUM SAFETY",'中古車掲載'!J824=2023,ISNUMBER('中古車掲載'!N824),'中古車掲載'!N824&gt;=20000,'中古車掲載'!O824&lt;=100000,'中古車掲載'!AL824=1,'中古車掲載'!Z824="https://www.one2car.com/en/cars-for-sale/toyota/corolla-cross/year-2023"),'中古車掲載'!U824,"")</x:f>
      </x:c>
      <x:c r="BB823" s="3" t="str">
        <x:f>IF(AND('中古車掲載'!C824="One2car",'中古車掲載'!F824="ATTO 3",'中古車掲載'!L824="EXTENDED RANGE",'中古車掲載'!J824=2023,ISNUMBER('中古車掲載'!N824),'中古車掲載'!N824&gt;=50000,'中古車掲載'!O824&lt;=100000,'中古車掲載'!AL824=1),'中古車掲載'!U824,"")</x:f>
      </x:c>
      <x:c r="BC823" s="3" t="str">
        <x:f>IF(AND('中古車掲載'!C824="One2car",'中古車掲載'!F824="Corolla Cross",'中古車掲載'!L824="HEV PREMIUM SAFETY",'中古車掲載'!J824=2023,ISNUMBER('中古車掲載'!N824),'中古車掲載'!N824&gt;=50000,'中古車掲載'!O824&lt;=100000,'中古車掲載'!AL824=1,'中古車掲載'!Z824="https://www.one2car.com/en/cars-for-sale/toyota/corolla-cross/year-2023"),'中古車掲載'!U824,"")</x:f>
      </x:c>
      <x:c r="BD823" s="3" t="str">
        <x:f>IF(AND('中古車掲載'!C824="One2car",'中古車掲載'!F824="ATTO 3",'中古車掲載'!L824="EXTENDED RANGE",'中古車掲載'!J824=2023,ISNUMBER('中古車掲載'!N824),'中古車掲載'!N824&gt;=20000,'中古車掲載'!O824&lt;=50000,'中古車掲載'!AL824=1),'中古車掲載'!U824,"")</x:f>
      </x:c>
      <x:c r="BE823" s="3" t="str">
        <x:f>IF(AND('中古車掲載'!C824="One2car",'中古車掲載'!F824="Corolla Cross",'中古車掲載'!L824="HEV PREMIUM SAFETY",'中古車掲載'!J824=2023,ISNUMBER('中古車掲載'!N824),'中古車掲載'!N824&gt;=20000,'中古車掲載'!O824&lt;=50000,'中古車掲載'!AL824=1,'中古車掲載'!Z824="https://www.one2car.com/en/cars-for-sale/toyota/corolla-cross/year-2023"),'中古車掲載'!U824,"")</x:f>
      </x:c>
      <x:c r="BF823" s="3" t="str">
        <x:f>IF(AND('中古車掲載'!C824="One2car",'中古車掲載'!F824="Corolla Cross",'中古車掲載'!L824="HEV PREMIUM",'中古車掲載'!J824=2023,ISNUMBER('中古車掲載'!N824),'中古車掲載'!N824&gt;=20000,'中古車掲載'!O824&lt;=100000,'中古車掲載'!AL824=1,'中古車掲載'!Z824="https://www.one2car.com/en/cars-for-sale/toyota/corolla-cross/year-2023"),'中古車掲載'!U824,"")</x:f>
      </x:c>
      <x:c r="BG823" s="3" t="str">
        <x:f>IF(AND('中古車掲載'!C824="One2car",'中古車掲載'!F824="Corolla Cross",'中古車掲載'!L824="HEV GR SPORT",'中古車掲載'!J824=2023,ISNUMBER('中古車掲載'!N824),'中古車掲載'!N824&gt;=20000,'中古車掲載'!O824&lt;=100000,'中古車掲載'!AL824=1,'中古車掲載'!Z824="https://www.one2car.com/en/cars-for-sale/toyota/corolla-cross/year-2023"),'中古車掲載'!U824,"")</x:f>
      </x:c>
      <x:c r="BH823" s="3" t="str">
        <x:f>IF(AND('中古車掲載'!C824="One2car",'中古車掲載'!F824="DOLPHIN",'中古車掲載'!L824="STANDARD RANGE",'中古車掲載'!J824=2023,ISNUMBER('中古車掲載'!N824),'中古車掲載'!N824&gt;=20000,'中古車掲載'!O824&lt;=100000,'中古車掲載'!AL824=1),'中古車掲載'!U824,"")</x:f>
      </x:c>
      <x:c r="BI823" s="3" t="str">
        <x:v>Taladrod|Hilux Revo|ICE|Unknown</x:v>
      </x:c>
      <x:c r="BJ823" s="3" t="n">
        <x:v>824</x:v>
      </x:c>
      <x:c r="BK823" s="3" t="n">
        <x:f>'中古車掲載'!AM824</x:f>
        <x:v>749000</x:v>
      </x:c>
      <x:c r="BL823" s="3" t="str">
        <x:f>IF(ISNUMBER('中古車掲載'!AN824),'中古車掲載'!AN824,"")</x:f>
      </x:c>
      <x:c r="BM823" s="3"/>
      <x:c r="BN823" s="3"/>
      <x:c r="BO823" s="3"/>
      <x:c r="BP823" s="3"/>
      <x:c r="BQ823" s="3"/>
      <x:c r="BR823" s="3"/>
    </x:row>
    <x:row r="824" ht="22" customHeight="1">
      <x:c r="A824" s="3"/>
      <x:c r="B824" s="3"/>
      <x:c r="C824" s="3"/>
      <x:c r="D824" s="3"/>
      <x:c r="E824" s="3"/>
      <x:c r="F824" s="3"/>
      <x:c r="G824" s="3"/>
      <x:c r="H824" s="3"/>
      <x:c r="I824" s="3"/>
      <x:c r="J824" s="3"/>
      <x:c r="K824" s="3"/>
      <x:c r="L824" s="3"/>
      <x:c r="M824" s="3"/>
      <x:c r="N824" s="3"/>
      <x:c r="O824" s="3"/>
      <x:c r="P824" s="3"/>
      <x:c r="Q824" s="3"/>
      <x:c r="R824" s="3"/>
      <x:c r="S824" s="3"/>
      <x:c r="T824" s="3"/>
      <x:c r="U824" s="3"/>
      <x:c r="V824" s="3"/>
      <x:c r="W824" s="3"/>
      <x:c r="X824" s="3"/>
      <x:c r="Y824" s="3"/>
      <x:c r="Z824" s="3"/>
      <x:c r="AA824" s="3"/>
      <x:c r="AB824" s="3"/>
      <x:c r="AC824" s="3"/>
      <x:c r="AD824" s="3"/>
      <x:c r="AE824" s="3"/>
      <x:c r="AF824" s="3"/>
      <x:c r="AG824" s="3"/>
      <x:c r="AH824" s="3"/>
      <x:c r="AI824" s="3"/>
      <x:c r="AJ824" s="3"/>
      <x:c r="AK824" s="3"/>
      <x:c r="AL824" s="3"/>
      <x:c r="AM824" s="3"/>
      <x:c r="AN824" s="3"/>
      <x:c r="AO824" s="3"/>
      <x:c r="AP824" s="3"/>
      <x:c r="AQ824" s="3"/>
      <x:c r="AR824" s="3"/>
      <x:c r="AS824" s="3"/>
      <x:c r="AT824" s="3"/>
      <x:c r="AU824" s="3"/>
      <x:c r="AV824" s="3"/>
      <x:c r="AW824" s="3"/>
      <x:c r="AX824" s="3"/>
      <x:c r="AY824" s="3"/>
      <x:c r="AZ824" s="3" t="str">
        <x:f>IF(AND('中古車掲載'!C825="One2car",'中古車掲載'!F825="ATTO 3",'中古車掲載'!L825="EXTENDED RANGE",'中古車掲載'!J825=2023,ISNUMBER('中古車掲載'!N825),'中古車掲載'!N825&gt;=20000,'中古車掲載'!O825&lt;=100000,'中古車掲載'!AL825=1),'中古車掲載'!U825,"")</x:f>
      </x:c>
      <x:c r="BA824" s="3" t="str">
        <x:f>IF(AND('中古車掲載'!C825="One2car",'中古車掲載'!F825="Corolla Cross",'中古車掲載'!L825="HEV PREMIUM SAFETY",'中古車掲載'!J825=2023,ISNUMBER('中古車掲載'!N825),'中古車掲載'!N825&gt;=20000,'中古車掲載'!O825&lt;=100000,'中古車掲載'!AL825=1,'中古車掲載'!Z825="https://www.one2car.com/en/cars-for-sale/toyota/corolla-cross/year-2023"),'中古車掲載'!U825,"")</x:f>
      </x:c>
      <x:c r="BB824" s="3" t="str">
        <x:f>IF(AND('中古車掲載'!C825="One2car",'中古車掲載'!F825="ATTO 3",'中古車掲載'!L825="EXTENDED RANGE",'中古車掲載'!J825=2023,ISNUMBER('中古車掲載'!N825),'中古車掲載'!N825&gt;=50000,'中古車掲載'!O825&lt;=100000,'中古車掲載'!AL825=1),'中古車掲載'!U825,"")</x:f>
      </x:c>
      <x:c r="BC824" s="3" t="str">
        <x:f>IF(AND('中古車掲載'!C825="One2car",'中古車掲載'!F825="Corolla Cross",'中古車掲載'!L825="HEV PREMIUM SAFETY",'中古車掲載'!J825=2023,ISNUMBER('中古車掲載'!N825),'中古車掲載'!N825&gt;=50000,'中古車掲載'!O825&lt;=100000,'中古車掲載'!AL825=1,'中古車掲載'!Z825="https://www.one2car.com/en/cars-for-sale/toyota/corolla-cross/year-2023"),'中古車掲載'!U825,"")</x:f>
      </x:c>
      <x:c r="BD824" s="3" t="str">
        <x:f>IF(AND('中古車掲載'!C825="One2car",'中古車掲載'!F825="ATTO 3",'中古車掲載'!L825="EXTENDED RANGE",'中古車掲載'!J825=2023,ISNUMBER('中古車掲載'!N825),'中古車掲載'!N825&gt;=20000,'中古車掲載'!O825&lt;=50000,'中古車掲載'!AL825=1),'中古車掲載'!U825,"")</x:f>
      </x:c>
      <x:c r="BE824" s="3" t="str">
        <x:f>IF(AND('中古車掲載'!C825="One2car",'中古車掲載'!F825="Corolla Cross",'中古車掲載'!L825="HEV PREMIUM SAFETY",'中古車掲載'!J825=2023,ISNUMBER('中古車掲載'!N825),'中古車掲載'!N825&gt;=20000,'中古車掲載'!O825&lt;=50000,'中古車掲載'!AL825=1,'中古車掲載'!Z825="https://www.one2car.com/en/cars-for-sale/toyota/corolla-cross/year-2023"),'中古車掲載'!U825,"")</x:f>
      </x:c>
      <x:c r="BF824" s="3" t="str">
        <x:f>IF(AND('中古車掲載'!C825="One2car",'中古車掲載'!F825="Corolla Cross",'中古車掲載'!L825="HEV PREMIUM",'中古車掲載'!J825=2023,ISNUMBER('中古車掲載'!N825),'中古車掲載'!N825&gt;=20000,'中古車掲載'!O825&lt;=100000,'中古車掲載'!AL825=1,'中古車掲載'!Z825="https://www.one2car.com/en/cars-for-sale/toyota/corolla-cross/year-2023"),'中古車掲載'!U825,"")</x:f>
      </x:c>
      <x:c r="BG824" s="3" t="str">
        <x:f>IF(AND('中古車掲載'!C825="One2car",'中古車掲載'!F825="Corolla Cross",'中古車掲載'!L825="HEV GR SPORT",'中古車掲載'!J825=2023,ISNUMBER('中古車掲載'!N825),'中古車掲載'!N825&gt;=20000,'中古車掲載'!O825&lt;=100000,'中古車掲載'!AL825=1,'中古車掲載'!Z825="https://www.one2car.com/en/cars-for-sale/toyota/corolla-cross/year-2023"),'中古車掲載'!U825,"")</x:f>
      </x:c>
      <x:c r="BH824" s="3" t="str">
        <x:f>IF(AND('中古車掲載'!C825="One2car",'中古車掲載'!F825="DOLPHIN",'中古車掲載'!L825="STANDARD RANGE",'中古車掲載'!J825=2023,ISNUMBER('中古車掲載'!N825),'中古車掲載'!N825&gt;=20000,'中古車掲載'!O825&lt;=100000,'中古車掲載'!AL825=1),'中古車掲載'!U825,"")</x:f>
      </x:c>
      <x:c r="BI824" s="3" t="str">
        <x:v>Taladrod|Hilux Revo|ICE|Unknown</x:v>
      </x:c>
      <x:c r="BJ824" s="3" t="n">
        <x:v>825</x:v>
      </x:c>
      <x:c r="BK824" s="3" t="n">
        <x:f>'中古車掲載'!AM825</x:f>
        <x:v>619000</x:v>
      </x:c>
      <x:c r="BL824" s="3" t="str">
        <x:f>IF(ISNUMBER('中古車掲載'!AN825),'中古車掲載'!AN825,"")</x:f>
      </x:c>
      <x:c r="BM824" s="3"/>
      <x:c r="BN824" s="3"/>
      <x:c r="BO824" s="3"/>
      <x:c r="BP824" s="3"/>
      <x:c r="BQ824" s="3"/>
      <x:c r="BR824" s="3"/>
    </x:row>
    <x:row r="825" ht="22" customHeight="1">
      <x:c r="A825" s="3"/>
      <x:c r="B825" s="3"/>
      <x:c r="C825" s="3"/>
      <x:c r="D825" s="3"/>
      <x:c r="E825" s="3"/>
      <x:c r="F825" s="3"/>
      <x:c r="G825" s="3"/>
      <x:c r="H825" s="3"/>
      <x:c r="I825" s="3"/>
      <x:c r="J825" s="3"/>
      <x:c r="K825" s="3"/>
      <x:c r="L825" s="3"/>
      <x:c r="M825" s="3"/>
      <x:c r="N825" s="3"/>
      <x:c r="O825" s="3"/>
      <x:c r="P825" s="3"/>
      <x:c r="Q825" s="3"/>
      <x:c r="R825" s="3"/>
      <x:c r="S825" s="3"/>
      <x:c r="T825" s="3"/>
      <x:c r="U825" s="3"/>
      <x:c r="V825" s="3"/>
      <x:c r="W825" s="3"/>
      <x:c r="X825" s="3"/>
      <x:c r="Y825" s="3"/>
      <x:c r="Z825" s="3"/>
      <x:c r="AA825" s="3"/>
      <x:c r="AB825" s="3"/>
      <x:c r="AC825" s="3"/>
      <x:c r="AD825" s="3"/>
      <x:c r="AE825" s="3"/>
      <x:c r="AF825" s="3"/>
      <x:c r="AG825" s="3"/>
      <x:c r="AH825" s="3"/>
      <x:c r="AI825" s="3"/>
      <x:c r="AJ825" s="3"/>
      <x:c r="AK825" s="3"/>
      <x:c r="AL825" s="3"/>
      <x:c r="AM825" s="3"/>
      <x:c r="AN825" s="3"/>
      <x:c r="AO825" s="3"/>
      <x:c r="AP825" s="3"/>
      <x:c r="AQ825" s="3"/>
      <x:c r="AR825" s="3"/>
      <x:c r="AS825" s="3"/>
      <x:c r="AT825" s="3"/>
      <x:c r="AU825" s="3"/>
      <x:c r="AV825" s="3"/>
      <x:c r="AW825" s="3"/>
      <x:c r="AX825" s="3"/>
      <x:c r="AY825" s="3"/>
      <x:c r="AZ825" s="3" t="str">
        <x:f>IF(AND('中古車掲載'!C826="One2car",'中古車掲載'!F826="ATTO 3",'中古車掲載'!L826="EXTENDED RANGE",'中古車掲載'!J826=2023,ISNUMBER('中古車掲載'!N826),'中古車掲載'!N826&gt;=20000,'中古車掲載'!O826&lt;=100000,'中古車掲載'!AL826=1),'中古車掲載'!U826,"")</x:f>
      </x:c>
      <x:c r="BA825" s="3" t="str">
        <x:f>IF(AND('中古車掲載'!C826="One2car",'中古車掲載'!F826="Corolla Cross",'中古車掲載'!L826="HEV PREMIUM SAFETY",'中古車掲載'!J826=2023,ISNUMBER('中古車掲載'!N826),'中古車掲載'!N826&gt;=20000,'中古車掲載'!O826&lt;=100000,'中古車掲載'!AL826=1,'中古車掲載'!Z826="https://www.one2car.com/en/cars-for-sale/toyota/corolla-cross/year-2023"),'中古車掲載'!U826,"")</x:f>
      </x:c>
      <x:c r="BB825" s="3" t="str">
        <x:f>IF(AND('中古車掲載'!C826="One2car",'中古車掲載'!F826="ATTO 3",'中古車掲載'!L826="EXTENDED RANGE",'中古車掲載'!J826=2023,ISNUMBER('中古車掲載'!N826),'中古車掲載'!N826&gt;=50000,'中古車掲載'!O826&lt;=100000,'中古車掲載'!AL826=1),'中古車掲載'!U826,"")</x:f>
      </x:c>
      <x:c r="BC825" s="3" t="str">
        <x:f>IF(AND('中古車掲載'!C826="One2car",'中古車掲載'!F826="Corolla Cross",'中古車掲載'!L826="HEV PREMIUM SAFETY",'中古車掲載'!J826=2023,ISNUMBER('中古車掲載'!N826),'中古車掲載'!N826&gt;=50000,'中古車掲載'!O826&lt;=100000,'中古車掲載'!AL826=1,'中古車掲載'!Z826="https://www.one2car.com/en/cars-for-sale/toyota/corolla-cross/year-2023"),'中古車掲載'!U826,"")</x:f>
      </x:c>
      <x:c r="BD825" s="3" t="str">
        <x:f>IF(AND('中古車掲載'!C826="One2car",'中古車掲載'!F826="ATTO 3",'中古車掲載'!L826="EXTENDED RANGE",'中古車掲載'!J826=2023,ISNUMBER('中古車掲載'!N826),'中古車掲載'!N826&gt;=20000,'中古車掲載'!O826&lt;=50000,'中古車掲載'!AL826=1),'中古車掲載'!U826,"")</x:f>
      </x:c>
      <x:c r="BE825" s="3" t="str">
        <x:f>IF(AND('中古車掲載'!C826="One2car",'中古車掲載'!F826="Corolla Cross",'中古車掲載'!L826="HEV PREMIUM SAFETY",'中古車掲載'!J826=2023,ISNUMBER('中古車掲載'!N826),'中古車掲載'!N826&gt;=20000,'中古車掲載'!O826&lt;=50000,'中古車掲載'!AL826=1,'中古車掲載'!Z826="https://www.one2car.com/en/cars-for-sale/toyota/corolla-cross/year-2023"),'中古車掲載'!U826,"")</x:f>
      </x:c>
      <x:c r="BF825" s="3" t="str">
        <x:f>IF(AND('中古車掲載'!C826="One2car",'中古車掲載'!F826="Corolla Cross",'中古車掲載'!L826="HEV PREMIUM",'中古車掲載'!J826=2023,ISNUMBER('中古車掲載'!N826),'中古車掲載'!N826&gt;=20000,'中古車掲載'!O826&lt;=100000,'中古車掲載'!AL826=1,'中古車掲載'!Z826="https://www.one2car.com/en/cars-for-sale/toyota/corolla-cross/year-2023"),'中古車掲載'!U826,"")</x:f>
      </x:c>
      <x:c r="BG825" s="3" t="str">
        <x:f>IF(AND('中古車掲載'!C826="One2car",'中古車掲載'!F826="Corolla Cross",'中古車掲載'!L826="HEV GR SPORT",'中古車掲載'!J826=2023,ISNUMBER('中古車掲載'!N826),'中古車掲載'!N826&gt;=20000,'中古車掲載'!O826&lt;=100000,'中古車掲載'!AL826=1,'中古車掲載'!Z826="https://www.one2car.com/en/cars-for-sale/toyota/corolla-cross/year-2023"),'中古車掲載'!U826,"")</x:f>
      </x:c>
      <x:c r="BH825" s="3" t="str">
        <x:f>IF(AND('中古車掲載'!C826="One2car",'中古車掲載'!F826="DOLPHIN",'中古車掲載'!L826="STANDARD RANGE",'中古車掲載'!J826=2023,ISNUMBER('中古車掲載'!N826),'中古車掲載'!N826&gt;=20000,'中古車掲載'!O826&lt;=100000,'中古車掲載'!AL826=1),'中古車掲載'!U826,"")</x:f>
      </x:c>
      <x:c r="BI825" s="3" t="str">
        <x:v>Taladrod|Hilux Revo|ICE|Unknown</x:v>
      </x:c>
      <x:c r="BJ825" s="3" t="n">
        <x:v>826</x:v>
      </x:c>
      <x:c r="BK825" s="3" t="n">
        <x:f>'中古車掲載'!AM826</x:f>
        <x:v>585000</x:v>
      </x:c>
      <x:c r="BL825" s="3" t="str">
        <x:f>IF(ISNUMBER('中古車掲載'!AN826),'中古車掲載'!AN826,"")</x:f>
      </x:c>
      <x:c r="BM825" s="3"/>
      <x:c r="BN825" s="3"/>
      <x:c r="BO825" s="3"/>
      <x:c r="BP825" s="3"/>
      <x:c r="BQ825" s="3"/>
      <x:c r="BR825" s="3"/>
    </x:row>
    <x:row r="826" ht="22" customHeight="1">
      <x:c r="A826" s="3"/>
      <x:c r="B826" s="3"/>
      <x:c r="C826" s="3"/>
      <x:c r="D826" s="3"/>
      <x:c r="E826" s="3"/>
      <x:c r="F826" s="3"/>
      <x:c r="G826" s="3"/>
      <x:c r="H826" s="3"/>
      <x:c r="I826" s="3"/>
      <x:c r="J826" s="3"/>
      <x:c r="K826" s="3"/>
      <x:c r="L826" s="3"/>
      <x:c r="M826" s="3"/>
      <x:c r="N826" s="3"/>
      <x:c r="O826" s="3"/>
      <x:c r="P826" s="3"/>
      <x:c r="Q826" s="3"/>
      <x:c r="R826" s="3"/>
      <x:c r="S826" s="3"/>
      <x:c r="T826" s="3"/>
      <x:c r="U826" s="3"/>
      <x:c r="V826" s="3"/>
      <x:c r="W826" s="3"/>
      <x:c r="X826" s="3"/>
      <x:c r="Y826" s="3"/>
      <x:c r="Z826" s="3"/>
      <x:c r="AA826" s="3"/>
      <x:c r="AB826" s="3"/>
      <x:c r="AC826" s="3"/>
      <x:c r="AD826" s="3"/>
      <x:c r="AE826" s="3"/>
      <x:c r="AF826" s="3"/>
      <x:c r="AG826" s="3"/>
      <x:c r="AH826" s="3"/>
      <x:c r="AI826" s="3"/>
      <x:c r="AJ826" s="3"/>
      <x:c r="AK826" s="3"/>
      <x:c r="AL826" s="3"/>
      <x:c r="AM826" s="3"/>
      <x:c r="AN826" s="3"/>
      <x:c r="AO826" s="3"/>
      <x:c r="AP826" s="3"/>
      <x:c r="AQ826" s="3"/>
      <x:c r="AR826" s="3"/>
      <x:c r="AS826" s="3"/>
      <x:c r="AT826" s="3"/>
      <x:c r="AU826" s="3"/>
      <x:c r="AV826" s="3"/>
      <x:c r="AW826" s="3"/>
      <x:c r="AX826" s="3"/>
      <x:c r="AY826" s="3"/>
      <x:c r="AZ826" s="3" t="str">
        <x:f>IF(AND('中古車掲載'!C827="One2car",'中古車掲載'!F827="ATTO 3",'中古車掲載'!L827="EXTENDED RANGE",'中古車掲載'!J827=2023,ISNUMBER('中古車掲載'!N827),'中古車掲載'!N827&gt;=20000,'中古車掲載'!O827&lt;=100000,'中古車掲載'!AL827=1),'中古車掲載'!U827,"")</x:f>
      </x:c>
      <x:c r="BA826" s="3" t="str">
        <x:f>IF(AND('中古車掲載'!C827="One2car",'中古車掲載'!F827="Corolla Cross",'中古車掲載'!L827="HEV PREMIUM SAFETY",'中古車掲載'!J827=2023,ISNUMBER('中古車掲載'!N827),'中古車掲載'!N827&gt;=20000,'中古車掲載'!O827&lt;=100000,'中古車掲載'!AL827=1,'中古車掲載'!Z827="https://www.one2car.com/en/cars-for-sale/toyota/corolla-cross/year-2023"),'中古車掲載'!U827,"")</x:f>
      </x:c>
      <x:c r="BB826" s="3" t="str">
        <x:f>IF(AND('中古車掲載'!C827="One2car",'中古車掲載'!F827="ATTO 3",'中古車掲載'!L827="EXTENDED RANGE",'中古車掲載'!J827=2023,ISNUMBER('中古車掲載'!N827),'中古車掲載'!N827&gt;=50000,'中古車掲載'!O827&lt;=100000,'中古車掲載'!AL827=1),'中古車掲載'!U827,"")</x:f>
      </x:c>
      <x:c r="BC826" s="3" t="str">
        <x:f>IF(AND('中古車掲載'!C827="One2car",'中古車掲載'!F827="Corolla Cross",'中古車掲載'!L827="HEV PREMIUM SAFETY",'中古車掲載'!J827=2023,ISNUMBER('中古車掲載'!N827),'中古車掲載'!N827&gt;=50000,'中古車掲載'!O827&lt;=100000,'中古車掲載'!AL827=1,'中古車掲載'!Z827="https://www.one2car.com/en/cars-for-sale/toyota/corolla-cross/year-2023"),'中古車掲載'!U827,"")</x:f>
      </x:c>
      <x:c r="BD826" s="3" t="str">
        <x:f>IF(AND('中古車掲載'!C827="One2car",'中古車掲載'!F827="ATTO 3",'中古車掲載'!L827="EXTENDED RANGE",'中古車掲載'!J827=2023,ISNUMBER('中古車掲載'!N827),'中古車掲載'!N827&gt;=20000,'中古車掲載'!O827&lt;=50000,'中古車掲載'!AL827=1),'中古車掲載'!U827,"")</x:f>
      </x:c>
      <x:c r="BE826" s="3" t="str">
        <x:f>IF(AND('中古車掲載'!C827="One2car",'中古車掲載'!F827="Corolla Cross",'中古車掲載'!L827="HEV PREMIUM SAFETY",'中古車掲載'!J827=2023,ISNUMBER('中古車掲載'!N827),'中古車掲載'!N827&gt;=20000,'中古車掲載'!O827&lt;=50000,'中古車掲載'!AL827=1,'中古車掲載'!Z827="https://www.one2car.com/en/cars-for-sale/toyota/corolla-cross/year-2023"),'中古車掲載'!U827,"")</x:f>
      </x:c>
      <x:c r="BF826" s="3" t="str">
        <x:f>IF(AND('中古車掲載'!C827="One2car",'中古車掲載'!F827="Corolla Cross",'中古車掲載'!L827="HEV PREMIUM",'中古車掲載'!J827=2023,ISNUMBER('中古車掲載'!N827),'中古車掲載'!N827&gt;=20000,'中古車掲載'!O827&lt;=100000,'中古車掲載'!AL827=1,'中古車掲載'!Z827="https://www.one2car.com/en/cars-for-sale/toyota/corolla-cross/year-2023"),'中古車掲載'!U827,"")</x:f>
      </x:c>
      <x:c r="BG826" s="3" t="str">
        <x:f>IF(AND('中古車掲載'!C827="One2car",'中古車掲載'!F827="Corolla Cross",'中古車掲載'!L827="HEV GR SPORT",'中古車掲載'!J827=2023,ISNUMBER('中古車掲載'!N827),'中古車掲載'!N827&gt;=20000,'中古車掲載'!O827&lt;=100000,'中古車掲載'!AL827=1,'中古車掲載'!Z827="https://www.one2car.com/en/cars-for-sale/toyota/corolla-cross/year-2023"),'中古車掲載'!U827,"")</x:f>
      </x:c>
      <x:c r="BH826" s="3" t="str">
        <x:f>IF(AND('中古車掲載'!C827="One2car",'中古車掲載'!F827="DOLPHIN",'中古車掲載'!L827="STANDARD RANGE",'中古車掲載'!J827=2023,ISNUMBER('中古車掲載'!N827),'中古車掲載'!N827&gt;=20000,'中古車掲載'!O827&lt;=100000,'中古車掲載'!AL827=1),'中古車掲載'!U827,"")</x:f>
      </x:c>
      <x:c r="BI826" s="3" t="str">
        <x:v>Taladrod|Hilux Revo|ICE|Unknown</x:v>
      </x:c>
      <x:c r="BJ826" s="3" t="n">
        <x:v>827</x:v>
      </x:c>
      <x:c r="BK826" s="3" t="n">
        <x:f>'中古車掲載'!AM827</x:f>
        <x:v>599000</x:v>
      </x:c>
      <x:c r="BL826" s="3" t="str">
        <x:f>IF(ISNUMBER('中古車掲載'!AN827),'中古車掲載'!AN827,"")</x:f>
      </x:c>
      <x:c r="BM826" s="3"/>
      <x:c r="BN826" s="3"/>
      <x:c r="BO826" s="3"/>
      <x:c r="BP826" s="3"/>
      <x:c r="BQ826" s="3"/>
      <x:c r="BR826" s="3"/>
    </x:row>
    <x:row r="827" ht="22" customHeight="1">
      <x:c r="A827" s="3"/>
      <x:c r="B827" s="3"/>
      <x:c r="C827" s="3"/>
      <x:c r="D827" s="3"/>
      <x:c r="E827" s="3"/>
      <x:c r="F827" s="3"/>
      <x:c r="G827" s="3"/>
      <x:c r="H827" s="3"/>
      <x:c r="I827" s="3"/>
      <x:c r="J827" s="3"/>
      <x:c r="K827" s="3"/>
      <x:c r="L827" s="3"/>
      <x:c r="M827" s="3"/>
      <x:c r="N827" s="3"/>
      <x:c r="O827" s="3"/>
      <x:c r="P827" s="3"/>
      <x:c r="Q827" s="3"/>
      <x:c r="R827" s="3"/>
      <x:c r="S827" s="3"/>
      <x:c r="T827" s="3"/>
      <x:c r="U827" s="3"/>
      <x:c r="V827" s="3"/>
      <x:c r="W827" s="3"/>
      <x:c r="X827" s="3"/>
      <x:c r="Y827" s="3"/>
      <x:c r="Z827" s="3"/>
      <x:c r="AA827" s="3"/>
      <x:c r="AB827" s="3"/>
      <x:c r="AC827" s="3"/>
      <x:c r="AD827" s="3"/>
      <x:c r="AE827" s="3"/>
      <x:c r="AF827" s="3"/>
      <x:c r="AG827" s="3"/>
      <x:c r="AH827" s="3"/>
      <x:c r="AI827" s="3"/>
      <x:c r="AJ827" s="3"/>
      <x:c r="AK827" s="3"/>
      <x:c r="AL827" s="3"/>
      <x:c r="AM827" s="3"/>
      <x:c r="AN827" s="3"/>
      <x:c r="AO827" s="3"/>
      <x:c r="AP827" s="3"/>
      <x:c r="AQ827" s="3"/>
      <x:c r="AR827" s="3"/>
      <x:c r="AS827" s="3"/>
      <x:c r="AT827" s="3"/>
      <x:c r="AU827" s="3"/>
      <x:c r="AV827" s="3"/>
      <x:c r="AW827" s="3"/>
      <x:c r="AX827" s="3"/>
      <x:c r="AY827" s="3"/>
      <x:c r="AZ827" s="3" t="str">
        <x:f>IF(AND('中古車掲載'!C828="One2car",'中古車掲載'!F828="ATTO 3",'中古車掲載'!L828="EXTENDED RANGE",'中古車掲載'!J828=2023,ISNUMBER('中古車掲載'!N828),'中古車掲載'!N828&gt;=20000,'中古車掲載'!O828&lt;=100000,'中古車掲載'!AL828=1),'中古車掲載'!U828,"")</x:f>
      </x:c>
      <x:c r="BA827" s="3" t="str">
        <x:f>IF(AND('中古車掲載'!C828="One2car",'中古車掲載'!F828="Corolla Cross",'中古車掲載'!L828="HEV PREMIUM SAFETY",'中古車掲載'!J828=2023,ISNUMBER('中古車掲載'!N828),'中古車掲載'!N828&gt;=20000,'中古車掲載'!O828&lt;=100000,'中古車掲載'!AL828=1,'中古車掲載'!Z828="https://www.one2car.com/en/cars-for-sale/toyota/corolla-cross/year-2023"),'中古車掲載'!U828,"")</x:f>
      </x:c>
      <x:c r="BB827" s="3" t="str">
        <x:f>IF(AND('中古車掲載'!C828="One2car",'中古車掲載'!F828="ATTO 3",'中古車掲載'!L828="EXTENDED RANGE",'中古車掲載'!J828=2023,ISNUMBER('中古車掲載'!N828),'中古車掲載'!N828&gt;=50000,'中古車掲載'!O828&lt;=100000,'中古車掲載'!AL828=1),'中古車掲載'!U828,"")</x:f>
      </x:c>
      <x:c r="BC827" s="3" t="str">
        <x:f>IF(AND('中古車掲載'!C828="One2car",'中古車掲載'!F828="Corolla Cross",'中古車掲載'!L828="HEV PREMIUM SAFETY",'中古車掲載'!J828=2023,ISNUMBER('中古車掲載'!N828),'中古車掲載'!N828&gt;=50000,'中古車掲載'!O828&lt;=100000,'中古車掲載'!AL828=1,'中古車掲載'!Z828="https://www.one2car.com/en/cars-for-sale/toyota/corolla-cross/year-2023"),'中古車掲載'!U828,"")</x:f>
      </x:c>
      <x:c r="BD827" s="3" t="str">
        <x:f>IF(AND('中古車掲載'!C828="One2car",'中古車掲載'!F828="ATTO 3",'中古車掲載'!L828="EXTENDED RANGE",'中古車掲載'!J828=2023,ISNUMBER('中古車掲載'!N828),'中古車掲載'!N828&gt;=20000,'中古車掲載'!O828&lt;=50000,'中古車掲載'!AL828=1),'中古車掲載'!U828,"")</x:f>
      </x:c>
      <x:c r="BE827" s="3" t="str">
        <x:f>IF(AND('中古車掲載'!C828="One2car",'中古車掲載'!F828="Corolla Cross",'中古車掲載'!L828="HEV PREMIUM SAFETY",'中古車掲載'!J828=2023,ISNUMBER('中古車掲載'!N828),'中古車掲載'!N828&gt;=20000,'中古車掲載'!O828&lt;=50000,'中古車掲載'!AL828=1,'中古車掲載'!Z828="https://www.one2car.com/en/cars-for-sale/toyota/corolla-cross/year-2023"),'中古車掲載'!U828,"")</x:f>
      </x:c>
      <x:c r="BF827" s="3" t="str">
        <x:f>IF(AND('中古車掲載'!C828="One2car",'中古車掲載'!F828="Corolla Cross",'中古車掲載'!L828="HEV PREMIUM",'中古車掲載'!J828=2023,ISNUMBER('中古車掲載'!N828),'中古車掲載'!N828&gt;=20000,'中古車掲載'!O828&lt;=100000,'中古車掲載'!AL828=1,'中古車掲載'!Z828="https://www.one2car.com/en/cars-for-sale/toyota/corolla-cross/year-2023"),'中古車掲載'!U828,"")</x:f>
      </x:c>
      <x:c r="BG827" s="3" t="str">
        <x:f>IF(AND('中古車掲載'!C828="One2car",'中古車掲載'!F828="Corolla Cross",'中古車掲載'!L828="HEV GR SPORT",'中古車掲載'!J828=2023,ISNUMBER('中古車掲載'!N828),'中古車掲載'!N828&gt;=20000,'中古車掲載'!O828&lt;=100000,'中古車掲載'!AL828=1,'中古車掲載'!Z828="https://www.one2car.com/en/cars-for-sale/toyota/corolla-cross/year-2023"),'中古車掲載'!U828,"")</x:f>
      </x:c>
      <x:c r="BH827" s="3" t="str">
        <x:f>IF(AND('中古車掲載'!C828="One2car",'中古車掲載'!F828="DOLPHIN",'中古車掲載'!L828="STANDARD RANGE",'中古車掲載'!J828=2023,ISNUMBER('中古車掲載'!N828),'中古車掲載'!N828&gt;=20000,'中古車掲載'!O828&lt;=100000,'中古車掲載'!AL828=1),'中古車掲載'!U828,"")</x:f>
      </x:c>
      <x:c r="BI827" s="3" t="str">
        <x:v>Taladrod|Hilux Revo|ICE|Unknown</x:v>
      </x:c>
      <x:c r="BJ827" s="3" t="n">
        <x:v>828</x:v>
      </x:c>
      <x:c r="BK827" s="3" t="n">
        <x:f>'中古車掲載'!AM828</x:f>
        <x:v>579000</x:v>
      </x:c>
      <x:c r="BL827" s="3" t="str">
        <x:f>IF(ISNUMBER('中古車掲載'!AN828),'中古車掲載'!AN828,"")</x:f>
      </x:c>
      <x:c r="BM827" s="3"/>
      <x:c r="BN827" s="3"/>
      <x:c r="BO827" s="3"/>
      <x:c r="BP827" s="3"/>
      <x:c r="BQ827" s="3"/>
      <x:c r="BR827" s="3"/>
    </x:row>
    <x:row r="828" ht="22" customHeight="1">
      <x:c r="A828" s="3"/>
      <x:c r="B828" s="3"/>
      <x:c r="C828" s="3"/>
      <x:c r="D828" s="3"/>
      <x:c r="E828" s="3"/>
      <x:c r="F828" s="3"/>
      <x:c r="G828" s="3"/>
      <x:c r="H828" s="3"/>
      <x:c r="I828" s="3"/>
      <x:c r="J828" s="3"/>
      <x:c r="K828" s="3"/>
      <x:c r="L828" s="3"/>
      <x:c r="M828" s="3"/>
      <x:c r="N828" s="3"/>
      <x:c r="O828" s="3"/>
      <x:c r="P828" s="3"/>
      <x:c r="Q828" s="3"/>
      <x:c r="R828" s="3"/>
      <x:c r="S828" s="3"/>
      <x:c r="T828" s="3"/>
      <x:c r="U828" s="3"/>
      <x:c r="V828" s="3"/>
      <x:c r="W828" s="3"/>
      <x:c r="X828" s="3"/>
      <x:c r="Y828" s="3"/>
      <x:c r="Z828" s="3"/>
      <x:c r="AA828" s="3"/>
      <x:c r="AB828" s="3"/>
      <x:c r="AC828" s="3"/>
      <x:c r="AD828" s="3"/>
      <x:c r="AE828" s="3"/>
      <x:c r="AF828" s="3"/>
      <x:c r="AG828" s="3"/>
      <x:c r="AH828" s="3"/>
      <x:c r="AI828" s="3"/>
      <x:c r="AJ828" s="3"/>
      <x:c r="AK828" s="3"/>
      <x:c r="AL828" s="3"/>
      <x:c r="AM828" s="3"/>
      <x:c r="AN828" s="3"/>
      <x:c r="AO828" s="3"/>
      <x:c r="AP828" s="3"/>
      <x:c r="AQ828" s="3"/>
      <x:c r="AR828" s="3"/>
      <x:c r="AS828" s="3"/>
      <x:c r="AT828" s="3"/>
      <x:c r="AU828" s="3"/>
      <x:c r="AV828" s="3"/>
      <x:c r="AW828" s="3"/>
      <x:c r="AX828" s="3"/>
      <x:c r="AY828" s="3"/>
      <x:c r="AZ828" s="3" t="str">
        <x:f>IF(AND('中古車掲載'!C829="One2car",'中古車掲載'!F829="ATTO 3",'中古車掲載'!L829="EXTENDED RANGE",'中古車掲載'!J829=2023,ISNUMBER('中古車掲載'!N829),'中古車掲載'!N829&gt;=20000,'中古車掲載'!O829&lt;=100000,'中古車掲載'!AL829=1),'中古車掲載'!U829,"")</x:f>
      </x:c>
      <x:c r="BA828" s="3" t="str">
        <x:f>IF(AND('中古車掲載'!C829="One2car",'中古車掲載'!F829="Corolla Cross",'中古車掲載'!L829="HEV PREMIUM SAFETY",'中古車掲載'!J829=2023,ISNUMBER('中古車掲載'!N829),'中古車掲載'!N829&gt;=20000,'中古車掲載'!O829&lt;=100000,'中古車掲載'!AL829=1,'中古車掲載'!Z829="https://www.one2car.com/en/cars-for-sale/toyota/corolla-cross/year-2023"),'中古車掲載'!U829,"")</x:f>
      </x:c>
      <x:c r="BB828" s="3" t="str">
        <x:f>IF(AND('中古車掲載'!C829="One2car",'中古車掲載'!F829="ATTO 3",'中古車掲載'!L829="EXTENDED RANGE",'中古車掲載'!J829=2023,ISNUMBER('中古車掲載'!N829),'中古車掲載'!N829&gt;=50000,'中古車掲載'!O829&lt;=100000,'中古車掲載'!AL829=1),'中古車掲載'!U829,"")</x:f>
      </x:c>
      <x:c r="BC828" s="3" t="str">
        <x:f>IF(AND('中古車掲載'!C829="One2car",'中古車掲載'!F829="Corolla Cross",'中古車掲載'!L829="HEV PREMIUM SAFETY",'中古車掲載'!J829=2023,ISNUMBER('中古車掲載'!N829),'中古車掲載'!N829&gt;=50000,'中古車掲載'!O829&lt;=100000,'中古車掲載'!AL829=1,'中古車掲載'!Z829="https://www.one2car.com/en/cars-for-sale/toyota/corolla-cross/year-2023"),'中古車掲載'!U829,"")</x:f>
      </x:c>
      <x:c r="BD828" s="3" t="str">
        <x:f>IF(AND('中古車掲載'!C829="One2car",'中古車掲載'!F829="ATTO 3",'中古車掲載'!L829="EXTENDED RANGE",'中古車掲載'!J829=2023,ISNUMBER('中古車掲載'!N829),'中古車掲載'!N829&gt;=20000,'中古車掲載'!O829&lt;=50000,'中古車掲載'!AL829=1),'中古車掲載'!U829,"")</x:f>
      </x:c>
      <x:c r="BE828" s="3" t="str">
        <x:f>IF(AND('中古車掲載'!C829="One2car",'中古車掲載'!F829="Corolla Cross",'中古車掲載'!L829="HEV PREMIUM SAFETY",'中古車掲載'!J829=2023,ISNUMBER('中古車掲載'!N829),'中古車掲載'!N829&gt;=20000,'中古車掲載'!O829&lt;=50000,'中古車掲載'!AL829=1,'中古車掲載'!Z829="https://www.one2car.com/en/cars-for-sale/toyota/corolla-cross/year-2023"),'中古車掲載'!U829,"")</x:f>
      </x:c>
      <x:c r="BF828" s="3" t="str">
        <x:f>IF(AND('中古車掲載'!C829="One2car",'中古車掲載'!F829="Corolla Cross",'中古車掲載'!L829="HEV PREMIUM",'中古車掲載'!J829=2023,ISNUMBER('中古車掲載'!N829),'中古車掲載'!N829&gt;=20000,'中古車掲載'!O829&lt;=100000,'中古車掲載'!AL829=1,'中古車掲載'!Z829="https://www.one2car.com/en/cars-for-sale/toyota/corolla-cross/year-2023"),'中古車掲載'!U829,"")</x:f>
      </x:c>
      <x:c r="BG828" s="3" t="str">
        <x:f>IF(AND('中古車掲載'!C829="One2car",'中古車掲載'!F829="Corolla Cross",'中古車掲載'!L829="HEV GR SPORT",'中古車掲載'!J829=2023,ISNUMBER('中古車掲載'!N829),'中古車掲載'!N829&gt;=20000,'中古車掲載'!O829&lt;=100000,'中古車掲載'!AL829=1,'中古車掲載'!Z829="https://www.one2car.com/en/cars-for-sale/toyota/corolla-cross/year-2023"),'中古車掲載'!U829,"")</x:f>
      </x:c>
      <x:c r="BH828" s="3" t="str">
        <x:f>IF(AND('中古車掲載'!C829="One2car",'中古車掲載'!F829="DOLPHIN",'中古車掲載'!L829="STANDARD RANGE",'中古車掲載'!J829=2023,ISNUMBER('中古車掲載'!N829),'中古車掲載'!N829&gt;=20000,'中古車掲載'!O829&lt;=100000,'中古車掲載'!AL829=1),'中古車掲載'!U829,"")</x:f>
      </x:c>
      <x:c r="BI828" s="3" t="str">
        <x:v>Taladrod|Hilux Revo|ICE|Unknown</x:v>
      </x:c>
      <x:c r="BJ828" s="3" t="n">
        <x:v>829</x:v>
      </x:c>
      <x:c r="BK828" s="3" t="n">
        <x:f>'中古車掲載'!AM829</x:f>
        <x:v>899000</x:v>
      </x:c>
      <x:c r="BL828" s="3" t="str">
        <x:f>IF(ISNUMBER('中古車掲載'!AN829),'中古車掲載'!AN829,"")</x:f>
      </x:c>
      <x:c r="BM828" s="3"/>
      <x:c r="BN828" s="3"/>
      <x:c r="BO828" s="3"/>
      <x:c r="BP828" s="3"/>
      <x:c r="BQ828" s="3"/>
      <x:c r="BR828" s="3"/>
    </x:row>
    <x:row r="829" ht="22" customHeight="1">
      <x:c r="A829" s="3"/>
      <x:c r="B829" s="3"/>
      <x:c r="C829" s="3"/>
      <x:c r="D829" s="3"/>
      <x:c r="E829" s="3"/>
      <x:c r="F829" s="3"/>
      <x:c r="G829" s="3"/>
      <x:c r="H829" s="3"/>
      <x:c r="I829" s="3"/>
      <x:c r="J829" s="3"/>
      <x:c r="K829" s="3"/>
      <x:c r="L829" s="3"/>
      <x:c r="M829" s="3"/>
      <x:c r="N829" s="3"/>
      <x:c r="O829" s="3"/>
      <x:c r="P829" s="3"/>
      <x:c r="Q829" s="3"/>
      <x:c r="R829" s="3"/>
      <x:c r="S829" s="3"/>
      <x:c r="T829" s="3"/>
      <x:c r="U829" s="3"/>
      <x:c r="V829" s="3"/>
      <x:c r="W829" s="3"/>
      <x:c r="X829" s="3"/>
      <x:c r="Y829" s="3"/>
      <x:c r="Z829" s="3"/>
      <x:c r="AA829" s="3"/>
      <x:c r="AB829" s="3"/>
      <x:c r="AC829" s="3"/>
      <x:c r="AD829" s="3"/>
      <x:c r="AE829" s="3"/>
      <x:c r="AF829" s="3"/>
      <x:c r="AG829" s="3"/>
      <x:c r="AH829" s="3"/>
      <x:c r="AI829" s="3"/>
      <x:c r="AJ829" s="3"/>
      <x:c r="AK829" s="3"/>
      <x:c r="AL829" s="3"/>
      <x:c r="AM829" s="3"/>
      <x:c r="AN829" s="3"/>
      <x:c r="AO829" s="3"/>
      <x:c r="AP829" s="3"/>
      <x:c r="AQ829" s="3"/>
      <x:c r="AR829" s="3"/>
      <x:c r="AS829" s="3"/>
      <x:c r="AT829" s="3"/>
      <x:c r="AU829" s="3"/>
      <x:c r="AV829" s="3"/>
      <x:c r="AW829" s="3"/>
      <x:c r="AX829" s="3"/>
      <x:c r="AY829" s="3"/>
      <x:c r="AZ829" s="3" t="str">
        <x:f>IF(AND('中古車掲載'!C830="One2car",'中古車掲載'!F830="ATTO 3",'中古車掲載'!L830="EXTENDED RANGE",'中古車掲載'!J830=2023,ISNUMBER('中古車掲載'!N830),'中古車掲載'!N830&gt;=20000,'中古車掲載'!O830&lt;=100000,'中古車掲載'!AL830=1),'中古車掲載'!U830,"")</x:f>
      </x:c>
      <x:c r="BA829" s="3" t="str">
        <x:f>IF(AND('中古車掲載'!C830="One2car",'中古車掲載'!F830="Corolla Cross",'中古車掲載'!L830="HEV PREMIUM SAFETY",'中古車掲載'!J830=2023,ISNUMBER('中古車掲載'!N830),'中古車掲載'!N830&gt;=20000,'中古車掲載'!O830&lt;=100000,'中古車掲載'!AL830=1,'中古車掲載'!Z830="https://www.one2car.com/en/cars-for-sale/toyota/corolla-cross/year-2023"),'中古車掲載'!U830,"")</x:f>
      </x:c>
      <x:c r="BB829" s="3" t="str">
        <x:f>IF(AND('中古車掲載'!C830="One2car",'中古車掲載'!F830="ATTO 3",'中古車掲載'!L830="EXTENDED RANGE",'中古車掲載'!J830=2023,ISNUMBER('中古車掲載'!N830),'中古車掲載'!N830&gt;=50000,'中古車掲載'!O830&lt;=100000,'中古車掲載'!AL830=1),'中古車掲載'!U830,"")</x:f>
      </x:c>
      <x:c r="BC829" s="3" t="str">
        <x:f>IF(AND('中古車掲載'!C830="One2car",'中古車掲載'!F830="Corolla Cross",'中古車掲載'!L830="HEV PREMIUM SAFETY",'中古車掲載'!J830=2023,ISNUMBER('中古車掲載'!N830),'中古車掲載'!N830&gt;=50000,'中古車掲載'!O830&lt;=100000,'中古車掲載'!AL830=1,'中古車掲載'!Z830="https://www.one2car.com/en/cars-for-sale/toyota/corolla-cross/year-2023"),'中古車掲載'!U830,"")</x:f>
      </x:c>
      <x:c r="BD829" s="3" t="str">
        <x:f>IF(AND('中古車掲載'!C830="One2car",'中古車掲載'!F830="ATTO 3",'中古車掲載'!L830="EXTENDED RANGE",'中古車掲載'!J830=2023,ISNUMBER('中古車掲載'!N830),'中古車掲載'!N830&gt;=20000,'中古車掲載'!O830&lt;=50000,'中古車掲載'!AL830=1),'中古車掲載'!U830,"")</x:f>
      </x:c>
      <x:c r="BE829" s="3" t="str">
        <x:f>IF(AND('中古車掲載'!C830="One2car",'中古車掲載'!F830="Corolla Cross",'中古車掲載'!L830="HEV PREMIUM SAFETY",'中古車掲載'!J830=2023,ISNUMBER('中古車掲載'!N830),'中古車掲載'!N830&gt;=20000,'中古車掲載'!O830&lt;=50000,'中古車掲載'!AL830=1,'中古車掲載'!Z830="https://www.one2car.com/en/cars-for-sale/toyota/corolla-cross/year-2023"),'中古車掲載'!U830,"")</x:f>
      </x:c>
      <x:c r="BF829" s="3" t="str">
        <x:f>IF(AND('中古車掲載'!C830="One2car",'中古車掲載'!F830="Corolla Cross",'中古車掲載'!L830="HEV PREMIUM",'中古車掲載'!J830=2023,ISNUMBER('中古車掲載'!N830),'中古車掲載'!N830&gt;=20000,'中古車掲載'!O830&lt;=100000,'中古車掲載'!AL830=1,'中古車掲載'!Z830="https://www.one2car.com/en/cars-for-sale/toyota/corolla-cross/year-2023"),'中古車掲載'!U830,"")</x:f>
      </x:c>
      <x:c r="BG829" s="3" t="str">
        <x:f>IF(AND('中古車掲載'!C830="One2car",'中古車掲載'!F830="Corolla Cross",'中古車掲載'!L830="HEV GR SPORT",'中古車掲載'!J830=2023,ISNUMBER('中古車掲載'!N830),'中古車掲載'!N830&gt;=20000,'中古車掲載'!O830&lt;=100000,'中古車掲載'!AL830=1,'中古車掲載'!Z830="https://www.one2car.com/en/cars-for-sale/toyota/corolla-cross/year-2023"),'中古車掲載'!U830,"")</x:f>
      </x:c>
      <x:c r="BH829" s="3" t="str">
        <x:f>IF(AND('中古車掲載'!C830="One2car",'中古車掲載'!F830="DOLPHIN",'中古車掲載'!L830="STANDARD RANGE",'中古車掲載'!J830=2023,ISNUMBER('中古車掲載'!N830),'中古車掲載'!N830&gt;=20000,'中古車掲載'!O830&lt;=100000,'中古車掲載'!AL830=1),'中古車掲載'!U830,"")</x:f>
      </x:c>
      <x:c r="BI829" s="3" t="str">
        <x:v>Taladrod|Hilux Revo|ICE|Unknown</x:v>
      </x:c>
      <x:c r="BJ829" s="3" t="n">
        <x:v>830</x:v>
      </x:c>
      <x:c r="BK829" s="3" t="n">
        <x:f>'中古車掲載'!AM830</x:f>
        <x:v>499000</x:v>
      </x:c>
      <x:c r="BL829" s="3" t="str">
        <x:f>IF(ISNUMBER('中古車掲載'!AN830),'中古車掲載'!AN830,"")</x:f>
      </x:c>
      <x:c r="BM829" s="3"/>
      <x:c r="BN829" s="3"/>
      <x:c r="BO829" s="3"/>
      <x:c r="BP829" s="3"/>
      <x:c r="BQ829" s="3"/>
      <x:c r="BR829" s="3"/>
    </x:row>
    <x:row r="830" ht="22" customHeight="1">
      <x:c r="A830" s="3"/>
      <x:c r="B830" s="3"/>
      <x:c r="C830" s="3"/>
      <x:c r="D830" s="3"/>
      <x:c r="E830" s="3"/>
      <x:c r="F830" s="3"/>
      <x:c r="G830" s="3"/>
      <x:c r="H830" s="3"/>
      <x:c r="I830" s="3"/>
      <x:c r="J830" s="3"/>
      <x:c r="K830" s="3"/>
      <x:c r="L830" s="3"/>
      <x:c r="M830" s="3"/>
      <x:c r="N830" s="3"/>
      <x:c r="O830" s="3"/>
      <x:c r="P830" s="3"/>
      <x:c r="Q830" s="3"/>
      <x:c r="R830" s="3"/>
      <x:c r="S830" s="3"/>
      <x:c r="T830" s="3"/>
      <x:c r="U830" s="3"/>
      <x:c r="V830" s="3"/>
      <x:c r="W830" s="3"/>
      <x:c r="X830" s="3"/>
      <x:c r="Y830" s="3"/>
      <x:c r="Z830" s="3"/>
      <x:c r="AA830" s="3"/>
      <x:c r="AB830" s="3"/>
      <x:c r="AC830" s="3"/>
      <x:c r="AD830" s="3"/>
      <x:c r="AE830" s="3"/>
      <x:c r="AF830" s="3"/>
      <x:c r="AG830" s="3"/>
      <x:c r="AH830" s="3"/>
      <x:c r="AI830" s="3"/>
      <x:c r="AJ830" s="3"/>
      <x:c r="AK830" s="3"/>
      <x:c r="AL830" s="3"/>
      <x:c r="AM830" s="3"/>
      <x:c r="AN830" s="3"/>
      <x:c r="AO830" s="3"/>
      <x:c r="AP830" s="3"/>
      <x:c r="AQ830" s="3"/>
      <x:c r="AR830" s="3"/>
      <x:c r="AS830" s="3"/>
      <x:c r="AT830" s="3"/>
      <x:c r="AU830" s="3"/>
      <x:c r="AV830" s="3"/>
      <x:c r="AW830" s="3"/>
      <x:c r="AX830" s="3"/>
      <x:c r="AY830" s="3"/>
      <x:c r="AZ830" s="3" t="str">
        <x:f>IF(AND('中古車掲載'!C831="One2car",'中古車掲載'!F831="ATTO 3",'中古車掲載'!L831="EXTENDED RANGE",'中古車掲載'!J831=2023,ISNUMBER('中古車掲載'!N831),'中古車掲載'!N831&gt;=20000,'中古車掲載'!O831&lt;=100000,'中古車掲載'!AL831=1),'中古車掲載'!U831,"")</x:f>
      </x:c>
      <x:c r="BA830" s="3" t="str">
        <x:f>IF(AND('中古車掲載'!C831="One2car",'中古車掲載'!F831="Corolla Cross",'中古車掲載'!L831="HEV PREMIUM SAFETY",'中古車掲載'!J831=2023,ISNUMBER('中古車掲載'!N831),'中古車掲載'!N831&gt;=20000,'中古車掲載'!O831&lt;=100000,'中古車掲載'!AL831=1,'中古車掲載'!Z831="https://www.one2car.com/en/cars-for-sale/toyota/corolla-cross/year-2023"),'中古車掲載'!U831,"")</x:f>
      </x:c>
      <x:c r="BB830" s="3" t="str">
        <x:f>IF(AND('中古車掲載'!C831="One2car",'中古車掲載'!F831="ATTO 3",'中古車掲載'!L831="EXTENDED RANGE",'中古車掲載'!J831=2023,ISNUMBER('中古車掲載'!N831),'中古車掲載'!N831&gt;=50000,'中古車掲載'!O831&lt;=100000,'中古車掲載'!AL831=1),'中古車掲載'!U831,"")</x:f>
      </x:c>
      <x:c r="BC830" s="3" t="str">
        <x:f>IF(AND('中古車掲載'!C831="One2car",'中古車掲載'!F831="Corolla Cross",'中古車掲載'!L831="HEV PREMIUM SAFETY",'中古車掲載'!J831=2023,ISNUMBER('中古車掲載'!N831),'中古車掲載'!N831&gt;=50000,'中古車掲載'!O831&lt;=100000,'中古車掲載'!AL831=1,'中古車掲載'!Z831="https://www.one2car.com/en/cars-for-sale/toyota/corolla-cross/year-2023"),'中古車掲載'!U831,"")</x:f>
      </x:c>
      <x:c r="BD830" s="3" t="str">
        <x:f>IF(AND('中古車掲載'!C831="One2car",'中古車掲載'!F831="ATTO 3",'中古車掲載'!L831="EXTENDED RANGE",'中古車掲載'!J831=2023,ISNUMBER('中古車掲載'!N831),'中古車掲載'!N831&gt;=20000,'中古車掲載'!O831&lt;=50000,'中古車掲載'!AL831=1),'中古車掲載'!U831,"")</x:f>
      </x:c>
      <x:c r="BE830" s="3" t="str">
        <x:f>IF(AND('中古車掲載'!C831="One2car",'中古車掲載'!F831="Corolla Cross",'中古車掲載'!L831="HEV PREMIUM SAFETY",'中古車掲載'!J831=2023,ISNUMBER('中古車掲載'!N831),'中古車掲載'!N831&gt;=20000,'中古車掲載'!O831&lt;=50000,'中古車掲載'!AL831=1,'中古車掲載'!Z831="https://www.one2car.com/en/cars-for-sale/toyota/corolla-cross/year-2023"),'中古車掲載'!U831,"")</x:f>
      </x:c>
      <x:c r="BF830" s="3" t="str">
        <x:f>IF(AND('中古車掲載'!C831="One2car",'中古車掲載'!F831="Corolla Cross",'中古車掲載'!L831="HEV PREMIUM",'中古車掲載'!J831=2023,ISNUMBER('中古車掲載'!N831),'中古車掲載'!N831&gt;=20000,'中古車掲載'!O831&lt;=100000,'中古車掲載'!AL831=1,'中古車掲載'!Z831="https://www.one2car.com/en/cars-for-sale/toyota/corolla-cross/year-2023"),'中古車掲載'!U831,"")</x:f>
      </x:c>
      <x:c r="BG830" s="3" t="str">
        <x:f>IF(AND('中古車掲載'!C831="One2car",'中古車掲載'!F831="Corolla Cross",'中古車掲載'!L831="HEV GR SPORT",'中古車掲載'!J831=2023,ISNUMBER('中古車掲載'!N831),'中古車掲載'!N831&gt;=20000,'中古車掲載'!O831&lt;=100000,'中古車掲載'!AL831=1,'中古車掲載'!Z831="https://www.one2car.com/en/cars-for-sale/toyota/corolla-cross/year-2023"),'中古車掲載'!U831,"")</x:f>
      </x:c>
      <x:c r="BH830" s="3" t="str">
        <x:f>IF(AND('中古車掲載'!C831="One2car",'中古車掲載'!F831="DOLPHIN",'中古車掲載'!L831="STANDARD RANGE",'中古車掲載'!J831=2023,ISNUMBER('中古車掲載'!N831),'中古車掲載'!N831&gt;=20000,'中古車掲載'!O831&lt;=100000,'中古車掲載'!AL831=1),'中古車掲載'!U831,"")</x:f>
      </x:c>
      <x:c r="BI830" s="3" t="str">
        <x:v>Taladrod|Hilux Revo|ICE|Unknown</x:v>
      </x:c>
      <x:c r="BJ830" s="3" t="n">
        <x:v>831</x:v>
      </x:c>
      <x:c r="BK830" s="3" t="n">
        <x:f>'中古車掲載'!AM831</x:f>
        <x:v>639000</x:v>
      </x:c>
      <x:c r="BL830" s="3" t="str">
        <x:f>IF(ISNUMBER('中古車掲載'!AN831),'中古車掲載'!AN831,"")</x:f>
      </x:c>
      <x:c r="BM830" s="3"/>
      <x:c r="BN830" s="3"/>
      <x:c r="BO830" s="3"/>
      <x:c r="BP830" s="3"/>
      <x:c r="BQ830" s="3"/>
      <x:c r="BR830" s="3"/>
    </x:row>
    <x:row r="831" ht="22" customHeight="1">
      <x:c r="A831" s="3"/>
      <x:c r="B831" s="3"/>
      <x:c r="C831" s="3"/>
      <x:c r="D831" s="3"/>
      <x:c r="E831" s="3"/>
      <x:c r="F831" s="3"/>
      <x:c r="G831" s="3"/>
      <x:c r="H831" s="3"/>
      <x:c r="I831" s="3"/>
      <x:c r="J831" s="3"/>
      <x:c r="K831" s="3"/>
      <x:c r="L831" s="3"/>
      <x:c r="M831" s="3"/>
      <x:c r="N831" s="3"/>
      <x:c r="O831" s="3"/>
      <x:c r="P831" s="3"/>
      <x:c r="Q831" s="3"/>
      <x:c r="R831" s="3"/>
      <x:c r="S831" s="3"/>
      <x:c r="T831" s="3"/>
      <x:c r="U831" s="3"/>
      <x:c r="V831" s="3"/>
      <x:c r="W831" s="3"/>
      <x:c r="X831" s="3"/>
      <x:c r="Y831" s="3"/>
      <x:c r="Z831" s="3"/>
      <x:c r="AA831" s="3"/>
      <x:c r="AB831" s="3"/>
      <x:c r="AC831" s="3"/>
      <x:c r="AD831" s="3"/>
      <x:c r="AE831" s="3"/>
      <x:c r="AF831" s="3"/>
      <x:c r="AG831" s="3"/>
      <x:c r="AH831" s="3"/>
      <x:c r="AI831" s="3"/>
      <x:c r="AJ831" s="3"/>
      <x:c r="AK831" s="3"/>
      <x:c r="AL831" s="3"/>
      <x:c r="AM831" s="3"/>
      <x:c r="AN831" s="3"/>
      <x:c r="AO831" s="3"/>
      <x:c r="AP831" s="3"/>
      <x:c r="AQ831" s="3"/>
      <x:c r="AR831" s="3"/>
      <x:c r="AS831" s="3"/>
      <x:c r="AT831" s="3"/>
      <x:c r="AU831" s="3"/>
      <x:c r="AV831" s="3"/>
      <x:c r="AW831" s="3"/>
      <x:c r="AX831" s="3"/>
      <x:c r="AY831" s="3"/>
      <x:c r="AZ831" s="3" t="str">
        <x:f>IF(AND('中古車掲載'!C832="One2car",'中古車掲載'!F832="ATTO 3",'中古車掲載'!L832="EXTENDED RANGE",'中古車掲載'!J832=2023,ISNUMBER('中古車掲載'!N832),'中古車掲載'!N832&gt;=20000,'中古車掲載'!O832&lt;=100000,'中古車掲載'!AL832=1),'中古車掲載'!U832,"")</x:f>
      </x:c>
      <x:c r="BA831" s="3" t="str">
        <x:f>IF(AND('中古車掲載'!C832="One2car",'中古車掲載'!F832="Corolla Cross",'中古車掲載'!L832="HEV PREMIUM SAFETY",'中古車掲載'!J832=2023,ISNUMBER('中古車掲載'!N832),'中古車掲載'!N832&gt;=20000,'中古車掲載'!O832&lt;=100000,'中古車掲載'!AL832=1,'中古車掲載'!Z832="https://www.one2car.com/en/cars-for-sale/toyota/corolla-cross/year-2023"),'中古車掲載'!U832,"")</x:f>
      </x:c>
      <x:c r="BB831" s="3" t="str">
        <x:f>IF(AND('中古車掲載'!C832="One2car",'中古車掲載'!F832="ATTO 3",'中古車掲載'!L832="EXTENDED RANGE",'中古車掲載'!J832=2023,ISNUMBER('中古車掲載'!N832),'中古車掲載'!N832&gt;=50000,'中古車掲載'!O832&lt;=100000,'中古車掲載'!AL832=1),'中古車掲載'!U832,"")</x:f>
      </x:c>
      <x:c r="BC831" s="3" t="str">
        <x:f>IF(AND('中古車掲載'!C832="One2car",'中古車掲載'!F832="Corolla Cross",'中古車掲載'!L832="HEV PREMIUM SAFETY",'中古車掲載'!J832=2023,ISNUMBER('中古車掲載'!N832),'中古車掲載'!N832&gt;=50000,'中古車掲載'!O832&lt;=100000,'中古車掲載'!AL832=1,'中古車掲載'!Z832="https://www.one2car.com/en/cars-for-sale/toyota/corolla-cross/year-2023"),'中古車掲載'!U832,"")</x:f>
      </x:c>
      <x:c r="BD831" s="3" t="str">
        <x:f>IF(AND('中古車掲載'!C832="One2car",'中古車掲載'!F832="ATTO 3",'中古車掲載'!L832="EXTENDED RANGE",'中古車掲載'!J832=2023,ISNUMBER('中古車掲載'!N832),'中古車掲載'!N832&gt;=20000,'中古車掲載'!O832&lt;=50000,'中古車掲載'!AL832=1),'中古車掲載'!U832,"")</x:f>
      </x:c>
      <x:c r="BE831" s="3" t="str">
        <x:f>IF(AND('中古車掲載'!C832="One2car",'中古車掲載'!F832="Corolla Cross",'中古車掲載'!L832="HEV PREMIUM SAFETY",'中古車掲載'!J832=2023,ISNUMBER('中古車掲載'!N832),'中古車掲載'!N832&gt;=20000,'中古車掲載'!O832&lt;=50000,'中古車掲載'!AL832=1,'中古車掲載'!Z832="https://www.one2car.com/en/cars-for-sale/toyota/corolla-cross/year-2023"),'中古車掲載'!U832,"")</x:f>
      </x:c>
      <x:c r="BF831" s="3" t="str">
        <x:f>IF(AND('中古車掲載'!C832="One2car",'中古車掲載'!F832="Corolla Cross",'中古車掲載'!L832="HEV PREMIUM",'中古車掲載'!J832=2023,ISNUMBER('中古車掲載'!N832),'中古車掲載'!N832&gt;=20000,'中古車掲載'!O832&lt;=100000,'中古車掲載'!AL832=1,'中古車掲載'!Z832="https://www.one2car.com/en/cars-for-sale/toyota/corolla-cross/year-2023"),'中古車掲載'!U832,"")</x:f>
      </x:c>
      <x:c r="BG831" s="3" t="str">
        <x:f>IF(AND('中古車掲載'!C832="One2car",'中古車掲載'!F832="Corolla Cross",'中古車掲載'!L832="HEV GR SPORT",'中古車掲載'!J832=2023,ISNUMBER('中古車掲載'!N832),'中古車掲載'!N832&gt;=20000,'中古車掲載'!O832&lt;=100000,'中古車掲載'!AL832=1,'中古車掲載'!Z832="https://www.one2car.com/en/cars-for-sale/toyota/corolla-cross/year-2023"),'中古車掲載'!U832,"")</x:f>
      </x:c>
      <x:c r="BH831" s="3" t="str">
        <x:f>IF(AND('中古車掲載'!C832="One2car",'中古車掲載'!F832="DOLPHIN",'中古車掲載'!L832="STANDARD RANGE",'中古車掲載'!J832=2023,ISNUMBER('中古車掲載'!N832),'中古車掲載'!N832&gt;=20000,'中古車掲載'!O832&lt;=100000,'中古車掲載'!AL832=1),'中古車掲載'!U832,"")</x:f>
      </x:c>
      <x:c r="BI831" s="3" t="str">
        <x:v>Taladrod|Hilux Revo|ICE|Unknown</x:v>
      </x:c>
      <x:c r="BJ831" s="3" t="n">
        <x:v>832</x:v>
      </x:c>
      <x:c r="BK831" s="3" t="n">
        <x:f>'中古車掲載'!AM832</x:f>
        <x:v>628000</x:v>
      </x:c>
      <x:c r="BL831" s="3" t="str">
        <x:f>IF(ISNUMBER('中古車掲載'!AN832),'中古車掲載'!AN832,"")</x:f>
      </x:c>
      <x:c r="BM831" s="3"/>
      <x:c r="BN831" s="3"/>
      <x:c r="BO831" s="3"/>
      <x:c r="BP831" s="3"/>
      <x:c r="BQ831" s="3"/>
      <x:c r="BR831" s="3"/>
    </x:row>
    <x:row r="832" ht="22" customHeight="1">
      <x:c r="A832" s="3"/>
      <x:c r="B832" s="3"/>
      <x:c r="C832" s="3"/>
      <x:c r="D832" s="3"/>
      <x:c r="E832" s="3"/>
      <x:c r="F832" s="3"/>
      <x:c r="G832" s="3"/>
      <x:c r="H832" s="3"/>
      <x:c r="I832" s="3"/>
      <x:c r="J832" s="3"/>
      <x:c r="K832" s="3"/>
      <x:c r="L832" s="3"/>
      <x:c r="M832" s="3"/>
      <x:c r="N832" s="3"/>
      <x:c r="O832" s="3"/>
      <x:c r="P832" s="3"/>
      <x:c r="Q832" s="3"/>
      <x:c r="R832" s="3"/>
      <x:c r="S832" s="3"/>
      <x:c r="T832" s="3"/>
      <x:c r="U832" s="3"/>
      <x:c r="V832" s="3"/>
      <x:c r="W832" s="3"/>
      <x:c r="X832" s="3"/>
      <x:c r="Y832" s="3"/>
      <x:c r="Z832" s="3"/>
      <x:c r="AA832" s="3"/>
      <x:c r="AB832" s="3"/>
      <x:c r="AC832" s="3"/>
      <x:c r="AD832" s="3"/>
      <x:c r="AE832" s="3"/>
      <x:c r="AF832" s="3"/>
      <x:c r="AG832" s="3"/>
      <x:c r="AH832" s="3"/>
      <x:c r="AI832" s="3"/>
      <x:c r="AJ832" s="3"/>
      <x:c r="AK832" s="3"/>
      <x:c r="AL832" s="3"/>
      <x:c r="AM832" s="3"/>
      <x:c r="AN832" s="3"/>
      <x:c r="AO832" s="3"/>
      <x:c r="AP832" s="3"/>
      <x:c r="AQ832" s="3"/>
      <x:c r="AR832" s="3"/>
      <x:c r="AS832" s="3"/>
      <x:c r="AT832" s="3"/>
      <x:c r="AU832" s="3"/>
      <x:c r="AV832" s="3"/>
      <x:c r="AW832" s="3"/>
      <x:c r="AX832" s="3"/>
      <x:c r="AY832" s="3"/>
      <x:c r="AZ832" s="3" t="str">
        <x:f>IF(AND('中古車掲載'!C833="One2car",'中古車掲載'!F833="ATTO 3",'中古車掲載'!L833="EXTENDED RANGE",'中古車掲載'!J833=2023,ISNUMBER('中古車掲載'!N833),'中古車掲載'!N833&gt;=20000,'中古車掲載'!O833&lt;=100000,'中古車掲載'!AL833=1),'中古車掲載'!U833,"")</x:f>
      </x:c>
      <x:c r="BA832" s="3" t="str">
        <x:f>IF(AND('中古車掲載'!C833="One2car",'中古車掲載'!F833="Corolla Cross",'中古車掲載'!L833="HEV PREMIUM SAFETY",'中古車掲載'!J833=2023,ISNUMBER('中古車掲載'!N833),'中古車掲載'!N833&gt;=20000,'中古車掲載'!O833&lt;=100000,'中古車掲載'!AL833=1,'中古車掲載'!Z833="https://www.one2car.com/en/cars-for-sale/toyota/corolla-cross/year-2023"),'中古車掲載'!U833,"")</x:f>
      </x:c>
      <x:c r="BB832" s="3" t="str">
        <x:f>IF(AND('中古車掲載'!C833="One2car",'中古車掲載'!F833="ATTO 3",'中古車掲載'!L833="EXTENDED RANGE",'中古車掲載'!J833=2023,ISNUMBER('中古車掲載'!N833),'中古車掲載'!N833&gt;=50000,'中古車掲載'!O833&lt;=100000,'中古車掲載'!AL833=1),'中古車掲載'!U833,"")</x:f>
      </x:c>
      <x:c r="BC832" s="3" t="str">
        <x:f>IF(AND('中古車掲載'!C833="One2car",'中古車掲載'!F833="Corolla Cross",'中古車掲載'!L833="HEV PREMIUM SAFETY",'中古車掲載'!J833=2023,ISNUMBER('中古車掲載'!N833),'中古車掲載'!N833&gt;=50000,'中古車掲載'!O833&lt;=100000,'中古車掲載'!AL833=1,'中古車掲載'!Z833="https://www.one2car.com/en/cars-for-sale/toyota/corolla-cross/year-2023"),'中古車掲載'!U833,"")</x:f>
      </x:c>
      <x:c r="BD832" s="3" t="str">
        <x:f>IF(AND('中古車掲載'!C833="One2car",'中古車掲載'!F833="ATTO 3",'中古車掲載'!L833="EXTENDED RANGE",'中古車掲載'!J833=2023,ISNUMBER('中古車掲載'!N833),'中古車掲載'!N833&gt;=20000,'中古車掲載'!O833&lt;=50000,'中古車掲載'!AL833=1),'中古車掲載'!U833,"")</x:f>
      </x:c>
      <x:c r="BE832" s="3" t="str">
        <x:f>IF(AND('中古車掲載'!C833="One2car",'中古車掲載'!F833="Corolla Cross",'中古車掲載'!L833="HEV PREMIUM SAFETY",'中古車掲載'!J833=2023,ISNUMBER('中古車掲載'!N833),'中古車掲載'!N833&gt;=20000,'中古車掲載'!O833&lt;=50000,'中古車掲載'!AL833=1,'中古車掲載'!Z833="https://www.one2car.com/en/cars-for-sale/toyota/corolla-cross/year-2023"),'中古車掲載'!U833,"")</x:f>
      </x:c>
      <x:c r="BF832" s="3" t="str">
        <x:f>IF(AND('中古車掲載'!C833="One2car",'中古車掲載'!F833="Corolla Cross",'中古車掲載'!L833="HEV PREMIUM",'中古車掲載'!J833=2023,ISNUMBER('中古車掲載'!N833),'中古車掲載'!N833&gt;=20000,'中古車掲載'!O833&lt;=100000,'中古車掲載'!AL833=1,'中古車掲載'!Z833="https://www.one2car.com/en/cars-for-sale/toyota/corolla-cross/year-2023"),'中古車掲載'!U833,"")</x:f>
      </x:c>
      <x:c r="BG832" s="3" t="str">
        <x:f>IF(AND('中古車掲載'!C833="One2car",'中古車掲載'!F833="Corolla Cross",'中古車掲載'!L833="HEV GR SPORT",'中古車掲載'!J833=2023,ISNUMBER('中古車掲載'!N833),'中古車掲載'!N833&gt;=20000,'中古車掲載'!O833&lt;=100000,'中古車掲載'!AL833=1,'中古車掲載'!Z833="https://www.one2car.com/en/cars-for-sale/toyota/corolla-cross/year-2023"),'中古車掲載'!U833,"")</x:f>
      </x:c>
      <x:c r="BH832" s="3" t="str">
        <x:f>IF(AND('中古車掲載'!C833="One2car",'中古車掲載'!F833="DOLPHIN",'中古車掲載'!L833="STANDARD RANGE",'中古車掲載'!J833=2023,ISNUMBER('中古車掲載'!N833),'中古車掲載'!N833&gt;=20000,'中古車掲載'!O833&lt;=100000,'中古車掲載'!AL833=1),'中古車掲載'!U833,"")</x:f>
      </x:c>
      <x:c r="BI832" s="3" t="str">
        <x:v>Taladrod|Hilux Revo|ICE|Unknown</x:v>
      </x:c>
      <x:c r="BJ832" s="3" t="n">
        <x:v>833</x:v>
      </x:c>
      <x:c r="BK832" s="3" t="n">
        <x:f>'中古車掲載'!AM833</x:f>
        <x:v>504000</x:v>
      </x:c>
      <x:c r="BL832" s="3" t="str">
        <x:f>IF(ISNUMBER('中古車掲載'!AN833),'中古車掲載'!AN833,"")</x:f>
      </x:c>
      <x:c r="BM832" s="3"/>
      <x:c r="BN832" s="3"/>
      <x:c r="BO832" s="3"/>
      <x:c r="BP832" s="3"/>
      <x:c r="BQ832" s="3"/>
      <x:c r="BR832" s="3"/>
    </x:row>
    <x:row r="833" ht="22" customHeight="1">
      <x:c r="A833" s="3"/>
      <x:c r="B833" s="3"/>
      <x:c r="C833" s="3"/>
      <x:c r="D833" s="3"/>
      <x:c r="E833" s="3"/>
      <x:c r="F833" s="3"/>
      <x:c r="G833" s="3"/>
      <x:c r="H833" s="3"/>
      <x:c r="I833" s="3"/>
      <x:c r="J833" s="3"/>
      <x:c r="K833" s="3"/>
      <x:c r="L833" s="3"/>
      <x:c r="M833" s="3"/>
      <x:c r="N833" s="3"/>
      <x:c r="O833" s="3"/>
      <x:c r="P833" s="3"/>
      <x:c r="Q833" s="3"/>
      <x:c r="R833" s="3"/>
      <x:c r="S833" s="3"/>
      <x:c r="T833" s="3"/>
      <x:c r="U833" s="3"/>
      <x:c r="V833" s="3"/>
      <x:c r="W833" s="3"/>
      <x:c r="X833" s="3"/>
      <x:c r="Y833" s="3"/>
      <x:c r="Z833" s="3"/>
      <x:c r="AA833" s="3"/>
      <x:c r="AB833" s="3"/>
      <x:c r="AC833" s="3"/>
      <x:c r="AD833" s="3"/>
      <x:c r="AE833" s="3"/>
      <x:c r="AF833" s="3"/>
      <x:c r="AG833" s="3"/>
      <x:c r="AH833" s="3"/>
      <x:c r="AI833" s="3"/>
      <x:c r="AJ833" s="3"/>
      <x:c r="AK833" s="3"/>
      <x:c r="AL833" s="3"/>
      <x:c r="AM833" s="3"/>
      <x:c r="AN833" s="3"/>
      <x:c r="AO833" s="3"/>
      <x:c r="AP833" s="3"/>
      <x:c r="AQ833" s="3"/>
      <x:c r="AR833" s="3"/>
      <x:c r="AS833" s="3"/>
      <x:c r="AT833" s="3"/>
      <x:c r="AU833" s="3"/>
      <x:c r="AV833" s="3"/>
      <x:c r="AW833" s="3"/>
      <x:c r="AX833" s="3"/>
      <x:c r="AY833" s="3"/>
      <x:c r="AZ833" s="3" t="str">
        <x:f>IF(AND('中古車掲載'!C834="One2car",'中古車掲載'!F834="ATTO 3",'中古車掲載'!L834="EXTENDED RANGE",'中古車掲載'!J834=2023,ISNUMBER('中古車掲載'!N834),'中古車掲載'!N834&gt;=20000,'中古車掲載'!O834&lt;=100000,'中古車掲載'!AL834=1),'中古車掲載'!U834,"")</x:f>
      </x:c>
      <x:c r="BA833" s="3" t="str">
        <x:f>IF(AND('中古車掲載'!C834="One2car",'中古車掲載'!F834="Corolla Cross",'中古車掲載'!L834="HEV PREMIUM SAFETY",'中古車掲載'!J834=2023,ISNUMBER('中古車掲載'!N834),'中古車掲載'!N834&gt;=20000,'中古車掲載'!O834&lt;=100000,'中古車掲載'!AL834=1,'中古車掲載'!Z834="https://www.one2car.com/en/cars-for-sale/toyota/corolla-cross/year-2023"),'中古車掲載'!U834,"")</x:f>
      </x:c>
      <x:c r="BB833" s="3" t="str">
        <x:f>IF(AND('中古車掲載'!C834="One2car",'中古車掲載'!F834="ATTO 3",'中古車掲載'!L834="EXTENDED RANGE",'中古車掲載'!J834=2023,ISNUMBER('中古車掲載'!N834),'中古車掲載'!N834&gt;=50000,'中古車掲載'!O834&lt;=100000,'中古車掲載'!AL834=1),'中古車掲載'!U834,"")</x:f>
      </x:c>
      <x:c r="BC833" s="3" t="str">
        <x:f>IF(AND('中古車掲載'!C834="One2car",'中古車掲載'!F834="Corolla Cross",'中古車掲載'!L834="HEV PREMIUM SAFETY",'中古車掲載'!J834=2023,ISNUMBER('中古車掲載'!N834),'中古車掲載'!N834&gt;=50000,'中古車掲載'!O834&lt;=100000,'中古車掲載'!AL834=1,'中古車掲載'!Z834="https://www.one2car.com/en/cars-for-sale/toyota/corolla-cross/year-2023"),'中古車掲載'!U834,"")</x:f>
      </x:c>
      <x:c r="BD833" s="3" t="str">
        <x:f>IF(AND('中古車掲載'!C834="One2car",'中古車掲載'!F834="ATTO 3",'中古車掲載'!L834="EXTENDED RANGE",'中古車掲載'!J834=2023,ISNUMBER('中古車掲載'!N834),'中古車掲載'!N834&gt;=20000,'中古車掲載'!O834&lt;=50000,'中古車掲載'!AL834=1),'中古車掲載'!U834,"")</x:f>
      </x:c>
      <x:c r="BE833" s="3" t="str">
        <x:f>IF(AND('中古車掲載'!C834="One2car",'中古車掲載'!F834="Corolla Cross",'中古車掲載'!L834="HEV PREMIUM SAFETY",'中古車掲載'!J834=2023,ISNUMBER('中古車掲載'!N834),'中古車掲載'!N834&gt;=20000,'中古車掲載'!O834&lt;=50000,'中古車掲載'!AL834=1,'中古車掲載'!Z834="https://www.one2car.com/en/cars-for-sale/toyota/corolla-cross/year-2023"),'中古車掲載'!U834,"")</x:f>
      </x:c>
      <x:c r="BF833" s="3" t="str">
        <x:f>IF(AND('中古車掲載'!C834="One2car",'中古車掲載'!F834="Corolla Cross",'中古車掲載'!L834="HEV PREMIUM",'中古車掲載'!J834=2023,ISNUMBER('中古車掲載'!N834),'中古車掲載'!N834&gt;=20000,'中古車掲載'!O834&lt;=100000,'中古車掲載'!AL834=1,'中古車掲載'!Z834="https://www.one2car.com/en/cars-for-sale/toyota/corolla-cross/year-2023"),'中古車掲載'!U834,"")</x:f>
      </x:c>
      <x:c r="BG833" s="3" t="str">
        <x:f>IF(AND('中古車掲載'!C834="One2car",'中古車掲載'!F834="Corolla Cross",'中古車掲載'!L834="HEV GR SPORT",'中古車掲載'!J834=2023,ISNUMBER('中古車掲載'!N834),'中古車掲載'!N834&gt;=20000,'中古車掲載'!O834&lt;=100000,'中古車掲載'!AL834=1,'中古車掲載'!Z834="https://www.one2car.com/en/cars-for-sale/toyota/corolla-cross/year-2023"),'中古車掲載'!U834,"")</x:f>
      </x:c>
      <x:c r="BH833" s="3" t="str">
        <x:f>IF(AND('中古車掲載'!C834="One2car",'中古車掲載'!F834="DOLPHIN",'中古車掲載'!L834="STANDARD RANGE",'中古車掲載'!J834=2023,ISNUMBER('中古車掲載'!N834),'中古車掲載'!N834&gt;=20000,'中古車掲載'!O834&lt;=100000,'中古車掲載'!AL834=1),'中古車掲載'!U834,"")</x:f>
      </x:c>
      <x:c r="BI833" s="3" t="str">
        <x:v>Taladrod|Hilux Revo|ICE|Unknown</x:v>
      </x:c>
      <x:c r="BJ833" s="3" t="n">
        <x:v>834</x:v>
      </x:c>
      <x:c r="BK833" s="3" t="n">
        <x:f>'中古車掲載'!AM834</x:f>
        <x:v>429000</x:v>
      </x:c>
      <x:c r="BL833" s="3" t="str">
        <x:f>IF(ISNUMBER('中古車掲載'!AN834),'中古車掲載'!AN834,"")</x:f>
      </x:c>
      <x:c r="BM833" s="3"/>
      <x:c r="BN833" s="3"/>
      <x:c r="BO833" s="3"/>
      <x:c r="BP833" s="3"/>
      <x:c r="BQ833" s="3"/>
      <x:c r="BR833" s="3"/>
    </x:row>
    <x:row r="834" ht="22" customHeight="1">
      <x:c r="A834" s="3"/>
      <x:c r="B834" s="3"/>
      <x:c r="C834" s="3"/>
      <x:c r="D834" s="3"/>
      <x:c r="E834" s="3"/>
      <x:c r="F834" s="3"/>
      <x:c r="G834" s="3"/>
      <x:c r="H834" s="3"/>
      <x:c r="I834" s="3"/>
      <x:c r="J834" s="3"/>
      <x:c r="K834" s="3"/>
      <x:c r="L834" s="3"/>
      <x:c r="M834" s="3"/>
      <x:c r="N834" s="3"/>
      <x:c r="O834" s="3"/>
      <x:c r="P834" s="3"/>
      <x:c r="Q834" s="3"/>
      <x:c r="R834" s="3"/>
      <x:c r="S834" s="3"/>
      <x:c r="T834" s="3"/>
      <x:c r="U834" s="3"/>
      <x:c r="V834" s="3"/>
      <x:c r="W834" s="3"/>
      <x:c r="X834" s="3"/>
      <x:c r="Y834" s="3"/>
      <x:c r="Z834" s="3"/>
      <x:c r="AA834" s="3"/>
      <x:c r="AB834" s="3"/>
      <x:c r="AC834" s="3"/>
      <x:c r="AD834" s="3"/>
      <x:c r="AE834" s="3"/>
      <x:c r="AF834" s="3"/>
      <x:c r="AG834" s="3"/>
      <x:c r="AH834" s="3"/>
      <x:c r="AI834" s="3"/>
      <x:c r="AJ834" s="3"/>
      <x:c r="AK834" s="3"/>
      <x:c r="AL834" s="3"/>
      <x:c r="AM834" s="3"/>
      <x:c r="AN834" s="3"/>
      <x:c r="AO834" s="3"/>
      <x:c r="AP834" s="3"/>
      <x:c r="AQ834" s="3"/>
      <x:c r="AR834" s="3"/>
      <x:c r="AS834" s="3"/>
      <x:c r="AT834" s="3"/>
      <x:c r="AU834" s="3"/>
      <x:c r="AV834" s="3"/>
      <x:c r="AW834" s="3"/>
      <x:c r="AX834" s="3"/>
      <x:c r="AY834" s="3"/>
      <x:c r="AZ834" s="3" t="str">
        <x:f>IF(AND('中古車掲載'!C835="One2car",'中古車掲載'!F835="ATTO 3",'中古車掲載'!L835="EXTENDED RANGE",'中古車掲載'!J835=2023,ISNUMBER('中古車掲載'!N835),'中古車掲載'!N835&gt;=20000,'中古車掲載'!O835&lt;=100000,'中古車掲載'!AL835=1),'中古車掲載'!U835,"")</x:f>
      </x:c>
      <x:c r="BA834" s="3" t="str">
        <x:f>IF(AND('中古車掲載'!C835="One2car",'中古車掲載'!F835="Corolla Cross",'中古車掲載'!L835="HEV PREMIUM SAFETY",'中古車掲載'!J835=2023,ISNUMBER('中古車掲載'!N835),'中古車掲載'!N835&gt;=20000,'中古車掲載'!O835&lt;=100000,'中古車掲載'!AL835=1,'中古車掲載'!Z835="https://www.one2car.com/en/cars-for-sale/toyota/corolla-cross/year-2023"),'中古車掲載'!U835,"")</x:f>
      </x:c>
      <x:c r="BB834" s="3" t="str">
        <x:f>IF(AND('中古車掲載'!C835="One2car",'中古車掲載'!F835="ATTO 3",'中古車掲載'!L835="EXTENDED RANGE",'中古車掲載'!J835=2023,ISNUMBER('中古車掲載'!N835),'中古車掲載'!N835&gt;=50000,'中古車掲載'!O835&lt;=100000,'中古車掲載'!AL835=1),'中古車掲載'!U835,"")</x:f>
      </x:c>
      <x:c r="BC834" s="3" t="str">
        <x:f>IF(AND('中古車掲載'!C835="One2car",'中古車掲載'!F835="Corolla Cross",'中古車掲載'!L835="HEV PREMIUM SAFETY",'中古車掲載'!J835=2023,ISNUMBER('中古車掲載'!N835),'中古車掲載'!N835&gt;=50000,'中古車掲載'!O835&lt;=100000,'中古車掲載'!AL835=1,'中古車掲載'!Z835="https://www.one2car.com/en/cars-for-sale/toyota/corolla-cross/year-2023"),'中古車掲載'!U835,"")</x:f>
      </x:c>
      <x:c r="BD834" s="3" t="str">
        <x:f>IF(AND('中古車掲載'!C835="One2car",'中古車掲載'!F835="ATTO 3",'中古車掲載'!L835="EXTENDED RANGE",'中古車掲載'!J835=2023,ISNUMBER('中古車掲載'!N835),'中古車掲載'!N835&gt;=20000,'中古車掲載'!O835&lt;=50000,'中古車掲載'!AL835=1),'中古車掲載'!U835,"")</x:f>
      </x:c>
      <x:c r="BE834" s="3" t="str">
        <x:f>IF(AND('中古車掲載'!C835="One2car",'中古車掲載'!F835="Corolla Cross",'中古車掲載'!L835="HEV PREMIUM SAFETY",'中古車掲載'!J835=2023,ISNUMBER('中古車掲載'!N835),'中古車掲載'!N835&gt;=20000,'中古車掲載'!O835&lt;=50000,'中古車掲載'!AL835=1,'中古車掲載'!Z835="https://www.one2car.com/en/cars-for-sale/toyota/corolla-cross/year-2023"),'中古車掲載'!U835,"")</x:f>
      </x:c>
      <x:c r="BF834" s="3" t="str">
        <x:f>IF(AND('中古車掲載'!C835="One2car",'中古車掲載'!F835="Corolla Cross",'中古車掲載'!L835="HEV PREMIUM",'中古車掲載'!J835=2023,ISNUMBER('中古車掲載'!N835),'中古車掲載'!N835&gt;=20000,'中古車掲載'!O835&lt;=100000,'中古車掲載'!AL835=1,'中古車掲載'!Z835="https://www.one2car.com/en/cars-for-sale/toyota/corolla-cross/year-2023"),'中古車掲載'!U835,"")</x:f>
      </x:c>
      <x:c r="BG834" s="3" t="str">
        <x:f>IF(AND('中古車掲載'!C835="One2car",'中古車掲載'!F835="Corolla Cross",'中古車掲載'!L835="HEV GR SPORT",'中古車掲載'!J835=2023,ISNUMBER('中古車掲載'!N835),'中古車掲載'!N835&gt;=20000,'中古車掲載'!O835&lt;=100000,'中古車掲載'!AL835=1,'中古車掲載'!Z835="https://www.one2car.com/en/cars-for-sale/toyota/corolla-cross/year-2023"),'中古車掲載'!U835,"")</x:f>
      </x:c>
      <x:c r="BH834" s="3" t="str">
        <x:f>IF(AND('中古車掲載'!C835="One2car",'中古車掲載'!F835="DOLPHIN",'中古車掲載'!L835="STANDARD RANGE",'中古車掲載'!J835=2023,ISNUMBER('中古車掲載'!N835),'中古車掲載'!N835&gt;=20000,'中古車掲載'!O835&lt;=100000,'中古車掲載'!AL835=1),'中古車掲載'!U835,"")</x:f>
      </x:c>
      <x:c r="BI834" s="3" t="str">
        <x:v>Taladrod|Hilux Revo|ICE|Unknown</x:v>
      </x:c>
      <x:c r="BJ834" s="3" t="n">
        <x:v>835</x:v>
      </x:c>
      <x:c r="BK834" s="3" t="n">
        <x:f>'中古車掲載'!AM835</x:f>
        <x:v>479000</x:v>
      </x:c>
      <x:c r="BL834" s="3" t="str">
        <x:f>IF(ISNUMBER('中古車掲載'!AN835),'中古車掲載'!AN835,"")</x:f>
      </x:c>
      <x:c r="BM834" s="3"/>
      <x:c r="BN834" s="3"/>
      <x:c r="BO834" s="3"/>
      <x:c r="BP834" s="3"/>
      <x:c r="BQ834" s="3"/>
      <x:c r="BR834" s="3"/>
    </x:row>
    <x:row r="835" ht="22" customHeight="1">
      <x:c r="A835" s="3"/>
      <x:c r="B835" s="3"/>
      <x:c r="C835" s="3"/>
      <x:c r="D835" s="3"/>
      <x:c r="E835" s="3"/>
      <x:c r="F835" s="3"/>
      <x:c r="G835" s="3"/>
      <x:c r="H835" s="3"/>
      <x:c r="I835" s="3"/>
      <x:c r="J835" s="3"/>
      <x:c r="K835" s="3"/>
      <x:c r="L835" s="3"/>
      <x:c r="M835" s="3"/>
      <x:c r="N835" s="3"/>
      <x:c r="O835" s="3"/>
      <x:c r="P835" s="3"/>
      <x:c r="Q835" s="3"/>
      <x:c r="R835" s="3"/>
      <x:c r="S835" s="3"/>
      <x:c r="T835" s="3"/>
      <x:c r="U835" s="3"/>
      <x:c r="V835" s="3"/>
      <x:c r="W835" s="3"/>
      <x:c r="X835" s="3"/>
      <x:c r="Y835" s="3"/>
      <x:c r="Z835" s="3"/>
      <x:c r="AA835" s="3"/>
      <x:c r="AB835" s="3"/>
      <x:c r="AC835" s="3"/>
      <x:c r="AD835" s="3"/>
      <x:c r="AE835" s="3"/>
      <x:c r="AF835" s="3"/>
      <x:c r="AG835" s="3"/>
      <x:c r="AH835" s="3"/>
      <x:c r="AI835" s="3"/>
      <x:c r="AJ835" s="3"/>
      <x:c r="AK835" s="3"/>
      <x:c r="AL835" s="3"/>
      <x:c r="AM835" s="3"/>
      <x:c r="AN835" s="3"/>
      <x:c r="AO835" s="3"/>
      <x:c r="AP835" s="3"/>
      <x:c r="AQ835" s="3"/>
      <x:c r="AR835" s="3"/>
      <x:c r="AS835" s="3"/>
      <x:c r="AT835" s="3"/>
      <x:c r="AU835" s="3"/>
      <x:c r="AV835" s="3"/>
      <x:c r="AW835" s="3"/>
      <x:c r="AX835" s="3"/>
      <x:c r="AY835" s="3"/>
      <x:c r="AZ835" s="3" t="str">
        <x:f>IF(AND('中古車掲載'!C836="One2car",'中古車掲載'!F836="ATTO 3",'中古車掲載'!L836="EXTENDED RANGE",'中古車掲載'!J836=2023,ISNUMBER('中古車掲載'!N836),'中古車掲載'!N836&gt;=20000,'中古車掲載'!O836&lt;=100000,'中古車掲載'!AL836=1),'中古車掲載'!U836,"")</x:f>
      </x:c>
      <x:c r="BA835" s="3" t="str">
        <x:f>IF(AND('中古車掲載'!C836="One2car",'中古車掲載'!F836="Corolla Cross",'中古車掲載'!L836="HEV PREMIUM SAFETY",'中古車掲載'!J836=2023,ISNUMBER('中古車掲載'!N836),'中古車掲載'!N836&gt;=20000,'中古車掲載'!O836&lt;=100000,'中古車掲載'!AL836=1,'中古車掲載'!Z836="https://www.one2car.com/en/cars-for-sale/toyota/corolla-cross/year-2023"),'中古車掲載'!U836,"")</x:f>
      </x:c>
      <x:c r="BB835" s="3" t="str">
        <x:f>IF(AND('中古車掲載'!C836="One2car",'中古車掲載'!F836="ATTO 3",'中古車掲載'!L836="EXTENDED RANGE",'中古車掲載'!J836=2023,ISNUMBER('中古車掲載'!N836),'中古車掲載'!N836&gt;=50000,'中古車掲載'!O836&lt;=100000,'中古車掲載'!AL836=1),'中古車掲載'!U836,"")</x:f>
      </x:c>
      <x:c r="BC835" s="3" t="str">
        <x:f>IF(AND('中古車掲載'!C836="One2car",'中古車掲載'!F836="Corolla Cross",'中古車掲載'!L836="HEV PREMIUM SAFETY",'中古車掲載'!J836=2023,ISNUMBER('中古車掲載'!N836),'中古車掲載'!N836&gt;=50000,'中古車掲載'!O836&lt;=100000,'中古車掲載'!AL836=1,'中古車掲載'!Z836="https://www.one2car.com/en/cars-for-sale/toyota/corolla-cross/year-2023"),'中古車掲載'!U836,"")</x:f>
      </x:c>
      <x:c r="BD835" s="3" t="str">
        <x:f>IF(AND('中古車掲載'!C836="One2car",'中古車掲載'!F836="ATTO 3",'中古車掲載'!L836="EXTENDED RANGE",'中古車掲載'!J836=2023,ISNUMBER('中古車掲載'!N836),'中古車掲載'!N836&gt;=20000,'中古車掲載'!O836&lt;=50000,'中古車掲載'!AL836=1),'中古車掲載'!U836,"")</x:f>
      </x:c>
      <x:c r="BE835" s="3" t="str">
        <x:f>IF(AND('中古車掲載'!C836="One2car",'中古車掲載'!F836="Corolla Cross",'中古車掲載'!L836="HEV PREMIUM SAFETY",'中古車掲載'!J836=2023,ISNUMBER('中古車掲載'!N836),'中古車掲載'!N836&gt;=20000,'中古車掲載'!O836&lt;=50000,'中古車掲載'!AL836=1,'中古車掲載'!Z836="https://www.one2car.com/en/cars-for-sale/toyota/corolla-cross/year-2023"),'中古車掲載'!U836,"")</x:f>
      </x:c>
      <x:c r="BF835" s="3" t="str">
        <x:f>IF(AND('中古車掲載'!C836="One2car",'中古車掲載'!F836="Corolla Cross",'中古車掲載'!L836="HEV PREMIUM",'中古車掲載'!J836=2023,ISNUMBER('中古車掲載'!N836),'中古車掲載'!N836&gt;=20000,'中古車掲載'!O836&lt;=100000,'中古車掲載'!AL836=1,'中古車掲載'!Z836="https://www.one2car.com/en/cars-for-sale/toyota/corolla-cross/year-2023"),'中古車掲載'!U836,"")</x:f>
      </x:c>
      <x:c r="BG835" s="3" t="str">
        <x:f>IF(AND('中古車掲載'!C836="One2car",'中古車掲載'!F836="Corolla Cross",'中古車掲載'!L836="HEV GR SPORT",'中古車掲載'!J836=2023,ISNUMBER('中古車掲載'!N836),'中古車掲載'!N836&gt;=20000,'中古車掲載'!O836&lt;=100000,'中古車掲載'!AL836=1,'中古車掲載'!Z836="https://www.one2car.com/en/cars-for-sale/toyota/corolla-cross/year-2023"),'中古車掲載'!U836,"")</x:f>
      </x:c>
      <x:c r="BH835" s="3" t="str">
        <x:f>IF(AND('中古車掲載'!C836="One2car",'中古車掲載'!F836="DOLPHIN",'中古車掲載'!L836="STANDARD RANGE",'中古車掲載'!J836=2023,ISNUMBER('中古車掲載'!N836),'中古車掲載'!N836&gt;=20000,'中古車掲載'!O836&lt;=100000,'中古車掲載'!AL836=1),'中古車掲載'!U836,"")</x:f>
      </x:c>
      <x:c r="BI835" s="3" t="str">
        <x:v>Taladrod|Hilux Revo|ICE|Unknown</x:v>
      </x:c>
      <x:c r="BJ835" s="3" t="n">
        <x:v>836</x:v>
      </x:c>
      <x:c r="BK835" s="3" t="n">
        <x:f>'中古車掲載'!AM836</x:f>
        <x:v>599000</x:v>
      </x:c>
      <x:c r="BL835" s="3" t="str">
        <x:f>IF(ISNUMBER('中古車掲載'!AN836),'中古車掲載'!AN836,"")</x:f>
      </x:c>
      <x:c r="BM835" s="3"/>
      <x:c r="BN835" s="3"/>
      <x:c r="BO835" s="3"/>
      <x:c r="BP835" s="3"/>
      <x:c r="BQ835" s="3"/>
      <x:c r="BR835" s="3"/>
    </x:row>
    <x:row r="836" ht="22" customHeight="1">
      <x:c r="A836" s="3"/>
      <x:c r="B836" s="3"/>
      <x:c r="C836" s="3"/>
      <x:c r="D836" s="3"/>
      <x:c r="E836" s="3"/>
      <x:c r="F836" s="3"/>
      <x:c r="G836" s="3"/>
      <x:c r="H836" s="3"/>
      <x:c r="I836" s="3"/>
      <x:c r="J836" s="3"/>
      <x:c r="K836" s="3"/>
      <x:c r="L836" s="3"/>
      <x:c r="M836" s="3"/>
      <x:c r="N836" s="3"/>
      <x:c r="O836" s="3"/>
      <x:c r="P836" s="3"/>
      <x:c r="Q836" s="3"/>
      <x:c r="R836" s="3"/>
      <x:c r="S836" s="3"/>
      <x:c r="T836" s="3"/>
      <x:c r="U836" s="3"/>
      <x:c r="V836" s="3"/>
      <x:c r="W836" s="3"/>
      <x:c r="X836" s="3"/>
      <x:c r="Y836" s="3"/>
      <x:c r="Z836" s="3"/>
      <x:c r="AA836" s="3"/>
      <x:c r="AB836" s="3"/>
      <x:c r="AC836" s="3"/>
      <x:c r="AD836" s="3"/>
      <x:c r="AE836" s="3"/>
      <x:c r="AF836" s="3"/>
      <x:c r="AG836" s="3"/>
      <x:c r="AH836" s="3"/>
      <x:c r="AI836" s="3"/>
      <x:c r="AJ836" s="3"/>
      <x:c r="AK836" s="3"/>
      <x:c r="AL836" s="3"/>
      <x:c r="AM836" s="3"/>
      <x:c r="AN836" s="3"/>
      <x:c r="AO836" s="3"/>
      <x:c r="AP836" s="3"/>
      <x:c r="AQ836" s="3"/>
      <x:c r="AR836" s="3"/>
      <x:c r="AS836" s="3"/>
      <x:c r="AT836" s="3"/>
      <x:c r="AU836" s="3"/>
      <x:c r="AV836" s="3"/>
      <x:c r="AW836" s="3"/>
      <x:c r="AX836" s="3"/>
      <x:c r="AY836" s="3"/>
      <x:c r="AZ836" s="3" t="str">
        <x:f>IF(AND('中古車掲載'!C837="One2car",'中古車掲載'!F837="ATTO 3",'中古車掲載'!L837="EXTENDED RANGE",'中古車掲載'!J837=2023,ISNUMBER('中古車掲載'!N837),'中古車掲載'!N837&gt;=20000,'中古車掲載'!O837&lt;=100000,'中古車掲載'!AL837=1),'中古車掲載'!U837,"")</x:f>
      </x:c>
      <x:c r="BA836" s="3" t="str">
        <x:f>IF(AND('中古車掲載'!C837="One2car",'中古車掲載'!F837="Corolla Cross",'中古車掲載'!L837="HEV PREMIUM SAFETY",'中古車掲載'!J837=2023,ISNUMBER('中古車掲載'!N837),'中古車掲載'!N837&gt;=20000,'中古車掲載'!O837&lt;=100000,'中古車掲載'!AL837=1,'中古車掲載'!Z837="https://www.one2car.com/en/cars-for-sale/toyota/corolla-cross/year-2023"),'中古車掲載'!U837,"")</x:f>
      </x:c>
      <x:c r="BB836" s="3" t="str">
        <x:f>IF(AND('中古車掲載'!C837="One2car",'中古車掲載'!F837="ATTO 3",'中古車掲載'!L837="EXTENDED RANGE",'中古車掲載'!J837=2023,ISNUMBER('中古車掲載'!N837),'中古車掲載'!N837&gt;=50000,'中古車掲載'!O837&lt;=100000,'中古車掲載'!AL837=1),'中古車掲載'!U837,"")</x:f>
      </x:c>
      <x:c r="BC836" s="3" t="str">
        <x:f>IF(AND('中古車掲載'!C837="One2car",'中古車掲載'!F837="Corolla Cross",'中古車掲載'!L837="HEV PREMIUM SAFETY",'中古車掲載'!J837=2023,ISNUMBER('中古車掲載'!N837),'中古車掲載'!N837&gt;=50000,'中古車掲載'!O837&lt;=100000,'中古車掲載'!AL837=1,'中古車掲載'!Z837="https://www.one2car.com/en/cars-for-sale/toyota/corolla-cross/year-2023"),'中古車掲載'!U837,"")</x:f>
      </x:c>
      <x:c r="BD836" s="3" t="str">
        <x:f>IF(AND('中古車掲載'!C837="One2car",'中古車掲載'!F837="ATTO 3",'中古車掲載'!L837="EXTENDED RANGE",'中古車掲載'!J837=2023,ISNUMBER('中古車掲載'!N837),'中古車掲載'!N837&gt;=20000,'中古車掲載'!O837&lt;=50000,'中古車掲載'!AL837=1),'中古車掲載'!U837,"")</x:f>
      </x:c>
      <x:c r="BE836" s="3" t="str">
        <x:f>IF(AND('中古車掲載'!C837="One2car",'中古車掲載'!F837="Corolla Cross",'中古車掲載'!L837="HEV PREMIUM SAFETY",'中古車掲載'!J837=2023,ISNUMBER('中古車掲載'!N837),'中古車掲載'!N837&gt;=20000,'中古車掲載'!O837&lt;=50000,'中古車掲載'!AL837=1,'中古車掲載'!Z837="https://www.one2car.com/en/cars-for-sale/toyota/corolla-cross/year-2023"),'中古車掲載'!U837,"")</x:f>
      </x:c>
      <x:c r="BF836" s="3" t="str">
        <x:f>IF(AND('中古車掲載'!C837="One2car",'中古車掲載'!F837="Corolla Cross",'中古車掲載'!L837="HEV PREMIUM",'中古車掲載'!J837=2023,ISNUMBER('中古車掲載'!N837),'中古車掲載'!N837&gt;=20000,'中古車掲載'!O837&lt;=100000,'中古車掲載'!AL837=1,'中古車掲載'!Z837="https://www.one2car.com/en/cars-for-sale/toyota/corolla-cross/year-2023"),'中古車掲載'!U837,"")</x:f>
      </x:c>
      <x:c r="BG836" s="3" t="str">
        <x:f>IF(AND('中古車掲載'!C837="One2car",'中古車掲載'!F837="Corolla Cross",'中古車掲載'!L837="HEV GR SPORT",'中古車掲載'!J837=2023,ISNUMBER('中古車掲載'!N837),'中古車掲載'!N837&gt;=20000,'中古車掲載'!O837&lt;=100000,'中古車掲載'!AL837=1,'中古車掲載'!Z837="https://www.one2car.com/en/cars-for-sale/toyota/corolla-cross/year-2023"),'中古車掲載'!U837,"")</x:f>
      </x:c>
      <x:c r="BH836" s="3" t="str">
        <x:f>IF(AND('中古車掲載'!C837="One2car",'中古車掲載'!F837="DOLPHIN",'中古車掲載'!L837="STANDARD RANGE",'中古車掲載'!J837=2023,ISNUMBER('中古車掲載'!N837),'中古車掲載'!N837&gt;=20000,'中古車掲載'!O837&lt;=100000,'中古車掲載'!AL837=1),'中古車掲載'!U837,"")</x:f>
      </x:c>
      <x:c r="BI836" s="3" t="str">
        <x:v>Taladrod|Hilux Revo|ICE|Unknown</x:v>
      </x:c>
      <x:c r="BJ836" s="3" t="n">
        <x:v>837</x:v>
      </x:c>
      <x:c r="BK836" s="3" t="n">
        <x:f>'中古車掲載'!AM837</x:f>
        <x:v>479000</x:v>
      </x:c>
      <x:c r="BL836" s="3" t="str">
        <x:f>IF(ISNUMBER('中古車掲載'!AN837),'中古車掲載'!AN837,"")</x:f>
      </x:c>
      <x:c r="BM836" s="3"/>
      <x:c r="BN836" s="3"/>
      <x:c r="BO836" s="3"/>
      <x:c r="BP836" s="3"/>
      <x:c r="BQ836" s="3"/>
      <x:c r="BR836" s="3"/>
    </x:row>
    <x:row r="837" ht="22" customHeight="1">
      <x:c r="A837" s="3"/>
      <x:c r="B837" s="3"/>
      <x:c r="C837" s="3"/>
      <x:c r="D837" s="3"/>
      <x:c r="E837" s="3"/>
      <x:c r="F837" s="3"/>
      <x:c r="G837" s="3"/>
      <x:c r="H837" s="3"/>
      <x:c r="I837" s="3"/>
      <x:c r="J837" s="3"/>
      <x:c r="K837" s="3"/>
      <x:c r="L837" s="3"/>
      <x:c r="M837" s="3"/>
      <x:c r="N837" s="3"/>
      <x:c r="O837" s="3"/>
      <x:c r="P837" s="3"/>
      <x:c r="Q837" s="3"/>
      <x:c r="R837" s="3"/>
      <x:c r="S837" s="3"/>
      <x:c r="T837" s="3"/>
      <x:c r="U837" s="3"/>
      <x:c r="V837" s="3"/>
      <x:c r="W837" s="3"/>
      <x:c r="X837" s="3"/>
      <x:c r="Y837" s="3"/>
      <x:c r="Z837" s="3"/>
      <x:c r="AA837" s="3"/>
      <x:c r="AB837" s="3"/>
      <x:c r="AC837" s="3"/>
      <x:c r="AD837" s="3"/>
      <x:c r="AE837" s="3"/>
      <x:c r="AF837" s="3"/>
      <x:c r="AG837" s="3"/>
      <x:c r="AH837" s="3"/>
      <x:c r="AI837" s="3"/>
      <x:c r="AJ837" s="3"/>
      <x:c r="AK837" s="3"/>
      <x:c r="AL837" s="3"/>
      <x:c r="AM837" s="3"/>
      <x:c r="AN837" s="3"/>
      <x:c r="AO837" s="3"/>
      <x:c r="AP837" s="3"/>
      <x:c r="AQ837" s="3"/>
      <x:c r="AR837" s="3"/>
      <x:c r="AS837" s="3"/>
      <x:c r="AT837" s="3"/>
      <x:c r="AU837" s="3"/>
      <x:c r="AV837" s="3"/>
      <x:c r="AW837" s="3"/>
      <x:c r="AX837" s="3"/>
      <x:c r="AY837" s="3"/>
      <x:c r="AZ837" s="3" t="str">
        <x:f>IF(AND('中古車掲載'!C838="One2car",'中古車掲載'!F838="ATTO 3",'中古車掲載'!L838="EXTENDED RANGE",'中古車掲載'!J838=2023,ISNUMBER('中古車掲載'!N838),'中古車掲載'!N838&gt;=20000,'中古車掲載'!O838&lt;=100000,'中古車掲載'!AL838=1),'中古車掲載'!U838,"")</x:f>
      </x:c>
      <x:c r="BA837" s="3" t="str">
        <x:f>IF(AND('中古車掲載'!C838="One2car",'中古車掲載'!F838="Corolla Cross",'中古車掲載'!L838="HEV PREMIUM SAFETY",'中古車掲載'!J838=2023,ISNUMBER('中古車掲載'!N838),'中古車掲載'!N838&gt;=20000,'中古車掲載'!O838&lt;=100000,'中古車掲載'!AL838=1,'中古車掲載'!Z838="https://www.one2car.com/en/cars-for-sale/toyota/corolla-cross/year-2023"),'中古車掲載'!U838,"")</x:f>
      </x:c>
      <x:c r="BB837" s="3" t="str">
        <x:f>IF(AND('中古車掲載'!C838="One2car",'中古車掲載'!F838="ATTO 3",'中古車掲載'!L838="EXTENDED RANGE",'中古車掲載'!J838=2023,ISNUMBER('中古車掲載'!N838),'中古車掲載'!N838&gt;=50000,'中古車掲載'!O838&lt;=100000,'中古車掲載'!AL838=1),'中古車掲載'!U838,"")</x:f>
      </x:c>
      <x:c r="BC837" s="3" t="str">
        <x:f>IF(AND('中古車掲載'!C838="One2car",'中古車掲載'!F838="Corolla Cross",'中古車掲載'!L838="HEV PREMIUM SAFETY",'中古車掲載'!J838=2023,ISNUMBER('中古車掲載'!N838),'中古車掲載'!N838&gt;=50000,'中古車掲載'!O838&lt;=100000,'中古車掲載'!AL838=1,'中古車掲載'!Z838="https://www.one2car.com/en/cars-for-sale/toyota/corolla-cross/year-2023"),'中古車掲載'!U838,"")</x:f>
      </x:c>
      <x:c r="BD837" s="3" t="str">
        <x:f>IF(AND('中古車掲載'!C838="One2car",'中古車掲載'!F838="ATTO 3",'中古車掲載'!L838="EXTENDED RANGE",'中古車掲載'!J838=2023,ISNUMBER('中古車掲載'!N838),'中古車掲載'!N838&gt;=20000,'中古車掲載'!O838&lt;=50000,'中古車掲載'!AL838=1),'中古車掲載'!U838,"")</x:f>
      </x:c>
      <x:c r="BE837" s="3" t="str">
        <x:f>IF(AND('中古車掲載'!C838="One2car",'中古車掲載'!F838="Corolla Cross",'中古車掲載'!L838="HEV PREMIUM SAFETY",'中古車掲載'!J838=2023,ISNUMBER('中古車掲載'!N838),'中古車掲載'!N838&gt;=20000,'中古車掲載'!O838&lt;=50000,'中古車掲載'!AL838=1,'中古車掲載'!Z838="https://www.one2car.com/en/cars-for-sale/toyota/corolla-cross/year-2023"),'中古車掲載'!U838,"")</x:f>
      </x:c>
      <x:c r="BF837" s="3" t="str">
        <x:f>IF(AND('中古車掲載'!C838="One2car",'中古車掲載'!F838="Corolla Cross",'中古車掲載'!L838="HEV PREMIUM",'中古車掲載'!J838=2023,ISNUMBER('中古車掲載'!N838),'中古車掲載'!N838&gt;=20000,'中古車掲載'!O838&lt;=100000,'中古車掲載'!AL838=1,'中古車掲載'!Z838="https://www.one2car.com/en/cars-for-sale/toyota/corolla-cross/year-2023"),'中古車掲載'!U838,"")</x:f>
      </x:c>
      <x:c r="BG837" s="3" t="str">
        <x:f>IF(AND('中古車掲載'!C838="One2car",'中古車掲載'!F838="Corolla Cross",'中古車掲載'!L838="HEV GR SPORT",'中古車掲載'!J838=2023,ISNUMBER('中古車掲載'!N838),'中古車掲載'!N838&gt;=20000,'中古車掲載'!O838&lt;=100000,'中古車掲載'!AL838=1,'中古車掲載'!Z838="https://www.one2car.com/en/cars-for-sale/toyota/corolla-cross/year-2023"),'中古車掲載'!U838,"")</x:f>
      </x:c>
      <x:c r="BH837" s="3" t="str">
        <x:f>IF(AND('中古車掲載'!C838="One2car",'中古車掲載'!F838="DOLPHIN",'中古車掲載'!L838="STANDARD RANGE",'中古車掲載'!J838=2023,ISNUMBER('中古車掲載'!N838),'中古車掲載'!N838&gt;=20000,'中古車掲載'!O838&lt;=100000,'中古車掲載'!AL838=1),'中古車掲載'!U838,"")</x:f>
      </x:c>
      <x:c r="BI837" s="3" t="str">
        <x:v>Taladrod|Hilux Revo|ICE|Unknown</x:v>
      </x:c>
      <x:c r="BJ837" s="3" t="n">
        <x:v>838</x:v>
      </x:c>
      <x:c r="BK837" s="3" t="n">
        <x:f>'中古車掲載'!AM838</x:f>
        <x:v>429000</x:v>
      </x:c>
      <x:c r="BL837" s="3" t="str">
        <x:f>IF(ISNUMBER('中古車掲載'!AN838),'中古車掲載'!AN838,"")</x:f>
      </x:c>
      <x:c r="BM837" s="3"/>
      <x:c r="BN837" s="3"/>
      <x:c r="BO837" s="3"/>
      <x:c r="BP837" s="3"/>
      <x:c r="BQ837" s="3"/>
      <x:c r="BR837" s="3"/>
    </x:row>
    <x:row r="838" ht="22" customHeight="1">
      <x:c r="A838" s="3"/>
      <x:c r="B838" s="3"/>
      <x:c r="C838" s="3"/>
      <x:c r="D838" s="3"/>
      <x:c r="E838" s="3"/>
      <x:c r="F838" s="3"/>
      <x:c r="G838" s="3"/>
      <x:c r="H838" s="3"/>
      <x:c r="I838" s="3"/>
      <x:c r="J838" s="3"/>
      <x:c r="K838" s="3"/>
      <x:c r="L838" s="3"/>
      <x:c r="M838" s="3"/>
      <x:c r="N838" s="3"/>
      <x:c r="O838" s="3"/>
      <x:c r="P838" s="3"/>
      <x:c r="Q838" s="3"/>
      <x:c r="R838" s="3"/>
      <x:c r="S838" s="3"/>
      <x:c r="T838" s="3"/>
      <x:c r="U838" s="3"/>
      <x:c r="V838" s="3"/>
      <x:c r="W838" s="3"/>
      <x:c r="X838" s="3"/>
      <x:c r="Y838" s="3"/>
      <x:c r="Z838" s="3"/>
      <x:c r="AA838" s="3"/>
      <x:c r="AB838" s="3"/>
      <x:c r="AC838" s="3"/>
      <x:c r="AD838" s="3"/>
      <x:c r="AE838" s="3"/>
      <x:c r="AF838" s="3"/>
      <x:c r="AG838" s="3"/>
      <x:c r="AH838" s="3"/>
      <x:c r="AI838" s="3"/>
      <x:c r="AJ838" s="3"/>
      <x:c r="AK838" s="3"/>
      <x:c r="AL838" s="3"/>
      <x:c r="AM838" s="3"/>
      <x:c r="AN838" s="3"/>
      <x:c r="AO838" s="3"/>
      <x:c r="AP838" s="3"/>
      <x:c r="AQ838" s="3"/>
      <x:c r="AR838" s="3"/>
      <x:c r="AS838" s="3"/>
      <x:c r="AT838" s="3"/>
      <x:c r="AU838" s="3"/>
      <x:c r="AV838" s="3"/>
      <x:c r="AW838" s="3"/>
      <x:c r="AX838" s="3"/>
      <x:c r="AY838" s="3"/>
      <x:c r="AZ838" s="3" t="str">
        <x:f>IF(AND('中古車掲載'!C839="One2car",'中古車掲載'!F839="ATTO 3",'中古車掲載'!L839="EXTENDED RANGE",'中古車掲載'!J839=2023,ISNUMBER('中古車掲載'!N839),'中古車掲載'!N839&gt;=20000,'中古車掲載'!O839&lt;=100000,'中古車掲載'!AL839=1),'中古車掲載'!U839,"")</x:f>
      </x:c>
      <x:c r="BA838" s="3" t="str">
        <x:f>IF(AND('中古車掲載'!C839="One2car",'中古車掲載'!F839="Corolla Cross",'中古車掲載'!L839="HEV PREMIUM SAFETY",'中古車掲載'!J839=2023,ISNUMBER('中古車掲載'!N839),'中古車掲載'!N839&gt;=20000,'中古車掲載'!O839&lt;=100000,'中古車掲載'!AL839=1,'中古車掲載'!Z839="https://www.one2car.com/en/cars-for-sale/toyota/corolla-cross/year-2023"),'中古車掲載'!U839,"")</x:f>
      </x:c>
      <x:c r="BB838" s="3" t="str">
        <x:f>IF(AND('中古車掲載'!C839="One2car",'中古車掲載'!F839="ATTO 3",'中古車掲載'!L839="EXTENDED RANGE",'中古車掲載'!J839=2023,ISNUMBER('中古車掲載'!N839),'中古車掲載'!N839&gt;=50000,'中古車掲載'!O839&lt;=100000,'中古車掲載'!AL839=1),'中古車掲載'!U839,"")</x:f>
      </x:c>
      <x:c r="BC838" s="3" t="str">
        <x:f>IF(AND('中古車掲載'!C839="One2car",'中古車掲載'!F839="Corolla Cross",'中古車掲載'!L839="HEV PREMIUM SAFETY",'中古車掲載'!J839=2023,ISNUMBER('中古車掲載'!N839),'中古車掲載'!N839&gt;=50000,'中古車掲載'!O839&lt;=100000,'中古車掲載'!AL839=1,'中古車掲載'!Z839="https://www.one2car.com/en/cars-for-sale/toyota/corolla-cross/year-2023"),'中古車掲載'!U839,"")</x:f>
      </x:c>
      <x:c r="BD838" s="3" t="str">
        <x:f>IF(AND('中古車掲載'!C839="One2car",'中古車掲載'!F839="ATTO 3",'中古車掲載'!L839="EXTENDED RANGE",'中古車掲載'!J839=2023,ISNUMBER('中古車掲載'!N839),'中古車掲載'!N839&gt;=20000,'中古車掲載'!O839&lt;=50000,'中古車掲載'!AL839=1),'中古車掲載'!U839,"")</x:f>
      </x:c>
      <x:c r="BE838" s="3" t="str">
        <x:f>IF(AND('中古車掲載'!C839="One2car",'中古車掲載'!F839="Corolla Cross",'中古車掲載'!L839="HEV PREMIUM SAFETY",'中古車掲載'!J839=2023,ISNUMBER('中古車掲載'!N839),'中古車掲載'!N839&gt;=20000,'中古車掲載'!O839&lt;=50000,'中古車掲載'!AL839=1,'中古車掲載'!Z839="https://www.one2car.com/en/cars-for-sale/toyota/corolla-cross/year-2023"),'中古車掲載'!U839,"")</x:f>
      </x:c>
      <x:c r="BF838" s="3" t="str">
        <x:f>IF(AND('中古車掲載'!C839="One2car",'中古車掲載'!F839="Corolla Cross",'中古車掲載'!L839="HEV PREMIUM",'中古車掲載'!J839=2023,ISNUMBER('中古車掲載'!N839),'中古車掲載'!N839&gt;=20000,'中古車掲載'!O839&lt;=100000,'中古車掲載'!AL839=1,'中古車掲載'!Z839="https://www.one2car.com/en/cars-for-sale/toyota/corolla-cross/year-2023"),'中古車掲載'!U839,"")</x:f>
      </x:c>
      <x:c r="BG838" s="3" t="str">
        <x:f>IF(AND('中古車掲載'!C839="One2car",'中古車掲載'!F839="Corolla Cross",'中古車掲載'!L839="HEV GR SPORT",'中古車掲載'!J839=2023,ISNUMBER('中古車掲載'!N839),'中古車掲載'!N839&gt;=20000,'中古車掲載'!O839&lt;=100000,'中古車掲載'!AL839=1,'中古車掲載'!Z839="https://www.one2car.com/en/cars-for-sale/toyota/corolla-cross/year-2023"),'中古車掲載'!U839,"")</x:f>
      </x:c>
      <x:c r="BH838" s="3" t="str">
        <x:f>IF(AND('中古車掲載'!C839="One2car",'中古車掲載'!F839="DOLPHIN",'中古車掲載'!L839="STANDARD RANGE",'中古車掲載'!J839=2023,ISNUMBER('中古車掲載'!N839),'中古車掲載'!N839&gt;=20000,'中古車掲載'!O839&lt;=100000,'中古車掲載'!AL839=1),'中古車掲載'!U839,"")</x:f>
      </x:c>
      <x:c r="BI838" s="3" t="str">
        <x:v>Taladrod|Hilux Revo|ICE|Unknown</x:v>
      </x:c>
      <x:c r="BJ838" s="3" t="n">
        <x:v>839</x:v>
      </x:c>
      <x:c r="BK838" s="3" t="n">
        <x:f>'中古車掲載'!AM839</x:f>
        <x:v>459000</x:v>
      </x:c>
      <x:c r="BL838" s="3" t="str">
        <x:f>IF(ISNUMBER('中古車掲載'!AN839),'中古車掲載'!AN839,"")</x:f>
      </x:c>
      <x:c r="BM838" s="3"/>
      <x:c r="BN838" s="3"/>
      <x:c r="BO838" s="3"/>
      <x:c r="BP838" s="3"/>
      <x:c r="BQ838" s="3"/>
      <x:c r="BR838" s="3"/>
    </x:row>
    <x:row r="839" ht="22" customHeight="1">
      <x:c r="A839" s="3"/>
      <x:c r="B839" s="3"/>
      <x:c r="C839" s="3"/>
      <x:c r="D839" s="3"/>
      <x:c r="E839" s="3"/>
      <x:c r="F839" s="3"/>
      <x:c r="G839" s="3"/>
      <x:c r="H839" s="3"/>
      <x:c r="I839" s="3"/>
      <x:c r="J839" s="3"/>
      <x:c r="K839" s="3"/>
      <x:c r="L839" s="3"/>
      <x:c r="M839" s="3"/>
      <x:c r="N839" s="3"/>
      <x:c r="O839" s="3"/>
      <x:c r="P839" s="3"/>
      <x:c r="Q839" s="3"/>
      <x:c r="R839" s="3"/>
      <x:c r="S839" s="3"/>
      <x:c r="T839" s="3"/>
      <x:c r="U839" s="3"/>
      <x:c r="V839" s="3"/>
      <x:c r="W839" s="3"/>
      <x:c r="X839" s="3"/>
      <x:c r="Y839" s="3"/>
      <x:c r="Z839" s="3"/>
      <x:c r="AA839" s="3"/>
      <x:c r="AB839" s="3"/>
      <x:c r="AC839" s="3"/>
      <x:c r="AD839" s="3"/>
      <x:c r="AE839" s="3"/>
      <x:c r="AF839" s="3"/>
      <x:c r="AG839" s="3"/>
      <x:c r="AH839" s="3"/>
      <x:c r="AI839" s="3"/>
      <x:c r="AJ839" s="3"/>
      <x:c r="AK839" s="3"/>
      <x:c r="AL839" s="3"/>
      <x:c r="AM839" s="3"/>
      <x:c r="AN839" s="3"/>
      <x:c r="AO839" s="3"/>
      <x:c r="AP839" s="3"/>
      <x:c r="AQ839" s="3"/>
      <x:c r="AR839" s="3"/>
      <x:c r="AS839" s="3"/>
      <x:c r="AT839" s="3"/>
      <x:c r="AU839" s="3"/>
      <x:c r="AV839" s="3"/>
      <x:c r="AW839" s="3"/>
      <x:c r="AX839" s="3"/>
      <x:c r="AY839" s="3"/>
      <x:c r="AZ839" s="3" t="str">
        <x:f>IF(AND('中古車掲載'!C840="One2car",'中古車掲載'!F840="ATTO 3",'中古車掲載'!L840="EXTENDED RANGE",'中古車掲載'!J840=2023,ISNUMBER('中古車掲載'!N840),'中古車掲載'!N840&gt;=20000,'中古車掲載'!O840&lt;=100000,'中古車掲載'!AL840=1),'中古車掲載'!U840,"")</x:f>
      </x:c>
      <x:c r="BA839" s="3" t="str">
        <x:f>IF(AND('中古車掲載'!C840="One2car",'中古車掲載'!F840="Corolla Cross",'中古車掲載'!L840="HEV PREMIUM SAFETY",'中古車掲載'!J840=2023,ISNUMBER('中古車掲載'!N840),'中古車掲載'!N840&gt;=20000,'中古車掲載'!O840&lt;=100000,'中古車掲載'!AL840=1,'中古車掲載'!Z840="https://www.one2car.com/en/cars-for-sale/toyota/corolla-cross/year-2023"),'中古車掲載'!U840,"")</x:f>
      </x:c>
      <x:c r="BB839" s="3" t="str">
        <x:f>IF(AND('中古車掲載'!C840="One2car",'中古車掲載'!F840="ATTO 3",'中古車掲載'!L840="EXTENDED RANGE",'中古車掲載'!J840=2023,ISNUMBER('中古車掲載'!N840),'中古車掲載'!N840&gt;=50000,'中古車掲載'!O840&lt;=100000,'中古車掲載'!AL840=1),'中古車掲載'!U840,"")</x:f>
      </x:c>
      <x:c r="BC839" s="3" t="str">
        <x:f>IF(AND('中古車掲載'!C840="One2car",'中古車掲載'!F840="Corolla Cross",'中古車掲載'!L840="HEV PREMIUM SAFETY",'中古車掲載'!J840=2023,ISNUMBER('中古車掲載'!N840),'中古車掲載'!N840&gt;=50000,'中古車掲載'!O840&lt;=100000,'中古車掲載'!AL840=1,'中古車掲載'!Z840="https://www.one2car.com/en/cars-for-sale/toyota/corolla-cross/year-2023"),'中古車掲載'!U840,"")</x:f>
      </x:c>
      <x:c r="BD839" s="3" t="str">
        <x:f>IF(AND('中古車掲載'!C840="One2car",'中古車掲載'!F840="ATTO 3",'中古車掲載'!L840="EXTENDED RANGE",'中古車掲載'!J840=2023,ISNUMBER('中古車掲載'!N840),'中古車掲載'!N840&gt;=20000,'中古車掲載'!O840&lt;=50000,'中古車掲載'!AL840=1),'中古車掲載'!U840,"")</x:f>
      </x:c>
      <x:c r="BE839" s="3" t="str">
        <x:f>IF(AND('中古車掲載'!C840="One2car",'中古車掲載'!F840="Corolla Cross",'中古車掲載'!L840="HEV PREMIUM SAFETY",'中古車掲載'!J840=2023,ISNUMBER('中古車掲載'!N840),'中古車掲載'!N840&gt;=20000,'中古車掲載'!O840&lt;=50000,'中古車掲載'!AL840=1,'中古車掲載'!Z840="https://www.one2car.com/en/cars-for-sale/toyota/corolla-cross/year-2023"),'中古車掲載'!U840,"")</x:f>
      </x:c>
      <x:c r="BF839" s="3" t="str">
        <x:f>IF(AND('中古車掲載'!C840="One2car",'中古車掲載'!F840="Corolla Cross",'中古車掲載'!L840="HEV PREMIUM",'中古車掲載'!J840=2023,ISNUMBER('中古車掲載'!N840),'中古車掲載'!N840&gt;=20000,'中古車掲載'!O840&lt;=100000,'中古車掲載'!AL840=1,'中古車掲載'!Z840="https://www.one2car.com/en/cars-for-sale/toyota/corolla-cross/year-2023"),'中古車掲載'!U840,"")</x:f>
      </x:c>
      <x:c r="BG839" s="3" t="str">
        <x:f>IF(AND('中古車掲載'!C840="One2car",'中古車掲載'!F840="Corolla Cross",'中古車掲載'!L840="HEV GR SPORT",'中古車掲載'!J840=2023,ISNUMBER('中古車掲載'!N840),'中古車掲載'!N840&gt;=20000,'中古車掲載'!O840&lt;=100000,'中古車掲載'!AL840=1,'中古車掲載'!Z840="https://www.one2car.com/en/cars-for-sale/toyota/corolla-cross/year-2023"),'中古車掲載'!U840,"")</x:f>
      </x:c>
      <x:c r="BH839" s="3" t="str">
        <x:f>IF(AND('中古車掲載'!C840="One2car",'中古車掲載'!F840="DOLPHIN",'中古車掲載'!L840="STANDARD RANGE",'中古車掲載'!J840=2023,ISNUMBER('中古車掲載'!N840),'中古車掲載'!N840&gt;=20000,'中古車掲載'!O840&lt;=100000,'中古車掲載'!AL840=1),'中古車掲載'!U840,"")</x:f>
      </x:c>
      <x:c r="BI839" s="3" t="str">
        <x:v>Taladrod|Hilux Revo|ICE|Unknown</x:v>
      </x:c>
      <x:c r="BJ839" s="3" t="n">
        <x:v>840</x:v>
      </x:c>
      <x:c r="BK839" s="3" t="n">
        <x:f>'中古車掲載'!AM840</x:f>
        <x:v>515000</x:v>
      </x:c>
      <x:c r="BL839" s="3" t="str">
        <x:f>IF(ISNUMBER('中古車掲載'!AN840),'中古車掲載'!AN840,"")</x:f>
      </x:c>
      <x:c r="BM839" s="3"/>
      <x:c r="BN839" s="3"/>
      <x:c r="BO839" s="3"/>
      <x:c r="BP839" s="3"/>
      <x:c r="BQ839" s="3"/>
      <x:c r="BR839" s="3"/>
    </x:row>
    <x:row r="840" ht="22" customHeight="1">
      <x:c r="A840" s="3"/>
      <x:c r="B840" s="3"/>
      <x:c r="C840" s="3"/>
      <x:c r="D840" s="3"/>
      <x:c r="E840" s="3"/>
      <x:c r="F840" s="3"/>
      <x:c r="G840" s="3"/>
      <x:c r="H840" s="3"/>
      <x:c r="I840" s="3"/>
      <x:c r="J840" s="3"/>
      <x:c r="K840" s="3"/>
      <x:c r="L840" s="3"/>
      <x:c r="M840" s="3"/>
      <x:c r="N840" s="3"/>
      <x:c r="O840" s="3"/>
      <x:c r="P840" s="3"/>
      <x:c r="Q840" s="3"/>
      <x:c r="R840" s="3"/>
      <x:c r="S840" s="3"/>
      <x:c r="T840" s="3"/>
      <x:c r="U840" s="3"/>
      <x:c r="V840" s="3"/>
      <x:c r="W840" s="3"/>
      <x:c r="X840" s="3"/>
      <x:c r="Y840" s="3"/>
      <x:c r="Z840" s="3"/>
      <x:c r="AA840" s="3"/>
      <x:c r="AB840" s="3"/>
      <x:c r="AC840" s="3"/>
      <x:c r="AD840" s="3"/>
      <x:c r="AE840" s="3"/>
      <x:c r="AF840" s="3"/>
      <x:c r="AG840" s="3"/>
      <x:c r="AH840" s="3"/>
      <x:c r="AI840" s="3"/>
      <x:c r="AJ840" s="3"/>
      <x:c r="AK840" s="3"/>
      <x:c r="AL840" s="3"/>
      <x:c r="AM840" s="3"/>
      <x:c r="AN840" s="3"/>
      <x:c r="AO840" s="3"/>
      <x:c r="AP840" s="3"/>
      <x:c r="AQ840" s="3"/>
      <x:c r="AR840" s="3"/>
      <x:c r="AS840" s="3"/>
      <x:c r="AT840" s="3"/>
      <x:c r="AU840" s="3"/>
      <x:c r="AV840" s="3"/>
      <x:c r="AW840" s="3"/>
      <x:c r="AX840" s="3"/>
      <x:c r="AY840" s="3"/>
      <x:c r="AZ840" s="3" t="str">
        <x:f>IF(AND('中古車掲載'!C841="One2car",'中古車掲載'!F841="ATTO 3",'中古車掲載'!L841="EXTENDED RANGE",'中古車掲載'!J841=2023,ISNUMBER('中古車掲載'!N841),'中古車掲載'!N841&gt;=20000,'中古車掲載'!O841&lt;=100000,'中古車掲載'!AL841=1),'中古車掲載'!U841,"")</x:f>
      </x:c>
      <x:c r="BA840" s="3" t="str">
        <x:f>IF(AND('中古車掲載'!C841="One2car",'中古車掲載'!F841="Corolla Cross",'中古車掲載'!L841="HEV PREMIUM SAFETY",'中古車掲載'!J841=2023,ISNUMBER('中古車掲載'!N841),'中古車掲載'!N841&gt;=20000,'中古車掲載'!O841&lt;=100000,'中古車掲載'!AL841=1,'中古車掲載'!Z841="https://www.one2car.com/en/cars-for-sale/toyota/corolla-cross/year-2023"),'中古車掲載'!U841,"")</x:f>
      </x:c>
      <x:c r="BB840" s="3" t="str">
        <x:f>IF(AND('中古車掲載'!C841="One2car",'中古車掲載'!F841="ATTO 3",'中古車掲載'!L841="EXTENDED RANGE",'中古車掲載'!J841=2023,ISNUMBER('中古車掲載'!N841),'中古車掲載'!N841&gt;=50000,'中古車掲載'!O841&lt;=100000,'中古車掲載'!AL841=1),'中古車掲載'!U841,"")</x:f>
      </x:c>
      <x:c r="BC840" s="3" t="str">
        <x:f>IF(AND('中古車掲載'!C841="One2car",'中古車掲載'!F841="Corolla Cross",'中古車掲載'!L841="HEV PREMIUM SAFETY",'中古車掲載'!J841=2023,ISNUMBER('中古車掲載'!N841),'中古車掲載'!N841&gt;=50000,'中古車掲載'!O841&lt;=100000,'中古車掲載'!AL841=1,'中古車掲載'!Z841="https://www.one2car.com/en/cars-for-sale/toyota/corolla-cross/year-2023"),'中古車掲載'!U841,"")</x:f>
      </x:c>
      <x:c r="BD840" s="3" t="str">
        <x:f>IF(AND('中古車掲載'!C841="One2car",'中古車掲載'!F841="ATTO 3",'中古車掲載'!L841="EXTENDED RANGE",'中古車掲載'!J841=2023,ISNUMBER('中古車掲載'!N841),'中古車掲載'!N841&gt;=20000,'中古車掲載'!O841&lt;=50000,'中古車掲載'!AL841=1),'中古車掲載'!U841,"")</x:f>
      </x:c>
      <x:c r="BE840" s="3" t="str">
        <x:f>IF(AND('中古車掲載'!C841="One2car",'中古車掲載'!F841="Corolla Cross",'中古車掲載'!L841="HEV PREMIUM SAFETY",'中古車掲載'!J841=2023,ISNUMBER('中古車掲載'!N841),'中古車掲載'!N841&gt;=20000,'中古車掲載'!O841&lt;=50000,'中古車掲載'!AL841=1,'中古車掲載'!Z841="https://www.one2car.com/en/cars-for-sale/toyota/corolla-cross/year-2023"),'中古車掲載'!U841,"")</x:f>
      </x:c>
      <x:c r="BF840" s="3" t="str">
        <x:f>IF(AND('中古車掲載'!C841="One2car",'中古車掲載'!F841="Corolla Cross",'中古車掲載'!L841="HEV PREMIUM",'中古車掲載'!J841=2023,ISNUMBER('中古車掲載'!N841),'中古車掲載'!N841&gt;=20000,'中古車掲載'!O841&lt;=100000,'中古車掲載'!AL841=1,'中古車掲載'!Z841="https://www.one2car.com/en/cars-for-sale/toyota/corolla-cross/year-2023"),'中古車掲載'!U841,"")</x:f>
      </x:c>
      <x:c r="BG840" s="3" t="str">
        <x:f>IF(AND('中古車掲載'!C841="One2car",'中古車掲載'!F841="Corolla Cross",'中古車掲載'!L841="HEV GR SPORT",'中古車掲載'!J841=2023,ISNUMBER('中古車掲載'!N841),'中古車掲載'!N841&gt;=20000,'中古車掲載'!O841&lt;=100000,'中古車掲載'!AL841=1,'中古車掲載'!Z841="https://www.one2car.com/en/cars-for-sale/toyota/corolla-cross/year-2023"),'中古車掲載'!U841,"")</x:f>
      </x:c>
      <x:c r="BH840" s="3" t="str">
        <x:f>IF(AND('中古車掲載'!C841="One2car",'中古車掲載'!F841="DOLPHIN",'中古車掲載'!L841="STANDARD RANGE",'中古車掲載'!J841=2023,ISNUMBER('中古車掲載'!N841),'中古車掲載'!N841&gt;=20000,'中古車掲載'!O841&lt;=100000,'中古車掲載'!AL841=1),'中古車掲載'!U841,"")</x:f>
      </x:c>
      <x:c r="BI840" s="3" t="str">
        <x:v>Taladrod|Hilux Revo|ICE|Unknown</x:v>
      </x:c>
      <x:c r="BJ840" s="3" t="n">
        <x:v>841</x:v>
      </x:c>
      <x:c r="BK840" s="3" t="n">
        <x:f>'中古車掲載'!AM841</x:f>
        <x:v>495000</x:v>
      </x:c>
      <x:c r="BL840" s="3" t="str">
        <x:f>IF(ISNUMBER('中古車掲載'!AN841),'中古車掲載'!AN841,"")</x:f>
      </x:c>
      <x:c r="BM840" s="3"/>
      <x:c r="BN840" s="3"/>
      <x:c r="BO840" s="3"/>
      <x:c r="BP840" s="3"/>
      <x:c r="BQ840" s="3"/>
      <x:c r="BR840" s="3"/>
    </x:row>
    <x:row r="841" ht="22" customHeight="1">
      <x:c r="A841" s="3"/>
      <x:c r="B841" s="3"/>
      <x:c r="C841" s="3"/>
      <x:c r="D841" s="3"/>
      <x:c r="E841" s="3"/>
      <x:c r="F841" s="3"/>
      <x:c r="G841" s="3"/>
      <x:c r="H841" s="3"/>
      <x:c r="I841" s="3"/>
      <x:c r="J841" s="3"/>
      <x:c r="K841" s="3"/>
      <x:c r="L841" s="3"/>
      <x:c r="M841" s="3"/>
      <x:c r="N841" s="3"/>
      <x:c r="O841" s="3"/>
      <x:c r="P841" s="3"/>
      <x:c r="Q841" s="3"/>
      <x:c r="R841" s="3"/>
      <x:c r="S841" s="3"/>
      <x:c r="T841" s="3"/>
      <x:c r="U841" s="3"/>
      <x:c r="V841" s="3"/>
      <x:c r="W841" s="3"/>
      <x:c r="X841" s="3"/>
      <x:c r="Y841" s="3"/>
      <x:c r="Z841" s="3"/>
      <x:c r="AA841" s="3"/>
      <x:c r="AB841" s="3"/>
      <x:c r="AC841" s="3"/>
      <x:c r="AD841" s="3"/>
      <x:c r="AE841" s="3"/>
      <x:c r="AF841" s="3"/>
      <x:c r="AG841" s="3"/>
      <x:c r="AH841" s="3"/>
      <x:c r="AI841" s="3"/>
      <x:c r="AJ841" s="3"/>
      <x:c r="AK841" s="3"/>
      <x:c r="AL841" s="3"/>
      <x:c r="AM841" s="3"/>
      <x:c r="AN841" s="3"/>
      <x:c r="AO841" s="3"/>
      <x:c r="AP841" s="3"/>
      <x:c r="AQ841" s="3"/>
      <x:c r="AR841" s="3"/>
      <x:c r="AS841" s="3"/>
      <x:c r="AT841" s="3"/>
      <x:c r="AU841" s="3"/>
      <x:c r="AV841" s="3"/>
      <x:c r="AW841" s="3"/>
      <x:c r="AX841" s="3"/>
      <x:c r="AY841" s="3"/>
      <x:c r="AZ841" s="3" t="str">
        <x:f>IF(AND('中古車掲載'!C842="One2car",'中古車掲載'!F842="ATTO 3",'中古車掲載'!L842="EXTENDED RANGE",'中古車掲載'!J842=2023,ISNUMBER('中古車掲載'!N842),'中古車掲載'!N842&gt;=20000,'中古車掲載'!O842&lt;=100000,'中古車掲載'!AL842=1),'中古車掲載'!U842,"")</x:f>
      </x:c>
      <x:c r="BA841" s="3" t="str">
        <x:f>IF(AND('中古車掲載'!C842="One2car",'中古車掲載'!F842="Corolla Cross",'中古車掲載'!L842="HEV PREMIUM SAFETY",'中古車掲載'!J842=2023,ISNUMBER('中古車掲載'!N842),'中古車掲載'!N842&gt;=20000,'中古車掲載'!O842&lt;=100000,'中古車掲載'!AL842=1,'中古車掲載'!Z842="https://www.one2car.com/en/cars-for-sale/toyota/corolla-cross/year-2023"),'中古車掲載'!U842,"")</x:f>
      </x:c>
      <x:c r="BB841" s="3" t="str">
        <x:f>IF(AND('中古車掲載'!C842="One2car",'中古車掲載'!F842="ATTO 3",'中古車掲載'!L842="EXTENDED RANGE",'中古車掲載'!J842=2023,ISNUMBER('中古車掲載'!N842),'中古車掲載'!N842&gt;=50000,'中古車掲載'!O842&lt;=100000,'中古車掲載'!AL842=1),'中古車掲載'!U842,"")</x:f>
      </x:c>
      <x:c r="BC841" s="3" t="str">
        <x:f>IF(AND('中古車掲載'!C842="One2car",'中古車掲載'!F842="Corolla Cross",'中古車掲載'!L842="HEV PREMIUM SAFETY",'中古車掲載'!J842=2023,ISNUMBER('中古車掲載'!N842),'中古車掲載'!N842&gt;=50000,'中古車掲載'!O842&lt;=100000,'中古車掲載'!AL842=1,'中古車掲載'!Z842="https://www.one2car.com/en/cars-for-sale/toyota/corolla-cross/year-2023"),'中古車掲載'!U842,"")</x:f>
      </x:c>
      <x:c r="BD841" s="3" t="str">
        <x:f>IF(AND('中古車掲載'!C842="One2car",'中古車掲載'!F842="ATTO 3",'中古車掲載'!L842="EXTENDED RANGE",'中古車掲載'!J842=2023,ISNUMBER('中古車掲載'!N842),'中古車掲載'!N842&gt;=20000,'中古車掲載'!O842&lt;=50000,'中古車掲載'!AL842=1),'中古車掲載'!U842,"")</x:f>
      </x:c>
      <x:c r="BE841" s="3" t="str">
        <x:f>IF(AND('中古車掲載'!C842="One2car",'中古車掲載'!F842="Corolla Cross",'中古車掲載'!L842="HEV PREMIUM SAFETY",'中古車掲載'!J842=2023,ISNUMBER('中古車掲載'!N842),'中古車掲載'!N842&gt;=20000,'中古車掲載'!O842&lt;=50000,'中古車掲載'!AL842=1,'中古車掲載'!Z842="https://www.one2car.com/en/cars-for-sale/toyota/corolla-cross/year-2023"),'中古車掲載'!U842,"")</x:f>
      </x:c>
      <x:c r="BF841" s="3" t="str">
        <x:f>IF(AND('中古車掲載'!C842="One2car",'中古車掲載'!F842="Corolla Cross",'中古車掲載'!L842="HEV PREMIUM",'中古車掲載'!J842=2023,ISNUMBER('中古車掲載'!N842),'中古車掲載'!N842&gt;=20000,'中古車掲載'!O842&lt;=100000,'中古車掲載'!AL842=1,'中古車掲載'!Z842="https://www.one2car.com/en/cars-for-sale/toyota/corolla-cross/year-2023"),'中古車掲載'!U842,"")</x:f>
      </x:c>
      <x:c r="BG841" s="3" t="str">
        <x:f>IF(AND('中古車掲載'!C842="One2car",'中古車掲載'!F842="Corolla Cross",'中古車掲載'!L842="HEV GR SPORT",'中古車掲載'!J842=2023,ISNUMBER('中古車掲載'!N842),'中古車掲載'!N842&gt;=20000,'中古車掲載'!O842&lt;=100000,'中古車掲載'!AL842=1,'中古車掲載'!Z842="https://www.one2car.com/en/cars-for-sale/toyota/corolla-cross/year-2023"),'中古車掲載'!U842,"")</x:f>
      </x:c>
      <x:c r="BH841" s="3" t="str">
        <x:f>IF(AND('中古車掲載'!C842="One2car",'中古車掲載'!F842="DOLPHIN",'中古車掲載'!L842="STANDARD RANGE",'中古車掲載'!J842=2023,ISNUMBER('中古車掲載'!N842),'中古車掲載'!N842&gt;=20000,'中古車掲載'!O842&lt;=100000,'中古車掲載'!AL842=1),'中古車掲載'!U842,"")</x:f>
      </x:c>
      <x:c r="BI841" s="3" t="str">
        <x:v>Taladrod|Hilux Revo|ICE|Unknown</x:v>
      </x:c>
      <x:c r="BJ841" s="3" t="n">
        <x:v>842</x:v>
      </x:c>
      <x:c r="BK841" s="3" t="n">
        <x:f>'中古車掲載'!AM842</x:f>
        <x:v>568000</x:v>
      </x:c>
      <x:c r="BL841" s="3" t="str">
        <x:f>IF(ISNUMBER('中古車掲載'!AN842),'中古車掲載'!AN842,"")</x:f>
      </x:c>
      <x:c r="BM841" s="3"/>
      <x:c r="BN841" s="3"/>
      <x:c r="BO841" s="3"/>
      <x:c r="BP841" s="3"/>
      <x:c r="BQ841" s="3"/>
      <x:c r="BR841" s="3"/>
    </x:row>
    <x:row r="842" ht="22" customHeight="1">
      <x:c r="A842" s="3"/>
      <x:c r="B842" s="3"/>
      <x:c r="C842" s="3"/>
      <x:c r="D842" s="3"/>
      <x:c r="E842" s="3"/>
      <x:c r="F842" s="3"/>
      <x:c r="G842" s="3"/>
      <x:c r="H842" s="3"/>
      <x:c r="I842" s="3"/>
      <x:c r="J842" s="3"/>
      <x:c r="K842" s="3"/>
      <x:c r="L842" s="3"/>
      <x:c r="M842" s="3"/>
      <x:c r="N842" s="3"/>
      <x:c r="O842" s="3"/>
      <x:c r="P842" s="3"/>
      <x:c r="Q842" s="3"/>
      <x:c r="R842" s="3"/>
      <x:c r="S842" s="3"/>
      <x:c r="T842" s="3"/>
      <x:c r="U842" s="3"/>
      <x:c r="V842" s="3"/>
      <x:c r="W842" s="3"/>
      <x:c r="X842" s="3"/>
      <x:c r="Y842" s="3"/>
      <x:c r="Z842" s="3"/>
      <x:c r="AA842" s="3"/>
      <x:c r="AB842" s="3"/>
      <x:c r="AC842" s="3"/>
      <x:c r="AD842" s="3"/>
      <x:c r="AE842" s="3"/>
      <x:c r="AF842" s="3"/>
      <x:c r="AG842" s="3"/>
      <x:c r="AH842" s="3"/>
      <x:c r="AI842" s="3"/>
      <x:c r="AJ842" s="3"/>
      <x:c r="AK842" s="3"/>
      <x:c r="AL842" s="3"/>
      <x:c r="AM842" s="3"/>
      <x:c r="AN842" s="3"/>
      <x:c r="AO842" s="3"/>
      <x:c r="AP842" s="3"/>
      <x:c r="AQ842" s="3"/>
      <x:c r="AR842" s="3"/>
      <x:c r="AS842" s="3"/>
      <x:c r="AT842" s="3"/>
      <x:c r="AU842" s="3"/>
      <x:c r="AV842" s="3"/>
      <x:c r="AW842" s="3"/>
      <x:c r="AX842" s="3"/>
      <x:c r="AY842" s="3"/>
      <x:c r="AZ842" s="3" t="str">
        <x:f>IF(AND('中古車掲載'!C843="One2car",'中古車掲載'!F843="ATTO 3",'中古車掲載'!L843="EXTENDED RANGE",'中古車掲載'!J843=2023,ISNUMBER('中古車掲載'!N843),'中古車掲載'!N843&gt;=20000,'中古車掲載'!O843&lt;=100000,'中古車掲載'!AL843=1),'中古車掲載'!U843,"")</x:f>
      </x:c>
      <x:c r="BA842" s="3" t="str">
        <x:f>IF(AND('中古車掲載'!C843="One2car",'中古車掲載'!F843="Corolla Cross",'中古車掲載'!L843="HEV PREMIUM SAFETY",'中古車掲載'!J843=2023,ISNUMBER('中古車掲載'!N843),'中古車掲載'!N843&gt;=20000,'中古車掲載'!O843&lt;=100000,'中古車掲載'!AL843=1,'中古車掲載'!Z843="https://www.one2car.com/en/cars-for-sale/toyota/corolla-cross/year-2023"),'中古車掲載'!U843,"")</x:f>
      </x:c>
      <x:c r="BB842" s="3" t="str">
        <x:f>IF(AND('中古車掲載'!C843="One2car",'中古車掲載'!F843="ATTO 3",'中古車掲載'!L843="EXTENDED RANGE",'中古車掲載'!J843=2023,ISNUMBER('中古車掲載'!N843),'中古車掲載'!N843&gt;=50000,'中古車掲載'!O843&lt;=100000,'中古車掲載'!AL843=1),'中古車掲載'!U843,"")</x:f>
      </x:c>
      <x:c r="BC842" s="3" t="str">
        <x:f>IF(AND('中古車掲載'!C843="One2car",'中古車掲載'!F843="Corolla Cross",'中古車掲載'!L843="HEV PREMIUM SAFETY",'中古車掲載'!J843=2023,ISNUMBER('中古車掲載'!N843),'中古車掲載'!N843&gt;=50000,'中古車掲載'!O843&lt;=100000,'中古車掲載'!AL843=1,'中古車掲載'!Z843="https://www.one2car.com/en/cars-for-sale/toyota/corolla-cross/year-2023"),'中古車掲載'!U843,"")</x:f>
      </x:c>
      <x:c r="BD842" s="3" t="str">
        <x:f>IF(AND('中古車掲載'!C843="One2car",'中古車掲載'!F843="ATTO 3",'中古車掲載'!L843="EXTENDED RANGE",'中古車掲載'!J843=2023,ISNUMBER('中古車掲載'!N843),'中古車掲載'!N843&gt;=20000,'中古車掲載'!O843&lt;=50000,'中古車掲載'!AL843=1),'中古車掲載'!U843,"")</x:f>
      </x:c>
      <x:c r="BE842" s="3" t="str">
        <x:f>IF(AND('中古車掲載'!C843="One2car",'中古車掲載'!F843="Corolla Cross",'中古車掲載'!L843="HEV PREMIUM SAFETY",'中古車掲載'!J843=2023,ISNUMBER('中古車掲載'!N843),'中古車掲載'!N843&gt;=20000,'中古車掲載'!O843&lt;=50000,'中古車掲載'!AL843=1,'中古車掲載'!Z843="https://www.one2car.com/en/cars-for-sale/toyota/corolla-cross/year-2023"),'中古車掲載'!U843,"")</x:f>
      </x:c>
      <x:c r="BF842" s="3" t="str">
        <x:f>IF(AND('中古車掲載'!C843="One2car",'中古車掲載'!F843="Corolla Cross",'中古車掲載'!L843="HEV PREMIUM",'中古車掲載'!J843=2023,ISNUMBER('中古車掲載'!N843),'中古車掲載'!N843&gt;=20000,'中古車掲載'!O843&lt;=100000,'中古車掲載'!AL843=1,'中古車掲載'!Z843="https://www.one2car.com/en/cars-for-sale/toyota/corolla-cross/year-2023"),'中古車掲載'!U843,"")</x:f>
      </x:c>
      <x:c r="BG842" s="3" t="str">
        <x:f>IF(AND('中古車掲載'!C843="One2car",'中古車掲載'!F843="Corolla Cross",'中古車掲載'!L843="HEV GR SPORT",'中古車掲載'!J843=2023,ISNUMBER('中古車掲載'!N843),'中古車掲載'!N843&gt;=20000,'中古車掲載'!O843&lt;=100000,'中古車掲載'!AL843=1,'中古車掲載'!Z843="https://www.one2car.com/en/cars-for-sale/toyota/corolla-cross/year-2023"),'中古車掲載'!U843,"")</x:f>
      </x:c>
      <x:c r="BH842" s="3" t="str">
        <x:f>IF(AND('中古車掲載'!C843="One2car",'中古車掲載'!F843="DOLPHIN",'中古車掲載'!L843="STANDARD RANGE",'中古車掲載'!J843=2023,ISNUMBER('中古車掲載'!N843),'中古車掲載'!N843&gt;=20000,'中古車掲載'!O843&lt;=100000,'中古車掲載'!AL843=1),'中古車掲載'!U843,"")</x:f>
      </x:c>
      <x:c r="BI842" s="3" t="str">
        <x:v>Taladrod|Hilux Revo|ICE|Unknown</x:v>
      </x:c>
      <x:c r="BJ842" s="3" t="n">
        <x:v>843</x:v>
      </x:c>
      <x:c r="BK842" s="3" t="n">
        <x:f>'中古車掲載'!AM843</x:f>
        <x:v>465000</x:v>
      </x:c>
      <x:c r="BL842" s="3" t="str">
        <x:f>IF(ISNUMBER('中古車掲載'!AN843),'中古車掲載'!AN843,"")</x:f>
      </x:c>
      <x:c r="BM842" s="3"/>
      <x:c r="BN842" s="3"/>
      <x:c r="BO842" s="3"/>
      <x:c r="BP842" s="3"/>
      <x:c r="BQ842" s="3"/>
      <x:c r="BR842" s="3"/>
    </x:row>
    <x:row r="843" ht="22" customHeight="1">
      <x:c r="A843" s="3"/>
      <x:c r="B843" s="3"/>
      <x:c r="C843" s="3"/>
      <x:c r="D843" s="3"/>
      <x:c r="E843" s="3"/>
      <x:c r="F843" s="3"/>
      <x:c r="G843" s="3"/>
      <x:c r="H843" s="3"/>
      <x:c r="I843" s="3"/>
      <x:c r="J843" s="3"/>
      <x:c r="K843" s="3"/>
      <x:c r="L843" s="3"/>
      <x:c r="M843" s="3"/>
      <x:c r="N843" s="3"/>
      <x:c r="O843" s="3"/>
      <x:c r="P843" s="3"/>
      <x:c r="Q843" s="3"/>
      <x:c r="R843" s="3"/>
      <x:c r="S843" s="3"/>
      <x:c r="T843" s="3"/>
      <x:c r="U843" s="3"/>
      <x:c r="V843" s="3"/>
      <x:c r="W843" s="3"/>
      <x:c r="X843" s="3"/>
      <x:c r="Y843" s="3"/>
      <x:c r="Z843" s="3"/>
      <x:c r="AA843" s="3"/>
      <x:c r="AB843" s="3"/>
      <x:c r="AC843" s="3"/>
      <x:c r="AD843" s="3"/>
      <x:c r="AE843" s="3"/>
      <x:c r="AF843" s="3"/>
      <x:c r="AG843" s="3"/>
      <x:c r="AH843" s="3"/>
      <x:c r="AI843" s="3"/>
      <x:c r="AJ843" s="3"/>
      <x:c r="AK843" s="3"/>
      <x:c r="AL843" s="3"/>
      <x:c r="AM843" s="3"/>
      <x:c r="AN843" s="3"/>
      <x:c r="AO843" s="3"/>
      <x:c r="AP843" s="3"/>
      <x:c r="AQ843" s="3"/>
      <x:c r="AR843" s="3"/>
      <x:c r="AS843" s="3"/>
      <x:c r="AT843" s="3"/>
      <x:c r="AU843" s="3"/>
      <x:c r="AV843" s="3"/>
      <x:c r="AW843" s="3"/>
      <x:c r="AX843" s="3"/>
      <x:c r="AY843" s="3"/>
      <x:c r="AZ843" s="3" t="str">
        <x:f>IF(AND('中古車掲載'!C844="One2car",'中古車掲載'!F844="ATTO 3",'中古車掲載'!L844="EXTENDED RANGE",'中古車掲載'!J844=2023,ISNUMBER('中古車掲載'!N844),'中古車掲載'!N844&gt;=20000,'中古車掲載'!O844&lt;=100000,'中古車掲載'!AL844=1),'中古車掲載'!U844,"")</x:f>
      </x:c>
      <x:c r="BA843" s="3" t="str">
        <x:f>IF(AND('中古車掲載'!C844="One2car",'中古車掲載'!F844="Corolla Cross",'中古車掲載'!L844="HEV PREMIUM SAFETY",'中古車掲載'!J844=2023,ISNUMBER('中古車掲載'!N844),'中古車掲載'!N844&gt;=20000,'中古車掲載'!O844&lt;=100000,'中古車掲載'!AL844=1,'中古車掲載'!Z844="https://www.one2car.com/en/cars-for-sale/toyota/corolla-cross/year-2023"),'中古車掲載'!U844,"")</x:f>
      </x:c>
      <x:c r="BB843" s="3" t="str">
        <x:f>IF(AND('中古車掲載'!C844="One2car",'中古車掲載'!F844="ATTO 3",'中古車掲載'!L844="EXTENDED RANGE",'中古車掲載'!J844=2023,ISNUMBER('中古車掲載'!N844),'中古車掲載'!N844&gt;=50000,'中古車掲載'!O844&lt;=100000,'中古車掲載'!AL844=1),'中古車掲載'!U844,"")</x:f>
      </x:c>
      <x:c r="BC843" s="3" t="str">
        <x:f>IF(AND('中古車掲載'!C844="One2car",'中古車掲載'!F844="Corolla Cross",'中古車掲載'!L844="HEV PREMIUM SAFETY",'中古車掲載'!J844=2023,ISNUMBER('中古車掲載'!N844),'中古車掲載'!N844&gt;=50000,'中古車掲載'!O844&lt;=100000,'中古車掲載'!AL844=1,'中古車掲載'!Z844="https://www.one2car.com/en/cars-for-sale/toyota/corolla-cross/year-2023"),'中古車掲載'!U844,"")</x:f>
      </x:c>
      <x:c r="BD843" s="3" t="str">
        <x:f>IF(AND('中古車掲載'!C844="One2car",'中古車掲載'!F844="ATTO 3",'中古車掲載'!L844="EXTENDED RANGE",'中古車掲載'!J844=2023,ISNUMBER('中古車掲載'!N844),'中古車掲載'!N844&gt;=20000,'中古車掲載'!O844&lt;=50000,'中古車掲載'!AL844=1),'中古車掲載'!U844,"")</x:f>
      </x:c>
      <x:c r="BE843" s="3" t="str">
        <x:f>IF(AND('中古車掲載'!C844="One2car",'中古車掲載'!F844="Corolla Cross",'中古車掲載'!L844="HEV PREMIUM SAFETY",'中古車掲載'!J844=2023,ISNUMBER('中古車掲載'!N844),'中古車掲載'!N844&gt;=20000,'中古車掲載'!O844&lt;=50000,'中古車掲載'!AL844=1,'中古車掲載'!Z844="https://www.one2car.com/en/cars-for-sale/toyota/corolla-cross/year-2023"),'中古車掲載'!U844,"")</x:f>
      </x:c>
      <x:c r="BF843" s="3" t="str">
        <x:f>IF(AND('中古車掲載'!C844="One2car",'中古車掲載'!F844="Corolla Cross",'中古車掲載'!L844="HEV PREMIUM",'中古車掲載'!J844=2023,ISNUMBER('中古車掲載'!N844),'中古車掲載'!N844&gt;=20000,'中古車掲載'!O844&lt;=100000,'中古車掲載'!AL844=1,'中古車掲載'!Z844="https://www.one2car.com/en/cars-for-sale/toyota/corolla-cross/year-2023"),'中古車掲載'!U844,"")</x:f>
      </x:c>
      <x:c r="BG843" s="3" t="str">
        <x:f>IF(AND('中古車掲載'!C844="One2car",'中古車掲載'!F844="Corolla Cross",'中古車掲載'!L844="HEV GR SPORT",'中古車掲載'!J844=2023,ISNUMBER('中古車掲載'!N844),'中古車掲載'!N844&gt;=20000,'中古車掲載'!O844&lt;=100000,'中古車掲載'!AL844=1,'中古車掲載'!Z844="https://www.one2car.com/en/cars-for-sale/toyota/corolla-cross/year-2023"),'中古車掲載'!U844,"")</x:f>
      </x:c>
      <x:c r="BH843" s="3" t="str">
        <x:f>IF(AND('中古車掲載'!C844="One2car",'中古車掲載'!F844="DOLPHIN",'中古車掲載'!L844="STANDARD RANGE",'中古車掲載'!J844=2023,ISNUMBER('中古車掲載'!N844),'中古車掲載'!N844&gt;=20000,'中古車掲載'!O844&lt;=100000,'中古車掲載'!AL844=1),'中古車掲載'!U844,"")</x:f>
      </x:c>
      <x:c r="BI843" s="3" t="str">
        <x:v>Taladrod|Hilux Revo|ICE|Unknown</x:v>
      </x:c>
      <x:c r="BJ843" s="3" t="n">
        <x:v>844</x:v>
      </x:c>
      <x:c r="BK843" s="3" t="n">
        <x:f>'中古車掲載'!AM844</x:f>
        <x:v>379000</x:v>
      </x:c>
      <x:c r="BL843" s="3" t="str">
        <x:f>IF(ISNUMBER('中古車掲載'!AN844),'中古車掲載'!AN844,"")</x:f>
      </x:c>
      <x:c r="BM843" s="3"/>
      <x:c r="BN843" s="3"/>
      <x:c r="BO843" s="3"/>
      <x:c r="BP843" s="3"/>
      <x:c r="BQ843" s="3"/>
      <x:c r="BR843" s="3"/>
    </x:row>
    <x:row r="844" ht="22" customHeight="1">
      <x:c r="A844" s="3"/>
      <x:c r="B844" s="3"/>
      <x:c r="C844" s="3"/>
      <x:c r="D844" s="3"/>
      <x:c r="E844" s="3"/>
      <x:c r="F844" s="3"/>
      <x:c r="G844" s="3"/>
      <x:c r="H844" s="3"/>
      <x:c r="I844" s="3"/>
      <x:c r="J844" s="3"/>
      <x:c r="K844" s="3"/>
      <x:c r="L844" s="3"/>
      <x:c r="M844" s="3"/>
      <x:c r="N844" s="3"/>
      <x:c r="O844" s="3"/>
      <x:c r="P844" s="3"/>
      <x:c r="Q844" s="3"/>
      <x:c r="R844" s="3"/>
      <x:c r="S844" s="3"/>
      <x:c r="T844" s="3"/>
      <x:c r="U844" s="3"/>
      <x:c r="V844" s="3"/>
      <x:c r="W844" s="3"/>
      <x:c r="X844" s="3"/>
      <x:c r="Y844" s="3"/>
      <x:c r="Z844" s="3"/>
      <x:c r="AA844" s="3"/>
      <x:c r="AB844" s="3"/>
      <x:c r="AC844" s="3"/>
      <x:c r="AD844" s="3"/>
      <x:c r="AE844" s="3"/>
      <x:c r="AF844" s="3"/>
      <x:c r="AG844" s="3"/>
      <x:c r="AH844" s="3"/>
      <x:c r="AI844" s="3"/>
      <x:c r="AJ844" s="3"/>
      <x:c r="AK844" s="3"/>
      <x:c r="AL844" s="3"/>
      <x:c r="AM844" s="3"/>
      <x:c r="AN844" s="3"/>
      <x:c r="AO844" s="3"/>
      <x:c r="AP844" s="3"/>
      <x:c r="AQ844" s="3"/>
      <x:c r="AR844" s="3"/>
      <x:c r="AS844" s="3"/>
      <x:c r="AT844" s="3"/>
      <x:c r="AU844" s="3"/>
      <x:c r="AV844" s="3"/>
      <x:c r="AW844" s="3"/>
      <x:c r="AX844" s="3"/>
      <x:c r="AY844" s="3"/>
      <x:c r="AZ844" s="3" t="str">
        <x:f>IF(AND('中古車掲載'!C845="One2car",'中古車掲載'!F845="ATTO 3",'中古車掲載'!L845="EXTENDED RANGE",'中古車掲載'!J845=2023,ISNUMBER('中古車掲載'!N845),'中古車掲載'!N845&gt;=20000,'中古車掲載'!O845&lt;=100000,'中古車掲載'!AL845=1),'中古車掲載'!U845,"")</x:f>
      </x:c>
      <x:c r="BA844" s="3" t="str">
        <x:f>IF(AND('中古車掲載'!C845="One2car",'中古車掲載'!F845="Corolla Cross",'中古車掲載'!L845="HEV PREMIUM SAFETY",'中古車掲載'!J845=2023,ISNUMBER('中古車掲載'!N845),'中古車掲載'!N845&gt;=20000,'中古車掲載'!O845&lt;=100000,'中古車掲載'!AL845=1,'中古車掲載'!Z845="https://www.one2car.com/en/cars-for-sale/toyota/corolla-cross/year-2023"),'中古車掲載'!U845,"")</x:f>
      </x:c>
      <x:c r="BB844" s="3" t="str">
        <x:f>IF(AND('中古車掲載'!C845="One2car",'中古車掲載'!F845="ATTO 3",'中古車掲載'!L845="EXTENDED RANGE",'中古車掲載'!J845=2023,ISNUMBER('中古車掲載'!N845),'中古車掲載'!N845&gt;=50000,'中古車掲載'!O845&lt;=100000,'中古車掲載'!AL845=1),'中古車掲載'!U845,"")</x:f>
      </x:c>
      <x:c r="BC844" s="3" t="str">
        <x:f>IF(AND('中古車掲載'!C845="One2car",'中古車掲載'!F845="Corolla Cross",'中古車掲載'!L845="HEV PREMIUM SAFETY",'中古車掲載'!J845=2023,ISNUMBER('中古車掲載'!N845),'中古車掲載'!N845&gt;=50000,'中古車掲載'!O845&lt;=100000,'中古車掲載'!AL845=1,'中古車掲載'!Z845="https://www.one2car.com/en/cars-for-sale/toyota/corolla-cross/year-2023"),'中古車掲載'!U845,"")</x:f>
      </x:c>
      <x:c r="BD844" s="3" t="str">
        <x:f>IF(AND('中古車掲載'!C845="One2car",'中古車掲載'!F845="ATTO 3",'中古車掲載'!L845="EXTENDED RANGE",'中古車掲載'!J845=2023,ISNUMBER('中古車掲載'!N845),'中古車掲載'!N845&gt;=20000,'中古車掲載'!O845&lt;=50000,'中古車掲載'!AL845=1),'中古車掲載'!U845,"")</x:f>
      </x:c>
      <x:c r="BE844" s="3" t="str">
        <x:f>IF(AND('中古車掲載'!C845="One2car",'中古車掲載'!F845="Corolla Cross",'中古車掲載'!L845="HEV PREMIUM SAFETY",'中古車掲載'!J845=2023,ISNUMBER('中古車掲載'!N845),'中古車掲載'!N845&gt;=20000,'中古車掲載'!O845&lt;=50000,'中古車掲載'!AL845=1,'中古車掲載'!Z845="https://www.one2car.com/en/cars-for-sale/toyota/corolla-cross/year-2023"),'中古車掲載'!U845,"")</x:f>
      </x:c>
      <x:c r="BF844" s="3" t="str">
        <x:f>IF(AND('中古車掲載'!C845="One2car",'中古車掲載'!F845="Corolla Cross",'中古車掲載'!L845="HEV PREMIUM",'中古車掲載'!J845=2023,ISNUMBER('中古車掲載'!N845),'中古車掲載'!N845&gt;=20000,'中古車掲載'!O845&lt;=100000,'中古車掲載'!AL845=1,'中古車掲載'!Z845="https://www.one2car.com/en/cars-for-sale/toyota/corolla-cross/year-2023"),'中古車掲載'!U845,"")</x:f>
      </x:c>
      <x:c r="BG844" s="3" t="str">
        <x:f>IF(AND('中古車掲載'!C845="One2car",'中古車掲載'!F845="Corolla Cross",'中古車掲載'!L845="HEV GR SPORT",'中古車掲載'!J845=2023,ISNUMBER('中古車掲載'!N845),'中古車掲載'!N845&gt;=20000,'中古車掲載'!O845&lt;=100000,'中古車掲載'!AL845=1,'中古車掲載'!Z845="https://www.one2car.com/en/cars-for-sale/toyota/corolla-cross/year-2023"),'中古車掲載'!U845,"")</x:f>
      </x:c>
      <x:c r="BH844" s="3" t="str">
        <x:f>IF(AND('中古車掲載'!C845="One2car",'中古車掲載'!F845="DOLPHIN",'中古車掲載'!L845="STANDARD RANGE",'中古車掲載'!J845=2023,ISNUMBER('中古車掲載'!N845),'中古車掲載'!N845&gt;=20000,'中古車掲載'!O845&lt;=100000,'中古車掲載'!AL845=1),'中古車掲載'!U845,"")</x:f>
      </x:c>
      <x:c r="BI844" s="3" t="str">
        <x:v>Taladrod|Hilux Revo|ICE|Unknown</x:v>
      </x:c>
      <x:c r="BJ844" s="3" t="n">
        <x:v>845</x:v>
      </x:c>
      <x:c r="BK844" s="3" t="n">
        <x:f>'中古車掲載'!AM845</x:f>
        <x:v>398000</x:v>
      </x:c>
      <x:c r="BL844" s="3" t="str">
        <x:f>IF(ISNUMBER('中古車掲載'!AN845),'中古車掲載'!AN845,"")</x:f>
      </x:c>
      <x:c r="BM844" s="3"/>
      <x:c r="BN844" s="3"/>
      <x:c r="BO844" s="3"/>
      <x:c r="BP844" s="3"/>
      <x:c r="BQ844" s="3"/>
      <x:c r="BR844" s="3"/>
    </x:row>
    <x:row r="845" ht="22" customHeight="1">
      <x:c r="A845" s="3"/>
      <x:c r="B845" s="3"/>
      <x:c r="C845" s="3"/>
      <x:c r="D845" s="3"/>
      <x:c r="E845" s="3"/>
      <x:c r="F845" s="3"/>
      <x:c r="G845" s="3"/>
      <x:c r="H845" s="3"/>
      <x:c r="I845" s="3"/>
      <x:c r="J845" s="3"/>
      <x:c r="K845" s="3"/>
      <x:c r="L845" s="3"/>
      <x:c r="M845" s="3"/>
      <x:c r="N845" s="3"/>
      <x:c r="O845" s="3"/>
      <x:c r="P845" s="3"/>
      <x:c r="Q845" s="3"/>
      <x:c r="R845" s="3"/>
      <x:c r="S845" s="3"/>
      <x:c r="T845" s="3"/>
      <x:c r="U845" s="3"/>
      <x:c r="V845" s="3"/>
      <x:c r="W845" s="3"/>
      <x:c r="X845" s="3"/>
      <x:c r="Y845" s="3"/>
      <x:c r="Z845" s="3"/>
      <x:c r="AA845" s="3"/>
      <x:c r="AB845" s="3"/>
      <x:c r="AC845" s="3"/>
      <x:c r="AD845" s="3"/>
      <x:c r="AE845" s="3"/>
      <x:c r="AF845" s="3"/>
      <x:c r="AG845" s="3"/>
      <x:c r="AH845" s="3"/>
      <x:c r="AI845" s="3"/>
      <x:c r="AJ845" s="3"/>
      <x:c r="AK845" s="3"/>
      <x:c r="AL845" s="3"/>
      <x:c r="AM845" s="3"/>
      <x:c r="AN845" s="3"/>
      <x:c r="AO845" s="3"/>
      <x:c r="AP845" s="3"/>
      <x:c r="AQ845" s="3"/>
      <x:c r="AR845" s="3"/>
      <x:c r="AS845" s="3"/>
      <x:c r="AT845" s="3"/>
      <x:c r="AU845" s="3"/>
      <x:c r="AV845" s="3"/>
      <x:c r="AW845" s="3"/>
      <x:c r="AX845" s="3"/>
      <x:c r="AY845" s="3"/>
      <x:c r="AZ845" s="3" t="str">
        <x:f>IF(AND('中古車掲載'!C846="One2car",'中古車掲載'!F846="ATTO 3",'中古車掲載'!L846="EXTENDED RANGE",'中古車掲載'!J846=2023,ISNUMBER('中古車掲載'!N846),'中古車掲載'!N846&gt;=20000,'中古車掲載'!O846&lt;=100000,'中古車掲載'!AL846=1),'中古車掲載'!U846,"")</x:f>
      </x:c>
      <x:c r="BA845" s="3" t="str">
        <x:f>IF(AND('中古車掲載'!C846="One2car",'中古車掲載'!F846="Corolla Cross",'中古車掲載'!L846="HEV PREMIUM SAFETY",'中古車掲載'!J846=2023,ISNUMBER('中古車掲載'!N846),'中古車掲載'!N846&gt;=20000,'中古車掲載'!O846&lt;=100000,'中古車掲載'!AL846=1,'中古車掲載'!Z846="https://www.one2car.com/en/cars-for-sale/toyota/corolla-cross/year-2023"),'中古車掲載'!U846,"")</x:f>
      </x:c>
      <x:c r="BB845" s="3" t="str">
        <x:f>IF(AND('中古車掲載'!C846="One2car",'中古車掲載'!F846="ATTO 3",'中古車掲載'!L846="EXTENDED RANGE",'中古車掲載'!J846=2023,ISNUMBER('中古車掲載'!N846),'中古車掲載'!N846&gt;=50000,'中古車掲載'!O846&lt;=100000,'中古車掲載'!AL846=1),'中古車掲載'!U846,"")</x:f>
      </x:c>
      <x:c r="BC845" s="3" t="str">
        <x:f>IF(AND('中古車掲載'!C846="One2car",'中古車掲載'!F846="Corolla Cross",'中古車掲載'!L846="HEV PREMIUM SAFETY",'中古車掲載'!J846=2023,ISNUMBER('中古車掲載'!N846),'中古車掲載'!N846&gt;=50000,'中古車掲載'!O846&lt;=100000,'中古車掲載'!AL846=1,'中古車掲載'!Z846="https://www.one2car.com/en/cars-for-sale/toyota/corolla-cross/year-2023"),'中古車掲載'!U846,"")</x:f>
      </x:c>
      <x:c r="BD845" s="3" t="str">
        <x:f>IF(AND('中古車掲載'!C846="One2car",'中古車掲載'!F846="ATTO 3",'中古車掲載'!L846="EXTENDED RANGE",'中古車掲載'!J846=2023,ISNUMBER('中古車掲載'!N846),'中古車掲載'!N846&gt;=20000,'中古車掲載'!O846&lt;=50000,'中古車掲載'!AL846=1),'中古車掲載'!U846,"")</x:f>
      </x:c>
      <x:c r="BE845" s="3" t="str">
        <x:f>IF(AND('中古車掲載'!C846="One2car",'中古車掲載'!F846="Corolla Cross",'中古車掲載'!L846="HEV PREMIUM SAFETY",'中古車掲載'!J846=2023,ISNUMBER('中古車掲載'!N846),'中古車掲載'!N846&gt;=20000,'中古車掲載'!O846&lt;=50000,'中古車掲載'!AL846=1,'中古車掲載'!Z846="https://www.one2car.com/en/cars-for-sale/toyota/corolla-cross/year-2023"),'中古車掲載'!U846,"")</x:f>
      </x:c>
      <x:c r="BF845" s="3" t="str">
        <x:f>IF(AND('中古車掲載'!C846="One2car",'中古車掲載'!F846="Corolla Cross",'中古車掲載'!L846="HEV PREMIUM",'中古車掲載'!J846=2023,ISNUMBER('中古車掲載'!N846),'中古車掲載'!N846&gt;=20000,'中古車掲載'!O846&lt;=100000,'中古車掲載'!AL846=1,'中古車掲載'!Z846="https://www.one2car.com/en/cars-for-sale/toyota/corolla-cross/year-2023"),'中古車掲載'!U846,"")</x:f>
      </x:c>
      <x:c r="BG845" s="3" t="str">
        <x:f>IF(AND('中古車掲載'!C846="One2car",'中古車掲載'!F846="Corolla Cross",'中古車掲載'!L846="HEV GR SPORT",'中古車掲載'!J846=2023,ISNUMBER('中古車掲載'!N846),'中古車掲載'!N846&gt;=20000,'中古車掲載'!O846&lt;=100000,'中古車掲載'!AL846=1,'中古車掲載'!Z846="https://www.one2car.com/en/cars-for-sale/toyota/corolla-cross/year-2023"),'中古車掲載'!U846,"")</x:f>
      </x:c>
      <x:c r="BH845" s="3" t="str">
        <x:f>IF(AND('中古車掲載'!C846="One2car",'中古車掲載'!F846="DOLPHIN",'中古車掲載'!L846="STANDARD RANGE",'中古車掲載'!J846=2023,ISNUMBER('中古車掲載'!N846),'中古車掲載'!N846&gt;=20000,'中古車掲載'!O846&lt;=100000,'中古車掲載'!AL846=1),'中古車掲載'!U846,"")</x:f>
      </x:c>
      <x:c r="BI845" s="3" t="str">
        <x:v>Taladrod|Hilux Revo|ICE|Unknown</x:v>
      </x:c>
      <x:c r="BJ845" s="3" t="n">
        <x:v>846</x:v>
      </x:c>
      <x:c r="BK845" s="3" t="n">
        <x:f>'中古車掲載'!AM846</x:f>
        <x:v>478000</x:v>
      </x:c>
      <x:c r="BL845" s="3" t="str">
        <x:f>IF(ISNUMBER('中古車掲載'!AN846),'中古車掲載'!AN846,"")</x:f>
      </x:c>
      <x:c r="BM845" s="3"/>
      <x:c r="BN845" s="3"/>
      <x:c r="BO845" s="3"/>
      <x:c r="BP845" s="3"/>
      <x:c r="BQ845" s="3"/>
      <x:c r="BR845" s="3"/>
    </x:row>
    <x:row r="846" ht="22" customHeight="1">
      <x:c r="A846" s="3"/>
      <x:c r="B846" s="3"/>
      <x:c r="C846" s="3"/>
      <x:c r="D846" s="3"/>
      <x:c r="E846" s="3"/>
      <x:c r="F846" s="3"/>
      <x:c r="G846" s="3"/>
      <x:c r="H846" s="3"/>
      <x:c r="I846" s="3"/>
      <x:c r="J846" s="3"/>
      <x:c r="K846" s="3"/>
      <x:c r="L846" s="3"/>
      <x:c r="M846" s="3"/>
      <x:c r="N846" s="3"/>
      <x:c r="O846" s="3"/>
      <x:c r="P846" s="3"/>
      <x:c r="Q846" s="3"/>
      <x:c r="R846" s="3"/>
      <x:c r="S846" s="3"/>
      <x:c r="T846" s="3"/>
      <x:c r="U846" s="3"/>
      <x:c r="V846" s="3"/>
      <x:c r="W846" s="3"/>
      <x:c r="X846" s="3"/>
      <x:c r="Y846" s="3"/>
      <x:c r="Z846" s="3"/>
      <x:c r="AA846" s="3"/>
      <x:c r="AB846" s="3"/>
      <x:c r="AC846" s="3"/>
      <x:c r="AD846" s="3"/>
      <x:c r="AE846" s="3"/>
      <x:c r="AF846" s="3"/>
      <x:c r="AG846" s="3"/>
      <x:c r="AH846" s="3"/>
      <x:c r="AI846" s="3"/>
      <x:c r="AJ846" s="3"/>
      <x:c r="AK846" s="3"/>
      <x:c r="AL846" s="3"/>
      <x:c r="AM846" s="3"/>
      <x:c r="AN846" s="3"/>
      <x:c r="AO846" s="3"/>
      <x:c r="AP846" s="3"/>
      <x:c r="AQ846" s="3"/>
      <x:c r="AR846" s="3"/>
      <x:c r="AS846" s="3"/>
      <x:c r="AT846" s="3"/>
      <x:c r="AU846" s="3"/>
      <x:c r="AV846" s="3"/>
      <x:c r="AW846" s="3"/>
      <x:c r="AX846" s="3"/>
      <x:c r="AY846" s="3"/>
      <x:c r="AZ846" s="3" t="str">
        <x:f>IF(AND('中古車掲載'!C847="One2car",'中古車掲載'!F847="ATTO 3",'中古車掲載'!L847="EXTENDED RANGE",'中古車掲載'!J847=2023,ISNUMBER('中古車掲載'!N847),'中古車掲載'!N847&gt;=20000,'中古車掲載'!O847&lt;=100000,'中古車掲載'!AL847=1),'中古車掲載'!U847,"")</x:f>
      </x:c>
      <x:c r="BA846" s="3" t="str">
        <x:f>IF(AND('中古車掲載'!C847="One2car",'中古車掲載'!F847="Corolla Cross",'中古車掲載'!L847="HEV PREMIUM SAFETY",'中古車掲載'!J847=2023,ISNUMBER('中古車掲載'!N847),'中古車掲載'!N847&gt;=20000,'中古車掲載'!O847&lt;=100000,'中古車掲載'!AL847=1,'中古車掲載'!Z847="https://www.one2car.com/en/cars-for-sale/toyota/corolla-cross/year-2023"),'中古車掲載'!U847,"")</x:f>
      </x:c>
      <x:c r="BB846" s="3" t="str">
        <x:f>IF(AND('中古車掲載'!C847="One2car",'中古車掲載'!F847="ATTO 3",'中古車掲載'!L847="EXTENDED RANGE",'中古車掲載'!J847=2023,ISNUMBER('中古車掲載'!N847),'中古車掲載'!N847&gt;=50000,'中古車掲載'!O847&lt;=100000,'中古車掲載'!AL847=1),'中古車掲載'!U847,"")</x:f>
      </x:c>
      <x:c r="BC846" s="3" t="str">
        <x:f>IF(AND('中古車掲載'!C847="One2car",'中古車掲載'!F847="Corolla Cross",'中古車掲載'!L847="HEV PREMIUM SAFETY",'中古車掲載'!J847=2023,ISNUMBER('中古車掲載'!N847),'中古車掲載'!N847&gt;=50000,'中古車掲載'!O847&lt;=100000,'中古車掲載'!AL847=1,'中古車掲載'!Z847="https://www.one2car.com/en/cars-for-sale/toyota/corolla-cross/year-2023"),'中古車掲載'!U847,"")</x:f>
      </x:c>
      <x:c r="BD846" s="3" t="str">
        <x:f>IF(AND('中古車掲載'!C847="One2car",'中古車掲載'!F847="ATTO 3",'中古車掲載'!L847="EXTENDED RANGE",'中古車掲載'!J847=2023,ISNUMBER('中古車掲載'!N847),'中古車掲載'!N847&gt;=20000,'中古車掲載'!O847&lt;=50000,'中古車掲載'!AL847=1),'中古車掲載'!U847,"")</x:f>
      </x:c>
      <x:c r="BE846" s="3" t="str">
        <x:f>IF(AND('中古車掲載'!C847="One2car",'中古車掲載'!F847="Corolla Cross",'中古車掲載'!L847="HEV PREMIUM SAFETY",'中古車掲載'!J847=2023,ISNUMBER('中古車掲載'!N847),'中古車掲載'!N847&gt;=20000,'中古車掲載'!O847&lt;=50000,'中古車掲載'!AL847=1,'中古車掲載'!Z847="https://www.one2car.com/en/cars-for-sale/toyota/corolla-cross/year-2023"),'中古車掲載'!U847,"")</x:f>
      </x:c>
      <x:c r="BF846" s="3" t="str">
        <x:f>IF(AND('中古車掲載'!C847="One2car",'中古車掲載'!F847="Corolla Cross",'中古車掲載'!L847="HEV PREMIUM",'中古車掲載'!J847=2023,ISNUMBER('中古車掲載'!N847),'中古車掲載'!N847&gt;=20000,'中古車掲載'!O847&lt;=100000,'中古車掲載'!AL847=1,'中古車掲載'!Z847="https://www.one2car.com/en/cars-for-sale/toyota/corolla-cross/year-2023"),'中古車掲載'!U847,"")</x:f>
      </x:c>
      <x:c r="BG846" s="3" t="str">
        <x:f>IF(AND('中古車掲載'!C847="One2car",'中古車掲載'!F847="Corolla Cross",'中古車掲載'!L847="HEV GR SPORT",'中古車掲載'!J847=2023,ISNUMBER('中古車掲載'!N847),'中古車掲載'!N847&gt;=20000,'中古車掲載'!O847&lt;=100000,'中古車掲載'!AL847=1,'中古車掲載'!Z847="https://www.one2car.com/en/cars-for-sale/toyota/corolla-cross/year-2023"),'中古車掲載'!U847,"")</x:f>
      </x:c>
      <x:c r="BH846" s="3" t="str">
        <x:f>IF(AND('中古車掲載'!C847="One2car",'中古車掲載'!F847="DOLPHIN",'中古車掲載'!L847="STANDARD RANGE",'中古車掲載'!J847=2023,ISNUMBER('中古車掲載'!N847),'中古車掲載'!N847&gt;=20000,'中古車掲載'!O847&lt;=100000,'中古車掲載'!AL847=1),'中古車掲載'!U847,"")</x:f>
      </x:c>
      <x:c r="BI846" s="3" t="str">
        <x:v>Taladrod|Hilux Revo|ICE|Unknown</x:v>
      </x:c>
      <x:c r="BJ846" s="3" t="n">
        <x:v>847</x:v>
      </x:c>
      <x:c r="BK846" s="3" t="n">
        <x:f>'中古車掲載'!AM847</x:f>
        <x:v>439000</x:v>
      </x:c>
      <x:c r="BL846" s="3" t="str">
        <x:f>IF(ISNUMBER('中古車掲載'!AN847),'中古車掲載'!AN847,"")</x:f>
      </x:c>
      <x:c r="BM846" s="3"/>
      <x:c r="BN846" s="3"/>
      <x:c r="BO846" s="3"/>
      <x:c r="BP846" s="3"/>
      <x:c r="BQ846" s="3"/>
      <x:c r="BR846" s="3"/>
    </x:row>
    <x:row r="847" ht="22" customHeight="1">
      <x:c r="A847" s="3"/>
      <x:c r="B847" s="3"/>
      <x:c r="C847" s="3"/>
      <x:c r="D847" s="3"/>
      <x:c r="E847" s="3"/>
      <x:c r="F847" s="3"/>
      <x:c r="G847" s="3"/>
      <x:c r="H847" s="3"/>
      <x:c r="I847" s="3"/>
      <x:c r="J847" s="3"/>
      <x:c r="K847" s="3"/>
      <x:c r="L847" s="3"/>
      <x:c r="M847" s="3"/>
      <x:c r="N847" s="3"/>
      <x:c r="O847" s="3"/>
      <x:c r="P847" s="3"/>
      <x:c r="Q847" s="3"/>
      <x:c r="R847" s="3"/>
      <x:c r="S847" s="3"/>
      <x:c r="T847" s="3"/>
      <x:c r="U847" s="3"/>
      <x:c r="V847" s="3"/>
      <x:c r="W847" s="3"/>
      <x:c r="X847" s="3"/>
      <x:c r="Y847" s="3"/>
      <x:c r="Z847" s="3"/>
      <x:c r="AA847" s="3"/>
      <x:c r="AB847" s="3"/>
      <x:c r="AC847" s="3"/>
      <x:c r="AD847" s="3"/>
      <x:c r="AE847" s="3"/>
      <x:c r="AF847" s="3"/>
      <x:c r="AG847" s="3"/>
      <x:c r="AH847" s="3"/>
      <x:c r="AI847" s="3"/>
      <x:c r="AJ847" s="3"/>
      <x:c r="AK847" s="3"/>
      <x:c r="AL847" s="3"/>
      <x:c r="AM847" s="3"/>
      <x:c r="AN847" s="3"/>
      <x:c r="AO847" s="3"/>
      <x:c r="AP847" s="3"/>
      <x:c r="AQ847" s="3"/>
      <x:c r="AR847" s="3"/>
      <x:c r="AS847" s="3"/>
      <x:c r="AT847" s="3"/>
      <x:c r="AU847" s="3"/>
      <x:c r="AV847" s="3"/>
      <x:c r="AW847" s="3"/>
      <x:c r="AX847" s="3"/>
      <x:c r="AY847" s="3"/>
      <x:c r="AZ847" s="3" t="str">
        <x:f>IF(AND('中古車掲載'!C848="One2car",'中古車掲載'!F848="ATTO 3",'中古車掲載'!L848="EXTENDED RANGE",'中古車掲載'!J848=2023,ISNUMBER('中古車掲載'!N848),'中古車掲載'!N848&gt;=20000,'中古車掲載'!O848&lt;=100000,'中古車掲載'!AL848=1),'中古車掲載'!U848,"")</x:f>
      </x:c>
      <x:c r="BA847" s="3" t="str">
        <x:f>IF(AND('中古車掲載'!C848="One2car",'中古車掲載'!F848="Corolla Cross",'中古車掲載'!L848="HEV PREMIUM SAFETY",'中古車掲載'!J848=2023,ISNUMBER('中古車掲載'!N848),'中古車掲載'!N848&gt;=20000,'中古車掲載'!O848&lt;=100000,'中古車掲載'!AL848=1,'中古車掲載'!Z848="https://www.one2car.com/en/cars-for-sale/toyota/corolla-cross/year-2023"),'中古車掲載'!U848,"")</x:f>
      </x:c>
      <x:c r="BB847" s="3" t="str">
        <x:f>IF(AND('中古車掲載'!C848="One2car",'中古車掲載'!F848="ATTO 3",'中古車掲載'!L848="EXTENDED RANGE",'中古車掲載'!J848=2023,ISNUMBER('中古車掲載'!N848),'中古車掲載'!N848&gt;=50000,'中古車掲載'!O848&lt;=100000,'中古車掲載'!AL848=1),'中古車掲載'!U848,"")</x:f>
      </x:c>
      <x:c r="BC847" s="3" t="str">
        <x:f>IF(AND('中古車掲載'!C848="One2car",'中古車掲載'!F848="Corolla Cross",'中古車掲載'!L848="HEV PREMIUM SAFETY",'中古車掲載'!J848=2023,ISNUMBER('中古車掲載'!N848),'中古車掲載'!N848&gt;=50000,'中古車掲載'!O848&lt;=100000,'中古車掲載'!AL848=1,'中古車掲載'!Z848="https://www.one2car.com/en/cars-for-sale/toyota/corolla-cross/year-2023"),'中古車掲載'!U848,"")</x:f>
      </x:c>
      <x:c r="BD847" s="3" t="str">
        <x:f>IF(AND('中古車掲載'!C848="One2car",'中古車掲載'!F848="ATTO 3",'中古車掲載'!L848="EXTENDED RANGE",'中古車掲載'!J848=2023,ISNUMBER('中古車掲載'!N848),'中古車掲載'!N848&gt;=20000,'中古車掲載'!O848&lt;=50000,'中古車掲載'!AL848=1),'中古車掲載'!U848,"")</x:f>
      </x:c>
      <x:c r="BE847" s="3" t="str">
        <x:f>IF(AND('中古車掲載'!C848="One2car",'中古車掲載'!F848="Corolla Cross",'中古車掲載'!L848="HEV PREMIUM SAFETY",'中古車掲載'!J848=2023,ISNUMBER('中古車掲載'!N848),'中古車掲載'!N848&gt;=20000,'中古車掲載'!O848&lt;=50000,'中古車掲載'!AL848=1,'中古車掲載'!Z848="https://www.one2car.com/en/cars-for-sale/toyota/corolla-cross/year-2023"),'中古車掲載'!U848,"")</x:f>
      </x:c>
      <x:c r="BF847" s="3" t="str">
        <x:f>IF(AND('中古車掲載'!C848="One2car",'中古車掲載'!F848="Corolla Cross",'中古車掲載'!L848="HEV PREMIUM",'中古車掲載'!J848=2023,ISNUMBER('中古車掲載'!N848),'中古車掲載'!N848&gt;=20000,'中古車掲載'!O848&lt;=100000,'中古車掲載'!AL848=1,'中古車掲載'!Z848="https://www.one2car.com/en/cars-for-sale/toyota/corolla-cross/year-2023"),'中古車掲載'!U848,"")</x:f>
      </x:c>
      <x:c r="BG847" s="3" t="str">
        <x:f>IF(AND('中古車掲載'!C848="One2car",'中古車掲載'!F848="Corolla Cross",'中古車掲載'!L848="HEV GR SPORT",'中古車掲載'!J848=2023,ISNUMBER('中古車掲載'!N848),'中古車掲載'!N848&gt;=20000,'中古車掲載'!O848&lt;=100000,'中古車掲載'!AL848=1,'中古車掲載'!Z848="https://www.one2car.com/en/cars-for-sale/toyota/corolla-cross/year-2023"),'中古車掲載'!U848,"")</x:f>
      </x:c>
      <x:c r="BH847" s="3" t="str">
        <x:f>IF(AND('中古車掲載'!C848="One2car",'中古車掲載'!F848="DOLPHIN",'中古車掲載'!L848="STANDARD RANGE",'中古車掲載'!J848=2023,ISNUMBER('中古車掲載'!N848),'中古車掲載'!N848&gt;=20000,'中古車掲載'!O848&lt;=100000,'中古車掲載'!AL848=1),'中古車掲載'!U848,"")</x:f>
      </x:c>
      <x:c r="BI847" s="3" t="str">
        <x:v>Taladrod|Hilux Revo|ICE|Unknown</x:v>
      </x:c>
      <x:c r="BJ847" s="3" t="n">
        <x:v>848</x:v>
      </x:c>
      <x:c r="BK847" s="3" t="n">
        <x:f>'中古車掲載'!AM848</x:f>
        <x:v>429000</x:v>
      </x:c>
      <x:c r="BL847" s="3" t="str">
        <x:f>IF(ISNUMBER('中古車掲載'!AN848),'中古車掲載'!AN848,"")</x:f>
      </x:c>
      <x:c r="BM847" s="3"/>
      <x:c r="BN847" s="3"/>
      <x:c r="BO847" s="3"/>
      <x:c r="BP847" s="3"/>
      <x:c r="BQ847" s="3"/>
      <x:c r="BR847" s="3"/>
    </x:row>
    <x:row r="848" ht="22" customHeight="1">
      <x:c r="A848" s="3"/>
      <x:c r="B848" s="3"/>
      <x:c r="C848" s="3"/>
      <x:c r="D848" s="3"/>
      <x:c r="E848" s="3"/>
      <x:c r="F848" s="3"/>
      <x:c r="G848" s="3"/>
      <x:c r="H848" s="3"/>
      <x:c r="I848" s="3"/>
      <x:c r="J848" s="3"/>
      <x:c r="K848" s="3"/>
      <x:c r="L848" s="3"/>
      <x:c r="M848" s="3"/>
      <x:c r="N848" s="3"/>
      <x:c r="O848" s="3"/>
      <x:c r="P848" s="3"/>
      <x:c r="Q848" s="3"/>
      <x:c r="R848" s="3"/>
      <x:c r="S848" s="3"/>
      <x:c r="T848" s="3"/>
      <x:c r="U848" s="3"/>
      <x:c r="V848" s="3"/>
      <x:c r="W848" s="3"/>
      <x:c r="X848" s="3"/>
      <x:c r="Y848" s="3"/>
      <x:c r="Z848" s="3"/>
      <x:c r="AA848" s="3"/>
      <x:c r="AB848" s="3"/>
      <x:c r="AC848" s="3"/>
      <x:c r="AD848" s="3"/>
      <x:c r="AE848" s="3"/>
      <x:c r="AF848" s="3"/>
      <x:c r="AG848" s="3"/>
      <x:c r="AH848" s="3"/>
      <x:c r="AI848" s="3"/>
      <x:c r="AJ848" s="3"/>
      <x:c r="AK848" s="3"/>
      <x:c r="AL848" s="3"/>
      <x:c r="AM848" s="3"/>
      <x:c r="AN848" s="3"/>
      <x:c r="AO848" s="3"/>
      <x:c r="AP848" s="3"/>
      <x:c r="AQ848" s="3"/>
      <x:c r="AR848" s="3"/>
      <x:c r="AS848" s="3"/>
      <x:c r="AT848" s="3"/>
      <x:c r="AU848" s="3"/>
      <x:c r="AV848" s="3"/>
      <x:c r="AW848" s="3"/>
      <x:c r="AX848" s="3"/>
      <x:c r="AY848" s="3"/>
      <x:c r="AZ848" s="3" t="str">
        <x:f>IF(AND('中古車掲載'!C849="One2car",'中古車掲載'!F849="ATTO 3",'中古車掲載'!L849="EXTENDED RANGE",'中古車掲載'!J849=2023,ISNUMBER('中古車掲載'!N849),'中古車掲載'!N849&gt;=20000,'中古車掲載'!O849&lt;=100000,'中古車掲載'!AL849=1),'中古車掲載'!U849,"")</x:f>
      </x:c>
      <x:c r="BA848" s="3" t="str">
        <x:f>IF(AND('中古車掲載'!C849="One2car",'中古車掲載'!F849="Corolla Cross",'中古車掲載'!L849="HEV PREMIUM SAFETY",'中古車掲載'!J849=2023,ISNUMBER('中古車掲載'!N849),'中古車掲載'!N849&gt;=20000,'中古車掲載'!O849&lt;=100000,'中古車掲載'!AL849=1,'中古車掲載'!Z849="https://www.one2car.com/en/cars-for-sale/toyota/corolla-cross/year-2023"),'中古車掲載'!U849,"")</x:f>
      </x:c>
      <x:c r="BB848" s="3" t="str">
        <x:f>IF(AND('中古車掲載'!C849="One2car",'中古車掲載'!F849="ATTO 3",'中古車掲載'!L849="EXTENDED RANGE",'中古車掲載'!J849=2023,ISNUMBER('中古車掲載'!N849),'中古車掲載'!N849&gt;=50000,'中古車掲載'!O849&lt;=100000,'中古車掲載'!AL849=1),'中古車掲載'!U849,"")</x:f>
      </x:c>
      <x:c r="BC848" s="3" t="str">
        <x:f>IF(AND('中古車掲載'!C849="One2car",'中古車掲載'!F849="Corolla Cross",'中古車掲載'!L849="HEV PREMIUM SAFETY",'中古車掲載'!J849=2023,ISNUMBER('中古車掲載'!N849),'中古車掲載'!N849&gt;=50000,'中古車掲載'!O849&lt;=100000,'中古車掲載'!AL849=1,'中古車掲載'!Z849="https://www.one2car.com/en/cars-for-sale/toyota/corolla-cross/year-2023"),'中古車掲載'!U849,"")</x:f>
      </x:c>
      <x:c r="BD848" s="3" t="str">
        <x:f>IF(AND('中古車掲載'!C849="One2car",'中古車掲載'!F849="ATTO 3",'中古車掲載'!L849="EXTENDED RANGE",'中古車掲載'!J849=2023,ISNUMBER('中古車掲載'!N849),'中古車掲載'!N849&gt;=20000,'中古車掲載'!O849&lt;=50000,'中古車掲載'!AL849=1),'中古車掲載'!U849,"")</x:f>
      </x:c>
      <x:c r="BE848" s="3" t="str">
        <x:f>IF(AND('中古車掲載'!C849="One2car",'中古車掲載'!F849="Corolla Cross",'中古車掲載'!L849="HEV PREMIUM SAFETY",'中古車掲載'!J849=2023,ISNUMBER('中古車掲載'!N849),'中古車掲載'!N849&gt;=20000,'中古車掲載'!O849&lt;=50000,'中古車掲載'!AL849=1,'中古車掲載'!Z849="https://www.one2car.com/en/cars-for-sale/toyota/corolla-cross/year-2023"),'中古車掲載'!U849,"")</x:f>
      </x:c>
      <x:c r="BF848" s="3" t="str">
        <x:f>IF(AND('中古車掲載'!C849="One2car",'中古車掲載'!F849="Corolla Cross",'中古車掲載'!L849="HEV PREMIUM",'中古車掲載'!J849=2023,ISNUMBER('中古車掲載'!N849),'中古車掲載'!N849&gt;=20000,'中古車掲載'!O849&lt;=100000,'中古車掲載'!AL849=1,'中古車掲載'!Z849="https://www.one2car.com/en/cars-for-sale/toyota/corolla-cross/year-2023"),'中古車掲載'!U849,"")</x:f>
      </x:c>
      <x:c r="BG848" s="3" t="str">
        <x:f>IF(AND('中古車掲載'!C849="One2car",'中古車掲載'!F849="Corolla Cross",'中古車掲載'!L849="HEV GR SPORT",'中古車掲載'!J849=2023,ISNUMBER('中古車掲載'!N849),'中古車掲載'!N849&gt;=20000,'中古車掲載'!O849&lt;=100000,'中古車掲載'!AL849=1,'中古車掲載'!Z849="https://www.one2car.com/en/cars-for-sale/toyota/corolla-cross/year-2023"),'中古車掲載'!U849,"")</x:f>
      </x:c>
      <x:c r="BH848" s="3" t="str">
        <x:f>IF(AND('中古車掲載'!C849="One2car",'中古車掲載'!F849="DOLPHIN",'中古車掲載'!L849="STANDARD RANGE",'中古車掲載'!J849=2023,ISNUMBER('中古車掲載'!N849),'中古車掲載'!N849&gt;=20000,'中古車掲載'!O849&lt;=100000,'中古車掲載'!AL849=1),'中古車掲載'!U849,"")</x:f>
      </x:c>
      <x:c r="BI848" s="3" t="str">
        <x:v>Taladrod|Hilux Revo|ICE|Unknown</x:v>
      </x:c>
      <x:c r="BJ848" s="3" t="n">
        <x:v>849</x:v>
      </x:c>
      <x:c r="BK848" s="3" t="n">
        <x:f>'中古車掲載'!AM849</x:f>
        <x:v>569000</x:v>
      </x:c>
      <x:c r="BL848" s="3" t="str">
        <x:f>IF(ISNUMBER('中古車掲載'!AN849),'中古車掲載'!AN849,"")</x:f>
      </x:c>
      <x:c r="BM848" s="3"/>
      <x:c r="BN848" s="3"/>
      <x:c r="BO848" s="3"/>
      <x:c r="BP848" s="3"/>
      <x:c r="BQ848" s="3"/>
      <x:c r="BR848" s="3"/>
    </x:row>
    <x:row r="849" ht="22" customHeight="1">
      <x:c r="A849" s="3"/>
      <x:c r="B849" s="3"/>
      <x:c r="C849" s="3"/>
      <x:c r="D849" s="3"/>
      <x:c r="E849" s="3"/>
      <x:c r="F849" s="3"/>
      <x:c r="G849" s="3"/>
      <x:c r="H849" s="3"/>
      <x:c r="I849" s="3"/>
      <x:c r="J849" s="3"/>
      <x:c r="K849" s="3"/>
      <x:c r="L849" s="3"/>
      <x:c r="M849" s="3"/>
      <x:c r="N849" s="3"/>
      <x:c r="O849" s="3"/>
      <x:c r="P849" s="3"/>
      <x:c r="Q849" s="3"/>
      <x:c r="R849" s="3"/>
      <x:c r="S849" s="3"/>
      <x:c r="T849" s="3"/>
      <x:c r="U849" s="3"/>
      <x:c r="V849" s="3"/>
      <x:c r="W849" s="3"/>
      <x:c r="X849" s="3"/>
      <x:c r="Y849" s="3"/>
      <x:c r="Z849" s="3"/>
      <x:c r="AA849" s="3"/>
      <x:c r="AB849" s="3"/>
      <x:c r="AC849" s="3"/>
      <x:c r="AD849" s="3"/>
      <x:c r="AE849" s="3"/>
      <x:c r="AF849" s="3"/>
      <x:c r="AG849" s="3"/>
      <x:c r="AH849" s="3"/>
      <x:c r="AI849" s="3"/>
      <x:c r="AJ849" s="3"/>
      <x:c r="AK849" s="3"/>
      <x:c r="AL849" s="3"/>
      <x:c r="AM849" s="3"/>
      <x:c r="AN849" s="3"/>
      <x:c r="AO849" s="3"/>
      <x:c r="AP849" s="3"/>
      <x:c r="AQ849" s="3"/>
      <x:c r="AR849" s="3"/>
      <x:c r="AS849" s="3"/>
      <x:c r="AT849" s="3"/>
      <x:c r="AU849" s="3"/>
      <x:c r="AV849" s="3"/>
      <x:c r="AW849" s="3"/>
      <x:c r="AX849" s="3"/>
      <x:c r="AY849" s="3"/>
      <x:c r="AZ849" s="3" t="str">
        <x:f>IF(AND('中古車掲載'!C850="One2car",'中古車掲載'!F850="ATTO 3",'中古車掲載'!L850="EXTENDED RANGE",'中古車掲載'!J850=2023,ISNUMBER('中古車掲載'!N850),'中古車掲載'!N850&gt;=20000,'中古車掲載'!O850&lt;=100000,'中古車掲載'!AL850=1),'中古車掲載'!U850,"")</x:f>
      </x:c>
      <x:c r="BA849" s="3" t="str">
        <x:f>IF(AND('中古車掲載'!C850="One2car",'中古車掲載'!F850="Corolla Cross",'中古車掲載'!L850="HEV PREMIUM SAFETY",'中古車掲載'!J850=2023,ISNUMBER('中古車掲載'!N850),'中古車掲載'!N850&gt;=20000,'中古車掲載'!O850&lt;=100000,'中古車掲載'!AL850=1,'中古車掲載'!Z850="https://www.one2car.com/en/cars-for-sale/toyota/corolla-cross/year-2023"),'中古車掲載'!U850,"")</x:f>
      </x:c>
      <x:c r="BB849" s="3" t="str">
        <x:f>IF(AND('中古車掲載'!C850="One2car",'中古車掲載'!F850="ATTO 3",'中古車掲載'!L850="EXTENDED RANGE",'中古車掲載'!J850=2023,ISNUMBER('中古車掲載'!N850),'中古車掲載'!N850&gt;=50000,'中古車掲載'!O850&lt;=100000,'中古車掲載'!AL850=1),'中古車掲載'!U850,"")</x:f>
      </x:c>
      <x:c r="BC849" s="3" t="str">
        <x:f>IF(AND('中古車掲載'!C850="One2car",'中古車掲載'!F850="Corolla Cross",'中古車掲載'!L850="HEV PREMIUM SAFETY",'中古車掲載'!J850=2023,ISNUMBER('中古車掲載'!N850),'中古車掲載'!N850&gt;=50000,'中古車掲載'!O850&lt;=100000,'中古車掲載'!AL850=1,'中古車掲載'!Z850="https://www.one2car.com/en/cars-for-sale/toyota/corolla-cross/year-2023"),'中古車掲載'!U850,"")</x:f>
      </x:c>
      <x:c r="BD849" s="3" t="str">
        <x:f>IF(AND('中古車掲載'!C850="One2car",'中古車掲載'!F850="ATTO 3",'中古車掲載'!L850="EXTENDED RANGE",'中古車掲載'!J850=2023,ISNUMBER('中古車掲載'!N850),'中古車掲載'!N850&gt;=20000,'中古車掲載'!O850&lt;=50000,'中古車掲載'!AL850=1),'中古車掲載'!U850,"")</x:f>
      </x:c>
      <x:c r="BE849" s="3" t="str">
        <x:f>IF(AND('中古車掲載'!C850="One2car",'中古車掲載'!F850="Corolla Cross",'中古車掲載'!L850="HEV PREMIUM SAFETY",'中古車掲載'!J850=2023,ISNUMBER('中古車掲載'!N850),'中古車掲載'!N850&gt;=20000,'中古車掲載'!O850&lt;=50000,'中古車掲載'!AL850=1,'中古車掲載'!Z850="https://www.one2car.com/en/cars-for-sale/toyota/corolla-cross/year-2023"),'中古車掲載'!U850,"")</x:f>
      </x:c>
      <x:c r="BF849" s="3" t="str">
        <x:f>IF(AND('中古車掲載'!C850="One2car",'中古車掲載'!F850="Corolla Cross",'中古車掲載'!L850="HEV PREMIUM",'中古車掲載'!J850=2023,ISNUMBER('中古車掲載'!N850),'中古車掲載'!N850&gt;=20000,'中古車掲載'!O850&lt;=100000,'中古車掲載'!AL850=1,'中古車掲載'!Z850="https://www.one2car.com/en/cars-for-sale/toyota/corolla-cross/year-2023"),'中古車掲載'!U850,"")</x:f>
      </x:c>
      <x:c r="BG849" s="3" t="str">
        <x:f>IF(AND('中古車掲載'!C850="One2car",'中古車掲載'!F850="Corolla Cross",'中古車掲載'!L850="HEV GR SPORT",'中古車掲載'!J850=2023,ISNUMBER('中古車掲載'!N850),'中古車掲載'!N850&gt;=20000,'中古車掲載'!O850&lt;=100000,'中古車掲載'!AL850=1,'中古車掲載'!Z850="https://www.one2car.com/en/cars-for-sale/toyota/corolla-cross/year-2023"),'中古車掲載'!U850,"")</x:f>
      </x:c>
      <x:c r="BH849" s="3" t="str">
        <x:f>IF(AND('中古車掲載'!C850="One2car",'中古車掲載'!F850="DOLPHIN",'中古車掲載'!L850="STANDARD RANGE",'中古車掲載'!J850=2023,ISNUMBER('中古車掲載'!N850),'中古車掲載'!N850&gt;=20000,'中古車掲載'!O850&lt;=100000,'中古車掲載'!AL850=1),'中古車掲載'!U850,"")</x:f>
      </x:c>
      <x:c r="BI849" s="3" t="str">
        <x:v>Taladrod|Hilux Revo|ICE|Unknown</x:v>
      </x:c>
      <x:c r="BJ849" s="3" t="n">
        <x:v>850</x:v>
      </x:c>
      <x:c r="BK849" s="3" t="n">
        <x:f>'中古車掲載'!AM850</x:f>
        <x:v>719000</x:v>
      </x:c>
      <x:c r="BL849" s="3" t="str">
        <x:f>IF(ISNUMBER('中古車掲載'!AN850),'中古車掲載'!AN850,"")</x:f>
      </x:c>
      <x:c r="BM849" s="3"/>
      <x:c r="BN849" s="3"/>
      <x:c r="BO849" s="3"/>
      <x:c r="BP849" s="3"/>
      <x:c r="BQ849" s="3"/>
      <x:c r="BR849" s="3"/>
    </x:row>
    <x:row r="850" ht="22" customHeight="1">
      <x:c r="A850" s="3"/>
      <x:c r="B850" s="3"/>
      <x:c r="C850" s="3"/>
      <x:c r="D850" s="3"/>
      <x:c r="E850" s="3"/>
      <x:c r="F850" s="3"/>
      <x:c r="G850" s="3"/>
      <x:c r="H850" s="3"/>
      <x:c r="I850" s="3"/>
      <x:c r="J850" s="3"/>
      <x:c r="K850" s="3"/>
      <x:c r="L850" s="3"/>
      <x:c r="M850" s="3"/>
      <x:c r="N850" s="3"/>
      <x:c r="O850" s="3"/>
      <x:c r="P850" s="3"/>
      <x:c r="Q850" s="3"/>
      <x:c r="R850" s="3"/>
      <x:c r="S850" s="3"/>
      <x:c r="T850" s="3"/>
      <x:c r="U850" s="3"/>
      <x:c r="V850" s="3"/>
      <x:c r="W850" s="3"/>
      <x:c r="X850" s="3"/>
      <x:c r="Y850" s="3"/>
      <x:c r="Z850" s="3"/>
      <x:c r="AA850" s="3"/>
      <x:c r="AB850" s="3"/>
      <x:c r="AC850" s="3"/>
      <x:c r="AD850" s="3"/>
      <x:c r="AE850" s="3"/>
      <x:c r="AF850" s="3"/>
      <x:c r="AG850" s="3"/>
      <x:c r="AH850" s="3"/>
      <x:c r="AI850" s="3"/>
      <x:c r="AJ850" s="3"/>
      <x:c r="AK850" s="3"/>
      <x:c r="AL850" s="3"/>
      <x:c r="AM850" s="3"/>
      <x:c r="AN850" s="3"/>
      <x:c r="AO850" s="3"/>
      <x:c r="AP850" s="3"/>
      <x:c r="AQ850" s="3"/>
      <x:c r="AR850" s="3"/>
      <x:c r="AS850" s="3"/>
      <x:c r="AT850" s="3"/>
      <x:c r="AU850" s="3"/>
      <x:c r="AV850" s="3"/>
      <x:c r="AW850" s="3"/>
      <x:c r="AX850" s="3"/>
      <x:c r="AY850" s="3"/>
      <x:c r="AZ850" s="3" t="str">
        <x:f>IF(AND('中古車掲載'!C851="One2car",'中古車掲載'!F851="ATTO 3",'中古車掲載'!L851="EXTENDED RANGE",'中古車掲載'!J851=2023,ISNUMBER('中古車掲載'!N851),'中古車掲載'!N851&gt;=20000,'中古車掲載'!O851&lt;=100000,'中古車掲載'!AL851=1),'中古車掲載'!U851,"")</x:f>
      </x:c>
      <x:c r="BA850" s="3" t="str">
        <x:f>IF(AND('中古車掲載'!C851="One2car",'中古車掲載'!F851="Corolla Cross",'中古車掲載'!L851="HEV PREMIUM SAFETY",'中古車掲載'!J851=2023,ISNUMBER('中古車掲載'!N851),'中古車掲載'!N851&gt;=20000,'中古車掲載'!O851&lt;=100000,'中古車掲載'!AL851=1,'中古車掲載'!Z851="https://www.one2car.com/en/cars-for-sale/toyota/corolla-cross/year-2023"),'中古車掲載'!U851,"")</x:f>
      </x:c>
      <x:c r="BB850" s="3" t="str">
        <x:f>IF(AND('中古車掲載'!C851="One2car",'中古車掲載'!F851="ATTO 3",'中古車掲載'!L851="EXTENDED RANGE",'中古車掲載'!J851=2023,ISNUMBER('中古車掲載'!N851),'中古車掲載'!N851&gt;=50000,'中古車掲載'!O851&lt;=100000,'中古車掲載'!AL851=1),'中古車掲載'!U851,"")</x:f>
      </x:c>
      <x:c r="BC850" s="3" t="str">
        <x:f>IF(AND('中古車掲載'!C851="One2car",'中古車掲載'!F851="Corolla Cross",'中古車掲載'!L851="HEV PREMIUM SAFETY",'中古車掲載'!J851=2023,ISNUMBER('中古車掲載'!N851),'中古車掲載'!N851&gt;=50000,'中古車掲載'!O851&lt;=100000,'中古車掲載'!AL851=1,'中古車掲載'!Z851="https://www.one2car.com/en/cars-for-sale/toyota/corolla-cross/year-2023"),'中古車掲載'!U851,"")</x:f>
      </x:c>
      <x:c r="BD850" s="3" t="str">
        <x:f>IF(AND('中古車掲載'!C851="One2car",'中古車掲載'!F851="ATTO 3",'中古車掲載'!L851="EXTENDED RANGE",'中古車掲載'!J851=2023,ISNUMBER('中古車掲載'!N851),'中古車掲載'!N851&gt;=20000,'中古車掲載'!O851&lt;=50000,'中古車掲載'!AL851=1),'中古車掲載'!U851,"")</x:f>
      </x:c>
      <x:c r="BE850" s="3" t="str">
        <x:f>IF(AND('中古車掲載'!C851="One2car",'中古車掲載'!F851="Corolla Cross",'中古車掲載'!L851="HEV PREMIUM SAFETY",'中古車掲載'!J851=2023,ISNUMBER('中古車掲載'!N851),'中古車掲載'!N851&gt;=20000,'中古車掲載'!O851&lt;=50000,'中古車掲載'!AL851=1,'中古車掲載'!Z851="https://www.one2car.com/en/cars-for-sale/toyota/corolla-cross/year-2023"),'中古車掲載'!U851,"")</x:f>
      </x:c>
      <x:c r="BF850" s="3" t="str">
        <x:f>IF(AND('中古車掲載'!C851="One2car",'中古車掲載'!F851="Corolla Cross",'中古車掲載'!L851="HEV PREMIUM",'中古車掲載'!J851=2023,ISNUMBER('中古車掲載'!N851),'中古車掲載'!N851&gt;=20000,'中古車掲載'!O851&lt;=100000,'中古車掲載'!AL851=1,'中古車掲載'!Z851="https://www.one2car.com/en/cars-for-sale/toyota/corolla-cross/year-2023"),'中古車掲載'!U851,"")</x:f>
      </x:c>
      <x:c r="BG850" s="3" t="str">
        <x:f>IF(AND('中古車掲載'!C851="One2car",'中古車掲載'!F851="Corolla Cross",'中古車掲載'!L851="HEV GR SPORT",'中古車掲載'!J851=2023,ISNUMBER('中古車掲載'!N851),'中古車掲載'!N851&gt;=20000,'中古車掲載'!O851&lt;=100000,'中古車掲載'!AL851=1,'中古車掲載'!Z851="https://www.one2car.com/en/cars-for-sale/toyota/corolla-cross/year-2023"),'中古車掲載'!U851,"")</x:f>
      </x:c>
      <x:c r="BH850" s="3" t="str">
        <x:f>IF(AND('中古車掲載'!C851="One2car",'中古車掲載'!F851="DOLPHIN",'中古車掲載'!L851="STANDARD RANGE",'中古車掲載'!J851=2023,ISNUMBER('中古車掲載'!N851),'中古車掲載'!N851&gt;=20000,'中古車掲載'!O851&lt;=100000,'中古車掲載'!AL851=1),'中古車掲載'!U851,"")</x:f>
      </x:c>
      <x:c r="BI850" s="3" t="str">
        <x:v>Taladrod|Hilux Revo|ICE|Unknown</x:v>
      </x:c>
      <x:c r="BJ850" s="3" t="n">
        <x:v>851</x:v>
      </x:c>
      <x:c r="BK850" s="3" t="n">
        <x:f>'中古車掲載'!AM851</x:f>
        <x:v>679000</x:v>
      </x:c>
      <x:c r="BL850" s="3" t="str">
        <x:f>IF(ISNUMBER('中古車掲載'!AN851),'中古車掲載'!AN851,"")</x:f>
      </x:c>
      <x:c r="BM850" s="3"/>
      <x:c r="BN850" s="3"/>
      <x:c r="BO850" s="3"/>
      <x:c r="BP850" s="3"/>
      <x:c r="BQ850" s="3"/>
      <x:c r="BR850" s="3"/>
    </x:row>
    <x:row r="851">
      <x:c r="AZ851" t="str">
        <x:f>IF(AND('中古車掲載'!C852="One2car",'中古車掲載'!F852="ATTO 3",'中古車掲載'!L852="EXTENDED RANGE",'中古車掲載'!J852=2023,ISNUMBER('中古車掲載'!N852),'中古車掲載'!N852&gt;=20000,'中古車掲載'!O852&lt;=100000,'中古車掲載'!AL852=1),'中古車掲載'!U852,"")</x:f>
      </x:c>
      <x:c r="BA851" t="str">
        <x:f>IF(AND('中古車掲載'!C852="One2car",'中古車掲載'!F852="Corolla Cross",'中古車掲載'!L852="HEV PREMIUM SAFETY",'中古車掲載'!J852=2023,ISNUMBER('中古車掲載'!N852),'中古車掲載'!N852&gt;=20000,'中古車掲載'!O852&lt;=100000,'中古車掲載'!AL852=1,'中古車掲載'!Z852="https://www.one2car.com/en/cars-for-sale/toyota/corolla-cross/year-2023"),'中古車掲載'!U852,"")</x:f>
      </x:c>
      <x:c r="BB851" t="str">
        <x:f>IF(AND('中古車掲載'!C852="One2car",'中古車掲載'!F852="ATTO 3",'中古車掲載'!L852="EXTENDED RANGE",'中古車掲載'!J852=2023,ISNUMBER('中古車掲載'!N852),'中古車掲載'!N852&gt;=50000,'中古車掲載'!O852&lt;=100000,'中古車掲載'!AL852=1),'中古車掲載'!U852,"")</x:f>
      </x:c>
      <x:c r="BC851" t="str">
        <x:f>IF(AND('中古車掲載'!C852="One2car",'中古車掲載'!F852="Corolla Cross",'中古車掲載'!L852="HEV PREMIUM SAFETY",'中古車掲載'!J852=2023,ISNUMBER('中古車掲載'!N852),'中古車掲載'!N852&gt;=50000,'中古車掲載'!O852&lt;=100000,'中古車掲載'!AL852=1,'中古車掲載'!Z852="https://www.one2car.com/en/cars-for-sale/toyota/corolla-cross/year-2023"),'中古車掲載'!U852,"")</x:f>
      </x:c>
      <x:c r="BD851" t="str">
        <x:f>IF(AND('中古車掲載'!C852="One2car",'中古車掲載'!F852="ATTO 3",'中古車掲載'!L852="EXTENDED RANGE",'中古車掲載'!J852=2023,ISNUMBER('中古車掲載'!N852),'中古車掲載'!N852&gt;=20000,'中古車掲載'!O852&lt;=50000,'中古車掲載'!AL852=1),'中古車掲載'!U852,"")</x:f>
      </x:c>
      <x:c r="BE851" t="str">
        <x:f>IF(AND('中古車掲載'!C852="One2car",'中古車掲載'!F852="Corolla Cross",'中古車掲載'!L852="HEV PREMIUM SAFETY",'中古車掲載'!J852=2023,ISNUMBER('中古車掲載'!N852),'中古車掲載'!N852&gt;=20000,'中古車掲載'!O852&lt;=50000,'中古車掲載'!AL852=1,'中古車掲載'!Z852="https://www.one2car.com/en/cars-for-sale/toyota/corolla-cross/year-2023"),'中古車掲載'!U852,"")</x:f>
      </x:c>
      <x:c r="BF851" t="str">
        <x:f>IF(AND('中古車掲載'!C852="One2car",'中古車掲載'!F852="Corolla Cross",'中古車掲載'!L852="HEV PREMIUM",'中古車掲載'!J852=2023,ISNUMBER('中古車掲載'!N852),'中古車掲載'!N852&gt;=20000,'中古車掲載'!O852&lt;=100000,'中古車掲載'!AL852=1,'中古車掲載'!Z852="https://www.one2car.com/en/cars-for-sale/toyota/corolla-cross/year-2023"),'中古車掲載'!U852,"")</x:f>
      </x:c>
      <x:c r="BG851" t="str">
        <x:f>IF(AND('中古車掲載'!C852="One2car",'中古車掲載'!F852="Corolla Cross",'中古車掲載'!L852="HEV GR SPORT",'中古車掲載'!J852=2023,ISNUMBER('中古車掲載'!N852),'中古車掲載'!N852&gt;=20000,'中古車掲載'!O852&lt;=100000,'中古車掲載'!AL852=1,'中古車掲載'!Z852="https://www.one2car.com/en/cars-for-sale/toyota/corolla-cross/year-2023"),'中古車掲載'!U852,"")</x:f>
      </x:c>
      <x:c r="BH851" t="str">
        <x:f>IF(AND('中古車掲載'!C852="One2car",'中古車掲載'!F852="DOLPHIN",'中古車掲載'!L852="STANDARD RANGE",'中古車掲載'!J852=2023,ISNUMBER('中古車掲載'!N852),'中古車掲載'!N852&gt;=20000,'中古車掲載'!O852&lt;=100000,'中古車掲載'!AL852=1),'中古車掲載'!U852,"")</x:f>
      </x:c>
      <x:c r="BI851" t="str">
        <x:v>Taladrod|Hilux Revo|ICE|Unknown</x:v>
      </x:c>
      <x:c r="BJ851" t="n">
        <x:v>852</x:v>
      </x:c>
      <x:c r="BK851" t="n">
        <x:f>'中古車掲載'!AM852</x:f>
        <x:v>699000</x:v>
      </x:c>
      <x:c r="BL851" t="str">
        <x:f>IF(ISNUMBER('中古車掲載'!AN852),'中古車掲載'!AN852,"")</x:f>
      </x:c>
    </x:row>
    <x:row r="852">
      <x:c r="AZ852" t="str">
        <x:f>IF(AND('中古車掲載'!C853="One2car",'中古車掲載'!F853="ATTO 3",'中古車掲載'!L853="EXTENDED RANGE",'中古車掲載'!J853=2023,ISNUMBER('中古車掲載'!N853),'中古車掲載'!N853&gt;=20000,'中古車掲載'!O853&lt;=100000,'中古車掲載'!AL853=1),'中古車掲載'!U853,"")</x:f>
      </x:c>
      <x:c r="BA852" t="str">
        <x:f>IF(AND('中古車掲載'!C853="One2car",'中古車掲載'!F853="Corolla Cross",'中古車掲載'!L853="HEV PREMIUM SAFETY",'中古車掲載'!J853=2023,ISNUMBER('中古車掲載'!N853),'中古車掲載'!N853&gt;=20000,'中古車掲載'!O853&lt;=100000,'中古車掲載'!AL853=1,'中古車掲載'!Z853="https://www.one2car.com/en/cars-for-sale/toyota/corolla-cross/year-2023"),'中古車掲載'!U853,"")</x:f>
      </x:c>
      <x:c r="BB852" t="str">
        <x:f>IF(AND('中古車掲載'!C853="One2car",'中古車掲載'!F853="ATTO 3",'中古車掲載'!L853="EXTENDED RANGE",'中古車掲載'!J853=2023,ISNUMBER('中古車掲載'!N853),'中古車掲載'!N853&gt;=50000,'中古車掲載'!O853&lt;=100000,'中古車掲載'!AL853=1),'中古車掲載'!U853,"")</x:f>
      </x:c>
      <x:c r="BC852" t="str">
        <x:f>IF(AND('中古車掲載'!C853="One2car",'中古車掲載'!F853="Corolla Cross",'中古車掲載'!L853="HEV PREMIUM SAFETY",'中古車掲載'!J853=2023,ISNUMBER('中古車掲載'!N853),'中古車掲載'!N853&gt;=50000,'中古車掲載'!O853&lt;=100000,'中古車掲載'!AL853=1,'中古車掲載'!Z853="https://www.one2car.com/en/cars-for-sale/toyota/corolla-cross/year-2023"),'中古車掲載'!U853,"")</x:f>
      </x:c>
      <x:c r="BD852" t="str">
        <x:f>IF(AND('中古車掲載'!C853="One2car",'中古車掲載'!F853="ATTO 3",'中古車掲載'!L853="EXTENDED RANGE",'中古車掲載'!J853=2023,ISNUMBER('中古車掲載'!N853),'中古車掲載'!N853&gt;=20000,'中古車掲載'!O853&lt;=50000,'中古車掲載'!AL853=1),'中古車掲載'!U853,"")</x:f>
      </x:c>
      <x:c r="BE852" t="str">
        <x:f>IF(AND('中古車掲載'!C853="One2car",'中古車掲載'!F853="Corolla Cross",'中古車掲載'!L853="HEV PREMIUM SAFETY",'中古車掲載'!J853=2023,ISNUMBER('中古車掲載'!N853),'中古車掲載'!N853&gt;=20000,'中古車掲載'!O853&lt;=50000,'中古車掲載'!AL853=1,'中古車掲載'!Z853="https://www.one2car.com/en/cars-for-sale/toyota/corolla-cross/year-2023"),'中古車掲載'!U853,"")</x:f>
      </x:c>
      <x:c r="BF852" t="str">
        <x:f>IF(AND('中古車掲載'!C853="One2car",'中古車掲載'!F853="Corolla Cross",'中古車掲載'!L853="HEV PREMIUM",'中古車掲載'!J853=2023,ISNUMBER('中古車掲載'!N853),'中古車掲載'!N853&gt;=20000,'中古車掲載'!O853&lt;=100000,'中古車掲載'!AL853=1,'中古車掲載'!Z853="https://www.one2car.com/en/cars-for-sale/toyota/corolla-cross/year-2023"),'中古車掲載'!U853,"")</x:f>
      </x:c>
      <x:c r="BG852" t="str">
        <x:f>IF(AND('中古車掲載'!C853="One2car",'中古車掲載'!F853="Corolla Cross",'中古車掲載'!L853="HEV GR SPORT",'中古車掲載'!J853=2023,ISNUMBER('中古車掲載'!N853),'中古車掲載'!N853&gt;=20000,'中古車掲載'!O853&lt;=100000,'中古車掲載'!AL853=1,'中古車掲載'!Z853="https://www.one2car.com/en/cars-for-sale/toyota/corolla-cross/year-2023"),'中古車掲載'!U853,"")</x:f>
      </x:c>
      <x:c r="BH852" t="str">
        <x:f>IF(AND('中古車掲載'!C853="One2car",'中古車掲載'!F853="DOLPHIN",'中古車掲載'!L853="STANDARD RANGE",'中古車掲載'!J853=2023,ISNUMBER('中古車掲載'!N853),'中古車掲載'!N853&gt;=20000,'中古車掲載'!O853&lt;=100000,'中古車掲載'!AL853=1),'中古車掲載'!U853,"")</x:f>
      </x:c>
      <x:c r="BI852" t="str">
        <x:v>Taladrod|Hilux Revo|ICE|Unknown</x:v>
      </x:c>
      <x:c r="BJ852" t="n">
        <x:v>853</x:v>
      </x:c>
      <x:c r="BK852" t="n">
        <x:f>'中古車掲載'!AM853</x:f>
        <x:v>649000</x:v>
      </x:c>
      <x:c r="BL852" t="str">
        <x:f>IF(ISNUMBER('中古車掲載'!AN853),'中古車掲載'!AN853,"")</x:f>
      </x:c>
    </x:row>
    <x:row r="853">
      <x:c r="AZ853" t="str">
        <x:f>IF(AND('中古車掲載'!C854="One2car",'中古車掲載'!F854="ATTO 3",'中古車掲載'!L854="EXTENDED RANGE",'中古車掲載'!J854=2023,ISNUMBER('中古車掲載'!N854),'中古車掲載'!N854&gt;=20000,'中古車掲載'!O854&lt;=100000,'中古車掲載'!AL854=1),'中古車掲載'!U854,"")</x:f>
      </x:c>
      <x:c r="BA853" t="str">
        <x:f>IF(AND('中古車掲載'!C854="One2car",'中古車掲載'!F854="Corolla Cross",'中古車掲載'!L854="HEV PREMIUM SAFETY",'中古車掲載'!J854=2023,ISNUMBER('中古車掲載'!N854),'中古車掲載'!N854&gt;=20000,'中古車掲載'!O854&lt;=100000,'中古車掲載'!AL854=1,'中古車掲載'!Z854="https://www.one2car.com/en/cars-for-sale/toyota/corolla-cross/year-2023"),'中古車掲載'!U854,"")</x:f>
      </x:c>
      <x:c r="BB853" t="str">
        <x:f>IF(AND('中古車掲載'!C854="One2car",'中古車掲載'!F854="ATTO 3",'中古車掲載'!L854="EXTENDED RANGE",'中古車掲載'!J854=2023,ISNUMBER('中古車掲載'!N854),'中古車掲載'!N854&gt;=50000,'中古車掲載'!O854&lt;=100000,'中古車掲載'!AL854=1),'中古車掲載'!U854,"")</x:f>
      </x:c>
      <x:c r="BC853" t="str">
        <x:f>IF(AND('中古車掲載'!C854="One2car",'中古車掲載'!F854="Corolla Cross",'中古車掲載'!L854="HEV PREMIUM SAFETY",'中古車掲載'!J854=2023,ISNUMBER('中古車掲載'!N854),'中古車掲載'!N854&gt;=50000,'中古車掲載'!O854&lt;=100000,'中古車掲載'!AL854=1,'中古車掲載'!Z854="https://www.one2car.com/en/cars-for-sale/toyota/corolla-cross/year-2023"),'中古車掲載'!U854,"")</x:f>
      </x:c>
      <x:c r="BD853" t="str">
        <x:f>IF(AND('中古車掲載'!C854="One2car",'中古車掲載'!F854="ATTO 3",'中古車掲載'!L854="EXTENDED RANGE",'中古車掲載'!J854=2023,ISNUMBER('中古車掲載'!N854),'中古車掲載'!N854&gt;=20000,'中古車掲載'!O854&lt;=50000,'中古車掲載'!AL854=1),'中古車掲載'!U854,"")</x:f>
      </x:c>
      <x:c r="BE853" t="str">
        <x:f>IF(AND('中古車掲載'!C854="One2car",'中古車掲載'!F854="Corolla Cross",'中古車掲載'!L854="HEV PREMIUM SAFETY",'中古車掲載'!J854=2023,ISNUMBER('中古車掲載'!N854),'中古車掲載'!N854&gt;=20000,'中古車掲載'!O854&lt;=50000,'中古車掲載'!AL854=1,'中古車掲載'!Z854="https://www.one2car.com/en/cars-for-sale/toyota/corolla-cross/year-2023"),'中古車掲載'!U854,"")</x:f>
      </x:c>
      <x:c r="BF853" t="str">
        <x:f>IF(AND('中古車掲載'!C854="One2car",'中古車掲載'!F854="Corolla Cross",'中古車掲載'!L854="HEV PREMIUM",'中古車掲載'!J854=2023,ISNUMBER('中古車掲載'!N854),'中古車掲載'!N854&gt;=20000,'中古車掲載'!O854&lt;=100000,'中古車掲載'!AL854=1,'中古車掲載'!Z854="https://www.one2car.com/en/cars-for-sale/toyota/corolla-cross/year-2023"),'中古車掲載'!U854,"")</x:f>
      </x:c>
      <x:c r="BG853" t="str">
        <x:f>IF(AND('中古車掲載'!C854="One2car",'中古車掲載'!F854="Corolla Cross",'中古車掲載'!L854="HEV GR SPORT",'中古車掲載'!J854=2023,ISNUMBER('中古車掲載'!N854),'中古車掲載'!N854&gt;=20000,'中古車掲載'!O854&lt;=100000,'中古車掲載'!AL854=1,'中古車掲載'!Z854="https://www.one2car.com/en/cars-for-sale/toyota/corolla-cross/year-2023"),'中古車掲載'!U854,"")</x:f>
      </x:c>
      <x:c r="BH853" t="str">
        <x:f>IF(AND('中古車掲載'!C854="One2car",'中古車掲載'!F854="DOLPHIN",'中古車掲載'!L854="STANDARD RANGE",'中古車掲載'!J854=2023,ISNUMBER('中古車掲載'!N854),'中古車掲載'!N854&gt;=20000,'中古車掲載'!O854&lt;=100000,'中古車掲載'!AL854=1),'中古車掲載'!U854,"")</x:f>
      </x:c>
      <x:c r="BI853" t="str">
        <x:v>Taladrod|Hilux Revo|ICE|Unknown</x:v>
      </x:c>
      <x:c r="BJ853" t="n">
        <x:v>854</x:v>
      </x:c>
      <x:c r="BK853" t="n">
        <x:f>'中古車掲載'!AM854</x:f>
        <x:v>650000</x:v>
      </x:c>
      <x:c r="BL853" t="str">
        <x:f>IF(ISNUMBER('中古車掲載'!AN854),'中古車掲載'!AN854,"")</x:f>
      </x:c>
    </x:row>
    <x:row r="854">
      <x:c r="AZ854" t="str">
        <x:f>IF(AND('中古車掲載'!C855="One2car",'中古車掲載'!F855="ATTO 3",'中古車掲載'!L855="EXTENDED RANGE",'中古車掲載'!J855=2023,ISNUMBER('中古車掲載'!N855),'中古車掲載'!N855&gt;=20000,'中古車掲載'!O855&lt;=100000,'中古車掲載'!AL855=1),'中古車掲載'!U855,"")</x:f>
      </x:c>
      <x:c r="BA854" t="str">
        <x:f>IF(AND('中古車掲載'!C855="One2car",'中古車掲載'!F855="Corolla Cross",'中古車掲載'!L855="HEV PREMIUM SAFETY",'中古車掲載'!J855=2023,ISNUMBER('中古車掲載'!N855),'中古車掲載'!N855&gt;=20000,'中古車掲載'!O855&lt;=100000,'中古車掲載'!AL855=1,'中古車掲載'!Z855="https://www.one2car.com/en/cars-for-sale/toyota/corolla-cross/year-2023"),'中古車掲載'!U855,"")</x:f>
      </x:c>
      <x:c r="BB854" t="str">
        <x:f>IF(AND('中古車掲載'!C855="One2car",'中古車掲載'!F855="ATTO 3",'中古車掲載'!L855="EXTENDED RANGE",'中古車掲載'!J855=2023,ISNUMBER('中古車掲載'!N855),'中古車掲載'!N855&gt;=50000,'中古車掲載'!O855&lt;=100000,'中古車掲載'!AL855=1),'中古車掲載'!U855,"")</x:f>
      </x:c>
      <x:c r="BC854" t="str">
        <x:f>IF(AND('中古車掲載'!C855="One2car",'中古車掲載'!F855="Corolla Cross",'中古車掲載'!L855="HEV PREMIUM SAFETY",'中古車掲載'!J855=2023,ISNUMBER('中古車掲載'!N855),'中古車掲載'!N855&gt;=50000,'中古車掲載'!O855&lt;=100000,'中古車掲載'!AL855=1,'中古車掲載'!Z855="https://www.one2car.com/en/cars-for-sale/toyota/corolla-cross/year-2023"),'中古車掲載'!U855,"")</x:f>
      </x:c>
      <x:c r="BD854" t="str">
        <x:f>IF(AND('中古車掲載'!C855="One2car",'中古車掲載'!F855="ATTO 3",'中古車掲載'!L855="EXTENDED RANGE",'中古車掲載'!J855=2023,ISNUMBER('中古車掲載'!N855),'中古車掲載'!N855&gt;=20000,'中古車掲載'!O855&lt;=50000,'中古車掲載'!AL855=1),'中古車掲載'!U855,"")</x:f>
      </x:c>
      <x:c r="BE854" t="str">
        <x:f>IF(AND('中古車掲載'!C855="One2car",'中古車掲載'!F855="Corolla Cross",'中古車掲載'!L855="HEV PREMIUM SAFETY",'中古車掲載'!J855=2023,ISNUMBER('中古車掲載'!N855),'中古車掲載'!N855&gt;=20000,'中古車掲載'!O855&lt;=50000,'中古車掲載'!AL855=1,'中古車掲載'!Z855="https://www.one2car.com/en/cars-for-sale/toyota/corolla-cross/year-2023"),'中古車掲載'!U855,"")</x:f>
      </x:c>
      <x:c r="BF854" t="str">
        <x:f>IF(AND('中古車掲載'!C855="One2car",'中古車掲載'!F855="Corolla Cross",'中古車掲載'!L855="HEV PREMIUM",'中古車掲載'!J855=2023,ISNUMBER('中古車掲載'!N855),'中古車掲載'!N855&gt;=20000,'中古車掲載'!O855&lt;=100000,'中古車掲載'!AL855=1,'中古車掲載'!Z855="https://www.one2car.com/en/cars-for-sale/toyota/corolla-cross/year-2023"),'中古車掲載'!U855,"")</x:f>
      </x:c>
      <x:c r="BG854" t="str">
        <x:f>IF(AND('中古車掲載'!C855="One2car",'中古車掲載'!F855="Corolla Cross",'中古車掲載'!L855="HEV GR SPORT",'中古車掲載'!J855=2023,ISNUMBER('中古車掲載'!N855),'中古車掲載'!N855&gt;=20000,'中古車掲載'!O855&lt;=100000,'中古車掲載'!AL855=1,'中古車掲載'!Z855="https://www.one2car.com/en/cars-for-sale/toyota/corolla-cross/year-2023"),'中古車掲載'!U855,"")</x:f>
      </x:c>
      <x:c r="BH854" t="str">
        <x:f>IF(AND('中古車掲載'!C855="One2car",'中古車掲載'!F855="DOLPHIN",'中古車掲載'!L855="STANDARD RANGE",'中古車掲載'!J855=2023,ISNUMBER('中古車掲載'!N855),'中古車掲載'!N855&gt;=20000,'中古車掲載'!O855&lt;=100000,'中古車掲載'!AL855=1),'中古車掲載'!U855,"")</x:f>
      </x:c>
      <x:c r="BI854" t="str">
        <x:v>Taladrod|Hilux Revo|ICE|Unknown</x:v>
      </x:c>
      <x:c r="BJ854" t="n">
        <x:v>855</x:v>
      </x:c>
      <x:c r="BK854" t="n">
        <x:f>'中古車掲載'!AM855</x:f>
        <x:v>779000</x:v>
      </x:c>
      <x:c r="BL854" t="str">
        <x:f>IF(ISNUMBER('中古車掲載'!AN855),'中古車掲載'!AN855,"")</x:f>
      </x:c>
    </x:row>
    <x:row r="855">
      <x:c r="AZ855" t="str">
        <x:f>IF(AND('中古車掲載'!C856="One2car",'中古車掲載'!F856="ATTO 3",'中古車掲載'!L856="EXTENDED RANGE",'中古車掲載'!J856=2023,ISNUMBER('中古車掲載'!N856),'中古車掲載'!N856&gt;=20000,'中古車掲載'!O856&lt;=100000,'中古車掲載'!AL856=1),'中古車掲載'!U856,"")</x:f>
      </x:c>
      <x:c r="BA855" t="str">
        <x:f>IF(AND('中古車掲載'!C856="One2car",'中古車掲載'!F856="Corolla Cross",'中古車掲載'!L856="HEV PREMIUM SAFETY",'中古車掲載'!J856=2023,ISNUMBER('中古車掲載'!N856),'中古車掲載'!N856&gt;=20000,'中古車掲載'!O856&lt;=100000,'中古車掲載'!AL856=1,'中古車掲載'!Z856="https://www.one2car.com/en/cars-for-sale/toyota/corolla-cross/year-2023"),'中古車掲載'!U856,"")</x:f>
      </x:c>
      <x:c r="BB855" t="str">
        <x:f>IF(AND('中古車掲載'!C856="One2car",'中古車掲載'!F856="ATTO 3",'中古車掲載'!L856="EXTENDED RANGE",'中古車掲載'!J856=2023,ISNUMBER('中古車掲載'!N856),'中古車掲載'!N856&gt;=50000,'中古車掲載'!O856&lt;=100000,'中古車掲載'!AL856=1),'中古車掲載'!U856,"")</x:f>
      </x:c>
      <x:c r="BC855" t="str">
        <x:f>IF(AND('中古車掲載'!C856="One2car",'中古車掲載'!F856="Corolla Cross",'中古車掲載'!L856="HEV PREMIUM SAFETY",'中古車掲載'!J856=2023,ISNUMBER('中古車掲載'!N856),'中古車掲載'!N856&gt;=50000,'中古車掲載'!O856&lt;=100000,'中古車掲載'!AL856=1,'中古車掲載'!Z856="https://www.one2car.com/en/cars-for-sale/toyota/corolla-cross/year-2023"),'中古車掲載'!U856,"")</x:f>
      </x:c>
      <x:c r="BD855" t="str">
        <x:f>IF(AND('中古車掲載'!C856="One2car",'中古車掲載'!F856="ATTO 3",'中古車掲載'!L856="EXTENDED RANGE",'中古車掲載'!J856=2023,ISNUMBER('中古車掲載'!N856),'中古車掲載'!N856&gt;=20000,'中古車掲載'!O856&lt;=50000,'中古車掲載'!AL856=1),'中古車掲載'!U856,"")</x:f>
      </x:c>
      <x:c r="BE855" t="str">
        <x:f>IF(AND('中古車掲載'!C856="One2car",'中古車掲載'!F856="Corolla Cross",'中古車掲載'!L856="HEV PREMIUM SAFETY",'中古車掲載'!J856=2023,ISNUMBER('中古車掲載'!N856),'中古車掲載'!N856&gt;=20000,'中古車掲載'!O856&lt;=50000,'中古車掲載'!AL856=1,'中古車掲載'!Z856="https://www.one2car.com/en/cars-for-sale/toyota/corolla-cross/year-2023"),'中古車掲載'!U856,"")</x:f>
      </x:c>
      <x:c r="BF855" t="str">
        <x:f>IF(AND('中古車掲載'!C856="One2car",'中古車掲載'!F856="Corolla Cross",'中古車掲載'!L856="HEV PREMIUM",'中古車掲載'!J856=2023,ISNUMBER('中古車掲載'!N856),'中古車掲載'!N856&gt;=20000,'中古車掲載'!O856&lt;=100000,'中古車掲載'!AL856=1,'中古車掲載'!Z856="https://www.one2car.com/en/cars-for-sale/toyota/corolla-cross/year-2023"),'中古車掲載'!U856,"")</x:f>
      </x:c>
      <x:c r="BG855" t="str">
        <x:f>IF(AND('中古車掲載'!C856="One2car",'中古車掲載'!F856="Corolla Cross",'中古車掲載'!L856="HEV GR SPORT",'中古車掲載'!J856=2023,ISNUMBER('中古車掲載'!N856),'中古車掲載'!N856&gt;=20000,'中古車掲載'!O856&lt;=100000,'中古車掲載'!AL856=1,'中古車掲載'!Z856="https://www.one2car.com/en/cars-for-sale/toyota/corolla-cross/year-2023"),'中古車掲載'!U856,"")</x:f>
      </x:c>
      <x:c r="BH855" t="str">
        <x:f>IF(AND('中古車掲載'!C856="One2car",'中古車掲載'!F856="DOLPHIN",'中古車掲載'!L856="STANDARD RANGE",'中古車掲載'!J856=2023,ISNUMBER('中古車掲載'!N856),'中古車掲載'!N856&gt;=20000,'中古車掲載'!O856&lt;=100000,'中古車掲載'!AL856=1),'中古車掲載'!U856,"")</x:f>
      </x:c>
      <x:c r="BI855" t="str">
        <x:v>Taladrod|Hilux Revo|ICE|Unknown</x:v>
      </x:c>
      <x:c r="BJ855" t="n">
        <x:v>856</x:v>
      </x:c>
      <x:c r="BK855" t="n">
        <x:f>'中古車掲載'!AM856</x:f>
        <x:v>729000</x:v>
      </x:c>
      <x:c r="BL855" t="str">
        <x:f>IF(ISNUMBER('中古車掲載'!AN856),'中古車掲載'!AN856,"")</x:f>
      </x:c>
    </x:row>
    <x:row r="856">
      <x:c r="AZ856" t="str">
        <x:f>IF(AND('中古車掲載'!C857="One2car",'中古車掲載'!F857="ATTO 3",'中古車掲載'!L857="EXTENDED RANGE",'中古車掲載'!J857=2023,ISNUMBER('中古車掲載'!N857),'中古車掲載'!N857&gt;=20000,'中古車掲載'!O857&lt;=100000,'中古車掲載'!AL857=1),'中古車掲載'!U857,"")</x:f>
      </x:c>
      <x:c r="BA856" t="str">
        <x:f>IF(AND('中古車掲載'!C857="One2car",'中古車掲載'!F857="Corolla Cross",'中古車掲載'!L857="HEV PREMIUM SAFETY",'中古車掲載'!J857=2023,ISNUMBER('中古車掲載'!N857),'中古車掲載'!N857&gt;=20000,'中古車掲載'!O857&lt;=100000,'中古車掲載'!AL857=1,'中古車掲載'!Z857="https://www.one2car.com/en/cars-for-sale/toyota/corolla-cross/year-2023"),'中古車掲載'!U857,"")</x:f>
      </x:c>
      <x:c r="BB856" t="str">
        <x:f>IF(AND('中古車掲載'!C857="One2car",'中古車掲載'!F857="ATTO 3",'中古車掲載'!L857="EXTENDED RANGE",'中古車掲載'!J857=2023,ISNUMBER('中古車掲載'!N857),'中古車掲載'!N857&gt;=50000,'中古車掲載'!O857&lt;=100000,'中古車掲載'!AL857=1),'中古車掲載'!U857,"")</x:f>
      </x:c>
      <x:c r="BC856" t="str">
        <x:f>IF(AND('中古車掲載'!C857="One2car",'中古車掲載'!F857="Corolla Cross",'中古車掲載'!L857="HEV PREMIUM SAFETY",'中古車掲載'!J857=2023,ISNUMBER('中古車掲載'!N857),'中古車掲載'!N857&gt;=50000,'中古車掲載'!O857&lt;=100000,'中古車掲載'!AL857=1,'中古車掲載'!Z857="https://www.one2car.com/en/cars-for-sale/toyota/corolla-cross/year-2023"),'中古車掲載'!U857,"")</x:f>
      </x:c>
      <x:c r="BD856" t="str">
        <x:f>IF(AND('中古車掲載'!C857="One2car",'中古車掲載'!F857="ATTO 3",'中古車掲載'!L857="EXTENDED RANGE",'中古車掲載'!J857=2023,ISNUMBER('中古車掲載'!N857),'中古車掲載'!N857&gt;=20000,'中古車掲載'!O857&lt;=50000,'中古車掲載'!AL857=1),'中古車掲載'!U857,"")</x:f>
      </x:c>
      <x:c r="BE856" t="str">
        <x:f>IF(AND('中古車掲載'!C857="One2car",'中古車掲載'!F857="Corolla Cross",'中古車掲載'!L857="HEV PREMIUM SAFETY",'中古車掲載'!J857=2023,ISNUMBER('中古車掲載'!N857),'中古車掲載'!N857&gt;=20000,'中古車掲載'!O857&lt;=50000,'中古車掲載'!AL857=1,'中古車掲載'!Z857="https://www.one2car.com/en/cars-for-sale/toyota/corolla-cross/year-2023"),'中古車掲載'!U857,"")</x:f>
      </x:c>
      <x:c r="BF856" t="str">
        <x:f>IF(AND('中古車掲載'!C857="One2car",'中古車掲載'!F857="Corolla Cross",'中古車掲載'!L857="HEV PREMIUM",'中古車掲載'!J857=2023,ISNUMBER('中古車掲載'!N857),'中古車掲載'!N857&gt;=20000,'中古車掲載'!O857&lt;=100000,'中古車掲載'!AL857=1,'中古車掲載'!Z857="https://www.one2car.com/en/cars-for-sale/toyota/corolla-cross/year-2023"),'中古車掲載'!U857,"")</x:f>
      </x:c>
      <x:c r="BG856" t="str">
        <x:f>IF(AND('中古車掲載'!C857="One2car",'中古車掲載'!F857="Corolla Cross",'中古車掲載'!L857="HEV GR SPORT",'中古車掲載'!J857=2023,ISNUMBER('中古車掲載'!N857),'中古車掲載'!N857&gt;=20000,'中古車掲載'!O857&lt;=100000,'中古車掲載'!AL857=1,'中古車掲載'!Z857="https://www.one2car.com/en/cars-for-sale/toyota/corolla-cross/year-2023"),'中古車掲載'!U857,"")</x:f>
      </x:c>
      <x:c r="BH856" t="str">
        <x:f>IF(AND('中古車掲載'!C857="One2car",'中古車掲載'!F857="DOLPHIN",'中古車掲載'!L857="STANDARD RANGE",'中古車掲載'!J857=2023,ISNUMBER('中古車掲載'!N857),'中古車掲載'!N857&gt;=20000,'中古車掲載'!O857&lt;=100000,'中古車掲載'!AL857=1),'中古車掲載'!U857,"")</x:f>
      </x:c>
      <x:c r="BI856" t="str">
        <x:v>Taladrod|Hilux Revo|ICE|Unknown</x:v>
      </x:c>
      <x:c r="BJ856" t="n">
        <x:v>857</x:v>
      </x:c>
      <x:c r="BK856" t="n">
        <x:f>'中古車掲載'!AM857</x:f>
        <x:v>599000</x:v>
      </x:c>
      <x:c r="BL856" t="str">
        <x:f>IF(ISNUMBER('中古車掲載'!AN857),'中古車掲載'!AN857,"")</x:f>
      </x:c>
    </x:row>
    <x:row r="857">
      <x:c r="AZ857" t="str">
        <x:f>IF(AND('中古車掲載'!C858="One2car",'中古車掲載'!F858="ATTO 3",'中古車掲載'!L858="EXTENDED RANGE",'中古車掲載'!J858=2023,ISNUMBER('中古車掲載'!N858),'中古車掲載'!N858&gt;=20000,'中古車掲載'!O858&lt;=100000,'中古車掲載'!AL858=1),'中古車掲載'!U858,"")</x:f>
      </x:c>
      <x:c r="BA857" t="str">
        <x:f>IF(AND('中古車掲載'!C858="One2car",'中古車掲載'!F858="Corolla Cross",'中古車掲載'!L858="HEV PREMIUM SAFETY",'中古車掲載'!J858=2023,ISNUMBER('中古車掲載'!N858),'中古車掲載'!N858&gt;=20000,'中古車掲載'!O858&lt;=100000,'中古車掲載'!AL858=1,'中古車掲載'!Z858="https://www.one2car.com/en/cars-for-sale/toyota/corolla-cross/year-2023"),'中古車掲載'!U858,"")</x:f>
      </x:c>
      <x:c r="BB857" t="str">
        <x:f>IF(AND('中古車掲載'!C858="One2car",'中古車掲載'!F858="ATTO 3",'中古車掲載'!L858="EXTENDED RANGE",'中古車掲載'!J858=2023,ISNUMBER('中古車掲載'!N858),'中古車掲載'!N858&gt;=50000,'中古車掲載'!O858&lt;=100000,'中古車掲載'!AL858=1),'中古車掲載'!U858,"")</x:f>
      </x:c>
      <x:c r="BC857" t="str">
        <x:f>IF(AND('中古車掲載'!C858="One2car",'中古車掲載'!F858="Corolla Cross",'中古車掲載'!L858="HEV PREMIUM SAFETY",'中古車掲載'!J858=2023,ISNUMBER('中古車掲載'!N858),'中古車掲載'!N858&gt;=50000,'中古車掲載'!O858&lt;=100000,'中古車掲載'!AL858=1,'中古車掲載'!Z858="https://www.one2car.com/en/cars-for-sale/toyota/corolla-cross/year-2023"),'中古車掲載'!U858,"")</x:f>
      </x:c>
      <x:c r="BD857" t="str">
        <x:f>IF(AND('中古車掲載'!C858="One2car",'中古車掲載'!F858="ATTO 3",'中古車掲載'!L858="EXTENDED RANGE",'中古車掲載'!J858=2023,ISNUMBER('中古車掲載'!N858),'中古車掲載'!N858&gt;=20000,'中古車掲載'!O858&lt;=50000,'中古車掲載'!AL858=1),'中古車掲載'!U858,"")</x:f>
      </x:c>
      <x:c r="BE857" t="str">
        <x:f>IF(AND('中古車掲載'!C858="One2car",'中古車掲載'!F858="Corolla Cross",'中古車掲載'!L858="HEV PREMIUM SAFETY",'中古車掲載'!J858=2023,ISNUMBER('中古車掲載'!N858),'中古車掲載'!N858&gt;=20000,'中古車掲載'!O858&lt;=50000,'中古車掲載'!AL858=1,'中古車掲載'!Z858="https://www.one2car.com/en/cars-for-sale/toyota/corolla-cross/year-2023"),'中古車掲載'!U858,"")</x:f>
      </x:c>
      <x:c r="BF857" t="str">
        <x:f>IF(AND('中古車掲載'!C858="One2car",'中古車掲載'!F858="Corolla Cross",'中古車掲載'!L858="HEV PREMIUM",'中古車掲載'!J858=2023,ISNUMBER('中古車掲載'!N858),'中古車掲載'!N858&gt;=20000,'中古車掲載'!O858&lt;=100000,'中古車掲載'!AL858=1,'中古車掲載'!Z858="https://www.one2car.com/en/cars-for-sale/toyota/corolla-cross/year-2023"),'中古車掲載'!U858,"")</x:f>
      </x:c>
      <x:c r="BG857" t="str">
        <x:f>IF(AND('中古車掲載'!C858="One2car",'中古車掲載'!F858="Corolla Cross",'中古車掲載'!L858="HEV GR SPORT",'中古車掲載'!J858=2023,ISNUMBER('中古車掲載'!N858),'中古車掲載'!N858&gt;=20000,'中古車掲載'!O858&lt;=100000,'中古車掲載'!AL858=1,'中古車掲載'!Z858="https://www.one2car.com/en/cars-for-sale/toyota/corolla-cross/year-2023"),'中古車掲載'!U858,"")</x:f>
      </x:c>
      <x:c r="BH857" t="str">
        <x:f>IF(AND('中古車掲載'!C858="One2car",'中古車掲載'!F858="DOLPHIN",'中古車掲載'!L858="STANDARD RANGE",'中古車掲載'!J858=2023,ISNUMBER('中古車掲載'!N858),'中古車掲載'!N858&gt;=20000,'中古車掲載'!O858&lt;=100000,'中古車掲載'!AL858=1),'中古車掲載'!U858,"")</x:f>
      </x:c>
      <x:c r="BI857" t="str">
        <x:v>Taladrod|Hilux Revo|ICE|Unknown</x:v>
      </x:c>
      <x:c r="BJ857" t="n">
        <x:v>858</x:v>
      </x:c>
      <x:c r="BK857" t="n">
        <x:f>'中古車掲載'!AM858</x:f>
        <x:v>599000</x:v>
      </x:c>
      <x:c r="BL857" t="str">
        <x:f>IF(ISNUMBER('中古車掲載'!AN858),'中古車掲載'!AN858,"")</x:f>
      </x:c>
    </x:row>
    <x:row r="858">
      <x:c r="AZ858" t="str">
        <x:f>IF(AND('中古車掲載'!C859="One2car",'中古車掲載'!F859="ATTO 3",'中古車掲載'!L859="EXTENDED RANGE",'中古車掲載'!J859=2023,ISNUMBER('中古車掲載'!N859),'中古車掲載'!N859&gt;=20000,'中古車掲載'!O859&lt;=100000,'中古車掲載'!AL859=1),'中古車掲載'!U859,"")</x:f>
      </x:c>
      <x:c r="BA858" t="str">
        <x:f>IF(AND('中古車掲載'!C859="One2car",'中古車掲載'!F859="Corolla Cross",'中古車掲載'!L859="HEV PREMIUM SAFETY",'中古車掲載'!J859=2023,ISNUMBER('中古車掲載'!N859),'中古車掲載'!N859&gt;=20000,'中古車掲載'!O859&lt;=100000,'中古車掲載'!AL859=1,'中古車掲載'!Z859="https://www.one2car.com/en/cars-for-sale/toyota/corolla-cross/year-2023"),'中古車掲載'!U859,"")</x:f>
      </x:c>
      <x:c r="BB858" t="str">
        <x:f>IF(AND('中古車掲載'!C859="One2car",'中古車掲載'!F859="ATTO 3",'中古車掲載'!L859="EXTENDED RANGE",'中古車掲載'!J859=2023,ISNUMBER('中古車掲載'!N859),'中古車掲載'!N859&gt;=50000,'中古車掲載'!O859&lt;=100000,'中古車掲載'!AL859=1),'中古車掲載'!U859,"")</x:f>
      </x:c>
      <x:c r="BC858" t="str">
        <x:f>IF(AND('中古車掲載'!C859="One2car",'中古車掲載'!F859="Corolla Cross",'中古車掲載'!L859="HEV PREMIUM SAFETY",'中古車掲載'!J859=2023,ISNUMBER('中古車掲載'!N859),'中古車掲載'!N859&gt;=50000,'中古車掲載'!O859&lt;=100000,'中古車掲載'!AL859=1,'中古車掲載'!Z859="https://www.one2car.com/en/cars-for-sale/toyota/corolla-cross/year-2023"),'中古車掲載'!U859,"")</x:f>
      </x:c>
      <x:c r="BD858" t="str">
        <x:f>IF(AND('中古車掲載'!C859="One2car",'中古車掲載'!F859="ATTO 3",'中古車掲載'!L859="EXTENDED RANGE",'中古車掲載'!J859=2023,ISNUMBER('中古車掲載'!N859),'中古車掲載'!N859&gt;=20000,'中古車掲載'!O859&lt;=50000,'中古車掲載'!AL859=1),'中古車掲載'!U859,"")</x:f>
      </x:c>
      <x:c r="BE858" t="str">
        <x:f>IF(AND('中古車掲載'!C859="One2car",'中古車掲載'!F859="Corolla Cross",'中古車掲載'!L859="HEV PREMIUM SAFETY",'中古車掲載'!J859=2023,ISNUMBER('中古車掲載'!N859),'中古車掲載'!N859&gt;=20000,'中古車掲載'!O859&lt;=50000,'中古車掲載'!AL859=1,'中古車掲載'!Z859="https://www.one2car.com/en/cars-for-sale/toyota/corolla-cross/year-2023"),'中古車掲載'!U859,"")</x:f>
      </x:c>
      <x:c r="BF858" t="str">
        <x:f>IF(AND('中古車掲載'!C859="One2car",'中古車掲載'!F859="Corolla Cross",'中古車掲載'!L859="HEV PREMIUM",'中古車掲載'!J859=2023,ISNUMBER('中古車掲載'!N859),'中古車掲載'!N859&gt;=20000,'中古車掲載'!O859&lt;=100000,'中古車掲載'!AL859=1,'中古車掲載'!Z859="https://www.one2car.com/en/cars-for-sale/toyota/corolla-cross/year-2023"),'中古車掲載'!U859,"")</x:f>
      </x:c>
      <x:c r="BG858" t="str">
        <x:f>IF(AND('中古車掲載'!C859="One2car",'中古車掲載'!F859="Corolla Cross",'中古車掲載'!L859="HEV GR SPORT",'中古車掲載'!J859=2023,ISNUMBER('中古車掲載'!N859),'中古車掲載'!N859&gt;=20000,'中古車掲載'!O859&lt;=100000,'中古車掲載'!AL859=1,'中古車掲載'!Z859="https://www.one2car.com/en/cars-for-sale/toyota/corolla-cross/year-2023"),'中古車掲載'!U859,"")</x:f>
      </x:c>
      <x:c r="BH858" t="str">
        <x:f>IF(AND('中古車掲載'!C859="One2car",'中古車掲載'!F859="DOLPHIN",'中古車掲載'!L859="STANDARD RANGE",'中古車掲載'!J859=2023,ISNUMBER('中古車掲載'!N859),'中古車掲載'!N859&gt;=20000,'中古車掲載'!O859&lt;=100000,'中古車掲載'!AL859=1),'中古車掲載'!U859,"")</x:f>
      </x:c>
      <x:c r="BI858" t="str">
        <x:v>Taladrod|Hilux Revo|ICE|Unknown</x:v>
      </x:c>
      <x:c r="BJ858" t="n">
        <x:v>859</x:v>
      </x:c>
      <x:c r="BK858" t="n">
        <x:f>'中古車掲載'!AM859</x:f>
        <x:v>620000</x:v>
      </x:c>
      <x:c r="BL858" t="str">
        <x:f>IF(ISNUMBER('中古車掲載'!AN859),'中古車掲載'!AN859,"")</x:f>
      </x:c>
    </x:row>
    <x:row r="859">
      <x:c r="AZ859" t="str">
        <x:f>IF(AND('中古車掲載'!C860="One2car",'中古車掲載'!F860="ATTO 3",'中古車掲載'!L860="EXTENDED RANGE",'中古車掲載'!J860=2023,ISNUMBER('中古車掲載'!N860),'中古車掲載'!N860&gt;=20000,'中古車掲載'!O860&lt;=100000,'中古車掲載'!AL860=1),'中古車掲載'!U860,"")</x:f>
      </x:c>
      <x:c r="BA859" t="str">
        <x:f>IF(AND('中古車掲載'!C860="One2car",'中古車掲載'!F860="Corolla Cross",'中古車掲載'!L860="HEV PREMIUM SAFETY",'中古車掲載'!J860=2023,ISNUMBER('中古車掲載'!N860),'中古車掲載'!N860&gt;=20000,'中古車掲載'!O860&lt;=100000,'中古車掲載'!AL860=1,'中古車掲載'!Z860="https://www.one2car.com/en/cars-for-sale/toyota/corolla-cross/year-2023"),'中古車掲載'!U860,"")</x:f>
      </x:c>
      <x:c r="BB859" t="str">
        <x:f>IF(AND('中古車掲載'!C860="One2car",'中古車掲載'!F860="ATTO 3",'中古車掲載'!L860="EXTENDED RANGE",'中古車掲載'!J860=2023,ISNUMBER('中古車掲載'!N860),'中古車掲載'!N860&gt;=50000,'中古車掲載'!O860&lt;=100000,'中古車掲載'!AL860=1),'中古車掲載'!U860,"")</x:f>
      </x:c>
      <x:c r="BC859" t="str">
        <x:f>IF(AND('中古車掲載'!C860="One2car",'中古車掲載'!F860="Corolla Cross",'中古車掲載'!L860="HEV PREMIUM SAFETY",'中古車掲載'!J860=2023,ISNUMBER('中古車掲載'!N860),'中古車掲載'!N860&gt;=50000,'中古車掲載'!O860&lt;=100000,'中古車掲載'!AL860=1,'中古車掲載'!Z860="https://www.one2car.com/en/cars-for-sale/toyota/corolla-cross/year-2023"),'中古車掲載'!U860,"")</x:f>
      </x:c>
      <x:c r="BD859" t="str">
        <x:f>IF(AND('中古車掲載'!C860="One2car",'中古車掲載'!F860="ATTO 3",'中古車掲載'!L860="EXTENDED RANGE",'中古車掲載'!J860=2023,ISNUMBER('中古車掲載'!N860),'中古車掲載'!N860&gt;=20000,'中古車掲載'!O860&lt;=50000,'中古車掲載'!AL860=1),'中古車掲載'!U860,"")</x:f>
      </x:c>
      <x:c r="BE859" t="str">
        <x:f>IF(AND('中古車掲載'!C860="One2car",'中古車掲載'!F860="Corolla Cross",'中古車掲載'!L860="HEV PREMIUM SAFETY",'中古車掲載'!J860=2023,ISNUMBER('中古車掲載'!N860),'中古車掲載'!N860&gt;=20000,'中古車掲載'!O860&lt;=50000,'中古車掲載'!AL860=1,'中古車掲載'!Z860="https://www.one2car.com/en/cars-for-sale/toyota/corolla-cross/year-2023"),'中古車掲載'!U860,"")</x:f>
      </x:c>
      <x:c r="BF859" t="str">
        <x:f>IF(AND('中古車掲載'!C860="One2car",'中古車掲載'!F860="Corolla Cross",'中古車掲載'!L860="HEV PREMIUM",'中古車掲載'!J860=2023,ISNUMBER('中古車掲載'!N860),'中古車掲載'!N860&gt;=20000,'中古車掲載'!O860&lt;=100000,'中古車掲載'!AL860=1,'中古車掲載'!Z860="https://www.one2car.com/en/cars-for-sale/toyota/corolla-cross/year-2023"),'中古車掲載'!U860,"")</x:f>
      </x:c>
      <x:c r="BG859" t="str">
        <x:f>IF(AND('中古車掲載'!C860="One2car",'中古車掲載'!F860="Corolla Cross",'中古車掲載'!L860="HEV GR SPORT",'中古車掲載'!J860=2023,ISNUMBER('中古車掲載'!N860),'中古車掲載'!N860&gt;=20000,'中古車掲載'!O860&lt;=100000,'中古車掲載'!AL860=1,'中古車掲載'!Z860="https://www.one2car.com/en/cars-for-sale/toyota/corolla-cross/year-2023"),'中古車掲載'!U860,"")</x:f>
      </x:c>
      <x:c r="BH859" t="str">
        <x:f>IF(AND('中古車掲載'!C860="One2car",'中古車掲載'!F860="DOLPHIN",'中古車掲載'!L860="STANDARD RANGE",'中古車掲載'!J860=2023,ISNUMBER('中古車掲載'!N860),'中古車掲載'!N860&gt;=20000,'中古車掲載'!O860&lt;=100000,'中古車掲載'!AL860=1),'中古車掲載'!U860,"")</x:f>
      </x:c>
      <x:c r="BI859" t="str">
        <x:v>Taladrod|Hilux Revo|ICE|Unknown</x:v>
      </x:c>
      <x:c r="BJ859" t="n">
        <x:v>860</x:v>
      </x:c>
      <x:c r="BK859" t="n">
        <x:f>'中古車掲載'!AM860</x:f>
        <x:v>460000</x:v>
      </x:c>
      <x:c r="BL859" t="str">
        <x:f>IF(ISNUMBER('中古車掲載'!AN860),'中古車掲載'!AN860,"")</x:f>
      </x:c>
    </x:row>
    <x:row r="860">
      <x:c r="AZ860" t="str">
        <x:f>IF(AND('中古車掲載'!C861="One2car",'中古車掲載'!F861="ATTO 3",'中古車掲載'!L861="EXTENDED RANGE",'中古車掲載'!J861=2023,ISNUMBER('中古車掲載'!N861),'中古車掲載'!N861&gt;=20000,'中古車掲載'!O861&lt;=100000,'中古車掲載'!AL861=1),'中古車掲載'!U861,"")</x:f>
      </x:c>
      <x:c r="BA860" t="str">
        <x:f>IF(AND('中古車掲載'!C861="One2car",'中古車掲載'!F861="Corolla Cross",'中古車掲載'!L861="HEV PREMIUM SAFETY",'中古車掲載'!J861=2023,ISNUMBER('中古車掲載'!N861),'中古車掲載'!N861&gt;=20000,'中古車掲載'!O861&lt;=100000,'中古車掲載'!AL861=1,'中古車掲載'!Z861="https://www.one2car.com/en/cars-for-sale/toyota/corolla-cross/year-2023"),'中古車掲載'!U861,"")</x:f>
      </x:c>
      <x:c r="BB860" t="str">
        <x:f>IF(AND('中古車掲載'!C861="One2car",'中古車掲載'!F861="ATTO 3",'中古車掲載'!L861="EXTENDED RANGE",'中古車掲載'!J861=2023,ISNUMBER('中古車掲載'!N861),'中古車掲載'!N861&gt;=50000,'中古車掲載'!O861&lt;=100000,'中古車掲載'!AL861=1),'中古車掲載'!U861,"")</x:f>
      </x:c>
      <x:c r="BC860" t="str">
        <x:f>IF(AND('中古車掲載'!C861="One2car",'中古車掲載'!F861="Corolla Cross",'中古車掲載'!L861="HEV PREMIUM SAFETY",'中古車掲載'!J861=2023,ISNUMBER('中古車掲載'!N861),'中古車掲載'!N861&gt;=50000,'中古車掲載'!O861&lt;=100000,'中古車掲載'!AL861=1,'中古車掲載'!Z861="https://www.one2car.com/en/cars-for-sale/toyota/corolla-cross/year-2023"),'中古車掲載'!U861,"")</x:f>
      </x:c>
      <x:c r="BD860" t="str">
        <x:f>IF(AND('中古車掲載'!C861="One2car",'中古車掲載'!F861="ATTO 3",'中古車掲載'!L861="EXTENDED RANGE",'中古車掲載'!J861=2023,ISNUMBER('中古車掲載'!N861),'中古車掲載'!N861&gt;=20000,'中古車掲載'!O861&lt;=50000,'中古車掲載'!AL861=1),'中古車掲載'!U861,"")</x:f>
      </x:c>
      <x:c r="BE860" t="str">
        <x:f>IF(AND('中古車掲載'!C861="One2car",'中古車掲載'!F861="Corolla Cross",'中古車掲載'!L861="HEV PREMIUM SAFETY",'中古車掲載'!J861=2023,ISNUMBER('中古車掲載'!N861),'中古車掲載'!N861&gt;=20000,'中古車掲載'!O861&lt;=50000,'中古車掲載'!AL861=1,'中古車掲載'!Z861="https://www.one2car.com/en/cars-for-sale/toyota/corolla-cross/year-2023"),'中古車掲載'!U861,"")</x:f>
      </x:c>
      <x:c r="BF860" t="str">
        <x:f>IF(AND('中古車掲載'!C861="One2car",'中古車掲載'!F861="Corolla Cross",'中古車掲載'!L861="HEV PREMIUM",'中古車掲載'!J861=2023,ISNUMBER('中古車掲載'!N861),'中古車掲載'!N861&gt;=20000,'中古車掲載'!O861&lt;=100000,'中古車掲載'!AL861=1,'中古車掲載'!Z861="https://www.one2car.com/en/cars-for-sale/toyota/corolla-cross/year-2023"),'中古車掲載'!U861,"")</x:f>
      </x:c>
      <x:c r="BG860" t="str">
        <x:f>IF(AND('中古車掲載'!C861="One2car",'中古車掲載'!F861="Corolla Cross",'中古車掲載'!L861="HEV GR SPORT",'中古車掲載'!J861=2023,ISNUMBER('中古車掲載'!N861),'中古車掲載'!N861&gt;=20000,'中古車掲載'!O861&lt;=100000,'中古車掲載'!AL861=1,'中古車掲載'!Z861="https://www.one2car.com/en/cars-for-sale/toyota/corolla-cross/year-2023"),'中古車掲載'!U861,"")</x:f>
      </x:c>
      <x:c r="BH860" t="str">
        <x:f>IF(AND('中古車掲載'!C861="One2car",'中古車掲載'!F861="DOLPHIN",'中古車掲載'!L861="STANDARD RANGE",'中古車掲載'!J861=2023,ISNUMBER('中古車掲載'!N861),'中古車掲載'!N861&gt;=20000,'中古車掲載'!O861&lt;=100000,'中古車掲載'!AL861=1),'中古車掲載'!U861,"")</x:f>
      </x:c>
      <x:c r="BI860" t="str">
        <x:v>Taladrod|Hilux Revo|ICE|Unknown</x:v>
      </x:c>
      <x:c r="BJ860" t="n">
        <x:v>861</x:v>
      </x:c>
      <x:c r="BK860" t="n">
        <x:f>'中古車掲載'!AM861</x:f>
        <x:v>799000</x:v>
      </x:c>
      <x:c r="BL860" t="str">
        <x:f>IF(ISNUMBER('中古車掲載'!AN861),'中古車掲載'!AN861,"")</x:f>
      </x:c>
    </x:row>
    <x:row r="861">
      <x:c r="AZ861" t="str">
        <x:f>IF(AND('中古車掲載'!C862="One2car",'中古車掲載'!F862="ATTO 3",'中古車掲載'!L862="EXTENDED RANGE",'中古車掲載'!J862=2023,ISNUMBER('中古車掲載'!N862),'中古車掲載'!N862&gt;=20000,'中古車掲載'!O862&lt;=100000,'中古車掲載'!AL862=1),'中古車掲載'!U862,"")</x:f>
      </x:c>
      <x:c r="BA861" t="str">
        <x:f>IF(AND('中古車掲載'!C862="One2car",'中古車掲載'!F862="Corolla Cross",'中古車掲載'!L862="HEV PREMIUM SAFETY",'中古車掲載'!J862=2023,ISNUMBER('中古車掲載'!N862),'中古車掲載'!N862&gt;=20000,'中古車掲載'!O862&lt;=100000,'中古車掲載'!AL862=1,'中古車掲載'!Z862="https://www.one2car.com/en/cars-for-sale/toyota/corolla-cross/year-2023"),'中古車掲載'!U862,"")</x:f>
      </x:c>
      <x:c r="BB861" t="str">
        <x:f>IF(AND('中古車掲載'!C862="One2car",'中古車掲載'!F862="ATTO 3",'中古車掲載'!L862="EXTENDED RANGE",'中古車掲載'!J862=2023,ISNUMBER('中古車掲載'!N862),'中古車掲載'!N862&gt;=50000,'中古車掲載'!O862&lt;=100000,'中古車掲載'!AL862=1),'中古車掲載'!U862,"")</x:f>
      </x:c>
      <x:c r="BC861" t="str">
        <x:f>IF(AND('中古車掲載'!C862="One2car",'中古車掲載'!F862="Corolla Cross",'中古車掲載'!L862="HEV PREMIUM SAFETY",'中古車掲載'!J862=2023,ISNUMBER('中古車掲載'!N862),'中古車掲載'!N862&gt;=50000,'中古車掲載'!O862&lt;=100000,'中古車掲載'!AL862=1,'中古車掲載'!Z862="https://www.one2car.com/en/cars-for-sale/toyota/corolla-cross/year-2023"),'中古車掲載'!U862,"")</x:f>
      </x:c>
      <x:c r="BD861" t="str">
        <x:f>IF(AND('中古車掲載'!C862="One2car",'中古車掲載'!F862="ATTO 3",'中古車掲載'!L862="EXTENDED RANGE",'中古車掲載'!J862=2023,ISNUMBER('中古車掲載'!N862),'中古車掲載'!N862&gt;=20000,'中古車掲載'!O862&lt;=50000,'中古車掲載'!AL862=1),'中古車掲載'!U862,"")</x:f>
      </x:c>
      <x:c r="BE861" t="str">
        <x:f>IF(AND('中古車掲載'!C862="One2car",'中古車掲載'!F862="Corolla Cross",'中古車掲載'!L862="HEV PREMIUM SAFETY",'中古車掲載'!J862=2023,ISNUMBER('中古車掲載'!N862),'中古車掲載'!N862&gt;=20000,'中古車掲載'!O862&lt;=50000,'中古車掲載'!AL862=1,'中古車掲載'!Z862="https://www.one2car.com/en/cars-for-sale/toyota/corolla-cross/year-2023"),'中古車掲載'!U862,"")</x:f>
      </x:c>
      <x:c r="BF861" t="str">
        <x:f>IF(AND('中古車掲載'!C862="One2car",'中古車掲載'!F862="Corolla Cross",'中古車掲載'!L862="HEV PREMIUM",'中古車掲載'!J862=2023,ISNUMBER('中古車掲載'!N862),'中古車掲載'!N862&gt;=20000,'中古車掲載'!O862&lt;=100000,'中古車掲載'!AL862=1,'中古車掲載'!Z862="https://www.one2car.com/en/cars-for-sale/toyota/corolla-cross/year-2023"),'中古車掲載'!U862,"")</x:f>
      </x:c>
      <x:c r="BG861" t="str">
        <x:f>IF(AND('中古車掲載'!C862="One2car",'中古車掲載'!F862="Corolla Cross",'中古車掲載'!L862="HEV GR SPORT",'中古車掲載'!J862=2023,ISNUMBER('中古車掲載'!N862),'中古車掲載'!N862&gt;=20000,'中古車掲載'!O862&lt;=100000,'中古車掲載'!AL862=1,'中古車掲載'!Z862="https://www.one2car.com/en/cars-for-sale/toyota/corolla-cross/year-2023"),'中古車掲載'!U862,"")</x:f>
      </x:c>
      <x:c r="BH861" t="str">
        <x:f>IF(AND('中古車掲載'!C862="One2car",'中古車掲載'!F862="DOLPHIN",'中古車掲載'!L862="STANDARD RANGE",'中古車掲載'!J862=2023,ISNUMBER('中古車掲載'!N862),'中古車掲載'!N862&gt;=20000,'中古車掲載'!O862&lt;=100000,'中古車掲載'!AL862=1),'中古車掲載'!U862,"")</x:f>
      </x:c>
      <x:c r="BI861" t="str">
        <x:v>Taladrod|Hilux Revo|ICE|Unknown</x:v>
      </x:c>
      <x:c r="BJ861" t="n">
        <x:v>862</x:v>
      </x:c>
      <x:c r="BK861" t="n">
        <x:f>'中古車掲載'!AM862</x:f>
        <x:v>760000</x:v>
      </x:c>
      <x:c r="BL861" t="str">
        <x:f>IF(ISNUMBER('中古車掲載'!AN862),'中古車掲載'!AN862,"")</x:f>
      </x:c>
    </x:row>
    <x:row r="862">
      <x:c r="AZ862" t="str">
        <x:f>IF(AND('中古車掲載'!C863="One2car",'中古車掲載'!F863="ATTO 3",'中古車掲載'!L863="EXTENDED RANGE",'中古車掲載'!J863=2023,ISNUMBER('中古車掲載'!N863),'中古車掲載'!N863&gt;=20000,'中古車掲載'!O863&lt;=100000,'中古車掲載'!AL863=1),'中古車掲載'!U863,"")</x:f>
      </x:c>
      <x:c r="BA862" t="str">
        <x:f>IF(AND('中古車掲載'!C863="One2car",'中古車掲載'!F863="Corolla Cross",'中古車掲載'!L863="HEV PREMIUM SAFETY",'中古車掲載'!J863=2023,ISNUMBER('中古車掲載'!N863),'中古車掲載'!N863&gt;=20000,'中古車掲載'!O863&lt;=100000,'中古車掲載'!AL863=1,'中古車掲載'!Z863="https://www.one2car.com/en/cars-for-sale/toyota/corolla-cross/year-2023"),'中古車掲載'!U863,"")</x:f>
      </x:c>
      <x:c r="BB862" t="str">
        <x:f>IF(AND('中古車掲載'!C863="One2car",'中古車掲載'!F863="ATTO 3",'中古車掲載'!L863="EXTENDED RANGE",'中古車掲載'!J863=2023,ISNUMBER('中古車掲載'!N863),'中古車掲載'!N863&gt;=50000,'中古車掲載'!O863&lt;=100000,'中古車掲載'!AL863=1),'中古車掲載'!U863,"")</x:f>
      </x:c>
      <x:c r="BC862" t="str">
        <x:f>IF(AND('中古車掲載'!C863="One2car",'中古車掲載'!F863="Corolla Cross",'中古車掲載'!L863="HEV PREMIUM SAFETY",'中古車掲載'!J863=2023,ISNUMBER('中古車掲載'!N863),'中古車掲載'!N863&gt;=50000,'中古車掲載'!O863&lt;=100000,'中古車掲載'!AL863=1,'中古車掲載'!Z863="https://www.one2car.com/en/cars-for-sale/toyota/corolla-cross/year-2023"),'中古車掲載'!U863,"")</x:f>
      </x:c>
      <x:c r="BD862" t="str">
        <x:f>IF(AND('中古車掲載'!C863="One2car",'中古車掲載'!F863="ATTO 3",'中古車掲載'!L863="EXTENDED RANGE",'中古車掲載'!J863=2023,ISNUMBER('中古車掲載'!N863),'中古車掲載'!N863&gt;=20000,'中古車掲載'!O863&lt;=50000,'中古車掲載'!AL863=1),'中古車掲載'!U863,"")</x:f>
      </x:c>
      <x:c r="BE862" t="str">
        <x:f>IF(AND('中古車掲載'!C863="One2car",'中古車掲載'!F863="Corolla Cross",'中古車掲載'!L863="HEV PREMIUM SAFETY",'中古車掲載'!J863=2023,ISNUMBER('中古車掲載'!N863),'中古車掲載'!N863&gt;=20000,'中古車掲載'!O863&lt;=50000,'中古車掲載'!AL863=1,'中古車掲載'!Z863="https://www.one2car.com/en/cars-for-sale/toyota/corolla-cross/year-2023"),'中古車掲載'!U863,"")</x:f>
      </x:c>
      <x:c r="BF862" t="str">
        <x:f>IF(AND('中古車掲載'!C863="One2car",'中古車掲載'!F863="Corolla Cross",'中古車掲載'!L863="HEV PREMIUM",'中古車掲載'!J863=2023,ISNUMBER('中古車掲載'!N863),'中古車掲載'!N863&gt;=20000,'中古車掲載'!O863&lt;=100000,'中古車掲載'!AL863=1,'中古車掲載'!Z863="https://www.one2car.com/en/cars-for-sale/toyota/corolla-cross/year-2023"),'中古車掲載'!U863,"")</x:f>
      </x:c>
      <x:c r="BG862" t="str">
        <x:f>IF(AND('中古車掲載'!C863="One2car",'中古車掲載'!F863="Corolla Cross",'中古車掲載'!L863="HEV GR SPORT",'中古車掲載'!J863=2023,ISNUMBER('中古車掲載'!N863),'中古車掲載'!N863&gt;=20000,'中古車掲載'!O863&lt;=100000,'中古車掲載'!AL863=1,'中古車掲載'!Z863="https://www.one2car.com/en/cars-for-sale/toyota/corolla-cross/year-2023"),'中古車掲載'!U863,"")</x:f>
      </x:c>
      <x:c r="BH862" t="str">
        <x:f>IF(AND('中古車掲載'!C863="One2car",'中古車掲載'!F863="DOLPHIN",'中古車掲載'!L863="STANDARD RANGE",'中古車掲載'!J863=2023,ISNUMBER('中古車掲載'!N863),'中古車掲載'!N863&gt;=20000,'中古車掲載'!O863&lt;=100000,'中古車掲載'!AL863=1),'中古車掲載'!U863,"")</x:f>
      </x:c>
      <x:c r="BI862" t="str">
        <x:v>Taladrod|Hilux Revo|ICE|Unknown</x:v>
      </x:c>
      <x:c r="BJ862" t="n">
        <x:v>863</x:v>
      </x:c>
      <x:c r="BK862" t="n">
        <x:f>'中古車掲載'!AM863</x:f>
        <x:v>569000</x:v>
      </x:c>
      <x:c r="BL862" t="str">
        <x:f>IF(ISNUMBER('中古車掲載'!AN863),'中古車掲載'!AN863,"")</x:f>
      </x:c>
    </x:row>
    <x:row r="863">
      <x:c r="AZ863" t="str">
        <x:f>IF(AND('中古車掲載'!C864="One2car",'中古車掲載'!F864="ATTO 3",'中古車掲載'!L864="EXTENDED RANGE",'中古車掲載'!J864=2023,ISNUMBER('中古車掲載'!N864),'中古車掲載'!N864&gt;=20000,'中古車掲載'!O864&lt;=100000,'中古車掲載'!AL864=1),'中古車掲載'!U864,"")</x:f>
      </x:c>
      <x:c r="BA863" t="str">
        <x:f>IF(AND('中古車掲載'!C864="One2car",'中古車掲載'!F864="Corolla Cross",'中古車掲載'!L864="HEV PREMIUM SAFETY",'中古車掲載'!J864=2023,ISNUMBER('中古車掲載'!N864),'中古車掲載'!N864&gt;=20000,'中古車掲載'!O864&lt;=100000,'中古車掲載'!AL864=1,'中古車掲載'!Z864="https://www.one2car.com/en/cars-for-sale/toyota/corolla-cross/year-2023"),'中古車掲載'!U864,"")</x:f>
      </x:c>
      <x:c r="BB863" t="str">
        <x:f>IF(AND('中古車掲載'!C864="One2car",'中古車掲載'!F864="ATTO 3",'中古車掲載'!L864="EXTENDED RANGE",'中古車掲載'!J864=2023,ISNUMBER('中古車掲載'!N864),'中古車掲載'!N864&gt;=50000,'中古車掲載'!O864&lt;=100000,'中古車掲載'!AL864=1),'中古車掲載'!U864,"")</x:f>
      </x:c>
      <x:c r="BC863" t="str">
        <x:f>IF(AND('中古車掲載'!C864="One2car",'中古車掲載'!F864="Corolla Cross",'中古車掲載'!L864="HEV PREMIUM SAFETY",'中古車掲載'!J864=2023,ISNUMBER('中古車掲載'!N864),'中古車掲載'!N864&gt;=50000,'中古車掲載'!O864&lt;=100000,'中古車掲載'!AL864=1,'中古車掲載'!Z864="https://www.one2car.com/en/cars-for-sale/toyota/corolla-cross/year-2023"),'中古車掲載'!U864,"")</x:f>
      </x:c>
      <x:c r="BD863" t="str">
        <x:f>IF(AND('中古車掲載'!C864="One2car",'中古車掲載'!F864="ATTO 3",'中古車掲載'!L864="EXTENDED RANGE",'中古車掲載'!J864=2023,ISNUMBER('中古車掲載'!N864),'中古車掲載'!N864&gt;=20000,'中古車掲載'!O864&lt;=50000,'中古車掲載'!AL864=1),'中古車掲載'!U864,"")</x:f>
      </x:c>
      <x:c r="BE863" t="str">
        <x:f>IF(AND('中古車掲載'!C864="One2car",'中古車掲載'!F864="Corolla Cross",'中古車掲載'!L864="HEV PREMIUM SAFETY",'中古車掲載'!J864=2023,ISNUMBER('中古車掲載'!N864),'中古車掲載'!N864&gt;=20000,'中古車掲載'!O864&lt;=50000,'中古車掲載'!AL864=1,'中古車掲載'!Z864="https://www.one2car.com/en/cars-for-sale/toyota/corolla-cross/year-2023"),'中古車掲載'!U864,"")</x:f>
      </x:c>
      <x:c r="BF863" t="str">
        <x:f>IF(AND('中古車掲載'!C864="One2car",'中古車掲載'!F864="Corolla Cross",'中古車掲載'!L864="HEV PREMIUM",'中古車掲載'!J864=2023,ISNUMBER('中古車掲載'!N864),'中古車掲載'!N864&gt;=20000,'中古車掲載'!O864&lt;=100000,'中古車掲載'!AL864=1,'中古車掲載'!Z864="https://www.one2car.com/en/cars-for-sale/toyota/corolla-cross/year-2023"),'中古車掲載'!U864,"")</x:f>
      </x:c>
      <x:c r="BG863" t="str">
        <x:f>IF(AND('中古車掲載'!C864="One2car",'中古車掲載'!F864="Corolla Cross",'中古車掲載'!L864="HEV GR SPORT",'中古車掲載'!J864=2023,ISNUMBER('中古車掲載'!N864),'中古車掲載'!N864&gt;=20000,'中古車掲載'!O864&lt;=100000,'中古車掲載'!AL864=1,'中古車掲載'!Z864="https://www.one2car.com/en/cars-for-sale/toyota/corolla-cross/year-2023"),'中古車掲載'!U864,"")</x:f>
      </x:c>
      <x:c r="BH863" t="str">
        <x:f>IF(AND('中古車掲載'!C864="One2car",'中古車掲載'!F864="DOLPHIN",'中古車掲載'!L864="STANDARD RANGE",'中古車掲載'!J864=2023,ISNUMBER('中古車掲載'!N864),'中古車掲載'!N864&gt;=20000,'中古車掲載'!O864&lt;=100000,'中古車掲載'!AL864=1),'中古車掲載'!U864,"")</x:f>
      </x:c>
      <x:c r="BI863" t="str">
        <x:v>Taladrod|Hilux Revo|ICE|Unknown</x:v>
      </x:c>
      <x:c r="BJ863" t="n">
        <x:v>864</x:v>
      </x:c>
      <x:c r="BK863" t="n">
        <x:f>'中古車掲載'!AM864</x:f>
        <x:v>595000</x:v>
      </x:c>
      <x:c r="BL863" t="str">
        <x:f>IF(ISNUMBER('中古車掲載'!AN864),'中古車掲載'!AN864,"")</x:f>
      </x:c>
    </x:row>
    <x:row r="864">
      <x:c r="AZ864" t="str">
        <x:f>IF(AND('中古車掲載'!C865="One2car",'中古車掲載'!F865="ATTO 3",'中古車掲載'!L865="EXTENDED RANGE",'中古車掲載'!J865=2023,ISNUMBER('中古車掲載'!N865),'中古車掲載'!N865&gt;=20000,'中古車掲載'!O865&lt;=100000,'中古車掲載'!AL865=1),'中古車掲載'!U865,"")</x:f>
      </x:c>
      <x:c r="BA864" t="str">
        <x:f>IF(AND('中古車掲載'!C865="One2car",'中古車掲載'!F865="Corolla Cross",'中古車掲載'!L865="HEV PREMIUM SAFETY",'中古車掲載'!J865=2023,ISNUMBER('中古車掲載'!N865),'中古車掲載'!N865&gt;=20000,'中古車掲載'!O865&lt;=100000,'中古車掲載'!AL865=1,'中古車掲載'!Z865="https://www.one2car.com/en/cars-for-sale/toyota/corolla-cross/year-2023"),'中古車掲載'!U865,"")</x:f>
      </x:c>
      <x:c r="BB864" t="str">
        <x:f>IF(AND('中古車掲載'!C865="One2car",'中古車掲載'!F865="ATTO 3",'中古車掲載'!L865="EXTENDED RANGE",'中古車掲載'!J865=2023,ISNUMBER('中古車掲載'!N865),'中古車掲載'!N865&gt;=50000,'中古車掲載'!O865&lt;=100000,'中古車掲載'!AL865=1),'中古車掲載'!U865,"")</x:f>
      </x:c>
      <x:c r="BC864" t="str">
        <x:f>IF(AND('中古車掲載'!C865="One2car",'中古車掲載'!F865="Corolla Cross",'中古車掲載'!L865="HEV PREMIUM SAFETY",'中古車掲載'!J865=2023,ISNUMBER('中古車掲載'!N865),'中古車掲載'!N865&gt;=50000,'中古車掲載'!O865&lt;=100000,'中古車掲載'!AL865=1,'中古車掲載'!Z865="https://www.one2car.com/en/cars-for-sale/toyota/corolla-cross/year-2023"),'中古車掲載'!U865,"")</x:f>
      </x:c>
      <x:c r="BD864" t="str">
        <x:f>IF(AND('中古車掲載'!C865="One2car",'中古車掲載'!F865="ATTO 3",'中古車掲載'!L865="EXTENDED RANGE",'中古車掲載'!J865=2023,ISNUMBER('中古車掲載'!N865),'中古車掲載'!N865&gt;=20000,'中古車掲載'!O865&lt;=50000,'中古車掲載'!AL865=1),'中古車掲載'!U865,"")</x:f>
      </x:c>
      <x:c r="BE864" t="str">
        <x:f>IF(AND('中古車掲載'!C865="One2car",'中古車掲載'!F865="Corolla Cross",'中古車掲載'!L865="HEV PREMIUM SAFETY",'中古車掲載'!J865=2023,ISNUMBER('中古車掲載'!N865),'中古車掲載'!N865&gt;=20000,'中古車掲載'!O865&lt;=50000,'中古車掲載'!AL865=1,'中古車掲載'!Z865="https://www.one2car.com/en/cars-for-sale/toyota/corolla-cross/year-2023"),'中古車掲載'!U865,"")</x:f>
      </x:c>
      <x:c r="BF864" t="str">
        <x:f>IF(AND('中古車掲載'!C865="One2car",'中古車掲載'!F865="Corolla Cross",'中古車掲載'!L865="HEV PREMIUM",'中古車掲載'!J865=2023,ISNUMBER('中古車掲載'!N865),'中古車掲載'!N865&gt;=20000,'中古車掲載'!O865&lt;=100000,'中古車掲載'!AL865=1,'中古車掲載'!Z865="https://www.one2car.com/en/cars-for-sale/toyota/corolla-cross/year-2023"),'中古車掲載'!U865,"")</x:f>
      </x:c>
      <x:c r="BG864" t="str">
        <x:f>IF(AND('中古車掲載'!C865="One2car",'中古車掲載'!F865="Corolla Cross",'中古車掲載'!L865="HEV GR SPORT",'中古車掲載'!J865=2023,ISNUMBER('中古車掲載'!N865),'中古車掲載'!N865&gt;=20000,'中古車掲載'!O865&lt;=100000,'中古車掲載'!AL865=1,'中古車掲載'!Z865="https://www.one2car.com/en/cars-for-sale/toyota/corolla-cross/year-2023"),'中古車掲載'!U865,"")</x:f>
      </x:c>
      <x:c r="BH864" t="str">
        <x:f>IF(AND('中古車掲載'!C865="One2car",'中古車掲載'!F865="DOLPHIN",'中古車掲載'!L865="STANDARD RANGE",'中古車掲載'!J865=2023,ISNUMBER('中古車掲載'!N865),'中古車掲載'!N865&gt;=20000,'中古車掲載'!O865&lt;=100000,'中古車掲載'!AL865=1),'中古車掲載'!U865,"")</x:f>
      </x:c>
      <x:c r="BI864" t="str">
        <x:v>Taladrod|Hilux Revo|ICE|Unknown</x:v>
      </x:c>
      <x:c r="BJ864" t="n">
        <x:v>865</x:v>
      </x:c>
      <x:c r="BK864" t="n">
        <x:f>'中古車掲載'!AM865</x:f>
        <x:v>450000</x:v>
      </x:c>
      <x:c r="BL864" t="str">
        <x:f>IF(ISNUMBER('中古車掲載'!AN865),'中古車掲載'!AN865,"")</x:f>
      </x:c>
    </x:row>
    <x:row r="865">
      <x:c r="AZ865" t="str">
        <x:f>IF(AND('中古車掲載'!C866="One2car",'中古車掲載'!F866="ATTO 3",'中古車掲載'!L866="EXTENDED RANGE",'中古車掲載'!J866=2023,ISNUMBER('中古車掲載'!N866),'中古車掲載'!N866&gt;=20000,'中古車掲載'!O866&lt;=100000,'中古車掲載'!AL866=1),'中古車掲載'!U866,"")</x:f>
      </x:c>
      <x:c r="BA865" t="str">
        <x:f>IF(AND('中古車掲載'!C866="One2car",'中古車掲載'!F866="Corolla Cross",'中古車掲載'!L866="HEV PREMIUM SAFETY",'中古車掲載'!J866=2023,ISNUMBER('中古車掲載'!N866),'中古車掲載'!N866&gt;=20000,'中古車掲載'!O866&lt;=100000,'中古車掲載'!AL866=1,'中古車掲載'!Z866="https://www.one2car.com/en/cars-for-sale/toyota/corolla-cross/year-2023"),'中古車掲載'!U866,"")</x:f>
      </x:c>
      <x:c r="BB865" t="str">
        <x:f>IF(AND('中古車掲載'!C866="One2car",'中古車掲載'!F866="ATTO 3",'中古車掲載'!L866="EXTENDED RANGE",'中古車掲載'!J866=2023,ISNUMBER('中古車掲載'!N866),'中古車掲載'!N866&gt;=50000,'中古車掲載'!O866&lt;=100000,'中古車掲載'!AL866=1),'中古車掲載'!U866,"")</x:f>
      </x:c>
      <x:c r="BC865" t="str">
        <x:f>IF(AND('中古車掲載'!C866="One2car",'中古車掲載'!F866="Corolla Cross",'中古車掲載'!L866="HEV PREMIUM SAFETY",'中古車掲載'!J866=2023,ISNUMBER('中古車掲載'!N866),'中古車掲載'!N866&gt;=50000,'中古車掲載'!O866&lt;=100000,'中古車掲載'!AL866=1,'中古車掲載'!Z866="https://www.one2car.com/en/cars-for-sale/toyota/corolla-cross/year-2023"),'中古車掲載'!U866,"")</x:f>
      </x:c>
      <x:c r="BD865" t="str">
        <x:f>IF(AND('中古車掲載'!C866="One2car",'中古車掲載'!F866="ATTO 3",'中古車掲載'!L866="EXTENDED RANGE",'中古車掲載'!J866=2023,ISNUMBER('中古車掲載'!N866),'中古車掲載'!N866&gt;=20000,'中古車掲載'!O866&lt;=50000,'中古車掲載'!AL866=1),'中古車掲載'!U866,"")</x:f>
      </x:c>
      <x:c r="BE865" t="str">
        <x:f>IF(AND('中古車掲載'!C866="One2car",'中古車掲載'!F866="Corolla Cross",'中古車掲載'!L866="HEV PREMIUM SAFETY",'中古車掲載'!J866=2023,ISNUMBER('中古車掲載'!N866),'中古車掲載'!N866&gt;=20000,'中古車掲載'!O866&lt;=50000,'中古車掲載'!AL866=1,'中古車掲載'!Z866="https://www.one2car.com/en/cars-for-sale/toyota/corolla-cross/year-2023"),'中古車掲載'!U866,"")</x:f>
      </x:c>
      <x:c r="BF865" t="str">
        <x:f>IF(AND('中古車掲載'!C866="One2car",'中古車掲載'!F866="Corolla Cross",'中古車掲載'!L866="HEV PREMIUM",'中古車掲載'!J866=2023,ISNUMBER('中古車掲載'!N866),'中古車掲載'!N866&gt;=20000,'中古車掲載'!O866&lt;=100000,'中古車掲載'!AL866=1,'中古車掲載'!Z866="https://www.one2car.com/en/cars-for-sale/toyota/corolla-cross/year-2023"),'中古車掲載'!U866,"")</x:f>
      </x:c>
      <x:c r="BG865" t="str">
        <x:f>IF(AND('中古車掲載'!C866="One2car",'中古車掲載'!F866="Corolla Cross",'中古車掲載'!L866="HEV GR SPORT",'中古車掲載'!J866=2023,ISNUMBER('中古車掲載'!N866),'中古車掲載'!N866&gt;=20000,'中古車掲載'!O866&lt;=100000,'中古車掲載'!AL866=1,'中古車掲載'!Z866="https://www.one2car.com/en/cars-for-sale/toyota/corolla-cross/year-2023"),'中古車掲載'!U866,"")</x:f>
      </x:c>
      <x:c r="BH865" t="str">
        <x:f>IF(AND('中古車掲載'!C866="One2car",'中古車掲載'!F866="DOLPHIN",'中古車掲載'!L866="STANDARD RANGE",'中古車掲載'!J866=2023,ISNUMBER('中古車掲載'!N866),'中古車掲載'!N866&gt;=20000,'中古車掲載'!O866&lt;=100000,'中古車掲載'!AL866=1),'中古車掲載'!U866,"")</x:f>
      </x:c>
      <x:c r="BI865" t="str">
        <x:v>Taladrod|Hilux Revo|ICE|Unknown</x:v>
      </x:c>
      <x:c r="BJ865" t="n">
        <x:v>866</x:v>
      </x:c>
      <x:c r="BK865" t="n">
        <x:f>'中古車掲載'!AM866</x:f>
        <x:v>899000</x:v>
      </x:c>
      <x:c r="BL865" t="str">
        <x:f>IF(ISNUMBER('中古車掲載'!AN866),'中古車掲載'!AN866,"")</x:f>
      </x:c>
    </x:row>
    <x:row r="866">
      <x:c r="AZ866" t="str">
        <x:f>IF(AND('中古車掲載'!C867="One2car",'中古車掲載'!F867="ATTO 3",'中古車掲載'!L867="EXTENDED RANGE",'中古車掲載'!J867=2023,ISNUMBER('中古車掲載'!N867),'中古車掲載'!N867&gt;=20000,'中古車掲載'!O867&lt;=100000,'中古車掲載'!AL867=1),'中古車掲載'!U867,"")</x:f>
      </x:c>
      <x:c r="BA866" t="str">
        <x:f>IF(AND('中古車掲載'!C867="One2car",'中古車掲載'!F867="Corolla Cross",'中古車掲載'!L867="HEV PREMIUM SAFETY",'中古車掲載'!J867=2023,ISNUMBER('中古車掲載'!N867),'中古車掲載'!N867&gt;=20000,'中古車掲載'!O867&lt;=100000,'中古車掲載'!AL867=1,'中古車掲載'!Z867="https://www.one2car.com/en/cars-for-sale/toyota/corolla-cross/year-2023"),'中古車掲載'!U867,"")</x:f>
      </x:c>
      <x:c r="BB866" t="str">
        <x:f>IF(AND('中古車掲載'!C867="One2car",'中古車掲載'!F867="ATTO 3",'中古車掲載'!L867="EXTENDED RANGE",'中古車掲載'!J867=2023,ISNUMBER('中古車掲載'!N867),'中古車掲載'!N867&gt;=50000,'中古車掲載'!O867&lt;=100000,'中古車掲載'!AL867=1),'中古車掲載'!U867,"")</x:f>
      </x:c>
      <x:c r="BC866" t="str">
        <x:f>IF(AND('中古車掲載'!C867="One2car",'中古車掲載'!F867="Corolla Cross",'中古車掲載'!L867="HEV PREMIUM SAFETY",'中古車掲載'!J867=2023,ISNUMBER('中古車掲載'!N867),'中古車掲載'!N867&gt;=50000,'中古車掲載'!O867&lt;=100000,'中古車掲載'!AL867=1,'中古車掲載'!Z867="https://www.one2car.com/en/cars-for-sale/toyota/corolla-cross/year-2023"),'中古車掲載'!U867,"")</x:f>
      </x:c>
      <x:c r="BD866" t="str">
        <x:f>IF(AND('中古車掲載'!C867="One2car",'中古車掲載'!F867="ATTO 3",'中古車掲載'!L867="EXTENDED RANGE",'中古車掲載'!J867=2023,ISNUMBER('中古車掲載'!N867),'中古車掲載'!N867&gt;=20000,'中古車掲載'!O867&lt;=50000,'中古車掲載'!AL867=1),'中古車掲載'!U867,"")</x:f>
      </x:c>
      <x:c r="BE866" t="str">
        <x:f>IF(AND('中古車掲載'!C867="One2car",'中古車掲載'!F867="Corolla Cross",'中古車掲載'!L867="HEV PREMIUM SAFETY",'中古車掲載'!J867=2023,ISNUMBER('中古車掲載'!N867),'中古車掲載'!N867&gt;=20000,'中古車掲載'!O867&lt;=50000,'中古車掲載'!AL867=1,'中古車掲載'!Z867="https://www.one2car.com/en/cars-for-sale/toyota/corolla-cross/year-2023"),'中古車掲載'!U867,"")</x:f>
      </x:c>
      <x:c r="BF866" t="str">
        <x:f>IF(AND('中古車掲載'!C867="One2car",'中古車掲載'!F867="Corolla Cross",'中古車掲載'!L867="HEV PREMIUM",'中古車掲載'!J867=2023,ISNUMBER('中古車掲載'!N867),'中古車掲載'!N867&gt;=20000,'中古車掲載'!O867&lt;=100000,'中古車掲載'!AL867=1,'中古車掲載'!Z867="https://www.one2car.com/en/cars-for-sale/toyota/corolla-cross/year-2023"),'中古車掲載'!U867,"")</x:f>
      </x:c>
      <x:c r="BG866" t="str">
        <x:f>IF(AND('中古車掲載'!C867="One2car",'中古車掲載'!F867="Corolla Cross",'中古車掲載'!L867="HEV GR SPORT",'中古車掲載'!J867=2023,ISNUMBER('中古車掲載'!N867),'中古車掲載'!N867&gt;=20000,'中古車掲載'!O867&lt;=100000,'中古車掲載'!AL867=1,'中古車掲載'!Z867="https://www.one2car.com/en/cars-for-sale/toyota/corolla-cross/year-2023"),'中古車掲載'!U867,"")</x:f>
      </x:c>
      <x:c r="BH866" t="str">
        <x:f>IF(AND('中古車掲載'!C867="One2car",'中古車掲載'!F867="DOLPHIN",'中古車掲載'!L867="STANDARD RANGE",'中古車掲載'!J867=2023,ISNUMBER('中古車掲載'!N867),'中古車掲載'!N867&gt;=20000,'中古車掲載'!O867&lt;=100000,'中古車掲載'!AL867=1),'中古車掲載'!U867,"")</x:f>
      </x:c>
      <x:c r="BI866" t="str">
        <x:v>Taladrod|Hilux Revo|ICE|Unknown</x:v>
      </x:c>
      <x:c r="BJ866" t="n">
        <x:v>867</x:v>
      </x:c>
      <x:c r="BK866" t="n">
        <x:f>'中古車掲載'!AM867</x:f>
        <x:v>834000</x:v>
      </x:c>
      <x:c r="BL866" t="str">
        <x:f>IF(ISNUMBER('中古車掲載'!AN867),'中古車掲載'!AN867,"")</x:f>
      </x:c>
    </x:row>
    <x:row r="867">
      <x:c r="AZ867" t="str">
        <x:f>IF(AND('中古車掲載'!C868="One2car",'中古車掲載'!F868="ATTO 3",'中古車掲載'!L868="EXTENDED RANGE",'中古車掲載'!J868=2023,ISNUMBER('中古車掲載'!N868),'中古車掲載'!N868&gt;=20000,'中古車掲載'!O868&lt;=100000,'中古車掲載'!AL868=1),'中古車掲載'!U868,"")</x:f>
      </x:c>
      <x:c r="BA867" t="str">
        <x:f>IF(AND('中古車掲載'!C868="One2car",'中古車掲載'!F868="Corolla Cross",'中古車掲載'!L868="HEV PREMIUM SAFETY",'中古車掲載'!J868=2023,ISNUMBER('中古車掲載'!N868),'中古車掲載'!N868&gt;=20000,'中古車掲載'!O868&lt;=100000,'中古車掲載'!AL868=1,'中古車掲載'!Z868="https://www.one2car.com/en/cars-for-sale/toyota/corolla-cross/year-2023"),'中古車掲載'!U868,"")</x:f>
      </x:c>
      <x:c r="BB867" t="str">
        <x:f>IF(AND('中古車掲載'!C868="One2car",'中古車掲載'!F868="ATTO 3",'中古車掲載'!L868="EXTENDED RANGE",'中古車掲載'!J868=2023,ISNUMBER('中古車掲載'!N868),'中古車掲載'!N868&gt;=50000,'中古車掲載'!O868&lt;=100000,'中古車掲載'!AL868=1),'中古車掲載'!U868,"")</x:f>
      </x:c>
      <x:c r="BC867" t="str">
        <x:f>IF(AND('中古車掲載'!C868="One2car",'中古車掲載'!F868="Corolla Cross",'中古車掲載'!L868="HEV PREMIUM SAFETY",'中古車掲載'!J868=2023,ISNUMBER('中古車掲載'!N868),'中古車掲載'!N868&gt;=50000,'中古車掲載'!O868&lt;=100000,'中古車掲載'!AL868=1,'中古車掲載'!Z868="https://www.one2car.com/en/cars-for-sale/toyota/corolla-cross/year-2023"),'中古車掲載'!U868,"")</x:f>
      </x:c>
      <x:c r="BD867" t="str">
        <x:f>IF(AND('中古車掲載'!C868="One2car",'中古車掲載'!F868="ATTO 3",'中古車掲載'!L868="EXTENDED RANGE",'中古車掲載'!J868=2023,ISNUMBER('中古車掲載'!N868),'中古車掲載'!N868&gt;=20000,'中古車掲載'!O868&lt;=50000,'中古車掲載'!AL868=1),'中古車掲載'!U868,"")</x:f>
      </x:c>
      <x:c r="BE867" t="str">
        <x:f>IF(AND('中古車掲載'!C868="One2car",'中古車掲載'!F868="Corolla Cross",'中古車掲載'!L868="HEV PREMIUM SAFETY",'中古車掲載'!J868=2023,ISNUMBER('中古車掲載'!N868),'中古車掲載'!N868&gt;=20000,'中古車掲載'!O868&lt;=50000,'中古車掲載'!AL868=1,'中古車掲載'!Z868="https://www.one2car.com/en/cars-for-sale/toyota/corolla-cross/year-2023"),'中古車掲載'!U868,"")</x:f>
      </x:c>
      <x:c r="BF867" t="str">
        <x:f>IF(AND('中古車掲載'!C868="One2car",'中古車掲載'!F868="Corolla Cross",'中古車掲載'!L868="HEV PREMIUM",'中古車掲載'!J868=2023,ISNUMBER('中古車掲載'!N868),'中古車掲載'!N868&gt;=20000,'中古車掲載'!O868&lt;=100000,'中古車掲載'!AL868=1,'中古車掲載'!Z868="https://www.one2car.com/en/cars-for-sale/toyota/corolla-cross/year-2023"),'中古車掲載'!U868,"")</x:f>
      </x:c>
      <x:c r="BG867" t="str">
        <x:f>IF(AND('中古車掲載'!C868="One2car",'中古車掲載'!F868="Corolla Cross",'中古車掲載'!L868="HEV GR SPORT",'中古車掲載'!J868=2023,ISNUMBER('中古車掲載'!N868),'中古車掲載'!N868&gt;=20000,'中古車掲載'!O868&lt;=100000,'中古車掲載'!AL868=1,'中古車掲載'!Z868="https://www.one2car.com/en/cars-for-sale/toyota/corolla-cross/year-2023"),'中古車掲載'!U868,"")</x:f>
      </x:c>
      <x:c r="BH867" t="str">
        <x:f>IF(AND('中古車掲載'!C868="One2car",'中古車掲載'!F868="DOLPHIN",'中古車掲載'!L868="STANDARD RANGE",'中古車掲載'!J868=2023,ISNUMBER('中古車掲載'!N868),'中古車掲載'!N868&gt;=20000,'中古車掲載'!O868&lt;=100000,'中古車掲載'!AL868=1),'中古車掲載'!U868,"")</x:f>
      </x:c>
      <x:c r="BI867" t="str">
        <x:v>Taladrod|Hilux Revo|ICE|Unknown</x:v>
      </x:c>
      <x:c r="BJ867" t="n">
        <x:v>868</x:v>
      </x:c>
      <x:c r="BK867" t="n">
        <x:f>'中古車掲載'!AM868</x:f>
        <x:v>699000</x:v>
      </x:c>
      <x:c r="BL867" t="str">
        <x:f>IF(ISNUMBER('中古車掲載'!AN868),'中古車掲載'!AN868,"")</x:f>
      </x:c>
    </x:row>
    <x:row r="868">
      <x:c r="AZ868" t="str">
        <x:f>IF(AND('中古車掲載'!C869="One2car",'中古車掲載'!F869="ATTO 3",'中古車掲載'!L869="EXTENDED RANGE",'中古車掲載'!J869=2023,ISNUMBER('中古車掲載'!N869),'中古車掲載'!N869&gt;=20000,'中古車掲載'!O869&lt;=100000,'中古車掲載'!AL869=1),'中古車掲載'!U869,"")</x:f>
      </x:c>
      <x:c r="BA868" t="str">
        <x:f>IF(AND('中古車掲載'!C869="One2car",'中古車掲載'!F869="Corolla Cross",'中古車掲載'!L869="HEV PREMIUM SAFETY",'中古車掲載'!J869=2023,ISNUMBER('中古車掲載'!N869),'中古車掲載'!N869&gt;=20000,'中古車掲載'!O869&lt;=100000,'中古車掲載'!AL869=1,'中古車掲載'!Z869="https://www.one2car.com/en/cars-for-sale/toyota/corolla-cross/year-2023"),'中古車掲載'!U869,"")</x:f>
      </x:c>
      <x:c r="BB868" t="str">
        <x:f>IF(AND('中古車掲載'!C869="One2car",'中古車掲載'!F869="ATTO 3",'中古車掲載'!L869="EXTENDED RANGE",'中古車掲載'!J869=2023,ISNUMBER('中古車掲載'!N869),'中古車掲載'!N869&gt;=50000,'中古車掲載'!O869&lt;=100000,'中古車掲載'!AL869=1),'中古車掲載'!U869,"")</x:f>
      </x:c>
      <x:c r="BC868" t="str">
        <x:f>IF(AND('中古車掲載'!C869="One2car",'中古車掲載'!F869="Corolla Cross",'中古車掲載'!L869="HEV PREMIUM SAFETY",'中古車掲載'!J869=2023,ISNUMBER('中古車掲載'!N869),'中古車掲載'!N869&gt;=50000,'中古車掲載'!O869&lt;=100000,'中古車掲載'!AL869=1,'中古車掲載'!Z869="https://www.one2car.com/en/cars-for-sale/toyota/corolla-cross/year-2023"),'中古車掲載'!U869,"")</x:f>
      </x:c>
      <x:c r="BD868" t="str">
        <x:f>IF(AND('中古車掲載'!C869="One2car",'中古車掲載'!F869="ATTO 3",'中古車掲載'!L869="EXTENDED RANGE",'中古車掲載'!J869=2023,ISNUMBER('中古車掲載'!N869),'中古車掲載'!N869&gt;=20000,'中古車掲載'!O869&lt;=50000,'中古車掲載'!AL869=1),'中古車掲載'!U869,"")</x:f>
      </x:c>
      <x:c r="BE868" t="str">
        <x:f>IF(AND('中古車掲載'!C869="One2car",'中古車掲載'!F869="Corolla Cross",'中古車掲載'!L869="HEV PREMIUM SAFETY",'中古車掲載'!J869=2023,ISNUMBER('中古車掲載'!N869),'中古車掲載'!N869&gt;=20000,'中古車掲載'!O869&lt;=50000,'中古車掲載'!AL869=1,'中古車掲載'!Z869="https://www.one2car.com/en/cars-for-sale/toyota/corolla-cross/year-2023"),'中古車掲載'!U869,"")</x:f>
      </x:c>
      <x:c r="BF868" t="str">
        <x:f>IF(AND('中古車掲載'!C869="One2car",'中古車掲載'!F869="Corolla Cross",'中古車掲載'!L869="HEV PREMIUM",'中古車掲載'!J869=2023,ISNUMBER('中古車掲載'!N869),'中古車掲載'!N869&gt;=20000,'中古車掲載'!O869&lt;=100000,'中古車掲載'!AL869=1,'中古車掲載'!Z869="https://www.one2car.com/en/cars-for-sale/toyota/corolla-cross/year-2023"),'中古車掲載'!U869,"")</x:f>
      </x:c>
      <x:c r="BG868" t="str">
        <x:f>IF(AND('中古車掲載'!C869="One2car",'中古車掲載'!F869="Corolla Cross",'中古車掲載'!L869="HEV GR SPORT",'中古車掲載'!J869=2023,ISNUMBER('中古車掲載'!N869),'中古車掲載'!N869&gt;=20000,'中古車掲載'!O869&lt;=100000,'中古車掲載'!AL869=1,'中古車掲載'!Z869="https://www.one2car.com/en/cars-for-sale/toyota/corolla-cross/year-2023"),'中古車掲載'!U869,"")</x:f>
      </x:c>
      <x:c r="BH868" t="str">
        <x:f>IF(AND('中古車掲載'!C869="One2car",'中古車掲載'!F869="DOLPHIN",'中古車掲載'!L869="STANDARD RANGE",'中古車掲載'!J869=2023,ISNUMBER('中古車掲載'!N869),'中古車掲載'!N869&gt;=20000,'中古車掲載'!O869&lt;=100000,'中古車掲載'!AL869=1),'中古車掲載'!U869,"")</x:f>
      </x:c>
      <x:c r="BI868" t="str">
        <x:v>Taladrod|Hilux Revo|ICE|Unknown</x:v>
      </x:c>
      <x:c r="BJ868" t="n">
        <x:v>869</x:v>
      </x:c>
      <x:c r="BK868" t="n">
        <x:f>'中古車掲載'!AM869</x:f>
        <x:v>519000</x:v>
      </x:c>
      <x:c r="BL868" t="str">
        <x:f>IF(ISNUMBER('中古車掲載'!AN869),'中古車掲載'!AN869,"")</x:f>
      </x:c>
    </x:row>
    <x:row r="869">
      <x:c r="AZ869" t="str">
        <x:f>IF(AND('中古車掲載'!C870="One2car",'中古車掲載'!F870="ATTO 3",'中古車掲載'!L870="EXTENDED RANGE",'中古車掲載'!J870=2023,ISNUMBER('中古車掲載'!N870),'中古車掲載'!N870&gt;=20000,'中古車掲載'!O870&lt;=100000,'中古車掲載'!AL870=1),'中古車掲載'!U870,"")</x:f>
      </x:c>
      <x:c r="BA869" t="str">
        <x:f>IF(AND('中古車掲載'!C870="One2car",'中古車掲載'!F870="Corolla Cross",'中古車掲載'!L870="HEV PREMIUM SAFETY",'中古車掲載'!J870=2023,ISNUMBER('中古車掲載'!N870),'中古車掲載'!N870&gt;=20000,'中古車掲載'!O870&lt;=100000,'中古車掲載'!AL870=1,'中古車掲載'!Z870="https://www.one2car.com/en/cars-for-sale/toyota/corolla-cross/year-2023"),'中古車掲載'!U870,"")</x:f>
      </x:c>
      <x:c r="BB869" t="str">
        <x:f>IF(AND('中古車掲載'!C870="One2car",'中古車掲載'!F870="ATTO 3",'中古車掲載'!L870="EXTENDED RANGE",'中古車掲載'!J870=2023,ISNUMBER('中古車掲載'!N870),'中古車掲載'!N870&gt;=50000,'中古車掲載'!O870&lt;=100000,'中古車掲載'!AL870=1),'中古車掲載'!U870,"")</x:f>
      </x:c>
      <x:c r="BC869" t="str">
        <x:f>IF(AND('中古車掲載'!C870="One2car",'中古車掲載'!F870="Corolla Cross",'中古車掲載'!L870="HEV PREMIUM SAFETY",'中古車掲載'!J870=2023,ISNUMBER('中古車掲載'!N870),'中古車掲載'!N870&gt;=50000,'中古車掲載'!O870&lt;=100000,'中古車掲載'!AL870=1,'中古車掲載'!Z870="https://www.one2car.com/en/cars-for-sale/toyota/corolla-cross/year-2023"),'中古車掲載'!U870,"")</x:f>
      </x:c>
      <x:c r="BD869" t="str">
        <x:f>IF(AND('中古車掲載'!C870="One2car",'中古車掲載'!F870="ATTO 3",'中古車掲載'!L870="EXTENDED RANGE",'中古車掲載'!J870=2023,ISNUMBER('中古車掲載'!N870),'中古車掲載'!N870&gt;=20000,'中古車掲載'!O870&lt;=50000,'中古車掲載'!AL870=1),'中古車掲載'!U870,"")</x:f>
      </x:c>
      <x:c r="BE869" t="str">
        <x:f>IF(AND('中古車掲載'!C870="One2car",'中古車掲載'!F870="Corolla Cross",'中古車掲載'!L870="HEV PREMIUM SAFETY",'中古車掲載'!J870=2023,ISNUMBER('中古車掲載'!N870),'中古車掲載'!N870&gt;=20000,'中古車掲載'!O870&lt;=50000,'中古車掲載'!AL870=1,'中古車掲載'!Z870="https://www.one2car.com/en/cars-for-sale/toyota/corolla-cross/year-2023"),'中古車掲載'!U870,"")</x:f>
      </x:c>
      <x:c r="BF869" t="str">
        <x:f>IF(AND('中古車掲載'!C870="One2car",'中古車掲載'!F870="Corolla Cross",'中古車掲載'!L870="HEV PREMIUM",'中古車掲載'!J870=2023,ISNUMBER('中古車掲載'!N870),'中古車掲載'!N870&gt;=20000,'中古車掲載'!O870&lt;=100000,'中古車掲載'!AL870=1,'中古車掲載'!Z870="https://www.one2car.com/en/cars-for-sale/toyota/corolla-cross/year-2023"),'中古車掲載'!U870,"")</x:f>
      </x:c>
      <x:c r="BG869" t="str">
        <x:f>IF(AND('中古車掲載'!C870="One2car",'中古車掲載'!F870="Corolla Cross",'中古車掲載'!L870="HEV GR SPORT",'中古車掲載'!J870=2023,ISNUMBER('中古車掲載'!N870),'中古車掲載'!N870&gt;=20000,'中古車掲載'!O870&lt;=100000,'中古車掲載'!AL870=1,'中古車掲載'!Z870="https://www.one2car.com/en/cars-for-sale/toyota/corolla-cross/year-2023"),'中古車掲載'!U870,"")</x:f>
      </x:c>
      <x:c r="BH869" t="str">
        <x:f>IF(AND('中古車掲載'!C870="One2car",'中古車掲載'!F870="DOLPHIN",'中古車掲載'!L870="STANDARD RANGE",'中古車掲載'!J870=2023,ISNUMBER('中古車掲載'!N870),'中古車掲載'!N870&gt;=20000,'中古車掲載'!O870&lt;=100000,'中古車掲載'!AL870=1),'中古車掲載'!U870,"")</x:f>
      </x:c>
      <x:c r="BI869" t="str">
        <x:v>Taladrod|Hilux Revo|ICE|Unknown</x:v>
      </x:c>
      <x:c r="BJ869" t="n">
        <x:v>870</x:v>
      </x:c>
      <x:c r="BK869" t="n">
        <x:f>'中古車掲載'!AM870</x:f>
        <x:v>565000</x:v>
      </x:c>
      <x:c r="BL869" t="str">
        <x:f>IF(ISNUMBER('中古車掲載'!AN870),'中古車掲載'!AN870,"")</x:f>
      </x:c>
    </x:row>
    <x:row r="870">
      <x:c r="AZ870" t="str">
        <x:f>IF(AND('中古車掲載'!C871="One2car",'中古車掲載'!F871="ATTO 3",'中古車掲載'!L871="EXTENDED RANGE",'中古車掲載'!J871=2023,ISNUMBER('中古車掲載'!N871),'中古車掲載'!N871&gt;=20000,'中古車掲載'!O871&lt;=100000,'中古車掲載'!AL871=1),'中古車掲載'!U871,"")</x:f>
      </x:c>
      <x:c r="BA870" t="str">
        <x:f>IF(AND('中古車掲載'!C871="One2car",'中古車掲載'!F871="Corolla Cross",'中古車掲載'!L871="HEV PREMIUM SAFETY",'中古車掲載'!J871=2023,ISNUMBER('中古車掲載'!N871),'中古車掲載'!N871&gt;=20000,'中古車掲載'!O871&lt;=100000,'中古車掲載'!AL871=1,'中古車掲載'!Z871="https://www.one2car.com/en/cars-for-sale/toyota/corolla-cross/year-2023"),'中古車掲載'!U871,"")</x:f>
      </x:c>
      <x:c r="BB870" t="str">
        <x:f>IF(AND('中古車掲載'!C871="One2car",'中古車掲載'!F871="ATTO 3",'中古車掲載'!L871="EXTENDED RANGE",'中古車掲載'!J871=2023,ISNUMBER('中古車掲載'!N871),'中古車掲載'!N871&gt;=50000,'中古車掲載'!O871&lt;=100000,'中古車掲載'!AL871=1),'中古車掲載'!U871,"")</x:f>
      </x:c>
      <x:c r="BC870" t="str">
        <x:f>IF(AND('中古車掲載'!C871="One2car",'中古車掲載'!F871="Corolla Cross",'中古車掲載'!L871="HEV PREMIUM SAFETY",'中古車掲載'!J871=2023,ISNUMBER('中古車掲載'!N871),'中古車掲載'!N871&gt;=50000,'中古車掲載'!O871&lt;=100000,'中古車掲載'!AL871=1,'中古車掲載'!Z871="https://www.one2car.com/en/cars-for-sale/toyota/corolla-cross/year-2023"),'中古車掲載'!U871,"")</x:f>
      </x:c>
      <x:c r="BD870" t="str">
        <x:f>IF(AND('中古車掲載'!C871="One2car",'中古車掲載'!F871="ATTO 3",'中古車掲載'!L871="EXTENDED RANGE",'中古車掲載'!J871=2023,ISNUMBER('中古車掲載'!N871),'中古車掲載'!N871&gt;=20000,'中古車掲載'!O871&lt;=50000,'中古車掲載'!AL871=1),'中古車掲載'!U871,"")</x:f>
      </x:c>
      <x:c r="BE870" t="str">
        <x:f>IF(AND('中古車掲載'!C871="One2car",'中古車掲載'!F871="Corolla Cross",'中古車掲載'!L871="HEV PREMIUM SAFETY",'中古車掲載'!J871=2023,ISNUMBER('中古車掲載'!N871),'中古車掲載'!N871&gt;=20000,'中古車掲載'!O871&lt;=50000,'中古車掲載'!AL871=1,'中古車掲載'!Z871="https://www.one2car.com/en/cars-for-sale/toyota/corolla-cross/year-2023"),'中古車掲載'!U871,"")</x:f>
      </x:c>
      <x:c r="BF870" t="str">
        <x:f>IF(AND('中古車掲載'!C871="One2car",'中古車掲載'!F871="Corolla Cross",'中古車掲載'!L871="HEV PREMIUM",'中古車掲載'!J871=2023,ISNUMBER('中古車掲載'!N871),'中古車掲載'!N871&gt;=20000,'中古車掲載'!O871&lt;=100000,'中古車掲載'!AL871=1,'中古車掲載'!Z871="https://www.one2car.com/en/cars-for-sale/toyota/corolla-cross/year-2023"),'中古車掲載'!U871,"")</x:f>
      </x:c>
      <x:c r="BG870" t="str">
        <x:f>IF(AND('中古車掲載'!C871="One2car",'中古車掲載'!F871="Corolla Cross",'中古車掲載'!L871="HEV GR SPORT",'中古車掲載'!J871=2023,ISNUMBER('中古車掲載'!N871),'中古車掲載'!N871&gt;=20000,'中古車掲載'!O871&lt;=100000,'中古車掲載'!AL871=1,'中古車掲載'!Z871="https://www.one2car.com/en/cars-for-sale/toyota/corolla-cross/year-2023"),'中古車掲載'!U871,"")</x:f>
      </x:c>
      <x:c r="BH870" t="str">
        <x:f>IF(AND('中古車掲載'!C871="One2car",'中古車掲載'!F871="DOLPHIN",'中古車掲載'!L871="STANDARD RANGE",'中古車掲載'!J871=2023,ISNUMBER('中古車掲載'!N871),'中古車掲載'!N871&gt;=20000,'中古車掲載'!O871&lt;=100000,'中古車掲載'!AL871=1),'中古車掲載'!U871,"")</x:f>
      </x:c>
      <x:c r="BI870" t="str">
        <x:v>Taladrod|Hilux Revo|ICE|Unknown</x:v>
      </x:c>
      <x:c r="BJ870" t="n">
        <x:v>871</x:v>
      </x:c>
      <x:c r="BK870" t="n">
        <x:f>'中古車掲載'!AM871</x:f>
        <x:v>565000</x:v>
      </x:c>
      <x:c r="BL870" t="str">
        <x:f>IF(ISNUMBER('中古車掲載'!AN871),'中古車掲載'!AN871,"")</x:f>
      </x:c>
    </x:row>
    <x:row r="871">
      <x:c r="AZ871" t="str">
        <x:f>IF(AND('中古車掲載'!C872="One2car",'中古車掲載'!F872="ATTO 3",'中古車掲載'!L872="EXTENDED RANGE",'中古車掲載'!J872=2023,ISNUMBER('中古車掲載'!N872),'中古車掲載'!N872&gt;=20000,'中古車掲載'!O872&lt;=100000,'中古車掲載'!AL872=1),'中古車掲載'!U872,"")</x:f>
      </x:c>
      <x:c r="BA871" t="str">
        <x:f>IF(AND('中古車掲載'!C872="One2car",'中古車掲載'!F872="Corolla Cross",'中古車掲載'!L872="HEV PREMIUM SAFETY",'中古車掲載'!J872=2023,ISNUMBER('中古車掲載'!N872),'中古車掲載'!N872&gt;=20000,'中古車掲載'!O872&lt;=100000,'中古車掲載'!AL872=1,'中古車掲載'!Z872="https://www.one2car.com/en/cars-for-sale/toyota/corolla-cross/year-2023"),'中古車掲載'!U872,"")</x:f>
      </x:c>
      <x:c r="BB871" t="str">
        <x:f>IF(AND('中古車掲載'!C872="One2car",'中古車掲載'!F872="ATTO 3",'中古車掲載'!L872="EXTENDED RANGE",'中古車掲載'!J872=2023,ISNUMBER('中古車掲載'!N872),'中古車掲載'!N872&gt;=50000,'中古車掲載'!O872&lt;=100000,'中古車掲載'!AL872=1),'中古車掲載'!U872,"")</x:f>
      </x:c>
      <x:c r="BC871" t="str">
        <x:f>IF(AND('中古車掲載'!C872="One2car",'中古車掲載'!F872="Corolla Cross",'中古車掲載'!L872="HEV PREMIUM SAFETY",'中古車掲載'!J872=2023,ISNUMBER('中古車掲載'!N872),'中古車掲載'!N872&gt;=50000,'中古車掲載'!O872&lt;=100000,'中古車掲載'!AL872=1,'中古車掲載'!Z872="https://www.one2car.com/en/cars-for-sale/toyota/corolla-cross/year-2023"),'中古車掲載'!U872,"")</x:f>
      </x:c>
      <x:c r="BD871" t="str">
        <x:f>IF(AND('中古車掲載'!C872="One2car",'中古車掲載'!F872="ATTO 3",'中古車掲載'!L872="EXTENDED RANGE",'中古車掲載'!J872=2023,ISNUMBER('中古車掲載'!N872),'中古車掲載'!N872&gt;=20000,'中古車掲載'!O872&lt;=50000,'中古車掲載'!AL872=1),'中古車掲載'!U872,"")</x:f>
      </x:c>
      <x:c r="BE871" t="str">
        <x:f>IF(AND('中古車掲載'!C872="One2car",'中古車掲載'!F872="Corolla Cross",'中古車掲載'!L872="HEV PREMIUM SAFETY",'中古車掲載'!J872=2023,ISNUMBER('中古車掲載'!N872),'中古車掲載'!N872&gt;=20000,'中古車掲載'!O872&lt;=50000,'中古車掲載'!AL872=1,'中古車掲載'!Z872="https://www.one2car.com/en/cars-for-sale/toyota/corolla-cross/year-2023"),'中古車掲載'!U872,"")</x:f>
      </x:c>
      <x:c r="BF871" t="str">
        <x:f>IF(AND('中古車掲載'!C872="One2car",'中古車掲載'!F872="Corolla Cross",'中古車掲載'!L872="HEV PREMIUM",'中古車掲載'!J872=2023,ISNUMBER('中古車掲載'!N872),'中古車掲載'!N872&gt;=20000,'中古車掲載'!O872&lt;=100000,'中古車掲載'!AL872=1,'中古車掲載'!Z872="https://www.one2car.com/en/cars-for-sale/toyota/corolla-cross/year-2023"),'中古車掲載'!U872,"")</x:f>
      </x:c>
      <x:c r="BG871" t="str">
        <x:f>IF(AND('中古車掲載'!C872="One2car",'中古車掲載'!F872="Corolla Cross",'中古車掲載'!L872="HEV GR SPORT",'中古車掲載'!J872=2023,ISNUMBER('中古車掲載'!N872),'中古車掲載'!N872&gt;=20000,'中古車掲載'!O872&lt;=100000,'中古車掲載'!AL872=1,'中古車掲載'!Z872="https://www.one2car.com/en/cars-for-sale/toyota/corolla-cross/year-2023"),'中古車掲載'!U872,"")</x:f>
      </x:c>
      <x:c r="BH871" t="str">
        <x:f>IF(AND('中古車掲載'!C872="One2car",'中古車掲載'!F872="DOLPHIN",'中古車掲載'!L872="STANDARD RANGE",'中古車掲載'!J872=2023,ISNUMBER('中古車掲載'!N872),'中古車掲載'!N872&gt;=20000,'中古車掲載'!O872&lt;=100000,'中古車掲載'!AL872=1),'中古車掲載'!U872,"")</x:f>
      </x:c>
      <x:c r="BI871" t="str">
        <x:v>Taladrod|Hilux Revo|ICE|Unknown</x:v>
      </x:c>
      <x:c r="BJ871" t="n">
        <x:v>872</x:v>
      </x:c>
      <x:c r="BK871" t="n">
        <x:f>'中古車掲載'!AM872</x:f>
        <x:v>479000</x:v>
      </x:c>
      <x:c r="BL871" t="str">
        <x:f>IF(ISNUMBER('中古車掲載'!AN872),'中古車掲載'!AN872,"")</x:f>
      </x:c>
    </x:row>
    <x:row r="872">
      <x:c r="AZ872" t="str">
        <x:f>IF(AND('中古車掲載'!C873="One2car",'中古車掲載'!F873="ATTO 3",'中古車掲載'!L873="EXTENDED RANGE",'中古車掲載'!J873=2023,ISNUMBER('中古車掲載'!N873),'中古車掲載'!N873&gt;=20000,'中古車掲載'!O873&lt;=100000,'中古車掲載'!AL873=1),'中古車掲載'!U873,"")</x:f>
      </x:c>
      <x:c r="BA872" t="str">
        <x:f>IF(AND('中古車掲載'!C873="One2car",'中古車掲載'!F873="Corolla Cross",'中古車掲載'!L873="HEV PREMIUM SAFETY",'中古車掲載'!J873=2023,ISNUMBER('中古車掲載'!N873),'中古車掲載'!N873&gt;=20000,'中古車掲載'!O873&lt;=100000,'中古車掲載'!AL873=1,'中古車掲載'!Z873="https://www.one2car.com/en/cars-for-sale/toyota/corolla-cross/year-2023"),'中古車掲載'!U873,"")</x:f>
      </x:c>
      <x:c r="BB872" t="str">
        <x:f>IF(AND('中古車掲載'!C873="One2car",'中古車掲載'!F873="ATTO 3",'中古車掲載'!L873="EXTENDED RANGE",'中古車掲載'!J873=2023,ISNUMBER('中古車掲載'!N873),'中古車掲載'!N873&gt;=50000,'中古車掲載'!O873&lt;=100000,'中古車掲載'!AL873=1),'中古車掲載'!U873,"")</x:f>
      </x:c>
      <x:c r="BC872" t="str">
        <x:f>IF(AND('中古車掲載'!C873="One2car",'中古車掲載'!F873="Corolla Cross",'中古車掲載'!L873="HEV PREMIUM SAFETY",'中古車掲載'!J873=2023,ISNUMBER('中古車掲載'!N873),'中古車掲載'!N873&gt;=50000,'中古車掲載'!O873&lt;=100000,'中古車掲載'!AL873=1,'中古車掲載'!Z873="https://www.one2car.com/en/cars-for-sale/toyota/corolla-cross/year-2023"),'中古車掲載'!U873,"")</x:f>
      </x:c>
      <x:c r="BD872" t="str">
        <x:f>IF(AND('中古車掲載'!C873="One2car",'中古車掲載'!F873="ATTO 3",'中古車掲載'!L873="EXTENDED RANGE",'中古車掲載'!J873=2023,ISNUMBER('中古車掲載'!N873),'中古車掲載'!N873&gt;=20000,'中古車掲載'!O873&lt;=50000,'中古車掲載'!AL873=1),'中古車掲載'!U873,"")</x:f>
      </x:c>
      <x:c r="BE872" t="str">
        <x:f>IF(AND('中古車掲載'!C873="One2car",'中古車掲載'!F873="Corolla Cross",'中古車掲載'!L873="HEV PREMIUM SAFETY",'中古車掲載'!J873=2023,ISNUMBER('中古車掲載'!N873),'中古車掲載'!N873&gt;=20000,'中古車掲載'!O873&lt;=50000,'中古車掲載'!AL873=1,'中古車掲載'!Z873="https://www.one2car.com/en/cars-for-sale/toyota/corolla-cross/year-2023"),'中古車掲載'!U873,"")</x:f>
      </x:c>
      <x:c r="BF872" t="str">
        <x:f>IF(AND('中古車掲載'!C873="One2car",'中古車掲載'!F873="Corolla Cross",'中古車掲載'!L873="HEV PREMIUM",'中古車掲載'!J873=2023,ISNUMBER('中古車掲載'!N873),'中古車掲載'!N873&gt;=20000,'中古車掲載'!O873&lt;=100000,'中古車掲載'!AL873=1,'中古車掲載'!Z873="https://www.one2car.com/en/cars-for-sale/toyota/corolla-cross/year-2023"),'中古車掲載'!U873,"")</x:f>
      </x:c>
      <x:c r="BG872" t="str">
        <x:f>IF(AND('中古車掲載'!C873="One2car",'中古車掲載'!F873="Corolla Cross",'中古車掲載'!L873="HEV GR SPORT",'中古車掲載'!J873=2023,ISNUMBER('中古車掲載'!N873),'中古車掲載'!N873&gt;=20000,'中古車掲載'!O873&lt;=100000,'中古車掲載'!AL873=1,'中古車掲載'!Z873="https://www.one2car.com/en/cars-for-sale/toyota/corolla-cross/year-2023"),'中古車掲載'!U873,"")</x:f>
      </x:c>
      <x:c r="BH872" t="str">
        <x:f>IF(AND('中古車掲載'!C873="One2car",'中古車掲載'!F873="DOLPHIN",'中古車掲載'!L873="STANDARD RANGE",'中古車掲載'!J873=2023,ISNUMBER('中古車掲載'!N873),'中古車掲載'!N873&gt;=20000,'中古車掲載'!O873&lt;=100000,'中古車掲載'!AL873=1),'中古車掲載'!U873,"")</x:f>
      </x:c>
      <x:c r="BI872" t="str">
        <x:v>Taladrod|Hilux Revo|ICE|Unknown</x:v>
      </x:c>
      <x:c r="BJ872" t="n">
        <x:v>873</x:v>
      </x:c>
      <x:c r="BK872" t="n">
        <x:f>'中古車掲載'!AM873</x:f>
        <x:v>399000</x:v>
      </x:c>
      <x:c r="BL872" t="str">
        <x:f>IF(ISNUMBER('中古車掲載'!AN873),'中古車掲載'!AN873,"")</x:f>
      </x:c>
    </x:row>
    <x:row r="873">
      <x:c r="AZ873" t="str">
        <x:f>IF(AND('中古車掲載'!C874="One2car",'中古車掲載'!F874="ATTO 3",'中古車掲載'!L874="EXTENDED RANGE",'中古車掲載'!J874=2023,ISNUMBER('中古車掲載'!N874),'中古車掲載'!N874&gt;=20000,'中古車掲載'!O874&lt;=100000,'中古車掲載'!AL874=1),'中古車掲載'!U874,"")</x:f>
      </x:c>
      <x:c r="BA873" t="str">
        <x:f>IF(AND('中古車掲載'!C874="One2car",'中古車掲載'!F874="Corolla Cross",'中古車掲載'!L874="HEV PREMIUM SAFETY",'中古車掲載'!J874=2023,ISNUMBER('中古車掲載'!N874),'中古車掲載'!N874&gt;=20000,'中古車掲載'!O874&lt;=100000,'中古車掲載'!AL874=1,'中古車掲載'!Z874="https://www.one2car.com/en/cars-for-sale/toyota/corolla-cross/year-2023"),'中古車掲載'!U874,"")</x:f>
      </x:c>
      <x:c r="BB873" t="str">
        <x:f>IF(AND('中古車掲載'!C874="One2car",'中古車掲載'!F874="ATTO 3",'中古車掲載'!L874="EXTENDED RANGE",'中古車掲載'!J874=2023,ISNUMBER('中古車掲載'!N874),'中古車掲載'!N874&gt;=50000,'中古車掲載'!O874&lt;=100000,'中古車掲載'!AL874=1),'中古車掲載'!U874,"")</x:f>
      </x:c>
      <x:c r="BC873" t="str">
        <x:f>IF(AND('中古車掲載'!C874="One2car",'中古車掲載'!F874="Corolla Cross",'中古車掲載'!L874="HEV PREMIUM SAFETY",'中古車掲載'!J874=2023,ISNUMBER('中古車掲載'!N874),'中古車掲載'!N874&gt;=50000,'中古車掲載'!O874&lt;=100000,'中古車掲載'!AL874=1,'中古車掲載'!Z874="https://www.one2car.com/en/cars-for-sale/toyota/corolla-cross/year-2023"),'中古車掲載'!U874,"")</x:f>
      </x:c>
      <x:c r="BD873" t="str">
        <x:f>IF(AND('中古車掲載'!C874="One2car",'中古車掲載'!F874="ATTO 3",'中古車掲載'!L874="EXTENDED RANGE",'中古車掲載'!J874=2023,ISNUMBER('中古車掲載'!N874),'中古車掲載'!N874&gt;=20000,'中古車掲載'!O874&lt;=50000,'中古車掲載'!AL874=1),'中古車掲載'!U874,"")</x:f>
      </x:c>
      <x:c r="BE873" t="str">
        <x:f>IF(AND('中古車掲載'!C874="One2car",'中古車掲載'!F874="Corolla Cross",'中古車掲載'!L874="HEV PREMIUM SAFETY",'中古車掲載'!J874=2023,ISNUMBER('中古車掲載'!N874),'中古車掲載'!N874&gt;=20000,'中古車掲載'!O874&lt;=50000,'中古車掲載'!AL874=1,'中古車掲載'!Z874="https://www.one2car.com/en/cars-for-sale/toyota/corolla-cross/year-2023"),'中古車掲載'!U874,"")</x:f>
      </x:c>
      <x:c r="BF873" t="str">
        <x:f>IF(AND('中古車掲載'!C874="One2car",'中古車掲載'!F874="Corolla Cross",'中古車掲載'!L874="HEV PREMIUM",'中古車掲載'!J874=2023,ISNUMBER('中古車掲載'!N874),'中古車掲載'!N874&gt;=20000,'中古車掲載'!O874&lt;=100000,'中古車掲載'!AL874=1,'中古車掲載'!Z874="https://www.one2car.com/en/cars-for-sale/toyota/corolla-cross/year-2023"),'中古車掲載'!U874,"")</x:f>
      </x:c>
      <x:c r="BG873" t="str">
        <x:f>IF(AND('中古車掲載'!C874="One2car",'中古車掲載'!F874="Corolla Cross",'中古車掲載'!L874="HEV GR SPORT",'中古車掲載'!J874=2023,ISNUMBER('中古車掲載'!N874),'中古車掲載'!N874&gt;=20000,'中古車掲載'!O874&lt;=100000,'中古車掲載'!AL874=1,'中古車掲載'!Z874="https://www.one2car.com/en/cars-for-sale/toyota/corolla-cross/year-2023"),'中古車掲載'!U874,"")</x:f>
      </x:c>
      <x:c r="BH873" t="str">
        <x:f>IF(AND('中古車掲載'!C874="One2car",'中古車掲載'!F874="DOLPHIN",'中古車掲載'!L874="STANDARD RANGE",'中古車掲載'!J874=2023,ISNUMBER('中古車掲載'!N874),'中古車掲載'!N874&gt;=20000,'中古車掲載'!O874&lt;=100000,'中古車掲載'!AL874=1),'中古車掲載'!U874,"")</x:f>
      </x:c>
      <x:c r="BI873" t="str">
        <x:v>Taladrod|Hilux Revo|ICE|Unknown</x:v>
      </x:c>
      <x:c r="BJ873" t="n">
        <x:v>874</x:v>
      </x:c>
      <x:c r="BK873" t="n">
        <x:f>'中古車掲載'!AM874</x:f>
        <x:v>375000</x:v>
      </x:c>
      <x:c r="BL873" t="str">
        <x:f>IF(ISNUMBER('中古車掲載'!AN874),'中古車掲載'!AN874,"")</x:f>
      </x:c>
    </x:row>
    <x:row r="874">
      <x:c r="AZ874" t="str">
        <x:f>IF(AND('中古車掲載'!C875="One2car",'中古車掲載'!F875="ATTO 3",'中古車掲載'!L875="EXTENDED RANGE",'中古車掲載'!J875=2023,ISNUMBER('中古車掲載'!N875),'中古車掲載'!N875&gt;=20000,'中古車掲載'!O875&lt;=100000,'中古車掲載'!AL875=1),'中古車掲載'!U875,"")</x:f>
      </x:c>
      <x:c r="BA874" t="str">
        <x:f>IF(AND('中古車掲載'!C875="One2car",'中古車掲載'!F875="Corolla Cross",'中古車掲載'!L875="HEV PREMIUM SAFETY",'中古車掲載'!J875=2023,ISNUMBER('中古車掲載'!N875),'中古車掲載'!N875&gt;=20000,'中古車掲載'!O875&lt;=100000,'中古車掲載'!AL875=1,'中古車掲載'!Z875="https://www.one2car.com/en/cars-for-sale/toyota/corolla-cross/year-2023"),'中古車掲載'!U875,"")</x:f>
      </x:c>
      <x:c r="BB874" t="str">
        <x:f>IF(AND('中古車掲載'!C875="One2car",'中古車掲載'!F875="ATTO 3",'中古車掲載'!L875="EXTENDED RANGE",'中古車掲載'!J875=2023,ISNUMBER('中古車掲載'!N875),'中古車掲載'!N875&gt;=50000,'中古車掲載'!O875&lt;=100000,'中古車掲載'!AL875=1),'中古車掲載'!U875,"")</x:f>
      </x:c>
      <x:c r="BC874" t="str">
        <x:f>IF(AND('中古車掲載'!C875="One2car",'中古車掲載'!F875="Corolla Cross",'中古車掲載'!L875="HEV PREMIUM SAFETY",'中古車掲載'!J875=2023,ISNUMBER('中古車掲載'!N875),'中古車掲載'!N875&gt;=50000,'中古車掲載'!O875&lt;=100000,'中古車掲載'!AL875=1,'中古車掲載'!Z875="https://www.one2car.com/en/cars-for-sale/toyota/corolla-cross/year-2023"),'中古車掲載'!U875,"")</x:f>
      </x:c>
      <x:c r="BD874" t="str">
        <x:f>IF(AND('中古車掲載'!C875="One2car",'中古車掲載'!F875="ATTO 3",'中古車掲載'!L875="EXTENDED RANGE",'中古車掲載'!J875=2023,ISNUMBER('中古車掲載'!N875),'中古車掲載'!N875&gt;=20000,'中古車掲載'!O875&lt;=50000,'中古車掲載'!AL875=1),'中古車掲載'!U875,"")</x:f>
      </x:c>
      <x:c r="BE874" t="str">
        <x:f>IF(AND('中古車掲載'!C875="One2car",'中古車掲載'!F875="Corolla Cross",'中古車掲載'!L875="HEV PREMIUM SAFETY",'中古車掲載'!J875=2023,ISNUMBER('中古車掲載'!N875),'中古車掲載'!N875&gt;=20000,'中古車掲載'!O875&lt;=50000,'中古車掲載'!AL875=1,'中古車掲載'!Z875="https://www.one2car.com/en/cars-for-sale/toyota/corolla-cross/year-2023"),'中古車掲載'!U875,"")</x:f>
      </x:c>
      <x:c r="BF874" t="str">
        <x:f>IF(AND('中古車掲載'!C875="One2car",'中古車掲載'!F875="Corolla Cross",'中古車掲載'!L875="HEV PREMIUM",'中古車掲載'!J875=2023,ISNUMBER('中古車掲載'!N875),'中古車掲載'!N875&gt;=20000,'中古車掲載'!O875&lt;=100000,'中古車掲載'!AL875=1,'中古車掲載'!Z875="https://www.one2car.com/en/cars-for-sale/toyota/corolla-cross/year-2023"),'中古車掲載'!U875,"")</x:f>
      </x:c>
      <x:c r="BG874" t="str">
        <x:f>IF(AND('中古車掲載'!C875="One2car",'中古車掲載'!F875="Corolla Cross",'中古車掲載'!L875="HEV GR SPORT",'中古車掲載'!J875=2023,ISNUMBER('中古車掲載'!N875),'中古車掲載'!N875&gt;=20000,'中古車掲載'!O875&lt;=100000,'中古車掲載'!AL875=1,'中古車掲載'!Z875="https://www.one2car.com/en/cars-for-sale/toyota/corolla-cross/year-2023"),'中古車掲載'!U875,"")</x:f>
      </x:c>
      <x:c r="BH874" t="str">
        <x:f>IF(AND('中古車掲載'!C875="One2car",'中古車掲載'!F875="DOLPHIN",'中古車掲載'!L875="STANDARD RANGE",'中古車掲載'!J875=2023,ISNUMBER('中古車掲載'!N875),'中古車掲載'!N875&gt;=20000,'中古車掲載'!O875&lt;=100000,'中古車掲載'!AL875=1),'中古車掲載'!U875,"")</x:f>
      </x:c>
      <x:c r="BI874" t="str">
        <x:v>Taladrod|Hilux Revo|ICE|Unknown</x:v>
      </x:c>
      <x:c r="BJ874" t="n">
        <x:v>875</x:v>
      </x:c>
      <x:c r="BK874" t="n">
        <x:f>'中古車掲載'!AM875</x:f>
        <x:v>419000</x:v>
      </x:c>
      <x:c r="BL874" t="str">
        <x:f>IF(ISNUMBER('中古車掲載'!AN875),'中古車掲載'!AN875,"")</x:f>
      </x:c>
    </x:row>
    <x:row r="875">
      <x:c r="AZ875" t="str">
        <x:f>IF(AND('中古車掲載'!C876="One2car",'中古車掲載'!F876="ATTO 3",'中古車掲載'!L876="EXTENDED RANGE",'中古車掲載'!J876=2023,ISNUMBER('中古車掲載'!N876),'中古車掲載'!N876&gt;=20000,'中古車掲載'!O876&lt;=100000,'中古車掲載'!AL876=1),'中古車掲載'!U876,"")</x:f>
      </x:c>
      <x:c r="BA875" t="str">
        <x:f>IF(AND('中古車掲載'!C876="One2car",'中古車掲載'!F876="Corolla Cross",'中古車掲載'!L876="HEV PREMIUM SAFETY",'中古車掲載'!J876=2023,ISNUMBER('中古車掲載'!N876),'中古車掲載'!N876&gt;=20000,'中古車掲載'!O876&lt;=100000,'中古車掲載'!AL876=1,'中古車掲載'!Z876="https://www.one2car.com/en/cars-for-sale/toyota/corolla-cross/year-2023"),'中古車掲載'!U876,"")</x:f>
      </x:c>
      <x:c r="BB875" t="str">
        <x:f>IF(AND('中古車掲載'!C876="One2car",'中古車掲載'!F876="ATTO 3",'中古車掲載'!L876="EXTENDED RANGE",'中古車掲載'!J876=2023,ISNUMBER('中古車掲載'!N876),'中古車掲載'!N876&gt;=50000,'中古車掲載'!O876&lt;=100000,'中古車掲載'!AL876=1),'中古車掲載'!U876,"")</x:f>
      </x:c>
      <x:c r="BC875" t="str">
        <x:f>IF(AND('中古車掲載'!C876="One2car",'中古車掲載'!F876="Corolla Cross",'中古車掲載'!L876="HEV PREMIUM SAFETY",'中古車掲載'!J876=2023,ISNUMBER('中古車掲載'!N876),'中古車掲載'!N876&gt;=50000,'中古車掲載'!O876&lt;=100000,'中古車掲載'!AL876=1,'中古車掲載'!Z876="https://www.one2car.com/en/cars-for-sale/toyota/corolla-cross/year-2023"),'中古車掲載'!U876,"")</x:f>
      </x:c>
      <x:c r="BD875" t="str">
        <x:f>IF(AND('中古車掲載'!C876="One2car",'中古車掲載'!F876="ATTO 3",'中古車掲載'!L876="EXTENDED RANGE",'中古車掲載'!J876=2023,ISNUMBER('中古車掲載'!N876),'中古車掲載'!N876&gt;=20000,'中古車掲載'!O876&lt;=50000,'中古車掲載'!AL876=1),'中古車掲載'!U876,"")</x:f>
      </x:c>
      <x:c r="BE875" t="str">
        <x:f>IF(AND('中古車掲載'!C876="One2car",'中古車掲載'!F876="Corolla Cross",'中古車掲載'!L876="HEV PREMIUM SAFETY",'中古車掲載'!J876=2023,ISNUMBER('中古車掲載'!N876),'中古車掲載'!N876&gt;=20000,'中古車掲載'!O876&lt;=50000,'中古車掲載'!AL876=1,'中古車掲載'!Z876="https://www.one2car.com/en/cars-for-sale/toyota/corolla-cross/year-2023"),'中古車掲載'!U876,"")</x:f>
      </x:c>
      <x:c r="BF875" t="str">
        <x:f>IF(AND('中古車掲載'!C876="One2car",'中古車掲載'!F876="Corolla Cross",'中古車掲載'!L876="HEV PREMIUM",'中古車掲載'!J876=2023,ISNUMBER('中古車掲載'!N876),'中古車掲載'!N876&gt;=20000,'中古車掲載'!O876&lt;=100000,'中古車掲載'!AL876=1,'中古車掲載'!Z876="https://www.one2car.com/en/cars-for-sale/toyota/corolla-cross/year-2023"),'中古車掲載'!U876,"")</x:f>
      </x:c>
      <x:c r="BG875" t="str">
        <x:f>IF(AND('中古車掲載'!C876="One2car",'中古車掲載'!F876="Corolla Cross",'中古車掲載'!L876="HEV GR SPORT",'中古車掲載'!J876=2023,ISNUMBER('中古車掲載'!N876),'中古車掲載'!N876&gt;=20000,'中古車掲載'!O876&lt;=100000,'中古車掲載'!AL876=1,'中古車掲載'!Z876="https://www.one2car.com/en/cars-for-sale/toyota/corolla-cross/year-2023"),'中古車掲載'!U876,"")</x:f>
      </x:c>
      <x:c r="BH875" t="str">
        <x:f>IF(AND('中古車掲載'!C876="One2car",'中古車掲載'!F876="DOLPHIN",'中古車掲載'!L876="STANDARD RANGE",'中古車掲載'!J876=2023,ISNUMBER('中古車掲載'!N876),'中古車掲載'!N876&gt;=20000,'中古車掲載'!O876&lt;=100000,'中古車掲載'!AL876=1),'中古車掲載'!U876,"")</x:f>
      </x:c>
      <x:c r="BI875" t="str">
        <x:v>Taladrod|Hilux Revo|ICE|Unknown</x:v>
      </x:c>
      <x:c r="BJ875" t="n">
        <x:v>876</x:v>
      </x:c>
      <x:c r="BK875" t="n">
        <x:f>'中古車掲載'!AM876</x:f>
        <x:v>479000</x:v>
      </x:c>
      <x:c r="BL875" t="str">
        <x:f>IF(ISNUMBER('中古車掲載'!AN876),'中古車掲載'!AN876,"")</x:f>
      </x:c>
    </x:row>
    <x:row r="876">
      <x:c r="AZ876" t="str">
        <x:f>IF(AND('中古車掲載'!C877="One2car",'中古車掲載'!F877="ATTO 3",'中古車掲載'!L877="EXTENDED RANGE",'中古車掲載'!J877=2023,ISNUMBER('中古車掲載'!N877),'中古車掲載'!N877&gt;=20000,'中古車掲載'!O877&lt;=100000,'中古車掲載'!AL877=1),'中古車掲載'!U877,"")</x:f>
      </x:c>
      <x:c r="BA876" t="str">
        <x:f>IF(AND('中古車掲載'!C877="One2car",'中古車掲載'!F877="Corolla Cross",'中古車掲載'!L877="HEV PREMIUM SAFETY",'中古車掲載'!J877=2023,ISNUMBER('中古車掲載'!N877),'中古車掲載'!N877&gt;=20000,'中古車掲載'!O877&lt;=100000,'中古車掲載'!AL877=1,'中古車掲載'!Z877="https://www.one2car.com/en/cars-for-sale/toyota/corolla-cross/year-2023"),'中古車掲載'!U877,"")</x:f>
      </x:c>
      <x:c r="BB876" t="str">
        <x:f>IF(AND('中古車掲載'!C877="One2car",'中古車掲載'!F877="ATTO 3",'中古車掲載'!L877="EXTENDED RANGE",'中古車掲載'!J877=2023,ISNUMBER('中古車掲載'!N877),'中古車掲載'!N877&gt;=50000,'中古車掲載'!O877&lt;=100000,'中古車掲載'!AL877=1),'中古車掲載'!U877,"")</x:f>
      </x:c>
      <x:c r="BC876" t="str">
        <x:f>IF(AND('中古車掲載'!C877="One2car",'中古車掲載'!F877="Corolla Cross",'中古車掲載'!L877="HEV PREMIUM SAFETY",'中古車掲載'!J877=2023,ISNUMBER('中古車掲載'!N877),'中古車掲載'!N877&gt;=50000,'中古車掲載'!O877&lt;=100000,'中古車掲載'!AL877=1,'中古車掲載'!Z877="https://www.one2car.com/en/cars-for-sale/toyota/corolla-cross/year-2023"),'中古車掲載'!U877,"")</x:f>
      </x:c>
      <x:c r="BD876" t="str">
        <x:f>IF(AND('中古車掲載'!C877="One2car",'中古車掲載'!F877="ATTO 3",'中古車掲載'!L877="EXTENDED RANGE",'中古車掲載'!J877=2023,ISNUMBER('中古車掲載'!N877),'中古車掲載'!N877&gt;=20000,'中古車掲載'!O877&lt;=50000,'中古車掲載'!AL877=1),'中古車掲載'!U877,"")</x:f>
      </x:c>
      <x:c r="BE876" t="str">
        <x:f>IF(AND('中古車掲載'!C877="One2car",'中古車掲載'!F877="Corolla Cross",'中古車掲載'!L877="HEV PREMIUM SAFETY",'中古車掲載'!J877=2023,ISNUMBER('中古車掲載'!N877),'中古車掲載'!N877&gt;=20000,'中古車掲載'!O877&lt;=50000,'中古車掲載'!AL877=1,'中古車掲載'!Z877="https://www.one2car.com/en/cars-for-sale/toyota/corolla-cross/year-2023"),'中古車掲載'!U877,"")</x:f>
      </x:c>
      <x:c r="BF876" t="str">
        <x:f>IF(AND('中古車掲載'!C877="One2car",'中古車掲載'!F877="Corolla Cross",'中古車掲載'!L877="HEV PREMIUM",'中古車掲載'!J877=2023,ISNUMBER('中古車掲載'!N877),'中古車掲載'!N877&gt;=20000,'中古車掲載'!O877&lt;=100000,'中古車掲載'!AL877=1,'中古車掲載'!Z877="https://www.one2car.com/en/cars-for-sale/toyota/corolla-cross/year-2023"),'中古車掲載'!U877,"")</x:f>
      </x:c>
      <x:c r="BG876" t="str">
        <x:f>IF(AND('中古車掲載'!C877="One2car",'中古車掲載'!F877="Corolla Cross",'中古車掲載'!L877="HEV GR SPORT",'中古車掲載'!J877=2023,ISNUMBER('中古車掲載'!N877),'中古車掲載'!N877&gt;=20000,'中古車掲載'!O877&lt;=100000,'中古車掲載'!AL877=1,'中古車掲載'!Z877="https://www.one2car.com/en/cars-for-sale/toyota/corolla-cross/year-2023"),'中古車掲載'!U877,"")</x:f>
      </x:c>
      <x:c r="BH876" t="str">
        <x:f>IF(AND('中古車掲載'!C877="One2car",'中古車掲載'!F877="DOLPHIN",'中古車掲載'!L877="STANDARD RANGE",'中古車掲載'!J877=2023,ISNUMBER('中古車掲載'!N877),'中古車掲載'!N877&gt;=20000,'中古車掲載'!O877&lt;=100000,'中古車掲載'!AL877=1),'中古車掲載'!U877,"")</x:f>
      </x:c>
      <x:c r="BI876" t="str">
        <x:v>Taladrod|Hilux Revo|ICE|Unknown</x:v>
      </x:c>
      <x:c r="BJ876" t="n">
        <x:v>877</x:v>
      </x:c>
      <x:c r="BK876" t="n">
        <x:f>'中古車掲載'!AM877</x:f>
        <x:v>529000</x:v>
      </x:c>
      <x:c r="BL876" t="str">
        <x:f>IF(ISNUMBER('中古車掲載'!AN877),'中古車掲載'!AN877,"")</x:f>
      </x:c>
    </x:row>
    <x:row r="877">
      <x:c r="AZ877" t="str">
        <x:f>IF(AND('中古車掲載'!C878="One2car",'中古車掲載'!F878="ATTO 3",'中古車掲載'!L878="EXTENDED RANGE",'中古車掲載'!J878=2023,ISNUMBER('中古車掲載'!N878),'中古車掲載'!N878&gt;=20000,'中古車掲載'!O878&lt;=100000,'中古車掲載'!AL878=1),'中古車掲載'!U878,"")</x:f>
      </x:c>
      <x:c r="BA877" t="str">
        <x:f>IF(AND('中古車掲載'!C878="One2car",'中古車掲載'!F878="Corolla Cross",'中古車掲載'!L878="HEV PREMIUM SAFETY",'中古車掲載'!J878=2023,ISNUMBER('中古車掲載'!N878),'中古車掲載'!N878&gt;=20000,'中古車掲載'!O878&lt;=100000,'中古車掲載'!AL878=1,'中古車掲載'!Z878="https://www.one2car.com/en/cars-for-sale/toyota/corolla-cross/year-2023"),'中古車掲載'!U878,"")</x:f>
      </x:c>
      <x:c r="BB877" t="str">
        <x:f>IF(AND('中古車掲載'!C878="One2car",'中古車掲載'!F878="ATTO 3",'中古車掲載'!L878="EXTENDED RANGE",'中古車掲載'!J878=2023,ISNUMBER('中古車掲載'!N878),'中古車掲載'!N878&gt;=50000,'中古車掲載'!O878&lt;=100000,'中古車掲載'!AL878=1),'中古車掲載'!U878,"")</x:f>
      </x:c>
      <x:c r="BC877" t="str">
        <x:f>IF(AND('中古車掲載'!C878="One2car",'中古車掲載'!F878="Corolla Cross",'中古車掲載'!L878="HEV PREMIUM SAFETY",'中古車掲載'!J878=2023,ISNUMBER('中古車掲載'!N878),'中古車掲載'!N878&gt;=50000,'中古車掲載'!O878&lt;=100000,'中古車掲載'!AL878=1,'中古車掲載'!Z878="https://www.one2car.com/en/cars-for-sale/toyota/corolla-cross/year-2023"),'中古車掲載'!U878,"")</x:f>
      </x:c>
      <x:c r="BD877" t="str">
        <x:f>IF(AND('中古車掲載'!C878="One2car",'中古車掲載'!F878="ATTO 3",'中古車掲載'!L878="EXTENDED RANGE",'中古車掲載'!J878=2023,ISNUMBER('中古車掲載'!N878),'中古車掲載'!N878&gt;=20000,'中古車掲載'!O878&lt;=50000,'中古車掲載'!AL878=1),'中古車掲載'!U878,"")</x:f>
      </x:c>
      <x:c r="BE877" t="str">
        <x:f>IF(AND('中古車掲載'!C878="One2car",'中古車掲載'!F878="Corolla Cross",'中古車掲載'!L878="HEV PREMIUM SAFETY",'中古車掲載'!J878=2023,ISNUMBER('中古車掲載'!N878),'中古車掲載'!N878&gt;=20000,'中古車掲載'!O878&lt;=50000,'中古車掲載'!AL878=1,'中古車掲載'!Z878="https://www.one2car.com/en/cars-for-sale/toyota/corolla-cross/year-2023"),'中古車掲載'!U878,"")</x:f>
      </x:c>
      <x:c r="BF877" t="str">
        <x:f>IF(AND('中古車掲載'!C878="One2car",'中古車掲載'!F878="Corolla Cross",'中古車掲載'!L878="HEV PREMIUM",'中古車掲載'!J878=2023,ISNUMBER('中古車掲載'!N878),'中古車掲載'!N878&gt;=20000,'中古車掲載'!O878&lt;=100000,'中古車掲載'!AL878=1,'中古車掲載'!Z878="https://www.one2car.com/en/cars-for-sale/toyota/corolla-cross/year-2023"),'中古車掲載'!U878,"")</x:f>
      </x:c>
      <x:c r="BG877" t="str">
        <x:f>IF(AND('中古車掲載'!C878="One2car",'中古車掲載'!F878="Corolla Cross",'中古車掲載'!L878="HEV GR SPORT",'中古車掲載'!J878=2023,ISNUMBER('中古車掲載'!N878),'中古車掲載'!N878&gt;=20000,'中古車掲載'!O878&lt;=100000,'中古車掲載'!AL878=1,'中古車掲載'!Z878="https://www.one2car.com/en/cars-for-sale/toyota/corolla-cross/year-2023"),'中古車掲載'!U878,"")</x:f>
      </x:c>
      <x:c r="BH877" t="str">
        <x:f>IF(AND('中古車掲載'!C878="One2car",'中古車掲載'!F878="DOLPHIN",'中古車掲載'!L878="STANDARD RANGE",'中古車掲載'!J878=2023,ISNUMBER('中古車掲載'!N878),'中古車掲載'!N878&gt;=20000,'中古車掲載'!O878&lt;=100000,'中古車掲載'!AL878=1),'中古車掲載'!U878,"")</x:f>
      </x:c>
      <x:c r="BI877" t="str">
        <x:v>Taladrod|Hilux Revo|ICE|Unknown</x:v>
      </x:c>
      <x:c r="BJ877" t="n">
        <x:v>878</x:v>
      </x:c>
      <x:c r="BK877" t="n">
        <x:f>'中古車掲載'!AM878</x:f>
        <x:v>589000</x:v>
      </x:c>
      <x:c r="BL877" t="str">
        <x:f>IF(ISNUMBER('中古車掲載'!AN878),'中古車掲載'!AN878,"")</x:f>
      </x:c>
    </x:row>
    <x:row r="878">
      <x:c r="AZ878" t="str">
        <x:f>IF(AND('中古車掲載'!C879="One2car",'中古車掲載'!F879="ATTO 3",'中古車掲載'!L879="EXTENDED RANGE",'中古車掲載'!J879=2023,ISNUMBER('中古車掲載'!N879),'中古車掲載'!N879&gt;=20000,'中古車掲載'!O879&lt;=100000,'中古車掲載'!AL879=1),'中古車掲載'!U879,"")</x:f>
      </x:c>
      <x:c r="BA878" t="str">
        <x:f>IF(AND('中古車掲載'!C879="One2car",'中古車掲載'!F879="Corolla Cross",'中古車掲載'!L879="HEV PREMIUM SAFETY",'中古車掲載'!J879=2023,ISNUMBER('中古車掲載'!N879),'中古車掲載'!N879&gt;=20000,'中古車掲載'!O879&lt;=100000,'中古車掲載'!AL879=1,'中古車掲載'!Z879="https://www.one2car.com/en/cars-for-sale/toyota/corolla-cross/year-2023"),'中古車掲載'!U879,"")</x:f>
      </x:c>
      <x:c r="BB878" t="str">
        <x:f>IF(AND('中古車掲載'!C879="One2car",'中古車掲載'!F879="ATTO 3",'中古車掲載'!L879="EXTENDED RANGE",'中古車掲載'!J879=2023,ISNUMBER('中古車掲載'!N879),'中古車掲載'!N879&gt;=50000,'中古車掲載'!O879&lt;=100000,'中古車掲載'!AL879=1),'中古車掲載'!U879,"")</x:f>
      </x:c>
      <x:c r="BC878" t="str">
        <x:f>IF(AND('中古車掲載'!C879="One2car",'中古車掲載'!F879="Corolla Cross",'中古車掲載'!L879="HEV PREMIUM SAFETY",'中古車掲載'!J879=2023,ISNUMBER('中古車掲載'!N879),'中古車掲載'!N879&gt;=50000,'中古車掲載'!O879&lt;=100000,'中古車掲載'!AL879=1,'中古車掲載'!Z879="https://www.one2car.com/en/cars-for-sale/toyota/corolla-cross/year-2023"),'中古車掲載'!U879,"")</x:f>
      </x:c>
      <x:c r="BD878" t="str">
        <x:f>IF(AND('中古車掲載'!C879="One2car",'中古車掲載'!F879="ATTO 3",'中古車掲載'!L879="EXTENDED RANGE",'中古車掲載'!J879=2023,ISNUMBER('中古車掲載'!N879),'中古車掲載'!N879&gt;=20000,'中古車掲載'!O879&lt;=50000,'中古車掲載'!AL879=1),'中古車掲載'!U879,"")</x:f>
      </x:c>
      <x:c r="BE878" t="str">
        <x:f>IF(AND('中古車掲載'!C879="One2car",'中古車掲載'!F879="Corolla Cross",'中古車掲載'!L879="HEV PREMIUM SAFETY",'中古車掲載'!J879=2023,ISNUMBER('中古車掲載'!N879),'中古車掲載'!N879&gt;=20000,'中古車掲載'!O879&lt;=50000,'中古車掲載'!AL879=1,'中古車掲載'!Z879="https://www.one2car.com/en/cars-for-sale/toyota/corolla-cross/year-2023"),'中古車掲載'!U879,"")</x:f>
      </x:c>
      <x:c r="BF878" t="str">
        <x:f>IF(AND('中古車掲載'!C879="One2car",'中古車掲載'!F879="Corolla Cross",'中古車掲載'!L879="HEV PREMIUM",'中古車掲載'!J879=2023,ISNUMBER('中古車掲載'!N879),'中古車掲載'!N879&gt;=20000,'中古車掲載'!O879&lt;=100000,'中古車掲載'!AL879=1,'中古車掲載'!Z879="https://www.one2car.com/en/cars-for-sale/toyota/corolla-cross/year-2023"),'中古車掲載'!U879,"")</x:f>
      </x:c>
      <x:c r="BG878" t="str">
        <x:f>IF(AND('中古車掲載'!C879="One2car",'中古車掲載'!F879="Corolla Cross",'中古車掲載'!L879="HEV GR SPORT",'中古車掲載'!J879=2023,ISNUMBER('中古車掲載'!N879),'中古車掲載'!N879&gt;=20000,'中古車掲載'!O879&lt;=100000,'中古車掲載'!AL879=1,'中古車掲載'!Z879="https://www.one2car.com/en/cars-for-sale/toyota/corolla-cross/year-2023"),'中古車掲載'!U879,"")</x:f>
      </x:c>
      <x:c r="BH878" t="str">
        <x:f>IF(AND('中古車掲載'!C879="One2car",'中古車掲載'!F879="DOLPHIN",'中古車掲載'!L879="STANDARD RANGE",'中古車掲載'!J879=2023,ISNUMBER('中古車掲載'!N879),'中古車掲載'!N879&gt;=20000,'中古車掲載'!O879&lt;=100000,'中古車掲載'!AL879=1),'中古車掲載'!U879,"")</x:f>
      </x:c>
      <x:c r="BI878" t="str">
        <x:v>Taladrod|Hilux Revo|ICE|Unknown</x:v>
      </x:c>
      <x:c r="BJ878" t="n">
        <x:v>879</x:v>
      </x:c>
      <x:c r="BK878" t="n">
        <x:f>'中古車掲載'!AM879</x:f>
        <x:v>468000</x:v>
      </x:c>
      <x:c r="BL878" t="str">
        <x:f>IF(ISNUMBER('中古車掲載'!AN879),'中古車掲載'!AN879,"")</x:f>
      </x:c>
    </x:row>
    <x:row r="879">
      <x:c r="AZ879" t="str">
        <x:f>IF(AND('中古車掲載'!C880="One2car",'中古車掲載'!F880="ATTO 3",'中古車掲載'!L880="EXTENDED RANGE",'中古車掲載'!J880=2023,ISNUMBER('中古車掲載'!N880),'中古車掲載'!N880&gt;=20000,'中古車掲載'!O880&lt;=100000,'中古車掲載'!AL880=1),'中古車掲載'!U880,"")</x:f>
      </x:c>
      <x:c r="BA879" t="str">
        <x:f>IF(AND('中古車掲載'!C880="One2car",'中古車掲載'!F880="Corolla Cross",'中古車掲載'!L880="HEV PREMIUM SAFETY",'中古車掲載'!J880=2023,ISNUMBER('中古車掲載'!N880),'中古車掲載'!N880&gt;=20000,'中古車掲載'!O880&lt;=100000,'中古車掲載'!AL880=1,'中古車掲載'!Z880="https://www.one2car.com/en/cars-for-sale/toyota/corolla-cross/year-2023"),'中古車掲載'!U880,"")</x:f>
      </x:c>
      <x:c r="BB879" t="str">
        <x:f>IF(AND('中古車掲載'!C880="One2car",'中古車掲載'!F880="ATTO 3",'中古車掲載'!L880="EXTENDED RANGE",'中古車掲載'!J880=2023,ISNUMBER('中古車掲載'!N880),'中古車掲載'!N880&gt;=50000,'中古車掲載'!O880&lt;=100000,'中古車掲載'!AL880=1),'中古車掲載'!U880,"")</x:f>
      </x:c>
      <x:c r="BC879" t="str">
        <x:f>IF(AND('中古車掲載'!C880="One2car",'中古車掲載'!F880="Corolla Cross",'中古車掲載'!L880="HEV PREMIUM SAFETY",'中古車掲載'!J880=2023,ISNUMBER('中古車掲載'!N880),'中古車掲載'!N880&gt;=50000,'中古車掲載'!O880&lt;=100000,'中古車掲載'!AL880=1,'中古車掲載'!Z880="https://www.one2car.com/en/cars-for-sale/toyota/corolla-cross/year-2023"),'中古車掲載'!U880,"")</x:f>
      </x:c>
      <x:c r="BD879" t="str">
        <x:f>IF(AND('中古車掲載'!C880="One2car",'中古車掲載'!F880="ATTO 3",'中古車掲載'!L880="EXTENDED RANGE",'中古車掲載'!J880=2023,ISNUMBER('中古車掲載'!N880),'中古車掲載'!N880&gt;=20000,'中古車掲載'!O880&lt;=50000,'中古車掲載'!AL880=1),'中古車掲載'!U880,"")</x:f>
      </x:c>
      <x:c r="BE879" t="str">
        <x:f>IF(AND('中古車掲載'!C880="One2car",'中古車掲載'!F880="Corolla Cross",'中古車掲載'!L880="HEV PREMIUM SAFETY",'中古車掲載'!J880=2023,ISNUMBER('中古車掲載'!N880),'中古車掲載'!N880&gt;=20000,'中古車掲載'!O880&lt;=50000,'中古車掲載'!AL880=1,'中古車掲載'!Z880="https://www.one2car.com/en/cars-for-sale/toyota/corolla-cross/year-2023"),'中古車掲載'!U880,"")</x:f>
      </x:c>
      <x:c r="BF879" t="str">
        <x:f>IF(AND('中古車掲載'!C880="One2car",'中古車掲載'!F880="Corolla Cross",'中古車掲載'!L880="HEV PREMIUM",'中古車掲載'!J880=2023,ISNUMBER('中古車掲載'!N880),'中古車掲載'!N880&gt;=20000,'中古車掲載'!O880&lt;=100000,'中古車掲載'!AL880=1,'中古車掲載'!Z880="https://www.one2car.com/en/cars-for-sale/toyota/corolla-cross/year-2023"),'中古車掲載'!U880,"")</x:f>
      </x:c>
      <x:c r="BG879" t="str">
        <x:f>IF(AND('中古車掲載'!C880="One2car",'中古車掲載'!F880="Corolla Cross",'中古車掲載'!L880="HEV GR SPORT",'中古車掲載'!J880=2023,ISNUMBER('中古車掲載'!N880),'中古車掲載'!N880&gt;=20000,'中古車掲載'!O880&lt;=100000,'中古車掲載'!AL880=1,'中古車掲載'!Z880="https://www.one2car.com/en/cars-for-sale/toyota/corolla-cross/year-2023"),'中古車掲載'!U880,"")</x:f>
      </x:c>
      <x:c r="BH879" t="str">
        <x:f>IF(AND('中古車掲載'!C880="One2car",'中古車掲載'!F880="DOLPHIN",'中古車掲載'!L880="STANDARD RANGE",'中古車掲載'!J880=2023,ISNUMBER('中古車掲載'!N880),'中古車掲載'!N880&gt;=20000,'中古車掲載'!O880&lt;=100000,'中古車掲載'!AL880=1),'中古車掲載'!U880,"")</x:f>
      </x:c>
      <x:c r="BI879" t="str">
        <x:v>Taladrod|Hilux Revo|ICE|Unknown</x:v>
      </x:c>
      <x:c r="BJ879" t="n">
        <x:v>880</x:v>
      </x:c>
      <x:c r="BK879" t="n">
        <x:f>'中古車掲載'!AM880</x:f>
        <x:v>364000</x:v>
      </x:c>
      <x:c r="BL879" t="str">
        <x:f>IF(ISNUMBER('中古車掲載'!AN880),'中古車掲載'!AN880,"")</x:f>
      </x:c>
    </x:row>
    <x:row r="880">
      <x:c r="AZ880" t="str">
        <x:f>IF(AND('中古車掲載'!C881="One2car",'中古車掲載'!F881="ATTO 3",'中古車掲載'!L881="EXTENDED RANGE",'中古車掲載'!J881=2023,ISNUMBER('中古車掲載'!N881),'中古車掲載'!N881&gt;=20000,'中古車掲載'!O881&lt;=100000,'中古車掲載'!AL881=1),'中古車掲載'!U881,"")</x:f>
      </x:c>
      <x:c r="BA880" t="str">
        <x:f>IF(AND('中古車掲載'!C881="One2car",'中古車掲載'!F881="Corolla Cross",'中古車掲載'!L881="HEV PREMIUM SAFETY",'中古車掲載'!J881=2023,ISNUMBER('中古車掲載'!N881),'中古車掲載'!N881&gt;=20000,'中古車掲載'!O881&lt;=100000,'中古車掲載'!AL881=1,'中古車掲載'!Z881="https://www.one2car.com/en/cars-for-sale/toyota/corolla-cross/year-2023"),'中古車掲載'!U881,"")</x:f>
      </x:c>
      <x:c r="BB880" t="str">
        <x:f>IF(AND('中古車掲載'!C881="One2car",'中古車掲載'!F881="ATTO 3",'中古車掲載'!L881="EXTENDED RANGE",'中古車掲載'!J881=2023,ISNUMBER('中古車掲載'!N881),'中古車掲載'!N881&gt;=50000,'中古車掲載'!O881&lt;=100000,'中古車掲載'!AL881=1),'中古車掲載'!U881,"")</x:f>
      </x:c>
      <x:c r="BC880" t="str">
        <x:f>IF(AND('中古車掲載'!C881="One2car",'中古車掲載'!F881="Corolla Cross",'中古車掲載'!L881="HEV PREMIUM SAFETY",'中古車掲載'!J881=2023,ISNUMBER('中古車掲載'!N881),'中古車掲載'!N881&gt;=50000,'中古車掲載'!O881&lt;=100000,'中古車掲載'!AL881=1,'中古車掲載'!Z881="https://www.one2car.com/en/cars-for-sale/toyota/corolla-cross/year-2023"),'中古車掲載'!U881,"")</x:f>
      </x:c>
      <x:c r="BD880" t="str">
        <x:f>IF(AND('中古車掲載'!C881="One2car",'中古車掲載'!F881="ATTO 3",'中古車掲載'!L881="EXTENDED RANGE",'中古車掲載'!J881=2023,ISNUMBER('中古車掲載'!N881),'中古車掲載'!N881&gt;=20000,'中古車掲載'!O881&lt;=50000,'中古車掲載'!AL881=1),'中古車掲載'!U881,"")</x:f>
      </x:c>
      <x:c r="BE880" t="str">
        <x:f>IF(AND('中古車掲載'!C881="One2car",'中古車掲載'!F881="Corolla Cross",'中古車掲載'!L881="HEV PREMIUM SAFETY",'中古車掲載'!J881=2023,ISNUMBER('中古車掲載'!N881),'中古車掲載'!N881&gt;=20000,'中古車掲載'!O881&lt;=50000,'中古車掲載'!AL881=1,'中古車掲載'!Z881="https://www.one2car.com/en/cars-for-sale/toyota/corolla-cross/year-2023"),'中古車掲載'!U881,"")</x:f>
      </x:c>
      <x:c r="BF880" t="str">
        <x:f>IF(AND('中古車掲載'!C881="One2car",'中古車掲載'!F881="Corolla Cross",'中古車掲載'!L881="HEV PREMIUM",'中古車掲載'!J881=2023,ISNUMBER('中古車掲載'!N881),'中古車掲載'!N881&gt;=20000,'中古車掲載'!O881&lt;=100000,'中古車掲載'!AL881=1,'中古車掲載'!Z881="https://www.one2car.com/en/cars-for-sale/toyota/corolla-cross/year-2023"),'中古車掲載'!U881,"")</x:f>
      </x:c>
      <x:c r="BG880" t="str">
        <x:f>IF(AND('中古車掲載'!C881="One2car",'中古車掲載'!F881="Corolla Cross",'中古車掲載'!L881="HEV GR SPORT",'中古車掲載'!J881=2023,ISNUMBER('中古車掲載'!N881),'中古車掲載'!N881&gt;=20000,'中古車掲載'!O881&lt;=100000,'中古車掲載'!AL881=1,'中古車掲載'!Z881="https://www.one2car.com/en/cars-for-sale/toyota/corolla-cross/year-2023"),'中古車掲載'!U881,"")</x:f>
      </x:c>
      <x:c r="BH880" t="str">
        <x:f>IF(AND('中古車掲載'!C881="One2car",'中古車掲載'!F881="DOLPHIN",'中古車掲載'!L881="STANDARD RANGE",'中古車掲載'!J881=2023,ISNUMBER('中古車掲載'!N881),'中古車掲載'!N881&gt;=20000,'中古車掲載'!O881&lt;=100000,'中古車掲載'!AL881=1),'中古車掲載'!U881,"")</x:f>
      </x:c>
      <x:c r="BI880" t="str">
        <x:v>Taladrod|Hilux Revo|ICE|Unknown</x:v>
      </x:c>
      <x:c r="BJ880" t="n">
        <x:v>881</x:v>
      </x:c>
      <x:c r="BK880" t="n">
        <x:f>'中古車掲載'!AM881</x:f>
        <x:v>399000</x:v>
      </x:c>
      <x:c r="BL880" t="str">
        <x:f>IF(ISNUMBER('中古車掲載'!AN881),'中古車掲載'!AN881,"")</x:f>
      </x:c>
    </x:row>
    <x:row r="881">
      <x:c r="AZ881" t="str">
        <x:f>IF(AND('中古車掲載'!C882="One2car",'中古車掲載'!F882="ATTO 3",'中古車掲載'!L882="EXTENDED RANGE",'中古車掲載'!J882=2023,ISNUMBER('中古車掲載'!N882),'中古車掲載'!N882&gt;=20000,'中古車掲載'!O882&lt;=100000,'中古車掲載'!AL882=1),'中古車掲載'!U882,"")</x:f>
      </x:c>
      <x:c r="BA881" t="str">
        <x:f>IF(AND('中古車掲載'!C882="One2car",'中古車掲載'!F882="Corolla Cross",'中古車掲載'!L882="HEV PREMIUM SAFETY",'中古車掲載'!J882=2023,ISNUMBER('中古車掲載'!N882),'中古車掲載'!N882&gt;=20000,'中古車掲載'!O882&lt;=100000,'中古車掲載'!AL882=1,'中古車掲載'!Z882="https://www.one2car.com/en/cars-for-sale/toyota/corolla-cross/year-2023"),'中古車掲載'!U882,"")</x:f>
      </x:c>
      <x:c r="BB881" t="str">
        <x:f>IF(AND('中古車掲載'!C882="One2car",'中古車掲載'!F882="ATTO 3",'中古車掲載'!L882="EXTENDED RANGE",'中古車掲載'!J882=2023,ISNUMBER('中古車掲載'!N882),'中古車掲載'!N882&gt;=50000,'中古車掲載'!O882&lt;=100000,'中古車掲載'!AL882=1),'中古車掲載'!U882,"")</x:f>
      </x:c>
      <x:c r="BC881" t="str">
        <x:f>IF(AND('中古車掲載'!C882="One2car",'中古車掲載'!F882="Corolla Cross",'中古車掲載'!L882="HEV PREMIUM SAFETY",'中古車掲載'!J882=2023,ISNUMBER('中古車掲載'!N882),'中古車掲載'!N882&gt;=50000,'中古車掲載'!O882&lt;=100000,'中古車掲載'!AL882=1,'中古車掲載'!Z882="https://www.one2car.com/en/cars-for-sale/toyota/corolla-cross/year-2023"),'中古車掲載'!U882,"")</x:f>
      </x:c>
      <x:c r="BD881" t="str">
        <x:f>IF(AND('中古車掲載'!C882="One2car",'中古車掲載'!F882="ATTO 3",'中古車掲載'!L882="EXTENDED RANGE",'中古車掲載'!J882=2023,ISNUMBER('中古車掲載'!N882),'中古車掲載'!N882&gt;=20000,'中古車掲載'!O882&lt;=50000,'中古車掲載'!AL882=1),'中古車掲載'!U882,"")</x:f>
      </x:c>
      <x:c r="BE881" t="str">
        <x:f>IF(AND('中古車掲載'!C882="One2car",'中古車掲載'!F882="Corolla Cross",'中古車掲載'!L882="HEV PREMIUM SAFETY",'中古車掲載'!J882=2023,ISNUMBER('中古車掲載'!N882),'中古車掲載'!N882&gt;=20000,'中古車掲載'!O882&lt;=50000,'中古車掲載'!AL882=1,'中古車掲載'!Z882="https://www.one2car.com/en/cars-for-sale/toyota/corolla-cross/year-2023"),'中古車掲載'!U882,"")</x:f>
      </x:c>
      <x:c r="BF881" t="str">
        <x:f>IF(AND('中古車掲載'!C882="One2car",'中古車掲載'!F882="Corolla Cross",'中古車掲載'!L882="HEV PREMIUM",'中古車掲載'!J882=2023,ISNUMBER('中古車掲載'!N882),'中古車掲載'!N882&gt;=20000,'中古車掲載'!O882&lt;=100000,'中古車掲載'!AL882=1,'中古車掲載'!Z882="https://www.one2car.com/en/cars-for-sale/toyota/corolla-cross/year-2023"),'中古車掲載'!U882,"")</x:f>
      </x:c>
      <x:c r="BG881" t="str">
        <x:f>IF(AND('中古車掲載'!C882="One2car",'中古車掲載'!F882="Corolla Cross",'中古車掲載'!L882="HEV GR SPORT",'中古車掲載'!J882=2023,ISNUMBER('中古車掲載'!N882),'中古車掲載'!N882&gt;=20000,'中古車掲載'!O882&lt;=100000,'中古車掲載'!AL882=1,'中古車掲載'!Z882="https://www.one2car.com/en/cars-for-sale/toyota/corolla-cross/year-2023"),'中古車掲載'!U882,"")</x:f>
      </x:c>
      <x:c r="BH881" t="str">
        <x:f>IF(AND('中古車掲載'!C882="One2car",'中古車掲載'!F882="DOLPHIN",'中古車掲載'!L882="STANDARD RANGE",'中古車掲載'!J882=2023,ISNUMBER('中古車掲載'!N882),'中古車掲載'!N882&gt;=20000,'中古車掲載'!O882&lt;=100000,'中古車掲載'!AL882=1),'中古車掲載'!U882,"")</x:f>
      </x:c>
      <x:c r="BI881" t="str">
        <x:v>Taladrod|Hilux Revo|ICE|Unknown</x:v>
      </x:c>
      <x:c r="BJ881" t="n">
        <x:v>882</x:v>
      </x:c>
      <x:c r="BK881" t="n">
        <x:f>'中古車掲載'!AM882</x:f>
        <x:v>799000</x:v>
      </x:c>
      <x:c r="BL881" t="str">
        <x:f>IF(ISNUMBER('中古車掲載'!AN882),'中古車掲載'!AN882,"")</x:f>
      </x:c>
    </x:row>
    <x:row r="882">
      <x:c r="AZ882" t="str">
        <x:f>IF(AND('中古車掲載'!C883="One2car",'中古車掲載'!F883="ATTO 3",'中古車掲載'!L883="EXTENDED RANGE",'中古車掲載'!J883=2023,ISNUMBER('中古車掲載'!N883),'中古車掲載'!N883&gt;=20000,'中古車掲載'!O883&lt;=100000,'中古車掲載'!AL883=1),'中古車掲載'!U883,"")</x:f>
      </x:c>
      <x:c r="BA882" t="str">
        <x:f>IF(AND('中古車掲載'!C883="One2car",'中古車掲載'!F883="Corolla Cross",'中古車掲載'!L883="HEV PREMIUM SAFETY",'中古車掲載'!J883=2023,ISNUMBER('中古車掲載'!N883),'中古車掲載'!N883&gt;=20000,'中古車掲載'!O883&lt;=100000,'中古車掲載'!AL883=1,'中古車掲載'!Z883="https://www.one2car.com/en/cars-for-sale/toyota/corolla-cross/year-2023"),'中古車掲載'!U883,"")</x:f>
      </x:c>
      <x:c r="BB882" t="str">
        <x:f>IF(AND('中古車掲載'!C883="One2car",'中古車掲載'!F883="ATTO 3",'中古車掲載'!L883="EXTENDED RANGE",'中古車掲載'!J883=2023,ISNUMBER('中古車掲載'!N883),'中古車掲載'!N883&gt;=50000,'中古車掲載'!O883&lt;=100000,'中古車掲載'!AL883=1),'中古車掲載'!U883,"")</x:f>
      </x:c>
      <x:c r="BC882" t="str">
        <x:f>IF(AND('中古車掲載'!C883="One2car",'中古車掲載'!F883="Corolla Cross",'中古車掲載'!L883="HEV PREMIUM SAFETY",'中古車掲載'!J883=2023,ISNUMBER('中古車掲載'!N883),'中古車掲載'!N883&gt;=50000,'中古車掲載'!O883&lt;=100000,'中古車掲載'!AL883=1,'中古車掲載'!Z883="https://www.one2car.com/en/cars-for-sale/toyota/corolla-cross/year-2023"),'中古車掲載'!U883,"")</x:f>
      </x:c>
      <x:c r="BD882" t="str">
        <x:f>IF(AND('中古車掲載'!C883="One2car",'中古車掲載'!F883="ATTO 3",'中古車掲載'!L883="EXTENDED RANGE",'中古車掲載'!J883=2023,ISNUMBER('中古車掲載'!N883),'中古車掲載'!N883&gt;=20000,'中古車掲載'!O883&lt;=50000,'中古車掲載'!AL883=1),'中古車掲載'!U883,"")</x:f>
      </x:c>
      <x:c r="BE882" t="str">
        <x:f>IF(AND('中古車掲載'!C883="One2car",'中古車掲載'!F883="Corolla Cross",'中古車掲載'!L883="HEV PREMIUM SAFETY",'中古車掲載'!J883=2023,ISNUMBER('中古車掲載'!N883),'中古車掲載'!N883&gt;=20000,'中古車掲載'!O883&lt;=50000,'中古車掲載'!AL883=1,'中古車掲載'!Z883="https://www.one2car.com/en/cars-for-sale/toyota/corolla-cross/year-2023"),'中古車掲載'!U883,"")</x:f>
      </x:c>
      <x:c r="BF882" t="str">
        <x:f>IF(AND('中古車掲載'!C883="One2car",'中古車掲載'!F883="Corolla Cross",'中古車掲載'!L883="HEV PREMIUM",'中古車掲載'!J883=2023,ISNUMBER('中古車掲載'!N883),'中古車掲載'!N883&gt;=20000,'中古車掲載'!O883&lt;=100000,'中古車掲載'!AL883=1,'中古車掲載'!Z883="https://www.one2car.com/en/cars-for-sale/toyota/corolla-cross/year-2023"),'中古車掲載'!U883,"")</x:f>
      </x:c>
      <x:c r="BG882" t="str">
        <x:f>IF(AND('中古車掲載'!C883="One2car",'中古車掲載'!F883="Corolla Cross",'中古車掲載'!L883="HEV GR SPORT",'中古車掲載'!J883=2023,ISNUMBER('中古車掲載'!N883),'中古車掲載'!N883&gt;=20000,'中古車掲載'!O883&lt;=100000,'中古車掲載'!AL883=1,'中古車掲載'!Z883="https://www.one2car.com/en/cars-for-sale/toyota/corolla-cross/year-2023"),'中古車掲載'!U883,"")</x:f>
      </x:c>
      <x:c r="BH882" t="str">
        <x:f>IF(AND('中古車掲載'!C883="One2car",'中古車掲載'!F883="DOLPHIN",'中古車掲載'!L883="STANDARD RANGE",'中古車掲載'!J883=2023,ISNUMBER('中古車掲載'!N883),'中古車掲載'!N883&gt;=20000,'中古車掲載'!O883&lt;=100000,'中古車掲載'!AL883=1),'中古車掲載'!U883,"")</x:f>
      </x:c>
      <x:c r="BI882" t="str">
        <x:v>Taladrod|Hilux Revo|ICE|Unknown</x:v>
      </x:c>
      <x:c r="BJ882" t="n">
        <x:v>883</x:v>
      </x:c>
      <x:c r="BK882" t="n">
        <x:f>'中古車掲載'!AM883</x:f>
        <x:v>719000</x:v>
      </x:c>
      <x:c r="BL882" t="str">
        <x:f>IF(ISNUMBER('中古車掲載'!AN883),'中古車掲載'!AN883,"")</x:f>
      </x:c>
    </x:row>
    <x:row r="883">
      <x:c r="AZ883" t="str">
        <x:f>IF(AND('中古車掲載'!C884="One2car",'中古車掲載'!F884="ATTO 3",'中古車掲載'!L884="EXTENDED RANGE",'中古車掲載'!J884=2023,ISNUMBER('中古車掲載'!N884),'中古車掲載'!N884&gt;=20000,'中古車掲載'!O884&lt;=100000,'中古車掲載'!AL884=1),'中古車掲載'!U884,"")</x:f>
      </x:c>
      <x:c r="BA883" t="str">
        <x:f>IF(AND('中古車掲載'!C884="One2car",'中古車掲載'!F884="Corolla Cross",'中古車掲載'!L884="HEV PREMIUM SAFETY",'中古車掲載'!J884=2023,ISNUMBER('中古車掲載'!N884),'中古車掲載'!N884&gt;=20000,'中古車掲載'!O884&lt;=100000,'中古車掲載'!AL884=1,'中古車掲載'!Z884="https://www.one2car.com/en/cars-for-sale/toyota/corolla-cross/year-2023"),'中古車掲載'!U884,"")</x:f>
      </x:c>
      <x:c r="BB883" t="str">
        <x:f>IF(AND('中古車掲載'!C884="One2car",'中古車掲載'!F884="ATTO 3",'中古車掲載'!L884="EXTENDED RANGE",'中古車掲載'!J884=2023,ISNUMBER('中古車掲載'!N884),'中古車掲載'!N884&gt;=50000,'中古車掲載'!O884&lt;=100000,'中古車掲載'!AL884=1),'中古車掲載'!U884,"")</x:f>
      </x:c>
      <x:c r="BC883" t="str">
        <x:f>IF(AND('中古車掲載'!C884="One2car",'中古車掲載'!F884="Corolla Cross",'中古車掲載'!L884="HEV PREMIUM SAFETY",'中古車掲載'!J884=2023,ISNUMBER('中古車掲載'!N884),'中古車掲載'!N884&gt;=50000,'中古車掲載'!O884&lt;=100000,'中古車掲載'!AL884=1,'中古車掲載'!Z884="https://www.one2car.com/en/cars-for-sale/toyota/corolla-cross/year-2023"),'中古車掲載'!U884,"")</x:f>
      </x:c>
      <x:c r="BD883" t="str">
        <x:f>IF(AND('中古車掲載'!C884="One2car",'中古車掲載'!F884="ATTO 3",'中古車掲載'!L884="EXTENDED RANGE",'中古車掲載'!J884=2023,ISNUMBER('中古車掲載'!N884),'中古車掲載'!N884&gt;=20000,'中古車掲載'!O884&lt;=50000,'中古車掲載'!AL884=1),'中古車掲載'!U884,"")</x:f>
      </x:c>
      <x:c r="BE883" t="str">
        <x:f>IF(AND('中古車掲載'!C884="One2car",'中古車掲載'!F884="Corolla Cross",'中古車掲載'!L884="HEV PREMIUM SAFETY",'中古車掲載'!J884=2023,ISNUMBER('中古車掲載'!N884),'中古車掲載'!N884&gt;=20000,'中古車掲載'!O884&lt;=50000,'中古車掲載'!AL884=1,'中古車掲載'!Z884="https://www.one2car.com/en/cars-for-sale/toyota/corolla-cross/year-2023"),'中古車掲載'!U884,"")</x:f>
      </x:c>
      <x:c r="BF883" t="str">
        <x:f>IF(AND('中古車掲載'!C884="One2car",'中古車掲載'!F884="Corolla Cross",'中古車掲載'!L884="HEV PREMIUM",'中古車掲載'!J884=2023,ISNUMBER('中古車掲載'!N884),'中古車掲載'!N884&gt;=20000,'中古車掲載'!O884&lt;=100000,'中古車掲載'!AL884=1,'中古車掲載'!Z884="https://www.one2car.com/en/cars-for-sale/toyota/corolla-cross/year-2023"),'中古車掲載'!U884,"")</x:f>
      </x:c>
      <x:c r="BG883" t="str">
        <x:f>IF(AND('中古車掲載'!C884="One2car",'中古車掲載'!F884="Corolla Cross",'中古車掲載'!L884="HEV GR SPORT",'中古車掲載'!J884=2023,ISNUMBER('中古車掲載'!N884),'中古車掲載'!N884&gt;=20000,'中古車掲載'!O884&lt;=100000,'中古車掲載'!AL884=1,'中古車掲載'!Z884="https://www.one2car.com/en/cars-for-sale/toyota/corolla-cross/year-2023"),'中古車掲載'!U884,"")</x:f>
      </x:c>
      <x:c r="BH883" t="str">
        <x:f>IF(AND('中古車掲載'!C884="One2car",'中古車掲載'!F884="DOLPHIN",'中古車掲載'!L884="STANDARD RANGE",'中古車掲載'!J884=2023,ISNUMBER('中古車掲載'!N884),'中古車掲載'!N884&gt;=20000,'中古車掲載'!O884&lt;=100000,'中古車掲載'!AL884=1),'中古車掲載'!U884,"")</x:f>
      </x:c>
      <x:c r="BI883" t="str">
        <x:v>Taladrod|Hilux Revo|ICE|Unknown</x:v>
      </x:c>
      <x:c r="BJ883" t="n">
        <x:v>884</x:v>
      </x:c>
      <x:c r="BK883" t="n">
        <x:f>'中古車掲載'!AM884</x:f>
        <x:v>755000</x:v>
      </x:c>
      <x:c r="BL883" t="str">
        <x:f>IF(ISNUMBER('中古車掲載'!AN884),'中古車掲載'!AN884,"")</x:f>
      </x:c>
    </x:row>
    <x:row r="884">
      <x:c r="AZ884" t="str">
        <x:f>IF(AND('中古車掲載'!C885="One2car",'中古車掲載'!F885="ATTO 3",'中古車掲載'!L885="EXTENDED RANGE",'中古車掲載'!J885=2023,ISNUMBER('中古車掲載'!N885),'中古車掲載'!N885&gt;=20000,'中古車掲載'!O885&lt;=100000,'中古車掲載'!AL885=1),'中古車掲載'!U885,"")</x:f>
      </x:c>
      <x:c r="BA884" t="str">
        <x:f>IF(AND('中古車掲載'!C885="One2car",'中古車掲載'!F885="Corolla Cross",'中古車掲載'!L885="HEV PREMIUM SAFETY",'中古車掲載'!J885=2023,ISNUMBER('中古車掲載'!N885),'中古車掲載'!N885&gt;=20000,'中古車掲載'!O885&lt;=100000,'中古車掲載'!AL885=1,'中古車掲載'!Z885="https://www.one2car.com/en/cars-for-sale/toyota/corolla-cross/year-2023"),'中古車掲載'!U885,"")</x:f>
      </x:c>
      <x:c r="BB884" t="str">
        <x:f>IF(AND('中古車掲載'!C885="One2car",'中古車掲載'!F885="ATTO 3",'中古車掲載'!L885="EXTENDED RANGE",'中古車掲載'!J885=2023,ISNUMBER('中古車掲載'!N885),'中古車掲載'!N885&gt;=50000,'中古車掲載'!O885&lt;=100000,'中古車掲載'!AL885=1),'中古車掲載'!U885,"")</x:f>
      </x:c>
      <x:c r="BC884" t="str">
        <x:f>IF(AND('中古車掲載'!C885="One2car",'中古車掲載'!F885="Corolla Cross",'中古車掲載'!L885="HEV PREMIUM SAFETY",'中古車掲載'!J885=2023,ISNUMBER('中古車掲載'!N885),'中古車掲載'!N885&gt;=50000,'中古車掲載'!O885&lt;=100000,'中古車掲載'!AL885=1,'中古車掲載'!Z885="https://www.one2car.com/en/cars-for-sale/toyota/corolla-cross/year-2023"),'中古車掲載'!U885,"")</x:f>
      </x:c>
      <x:c r="BD884" t="str">
        <x:f>IF(AND('中古車掲載'!C885="One2car",'中古車掲載'!F885="ATTO 3",'中古車掲載'!L885="EXTENDED RANGE",'中古車掲載'!J885=2023,ISNUMBER('中古車掲載'!N885),'中古車掲載'!N885&gt;=20000,'中古車掲載'!O885&lt;=50000,'中古車掲載'!AL885=1),'中古車掲載'!U885,"")</x:f>
      </x:c>
      <x:c r="BE884" t="str">
        <x:f>IF(AND('中古車掲載'!C885="One2car",'中古車掲載'!F885="Corolla Cross",'中古車掲載'!L885="HEV PREMIUM SAFETY",'中古車掲載'!J885=2023,ISNUMBER('中古車掲載'!N885),'中古車掲載'!N885&gt;=20000,'中古車掲載'!O885&lt;=50000,'中古車掲載'!AL885=1,'中古車掲載'!Z885="https://www.one2car.com/en/cars-for-sale/toyota/corolla-cross/year-2023"),'中古車掲載'!U885,"")</x:f>
      </x:c>
      <x:c r="BF884" t="str">
        <x:f>IF(AND('中古車掲載'!C885="One2car",'中古車掲載'!F885="Corolla Cross",'中古車掲載'!L885="HEV PREMIUM",'中古車掲載'!J885=2023,ISNUMBER('中古車掲載'!N885),'中古車掲載'!N885&gt;=20000,'中古車掲載'!O885&lt;=100000,'中古車掲載'!AL885=1,'中古車掲載'!Z885="https://www.one2car.com/en/cars-for-sale/toyota/corolla-cross/year-2023"),'中古車掲載'!U885,"")</x:f>
      </x:c>
      <x:c r="BG884" t="str">
        <x:f>IF(AND('中古車掲載'!C885="One2car",'中古車掲載'!F885="Corolla Cross",'中古車掲載'!L885="HEV GR SPORT",'中古車掲載'!J885=2023,ISNUMBER('中古車掲載'!N885),'中古車掲載'!N885&gt;=20000,'中古車掲載'!O885&lt;=100000,'中古車掲載'!AL885=1,'中古車掲載'!Z885="https://www.one2car.com/en/cars-for-sale/toyota/corolla-cross/year-2023"),'中古車掲載'!U885,"")</x:f>
      </x:c>
      <x:c r="BH884" t="str">
        <x:f>IF(AND('中古車掲載'!C885="One2car",'中古車掲載'!F885="DOLPHIN",'中古車掲載'!L885="STANDARD RANGE",'中古車掲載'!J885=2023,ISNUMBER('中古車掲載'!N885),'中古車掲載'!N885&gt;=20000,'中古車掲載'!O885&lt;=100000,'中古車掲載'!AL885=1),'中古車掲載'!U885,"")</x:f>
      </x:c>
      <x:c r="BI884" t="str">
        <x:v>Taladrod|Hilux Revo|ICE|Unknown</x:v>
      </x:c>
      <x:c r="BJ884" t="n">
        <x:v>885</x:v>
      </x:c>
      <x:c r="BK884" t="n">
        <x:f>'中古車掲載'!AM885</x:f>
        <x:v>739000</x:v>
      </x:c>
      <x:c r="BL884" t="str">
        <x:f>IF(ISNUMBER('中古車掲載'!AN885),'中古車掲載'!AN885,"")</x:f>
      </x:c>
    </x:row>
    <x:row r="885">
      <x:c r="AZ885" t="str">
        <x:f>IF(AND('中古車掲載'!C886="One2car",'中古車掲載'!F886="ATTO 3",'中古車掲載'!L886="EXTENDED RANGE",'中古車掲載'!J886=2023,ISNUMBER('中古車掲載'!N886),'中古車掲載'!N886&gt;=20000,'中古車掲載'!O886&lt;=100000,'中古車掲載'!AL886=1),'中古車掲載'!U886,"")</x:f>
      </x:c>
      <x:c r="BA885" t="str">
        <x:f>IF(AND('中古車掲載'!C886="One2car",'中古車掲載'!F886="Corolla Cross",'中古車掲載'!L886="HEV PREMIUM SAFETY",'中古車掲載'!J886=2023,ISNUMBER('中古車掲載'!N886),'中古車掲載'!N886&gt;=20000,'中古車掲載'!O886&lt;=100000,'中古車掲載'!AL886=1,'中古車掲載'!Z886="https://www.one2car.com/en/cars-for-sale/toyota/corolla-cross/year-2023"),'中古車掲載'!U886,"")</x:f>
      </x:c>
      <x:c r="BB885" t="str">
        <x:f>IF(AND('中古車掲載'!C886="One2car",'中古車掲載'!F886="ATTO 3",'中古車掲載'!L886="EXTENDED RANGE",'中古車掲載'!J886=2023,ISNUMBER('中古車掲載'!N886),'中古車掲載'!N886&gt;=50000,'中古車掲載'!O886&lt;=100000,'中古車掲載'!AL886=1),'中古車掲載'!U886,"")</x:f>
      </x:c>
      <x:c r="BC885" t="str">
        <x:f>IF(AND('中古車掲載'!C886="One2car",'中古車掲載'!F886="Corolla Cross",'中古車掲載'!L886="HEV PREMIUM SAFETY",'中古車掲載'!J886=2023,ISNUMBER('中古車掲載'!N886),'中古車掲載'!N886&gt;=50000,'中古車掲載'!O886&lt;=100000,'中古車掲載'!AL886=1,'中古車掲載'!Z886="https://www.one2car.com/en/cars-for-sale/toyota/corolla-cross/year-2023"),'中古車掲載'!U886,"")</x:f>
      </x:c>
      <x:c r="BD885" t="str">
        <x:f>IF(AND('中古車掲載'!C886="One2car",'中古車掲載'!F886="ATTO 3",'中古車掲載'!L886="EXTENDED RANGE",'中古車掲載'!J886=2023,ISNUMBER('中古車掲載'!N886),'中古車掲載'!N886&gt;=20000,'中古車掲載'!O886&lt;=50000,'中古車掲載'!AL886=1),'中古車掲載'!U886,"")</x:f>
      </x:c>
      <x:c r="BE885" t="str">
        <x:f>IF(AND('中古車掲載'!C886="One2car",'中古車掲載'!F886="Corolla Cross",'中古車掲載'!L886="HEV PREMIUM SAFETY",'中古車掲載'!J886=2023,ISNUMBER('中古車掲載'!N886),'中古車掲載'!N886&gt;=20000,'中古車掲載'!O886&lt;=50000,'中古車掲載'!AL886=1,'中古車掲載'!Z886="https://www.one2car.com/en/cars-for-sale/toyota/corolla-cross/year-2023"),'中古車掲載'!U886,"")</x:f>
      </x:c>
      <x:c r="BF885" t="str">
        <x:f>IF(AND('中古車掲載'!C886="One2car",'中古車掲載'!F886="Corolla Cross",'中古車掲載'!L886="HEV PREMIUM",'中古車掲載'!J886=2023,ISNUMBER('中古車掲載'!N886),'中古車掲載'!N886&gt;=20000,'中古車掲載'!O886&lt;=100000,'中古車掲載'!AL886=1,'中古車掲載'!Z886="https://www.one2car.com/en/cars-for-sale/toyota/corolla-cross/year-2023"),'中古車掲載'!U886,"")</x:f>
      </x:c>
      <x:c r="BG885" t="str">
        <x:f>IF(AND('中古車掲載'!C886="One2car",'中古車掲載'!F886="Corolla Cross",'中古車掲載'!L886="HEV GR SPORT",'中古車掲載'!J886=2023,ISNUMBER('中古車掲載'!N886),'中古車掲載'!N886&gt;=20000,'中古車掲載'!O886&lt;=100000,'中古車掲載'!AL886=1,'中古車掲載'!Z886="https://www.one2car.com/en/cars-for-sale/toyota/corolla-cross/year-2023"),'中古車掲載'!U886,"")</x:f>
      </x:c>
      <x:c r="BH885" t="str">
        <x:f>IF(AND('中古車掲載'!C886="One2car",'中古車掲載'!F886="DOLPHIN",'中古車掲載'!L886="STANDARD RANGE",'中古車掲載'!J886=2023,ISNUMBER('中古車掲載'!N886),'中古車掲載'!N886&gt;=20000,'中古車掲載'!O886&lt;=100000,'中古車掲載'!AL886=1),'中古車掲載'!U886,"")</x:f>
      </x:c>
      <x:c r="BI885" t="str">
        <x:v>Taladrod|Hilux Revo|ICE|Unknown</x:v>
      </x:c>
      <x:c r="BJ885" t="n">
        <x:v>886</x:v>
      </x:c>
      <x:c r="BK885" t="n">
        <x:f>'中古車掲載'!AM886</x:f>
        <x:v>659000</x:v>
      </x:c>
      <x:c r="BL885" t="str">
        <x:f>IF(ISNUMBER('中古車掲載'!AN886),'中古車掲載'!AN886,"")</x:f>
      </x:c>
    </x:row>
    <x:row r="886">
      <x:c r="AZ886" t="str">
        <x:f>IF(AND('中古車掲載'!C887="One2car",'中古車掲載'!F887="ATTO 3",'中古車掲載'!L887="EXTENDED RANGE",'中古車掲載'!J887=2023,ISNUMBER('中古車掲載'!N887),'中古車掲載'!N887&gt;=20000,'中古車掲載'!O887&lt;=100000,'中古車掲載'!AL887=1),'中古車掲載'!U887,"")</x:f>
      </x:c>
      <x:c r="BA886" t="str">
        <x:f>IF(AND('中古車掲載'!C887="One2car",'中古車掲載'!F887="Corolla Cross",'中古車掲載'!L887="HEV PREMIUM SAFETY",'中古車掲載'!J887=2023,ISNUMBER('中古車掲載'!N887),'中古車掲載'!N887&gt;=20000,'中古車掲載'!O887&lt;=100000,'中古車掲載'!AL887=1,'中古車掲載'!Z887="https://www.one2car.com/en/cars-for-sale/toyota/corolla-cross/year-2023"),'中古車掲載'!U887,"")</x:f>
      </x:c>
      <x:c r="BB886" t="str">
        <x:f>IF(AND('中古車掲載'!C887="One2car",'中古車掲載'!F887="ATTO 3",'中古車掲載'!L887="EXTENDED RANGE",'中古車掲載'!J887=2023,ISNUMBER('中古車掲載'!N887),'中古車掲載'!N887&gt;=50000,'中古車掲載'!O887&lt;=100000,'中古車掲載'!AL887=1),'中古車掲載'!U887,"")</x:f>
      </x:c>
      <x:c r="BC886" t="str">
        <x:f>IF(AND('中古車掲載'!C887="One2car",'中古車掲載'!F887="Corolla Cross",'中古車掲載'!L887="HEV PREMIUM SAFETY",'中古車掲載'!J887=2023,ISNUMBER('中古車掲載'!N887),'中古車掲載'!N887&gt;=50000,'中古車掲載'!O887&lt;=100000,'中古車掲載'!AL887=1,'中古車掲載'!Z887="https://www.one2car.com/en/cars-for-sale/toyota/corolla-cross/year-2023"),'中古車掲載'!U887,"")</x:f>
      </x:c>
      <x:c r="BD886" t="str">
        <x:f>IF(AND('中古車掲載'!C887="One2car",'中古車掲載'!F887="ATTO 3",'中古車掲載'!L887="EXTENDED RANGE",'中古車掲載'!J887=2023,ISNUMBER('中古車掲載'!N887),'中古車掲載'!N887&gt;=20000,'中古車掲載'!O887&lt;=50000,'中古車掲載'!AL887=1),'中古車掲載'!U887,"")</x:f>
      </x:c>
      <x:c r="BE886" t="str">
        <x:f>IF(AND('中古車掲載'!C887="One2car",'中古車掲載'!F887="Corolla Cross",'中古車掲載'!L887="HEV PREMIUM SAFETY",'中古車掲載'!J887=2023,ISNUMBER('中古車掲載'!N887),'中古車掲載'!N887&gt;=20000,'中古車掲載'!O887&lt;=50000,'中古車掲載'!AL887=1,'中古車掲載'!Z887="https://www.one2car.com/en/cars-for-sale/toyota/corolla-cross/year-2023"),'中古車掲載'!U887,"")</x:f>
      </x:c>
      <x:c r="BF886" t="str">
        <x:f>IF(AND('中古車掲載'!C887="One2car",'中古車掲載'!F887="Corolla Cross",'中古車掲載'!L887="HEV PREMIUM",'中古車掲載'!J887=2023,ISNUMBER('中古車掲載'!N887),'中古車掲載'!N887&gt;=20000,'中古車掲載'!O887&lt;=100000,'中古車掲載'!AL887=1,'中古車掲載'!Z887="https://www.one2car.com/en/cars-for-sale/toyota/corolla-cross/year-2023"),'中古車掲載'!U887,"")</x:f>
      </x:c>
      <x:c r="BG886" t="str">
        <x:f>IF(AND('中古車掲載'!C887="One2car",'中古車掲載'!F887="Corolla Cross",'中古車掲載'!L887="HEV GR SPORT",'中古車掲載'!J887=2023,ISNUMBER('中古車掲載'!N887),'中古車掲載'!N887&gt;=20000,'中古車掲載'!O887&lt;=100000,'中古車掲載'!AL887=1,'中古車掲載'!Z887="https://www.one2car.com/en/cars-for-sale/toyota/corolla-cross/year-2023"),'中古車掲載'!U887,"")</x:f>
      </x:c>
      <x:c r="BH886" t="str">
        <x:f>IF(AND('中古車掲載'!C887="One2car",'中古車掲載'!F887="DOLPHIN",'中古車掲載'!L887="STANDARD RANGE",'中古車掲載'!J887=2023,ISNUMBER('中古車掲載'!N887),'中古車掲載'!N887&gt;=20000,'中古車掲載'!O887&lt;=100000,'中古車掲載'!AL887=1),'中古車掲載'!U887,"")</x:f>
      </x:c>
      <x:c r="BI886" t="str">
        <x:v>Taladrod|Hilux Revo|ICE|Unknown</x:v>
      </x:c>
      <x:c r="BJ886" t="n">
        <x:v>887</x:v>
      </x:c>
      <x:c r="BK886" t="n">
        <x:f>'中古車掲載'!AM887</x:f>
        <x:v>699000</x:v>
      </x:c>
      <x:c r="BL886" t="str">
        <x:f>IF(ISNUMBER('中古車掲載'!AN887),'中古車掲載'!AN887,"")</x:f>
      </x:c>
    </x:row>
    <x:row r="887">
      <x:c r="AZ887" t="str">
        <x:f>IF(AND('中古車掲載'!C888="One2car",'中古車掲載'!F888="ATTO 3",'中古車掲載'!L888="EXTENDED RANGE",'中古車掲載'!J888=2023,ISNUMBER('中古車掲載'!N888),'中古車掲載'!N888&gt;=20000,'中古車掲載'!O888&lt;=100000,'中古車掲載'!AL888=1),'中古車掲載'!U888,"")</x:f>
      </x:c>
      <x:c r="BA887" t="str">
        <x:f>IF(AND('中古車掲載'!C888="One2car",'中古車掲載'!F888="Corolla Cross",'中古車掲載'!L888="HEV PREMIUM SAFETY",'中古車掲載'!J888=2023,ISNUMBER('中古車掲載'!N888),'中古車掲載'!N888&gt;=20000,'中古車掲載'!O888&lt;=100000,'中古車掲載'!AL888=1,'中古車掲載'!Z888="https://www.one2car.com/en/cars-for-sale/toyota/corolla-cross/year-2023"),'中古車掲載'!U888,"")</x:f>
      </x:c>
      <x:c r="BB887" t="str">
        <x:f>IF(AND('中古車掲載'!C888="One2car",'中古車掲載'!F888="ATTO 3",'中古車掲載'!L888="EXTENDED RANGE",'中古車掲載'!J888=2023,ISNUMBER('中古車掲載'!N888),'中古車掲載'!N888&gt;=50000,'中古車掲載'!O888&lt;=100000,'中古車掲載'!AL888=1),'中古車掲載'!U888,"")</x:f>
      </x:c>
      <x:c r="BC887" t="str">
        <x:f>IF(AND('中古車掲載'!C888="One2car",'中古車掲載'!F888="Corolla Cross",'中古車掲載'!L888="HEV PREMIUM SAFETY",'中古車掲載'!J888=2023,ISNUMBER('中古車掲載'!N888),'中古車掲載'!N888&gt;=50000,'中古車掲載'!O888&lt;=100000,'中古車掲載'!AL888=1,'中古車掲載'!Z888="https://www.one2car.com/en/cars-for-sale/toyota/corolla-cross/year-2023"),'中古車掲載'!U888,"")</x:f>
      </x:c>
      <x:c r="BD887" t="str">
        <x:f>IF(AND('中古車掲載'!C888="One2car",'中古車掲載'!F888="ATTO 3",'中古車掲載'!L888="EXTENDED RANGE",'中古車掲載'!J888=2023,ISNUMBER('中古車掲載'!N888),'中古車掲載'!N888&gt;=20000,'中古車掲載'!O888&lt;=50000,'中古車掲載'!AL888=1),'中古車掲載'!U888,"")</x:f>
      </x:c>
      <x:c r="BE887" t="str">
        <x:f>IF(AND('中古車掲載'!C888="One2car",'中古車掲載'!F888="Corolla Cross",'中古車掲載'!L888="HEV PREMIUM SAFETY",'中古車掲載'!J888=2023,ISNUMBER('中古車掲載'!N888),'中古車掲載'!N888&gt;=20000,'中古車掲載'!O888&lt;=50000,'中古車掲載'!AL888=1,'中古車掲載'!Z888="https://www.one2car.com/en/cars-for-sale/toyota/corolla-cross/year-2023"),'中古車掲載'!U888,"")</x:f>
      </x:c>
      <x:c r="BF887" t="str">
        <x:f>IF(AND('中古車掲載'!C888="One2car",'中古車掲載'!F888="Corolla Cross",'中古車掲載'!L888="HEV PREMIUM",'中古車掲載'!J888=2023,ISNUMBER('中古車掲載'!N888),'中古車掲載'!N888&gt;=20000,'中古車掲載'!O888&lt;=100000,'中古車掲載'!AL888=1,'中古車掲載'!Z888="https://www.one2car.com/en/cars-for-sale/toyota/corolla-cross/year-2023"),'中古車掲載'!U888,"")</x:f>
      </x:c>
      <x:c r="BG887" t="str">
        <x:f>IF(AND('中古車掲載'!C888="One2car",'中古車掲載'!F888="Corolla Cross",'中古車掲載'!L888="HEV GR SPORT",'中古車掲載'!J888=2023,ISNUMBER('中古車掲載'!N888),'中古車掲載'!N888&gt;=20000,'中古車掲載'!O888&lt;=100000,'中古車掲載'!AL888=1,'中古車掲載'!Z888="https://www.one2car.com/en/cars-for-sale/toyota/corolla-cross/year-2023"),'中古車掲載'!U888,"")</x:f>
      </x:c>
      <x:c r="BH887" t="str">
        <x:f>IF(AND('中古車掲載'!C888="One2car",'中古車掲載'!F888="DOLPHIN",'中古車掲載'!L888="STANDARD RANGE",'中古車掲載'!J888=2023,ISNUMBER('中古車掲載'!N888),'中古車掲載'!N888&gt;=20000,'中古車掲載'!O888&lt;=100000,'中古車掲載'!AL888=1),'中古車掲載'!U888,"")</x:f>
      </x:c>
      <x:c r="BI887" t="str">
        <x:v>Taladrod|Hilux Revo|ICE|Unknown</x:v>
      </x:c>
      <x:c r="BJ887" t="n">
        <x:v>888</x:v>
      </x:c>
      <x:c r="BK887" t="n">
        <x:f>'中古車掲載'!AM888</x:f>
        <x:v>679000</x:v>
      </x:c>
      <x:c r="BL887" t="str">
        <x:f>IF(ISNUMBER('中古車掲載'!AN888),'中古車掲載'!AN888,"")</x:f>
      </x:c>
    </x:row>
    <x:row r="888">
      <x:c r="AZ888" t="str">
        <x:f>IF(AND('中古車掲載'!C889="One2car",'中古車掲載'!F889="ATTO 3",'中古車掲載'!L889="EXTENDED RANGE",'中古車掲載'!J889=2023,ISNUMBER('中古車掲載'!N889),'中古車掲載'!N889&gt;=20000,'中古車掲載'!O889&lt;=100000,'中古車掲載'!AL889=1),'中古車掲載'!U889,"")</x:f>
      </x:c>
      <x:c r="BA888" t="str">
        <x:f>IF(AND('中古車掲載'!C889="One2car",'中古車掲載'!F889="Corolla Cross",'中古車掲載'!L889="HEV PREMIUM SAFETY",'中古車掲載'!J889=2023,ISNUMBER('中古車掲載'!N889),'中古車掲載'!N889&gt;=20000,'中古車掲載'!O889&lt;=100000,'中古車掲載'!AL889=1,'中古車掲載'!Z889="https://www.one2car.com/en/cars-for-sale/toyota/corolla-cross/year-2023"),'中古車掲載'!U889,"")</x:f>
      </x:c>
      <x:c r="BB888" t="str">
        <x:f>IF(AND('中古車掲載'!C889="One2car",'中古車掲載'!F889="ATTO 3",'中古車掲載'!L889="EXTENDED RANGE",'中古車掲載'!J889=2023,ISNUMBER('中古車掲載'!N889),'中古車掲載'!N889&gt;=50000,'中古車掲載'!O889&lt;=100000,'中古車掲載'!AL889=1),'中古車掲載'!U889,"")</x:f>
      </x:c>
      <x:c r="BC888" t="str">
        <x:f>IF(AND('中古車掲載'!C889="One2car",'中古車掲載'!F889="Corolla Cross",'中古車掲載'!L889="HEV PREMIUM SAFETY",'中古車掲載'!J889=2023,ISNUMBER('中古車掲載'!N889),'中古車掲載'!N889&gt;=50000,'中古車掲載'!O889&lt;=100000,'中古車掲載'!AL889=1,'中古車掲載'!Z889="https://www.one2car.com/en/cars-for-sale/toyota/corolla-cross/year-2023"),'中古車掲載'!U889,"")</x:f>
      </x:c>
      <x:c r="BD888" t="str">
        <x:f>IF(AND('中古車掲載'!C889="One2car",'中古車掲載'!F889="ATTO 3",'中古車掲載'!L889="EXTENDED RANGE",'中古車掲載'!J889=2023,ISNUMBER('中古車掲載'!N889),'中古車掲載'!N889&gt;=20000,'中古車掲載'!O889&lt;=50000,'中古車掲載'!AL889=1),'中古車掲載'!U889,"")</x:f>
      </x:c>
      <x:c r="BE888" t="str">
        <x:f>IF(AND('中古車掲載'!C889="One2car",'中古車掲載'!F889="Corolla Cross",'中古車掲載'!L889="HEV PREMIUM SAFETY",'中古車掲載'!J889=2023,ISNUMBER('中古車掲載'!N889),'中古車掲載'!N889&gt;=20000,'中古車掲載'!O889&lt;=50000,'中古車掲載'!AL889=1,'中古車掲載'!Z889="https://www.one2car.com/en/cars-for-sale/toyota/corolla-cross/year-2023"),'中古車掲載'!U889,"")</x:f>
      </x:c>
      <x:c r="BF888" t="str">
        <x:f>IF(AND('中古車掲載'!C889="One2car",'中古車掲載'!F889="Corolla Cross",'中古車掲載'!L889="HEV PREMIUM",'中古車掲載'!J889=2023,ISNUMBER('中古車掲載'!N889),'中古車掲載'!N889&gt;=20000,'中古車掲載'!O889&lt;=100000,'中古車掲載'!AL889=1,'中古車掲載'!Z889="https://www.one2car.com/en/cars-for-sale/toyota/corolla-cross/year-2023"),'中古車掲載'!U889,"")</x:f>
      </x:c>
      <x:c r="BG888" t="str">
        <x:f>IF(AND('中古車掲載'!C889="One2car",'中古車掲載'!F889="Corolla Cross",'中古車掲載'!L889="HEV GR SPORT",'中古車掲載'!J889=2023,ISNUMBER('中古車掲載'!N889),'中古車掲載'!N889&gt;=20000,'中古車掲載'!O889&lt;=100000,'中古車掲載'!AL889=1,'中古車掲載'!Z889="https://www.one2car.com/en/cars-for-sale/toyota/corolla-cross/year-2023"),'中古車掲載'!U889,"")</x:f>
      </x:c>
      <x:c r="BH888" t="str">
        <x:f>IF(AND('中古車掲載'!C889="One2car",'中古車掲載'!F889="DOLPHIN",'中古車掲載'!L889="STANDARD RANGE",'中古車掲載'!J889=2023,ISNUMBER('中古車掲載'!N889),'中古車掲載'!N889&gt;=20000,'中古車掲載'!O889&lt;=100000,'中古車掲載'!AL889=1),'中古車掲載'!U889,"")</x:f>
      </x:c>
      <x:c r="BI888" t="str">
        <x:v>Taladrod|Hilux Revo|ICE|Unknown</x:v>
      </x:c>
      <x:c r="BJ888" t="n">
        <x:v>889</x:v>
      </x:c>
      <x:c r="BK888" t="n">
        <x:f>'中古車掲載'!AM889</x:f>
        <x:v>829000</x:v>
      </x:c>
      <x:c r="BL888" t="str">
        <x:f>IF(ISNUMBER('中古車掲載'!AN889),'中古車掲載'!AN889,"")</x:f>
      </x:c>
    </x:row>
    <x:row r="889">
      <x:c r="AZ889" t="str">
        <x:f>IF(AND('中古車掲載'!C890="One2car",'中古車掲載'!F890="ATTO 3",'中古車掲載'!L890="EXTENDED RANGE",'中古車掲載'!J890=2023,ISNUMBER('中古車掲載'!N890),'中古車掲載'!N890&gt;=20000,'中古車掲載'!O890&lt;=100000,'中古車掲載'!AL890=1),'中古車掲載'!U890,"")</x:f>
      </x:c>
      <x:c r="BA889" t="str">
        <x:f>IF(AND('中古車掲載'!C890="One2car",'中古車掲載'!F890="Corolla Cross",'中古車掲載'!L890="HEV PREMIUM SAFETY",'中古車掲載'!J890=2023,ISNUMBER('中古車掲載'!N890),'中古車掲載'!N890&gt;=20000,'中古車掲載'!O890&lt;=100000,'中古車掲載'!AL890=1,'中古車掲載'!Z890="https://www.one2car.com/en/cars-for-sale/toyota/corolla-cross/year-2023"),'中古車掲載'!U890,"")</x:f>
      </x:c>
      <x:c r="BB889" t="str">
        <x:f>IF(AND('中古車掲載'!C890="One2car",'中古車掲載'!F890="ATTO 3",'中古車掲載'!L890="EXTENDED RANGE",'中古車掲載'!J890=2023,ISNUMBER('中古車掲載'!N890),'中古車掲載'!N890&gt;=50000,'中古車掲載'!O890&lt;=100000,'中古車掲載'!AL890=1),'中古車掲載'!U890,"")</x:f>
      </x:c>
      <x:c r="BC889" t="str">
        <x:f>IF(AND('中古車掲載'!C890="One2car",'中古車掲載'!F890="Corolla Cross",'中古車掲載'!L890="HEV PREMIUM SAFETY",'中古車掲載'!J890=2023,ISNUMBER('中古車掲載'!N890),'中古車掲載'!N890&gt;=50000,'中古車掲載'!O890&lt;=100000,'中古車掲載'!AL890=1,'中古車掲載'!Z890="https://www.one2car.com/en/cars-for-sale/toyota/corolla-cross/year-2023"),'中古車掲載'!U890,"")</x:f>
      </x:c>
      <x:c r="BD889" t="str">
        <x:f>IF(AND('中古車掲載'!C890="One2car",'中古車掲載'!F890="ATTO 3",'中古車掲載'!L890="EXTENDED RANGE",'中古車掲載'!J890=2023,ISNUMBER('中古車掲載'!N890),'中古車掲載'!N890&gt;=20000,'中古車掲載'!O890&lt;=50000,'中古車掲載'!AL890=1),'中古車掲載'!U890,"")</x:f>
      </x:c>
      <x:c r="BE889" t="str">
        <x:f>IF(AND('中古車掲載'!C890="One2car",'中古車掲載'!F890="Corolla Cross",'中古車掲載'!L890="HEV PREMIUM SAFETY",'中古車掲載'!J890=2023,ISNUMBER('中古車掲載'!N890),'中古車掲載'!N890&gt;=20000,'中古車掲載'!O890&lt;=50000,'中古車掲載'!AL890=1,'中古車掲載'!Z890="https://www.one2car.com/en/cars-for-sale/toyota/corolla-cross/year-2023"),'中古車掲載'!U890,"")</x:f>
      </x:c>
      <x:c r="BF889" t="str">
        <x:f>IF(AND('中古車掲載'!C890="One2car",'中古車掲載'!F890="Corolla Cross",'中古車掲載'!L890="HEV PREMIUM",'中古車掲載'!J890=2023,ISNUMBER('中古車掲載'!N890),'中古車掲載'!N890&gt;=20000,'中古車掲載'!O890&lt;=100000,'中古車掲載'!AL890=1,'中古車掲載'!Z890="https://www.one2car.com/en/cars-for-sale/toyota/corolla-cross/year-2023"),'中古車掲載'!U890,"")</x:f>
      </x:c>
      <x:c r="BG889" t="str">
        <x:f>IF(AND('中古車掲載'!C890="One2car",'中古車掲載'!F890="Corolla Cross",'中古車掲載'!L890="HEV GR SPORT",'中古車掲載'!J890=2023,ISNUMBER('中古車掲載'!N890),'中古車掲載'!N890&gt;=20000,'中古車掲載'!O890&lt;=100000,'中古車掲載'!AL890=1,'中古車掲載'!Z890="https://www.one2car.com/en/cars-for-sale/toyota/corolla-cross/year-2023"),'中古車掲載'!U890,"")</x:f>
      </x:c>
      <x:c r="BH889" t="str">
        <x:f>IF(AND('中古車掲載'!C890="One2car",'中古車掲載'!F890="DOLPHIN",'中古車掲載'!L890="STANDARD RANGE",'中古車掲載'!J890=2023,ISNUMBER('中古車掲載'!N890),'中古車掲載'!N890&gt;=20000,'中古車掲載'!O890&lt;=100000,'中古車掲載'!AL890=1),'中古車掲載'!U890,"")</x:f>
      </x:c>
      <x:c r="BI889" t="str">
        <x:v>Taladrod|Hilux Revo|ICE|Unknown</x:v>
      </x:c>
      <x:c r="BJ889" t="n">
        <x:v>890</x:v>
      </x:c>
      <x:c r="BK889" t="n">
        <x:f>'中古車掲載'!AM890</x:f>
        <x:v>589000</x:v>
      </x:c>
      <x:c r="BL889" t="str">
        <x:f>IF(ISNUMBER('中古車掲載'!AN890),'中古車掲載'!AN890,"")</x:f>
      </x:c>
    </x:row>
    <x:row r="890">
      <x:c r="AZ890" t="str">
        <x:f>IF(AND('中古車掲載'!C891="One2car",'中古車掲載'!F891="ATTO 3",'中古車掲載'!L891="EXTENDED RANGE",'中古車掲載'!J891=2023,ISNUMBER('中古車掲載'!N891),'中古車掲載'!N891&gt;=20000,'中古車掲載'!O891&lt;=100000,'中古車掲載'!AL891=1),'中古車掲載'!U891,"")</x:f>
      </x:c>
      <x:c r="BA890" t="str">
        <x:f>IF(AND('中古車掲載'!C891="One2car",'中古車掲載'!F891="Corolla Cross",'中古車掲載'!L891="HEV PREMIUM SAFETY",'中古車掲載'!J891=2023,ISNUMBER('中古車掲載'!N891),'中古車掲載'!N891&gt;=20000,'中古車掲載'!O891&lt;=100000,'中古車掲載'!AL891=1,'中古車掲載'!Z891="https://www.one2car.com/en/cars-for-sale/toyota/corolla-cross/year-2023"),'中古車掲載'!U891,"")</x:f>
      </x:c>
      <x:c r="BB890" t="str">
        <x:f>IF(AND('中古車掲載'!C891="One2car",'中古車掲載'!F891="ATTO 3",'中古車掲載'!L891="EXTENDED RANGE",'中古車掲載'!J891=2023,ISNUMBER('中古車掲載'!N891),'中古車掲載'!N891&gt;=50000,'中古車掲載'!O891&lt;=100000,'中古車掲載'!AL891=1),'中古車掲載'!U891,"")</x:f>
      </x:c>
      <x:c r="BC890" t="str">
        <x:f>IF(AND('中古車掲載'!C891="One2car",'中古車掲載'!F891="Corolla Cross",'中古車掲載'!L891="HEV PREMIUM SAFETY",'中古車掲載'!J891=2023,ISNUMBER('中古車掲載'!N891),'中古車掲載'!N891&gt;=50000,'中古車掲載'!O891&lt;=100000,'中古車掲載'!AL891=1,'中古車掲載'!Z891="https://www.one2car.com/en/cars-for-sale/toyota/corolla-cross/year-2023"),'中古車掲載'!U891,"")</x:f>
      </x:c>
      <x:c r="BD890" t="str">
        <x:f>IF(AND('中古車掲載'!C891="One2car",'中古車掲載'!F891="ATTO 3",'中古車掲載'!L891="EXTENDED RANGE",'中古車掲載'!J891=2023,ISNUMBER('中古車掲載'!N891),'中古車掲載'!N891&gt;=20000,'中古車掲載'!O891&lt;=50000,'中古車掲載'!AL891=1),'中古車掲載'!U891,"")</x:f>
      </x:c>
      <x:c r="BE890" t="str">
        <x:f>IF(AND('中古車掲載'!C891="One2car",'中古車掲載'!F891="Corolla Cross",'中古車掲載'!L891="HEV PREMIUM SAFETY",'中古車掲載'!J891=2023,ISNUMBER('中古車掲載'!N891),'中古車掲載'!N891&gt;=20000,'中古車掲載'!O891&lt;=50000,'中古車掲載'!AL891=1,'中古車掲載'!Z891="https://www.one2car.com/en/cars-for-sale/toyota/corolla-cross/year-2023"),'中古車掲載'!U891,"")</x:f>
      </x:c>
      <x:c r="BF890" t="str">
        <x:f>IF(AND('中古車掲載'!C891="One2car",'中古車掲載'!F891="Corolla Cross",'中古車掲載'!L891="HEV PREMIUM",'中古車掲載'!J891=2023,ISNUMBER('中古車掲載'!N891),'中古車掲載'!N891&gt;=20000,'中古車掲載'!O891&lt;=100000,'中古車掲載'!AL891=1,'中古車掲載'!Z891="https://www.one2car.com/en/cars-for-sale/toyota/corolla-cross/year-2023"),'中古車掲載'!U891,"")</x:f>
      </x:c>
      <x:c r="BG890" t="str">
        <x:f>IF(AND('中古車掲載'!C891="One2car",'中古車掲載'!F891="Corolla Cross",'中古車掲載'!L891="HEV GR SPORT",'中古車掲載'!J891=2023,ISNUMBER('中古車掲載'!N891),'中古車掲載'!N891&gt;=20000,'中古車掲載'!O891&lt;=100000,'中古車掲載'!AL891=1,'中古車掲載'!Z891="https://www.one2car.com/en/cars-for-sale/toyota/corolla-cross/year-2023"),'中古車掲載'!U891,"")</x:f>
      </x:c>
      <x:c r="BH890" t="str">
        <x:f>IF(AND('中古車掲載'!C891="One2car",'中古車掲載'!F891="DOLPHIN",'中古車掲載'!L891="STANDARD RANGE",'中古車掲載'!J891=2023,ISNUMBER('中古車掲載'!N891),'中古車掲載'!N891&gt;=20000,'中古車掲載'!O891&lt;=100000,'中古車掲載'!AL891=1),'中古車掲載'!U891,"")</x:f>
      </x:c>
      <x:c r="BI890" t="str">
        <x:v>Taladrod|Hilux Revo|ICE|Unknown</x:v>
      </x:c>
      <x:c r="BJ890" t="n">
        <x:v>891</x:v>
      </x:c>
      <x:c r="BK890" t="n">
        <x:f>'中古車掲載'!AM891</x:f>
        <x:v>589000</x:v>
      </x:c>
      <x:c r="BL890" t="str">
        <x:f>IF(ISNUMBER('中古車掲載'!AN891),'中古車掲載'!AN891,"")</x:f>
      </x:c>
    </x:row>
    <x:row r="891">
      <x:c r="AZ891" t="str">
        <x:f>IF(AND('中古車掲載'!C892="One2car",'中古車掲載'!F892="ATTO 3",'中古車掲載'!L892="EXTENDED RANGE",'中古車掲載'!J892=2023,ISNUMBER('中古車掲載'!N892),'中古車掲載'!N892&gt;=20000,'中古車掲載'!O892&lt;=100000,'中古車掲載'!AL892=1),'中古車掲載'!U892,"")</x:f>
      </x:c>
      <x:c r="BA891" t="str">
        <x:f>IF(AND('中古車掲載'!C892="One2car",'中古車掲載'!F892="Corolla Cross",'中古車掲載'!L892="HEV PREMIUM SAFETY",'中古車掲載'!J892=2023,ISNUMBER('中古車掲載'!N892),'中古車掲載'!N892&gt;=20000,'中古車掲載'!O892&lt;=100000,'中古車掲載'!AL892=1,'中古車掲載'!Z892="https://www.one2car.com/en/cars-for-sale/toyota/corolla-cross/year-2023"),'中古車掲載'!U892,"")</x:f>
      </x:c>
      <x:c r="BB891" t="str">
        <x:f>IF(AND('中古車掲載'!C892="One2car",'中古車掲載'!F892="ATTO 3",'中古車掲載'!L892="EXTENDED RANGE",'中古車掲載'!J892=2023,ISNUMBER('中古車掲載'!N892),'中古車掲載'!N892&gt;=50000,'中古車掲載'!O892&lt;=100000,'中古車掲載'!AL892=1),'中古車掲載'!U892,"")</x:f>
      </x:c>
      <x:c r="BC891" t="str">
        <x:f>IF(AND('中古車掲載'!C892="One2car",'中古車掲載'!F892="Corolla Cross",'中古車掲載'!L892="HEV PREMIUM SAFETY",'中古車掲載'!J892=2023,ISNUMBER('中古車掲載'!N892),'中古車掲載'!N892&gt;=50000,'中古車掲載'!O892&lt;=100000,'中古車掲載'!AL892=1,'中古車掲載'!Z892="https://www.one2car.com/en/cars-for-sale/toyota/corolla-cross/year-2023"),'中古車掲載'!U892,"")</x:f>
      </x:c>
      <x:c r="BD891" t="str">
        <x:f>IF(AND('中古車掲載'!C892="One2car",'中古車掲載'!F892="ATTO 3",'中古車掲載'!L892="EXTENDED RANGE",'中古車掲載'!J892=2023,ISNUMBER('中古車掲載'!N892),'中古車掲載'!N892&gt;=20000,'中古車掲載'!O892&lt;=50000,'中古車掲載'!AL892=1),'中古車掲載'!U892,"")</x:f>
      </x:c>
      <x:c r="BE891" t="str">
        <x:f>IF(AND('中古車掲載'!C892="One2car",'中古車掲載'!F892="Corolla Cross",'中古車掲載'!L892="HEV PREMIUM SAFETY",'中古車掲載'!J892=2023,ISNUMBER('中古車掲載'!N892),'中古車掲載'!N892&gt;=20000,'中古車掲載'!O892&lt;=50000,'中古車掲載'!AL892=1,'中古車掲載'!Z892="https://www.one2car.com/en/cars-for-sale/toyota/corolla-cross/year-2023"),'中古車掲載'!U892,"")</x:f>
      </x:c>
      <x:c r="BF891" t="str">
        <x:f>IF(AND('中古車掲載'!C892="One2car",'中古車掲載'!F892="Corolla Cross",'中古車掲載'!L892="HEV PREMIUM",'中古車掲載'!J892=2023,ISNUMBER('中古車掲載'!N892),'中古車掲載'!N892&gt;=20000,'中古車掲載'!O892&lt;=100000,'中古車掲載'!AL892=1,'中古車掲載'!Z892="https://www.one2car.com/en/cars-for-sale/toyota/corolla-cross/year-2023"),'中古車掲載'!U892,"")</x:f>
      </x:c>
      <x:c r="BG891" t="str">
        <x:f>IF(AND('中古車掲載'!C892="One2car",'中古車掲載'!F892="Corolla Cross",'中古車掲載'!L892="HEV GR SPORT",'中古車掲載'!J892=2023,ISNUMBER('中古車掲載'!N892),'中古車掲載'!N892&gt;=20000,'中古車掲載'!O892&lt;=100000,'中古車掲載'!AL892=1,'中古車掲載'!Z892="https://www.one2car.com/en/cars-for-sale/toyota/corolla-cross/year-2023"),'中古車掲載'!U892,"")</x:f>
      </x:c>
      <x:c r="BH891" t="str">
        <x:f>IF(AND('中古車掲載'!C892="One2car",'中古車掲載'!F892="DOLPHIN",'中古車掲載'!L892="STANDARD RANGE",'中古車掲載'!J892=2023,ISNUMBER('中古車掲載'!N892),'中古車掲載'!N892&gt;=20000,'中古車掲載'!O892&lt;=100000,'中古車掲載'!AL892=1),'中古車掲載'!U892,"")</x:f>
      </x:c>
      <x:c r="BI891" t="str">
        <x:v>Taladrod|Hilux Revo|ICE|Unknown</x:v>
      </x:c>
      <x:c r="BJ891" t="n">
        <x:v>892</x:v>
      </x:c>
      <x:c r="BK891" t="n">
        <x:f>'中古車掲載'!AM892</x:f>
        <x:v>659000</x:v>
      </x:c>
      <x:c r="BL891" t="str">
        <x:f>IF(ISNUMBER('中古車掲載'!AN892),'中古車掲載'!AN892,"")</x:f>
      </x:c>
    </x:row>
    <x:row r="892">
      <x:c r="AZ892" t="str">
        <x:f>IF(AND('中古車掲載'!C893="One2car",'中古車掲載'!F893="ATTO 3",'中古車掲載'!L893="EXTENDED RANGE",'中古車掲載'!J893=2023,ISNUMBER('中古車掲載'!N893),'中古車掲載'!N893&gt;=20000,'中古車掲載'!O893&lt;=100000,'中古車掲載'!AL893=1),'中古車掲載'!U893,"")</x:f>
      </x:c>
      <x:c r="BA892" t="str">
        <x:f>IF(AND('中古車掲載'!C893="One2car",'中古車掲載'!F893="Corolla Cross",'中古車掲載'!L893="HEV PREMIUM SAFETY",'中古車掲載'!J893=2023,ISNUMBER('中古車掲載'!N893),'中古車掲載'!N893&gt;=20000,'中古車掲載'!O893&lt;=100000,'中古車掲載'!AL893=1,'中古車掲載'!Z893="https://www.one2car.com/en/cars-for-sale/toyota/corolla-cross/year-2023"),'中古車掲載'!U893,"")</x:f>
      </x:c>
      <x:c r="BB892" t="str">
        <x:f>IF(AND('中古車掲載'!C893="One2car",'中古車掲載'!F893="ATTO 3",'中古車掲載'!L893="EXTENDED RANGE",'中古車掲載'!J893=2023,ISNUMBER('中古車掲載'!N893),'中古車掲載'!N893&gt;=50000,'中古車掲載'!O893&lt;=100000,'中古車掲載'!AL893=1),'中古車掲載'!U893,"")</x:f>
      </x:c>
      <x:c r="BC892" t="str">
        <x:f>IF(AND('中古車掲載'!C893="One2car",'中古車掲載'!F893="Corolla Cross",'中古車掲載'!L893="HEV PREMIUM SAFETY",'中古車掲載'!J893=2023,ISNUMBER('中古車掲載'!N893),'中古車掲載'!N893&gt;=50000,'中古車掲載'!O893&lt;=100000,'中古車掲載'!AL893=1,'中古車掲載'!Z893="https://www.one2car.com/en/cars-for-sale/toyota/corolla-cross/year-2023"),'中古車掲載'!U893,"")</x:f>
      </x:c>
      <x:c r="BD892" t="str">
        <x:f>IF(AND('中古車掲載'!C893="One2car",'中古車掲載'!F893="ATTO 3",'中古車掲載'!L893="EXTENDED RANGE",'中古車掲載'!J893=2023,ISNUMBER('中古車掲載'!N893),'中古車掲載'!N893&gt;=20000,'中古車掲載'!O893&lt;=50000,'中古車掲載'!AL893=1),'中古車掲載'!U893,"")</x:f>
      </x:c>
      <x:c r="BE892" t="str">
        <x:f>IF(AND('中古車掲載'!C893="One2car",'中古車掲載'!F893="Corolla Cross",'中古車掲載'!L893="HEV PREMIUM SAFETY",'中古車掲載'!J893=2023,ISNUMBER('中古車掲載'!N893),'中古車掲載'!N893&gt;=20000,'中古車掲載'!O893&lt;=50000,'中古車掲載'!AL893=1,'中古車掲載'!Z893="https://www.one2car.com/en/cars-for-sale/toyota/corolla-cross/year-2023"),'中古車掲載'!U893,"")</x:f>
      </x:c>
      <x:c r="BF892" t="str">
        <x:f>IF(AND('中古車掲載'!C893="One2car",'中古車掲載'!F893="Corolla Cross",'中古車掲載'!L893="HEV PREMIUM",'中古車掲載'!J893=2023,ISNUMBER('中古車掲載'!N893),'中古車掲載'!N893&gt;=20000,'中古車掲載'!O893&lt;=100000,'中古車掲載'!AL893=1,'中古車掲載'!Z893="https://www.one2car.com/en/cars-for-sale/toyota/corolla-cross/year-2023"),'中古車掲載'!U893,"")</x:f>
      </x:c>
      <x:c r="BG892" t="str">
        <x:f>IF(AND('中古車掲載'!C893="One2car",'中古車掲載'!F893="Corolla Cross",'中古車掲載'!L893="HEV GR SPORT",'中古車掲載'!J893=2023,ISNUMBER('中古車掲載'!N893),'中古車掲載'!N893&gt;=20000,'中古車掲載'!O893&lt;=100000,'中古車掲載'!AL893=1,'中古車掲載'!Z893="https://www.one2car.com/en/cars-for-sale/toyota/corolla-cross/year-2023"),'中古車掲載'!U893,"")</x:f>
      </x:c>
      <x:c r="BH892" t="str">
        <x:f>IF(AND('中古車掲載'!C893="One2car",'中古車掲載'!F893="DOLPHIN",'中古車掲載'!L893="STANDARD RANGE",'中古車掲載'!J893=2023,ISNUMBER('中古車掲載'!N893),'中古車掲載'!N893&gt;=20000,'中古車掲載'!O893&lt;=100000,'中古車掲載'!AL893=1),'中古車掲載'!U893,"")</x:f>
      </x:c>
      <x:c r="BI892" t="str">
        <x:v>Taladrod|Hilux Revo|ICE|Unknown</x:v>
      </x:c>
      <x:c r="BJ892" t="n">
        <x:v>893</x:v>
      </x:c>
      <x:c r="BK892" t="n">
        <x:f>'中古車掲載'!AM893</x:f>
        <x:v>678000</x:v>
      </x:c>
      <x:c r="BL892" t="str">
        <x:f>IF(ISNUMBER('中古車掲載'!AN893),'中古車掲載'!AN893,"")</x:f>
      </x:c>
    </x:row>
    <x:row r="893">
      <x:c r="AZ893" t="str">
        <x:f>IF(AND('中古車掲載'!C894="One2car",'中古車掲載'!F894="ATTO 3",'中古車掲載'!L894="EXTENDED RANGE",'中古車掲載'!J894=2023,ISNUMBER('中古車掲載'!N894),'中古車掲載'!N894&gt;=20000,'中古車掲載'!O894&lt;=100000,'中古車掲載'!AL894=1),'中古車掲載'!U894,"")</x:f>
      </x:c>
      <x:c r="BA893" t="str">
        <x:f>IF(AND('中古車掲載'!C894="One2car",'中古車掲載'!F894="Corolla Cross",'中古車掲載'!L894="HEV PREMIUM SAFETY",'中古車掲載'!J894=2023,ISNUMBER('中古車掲載'!N894),'中古車掲載'!N894&gt;=20000,'中古車掲載'!O894&lt;=100000,'中古車掲載'!AL894=1,'中古車掲載'!Z894="https://www.one2car.com/en/cars-for-sale/toyota/corolla-cross/year-2023"),'中古車掲載'!U894,"")</x:f>
      </x:c>
      <x:c r="BB893" t="str">
        <x:f>IF(AND('中古車掲載'!C894="One2car",'中古車掲載'!F894="ATTO 3",'中古車掲載'!L894="EXTENDED RANGE",'中古車掲載'!J894=2023,ISNUMBER('中古車掲載'!N894),'中古車掲載'!N894&gt;=50000,'中古車掲載'!O894&lt;=100000,'中古車掲載'!AL894=1),'中古車掲載'!U894,"")</x:f>
      </x:c>
      <x:c r="BC893" t="str">
        <x:f>IF(AND('中古車掲載'!C894="One2car",'中古車掲載'!F894="Corolla Cross",'中古車掲載'!L894="HEV PREMIUM SAFETY",'中古車掲載'!J894=2023,ISNUMBER('中古車掲載'!N894),'中古車掲載'!N894&gt;=50000,'中古車掲載'!O894&lt;=100000,'中古車掲載'!AL894=1,'中古車掲載'!Z894="https://www.one2car.com/en/cars-for-sale/toyota/corolla-cross/year-2023"),'中古車掲載'!U894,"")</x:f>
      </x:c>
      <x:c r="BD893" t="str">
        <x:f>IF(AND('中古車掲載'!C894="One2car",'中古車掲載'!F894="ATTO 3",'中古車掲載'!L894="EXTENDED RANGE",'中古車掲載'!J894=2023,ISNUMBER('中古車掲載'!N894),'中古車掲載'!N894&gt;=20000,'中古車掲載'!O894&lt;=50000,'中古車掲載'!AL894=1),'中古車掲載'!U894,"")</x:f>
      </x:c>
      <x:c r="BE893" t="str">
        <x:f>IF(AND('中古車掲載'!C894="One2car",'中古車掲載'!F894="Corolla Cross",'中古車掲載'!L894="HEV PREMIUM SAFETY",'中古車掲載'!J894=2023,ISNUMBER('中古車掲載'!N894),'中古車掲載'!N894&gt;=20000,'中古車掲載'!O894&lt;=50000,'中古車掲載'!AL894=1,'中古車掲載'!Z894="https://www.one2car.com/en/cars-for-sale/toyota/corolla-cross/year-2023"),'中古車掲載'!U894,"")</x:f>
      </x:c>
      <x:c r="BF893" t="str">
        <x:f>IF(AND('中古車掲載'!C894="One2car",'中古車掲載'!F894="Corolla Cross",'中古車掲載'!L894="HEV PREMIUM",'中古車掲載'!J894=2023,ISNUMBER('中古車掲載'!N894),'中古車掲載'!N894&gt;=20000,'中古車掲載'!O894&lt;=100000,'中古車掲載'!AL894=1,'中古車掲載'!Z894="https://www.one2car.com/en/cars-for-sale/toyota/corolla-cross/year-2023"),'中古車掲載'!U894,"")</x:f>
      </x:c>
      <x:c r="BG893" t="str">
        <x:f>IF(AND('中古車掲載'!C894="One2car",'中古車掲載'!F894="Corolla Cross",'中古車掲載'!L894="HEV GR SPORT",'中古車掲載'!J894=2023,ISNUMBER('中古車掲載'!N894),'中古車掲載'!N894&gt;=20000,'中古車掲載'!O894&lt;=100000,'中古車掲載'!AL894=1,'中古車掲載'!Z894="https://www.one2car.com/en/cars-for-sale/toyota/corolla-cross/year-2023"),'中古車掲載'!U894,"")</x:f>
      </x:c>
      <x:c r="BH893" t="str">
        <x:f>IF(AND('中古車掲載'!C894="One2car",'中古車掲載'!F894="DOLPHIN",'中古車掲載'!L894="STANDARD RANGE",'中古車掲載'!J894=2023,ISNUMBER('中古車掲載'!N894),'中古車掲載'!N894&gt;=20000,'中古車掲載'!O894&lt;=100000,'中古車掲載'!AL894=1),'中古車掲載'!U894,"")</x:f>
      </x:c>
      <x:c r="BI893" t="str">
        <x:v>Taladrod|Hilux Revo|ICE|Unknown</x:v>
      </x:c>
      <x:c r="BJ893" t="n">
        <x:v>894</x:v>
      </x:c>
      <x:c r="BK893" t="n">
        <x:f>'中古車掲載'!AM894</x:f>
        <x:v>699000</x:v>
      </x:c>
      <x:c r="BL893" t="str">
        <x:f>IF(ISNUMBER('中古車掲載'!AN894),'中古車掲載'!AN894,"")</x:f>
      </x:c>
    </x:row>
    <x:row r="894">
      <x:c r="AZ894" t="str">
        <x:f>IF(AND('中古車掲載'!C895="One2car",'中古車掲載'!F895="ATTO 3",'中古車掲載'!L895="EXTENDED RANGE",'中古車掲載'!J895=2023,ISNUMBER('中古車掲載'!N895),'中古車掲載'!N895&gt;=20000,'中古車掲載'!O895&lt;=100000,'中古車掲載'!AL895=1),'中古車掲載'!U895,"")</x:f>
      </x:c>
      <x:c r="BA894" t="str">
        <x:f>IF(AND('中古車掲載'!C895="One2car",'中古車掲載'!F895="Corolla Cross",'中古車掲載'!L895="HEV PREMIUM SAFETY",'中古車掲載'!J895=2023,ISNUMBER('中古車掲載'!N895),'中古車掲載'!N895&gt;=20000,'中古車掲載'!O895&lt;=100000,'中古車掲載'!AL895=1,'中古車掲載'!Z895="https://www.one2car.com/en/cars-for-sale/toyota/corolla-cross/year-2023"),'中古車掲載'!U895,"")</x:f>
      </x:c>
      <x:c r="BB894" t="str">
        <x:f>IF(AND('中古車掲載'!C895="One2car",'中古車掲載'!F895="ATTO 3",'中古車掲載'!L895="EXTENDED RANGE",'中古車掲載'!J895=2023,ISNUMBER('中古車掲載'!N895),'中古車掲載'!N895&gt;=50000,'中古車掲載'!O895&lt;=100000,'中古車掲載'!AL895=1),'中古車掲載'!U895,"")</x:f>
      </x:c>
      <x:c r="BC894" t="str">
        <x:f>IF(AND('中古車掲載'!C895="One2car",'中古車掲載'!F895="Corolla Cross",'中古車掲載'!L895="HEV PREMIUM SAFETY",'中古車掲載'!J895=2023,ISNUMBER('中古車掲載'!N895),'中古車掲載'!N895&gt;=50000,'中古車掲載'!O895&lt;=100000,'中古車掲載'!AL895=1,'中古車掲載'!Z895="https://www.one2car.com/en/cars-for-sale/toyota/corolla-cross/year-2023"),'中古車掲載'!U895,"")</x:f>
      </x:c>
      <x:c r="BD894" t="str">
        <x:f>IF(AND('中古車掲載'!C895="One2car",'中古車掲載'!F895="ATTO 3",'中古車掲載'!L895="EXTENDED RANGE",'中古車掲載'!J895=2023,ISNUMBER('中古車掲載'!N895),'中古車掲載'!N895&gt;=20000,'中古車掲載'!O895&lt;=50000,'中古車掲載'!AL895=1),'中古車掲載'!U895,"")</x:f>
      </x:c>
      <x:c r="BE894" t="str">
        <x:f>IF(AND('中古車掲載'!C895="One2car",'中古車掲載'!F895="Corolla Cross",'中古車掲載'!L895="HEV PREMIUM SAFETY",'中古車掲載'!J895=2023,ISNUMBER('中古車掲載'!N895),'中古車掲載'!N895&gt;=20000,'中古車掲載'!O895&lt;=50000,'中古車掲載'!AL895=1,'中古車掲載'!Z895="https://www.one2car.com/en/cars-for-sale/toyota/corolla-cross/year-2023"),'中古車掲載'!U895,"")</x:f>
      </x:c>
      <x:c r="BF894" t="str">
        <x:f>IF(AND('中古車掲載'!C895="One2car",'中古車掲載'!F895="Corolla Cross",'中古車掲載'!L895="HEV PREMIUM",'中古車掲載'!J895=2023,ISNUMBER('中古車掲載'!N895),'中古車掲載'!N895&gt;=20000,'中古車掲載'!O895&lt;=100000,'中古車掲載'!AL895=1,'中古車掲載'!Z895="https://www.one2car.com/en/cars-for-sale/toyota/corolla-cross/year-2023"),'中古車掲載'!U895,"")</x:f>
      </x:c>
      <x:c r="BG894" t="str">
        <x:f>IF(AND('中古車掲載'!C895="One2car",'中古車掲載'!F895="Corolla Cross",'中古車掲載'!L895="HEV GR SPORT",'中古車掲載'!J895=2023,ISNUMBER('中古車掲載'!N895),'中古車掲載'!N895&gt;=20000,'中古車掲載'!O895&lt;=100000,'中古車掲載'!AL895=1,'中古車掲載'!Z895="https://www.one2car.com/en/cars-for-sale/toyota/corolla-cross/year-2023"),'中古車掲載'!U895,"")</x:f>
      </x:c>
      <x:c r="BH894" t="str">
        <x:f>IF(AND('中古車掲載'!C895="One2car",'中古車掲載'!F895="DOLPHIN",'中古車掲載'!L895="STANDARD RANGE",'中古車掲載'!J895=2023,ISNUMBER('中古車掲載'!N895),'中古車掲載'!N895&gt;=20000,'中古車掲載'!O895&lt;=100000,'中古車掲載'!AL895=1),'中古車掲載'!U895,"")</x:f>
      </x:c>
      <x:c r="BI894" t="str">
        <x:v>Taladrod|Hilux Revo|ICE|Unknown</x:v>
      </x:c>
      <x:c r="BJ894" t="n">
        <x:v>895</x:v>
      </x:c>
      <x:c r="BK894" t="n">
        <x:f>'中古車掲載'!AM895</x:f>
        <x:v>679000</x:v>
      </x:c>
      <x:c r="BL894" t="str">
        <x:f>IF(ISNUMBER('中古車掲載'!AN895),'中古車掲載'!AN895,"")</x:f>
      </x:c>
    </x:row>
    <x:row r="895">
      <x:c r="AZ895" t="str">
        <x:f>IF(AND('中古車掲載'!C896="One2car",'中古車掲載'!F896="ATTO 3",'中古車掲載'!L896="EXTENDED RANGE",'中古車掲載'!J896=2023,ISNUMBER('中古車掲載'!N896),'中古車掲載'!N896&gt;=20000,'中古車掲載'!O896&lt;=100000,'中古車掲載'!AL896=1),'中古車掲載'!U896,"")</x:f>
      </x:c>
      <x:c r="BA895" t="str">
        <x:f>IF(AND('中古車掲載'!C896="One2car",'中古車掲載'!F896="Corolla Cross",'中古車掲載'!L896="HEV PREMIUM SAFETY",'中古車掲載'!J896=2023,ISNUMBER('中古車掲載'!N896),'中古車掲載'!N896&gt;=20000,'中古車掲載'!O896&lt;=100000,'中古車掲載'!AL896=1,'中古車掲載'!Z896="https://www.one2car.com/en/cars-for-sale/toyota/corolla-cross/year-2023"),'中古車掲載'!U896,"")</x:f>
      </x:c>
      <x:c r="BB895" t="str">
        <x:f>IF(AND('中古車掲載'!C896="One2car",'中古車掲載'!F896="ATTO 3",'中古車掲載'!L896="EXTENDED RANGE",'中古車掲載'!J896=2023,ISNUMBER('中古車掲載'!N896),'中古車掲載'!N896&gt;=50000,'中古車掲載'!O896&lt;=100000,'中古車掲載'!AL896=1),'中古車掲載'!U896,"")</x:f>
      </x:c>
      <x:c r="BC895" t="str">
        <x:f>IF(AND('中古車掲載'!C896="One2car",'中古車掲載'!F896="Corolla Cross",'中古車掲載'!L896="HEV PREMIUM SAFETY",'中古車掲載'!J896=2023,ISNUMBER('中古車掲載'!N896),'中古車掲載'!N896&gt;=50000,'中古車掲載'!O896&lt;=100000,'中古車掲載'!AL896=1,'中古車掲載'!Z896="https://www.one2car.com/en/cars-for-sale/toyota/corolla-cross/year-2023"),'中古車掲載'!U896,"")</x:f>
      </x:c>
      <x:c r="BD895" t="str">
        <x:f>IF(AND('中古車掲載'!C896="One2car",'中古車掲載'!F896="ATTO 3",'中古車掲載'!L896="EXTENDED RANGE",'中古車掲載'!J896=2023,ISNUMBER('中古車掲載'!N896),'中古車掲載'!N896&gt;=20000,'中古車掲載'!O896&lt;=50000,'中古車掲載'!AL896=1),'中古車掲載'!U896,"")</x:f>
      </x:c>
      <x:c r="BE895" t="str">
        <x:f>IF(AND('中古車掲載'!C896="One2car",'中古車掲載'!F896="Corolla Cross",'中古車掲載'!L896="HEV PREMIUM SAFETY",'中古車掲載'!J896=2023,ISNUMBER('中古車掲載'!N896),'中古車掲載'!N896&gt;=20000,'中古車掲載'!O896&lt;=50000,'中古車掲載'!AL896=1,'中古車掲載'!Z896="https://www.one2car.com/en/cars-for-sale/toyota/corolla-cross/year-2023"),'中古車掲載'!U896,"")</x:f>
      </x:c>
      <x:c r="BF895" t="str">
        <x:f>IF(AND('中古車掲載'!C896="One2car",'中古車掲載'!F896="Corolla Cross",'中古車掲載'!L896="HEV PREMIUM",'中古車掲載'!J896=2023,ISNUMBER('中古車掲載'!N896),'中古車掲載'!N896&gt;=20000,'中古車掲載'!O896&lt;=100000,'中古車掲載'!AL896=1,'中古車掲載'!Z896="https://www.one2car.com/en/cars-for-sale/toyota/corolla-cross/year-2023"),'中古車掲載'!U896,"")</x:f>
      </x:c>
      <x:c r="BG895" t="str">
        <x:f>IF(AND('中古車掲載'!C896="One2car",'中古車掲載'!F896="Corolla Cross",'中古車掲載'!L896="HEV GR SPORT",'中古車掲載'!J896=2023,ISNUMBER('中古車掲載'!N896),'中古車掲載'!N896&gt;=20000,'中古車掲載'!O896&lt;=100000,'中古車掲載'!AL896=1,'中古車掲載'!Z896="https://www.one2car.com/en/cars-for-sale/toyota/corolla-cross/year-2023"),'中古車掲載'!U896,"")</x:f>
      </x:c>
      <x:c r="BH895" t="str">
        <x:f>IF(AND('中古車掲載'!C896="One2car",'中古車掲載'!F896="DOLPHIN",'中古車掲載'!L896="STANDARD RANGE",'中古車掲載'!J896=2023,ISNUMBER('中古車掲載'!N896),'中古車掲載'!N896&gt;=20000,'中古車掲載'!O896&lt;=100000,'中古車掲載'!AL896=1),'中古車掲載'!U896,"")</x:f>
      </x:c>
      <x:c r="BI895" t="str">
        <x:v>Taladrod|Hilux Revo|ICE|Unknown</x:v>
      </x:c>
      <x:c r="BJ895" t="n">
        <x:v>896</x:v>
      </x:c>
      <x:c r="BK895" t="n">
        <x:f>'中古車掲載'!AM896</x:f>
        <x:v>699000</x:v>
      </x:c>
      <x:c r="BL895" t="str">
        <x:f>IF(ISNUMBER('中古車掲載'!AN896),'中古車掲載'!AN896,"")</x:f>
      </x:c>
    </x:row>
    <x:row r="896">
      <x:c r="AZ896" t="str">
        <x:f>IF(AND('中古車掲載'!C897="One2car",'中古車掲載'!F897="ATTO 3",'中古車掲載'!L897="EXTENDED RANGE",'中古車掲載'!J897=2023,ISNUMBER('中古車掲載'!N897),'中古車掲載'!N897&gt;=20000,'中古車掲載'!O897&lt;=100000,'中古車掲載'!AL897=1),'中古車掲載'!U897,"")</x:f>
      </x:c>
      <x:c r="BA896" t="str">
        <x:f>IF(AND('中古車掲載'!C897="One2car",'中古車掲載'!F897="Corolla Cross",'中古車掲載'!L897="HEV PREMIUM SAFETY",'中古車掲載'!J897=2023,ISNUMBER('中古車掲載'!N897),'中古車掲載'!N897&gt;=20000,'中古車掲載'!O897&lt;=100000,'中古車掲載'!AL897=1,'中古車掲載'!Z897="https://www.one2car.com/en/cars-for-sale/toyota/corolla-cross/year-2023"),'中古車掲載'!U897,"")</x:f>
      </x:c>
      <x:c r="BB896" t="str">
        <x:f>IF(AND('中古車掲載'!C897="One2car",'中古車掲載'!F897="ATTO 3",'中古車掲載'!L897="EXTENDED RANGE",'中古車掲載'!J897=2023,ISNUMBER('中古車掲載'!N897),'中古車掲載'!N897&gt;=50000,'中古車掲載'!O897&lt;=100000,'中古車掲載'!AL897=1),'中古車掲載'!U897,"")</x:f>
      </x:c>
      <x:c r="BC896" t="str">
        <x:f>IF(AND('中古車掲載'!C897="One2car",'中古車掲載'!F897="Corolla Cross",'中古車掲載'!L897="HEV PREMIUM SAFETY",'中古車掲載'!J897=2023,ISNUMBER('中古車掲載'!N897),'中古車掲載'!N897&gt;=50000,'中古車掲載'!O897&lt;=100000,'中古車掲載'!AL897=1,'中古車掲載'!Z897="https://www.one2car.com/en/cars-for-sale/toyota/corolla-cross/year-2023"),'中古車掲載'!U897,"")</x:f>
      </x:c>
      <x:c r="BD896" t="str">
        <x:f>IF(AND('中古車掲載'!C897="One2car",'中古車掲載'!F897="ATTO 3",'中古車掲載'!L897="EXTENDED RANGE",'中古車掲載'!J897=2023,ISNUMBER('中古車掲載'!N897),'中古車掲載'!N897&gt;=20000,'中古車掲載'!O897&lt;=50000,'中古車掲載'!AL897=1),'中古車掲載'!U897,"")</x:f>
      </x:c>
      <x:c r="BE896" t="str">
        <x:f>IF(AND('中古車掲載'!C897="One2car",'中古車掲載'!F897="Corolla Cross",'中古車掲載'!L897="HEV PREMIUM SAFETY",'中古車掲載'!J897=2023,ISNUMBER('中古車掲載'!N897),'中古車掲載'!N897&gt;=20000,'中古車掲載'!O897&lt;=50000,'中古車掲載'!AL897=1,'中古車掲載'!Z897="https://www.one2car.com/en/cars-for-sale/toyota/corolla-cross/year-2023"),'中古車掲載'!U897,"")</x:f>
      </x:c>
      <x:c r="BF896" t="str">
        <x:f>IF(AND('中古車掲載'!C897="One2car",'中古車掲載'!F897="Corolla Cross",'中古車掲載'!L897="HEV PREMIUM",'中古車掲載'!J897=2023,ISNUMBER('中古車掲載'!N897),'中古車掲載'!N897&gt;=20000,'中古車掲載'!O897&lt;=100000,'中古車掲載'!AL897=1,'中古車掲載'!Z897="https://www.one2car.com/en/cars-for-sale/toyota/corolla-cross/year-2023"),'中古車掲載'!U897,"")</x:f>
      </x:c>
      <x:c r="BG896" t="str">
        <x:f>IF(AND('中古車掲載'!C897="One2car",'中古車掲載'!F897="Corolla Cross",'中古車掲載'!L897="HEV GR SPORT",'中古車掲載'!J897=2023,ISNUMBER('中古車掲載'!N897),'中古車掲載'!N897&gt;=20000,'中古車掲載'!O897&lt;=100000,'中古車掲載'!AL897=1,'中古車掲載'!Z897="https://www.one2car.com/en/cars-for-sale/toyota/corolla-cross/year-2023"),'中古車掲載'!U897,"")</x:f>
      </x:c>
      <x:c r="BH896" t="str">
        <x:f>IF(AND('中古車掲載'!C897="One2car",'中古車掲載'!F897="DOLPHIN",'中古車掲載'!L897="STANDARD RANGE",'中古車掲載'!J897=2023,ISNUMBER('中古車掲載'!N897),'中古車掲載'!N897&gt;=20000,'中古車掲載'!O897&lt;=100000,'中古車掲載'!AL897=1),'中古車掲載'!U897,"")</x:f>
      </x:c>
      <x:c r="BI896" t="str">
        <x:v>Taladrod|Hilux Revo|ICE|Unknown</x:v>
      </x:c>
      <x:c r="BJ896" t="n">
        <x:v>897</x:v>
      </x:c>
      <x:c r="BK896" t="n">
        <x:f>'中古車掲載'!AM897</x:f>
        <x:v>699000</x:v>
      </x:c>
      <x:c r="BL896" t="str">
        <x:f>IF(ISNUMBER('中古車掲載'!AN897),'中古車掲載'!AN897,"")</x:f>
      </x:c>
    </x:row>
    <x:row r="897">
      <x:c r="AZ897" t="str">
        <x:f>IF(AND('中古車掲載'!C898="One2car",'中古車掲載'!F898="ATTO 3",'中古車掲載'!L898="EXTENDED RANGE",'中古車掲載'!J898=2023,ISNUMBER('中古車掲載'!N898),'中古車掲載'!N898&gt;=20000,'中古車掲載'!O898&lt;=100000,'中古車掲載'!AL898=1),'中古車掲載'!U898,"")</x:f>
      </x:c>
      <x:c r="BA897" t="str">
        <x:f>IF(AND('中古車掲載'!C898="One2car",'中古車掲載'!F898="Corolla Cross",'中古車掲載'!L898="HEV PREMIUM SAFETY",'中古車掲載'!J898=2023,ISNUMBER('中古車掲載'!N898),'中古車掲載'!N898&gt;=20000,'中古車掲載'!O898&lt;=100000,'中古車掲載'!AL898=1,'中古車掲載'!Z898="https://www.one2car.com/en/cars-for-sale/toyota/corolla-cross/year-2023"),'中古車掲載'!U898,"")</x:f>
      </x:c>
      <x:c r="BB897" t="str">
        <x:f>IF(AND('中古車掲載'!C898="One2car",'中古車掲載'!F898="ATTO 3",'中古車掲載'!L898="EXTENDED RANGE",'中古車掲載'!J898=2023,ISNUMBER('中古車掲載'!N898),'中古車掲載'!N898&gt;=50000,'中古車掲載'!O898&lt;=100000,'中古車掲載'!AL898=1),'中古車掲載'!U898,"")</x:f>
      </x:c>
      <x:c r="BC897" t="str">
        <x:f>IF(AND('中古車掲載'!C898="One2car",'中古車掲載'!F898="Corolla Cross",'中古車掲載'!L898="HEV PREMIUM SAFETY",'中古車掲載'!J898=2023,ISNUMBER('中古車掲載'!N898),'中古車掲載'!N898&gt;=50000,'中古車掲載'!O898&lt;=100000,'中古車掲載'!AL898=1,'中古車掲載'!Z898="https://www.one2car.com/en/cars-for-sale/toyota/corolla-cross/year-2023"),'中古車掲載'!U898,"")</x:f>
      </x:c>
      <x:c r="BD897" t="str">
        <x:f>IF(AND('中古車掲載'!C898="One2car",'中古車掲載'!F898="ATTO 3",'中古車掲載'!L898="EXTENDED RANGE",'中古車掲載'!J898=2023,ISNUMBER('中古車掲載'!N898),'中古車掲載'!N898&gt;=20000,'中古車掲載'!O898&lt;=50000,'中古車掲載'!AL898=1),'中古車掲載'!U898,"")</x:f>
      </x:c>
      <x:c r="BE897" t="str">
        <x:f>IF(AND('中古車掲載'!C898="One2car",'中古車掲載'!F898="Corolla Cross",'中古車掲載'!L898="HEV PREMIUM SAFETY",'中古車掲載'!J898=2023,ISNUMBER('中古車掲載'!N898),'中古車掲載'!N898&gt;=20000,'中古車掲載'!O898&lt;=50000,'中古車掲載'!AL898=1,'中古車掲載'!Z898="https://www.one2car.com/en/cars-for-sale/toyota/corolla-cross/year-2023"),'中古車掲載'!U898,"")</x:f>
      </x:c>
      <x:c r="BF897" t="str">
        <x:f>IF(AND('中古車掲載'!C898="One2car",'中古車掲載'!F898="Corolla Cross",'中古車掲載'!L898="HEV PREMIUM",'中古車掲載'!J898=2023,ISNUMBER('中古車掲載'!N898),'中古車掲載'!N898&gt;=20000,'中古車掲載'!O898&lt;=100000,'中古車掲載'!AL898=1,'中古車掲載'!Z898="https://www.one2car.com/en/cars-for-sale/toyota/corolla-cross/year-2023"),'中古車掲載'!U898,"")</x:f>
      </x:c>
      <x:c r="BG897" t="str">
        <x:f>IF(AND('中古車掲載'!C898="One2car",'中古車掲載'!F898="Corolla Cross",'中古車掲載'!L898="HEV GR SPORT",'中古車掲載'!J898=2023,ISNUMBER('中古車掲載'!N898),'中古車掲載'!N898&gt;=20000,'中古車掲載'!O898&lt;=100000,'中古車掲載'!AL898=1,'中古車掲載'!Z898="https://www.one2car.com/en/cars-for-sale/toyota/corolla-cross/year-2023"),'中古車掲載'!U898,"")</x:f>
      </x:c>
      <x:c r="BH897" t="str">
        <x:f>IF(AND('中古車掲載'!C898="One2car",'中古車掲載'!F898="DOLPHIN",'中古車掲載'!L898="STANDARD RANGE",'中古車掲載'!J898=2023,ISNUMBER('中古車掲載'!N898),'中古車掲載'!N898&gt;=20000,'中古車掲載'!O898&lt;=100000,'中古車掲載'!AL898=1),'中古車掲載'!U898,"")</x:f>
      </x:c>
      <x:c r="BI897" t="str">
        <x:v>Taladrod|Hilux Revo|ICE|Unknown</x:v>
      </x:c>
      <x:c r="BJ897" t="n">
        <x:v>898</x:v>
      </x:c>
      <x:c r="BK897" t="n">
        <x:f>'中古車掲載'!AM898</x:f>
        <x:v>569000</x:v>
      </x:c>
      <x:c r="BL897" t="str">
        <x:f>IF(ISNUMBER('中古車掲載'!AN898),'中古車掲載'!AN898,"")</x:f>
      </x:c>
    </x:row>
    <x:row r="898">
      <x:c r="AZ898" t="str">
        <x:f>IF(AND('中古車掲載'!C899="One2car",'中古車掲載'!F899="ATTO 3",'中古車掲載'!L899="EXTENDED RANGE",'中古車掲載'!J899=2023,ISNUMBER('中古車掲載'!N899),'中古車掲載'!N899&gt;=20000,'中古車掲載'!O899&lt;=100000,'中古車掲載'!AL899=1),'中古車掲載'!U899,"")</x:f>
      </x:c>
      <x:c r="BA898" t="str">
        <x:f>IF(AND('中古車掲載'!C899="One2car",'中古車掲載'!F899="Corolla Cross",'中古車掲載'!L899="HEV PREMIUM SAFETY",'中古車掲載'!J899=2023,ISNUMBER('中古車掲載'!N899),'中古車掲載'!N899&gt;=20000,'中古車掲載'!O899&lt;=100000,'中古車掲載'!AL899=1,'中古車掲載'!Z899="https://www.one2car.com/en/cars-for-sale/toyota/corolla-cross/year-2023"),'中古車掲載'!U899,"")</x:f>
      </x:c>
      <x:c r="BB898" t="str">
        <x:f>IF(AND('中古車掲載'!C899="One2car",'中古車掲載'!F899="ATTO 3",'中古車掲載'!L899="EXTENDED RANGE",'中古車掲載'!J899=2023,ISNUMBER('中古車掲載'!N899),'中古車掲載'!N899&gt;=50000,'中古車掲載'!O899&lt;=100000,'中古車掲載'!AL899=1),'中古車掲載'!U899,"")</x:f>
      </x:c>
      <x:c r="BC898" t="str">
        <x:f>IF(AND('中古車掲載'!C899="One2car",'中古車掲載'!F899="Corolla Cross",'中古車掲載'!L899="HEV PREMIUM SAFETY",'中古車掲載'!J899=2023,ISNUMBER('中古車掲載'!N899),'中古車掲載'!N899&gt;=50000,'中古車掲載'!O899&lt;=100000,'中古車掲載'!AL899=1,'中古車掲載'!Z899="https://www.one2car.com/en/cars-for-sale/toyota/corolla-cross/year-2023"),'中古車掲載'!U899,"")</x:f>
      </x:c>
      <x:c r="BD898" t="str">
        <x:f>IF(AND('中古車掲載'!C899="One2car",'中古車掲載'!F899="ATTO 3",'中古車掲載'!L899="EXTENDED RANGE",'中古車掲載'!J899=2023,ISNUMBER('中古車掲載'!N899),'中古車掲載'!N899&gt;=20000,'中古車掲載'!O899&lt;=50000,'中古車掲載'!AL899=1),'中古車掲載'!U899,"")</x:f>
      </x:c>
      <x:c r="BE898" t="str">
        <x:f>IF(AND('中古車掲載'!C899="One2car",'中古車掲載'!F899="Corolla Cross",'中古車掲載'!L899="HEV PREMIUM SAFETY",'中古車掲載'!J899=2023,ISNUMBER('中古車掲載'!N899),'中古車掲載'!N899&gt;=20000,'中古車掲載'!O899&lt;=50000,'中古車掲載'!AL899=1,'中古車掲載'!Z899="https://www.one2car.com/en/cars-for-sale/toyota/corolla-cross/year-2023"),'中古車掲載'!U899,"")</x:f>
      </x:c>
      <x:c r="BF898" t="str">
        <x:f>IF(AND('中古車掲載'!C899="One2car",'中古車掲載'!F899="Corolla Cross",'中古車掲載'!L899="HEV PREMIUM",'中古車掲載'!J899=2023,ISNUMBER('中古車掲載'!N899),'中古車掲載'!N899&gt;=20000,'中古車掲載'!O899&lt;=100000,'中古車掲載'!AL899=1,'中古車掲載'!Z899="https://www.one2car.com/en/cars-for-sale/toyota/corolla-cross/year-2023"),'中古車掲載'!U899,"")</x:f>
      </x:c>
      <x:c r="BG898" t="str">
        <x:f>IF(AND('中古車掲載'!C899="One2car",'中古車掲載'!F899="Corolla Cross",'中古車掲載'!L899="HEV GR SPORT",'中古車掲載'!J899=2023,ISNUMBER('中古車掲載'!N899),'中古車掲載'!N899&gt;=20000,'中古車掲載'!O899&lt;=100000,'中古車掲載'!AL899=1,'中古車掲載'!Z899="https://www.one2car.com/en/cars-for-sale/toyota/corolla-cross/year-2023"),'中古車掲載'!U899,"")</x:f>
      </x:c>
      <x:c r="BH898" t="str">
        <x:f>IF(AND('中古車掲載'!C899="One2car",'中古車掲載'!F899="DOLPHIN",'中古車掲載'!L899="STANDARD RANGE",'中古車掲載'!J899=2023,ISNUMBER('中古車掲載'!N899),'中古車掲載'!N899&gt;=20000,'中古車掲載'!O899&lt;=100000,'中古車掲載'!AL899=1),'中古車掲載'!U899,"")</x:f>
      </x:c>
      <x:c r="BI898" t="str">
        <x:v>Taladrod|Hilux Revo|ICE|Unknown</x:v>
      </x:c>
      <x:c r="BJ898" t="n">
        <x:v>899</x:v>
      </x:c>
      <x:c r="BK898" t="n">
        <x:f>'中古車掲載'!AM899</x:f>
        <x:v>579000</x:v>
      </x:c>
      <x:c r="BL898" t="str">
        <x:f>IF(ISNUMBER('中古車掲載'!AN899),'中古車掲載'!AN899,"")</x:f>
      </x:c>
    </x:row>
    <x:row r="899">
      <x:c r="AZ899" t="str">
        <x:f>IF(AND('中古車掲載'!C900="One2car",'中古車掲載'!F900="ATTO 3",'中古車掲載'!L900="EXTENDED RANGE",'中古車掲載'!J900=2023,ISNUMBER('中古車掲載'!N900),'中古車掲載'!N900&gt;=20000,'中古車掲載'!O900&lt;=100000,'中古車掲載'!AL900=1),'中古車掲載'!U900,"")</x:f>
      </x:c>
      <x:c r="BA899" t="str">
        <x:f>IF(AND('中古車掲載'!C900="One2car",'中古車掲載'!F900="Corolla Cross",'中古車掲載'!L900="HEV PREMIUM SAFETY",'中古車掲載'!J900=2023,ISNUMBER('中古車掲載'!N900),'中古車掲載'!N900&gt;=20000,'中古車掲載'!O900&lt;=100000,'中古車掲載'!AL900=1,'中古車掲載'!Z900="https://www.one2car.com/en/cars-for-sale/toyota/corolla-cross/year-2023"),'中古車掲載'!U900,"")</x:f>
      </x:c>
      <x:c r="BB899" t="str">
        <x:f>IF(AND('中古車掲載'!C900="One2car",'中古車掲載'!F900="ATTO 3",'中古車掲載'!L900="EXTENDED RANGE",'中古車掲載'!J900=2023,ISNUMBER('中古車掲載'!N900),'中古車掲載'!N900&gt;=50000,'中古車掲載'!O900&lt;=100000,'中古車掲載'!AL900=1),'中古車掲載'!U900,"")</x:f>
      </x:c>
      <x:c r="BC899" t="str">
        <x:f>IF(AND('中古車掲載'!C900="One2car",'中古車掲載'!F900="Corolla Cross",'中古車掲載'!L900="HEV PREMIUM SAFETY",'中古車掲載'!J900=2023,ISNUMBER('中古車掲載'!N900),'中古車掲載'!N900&gt;=50000,'中古車掲載'!O900&lt;=100000,'中古車掲載'!AL900=1,'中古車掲載'!Z900="https://www.one2car.com/en/cars-for-sale/toyota/corolla-cross/year-2023"),'中古車掲載'!U900,"")</x:f>
      </x:c>
      <x:c r="BD899" t="str">
        <x:f>IF(AND('中古車掲載'!C900="One2car",'中古車掲載'!F900="ATTO 3",'中古車掲載'!L900="EXTENDED RANGE",'中古車掲載'!J900=2023,ISNUMBER('中古車掲載'!N900),'中古車掲載'!N900&gt;=20000,'中古車掲載'!O900&lt;=50000,'中古車掲載'!AL900=1),'中古車掲載'!U900,"")</x:f>
      </x:c>
      <x:c r="BE899" t="str">
        <x:f>IF(AND('中古車掲載'!C900="One2car",'中古車掲載'!F900="Corolla Cross",'中古車掲載'!L900="HEV PREMIUM SAFETY",'中古車掲載'!J900=2023,ISNUMBER('中古車掲載'!N900),'中古車掲載'!N900&gt;=20000,'中古車掲載'!O900&lt;=50000,'中古車掲載'!AL900=1,'中古車掲載'!Z900="https://www.one2car.com/en/cars-for-sale/toyota/corolla-cross/year-2023"),'中古車掲載'!U900,"")</x:f>
      </x:c>
      <x:c r="BF899" t="str">
        <x:f>IF(AND('中古車掲載'!C900="One2car",'中古車掲載'!F900="Corolla Cross",'中古車掲載'!L900="HEV PREMIUM",'中古車掲載'!J900=2023,ISNUMBER('中古車掲載'!N900),'中古車掲載'!N900&gt;=20000,'中古車掲載'!O900&lt;=100000,'中古車掲載'!AL900=1,'中古車掲載'!Z900="https://www.one2car.com/en/cars-for-sale/toyota/corolla-cross/year-2023"),'中古車掲載'!U900,"")</x:f>
      </x:c>
      <x:c r="BG899" t="str">
        <x:f>IF(AND('中古車掲載'!C900="One2car",'中古車掲載'!F900="Corolla Cross",'中古車掲載'!L900="HEV GR SPORT",'中古車掲載'!J900=2023,ISNUMBER('中古車掲載'!N900),'中古車掲載'!N900&gt;=20000,'中古車掲載'!O900&lt;=100000,'中古車掲載'!AL900=1,'中古車掲載'!Z900="https://www.one2car.com/en/cars-for-sale/toyota/corolla-cross/year-2023"),'中古車掲載'!U900,"")</x:f>
      </x:c>
      <x:c r="BH899" t="str">
        <x:f>IF(AND('中古車掲載'!C900="One2car",'中古車掲載'!F900="DOLPHIN",'中古車掲載'!L900="STANDARD RANGE",'中古車掲載'!J900=2023,ISNUMBER('中古車掲載'!N900),'中古車掲載'!N900&gt;=20000,'中古車掲載'!O900&lt;=100000,'中古車掲載'!AL900=1),'中古車掲載'!U900,"")</x:f>
      </x:c>
      <x:c r="BI899" t="str">
        <x:v>Taladrod|Hilux Revo|ICE|Unknown</x:v>
      </x:c>
      <x:c r="BJ899" t="n">
        <x:v>900</x:v>
      </x:c>
      <x:c r="BK899" t="n">
        <x:f>'中古車掲載'!AM900</x:f>
        <x:v>579000</x:v>
      </x:c>
      <x:c r="BL899" t="str">
        <x:f>IF(ISNUMBER('中古車掲載'!AN900),'中古車掲載'!AN900,"")</x:f>
      </x:c>
    </x:row>
    <x:row r="900">
      <x:c r="AZ900" t="str">
        <x:f>IF(AND('中古車掲載'!C901="One2car",'中古車掲載'!F901="ATTO 3",'中古車掲載'!L901="EXTENDED RANGE",'中古車掲載'!J901=2023,ISNUMBER('中古車掲載'!N901),'中古車掲載'!N901&gt;=20000,'中古車掲載'!O901&lt;=100000,'中古車掲載'!AL901=1),'中古車掲載'!U901,"")</x:f>
      </x:c>
      <x:c r="BA900" t="str">
        <x:f>IF(AND('中古車掲載'!C901="One2car",'中古車掲載'!F901="Corolla Cross",'中古車掲載'!L901="HEV PREMIUM SAFETY",'中古車掲載'!J901=2023,ISNUMBER('中古車掲載'!N901),'中古車掲載'!N901&gt;=20000,'中古車掲載'!O901&lt;=100000,'中古車掲載'!AL901=1,'中古車掲載'!Z901="https://www.one2car.com/en/cars-for-sale/toyota/corolla-cross/year-2023"),'中古車掲載'!U901,"")</x:f>
      </x:c>
      <x:c r="BB900" t="str">
        <x:f>IF(AND('中古車掲載'!C901="One2car",'中古車掲載'!F901="ATTO 3",'中古車掲載'!L901="EXTENDED RANGE",'中古車掲載'!J901=2023,ISNUMBER('中古車掲載'!N901),'中古車掲載'!N901&gt;=50000,'中古車掲載'!O901&lt;=100000,'中古車掲載'!AL901=1),'中古車掲載'!U901,"")</x:f>
      </x:c>
      <x:c r="BC900" t="str">
        <x:f>IF(AND('中古車掲載'!C901="One2car",'中古車掲載'!F901="Corolla Cross",'中古車掲載'!L901="HEV PREMIUM SAFETY",'中古車掲載'!J901=2023,ISNUMBER('中古車掲載'!N901),'中古車掲載'!N901&gt;=50000,'中古車掲載'!O901&lt;=100000,'中古車掲載'!AL901=1,'中古車掲載'!Z901="https://www.one2car.com/en/cars-for-sale/toyota/corolla-cross/year-2023"),'中古車掲載'!U901,"")</x:f>
      </x:c>
      <x:c r="BD900" t="str">
        <x:f>IF(AND('中古車掲載'!C901="One2car",'中古車掲載'!F901="ATTO 3",'中古車掲載'!L901="EXTENDED RANGE",'中古車掲載'!J901=2023,ISNUMBER('中古車掲載'!N901),'中古車掲載'!N901&gt;=20000,'中古車掲載'!O901&lt;=50000,'中古車掲載'!AL901=1),'中古車掲載'!U901,"")</x:f>
      </x:c>
      <x:c r="BE900" t="str">
        <x:f>IF(AND('中古車掲載'!C901="One2car",'中古車掲載'!F901="Corolla Cross",'中古車掲載'!L901="HEV PREMIUM SAFETY",'中古車掲載'!J901=2023,ISNUMBER('中古車掲載'!N901),'中古車掲載'!N901&gt;=20000,'中古車掲載'!O901&lt;=50000,'中古車掲載'!AL901=1,'中古車掲載'!Z901="https://www.one2car.com/en/cars-for-sale/toyota/corolla-cross/year-2023"),'中古車掲載'!U901,"")</x:f>
      </x:c>
      <x:c r="BF900" t="str">
        <x:f>IF(AND('中古車掲載'!C901="One2car",'中古車掲載'!F901="Corolla Cross",'中古車掲載'!L901="HEV PREMIUM",'中古車掲載'!J901=2023,ISNUMBER('中古車掲載'!N901),'中古車掲載'!N901&gt;=20000,'中古車掲載'!O901&lt;=100000,'中古車掲載'!AL901=1,'中古車掲載'!Z901="https://www.one2car.com/en/cars-for-sale/toyota/corolla-cross/year-2023"),'中古車掲載'!U901,"")</x:f>
      </x:c>
      <x:c r="BG900" t="str">
        <x:f>IF(AND('中古車掲載'!C901="One2car",'中古車掲載'!F901="Corolla Cross",'中古車掲載'!L901="HEV GR SPORT",'中古車掲載'!J901=2023,ISNUMBER('中古車掲載'!N901),'中古車掲載'!N901&gt;=20000,'中古車掲載'!O901&lt;=100000,'中古車掲載'!AL901=1,'中古車掲載'!Z901="https://www.one2car.com/en/cars-for-sale/toyota/corolla-cross/year-2023"),'中古車掲載'!U901,"")</x:f>
      </x:c>
      <x:c r="BH900" t="str">
        <x:f>IF(AND('中古車掲載'!C901="One2car",'中古車掲載'!F901="DOLPHIN",'中古車掲載'!L901="STANDARD RANGE",'中古車掲載'!J901=2023,ISNUMBER('中古車掲載'!N901),'中古車掲載'!N901&gt;=20000,'中古車掲載'!O901&lt;=100000,'中古車掲載'!AL901=1),'中古車掲載'!U901,"")</x:f>
      </x:c>
      <x:c r="BI900" t="str">
        <x:v>Taladrod|Hilux Revo|ICE|Unknown</x:v>
      </x:c>
      <x:c r="BJ900" t="n">
        <x:v>901</x:v>
      </x:c>
      <x:c r="BK900" t="n">
        <x:f>'中古車掲載'!AM901</x:f>
        <x:v>679000</x:v>
      </x:c>
      <x:c r="BL900" t="str">
        <x:f>IF(ISNUMBER('中古車掲載'!AN901),'中古車掲載'!AN901,"")</x:f>
      </x:c>
    </x:row>
    <x:row r="901">
      <x:c r="AZ901" t="str">
        <x:f>IF(AND('中古車掲載'!C902="One2car",'中古車掲載'!F902="ATTO 3",'中古車掲載'!L902="EXTENDED RANGE",'中古車掲載'!J902=2023,ISNUMBER('中古車掲載'!N902),'中古車掲載'!N902&gt;=20000,'中古車掲載'!O902&lt;=100000,'中古車掲載'!AL902=1),'中古車掲載'!U902,"")</x:f>
      </x:c>
      <x:c r="BA901" t="str">
        <x:f>IF(AND('中古車掲載'!C902="One2car",'中古車掲載'!F902="Corolla Cross",'中古車掲載'!L902="HEV PREMIUM SAFETY",'中古車掲載'!J902=2023,ISNUMBER('中古車掲載'!N902),'中古車掲載'!N902&gt;=20000,'中古車掲載'!O902&lt;=100000,'中古車掲載'!AL902=1,'中古車掲載'!Z902="https://www.one2car.com/en/cars-for-sale/toyota/corolla-cross/year-2023"),'中古車掲載'!U902,"")</x:f>
      </x:c>
      <x:c r="BB901" t="str">
        <x:f>IF(AND('中古車掲載'!C902="One2car",'中古車掲載'!F902="ATTO 3",'中古車掲載'!L902="EXTENDED RANGE",'中古車掲載'!J902=2023,ISNUMBER('中古車掲載'!N902),'中古車掲載'!N902&gt;=50000,'中古車掲載'!O902&lt;=100000,'中古車掲載'!AL902=1),'中古車掲載'!U902,"")</x:f>
      </x:c>
      <x:c r="BC901" t="str">
        <x:f>IF(AND('中古車掲載'!C902="One2car",'中古車掲載'!F902="Corolla Cross",'中古車掲載'!L902="HEV PREMIUM SAFETY",'中古車掲載'!J902=2023,ISNUMBER('中古車掲載'!N902),'中古車掲載'!N902&gt;=50000,'中古車掲載'!O902&lt;=100000,'中古車掲載'!AL902=1,'中古車掲載'!Z902="https://www.one2car.com/en/cars-for-sale/toyota/corolla-cross/year-2023"),'中古車掲載'!U902,"")</x:f>
      </x:c>
      <x:c r="BD901" t="str">
        <x:f>IF(AND('中古車掲載'!C902="One2car",'中古車掲載'!F902="ATTO 3",'中古車掲載'!L902="EXTENDED RANGE",'中古車掲載'!J902=2023,ISNUMBER('中古車掲載'!N902),'中古車掲載'!N902&gt;=20000,'中古車掲載'!O902&lt;=50000,'中古車掲載'!AL902=1),'中古車掲載'!U902,"")</x:f>
      </x:c>
      <x:c r="BE901" t="str">
        <x:f>IF(AND('中古車掲載'!C902="One2car",'中古車掲載'!F902="Corolla Cross",'中古車掲載'!L902="HEV PREMIUM SAFETY",'中古車掲載'!J902=2023,ISNUMBER('中古車掲載'!N902),'中古車掲載'!N902&gt;=20000,'中古車掲載'!O902&lt;=50000,'中古車掲載'!AL902=1,'中古車掲載'!Z902="https://www.one2car.com/en/cars-for-sale/toyota/corolla-cross/year-2023"),'中古車掲載'!U902,"")</x:f>
      </x:c>
      <x:c r="BF901" t="str">
        <x:f>IF(AND('中古車掲載'!C902="One2car",'中古車掲載'!F902="Corolla Cross",'中古車掲載'!L902="HEV PREMIUM",'中古車掲載'!J902=2023,ISNUMBER('中古車掲載'!N902),'中古車掲載'!N902&gt;=20000,'中古車掲載'!O902&lt;=100000,'中古車掲載'!AL902=1,'中古車掲載'!Z902="https://www.one2car.com/en/cars-for-sale/toyota/corolla-cross/year-2023"),'中古車掲載'!U902,"")</x:f>
      </x:c>
      <x:c r="BG901" t="str">
        <x:f>IF(AND('中古車掲載'!C902="One2car",'中古車掲載'!F902="Corolla Cross",'中古車掲載'!L902="HEV GR SPORT",'中古車掲載'!J902=2023,ISNUMBER('中古車掲載'!N902),'中古車掲載'!N902&gt;=20000,'中古車掲載'!O902&lt;=100000,'中古車掲載'!AL902=1,'中古車掲載'!Z902="https://www.one2car.com/en/cars-for-sale/toyota/corolla-cross/year-2023"),'中古車掲載'!U902,"")</x:f>
      </x:c>
      <x:c r="BH901" t="str">
        <x:f>IF(AND('中古車掲載'!C902="One2car",'中古車掲載'!F902="DOLPHIN",'中古車掲載'!L902="STANDARD RANGE",'中古車掲載'!J902=2023,ISNUMBER('中古車掲載'!N902),'中古車掲載'!N902&gt;=20000,'中古車掲載'!O902&lt;=100000,'中古車掲載'!AL902=1),'中古車掲載'!U902,"")</x:f>
      </x:c>
      <x:c r="BI901" t="str">
        <x:v>Taladrod|Hilux Revo|ICE|Unknown</x:v>
      </x:c>
      <x:c r="BJ901" t="n">
        <x:v>902</x:v>
      </x:c>
      <x:c r="BK901" t="n">
        <x:f>'中古車掲載'!AM902</x:f>
        <x:v>599000</x:v>
      </x:c>
      <x:c r="BL901" t="str">
        <x:f>IF(ISNUMBER('中古車掲載'!AN902),'中古車掲載'!AN902,"")</x:f>
      </x:c>
    </x:row>
    <x:row r="902">
      <x:c r="AZ902" t="str">
        <x:f>IF(AND('中古車掲載'!C903="One2car",'中古車掲載'!F903="ATTO 3",'中古車掲載'!L903="EXTENDED RANGE",'中古車掲載'!J903=2023,ISNUMBER('中古車掲載'!N903),'中古車掲載'!N903&gt;=20000,'中古車掲載'!O903&lt;=100000,'中古車掲載'!AL903=1),'中古車掲載'!U903,"")</x:f>
      </x:c>
      <x:c r="BA902" t="str">
        <x:f>IF(AND('中古車掲載'!C903="One2car",'中古車掲載'!F903="Corolla Cross",'中古車掲載'!L903="HEV PREMIUM SAFETY",'中古車掲載'!J903=2023,ISNUMBER('中古車掲載'!N903),'中古車掲載'!N903&gt;=20000,'中古車掲載'!O903&lt;=100000,'中古車掲載'!AL903=1,'中古車掲載'!Z903="https://www.one2car.com/en/cars-for-sale/toyota/corolla-cross/year-2023"),'中古車掲載'!U903,"")</x:f>
      </x:c>
      <x:c r="BB902" t="str">
        <x:f>IF(AND('中古車掲載'!C903="One2car",'中古車掲載'!F903="ATTO 3",'中古車掲載'!L903="EXTENDED RANGE",'中古車掲載'!J903=2023,ISNUMBER('中古車掲載'!N903),'中古車掲載'!N903&gt;=50000,'中古車掲載'!O903&lt;=100000,'中古車掲載'!AL903=1),'中古車掲載'!U903,"")</x:f>
      </x:c>
      <x:c r="BC902" t="str">
        <x:f>IF(AND('中古車掲載'!C903="One2car",'中古車掲載'!F903="Corolla Cross",'中古車掲載'!L903="HEV PREMIUM SAFETY",'中古車掲載'!J903=2023,ISNUMBER('中古車掲載'!N903),'中古車掲載'!N903&gt;=50000,'中古車掲載'!O903&lt;=100000,'中古車掲載'!AL903=1,'中古車掲載'!Z903="https://www.one2car.com/en/cars-for-sale/toyota/corolla-cross/year-2023"),'中古車掲載'!U903,"")</x:f>
      </x:c>
      <x:c r="BD902" t="str">
        <x:f>IF(AND('中古車掲載'!C903="One2car",'中古車掲載'!F903="ATTO 3",'中古車掲載'!L903="EXTENDED RANGE",'中古車掲載'!J903=2023,ISNUMBER('中古車掲載'!N903),'中古車掲載'!N903&gt;=20000,'中古車掲載'!O903&lt;=50000,'中古車掲載'!AL903=1),'中古車掲載'!U903,"")</x:f>
      </x:c>
      <x:c r="BE902" t="str">
        <x:f>IF(AND('中古車掲載'!C903="One2car",'中古車掲載'!F903="Corolla Cross",'中古車掲載'!L903="HEV PREMIUM SAFETY",'中古車掲載'!J903=2023,ISNUMBER('中古車掲載'!N903),'中古車掲載'!N903&gt;=20000,'中古車掲載'!O903&lt;=50000,'中古車掲載'!AL903=1,'中古車掲載'!Z903="https://www.one2car.com/en/cars-for-sale/toyota/corolla-cross/year-2023"),'中古車掲載'!U903,"")</x:f>
      </x:c>
      <x:c r="BF902" t="str">
        <x:f>IF(AND('中古車掲載'!C903="One2car",'中古車掲載'!F903="Corolla Cross",'中古車掲載'!L903="HEV PREMIUM",'中古車掲載'!J903=2023,ISNUMBER('中古車掲載'!N903),'中古車掲載'!N903&gt;=20000,'中古車掲載'!O903&lt;=100000,'中古車掲載'!AL903=1,'中古車掲載'!Z903="https://www.one2car.com/en/cars-for-sale/toyota/corolla-cross/year-2023"),'中古車掲載'!U903,"")</x:f>
      </x:c>
      <x:c r="BG902" t="str">
        <x:f>IF(AND('中古車掲載'!C903="One2car",'中古車掲載'!F903="Corolla Cross",'中古車掲載'!L903="HEV GR SPORT",'中古車掲載'!J903=2023,ISNUMBER('中古車掲載'!N903),'中古車掲載'!N903&gt;=20000,'中古車掲載'!O903&lt;=100000,'中古車掲載'!AL903=1,'中古車掲載'!Z903="https://www.one2car.com/en/cars-for-sale/toyota/corolla-cross/year-2023"),'中古車掲載'!U903,"")</x:f>
      </x:c>
      <x:c r="BH902" t="str">
        <x:f>IF(AND('中古車掲載'!C903="One2car",'中古車掲載'!F903="DOLPHIN",'中古車掲載'!L903="STANDARD RANGE",'中古車掲載'!J903=2023,ISNUMBER('中古車掲載'!N903),'中古車掲載'!N903&gt;=20000,'中古車掲載'!O903&lt;=100000,'中古車掲載'!AL903=1),'中古車掲載'!U903,"")</x:f>
      </x:c>
      <x:c r="BI902" t="str">
        <x:v>Taladrod|Hilux Revo|ICE|Unknown</x:v>
      </x:c>
      <x:c r="BJ902" t="n">
        <x:v>903</x:v>
      </x:c>
      <x:c r="BK902" t="n">
        <x:f>'中古車掲載'!AM903</x:f>
        <x:v>499000</x:v>
      </x:c>
      <x:c r="BL902" t="str">
        <x:f>IF(ISNUMBER('中古車掲載'!AN903),'中古車掲載'!AN903,"")</x:f>
      </x:c>
    </x:row>
    <x:row r="903">
      <x:c r="AZ903" t="str">
        <x:f>IF(AND('中古車掲載'!C904="One2car",'中古車掲載'!F904="ATTO 3",'中古車掲載'!L904="EXTENDED RANGE",'中古車掲載'!J904=2023,ISNUMBER('中古車掲載'!N904),'中古車掲載'!N904&gt;=20000,'中古車掲載'!O904&lt;=100000,'中古車掲載'!AL904=1),'中古車掲載'!U904,"")</x:f>
      </x:c>
      <x:c r="BA903" t="str">
        <x:f>IF(AND('中古車掲載'!C904="One2car",'中古車掲載'!F904="Corolla Cross",'中古車掲載'!L904="HEV PREMIUM SAFETY",'中古車掲載'!J904=2023,ISNUMBER('中古車掲載'!N904),'中古車掲載'!N904&gt;=20000,'中古車掲載'!O904&lt;=100000,'中古車掲載'!AL904=1,'中古車掲載'!Z904="https://www.one2car.com/en/cars-for-sale/toyota/corolla-cross/year-2023"),'中古車掲載'!U904,"")</x:f>
      </x:c>
      <x:c r="BB903" t="str">
        <x:f>IF(AND('中古車掲載'!C904="One2car",'中古車掲載'!F904="ATTO 3",'中古車掲載'!L904="EXTENDED RANGE",'中古車掲載'!J904=2023,ISNUMBER('中古車掲載'!N904),'中古車掲載'!N904&gt;=50000,'中古車掲載'!O904&lt;=100000,'中古車掲載'!AL904=1),'中古車掲載'!U904,"")</x:f>
      </x:c>
      <x:c r="BC903" t="str">
        <x:f>IF(AND('中古車掲載'!C904="One2car",'中古車掲載'!F904="Corolla Cross",'中古車掲載'!L904="HEV PREMIUM SAFETY",'中古車掲載'!J904=2023,ISNUMBER('中古車掲載'!N904),'中古車掲載'!N904&gt;=50000,'中古車掲載'!O904&lt;=100000,'中古車掲載'!AL904=1,'中古車掲載'!Z904="https://www.one2car.com/en/cars-for-sale/toyota/corolla-cross/year-2023"),'中古車掲載'!U904,"")</x:f>
      </x:c>
      <x:c r="BD903" t="str">
        <x:f>IF(AND('中古車掲載'!C904="One2car",'中古車掲載'!F904="ATTO 3",'中古車掲載'!L904="EXTENDED RANGE",'中古車掲載'!J904=2023,ISNUMBER('中古車掲載'!N904),'中古車掲載'!N904&gt;=20000,'中古車掲載'!O904&lt;=50000,'中古車掲載'!AL904=1),'中古車掲載'!U904,"")</x:f>
      </x:c>
      <x:c r="BE903" t="str">
        <x:f>IF(AND('中古車掲載'!C904="One2car",'中古車掲載'!F904="Corolla Cross",'中古車掲載'!L904="HEV PREMIUM SAFETY",'中古車掲載'!J904=2023,ISNUMBER('中古車掲載'!N904),'中古車掲載'!N904&gt;=20000,'中古車掲載'!O904&lt;=50000,'中古車掲載'!AL904=1,'中古車掲載'!Z904="https://www.one2car.com/en/cars-for-sale/toyota/corolla-cross/year-2023"),'中古車掲載'!U904,"")</x:f>
      </x:c>
      <x:c r="BF903" t="str">
        <x:f>IF(AND('中古車掲載'!C904="One2car",'中古車掲載'!F904="Corolla Cross",'中古車掲載'!L904="HEV PREMIUM",'中古車掲載'!J904=2023,ISNUMBER('中古車掲載'!N904),'中古車掲載'!N904&gt;=20000,'中古車掲載'!O904&lt;=100000,'中古車掲載'!AL904=1,'中古車掲載'!Z904="https://www.one2car.com/en/cars-for-sale/toyota/corolla-cross/year-2023"),'中古車掲載'!U904,"")</x:f>
      </x:c>
      <x:c r="BG903" t="str">
        <x:f>IF(AND('中古車掲載'!C904="One2car",'中古車掲載'!F904="Corolla Cross",'中古車掲載'!L904="HEV GR SPORT",'中古車掲載'!J904=2023,ISNUMBER('中古車掲載'!N904),'中古車掲載'!N904&gt;=20000,'中古車掲載'!O904&lt;=100000,'中古車掲載'!AL904=1,'中古車掲載'!Z904="https://www.one2car.com/en/cars-for-sale/toyota/corolla-cross/year-2023"),'中古車掲載'!U904,"")</x:f>
      </x:c>
      <x:c r="BH903" t="str">
        <x:f>IF(AND('中古車掲載'!C904="One2car",'中古車掲載'!F904="DOLPHIN",'中古車掲載'!L904="STANDARD RANGE",'中古車掲載'!J904=2023,ISNUMBER('中古車掲載'!N904),'中古車掲載'!N904&gt;=20000,'中古車掲載'!O904&lt;=100000,'中古車掲載'!AL904=1),'中古車掲載'!U904,"")</x:f>
      </x:c>
      <x:c r="BI903" t="str">
        <x:v>Taladrod|Hilux Revo|ICE|Unknown</x:v>
      </x:c>
      <x:c r="BJ903" t="n">
        <x:v>904</x:v>
      </x:c>
      <x:c r="BK903" t="n">
        <x:f>'中古車掲載'!AM904</x:f>
        <x:v>549000</x:v>
      </x:c>
      <x:c r="BL903" t="str">
        <x:f>IF(ISNUMBER('中古車掲載'!AN904),'中古車掲載'!AN904,"")</x:f>
      </x:c>
    </x:row>
    <x:row r="904">
      <x:c r="AZ904" t="str">
        <x:f>IF(AND('中古車掲載'!C905="One2car",'中古車掲載'!F905="ATTO 3",'中古車掲載'!L905="EXTENDED RANGE",'中古車掲載'!J905=2023,ISNUMBER('中古車掲載'!N905),'中古車掲載'!N905&gt;=20000,'中古車掲載'!O905&lt;=100000,'中古車掲載'!AL905=1),'中古車掲載'!U905,"")</x:f>
      </x:c>
      <x:c r="BA904" t="str">
        <x:f>IF(AND('中古車掲載'!C905="One2car",'中古車掲載'!F905="Corolla Cross",'中古車掲載'!L905="HEV PREMIUM SAFETY",'中古車掲載'!J905=2023,ISNUMBER('中古車掲載'!N905),'中古車掲載'!N905&gt;=20000,'中古車掲載'!O905&lt;=100000,'中古車掲載'!AL905=1,'中古車掲載'!Z905="https://www.one2car.com/en/cars-for-sale/toyota/corolla-cross/year-2023"),'中古車掲載'!U905,"")</x:f>
      </x:c>
      <x:c r="BB904" t="str">
        <x:f>IF(AND('中古車掲載'!C905="One2car",'中古車掲載'!F905="ATTO 3",'中古車掲載'!L905="EXTENDED RANGE",'中古車掲載'!J905=2023,ISNUMBER('中古車掲載'!N905),'中古車掲載'!N905&gt;=50000,'中古車掲載'!O905&lt;=100000,'中古車掲載'!AL905=1),'中古車掲載'!U905,"")</x:f>
      </x:c>
      <x:c r="BC904" t="str">
        <x:f>IF(AND('中古車掲載'!C905="One2car",'中古車掲載'!F905="Corolla Cross",'中古車掲載'!L905="HEV PREMIUM SAFETY",'中古車掲載'!J905=2023,ISNUMBER('中古車掲載'!N905),'中古車掲載'!N905&gt;=50000,'中古車掲載'!O905&lt;=100000,'中古車掲載'!AL905=1,'中古車掲載'!Z905="https://www.one2car.com/en/cars-for-sale/toyota/corolla-cross/year-2023"),'中古車掲載'!U905,"")</x:f>
      </x:c>
      <x:c r="BD904" t="str">
        <x:f>IF(AND('中古車掲載'!C905="One2car",'中古車掲載'!F905="ATTO 3",'中古車掲載'!L905="EXTENDED RANGE",'中古車掲載'!J905=2023,ISNUMBER('中古車掲載'!N905),'中古車掲載'!N905&gt;=20000,'中古車掲載'!O905&lt;=50000,'中古車掲載'!AL905=1),'中古車掲載'!U905,"")</x:f>
      </x:c>
      <x:c r="BE904" t="str">
        <x:f>IF(AND('中古車掲載'!C905="One2car",'中古車掲載'!F905="Corolla Cross",'中古車掲載'!L905="HEV PREMIUM SAFETY",'中古車掲載'!J905=2023,ISNUMBER('中古車掲載'!N905),'中古車掲載'!N905&gt;=20000,'中古車掲載'!O905&lt;=50000,'中古車掲載'!AL905=1,'中古車掲載'!Z905="https://www.one2car.com/en/cars-for-sale/toyota/corolla-cross/year-2023"),'中古車掲載'!U905,"")</x:f>
      </x:c>
      <x:c r="BF904" t="str">
        <x:f>IF(AND('中古車掲載'!C905="One2car",'中古車掲載'!F905="Corolla Cross",'中古車掲載'!L905="HEV PREMIUM",'中古車掲載'!J905=2023,ISNUMBER('中古車掲載'!N905),'中古車掲載'!N905&gt;=20000,'中古車掲載'!O905&lt;=100000,'中古車掲載'!AL905=1,'中古車掲載'!Z905="https://www.one2car.com/en/cars-for-sale/toyota/corolla-cross/year-2023"),'中古車掲載'!U905,"")</x:f>
      </x:c>
      <x:c r="BG904" t="str">
        <x:f>IF(AND('中古車掲載'!C905="One2car",'中古車掲載'!F905="Corolla Cross",'中古車掲載'!L905="HEV GR SPORT",'中古車掲載'!J905=2023,ISNUMBER('中古車掲載'!N905),'中古車掲載'!N905&gt;=20000,'中古車掲載'!O905&lt;=100000,'中古車掲載'!AL905=1,'中古車掲載'!Z905="https://www.one2car.com/en/cars-for-sale/toyota/corolla-cross/year-2023"),'中古車掲載'!U905,"")</x:f>
      </x:c>
      <x:c r="BH904" t="str">
        <x:f>IF(AND('中古車掲載'!C905="One2car",'中古車掲載'!F905="DOLPHIN",'中古車掲載'!L905="STANDARD RANGE",'中古車掲載'!J905=2023,ISNUMBER('中古車掲載'!N905),'中古車掲載'!N905&gt;=20000,'中古車掲載'!O905&lt;=100000,'中古車掲載'!AL905=1),'中古車掲載'!U905,"")</x:f>
      </x:c>
      <x:c r="BI904" t="str">
        <x:v>Taladrod|Hilux Revo|ICE|Unknown</x:v>
      </x:c>
      <x:c r="BJ904" t="n">
        <x:v>905</x:v>
      </x:c>
      <x:c r="BK904" t="n">
        <x:f>'中古車掲載'!AM905</x:f>
        <x:v>455000</x:v>
      </x:c>
      <x:c r="BL904" t="str">
        <x:f>IF(ISNUMBER('中古車掲載'!AN905),'中古車掲載'!AN905,"")</x:f>
      </x:c>
    </x:row>
    <x:row r="905">
      <x:c r="AZ905" t="str">
        <x:f>IF(AND('中古車掲載'!C906="One2car",'中古車掲載'!F906="ATTO 3",'中古車掲載'!L906="EXTENDED RANGE",'中古車掲載'!J906=2023,ISNUMBER('中古車掲載'!N906),'中古車掲載'!N906&gt;=20000,'中古車掲載'!O906&lt;=100000,'中古車掲載'!AL906=1),'中古車掲載'!U906,"")</x:f>
      </x:c>
      <x:c r="BA905" t="str">
        <x:f>IF(AND('中古車掲載'!C906="One2car",'中古車掲載'!F906="Corolla Cross",'中古車掲載'!L906="HEV PREMIUM SAFETY",'中古車掲載'!J906=2023,ISNUMBER('中古車掲載'!N906),'中古車掲載'!N906&gt;=20000,'中古車掲載'!O906&lt;=100000,'中古車掲載'!AL906=1,'中古車掲載'!Z906="https://www.one2car.com/en/cars-for-sale/toyota/corolla-cross/year-2023"),'中古車掲載'!U906,"")</x:f>
      </x:c>
      <x:c r="BB905" t="str">
        <x:f>IF(AND('中古車掲載'!C906="One2car",'中古車掲載'!F906="ATTO 3",'中古車掲載'!L906="EXTENDED RANGE",'中古車掲載'!J906=2023,ISNUMBER('中古車掲載'!N906),'中古車掲載'!N906&gt;=50000,'中古車掲載'!O906&lt;=100000,'中古車掲載'!AL906=1),'中古車掲載'!U906,"")</x:f>
      </x:c>
      <x:c r="BC905" t="str">
        <x:f>IF(AND('中古車掲載'!C906="One2car",'中古車掲載'!F906="Corolla Cross",'中古車掲載'!L906="HEV PREMIUM SAFETY",'中古車掲載'!J906=2023,ISNUMBER('中古車掲載'!N906),'中古車掲載'!N906&gt;=50000,'中古車掲載'!O906&lt;=100000,'中古車掲載'!AL906=1,'中古車掲載'!Z906="https://www.one2car.com/en/cars-for-sale/toyota/corolla-cross/year-2023"),'中古車掲載'!U906,"")</x:f>
      </x:c>
      <x:c r="BD905" t="str">
        <x:f>IF(AND('中古車掲載'!C906="One2car",'中古車掲載'!F906="ATTO 3",'中古車掲載'!L906="EXTENDED RANGE",'中古車掲載'!J906=2023,ISNUMBER('中古車掲載'!N906),'中古車掲載'!N906&gt;=20000,'中古車掲載'!O906&lt;=50000,'中古車掲載'!AL906=1),'中古車掲載'!U906,"")</x:f>
      </x:c>
      <x:c r="BE905" t="str">
        <x:f>IF(AND('中古車掲載'!C906="One2car",'中古車掲載'!F906="Corolla Cross",'中古車掲載'!L906="HEV PREMIUM SAFETY",'中古車掲載'!J906=2023,ISNUMBER('中古車掲載'!N906),'中古車掲載'!N906&gt;=20000,'中古車掲載'!O906&lt;=50000,'中古車掲載'!AL906=1,'中古車掲載'!Z906="https://www.one2car.com/en/cars-for-sale/toyota/corolla-cross/year-2023"),'中古車掲載'!U906,"")</x:f>
      </x:c>
      <x:c r="BF905" t="str">
        <x:f>IF(AND('中古車掲載'!C906="One2car",'中古車掲載'!F906="Corolla Cross",'中古車掲載'!L906="HEV PREMIUM",'中古車掲載'!J906=2023,ISNUMBER('中古車掲載'!N906),'中古車掲載'!N906&gt;=20000,'中古車掲載'!O906&lt;=100000,'中古車掲載'!AL906=1,'中古車掲載'!Z906="https://www.one2car.com/en/cars-for-sale/toyota/corolla-cross/year-2023"),'中古車掲載'!U906,"")</x:f>
      </x:c>
      <x:c r="BG905" t="str">
        <x:f>IF(AND('中古車掲載'!C906="One2car",'中古車掲載'!F906="Corolla Cross",'中古車掲載'!L906="HEV GR SPORT",'中古車掲載'!J906=2023,ISNUMBER('中古車掲載'!N906),'中古車掲載'!N906&gt;=20000,'中古車掲載'!O906&lt;=100000,'中古車掲載'!AL906=1,'中古車掲載'!Z906="https://www.one2car.com/en/cars-for-sale/toyota/corolla-cross/year-2023"),'中古車掲載'!U906,"")</x:f>
      </x:c>
      <x:c r="BH905" t="str">
        <x:f>IF(AND('中古車掲載'!C906="One2car",'中古車掲載'!F906="DOLPHIN",'中古車掲載'!L906="STANDARD RANGE",'中古車掲載'!J906=2023,ISNUMBER('中古車掲載'!N906),'中古車掲載'!N906&gt;=20000,'中古車掲載'!O906&lt;=100000,'中古車掲載'!AL906=1),'中古車掲載'!U906,"")</x:f>
      </x:c>
      <x:c r="BI905" t="str">
        <x:v>Taladrod|Hilux Revo|ICE|Unknown</x:v>
      </x:c>
      <x:c r="BJ905" t="n">
        <x:v>906</x:v>
      </x:c>
      <x:c r="BK905" t="n">
        <x:f>'中古車掲載'!AM906</x:f>
        <x:v>519000</x:v>
      </x:c>
      <x:c r="BL905" t="str">
        <x:f>IF(ISNUMBER('中古車掲載'!AN906),'中古車掲載'!AN906,"")</x:f>
      </x:c>
    </x:row>
    <x:row r="906">
      <x:c r="AZ906" t="str">
        <x:f>IF(AND('中古車掲載'!C907="One2car",'中古車掲載'!F907="ATTO 3",'中古車掲載'!L907="EXTENDED RANGE",'中古車掲載'!J907=2023,ISNUMBER('中古車掲載'!N907),'中古車掲載'!N907&gt;=20000,'中古車掲載'!O907&lt;=100000,'中古車掲載'!AL907=1),'中古車掲載'!U907,"")</x:f>
      </x:c>
      <x:c r="BA906" t="str">
        <x:f>IF(AND('中古車掲載'!C907="One2car",'中古車掲載'!F907="Corolla Cross",'中古車掲載'!L907="HEV PREMIUM SAFETY",'中古車掲載'!J907=2023,ISNUMBER('中古車掲載'!N907),'中古車掲載'!N907&gt;=20000,'中古車掲載'!O907&lt;=100000,'中古車掲載'!AL907=1,'中古車掲載'!Z907="https://www.one2car.com/en/cars-for-sale/toyota/corolla-cross/year-2023"),'中古車掲載'!U907,"")</x:f>
      </x:c>
      <x:c r="BB906" t="str">
        <x:f>IF(AND('中古車掲載'!C907="One2car",'中古車掲載'!F907="ATTO 3",'中古車掲載'!L907="EXTENDED RANGE",'中古車掲載'!J907=2023,ISNUMBER('中古車掲載'!N907),'中古車掲載'!N907&gt;=50000,'中古車掲載'!O907&lt;=100000,'中古車掲載'!AL907=1),'中古車掲載'!U907,"")</x:f>
      </x:c>
      <x:c r="BC906" t="str">
        <x:f>IF(AND('中古車掲載'!C907="One2car",'中古車掲載'!F907="Corolla Cross",'中古車掲載'!L907="HEV PREMIUM SAFETY",'中古車掲載'!J907=2023,ISNUMBER('中古車掲載'!N907),'中古車掲載'!N907&gt;=50000,'中古車掲載'!O907&lt;=100000,'中古車掲載'!AL907=1,'中古車掲載'!Z907="https://www.one2car.com/en/cars-for-sale/toyota/corolla-cross/year-2023"),'中古車掲載'!U907,"")</x:f>
      </x:c>
      <x:c r="BD906" t="str">
        <x:f>IF(AND('中古車掲載'!C907="One2car",'中古車掲載'!F907="ATTO 3",'中古車掲載'!L907="EXTENDED RANGE",'中古車掲載'!J907=2023,ISNUMBER('中古車掲載'!N907),'中古車掲載'!N907&gt;=20000,'中古車掲載'!O907&lt;=50000,'中古車掲載'!AL907=1),'中古車掲載'!U907,"")</x:f>
      </x:c>
      <x:c r="BE906" t="str">
        <x:f>IF(AND('中古車掲載'!C907="One2car",'中古車掲載'!F907="Corolla Cross",'中古車掲載'!L907="HEV PREMIUM SAFETY",'中古車掲載'!J907=2023,ISNUMBER('中古車掲載'!N907),'中古車掲載'!N907&gt;=20000,'中古車掲載'!O907&lt;=50000,'中古車掲載'!AL907=1,'中古車掲載'!Z907="https://www.one2car.com/en/cars-for-sale/toyota/corolla-cross/year-2023"),'中古車掲載'!U907,"")</x:f>
      </x:c>
      <x:c r="BF906" t="str">
        <x:f>IF(AND('中古車掲載'!C907="One2car",'中古車掲載'!F907="Corolla Cross",'中古車掲載'!L907="HEV PREMIUM",'中古車掲載'!J907=2023,ISNUMBER('中古車掲載'!N907),'中古車掲載'!N907&gt;=20000,'中古車掲載'!O907&lt;=100000,'中古車掲載'!AL907=1,'中古車掲載'!Z907="https://www.one2car.com/en/cars-for-sale/toyota/corolla-cross/year-2023"),'中古車掲載'!U907,"")</x:f>
      </x:c>
      <x:c r="BG906" t="str">
        <x:f>IF(AND('中古車掲載'!C907="One2car",'中古車掲載'!F907="Corolla Cross",'中古車掲載'!L907="HEV GR SPORT",'中古車掲載'!J907=2023,ISNUMBER('中古車掲載'!N907),'中古車掲載'!N907&gt;=20000,'中古車掲載'!O907&lt;=100000,'中古車掲載'!AL907=1,'中古車掲載'!Z907="https://www.one2car.com/en/cars-for-sale/toyota/corolla-cross/year-2023"),'中古車掲載'!U907,"")</x:f>
      </x:c>
      <x:c r="BH906" t="str">
        <x:f>IF(AND('中古車掲載'!C907="One2car",'中古車掲載'!F907="DOLPHIN",'中古車掲載'!L907="STANDARD RANGE",'中古車掲載'!J907=2023,ISNUMBER('中古車掲載'!N907),'中古車掲載'!N907&gt;=20000,'中古車掲載'!O907&lt;=100000,'中古車掲載'!AL907=1),'中古車掲載'!U907,"")</x:f>
      </x:c>
      <x:c r="BI906" t="str">
        <x:v>Taladrod|Hilux Revo|ICE|Unknown</x:v>
      </x:c>
      <x:c r="BJ906" t="n">
        <x:v>907</x:v>
      </x:c>
      <x:c r="BK906" t="n">
        <x:f>'中古車掲載'!AM907</x:f>
        <x:v>519000</x:v>
      </x:c>
      <x:c r="BL906" t="str">
        <x:f>IF(ISNUMBER('中古車掲載'!AN907),'中古車掲載'!AN907,"")</x:f>
      </x:c>
    </x:row>
    <x:row r="907">
      <x:c r="AZ907" t="str">
        <x:f>IF(AND('中古車掲載'!C908="One2car",'中古車掲載'!F908="ATTO 3",'中古車掲載'!L908="EXTENDED RANGE",'中古車掲載'!J908=2023,ISNUMBER('中古車掲載'!N908),'中古車掲載'!N908&gt;=20000,'中古車掲載'!O908&lt;=100000,'中古車掲載'!AL908=1),'中古車掲載'!U908,"")</x:f>
      </x:c>
      <x:c r="BA907" t="str">
        <x:f>IF(AND('中古車掲載'!C908="One2car",'中古車掲載'!F908="Corolla Cross",'中古車掲載'!L908="HEV PREMIUM SAFETY",'中古車掲載'!J908=2023,ISNUMBER('中古車掲載'!N908),'中古車掲載'!N908&gt;=20000,'中古車掲載'!O908&lt;=100000,'中古車掲載'!AL908=1,'中古車掲載'!Z908="https://www.one2car.com/en/cars-for-sale/toyota/corolla-cross/year-2023"),'中古車掲載'!U908,"")</x:f>
      </x:c>
      <x:c r="BB907" t="str">
        <x:f>IF(AND('中古車掲載'!C908="One2car",'中古車掲載'!F908="ATTO 3",'中古車掲載'!L908="EXTENDED RANGE",'中古車掲載'!J908=2023,ISNUMBER('中古車掲載'!N908),'中古車掲載'!N908&gt;=50000,'中古車掲載'!O908&lt;=100000,'中古車掲載'!AL908=1),'中古車掲載'!U908,"")</x:f>
      </x:c>
      <x:c r="BC907" t="str">
        <x:f>IF(AND('中古車掲載'!C908="One2car",'中古車掲載'!F908="Corolla Cross",'中古車掲載'!L908="HEV PREMIUM SAFETY",'中古車掲載'!J908=2023,ISNUMBER('中古車掲載'!N908),'中古車掲載'!N908&gt;=50000,'中古車掲載'!O908&lt;=100000,'中古車掲載'!AL908=1,'中古車掲載'!Z908="https://www.one2car.com/en/cars-for-sale/toyota/corolla-cross/year-2023"),'中古車掲載'!U908,"")</x:f>
      </x:c>
      <x:c r="BD907" t="str">
        <x:f>IF(AND('中古車掲載'!C908="One2car",'中古車掲載'!F908="ATTO 3",'中古車掲載'!L908="EXTENDED RANGE",'中古車掲載'!J908=2023,ISNUMBER('中古車掲載'!N908),'中古車掲載'!N908&gt;=20000,'中古車掲載'!O908&lt;=50000,'中古車掲載'!AL908=1),'中古車掲載'!U908,"")</x:f>
      </x:c>
      <x:c r="BE907" t="str">
        <x:f>IF(AND('中古車掲載'!C908="One2car",'中古車掲載'!F908="Corolla Cross",'中古車掲載'!L908="HEV PREMIUM SAFETY",'中古車掲載'!J908=2023,ISNUMBER('中古車掲載'!N908),'中古車掲載'!N908&gt;=20000,'中古車掲載'!O908&lt;=50000,'中古車掲載'!AL908=1,'中古車掲載'!Z908="https://www.one2car.com/en/cars-for-sale/toyota/corolla-cross/year-2023"),'中古車掲載'!U908,"")</x:f>
      </x:c>
      <x:c r="BF907" t="str">
        <x:f>IF(AND('中古車掲載'!C908="One2car",'中古車掲載'!F908="Corolla Cross",'中古車掲載'!L908="HEV PREMIUM",'中古車掲載'!J908=2023,ISNUMBER('中古車掲載'!N908),'中古車掲載'!N908&gt;=20000,'中古車掲載'!O908&lt;=100000,'中古車掲載'!AL908=1,'中古車掲載'!Z908="https://www.one2car.com/en/cars-for-sale/toyota/corolla-cross/year-2023"),'中古車掲載'!U908,"")</x:f>
      </x:c>
      <x:c r="BG907" t="str">
        <x:f>IF(AND('中古車掲載'!C908="One2car",'中古車掲載'!F908="Corolla Cross",'中古車掲載'!L908="HEV GR SPORT",'中古車掲載'!J908=2023,ISNUMBER('中古車掲載'!N908),'中古車掲載'!N908&gt;=20000,'中古車掲載'!O908&lt;=100000,'中古車掲載'!AL908=1,'中古車掲載'!Z908="https://www.one2car.com/en/cars-for-sale/toyota/corolla-cross/year-2023"),'中古車掲載'!U908,"")</x:f>
      </x:c>
      <x:c r="BH907" t="str">
        <x:f>IF(AND('中古車掲載'!C908="One2car",'中古車掲載'!F908="DOLPHIN",'中古車掲載'!L908="STANDARD RANGE",'中古車掲載'!J908=2023,ISNUMBER('中古車掲載'!N908),'中古車掲載'!N908&gt;=20000,'中古車掲載'!O908&lt;=100000,'中古車掲載'!AL908=1),'中古車掲載'!U908,"")</x:f>
      </x:c>
      <x:c r="BI907" t="str">
        <x:v>Taladrod|Hilux Revo|ICE|Unknown</x:v>
      </x:c>
      <x:c r="BJ907" t="n">
        <x:v>908</x:v>
      </x:c>
      <x:c r="BK907" t="n">
        <x:f>'中古車掲載'!AM908</x:f>
        <x:v>589000</x:v>
      </x:c>
      <x:c r="BL907" t="str">
        <x:f>IF(ISNUMBER('中古車掲載'!AN908),'中古車掲載'!AN908,"")</x:f>
      </x:c>
    </x:row>
    <x:row r="908">
      <x:c r="AZ908" t="str">
        <x:f>IF(AND('中古車掲載'!C909="One2car",'中古車掲載'!F909="ATTO 3",'中古車掲載'!L909="EXTENDED RANGE",'中古車掲載'!J909=2023,ISNUMBER('中古車掲載'!N909),'中古車掲載'!N909&gt;=20000,'中古車掲載'!O909&lt;=100000,'中古車掲載'!AL909=1),'中古車掲載'!U909,"")</x:f>
      </x:c>
      <x:c r="BA908" t="str">
        <x:f>IF(AND('中古車掲載'!C909="One2car",'中古車掲載'!F909="Corolla Cross",'中古車掲載'!L909="HEV PREMIUM SAFETY",'中古車掲載'!J909=2023,ISNUMBER('中古車掲載'!N909),'中古車掲載'!N909&gt;=20000,'中古車掲載'!O909&lt;=100000,'中古車掲載'!AL909=1,'中古車掲載'!Z909="https://www.one2car.com/en/cars-for-sale/toyota/corolla-cross/year-2023"),'中古車掲載'!U909,"")</x:f>
      </x:c>
      <x:c r="BB908" t="str">
        <x:f>IF(AND('中古車掲載'!C909="One2car",'中古車掲載'!F909="ATTO 3",'中古車掲載'!L909="EXTENDED RANGE",'中古車掲載'!J909=2023,ISNUMBER('中古車掲載'!N909),'中古車掲載'!N909&gt;=50000,'中古車掲載'!O909&lt;=100000,'中古車掲載'!AL909=1),'中古車掲載'!U909,"")</x:f>
      </x:c>
      <x:c r="BC908" t="str">
        <x:f>IF(AND('中古車掲載'!C909="One2car",'中古車掲載'!F909="Corolla Cross",'中古車掲載'!L909="HEV PREMIUM SAFETY",'中古車掲載'!J909=2023,ISNUMBER('中古車掲載'!N909),'中古車掲載'!N909&gt;=50000,'中古車掲載'!O909&lt;=100000,'中古車掲載'!AL909=1,'中古車掲載'!Z909="https://www.one2car.com/en/cars-for-sale/toyota/corolla-cross/year-2023"),'中古車掲載'!U909,"")</x:f>
      </x:c>
      <x:c r="BD908" t="str">
        <x:f>IF(AND('中古車掲載'!C909="One2car",'中古車掲載'!F909="ATTO 3",'中古車掲載'!L909="EXTENDED RANGE",'中古車掲載'!J909=2023,ISNUMBER('中古車掲載'!N909),'中古車掲載'!N909&gt;=20000,'中古車掲載'!O909&lt;=50000,'中古車掲載'!AL909=1),'中古車掲載'!U909,"")</x:f>
      </x:c>
      <x:c r="BE908" t="str">
        <x:f>IF(AND('中古車掲載'!C909="One2car",'中古車掲載'!F909="Corolla Cross",'中古車掲載'!L909="HEV PREMIUM SAFETY",'中古車掲載'!J909=2023,ISNUMBER('中古車掲載'!N909),'中古車掲載'!N909&gt;=20000,'中古車掲載'!O909&lt;=50000,'中古車掲載'!AL909=1,'中古車掲載'!Z909="https://www.one2car.com/en/cars-for-sale/toyota/corolla-cross/year-2023"),'中古車掲載'!U909,"")</x:f>
      </x:c>
      <x:c r="BF908" t="str">
        <x:f>IF(AND('中古車掲載'!C909="One2car",'中古車掲載'!F909="Corolla Cross",'中古車掲載'!L909="HEV PREMIUM",'中古車掲載'!J909=2023,ISNUMBER('中古車掲載'!N909),'中古車掲載'!N909&gt;=20000,'中古車掲載'!O909&lt;=100000,'中古車掲載'!AL909=1,'中古車掲載'!Z909="https://www.one2car.com/en/cars-for-sale/toyota/corolla-cross/year-2023"),'中古車掲載'!U909,"")</x:f>
      </x:c>
      <x:c r="BG908" t="str">
        <x:f>IF(AND('中古車掲載'!C909="One2car",'中古車掲載'!F909="Corolla Cross",'中古車掲載'!L909="HEV GR SPORT",'中古車掲載'!J909=2023,ISNUMBER('中古車掲載'!N909),'中古車掲載'!N909&gt;=20000,'中古車掲載'!O909&lt;=100000,'中古車掲載'!AL909=1,'中古車掲載'!Z909="https://www.one2car.com/en/cars-for-sale/toyota/corolla-cross/year-2023"),'中古車掲載'!U909,"")</x:f>
      </x:c>
      <x:c r="BH908" t="str">
        <x:f>IF(AND('中古車掲載'!C909="One2car",'中古車掲載'!F909="DOLPHIN",'中古車掲載'!L909="STANDARD RANGE",'中古車掲載'!J909=2023,ISNUMBER('中古車掲載'!N909),'中古車掲載'!N909&gt;=20000,'中古車掲載'!O909&lt;=100000,'中古車掲載'!AL909=1),'中古車掲載'!U909,"")</x:f>
      </x:c>
      <x:c r="BI908" t="str">
        <x:v>Taladrod|Hilux Revo|ICE|Unknown</x:v>
      </x:c>
      <x:c r="BJ908" t="n">
        <x:v>909</x:v>
      </x:c>
      <x:c r="BK908" t="n">
        <x:f>'中古車掲載'!AM909</x:f>
        <x:v>599000</x:v>
      </x:c>
      <x:c r="BL908" t="str">
        <x:f>IF(ISNUMBER('中古車掲載'!AN909),'中古車掲載'!AN909,"")</x:f>
      </x:c>
    </x:row>
    <x:row r="909">
      <x:c r="AZ909" t="str">
        <x:f>IF(AND('中古車掲載'!C910="One2car",'中古車掲載'!F910="ATTO 3",'中古車掲載'!L910="EXTENDED RANGE",'中古車掲載'!J910=2023,ISNUMBER('中古車掲載'!N910),'中古車掲載'!N910&gt;=20000,'中古車掲載'!O910&lt;=100000,'中古車掲載'!AL910=1),'中古車掲載'!U910,"")</x:f>
      </x:c>
      <x:c r="BA909" t="str">
        <x:f>IF(AND('中古車掲載'!C910="One2car",'中古車掲載'!F910="Corolla Cross",'中古車掲載'!L910="HEV PREMIUM SAFETY",'中古車掲載'!J910=2023,ISNUMBER('中古車掲載'!N910),'中古車掲載'!N910&gt;=20000,'中古車掲載'!O910&lt;=100000,'中古車掲載'!AL910=1,'中古車掲載'!Z910="https://www.one2car.com/en/cars-for-sale/toyota/corolla-cross/year-2023"),'中古車掲載'!U910,"")</x:f>
      </x:c>
      <x:c r="BB909" t="str">
        <x:f>IF(AND('中古車掲載'!C910="One2car",'中古車掲載'!F910="ATTO 3",'中古車掲載'!L910="EXTENDED RANGE",'中古車掲載'!J910=2023,ISNUMBER('中古車掲載'!N910),'中古車掲載'!N910&gt;=50000,'中古車掲載'!O910&lt;=100000,'中古車掲載'!AL910=1),'中古車掲載'!U910,"")</x:f>
      </x:c>
      <x:c r="BC909" t="str">
        <x:f>IF(AND('中古車掲載'!C910="One2car",'中古車掲載'!F910="Corolla Cross",'中古車掲載'!L910="HEV PREMIUM SAFETY",'中古車掲載'!J910=2023,ISNUMBER('中古車掲載'!N910),'中古車掲載'!N910&gt;=50000,'中古車掲載'!O910&lt;=100000,'中古車掲載'!AL910=1,'中古車掲載'!Z910="https://www.one2car.com/en/cars-for-sale/toyota/corolla-cross/year-2023"),'中古車掲載'!U910,"")</x:f>
      </x:c>
      <x:c r="BD909" t="str">
        <x:f>IF(AND('中古車掲載'!C910="One2car",'中古車掲載'!F910="ATTO 3",'中古車掲載'!L910="EXTENDED RANGE",'中古車掲載'!J910=2023,ISNUMBER('中古車掲載'!N910),'中古車掲載'!N910&gt;=20000,'中古車掲載'!O910&lt;=50000,'中古車掲載'!AL910=1),'中古車掲載'!U910,"")</x:f>
      </x:c>
      <x:c r="BE909" t="str">
        <x:f>IF(AND('中古車掲載'!C910="One2car",'中古車掲載'!F910="Corolla Cross",'中古車掲載'!L910="HEV PREMIUM SAFETY",'中古車掲載'!J910=2023,ISNUMBER('中古車掲載'!N910),'中古車掲載'!N910&gt;=20000,'中古車掲載'!O910&lt;=50000,'中古車掲載'!AL910=1,'中古車掲載'!Z910="https://www.one2car.com/en/cars-for-sale/toyota/corolla-cross/year-2023"),'中古車掲載'!U910,"")</x:f>
      </x:c>
      <x:c r="BF909" t="str">
        <x:f>IF(AND('中古車掲載'!C910="One2car",'中古車掲載'!F910="Corolla Cross",'中古車掲載'!L910="HEV PREMIUM",'中古車掲載'!J910=2023,ISNUMBER('中古車掲載'!N910),'中古車掲載'!N910&gt;=20000,'中古車掲載'!O910&lt;=100000,'中古車掲載'!AL910=1,'中古車掲載'!Z910="https://www.one2car.com/en/cars-for-sale/toyota/corolla-cross/year-2023"),'中古車掲載'!U910,"")</x:f>
      </x:c>
      <x:c r="BG909" t="str">
        <x:f>IF(AND('中古車掲載'!C910="One2car",'中古車掲載'!F910="Corolla Cross",'中古車掲載'!L910="HEV GR SPORT",'中古車掲載'!J910=2023,ISNUMBER('中古車掲載'!N910),'中古車掲載'!N910&gt;=20000,'中古車掲載'!O910&lt;=100000,'中古車掲載'!AL910=1,'中古車掲載'!Z910="https://www.one2car.com/en/cars-for-sale/toyota/corolla-cross/year-2023"),'中古車掲載'!U910,"")</x:f>
      </x:c>
      <x:c r="BH909" t="str">
        <x:f>IF(AND('中古車掲載'!C910="One2car",'中古車掲載'!F910="DOLPHIN",'中古車掲載'!L910="STANDARD RANGE",'中古車掲載'!J910=2023,ISNUMBER('中古車掲載'!N910),'中古車掲載'!N910&gt;=20000,'中古車掲載'!O910&lt;=100000,'中古車掲載'!AL910=1),'中古車掲載'!U910,"")</x:f>
      </x:c>
      <x:c r="BI909" t="str">
        <x:v>Taladrod|Hilux Revo|ICE|Unknown</x:v>
      </x:c>
      <x:c r="BJ909" t="n">
        <x:v>910</x:v>
      </x:c>
      <x:c r="BK909" t="n">
        <x:f>'中古車掲載'!AM910</x:f>
        <x:v>779000</x:v>
      </x:c>
      <x:c r="BL909" t="str">
        <x:f>IF(ISNUMBER('中古車掲載'!AN910),'中古車掲載'!AN910,"")</x:f>
      </x:c>
    </x:row>
    <x:row r="910">
      <x:c r="AZ910" t="str">
        <x:f>IF(AND('中古車掲載'!C911="One2car",'中古車掲載'!F911="ATTO 3",'中古車掲載'!L911="EXTENDED RANGE",'中古車掲載'!J911=2023,ISNUMBER('中古車掲載'!N911),'中古車掲載'!N911&gt;=20000,'中古車掲載'!O911&lt;=100000,'中古車掲載'!AL911=1),'中古車掲載'!U911,"")</x:f>
      </x:c>
      <x:c r="BA910" t="str">
        <x:f>IF(AND('中古車掲載'!C911="One2car",'中古車掲載'!F911="Corolla Cross",'中古車掲載'!L911="HEV PREMIUM SAFETY",'中古車掲載'!J911=2023,ISNUMBER('中古車掲載'!N911),'中古車掲載'!N911&gt;=20000,'中古車掲載'!O911&lt;=100000,'中古車掲載'!AL911=1,'中古車掲載'!Z911="https://www.one2car.com/en/cars-for-sale/toyota/corolla-cross/year-2023"),'中古車掲載'!U911,"")</x:f>
      </x:c>
      <x:c r="BB910" t="str">
        <x:f>IF(AND('中古車掲載'!C911="One2car",'中古車掲載'!F911="ATTO 3",'中古車掲載'!L911="EXTENDED RANGE",'中古車掲載'!J911=2023,ISNUMBER('中古車掲載'!N911),'中古車掲載'!N911&gt;=50000,'中古車掲載'!O911&lt;=100000,'中古車掲載'!AL911=1),'中古車掲載'!U911,"")</x:f>
      </x:c>
      <x:c r="BC910" t="str">
        <x:f>IF(AND('中古車掲載'!C911="One2car",'中古車掲載'!F911="Corolla Cross",'中古車掲載'!L911="HEV PREMIUM SAFETY",'中古車掲載'!J911=2023,ISNUMBER('中古車掲載'!N911),'中古車掲載'!N911&gt;=50000,'中古車掲載'!O911&lt;=100000,'中古車掲載'!AL911=1,'中古車掲載'!Z911="https://www.one2car.com/en/cars-for-sale/toyota/corolla-cross/year-2023"),'中古車掲載'!U911,"")</x:f>
      </x:c>
      <x:c r="BD910" t="str">
        <x:f>IF(AND('中古車掲載'!C911="One2car",'中古車掲載'!F911="ATTO 3",'中古車掲載'!L911="EXTENDED RANGE",'中古車掲載'!J911=2023,ISNUMBER('中古車掲載'!N911),'中古車掲載'!N911&gt;=20000,'中古車掲載'!O911&lt;=50000,'中古車掲載'!AL911=1),'中古車掲載'!U911,"")</x:f>
      </x:c>
      <x:c r="BE910" t="str">
        <x:f>IF(AND('中古車掲載'!C911="One2car",'中古車掲載'!F911="Corolla Cross",'中古車掲載'!L911="HEV PREMIUM SAFETY",'中古車掲載'!J911=2023,ISNUMBER('中古車掲載'!N911),'中古車掲載'!N911&gt;=20000,'中古車掲載'!O911&lt;=50000,'中古車掲載'!AL911=1,'中古車掲載'!Z911="https://www.one2car.com/en/cars-for-sale/toyota/corolla-cross/year-2023"),'中古車掲載'!U911,"")</x:f>
      </x:c>
      <x:c r="BF910" t="str">
        <x:f>IF(AND('中古車掲載'!C911="One2car",'中古車掲載'!F911="Corolla Cross",'中古車掲載'!L911="HEV PREMIUM",'中古車掲載'!J911=2023,ISNUMBER('中古車掲載'!N911),'中古車掲載'!N911&gt;=20000,'中古車掲載'!O911&lt;=100000,'中古車掲載'!AL911=1,'中古車掲載'!Z911="https://www.one2car.com/en/cars-for-sale/toyota/corolla-cross/year-2023"),'中古車掲載'!U911,"")</x:f>
      </x:c>
      <x:c r="BG910" t="str">
        <x:f>IF(AND('中古車掲載'!C911="One2car",'中古車掲載'!F911="Corolla Cross",'中古車掲載'!L911="HEV GR SPORT",'中古車掲載'!J911=2023,ISNUMBER('中古車掲載'!N911),'中古車掲載'!N911&gt;=20000,'中古車掲載'!O911&lt;=100000,'中古車掲載'!AL911=1,'中古車掲載'!Z911="https://www.one2car.com/en/cars-for-sale/toyota/corolla-cross/year-2023"),'中古車掲載'!U911,"")</x:f>
      </x:c>
      <x:c r="BH910" t="str">
        <x:f>IF(AND('中古車掲載'!C911="One2car",'中古車掲載'!F911="DOLPHIN",'中古車掲載'!L911="STANDARD RANGE",'中古車掲載'!J911=2023,ISNUMBER('中古車掲載'!N911),'中古車掲載'!N911&gt;=20000,'中古車掲載'!O911&lt;=100000,'中古車掲載'!AL911=1),'中古車掲載'!U911,"")</x:f>
      </x:c>
      <x:c r="BI910" t="str">
        <x:v>Taladrod|Hilux Revo|ICE|Unknown</x:v>
      </x:c>
      <x:c r="BJ910" t="n">
        <x:v>911</x:v>
      </x:c>
      <x:c r="BK910" t="n">
        <x:f>'中古車掲載'!AM911</x:f>
        <x:v>769000</x:v>
      </x:c>
      <x:c r="BL910" t="str">
        <x:f>IF(ISNUMBER('中古車掲載'!AN911),'中古車掲載'!AN911,"")</x:f>
      </x:c>
    </x:row>
    <x:row r="911">
      <x:c r="AZ911" t="str">
        <x:f>IF(AND('中古車掲載'!C912="One2car",'中古車掲載'!F912="ATTO 3",'中古車掲載'!L912="EXTENDED RANGE",'中古車掲載'!J912=2023,ISNUMBER('中古車掲載'!N912),'中古車掲載'!N912&gt;=20000,'中古車掲載'!O912&lt;=100000,'中古車掲載'!AL912=1),'中古車掲載'!U912,"")</x:f>
      </x:c>
      <x:c r="BA911" t="str">
        <x:f>IF(AND('中古車掲載'!C912="One2car",'中古車掲載'!F912="Corolla Cross",'中古車掲載'!L912="HEV PREMIUM SAFETY",'中古車掲載'!J912=2023,ISNUMBER('中古車掲載'!N912),'中古車掲載'!N912&gt;=20000,'中古車掲載'!O912&lt;=100000,'中古車掲載'!AL912=1,'中古車掲載'!Z912="https://www.one2car.com/en/cars-for-sale/toyota/corolla-cross/year-2023"),'中古車掲載'!U912,"")</x:f>
      </x:c>
      <x:c r="BB911" t="str">
        <x:f>IF(AND('中古車掲載'!C912="One2car",'中古車掲載'!F912="ATTO 3",'中古車掲載'!L912="EXTENDED RANGE",'中古車掲載'!J912=2023,ISNUMBER('中古車掲載'!N912),'中古車掲載'!N912&gt;=50000,'中古車掲載'!O912&lt;=100000,'中古車掲載'!AL912=1),'中古車掲載'!U912,"")</x:f>
      </x:c>
      <x:c r="BC911" t="str">
        <x:f>IF(AND('中古車掲載'!C912="One2car",'中古車掲載'!F912="Corolla Cross",'中古車掲載'!L912="HEV PREMIUM SAFETY",'中古車掲載'!J912=2023,ISNUMBER('中古車掲載'!N912),'中古車掲載'!N912&gt;=50000,'中古車掲載'!O912&lt;=100000,'中古車掲載'!AL912=1,'中古車掲載'!Z912="https://www.one2car.com/en/cars-for-sale/toyota/corolla-cross/year-2023"),'中古車掲載'!U912,"")</x:f>
      </x:c>
      <x:c r="BD911" t="str">
        <x:f>IF(AND('中古車掲載'!C912="One2car",'中古車掲載'!F912="ATTO 3",'中古車掲載'!L912="EXTENDED RANGE",'中古車掲載'!J912=2023,ISNUMBER('中古車掲載'!N912),'中古車掲載'!N912&gt;=20000,'中古車掲載'!O912&lt;=50000,'中古車掲載'!AL912=1),'中古車掲載'!U912,"")</x:f>
      </x:c>
      <x:c r="BE911" t="str">
        <x:f>IF(AND('中古車掲載'!C912="One2car",'中古車掲載'!F912="Corolla Cross",'中古車掲載'!L912="HEV PREMIUM SAFETY",'中古車掲載'!J912=2023,ISNUMBER('中古車掲載'!N912),'中古車掲載'!N912&gt;=20000,'中古車掲載'!O912&lt;=50000,'中古車掲載'!AL912=1,'中古車掲載'!Z912="https://www.one2car.com/en/cars-for-sale/toyota/corolla-cross/year-2023"),'中古車掲載'!U912,"")</x:f>
      </x:c>
      <x:c r="BF911" t="str">
        <x:f>IF(AND('中古車掲載'!C912="One2car",'中古車掲載'!F912="Corolla Cross",'中古車掲載'!L912="HEV PREMIUM",'中古車掲載'!J912=2023,ISNUMBER('中古車掲載'!N912),'中古車掲載'!N912&gt;=20000,'中古車掲載'!O912&lt;=100000,'中古車掲載'!AL912=1,'中古車掲載'!Z912="https://www.one2car.com/en/cars-for-sale/toyota/corolla-cross/year-2023"),'中古車掲載'!U912,"")</x:f>
      </x:c>
      <x:c r="BG911" t="str">
        <x:f>IF(AND('中古車掲載'!C912="One2car",'中古車掲載'!F912="Corolla Cross",'中古車掲載'!L912="HEV GR SPORT",'中古車掲載'!J912=2023,ISNUMBER('中古車掲載'!N912),'中古車掲載'!N912&gt;=20000,'中古車掲載'!O912&lt;=100000,'中古車掲載'!AL912=1,'中古車掲載'!Z912="https://www.one2car.com/en/cars-for-sale/toyota/corolla-cross/year-2023"),'中古車掲載'!U912,"")</x:f>
      </x:c>
      <x:c r="BH911" t="str">
        <x:f>IF(AND('中古車掲載'!C912="One2car",'中古車掲載'!F912="DOLPHIN",'中古車掲載'!L912="STANDARD RANGE",'中古車掲載'!J912=2023,ISNUMBER('中古車掲載'!N912),'中古車掲載'!N912&gt;=20000,'中古車掲載'!O912&lt;=100000,'中古車掲載'!AL912=1),'中古車掲載'!U912,"")</x:f>
      </x:c>
      <x:c r="BI911" t="str">
        <x:v>Taladrod|Hilux Revo|ICE|Unknown</x:v>
      </x:c>
      <x:c r="BJ911" t="n">
        <x:v>912</x:v>
      </x:c>
      <x:c r="BK911" t="n">
        <x:f>'中古車掲載'!AM912</x:f>
        <x:v>719000</x:v>
      </x:c>
      <x:c r="BL911" t="str">
        <x:f>IF(ISNUMBER('中古車掲載'!AN912),'中古車掲載'!AN912,"")</x:f>
      </x:c>
    </x:row>
    <x:row r="912">
      <x:c r="AZ912" t="str">
        <x:f>IF(AND('中古車掲載'!C913="One2car",'中古車掲載'!F913="ATTO 3",'中古車掲載'!L913="EXTENDED RANGE",'中古車掲載'!J913=2023,ISNUMBER('中古車掲載'!N913),'中古車掲載'!N913&gt;=20000,'中古車掲載'!O913&lt;=100000,'中古車掲載'!AL913=1),'中古車掲載'!U913,"")</x:f>
      </x:c>
      <x:c r="BA912" t="str">
        <x:f>IF(AND('中古車掲載'!C913="One2car",'中古車掲載'!F913="Corolla Cross",'中古車掲載'!L913="HEV PREMIUM SAFETY",'中古車掲載'!J913=2023,ISNUMBER('中古車掲載'!N913),'中古車掲載'!N913&gt;=20000,'中古車掲載'!O913&lt;=100000,'中古車掲載'!AL913=1,'中古車掲載'!Z913="https://www.one2car.com/en/cars-for-sale/toyota/corolla-cross/year-2023"),'中古車掲載'!U913,"")</x:f>
      </x:c>
      <x:c r="BB912" t="str">
        <x:f>IF(AND('中古車掲載'!C913="One2car",'中古車掲載'!F913="ATTO 3",'中古車掲載'!L913="EXTENDED RANGE",'中古車掲載'!J913=2023,ISNUMBER('中古車掲載'!N913),'中古車掲載'!N913&gt;=50000,'中古車掲載'!O913&lt;=100000,'中古車掲載'!AL913=1),'中古車掲載'!U913,"")</x:f>
      </x:c>
      <x:c r="BC912" t="str">
        <x:f>IF(AND('中古車掲載'!C913="One2car",'中古車掲載'!F913="Corolla Cross",'中古車掲載'!L913="HEV PREMIUM SAFETY",'中古車掲載'!J913=2023,ISNUMBER('中古車掲載'!N913),'中古車掲載'!N913&gt;=50000,'中古車掲載'!O913&lt;=100000,'中古車掲載'!AL913=1,'中古車掲載'!Z913="https://www.one2car.com/en/cars-for-sale/toyota/corolla-cross/year-2023"),'中古車掲載'!U913,"")</x:f>
      </x:c>
      <x:c r="BD912" t="str">
        <x:f>IF(AND('中古車掲載'!C913="One2car",'中古車掲載'!F913="ATTO 3",'中古車掲載'!L913="EXTENDED RANGE",'中古車掲載'!J913=2023,ISNUMBER('中古車掲載'!N913),'中古車掲載'!N913&gt;=20000,'中古車掲載'!O913&lt;=50000,'中古車掲載'!AL913=1),'中古車掲載'!U913,"")</x:f>
      </x:c>
      <x:c r="BE912" t="str">
        <x:f>IF(AND('中古車掲載'!C913="One2car",'中古車掲載'!F913="Corolla Cross",'中古車掲載'!L913="HEV PREMIUM SAFETY",'中古車掲載'!J913=2023,ISNUMBER('中古車掲載'!N913),'中古車掲載'!N913&gt;=20000,'中古車掲載'!O913&lt;=50000,'中古車掲載'!AL913=1,'中古車掲載'!Z913="https://www.one2car.com/en/cars-for-sale/toyota/corolla-cross/year-2023"),'中古車掲載'!U913,"")</x:f>
      </x:c>
      <x:c r="BF912" t="str">
        <x:f>IF(AND('中古車掲載'!C913="One2car",'中古車掲載'!F913="Corolla Cross",'中古車掲載'!L913="HEV PREMIUM",'中古車掲載'!J913=2023,ISNUMBER('中古車掲載'!N913),'中古車掲載'!N913&gt;=20000,'中古車掲載'!O913&lt;=100000,'中古車掲載'!AL913=1,'中古車掲載'!Z913="https://www.one2car.com/en/cars-for-sale/toyota/corolla-cross/year-2023"),'中古車掲載'!U913,"")</x:f>
      </x:c>
      <x:c r="BG912" t="str">
        <x:f>IF(AND('中古車掲載'!C913="One2car",'中古車掲載'!F913="Corolla Cross",'中古車掲載'!L913="HEV GR SPORT",'中古車掲載'!J913=2023,ISNUMBER('中古車掲載'!N913),'中古車掲載'!N913&gt;=20000,'中古車掲載'!O913&lt;=100000,'中古車掲載'!AL913=1,'中古車掲載'!Z913="https://www.one2car.com/en/cars-for-sale/toyota/corolla-cross/year-2023"),'中古車掲載'!U913,"")</x:f>
      </x:c>
      <x:c r="BH912" t="str">
        <x:f>IF(AND('中古車掲載'!C913="One2car",'中古車掲載'!F913="DOLPHIN",'中古車掲載'!L913="STANDARD RANGE",'中古車掲載'!J913=2023,ISNUMBER('中古車掲載'!N913),'中古車掲載'!N913&gt;=20000,'中古車掲載'!O913&lt;=100000,'中古車掲載'!AL913=1),'中古車掲載'!U913,"")</x:f>
      </x:c>
      <x:c r="BI912" t="str">
        <x:v>Taladrod|Hilux Revo|ICE|Unknown</x:v>
      </x:c>
      <x:c r="BJ912" t="n">
        <x:v>913</x:v>
      </x:c>
      <x:c r="BK912" t="n">
        <x:f>'中古車掲載'!AM913</x:f>
        <x:v>729000</x:v>
      </x:c>
      <x:c r="BL912" t="str">
        <x:f>IF(ISNUMBER('中古車掲載'!AN913),'中古車掲載'!AN913,"")</x:f>
      </x:c>
    </x:row>
    <x:row r="913">
      <x:c r="AZ913" t="str">
        <x:f>IF(AND('中古車掲載'!C914="One2car",'中古車掲載'!F914="ATTO 3",'中古車掲載'!L914="EXTENDED RANGE",'中古車掲載'!J914=2023,ISNUMBER('中古車掲載'!N914),'中古車掲載'!N914&gt;=20000,'中古車掲載'!O914&lt;=100000,'中古車掲載'!AL914=1),'中古車掲載'!U914,"")</x:f>
      </x:c>
      <x:c r="BA913" t="str">
        <x:f>IF(AND('中古車掲載'!C914="One2car",'中古車掲載'!F914="Corolla Cross",'中古車掲載'!L914="HEV PREMIUM SAFETY",'中古車掲載'!J914=2023,ISNUMBER('中古車掲載'!N914),'中古車掲載'!N914&gt;=20000,'中古車掲載'!O914&lt;=100000,'中古車掲載'!AL914=1,'中古車掲載'!Z914="https://www.one2car.com/en/cars-for-sale/toyota/corolla-cross/year-2023"),'中古車掲載'!U914,"")</x:f>
      </x:c>
      <x:c r="BB913" t="str">
        <x:f>IF(AND('中古車掲載'!C914="One2car",'中古車掲載'!F914="ATTO 3",'中古車掲載'!L914="EXTENDED RANGE",'中古車掲載'!J914=2023,ISNUMBER('中古車掲載'!N914),'中古車掲載'!N914&gt;=50000,'中古車掲載'!O914&lt;=100000,'中古車掲載'!AL914=1),'中古車掲載'!U914,"")</x:f>
      </x:c>
      <x:c r="BC913" t="str">
        <x:f>IF(AND('中古車掲載'!C914="One2car",'中古車掲載'!F914="Corolla Cross",'中古車掲載'!L914="HEV PREMIUM SAFETY",'中古車掲載'!J914=2023,ISNUMBER('中古車掲載'!N914),'中古車掲載'!N914&gt;=50000,'中古車掲載'!O914&lt;=100000,'中古車掲載'!AL914=1,'中古車掲載'!Z914="https://www.one2car.com/en/cars-for-sale/toyota/corolla-cross/year-2023"),'中古車掲載'!U914,"")</x:f>
      </x:c>
      <x:c r="BD913" t="str">
        <x:f>IF(AND('中古車掲載'!C914="One2car",'中古車掲載'!F914="ATTO 3",'中古車掲載'!L914="EXTENDED RANGE",'中古車掲載'!J914=2023,ISNUMBER('中古車掲載'!N914),'中古車掲載'!N914&gt;=20000,'中古車掲載'!O914&lt;=50000,'中古車掲載'!AL914=1),'中古車掲載'!U914,"")</x:f>
      </x:c>
      <x:c r="BE913" t="str">
        <x:f>IF(AND('中古車掲載'!C914="One2car",'中古車掲載'!F914="Corolla Cross",'中古車掲載'!L914="HEV PREMIUM SAFETY",'中古車掲載'!J914=2023,ISNUMBER('中古車掲載'!N914),'中古車掲載'!N914&gt;=20000,'中古車掲載'!O914&lt;=50000,'中古車掲載'!AL914=1,'中古車掲載'!Z914="https://www.one2car.com/en/cars-for-sale/toyota/corolla-cross/year-2023"),'中古車掲載'!U914,"")</x:f>
      </x:c>
      <x:c r="BF913" t="str">
        <x:f>IF(AND('中古車掲載'!C914="One2car",'中古車掲載'!F914="Corolla Cross",'中古車掲載'!L914="HEV PREMIUM",'中古車掲載'!J914=2023,ISNUMBER('中古車掲載'!N914),'中古車掲載'!N914&gt;=20000,'中古車掲載'!O914&lt;=100000,'中古車掲載'!AL914=1,'中古車掲載'!Z914="https://www.one2car.com/en/cars-for-sale/toyota/corolla-cross/year-2023"),'中古車掲載'!U914,"")</x:f>
      </x:c>
      <x:c r="BG913" t="str">
        <x:f>IF(AND('中古車掲載'!C914="One2car",'中古車掲載'!F914="Corolla Cross",'中古車掲載'!L914="HEV GR SPORT",'中古車掲載'!J914=2023,ISNUMBER('中古車掲載'!N914),'中古車掲載'!N914&gt;=20000,'中古車掲載'!O914&lt;=100000,'中古車掲載'!AL914=1,'中古車掲載'!Z914="https://www.one2car.com/en/cars-for-sale/toyota/corolla-cross/year-2023"),'中古車掲載'!U914,"")</x:f>
      </x:c>
      <x:c r="BH913" t="str">
        <x:f>IF(AND('中古車掲載'!C914="One2car",'中古車掲載'!F914="DOLPHIN",'中古車掲載'!L914="STANDARD RANGE",'中古車掲載'!J914=2023,ISNUMBER('中古車掲載'!N914),'中古車掲載'!N914&gt;=20000,'中古車掲載'!O914&lt;=100000,'中古車掲載'!AL914=1),'中古車掲載'!U914,"")</x:f>
      </x:c>
      <x:c r="BI913" t="str">
        <x:v>Taladrod|Hilux Revo|ICE|Unknown</x:v>
      </x:c>
      <x:c r="BJ913" t="n">
        <x:v>914</x:v>
      </x:c>
      <x:c r="BK913" t="n">
        <x:f>'中古車掲載'!AM914</x:f>
        <x:v>679000</x:v>
      </x:c>
      <x:c r="BL913" t="str">
        <x:f>IF(ISNUMBER('中古車掲載'!AN914),'中古車掲載'!AN914,"")</x:f>
      </x:c>
    </x:row>
    <x:row r="914">
      <x:c r="AZ914" t="str">
        <x:f>IF(AND('中古車掲載'!C915="One2car",'中古車掲載'!F915="ATTO 3",'中古車掲載'!L915="EXTENDED RANGE",'中古車掲載'!J915=2023,ISNUMBER('中古車掲載'!N915),'中古車掲載'!N915&gt;=20000,'中古車掲載'!O915&lt;=100000,'中古車掲載'!AL915=1),'中古車掲載'!U915,"")</x:f>
      </x:c>
      <x:c r="BA914" t="str">
        <x:f>IF(AND('中古車掲載'!C915="One2car",'中古車掲載'!F915="Corolla Cross",'中古車掲載'!L915="HEV PREMIUM SAFETY",'中古車掲載'!J915=2023,ISNUMBER('中古車掲載'!N915),'中古車掲載'!N915&gt;=20000,'中古車掲載'!O915&lt;=100000,'中古車掲載'!AL915=1,'中古車掲載'!Z915="https://www.one2car.com/en/cars-for-sale/toyota/corolla-cross/year-2023"),'中古車掲載'!U915,"")</x:f>
      </x:c>
      <x:c r="BB914" t="str">
        <x:f>IF(AND('中古車掲載'!C915="One2car",'中古車掲載'!F915="ATTO 3",'中古車掲載'!L915="EXTENDED RANGE",'中古車掲載'!J915=2023,ISNUMBER('中古車掲載'!N915),'中古車掲載'!N915&gt;=50000,'中古車掲載'!O915&lt;=100000,'中古車掲載'!AL915=1),'中古車掲載'!U915,"")</x:f>
      </x:c>
      <x:c r="BC914" t="str">
        <x:f>IF(AND('中古車掲載'!C915="One2car",'中古車掲載'!F915="Corolla Cross",'中古車掲載'!L915="HEV PREMIUM SAFETY",'中古車掲載'!J915=2023,ISNUMBER('中古車掲載'!N915),'中古車掲載'!N915&gt;=50000,'中古車掲載'!O915&lt;=100000,'中古車掲載'!AL915=1,'中古車掲載'!Z915="https://www.one2car.com/en/cars-for-sale/toyota/corolla-cross/year-2023"),'中古車掲載'!U915,"")</x:f>
      </x:c>
      <x:c r="BD914" t="str">
        <x:f>IF(AND('中古車掲載'!C915="One2car",'中古車掲載'!F915="ATTO 3",'中古車掲載'!L915="EXTENDED RANGE",'中古車掲載'!J915=2023,ISNUMBER('中古車掲載'!N915),'中古車掲載'!N915&gt;=20000,'中古車掲載'!O915&lt;=50000,'中古車掲載'!AL915=1),'中古車掲載'!U915,"")</x:f>
      </x:c>
      <x:c r="BE914" t="str">
        <x:f>IF(AND('中古車掲載'!C915="One2car",'中古車掲載'!F915="Corolla Cross",'中古車掲載'!L915="HEV PREMIUM SAFETY",'中古車掲載'!J915=2023,ISNUMBER('中古車掲載'!N915),'中古車掲載'!N915&gt;=20000,'中古車掲載'!O915&lt;=50000,'中古車掲載'!AL915=1,'中古車掲載'!Z915="https://www.one2car.com/en/cars-for-sale/toyota/corolla-cross/year-2023"),'中古車掲載'!U915,"")</x:f>
      </x:c>
      <x:c r="BF914" t="str">
        <x:f>IF(AND('中古車掲載'!C915="One2car",'中古車掲載'!F915="Corolla Cross",'中古車掲載'!L915="HEV PREMIUM",'中古車掲載'!J915=2023,ISNUMBER('中古車掲載'!N915),'中古車掲載'!N915&gt;=20000,'中古車掲載'!O915&lt;=100000,'中古車掲載'!AL915=1,'中古車掲載'!Z915="https://www.one2car.com/en/cars-for-sale/toyota/corolla-cross/year-2023"),'中古車掲載'!U915,"")</x:f>
      </x:c>
      <x:c r="BG914" t="str">
        <x:f>IF(AND('中古車掲載'!C915="One2car",'中古車掲載'!F915="Corolla Cross",'中古車掲載'!L915="HEV GR SPORT",'中古車掲載'!J915=2023,ISNUMBER('中古車掲載'!N915),'中古車掲載'!N915&gt;=20000,'中古車掲載'!O915&lt;=100000,'中古車掲載'!AL915=1,'中古車掲載'!Z915="https://www.one2car.com/en/cars-for-sale/toyota/corolla-cross/year-2023"),'中古車掲載'!U915,"")</x:f>
      </x:c>
      <x:c r="BH914" t="str">
        <x:f>IF(AND('中古車掲載'!C915="One2car",'中古車掲載'!F915="DOLPHIN",'中古車掲載'!L915="STANDARD RANGE",'中古車掲載'!J915=2023,ISNUMBER('中古車掲載'!N915),'中古車掲載'!N915&gt;=20000,'中古車掲載'!O915&lt;=100000,'中古車掲載'!AL915=1),'中古車掲載'!U915,"")</x:f>
      </x:c>
      <x:c r="BI914" t="str">
        <x:v>Taladrod|Hilux Revo|ICE|Unknown</x:v>
      </x:c>
      <x:c r="BJ914" t="n">
        <x:v>915</x:v>
      </x:c>
      <x:c r="BK914" t="n">
        <x:f>'中古車掲載'!AM915</x:f>
        <x:v>599000</x:v>
      </x:c>
      <x:c r="BL914" t="str">
        <x:f>IF(ISNUMBER('中古車掲載'!AN915),'中古車掲載'!AN915,"")</x:f>
      </x:c>
    </x:row>
    <x:row r="915">
      <x:c r="AZ915" t="str">
        <x:f>IF(AND('中古車掲載'!C916="One2car",'中古車掲載'!F916="ATTO 3",'中古車掲載'!L916="EXTENDED RANGE",'中古車掲載'!J916=2023,ISNUMBER('中古車掲載'!N916),'中古車掲載'!N916&gt;=20000,'中古車掲載'!O916&lt;=100000,'中古車掲載'!AL916=1),'中古車掲載'!U916,"")</x:f>
      </x:c>
      <x:c r="BA915" t="str">
        <x:f>IF(AND('中古車掲載'!C916="One2car",'中古車掲載'!F916="Corolla Cross",'中古車掲載'!L916="HEV PREMIUM SAFETY",'中古車掲載'!J916=2023,ISNUMBER('中古車掲載'!N916),'中古車掲載'!N916&gt;=20000,'中古車掲載'!O916&lt;=100000,'中古車掲載'!AL916=1,'中古車掲載'!Z916="https://www.one2car.com/en/cars-for-sale/toyota/corolla-cross/year-2023"),'中古車掲載'!U916,"")</x:f>
      </x:c>
      <x:c r="BB915" t="str">
        <x:f>IF(AND('中古車掲載'!C916="One2car",'中古車掲載'!F916="ATTO 3",'中古車掲載'!L916="EXTENDED RANGE",'中古車掲載'!J916=2023,ISNUMBER('中古車掲載'!N916),'中古車掲載'!N916&gt;=50000,'中古車掲載'!O916&lt;=100000,'中古車掲載'!AL916=1),'中古車掲載'!U916,"")</x:f>
      </x:c>
      <x:c r="BC915" t="str">
        <x:f>IF(AND('中古車掲載'!C916="One2car",'中古車掲載'!F916="Corolla Cross",'中古車掲載'!L916="HEV PREMIUM SAFETY",'中古車掲載'!J916=2023,ISNUMBER('中古車掲載'!N916),'中古車掲載'!N916&gt;=50000,'中古車掲載'!O916&lt;=100000,'中古車掲載'!AL916=1,'中古車掲載'!Z916="https://www.one2car.com/en/cars-for-sale/toyota/corolla-cross/year-2023"),'中古車掲載'!U916,"")</x:f>
      </x:c>
      <x:c r="BD915" t="str">
        <x:f>IF(AND('中古車掲載'!C916="One2car",'中古車掲載'!F916="ATTO 3",'中古車掲載'!L916="EXTENDED RANGE",'中古車掲載'!J916=2023,ISNUMBER('中古車掲載'!N916),'中古車掲載'!N916&gt;=20000,'中古車掲載'!O916&lt;=50000,'中古車掲載'!AL916=1),'中古車掲載'!U916,"")</x:f>
      </x:c>
      <x:c r="BE915" t="str">
        <x:f>IF(AND('中古車掲載'!C916="One2car",'中古車掲載'!F916="Corolla Cross",'中古車掲載'!L916="HEV PREMIUM SAFETY",'中古車掲載'!J916=2023,ISNUMBER('中古車掲載'!N916),'中古車掲載'!N916&gt;=20000,'中古車掲載'!O916&lt;=50000,'中古車掲載'!AL916=1,'中古車掲載'!Z916="https://www.one2car.com/en/cars-for-sale/toyota/corolla-cross/year-2023"),'中古車掲載'!U916,"")</x:f>
      </x:c>
      <x:c r="BF915" t="str">
        <x:f>IF(AND('中古車掲載'!C916="One2car",'中古車掲載'!F916="Corolla Cross",'中古車掲載'!L916="HEV PREMIUM",'中古車掲載'!J916=2023,ISNUMBER('中古車掲載'!N916),'中古車掲載'!N916&gt;=20000,'中古車掲載'!O916&lt;=100000,'中古車掲載'!AL916=1,'中古車掲載'!Z916="https://www.one2car.com/en/cars-for-sale/toyota/corolla-cross/year-2023"),'中古車掲載'!U916,"")</x:f>
      </x:c>
      <x:c r="BG915" t="str">
        <x:f>IF(AND('中古車掲載'!C916="One2car",'中古車掲載'!F916="Corolla Cross",'中古車掲載'!L916="HEV GR SPORT",'中古車掲載'!J916=2023,ISNUMBER('中古車掲載'!N916),'中古車掲載'!N916&gt;=20000,'中古車掲載'!O916&lt;=100000,'中古車掲載'!AL916=1,'中古車掲載'!Z916="https://www.one2car.com/en/cars-for-sale/toyota/corolla-cross/year-2023"),'中古車掲載'!U916,"")</x:f>
      </x:c>
      <x:c r="BH915" t="str">
        <x:f>IF(AND('中古車掲載'!C916="One2car",'中古車掲載'!F916="DOLPHIN",'中古車掲載'!L916="STANDARD RANGE",'中古車掲載'!J916=2023,ISNUMBER('中古車掲載'!N916),'中古車掲載'!N916&gt;=20000,'中古車掲載'!O916&lt;=100000,'中古車掲載'!AL916=1),'中古車掲載'!U916,"")</x:f>
      </x:c>
      <x:c r="BI915" t="str">
        <x:v>Taladrod|Hilux Revo|ICE|Unknown</x:v>
      </x:c>
      <x:c r="BJ915" t="n">
        <x:v>916</x:v>
      </x:c>
      <x:c r="BK915" t="n">
        <x:f>'中古車掲載'!AM916</x:f>
        <x:v>699000</x:v>
      </x:c>
      <x:c r="BL915" t="str">
        <x:f>IF(ISNUMBER('中古車掲載'!AN916),'中古車掲載'!AN916,"")</x:f>
      </x:c>
    </x:row>
    <x:row r="916">
      <x:c r="AZ916" t="str">
        <x:f>IF(AND('中古車掲載'!C917="One2car",'中古車掲載'!F917="ATTO 3",'中古車掲載'!L917="EXTENDED RANGE",'中古車掲載'!J917=2023,ISNUMBER('中古車掲載'!N917),'中古車掲載'!N917&gt;=20000,'中古車掲載'!O917&lt;=100000,'中古車掲載'!AL917=1),'中古車掲載'!U917,"")</x:f>
      </x:c>
      <x:c r="BA916" t="str">
        <x:f>IF(AND('中古車掲載'!C917="One2car",'中古車掲載'!F917="Corolla Cross",'中古車掲載'!L917="HEV PREMIUM SAFETY",'中古車掲載'!J917=2023,ISNUMBER('中古車掲載'!N917),'中古車掲載'!N917&gt;=20000,'中古車掲載'!O917&lt;=100000,'中古車掲載'!AL917=1,'中古車掲載'!Z917="https://www.one2car.com/en/cars-for-sale/toyota/corolla-cross/year-2023"),'中古車掲載'!U917,"")</x:f>
      </x:c>
      <x:c r="BB916" t="str">
        <x:f>IF(AND('中古車掲載'!C917="One2car",'中古車掲載'!F917="ATTO 3",'中古車掲載'!L917="EXTENDED RANGE",'中古車掲載'!J917=2023,ISNUMBER('中古車掲載'!N917),'中古車掲載'!N917&gt;=50000,'中古車掲載'!O917&lt;=100000,'中古車掲載'!AL917=1),'中古車掲載'!U917,"")</x:f>
      </x:c>
      <x:c r="BC916" t="str">
        <x:f>IF(AND('中古車掲載'!C917="One2car",'中古車掲載'!F917="Corolla Cross",'中古車掲載'!L917="HEV PREMIUM SAFETY",'中古車掲載'!J917=2023,ISNUMBER('中古車掲載'!N917),'中古車掲載'!N917&gt;=50000,'中古車掲載'!O917&lt;=100000,'中古車掲載'!AL917=1,'中古車掲載'!Z917="https://www.one2car.com/en/cars-for-sale/toyota/corolla-cross/year-2023"),'中古車掲載'!U917,"")</x:f>
      </x:c>
      <x:c r="BD916" t="str">
        <x:f>IF(AND('中古車掲載'!C917="One2car",'中古車掲載'!F917="ATTO 3",'中古車掲載'!L917="EXTENDED RANGE",'中古車掲載'!J917=2023,ISNUMBER('中古車掲載'!N917),'中古車掲載'!N917&gt;=20000,'中古車掲載'!O917&lt;=50000,'中古車掲載'!AL917=1),'中古車掲載'!U917,"")</x:f>
      </x:c>
      <x:c r="BE916" t="str">
        <x:f>IF(AND('中古車掲載'!C917="One2car",'中古車掲載'!F917="Corolla Cross",'中古車掲載'!L917="HEV PREMIUM SAFETY",'中古車掲載'!J917=2023,ISNUMBER('中古車掲載'!N917),'中古車掲載'!N917&gt;=20000,'中古車掲載'!O917&lt;=50000,'中古車掲載'!AL917=1,'中古車掲載'!Z917="https://www.one2car.com/en/cars-for-sale/toyota/corolla-cross/year-2023"),'中古車掲載'!U917,"")</x:f>
      </x:c>
      <x:c r="BF916" t="str">
        <x:f>IF(AND('中古車掲載'!C917="One2car",'中古車掲載'!F917="Corolla Cross",'中古車掲載'!L917="HEV PREMIUM",'中古車掲載'!J917=2023,ISNUMBER('中古車掲載'!N917),'中古車掲載'!N917&gt;=20000,'中古車掲載'!O917&lt;=100000,'中古車掲載'!AL917=1,'中古車掲載'!Z917="https://www.one2car.com/en/cars-for-sale/toyota/corolla-cross/year-2023"),'中古車掲載'!U917,"")</x:f>
      </x:c>
      <x:c r="BG916" t="str">
        <x:f>IF(AND('中古車掲載'!C917="One2car",'中古車掲載'!F917="Corolla Cross",'中古車掲載'!L917="HEV GR SPORT",'中古車掲載'!J917=2023,ISNUMBER('中古車掲載'!N917),'中古車掲載'!N917&gt;=20000,'中古車掲載'!O917&lt;=100000,'中古車掲載'!AL917=1,'中古車掲載'!Z917="https://www.one2car.com/en/cars-for-sale/toyota/corolla-cross/year-2023"),'中古車掲載'!U917,"")</x:f>
      </x:c>
      <x:c r="BH916" t="str">
        <x:f>IF(AND('中古車掲載'!C917="One2car",'中古車掲載'!F917="DOLPHIN",'中古車掲載'!L917="STANDARD RANGE",'中古車掲載'!J917=2023,ISNUMBER('中古車掲載'!N917),'中古車掲載'!N917&gt;=20000,'中古車掲載'!O917&lt;=100000,'中古車掲載'!AL917=1),'中古車掲載'!U917,"")</x:f>
      </x:c>
      <x:c r="BI916" t="str">
        <x:v>Taladrod|Hilux Revo|ICE|Unknown</x:v>
      </x:c>
      <x:c r="BJ916" t="n">
        <x:v>917</x:v>
      </x:c>
      <x:c r="BK916" t="n">
        <x:f>'中古車掲載'!AM917</x:f>
        <x:v>649000</x:v>
      </x:c>
      <x:c r="BL916" t="str">
        <x:f>IF(ISNUMBER('中古車掲載'!AN917),'中古車掲載'!AN917,"")</x:f>
      </x:c>
    </x:row>
    <x:row r="917">
      <x:c r="AZ917" t="str">
        <x:f>IF(AND('中古車掲載'!C918="One2car",'中古車掲載'!F918="ATTO 3",'中古車掲載'!L918="EXTENDED RANGE",'中古車掲載'!J918=2023,ISNUMBER('中古車掲載'!N918),'中古車掲載'!N918&gt;=20000,'中古車掲載'!O918&lt;=100000,'中古車掲載'!AL918=1),'中古車掲載'!U918,"")</x:f>
      </x:c>
      <x:c r="BA917" t="str">
        <x:f>IF(AND('中古車掲載'!C918="One2car",'中古車掲載'!F918="Corolla Cross",'中古車掲載'!L918="HEV PREMIUM SAFETY",'中古車掲載'!J918=2023,ISNUMBER('中古車掲載'!N918),'中古車掲載'!N918&gt;=20000,'中古車掲載'!O918&lt;=100000,'中古車掲載'!AL918=1,'中古車掲載'!Z918="https://www.one2car.com/en/cars-for-sale/toyota/corolla-cross/year-2023"),'中古車掲載'!U918,"")</x:f>
      </x:c>
      <x:c r="BB917" t="str">
        <x:f>IF(AND('中古車掲載'!C918="One2car",'中古車掲載'!F918="ATTO 3",'中古車掲載'!L918="EXTENDED RANGE",'中古車掲載'!J918=2023,ISNUMBER('中古車掲載'!N918),'中古車掲載'!N918&gt;=50000,'中古車掲載'!O918&lt;=100000,'中古車掲載'!AL918=1),'中古車掲載'!U918,"")</x:f>
      </x:c>
      <x:c r="BC917" t="str">
        <x:f>IF(AND('中古車掲載'!C918="One2car",'中古車掲載'!F918="Corolla Cross",'中古車掲載'!L918="HEV PREMIUM SAFETY",'中古車掲載'!J918=2023,ISNUMBER('中古車掲載'!N918),'中古車掲載'!N918&gt;=50000,'中古車掲載'!O918&lt;=100000,'中古車掲載'!AL918=1,'中古車掲載'!Z918="https://www.one2car.com/en/cars-for-sale/toyota/corolla-cross/year-2023"),'中古車掲載'!U918,"")</x:f>
      </x:c>
      <x:c r="BD917" t="str">
        <x:f>IF(AND('中古車掲載'!C918="One2car",'中古車掲載'!F918="ATTO 3",'中古車掲載'!L918="EXTENDED RANGE",'中古車掲載'!J918=2023,ISNUMBER('中古車掲載'!N918),'中古車掲載'!N918&gt;=20000,'中古車掲載'!O918&lt;=50000,'中古車掲載'!AL918=1),'中古車掲載'!U918,"")</x:f>
      </x:c>
      <x:c r="BE917" t="str">
        <x:f>IF(AND('中古車掲載'!C918="One2car",'中古車掲載'!F918="Corolla Cross",'中古車掲載'!L918="HEV PREMIUM SAFETY",'中古車掲載'!J918=2023,ISNUMBER('中古車掲載'!N918),'中古車掲載'!N918&gt;=20000,'中古車掲載'!O918&lt;=50000,'中古車掲載'!AL918=1,'中古車掲載'!Z918="https://www.one2car.com/en/cars-for-sale/toyota/corolla-cross/year-2023"),'中古車掲載'!U918,"")</x:f>
      </x:c>
      <x:c r="BF917" t="str">
        <x:f>IF(AND('中古車掲載'!C918="One2car",'中古車掲載'!F918="Corolla Cross",'中古車掲載'!L918="HEV PREMIUM",'中古車掲載'!J918=2023,ISNUMBER('中古車掲載'!N918),'中古車掲載'!N918&gt;=20000,'中古車掲載'!O918&lt;=100000,'中古車掲載'!AL918=1,'中古車掲載'!Z918="https://www.one2car.com/en/cars-for-sale/toyota/corolla-cross/year-2023"),'中古車掲載'!U918,"")</x:f>
      </x:c>
      <x:c r="BG917" t="str">
        <x:f>IF(AND('中古車掲載'!C918="One2car",'中古車掲載'!F918="Corolla Cross",'中古車掲載'!L918="HEV GR SPORT",'中古車掲載'!J918=2023,ISNUMBER('中古車掲載'!N918),'中古車掲載'!N918&gt;=20000,'中古車掲載'!O918&lt;=100000,'中古車掲載'!AL918=1,'中古車掲載'!Z918="https://www.one2car.com/en/cars-for-sale/toyota/corolla-cross/year-2023"),'中古車掲載'!U918,"")</x:f>
      </x:c>
      <x:c r="BH917" t="str">
        <x:f>IF(AND('中古車掲載'!C918="One2car",'中古車掲載'!F918="DOLPHIN",'中古車掲載'!L918="STANDARD RANGE",'中古車掲載'!J918=2023,ISNUMBER('中古車掲載'!N918),'中古車掲載'!N918&gt;=20000,'中古車掲載'!O918&lt;=100000,'中古車掲載'!AL918=1),'中古車掲載'!U918,"")</x:f>
      </x:c>
      <x:c r="BI917" t="str">
        <x:v>Taladrod|Hilux Revo|ICE|Unknown</x:v>
      </x:c>
      <x:c r="BJ917" t="n">
        <x:v>918</x:v>
      </x:c>
      <x:c r="BK917" t="str">
        <x:f>'中古車掲載'!AM918</x:f>
      </x:c>
      <x:c r="BL917" t="str">
        <x:f>IF(ISNUMBER('中古車掲載'!AN918),'中古車掲載'!AN918,"")</x:f>
      </x:c>
    </x:row>
    <x:row r="918">
      <x:c r="AZ918" t="str">
        <x:f>IF(AND('中古車掲載'!C919="One2car",'中古車掲載'!F919="ATTO 3",'中古車掲載'!L919="EXTENDED RANGE",'中古車掲載'!J919=2023,ISNUMBER('中古車掲載'!N919),'中古車掲載'!N919&gt;=20000,'中古車掲載'!O919&lt;=100000,'中古車掲載'!AL919=1),'中古車掲載'!U919,"")</x:f>
      </x:c>
      <x:c r="BA918" t="str">
        <x:f>IF(AND('中古車掲載'!C919="One2car",'中古車掲載'!F919="Corolla Cross",'中古車掲載'!L919="HEV PREMIUM SAFETY",'中古車掲載'!J919=2023,ISNUMBER('中古車掲載'!N919),'中古車掲載'!N919&gt;=20000,'中古車掲載'!O919&lt;=100000,'中古車掲載'!AL919=1,'中古車掲載'!Z919="https://www.one2car.com/en/cars-for-sale/toyota/corolla-cross/year-2023"),'中古車掲載'!U919,"")</x:f>
      </x:c>
      <x:c r="BB918" t="str">
        <x:f>IF(AND('中古車掲載'!C919="One2car",'中古車掲載'!F919="ATTO 3",'中古車掲載'!L919="EXTENDED RANGE",'中古車掲載'!J919=2023,ISNUMBER('中古車掲載'!N919),'中古車掲載'!N919&gt;=50000,'中古車掲載'!O919&lt;=100000,'中古車掲載'!AL919=1),'中古車掲載'!U919,"")</x:f>
      </x:c>
      <x:c r="BC918" t="str">
        <x:f>IF(AND('中古車掲載'!C919="One2car",'中古車掲載'!F919="Corolla Cross",'中古車掲載'!L919="HEV PREMIUM SAFETY",'中古車掲載'!J919=2023,ISNUMBER('中古車掲載'!N919),'中古車掲載'!N919&gt;=50000,'中古車掲載'!O919&lt;=100000,'中古車掲載'!AL919=1,'中古車掲載'!Z919="https://www.one2car.com/en/cars-for-sale/toyota/corolla-cross/year-2023"),'中古車掲載'!U919,"")</x:f>
      </x:c>
      <x:c r="BD918" t="str">
        <x:f>IF(AND('中古車掲載'!C919="One2car",'中古車掲載'!F919="ATTO 3",'中古車掲載'!L919="EXTENDED RANGE",'中古車掲載'!J919=2023,ISNUMBER('中古車掲載'!N919),'中古車掲載'!N919&gt;=20000,'中古車掲載'!O919&lt;=50000,'中古車掲載'!AL919=1),'中古車掲載'!U919,"")</x:f>
      </x:c>
      <x:c r="BE918" t="str">
        <x:f>IF(AND('中古車掲載'!C919="One2car",'中古車掲載'!F919="Corolla Cross",'中古車掲載'!L919="HEV PREMIUM SAFETY",'中古車掲載'!J919=2023,ISNUMBER('中古車掲載'!N919),'中古車掲載'!N919&gt;=20000,'中古車掲載'!O919&lt;=50000,'中古車掲載'!AL919=1,'中古車掲載'!Z919="https://www.one2car.com/en/cars-for-sale/toyota/corolla-cross/year-2023"),'中古車掲載'!U919,"")</x:f>
      </x:c>
      <x:c r="BF918" t="str">
        <x:f>IF(AND('中古車掲載'!C919="One2car",'中古車掲載'!F919="Corolla Cross",'中古車掲載'!L919="HEV PREMIUM",'中古車掲載'!J919=2023,ISNUMBER('中古車掲載'!N919),'中古車掲載'!N919&gt;=20000,'中古車掲載'!O919&lt;=100000,'中古車掲載'!AL919=1,'中古車掲載'!Z919="https://www.one2car.com/en/cars-for-sale/toyota/corolla-cross/year-2023"),'中古車掲載'!U919,"")</x:f>
      </x:c>
      <x:c r="BG918" t="str">
        <x:f>IF(AND('中古車掲載'!C919="One2car",'中古車掲載'!F919="Corolla Cross",'中古車掲載'!L919="HEV GR SPORT",'中古車掲載'!J919=2023,ISNUMBER('中古車掲載'!N919),'中古車掲載'!N919&gt;=20000,'中古車掲載'!O919&lt;=100000,'中古車掲載'!AL919=1,'中古車掲載'!Z919="https://www.one2car.com/en/cars-for-sale/toyota/corolla-cross/year-2023"),'中古車掲載'!U919,"")</x:f>
      </x:c>
      <x:c r="BH918" t="str">
        <x:f>IF(AND('中古車掲載'!C919="One2car",'中古車掲載'!F919="DOLPHIN",'中古車掲載'!L919="STANDARD RANGE",'中古車掲載'!J919=2023,ISNUMBER('中古車掲載'!N919),'中古車掲載'!N919&gt;=20000,'中古車掲載'!O919&lt;=100000,'中古車掲載'!AL919=1),'中古車掲載'!U919,"")</x:f>
      </x:c>
      <x:c r="BI918" t="str">
        <x:v>Taladrod|Hilux Revo|ICE|Unknown</x:v>
      </x:c>
      <x:c r="BJ918" t="n">
        <x:v>919</x:v>
      </x:c>
      <x:c r="BK918" t="str">
        <x:f>'中古車掲載'!AM919</x:f>
      </x:c>
      <x:c r="BL918" t="str">
        <x:f>IF(ISNUMBER('中古車掲載'!AN919),'中古車掲載'!AN919,"")</x:f>
      </x:c>
    </x:row>
    <x:row r="919">
      <x:c r="AZ919" t="str">
        <x:f>IF(AND('中古車掲載'!C920="One2car",'中古車掲載'!F920="ATTO 3",'中古車掲載'!L920="EXTENDED RANGE",'中古車掲載'!J920=2023,ISNUMBER('中古車掲載'!N920),'中古車掲載'!N920&gt;=20000,'中古車掲載'!O920&lt;=100000,'中古車掲載'!AL920=1),'中古車掲載'!U920,"")</x:f>
      </x:c>
      <x:c r="BA919" t="str">
        <x:f>IF(AND('中古車掲載'!C920="One2car",'中古車掲載'!F920="Corolla Cross",'中古車掲載'!L920="HEV PREMIUM SAFETY",'中古車掲載'!J920=2023,ISNUMBER('中古車掲載'!N920),'中古車掲載'!N920&gt;=20000,'中古車掲載'!O920&lt;=100000,'中古車掲載'!AL920=1,'中古車掲載'!Z920="https://www.one2car.com/en/cars-for-sale/toyota/corolla-cross/year-2023"),'中古車掲載'!U920,"")</x:f>
      </x:c>
      <x:c r="BB919" t="str">
        <x:f>IF(AND('中古車掲載'!C920="One2car",'中古車掲載'!F920="ATTO 3",'中古車掲載'!L920="EXTENDED RANGE",'中古車掲載'!J920=2023,ISNUMBER('中古車掲載'!N920),'中古車掲載'!N920&gt;=50000,'中古車掲載'!O920&lt;=100000,'中古車掲載'!AL920=1),'中古車掲載'!U920,"")</x:f>
      </x:c>
      <x:c r="BC919" t="str">
        <x:f>IF(AND('中古車掲載'!C920="One2car",'中古車掲載'!F920="Corolla Cross",'中古車掲載'!L920="HEV PREMIUM SAFETY",'中古車掲載'!J920=2023,ISNUMBER('中古車掲載'!N920),'中古車掲載'!N920&gt;=50000,'中古車掲載'!O920&lt;=100000,'中古車掲載'!AL920=1,'中古車掲載'!Z920="https://www.one2car.com/en/cars-for-sale/toyota/corolla-cross/year-2023"),'中古車掲載'!U920,"")</x:f>
      </x:c>
      <x:c r="BD919" t="str">
        <x:f>IF(AND('中古車掲載'!C920="One2car",'中古車掲載'!F920="ATTO 3",'中古車掲載'!L920="EXTENDED RANGE",'中古車掲載'!J920=2023,ISNUMBER('中古車掲載'!N920),'中古車掲載'!N920&gt;=20000,'中古車掲載'!O920&lt;=50000,'中古車掲載'!AL920=1),'中古車掲載'!U920,"")</x:f>
      </x:c>
      <x:c r="BE919" t="str">
        <x:f>IF(AND('中古車掲載'!C920="One2car",'中古車掲載'!F920="Corolla Cross",'中古車掲載'!L920="HEV PREMIUM SAFETY",'中古車掲載'!J920=2023,ISNUMBER('中古車掲載'!N920),'中古車掲載'!N920&gt;=20000,'中古車掲載'!O920&lt;=50000,'中古車掲載'!AL920=1,'中古車掲載'!Z920="https://www.one2car.com/en/cars-for-sale/toyota/corolla-cross/year-2023"),'中古車掲載'!U920,"")</x:f>
      </x:c>
      <x:c r="BF919" t="str">
        <x:f>IF(AND('中古車掲載'!C920="One2car",'中古車掲載'!F920="Corolla Cross",'中古車掲載'!L920="HEV PREMIUM",'中古車掲載'!J920=2023,ISNUMBER('中古車掲載'!N920),'中古車掲載'!N920&gt;=20000,'中古車掲載'!O920&lt;=100000,'中古車掲載'!AL920=1,'中古車掲載'!Z920="https://www.one2car.com/en/cars-for-sale/toyota/corolla-cross/year-2023"),'中古車掲載'!U920,"")</x:f>
      </x:c>
      <x:c r="BG919" t="str">
        <x:f>IF(AND('中古車掲載'!C920="One2car",'中古車掲載'!F920="Corolla Cross",'中古車掲載'!L920="HEV GR SPORT",'中古車掲載'!J920=2023,ISNUMBER('中古車掲載'!N920),'中古車掲載'!N920&gt;=20000,'中古車掲載'!O920&lt;=100000,'中古車掲載'!AL920=1,'中古車掲載'!Z920="https://www.one2car.com/en/cars-for-sale/toyota/corolla-cross/year-2023"),'中古車掲載'!U920,"")</x:f>
      </x:c>
      <x:c r="BH919" t="str">
        <x:f>IF(AND('中古車掲載'!C920="One2car",'中古車掲載'!F920="DOLPHIN",'中古車掲載'!L920="STANDARD RANGE",'中古車掲載'!J920=2023,ISNUMBER('中古車掲載'!N920),'中古車掲載'!N920&gt;=20000,'中古車掲載'!O920&lt;=100000,'中古車掲載'!AL920=1),'中古車掲載'!U920,"")</x:f>
      </x:c>
      <x:c r="BI919" t="str">
        <x:v>Taladrod|Hilux Revo|不明|Unknown</x:v>
      </x:c>
      <x:c r="BJ919" t="n">
        <x:v>920</x:v>
      </x:c>
      <x:c r="BK919" t="n">
        <x:f>'中古車掲載'!AM920</x:f>
        <x:v>550000</x:v>
      </x:c>
      <x:c r="BL919" t="str">
        <x:f>IF(ISNUMBER('中古車掲載'!AN920),'中古車掲載'!AN920,"")</x:f>
      </x:c>
    </x:row>
    <x:row r="920">
      <x:c r="AZ920" t="str">
        <x:f>IF(AND('中古車掲載'!C921="One2car",'中古車掲載'!F921="ATTO 3",'中古車掲載'!L921="EXTENDED RANGE",'中古車掲載'!J921=2023,ISNUMBER('中古車掲載'!N921),'中古車掲載'!N921&gt;=20000,'中古車掲載'!O921&lt;=100000,'中古車掲載'!AL921=1),'中古車掲載'!U921,"")</x:f>
      </x:c>
      <x:c r="BA920" t="str">
        <x:f>IF(AND('中古車掲載'!C921="One2car",'中古車掲載'!F921="Corolla Cross",'中古車掲載'!L921="HEV PREMIUM SAFETY",'中古車掲載'!J921=2023,ISNUMBER('中古車掲載'!N921),'中古車掲載'!N921&gt;=20000,'中古車掲載'!O921&lt;=100000,'中古車掲載'!AL921=1,'中古車掲載'!Z921="https://www.one2car.com/en/cars-for-sale/toyota/corolla-cross/year-2023"),'中古車掲載'!U921,"")</x:f>
      </x:c>
      <x:c r="BB920" t="str">
        <x:f>IF(AND('中古車掲載'!C921="One2car",'中古車掲載'!F921="ATTO 3",'中古車掲載'!L921="EXTENDED RANGE",'中古車掲載'!J921=2023,ISNUMBER('中古車掲載'!N921),'中古車掲載'!N921&gt;=50000,'中古車掲載'!O921&lt;=100000,'中古車掲載'!AL921=1),'中古車掲載'!U921,"")</x:f>
      </x:c>
      <x:c r="BC920" t="str">
        <x:f>IF(AND('中古車掲載'!C921="One2car",'中古車掲載'!F921="Corolla Cross",'中古車掲載'!L921="HEV PREMIUM SAFETY",'中古車掲載'!J921=2023,ISNUMBER('中古車掲載'!N921),'中古車掲載'!N921&gt;=50000,'中古車掲載'!O921&lt;=100000,'中古車掲載'!AL921=1,'中古車掲載'!Z921="https://www.one2car.com/en/cars-for-sale/toyota/corolla-cross/year-2023"),'中古車掲載'!U921,"")</x:f>
      </x:c>
      <x:c r="BD920" t="str">
        <x:f>IF(AND('中古車掲載'!C921="One2car",'中古車掲載'!F921="ATTO 3",'中古車掲載'!L921="EXTENDED RANGE",'中古車掲載'!J921=2023,ISNUMBER('中古車掲載'!N921),'中古車掲載'!N921&gt;=20000,'中古車掲載'!O921&lt;=50000,'中古車掲載'!AL921=1),'中古車掲載'!U921,"")</x:f>
      </x:c>
      <x:c r="BE920" t="str">
        <x:f>IF(AND('中古車掲載'!C921="One2car",'中古車掲載'!F921="Corolla Cross",'中古車掲載'!L921="HEV PREMIUM SAFETY",'中古車掲載'!J921=2023,ISNUMBER('中古車掲載'!N921),'中古車掲載'!N921&gt;=20000,'中古車掲載'!O921&lt;=50000,'中古車掲載'!AL921=1,'中古車掲載'!Z921="https://www.one2car.com/en/cars-for-sale/toyota/corolla-cross/year-2023"),'中古車掲載'!U921,"")</x:f>
      </x:c>
      <x:c r="BF920" t="str">
        <x:f>IF(AND('中古車掲載'!C921="One2car",'中古車掲載'!F921="Corolla Cross",'中古車掲載'!L921="HEV PREMIUM",'中古車掲載'!J921=2023,ISNUMBER('中古車掲載'!N921),'中古車掲載'!N921&gt;=20000,'中古車掲載'!O921&lt;=100000,'中古車掲載'!AL921=1,'中古車掲載'!Z921="https://www.one2car.com/en/cars-for-sale/toyota/corolla-cross/year-2023"),'中古車掲載'!U921,"")</x:f>
      </x:c>
      <x:c r="BG920" t="str">
        <x:f>IF(AND('中古車掲載'!C921="One2car",'中古車掲載'!F921="Corolla Cross",'中古車掲載'!L921="HEV GR SPORT",'中古車掲載'!J921=2023,ISNUMBER('中古車掲載'!N921),'中古車掲載'!N921&gt;=20000,'中古車掲載'!O921&lt;=100000,'中古車掲載'!AL921=1,'中古車掲載'!Z921="https://www.one2car.com/en/cars-for-sale/toyota/corolla-cross/year-2023"),'中古車掲載'!U921,"")</x:f>
      </x:c>
      <x:c r="BH920" t="str">
        <x:f>IF(AND('中古車掲載'!C921="One2car",'中古車掲載'!F921="DOLPHIN",'中古車掲載'!L921="STANDARD RANGE",'中古車掲載'!J921=2023,ISNUMBER('中古車掲載'!N921),'中古車掲載'!N921&gt;=20000,'中古車掲載'!O921&lt;=100000,'中古車掲載'!AL921=1),'中古車掲載'!U921,"")</x:f>
      </x:c>
      <x:c r="BI920" t="str">
        <x:v>Taladrod|Hilux Revo|不明|Unknown</x:v>
      </x:c>
      <x:c r="BJ920" t="n">
        <x:v>921</x:v>
      </x:c>
      <x:c r="BK920" t="n">
        <x:f>'中古車掲載'!AM921</x:f>
        <x:v>360000</x:v>
      </x:c>
      <x:c r="BL920" t="str">
        <x:f>IF(ISNUMBER('中古車掲載'!AN921),'中古車掲載'!AN921,"")</x:f>
      </x:c>
    </x:row>
    <x:row r="921">
      <x:c r="AZ921" t="str">
        <x:f>IF(AND('中古車掲載'!C922="One2car",'中古車掲載'!F922="ATTO 3",'中古車掲載'!L922="EXTENDED RANGE",'中古車掲載'!J922=2023,ISNUMBER('中古車掲載'!N922),'中古車掲載'!N922&gt;=20000,'中古車掲載'!O922&lt;=100000,'中古車掲載'!AL922=1),'中古車掲載'!U922,"")</x:f>
      </x:c>
      <x:c r="BA921" t="str">
        <x:f>IF(AND('中古車掲載'!C922="One2car",'中古車掲載'!F922="Corolla Cross",'中古車掲載'!L922="HEV PREMIUM SAFETY",'中古車掲載'!J922=2023,ISNUMBER('中古車掲載'!N922),'中古車掲載'!N922&gt;=20000,'中古車掲載'!O922&lt;=100000,'中古車掲載'!AL922=1,'中古車掲載'!Z922="https://www.one2car.com/en/cars-for-sale/toyota/corolla-cross/year-2023"),'中古車掲載'!U922,"")</x:f>
      </x:c>
      <x:c r="BB921" t="str">
        <x:f>IF(AND('中古車掲載'!C922="One2car",'中古車掲載'!F922="ATTO 3",'中古車掲載'!L922="EXTENDED RANGE",'中古車掲載'!J922=2023,ISNUMBER('中古車掲載'!N922),'中古車掲載'!N922&gt;=50000,'中古車掲載'!O922&lt;=100000,'中古車掲載'!AL922=1),'中古車掲載'!U922,"")</x:f>
      </x:c>
      <x:c r="BC921" t="str">
        <x:f>IF(AND('中古車掲載'!C922="One2car",'中古車掲載'!F922="Corolla Cross",'中古車掲載'!L922="HEV PREMIUM SAFETY",'中古車掲載'!J922=2023,ISNUMBER('中古車掲載'!N922),'中古車掲載'!N922&gt;=50000,'中古車掲載'!O922&lt;=100000,'中古車掲載'!AL922=1,'中古車掲載'!Z922="https://www.one2car.com/en/cars-for-sale/toyota/corolla-cross/year-2023"),'中古車掲載'!U922,"")</x:f>
      </x:c>
      <x:c r="BD921" t="str">
        <x:f>IF(AND('中古車掲載'!C922="One2car",'中古車掲載'!F922="ATTO 3",'中古車掲載'!L922="EXTENDED RANGE",'中古車掲載'!J922=2023,ISNUMBER('中古車掲載'!N922),'中古車掲載'!N922&gt;=20000,'中古車掲載'!O922&lt;=50000,'中古車掲載'!AL922=1),'中古車掲載'!U922,"")</x:f>
      </x:c>
      <x:c r="BE921" t="str">
        <x:f>IF(AND('中古車掲載'!C922="One2car",'中古車掲載'!F922="Corolla Cross",'中古車掲載'!L922="HEV PREMIUM SAFETY",'中古車掲載'!J922=2023,ISNUMBER('中古車掲載'!N922),'中古車掲載'!N922&gt;=20000,'中古車掲載'!O922&lt;=50000,'中古車掲載'!AL922=1,'中古車掲載'!Z922="https://www.one2car.com/en/cars-for-sale/toyota/corolla-cross/year-2023"),'中古車掲載'!U922,"")</x:f>
      </x:c>
      <x:c r="BF921" t="str">
        <x:f>IF(AND('中古車掲載'!C922="One2car",'中古車掲載'!F922="Corolla Cross",'中古車掲載'!L922="HEV PREMIUM",'中古車掲載'!J922=2023,ISNUMBER('中古車掲載'!N922),'中古車掲載'!N922&gt;=20000,'中古車掲載'!O922&lt;=100000,'中古車掲載'!AL922=1,'中古車掲載'!Z922="https://www.one2car.com/en/cars-for-sale/toyota/corolla-cross/year-2023"),'中古車掲載'!U922,"")</x:f>
      </x:c>
      <x:c r="BG921" t="str">
        <x:f>IF(AND('中古車掲載'!C922="One2car",'中古車掲載'!F922="Corolla Cross",'中古車掲載'!L922="HEV GR SPORT",'中古車掲載'!J922=2023,ISNUMBER('中古車掲載'!N922),'中古車掲載'!N922&gt;=20000,'中古車掲載'!O922&lt;=100000,'中古車掲載'!AL922=1,'中古車掲載'!Z922="https://www.one2car.com/en/cars-for-sale/toyota/corolla-cross/year-2023"),'中古車掲載'!U922,"")</x:f>
      </x:c>
      <x:c r="BH921" t="str">
        <x:f>IF(AND('中古車掲載'!C922="One2car",'中古車掲載'!F922="DOLPHIN",'中古車掲載'!L922="STANDARD RANGE",'中古車掲載'!J922=2023,ISNUMBER('中古車掲載'!N922),'中古車掲載'!N922&gt;=20000,'中古車掲載'!O922&lt;=100000,'中古車掲載'!AL922=1),'中古車掲載'!U922,"")</x:f>
      </x:c>
      <x:c r="BI921" t="str">
        <x:v>Taladrod|M6|BEV|Unknown</x:v>
      </x:c>
      <x:c r="BJ921" t="n">
        <x:v>922</x:v>
      </x:c>
      <x:c r="BK921" t="n">
        <x:f>'中古車掲載'!AM922</x:f>
        <x:v>699000</x:v>
      </x:c>
      <x:c r="BL921" t="str">
        <x:f>IF(ISNUMBER('中古車掲載'!AN922),'中古車掲載'!AN922,"")</x:f>
      </x:c>
    </x:row>
    <x:row r="922">
      <x:c r="AZ922" t="str">
        <x:f>IF(AND('中古車掲載'!C923="One2car",'中古車掲載'!F923="ATTO 3",'中古車掲載'!L923="EXTENDED RANGE",'中古車掲載'!J923=2023,ISNUMBER('中古車掲載'!N923),'中古車掲載'!N923&gt;=20000,'中古車掲載'!O923&lt;=100000,'中古車掲載'!AL923=1),'中古車掲載'!U923,"")</x:f>
      </x:c>
      <x:c r="BA922" t="str">
        <x:f>IF(AND('中古車掲載'!C923="One2car",'中古車掲載'!F923="Corolla Cross",'中古車掲載'!L923="HEV PREMIUM SAFETY",'中古車掲載'!J923=2023,ISNUMBER('中古車掲載'!N923),'中古車掲載'!N923&gt;=20000,'中古車掲載'!O923&lt;=100000,'中古車掲載'!AL923=1,'中古車掲載'!Z923="https://www.one2car.com/en/cars-for-sale/toyota/corolla-cross/year-2023"),'中古車掲載'!U923,"")</x:f>
      </x:c>
      <x:c r="BB922" t="str">
        <x:f>IF(AND('中古車掲載'!C923="One2car",'中古車掲載'!F923="ATTO 3",'中古車掲載'!L923="EXTENDED RANGE",'中古車掲載'!J923=2023,ISNUMBER('中古車掲載'!N923),'中古車掲載'!N923&gt;=50000,'中古車掲載'!O923&lt;=100000,'中古車掲載'!AL923=1),'中古車掲載'!U923,"")</x:f>
      </x:c>
      <x:c r="BC922" t="str">
        <x:f>IF(AND('中古車掲載'!C923="One2car",'中古車掲載'!F923="Corolla Cross",'中古車掲載'!L923="HEV PREMIUM SAFETY",'中古車掲載'!J923=2023,ISNUMBER('中古車掲載'!N923),'中古車掲載'!N923&gt;=50000,'中古車掲載'!O923&lt;=100000,'中古車掲載'!AL923=1,'中古車掲載'!Z923="https://www.one2car.com/en/cars-for-sale/toyota/corolla-cross/year-2023"),'中古車掲載'!U923,"")</x:f>
      </x:c>
      <x:c r="BD922" t="str">
        <x:f>IF(AND('中古車掲載'!C923="One2car",'中古車掲載'!F923="ATTO 3",'中古車掲載'!L923="EXTENDED RANGE",'中古車掲載'!J923=2023,ISNUMBER('中古車掲載'!N923),'中古車掲載'!N923&gt;=20000,'中古車掲載'!O923&lt;=50000,'中古車掲載'!AL923=1),'中古車掲載'!U923,"")</x:f>
      </x:c>
      <x:c r="BE922" t="str">
        <x:f>IF(AND('中古車掲載'!C923="One2car",'中古車掲載'!F923="Corolla Cross",'中古車掲載'!L923="HEV PREMIUM SAFETY",'中古車掲載'!J923=2023,ISNUMBER('中古車掲載'!N923),'中古車掲載'!N923&gt;=20000,'中古車掲載'!O923&lt;=50000,'中古車掲載'!AL923=1,'中古車掲載'!Z923="https://www.one2car.com/en/cars-for-sale/toyota/corolla-cross/year-2023"),'中古車掲載'!U923,"")</x:f>
      </x:c>
      <x:c r="BF922" t="str">
        <x:f>IF(AND('中古車掲載'!C923="One2car",'中古車掲載'!F923="Corolla Cross",'中古車掲載'!L923="HEV PREMIUM",'中古車掲載'!J923=2023,ISNUMBER('中古車掲載'!N923),'中古車掲載'!N923&gt;=20000,'中古車掲載'!O923&lt;=100000,'中古車掲載'!AL923=1,'中古車掲載'!Z923="https://www.one2car.com/en/cars-for-sale/toyota/corolla-cross/year-2023"),'中古車掲載'!U923,"")</x:f>
      </x:c>
      <x:c r="BG922" t="str">
        <x:f>IF(AND('中古車掲載'!C923="One2car",'中古車掲載'!F923="Corolla Cross",'中古車掲載'!L923="HEV GR SPORT",'中古車掲載'!J923=2023,ISNUMBER('中古車掲載'!N923),'中古車掲載'!N923&gt;=20000,'中古車掲載'!O923&lt;=100000,'中古車掲載'!AL923=1,'中古車掲載'!Z923="https://www.one2car.com/en/cars-for-sale/toyota/corolla-cross/year-2023"),'中古車掲載'!U923,"")</x:f>
      </x:c>
      <x:c r="BH922" t="str">
        <x:f>IF(AND('中古車掲載'!C923="One2car",'中古車掲載'!F923="DOLPHIN",'中古車掲載'!L923="STANDARD RANGE",'中古車掲載'!J923=2023,ISNUMBER('中古車掲載'!N923),'中古車掲載'!N923&gt;=20000,'中古車掲載'!O923&lt;=100000,'中古車掲載'!AL923=1),'中古車掲載'!U923,"")</x:f>
      </x:c>
      <x:c r="BI922" t="str">
        <x:v>Taladrod|M6|BEV|Unknown</x:v>
      </x:c>
      <x:c r="BJ922" t="n">
        <x:v>923</x:v>
      </x:c>
      <x:c r="BK922" t="n">
        <x:f>'中古車掲載'!AM923</x:f>
        <x:v>599000</x:v>
      </x:c>
      <x:c r="BL922" t="n">
        <x:f>IF(ISNUMBER('中古車掲載'!AN923),'中古車掲載'!AN923,"")</x:f>
        <x:v>0.7217737076756235</x:v>
      </x:c>
    </x:row>
    <x:row r="923">
      <x:c r="AZ923" t="str">
        <x:f>IF(AND('中古車掲載'!C924="One2car",'中古車掲載'!F924="ATTO 3",'中古車掲載'!L924="EXTENDED RANGE",'中古車掲載'!J924=2023,ISNUMBER('中古車掲載'!N924),'中古車掲載'!N924&gt;=20000,'中古車掲載'!O924&lt;=100000,'中古車掲載'!AL924=1),'中古車掲載'!U924,"")</x:f>
      </x:c>
      <x:c r="BA923" t="str">
        <x:f>IF(AND('中古車掲載'!C924="One2car",'中古車掲載'!F924="Corolla Cross",'中古車掲載'!L924="HEV PREMIUM SAFETY",'中古車掲載'!J924=2023,ISNUMBER('中古車掲載'!N924),'中古車掲載'!N924&gt;=20000,'中古車掲載'!O924&lt;=100000,'中古車掲載'!AL924=1,'中古車掲載'!Z924="https://www.one2car.com/en/cars-for-sale/toyota/corolla-cross/year-2023"),'中古車掲載'!U924,"")</x:f>
      </x:c>
      <x:c r="BB923" t="str">
        <x:f>IF(AND('中古車掲載'!C924="One2car",'中古車掲載'!F924="ATTO 3",'中古車掲載'!L924="EXTENDED RANGE",'中古車掲載'!J924=2023,ISNUMBER('中古車掲載'!N924),'中古車掲載'!N924&gt;=50000,'中古車掲載'!O924&lt;=100000,'中古車掲載'!AL924=1),'中古車掲載'!U924,"")</x:f>
      </x:c>
      <x:c r="BC923" t="str">
        <x:f>IF(AND('中古車掲載'!C924="One2car",'中古車掲載'!F924="Corolla Cross",'中古車掲載'!L924="HEV PREMIUM SAFETY",'中古車掲載'!J924=2023,ISNUMBER('中古車掲載'!N924),'中古車掲載'!N924&gt;=50000,'中古車掲載'!O924&lt;=100000,'中古車掲載'!AL924=1,'中古車掲載'!Z924="https://www.one2car.com/en/cars-for-sale/toyota/corolla-cross/year-2023"),'中古車掲載'!U924,"")</x:f>
      </x:c>
      <x:c r="BD923" t="str">
        <x:f>IF(AND('中古車掲載'!C924="One2car",'中古車掲載'!F924="ATTO 3",'中古車掲載'!L924="EXTENDED RANGE",'中古車掲載'!J924=2023,ISNUMBER('中古車掲載'!N924),'中古車掲載'!N924&gt;=20000,'中古車掲載'!O924&lt;=50000,'中古車掲載'!AL924=1),'中古車掲載'!U924,"")</x:f>
      </x:c>
      <x:c r="BE923" t="str">
        <x:f>IF(AND('中古車掲載'!C924="One2car",'中古車掲載'!F924="Corolla Cross",'中古車掲載'!L924="HEV PREMIUM SAFETY",'中古車掲載'!J924=2023,ISNUMBER('中古車掲載'!N924),'中古車掲載'!N924&gt;=20000,'中古車掲載'!O924&lt;=50000,'中古車掲載'!AL924=1,'中古車掲載'!Z924="https://www.one2car.com/en/cars-for-sale/toyota/corolla-cross/year-2023"),'中古車掲載'!U924,"")</x:f>
      </x:c>
      <x:c r="BF923" t="str">
        <x:f>IF(AND('中古車掲載'!C924="One2car",'中古車掲載'!F924="Corolla Cross",'中古車掲載'!L924="HEV PREMIUM",'中古車掲載'!J924=2023,ISNUMBER('中古車掲載'!N924),'中古車掲載'!N924&gt;=20000,'中古車掲載'!O924&lt;=100000,'中古車掲載'!AL924=1,'中古車掲載'!Z924="https://www.one2car.com/en/cars-for-sale/toyota/corolla-cross/year-2023"),'中古車掲載'!U924,"")</x:f>
      </x:c>
      <x:c r="BG923" t="str">
        <x:f>IF(AND('中古車掲載'!C924="One2car",'中古車掲載'!F924="Corolla Cross",'中古車掲載'!L924="HEV GR SPORT",'中古車掲載'!J924=2023,ISNUMBER('中古車掲載'!N924),'中古車掲載'!N924&gt;=20000,'中古車掲載'!O924&lt;=100000,'中古車掲載'!AL924=1,'中古車掲載'!Z924="https://www.one2car.com/en/cars-for-sale/toyota/corolla-cross/year-2023"),'中古車掲載'!U924,"")</x:f>
      </x:c>
      <x:c r="BH923" t="str">
        <x:f>IF(AND('中古車掲載'!C924="One2car",'中古車掲載'!F924="DOLPHIN",'中古車掲載'!L924="STANDARD RANGE",'中古車掲載'!J924=2023,ISNUMBER('中古車掲載'!N924),'中古車掲載'!N924&gt;=20000,'中古車掲載'!O924&lt;=100000,'中古車掲載'!AL924=1),'中古車掲載'!U924,"")</x:f>
      </x:c>
      <x:c r="BI923" t="str">
        <x:v>Taladrod|SEAL|BEV|Unknown</x:v>
      </x:c>
      <x:c r="BJ923" t="n">
        <x:v>924</x:v>
      </x:c>
      <x:c r="BK923" t="n">
        <x:f>'中古車掲載'!AM924</x:f>
        <x:v>699000</x:v>
      </x:c>
      <x:c r="BL923" t="n">
        <x:f>IF(ISNUMBER('中古車掲載'!AN924),'中古車掲載'!AN924,"")</x:f>
        <x:v>0.4824016563146998</x:v>
      </x:c>
    </x:row>
    <x:row r="924">
      <x:c r="AZ924" t="str">
        <x:f>IF(AND('中古車掲載'!C925="One2car",'中古車掲載'!F925="ATTO 3",'中古車掲載'!L925="EXTENDED RANGE",'中古車掲載'!J925=2023,ISNUMBER('中古車掲載'!N925),'中古車掲載'!N925&gt;=20000,'中古車掲載'!O925&lt;=100000,'中古車掲載'!AL925=1),'中古車掲載'!U925,"")</x:f>
      </x:c>
      <x:c r="BA924" t="str">
        <x:f>IF(AND('中古車掲載'!C925="One2car",'中古車掲載'!F925="Corolla Cross",'中古車掲載'!L925="HEV PREMIUM SAFETY",'中古車掲載'!J925=2023,ISNUMBER('中古車掲載'!N925),'中古車掲載'!N925&gt;=20000,'中古車掲載'!O925&lt;=100000,'中古車掲載'!AL925=1,'中古車掲載'!Z925="https://www.one2car.com/en/cars-for-sale/toyota/corolla-cross/year-2023"),'中古車掲載'!U925,"")</x:f>
      </x:c>
      <x:c r="BB924" t="str">
        <x:f>IF(AND('中古車掲載'!C925="One2car",'中古車掲載'!F925="ATTO 3",'中古車掲載'!L925="EXTENDED RANGE",'中古車掲載'!J925=2023,ISNUMBER('中古車掲載'!N925),'中古車掲載'!N925&gt;=50000,'中古車掲載'!O925&lt;=100000,'中古車掲載'!AL925=1),'中古車掲載'!U925,"")</x:f>
      </x:c>
      <x:c r="BC924" t="str">
        <x:f>IF(AND('中古車掲載'!C925="One2car",'中古車掲載'!F925="Corolla Cross",'中古車掲載'!L925="HEV PREMIUM SAFETY",'中古車掲載'!J925=2023,ISNUMBER('中古車掲載'!N925),'中古車掲載'!N925&gt;=50000,'中古車掲載'!O925&lt;=100000,'中古車掲載'!AL925=1,'中古車掲載'!Z925="https://www.one2car.com/en/cars-for-sale/toyota/corolla-cross/year-2023"),'中古車掲載'!U925,"")</x:f>
      </x:c>
      <x:c r="BD924" t="str">
        <x:f>IF(AND('中古車掲載'!C925="One2car",'中古車掲載'!F925="ATTO 3",'中古車掲載'!L925="EXTENDED RANGE",'中古車掲載'!J925=2023,ISNUMBER('中古車掲載'!N925),'中古車掲載'!N925&gt;=20000,'中古車掲載'!O925&lt;=50000,'中古車掲載'!AL925=1),'中古車掲載'!U925,"")</x:f>
      </x:c>
      <x:c r="BE924" t="str">
        <x:f>IF(AND('中古車掲載'!C925="One2car",'中古車掲載'!F925="Corolla Cross",'中古車掲載'!L925="HEV PREMIUM SAFETY",'中古車掲載'!J925=2023,ISNUMBER('中古車掲載'!N925),'中古車掲載'!N925&gt;=20000,'中古車掲載'!O925&lt;=50000,'中古車掲載'!AL925=1,'中古車掲載'!Z925="https://www.one2car.com/en/cars-for-sale/toyota/corolla-cross/year-2023"),'中古車掲載'!U925,"")</x:f>
      </x:c>
      <x:c r="BF924" t="str">
        <x:f>IF(AND('中古車掲載'!C925="One2car",'中古車掲載'!F925="Corolla Cross",'中古車掲載'!L925="HEV PREMIUM",'中古車掲載'!J925=2023,ISNUMBER('中古車掲載'!N925),'中古車掲載'!N925&gt;=20000,'中古車掲載'!O925&lt;=100000,'中古車掲載'!AL925=1,'中古車掲載'!Z925="https://www.one2car.com/en/cars-for-sale/toyota/corolla-cross/year-2023"),'中古車掲載'!U925,"")</x:f>
      </x:c>
      <x:c r="BG924" t="str">
        <x:f>IF(AND('中古車掲載'!C925="One2car",'中古車掲載'!F925="Corolla Cross",'中古車掲載'!L925="HEV GR SPORT",'中古車掲載'!J925=2023,ISNUMBER('中古車掲載'!N925),'中古車掲載'!N925&gt;=20000,'中古車掲載'!O925&lt;=100000,'中古車掲載'!AL925=1,'中古車掲載'!Z925="https://www.one2car.com/en/cars-for-sale/toyota/corolla-cross/year-2023"),'中古車掲載'!U925,"")</x:f>
      </x:c>
      <x:c r="BH924" t="str">
        <x:f>IF(AND('中古車掲載'!C925="One2car",'中古車掲載'!F925="DOLPHIN",'中古車掲載'!L925="STANDARD RANGE",'中古車掲載'!J925=2023,ISNUMBER('中古車掲載'!N925),'中古車掲載'!N925&gt;=20000,'中古車掲載'!O925&lt;=100000,'中古車掲載'!AL925=1),'中古車掲載'!U925,"")</x:f>
      </x:c>
      <x:c r="BI924" t="str">
        <x:v>Taladrod|SEAL|BEV|Unknown</x:v>
      </x:c>
      <x:c r="BJ924" t="n">
        <x:v>925</x:v>
      </x:c>
      <x:c r="BK924" t="n">
        <x:f>'中古車掲載'!AM925</x:f>
        <x:v>799000</x:v>
      </x:c>
      <x:c r="BL924" t="n">
        <x:f>IF(ISNUMBER('中古車掲載'!AN925),'中古車掲載'!AN925,"")</x:f>
        <x:v>0.4996873045653533</x:v>
      </x:c>
    </x:row>
    <x:row r="925">
      <x:c r="AZ925" t="str">
        <x:f>IF(AND('中古車掲載'!C926="One2car",'中古車掲載'!F926="ATTO 3",'中古車掲載'!L926="EXTENDED RANGE",'中古車掲載'!J926=2023,ISNUMBER('中古車掲載'!N926),'中古車掲載'!N926&gt;=20000,'中古車掲載'!O926&lt;=100000,'中古車掲載'!AL926=1),'中古車掲載'!U926,"")</x:f>
      </x:c>
      <x:c r="BA925" t="str">
        <x:f>IF(AND('中古車掲載'!C926="One2car",'中古車掲載'!F926="Corolla Cross",'中古車掲載'!L926="HEV PREMIUM SAFETY",'中古車掲載'!J926=2023,ISNUMBER('中古車掲載'!N926),'中古車掲載'!N926&gt;=20000,'中古車掲載'!O926&lt;=100000,'中古車掲載'!AL926=1,'中古車掲載'!Z926="https://www.one2car.com/en/cars-for-sale/toyota/corolla-cross/year-2023"),'中古車掲載'!U926,"")</x:f>
      </x:c>
      <x:c r="BB925" t="str">
        <x:f>IF(AND('中古車掲載'!C926="One2car",'中古車掲載'!F926="ATTO 3",'中古車掲載'!L926="EXTENDED RANGE",'中古車掲載'!J926=2023,ISNUMBER('中古車掲載'!N926),'中古車掲載'!N926&gt;=50000,'中古車掲載'!O926&lt;=100000,'中古車掲載'!AL926=1),'中古車掲載'!U926,"")</x:f>
      </x:c>
      <x:c r="BC925" t="str">
        <x:f>IF(AND('中古車掲載'!C926="One2car",'中古車掲載'!F926="Corolla Cross",'中古車掲載'!L926="HEV PREMIUM SAFETY",'中古車掲載'!J926=2023,ISNUMBER('中古車掲載'!N926),'中古車掲載'!N926&gt;=50000,'中古車掲載'!O926&lt;=100000,'中古車掲載'!AL926=1,'中古車掲載'!Z926="https://www.one2car.com/en/cars-for-sale/toyota/corolla-cross/year-2023"),'中古車掲載'!U926,"")</x:f>
      </x:c>
      <x:c r="BD925" t="str">
        <x:f>IF(AND('中古車掲載'!C926="One2car",'中古車掲載'!F926="ATTO 3",'中古車掲載'!L926="EXTENDED RANGE",'中古車掲載'!J926=2023,ISNUMBER('中古車掲載'!N926),'中古車掲載'!N926&gt;=20000,'中古車掲載'!O926&lt;=50000,'中古車掲載'!AL926=1),'中古車掲載'!U926,"")</x:f>
      </x:c>
      <x:c r="BE925" t="str">
        <x:f>IF(AND('中古車掲載'!C926="One2car",'中古車掲載'!F926="Corolla Cross",'中古車掲載'!L926="HEV PREMIUM SAFETY",'中古車掲載'!J926=2023,ISNUMBER('中古車掲載'!N926),'中古車掲載'!N926&gt;=20000,'中古車掲載'!O926&lt;=50000,'中古車掲載'!AL926=1,'中古車掲載'!Z926="https://www.one2car.com/en/cars-for-sale/toyota/corolla-cross/year-2023"),'中古車掲載'!U926,"")</x:f>
      </x:c>
      <x:c r="BF925" t="str">
        <x:f>IF(AND('中古車掲載'!C926="One2car",'中古車掲載'!F926="Corolla Cross",'中古車掲載'!L926="HEV PREMIUM",'中古車掲載'!J926=2023,ISNUMBER('中古車掲載'!N926),'中古車掲載'!N926&gt;=20000,'中古車掲載'!O926&lt;=100000,'中古車掲載'!AL926=1,'中古車掲載'!Z926="https://www.one2car.com/en/cars-for-sale/toyota/corolla-cross/year-2023"),'中古車掲載'!U926,"")</x:f>
      </x:c>
      <x:c r="BG925" t="str">
        <x:f>IF(AND('中古車掲載'!C926="One2car",'中古車掲載'!F926="Corolla Cross",'中古車掲載'!L926="HEV GR SPORT",'中古車掲載'!J926=2023,ISNUMBER('中古車掲載'!N926),'中古車掲載'!N926&gt;=20000,'中古車掲載'!O926&lt;=100000,'中古車掲載'!AL926=1,'中古車掲載'!Z926="https://www.one2car.com/en/cars-for-sale/toyota/corolla-cross/year-2023"),'中古車掲載'!U926,"")</x:f>
      </x:c>
      <x:c r="BH925" t="str">
        <x:f>IF(AND('中古車掲載'!C926="One2car",'中古車掲載'!F926="DOLPHIN",'中古車掲載'!L926="STANDARD RANGE",'中古車掲載'!J926=2023,ISNUMBER('中古車掲載'!N926),'中古車掲載'!N926&gt;=20000,'中古車掲載'!O926&lt;=100000,'中古車掲載'!AL926=1),'中古車掲載'!U926,"")</x:f>
      </x:c>
      <x:c r="BI925" t="str">
        <x:v>Taladrod|SEAL|BEV|Unknown</x:v>
      </x:c>
      <x:c r="BJ925" t="n">
        <x:v>926</x:v>
      </x:c>
      <x:c r="BK925" t="n">
        <x:f>'中古車掲載'!AM926</x:f>
        <x:v>659000</x:v>
      </x:c>
      <x:c r="BL925" t="n">
        <x:f>IF(ISNUMBER('中古車掲載'!AN926),'中古車掲載'!AN926,"")</x:f>
        <x:v>0.49735849056603776</x:v>
      </x:c>
    </x:row>
    <x:row r="926">
      <x:c r="AZ926" t="str">
        <x:f>IF(AND('中古車掲載'!C927="One2car",'中古車掲載'!F927="ATTO 3",'中古車掲載'!L927="EXTENDED RANGE",'中古車掲載'!J927=2023,ISNUMBER('中古車掲載'!N927),'中古車掲載'!N927&gt;=20000,'中古車掲載'!O927&lt;=100000,'中古車掲載'!AL927=1),'中古車掲載'!U927,"")</x:f>
      </x:c>
      <x:c r="BA926" t="str">
        <x:f>IF(AND('中古車掲載'!C927="One2car",'中古車掲載'!F927="Corolla Cross",'中古車掲載'!L927="HEV PREMIUM SAFETY",'中古車掲載'!J927=2023,ISNUMBER('中古車掲載'!N927),'中古車掲載'!N927&gt;=20000,'中古車掲載'!O927&lt;=100000,'中古車掲載'!AL927=1,'中古車掲載'!Z927="https://www.one2car.com/en/cars-for-sale/toyota/corolla-cross/year-2023"),'中古車掲載'!U927,"")</x:f>
      </x:c>
      <x:c r="BB926" t="str">
        <x:f>IF(AND('中古車掲載'!C927="One2car",'中古車掲載'!F927="ATTO 3",'中古車掲載'!L927="EXTENDED RANGE",'中古車掲載'!J927=2023,ISNUMBER('中古車掲載'!N927),'中古車掲載'!N927&gt;=50000,'中古車掲載'!O927&lt;=100000,'中古車掲載'!AL927=1),'中古車掲載'!U927,"")</x:f>
      </x:c>
      <x:c r="BC926" t="str">
        <x:f>IF(AND('中古車掲載'!C927="One2car",'中古車掲載'!F927="Corolla Cross",'中古車掲載'!L927="HEV PREMIUM SAFETY",'中古車掲載'!J927=2023,ISNUMBER('中古車掲載'!N927),'中古車掲載'!N927&gt;=50000,'中古車掲載'!O927&lt;=100000,'中古車掲載'!AL927=1,'中古車掲載'!Z927="https://www.one2car.com/en/cars-for-sale/toyota/corolla-cross/year-2023"),'中古車掲載'!U927,"")</x:f>
      </x:c>
      <x:c r="BD926" t="str">
        <x:f>IF(AND('中古車掲載'!C927="One2car",'中古車掲載'!F927="ATTO 3",'中古車掲載'!L927="EXTENDED RANGE",'中古車掲載'!J927=2023,ISNUMBER('中古車掲載'!N927),'中古車掲載'!N927&gt;=20000,'中古車掲載'!O927&lt;=50000,'中古車掲載'!AL927=1),'中古車掲載'!U927,"")</x:f>
      </x:c>
      <x:c r="BE926" t="str">
        <x:f>IF(AND('中古車掲載'!C927="One2car",'中古車掲載'!F927="Corolla Cross",'中古車掲載'!L927="HEV PREMIUM SAFETY",'中古車掲載'!J927=2023,ISNUMBER('中古車掲載'!N927),'中古車掲載'!N927&gt;=20000,'中古車掲載'!O927&lt;=50000,'中古車掲載'!AL927=1,'中古車掲載'!Z927="https://www.one2car.com/en/cars-for-sale/toyota/corolla-cross/year-2023"),'中古車掲載'!U927,"")</x:f>
      </x:c>
      <x:c r="BF926" t="str">
        <x:f>IF(AND('中古車掲載'!C927="One2car",'中古車掲載'!F927="Corolla Cross",'中古車掲載'!L927="HEV PREMIUM",'中古車掲載'!J927=2023,ISNUMBER('中古車掲載'!N927),'中古車掲載'!N927&gt;=20000,'中古車掲載'!O927&lt;=100000,'中古車掲載'!AL927=1,'中古車掲載'!Z927="https://www.one2car.com/en/cars-for-sale/toyota/corolla-cross/year-2023"),'中古車掲載'!U927,"")</x:f>
      </x:c>
      <x:c r="BG926" t="str">
        <x:f>IF(AND('中古車掲載'!C927="One2car",'中古車掲載'!F927="Corolla Cross",'中古車掲載'!L927="HEV GR SPORT",'中古車掲載'!J927=2023,ISNUMBER('中古車掲載'!N927),'中古車掲載'!N927&gt;=20000,'中古車掲載'!O927&lt;=100000,'中古車掲載'!AL927=1,'中古車掲載'!Z927="https://www.one2car.com/en/cars-for-sale/toyota/corolla-cross/year-2023"),'中古車掲載'!U927,"")</x:f>
      </x:c>
      <x:c r="BH926" t="str">
        <x:f>IF(AND('中古車掲載'!C927="One2car",'中古車掲載'!F927="DOLPHIN",'中古車掲載'!L927="STANDARD RANGE",'中古車掲載'!J927=2023,ISNUMBER('中古車掲載'!N927),'中古車掲載'!N927&gt;=20000,'中古車掲載'!O927&lt;=100000,'中古車掲載'!AL927=1),'中古車掲載'!U927,"")</x:f>
      </x:c>
      <x:c r="BI926" t="str">
        <x:v>Taladrod|SEAL 5|PHEV|Unknown</x:v>
      </x:c>
      <x:c r="BJ926" t="n">
        <x:v>927</x:v>
      </x:c>
      <x:c r="BK926" t="str">
        <x:f>'中古車掲載'!AM927</x:f>
      </x:c>
      <x:c r="BL926" t="str">
        <x:f>IF(ISNUMBER('中古車掲載'!AN927),'中古車掲載'!AN927,"")</x:f>
      </x:c>
    </x:row>
    <x:row r="927">
      <x:c r="AZ927" t="str">
        <x:f>IF(AND('中古車掲載'!C928="One2car",'中古車掲載'!F928="ATTO 3",'中古車掲載'!L928="EXTENDED RANGE",'中古車掲載'!J928=2023,ISNUMBER('中古車掲載'!N928),'中古車掲載'!N928&gt;=20000,'中古車掲載'!O928&lt;=100000,'中古車掲載'!AL928=1),'中古車掲載'!U928,"")</x:f>
      </x:c>
      <x:c r="BA927" t="str">
        <x:f>IF(AND('中古車掲載'!C928="One2car",'中古車掲載'!F928="Corolla Cross",'中古車掲載'!L928="HEV PREMIUM SAFETY",'中古車掲載'!J928=2023,ISNUMBER('中古車掲載'!N928),'中古車掲載'!N928&gt;=20000,'中古車掲載'!O928&lt;=100000,'中古車掲載'!AL928=1,'中古車掲載'!Z928="https://www.one2car.com/en/cars-for-sale/toyota/corolla-cross/year-2023"),'中古車掲載'!U928,"")</x:f>
      </x:c>
      <x:c r="BB927" t="str">
        <x:f>IF(AND('中古車掲載'!C928="One2car",'中古車掲載'!F928="ATTO 3",'中古車掲載'!L928="EXTENDED RANGE",'中古車掲載'!J928=2023,ISNUMBER('中古車掲載'!N928),'中古車掲載'!N928&gt;=50000,'中古車掲載'!O928&lt;=100000,'中古車掲載'!AL928=1),'中古車掲載'!U928,"")</x:f>
      </x:c>
      <x:c r="BC927" t="str">
        <x:f>IF(AND('中古車掲載'!C928="One2car",'中古車掲載'!F928="Corolla Cross",'中古車掲載'!L928="HEV PREMIUM SAFETY",'中古車掲載'!J928=2023,ISNUMBER('中古車掲載'!N928),'中古車掲載'!N928&gt;=50000,'中古車掲載'!O928&lt;=100000,'中古車掲載'!AL928=1,'中古車掲載'!Z928="https://www.one2car.com/en/cars-for-sale/toyota/corolla-cross/year-2023"),'中古車掲載'!U928,"")</x:f>
      </x:c>
      <x:c r="BD927" t="str">
        <x:f>IF(AND('中古車掲載'!C928="One2car",'中古車掲載'!F928="ATTO 3",'中古車掲載'!L928="EXTENDED RANGE",'中古車掲載'!J928=2023,ISNUMBER('中古車掲載'!N928),'中古車掲載'!N928&gt;=20000,'中古車掲載'!O928&lt;=50000,'中古車掲載'!AL928=1),'中古車掲載'!U928,"")</x:f>
      </x:c>
      <x:c r="BE927" t="str">
        <x:f>IF(AND('中古車掲載'!C928="One2car",'中古車掲載'!F928="Corolla Cross",'中古車掲載'!L928="HEV PREMIUM SAFETY",'中古車掲載'!J928=2023,ISNUMBER('中古車掲載'!N928),'中古車掲載'!N928&gt;=20000,'中古車掲載'!O928&lt;=50000,'中古車掲載'!AL928=1,'中古車掲載'!Z928="https://www.one2car.com/en/cars-for-sale/toyota/corolla-cross/year-2023"),'中古車掲載'!U928,"")</x:f>
      </x:c>
      <x:c r="BF927" t="str">
        <x:f>IF(AND('中古車掲載'!C928="One2car",'中古車掲載'!F928="Corolla Cross",'中古車掲載'!L928="HEV PREMIUM",'中古車掲載'!J928=2023,ISNUMBER('中古車掲載'!N928),'中古車掲載'!N928&gt;=20000,'中古車掲載'!O928&lt;=100000,'中古車掲載'!AL928=1,'中古車掲載'!Z928="https://www.one2car.com/en/cars-for-sale/toyota/corolla-cross/year-2023"),'中古車掲載'!U928,"")</x:f>
      </x:c>
      <x:c r="BG927" t="str">
        <x:f>IF(AND('中古車掲載'!C928="One2car",'中古車掲載'!F928="Corolla Cross",'中古車掲載'!L928="HEV GR SPORT",'中古車掲載'!J928=2023,ISNUMBER('中古車掲載'!N928),'中古車掲載'!N928&gt;=20000,'中古車掲載'!O928&lt;=100000,'中古車掲載'!AL928=1,'中古車掲載'!Z928="https://www.one2car.com/en/cars-for-sale/toyota/corolla-cross/year-2023"),'中古車掲載'!U928,"")</x:f>
      </x:c>
      <x:c r="BH927" t="str">
        <x:f>IF(AND('中古車掲載'!C928="One2car",'中古車掲載'!F928="DOLPHIN",'中古車掲載'!L928="STANDARD RANGE",'中古車掲載'!J928=2023,ISNUMBER('中古車掲載'!N928),'中古車掲載'!N928&gt;=20000,'中古車掲載'!O928&lt;=100000,'中古車掲載'!AL928=1),'中古車掲載'!U928,"")</x:f>
      </x:c>
      <x:c r="BI927" t="str">
        <x:v>Taladrod|SEAL 5|PHEV|Unknown</x:v>
      </x:c>
      <x:c r="BJ927" t="n">
        <x:v>928</x:v>
      </x:c>
      <x:c r="BK927" t="str">
        <x:f>'中古車掲載'!AM928</x:f>
      </x:c>
      <x:c r="BL927" t="str">
        <x:f>IF(ISNUMBER('中古車掲載'!AN928),'中古車掲載'!AN928,"")</x:f>
      </x:c>
    </x:row>
    <x:row r="928">
      <x:c r="AZ928" t="str">
        <x:f>IF(AND('中古車掲載'!C929="One2car",'中古車掲載'!F929="ATTO 3",'中古車掲載'!L929="EXTENDED RANGE",'中古車掲載'!J929=2023,ISNUMBER('中古車掲載'!N929),'中古車掲載'!N929&gt;=20000,'中古車掲載'!O929&lt;=100000,'中古車掲載'!AL929=1),'中古車掲載'!U929,"")</x:f>
      </x:c>
      <x:c r="BA928" t="str">
        <x:f>IF(AND('中古車掲載'!C929="One2car",'中古車掲載'!F929="Corolla Cross",'中古車掲載'!L929="HEV PREMIUM SAFETY",'中古車掲載'!J929=2023,ISNUMBER('中古車掲載'!N929),'中古車掲載'!N929&gt;=20000,'中古車掲載'!O929&lt;=100000,'中古車掲載'!AL929=1,'中古車掲載'!Z929="https://www.one2car.com/en/cars-for-sale/toyota/corolla-cross/year-2023"),'中古車掲載'!U929,"")</x:f>
      </x:c>
      <x:c r="BB928" t="str">
        <x:f>IF(AND('中古車掲載'!C929="One2car",'中古車掲載'!F929="ATTO 3",'中古車掲載'!L929="EXTENDED RANGE",'中古車掲載'!J929=2023,ISNUMBER('中古車掲載'!N929),'中古車掲載'!N929&gt;=50000,'中古車掲載'!O929&lt;=100000,'中古車掲載'!AL929=1),'中古車掲載'!U929,"")</x:f>
      </x:c>
      <x:c r="BC928" t="str">
        <x:f>IF(AND('中古車掲載'!C929="One2car",'中古車掲載'!F929="Corolla Cross",'中古車掲載'!L929="HEV PREMIUM SAFETY",'中古車掲載'!J929=2023,ISNUMBER('中古車掲載'!N929),'中古車掲載'!N929&gt;=50000,'中古車掲載'!O929&lt;=100000,'中古車掲載'!AL929=1,'中古車掲載'!Z929="https://www.one2car.com/en/cars-for-sale/toyota/corolla-cross/year-2023"),'中古車掲載'!U929,"")</x:f>
      </x:c>
      <x:c r="BD928" t="str">
        <x:f>IF(AND('中古車掲載'!C929="One2car",'中古車掲載'!F929="ATTO 3",'中古車掲載'!L929="EXTENDED RANGE",'中古車掲載'!J929=2023,ISNUMBER('中古車掲載'!N929),'中古車掲載'!N929&gt;=20000,'中古車掲載'!O929&lt;=50000,'中古車掲載'!AL929=1),'中古車掲載'!U929,"")</x:f>
      </x:c>
      <x:c r="BE928" t="str">
        <x:f>IF(AND('中古車掲載'!C929="One2car",'中古車掲載'!F929="Corolla Cross",'中古車掲載'!L929="HEV PREMIUM SAFETY",'中古車掲載'!J929=2023,ISNUMBER('中古車掲載'!N929),'中古車掲載'!N929&gt;=20000,'中古車掲載'!O929&lt;=50000,'中古車掲載'!AL929=1,'中古車掲載'!Z929="https://www.one2car.com/en/cars-for-sale/toyota/corolla-cross/year-2023"),'中古車掲載'!U929,"")</x:f>
      </x:c>
      <x:c r="BF928" t="str">
        <x:f>IF(AND('中古車掲載'!C929="One2car",'中古車掲載'!F929="Corolla Cross",'中古車掲載'!L929="HEV PREMIUM",'中古車掲載'!J929=2023,ISNUMBER('中古車掲載'!N929),'中古車掲載'!N929&gt;=20000,'中古車掲載'!O929&lt;=100000,'中古車掲載'!AL929=1,'中古車掲載'!Z929="https://www.one2car.com/en/cars-for-sale/toyota/corolla-cross/year-2023"),'中古車掲載'!U929,"")</x:f>
      </x:c>
      <x:c r="BG928" t="str">
        <x:f>IF(AND('中古車掲載'!C929="One2car",'中古車掲載'!F929="Corolla Cross",'中古車掲載'!L929="HEV GR SPORT",'中古車掲載'!J929=2023,ISNUMBER('中古車掲載'!N929),'中古車掲載'!N929&gt;=20000,'中古車掲載'!O929&lt;=100000,'中古車掲載'!AL929=1,'中古車掲載'!Z929="https://www.one2car.com/en/cars-for-sale/toyota/corolla-cross/year-2023"),'中古車掲載'!U929,"")</x:f>
      </x:c>
      <x:c r="BH928" t="str">
        <x:f>IF(AND('中古車掲載'!C929="One2car",'中古車掲載'!F929="DOLPHIN",'中古車掲載'!L929="STANDARD RANGE",'中古車掲載'!J929=2023,ISNUMBER('中古車掲載'!N929),'中古車掲載'!N929&gt;=20000,'中古車掲載'!O929&lt;=100000,'中古車掲載'!AL929=1),'中古車掲載'!U929,"")</x:f>
      </x:c>
      <x:c r="BI928" t="str">
        <x:v>Taladrod|SEALION 6|PHEV|Unknown</x:v>
      </x:c>
      <x:c r="BJ928" t="n">
        <x:v>929</x:v>
      </x:c>
      <x:c r="BK928" t="n">
        <x:f>'中古車掲載'!AM929</x:f>
        <x:v>790000</x:v>
      </x:c>
      <x:c r="BL928" t="str">
        <x:f>IF(ISNUMBER('中古車掲載'!AN929),'中古車掲載'!AN929,"")</x:f>
      </x:c>
    </x:row>
    <x:row r="929">
      <x:c r="AZ929" t="str">
        <x:f>IF(AND('中古車掲載'!C930="One2car",'中古車掲載'!F930="ATTO 3",'中古車掲載'!L930="EXTENDED RANGE",'中古車掲載'!J930=2023,ISNUMBER('中古車掲載'!N930),'中古車掲載'!N930&gt;=20000,'中古車掲載'!O930&lt;=100000,'中古車掲載'!AL930=1),'中古車掲載'!U930,"")</x:f>
      </x:c>
      <x:c r="BA929" t="str">
        <x:f>IF(AND('中古車掲載'!C930="One2car",'中古車掲載'!F930="Corolla Cross",'中古車掲載'!L930="HEV PREMIUM SAFETY",'中古車掲載'!J930=2023,ISNUMBER('中古車掲載'!N930),'中古車掲載'!N930&gt;=20000,'中古車掲載'!O930&lt;=100000,'中古車掲載'!AL930=1,'中古車掲載'!Z930="https://www.one2car.com/en/cars-for-sale/toyota/corolla-cross/year-2023"),'中古車掲載'!U930,"")</x:f>
      </x:c>
      <x:c r="BB929" t="str">
        <x:f>IF(AND('中古車掲載'!C930="One2car",'中古車掲載'!F930="ATTO 3",'中古車掲載'!L930="EXTENDED RANGE",'中古車掲載'!J930=2023,ISNUMBER('中古車掲載'!N930),'中古車掲載'!N930&gt;=50000,'中古車掲載'!O930&lt;=100000,'中古車掲載'!AL930=1),'中古車掲載'!U930,"")</x:f>
      </x:c>
      <x:c r="BC929" t="str">
        <x:f>IF(AND('中古車掲載'!C930="One2car",'中古車掲載'!F930="Corolla Cross",'中古車掲載'!L930="HEV PREMIUM SAFETY",'中古車掲載'!J930=2023,ISNUMBER('中古車掲載'!N930),'中古車掲載'!N930&gt;=50000,'中古車掲載'!O930&lt;=100000,'中古車掲載'!AL930=1,'中古車掲載'!Z930="https://www.one2car.com/en/cars-for-sale/toyota/corolla-cross/year-2023"),'中古車掲載'!U930,"")</x:f>
      </x:c>
      <x:c r="BD929" t="str">
        <x:f>IF(AND('中古車掲載'!C930="One2car",'中古車掲載'!F930="ATTO 3",'中古車掲載'!L930="EXTENDED RANGE",'中古車掲載'!J930=2023,ISNUMBER('中古車掲載'!N930),'中古車掲載'!N930&gt;=20000,'中古車掲載'!O930&lt;=50000,'中古車掲載'!AL930=1),'中古車掲載'!U930,"")</x:f>
      </x:c>
      <x:c r="BE929" t="str">
        <x:f>IF(AND('中古車掲載'!C930="One2car",'中古車掲載'!F930="Corolla Cross",'中古車掲載'!L930="HEV PREMIUM SAFETY",'中古車掲載'!J930=2023,ISNUMBER('中古車掲載'!N930),'中古車掲載'!N930&gt;=20000,'中古車掲載'!O930&lt;=50000,'中古車掲載'!AL930=1,'中古車掲載'!Z930="https://www.one2car.com/en/cars-for-sale/toyota/corolla-cross/year-2023"),'中古車掲載'!U930,"")</x:f>
      </x:c>
      <x:c r="BF929" t="str">
        <x:f>IF(AND('中古車掲載'!C930="One2car",'中古車掲載'!F930="Corolla Cross",'中古車掲載'!L930="HEV PREMIUM",'中古車掲載'!J930=2023,ISNUMBER('中古車掲載'!N930),'中古車掲載'!N930&gt;=20000,'中古車掲載'!O930&lt;=100000,'中古車掲載'!AL930=1,'中古車掲載'!Z930="https://www.one2car.com/en/cars-for-sale/toyota/corolla-cross/year-2023"),'中古車掲載'!U930,"")</x:f>
      </x:c>
      <x:c r="BG929" t="str">
        <x:f>IF(AND('中古車掲載'!C930="One2car",'中古車掲載'!F930="Corolla Cross",'中古車掲載'!L930="HEV GR SPORT",'中古車掲載'!J930=2023,ISNUMBER('中古車掲載'!N930),'中古車掲載'!N930&gt;=20000,'中古車掲載'!O930&lt;=100000,'中古車掲載'!AL930=1,'中古車掲載'!Z930="https://www.one2car.com/en/cars-for-sale/toyota/corolla-cross/year-2023"),'中古車掲載'!U930,"")</x:f>
      </x:c>
      <x:c r="BH929" t="str">
        <x:f>IF(AND('中古車掲載'!C930="One2car",'中古車掲載'!F930="DOLPHIN",'中古車掲載'!L930="STANDARD RANGE",'中古車掲載'!J930=2023,ISNUMBER('中古車掲載'!N930),'中古車掲載'!N930&gt;=20000,'中古車掲載'!O930&lt;=100000,'中古車掲載'!AL930=1),'中古車掲載'!U930,"")</x:f>
      </x:c>
      <x:c r="BI929" t="str">
        <x:v>Taladrod|SEALION 6|PHEV|Unknown</x:v>
      </x:c>
      <x:c r="BJ929" t="n">
        <x:v>930</x:v>
      </x:c>
      <x:c r="BK929" t="n">
        <x:f>'中古車掲載'!AM930</x:f>
        <x:v>810000</x:v>
      </x:c>
      <x:c r="BL929" t="n">
        <x:f>IF(ISNUMBER('中古車掲載'!AN930),'中古車掲載'!AN930,"")</x:f>
        <x:v>0.7364305845985999</x:v>
      </x:c>
    </x:row>
    <x:row r="930">
      <x:c r="AZ930" t="str">
        <x:f>IF(AND('中古車掲載'!C931="One2car",'中古車掲載'!F931="ATTO 3",'中古車掲載'!L931="EXTENDED RANGE",'中古車掲載'!J931=2023,ISNUMBER('中古車掲載'!N931),'中古車掲載'!N931&gt;=20000,'中古車掲載'!O931&lt;=100000,'中古車掲載'!AL931=1),'中古車掲載'!U931,"")</x:f>
      </x:c>
      <x:c r="BA930" t="str">
        <x:f>IF(AND('中古車掲載'!C931="One2car",'中古車掲載'!F931="Corolla Cross",'中古車掲載'!L931="HEV PREMIUM SAFETY",'中古車掲載'!J931=2023,ISNUMBER('中古車掲載'!N931),'中古車掲載'!N931&gt;=20000,'中古車掲載'!O931&lt;=100000,'中古車掲載'!AL931=1,'中古車掲載'!Z931="https://www.one2car.com/en/cars-for-sale/toyota/corolla-cross/year-2023"),'中古車掲載'!U931,"")</x:f>
      </x:c>
      <x:c r="BB930" t="str">
        <x:f>IF(AND('中古車掲載'!C931="One2car",'中古車掲載'!F931="ATTO 3",'中古車掲載'!L931="EXTENDED RANGE",'中古車掲載'!J931=2023,ISNUMBER('中古車掲載'!N931),'中古車掲載'!N931&gt;=50000,'中古車掲載'!O931&lt;=100000,'中古車掲載'!AL931=1),'中古車掲載'!U931,"")</x:f>
      </x:c>
      <x:c r="BC930" t="str">
        <x:f>IF(AND('中古車掲載'!C931="One2car",'中古車掲載'!F931="Corolla Cross",'中古車掲載'!L931="HEV PREMIUM SAFETY",'中古車掲載'!J931=2023,ISNUMBER('中古車掲載'!N931),'中古車掲載'!N931&gt;=50000,'中古車掲載'!O931&lt;=100000,'中古車掲載'!AL931=1,'中古車掲載'!Z931="https://www.one2car.com/en/cars-for-sale/toyota/corolla-cross/year-2023"),'中古車掲載'!U931,"")</x:f>
      </x:c>
      <x:c r="BD930" t="str">
        <x:f>IF(AND('中古車掲載'!C931="One2car",'中古車掲載'!F931="ATTO 3",'中古車掲載'!L931="EXTENDED RANGE",'中古車掲載'!J931=2023,ISNUMBER('中古車掲載'!N931),'中古車掲載'!N931&gt;=20000,'中古車掲載'!O931&lt;=50000,'中古車掲載'!AL931=1),'中古車掲載'!U931,"")</x:f>
      </x:c>
      <x:c r="BE930" t="str">
        <x:f>IF(AND('中古車掲載'!C931="One2car",'中古車掲載'!F931="Corolla Cross",'中古車掲載'!L931="HEV PREMIUM SAFETY",'中古車掲載'!J931=2023,ISNUMBER('中古車掲載'!N931),'中古車掲載'!N931&gt;=20000,'中古車掲載'!O931&lt;=50000,'中古車掲載'!AL931=1,'中古車掲載'!Z931="https://www.one2car.com/en/cars-for-sale/toyota/corolla-cross/year-2023"),'中古車掲載'!U931,"")</x:f>
      </x:c>
      <x:c r="BF930" t="str">
        <x:f>IF(AND('中古車掲載'!C931="One2car",'中古車掲載'!F931="Corolla Cross",'中古車掲載'!L931="HEV PREMIUM",'中古車掲載'!J931=2023,ISNUMBER('中古車掲載'!N931),'中古車掲載'!N931&gt;=20000,'中古車掲載'!O931&lt;=100000,'中古車掲載'!AL931=1,'中古車掲載'!Z931="https://www.one2car.com/en/cars-for-sale/toyota/corolla-cross/year-2023"),'中古車掲載'!U931,"")</x:f>
      </x:c>
      <x:c r="BG930" t="str">
        <x:f>IF(AND('中古車掲載'!C931="One2car",'中古車掲載'!F931="Corolla Cross",'中古車掲載'!L931="HEV GR SPORT",'中古車掲載'!J931=2023,ISNUMBER('中古車掲載'!N931),'中古車掲載'!N931&gt;=20000,'中古車掲載'!O931&lt;=100000,'中古車掲載'!AL931=1,'中古車掲載'!Z931="https://www.one2car.com/en/cars-for-sale/toyota/corolla-cross/year-2023"),'中古車掲載'!U931,"")</x:f>
      </x:c>
      <x:c r="BH930" t="str">
        <x:f>IF(AND('中古車掲載'!C931="One2car",'中古車掲載'!F931="DOLPHIN",'中古車掲載'!L931="STANDARD RANGE",'中古車掲載'!J931=2023,ISNUMBER('中古車掲載'!N931),'中古車掲載'!N931&gt;=20000,'中古車掲載'!O931&lt;=100000,'中古車掲載'!AL931=1),'中古車掲載'!U931,"")</x:f>
      </x:c>
      <x:c r="BI930" t="str">
        <x:v>Taladrod|SEALION 6|PHEV|Unknown</x:v>
      </x:c>
      <x:c r="BJ930" t="n">
        <x:v>931</x:v>
      </x:c>
      <x:c r="BK930" t="n">
        <x:f>'中古車掲載'!AM931</x:f>
        <x:v>729000</x:v>
      </x:c>
      <x:c r="BL930" t="n">
        <x:f>IF(ISNUMBER('中古車掲載'!AN931),'中古車掲載'!AN931,"")</x:f>
        <x:v>0.6627875261387399</x:v>
      </x:c>
    </x:row>
    <x:row r="931">
      <x:c r="AZ931" t="str">
        <x:f>IF(AND('中古車掲載'!C932="One2car",'中古車掲載'!F932="ATTO 3",'中古車掲載'!L932="EXTENDED RANGE",'中古車掲載'!J932=2023,ISNUMBER('中古車掲載'!N932),'中古車掲載'!N932&gt;=20000,'中古車掲載'!O932&lt;=100000,'中古車掲載'!AL932=1),'中古車掲載'!U932,"")</x:f>
      </x:c>
      <x:c r="BA931" t="str">
        <x:f>IF(AND('中古車掲載'!C932="One2car",'中古車掲載'!F932="Corolla Cross",'中古車掲載'!L932="HEV PREMIUM SAFETY",'中古車掲載'!J932=2023,ISNUMBER('中古車掲載'!N932),'中古車掲載'!N932&gt;=20000,'中古車掲載'!O932&lt;=100000,'中古車掲載'!AL932=1,'中古車掲載'!Z932="https://www.one2car.com/en/cars-for-sale/toyota/corolla-cross/year-2023"),'中古車掲載'!U932,"")</x:f>
      </x:c>
      <x:c r="BB931" t="str">
        <x:f>IF(AND('中古車掲載'!C932="One2car",'中古車掲載'!F932="ATTO 3",'中古車掲載'!L932="EXTENDED RANGE",'中古車掲載'!J932=2023,ISNUMBER('中古車掲載'!N932),'中古車掲載'!N932&gt;=50000,'中古車掲載'!O932&lt;=100000,'中古車掲載'!AL932=1),'中古車掲載'!U932,"")</x:f>
      </x:c>
      <x:c r="BC931" t="str">
        <x:f>IF(AND('中古車掲載'!C932="One2car",'中古車掲載'!F932="Corolla Cross",'中古車掲載'!L932="HEV PREMIUM SAFETY",'中古車掲載'!J932=2023,ISNUMBER('中古車掲載'!N932),'中古車掲載'!N932&gt;=50000,'中古車掲載'!O932&lt;=100000,'中古車掲載'!AL932=1,'中古車掲載'!Z932="https://www.one2car.com/en/cars-for-sale/toyota/corolla-cross/year-2023"),'中古車掲載'!U932,"")</x:f>
      </x:c>
      <x:c r="BD931" t="str">
        <x:f>IF(AND('中古車掲載'!C932="One2car",'中古車掲載'!F932="ATTO 3",'中古車掲載'!L932="EXTENDED RANGE",'中古車掲載'!J932=2023,ISNUMBER('中古車掲載'!N932),'中古車掲載'!N932&gt;=20000,'中古車掲載'!O932&lt;=50000,'中古車掲載'!AL932=1),'中古車掲載'!U932,"")</x:f>
      </x:c>
      <x:c r="BE931" t="str">
        <x:f>IF(AND('中古車掲載'!C932="One2car",'中古車掲載'!F932="Corolla Cross",'中古車掲載'!L932="HEV PREMIUM SAFETY",'中古車掲載'!J932=2023,ISNUMBER('中古車掲載'!N932),'中古車掲載'!N932&gt;=20000,'中古車掲載'!O932&lt;=50000,'中古車掲載'!AL932=1,'中古車掲載'!Z932="https://www.one2car.com/en/cars-for-sale/toyota/corolla-cross/year-2023"),'中古車掲載'!U932,"")</x:f>
      </x:c>
      <x:c r="BF931" t="str">
        <x:f>IF(AND('中古車掲載'!C932="One2car",'中古車掲載'!F932="Corolla Cross",'中古車掲載'!L932="HEV PREMIUM",'中古車掲載'!J932=2023,ISNUMBER('中古車掲載'!N932),'中古車掲載'!N932&gt;=20000,'中古車掲載'!O932&lt;=100000,'中古車掲載'!AL932=1,'中古車掲載'!Z932="https://www.one2car.com/en/cars-for-sale/toyota/corolla-cross/year-2023"),'中古車掲載'!U932,"")</x:f>
      </x:c>
      <x:c r="BG931" t="str">
        <x:f>IF(AND('中古車掲載'!C932="One2car",'中古車掲載'!F932="Corolla Cross",'中古車掲載'!L932="HEV GR SPORT",'中古車掲載'!J932=2023,ISNUMBER('中古車掲載'!N932),'中古車掲載'!N932&gt;=20000,'中古車掲載'!O932&lt;=100000,'中古車掲載'!AL932=1,'中古車掲載'!Z932="https://www.one2car.com/en/cars-for-sale/toyota/corolla-cross/year-2023"),'中古車掲載'!U932,"")</x:f>
      </x:c>
      <x:c r="BH931" t="str">
        <x:f>IF(AND('中古車掲載'!C932="One2car",'中古車掲載'!F932="DOLPHIN",'中古車掲載'!L932="STANDARD RANGE",'中古車掲載'!J932=2023,ISNUMBER('中古車掲載'!N932),'中古車掲載'!N932&gt;=20000,'中古車掲載'!O932&lt;=100000,'中古車掲載'!AL932=1),'中古車掲載'!U932,"")</x:f>
      </x:c>
      <x:c r="BI931" t="str">
        <x:v>Taladrod|SEALION 6|PHEV|Unknown</x:v>
      </x:c>
      <x:c r="BJ931" t="n">
        <x:v>932</x:v>
      </x:c>
      <x:c r="BK931" t="n">
        <x:f>'中古車掲載'!AM932</x:f>
        <x:v>799000</x:v>
      </x:c>
      <x:c r="BL931" t="n">
        <x:f>IF(ISNUMBER('中古車掲載'!AN932),'中古車掲載'!AN932,"")</x:f>
        <x:v>0.7264296754250387</x:v>
      </x:c>
    </x:row>
    <x:row r="932">
      <x:c r="AZ932" t="str">
        <x:f>IF(AND('中古車掲載'!C933="One2car",'中古車掲載'!F933="ATTO 3",'中古車掲載'!L933="EXTENDED RANGE",'中古車掲載'!J933=2023,ISNUMBER('中古車掲載'!N933),'中古車掲載'!N933&gt;=20000,'中古車掲載'!O933&lt;=100000,'中古車掲載'!AL933=1),'中古車掲載'!U933,"")</x:f>
      </x:c>
      <x:c r="BA932" t="str">
        <x:f>IF(AND('中古車掲載'!C933="One2car",'中古車掲載'!F933="Corolla Cross",'中古車掲載'!L933="HEV PREMIUM SAFETY",'中古車掲載'!J933=2023,ISNUMBER('中古車掲載'!N933),'中古車掲載'!N933&gt;=20000,'中古車掲載'!O933&lt;=100000,'中古車掲載'!AL933=1,'中古車掲載'!Z933="https://www.one2car.com/en/cars-for-sale/toyota/corolla-cross/year-2023"),'中古車掲載'!U933,"")</x:f>
      </x:c>
      <x:c r="BB932" t="str">
        <x:f>IF(AND('中古車掲載'!C933="One2car",'中古車掲載'!F933="ATTO 3",'中古車掲載'!L933="EXTENDED RANGE",'中古車掲載'!J933=2023,ISNUMBER('中古車掲載'!N933),'中古車掲載'!N933&gt;=50000,'中古車掲載'!O933&lt;=100000,'中古車掲載'!AL933=1),'中古車掲載'!U933,"")</x:f>
      </x:c>
      <x:c r="BC932" t="str">
        <x:f>IF(AND('中古車掲載'!C933="One2car",'中古車掲載'!F933="Corolla Cross",'中古車掲載'!L933="HEV PREMIUM SAFETY",'中古車掲載'!J933=2023,ISNUMBER('中古車掲載'!N933),'中古車掲載'!N933&gt;=50000,'中古車掲載'!O933&lt;=100000,'中古車掲載'!AL933=1,'中古車掲載'!Z933="https://www.one2car.com/en/cars-for-sale/toyota/corolla-cross/year-2023"),'中古車掲載'!U933,"")</x:f>
      </x:c>
      <x:c r="BD932" t="str">
        <x:f>IF(AND('中古車掲載'!C933="One2car",'中古車掲載'!F933="ATTO 3",'中古車掲載'!L933="EXTENDED RANGE",'中古車掲載'!J933=2023,ISNUMBER('中古車掲載'!N933),'中古車掲載'!N933&gt;=20000,'中古車掲載'!O933&lt;=50000,'中古車掲載'!AL933=1),'中古車掲載'!U933,"")</x:f>
      </x:c>
      <x:c r="BE932" t="str">
        <x:f>IF(AND('中古車掲載'!C933="One2car",'中古車掲載'!F933="Corolla Cross",'中古車掲載'!L933="HEV PREMIUM SAFETY",'中古車掲載'!J933=2023,ISNUMBER('中古車掲載'!N933),'中古車掲載'!N933&gt;=20000,'中古車掲載'!O933&lt;=50000,'中古車掲載'!AL933=1,'中古車掲載'!Z933="https://www.one2car.com/en/cars-for-sale/toyota/corolla-cross/year-2023"),'中古車掲載'!U933,"")</x:f>
      </x:c>
      <x:c r="BF932" t="str">
        <x:f>IF(AND('中古車掲載'!C933="One2car",'中古車掲載'!F933="Corolla Cross",'中古車掲載'!L933="HEV PREMIUM",'中古車掲載'!J933=2023,ISNUMBER('中古車掲載'!N933),'中古車掲載'!N933&gt;=20000,'中古車掲載'!O933&lt;=100000,'中古車掲載'!AL933=1,'中古車掲載'!Z933="https://www.one2car.com/en/cars-for-sale/toyota/corolla-cross/year-2023"),'中古車掲載'!U933,"")</x:f>
      </x:c>
      <x:c r="BG932" t="str">
        <x:f>IF(AND('中古車掲載'!C933="One2car",'中古車掲載'!F933="Corolla Cross",'中古車掲載'!L933="HEV GR SPORT",'中古車掲載'!J933=2023,ISNUMBER('中古車掲載'!N933),'中古車掲載'!N933&gt;=20000,'中古車掲載'!O933&lt;=100000,'中古車掲載'!AL933=1,'中古車掲載'!Z933="https://www.one2car.com/en/cars-for-sale/toyota/corolla-cross/year-2023"),'中古車掲載'!U933,"")</x:f>
      </x:c>
      <x:c r="BH932" t="str">
        <x:f>IF(AND('中古車掲載'!C933="One2car",'中古車掲載'!F933="DOLPHIN",'中古車掲載'!L933="STANDARD RANGE",'中古車掲載'!J933=2023,ISNUMBER('中古車掲載'!N933),'中古車掲載'!N933&gt;=20000,'中古車掲載'!O933&lt;=100000,'中古車掲載'!AL933=1),'中古車掲載'!U933,"")</x:f>
      </x:c>
      <x:c r="BI932" t="str">
        <x:v>Taladrod|SEALION 6|PHEV|Unknown</x:v>
      </x:c>
      <x:c r="BJ932" t="n">
        <x:v>933</x:v>
      </x:c>
      <x:c r="BK932" t="n">
        <x:f>'中古車掲載'!AM933</x:f>
        <x:v>679000</x:v>
      </x:c>
      <x:c r="BL932" t="n">
        <x:f>IF(ISNUMBER('中古車掲載'!AN933),'中古車掲載'!AN933,"")</x:f>
        <x:v>0.6173288480770979</x:v>
      </x:c>
    </x:row>
    <x:row r="933">
      <x:c r="AZ933" t="str">
        <x:f>IF(AND('中古車掲載'!C934="One2car",'中古車掲載'!F934="ATTO 3",'中古車掲載'!L934="EXTENDED RANGE",'中古車掲載'!J934=2023,ISNUMBER('中古車掲載'!N934),'中古車掲載'!N934&gt;=20000,'中古車掲載'!O934&lt;=100000,'中古車掲載'!AL934=1),'中古車掲載'!U934,"")</x:f>
      </x:c>
      <x:c r="BA933" t="str">
        <x:f>IF(AND('中古車掲載'!C934="One2car",'中古車掲載'!F934="Corolla Cross",'中古車掲載'!L934="HEV PREMIUM SAFETY",'中古車掲載'!J934=2023,ISNUMBER('中古車掲載'!N934),'中古車掲載'!N934&gt;=20000,'中古車掲載'!O934&lt;=100000,'中古車掲載'!AL934=1,'中古車掲載'!Z934="https://www.one2car.com/en/cars-for-sale/toyota/corolla-cross/year-2023"),'中古車掲載'!U934,"")</x:f>
      </x:c>
      <x:c r="BB933" t="str">
        <x:f>IF(AND('中古車掲載'!C934="One2car",'中古車掲載'!F934="ATTO 3",'中古車掲載'!L934="EXTENDED RANGE",'中古車掲載'!J934=2023,ISNUMBER('中古車掲載'!N934),'中古車掲載'!N934&gt;=50000,'中古車掲載'!O934&lt;=100000,'中古車掲載'!AL934=1),'中古車掲載'!U934,"")</x:f>
      </x:c>
      <x:c r="BC933" t="str">
        <x:f>IF(AND('中古車掲載'!C934="One2car",'中古車掲載'!F934="Corolla Cross",'中古車掲載'!L934="HEV PREMIUM SAFETY",'中古車掲載'!J934=2023,ISNUMBER('中古車掲載'!N934),'中古車掲載'!N934&gt;=50000,'中古車掲載'!O934&lt;=100000,'中古車掲載'!AL934=1,'中古車掲載'!Z934="https://www.one2car.com/en/cars-for-sale/toyota/corolla-cross/year-2023"),'中古車掲載'!U934,"")</x:f>
      </x:c>
      <x:c r="BD933" t="str">
        <x:f>IF(AND('中古車掲載'!C934="One2car",'中古車掲載'!F934="ATTO 3",'中古車掲載'!L934="EXTENDED RANGE",'中古車掲載'!J934=2023,ISNUMBER('中古車掲載'!N934),'中古車掲載'!N934&gt;=20000,'中古車掲載'!O934&lt;=50000,'中古車掲載'!AL934=1),'中古車掲載'!U934,"")</x:f>
      </x:c>
      <x:c r="BE933" t="str">
        <x:f>IF(AND('中古車掲載'!C934="One2car",'中古車掲載'!F934="Corolla Cross",'中古車掲載'!L934="HEV PREMIUM SAFETY",'中古車掲載'!J934=2023,ISNUMBER('中古車掲載'!N934),'中古車掲載'!N934&gt;=20000,'中古車掲載'!O934&lt;=50000,'中古車掲載'!AL934=1,'中古車掲載'!Z934="https://www.one2car.com/en/cars-for-sale/toyota/corolla-cross/year-2023"),'中古車掲載'!U934,"")</x:f>
      </x:c>
      <x:c r="BF933" t="str">
        <x:f>IF(AND('中古車掲載'!C934="One2car",'中古車掲載'!F934="Corolla Cross",'中古車掲載'!L934="HEV PREMIUM",'中古車掲載'!J934=2023,ISNUMBER('中古車掲載'!N934),'中古車掲載'!N934&gt;=20000,'中古車掲載'!O934&lt;=100000,'中古車掲載'!AL934=1,'中古車掲載'!Z934="https://www.one2car.com/en/cars-for-sale/toyota/corolla-cross/year-2023"),'中古車掲載'!U934,"")</x:f>
      </x:c>
      <x:c r="BG933" t="str">
        <x:f>IF(AND('中古車掲載'!C934="One2car",'中古車掲載'!F934="Corolla Cross",'中古車掲載'!L934="HEV GR SPORT",'中古車掲載'!J934=2023,ISNUMBER('中古車掲載'!N934),'中古車掲載'!N934&gt;=20000,'中古車掲載'!O934&lt;=100000,'中古車掲載'!AL934=1,'中古車掲載'!Z934="https://www.one2car.com/en/cars-for-sale/toyota/corolla-cross/year-2023"),'中古車掲載'!U934,"")</x:f>
      </x:c>
      <x:c r="BH933" t="str">
        <x:f>IF(AND('中古車掲載'!C934="One2car",'中古車掲載'!F934="DOLPHIN",'中古車掲載'!L934="STANDARD RANGE",'中古車掲載'!J934=2023,ISNUMBER('中古車掲載'!N934),'中古車掲載'!N934&gt;=20000,'中古車掲載'!O934&lt;=100000,'中古車掲載'!AL934=1),'中古車掲載'!U934,"")</x:f>
      </x:c>
      <x:c r="BI933" t="str">
        <x:v>Taladrod|SEALION 7|BEV|Unknown</x:v>
      </x:c>
      <x:c r="BJ933" t="n">
        <x:v>934</x:v>
      </x:c>
      <x:c r="BK933" t="n">
        <x:f>'中古車掲載'!AM934</x:f>
        <x:v>999000</x:v>
      </x:c>
      <x:c r="BL933" t="n">
        <x:f>IF(ISNUMBER('中古車掲載'!AN934),'中古車掲載'!AN934,"")</x:f>
        <x:v>0.7136224016001143</x:v>
      </x:c>
    </x:row>
    <x:row r="934">
      <x:c r="AZ934" t="str">
        <x:f>IF(AND('中古車掲載'!C935="One2car",'中古車掲載'!F935="ATTO 3",'中古車掲載'!L935="EXTENDED RANGE",'中古車掲載'!J935=2023,ISNUMBER('中古車掲載'!N935),'中古車掲載'!N935&gt;=20000,'中古車掲載'!O935&lt;=100000,'中古車掲載'!AL935=1),'中古車掲載'!U935,"")</x:f>
      </x:c>
      <x:c r="BA934" t="str">
        <x:f>IF(AND('中古車掲載'!C935="One2car",'中古車掲載'!F935="Corolla Cross",'中古車掲載'!L935="HEV PREMIUM SAFETY",'中古車掲載'!J935=2023,ISNUMBER('中古車掲載'!N935),'中古車掲載'!N935&gt;=20000,'中古車掲載'!O935&lt;=100000,'中古車掲載'!AL935=1,'中古車掲載'!Z935="https://www.one2car.com/en/cars-for-sale/toyota/corolla-cross/year-2023"),'中古車掲載'!U935,"")</x:f>
      </x:c>
      <x:c r="BB934" t="str">
        <x:f>IF(AND('中古車掲載'!C935="One2car",'中古車掲載'!F935="ATTO 3",'中古車掲載'!L935="EXTENDED RANGE",'中古車掲載'!J935=2023,ISNUMBER('中古車掲載'!N935),'中古車掲載'!N935&gt;=50000,'中古車掲載'!O935&lt;=100000,'中古車掲載'!AL935=1),'中古車掲載'!U935,"")</x:f>
      </x:c>
      <x:c r="BC934" t="str">
        <x:f>IF(AND('中古車掲載'!C935="One2car",'中古車掲載'!F935="Corolla Cross",'中古車掲載'!L935="HEV PREMIUM SAFETY",'中古車掲載'!J935=2023,ISNUMBER('中古車掲載'!N935),'中古車掲載'!N935&gt;=50000,'中古車掲載'!O935&lt;=100000,'中古車掲載'!AL935=1,'中古車掲載'!Z935="https://www.one2car.com/en/cars-for-sale/toyota/corolla-cross/year-2023"),'中古車掲載'!U935,"")</x:f>
      </x:c>
      <x:c r="BD934" t="str">
        <x:f>IF(AND('中古車掲載'!C935="One2car",'中古車掲載'!F935="ATTO 3",'中古車掲載'!L935="EXTENDED RANGE",'中古車掲載'!J935=2023,ISNUMBER('中古車掲載'!N935),'中古車掲載'!N935&gt;=20000,'中古車掲載'!O935&lt;=50000,'中古車掲載'!AL935=1),'中古車掲載'!U935,"")</x:f>
      </x:c>
      <x:c r="BE934" t="str">
        <x:f>IF(AND('中古車掲載'!C935="One2car",'中古車掲載'!F935="Corolla Cross",'中古車掲載'!L935="HEV PREMIUM SAFETY",'中古車掲載'!J935=2023,ISNUMBER('中古車掲載'!N935),'中古車掲載'!N935&gt;=20000,'中古車掲載'!O935&lt;=50000,'中古車掲載'!AL935=1,'中古車掲載'!Z935="https://www.one2car.com/en/cars-for-sale/toyota/corolla-cross/year-2023"),'中古車掲載'!U935,"")</x:f>
      </x:c>
      <x:c r="BF934" t="str">
        <x:f>IF(AND('中古車掲載'!C935="One2car",'中古車掲載'!F935="Corolla Cross",'中古車掲載'!L935="HEV PREMIUM",'中古車掲載'!J935=2023,ISNUMBER('中古車掲載'!N935),'中古車掲載'!N935&gt;=20000,'中古車掲載'!O935&lt;=100000,'中古車掲載'!AL935=1,'中古車掲載'!Z935="https://www.one2car.com/en/cars-for-sale/toyota/corolla-cross/year-2023"),'中古車掲載'!U935,"")</x:f>
      </x:c>
      <x:c r="BG934" t="str">
        <x:f>IF(AND('中古車掲載'!C935="One2car",'中古車掲載'!F935="Corolla Cross",'中古車掲載'!L935="HEV GR SPORT",'中古車掲載'!J935=2023,ISNUMBER('中古車掲載'!N935),'中古車掲載'!N935&gt;=20000,'中古車掲載'!O935&lt;=100000,'中古車掲載'!AL935=1,'中古車掲載'!Z935="https://www.one2car.com/en/cars-for-sale/toyota/corolla-cross/year-2023"),'中古車掲載'!U935,"")</x:f>
      </x:c>
      <x:c r="BH934" t="str">
        <x:f>IF(AND('中古車掲載'!C935="One2car",'中古車掲載'!F935="DOLPHIN",'中古車掲載'!L935="STANDARD RANGE",'中古車掲載'!J935=2023,ISNUMBER('中古車掲載'!N935),'中古車掲載'!N935&gt;=20000,'中古車掲載'!O935&lt;=100000,'中古車掲載'!AL935=1),'中古車掲載'!U935,"")</x:f>
      </x:c>
      <x:c r="BI934" t="str">
        <x:v>Taladrod|SEALION 7|BEV|Unknown</x:v>
      </x:c>
      <x:c r="BJ934" t="n">
        <x:v>935</x:v>
      </x:c>
      <x:c r="BK934" t="n">
        <x:f>'中古車掲載'!AM935</x:f>
        <x:v>938000</x:v>
      </x:c>
      <x:c r="BL934" t="n">
        <x:f>IF(ISNUMBER('中古車掲載'!AN935),'中古車掲載'!AN935,"")</x:f>
        <x:v>0.6700478605614687</x:v>
      </x:c>
    </x:row>
    <x:row r="935">
      <x:c r="AZ935" t="str">
        <x:f>IF(AND('中古車掲載'!C936="One2car",'中古車掲載'!F936="ATTO 3",'中古車掲載'!L936="EXTENDED RANGE",'中古車掲載'!J936=2023,ISNUMBER('中古車掲載'!N936),'中古車掲載'!N936&gt;=20000,'中古車掲載'!O936&lt;=100000,'中古車掲載'!AL936=1),'中古車掲載'!U936,"")</x:f>
      </x:c>
      <x:c r="BA935" t="str">
        <x:f>IF(AND('中古車掲載'!C936="One2car",'中古車掲載'!F936="Corolla Cross",'中古車掲載'!L936="HEV PREMIUM SAFETY",'中古車掲載'!J936=2023,ISNUMBER('中古車掲載'!N936),'中古車掲載'!N936&gt;=20000,'中古車掲載'!O936&lt;=100000,'中古車掲載'!AL936=1,'中古車掲載'!Z936="https://www.one2car.com/en/cars-for-sale/toyota/corolla-cross/year-2023"),'中古車掲載'!U936,"")</x:f>
      </x:c>
      <x:c r="BB935" t="str">
        <x:f>IF(AND('中古車掲載'!C936="One2car",'中古車掲載'!F936="ATTO 3",'中古車掲載'!L936="EXTENDED RANGE",'中古車掲載'!J936=2023,ISNUMBER('中古車掲載'!N936),'中古車掲載'!N936&gt;=50000,'中古車掲載'!O936&lt;=100000,'中古車掲載'!AL936=1),'中古車掲載'!U936,"")</x:f>
      </x:c>
      <x:c r="BC935" t="str">
        <x:f>IF(AND('中古車掲載'!C936="One2car",'中古車掲載'!F936="Corolla Cross",'中古車掲載'!L936="HEV PREMIUM SAFETY",'中古車掲載'!J936=2023,ISNUMBER('中古車掲載'!N936),'中古車掲載'!N936&gt;=50000,'中古車掲載'!O936&lt;=100000,'中古車掲載'!AL936=1,'中古車掲載'!Z936="https://www.one2car.com/en/cars-for-sale/toyota/corolla-cross/year-2023"),'中古車掲載'!U936,"")</x:f>
      </x:c>
      <x:c r="BD935" t="str">
        <x:f>IF(AND('中古車掲載'!C936="One2car",'中古車掲載'!F936="ATTO 3",'中古車掲載'!L936="EXTENDED RANGE",'中古車掲載'!J936=2023,ISNUMBER('中古車掲載'!N936),'中古車掲載'!N936&gt;=20000,'中古車掲載'!O936&lt;=50000,'中古車掲載'!AL936=1),'中古車掲載'!U936,"")</x:f>
      </x:c>
      <x:c r="BE935" t="str">
        <x:f>IF(AND('中古車掲載'!C936="One2car",'中古車掲載'!F936="Corolla Cross",'中古車掲載'!L936="HEV PREMIUM SAFETY",'中古車掲載'!J936=2023,ISNUMBER('中古車掲載'!N936),'中古車掲載'!N936&gt;=20000,'中古車掲載'!O936&lt;=50000,'中古車掲載'!AL936=1,'中古車掲載'!Z936="https://www.one2car.com/en/cars-for-sale/toyota/corolla-cross/year-2023"),'中古車掲載'!U936,"")</x:f>
      </x:c>
      <x:c r="BF935" t="str">
        <x:f>IF(AND('中古車掲載'!C936="One2car",'中古車掲載'!F936="Corolla Cross",'中古車掲載'!L936="HEV PREMIUM",'中古車掲載'!J936=2023,ISNUMBER('中古車掲載'!N936),'中古車掲載'!N936&gt;=20000,'中古車掲載'!O936&lt;=100000,'中古車掲載'!AL936=1,'中古車掲載'!Z936="https://www.one2car.com/en/cars-for-sale/toyota/corolla-cross/year-2023"),'中古車掲載'!U936,"")</x:f>
      </x:c>
      <x:c r="BG935" t="str">
        <x:f>IF(AND('中古車掲載'!C936="One2car",'中古車掲載'!F936="Corolla Cross",'中古車掲載'!L936="HEV GR SPORT",'中古車掲載'!J936=2023,ISNUMBER('中古車掲載'!N936),'中古車掲載'!N936&gt;=20000,'中古車掲載'!O936&lt;=100000,'中古車掲載'!AL936=1,'中古車掲載'!Z936="https://www.one2car.com/en/cars-for-sale/toyota/corolla-cross/year-2023"),'中古車掲載'!U936,"")</x:f>
      </x:c>
      <x:c r="BH935" t="str">
        <x:f>IF(AND('中古車掲載'!C936="One2car",'中古車掲載'!F936="DOLPHIN",'中古車掲載'!L936="STANDARD RANGE",'中古車掲載'!J936=2023,ISNUMBER('中古車掲載'!N936),'中古車掲載'!N936&gt;=20000,'中古車掲載'!O936&lt;=100000,'中古車掲載'!AL936=1),'中古車掲載'!U936,"")</x:f>
      </x:c>
      <x:c r="BI935" t="str">
        <x:v>Taladrod|SEALION 7|BEV|Unknown</x:v>
      </x:c>
      <x:c r="BJ935" t="n">
        <x:v>936</x:v>
      </x:c>
      <x:c r="BK935" t="n">
        <x:f>'中古車掲載'!AM936</x:f>
        <x:v>939000</x:v>
      </x:c>
      <x:c r="BL935" t="n">
        <x:f>IF(ISNUMBER('中古車掲載'!AN936),'中古車掲載'!AN936,"")</x:f>
        <x:v>0.6707621972998071</x:v>
      </x:c>
    </x:row>
    <x:row r="936">
      <x:c r="AZ936" t="str">
        <x:f>IF(AND('中古車掲載'!C937="One2car",'中古車掲載'!F937="ATTO 3",'中古車掲載'!L937="EXTENDED RANGE",'中古車掲載'!J937=2023,ISNUMBER('中古車掲載'!N937),'中古車掲載'!N937&gt;=20000,'中古車掲載'!O937&lt;=100000,'中古車掲載'!AL937=1),'中古車掲載'!U937,"")</x:f>
      </x:c>
      <x:c r="BA936" t="str">
        <x:f>IF(AND('中古車掲載'!C937="One2car",'中古車掲載'!F937="Corolla Cross",'中古車掲載'!L937="HEV PREMIUM SAFETY",'中古車掲載'!J937=2023,ISNUMBER('中古車掲載'!N937),'中古車掲載'!N937&gt;=20000,'中古車掲載'!O937&lt;=100000,'中古車掲載'!AL937=1,'中古車掲載'!Z937="https://www.one2car.com/en/cars-for-sale/toyota/corolla-cross/year-2023"),'中古車掲載'!U937,"")</x:f>
      </x:c>
      <x:c r="BB936" t="str">
        <x:f>IF(AND('中古車掲載'!C937="One2car",'中古車掲載'!F937="ATTO 3",'中古車掲載'!L937="EXTENDED RANGE",'中古車掲載'!J937=2023,ISNUMBER('中古車掲載'!N937),'中古車掲載'!N937&gt;=50000,'中古車掲載'!O937&lt;=100000,'中古車掲載'!AL937=1),'中古車掲載'!U937,"")</x:f>
      </x:c>
      <x:c r="BC936" t="str">
        <x:f>IF(AND('中古車掲載'!C937="One2car",'中古車掲載'!F937="Corolla Cross",'中古車掲載'!L937="HEV PREMIUM SAFETY",'中古車掲載'!J937=2023,ISNUMBER('中古車掲載'!N937),'中古車掲載'!N937&gt;=50000,'中古車掲載'!O937&lt;=100000,'中古車掲載'!AL937=1,'中古車掲載'!Z937="https://www.one2car.com/en/cars-for-sale/toyota/corolla-cross/year-2023"),'中古車掲載'!U937,"")</x:f>
      </x:c>
      <x:c r="BD936" t="str">
        <x:f>IF(AND('中古車掲載'!C937="One2car",'中古車掲載'!F937="ATTO 3",'中古車掲載'!L937="EXTENDED RANGE",'中古車掲載'!J937=2023,ISNUMBER('中古車掲載'!N937),'中古車掲載'!N937&gt;=20000,'中古車掲載'!O937&lt;=50000,'中古車掲載'!AL937=1),'中古車掲載'!U937,"")</x:f>
      </x:c>
      <x:c r="BE936" t="str">
        <x:f>IF(AND('中古車掲載'!C937="One2car",'中古車掲載'!F937="Corolla Cross",'中古車掲載'!L937="HEV PREMIUM SAFETY",'中古車掲載'!J937=2023,ISNUMBER('中古車掲載'!N937),'中古車掲載'!N937&gt;=20000,'中古車掲載'!O937&lt;=50000,'中古車掲載'!AL937=1,'中古車掲載'!Z937="https://www.one2car.com/en/cars-for-sale/toyota/corolla-cross/year-2023"),'中古車掲載'!U937,"")</x:f>
      </x:c>
      <x:c r="BF936" t="str">
        <x:f>IF(AND('中古車掲載'!C937="One2car",'中古車掲載'!F937="Corolla Cross",'中古車掲載'!L937="HEV PREMIUM",'中古車掲載'!J937=2023,ISNUMBER('中古車掲載'!N937),'中古車掲載'!N937&gt;=20000,'中古車掲載'!O937&lt;=100000,'中古車掲載'!AL937=1,'中古車掲載'!Z937="https://www.one2car.com/en/cars-for-sale/toyota/corolla-cross/year-2023"),'中古車掲載'!U937,"")</x:f>
      </x:c>
      <x:c r="BG936" t="str">
        <x:f>IF(AND('中古車掲載'!C937="One2car",'中古車掲載'!F937="Corolla Cross",'中古車掲載'!L937="HEV GR SPORT",'中古車掲載'!J937=2023,ISNUMBER('中古車掲載'!N937),'中古車掲載'!N937&gt;=20000,'中古車掲載'!O937&lt;=100000,'中古車掲載'!AL937=1,'中古車掲載'!Z937="https://www.one2car.com/en/cars-for-sale/toyota/corolla-cross/year-2023"),'中古車掲載'!U937,"")</x:f>
      </x:c>
      <x:c r="BH936" t="str">
        <x:f>IF(AND('中古車掲載'!C937="One2car",'中古車掲載'!F937="DOLPHIN",'中古車掲載'!L937="STANDARD RANGE",'中古車掲載'!J937=2023,ISNUMBER('中古車掲載'!N937),'中古車掲載'!N937&gt;=20000,'中古車掲載'!O937&lt;=100000,'中古車掲載'!AL937=1),'中古車掲載'!U937,"")</x:f>
      </x:c>
      <x:c r="BI936" t="str">
        <x:v>Taladrod|SEALION 7|BEV|Unknown</x:v>
      </x:c>
      <x:c r="BJ936" t="n">
        <x:v>937</x:v>
      </x:c>
      <x:c r="BK936" t="str">
        <x:f>'中古車掲載'!AM937</x:f>
      </x:c>
      <x:c r="BL936" t="str">
        <x:f>IF(ISNUMBER('中古車掲載'!AN937),'中古車掲載'!AN937,"")</x:f>
      </x:c>
    </x:row>
    <x:row r="937">
      <x:c r="AZ937" t="str">
        <x:f>IF(AND('中古車掲載'!C938="One2car",'中古車掲載'!F938="ATTO 3",'中古車掲載'!L938="EXTENDED RANGE",'中古車掲載'!J938=2023,ISNUMBER('中古車掲載'!N938),'中古車掲載'!N938&gt;=20000,'中古車掲載'!O938&lt;=100000,'中古車掲載'!AL938=1),'中古車掲載'!U938,"")</x:f>
      </x:c>
      <x:c r="BA937" t="str">
        <x:f>IF(AND('中古車掲載'!C938="One2car",'中古車掲載'!F938="Corolla Cross",'中古車掲載'!L938="HEV PREMIUM SAFETY",'中古車掲載'!J938=2023,ISNUMBER('中古車掲載'!N938),'中古車掲載'!N938&gt;=20000,'中古車掲載'!O938&lt;=100000,'中古車掲載'!AL938=1,'中古車掲載'!Z938="https://www.one2car.com/en/cars-for-sale/toyota/corolla-cross/year-2023"),'中古車掲載'!U938,"")</x:f>
      </x:c>
      <x:c r="BB937" t="str">
        <x:f>IF(AND('中古車掲載'!C938="One2car",'中古車掲載'!F938="ATTO 3",'中古車掲載'!L938="EXTENDED RANGE",'中古車掲載'!J938=2023,ISNUMBER('中古車掲載'!N938),'中古車掲載'!N938&gt;=50000,'中古車掲載'!O938&lt;=100000,'中古車掲載'!AL938=1),'中古車掲載'!U938,"")</x:f>
      </x:c>
      <x:c r="BC937" t="str">
        <x:f>IF(AND('中古車掲載'!C938="One2car",'中古車掲載'!F938="Corolla Cross",'中古車掲載'!L938="HEV PREMIUM SAFETY",'中古車掲載'!J938=2023,ISNUMBER('中古車掲載'!N938),'中古車掲載'!N938&gt;=50000,'中古車掲載'!O938&lt;=100000,'中古車掲載'!AL938=1,'中古車掲載'!Z938="https://www.one2car.com/en/cars-for-sale/toyota/corolla-cross/year-2023"),'中古車掲載'!U938,"")</x:f>
      </x:c>
      <x:c r="BD937" t="str">
        <x:f>IF(AND('中古車掲載'!C938="One2car",'中古車掲載'!F938="ATTO 3",'中古車掲載'!L938="EXTENDED RANGE",'中古車掲載'!J938=2023,ISNUMBER('中古車掲載'!N938),'中古車掲載'!N938&gt;=20000,'中古車掲載'!O938&lt;=50000,'中古車掲載'!AL938=1),'中古車掲載'!U938,"")</x:f>
      </x:c>
      <x:c r="BE937" t="str">
        <x:f>IF(AND('中古車掲載'!C938="One2car",'中古車掲載'!F938="Corolla Cross",'中古車掲載'!L938="HEV PREMIUM SAFETY",'中古車掲載'!J938=2023,ISNUMBER('中古車掲載'!N938),'中古車掲載'!N938&gt;=20000,'中古車掲載'!O938&lt;=50000,'中古車掲載'!AL938=1,'中古車掲載'!Z938="https://www.one2car.com/en/cars-for-sale/toyota/corolla-cross/year-2023"),'中古車掲載'!U938,"")</x:f>
      </x:c>
      <x:c r="BF937" t="str">
        <x:f>IF(AND('中古車掲載'!C938="One2car",'中古車掲載'!F938="Corolla Cross",'中古車掲載'!L938="HEV PREMIUM",'中古車掲載'!J938=2023,ISNUMBER('中古車掲載'!N938),'中古車掲載'!N938&gt;=20000,'中古車掲載'!O938&lt;=100000,'中古車掲載'!AL938=1,'中古車掲載'!Z938="https://www.one2car.com/en/cars-for-sale/toyota/corolla-cross/year-2023"),'中古車掲載'!U938,"")</x:f>
      </x:c>
      <x:c r="BG937" t="str">
        <x:f>IF(AND('中古車掲載'!C938="One2car",'中古車掲載'!F938="Corolla Cross",'中古車掲載'!L938="HEV GR SPORT",'中古車掲載'!J938=2023,ISNUMBER('中古車掲載'!N938),'中古車掲載'!N938&gt;=20000,'中古車掲載'!O938&lt;=100000,'中古車掲載'!AL938=1,'中古車掲載'!Z938="https://www.one2car.com/en/cars-for-sale/toyota/corolla-cross/year-2023"),'中古車掲載'!U938,"")</x:f>
      </x:c>
      <x:c r="BH937" t="str">
        <x:f>IF(AND('中古車掲載'!C938="One2car",'中古車掲載'!F938="DOLPHIN",'中古車掲載'!L938="STANDARD RANGE",'中古車掲載'!J938=2023,ISNUMBER('中古車掲載'!N938),'中古車掲載'!N938&gt;=20000,'中古車掲載'!O938&lt;=100000,'中古車掲載'!AL938=1),'中古車掲載'!U938,"")</x:f>
      </x:c>
      <x:c r="BI937" t="str">
        <x:v>Taladrod|Yaris Ativ|HEV|Unknown</x:v>
      </x:c>
      <x:c r="BJ937" t="n">
        <x:v>938</x:v>
      </x:c>
      <x:c r="BK937" t="n">
        <x:f>'中古車掲載'!AM938</x:f>
        <x:v>624000</x:v>
      </x:c>
      <x:c r="BL937" t="str">
        <x:f>IF(ISNUMBER('中古車掲載'!AN938),'中古車掲載'!AN938,"")</x:f>
      </x:c>
    </x:row>
    <x:row r="938">
      <x:c r="AZ938" t="str">
        <x:f>IF(AND('中古車掲載'!C939="One2car",'中古車掲載'!F939="ATTO 3",'中古車掲載'!L939="EXTENDED RANGE",'中古車掲載'!J939=2023,ISNUMBER('中古車掲載'!N939),'中古車掲載'!N939&gt;=20000,'中古車掲載'!O939&lt;=100000,'中古車掲載'!AL939=1),'中古車掲載'!U939,"")</x:f>
      </x:c>
      <x:c r="BA938" t="str">
        <x:f>IF(AND('中古車掲載'!C939="One2car",'中古車掲載'!F939="Corolla Cross",'中古車掲載'!L939="HEV PREMIUM SAFETY",'中古車掲載'!J939=2023,ISNUMBER('中古車掲載'!N939),'中古車掲載'!N939&gt;=20000,'中古車掲載'!O939&lt;=100000,'中古車掲載'!AL939=1,'中古車掲載'!Z939="https://www.one2car.com/en/cars-for-sale/toyota/corolla-cross/year-2023"),'中古車掲載'!U939,"")</x:f>
      </x:c>
      <x:c r="BB938" t="str">
        <x:f>IF(AND('中古車掲載'!C939="One2car",'中古車掲載'!F939="ATTO 3",'中古車掲載'!L939="EXTENDED RANGE",'中古車掲載'!J939=2023,ISNUMBER('中古車掲載'!N939),'中古車掲載'!N939&gt;=50000,'中古車掲載'!O939&lt;=100000,'中古車掲載'!AL939=1),'中古車掲載'!U939,"")</x:f>
      </x:c>
      <x:c r="BC938" t="str">
        <x:f>IF(AND('中古車掲載'!C939="One2car",'中古車掲載'!F939="Corolla Cross",'中古車掲載'!L939="HEV PREMIUM SAFETY",'中古車掲載'!J939=2023,ISNUMBER('中古車掲載'!N939),'中古車掲載'!N939&gt;=50000,'中古車掲載'!O939&lt;=100000,'中古車掲載'!AL939=1,'中古車掲載'!Z939="https://www.one2car.com/en/cars-for-sale/toyota/corolla-cross/year-2023"),'中古車掲載'!U939,"")</x:f>
      </x:c>
      <x:c r="BD938" t="str">
        <x:f>IF(AND('中古車掲載'!C939="One2car",'中古車掲載'!F939="ATTO 3",'中古車掲載'!L939="EXTENDED RANGE",'中古車掲載'!J939=2023,ISNUMBER('中古車掲載'!N939),'中古車掲載'!N939&gt;=20000,'中古車掲載'!O939&lt;=50000,'中古車掲載'!AL939=1),'中古車掲載'!U939,"")</x:f>
      </x:c>
      <x:c r="BE938" t="str">
        <x:f>IF(AND('中古車掲載'!C939="One2car",'中古車掲載'!F939="Corolla Cross",'中古車掲載'!L939="HEV PREMIUM SAFETY",'中古車掲載'!J939=2023,ISNUMBER('中古車掲載'!N939),'中古車掲載'!N939&gt;=20000,'中古車掲載'!O939&lt;=50000,'中古車掲載'!AL939=1,'中古車掲載'!Z939="https://www.one2car.com/en/cars-for-sale/toyota/corolla-cross/year-2023"),'中古車掲載'!U939,"")</x:f>
      </x:c>
      <x:c r="BF938" t="str">
        <x:f>IF(AND('中古車掲載'!C939="One2car",'中古車掲載'!F939="Corolla Cross",'中古車掲載'!L939="HEV PREMIUM",'中古車掲載'!J939=2023,ISNUMBER('中古車掲載'!N939),'中古車掲載'!N939&gt;=20000,'中古車掲載'!O939&lt;=100000,'中古車掲載'!AL939=1,'中古車掲載'!Z939="https://www.one2car.com/en/cars-for-sale/toyota/corolla-cross/year-2023"),'中古車掲載'!U939,"")</x:f>
      </x:c>
      <x:c r="BG938" t="str">
        <x:f>IF(AND('中古車掲載'!C939="One2car",'中古車掲載'!F939="Corolla Cross",'中古車掲載'!L939="HEV GR SPORT",'中古車掲載'!J939=2023,ISNUMBER('中古車掲載'!N939),'中古車掲載'!N939&gt;=20000,'中古車掲載'!O939&lt;=100000,'中古車掲載'!AL939=1,'中古車掲載'!Z939="https://www.one2car.com/en/cars-for-sale/toyota/corolla-cross/year-2023"),'中古車掲載'!U939,"")</x:f>
      </x:c>
      <x:c r="BH938" t="str">
        <x:f>IF(AND('中古車掲載'!C939="One2car",'中古車掲載'!F939="DOLPHIN",'中古車掲載'!L939="STANDARD RANGE",'中古車掲載'!J939=2023,ISNUMBER('中古車掲載'!N939),'中古車掲載'!N939&gt;=20000,'中古車掲載'!O939&lt;=100000,'中古車掲載'!AL939=1),'中古車掲載'!U939,"")</x:f>
      </x:c>
      <x:c r="BI938" t="str">
        <x:v>Taladrod|Yaris Ativ|HEV|Unknown</x:v>
      </x:c>
      <x:c r="BJ938" t="n">
        <x:v>939</x:v>
      </x:c>
      <x:c r="BK938" t="n">
        <x:f>'中古車掲載'!AM939</x:f>
        <x:v>690000</x:v>
      </x:c>
      <x:c r="BL938" t="str">
        <x:f>IF(ISNUMBER('中古車掲載'!AN939),'中古車掲載'!AN939,"")</x:f>
      </x:c>
    </x:row>
    <x:row r="939">
      <x:c r="AZ939" t="str">
        <x:f>IF(AND('中古車掲載'!C940="One2car",'中古車掲載'!F940="ATTO 3",'中古車掲載'!L940="EXTENDED RANGE",'中古車掲載'!J940=2023,ISNUMBER('中古車掲載'!N940),'中古車掲載'!N940&gt;=20000,'中古車掲載'!O940&lt;=100000,'中古車掲載'!AL940=1),'中古車掲載'!U940,"")</x:f>
      </x:c>
      <x:c r="BA939" t="str">
        <x:f>IF(AND('中古車掲載'!C940="One2car",'中古車掲載'!F940="Corolla Cross",'中古車掲載'!L940="HEV PREMIUM SAFETY",'中古車掲載'!J940=2023,ISNUMBER('中古車掲載'!N940),'中古車掲載'!N940&gt;=20000,'中古車掲載'!O940&lt;=100000,'中古車掲載'!AL940=1,'中古車掲載'!Z940="https://www.one2car.com/en/cars-for-sale/toyota/corolla-cross/year-2023"),'中古車掲載'!U940,"")</x:f>
      </x:c>
      <x:c r="BB939" t="str">
        <x:f>IF(AND('中古車掲載'!C940="One2car",'中古車掲載'!F940="ATTO 3",'中古車掲載'!L940="EXTENDED RANGE",'中古車掲載'!J940=2023,ISNUMBER('中古車掲載'!N940),'中古車掲載'!N940&gt;=50000,'中古車掲載'!O940&lt;=100000,'中古車掲載'!AL940=1),'中古車掲載'!U940,"")</x:f>
      </x:c>
      <x:c r="BC939" t="str">
        <x:f>IF(AND('中古車掲載'!C940="One2car",'中古車掲載'!F940="Corolla Cross",'中古車掲載'!L940="HEV PREMIUM SAFETY",'中古車掲載'!J940=2023,ISNUMBER('中古車掲載'!N940),'中古車掲載'!N940&gt;=50000,'中古車掲載'!O940&lt;=100000,'中古車掲載'!AL940=1,'中古車掲載'!Z940="https://www.one2car.com/en/cars-for-sale/toyota/corolla-cross/year-2023"),'中古車掲載'!U940,"")</x:f>
      </x:c>
      <x:c r="BD939" t="str">
        <x:f>IF(AND('中古車掲載'!C940="One2car",'中古車掲載'!F940="ATTO 3",'中古車掲載'!L940="EXTENDED RANGE",'中古車掲載'!J940=2023,ISNUMBER('中古車掲載'!N940),'中古車掲載'!N940&gt;=20000,'中古車掲載'!O940&lt;=50000,'中古車掲載'!AL940=1),'中古車掲載'!U940,"")</x:f>
      </x:c>
      <x:c r="BE939" t="str">
        <x:f>IF(AND('中古車掲載'!C940="One2car",'中古車掲載'!F940="Corolla Cross",'中古車掲載'!L940="HEV PREMIUM SAFETY",'中古車掲載'!J940=2023,ISNUMBER('中古車掲載'!N940),'中古車掲載'!N940&gt;=20000,'中古車掲載'!O940&lt;=50000,'中古車掲載'!AL940=1,'中古車掲載'!Z940="https://www.one2car.com/en/cars-for-sale/toyota/corolla-cross/year-2023"),'中古車掲載'!U940,"")</x:f>
      </x:c>
      <x:c r="BF939" t="str">
        <x:f>IF(AND('中古車掲載'!C940="One2car",'中古車掲載'!F940="Corolla Cross",'中古車掲載'!L940="HEV PREMIUM",'中古車掲載'!J940=2023,ISNUMBER('中古車掲載'!N940),'中古車掲載'!N940&gt;=20000,'中古車掲載'!O940&lt;=100000,'中古車掲載'!AL940=1,'中古車掲載'!Z940="https://www.one2car.com/en/cars-for-sale/toyota/corolla-cross/year-2023"),'中古車掲載'!U940,"")</x:f>
      </x:c>
      <x:c r="BG939" t="str">
        <x:f>IF(AND('中古車掲載'!C940="One2car",'中古車掲載'!F940="Corolla Cross",'中古車掲載'!L940="HEV GR SPORT",'中古車掲載'!J940=2023,ISNUMBER('中古車掲載'!N940),'中古車掲載'!N940&gt;=20000,'中古車掲載'!O940&lt;=100000,'中古車掲載'!AL940=1,'中古車掲載'!Z940="https://www.one2car.com/en/cars-for-sale/toyota/corolla-cross/year-2023"),'中古車掲載'!U940,"")</x:f>
      </x:c>
      <x:c r="BH939" t="str">
        <x:f>IF(AND('中古車掲載'!C940="One2car",'中古車掲載'!F940="DOLPHIN",'中古車掲載'!L940="STANDARD RANGE",'中古車掲載'!J940=2023,ISNUMBER('中古車掲載'!N940),'中古車掲載'!N940&gt;=20000,'中古車掲載'!O940&lt;=100000,'中古車掲載'!AL940=1),'中古車掲載'!U940,"")</x:f>
      </x:c>
      <x:c r="BI939" t="str">
        <x:v>Taladrod|Yaris Ativ|HEV|Unknown</x:v>
      </x:c>
      <x:c r="BJ939" t="n">
        <x:v>940</x:v>
      </x:c>
      <x:c r="BK939" t="n">
        <x:f>'中古車掲載'!AM940</x:f>
        <x:v>690000</x:v>
      </x:c>
      <x:c r="BL939" t="str">
        <x:f>IF(ISNUMBER('中古車掲載'!AN940),'中古車掲載'!AN940,"")</x:f>
      </x:c>
    </x:row>
    <x:row r="940">
      <x:c r="AZ940" t="str">
        <x:f>IF(AND('中古車掲載'!C941="One2car",'中古車掲載'!F941="ATTO 3",'中古車掲載'!L941="EXTENDED RANGE",'中古車掲載'!J941=2023,ISNUMBER('中古車掲載'!N941),'中古車掲載'!N941&gt;=20000,'中古車掲載'!O941&lt;=100000,'中古車掲載'!AL941=1),'中古車掲載'!U941,"")</x:f>
      </x:c>
      <x:c r="BA940" t="str">
        <x:f>IF(AND('中古車掲載'!C941="One2car",'中古車掲載'!F941="Corolla Cross",'中古車掲載'!L941="HEV PREMIUM SAFETY",'中古車掲載'!J941=2023,ISNUMBER('中古車掲載'!N941),'中古車掲載'!N941&gt;=20000,'中古車掲載'!O941&lt;=100000,'中古車掲載'!AL941=1,'中古車掲載'!Z941="https://www.one2car.com/en/cars-for-sale/toyota/corolla-cross/year-2023"),'中古車掲載'!U941,"")</x:f>
      </x:c>
      <x:c r="BB940" t="str">
        <x:f>IF(AND('中古車掲載'!C941="One2car",'中古車掲載'!F941="ATTO 3",'中古車掲載'!L941="EXTENDED RANGE",'中古車掲載'!J941=2023,ISNUMBER('中古車掲載'!N941),'中古車掲載'!N941&gt;=50000,'中古車掲載'!O941&lt;=100000,'中古車掲載'!AL941=1),'中古車掲載'!U941,"")</x:f>
      </x:c>
      <x:c r="BC940" t="str">
        <x:f>IF(AND('中古車掲載'!C941="One2car",'中古車掲載'!F941="Corolla Cross",'中古車掲載'!L941="HEV PREMIUM SAFETY",'中古車掲載'!J941=2023,ISNUMBER('中古車掲載'!N941),'中古車掲載'!N941&gt;=50000,'中古車掲載'!O941&lt;=100000,'中古車掲載'!AL941=1,'中古車掲載'!Z941="https://www.one2car.com/en/cars-for-sale/toyota/corolla-cross/year-2023"),'中古車掲載'!U941,"")</x:f>
      </x:c>
      <x:c r="BD940" t="str">
        <x:f>IF(AND('中古車掲載'!C941="One2car",'中古車掲載'!F941="ATTO 3",'中古車掲載'!L941="EXTENDED RANGE",'中古車掲載'!J941=2023,ISNUMBER('中古車掲載'!N941),'中古車掲載'!N941&gt;=20000,'中古車掲載'!O941&lt;=50000,'中古車掲載'!AL941=1),'中古車掲載'!U941,"")</x:f>
      </x:c>
      <x:c r="BE940" t="str">
        <x:f>IF(AND('中古車掲載'!C941="One2car",'中古車掲載'!F941="Corolla Cross",'中古車掲載'!L941="HEV PREMIUM SAFETY",'中古車掲載'!J941=2023,ISNUMBER('中古車掲載'!N941),'中古車掲載'!N941&gt;=20000,'中古車掲載'!O941&lt;=50000,'中古車掲載'!AL941=1,'中古車掲載'!Z941="https://www.one2car.com/en/cars-for-sale/toyota/corolla-cross/year-2023"),'中古車掲載'!U941,"")</x:f>
      </x:c>
      <x:c r="BF940" t="str">
        <x:f>IF(AND('中古車掲載'!C941="One2car",'中古車掲載'!F941="Corolla Cross",'中古車掲載'!L941="HEV PREMIUM",'中古車掲載'!J941=2023,ISNUMBER('中古車掲載'!N941),'中古車掲載'!N941&gt;=20000,'中古車掲載'!O941&lt;=100000,'中古車掲載'!AL941=1,'中古車掲載'!Z941="https://www.one2car.com/en/cars-for-sale/toyota/corolla-cross/year-2023"),'中古車掲載'!U941,"")</x:f>
      </x:c>
      <x:c r="BG940" t="str">
        <x:f>IF(AND('中古車掲載'!C941="One2car",'中古車掲載'!F941="Corolla Cross",'中古車掲載'!L941="HEV GR SPORT",'中古車掲載'!J941=2023,ISNUMBER('中古車掲載'!N941),'中古車掲載'!N941&gt;=20000,'中古車掲載'!O941&lt;=100000,'中古車掲載'!AL941=1,'中古車掲載'!Z941="https://www.one2car.com/en/cars-for-sale/toyota/corolla-cross/year-2023"),'中古車掲載'!U941,"")</x:f>
      </x:c>
      <x:c r="BH940" t="str">
        <x:f>IF(AND('中古車掲載'!C941="One2car",'中古車掲載'!F941="DOLPHIN",'中古車掲載'!L941="STANDARD RANGE",'中古車掲載'!J941=2023,ISNUMBER('中古車掲載'!N941),'中古車掲載'!N941&gt;=20000,'中古車掲載'!O941&lt;=100000,'中古車掲載'!AL941=1),'中古車掲載'!U941,"")</x:f>
      </x:c>
      <x:c r="BI940" t="str">
        <x:v>Taladrod|Yaris Ativ|HEV|Unknown</x:v>
      </x:c>
      <x:c r="BJ940" t="n">
        <x:v>941</x:v>
      </x:c>
      <x:c r="BK940" t="str">
        <x:f>'中古車掲載'!AM941</x:f>
      </x:c>
      <x:c r="BL940" t="str">
        <x:f>IF(ISNUMBER('中古車掲載'!AN941),'中古車掲載'!AN941,"")</x:f>
      </x:c>
    </x:row>
    <x:row r="941">
      <x:c r="AZ941" t="str">
        <x:f>IF(AND('中古車掲載'!C942="One2car",'中古車掲載'!F942="ATTO 3",'中古車掲載'!L942="EXTENDED RANGE",'中古車掲載'!J942=2023,ISNUMBER('中古車掲載'!N942),'中古車掲載'!N942&gt;=20000,'中古車掲載'!O942&lt;=100000,'中古車掲載'!AL942=1),'中古車掲載'!U942,"")</x:f>
      </x:c>
      <x:c r="BA941" t="str">
        <x:f>IF(AND('中古車掲載'!C942="One2car",'中古車掲載'!F942="Corolla Cross",'中古車掲載'!L942="HEV PREMIUM SAFETY",'中古車掲載'!J942=2023,ISNUMBER('中古車掲載'!N942),'中古車掲載'!N942&gt;=20000,'中古車掲載'!O942&lt;=100000,'中古車掲載'!AL942=1,'中古車掲載'!Z942="https://www.one2car.com/en/cars-for-sale/toyota/corolla-cross/year-2023"),'中古車掲載'!U942,"")</x:f>
      </x:c>
      <x:c r="BB941" t="str">
        <x:f>IF(AND('中古車掲載'!C942="One2car",'中古車掲載'!F942="ATTO 3",'中古車掲載'!L942="EXTENDED RANGE",'中古車掲載'!J942=2023,ISNUMBER('中古車掲載'!N942),'中古車掲載'!N942&gt;=50000,'中古車掲載'!O942&lt;=100000,'中古車掲載'!AL942=1),'中古車掲載'!U942,"")</x:f>
      </x:c>
      <x:c r="BC941" t="str">
        <x:f>IF(AND('中古車掲載'!C942="One2car",'中古車掲載'!F942="Corolla Cross",'中古車掲載'!L942="HEV PREMIUM SAFETY",'中古車掲載'!J942=2023,ISNUMBER('中古車掲載'!N942),'中古車掲載'!N942&gt;=50000,'中古車掲載'!O942&lt;=100000,'中古車掲載'!AL942=1,'中古車掲載'!Z942="https://www.one2car.com/en/cars-for-sale/toyota/corolla-cross/year-2023"),'中古車掲載'!U942,"")</x:f>
      </x:c>
      <x:c r="BD941" t="str">
        <x:f>IF(AND('中古車掲載'!C942="One2car",'中古車掲載'!F942="ATTO 3",'中古車掲載'!L942="EXTENDED RANGE",'中古車掲載'!J942=2023,ISNUMBER('中古車掲載'!N942),'中古車掲載'!N942&gt;=20000,'中古車掲載'!O942&lt;=50000,'中古車掲載'!AL942=1),'中古車掲載'!U942,"")</x:f>
      </x:c>
      <x:c r="BE941" t="str">
        <x:f>IF(AND('中古車掲載'!C942="One2car",'中古車掲載'!F942="Corolla Cross",'中古車掲載'!L942="HEV PREMIUM SAFETY",'中古車掲載'!J942=2023,ISNUMBER('中古車掲載'!N942),'中古車掲載'!N942&gt;=20000,'中古車掲載'!O942&lt;=50000,'中古車掲載'!AL942=1,'中古車掲載'!Z942="https://www.one2car.com/en/cars-for-sale/toyota/corolla-cross/year-2023"),'中古車掲載'!U942,"")</x:f>
      </x:c>
      <x:c r="BF941" t="str">
        <x:f>IF(AND('中古車掲載'!C942="One2car",'中古車掲載'!F942="Corolla Cross",'中古車掲載'!L942="HEV PREMIUM",'中古車掲載'!J942=2023,ISNUMBER('中古車掲載'!N942),'中古車掲載'!N942&gt;=20000,'中古車掲載'!O942&lt;=100000,'中古車掲載'!AL942=1,'中古車掲載'!Z942="https://www.one2car.com/en/cars-for-sale/toyota/corolla-cross/year-2023"),'中古車掲載'!U942,"")</x:f>
      </x:c>
      <x:c r="BG941" t="str">
        <x:f>IF(AND('中古車掲載'!C942="One2car",'中古車掲載'!F942="Corolla Cross",'中古車掲載'!L942="HEV GR SPORT",'中古車掲載'!J942=2023,ISNUMBER('中古車掲載'!N942),'中古車掲載'!N942&gt;=20000,'中古車掲載'!O942&lt;=100000,'中古車掲載'!AL942=1,'中古車掲載'!Z942="https://www.one2car.com/en/cars-for-sale/toyota/corolla-cross/year-2023"),'中古車掲載'!U942,"")</x:f>
      </x:c>
      <x:c r="BH941" t="str">
        <x:f>IF(AND('中古車掲載'!C942="One2car",'中古車掲載'!F942="DOLPHIN",'中古車掲載'!L942="STANDARD RANGE",'中古車掲載'!J942=2023,ISNUMBER('中古車掲載'!N942),'中古車掲載'!N942&gt;=20000,'中古車掲載'!O942&lt;=100000,'中古車掲載'!AL942=1),'中古車掲載'!U942,"")</x:f>
      </x:c>
      <x:c r="BI941" t="str">
        <x:v>Taladrod|Yaris Ativ|ICE|Unknown</x:v>
      </x:c>
      <x:c r="BJ941" t="n">
        <x:v>942</x:v>
      </x:c>
      <x:c r="BK941" t="n">
        <x:f>'中古車掲載'!AM942</x:f>
        <x:v>329000</x:v>
      </x:c>
      <x:c r="BL941" t="str">
        <x:f>IF(ISNUMBER('中古車掲載'!AN942),'中古車掲載'!AN942,"")</x:f>
      </x:c>
    </x:row>
    <x:row r="942">
      <x:c r="AZ942" t="str">
        <x:f>IF(AND('中古車掲載'!C943="One2car",'中古車掲載'!F943="ATTO 3",'中古車掲載'!L943="EXTENDED RANGE",'中古車掲載'!J943=2023,ISNUMBER('中古車掲載'!N943),'中古車掲載'!N943&gt;=20000,'中古車掲載'!O943&lt;=100000,'中古車掲載'!AL943=1),'中古車掲載'!U943,"")</x:f>
      </x:c>
      <x:c r="BA942" t="str">
        <x:f>IF(AND('中古車掲載'!C943="One2car",'中古車掲載'!F943="Corolla Cross",'中古車掲載'!L943="HEV PREMIUM SAFETY",'中古車掲載'!J943=2023,ISNUMBER('中古車掲載'!N943),'中古車掲載'!N943&gt;=20000,'中古車掲載'!O943&lt;=100000,'中古車掲載'!AL943=1,'中古車掲載'!Z943="https://www.one2car.com/en/cars-for-sale/toyota/corolla-cross/year-2023"),'中古車掲載'!U943,"")</x:f>
      </x:c>
      <x:c r="BB942" t="str">
        <x:f>IF(AND('中古車掲載'!C943="One2car",'中古車掲載'!F943="ATTO 3",'中古車掲載'!L943="EXTENDED RANGE",'中古車掲載'!J943=2023,ISNUMBER('中古車掲載'!N943),'中古車掲載'!N943&gt;=50000,'中古車掲載'!O943&lt;=100000,'中古車掲載'!AL943=1),'中古車掲載'!U943,"")</x:f>
      </x:c>
      <x:c r="BC942" t="str">
        <x:f>IF(AND('中古車掲載'!C943="One2car",'中古車掲載'!F943="Corolla Cross",'中古車掲載'!L943="HEV PREMIUM SAFETY",'中古車掲載'!J943=2023,ISNUMBER('中古車掲載'!N943),'中古車掲載'!N943&gt;=50000,'中古車掲載'!O943&lt;=100000,'中古車掲載'!AL943=1,'中古車掲載'!Z943="https://www.one2car.com/en/cars-for-sale/toyota/corolla-cross/year-2023"),'中古車掲載'!U943,"")</x:f>
      </x:c>
      <x:c r="BD942" t="str">
        <x:f>IF(AND('中古車掲載'!C943="One2car",'中古車掲載'!F943="ATTO 3",'中古車掲載'!L943="EXTENDED RANGE",'中古車掲載'!J943=2023,ISNUMBER('中古車掲載'!N943),'中古車掲載'!N943&gt;=20000,'中古車掲載'!O943&lt;=50000,'中古車掲載'!AL943=1),'中古車掲載'!U943,"")</x:f>
      </x:c>
      <x:c r="BE942" t="str">
        <x:f>IF(AND('中古車掲載'!C943="One2car",'中古車掲載'!F943="Corolla Cross",'中古車掲載'!L943="HEV PREMIUM SAFETY",'中古車掲載'!J943=2023,ISNUMBER('中古車掲載'!N943),'中古車掲載'!N943&gt;=20000,'中古車掲載'!O943&lt;=50000,'中古車掲載'!AL943=1,'中古車掲載'!Z943="https://www.one2car.com/en/cars-for-sale/toyota/corolla-cross/year-2023"),'中古車掲載'!U943,"")</x:f>
      </x:c>
      <x:c r="BF942" t="str">
        <x:f>IF(AND('中古車掲載'!C943="One2car",'中古車掲載'!F943="Corolla Cross",'中古車掲載'!L943="HEV PREMIUM",'中古車掲載'!J943=2023,ISNUMBER('中古車掲載'!N943),'中古車掲載'!N943&gt;=20000,'中古車掲載'!O943&lt;=100000,'中古車掲載'!AL943=1,'中古車掲載'!Z943="https://www.one2car.com/en/cars-for-sale/toyota/corolla-cross/year-2023"),'中古車掲載'!U943,"")</x:f>
      </x:c>
      <x:c r="BG942" t="str">
        <x:f>IF(AND('中古車掲載'!C943="One2car",'中古車掲載'!F943="Corolla Cross",'中古車掲載'!L943="HEV GR SPORT",'中古車掲載'!J943=2023,ISNUMBER('中古車掲載'!N943),'中古車掲載'!N943&gt;=20000,'中古車掲載'!O943&lt;=100000,'中古車掲載'!AL943=1,'中古車掲載'!Z943="https://www.one2car.com/en/cars-for-sale/toyota/corolla-cross/year-2023"),'中古車掲載'!U943,"")</x:f>
      </x:c>
      <x:c r="BH942" t="str">
        <x:f>IF(AND('中古車掲載'!C943="One2car",'中古車掲載'!F943="DOLPHIN",'中古車掲載'!L943="STANDARD RANGE",'中古車掲載'!J943=2023,ISNUMBER('中古車掲載'!N943),'中古車掲載'!N943&gt;=20000,'中古車掲載'!O943&lt;=100000,'中古車掲載'!AL943=1),'中古車掲載'!U943,"")</x:f>
      </x:c>
      <x:c r="BI942" t="str">
        <x:v>Taladrod|Yaris Ativ|ICE|Unknown</x:v>
      </x:c>
      <x:c r="BJ942" t="n">
        <x:v>943</x:v>
      </x:c>
      <x:c r="BK942" t="n">
        <x:f>'中古車掲載'!AM943</x:f>
        <x:v>309000</x:v>
      </x:c>
      <x:c r="BL942" t="str">
        <x:f>IF(ISNUMBER('中古車掲載'!AN943),'中古車掲載'!AN943,"")</x:f>
      </x:c>
    </x:row>
    <x:row r="943">
      <x:c r="AZ943" t="str">
        <x:f>IF(AND('中古車掲載'!C944="One2car",'中古車掲載'!F944="ATTO 3",'中古車掲載'!L944="EXTENDED RANGE",'中古車掲載'!J944=2023,ISNUMBER('中古車掲載'!N944),'中古車掲載'!N944&gt;=20000,'中古車掲載'!O944&lt;=100000,'中古車掲載'!AL944=1),'中古車掲載'!U944,"")</x:f>
      </x:c>
      <x:c r="BA943" t="str">
        <x:f>IF(AND('中古車掲載'!C944="One2car",'中古車掲載'!F944="Corolla Cross",'中古車掲載'!L944="HEV PREMIUM SAFETY",'中古車掲載'!J944=2023,ISNUMBER('中古車掲載'!N944),'中古車掲載'!N944&gt;=20000,'中古車掲載'!O944&lt;=100000,'中古車掲載'!AL944=1,'中古車掲載'!Z944="https://www.one2car.com/en/cars-for-sale/toyota/corolla-cross/year-2023"),'中古車掲載'!U944,"")</x:f>
      </x:c>
      <x:c r="BB943" t="str">
        <x:f>IF(AND('中古車掲載'!C944="One2car",'中古車掲載'!F944="ATTO 3",'中古車掲載'!L944="EXTENDED RANGE",'中古車掲載'!J944=2023,ISNUMBER('中古車掲載'!N944),'中古車掲載'!N944&gt;=50000,'中古車掲載'!O944&lt;=100000,'中古車掲載'!AL944=1),'中古車掲載'!U944,"")</x:f>
      </x:c>
      <x:c r="BC943" t="str">
        <x:f>IF(AND('中古車掲載'!C944="One2car",'中古車掲載'!F944="Corolla Cross",'中古車掲載'!L944="HEV PREMIUM SAFETY",'中古車掲載'!J944=2023,ISNUMBER('中古車掲載'!N944),'中古車掲載'!N944&gt;=50000,'中古車掲載'!O944&lt;=100000,'中古車掲載'!AL944=1,'中古車掲載'!Z944="https://www.one2car.com/en/cars-for-sale/toyota/corolla-cross/year-2023"),'中古車掲載'!U944,"")</x:f>
      </x:c>
      <x:c r="BD943" t="str">
        <x:f>IF(AND('中古車掲載'!C944="One2car",'中古車掲載'!F944="ATTO 3",'中古車掲載'!L944="EXTENDED RANGE",'中古車掲載'!J944=2023,ISNUMBER('中古車掲載'!N944),'中古車掲載'!N944&gt;=20000,'中古車掲載'!O944&lt;=50000,'中古車掲載'!AL944=1),'中古車掲載'!U944,"")</x:f>
      </x:c>
      <x:c r="BE943" t="str">
        <x:f>IF(AND('中古車掲載'!C944="One2car",'中古車掲載'!F944="Corolla Cross",'中古車掲載'!L944="HEV PREMIUM SAFETY",'中古車掲載'!J944=2023,ISNUMBER('中古車掲載'!N944),'中古車掲載'!N944&gt;=20000,'中古車掲載'!O944&lt;=50000,'中古車掲載'!AL944=1,'中古車掲載'!Z944="https://www.one2car.com/en/cars-for-sale/toyota/corolla-cross/year-2023"),'中古車掲載'!U944,"")</x:f>
      </x:c>
      <x:c r="BF943" t="str">
        <x:f>IF(AND('中古車掲載'!C944="One2car",'中古車掲載'!F944="Corolla Cross",'中古車掲載'!L944="HEV PREMIUM",'中古車掲載'!J944=2023,ISNUMBER('中古車掲載'!N944),'中古車掲載'!N944&gt;=20000,'中古車掲載'!O944&lt;=100000,'中古車掲載'!AL944=1,'中古車掲載'!Z944="https://www.one2car.com/en/cars-for-sale/toyota/corolla-cross/year-2023"),'中古車掲載'!U944,"")</x:f>
      </x:c>
      <x:c r="BG943" t="str">
        <x:f>IF(AND('中古車掲載'!C944="One2car",'中古車掲載'!F944="Corolla Cross",'中古車掲載'!L944="HEV GR SPORT",'中古車掲載'!J944=2023,ISNUMBER('中古車掲載'!N944),'中古車掲載'!N944&gt;=20000,'中古車掲載'!O944&lt;=100000,'中古車掲載'!AL944=1,'中古車掲載'!Z944="https://www.one2car.com/en/cars-for-sale/toyota/corolla-cross/year-2023"),'中古車掲載'!U944,"")</x:f>
      </x:c>
      <x:c r="BH943" t="str">
        <x:f>IF(AND('中古車掲載'!C944="One2car",'中古車掲載'!F944="DOLPHIN",'中古車掲載'!L944="STANDARD RANGE",'中古車掲載'!J944=2023,ISNUMBER('中古車掲載'!N944),'中古車掲載'!N944&gt;=20000,'中古車掲載'!O944&lt;=100000,'中古車掲載'!AL944=1),'中古車掲載'!U944,"")</x:f>
      </x:c>
      <x:c r="BI943" t="str">
        <x:v>Taladrod|Yaris Ativ|ICE|Unknown</x:v>
      </x:c>
      <x:c r="BJ943" t="n">
        <x:v>944</x:v>
      </x:c>
      <x:c r="BK943" t="n">
        <x:f>'中古車掲載'!AM944</x:f>
        <x:v>389000</x:v>
      </x:c>
      <x:c r="BL943" t="str">
        <x:f>IF(ISNUMBER('中古車掲載'!AN944),'中古車掲載'!AN944,"")</x:f>
      </x:c>
    </x:row>
    <x:row r="944">
      <x:c r="AZ944" t="str">
        <x:f>IF(AND('中古車掲載'!C945="One2car",'中古車掲載'!F945="ATTO 3",'中古車掲載'!L945="EXTENDED RANGE",'中古車掲載'!J945=2023,ISNUMBER('中古車掲載'!N945),'中古車掲載'!N945&gt;=20000,'中古車掲載'!O945&lt;=100000,'中古車掲載'!AL945=1),'中古車掲載'!U945,"")</x:f>
      </x:c>
      <x:c r="BA944" t="str">
        <x:f>IF(AND('中古車掲載'!C945="One2car",'中古車掲載'!F945="Corolla Cross",'中古車掲載'!L945="HEV PREMIUM SAFETY",'中古車掲載'!J945=2023,ISNUMBER('中古車掲載'!N945),'中古車掲載'!N945&gt;=20000,'中古車掲載'!O945&lt;=100000,'中古車掲載'!AL945=1,'中古車掲載'!Z945="https://www.one2car.com/en/cars-for-sale/toyota/corolla-cross/year-2023"),'中古車掲載'!U945,"")</x:f>
      </x:c>
      <x:c r="BB944" t="str">
        <x:f>IF(AND('中古車掲載'!C945="One2car",'中古車掲載'!F945="ATTO 3",'中古車掲載'!L945="EXTENDED RANGE",'中古車掲載'!J945=2023,ISNUMBER('中古車掲載'!N945),'中古車掲載'!N945&gt;=50000,'中古車掲載'!O945&lt;=100000,'中古車掲載'!AL945=1),'中古車掲載'!U945,"")</x:f>
      </x:c>
      <x:c r="BC944" t="str">
        <x:f>IF(AND('中古車掲載'!C945="One2car",'中古車掲載'!F945="Corolla Cross",'中古車掲載'!L945="HEV PREMIUM SAFETY",'中古車掲載'!J945=2023,ISNUMBER('中古車掲載'!N945),'中古車掲載'!N945&gt;=50000,'中古車掲載'!O945&lt;=100000,'中古車掲載'!AL945=1,'中古車掲載'!Z945="https://www.one2car.com/en/cars-for-sale/toyota/corolla-cross/year-2023"),'中古車掲載'!U945,"")</x:f>
      </x:c>
      <x:c r="BD944" t="str">
        <x:f>IF(AND('中古車掲載'!C945="One2car",'中古車掲載'!F945="ATTO 3",'中古車掲載'!L945="EXTENDED RANGE",'中古車掲載'!J945=2023,ISNUMBER('中古車掲載'!N945),'中古車掲載'!N945&gt;=20000,'中古車掲載'!O945&lt;=50000,'中古車掲載'!AL945=1),'中古車掲載'!U945,"")</x:f>
      </x:c>
      <x:c r="BE944" t="str">
        <x:f>IF(AND('中古車掲載'!C945="One2car",'中古車掲載'!F945="Corolla Cross",'中古車掲載'!L945="HEV PREMIUM SAFETY",'中古車掲載'!J945=2023,ISNUMBER('中古車掲載'!N945),'中古車掲載'!N945&gt;=20000,'中古車掲載'!O945&lt;=50000,'中古車掲載'!AL945=1,'中古車掲載'!Z945="https://www.one2car.com/en/cars-for-sale/toyota/corolla-cross/year-2023"),'中古車掲載'!U945,"")</x:f>
      </x:c>
      <x:c r="BF944" t="str">
        <x:f>IF(AND('中古車掲載'!C945="One2car",'中古車掲載'!F945="Corolla Cross",'中古車掲載'!L945="HEV PREMIUM",'中古車掲載'!J945=2023,ISNUMBER('中古車掲載'!N945),'中古車掲載'!N945&gt;=20000,'中古車掲載'!O945&lt;=100000,'中古車掲載'!AL945=1,'中古車掲載'!Z945="https://www.one2car.com/en/cars-for-sale/toyota/corolla-cross/year-2023"),'中古車掲載'!U945,"")</x:f>
      </x:c>
      <x:c r="BG944" t="str">
        <x:f>IF(AND('中古車掲載'!C945="One2car",'中古車掲載'!F945="Corolla Cross",'中古車掲載'!L945="HEV GR SPORT",'中古車掲載'!J945=2023,ISNUMBER('中古車掲載'!N945),'中古車掲載'!N945&gt;=20000,'中古車掲載'!O945&lt;=100000,'中古車掲載'!AL945=1,'中古車掲載'!Z945="https://www.one2car.com/en/cars-for-sale/toyota/corolla-cross/year-2023"),'中古車掲載'!U945,"")</x:f>
      </x:c>
      <x:c r="BH944" t="str">
        <x:f>IF(AND('中古車掲載'!C945="One2car",'中古車掲載'!F945="DOLPHIN",'中古車掲載'!L945="STANDARD RANGE",'中古車掲載'!J945=2023,ISNUMBER('中古車掲載'!N945),'中古車掲載'!N945&gt;=20000,'中古車掲載'!O945&lt;=100000,'中古車掲載'!AL945=1),'中古車掲載'!U945,"")</x:f>
      </x:c>
      <x:c r="BI944" t="str">
        <x:v>Taladrod|Yaris Ativ|ICE|Unknown</x:v>
      </x:c>
      <x:c r="BJ944" t="n">
        <x:v>945</x:v>
      </x:c>
      <x:c r="BK944" t="n">
        <x:f>'中古車掲載'!AM945</x:f>
        <x:v>295000</x:v>
      </x:c>
      <x:c r="BL944" t="str">
        <x:f>IF(ISNUMBER('中古車掲載'!AN945),'中古車掲載'!AN945,"")</x:f>
      </x:c>
    </x:row>
    <x:row r="945">
      <x:c r="AZ945" t="str">
        <x:f>IF(AND('中古車掲載'!C946="One2car",'中古車掲載'!F946="ATTO 3",'中古車掲載'!L946="EXTENDED RANGE",'中古車掲載'!J946=2023,ISNUMBER('中古車掲載'!N946),'中古車掲載'!N946&gt;=20000,'中古車掲載'!O946&lt;=100000,'中古車掲載'!AL946=1),'中古車掲載'!U946,"")</x:f>
      </x:c>
      <x:c r="BA945" t="str">
        <x:f>IF(AND('中古車掲載'!C946="One2car",'中古車掲載'!F946="Corolla Cross",'中古車掲載'!L946="HEV PREMIUM SAFETY",'中古車掲載'!J946=2023,ISNUMBER('中古車掲載'!N946),'中古車掲載'!N946&gt;=20000,'中古車掲載'!O946&lt;=100000,'中古車掲載'!AL946=1,'中古車掲載'!Z946="https://www.one2car.com/en/cars-for-sale/toyota/corolla-cross/year-2023"),'中古車掲載'!U946,"")</x:f>
      </x:c>
      <x:c r="BB945" t="str">
        <x:f>IF(AND('中古車掲載'!C946="One2car",'中古車掲載'!F946="ATTO 3",'中古車掲載'!L946="EXTENDED RANGE",'中古車掲載'!J946=2023,ISNUMBER('中古車掲載'!N946),'中古車掲載'!N946&gt;=50000,'中古車掲載'!O946&lt;=100000,'中古車掲載'!AL946=1),'中古車掲載'!U946,"")</x:f>
      </x:c>
      <x:c r="BC945" t="str">
        <x:f>IF(AND('中古車掲載'!C946="One2car",'中古車掲載'!F946="Corolla Cross",'中古車掲載'!L946="HEV PREMIUM SAFETY",'中古車掲載'!J946=2023,ISNUMBER('中古車掲載'!N946),'中古車掲載'!N946&gt;=50000,'中古車掲載'!O946&lt;=100000,'中古車掲載'!AL946=1,'中古車掲載'!Z946="https://www.one2car.com/en/cars-for-sale/toyota/corolla-cross/year-2023"),'中古車掲載'!U946,"")</x:f>
      </x:c>
      <x:c r="BD945" t="str">
        <x:f>IF(AND('中古車掲載'!C946="One2car",'中古車掲載'!F946="ATTO 3",'中古車掲載'!L946="EXTENDED RANGE",'中古車掲載'!J946=2023,ISNUMBER('中古車掲載'!N946),'中古車掲載'!N946&gt;=20000,'中古車掲載'!O946&lt;=50000,'中古車掲載'!AL946=1),'中古車掲載'!U946,"")</x:f>
      </x:c>
      <x:c r="BE945" t="str">
        <x:f>IF(AND('中古車掲載'!C946="One2car",'中古車掲載'!F946="Corolla Cross",'中古車掲載'!L946="HEV PREMIUM SAFETY",'中古車掲載'!J946=2023,ISNUMBER('中古車掲載'!N946),'中古車掲載'!N946&gt;=20000,'中古車掲載'!O946&lt;=50000,'中古車掲載'!AL946=1,'中古車掲載'!Z946="https://www.one2car.com/en/cars-for-sale/toyota/corolla-cross/year-2023"),'中古車掲載'!U946,"")</x:f>
      </x:c>
      <x:c r="BF945" t="str">
        <x:f>IF(AND('中古車掲載'!C946="One2car",'中古車掲載'!F946="Corolla Cross",'中古車掲載'!L946="HEV PREMIUM",'中古車掲載'!J946=2023,ISNUMBER('中古車掲載'!N946),'中古車掲載'!N946&gt;=20000,'中古車掲載'!O946&lt;=100000,'中古車掲載'!AL946=1,'中古車掲載'!Z946="https://www.one2car.com/en/cars-for-sale/toyota/corolla-cross/year-2023"),'中古車掲載'!U946,"")</x:f>
      </x:c>
      <x:c r="BG945" t="str">
        <x:f>IF(AND('中古車掲載'!C946="One2car",'中古車掲載'!F946="Corolla Cross",'中古車掲載'!L946="HEV GR SPORT",'中古車掲載'!J946=2023,ISNUMBER('中古車掲載'!N946),'中古車掲載'!N946&gt;=20000,'中古車掲載'!O946&lt;=100000,'中古車掲載'!AL946=1,'中古車掲載'!Z946="https://www.one2car.com/en/cars-for-sale/toyota/corolla-cross/year-2023"),'中古車掲載'!U946,"")</x:f>
      </x:c>
      <x:c r="BH945" t="str">
        <x:f>IF(AND('中古車掲載'!C946="One2car",'中古車掲載'!F946="DOLPHIN",'中古車掲載'!L946="STANDARD RANGE",'中古車掲載'!J946=2023,ISNUMBER('中古車掲載'!N946),'中古車掲載'!N946&gt;=20000,'中古車掲載'!O946&lt;=100000,'中古車掲載'!AL946=1),'中古車掲載'!U946,"")</x:f>
      </x:c>
      <x:c r="BI945" t="str">
        <x:v>Taladrod|Yaris Ativ|ICE|Unknown</x:v>
      </x:c>
      <x:c r="BJ945" t="n">
        <x:v>946</x:v>
      </x:c>
      <x:c r="BK945" t="n">
        <x:f>'中古車掲載'!AM946</x:f>
        <x:v>297000</x:v>
      </x:c>
      <x:c r="BL945" t="str">
        <x:f>IF(ISNUMBER('中古車掲載'!AN946),'中古車掲載'!AN946,"")</x:f>
      </x:c>
    </x:row>
    <x:row r="946">
      <x:c r="AZ946" t="str">
        <x:f>IF(AND('中古車掲載'!C947="One2car",'中古車掲載'!F947="ATTO 3",'中古車掲載'!L947="EXTENDED RANGE",'中古車掲載'!J947=2023,ISNUMBER('中古車掲載'!N947),'中古車掲載'!N947&gt;=20000,'中古車掲載'!O947&lt;=100000,'中古車掲載'!AL947=1),'中古車掲載'!U947,"")</x:f>
      </x:c>
      <x:c r="BA946" t="str">
        <x:f>IF(AND('中古車掲載'!C947="One2car",'中古車掲載'!F947="Corolla Cross",'中古車掲載'!L947="HEV PREMIUM SAFETY",'中古車掲載'!J947=2023,ISNUMBER('中古車掲載'!N947),'中古車掲載'!N947&gt;=20000,'中古車掲載'!O947&lt;=100000,'中古車掲載'!AL947=1,'中古車掲載'!Z947="https://www.one2car.com/en/cars-for-sale/toyota/corolla-cross/year-2023"),'中古車掲載'!U947,"")</x:f>
      </x:c>
      <x:c r="BB946" t="str">
        <x:f>IF(AND('中古車掲載'!C947="One2car",'中古車掲載'!F947="ATTO 3",'中古車掲載'!L947="EXTENDED RANGE",'中古車掲載'!J947=2023,ISNUMBER('中古車掲載'!N947),'中古車掲載'!N947&gt;=50000,'中古車掲載'!O947&lt;=100000,'中古車掲載'!AL947=1),'中古車掲載'!U947,"")</x:f>
      </x:c>
      <x:c r="BC946" t="str">
        <x:f>IF(AND('中古車掲載'!C947="One2car",'中古車掲載'!F947="Corolla Cross",'中古車掲載'!L947="HEV PREMIUM SAFETY",'中古車掲載'!J947=2023,ISNUMBER('中古車掲載'!N947),'中古車掲載'!N947&gt;=50000,'中古車掲載'!O947&lt;=100000,'中古車掲載'!AL947=1,'中古車掲載'!Z947="https://www.one2car.com/en/cars-for-sale/toyota/corolla-cross/year-2023"),'中古車掲載'!U947,"")</x:f>
      </x:c>
      <x:c r="BD946" t="str">
        <x:f>IF(AND('中古車掲載'!C947="One2car",'中古車掲載'!F947="ATTO 3",'中古車掲載'!L947="EXTENDED RANGE",'中古車掲載'!J947=2023,ISNUMBER('中古車掲載'!N947),'中古車掲載'!N947&gt;=20000,'中古車掲載'!O947&lt;=50000,'中古車掲載'!AL947=1),'中古車掲載'!U947,"")</x:f>
      </x:c>
      <x:c r="BE946" t="str">
        <x:f>IF(AND('中古車掲載'!C947="One2car",'中古車掲載'!F947="Corolla Cross",'中古車掲載'!L947="HEV PREMIUM SAFETY",'中古車掲載'!J947=2023,ISNUMBER('中古車掲載'!N947),'中古車掲載'!N947&gt;=20000,'中古車掲載'!O947&lt;=50000,'中古車掲載'!AL947=1,'中古車掲載'!Z947="https://www.one2car.com/en/cars-for-sale/toyota/corolla-cross/year-2023"),'中古車掲載'!U947,"")</x:f>
      </x:c>
      <x:c r="BF946" t="str">
        <x:f>IF(AND('中古車掲載'!C947="One2car",'中古車掲載'!F947="Corolla Cross",'中古車掲載'!L947="HEV PREMIUM",'中古車掲載'!J947=2023,ISNUMBER('中古車掲載'!N947),'中古車掲載'!N947&gt;=20000,'中古車掲載'!O947&lt;=100000,'中古車掲載'!AL947=1,'中古車掲載'!Z947="https://www.one2car.com/en/cars-for-sale/toyota/corolla-cross/year-2023"),'中古車掲載'!U947,"")</x:f>
      </x:c>
      <x:c r="BG946" t="str">
        <x:f>IF(AND('中古車掲載'!C947="One2car",'中古車掲載'!F947="Corolla Cross",'中古車掲載'!L947="HEV GR SPORT",'中古車掲載'!J947=2023,ISNUMBER('中古車掲載'!N947),'中古車掲載'!N947&gt;=20000,'中古車掲載'!O947&lt;=100000,'中古車掲載'!AL947=1,'中古車掲載'!Z947="https://www.one2car.com/en/cars-for-sale/toyota/corolla-cross/year-2023"),'中古車掲載'!U947,"")</x:f>
      </x:c>
      <x:c r="BH946" t="str">
        <x:f>IF(AND('中古車掲載'!C947="One2car",'中古車掲載'!F947="DOLPHIN",'中古車掲載'!L947="STANDARD RANGE",'中古車掲載'!J947=2023,ISNUMBER('中古車掲載'!N947),'中古車掲載'!N947&gt;=20000,'中古車掲載'!O947&lt;=100000,'中古車掲載'!AL947=1),'中古車掲載'!U947,"")</x:f>
      </x:c>
      <x:c r="BI946" t="str">
        <x:v>Taladrod|Yaris Ativ|ICE|Unknown</x:v>
      </x:c>
      <x:c r="BJ946" t="n">
        <x:v>947</x:v>
      </x:c>
      <x:c r="BK946" t="n">
        <x:f>'中古車掲載'!AM947</x:f>
        <x:v>359000</x:v>
      </x:c>
      <x:c r="BL946" t="str">
        <x:f>IF(ISNUMBER('中古車掲載'!AN947),'中古車掲載'!AN947,"")</x:f>
      </x:c>
    </x:row>
    <x:row r="947">
      <x:c r="AZ947" t="str">
        <x:f>IF(AND('中古車掲載'!C948="One2car",'中古車掲載'!F948="ATTO 3",'中古車掲載'!L948="EXTENDED RANGE",'中古車掲載'!J948=2023,ISNUMBER('中古車掲載'!N948),'中古車掲載'!N948&gt;=20000,'中古車掲載'!O948&lt;=100000,'中古車掲載'!AL948=1),'中古車掲載'!U948,"")</x:f>
      </x:c>
      <x:c r="BA947" t="str">
        <x:f>IF(AND('中古車掲載'!C948="One2car",'中古車掲載'!F948="Corolla Cross",'中古車掲載'!L948="HEV PREMIUM SAFETY",'中古車掲載'!J948=2023,ISNUMBER('中古車掲載'!N948),'中古車掲載'!N948&gt;=20000,'中古車掲載'!O948&lt;=100000,'中古車掲載'!AL948=1,'中古車掲載'!Z948="https://www.one2car.com/en/cars-for-sale/toyota/corolla-cross/year-2023"),'中古車掲載'!U948,"")</x:f>
      </x:c>
      <x:c r="BB947" t="str">
        <x:f>IF(AND('中古車掲載'!C948="One2car",'中古車掲載'!F948="ATTO 3",'中古車掲載'!L948="EXTENDED RANGE",'中古車掲載'!J948=2023,ISNUMBER('中古車掲載'!N948),'中古車掲載'!N948&gt;=50000,'中古車掲載'!O948&lt;=100000,'中古車掲載'!AL948=1),'中古車掲載'!U948,"")</x:f>
      </x:c>
      <x:c r="BC947" t="str">
        <x:f>IF(AND('中古車掲載'!C948="One2car",'中古車掲載'!F948="Corolla Cross",'中古車掲載'!L948="HEV PREMIUM SAFETY",'中古車掲載'!J948=2023,ISNUMBER('中古車掲載'!N948),'中古車掲載'!N948&gt;=50000,'中古車掲載'!O948&lt;=100000,'中古車掲載'!AL948=1,'中古車掲載'!Z948="https://www.one2car.com/en/cars-for-sale/toyota/corolla-cross/year-2023"),'中古車掲載'!U948,"")</x:f>
      </x:c>
      <x:c r="BD947" t="str">
        <x:f>IF(AND('中古車掲載'!C948="One2car",'中古車掲載'!F948="ATTO 3",'中古車掲載'!L948="EXTENDED RANGE",'中古車掲載'!J948=2023,ISNUMBER('中古車掲載'!N948),'中古車掲載'!N948&gt;=20000,'中古車掲載'!O948&lt;=50000,'中古車掲載'!AL948=1),'中古車掲載'!U948,"")</x:f>
      </x:c>
      <x:c r="BE947" t="str">
        <x:f>IF(AND('中古車掲載'!C948="One2car",'中古車掲載'!F948="Corolla Cross",'中古車掲載'!L948="HEV PREMIUM SAFETY",'中古車掲載'!J948=2023,ISNUMBER('中古車掲載'!N948),'中古車掲載'!N948&gt;=20000,'中古車掲載'!O948&lt;=50000,'中古車掲載'!AL948=1,'中古車掲載'!Z948="https://www.one2car.com/en/cars-for-sale/toyota/corolla-cross/year-2023"),'中古車掲載'!U948,"")</x:f>
      </x:c>
      <x:c r="BF947" t="str">
        <x:f>IF(AND('中古車掲載'!C948="One2car",'中古車掲載'!F948="Corolla Cross",'中古車掲載'!L948="HEV PREMIUM",'中古車掲載'!J948=2023,ISNUMBER('中古車掲載'!N948),'中古車掲載'!N948&gt;=20000,'中古車掲載'!O948&lt;=100000,'中古車掲載'!AL948=1,'中古車掲載'!Z948="https://www.one2car.com/en/cars-for-sale/toyota/corolla-cross/year-2023"),'中古車掲載'!U948,"")</x:f>
      </x:c>
      <x:c r="BG947" t="str">
        <x:f>IF(AND('中古車掲載'!C948="One2car",'中古車掲載'!F948="Corolla Cross",'中古車掲載'!L948="HEV GR SPORT",'中古車掲載'!J948=2023,ISNUMBER('中古車掲載'!N948),'中古車掲載'!N948&gt;=20000,'中古車掲載'!O948&lt;=100000,'中古車掲載'!AL948=1,'中古車掲載'!Z948="https://www.one2car.com/en/cars-for-sale/toyota/corolla-cross/year-2023"),'中古車掲載'!U948,"")</x:f>
      </x:c>
      <x:c r="BH947" t="str">
        <x:f>IF(AND('中古車掲載'!C948="One2car",'中古車掲載'!F948="DOLPHIN",'中古車掲載'!L948="STANDARD RANGE",'中古車掲載'!J948=2023,ISNUMBER('中古車掲載'!N948),'中古車掲載'!N948&gt;=20000,'中古車掲載'!O948&lt;=100000,'中古車掲載'!AL948=1),'中古車掲載'!U948,"")</x:f>
      </x:c>
      <x:c r="BI947" t="str">
        <x:v>Taladrod|Yaris Ativ|ICE|Unknown</x:v>
      </x:c>
      <x:c r="BJ947" t="n">
        <x:v>948</x:v>
      </x:c>
      <x:c r="BK947" t="n">
        <x:f>'中古車掲載'!AM948</x:f>
        <x:v>359000</x:v>
      </x:c>
      <x:c r="BL947" t="str">
        <x:f>IF(ISNUMBER('中古車掲載'!AN948),'中古車掲載'!AN948,"")</x:f>
      </x:c>
    </x:row>
    <x:row r="948">
      <x:c r="AZ948" t="str">
        <x:f>IF(AND('中古車掲載'!C949="One2car",'中古車掲載'!F949="ATTO 3",'中古車掲載'!L949="EXTENDED RANGE",'中古車掲載'!J949=2023,ISNUMBER('中古車掲載'!N949),'中古車掲載'!N949&gt;=20000,'中古車掲載'!O949&lt;=100000,'中古車掲載'!AL949=1),'中古車掲載'!U949,"")</x:f>
      </x:c>
      <x:c r="BA948" t="str">
        <x:f>IF(AND('中古車掲載'!C949="One2car",'中古車掲載'!F949="Corolla Cross",'中古車掲載'!L949="HEV PREMIUM SAFETY",'中古車掲載'!J949=2023,ISNUMBER('中古車掲載'!N949),'中古車掲載'!N949&gt;=20000,'中古車掲載'!O949&lt;=100000,'中古車掲載'!AL949=1,'中古車掲載'!Z949="https://www.one2car.com/en/cars-for-sale/toyota/corolla-cross/year-2023"),'中古車掲載'!U949,"")</x:f>
      </x:c>
      <x:c r="BB948" t="str">
        <x:f>IF(AND('中古車掲載'!C949="One2car",'中古車掲載'!F949="ATTO 3",'中古車掲載'!L949="EXTENDED RANGE",'中古車掲載'!J949=2023,ISNUMBER('中古車掲載'!N949),'中古車掲載'!N949&gt;=50000,'中古車掲載'!O949&lt;=100000,'中古車掲載'!AL949=1),'中古車掲載'!U949,"")</x:f>
      </x:c>
      <x:c r="BC948" t="str">
        <x:f>IF(AND('中古車掲載'!C949="One2car",'中古車掲載'!F949="Corolla Cross",'中古車掲載'!L949="HEV PREMIUM SAFETY",'中古車掲載'!J949=2023,ISNUMBER('中古車掲載'!N949),'中古車掲載'!N949&gt;=50000,'中古車掲載'!O949&lt;=100000,'中古車掲載'!AL949=1,'中古車掲載'!Z949="https://www.one2car.com/en/cars-for-sale/toyota/corolla-cross/year-2023"),'中古車掲載'!U949,"")</x:f>
      </x:c>
      <x:c r="BD948" t="str">
        <x:f>IF(AND('中古車掲載'!C949="One2car",'中古車掲載'!F949="ATTO 3",'中古車掲載'!L949="EXTENDED RANGE",'中古車掲載'!J949=2023,ISNUMBER('中古車掲載'!N949),'中古車掲載'!N949&gt;=20000,'中古車掲載'!O949&lt;=50000,'中古車掲載'!AL949=1),'中古車掲載'!U949,"")</x:f>
      </x:c>
      <x:c r="BE948" t="str">
        <x:f>IF(AND('中古車掲載'!C949="One2car",'中古車掲載'!F949="Corolla Cross",'中古車掲載'!L949="HEV PREMIUM SAFETY",'中古車掲載'!J949=2023,ISNUMBER('中古車掲載'!N949),'中古車掲載'!N949&gt;=20000,'中古車掲載'!O949&lt;=50000,'中古車掲載'!AL949=1,'中古車掲載'!Z949="https://www.one2car.com/en/cars-for-sale/toyota/corolla-cross/year-2023"),'中古車掲載'!U949,"")</x:f>
      </x:c>
      <x:c r="BF948" t="str">
        <x:f>IF(AND('中古車掲載'!C949="One2car",'中古車掲載'!F949="Corolla Cross",'中古車掲載'!L949="HEV PREMIUM",'中古車掲載'!J949=2023,ISNUMBER('中古車掲載'!N949),'中古車掲載'!N949&gt;=20000,'中古車掲載'!O949&lt;=100000,'中古車掲載'!AL949=1,'中古車掲載'!Z949="https://www.one2car.com/en/cars-for-sale/toyota/corolla-cross/year-2023"),'中古車掲載'!U949,"")</x:f>
      </x:c>
      <x:c r="BG948" t="str">
        <x:f>IF(AND('中古車掲載'!C949="One2car",'中古車掲載'!F949="Corolla Cross",'中古車掲載'!L949="HEV GR SPORT",'中古車掲載'!J949=2023,ISNUMBER('中古車掲載'!N949),'中古車掲載'!N949&gt;=20000,'中古車掲載'!O949&lt;=100000,'中古車掲載'!AL949=1,'中古車掲載'!Z949="https://www.one2car.com/en/cars-for-sale/toyota/corolla-cross/year-2023"),'中古車掲載'!U949,"")</x:f>
      </x:c>
      <x:c r="BH948" t="str">
        <x:f>IF(AND('中古車掲載'!C949="One2car",'中古車掲載'!F949="DOLPHIN",'中古車掲載'!L949="STANDARD RANGE",'中古車掲載'!J949=2023,ISNUMBER('中古車掲載'!N949),'中古車掲載'!N949&gt;=20000,'中古車掲載'!O949&lt;=100000,'中古車掲載'!AL949=1),'中古車掲載'!U949,"")</x:f>
      </x:c>
      <x:c r="BI948" t="str">
        <x:v>Taladrod|Yaris Ativ|ICE|Unknown</x:v>
      </x:c>
      <x:c r="BJ948" t="n">
        <x:v>949</x:v>
      </x:c>
      <x:c r="BK948" t="n">
        <x:f>'中古車掲載'!AM949</x:f>
        <x:v>259000</x:v>
      </x:c>
      <x:c r="BL948" t="str">
        <x:f>IF(ISNUMBER('中古車掲載'!AN949),'中古車掲載'!AN949,"")</x:f>
      </x:c>
    </x:row>
    <x:row r="949">
      <x:c r="AZ949" t="str">
        <x:f>IF(AND('中古車掲載'!C950="One2car",'中古車掲載'!F950="ATTO 3",'中古車掲載'!L950="EXTENDED RANGE",'中古車掲載'!J950=2023,ISNUMBER('中古車掲載'!N950),'中古車掲載'!N950&gt;=20000,'中古車掲載'!O950&lt;=100000,'中古車掲載'!AL950=1),'中古車掲載'!U950,"")</x:f>
      </x:c>
      <x:c r="BA949" t="str">
        <x:f>IF(AND('中古車掲載'!C950="One2car",'中古車掲載'!F950="Corolla Cross",'中古車掲載'!L950="HEV PREMIUM SAFETY",'中古車掲載'!J950=2023,ISNUMBER('中古車掲載'!N950),'中古車掲載'!N950&gt;=20000,'中古車掲載'!O950&lt;=100000,'中古車掲載'!AL950=1,'中古車掲載'!Z950="https://www.one2car.com/en/cars-for-sale/toyota/corolla-cross/year-2023"),'中古車掲載'!U950,"")</x:f>
      </x:c>
      <x:c r="BB949" t="str">
        <x:f>IF(AND('中古車掲載'!C950="One2car",'中古車掲載'!F950="ATTO 3",'中古車掲載'!L950="EXTENDED RANGE",'中古車掲載'!J950=2023,ISNUMBER('中古車掲載'!N950),'中古車掲載'!N950&gt;=50000,'中古車掲載'!O950&lt;=100000,'中古車掲載'!AL950=1),'中古車掲載'!U950,"")</x:f>
      </x:c>
      <x:c r="BC949" t="str">
        <x:f>IF(AND('中古車掲載'!C950="One2car",'中古車掲載'!F950="Corolla Cross",'中古車掲載'!L950="HEV PREMIUM SAFETY",'中古車掲載'!J950=2023,ISNUMBER('中古車掲載'!N950),'中古車掲載'!N950&gt;=50000,'中古車掲載'!O950&lt;=100000,'中古車掲載'!AL950=1,'中古車掲載'!Z950="https://www.one2car.com/en/cars-for-sale/toyota/corolla-cross/year-2023"),'中古車掲載'!U950,"")</x:f>
      </x:c>
      <x:c r="BD949" t="str">
        <x:f>IF(AND('中古車掲載'!C950="One2car",'中古車掲載'!F950="ATTO 3",'中古車掲載'!L950="EXTENDED RANGE",'中古車掲載'!J950=2023,ISNUMBER('中古車掲載'!N950),'中古車掲載'!N950&gt;=20000,'中古車掲載'!O950&lt;=50000,'中古車掲載'!AL950=1),'中古車掲載'!U950,"")</x:f>
      </x:c>
      <x:c r="BE949" t="str">
        <x:f>IF(AND('中古車掲載'!C950="One2car",'中古車掲載'!F950="Corolla Cross",'中古車掲載'!L950="HEV PREMIUM SAFETY",'中古車掲載'!J950=2023,ISNUMBER('中古車掲載'!N950),'中古車掲載'!N950&gt;=20000,'中古車掲載'!O950&lt;=50000,'中古車掲載'!AL950=1,'中古車掲載'!Z950="https://www.one2car.com/en/cars-for-sale/toyota/corolla-cross/year-2023"),'中古車掲載'!U950,"")</x:f>
      </x:c>
      <x:c r="BF949" t="str">
        <x:f>IF(AND('中古車掲載'!C950="One2car",'中古車掲載'!F950="Corolla Cross",'中古車掲載'!L950="HEV PREMIUM",'中古車掲載'!J950=2023,ISNUMBER('中古車掲載'!N950),'中古車掲載'!N950&gt;=20000,'中古車掲載'!O950&lt;=100000,'中古車掲載'!AL950=1,'中古車掲載'!Z950="https://www.one2car.com/en/cars-for-sale/toyota/corolla-cross/year-2023"),'中古車掲載'!U950,"")</x:f>
      </x:c>
      <x:c r="BG949" t="str">
        <x:f>IF(AND('中古車掲載'!C950="One2car",'中古車掲載'!F950="Corolla Cross",'中古車掲載'!L950="HEV GR SPORT",'中古車掲載'!J950=2023,ISNUMBER('中古車掲載'!N950),'中古車掲載'!N950&gt;=20000,'中古車掲載'!O950&lt;=100000,'中古車掲載'!AL950=1,'中古車掲載'!Z950="https://www.one2car.com/en/cars-for-sale/toyota/corolla-cross/year-2023"),'中古車掲載'!U950,"")</x:f>
      </x:c>
      <x:c r="BH949" t="str">
        <x:f>IF(AND('中古車掲載'!C950="One2car",'中古車掲載'!F950="DOLPHIN",'中古車掲載'!L950="STANDARD RANGE",'中古車掲載'!J950=2023,ISNUMBER('中古車掲載'!N950),'中古車掲載'!N950&gt;=20000,'中古車掲載'!O950&lt;=100000,'中古車掲載'!AL950=1),'中古車掲載'!U950,"")</x:f>
      </x:c>
      <x:c r="BI949" t="str">
        <x:v>Taladrod|Yaris Ativ|ICE|Unknown</x:v>
      </x:c>
      <x:c r="BJ949" t="n">
        <x:v>950</x:v>
      </x:c>
      <x:c r="BK949" t="n">
        <x:f>'中古車掲載'!AM950</x:f>
        <x:v>359000</x:v>
      </x:c>
      <x:c r="BL949" t="str">
        <x:f>IF(ISNUMBER('中古車掲載'!AN950),'中古車掲載'!AN950,"")</x:f>
      </x:c>
    </x:row>
    <x:row r="950">
      <x:c r="AZ950" t="str">
        <x:f>IF(AND('中古車掲載'!C951="One2car",'中古車掲載'!F951="ATTO 3",'中古車掲載'!L951="EXTENDED RANGE",'中古車掲載'!J951=2023,ISNUMBER('中古車掲載'!N951),'中古車掲載'!N951&gt;=20000,'中古車掲載'!O951&lt;=100000,'中古車掲載'!AL951=1),'中古車掲載'!U951,"")</x:f>
      </x:c>
      <x:c r="BA950" t="str">
        <x:f>IF(AND('中古車掲載'!C951="One2car",'中古車掲載'!F951="Corolla Cross",'中古車掲載'!L951="HEV PREMIUM SAFETY",'中古車掲載'!J951=2023,ISNUMBER('中古車掲載'!N951),'中古車掲載'!N951&gt;=20000,'中古車掲載'!O951&lt;=100000,'中古車掲載'!AL951=1,'中古車掲載'!Z951="https://www.one2car.com/en/cars-for-sale/toyota/corolla-cross/year-2023"),'中古車掲載'!U951,"")</x:f>
      </x:c>
      <x:c r="BB950" t="str">
        <x:f>IF(AND('中古車掲載'!C951="One2car",'中古車掲載'!F951="ATTO 3",'中古車掲載'!L951="EXTENDED RANGE",'中古車掲載'!J951=2023,ISNUMBER('中古車掲載'!N951),'中古車掲載'!N951&gt;=50000,'中古車掲載'!O951&lt;=100000,'中古車掲載'!AL951=1),'中古車掲載'!U951,"")</x:f>
      </x:c>
      <x:c r="BC950" t="str">
        <x:f>IF(AND('中古車掲載'!C951="One2car",'中古車掲載'!F951="Corolla Cross",'中古車掲載'!L951="HEV PREMIUM SAFETY",'中古車掲載'!J951=2023,ISNUMBER('中古車掲載'!N951),'中古車掲載'!N951&gt;=50000,'中古車掲載'!O951&lt;=100000,'中古車掲載'!AL951=1,'中古車掲載'!Z951="https://www.one2car.com/en/cars-for-sale/toyota/corolla-cross/year-2023"),'中古車掲載'!U951,"")</x:f>
      </x:c>
      <x:c r="BD950" t="str">
        <x:f>IF(AND('中古車掲載'!C951="One2car",'中古車掲載'!F951="ATTO 3",'中古車掲載'!L951="EXTENDED RANGE",'中古車掲載'!J951=2023,ISNUMBER('中古車掲載'!N951),'中古車掲載'!N951&gt;=20000,'中古車掲載'!O951&lt;=50000,'中古車掲載'!AL951=1),'中古車掲載'!U951,"")</x:f>
      </x:c>
      <x:c r="BE950" t="str">
        <x:f>IF(AND('中古車掲載'!C951="One2car",'中古車掲載'!F951="Corolla Cross",'中古車掲載'!L951="HEV PREMIUM SAFETY",'中古車掲載'!J951=2023,ISNUMBER('中古車掲載'!N951),'中古車掲載'!N951&gt;=20000,'中古車掲載'!O951&lt;=50000,'中古車掲載'!AL951=1,'中古車掲載'!Z951="https://www.one2car.com/en/cars-for-sale/toyota/corolla-cross/year-2023"),'中古車掲載'!U951,"")</x:f>
      </x:c>
      <x:c r="BF950" t="str">
        <x:f>IF(AND('中古車掲載'!C951="One2car",'中古車掲載'!F951="Corolla Cross",'中古車掲載'!L951="HEV PREMIUM",'中古車掲載'!J951=2023,ISNUMBER('中古車掲載'!N951),'中古車掲載'!N951&gt;=20000,'中古車掲載'!O951&lt;=100000,'中古車掲載'!AL951=1,'中古車掲載'!Z951="https://www.one2car.com/en/cars-for-sale/toyota/corolla-cross/year-2023"),'中古車掲載'!U951,"")</x:f>
      </x:c>
      <x:c r="BG950" t="str">
        <x:f>IF(AND('中古車掲載'!C951="One2car",'中古車掲載'!F951="Corolla Cross",'中古車掲載'!L951="HEV GR SPORT",'中古車掲載'!J951=2023,ISNUMBER('中古車掲載'!N951),'中古車掲載'!N951&gt;=20000,'中古車掲載'!O951&lt;=100000,'中古車掲載'!AL951=1,'中古車掲載'!Z951="https://www.one2car.com/en/cars-for-sale/toyota/corolla-cross/year-2023"),'中古車掲載'!U951,"")</x:f>
      </x:c>
      <x:c r="BH950" t="str">
        <x:f>IF(AND('中古車掲載'!C951="One2car",'中古車掲載'!F951="DOLPHIN",'中古車掲載'!L951="STANDARD RANGE",'中古車掲載'!J951=2023,ISNUMBER('中古車掲載'!N951),'中古車掲載'!N951&gt;=20000,'中古車掲載'!O951&lt;=100000,'中古車掲載'!AL951=1),'中古車掲載'!U951,"")</x:f>
      </x:c>
      <x:c r="BI950" t="str">
        <x:v>Taladrod|Yaris Ativ|ICE|Unknown</x:v>
      </x:c>
      <x:c r="BJ950" t="n">
        <x:v>951</x:v>
      </x:c>
      <x:c r="BK950" t="n">
        <x:f>'中古車掲載'!AM951</x:f>
        <x:v>359000</x:v>
      </x:c>
      <x:c r="BL950" t="str">
        <x:f>IF(ISNUMBER('中古車掲載'!AN951),'中古車掲載'!AN951,"")</x:f>
      </x:c>
    </x:row>
    <x:row r="951">
      <x:c r="AZ951" t="str">
        <x:f>IF(AND('中古車掲載'!C952="One2car",'中古車掲載'!F952="ATTO 3",'中古車掲載'!L952="EXTENDED RANGE",'中古車掲載'!J952=2023,ISNUMBER('中古車掲載'!N952),'中古車掲載'!N952&gt;=20000,'中古車掲載'!O952&lt;=100000,'中古車掲載'!AL952=1),'中古車掲載'!U952,"")</x:f>
      </x:c>
      <x:c r="BA951" t="str">
        <x:f>IF(AND('中古車掲載'!C952="One2car",'中古車掲載'!F952="Corolla Cross",'中古車掲載'!L952="HEV PREMIUM SAFETY",'中古車掲載'!J952=2023,ISNUMBER('中古車掲載'!N952),'中古車掲載'!N952&gt;=20000,'中古車掲載'!O952&lt;=100000,'中古車掲載'!AL952=1,'中古車掲載'!Z952="https://www.one2car.com/en/cars-for-sale/toyota/corolla-cross/year-2023"),'中古車掲載'!U952,"")</x:f>
      </x:c>
      <x:c r="BB951" t="str">
        <x:f>IF(AND('中古車掲載'!C952="One2car",'中古車掲載'!F952="ATTO 3",'中古車掲載'!L952="EXTENDED RANGE",'中古車掲載'!J952=2023,ISNUMBER('中古車掲載'!N952),'中古車掲載'!N952&gt;=50000,'中古車掲載'!O952&lt;=100000,'中古車掲載'!AL952=1),'中古車掲載'!U952,"")</x:f>
      </x:c>
      <x:c r="BC951" t="str">
        <x:f>IF(AND('中古車掲載'!C952="One2car",'中古車掲載'!F952="Corolla Cross",'中古車掲載'!L952="HEV PREMIUM SAFETY",'中古車掲載'!J952=2023,ISNUMBER('中古車掲載'!N952),'中古車掲載'!N952&gt;=50000,'中古車掲載'!O952&lt;=100000,'中古車掲載'!AL952=1,'中古車掲載'!Z952="https://www.one2car.com/en/cars-for-sale/toyota/corolla-cross/year-2023"),'中古車掲載'!U952,"")</x:f>
      </x:c>
      <x:c r="BD951" t="str">
        <x:f>IF(AND('中古車掲載'!C952="One2car",'中古車掲載'!F952="ATTO 3",'中古車掲載'!L952="EXTENDED RANGE",'中古車掲載'!J952=2023,ISNUMBER('中古車掲載'!N952),'中古車掲載'!N952&gt;=20000,'中古車掲載'!O952&lt;=50000,'中古車掲載'!AL952=1),'中古車掲載'!U952,"")</x:f>
      </x:c>
      <x:c r="BE951" t="str">
        <x:f>IF(AND('中古車掲載'!C952="One2car",'中古車掲載'!F952="Corolla Cross",'中古車掲載'!L952="HEV PREMIUM SAFETY",'中古車掲載'!J952=2023,ISNUMBER('中古車掲載'!N952),'中古車掲載'!N952&gt;=20000,'中古車掲載'!O952&lt;=50000,'中古車掲載'!AL952=1,'中古車掲載'!Z952="https://www.one2car.com/en/cars-for-sale/toyota/corolla-cross/year-2023"),'中古車掲載'!U952,"")</x:f>
      </x:c>
      <x:c r="BF951" t="str">
        <x:f>IF(AND('中古車掲載'!C952="One2car",'中古車掲載'!F952="Corolla Cross",'中古車掲載'!L952="HEV PREMIUM",'中古車掲載'!J952=2023,ISNUMBER('中古車掲載'!N952),'中古車掲載'!N952&gt;=20000,'中古車掲載'!O952&lt;=100000,'中古車掲載'!AL952=1,'中古車掲載'!Z952="https://www.one2car.com/en/cars-for-sale/toyota/corolla-cross/year-2023"),'中古車掲載'!U952,"")</x:f>
      </x:c>
      <x:c r="BG951" t="str">
        <x:f>IF(AND('中古車掲載'!C952="One2car",'中古車掲載'!F952="Corolla Cross",'中古車掲載'!L952="HEV GR SPORT",'中古車掲載'!J952=2023,ISNUMBER('中古車掲載'!N952),'中古車掲載'!N952&gt;=20000,'中古車掲載'!O952&lt;=100000,'中古車掲載'!AL952=1,'中古車掲載'!Z952="https://www.one2car.com/en/cars-for-sale/toyota/corolla-cross/year-2023"),'中古車掲載'!U952,"")</x:f>
      </x:c>
      <x:c r="BH951" t="str">
        <x:f>IF(AND('中古車掲載'!C952="One2car",'中古車掲載'!F952="DOLPHIN",'中古車掲載'!L952="STANDARD RANGE",'中古車掲載'!J952=2023,ISNUMBER('中古車掲載'!N952),'中古車掲載'!N952&gt;=20000,'中古車掲載'!O952&lt;=100000,'中古車掲載'!AL952=1),'中古車掲載'!U952,"")</x:f>
      </x:c>
      <x:c r="BI951" t="str">
        <x:v>Taladrod|Yaris Ativ|ICE|Unknown</x:v>
      </x:c>
      <x:c r="BJ951" t="n">
        <x:v>952</x:v>
      </x:c>
      <x:c r="BK951" t="n">
        <x:f>'中古車掲載'!AM952</x:f>
        <x:v>339000</x:v>
      </x:c>
      <x:c r="BL951" t="str">
        <x:f>IF(ISNUMBER('中古車掲載'!AN952),'中古車掲載'!AN952,"")</x:f>
      </x:c>
    </x:row>
    <x:row r="952">
      <x:c r="AZ952" t="str">
        <x:f>IF(AND('中古車掲載'!C953="One2car",'中古車掲載'!F953="ATTO 3",'中古車掲載'!L953="EXTENDED RANGE",'中古車掲載'!J953=2023,ISNUMBER('中古車掲載'!N953),'中古車掲載'!N953&gt;=20000,'中古車掲載'!O953&lt;=100000,'中古車掲載'!AL953=1),'中古車掲載'!U953,"")</x:f>
      </x:c>
      <x:c r="BA952" t="str">
        <x:f>IF(AND('中古車掲載'!C953="One2car",'中古車掲載'!F953="Corolla Cross",'中古車掲載'!L953="HEV PREMIUM SAFETY",'中古車掲載'!J953=2023,ISNUMBER('中古車掲載'!N953),'中古車掲載'!N953&gt;=20000,'中古車掲載'!O953&lt;=100000,'中古車掲載'!AL953=1,'中古車掲載'!Z953="https://www.one2car.com/en/cars-for-sale/toyota/corolla-cross/year-2023"),'中古車掲載'!U953,"")</x:f>
      </x:c>
      <x:c r="BB952" t="str">
        <x:f>IF(AND('中古車掲載'!C953="One2car",'中古車掲載'!F953="ATTO 3",'中古車掲載'!L953="EXTENDED RANGE",'中古車掲載'!J953=2023,ISNUMBER('中古車掲載'!N953),'中古車掲載'!N953&gt;=50000,'中古車掲載'!O953&lt;=100000,'中古車掲載'!AL953=1),'中古車掲載'!U953,"")</x:f>
      </x:c>
      <x:c r="BC952" t="str">
        <x:f>IF(AND('中古車掲載'!C953="One2car",'中古車掲載'!F953="Corolla Cross",'中古車掲載'!L953="HEV PREMIUM SAFETY",'中古車掲載'!J953=2023,ISNUMBER('中古車掲載'!N953),'中古車掲載'!N953&gt;=50000,'中古車掲載'!O953&lt;=100000,'中古車掲載'!AL953=1,'中古車掲載'!Z953="https://www.one2car.com/en/cars-for-sale/toyota/corolla-cross/year-2023"),'中古車掲載'!U953,"")</x:f>
      </x:c>
      <x:c r="BD952" t="str">
        <x:f>IF(AND('中古車掲載'!C953="One2car",'中古車掲載'!F953="ATTO 3",'中古車掲載'!L953="EXTENDED RANGE",'中古車掲載'!J953=2023,ISNUMBER('中古車掲載'!N953),'中古車掲載'!N953&gt;=20000,'中古車掲載'!O953&lt;=50000,'中古車掲載'!AL953=1),'中古車掲載'!U953,"")</x:f>
      </x:c>
      <x:c r="BE952" t="str">
        <x:f>IF(AND('中古車掲載'!C953="One2car",'中古車掲載'!F953="Corolla Cross",'中古車掲載'!L953="HEV PREMIUM SAFETY",'中古車掲載'!J953=2023,ISNUMBER('中古車掲載'!N953),'中古車掲載'!N953&gt;=20000,'中古車掲載'!O953&lt;=50000,'中古車掲載'!AL953=1,'中古車掲載'!Z953="https://www.one2car.com/en/cars-for-sale/toyota/corolla-cross/year-2023"),'中古車掲載'!U953,"")</x:f>
      </x:c>
      <x:c r="BF952" t="str">
        <x:f>IF(AND('中古車掲載'!C953="One2car",'中古車掲載'!F953="Corolla Cross",'中古車掲載'!L953="HEV PREMIUM",'中古車掲載'!J953=2023,ISNUMBER('中古車掲載'!N953),'中古車掲載'!N953&gt;=20000,'中古車掲載'!O953&lt;=100000,'中古車掲載'!AL953=1,'中古車掲載'!Z953="https://www.one2car.com/en/cars-for-sale/toyota/corolla-cross/year-2023"),'中古車掲載'!U953,"")</x:f>
      </x:c>
      <x:c r="BG952" t="str">
        <x:f>IF(AND('中古車掲載'!C953="One2car",'中古車掲載'!F953="Corolla Cross",'中古車掲載'!L953="HEV GR SPORT",'中古車掲載'!J953=2023,ISNUMBER('中古車掲載'!N953),'中古車掲載'!N953&gt;=20000,'中古車掲載'!O953&lt;=100000,'中古車掲載'!AL953=1,'中古車掲載'!Z953="https://www.one2car.com/en/cars-for-sale/toyota/corolla-cross/year-2023"),'中古車掲載'!U953,"")</x:f>
      </x:c>
      <x:c r="BH952" t="str">
        <x:f>IF(AND('中古車掲載'!C953="One2car",'中古車掲載'!F953="DOLPHIN",'中古車掲載'!L953="STANDARD RANGE",'中古車掲載'!J953=2023,ISNUMBER('中古車掲載'!N953),'中古車掲載'!N953&gt;=20000,'中古車掲載'!O953&lt;=100000,'中古車掲載'!AL953=1),'中古車掲載'!U953,"")</x:f>
      </x:c>
      <x:c r="BI952" t="str">
        <x:v>Taladrod|Yaris Ativ|ICE|Unknown</x:v>
      </x:c>
      <x:c r="BJ952" t="n">
        <x:v>953</x:v>
      </x:c>
      <x:c r="BK952" t="n">
        <x:f>'中古車掲載'!AM953</x:f>
        <x:v>319000</x:v>
      </x:c>
      <x:c r="BL952" t="str">
        <x:f>IF(ISNUMBER('中古車掲載'!AN953),'中古車掲載'!AN953,"")</x:f>
      </x:c>
    </x:row>
    <x:row r="953">
      <x:c r="AZ953" t="str">
        <x:f>IF(AND('中古車掲載'!C954="One2car",'中古車掲載'!F954="ATTO 3",'中古車掲載'!L954="EXTENDED RANGE",'中古車掲載'!J954=2023,ISNUMBER('中古車掲載'!N954),'中古車掲載'!N954&gt;=20000,'中古車掲載'!O954&lt;=100000,'中古車掲載'!AL954=1),'中古車掲載'!U954,"")</x:f>
      </x:c>
      <x:c r="BA953" t="str">
        <x:f>IF(AND('中古車掲載'!C954="One2car",'中古車掲載'!F954="Corolla Cross",'中古車掲載'!L954="HEV PREMIUM SAFETY",'中古車掲載'!J954=2023,ISNUMBER('中古車掲載'!N954),'中古車掲載'!N954&gt;=20000,'中古車掲載'!O954&lt;=100000,'中古車掲載'!AL954=1,'中古車掲載'!Z954="https://www.one2car.com/en/cars-for-sale/toyota/corolla-cross/year-2023"),'中古車掲載'!U954,"")</x:f>
      </x:c>
      <x:c r="BB953" t="str">
        <x:f>IF(AND('中古車掲載'!C954="One2car",'中古車掲載'!F954="ATTO 3",'中古車掲載'!L954="EXTENDED RANGE",'中古車掲載'!J954=2023,ISNUMBER('中古車掲載'!N954),'中古車掲載'!N954&gt;=50000,'中古車掲載'!O954&lt;=100000,'中古車掲載'!AL954=1),'中古車掲載'!U954,"")</x:f>
      </x:c>
      <x:c r="BC953" t="str">
        <x:f>IF(AND('中古車掲載'!C954="One2car",'中古車掲載'!F954="Corolla Cross",'中古車掲載'!L954="HEV PREMIUM SAFETY",'中古車掲載'!J954=2023,ISNUMBER('中古車掲載'!N954),'中古車掲載'!N954&gt;=50000,'中古車掲載'!O954&lt;=100000,'中古車掲載'!AL954=1,'中古車掲載'!Z954="https://www.one2car.com/en/cars-for-sale/toyota/corolla-cross/year-2023"),'中古車掲載'!U954,"")</x:f>
      </x:c>
      <x:c r="BD953" t="str">
        <x:f>IF(AND('中古車掲載'!C954="One2car",'中古車掲載'!F954="ATTO 3",'中古車掲載'!L954="EXTENDED RANGE",'中古車掲載'!J954=2023,ISNUMBER('中古車掲載'!N954),'中古車掲載'!N954&gt;=20000,'中古車掲載'!O954&lt;=50000,'中古車掲載'!AL954=1),'中古車掲載'!U954,"")</x:f>
      </x:c>
      <x:c r="BE953" t="str">
        <x:f>IF(AND('中古車掲載'!C954="One2car",'中古車掲載'!F954="Corolla Cross",'中古車掲載'!L954="HEV PREMIUM SAFETY",'中古車掲載'!J954=2023,ISNUMBER('中古車掲載'!N954),'中古車掲載'!N954&gt;=20000,'中古車掲載'!O954&lt;=50000,'中古車掲載'!AL954=1,'中古車掲載'!Z954="https://www.one2car.com/en/cars-for-sale/toyota/corolla-cross/year-2023"),'中古車掲載'!U954,"")</x:f>
      </x:c>
      <x:c r="BF953" t="str">
        <x:f>IF(AND('中古車掲載'!C954="One2car",'中古車掲載'!F954="Corolla Cross",'中古車掲載'!L954="HEV PREMIUM",'中古車掲載'!J954=2023,ISNUMBER('中古車掲載'!N954),'中古車掲載'!N954&gt;=20000,'中古車掲載'!O954&lt;=100000,'中古車掲載'!AL954=1,'中古車掲載'!Z954="https://www.one2car.com/en/cars-for-sale/toyota/corolla-cross/year-2023"),'中古車掲載'!U954,"")</x:f>
      </x:c>
      <x:c r="BG953" t="str">
        <x:f>IF(AND('中古車掲載'!C954="One2car",'中古車掲載'!F954="Corolla Cross",'中古車掲載'!L954="HEV GR SPORT",'中古車掲載'!J954=2023,ISNUMBER('中古車掲載'!N954),'中古車掲載'!N954&gt;=20000,'中古車掲載'!O954&lt;=100000,'中古車掲載'!AL954=1,'中古車掲載'!Z954="https://www.one2car.com/en/cars-for-sale/toyota/corolla-cross/year-2023"),'中古車掲載'!U954,"")</x:f>
      </x:c>
      <x:c r="BH953" t="str">
        <x:f>IF(AND('中古車掲載'!C954="One2car",'中古車掲載'!F954="DOLPHIN",'中古車掲載'!L954="STANDARD RANGE",'中古車掲載'!J954=2023,ISNUMBER('中古車掲載'!N954),'中古車掲載'!N954&gt;=20000,'中古車掲載'!O954&lt;=100000,'中古車掲載'!AL954=1),'中古車掲載'!U954,"")</x:f>
      </x:c>
      <x:c r="BI953" t="str">
        <x:v>Taladrod|Yaris Ativ|ICE|Unknown</x:v>
      </x:c>
      <x:c r="BJ953" t="n">
        <x:v>954</x:v>
      </x:c>
      <x:c r="BK953" t="n">
        <x:f>'中古車掲載'!AM954</x:f>
        <x:v>365000</x:v>
      </x:c>
      <x:c r="BL953" t="str">
        <x:f>IF(ISNUMBER('中古車掲載'!AN954),'中古車掲載'!AN954,"")</x:f>
      </x:c>
    </x:row>
    <x:row r="954">
      <x:c r="AZ954" t="str">
        <x:f>IF(AND('中古車掲載'!C955="One2car",'中古車掲載'!F955="ATTO 3",'中古車掲載'!L955="EXTENDED RANGE",'中古車掲載'!J955=2023,ISNUMBER('中古車掲載'!N955),'中古車掲載'!N955&gt;=20000,'中古車掲載'!O955&lt;=100000,'中古車掲載'!AL955=1),'中古車掲載'!U955,"")</x:f>
      </x:c>
      <x:c r="BA954" t="str">
        <x:f>IF(AND('中古車掲載'!C955="One2car",'中古車掲載'!F955="Corolla Cross",'中古車掲載'!L955="HEV PREMIUM SAFETY",'中古車掲載'!J955=2023,ISNUMBER('中古車掲載'!N955),'中古車掲載'!N955&gt;=20000,'中古車掲載'!O955&lt;=100000,'中古車掲載'!AL955=1,'中古車掲載'!Z955="https://www.one2car.com/en/cars-for-sale/toyota/corolla-cross/year-2023"),'中古車掲載'!U955,"")</x:f>
      </x:c>
      <x:c r="BB954" t="str">
        <x:f>IF(AND('中古車掲載'!C955="One2car",'中古車掲載'!F955="ATTO 3",'中古車掲載'!L955="EXTENDED RANGE",'中古車掲載'!J955=2023,ISNUMBER('中古車掲載'!N955),'中古車掲載'!N955&gt;=50000,'中古車掲載'!O955&lt;=100000,'中古車掲載'!AL955=1),'中古車掲載'!U955,"")</x:f>
      </x:c>
      <x:c r="BC954" t="str">
        <x:f>IF(AND('中古車掲載'!C955="One2car",'中古車掲載'!F955="Corolla Cross",'中古車掲載'!L955="HEV PREMIUM SAFETY",'中古車掲載'!J955=2023,ISNUMBER('中古車掲載'!N955),'中古車掲載'!N955&gt;=50000,'中古車掲載'!O955&lt;=100000,'中古車掲載'!AL955=1,'中古車掲載'!Z955="https://www.one2car.com/en/cars-for-sale/toyota/corolla-cross/year-2023"),'中古車掲載'!U955,"")</x:f>
      </x:c>
      <x:c r="BD954" t="str">
        <x:f>IF(AND('中古車掲載'!C955="One2car",'中古車掲載'!F955="ATTO 3",'中古車掲載'!L955="EXTENDED RANGE",'中古車掲載'!J955=2023,ISNUMBER('中古車掲載'!N955),'中古車掲載'!N955&gt;=20000,'中古車掲載'!O955&lt;=50000,'中古車掲載'!AL955=1),'中古車掲載'!U955,"")</x:f>
      </x:c>
      <x:c r="BE954" t="str">
        <x:f>IF(AND('中古車掲載'!C955="One2car",'中古車掲載'!F955="Corolla Cross",'中古車掲載'!L955="HEV PREMIUM SAFETY",'中古車掲載'!J955=2023,ISNUMBER('中古車掲載'!N955),'中古車掲載'!N955&gt;=20000,'中古車掲載'!O955&lt;=50000,'中古車掲載'!AL955=1,'中古車掲載'!Z955="https://www.one2car.com/en/cars-for-sale/toyota/corolla-cross/year-2023"),'中古車掲載'!U955,"")</x:f>
      </x:c>
      <x:c r="BF954" t="str">
        <x:f>IF(AND('中古車掲載'!C955="One2car",'中古車掲載'!F955="Corolla Cross",'中古車掲載'!L955="HEV PREMIUM",'中古車掲載'!J955=2023,ISNUMBER('中古車掲載'!N955),'中古車掲載'!N955&gt;=20000,'中古車掲載'!O955&lt;=100000,'中古車掲載'!AL955=1,'中古車掲載'!Z955="https://www.one2car.com/en/cars-for-sale/toyota/corolla-cross/year-2023"),'中古車掲載'!U955,"")</x:f>
      </x:c>
      <x:c r="BG954" t="str">
        <x:f>IF(AND('中古車掲載'!C955="One2car",'中古車掲載'!F955="Corolla Cross",'中古車掲載'!L955="HEV GR SPORT",'中古車掲載'!J955=2023,ISNUMBER('中古車掲載'!N955),'中古車掲載'!N955&gt;=20000,'中古車掲載'!O955&lt;=100000,'中古車掲載'!AL955=1,'中古車掲載'!Z955="https://www.one2car.com/en/cars-for-sale/toyota/corolla-cross/year-2023"),'中古車掲載'!U955,"")</x:f>
      </x:c>
      <x:c r="BH954" t="str">
        <x:f>IF(AND('中古車掲載'!C955="One2car",'中古車掲載'!F955="DOLPHIN",'中古車掲載'!L955="STANDARD RANGE",'中古車掲載'!J955=2023,ISNUMBER('中古車掲載'!N955),'中古車掲載'!N955&gt;=20000,'中古車掲載'!O955&lt;=100000,'中古車掲載'!AL955=1),'中古車掲載'!U955,"")</x:f>
      </x:c>
      <x:c r="BI954" t="str">
        <x:v>Taladrod|Yaris Ativ|ICE|Unknown</x:v>
      </x:c>
      <x:c r="BJ954" t="n">
        <x:v>955</x:v>
      </x:c>
      <x:c r="BK954" t="n">
        <x:f>'中古車掲載'!AM955</x:f>
        <x:v>410000</x:v>
      </x:c>
      <x:c r="BL954" t="str">
        <x:f>IF(ISNUMBER('中古車掲載'!AN955),'中古車掲載'!AN955,"")</x:f>
      </x:c>
    </x:row>
    <x:row r="955">
      <x:c r="AZ955" t="str">
        <x:f>IF(AND('中古車掲載'!C956="One2car",'中古車掲載'!F956="ATTO 3",'中古車掲載'!L956="EXTENDED RANGE",'中古車掲載'!J956=2023,ISNUMBER('中古車掲載'!N956),'中古車掲載'!N956&gt;=20000,'中古車掲載'!O956&lt;=100000,'中古車掲載'!AL956=1),'中古車掲載'!U956,"")</x:f>
      </x:c>
      <x:c r="BA955" t="str">
        <x:f>IF(AND('中古車掲載'!C956="One2car",'中古車掲載'!F956="Corolla Cross",'中古車掲載'!L956="HEV PREMIUM SAFETY",'中古車掲載'!J956=2023,ISNUMBER('中古車掲載'!N956),'中古車掲載'!N956&gt;=20000,'中古車掲載'!O956&lt;=100000,'中古車掲載'!AL956=1,'中古車掲載'!Z956="https://www.one2car.com/en/cars-for-sale/toyota/corolla-cross/year-2023"),'中古車掲載'!U956,"")</x:f>
      </x:c>
      <x:c r="BB955" t="str">
        <x:f>IF(AND('中古車掲載'!C956="One2car",'中古車掲載'!F956="ATTO 3",'中古車掲載'!L956="EXTENDED RANGE",'中古車掲載'!J956=2023,ISNUMBER('中古車掲載'!N956),'中古車掲載'!N956&gt;=50000,'中古車掲載'!O956&lt;=100000,'中古車掲載'!AL956=1),'中古車掲載'!U956,"")</x:f>
      </x:c>
      <x:c r="BC955" t="str">
        <x:f>IF(AND('中古車掲載'!C956="One2car",'中古車掲載'!F956="Corolla Cross",'中古車掲載'!L956="HEV PREMIUM SAFETY",'中古車掲載'!J956=2023,ISNUMBER('中古車掲載'!N956),'中古車掲載'!N956&gt;=50000,'中古車掲載'!O956&lt;=100000,'中古車掲載'!AL956=1,'中古車掲載'!Z956="https://www.one2car.com/en/cars-for-sale/toyota/corolla-cross/year-2023"),'中古車掲載'!U956,"")</x:f>
      </x:c>
      <x:c r="BD955" t="str">
        <x:f>IF(AND('中古車掲載'!C956="One2car",'中古車掲載'!F956="ATTO 3",'中古車掲載'!L956="EXTENDED RANGE",'中古車掲載'!J956=2023,ISNUMBER('中古車掲載'!N956),'中古車掲載'!N956&gt;=20000,'中古車掲載'!O956&lt;=50000,'中古車掲載'!AL956=1),'中古車掲載'!U956,"")</x:f>
      </x:c>
      <x:c r="BE955" t="str">
        <x:f>IF(AND('中古車掲載'!C956="One2car",'中古車掲載'!F956="Corolla Cross",'中古車掲載'!L956="HEV PREMIUM SAFETY",'中古車掲載'!J956=2023,ISNUMBER('中古車掲載'!N956),'中古車掲載'!N956&gt;=20000,'中古車掲載'!O956&lt;=50000,'中古車掲載'!AL956=1,'中古車掲載'!Z956="https://www.one2car.com/en/cars-for-sale/toyota/corolla-cross/year-2023"),'中古車掲載'!U956,"")</x:f>
      </x:c>
      <x:c r="BF955" t="str">
        <x:f>IF(AND('中古車掲載'!C956="One2car",'中古車掲載'!F956="Corolla Cross",'中古車掲載'!L956="HEV PREMIUM",'中古車掲載'!J956=2023,ISNUMBER('中古車掲載'!N956),'中古車掲載'!N956&gt;=20000,'中古車掲載'!O956&lt;=100000,'中古車掲載'!AL956=1,'中古車掲載'!Z956="https://www.one2car.com/en/cars-for-sale/toyota/corolla-cross/year-2023"),'中古車掲載'!U956,"")</x:f>
      </x:c>
      <x:c r="BG955" t="str">
        <x:f>IF(AND('中古車掲載'!C956="One2car",'中古車掲載'!F956="Corolla Cross",'中古車掲載'!L956="HEV GR SPORT",'中古車掲載'!J956=2023,ISNUMBER('中古車掲載'!N956),'中古車掲載'!N956&gt;=20000,'中古車掲載'!O956&lt;=100000,'中古車掲載'!AL956=1,'中古車掲載'!Z956="https://www.one2car.com/en/cars-for-sale/toyota/corolla-cross/year-2023"),'中古車掲載'!U956,"")</x:f>
      </x:c>
      <x:c r="BH955" t="str">
        <x:f>IF(AND('中古車掲載'!C956="One2car",'中古車掲載'!F956="DOLPHIN",'中古車掲載'!L956="STANDARD RANGE",'中古車掲載'!J956=2023,ISNUMBER('中古車掲載'!N956),'中古車掲載'!N956&gt;=20000,'中古車掲載'!O956&lt;=100000,'中古車掲載'!AL956=1),'中古車掲載'!U956,"")</x:f>
      </x:c>
      <x:c r="BI955" t="str">
        <x:v>Taladrod|Yaris Ativ|ICE|Unknown</x:v>
      </x:c>
      <x:c r="BJ955" t="n">
        <x:v>956</x:v>
      </x:c>
      <x:c r="BK955" t="n">
        <x:f>'中古車掲載'!AM956</x:f>
        <x:v>350000</x:v>
      </x:c>
      <x:c r="BL955" t="str">
        <x:f>IF(ISNUMBER('中古車掲載'!AN956),'中古車掲載'!AN956,"")</x:f>
      </x:c>
    </x:row>
    <x:row r="956">
      <x:c r="AZ956" t="str">
        <x:f>IF(AND('中古車掲載'!C957="One2car",'中古車掲載'!F957="ATTO 3",'中古車掲載'!L957="EXTENDED RANGE",'中古車掲載'!J957=2023,ISNUMBER('中古車掲載'!N957),'中古車掲載'!N957&gt;=20000,'中古車掲載'!O957&lt;=100000,'中古車掲載'!AL957=1),'中古車掲載'!U957,"")</x:f>
      </x:c>
      <x:c r="BA956" t="str">
        <x:f>IF(AND('中古車掲載'!C957="One2car",'中古車掲載'!F957="Corolla Cross",'中古車掲載'!L957="HEV PREMIUM SAFETY",'中古車掲載'!J957=2023,ISNUMBER('中古車掲載'!N957),'中古車掲載'!N957&gt;=20000,'中古車掲載'!O957&lt;=100000,'中古車掲載'!AL957=1,'中古車掲載'!Z957="https://www.one2car.com/en/cars-for-sale/toyota/corolla-cross/year-2023"),'中古車掲載'!U957,"")</x:f>
      </x:c>
      <x:c r="BB956" t="str">
        <x:f>IF(AND('中古車掲載'!C957="One2car",'中古車掲載'!F957="ATTO 3",'中古車掲載'!L957="EXTENDED RANGE",'中古車掲載'!J957=2023,ISNUMBER('中古車掲載'!N957),'中古車掲載'!N957&gt;=50000,'中古車掲載'!O957&lt;=100000,'中古車掲載'!AL957=1),'中古車掲載'!U957,"")</x:f>
      </x:c>
      <x:c r="BC956" t="str">
        <x:f>IF(AND('中古車掲載'!C957="One2car",'中古車掲載'!F957="Corolla Cross",'中古車掲載'!L957="HEV PREMIUM SAFETY",'中古車掲載'!J957=2023,ISNUMBER('中古車掲載'!N957),'中古車掲載'!N957&gt;=50000,'中古車掲載'!O957&lt;=100000,'中古車掲載'!AL957=1,'中古車掲載'!Z957="https://www.one2car.com/en/cars-for-sale/toyota/corolla-cross/year-2023"),'中古車掲載'!U957,"")</x:f>
      </x:c>
      <x:c r="BD956" t="str">
        <x:f>IF(AND('中古車掲載'!C957="One2car",'中古車掲載'!F957="ATTO 3",'中古車掲載'!L957="EXTENDED RANGE",'中古車掲載'!J957=2023,ISNUMBER('中古車掲載'!N957),'中古車掲載'!N957&gt;=20000,'中古車掲載'!O957&lt;=50000,'中古車掲載'!AL957=1),'中古車掲載'!U957,"")</x:f>
      </x:c>
      <x:c r="BE956" t="str">
        <x:f>IF(AND('中古車掲載'!C957="One2car",'中古車掲載'!F957="Corolla Cross",'中古車掲載'!L957="HEV PREMIUM SAFETY",'中古車掲載'!J957=2023,ISNUMBER('中古車掲載'!N957),'中古車掲載'!N957&gt;=20000,'中古車掲載'!O957&lt;=50000,'中古車掲載'!AL957=1,'中古車掲載'!Z957="https://www.one2car.com/en/cars-for-sale/toyota/corolla-cross/year-2023"),'中古車掲載'!U957,"")</x:f>
      </x:c>
      <x:c r="BF956" t="str">
        <x:f>IF(AND('中古車掲載'!C957="One2car",'中古車掲載'!F957="Corolla Cross",'中古車掲載'!L957="HEV PREMIUM",'中古車掲載'!J957=2023,ISNUMBER('中古車掲載'!N957),'中古車掲載'!N957&gt;=20000,'中古車掲載'!O957&lt;=100000,'中古車掲載'!AL957=1,'中古車掲載'!Z957="https://www.one2car.com/en/cars-for-sale/toyota/corolla-cross/year-2023"),'中古車掲載'!U957,"")</x:f>
      </x:c>
      <x:c r="BG956" t="str">
        <x:f>IF(AND('中古車掲載'!C957="One2car",'中古車掲載'!F957="Corolla Cross",'中古車掲載'!L957="HEV GR SPORT",'中古車掲載'!J957=2023,ISNUMBER('中古車掲載'!N957),'中古車掲載'!N957&gt;=20000,'中古車掲載'!O957&lt;=100000,'中古車掲載'!AL957=1,'中古車掲載'!Z957="https://www.one2car.com/en/cars-for-sale/toyota/corolla-cross/year-2023"),'中古車掲載'!U957,"")</x:f>
      </x:c>
      <x:c r="BH956" t="str">
        <x:f>IF(AND('中古車掲載'!C957="One2car",'中古車掲載'!F957="DOLPHIN",'中古車掲載'!L957="STANDARD RANGE",'中古車掲載'!J957=2023,ISNUMBER('中古車掲載'!N957),'中古車掲載'!N957&gt;=20000,'中古車掲載'!O957&lt;=100000,'中古車掲載'!AL957=1),'中古車掲載'!U957,"")</x:f>
      </x:c>
      <x:c r="BI956" t="str">
        <x:v>Taladrod|Yaris Ativ|ICE|Unknown</x:v>
      </x:c>
      <x:c r="BJ956" t="n">
        <x:v>957</x:v>
      </x:c>
      <x:c r="BK956" t="n">
        <x:f>'中古車掲載'!AM957</x:f>
        <x:v>339000</x:v>
      </x:c>
      <x:c r="BL956" t="str">
        <x:f>IF(ISNUMBER('中古車掲載'!AN957),'中古車掲載'!AN957,"")</x:f>
      </x:c>
    </x:row>
    <x:row r="957">
      <x:c r="AZ957" t="str">
        <x:f>IF(AND('中古車掲載'!C958="One2car",'中古車掲載'!F958="ATTO 3",'中古車掲載'!L958="EXTENDED RANGE",'中古車掲載'!J958=2023,ISNUMBER('中古車掲載'!N958),'中古車掲載'!N958&gt;=20000,'中古車掲載'!O958&lt;=100000,'中古車掲載'!AL958=1),'中古車掲載'!U958,"")</x:f>
      </x:c>
      <x:c r="BA957" t="str">
        <x:f>IF(AND('中古車掲載'!C958="One2car",'中古車掲載'!F958="Corolla Cross",'中古車掲載'!L958="HEV PREMIUM SAFETY",'中古車掲載'!J958=2023,ISNUMBER('中古車掲載'!N958),'中古車掲載'!N958&gt;=20000,'中古車掲載'!O958&lt;=100000,'中古車掲載'!AL958=1,'中古車掲載'!Z958="https://www.one2car.com/en/cars-for-sale/toyota/corolla-cross/year-2023"),'中古車掲載'!U958,"")</x:f>
      </x:c>
      <x:c r="BB957" t="str">
        <x:f>IF(AND('中古車掲載'!C958="One2car",'中古車掲載'!F958="ATTO 3",'中古車掲載'!L958="EXTENDED RANGE",'中古車掲載'!J958=2023,ISNUMBER('中古車掲載'!N958),'中古車掲載'!N958&gt;=50000,'中古車掲載'!O958&lt;=100000,'中古車掲載'!AL958=1),'中古車掲載'!U958,"")</x:f>
      </x:c>
      <x:c r="BC957" t="str">
        <x:f>IF(AND('中古車掲載'!C958="One2car",'中古車掲載'!F958="Corolla Cross",'中古車掲載'!L958="HEV PREMIUM SAFETY",'中古車掲載'!J958=2023,ISNUMBER('中古車掲載'!N958),'中古車掲載'!N958&gt;=50000,'中古車掲載'!O958&lt;=100000,'中古車掲載'!AL958=1,'中古車掲載'!Z958="https://www.one2car.com/en/cars-for-sale/toyota/corolla-cross/year-2023"),'中古車掲載'!U958,"")</x:f>
      </x:c>
      <x:c r="BD957" t="str">
        <x:f>IF(AND('中古車掲載'!C958="One2car",'中古車掲載'!F958="ATTO 3",'中古車掲載'!L958="EXTENDED RANGE",'中古車掲載'!J958=2023,ISNUMBER('中古車掲載'!N958),'中古車掲載'!N958&gt;=20000,'中古車掲載'!O958&lt;=50000,'中古車掲載'!AL958=1),'中古車掲載'!U958,"")</x:f>
      </x:c>
      <x:c r="BE957" t="str">
        <x:f>IF(AND('中古車掲載'!C958="One2car",'中古車掲載'!F958="Corolla Cross",'中古車掲載'!L958="HEV PREMIUM SAFETY",'中古車掲載'!J958=2023,ISNUMBER('中古車掲載'!N958),'中古車掲載'!N958&gt;=20000,'中古車掲載'!O958&lt;=50000,'中古車掲載'!AL958=1,'中古車掲載'!Z958="https://www.one2car.com/en/cars-for-sale/toyota/corolla-cross/year-2023"),'中古車掲載'!U958,"")</x:f>
      </x:c>
      <x:c r="BF957" t="str">
        <x:f>IF(AND('中古車掲載'!C958="One2car",'中古車掲載'!F958="Corolla Cross",'中古車掲載'!L958="HEV PREMIUM",'中古車掲載'!J958=2023,ISNUMBER('中古車掲載'!N958),'中古車掲載'!N958&gt;=20000,'中古車掲載'!O958&lt;=100000,'中古車掲載'!AL958=1,'中古車掲載'!Z958="https://www.one2car.com/en/cars-for-sale/toyota/corolla-cross/year-2023"),'中古車掲載'!U958,"")</x:f>
      </x:c>
      <x:c r="BG957" t="str">
        <x:f>IF(AND('中古車掲載'!C958="One2car",'中古車掲載'!F958="Corolla Cross",'中古車掲載'!L958="HEV GR SPORT",'中古車掲載'!J958=2023,ISNUMBER('中古車掲載'!N958),'中古車掲載'!N958&gt;=20000,'中古車掲載'!O958&lt;=100000,'中古車掲載'!AL958=1,'中古車掲載'!Z958="https://www.one2car.com/en/cars-for-sale/toyota/corolla-cross/year-2023"),'中古車掲載'!U958,"")</x:f>
      </x:c>
      <x:c r="BH957" t="str">
        <x:f>IF(AND('中古車掲載'!C958="One2car",'中古車掲載'!F958="DOLPHIN",'中古車掲載'!L958="STANDARD RANGE",'中古車掲載'!J958=2023,ISNUMBER('中古車掲載'!N958),'中古車掲載'!N958&gt;=20000,'中古車掲載'!O958&lt;=100000,'中古車掲載'!AL958=1),'中古車掲載'!U958,"")</x:f>
      </x:c>
      <x:c r="BI957" t="str">
        <x:v>Taladrod|Yaris Ativ|ICE|Unknown</x:v>
      </x:c>
      <x:c r="BJ957" t="n">
        <x:v>958</x:v>
      </x:c>
      <x:c r="BK957" t="n">
        <x:f>'中古車掲載'!AM958</x:f>
        <x:v>375000</x:v>
      </x:c>
      <x:c r="BL957" t="str">
        <x:f>IF(ISNUMBER('中古車掲載'!AN958),'中古車掲載'!AN958,"")</x:f>
      </x:c>
    </x:row>
    <x:row r="958">
      <x:c r="AZ958" t="str">
        <x:f>IF(AND('中古車掲載'!C959="One2car",'中古車掲載'!F959="ATTO 3",'中古車掲載'!L959="EXTENDED RANGE",'中古車掲載'!J959=2023,ISNUMBER('中古車掲載'!N959),'中古車掲載'!N959&gt;=20000,'中古車掲載'!O959&lt;=100000,'中古車掲載'!AL959=1),'中古車掲載'!U959,"")</x:f>
      </x:c>
      <x:c r="BA958" t="str">
        <x:f>IF(AND('中古車掲載'!C959="One2car",'中古車掲載'!F959="Corolla Cross",'中古車掲載'!L959="HEV PREMIUM SAFETY",'中古車掲載'!J959=2023,ISNUMBER('中古車掲載'!N959),'中古車掲載'!N959&gt;=20000,'中古車掲載'!O959&lt;=100000,'中古車掲載'!AL959=1,'中古車掲載'!Z959="https://www.one2car.com/en/cars-for-sale/toyota/corolla-cross/year-2023"),'中古車掲載'!U959,"")</x:f>
      </x:c>
      <x:c r="BB958" t="str">
        <x:f>IF(AND('中古車掲載'!C959="One2car",'中古車掲載'!F959="ATTO 3",'中古車掲載'!L959="EXTENDED RANGE",'中古車掲載'!J959=2023,ISNUMBER('中古車掲載'!N959),'中古車掲載'!N959&gt;=50000,'中古車掲載'!O959&lt;=100000,'中古車掲載'!AL959=1),'中古車掲載'!U959,"")</x:f>
      </x:c>
      <x:c r="BC958" t="str">
        <x:f>IF(AND('中古車掲載'!C959="One2car",'中古車掲載'!F959="Corolla Cross",'中古車掲載'!L959="HEV PREMIUM SAFETY",'中古車掲載'!J959=2023,ISNUMBER('中古車掲載'!N959),'中古車掲載'!N959&gt;=50000,'中古車掲載'!O959&lt;=100000,'中古車掲載'!AL959=1,'中古車掲載'!Z959="https://www.one2car.com/en/cars-for-sale/toyota/corolla-cross/year-2023"),'中古車掲載'!U959,"")</x:f>
      </x:c>
      <x:c r="BD958" t="str">
        <x:f>IF(AND('中古車掲載'!C959="One2car",'中古車掲載'!F959="ATTO 3",'中古車掲載'!L959="EXTENDED RANGE",'中古車掲載'!J959=2023,ISNUMBER('中古車掲載'!N959),'中古車掲載'!N959&gt;=20000,'中古車掲載'!O959&lt;=50000,'中古車掲載'!AL959=1),'中古車掲載'!U959,"")</x:f>
      </x:c>
      <x:c r="BE958" t="str">
        <x:f>IF(AND('中古車掲載'!C959="One2car",'中古車掲載'!F959="Corolla Cross",'中古車掲載'!L959="HEV PREMIUM SAFETY",'中古車掲載'!J959=2023,ISNUMBER('中古車掲載'!N959),'中古車掲載'!N959&gt;=20000,'中古車掲載'!O959&lt;=50000,'中古車掲載'!AL959=1,'中古車掲載'!Z959="https://www.one2car.com/en/cars-for-sale/toyota/corolla-cross/year-2023"),'中古車掲載'!U959,"")</x:f>
      </x:c>
      <x:c r="BF958" t="str">
        <x:f>IF(AND('中古車掲載'!C959="One2car",'中古車掲載'!F959="Corolla Cross",'中古車掲載'!L959="HEV PREMIUM",'中古車掲載'!J959=2023,ISNUMBER('中古車掲載'!N959),'中古車掲載'!N959&gt;=20000,'中古車掲載'!O959&lt;=100000,'中古車掲載'!AL959=1,'中古車掲載'!Z959="https://www.one2car.com/en/cars-for-sale/toyota/corolla-cross/year-2023"),'中古車掲載'!U959,"")</x:f>
      </x:c>
      <x:c r="BG958" t="str">
        <x:f>IF(AND('中古車掲載'!C959="One2car",'中古車掲載'!F959="Corolla Cross",'中古車掲載'!L959="HEV GR SPORT",'中古車掲載'!J959=2023,ISNUMBER('中古車掲載'!N959),'中古車掲載'!N959&gt;=20000,'中古車掲載'!O959&lt;=100000,'中古車掲載'!AL959=1,'中古車掲載'!Z959="https://www.one2car.com/en/cars-for-sale/toyota/corolla-cross/year-2023"),'中古車掲載'!U959,"")</x:f>
      </x:c>
      <x:c r="BH958" t="str">
        <x:f>IF(AND('中古車掲載'!C959="One2car",'中古車掲載'!F959="DOLPHIN",'中古車掲載'!L959="STANDARD RANGE",'中古車掲載'!J959=2023,ISNUMBER('中古車掲載'!N959),'中古車掲載'!N959&gt;=20000,'中古車掲載'!O959&lt;=100000,'中古車掲載'!AL959=1),'中古車掲載'!U959,"")</x:f>
      </x:c>
      <x:c r="BI958" t="str">
        <x:v>Taladrod|Yaris Ativ|ICE|Unknown</x:v>
      </x:c>
      <x:c r="BJ958" t="n">
        <x:v>959</x:v>
      </x:c>
      <x:c r="BK958" t="n">
        <x:f>'中古車掲載'!AM959</x:f>
        <x:v>349000</x:v>
      </x:c>
      <x:c r="BL958" t="str">
        <x:f>IF(ISNUMBER('中古車掲載'!AN959),'中古車掲載'!AN959,"")</x:f>
      </x:c>
    </x:row>
    <x:row r="959">
      <x:c r="AZ959" t="str">
        <x:f>IF(AND('中古車掲載'!C960="One2car",'中古車掲載'!F960="ATTO 3",'中古車掲載'!L960="EXTENDED RANGE",'中古車掲載'!J960=2023,ISNUMBER('中古車掲載'!N960),'中古車掲載'!N960&gt;=20000,'中古車掲載'!O960&lt;=100000,'中古車掲載'!AL960=1),'中古車掲載'!U960,"")</x:f>
      </x:c>
      <x:c r="BA959" t="str">
        <x:f>IF(AND('中古車掲載'!C960="One2car",'中古車掲載'!F960="Corolla Cross",'中古車掲載'!L960="HEV PREMIUM SAFETY",'中古車掲載'!J960=2023,ISNUMBER('中古車掲載'!N960),'中古車掲載'!N960&gt;=20000,'中古車掲載'!O960&lt;=100000,'中古車掲載'!AL960=1,'中古車掲載'!Z960="https://www.one2car.com/en/cars-for-sale/toyota/corolla-cross/year-2023"),'中古車掲載'!U960,"")</x:f>
      </x:c>
      <x:c r="BB959" t="str">
        <x:f>IF(AND('中古車掲載'!C960="One2car",'中古車掲載'!F960="ATTO 3",'中古車掲載'!L960="EXTENDED RANGE",'中古車掲載'!J960=2023,ISNUMBER('中古車掲載'!N960),'中古車掲載'!N960&gt;=50000,'中古車掲載'!O960&lt;=100000,'中古車掲載'!AL960=1),'中古車掲載'!U960,"")</x:f>
      </x:c>
      <x:c r="BC959" t="str">
        <x:f>IF(AND('中古車掲載'!C960="One2car",'中古車掲載'!F960="Corolla Cross",'中古車掲載'!L960="HEV PREMIUM SAFETY",'中古車掲載'!J960=2023,ISNUMBER('中古車掲載'!N960),'中古車掲載'!N960&gt;=50000,'中古車掲載'!O960&lt;=100000,'中古車掲載'!AL960=1,'中古車掲載'!Z960="https://www.one2car.com/en/cars-for-sale/toyota/corolla-cross/year-2023"),'中古車掲載'!U960,"")</x:f>
      </x:c>
      <x:c r="BD959" t="str">
        <x:f>IF(AND('中古車掲載'!C960="One2car",'中古車掲載'!F960="ATTO 3",'中古車掲載'!L960="EXTENDED RANGE",'中古車掲載'!J960=2023,ISNUMBER('中古車掲載'!N960),'中古車掲載'!N960&gt;=20000,'中古車掲載'!O960&lt;=50000,'中古車掲載'!AL960=1),'中古車掲載'!U960,"")</x:f>
      </x:c>
      <x:c r="BE959" t="str">
        <x:f>IF(AND('中古車掲載'!C960="One2car",'中古車掲載'!F960="Corolla Cross",'中古車掲載'!L960="HEV PREMIUM SAFETY",'中古車掲載'!J960=2023,ISNUMBER('中古車掲載'!N960),'中古車掲載'!N960&gt;=20000,'中古車掲載'!O960&lt;=50000,'中古車掲載'!AL960=1,'中古車掲載'!Z960="https://www.one2car.com/en/cars-for-sale/toyota/corolla-cross/year-2023"),'中古車掲載'!U960,"")</x:f>
      </x:c>
      <x:c r="BF959" t="str">
        <x:f>IF(AND('中古車掲載'!C960="One2car",'中古車掲載'!F960="Corolla Cross",'中古車掲載'!L960="HEV PREMIUM",'中古車掲載'!J960=2023,ISNUMBER('中古車掲載'!N960),'中古車掲載'!N960&gt;=20000,'中古車掲載'!O960&lt;=100000,'中古車掲載'!AL960=1,'中古車掲載'!Z960="https://www.one2car.com/en/cars-for-sale/toyota/corolla-cross/year-2023"),'中古車掲載'!U960,"")</x:f>
      </x:c>
      <x:c r="BG959" t="str">
        <x:f>IF(AND('中古車掲載'!C960="One2car",'中古車掲載'!F960="Corolla Cross",'中古車掲載'!L960="HEV GR SPORT",'中古車掲載'!J960=2023,ISNUMBER('中古車掲載'!N960),'中古車掲載'!N960&gt;=20000,'中古車掲載'!O960&lt;=100000,'中古車掲載'!AL960=1,'中古車掲載'!Z960="https://www.one2car.com/en/cars-for-sale/toyota/corolla-cross/year-2023"),'中古車掲載'!U960,"")</x:f>
      </x:c>
      <x:c r="BH959" t="str">
        <x:f>IF(AND('中古車掲載'!C960="One2car",'中古車掲載'!F960="DOLPHIN",'中古車掲載'!L960="STANDARD RANGE",'中古車掲載'!J960=2023,ISNUMBER('中古車掲載'!N960),'中古車掲載'!N960&gt;=20000,'中古車掲載'!O960&lt;=100000,'中古車掲載'!AL960=1),'中古車掲載'!U960,"")</x:f>
      </x:c>
      <x:c r="BI959" t="str">
        <x:v>Taladrod|Yaris Ativ|ICE|Unknown</x:v>
      </x:c>
      <x:c r="BJ959" t="n">
        <x:v>960</x:v>
      </x:c>
      <x:c r="BK959" t="n">
        <x:f>'中古車掲載'!AM960</x:f>
        <x:v>339000</x:v>
      </x:c>
      <x:c r="BL959" t="str">
        <x:f>IF(ISNUMBER('中古車掲載'!AN960),'中古車掲載'!AN960,"")</x:f>
      </x:c>
    </x:row>
    <x:row r="960">
      <x:c r="AZ960" t="str">
        <x:f>IF(AND('中古車掲載'!C961="One2car",'中古車掲載'!F961="ATTO 3",'中古車掲載'!L961="EXTENDED RANGE",'中古車掲載'!J961=2023,ISNUMBER('中古車掲載'!N961),'中古車掲載'!N961&gt;=20000,'中古車掲載'!O961&lt;=100000,'中古車掲載'!AL961=1),'中古車掲載'!U961,"")</x:f>
      </x:c>
      <x:c r="BA960" t="str">
        <x:f>IF(AND('中古車掲載'!C961="One2car",'中古車掲載'!F961="Corolla Cross",'中古車掲載'!L961="HEV PREMIUM SAFETY",'中古車掲載'!J961=2023,ISNUMBER('中古車掲載'!N961),'中古車掲載'!N961&gt;=20000,'中古車掲載'!O961&lt;=100000,'中古車掲載'!AL961=1,'中古車掲載'!Z961="https://www.one2car.com/en/cars-for-sale/toyota/corolla-cross/year-2023"),'中古車掲載'!U961,"")</x:f>
      </x:c>
      <x:c r="BB960" t="str">
        <x:f>IF(AND('中古車掲載'!C961="One2car",'中古車掲載'!F961="ATTO 3",'中古車掲載'!L961="EXTENDED RANGE",'中古車掲載'!J961=2023,ISNUMBER('中古車掲載'!N961),'中古車掲載'!N961&gt;=50000,'中古車掲載'!O961&lt;=100000,'中古車掲載'!AL961=1),'中古車掲載'!U961,"")</x:f>
      </x:c>
      <x:c r="BC960" t="str">
        <x:f>IF(AND('中古車掲載'!C961="One2car",'中古車掲載'!F961="Corolla Cross",'中古車掲載'!L961="HEV PREMIUM SAFETY",'中古車掲載'!J961=2023,ISNUMBER('中古車掲載'!N961),'中古車掲載'!N961&gt;=50000,'中古車掲載'!O961&lt;=100000,'中古車掲載'!AL961=1,'中古車掲載'!Z961="https://www.one2car.com/en/cars-for-sale/toyota/corolla-cross/year-2023"),'中古車掲載'!U961,"")</x:f>
      </x:c>
      <x:c r="BD960" t="str">
        <x:f>IF(AND('中古車掲載'!C961="One2car",'中古車掲載'!F961="ATTO 3",'中古車掲載'!L961="EXTENDED RANGE",'中古車掲載'!J961=2023,ISNUMBER('中古車掲載'!N961),'中古車掲載'!N961&gt;=20000,'中古車掲載'!O961&lt;=50000,'中古車掲載'!AL961=1),'中古車掲載'!U961,"")</x:f>
      </x:c>
      <x:c r="BE960" t="str">
        <x:f>IF(AND('中古車掲載'!C961="One2car",'中古車掲載'!F961="Corolla Cross",'中古車掲載'!L961="HEV PREMIUM SAFETY",'中古車掲載'!J961=2023,ISNUMBER('中古車掲載'!N961),'中古車掲載'!N961&gt;=20000,'中古車掲載'!O961&lt;=50000,'中古車掲載'!AL961=1,'中古車掲載'!Z961="https://www.one2car.com/en/cars-for-sale/toyota/corolla-cross/year-2023"),'中古車掲載'!U961,"")</x:f>
      </x:c>
      <x:c r="BF960" t="str">
        <x:f>IF(AND('中古車掲載'!C961="One2car",'中古車掲載'!F961="Corolla Cross",'中古車掲載'!L961="HEV PREMIUM",'中古車掲載'!J961=2023,ISNUMBER('中古車掲載'!N961),'中古車掲載'!N961&gt;=20000,'中古車掲載'!O961&lt;=100000,'中古車掲載'!AL961=1,'中古車掲載'!Z961="https://www.one2car.com/en/cars-for-sale/toyota/corolla-cross/year-2023"),'中古車掲載'!U961,"")</x:f>
      </x:c>
      <x:c r="BG960" t="str">
        <x:f>IF(AND('中古車掲載'!C961="One2car",'中古車掲載'!F961="Corolla Cross",'中古車掲載'!L961="HEV GR SPORT",'中古車掲載'!J961=2023,ISNUMBER('中古車掲載'!N961),'中古車掲載'!N961&gt;=20000,'中古車掲載'!O961&lt;=100000,'中古車掲載'!AL961=1,'中古車掲載'!Z961="https://www.one2car.com/en/cars-for-sale/toyota/corolla-cross/year-2023"),'中古車掲載'!U961,"")</x:f>
      </x:c>
      <x:c r="BH960" t="str">
        <x:f>IF(AND('中古車掲載'!C961="One2car",'中古車掲載'!F961="DOLPHIN",'中古車掲載'!L961="STANDARD RANGE",'中古車掲載'!J961=2023,ISNUMBER('中古車掲載'!N961),'中古車掲載'!N961&gt;=20000,'中古車掲載'!O961&lt;=100000,'中古車掲載'!AL961=1),'中古車掲載'!U961,"")</x:f>
      </x:c>
      <x:c r="BI960" t="str">
        <x:v>Taladrod|Yaris Ativ|ICE|Unknown</x:v>
      </x:c>
      <x:c r="BJ960" t="n">
        <x:v>961</x:v>
      </x:c>
      <x:c r="BK960" t="n">
        <x:f>'中古車掲載'!AM961</x:f>
        <x:v>295000</x:v>
      </x:c>
      <x:c r="BL960" t="str">
        <x:f>IF(ISNUMBER('中古車掲載'!AN961),'中古車掲載'!AN961,"")</x:f>
      </x:c>
    </x:row>
    <x:row r="961">
      <x:c r="AZ961" t="str">
        <x:f>IF(AND('中古車掲載'!C962="One2car",'中古車掲載'!F962="ATTO 3",'中古車掲載'!L962="EXTENDED RANGE",'中古車掲載'!J962=2023,ISNUMBER('中古車掲載'!N962),'中古車掲載'!N962&gt;=20000,'中古車掲載'!O962&lt;=100000,'中古車掲載'!AL962=1),'中古車掲載'!U962,"")</x:f>
      </x:c>
      <x:c r="BA961" t="str">
        <x:f>IF(AND('中古車掲載'!C962="One2car",'中古車掲載'!F962="Corolla Cross",'中古車掲載'!L962="HEV PREMIUM SAFETY",'中古車掲載'!J962=2023,ISNUMBER('中古車掲載'!N962),'中古車掲載'!N962&gt;=20000,'中古車掲載'!O962&lt;=100000,'中古車掲載'!AL962=1,'中古車掲載'!Z962="https://www.one2car.com/en/cars-for-sale/toyota/corolla-cross/year-2023"),'中古車掲載'!U962,"")</x:f>
      </x:c>
      <x:c r="BB961" t="str">
        <x:f>IF(AND('中古車掲載'!C962="One2car",'中古車掲載'!F962="ATTO 3",'中古車掲載'!L962="EXTENDED RANGE",'中古車掲載'!J962=2023,ISNUMBER('中古車掲載'!N962),'中古車掲載'!N962&gt;=50000,'中古車掲載'!O962&lt;=100000,'中古車掲載'!AL962=1),'中古車掲載'!U962,"")</x:f>
      </x:c>
      <x:c r="BC961" t="str">
        <x:f>IF(AND('中古車掲載'!C962="One2car",'中古車掲載'!F962="Corolla Cross",'中古車掲載'!L962="HEV PREMIUM SAFETY",'中古車掲載'!J962=2023,ISNUMBER('中古車掲載'!N962),'中古車掲載'!N962&gt;=50000,'中古車掲載'!O962&lt;=100000,'中古車掲載'!AL962=1,'中古車掲載'!Z962="https://www.one2car.com/en/cars-for-sale/toyota/corolla-cross/year-2023"),'中古車掲載'!U962,"")</x:f>
      </x:c>
      <x:c r="BD961" t="str">
        <x:f>IF(AND('中古車掲載'!C962="One2car",'中古車掲載'!F962="ATTO 3",'中古車掲載'!L962="EXTENDED RANGE",'中古車掲載'!J962=2023,ISNUMBER('中古車掲載'!N962),'中古車掲載'!N962&gt;=20000,'中古車掲載'!O962&lt;=50000,'中古車掲載'!AL962=1),'中古車掲載'!U962,"")</x:f>
      </x:c>
      <x:c r="BE961" t="str">
        <x:f>IF(AND('中古車掲載'!C962="One2car",'中古車掲載'!F962="Corolla Cross",'中古車掲載'!L962="HEV PREMIUM SAFETY",'中古車掲載'!J962=2023,ISNUMBER('中古車掲載'!N962),'中古車掲載'!N962&gt;=20000,'中古車掲載'!O962&lt;=50000,'中古車掲載'!AL962=1,'中古車掲載'!Z962="https://www.one2car.com/en/cars-for-sale/toyota/corolla-cross/year-2023"),'中古車掲載'!U962,"")</x:f>
      </x:c>
      <x:c r="BF961" t="str">
        <x:f>IF(AND('中古車掲載'!C962="One2car",'中古車掲載'!F962="Corolla Cross",'中古車掲載'!L962="HEV PREMIUM",'中古車掲載'!J962=2023,ISNUMBER('中古車掲載'!N962),'中古車掲載'!N962&gt;=20000,'中古車掲載'!O962&lt;=100000,'中古車掲載'!AL962=1,'中古車掲載'!Z962="https://www.one2car.com/en/cars-for-sale/toyota/corolla-cross/year-2023"),'中古車掲載'!U962,"")</x:f>
      </x:c>
      <x:c r="BG961" t="str">
        <x:f>IF(AND('中古車掲載'!C962="One2car",'中古車掲載'!F962="Corolla Cross",'中古車掲載'!L962="HEV GR SPORT",'中古車掲載'!J962=2023,ISNUMBER('中古車掲載'!N962),'中古車掲載'!N962&gt;=20000,'中古車掲載'!O962&lt;=100000,'中古車掲載'!AL962=1,'中古車掲載'!Z962="https://www.one2car.com/en/cars-for-sale/toyota/corolla-cross/year-2023"),'中古車掲載'!U962,"")</x:f>
      </x:c>
      <x:c r="BH961" t="str">
        <x:f>IF(AND('中古車掲載'!C962="One2car",'中古車掲載'!F962="DOLPHIN",'中古車掲載'!L962="STANDARD RANGE",'中古車掲載'!J962=2023,ISNUMBER('中古車掲載'!N962),'中古車掲載'!N962&gt;=20000,'中古車掲載'!O962&lt;=100000,'中古車掲載'!AL962=1),'中古車掲載'!U962,"")</x:f>
      </x:c>
      <x:c r="BI961" t="str">
        <x:v>Taladrod|Yaris Ativ|ICE|Unknown</x:v>
      </x:c>
      <x:c r="BJ961" t="n">
        <x:v>962</x:v>
      </x:c>
      <x:c r="BK961" t="n">
        <x:f>'中古車掲載'!AM962</x:f>
        <x:v>324000</x:v>
      </x:c>
      <x:c r="BL961" t="str">
        <x:f>IF(ISNUMBER('中古車掲載'!AN962),'中古車掲載'!AN962,"")</x:f>
      </x:c>
    </x:row>
    <x:row r="962">
      <x:c r="AZ962" t="str">
        <x:f>IF(AND('中古車掲載'!C963="One2car",'中古車掲載'!F963="ATTO 3",'中古車掲載'!L963="EXTENDED RANGE",'中古車掲載'!J963=2023,ISNUMBER('中古車掲載'!N963),'中古車掲載'!N963&gt;=20000,'中古車掲載'!O963&lt;=100000,'中古車掲載'!AL963=1),'中古車掲載'!U963,"")</x:f>
      </x:c>
      <x:c r="BA962" t="str">
        <x:f>IF(AND('中古車掲載'!C963="One2car",'中古車掲載'!F963="Corolla Cross",'中古車掲載'!L963="HEV PREMIUM SAFETY",'中古車掲載'!J963=2023,ISNUMBER('中古車掲載'!N963),'中古車掲載'!N963&gt;=20000,'中古車掲載'!O963&lt;=100000,'中古車掲載'!AL963=1,'中古車掲載'!Z963="https://www.one2car.com/en/cars-for-sale/toyota/corolla-cross/year-2023"),'中古車掲載'!U963,"")</x:f>
      </x:c>
      <x:c r="BB962" t="str">
        <x:f>IF(AND('中古車掲載'!C963="One2car",'中古車掲載'!F963="ATTO 3",'中古車掲載'!L963="EXTENDED RANGE",'中古車掲載'!J963=2023,ISNUMBER('中古車掲載'!N963),'中古車掲載'!N963&gt;=50000,'中古車掲載'!O963&lt;=100000,'中古車掲載'!AL963=1),'中古車掲載'!U963,"")</x:f>
      </x:c>
      <x:c r="BC962" t="str">
        <x:f>IF(AND('中古車掲載'!C963="One2car",'中古車掲載'!F963="Corolla Cross",'中古車掲載'!L963="HEV PREMIUM SAFETY",'中古車掲載'!J963=2023,ISNUMBER('中古車掲載'!N963),'中古車掲載'!N963&gt;=50000,'中古車掲載'!O963&lt;=100000,'中古車掲載'!AL963=1,'中古車掲載'!Z963="https://www.one2car.com/en/cars-for-sale/toyota/corolla-cross/year-2023"),'中古車掲載'!U963,"")</x:f>
      </x:c>
      <x:c r="BD962" t="str">
        <x:f>IF(AND('中古車掲載'!C963="One2car",'中古車掲載'!F963="ATTO 3",'中古車掲載'!L963="EXTENDED RANGE",'中古車掲載'!J963=2023,ISNUMBER('中古車掲載'!N963),'中古車掲載'!N963&gt;=20000,'中古車掲載'!O963&lt;=50000,'中古車掲載'!AL963=1),'中古車掲載'!U963,"")</x:f>
      </x:c>
      <x:c r="BE962" t="str">
        <x:f>IF(AND('中古車掲載'!C963="One2car",'中古車掲載'!F963="Corolla Cross",'中古車掲載'!L963="HEV PREMIUM SAFETY",'中古車掲載'!J963=2023,ISNUMBER('中古車掲載'!N963),'中古車掲載'!N963&gt;=20000,'中古車掲載'!O963&lt;=50000,'中古車掲載'!AL963=1,'中古車掲載'!Z963="https://www.one2car.com/en/cars-for-sale/toyota/corolla-cross/year-2023"),'中古車掲載'!U963,"")</x:f>
      </x:c>
      <x:c r="BF962" t="str">
        <x:f>IF(AND('中古車掲載'!C963="One2car",'中古車掲載'!F963="Corolla Cross",'中古車掲載'!L963="HEV PREMIUM",'中古車掲載'!J963=2023,ISNUMBER('中古車掲載'!N963),'中古車掲載'!N963&gt;=20000,'中古車掲載'!O963&lt;=100000,'中古車掲載'!AL963=1,'中古車掲載'!Z963="https://www.one2car.com/en/cars-for-sale/toyota/corolla-cross/year-2023"),'中古車掲載'!U963,"")</x:f>
      </x:c>
      <x:c r="BG962" t="str">
        <x:f>IF(AND('中古車掲載'!C963="One2car",'中古車掲載'!F963="Corolla Cross",'中古車掲載'!L963="HEV GR SPORT",'中古車掲載'!J963=2023,ISNUMBER('中古車掲載'!N963),'中古車掲載'!N963&gt;=20000,'中古車掲載'!O963&lt;=100000,'中古車掲載'!AL963=1,'中古車掲載'!Z963="https://www.one2car.com/en/cars-for-sale/toyota/corolla-cross/year-2023"),'中古車掲載'!U963,"")</x:f>
      </x:c>
      <x:c r="BH962" t="str">
        <x:f>IF(AND('中古車掲載'!C963="One2car",'中古車掲載'!F963="DOLPHIN",'中古車掲載'!L963="STANDARD RANGE",'中古車掲載'!J963=2023,ISNUMBER('中古車掲載'!N963),'中古車掲載'!N963&gt;=20000,'中古車掲載'!O963&lt;=100000,'中古車掲載'!AL963=1),'中古車掲載'!U963,"")</x:f>
      </x:c>
      <x:c r="BI962" t="str">
        <x:v>Taladrod|Yaris Ativ|ICE|Unknown</x:v>
      </x:c>
      <x:c r="BJ962" t="n">
        <x:v>963</x:v>
      </x:c>
      <x:c r="BK962" t="n">
        <x:f>'中古車掲載'!AM963</x:f>
        <x:v>324000</x:v>
      </x:c>
      <x:c r="BL962" t="str">
        <x:f>IF(ISNUMBER('中古車掲載'!AN963),'中古車掲載'!AN963,"")</x:f>
      </x:c>
    </x:row>
    <x:row r="963">
      <x:c r="AZ963" t="str">
        <x:f>IF(AND('中古車掲載'!C964="One2car",'中古車掲載'!F964="ATTO 3",'中古車掲載'!L964="EXTENDED RANGE",'中古車掲載'!J964=2023,ISNUMBER('中古車掲載'!N964),'中古車掲載'!N964&gt;=20000,'中古車掲載'!O964&lt;=100000,'中古車掲載'!AL964=1),'中古車掲載'!U964,"")</x:f>
      </x:c>
      <x:c r="BA963" t="str">
        <x:f>IF(AND('中古車掲載'!C964="One2car",'中古車掲載'!F964="Corolla Cross",'中古車掲載'!L964="HEV PREMIUM SAFETY",'中古車掲載'!J964=2023,ISNUMBER('中古車掲載'!N964),'中古車掲載'!N964&gt;=20000,'中古車掲載'!O964&lt;=100000,'中古車掲載'!AL964=1,'中古車掲載'!Z964="https://www.one2car.com/en/cars-for-sale/toyota/corolla-cross/year-2023"),'中古車掲載'!U964,"")</x:f>
      </x:c>
      <x:c r="BB963" t="str">
        <x:f>IF(AND('中古車掲載'!C964="One2car",'中古車掲載'!F964="ATTO 3",'中古車掲載'!L964="EXTENDED RANGE",'中古車掲載'!J964=2023,ISNUMBER('中古車掲載'!N964),'中古車掲載'!N964&gt;=50000,'中古車掲載'!O964&lt;=100000,'中古車掲載'!AL964=1),'中古車掲載'!U964,"")</x:f>
      </x:c>
      <x:c r="BC963" t="str">
        <x:f>IF(AND('中古車掲載'!C964="One2car",'中古車掲載'!F964="Corolla Cross",'中古車掲載'!L964="HEV PREMIUM SAFETY",'中古車掲載'!J964=2023,ISNUMBER('中古車掲載'!N964),'中古車掲載'!N964&gt;=50000,'中古車掲載'!O964&lt;=100000,'中古車掲載'!AL964=1,'中古車掲載'!Z964="https://www.one2car.com/en/cars-for-sale/toyota/corolla-cross/year-2023"),'中古車掲載'!U964,"")</x:f>
      </x:c>
      <x:c r="BD963" t="str">
        <x:f>IF(AND('中古車掲載'!C964="One2car",'中古車掲載'!F964="ATTO 3",'中古車掲載'!L964="EXTENDED RANGE",'中古車掲載'!J964=2023,ISNUMBER('中古車掲載'!N964),'中古車掲載'!N964&gt;=20000,'中古車掲載'!O964&lt;=50000,'中古車掲載'!AL964=1),'中古車掲載'!U964,"")</x:f>
      </x:c>
      <x:c r="BE963" t="str">
        <x:f>IF(AND('中古車掲載'!C964="One2car",'中古車掲載'!F964="Corolla Cross",'中古車掲載'!L964="HEV PREMIUM SAFETY",'中古車掲載'!J964=2023,ISNUMBER('中古車掲載'!N964),'中古車掲載'!N964&gt;=20000,'中古車掲載'!O964&lt;=50000,'中古車掲載'!AL964=1,'中古車掲載'!Z964="https://www.one2car.com/en/cars-for-sale/toyota/corolla-cross/year-2023"),'中古車掲載'!U964,"")</x:f>
      </x:c>
      <x:c r="BF963" t="str">
        <x:f>IF(AND('中古車掲載'!C964="One2car",'中古車掲載'!F964="Corolla Cross",'中古車掲載'!L964="HEV PREMIUM",'中古車掲載'!J964=2023,ISNUMBER('中古車掲載'!N964),'中古車掲載'!N964&gt;=20000,'中古車掲載'!O964&lt;=100000,'中古車掲載'!AL964=1,'中古車掲載'!Z964="https://www.one2car.com/en/cars-for-sale/toyota/corolla-cross/year-2023"),'中古車掲載'!U964,"")</x:f>
      </x:c>
      <x:c r="BG963" t="str">
        <x:f>IF(AND('中古車掲載'!C964="One2car",'中古車掲載'!F964="Corolla Cross",'中古車掲載'!L964="HEV GR SPORT",'中古車掲載'!J964=2023,ISNUMBER('中古車掲載'!N964),'中古車掲載'!N964&gt;=20000,'中古車掲載'!O964&lt;=100000,'中古車掲載'!AL964=1,'中古車掲載'!Z964="https://www.one2car.com/en/cars-for-sale/toyota/corolla-cross/year-2023"),'中古車掲載'!U964,"")</x:f>
      </x:c>
      <x:c r="BH963" t="str">
        <x:f>IF(AND('中古車掲載'!C964="One2car",'中古車掲載'!F964="DOLPHIN",'中古車掲載'!L964="STANDARD RANGE",'中古車掲載'!J964=2023,ISNUMBER('中古車掲載'!N964),'中古車掲載'!N964&gt;=20000,'中古車掲載'!O964&lt;=100000,'中古車掲載'!AL964=1),'中古車掲載'!U964,"")</x:f>
      </x:c>
      <x:c r="BI963" t="str">
        <x:v>Taladrod|Yaris Ativ|ICE|Unknown</x:v>
      </x:c>
      <x:c r="BJ963" t="n">
        <x:v>964</x:v>
      </x:c>
      <x:c r="BK963" t="n">
        <x:f>'中古車掲載'!AM964</x:f>
        <x:v>310000</x:v>
      </x:c>
      <x:c r="BL963" t="str">
        <x:f>IF(ISNUMBER('中古車掲載'!AN964),'中古車掲載'!AN964,"")</x:f>
      </x:c>
    </x:row>
    <x:row r="964">
      <x:c r="AZ964" t="str">
        <x:f>IF(AND('中古車掲載'!C965="One2car",'中古車掲載'!F965="ATTO 3",'中古車掲載'!L965="EXTENDED RANGE",'中古車掲載'!J965=2023,ISNUMBER('中古車掲載'!N965),'中古車掲載'!N965&gt;=20000,'中古車掲載'!O965&lt;=100000,'中古車掲載'!AL965=1),'中古車掲載'!U965,"")</x:f>
      </x:c>
      <x:c r="BA964" t="str">
        <x:f>IF(AND('中古車掲載'!C965="One2car",'中古車掲載'!F965="Corolla Cross",'中古車掲載'!L965="HEV PREMIUM SAFETY",'中古車掲載'!J965=2023,ISNUMBER('中古車掲載'!N965),'中古車掲載'!N965&gt;=20000,'中古車掲載'!O965&lt;=100000,'中古車掲載'!AL965=1,'中古車掲載'!Z965="https://www.one2car.com/en/cars-for-sale/toyota/corolla-cross/year-2023"),'中古車掲載'!U965,"")</x:f>
      </x:c>
      <x:c r="BB964" t="str">
        <x:f>IF(AND('中古車掲載'!C965="One2car",'中古車掲載'!F965="ATTO 3",'中古車掲載'!L965="EXTENDED RANGE",'中古車掲載'!J965=2023,ISNUMBER('中古車掲載'!N965),'中古車掲載'!N965&gt;=50000,'中古車掲載'!O965&lt;=100000,'中古車掲載'!AL965=1),'中古車掲載'!U965,"")</x:f>
      </x:c>
      <x:c r="BC964" t="str">
        <x:f>IF(AND('中古車掲載'!C965="One2car",'中古車掲載'!F965="Corolla Cross",'中古車掲載'!L965="HEV PREMIUM SAFETY",'中古車掲載'!J965=2023,ISNUMBER('中古車掲載'!N965),'中古車掲載'!N965&gt;=50000,'中古車掲載'!O965&lt;=100000,'中古車掲載'!AL965=1,'中古車掲載'!Z965="https://www.one2car.com/en/cars-for-sale/toyota/corolla-cross/year-2023"),'中古車掲載'!U965,"")</x:f>
      </x:c>
      <x:c r="BD964" t="str">
        <x:f>IF(AND('中古車掲載'!C965="One2car",'中古車掲載'!F965="ATTO 3",'中古車掲載'!L965="EXTENDED RANGE",'中古車掲載'!J965=2023,ISNUMBER('中古車掲載'!N965),'中古車掲載'!N965&gt;=20000,'中古車掲載'!O965&lt;=50000,'中古車掲載'!AL965=1),'中古車掲載'!U965,"")</x:f>
      </x:c>
      <x:c r="BE964" t="str">
        <x:f>IF(AND('中古車掲載'!C965="One2car",'中古車掲載'!F965="Corolla Cross",'中古車掲載'!L965="HEV PREMIUM SAFETY",'中古車掲載'!J965=2023,ISNUMBER('中古車掲載'!N965),'中古車掲載'!N965&gt;=20000,'中古車掲載'!O965&lt;=50000,'中古車掲載'!AL965=1,'中古車掲載'!Z965="https://www.one2car.com/en/cars-for-sale/toyota/corolla-cross/year-2023"),'中古車掲載'!U965,"")</x:f>
      </x:c>
      <x:c r="BF964" t="str">
        <x:f>IF(AND('中古車掲載'!C965="One2car",'中古車掲載'!F965="Corolla Cross",'中古車掲載'!L965="HEV PREMIUM",'中古車掲載'!J965=2023,ISNUMBER('中古車掲載'!N965),'中古車掲載'!N965&gt;=20000,'中古車掲載'!O965&lt;=100000,'中古車掲載'!AL965=1,'中古車掲載'!Z965="https://www.one2car.com/en/cars-for-sale/toyota/corolla-cross/year-2023"),'中古車掲載'!U965,"")</x:f>
      </x:c>
      <x:c r="BG964" t="str">
        <x:f>IF(AND('中古車掲載'!C965="One2car",'中古車掲載'!F965="Corolla Cross",'中古車掲載'!L965="HEV GR SPORT",'中古車掲載'!J965=2023,ISNUMBER('中古車掲載'!N965),'中古車掲載'!N965&gt;=20000,'中古車掲載'!O965&lt;=100000,'中古車掲載'!AL965=1,'中古車掲載'!Z965="https://www.one2car.com/en/cars-for-sale/toyota/corolla-cross/year-2023"),'中古車掲載'!U965,"")</x:f>
      </x:c>
      <x:c r="BH964" t="str">
        <x:f>IF(AND('中古車掲載'!C965="One2car",'中古車掲載'!F965="DOLPHIN",'中古車掲載'!L965="STANDARD RANGE",'中古車掲載'!J965=2023,ISNUMBER('中古車掲載'!N965),'中古車掲載'!N965&gt;=20000,'中古車掲載'!O965&lt;=100000,'中古車掲載'!AL965=1),'中古車掲載'!U965,"")</x:f>
      </x:c>
      <x:c r="BI964" t="str">
        <x:v>Taladrod|Yaris Ativ|ICE|Unknown</x:v>
      </x:c>
      <x:c r="BJ964" t="n">
        <x:v>965</x:v>
      </x:c>
      <x:c r="BK964" t="n">
        <x:f>'中古車掲載'!AM965</x:f>
        <x:v>389000</x:v>
      </x:c>
      <x:c r="BL964" t="str">
        <x:f>IF(ISNUMBER('中古車掲載'!AN965),'中古車掲載'!AN965,"")</x:f>
      </x:c>
    </x:row>
    <x:row r="965">
      <x:c r="AZ965" t="str">
        <x:f>IF(AND('中古車掲載'!C966="One2car",'中古車掲載'!F966="ATTO 3",'中古車掲載'!L966="EXTENDED RANGE",'中古車掲載'!J966=2023,ISNUMBER('中古車掲載'!N966),'中古車掲載'!N966&gt;=20000,'中古車掲載'!O966&lt;=100000,'中古車掲載'!AL966=1),'中古車掲載'!U966,"")</x:f>
      </x:c>
      <x:c r="BA965" t="str">
        <x:f>IF(AND('中古車掲載'!C966="One2car",'中古車掲載'!F966="Corolla Cross",'中古車掲載'!L966="HEV PREMIUM SAFETY",'中古車掲載'!J966=2023,ISNUMBER('中古車掲載'!N966),'中古車掲載'!N966&gt;=20000,'中古車掲載'!O966&lt;=100000,'中古車掲載'!AL966=1,'中古車掲載'!Z966="https://www.one2car.com/en/cars-for-sale/toyota/corolla-cross/year-2023"),'中古車掲載'!U966,"")</x:f>
      </x:c>
      <x:c r="BB965" t="str">
        <x:f>IF(AND('中古車掲載'!C966="One2car",'中古車掲載'!F966="ATTO 3",'中古車掲載'!L966="EXTENDED RANGE",'中古車掲載'!J966=2023,ISNUMBER('中古車掲載'!N966),'中古車掲載'!N966&gt;=50000,'中古車掲載'!O966&lt;=100000,'中古車掲載'!AL966=1),'中古車掲載'!U966,"")</x:f>
      </x:c>
      <x:c r="BC965" t="str">
        <x:f>IF(AND('中古車掲載'!C966="One2car",'中古車掲載'!F966="Corolla Cross",'中古車掲載'!L966="HEV PREMIUM SAFETY",'中古車掲載'!J966=2023,ISNUMBER('中古車掲載'!N966),'中古車掲載'!N966&gt;=50000,'中古車掲載'!O966&lt;=100000,'中古車掲載'!AL966=1,'中古車掲載'!Z966="https://www.one2car.com/en/cars-for-sale/toyota/corolla-cross/year-2023"),'中古車掲載'!U966,"")</x:f>
      </x:c>
      <x:c r="BD965" t="str">
        <x:f>IF(AND('中古車掲載'!C966="One2car",'中古車掲載'!F966="ATTO 3",'中古車掲載'!L966="EXTENDED RANGE",'中古車掲載'!J966=2023,ISNUMBER('中古車掲載'!N966),'中古車掲載'!N966&gt;=20000,'中古車掲載'!O966&lt;=50000,'中古車掲載'!AL966=1),'中古車掲載'!U966,"")</x:f>
      </x:c>
      <x:c r="BE965" t="str">
        <x:f>IF(AND('中古車掲載'!C966="One2car",'中古車掲載'!F966="Corolla Cross",'中古車掲載'!L966="HEV PREMIUM SAFETY",'中古車掲載'!J966=2023,ISNUMBER('中古車掲載'!N966),'中古車掲載'!N966&gt;=20000,'中古車掲載'!O966&lt;=50000,'中古車掲載'!AL966=1,'中古車掲載'!Z966="https://www.one2car.com/en/cars-for-sale/toyota/corolla-cross/year-2023"),'中古車掲載'!U966,"")</x:f>
      </x:c>
      <x:c r="BF965" t="str">
        <x:f>IF(AND('中古車掲載'!C966="One2car",'中古車掲載'!F966="Corolla Cross",'中古車掲載'!L966="HEV PREMIUM",'中古車掲載'!J966=2023,ISNUMBER('中古車掲載'!N966),'中古車掲載'!N966&gt;=20000,'中古車掲載'!O966&lt;=100000,'中古車掲載'!AL966=1,'中古車掲載'!Z966="https://www.one2car.com/en/cars-for-sale/toyota/corolla-cross/year-2023"),'中古車掲載'!U966,"")</x:f>
      </x:c>
      <x:c r="BG965" t="str">
        <x:f>IF(AND('中古車掲載'!C966="One2car",'中古車掲載'!F966="Corolla Cross",'中古車掲載'!L966="HEV GR SPORT",'中古車掲載'!J966=2023,ISNUMBER('中古車掲載'!N966),'中古車掲載'!N966&gt;=20000,'中古車掲載'!O966&lt;=100000,'中古車掲載'!AL966=1,'中古車掲載'!Z966="https://www.one2car.com/en/cars-for-sale/toyota/corolla-cross/year-2023"),'中古車掲載'!U966,"")</x:f>
      </x:c>
      <x:c r="BH965" t="str">
        <x:f>IF(AND('中古車掲載'!C966="One2car",'中古車掲載'!F966="DOLPHIN",'中古車掲載'!L966="STANDARD RANGE",'中古車掲載'!J966=2023,ISNUMBER('中古車掲載'!N966),'中古車掲載'!N966&gt;=20000,'中古車掲載'!O966&lt;=100000,'中古車掲載'!AL966=1),'中古車掲載'!U966,"")</x:f>
      </x:c>
      <x:c r="BI965" t="str">
        <x:v>Taladrod|Yaris Ativ|ICE|Unknown</x:v>
      </x:c>
      <x:c r="BJ965" t="n">
        <x:v>966</x:v>
      </x:c>
      <x:c r="BK965" t="n">
        <x:f>'中古車掲載'!AM966</x:f>
        <x:v>300000</x:v>
      </x:c>
      <x:c r="BL965" t="str">
        <x:f>IF(ISNUMBER('中古車掲載'!AN966),'中古車掲載'!AN966,"")</x:f>
      </x:c>
    </x:row>
    <x:row r="966">
      <x:c r="AZ966" t="str">
        <x:f>IF(AND('中古車掲載'!C967="One2car",'中古車掲載'!F967="ATTO 3",'中古車掲載'!L967="EXTENDED RANGE",'中古車掲載'!J967=2023,ISNUMBER('中古車掲載'!N967),'中古車掲載'!N967&gt;=20000,'中古車掲載'!O967&lt;=100000,'中古車掲載'!AL967=1),'中古車掲載'!U967,"")</x:f>
      </x:c>
      <x:c r="BA966" t="str">
        <x:f>IF(AND('中古車掲載'!C967="One2car",'中古車掲載'!F967="Corolla Cross",'中古車掲載'!L967="HEV PREMIUM SAFETY",'中古車掲載'!J967=2023,ISNUMBER('中古車掲載'!N967),'中古車掲載'!N967&gt;=20000,'中古車掲載'!O967&lt;=100000,'中古車掲載'!AL967=1,'中古車掲載'!Z967="https://www.one2car.com/en/cars-for-sale/toyota/corolla-cross/year-2023"),'中古車掲載'!U967,"")</x:f>
      </x:c>
      <x:c r="BB966" t="str">
        <x:f>IF(AND('中古車掲載'!C967="One2car",'中古車掲載'!F967="ATTO 3",'中古車掲載'!L967="EXTENDED RANGE",'中古車掲載'!J967=2023,ISNUMBER('中古車掲載'!N967),'中古車掲載'!N967&gt;=50000,'中古車掲載'!O967&lt;=100000,'中古車掲載'!AL967=1),'中古車掲載'!U967,"")</x:f>
      </x:c>
      <x:c r="BC966" t="str">
        <x:f>IF(AND('中古車掲載'!C967="One2car",'中古車掲載'!F967="Corolla Cross",'中古車掲載'!L967="HEV PREMIUM SAFETY",'中古車掲載'!J967=2023,ISNUMBER('中古車掲載'!N967),'中古車掲載'!N967&gt;=50000,'中古車掲載'!O967&lt;=100000,'中古車掲載'!AL967=1,'中古車掲載'!Z967="https://www.one2car.com/en/cars-for-sale/toyota/corolla-cross/year-2023"),'中古車掲載'!U967,"")</x:f>
      </x:c>
      <x:c r="BD966" t="str">
        <x:f>IF(AND('中古車掲載'!C967="One2car",'中古車掲載'!F967="ATTO 3",'中古車掲載'!L967="EXTENDED RANGE",'中古車掲載'!J967=2023,ISNUMBER('中古車掲載'!N967),'中古車掲載'!N967&gt;=20000,'中古車掲載'!O967&lt;=50000,'中古車掲載'!AL967=1),'中古車掲載'!U967,"")</x:f>
      </x:c>
      <x:c r="BE966" t="str">
        <x:f>IF(AND('中古車掲載'!C967="One2car",'中古車掲載'!F967="Corolla Cross",'中古車掲載'!L967="HEV PREMIUM SAFETY",'中古車掲載'!J967=2023,ISNUMBER('中古車掲載'!N967),'中古車掲載'!N967&gt;=20000,'中古車掲載'!O967&lt;=50000,'中古車掲載'!AL967=1,'中古車掲載'!Z967="https://www.one2car.com/en/cars-for-sale/toyota/corolla-cross/year-2023"),'中古車掲載'!U967,"")</x:f>
      </x:c>
      <x:c r="BF966" t="str">
        <x:f>IF(AND('中古車掲載'!C967="One2car",'中古車掲載'!F967="Corolla Cross",'中古車掲載'!L967="HEV PREMIUM",'中古車掲載'!J967=2023,ISNUMBER('中古車掲載'!N967),'中古車掲載'!N967&gt;=20000,'中古車掲載'!O967&lt;=100000,'中古車掲載'!AL967=1,'中古車掲載'!Z967="https://www.one2car.com/en/cars-for-sale/toyota/corolla-cross/year-2023"),'中古車掲載'!U967,"")</x:f>
      </x:c>
      <x:c r="BG966" t="str">
        <x:f>IF(AND('中古車掲載'!C967="One2car",'中古車掲載'!F967="Corolla Cross",'中古車掲載'!L967="HEV GR SPORT",'中古車掲載'!J967=2023,ISNUMBER('中古車掲載'!N967),'中古車掲載'!N967&gt;=20000,'中古車掲載'!O967&lt;=100000,'中古車掲載'!AL967=1,'中古車掲載'!Z967="https://www.one2car.com/en/cars-for-sale/toyota/corolla-cross/year-2023"),'中古車掲載'!U967,"")</x:f>
      </x:c>
      <x:c r="BH966" t="str">
        <x:f>IF(AND('中古車掲載'!C967="One2car",'中古車掲載'!F967="DOLPHIN",'中古車掲載'!L967="STANDARD RANGE",'中古車掲載'!J967=2023,ISNUMBER('中古車掲載'!N967),'中古車掲載'!N967&gt;=20000,'中古車掲載'!O967&lt;=100000,'中古車掲載'!AL967=1),'中古車掲載'!U967,"")</x:f>
      </x:c>
      <x:c r="BI966" t="str">
        <x:v>Taladrod|Yaris Ativ|ICE|Unknown</x:v>
      </x:c>
      <x:c r="BJ966" t="n">
        <x:v>967</x:v>
      </x:c>
      <x:c r="BK966" t="n">
        <x:f>'中古車掲載'!AM967</x:f>
        <x:v>324000</x:v>
      </x:c>
      <x:c r="BL966" t="str">
        <x:f>IF(ISNUMBER('中古車掲載'!AN967),'中古車掲載'!AN967,"")</x:f>
      </x:c>
    </x:row>
    <x:row r="967">
      <x:c r="AZ967" t="str">
        <x:f>IF(AND('中古車掲載'!C968="One2car",'中古車掲載'!F968="ATTO 3",'中古車掲載'!L968="EXTENDED RANGE",'中古車掲載'!J968=2023,ISNUMBER('中古車掲載'!N968),'中古車掲載'!N968&gt;=20000,'中古車掲載'!O968&lt;=100000,'中古車掲載'!AL968=1),'中古車掲載'!U968,"")</x:f>
      </x:c>
      <x:c r="BA967" t="str">
        <x:f>IF(AND('中古車掲載'!C968="One2car",'中古車掲載'!F968="Corolla Cross",'中古車掲載'!L968="HEV PREMIUM SAFETY",'中古車掲載'!J968=2023,ISNUMBER('中古車掲載'!N968),'中古車掲載'!N968&gt;=20000,'中古車掲載'!O968&lt;=100000,'中古車掲載'!AL968=1,'中古車掲載'!Z968="https://www.one2car.com/en/cars-for-sale/toyota/corolla-cross/year-2023"),'中古車掲載'!U968,"")</x:f>
      </x:c>
      <x:c r="BB967" t="str">
        <x:f>IF(AND('中古車掲載'!C968="One2car",'中古車掲載'!F968="ATTO 3",'中古車掲載'!L968="EXTENDED RANGE",'中古車掲載'!J968=2023,ISNUMBER('中古車掲載'!N968),'中古車掲載'!N968&gt;=50000,'中古車掲載'!O968&lt;=100000,'中古車掲載'!AL968=1),'中古車掲載'!U968,"")</x:f>
      </x:c>
      <x:c r="BC967" t="str">
        <x:f>IF(AND('中古車掲載'!C968="One2car",'中古車掲載'!F968="Corolla Cross",'中古車掲載'!L968="HEV PREMIUM SAFETY",'中古車掲載'!J968=2023,ISNUMBER('中古車掲載'!N968),'中古車掲載'!N968&gt;=50000,'中古車掲載'!O968&lt;=100000,'中古車掲載'!AL968=1,'中古車掲載'!Z968="https://www.one2car.com/en/cars-for-sale/toyota/corolla-cross/year-2023"),'中古車掲載'!U968,"")</x:f>
      </x:c>
      <x:c r="BD967" t="str">
        <x:f>IF(AND('中古車掲載'!C968="One2car",'中古車掲載'!F968="ATTO 3",'中古車掲載'!L968="EXTENDED RANGE",'中古車掲載'!J968=2023,ISNUMBER('中古車掲載'!N968),'中古車掲載'!N968&gt;=20000,'中古車掲載'!O968&lt;=50000,'中古車掲載'!AL968=1),'中古車掲載'!U968,"")</x:f>
      </x:c>
      <x:c r="BE967" t="str">
        <x:f>IF(AND('中古車掲載'!C968="One2car",'中古車掲載'!F968="Corolla Cross",'中古車掲載'!L968="HEV PREMIUM SAFETY",'中古車掲載'!J968=2023,ISNUMBER('中古車掲載'!N968),'中古車掲載'!N968&gt;=20000,'中古車掲載'!O968&lt;=50000,'中古車掲載'!AL968=1,'中古車掲載'!Z968="https://www.one2car.com/en/cars-for-sale/toyota/corolla-cross/year-2023"),'中古車掲載'!U968,"")</x:f>
      </x:c>
      <x:c r="BF967" t="str">
        <x:f>IF(AND('中古車掲載'!C968="One2car",'中古車掲載'!F968="Corolla Cross",'中古車掲載'!L968="HEV PREMIUM",'中古車掲載'!J968=2023,ISNUMBER('中古車掲載'!N968),'中古車掲載'!N968&gt;=20000,'中古車掲載'!O968&lt;=100000,'中古車掲載'!AL968=1,'中古車掲載'!Z968="https://www.one2car.com/en/cars-for-sale/toyota/corolla-cross/year-2023"),'中古車掲載'!U968,"")</x:f>
      </x:c>
      <x:c r="BG967" t="str">
        <x:f>IF(AND('中古車掲載'!C968="One2car",'中古車掲載'!F968="Corolla Cross",'中古車掲載'!L968="HEV GR SPORT",'中古車掲載'!J968=2023,ISNUMBER('中古車掲載'!N968),'中古車掲載'!N968&gt;=20000,'中古車掲載'!O968&lt;=100000,'中古車掲載'!AL968=1,'中古車掲載'!Z968="https://www.one2car.com/en/cars-for-sale/toyota/corolla-cross/year-2023"),'中古車掲載'!U968,"")</x:f>
      </x:c>
      <x:c r="BH967" t="str">
        <x:f>IF(AND('中古車掲載'!C968="One2car",'中古車掲載'!F968="DOLPHIN",'中古車掲載'!L968="STANDARD RANGE",'中古車掲載'!J968=2023,ISNUMBER('中古車掲載'!N968),'中古車掲載'!N968&gt;=20000,'中古車掲載'!O968&lt;=100000,'中古車掲載'!AL968=1),'中古車掲載'!U968,"")</x:f>
      </x:c>
      <x:c r="BI967" t="str">
        <x:v>Taladrod|Yaris Ativ|ICE|Unknown</x:v>
      </x:c>
      <x:c r="BJ967" t="n">
        <x:v>968</x:v>
      </x:c>
      <x:c r="BK967" t="n">
        <x:f>'中古車掲載'!AM968</x:f>
        <x:v>349000</x:v>
      </x:c>
      <x:c r="BL967" t="str">
        <x:f>IF(ISNUMBER('中古車掲載'!AN968),'中古車掲載'!AN968,"")</x:f>
      </x:c>
    </x:row>
    <x:row r="968">
      <x:c r="AZ968" t="str">
        <x:f>IF(AND('中古車掲載'!C969="One2car",'中古車掲載'!F969="ATTO 3",'中古車掲載'!L969="EXTENDED RANGE",'中古車掲載'!J969=2023,ISNUMBER('中古車掲載'!N969),'中古車掲載'!N969&gt;=20000,'中古車掲載'!O969&lt;=100000,'中古車掲載'!AL969=1),'中古車掲載'!U969,"")</x:f>
      </x:c>
      <x:c r="BA968" t="str">
        <x:f>IF(AND('中古車掲載'!C969="One2car",'中古車掲載'!F969="Corolla Cross",'中古車掲載'!L969="HEV PREMIUM SAFETY",'中古車掲載'!J969=2023,ISNUMBER('中古車掲載'!N969),'中古車掲載'!N969&gt;=20000,'中古車掲載'!O969&lt;=100000,'中古車掲載'!AL969=1,'中古車掲載'!Z969="https://www.one2car.com/en/cars-for-sale/toyota/corolla-cross/year-2023"),'中古車掲載'!U969,"")</x:f>
      </x:c>
      <x:c r="BB968" t="str">
        <x:f>IF(AND('中古車掲載'!C969="One2car",'中古車掲載'!F969="ATTO 3",'中古車掲載'!L969="EXTENDED RANGE",'中古車掲載'!J969=2023,ISNUMBER('中古車掲載'!N969),'中古車掲載'!N969&gt;=50000,'中古車掲載'!O969&lt;=100000,'中古車掲載'!AL969=1),'中古車掲載'!U969,"")</x:f>
      </x:c>
      <x:c r="BC968" t="str">
        <x:f>IF(AND('中古車掲載'!C969="One2car",'中古車掲載'!F969="Corolla Cross",'中古車掲載'!L969="HEV PREMIUM SAFETY",'中古車掲載'!J969=2023,ISNUMBER('中古車掲載'!N969),'中古車掲載'!N969&gt;=50000,'中古車掲載'!O969&lt;=100000,'中古車掲載'!AL969=1,'中古車掲載'!Z969="https://www.one2car.com/en/cars-for-sale/toyota/corolla-cross/year-2023"),'中古車掲載'!U969,"")</x:f>
      </x:c>
      <x:c r="BD968" t="str">
        <x:f>IF(AND('中古車掲載'!C969="One2car",'中古車掲載'!F969="ATTO 3",'中古車掲載'!L969="EXTENDED RANGE",'中古車掲載'!J969=2023,ISNUMBER('中古車掲載'!N969),'中古車掲載'!N969&gt;=20000,'中古車掲載'!O969&lt;=50000,'中古車掲載'!AL969=1),'中古車掲載'!U969,"")</x:f>
      </x:c>
      <x:c r="BE968" t="str">
        <x:f>IF(AND('中古車掲載'!C969="One2car",'中古車掲載'!F969="Corolla Cross",'中古車掲載'!L969="HEV PREMIUM SAFETY",'中古車掲載'!J969=2023,ISNUMBER('中古車掲載'!N969),'中古車掲載'!N969&gt;=20000,'中古車掲載'!O969&lt;=50000,'中古車掲載'!AL969=1,'中古車掲載'!Z969="https://www.one2car.com/en/cars-for-sale/toyota/corolla-cross/year-2023"),'中古車掲載'!U969,"")</x:f>
      </x:c>
      <x:c r="BF968" t="str">
        <x:f>IF(AND('中古車掲載'!C969="One2car",'中古車掲載'!F969="Corolla Cross",'中古車掲載'!L969="HEV PREMIUM",'中古車掲載'!J969=2023,ISNUMBER('中古車掲載'!N969),'中古車掲載'!N969&gt;=20000,'中古車掲載'!O969&lt;=100000,'中古車掲載'!AL969=1,'中古車掲載'!Z969="https://www.one2car.com/en/cars-for-sale/toyota/corolla-cross/year-2023"),'中古車掲載'!U969,"")</x:f>
      </x:c>
      <x:c r="BG968" t="str">
        <x:f>IF(AND('中古車掲載'!C969="One2car",'中古車掲載'!F969="Corolla Cross",'中古車掲載'!L969="HEV GR SPORT",'中古車掲載'!J969=2023,ISNUMBER('中古車掲載'!N969),'中古車掲載'!N969&gt;=20000,'中古車掲載'!O969&lt;=100000,'中古車掲載'!AL969=1,'中古車掲載'!Z969="https://www.one2car.com/en/cars-for-sale/toyota/corolla-cross/year-2023"),'中古車掲載'!U969,"")</x:f>
      </x:c>
      <x:c r="BH968" t="str">
        <x:f>IF(AND('中古車掲載'!C969="One2car",'中古車掲載'!F969="DOLPHIN",'中古車掲載'!L969="STANDARD RANGE",'中古車掲載'!J969=2023,ISNUMBER('中古車掲載'!N969),'中古車掲載'!N969&gt;=20000,'中古車掲載'!O969&lt;=100000,'中古車掲載'!AL969=1),'中古車掲載'!U969,"")</x:f>
      </x:c>
      <x:c r="BI968" t="str">
        <x:v>Taladrod|Yaris Ativ|ICE|Unknown</x:v>
      </x:c>
      <x:c r="BJ968" t="n">
        <x:v>969</x:v>
      </x:c>
      <x:c r="BK968" t="n">
        <x:f>'中古車掲載'!AM969</x:f>
        <x:v>419000</x:v>
      </x:c>
      <x:c r="BL968" t="str">
        <x:f>IF(ISNUMBER('中古車掲載'!AN969),'中古車掲載'!AN969,"")</x:f>
      </x:c>
    </x:row>
    <x:row r="969">
      <x:c r="AZ969" t="str">
        <x:f>IF(AND('中古車掲載'!C970="One2car",'中古車掲載'!F970="ATTO 3",'中古車掲載'!L970="EXTENDED RANGE",'中古車掲載'!J970=2023,ISNUMBER('中古車掲載'!N970),'中古車掲載'!N970&gt;=20000,'中古車掲載'!O970&lt;=100000,'中古車掲載'!AL970=1),'中古車掲載'!U970,"")</x:f>
      </x:c>
      <x:c r="BA969" t="str">
        <x:f>IF(AND('中古車掲載'!C970="One2car",'中古車掲載'!F970="Corolla Cross",'中古車掲載'!L970="HEV PREMIUM SAFETY",'中古車掲載'!J970=2023,ISNUMBER('中古車掲載'!N970),'中古車掲載'!N970&gt;=20000,'中古車掲載'!O970&lt;=100000,'中古車掲載'!AL970=1,'中古車掲載'!Z970="https://www.one2car.com/en/cars-for-sale/toyota/corolla-cross/year-2023"),'中古車掲載'!U970,"")</x:f>
      </x:c>
      <x:c r="BB969" t="str">
        <x:f>IF(AND('中古車掲載'!C970="One2car",'中古車掲載'!F970="ATTO 3",'中古車掲載'!L970="EXTENDED RANGE",'中古車掲載'!J970=2023,ISNUMBER('中古車掲載'!N970),'中古車掲載'!N970&gt;=50000,'中古車掲載'!O970&lt;=100000,'中古車掲載'!AL970=1),'中古車掲載'!U970,"")</x:f>
      </x:c>
      <x:c r="BC969" t="str">
        <x:f>IF(AND('中古車掲載'!C970="One2car",'中古車掲載'!F970="Corolla Cross",'中古車掲載'!L970="HEV PREMIUM SAFETY",'中古車掲載'!J970=2023,ISNUMBER('中古車掲載'!N970),'中古車掲載'!N970&gt;=50000,'中古車掲載'!O970&lt;=100000,'中古車掲載'!AL970=1,'中古車掲載'!Z970="https://www.one2car.com/en/cars-for-sale/toyota/corolla-cross/year-2023"),'中古車掲載'!U970,"")</x:f>
      </x:c>
      <x:c r="BD969" t="str">
        <x:f>IF(AND('中古車掲載'!C970="One2car",'中古車掲載'!F970="ATTO 3",'中古車掲載'!L970="EXTENDED RANGE",'中古車掲載'!J970=2023,ISNUMBER('中古車掲載'!N970),'中古車掲載'!N970&gt;=20000,'中古車掲載'!O970&lt;=50000,'中古車掲載'!AL970=1),'中古車掲載'!U970,"")</x:f>
      </x:c>
      <x:c r="BE969" t="str">
        <x:f>IF(AND('中古車掲載'!C970="One2car",'中古車掲載'!F970="Corolla Cross",'中古車掲載'!L970="HEV PREMIUM SAFETY",'中古車掲載'!J970=2023,ISNUMBER('中古車掲載'!N970),'中古車掲載'!N970&gt;=20000,'中古車掲載'!O970&lt;=50000,'中古車掲載'!AL970=1,'中古車掲載'!Z970="https://www.one2car.com/en/cars-for-sale/toyota/corolla-cross/year-2023"),'中古車掲載'!U970,"")</x:f>
      </x:c>
      <x:c r="BF969" t="str">
        <x:f>IF(AND('中古車掲載'!C970="One2car",'中古車掲載'!F970="Corolla Cross",'中古車掲載'!L970="HEV PREMIUM",'中古車掲載'!J970=2023,ISNUMBER('中古車掲載'!N970),'中古車掲載'!N970&gt;=20000,'中古車掲載'!O970&lt;=100000,'中古車掲載'!AL970=1,'中古車掲載'!Z970="https://www.one2car.com/en/cars-for-sale/toyota/corolla-cross/year-2023"),'中古車掲載'!U970,"")</x:f>
      </x:c>
      <x:c r="BG969" t="str">
        <x:f>IF(AND('中古車掲載'!C970="One2car",'中古車掲載'!F970="Corolla Cross",'中古車掲載'!L970="HEV GR SPORT",'中古車掲載'!J970=2023,ISNUMBER('中古車掲載'!N970),'中古車掲載'!N970&gt;=20000,'中古車掲載'!O970&lt;=100000,'中古車掲載'!AL970=1,'中古車掲載'!Z970="https://www.one2car.com/en/cars-for-sale/toyota/corolla-cross/year-2023"),'中古車掲載'!U970,"")</x:f>
      </x:c>
      <x:c r="BH969" t="str">
        <x:f>IF(AND('中古車掲載'!C970="One2car",'中古車掲載'!F970="DOLPHIN",'中古車掲載'!L970="STANDARD RANGE",'中古車掲載'!J970=2023,ISNUMBER('中古車掲載'!N970),'中古車掲載'!N970&gt;=20000,'中古車掲載'!O970&lt;=100000,'中古車掲載'!AL970=1),'中古車掲載'!U970,"")</x:f>
      </x:c>
      <x:c r="BI969" t="str">
        <x:v>Taladrod|Yaris Ativ|ICE|Unknown</x:v>
      </x:c>
      <x:c r="BJ969" t="n">
        <x:v>970</x:v>
      </x:c>
      <x:c r="BK969" t="n">
        <x:f>'中古車掲載'!AM970</x:f>
        <x:v>367000</x:v>
      </x:c>
      <x:c r="BL969" t="str">
        <x:f>IF(ISNUMBER('中古車掲載'!AN970),'中古車掲載'!AN970,"")</x:f>
      </x:c>
    </x:row>
    <x:row r="970">
      <x:c r="AZ970" t="str">
        <x:f>IF(AND('中古車掲載'!C971="One2car",'中古車掲載'!F971="ATTO 3",'中古車掲載'!L971="EXTENDED RANGE",'中古車掲載'!J971=2023,ISNUMBER('中古車掲載'!N971),'中古車掲載'!N971&gt;=20000,'中古車掲載'!O971&lt;=100000,'中古車掲載'!AL971=1),'中古車掲載'!U971,"")</x:f>
      </x:c>
      <x:c r="BA970" t="str">
        <x:f>IF(AND('中古車掲載'!C971="One2car",'中古車掲載'!F971="Corolla Cross",'中古車掲載'!L971="HEV PREMIUM SAFETY",'中古車掲載'!J971=2023,ISNUMBER('中古車掲載'!N971),'中古車掲載'!N971&gt;=20000,'中古車掲載'!O971&lt;=100000,'中古車掲載'!AL971=1,'中古車掲載'!Z971="https://www.one2car.com/en/cars-for-sale/toyota/corolla-cross/year-2023"),'中古車掲載'!U971,"")</x:f>
      </x:c>
      <x:c r="BB970" t="str">
        <x:f>IF(AND('中古車掲載'!C971="One2car",'中古車掲載'!F971="ATTO 3",'中古車掲載'!L971="EXTENDED RANGE",'中古車掲載'!J971=2023,ISNUMBER('中古車掲載'!N971),'中古車掲載'!N971&gt;=50000,'中古車掲載'!O971&lt;=100000,'中古車掲載'!AL971=1),'中古車掲載'!U971,"")</x:f>
      </x:c>
      <x:c r="BC970" t="str">
        <x:f>IF(AND('中古車掲載'!C971="One2car",'中古車掲載'!F971="Corolla Cross",'中古車掲載'!L971="HEV PREMIUM SAFETY",'中古車掲載'!J971=2023,ISNUMBER('中古車掲載'!N971),'中古車掲載'!N971&gt;=50000,'中古車掲載'!O971&lt;=100000,'中古車掲載'!AL971=1,'中古車掲載'!Z971="https://www.one2car.com/en/cars-for-sale/toyota/corolla-cross/year-2023"),'中古車掲載'!U971,"")</x:f>
      </x:c>
      <x:c r="BD970" t="str">
        <x:f>IF(AND('中古車掲載'!C971="One2car",'中古車掲載'!F971="ATTO 3",'中古車掲載'!L971="EXTENDED RANGE",'中古車掲載'!J971=2023,ISNUMBER('中古車掲載'!N971),'中古車掲載'!N971&gt;=20000,'中古車掲載'!O971&lt;=50000,'中古車掲載'!AL971=1),'中古車掲載'!U971,"")</x:f>
      </x:c>
      <x:c r="BE970" t="str">
        <x:f>IF(AND('中古車掲載'!C971="One2car",'中古車掲載'!F971="Corolla Cross",'中古車掲載'!L971="HEV PREMIUM SAFETY",'中古車掲載'!J971=2023,ISNUMBER('中古車掲載'!N971),'中古車掲載'!N971&gt;=20000,'中古車掲載'!O971&lt;=50000,'中古車掲載'!AL971=1,'中古車掲載'!Z971="https://www.one2car.com/en/cars-for-sale/toyota/corolla-cross/year-2023"),'中古車掲載'!U971,"")</x:f>
      </x:c>
      <x:c r="BF970" t="str">
        <x:f>IF(AND('中古車掲載'!C971="One2car",'中古車掲載'!F971="Corolla Cross",'中古車掲載'!L971="HEV PREMIUM",'中古車掲載'!J971=2023,ISNUMBER('中古車掲載'!N971),'中古車掲載'!N971&gt;=20000,'中古車掲載'!O971&lt;=100000,'中古車掲載'!AL971=1,'中古車掲載'!Z971="https://www.one2car.com/en/cars-for-sale/toyota/corolla-cross/year-2023"),'中古車掲載'!U971,"")</x:f>
      </x:c>
      <x:c r="BG970" t="str">
        <x:f>IF(AND('中古車掲載'!C971="One2car",'中古車掲載'!F971="Corolla Cross",'中古車掲載'!L971="HEV GR SPORT",'中古車掲載'!J971=2023,ISNUMBER('中古車掲載'!N971),'中古車掲載'!N971&gt;=20000,'中古車掲載'!O971&lt;=100000,'中古車掲載'!AL971=1,'中古車掲載'!Z971="https://www.one2car.com/en/cars-for-sale/toyota/corolla-cross/year-2023"),'中古車掲載'!U971,"")</x:f>
      </x:c>
      <x:c r="BH970" t="str">
        <x:f>IF(AND('中古車掲載'!C971="One2car",'中古車掲載'!F971="DOLPHIN",'中古車掲載'!L971="STANDARD RANGE",'中古車掲載'!J971=2023,ISNUMBER('中古車掲載'!N971),'中古車掲載'!N971&gt;=20000,'中古車掲載'!O971&lt;=100000,'中古車掲載'!AL971=1),'中古車掲載'!U971,"")</x:f>
      </x:c>
      <x:c r="BI970" t="str">
        <x:v>Taladrod|Yaris Ativ|ICE|Unknown</x:v>
      </x:c>
      <x:c r="BJ970" t="n">
        <x:v>971</x:v>
      </x:c>
      <x:c r="BK970" t="n">
        <x:f>'中古車掲載'!AM971</x:f>
        <x:v>324000</x:v>
      </x:c>
      <x:c r="BL970" t="str">
        <x:f>IF(ISNUMBER('中古車掲載'!AN971),'中古車掲載'!AN971,"")</x:f>
      </x:c>
    </x:row>
    <x:row r="971">
      <x:c r="AZ971" t="str">
        <x:f>IF(AND('中古車掲載'!C972="One2car",'中古車掲載'!F972="ATTO 3",'中古車掲載'!L972="EXTENDED RANGE",'中古車掲載'!J972=2023,ISNUMBER('中古車掲載'!N972),'中古車掲載'!N972&gt;=20000,'中古車掲載'!O972&lt;=100000,'中古車掲載'!AL972=1),'中古車掲載'!U972,"")</x:f>
      </x:c>
      <x:c r="BA971" t="str">
        <x:f>IF(AND('中古車掲載'!C972="One2car",'中古車掲載'!F972="Corolla Cross",'中古車掲載'!L972="HEV PREMIUM SAFETY",'中古車掲載'!J972=2023,ISNUMBER('中古車掲載'!N972),'中古車掲載'!N972&gt;=20000,'中古車掲載'!O972&lt;=100000,'中古車掲載'!AL972=1,'中古車掲載'!Z972="https://www.one2car.com/en/cars-for-sale/toyota/corolla-cross/year-2023"),'中古車掲載'!U972,"")</x:f>
      </x:c>
      <x:c r="BB971" t="str">
        <x:f>IF(AND('中古車掲載'!C972="One2car",'中古車掲載'!F972="ATTO 3",'中古車掲載'!L972="EXTENDED RANGE",'中古車掲載'!J972=2023,ISNUMBER('中古車掲載'!N972),'中古車掲載'!N972&gt;=50000,'中古車掲載'!O972&lt;=100000,'中古車掲載'!AL972=1),'中古車掲載'!U972,"")</x:f>
      </x:c>
      <x:c r="BC971" t="str">
        <x:f>IF(AND('中古車掲載'!C972="One2car",'中古車掲載'!F972="Corolla Cross",'中古車掲載'!L972="HEV PREMIUM SAFETY",'中古車掲載'!J972=2023,ISNUMBER('中古車掲載'!N972),'中古車掲載'!N972&gt;=50000,'中古車掲載'!O972&lt;=100000,'中古車掲載'!AL972=1,'中古車掲載'!Z972="https://www.one2car.com/en/cars-for-sale/toyota/corolla-cross/year-2023"),'中古車掲載'!U972,"")</x:f>
      </x:c>
      <x:c r="BD971" t="str">
        <x:f>IF(AND('中古車掲載'!C972="One2car",'中古車掲載'!F972="ATTO 3",'中古車掲載'!L972="EXTENDED RANGE",'中古車掲載'!J972=2023,ISNUMBER('中古車掲載'!N972),'中古車掲載'!N972&gt;=20000,'中古車掲載'!O972&lt;=50000,'中古車掲載'!AL972=1),'中古車掲載'!U972,"")</x:f>
      </x:c>
      <x:c r="BE971" t="str">
        <x:f>IF(AND('中古車掲載'!C972="One2car",'中古車掲載'!F972="Corolla Cross",'中古車掲載'!L972="HEV PREMIUM SAFETY",'中古車掲載'!J972=2023,ISNUMBER('中古車掲載'!N972),'中古車掲載'!N972&gt;=20000,'中古車掲載'!O972&lt;=50000,'中古車掲載'!AL972=1,'中古車掲載'!Z972="https://www.one2car.com/en/cars-for-sale/toyota/corolla-cross/year-2023"),'中古車掲載'!U972,"")</x:f>
      </x:c>
      <x:c r="BF971" t="str">
        <x:f>IF(AND('中古車掲載'!C972="One2car",'中古車掲載'!F972="Corolla Cross",'中古車掲載'!L972="HEV PREMIUM",'中古車掲載'!J972=2023,ISNUMBER('中古車掲載'!N972),'中古車掲載'!N972&gt;=20000,'中古車掲載'!O972&lt;=100000,'中古車掲載'!AL972=1,'中古車掲載'!Z972="https://www.one2car.com/en/cars-for-sale/toyota/corolla-cross/year-2023"),'中古車掲載'!U972,"")</x:f>
      </x:c>
      <x:c r="BG971" t="str">
        <x:f>IF(AND('中古車掲載'!C972="One2car",'中古車掲載'!F972="Corolla Cross",'中古車掲載'!L972="HEV GR SPORT",'中古車掲載'!J972=2023,ISNUMBER('中古車掲載'!N972),'中古車掲載'!N972&gt;=20000,'中古車掲載'!O972&lt;=100000,'中古車掲載'!AL972=1,'中古車掲載'!Z972="https://www.one2car.com/en/cars-for-sale/toyota/corolla-cross/year-2023"),'中古車掲載'!U972,"")</x:f>
      </x:c>
      <x:c r="BH971" t="str">
        <x:f>IF(AND('中古車掲載'!C972="One2car",'中古車掲載'!F972="DOLPHIN",'中古車掲載'!L972="STANDARD RANGE",'中古車掲載'!J972=2023,ISNUMBER('中古車掲載'!N972),'中古車掲載'!N972&gt;=20000,'中古車掲載'!O972&lt;=100000,'中古車掲載'!AL972=1),'中古車掲載'!U972,"")</x:f>
      </x:c>
      <x:c r="BI971" t="str">
        <x:v>Taladrod|Yaris Ativ|ICE|Unknown</x:v>
      </x:c>
      <x:c r="BJ971" t="n">
        <x:v>972</x:v>
      </x:c>
      <x:c r="BK971" t="n">
        <x:f>'中古車掲載'!AM972</x:f>
        <x:v>439000</x:v>
      </x:c>
      <x:c r="BL971" t="str">
        <x:f>IF(ISNUMBER('中古車掲載'!AN972),'中古車掲載'!AN972,"")</x:f>
      </x:c>
    </x:row>
    <x:row r="972">
      <x:c r="AZ972" t="str">
        <x:f>IF(AND('中古車掲載'!C973="One2car",'中古車掲載'!F973="ATTO 3",'中古車掲載'!L973="EXTENDED RANGE",'中古車掲載'!J973=2023,ISNUMBER('中古車掲載'!N973),'中古車掲載'!N973&gt;=20000,'中古車掲載'!O973&lt;=100000,'中古車掲載'!AL973=1),'中古車掲載'!U973,"")</x:f>
      </x:c>
      <x:c r="BA972" t="str">
        <x:f>IF(AND('中古車掲載'!C973="One2car",'中古車掲載'!F973="Corolla Cross",'中古車掲載'!L973="HEV PREMIUM SAFETY",'中古車掲載'!J973=2023,ISNUMBER('中古車掲載'!N973),'中古車掲載'!N973&gt;=20000,'中古車掲載'!O973&lt;=100000,'中古車掲載'!AL973=1,'中古車掲載'!Z973="https://www.one2car.com/en/cars-for-sale/toyota/corolla-cross/year-2023"),'中古車掲載'!U973,"")</x:f>
      </x:c>
      <x:c r="BB972" t="str">
        <x:f>IF(AND('中古車掲載'!C973="One2car",'中古車掲載'!F973="ATTO 3",'中古車掲載'!L973="EXTENDED RANGE",'中古車掲載'!J973=2023,ISNUMBER('中古車掲載'!N973),'中古車掲載'!N973&gt;=50000,'中古車掲載'!O973&lt;=100000,'中古車掲載'!AL973=1),'中古車掲載'!U973,"")</x:f>
      </x:c>
      <x:c r="BC972" t="str">
        <x:f>IF(AND('中古車掲載'!C973="One2car",'中古車掲載'!F973="Corolla Cross",'中古車掲載'!L973="HEV PREMIUM SAFETY",'中古車掲載'!J973=2023,ISNUMBER('中古車掲載'!N973),'中古車掲載'!N973&gt;=50000,'中古車掲載'!O973&lt;=100000,'中古車掲載'!AL973=1,'中古車掲載'!Z973="https://www.one2car.com/en/cars-for-sale/toyota/corolla-cross/year-2023"),'中古車掲載'!U973,"")</x:f>
      </x:c>
      <x:c r="BD972" t="str">
        <x:f>IF(AND('中古車掲載'!C973="One2car",'中古車掲載'!F973="ATTO 3",'中古車掲載'!L973="EXTENDED RANGE",'中古車掲載'!J973=2023,ISNUMBER('中古車掲載'!N973),'中古車掲載'!N973&gt;=20000,'中古車掲載'!O973&lt;=50000,'中古車掲載'!AL973=1),'中古車掲載'!U973,"")</x:f>
      </x:c>
      <x:c r="BE972" t="str">
        <x:f>IF(AND('中古車掲載'!C973="One2car",'中古車掲載'!F973="Corolla Cross",'中古車掲載'!L973="HEV PREMIUM SAFETY",'中古車掲載'!J973=2023,ISNUMBER('中古車掲載'!N973),'中古車掲載'!N973&gt;=20000,'中古車掲載'!O973&lt;=50000,'中古車掲載'!AL973=1,'中古車掲載'!Z973="https://www.one2car.com/en/cars-for-sale/toyota/corolla-cross/year-2023"),'中古車掲載'!U973,"")</x:f>
      </x:c>
      <x:c r="BF972" t="str">
        <x:f>IF(AND('中古車掲載'!C973="One2car",'中古車掲載'!F973="Corolla Cross",'中古車掲載'!L973="HEV PREMIUM",'中古車掲載'!J973=2023,ISNUMBER('中古車掲載'!N973),'中古車掲載'!N973&gt;=20000,'中古車掲載'!O973&lt;=100000,'中古車掲載'!AL973=1,'中古車掲載'!Z973="https://www.one2car.com/en/cars-for-sale/toyota/corolla-cross/year-2023"),'中古車掲載'!U973,"")</x:f>
      </x:c>
      <x:c r="BG972" t="str">
        <x:f>IF(AND('中古車掲載'!C973="One2car",'中古車掲載'!F973="Corolla Cross",'中古車掲載'!L973="HEV GR SPORT",'中古車掲載'!J973=2023,ISNUMBER('中古車掲載'!N973),'中古車掲載'!N973&gt;=20000,'中古車掲載'!O973&lt;=100000,'中古車掲載'!AL973=1,'中古車掲載'!Z973="https://www.one2car.com/en/cars-for-sale/toyota/corolla-cross/year-2023"),'中古車掲載'!U973,"")</x:f>
      </x:c>
      <x:c r="BH972" t="str">
        <x:f>IF(AND('中古車掲載'!C973="One2car",'中古車掲載'!F973="DOLPHIN",'中古車掲載'!L973="STANDARD RANGE",'中古車掲載'!J973=2023,ISNUMBER('中古車掲載'!N973),'中古車掲載'!N973&gt;=20000,'中古車掲載'!O973&lt;=100000,'中古車掲載'!AL973=1),'中古車掲載'!U973,"")</x:f>
      </x:c>
      <x:c r="BI972" t="str">
        <x:v>Taladrod|Yaris Ativ|ICE|Unknown</x:v>
      </x:c>
      <x:c r="BJ972" t="n">
        <x:v>973</x:v>
      </x:c>
      <x:c r="BK972" t="n">
        <x:f>'中古車掲載'!AM973</x:f>
        <x:v>486000</x:v>
      </x:c>
      <x:c r="BL972" t="str">
        <x:f>IF(ISNUMBER('中古車掲載'!AN973),'中古車掲載'!AN973,"")</x:f>
      </x:c>
    </x:row>
    <x:row r="973">
      <x:c r="AZ973" t="str">
        <x:f>IF(AND('中古車掲載'!C974="One2car",'中古車掲載'!F974="ATTO 3",'中古車掲載'!L974="EXTENDED RANGE",'中古車掲載'!J974=2023,ISNUMBER('中古車掲載'!N974),'中古車掲載'!N974&gt;=20000,'中古車掲載'!O974&lt;=100000,'中古車掲載'!AL974=1),'中古車掲載'!U974,"")</x:f>
      </x:c>
      <x:c r="BA973" t="str">
        <x:f>IF(AND('中古車掲載'!C974="One2car",'中古車掲載'!F974="Corolla Cross",'中古車掲載'!L974="HEV PREMIUM SAFETY",'中古車掲載'!J974=2023,ISNUMBER('中古車掲載'!N974),'中古車掲載'!N974&gt;=20000,'中古車掲載'!O974&lt;=100000,'中古車掲載'!AL974=1,'中古車掲載'!Z974="https://www.one2car.com/en/cars-for-sale/toyota/corolla-cross/year-2023"),'中古車掲載'!U974,"")</x:f>
      </x:c>
      <x:c r="BB973" t="str">
        <x:f>IF(AND('中古車掲載'!C974="One2car",'中古車掲載'!F974="ATTO 3",'中古車掲載'!L974="EXTENDED RANGE",'中古車掲載'!J974=2023,ISNUMBER('中古車掲載'!N974),'中古車掲載'!N974&gt;=50000,'中古車掲載'!O974&lt;=100000,'中古車掲載'!AL974=1),'中古車掲載'!U974,"")</x:f>
      </x:c>
      <x:c r="BC973" t="str">
        <x:f>IF(AND('中古車掲載'!C974="One2car",'中古車掲載'!F974="Corolla Cross",'中古車掲載'!L974="HEV PREMIUM SAFETY",'中古車掲載'!J974=2023,ISNUMBER('中古車掲載'!N974),'中古車掲載'!N974&gt;=50000,'中古車掲載'!O974&lt;=100000,'中古車掲載'!AL974=1,'中古車掲載'!Z974="https://www.one2car.com/en/cars-for-sale/toyota/corolla-cross/year-2023"),'中古車掲載'!U974,"")</x:f>
      </x:c>
      <x:c r="BD973" t="str">
        <x:f>IF(AND('中古車掲載'!C974="One2car",'中古車掲載'!F974="ATTO 3",'中古車掲載'!L974="EXTENDED RANGE",'中古車掲載'!J974=2023,ISNUMBER('中古車掲載'!N974),'中古車掲載'!N974&gt;=20000,'中古車掲載'!O974&lt;=50000,'中古車掲載'!AL974=1),'中古車掲載'!U974,"")</x:f>
      </x:c>
      <x:c r="BE973" t="str">
        <x:f>IF(AND('中古車掲載'!C974="One2car",'中古車掲載'!F974="Corolla Cross",'中古車掲載'!L974="HEV PREMIUM SAFETY",'中古車掲載'!J974=2023,ISNUMBER('中古車掲載'!N974),'中古車掲載'!N974&gt;=20000,'中古車掲載'!O974&lt;=50000,'中古車掲載'!AL974=1,'中古車掲載'!Z974="https://www.one2car.com/en/cars-for-sale/toyota/corolla-cross/year-2023"),'中古車掲載'!U974,"")</x:f>
      </x:c>
      <x:c r="BF973" t="str">
        <x:f>IF(AND('中古車掲載'!C974="One2car",'中古車掲載'!F974="Corolla Cross",'中古車掲載'!L974="HEV PREMIUM",'中古車掲載'!J974=2023,ISNUMBER('中古車掲載'!N974),'中古車掲載'!N974&gt;=20000,'中古車掲載'!O974&lt;=100000,'中古車掲載'!AL974=1,'中古車掲載'!Z974="https://www.one2car.com/en/cars-for-sale/toyota/corolla-cross/year-2023"),'中古車掲載'!U974,"")</x:f>
      </x:c>
      <x:c r="BG973" t="str">
        <x:f>IF(AND('中古車掲載'!C974="One2car",'中古車掲載'!F974="Corolla Cross",'中古車掲載'!L974="HEV GR SPORT",'中古車掲載'!J974=2023,ISNUMBER('中古車掲載'!N974),'中古車掲載'!N974&gt;=20000,'中古車掲載'!O974&lt;=100000,'中古車掲載'!AL974=1,'中古車掲載'!Z974="https://www.one2car.com/en/cars-for-sale/toyota/corolla-cross/year-2023"),'中古車掲載'!U974,"")</x:f>
      </x:c>
      <x:c r="BH973" t="str">
        <x:f>IF(AND('中古車掲載'!C974="One2car",'中古車掲載'!F974="DOLPHIN",'中古車掲載'!L974="STANDARD RANGE",'中古車掲載'!J974=2023,ISNUMBER('中古車掲載'!N974),'中古車掲載'!N974&gt;=20000,'中古車掲載'!O974&lt;=100000,'中古車掲載'!AL974=1),'中古車掲載'!U974,"")</x:f>
      </x:c>
      <x:c r="BI973" t="str">
        <x:v>Taladrod|Yaris Ativ|ICE|Unknown</x:v>
      </x:c>
      <x:c r="BJ973" t="n">
        <x:v>974</x:v>
      </x:c>
      <x:c r="BK973" t="n">
        <x:f>'中古車掲載'!AM974</x:f>
        <x:v>385000</x:v>
      </x:c>
      <x:c r="BL973" t="str">
        <x:f>IF(ISNUMBER('中古車掲載'!AN974),'中古車掲載'!AN974,"")</x:f>
      </x:c>
    </x:row>
    <x:row r="974">
      <x:c r="AZ974" t="str">
        <x:f>IF(AND('中古車掲載'!C975="One2car",'中古車掲載'!F975="ATTO 3",'中古車掲載'!L975="EXTENDED RANGE",'中古車掲載'!J975=2023,ISNUMBER('中古車掲載'!N975),'中古車掲載'!N975&gt;=20000,'中古車掲載'!O975&lt;=100000,'中古車掲載'!AL975=1),'中古車掲載'!U975,"")</x:f>
      </x:c>
      <x:c r="BA974" t="str">
        <x:f>IF(AND('中古車掲載'!C975="One2car",'中古車掲載'!F975="Corolla Cross",'中古車掲載'!L975="HEV PREMIUM SAFETY",'中古車掲載'!J975=2023,ISNUMBER('中古車掲載'!N975),'中古車掲載'!N975&gt;=20000,'中古車掲載'!O975&lt;=100000,'中古車掲載'!AL975=1,'中古車掲載'!Z975="https://www.one2car.com/en/cars-for-sale/toyota/corolla-cross/year-2023"),'中古車掲載'!U975,"")</x:f>
      </x:c>
      <x:c r="BB974" t="str">
        <x:f>IF(AND('中古車掲載'!C975="One2car",'中古車掲載'!F975="ATTO 3",'中古車掲載'!L975="EXTENDED RANGE",'中古車掲載'!J975=2023,ISNUMBER('中古車掲載'!N975),'中古車掲載'!N975&gt;=50000,'中古車掲載'!O975&lt;=100000,'中古車掲載'!AL975=1),'中古車掲載'!U975,"")</x:f>
      </x:c>
      <x:c r="BC974" t="str">
        <x:f>IF(AND('中古車掲載'!C975="One2car",'中古車掲載'!F975="Corolla Cross",'中古車掲載'!L975="HEV PREMIUM SAFETY",'中古車掲載'!J975=2023,ISNUMBER('中古車掲載'!N975),'中古車掲載'!N975&gt;=50000,'中古車掲載'!O975&lt;=100000,'中古車掲載'!AL975=1,'中古車掲載'!Z975="https://www.one2car.com/en/cars-for-sale/toyota/corolla-cross/year-2023"),'中古車掲載'!U975,"")</x:f>
      </x:c>
      <x:c r="BD974" t="str">
        <x:f>IF(AND('中古車掲載'!C975="One2car",'中古車掲載'!F975="ATTO 3",'中古車掲載'!L975="EXTENDED RANGE",'中古車掲載'!J975=2023,ISNUMBER('中古車掲載'!N975),'中古車掲載'!N975&gt;=20000,'中古車掲載'!O975&lt;=50000,'中古車掲載'!AL975=1),'中古車掲載'!U975,"")</x:f>
      </x:c>
      <x:c r="BE974" t="str">
        <x:f>IF(AND('中古車掲載'!C975="One2car",'中古車掲載'!F975="Corolla Cross",'中古車掲載'!L975="HEV PREMIUM SAFETY",'中古車掲載'!J975=2023,ISNUMBER('中古車掲載'!N975),'中古車掲載'!N975&gt;=20000,'中古車掲載'!O975&lt;=50000,'中古車掲載'!AL975=1,'中古車掲載'!Z975="https://www.one2car.com/en/cars-for-sale/toyota/corolla-cross/year-2023"),'中古車掲載'!U975,"")</x:f>
      </x:c>
      <x:c r="BF974" t="str">
        <x:f>IF(AND('中古車掲載'!C975="One2car",'中古車掲載'!F975="Corolla Cross",'中古車掲載'!L975="HEV PREMIUM",'中古車掲載'!J975=2023,ISNUMBER('中古車掲載'!N975),'中古車掲載'!N975&gt;=20000,'中古車掲載'!O975&lt;=100000,'中古車掲載'!AL975=1,'中古車掲載'!Z975="https://www.one2car.com/en/cars-for-sale/toyota/corolla-cross/year-2023"),'中古車掲載'!U975,"")</x:f>
      </x:c>
      <x:c r="BG974" t="str">
        <x:f>IF(AND('中古車掲載'!C975="One2car",'中古車掲載'!F975="Corolla Cross",'中古車掲載'!L975="HEV GR SPORT",'中古車掲載'!J975=2023,ISNUMBER('中古車掲載'!N975),'中古車掲載'!N975&gt;=20000,'中古車掲載'!O975&lt;=100000,'中古車掲載'!AL975=1,'中古車掲載'!Z975="https://www.one2car.com/en/cars-for-sale/toyota/corolla-cross/year-2023"),'中古車掲載'!U975,"")</x:f>
      </x:c>
      <x:c r="BH974" t="str">
        <x:f>IF(AND('中古車掲載'!C975="One2car",'中古車掲載'!F975="DOLPHIN",'中古車掲載'!L975="STANDARD RANGE",'中古車掲載'!J975=2023,ISNUMBER('中古車掲載'!N975),'中古車掲載'!N975&gt;=20000,'中古車掲載'!O975&lt;=100000,'中古車掲載'!AL975=1),'中古車掲載'!U975,"")</x:f>
      </x:c>
      <x:c r="BI974" t="str">
        <x:v>Taladrod|Yaris Ativ|ICE|Unknown</x:v>
      </x:c>
      <x:c r="BJ974" t="n">
        <x:v>975</x:v>
      </x:c>
      <x:c r="BK974" t="n">
        <x:f>'中古車掲載'!AM975</x:f>
        <x:v>454000</x:v>
      </x:c>
      <x:c r="BL974" t="str">
        <x:f>IF(ISNUMBER('中古車掲載'!AN975),'中古車掲載'!AN975,"")</x:f>
      </x:c>
    </x:row>
    <x:row r="975">
      <x:c r="AZ975" t="str">
        <x:f>IF(AND('中古車掲載'!C976="One2car",'中古車掲載'!F976="ATTO 3",'中古車掲載'!L976="EXTENDED RANGE",'中古車掲載'!J976=2023,ISNUMBER('中古車掲載'!N976),'中古車掲載'!N976&gt;=20000,'中古車掲載'!O976&lt;=100000,'中古車掲載'!AL976=1),'中古車掲載'!U976,"")</x:f>
      </x:c>
      <x:c r="BA975" t="str">
        <x:f>IF(AND('中古車掲載'!C976="One2car",'中古車掲載'!F976="Corolla Cross",'中古車掲載'!L976="HEV PREMIUM SAFETY",'中古車掲載'!J976=2023,ISNUMBER('中古車掲載'!N976),'中古車掲載'!N976&gt;=20000,'中古車掲載'!O976&lt;=100000,'中古車掲載'!AL976=1,'中古車掲載'!Z976="https://www.one2car.com/en/cars-for-sale/toyota/corolla-cross/year-2023"),'中古車掲載'!U976,"")</x:f>
      </x:c>
      <x:c r="BB975" t="str">
        <x:f>IF(AND('中古車掲載'!C976="One2car",'中古車掲載'!F976="ATTO 3",'中古車掲載'!L976="EXTENDED RANGE",'中古車掲載'!J976=2023,ISNUMBER('中古車掲載'!N976),'中古車掲載'!N976&gt;=50000,'中古車掲載'!O976&lt;=100000,'中古車掲載'!AL976=1),'中古車掲載'!U976,"")</x:f>
      </x:c>
      <x:c r="BC975" t="str">
        <x:f>IF(AND('中古車掲載'!C976="One2car",'中古車掲載'!F976="Corolla Cross",'中古車掲載'!L976="HEV PREMIUM SAFETY",'中古車掲載'!J976=2023,ISNUMBER('中古車掲載'!N976),'中古車掲載'!N976&gt;=50000,'中古車掲載'!O976&lt;=100000,'中古車掲載'!AL976=1,'中古車掲載'!Z976="https://www.one2car.com/en/cars-for-sale/toyota/corolla-cross/year-2023"),'中古車掲載'!U976,"")</x:f>
      </x:c>
      <x:c r="BD975" t="str">
        <x:f>IF(AND('中古車掲載'!C976="One2car",'中古車掲載'!F976="ATTO 3",'中古車掲載'!L976="EXTENDED RANGE",'中古車掲載'!J976=2023,ISNUMBER('中古車掲載'!N976),'中古車掲載'!N976&gt;=20000,'中古車掲載'!O976&lt;=50000,'中古車掲載'!AL976=1),'中古車掲載'!U976,"")</x:f>
      </x:c>
      <x:c r="BE975" t="str">
        <x:f>IF(AND('中古車掲載'!C976="One2car",'中古車掲載'!F976="Corolla Cross",'中古車掲載'!L976="HEV PREMIUM SAFETY",'中古車掲載'!J976=2023,ISNUMBER('中古車掲載'!N976),'中古車掲載'!N976&gt;=20000,'中古車掲載'!O976&lt;=50000,'中古車掲載'!AL976=1,'中古車掲載'!Z976="https://www.one2car.com/en/cars-for-sale/toyota/corolla-cross/year-2023"),'中古車掲載'!U976,"")</x:f>
      </x:c>
      <x:c r="BF975" t="str">
        <x:f>IF(AND('中古車掲載'!C976="One2car",'中古車掲載'!F976="Corolla Cross",'中古車掲載'!L976="HEV PREMIUM",'中古車掲載'!J976=2023,ISNUMBER('中古車掲載'!N976),'中古車掲載'!N976&gt;=20000,'中古車掲載'!O976&lt;=100000,'中古車掲載'!AL976=1,'中古車掲載'!Z976="https://www.one2car.com/en/cars-for-sale/toyota/corolla-cross/year-2023"),'中古車掲載'!U976,"")</x:f>
      </x:c>
      <x:c r="BG975" t="str">
        <x:f>IF(AND('中古車掲載'!C976="One2car",'中古車掲載'!F976="Corolla Cross",'中古車掲載'!L976="HEV GR SPORT",'中古車掲載'!J976=2023,ISNUMBER('中古車掲載'!N976),'中古車掲載'!N976&gt;=20000,'中古車掲載'!O976&lt;=100000,'中古車掲載'!AL976=1,'中古車掲載'!Z976="https://www.one2car.com/en/cars-for-sale/toyota/corolla-cross/year-2023"),'中古車掲載'!U976,"")</x:f>
      </x:c>
      <x:c r="BH975" t="str">
        <x:f>IF(AND('中古車掲載'!C976="One2car",'中古車掲載'!F976="DOLPHIN",'中古車掲載'!L976="STANDARD RANGE",'中古車掲載'!J976=2023,ISNUMBER('中古車掲載'!N976),'中古車掲載'!N976&gt;=20000,'中古車掲載'!O976&lt;=100000,'中古車掲載'!AL976=1),'中古車掲載'!U976,"")</x:f>
      </x:c>
      <x:c r="BI975" t="str">
        <x:v>Taladrod|Yaris Ativ|ICE|Unknown</x:v>
      </x:c>
      <x:c r="BJ975" t="n">
        <x:v>976</x:v>
      </x:c>
      <x:c r="BK975" t="n">
        <x:f>'中古車掲載'!AM976</x:f>
        <x:v>464000</x:v>
      </x:c>
      <x:c r="BL975" t="str">
        <x:f>IF(ISNUMBER('中古車掲載'!AN976),'中古車掲載'!AN976,"")</x:f>
      </x:c>
    </x:row>
    <x:row r="976">
      <x:c r="AZ976" t="str">
        <x:f>IF(AND('中古車掲載'!C977="One2car",'中古車掲載'!F977="ATTO 3",'中古車掲載'!L977="EXTENDED RANGE",'中古車掲載'!J977=2023,ISNUMBER('中古車掲載'!N977),'中古車掲載'!N977&gt;=20000,'中古車掲載'!O977&lt;=100000,'中古車掲載'!AL977=1),'中古車掲載'!U977,"")</x:f>
      </x:c>
      <x:c r="BA976" t="str">
        <x:f>IF(AND('中古車掲載'!C977="One2car",'中古車掲載'!F977="Corolla Cross",'中古車掲載'!L977="HEV PREMIUM SAFETY",'中古車掲載'!J977=2023,ISNUMBER('中古車掲載'!N977),'中古車掲載'!N977&gt;=20000,'中古車掲載'!O977&lt;=100000,'中古車掲載'!AL977=1,'中古車掲載'!Z977="https://www.one2car.com/en/cars-for-sale/toyota/corolla-cross/year-2023"),'中古車掲載'!U977,"")</x:f>
      </x:c>
      <x:c r="BB976" t="str">
        <x:f>IF(AND('中古車掲載'!C977="One2car",'中古車掲載'!F977="ATTO 3",'中古車掲載'!L977="EXTENDED RANGE",'中古車掲載'!J977=2023,ISNUMBER('中古車掲載'!N977),'中古車掲載'!N977&gt;=50000,'中古車掲載'!O977&lt;=100000,'中古車掲載'!AL977=1),'中古車掲載'!U977,"")</x:f>
      </x:c>
      <x:c r="BC976" t="str">
        <x:f>IF(AND('中古車掲載'!C977="One2car",'中古車掲載'!F977="Corolla Cross",'中古車掲載'!L977="HEV PREMIUM SAFETY",'中古車掲載'!J977=2023,ISNUMBER('中古車掲載'!N977),'中古車掲載'!N977&gt;=50000,'中古車掲載'!O977&lt;=100000,'中古車掲載'!AL977=1,'中古車掲載'!Z977="https://www.one2car.com/en/cars-for-sale/toyota/corolla-cross/year-2023"),'中古車掲載'!U977,"")</x:f>
      </x:c>
      <x:c r="BD976" t="str">
        <x:f>IF(AND('中古車掲載'!C977="One2car",'中古車掲載'!F977="ATTO 3",'中古車掲載'!L977="EXTENDED RANGE",'中古車掲載'!J977=2023,ISNUMBER('中古車掲載'!N977),'中古車掲載'!N977&gt;=20000,'中古車掲載'!O977&lt;=50000,'中古車掲載'!AL977=1),'中古車掲載'!U977,"")</x:f>
      </x:c>
      <x:c r="BE976" t="str">
        <x:f>IF(AND('中古車掲載'!C977="One2car",'中古車掲載'!F977="Corolla Cross",'中古車掲載'!L977="HEV PREMIUM SAFETY",'中古車掲載'!J977=2023,ISNUMBER('中古車掲載'!N977),'中古車掲載'!N977&gt;=20000,'中古車掲載'!O977&lt;=50000,'中古車掲載'!AL977=1,'中古車掲載'!Z977="https://www.one2car.com/en/cars-for-sale/toyota/corolla-cross/year-2023"),'中古車掲載'!U977,"")</x:f>
      </x:c>
      <x:c r="BF976" t="str">
        <x:f>IF(AND('中古車掲載'!C977="One2car",'中古車掲載'!F977="Corolla Cross",'中古車掲載'!L977="HEV PREMIUM",'中古車掲載'!J977=2023,ISNUMBER('中古車掲載'!N977),'中古車掲載'!N977&gt;=20000,'中古車掲載'!O977&lt;=100000,'中古車掲載'!AL977=1,'中古車掲載'!Z977="https://www.one2car.com/en/cars-for-sale/toyota/corolla-cross/year-2023"),'中古車掲載'!U977,"")</x:f>
      </x:c>
      <x:c r="BG976" t="str">
        <x:f>IF(AND('中古車掲載'!C977="One2car",'中古車掲載'!F977="Corolla Cross",'中古車掲載'!L977="HEV GR SPORT",'中古車掲載'!J977=2023,ISNUMBER('中古車掲載'!N977),'中古車掲載'!N977&gt;=20000,'中古車掲載'!O977&lt;=100000,'中古車掲載'!AL977=1,'中古車掲載'!Z977="https://www.one2car.com/en/cars-for-sale/toyota/corolla-cross/year-2023"),'中古車掲載'!U977,"")</x:f>
      </x:c>
      <x:c r="BH976" t="str">
        <x:f>IF(AND('中古車掲載'!C977="One2car",'中古車掲載'!F977="DOLPHIN",'中古車掲載'!L977="STANDARD RANGE",'中古車掲載'!J977=2023,ISNUMBER('中古車掲載'!N977),'中古車掲載'!N977&gt;=20000,'中古車掲載'!O977&lt;=100000,'中古車掲載'!AL977=1),'中古車掲載'!U977,"")</x:f>
      </x:c>
      <x:c r="BI976" t="str">
        <x:v>Taladrod|Yaris Ativ|ICE|Unknown</x:v>
      </x:c>
      <x:c r="BJ976" t="n">
        <x:v>977</x:v>
      </x:c>
      <x:c r="BK976" t="n">
        <x:f>'中古車掲載'!AM977</x:f>
        <x:v>429000</x:v>
      </x:c>
      <x:c r="BL976" t="str">
        <x:f>IF(ISNUMBER('中古車掲載'!AN977),'中古車掲載'!AN977,"")</x:f>
      </x:c>
    </x:row>
    <x:row r="977">
      <x:c r="AZ977" t="str">
        <x:f>IF(AND('中古車掲載'!C978="One2car",'中古車掲載'!F978="ATTO 3",'中古車掲載'!L978="EXTENDED RANGE",'中古車掲載'!J978=2023,ISNUMBER('中古車掲載'!N978),'中古車掲載'!N978&gt;=20000,'中古車掲載'!O978&lt;=100000,'中古車掲載'!AL978=1),'中古車掲載'!U978,"")</x:f>
      </x:c>
      <x:c r="BA977" t="str">
        <x:f>IF(AND('中古車掲載'!C978="One2car",'中古車掲載'!F978="Corolla Cross",'中古車掲載'!L978="HEV PREMIUM SAFETY",'中古車掲載'!J978=2023,ISNUMBER('中古車掲載'!N978),'中古車掲載'!N978&gt;=20000,'中古車掲載'!O978&lt;=100000,'中古車掲載'!AL978=1,'中古車掲載'!Z978="https://www.one2car.com/en/cars-for-sale/toyota/corolla-cross/year-2023"),'中古車掲載'!U978,"")</x:f>
      </x:c>
      <x:c r="BB977" t="str">
        <x:f>IF(AND('中古車掲載'!C978="One2car",'中古車掲載'!F978="ATTO 3",'中古車掲載'!L978="EXTENDED RANGE",'中古車掲載'!J978=2023,ISNUMBER('中古車掲載'!N978),'中古車掲載'!N978&gt;=50000,'中古車掲載'!O978&lt;=100000,'中古車掲載'!AL978=1),'中古車掲載'!U978,"")</x:f>
      </x:c>
      <x:c r="BC977" t="str">
        <x:f>IF(AND('中古車掲載'!C978="One2car",'中古車掲載'!F978="Corolla Cross",'中古車掲載'!L978="HEV PREMIUM SAFETY",'中古車掲載'!J978=2023,ISNUMBER('中古車掲載'!N978),'中古車掲載'!N978&gt;=50000,'中古車掲載'!O978&lt;=100000,'中古車掲載'!AL978=1,'中古車掲載'!Z978="https://www.one2car.com/en/cars-for-sale/toyota/corolla-cross/year-2023"),'中古車掲載'!U978,"")</x:f>
      </x:c>
      <x:c r="BD977" t="str">
        <x:f>IF(AND('中古車掲載'!C978="One2car",'中古車掲載'!F978="ATTO 3",'中古車掲載'!L978="EXTENDED RANGE",'中古車掲載'!J978=2023,ISNUMBER('中古車掲載'!N978),'中古車掲載'!N978&gt;=20000,'中古車掲載'!O978&lt;=50000,'中古車掲載'!AL978=1),'中古車掲載'!U978,"")</x:f>
      </x:c>
      <x:c r="BE977" t="str">
        <x:f>IF(AND('中古車掲載'!C978="One2car",'中古車掲載'!F978="Corolla Cross",'中古車掲載'!L978="HEV PREMIUM SAFETY",'中古車掲載'!J978=2023,ISNUMBER('中古車掲載'!N978),'中古車掲載'!N978&gt;=20000,'中古車掲載'!O978&lt;=50000,'中古車掲載'!AL978=1,'中古車掲載'!Z978="https://www.one2car.com/en/cars-for-sale/toyota/corolla-cross/year-2023"),'中古車掲載'!U978,"")</x:f>
      </x:c>
      <x:c r="BF977" t="str">
        <x:f>IF(AND('中古車掲載'!C978="One2car",'中古車掲載'!F978="Corolla Cross",'中古車掲載'!L978="HEV PREMIUM",'中古車掲載'!J978=2023,ISNUMBER('中古車掲載'!N978),'中古車掲載'!N978&gt;=20000,'中古車掲載'!O978&lt;=100000,'中古車掲載'!AL978=1,'中古車掲載'!Z978="https://www.one2car.com/en/cars-for-sale/toyota/corolla-cross/year-2023"),'中古車掲載'!U978,"")</x:f>
      </x:c>
      <x:c r="BG977" t="str">
        <x:f>IF(AND('中古車掲載'!C978="One2car",'中古車掲載'!F978="Corolla Cross",'中古車掲載'!L978="HEV GR SPORT",'中古車掲載'!J978=2023,ISNUMBER('中古車掲載'!N978),'中古車掲載'!N978&gt;=20000,'中古車掲載'!O978&lt;=100000,'中古車掲載'!AL978=1,'中古車掲載'!Z978="https://www.one2car.com/en/cars-for-sale/toyota/corolla-cross/year-2023"),'中古車掲載'!U978,"")</x:f>
      </x:c>
      <x:c r="BH977" t="str">
        <x:f>IF(AND('中古車掲載'!C978="One2car",'中古車掲載'!F978="DOLPHIN",'中古車掲載'!L978="STANDARD RANGE",'中古車掲載'!J978=2023,ISNUMBER('中古車掲載'!N978),'中古車掲載'!N978&gt;=20000,'中古車掲載'!O978&lt;=100000,'中古車掲載'!AL978=1),'中古車掲載'!U978,"")</x:f>
      </x:c>
      <x:c r="BI977" t="str">
        <x:v>Taladrod|Yaris Ativ|ICE|Unknown</x:v>
      </x:c>
      <x:c r="BJ977" t="n">
        <x:v>978</x:v>
      </x:c>
      <x:c r="BK977" t="n">
        <x:f>'中古車掲載'!AM978</x:f>
        <x:v>395000</x:v>
      </x:c>
      <x:c r="BL977" t="str">
        <x:f>IF(ISNUMBER('中古車掲載'!AN978),'中古車掲載'!AN978,"")</x:f>
      </x:c>
    </x:row>
    <x:row r="978">
      <x:c r="AZ978" t="str">
        <x:f>IF(AND('中古車掲載'!C979="One2car",'中古車掲載'!F979="ATTO 3",'中古車掲載'!L979="EXTENDED RANGE",'中古車掲載'!J979=2023,ISNUMBER('中古車掲載'!N979),'中古車掲載'!N979&gt;=20000,'中古車掲載'!O979&lt;=100000,'中古車掲載'!AL979=1),'中古車掲載'!U979,"")</x:f>
      </x:c>
      <x:c r="BA978" t="str">
        <x:f>IF(AND('中古車掲載'!C979="One2car",'中古車掲載'!F979="Corolla Cross",'中古車掲載'!L979="HEV PREMIUM SAFETY",'中古車掲載'!J979=2023,ISNUMBER('中古車掲載'!N979),'中古車掲載'!N979&gt;=20000,'中古車掲載'!O979&lt;=100000,'中古車掲載'!AL979=1,'中古車掲載'!Z979="https://www.one2car.com/en/cars-for-sale/toyota/corolla-cross/year-2023"),'中古車掲載'!U979,"")</x:f>
      </x:c>
      <x:c r="BB978" t="str">
        <x:f>IF(AND('中古車掲載'!C979="One2car",'中古車掲載'!F979="ATTO 3",'中古車掲載'!L979="EXTENDED RANGE",'中古車掲載'!J979=2023,ISNUMBER('中古車掲載'!N979),'中古車掲載'!N979&gt;=50000,'中古車掲載'!O979&lt;=100000,'中古車掲載'!AL979=1),'中古車掲載'!U979,"")</x:f>
      </x:c>
      <x:c r="BC978" t="str">
        <x:f>IF(AND('中古車掲載'!C979="One2car",'中古車掲載'!F979="Corolla Cross",'中古車掲載'!L979="HEV PREMIUM SAFETY",'中古車掲載'!J979=2023,ISNUMBER('中古車掲載'!N979),'中古車掲載'!N979&gt;=50000,'中古車掲載'!O979&lt;=100000,'中古車掲載'!AL979=1,'中古車掲載'!Z979="https://www.one2car.com/en/cars-for-sale/toyota/corolla-cross/year-2023"),'中古車掲載'!U979,"")</x:f>
      </x:c>
      <x:c r="BD978" t="str">
        <x:f>IF(AND('中古車掲載'!C979="One2car",'中古車掲載'!F979="ATTO 3",'中古車掲載'!L979="EXTENDED RANGE",'中古車掲載'!J979=2023,ISNUMBER('中古車掲載'!N979),'中古車掲載'!N979&gt;=20000,'中古車掲載'!O979&lt;=50000,'中古車掲載'!AL979=1),'中古車掲載'!U979,"")</x:f>
      </x:c>
      <x:c r="BE978" t="str">
        <x:f>IF(AND('中古車掲載'!C979="One2car",'中古車掲載'!F979="Corolla Cross",'中古車掲載'!L979="HEV PREMIUM SAFETY",'中古車掲載'!J979=2023,ISNUMBER('中古車掲載'!N979),'中古車掲載'!N979&gt;=20000,'中古車掲載'!O979&lt;=50000,'中古車掲載'!AL979=1,'中古車掲載'!Z979="https://www.one2car.com/en/cars-for-sale/toyota/corolla-cross/year-2023"),'中古車掲載'!U979,"")</x:f>
      </x:c>
      <x:c r="BF978" t="str">
        <x:f>IF(AND('中古車掲載'!C979="One2car",'中古車掲載'!F979="Corolla Cross",'中古車掲載'!L979="HEV PREMIUM",'中古車掲載'!J979=2023,ISNUMBER('中古車掲載'!N979),'中古車掲載'!N979&gt;=20000,'中古車掲載'!O979&lt;=100000,'中古車掲載'!AL979=1,'中古車掲載'!Z979="https://www.one2car.com/en/cars-for-sale/toyota/corolla-cross/year-2023"),'中古車掲載'!U979,"")</x:f>
      </x:c>
      <x:c r="BG978" t="str">
        <x:f>IF(AND('中古車掲載'!C979="One2car",'中古車掲載'!F979="Corolla Cross",'中古車掲載'!L979="HEV GR SPORT",'中古車掲載'!J979=2023,ISNUMBER('中古車掲載'!N979),'中古車掲載'!N979&gt;=20000,'中古車掲載'!O979&lt;=100000,'中古車掲載'!AL979=1,'中古車掲載'!Z979="https://www.one2car.com/en/cars-for-sale/toyota/corolla-cross/year-2023"),'中古車掲載'!U979,"")</x:f>
      </x:c>
      <x:c r="BH978" t="str">
        <x:f>IF(AND('中古車掲載'!C979="One2car",'中古車掲載'!F979="DOLPHIN",'中古車掲載'!L979="STANDARD RANGE",'中古車掲載'!J979=2023,ISNUMBER('中古車掲載'!N979),'中古車掲載'!N979&gt;=20000,'中古車掲載'!O979&lt;=100000,'中古車掲載'!AL979=1),'中古車掲載'!U979,"")</x:f>
      </x:c>
      <x:c r="BI978" t="str">
        <x:v>Taladrod|Yaris Ativ|ICE|Unknown</x:v>
      </x:c>
      <x:c r="BJ978" t="n">
        <x:v>979</x:v>
      </x:c>
      <x:c r="BK978" t="n">
        <x:f>'中古車掲載'!AM979</x:f>
        <x:v>409000</x:v>
      </x:c>
      <x:c r="BL978" t="str">
        <x:f>IF(ISNUMBER('中古車掲載'!AN979),'中古車掲載'!AN979,"")</x:f>
      </x:c>
    </x:row>
    <x:row r="979">
      <x:c r="AZ979" t="str">
        <x:f>IF(AND('中古車掲載'!C980="One2car",'中古車掲載'!F980="ATTO 3",'中古車掲載'!L980="EXTENDED RANGE",'中古車掲載'!J980=2023,ISNUMBER('中古車掲載'!N980),'中古車掲載'!N980&gt;=20000,'中古車掲載'!O980&lt;=100000,'中古車掲載'!AL980=1),'中古車掲載'!U980,"")</x:f>
      </x:c>
      <x:c r="BA979" t="str">
        <x:f>IF(AND('中古車掲載'!C980="One2car",'中古車掲載'!F980="Corolla Cross",'中古車掲載'!L980="HEV PREMIUM SAFETY",'中古車掲載'!J980=2023,ISNUMBER('中古車掲載'!N980),'中古車掲載'!N980&gt;=20000,'中古車掲載'!O980&lt;=100000,'中古車掲載'!AL980=1,'中古車掲載'!Z980="https://www.one2car.com/en/cars-for-sale/toyota/corolla-cross/year-2023"),'中古車掲載'!U980,"")</x:f>
      </x:c>
      <x:c r="BB979" t="str">
        <x:f>IF(AND('中古車掲載'!C980="One2car",'中古車掲載'!F980="ATTO 3",'中古車掲載'!L980="EXTENDED RANGE",'中古車掲載'!J980=2023,ISNUMBER('中古車掲載'!N980),'中古車掲載'!N980&gt;=50000,'中古車掲載'!O980&lt;=100000,'中古車掲載'!AL980=1),'中古車掲載'!U980,"")</x:f>
      </x:c>
      <x:c r="BC979" t="str">
        <x:f>IF(AND('中古車掲載'!C980="One2car",'中古車掲載'!F980="Corolla Cross",'中古車掲載'!L980="HEV PREMIUM SAFETY",'中古車掲載'!J980=2023,ISNUMBER('中古車掲載'!N980),'中古車掲載'!N980&gt;=50000,'中古車掲載'!O980&lt;=100000,'中古車掲載'!AL980=1,'中古車掲載'!Z980="https://www.one2car.com/en/cars-for-sale/toyota/corolla-cross/year-2023"),'中古車掲載'!U980,"")</x:f>
      </x:c>
      <x:c r="BD979" t="str">
        <x:f>IF(AND('中古車掲載'!C980="One2car",'中古車掲載'!F980="ATTO 3",'中古車掲載'!L980="EXTENDED RANGE",'中古車掲載'!J980=2023,ISNUMBER('中古車掲載'!N980),'中古車掲載'!N980&gt;=20000,'中古車掲載'!O980&lt;=50000,'中古車掲載'!AL980=1),'中古車掲載'!U980,"")</x:f>
      </x:c>
      <x:c r="BE979" t="str">
        <x:f>IF(AND('中古車掲載'!C980="One2car",'中古車掲載'!F980="Corolla Cross",'中古車掲載'!L980="HEV PREMIUM SAFETY",'中古車掲載'!J980=2023,ISNUMBER('中古車掲載'!N980),'中古車掲載'!N980&gt;=20000,'中古車掲載'!O980&lt;=50000,'中古車掲載'!AL980=1,'中古車掲載'!Z980="https://www.one2car.com/en/cars-for-sale/toyota/corolla-cross/year-2023"),'中古車掲載'!U980,"")</x:f>
      </x:c>
      <x:c r="BF979" t="str">
        <x:f>IF(AND('中古車掲載'!C980="One2car",'中古車掲載'!F980="Corolla Cross",'中古車掲載'!L980="HEV PREMIUM",'中古車掲載'!J980=2023,ISNUMBER('中古車掲載'!N980),'中古車掲載'!N980&gt;=20000,'中古車掲載'!O980&lt;=100000,'中古車掲載'!AL980=1,'中古車掲載'!Z980="https://www.one2car.com/en/cars-for-sale/toyota/corolla-cross/year-2023"),'中古車掲載'!U980,"")</x:f>
      </x:c>
      <x:c r="BG979" t="str">
        <x:f>IF(AND('中古車掲載'!C980="One2car",'中古車掲載'!F980="Corolla Cross",'中古車掲載'!L980="HEV GR SPORT",'中古車掲載'!J980=2023,ISNUMBER('中古車掲載'!N980),'中古車掲載'!N980&gt;=20000,'中古車掲載'!O980&lt;=100000,'中古車掲載'!AL980=1,'中古車掲載'!Z980="https://www.one2car.com/en/cars-for-sale/toyota/corolla-cross/year-2023"),'中古車掲載'!U980,"")</x:f>
      </x:c>
      <x:c r="BH979" t="str">
        <x:f>IF(AND('中古車掲載'!C980="One2car",'中古車掲載'!F980="DOLPHIN",'中古車掲載'!L980="STANDARD RANGE",'中古車掲載'!J980=2023,ISNUMBER('中古車掲載'!N980),'中古車掲載'!N980&gt;=20000,'中古車掲載'!O980&lt;=100000,'中古車掲載'!AL980=1),'中古車掲載'!U980,"")</x:f>
      </x:c>
      <x:c r="BI979" t="str">
        <x:v>Taladrod|Yaris Ativ|ICE|Unknown</x:v>
      </x:c>
      <x:c r="BJ979" t="n">
        <x:v>980</x:v>
      </x:c>
      <x:c r="BK979" t="n">
        <x:f>'中古車掲載'!AM980</x:f>
        <x:v>354000</x:v>
      </x:c>
      <x:c r="BL979" t="str">
        <x:f>IF(ISNUMBER('中古車掲載'!AN980),'中古車掲載'!AN980,"")</x:f>
      </x:c>
    </x:row>
    <x:row r="980">
      <x:c r="AZ980" t="str">
        <x:f>IF(AND('中古車掲載'!C981="One2car",'中古車掲載'!F981="ATTO 3",'中古車掲載'!L981="EXTENDED RANGE",'中古車掲載'!J981=2023,ISNUMBER('中古車掲載'!N981),'中古車掲載'!N981&gt;=20000,'中古車掲載'!O981&lt;=100000,'中古車掲載'!AL981=1),'中古車掲載'!U981,"")</x:f>
      </x:c>
      <x:c r="BA980" t="str">
        <x:f>IF(AND('中古車掲載'!C981="One2car",'中古車掲載'!F981="Corolla Cross",'中古車掲載'!L981="HEV PREMIUM SAFETY",'中古車掲載'!J981=2023,ISNUMBER('中古車掲載'!N981),'中古車掲載'!N981&gt;=20000,'中古車掲載'!O981&lt;=100000,'中古車掲載'!AL981=1,'中古車掲載'!Z981="https://www.one2car.com/en/cars-for-sale/toyota/corolla-cross/year-2023"),'中古車掲載'!U981,"")</x:f>
      </x:c>
      <x:c r="BB980" t="str">
        <x:f>IF(AND('中古車掲載'!C981="One2car",'中古車掲載'!F981="ATTO 3",'中古車掲載'!L981="EXTENDED RANGE",'中古車掲載'!J981=2023,ISNUMBER('中古車掲載'!N981),'中古車掲載'!N981&gt;=50000,'中古車掲載'!O981&lt;=100000,'中古車掲載'!AL981=1),'中古車掲載'!U981,"")</x:f>
      </x:c>
      <x:c r="BC980" t="str">
        <x:f>IF(AND('中古車掲載'!C981="One2car",'中古車掲載'!F981="Corolla Cross",'中古車掲載'!L981="HEV PREMIUM SAFETY",'中古車掲載'!J981=2023,ISNUMBER('中古車掲載'!N981),'中古車掲載'!N981&gt;=50000,'中古車掲載'!O981&lt;=100000,'中古車掲載'!AL981=1,'中古車掲載'!Z981="https://www.one2car.com/en/cars-for-sale/toyota/corolla-cross/year-2023"),'中古車掲載'!U981,"")</x:f>
      </x:c>
      <x:c r="BD980" t="str">
        <x:f>IF(AND('中古車掲載'!C981="One2car",'中古車掲載'!F981="ATTO 3",'中古車掲載'!L981="EXTENDED RANGE",'中古車掲載'!J981=2023,ISNUMBER('中古車掲載'!N981),'中古車掲載'!N981&gt;=20000,'中古車掲載'!O981&lt;=50000,'中古車掲載'!AL981=1),'中古車掲載'!U981,"")</x:f>
      </x:c>
      <x:c r="BE980" t="str">
        <x:f>IF(AND('中古車掲載'!C981="One2car",'中古車掲載'!F981="Corolla Cross",'中古車掲載'!L981="HEV PREMIUM SAFETY",'中古車掲載'!J981=2023,ISNUMBER('中古車掲載'!N981),'中古車掲載'!N981&gt;=20000,'中古車掲載'!O981&lt;=50000,'中古車掲載'!AL981=1,'中古車掲載'!Z981="https://www.one2car.com/en/cars-for-sale/toyota/corolla-cross/year-2023"),'中古車掲載'!U981,"")</x:f>
      </x:c>
      <x:c r="BF980" t="str">
        <x:f>IF(AND('中古車掲載'!C981="One2car",'中古車掲載'!F981="Corolla Cross",'中古車掲載'!L981="HEV PREMIUM",'中古車掲載'!J981=2023,ISNUMBER('中古車掲載'!N981),'中古車掲載'!N981&gt;=20000,'中古車掲載'!O981&lt;=100000,'中古車掲載'!AL981=1,'中古車掲載'!Z981="https://www.one2car.com/en/cars-for-sale/toyota/corolla-cross/year-2023"),'中古車掲載'!U981,"")</x:f>
      </x:c>
      <x:c r="BG980" t="str">
        <x:f>IF(AND('中古車掲載'!C981="One2car",'中古車掲載'!F981="Corolla Cross",'中古車掲載'!L981="HEV GR SPORT",'中古車掲載'!J981=2023,ISNUMBER('中古車掲載'!N981),'中古車掲載'!N981&gt;=20000,'中古車掲載'!O981&lt;=100000,'中古車掲載'!AL981=1,'中古車掲載'!Z981="https://www.one2car.com/en/cars-for-sale/toyota/corolla-cross/year-2023"),'中古車掲載'!U981,"")</x:f>
      </x:c>
      <x:c r="BH980" t="str">
        <x:f>IF(AND('中古車掲載'!C981="One2car",'中古車掲載'!F981="DOLPHIN",'中古車掲載'!L981="STANDARD RANGE",'中古車掲載'!J981=2023,ISNUMBER('中古車掲載'!N981),'中古車掲載'!N981&gt;=20000,'中古車掲載'!O981&lt;=100000,'中古車掲載'!AL981=1),'中古車掲載'!U981,"")</x:f>
      </x:c>
      <x:c r="BI980" t="str">
        <x:v>Taladrod|Yaris Ativ|ICE|Unknown</x:v>
      </x:c>
      <x:c r="BJ980" t="n">
        <x:v>981</x:v>
      </x:c>
      <x:c r="BK980" t="n">
        <x:f>'中古車掲載'!AM981</x:f>
        <x:v>359000</x:v>
      </x:c>
      <x:c r="BL980" t="str">
        <x:f>IF(ISNUMBER('中古車掲載'!AN981),'中古車掲載'!AN981,"")</x:f>
      </x:c>
    </x:row>
    <x:row r="981">
      <x:c r="AZ981" t="str">
        <x:f>IF(AND('中古車掲載'!C982="One2car",'中古車掲載'!F982="ATTO 3",'中古車掲載'!L982="EXTENDED RANGE",'中古車掲載'!J982=2023,ISNUMBER('中古車掲載'!N982),'中古車掲載'!N982&gt;=20000,'中古車掲載'!O982&lt;=100000,'中古車掲載'!AL982=1),'中古車掲載'!U982,"")</x:f>
      </x:c>
      <x:c r="BA981" t="str">
        <x:f>IF(AND('中古車掲載'!C982="One2car",'中古車掲載'!F982="Corolla Cross",'中古車掲載'!L982="HEV PREMIUM SAFETY",'中古車掲載'!J982=2023,ISNUMBER('中古車掲載'!N982),'中古車掲載'!N982&gt;=20000,'中古車掲載'!O982&lt;=100000,'中古車掲載'!AL982=1,'中古車掲載'!Z982="https://www.one2car.com/en/cars-for-sale/toyota/corolla-cross/year-2023"),'中古車掲載'!U982,"")</x:f>
      </x:c>
      <x:c r="BB981" t="str">
        <x:f>IF(AND('中古車掲載'!C982="One2car",'中古車掲載'!F982="ATTO 3",'中古車掲載'!L982="EXTENDED RANGE",'中古車掲載'!J982=2023,ISNUMBER('中古車掲載'!N982),'中古車掲載'!N982&gt;=50000,'中古車掲載'!O982&lt;=100000,'中古車掲載'!AL982=1),'中古車掲載'!U982,"")</x:f>
      </x:c>
      <x:c r="BC981" t="str">
        <x:f>IF(AND('中古車掲載'!C982="One2car",'中古車掲載'!F982="Corolla Cross",'中古車掲載'!L982="HEV PREMIUM SAFETY",'中古車掲載'!J982=2023,ISNUMBER('中古車掲載'!N982),'中古車掲載'!N982&gt;=50000,'中古車掲載'!O982&lt;=100000,'中古車掲載'!AL982=1,'中古車掲載'!Z982="https://www.one2car.com/en/cars-for-sale/toyota/corolla-cross/year-2023"),'中古車掲載'!U982,"")</x:f>
      </x:c>
      <x:c r="BD981" t="str">
        <x:f>IF(AND('中古車掲載'!C982="One2car",'中古車掲載'!F982="ATTO 3",'中古車掲載'!L982="EXTENDED RANGE",'中古車掲載'!J982=2023,ISNUMBER('中古車掲載'!N982),'中古車掲載'!N982&gt;=20000,'中古車掲載'!O982&lt;=50000,'中古車掲載'!AL982=1),'中古車掲載'!U982,"")</x:f>
      </x:c>
      <x:c r="BE981" t="str">
        <x:f>IF(AND('中古車掲載'!C982="One2car",'中古車掲載'!F982="Corolla Cross",'中古車掲載'!L982="HEV PREMIUM SAFETY",'中古車掲載'!J982=2023,ISNUMBER('中古車掲載'!N982),'中古車掲載'!N982&gt;=20000,'中古車掲載'!O982&lt;=50000,'中古車掲載'!AL982=1,'中古車掲載'!Z982="https://www.one2car.com/en/cars-for-sale/toyota/corolla-cross/year-2023"),'中古車掲載'!U982,"")</x:f>
      </x:c>
      <x:c r="BF981" t="str">
        <x:f>IF(AND('中古車掲載'!C982="One2car",'中古車掲載'!F982="Corolla Cross",'中古車掲載'!L982="HEV PREMIUM",'中古車掲載'!J982=2023,ISNUMBER('中古車掲載'!N982),'中古車掲載'!N982&gt;=20000,'中古車掲載'!O982&lt;=100000,'中古車掲載'!AL982=1,'中古車掲載'!Z982="https://www.one2car.com/en/cars-for-sale/toyota/corolla-cross/year-2023"),'中古車掲載'!U982,"")</x:f>
      </x:c>
      <x:c r="BG981" t="str">
        <x:f>IF(AND('中古車掲載'!C982="One2car",'中古車掲載'!F982="Corolla Cross",'中古車掲載'!L982="HEV GR SPORT",'中古車掲載'!J982=2023,ISNUMBER('中古車掲載'!N982),'中古車掲載'!N982&gt;=20000,'中古車掲載'!O982&lt;=100000,'中古車掲載'!AL982=1,'中古車掲載'!Z982="https://www.one2car.com/en/cars-for-sale/toyota/corolla-cross/year-2023"),'中古車掲載'!U982,"")</x:f>
      </x:c>
      <x:c r="BH981" t="str">
        <x:f>IF(AND('中古車掲載'!C982="One2car",'中古車掲載'!F982="DOLPHIN",'中古車掲載'!L982="STANDARD RANGE",'中古車掲載'!J982=2023,ISNUMBER('中古車掲載'!N982),'中古車掲載'!N982&gt;=20000,'中古車掲載'!O982&lt;=100000,'中古車掲載'!AL982=1),'中古車掲載'!U982,"")</x:f>
      </x:c>
      <x:c r="BI981" t="str">
        <x:v>Taladrod|Yaris Ativ|ICE|Unknown</x:v>
      </x:c>
      <x:c r="BJ981" t="n">
        <x:v>982</x:v>
      </x:c>
      <x:c r="BK981" t="n">
        <x:f>'中古車掲載'!AM982</x:f>
        <x:v>369000</x:v>
      </x:c>
      <x:c r="BL981" t="str">
        <x:f>IF(ISNUMBER('中古車掲載'!AN982),'中古車掲載'!AN982,"")</x:f>
      </x:c>
    </x:row>
    <x:row r="982">
      <x:c r="AZ982" t="str">
        <x:f>IF(AND('中古車掲載'!C983="One2car",'中古車掲載'!F983="ATTO 3",'中古車掲載'!L983="EXTENDED RANGE",'中古車掲載'!J983=2023,ISNUMBER('中古車掲載'!N983),'中古車掲載'!N983&gt;=20000,'中古車掲載'!O983&lt;=100000,'中古車掲載'!AL983=1),'中古車掲載'!U983,"")</x:f>
      </x:c>
      <x:c r="BA982" t="str">
        <x:f>IF(AND('中古車掲載'!C983="One2car",'中古車掲載'!F983="Corolla Cross",'中古車掲載'!L983="HEV PREMIUM SAFETY",'中古車掲載'!J983=2023,ISNUMBER('中古車掲載'!N983),'中古車掲載'!N983&gt;=20000,'中古車掲載'!O983&lt;=100000,'中古車掲載'!AL983=1,'中古車掲載'!Z983="https://www.one2car.com/en/cars-for-sale/toyota/corolla-cross/year-2023"),'中古車掲載'!U983,"")</x:f>
      </x:c>
      <x:c r="BB982" t="str">
        <x:f>IF(AND('中古車掲載'!C983="One2car",'中古車掲載'!F983="ATTO 3",'中古車掲載'!L983="EXTENDED RANGE",'中古車掲載'!J983=2023,ISNUMBER('中古車掲載'!N983),'中古車掲載'!N983&gt;=50000,'中古車掲載'!O983&lt;=100000,'中古車掲載'!AL983=1),'中古車掲載'!U983,"")</x:f>
      </x:c>
      <x:c r="BC982" t="str">
        <x:f>IF(AND('中古車掲載'!C983="One2car",'中古車掲載'!F983="Corolla Cross",'中古車掲載'!L983="HEV PREMIUM SAFETY",'中古車掲載'!J983=2023,ISNUMBER('中古車掲載'!N983),'中古車掲載'!N983&gt;=50000,'中古車掲載'!O983&lt;=100000,'中古車掲載'!AL983=1,'中古車掲載'!Z983="https://www.one2car.com/en/cars-for-sale/toyota/corolla-cross/year-2023"),'中古車掲載'!U983,"")</x:f>
      </x:c>
      <x:c r="BD982" t="str">
        <x:f>IF(AND('中古車掲載'!C983="One2car",'中古車掲載'!F983="ATTO 3",'中古車掲載'!L983="EXTENDED RANGE",'中古車掲載'!J983=2023,ISNUMBER('中古車掲載'!N983),'中古車掲載'!N983&gt;=20000,'中古車掲載'!O983&lt;=50000,'中古車掲載'!AL983=1),'中古車掲載'!U983,"")</x:f>
      </x:c>
      <x:c r="BE982" t="str">
        <x:f>IF(AND('中古車掲載'!C983="One2car",'中古車掲載'!F983="Corolla Cross",'中古車掲載'!L983="HEV PREMIUM SAFETY",'中古車掲載'!J983=2023,ISNUMBER('中古車掲載'!N983),'中古車掲載'!N983&gt;=20000,'中古車掲載'!O983&lt;=50000,'中古車掲載'!AL983=1,'中古車掲載'!Z983="https://www.one2car.com/en/cars-for-sale/toyota/corolla-cross/year-2023"),'中古車掲載'!U983,"")</x:f>
      </x:c>
      <x:c r="BF982" t="str">
        <x:f>IF(AND('中古車掲載'!C983="One2car",'中古車掲載'!F983="Corolla Cross",'中古車掲載'!L983="HEV PREMIUM",'中古車掲載'!J983=2023,ISNUMBER('中古車掲載'!N983),'中古車掲載'!N983&gt;=20000,'中古車掲載'!O983&lt;=100000,'中古車掲載'!AL983=1,'中古車掲載'!Z983="https://www.one2car.com/en/cars-for-sale/toyota/corolla-cross/year-2023"),'中古車掲載'!U983,"")</x:f>
      </x:c>
      <x:c r="BG982" t="str">
        <x:f>IF(AND('中古車掲載'!C983="One2car",'中古車掲載'!F983="Corolla Cross",'中古車掲載'!L983="HEV GR SPORT",'中古車掲載'!J983=2023,ISNUMBER('中古車掲載'!N983),'中古車掲載'!N983&gt;=20000,'中古車掲載'!O983&lt;=100000,'中古車掲載'!AL983=1,'中古車掲載'!Z983="https://www.one2car.com/en/cars-for-sale/toyota/corolla-cross/year-2023"),'中古車掲載'!U983,"")</x:f>
      </x:c>
      <x:c r="BH982" t="str">
        <x:f>IF(AND('中古車掲載'!C983="One2car",'中古車掲載'!F983="DOLPHIN",'中古車掲載'!L983="STANDARD RANGE",'中古車掲載'!J983=2023,ISNUMBER('中古車掲載'!N983),'中古車掲載'!N983&gt;=20000,'中古車掲載'!O983&lt;=100000,'中古車掲載'!AL983=1),'中古車掲載'!U983,"")</x:f>
      </x:c>
      <x:c r="BI982" t="str">
        <x:v>Taladrod|Yaris Ativ|ICE|Unknown</x:v>
      </x:c>
      <x:c r="BJ982" t="n">
        <x:v>983</x:v>
      </x:c>
      <x:c r="BK982" t="n">
        <x:f>'中古車掲載'!AM983</x:f>
        <x:v>349000</x:v>
      </x:c>
      <x:c r="BL982" t="str">
        <x:f>IF(ISNUMBER('中古車掲載'!AN983),'中古車掲載'!AN983,"")</x:f>
      </x:c>
    </x:row>
    <x:row r="983">
      <x:c r="AZ983" t="str">
        <x:f>IF(AND('中古車掲載'!C984="One2car",'中古車掲載'!F984="ATTO 3",'中古車掲載'!L984="EXTENDED RANGE",'中古車掲載'!J984=2023,ISNUMBER('中古車掲載'!N984),'中古車掲載'!N984&gt;=20000,'中古車掲載'!O984&lt;=100000,'中古車掲載'!AL984=1),'中古車掲載'!U984,"")</x:f>
      </x:c>
      <x:c r="BA983" t="str">
        <x:f>IF(AND('中古車掲載'!C984="One2car",'中古車掲載'!F984="Corolla Cross",'中古車掲載'!L984="HEV PREMIUM SAFETY",'中古車掲載'!J984=2023,ISNUMBER('中古車掲載'!N984),'中古車掲載'!N984&gt;=20000,'中古車掲載'!O984&lt;=100000,'中古車掲載'!AL984=1,'中古車掲載'!Z984="https://www.one2car.com/en/cars-for-sale/toyota/corolla-cross/year-2023"),'中古車掲載'!U984,"")</x:f>
      </x:c>
      <x:c r="BB983" t="str">
        <x:f>IF(AND('中古車掲載'!C984="One2car",'中古車掲載'!F984="ATTO 3",'中古車掲載'!L984="EXTENDED RANGE",'中古車掲載'!J984=2023,ISNUMBER('中古車掲載'!N984),'中古車掲載'!N984&gt;=50000,'中古車掲載'!O984&lt;=100000,'中古車掲載'!AL984=1),'中古車掲載'!U984,"")</x:f>
      </x:c>
      <x:c r="BC983" t="str">
        <x:f>IF(AND('中古車掲載'!C984="One2car",'中古車掲載'!F984="Corolla Cross",'中古車掲載'!L984="HEV PREMIUM SAFETY",'中古車掲載'!J984=2023,ISNUMBER('中古車掲載'!N984),'中古車掲載'!N984&gt;=50000,'中古車掲載'!O984&lt;=100000,'中古車掲載'!AL984=1,'中古車掲載'!Z984="https://www.one2car.com/en/cars-for-sale/toyota/corolla-cross/year-2023"),'中古車掲載'!U984,"")</x:f>
      </x:c>
      <x:c r="BD983" t="str">
        <x:f>IF(AND('中古車掲載'!C984="One2car",'中古車掲載'!F984="ATTO 3",'中古車掲載'!L984="EXTENDED RANGE",'中古車掲載'!J984=2023,ISNUMBER('中古車掲載'!N984),'中古車掲載'!N984&gt;=20000,'中古車掲載'!O984&lt;=50000,'中古車掲載'!AL984=1),'中古車掲載'!U984,"")</x:f>
      </x:c>
      <x:c r="BE983" t="str">
        <x:f>IF(AND('中古車掲載'!C984="One2car",'中古車掲載'!F984="Corolla Cross",'中古車掲載'!L984="HEV PREMIUM SAFETY",'中古車掲載'!J984=2023,ISNUMBER('中古車掲載'!N984),'中古車掲載'!N984&gt;=20000,'中古車掲載'!O984&lt;=50000,'中古車掲載'!AL984=1,'中古車掲載'!Z984="https://www.one2car.com/en/cars-for-sale/toyota/corolla-cross/year-2023"),'中古車掲載'!U984,"")</x:f>
      </x:c>
      <x:c r="BF983" t="str">
        <x:f>IF(AND('中古車掲載'!C984="One2car",'中古車掲載'!F984="Corolla Cross",'中古車掲載'!L984="HEV PREMIUM",'中古車掲載'!J984=2023,ISNUMBER('中古車掲載'!N984),'中古車掲載'!N984&gt;=20000,'中古車掲載'!O984&lt;=100000,'中古車掲載'!AL984=1,'中古車掲載'!Z984="https://www.one2car.com/en/cars-for-sale/toyota/corolla-cross/year-2023"),'中古車掲載'!U984,"")</x:f>
      </x:c>
      <x:c r="BG983" t="str">
        <x:f>IF(AND('中古車掲載'!C984="One2car",'中古車掲載'!F984="Corolla Cross",'中古車掲載'!L984="HEV GR SPORT",'中古車掲載'!J984=2023,ISNUMBER('中古車掲載'!N984),'中古車掲載'!N984&gt;=20000,'中古車掲載'!O984&lt;=100000,'中古車掲載'!AL984=1,'中古車掲載'!Z984="https://www.one2car.com/en/cars-for-sale/toyota/corolla-cross/year-2023"),'中古車掲載'!U984,"")</x:f>
      </x:c>
      <x:c r="BH983" t="str">
        <x:f>IF(AND('中古車掲載'!C984="One2car",'中古車掲載'!F984="DOLPHIN",'中古車掲載'!L984="STANDARD RANGE",'中古車掲載'!J984=2023,ISNUMBER('中古車掲載'!N984),'中古車掲載'!N984&gt;=20000,'中古車掲載'!O984&lt;=100000,'中古車掲載'!AL984=1),'中古車掲載'!U984,"")</x:f>
      </x:c>
      <x:c r="BI983" t="str">
        <x:v>Taladrod|Yaris Ativ|ICE|Unknown</x:v>
      </x:c>
      <x:c r="BJ983" t="n">
        <x:v>984</x:v>
      </x:c>
      <x:c r="BK983" t="n">
        <x:f>'中古車掲載'!AM984</x:f>
        <x:v>329000</x:v>
      </x:c>
      <x:c r="BL983" t="str">
        <x:f>IF(ISNUMBER('中古車掲載'!AN984),'中古車掲載'!AN984,"")</x:f>
      </x:c>
    </x:row>
    <x:row r="984">
      <x:c r="AZ984" t="str">
        <x:f>IF(AND('中古車掲載'!C985="One2car",'中古車掲載'!F985="ATTO 3",'中古車掲載'!L985="EXTENDED RANGE",'中古車掲載'!J985=2023,ISNUMBER('中古車掲載'!N985),'中古車掲載'!N985&gt;=20000,'中古車掲載'!O985&lt;=100000,'中古車掲載'!AL985=1),'中古車掲載'!U985,"")</x:f>
      </x:c>
      <x:c r="BA984" t="str">
        <x:f>IF(AND('中古車掲載'!C985="One2car",'中古車掲載'!F985="Corolla Cross",'中古車掲載'!L985="HEV PREMIUM SAFETY",'中古車掲載'!J985=2023,ISNUMBER('中古車掲載'!N985),'中古車掲載'!N985&gt;=20000,'中古車掲載'!O985&lt;=100000,'中古車掲載'!AL985=1,'中古車掲載'!Z985="https://www.one2car.com/en/cars-for-sale/toyota/corolla-cross/year-2023"),'中古車掲載'!U985,"")</x:f>
      </x:c>
      <x:c r="BB984" t="str">
        <x:f>IF(AND('中古車掲載'!C985="One2car",'中古車掲載'!F985="ATTO 3",'中古車掲載'!L985="EXTENDED RANGE",'中古車掲載'!J985=2023,ISNUMBER('中古車掲載'!N985),'中古車掲載'!N985&gt;=50000,'中古車掲載'!O985&lt;=100000,'中古車掲載'!AL985=1),'中古車掲載'!U985,"")</x:f>
      </x:c>
      <x:c r="BC984" t="str">
        <x:f>IF(AND('中古車掲載'!C985="One2car",'中古車掲載'!F985="Corolla Cross",'中古車掲載'!L985="HEV PREMIUM SAFETY",'中古車掲載'!J985=2023,ISNUMBER('中古車掲載'!N985),'中古車掲載'!N985&gt;=50000,'中古車掲載'!O985&lt;=100000,'中古車掲載'!AL985=1,'中古車掲載'!Z985="https://www.one2car.com/en/cars-for-sale/toyota/corolla-cross/year-2023"),'中古車掲載'!U985,"")</x:f>
      </x:c>
      <x:c r="BD984" t="str">
        <x:f>IF(AND('中古車掲載'!C985="One2car",'中古車掲載'!F985="ATTO 3",'中古車掲載'!L985="EXTENDED RANGE",'中古車掲載'!J985=2023,ISNUMBER('中古車掲載'!N985),'中古車掲載'!N985&gt;=20000,'中古車掲載'!O985&lt;=50000,'中古車掲載'!AL985=1),'中古車掲載'!U985,"")</x:f>
      </x:c>
      <x:c r="BE984" t="str">
        <x:f>IF(AND('中古車掲載'!C985="One2car",'中古車掲載'!F985="Corolla Cross",'中古車掲載'!L985="HEV PREMIUM SAFETY",'中古車掲載'!J985=2023,ISNUMBER('中古車掲載'!N985),'中古車掲載'!N985&gt;=20000,'中古車掲載'!O985&lt;=50000,'中古車掲載'!AL985=1,'中古車掲載'!Z985="https://www.one2car.com/en/cars-for-sale/toyota/corolla-cross/year-2023"),'中古車掲載'!U985,"")</x:f>
      </x:c>
      <x:c r="BF984" t="str">
        <x:f>IF(AND('中古車掲載'!C985="One2car",'中古車掲載'!F985="Corolla Cross",'中古車掲載'!L985="HEV PREMIUM",'中古車掲載'!J985=2023,ISNUMBER('中古車掲載'!N985),'中古車掲載'!N985&gt;=20000,'中古車掲載'!O985&lt;=100000,'中古車掲載'!AL985=1,'中古車掲載'!Z985="https://www.one2car.com/en/cars-for-sale/toyota/corolla-cross/year-2023"),'中古車掲載'!U985,"")</x:f>
      </x:c>
      <x:c r="BG984" t="str">
        <x:f>IF(AND('中古車掲載'!C985="One2car",'中古車掲載'!F985="Corolla Cross",'中古車掲載'!L985="HEV GR SPORT",'中古車掲載'!J985=2023,ISNUMBER('中古車掲載'!N985),'中古車掲載'!N985&gt;=20000,'中古車掲載'!O985&lt;=100000,'中古車掲載'!AL985=1,'中古車掲載'!Z985="https://www.one2car.com/en/cars-for-sale/toyota/corolla-cross/year-2023"),'中古車掲載'!U985,"")</x:f>
      </x:c>
      <x:c r="BH984" t="str">
        <x:f>IF(AND('中古車掲載'!C985="One2car",'中古車掲載'!F985="DOLPHIN",'中古車掲載'!L985="STANDARD RANGE",'中古車掲載'!J985=2023,ISNUMBER('中古車掲載'!N985),'中古車掲載'!N985&gt;=20000,'中古車掲載'!O985&lt;=100000,'中古車掲載'!AL985=1),'中古車掲載'!U985,"")</x:f>
      </x:c>
      <x:c r="BI984" t="str">
        <x:v>Taladrod|Yaris Ativ|ICE|Unknown</x:v>
      </x:c>
      <x:c r="BJ984" t="n">
        <x:v>985</x:v>
      </x:c>
      <x:c r="BK984" t="n">
        <x:f>'中古車掲載'!AM985</x:f>
        <x:v>379000</x:v>
      </x:c>
      <x:c r="BL984" t="str">
        <x:f>IF(ISNUMBER('中古車掲載'!AN985),'中古車掲載'!AN985,"")</x:f>
      </x:c>
    </x:row>
    <x:row r="985">
      <x:c r="AZ985" t="str">
        <x:f>IF(AND('中古車掲載'!C986="One2car",'中古車掲載'!F986="ATTO 3",'中古車掲載'!L986="EXTENDED RANGE",'中古車掲載'!J986=2023,ISNUMBER('中古車掲載'!N986),'中古車掲載'!N986&gt;=20000,'中古車掲載'!O986&lt;=100000,'中古車掲載'!AL986=1),'中古車掲載'!U986,"")</x:f>
      </x:c>
      <x:c r="BA985" t="str">
        <x:f>IF(AND('中古車掲載'!C986="One2car",'中古車掲載'!F986="Corolla Cross",'中古車掲載'!L986="HEV PREMIUM SAFETY",'中古車掲載'!J986=2023,ISNUMBER('中古車掲載'!N986),'中古車掲載'!N986&gt;=20000,'中古車掲載'!O986&lt;=100000,'中古車掲載'!AL986=1,'中古車掲載'!Z986="https://www.one2car.com/en/cars-for-sale/toyota/corolla-cross/year-2023"),'中古車掲載'!U986,"")</x:f>
      </x:c>
      <x:c r="BB985" t="str">
        <x:f>IF(AND('中古車掲載'!C986="One2car",'中古車掲載'!F986="ATTO 3",'中古車掲載'!L986="EXTENDED RANGE",'中古車掲載'!J986=2023,ISNUMBER('中古車掲載'!N986),'中古車掲載'!N986&gt;=50000,'中古車掲載'!O986&lt;=100000,'中古車掲載'!AL986=1),'中古車掲載'!U986,"")</x:f>
      </x:c>
      <x:c r="BC985" t="str">
        <x:f>IF(AND('中古車掲載'!C986="One2car",'中古車掲載'!F986="Corolla Cross",'中古車掲載'!L986="HEV PREMIUM SAFETY",'中古車掲載'!J986=2023,ISNUMBER('中古車掲載'!N986),'中古車掲載'!N986&gt;=50000,'中古車掲載'!O986&lt;=100000,'中古車掲載'!AL986=1,'中古車掲載'!Z986="https://www.one2car.com/en/cars-for-sale/toyota/corolla-cross/year-2023"),'中古車掲載'!U986,"")</x:f>
      </x:c>
      <x:c r="BD985" t="str">
        <x:f>IF(AND('中古車掲載'!C986="One2car",'中古車掲載'!F986="ATTO 3",'中古車掲載'!L986="EXTENDED RANGE",'中古車掲載'!J986=2023,ISNUMBER('中古車掲載'!N986),'中古車掲載'!N986&gt;=20000,'中古車掲載'!O986&lt;=50000,'中古車掲載'!AL986=1),'中古車掲載'!U986,"")</x:f>
      </x:c>
      <x:c r="BE985" t="str">
        <x:f>IF(AND('中古車掲載'!C986="One2car",'中古車掲載'!F986="Corolla Cross",'中古車掲載'!L986="HEV PREMIUM SAFETY",'中古車掲載'!J986=2023,ISNUMBER('中古車掲載'!N986),'中古車掲載'!N986&gt;=20000,'中古車掲載'!O986&lt;=50000,'中古車掲載'!AL986=1,'中古車掲載'!Z986="https://www.one2car.com/en/cars-for-sale/toyota/corolla-cross/year-2023"),'中古車掲載'!U986,"")</x:f>
      </x:c>
      <x:c r="BF985" t="str">
        <x:f>IF(AND('中古車掲載'!C986="One2car",'中古車掲載'!F986="Corolla Cross",'中古車掲載'!L986="HEV PREMIUM",'中古車掲載'!J986=2023,ISNUMBER('中古車掲載'!N986),'中古車掲載'!N986&gt;=20000,'中古車掲載'!O986&lt;=100000,'中古車掲載'!AL986=1,'中古車掲載'!Z986="https://www.one2car.com/en/cars-for-sale/toyota/corolla-cross/year-2023"),'中古車掲載'!U986,"")</x:f>
      </x:c>
      <x:c r="BG985" t="str">
        <x:f>IF(AND('中古車掲載'!C986="One2car",'中古車掲載'!F986="Corolla Cross",'中古車掲載'!L986="HEV GR SPORT",'中古車掲載'!J986=2023,ISNUMBER('中古車掲載'!N986),'中古車掲載'!N986&gt;=20000,'中古車掲載'!O986&lt;=100000,'中古車掲載'!AL986=1,'中古車掲載'!Z986="https://www.one2car.com/en/cars-for-sale/toyota/corolla-cross/year-2023"),'中古車掲載'!U986,"")</x:f>
      </x:c>
      <x:c r="BH985" t="str">
        <x:f>IF(AND('中古車掲載'!C986="One2car",'中古車掲載'!F986="DOLPHIN",'中古車掲載'!L986="STANDARD RANGE",'中古車掲載'!J986=2023,ISNUMBER('中古車掲載'!N986),'中古車掲載'!N986&gt;=20000,'中古車掲載'!O986&lt;=100000,'中古車掲載'!AL986=1),'中古車掲載'!U986,"")</x:f>
      </x:c>
      <x:c r="BI985" t="str">
        <x:v>Taladrod|Yaris Ativ|ICE|Unknown</x:v>
      </x:c>
      <x:c r="BJ985" t="n">
        <x:v>986</x:v>
      </x:c>
      <x:c r="BK985" t="n">
        <x:f>'中古車掲載'!AM986</x:f>
        <x:v>349000</x:v>
      </x:c>
      <x:c r="BL985" t="str">
        <x:f>IF(ISNUMBER('中古車掲載'!AN986),'中古車掲載'!AN986,"")</x:f>
      </x:c>
    </x:row>
    <x:row r="986">
      <x:c r="AZ986" t="str">
        <x:f>IF(AND('中古車掲載'!C987="One2car",'中古車掲載'!F987="ATTO 3",'中古車掲載'!L987="EXTENDED RANGE",'中古車掲載'!J987=2023,ISNUMBER('中古車掲載'!N987),'中古車掲載'!N987&gt;=20000,'中古車掲載'!O987&lt;=100000,'中古車掲載'!AL987=1),'中古車掲載'!U987,"")</x:f>
      </x:c>
      <x:c r="BA986" t="str">
        <x:f>IF(AND('中古車掲載'!C987="One2car",'中古車掲載'!F987="Corolla Cross",'中古車掲載'!L987="HEV PREMIUM SAFETY",'中古車掲載'!J987=2023,ISNUMBER('中古車掲載'!N987),'中古車掲載'!N987&gt;=20000,'中古車掲載'!O987&lt;=100000,'中古車掲載'!AL987=1,'中古車掲載'!Z987="https://www.one2car.com/en/cars-for-sale/toyota/corolla-cross/year-2023"),'中古車掲載'!U987,"")</x:f>
      </x:c>
      <x:c r="BB986" t="str">
        <x:f>IF(AND('中古車掲載'!C987="One2car",'中古車掲載'!F987="ATTO 3",'中古車掲載'!L987="EXTENDED RANGE",'中古車掲載'!J987=2023,ISNUMBER('中古車掲載'!N987),'中古車掲載'!N987&gt;=50000,'中古車掲載'!O987&lt;=100000,'中古車掲載'!AL987=1),'中古車掲載'!U987,"")</x:f>
      </x:c>
      <x:c r="BC986" t="str">
        <x:f>IF(AND('中古車掲載'!C987="One2car",'中古車掲載'!F987="Corolla Cross",'中古車掲載'!L987="HEV PREMIUM SAFETY",'中古車掲載'!J987=2023,ISNUMBER('中古車掲載'!N987),'中古車掲載'!N987&gt;=50000,'中古車掲載'!O987&lt;=100000,'中古車掲載'!AL987=1,'中古車掲載'!Z987="https://www.one2car.com/en/cars-for-sale/toyota/corolla-cross/year-2023"),'中古車掲載'!U987,"")</x:f>
      </x:c>
      <x:c r="BD986" t="str">
        <x:f>IF(AND('中古車掲載'!C987="One2car",'中古車掲載'!F987="ATTO 3",'中古車掲載'!L987="EXTENDED RANGE",'中古車掲載'!J987=2023,ISNUMBER('中古車掲載'!N987),'中古車掲載'!N987&gt;=20000,'中古車掲載'!O987&lt;=50000,'中古車掲載'!AL987=1),'中古車掲載'!U987,"")</x:f>
      </x:c>
      <x:c r="BE986" t="str">
        <x:f>IF(AND('中古車掲載'!C987="One2car",'中古車掲載'!F987="Corolla Cross",'中古車掲載'!L987="HEV PREMIUM SAFETY",'中古車掲載'!J987=2023,ISNUMBER('中古車掲載'!N987),'中古車掲載'!N987&gt;=20000,'中古車掲載'!O987&lt;=50000,'中古車掲載'!AL987=1,'中古車掲載'!Z987="https://www.one2car.com/en/cars-for-sale/toyota/corolla-cross/year-2023"),'中古車掲載'!U987,"")</x:f>
      </x:c>
      <x:c r="BF986" t="str">
        <x:f>IF(AND('中古車掲載'!C987="One2car",'中古車掲載'!F987="Corolla Cross",'中古車掲載'!L987="HEV PREMIUM",'中古車掲載'!J987=2023,ISNUMBER('中古車掲載'!N987),'中古車掲載'!N987&gt;=20000,'中古車掲載'!O987&lt;=100000,'中古車掲載'!AL987=1,'中古車掲載'!Z987="https://www.one2car.com/en/cars-for-sale/toyota/corolla-cross/year-2023"),'中古車掲載'!U987,"")</x:f>
      </x:c>
      <x:c r="BG986" t="str">
        <x:f>IF(AND('中古車掲載'!C987="One2car",'中古車掲載'!F987="Corolla Cross",'中古車掲載'!L987="HEV GR SPORT",'中古車掲載'!J987=2023,ISNUMBER('中古車掲載'!N987),'中古車掲載'!N987&gt;=20000,'中古車掲載'!O987&lt;=100000,'中古車掲載'!AL987=1,'中古車掲載'!Z987="https://www.one2car.com/en/cars-for-sale/toyota/corolla-cross/year-2023"),'中古車掲載'!U987,"")</x:f>
      </x:c>
      <x:c r="BH986" t="str">
        <x:f>IF(AND('中古車掲載'!C987="One2car",'中古車掲載'!F987="DOLPHIN",'中古車掲載'!L987="STANDARD RANGE",'中古車掲載'!J987=2023,ISNUMBER('中古車掲載'!N987),'中古車掲載'!N987&gt;=20000,'中古車掲載'!O987&lt;=100000,'中古車掲載'!AL987=1),'中古車掲載'!U987,"")</x:f>
      </x:c>
      <x:c r="BI986" t="str">
        <x:v>Taladrod|Yaris Ativ|ICE|Unknown</x:v>
      </x:c>
      <x:c r="BJ986" t="n">
        <x:v>987</x:v>
      </x:c>
      <x:c r="BK986" t="n">
        <x:f>'中古車掲載'!AM987</x:f>
        <x:v>360000</x:v>
      </x:c>
      <x:c r="BL986" t="str">
        <x:f>IF(ISNUMBER('中古車掲載'!AN987),'中古車掲載'!AN987,"")</x:f>
      </x:c>
    </x:row>
    <x:row r="987">
      <x:c r="AZ987" t="str">
        <x:f>IF(AND('中古車掲載'!C988="One2car",'中古車掲載'!F988="ATTO 3",'中古車掲載'!L988="EXTENDED RANGE",'中古車掲載'!J988=2023,ISNUMBER('中古車掲載'!N988),'中古車掲載'!N988&gt;=20000,'中古車掲載'!O988&lt;=100000,'中古車掲載'!AL988=1),'中古車掲載'!U988,"")</x:f>
      </x:c>
      <x:c r="BA987" t="str">
        <x:f>IF(AND('中古車掲載'!C988="One2car",'中古車掲載'!F988="Corolla Cross",'中古車掲載'!L988="HEV PREMIUM SAFETY",'中古車掲載'!J988=2023,ISNUMBER('中古車掲載'!N988),'中古車掲載'!N988&gt;=20000,'中古車掲載'!O988&lt;=100000,'中古車掲載'!AL988=1,'中古車掲載'!Z988="https://www.one2car.com/en/cars-for-sale/toyota/corolla-cross/year-2023"),'中古車掲載'!U988,"")</x:f>
      </x:c>
      <x:c r="BB987" t="str">
        <x:f>IF(AND('中古車掲載'!C988="One2car",'中古車掲載'!F988="ATTO 3",'中古車掲載'!L988="EXTENDED RANGE",'中古車掲載'!J988=2023,ISNUMBER('中古車掲載'!N988),'中古車掲載'!N988&gt;=50000,'中古車掲載'!O988&lt;=100000,'中古車掲載'!AL988=1),'中古車掲載'!U988,"")</x:f>
      </x:c>
      <x:c r="BC987" t="str">
        <x:f>IF(AND('中古車掲載'!C988="One2car",'中古車掲載'!F988="Corolla Cross",'中古車掲載'!L988="HEV PREMIUM SAFETY",'中古車掲載'!J988=2023,ISNUMBER('中古車掲載'!N988),'中古車掲載'!N988&gt;=50000,'中古車掲載'!O988&lt;=100000,'中古車掲載'!AL988=1,'中古車掲載'!Z988="https://www.one2car.com/en/cars-for-sale/toyota/corolla-cross/year-2023"),'中古車掲載'!U988,"")</x:f>
      </x:c>
      <x:c r="BD987" t="str">
        <x:f>IF(AND('中古車掲載'!C988="One2car",'中古車掲載'!F988="ATTO 3",'中古車掲載'!L988="EXTENDED RANGE",'中古車掲載'!J988=2023,ISNUMBER('中古車掲載'!N988),'中古車掲載'!N988&gt;=20000,'中古車掲載'!O988&lt;=50000,'中古車掲載'!AL988=1),'中古車掲載'!U988,"")</x:f>
      </x:c>
      <x:c r="BE987" t="str">
        <x:f>IF(AND('中古車掲載'!C988="One2car",'中古車掲載'!F988="Corolla Cross",'中古車掲載'!L988="HEV PREMIUM SAFETY",'中古車掲載'!J988=2023,ISNUMBER('中古車掲載'!N988),'中古車掲載'!N988&gt;=20000,'中古車掲載'!O988&lt;=50000,'中古車掲載'!AL988=1,'中古車掲載'!Z988="https://www.one2car.com/en/cars-for-sale/toyota/corolla-cross/year-2023"),'中古車掲載'!U988,"")</x:f>
      </x:c>
      <x:c r="BF987" t="str">
        <x:f>IF(AND('中古車掲載'!C988="One2car",'中古車掲載'!F988="Corolla Cross",'中古車掲載'!L988="HEV PREMIUM",'中古車掲載'!J988=2023,ISNUMBER('中古車掲載'!N988),'中古車掲載'!N988&gt;=20000,'中古車掲載'!O988&lt;=100000,'中古車掲載'!AL988=1,'中古車掲載'!Z988="https://www.one2car.com/en/cars-for-sale/toyota/corolla-cross/year-2023"),'中古車掲載'!U988,"")</x:f>
      </x:c>
      <x:c r="BG987" t="str">
        <x:f>IF(AND('中古車掲載'!C988="One2car",'中古車掲載'!F988="Corolla Cross",'中古車掲載'!L988="HEV GR SPORT",'中古車掲載'!J988=2023,ISNUMBER('中古車掲載'!N988),'中古車掲載'!N988&gt;=20000,'中古車掲載'!O988&lt;=100000,'中古車掲載'!AL988=1,'中古車掲載'!Z988="https://www.one2car.com/en/cars-for-sale/toyota/corolla-cross/year-2023"),'中古車掲載'!U988,"")</x:f>
      </x:c>
      <x:c r="BH987" t="str">
        <x:f>IF(AND('中古車掲載'!C988="One2car",'中古車掲載'!F988="DOLPHIN",'中古車掲載'!L988="STANDARD RANGE",'中古車掲載'!J988=2023,ISNUMBER('中古車掲載'!N988),'中古車掲載'!N988&gt;=20000,'中古車掲載'!O988&lt;=100000,'中古車掲載'!AL988=1),'中古車掲載'!U988,"")</x:f>
      </x:c>
      <x:c r="BI987" t="str">
        <x:v>Taladrod|Yaris Ativ|ICE|Unknown</x:v>
      </x:c>
      <x:c r="BJ987" t="n">
        <x:v>988</x:v>
      </x:c>
      <x:c r="BK987" t="n">
        <x:f>'中古車掲載'!AM988</x:f>
        <x:v>374000</x:v>
      </x:c>
      <x:c r="BL987" t="str">
        <x:f>IF(ISNUMBER('中古車掲載'!AN988),'中古車掲載'!AN988,"")</x:f>
      </x:c>
    </x:row>
    <x:row r="988">
      <x:c r="AZ988" t="str">
        <x:f>IF(AND('中古車掲載'!C989="One2car",'中古車掲載'!F989="ATTO 3",'中古車掲載'!L989="EXTENDED RANGE",'中古車掲載'!J989=2023,ISNUMBER('中古車掲載'!N989),'中古車掲載'!N989&gt;=20000,'中古車掲載'!O989&lt;=100000,'中古車掲載'!AL989=1),'中古車掲載'!U989,"")</x:f>
      </x:c>
      <x:c r="BA988" t="str">
        <x:f>IF(AND('中古車掲載'!C989="One2car",'中古車掲載'!F989="Corolla Cross",'中古車掲載'!L989="HEV PREMIUM SAFETY",'中古車掲載'!J989=2023,ISNUMBER('中古車掲載'!N989),'中古車掲載'!N989&gt;=20000,'中古車掲載'!O989&lt;=100000,'中古車掲載'!AL989=1,'中古車掲載'!Z989="https://www.one2car.com/en/cars-for-sale/toyota/corolla-cross/year-2023"),'中古車掲載'!U989,"")</x:f>
      </x:c>
      <x:c r="BB988" t="str">
        <x:f>IF(AND('中古車掲載'!C989="One2car",'中古車掲載'!F989="ATTO 3",'中古車掲載'!L989="EXTENDED RANGE",'中古車掲載'!J989=2023,ISNUMBER('中古車掲載'!N989),'中古車掲載'!N989&gt;=50000,'中古車掲載'!O989&lt;=100000,'中古車掲載'!AL989=1),'中古車掲載'!U989,"")</x:f>
      </x:c>
      <x:c r="BC988" t="str">
        <x:f>IF(AND('中古車掲載'!C989="One2car",'中古車掲載'!F989="Corolla Cross",'中古車掲載'!L989="HEV PREMIUM SAFETY",'中古車掲載'!J989=2023,ISNUMBER('中古車掲載'!N989),'中古車掲載'!N989&gt;=50000,'中古車掲載'!O989&lt;=100000,'中古車掲載'!AL989=1,'中古車掲載'!Z989="https://www.one2car.com/en/cars-for-sale/toyota/corolla-cross/year-2023"),'中古車掲載'!U989,"")</x:f>
      </x:c>
      <x:c r="BD988" t="str">
        <x:f>IF(AND('中古車掲載'!C989="One2car",'中古車掲載'!F989="ATTO 3",'中古車掲載'!L989="EXTENDED RANGE",'中古車掲載'!J989=2023,ISNUMBER('中古車掲載'!N989),'中古車掲載'!N989&gt;=20000,'中古車掲載'!O989&lt;=50000,'中古車掲載'!AL989=1),'中古車掲載'!U989,"")</x:f>
      </x:c>
      <x:c r="BE988" t="str">
        <x:f>IF(AND('中古車掲載'!C989="One2car",'中古車掲載'!F989="Corolla Cross",'中古車掲載'!L989="HEV PREMIUM SAFETY",'中古車掲載'!J989=2023,ISNUMBER('中古車掲載'!N989),'中古車掲載'!N989&gt;=20000,'中古車掲載'!O989&lt;=50000,'中古車掲載'!AL989=1,'中古車掲載'!Z989="https://www.one2car.com/en/cars-for-sale/toyota/corolla-cross/year-2023"),'中古車掲載'!U989,"")</x:f>
      </x:c>
      <x:c r="BF988" t="str">
        <x:f>IF(AND('中古車掲載'!C989="One2car",'中古車掲載'!F989="Corolla Cross",'中古車掲載'!L989="HEV PREMIUM",'中古車掲載'!J989=2023,ISNUMBER('中古車掲載'!N989),'中古車掲載'!N989&gt;=20000,'中古車掲載'!O989&lt;=100000,'中古車掲載'!AL989=1,'中古車掲載'!Z989="https://www.one2car.com/en/cars-for-sale/toyota/corolla-cross/year-2023"),'中古車掲載'!U989,"")</x:f>
      </x:c>
      <x:c r="BG988" t="str">
        <x:f>IF(AND('中古車掲載'!C989="One2car",'中古車掲載'!F989="Corolla Cross",'中古車掲載'!L989="HEV GR SPORT",'中古車掲載'!J989=2023,ISNUMBER('中古車掲載'!N989),'中古車掲載'!N989&gt;=20000,'中古車掲載'!O989&lt;=100000,'中古車掲載'!AL989=1,'中古車掲載'!Z989="https://www.one2car.com/en/cars-for-sale/toyota/corolla-cross/year-2023"),'中古車掲載'!U989,"")</x:f>
      </x:c>
      <x:c r="BH988" t="str">
        <x:f>IF(AND('中古車掲載'!C989="One2car",'中古車掲載'!F989="DOLPHIN",'中古車掲載'!L989="STANDARD RANGE",'中古車掲載'!J989=2023,ISNUMBER('中古車掲載'!N989),'中古車掲載'!N989&gt;=20000,'中古車掲載'!O989&lt;=100000,'中古車掲載'!AL989=1),'中古車掲載'!U989,"")</x:f>
      </x:c>
      <x:c r="BI988" t="str">
        <x:v>Taladrod|Yaris Ativ|ICE|Unknown</x:v>
      </x:c>
      <x:c r="BJ988" t="n">
        <x:v>989</x:v>
      </x:c>
      <x:c r="BK988" t="n">
        <x:f>'中古車掲載'!AM989</x:f>
        <x:v>419000</x:v>
      </x:c>
      <x:c r="BL988" t="str">
        <x:f>IF(ISNUMBER('中古車掲載'!AN989),'中古車掲載'!AN989,"")</x:f>
      </x:c>
    </x:row>
    <x:row r="989">
      <x:c r="AZ989" t="str">
        <x:f>IF(AND('中古車掲載'!C990="One2car",'中古車掲載'!F990="ATTO 3",'中古車掲載'!L990="EXTENDED RANGE",'中古車掲載'!J990=2023,ISNUMBER('中古車掲載'!N990),'中古車掲載'!N990&gt;=20000,'中古車掲載'!O990&lt;=100000,'中古車掲載'!AL990=1),'中古車掲載'!U990,"")</x:f>
      </x:c>
      <x:c r="BA989" t="str">
        <x:f>IF(AND('中古車掲載'!C990="One2car",'中古車掲載'!F990="Corolla Cross",'中古車掲載'!L990="HEV PREMIUM SAFETY",'中古車掲載'!J990=2023,ISNUMBER('中古車掲載'!N990),'中古車掲載'!N990&gt;=20000,'中古車掲載'!O990&lt;=100000,'中古車掲載'!AL990=1,'中古車掲載'!Z990="https://www.one2car.com/en/cars-for-sale/toyota/corolla-cross/year-2023"),'中古車掲載'!U990,"")</x:f>
      </x:c>
      <x:c r="BB989" t="str">
        <x:f>IF(AND('中古車掲載'!C990="One2car",'中古車掲載'!F990="ATTO 3",'中古車掲載'!L990="EXTENDED RANGE",'中古車掲載'!J990=2023,ISNUMBER('中古車掲載'!N990),'中古車掲載'!N990&gt;=50000,'中古車掲載'!O990&lt;=100000,'中古車掲載'!AL990=1),'中古車掲載'!U990,"")</x:f>
      </x:c>
      <x:c r="BC989" t="str">
        <x:f>IF(AND('中古車掲載'!C990="One2car",'中古車掲載'!F990="Corolla Cross",'中古車掲載'!L990="HEV PREMIUM SAFETY",'中古車掲載'!J990=2023,ISNUMBER('中古車掲載'!N990),'中古車掲載'!N990&gt;=50000,'中古車掲載'!O990&lt;=100000,'中古車掲載'!AL990=1,'中古車掲載'!Z990="https://www.one2car.com/en/cars-for-sale/toyota/corolla-cross/year-2023"),'中古車掲載'!U990,"")</x:f>
      </x:c>
      <x:c r="BD989" t="str">
        <x:f>IF(AND('中古車掲載'!C990="One2car",'中古車掲載'!F990="ATTO 3",'中古車掲載'!L990="EXTENDED RANGE",'中古車掲載'!J990=2023,ISNUMBER('中古車掲載'!N990),'中古車掲載'!N990&gt;=20000,'中古車掲載'!O990&lt;=50000,'中古車掲載'!AL990=1),'中古車掲載'!U990,"")</x:f>
      </x:c>
      <x:c r="BE989" t="str">
        <x:f>IF(AND('中古車掲載'!C990="One2car",'中古車掲載'!F990="Corolla Cross",'中古車掲載'!L990="HEV PREMIUM SAFETY",'中古車掲載'!J990=2023,ISNUMBER('中古車掲載'!N990),'中古車掲載'!N990&gt;=20000,'中古車掲載'!O990&lt;=50000,'中古車掲載'!AL990=1,'中古車掲載'!Z990="https://www.one2car.com/en/cars-for-sale/toyota/corolla-cross/year-2023"),'中古車掲載'!U990,"")</x:f>
      </x:c>
      <x:c r="BF989" t="str">
        <x:f>IF(AND('中古車掲載'!C990="One2car",'中古車掲載'!F990="Corolla Cross",'中古車掲載'!L990="HEV PREMIUM",'中古車掲載'!J990=2023,ISNUMBER('中古車掲載'!N990),'中古車掲載'!N990&gt;=20000,'中古車掲載'!O990&lt;=100000,'中古車掲載'!AL990=1,'中古車掲載'!Z990="https://www.one2car.com/en/cars-for-sale/toyota/corolla-cross/year-2023"),'中古車掲載'!U990,"")</x:f>
      </x:c>
      <x:c r="BG989" t="str">
        <x:f>IF(AND('中古車掲載'!C990="One2car",'中古車掲載'!F990="Corolla Cross",'中古車掲載'!L990="HEV GR SPORT",'中古車掲載'!J990=2023,ISNUMBER('中古車掲載'!N990),'中古車掲載'!N990&gt;=20000,'中古車掲載'!O990&lt;=100000,'中古車掲載'!AL990=1,'中古車掲載'!Z990="https://www.one2car.com/en/cars-for-sale/toyota/corolla-cross/year-2023"),'中古車掲載'!U990,"")</x:f>
      </x:c>
      <x:c r="BH989" t="str">
        <x:f>IF(AND('中古車掲載'!C990="One2car",'中古車掲載'!F990="DOLPHIN",'中古車掲載'!L990="STANDARD RANGE",'中古車掲載'!J990=2023,ISNUMBER('中古車掲載'!N990),'中古車掲載'!N990&gt;=20000,'中古車掲載'!O990&lt;=100000,'中古車掲載'!AL990=1),'中古車掲載'!U990,"")</x:f>
      </x:c>
      <x:c r="BI989" t="str">
        <x:v>Taladrod|Yaris Ativ|ICE|Unknown</x:v>
      </x:c>
      <x:c r="BJ989" t="n">
        <x:v>990</x:v>
      </x:c>
      <x:c r="BK989" t="n">
        <x:f>'中古車掲載'!AM990</x:f>
        <x:v>485000</x:v>
      </x:c>
      <x:c r="BL989" t="str">
        <x:f>IF(ISNUMBER('中古車掲載'!AN990),'中古車掲載'!AN990,"")</x:f>
      </x:c>
    </x:row>
    <x:row r="990">
      <x:c r="AZ990" t="str">
        <x:f>IF(AND('中古車掲載'!C991="One2car",'中古車掲載'!F991="ATTO 3",'中古車掲載'!L991="EXTENDED RANGE",'中古車掲載'!J991=2023,ISNUMBER('中古車掲載'!N991),'中古車掲載'!N991&gt;=20000,'中古車掲載'!O991&lt;=100000,'中古車掲載'!AL991=1),'中古車掲載'!U991,"")</x:f>
      </x:c>
      <x:c r="BA990" t="str">
        <x:f>IF(AND('中古車掲載'!C991="One2car",'中古車掲載'!F991="Corolla Cross",'中古車掲載'!L991="HEV PREMIUM SAFETY",'中古車掲載'!J991=2023,ISNUMBER('中古車掲載'!N991),'中古車掲載'!N991&gt;=20000,'中古車掲載'!O991&lt;=100000,'中古車掲載'!AL991=1,'中古車掲載'!Z991="https://www.one2car.com/en/cars-for-sale/toyota/corolla-cross/year-2023"),'中古車掲載'!U991,"")</x:f>
      </x:c>
      <x:c r="BB990" t="str">
        <x:f>IF(AND('中古車掲載'!C991="One2car",'中古車掲載'!F991="ATTO 3",'中古車掲載'!L991="EXTENDED RANGE",'中古車掲載'!J991=2023,ISNUMBER('中古車掲載'!N991),'中古車掲載'!N991&gt;=50000,'中古車掲載'!O991&lt;=100000,'中古車掲載'!AL991=1),'中古車掲載'!U991,"")</x:f>
      </x:c>
      <x:c r="BC990" t="str">
        <x:f>IF(AND('中古車掲載'!C991="One2car",'中古車掲載'!F991="Corolla Cross",'中古車掲載'!L991="HEV PREMIUM SAFETY",'中古車掲載'!J991=2023,ISNUMBER('中古車掲載'!N991),'中古車掲載'!N991&gt;=50000,'中古車掲載'!O991&lt;=100000,'中古車掲載'!AL991=1,'中古車掲載'!Z991="https://www.one2car.com/en/cars-for-sale/toyota/corolla-cross/year-2023"),'中古車掲載'!U991,"")</x:f>
      </x:c>
      <x:c r="BD990" t="str">
        <x:f>IF(AND('中古車掲載'!C991="One2car",'中古車掲載'!F991="ATTO 3",'中古車掲載'!L991="EXTENDED RANGE",'中古車掲載'!J991=2023,ISNUMBER('中古車掲載'!N991),'中古車掲載'!N991&gt;=20000,'中古車掲載'!O991&lt;=50000,'中古車掲載'!AL991=1),'中古車掲載'!U991,"")</x:f>
      </x:c>
      <x:c r="BE990" t="str">
        <x:f>IF(AND('中古車掲載'!C991="One2car",'中古車掲載'!F991="Corolla Cross",'中古車掲載'!L991="HEV PREMIUM SAFETY",'中古車掲載'!J991=2023,ISNUMBER('中古車掲載'!N991),'中古車掲載'!N991&gt;=20000,'中古車掲載'!O991&lt;=50000,'中古車掲載'!AL991=1,'中古車掲載'!Z991="https://www.one2car.com/en/cars-for-sale/toyota/corolla-cross/year-2023"),'中古車掲載'!U991,"")</x:f>
      </x:c>
      <x:c r="BF990" t="str">
        <x:f>IF(AND('中古車掲載'!C991="One2car",'中古車掲載'!F991="Corolla Cross",'中古車掲載'!L991="HEV PREMIUM",'中古車掲載'!J991=2023,ISNUMBER('中古車掲載'!N991),'中古車掲載'!N991&gt;=20000,'中古車掲載'!O991&lt;=100000,'中古車掲載'!AL991=1,'中古車掲載'!Z991="https://www.one2car.com/en/cars-for-sale/toyota/corolla-cross/year-2023"),'中古車掲載'!U991,"")</x:f>
      </x:c>
      <x:c r="BG990" t="str">
        <x:f>IF(AND('中古車掲載'!C991="One2car",'中古車掲載'!F991="Corolla Cross",'中古車掲載'!L991="HEV GR SPORT",'中古車掲載'!J991=2023,ISNUMBER('中古車掲載'!N991),'中古車掲載'!N991&gt;=20000,'中古車掲載'!O991&lt;=100000,'中古車掲載'!AL991=1,'中古車掲載'!Z991="https://www.one2car.com/en/cars-for-sale/toyota/corolla-cross/year-2023"),'中古車掲載'!U991,"")</x:f>
      </x:c>
      <x:c r="BH990" t="str">
        <x:f>IF(AND('中古車掲載'!C991="One2car",'中古車掲載'!F991="DOLPHIN",'中古車掲載'!L991="STANDARD RANGE",'中古車掲載'!J991=2023,ISNUMBER('中古車掲載'!N991),'中古車掲載'!N991&gt;=20000,'中古車掲載'!O991&lt;=100000,'中古車掲載'!AL991=1),'中古車掲載'!U991,"")</x:f>
      </x:c>
      <x:c r="BI990" t="str">
        <x:v>Taladrod|Yaris Ativ|ICE|Unknown</x:v>
      </x:c>
      <x:c r="BJ990" t="n">
        <x:v>991</x:v>
      </x:c>
      <x:c r="BK990" t="n">
        <x:f>'中古車掲載'!AM991</x:f>
        <x:v>374000</x:v>
      </x:c>
      <x:c r="BL990" t="str">
        <x:f>IF(ISNUMBER('中古車掲載'!AN991),'中古車掲載'!AN991,"")</x:f>
      </x:c>
    </x:row>
    <x:row r="991">
      <x:c r="AZ991" t="str">
        <x:f>IF(AND('中古車掲載'!C992="One2car",'中古車掲載'!F992="ATTO 3",'中古車掲載'!L992="EXTENDED RANGE",'中古車掲載'!J992=2023,ISNUMBER('中古車掲載'!N992),'中古車掲載'!N992&gt;=20000,'中古車掲載'!O992&lt;=100000,'中古車掲載'!AL992=1),'中古車掲載'!U992,"")</x:f>
      </x:c>
      <x:c r="BA991" t="str">
        <x:f>IF(AND('中古車掲載'!C992="One2car",'中古車掲載'!F992="Corolla Cross",'中古車掲載'!L992="HEV PREMIUM SAFETY",'中古車掲載'!J992=2023,ISNUMBER('中古車掲載'!N992),'中古車掲載'!N992&gt;=20000,'中古車掲載'!O992&lt;=100000,'中古車掲載'!AL992=1,'中古車掲載'!Z992="https://www.one2car.com/en/cars-for-sale/toyota/corolla-cross/year-2023"),'中古車掲載'!U992,"")</x:f>
      </x:c>
      <x:c r="BB991" t="str">
        <x:f>IF(AND('中古車掲載'!C992="One2car",'中古車掲載'!F992="ATTO 3",'中古車掲載'!L992="EXTENDED RANGE",'中古車掲載'!J992=2023,ISNUMBER('中古車掲載'!N992),'中古車掲載'!N992&gt;=50000,'中古車掲載'!O992&lt;=100000,'中古車掲載'!AL992=1),'中古車掲載'!U992,"")</x:f>
      </x:c>
      <x:c r="BC991" t="str">
        <x:f>IF(AND('中古車掲載'!C992="One2car",'中古車掲載'!F992="Corolla Cross",'中古車掲載'!L992="HEV PREMIUM SAFETY",'中古車掲載'!J992=2023,ISNUMBER('中古車掲載'!N992),'中古車掲載'!N992&gt;=50000,'中古車掲載'!O992&lt;=100000,'中古車掲載'!AL992=1,'中古車掲載'!Z992="https://www.one2car.com/en/cars-for-sale/toyota/corolla-cross/year-2023"),'中古車掲載'!U992,"")</x:f>
      </x:c>
      <x:c r="BD991" t="str">
        <x:f>IF(AND('中古車掲載'!C992="One2car",'中古車掲載'!F992="ATTO 3",'中古車掲載'!L992="EXTENDED RANGE",'中古車掲載'!J992=2023,ISNUMBER('中古車掲載'!N992),'中古車掲載'!N992&gt;=20000,'中古車掲載'!O992&lt;=50000,'中古車掲載'!AL992=1),'中古車掲載'!U992,"")</x:f>
      </x:c>
      <x:c r="BE991" t="str">
        <x:f>IF(AND('中古車掲載'!C992="One2car",'中古車掲載'!F992="Corolla Cross",'中古車掲載'!L992="HEV PREMIUM SAFETY",'中古車掲載'!J992=2023,ISNUMBER('中古車掲載'!N992),'中古車掲載'!N992&gt;=20000,'中古車掲載'!O992&lt;=50000,'中古車掲載'!AL992=1,'中古車掲載'!Z992="https://www.one2car.com/en/cars-for-sale/toyota/corolla-cross/year-2023"),'中古車掲載'!U992,"")</x:f>
      </x:c>
      <x:c r="BF991" t="str">
        <x:f>IF(AND('中古車掲載'!C992="One2car",'中古車掲載'!F992="Corolla Cross",'中古車掲載'!L992="HEV PREMIUM",'中古車掲載'!J992=2023,ISNUMBER('中古車掲載'!N992),'中古車掲載'!N992&gt;=20000,'中古車掲載'!O992&lt;=100000,'中古車掲載'!AL992=1,'中古車掲載'!Z992="https://www.one2car.com/en/cars-for-sale/toyota/corolla-cross/year-2023"),'中古車掲載'!U992,"")</x:f>
      </x:c>
      <x:c r="BG991" t="str">
        <x:f>IF(AND('中古車掲載'!C992="One2car",'中古車掲載'!F992="Corolla Cross",'中古車掲載'!L992="HEV GR SPORT",'中古車掲載'!J992=2023,ISNUMBER('中古車掲載'!N992),'中古車掲載'!N992&gt;=20000,'中古車掲載'!O992&lt;=100000,'中古車掲載'!AL992=1,'中古車掲載'!Z992="https://www.one2car.com/en/cars-for-sale/toyota/corolla-cross/year-2023"),'中古車掲載'!U992,"")</x:f>
      </x:c>
      <x:c r="BH991" t="str">
        <x:f>IF(AND('中古車掲載'!C992="One2car",'中古車掲載'!F992="DOLPHIN",'中古車掲載'!L992="STANDARD RANGE",'中古車掲載'!J992=2023,ISNUMBER('中古車掲載'!N992),'中古車掲載'!N992&gt;=20000,'中古車掲載'!O992&lt;=100000,'中古車掲載'!AL992=1),'中古車掲載'!U992,"")</x:f>
      </x:c>
      <x:c r="BI991" t="str">
        <x:v>Taladrod|Yaris Ativ|ICE|Unknown</x:v>
      </x:c>
      <x:c r="BJ991" t="n">
        <x:v>992</x:v>
      </x:c>
      <x:c r="BK991" t="n">
        <x:f>'中古車掲載'!AM992</x:f>
        <x:v>425000</x:v>
      </x:c>
      <x:c r="BL991" t="str">
        <x:f>IF(ISNUMBER('中古車掲載'!AN992),'中古車掲載'!AN992,"")</x:f>
      </x:c>
    </x:row>
    <x:row r="992">
      <x:c r="AZ992" t="str">
        <x:f>IF(AND('中古車掲載'!C993="One2car",'中古車掲載'!F993="ATTO 3",'中古車掲載'!L993="EXTENDED RANGE",'中古車掲載'!J993=2023,ISNUMBER('中古車掲載'!N993),'中古車掲載'!N993&gt;=20000,'中古車掲載'!O993&lt;=100000,'中古車掲載'!AL993=1),'中古車掲載'!U993,"")</x:f>
      </x:c>
      <x:c r="BA992" t="str">
        <x:f>IF(AND('中古車掲載'!C993="One2car",'中古車掲載'!F993="Corolla Cross",'中古車掲載'!L993="HEV PREMIUM SAFETY",'中古車掲載'!J993=2023,ISNUMBER('中古車掲載'!N993),'中古車掲載'!N993&gt;=20000,'中古車掲載'!O993&lt;=100000,'中古車掲載'!AL993=1,'中古車掲載'!Z993="https://www.one2car.com/en/cars-for-sale/toyota/corolla-cross/year-2023"),'中古車掲載'!U993,"")</x:f>
      </x:c>
      <x:c r="BB992" t="str">
        <x:f>IF(AND('中古車掲載'!C993="One2car",'中古車掲載'!F993="ATTO 3",'中古車掲載'!L993="EXTENDED RANGE",'中古車掲載'!J993=2023,ISNUMBER('中古車掲載'!N993),'中古車掲載'!N993&gt;=50000,'中古車掲載'!O993&lt;=100000,'中古車掲載'!AL993=1),'中古車掲載'!U993,"")</x:f>
      </x:c>
      <x:c r="BC992" t="str">
        <x:f>IF(AND('中古車掲載'!C993="One2car",'中古車掲載'!F993="Corolla Cross",'中古車掲載'!L993="HEV PREMIUM SAFETY",'中古車掲載'!J993=2023,ISNUMBER('中古車掲載'!N993),'中古車掲載'!N993&gt;=50000,'中古車掲載'!O993&lt;=100000,'中古車掲載'!AL993=1,'中古車掲載'!Z993="https://www.one2car.com/en/cars-for-sale/toyota/corolla-cross/year-2023"),'中古車掲載'!U993,"")</x:f>
      </x:c>
      <x:c r="BD992" t="str">
        <x:f>IF(AND('中古車掲載'!C993="One2car",'中古車掲載'!F993="ATTO 3",'中古車掲載'!L993="EXTENDED RANGE",'中古車掲載'!J993=2023,ISNUMBER('中古車掲載'!N993),'中古車掲載'!N993&gt;=20000,'中古車掲載'!O993&lt;=50000,'中古車掲載'!AL993=1),'中古車掲載'!U993,"")</x:f>
      </x:c>
      <x:c r="BE992" t="str">
        <x:f>IF(AND('中古車掲載'!C993="One2car",'中古車掲載'!F993="Corolla Cross",'中古車掲載'!L993="HEV PREMIUM SAFETY",'中古車掲載'!J993=2023,ISNUMBER('中古車掲載'!N993),'中古車掲載'!N993&gt;=20000,'中古車掲載'!O993&lt;=50000,'中古車掲載'!AL993=1,'中古車掲載'!Z993="https://www.one2car.com/en/cars-for-sale/toyota/corolla-cross/year-2023"),'中古車掲載'!U993,"")</x:f>
      </x:c>
      <x:c r="BF992" t="str">
        <x:f>IF(AND('中古車掲載'!C993="One2car",'中古車掲載'!F993="Corolla Cross",'中古車掲載'!L993="HEV PREMIUM",'中古車掲載'!J993=2023,ISNUMBER('中古車掲載'!N993),'中古車掲載'!N993&gt;=20000,'中古車掲載'!O993&lt;=100000,'中古車掲載'!AL993=1,'中古車掲載'!Z993="https://www.one2car.com/en/cars-for-sale/toyota/corolla-cross/year-2023"),'中古車掲載'!U993,"")</x:f>
      </x:c>
      <x:c r="BG992" t="str">
        <x:f>IF(AND('中古車掲載'!C993="One2car",'中古車掲載'!F993="Corolla Cross",'中古車掲載'!L993="HEV GR SPORT",'中古車掲載'!J993=2023,ISNUMBER('中古車掲載'!N993),'中古車掲載'!N993&gt;=20000,'中古車掲載'!O993&lt;=100000,'中古車掲載'!AL993=1,'中古車掲載'!Z993="https://www.one2car.com/en/cars-for-sale/toyota/corolla-cross/year-2023"),'中古車掲載'!U993,"")</x:f>
      </x:c>
      <x:c r="BH992" t="str">
        <x:f>IF(AND('中古車掲載'!C993="One2car",'中古車掲載'!F993="DOLPHIN",'中古車掲載'!L993="STANDARD RANGE",'中古車掲載'!J993=2023,ISNUMBER('中古車掲載'!N993),'中古車掲載'!N993&gt;=20000,'中古車掲載'!O993&lt;=100000,'中古車掲載'!AL993=1),'中古車掲載'!U993,"")</x:f>
      </x:c>
      <x:c r="BI992" t="str">
        <x:v>Taladrod|Yaris Ativ|ICE|Unknown</x:v>
      </x:c>
      <x:c r="BJ992" t="n">
        <x:v>993</x:v>
      </x:c>
      <x:c r="BK992" t="n">
        <x:f>'中古車掲載'!AM993</x:f>
        <x:v>479000</x:v>
      </x:c>
      <x:c r="BL992" t="str">
        <x:f>IF(ISNUMBER('中古車掲載'!AN993),'中古車掲載'!AN993,"")</x:f>
      </x:c>
    </x:row>
    <x:row r="993">
      <x:c r="AZ993" t="str">
        <x:f>IF(AND('中古車掲載'!C994="One2car",'中古車掲載'!F994="ATTO 3",'中古車掲載'!L994="EXTENDED RANGE",'中古車掲載'!J994=2023,ISNUMBER('中古車掲載'!N994),'中古車掲載'!N994&gt;=20000,'中古車掲載'!O994&lt;=100000,'中古車掲載'!AL994=1),'中古車掲載'!U994,"")</x:f>
      </x:c>
      <x:c r="BA993" t="str">
        <x:f>IF(AND('中古車掲載'!C994="One2car",'中古車掲載'!F994="Corolla Cross",'中古車掲載'!L994="HEV PREMIUM SAFETY",'中古車掲載'!J994=2023,ISNUMBER('中古車掲載'!N994),'中古車掲載'!N994&gt;=20000,'中古車掲載'!O994&lt;=100000,'中古車掲載'!AL994=1,'中古車掲載'!Z994="https://www.one2car.com/en/cars-for-sale/toyota/corolla-cross/year-2023"),'中古車掲載'!U994,"")</x:f>
      </x:c>
      <x:c r="BB993" t="str">
        <x:f>IF(AND('中古車掲載'!C994="One2car",'中古車掲載'!F994="ATTO 3",'中古車掲載'!L994="EXTENDED RANGE",'中古車掲載'!J994=2023,ISNUMBER('中古車掲載'!N994),'中古車掲載'!N994&gt;=50000,'中古車掲載'!O994&lt;=100000,'中古車掲載'!AL994=1),'中古車掲載'!U994,"")</x:f>
      </x:c>
      <x:c r="BC993" t="str">
        <x:f>IF(AND('中古車掲載'!C994="One2car",'中古車掲載'!F994="Corolla Cross",'中古車掲載'!L994="HEV PREMIUM SAFETY",'中古車掲載'!J994=2023,ISNUMBER('中古車掲載'!N994),'中古車掲載'!N994&gt;=50000,'中古車掲載'!O994&lt;=100000,'中古車掲載'!AL994=1,'中古車掲載'!Z994="https://www.one2car.com/en/cars-for-sale/toyota/corolla-cross/year-2023"),'中古車掲載'!U994,"")</x:f>
      </x:c>
      <x:c r="BD993" t="str">
        <x:f>IF(AND('中古車掲載'!C994="One2car",'中古車掲載'!F994="ATTO 3",'中古車掲載'!L994="EXTENDED RANGE",'中古車掲載'!J994=2023,ISNUMBER('中古車掲載'!N994),'中古車掲載'!N994&gt;=20000,'中古車掲載'!O994&lt;=50000,'中古車掲載'!AL994=1),'中古車掲載'!U994,"")</x:f>
      </x:c>
      <x:c r="BE993" t="str">
        <x:f>IF(AND('中古車掲載'!C994="One2car",'中古車掲載'!F994="Corolla Cross",'中古車掲載'!L994="HEV PREMIUM SAFETY",'中古車掲載'!J994=2023,ISNUMBER('中古車掲載'!N994),'中古車掲載'!N994&gt;=20000,'中古車掲載'!O994&lt;=50000,'中古車掲載'!AL994=1,'中古車掲載'!Z994="https://www.one2car.com/en/cars-for-sale/toyota/corolla-cross/year-2023"),'中古車掲載'!U994,"")</x:f>
      </x:c>
      <x:c r="BF993" t="str">
        <x:f>IF(AND('中古車掲載'!C994="One2car",'中古車掲載'!F994="Corolla Cross",'中古車掲載'!L994="HEV PREMIUM",'中古車掲載'!J994=2023,ISNUMBER('中古車掲載'!N994),'中古車掲載'!N994&gt;=20000,'中古車掲載'!O994&lt;=100000,'中古車掲載'!AL994=1,'中古車掲載'!Z994="https://www.one2car.com/en/cars-for-sale/toyota/corolla-cross/year-2023"),'中古車掲載'!U994,"")</x:f>
      </x:c>
      <x:c r="BG993" t="str">
        <x:f>IF(AND('中古車掲載'!C994="One2car",'中古車掲載'!F994="Corolla Cross",'中古車掲載'!L994="HEV GR SPORT",'中古車掲載'!J994=2023,ISNUMBER('中古車掲載'!N994),'中古車掲載'!N994&gt;=20000,'中古車掲載'!O994&lt;=100000,'中古車掲載'!AL994=1,'中古車掲載'!Z994="https://www.one2car.com/en/cars-for-sale/toyota/corolla-cross/year-2023"),'中古車掲載'!U994,"")</x:f>
      </x:c>
      <x:c r="BH993" t="str">
        <x:f>IF(AND('中古車掲載'!C994="One2car",'中古車掲載'!F994="DOLPHIN",'中古車掲載'!L994="STANDARD RANGE",'中古車掲載'!J994=2023,ISNUMBER('中古車掲載'!N994),'中古車掲載'!N994&gt;=20000,'中古車掲載'!O994&lt;=100000,'中古車掲載'!AL994=1),'中古車掲載'!U994,"")</x:f>
      </x:c>
      <x:c r="BI993" t="str">
        <x:v>Taladrod|Yaris Ativ|ICE|Unknown</x:v>
      </x:c>
      <x:c r="BJ993" t="n">
        <x:v>994</x:v>
      </x:c>
      <x:c r="BK993" t="n">
        <x:f>'中古車掲載'!AM994</x:f>
        <x:v>434000</x:v>
      </x:c>
      <x:c r="BL993" t="str">
        <x:f>IF(ISNUMBER('中古車掲載'!AN994),'中古車掲載'!AN994,"")</x:f>
      </x:c>
    </x:row>
    <x:row r="994">
      <x:c r="AZ994" t="str">
        <x:f>IF(AND('中古車掲載'!C995="One2car",'中古車掲載'!F995="ATTO 3",'中古車掲載'!L995="EXTENDED RANGE",'中古車掲載'!J995=2023,ISNUMBER('中古車掲載'!N995),'中古車掲載'!N995&gt;=20000,'中古車掲載'!O995&lt;=100000,'中古車掲載'!AL995=1),'中古車掲載'!U995,"")</x:f>
      </x:c>
      <x:c r="BA994" t="str">
        <x:f>IF(AND('中古車掲載'!C995="One2car",'中古車掲載'!F995="Corolla Cross",'中古車掲載'!L995="HEV PREMIUM SAFETY",'中古車掲載'!J995=2023,ISNUMBER('中古車掲載'!N995),'中古車掲載'!N995&gt;=20000,'中古車掲載'!O995&lt;=100000,'中古車掲載'!AL995=1,'中古車掲載'!Z995="https://www.one2car.com/en/cars-for-sale/toyota/corolla-cross/year-2023"),'中古車掲載'!U995,"")</x:f>
      </x:c>
      <x:c r="BB994" t="str">
        <x:f>IF(AND('中古車掲載'!C995="One2car",'中古車掲載'!F995="ATTO 3",'中古車掲載'!L995="EXTENDED RANGE",'中古車掲載'!J995=2023,ISNUMBER('中古車掲載'!N995),'中古車掲載'!N995&gt;=50000,'中古車掲載'!O995&lt;=100000,'中古車掲載'!AL995=1),'中古車掲載'!U995,"")</x:f>
      </x:c>
      <x:c r="BC994" t="str">
        <x:f>IF(AND('中古車掲載'!C995="One2car",'中古車掲載'!F995="Corolla Cross",'中古車掲載'!L995="HEV PREMIUM SAFETY",'中古車掲載'!J995=2023,ISNUMBER('中古車掲載'!N995),'中古車掲載'!N995&gt;=50000,'中古車掲載'!O995&lt;=100000,'中古車掲載'!AL995=1,'中古車掲載'!Z995="https://www.one2car.com/en/cars-for-sale/toyota/corolla-cross/year-2023"),'中古車掲載'!U995,"")</x:f>
      </x:c>
      <x:c r="BD994" t="str">
        <x:f>IF(AND('中古車掲載'!C995="One2car",'中古車掲載'!F995="ATTO 3",'中古車掲載'!L995="EXTENDED RANGE",'中古車掲載'!J995=2023,ISNUMBER('中古車掲載'!N995),'中古車掲載'!N995&gt;=20000,'中古車掲載'!O995&lt;=50000,'中古車掲載'!AL995=1),'中古車掲載'!U995,"")</x:f>
      </x:c>
      <x:c r="BE994" t="str">
        <x:f>IF(AND('中古車掲載'!C995="One2car",'中古車掲載'!F995="Corolla Cross",'中古車掲載'!L995="HEV PREMIUM SAFETY",'中古車掲載'!J995=2023,ISNUMBER('中古車掲載'!N995),'中古車掲載'!N995&gt;=20000,'中古車掲載'!O995&lt;=50000,'中古車掲載'!AL995=1,'中古車掲載'!Z995="https://www.one2car.com/en/cars-for-sale/toyota/corolla-cross/year-2023"),'中古車掲載'!U995,"")</x:f>
      </x:c>
      <x:c r="BF994" t="str">
        <x:f>IF(AND('中古車掲載'!C995="One2car",'中古車掲載'!F995="Corolla Cross",'中古車掲載'!L995="HEV PREMIUM",'中古車掲載'!J995=2023,ISNUMBER('中古車掲載'!N995),'中古車掲載'!N995&gt;=20000,'中古車掲載'!O995&lt;=100000,'中古車掲載'!AL995=1,'中古車掲載'!Z995="https://www.one2car.com/en/cars-for-sale/toyota/corolla-cross/year-2023"),'中古車掲載'!U995,"")</x:f>
      </x:c>
      <x:c r="BG994" t="str">
        <x:f>IF(AND('中古車掲載'!C995="One2car",'中古車掲載'!F995="Corolla Cross",'中古車掲載'!L995="HEV GR SPORT",'中古車掲載'!J995=2023,ISNUMBER('中古車掲載'!N995),'中古車掲載'!N995&gt;=20000,'中古車掲載'!O995&lt;=100000,'中古車掲載'!AL995=1,'中古車掲載'!Z995="https://www.one2car.com/en/cars-for-sale/toyota/corolla-cross/year-2023"),'中古車掲載'!U995,"")</x:f>
      </x:c>
      <x:c r="BH994" t="str">
        <x:f>IF(AND('中古車掲載'!C995="One2car",'中古車掲載'!F995="DOLPHIN",'中古車掲載'!L995="STANDARD RANGE",'中古車掲載'!J995=2023,ISNUMBER('中古車掲載'!N995),'中古車掲載'!N995&gt;=20000,'中古車掲載'!O995&lt;=100000,'中古車掲載'!AL995=1),'中古車掲載'!U995,"")</x:f>
      </x:c>
      <x:c r="BI994" t="str">
        <x:v>Taladrod|Yaris Ativ|ICE|Unknown</x:v>
      </x:c>
      <x:c r="BJ994" t="n">
        <x:v>995</x:v>
      </x:c>
      <x:c r="BK994" t="n">
        <x:f>'中古車掲載'!AM995</x:f>
        <x:v>469000</x:v>
      </x:c>
      <x:c r="BL994" t="str">
        <x:f>IF(ISNUMBER('中古車掲載'!AN995),'中古車掲載'!AN995,"")</x:f>
      </x:c>
    </x:row>
    <x:row r="995">
      <x:c r="AZ995" t="str">
        <x:f>IF(AND('中古車掲載'!C996="One2car",'中古車掲載'!F996="ATTO 3",'中古車掲載'!L996="EXTENDED RANGE",'中古車掲載'!J996=2023,ISNUMBER('中古車掲載'!N996),'中古車掲載'!N996&gt;=20000,'中古車掲載'!O996&lt;=100000,'中古車掲載'!AL996=1),'中古車掲載'!U996,"")</x:f>
      </x:c>
      <x:c r="BA995" t="str">
        <x:f>IF(AND('中古車掲載'!C996="One2car",'中古車掲載'!F996="Corolla Cross",'中古車掲載'!L996="HEV PREMIUM SAFETY",'中古車掲載'!J996=2023,ISNUMBER('中古車掲載'!N996),'中古車掲載'!N996&gt;=20000,'中古車掲載'!O996&lt;=100000,'中古車掲載'!AL996=1,'中古車掲載'!Z996="https://www.one2car.com/en/cars-for-sale/toyota/corolla-cross/year-2023"),'中古車掲載'!U996,"")</x:f>
      </x:c>
      <x:c r="BB995" t="str">
        <x:f>IF(AND('中古車掲載'!C996="One2car",'中古車掲載'!F996="ATTO 3",'中古車掲載'!L996="EXTENDED RANGE",'中古車掲載'!J996=2023,ISNUMBER('中古車掲載'!N996),'中古車掲載'!N996&gt;=50000,'中古車掲載'!O996&lt;=100000,'中古車掲載'!AL996=1),'中古車掲載'!U996,"")</x:f>
      </x:c>
      <x:c r="BC995" t="str">
        <x:f>IF(AND('中古車掲載'!C996="One2car",'中古車掲載'!F996="Corolla Cross",'中古車掲載'!L996="HEV PREMIUM SAFETY",'中古車掲載'!J996=2023,ISNUMBER('中古車掲載'!N996),'中古車掲載'!N996&gt;=50000,'中古車掲載'!O996&lt;=100000,'中古車掲載'!AL996=1,'中古車掲載'!Z996="https://www.one2car.com/en/cars-for-sale/toyota/corolla-cross/year-2023"),'中古車掲載'!U996,"")</x:f>
      </x:c>
      <x:c r="BD995" t="str">
        <x:f>IF(AND('中古車掲載'!C996="One2car",'中古車掲載'!F996="ATTO 3",'中古車掲載'!L996="EXTENDED RANGE",'中古車掲載'!J996=2023,ISNUMBER('中古車掲載'!N996),'中古車掲載'!N996&gt;=20000,'中古車掲載'!O996&lt;=50000,'中古車掲載'!AL996=1),'中古車掲載'!U996,"")</x:f>
      </x:c>
      <x:c r="BE995" t="str">
        <x:f>IF(AND('中古車掲載'!C996="One2car",'中古車掲載'!F996="Corolla Cross",'中古車掲載'!L996="HEV PREMIUM SAFETY",'中古車掲載'!J996=2023,ISNUMBER('中古車掲載'!N996),'中古車掲載'!N996&gt;=20000,'中古車掲載'!O996&lt;=50000,'中古車掲載'!AL996=1,'中古車掲載'!Z996="https://www.one2car.com/en/cars-for-sale/toyota/corolla-cross/year-2023"),'中古車掲載'!U996,"")</x:f>
      </x:c>
      <x:c r="BF995" t="str">
        <x:f>IF(AND('中古車掲載'!C996="One2car",'中古車掲載'!F996="Corolla Cross",'中古車掲載'!L996="HEV PREMIUM",'中古車掲載'!J996=2023,ISNUMBER('中古車掲載'!N996),'中古車掲載'!N996&gt;=20000,'中古車掲載'!O996&lt;=100000,'中古車掲載'!AL996=1,'中古車掲載'!Z996="https://www.one2car.com/en/cars-for-sale/toyota/corolla-cross/year-2023"),'中古車掲載'!U996,"")</x:f>
      </x:c>
      <x:c r="BG995" t="str">
        <x:f>IF(AND('中古車掲載'!C996="One2car",'中古車掲載'!F996="Corolla Cross",'中古車掲載'!L996="HEV GR SPORT",'中古車掲載'!J996=2023,ISNUMBER('中古車掲載'!N996),'中古車掲載'!N996&gt;=20000,'中古車掲載'!O996&lt;=100000,'中古車掲載'!AL996=1,'中古車掲載'!Z996="https://www.one2car.com/en/cars-for-sale/toyota/corolla-cross/year-2023"),'中古車掲載'!U996,"")</x:f>
      </x:c>
      <x:c r="BH995" t="str">
        <x:f>IF(AND('中古車掲載'!C996="One2car",'中古車掲載'!F996="DOLPHIN",'中古車掲載'!L996="STANDARD RANGE",'中古車掲載'!J996=2023,ISNUMBER('中古車掲載'!N996),'中古車掲載'!N996&gt;=20000,'中古車掲載'!O996&lt;=100000,'中古車掲載'!AL996=1),'中古車掲載'!U996,"")</x:f>
      </x:c>
      <x:c r="BI995" t="str">
        <x:v>Taladrod|Yaris Ativ|ICE|Unknown</x:v>
      </x:c>
      <x:c r="BJ995" t="n">
        <x:v>996</x:v>
      </x:c>
      <x:c r="BK995" t="n">
        <x:f>'中古車掲載'!AM996</x:f>
        <x:v>459000</x:v>
      </x:c>
      <x:c r="BL995" t="str">
        <x:f>IF(ISNUMBER('中古車掲載'!AN996),'中古車掲載'!AN996,"")</x:f>
      </x:c>
    </x:row>
    <x:row r="996">
      <x:c r="AZ996" t="str">
        <x:f>IF(AND('中古車掲載'!C997="One2car",'中古車掲載'!F997="ATTO 3",'中古車掲載'!L997="EXTENDED RANGE",'中古車掲載'!J997=2023,ISNUMBER('中古車掲載'!N997),'中古車掲載'!N997&gt;=20000,'中古車掲載'!O997&lt;=100000,'中古車掲載'!AL997=1),'中古車掲載'!U997,"")</x:f>
      </x:c>
      <x:c r="BA996" t="str">
        <x:f>IF(AND('中古車掲載'!C997="One2car",'中古車掲載'!F997="Corolla Cross",'中古車掲載'!L997="HEV PREMIUM SAFETY",'中古車掲載'!J997=2023,ISNUMBER('中古車掲載'!N997),'中古車掲載'!N997&gt;=20000,'中古車掲載'!O997&lt;=100000,'中古車掲載'!AL997=1,'中古車掲載'!Z997="https://www.one2car.com/en/cars-for-sale/toyota/corolla-cross/year-2023"),'中古車掲載'!U997,"")</x:f>
      </x:c>
      <x:c r="BB996" t="str">
        <x:f>IF(AND('中古車掲載'!C997="One2car",'中古車掲載'!F997="ATTO 3",'中古車掲載'!L997="EXTENDED RANGE",'中古車掲載'!J997=2023,ISNUMBER('中古車掲載'!N997),'中古車掲載'!N997&gt;=50000,'中古車掲載'!O997&lt;=100000,'中古車掲載'!AL997=1),'中古車掲載'!U997,"")</x:f>
      </x:c>
      <x:c r="BC996" t="str">
        <x:f>IF(AND('中古車掲載'!C997="One2car",'中古車掲載'!F997="Corolla Cross",'中古車掲載'!L997="HEV PREMIUM SAFETY",'中古車掲載'!J997=2023,ISNUMBER('中古車掲載'!N997),'中古車掲載'!N997&gt;=50000,'中古車掲載'!O997&lt;=100000,'中古車掲載'!AL997=1,'中古車掲載'!Z997="https://www.one2car.com/en/cars-for-sale/toyota/corolla-cross/year-2023"),'中古車掲載'!U997,"")</x:f>
      </x:c>
      <x:c r="BD996" t="str">
        <x:f>IF(AND('中古車掲載'!C997="One2car",'中古車掲載'!F997="ATTO 3",'中古車掲載'!L997="EXTENDED RANGE",'中古車掲載'!J997=2023,ISNUMBER('中古車掲載'!N997),'中古車掲載'!N997&gt;=20000,'中古車掲載'!O997&lt;=50000,'中古車掲載'!AL997=1),'中古車掲載'!U997,"")</x:f>
      </x:c>
      <x:c r="BE996" t="str">
        <x:f>IF(AND('中古車掲載'!C997="One2car",'中古車掲載'!F997="Corolla Cross",'中古車掲載'!L997="HEV PREMIUM SAFETY",'中古車掲載'!J997=2023,ISNUMBER('中古車掲載'!N997),'中古車掲載'!N997&gt;=20000,'中古車掲載'!O997&lt;=50000,'中古車掲載'!AL997=1,'中古車掲載'!Z997="https://www.one2car.com/en/cars-for-sale/toyota/corolla-cross/year-2023"),'中古車掲載'!U997,"")</x:f>
      </x:c>
      <x:c r="BF996" t="str">
        <x:f>IF(AND('中古車掲載'!C997="One2car",'中古車掲載'!F997="Corolla Cross",'中古車掲載'!L997="HEV PREMIUM",'中古車掲載'!J997=2023,ISNUMBER('中古車掲載'!N997),'中古車掲載'!N997&gt;=20000,'中古車掲載'!O997&lt;=100000,'中古車掲載'!AL997=1,'中古車掲載'!Z997="https://www.one2car.com/en/cars-for-sale/toyota/corolla-cross/year-2023"),'中古車掲載'!U997,"")</x:f>
      </x:c>
      <x:c r="BG996" t="str">
        <x:f>IF(AND('中古車掲載'!C997="One2car",'中古車掲載'!F997="Corolla Cross",'中古車掲載'!L997="HEV GR SPORT",'中古車掲載'!J997=2023,ISNUMBER('中古車掲載'!N997),'中古車掲載'!N997&gt;=20000,'中古車掲載'!O997&lt;=100000,'中古車掲載'!AL997=1,'中古車掲載'!Z997="https://www.one2car.com/en/cars-for-sale/toyota/corolla-cross/year-2023"),'中古車掲載'!U997,"")</x:f>
      </x:c>
      <x:c r="BH996" t="str">
        <x:f>IF(AND('中古車掲載'!C997="One2car",'中古車掲載'!F997="DOLPHIN",'中古車掲載'!L997="STANDARD RANGE",'中古車掲載'!J997=2023,ISNUMBER('中古車掲載'!N997),'中古車掲載'!N997&gt;=20000,'中古車掲載'!O997&lt;=100000,'中古車掲載'!AL997=1),'中古車掲載'!U997,"")</x:f>
      </x:c>
      <x:c r="BI996" t="str">
        <x:v>Taladrod|Yaris Ativ|ICE|Unknown</x:v>
      </x:c>
      <x:c r="BJ996" t="n">
        <x:v>997</x:v>
      </x:c>
      <x:c r="BK996" t="n">
        <x:f>'中古車掲載'!AM997</x:f>
        <x:v>454000</x:v>
      </x:c>
      <x:c r="BL996" t="str">
        <x:f>IF(ISNUMBER('中古車掲載'!AN997),'中古車掲載'!AN997,"")</x:f>
      </x:c>
    </x:row>
    <x:row r="997">
      <x:c r="AZ997" t="str">
        <x:f>IF(AND('中古車掲載'!C998="One2car",'中古車掲載'!F998="ATTO 3",'中古車掲載'!L998="EXTENDED RANGE",'中古車掲載'!J998=2023,ISNUMBER('中古車掲載'!N998),'中古車掲載'!N998&gt;=20000,'中古車掲載'!O998&lt;=100000,'中古車掲載'!AL998=1),'中古車掲載'!U998,"")</x:f>
      </x:c>
      <x:c r="BA997" t="str">
        <x:f>IF(AND('中古車掲載'!C998="One2car",'中古車掲載'!F998="Corolla Cross",'中古車掲載'!L998="HEV PREMIUM SAFETY",'中古車掲載'!J998=2023,ISNUMBER('中古車掲載'!N998),'中古車掲載'!N998&gt;=20000,'中古車掲載'!O998&lt;=100000,'中古車掲載'!AL998=1,'中古車掲載'!Z998="https://www.one2car.com/en/cars-for-sale/toyota/corolla-cross/year-2023"),'中古車掲載'!U998,"")</x:f>
      </x:c>
      <x:c r="BB997" t="str">
        <x:f>IF(AND('中古車掲載'!C998="One2car",'中古車掲載'!F998="ATTO 3",'中古車掲載'!L998="EXTENDED RANGE",'中古車掲載'!J998=2023,ISNUMBER('中古車掲載'!N998),'中古車掲載'!N998&gt;=50000,'中古車掲載'!O998&lt;=100000,'中古車掲載'!AL998=1),'中古車掲載'!U998,"")</x:f>
      </x:c>
      <x:c r="BC997" t="str">
        <x:f>IF(AND('中古車掲載'!C998="One2car",'中古車掲載'!F998="Corolla Cross",'中古車掲載'!L998="HEV PREMIUM SAFETY",'中古車掲載'!J998=2023,ISNUMBER('中古車掲載'!N998),'中古車掲載'!N998&gt;=50000,'中古車掲載'!O998&lt;=100000,'中古車掲載'!AL998=1,'中古車掲載'!Z998="https://www.one2car.com/en/cars-for-sale/toyota/corolla-cross/year-2023"),'中古車掲載'!U998,"")</x:f>
      </x:c>
      <x:c r="BD997" t="str">
        <x:f>IF(AND('中古車掲載'!C998="One2car",'中古車掲載'!F998="ATTO 3",'中古車掲載'!L998="EXTENDED RANGE",'中古車掲載'!J998=2023,ISNUMBER('中古車掲載'!N998),'中古車掲載'!N998&gt;=20000,'中古車掲載'!O998&lt;=50000,'中古車掲載'!AL998=1),'中古車掲載'!U998,"")</x:f>
      </x:c>
      <x:c r="BE997" t="str">
        <x:f>IF(AND('中古車掲載'!C998="One2car",'中古車掲載'!F998="Corolla Cross",'中古車掲載'!L998="HEV PREMIUM SAFETY",'中古車掲載'!J998=2023,ISNUMBER('中古車掲載'!N998),'中古車掲載'!N998&gt;=20000,'中古車掲載'!O998&lt;=50000,'中古車掲載'!AL998=1,'中古車掲載'!Z998="https://www.one2car.com/en/cars-for-sale/toyota/corolla-cross/year-2023"),'中古車掲載'!U998,"")</x:f>
      </x:c>
      <x:c r="BF997" t="str">
        <x:f>IF(AND('中古車掲載'!C998="One2car",'中古車掲載'!F998="Corolla Cross",'中古車掲載'!L998="HEV PREMIUM",'中古車掲載'!J998=2023,ISNUMBER('中古車掲載'!N998),'中古車掲載'!N998&gt;=20000,'中古車掲載'!O998&lt;=100000,'中古車掲載'!AL998=1,'中古車掲載'!Z998="https://www.one2car.com/en/cars-for-sale/toyota/corolla-cross/year-2023"),'中古車掲載'!U998,"")</x:f>
      </x:c>
      <x:c r="BG997" t="str">
        <x:f>IF(AND('中古車掲載'!C998="One2car",'中古車掲載'!F998="Corolla Cross",'中古車掲載'!L998="HEV GR SPORT",'中古車掲載'!J998=2023,ISNUMBER('中古車掲載'!N998),'中古車掲載'!N998&gt;=20000,'中古車掲載'!O998&lt;=100000,'中古車掲載'!AL998=1,'中古車掲載'!Z998="https://www.one2car.com/en/cars-for-sale/toyota/corolla-cross/year-2023"),'中古車掲載'!U998,"")</x:f>
      </x:c>
      <x:c r="BH997" t="str">
        <x:f>IF(AND('中古車掲載'!C998="One2car",'中古車掲載'!F998="DOLPHIN",'中古車掲載'!L998="STANDARD RANGE",'中古車掲載'!J998=2023,ISNUMBER('中古車掲載'!N998),'中古車掲載'!N998&gt;=20000,'中古車掲載'!O998&lt;=100000,'中古車掲載'!AL998=1),'中古車掲載'!U998,"")</x:f>
      </x:c>
      <x:c r="BI997" t="str">
        <x:v>Taladrod|Yaris Ativ|ICE|Unknown</x:v>
      </x:c>
      <x:c r="BJ997" t="n">
        <x:v>998</x:v>
      </x:c>
      <x:c r="BK997" t="n">
        <x:f>'中古車掲載'!AM998</x:f>
        <x:v>459000</x:v>
      </x:c>
      <x:c r="BL997" t="str">
        <x:f>IF(ISNUMBER('中古車掲載'!AN998),'中古車掲載'!AN998,"")</x:f>
      </x:c>
    </x:row>
    <x:row r="998">
      <x:c r="AZ998" t="str">
        <x:f>IF(AND('中古車掲載'!C999="One2car",'中古車掲載'!F999="ATTO 3",'中古車掲載'!L999="EXTENDED RANGE",'中古車掲載'!J999=2023,ISNUMBER('中古車掲載'!N999),'中古車掲載'!N999&gt;=20000,'中古車掲載'!O999&lt;=100000,'中古車掲載'!AL999=1),'中古車掲載'!U999,"")</x:f>
      </x:c>
      <x:c r="BA998" t="str">
        <x:f>IF(AND('中古車掲載'!C999="One2car",'中古車掲載'!F999="Corolla Cross",'中古車掲載'!L999="HEV PREMIUM SAFETY",'中古車掲載'!J999=2023,ISNUMBER('中古車掲載'!N999),'中古車掲載'!N999&gt;=20000,'中古車掲載'!O999&lt;=100000,'中古車掲載'!AL999=1,'中古車掲載'!Z999="https://www.one2car.com/en/cars-for-sale/toyota/corolla-cross/year-2023"),'中古車掲載'!U999,"")</x:f>
      </x:c>
      <x:c r="BB998" t="str">
        <x:f>IF(AND('中古車掲載'!C999="One2car",'中古車掲載'!F999="ATTO 3",'中古車掲載'!L999="EXTENDED RANGE",'中古車掲載'!J999=2023,ISNUMBER('中古車掲載'!N999),'中古車掲載'!N999&gt;=50000,'中古車掲載'!O999&lt;=100000,'中古車掲載'!AL999=1),'中古車掲載'!U999,"")</x:f>
      </x:c>
      <x:c r="BC998" t="str">
        <x:f>IF(AND('中古車掲載'!C999="One2car",'中古車掲載'!F999="Corolla Cross",'中古車掲載'!L999="HEV PREMIUM SAFETY",'中古車掲載'!J999=2023,ISNUMBER('中古車掲載'!N999),'中古車掲載'!N999&gt;=50000,'中古車掲載'!O999&lt;=100000,'中古車掲載'!AL999=1,'中古車掲載'!Z999="https://www.one2car.com/en/cars-for-sale/toyota/corolla-cross/year-2023"),'中古車掲載'!U999,"")</x:f>
      </x:c>
      <x:c r="BD998" t="str">
        <x:f>IF(AND('中古車掲載'!C999="One2car",'中古車掲載'!F999="ATTO 3",'中古車掲載'!L999="EXTENDED RANGE",'中古車掲載'!J999=2023,ISNUMBER('中古車掲載'!N999),'中古車掲載'!N999&gt;=20000,'中古車掲載'!O999&lt;=50000,'中古車掲載'!AL999=1),'中古車掲載'!U999,"")</x:f>
      </x:c>
      <x:c r="BE998" t="str">
        <x:f>IF(AND('中古車掲載'!C999="One2car",'中古車掲載'!F999="Corolla Cross",'中古車掲載'!L999="HEV PREMIUM SAFETY",'中古車掲載'!J999=2023,ISNUMBER('中古車掲載'!N999),'中古車掲載'!N999&gt;=20000,'中古車掲載'!O999&lt;=50000,'中古車掲載'!AL999=1,'中古車掲載'!Z999="https://www.one2car.com/en/cars-for-sale/toyota/corolla-cross/year-2023"),'中古車掲載'!U999,"")</x:f>
      </x:c>
      <x:c r="BF998" t="str">
        <x:f>IF(AND('中古車掲載'!C999="One2car",'中古車掲載'!F999="Corolla Cross",'中古車掲載'!L999="HEV PREMIUM",'中古車掲載'!J999=2023,ISNUMBER('中古車掲載'!N999),'中古車掲載'!N999&gt;=20000,'中古車掲載'!O999&lt;=100000,'中古車掲載'!AL999=1,'中古車掲載'!Z999="https://www.one2car.com/en/cars-for-sale/toyota/corolla-cross/year-2023"),'中古車掲載'!U999,"")</x:f>
      </x:c>
      <x:c r="BG998" t="str">
        <x:f>IF(AND('中古車掲載'!C999="One2car",'中古車掲載'!F999="Corolla Cross",'中古車掲載'!L999="HEV GR SPORT",'中古車掲載'!J999=2023,ISNUMBER('中古車掲載'!N999),'中古車掲載'!N999&gt;=20000,'中古車掲載'!O999&lt;=100000,'中古車掲載'!AL999=1,'中古車掲載'!Z999="https://www.one2car.com/en/cars-for-sale/toyota/corolla-cross/year-2023"),'中古車掲載'!U999,"")</x:f>
      </x:c>
      <x:c r="BH998" t="str">
        <x:f>IF(AND('中古車掲載'!C999="One2car",'中古車掲載'!F999="DOLPHIN",'中古車掲載'!L999="STANDARD RANGE",'中古車掲載'!J999=2023,ISNUMBER('中古車掲載'!N999),'中古車掲載'!N999&gt;=20000,'中古車掲載'!O999&lt;=100000,'中古車掲載'!AL999=1),'中古車掲載'!U999,"")</x:f>
      </x:c>
      <x:c r="BI998" t="str">
        <x:v>Taladrod|Yaris Ativ|ICE|Unknown</x:v>
      </x:c>
      <x:c r="BJ998" t="n">
        <x:v>999</x:v>
      </x:c>
      <x:c r="BK998" t="n">
        <x:f>'中古車掲載'!AM999</x:f>
        <x:v>459000</x:v>
      </x:c>
      <x:c r="BL998" t="str">
        <x:f>IF(ISNUMBER('中古車掲載'!AN999),'中古車掲載'!AN999,"")</x:f>
      </x:c>
    </x:row>
    <x:row r="999">
      <x:c r="AZ999" t="str">
        <x:f>IF(AND('中古車掲載'!C1000="One2car",'中古車掲載'!F1000="ATTO 3",'中古車掲載'!L1000="EXTENDED RANGE",'中古車掲載'!J1000=2023,ISNUMBER('中古車掲載'!N1000),'中古車掲載'!N1000&gt;=20000,'中古車掲載'!O1000&lt;=100000,'中古車掲載'!AL1000=1),'中古車掲載'!U1000,"")</x:f>
      </x:c>
      <x:c r="BA999" t="str">
        <x:f>IF(AND('中古車掲載'!C1000="One2car",'中古車掲載'!F1000="Corolla Cross",'中古車掲載'!L1000="HEV PREMIUM SAFETY",'中古車掲載'!J1000=2023,ISNUMBER('中古車掲載'!N1000),'中古車掲載'!N1000&gt;=20000,'中古車掲載'!O1000&lt;=100000,'中古車掲載'!AL1000=1,'中古車掲載'!Z1000="https://www.one2car.com/en/cars-for-sale/toyota/corolla-cross/year-2023"),'中古車掲載'!U1000,"")</x:f>
      </x:c>
      <x:c r="BB999" t="str">
        <x:f>IF(AND('中古車掲載'!C1000="One2car",'中古車掲載'!F1000="ATTO 3",'中古車掲載'!L1000="EXTENDED RANGE",'中古車掲載'!J1000=2023,ISNUMBER('中古車掲載'!N1000),'中古車掲載'!N1000&gt;=50000,'中古車掲載'!O1000&lt;=100000,'中古車掲載'!AL1000=1),'中古車掲載'!U1000,"")</x:f>
      </x:c>
      <x:c r="BC999" t="str">
        <x:f>IF(AND('中古車掲載'!C1000="One2car",'中古車掲載'!F1000="Corolla Cross",'中古車掲載'!L1000="HEV PREMIUM SAFETY",'中古車掲載'!J1000=2023,ISNUMBER('中古車掲載'!N1000),'中古車掲載'!N1000&gt;=50000,'中古車掲載'!O1000&lt;=100000,'中古車掲載'!AL1000=1,'中古車掲載'!Z1000="https://www.one2car.com/en/cars-for-sale/toyota/corolla-cross/year-2023"),'中古車掲載'!U1000,"")</x:f>
      </x:c>
      <x:c r="BD999" t="str">
        <x:f>IF(AND('中古車掲載'!C1000="One2car",'中古車掲載'!F1000="ATTO 3",'中古車掲載'!L1000="EXTENDED RANGE",'中古車掲載'!J1000=2023,ISNUMBER('中古車掲載'!N1000),'中古車掲載'!N1000&gt;=20000,'中古車掲載'!O1000&lt;=50000,'中古車掲載'!AL1000=1),'中古車掲載'!U1000,"")</x:f>
      </x:c>
      <x:c r="BE999" t="str">
        <x:f>IF(AND('中古車掲載'!C1000="One2car",'中古車掲載'!F1000="Corolla Cross",'中古車掲載'!L1000="HEV PREMIUM SAFETY",'中古車掲載'!J1000=2023,ISNUMBER('中古車掲載'!N1000),'中古車掲載'!N1000&gt;=20000,'中古車掲載'!O1000&lt;=50000,'中古車掲載'!AL1000=1,'中古車掲載'!Z1000="https://www.one2car.com/en/cars-for-sale/toyota/corolla-cross/year-2023"),'中古車掲載'!U1000,"")</x:f>
      </x:c>
      <x:c r="BF999" t="str">
        <x:f>IF(AND('中古車掲載'!C1000="One2car",'中古車掲載'!F1000="Corolla Cross",'中古車掲載'!L1000="HEV PREMIUM",'中古車掲載'!J1000=2023,ISNUMBER('中古車掲載'!N1000),'中古車掲載'!N1000&gt;=20000,'中古車掲載'!O1000&lt;=100000,'中古車掲載'!AL1000=1,'中古車掲載'!Z1000="https://www.one2car.com/en/cars-for-sale/toyota/corolla-cross/year-2023"),'中古車掲載'!U1000,"")</x:f>
      </x:c>
      <x:c r="BG999" t="str">
        <x:f>IF(AND('中古車掲載'!C1000="One2car",'中古車掲載'!F1000="Corolla Cross",'中古車掲載'!L1000="HEV GR SPORT",'中古車掲載'!J1000=2023,ISNUMBER('中古車掲載'!N1000),'中古車掲載'!N1000&gt;=20000,'中古車掲載'!O1000&lt;=100000,'中古車掲載'!AL1000=1,'中古車掲載'!Z1000="https://www.one2car.com/en/cars-for-sale/toyota/corolla-cross/year-2023"),'中古車掲載'!U1000,"")</x:f>
      </x:c>
      <x:c r="BH999" t="str">
        <x:f>IF(AND('中古車掲載'!C1000="One2car",'中古車掲載'!F1000="DOLPHIN",'中古車掲載'!L1000="STANDARD RANGE",'中古車掲載'!J1000=2023,ISNUMBER('中古車掲載'!N1000),'中古車掲載'!N1000&gt;=20000,'中古車掲載'!O1000&lt;=100000,'中古車掲載'!AL1000=1),'中古車掲載'!U1000,"")</x:f>
      </x:c>
      <x:c r="BI999" t="str">
        <x:v>Taladrod|Yaris Ativ|ICE|Unknown</x:v>
      </x:c>
      <x:c r="BJ999" t="n">
        <x:v>1000</x:v>
      </x:c>
      <x:c r="BK999" t="n">
        <x:f>'中古車掲載'!AM1000</x:f>
        <x:v>479000</x:v>
      </x:c>
      <x:c r="BL999" t="str">
        <x:f>IF(ISNUMBER('中古車掲載'!AN1000),'中古車掲載'!AN1000,"")</x:f>
      </x:c>
    </x:row>
    <x:row r="1000">
      <x:c r="AZ1000" t="str">
        <x:f>IF(AND('中古車掲載'!C1001="One2car",'中古車掲載'!F1001="ATTO 3",'中古車掲載'!L1001="EXTENDED RANGE",'中古車掲載'!J1001=2023,ISNUMBER('中古車掲載'!N1001),'中古車掲載'!N1001&gt;=20000,'中古車掲載'!O1001&lt;=100000,'中古車掲載'!AL1001=1),'中古車掲載'!U1001,"")</x:f>
      </x:c>
      <x:c r="BA1000" t="str">
        <x:f>IF(AND('中古車掲載'!C1001="One2car",'中古車掲載'!F1001="Corolla Cross",'中古車掲載'!L1001="HEV PREMIUM SAFETY",'中古車掲載'!J1001=2023,ISNUMBER('中古車掲載'!N1001),'中古車掲載'!N1001&gt;=20000,'中古車掲載'!O1001&lt;=100000,'中古車掲載'!AL1001=1,'中古車掲載'!Z1001="https://www.one2car.com/en/cars-for-sale/toyota/corolla-cross/year-2023"),'中古車掲載'!U1001,"")</x:f>
      </x:c>
      <x:c r="BB1000" t="str">
        <x:f>IF(AND('中古車掲載'!C1001="One2car",'中古車掲載'!F1001="ATTO 3",'中古車掲載'!L1001="EXTENDED RANGE",'中古車掲載'!J1001=2023,ISNUMBER('中古車掲載'!N1001),'中古車掲載'!N1001&gt;=50000,'中古車掲載'!O1001&lt;=100000,'中古車掲載'!AL1001=1),'中古車掲載'!U1001,"")</x:f>
      </x:c>
      <x:c r="BC1000" t="str">
        <x:f>IF(AND('中古車掲載'!C1001="One2car",'中古車掲載'!F1001="Corolla Cross",'中古車掲載'!L1001="HEV PREMIUM SAFETY",'中古車掲載'!J1001=2023,ISNUMBER('中古車掲載'!N1001),'中古車掲載'!N1001&gt;=50000,'中古車掲載'!O1001&lt;=100000,'中古車掲載'!AL1001=1,'中古車掲載'!Z1001="https://www.one2car.com/en/cars-for-sale/toyota/corolla-cross/year-2023"),'中古車掲載'!U1001,"")</x:f>
      </x:c>
      <x:c r="BD1000" t="str">
        <x:f>IF(AND('中古車掲載'!C1001="One2car",'中古車掲載'!F1001="ATTO 3",'中古車掲載'!L1001="EXTENDED RANGE",'中古車掲載'!J1001=2023,ISNUMBER('中古車掲載'!N1001),'中古車掲載'!N1001&gt;=20000,'中古車掲載'!O1001&lt;=50000,'中古車掲載'!AL1001=1),'中古車掲載'!U1001,"")</x:f>
      </x:c>
      <x:c r="BE1000" t="str">
        <x:f>IF(AND('中古車掲載'!C1001="One2car",'中古車掲載'!F1001="Corolla Cross",'中古車掲載'!L1001="HEV PREMIUM SAFETY",'中古車掲載'!J1001=2023,ISNUMBER('中古車掲載'!N1001),'中古車掲載'!N1001&gt;=20000,'中古車掲載'!O1001&lt;=50000,'中古車掲載'!AL1001=1,'中古車掲載'!Z1001="https://www.one2car.com/en/cars-for-sale/toyota/corolla-cross/year-2023"),'中古車掲載'!U1001,"")</x:f>
      </x:c>
      <x:c r="BF1000" t="str">
        <x:f>IF(AND('中古車掲載'!C1001="One2car",'中古車掲載'!F1001="Corolla Cross",'中古車掲載'!L1001="HEV PREMIUM",'中古車掲載'!J1001=2023,ISNUMBER('中古車掲載'!N1001),'中古車掲載'!N1001&gt;=20000,'中古車掲載'!O1001&lt;=100000,'中古車掲載'!AL1001=1,'中古車掲載'!Z1001="https://www.one2car.com/en/cars-for-sale/toyota/corolla-cross/year-2023"),'中古車掲載'!U1001,"")</x:f>
      </x:c>
      <x:c r="BG1000" t="str">
        <x:f>IF(AND('中古車掲載'!C1001="One2car",'中古車掲載'!F1001="Corolla Cross",'中古車掲載'!L1001="HEV GR SPORT",'中古車掲載'!J1001=2023,ISNUMBER('中古車掲載'!N1001),'中古車掲載'!N1001&gt;=20000,'中古車掲載'!O1001&lt;=100000,'中古車掲載'!AL1001=1,'中古車掲載'!Z1001="https://www.one2car.com/en/cars-for-sale/toyota/corolla-cross/year-2023"),'中古車掲載'!U1001,"")</x:f>
      </x:c>
      <x:c r="BH1000" t="str">
        <x:f>IF(AND('中古車掲載'!C1001="One2car",'中古車掲載'!F1001="DOLPHIN",'中古車掲載'!L1001="STANDARD RANGE",'中古車掲載'!J1001=2023,ISNUMBER('中古車掲載'!N1001),'中古車掲載'!N1001&gt;=20000,'中古車掲載'!O1001&lt;=100000,'中古車掲載'!AL1001=1),'中古車掲載'!U1001,"")</x:f>
      </x:c>
      <x:c r="BI1000" t="str">
        <x:v>Taladrod|Yaris Ativ|ICE|Unknown</x:v>
      </x:c>
      <x:c r="BJ1000" t="n">
        <x:v>1001</x:v>
      </x:c>
      <x:c r="BK1000" t="n">
        <x:f>'中古車掲載'!AM1001</x:f>
        <x:v>469000</x:v>
      </x:c>
      <x:c r="BL1000" t="str">
        <x:f>IF(ISNUMBER('中古車掲載'!AN1001),'中古車掲載'!AN1001,"")</x:f>
      </x:c>
    </x:row>
    <x:row r="1001">
      <x:c r="AZ1001" t="str">
        <x:f>IF(AND('中古車掲載'!C1002="One2car",'中古車掲載'!F1002="ATTO 3",'中古車掲載'!L1002="EXTENDED RANGE",'中古車掲載'!J1002=2023,ISNUMBER('中古車掲載'!N1002),'中古車掲載'!N1002&gt;=20000,'中古車掲載'!O1002&lt;=100000,'中古車掲載'!AL1002=1),'中古車掲載'!U1002,"")</x:f>
      </x:c>
      <x:c r="BA1001" t="str">
        <x:f>IF(AND('中古車掲載'!C1002="One2car",'中古車掲載'!F1002="Corolla Cross",'中古車掲載'!L1002="HEV PREMIUM SAFETY",'中古車掲載'!J1002=2023,ISNUMBER('中古車掲載'!N1002),'中古車掲載'!N1002&gt;=20000,'中古車掲載'!O1002&lt;=100000,'中古車掲載'!AL1002=1,'中古車掲載'!Z1002="https://www.one2car.com/en/cars-for-sale/toyota/corolla-cross/year-2023"),'中古車掲載'!U1002,"")</x:f>
      </x:c>
      <x:c r="BB1001" t="str">
        <x:f>IF(AND('中古車掲載'!C1002="One2car",'中古車掲載'!F1002="ATTO 3",'中古車掲載'!L1002="EXTENDED RANGE",'中古車掲載'!J1002=2023,ISNUMBER('中古車掲載'!N1002),'中古車掲載'!N1002&gt;=50000,'中古車掲載'!O1002&lt;=100000,'中古車掲載'!AL1002=1),'中古車掲載'!U1002,"")</x:f>
      </x:c>
      <x:c r="BC1001" t="str">
        <x:f>IF(AND('中古車掲載'!C1002="One2car",'中古車掲載'!F1002="Corolla Cross",'中古車掲載'!L1002="HEV PREMIUM SAFETY",'中古車掲載'!J1002=2023,ISNUMBER('中古車掲載'!N1002),'中古車掲載'!N1002&gt;=50000,'中古車掲載'!O1002&lt;=100000,'中古車掲載'!AL1002=1,'中古車掲載'!Z1002="https://www.one2car.com/en/cars-for-sale/toyota/corolla-cross/year-2023"),'中古車掲載'!U1002,"")</x:f>
      </x:c>
      <x:c r="BD1001" t="str">
        <x:f>IF(AND('中古車掲載'!C1002="One2car",'中古車掲載'!F1002="ATTO 3",'中古車掲載'!L1002="EXTENDED RANGE",'中古車掲載'!J1002=2023,ISNUMBER('中古車掲載'!N1002),'中古車掲載'!N1002&gt;=20000,'中古車掲載'!O1002&lt;=50000,'中古車掲載'!AL1002=1),'中古車掲載'!U1002,"")</x:f>
      </x:c>
      <x:c r="BE1001" t="str">
        <x:f>IF(AND('中古車掲載'!C1002="One2car",'中古車掲載'!F1002="Corolla Cross",'中古車掲載'!L1002="HEV PREMIUM SAFETY",'中古車掲載'!J1002=2023,ISNUMBER('中古車掲載'!N1002),'中古車掲載'!N1002&gt;=20000,'中古車掲載'!O1002&lt;=50000,'中古車掲載'!AL1002=1,'中古車掲載'!Z1002="https://www.one2car.com/en/cars-for-sale/toyota/corolla-cross/year-2023"),'中古車掲載'!U1002,"")</x:f>
      </x:c>
      <x:c r="BF1001" t="str">
        <x:f>IF(AND('中古車掲載'!C1002="One2car",'中古車掲載'!F1002="Corolla Cross",'中古車掲載'!L1002="HEV PREMIUM",'中古車掲載'!J1002=2023,ISNUMBER('中古車掲載'!N1002),'中古車掲載'!N1002&gt;=20000,'中古車掲載'!O1002&lt;=100000,'中古車掲載'!AL1002=1,'中古車掲載'!Z1002="https://www.one2car.com/en/cars-for-sale/toyota/corolla-cross/year-2023"),'中古車掲載'!U1002,"")</x:f>
      </x:c>
      <x:c r="BG1001" t="str">
        <x:f>IF(AND('中古車掲載'!C1002="One2car",'中古車掲載'!F1002="Corolla Cross",'中古車掲載'!L1002="HEV GR SPORT",'中古車掲載'!J1002=2023,ISNUMBER('中古車掲載'!N1002),'中古車掲載'!N1002&gt;=20000,'中古車掲載'!O1002&lt;=100000,'中古車掲載'!AL1002=1,'中古車掲載'!Z1002="https://www.one2car.com/en/cars-for-sale/toyota/corolla-cross/year-2023"),'中古車掲載'!U1002,"")</x:f>
      </x:c>
      <x:c r="BH1001" t="str">
        <x:f>IF(AND('中古車掲載'!C1002="One2car",'中古車掲載'!F1002="DOLPHIN",'中古車掲載'!L1002="STANDARD RANGE",'中古車掲載'!J1002=2023,ISNUMBER('中古車掲載'!N1002),'中古車掲載'!N1002&gt;=20000,'中古車掲載'!O1002&lt;=100000,'中古車掲載'!AL1002=1),'中古車掲載'!U1002,"")</x:f>
      </x:c>
      <x:c r="BI1001" t="str">
        <x:v>Taladrod|Yaris Ativ|ICE|Unknown</x:v>
      </x:c>
      <x:c r="BJ1001" t="n">
        <x:v>1002</x:v>
      </x:c>
      <x:c r="BK1001" t="n">
        <x:f>'中古車掲載'!AM1002</x:f>
        <x:v>459000</x:v>
      </x:c>
      <x:c r="BL1001" t="str">
        <x:f>IF(ISNUMBER('中古車掲載'!AN1002),'中古車掲載'!AN1002,"")</x:f>
      </x:c>
    </x:row>
    <x:row r="1002">
      <x:c r="AZ1002" t="str">
        <x:f>IF(AND('中古車掲載'!C1003="One2car",'中古車掲載'!F1003="ATTO 3",'中古車掲載'!L1003="EXTENDED RANGE",'中古車掲載'!J1003=2023,ISNUMBER('中古車掲載'!N1003),'中古車掲載'!N1003&gt;=20000,'中古車掲載'!O1003&lt;=100000,'中古車掲載'!AL1003=1),'中古車掲載'!U1003,"")</x:f>
      </x:c>
      <x:c r="BA1002" t="str">
        <x:f>IF(AND('中古車掲載'!C1003="One2car",'中古車掲載'!F1003="Corolla Cross",'中古車掲載'!L1003="HEV PREMIUM SAFETY",'中古車掲載'!J1003=2023,ISNUMBER('中古車掲載'!N1003),'中古車掲載'!N1003&gt;=20000,'中古車掲載'!O1003&lt;=100000,'中古車掲載'!AL1003=1,'中古車掲載'!Z1003="https://www.one2car.com/en/cars-for-sale/toyota/corolla-cross/year-2023"),'中古車掲載'!U1003,"")</x:f>
      </x:c>
      <x:c r="BB1002" t="str">
        <x:f>IF(AND('中古車掲載'!C1003="One2car",'中古車掲載'!F1003="ATTO 3",'中古車掲載'!L1003="EXTENDED RANGE",'中古車掲載'!J1003=2023,ISNUMBER('中古車掲載'!N1003),'中古車掲載'!N1003&gt;=50000,'中古車掲載'!O1003&lt;=100000,'中古車掲載'!AL1003=1),'中古車掲載'!U1003,"")</x:f>
      </x:c>
      <x:c r="BC1002" t="str">
        <x:f>IF(AND('中古車掲載'!C1003="One2car",'中古車掲載'!F1003="Corolla Cross",'中古車掲載'!L1003="HEV PREMIUM SAFETY",'中古車掲載'!J1003=2023,ISNUMBER('中古車掲載'!N1003),'中古車掲載'!N1003&gt;=50000,'中古車掲載'!O1003&lt;=100000,'中古車掲載'!AL1003=1,'中古車掲載'!Z1003="https://www.one2car.com/en/cars-for-sale/toyota/corolla-cross/year-2023"),'中古車掲載'!U1003,"")</x:f>
      </x:c>
      <x:c r="BD1002" t="str">
        <x:f>IF(AND('中古車掲載'!C1003="One2car",'中古車掲載'!F1003="ATTO 3",'中古車掲載'!L1003="EXTENDED RANGE",'中古車掲載'!J1003=2023,ISNUMBER('中古車掲載'!N1003),'中古車掲載'!N1003&gt;=20000,'中古車掲載'!O1003&lt;=50000,'中古車掲載'!AL1003=1),'中古車掲載'!U1003,"")</x:f>
      </x:c>
      <x:c r="BE1002" t="str">
        <x:f>IF(AND('中古車掲載'!C1003="One2car",'中古車掲載'!F1003="Corolla Cross",'中古車掲載'!L1003="HEV PREMIUM SAFETY",'中古車掲載'!J1003=2023,ISNUMBER('中古車掲載'!N1003),'中古車掲載'!N1003&gt;=20000,'中古車掲載'!O1003&lt;=50000,'中古車掲載'!AL1003=1,'中古車掲載'!Z1003="https://www.one2car.com/en/cars-for-sale/toyota/corolla-cross/year-2023"),'中古車掲載'!U1003,"")</x:f>
      </x:c>
      <x:c r="BF1002" t="str">
        <x:f>IF(AND('中古車掲載'!C1003="One2car",'中古車掲載'!F1003="Corolla Cross",'中古車掲載'!L1003="HEV PREMIUM",'中古車掲載'!J1003=2023,ISNUMBER('中古車掲載'!N1003),'中古車掲載'!N1003&gt;=20000,'中古車掲載'!O1003&lt;=100000,'中古車掲載'!AL1003=1,'中古車掲載'!Z1003="https://www.one2car.com/en/cars-for-sale/toyota/corolla-cross/year-2023"),'中古車掲載'!U1003,"")</x:f>
      </x:c>
      <x:c r="BG1002" t="str">
        <x:f>IF(AND('中古車掲載'!C1003="One2car",'中古車掲載'!F1003="Corolla Cross",'中古車掲載'!L1003="HEV GR SPORT",'中古車掲載'!J1003=2023,ISNUMBER('中古車掲載'!N1003),'中古車掲載'!N1003&gt;=20000,'中古車掲載'!O1003&lt;=100000,'中古車掲載'!AL1003=1,'中古車掲載'!Z1003="https://www.one2car.com/en/cars-for-sale/toyota/corolla-cross/year-2023"),'中古車掲載'!U1003,"")</x:f>
      </x:c>
      <x:c r="BH1002" t="str">
        <x:f>IF(AND('中古車掲載'!C1003="One2car",'中古車掲載'!F1003="DOLPHIN",'中古車掲載'!L1003="STANDARD RANGE",'中古車掲載'!J1003=2023,ISNUMBER('中古車掲載'!N1003),'中古車掲載'!N1003&gt;=20000,'中古車掲載'!O1003&lt;=100000,'中古車掲載'!AL1003=1),'中古車掲載'!U1003,"")</x:f>
      </x:c>
      <x:c r="BI1002" t="str">
        <x:v>Taladrod|Yaris Ativ|ICE|Unknown</x:v>
      </x:c>
      <x:c r="BJ1002" t="n">
        <x:v>1003</x:v>
      </x:c>
      <x:c r="BK1002" t="n">
        <x:f>'中古車掲載'!AM1003</x:f>
        <x:v>528000</x:v>
      </x:c>
      <x:c r="BL1002" t="str">
        <x:f>IF(ISNUMBER('中古車掲載'!AN1003),'中古車掲載'!AN1003,"")</x:f>
      </x:c>
    </x:row>
    <x:row r="1003">
      <x:c r="AZ1003" t="str">
        <x:f>IF(AND('中古車掲載'!C1004="One2car",'中古車掲載'!F1004="ATTO 3",'中古車掲載'!L1004="EXTENDED RANGE",'中古車掲載'!J1004=2023,ISNUMBER('中古車掲載'!N1004),'中古車掲載'!N1004&gt;=20000,'中古車掲載'!O1004&lt;=100000,'中古車掲載'!AL1004=1),'中古車掲載'!U1004,"")</x:f>
      </x:c>
      <x:c r="BA1003" t="str">
        <x:f>IF(AND('中古車掲載'!C1004="One2car",'中古車掲載'!F1004="Corolla Cross",'中古車掲載'!L1004="HEV PREMIUM SAFETY",'中古車掲載'!J1004=2023,ISNUMBER('中古車掲載'!N1004),'中古車掲載'!N1004&gt;=20000,'中古車掲載'!O1004&lt;=100000,'中古車掲載'!AL1004=1,'中古車掲載'!Z1004="https://www.one2car.com/en/cars-for-sale/toyota/corolla-cross/year-2023"),'中古車掲載'!U1004,"")</x:f>
      </x:c>
      <x:c r="BB1003" t="str">
        <x:f>IF(AND('中古車掲載'!C1004="One2car",'中古車掲載'!F1004="ATTO 3",'中古車掲載'!L1004="EXTENDED RANGE",'中古車掲載'!J1004=2023,ISNUMBER('中古車掲載'!N1004),'中古車掲載'!N1004&gt;=50000,'中古車掲載'!O1004&lt;=100000,'中古車掲載'!AL1004=1),'中古車掲載'!U1004,"")</x:f>
      </x:c>
      <x:c r="BC1003" t="str">
        <x:f>IF(AND('中古車掲載'!C1004="One2car",'中古車掲載'!F1004="Corolla Cross",'中古車掲載'!L1004="HEV PREMIUM SAFETY",'中古車掲載'!J1004=2023,ISNUMBER('中古車掲載'!N1004),'中古車掲載'!N1004&gt;=50000,'中古車掲載'!O1004&lt;=100000,'中古車掲載'!AL1004=1,'中古車掲載'!Z1004="https://www.one2car.com/en/cars-for-sale/toyota/corolla-cross/year-2023"),'中古車掲載'!U1004,"")</x:f>
      </x:c>
      <x:c r="BD1003" t="str">
        <x:f>IF(AND('中古車掲載'!C1004="One2car",'中古車掲載'!F1004="ATTO 3",'中古車掲載'!L1004="EXTENDED RANGE",'中古車掲載'!J1004=2023,ISNUMBER('中古車掲載'!N1004),'中古車掲載'!N1004&gt;=20000,'中古車掲載'!O1004&lt;=50000,'中古車掲載'!AL1004=1),'中古車掲載'!U1004,"")</x:f>
      </x:c>
      <x:c r="BE1003" t="str">
        <x:f>IF(AND('中古車掲載'!C1004="One2car",'中古車掲載'!F1004="Corolla Cross",'中古車掲載'!L1004="HEV PREMIUM SAFETY",'中古車掲載'!J1004=2023,ISNUMBER('中古車掲載'!N1004),'中古車掲載'!N1004&gt;=20000,'中古車掲載'!O1004&lt;=50000,'中古車掲載'!AL1004=1,'中古車掲載'!Z1004="https://www.one2car.com/en/cars-for-sale/toyota/corolla-cross/year-2023"),'中古車掲載'!U1004,"")</x:f>
      </x:c>
      <x:c r="BF1003" t="str">
        <x:f>IF(AND('中古車掲載'!C1004="One2car",'中古車掲載'!F1004="Corolla Cross",'中古車掲載'!L1004="HEV PREMIUM",'中古車掲載'!J1004=2023,ISNUMBER('中古車掲載'!N1004),'中古車掲載'!N1004&gt;=20000,'中古車掲載'!O1004&lt;=100000,'中古車掲載'!AL1004=1,'中古車掲載'!Z1004="https://www.one2car.com/en/cars-for-sale/toyota/corolla-cross/year-2023"),'中古車掲載'!U1004,"")</x:f>
      </x:c>
      <x:c r="BG1003" t="str">
        <x:f>IF(AND('中古車掲載'!C1004="One2car",'中古車掲載'!F1004="Corolla Cross",'中古車掲載'!L1004="HEV GR SPORT",'中古車掲載'!J1004=2023,ISNUMBER('中古車掲載'!N1004),'中古車掲載'!N1004&gt;=20000,'中古車掲載'!O1004&lt;=100000,'中古車掲載'!AL1004=1,'中古車掲載'!Z1004="https://www.one2car.com/en/cars-for-sale/toyota/corolla-cross/year-2023"),'中古車掲載'!U1004,"")</x:f>
      </x:c>
      <x:c r="BH1003" t="str">
        <x:f>IF(AND('中古車掲載'!C1004="One2car",'中古車掲載'!F1004="DOLPHIN",'中古車掲載'!L1004="STANDARD RANGE",'中古車掲載'!J1004=2023,ISNUMBER('中古車掲載'!N1004),'中古車掲載'!N1004&gt;=20000,'中古車掲載'!O1004&lt;=100000,'中古車掲載'!AL1004=1),'中古車掲載'!U1004,"")</x:f>
      </x:c>
      <x:c r="BI1003" t="str">
        <x:v>Taladrod|Yaris Ativ|ICE|Unknown</x:v>
      </x:c>
      <x:c r="BJ1003" t="n">
        <x:v>1004</x:v>
      </x:c>
      <x:c r="BK1003" t="n">
        <x:f>'中古車掲載'!AM1004</x:f>
        <x:v>484000</x:v>
      </x:c>
      <x:c r="BL1003" t="str">
        <x:f>IF(ISNUMBER('中古車掲載'!AN1004),'中古車掲載'!AN1004,"")</x:f>
      </x:c>
    </x:row>
    <x:row r="1004">
      <x:c r="AZ1004" t="str">
        <x:f>IF(AND('中古車掲載'!C1005="One2car",'中古車掲載'!F1005="ATTO 3",'中古車掲載'!L1005="EXTENDED RANGE",'中古車掲載'!J1005=2023,ISNUMBER('中古車掲載'!N1005),'中古車掲載'!N1005&gt;=20000,'中古車掲載'!O1005&lt;=100000,'中古車掲載'!AL1005=1),'中古車掲載'!U1005,"")</x:f>
      </x:c>
      <x:c r="BA1004" t="str">
        <x:f>IF(AND('中古車掲載'!C1005="One2car",'中古車掲載'!F1005="Corolla Cross",'中古車掲載'!L1005="HEV PREMIUM SAFETY",'中古車掲載'!J1005=2023,ISNUMBER('中古車掲載'!N1005),'中古車掲載'!N1005&gt;=20000,'中古車掲載'!O1005&lt;=100000,'中古車掲載'!AL1005=1,'中古車掲載'!Z1005="https://www.one2car.com/en/cars-for-sale/toyota/corolla-cross/year-2023"),'中古車掲載'!U1005,"")</x:f>
      </x:c>
      <x:c r="BB1004" t="str">
        <x:f>IF(AND('中古車掲載'!C1005="One2car",'中古車掲載'!F1005="ATTO 3",'中古車掲載'!L1005="EXTENDED RANGE",'中古車掲載'!J1005=2023,ISNUMBER('中古車掲載'!N1005),'中古車掲載'!N1005&gt;=50000,'中古車掲載'!O1005&lt;=100000,'中古車掲載'!AL1005=1),'中古車掲載'!U1005,"")</x:f>
      </x:c>
      <x:c r="BC1004" t="str">
        <x:f>IF(AND('中古車掲載'!C1005="One2car",'中古車掲載'!F1005="Corolla Cross",'中古車掲載'!L1005="HEV PREMIUM SAFETY",'中古車掲載'!J1005=2023,ISNUMBER('中古車掲載'!N1005),'中古車掲載'!N1005&gt;=50000,'中古車掲載'!O1005&lt;=100000,'中古車掲載'!AL1005=1,'中古車掲載'!Z1005="https://www.one2car.com/en/cars-for-sale/toyota/corolla-cross/year-2023"),'中古車掲載'!U1005,"")</x:f>
      </x:c>
      <x:c r="BD1004" t="str">
        <x:f>IF(AND('中古車掲載'!C1005="One2car",'中古車掲載'!F1005="ATTO 3",'中古車掲載'!L1005="EXTENDED RANGE",'中古車掲載'!J1005=2023,ISNUMBER('中古車掲載'!N1005),'中古車掲載'!N1005&gt;=20000,'中古車掲載'!O1005&lt;=50000,'中古車掲載'!AL1005=1),'中古車掲載'!U1005,"")</x:f>
      </x:c>
      <x:c r="BE1004" t="str">
        <x:f>IF(AND('中古車掲載'!C1005="One2car",'中古車掲載'!F1005="Corolla Cross",'中古車掲載'!L1005="HEV PREMIUM SAFETY",'中古車掲載'!J1005=2023,ISNUMBER('中古車掲載'!N1005),'中古車掲載'!N1005&gt;=20000,'中古車掲載'!O1005&lt;=50000,'中古車掲載'!AL1005=1,'中古車掲載'!Z1005="https://www.one2car.com/en/cars-for-sale/toyota/corolla-cross/year-2023"),'中古車掲載'!U1005,"")</x:f>
      </x:c>
      <x:c r="BF1004" t="str">
        <x:f>IF(AND('中古車掲載'!C1005="One2car",'中古車掲載'!F1005="Corolla Cross",'中古車掲載'!L1005="HEV PREMIUM",'中古車掲載'!J1005=2023,ISNUMBER('中古車掲載'!N1005),'中古車掲載'!N1005&gt;=20000,'中古車掲載'!O1005&lt;=100000,'中古車掲載'!AL1005=1,'中古車掲載'!Z1005="https://www.one2car.com/en/cars-for-sale/toyota/corolla-cross/year-2023"),'中古車掲載'!U1005,"")</x:f>
      </x:c>
      <x:c r="BG1004" t="str">
        <x:f>IF(AND('中古車掲載'!C1005="One2car",'中古車掲載'!F1005="Corolla Cross",'中古車掲載'!L1005="HEV GR SPORT",'中古車掲載'!J1005=2023,ISNUMBER('中古車掲載'!N1005),'中古車掲載'!N1005&gt;=20000,'中古車掲載'!O1005&lt;=100000,'中古車掲載'!AL1005=1,'中古車掲載'!Z1005="https://www.one2car.com/en/cars-for-sale/toyota/corolla-cross/year-2023"),'中古車掲載'!U1005,"")</x:f>
      </x:c>
      <x:c r="BH1004" t="str">
        <x:f>IF(AND('中古車掲載'!C1005="One2car",'中古車掲載'!F1005="DOLPHIN",'中古車掲載'!L1005="STANDARD RANGE",'中古車掲載'!J1005=2023,ISNUMBER('中古車掲載'!N1005),'中古車掲載'!N1005&gt;=20000,'中古車掲載'!O1005&lt;=100000,'中古車掲載'!AL1005=1),'中古車掲載'!U1005,"")</x:f>
      </x:c>
      <x:c r="BI1004" t="str">
        <x:v>Taladrod|Yaris Ativ|ICE|Unknown</x:v>
      </x:c>
      <x:c r="BJ1004" t="n">
        <x:v>1005</x:v>
      </x:c>
      <x:c r="BK1004" t="n">
        <x:f>'中古車掲載'!AM1005</x:f>
        <x:v>479000</x:v>
      </x:c>
      <x:c r="BL1004" t="str">
        <x:f>IF(ISNUMBER('中古車掲載'!AN1005),'中古車掲載'!AN1005,"")</x:f>
      </x:c>
    </x:row>
    <x:row r="1005">
      <x:c r="AZ1005" t="str">
        <x:f>IF(AND('中古車掲載'!C1006="One2car",'中古車掲載'!F1006="ATTO 3",'中古車掲載'!L1006="EXTENDED RANGE",'中古車掲載'!J1006=2023,ISNUMBER('中古車掲載'!N1006),'中古車掲載'!N1006&gt;=20000,'中古車掲載'!O1006&lt;=100000,'中古車掲載'!AL1006=1),'中古車掲載'!U1006,"")</x:f>
      </x:c>
      <x:c r="BA1005" t="str">
        <x:f>IF(AND('中古車掲載'!C1006="One2car",'中古車掲載'!F1006="Corolla Cross",'中古車掲載'!L1006="HEV PREMIUM SAFETY",'中古車掲載'!J1006=2023,ISNUMBER('中古車掲載'!N1006),'中古車掲載'!N1006&gt;=20000,'中古車掲載'!O1006&lt;=100000,'中古車掲載'!AL1006=1,'中古車掲載'!Z1006="https://www.one2car.com/en/cars-for-sale/toyota/corolla-cross/year-2023"),'中古車掲載'!U1006,"")</x:f>
      </x:c>
      <x:c r="BB1005" t="str">
        <x:f>IF(AND('中古車掲載'!C1006="One2car",'中古車掲載'!F1006="ATTO 3",'中古車掲載'!L1006="EXTENDED RANGE",'中古車掲載'!J1006=2023,ISNUMBER('中古車掲載'!N1006),'中古車掲載'!N1006&gt;=50000,'中古車掲載'!O1006&lt;=100000,'中古車掲載'!AL1006=1),'中古車掲載'!U1006,"")</x:f>
      </x:c>
      <x:c r="BC1005" t="str">
        <x:f>IF(AND('中古車掲載'!C1006="One2car",'中古車掲載'!F1006="Corolla Cross",'中古車掲載'!L1006="HEV PREMIUM SAFETY",'中古車掲載'!J1006=2023,ISNUMBER('中古車掲載'!N1006),'中古車掲載'!N1006&gt;=50000,'中古車掲載'!O1006&lt;=100000,'中古車掲載'!AL1006=1,'中古車掲載'!Z1006="https://www.one2car.com/en/cars-for-sale/toyota/corolla-cross/year-2023"),'中古車掲載'!U1006,"")</x:f>
      </x:c>
      <x:c r="BD1005" t="str">
        <x:f>IF(AND('中古車掲載'!C1006="One2car",'中古車掲載'!F1006="ATTO 3",'中古車掲載'!L1006="EXTENDED RANGE",'中古車掲載'!J1006=2023,ISNUMBER('中古車掲載'!N1006),'中古車掲載'!N1006&gt;=20000,'中古車掲載'!O1006&lt;=50000,'中古車掲載'!AL1006=1),'中古車掲載'!U1006,"")</x:f>
      </x:c>
      <x:c r="BE1005" t="str">
        <x:f>IF(AND('中古車掲載'!C1006="One2car",'中古車掲載'!F1006="Corolla Cross",'中古車掲載'!L1006="HEV PREMIUM SAFETY",'中古車掲載'!J1006=2023,ISNUMBER('中古車掲載'!N1006),'中古車掲載'!N1006&gt;=20000,'中古車掲載'!O1006&lt;=50000,'中古車掲載'!AL1006=1,'中古車掲載'!Z1006="https://www.one2car.com/en/cars-for-sale/toyota/corolla-cross/year-2023"),'中古車掲載'!U1006,"")</x:f>
      </x:c>
      <x:c r="BF1005" t="str">
        <x:f>IF(AND('中古車掲載'!C1006="One2car",'中古車掲載'!F1006="Corolla Cross",'中古車掲載'!L1006="HEV PREMIUM",'中古車掲載'!J1006=2023,ISNUMBER('中古車掲載'!N1006),'中古車掲載'!N1006&gt;=20000,'中古車掲載'!O1006&lt;=100000,'中古車掲載'!AL1006=1,'中古車掲載'!Z1006="https://www.one2car.com/en/cars-for-sale/toyota/corolla-cross/year-2023"),'中古車掲載'!U1006,"")</x:f>
      </x:c>
      <x:c r="BG1005" t="str">
        <x:f>IF(AND('中古車掲載'!C1006="One2car",'中古車掲載'!F1006="Corolla Cross",'中古車掲載'!L1006="HEV GR SPORT",'中古車掲載'!J1006=2023,ISNUMBER('中古車掲載'!N1006),'中古車掲載'!N1006&gt;=20000,'中古車掲載'!O1006&lt;=100000,'中古車掲載'!AL1006=1,'中古車掲載'!Z1006="https://www.one2car.com/en/cars-for-sale/toyota/corolla-cross/year-2023"),'中古車掲載'!U1006,"")</x:f>
      </x:c>
      <x:c r="BH1005" t="str">
        <x:f>IF(AND('中古車掲載'!C1006="One2car",'中古車掲載'!F1006="DOLPHIN",'中古車掲載'!L1006="STANDARD RANGE",'中古車掲載'!J1006=2023,ISNUMBER('中古車掲載'!N1006),'中古車掲載'!N1006&gt;=20000,'中古車掲載'!O1006&lt;=100000,'中古車掲載'!AL1006=1),'中古車掲載'!U1006,"")</x:f>
      </x:c>
      <x:c r="BI1005" t="str">
        <x:v>Taladrod|Yaris Ativ|ICE|Unknown</x:v>
      </x:c>
      <x:c r="BJ1005" t="n">
        <x:v>1006</x:v>
      </x:c>
      <x:c r="BK1005" t="n">
        <x:f>'中古車掲載'!AM1006</x:f>
        <x:v>478000</x:v>
      </x:c>
      <x:c r="BL1005" t="str">
        <x:f>IF(ISNUMBER('中古車掲載'!AN1006),'中古車掲載'!AN1006,"")</x:f>
      </x:c>
    </x:row>
    <x:row r="1006">
      <x:c r="AZ1006" t="str">
        <x:f>IF(AND('中古車掲載'!C1007="One2car",'中古車掲載'!F1007="ATTO 3",'中古車掲載'!L1007="EXTENDED RANGE",'中古車掲載'!J1007=2023,ISNUMBER('中古車掲載'!N1007),'中古車掲載'!N1007&gt;=20000,'中古車掲載'!O1007&lt;=100000,'中古車掲載'!AL1007=1),'中古車掲載'!U1007,"")</x:f>
      </x:c>
      <x:c r="BA1006" t="str">
        <x:f>IF(AND('中古車掲載'!C1007="One2car",'中古車掲載'!F1007="Corolla Cross",'中古車掲載'!L1007="HEV PREMIUM SAFETY",'中古車掲載'!J1007=2023,ISNUMBER('中古車掲載'!N1007),'中古車掲載'!N1007&gt;=20000,'中古車掲載'!O1007&lt;=100000,'中古車掲載'!AL1007=1,'中古車掲載'!Z1007="https://www.one2car.com/en/cars-for-sale/toyota/corolla-cross/year-2023"),'中古車掲載'!U1007,"")</x:f>
      </x:c>
      <x:c r="BB1006" t="str">
        <x:f>IF(AND('中古車掲載'!C1007="One2car",'中古車掲載'!F1007="ATTO 3",'中古車掲載'!L1007="EXTENDED RANGE",'中古車掲載'!J1007=2023,ISNUMBER('中古車掲載'!N1007),'中古車掲載'!N1007&gt;=50000,'中古車掲載'!O1007&lt;=100000,'中古車掲載'!AL1007=1),'中古車掲載'!U1007,"")</x:f>
      </x:c>
      <x:c r="BC1006" t="str">
        <x:f>IF(AND('中古車掲載'!C1007="One2car",'中古車掲載'!F1007="Corolla Cross",'中古車掲載'!L1007="HEV PREMIUM SAFETY",'中古車掲載'!J1007=2023,ISNUMBER('中古車掲載'!N1007),'中古車掲載'!N1007&gt;=50000,'中古車掲載'!O1007&lt;=100000,'中古車掲載'!AL1007=1,'中古車掲載'!Z1007="https://www.one2car.com/en/cars-for-sale/toyota/corolla-cross/year-2023"),'中古車掲載'!U1007,"")</x:f>
      </x:c>
      <x:c r="BD1006" t="str">
        <x:f>IF(AND('中古車掲載'!C1007="One2car",'中古車掲載'!F1007="ATTO 3",'中古車掲載'!L1007="EXTENDED RANGE",'中古車掲載'!J1007=2023,ISNUMBER('中古車掲載'!N1007),'中古車掲載'!N1007&gt;=20000,'中古車掲載'!O1007&lt;=50000,'中古車掲載'!AL1007=1),'中古車掲載'!U1007,"")</x:f>
      </x:c>
      <x:c r="BE1006" t="str">
        <x:f>IF(AND('中古車掲載'!C1007="One2car",'中古車掲載'!F1007="Corolla Cross",'中古車掲載'!L1007="HEV PREMIUM SAFETY",'中古車掲載'!J1007=2023,ISNUMBER('中古車掲載'!N1007),'中古車掲載'!N1007&gt;=20000,'中古車掲載'!O1007&lt;=50000,'中古車掲載'!AL1007=1,'中古車掲載'!Z1007="https://www.one2car.com/en/cars-for-sale/toyota/corolla-cross/year-2023"),'中古車掲載'!U1007,"")</x:f>
      </x:c>
      <x:c r="BF1006" t="str">
        <x:f>IF(AND('中古車掲載'!C1007="One2car",'中古車掲載'!F1007="Corolla Cross",'中古車掲載'!L1007="HEV PREMIUM",'中古車掲載'!J1007=2023,ISNUMBER('中古車掲載'!N1007),'中古車掲載'!N1007&gt;=20000,'中古車掲載'!O1007&lt;=100000,'中古車掲載'!AL1007=1,'中古車掲載'!Z1007="https://www.one2car.com/en/cars-for-sale/toyota/corolla-cross/year-2023"),'中古車掲載'!U1007,"")</x:f>
      </x:c>
      <x:c r="BG1006" t="str">
        <x:f>IF(AND('中古車掲載'!C1007="One2car",'中古車掲載'!F1007="Corolla Cross",'中古車掲載'!L1007="HEV GR SPORT",'中古車掲載'!J1007=2023,ISNUMBER('中古車掲載'!N1007),'中古車掲載'!N1007&gt;=20000,'中古車掲載'!O1007&lt;=100000,'中古車掲載'!AL1007=1,'中古車掲載'!Z1007="https://www.one2car.com/en/cars-for-sale/toyota/corolla-cross/year-2023"),'中古車掲載'!U1007,"")</x:f>
      </x:c>
      <x:c r="BH1006" t="str">
        <x:f>IF(AND('中古車掲載'!C1007="One2car",'中古車掲載'!F1007="DOLPHIN",'中古車掲載'!L1007="STANDARD RANGE",'中古車掲載'!J1007=2023,ISNUMBER('中古車掲載'!N1007),'中古車掲載'!N1007&gt;=20000,'中古車掲載'!O1007&lt;=100000,'中古車掲載'!AL1007=1),'中古車掲載'!U1007,"")</x:f>
      </x:c>
      <x:c r="BI1006" t="str">
        <x:v>Taladrod|Yaris Ativ|ICE|Unknown</x:v>
      </x:c>
      <x:c r="BJ1006" t="n">
        <x:v>1007</x:v>
      </x:c>
      <x:c r="BK1006" t="n">
        <x:f>'中古車掲載'!AM1007</x:f>
        <x:v>484000</x:v>
      </x:c>
      <x:c r="BL1006" t="str">
        <x:f>IF(ISNUMBER('中古車掲載'!AN1007),'中古車掲載'!AN1007,"")</x:f>
      </x:c>
    </x:row>
    <x:row r="1007">
      <x:c r="AZ1007" t="str">
        <x:f>IF(AND('中古車掲載'!C1008="One2car",'中古車掲載'!F1008="ATTO 3",'中古車掲載'!L1008="EXTENDED RANGE",'中古車掲載'!J1008=2023,ISNUMBER('中古車掲載'!N1008),'中古車掲載'!N1008&gt;=20000,'中古車掲載'!O1008&lt;=100000,'中古車掲載'!AL1008=1),'中古車掲載'!U1008,"")</x:f>
      </x:c>
      <x:c r="BA1007" t="str">
        <x:f>IF(AND('中古車掲載'!C1008="One2car",'中古車掲載'!F1008="Corolla Cross",'中古車掲載'!L1008="HEV PREMIUM SAFETY",'中古車掲載'!J1008=2023,ISNUMBER('中古車掲載'!N1008),'中古車掲載'!N1008&gt;=20000,'中古車掲載'!O1008&lt;=100000,'中古車掲載'!AL1008=1,'中古車掲載'!Z1008="https://www.one2car.com/en/cars-for-sale/toyota/corolla-cross/year-2023"),'中古車掲載'!U1008,"")</x:f>
      </x:c>
      <x:c r="BB1007" t="str">
        <x:f>IF(AND('中古車掲載'!C1008="One2car",'中古車掲載'!F1008="ATTO 3",'中古車掲載'!L1008="EXTENDED RANGE",'中古車掲載'!J1008=2023,ISNUMBER('中古車掲載'!N1008),'中古車掲載'!N1008&gt;=50000,'中古車掲載'!O1008&lt;=100000,'中古車掲載'!AL1008=1),'中古車掲載'!U1008,"")</x:f>
      </x:c>
      <x:c r="BC1007" t="str">
        <x:f>IF(AND('中古車掲載'!C1008="One2car",'中古車掲載'!F1008="Corolla Cross",'中古車掲載'!L1008="HEV PREMIUM SAFETY",'中古車掲載'!J1008=2023,ISNUMBER('中古車掲載'!N1008),'中古車掲載'!N1008&gt;=50000,'中古車掲載'!O1008&lt;=100000,'中古車掲載'!AL1008=1,'中古車掲載'!Z1008="https://www.one2car.com/en/cars-for-sale/toyota/corolla-cross/year-2023"),'中古車掲載'!U1008,"")</x:f>
      </x:c>
      <x:c r="BD1007" t="str">
        <x:f>IF(AND('中古車掲載'!C1008="One2car",'中古車掲載'!F1008="ATTO 3",'中古車掲載'!L1008="EXTENDED RANGE",'中古車掲載'!J1008=2023,ISNUMBER('中古車掲載'!N1008),'中古車掲載'!N1008&gt;=20000,'中古車掲載'!O1008&lt;=50000,'中古車掲載'!AL1008=1),'中古車掲載'!U1008,"")</x:f>
      </x:c>
      <x:c r="BE1007" t="str">
        <x:f>IF(AND('中古車掲載'!C1008="One2car",'中古車掲載'!F1008="Corolla Cross",'中古車掲載'!L1008="HEV PREMIUM SAFETY",'中古車掲載'!J1008=2023,ISNUMBER('中古車掲載'!N1008),'中古車掲載'!N1008&gt;=20000,'中古車掲載'!O1008&lt;=50000,'中古車掲載'!AL1008=1,'中古車掲載'!Z1008="https://www.one2car.com/en/cars-for-sale/toyota/corolla-cross/year-2023"),'中古車掲載'!U1008,"")</x:f>
      </x:c>
      <x:c r="BF1007" t="str">
        <x:f>IF(AND('中古車掲載'!C1008="One2car",'中古車掲載'!F1008="Corolla Cross",'中古車掲載'!L1008="HEV PREMIUM",'中古車掲載'!J1008=2023,ISNUMBER('中古車掲載'!N1008),'中古車掲載'!N1008&gt;=20000,'中古車掲載'!O1008&lt;=100000,'中古車掲載'!AL1008=1,'中古車掲載'!Z1008="https://www.one2car.com/en/cars-for-sale/toyota/corolla-cross/year-2023"),'中古車掲載'!U1008,"")</x:f>
      </x:c>
      <x:c r="BG1007" t="str">
        <x:f>IF(AND('中古車掲載'!C1008="One2car",'中古車掲載'!F1008="Corolla Cross",'中古車掲載'!L1008="HEV GR SPORT",'中古車掲載'!J1008=2023,ISNUMBER('中古車掲載'!N1008),'中古車掲載'!N1008&gt;=20000,'中古車掲載'!O1008&lt;=100000,'中古車掲載'!AL1008=1,'中古車掲載'!Z1008="https://www.one2car.com/en/cars-for-sale/toyota/corolla-cross/year-2023"),'中古車掲載'!U1008,"")</x:f>
      </x:c>
      <x:c r="BH1007" t="str">
        <x:f>IF(AND('中古車掲載'!C1008="One2car",'中古車掲載'!F1008="DOLPHIN",'中古車掲載'!L1008="STANDARD RANGE",'中古車掲載'!J1008=2023,ISNUMBER('中古車掲載'!N1008),'中古車掲載'!N1008&gt;=20000,'中古車掲載'!O1008&lt;=100000,'中古車掲載'!AL1008=1),'中古車掲載'!U1008,"")</x:f>
      </x:c>
      <x:c r="BI1007" t="str">
        <x:v>Taladrod|Yaris Ativ|ICE|Unknown</x:v>
      </x:c>
      <x:c r="BJ1007" t="n">
        <x:v>1008</x:v>
      </x:c>
      <x:c r="BK1007" t="n">
        <x:f>'中古車掲載'!AM1008</x:f>
        <x:v>399000</x:v>
      </x:c>
      <x:c r="BL1007" t="str">
        <x:f>IF(ISNUMBER('中古車掲載'!AN1008),'中古車掲載'!AN1008,"")</x:f>
      </x:c>
    </x:row>
    <x:row r="1008">
      <x:c r="AZ1008" t="str">
        <x:f>IF(AND('中古車掲載'!C1009="One2car",'中古車掲載'!F1009="ATTO 3",'中古車掲載'!L1009="EXTENDED RANGE",'中古車掲載'!J1009=2023,ISNUMBER('中古車掲載'!N1009),'中古車掲載'!N1009&gt;=20000,'中古車掲載'!O1009&lt;=100000,'中古車掲載'!AL1009=1),'中古車掲載'!U1009,"")</x:f>
      </x:c>
      <x:c r="BA1008" t="str">
        <x:f>IF(AND('中古車掲載'!C1009="One2car",'中古車掲載'!F1009="Corolla Cross",'中古車掲載'!L1009="HEV PREMIUM SAFETY",'中古車掲載'!J1009=2023,ISNUMBER('中古車掲載'!N1009),'中古車掲載'!N1009&gt;=20000,'中古車掲載'!O1009&lt;=100000,'中古車掲載'!AL1009=1,'中古車掲載'!Z1009="https://www.one2car.com/en/cars-for-sale/toyota/corolla-cross/year-2023"),'中古車掲載'!U1009,"")</x:f>
      </x:c>
      <x:c r="BB1008" t="str">
        <x:f>IF(AND('中古車掲載'!C1009="One2car",'中古車掲載'!F1009="ATTO 3",'中古車掲載'!L1009="EXTENDED RANGE",'中古車掲載'!J1009=2023,ISNUMBER('中古車掲載'!N1009),'中古車掲載'!N1009&gt;=50000,'中古車掲載'!O1009&lt;=100000,'中古車掲載'!AL1009=1),'中古車掲載'!U1009,"")</x:f>
      </x:c>
      <x:c r="BC1008" t="str">
        <x:f>IF(AND('中古車掲載'!C1009="One2car",'中古車掲載'!F1009="Corolla Cross",'中古車掲載'!L1009="HEV PREMIUM SAFETY",'中古車掲載'!J1009=2023,ISNUMBER('中古車掲載'!N1009),'中古車掲載'!N1009&gt;=50000,'中古車掲載'!O1009&lt;=100000,'中古車掲載'!AL1009=1,'中古車掲載'!Z1009="https://www.one2car.com/en/cars-for-sale/toyota/corolla-cross/year-2023"),'中古車掲載'!U1009,"")</x:f>
      </x:c>
      <x:c r="BD1008" t="str">
        <x:f>IF(AND('中古車掲載'!C1009="One2car",'中古車掲載'!F1009="ATTO 3",'中古車掲載'!L1009="EXTENDED RANGE",'中古車掲載'!J1009=2023,ISNUMBER('中古車掲載'!N1009),'中古車掲載'!N1009&gt;=20000,'中古車掲載'!O1009&lt;=50000,'中古車掲載'!AL1009=1),'中古車掲載'!U1009,"")</x:f>
      </x:c>
      <x:c r="BE1008" t="str">
        <x:f>IF(AND('中古車掲載'!C1009="One2car",'中古車掲載'!F1009="Corolla Cross",'中古車掲載'!L1009="HEV PREMIUM SAFETY",'中古車掲載'!J1009=2023,ISNUMBER('中古車掲載'!N1009),'中古車掲載'!N1009&gt;=20000,'中古車掲載'!O1009&lt;=50000,'中古車掲載'!AL1009=1,'中古車掲載'!Z1009="https://www.one2car.com/en/cars-for-sale/toyota/corolla-cross/year-2023"),'中古車掲載'!U1009,"")</x:f>
      </x:c>
      <x:c r="BF1008" t="str">
        <x:f>IF(AND('中古車掲載'!C1009="One2car",'中古車掲載'!F1009="Corolla Cross",'中古車掲載'!L1009="HEV PREMIUM",'中古車掲載'!J1009=2023,ISNUMBER('中古車掲載'!N1009),'中古車掲載'!N1009&gt;=20000,'中古車掲載'!O1009&lt;=100000,'中古車掲載'!AL1009=1,'中古車掲載'!Z1009="https://www.one2car.com/en/cars-for-sale/toyota/corolla-cross/year-2023"),'中古車掲載'!U1009,"")</x:f>
      </x:c>
      <x:c r="BG1008" t="str">
        <x:f>IF(AND('中古車掲載'!C1009="One2car",'中古車掲載'!F1009="Corolla Cross",'中古車掲載'!L1009="HEV GR SPORT",'中古車掲載'!J1009=2023,ISNUMBER('中古車掲載'!N1009),'中古車掲載'!N1009&gt;=20000,'中古車掲載'!O1009&lt;=100000,'中古車掲載'!AL1009=1,'中古車掲載'!Z1009="https://www.one2car.com/en/cars-for-sale/toyota/corolla-cross/year-2023"),'中古車掲載'!U1009,"")</x:f>
      </x:c>
      <x:c r="BH1008" t="str">
        <x:f>IF(AND('中古車掲載'!C1009="One2car",'中古車掲載'!F1009="DOLPHIN",'中古車掲載'!L1009="STANDARD RANGE",'中古車掲載'!J1009=2023,ISNUMBER('中古車掲載'!N1009),'中古車掲載'!N1009&gt;=20000,'中古車掲載'!O1009&lt;=100000,'中古車掲載'!AL1009=1),'中古車掲載'!U1009,"")</x:f>
      </x:c>
      <x:c r="BI1008" t="str">
        <x:v>Taladrod|Yaris Ativ|ICE|Unknown</x:v>
      </x:c>
      <x:c r="BJ1008" t="n">
        <x:v>1009</x:v>
      </x:c>
      <x:c r="BK1008" t="n">
        <x:f>'中古車掲載'!AM1009</x:f>
        <x:v>479000</x:v>
      </x:c>
      <x:c r="BL1008" t="str">
        <x:f>IF(ISNUMBER('中古車掲載'!AN1009),'中古車掲載'!AN1009,"")</x:f>
      </x:c>
    </x:row>
    <x:row r="1009">
      <x:c r="AZ1009" t="str">
        <x:f>IF(AND('中古車掲載'!C1010="One2car",'中古車掲載'!F1010="ATTO 3",'中古車掲載'!L1010="EXTENDED RANGE",'中古車掲載'!J1010=2023,ISNUMBER('中古車掲載'!N1010),'中古車掲載'!N1010&gt;=20000,'中古車掲載'!O1010&lt;=100000,'中古車掲載'!AL1010=1),'中古車掲載'!U1010,"")</x:f>
      </x:c>
      <x:c r="BA1009" t="str">
        <x:f>IF(AND('中古車掲載'!C1010="One2car",'中古車掲載'!F1010="Corolla Cross",'中古車掲載'!L1010="HEV PREMIUM SAFETY",'中古車掲載'!J1010=2023,ISNUMBER('中古車掲載'!N1010),'中古車掲載'!N1010&gt;=20000,'中古車掲載'!O1010&lt;=100000,'中古車掲載'!AL1010=1,'中古車掲載'!Z1010="https://www.one2car.com/en/cars-for-sale/toyota/corolla-cross/year-2023"),'中古車掲載'!U1010,"")</x:f>
      </x:c>
      <x:c r="BB1009" t="str">
        <x:f>IF(AND('中古車掲載'!C1010="One2car",'中古車掲載'!F1010="ATTO 3",'中古車掲載'!L1010="EXTENDED RANGE",'中古車掲載'!J1010=2023,ISNUMBER('中古車掲載'!N1010),'中古車掲載'!N1010&gt;=50000,'中古車掲載'!O1010&lt;=100000,'中古車掲載'!AL1010=1),'中古車掲載'!U1010,"")</x:f>
      </x:c>
      <x:c r="BC1009" t="str">
        <x:f>IF(AND('中古車掲載'!C1010="One2car",'中古車掲載'!F1010="Corolla Cross",'中古車掲載'!L1010="HEV PREMIUM SAFETY",'中古車掲載'!J1010=2023,ISNUMBER('中古車掲載'!N1010),'中古車掲載'!N1010&gt;=50000,'中古車掲載'!O1010&lt;=100000,'中古車掲載'!AL1010=1,'中古車掲載'!Z1010="https://www.one2car.com/en/cars-for-sale/toyota/corolla-cross/year-2023"),'中古車掲載'!U1010,"")</x:f>
      </x:c>
      <x:c r="BD1009" t="str">
        <x:f>IF(AND('中古車掲載'!C1010="One2car",'中古車掲載'!F1010="ATTO 3",'中古車掲載'!L1010="EXTENDED RANGE",'中古車掲載'!J1010=2023,ISNUMBER('中古車掲載'!N1010),'中古車掲載'!N1010&gt;=20000,'中古車掲載'!O1010&lt;=50000,'中古車掲載'!AL1010=1),'中古車掲載'!U1010,"")</x:f>
      </x:c>
      <x:c r="BE1009" t="str">
        <x:f>IF(AND('中古車掲載'!C1010="One2car",'中古車掲載'!F1010="Corolla Cross",'中古車掲載'!L1010="HEV PREMIUM SAFETY",'中古車掲載'!J1010=2023,ISNUMBER('中古車掲載'!N1010),'中古車掲載'!N1010&gt;=20000,'中古車掲載'!O1010&lt;=50000,'中古車掲載'!AL1010=1,'中古車掲載'!Z1010="https://www.one2car.com/en/cars-for-sale/toyota/corolla-cross/year-2023"),'中古車掲載'!U1010,"")</x:f>
      </x:c>
      <x:c r="BF1009" t="str">
        <x:f>IF(AND('中古車掲載'!C1010="One2car",'中古車掲載'!F1010="Corolla Cross",'中古車掲載'!L1010="HEV PREMIUM",'中古車掲載'!J1010=2023,ISNUMBER('中古車掲載'!N1010),'中古車掲載'!N1010&gt;=20000,'中古車掲載'!O1010&lt;=100000,'中古車掲載'!AL1010=1,'中古車掲載'!Z1010="https://www.one2car.com/en/cars-for-sale/toyota/corolla-cross/year-2023"),'中古車掲載'!U1010,"")</x:f>
      </x:c>
      <x:c r="BG1009" t="str">
        <x:f>IF(AND('中古車掲載'!C1010="One2car",'中古車掲載'!F1010="Corolla Cross",'中古車掲載'!L1010="HEV GR SPORT",'中古車掲載'!J1010=2023,ISNUMBER('中古車掲載'!N1010),'中古車掲載'!N1010&gt;=20000,'中古車掲載'!O1010&lt;=100000,'中古車掲載'!AL1010=1,'中古車掲載'!Z1010="https://www.one2car.com/en/cars-for-sale/toyota/corolla-cross/year-2023"),'中古車掲載'!U1010,"")</x:f>
      </x:c>
      <x:c r="BH1009" t="str">
        <x:f>IF(AND('中古車掲載'!C1010="One2car",'中古車掲載'!F1010="DOLPHIN",'中古車掲載'!L1010="STANDARD RANGE",'中古車掲載'!J1010=2023,ISNUMBER('中古車掲載'!N1010),'中古車掲載'!N1010&gt;=20000,'中古車掲載'!O1010&lt;=100000,'中古車掲載'!AL1010=1),'中古車掲載'!U1010,"")</x:f>
      </x:c>
      <x:c r="BI1009" t="str">
        <x:v>Taladrod|Yaris Ativ|ICE|Unknown</x:v>
      </x:c>
      <x:c r="BJ1009" t="n">
        <x:v>1010</x:v>
      </x:c>
      <x:c r="BK1009" t="n">
        <x:f>'中古車掲載'!AM1010</x:f>
        <x:v>489000</x:v>
      </x:c>
      <x:c r="BL1009" t="str">
        <x:f>IF(ISNUMBER('中古車掲載'!AN1010),'中古車掲載'!AN1010,"")</x:f>
      </x:c>
    </x:row>
    <x:row r="1010">
      <x:c r="AZ1010" t="str">
        <x:f>IF(AND('中古車掲載'!C1011="One2car",'中古車掲載'!F1011="ATTO 3",'中古車掲載'!L1011="EXTENDED RANGE",'中古車掲載'!J1011=2023,ISNUMBER('中古車掲載'!N1011),'中古車掲載'!N1011&gt;=20000,'中古車掲載'!O1011&lt;=100000,'中古車掲載'!AL1011=1),'中古車掲載'!U1011,"")</x:f>
      </x:c>
      <x:c r="BA1010" t="str">
        <x:f>IF(AND('中古車掲載'!C1011="One2car",'中古車掲載'!F1011="Corolla Cross",'中古車掲載'!L1011="HEV PREMIUM SAFETY",'中古車掲載'!J1011=2023,ISNUMBER('中古車掲載'!N1011),'中古車掲載'!N1011&gt;=20000,'中古車掲載'!O1011&lt;=100000,'中古車掲載'!AL1011=1,'中古車掲載'!Z1011="https://www.one2car.com/en/cars-for-sale/toyota/corolla-cross/year-2023"),'中古車掲載'!U1011,"")</x:f>
      </x:c>
      <x:c r="BB1010" t="str">
        <x:f>IF(AND('中古車掲載'!C1011="One2car",'中古車掲載'!F1011="ATTO 3",'中古車掲載'!L1011="EXTENDED RANGE",'中古車掲載'!J1011=2023,ISNUMBER('中古車掲載'!N1011),'中古車掲載'!N1011&gt;=50000,'中古車掲載'!O1011&lt;=100000,'中古車掲載'!AL1011=1),'中古車掲載'!U1011,"")</x:f>
      </x:c>
      <x:c r="BC1010" t="str">
        <x:f>IF(AND('中古車掲載'!C1011="One2car",'中古車掲載'!F1011="Corolla Cross",'中古車掲載'!L1011="HEV PREMIUM SAFETY",'中古車掲載'!J1011=2023,ISNUMBER('中古車掲載'!N1011),'中古車掲載'!N1011&gt;=50000,'中古車掲載'!O1011&lt;=100000,'中古車掲載'!AL1011=1,'中古車掲載'!Z1011="https://www.one2car.com/en/cars-for-sale/toyota/corolla-cross/year-2023"),'中古車掲載'!U1011,"")</x:f>
      </x:c>
      <x:c r="BD1010" t="str">
        <x:f>IF(AND('中古車掲載'!C1011="One2car",'中古車掲載'!F1011="ATTO 3",'中古車掲載'!L1011="EXTENDED RANGE",'中古車掲載'!J1011=2023,ISNUMBER('中古車掲載'!N1011),'中古車掲載'!N1011&gt;=20000,'中古車掲載'!O1011&lt;=50000,'中古車掲載'!AL1011=1),'中古車掲載'!U1011,"")</x:f>
      </x:c>
      <x:c r="BE1010" t="str">
        <x:f>IF(AND('中古車掲載'!C1011="One2car",'中古車掲載'!F1011="Corolla Cross",'中古車掲載'!L1011="HEV PREMIUM SAFETY",'中古車掲載'!J1011=2023,ISNUMBER('中古車掲載'!N1011),'中古車掲載'!N1011&gt;=20000,'中古車掲載'!O1011&lt;=50000,'中古車掲載'!AL1011=1,'中古車掲載'!Z1011="https://www.one2car.com/en/cars-for-sale/toyota/corolla-cross/year-2023"),'中古車掲載'!U1011,"")</x:f>
      </x:c>
      <x:c r="BF1010" t="str">
        <x:f>IF(AND('中古車掲載'!C1011="One2car",'中古車掲載'!F1011="Corolla Cross",'中古車掲載'!L1011="HEV PREMIUM",'中古車掲載'!J1011=2023,ISNUMBER('中古車掲載'!N1011),'中古車掲載'!N1011&gt;=20000,'中古車掲載'!O1011&lt;=100000,'中古車掲載'!AL1011=1,'中古車掲載'!Z1011="https://www.one2car.com/en/cars-for-sale/toyota/corolla-cross/year-2023"),'中古車掲載'!U1011,"")</x:f>
      </x:c>
      <x:c r="BG1010" t="str">
        <x:f>IF(AND('中古車掲載'!C1011="One2car",'中古車掲載'!F1011="Corolla Cross",'中古車掲載'!L1011="HEV GR SPORT",'中古車掲載'!J1011=2023,ISNUMBER('中古車掲載'!N1011),'中古車掲載'!N1011&gt;=20000,'中古車掲載'!O1011&lt;=100000,'中古車掲載'!AL1011=1,'中古車掲載'!Z1011="https://www.one2car.com/en/cars-for-sale/toyota/corolla-cross/year-2023"),'中古車掲載'!U1011,"")</x:f>
      </x:c>
      <x:c r="BH1010" t="str">
        <x:f>IF(AND('中古車掲載'!C1011="One2car",'中古車掲載'!F1011="DOLPHIN",'中古車掲載'!L1011="STANDARD RANGE",'中古車掲載'!J1011=2023,ISNUMBER('中古車掲載'!N1011),'中古車掲載'!N1011&gt;=20000,'中古車掲載'!O1011&lt;=100000,'中古車掲載'!AL1011=1),'中古車掲載'!U1011,"")</x:f>
      </x:c>
      <x:c r="BI1010" t="str">
        <x:v>Taladrod|Yaris Ativ|ICE|Unknown</x:v>
      </x:c>
      <x:c r="BJ1010" t="n">
        <x:v>1011</x:v>
      </x:c>
      <x:c r="BK1010" t="n">
        <x:f>'中古車掲載'!AM1011</x:f>
        <x:v>499000</x:v>
      </x:c>
      <x:c r="BL1010" t="str">
        <x:f>IF(ISNUMBER('中古車掲載'!AN1011),'中古車掲載'!AN1011,"")</x:f>
      </x:c>
    </x:row>
    <x:row r="1011">
      <x:c r="AZ1011" t="str">
        <x:f>IF(AND('中古車掲載'!C1012="One2car",'中古車掲載'!F1012="ATTO 3",'中古車掲載'!L1012="EXTENDED RANGE",'中古車掲載'!J1012=2023,ISNUMBER('中古車掲載'!N1012),'中古車掲載'!N1012&gt;=20000,'中古車掲載'!O1012&lt;=100000,'中古車掲載'!AL1012=1),'中古車掲載'!U1012,"")</x:f>
      </x:c>
      <x:c r="BA1011" t="str">
        <x:f>IF(AND('中古車掲載'!C1012="One2car",'中古車掲載'!F1012="Corolla Cross",'中古車掲載'!L1012="HEV PREMIUM SAFETY",'中古車掲載'!J1012=2023,ISNUMBER('中古車掲載'!N1012),'中古車掲載'!N1012&gt;=20000,'中古車掲載'!O1012&lt;=100000,'中古車掲載'!AL1012=1,'中古車掲載'!Z1012="https://www.one2car.com/en/cars-for-sale/toyota/corolla-cross/year-2023"),'中古車掲載'!U1012,"")</x:f>
      </x:c>
      <x:c r="BB1011" t="str">
        <x:f>IF(AND('中古車掲載'!C1012="One2car",'中古車掲載'!F1012="ATTO 3",'中古車掲載'!L1012="EXTENDED RANGE",'中古車掲載'!J1012=2023,ISNUMBER('中古車掲載'!N1012),'中古車掲載'!N1012&gt;=50000,'中古車掲載'!O1012&lt;=100000,'中古車掲載'!AL1012=1),'中古車掲載'!U1012,"")</x:f>
      </x:c>
      <x:c r="BC1011" t="str">
        <x:f>IF(AND('中古車掲載'!C1012="One2car",'中古車掲載'!F1012="Corolla Cross",'中古車掲載'!L1012="HEV PREMIUM SAFETY",'中古車掲載'!J1012=2023,ISNUMBER('中古車掲載'!N1012),'中古車掲載'!N1012&gt;=50000,'中古車掲載'!O1012&lt;=100000,'中古車掲載'!AL1012=1,'中古車掲載'!Z1012="https://www.one2car.com/en/cars-for-sale/toyota/corolla-cross/year-2023"),'中古車掲載'!U1012,"")</x:f>
      </x:c>
      <x:c r="BD1011" t="str">
        <x:f>IF(AND('中古車掲載'!C1012="One2car",'中古車掲載'!F1012="ATTO 3",'中古車掲載'!L1012="EXTENDED RANGE",'中古車掲載'!J1012=2023,ISNUMBER('中古車掲載'!N1012),'中古車掲載'!N1012&gt;=20000,'中古車掲載'!O1012&lt;=50000,'中古車掲載'!AL1012=1),'中古車掲載'!U1012,"")</x:f>
      </x:c>
      <x:c r="BE1011" t="str">
        <x:f>IF(AND('中古車掲載'!C1012="One2car",'中古車掲載'!F1012="Corolla Cross",'中古車掲載'!L1012="HEV PREMIUM SAFETY",'中古車掲載'!J1012=2023,ISNUMBER('中古車掲載'!N1012),'中古車掲載'!N1012&gt;=20000,'中古車掲載'!O1012&lt;=50000,'中古車掲載'!AL1012=1,'中古車掲載'!Z1012="https://www.one2car.com/en/cars-for-sale/toyota/corolla-cross/year-2023"),'中古車掲載'!U1012,"")</x:f>
      </x:c>
      <x:c r="BF1011" t="str">
        <x:f>IF(AND('中古車掲載'!C1012="One2car",'中古車掲載'!F1012="Corolla Cross",'中古車掲載'!L1012="HEV PREMIUM",'中古車掲載'!J1012=2023,ISNUMBER('中古車掲載'!N1012),'中古車掲載'!N1012&gt;=20000,'中古車掲載'!O1012&lt;=100000,'中古車掲載'!AL1012=1,'中古車掲載'!Z1012="https://www.one2car.com/en/cars-for-sale/toyota/corolla-cross/year-2023"),'中古車掲載'!U1012,"")</x:f>
      </x:c>
      <x:c r="BG1011" t="str">
        <x:f>IF(AND('中古車掲載'!C1012="One2car",'中古車掲載'!F1012="Corolla Cross",'中古車掲載'!L1012="HEV GR SPORT",'中古車掲載'!J1012=2023,ISNUMBER('中古車掲載'!N1012),'中古車掲載'!N1012&gt;=20000,'中古車掲載'!O1012&lt;=100000,'中古車掲載'!AL1012=1,'中古車掲載'!Z1012="https://www.one2car.com/en/cars-for-sale/toyota/corolla-cross/year-2023"),'中古車掲載'!U1012,"")</x:f>
      </x:c>
      <x:c r="BH1011" t="str">
        <x:f>IF(AND('中古車掲載'!C1012="One2car",'中古車掲載'!F1012="DOLPHIN",'中古車掲載'!L1012="STANDARD RANGE",'中古車掲載'!J1012=2023,ISNUMBER('中古車掲載'!N1012),'中古車掲載'!N1012&gt;=20000,'中古車掲載'!O1012&lt;=100000,'中古車掲載'!AL1012=1),'中古車掲載'!U1012,"")</x:f>
      </x:c>
      <x:c r="BI1011" t="str">
        <x:v>Taladrod|Yaris Ativ|ICE|Unknown</x:v>
      </x:c>
      <x:c r="BJ1011" t="n">
        <x:v>1012</x:v>
      </x:c>
      <x:c r="BK1011" t="n">
        <x:f>'中古車掲載'!AM1012</x:f>
        <x:v>474000</x:v>
      </x:c>
      <x:c r="BL1011" t="str">
        <x:f>IF(ISNUMBER('中古車掲載'!AN1012),'中古車掲載'!AN1012,"")</x:f>
      </x:c>
    </x:row>
    <x:row r="1012">
      <x:c r="AZ1012" t="str">
        <x:f>IF(AND('中古車掲載'!C1013="One2car",'中古車掲載'!F1013="ATTO 3",'中古車掲載'!L1013="EXTENDED RANGE",'中古車掲載'!J1013=2023,ISNUMBER('中古車掲載'!N1013),'中古車掲載'!N1013&gt;=20000,'中古車掲載'!O1013&lt;=100000,'中古車掲載'!AL1013=1),'中古車掲載'!U1013,"")</x:f>
      </x:c>
      <x:c r="BA1012" t="str">
        <x:f>IF(AND('中古車掲載'!C1013="One2car",'中古車掲載'!F1013="Corolla Cross",'中古車掲載'!L1013="HEV PREMIUM SAFETY",'中古車掲載'!J1013=2023,ISNUMBER('中古車掲載'!N1013),'中古車掲載'!N1013&gt;=20000,'中古車掲載'!O1013&lt;=100000,'中古車掲載'!AL1013=1,'中古車掲載'!Z1013="https://www.one2car.com/en/cars-for-sale/toyota/corolla-cross/year-2023"),'中古車掲載'!U1013,"")</x:f>
      </x:c>
      <x:c r="BB1012" t="str">
        <x:f>IF(AND('中古車掲載'!C1013="One2car",'中古車掲載'!F1013="ATTO 3",'中古車掲載'!L1013="EXTENDED RANGE",'中古車掲載'!J1013=2023,ISNUMBER('中古車掲載'!N1013),'中古車掲載'!N1013&gt;=50000,'中古車掲載'!O1013&lt;=100000,'中古車掲載'!AL1013=1),'中古車掲載'!U1013,"")</x:f>
      </x:c>
      <x:c r="BC1012" t="str">
        <x:f>IF(AND('中古車掲載'!C1013="One2car",'中古車掲載'!F1013="Corolla Cross",'中古車掲載'!L1013="HEV PREMIUM SAFETY",'中古車掲載'!J1013=2023,ISNUMBER('中古車掲載'!N1013),'中古車掲載'!N1013&gt;=50000,'中古車掲載'!O1013&lt;=100000,'中古車掲載'!AL1013=1,'中古車掲載'!Z1013="https://www.one2car.com/en/cars-for-sale/toyota/corolla-cross/year-2023"),'中古車掲載'!U1013,"")</x:f>
      </x:c>
      <x:c r="BD1012" t="str">
        <x:f>IF(AND('中古車掲載'!C1013="One2car",'中古車掲載'!F1013="ATTO 3",'中古車掲載'!L1013="EXTENDED RANGE",'中古車掲載'!J1013=2023,ISNUMBER('中古車掲載'!N1013),'中古車掲載'!N1013&gt;=20000,'中古車掲載'!O1013&lt;=50000,'中古車掲載'!AL1013=1),'中古車掲載'!U1013,"")</x:f>
      </x:c>
      <x:c r="BE1012" t="str">
        <x:f>IF(AND('中古車掲載'!C1013="One2car",'中古車掲載'!F1013="Corolla Cross",'中古車掲載'!L1013="HEV PREMIUM SAFETY",'中古車掲載'!J1013=2023,ISNUMBER('中古車掲載'!N1013),'中古車掲載'!N1013&gt;=20000,'中古車掲載'!O1013&lt;=50000,'中古車掲載'!AL1013=1,'中古車掲載'!Z1013="https://www.one2car.com/en/cars-for-sale/toyota/corolla-cross/year-2023"),'中古車掲載'!U1013,"")</x:f>
      </x:c>
      <x:c r="BF1012" t="str">
        <x:f>IF(AND('中古車掲載'!C1013="One2car",'中古車掲載'!F1013="Corolla Cross",'中古車掲載'!L1013="HEV PREMIUM",'中古車掲載'!J1013=2023,ISNUMBER('中古車掲載'!N1013),'中古車掲載'!N1013&gt;=20000,'中古車掲載'!O1013&lt;=100000,'中古車掲載'!AL1013=1,'中古車掲載'!Z1013="https://www.one2car.com/en/cars-for-sale/toyota/corolla-cross/year-2023"),'中古車掲載'!U1013,"")</x:f>
      </x:c>
      <x:c r="BG1012" t="str">
        <x:f>IF(AND('中古車掲載'!C1013="One2car",'中古車掲載'!F1013="Corolla Cross",'中古車掲載'!L1013="HEV GR SPORT",'中古車掲載'!J1013=2023,ISNUMBER('中古車掲載'!N1013),'中古車掲載'!N1013&gt;=20000,'中古車掲載'!O1013&lt;=100000,'中古車掲載'!AL1013=1,'中古車掲載'!Z1013="https://www.one2car.com/en/cars-for-sale/toyota/corolla-cross/year-2023"),'中古車掲載'!U1013,"")</x:f>
      </x:c>
      <x:c r="BH1012" t="str">
        <x:f>IF(AND('中古車掲載'!C1013="One2car",'中古車掲載'!F1013="DOLPHIN",'中古車掲載'!L1013="STANDARD RANGE",'中古車掲載'!J1013=2023,ISNUMBER('中古車掲載'!N1013),'中古車掲載'!N1013&gt;=20000,'中古車掲載'!O1013&lt;=100000,'中古車掲載'!AL1013=1),'中古車掲載'!U1013,"")</x:f>
      </x:c>
      <x:c r="BI1012" t="str">
        <x:v>Taladrod|Yaris Ativ|ICE|Unknown</x:v>
      </x:c>
      <x:c r="BJ1012" t="n">
        <x:v>1013</x:v>
      </x:c>
      <x:c r="BK1012" t="n">
        <x:f>'中古車掲載'!AM1013</x:f>
        <x:v>509000</x:v>
      </x:c>
      <x:c r="BL1012" t="str">
        <x:f>IF(ISNUMBER('中古車掲載'!AN1013),'中古車掲載'!AN1013,"")</x:f>
      </x:c>
    </x:row>
    <x:row r="1013">
      <x:c r="AZ1013" t="str">
        <x:f>IF(AND('中古車掲載'!C1014="One2car",'中古車掲載'!F1014="ATTO 3",'中古車掲載'!L1014="EXTENDED RANGE",'中古車掲載'!J1014=2023,ISNUMBER('中古車掲載'!N1014),'中古車掲載'!N1014&gt;=20000,'中古車掲載'!O1014&lt;=100000,'中古車掲載'!AL1014=1),'中古車掲載'!U1014,"")</x:f>
      </x:c>
      <x:c r="BA1013" t="str">
        <x:f>IF(AND('中古車掲載'!C1014="One2car",'中古車掲載'!F1014="Corolla Cross",'中古車掲載'!L1014="HEV PREMIUM SAFETY",'中古車掲載'!J1014=2023,ISNUMBER('中古車掲載'!N1014),'中古車掲載'!N1014&gt;=20000,'中古車掲載'!O1014&lt;=100000,'中古車掲載'!AL1014=1,'中古車掲載'!Z1014="https://www.one2car.com/en/cars-for-sale/toyota/corolla-cross/year-2023"),'中古車掲載'!U1014,"")</x:f>
      </x:c>
      <x:c r="BB1013" t="str">
        <x:f>IF(AND('中古車掲載'!C1014="One2car",'中古車掲載'!F1014="ATTO 3",'中古車掲載'!L1014="EXTENDED RANGE",'中古車掲載'!J1014=2023,ISNUMBER('中古車掲載'!N1014),'中古車掲載'!N1014&gt;=50000,'中古車掲載'!O1014&lt;=100000,'中古車掲載'!AL1014=1),'中古車掲載'!U1014,"")</x:f>
      </x:c>
      <x:c r="BC1013" t="str">
        <x:f>IF(AND('中古車掲載'!C1014="One2car",'中古車掲載'!F1014="Corolla Cross",'中古車掲載'!L1014="HEV PREMIUM SAFETY",'中古車掲載'!J1014=2023,ISNUMBER('中古車掲載'!N1014),'中古車掲載'!N1014&gt;=50000,'中古車掲載'!O1014&lt;=100000,'中古車掲載'!AL1014=1,'中古車掲載'!Z1014="https://www.one2car.com/en/cars-for-sale/toyota/corolla-cross/year-2023"),'中古車掲載'!U1014,"")</x:f>
      </x:c>
      <x:c r="BD1013" t="str">
        <x:f>IF(AND('中古車掲載'!C1014="One2car",'中古車掲載'!F1014="ATTO 3",'中古車掲載'!L1014="EXTENDED RANGE",'中古車掲載'!J1014=2023,ISNUMBER('中古車掲載'!N1014),'中古車掲載'!N1014&gt;=20000,'中古車掲載'!O1014&lt;=50000,'中古車掲載'!AL1014=1),'中古車掲載'!U1014,"")</x:f>
      </x:c>
      <x:c r="BE1013" t="str">
        <x:f>IF(AND('中古車掲載'!C1014="One2car",'中古車掲載'!F1014="Corolla Cross",'中古車掲載'!L1014="HEV PREMIUM SAFETY",'中古車掲載'!J1014=2023,ISNUMBER('中古車掲載'!N1014),'中古車掲載'!N1014&gt;=20000,'中古車掲載'!O1014&lt;=50000,'中古車掲載'!AL1014=1,'中古車掲載'!Z1014="https://www.one2car.com/en/cars-for-sale/toyota/corolla-cross/year-2023"),'中古車掲載'!U1014,"")</x:f>
      </x:c>
      <x:c r="BF1013" t="str">
        <x:f>IF(AND('中古車掲載'!C1014="One2car",'中古車掲載'!F1014="Corolla Cross",'中古車掲載'!L1014="HEV PREMIUM",'中古車掲載'!J1014=2023,ISNUMBER('中古車掲載'!N1014),'中古車掲載'!N1014&gt;=20000,'中古車掲載'!O1014&lt;=100000,'中古車掲載'!AL1014=1,'中古車掲載'!Z1014="https://www.one2car.com/en/cars-for-sale/toyota/corolla-cross/year-2023"),'中古車掲載'!U1014,"")</x:f>
      </x:c>
      <x:c r="BG1013" t="str">
        <x:f>IF(AND('中古車掲載'!C1014="One2car",'中古車掲載'!F1014="Corolla Cross",'中古車掲載'!L1014="HEV GR SPORT",'中古車掲載'!J1014=2023,ISNUMBER('中古車掲載'!N1014),'中古車掲載'!N1014&gt;=20000,'中古車掲載'!O1014&lt;=100000,'中古車掲載'!AL1014=1,'中古車掲載'!Z1014="https://www.one2car.com/en/cars-for-sale/toyota/corolla-cross/year-2023"),'中古車掲載'!U1014,"")</x:f>
      </x:c>
      <x:c r="BH1013" t="str">
        <x:f>IF(AND('中古車掲載'!C1014="One2car",'中古車掲載'!F1014="DOLPHIN",'中古車掲載'!L1014="STANDARD RANGE",'中古車掲載'!J1014=2023,ISNUMBER('中古車掲載'!N1014),'中古車掲載'!N1014&gt;=20000,'中古車掲載'!O1014&lt;=100000,'中古車掲載'!AL1014=1),'中古車掲載'!U1014,"")</x:f>
      </x:c>
      <x:c r="BI1013" t="str">
        <x:v>Taladrod|Yaris Ativ|ICE|Unknown</x:v>
      </x:c>
      <x:c r="BJ1013" t="n">
        <x:v>1014</x:v>
      </x:c>
      <x:c r="BK1013" t="n">
        <x:f>'中古車掲載'!AM1014</x:f>
        <x:v>479000</x:v>
      </x:c>
      <x:c r="BL1013" t="str">
        <x:f>IF(ISNUMBER('中古車掲載'!AN1014),'中古車掲載'!AN1014,"")</x:f>
      </x:c>
    </x:row>
    <x:row r="1014">
      <x:c r="AZ1014" t="str">
        <x:f>IF(AND('中古車掲載'!C1015="One2car",'中古車掲載'!F1015="ATTO 3",'中古車掲載'!L1015="EXTENDED RANGE",'中古車掲載'!J1015=2023,ISNUMBER('中古車掲載'!N1015),'中古車掲載'!N1015&gt;=20000,'中古車掲載'!O1015&lt;=100000,'中古車掲載'!AL1015=1),'中古車掲載'!U1015,"")</x:f>
      </x:c>
      <x:c r="BA1014" t="str">
        <x:f>IF(AND('中古車掲載'!C1015="One2car",'中古車掲載'!F1015="Corolla Cross",'中古車掲載'!L1015="HEV PREMIUM SAFETY",'中古車掲載'!J1015=2023,ISNUMBER('中古車掲載'!N1015),'中古車掲載'!N1015&gt;=20000,'中古車掲載'!O1015&lt;=100000,'中古車掲載'!AL1015=1,'中古車掲載'!Z1015="https://www.one2car.com/en/cars-for-sale/toyota/corolla-cross/year-2023"),'中古車掲載'!U1015,"")</x:f>
      </x:c>
      <x:c r="BB1014" t="str">
        <x:f>IF(AND('中古車掲載'!C1015="One2car",'中古車掲載'!F1015="ATTO 3",'中古車掲載'!L1015="EXTENDED RANGE",'中古車掲載'!J1015=2023,ISNUMBER('中古車掲載'!N1015),'中古車掲載'!N1015&gt;=50000,'中古車掲載'!O1015&lt;=100000,'中古車掲載'!AL1015=1),'中古車掲載'!U1015,"")</x:f>
      </x:c>
      <x:c r="BC1014" t="str">
        <x:f>IF(AND('中古車掲載'!C1015="One2car",'中古車掲載'!F1015="Corolla Cross",'中古車掲載'!L1015="HEV PREMIUM SAFETY",'中古車掲載'!J1015=2023,ISNUMBER('中古車掲載'!N1015),'中古車掲載'!N1015&gt;=50000,'中古車掲載'!O1015&lt;=100000,'中古車掲載'!AL1015=1,'中古車掲載'!Z1015="https://www.one2car.com/en/cars-for-sale/toyota/corolla-cross/year-2023"),'中古車掲載'!U1015,"")</x:f>
      </x:c>
      <x:c r="BD1014" t="str">
        <x:f>IF(AND('中古車掲載'!C1015="One2car",'中古車掲載'!F1015="ATTO 3",'中古車掲載'!L1015="EXTENDED RANGE",'中古車掲載'!J1015=2023,ISNUMBER('中古車掲載'!N1015),'中古車掲載'!N1015&gt;=20000,'中古車掲載'!O1015&lt;=50000,'中古車掲載'!AL1015=1),'中古車掲載'!U1015,"")</x:f>
      </x:c>
      <x:c r="BE1014" t="str">
        <x:f>IF(AND('中古車掲載'!C1015="One2car",'中古車掲載'!F1015="Corolla Cross",'中古車掲載'!L1015="HEV PREMIUM SAFETY",'中古車掲載'!J1015=2023,ISNUMBER('中古車掲載'!N1015),'中古車掲載'!N1015&gt;=20000,'中古車掲載'!O1015&lt;=50000,'中古車掲載'!AL1015=1,'中古車掲載'!Z1015="https://www.one2car.com/en/cars-for-sale/toyota/corolla-cross/year-2023"),'中古車掲載'!U1015,"")</x:f>
      </x:c>
      <x:c r="BF1014" t="str">
        <x:f>IF(AND('中古車掲載'!C1015="One2car",'中古車掲載'!F1015="Corolla Cross",'中古車掲載'!L1015="HEV PREMIUM",'中古車掲載'!J1015=2023,ISNUMBER('中古車掲載'!N1015),'中古車掲載'!N1015&gt;=20000,'中古車掲載'!O1015&lt;=100000,'中古車掲載'!AL1015=1,'中古車掲載'!Z1015="https://www.one2car.com/en/cars-for-sale/toyota/corolla-cross/year-2023"),'中古車掲載'!U1015,"")</x:f>
      </x:c>
      <x:c r="BG1014" t="str">
        <x:f>IF(AND('中古車掲載'!C1015="One2car",'中古車掲載'!F1015="Corolla Cross",'中古車掲載'!L1015="HEV GR SPORT",'中古車掲載'!J1015=2023,ISNUMBER('中古車掲載'!N1015),'中古車掲載'!N1015&gt;=20000,'中古車掲載'!O1015&lt;=100000,'中古車掲載'!AL1015=1,'中古車掲載'!Z1015="https://www.one2car.com/en/cars-for-sale/toyota/corolla-cross/year-2023"),'中古車掲載'!U1015,"")</x:f>
      </x:c>
      <x:c r="BH1014" t="str">
        <x:f>IF(AND('中古車掲載'!C1015="One2car",'中古車掲載'!F1015="DOLPHIN",'中古車掲載'!L1015="STANDARD RANGE",'中古車掲載'!J1015=2023,ISNUMBER('中古車掲載'!N1015),'中古車掲載'!N1015&gt;=20000,'中古車掲載'!O1015&lt;=100000,'中古車掲載'!AL1015=1),'中古車掲載'!U1015,"")</x:f>
      </x:c>
      <x:c r="BI1014" t="str">
        <x:v>Taladrod|Yaris Ativ|ICE|Unknown</x:v>
      </x:c>
      <x:c r="BJ1014" t="n">
        <x:v>1015</x:v>
      </x:c>
      <x:c r="BK1014" t="n">
        <x:f>'中古車掲載'!AM1015</x:f>
        <x:v>499000</x:v>
      </x:c>
      <x:c r="BL1014" t="str">
        <x:f>IF(ISNUMBER('中古車掲載'!AN1015),'中古車掲載'!AN1015,"")</x:f>
      </x:c>
    </x:row>
    <x:row r="1015">
      <x:c r="AZ1015" t="str">
        <x:f>IF(AND('中古車掲載'!C1016="One2car",'中古車掲載'!F1016="ATTO 3",'中古車掲載'!L1016="EXTENDED RANGE",'中古車掲載'!J1016=2023,ISNUMBER('中古車掲載'!N1016),'中古車掲載'!N1016&gt;=20000,'中古車掲載'!O1016&lt;=100000,'中古車掲載'!AL1016=1),'中古車掲載'!U1016,"")</x:f>
      </x:c>
      <x:c r="BA1015" t="str">
        <x:f>IF(AND('中古車掲載'!C1016="One2car",'中古車掲載'!F1016="Corolla Cross",'中古車掲載'!L1016="HEV PREMIUM SAFETY",'中古車掲載'!J1016=2023,ISNUMBER('中古車掲載'!N1016),'中古車掲載'!N1016&gt;=20000,'中古車掲載'!O1016&lt;=100000,'中古車掲載'!AL1016=1,'中古車掲載'!Z1016="https://www.one2car.com/en/cars-for-sale/toyota/corolla-cross/year-2023"),'中古車掲載'!U1016,"")</x:f>
      </x:c>
      <x:c r="BB1015" t="str">
        <x:f>IF(AND('中古車掲載'!C1016="One2car",'中古車掲載'!F1016="ATTO 3",'中古車掲載'!L1016="EXTENDED RANGE",'中古車掲載'!J1016=2023,ISNUMBER('中古車掲載'!N1016),'中古車掲載'!N1016&gt;=50000,'中古車掲載'!O1016&lt;=100000,'中古車掲載'!AL1016=1),'中古車掲載'!U1016,"")</x:f>
      </x:c>
      <x:c r="BC1015" t="str">
        <x:f>IF(AND('中古車掲載'!C1016="One2car",'中古車掲載'!F1016="Corolla Cross",'中古車掲載'!L1016="HEV PREMIUM SAFETY",'中古車掲載'!J1016=2023,ISNUMBER('中古車掲載'!N1016),'中古車掲載'!N1016&gt;=50000,'中古車掲載'!O1016&lt;=100000,'中古車掲載'!AL1016=1,'中古車掲載'!Z1016="https://www.one2car.com/en/cars-for-sale/toyota/corolla-cross/year-2023"),'中古車掲載'!U1016,"")</x:f>
      </x:c>
      <x:c r="BD1015" t="str">
        <x:f>IF(AND('中古車掲載'!C1016="One2car",'中古車掲載'!F1016="ATTO 3",'中古車掲載'!L1016="EXTENDED RANGE",'中古車掲載'!J1016=2023,ISNUMBER('中古車掲載'!N1016),'中古車掲載'!N1016&gt;=20000,'中古車掲載'!O1016&lt;=50000,'中古車掲載'!AL1016=1),'中古車掲載'!U1016,"")</x:f>
      </x:c>
      <x:c r="BE1015" t="str">
        <x:f>IF(AND('中古車掲載'!C1016="One2car",'中古車掲載'!F1016="Corolla Cross",'中古車掲載'!L1016="HEV PREMIUM SAFETY",'中古車掲載'!J1016=2023,ISNUMBER('中古車掲載'!N1016),'中古車掲載'!N1016&gt;=20000,'中古車掲載'!O1016&lt;=50000,'中古車掲載'!AL1016=1,'中古車掲載'!Z1016="https://www.one2car.com/en/cars-for-sale/toyota/corolla-cross/year-2023"),'中古車掲載'!U1016,"")</x:f>
      </x:c>
      <x:c r="BF1015" t="str">
        <x:f>IF(AND('中古車掲載'!C1016="One2car",'中古車掲載'!F1016="Corolla Cross",'中古車掲載'!L1016="HEV PREMIUM",'中古車掲載'!J1016=2023,ISNUMBER('中古車掲載'!N1016),'中古車掲載'!N1016&gt;=20000,'中古車掲載'!O1016&lt;=100000,'中古車掲載'!AL1016=1,'中古車掲載'!Z1016="https://www.one2car.com/en/cars-for-sale/toyota/corolla-cross/year-2023"),'中古車掲載'!U1016,"")</x:f>
      </x:c>
      <x:c r="BG1015" t="str">
        <x:f>IF(AND('中古車掲載'!C1016="One2car",'中古車掲載'!F1016="Corolla Cross",'中古車掲載'!L1016="HEV GR SPORT",'中古車掲載'!J1016=2023,ISNUMBER('中古車掲載'!N1016),'中古車掲載'!N1016&gt;=20000,'中古車掲載'!O1016&lt;=100000,'中古車掲載'!AL1016=1,'中古車掲載'!Z1016="https://www.one2car.com/en/cars-for-sale/toyota/corolla-cross/year-2023"),'中古車掲載'!U1016,"")</x:f>
      </x:c>
      <x:c r="BH1015" t="str">
        <x:f>IF(AND('中古車掲載'!C1016="One2car",'中古車掲載'!F1016="DOLPHIN",'中古車掲載'!L1016="STANDARD RANGE",'中古車掲載'!J1016=2023,ISNUMBER('中古車掲載'!N1016),'中古車掲載'!N1016&gt;=20000,'中古車掲載'!O1016&lt;=100000,'中古車掲載'!AL1016=1),'中古車掲載'!U1016,"")</x:f>
      </x:c>
      <x:c r="BI1015" t="str">
        <x:v>Taladrod|Yaris Ativ|ICE|Unknown</x:v>
      </x:c>
      <x:c r="BJ1015" t="n">
        <x:v>1016</x:v>
      </x:c>
      <x:c r="BK1015" t="n">
        <x:f>'中古車掲載'!AM1016</x:f>
        <x:v>499000</x:v>
      </x:c>
      <x:c r="BL1015" t="str">
        <x:f>IF(ISNUMBER('中古車掲載'!AN1016),'中古車掲載'!AN1016,"")</x:f>
      </x:c>
    </x:row>
    <x:row r="1016">
      <x:c r="AZ1016" t="str">
        <x:f>IF(AND('中古車掲載'!C1017="One2car",'中古車掲載'!F1017="ATTO 3",'中古車掲載'!L1017="EXTENDED RANGE",'中古車掲載'!J1017=2023,ISNUMBER('中古車掲載'!N1017),'中古車掲載'!N1017&gt;=20000,'中古車掲載'!O1017&lt;=100000,'中古車掲載'!AL1017=1),'中古車掲載'!U1017,"")</x:f>
      </x:c>
      <x:c r="BA1016" t="str">
        <x:f>IF(AND('中古車掲載'!C1017="One2car",'中古車掲載'!F1017="Corolla Cross",'中古車掲載'!L1017="HEV PREMIUM SAFETY",'中古車掲載'!J1017=2023,ISNUMBER('中古車掲載'!N1017),'中古車掲載'!N1017&gt;=20000,'中古車掲載'!O1017&lt;=100000,'中古車掲載'!AL1017=1,'中古車掲載'!Z1017="https://www.one2car.com/en/cars-for-sale/toyota/corolla-cross/year-2023"),'中古車掲載'!U1017,"")</x:f>
      </x:c>
      <x:c r="BB1016" t="str">
        <x:f>IF(AND('中古車掲載'!C1017="One2car",'中古車掲載'!F1017="ATTO 3",'中古車掲載'!L1017="EXTENDED RANGE",'中古車掲載'!J1017=2023,ISNUMBER('中古車掲載'!N1017),'中古車掲載'!N1017&gt;=50000,'中古車掲載'!O1017&lt;=100000,'中古車掲載'!AL1017=1),'中古車掲載'!U1017,"")</x:f>
      </x:c>
      <x:c r="BC1016" t="str">
        <x:f>IF(AND('中古車掲載'!C1017="One2car",'中古車掲載'!F1017="Corolla Cross",'中古車掲載'!L1017="HEV PREMIUM SAFETY",'中古車掲載'!J1017=2023,ISNUMBER('中古車掲載'!N1017),'中古車掲載'!N1017&gt;=50000,'中古車掲載'!O1017&lt;=100000,'中古車掲載'!AL1017=1,'中古車掲載'!Z1017="https://www.one2car.com/en/cars-for-sale/toyota/corolla-cross/year-2023"),'中古車掲載'!U1017,"")</x:f>
      </x:c>
      <x:c r="BD1016" t="str">
        <x:f>IF(AND('中古車掲載'!C1017="One2car",'中古車掲載'!F1017="ATTO 3",'中古車掲載'!L1017="EXTENDED RANGE",'中古車掲載'!J1017=2023,ISNUMBER('中古車掲載'!N1017),'中古車掲載'!N1017&gt;=20000,'中古車掲載'!O1017&lt;=50000,'中古車掲載'!AL1017=1),'中古車掲載'!U1017,"")</x:f>
      </x:c>
      <x:c r="BE1016" t="str">
        <x:f>IF(AND('中古車掲載'!C1017="One2car",'中古車掲載'!F1017="Corolla Cross",'中古車掲載'!L1017="HEV PREMIUM SAFETY",'中古車掲載'!J1017=2023,ISNUMBER('中古車掲載'!N1017),'中古車掲載'!N1017&gt;=20000,'中古車掲載'!O1017&lt;=50000,'中古車掲載'!AL1017=1,'中古車掲載'!Z1017="https://www.one2car.com/en/cars-for-sale/toyota/corolla-cross/year-2023"),'中古車掲載'!U1017,"")</x:f>
      </x:c>
      <x:c r="BF1016" t="str">
        <x:f>IF(AND('中古車掲載'!C1017="One2car",'中古車掲載'!F1017="Corolla Cross",'中古車掲載'!L1017="HEV PREMIUM",'中古車掲載'!J1017=2023,ISNUMBER('中古車掲載'!N1017),'中古車掲載'!N1017&gt;=20000,'中古車掲載'!O1017&lt;=100000,'中古車掲載'!AL1017=1,'中古車掲載'!Z1017="https://www.one2car.com/en/cars-for-sale/toyota/corolla-cross/year-2023"),'中古車掲載'!U1017,"")</x:f>
      </x:c>
      <x:c r="BG1016" t="str">
        <x:f>IF(AND('中古車掲載'!C1017="One2car",'中古車掲載'!F1017="Corolla Cross",'中古車掲載'!L1017="HEV GR SPORT",'中古車掲載'!J1017=2023,ISNUMBER('中古車掲載'!N1017),'中古車掲載'!N1017&gt;=20000,'中古車掲載'!O1017&lt;=100000,'中古車掲載'!AL1017=1,'中古車掲載'!Z1017="https://www.one2car.com/en/cars-for-sale/toyota/corolla-cross/year-2023"),'中古車掲載'!U1017,"")</x:f>
      </x:c>
      <x:c r="BH1016" t="str">
        <x:f>IF(AND('中古車掲載'!C1017="One2car",'中古車掲載'!F1017="DOLPHIN",'中古車掲載'!L1017="STANDARD RANGE",'中古車掲載'!J1017=2023,ISNUMBER('中古車掲載'!N1017),'中古車掲載'!N1017&gt;=20000,'中古車掲載'!O1017&lt;=100000,'中古車掲載'!AL1017=1),'中古車掲載'!U1017,"")</x:f>
      </x:c>
      <x:c r="BI1016" t="str">
        <x:v>Taladrod|Yaris Ativ|ICE|Unknown</x:v>
      </x:c>
      <x:c r="BJ1016" t="n">
        <x:v>1017</x:v>
      </x:c>
      <x:c r="BK1016" t="n">
        <x:f>'中古車掲載'!AM1017</x:f>
        <x:v>399000</x:v>
      </x:c>
      <x:c r="BL1016" t="str">
        <x:f>IF(ISNUMBER('中古車掲載'!AN1017),'中古車掲載'!AN1017,"")</x:f>
      </x:c>
    </x:row>
    <x:row r="1017">
      <x:c r="AZ1017" t="str">
        <x:f>IF(AND('中古車掲載'!C1018="One2car",'中古車掲載'!F1018="ATTO 3",'中古車掲載'!L1018="EXTENDED RANGE",'中古車掲載'!J1018=2023,ISNUMBER('中古車掲載'!N1018),'中古車掲載'!N1018&gt;=20000,'中古車掲載'!O1018&lt;=100000,'中古車掲載'!AL1018=1),'中古車掲載'!U1018,"")</x:f>
      </x:c>
      <x:c r="BA1017" t="str">
        <x:f>IF(AND('中古車掲載'!C1018="One2car",'中古車掲載'!F1018="Corolla Cross",'中古車掲載'!L1018="HEV PREMIUM SAFETY",'中古車掲載'!J1018=2023,ISNUMBER('中古車掲載'!N1018),'中古車掲載'!N1018&gt;=20000,'中古車掲載'!O1018&lt;=100000,'中古車掲載'!AL1018=1,'中古車掲載'!Z1018="https://www.one2car.com/en/cars-for-sale/toyota/corolla-cross/year-2023"),'中古車掲載'!U1018,"")</x:f>
      </x:c>
      <x:c r="BB1017" t="str">
        <x:f>IF(AND('中古車掲載'!C1018="One2car",'中古車掲載'!F1018="ATTO 3",'中古車掲載'!L1018="EXTENDED RANGE",'中古車掲載'!J1018=2023,ISNUMBER('中古車掲載'!N1018),'中古車掲載'!N1018&gt;=50000,'中古車掲載'!O1018&lt;=100000,'中古車掲載'!AL1018=1),'中古車掲載'!U1018,"")</x:f>
      </x:c>
      <x:c r="BC1017" t="str">
        <x:f>IF(AND('中古車掲載'!C1018="One2car",'中古車掲載'!F1018="Corolla Cross",'中古車掲載'!L1018="HEV PREMIUM SAFETY",'中古車掲載'!J1018=2023,ISNUMBER('中古車掲載'!N1018),'中古車掲載'!N1018&gt;=50000,'中古車掲載'!O1018&lt;=100000,'中古車掲載'!AL1018=1,'中古車掲載'!Z1018="https://www.one2car.com/en/cars-for-sale/toyota/corolla-cross/year-2023"),'中古車掲載'!U1018,"")</x:f>
      </x:c>
      <x:c r="BD1017" t="str">
        <x:f>IF(AND('中古車掲載'!C1018="One2car",'中古車掲載'!F1018="ATTO 3",'中古車掲載'!L1018="EXTENDED RANGE",'中古車掲載'!J1018=2023,ISNUMBER('中古車掲載'!N1018),'中古車掲載'!N1018&gt;=20000,'中古車掲載'!O1018&lt;=50000,'中古車掲載'!AL1018=1),'中古車掲載'!U1018,"")</x:f>
      </x:c>
      <x:c r="BE1017" t="str">
        <x:f>IF(AND('中古車掲載'!C1018="One2car",'中古車掲載'!F1018="Corolla Cross",'中古車掲載'!L1018="HEV PREMIUM SAFETY",'中古車掲載'!J1018=2023,ISNUMBER('中古車掲載'!N1018),'中古車掲載'!N1018&gt;=20000,'中古車掲載'!O1018&lt;=50000,'中古車掲載'!AL1018=1,'中古車掲載'!Z1018="https://www.one2car.com/en/cars-for-sale/toyota/corolla-cross/year-2023"),'中古車掲載'!U1018,"")</x:f>
      </x:c>
      <x:c r="BF1017" t="str">
        <x:f>IF(AND('中古車掲載'!C1018="One2car",'中古車掲載'!F1018="Corolla Cross",'中古車掲載'!L1018="HEV PREMIUM",'中古車掲載'!J1018=2023,ISNUMBER('中古車掲載'!N1018),'中古車掲載'!N1018&gt;=20000,'中古車掲載'!O1018&lt;=100000,'中古車掲載'!AL1018=1,'中古車掲載'!Z1018="https://www.one2car.com/en/cars-for-sale/toyota/corolla-cross/year-2023"),'中古車掲載'!U1018,"")</x:f>
      </x:c>
      <x:c r="BG1017" t="str">
        <x:f>IF(AND('中古車掲載'!C1018="One2car",'中古車掲載'!F1018="Corolla Cross",'中古車掲載'!L1018="HEV GR SPORT",'中古車掲載'!J1018=2023,ISNUMBER('中古車掲載'!N1018),'中古車掲載'!N1018&gt;=20000,'中古車掲載'!O1018&lt;=100000,'中古車掲載'!AL1018=1,'中古車掲載'!Z1018="https://www.one2car.com/en/cars-for-sale/toyota/corolla-cross/year-2023"),'中古車掲載'!U1018,"")</x:f>
      </x:c>
      <x:c r="BH1017" t="str">
        <x:f>IF(AND('中古車掲載'!C1018="One2car",'中古車掲載'!F1018="DOLPHIN",'中古車掲載'!L1018="STANDARD RANGE",'中古車掲載'!J1018=2023,ISNUMBER('中古車掲載'!N1018),'中古車掲載'!N1018&gt;=20000,'中古車掲載'!O1018&lt;=100000,'中古車掲載'!AL1018=1),'中古車掲載'!U1018,"")</x:f>
      </x:c>
      <x:c r="BI1017" t="str">
        <x:v>Taladrod|Yaris Ativ|ICE|Unknown</x:v>
      </x:c>
      <x:c r="BJ1017" t="n">
        <x:v>1018</x:v>
      </x:c>
      <x:c r="BK1017" t="n">
        <x:f>'中古車掲載'!AM1018</x:f>
        <x:v>419000</x:v>
      </x:c>
      <x:c r="BL1017" t="str">
        <x:f>IF(ISNUMBER('中古車掲載'!AN1018),'中古車掲載'!AN1018,"")</x:f>
      </x:c>
    </x:row>
    <x:row r="1018">
      <x:c r="AZ1018" t="str">
        <x:f>IF(AND('中古車掲載'!C1019="One2car",'中古車掲載'!F1019="ATTO 3",'中古車掲載'!L1019="EXTENDED RANGE",'中古車掲載'!J1019=2023,ISNUMBER('中古車掲載'!N1019),'中古車掲載'!N1019&gt;=20000,'中古車掲載'!O1019&lt;=100000,'中古車掲載'!AL1019=1),'中古車掲載'!U1019,"")</x:f>
      </x:c>
      <x:c r="BA1018" t="str">
        <x:f>IF(AND('中古車掲載'!C1019="One2car",'中古車掲載'!F1019="Corolla Cross",'中古車掲載'!L1019="HEV PREMIUM SAFETY",'中古車掲載'!J1019=2023,ISNUMBER('中古車掲載'!N1019),'中古車掲載'!N1019&gt;=20000,'中古車掲載'!O1019&lt;=100000,'中古車掲載'!AL1019=1,'中古車掲載'!Z1019="https://www.one2car.com/en/cars-for-sale/toyota/corolla-cross/year-2023"),'中古車掲載'!U1019,"")</x:f>
      </x:c>
      <x:c r="BB1018" t="str">
        <x:f>IF(AND('中古車掲載'!C1019="One2car",'中古車掲載'!F1019="ATTO 3",'中古車掲載'!L1019="EXTENDED RANGE",'中古車掲載'!J1019=2023,ISNUMBER('中古車掲載'!N1019),'中古車掲載'!N1019&gt;=50000,'中古車掲載'!O1019&lt;=100000,'中古車掲載'!AL1019=1),'中古車掲載'!U1019,"")</x:f>
      </x:c>
      <x:c r="BC1018" t="str">
        <x:f>IF(AND('中古車掲載'!C1019="One2car",'中古車掲載'!F1019="Corolla Cross",'中古車掲載'!L1019="HEV PREMIUM SAFETY",'中古車掲載'!J1019=2023,ISNUMBER('中古車掲載'!N1019),'中古車掲載'!N1019&gt;=50000,'中古車掲載'!O1019&lt;=100000,'中古車掲載'!AL1019=1,'中古車掲載'!Z1019="https://www.one2car.com/en/cars-for-sale/toyota/corolla-cross/year-2023"),'中古車掲載'!U1019,"")</x:f>
      </x:c>
      <x:c r="BD1018" t="str">
        <x:f>IF(AND('中古車掲載'!C1019="One2car",'中古車掲載'!F1019="ATTO 3",'中古車掲載'!L1019="EXTENDED RANGE",'中古車掲載'!J1019=2023,ISNUMBER('中古車掲載'!N1019),'中古車掲載'!N1019&gt;=20000,'中古車掲載'!O1019&lt;=50000,'中古車掲載'!AL1019=1),'中古車掲載'!U1019,"")</x:f>
      </x:c>
      <x:c r="BE1018" t="str">
        <x:f>IF(AND('中古車掲載'!C1019="One2car",'中古車掲載'!F1019="Corolla Cross",'中古車掲載'!L1019="HEV PREMIUM SAFETY",'中古車掲載'!J1019=2023,ISNUMBER('中古車掲載'!N1019),'中古車掲載'!N1019&gt;=20000,'中古車掲載'!O1019&lt;=50000,'中古車掲載'!AL1019=1,'中古車掲載'!Z1019="https://www.one2car.com/en/cars-for-sale/toyota/corolla-cross/year-2023"),'中古車掲載'!U1019,"")</x:f>
      </x:c>
      <x:c r="BF1018" t="str">
        <x:f>IF(AND('中古車掲載'!C1019="One2car",'中古車掲載'!F1019="Corolla Cross",'中古車掲載'!L1019="HEV PREMIUM",'中古車掲載'!J1019=2023,ISNUMBER('中古車掲載'!N1019),'中古車掲載'!N1019&gt;=20000,'中古車掲載'!O1019&lt;=100000,'中古車掲載'!AL1019=1,'中古車掲載'!Z1019="https://www.one2car.com/en/cars-for-sale/toyota/corolla-cross/year-2023"),'中古車掲載'!U1019,"")</x:f>
      </x:c>
      <x:c r="BG1018" t="str">
        <x:f>IF(AND('中古車掲載'!C1019="One2car",'中古車掲載'!F1019="Corolla Cross",'中古車掲載'!L1019="HEV GR SPORT",'中古車掲載'!J1019=2023,ISNUMBER('中古車掲載'!N1019),'中古車掲載'!N1019&gt;=20000,'中古車掲載'!O1019&lt;=100000,'中古車掲載'!AL1019=1,'中古車掲載'!Z1019="https://www.one2car.com/en/cars-for-sale/toyota/corolla-cross/year-2023"),'中古車掲載'!U1019,"")</x:f>
      </x:c>
      <x:c r="BH1018" t="str">
        <x:f>IF(AND('中古車掲載'!C1019="One2car",'中古車掲載'!F1019="DOLPHIN",'中古車掲載'!L1019="STANDARD RANGE",'中古車掲載'!J1019=2023,ISNUMBER('中古車掲載'!N1019),'中古車掲載'!N1019&gt;=20000,'中古車掲載'!O1019&lt;=100000,'中古車掲載'!AL1019=1),'中古車掲載'!U1019,"")</x:f>
      </x:c>
      <x:c r="BI1018" t="str">
        <x:v>Taladrod|Yaris Ativ|ICE|Unknown</x:v>
      </x:c>
      <x:c r="BJ1018" t="n">
        <x:v>1019</x:v>
      </x:c>
      <x:c r="BK1018" t="n">
        <x:f>'中古車掲載'!AM1019</x:f>
        <x:v>374000</x:v>
      </x:c>
      <x:c r="BL1018" t="str">
        <x:f>IF(ISNUMBER('中古車掲載'!AN1019),'中古車掲載'!AN1019,"")</x:f>
      </x:c>
    </x:row>
    <x:row r="1019">
      <x:c r="AZ1019" t="str">
        <x:f>IF(AND('中古車掲載'!C1020="One2car",'中古車掲載'!F1020="ATTO 3",'中古車掲載'!L1020="EXTENDED RANGE",'中古車掲載'!J1020=2023,ISNUMBER('中古車掲載'!N1020),'中古車掲載'!N1020&gt;=20000,'中古車掲載'!O1020&lt;=100000,'中古車掲載'!AL1020=1),'中古車掲載'!U1020,"")</x:f>
      </x:c>
      <x:c r="BA1019" t="str">
        <x:f>IF(AND('中古車掲載'!C1020="One2car",'中古車掲載'!F1020="Corolla Cross",'中古車掲載'!L1020="HEV PREMIUM SAFETY",'中古車掲載'!J1020=2023,ISNUMBER('中古車掲載'!N1020),'中古車掲載'!N1020&gt;=20000,'中古車掲載'!O1020&lt;=100000,'中古車掲載'!AL1020=1,'中古車掲載'!Z1020="https://www.one2car.com/en/cars-for-sale/toyota/corolla-cross/year-2023"),'中古車掲載'!U1020,"")</x:f>
      </x:c>
      <x:c r="BB1019" t="str">
        <x:f>IF(AND('中古車掲載'!C1020="One2car",'中古車掲載'!F1020="ATTO 3",'中古車掲載'!L1020="EXTENDED RANGE",'中古車掲載'!J1020=2023,ISNUMBER('中古車掲載'!N1020),'中古車掲載'!N1020&gt;=50000,'中古車掲載'!O1020&lt;=100000,'中古車掲載'!AL1020=1),'中古車掲載'!U1020,"")</x:f>
      </x:c>
      <x:c r="BC1019" t="str">
        <x:f>IF(AND('中古車掲載'!C1020="One2car",'中古車掲載'!F1020="Corolla Cross",'中古車掲載'!L1020="HEV PREMIUM SAFETY",'中古車掲載'!J1020=2023,ISNUMBER('中古車掲載'!N1020),'中古車掲載'!N1020&gt;=50000,'中古車掲載'!O1020&lt;=100000,'中古車掲載'!AL1020=1,'中古車掲載'!Z1020="https://www.one2car.com/en/cars-for-sale/toyota/corolla-cross/year-2023"),'中古車掲載'!U1020,"")</x:f>
      </x:c>
      <x:c r="BD1019" t="str">
        <x:f>IF(AND('中古車掲載'!C1020="One2car",'中古車掲載'!F1020="ATTO 3",'中古車掲載'!L1020="EXTENDED RANGE",'中古車掲載'!J1020=2023,ISNUMBER('中古車掲載'!N1020),'中古車掲載'!N1020&gt;=20000,'中古車掲載'!O1020&lt;=50000,'中古車掲載'!AL1020=1),'中古車掲載'!U1020,"")</x:f>
      </x:c>
      <x:c r="BE1019" t="str">
        <x:f>IF(AND('中古車掲載'!C1020="One2car",'中古車掲載'!F1020="Corolla Cross",'中古車掲載'!L1020="HEV PREMIUM SAFETY",'中古車掲載'!J1020=2023,ISNUMBER('中古車掲載'!N1020),'中古車掲載'!N1020&gt;=20000,'中古車掲載'!O1020&lt;=50000,'中古車掲載'!AL1020=1,'中古車掲載'!Z1020="https://www.one2car.com/en/cars-for-sale/toyota/corolla-cross/year-2023"),'中古車掲載'!U1020,"")</x:f>
      </x:c>
      <x:c r="BF1019" t="str">
        <x:f>IF(AND('中古車掲載'!C1020="One2car",'中古車掲載'!F1020="Corolla Cross",'中古車掲載'!L1020="HEV PREMIUM",'中古車掲載'!J1020=2023,ISNUMBER('中古車掲載'!N1020),'中古車掲載'!N1020&gt;=20000,'中古車掲載'!O1020&lt;=100000,'中古車掲載'!AL1020=1,'中古車掲載'!Z1020="https://www.one2car.com/en/cars-for-sale/toyota/corolla-cross/year-2023"),'中古車掲載'!U1020,"")</x:f>
      </x:c>
      <x:c r="BG1019" t="str">
        <x:f>IF(AND('中古車掲載'!C1020="One2car",'中古車掲載'!F1020="Corolla Cross",'中古車掲載'!L1020="HEV GR SPORT",'中古車掲載'!J1020=2023,ISNUMBER('中古車掲載'!N1020),'中古車掲載'!N1020&gt;=20000,'中古車掲載'!O1020&lt;=100000,'中古車掲載'!AL1020=1,'中古車掲載'!Z1020="https://www.one2car.com/en/cars-for-sale/toyota/corolla-cross/year-2023"),'中古車掲載'!U1020,"")</x:f>
      </x:c>
      <x:c r="BH1019" t="str">
        <x:f>IF(AND('中古車掲載'!C1020="One2car",'中古車掲載'!F1020="DOLPHIN",'中古車掲載'!L1020="STANDARD RANGE",'中古車掲載'!J1020=2023,ISNUMBER('中古車掲載'!N1020),'中古車掲載'!N1020&gt;=20000,'中古車掲載'!O1020&lt;=100000,'中古車掲載'!AL1020=1),'中古車掲載'!U1020,"")</x:f>
      </x:c>
      <x:c r="BI1019" t="str">
        <x:v>Taladrod|Yaris Ativ|ICE|Unknown</x:v>
      </x:c>
      <x:c r="BJ1019" t="n">
        <x:v>1020</x:v>
      </x:c>
      <x:c r="BK1019" t="n">
        <x:f>'中古車掲載'!AM1020</x:f>
        <x:v>434000</x:v>
      </x:c>
      <x:c r="BL1019" t="str">
        <x:f>IF(ISNUMBER('中古車掲載'!AN1020),'中古車掲載'!AN1020,"")</x:f>
      </x:c>
    </x:row>
    <x:row r="1020">
      <x:c r="AZ1020" t="str">
        <x:f>IF(AND('中古車掲載'!C1021="One2car",'中古車掲載'!F1021="ATTO 3",'中古車掲載'!L1021="EXTENDED RANGE",'中古車掲載'!J1021=2023,ISNUMBER('中古車掲載'!N1021),'中古車掲載'!N1021&gt;=20000,'中古車掲載'!O1021&lt;=100000,'中古車掲載'!AL1021=1),'中古車掲載'!U1021,"")</x:f>
      </x:c>
      <x:c r="BA1020" t="str">
        <x:f>IF(AND('中古車掲載'!C1021="One2car",'中古車掲載'!F1021="Corolla Cross",'中古車掲載'!L1021="HEV PREMIUM SAFETY",'中古車掲載'!J1021=2023,ISNUMBER('中古車掲載'!N1021),'中古車掲載'!N1021&gt;=20000,'中古車掲載'!O1021&lt;=100000,'中古車掲載'!AL1021=1,'中古車掲載'!Z1021="https://www.one2car.com/en/cars-for-sale/toyota/corolla-cross/year-2023"),'中古車掲載'!U1021,"")</x:f>
      </x:c>
      <x:c r="BB1020" t="str">
        <x:f>IF(AND('中古車掲載'!C1021="One2car",'中古車掲載'!F1021="ATTO 3",'中古車掲載'!L1021="EXTENDED RANGE",'中古車掲載'!J1021=2023,ISNUMBER('中古車掲載'!N1021),'中古車掲載'!N1021&gt;=50000,'中古車掲載'!O1021&lt;=100000,'中古車掲載'!AL1021=1),'中古車掲載'!U1021,"")</x:f>
      </x:c>
      <x:c r="BC1020" t="str">
        <x:f>IF(AND('中古車掲載'!C1021="One2car",'中古車掲載'!F1021="Corolla Cross",'中古車掲載'!L1021="HEV PREMIUM SAFETY",'中古車掲載'!J1021=2023,ISNUMBER('中古車掲載'!N1021),'中古車掲載'!N1021&gt;=50000,'中古車掲載'!O1021&lt;=100000,'中古車掲載'!AL1021=1,'中古車掲載'!Z1021="https://www.one2car.com/en/cars-for-sale/toyota/corolla-cross/year-2023"),'中古車掲載'!U1021,"")</x:f>
      </x:c>
      <x:c r="BD1020" t="str">
        <x:f>IF(AND('中古車掲載'!C1021="One2car",'中古車掲載'!F1021="ATTO 3",'中古車掲載'!L1021="EXTENDED RANGE",'中古車掲載'!J1021=2023,ISNUMBER('中古車掲載'!N1021),'中古車掲載'!N1021&gt;=20000,'中古車掲載'!O1021&lt;=50000,'中古車掲載'!AL1021=1),'中古車掲載'!U1021,"")</x:f>
      </x:c>
      <x:c r="BE1020" t="str">
        <x:f>IF(AND('中古車掲載'!C1021="One2car",'中古車掲載'!F1021="Corolla Cross",'中古車掲載'!L1021="HEV PREMIUM SAFETY",'中古車掲載'!J1021=2023,ISNUMBER('中古車掲載'!N1021),'中古車掲載'!N1021&gt;=20000,'中古車掲載'!O1021&lt;=50000,'中古車掲載'!AL1021=1,'中古車掲載'!Z1021="https://www.one2car.com/en/cars-for-sale/toyota/corolla-cross/year-2023"),'中古車掲載'!U1021,"")</x:f>
      </x:c>
      <x:c r="BF1020" t="str">
        <x:f>IF(AND('中古車掲載'!C1021="One2car",'中古車掲載'!F1021="Corolla Cross",'中古車掲載'!L1021="HEV PREMIUM",'中古車掲載'!J1021=2023,ISNUMBER('中古車掲載'!N1021),'中古車掲載'!N1021&gt;=20000,'中古車掲載'!O1021&lt;=100000,'中古車掲載'!AL1021=1,'中古車掲載'!Z1021="https://www.one2car.com/en/cars-for-sale/toyota/corolla-cross/year-2023"),'中古車掲載'!U1021,"")</x:f>
      </x:c>
      <x:c r="BG1020" t="str">
        <x:f>IF(AND('中古車掲載'!C1021="One2car",'中古車掲載'!F1021="Corolla Cross",'中古車掲載'!L1021="HEV GR SPORT",'中古車掲載'!J1021=2023,ISNUMBER('中古車掲載'!N1021),'中古車掲載'!N1021&gt;=20000,'中古車掲載'!O1021&lt;=100000,'中古車掲載'!AL1021=1,'中古車掲載'!Z1021="https://www.one2car.com/en/cars-for-sale/toyota/corolla-cross/year-2023"),'中古車掲載'!U1021,"")</x:f>
      </x:c>
      <x:c r="BH1020" t="str">
        <x:f>IF(AND('中古車掲載'!C1021="One2car",'中古車掲載'!F1021="DOLPHIN",'中古車掲載'!L1021="STANDARD RANGE",'中古車掲載'!J1021=2023,ISNUMBER('中古車掲載'!N1021),'中古車掲載'!N1021&gt;=20000,'中古車掲載'!O1021&lt;=100000,'中古車掲載'!AL1021=1),'中古車掲載'!U1021,"")</x:f>
      </x:c>
      <x:c r="BI1020" t="str">
        <x:v>Taladrod|Yaris Ativ|ICE|Unknown</x:v>
      </x:c>
      <x:c r="BJ1020" t="n">
        <x:v>1021</x:v>
      </x:c>
      <x:c r="BK1020" t="n">
        <x:f>'中古車掲載'!AM1021</x:f>
        <x:v>459000</x:v>
      </x:c>
      <x:c r="BL1020" t="str">
        <x:f>IF(ISNUMBER('中古車掲載'!AN1021),'中古車掲載'!AN1021,"")</x:f>
      </x:c>
    </x:row>
    <x:row r="1021">
      <x:c r="AZ1021" t="str">
        <x:f>IF(AND('中古車掲載'!C1022="One2car",'中古車掲載'!F1022="ATTO 3",'中古車掲載'!L1022="EXTENDED RANGE",'中古車掲載'!J1022=2023,ISNUMBER('中古車掲載'!N1022),'中古車掲載'!N1022&gt;=20000,'中古車掲載'!O1022&lt;=100000,'中古車掲載'!AL1022=1),'中古車掲載'!U1022,"")</x:f>
      </x:c>
      <x:c r="BA1021" t="str">
        <x:f>IF(AND('中古車掲載'!C1022="One2car",'中古車掲載'!F1022="Corolla Cross",'中古車掲載'!L1022="HEV PREMIUM SAFETY",'中古車掲載'!J1022=2023,ISNUMBER('中古車掲載'!N1022),'中古車掲載'!N1022&gt;=20000,'中古車掲載'!O1022&lt;=100000,'中古車掲載'!AL1022=1,'中古車掲載'!Z1022="https://www.one2car.com/en/cars-for-sale/toyota/corolla-cross/year-2023"),'中古車掲載'!U1022,"")</x:f>
      </x:c>
      <x:c r="BB1021" t="str">
        <x:f>IF(AND('中古車掲載'!C1022="One2car",'中古車掲載'!F1022="ATTO 3",'中古車掲載'!L1022="EXTENDED RANGE",'中古車掲載'!J1022=2023,ISNUMBER('中古車掲載'!N1022),'中古車掲載'!N1022&gt;=50000,'中古車掲載'!O1022&lt;=100000,'中古車掲載'!AL1022=1),'中古車掲載'!U1022,"")</x:f>
      </x:c>
      <x:c r="BC1021" t="str">
        <x:f>IF(AND('中古車掲載'!C1022="One2car",'中古車掲載'!F1022="Corolla Cross",'中古車掲載'!L1022="HEV PREMIUM SAFETY",'中古車掲載'!J1022=2023,ISNUMBER('中古車掲載'!N1022),'中古車掲載'!N1022&gt;=50000,'中古車掲載'!O1022&lt;=100000,'中古車掲載'!AL1022=1,'中古車掲載'!Z1022="https://www.one2car.com/en/cars-for-sale/toyota/corolla-cross/year-2023"),'中古車掲載'!U1022,"")</x:f>
      </x:c>
      <x:c r="BD1021" t="str">
        <x:f>IF(AND('中古車掲載'!C1022="One2car",'中古車掲載'!F1022="ATTO 3",'中古車掲載'!L1022="EXTENDED RANGE",'中古車掲載'!J1022=2023,ISNUMBER('中古車掲載'!N1022),'中古車掲載'!N1022&gt;=20000,'中古車掲載'!O1022&lt;=50000,'中古車掲載'!AL1022=1),'中古車掲載'!U1022,"")</x:f>
      </x:c>
      <x:c r="BE1021" t="str">
        <x:f>IF(AND('中古車掲載'!C1022="One2car",'中古車掲載'!F1022="Corolla Cross",'中古車掲載'!L1022="HEV PREMIUM SAFETY",'中古車掲載'!J1022=2023,ISNUMBER('中古車掲載'!N1022),'中古車掲載'!N1022&gt;=20000,'中古車掲載'!O1022&lt;=50000,'中古車掲載'!AL1022=1,'中古車掲載'!Z1022="https://www.one2car.com/en/cars-for-sale/toyota/corolla-cross/year-2023"),'中古車掲載'!U1022,"")</x:f>
      </x:c>
      <x:c r="BF1021" t="str">
        <x:f>IF(AND('中古車掲載'!C1022="One2car",'中古車掲載'!F1022="Corolla Cross",'中古車掲載'!L1022="HEV PREMIUM",'中古車掲載'!J1022=2023,ISNUMBER('中古車掲載'!N1022),'中古車掲載'!N1022&gt;=20000,'中古車掲載'!O1022&lt;=100000,'中古車掲載'!AL1022=1,'中古車掲載'!Z1022="https://www.one2car.com/en/cars-for-sale/toyota/corolla-cross/year-2023"),'中古車掲載'!U1022,"")</x:f>
      </x:c>
      <x:c r="BG1021" t="str">
        <x:f>IF(AND('中古車掲載'!C1022="One2car",'中古車掲載'!F1022="Corolla Cross",'中古車掲載'!L1022="HEV GR SPORT",'中古車掲載'!J1022=2023,ISNUMBER('中古車掲載'!N1022),'中古車掲載'!N1022&gt;=20000,'中古車掲載'!O1022&lt;=100000,'中古車掲載'!AL1022=1,'中古車掲載'!Z1022="https://www.one2car.com/en/cars-for-sale/toyota/corolla-cross/year-2023"),'中古車掲載'!U1022,"")</x:f>
      </x:c>
      <x:c r="BH1021" t="str">
        <x:f>IF(AND('中古車掲載'!C1022="One2car",'中古車掲載'!F1022="DOLPHIN",'中古車掲載'!L1022="STANDARD RANGE",'中古車掲載'!J1022=2023,ISNUMBER('中古車掲載'!N1022),'中古車掲載'!N1022&gt;=20000,'中古車掲載'!O1022&lt;=100000,'中古車掲載'!AL1022=1),'中古車掲載'!U1022,"")</x:f>
      </x:c>
      <x:c r="BI1021" t="str">
        <x:v>Taladrod|Yaris Ativ|ICE|Unknown</x:v>
      </x:c>
      <x:c r="BJ1021" t="n">
        <x:v>1022</x:v>
      </x:c>
      <x:c r="BK1021" t="n">
        <x:f>'中古車掲載'!AM1022</x:f>
        <x:v>429000</x:v>
      </x:c>
      <x:c r="BL1021" t="str">
        <x:f>IF(ISNUMBER('中古車掲載'!AN1022),'中古車掲載'!AN1022,"")</x:f>
      </x:c>
    </x:row>
    <x:row r="1022">
      <x:c r="AZ1022" t="str">
        <x:f>IF(AND('中古車掲載'!C1023="One2car",'中古車掲載'!F1023="ATTO 3",'中古車掲載'!L1023="EXTENDED RANGE",'中古車掲載'!J1023=2023,ISNUMBER('中古車掲載'!N1023),'中古車掲載'!N1023&gt;=20000,'中古車掲載'!O1023&lt;=100000,'中古車掲載'!AL1023=1),'中古車掲載'!U1023,"")</x:f>
      </x:c>
      <x:c r="BA1022" t="str">
        <x:f>IF(AND('中古車掲載'!C1023="One2car",'中古車掲載'!F1023="Corolla Cross",'中古車掲載'!L1023="HEV PREMIUM SAFETY",'中古車掲載'!J1023=2023,ISNUMBER('中古車掲載'!N1023),'中古車掲載'!N1023&gt;=20000,'中古車掲載'!O1023&lt;=100000,'中古車掲載'!AL1023=1,'中古車掲載'!Z1023="https://www.one2car.com/en/cars-for-sale/toyota/corolla-cross/year-2023"),'中古車掲載'!U1023,"")</x:f>
      </x:c>
      <x:c r="BB1022" t="str">
        <x:f>IF(AND('中古車掲載'!C1023="One2car",'中古車掲載'!F1023="ATTO 3",'中古車掲載'!L1023="EXTENDED RANGE",'中古車掲載'!J1023=2023,ISNUMBER('中古車掲載'!N1023),'中古車掲載'!N1023&gt;=50000,'中古車掲載'!O1023&lt;=100000,'中古車掲載'!AL1023=1),'中古車掲載'!U1023,"")</x:f>
      </x:c>
      <x:c r="BC1022" t="str">
        <x:f>IF(AND('中古車掲載'!C1023="One2car",'中古車掲載'!F1023="Corolla Cross",'中古車掲載'!L1023="HEV PREMIUM SAFETY",'中古車掲載'!J1023=2023,ISNUMBER('中古車掲載'!N1023),'中古車掲載'!N1023&gt;=50000,'中古車掲載'!O1023&lt;=100000,'中古車掲載'!AL1023=1,'中古車掲載'!Z1023="https://www.one2car.com/en/cars-for-sale/toyota/corolla-cross/year-2023"),'中古車掲載'!U1023,"")</x:f>
      </x:c>
      <x:c r="BD1022" t="str">
        <x:f>IF(AND('中古車掲載'!C1023="One2car",'中古車掲載'!F1023="ATTO 3",'中古車掲載'!L1023="EXTENDED RANGE",'中古車掲載'!J1023=2023,ISNUMBER('中古車掲載'!N1023),'中古車掲載'!N1023&gt;=20000,'中古車掲載'!O1023&lt;=50000,'中古車掲載'!AL1023=1),'中古車掲載'!U1023,"")</x:f>
      </x:c>
      <x:c r="BE1022" t="str">
        <x:f>IF(AND('中古車掲載'!C1023="One2car",'中古車掲載'!F1023="Corolla Cross",'中古車掲載'!L1023="HEV PREMIUM SAFETY",'中古車掲載'!J1023=2023,ISNUMBER('中古車掲載'!N1023),'中古車掲載'!N1023&gt;=20000,'中古車掲載'!O1023&lt;=50000,'中古車掲載'!AL1023=1,'中古車掲載'!Z1023="https://www.one2car.com/en/cars-for-sale/toyota/corolla-cross/year-2023"),'中古車掲載'!U1023,"")</x:f>
      </x:c>
      <x:c r="BF1022" t="str">
        <x:f>IF(AND('中古車掲載'!C1023="One2car",'中古車掲載'!F1023="Corolla Cross",'中古車掲載'!L1023="HEV PREMIUM",'中古車掲載'!J1023=2023,ISNUMBER('中古車掲載'!N1023),'中古車掲載'!N1023&gt;=20000,'中古車掲載'!O1023&lt;=100000,'中古車掲載'!AL1023=1,'中古車掲載'!Z1023="https://www.one2car.com/en/cars-for-sale/toyota/corolla-cross/year-2023"),'中古車掲載'!U1023,"")</x:f>
      </x:c>
      <x:c r="BG1022" t="str">
        <x:f>IF(AND('中古車掲載'!C1023="One2car",'中古車掲載'!F1023="Corolla Cross",'中古車掲載'!L1023="HEV GR SPORT",'中古車掲載'!J1023=2023,ISNUMBER('中古車掲載'!N1023),'中古車掲載'!N1023&gt;=20000,'中古車掲載'!O1023&lt;=100000,'中古車掲載'!AL1023=1,'中古車掲載'!Z1023="https://www.one2car.com/en/cars-for-sale/toyota/corolla-cross/year-2023"),'中古車掲載'!U1023,"")</x:f>
      </x:c>
      <x:c r="BH1022" t="str">
        <x:f>IF(AND('中古車掲載'!C1023="One2car",'中古車掲載'!F1023="DOLPHIN",'中古車掲載'!L1023="STANDARD RANGE",'中古車掲載'!J1023=2023,ISNUMBER('中古車掲載'!N1023),'中古車掲載'!N1023&gt;=20000,'中古車掲載'!O1023&lt;=100000,'中古車掲載'!AL1023=1),'中古車掲載'!U1023,"")</x:f>
      </x:c>
      <x:c r="BI1022" t="str">
        <x:v>Taladrod|Yaris Ativ|ICE|Unknown</x:v>
      </x:c>
      <x:c r="BJ1022" t="n">
        <x:v>1023</x:v>
      </x:c>
      <x:c r="BK1022" t="n">
        <x:f>'中古車掲載'!AM1023</x:f>
        <x:v>419000</x:v>
      </x:c>
      <x:c r="BL1022" t="str">
        <x:f>IF(ISNUMBER('中古車掲載'!AN1023),'中古車掲載'!AN1023,"")</x:f>
      </x:c>
    </x:row>
    <x:row r="1023">
      <x:c r="AZ1023" t="str">
        <x:f>IF(AND('中古車掲載'!C1024="One2car",'中古車掲載'!F1024="ATTO 3",'中古車掲載'!L1024="EXTENDED RANGE",'中古車掲載'!J1024=2023,ISNUMBER('中古車掲載'!N1024),'中古車掲載'!N1024&gt;=20000,'中古車掲載'!O1024&lt;=100000,'中古車掲載'!AL1024=1),'中古車掲載'!U1024,"")</x:f>
      </x:c>
      <x:c r="BA1023" t="str">
        <x:f>IF(AND('中古車掲載'!C1024="One2car",'中古車掲載'!F1024="Corolla Cross",'中古車掲載'!L1024="HEV PREMIUM SAFETY",'中古車掲載'!J1024=2023,ISNUMBER('中古車掲載'!N1024),'中古車掲載'!N1024&gt;=20000,'中古車掲載'!O1024&lt;=100000,'中古車掲載'!AL1024=1,'中古車掲載'!Z1024="https://www.one2car.com/en/cars-for-sale/toyota/corolla-cross/year-2023"),'中古車掲載'!U1024,"")</x:f>
      </x:c>
      <x:c r="BB1023" t="str">
        <x:f>IF(AND('中古車掲載'!C1024="One2car",'中古車掲載'!F1024="ATTO 3",'中古車掲載'!L1024="EXTENDED RANGE",'中古車掲載'!J1024=2023,ISNUMBER('中古車掲載'!N1024),'中古車掲載'!N1024&gt;=50000,'中古車掲載'!O1024&lt;=100000,'中古車掲載'!AL1024=1),'中古車掲載'!U1024,"")</x:f>
      </x:c>
      <x:c r="BC1023" t="str">
        <x:f>IF(AND('中古車掲載'!C1024="One2car",'中古車掲載'!F1024="Corolla Cross",'中古車掲載'!L1024="HEV PREMIUM SAFETY",'中古車掲載'!J1024=2023,ISNUMBER('中古車掲載'!N1024),'中古車掲載'!N1024&gt;=50000,'中古車掲載'!O1024&lt;=100000,'中古車掲載'!AL1024=1,'中古車掲載'!Z1024="https://www.one2car.com/en/cars-for-sale/toyota/corolla-cross/year-2023"),'中古車掲載'!U1024,"")</x:f>
      </x:c>
      <x:c r="BD1023" t="str">
        <x:f>IF(AND('中古車掲載'!C1024="One2car",'中古車掲載'!F1024="ATTO 3",'中古車掲載'!L1024="EXTENDED RANGE",'中古車掲載'!J1024=2023,ISNUMBER('中古車掲載'!N1024),'中古車掲載'!N1024&gt;=20000,'中古車掲載'!O1024&lt;=50000,'中古車掲載'!AL1024=1),'中古車掲載'!U1024,"")</x:f>
      </x:c>
      <x:c r="BE1023" t="str">
        <x:f>IF(AND('中古車掲載'!C1024="One2car",'中古車掲載'!F1024="Corolla Cross",'中古車掲載'!L1024="HEV PREMIUM SAFETY",'中古車掲載'!J1024=2023,ISNUMBER('中古車掲載'!N1024),'中古車掲載'!N1024&gt;=20000,'中古車掲載'!O1024&lt;=50000,'中古車掲載'!AL1024=1,'中古車掲載'!Z1024="https://www.one2car.com/en/cars-for-sale/toyota/corolla-cross/year-2023"),'中古車掲載'!U1024,"")</x:f>
      </x:c>
      <x:c r="BF1023" t="str">
        <x:f>IF(AND('中古車掲載'!C1024="One2car",'中古車掲載'!F1024="Corolla Cross",'中古車掲載'!L1024="HEV PREMIUM",'中古車掲載'!J1024=2023,ISNUMBER('中古車掲載'!N1024),'中古車掲載'!N1024&gt;=20000,'中古車掲載'!O1024&lt;=100000,'中古車掲載'!AL1024=1,'中古車掲載'!Z1024="https://www.one2car.com/en/cars-for-sale/toyota/corolla-cross/year-2023"),'中古車掲載'!U1024,"")</x:f>
      </x:c>
      <x:c r="BG1023" t="str">
        <x:f>IF(AND('中古車掲載'!C1024="One2car",'中古車掲載'!F1024="Corolla Cross",'中古車掲載'!L1024="HEV GR SPORT",'中古車掲載'!J1024=2023,ISNUMBER('中古車掲載'!N1024),'中古車掲載'!N1024&gt;=20000,'中古車掲載'!O1024&lt;=100000,'中古車掲載'!AL1024=1,'中古車掲載'!Z1024="https://www.one2car.com/en/cars-for-sale/toyota/corolla-cross/year-2023"),'中古車掲載'!U1024,"")</x:f>
      </x:c>
      <x:c r="BH1023" t="str">
        <x:f>IF(AND('中古車掲載'!C1024="One2car",'中古車掲載'!F1024="DOLPHIN",'中古車掲載'!L1024="STANDARD RANGE",'中古車掲載'!J1024=2023,ISNUMBER('中古車掲載'!N1024),'中古車掲載'!N1024&gt;=20000,'中古車掲載'!O1024&lt;=100000,'中古車掲載'!AL1024=1),'中古車掲載'!U1024,"")</x:f>
      </x:c>
      <x:c r="BI1023" t="str">
        <x:v>Taladrod|Yaris Ativ|ICE|Unknown</x:v>
      </x:c>
      <x:c r="BJ1023" t="n">
        <x:v>1024</x:v>
      </x:c>
      <x:c r="BK1023" t="n">
        <x:f>'中古車掲載'!AM1024</x:f>
        <x:v>429000</x:v>
      </x:c>
      <x:c r="BL1023" t="str">
        <x:f>IF(ISNUMBER('中古車掲載'!AN1024),'中古車掲載'!AN1024,"")</x:f>
      </x:c>
    </x:row>
    <x:row r="1024">
      <x:c r="AZ1024" t="str">
        <x:f>IF(AND('中古車掲載'!C1025="One2car",'中古車掲載'!F1025="ATTO 3",'中古車掲載'!L1025="EXTENDED RANGE",'中古車掲載'!J1025=2023,ISNUMBER('中古車掲載'!N1025),'中古車掲載'!N1025&gt;=20000,'中古車掲載'!O1025&lt;=100000,'中古車掲載'!AL1025=1),'中古車掲載'!U1025,"")</x:f>
      </x:c>
      <x:c r="BA1024" t="str">
        <x:f>IF(AND('中古車掲載'!C1025="One2car",'中古車掲載'!F1025="Corolla Cross",'中古車掲載'!L1025="HEV PREMIUM SAFETY",'中古車掲載'!J1025=2023,ISNUMBER('中古車掲載'!N1025),'中古車掲載'!N1025&gt;=20000,'中古車掲載'!O1025&lt;=100000,'中古車掲載'!AL1025=1,'中古車掲載'!Z1025="https://www.one2car.com/en/cars-for-sale/toyota/corolla-cross/year-2023"),'中古車掲載'!U1025,"")</x:f>
      </x:c>
      <x:c r="BB1024" t="str">
        <x:f>IF(AND('中古車掲載'!C1025="One2car",'中古車掲載'!F1025="ATTO 3",'中古車掲載'!L1025="EXTENDED RANGE",'中古車掲載'!J1025=2023,ISNUMBER('中古車掲載'!N1025),'中古車掲載'!N1025&gt;=50000,'中古車掲載'!O1025&lt;=100000,'中古車掲載'!AL1025=1),'中古車掲載'!U1025,"")</x:f>
      </x:c>
      <x:c r="BC1024" t="str">
        <x:f>IF(AND('中古車掲載'!C1025="One2car",'中古車掲載'!F1025="Corolla Cross",'中古車掲載'!L1025="HEV PREMIUM SAFETY",'中古車掲載'!J1025=2023,ISNUMBER('中古車掲載'!N1025),'中古車掲載'!N1025&gt;=50000,'中古車掲載'!O1025&lt;=100000,'中古車掲載'!AL1025=1,'中古車掲載'!Z1025="https://www.one2car.com/en/cars-for-sale/toyota/corolla-cross/year-2023"),'中古車掲載'!U1025,"")</x:f>
      </x:c>
      <x:c r="BD1024" t="str">
        <x:f>IF(AND('中古車掲載'!C1025="One2car",'中古車掲載'!F1025="ATTO 3",'中古車掲載'!L1025="EXTENDED RANGE",'中古車掲載'!J1025=2023,ISNUMBER('中古車掲載'!N1025),'中古車掲載'!N1025&gt;=20000,'中古車掲載'!O1025&lt;=50000,'中古車掲載'!AL1025=1),'中古車掲載'!U1025,"")</x:f>
      </x:c>
      <x:c r="BE1024" t="str">
        <x:f>IF(AND('中古車掲載'!C1025="One2car",'中古車掲載'!F1025="Corolla Cross",'中古車掲載'!L1025="HEV PREMIUM SAFETY",'中古車掲載'!J1025=2023,ISNUMBER('中古車掲載'!N1025),'中古車掲載'!N1025&gt;=20000,'中古車掲載'!O1025&lt;=50000,'中古車掲載'!AL1025=1,'中古車掲載'!Z1025="https://www.one2car.com/en/cars-for-sale/toyota/corolla-cross/year-2023"),'中古車掲載'!U1025,"")</x:f>
      </x:c>
      <x:c r="BF1024" t="str">
        <x:f>IF(AND('中古車掲載'!C1025="One2car",'中古車掲載'!F1025="Corolla Cross",'中古車掲載'!L1025="HEV PREMIUM",'中古車掲載'!J1025=2023,ISNUMBER('中古車掲載'!N1025),'中古車掲載'!N1025&gt;=20000,'中古車掲載'!O1025&lt;=100000,'中古車掲載'!AL1025=1,'中古車掲載'!Z1025="https://www.one2car.com/en/cars-for-sale/toyota/corolla-cross/year-2023"),'中古車掲載'!U1025,"")</x:f>
      </x:c>
      <x:c r="BG1024" t="str">
        <x:f>IF(AND('中古車掲載'!C1025="One2car",'中古車掲載'!F1025="Corolla Cross",'中古車掲載'!L1025="HEV GR SPORT",'中古車掲載'!J1025=2023,ISNUMBER('中古車掲載'!N1025),'中古車掲載'!N1025&gt;=20000,'中古車掲載'!O1025&lt;=100000,'中古車掲載'!AL1025=1,'中古車掲載'!Z1025="https://www.one2car.com/en/cars-for-sale/toyota/corolla-cross/year-2023"),'中古車掲載'!U1025,"")</x:f>
      </x:c>
      <x:c r="BH1024" t="str">
        <x:f>IF(AND('中古車掲載'!C1025="One2car",'中古車掲載'!F1025="DOLPHIN",'中古車掲載'!L1025="STANDARD RANGE",'中古車掲載'!J1025=2023,ISNUMBER('中古車掲載'!N1025),'中古車掲載'!N1025&gt;=20000,'中古車掲載'!O1025&lt;=100000,'中古車掲載'!AL1025=1),'中古車掲載'!U1025,"")</x:f>
      </x:c>
      <x:c r="BI1024" t="str">
        <x:v>Taladrod|Yaris Ativ|ICE|Unknown</x:v>
      </x:c>
      <x:c r="BJ1024" t="n">
        <x:v>1025</x:v>
      </x:c>
      <x:c r="BK1024" t="n">
        <x:f>'中古車掲載'!AM1025</x:f>
        <x:v>419000</x:v>
      </x:c>
      <x:c r="BL1024" t="str">
        <x:f>IF(ISNUMBER('中古車掲載'!AN1025),'中古車掲載'!AN1025,"")</x:f>
      </x:c>
    </x:row>
    <x:row r="1025">
      <x:c r="AZ1025" t="str">
        <x:f>IF(AND('中古車掲載'!C1026="One2car",'中古車掲載'!F1026="ATTO 3",'中古車掲載'!L1026="EXTENDED RANGE",'中古車掲載'!J1026=2023,ISNUMBER('中古車掲載'!N1026),'中古車掲載'!N1026&gt;=20000,'中古車掲載'!O1026&lt;=100000,'中古車掲載'!AL1026=1),'中古車掲載'!U1026,"")</x:f>
      </x:c>
      <x:c r="BA1025" t="str">
        <x:f>IF(AND('中古車掲載'!C1026="One2car",'中古車掲載'!F1026="Corolla Cross",'中古車掲載'!L1026="HEV PREMIUM SAFETY",'中古車掲載'!J1026=2023,ISNUMBER('中古車掲載'!N1026),'中古車掲載'!N1026&gt;=20000,'中古車掲載'!O1026&lt;=100000,'中古車掲載'!AL1026=1,'中古車掲載'!Z1026="https://www.one2car.com/en/cars-for-sale/toyota/corolla-cross/year-2023"),'中古車掲載'!U1026,"")</x:f>
      </x:c>
      <x:c r="BB1025" t="str">
        <x:f>IF(AND('中古車掲載'!C1026="One2car",'中古車掲載'!F1026="ATTO 3",'中古車掲載'!L1026="EXTENDED RANGE",'中古車掲載'!J1026=2023,ISNUMBER('中古車掲載'!N1026),'中古車掲載'!N1026&gt;=50000,'中古車掲載'!O1026&lt;=100000,'中古車掲載'!AL1026=1),'中古車掲載'!U1026,"")</x:f>
      </x:c>
      <x:c r="BC1025" t="str">
        <x:f>IF(AND('中古車掲載'!C1026="One2car",'中古車掲載'!F1026="Corolla Cross",'中古車掲載'!L1026="HEV PREMIUM SAFETY",'中古車掲載'!J1026=2023,ISNUMBER('中古車掲載'!N1026),'中古車掲載'!N1026&gt;=50000,'中古車掲載'!O1026&lt;=100000,'中古車掲載'!AL1026=1,'中古車掲載'!Z1026="https://www.one2car.com/en/cars-for-sale/toyota/corolla-cross/year-2023"),'中古車掲載'!U1026,"")</x:f>
      </x:c>
      <x:c r="BD1025" t="str">
        <x:f>IF(AND('中古車掲載'!C1026="One2car",'中古車掲載'!F1026="ATTO 3",'中古車掲載'!L1026="EXTENDED RANGE",'中古車掲載'!J1026=2023,ISNUMBER('中古車掲載'!N1026),'中古車掲載'!N1026&gt;=20000,'中古車掲載'!O1026&lt;=50000,'中古車掲載'!AL1026=1),'中古車掲載'!U1026,"")</x:f>
      </x:c>
      <x:c r="BE1025" t="str">
        <x:f>IF(AND('中古車掲載'!C1026="One2car",'中古車掲載'!F1026="Corolla Cross",'中古車掲載'!L1026="HEV PREMIUM SAFETY",'中古車掲載'!J1026=2023,ISNUMBER('中古車掲載'!N1026),'中古車掲載'!N1026&gt;=20000,'中古車掲載'!O1026&lt;=50000,'中古車掲載'!AL1026=1,'中古車掲載'!Z1026="https://www.one2car.com/en/cars-for-sale/toyota/corolla-cross/year-2023"),'中古車掲載'!U1026,"")</x:f>
      </x:c>
      <x:c r="BF1025" t="str">
        <x:f>IF(AND('中古車掲載'!C1026="One2car",'中古車掲載'!F1026="Corolla Cross",'中古車掲載'!L1026="HEV PREMIUM",'中古車掲載'!J1026=2023,ISNUMBER('中古車掲載'!N1026),'中古車掲載'!N1026&gt;=20000,'中古車掲載'!O1026&lt;=100000,'中古車掲載'!AL1026=1,'中古車掲載'!Z1026="https://www.one2car.com/en/cars-for-sale/toyota/corolla-cross/year-2023"),'中古車掲載'!U1026,"")</x:f>
      </x:c>
      <x:c r="BG1025" t="str">
        <x:f>IF(AND('中古車掲載'!C1026="One2car",'中古車掲載'!F1026="Corolla Cross",'中古車掲載'!L1026="HEV GR SPORT",'中古車掲載'!J1026=2023,ISNUMBER('中古車掲載'!N1026),'中古車掲載'!N1026&gt;=20000,'中古車掲載'!O1026&lt;=100000,'中古車掲載'!AL1026=1,'中古車掲載'!Z1026="https://www.one2car.com/en/cars-for-sale/toyota/corolla-cross/year-2023"),'中古車掲載'!U1026,"")</x:f>
      </x:c>
      <x:c r="BH1025" t="str">
        <x:f>IF(AND('中古車掲載'!C1026="One2car",'中古車掲載'!F1026="DOLPHIN",'中古車掲載'!L1026="STANDARD RANGE",'中古車掲載'!J1026=2023,ISNUMBER('中古車掲載'!N1026),'中古車掲載'!N1026&gt;=20000,'中古車掲載'!O1026&lt;=100000,'中古車掲載'!AL1026=1),'中古車掲載'!U1026,"")</x:f>
      </x:c>
      <x:c r="BI1025" t="str">
        <x:v>Taladrod|Yaris Ativ|ICE|Unknown</x:v>
      </x:c>
      <x:c r="BJ1025" t="n">
        <x:v>1026</x:v>
      </x:c>
      <x:c r="BK1025" t="n">
        <x:f>'中古車掲載'!AM1026</x:f>
        <x:v>434000</x:v>
      </x:c>
      <x:c r="BL1025" t="str">
        <x:f>IF(ISNUMBER('中古車掲載'!AN1026),'中古車掲載'!AN1026,"")</x:f>
      </x:c>
    </x:row>
    <x:row r="1026">
      <x:c r="AZ1026" t="str">
        <x:f>IF(AND('中古車掲載'!C1027="One2car",'中古車掲載'!F1027="ATTO 3",'中古車掲載'!L1027="EXTENDED RANGE",'中古車掲載'!J1027=2023,ISNUMBER('中古車掲載'!N1027),'中古車掲載'!N1027&gt;=20000,'中古車掲載'!O1027&lt;=100000,'中古車掲載'!AL1027=1),'中古車掲載'!U1027,"")</x:f>
      </x:c>
      <x:c r="BA1026" t="str">
        <x:f>IF(AND('中古車掲載'!C1027="One2car",'中古車掲載'!F1027="Corolla Cross",'中古車掲載'!L1027="HEV PREMIUM SAFETY",'中古車掲載'!J1027=2023,ISNUMBER('中古車掲載'!N1027),'中古車掲載'!N1027&gt;=20000,'中古車掲載'!O1027&lt;=100000,'中古車掲載'!AL1027=1,'中古車掲載'!Z1027="https://www.one2car.com/en/cars-for-sale/toyota/corolla-cross/year-2023"),'中古車掲載'!U1027,"")</x:f>
      </x:c>
      <x:c r="BB1026" t="str">
        <x:f>IF(AND('中古車掲載'!C1027="One2car",'中古車掲載'!F1027="ATTO 3",'中古車掲載'!L1027="EXTENDED RANGE",'中古車掲載'!J1027=2023,ISNUMBER('中古車掲載'!N1027),'中古車掲載'!N1027&gt;=50000,'中古車掲載'!O1027&lt;=100000,'中古車掲載'!AL1027=1),'中古車掲載'!U1027,"")</x:f>
      </x:c>
      <x:c r="BC1026" t="str">
        <x:f>IF(AND('中古車掲載'!C1027="One2car",'中古車掲載'!F1027="Corolla Cross",'中古車掲載'!L1027="HEV PREMIUM SAFETY",'中古車掲載'!J1027=2023,ISNUMBER('中古車掲載'!N1027),'中古車掲載'!N1027&gt;=50000,'中古車掲載'!O1027&lt;=100000,'中古車掲載'!AL1027=1,'中古車掲載'!Z1027="https://www.one2car.com/en/cars-for-sale/toyota/corolla-cross/year-2023"),'中古車掲載'!U1027,"")</x:f>
      </x:c>
      <x:c r="BD1026" t="str">
        <x:f>IF(AND('中古車掲載'!C1027="One2car",'中古車掲載'!F1027="ATTO 3",'中古車掲載'!L1027="EXTENDED RANGE",'中古車掲載'!J1027=2023,ISNUMBER('中古車掲載'!N1027),'中古車掲載'!N1027&gt;=20000,'中古車掲載'!O1027&lt;=50000,'中古車掲載'!AL1027=1),'中古車掲載'!U1027,"")</x:f>
      </x:c>
      <x:c r="BE1026" t="str">
        <x:f>IF(AND('中古車掲載'!C1027="One2car",'中古車掲載'!F1027="Corolla Cross",'中古車掲載'!L1027="HEV PREMIUM SAFETY",'中古車掲載'!J1027=2023,ISNUMBER('中古車掲載'!N1027),'中古車掲載'!N1027&gt;=20000,'中古車掲載'!O1027&lt;=50000,'中古車掲載'!AL1027=1,'中古車掲載'!Z1027="https://www.one2car.com/en/cars-for-sale/toyota/corolla-cross/year-2023"),'中古車掲載'!U1027,"")</x:f>
      </x:c>
      <x:c r="BF1026" t="str">
        <x:f>IF(AND('中古車掲載'!C1027="One2car",'中古車掲載'!F1027="Corolla Cross",'中古車掲載'!L1027="HEV PREMIUM",'中古車掲載'!J1027=2023,ISNUMBER('中古車掲載'!N1027),'中古車掲載'!N1027&gt;=20000,'中古車掲載'!O1027&lt;=100000,'中古車掲載'!AL1027=1,'中古車掲載'!Z1027="https://www.one2car.com/en/cars-for-sale/toyota/corolla-cross/year-2023"),'中古車掲載'!U1027,"")</x:f>
      </x:c>
      <x:c r="BG1026" t="str">
        <x:f>IF(AND('中古車掲載'!C1027="One2car",'中古車掲載'!F1027="Corolla Cross",'中古車掲載'!L1027="HEV GR SPORT",'中古車掲載'!J1027=2023,ISNUMBER('中古車掲載'!N1027),'中古車掲載'!N1027&gt;=20000,'中古車掲載'!O1027&lt;=100000,'中古車掲載'!AL1027=1,'中古車掲載'!Z1027="https://www.one2car.com/en/cars-for-sale/toyota/corolla-cross/year-2023"),'中古車掲載'!U1027,"")</x:f>
      </x:c>
      <x:c r="BH1026" t="str">
        <x:f>IF(AND('中古車掲載'!C1027="One2car",'中古車掲載'!F1027="DOLPHIN",'中古車掲載'!L1027="STANDARD RANGE",'中古車掲載'!J1027=2023,ISNUMBER('中古車掲載'!N1027),'中古車掲載'!N1027&gt;=20000,'中古車掲載'!O1027&lt;=100000,'中古車掲載'!AL1027=1),'中古車掲載'!U1027,"")</x:f>
      </x:c>
      <x:c r="BI1026" t="str">
        <x:v>Taladrod|Yaris Ativ|ICE|Unknown</x:v>
      </x:c>
      <x:c r="BJ1026" t="n">
        <x:v>1027</x:v>
      </x:c>
      <x:c r="BK1026" t="n">
        <x:f>'中古車掲載'!AM1027</x:f>
        <x:v>414000</x:v>
      </x:c>
      <x:c r="BL1026" t="str">
        <x:f>IF(ISNUMBER('中古車掲載'!AN1027),'中古車掲載'!AN1027,"")</x:f>
      </x:c>
    </x:row>
    <x:row r="1027">
      <x:c r="AZ1027" t="str">
        <x:f>IF(AND('中古車掲載'!C1028="One2car",'中古車掲載'!F1028="ATTO 3",'中古車掲載'!L1028="EXTENDED RANGE",'中古車掲載'!J1028=2023,ISNUMBER('中古車掲載'!N1028),'中古車掲載'!N1028&gt;=20000,'中古車掲載'!O1028&lt;=100000,'中古車掲載'!AL1028=1),'中古車掲載'!U1028,"")</x:f>
      </x:c>
      <x:c r="BA1027" t="str">
        <x:f>IF(AND('中古車掲載'!C1028="One2car",'中古車掲載'!F1028="Corolla Cross",'中古車掲載'!L1028="HEV PREMIUM SAFETY",'中古車掲載'!J1028=2023,ISNUMBER('中古車掲載'!N1028),'中古車掲載'!N1028&gt;=20000,'中古車掲載'!O1028&lt;=100000,'中古車掲載'!AL1028=1,'中古車掲載'!Z1028="https://www.one2car.com/en/cars-for-sale/toyota/corolla-cross/year-2023"),'中古車掲載'!U1028,"")</x:f>
      </x:c>
      <x:c r="BB1027" t="str">
        <x:f>IF(AND('中古車掲載'!C1028="One2car",'中古車掲載'!F1028="ATTO 3",'中古車掲載'!L1028="EXTENDED RANGE",'中古車掲載'!J1028=2023,ISNUMBER('中古車掲載'!N1028),'中古車掲載'!N1028&gt;=50000,'中古車掲載'!O1028&lt;=100000,'中古車掲載'!AL1028=1),'中古車掲載'!U1028,"")</x:f>
      </x:c>
      <x:c r="BC1027" t="str">
        <x:f>IF(AND('中古車掲載'!C1028="One2car",'中古車掲載'!F1028="Corolla Cross",'中古車掲載'!L1028="HEV PREMIUM SAFETY",'中古車掲載'!J1028=2023,ISNUMBER('中古車掲載'!N1028),'中古車掲載'!N1028&gt;=50000,'中古車掲載'!O1028&lt;=100000,'中古車掲載'!AL1028=1,'中古車掲載'!Z1028="https://www.one2car.com/en/cars-for-sale/toyota/corolla-cross/year-2023"),'中古車掲載'!U1028,"")</x:f>
      </x:c>
      <x:c r="BD1027" t="str">
        <x:f>IF(AND('中古車掲載'!C1028="One2car",'中古車掲載'!F1028="ATTO 3",'中古車掲載'!L1028="EXTENDED RANGE",'中古車掲載'!J1028=2023,ISNUMBER('中古車掲載'!N1028),'中古車掲載'!N1028&gt;=20000,'中古車掲載'!O1028&lt;=50000,'中古車掲載'!AL1028=1),'中古車掲載'!U1028,"")</x:f>
      </x:c>
      <x:c r="BE1027" t="str">
        <x:f>IF(AND('中古車掲載'!C1028="One2car",'中古車掲載'!F1028="Corolla Cross",'中古車掲載'!L1028="HEV PREMIUM SAFETY",'中古車掲載'!J1028=2023,ISNUMBER('中古車掲載'!N1028),'中古車掲載'!N1028&gt;=20000,'中古車掲載'!O1028&lt;=50000,'中古車掲載'!AL1028=1,'中古車掲載'!Z1028="https://www.one2car.com/en/cars-for-sale/toyota/corolla-cross/year-2023"),'中古車掲載'!U1028,"")</x:f>
      </x:c>
      <x:c r="BF1027" t="str">
        <x:f>IF(AND('中古車掲載'!C1028="One2car",'中古車掲載'!F1028="Corolla Cross",'中古車掲載'!L1028="HEV PREMIUM",'中古車掲載'!J1028=2023,ISNUMBER('中古車掲載'!N1028),'中古車掲載'!N1028&gt;=20000,'中古車掲載'!O1028&lt;=100000,'中古車掲載'!AL1028=1,'中古車掲載'!Z1028="https://www.one2car.com/en/cars-for-sale/toyota/corolla-cross/year-2023"),'中古車掲載'!U1028,"")</x:f>
      </x:c>
      <x:c r="BG1027" t="str">
        <x:f>IF(AND('中古車掲載'!C1028="One2car",'中古車掲載'!F1028="Corolla Cross",'中古車掲載'!L1028="HEV GR SPORT",'中古車掲載'!J1028=2023,ISNUMBER('中古車掲載'!N1028),'中古車掲載'!N1028&gt;=20000,'中古車掲載'!O1028&lt;=100000,'中古車掲載'!AL1028=1,'中古車掲載'!Z1028="https://www.one2car.com/en/cars-for-sale/toyota/corolla-cross/year-2023"),'中古車掲載'!U1028,"")</x:f>
      </x:c>
      <x:c r="BH1027" t="str">
        <x:f>IF(AND('中古車掲載'!C1028="One2car",'中古車掲載'!F1028="DOLPHIN",'中古車掲載'!L1028="STANDARD RANGE",'中古車掲載'!J1028=2023,ISNUMBER('中古車掲載'!N1028),'中古車掲載'!N1028&gt;=20000,'中古車掲載'!O1028&lt;=100000,'中古車掲載'!AL1028=1),'中古車掲載'!U1028,"")</x:f>
      </x:c>
      <x:c r="BI1027" t="str">
        <x:v>Taladrod|Yaris Ativ|ICE|Unknown</x:v>
      </x:c>
      <x:c r="BJ1027" t="n">
        <x:v>1028</x:v>
      </x:c>
      <x:c r="BK1027" t="n">
        <x:f>'中古車掲載'!AM1028</x:f>
        <x:v>465000</x:v>
      </x:c>
      <x:c r="BL1027" t="str">
        <x:f>IF(ISNUMBER('中古車掲載'!AN1028),'中古車掲載'!AN1028,"")</x:f>
      </x:c>
    </x:row>
    <x:row r="1028">
      <x:c r="AZ1028" t="str">
        <x:f>IF(AND('中古車掲載'!C1029="One2car",'中古車掲載'!F1029="ATTO 3",'中古車掲載'!L1029="EXTENDED RANGE",'中古車掲載'!J1029=2023,ISNUMBER('中古車掲載'!N1029),'中古車掲載'!N1029&gt;=20000,'中古車掲載'!O1029&lt;=100000,'中古車掲載'!AL1029=1),'中古車掲載'!U1029,"")</x:f>
      </x:c>
      <x:c r="BA1028" t="str">
        <x:f>IF(AND('中古車掲載'!C1029="One2car",'中古車掲載'!F1029="Corolla Cross",'中古車掲載'!L1029="HEV PREMIUM SAFETY",'中古車掲載'!J1029=2023,ISNUMBER('中古車掲載'!N1029),'中古車掲載'!N1029&gt;=20000,'中古車掲載'!O1029&lt;=100000,'中古車掲載'!AL1029=1,'中古車掲載'!Z1029="https://www.one2car.com/en/cars-for-sale/toyota/corolla-cross/year-2023"),'中古車掲載'!U1029,"")</x:f>
      </x:c>
      <x:c r="BB1028" t="str">
        <x:f>IF(AND('中古車掲載'!C1029="One2car",'中古車掲載'!F1029="ATTO 3",'中古車掲載'!L1029="EXTENDED RANGE",'中古車掲載'!J1029=2023,ISNUMBER('中古車掲載'!N1029),'中古車掲載'!N1029&gt;=50000,'中古車掲載'!O1029&lt;=100000,'中古車掲載'!AL1029=1),'中古車掲載'!U1029,"")</x:f>
      </x:c>
      <x:c r="BC1028" t="str">
        <x:f>IF(AND('中古車掲載'!C1029="One2car",'中古車掲載'!F1029="Corolla Cross",'中古車掲載'!L1029="HEV PREMIUM SAFETY",'中古車掲載'!J1029=2023,ISNUMBER('中古車掲載'!N1029),'中古車掲載'!N1029&gt;=50000,'中古車掲載'!O1029&lt;=100000,'中古車掲載'!AL1029=1,'中古車掲載'!Z1029="https://www.one2car.com/en/cars-for-sale/toyota/corolla-cross/year-2023"),'中古車掲載'!U1029,"")</x:f>
      </x:c>
      <x:c r="BD1028" t="str">
        <x:f>IF(AND('中古車掲載'!C1029="One2car",'中古車掲載'!F1029="ATTO 3",'中古車掲載'!L1029="EXTENDED RANGE",'中古車掲載'!J1029=2023,ISNUMBER('中古車掲載'!N1029),'中古車掲載'!N1029&gt;=20000,'中古車掲載'!O1029&lt;=50000,'中古車掲載'!AL1029=1),'中古車掲載'!U1029,"")</x:f>
      </x:c>
      <x:c r="BE1028" t="str">
        <x:f>IF(AND('中古車掲載'!C1029="One2car",'中古車掲載'!F1029="Corolla Cross",'中古車掲載'!L1029="HEV PREMIUM SAFETY",'中古車掲載'!J1029=2023,ISNUMBER('中古車掲載'!N1029),'中古車掲載'!N1029&gt;=20000,'中古車掲載'!O1029&lt;=50000,'中古車掲載'!AL1029=1,'中古車掲載'!Z1029="https://www.one2car.com/en/cars-for-sale/toyota/corolla-cross/year-2023"),'中古車掲載'!U1029,"")</x:f>
      </x:c>
      <x:c r="BF1028" t="str">
        <x:f>IF(AND('中古車掲載'!C1029="One2car",'中古車掲載'!F1029="Corolla Cross",'中古車掲載'!L1029="HEV PREMIUM",'中古車掲載'!J1029=2023,ISNUMBER('中古車掲載'!N1029),'中古車掲載'!N1029&gt;=20000,'中古車掲載'!O1029&lt;=100000,'中古車掲載'!AL1029=1,'中古車掲載'!Z1029="https://www.one2car.com/en/cars-for-sale/toyota/corolla-cross/year-2023"),'中古車掲載'!U1029,"")</x:f>
      </x:c>
      <x:c r="BG1028" t="str">
        <x:f>IF(AND('中古車掲載'!C1029="One2car",'中古車掲載'!F1029="Corolla Cross",'中古車掲載'!L1029="HEV GR SPORT",'中古車掲載'!J1029=2023,ISNUMBER('中古車掲載'!N1029),'中古車掲載'!N1029&gt;=20000,'中古車掲載'!O1029&lt;=100000,'中古車掲載'!AL1029=1,'中古車掲載'!Z1029="https://www.one2car.com/en/cars-for-sale/toyota/corolla-cross/year-2023"),'中古車掲載'!U1029,"")</x:f>
      </x:c>
      <x:c r="BH1028" t="str">
        <x:f>IF(AND('中古車掲載'!C1029="One2car",'中古車掲載'!F1029="DOLPHIN",'中古車掲載'!L1029="STANDARD RANGE",'中古車掲載'!J1029=2023,ISNUMBER('中古車掲載'!N1029),'中古車掲載'!N1029&gt;=20000,'中古車掲載'!O1029&lt;=100000,'中古車掲載'!AL1029=1),'中古車掲載'!U1029,"")</x:f>
      </x:c>
      <x:c r="BI1028" t="str">
        <x:v>Taladrod|Yaris Ativ|ICE|Unknown</x:v>
      </x:c>
      <x:c r="BJ1028" t="n">
        <x:v>1029</x:v>
      </x:c>
      <x:c r="BK1028" t="n">
        <x:f>'中古車掲載'!AM1029</x:f>
        <x:v>389000</x:v>
      </x:c>
      <x:c r="BL1028" t="str">
        <x:f>IF(ISNUMBER('中古車掲載'!AN1029),'中古車掲載'!AN1029,"")</x:f>
      </x:c>
    </x:row>
    <x:row r="1029">
      <x:c r="AZ1029" t="str">
        <x:f>IF(AND('中古車掲載'!C1030="One2car",'中古車掲載'!F1030="ATTO 3",'中古車掲載'!L1030="EXTENDED RANGE",'中古車掲載'!J1030=2023,ISNUMBER('中古車掲載'!N1030),'中古車掲載'!N1030&gt;=20000,'中古車掲載'!O1030&lt;=100000,'中古車掲載'!AL1030=1),'中古車掲載'!U1030,"")</x:f>
      </x:c>
      <x:c r="BA1029" t="str">
        <x:f>IF(AND('中古車掲載'!C1030="One2car",'中古車掲載'!F1030="Corolla Cross",'中古車掲載'!L1030="HEV PREMIUM SAFETY",'中古車掲載'!J1030=2023,ISNUMBER('中古車掲載'!N1030),'中古車掲載'!N1030&gt;=20000,'中古車掲載'!O1030&lt;=100000,'中古車掲載'!AL1030=1,'中古車掲載'!Z1030="https://www.one2car.com/en/cars-for-sale/toyota/corolla-cross/year-2023"),'中古車掲載'!U1030,"")</x:f>
      </x:c>
      <x:c r="BB1029" t="str">
        <x:f>IF(AND('中古車掲載'!C1030="One2car",'中古車掲載'!F1030="ATTO 3",'中古車掲載'!L1030="EXTENDED RANGE",'中古車掲載'!J1030=2023,ISNUMBER('中古車掲載'!N1030),'中古車掲載'!N1030&gt;=50000,'中古車掲載'!O1030&lt;=100000,'中古車掲載'!AL1030=1),'中古車掲載'!U1030,"")</x:f>
      </x:c>
      <x:c r="BC1029" t="str">
        <x:f>IF(AND('中古車掲載'!C1030="One2car",'中古車掲載'!F1030="Corolla Cross",'中古車掲載'!L1030="HEV PREMIUM SAFETY",'中古車掲載'!J1030=2023,ISNUMBER('中古車掲載'!N1030),'中古車掲載'!N1030&gt;=50000,'中古車掲載'!O1030&lt;=100000,'中古車掲載'!AL1030=1,'中古車掲載'!Z1030="https://www.one2car.com/en/cars-for-sale/toyota/corolla-cross/year-2023"),'中古車掲載'!U1030,"")</x:f>
      </x:c>
      <x:c r="BD1029" t="str">
        <x:f>IF(AND('中古車掲載'!C1030="One2car",'中古車掲載'!F1030="ATTO 3",'中古車掲載'!L1030="EXTENDED RANGE",'中古車掲載'!J1030=2023,ISNUMBER('中古車掲載'!N1030),'中古車掲載'!N1030&gt;=20000,'中古車掲載'!O1030&lt;=50000,'中古車掲載'!AL1030=1),'中古車掲載'!U1030,"")</x:f>
      </x:c>
      <x:c r="BE1029" t="str">
        <x:f>IF(AND('中古車掲載'!C1030="One2car",'中古車掲載'!F1030="Corolla Cross",'中古車掲載'!L1030="HEV PREMIUM SAFETY",'中古車掲載'!J1030=2023,ISNUMBER('中古車掲載'!N1030),'中古車掲載'!N1030&gt;=20000,'中古車掲載'!O1030&lt;=50000,'中古車掲載'!AL1030=1,'中古車掲載'!Z1030="https://www.one2car.com/en/cars-for-sale/toyota/corolla-cross/year-2023"),'中古車掲載'!U1030,"")</x:f>
      </x:c>
      <x:c r="BF1029" t="str">
        <x:f>IF(AND('中古車掲載'!C1030="One2car",'中古車掲載'!F1030="Corolla Cross",'中古車掲載'!L1030="HEV PREMIUM",'中古車掲載'!J1030=2023,ISNUMBER('中古車掲載'!N1030),'中古車掲載'!N1030&gt;=20000,'中古車掲載'!O1030&lt;=100000,'中古車掲載'!AL1030=1,'中古車掲載'!Z1030="https://www.one2car.com/en/cars-for-sale/toyota/corolla-cross/year-2023"),'中古車掲載'!U1030,"")</x:f>
      </x:c>
      <x:c r="BG1029" t="str">
        <x:f>IF(AND('中古車掲載'!C1030="One2car",'中古車掲載'!F1030="Corolla Cross",'中古車掲載'!L1030="HEV GR SPORT",'中古車掲載'!J1030=2023,ISNUMBER('中古車掲載'!N1030),'中古車掲載'!N1030&gt;=20000,'中古車掲載'!O1030&lt;=100000,'中古車掲載'!AL1030=1,'中古車掲載'!Z1030="https://www.one2car.com/en/cars-for-sale/toyota/corolla-cross/year-2023"),'中古車掲載'!U1030,"")</x:f>
      </x:c>
      <x:c r="BH1029" t="str">
        <x:f>IF(AND('中古車掲載'!C1030="One2car",'中古車掲載'!F1030="DOLPHIN",'中古車掲載'!L1030="STANDARD RANGE",'中古車掲載'!J1030=2023,ISNUMBER('中古車掲載'!N1030),'中古車掲載'!N1030&gt;=20000,'中古車掲載'!O1030&lt;=100000,'中古車掲載'!AL1030=1),'中古車掲載'!U1030,"")</x:f>
      </x:c>
      <x:c r="BI1029" t="str">
        <x:v>Taladrod|Yaris Ativ|ICE|Unknown</x:v>
      </x:c>
      <x:c r="BJ1029" t="n">
        <x:v>1030</x:v>
      </x:c>
      <x:c r="BK1029" t="n">
        <x:f>'中古車掲載'!AM1030</x:f>
        <x:v>429000</x:v>
      </x:c>
      <x:c r="BL1029" t="str">
        <x:f>IF(ISNUMBER('中古車掲載'!AN1030),'中古車掲載'!AN1030,"")</x:f>
      </x:c>
    </x:row>
    <x:row r="1030">
      <x:c r="AZ1030" t="str">
        <x:f>IF(AND('中古車掲載'!C1031="One2car",'中古車掲載'!F1031="ATTO 3",'中古車掲載'!L1031="EXTENDED RANGE",'中古車掲載'!J1031=2023,ISNUMBER('中古車掲載'!N1031),'中古車掲載'!N1031&gt;=20000,'中古車掲載'!O1031&lt;=100000,'中古車掲載'!AL1031=1),'中古車掲載'!U1031,"")</x:f>
      </x:c>
      <x:c r="BA1030" t="str">
        <x:f>IF(AND('中古車掲載'!C1031="One2car",'中古車掲載'!F1031="Corolla Cross",'中古車掲載'!L1031="HEV PREMIUM SAFETY",'中古車掲載'!J1031=2023,ISNUMBER('中古車掲載'!N1031),'中古車掲載'!N1031&gt;=20000,'中古車掲載'!O1031&lt;=100000,'中古車掲載'!AL1031=1,'中古車掲載'!Z1031="https://www.one2car.com/en/cars-for-sale/toyota/corolla-cross/year-2023"),'中古車掲載'!U1031,"")</x:f>
      </x:c>
      <x:c r="BB1030" t="str">
        <x:f>IF(AND('中古車掲載'!C1031="One2car",'中古車掲載'!F1031="ATTO 3",'中古車掲載'!L1031="EXTENDED RANGE",'中古車掲載'!J1031=2023,ISNUMBER('中古車掲載'!N1031),'中古車掲載'!N1031&gt;=50000,'中古車掲載'!O1031&lt;=100000,'中古車掲載'!AL1031=1),'中古車掲載'!U1031,"")</x:f>
      </x:c>
      <x:c r="BC1030" t="str">
        <x:f>IF(AND('中古車掲載'!C1031="One2car",'中古車掲載'!F1031="Corolla Cross",'中古車掲載'!L1031="HEV PREMIUM SAFETY",'中古車掲載'!J1031=2023,ISNUMBER('中古車掲載'!N1031),'中古車掲載'!N1031&gt;=50000,'中古車掲載'!O1031&lt;=100000,'中古車掲載'!AL1031=1,'中古車掲載'!Z1031="https://www.one2car.com/en/cars-for-sale/toyota/corolla-cross/year-2023"),'中古車掲載'!U1031,"")</x:f>
      </x:c>
      <x:c r="BD1030" t="str">
        <x:f>IF(AND('中古車掲載'!C1031="One2car",'中古車掲載'!F1031="ATTO 3",'中古車掲載'!L1031="EXTENDED RANGE",'中古車掲載'!J1031=2023,ISNUMBER('中古車掲載'!N1031),'中古車掲載'!N1031&gt;=20000,'中古車掲載'!O1031&lt;=50000,'中古車掲載'!AL1031=1),'中古車掲載'!U1031,"")</x:f>
      </x:c>
      <x:c r="BE1030" t="str">
        <x:f>IF(AND('中古車掲載'!C1031="One2car",'中古車掲載'!F1031="Corolla Cross",'中古車掲載'!L1031="HEV PREMIUM SAFETY",'中古車掲載'!J1031=2023,ISNUMBER('中古車掲載'!N1031),'中古車掲載'!N1031&gt;=20000,'中古車掲載'!O1031&lt;=50000,'中古車掲載'!AL1031=1,'中古車掲載'!Z1031="https://www.one2car.com/en/cars-for-sale/toyota/corolla-cross/year-2023"),'中古車掲載'!U1031,"")</x:f>
      </x:c>
      <x:c r="BF1030" t="str">
        <x:f>IF(AND('中古車掲載'!C1031="One2car",'中古車掲載'!F1031="Corolla Cross",'中古車掲載'!L1031="HEV PREMIUM",'中古車掲載'!J1031=2023,ISNUMBER('中古車掲載'!N1031),'中古車掲載'!N1031&gt;=20000,'中古車掲載'!O1031&lt;=100000,'中古車掲載'!AL1031=1,'中古車掲載'!Z1031="https://www.one2car.com/en/cars-for-sale/toyota/corolla-cross/year-2023"),'中古車掲載'!U1031,"")</x:f>
      </x:c>
      <x:c r="BG1030" t="str">
        <x:f>IF(AND('中古車掲載'!C1031="One2car",'中古車掲載'!F1031="Corolla Cross",'中古車掲載'!L1031="HEV GR SPORT",'中古車掲載'!J1031=2023,ISNUMBER('中古車掲載'!N1031),'中古車掲載'!N1031&gt;=20000,'中古車掲載'!O1031&lt;=100000,'中古車掲載'!AL1031=1,'中古車掲載'!Z1031="https://www.one2car.com/en/cars-for-sale/toyota/corolla-cross/year-2023"),'中古車掲載'!U1031,"")</x:f>
      </x:c>
      <x:c r="BH1030" t="str">
        <x:f>IF(AND('中古車掲載'!C1031="One2car",'中古車掲載'!F1031="DOLPHIN",'中古車掲載'!L1031="STANDARD RANGE",'中古車掲載'!J1031=2023,ISNUMBER('中古車掲載'!N1031),'中古車掲載'!N1031&gt;=20000,'中古車掲載'!O1031&lt;=100000,'中古車掲載'!AL1031=1),'中古車掲載'!U1031,"")</x:f>
      </x:c>
      <x:c r="BI1030" t="str">
        <x:v>Taladrod|Yaris Ativ|ICE|Unknown</x:v>
      </x:c>
      <x:c r="BJ1030" t="n">
        <x:v>1031</x:v>
      </x:c>
      <x:c r="BK1030" t="n">
        <x:f>'中古車掲載'!AM1031</x:f>
        <x:v>379000</x:v>
      </x:c>
      <x:c r="BL1030" t="str">
        <x:f>IF(ISNUMBER('中古車掲載'!AN1031),'中古車掲載'!AN1031,"")</x:f>
      </x:c>
    </x:row>
    <x:row r="1031">
      <x:c r="AZ1031" t="str">
        <x:f>IF(AND('中古車掲載'!C1032="One2car",'中古車掲載'!F1032="ATTO 3",'中古車掲載'!L1032="EXTENDED RANGE",'中古車掲載'!J1032=2023,ISNUMBER('中古車掲載'!N1032),'中古車掲載'!N1032&gt;=20000,'中古車掲載'!O1032&lt;=100000,'中古車掲載'!AL1032=1),'中古車掲載'!U1032,"")</x:f>
      </x:c>
      <x:c r="BA1031" t="str">
        <x:f>IF(AND('中古車掲載'!C1032="One2car",'中古車掲載'!F1032="Corolla Cross",'中古車掲載'!L1032="HEV PREMIUM SAFETY",'中古車掲載'!J1032=2023,ISNUMBER('中古車掲載'!N1032),'中古車掲載'!N1032&gt;=20000,'中古車掲載'!O1032&lt;=100000,'中古車掲載'!AL1032=1,'中古車掲載'!Z1032="https://www.one2car.com/en/cars-for-sale/toyota/corolla-cross/year-2023"),'中古車掲載'!U1032,"")</x:f>
      </x:c>
      <x:c r="BB1031" t="str">
        <x:f>IF(AND('中古車掲載'!C1032="One2car",'中古車掲載'!F1032="ATTO 3",'中古車掲載'!L1032="EXTENDED RANGE",'中古車掲載'!J1032=2023,ISNUMBER('中古車掲載'!N1032),'中古車掲載'!N1032&gt;=50000,'中古車掲載'!O1032&lt;=100000,'中古車掲載'!AL1032=1),'中古車掲載'!U1032,"")</x:f>
      </x:c>
      <x:c r="BC1031" t="str">
        <x:f>IF(AND('中古車掲載'!C1032="One2car",'中古車掲載'!F1032="Corolla Cross",'中古車掲載'!L1032="HEV PREMIUM SAFETY",'中古車掲載'!J1032=2023,ISNUMBER('中古車掲載'!N1032),'中古車掲載'!N1032&gt;=50000,'中古車掲載'!O1032&lt;=100000,'中古車掲載'!AL1032=1,'中古車掲載'!Z1032="https://www.one2car.com/en/cars-for-sale/toyota/corolla-cross/year-2023"),'中古車掲載'!U1032,"")</x:f>
      </x:c>
      <x:c r="BD1031" t="str">
        <x:f>IF(AND('中古車掲載'!C1032="One2car",'中古車掲載'!F1032="ATTO 3",'中古車掲載'!L1032="EXTENDED RANGE",'中古車掲載'!J1032=2023,ISNUMBER('中古車掲載'!N1032),'中古車掲載'!N1032&gt;=20000,'中古車掲載'!O1032&lt;=50000,'中古車掲載'!AL1032=1),'中古車掲載'!U1032,"")</x:f>
      </x:c>
      <x:c r="BE1031" t="str">
        <x:f>IF(AND('中古車掲載'!C1032="One2car",'中古車掲載'!F1032="Corolla Cross",'中古車掲載'!L1032="HEV PREMIUM SAFETY",'中古車掲載'!J1032=2023,ISNUMBER('中古車掲載'!N1032),'中古車掲載'!N1032&gt;=20000,'中古車掲載'!O1032&lt;=50000,'中古車掲載'!AL1032=1,'中古車掲載'!Z1032="https://www.one2car.com/en/cars-for-sale/toyota/corolla-cross/year-2023"),'中古車掲載'!U1032,"")</x:f>
      </x:c>
      <x:c r="BF1031" t="str">
        <x:f>IF(AND('中古車掲載'!C1032="One2car",'中古車掲載'!F1032="Corolla Cross",'中古車掲載'!L1032="HEV PREMIUM",'中古車掲載'!J1032=2023,ISNUMBER('中古車掲載'!N1032),'中古車掲載'!N1032&gt;=20000,'中古車掲載'!O1032&lt;=100000,'中古車掲載'!AL1032=1,'中古車掲載'!Z1032="https://www.one2car.com/en/cars-for-sale/toyota/corolla-cross/year-2023"),'中古車掲載'!U1032,"")</x:f>
      </x:c>
      <x:c r="BG1031" t="str">
        <x:f>IF(AND('中古車掲載'!C1032="One2car",'中古車掲載'!F1032="Corolla Cross",'中古車掲載'!L1032="HEV GR SPORT",'中古車掲載'!J1032=2023,ISNUMBER('中古車掲載'!N1032),'中古車掲載'!N1032&gt;=20000,'中古車掲載'!O1032&lt;=100000,'中古車掲載'!AL1032=1,'中古車掲載'!Z1032="https://www.one2car.com/en/cars-for-sale/toyota/corolla-cross/year-2023"),'中古車掲載'!U1032,"")</x:f>
      </x:c>
      <x:c r="BH1031" t="str">
        <x:f>IF(AND('中古車掲載'!C1032="One2car",'中古車掲載'!F1032="DOLPHIN",'中古車掲載'!L1032="STANDARD RANGE",'中古車掲載'!J1032=2023,ISNUMBER('中古車掲載'!N1032),'中古車掲載'!N1032&gt;=20000,'中古車掲載'!O1032&lt;=100000,'中古車掲載'!AL1032=1),'中古車掲載'!U1032,"")</x:f>
      </x:c>
      <x:c r="BI1031" t="str">
        <x:v>Taladrod|Yaris Ativ|ICE|Unknown</x:v>
      </x:c>
      <x:c r="BJ1031" t="n">
        <x:v>1032</x:v>
      </x:c>
      <x:c r="BK1031" t="n">
        <x:f>'中古車掲載'!AM1032</x:f>
        <x:v>419000</x:v>
      </x:c>
      <x:c r="BL1031" t="str">
        <x:f>IF(ISNUMBER('中古車掲載'!AN1032),'中古車掲載'!AN1032,"")</x:f>
      </x:c>
    </x:row>
    <x:row r="1032">
      <x:c r="AZ1032" t="str">
        <x:f>IF(AND('中古車掲載'!C1033="One2car",'中古車掲載'!F1033="ATTO 3",'中古車掲載'!L1033="EXTENDED RANGE",'中古車掲載'!J1033=2023,ISNUMBER('中古車掲載'!N1033),'中古車掲載'!N1033&gt;=20000,'中古車掲載'!O1033&lt;=100000,'中古車掲載'!AL1033=1),'中古車掲載'!U1033,"")</x:f>
      </x:c>
      <x:c r="BA1032" t="str">
        <x:f>IF(AND('中古車掲載'!C1033="One2car",'中古車掲載'!F1033="Corolla Cross",'中古車掲載'!L1033="HEV PREMIUM SAFETY",'中古車掲載'!J1033=2023,ISNUMBER('中古車掲載'!N1033),'中古車掲載'!N1033&gt;=20000,'中古車掲載'!O1033&lt;=100000,'中古車掲載'!AL1033=1,'中古車掲載'!Z1033="https://www.one2car.com/en/cars-for-sale/toyota/corolla-cross/year-2023"),'中古車掲載'!U1033,"")</x:f>
      </x:c>
      <x:c r="BB1032" t="str">
        <x:f>IF(AND('中古車掲載'!C1033="One2car",'中古車掲載'!F1033="ATTO 3",'中古車掲載'!L1033="EXTENDED RANGE",'中古車掲載'!J1033=2023,ISNUMBER('中古車掲載'!N1033),'中古車掲載'!N1033&gt;=50000,'中古車掲載'!O1033&lt;=100000,'中古車掲載'!AL1033=1),'中古車掲載'!U1033,"")</x:f>
      </x:c>
      <x:c r="BC1032" t="str">
        <x:f>IF(AND('中古車掲載'!C1033="One2car",'中古車掲載'!F1033="Corolla Cross",'中古車掲載'!L1033="HEV PREMIUM SAFETY",'中古車掲載'!J1033=2023,ISNUMBER('中古車掲載'!N1033),'中古車掲載'!N1033&gt;=50000,'中古車掲載'!O1033&lt;=100000,'中古車掲載'!AL1033=1,'中古車掲載'!Z1033="https://www.one2car.com/en/cars-for-sale/toyota/corolla-cross/year-2023"),'中古車掲載'!U1033,"")</x:f>
      </x:c>
      <x:c r="BD1032" t="str">
        <x:f>IF(AND('中古車掲載'!C1033="One2car",'中古車掲載'!F1033="ATTO 3",'中古車掲載'!L1033="EXTENDED RANGE",'中古車掲載'!J1033=2023,ISNUMBER('中古車掲載'!N1033),'中古車掲載'!N1033&gt;=20000,'中古車掲載'!O1033&lt;=50000,'中古車掲載'!AL1033=1),'中古車掲載'!U1033,"")</x:f>
      </x:c>
      <x:c r="BE1032" t="str">
        <x:f>IF(AND('中古車掲載'!C1033="One2car",'中古車掲載'!F1033="Corolla Cross",'中古車掲載'!L1033="HEV PREMIUM SAFETY",'中古車掲載'!J1033=2023,ISNUMBER('中古車掲載'!N1033),'中古車掲載'!N1033&gt;=20000,'中古車掲載'!O1033&lt;=50000,'中古車掲載'!AL1033=1,'中古車掲載'!Z1033="https://www.one2car.com/en/cars-for-sale/toyota/corolla-cross/year-2023"),'中古車掲載'!U1033,"")</x:f>
      </x:c>
      <x:c r="BF1032" t="str">
        <x:f>IF(AND('中古車掲載'!C1033="One2car",'中古車掲載'!F1033="Corolla Cross",'中古車掲載'!L1033="HEV PREMIUM",'中古車掲載'!J1033=2023,ISNUMBER('中古車掲載'!N1033),'中古車掲載'!N1033&gt;=20000,'中古車掲載'!O1033&lt;=100000,'中古車掲載'!AL1033=1,'中古車掲載'!Z1033="https://www.one2car.com/en/cars-for-sale/toyota/corolla-cross/year-2023"),'中古車掲載'!U1033,"")</x:f>
      </x:c>
      <x:c r="BG1032" t="str">
        <x:f>IF(AND('中古車掲載'!C1033="One2car",'中古車掲載'!F1033="Corolla Cross",'中古車掲載'!L1033="HEV GR SPORT",'中古車掲載'!J1033=2023,ISNUMBER('中古車掲載'!N1033),'中古車掲載'!N1033&gt;=20000,'中古車掲載'!O1033&lt;=100000,'中古車掲載'!AL1033=1,'中古車掲載'!Z1033="https://www.one2car.com/en/cars-for-sale/toyota/corolla-cross/year-2023"),'中古車掲載'!U1033,"")</x:f>
      </x:c>
      <x:c r="BH1032" t="str">
        <x:f>IF(AND('中古車掲載'!C1033="One2car",'中古車掲載'!F1033="DOLPHIN",'中古車掲載'!L1033="STANDARD RANGE",'中古車掲載'!J1033=2023,ISNUMBER('中古車掲載'!N1033),'中古車掲載'!N1033&gt;=20000,'中古車掲載'!O1033&lt;=100000,'中古車掲載'!AL1033=1),'中古車掲載'!U1033,"")</x:f>
      </x:c>
      <x:c r="BI1032" t="str">
        <x:v>Taladrod|Yaris Ativ|ICE|Unknown</x:v>
      </x:c>
      <x:c r="BJ1032" t="n">
        <x:v>1033</x:v>
      </x:c>
      <x:c r="BK1032" t="n">
        <x:f>'中古車掲載'!AM1033</x:f>
        <x:v>429000</x:v>
      </x:c>
      <x:c r="BL1032" t="str">
        <x:f>IF(ISNUMBER('中古車掲載'!AN1033),'中古車掲載'!AN1033,"")</x:f>
      </x:c>
    </x:row>
    <x:row r="1033">
      <x:c r="AZ1033" t="str">
        <x:f>IF(AND('中古車掲載'!C1034="One2car",'中古車掲載'!F1034="ATTO 3",'中古車掲載'!L1034="EXTENDED RANGE",'中古車掲載'!J1034=2023,ISNUMBER('中古車掲載'!N1034),'中古車掲載'!N1034&gt;=20000,'中古車掲載'!O1034&lt;=100000,'中古車掲載'!AL1034=1),'中古車掲載'!U1034,"")</x:f>
      </x:c>
      <x:c r="BA1033" t="str">
        <x:f>IF(AND('中古車掲載'!C1034="One2car",'中古車掲載'!F1034="Corolla Cross",'中古車掲載'!L1034="HEV PREMIUM SAFETY",'中古車掲載'!J1034=2023,ISNUMBER('中古車掲載'!N1034),'中古車掲載'!N1034&gt;=20000,'中古車掲載'!O1034&lt;=100000,'中古車掲載'!AL1034=1,'中古車掲載'!Z1034="https://www.one2car.com/en/cars-for-sale/toyota/corolla-cross/year-2023"),'中古車掲載'!U1034,"")</x:f>
      </x:c>
      <x:c r="BB1033" t="str">
        <x:f>IF(AND('中古車掲載'!C1034="One2car",'中古車掲載'!F1034="ATTO 3",'中古車掲載'!L1034="EXTENDED RANGE",'中古車掲載'!J1034=2023,ISNUMBER('中古車掲載'!N1034),'中古車掲載'!N1034&gt;=50000,'中古車掲載'!O1034&lt;=100000,'中古車掲載'!AL1034=1),'中古車掲載'!U1034,"")</x:f>
      </x:c>
      <x:c r="BC1033" t="str">
        <x:f>IF(AND('中古車掲載'!C1034="One2car",'中古車掲載'!F1034="Corolla Cross",'中古車掲載'!L1034="HEV PREMIUM SAFETY",'中古車掲載'!J1034=2023,ISNUMBER('中古車掲載'!N1034),'中古車掲載'!N1034&gt;=50000,'中古車掲載'!O1034&lt;=100000,'中古車掲載'!AL1034=1,'中古車掲載'!Z1034="https://www.one2car.com/en/cars-for-sale/toyota/corolla-cross/year-2023"),'中古車掲載'!U1034,"")</x:f>
      </x:c>
      <x:c r="BD1033" t="str">
        <x:f>IF(AND('中古車掲載'!C1034="One2car",'中古車掲載'!F1034="ATTO 3",'中古車掲載'!L1034="EXTENDED RANGE",'中古車掲載'!J1034=2023,ISNUMBER('中古車掲載'!N1034),'中古車掲載'!N1034&gt;=20000,'中古車掲載'!O1034&lt;=50000,'中古車掲載'!AL1034=1),'中古車掲載'!U1034,"")</x:f>
      </x:c>
      <x:c r="BE1033" t="str">
        <x:f>IF(AND('中古車掲載'!C1034="One2car",'中古車掲載'!F1034="Corolla Cross",'中古車掲載'!L1034="HEV PREMIUM SAFETY",'中古車掲載'!J1034=2023,ISNUMBER('中古車掲載'!N1034),'中古車掲載'!N1034&gt;=20000,'中古車掲載'!O1034&lt;=50000,'中古車掲載'!AL1034=1,'中古車掲載'!Z1034="https://www.one2car.com/en/cars-for-sale/toyota/corolla-cross/year-2023"),'中古車掲載'!U1034,"")</x:f>
      </x:c>
      <x:c r="BF1033" t="str">
        <x:f>IF(AND('中古車掲載'!C1034="One2car",'中古車掲載'!F1034="Corolla Cross",'中古車掲載'!L1034="HEV PREMIUM",'中古車掲載'!J1034=2023,ISNUMBER('中古車掲載'!N1034),'中古車掲載'!N1034&gt;=20000,'中古車掲載'!O1034&lt;=100000,'中古車掲載'!AL1034=1,'中古車掲載'!Z1034="https://www.one2car.com/en/cars-for-sale/toyota/corolla-cross/year-2023"),'中古車掲載'!U1034,"")</x:f>
      </x:c>
      <x:c r="BG1033" t="str">
        <x:f>IF(AND('中古車掲載'!C1034="One2car",'中古車掲載'!F1034="Corolla Cross",'中古車掲載'!L1034="HEV GR SPORT",'中古車掲載'!J1034=2023,ISNUMBER('中古車掲載'!N1034),'中古車掲載'!N1034&gt;=20000,'中古車掲載'!O1034&lt;=100000,'中古車掲載'!AL1034=1,'中古車掲載'!Z1034="https://www.one2car.com/en/cars-for-sale/toyota/corolla-cross/year-2023"),'中古車掲載'!U1034,"")</x:f>
      </x:c>
      <x:c r="BH1033" t="str">
        <x:f>IF(AND('中古車掲載'!C1034="One2car",'中古車掲載'!F1034="DOLPHIN",'中古車掲載'!L1034="STANDARD RANGE",'中古車掲載'!J1034=2023,ISNUMBER('中古車掲載'!N1034),'中古車掲載'!N1034&gt;=20000,'中古車掲載'!O1034&lt;=100000,'中古車掲載'!AL1034=1),'中古車掲載'!U1034,"")</x:f>
      </x:c>
      <x:c r="BI1033" t="str">
        <x:v>Taladrod|Yaris Ativ|ICE|Unknown</x:v>
      </x:c>
      <x:c r="BJ1033" t="n">
        <x:v>1034</x:v>
      </x:c>
      <x:c r="BK1033" t="n">
        <x:f>'中古車掲載'!AM1034</x:f>
        <x:v>399000</x:v>
      </x:c>
      <x:c r="BL1033" t="str">
        <x:f>IF(ISNUMBER('中古車掲載'!AN1034),'中古車掲載'!AN1034,"")</x:f>
      </x:c>
    </x:row>
    <x:row r="1034">
      <x:c r="AZ1034" t="str">
        <x:f>IF(AND('中古車掲載'!C1035="One2car",'中古車掲載'!F1035="ATTO 3",'中古車掲載'!L1035="EXTENDED RANGE",'中古車掲載'!J1035=2023,ISNUMBER('中古車掲載'!N1035),'中古車掲載'!N1035&gt;=20000,'中古車掲載'!O1035&lt;=100000,'中古車掲載'!AL1035=1),'中古車掲載'!U1035,"")</x:f>
      </x:c>
      <x:c r="BA1034" t="str">
        <x:f>IF(AND('中古車掲載'!C1035="One2car",'中古車掲載'!F1035="Corolla Cross",'中古車掲載'!L1035="HEV PREMIUM SAFETY",'中古車掲載'!J1035=2023,ISNUMBER('中古車掲載'!N1035),'中古車掲載'!N1035&gt;=20000,'中古車掲載'!O1035&lt;=100000,'中古車掲載'!AL1035=1,'中古車掲載'!Z1035="https://www.one2car.com/en/cars-for-sale/toyota/corolla-cross/year-2023"),'中古車掲載'!U1035,"")</x:f>
      </x:c>
      <x:c r="BB1034" t="str">
        <x:f>IF(AND('中古車掲載'!C1035="One2car",'中古車掲載'!F1035="ATTO 3",'中古車掲載'!L1035="EXTENDED RANGE",'中古車掲載'!J1035=2023,ISNUMBER('中古車掲載'!N1035),'中古車掲載'!N1035&gt;=50000,'中古車掲載'!O1035&lt;=100000,'中古車掲載'!AL1035=1),'中古車掲載'!U1035,"")</x:f>
      </x:c>
      <x:c r="BC1034" t="str">
        <x:f>IF(AND('中古車掲載'!C1035="One2car",'中古車掲載'!F1035="Corolla Cross",'中古車掲載'!L1035="HEV PREMIUM SAFETY",'中古車掲載'!J1035=2023,ISNUMBER('中古車掲載'!N1035),'中古車掲載'!N1035&gt;=50000,'中古車掲載'!O1035&lt;=100000,'中古車掲載'!AL1035=1,'中古車掲載'!Z1035="https://www.one2car.com/en/cars-for-sale/toyota/corolla-cross/year-2023"),'中古車掲載'!U1035,"")</x:f>
      </x:c>
      <x:c r="BD1034" t="str">
        <x:f>IF(AND('中古車掲載'!C1035="One2car",'中古車掲載'!F1035="ATTO 3",'中古車掲載'!L1035="EXTENDED RANGE",'中古車掲載'!J1035=2023,ISNUMBER('中古車掲載'!N1035),'中古車掲載'!N1035&gt;=20000,'中古車掲載'!O1035&lt;=50000,'中古車掲載'!AL1035=1),'中古車掲載'!U1035,"")</x:f>
      </x:c>
      <x:c r="BE1034" t="str">
        <x:f>IF(AND('中古車掲載'!C1035="One2car",'中古車掲載'!F1035="Corolla Cross",'中古車掲載'!L1035="HEV PREMIUM SAFETY",'中古車掲載'!J1035=2023,ISNUMBER('中古車掲載'!N1035),'中古車掲載'!N1035&gt;=20000,'中古車掲載'!O1035&lt;=50000,'中古車掲載'!AL1035=1,'中古車掲載'!Z1035="https://www.one2car.com/en/cars-for-sale/toyota/corolla-cross/year-2023"),'中古車掲載'!U1035,"")</x:f>
      </x:c>
      <x:c r="BF1034" t="str">
        <x:f>IF(AND('中古車掲載'!C1035="One2car",'中古車掲載'!F1035="Corolla Cross",'中古車掲載'!L1035="HEV PREMIUM",'中古車掲載'!J1035=2023,ISNUMBER('中古車掲載'!N1035),'中古車掲載'!N1035&gt;=20000,'中古車掲載'!O1035&lt;=100000,'中古車掲載'!AL1035=1,'中古車掲載'!Z1035="https://www.one2car.com/en/cars-for-sale/toyota/corolla-cross/year-2023"),'中古車掲載'!U1035,"")</x:f>
      </x:c>
      <x:c r="BG1034" t="str">
        <x:f>IF(AND('中古車掲載'!C1035="One2car",'中古車掲載'!F1035="Corolla Cross",'中古車掲載'!L1035="HEV GR SPORT",'中古車掲載'!J1035=2023,ISNUMBER('中古車掲載'!N1035),'中古車掲載'!N1035&gt;=20000,'中古車掲載'!O1035&lt;=100000,'中古車掲載'!AL1035=1,'中古車掲載'!Z1035="https://www.one2car.com/en/cars-for-sale/toyota/corolla-cross/year-2023"),'中古車掲載'!U1035,"")</x:f>
      </x:c>
      <x:c r="BH1034" t="str">
        <x:f>IF(AND('中古車掲載'!C1035="One2car",'中古車掲載'!F1035="DOLPHIN",'中古車掲載'!L1035="STANDARD RANGE",'中古車掲載'!J1035=2023,ISNUMBER('中古車掲載'!N1035),'中古車掲載'!N1035&gt;=20000,'中古車掲載'!O1035&lt;=100000,'中古車掲載'!AL1035=1),'中古車掲載'!U1035,"")</x:f>
      </x:c>
      <x:c r="BI1034" t="str">
        <x:v>Taladrod|Yaris Ativ|ICE|Unknown</x:v>
      </x:c>
      <x:c r="BJ1034" t="n">
        <x:v>1035</x:v>
      </x:c>
      <x:c r="BK1034" t="n">
        <x:f>'中古車掲載'!AM1035</x:f>
        <x:v>399000</x:v>
      </x:c>
      <x:c r="BL1034" t="str">
        <x:f>IF(ISNUMBER('中古車掲載'!AN1035),'中古車掲載'!AN1035,"")</x:f>
      </x:c>
    </x:row>
    <x:row r="1035">
      <x:c r="AZ1035" t="str">
        <x:f>IF(AND('中古車掲載'!C1036="One2car",'中古車掲載'!F1036="ATTO 3",'中古車掲載'!L1036="EXTENDED RANGE",'中古車掲載'!J1036=2023,ISNUMBER('中古車掲載'!N1036),'中古車掲載'!N1036&gt;=20000,'中古車掲載'!O1036&lt;=100000,'中古車掲載'!AL1036=1),'中古車掲載'!U1036,"")</x:f>
      </x:c>
      <x:c r="BA1035" t="str">
        <x:f>IF(AND('中古車掲載'!C1036="One2car",'中古車掲載'!F1036="Corolla Cross",'中古車掲載'!L1036="HEV PREMIUM SAFETY",'中古車掲載'!J1036=2023,ISNUMBER('中古車掲載'!N1036),'中古車掲載'!N1036&gt;=20000,'中古車掲載'!O1036&lt;=100000,'中古車掲載'!AL1036=1,'中古車掲載'!Z1036="https://www.one2car.com/en/cars-for-sale/toyota/corolla-cross/year-2023"),'中古車掲載'!U1036,"")</x:f>
      </x:c>
      <x:c r="BB1035" t="str">
        <x:f>IF(AND('中古車掲載'!C1036="One2car",'中古車掲載'!F1036="ATTO 3",'中古車掲載'!L1036="EXTENDED RANGE",'中古車掲載'!J1036=2023,ISNUMBER('中古車掲載'!N1036),'中古車掲載'!N1036&gt;=50000,'中古車掲載'!O1036&lt;=100000,'中古車掲載'!AL1036=1),'中古車掲載'!U1036,"")</x:f>
      </x:c>
      <x:c r="BC1035" t="str">
        <x:f>IF(AND('中古車掲載'!C1036="One2car",'中古車掲載'!F1036="Corolla Cross",'中古車掲載'!L1036="HEV PREMIUM SAFETY",'中古車掲載'!J1036=2023,ISNUMBER('中古車掲載'!N1036),'中古車掲載'!N1036&gt;=50000,'中古車掲載'!O1036&lt;=100000,'中古車掲載'!AL1036=1,'中古車掲載'!Z1036="https://www.one2car.com/en/cars-for-sale/toyota/corolla-cross/year-2023"),'中古車掲載'!U1036,"")</x:f>
      </x:c>
      <x:c r="BD1035" t="str">
        <x:f>IF(AND('中古車掲載'!C1036="One2car",'中古車掲載'!F1036="ATTO 3",'中古車掲載'!L1036="EXTENDED RANGE",'中古車掲載'!J1036=2023,ISNUMBER('中古車掲載'!N1036),'中古車掲載'!N1036&gt;=20000,'中古車掲載'!O1036&lt;=50000,'中古車掲載'!AL1036=1),'中古車掲載'!U1036,"")</x:f>
      </x:c>
      <x:c r="BE1035" t="str">
        <x:f>IF(AND('中古車掲載'!C1036="One2car",'中古車掲載'!F1036="Corolla Cross",'中古車掲載'!L1036="HEV PREMIUM SAFETY",'中古車掲載'!J1036=2023,ISNUMBER('中古車掲載'!N1036),'中古車掲載'!N1036&gt;=20000,'中古車掲載'!O1036&lt;=50000,'中古車掲載'!AL1036=1,'中古車掲載'!Z1036="https://www.one2car.com/en/cars-for-sale/toyota/corolla-cross/year-2023"),'中古車掲載'!U1036,"")</x:f>
      </x:c>
      <x:c r="BF1035" t="str">
        <x:f>IF(AND('中古車掲載'!C1036="One2car",'中古車掲載'!F1036="Corolla Cross",'中古車掲載'!L1036="HEV PREMIUM",'中古車掲載'!J1036=2023,ISNUMBER('中古車掲載'!N1036),'中古車掲載'!N1036&gt;=20000,'中古車掲載'!O1036&lt;=100000,'中古車掲載'!AL1036=1,'中古車掲載'!Z1036="https://www.one2car.com/en/cars-for-sale/toyota/corolla-cross/year-2023"),'中古車掲載'!U1036,"")</x:f>
      </x:c>
      <x:c r="BG1035" t="str">
        <x:f>IF(AND('中古車掲載'!C1036="One2car",'中古車掲載'!F1036="Corolla Cross",'中古車掲載'!L1036="HEV GR SPORT",'中古車掲載'!J1036=2023,ISNUMBER('中古車掲載'!N1036),'中古車掲載'!N1036&gt;=20000,'中古車掲載'!O1036&lt;=100000,'中古車掲載'!AL1036=1,'中古車掲載'!Z1036="https://www.one2car.com/en/cars-for-sale/toyota/corolla-cross/year-2023"),'中古車掲載'!U1036,"")</x:f>
      </x:c>
      <x:c r="BH1035" t="str">
        <x:f>IF(AND('中古車掲載'!C1036="One2car",'中古車掲載'!F1036="DOLPHIN",'中古車掲載'!L1036="STANDARD RANGE",'中古車掲載'!J1036=2023,ISNUMBER('中古車掲載'!N1036),'中古車掲載'!N1036&gt;=20000,'中古車掲載'!O1036&lt;=100000,'中古車掲載'!AL1036=1),'中古車掲載'!U1036,"")</x:f>
      </x:c>
      <x:c r="BI1035" t="str">
        <x:v>Taladrod|Yaris Ativ|ICE|Unknown</x:v>
      </x:c>
      <x:c r="BJ1035" t="n">
        <x:v>1036</x:v>
      </x:c>
      <x:c r="BK1035" t="n">
        <x:f>'中古車掲載'!AM1036</x:f>
        <x:v>385000</x:v>
      </x:c>
      <x:c r="BL1035" t="str">
        <x:f>IF(ISNUMBER('中古車掲載'!AN1036),'中古車掲載'!AN1036,"")</x:f>
      </x:c>
    </x:row>
    <x:row r="1036">
      <x:c r="AZ1036" t="str">
        <x:f>IF(AND('中古車掲載'!C1037="One2car",'中古車掲載'!F1037="ATTO 3",'中古車掲載'!L1037="EXTENDED RANGE",'中古車掲載'!J1037=2023,ISNUMBER('中古車掲載'!N1037),'中古車掲載'!N1037&gt;=20000,'中古車掲載'!O1037&lt;=100000,'中古車掲載'!AL1037=1),'中古車掲載'!U1037,"")</x:f>
      </x:c>
      <x:c r="BA1036" t="str">
        <x:f>IF(AND('中古車掲載'!C1037="One2car",'中古車掲載'!F1037="Corolla Cross",'中古車掲載'!L1037="HEV PREMIUM SAFETY",'中古車掲載'!J1037=2023,ISNUMBER('中古車掲載'!N1037),'中古車掲載'!N1037&gt;=20000,'中古車掲載'!O1037&lt;=100000,'中古車掲載'!AL1037=1,'中古車掲載'!Z1037="https://www.one2car.com/en/cars-for-sale/toyota/corolla-cross/year-2023"),'中古車掲載'!U1037,"")</x:f>
      </x:c>
      <x:c r="BB1036" t="str">
        <x:f>IF(AND('中古車掲載'!C1037="One2car",'中古車掲載'!F1037="ATTO 3",'中古車掲載'!L1037="EXTENDED RANGE",'中古車掲載'!J1037=2023,ISNUMBER('中古車掲載'!N1037),'中古車掲載'!N1037&gt;=50000,'中古車掲載'!O1037&lt;=100000,'中古車掲載'!AL1037=1),'中古車掲載'!U1037,"")</x:f>
      </x:c>
      <x:c r="BC1036" t="str">
        <x:f>IF(AND('中古車掲載'!C1037="One2car",'中古車掲載'!F1037="Corolla Cross",'中古車掲載'!L1037="HEV PREMIUM SAFETY",'中古車掲載'!J1037=2023,ISNUMBER('中古車掲載'!N1037),'中古車掲載'!N1037&gt;=50000,'中古車掲載'!O1037&lt;=100000,'中古車掲載'!AL1037=1,'中古車掲載'!Z1037="https://www.one2car.com/en/cars-for-sale/toyota/corolla-cross/year-2023"),'中古車掲載'!U1037,"")</x:f>
      </x:c>
      <x:c r="BD1036" t="str">
        <x:f>IF(AND('中古車掲載'!C1037="One2car",'中古車掲載'!F1037="ATTO 3",'中古車掲載'!L1037="EXTENDED RANGE",'中古車掲載'!J1037=2023,ISNUMBER('中古車掲載'!N1037),'中古車掲載'!N1037&gt;=20000,'中古車掲載'!O1037&lt;=50000,'中古車掲載'!AL1037=1),'中古車掲載'!U1037,"")</x:f>
      </x:c>
      <x:c r="BE1036" t="str">
        <x:f>IF(AND('中古車掲載'!C1037="One2car",'中古車掲載'!F1037="Corolla Cross",'中古車掲載'!L1037="HEV PREMIUM SAFETY",'中古車掲載'!J1037=2023,ISNUMBER('中古車掲載'!N1037),'中古車掲載'!N1037&gt;=20000,'中古車掲載'!O1037&lt;=50000,'中古車掲載'!AL1037=1,'中古車掲載'!Z1037="https://www.one2car.com/en/cars-for-sale/toyota/corolla-cross/year-2023"),'中古車掲載'!U1037,"")</x:f>
      </x:c>
      <x:c r="BF1036" t="str">
        <x:f>IF(AND('中古車掲載'!C1037="One2car",'中古車掲載'!F1037="Corolla Cross",'中古車掲載'!L1037="HEV PREMIUM",'中古車掲載'!J1037=2023,ISNUMBER('中古車掲載'!N1037),'中古車掲載'!N1037&gt;=20000,'中古車掲載'!O1037&lt;=100000,'中古車掲載'!AL1037=1,'中古車掲載'!Z1037="https://www.one2car.com/en/cars-for-sale/toyota/corolla-cross/year-2023"),'中古車掲載'!U1037,"")</x:f>
      </x:c>
      <x:c r="BG1036" t="str">
        <x:f>IF(AND('中古車掲載'!C1037="One2car",'中古車掲載'!F1037="Corolla Cross",'中古車掲載'!L1037="HEV GR SPORT",'中古車掲載'!J1037=2023,ISNUMBER('中古車掲載'!N1037),'中古車掲載'!N1037&gt;=20000,'中古車掲載'!O1037&lt;=100000,'中古車掲載'!AL1037=1,'中古車掲載'!Z1037="https://www.one2car.com/en/cars-for-sale/toyota/corolla-cross/year-2023"),'中古車掲載'!U1037,"")</x:f>
      </x:c>
      <x:c r="BH1036" t="str">
        <x:f>IF(AND('中古車掲載'!C1037="One2car",'中古車掲載'!F1037="DOLPHIN",'中古車掲載'!L1037="STANDARD RANGE",'中古車掲載'!J1037=2023,ISNUMBER('中古車掲載'!N1037),'中古車掲載'!N1037&gt;=20000,'中古車掲載'!O1037&lt;=100000,'中古車掲載'!AL1037=1),'中古車掲載'!U1037,"")</x:f>
      </x:c>
      <x:c r="BI1036" t="str">
        <x:v>Taladrod|Yaris Ativ|ICE|Unknown</x:v>
      </x:c>
      <x:c r="BJ1036" t="n">
        <x:v>1037</x:v>
      </x:c>
      <x:c r="BK1036" t="n">
        <x:f>'中古車掲載'!AM1037</x:f>
        <x:v>389000</x:v>
      </x:c>
      <x:c r="BL1036" t="str">
        <x:f>IF(ISNUMBER('中古車掲載'!AN1037),'中古車掲載'!AN1037,"")</x:f>
      </x:c>
    </x:row>
    <x:row r="1037">
      <x:c r="AZ1037" t="str">
        <x:f>IF(AND('中古車掲載'!C1038="One2car",'中古車掲載'!F1038="ATTO 3",'中古車掲載'!L1038="EXTENDED RANGE",'中古車掲載'!J1038=2023,ISNUMBER('中古車掲載'!N1038),'中古車掲載'!N1038&gt;=20000,'中古車掲載'!O1038&lt;=100000,'中古車掲載'!AL1038=1),'中古車掲載'!U1038,"")</x:f>
      </x:c>
      <x:c r="BA1037" t="str">
        <x:f>IF(AND('中古車掲載'!C1038="One2car",'中古車掲載'!F1038="Corolla Cross",'中古車掲載'!L1038="HEV PREMIUM SAFETY",'中古車掲載'!J1038=2023,ISNUMBER('中古車掲載'!N1038),'中古車掲載'!N1038&gt;=20000,'中古車掲載'!O1038&lt;=100000,'中古車掲載'!AL1038=1,'中古車掲載'!Z1038="https://www.one2car.com/en/cars-for-sale/toyota/corolla-cross/year-2023"),'中古車掲載'!U1038,"")</x:f>
      </x:c>
      <x:c r="BB1037" t="str">
        <x:f>IF(AND('中古車掲載'!C1038="One2car",'中古車掲載'!F1038="ATTO 3",'中古車掲載'!L1038="EXTENDED RANGE",'中古車掲載'!J1038=2023,ISNUMBER('中古車掲載'!N1038),'中古車掲載'!N1038&gt;=50000,'中古車掲載'!O1038&lt;=100000,'中古車掲載'!AL1038=1),'中古車掲載'!U1038,"")</x:f>
      </x:c>
      <x:c r="BC1037" t="str">
        <x:f>IF(AND('中古車掲載'!C1038="One2car",'中古車掲載'!F1038="Corolla Cross",'中古車掲載'!L1038="HEV PREMIUM SAFETY",'中古車掲載'!J1038=2023,ISNUMBER('中古車掲載'!N1038),'中古車掲載'!N1038&gt;=50000,'中古車掲載'!O1038&lt;=100000,'中古車掲載'!AL1038=1,'中古車掲載'!Z1038="https://www.one2car.com/en/cars-for-sale/toyota/corolla-cross/year-2023"),'中古車掲載'!U1038,"")</x:f>
      </x:c>
      <x:c r="BD1037" t="str">
        <x:f>IF(AND('中古車掲載'!C1038="One2car",'中古車掲載'!F1038="ATTO 3",'中古車掲載'!L1038="EXTENDED RANGE",'中古車掲載'!J1038=2023,ISNUMBER('中古車掲載'!N1038),'中古車掲載'!N1038&gt;=20000,'中古車掲載'!O1038&lt;=50000,'中古車掲載'!AL1038=1),'中古車掲載'!U1038,"")</x:f>
      </x:c>
      <x:c r="BE1037" t="str">
        <x:f>IF(AND('中古車掲載'!C1038="One2car",'中古車掲載'!F1038="Corolla Cross",'中古車掲載'!L1038="HEV PREMIUM SAFETY",'中古車掲載'!J1038=2023,ISNUMBER('中古車掲載'!N1038),'中古車掲載'!N1038&gt;=20000,'中古車掲載'!O1038&lt;=50000,'中古車掲載'!AL1038=1,'中古車掲載'!Z1038="https://www.one2car.com/en/cars-for-sale/toyota/corolla-cross/year-2023"),'中古車掲載'!U1038,"")</x:f>
      </x:c>
      <x:c r="BF1037" t="str">
        <x:f>IF(AND('中古車掲載'!C1038="One2car",'中古車掲載'!F1038="Corolla Cross",'中古車掲載'!L1038="HEV PREMIUM",'中古車掲載'!J1038=2023,ISNUMBER('中古車掲載'!N1038),'中古車掲載'!N1038&gt;=20000,'中古車掲載'!O1038&lt;=100000,'中古車掲載'!AL1038=1,'中古車掲載'!Z1038="https://www.one2car.com/en/cars-for-sale/toyota/corolla-cross/year-2023"),'中古車掲載'!U1038,"")</x:f>
      </x:c>
      <x:c r="BG1037" t="str">
        <x:f>IF(AND('中古車掲載'!C1038="One2car",'中古車掲載'!F1038="Corolla Cross",'中古車掲載'!L1038="HEV GR SPORT",'中古車掲載'!J1038=2023,ISNUMBER('中古車掲載'!N1038),'中古車掲載'!N1038&gt;=20000,'中古車掲載'!O1038&lt;=100000,'中古車掲載'!AL1038=1,'中古車掲載'!Z1038="https://www.one2car.com/en/cars-for-sale/toyota/corolla-cross/year-2023"),'中古車掲載'!U1038,"")</x:f>
      </x:c>
      <x:c r="BH1037" t="str">
        <x:f>IF(AND('中古車掲載'!C1038="One2car",'中古車掲載'!F1038="DOLPHIN",'中古車掲載'!L1038="STANDARD RANGE",'中古車掲載'!J1038=2023,ISNUMBER('中古車掲載'!N1038),'中古車掲載'!N1038&gt;=20000,'中古車掲載'!O1038&lt;=100000,'中古車掲載'!AL1038=1),'中古車掲載'!U1038,"")</x:f>
      </x:c>
      <x:c r="BI1037" t="str">
        <x:v>Taladrod|Yaris Ativ|ICE|Unknown</x:v>
      </x:c>
      <x:c r="BJ1037" t="n">
        <x:v>1038</x:v>
      </x:c>
      <x:c r="BK1037" t="n">
        <x:f>'中古車掲載'!AM1038</x:f>
        <x:v>475000</x:v>
      </x:c>
      <x:c r="BL1037" t="str">
        <x:f>IF(ISNUMBER('中古車掲載'!AN1038),'中古車掲載'!AN1038,"")</x:f>
      </x:c>
    </x:row>
    <x:row r="1038">
      <x:c r="AZ1038" t="str">
        <x:f>IF(AND('中古車掲載'!C1039="One2car",'中古車掲載'!F1039="ATTO 3",'中古車掲載'!L1039="EXTENDED RANGE",'中古車掲載'!J1039=2023,ISNUMBER('中古車掲載'!N1039),'中古車掲載'!N1039&gt;=20000,'中古車掲載'!O1039&lt;=100000,'中古車掲載'!AL1039=1),'中古車掲載'!U1039,"")</x:f>
      </x:c>
      <x:c r="BA1038" t="str">
        <x:f>IF(AND('中古車掲載'!C1039="One2car",'中古車掲載'!F1039="Corolla Cross",'中古車掲載'!L1039="HEV PREMIUM SAFETY",'中古車掲載'!J1039=2023,ISNUMBER('中古車掲載'!N1039),'中古車掲載'!N1039&gt;=20000,'中古車掲載'!O1039&lt;=100000,'中古車掲載'!AL1039=1,'中古車掲載'!Z1039="https://www.one2car.com/en/cars-for-sale/toyota/corolla-cross/year-2023"),'中古車掲載'!U1039,"")</x:f>
      </x:c>
      <x:c r="BB1038" t="str">
        <x:f>IF(AND('中古車掲載'!C1039="One2car",'中古車掲載'!F1039="ATTO 3",'中古車掲載'!L1039="EXTENDED RANGE",'中古車掲載'!J1039=2023,ISNUMBER('中古車掲載'!N1039),'中古車掲載'!N1039&gt;=50000,'中古車掲載'!O1039&lt;=100000,'中古車掲載'!AL1039=1),'中古車掲載'!U1039,"")</x:f>
      </x:c>
      <x:c r="BC1038" t="str">
        <x:f>IF(AND('中古車掲載'!C1039="One2car",'中古車掲載'!F1039="Corolla Cross",'中古車掲載'!L1039="HEV PREMIUM SAFETY",'中古車掲載'!J1039=2023,ISNUMBER('中古車掲載'!N1039),'中古車掲載'!N1039&gt;=50000,'中古車掲載'!O1039&lt;=100000,'中古車掲載'!AL1039=1,'中古車掲載'!Z1039="https://www.one2car.com/en/cars-for-sale/toyota/corolla-cross/year-2023"),'中古車掲載'!U1039,"")</x:f>
      </x:c>
      <x:c r="BD1038" t="str">
        <x:f>IF(AND('中古車掲載'!C1039="One2car",'中古車掲載'!F1039="ATTO 3",'中古車掲載'!L1039="EXTENDED RANGE",'中古車掲載'!J1039=2023,ISNUMBER('中古車掲載'!N1039),'中古車掲載'!N1039&gt;=20000,'中古車掲載'!O1039&lt;=50000,'中古車掲載'!AL1039=1),'中古車掲載'!U1039,"")</x:f>
      </x:c>
      <x:c r="BE1038" t="str">
        <x:f>IF(AND('中古車掲載'!C1039="One2car",'中古車掲載'!F1039="Corolla Cross",'中古車掲載'!L1039="HEV PREMIUM SAFETY",'中古車掲載'!J1039=2023,ISNUMBER('中古車掲載'!N1039),'中古車掲載'!N1039&gt;=20000,'中古車掲載'!O1039&lt;=50000,'中古車掲載'!AL1039=1,'中古車掲載'!Z1039="https://www.one2car.com/en/cars-for-sale/toyota/corolla-cross/year-2023"),'中古車掲載'!U1039,"")</x:f>
      </x:c>
      <x:c r="BF1038" t="str">
        <x:f>IF(AND('中古車掲載'!C1039="One2car",'中古車掲載'!F1039="Corolla Cross",'中古車掲載'!L1039="HEV PREMIUM",'中古車掲載'!J1039=2023,ISNUMBER('中古車掲載'!N1039),'中古車掲載'!N1039&gt;=20000,'中古車掲載'!O1039&lt;=100000,'中古車掲載'!AL1039=1,'中古車掲載'!Z1039="https://www.one2car.com/en/cars-for-sale/toyota/corolla-cross/year-2023"),'中古車掲載'!U1039,"")</x:f>
      </x:c>
      <x:c r="BG1038" t="str">
        <x:f>IF(AND('中古車掲載'!C1039="One2car",'中古車掲載'!F1039="Corolla Cross",'中古車掲載'!L1039="HEV GR SPORT",'中古車掲載'!J1039=2023,ISNUMBER('中古車掲載'!N1039),'中古車掲載'!N1039&gt;=20000,'中古車掲載'!O1039&lt;=100000,'中古車掲載'!AL1039=1,'中古車掲載'!Z1039="https://www.one2car.com/en/cars-for-sale/toyota/corolla-cross/year-2023"),'中古車掲載'!U1039,"")</x:f>
      </x:c>
      <x:c r="BH1038" t="str">
        <x:f>IF(AND('中古車掲載'!C1039="One2car",'中古車掲載'!F1039="DOLPHIN",'中古車掲載'!L1039="STANDARD RANGE",'中古車掲載'!J1039=2023,ISNUMBER('中古車掲載'!N1039),'中古車掲載'!N1039&gt;=20000,'中古車掲載'!O1039&lt;=100000,'中古車掲載'!AL1039=1),'中古車掲載'!U1039,"")</x:f>
      </x:c>
      <x:c r="BI1038" t="str">
        <x:v>Taladrod|Yaris Ativ|ICE|Unknown</x:v>
      </x:c>
      <x:c r="BJ1038" t="n">
        <x:v>1039</x:v>
      </x:c>
      <x:c r="BK1038" t="n">
        <x:f>'中古車掲載'!AM1039</x:f>
        <x:v>469000</x:v>
      </x:c>
      <x:c r="BL1038" t="str">
        <x:f>IF(ISNUMBER('中古車掲載'!AN1039),'中古車掲載'!AN1039,"")</x:f>
      </x:c>
    </x:row>
    <x:row r="1039">
      <x:c r="AZ1039" t="str">
        <x:f>IF(AND('中古車掲載'!C1040="One2car",'中古車掲載'!F1040="ATTO 3",'中古車掲載'!L1040="EXTENDED RANGE",'中古車掲載'!J1040=2023,ISNUMBER('中古車掲載'!N1040),'中古車掲載'!N1040&gt;=20000,'中古車掲載'!O1040&lt;=100000,'中古車掲載'!AL1040=1),'中古車掲載'!U1040,"")</x:f>
      </x:c>
      <x:c r="BA1039" t="str">
        <x:f>IF(AND('中古車掲載'!C1040="One2car",'中古車掲載'!F1040="Corolla Cross",'中古車掲載'!L1040="HEV PREMIUM SAFETY",'中古車掲載'!J1040=2023,ISNUMBER('中古車掲載'!N1040),'中古車掲載'!N1040&gt;=20000,'中古車掲載'!O1040&lt;=100000,'中古車掲載'!AL1040=1,'中古車掲載'!Z1040="https://www.one2car.com/en/cars-for-sale/toyota/corolla-cross/year-2023"),'中古車掲載'!U1040,"")</x:f>
      </x:c>
      <x:c r="BB1039" t="str">
        <x:f>IF(AND('中古車掲載'!C1040="One2car",'中古車掲載'!F1040="ATTO 3",'中古車掲載'!L1040="EXTENDED RANGE",'中古車掲載'!J1040=2023,ISNUMBER('中古車掲載'!N1040),'中古車掲載'!N1040&gt;=50000,'中古車掲載'!O1040&lt;=100000,'中古車掲載'!AL1040=1),'中古車掲載'!U1040,"")</x:f>
      </x:c>
      <x:c r="BC1039" t="str">
        <x:f>IF(AND('中古車掲載'!C1040="One2car",'中古車掲載'!F1040="Corolla Cross",'中古車掲載'!L1040="HEV PREMIUM SAFETY",'中古車掲載'!J1040=2023,ISNUMBER('中古車掲載'!N1040),'中古車掲載'!N1040&gt;=50000,'中古車掲載'!O1040&lt;=100000,'中古車掲載'!AL1040=1,'中古車掲載'!Z1040="https://www.one2car.com/en/cars-for-sale/toyota/corolla-cross/year-2023"),'中古車掲載'!U1040,"")</x:f>
      </x:c>
      <x:c r="BD1039" t="str">
        <x:f>IF(AND('中古車掲載'!C1040="One2car",'中古車掲載'!F1040="ATTO 3",'中古車掲載'!L1040="EXTENDED RANGE",'中古車掲載'!J1040=2023,ISNUMBER('中古車掲載'!N1040),'中古車掲載'!N1040&gt;=20000,'中古車掲載'!O1040&lt;=50000,'中古車掲載'!AL1040=1),'中古車掲載'!U1040,"")</x:f>
      </x:c>
      <x:c r="BE1039" t="str">
        <x:f>IF(AND('中古車掲載'!C1040="One2car",'中古車掲載'!F1040="Corolla Cross",'中古車掲載'!L1040="HEV PREMIUM SAFETY",'中古車掲載'!J1040=2023,ISNUMBER('中古車掲載'!N1040),'中古車掲載'!N1040&gt;=20000,'中古車掲載'!O1040&lt;=50000,'中古車掲載'!AL1040=1,'中古車掲載'!Z1040="https://www.one2car.com/en/cars-for-sale/toyota/corolla-cross/year-2023"),'中古車掲載'!U1040,"")</x:f>
      </x:c>
      <x:c r="BF1039" t="str">
        <x:f>IF(AND('中古車掲載'!C1040="One2car",'中古車掲載'!F1040="Corolla Cross",'中古車掲載'!L1040="HEV PREMIUM",'中古車掲載'!J1040=2023,ISNUMBER('中古車掲載'!N1040),'中古車掲載'!N1040&gt;=20000,'中古車掲載'!O1040&lt;=100000,'中古車掲載'!AL1040=1,'中古車掲載'!Z1040="https://www.one2car.com/en/cars-for-sale/toyota/corolla-cross/year-2023"),'中古車掲載'!U1040,"")</x:f>
      </x:c>
      <x:c r="BG1039" t="str">
        <x:f>IF(AND('中古車掲載'!C1040="One2car",'中古車掲載'!F1040="Corolla Cross",'中古車掲載'!L1040="HEV GR SPORT",'中古車掲載'!J1040=2023,ISNUMBER('中古車掲載'!N1040),'中古車掲載'!N1040&gt;=20000,'中古車掲載'!O1040&lt;=100000,'中古車掲載'!AL1040=1,'中古車掲載'!Z1040="https://www.one2car.com/en/cars-for-sale/toyota/corolla-cross/year-2023"),'中古車掲載'!U1040,"")</x:f>
      </x:c>
      <x:c r="BH1039" t="str">
        <x:f>IF(AND('中古車掲載'!C1040="One2car",'中古車掲載'!F1040="DOLPHIN",'中古車掲載'!L1040="STANDARD RANGE",'中古車掲載'!J1040=2023,ISNUMBER('中古車掲載'!N1040),'中古車掲載'!N1040&gt;=20000,'中古車掲載'!O1040&lt;=100000,'中古車掲載'!AL1040=1),'中古車掲載'!U1040,"")</x:f>
      </x:c>
      <x:c r="BI1039" t="str">
        <x:v>Taladrod|Yaris Ativ|ICE|Unknown</x:v>
      </x:c>
      <x:c r="BJ1039" t="n">
        <x:v>1040</x:v>
      </x:c>
      <x:c r="BK1039" t="n">
        <x:f>'中古車掲載'!AM1040</x:f>
        <x:v>499000</x:v>
      </x:c>
      <x:c r="BL1039" t="str">
        <x:f>IF(ISNUMBER('中古車掲載'!AN1040),'中古車掲載'!AN1040,"")</x:f>
      </x:c>
    </x:row>
    <x:row r="1040">
      <x:c r="AZ1040" t="str">
        <x:f>IF(AND('中古車掲載'!C1041="One2car",'中古車掲載'!F1041="ATTO 3",'中古車掲載'!L1041="EXTENDED RANGE",'中古車掲載'!J1041=2023,ISNUMBER('中古車掲載'!N1041),'中古車掲載'!N1041&gt;=20000,'中古車掲載'!O1041&lt;=100000,'中古車掲載'!AL1041=1),'中古車掲載'!U1041,"")</x:f>
      </x:c>
      <x:c r="BA1040" t="str">
        <x:f>IF(AND('中古車掲載'!C1041="One2car",'中古車掲載'!F1041="Corolla Cross",'中古車掲載'!L1041="HEV PREMIUM SAFETY",'中古車掲載'!J1041=2023,ISNUMBER('中古車掲載'!N1041),'中古車掲載'!N1041&gt;=20000,'中古車掲載'!O1041&lt;=100000,'中古車掲載'!AL1041=1,'中古車掲載'!Z1041="https://www.one2car.com/en/cars-for-sale/toyota/corolla-cross/year-2023"),'中古車掲載'!U1041,"")</x:f>
      </x:c>
      <x:c r="BB1040" t="str">
        <x:f>IF(AND('中古車掲載'!C1041="One2car",'中古車掲載'!F1041="ATTO 3",'中古車掲載'!L1041="EXTENDED RANGE",'中古車掲載'!J1041=2023,ISNUMBER('中古車掲載'!N1041),'中古車掲載'!N1041&gt;=50000,'中古車掲載'!O1041&lt;=100000,'中古車掲載'!AL1041=1),'中古車掲載'!U1041,"")</x:f>
      </x:c>
      <x:c r="BC1040" t="str">
        <x:f>IF(AND('中古車掲載'!C1041="One2car",'中古車掲載'!F1041="Corolla Cross",'中古車掲載'!L1041="HEV PREMIUM SAFETY",'中古車掲載'!J1041=2023,ISNUMBER('中古車掲載'!N1041),'中古車掲載'!N1041&gt;=50000,'中古車掲載'!O1041&lt;=100000,'中古車掲載'!AL1041=1,'中古車掲載'!Z1041="https://www.one2car.com/en/cars-for-sale/toyota/corolla-cross/year-2023"),'中古車掲載'!U1041,"")</x:f>
      </x:c>
      <x:c r="BD1040" t="str">
        <x:f>IF(AND('中古車掲載'!C1041="One2car",'中古車掲載'!F1041="ATTO 3",'中古車掲載'!L1041="EXTENDED RANGE",'中古車掲載'!J1041=2023,ISNUMBER('中古車掲載'!N1041),'中古車掲載'!N1041&gt;=20000,'中古車掲載'!O1041&lt;=50000,'中古車掲載'!AL1041=1),'中古車掲載'!U1041,"")</x:f>
      </x:c>
      <x:c r="BE1040" t="str">
        <x:f>IF(AND('中古車掲載'!C1041="One2car",'中古車掲載'!F1041="Corolla Cross",'中古車掲載'!L1041="HEV PREMIUM SAFETY",'中古車掲載'!J1041=2023,ISNUMBER('中古車掲載'!N1041),'中古車掲載'!N1041&gt;=20000,'中古車掲載'!O1041&lt;=50000,'中古車掲載'!AL1041=1,'中古車掲載'!Z1041="https://www.one2car.com/en/cars-for-sale/toyota/corolla-cross/year-2023"),'中古車掲載'!U1041,"")</x:f>
      </x:c>
      <x:c r="BF1040" t="str">
        <x:f>IF(AND('中古車掲載'!C1041="One2car",'中古車掲載'!F1041="Corolla Cross",'中古車掲載'!L1041="HEV PREMIUM",'中古車掲載'!J1041=2023,ISNUMBER('中古車掲載'!N1041),'中古車掲載'!N1041&gt;=20000,'中古車掲載'!O1041&lt;=100000,'中古車掲載'!AL1041=1,'中古車掲載'!Z1041="https://www.one2car.com/en/cars-for-sale/toyota/corolla-cross/year-2023"),'中古車掲載'!U1041,"")</x:f>
      </x:c>
      <x:c r="BG1040" t="str">
        <x:f>IF(AND('中古車掲載'!C1041="One2car",'中古車掲載'!F1041="Corolla Cross",'中古車掲載'!L1041="HEV GR SPORT",'中古車掲載'!J1041=2023,ISNUMBER('中古車掲載'!N1041),'中古車掲載'!N1041&gt;=20000,'中古車掲載'!O1041&lt;=100000,'中古車掲載'!AL1041=1,'中古車掲載'!Z1041="https://www.one2car.com/en/cars-for-sale/toyota/corolla-cross/year-2023"),'中古車掲載'!U1041,"")</x:f>
      </x:c>
      <x:c r="BH1040" t="str">
        <x:f>IF(AND('中古車掲載'!C1041="One2car",'中古車掲載'!F1041="DOLPHIN",'中古車掲載'!L1041="STANDARD RANGE",'中古車掲載'!J1041=2023,ISNUMBER('中古車掲載'!N1041),'中古車掲載'!N1041&gt;=20000,'中古車掲載'!O1041&lt;=100000,'中古車掲載'!AL1041=1),'中古車掲載'!U1041,"")</x:f>
      </x:c>
      <x:c r="BI1040" t="str">
        <x:v>Taladrod|Yaris Ativ|ICE|Unknown</x:v>
      </x:c>
      <x:c r="BJ1040" t="n">
        <x:v>1041</x:v>
      </x:c>
      <x:c r="BK1040" t="n">
        <x:f>'中古車掲載'!AM1041</x:f>
        <x:v>469000</x:v>
      </x:c>
      <x:c r="BL1040" t="str">
        <x:f>IF(ISNUMBER('中古車掲載'!AN1041),'中古車掲載'!AN1041,"")</x:f>
      </x:c>
    </x:row>
    <x:row r="1041">
      <x:c r="AZ1041" t="str">
        <x:f>IF(AND('中古車掲載'!C1042="One2car",'中古車掲載'!F1042="ATTO 3",'中古車掲載'!L1042="EXTENDED RANGE",'中古車掲載'!J1042=2023,ISNUMBER('中古車掲載'!N1042),'中古車掲載'!N1042&gt;=20000,'中古車掲載'!O1042&lt;=100000,'中古車掲載'!AL1042=1),'中古車掲載'!U1042,"")</x:f>
      </x:c>
      <x:c r="BA1041" t="str">
        <x:f>IF(AND('中古車掲載'!C1042="One2car",'中古車掲載'!F1042="Corolla Cross",'中古車掲載'!L1042="HEV PREMIUM SAFETY",'中古車掲載'!J1042=2023,ISNUMBER('中古車掲載'!N1042),'中古車掲載'!N1042&gt;=20000,'中古車掲載'!O1042&lt;=100000,'中古車掲載'!AL1042=1,'中古車掲載'!Z1042="https://www.one2car.com/en/cars-for-sale/toyota/corolla-cross/year-2023"),'中古車掲載'!U1042,"")</x:f>
      </x:c>
      <x:c r="BB1041" t="str">
        <x:f>IF(AND('中古車掲載'!C1042="One2car",'中古車掲載'!F1042="ATTO 3",'中古車掲載'!L1042="EXTENDED RANGE",'中古車掲載'!J1042=2023,ISNUMBER('中古車掲載'!N1042),'中古車掲載'!N1042&gt;=50000,'中古車掲載'!O1042&lt;=100000,'中古車掲載'!AL1042=1),'中古車掲載'!U1042,"")</x:f>
      </x:c>
      <x:c r="BC1041" t="str">
        <x:f>IF(AND('中古車掲載'!C1042="One2car",'中古車掲載'!F1042="Corolla Cross",'中古車掲載'!L1042="HEV PREMIUM SAFETY",'中古車掲載'!J1042=2023,ISNUMBER('中古車掲載'!N1042),'中古車掲載'!N1042&gt;=50000,'中古車掲載'!O1042&lt;=100000,'中古車掲載'!AL1042=1,'中古車掲載'!Z1042="https://www.one2car.com/en/cars-for-sale/toyota/corolla-cross/year-2023"),'中古車掲載'!U1042,"")</x:f>
      </x:c>
      <x:c r="BD1041" t="str">
        <x:f>IF(AND('中古車掲載'!C1042="One2car",'中古車掲載'!F1042="ATTO 3",'中古車掲載'!L1042="EXTENDED RANGE",'中古車掲載'!J1042=2023,ISNUMBER('中古車掲載'!N1042),'中古車掲載'!N1042&gt;=20000,'中古車掲載'!O1042&lt;=50000,'中古車掲載'!AL1042=1),'中古車掲載'!U1042,"")</x:f>
      </x:c>
      <x:c r="BE1041" t="str">
        <x:f>IF(AND('中古車掲載'!C1042="One2car",'中古車掲載'!F1042="Corolla Cross",'中古車掲載'!L1042="HEV PREMIUM SAFETY",'中古車掲載'!J1042=2023,ISNUMBER('中古車掲載'!N1042),'中古車掲載'!N1042&gt;=20000,'中古車掲載'!O1042&lt;=50000,'中古車掲載'!AL1042=1,'中古車掲載'!Z1042="https://www.one2car.com/en/cars-for-sale/toyota/corolla-cross/year-2023"),'中古車掲載'!U1042,"")</x:f>
      </x:c>
      <x:c r="BF1041" t="str">
        <x:f>IF(AND('中古車掲載'!C1042="One2car",'中古車掲載'!F1042="Corolla Cross",'中古車掲載'!L1042="HEV PREMIUM",'中古車掲載'!J1042=2023,ISNUMBER('中古車掲載'!N1042),'中古車掲載'!N1042&gt;=20000,'中古車掲載'!O1042&lt;=100000,'中古車掲載'!AL1042=1,'中古車掲載'!Z1042="https://www.one2car.com/en/cars-for-sale/toyota/corolla-cross/year-2023"),'中古車掲載'!U1042,"")</x:f>
      </x:c>
      <x:c r="BG1041" t="str">
        <x:f>IF(AND('中古車掲載'!C1042="One2car",'中古車掲載'!F1042="Corolla Cross",'中古車掲載'!L1042="HEV GR SPORT",'中古車掲載'!J1042=2023,ISNUMBER('中古車掲載'!N1042),'中古車掲載'!N1042&gt;=20000,'中古車掲載'!O1042&lt;=100000,'中古車掲載'!AL1042=1,'中古車掲載'!Z1042="https://www.one2car.com/en/cars-for-sale/toyota/corolla-cross/year-2023"),'中古車掲載'!U1042,"")</x:f>
      </x:c>
      <x:c r="BH1041" t="str">
        <x:f>IF(AND('中古車掲載'!C1042="One2car",'中古車掲載'!F1042="DOLPHIN",'中古車掲載'!L1042="STANDARD RANGE",'中古車掲載'!J1042=2023,ISNUMBER('中古車掲載'!N1042),'中古車掲載'!N1042&gt;=20000,'中古車掲載'!O1042&lt;=100000,'中古車掲載'!AL1042=1),'中古車掲載'!U1042,"")</x:f>
      </x:c>
      <x:c r="BI1041" t="str">
        <x:v>Taladrod|Yaris Ativ|ICE|Unknown</x:v>
      </x:c>
      <x:c r="BJ1041" t="n">
        <x:v>1042</x:v>
      </x:c>
      <x:c r="BK1041" t="n">
        <x:f>'中古車掲載'!AM1042</x:f>
        <x:v>498000</x:v>
      </x:c>
      <x:c r="BL1041" t="str">
        <x:f>IF(ISNUMBER('中古車掲載'!AN1042),'中古車掲載'!AN1042,"")</x:f>
      </x:c>
    </x:row>
    <x:row r="1042">
      <x:c r="AZ1042" t="str">
        <x:f>IF(AND('中古車掲載'!C1043="One2car",'中古車掲載'!F1043="ATTO 3",'中古車掲載'!L1043="EXTENDED RANGE",'中古車掲載'!J1043=2023,ISNUMBER('中古車掲載'!N1043),'中古車掲載'!N1043&gt;=20000,'中古車掲載'!O1043&lt;=100000,'中古車掲載'!AL1043=1),'中古車掲載'!U1043,"")</x:f>
      </x:c>
      <x:c r="BA1042" t="str">
        <x:f>IF(AND('中古車掲載'!C1043="One2car",'中古車掲載'!F1043="Corolla Cross",'中古車掲載'!L1043="HEV PREMIUM SAFETY",'中古車掲載'!J1043=2023,ISNUMBER('中古車掲載'!N1043),'中古車掲載'!N1043&gt;=20000,'中古車掲載'!O1043&lt;=100000,'中古車掲載'!AL1043=1,'中古車掲載'!Z1043="https://www.one2car.com/en/cars-for-sale/toyota/corolla-cross/year-2023"),'中古車掲載'!U1043,"")</x:f>
      </x:c>
      <x:c r="BB1042" t="str">
        <x:f>IF(AND('中古車掲載'!C1043="One2car",'中古車掲載'!F1043="ATTO 3",'中古車掲載'!L1043="EXTENDED RANGE",'中古車掲載'!J1043=2023,ISNUMBER('中古車掲載'!N1043),'中古車掲載'!N1043&gt;=50000,'中古車掲載'!O1043&lt;=100000,'中古車掲載'!AL1043=1),'中古車掲載'!U1043,"")</x:f>
      </x:c>
      <x:c r="BC1042" t="str">
        <x:f>IF(AND('中古車掲載'!C1043="One2car",'中古車掲載'!F1043="Corolla Cross",'中古車掲載'!L1043="HEV PREMIUM SAFETY",'中古車掲載'!J1043=2023,ISNUMBER('中古車掲載'!N1043),'中古車掲載'!N1043&gt;=50000,'中古車掲載'!O1043&lt;=100000,'中古車掲載'!AL1043=1,'中古車掲載'!Z1043="https://www.one2car.com/en/cars-for-sale/toyota/corolla-cross/year-2023"),'中古車掲載'!U1043,"")</x:f>
      </x:c>
      <x:c r="BD1042" t="str">
        <x:f>IF(AND('中古車掲載'!C1043="One2car",'中古車掲載'!F1043="ATTO 3",'中古車掲載'!L1043="EXTENDED RANGE",'中古車掲載'!J1043=2023,ISNUMBER('中古車掲載'!N1043),'中古車掲載'!N1043&gt;=20000,'中古車掲載'!O1043&lt;=50000,'中古車掲載'!AL1043=1),'中古車掲載'!U1043,"")</x:f>
      </x:c>
      <x:c r="BE1042" t="str">
        <x:f>IF(AND('中古車掲載'!C1043="One2car",'中古車掲載'!F1043="Corolla Cross",'中古車掲載'!L1043="HEV PREMIUM SAFETY",'中古車掲載'!J1043=2023,ISNUMBER('中古車掲載'!N1043),'中古車掲載'!N1043&gt;=20000,'中古車掲載'!O1043&lt;=50000,'中古車掲載'!AL1043=1,'中古車掲載'!Z1043="https://www.one2car.com/en/cars-for-sale/toyota/corolla-cross/year-2023"),'中古車掲載'!U1043,"")</x:f>
      </x:c>
      <x:c r="BF1042" t="str">
        <x:f>IF(AND('中古車掲載'!C1043="One2car",'中古車掲載'!F1043="Corolla Cross",'中古車掲載'!L1043="HEV PREMIUM",'中古車掲載'!J1043=2023,ISNUMBER('中古車掲載'!N1043),'中古車掲載'!N1043&gt;=20000,'中古車掲載'!O1043&lt;=100000,'中古車掲載'!AL1043=1,'中古車掲載'!Z1043="https://www.one2car.com/en/cars-for-sale/toyota/corolla-cross/year-2023"),'中古車掲載'!U1043,"")</x:f>
      </x:c>
      <x:c r="BG1042" t="str">
        <x:f>IF(AND('中古車掲載'!C1043="One2car",'中古車掲載'!F1043="Corolla Cross",'中古車掲載'!L1043="HEV GR SPORT",'中古車掲載'!J1043=2023,ISNUMBER('中古車掲載'!N1043),'中古車掲載'!N1043&gt;=20000,'中古車掲載'!O1043&lt;=100000,'中古車掲載'!AL1043=1,'中古車掲載'!Z1043="https://www.one2car.com/en/cars-for-sale/toyota/corolla-cross/year-2023"),'中古車掲載'!U1043,"")</x:f>
      </x:c>
      <x:c r="BH1042" t="str">
        <x:f>IF(AND('中古車掲載'!C1043="One2car",'中古車掲載'!F1043="DOLPHIN",'中古車掲載'!L1043="STANDARD RANGE",'中古車掲載'!J1043=2023,ISNUMBER('中古車掲載'!N1043),'中古車掲載'!N1043&gt;=20000,'中古車掲載'!O1043&lt;=100000,'中古車掲載'!AL1043=1),'中古車掲載'!U1043,"")</x:f>
      </x:c>
      <x:c r="BI1042" t="str">
        <x:v>Taladrod|Yaris Ativ|ICE|Unknown</x:v>
      </x:c>
      <x:c r="BJ1042" t="n">
        <x:v>1043</x:v>
      </x:c>
      <x:c r="BK1042" t="n">
        <x:f>'中古車掲載'!AM1043</x:f>
        <x:v>479000</x:v>
      </x:c>
      <x:c r="BL1042" t="str">
        <x:f>IF(ISNUMBER('中古車掲載'!AN1043),'中古車掲載'!AN1043,"")</x:f>
      </x:c>
    </x:row>
    <x:row r="1043">
      <x:c r="AZ1043" t="str">
        <x:f>IF(AND('中古車掲載'!C1044="One2car",'中古車掲載'!F1044="ATTO 3",'中古車掲載'!L1044="EXTENDED RANGE",'中古車掲載'!J1044=2023,ISNUMBER('中古車掲載'!N1044),'中古車掲載'!N1044&gt;=20000,'中古車掲載'!O1044&lt;=100000,'中古車掲載'!AL1044=1),'中古車掲載'!U1044,"")</x:f>
      </x:c>
      <x:c r="BA1043" t="str">
        <x:f>IF(AND('中古車掲載'!C1044="One2car",'中古車掲載'!F1044="Corolla Cross",'中古車掲載'!L1044="HEV PREMIUM SAFETY",'中古車掲載'!J1044=2023,ISNUMBER('中古車掲載'!N1044),'中古車掲載'!N1044&gt;=20000,'中古車掲載'!O1044&lt;=100000,'中古車掲載'!AL1044=1,'中古車掲載'!Z1044="https://www.one2car.com/en/cars-for-sale/toyota/corolla-cross/year-2023"),'中古車掲載'!U1044,"")</x:f>
      </x:c>
      <x:c r="BB1043" t="str">
        <x:f>IF(AND('中古車掲載'!C1044="One2car",'中古車掲載'!F1044="ATTO 3",'中古車掲載'!L1044="EXTENDED RANGE",'中古車掲載'!J1044=2023,ISNUMBER('中古車掲載'!N1044),'中古車掲載'!N1044&gt;=50000,'中古車掲載'!O1044&lt;=100000,'中古車掲載'!AL1044=1),'中古車掲載'!U1044,"")</x:f>
      </x:c>
      <x:c r="BC1043" t="str">
        <x:f>IF(AND('中古車掲載'!C1044="One2car",'中古車掲載'!F1044="Corolla Cross",'中古車掲載'!L1044="HEV PREMIUM SAFETY",'中古車掲載'!J1044=2023,ISNUMBER('中古車掲載'!N1044),'中古車掲載'!N1044&gt;=50000,'中古車掲載'!O1044&lt;=100000,'中古車掲載'!AL1044=1,'中古車掲載'!Z1044="https://www.one2car.com/en/cars-for-sale/toyota/corolla-cross/year-2023"),'中古車掲載'!U1044,"")</x:f>
      </x:c>
      <x:c r="BD1043" t="str">
        <x:f>IF(AND('中古車掲載'!C1044="One2car",'中古車掲載'!F1044="ATTO 3",'中古車掲載'!L1044="EXTENDED RANGE",'中古車掲載'!J1044=2023,ISNUMBER('中古車掲載'!N1044),'中古車掲載'!N1044&gt;=20000,'中古車掲載'!O1044&lt;=50000,'中古車掲載'!AL1044=1),'中古車掲載'!U1044,"")</x:f>
      </x:c>
      <x:c r="BE1043" t="str">
        <x:f>IF(AND('中古車掲載'!C1044="One2car",'中古車掲載'!F1044="Corolla Cross",'中古車掲載'!L1044="HEV PREMIUM SAFETY",'中古車掲載'!J1044=2023,ISNUMBER('中古車掲載'!N1044),'中古車掲載'!N1044&gt;=20000,'中古車掲載'!O1044&lt;=50000,'中古車掲載'!AL1044=1,'中古車掲載'!Z1044="https://www.one2car.com/en/cars-for-sale/toyota/corolla-cross/year-2023"),'中古車掲載'!U1044,"")</x:f>
      </x:c>
      <x:c r="BF1043" t="str">
        <x:f>IF(AND('中古車掲載'!C1044="One2car",'中古車掲載'!F1044="Corolla Cross",'中古車掲載'!L1044="HEV PREMIUM",'中古車掲載'!J1044=2023,ISNUMBER('中古車掲載'!N1044),'中古車掲載'!N1044&gt;=20000,'中古車掲載'!O1044&lt;=100000,'中古車掲載'!AL1044=1,'中古車掲載'!Z1044="https://www.one2car.com/en/cars-for-sale/toyota/corolla-cross/year-2023"),'中古車掲載'!U1044,"")</x:f>
      </x:c>
      <x:c r="BG1043" t="str">
        <x:f>IF(AND('中古車掲載'!C1044="One2car",'中古車掲載'!F1044="Corolla Cross",'中古車掲載'!L1044="HEV GR SPORT",'中古車掲載'!J1044=2023,ISNUMBER('中古車掲載'!N1044),'中古車掲載'!N1044&gt;=20000,'中古車掲載'!O1044&lt;=100000,'中古車掲載'!AL1044=1,'中古車掲載'!Z1044="https://www.one2car.com/en/cars-for-sale/toyota/corolla-cross/year-2023"),'中古車掲載'!U1044,"")</x:f>
      </x:c>
      <x:c r="BH1043" t="str">
        <x:f>IF(AND('中古車掲載'!C1044="One2car",'中古車掲載'!F1044="DOLPHIN",'中古車掲載'!L1044="STANDARD RANGE",'中古車掲載'!J1044=2023,ISNUMBER('中古車掲載'!N1044),'中古車掲載'!N1044&gt;=20000,'中古車掲載'!O1044&lt;=100000,'中古車掲載'!AL1044=1),'中古車掲載'!U1044,"")</x:f>
      </x:c>
      <x:c r="BI1043" t="str">
        <x:v>Taladrod|Yaris Ativ|ICE|Unknown</x:v>
      </x:c>
      <x:c r="BJ1043" t="n">
        <x:v>1044</x:v>
      </x:c>
      <x:c r="BK1043" t="n">
        <x:f>'中古車掲載'!AM1044</x:f>
        <x:v>499000</x:v>
      </x:c>
      <x:c r="BL1043" t="str">
        <x:f>IF(ISNUMBER('中古車掲載'!AN1044),'中古車掲載'!AN1044,"")</x:f>
      </x:c>
    </x:row>
    <x:row r="1044">
      <x:c r="AZ1044" t="str">
        <x:f>IF(AND('中古車掲載'!C1045="One2car",'中古車掲載'!F1045="ATTO 3",'中古車掲載'!L1045="EXTENDED RANGE",'中古車掲載'!J1045=2023,ISNUMBER('中古車掲載'!N1045),'中古車掲載'!N1045&gt;=20000,'中古車掲載'!O1045&lt;=100000,'中古車掲載'!AL1045=1),'中古車掲載'!U1045,"")</x:f>
      </x:c>
      <x:c r="BA1044" t="str">
        <x:f>IF(AND('中古車掲載'!C1045="One2car",'中古車掲載'!F1045="Corolla Cross",'中古車掲載'!L1045="HEV PREMIUM SAFETY",'中古車掲載'!J1045=2023,ISNUMBER('中古車掲載'!N1045),'中古車掲載'!N1045&gt;=20000,'中古車掲載'!O1045&lt;=100000,'中古車掲載'!AL1045=1,'中古車掲載'!Z1045="https://www.one2car.com/en/cars-for-sale/toyota/corolla-cross/year-2023"),'中古車掲載'!U1045,"")</x:f>
      </x:c>
      <x:c r="BB1044" t="str">
        <x:f>IF(AND('中古車掲載'!C1045="One2car",'中古車掲載'!F1045="ATTO 3",'中古車掲載'!L1045="EXTENDED RANGE",'中古車掲載'!J1045=2023,ISNUMBER('中古車掲載'!N1045),'中古車掲載'!N1045&gt;=50000,'中古車掲載'!O1045&lt;=100000,'中古車掲載'!AL1045=1),'中古車掲載'!U1045,"")</x:f>
      </x:c>
      <x:c r="BC1044" t="str">
        <x:f>IF(AND('中古車掲載'!C1045="One2car",'中古車掲載'!F1045="Corolla Cross",'中古車掲載'!L1045="HEV PREMIUM SAFETY",'中古車掲載'!J1045=2023,ISNUMBER('中古車掲載'!N1045),'中古車掲載'!N1045&gt;=50000,'中古車掲載'!O1045&lt;=100000,'中古車掲載'!AL1045=1,'中古車掲載'!Z1045="https://www.one2car.com/en/cars-for-sale/toyota/corolla-cross/year-2023"),'中古車掲載'!U1045,"")</x:f>
      </x:c>
      <x:c r="BD1044" t="str">
        <x:f>IF(AND('中古車掲載'!C1045="One2car",'中古車掲載'!F1045="ATTO 3",'中古車掲載'!L1045="EXTENDED RANGE",'中古車掲載'!J1045=2023,ISNUMBER('中古車掲載'!N1045),'中古車掲載'!N1045&gt;=20000,'中古車掲載'!O1045&lt;=50000,'中古車掲載'!AL1045=1),'中古車掲載'!U1045,"")</x:f>
      </x:c>
      <x:c r="BE1044" t="str">
        <x:f>IF(AND('中古車掲載'!C1045="One2car",'中古車掲載'!F1045="Corolla Cross",'中古車掲載'!L1045="HEV PREMIUM SAFETY",'中古車掲載'!J1045=2023,ISNUMBER('中古車掲載'!N1045),'中古車掲載'!N1045&gt;=20000,'中古車掲載'!O1045&lt;=50000,'中古車掲載'!AL1045=1,'中古車掲載'!Z1045="https://www.one2car.com/en/cars-for-sale/toyota/corolla-cross/year-2023"),'中古車掲載'!U1045,"")</x:f>
      </x:c>
      <x:c r="BF1044" t="str">
        <x:f>IF(AND('中古車掲載'!C1045="One2car",'中古車掲載'!F1045="Corolla Cross",'中古車掲載'!L1045="HEV PREMIUM",'中古車掲載'!J1045=2023,ISNUMBER('中古車掲載'!N1045),'中古車掲載'!N1045&gt;=20000,'中古車掲載'!O1045&lt;=100000,'中古車掲載'!AL1045=1,'中古車掲載'!Z1045="https://www.one2car.com/en/cars-for-sale/toyota/corolla-cross/year-2023"),'中古車掲載'!U1045,"")</x:f>
      </x:c>
      <x:c r="BG1044" t="str">
        <x:f>IF(AND('中古車掲載'!C1045="One2car",'中古車掲載'!F1045="Corolla Cross",'中古車掲載'!L1045="HEV GR SPORT",'中古車掲載'!J1045=2023,ISNUMBER('中古車掲載'!N1045),'中古車掲載'!N1045&gt;=20000,'中古車掲載'!O1045&lt;=100000,'中古車掲載'!AL1045=1,'中古車掲載'!Z1045="https://www.one2car.com/en/cars-for-sale/toyota/corolla-cross/year-2023"),'中古車掲載'!U1045,"")</x:f>
      </x:c>
      <x:c r="BH1044" t="str">
        <x:f>IF(AND('中古車掲載'!C1045="One2car",'中古車掲載'!F1045="DOLPHIN",'中古車掲載'!L1045="STANDARD RANGE",'中古車掲載'!J1045=2023,ISNUMBER('中古車掲載'!N1045),'中古車掲載'!N1045&gt;=20000,'中古車掲載'!O1045&lt;=100000,'中古車掲載'!AL1045=1),'中古車掲載'!U1045,"")</x:f>
      </x:c>
      <x:c r="BI1044" t="str">
        <x:v>Taladrod|Yaris Ativ|ICE|Unknown</x:v>
      </x:c>
      <x:c r="BJ1044" t="n">
        <x:v>1045</x:v>
      </x:c>
      <x:c r="BK1044" t="n">
        <x:f>'中古車掲載'!AM1045</x:f>
        <x:v>489000</x:v>
      </x:c>
      <x:c r="BL1044" t="str">
        <x:f>IF(ISNUMBER('中古車掲載'!AN1045),'中古車掲載'!AN1045,"")</x:f>
      </x:c>
    </x:row>
    <x:row r="1045">
      <x:c r="AZ1045" t="str">
        <x:f>IF(AND('中古車掲載'!C1046="One2car",'中古車掲載'!F1046="ATTO 3",'中古車掲載'!L1046="EXTENDED RANGE",'中古車掲載'!J1046=2023,ISNUMBER('中古車掲載'!N1046),'中古車掲載'!N1046&gt;=20000,'中古車掲載'!O1046&lt;=100000,'中古車掲載'!AL1046=1),'中古車掲載'!U1046,"")</x:f>
      </x:c>
      <x:c r="BA1045" t="str">
        <x:f>IF(AND('中古車掲載'!C1046="One2car",'中古車掲載'!F1046="Corolla Cross",'中古車掲載'!L1046="HEV PREMIUM SAFETY",'中古車掲載'!J1046=2023,ISNUMBER('中古車掲載'!N1046),'中古車掲載'!N1046&gt;=20000,'中古車掲載'!O1046&lt;=100000,'中古車掲載'!AL1046=1,'中古車掲載'!Z1046="https://www.one2car.com/en/cars-for-sale/toyota/corolla-cross/year-2023"),'中古車掲載'!U1046,"")</x:f>
      </x:c>
      <x:c r="BB1045" t="str">
        <x:f>IF(AND('中古車掲載'!C1046="One2car",'中古車掲載'!F1046="ATTO 3",'中古車掲載'!L1046="EXTENDED RANGE",'中古車掲載'!J1046=2023,ISNUMBER('中古車掲載'!N1046),'中古車掲載'!N1046&gt;=50000,'中古車掲載'!O1046&lt;=100000,'中古車掲載'!AL1046=1),'中古車掲載'!U1046,"")</x:f>
      </x:c>
      <x:c r="BC1045" t="str">
        <x:f>IF(AND('中古車掲載'!C1046="One2car",'中古車掲載'!F1046="Corolla Cross",'中古車掲載'!L1046="HEV PREMIUM SAFETY",'中古車掲載'!J1046=2023,ISNUMBER('中古車掲載'!N1046),'中古車掲載'!N1046&gt;=50000,'中古車掲載'!O1046&lt;=100000,'中古車掲載'!AL1046=1,'中古車掲載'!Z1046="https://www.one2car.com/en/cars-for-sale/toyota/corolla-cross/year-2023"),'中古車掲載'!U1046,"")</x:f>
      </x:c>
      <x:c r="BD1045" t="str">
        <x:f>IF(AND('中古車掲載'!C1046="One2car",'中古車掲載'!F1046="ATTO 3",'中古車掲載'!L1046="EXTENDED RANGE",'中古車掲載'!J1046=2023,ISNUMBER('中古車掲載'!N1046),'中古車掲載'!N1046&gt;=20000,'中古車掲載'!O1046&lt;=50000,'中古車掲載'!AL1046=1),'中古車掲載'!U1046,"")</x:f>
      </x:c>
      <x:c r="BE1045" t="str">
        <x:f>IF(AND('中古車掲載'!C1046="One2car",'中古車掲載'!F1046="Corolla Cross",'中古車掲載'!L1046="HEV PREMIUM SAFETY",'中古車掲載'!J1046=2023,ISNUMBER('中古車掲載'!N1046),'中古車掲載'!N1046&gt;=20000,'中古車掲載'!O1046&lt;=50000,'中古車掲載'!AL1046=1,'中古車掲載'!Z1046="https://www.one2car.com/en/cars-for-sale/toyota/corolla-cross/year-2023"),'中古車掲載'!U1046,"")</x:f>
      </x:c>
      <x:c r="BF1045" t="str">
        <x:f>IF(AND('中古車掲載'!C1046="One2car",'中古車掲載'!F1046="Corolla Cross",'中古車掲載'!L1046="HEV PREMIUM",'中古車掲載'!J1046=2023,ISNUMBER('中古車掲載'!N1046),'中古車掲載'!N1046&gt;=20000,'中古車掲載'!O1046&lt;=100000,'中古車掲載'!AL1046=1,'中古車掲載'!Z1046="https://www.one2car.com/en/cars-for-sale/toyota/corolla-cross/year-2023"),'中古車掲載'!U1046,"")</x:f>
      </x:c>
      <x:c r="BG1045" t="str">
        <x:f>IF(AND('中古車掲載'!C1046="One2car",'中古車掲載'!F1046="Corolla Cross",'中古車掲載'!L1046="HEV GR SPORT",'中古車掲載'!J1046=2023,ISNUMBER('中古車掲載'!N1046),'中古車掲載'!N1046&gt;=20000,'中古車掲載'!O1046&lt;=100000,'中古車掲載'!AL1046=1,'中古車掲載'!Z1046="https://www.one2car.com/en/cars-for-sale/toyota/corolla-cross/year-2023"),'中古車掲載'!U1046,"")</x:f>
      </x:c>
      <x:c r="BH1045" t="str">
        <x:f>IF(AND('中古車掲載'!C1046="One2car",'中古車掲載'!F1046="DOLPHIN",'中古車掲載'!L1046="STANDARD RANGE",'中古車掲載'!J1046=2023,ISNUMBER('中古車掲載'!N1046),'中古車掲載'!N1046&gt;=20000,'中古車掲載'!O1046&lt;=100000,'中古車掲載'!AL1046=1),'中古車掲載'!U1046,"")</x:f>
      </x:c>
      <x:c r="BI1045" t="str">
        <x:v>Taladrod|Yaris Ativ|ICE|Unknown</x:v>
      </x:c>
      <x:c r="BJ1045" t="n">
        <x:v>1046</x:v>
      </x:c>
      <x:c r="BK1045" t="n">
        <x:f>'中古車掲載'!AM1046</x:f>
        <x:v>439000</x:v>
      </x:c>
      <x:c r="BL1045" t="str">
        <x:f>IF(ISNUMBER('中古車掲載'!AN1046),'中古車掲載'!AN1046,"")</x:f>
      </x:c>
    </x:row>
    <x:row r="1046">
      <x:c r="AZ1046" t="str">
        <x:f>IF(AND('中古車掲載'!C1047="One2car",'中古車掲載'!F1047="ATTO 3",'中古車掲載'!L1047="EXTENDED RANGE",'中古車掲載'!J1047=2023,ISNUMBER('中古車掲載'!N1047),'中古車掲載'!N1047&gt;=20000,'中古車掲載'!O1047&lt;=100000,'中古車掲載'!AL1047=1),'中古車掲載'!U1047,"")</x:f>
      </x:c>
      <x:c r="BA1046" t="str">
        <x:f>IF(AND('中古車掲載'!C1047="One2car",'中古車掲載'!F1047="Corolla Cross",'中古車掲載'!L1047="HEV PREMIUM SAFETY",'中古車掲載'!J1047=2023,ISNUMBER('中古車掲載'!N1047),'中古車掲載'!N1047&gt;=20000,'中古車掲載'!O1047&lt;=100000,'中古車掲載'!AL1047=1,'中古車掲載'!Z1047="https://www.one2car.com/en/cars-for-sale/toyota/corolla-cross/year-2023"),'中古車掲載'!U1047,"")</x:f>
      </x:c>
      <x:c r="BB1046" t="str">
        <x:f>IF(AND('中古車掲載'!C1047="One2car",'中古車掲載'!F1047="ATTO 3",'中古車掲載'!L1047="EXTENDED RANGE",'中古車掲載'!J1047=2023,ISNUMBER('中古車掲載'!N1047),'中古車掲載'!N1047&gt;=50000,'中古車掲載'!O1047&lt;=100000,'中古車掲載'!AL1047=1),'中古車掲載'!U1047,"")</x:f>
      </x:c>
      <x:c r="BC1046" t="str">
        <x:f>IF(AND('中古車掲載'!C1047="One2car",'中古車掲載'!F1047="Corolla Cross",'中古車掲載'!L1047="HEV PREMIUM SAFETY",'中古車掲載'!J1047=2023,ISNUMBER('中古車掲載'!N1047),'中古車掲載'!N1047&gt;=50000,'中古車掲載'!O1047&lt;=100000,'中古車掲載'!AL1047=1,'中古車掲載'!Z1047="https://www.one2car.com/en/cars-for-sale/toyota/corolla-cross/year-2023"),'中古車掲載'!U1047,"")</x:f>
      </x:c>
      <x:c r="BD1046" t="str">
        <x:f>IF(AND('中古車掲載'!C1047="One2car",'中古車掲載'!F1047="ATTO 3",'中古車掲載'!L1047="EXTENDED RANGE",'中古車掲載'!J1047=2023,ISNUMBER('中古車掲載'!N1047),'中古車掲載'!N1047&gt;=20000,'中古車掲載'!O1047&lt;=50000,'中古車掲載'!AL1047=1),'中古車掲載'!U1047,"")</x:f>
      </x:c>
      <x:c r="BE1046" t="str">
        <x:f>IF(AND('中古車掲載'!C1047="One2car",'中古車掲載'!F1047="Corolla Cross",'中古車掲載'!L1047="HEV PREMIUM SAFETY",'中古車掲載'!J1047=2023,ISNUMBER('中古車掲載'!N1047),'中古車掲載'!N1047&gt;=20000,'中古車掲載'!O1047&lt;=50000,'中古車掲載'!AL1047=1,'中古車掲載'!Z1047="https://www.one2car.com/en/cars-for-sale/toyota/corolla-cross/year-2023"),'中古車掲載'!U1047,"")</x:f>
      </x:c>
      <x:c r="BF1046" t="str">
        <x:f>IF(AND('中古車掲載'!C1047="One2car",'中古車掲載'!F1047="Corolla Cross",'中古車掲載'!L1047="HEV PREMIUM",'中古車掲載'!J1047=2023,ISNUMBER('中古車掲載'!N1047),'中古車掲載'!N1047&gt;=20000,'中古車掲載'!O1047&lt;=100000,'中古車掲載'!AL1047=1,'中古車掲載'!Z1047="https://www.one2car.com/en/cars-for-sale/toyota/corolla-cross/year-2023"),'中古車掲載'!U1047,"")</x:f>
      </x:c>
      <x:c r="BG1046" t="str">
        <x:f>IF(AND('中古車掲載'!C1047="One2car",'中古車掲載'!F1047="Corolla Cross",'中古車掲載'!L1047="HEV GR SPORT",'中古車掲載'!J1047=2023,ISNUMBER('中古車掲載'!N1047),'中古車掲載'!N1047&gt;=20000,'中古車掲載'!O1047&lt;=100000,'中古車掲載'!AL1047=1,'中古車掲載'!Z1047="https://www.one2car.com/en/cars-for-sale/toyota/corolla-cross/year-2023"),'中古車掲載'!U1047,"")</x:f>
      </x:c>
      <x:c r="BH1046" t="str">
        <x:f>IF(AND('中古車掲載'!C1047="One2car",'中古車掲載'!F1047="DOLPHIN",'中古車掲載'!L1047="STANDARD RANGE",'中古車掲載'!J1047=2023,ISNUMBER('中古車掲載'!N1047),'中古車掲載'!N1047&gt;=20000,'中古車掲載'!O1047&lt;=100000,'中古車掲載'!AL1047=1),'中古車掲載'!U1047,"")</x:f>
      </x:c>
      <x:c r="BI1046" t="str">
        <x:v>Taladrod|Yaris Ativ|ICE|Unknown</x:v>
      </x:c>
      <x:c r="BJ1046" t="n">
        <x:v>1047</x:v>
      </x:c>
      <x:c r="BK1046" t="n">
        <x:f>'中古車掲載'!AM1047</x:f>
        <x:v>609000</x:v>
      </x:c>
      <x:c r="BL1046" t="str">
        <x:f>IF(ISNUMBER('中古車掲載'!AN1047),'中古車掲載'!AN1047,"")</x:f>
      </x:c>
    </x:row>
    <x:row r="1047">
      <x:c r="AZ1047" t="str">
        <x:f>IF(AND('中古車掲載'!C1048="One2car",'中古車掲載'!F1048="ATTO 3",'中古車掲載'!L1048="EXTENDED RANGE",'中古車掲載'!J1048=2023,ISNUMBER('中古車掲載'!N1048),'中古車掲載'!N1048&gt;=20000,'中古車掲載'!O1048&lt;=100000,'中古車掲載'!AL1048=1),'中古車掲載'!U1048,"")</x:f>
      </x:c>
      <x:c r="BA1047" t="str">
        <x:f>IF(AND('中古車掲載'!C1048="One2car",'中古車掲載'!F1048="Corolla Cross",'中古車掲載'!L1048="HEV PREMIUM SAFETY",'中古車掲載'!J1048=2023,ISNUMBER('中古車掲載'!N1048),'中古車掲載'!N1048&gt;=20000,'中古車掲載'!O1048&lt;=100000,'中古車掲載'!AL1048=1,'中古車掲載'!Z1048="https://www.one2car.com/en/cars-for-sale/toyota/corolla-cross/year-2023"),'中古車掲載'!U1048,"")</x:f>
      </x:c>
      <x:c r="BB1047" t="str">
        <x:f>IF(AND('中古車掲載'!C1048="One2car",'中古車掲載'!F1048="ATTO 3",'中古車掲載'!L1048="EXTENDED RANGE",'中古車掲載'!J1048=2023,ISNUMBER('中古車掲載'!N1048),'中古車掲載'!N1048&gt;=50000,'中古車掲載'!O1048&lt;=100000,'中古車掲載'!AL1048=1),'中古車掲載'!U1048,"")</x:f>
      </x:c>
      <x:c r="BC1047" t="str">
        <x:f>IF(AND('中古車掲載'!C1048="One2car",'中古車掲載'!F1048="Corolla Cross",'中古車掲載'!L1048="HEV PREMIUM SAFETY",'中古車掲載'!J1048=2023,ISNUMBER('中古車掲載'!N1048),'中古車掲載'!N1048&gt;=50000,'中古車掲載'!O1048&lt;=100000,'中古車掲載'!AL1048=1,'中古車掲載'!Z1048="https://www.one2car.com/en/cars-for-sale/toyota/corolla-cross/year-2023"),'中古車掲載'!U1048,"")</x:f>
      </x:c>
      <x:c r="BD1047" t="str">
        <x:f>IF(AND('中古車掲載'!C1048="One2car",'中古車掲載'!F1048="ATTO 3",'中古車掲載'!L1048="EXTENDED RANGE",'中古車掲載'!J1048=2023,ISNUMBER('中古車掲載'!N1048),'中古車掲載'!N1048&gt;=20000,'中古車掲載'!O1048&lt;=50000,'中古車掲載'!AL1048=1),'中古車掲載'!U1048,"")</x:f>
      </x:c>
      <x:c r="BE1047" t="str">
        <x:f>IF(AND('中古車掲載'!C1048="One2car",'中古車掲載'!F1048="Corolla Cross",'中古車掲載'!L1048="HEV PREMIUM SAFETY",'中古車掲載'!J1048=2023,ISNUMBER('中古車掲載'!N1048),'中古車掲載'!N1048&gt;=20000,'中古車掲載'!O1048&lt;=50000,'中古車掲載'!AL1048=1,'中古車掲載'!Z1048="https://www.one2car.com/en/cars-for-sale/toyota/corolla-cross/year-2023"),'中古車掲載'!U1048,"")</x:f>
      </x:c>
      <x:c r="BF1047" t="str">
        <x:f>IF(AND('中古車掲載'!C1048="One2car",'中古車掲載'!F1048="Corolla Cross",'中古車掲載'!L1048="HEV PREMIUM",'中古車掲載'!J1048=2023,ISNUMBER('中古車掲載'!N1048),'中古車掲載'!N1048&gt;=20000,'中古車掲載'!O1048&lt;=100000,'中古車掲載'!AL1048=1,'中古車掲載'!Z1048="https://www.one2car.com/en/cars-for-sale/toyota/corolla-cross/year-2023"),'中古車掲載'!U1048,"")</x:f>
      </x:c>
      <x:c r="BG1047" t="str">
        <x:f>IF(AND('中古車掲載'!C1048="One2car",'中古車掲載'!F1048="Corolla Cross",'中古車掲載'!L1048="HEV GR SPORT",'中古車掲載'!J1048=2023,ISNUMBER('中古車掲載'!N1048),'中古車掲載'!N1048&gt;=20000,'中古車掲載'!O1048&lt;=100000,'中古車掲載'!AL1048=1,'中古車掲載'!Z1048="https://www.one2car.com/en/cars-for-sale/toyota/corolla-cross/year-2023"),'中古車掲載'!U1048,"")</x:f>
      </x:c>
      <x:c r="BH1047" t="str">
        <x:f>IF(AND('中古車掲載'!C1048="One2car",'中古車掲載'!F1048="DOLPHIN",'中古車掲載'!L1048="STANDARD RANGE",'中古車掲載'!J1048=2023,ISNUMBER('中古車掲載'!N1048),'中古車掲載'!N1048&gt;=20000,'中古車掲載'!O1048&lt;=100000,'中古車掲載'!AL1048=1),'中古車掲載'!U1048,"")</x:f>
      </x:c>
      <x:c r="BI1047" t="str">
        <x:v>Taladrod|Yaris Ativ|ICE|Unknown</x:v>
      </x:c>
      <x:c r="BJ1047" t="n">
        <x:v>1048</x:v>
      </x:c>
      <x:c r="BK1047" t="n">
        <x:f>'中古車掲載'!AM1048</x:f>
        <x:v>524000</x:v>
      </x:c>
      <x:c r="BL1047" t="str">
        <x:f>IF(ISNUMBER('中古車掲載'!AN1048),'中古車掲載'!AN1048,"")</x:f>
      </x:c>
    </x:row>
    <x:row r="1048">
      <x:c r="AZ1048" t="str">
        <x:f>IF(AND('中古車掲載'!C1049="One2car",'中古車掲載'!F1049="ATTO 3",'中古車掲載'!L1049="EXTENDED RANGE",'中古車掲載'!J1049=2023,ISNUMBER('中古車掲載'!N1049),'中古車掲載'!N1049&gt;=20000,'中古車掲載'!O1049&lt;=100000,'中古車掲載'!AL1049=1),'中古車掲載'!U1049,"")</x:f>
      </x:c>
      <x:c r="BA1048" t="str">
        <x:f>IF(AND('中古車掲載'!C1049="One2car",'中古車掲載'!F1049="Corolla Cross",'中古車掲載'!L1049="HEV PREMIUM SAFETY",'中古車掲載'!J1049=2023,ISNUMBER('中古車掲載'!N1049),'中古車掲載'!N1049&gt;=20000,'中古車掲載'!O1049&lt;=100000,'中古車掲載'!AL1049=1,'中古車掲載'!Z1049="https://www.one2car.com/en/cars-for-sale/toyota/corolla-cross/year-2023"),'中古車掲載'!U1049,"")</x:f>
      </x:c>
      <x:c r="BB1048" t="str">
        <x:f>IF(AND('中古車掲載'!C1049="One2car",'中古車掲載'!F1049="ATTO 3",'中古車掲載'!L1049="EXTENDED RANGE",'中古車掲載'!J1049=2023,ISNUMBER('中古車掲載'!N1049),'中古車掲載'!N1049&gt;=50000,'中古車掲載'!O1049&lt;=100000,'中古車掲載'!AL1049=1),'中古車掲載'!U1049,"")</x:f>
      </x:c>
      <x:c r="BC1048" t="str">
        <x:f>IF(AND('中古車掲載'!C1049="One2car",'中古車掲載'!F1049="Corolla Cross",'中古車掲載'!L1049="HEV PREMIUM SAFETY",'中古車掲載'!J1049=2023,ISNUMBER('中古車掲載'!N1049),'中古車掲載'!N1049&gt;=50000,'中古車掲載'!O1049&lt;=100000,'中古車掲載'!AL1049=1,'中古車掲載'!Z1049="https://www.one2car.com/en/cars-for-sale/toyota/corolla-cross/year-2023"),'中古車掲載'!U1049,"")</x:f>
      </x:c>
      <x:c r="BD1048" t="str">
        <x:f>IF(AND('中古車掲載'!C1049="One2car",'中古車掲載'!F1049="ATTO 3",'中古車掲載'!L1049="EXTENDED RANGE",'中古車掲載'!J1049=2023,ISNUMBER('中古車掲載'!N1049),'中古車掲載'!N1049&gt;=20000,'中古車掲載'!O1049&lt;=50000,'中古車掲載'!AL1049=1),'中古車掲載'!U1049,"")</x:f>
      </x:c>
      <x:c r="BE1048" t="str">
        <x:f>IF(AND('中古車掲載'!C1049="One2car",'中古車掲載'!F1049="Corolla Cross",'中古車掲載'!L1049="HEV PREMIUM SAFETY",'中古車掲載'!J1049=2023,ISNUMBER('中古車掲載'!N1049),'中古車掲載'!N1049&gt;=20000,'中古車掲載'!O1049&lt;=50000,'中古車掲載'!AL1049=1,'中古車掲載'!Z1049="https://www.one2car.com/en/cars-for-sale/toyota/corolla-cross/year-2023"),'中古車掲載'!U1049,"")</x:f>
      </x:c>
      <x:c r="BF1048" t="str">
        <x:f>IF(AND('中古車掲載'!C1049="One2car",'中古車掲載'!F1049="Corolla Cross",'中古車掲載'!L1049="HEV PREMIUM",'中古車掲載'!J1049=2023,ISNUMBER('中古車掲載'!N1049),'中古車掲載'!N1049&gt;=20000,'中古車掲載'!O1049&lt;=100000,'中古車掲載'!AL1049=1,'中古車掲載'!Z1049="https://www.one2car.com/en/cars-for-sale/toyota/corolla-cross/year-2023"),'中古車掲載'!U1049,"")</x:f>
      </x:c>
      <x:c r="BG1048" t="str">
        <x:f>IF(AND('中古車掲載'!C1049="One2car",'中古車掲載'!F1049="Corolla Cross",'中古車掲載'!L1049="HEV GR SPORT",'中古車掲載'!J1049=2023,ISNUMBER('中古車掲載'!N1049),'中古車掲載'!N1049&gt;=20000,'中古車掲載'!O1049&lt;=100000,'中古車掲載'!AL1049=1,'中古車掲載'!Z1049="https://www.one2car.com/en/cars-for-sale/toyota/corolla-cross/year-2023"),'中古車掲載'!U1049,"")</x:f>
      </x:c>
      <x:c r="BH1048" t="str">
        <x:f>IF(AND('中古車掲載'!C1049="One2car",'中古車掲載'!F1049="DOLPHIN",'中古車掲載'!L1049="STANDARD RANGE",'中古車掲載'!J1049=2023,ISNUMBER('中古車掲載'!N1049),'中古車掲載'!N1049&gt;=20000,'中古車掲載'!O1049&lt;=100000,'中古車掲載'!AL1049=1),'中古車掲載'!U1049,"")</x:f>
      </x:c>
      <x:c r="BI1048" t="str">
        <x:v>Taladrod|Yaris Ativ|ICE|Unknown</x:v>
      </x:c>
      <x:c r="BJ1048" t="n">
        <x:v>1049</x:v>
      </x:c>
      <x:c r="BK1048" t="n">
        <x:f>'中古車掲載'!AM1049</x:f>
        <x:v>518000</x:v>
      </x:c>
      <x:c r="BL1048" t="str">
        <x:f>IF(ISNUMBER('中古車掲載'!AN1049),'中古車掲載'!AN1049,"")</x:f>
      </x:c>
    </x:row>
    <x:row r="1049">
      <x:c r="AZ1049" t="str">
        <x:f>IF(AND('中古車掲載'!C1050="One2car",'中古車掲載'!F1050="ATTO 3",'中古車掲載'!L1050="EXTENDED RANGE",'中古車掲載'!J1050=2023,ISNUMBER('中古車掲載'!N1050),'中古車掲載'!N1050&gt;=20000,'中古車掲載'!O1050&lt;=100000,'中古車掲載'!AL1050=1),'中古車掲載'!U1050,"")</x:f>
      </x:c>
      <x:c r="BA1049" t="str">
        <x:f>IF(AND('中古車掲載'!C1050="One2car",'中古車掲載'!F1050="Corolla Cross",'中古車掲載'!L1050="HEV PREMIUM SAFETY",'中古車掲載'!J1050=2023,ISNUMBER('中古車掲載'!N1050),'中古車掲載'!N1050&gt;=20000,'中古車掲載'!O1050&lt;=100000,'中古車掲載'!AL1050=1,'中古車掲載'!Z1050="https://www.one2car.com/en/cars-for-sale/toyota/corolla-cross/year-2023"),'中古車掲載'!U1050,"")</x:f>
      </x:c>
      <x:c r="BB1049" t="str">
        <x:f>IF(AND('中古車掲載'!C1050="One2car",'中古車掲載'!F1050="ATTO 3",'中古車掲載'!L1050="EXTENDED RANGE",'中古車掲載'!J1050=2023,ISNUMBER('中古車掲載'!N1050),'中古車掲載'!N1050&gt;=50000,'中古車掲載'!O1050&lt;=100000,'中古車掲載'!AL1050=1),'中古車掲載'!U1050,"")</x:f>
      </x:c>
      <x:c r="BC1049" t="str">
        <x:f>IF(AND('中古車掲載'!C1050="One2car",'中古車掲載'!F1050="Corolla Cross",'中古車掲載'!L1050="HEV PREMIUM SAFETY",'中古車掲載'!J1050=2023,ISNUMBER('中古車掲載'!N1050),'中古車掲載'!N1050&gt;=50000,'中古車掲載'!O1050&lt;=100000,'中古車掲載'!AL1050=1,'中古車掲載'!Z1050="https://www.one2car.com/en/cars-for-sale/toyota/corolla-cross/year-2023"),'中古車掲載'!U1050,"")</x:f>
      </x:c>
      <x:c r="BD1049" t="str">
        <x:f>IF(AND('中古車掲載'!C1050="One2car",'中古車掲載'!F1050="ATTO 3",'中古車掲載'!L1050="EXTENDED RANGE",'中古車掲載'!J1050=2023,ISNUMBER('中古車掲載'!N1050),'中古車掲載'!N1050&gt;=20000,'中古車掲載'!O1050&lt;=50000,'中古車掲載'!AL1050=1),'中古車掲載'!U1050,"")</x:f>
      </x:c>
      <x:c r="BE1049" t="str">
        <x:f>IF(AND('中古車掲載'!C1050="One2car",'中古車掲載'!F1050="Corolla Cross",'中古車掲載'!L1050="HEV PREMIUM SAFETY",'中古車掲載'!J1050=2023,ISNUMBER('中古車掲載'!N1050),'中古車掲載'!N1050&gt;=20000,'中古車掲載'!O1050&lt;=50000,'中古車掲載'!AL1050=1,'中古車掲載'!Z1050="https://www.one2car.com/en/cars-for-sale/toyota/corolla-cross/year-2023"),'中古車掲載'!U1050,"")</x:f>
      </x:c>
      <x:c r="BF1049" t="str">
        <x:f>IF(AND('中古車掲載'!C1050="One2car",'中古車掲載'!F1050="Corolla Cross",'中古車掲載'!L1050="HEV PREMIUM",'中古車掲載'!J1050=2023,ISNUMBER('中古車掲載'!N1050),'中古車掲載'!N1050&gt;=20000,'中古車掲載'!O1050&lt;=100000,'中古車掲載'!AL1050=1,'中古車掲載'!Z1050="https://www.one2car.com/en/cars-for-sale/toyota/corolla-cross/year-2023"),'中古車掲載'!U1050,"")</x:f>
      </x:c>
      <x:c r="BG1049" t="str">
        <x:f>IF(AND('中古車掲載'!C1050="One2car",'中古車掲載'!F1050="Corolla Cross",'中古車掲載'!L1050="HEV GR SPORT",'中古車掲載'!J1050=2023,ISNUMBER('中古車掲載'!N1050),'中古車掲載'!N1050&gt;=20000,'中古車掲載'!O1050&lt;=100000,'中古車掲載'!AL1050=1,'中古車掲載'!Z1050="https://www.one2car.com/en/cars-for-sale/toyota/corolla-cross/year-2023"),'中古車掲載'!U1050,"")</x:f>
      </x:c>
      <x:c r="BH1049" t="str">
        <x:f>IF(AND('中古車掲載'!C1050="One2car",'中古車掲載'!F1050="DOLPHIN",'中古車掲載'!L1050="STANDARD RANGE",'中古車掲載'!J1050=2023,ISNUMBER('中古車掲載'!N1050),'中古車掲載'!N1050&gt;=20000,'中古車掲載'!O1050&lt;=100000,'中古車掲載'!AL1050=1),'中古車掲載'!U1050,"")</x:f>
      </x:c>
      <x:c r="BI1049" t="str">
        <x:v>Taladrod|Yaris Ativ|ICE|Unknown</x:v>
      </x:c>
      <x:c r="BJ1049" t="n">
        <x:v>1050</x:v>
      </x:c>
      <x:c r="BK1049" t="n">
        <x:f>'中古車掲載'!AM1050</x:f>
        <x:v>497000</x:v>
      </x:c>
      <x:c r="BL1049" t="str">
        <x:f>IF(ISNUMBER('中古車掲載'!AN1050),'中古車掲載'!AN1050,"")</x:f>
      </x:c>
    </x:row>
    <x:row r="1050">
      <x:c r="AZ1050" t="str">
        <x:f>IF(AND('中古車掲載'!C1051="One2car",'中古車掲載'!F1051="ATTO 3",'中古車掲載'!L1051="EXTENDED RANGE",'中古車掲載'!J1051=2023,ISNUMBER('中古車掲載'!N1051),'中古車掲載'!N1051&gt;=20000,'中古車掲載'!O1051&lt;=100000,'中古車掲載'!AL1051=1),'中古車掲載'!U1051,"")</x:f>
      </x:c>
      <x:c r="BA1050" t="str">
        <x:f>IF(AND('中古車掲載'!C1051="One2car",'中古車掲載'!F1051="Corolla Cross",'中古車掲載'!L1051="HEV PREMIUM SAFETY",'中古車掲載'!J1051=2023,ISNUMBER('中古車掲載'!N1051),'中古車掲載'!N1051&gt;=20000,'中古車掲載'!O1051&lt;=100000,'中古車掲載'!AL1051=1,'中古車掲載'!Z1051="https://www.one2car.com/en/cars-for-sale/toyota/corolla-cross/year-2023"),'中古車掲載'!U1051,"")</x:f>
      </x:c>
      <x:c r="BB1050" t="str">
        <x:f>IF(AND('中古車掲載'!C1051="One2car",'中古車掲載'!F1051="ATTO 3",'中古車掲載'!L1051="EXTENDED RANGE",'中古車掲載'!J1051=2023,ISNUMBER('中古車掲載'!N1051),'中古車掲載'!N1051&gt;=50000,'中古車掲載'!O1051&lt;=100000,'中古車掲載'!AL1051=1),'中古車掲載'!U1051,"")</x:f>
      </x:c>
      <x:c r="BC1050" t="str">
        <x:f>IF(AND('中古車掲載'!C1051="One2car",'中古車掲載'!F1051="Corolla Cross",'中古車掲載'!L1051="HEV PREMIUM SAFETY",'中古車掲載'!J1051=2023,ISNUMBER('中古車掲載'!N1051),'中古車掲載'!N1051&gt;=50000,'中古車掲載'!O1051&lt;=100000,'中古車掲載'!AL1051=1,'中古車掲載'!Z1051="https://www.one2car.com/en/cars-for-sale/toyota/corolla-cross/year-2023"),'中古車掲載'!U1051,"")</x:f>
      </x:c>
      <x:c r="BD1050" t="str">
        <x:f>IF(AND('中古車掲載'!C1051="One2car",'中古車掲載'!F1051="ATTO 3",'中古車掲載'!L1051="EXTENDED RANGE",'中古車掲載'!J1051=2023,ISNUMBER('中古車掲載'!N1051),'中古車掲載'!N1051&gt;=20000,'中古車掲載'!O1051&lt;=50000,'中古車掲載'!AL1051=1),'中古車掲載'!U1051,"")</x:f>
      </x:c>
      <x:c r="BE1050" t="str">
        <x:f>IF(AND('中古車掲載'!C1051="One2car",'中古車掲載'!F1051="Corolla Cross",'中古車掲載'!L1051="HEV PREMIUM SAFETY",'中古車掲載'!J1051=2023,ISNUMBER('中古車掲載'!N1051),'中古車掲載'!N1051&gt;=20000,'中古車掲載'!O1051&lt;=50000,'中古車掲載'!AL1051=1,'中古車掲載'!Z1051="https://www.one2car.com/en/cars-for-sale/toyota/corolla-cross/year-2023"),'中古車掲載'!U1051,"")</x:f>
      </x:c>
      <x:c r="BF1050" t="str">
        <x:f>IF(AND('中古車掲載'!C1051="One2car",'中古車掲載'!F1051="Corolla Cross",'中古車掲載'!L1051="HEV PREMIUM",'中古車掲載'!J1051=2023,ISNUMBER('中古車掲載'!N1051),'中古車掲載'!N1051&gt;=20000,'中古車掲載'!O1051&lt;=100000,'中古車掲載'!AL1051=1,'中古車掲載'!Z1051="https://www.one2car.com/en/cars-for-sale/toyota/corolla-cross/year-2023"),'中古車掲載'!U1051,"")</x:f>
      </x:c>
      <x:c r="BG1050" t="str">
        <x:f>IF(AND('中古車掲載'!C1051="One2car",'中古車掲載'!F1051="Corolla Cross",'中古車掲載'!L1051="HEV GR SPORT",'中古車掲載'!J1051=2023,ISNUMBER('中古車掲載'!N1051),'中古車掲載'!N1051&gt;=20000,'中古車掲載'!O1051&lt;=100000,'中古車掲載'!AL1051=1,'中古車掲載'!Z1051="https://www.one2car.com/en/cars-for-sale/toyota/corolla-cross/year-2023"),'中古車掲載'!U1051,"")</x:f>
      </x:c>
      <x:c r="BH1050" t="str">
        <x:f>IF(AND('中古車掲載'!C1051="One2car",'中古車掲載'!F1051="DOLPHIN",'中古車掲載'!L1051="STANDARD RANGE",'中古車掲載'!J1051=2023,ISNUMBER('中古車掲載'!N1051),'中古車掲載'!N1051&gt;=20000,'中古車掲載'!O1051&lt;=100000,'中古車掲載'!AL1051=1),'中古車掲載'!U1051,"")</x:f>
      </x:c>
      <x:c r="BI1050" t="str">
        <x:v>Taladrod|Yaris Ativ|ICE|Unknown</x:v>
      </x:c>
      <x:c r="BJ1050" t="n">
        <x:v>1051</x:v>
      </x:c>
      <x:c r="BK1050" t="n">
        <x:f>'中古車掲載'!AM1051</x:f>
        <x:v>509000</x:v>
      </x:c>
      <x:c r="BL1050" t="str">
        <x:f>IF(ISNUMBER('中古車掲載'!AN1051),'中古車掲載'!AN1051,"")</x:f>
      </x:c>
    </x:row>
    <x:row r="1051">
      <x:c r="AZ1051" t="str">
        <x:f>IF(AND('中古車掲載'!C1052="One2car",'中古車掲載'!F1052="ATTO 3",'中古車掲載'!L1052="EXTENDED RANGE",'中古車掲載'!J1052=2023,ISNUMBER('中古車掲載'!N1052),'中古車掲載'!N1052&gt;=20000,'中古車掲載'!O1052&lt;=100000,'中古車掲載'!AL1052=1),'中古車掲載'!U1052,"")</x:f>
      </x:c>
      <x:c r="BA1051" t="str">
        <x:f>IF(AND('中古車掲載'!C1052="One2car",'中古車掲載'!F1052="Corolla Cross",'中古車掲載'!L1052="HEV PREMIUM SAFETY",'中古車掲載'!J1052=2023,ISNUMBER('中古車掲載'!N1052),'中古車掲載'!N1052&gt;=20000,'中古車掲載'!O1052&lt;=100000,'中古車掲載'!AL1052=1,'中古車掲載'!Z1052="https://www.one2car.com/en/cars-for-sale/toyota/corolla-cross/year-2023"),'中古車掲載'!U1052,"")</x:f>
      </x:c>
      <x:c r="BB1051" t="str">
        <x:f>IF(AND('中古車掲載'!C1052="One2car",'中古車掲載'!F1052="ATTO 3",'中古車掲載'!L1052="EXTENDED RANGE",'中古車掲載'!J1052=2023,ISNUMBER('中古車掲載'!N1052),'中古車掲載'!N1052&gt;=50000,'中古車掲載'!O1052&lt;=100000,'中古車掲載'!AL1052=1),'中古車掲載'!U1052,"")</x:f>
      </x:c>
      <x:c r="BC1051" t="str">
        <x:f>IF(AND('中古車掲載'!C1052="One2car",'中古車掲載'!F1052="Corolla Cross",'中古車掲載'!L1052="HEV PREMIUM SAFETY",'中古車掲載'!J1052=2023,ISNUMBER('中古車掲載'!N1052),'中古車掲載'!N1052&gt;=50000,'中古車掲載'!O1052&lt;=100000,'中古車掲載'!AL1052=1,'中古車掲載'!Z1052="https://www.one2car.com/en/cars-for-sale/toyota/corolla-cross/year-2023"),'中古車掲載'!U1052,"")</x:f>
      </x:c>
      <x:c r="BD1051" t="str">
        <x:f>IF(AND('中古車掲載'!C1052="One2car",'中古車掲載'!F1052="ATTO 3",'中古車掲載'!L1052="EXTENDED RANGE",'中古車掲載'!J1052=2023,ISNUMBER('中古車掲載'!N1052),'中古車掲載'!N1052&gt;=20000,'中古車掲載'!O1052&lt;=50000,'中古車掲載'!AL1052=1),'中古車掲載'!U1052,"")</x:f>
      </x:c>
      <x:c r="BE1051" t="str">
        <x:f>IF(AND('中古車掲載'!C1052="One2car",'中古車掲載'!F1052="Corolla Cross",'中古車掲載'!L1052="HEV PREMIUM SAFETY",'中古車掲載'!J1052=2023,ISNUMBER('中古車掲載'!N1052),'中古車掲載'!N1052&gt;=20000,'中古車掲載'!O1052&lt;=50000,'中古車掲載'!AL1052=1,'中古車掲載'!Z1052="https://www.one2car.com/en/cars-for-sale/toyota/corolla-cross/year-2023"),'中古車掲載'!U1052,"")</x:f>
      </x:c>
      <x:c r="BF1051" t="str">
        <x:f>IF(AND('中古車掲載'!C1052="One2car",'中古車掲載'!F1052="Corolla Cross",'中古車掲載'!L1052="HEV PREMIUM",'中古車掲載'!J1052=2023,ISNUMBER('中古車掲載'!N1052),'中古車掲載'!N1052&gt;=20000,'中古車掲載'!O1052&lt;=100000,'中古車掲載'!AL1052=1,'中古車掲載'!Z1052="https://www.one2car.com/en/cars-for-sale/toyota/corolla-cross/year-2023"),'中古車掲載'!U1052,"")</x:f>
      </x:c>
      <x:c r="BG1051" t="str">
        <x:f>IF(AND('中古車掲載'!C1052="One2car",'中古車掲載'!F1052="Corolla Cross",'中古車掲載'!L1052="HEV GR SPORT",'中古車掲載'!J1052=2023,ISNUMBER('中古車掲載'!N1052),'中古車掲載'!N1052&gt;=20000,'中古車掲載'!O1052&lt;=100000,'中古車掲載'!AL1052=1,'中古車掲載'!Z1052="https://www.one2car.com/en/cars-for-sale/toyota/corolla-cross/year-2023"),'中古車掲載'!U1052,"")</x:f>
      </x:c>
      <x:c r="BH1051" t="str">
        <x:f>IF(AND('中古車掲載'!C1052="One2car",'中古車掲載'!F1052="DOLPHIN",'中古車掲載'!L1052="STANDARD RANGE",'中古車掲載'!J1052=2023,ISNUMBER('中古車掲載'!N1052),'中古車掲載'!N1052&gt;=20000,'中古車掲載'!O1052&lt;=100000,'中古車掲載'!AL1052=1),'中古車掲載'!U1052,"")</x:f>
      </x:c>
      <x:c r="BI1051" t="str">
        <x:v>Taladrod|Yaris Ativ|ICE|Unknown</x:v>
      </x:c>
      <x:c r="BJ1051" t="n">
        <x:v>1052</x:v>
      </x:c>
      <x:c r="BK1051" t="n">
        <x:f>'中古車掲載'!AM1052</x:f>
        <x:v>549000</x:v>
      </x:c>
      <x:c r="BL1051" t="str">
        <x:f>IF(ISNUMBER('中古車掲載'!AN1052),'中古車掲載'!AN1052,"")</x:f>
      </x:c>
    </x:row>
    <x:row r="1052">
      <x:c r="AZ1052" t="str">
        <x:f>IF(AND('中古車掲載'!C1053="One2car",'中古車掲載'!F1053="ATTO 3",'中古車掲載'!L1053="EXTENDED RANGE",'中古車掲載'!J1053=2023,ISNUMBER('中古車掲載'!N1053),'中古車掲載'!N1053&gt;=20000,'中古車掲載'!O1053&lt;=100000,'中古車掲載'!AL1053=1),'中古車掲載'!U1053,"")</x:f>
      </x:c>
      <x:c r="BA1052" t="str">
        <x:f>IF(AND('中古車掲載'!C1053="One2car",'中古車掲載'!F1053="Corolla Cross",'中古車掲載'!L1053="HEV PREMIUM SAFETY",'中古車掲載'!J1053=2023,ISNUMBER('中古車掲載'!N1053),'中古車掲載'!N1053&gt;=20000,'中古車掲載'!O1053&lt;=100000,'中古車掲載'!AL1053=1,'中古車掲載'!Z1053="https://www.one2car.com/en/cars-for-sale/toyota/corolla-cross/year-2023"),'中古車掲載'!U1053,"")</x:f>
      </x:c>
      <x:c r="BB1052" t="str">
        <x:f>IF(AND('中古車掲載'!C1053="One2car",'中古車掲載'!F1053="ATTO 3",'中古車掲載'!L1053="EXTENDED RANGE",'中古車掲載'!J1053=2023,ISNUMBER('中古車掲載'!N1053),'中古車掲載'!N1053&gt;=50000,'中古車掲載'!O1053&lt;=100000,'中古車掲載'!AL1053=1),'中古車掲載'!U1053,"")</x:f>
      </x:c>
      <x:c r="BC1052" t="str">
        <x:f>IF(AND('中古車掲載'!C1053="One2car",'中古車掲載'!F1053="Corolla Cross",'中古車掲載'!L1053="HEV PREMIUM SAFETY",'中古車掲載'!J1053=2023,ISNUMBER('中古車掲載'!N1053),'中古車掲載'!N1053&gt;=50000,'中古車掲載'!O1053&lt;=100000,'中古車掲載'!AL1053=1,'中古車掲載'!Z1053="https://www.one2car.com/en/cars-for-sale/toyota/corolla-cross/year-2023"),'中古車掲載'!U1053,"")</x:f>
      </x:c>
      <x:c r="BD1052" t="str">
        <x:f>IF(AND('中古車掲載'!C1053="One2car",'中古車掲載'!F1053="ATTO 3",'中古車掲載'!L1053="EXTENDED RANGE",'中古車掲載'!J1053=2023,ISNUMBER('中古車掲載'!N1053),'中古車掲載'!N1053&gt;=20000,'中古車掲載'!O1053&lt;=50000,'中古車掲載'!AL1053=1),'中古車掲載'!U1053,"")</x:f>
      </x:c>
      <x:c r="BE1052" t="str">
        <x:f>IF(AND('中古車掲載'!C1053="One2car",'中古車掲載'!F1053="Corolla Cross",'中古車掲載'!L1053="HEV PREMIUM SAFETY",'中古車掲載'!J1053=2023,ISNUMBER('中古車掲載'!N1053),'中古車掲載'!N1053&gt;=20000,'中古車掲載'!O1053&lt;=50000,'中古車掲載'!AL1053=1,'中古車掲載'!Z1053="https://www.one2car.com/en/cars-for-sale/toyota/corolla-cross/year-2023"),'中古車掲載'!U1053,"")</x:f>
      </x:c>
      <x:c r="BF1052" t="str">
        <x:f>IF(AND('中古車掲載'!C1053="One2car",'中古車掲載'!F1053="Corolla Cross",'中古車掲載'!L1053="HEV PREMIUM",'中古車掲載'!J1053=2023,ISNUMBER('中古車掲載'!N1053),'中古車掲載'!N1053&gt;=20000,'中古車掲載'!O1053&lt;=100000,'中古車掲載'!AL1053=1,'中古車掲載'!Z1053="https://www.one2car.com/en/cars-for-sale/toyota/corolla-cross/year-2023"),'中古車掲載'!U1053,"")</x:f>
      </x:c>
      <x:c r="BG1052" t="str">
        <x:f>IF(AND('中古車掲載'!C1053="One2car",'中古車掲載'!F1053="Corolla Cross",'中古車掲載'!L1053="HEV GR SPORT",'中古車掲載'!J1053=2023,ISNUMBER('中古車掲載'!N1053),'中古車掲載'!N1053&gt;=20000,'中古車掲載'!O1053&lt;=100000,'中古車掲載'!AL1053=1,'中古車掲載'!Z1053="https://www.one2car.com/en/cars-for-sale/toyota/corolla-cross/year-2023"),'中古車掲載'!U1053,"")</x:f>
      </x:c>
      <x:c r="BH1052" t="str">
        <x:f>IF(AND('中古車掲載'!C1053="One2car",'中古車掲載'!F1053="DOLPHIN",'中古車掲載'!L1053="STANDARD RANGE",'中古車掲載'!J1053=2023,ISNUMBER('中古車掲載'!N1053),'中古車掲載'!N1053&gt;=20000,'中古車掲載'!O1053&lt;=100000,'中古車掲載'!AL1053=1),'中古車掲載'!U1053,"")</x:f>
      </x:c>
      <x:c r="BI1052" t="str">
        <x:v>Taladrod|Yaris Ativ|ICE|Unknown</x:v>
      </x:c>
      <x:c r="BJ1052" t="n">
        <x:v>1053</x:v>
      </x:c>
      <x:c r="BK1052" t="n">
        <x:f>'中古車掲載'!AM1053</x:f>
        <x:v>499000</x:v>
      </x:c>
      <x:c r="BL1052" t="str">
        <x:f>IF(ISNUMBER('中古車掲載'!AN1053),'中古車掲載'!AN1053,"")</x:f>
      </x:c>
    </x:row>
    <x:row r="1053">
      <x:c r="AZ1053" t="str">
        <x:f>IF(AND('中古車掲載'!C1054="One2car",'中古車掲載'!F1054="ATTO 3",'中古車掲載'!L1054="EXTENDED RANGE",'中古車掲載'!J1054=2023,ISNUMBER('中古車掲載'!N1054),'中古車掲載'!N1054&gt;=20000,'中古車掲載'!O1054&lt;=100000,'中古車掲載'!AL1054=1),'中古車掲載'!U1054,"")</x:f>
      </x:c>
      <x:c r="BA1053" t="str">
        <x:f>IF(AND('中古車掲載'!C1054="One2car",'中古車掲載'!F1054="Corolla Cross",'中古車掲載'!L1054="HEV PREMIUM SAFETY",'中古車掲載'!J1054=2023,ISNUMBER('中古車掲載'!N1054),'中古車掲載'!N1054&gt;=20000,'中古車掲載'!O1054&lt;=100000,'中古車掲載'!AL1054=1,'中古車掲載'!Z1054="https://www.one2car.com/en/cars-for-sale/toyota/corolla-cross/year-2023"),'中古車掲載'!U1054,"")</x:f>
      </x:c>
      <x:c r="BB1053" t="str">
        <x:f>IF(AND('中古車掲載'!C1054="One2car",'中古車掲載'!F1054="ATTO 3",'中古車掲載'!L1054="EXTENDED RANGE",'中古車掲載'!J1054=2023,ISNUMBER('中古車掲載'!N1054),'中古車掲載'!N1054&gt;=50000,'中古車掲載'!O1054&lt;=100000,'中古車掲載'!AL1054=1),'中古車掲載'!U1054,"")</x:f>
      </x:c>
      <x:c r="BC1053" t="str">
        <x:f>IF(AND('中古車掲載'!C1054="One2car",'中古車掲載'!F1054="Corolla Cross",'中古車掲載'!L1054="HEV PREMIUM SAFETY",'中古車掲載'!J1054=2023,ISNUMBER('中古車掲載'!N1054),'中古車掲載'!N1054&gt;=50000,'中古車掲載'!O1054&lt;=100000,'中古車掲載'!AL1054=1,'中古車掲載'!Z1054="https://www.one2car.com/en/cars-for-sale/toyota/corolla-cross/year-2023"),'中古車掲載'!U1054,"")</x:f>
      </x:c>
      <x:c r="BD1053" t="str">
        <x:f>IF(AND('中古車掲載'!C1054="One2car",'中古車掲載'!F1054="ATTO 3",'中古車掲載'!L1054="EXTENDED RANGE",'中古車掲載'!J1054=2023,ISNUMBER('中古車掲載'!N1054),'中古車掲載'!N1054&gt;=20000,'中古車掲載'!O1054&lt;=50000,'中古車掲載'!AL1054=1),'中古車掲載'!U1054,"")</x:f>
      </x:c>
      <x:c r="BE1053" t="str">
        <x:f>IF(AND('中古車掲載'!C1054="One2car",'中古車掲載'!F1054="Corolla Cross",'中古車掲載'!L1054="HEV PREMIUM SAFETY",'中古車掲載'!J1054=2023,ISNUMBER('中古車掲載'!N1054),'中古車掲載'!N1054&gt;=20000,'中古車掲載'!O1054&lt;=50000,'中古車掲載'!AL1054=1,'中古車掲載'!Z1054="https://www.one2car.com/en/cars-for-sale/toyota/corolla-cross/year-2023"),'中古車掲載'!U1054,"")</x:f>
      </x:c>
      <x:c r="BF1053" t="str">
        <x:f>IF(AND('中古車掲載'!C1054="One2car",'中古車掲載'!F1054="Corolla Cross",'中古車掲載'!L1054="HEV PREMIUM",'中古車掲載'!J1054=2023,ISNUMBER('中古車掲載'!N1054),'中古車掲載'!N1054&gt;=20000,'中古車掲載'!O1054&lt;=100000,'中古車掲載'!AL1054=1,'中古車掲載'!Z1054="https://www.one2car.com/en/cars-for-sale/toyota/corolla-cross/year-2023"),'中古車掲載'!U1054,"")</x:f>
      </x:c>
      <x:c r="BG1053" t="str">
        <x:f>IF(AND('中古車掲載'!C1054="One2car",'中古車掲載'!F1054="Corolla Cross",'中古車掲載'!L1054="HEV GR SPORT",'中古車掲載'!J1054=2023,ISNUMBER('中古車掲載'!N1054),'中古車掲載'!N1054&gt;=20000,'中古車掲載'!O1054&lt;=100000,'中古車掲載'!AL1054=1,'中古車掲載'!Z1054="https://www.one2car.com/en/cars-for-sale/toyota/corolla-cross/year-2023"),'中古車掲載'!U1054,"")</x:f>
      </x:c>
      <x:c r="BH1053" t="str">
        <x:f>IF(AND('中古車掲載'!C1054="One2car",'中古車掲載'!F1054="DOLPHIN",'中古車掲載'!L1054="STANDARD RANGE",'中古車掲載'!J1054=2023,ISNUMBER('中古車掲載'!N1054),'中古車掲載'!N1054&gt;=20000,'中古車掲載'!O1054&lt;=100000,'中古車掲載'!AL1054=1),'中古車掲載'!U1054,"")</x:f>
      </x:c>
      <x:c r="BI1053" t="str">
        <x:v>Taladrod|Yaris Ativ|ICE|Unknown</x:v>
      </x:c>
      <x:c r="BJ1053" t="n">
        <x:v>1054</x:v>
      </x:c>
      <x:c r="BK1053" t="n">
        <x:f>'中古車掲載'!AM1054</x:f>
        <x:v>499000</x:v>
      </x:c>
      <x:c r="BL1053" t="str">
        <x:f>IF(ISNUMBER('中古車掲載'!AN1054),'中古車掲載'!AN1054,"")</x:f>
      </x:c>
    </x:row>
    <x:row r="1054">
      <x:c r="AZ1054" t="str">
        <x:f>IF(AND('中古車掲載'!C1055="One2car",'中古車掲載'!F1055="ATTO 3",'中古車掲載'!L1055="EXTENDED RANGE",'中古車掲載'!J1055=2023,ISNUMBER('中古車掲載'!N1055),'中古車掲載'!N1055&gt;=20000,'中古車掲載'!O1055&lt;=100000,'中古車掲載'!AL1055=1),'中古車掲載'!U1055,"")</x:f>
      </x:c>
      <x:c r="BA1054" t="str">
        <x:f>IF(AND('中古車掲載'!C1055="One2car",'中古車掲載'!F1055="Corolla Cross",'中古車掲載'!L1055="HEV PREMIUM SAFETY",'中古車掲載'!J1055=2023,ISNUMBER('中古車掲載'!N1055),'中古車掲載'!N1055&gt;=20000,'中古車掲載'!O1055&lt;=100000,'中古車掲載'!AL1055=1,'中古車掲載'!Z1055="https://www.one2car.com/en/cars-for-sale/toyota/corolla-cross/year-2023"),'中古車掲載'!U1055,"")</x:f>
      </x:c>
      <x:c r="BB1054" t="str">
        <x:f>IF(AND('中古車掲載'!C1055="One2car",'中古車掲載'!F1055="ATTO 3",'中古車掲載'!L1055="EXTENDED RANGE",'中古車掲載'!J1055=2023,ISNUMBER('中古車掲載'!N1055),'中古車掲載'!N1055&gt;=50000,'中古車掲載'!O1055&lt;=100000,'中古車掲載'!AL1055=1),'中古車掲載'!U1055,"")</x:f>
      </x:c>
      <x:c r="BC1054" t="str">
        <x:f>IF(AND('中古車掲載'!C1055="One2car",'中古車掲載'!F1055="Corolla Cross",'中古車掲載'!L1055="HEV PREMIUM SAFETY",'中古車掲載'!J1055=2023,ISNUMBER('中古車掲載'!N1055),'中古車掲載'!N1055&gt;=50000,'中古車掲載'!O1055&lt;=100000,'中古車掲載'!AL1055=1,'中古車掲載'!Z1055="https://www.one2car.com/en/cars-for-sale/toyota/corolla-cross/year-2023"),'中古車掲載'!U1055,"")</x:f>
      </x:c>
      <x:c r="BD1054" t="str">
        <x:f>IF(AND('中古車掲載'!C1055="One2car",'中古車掲載'!F1055="ATTO 3",'中古車掲載'!L1055="EXTENDED RANGE",'中古車掲載'!J1055=2023,ISNUMBER('中古車掲載'!N1055),'中古車掲載'!N1055&gt;=20000,'中古車掲載'!O1055&lt;=50000,'中古車掲載'!AL1055=1),'中古車掲載'!U1055,"")</x:f>
      </x:c>
      <x:c r="BE1054" t="str">
        <x:f>IF(AND('中古車掲載'!C1055="One2car",'中古車掲載'!F1055="Corolla Cross",'中古車掲載'!L1055="HEV PREMIUM SAFETY",'中古車掲載'!J1055=2023,ISNUMBER('中古車掲載'!N1055),'中古車掲載'!N1055&gt;=20000,'中古車掲載'!O1055&lt;=50000,'中古車掲載'!AL1055=1,'中古車掲載'!Z1055="https://www.one2car.com/en/cars-for-sale/toyota/corolla-cross/year-2023"),'中古車掲載'!U1055,"")</x:f>
      </x:c>
      <x:c r="BF1054" t="str">
        <x:f>IF(AND('中古車掲載'!C1055="One2car",'中古車掲載'!F1055="Corolla Cross",'中古車掲載'!L1055="HEV PREMIUM",'中古車掲載'!J1055=2023,ISNUMBER('中古車掲載'!N1055),'中古車掲載'!N1055&gt;=20000,'中古車掲載'!O1055&lt;=100000,'中古車掲載'!AL1055=1,'中古車掲載'!Z1055="https://www.one2car.com/en/cars-for-sale/toyota/corolla-cross/year-2023"),'中古車掲載'!U1055,"")</x:f>
      </x:c>
      <x:c r="BG1054" t="str">
        <x:f>IF(AND('中古車掲載'!C1055="One2car",'中古車掲載'!F1055="Corolla Cross",'中古車掲載'!L1055="HEV GR SPORT",'中古車掲載'!J1055=2023,ISNUMBER('中古車掲載'!N1055),'中古車掲載'!N1055&gt;=20000,'中古車掲載'!O1055&lt;=100000,'中古車掲載'!AL1055=1,'中古車掲載'!Z1055="https://www.one2car.com/en/cars-for-sale/toyota/corolla-cross/year-2023"),'中古車掲載'!U1055,"")</x:f>
      </x:c>
      <x:c r="BH1054" t="str">
        <x:f>IF(AND('中古車掲載'!C1055="One2car",'中古車掲載'!F1055="DOLPHIN",'中古車掲載'!L1055="STANDARD RANGE",'中古車掲載'!J1055=2023,ISNUMBER('中古車掲載'!N1055),'中古車掲載'!N1055&gt;=20000,'中古車掲載'!O1055&lt;=100000,'中古車掲載'!AL1055=1),'中古車掲載'!U1055,"")</x:f>
      </x:c>
      <x:c r="BI1054" t="str">
        <x:v>Taladrod|Yaris Ativ|ICE|Unknown</x:v>
      </x:c>
      <x:c r="BJ1054" t="n">
        <x:v>1055</x:v>
      </x:c>
      <x:c r="BK1054" t="n">
        <x:f>'中古車掲載'!AM1055</x:f>
        <x:v>499000</x:v>
      </x:c>
      <x:c r="BL1054" t="str">
        <x:f>IF(ISNUMBER('中古車掲載'!AN1055),'中古車掲載'!AN1055,"")</x:f>
      </x:c>
    </x:row>
    <x:row r="1055">
      <x:c r="AZ1055" t="str">
        <x:f>IF(AND('中古車掲載'!C1056="One2car",'中古車掲載'!F1056="ATTO 3",'中古車掲載'!L1056="EXTENDED RANGE",'中古車掲載'!J1056=2023,ISNUMBER('中古車掲載'!N1056),'中古車掲載'!N1056&gt;=20000,'中古車掲載'!O1056&lt;=100000,'中古車掲載'!AL1056=1),'中古車掲載'!U1056,"")</x:f>
      </x:c>
      <x:c r="BA1055" t="str">
        <x:f>IF(AND('中古車掲載'!C1056="One2car",'中古車掲載'!F1056="Corolla Cross",'中古車掲載'!L1056="HEV PREMIUM SAFETY",'中古車掲載'!J1056=2023,ISNUMBER('中古車掲載'!N1056),'中古車掲載'!N1056&gt;=20000,'中古車掲載'!O1056&lt;=100000,'中古車掲載'!AL1056=1,'中古車掲載'!Z1056="https://www.one2car.com/en/cars-for-sale/toyota/corolla-cross/year-2023"),'中古車掲載'!U1056,"")</x:f>
      </x:c>
      <x:c r="BB1055" t="str">
        <x:f>IF(AND('中古車掲載'!C1056="One2car",'中古車掲載'!F1056="ATTO 3",'中古車掲載'!L1056="EXTENDED RANGE",'中古車掲載'!J1056=2023,ISNUMBER('中古車掲載'!N1056),'中古車掲載'!N1056&gt;=50000,'中古車掲載'!O1056&lt;=100000,'中古車掲載'!AL1056=1),'中古車掲載'!U1056,"")</x:f>
      </x:c>
      <x:c r="BC1055" t="str">
        <x:f>IF(AND('中古車掲載'!C1056="One2car",'中古車掲載'!F1056="Corolla Cross",'中古車掲載'!L1056="HEV PREMIUM SAFETY",'中古車掲載'!J1056=2023,ISNUMBER('中古車掲載'!N1056),'中古車掲載'!N1056&gt;=50000,'中古車掲載'!O1056&lt;=100000,'中古車掲載'!AL1056=1,'中古車掲載'!Z1056="https://www.one2car.com/en/cars-for-sale/toyota/corolla-cross/year-2023"),'中古車掲載'!U1056,"")</x:f>
      </x:c>
      <x:c r="BD1055" t="str">
        <x:f>IF(AND('中古車掲載'!C1056="One2car",'中古車掲載'!F1056="ATTO 3",'中古車掲載'!L1056="EXTENDED RANGE",'中古車掲載'!J1056=2023,ISNUMBER('中古車掲載'!N1056),'中古車掲載'!N1056&gt;=20000,'中古車掲載'!O1056&lt;=50000,'中古車掲載'!AL1056=1),'中古車掲載'!U1056,"")</x:f>
      </x:c>
      <x:c r="BE1055" t="str">
        <x:f>IF(AND('中古車掲載'!C1056="One2car",'中古車掲載'!F1056="Corolla Cross",'中古車掲載'!L1056="HEV PREMIUM SAFETY",'中古車掲載'!J1056=2023,ISNUMBER('中古車掲載'!N1056),'中古車掲載'!N1056&gt;=20000,'中古車掲載'!O1056&lt;=50000,'中古車掲載'!AL1056=1,'中古車掲載'!Z1056="https://www.one2car.com/en/cars-for-sale/toyota/corolla-cross/year-2023"),'中古車掲載'!U1056,"")</x:f>
      </x:c>
      <x:c r="BF1055" t="str">
        <x:f>IF(AND('中古車掲載'!C1056="One2car",'中古車掲載'!F1056="Corolla Cross",'中古車掲載'!L1056="HEV PREMIUM",'中古車掲載'!J1056=2023,ISNUMBER('中古車掲載'!N1056),'中古車掲載'!N1056&gt;=20000,'中古車掲載'!O1056&lt;=100000,'中古車掲載'!AL1056=1,'中古車掲載'!Z1056="https://www.one2car.com/en/cars-for-sale/toyota/corolla-cross/year-2023"),'中古車掲載'!U1056,"")</x:f>
      </x:c>
      <x:c r="BG1055" t="str">
        <x:f>IF(AND('中古車掲載'!C1056="One2car",'中古車掲載'!F1056="Corolla Cross",'中古車掲載'!L1056="HEV GR SPORT",'中古車掲載'!J1056=2023,ISNUMBER('中古車掲載'!N1056),'中古車掲載'!N1056&gt;=20000,'中古車掲載'!O1056&lt;=100000,'中古車掲載'!AL1056=1,'中古車掲載'!Z1056="https://www.one2car.com/en/cars-for-sale/toyota/corolla-cross/year-2023"),'中古車掲載'!U1056,"")</x:f>
      </x:c>
      <x:c r="BH1055" t="str">
        <x:f>IF(AND('中古車掲載'!C1056="One2car",'中古車掲載'!F1056="DOLPHIN",'中古車掲載'!L1056="STANDARD RANGE",'中古車掲載'!J1056=2023,ISNUMBER('中古車掲載'!N1056),'中古車掲載'!N1056&gt;=20000,'中古車掲載'!O1056&lt;=100000,'中古車掲載'!AL1056=1),'中古車掲載'!U1056,"")</x:f>
      </x:c>
      <x:c r="BI1055" t="str">
        <x:v>Taladrod|Yaris Ativ|ICE|Unknown</x:v>
      </x:c>
      <x:c r="BJ1055" t="n">
        <x:v>1056</x:v>
      </x:c>
      <x:c r="BK1055" t="n">
        <x:f>'中古車掲載'!AM1056</x:f>
        <x:v>499000</x:v>
      </x:c>
      <x:c r="BL1055" t="str">
        <x:f>IF(ISNUMBER('中古車掲載'!AN1056),'中古車掲載'!AN1056,"")</x:f>
      </x:c>
    </x:row>
    <x:row r="1056">
      <x:c r="AZ1056" t="str">
        <x:f>IF(AND('中古車掲載'!C1057="One2car",'中古車掲載'!F1057="ATTO 3",'中古車掲載'!L1057="EXTENDED RANGE",'中古車掲載'!J1057=2023,ISNUMBER('中古車掲載'!N1057),'中古車掲載'!N1057&gt;=20000,'中古車掲載'!O1057&lt;=100000,'中古車掲載'!AL1057=1),'中古車掲載'!U1057,"")</x:f>
      </x:c>
      <x:c r="BA1056" t="str">
        <x:f>IF(AND('中古車掲載'!C1057="One2car",'中古車掲載'!F1057="Corolla Cross",'中古車掲載'!L1057="HEV PREMIUM SAFETY",'中古車掲載'!J1057=2023,ISNUMBER('中古車掲載'!N1057),'中古車掲載'!N1057&gt;=20000,'中古車掲載'!O1057&lt;=100000,'中古車掲載'!AL1057=1,'中古車掲載'!Z1057="https://www.one2car.com/en/cars-for-sale/toyota/corolla-cross/year-2023"),'中古車掲載'!U1057,"")</x:f>
      </x:c>
      <x:c r="BB1056" t="str">
        <x:f>IF(AND('中古車掲載'!C1057="One2car",'中古車掲載'!F1057="ATTO 3",'中古車掲載'!L1057="EXTENDED RANGE",'中古車掲載'!J1057=2023,ISNUMBER('中古車掲載'!N1057),'中古車掲載'!N1057&gt;=50000,'中古車掲載'!O1057&lt;=100000,'中古車掲載'!AL1057=1),'中古車掲載'!U1057,"")</x:f>
      </x:c>
      <x:c r="BC1056" t="str">
        <x:f>IF(AND('中古車掲載'!C1057="One2car",'中古車掲載'!F1057="Corolla Cross",'中古車掲載'!L1057="HEV PREMIUM SAFETY",'中古車掲載'!J1057=2023,ISNUMBER('中古車掲載'!N1057),'中古車掲載'!N1057&gt;=50000,'中古車掲載'!O1057&lt;=100000,'中古車掲載'!AL1057=1,'中古車掲載'!Z1057="https://www.one2car.com/en/cars-for-sale/toyota/corolla-cross/year-2023"),'中古車掲載'!U1057,"")</x:f>
      </x:c>
      <x:c r="BD1056" t="str">
        <x:f>IF(AND('中古車掲載'!C1057="One2car",'中古車掲載'!F1057="ATTO 3",'中古車掲載'!L1057="EXTENDED RANGE",'中古車掲載'!J1057=2023,ISNUMBER('中古車掲載'!N1057),'中古車掲載'!N1057&gt;=20000,'中古車掲載'!O1057&lt;=50000,'中古車掲載'!AL1057=1),'中古車掲載'!U1057,"")</x:f>
      </x:c>
      <x:c r="BE1056" t="str">
        <x:f>IF(AND('中古車掲載'!C1057="One2car",'中古車掲載'!F1057="Corolla Cross",'中古車掲載'!L1057="HEV PREMIUM SAFETY",'中古車掲載'!J1057=2023,ISNUMBER('中古車掲載'!N1057),'中古車掲載'!N1057&gt;=20000,'中古車掲載'!O1057&lt;=50000,'中古車掲載'!AL1057=1,'中古車掲載'!Z1057="https://www.one2car.com/en/cars-for-sale/toyota/corolla-cross/year-2023"),'中古車掲載'!U1057,"")</x:f>
      </x:c>
      <x:c r="BF1056" t="str">
        <x:f>IF(AND('中古車掲載'!C1057="One2car",'中古車掲載'!F1057="Corolla Cross",'中古車掲載'!L1057="HEV PREMIUM",'中古車掲載'!J1057=2023,ISNUMBER('中古車掲載'!N1057),'中古車掲載'!N1057&gt;=20000,'中古車掲載'!O1057&lt;=100000,'中古車掲載'!AL1057=1,'中古車掲載'!Z1057="https://www.one2car.com/en/cars-for-sale/toyota/corolla-cross/year-2023"),'中古車掲載'!U1057,"")</x:f>
      </x:c>
      <x:c r="BG1056" t="str">
        <x:f>IF(AND('中古車掲載'!C1057="One2car",'中古車掲載'!F1057="Corolla Cross",'中古車掲載'!L1057="HEV GR SPORT",'中古車掲載'!J1057=2023,ISNUMBER('中古車掲載'!N1057),'中古車掲載'!N1057&gt;=20000,'中古車掲載'!O1057&lt;=100000,'中古車掲載'!AL1057=1,'中古車掲載'!Z1057="https://www.one2car.com/en/cars-for-sale/toyota/corolla-cross/year-2023"),'中古車掲載'!U1057,"")</x:f>
      </x:c>
      <x:c r="BH1056" t="str">
        <x:f>IF(AND('中古車掲載'!C1057="One2car",'中古車掲載'!F1057="DOLPHIN",'中古車掲載'!L1057="STANDARD RANGE",'中古車掲載'!J1057=2023,ISNUMBER('中古車掲載'!N1057),'中古車掲載'!N1057&gt;=20000,'中古車掲載'!O1057&lt;=100000,'中古車掲載'!AL1057=1),'中古車掲載'!U1057,"")</x:f>
      </x:c>
      <x:c r="BI1056" t="str">
        <x:v>Taladrod|Yaris Ativ|ICE|Unknown</x:v>
      </x:c>
      <x:c r="BJ1056" t="n">
        <x:v>1057</x:v>
      </x:c>
      <x:c r="BK1056" t="n">
        <x:f>'中古車掲載'!AM1057</x:f>
        <x:v>459000</x:v>
      </x:c>
      <x:c r="BL1056" t="str">
        <x:f>IF(ISNUMBER('中古車掲載'!AN1057),'中古車掲載'!AN1057,"")</x:f>
      </x:c>
    </x:row>
    <x:row r="1057">
      <x:c r="AZ1057" t="str">
        <x:f>IF(AND('中古車掲載'!C1058="One2car",'中古車掲載'!F1058="ATTO 3",'中古車掲載'!L1058="EXTENDED RANGE",'中古車掲載'!J1058=2023,ISNUMBER('中古車掲載'!N1058),'中古車掲載'!N1058&gt;=20000,'中古車掲載'!O1058&lt;=100000,'中古車掲載'!AL1058=1),'中古車掲載'!U1058,"")</x:f>
      </x:c>
      <x:c r="BA1057" t="str">
        <x:f>IF(AND('中古車掲載'!C1058="One2car",'中古車掲載'!F1058="Corolla Cross",'中古車掲載'!L1058="HEV PREMIUM SAFETY",'中古車掲載'!J1058=2023,ISNUMBER('中古車掲載'!N1058),'中古車掲載'!N1058&gt;=20000,'中古車掲載'!O1058&lt;=100000,'中古車掲載'!AL1058=1,'中古車掲載'!Z1058="https://www.one2car.com/en/cars-for-sale/toyota/corolla-cross/year-2023"),'中古車掲載'!U1058,"")</x:f>
      </x:c>
      <x:c r="BB1057" t="str">
        <x:f>IF(AND('中古車掲載'!C1058="One2car",'中古車掲載'!F1058="ATTO 3",'中古車掲載'!L1058="EXTENDED RANGE",'中古車掲載'!J1058=2023,ISNUMBER('中古車掲載'!N1058),'中古車掲載'!N1058&gt;=50000,'中古車掲載'!O1058&lt;=100000,'中古車掲載'!AL1058=1),'中古車掲載'!U1058,"")</x:f>
      </x:c>
      <x:c r="BC1057" t="str">
        <x:f>IF(AND('中古車掲載'!C1058="One2car",'中古車掲載'!F1058="Corolla Cross",'中古車掲載'!L1058="HEV PREMIUM SAFETY",'中古車掲載'!J1058=2023,ISNUMBER('中古車掲載'!N1058),'中古車掲載'!N1058&gt;=50000,'中古車掲載'!O1058&lt;=100000,'中古車掲載'!AL1058=1,'中古車掲載'!Z1058="https://www.one2car.com/en/cars-for-sale/toyota/corolla-cross/year-2023"),'中古車掲載'!U1058,"")</x:f>
      </x:c>
      <x:c r="BD1057" t="str">
        <x:f>IF(AND('中古車掲載'!C1058="One2car",'中古車掲載'!F1058="ATTO 3",'中古車掲載'!L1058="EXTENDED RANGE",'中古車掲載'!J1058=2023,ISNUMBER('中古車掲載'!N1058),'中古車掲載'!N1058&gt;=20000,'中古車掲載'!O1058&lt;=50000,'中古車掲載'!AL1058=1),'中古車掲載'!U1058,"")</x:f>
      </x:c>
      <x:c r="BE1057" t="str">
        <x:f>IF(AND('中古車掲載'!C1058="One2car",'中古車掲載'!F1058="Corolla Cross",'中古車掲載'!L1058="HEV PREMIUM SAFETY",'中古車掲載'!J1058=2023,ISNUMBER('中古車掲載'!N1058),'中古車掲載'!N1058&gt;=20000,'中古車掲載'!O1058&lt;=50000,'中古車掲載'!AL1058=1,'中古車掲載'!Z1058="https://www.one2car.com/en/cars-for-sale/toyota/corolla-cross/year-2023"),'中古車掲載'!U1058,"")</x:f>
      </x:c>
      <x:c r="BF1057" t="str">
        <x:f>IF(AND('中古車掲載'!C1058="One2car",'中古車掲載'!F1058="Corolla Cross",'中古車掲載'!L1058="HEV PREMIUM",'中古車掲載'!J1058=2023,ISNUMBER('中古車掲載'!N1058),'中古車掲載'!N1058&gt;=20000,'中古車掲載'!O1058&lt;=100000,'中古車掲載'!AL1058=1,'中古車掲載'!Z1058="https://www.one2car.com/en/cars-for-sale/toyota/corolla-cross/year-2023"),'中古車掲載'!U1058,"")</x:f>
      </x:c>
      <x:c r="BG1057" t="str">
        <x:f>IF(AND('中古車掲載'!C1058="One2car",'中古車掲載'!F1058="Corolla Cross",'中古車掲載'!L1058="HEV GR SPORT",'中古車掲載'!J1058=2023,ISNUMBER('中古車掲載'!N1058),'中古車掲載'!N1058&gt;=20000,'中古車掲載'!O1058&lt;=100000,'中古車掲載'!AL1058=1,'中古車掲載'!Z1058="https://www.one2car.com/en/cars-for-sale/toyota/corolla-cross/year-2023"),'中古車掲載'!U1058,"")</x:f>
      </x:c>
      <x:c r="BH1057" t="str">
        <x:f>IF(AND('中古車掲載'!C1058="One2car",'中古車掲載'!F1058="DOLPHIN",'中古車掲載'!L1058="STANDARD RANGE",'中古車掲載'!J1058=2023,ISNUMBER('中古車掲載'!N1058),'中古車掲載'!N1058&gt;=20000,'中古車掲載'!O1058&lt;=100000,'中古車掲載'!AL1058=1),'中古車掲載'!U1058,"")</x:f>
      </x:c>
      <x:c r="BI1057" t="str">
        <x:v>Taladrod|Yaris Ativ|ICE|Unknown</x:v>
      </x:c>
      <x:c r="BJ1057" t="n">
        <x:v>1058</x:v>
      </x:c>
      <x:c r="BK1057" t="n">
        <x:f>'中古車掲載'!AM1058</x:f>
        <x:v>525000</x:v>
      </x:c>
      <x:c r="BL1057" t="str">
        <x:f>IF(ISNUMBER('中古車掲載'!AN1058),'中古車掲載'!AN1058,"")</x:f>
      </x:c>
    </x:row>
    <x:row r="1058">
      <x:c r="AZ1058" t="str">
        <x:f>IF(AND('中古車掲載'!C1059="One2car",'中古車掲載'!F1059="ATTO 3",'中古車掲載'!L1059="EXTENDED RANGE",'中古車掲載'!J1059=2023,ISNUMBER('中古車掲載'!N1059),'中古車掲載'!N1059&gt;=20000,'中古車掲載'!O1059&lt;=100000,'中古車掲載'!AL1059=1),'中古車掲載'!U1059,"")</x:f>
      </x:c>
      <x:c r="BA1058" t="str">
        <x:f>IF(AND('中古車掲載'!C1059="One2car",'中古車掲載'!F1059="Corolla Cross",'中古車掲載'!L1059="HEV PREMIUM SAFETY",'中古車掲載'!J1059=2023,ISNUMBER('中古車掲載'!N1059),'中古車掲載'!N1059&gt;=20000,'中古車掲載'!O1059&lt;=100000,'中古車掲載'!AL1059=1,'中古車掲載'!Z1059="https://www.one2car.com/en/cars-for-sale/toyota/corolla-cross/year-2023"),'中古車掲載'!U1059,"")</x:f>
      </x:c>
      <x:c r="BB1058" t="str">
        <x:f>IF(AND('中古車掲載'!C1059="One2car",'中古車掲載'!F1059="ATTO 3",'中古車掲載'!L1059="EXTENDED RANGE",'中古車掲載'!J1059=2023,ISNUMBER('中古車掲載'!N1059),'中古車掲載'!N1059&gt;=50000,'中古車掲載'!O1059&lt;=100000,'中古車掲載'!AL1059=1),'中古車掲載'!U1059,"")</x:f>
      </x:c>
      <x:c r="BC1058" t="str">
        <x:f>IF(AND('中古車掲載'!C1059="One2car",'中古車掲載'!F1059="Corolla Cross",'中古車掲載'!L1059="HEV PREMIUM SAFETY",'中古車掲載'!J1059=2023,ISNUMBER('中古車掲載'!N1059),'中古車掲載'!N1059&gt;=50000,'中古車掲載'!O1059&lt;=100000,'中古車掲載'!AL1059=1,'中古車掲載'!Z1059="https://www.one2car.com/en/cars-for-sale/toyota/corolla-cross/year-2023"),'中古車掲載'!U1059,"")</x:f>
      </x:c>
      <x:c r="BD1058" t="str">
        <x:f>IF(AND('中古車掲載'!C1059="One2car",'中古車掲載'!F1059="ATTO 3",'中古車掲載'!L1059="EXTENDED RANGE",'中古車掲載'!J1059=2023,ISNUMBER('中古車掲載'!N1059),'中古車掲載'!N1059&gt;=20000,'中古車掲載'!O1059&lt;=50000,'中古車掲載'!AL1059=1),'中古車掲載'!U1059,"")</x:f>
      </x:c>
      <x:c r="BE1058" t="str">
        <x:f>IF(AND('中古車掲載'!C1059="One2car",'中古車掲載'!F1059="Corolla Cross",'中古車掲載'!L1059="HEV PREMIUM SAFETY",'中古車掲載'!J1059=2023,ISNUMBER('中古車掲載'!N1059),'中古車掲載'!N1059&gt;=20000,'中古車掲載'!O1059&lt;=50000,'中古車掲載'!AL1059=1,'中古車掲載'!Z1059="https://www.one2car.com/en/cars-for-sale/toyota/corolla-cross/year-2023"),'中古車掲載'!U1059,"")</x:f>
      </x:c>
      <x:c r="BF1058" t="str">
        <x:f>IF(AND('中古車掲載'!C1059="One2car",'中古車掲載'!F1059="Corolla Cross",'中古車掲載'!L1059="HEV PREMIUM",'中古車掲載'!J1059=2023,ISNUMBER('中古車掲載'!N1059),'中古車掲載'!N1059&gt;=20000,'中古車掲載'!O1059&lt;=100000,'中古車掲載'!AL1059=1,'中古車掲載'!Z1059="https://www.one2car.com/en/cars-for-sale/toyota/corolla-cross/year-2023"),'中古車掲載'!U1059,"")</x:f>
      </x:c>
      <x:c r="BG1058" t="str">
        <x:f>IF(AND('中古車掲載'!C1059="One2car",'中古車掲載'!F1059="Corolla Cross",'中古車掲載'!L1059="HEV GR SPORT",'中古車掲載'!J1059=2023,ISNUMBER('中古車掲載'!N1059),'中古車掲載'!N1059&gt;=20000,'中古車掲載'!O1059&lt;=100000,'中古車掲載'!AL1059=1,'中古車掲載'!Z1059="https://www.one2car.com/en/cars-for-sale/toyota/corolla-cross/year-2023"),'中古車掲載'!U1059,"")</x:f>
      </x:c>
      <x:c r="BH1058" t="str">
        <x:f>IF(AND('中古車掲載'!C1059="One2car",'中古車掲載'!F1059="DOLPHIN",'中古車掲載'!L1059="STANDARD RANGE",'中古車掲載'!J1059=2023,ISNUMBER('中古車掲載'!N1059),'中古車掲載'!N1059&gt;=20000,'中古車掲載'!O1059&lt;=100000,'中古車掲載'!AL1059=1),'中古車掲載'!U1059,"")</x:f>
      </x:c>
      <x:c r="BI1058" t="str">
        <x:v>Taladrod|Yaris Ativ|ICE|Unknown</x:v>
      </x:c>
      <x:c r="BJ1058" t="n">
        <x:v>1059</x:v>
      </x:c>
      <x:c r="BK1058" t="n">
        <x:f>'中古車掲載'!AM1059</x:f>
        <x:v>439000</x:v>
      </x:c>
      <x:c r="BL1058" t="str">
        <x:f>IF(ISNUMBER('中古車掲載'!AN1059),'中古車掲載'!AN1059,"")</x:f>
      </x:c>
    </x:row>
    <x:row r="1059">
      <x:c r="AZ1059" t="str">
        <x:f>IF(AND('中古車掲載'!C1060="One2car",'中古車掲載'!F1060="ATTO 3",'中古車掲載'!L1060="EXTENDED RANGE",'中古車掲載'!J1060=2023,ISNUMBER('中古車掲載'!N1060),'中古車掲載'!N1060&gt;=20000,'中古車掲載'!O1060&lt;=100000,'中古車掲載'!AL1060=1),'中古車掲載'!U1060,"")</x:f>
      </x:c>
      <x:c r="BA1059" t="str">
        <x:f>IF(AND('中古車掲載'!C1060="One2car",'中古車掲載'!F1060="Corolla Cross",'中古車掲載'!L1060="HEV PREMIUM SAFETY",'中古車掲載'!J1060=2023,ISNUMBER('中古車掲載'!N1060),'中古車掲載'!N1060&gt;=20000,'中古車掲載'!O1060&lt;=100000,'中古車掲載'!AL1060=1,'中古車掲載'!Z1060="https://www.one2car.com/en/cars-for-sale/toyota/corolla-cross/year-2023"),'中古車掲載'!U1060,"")</x:f>
      </x:c>
      <x:c r="BB1059" t="str">
        <x:f>IF(AND('中古車掲載'!C1060="One2car",'中古車掲載'!F1060="ATTO 3",'中古車掲載'!L1060="EXTENDED RANGE",'中古車掲載'!J1060=2023,ISNUMBER('中古車掲載'!N1060),'中古車掲載'!N1060&gt;=50000,'中古車掲載'!O1060&lt;=100000,'中古車掲載'!AL1060=1),'中古車掲載'!U1060,"")</x:f>
      </x:c>
      <x:c r="BC1059" t="str">
        <x:f>IF(AND('中古車掲載'!C1060="One2car",'中古車掲載'!F1060="Corolla Cross",'中古車掲載'!L1060="HEV PREMIUM SAFETY",'中古車掲載'!J1060=2023,ISNUMBER('中古車掲載'!N1060),'中古車掲載'!N1060&gt;=50000,'中古車掲載'!O1060&lt;=100000,'中古車掲載'!AL1060=1,'中古車掲載'!Z1060="https://www.one2car.com/en/cars-for-sale/toyota/corolla-cross/year-2023"),'中古車掲載'!U1060,"")</x:f>
      </x:c>
      <x:c r="BD1059" t="str">
        <x:f>IF(AND('中古車掲載'!C1060="One2car",'中古車掲載'!F1060="ATTO 3",'中古車掲載'!L1060="EXTENDED RANGE",'中古車掲載'!J1060=2023,ISNUMBER('中古車掲載'!N1060),'中古車掲載'!N1060&gt;=20000,'中古車掲載'!O1060&lt;=50000,'中古車掲載'!AL1060=1),'中古車掲載'!U1060,"")</x:f>
      </x:c>
      <x:c r="BE1059" t="str">
        <x:f>IF(AND('中古車掲載'!C1060="One2car",'中古車掲載'!F1060="Corolla Cross",'中古車掲載'!L1060="HEV PREMIUM SAFETY",'中古車掲載'!J1060=2023,ISNUMBER('中古車掲載'!N1060),'中古車掲載'!N1060&gt;=20000,'中古車掲載'!O1060&lt;=50000,'中古車掲載'!AL1060=1,'中古車掲載'!Z1060="https://www.one2car.com/en/cars-for-sale/toyota/corolla-cross/year-2023"),'中古車掲載'!U1060,"")</x:f>
      </x:c>
      <x:c r="BF1059" t="str">
        <x:f>IF(AND('中古車掲載'!C1060="One2car",'中古車掲載'!F1060="Corolla Cross",'中古車掲載'!L1060="HEV PREMIUM",'中古車掲載'!J1060=2023,ISNUMBER('中古車掲載'!N1060),'中古車掲載'!N1060&gt;=20000,'中古車掲載'!O1060&lt;=100000,'中古車掲載'!AL1060=1,'中古車掲載'!Z1060="https://www.one2car.com/en/cars-for-sale/toyota/corolla-cross/year-2023"),'中古車掲載'!U1060,"")</x:f>
      </x:c>
      <x:c r="BG1059" t="str">
        <x:f>IF(AND('中古車掲載'!C1060="One2car",'中古車掲載'!F1060="Corolla Cross",'中古車掲載'!L1060="HEV GR SPORT",'中古車掲載'!J1060=2023,ISNUMBER('中古車掲載'!N1060),'中古車掲載'!N1060&gt;=20000,'中古車掲載'!O1060&lt;=100000,'中古車掲載'!AL1060=1,'中古車掲載'!Z1060="https://www.one2car.com/en/cars-for-sale/toyota/corolla-cross/year-2023"),'中古車掲載'!U1060,"")</x:f>
      </x:c>
      <x:c r="BH1059" t="str">
        <x:f>IF(AND('中古車掲載'!C1060="One2car",'中古車掲載'!F1060="DOLPHIN",'中古車掲載'!L1060="STANDARD RANGE",'中古車掲載'!J1060=2023,ISNUMBER('中古車掲載'!N1060),'中古車掲載'!N1060&gt;=20000,'中古車掲載'!O1060&lt;=100000,'中古車掲載'!AL1060=1),'中古車掲載'!U1060,"")</x:f>
      </x:c>
      <x:c r="BI1059" t="str">
        <x:v>Taladrod|Yaris Ativ|ICE|Unknown</x:v>
      </x:c>
      <x:c r="BJ1059" t="n">
        <x:v>1060</x:v>
      </x:c>
      <x:c r="BK1059" t="n">
        <x:f>'中古車掲載'!AM1060</x:f>
        <x:v>459000</x:v>
      </x:c>
      <x:c r="BL1059" t="str">
        <x:f>IF(ISNUMBER('中古車掲載'!AN1060),'中古車掲載'!AN1060,"")</x:f>
      </x:c>
    </x:row>
    <x:row r="1060">
      <x:c r="AZ1060" t="str">
        <x:f>IF(AND('中古車掲載'!C1061="One2car",'中古車掲載'!F1061="ATTO 3",'中古車掲載'!L1061="EXTENDED RANGE",'中古車掲載'!J1061=2023,ISNUMBER('中古車掲載'!N1061),'中古車掲載'!N1061&gt;=20000,'中古車掲載'!O1061&lt;=100000,'中古車掲載'!AL1061=1),'中古車掲載'!U1061,"")</x:f>
      </x:c>
      <x:c r="BA1060" t="str">
        <x:f>IF(AND('中古車掲載'!C1061="One2car",'中古車掲載'!F1061="Corolla Cross",'中古車掲載'!L1061="HEV PREMIUM SAFETY",'中古車掲載'!J1061=2023,ISNUMBER('中古車掲載'!N1061),'中古車掲載'!N1061&gt;=20000,'中古車掲載'!O1061&lt;=100000,'中古車掲載'!AL1061=1,'中古車掲載'!Z1061="https://www.one2car.com/en/cars-for-sale/toyota/corolla-cross/year-2023"),'中古車掲載'!U1061,"")</x:f>
      </x:c>
      <x:c r="BB1060" t="str">
        <x:f>IF(AND('中古車掲載'!C1061="One2car",'中古車掲載'!F1061="ATTO 3",'中古車掲載'!L1061="EXTENDED RANGE",'中古車掲載'!J1061=2023,ISNUMBER('中古車掲載'!N1061),'中古車掲載'!N1061&gt;=50000,'中古車掲載'!O1061&lt;=100000,'中古車掲載'!AL1061=1),'中古車掲載'!U1061,"")</x:f>
      </x:c>
      <x:c r="BC1060" t="str">
        <x:f>IF(AND('中古車掲載'!C1061="One2car",'中古車掲載'!F1061="Corolla Cross",'中古車掲載'!L1061="HEV PREMIUM SAFETY",'中古車掲載'!J1061=2023,ISNUMBER('中古車掲載'!N1061),'中古車掲載'!N1061&gt;=50000,'中古車掲載'!O1061&lt;=100000,'中古車掲載'!AL1061=1,'中古車掲載'!Z1061="https://www.one2car.com/en/cars-for-sale/toyota/corolla-cross/year-2023"),'中古車掲載'!U1061,"")</x:f>
      </x:c>
      <x:c r="BD1060" t="str">
        <x:f>IF(AND('中古車掲載'!C1061="One2car",'中古車掲載'!F1061="ATTO 3",'中古車掲載'!L1061="EXTENDED RANGE",'中古車掲載'!J1061=2023,ISNUMBER('中古車掲載'!N1061),'中古車掲載'!N1061&gt;=20000,'中古車掲載'!O1061&lt;=50000,'中古車掲載'!AL1061=1),'中古車掲載'!U1061,"")</x:f>
      </x:c>
      <x:c r="BE1060" t="str">
        <x:f>IF(AND('中古車掲載'!C1061="One2car",'中古車掲載'!F1061="Corolla Cross",'中古車掲載'!L1061="HEV PREMIUM SAFETY",'中古車掲載'!J1061=2023,ISNUMBER('中古車掲載'!N1061),'中古車掲載'!N1061&gt;=20000,'中古車掲載'!O1061&lt;=50000,'中古車掲載'!AL1061=1,'中古車掲載'!Z1061="https://www.one2car.com/en/cars-for-sale/toyota/corolla-cross/year-2023"),'中古車掲載'!U1061,"")</x:f>
      </x:c>
      <x:c r="BF1060" t="str">
        <x:f>IF(AND('中古車掲載'!C1061="One2car",'中古車掲載'!F1061="Corolla Cross",'中古車掲載'!L1061="HEV PREMIUM",'中古車掲載'!J1061=2023,ISNUMBER('中古車掲載'!N1061),'中古車掲載'!N1061&gt;=20000,'中古車掲載'!O1061&lt;=100000,'中古車掲載'!AL1061=1,'中古車掲載'!Z1061="https://www.one2car.com/en/cars-for-sale/toyota/corolla-cross/year-2023"),'中古車掲載'!U1061,"")</x:f>
      </x:c>
      <x:c r="BG1060" t="str">
        <x:f>IF(AND('中古車掲載'!C1061="One2car",'中古車掲載'!F1061="Corolla Cross",'中古車掲載'!L1061="HEV GR SPORT",'中古車掲載'!J1061=2023,ISNUMBER('中古車掲載'!N1061),'中古車掲載'!N1061&gt;=20000,'中古車掲載'!O1061&lt;=100000,'中古車掲載'!AL1061=1,'中古車掲載'!Z1061="https://www.one2car.com/en/cars-for-sale/toyota/corolla-cross/year-2023"),'中古車掲載'!U1061,"")</x:f>
      </x:c>
      <x:c r="BH1060" t="str">
        <x:f>IF(AND('中古車掲載'!C1061="One2car",'中古車掲載'!F1061="DOLPHIN",'中古車掲載'!L1061="STANDARD RANGE",'中古車掲載'!J1061=2023,ISNUMBER('中古車掲載'!N1061),'中古車掲載'!N1061&gt;=20000,'中古車掲載'!O1061&lt;=100000,'中古車掲載'!AL1061=1),'中古車掲載'!U1061,"")</x:f>
      </x:c>
      <x:c r="BI1060" t="str">
        <x:v>Taladrod|Yaris Ativ|ICE|Unknown</x:v>
      </x:c>
      <x:c r="BJ1060" t="n">
        <x:v>1061</x:v>
      </x:c>
      <x:c r="BK1060" t="n">
        <x:f>'中古車掲載'!AM1061</x:f>
        <x:v>479000</x:v>
      </x:c>
      <x:c r="BL1060" t="str">
        <x:f>IF(ISNUMBER('中古車掲載'!AN1061),'中古車掲載'!AN1061,"")</x:f>
      </x:c>
    </x:row>
    <x:row r="1061">
      <x:c r="AZ1061" t="str">
        <x:f>IF(AND('中古車掲載'!C1062="One2car",'中古車掲載'!F1062="ATTO 3",'中古車掲載'!L1062="EXTENDED RANGE",'中古車掲載'!J1062=2023,ISNUMBER('中古車掲載'!N1062),'中古車掲載'!N1062&gt;=20000,'中古車掲載'!O1062&lt;=100000,'中古車掲載'!AL1062=1),'中古車掲載'!U1062,"")</x:f>
      </x:c>
      <x:c r="BA1061" t="str">
        <x:f>IF(AND('中古車掲載'!C1062="One2car",'中古車掲載'!F1062="Corolla Cross",'中古車掲載'!L1062="HEV PREMIUM SAFETY",'中古車掲載'!J1062=2023,ISNUMBER('中古車掲載'!N1062),'中古車掲載'!N1062&gt;=20000,'中古車掲載'!O1062&lt;=100000,'中古車掲載'!AL1062=1,'中古車掲載'!Z1062="https://www.one2car.com/en/cars-for-sale/toyota/corolla-cross/year-2023"),'中古車掲載'!U1062,"")</x:f>
      </x:c>
      <x:c r="BB1061" t="str">
        <x:f>IF(AND('中古車掲載'!C1062="One2car",'中古車掲載'!F1062="ATTO 3",'中古車掲載'!L1062="EXTENDED RANGE",'中古車掲載'!J1062=2023,ISNUMBER('中古車掲載'!N1062),'中古車掲載'!N1062&gt;=50000,'中古車掲載'!O1062&lt;=100000,'中古車掲載'!AL1062=1),'中古車掲載'!U1062,"")</x:f>
      </x:c>
      <x:c r="BC1061" t="str">
        <x:f>IF(AND('中古車掲載'!C1062="One2car",'中古車掲載'!F1062="Corolla Cross",'中古車掲載'!L1062="HEV PREMIUM SAFETY",'中古車掲載'!J1062=2023,ISNUMBER('中古車掲載'!N1062),'中古車掲載'!N1062&gt;=50000,'中古車掲載'!O1062&lt;=100000,'中古車掲載'!AL1062=1,'中古車掲載'!Z1062="https://www.one2car.com/en/cars-for-sale/toyota/corolla-cross/year-2023"),'中古車掲載'!U1062,"")</x:f>
      </x:c>
      <x:c r="BD1061" t="str">
        <x:f>IF(AND('中古車掲載'!C1062="One2car",'中古車掲載'!F1062="ATTO 3",'中古車掲載'!L1062="EXTENDED RANGE",'中古車掲載'!J1062=2023,ISNUMBER('中古車掲載'!N1062),'中古車掲載'!N1062&gt;=20000,'中古車掲載'!O1062&lt;=50000,'中古車掲載'!AL1062=1),'中古車掲載'!U1062,"")</x:f>
      </x:c>
      <x:c r="BE1061" t="str">
        <x:f>IF(AND('中古車掲載'!C1062="One2car",'中古車掲載'!F1062="Corolla Cross",'中古車掲載'!L1062="HEV PREMIUM SAFETY",'中古車掲載'!J1062=2023,ISNUMBER('中古車掲載'!N1062),'中古車掲載'!N1062&gt;=20000,'中古車掲載'!O1062&lt;=50000,'中古車掲載'!AL1062=1,'中古車掲載'!Z1062="https://www.one2car.com/en/cars-for-sale/toyota/corolla-cross/year-2023"),'中古車掲載'!U1062,"")</x:f>
      </x:c>
      <x:c r="BF1061" t="str">
        <x:f>IF(AND('中古車掲載'!C1062="One2car",'中古車掲載'!F1062="Corolla Cross",'中古車掲載'!L1062="HEV PREMIUM",'中古車掲載'!J1062=2023,ISNUMBER('中古車掲載'!N1062),'中古車掲載'!N1062&gt;=20000,'中古車掲載'!O1062&lt;=100000,'中古車掲載'!AL1062=1,'中古車掲載'!Z1062="https://www.one2car.com/en/cars-for-sale/toyota/corolla-cross/year-2023"),'中古車掲載'!U1062,"")</x:f>
      </x:c>
      <x:c r="BG1061" t="str">
        <x:f>IF(AND('中古車掲載'!C1062="One2car",'中古車掲載'!F1062="Corolla Cross",'中古車掲載'!L1062="HEV GR SPORT",'中古車掲載'!J1062=2023,ISNUMBER('中古車掲載'!N1062),'中古車掲載'!N1062&gt;=20000,'中古車掲載'!O1062&lt;=100000,'中古車掲載'!AL1062=1,'中古車掲載'!Z1062="https://www.one2car.com/en/cars-for-sale/toyota/corolla-cross/year-2023"),'中古車掲載'!U1062,"")</x:f>
      </x:c>
      <x:c r="BH1061" t="str">
        <x:f>IF(AND('中古車掲載'!C1062="One2car",'中古車掲載'!F1062="DOLPHIN",'中古車掲載'!L1062="STANDARD RANGE",'中古車掲載'!J1062=2023,ISNUMBER('中古車掲載'!N1062),'中古車掲載'!N1062&gt;=20000,'中古車掲載'!O1062&lt;=100000,'中古車掲載'!AL1062=1),'中古車掲載'!U1062,"")</x:f>
      </x:c>
      <x:c r="BI1061" t="str">
        <x:v>Taladrod|Yaris Ativ|ICE|Unknown</x:v>
      </x:c>
      <x:c r="BJ1061" t="n">
        <x:v>1062</x:v>
      </x:c>
      <x:c r="BK1061" t="n">
        <x:f>'中古車掲載'!AM1062</x:f>
        <x:v>450000</x:v>
      </x:c>
      <x:c r="BL1061" t="str">
        <x:f>IF(ISNUMBER('中古車掲載'!AN1062),'中古車掲載'!AN1062,"")</x:f>
      </x:c>
    </x:row>
    <x:row r="1062">
      <x:c r="AZ1062" t="str">
        <x:f>IF(AND('中古車掲載'!C1063="One2car",'中古車掲載'!F1063="ATTO 3",'中古車掲載'!L1063="EXTENDED RANGE",'中古車掲載'!J1063=2023,ISNUMBER('中古車掲載'!N1063),'中古車掲載'!N1063&gt;=20000,'中古車掲載'!O1063&lt;=100000,'中古車掲載'!AL1063=1),'中古車掲載'!U1063,"")</x:f>
      </x:c>
      <x:c r="BA1062" t="str">
        <x:f>IF(AND('中古車掲載'!C1063="One2car",'中古車掲載'!F1063="Corolla Cross",'中古車掲載'!L1063="HEV PREMIUM SAFETY",'中古車掲載'!J1063=2023,ISNUMBER('中古車掲載'!N1063),'中古車掲載'!N1063&gt;=20000,'中古車掲載'!O1063&lt;=100000,'中古車掲載'!AL1063=1,'中古車掲載'!Z1063="https://www.one2car.com/en/cars-for-sale/toyota/corolla-cross/year-2023"),'中古車掲載'!U1063,"")</x:f>
      </x:c>
      <x:c r="BB1062" t="str">
        <x:f>IF(AND('中古車掲載'!C1063="One2car",'中古車掲載'!F1063="ATTO 3",'中古車掲載'!L1063="EXTENDED RANGE",'中古車掲載'!J1063=2023,ISNUMBER('中古車掲載'!N1063),'中古車掲載'!N1063&gt;=50000,'中古車掲載'!O1063&lt;=100000,'中古車掲載'!AL1063=1),'中古車掲載'!U1063,"")</x:f>
      </x:c>
      <x:c r="BC1062" t="str">
        <x:f>IF(AND('中古車掲載'!C1063="One2car",'中古車掲載'!F1063="Corolla Cross",'中古車掲載'!L1063="HEV PREMIUM SAFETY",'中古車掲載'!J1063=2023,ISNUMBER('中古車掲載'!N1063),'中古車掲載'!N1063&gt;=50000,'中古車掲載'!O1063&lt;=100000,'中古車掲載'!AL1063=1,'中古車掲載'!Z1063="https://www.one2car.com/en/cars-for-sale/toyota/corolla-cross/year-2023"),'中古車掲載'!U1063,"")</x:f>
      </x:c>
      <x:c r="BD1062" t="str">
        <x:f>IF(AND('中古車掲載'!C1063="One2car",'中古車掲載'!F1063="ATTO 3",'中古車掲載'!L1063="EXTENDED RANGE",'中古車掲載'!J1063=2023,ISNUMBER('中古車掲載'!N1063),'中古車掲載'!N1063&gt;=20000,'中古車掲載'!O1063&lt;=50000,'中古車掲載'!AL1063=1),'中古車掲載'!U1063,"")</x:f>
      </x:c>
      <x:c r="BE1062" t="str">
        <x:f>IF(AND('中古車掲載'!C1063="One2car",'中古車掲載'!F1063="Corolla Cross",'中古車掲載'!L1063="HEV PREMIUM SAFETY",'中古車掲載'!J1063=2023,ISNUMBER('中古車掲載'!N1063),'中古車掲載'!N1063&gt;=20000,'中古車掲載'!O1063&lt;=50000,'中古車掲載'!AL1063=1,'中古車掲載'!Z1063="https://www.one2car.com/en/cars-for-sale/toyota/corolla-cross/year-2023"),'中古車掲載'!U1063,"")</x:f>
      </x:c>
      <x:c r="BF1062" t="str">
        <x:f>IF(AND('中古車掲載'!C1063="One2car",'中古車掲載'!F1063="Corolla Cross",'中古車掲載'!L1063="HEV PREMIUM",'中古車掲載'!J1063=2023,ISNUMBER('中古車掲載'!N1063),'中古車掲載'!N1063&gt;=20000,'中古車掲載'!O1063&lt;=100000,'中古車掲載'!AL1063=1,'中古車掲載'!Z1063="https://www.one2car.com/en/cars-for-sale/toyota/corolla-cross/year-2023"),'中古車掲載'!U1063,"")</x:f>
      </x:c>
      <x:c r="BG1062" t="str">
        <x:f>IF(AND('中古車掲載'!C1063="One2car",'中古車掲載'!F1063="Corolla Cross",'中古車掲載'!L1063="HEV GR SPORT",'中古車掲載'!J1063=2023,ISNUMBER('中古車掲載'!N1063),'中古車掲載'!N1063&gt;=20000,'中古車掲載'!O1063&lt;=100000,'中古車掲載'!AL1063=1,'中古車掲載'!Z1063="https://www.one2car.com/en/cars-for-sale/toyota/corolla-cross/year-2023"),'中古車掲載'!U1063,"")</x:f>
      </x:c>
      <x:c r="BH1062" t="str">
        <x:f>IF(AND('中古車掲載'!C1063="One2car",'中古車掲載'!F1063="DOLPHIN",'中古車掲載'!L1063="STANDARD RANGE",'中古車掲載'!J1063=2023,ISNUMBER('中古車掲載'!N1063),'中古車掲載'!N1063&gt;=20000,'中古車掲載'!O1063&lt;=100000,'中古車掲載'!AL1063=1),'中古車掲載'!U1063,"")</x:f>
      </x:c>
      <x:c r="BI1062" t="str">
        <x:v>Taladrod|Yaris Ativ|ICE|Unknown</x:v>
      </x:c>
      <x:c r="BJ1062" t="n">
        <x:v>1063</x:v>
      </x:c>
      <x:c r="BK1062" t="n">
        <x:f>'中古車掲載'!AM1063</x:f>
        <x:v>479000</x:v>
      </x:c>
      <x:c r="BL1062" t="str">
        <x:f>IF(ISNUMBER('中古車掲載'!AN1063),'中古車掲載'!AN1063,"")</x:f>
      </x:c>
    </x:row>
    <x:row r="1063">
      <x:c r="AZ1063" t="str">
        <x:f>IF(AND('中古車掲載'!C1064="One2car",'中古車掲載'!F1064="ATTO 3",'中古車掲載'!L1064="EXTENDED RANGE",'中古車掲載'!J1064=2023,ISNUMBER('中古車掲載'!N1064),'中古車掲載'!N1064&gt;=20000,'中古車掲載'!O1064&lt;=100000,'中古車掲載'!AL1064=1),'中古車掲載'!U1064,"")</x:f>
      </x:c>
      <x:c r="BA1063" t="str">
        <x:f>IF(AND('中古車掲載'!C1064="One2car",'中古車掲載'!F1064="Corolla Cross",'中古車掲載'!L1064="HEV PREMIUM SAFETY",'中古車掲載'!J1064=2023,ISNUMBER('中古車掲載'!N1064),'中古車掲載'!N1064&gt;=20000,'中古車掲載'!O1064&lt;=100000,'中古車掲載'!AL1064=1,'中古車掲載'!Z1064="https://www.one2car.com/en/cars-for-sale/toyota/corolla-cross/year-2023"),'中古車掲載'!U1064,"")</x:f>
      </x:c>
      <x:c r="BB1063" t="str">
        <x:f>IF(AND('中古車掲載'!C1064="One2car",'中古車掲載'!F1064="ATTO 3",'中古車掲載'!L1064="EXTENDED RANGE",'中古車掲載'!J1064=2023,ISNUMBER('中古車掲載'!N1064),'中古車掲載'!N1064&gt;=50000,'中古車掲載'!O1064&lt;=100000,'中古車掲載'!AL1064=1),'中古車掲載'!U1064,"")</x:f>
      </x:c>
      <x:c r="BC1063" t="str">
        <x:f>IF(AND('中古車掲載'!C1064="One2car",'中古車掲載'!F1064="Corolla Cross",'中古車掲載'!L1064="HEV PREMIUM SAFETY",'中古車掲載'!J1064=2023,ISNUMBER('中古車掲載'!N1064),'中古車掲載'!N1064&gt;=50000,'中古車掲載'!O1064&lt;=100000,'中古車掲載'!AL1064=1,'中古車掲載'!Z1064="https://www.one2car.com/en/cars-for-sale/toyota/corolla-cross/year-2023"),'中古車掲載'!U1064,"")</x:f>
      </x:c>
      <x:c r="BD1063" t="str">
        <x:f>IF(AND('中古車掲載'!C1064="One2car",'中古車掲載'!F1064="ATTO 3",'中古車掲載'!L1064="EXTENDED RANGE",'中古車掲載'!J1064=2023,ISNUMBER('中古車掲載'!N1064),'中古車掲載'!N1064&gt;=20000,'中古車掲載'!O1064&lt;=50000,'中古車掲載'!AL1064=1),'中古車掲載'!U1064,"")</x:f>
      </x:c>
      <x:c r="BE1063" t="str">
        <x:f>IF(AND('中古車掲載'!C1064="One2car",'中古車掲載'!F1064="Corolla Cross",'中古車掲載'!L1064="HEV PREMIUM SAFETY",'中古車掲載'!J1064=2023,ISNUMBER('中古車掲載'!N1064),'中古車掲載'!N1064&gt;=20000,'中古車掲載'!O1064&lt;=50000,'中古車掲載'!AL1064=1,'中古車掲載'!Z1064="https://www.one2car.com/en/cars-for-sale/toyota/corolla-cross/year-2023"),'中古車掲載'!U1064,"")</x:f>
      </x:c>
      <x:c r="BF1063" t="str">
        <x:f>IF(AND('中古車掲載'!C1064="One2car",'中古車掲載'!F1064="Corolla Cross",'中古車掲載'!L1064="HEV PREMIUM",'中古車掲載'!J1064=2023,ISNUMBER('中古車掲載'!N1064),'中古車掲載'!N1064&gt;=20000,'中古車掲載'!O1064&lt;=100000,'中古車掲載'!AL1064=1,'中古車掲載'!Z1064="https://www.one2car.com/en/cars-for-sale/toyota/corolla-cross/year-2023"),'中古車掲載'!U1064,"")</x:f>
      </x:c>
      <x:c r="BG1063" t="str">
        <x:f>IF(AND('中古車掲載'!C1064="One2car",'中古車掲載'!F1064="Corolla Cross",'中古車掲載'!L1064="HEV GR SPORT",'中古車掲載'!J1064=2023,ISNUMBER('中古車掲載'!N1064),'中古車掲載'!N1064&gt;=20000,'中古車掲載'!O1064&lt;=100000,'中古車掲載'!AL1064=1,'中古車掲載'!Z1064="https://www.one2car.com/en/cars-for-sale/toyota/corolla-cross/year-2023"),'中古車掲載'!U1064,"")</x:f>
      </x:c>
      <x:c r="BH1063" t="str">
        <x:f>IF(AND('中古車掲載'!C1064="One2car",'中古車掲載'!F1064="DOLPHIN",'中古車掲載'!L1064="STANDARD RANGE",'中古車掲載'!J1064=2023,ISNUMBER('中古車掲載'!N1064),'中古車掲載'!N1064&gt;=20000,'中古車掲載'!O1064&lt;=100000,'中古車掲載'!AL1064=1),'中古車掲載'!U1064,"")</x:f>
      </x:c>
      <x:c r="BI1063" t="str">
        <x:v>Taladrod|Yaris Ativ|ICE|Unknown</x:v>
      </x:c>
      <x:c r="BJ1063" t="n">
        <x:v>1064</x:v>
      </x:c>
      <x:c r="BK1063" t="n">
        <x:f>'中古車掲載'!AM1064</x:f>
        <x:v>385000</x:v>
      </x:c>
      <x:c r="BL1063" t="str">
        <x:f>IF(ISNUMBER('中古車掲載'!AN1064),'中古車掲載'!AN1064,"")</x:f>
      </x:c>
    </x:row>
    <x:row r="1064">
      <x:c r="AZ1064" t="str">
        <x:f>IF(AND('中古車掲載'!C1065="One2car",'中古車掲載'!F1065="ATTO 3",'中古車掲載'!L1065="EXTENDED RANGE",'中古車掲載'!J1065=2023,ISNUMBER('中古車掲載'!N1065),'中古車掲載'!N1065&gt;=20000,'中古車掲載'!O1065&lt;=100000,'中古車掲載'!AL1065=1),'中古車掲載'!U1065,"")</x:f>
      </x:c>
      <x:c r="BA1064" t="str">
        <x:f>IF(AND('中古車掲載'!C1065="One2car",'中古車掲載'!F1065="Corolla Cross",'中古車掲載'!L1065="HEV PREMIUM SAFETY",'中古車掲載'!J1065=2023,ISNUMBER('中古車掲載'!N1065),'中古車掲載'!N1065&gt;=20000,'中古車掲載'!O1065&lt;=100000,'中古車掲載'!AL1065=1,'中古車掲載'!Z1065="https://www.one2car.com/en/cars-for-sale/toyota/corolla-cross/year-2023"),'中古車掲載'!U1065,"")</x:f>
      </x:c>
      <x:c r="BB1064" t="str">
        <x:f>IF(AND('中古車掲載'!C1065="One2car",'中古車掲載'!F1065="ATTO 3",'中古車掲載'!L1065="EXTENDED RANGE",'中古車掲載'!J1065=2023,ISNUMBER('中古車掲載'!N1065),'中古車掲載'!N1065&gt;=50000,'中古車掲載'!O1065&lt;=100000,'中古車掲載'!AL1065=1),'中古車掲載'!U1065,"")</x:f>
      </x:c>
      <x:c r="BC1064" t="str">
        <x:f>IF(AND('中古車掲載'!C1065="One2car",'中古車掲載'!F1065="Corolla Cross",'中古車掲載'!L1065="HEV PREMIUM SAFETY",'中古車掲載'!J1065=2023,ISNUMBER('中古車掲載'!N1065),'中古車掲載'!N1065&gt;=50000,'中古車掲載'!O1065&lt;=100000,'中古車掲載'!AL1065=1,'中古車掲載'!Z1065="https://www.one2car.com/en/cars-for-sale/toyota/corolla-cross/year-2023"),'中古車掲載'!U1065,"")</x:f>
      </x:c>
      <x:c r="BD1064" t="str">
        <x:f>IF(AND('中古車掲載'!C1065="One2car",'中古車掲載'!F1065="ATTO 3",'中古車掲載'!L1065="EXTENDED RANGE",'中古車掲載'!J1065=2023,ISNUMBER('中古車掲載'!N1065),'中古車掲載'!N1065&gt;=20000,'中古車掲載'!O1065&lt;=50000,'中古車掲載'!AL1065=1),'中古車掲載'!U1065,"")</x:f>
      </x:c>
      <x:c r="BE1064" t="str">
        <x:f>IF(AND('中古車掲載'!C1065="One2car",'中古車掲載'!F1065="Corolla Cross",'中古車掲載'!L1065="HEV PREMIUM SAFETY",'中古車掲載'!J1065=2023,ISNUMBER('中古車掲載'!N1065),'中古車掲載'!N1065&gt;=20000,'中古車掲載'!O1065&lt;=50000,'中古車掲載'!AL1065=1,'中古車掲載'!Z1065="https://www.one2car.com/en/cars-for-sale/toyota/corolla-cross/year-2023"),'中古車掲載'!U1065,"")</x:f>
      </x:c>
      <x:c r="BF1064" t="str">
        <x:f>IF(AND('中古車掲載'!C1065="One2car",'中古車掲載'!F1065="Corolla Cross",'中古車掲載'!L1065="HEV PREMIUM",'中古車掲載'!J1065=2023,ISNUMBER('中古車掲載'!N1065),'中古車掲載'!N1065&gt;=20000,'中古車掲載'!O1065&lt;=100000,'中古車掲載'!AL1065=1,'中古車掲載'!Z1065="https://www.one2car.com/en/cars-for-sale/toyota/corolla-cross/year-2023"),'中古車掲載'!U1065,"")</x:f>
      </x:c>
      <x:c r="BG1064" t="str">
        <x:f>IF(AND('中古車掲載'!C1065="One2car",'中古車掲載'!F1065="Corolla Cross",'中古車掲載'!L1065="HEV GR SPORT",'中古車掲載'!J1065=2023,ISNUMBER('中古車掲載'!N1065),'中古車掲載'!N1065&gt;=20000,'中古車掲載'!O1065&lt;=100000,'中古車掲載'!AL1065=1,'中古車掲載'!Z1065="https://www.one2car.com/en/cars-for-sale/toyota/corolla-cross/year-2023"),'中古車掲載'!U1065,"")</x:f>
      </x:c>
      <x:c r="BH1064" t="str">
        <x:f>IF(AND('中古車掲載'!C1065="One2car",'中古車掲載'!F1065="DOLPHIN",'中古車掲載'!L1065="STANDARD RANGE",'中古車掲載'!J1065=2023,ISNUMBER('中古車掲載'!N1065),'中古車掲載'!N1065&gt;=20000,'中古車掲載'!O1065&lt;=100000,'中古車掲載'!AL1065=1),'中古車掲載'!U1065,"")</x:f>
      </x:c>
      <x:c r="BI1064" t="str">
        <x:v>Taladrod|Yaris Ativ|ICE|Unknown</x:v>
      </x:c>
      <x:c r="BJ1064" t="n">
        <x:v>1065</x:v>
      </x:c>
      <x:c r="BK1064" t="n">
        <x:f>'中古車掲載'!AM1065</x:f>
        <x:v>385000</x:v>
      </x:c>
      <x:c r="BL1064" t="str">
        <x:f>IF(ISNUMBER('中古車掲載'!AN1065),'中古車掲載'!AN1065,"")</x:f>
      </x:c>
    </x:row>
    <x:row r="1065">
      <x:c r="AZ1065" t="str">
        <x:f>IF(AND('中古車掲載'!C1066="One2car",'中古車掲載'!F1066="ATTO 3",'中古車掲載'!L1066="EXTENDED RANGE",'中古車掲載'!J1066=2023,ISNUMBER('中古車掲載'!N1066),'中古車掲載'!N1066&gt;=20000,'中古車掲載'!O1066&lt;=100000,'中古車掲載'!AL1066=1),'中古車掲載'!U1066,"")</x:f>
      </x:c>
      <x:c r="BA1065" t="str">
        <x:f>IF(AND('中古車掲載'!C1066="One2car",'中古車掲載'!F1066="Corolla Cross",'中古車掲載'!L1066="HEV PREMIUM SAFETY",'中古車掲載'!J1066=2023,ISNUMBER('中古車掲載'!N1066),'中古車掲載'!N1066&gt;=20000,'中古車掲載'!O1066&lt;=100000,'中古車掲載'!AL1066=1,'中古車掲載'!Z1066="https://www.one2car.com/en/cars-for-sale/toyota/corolla-cross/year-2023"),'中古車掲載'!U1066,"")</x:f>
      </x:c>
      <x:c r="BB1065" t="str">
        <x:f>IF(AND('中古車掲載'!C1066="One2car",'中古車掲載'!F1066="ATTO 3",'中古車掲載'!L1066="EXTENDED RANGE",'中古車掲載'!J1066=2023,ISNUMBER('中古車掲載'!N1066),'中古車掲載'!N1066&gt;=50000,'中古車掲載'!O1066&lt;=100000,'中古車掲載'!AL1066=1),'中古車掲載'!U1066,"")</x:f>
      </x:c>
      <x:c r="BC1065" t="str">
        <x:f>IF(AND('中古車掲載'!C1066="One2car",'中古車掲載'!F1066="Corolla Cross",'中古車掲載'!L1066="HEV PREMIUM SAFETY",'中古車掲載'!J1066=2023,ISNUMBER('中古車掲載'!N1066),'中古車掲載'!N1066&gt;=50000,'中古車掲載'!O1066&lt;=100000,'中古車掲載'!AL1066=1,'中古車掲載'!Z1066="https://www.one2car.com/en/cars-for-sale/toyota/corolla-cross/year-2023"),'中古車掲載'!U1066,"")</x:f>
      </x:c>
      <x:c r="BD1065" t="str">
        <x:f>IF(AND('中古車掲載'!C1066="One2car",'中古車掲載'!F1066="ATTO 3",'中古車掲載'!L1066="EXTENDED RANGE",'中古車掲載'!J1066=2023,ISNUMBER('中古車掲載'!N1066),'中古車掲載'!N1066&gt;=20000,'中古車掲載'!O1066&lt;=50000,'中古車掲載'!AL1066=1),'中古車掲載'!U1066,"")</x:f>
      </x:c>
      <x:c r="BE1065" t="str">
        <x:f>IF(AND('中古車掲載'!C1066="One2car",'中古車掲載'!F1066="Corolla Cross",'中古車掲載'!L1066="HEV PREMIUM SAFETY",'中古車掲載'!J1066=2023,ISNUMBER('中古車掲載'!N1066),'中古車掲載'!N1066&gt;=20000,'中古車掲載'!O1066&lt;=50000,'中古車掲載'!AL1066=1,'中古車掲載'!Z1066="https://www.one2car.com/en/cars-for-sale/toyota/corolla-cross/year-2023"),'中古車掲載'!U1066,"")</x:f>
      </x:c>
      <x:c r="BF1065" t="str">
        <x:f>IF(AND('中古車掲載'!C1066="One2car",'中古車掲載'!F1066="Corolla Cross",'中古車掲載'!L1066="HEV PREMIUM",'中古車掲載'!J1066=2023,ISNUMBER('中古車掲載'!N1066),'中古車掲載'!N1066&gt;=20000,'中古車掲載'!O1066&lt;=100000,'中古車掲載'!AL1066=1,'中古車掲載'!Z1066="https://www.one2car.com/en/cars-for-sale/toyota/corolla-cross/year-2023"),'中古車掲載'!U1066,"")</x:f>
      </x:c>
      <x:c r="BG1065" t="str">
        <x:f>IF(AND('中古車掲載'!C1066="One2car",'中古車掲載'!F1066="Corolla Cross",'中古車掲載'!L1066="HEV GR SPORT",'中古車掲載'!J1066=2023,ISNUMBER('中古車掲載'!N1066),'中古車掲載'!N1066&gt;=20000,'中古車掲載'!O1066&lt;=100000,'中古車掲載'!AL1066=1,'中古車掲載'!Z1066="https://www.one2car.com/en/cars-for-sale/toyota/corolla-cross/year-2023"),'中古車掲載'!U1066,"")</x:f>
      </x:c>
      <x:c r="BH1065" t="str">
        <x:f>IF(AND('中古車掲載'!C1066="One2car",'中古車掲載'!F1066="DOLPHIN",'中古車掲載'!L1066="STANDARD RANGE",'中古車掲載'!J1066=2023,ISNUMBER('中古車掲載'!N1066),'中古車掲載'!N1066&gt;=20000,'中古車掲載'!O1066&lt;=100000,'中古車掲載'!AL1066=1),'中古車掲載'!U1066,"")</x:f>
      </x:c>
      <x:c r="BI1065" t="str">
        <x:v>Taladrod|Yaris Ativ|ICE|Unknown</x:v>
      </x:c>
      <x:c r="BJ1065" t="n">
        <x:v>1066</x:v>
      </x:c>
      <x:c r="BK1065" t="n">
        <x:f>'中古車掲載'!AM1066</x:f>
        <x:v>385000</x:v>
      </x:c>
      <x:c r="BL1065" t="str">
        <x:f>IF(ISNUMBER('中古車掲載'!AN1066),'中古車掲載'!AN1066,"")</x:f>
      </x:c>
    </x:row>
    <x:row r="1066">
      <x:c r="AZ1066" t="str">
        <x:f>IF(AND('中古車掲載'!C1067="One2car",'中古車掲載'!F1067="ATTO 3",'中古車掲載'!L1067="EXTENDED RANGE",'中古車掲載'!J1067=2023,ISNUMBER('中古車掲載'!N1067),'中古車掲載'!N1067&gt;=20000,'中古車掲載'!O1067&lt;=100000,'中古車掲載'!AL1067=1),'中古車掲載'!U1067,"")</x:f>
      </x:c>
      <x:c r="BA1066" t="str">
        <x:f>IF(AND('中古車掲載'!C1067="One2car",'中古車掲載'!F1067="Corolla Cross",'中古車掲載'!L1067="HEV PREMIUM SAFETY",'中古車掲載'!J1067=2023,ISNUMBER('中古車掲載'!N1067),'中古車掲載'!N1067&gt;=20000,'中古車掲載'!O1067&lt;=100000,'中古車掲載'!AL1067=1,'中古車掲載'!Z1067="https://www.one2car.com/en/cars-for-sale/toyota/corolla-cross/year-2023"),'中古車掲載'!U1067,"")</x:f>
      </x:c>
      <x:c r="BB1066" t="str">
        <x:f>IF(AND('中古車掲載'!C1067="One2car",'中古車掲載'!F1067="ATTO 3",'中古車掲載'!L1067="EXTENDED RANGE",'中古車掲載'!J1067=2023,ISNUMBER('中古車掲載'!N1067),'中古車掲載'!N1067&gt;=50000,'中古車掲載'!O1067&lt;=100000,'中古車掲載'!AL1067=1),'中古車掲載'!U1067,"")</x:f>
      </x:c>
      <x:c r="BC1066" t="str">
        <x:f>IF(AND('中古車掲載'!C1067="One2car",'中古車掲載'!F1067="Corolla Cross",'中古車掲載'!L1067="HEV PREMIUM SAFETY",'中古車掲載'!J1067=2023,ISNUMBER('中古車掲載'!N1067),'中古車掲載'!N1067&gt;=50000,'中古車掲載'!O1067&lt;=100000,'中古車掲載'!AL1067=1,'中古車掲載'!Z1067="https://www.one2car.com/en/cars-for-sale/toyota/corolla-cross/year-2023"),'中古車掲載'!U1067,"")</x:f>
      </x:c>
      <x:c r="BD1066" t="str">
        <x:f>IF(AND('中古車掲載'!C1067="One2car",'中古車掲載'!F1067="ATTO 3",'中古車掲載'!L1067="EXTENDED RANGE",'中古車掲載'!J1067=2023,ISNUMBER('中古車掲載'!N1067),'中古車掲載'!N1067&gt;=20000,'中古車掲載'!O1067&lt;=50000,'中古車掲載'!AL1067=1),'中古車掲載'!U1067,"")</x:f>
      </x:c>
      <x:c r="BE1066" t="str">
        <x:f>IF(AND('中古車掲載'!C1067="One2car",'中古車掲載'!F1067="Corolla Cross",'中古車掲載'!L1067="HEV PREMIUM SAFETY",'中古車掲載'!J1067=2023,ISNUMBER('中古車掲載'!N1067),'中古車掲載'!N1067&gt;=20000,'中古車掲載'!O1067&lt;=50000,'中古車掲載'!AL1067=1,'中古車掲載'!Z1067="https://www.one2car.com/en/cars-for-sale/toyota/corolla-cross/year-2023"),'中古車掲載'!U1067,"")</x:f>
      </x:c>
      <x:c r="BF1066" t="str">
        <x:f>IF(AND('中古車掲載'!C1067="One2car",'中古車掲載'!F1067="Corolla Cross",'中古車掲載'!L1067="HEV PREMIUM",'中古車掲載'!J1067=2023,ISNUMBER('中古車掲載'!N1067),'中古車掲載'!N1067&gt;=20000,'中古車掲載'!O1067&lt;=100000,'中古車掲載'!AL1067=1,'中古車掲載'!Z1067="https://www.one2car.com/en/cars-for-sale/toyota/corolla-cross/year-2023"),'中古車掲載'!U1067,"")</x:f>
      </x:c>
      <x:c r="BG1066" t="str">
        <x:f>IF(AND('中古車掲載'!C1067="One2car",'中古車掲載'!F1067="Corolla Cross",'中古車掲載'!L1067="HEV GR SPORT",'中古車掲載'!J1067=2023,ISNUMBER('中古車掲載'!N1067),'中古車掲載'!N1067&gt;=20000,'中古車掲載'!O1067&lt;=100000,'中古車掲載'!AL1067=1,'中古車掲載'!Z1067="https://www.one2car.com/en/cars-for-sale/toyota/corolla-cross/year-2023"),'中古車掲載'!U1067,"")</x:f>
      </x:c>
      <x:c r="BH1066" t="str">
        <x:f>IF(AND('中古車掲載'!C1067="One2car",'中古車掲載'!F1067="DOLPHIN",'中古車掲載'!L1067="STANDARD RANGE",'中古車掲載'!J1067=2023,ISNUMBER('中古車掲載'!N1067),'中古車掲載'!N1067&gt;=20000,'中古車掲載'!O1067&lt;=100000,'中古車掲載'!AL1067=1),'中古車掲載'!U1067,"")</x:f>
      </x:c>
      <x:c r="BI1066" t="str">
        <x:v>Taladrod|Yaris Ativ|ICE|Unknown</x:v>
      </x:c>
      <x:c r="BJ1066" t="n">
        <x:v>1067</x:v>
      </x:c>
      <x:c r="BK1066" t="n">
        <x:f>'中古車掲載'!AM1067</x:f>
        <x:v>385000</x:v>
      </x:c>
      <x:c r="BL1066" t="str">
        <x:f>IF(ISNUMBER('中古車掲載'!AN1067),'中古車掲載'!AN1067,"")</x:f>
      </x:c>
    </x:row>
    <x:row r="1067">
      <x:c r="AZ1067" t="str">
        <x:f>IF(AND('中古車掲載'!C1068="One2car",'中古車掲載'!F1068="ATTO 3",'中古車掲載'!L1068="EXTENDED RANGE",'中古車掲載'!J1068=2023,ISNUMBER('中古車掲載'!N1068),'中古車掲載'!N1068&gt;=20000,'中古車掲載'!O1068&lt;=100000,'中古車掲載'!AL1068=1),'中古車掲載'!U1068,"")</x:f>
      </x:c>
      <x:c r="BA1067" t="str">
        <x:f>IF(AND('中古車掲載'!C1068="One2car",'中古車掲載'!F1068="Corolla Cross",'中古車掲載'!L1068="HEV PREMIUM SAFETY",'中古車掲載'!J1068=2023,ISNUMBER('中古車掲載'!N1068),'中古車掲載'!N1068&gt;=20000,'中古車掲載'!O1068&lt;=100000,'中古車掲載'!AL1068=1,'中古車掲載'!Z1068="https://www.one2car.com/en/cars-for-sale/toyota/corolla-cross/year-2023"),'中古車掲載'!U1068,"")</x:f>
      </x:c>
      <x:c r="BB1067" t="str">
        <x:f>IF(AND('中古車掲載'!C1068="One2car",'中古車掲載'!F1068="ATTO 3",'中古車掲載'!L1068="EXTENDED RANGE",'中古車掲載'!J1068=2023,ISNUMBER('中古車掲載'!N1068),'中古車掲載'!N1068&gt;=50000,'中古車掲載'!O1068&lt;=100000,'中古車掲載'!AL1068=1),'中古車掲載'!U1068,"")</x:f>
      </x:c>
      <x:c r="BC1067" t="str">
        <x:f>IF(AND('中古車掲載'!C1068="One2car",'中古車掲載'!F1068="Corolla Cross",'中古車掲載'!L1068="HEV PREMIUM SAFETY",'中古車掲載'!J1068=2023,ISNUMBER('中古車掲載'!N1068),'中古車掲載'!N1068&gt;=50000,'中古車掲載'!O1068&lt;=100000,'中古車掲載'!AL1068=1,'中古車掲載'!Z1068="https://www.one2car.com/en/cars-for-sale/toyota/corolla-cross/year-2023"),'中古車掲載'!U1068,"")</x:f>
      </x:c>
      <x:c r="BD1067" t="str">
        <x:f>IF(AND('中古車掲載'!C1068="One2car",'中古車掲載'!F1068="ATTO 3",'中古車掲載'!L1068="EXTENDED RANGE",'中古車掲載'!J1068=2023,ISNUMBER('中古車掲載'!N1068),'中古車掲載'!N1068&gt;=20000,'中古車掲載'!O1068&lt;=50000,'中古車掲載'!AL1068=1),'中古車掲載'!U1068,"")</x:f>
      </x:c>
      <x:c r="BE1067" t="str">
        <x:f>IF(AND('中古車掲載'!C1068="One2car",'中古車掲載'!F1068="Corolla Cross",'中古車掲載'!L1068="HEV PREMIUM SAFETY",'中古車掲載'!J1068=2023,ISNUMBER('中古車掲載'!N1068),'中古車掲載'!N1068&gt;=20000,'中古車掲載'!O1068&lt;=50000,'中古車掲載'!AL1068=1,'中古車掲載'!Z1068="https://www.one2car.com/en/cars-for-sale/toyota/corolla-cross/year-2023"),'中古車掲載'!U1068,"")</x:f>
      </x:c>
      <x:c r="BF1067" t="str">
        <x:f>IF(AND('中古車掲載'!C1068="One2car",'中古車掲載'!F1068="Corolla Cross",'中古車掲載'!L1068="HEV PREMIUM",'中古車掲載'!J1068=2023,ISNUMBER('中古車掲載'!N1068),'中古車掲載'!N1068&gt;=20000,'中古車掲載'!O1068&lt;=100000,'中古車掲載'!AL1068=1,'中古車掲載'!Z1068="https://www.one2car.com/en/cars-for-sale/toyota/corolla-cross/year-2023"),'中古車掲載'!U1068,"")</x:f>
      </x:c>
      <x:c r="BG1067" t="str">
        <x:f>IF(AND('中古車掲載'!C1068="One2car",'中古車掲載'!F1068="Corolla Cross",'中古車掲載'!L1068="HEV GR SPORT",'中古車掲載'!J1068=2023,ISNUMBER('中古車掲載'!N1068),'中古車掲載'!N1068&gt;=20000,'中古車掲載'!O1068&lt;=100000,'中古車掲載'!AL1068=1,'中古車掲載'!Z1068="https://www.one2car.com/en/cars-for-sale/toyota/corolla-cross/year-2023"),'中古車掲載'!U1068,"")</x:f>
      </x:c>
      <x:c r="BH1067" t="str">
        <x:f>IF(AND('中古車掲載'!C1068="One2car",'中古車掲載'!F1068="DOLPHIN",'中古車掲載'!L1068="STANDARD RANGE",'中古車掲載'!J1068=2023,ISNUMBER('中古車掲載'!N1068),'中古車掲載'!N1068&gt;=20000,'中古車掲載'!O1068&lt;=100000,'中古車掲載'!AL1068=1),'中古車掲載'!U1068,"")</x:f>
      </x:c>
      <x:c r="BI1067" t="str">
        <x:v>Taladrod|Yaris Ativ|ICE|Unknown</x:v>
      </x:c>
      <x:c r="BJ1067" t="n">
        <x:v>1068</x:v>
      </x:c>
      <x:c r="BK1067" t="n">
        <x:f>'中古車掲載'!AM1068</x:f>
        <x:v>385000</x:v>
      </x:c>
      <x:c r="BL1067" t="str">
        <x:f>IF(ISNUMBER('中古車掲載'!AN1068),'中古車掲載'!AN1068,"")</x:f>
      </x:c>
    </x:row>
    <x:row r="1068">
      <x:c r="AZ1068" t="str">
        <x:f>IF(AND('中古車掲載'!C1069="One2car",'中古車掲載'!F1069="ATTO 3",'中古車掲載'!L1069="EXTENDED RANGE",'中古車掲載'!J1069=2023,ISNUMBER('中古車掲載'!N1069),'中古車掲載'!N1069&gt;=20000,'中古車掲載'!O1069&lt;=100000,'中古車掲載'!AL1069=1),'中古車掲載'!U1069,"")</x:f>
      </x:c>
      <x:c r="BA1068" t="str">
        <x:f>IF(AND('中古車掲載'!C1069="One2car",'中古車掲載'!F1069="Corolla Cross",'中古車掲載'!L1069="HEV PREMIUM SAFETY",'中古車掲載'!J1069=2023,ISNUMBER('中古車掲載'!N1069),'中古車掲載'!N1069&gt;=20000,'中古車掲載'!O1069&lt;=100000,'中古車掲載'!AL1069=1,'中古車掲載'!Z1069="https://www.one2car.com/en/cars-for-sale/toyota/corolla-cross/year-2023"),'中古車掲載'!U1069,"")</x:f>
      </x:c>
      <x:c r="BB1068" t="str">
        <x:f>IF(AND('中古車掲載'!C1069="One2car",'中古車掲載'!F1069="ATTO 3",'中古車掲載'!L1069="EXTENDED RANGE",'中古車掲載'!J1069=2023,ISNUMBER('中古車掲載'!N1069),'中古車掲載'!N1069&gt;=50000,'中古車掲載'!O1069&lt;=100000,'中古車掲載'!AL1069=1),'中古車掲載'!U1069,"")</x:f>
      </x:c>
      <x:c r="BC1068" t="str">
        <x:f>IF(AND('中古車掲載'!C1069="One2car",'中古車掲載'!F1069="Corolla Cross",'中古車掲載'!L1069="HEV PREMIUM SAFETY",'中古車掲載'!J1069=2023,ISNUMBER('中古車掲載'!N1069),'中古車掲載'!N1069&gt;=50000,'中古車掲載'!O1069&lt;=100000,'中古車掲載'!AL1069=1,'中古車掲載'!Z1069="https://www.one2car.com/en/cars-for-sale/toyota/corolla-cross/year-2023"),'中古車掲載'!U1069,"")</x:f>
      </x:c>
      <x:c r="BD1068" t="str">
        <x:f>IF(AND('中古車掲載'!C1069="One2car",'中古車掲載'!F1069="ATTO 3",'中古車掲載'!L1069="EXTENDED RANGE",'中古車掲載'!J1069=2023,ISNUMBER('中古車掲載'!N1069),'中古車掲載'!N1069&gt;=20000,'中古車掲載'!O1069&lt;=50000,'中古車掲載'!AL1069=1),'中古車掲載'!U1069,"")</x:f>
      </x:c>
      <x:c r="BE1068" t="str">
        <x:f>IF(AND('中古車掲載'!C1069="One2car",'中古車掲載'!F1069="Corolla Cross",'中古車掲載'!L1069="HEV PREMIUM SAFETY",'中古車掲載'!J1069=2023,ISNUMBER('中古車掲載'!N1069),'中古車掲載'!N1069&gt;=20000,'中古車掲載'!O1069&lt;=50000,'中古車掲載'!AL1069=1,'中古車掲載'!Z1069="https://www.one2car.com/en/cars-for-sale/toyota/corolla-cross/year-2023"),'中古車掲載'!U1069,"")</x:f>
      </x:c>
      <x:c r="BF1068" t="str">
        <x:f>IF(AND('中古車掲載'!C1069="One2car",'中古車掲載'!F1069="Corolla Cross",'中古車掲載'!L1069="HEV PREMIUM",'中古車掲載'!J1069=2023,ISNUMBER('中古車掲載'!N1069),'中古車掲載'!N1069&gt;=20000,'中古車掲載'!O1069&lt;=100000,'中古車掲載'!AL1069=1,'中古車掲載'!Z1069="https://www.one2car.com/en/cars-for-sale/toyota/corolla-cross/year-2023"),'中古車掲載'!U1069,"")</x:f>
      </x:c>
      <x:c r="BG1068" t="str">
        <x:f>IF(AND('中古車掲載'!C1069="One2car",'中古車掲載'!F1069="Corolla Cross",'中古車掲載'!L1069="HEV GR SPORT",'中古車掲載'!J1069=2023,ISNUMBER('中古車掲載'!N1069),'中古車掲載'!N1069&gt;=20000,'中古車掲載'!O1069&lt;=100000,'中古車掲載'!AL1069=1,'中古車掲載'!Z1069="https://www.one2car.com/en/cars-for-sale/toyota/corolla-cross/year-2023"),'中古車掲載'!U1069,"")</x:f>
      </x:c>
      <x:c r="BH1068" t="str">
        <x:f>IF(AND('中古車掲載'!C1069="One2car",'中古車掲載'!F1069="DOLPHIN",'中古車掲載'!L1069="STANDARD RANGE",'中古車掲載'!J1069=2023,ISNUMBER('中古車掲載'!N1069),'中古車掲載'!N1069&gt;=20000,'中古車掲載'!O1069&lt;=100000,'中古車掲載'!AL1069=1),'中古車掲載'!U1069,"")</x:f>
      </x:c>
      <x:c r="BI1068" t="str">
        <x:v>Taladrod|Yaris Ativ|ICE|Unknown</x:v>
      </x:c>
      <x:c r="BJ1068" t="n">
        <x:v>1069</x:v>
      </x:c>
      <x:c r="BK1068" t="n">
        <x:f>'中古車掲載'!AM1069</x:f>
        <x:v>469000</x:v>
      </x:c>
      <x:c r="BL1068" t="str">
        <x:f>IF(ISNUMBER('中古車掲載'!AN1069),'中古車掲載'!AN1069,"")</x:f>
      </x:c>
    </x:row>
    <x:row r="1069">
      <x:c r="AZ1069" t="str">
        <x:f>IF(AND('中古車掲載'!C1070="One2car",'中古車掲載'!F1070="ATTO 3",'中古車掲載'!L1070="EXTENDED RANGE",'中古車掲載'!J1070=2023,ISNUMBER('中古車掲載'!N1070),'中古車掲載'!N1070&gt;=20000,'中古車掲載'!O1070&lt;=100000,'中古車掲載'!AL1070=1),'中古車掲載'!U1070,"")</x:f>
      </x:c>
      <x:c r="BA1069" t="str">
        <x:f>IF(AND('中古車掲載'!C1070="One2car",'中古車掲載'!F1070="Corolla Cross",'中古車掲載'!L1070="HEV PREMIUM SAFETY",'中古車掲載'!J1070=2023,ISNUMBER('中古車掲載'!N1070),'中古車掲載'!N1070&gt;=20000,'中古車掲載'!O1070&lt;=100000,'中古車掲載'!AL1070=1,'中古車掲載'!Z1070="https://www.one2car.com/en/cars-for-sale/toyota/corolla-cross/year-2023"),'中古車掲載'!U1070,"")</x:f>
      </x:c>
      <x:c r="BB1069" t="str">
        <x:f>IF(AND('中古車掲載'!C1070="One2car",'中古車掲載'!F1070="ATTO 3",'中古車掲載'!L1070="EXTENDED RANGE",'中古車掲載'!J1070=2023,ISNUMBER('中古車掲載'!N1070),'中古車掲載'!N1070&gt;=50000,'中古車掲載'!O1070&lt;=100000,'中古車掲載'!AL1070=1),'中古車掲載'!U1070,"")</x:f>
      </x:c>
      <x:c r="BC1069" t="str">
        <x:f>IF(AND('中古車掲載'!C1070="One2car",'中古車掲載'!F1070="Corolla Cross",'中古車掲載'!L1070="HEV PREMIUM SAFETY",'中古車掲載'!J1070=2023,ISNUMBER('中古車掲載'!N1070),'中古車掲載'!N1070&gt;=50000,'中古車掲載'!O1070&lt;=100000,'中古車掲載'!AL1070=1,'中古車掲載'!Z1070="https://www.one2car.com/en/cars-for-sale/toyota/corolla-cross/year-2023"),'中古車掲載'!U1070,"")</x:f>
      </x:c>
      <x:c r="BD1069" t="str">
        <x:f>IF(AND('中古車掲載'!C1070="One2car",'中古車掲載'!F1070="ATTO 3",'中古車掲載'!L1070="EXTENDED RANGE",'中古車掲載'!J1070=2023,ISNUMBER('中古車掲載'!N1070),'中古車掲載'!N1070&gt;=20000,'中古車掲載'!O1070&lt;=50000,'中古車掲載'!AL1070=1),'中古車掲載'!U1070,"")</x:f>
      </x:c>
      <x:c r="BE1069" t="str">
        <x:f>IF(AND('中古車掲載'!C1070="One2car",'中古車掲載'!F1070="Corolla Cross",'中古車掲載'!L1070="HEV PREMIUM SAFETY",'中古車掲載'!J1070=2023,ISNUMBER('中古車掲載'!N1070),'中古車掲載'!N1070&gt;=20000,'中古車掲載'!O1070&lt;=50000,'中古車掲載'!AL1070=1,'中古車掲載'!Z1070="https://www.one2car.com/en/cars-for-sale/toyota/corolla-cross/year-2023"),'中古車掲載'!U1070,"")</x:f>
      </x:c>
      <x:c r="BF1069" t="str">
        <x:f>IF(AND('中古車掲載'!C1070="One2car",'中古車掲載'!F1070="Corolla Cross",'中古車掲載'!L1070="HEV PREMIUM",'中古車掲載'!J1070=2023,ISNUMBER('中古車掲載'!N1070),'中古車掲載'!N1070&gt;=20000,'中古車掲載'!O1070&lt;=100000,'中古車掲載'!AL1070=1,'中古車掲載'!Z1070="https://www.one2car.com/en/cars-for-sale/toyota/corolla-cross/year-2023"),'中古車掲載'!U1070,"")</x:f>
      </x:c>
      <x:c r="BG1069" t="str">
        <x:f>IF(AND('中古車掲載'!C1070="One2car",'中古車掲載'!F1070="Corolla Cross",'中古車掲載'!L1070="HEV GR SPORT",'中古車掲載'!J1070=2023,ISNUMBER('中古車掲載'!N1070),'中古車掲載'!N1070&gt;=20000,'中古車掲載'!O1070&lt;=100000,'中古車掲載'!AL1070=1,'中古車掲載'!Z1070="https://www.one2car.com/en/cars-for-sale/toyota/corolla-cross/year-2023"),'中古車掲載'!U1070,"")</x:f>
      </x:c>
      <x:c r="BH1069" t="str">
        <x:f>IF(AND('中古車掲載'!C1070="One2car",'中古車掲載'!F1070="DOLPHIN",'中古車掲載'!L1070="STANDARD RANGE",'中古車掲載'!J1070=2023,ISNUMBER('中古車掲載'!N1070),'中古車掲載'!N1070&gt;=20000,'中古車掲載'!O1070&lt;=100000,'中古車掲載'!AL1070=1),'中古車掲載'!U1070,"")</x:f>
      </x:c>
      <x:c r="BI1069" t="str">
        <x:v>Taladrod|Yaris Ativ|ICE|Unknown</x:v>
      </x:c>
      <x:c r="BJ1069" t="n">
        <x:v>1070</x:v>
      </x:c>
      <x:c r="BK1069" t="n">
        <x:f>'中古車掲載'!AM1070</x:f>
        <x:v>546000</x:v>
      </x:c>
      <x:c r="BL1069" t="str">
        <x:f>IF(ISNUMBER('中古車掲載'!AN1070),'中古車掲載'!AN1070,"")</x:f>
      </x:c>
    </x:row>
    <x:row r="1070">
      <x:c r="AZ1070" t="str">
        <x:f>IF(AND('中古車掲載'!C1071="One2car",'中古車掲載'!F1071="ATTO 3",'中古車掲載'!L1071="EXTENDED RANGE",'中古車掲載'!J1071=2023,ISNUMBER('中古車掲載'!N1071),'中古車掲載'!N1071&gt;=20000,'中古車掲載'!O1071&lt;=100000,'中古車掲載'!AL1071=1),'中古車掲載'!U1071,"")</x:f>
      </x:c>
      <x:c r="BA1070" t="str">
        <x:f>IF(AND('中古車掲載'!C1071="One2car",'中古車掲載'!F1071="Corolla Cross",'中古車掲載'!L1071="HEV PREMIUM SAFETY",'中古車掲載'!J1071=2023,ISNUMBER('中古車掲載'!N1071),'中古車掲載'!N1071&gt;=20000,'中古車掲載'!O1071&lt;=100000,'中古車掲載'!AL1071=1,'中古車掲載'!Z1071="https://www.one2car.com/en/cars-for-sale/toyota/corolla-cross/year-2023"),'中古車掲載'!U1071,"")</x:f>
      </x:c>
      <x:c r="BB1070" t="str">
        <x:f>IF(AND('中古車掲載'!C1071="One2car",'中古車掲載'!F1071="ATTO 3",'中古車掲載'!L1071="EXTENDED RANGE",'中古車掲載'!J1071=2023,ISNUMBER('中古車掲載'!N1071),'中古車掲載'!N1071&gt;=50000,'中古車掲載'!O1071&lt;=100000,'中古車掲載'!AL1071=1),'中古車掲載'!U1071,"")</x:f>
      </x:c>
      <x:c r="BC1070" t="str">
        <x:f>IF(AND('中古車掲載'!C1071="One2car",'中古車掲載'!F1071="Corolla Cross",'中古車掲載'!L1071="HEV PREMIUM SAFETY",'中古車掲載'!J1071=2023,ISNUMBER('中古車掲載'!N1071),'中古車掲載'!N1071&gt;=50000,'中古車掲載'!O1071&lt;=100000,'中古車掲載'!AL1071=1,'中古車掲載'!Z1071="https://www.one2car.com/en/cars-for-sale/toyota/corolla-cross/year-2023"),'中古車掲載'!U1071,"")</x:f>
      </x:c>
      <x:c r="BD1070" t="str">
        <x:f>IF(AND('中古車掲載'!C1071="One2car",'中古車掲載'!F1071="ATTO 3",'中古車掲載'!L1071="EXTENDED RANGE",'中古車掲載'!J1071=2023,ISNUMBER('中古車掲載'!N1071),'中古車掲載'!N1071&gt;=20000,'中古車掲載'!O1071&lt;=50000,'中古車掲載'!AL1071=1),'中古車掲載'!U1071,"")</x:f>
      </x:c>
      <x:c r="BE1070" t="str">
        <x:f>IF(AND('中古車掲載'!C1071="One2car",'中古車掲載'!F1071="Corolla Cross",'中古車掲載'!L1071="HEV PREMIUM SAFETY",'中古車掲載'!J1071=2023,ISNUMBER('中古車掲載'!N1071),'中古車掲載'!N1071&gt;=20000,'中古車掲載'!O1071&lt;=50000,'中古車掲載'!AL1071=1,'中古車掲載'!Z1071="https://www.one2car.com/en/cars-for-sale/toyota/corolla-cross/year-2023"),'中古車掲載'!U1071,"")</x:f>
      </x:c>
      <x:c r="BF1070" t="str">
        <x:f>IF(AND('中古車掲載'!C1071="One2car",'中古車掲載'!F1071="Corolla Cross",'中古車掲載'!L1071="HEV PREMIUM",'中古車掲載'!J1071=2023,ISNUMBER('中古車掲載'!N1071),'中古車掲載'!N1071&gt;=20000,'中古車掲載'!O1071&lt;=100000,'中古車掲載'!AL1071=1,'中古車掲載'!Z1071="https://www.one2car.com/en/cars-for-sale/toyota/corolla-cross/year-2023"),'中古車掲載'!U1071,"")</x:f>
      </x:c>
      <x:c r="BG1070" t="str">
        <x:f>IF(AND('中古車掲載'!C1071="One2car",'中古車掲載'!F1071="Corolla Cross",'中古車掲載'!L1071="HEV GR SPORT",'中古車掲載'!J1071=2023,ISNUMBER('中古車掲載'!N1071),'中古車掲載'!N1071&gt;=20000,'中古車掲載'!O1071&lt;=100000,'中古車掲載'!AL1071=1,'中古車掲載'!Z1071="https://www.one2car.com/en/cars-for-sale/toyota/corolla-cross/year-2023"),'中古車掲載'!U1071,"")</x:f>
      </x:c>
      <x:c r="BH1070" t="str">
        <x:f>IF(AND('中古車掲載'!C1071="One2car",'中古車掲載'!F1071="DOLPHIN",'中古車掲載'!L1071="STANDARD RANGE",'中古車掲載'!J1071=2023,ISNUMBER('中古車掲載'!N1071),'中古車掲載'!N1071&gt;=20000,'中古車掲載'!O1071&lt;=100000,'中古車掲載'!AL1071=1),'中古車掲載'!U1071,"")</x:f>
      </x:c>
      <x:c r="BI1070" t="str">
        <x:v>Taladrod|Yaris Ativ|ICE|Unknown</x:v>
      </x:c>
      <x:c r="BJ1070" t="n">
        <x:v>1071</x:v>
      </x:c>
      <x:c r="BK1070" t="n">
        <x:f>'中古車掲載'!AM1071</x:f>
        <x:v>475000</x:v>
      </x:c>
      <x:c r="BL1070" t="str">
        <x:f>IF(ISNUMBER('中古車掲載'!AN1071),'中古車掲載'!AN1071,"")</x:f>
      </x:c>
    </x:row>
    <x:row r="1071">
      <x:c r="AZ1071" t="str">
        <x:f>IF(AND('中古車掲載'!C1072="One2car",'中古車掲載'!F1072="ATTO 3",'中古車掲載'!L1072="EXTENDED RANGE",'中古車掲載'!J1072=2023,ISNUMBER('中古車掲載'!N1072),'中古車掲載'!N1072&gt;=20000,'中古車掲載'!O1072&lt;=100000,'中古車掲載'!AL1072=1),'中古車掲載'!U1072,"")</x:f>
      </x:c>
      <x:c r="BA1071" t="str">
        <x:f>IF(AND('中古車掲載'!C1072="One2car",'中古車掲載'!F1072="Corolla Cross",'中古車掲載'!L1072="HEV PREMIUM SAFETY",'中古車掲載'!J1072=2023,ISNUMBER('中古車掲載'!N1072),'中古車掲載'!N1072&gt;=20000,'中古車掲載'!O1072&lt;=100000,'中古車掲載'!AL1072=1,'中古車掲載'!Z1072="https://www.one2car.com/en/cars-for-sale/toyota/corolla-cross/year-2023"),'中古車掲載'!U1072,"")</x:f>
      </x:c>
      <x:c r="BB1071" t="str">
        <x:f>IF(AND('中古車掲載'!C1072="One2car",'中古車掲載'!F1072="ATTO 3",'中古車掲載'!L1072="EXTENDED RANGE",'中古車掲載'!J1072=2023,ISNUMBER('中古車掲載'!N1072),'中古車掲載'!N1072&gt;=50000,'中古車掲載'!O1072&lt;=100000,'中古車掲載'!AL1072=1),'中古車掲載'!U1072,"")</x:f>
      </x:c>
      <x:c r="BC1071" t="str">
        <x:f>IF(AND('中古車掲載'!C1072="One2car",'中古車掲載'!F1072="Corolla Cross",'中古車掲載'!L1072="HEV PREMIUM SAFETY",'中古車掲載'!J1072=2023,ISNUMBER('中古車掲載'!N1072),'中古車掲載'!N1072&gt;=50000,'中古車掲載'!O1072&lt;=100000,'中古車掲載'!AL1072=1,'中古車掲載'!Z1072="https://www.one2car.com/en/cars-for-sale/toyota/corolla-cross/year-2023"),'中古車掲載'!U1072,"")</x:f>
      </x:c>
      <x:c r="BD1071" t="str">
        <x:f>IF(AND('中古車掲載'!C1072="One2car",'中古車掲載'!F1072="ATTO 3",'中古車掲載'!L1072="EXTENDED RANGE",'中古車掲載'!J1072=2023,ISNUMBER('中古車掲載'!N1072),'中古車掲載'!N1072&gt;=20000,'中古車掲載'!O1072&lt;=50000,'中古車掲載'!AL1072=1),'中古車掲載'!U1072,"")</x:f>
      </x:c>
      <x:c r="BE1071" t="str">
        <x:f>IF(AND('中古車掲載'!C1072="One2car",'中古車掲載'!F1072="Corolla Cross",'中古車掲載'!L1072="HEV PREMIUM SAFETY",'中古車掲載'!J1072=2023,ISNUMBER('中古車掲載'!N1072),'中古車掲載'!N1072&gt;=20000,'中古車掲載'!O1072&lt;=50000,'中古車掲載'!AL1072=1,'中古車掲載'!Z1072="https://www.one2car.com/en/cars-for-sale/toyota/corolla-cross/year-2023"),'中古車掲載'!U1072,"")</x:f>
      </x:c>
      <x:c r="BF1071" t="str">
        <x:f>IF(AND('中古車掲載'!C1072="One2car",'中古車掲載'!F1072="Corolla Cross",'中古車掲載'!L1072="HEV PREMIUM",'中古車掲載'!J1072=2023,ISNUMBER('中古車掲載'!N1072),'中古車掲載'!N1072&gt;=20000,'中古車掲載'!O1072&lt;=100000,'中古車掲載'!AL1072=1,'中古車掲載'!Z1072="https://www.one2car.com/en/cars-for-sale/toyota/corolla-cross/year-2023"),'中古車掲載'!U1072,"")</x:f>
      </x:c>
      <x:c r="BG1071" t="str">
        <x:f>IF(AND('中古車掲載'!C1072="One2car",'中古車掲載'!F1072="Corolla Cross",'中古車掲載'!L1072="HEV GR SPORT",'中古車掲載'!J1072=2023,ISNUMBER('中古車掲載'!N1072),'中古車掲載'!N1072&gt;=20000,'中古車掲載'!O1072&lt;=100000,'中古車掲載'!AL1072=1,'中古車掲載'!Z1072="https://www.one2car.com/en/cars-for-sale/toyota/corolla-cross/year-2023"),'中古車掲載'!U1072,"")</x:f>
      </x:c>
      <x:c r="BH1071" t="str">
        <x:f>IF(AND('中古車掲載'!C1072="One2car",'中古車掲載'!F1072="DOLPHIN",'中古車掲載'!L1072="STANDARD RANGE",'中古車掲載'!J1072=2023,ISNUMBER('中古車掲載'!N1072),'中古車掲載'!N1072&gt;=20000,'中古車掲載'!O1072&lt;=100000,'中古車掲載'!AL1072=1),'中古車掲載'!U1072,"")</x:f>
      </x:c>
      <x:c r="BI1071" t="str">
        <x:v>Taladrod|Yaris Ativ|ICE|Unknown</x:v>
      </x:c>
      <x:c r="BJ1071" t="n">
        <x:v>1072</x:v>
      </x:c>
      <x:c r="BK1071" t="n">
        <x:f>'中古車掲載'!AM1072</x:f>
        <x:v>469000</x:v>
      </x:c>
      <x:c r="BL1071" t="str">
        <x:f>IF(ISNUMBER('中古車掲載'!AN1072),'中古車掲載'!AN1072,"")</x:f>
      </x:c>
    </x:row>
    <x:row r="1072">
      <x:c r="AZ1072" t="str">
        <x:f>IF(AND('中古車掲載'!C1073="One2car",'中古車掲載'!F1073="ATTO 3",'中古車掲載'!L1073="EXTENDED RANGE",'中古車掲載'!J1073=2023,ISNUMBER('中古車掲載'!N1073),'中古車掲載'!N1073&gt;=20000,'中古車掲載'!O1073&lt;=100000,'中古車掲載'!AL1073=1),'中古車掲載'!U1073,"")</x:f>
      </x:c>
      <x:c r="BA1072" t="str">
        <x:f>IF(AND('中古車掲載'!C1073="One2car",'中古車掲載'!F1073="Corolla Cross",'中古車掲載'!L1073="HEV PREMIUM SAFETY",'中古車掲載'!J1073=2023,ISNUMBER('中古車掲載'!N1073),'中古車掲載'!N1073&gt;=20000,'中古車掲載'!O1073&lt;=100000,'中古車掲載'!AL1073=1,'中古車掲載'!Z1073="https://www.one2car.com/en/cars-for-sale/toyota/corolla-cross/year-2023"),'中古車掲載'!U1073,"")</x:f>
      </x:c>
      <x:c r="BB1072" t="str">
        <x:f>IF(AND('中古車掲載'!C1073="One2car",'中古車掲載'!F1073="ATTO 3",'中古車掲載'!L1073="EXTENDED RANGE",'中古車掲載'!J1073=2023,ISNUMBER('中古車掲載'!N1073),'中古車掲載'!N1073&gt;=50000,'中古車掲載'!O1073&lt;=100000,'中古車掲載'!AL1073=1),'中古車掲載'!U1073,"")</x:f>
      </x:c>
      <x:c r="BC1072" t="str">
        <x:f>IF(AND('中古車掲載'!C1073="One2car",'中古車掲載'!F1073="Corolla Cross",'中古車掲載'!L1073="HEV PREMIUM SAFETY",'中古車掲載'!J1073=2023,ISNUMBER('中古車掲載'!N1073),'中古車掲載'!N1073&gt;=50000,'中古車掲載'!O1073&lt;=100000,'中古車掲載'!AL1073=1,'中古車掲載'!Z1073="https://www.one2car.com/en/cars-for-sale/toyota/corolla-cross/year-2023"),'中古車掲載'!U1073,"")</x:f>
      </x:c>
      <x:c r="BD1072" t="str">
        <x:f>IF(AND('中古車掲載'!C1073="One2car",'中古車掲載'!F1073="ATTO 3",'中古車掲載'!L1073="EXTENDED RANGE",'中古車掲載'!J1073=2023,ISNUMBER('中古車掲載'!N1073),'中古車掲載'!N1073&gt;=20000,'中古車掲載'!O1073&lt;=50000,'中古車掲載'!AL1073=1),'中古車掲載'!U1073,"")</x:f>
      </x:c>
      <x:c r="BE1072" t="str">
        <x:f>IF(AND('中古車掲載'!C1073="One2car",'中古車掲載'!F1073="Corolla Cross",'中古車掲載'!L1073="HEV PREMIUM SAFETY",'中古車掲載'!J1073=2023,ISNUMBER('中古車掲載'!N1073),'中古車掲載'!N1073&gt;=20000,'中古車掲載'!O1073&lt;=50000,'中古車掲載'!AL1073=1,'中古車掲載'!Z1073="https://www.one2car.com/en/cars-for-sale/toyota/corolla-cross/year-2023"),'中古車掲載'!U1073,"")</x:f>
      </x:c>
      <x:c r="BF1072" t="str">
        <x:f>IF(AND('中古車掲載'!C1073="One2car",'中古車掲載'!F1073="Corolla Cross",'中古車掲載'!L1073="HEV PREMIUM",'中古車掲載'!J1073=2023,ISNUMBER('中古車掲載'!N1073),'中古車掲載'!N1073&gt;=20000,'中古車掲載'!O1073&lt;=100000,'中古車掲載'!AL1073=1,'中古車掲載'!Z1073="https://www.one2car.com/en/cars-for-sale/toyota/corolla-cross/year-2023"),'中古車掲載'!U1073,"")</x:f>
      </x:c>
      <x:c r="BG1072" t="str">
        <x:f>IF(AND('中古車掲載'!C1073="One2car",'中古車掲載'!F1073="Corolla Cross",'中古車掲載'!L1073="HEV GR SPORT",'中古車掲載'!J1073=2023,ISNUMBER('中古車掲載'!N1073),'中古車掲載'!N1073&gt;=20000,'中古車掲載'!O1073&lt;=100000,'中古車掲載'!AL1073=1,'中古車掲載'!Z1073="https://www.one2car.com/en/cars-for-sale/toyota/corolla-cross/year-2023"),'中古車掲載'!U1073,"")</x:f>
      </x:c>
      <x:c r="BH1072" t="str">
        <x:f>IF(AND('中古車掲載'!C1073="One2car",'中古車掲載'!F1073="DOLPHIN",'中古車掲載'!L1073="STANDARD RANGE",'中古車掲載'!J1073=2023,ISNUMBER('中古車掲載'!N1073),'中古車掲載'!N1073&gt;=20000,'中古車掲載'!O1073&lt;=100000,'中古車掲載'!AL1073=1),'中古車掲載'!U1073,"")</x:f>
      </x:c>
      <x:c r="BI1072" t="str">
        <x:v>Taladrod|Yaris Ativ|ICE|Unknown</x:v>
      </x:c>
      <x:c r="BJ1072" t="n">
        <x:v>1073</x:v>
      </x:c>
      <x:c r="BK1072" t="n">
        <x:f>'中古車掲載'!AM1073</x:f>
        <x:v>467000</x:v>
      </x:c>
      <x:c r="BL1072" t="str">
        <x:f>IF(ISNUMBER('中古車掲載'!AN1073),'中古車掲載'!AN1073,"")</x:f>
      </x:c>
    </x:row>
    <x:row r="1073">
      <x:c r="AZ1073" t="str">
        <x:f>IF(AND('中古車掲載'!C1074="One2car",'中古車掲載'!F1074="ATTO 3",'中古車掲載'!L1074="EXTENDED RANGE",'中古車掲載'!J1074=2023,ISNUMBER('中古車掲載'!N1074),'中古車掲載'!N1074&gt;=20000,'中古車掲載'!O1074&lt;=100000,'中古車掲載'!AL1074=1),'中古車掲載'!U1074,"")</x:f>
      </x:c>
      <x:c r="BA1073" t="str">
        <x:f>IF(AND('中古車掲載'!C1074="One2car",'中古車掲載'!F1074="Corolla Cross",'中古車掲載'!L1074="HEV PREMIUM SAFETY",'中古車掲載'!J1074=2023,ISNUMBER('中古車掲載'!N1074),'中古車掲載'!N1074&gt;=20000,'中古車掲載'!O1074&lt;=100000,'中古車掲載'!AL1074=1,'中古車掲載'!Z1074="https://www.one2car.com/en/cars-for-sale/toyota/corolla-cross/year-2023"),'中古車掲載'!U1074,"")</x:f>
      </x:c>
      <x:c r="BB1073" t="str">
        <x:f>IF(AND('中古車掲載'!C1074="One2car",'中古車掲載'!F1074="ATTO 3",'中古車掲載'!L1074="EXTENDED RANGE",'中古車掲載'!J1074=2023,ISNUMBER('中古車掲載'!N1074),'中古車掲載'!N1074&gt;=50000,'中古車掲載'!O1074&lt;=100000,'中古車掲載'!AL1074=1),'中古車掲載'!U1074,"")</x:f>
      </x:c>
      <x:c r="BC1073" t="str">
        <x:f>IF(AND('中古車掲載'!C1074="One2car",'中古車掲載'!F1074="Corolla Cross",'中古車掲載'!L1074="HEV PREMIUM SAFETY",'中古車掲載'!J1074=2023,ISNUMBER('中古車掲載'!N1074),'中古車掲載'!N1074&gt;=50000,'中古車掲載'!O1074&lt;=100000,'中古車掲載'!AL1074=1,'中古車掲載'!Z1074="https://www.one2car.com/en/cars-for-sale/toyota/corolla-cross/year-2023"),'中古車掲載'!U1074,"")</x:f>
      </x:c>
      <x:c r="BD1073" t="str">
        <x:f>IF(AND('中古車掲載'!C1074="One2car",'中古車掲載'!F1074="ATTO 3",'中古車掲載'!L1074="EXTENDED RANGE",'中古車掲載'!J1074=2023,ISNUMBER('中古車掲載'!N1074),'中古車掲載'!N1074&gt;=20000,'中古車掲載'!O1074&lt;=50000,'中古車掲載'!AL1074=1),'中古車掲載'!U1074,"")</x:f>
      </x:c>
      <x:c r="BE1073" t="str">
        <x:f>IF(AND('中古車掲載'!C1074="One2car",'中古車掲載'!F1074="Corolla Cross",'中古車掲載'!L1074="HEV PREMIUM SAFETY",'中古車掲載'!J1074=2023,ISNUMBER('中古車掲載'!N1074),'中古車掲載'!N1074&gt;=20000,'中古車掲載'!O1074&lt;=50000,'中古車掲載'!AL1074=1,'中古車掲載'!Z1074="https://www.one2car.com/en/cars-for-sale/toyota/corolla-cross/year-2023"),'中古車掲載'!U1074,"")</x:f>
      </x:c>
      <x:c r="BF1073" t="str">
        <x:f>IF(AND('中古車掲載'!C1074="One2car",'中古車掲載'!F1074="Corolla Cross",'中古車掲載'!L1074="HEV PREMIUM",'中古車掲載'!J1074=2023,ISNUMBER('中古車掲載'!N1074),'中古車掲載'!N1074&gt;=20000,'中古車掲載'!O1074&lt;=100000,'中古車掲載'!AL1074=1,'中古車掲載'!Z1074="https://www.one2car.com/en/cars-for-sale/toyota/corolla-cross/year-2023"),'中古車掲載'!U1074,"")</x:f>
      </x:c>
      <x:c r="BG1073" t="str">
        <x:f>IF(AND('中古車掲載'!C1074="One2car",'中古車掲載'!F1074="Corolla Cross",'中古車掲載'!L1074="HEV GR SPORT",'中古車掲載'!J1074=2023,ISNUMBER('中古車掲載'!N1074),'中古車掲載'!N1074&gt;=20000,'中古車掲載'!O1074&lt;=100000,'中古車掲載'!AL1074=1,'中古車掲載'!Z1074="https://www.one2car.com/en/cars-for-sale/toyota/corolla-cross/year-2023"),'中古車掲載'!U1074,"")</x:f>
      </x:c>
      <x:c r="BH1073" t="str">
        <x:f>IF(AND('中古車掲載'!C1074="One2car",'中古車掲載'!F1074="DOLPHIN",'中古車掲載'!L1074="STANDARD RANGE",'中古車掲載'!J1074=2023,ISNUMBER('中古車掲載'!N1074),'中古車掲載'!N1074&gt;=20000,'中古車掲載'!O1074&lt;=100000,'中古車掲載'!AL1074=1),'中古車掲載'!U1074,"")</x:f>
      </x:c>
      <x:c r="BI1073" t="str">
        <x:v>Taladrod|Yaris Ativ|ICE|Unknown</x:v>
      </x:c>
      <x:c r="BJ1073" t="n">
        <x:v>1074</x:v>
      </x:c>
      <x:c r="BK1073" t="n">
        <x:f>'中古車掲載'!AM1074</x:f>
        <x:v>424000</x:v>
      </x:c>
      <x:c r="BL1073" t="str">
        <x:f>IF(ISNUMBER('中古車掲載'!AN1074),'中古車掲載'!AN1074,"")</x:f>
      </x:c>
    </x:row>
    <x:row r="1074">
      <x:c r="AZ1074" t="str">
        <x:f>IF(AND('中古車掲載'!C1075="One2car",'中古車掲載'!F1075="ATTO 3",'中古車掲載'!L1075="EXTENDED RANGE",'中古車掲載'!J1075=2023,ISNUMBER('中古車掲載'!N1075),'中古車掲載'!N1075&gt;=20000,'中古車掲載'!O1075&lt;=100000,'中古車掲載'!AL1075=1),'中古車掲載'!U1075,"")</x:f>
      </x:c>
      <x:c r="BA1074" t="str">
        <x:f>IF(AND('中古車掲載'!C1075="One2car",'中古車掲載'!F1075="Corolla Cross",'中古車掲載'!L1075="HEV PREMIUM SAFETY",'中古車掲載'!J1075=2023,ISNUMBER('中古車掲載'!N1075),'中古車掲載'!N1075&gt;=20000,'中古車掲載'!O1075&lt;=100000,'中古車掲載'!AL1075=1,'中古車掲載'!Z1075="https://www.one2car.com/en/cars-for-sale/toyota/corolla-cross/year-2023"),'中古車掲載'!U1075,"")</x:f>
      </x:c>
      <x:c r="BB1074" t="str">
        <x:f>IF(AND('中古車掲載'!C1075="One2car",'中古車掲載'!F1075="ATTO 3",'中古車掲載'!L1075="EXTENDED RANGE",'中古車掲載'!J1075=2023,ISNUMBER('中古車掲載'!N1075),'中古車掲載'!N1075&gt;=50000,'中古車掲載'!O1075&lt;=100000,'中古車掲載'!AL1075=1),'中古車掲載'!U1075,"")</x:f>
      </x:c>
      <x:c r="BC1074" t="str">
        <x:f>IF(AND('中古車掲載'!C1075="One2car",'中古車掲載'!F1075="Corolla Cross",'中古車掲載'!L1075="HEV PREMIUM SAFETY",'中古車掲載'!J1075=2023,ISNUMBER('中古車掲載'!N1075),'中古車掲載'!N1075&gt;=50000,'中古車掲載'!O1075&lt;=100000,'中古車掲載'!AL1075=1,'中古車掲載'!Z1075="https://www.one2car.com/en/cars-for-sale/toyota/corolla-cross/year-2023"),'中古車掲載'!U1075,"")</x:f>
      </x:c>
      <x:c r="BD1074" t="str">
        <x:f>IF(AND('中古車掲載'!C1075="One2car",'中古車掲載'!F1075="ATTO 3",'中古車掲載'!L1075="EXTENDED RANGE",'中古車掲載'!J1075=2023,ISNUMBER('中古車掲載'!N1075),'中古車掲載'!N1075&gt;=20000,'中古車掲載'!O1075&lt;=50000,'中古車掲載'!AL1075=1),'中古車掲載'!U1075,"")</x:f>
      </x:c>
      <x:c r="BE1074" t="str">
        <x:f>IF(AND('中古車掲載'!C1075="One2car",'中古車掲載'!F1075="Corolla Cross",'中古車掲載'!L1075="HEV PREMIUM SAFETY",'中古車掲載'!J1075=2023,ISNUMBER('中古車掲載'!N1075),'中古車掲載'!N1075&gt;=20000,'中古車掲載'!O1075&lt;=50000,'中古車掲載'!AL1075=1,'中古車掲載'!Z1075="https://www.one2car.com/en/cars-for-sale/toyota/corolla-cross/year-2023"),'中古車掲載'!U1075,"")</x:f>
      </x:c>
      <x:c r="BF1074" t="str">
        <x:f>IF(AND('中古車掲載'!C1075="One2car",'中古車掲載'!F1075="Corolla Cross",'中古車掲載'!L1075="HEV PREMIUM",'中古車掲載'!J1075=2023,ISNUMBER('中古車掲載'!N1075),'中古車掲載'!N1075&gt;=20000,'中古車掲載'!O1075&lt;=100000,'中古車掲載'!AL1075=1,'中古車掲載'!Z1075="https://www.one2car.com/en/cars-for-sale/toyota/corolla-cross/year-2023"),'中古車掲載'!U1075,"")</x:f>
      </x:c>
      <x:c r="BG1074" t="str">
        <x:f>IF(AND('中古車掲載'!C1075="One2car",'中古車掲載'!F1075="Corolla Cross",'中古車掲載'!L1075="HEV GR SPORT",'中古車掲載'!J1075=2023,ISNUMBER('中古車掲載'!N1075),'中古車掲載'!N1075&gt;=20000,'中古車掲載'!O1075&lt;=100000,'中古車掲載'!AL1075=1,'中古車掲載'!Z1075="https://www.one2car.com/en/cars-for-sale/toyota/corolla-cross/year-2023"),'中古車掲載'!U1075,"")</x:f>
      </x:c>
      <x:c r="BH1074" t="str">
        <x:f>IF(AND('中古車掲載'!C1075="One2car",'中古車掲載'!F1075="DOLPHIN",'中古車掲載'!L1075="STANDARD RANGE",'中古車掲載'!J1075=2023,ISNUMBER('中古車掲載'!N1075),'中古車掲載'!N1075&gt;=20000,'中古車掲載'!O1075&lt;=100000,'中古車掲載'!AL1075=1),'中古車掲載'!U1075,"")</x:f>
      </x:c>
      <x:c r="BI1074" t="str">
        <x:v>Taladrod|Yaris Ativ|ICE|Unknown</x:v>
      </x:c>
      <x:c r="BJ1074" t="n">
        <x:v>1075</x:v>
      </x:c>
      <x:c r="BK1074" t="n">
        <x:f>'中古車掲載'!AM1075</x:f>
        <x:v>448000</x:v>
      </x:c>
      <x:c r="BL1074" t="str">
        <x:f>IF(ISNUMBER('中古車掲載'!AN1075),'中古車掲載'!AN1075,"")</x:f>
      </x:c>
    </x:row>
    <x:row r="1075">
      <x:c r="AZ1075" t="str">
        <x:f>IF(AND('中古車掲載'!C1076="One2car",'中古車掲載'!F1076="ATTO 3",'中古車掲載'!L1076="EXTENDED RANGE",'中古車掲載'!J1076=2023,ISNUMBER('中古車掲載'!N1076),'中古車掲載'!N1076&gt;=20000,'中古車掲載'!O1076&lt;=100000,'中古車掲載'!AL1076=1),'中古車掲載'!U1076,"")</x:f>
      </x:c>
      <x:c r="BA1075" t="str">
        <x:f>IF(AND('中古車掲載'!C1076="One2car",'中古車掲載'!F1076="Corolla Cross",'中古車掲載'!L1076="HEV PREMIUM SAFETY",'中古車掲載'!J1076=2023,ISNUMBER('中古車掲載'!N1076),'中古車掲載'!N1076&gt;=20000,'中古車掲載'!O1076&lt;=100000,'中古車掲載'!AL1076=1,'中古車掲載'!Z1076="https://www.one2car.com/en/cars-for-sale/toyota/corolla-cross/year-2023"),'中古車掲載'!U1076,"")</x:f>
      </x:c>
      <x:c r="BB1075" t="str">
        <x:f>IF(AND('中古車掲載'!C1076="One2car",'中古車掲載'!F1076="ATTO 3",'中古車掲載'!L1076="EXTENDED RANGE",'中古車掲載'!J1076=2023,ISNUMBER('中古車掲載'!N1076),'中古車掲載'!N1076&gt;=50000,'中古車掲載'!O1076&lt;=100000,'中古車掲載'!AL1076=1),'中古車掲載'!U1076,"")</x:f>
      </x:c>
      <x:c r="BC1075" t="str">
        <x:f>IF(AND('中古車掲載'!C1076="One2car",'中古車掲載'!F1076="Corolla Cross",'中古車掲載'!L1076="HEV PREMIUM SAFETY",'中古車掲載'!J1076=2023,ISNUMBER('中古車掲載'!N1076),'中古車掲載'!N1076&gt;=50000,'中古車掲載'!O1076&lt;=100000,'中古車掲載'!AL1076=1,'中古車掲載'!Z1076="https://www.one2car.com/en/cars-for-sale/toyota/corolla-cross/year-2023"),'中古車掲載'!U1076,"")</x:f>
      </x:c>
      <x:c r="BD1075" t="str">
        <x:f>IF(AND('中古車掲載'!C1076="One2car",'中古車掲載'!F1076="ATTO 3",'中古車掲載'!L1076="EXTENDED RANGE",'中古車掲載'!J1076=2023,ISNUMBER('中古車掲載'!N1076),'中古車掲載'!N1076&gt;=20000,'中古車掲載'!O1076&lt;=50000,'中古車掲載'!AL1076=1),'中古車掲載'!U1076,"")</x:f>
      </x:c>
      <x:c r="BE1075" t="str">
        <x:f>IF(AND('中古車掲載'!C1076="One2car",'中古車掲載'!F1076="Corolla Cross",'中古車掲載'!L1076="HEV PREMIUM SAFETY",'中古車掲載'!J1076=2023,ISNUMBER('中古車掲載'!N1076),'中古車掲載'!N1076&gt;=20000,'中古車掲載'!O1076&lt;=50000,'中古車掲載'!AL1076=1,'中古車掲載'!Z1076="https://www.one2car.com/en/cars-for-sale/toyota/corolla-cross/year-2023"),'中古車掲載'!U1076,"")</x:f>
      </x:c>
      <x:c r="BF1075" t="str">
        <x:f>IF(AND('中古車掲載'!C1076="One2car",'中古車掲載'!F1076="Corolla Cross",'中古車掲載'!L1076="HEV PREMIUM",'中古車掲載'!J1076=2023,ISNUMBER('中古車掲載'!N1076),'中古車掲載'!N1076&gt;=20000,'中古車掲載'!O1076&lt;=100000,'中古車掲載'!AL1076=1,'中古車掲載'!Z1076="https://www.one2car.com/en/cars-for-sale/toyota/corolla-cross/year-2023"),'中古車掲載'!U1076,"")</x:f>
      </x:c>
      <x:c r="BG1075" t="str">
        <x:f>IF(AND('中古車掲載'!C1076="One2car",'中古車掲載'!F1076="Corolla Cross",'中古車掲載'!L1076="HEV GR SPORT",'中古車掲載'!J1076=2023,ISNUMBER('中古車掲載'!N1076),'中古車掲載'!N1076&gt;=20000,'中古車掲載'!O1076&lt;=100000,'中古車掲載'!AL1076=1,'中古車掲載'!Z1076="https://www.one2car.com/en/cars-for-sale/toyota/corolla-cross/year-2023"),'中古車掲載'!U1076,"")</x:f>
      </x:c>
      <x:c r="BH1075" t="str">
        <x:f>IF(AND('中古車掲載'!C1076="One2car",'中古車掲載'!F1076="DOLPHIN",'中古車掲載'!L1076="STANDARD RANGE",'中古車掲載'!J1076=2023,ISNUMBER('中古車掲載'!N1076),'中古車掲載'!N1076&gt;=20000,'中古車掲載'!O1076&lt;=100000,'中古車掲載'!AL1076=1),'中古車掲載'!U1076,"")</x:f>
      </x:c>
      <x:c r="BI1075" t="str">
        <x:v>Taladrod|Yaris Ativ|ICE|Unknown</x:v>
      </x:c>
      <x:c r="BJ1075" t="n">
        <x:v>1076</x:v>
      </x:c>
      <x:c r="BK1075" t="n">
        <x:f>'中古車掲載'!AM1076</x:f>
        <x:v>379000</x:v>
      </x:c>
      <x:c r="BL1075" t="str">
        <x:f>IF(ISNUMBER('中古車掲載'!AN1076),'中古車掲載'!AN1076,"")</x:f>
      </x:c>
    </x:row>
    <x:row r="1076">
      <x:c r="AZ1076" t="str">
        <x:f>IF(AND('中古車掲載'!C1077="One2car",'中古車掲載'!F1077="ATTO 3",'中古車掲載'!L1077="EXTENDED RANGE",'中古車掲載'!J1077=2023,ISNUMBER('中古車掲載'!N1077),'中古車掲載'!N1077&gt;=20000,'中古車掲載'!O1077&lt;=100000,'中古車掲載'!AL1077=1),'中古車掲載'!U1077,"")</x:f>
      </x:c>
      <x:c r="BA1076" t="str">
        <x:f>IF(AND('中古車掲載'!C1077="One2car",'中古車掲載'!F1077="Corolla Cross",'中古車掲載'!L1077="HEV PREMIUM SAFETY",'中古車掲載'!J1077=2023,ISNUMBER('中古車掲載'!N1077),'中古車掲載'!N1077&gt;=20000,'中古車掲載'!O1077&lt;=100000,'中古車掲載'!AL1077=1,'中古車掲載'!Z1077="https://www.one2car.com/en/cars-for-sale/toyota/corolla-cross/year-2023"),'中古車掲載'!U1077,"")</x:f>
      </x:c>
      <x:c r="BB1076" t="str">
        <x:f>IF(AND('中古車掲載'!C1077="One2car",'中古車掲載'!F1077="ATTO 3",'中古車掲載'!L1077="EXTENDED RANGE",'中古車掲載'!J1077=2023,ISNUMBER('中古車掲載'!N1077),'中古車掲載'!N1077&gt;=50000,'中古車掲載'!O1077&lt;=100000,'中古車掲載'!AL1077=1),'中古車掲載'!U1077,"")</x:f>
      </x:c>
      <x:c r="BC1076" t="str">
        <x:f>IF(AND('中古車掲載'!C1077="One2car",'中古車掲載'!F1077="Corolla Cross",'中古車掲載'!L1077="HEV PREMIUM SAFETY",'中古車掲載'!J1077=2023,ISNUMBER('中古車掲載'!N1077),'中古車掲載'!N1077&gt;=50000,'中古車掲載'!O1077&lt;=100000,'中古車掲載'!AL1077=1,'中古車掲載'!Z1077="https://www.one2car.com/en/cars-for-sale/toyota/corolla-cross/year-2023"),'中古車掲載'!U1077,"")</x:f>
      </x:c>
      <x:c r="BD1076" t="str">
        <x:f>IF(AND('中古車掲載'!C1077="One2car",'中古車掲載'!F1077="ATTO 3",'中古車掲載'!L1077="EXTENDED RANGE",'中古車掲載'!J1077=2023,ISNUMBER('中古車掲載'!N1077),'中古車掲載'!N1077&gt;=20000,'中古車掲載'!O1077&lt;=50000,'中古車掲載'!AL1077=1),'中古車掲載'!U1077,"")</x:f>
      </x:c>
      <x:c r="BE1076" t="str">
        <x:f>IF(AND('中古車掲載'!C1077="One2car",'中古車掲載'!F1077="Corolla Cross",'中古車掲載'!L1077="HEV PREMIUM SAFETY",'中古車掲載'!J1077=2023,ISNUMBER('中古車掲載'!N1077),'中古車掲載'!N1077&gt;=20000,'中古車掲載'!O1077&lt;=50000,'中古車掲載'!AL1077=1,'中古車掲載'!Z1077="https://www.one2car.com/en/cars-for-sale/toyota/corolla-cross/year-2023"),'中古車掲載'!U1077,"")</x:f>
      </x:c>
      <x:c r="BF1076" t="str">
        <x:f>IF(AND('中古車掲載'!C1077="One2car",'中古車掲載'!F1077="Corolla Cross",'中古車掲載'!L1077="HEV PREMIUM",'中古車掲載'!J1077=2023,ISNUMBER('中古車掲載'!N1077),'中古車掲載'!N1077&gt;=20000,'中古車掲載'!O1077&lt;=100000,'中古車掲載'!AL1077=1,'中古車掲載'!Z1077="https://www.one2car.com/en/cars-for-sale/toyota/corolla-cross/year-2023"),'中古車掲載'!U1077,"")</x:f>
      </x:c>
      <x:c r="BG1076" t="str">
        <x:f>IF(AND('中古車掲載'!C1077="One2car",'中古車掲載'!F1077="Corolla Cross",'中古車掲載'!L1077="HEV GR SPORT",'中古車掲載'!J1077=2023,ISNUMBER('中古車掲載'!N1077),'中古車掲載'!N1077&gt;=20000,'中古車掲載'!O1077&lt;=100000,'中古車掲載'!AL1077=1,'中古車掲載'!Z1077="https://www.one2car.com/en/cars-for-sale/toyota/corolla-cross/year-2023"),'中古車掲載'!U1077,"")</x:f>
      </x:c>
      <x:c r="BH1076" t="str">
        <x:f>IF(AND('中古車掲載'!C1077="One2car",'中古車掲載'!F1077="DOLPHIN",'中古車掲載'!L1077="STANDARD RANGE",'中古車掲載'!J1077=2023,ISNUMBER('中古車掲載'!N1077),'中古車掲載'!N1077&gt;=20000,'中古車掲載'!O1077&lt;=100000,'中古車掲載'!AL1077=1),'中古車掲載'!U1077,"")</x:f>
      </x:c>
      <x:c r="BI1076" t="str">
        <x:v>Taladrod|Yaris Ativ|ICE|Unknown</x:v>
      </x:c>
      <x:c r="BJ1076" t="n">
        <x:v>1077</x:v>
      </x:c>
      <x:c r="BK1076" t="n">
        <x:f>'中古車掲載'!AM1077</x:f>
        <x:v>419000</x:v>
      </x:c>
      <x:c r="BL1076" t="str">
        <x:f>IF(ISNUMBER('中古車掲載'!AN1077),'中古車掲載'!AN1077,"")</x:f>
      </x:c>
    </x:row>
    <x:row r="1077">
      <x:c r="AZ1077" t="str">
        <x:f>IF(AND('中古車掲載'!C1078="One2car",'中古車掲載'!F1078="ATTO 3",'中古車掲載'!L1078="EXTENDED RANGE",'中古車掲載'!J1078=2023,ISNUMBER('中古車掲載'!N1078),'中古車掲載'!N1078&gt;=20000,'中古車掲載'!O1078&lt;=100000,'中古車掲載'!AL1078=1),'中古車掲載'!U1078,"")</x:f>
      </x:c>
      <x:c r="BA1077" t="str">
        <x:f>IF(AND('中古車掲載'!C1078="One2car",'中古車掲載'!F1078="Corolla Cross",'中古車掲載'!L1078="HEV PREMIUM SAFETY",'中古車掲載'!J1078=2023,ISNUMBER('中古車掲載'!N1078),'中古車掲載'!N1078&gt;=20000,'中古車掲載'!O1078&lt;=100000,'中古車掲載'!AL1078=1,'中古車掲載'!Z1078="https://www.one2car.com/en/cars-for-sale/toyota/corolla-cross/year-2023"),'中古車掲載'!U1078,"")</x:f>
      </x:c>
      <x:c r="BB1077" t="str">
        <x:f>IF(AND('中古車掲載'!C1078="One2car",'中古車掲載'!F1078="ATTO 3",'中古車掲載'!L1078="EXTENDED RANGE",'中古車掲載'!J1078=2023,ISNUMBER('中古車掲載'!N1078),'中古車掲載'!N1078&gt;=50000,'中古車掲載'!O1078&lt;=100000,'中古車掲載'!AL1078=1),'中古車掲載'!U1078,"")</x:f>
      </x:c>
      <x:c r="BC1077" t="str">
        <x:f>IF(AND('中古車掲載'!C1078="One2car",'中古車掲載'!F1078="Corolla Cross",'中古車掲載'!L1078="HEV PREMIUM SAFETY",'中古車掲載'!J1078=2023,ISNUMBER('中古車掲載'!N1078),'中古車掲載'!N1078&gt;=50000,'中古車掲載'!O1078&lt;=100000,'中古車掲載'!AL1078=1,'中古車掲載'!Z1078="https://www.one2car.com/en/cars-for-sale/toyota/corolla-cross/year-2023"),'中古車掲載'!U1078,"")</x:f>
      </x:c>
      <x:c r="BD1077" t="str">
        <x:f>IF(AND('中古車掲載'!C1078="One2car",'中古車掲載'!F1078="ATTO 3",'中古車掲載'!L1078="EXTENDED RANGE",'中古車掲載'!J1078=2023,ISNUMBER('中古車掲載'!N1078),'中古車掲載'!N1078&gt;=20000,'中古車掲載'!O1078&lt;=50000,'中古車掲載'!AL1078=1),'中古車掲載'!U1078,"")</x:f>
      </x:c>
      <x:c r="BE1077" t="str">
        <x:f>IF(AND('中古車掲載'!C1078="One2car",'中古車掲載'!F1078="Corolla Cross",'中古車掲載'!L1078="HEV PREMIUM SAFETY",'中古車掲載'!J1078=2023,ISNUMBER('中古車掲載'!N1078),'中古車掲載'!N1078&gt;=20000,'中古車掲載'!O1078&lt;=50000,'中古車掲載'!AL1078=1,'中古車掲載'!Z1078="https://www.one2car.com/en/cars-for-sale/toyota/corolla-cross/year-2023"),'中古車掲載'!U1078,"")</x:f>
      </x:c>
      <x:c r="BF1077" t="str">
        <x:f>IF(AND('中古車掲載'!C1078="One2car",'中古車掲載'!F1078="Corolla Cross",'中古車掲載'!L1078="HEV PREMIUM",'中古車掲載'!J1078=2023,ISNUMBER('中古車掲載'!N1078),'中古車掲載'!N1078&gt;=20000,'中古車掲載'!O1078&lt;=100000,'中古車掲載'!AL1078=1,'中古車掲載'!Z1078="https://www.one2car.com/en/cars-for-sale/toyota/corolla-cross/year-2023"),'中古車掲載'!U1078,"")</x:f>
      </x:c>
      <x:c r="BG1077" t="str">
        <x:f>IF(AND('中古車掲載'!C1078="One2car",'中古車掲載'!F1078="Corolla Cross",'中古車掲載'!L1078="HEV GR SPORT",'中古車掲載'!J1078=2023,ISNUMBER('中古車掲載'!N1078),'中古車掲載'!N1078&gt;=20000,'中古車掲載'!O1078&lt;=100000,'中古車掲載'!AL1078=1,'中古車掲載'!Z1078="https://www.one2car.com/en/cars-for-sale/toyota/corolla-cross/year-2023"),'中古車掲載'!U1078,"")</x:f>
      </x:c>
      <x:c r="BH1077" t="str">
        <x:f>IF(AND('中古車掲載'!C1078="One2car",'中古車掲載'!F1078="DOLPHIN",'中古車掲載'!L1078="STANDARD RANGE",'中古車掲載'!J1078=2023,ISNUMBER('中古車掲載'!N1078),'中古車掲載'!N1078&gt;=20000,'中古車掲載'!O1078&lt;=100000,'中古車掲載'!AL1078=1),'中古車掲載'!U1078,"")</x:f>
      </x:c>
      <x:c r="BI1077" t="str">
        <x:v>Taladrod|Yaris Ativ|ICE|Unknown</x:v>
      </x:c>
      <x:c r="BJ1077" t="n">
        <x:v>1078</x:v>
      </x:c>
      <x:c r="BK1077" t="n">
        <x:f>'中古車掲載'!AM1078</x:f>
        <x:v>559000</x:v>
      </x:c>
      <x:c r="BL1077" t="str">
        <x:f>IF(ISNUMBER('中古車掲載'!AN1078),'中古車掲載'!AN1078,"")</x:f>
      </x:c>
    </x:row>
    <x:row r="1078">
      <x:c r="AZ1078" t="str">
        <x:f>IF(AND('中古車掲載'!C1079="One2car",'中古車掲載'!F1079="ATTO 3",'中古車掲載'!L1079="EXTENDED RANGE",'中古車掲載'!J1079=2023,ISNUMBER('中古車掲載'!N1079),'中古車掲載'!N1079&gt;=20000,'中古車掲載'!O1079&lt;=100000,'中古車掲載'!AL1079=1),'中古車掲載'!U1079,"")</x:f>
      </x:c>
      <x:c r="BA1078" t="str">
        <x:f>IF(AND('中古車掲載'!C1079="One2car",'中古車掲載'!F1079="Corolla Cross",'中古車掲載'!L1079="HEV PREMIUM SAFETY",'中古車掲載'!J1079=2023,ISNUMBER('中古車掲載'!N1079),'中古車掲載'!N1079&gt;=20000,'中古車掲載'!O1079&lt;=100000,'中古車掲載'!AL1079=1,'中古車掲載'!Z1079="https://www.one2car.com/en/cars-for-sale/toyota/corolla-cross/year-2023"),'中古車掲載'!U1079,"")</x:f>
      </x:c>
      <x:c r="BB1078" t="str">
        <x:f>IF(AND('中古車掲載'!C1079="One2car",'中古車掲載'!F1079="ATTO 3",'中古車掲載'!L1079="EXTENDED RANGE",'中古車掲載'!J1079=2023,ISNUMBER('中古車掲載'!N1079),'中古車掲載'!N1079&gt;=50000,'中古車掲載'!O1079&lt;=100000,'中古車掲載'!AL1079=1),'中古車掲載'!U1079,"")</x:f>
      </x:c>
      <x:c r="BC1078" t="str">
        <x:f>IF(AND('中古車掲載'!C1079="One2car",'中古車掲載'!F1079="Corolla Cross",'中古車掲載'!L1079="HEV PREMIUM SAFETY",'中古車掲載'!J1079=2023,ISNUMBER('中古車掲載'!N1079),'中古車掲載'!N1079&gt;=50000,'中古車掲載'!O1079&lt;=100000,'中古車掲載'!AL1079=1,'中古車掲載'!Z1079="https://www.one2car.com/en/cars-for-sale/toyota/corolla-cross/year-2023"),'中古車掲載'!U1079,"")</x:f>
      </x:c>
      <x:c r="BD1078" t="str">
        <x:f>IF(AND('中古車掲載'!C1079="One2car",'中古車掲載'!F1079="ATTO 3",'中古車掲載'!L1079="EXTENDED RANGE",'中古車掲載'!J1079=2023,ISNUMBER('中古車掲載'!N1079),'中古車掲載'!N1079&gt;=20000,'中古車掲載'!O1079&lt;=50000,'中古車掲載'!AL1079=1),'中古車掲載'!U1079,"")</x:f>
      </x:c>
      <x:c r="BE1078" t="str">
        <x:f>IF(AND('中古車掲載'!C1079="One2car",'中古車掲載'!F1079="Corolla Cross",'中古車掲載'!L1079="HEV PREMIUM SAFETY",'中古車掲載'!J1079=2023,ISNUMBER('中古車掲載'!N1079),'中古車掲載'!N1079&gt;=20000,'中古車掲載'!O1079&lt;=50000,'中古車掲載'!AL1079=1,'中古車掲載'!Z1079="https://www.one2car.com/en/cars-for-sale/toyota/corolla-cross/year-2023"),'中古車掲載'!U1079,"")</x:f>
      </x:c>
      <x:c r="BF1078" t="str">
        <x:f>IF(AND('中古車掲載'!C1079="One2car",'中古車掲載'!F1079="Corolla Cross",'中古車掲載'!L1079="HEV PREMIUM",'中古車掲載'!J1079=2023,ISNUMBER('中古車掲載'!N1079),'中古車掲載'!N1079&gt;=20000,'中古車掲載'!O1079&lt;=100000,'中古車掲載'!AL1079=1,'中古車掲載'!Z1079="https://www.one2car.com/en/cars-for-sale/toyota/corolla-cross/year-2023"),'中古車掲載'!U1079,"")</x:f>
      </x:c>
      <x:c r="BG1078" t="str">
        <x:f>IF(AND('中古車掲載'!C1079="One2car",'中古車掲載'!F1079="Corolla Cross",'中古車掲載'!L1079="HEV GR SPORT",'中古車掲載'!J1079=2023,ISNUMBER('中古車掲載'!N1079),'中古車掲載'!N1079&gt;=20000,'中古車掲載'!O1079&lt;=100000,'中古車掲載'!AL1079=1,'中古車掲載'!Z1079="https://www.one2car.com/en/cars-for-sale/toyota/corolla-cross/year-2023"),'中古車掲載'!U1079,"")</x:f>
      </x:c>
      <x:c r="BH1078" t="str">
        <x:f>IF(AND('中古車掲載'!C1079="One2car",'中古車掲載'!F1079="DOLPHIN",'中古車掲載'!L1079="STANDARD RANGE",'中古車掲載'!J1079=2023,ISNUMBER('中古車掲載'!N1079),'中古車掲載'!N1079&gt;=20000,'中古車掲載'!O1079&lt;=100000,'中古車掲載'!AL1079=1),'中古車掲載'!U1079,"")</x:f>
      </x:c>
      <x:c r="BI1078" t="str">
        <x:v>Taladrod|Yaris Ativ|ICE|Unknown</x:v>
      </x:c>
      <x:c r="BJ1078" t="n">
        <x:v>1079</x:v>
      </x:c>
      <x:c r="BK1078" t="n">
        <x:f>'中古車掲載'!AM1079</x:f>
        <x:v>568000</x:v>
      </x:c>
      <x:c r="BL1078" t="str">
        <x:f>IF(ISNUMBER('中古車掲載'!AN1079),'中古車掲載'!AN1079,"")</x:f>
      </x:c>
    </x:row>
    <x:row r="1079">
      <x:c r="AZ1079" t="str">
        <x:f>IF(AND('中古車掲載'!C1080="One2car",'中古車掲載'!F1080="ATTO 3",'中古車掲載'!L1080="EXTENDED RANGE",'中古車掲載'!J1080=2023,ISNUMBER('中古車掲載'!N1080),'中古車掲載'!N1080&gt;=20000,'中古車掲載'!O1080&lt;=100000,'中古車掲載'!AL1080=1),'中古車掲載'!U1080,"")</x:f>
      </x:c>
      <x:c r="BA1079" t="str">
        <x:f>IF(AND('中古車掲載'!C1080="One2car",'中古車掲載'!F1080="Corolla Cross",'中古車掲載'!L1080="HEV PREMIUM SAFETY",'中古車掲載'!J1080=2023,ISNUMBER('中古車掲載'!N1080),'中古車掲載'!N1080&gt;=20000,'中古車掲載'!O1080&lt;=100000,'中古車掲載'!AL1080=1,'中古車掲載'!Z1080="https://www.one2car.com/en/cars-for-sale/toyota/corolla-cross/year-2023"),'中古車掲載'!U1080,"")</x:f>
      </x:c>
      <x:c r="BB1079" t="str">
        <x:f>IF(AND('中古車掲載'!C1080="One2car",'中古車掲載'!F1080="ATTO 3",'中古車掲載'!L1080="EXTENDED RANGE",'中古車掲載'!J1080=2023,ISNUMBER('中古車掲載'!N1080),'中古車掲載'!N1080&gt;=50000,'中古車掲載'!O1080&lt;=100000,'中古車掲載'!AL1080=1),'中古車掲載'!U1080,"")</x:f>
      </x:c>
      <x:c r="BC1079" t="str">
        <x:f>IF(AND('中古車掲載'!C1080="One2car",'中古車掲載'!F1080="Corolla Cross",'中古車掲載'!L1080="HEV PREMIUM SAFETY",'中古車掲載'!J1080=2023,ISNUMBER('中古車掲載'!N1080),'中古車掲載'!N1080&gt;=50000,'中古車掲載'!O1080&lt;=100000,'中古車掲載'!AL1080=1,'中古車掲載'!Z1080="https://www.one2car.com/en/cars-for-sale/toyota/corolla-cross/year-2023"),'中古車掲載'!U1080,"")</x:f>
      </x:c>
      <x:c r="BD1079" t="str">
        <x:f>IF(AND('中古車掲載'!C1080="One2car",'中古車掲載'!F1080="ATTO 3",'中古車掲載'!L1080="EXTENDED RANGE",'中古車掲載'!J1080=2023,ISNUMBER('中古車掲載'!N1080),'中古車掲載'!N1080&gt;=20000,'中古車掲載'!O1080&lt;=50000,'中古車掲載'!AL1080=1),'中古車掲載'!U1080,"")</x:f>
      </x:c>
      <x:c r="BE1079" t="str">
        <x:f>IF(AND('中古車掲載'!C1080="One2car",'中古車掲載'!F1080="Corolla Cross",'中古車掲載'!L1080="HEV PREMIUM SAFETY",'中古車掲載'!J1080=2023,ISNUMBER('中古車掲載'!N1080),'中古車掲載'!N1080&gt;=20000,'中古車掲載'!O1080&lt;=50000,'中古車掲載'!AL1080=1,'中古車掲載'!Z1080="https://www.one2car.com/en/cars-for-sale/toyota/corolla-cross/year-2023"),'中古車掲載'!U1080,"")</x:f>
      </x:c>
      <x:c r="BF1079" t="str">
        <x:f>IF(AND('中古車掲載'!C1080="One2car",'中古車掲載'!F1080="Corolla Cross",'中古車掲載'!L1080="HEV PREMIUM",'中古車掲載'!J1080=2023,ISNUMBER('中古車掲載'!N1080),'中古車掲載'!N1080&gt;=20000,'中古車掲載'!O1080&lt;=100000,'中古車掲載'!AL1080=1,'中古車掲載'!Z1080="https://www.one2car.com/en/cars-for-sale/toyota/corolla-cross/year-2023"),'中古車掲載'!U1080,"")</x:f>
      </x:c>
      <x:c r="BG1079" t="str">
        <x:f>IF(AND('中古車掲載'!C1080="One2car",'中古車掲載'!F1080="Corolla Cross",'中古車掲載'!L1080="HEV GR SPORT",'中古車掲載'!J1080=2023,ISNUMBER('中古車掲載'!N1080),'中古車掲載'!N1080&gt;=20000,'中古車掲載'!O1080&lt;=100000,'中古車掲載'!AL1080=1,'中古車掲載'!Z1080="https://www.one2car.com/en/cars-for-sale/toyota/corolla-cross/year-2023"),'中古車掲載'!U1080,"")</x:f>
      </x:c>
      <x:c r="BH1079" t="str">
        <x:f>IF(AND('中古車掲載'!C1080="One2car",'中古車掲載'!F1080="DOLPHIN",'中古車掲載'!L1080="STANDARD RANGE",'中古車掲載'!J1080=2023,ISNUMBER('中古車掲載'!N1080),'中古車掲載'!N1080&gt;=20000,'中古車掲載'!O1080&lt;=100000,'中古車掲載'!AL1080=1),'中古車掲載'!U1080,"")</x:f>
      </x:c>
      <x:c r="BI1079" t="str">
        <x:v>Taladrod|Yaris Ativ|ICE|Unknown</x:v>
      </x:c>
      <x:c r="BJ1079" t="n">
        <x:v>1080</x:v>
      </x:c>
      <x:c r="BK1079" t="n">
        <x:f>'中古車掲載'!AM1080</x:f>
        <x:v>484000</x:v>
      </x:c>
      <x:c r="BL1079" t="str">
        <x:f>IF(ISNUMBER('中古車掲載'!AN1080),'中古車掲載'!AN1080,"")</x:f>
      </x:c>
    </x:row>
    <x:row r="1080">
      <x:c r="AZ1080" t="str">
        <x:f>IF(AND('中古車掲載'!C1081="One2car",'中古車掲載'!F1081="ATTO 3",'中古車掲載'!L1081="EXTENDED RANGE",'中古車掲載'!J1081=2023,ISNUMBER('中古車掲載'!N1081),'中古車掲載'!N1081&gt;=20000,'中古車掲載'!O1081&lt;=100000,'中古車掲載'!AL1081=1),'中古車掲載'!U1081,"")</x:f>
      </x:c>
      <x:c r="BA1080" t="str">
        <x:f>IF(AND('中古車掲載'!C1081="One2car",'中古車掲載'!F1081="Corolla Cross",'中古車掲載'!L1081="HEV PREMIUM SAFETY",'中古車掲載'!J1081=2023,ISNUMBER('中古車掲載'!N1081),'中古車掲載'!N1081&gt;=20000,'中古車掲載'!O1081&lt;=100000,'中古車掲載'!AL1081=1,'中古車掲載'!Z1081="https://www.one2car.com/en/cars-for-sale/toyota/corolla-cross/year-2023"),'中古車掲載'!U1081,"")</x:f>
      </x:c>
      <x:c r="BB1080" t="str">
        <x:f>IF(AND('中古車掲載'!C1081="One2car",'中古車掲載'!F1081="ATTO 3",'中古車掲載'!L1081="EXTENDED RANGE",'中古車掲載'!J1081=2023,ISNUMBER('中古車掲載'!N1081),'中古車掲載'!N1081&gt;=50000,'中古車掲載'!O1081&lt;=100000,'中古車掲載'!AL1081=1),'中古車掲載'!U1081,"")</x:f>
      </x:c>
      <x:c r="BC1080" t="str">
        <x:f>IF(AND('中古車掲載'!C1081="One2car",'中古車掲載'!F1081="Corolla Cross",'中古車掲載'!L1081="HEV PREMIUM SAFETY",'中古車掲載'!J1081=2023,ISNUMBER('中古車掲載'!N1081),'中古車掲載'!N1081&gt;=50000,'中古車掲載'!O1081&lt;=100000,'中古車掲載'!AL1081=1,'中古車掲載'!Z1081="https://www.one2car.com/en/cars-for-sale/toyota/corolla-cross/year-2023"),'中古車掲載'!U1081,"")</x:f>
      </x:c>
      <x:c r="BD1080" t="str">
        <x:f>IF(AND('中古車掲載'!C1081="One2car",'中古車掲載'!F1081="ATTO 3",'中古車掲載'!L1081="EXTENDED RANGE",'中古車掲載'!J1081=2023,ISNUMBER('中古車掲載'!N1081),'中古車掲載'!N1081&gt;=20000,'中古車掲載'!O1081&lt;=50000,'中古車掲載'!AL1081=1),'中古車掲載'!U1081,"")</x:f>
      </x:c>
      <x:c r="BE1080" t="str">
        <x:f>IF(AND('中古車掲載'!C1081="One2car",'中古車掲載'!F1081="Corolla Cross",'中古車掲載'!L1081="HEV PREMIUM SAFETY",'中古車掲載'!J1081=2023,ISNUMBER('中古車掲載'!N1081),'中古車掲載'!N1081&gt;=20000,'中古車掲載'!O1081&lt;=50000,'中古車掲載'!AL1081=1,'中古車掲載'!Z1081="https://www.one2car.com/en/cars-for-sale/toyota/corolla-cross/year-2023"),'中古車掲載'!U1081,"")</x:f>
      </x:c>
      <x:c r="BF1080" t="str">
        <x:f>IF(AND('中古車掲載'!C1081="One2car",'中古車掲載'!F1081="Corolla Cross",'中古車掲載'!L1081="HEV PREMIUM",'中古車掲載'!J1081=2023,ISNUMBER('中古車掲載'!N1081),'中古車掲載'!N1081&gt;=20000,'中古車掲載'!O1081&lt;=100000,'中古車掲載'!AL1081=1,'中古車掲載'!Z1081="https://www.one2car.com/en/cars-for-sale/toyota/corolla-cross/year-2023"),'中古車掲載'!U1081,"")</x:f>
      </x:c>
      <x:c r="BG1080" t="str">
        <x:f>IF(AND('中古車掲載'!C1081="One2car",'中古車掲載'!F1081="Corolla Cross",'中古車掲載'!L1081="HEV GR SPORT",'中古車掲載'!J1081=2023,ISNUMBER('中古車掲載'!N1081),'中古車掲載'!N1081&gt;=20000,'中古車掲載'!O1081&lt;=100000,'中古車掲載'!AL1081=1,'中古車掲載'!Z1081="https://www.one2car.com/en/cars-for-sale/toyota/corolla-cross/year-2023"),'中古車掲載'!U1081,"")</x:f>
      </x:c>
      <x:c r="BH1080" t="str">
        <x:f>IF(AND('中古車掲載'!C1081="One2car",'中古車掲載'!F1081="DOLPHIN",'中古車掲載'!L1081="STANDARD RANGE",'中古車掲載'!J1081=2023,ISNUMBER('中古車掲載'!N1081),'中古車掲載'!N1081&gt;=20000,'中古車掲載'!O1081&lt;=100000,'中古車掲載'!AL1081=1),'中古車掲載'!U1081,"")</x:f>
      </x:c>
      <x:c r="BI1080" t="str">
        <x:v>Taladrod|Yaris Ativ|ICE|Unknown</x:v>
      </x:c>
      <x:c r="BJ1080" t="n">
        <x:v>1081</x:v>
      </x:c>
      <x:c r="BK1080" t="n">
        <x:f>'中古車掲載'!AM1081</x:f>
        <x:v>459000</x:v>
      </x:c>
      <x:c r="BL1080" t="str">
        <x:f>IF(ISNUMBER('中古車掲載'!AN1081),'中古車掲載'!AN1081,"")</x:f>
      </x:c>
    </x:row>
    <x:row r="1081">
      <x:c r="AZ1081" t="str">
        <x:f>IF(AND('中古車掲載'!C1082="One2car",'中古車掲載'!F1082="ATTO 3",'中古車掲載'!L1082="EXTENDED RANGE",'中古車掲載'!J1082=2023,ISNUMBER('中古車掲載'!N1082),'中古車掲載'!N1082&gt;=20000,'中古車掲載'!O1082&lt;=100000,'中古車掲載'!AL1082=1),'中古車掲載'!U1082,"")</x:f>
      </x:c>
      <x:c r="BA1081" t="str">
        <x:f>IF(AND('中古車掲載'!C1082="One2car",'中古車掲載'!F1082="Corolla Cross",'中古車掲載'!L1082="HEV PREMIUM SAFETY",'中古車掲載'!J1082=2023,ISNUMBER('中古車掲載'!N1082),'中古車掲載'!N1082&gt;=20000,'中古車掲載'!O1082&lt;=100000,'中古車掲載'!AL1082=1,'中古車掲載'!Z1082="https://www.one2car.com/en/cars-for-sale/toyota/corolla-cross/year-2023"),'中古車掲載'!U1082,"")</x:f>
      </x:c>
      <x:c r="BB1081" t="str">
        <x:f>IF(AND('中古車掲載'!C1082="One2car",'中古車掲載'!F1082="ATTO 3",'中古車掲載'!L1082="EXTENDED RANGE",'中古車掲載'!J1082=2023,ISNUMBER('中古車掲載'!N1082),'中古車掲載'!N1082&gt;=50000,'中古車掲載'!O1082&lt;=100000,'中古車掲載'!AL1082=1),'中古車掲載'!U1082,"")</x:f>
      </x:c>
      <x:c r="BC1081" t="str">
        <x:f>IF(AND('中古車掲載'!C1082="One2car",'中古車掲載'!F1082="Corolla Cross",'中古車掲載'!L1082="HEV PREMIUM SAFETY",'中古車掲載'!J1082=2023,ISNUMBER('中古車掲載'!N1082),'中古車掲載'!N1082&gt;=50000,'中古車掲載'!O1082&lt;=100000,'中古車掲載'!AL1082=1,'中古車掲載'!Z1082="https://www.one2car.com/en/cars-for-sale/toyota/corolla-cross/year-2023"),'中古車掲載'!U1082,"")</x:f>
      </x:c>
      <x:c r="BD1081" t="str">
        <x:f>IF(AND('中古車掲載'!C1082="One2car",'中古車掲載'!F1082="ATTO 3",'中古車掲載'!L1082="EXTENDED RANGE",'中古車掲載'!J1082=2023,ISNUMBER('中古車掲載'!N1082),'中古車掲載'!N1082&gt;=20000,'中古車掲載'!O1082&lt;=50000,'中古車掲載'!AL1082=1),'中古車掲載'!U1082,"")</x:f>
      </x:c>
      <x:c r="BE1081" t="str">
        <x:f>IF(AND('中古車掲載'!C1082="One2car",'中古車掲載'!F1082="Corolla Cross",'中古車掲載'!L1082="HEV PREMIUM SAFETY",'中古車掲載'!J1082=2023,ISNUMBER('中古車掲載'!N1082),'中古車掲載'!N1082&gt;=20000,'中古車掲載'!O1082&lt;=50000,'中古車掲載'!AL1082=1,'中古車掲載'!Z1082="https://www.one2car.com/en/cars-for-sale/toyota/corolla-cross/year-2023"),'中古車掲載'!U1082,"")</x:f>
      </x:c>
      <x:c r="BF1081" t="str">
        <x:f>IF(AND('中古車掲載'!C1082="One2car",'中古車掲載'!F1082="Corolla Cross",'中古車掲載'!L1082="HEV PREMIUM",'中古車掲載'!J1082=2023,ISNUMBER('中古車掲載'!N1082),'中古車掲載'!N1082&gt;=20000,'中古車掲載'!O1082&lt;=100000,'中古車掲載'!AL1082=1,'中古車掲載'!Z1082="https://www.one2car.com/en/cars-for-sale/toyota/corolla-cross/year-2023"),'中古車掲載'!U1082,"")</x:f>
      </x:c>
      <x:c r="BG1081" t="str">
        <x:f>IF(AND('中古車掲載'!C1082="One2car",'中古車掲載'!F1082="Corolla Cross",'中古車掲載'!L1082="HEV GR SPORT",'中古車掲載'!J1082=2023,ISNUMBER('中古車掲載'!N1082),'中古車掲載'!N1082&gt;=20000,'中古車掲載'!O1082&lt;=100000,'中古車掲載'!AL1082=1,'中古車掲載'!Z1082="https://www.one2car.com/en/cars-for-sale/toyota/corolla-cross/year-2023"),'中古車掲載'!U1082,"")</x:f>
      </x:c>
      <x:c r="BH1081" t="str">
        <x:f>IF(AND('中古車掲載'!C1082="One2car",'中古車掲載'!F1082="DOLPHIN",'中古車掲載'!L1082="STANDARD RANGE",'中古車掲載'!J1082=2023,ISNUMBER('中古車掲載'!N1082),'中古車掲載'!N1082&gt;=20000,'中古車掲載'!O1082&lt;=100000,'中古車掲載'!AL1082=1),'中古車掲載'!U1082,"")</x:f>
      </x:c>
      <x:c r="BI1081" t="str">
        <x:v>Taladrod|Yaris Ativ|ICE|Unknown</x:v>
      </x:c>
      <x:c r="BJ1081" t="n">
        <x:v>1082</x:v>
      </x:c>
      <x:c r="BK1081" t="n">
        <x:f>'中古車掲載'!AM1082</x:f>
        <x:v>559000</x:v>
      </x:c>
      <x:c r="BL1081" t="str">
        <x:f>IF(ISNUMBER('中古車掲載'!AN1082),'中古車掲載'!AN1082,"")</x:f>
      </x:c>
    </x:row>
    <x:row r="1082">
      <x:c r="AZ1082" t="str">
        <x:f>IF(AND('中古車掲載'!C1083="One2car",'中古車掲載'!F1083="ATTO 3",'中古車掲載'!L1083="EXTENDED RANGE",'中古車掲載'!J1083=2023,ISNUMBER('中古車掲載'!N1083),'中古車掲載'!N1083&gt;=20000,'中古車掲載'!O1083&lt;=100000,'中古車掲載'!AL1083=1),'中古車掲載'!U1083,"")</x:f>
      </x:c>
      <x:c r="BA1082" t="str">
        <x:f>IF(AND('中古車掲載'!C1083="One2car",'中古車掲載'!F1083="Corolla Cross",'中古車掲載'!L1083="HEV PREMIUM SAFETY",'中古車掲載'!J1083=2023,ISNUMBER('中古車掲載'!N1083),'中古車掲載'!N1083&gt;=20000,'中古車掲載'!O1083&lt;=100000,'中古車掲載'!AL1083=1,'中古車掲載'!Z1083="https://www.one2car.com/en/cars-for-sale/toyota/corolla-cross/year-2023"),'中古車掲載'!U1083,"")</x:f>
      </x:c>
      <x:c r="BB1082" t="str">
        <x:f>IF(AND('中古車掲載'!C1083="One2car",'中古車掲載'!F1083="ATTO 3",'中古車掲載'!L1083="EXTENDED RANGE",'中古車掲載'!J1083=2023,ISNUMBER('中古車掲載'!N1083),'中古車掲載'!N1083&gt;=50000,'中古車掲載'!O1083&lt;=100000,'中古車掲載'!AL1083=1),'中古車掲載'!U1083,"")</x:f>
      </x:c>
      <x:c r="BC1082" t="str">
        <x:f>IF(AND('中古車掲載'!C1083="One2car",'中古車掲載'!F1083="Corolla Cross",'中古車掲載'!L1083="HEV PREMIUM SAFETY",'中古車掲載'!J1083=2023,ISNUMBER('中古車掲載'!N1083),'中古車掲載'!N1083&gt;=50000,'中古車掲載'!O1083&lt;=100000,'中古車掲載'!AL1083=1,'中古車掲載'!Z1083="https://www.one2car.com/en/cars-for-sale/toyota/corolla-cross/year-2023"),'中古車掲載'!U1083,"")</x:f>
      </x:c>
      <x:c r="BD1082" t="str">
        <x:f>IF(AND('中古車掲載'!C1083="One2car",'中古車掲載'!F1083="ATTO 3",'中古車掲載'!L1083="EXTENDED RANGE",'中古車掲載'!J1083=2023,ISNUMBER('中古車掲載'!N1083),'中古車掲載'!N1083&gt;=20000,'中古車掲載'!O1083&lt;=50000,'中古車掲載'!AL1083=1),'中古車掲載'!U1083,"")</x:f>
      </x:c>
      <x:c r="BE1082" t="str">
        <x:f>IF(AND('中古車掲載'!C1083="One2car",'中古車掲載'!F1083="Corolla Cross",'中古車掲載'!L1083="HEV PREMIUM SAFETY",'中古車掲載'!J1083=2023,ISNUMBER('中古車掲載'!N1083),'中古車掲載'!N1083&gt;=20000,'中古車掲載'!O1083&lt;=50000,'中古車掲載'!AL1083=1,'中古車掲載'!Z1083="https://www.one2car.com/en/cars-for-sale/toyota/corolla-cross/year-2023"),'中古車掲載'!U1083,"")</x:f>
      </x:c>
      <x:c r="BF1082" t="str">
        <x:f>IF(AND('中古車掲載'!C1083="One2car",'中古車掲載'!F1083="Corolla Cross",'中古車掲載'!L1083="HEV PREMIUM",'中古車掲載'!J1083=2023,ISNUMBER('中古車掲載'!N1083),'中古車掲載'!N1083&gt;=20000,'中古車掲載'!O1083&lt;=100000,'中古車掲載'!AL1083=1,'中古車掲載'!Z1083="https://www.one2car.com/en/cars-for-sale/toyota/corolla-cross/year-2023"),'中古車掲載'!U1083,"")</x:f>
      </x:c>
      <x:c r="BG1082" t="str">
        <x:f>IF(AND('中古車掲載'!C1083="One2car",'中古車掲載'!F1083="Corolla Cross",'中古車掲載'!L1083="HEV GR SPORT",'中古車掲載'!J1083=2023,ISNUMBER('中古車掲載'!N1083),'中古車掲載'!N1083&gt;=20000,'中古車掲載'!O1083&lt;=100000,'中古車掲載'!AL1083=1,'中古車掲載'!Z1083="https://www.one2car.com/en/cars-for-sale/toyota/corolla-cross/year-2023"),'中古車掲載'!U1083,"")</x:f>
      </x:c>
      <x:c r="BH1082" t="str">
        <x:f>IF(AND('中古車掲載'!C1083="One2car",'中古車掲載'!F1083="DOLPHIN",'中古車掲載'!L1083="STANDARD RANGE",'中古車掲載'!J1083=2023,ISNUMBER('中古車掲載'!N1083),'中古車掲載'!N1083&gt;=20000,'中古車掲載'!O1083&lt;=100000,'中古車掲載'!AL1083=1),'中古車掲載'!U1083,"")</x:f>
      </x:c>
      <x:c r="BI1082" t="str">
        <x:v>Taladrod|Yaris Ativ|ICE|Unknown</x:v>
      </x:c>
      <x:c r="BJ1082" t="n">
        <x:v>1083</x:v>
      </x:c>
      <x:c r="BK1082" t="n">
        <x:f>'中古車掲載'!AM1083</x:f>
        <x:v>569000</x:v>
      </x:c>
      <x:c r="BL1082" t="str">
        <x:f>IF(ISNUMBER('中古車掲載'!AN1083),'中古車掲載'!AN1083,"")</x:f>
      </x:c>
    </x:row>
    <x:row r="1083">
      <x:c r="AZ1083" t="str">
        <x:f>IF(AND('中古車掲載'!C1084="One2car",'中古車掲載'!F1084="ATTO 3",'中古車掲載'!L1084="EXTENDED RANGE",'中古車掲載'!J1084=2023,ISNUMBER('中古車掲載'!N1084),'中古車掲載'!N1084&gt;=20000,'中古車掲載'!O1084&lt;=100000,'中古車掲載'!AL1084=1),'中古車掲載'!U1084,"")</x:f>
      </x:c>
      <x:c r="BA1083" t="str">
        <x:f>IF(AND('中古車掲載'!C1084="One2car",'中古車掲載'!F1084="Corolla Cross",'中古車掲載'!L1084="HEV PREMIUM SAFETY",'中古車掲載'!J1084=2023,ISNUMBER('中古車掲載'!N1084),'中古車掲載'!N1084&gt;=20000,'中古車掲載'!O1084&lt;=100000,'中古車掲載'!AL1084=1,'中古車掲載'!Z1084="https://www.one2car.com/en/cars-for-sale/toyota/corolla-cross/year-2023"),'中古車掲載'!U1084,"")</x:f>
      </x:c>
      <x:c r="BB1083" t="str">
        <x:f>IF(AND('中古車掲載'!C1084="One2car",'中古車掲載'!F1084="ATTO 3",'中古車掲載'!L1084="EXTENDED RANGE",'中古車掲載'!J1084=2023,ISNUMBER('中古車掲載'!N1084),'中古車掲載'!N1084&gt;=50000,'中古車掲載'!O1084&lt;=100000,'中古車掲載'!AL1084=1),'中古車掲載'!U1084,"")</x:f>
      </x:c>
      <x:c r="BC1083" t="str">
        <x:f>IF(AND('中古車掲載'!C1084="One2car",'中古車掲載'!F1084="Corolla Cross",'中古車掲載'!L1084="HEV PREMIUM SAFETY",'中古車掲載'!J1084=2023,ISNUMBER('中古車掲載'!N1084),'中古車掲載'!N1084&gt;=50000,'中古車掲載'!O1084&lt;=100000,'中古車掲載'!AL1084=1,'中古車掲載'!Z1084="https://www.one2car.com/en/cars-for-sale/toyota/corolla-cross/year-2023"),'中古車掲載'!U1084,"")</x:f>
      </x:c>
      <x:c r="BD1083" t="str">
        <x:f>IF(AND('中古車掲載'!C1084="One2car",'中古車掲載'!F1084="ATTO 3",'中古車掲載'!L1084="EXTENDED RANGE",'中古車掲載'!J1084=2023,ISNUMBER('中古車掲載'!N1084),'中古車掲載'!N1084&gt;=20000,'中古車掲載'!O1084&lt;=50000,'中古車掲載'!AL1084=1),'中古車掲載'!U1084,"")</x:f>
      </x:c>
      <x:c r="BE1083" t="str">
        <x:f>IF(AND('中古車掲載'!C1084="One2car",'中古車掲載'!F1084="Corolla Cross",'中古車掲載'!L1084="HEV PREMIUM SAFETY",'中古車掲載'!J1084=2023,ISNUMBER('中古車掲載'!N1084),'中古車掲載'!N1084&gt;=20000,'中古車掲載'!O1084&lt;=50000,'中古車掲載'!AL1084=1,'中古車掲載'!Z1084="https://www.one2car.com/en/cars-for-sale/toyota/corolla-cross/year-2023"),'中古車掲載'!U1084,"")</x:f>
      </x:c>
      <x:c r="BF1083" t="str">
        <x:f>IF(AND('中古車掲載'!C1084="One2car",'中古車掲載'!F1084="Corolla Cross",'中古車掲載'!L1084="HEV PREMIUM",'中古車掲載'!J1084=2023,ISNUMBER('中古車掲載'!N1084),'中古車掲載'!N1084&gt;=20000,'中古車掲載'!O1084&lt;=100000,'中古車掲載'!AL1084=1,'中古車掲載'!Z1084="https://www.one2car.com/en/cars-for-sale/toyota/corolla-cross/year-2023"),'中古車掲載'!U1084,"")</x:f>
      </x:c>
      <x:c r="BG1083" t="str">
        <x:f>IF(AND('中古車掲載'!C1084="One2car",'中古車掲載'!F1084="Corolla Cross",'中古車掲載'!L1084="HEV GR SPORT",'中古車掲載'!J1084=2023,ISNUMBER('中古車掲載'!N1084),'中古車掲載'!N1084&gt;=20000,'中古車掲載'!O1084&lt;=100000,'中古車掲載'!AL1084=1,'中古車掲載'!Z1084="https://www.one2car.com/en/cars-for-sale/toyota/corolla-cross/year-2023"),'中古車掲載'!U1084,"")</x:f>
      </x:c>
      <x:c r="BH1083" t="str">
        <x:f>IF(AND('中古車掲載'!C1084="One2car",'中古車掲載'!F1084="DOLPHIN",'中古車掲載'!L1084="STANDARD RANGE",'中古車掲載'!J1084=2023,ISNUMBER('中古車掲載'!N1084),'中古車掲載'!N1084&gt;=20000,'中古車掲載'!O1084&lt;=100000,'中古車掲載'!AL1084=1),'中古車掲載'!U1084,"")</x:f>
      </x:c>
      <x:c r="BI1083" t="str">
        <x:v>Taladrod|Yaris Ativ|ICE|Unknown</x:v>
      </x:c>
      <x:c r="BJ1083" t="n">
        <x:v>1084</x:v>
      </x:c>
      <x:c r="BK1083" t="n">
        <x:f>'中古車掲載'!AM1084</x:f>
        <x:v>475000</x:v>
      </x:c>
      <x:c r="BL1083" t="str">
        <x:f>IF(ISNUMBER('中古車掲載'!AN1084),'中古車掲載'!AN1084,"")</x:f>
      </x:c>
    </x:row>
    <x:row r="1084">
      <x:c r="AZ1084" t="str">
        <x:f>IF(AND('中古車掲載'!C1085="One2car",'中古車掲載'!F1085="ATTO 3",'中古車掲載'!L1085="EXTENDED RANGE",'中古車掲載'!J1085=2023,ISNUMBER('中古車掲載'!N1085),'中古車掲載'!N1085&gt;=20000,'中古車掲載'!O1085&lt;=100000,'中古車掲載'!AL1085=1),'中古車掲載'!U1085,"")</x:f>
      </x:c>
      <x:c r="BA1084" t="str">
        <x:f>IF(AND('中古車掲載'!C1085="One2car",'中古車掲載'!F1085="Corolla Cross",'中古車掲載'!L1085="HEV PREMIUM SAFETY",'中古車掲載'!J1085=2023,ISNUMBER('中古車掲載'!N1085),'中古車掲載'!N1085&gt;=20000,'中古車掲載'!O1085&lt;=100000,'中古車掲載'!AL1085=1,'中古車掲載'!Z1085="https://www.one2car.com/en/cars-for-sale/toyota/corolla-cross/year-2023"),'中古車掲載'!U1085,"")</x:f>
      </x:c>
      <x:c r="BB1084" t="str">
        <x:f>IF(AND('中古車掲載'!C1085="One2car",'中古車掲載'!F1085="ATTO 3",'中古車掲載'!L1085="EXTENDED RANGE",'中古車掲載'!J1085=2023,ISNUMBER('中古車掲載'!N1085),'中古車掲載'!N1085&gt;=50000,'中古車掲載'!O1085&lt;=100000,'中古車掲載'!AL1085=1),'中古車掲載'!U1085,"")</x:f>
      </x:c>
      <x:c r="BC1084" t="str">
        <x:f>IF(AND('中古車掲載'!C1085="One2car",'中古車掲載'!F1085="Corolla Cross",'中古車掲載'!L1085="HEV PREMIUM SAFETY",'中古車掲載'!J1085=2023,ISNUMBER('中古車掲載'!N1085),'中古車掲載'!N1085&gt;=50000,'中古車掲載'!O1085&lt;=100000,'中古車掲載'!AL1085=1,'中古車掲載'!Z1085="https://www.one2car.com/en/cars-for-sale/toyota/corolla-cross/year-2023"),'中古車掲載'!U1085,"")</x:f>
      </x:c>
      <x:c r="BD1084" t="str">
        <x:f>IF(AND('中古車掲載'!C1085="One2car",'中古車掲載'!F1085="ATTO 3",'中古車掲載'!L1085="EXTENDED RANGE",'中古車掲載'!J1085=2023,ISNUMBER('中古車掲載'!N1085),'中古車掲載'!N1085&gt;=20000,'中古車掲載'!O1085&lt;=50000,'中古車掲載'!AL1085=1),'中古車掲載'!U1085,"")</x:f>
      </x:c>
      <x:c r="BE1084" t="str">
        <x:f>IF(AND('中古車掲載'!C1085="One2car",'中古車掲載'!F1085="Corolla Cross",'中古車掲載'!L1085="HEV PREMIUM SAFETY",'中古車掲載'!J1085=2023,ISNUMBER('中古車掲載'!N1085),'中古車掲載'!N1085&gt;=20000,'中古車掲載'!O1085&lt;=50000,'中古車掲載'!AL1085=1,'中古車掲載'!Z1085="https://www.one2car.com/en/cars-for-sale/toyota/corolla-cross/year-2023"),'中古車掲載'!U1085,"")</x:f>
      </x:c>
      <x:c r="BF1084" t="str">
        <x:f>IF(AND('中古車掲載'!C1085="One2car",'中古車掲載'!F1085="Corolla Cross",'中古車掲載'!L1085="HEV PREMIUM",'中古車掲載'!J1085=2023,ISNUMBER('中古車掲載'!N1085),'中古車掲載'!N1085&gt;=20000,'中古車掲載'!O1085&lt;=100000,'中古車掲載'!AL1085=1,'中古車掲載'!Z1085="https://www.one2car.com/en/cars-for-sale/toyota/corolla-cross/year-2023"),'中古車掲載'!U1085,"")</x:f>
      </x:c>
      <x:c r="BG1084" t="str">
        <x:f>IF(AND('中古車掲載'!C1085="One2car",'中古車掲載'!F1085="Corolla Cross",'中古車掲載'!L1085="HEV GR SPORT",'中古車掲載'!J1085=2023,ISNUMBER('中古車掲載'!N1085),'中古車掲載'!N1085&gt;=20000,'中古車掲載'!O1085&lt;=100000,'中古車掲載'!AL1085=1,'中古車掲載'!Z1085="https://www.one2car.com/en/cars-for-sale/toyota/corolla-cross/year-2023"),'中古車掲載'!U1085,"")</x:f>
      </x:c>
      <x:c r="BH1084" t="str">
        <x:f>IF(AND('中古車掲載'!C1085="One2car",'中古車掲載'!F1085="DOLPHIN",'中古車掲載'!L1085="STANDARD RANGE",'中古車掲載'!J1085=2023,ISNUMBER('中古車掲載'!N1085),'中古車掲載'!N1085&gt;=20000,'中古車掲載'!O1085&lt;=100000,'中古車掲載'!AL1085=1),'中古車掲載'!U1085,"")</x:f>
      </x:c>
      <x:c r="BI1084" t="str">
        <x:v>Taladrod|Yaris Ativ|ICE|Unknown</x:v>
      </x:c>
      <x:c r="BJ1084" t="n">
        <x:v>1085</x:v>
      </x:c>
      <x:c r="BK1084" t="n">
        <x:f>'中古車掲載'!AM1085</x:f>
        <x:v>479000</x:v>
      </x:c>
      <x:c r="BL1084" t="str">
        <x:f>IF(ISNUMBER('中古車掲載'!AN1085),'中古車掲載'!AN1085,"")</x:f>
      </x:c>
    </x:row>
    <x:row r="1085">
      <x:c r="AZ1085" t="str">
        <x:f>IF(AND('中古車掲載'!C1086="One2car",'中古車掲載'!F1086="ATTO 3",'中古車掲載'!L1086="EXTENDED RANGE",'中古車掲載'!J1086=2023,ISNUMBER('中古車掲載'!N1086),'中古車掲載'!N1086&gt;=20000,'中古車掲載'!O1086&lt;=100000,'中古車掲載'!AL1086=1),'中古車掲載'!U1086,"")</x:f>
      </x:c>
      <x:c r="BA1085" t="str">
        <x:f>IF(AND('中古車掲載'!C1086="One2car",'中古車掲載'!F1086="Corolla Cross",'中古車掲載'!L1086="HEV PREMIUM SAFETY",'中古車掲載'!J1086=2023,ISNUMBER('中古車掲載'!N1086),'中古車掲載'!N1086&gt;=20000,'中古車掲載'!O1086&lt;=100000,'中古車掲載'!AL1086=1,'中古車掲載'!Z1086="https://www.one2car.com/en/cars-for-sale/toyota/corolla-cross/year-2023"),'中古車掲載'!U1086,"")</x:f>
      </x:c>
      <x:c r="BB1085" t="str">
        <x:f>IF(AND('中古車掲載'!C1086="One2car",'中古車掲載'!F1086="ATTO 3",'中古車掲載'!L1086="EXTENDED RANGE",'中古車掲載'!J1086=2023,ISNUMBER('中古車掲載'!N1086),'中古車掲載'!N1086&gt;=50000,'中古車掲載'!O1086&lt;=100000,'中古車掲載'!AL1086=1),'中古車掲載'!U1086,"")</x:f>
      </x:c>
      <x:c r="BC1085" t="str">
        <x:f>IF(AND('中古車掲載'!C1086="One2car",'中古車掲載'!F1086="Corolla Cross",'中古車掲載'!L1086="HEV PREMIUM SAFETY",'中古車掲載'!J1086=2023,ISNUMBER('中古車掲載'!N1086),'中古車掲載'!N1086&gt;=50000,'中古車掲載'!O1086&lt;=100000,'中古車掲載'!AL1086=1,'中古車掲載'!Z1086="https://www.one2car.com/en/cars-for-sale/toyota/corolla-cross/year-2023"),'中古車掲載'!U1086,"")</x:f>
      </x:c>
      <x:c r="BD1085" t="str">
        <x:f>IF(AND('中古車掲載'!C1086="One2car",'中古車掲載'!F1086="ATTO 3",'中古車掲載'!L1086="EXTENDED RANGE",'中古車掲載'!J1086=2023,ISNUMBER('中古車掲載'!N1086),'中古車掲載'!N1086&gt;=20000,'中古車掲載'!O1086&lt;=50000,'中古車掲載'!AL1086=1),'中古車掲載'!U1086,"")</x:f>
      </x:c>
      <x:c r="BE1085" t="str">
        <x:f>IF(AND('中古車掲載'!C1086="One2car",'中古車掲載'!F1086="Corolla Cross",'中古車掲載'!L1086="HEV PREMIUM SAFETY",'中古車掲載'!J1086=2023,ISNUMBER('中古車掲載'!N1086),'中古車掲載'!N1086&gt;=20000,'中古車掲載'!O1086&lt;=50000,'中古車掲載'!AL1086=1,'中古車掲載'!Z1086="https://www.one2car.com/en/cars-for-sale/toyota/corolla-cross/year-2023"),'中古車掲載'!U1086,"")</x:f>
      </x:c>
      <x:c r="BF1085" t="str">
        <x:f>IF(AND('中古車掲載'!C1086="One2car",'中古車掲載'!F1086="Corolla Cross",'中古車掲載'!L1086="HEV PREMIUM",'中古車掲載'!J1086=2023,ISNUMBER('中古車掲載'!N1086),'中古車掲載'!N1086&gt;=20000,'中古車掲載'!O1086&lt;=100000,'中古車掲載'!AL1086=1,'中古車掲載'!Z1086="https://www.one2car.com/en/cars-for-sale/toyota/corolla-cross/year-2023"),'中古車掲載'!U1086,"")</x:f>
      </x:c>
      <x:c r="BG1085" t="str">
        <x:f>IF(AND('中古車掲載'!C1086="One2car",'中古車掲載'!F1086="Corolla Cross",'中古車掲載'!L1086="HEV GR SPORT",'中古車掲載'!J1086=2023,ISNUMBER('中古車掲載'!N1086),'中古車掲載'!N1086&gt;=20000,'中古車掲載'!O1086&lt;=100000,'中古車掲載'!AL1086=1,'中古車掲載'!Z1086="https://www.one2car.com/en/cars-for-sale/toyota/corolla-cross/year-2023"),'中古車掲載'!U1086,"")</x:f>
      </x:c>
      <x:c r="BH1085" t="str">
        <x:f>IF(AND('中古車掲載'!C1086="One2car",'中古車掲載'!F1086="DOLPHIN",'中古車掲載'!L1086="STANDARD RANGE",'中古車掲載'!J1086=2023,ISNUMBER('中古車掲載'!N1086),'中古車掲載'!N1086&gt;=20000,'中古車掲載'!O1086&lt;=100000,'中古車掲載'!AL1086=1),'中古車掲載'!U1086,"")</x:f>
      </x:c>
      <x:c r="BI1085" t="str">
        <x:v>Taladrod|Yaris Ativ|ICE|Unknown</x:v>
      </x:c>
      <x:c r="BJ1085" t="n">
        <x:v>1086</x:v>
      </x:c>
      <x:c r="BK1085" t="n">
        <x:f>'中古車掲載'!AM1086</x:f>
        <x:v>499000</x:v>
      </x:c>
      <x:c r="BL1085" t="str">
        <x:f>IF(ISNUMBER('中古車掲載'!AN1086),'中古車掲載'!AN1086,"")</x:f>
      </x:c>
    </x:row>
    <x:row r="1086">
      <x:c r="AZ1086" t="str">
        <x:f>IF(AND('中古車掲載'!C1087="One2car",'中古車掲載'!F1087="ATTO 3",'中古車掲載'!L1087="EXTENDED RANGE",'中古車掲載'!J1087=2023,ISNUMBER('中古車掲載'!N1087),'中古車掲載'!N1087&gt;=20000,'中古車掲載'!O1087&lt;=100000,'中古車掲載'!AL1087=1),'中古車掲載'!U1087,"")</x:f>
      </x:c>
      <x:c r="BA1086" t="str">
        <x:f>IF(AND('中古車掲載'!C1087="One2car",'中古車掲載'!F1087="Corolla Cross",'中古車掲載'!L1087="HEV PREMIUM SAFETY",'中古車掲載'!J1087=2023,ISNUMBER('中古車掲載'!N1087),'中古車掲載'!N1087&gt;=20000,'中古車掲載'!O1087&lt;=100000,'中古車掲載'!AL1087=1,'中古車掲載'!Z1087="https://www.one2car.com/en/cars-for-sale/toyota/corolla-cross/year-2023"),'中古車掲載'!U1087,"")</x:f>
      </x:c>
      <x:c r="BB1086" t="str">
        <x:f>IF(AND('中古車掲載'!C1087="One2car",'中古車掲載'!F1087="ATTO 3",'中古車掲載'!L1087="EXTENDED RANGE",'中古車掲載'!J1087=2023,ISNUMBER('中古車掲載'!N1087),'中古車掲載'!N1087&gt;=50000,'中古車掲載'!O1087&lt;=100000,'中古車掲載'!AL1087=1),'中古車掲載'!U1087,"")</x:f>
      </x:c>
      <x:c r="BC1086" t="str">
        <x:f>IF(AND('中古車掲載'!C1087="One2car",'中古車掲載'!F1087="Corolla Cross",'中古車掲載'!L1087="HEV PREMIUM SAFETY",'中古車掲載'!J1087=2023,ISNUMBER('中古車掲載'!N1087),'中古車掲載'!N1087&gt;=50000,'中古車掲載'!O1087&lt;=100000,'中古車掲載'!AL1087=1,'中古車掲載'!Z1087="https://www.one2car.com/en/cars-for-sale/toyota/corolla-cross/year-2023"),'中古車掲載'!U1087,"")</x:f>
      </x:c>
      <x:c r="BD1086" t="str">
        <x:f>IF(AND('中古車掲載'!C1087="One2car",'中古車掲載'!F1087="ATTO 3",'中古車掲載'!L1087="EXTENDED RANGE",'中古車掲載'!J1087=2023,ISNUMBER('中古車掲載'!N1087),'中古車掲載'!N1087&gt;=20000,'中古車掲載'!O1087&lt;=50000,'中古車掲載'!AL1087=1),'中古車掲載'!U1087,"")</x:f>
      </x:c>
      <x:c r="BE1086" t="str">
        <x:f>IF(AND('中古車掲載'!C1087="One2car",'中古車掲載'!F1087="Corolla Cross",'中古車掲載'!L1087="HEV PREMIUM SAFETY",'中古車掲載'!J1087=2023,ISNUMBER('中古車掲載'!N1087),'中古車掲載'!N1087&gt;=20000,'中古車掲載'!O1087&lt;=50000,'中古車掲載'!AL1087=1,'中古車掲載'!Z1087="https://www.one2car.com/en/cars-for-sale/toyota/corolla-cross/year-2023"),'中古車掲載'!U1087,"")</x:f>
      </x:c>
      <x:c r="BF1086" t="str">
        <x:f>IF(AND('中古車掲載'!C1087="One2car",'中古車掲載'!F1087="Corolla Cross",'中古車掲載'!L1087="HEV PREMIUM",'中古車掲載'!J1087=2023,ISNUMBER('中古車掲載'!N1087),'中古車掲載'!N1087&gt;=20000,'中古車掲載'!O1087&lt;=100000,'中古車掲載'!AL1087=1,'中古車掲載'!Z1087="https://www.one2car.com/en/cars-for-sale/toyota/corolla-cross/year-2023"),'中古車掲載'!U1087,"")</x:f>
      </x:c>
      <x:c r="BG1086" t="str">
        <x:f>IF(AND('中古車掲載'!C1087="One2car",'中古車掲載'!F1087="Corolla Cross",'中古車掲載'!L1087="HEV GR SPORT",'中古車掲載'!J1087=2023,ISNUMBER('中古車掲載'!N1087),'中古車掲載'!N1087&gt;=20000,'中古車掲載'!O1087&lt;=100000,'中古車掲載'!AL1087=1,'中古車掲載'!Z1087="https://www.one2car.com/en/cars-for-sale/toyota/corolla-cross/year-2023"),'中古車掲載'!U1087,"")</x:f>
      </x:c>
      <x:c r="BH1086" t="str">
        <x:f>IF(AND('中古車掲載'!C1087="One2car",'中古車掲載'!F1087="DOLPHIN",'中古車掲載'!L1087="STANDARD RANGE",'中古車掲載'!J1087=2023,ISNUMBER('中古車掲載'!N1087),'中古車掲載'!N1087&gt;=20000,'中古車掲載'!O1087&lt;=100000,'中古車掲載'!AL1087=1),'中古車掲載'!U1087,"")</x:f>
      </x:c>
      <x:c r="BI1086" t="str">
        <x:v>Taladrod|Yaris Ativ|ICE|Unknown</x:v>
      </x:c>
      <x:c r="BJ1086" t="n">
        <x:v>1087</x:v>
      </x:c>
      <x:c r="BK1086" t="n">
        <x:f>'中古車掲載'!AM1087</x:f>
        <x:v>489000</x:v>
      </x:c>
      <x:c r="BL1086" t="str">
        <x:f>IF(ISNUMBER('中古車掲載'!AN1087),'中古車掲載'!AN1087,"")</x:f>
      </x:c>
    </x:row>
    <x:row r="1087">
      <x:c r="AZ1087" t="str">
        <x:f>IF(AND('中古車掲載'!C1088="One2car",'中古車掲載'!F1088="ATTO 3",'中古車掲載'!L1088="EXTENDED RANGE",'中古車掲載'!J1088=2023,ISNUMBER('中古車掲載'!N1088),'中古車掲載'!N1088&gt;=20000,'中古車掲載'!O1088&lt;=100000,'中古車掲載'!AL1088=1),'中古車掲載'!U1088,"")</x:f>
      </x:c>
      <x:c r="BA1087" t="str">
        <x:f>IF(AND('中古車掲載'!C1088="One2car",'中古車掲載'!F1088="Corolla Cross",'中古車掲載'!L1088="HEV PREMIUM SAFETY",'中古車掲載'!J1088=2023,ISNUMBER('中古車掲載'!N1088),'中古車掲載'!N1088&gt;=20000,'中古車掲載'!O1088&lt;=100000,'中古車掲載'!AL1088=1,'中古車掲載'!Z1088="https://www.one2car.com/en/cars-for-sale/toyota/corolla-cross/year-2023"),'中古車掲載'!U1088,"")</x:f>
      </x:c>
      <x:c r="BB1087" t="str">
        <x:f>IF(AND('中古車掲載'!C1088="One2car",'中古車掲載'!F1088="ATTO 3",'中古車掲載'!L1088="EXTENDED RANGE",'中古車掲載'!J1088=2023,ISNUMBER('中古車掲載'!N1088),'中古車掲載'!N1088&gt;=50000,'中古車掲載'!O1088&lt;=100000,'中古車掲載'!AL1088=1),'中古車掲載'!U1088,"")</x:f>
      </x:c>
      <x:c r="BC1087" t="str">
        <x:f>IF(AND('中古車掲載'!C1088="One2car",'中古車掲載'!F1088="Corolla Cross",'中古車掲載'!L1088="HEV PREMIUM SAFETY",'中古車掲載'!J1088=2023,ISNUMBER('中古車掲載'!N1088),'中古車掲載'!N1088&gt;=50000,'中古車掲載'!O1088&lt;=100000,'中古車掲載'!AL1088=1,'中古車掲載'!Z1088="https://www.one2car.com/en/cars-for-sale/toyota/corolla-cross/year-2023"),'中古車掲載'!U1088,"")</x:f>
      </x:c>
      <x:c r="BD1087" t="str">
        <x:f>IF(AND('中古車掲載'!C1088="One2car",'中古車掲載'!F1088="ATTO 3",'中古車掲載'!L1088="EXTENDED RANGE",'中古車掲載'!J1088=2023,ISNUMBER('中古車掲載'!N1088),'中古車掲載'!N1088&gt;=20000,'中古車掲載'!O1088&lt;=50000,'中古車掲載'!AL1088=1),'中古車掲載'!U1088,"")</x:f>
      </x:c>
      <x:c r="BE1087" t="str">
        <x:f>IF(AND('中古車掲載'!C1088="One2car",'中古車掲載'!F1088="Corolla Cross",'中古車掲載'!L1088="HEV PREMIUM SAFETY",'中古車掲載'!J1088=2023,ISNUMBER('中古車掲載'!N1088),'中古車掲載'!N1088&gt;=20000,'中古車掲載'!O1088&lt;=50000,'中古車掲載'!AL1088=1,'中古車掲載'!Z1088="https://www.one2car.com/en/cars-for-sale/toyota/corolla-cross/year-2023"),'中古車掲載'!U1088,"")</x:f>
      </x:c>
      <x:c r="BF1087" t="str">
        <x:f>IF(AND('中古車掲載'!C1088="One2car",'中古車掲載'!F1088="Corolla Cross",'中古車掲載'!L1088="HEV PREMIUM",'中古車掲載'!J1088=2023,ISNUMBER('中古車掲載'!N1088),'中古車掲載'!N1088&gt;=20000,'中古車掲載'!O1088&lt;=100000,'中古車掲載'!AL1088=1,'中古車掲載'!Z1088="https://www.one2car.com/en/cars-for-sale/toyota/corolla-cross/year-2023"),'中古車掲載'!U1088,"")</x:f>
      </x:c>
      <x:c r="BG1087" t="str">
        <x:f>IF(AND('中古車掲載'!C1088="One2car",'中古車掲載'!F1088="Corolla Cross",'中古車掲載'!L1088="HEV GR SPORT",'中古車掲載'!J1088=2023,ISNUMBER('中古車掲載'!N1088),'中古車掲載'!N1088&gt;=20000,'中古車掲載'!O1088&lt;=100000,'中古車掲載'!AL1088=1,'中古車掲載'!Z1088="https://www.one2car.com/en/cars-for-sale/toyota/corolla-cross/year-2023"),'中古車掲載'!U1088,"")</x:f>
      </x:c>
      <x:c r="BH1087" t="str">
        <x:f>IF(AND('中古車掲載'!C1088="One2car",'中古車掲載'!F1088="DOLPHIN",'中古車掲載'!L1088="STANDARD RANGE",'中古車掲載'!J1088=2023,ISNUMBER('中古車掲載'!N1088),'中古車掲載'!N1088&gt;=20000,'中古車掲載'!O1088&lt;=100000,'中古車掲載'!AL1088=1),'中古車掲載'!U1088,"")</x:f>
      </x:c>
      <x:c r="BI1087" t="str">
        <x:v>Taladrod|Yaris Ativ|ICE|Unknown</x:v>
      </x:c>
      <x:c r="BJ1087" t="n">
        <x:v>1088</x:v>
      </x:c>
      <x:c r="BK1087" t="n">
        <x:f>'中古車掲載'!AM1088</x:f>
        <x:v>459000</x:v>
      </x:c>
      <x:c r="BL1087" t="str">
        <x:f>IF(ISNUMBER('中古車掲載'!AN1088),'中古車掲載'!AN1088,"")</x:f>
      </x:c>
    </x:row>
    <x:row r="1088">
      <x:c r="AZ1088" t="str">
        <x:f>IF(AND('中古車掲載'!C1089="One2car",'中古車掲載'!F1089="ATTO 3",'中古車掲載'!L1089="EXTENDED RANGE",'中古車掲載'!J1089=2023,ISNUMBER('中古車掲載'!N1089),'中古車掲載'!N1089&gt;=20000,'中古車掲載'!O1089&lt;=100000,'中古車掲載'!AL1089=1),'中古車掲載'!U1089,"")</x:f>
      </x:c>
      <x:c r="BA1088" t="str">
        <x:f>IF(AND('中古車掲載'!C1089="One2car",'中古車掲載'!F1089="Corolla Cross",'中古車掲載'!L1089="HEV PREMIUM SAFETY",'中古車掲載'!J1089=2023,ISNUMBER('中古車掲載'!N1089),'中古車掲載'!N1089&gt;=20000,'中古車掲載'!O1089&lt;=100000,'中古車掲載'!AL1089=1,'中古車掲載'!Z1089="https://www.one2car.com/en/cars-for-sale/toyota/corolla-cross/year-2023"),'中古車掲載'!U1089,"")</x:f>
      </x:c>
      <x:c r="BB1088" t="str">
        <x:f>IF(AND('中古車掲載'!C1089="One2car",'中古車掲載'!F1089="ATTO 3",'中古車掲載'!L1089="EXTENDED RANGE",'中古車掲載'!J1089=2023,ISNUMBER('中古車掲載'!N1089),'中古車掲載'!N1089&gt;=50000,'中古車掲載'!O1089&lt;=100000,'中古車掲載'!AL1089=1),'中古車掲載'!U1089,"")</x:f>
      </x:c>
      <x:c r="BC1088" t="str">
        <x:f>IF(AND('中古車掲載'!C1089="One2car",'中古車掲載'!F1089="Corolla Cross",'中古車掲載'!L1089="HEV PREMIUM SAFETY",'中古車掲載'!J1089=2023,ISNUMBER('中古車掲載'!N1089),'中古車掲載'!N1089&gt;=50000,'中古車掲載'!O1089&lt;=100000,'中古車掲載'!AL1089=1,'中古車掲載'!Z1089="https://www.one2car.com/en/cars-for-sale/toyota/corolla-cross/year-2023"),'中古車掲載'!U1089,"")</x:f>
      </x:c>
      <x:c r="BD1088" t="str">
        <x:f>IF(AND('中古車掲載'!C1089="One2car",'中古車掲載'!F1089="ATTO 3",'中古車掲載'!L1089="EXTENDED RANGE",'中古車掲載'!J1089=2023,ISNUMBER('中古車掲載'!N1089),'中古車掲載'!N1089&gt;=20000,'中古車掲載'!O1089&lt;=50000,'中古車掲載'!AL1089=1),'中古車掲載'!U1089,"")</x:f>
      </x:c>
      <x:c r="BE1088" t="str">
        <x:f>IF(AND('中古車掲載'!C1089="One2car",'中古車掲載'!F1089="Corolla Cross",'中古車掲載'!L1089="HEV PREMIUM SAFETY",'中古車掲載'!J1089=2023,ISNUMBER('中古車掲載'!N1089),'中古車掲載'!N1089&gt;=20000,'中古車掲載'!O1089&lt;=50000,'中古車掲載'!AL1089=1,'中古車掲載'!Z1089="https://www.one2car.com/en/cars-for-sale/toyota/corolla-cross/year-2023"),'中古車掲載'!U1089,"")</x:f>
      </x:c>
      <x:c r="BF1088" t="str">
        <x:f>IF(AND('中古車掲載'!C1089="One2car",'中古車掲載'!F1089="Corolla Cross",'中古車掲載'!L1089="HEV PREMIUM",'中古車掲載'!J1089=2023,ISNUMBER('中古車掲載'!N1089),'中古車掲載'!N1089&gt;=20000,'中古車掲載'!O1089&lt;=100000,'中古車掲載'!AL1089=1,'中古車掲載'!Z1089="https://www.one2car.com/en/cars-for-sale/toyota/corolla-cross/year-2023"),'中古車掲載'!U1089,"")</x:f>
      </x:c>
      <x:c r="BG1088" t="str">
        <x:f>IF(AND('中古車掲載'!C1089="One2car",'中古車掲載'!F1089="Corolla Cross",'中古車掲載'!L1089="HEV GR SPORT",'中古車掲載'!J1089=2023,ISNUMBER('中古車掲載'!N1089),'中古車掲載'!N1089&gt;=20000,'中古車掲載'!O1089&lt;=100000,'中古車掲載'!AL1089=1,'中古車掲載'!Z1089="https://www.one2car.com/en/cars-for-sale/toyota/corolla-cross/year-2023"),'中古車掲載'!U1089,"")</x:f>
      </x:c>
      <x:c r="BH1088" t="str">
        <x:f>IF(AND('中古車掲載'!C1089="One2car",'中古車掲載'!F1089="DOLPHIN",'中古車掲載'!L1089="STANDARD RANGE",'中古車掲載'!J1089=2023,ISNUMBER('中古車掲載'!N1089),'中古車掲載'!N1089&gt;=20000,'中古車掲載'!O1089&lt;=100000,'中古車掲載'!AL1089=1),'中古車掲載'!U1089,"")</x:f>
      </x:c>
      <x:c r="BI1088" t="str">
        <x:v>Taladrod|Yaris Ativ|ICE|Unknown</x:v>
      </x:c>
      <x:c r="BJ1088" t="n">
        <x:v>1089</x:v>
      </x:c>
      <x:c r="BK1088" t="n">
        <x:f>'中古車掲載'!AM1089</x:f>
        <x:v>499000</x:v>
      </x:c>
      <x:c r="BL1088" t="str">
        <x:f>IF(ISNUMBER('中古車掲載'!AN1089),'中古車掲載'!AN1089,"")</x:f>
      </x:c>
    </x:row>
    <x:row r="1089">
      <x:c r="AZ1089" t="str">
        <x:f>IF(AND('中古車掲載'!C1090="One2car",'中古車掲載'!F1090="ATTO 3",'中古車掲載'!L1090="EXTENDED RANGE",'中古車掲載'!J1090=2023,ISNUMBER('中古車掲載'!N1090),'中古車掲載'!N1090&gt;=20000,'中古車掲載'!O1090&lt;=100000,'中古車掲載'!AL1090=1),'中古車掲載'!U1090,"")</x:f>
      </x:c>
      <x:c r="BA1089" t="str">
        <x:f>IF(AND('中古車掲載'!C1090="One2car",'中古車掲載'!F1090="Corolla Cross",'中古車掲載'!L1090="HEV PREMIUM SAFETY",'中古車掲載'!J1090=2023,ISNUMBER('中古車掲載'!N1090),'中古車掲載'!N1090&gt;=20000,'中古車掲載'!O1090&lt;=100000,'中古車掲載'!AL1090=1,'中古車掲載'!Z1090="https://www.one2car.com/en/cars-for-sale/toyota/corolla-cross/year-2023"),'中古車掲載'!U1090,"")</x:f>
      </x:c>
      <x:c r="BB1089" t="str">
        <x:f>IF(AND('中古車掲載'!C1090="One2car",'中古車掲載'!F1090="ATTO 3",'中古車掲載'!L1090="EXTENDED RANGE",'中古車掲載'!J1090=2023,ISNUMBER('中古車掲載'!N1090),'中古車掲載'!N1090&gt;=50000,'中古車掲載'!O1090&lt;=100000,'中古車掲載'!AL1090=1),'中古車掲載'!U1090,"")</x:f>
      </x:c>
      <x:c r="BC1089" t="str">
        <x:f>IF(AND('中古車掲載'!C1090="One2car",'中古車掲載'!F1090="Corolla Cross",'中古車掲載'!L1090="HEV PREMIUM SAFETY",'中古車掲載'!J1090=2023,ISNUMBER('中古車掲載'!N1090),'中古車掲載'!N1090&gt;=50000,'中古車掲載'!O1090&lt;=100000,'中古車掲載'!AL1090=1,'中古車掲載'!Z1090="https://www.one2car.com/en/cars-for-sale/toyota/corolla-cross/year-2023"),'中古車掲載'!U1090,"")</x:f>
      </x:c>
      <x:c r="BD1089" t="str">
        <x:f>IF(AND('中古車掲載'!C1090="One2car",'中古車掲載'!F1090="ATTO 3",'中古車掲載'!L1090="EXTENDED RANGE",'中古車掲載'!J1090=2023,ISNUMBER('中古車掲載'!N1090),'中古車掲載'!N1090&gt;=20000,'中古車掲載'!O1090&lt;=50000,'中古車掲載'!AL1090=1),'中古車掲載'!U1090,"")</x:f>
      </x:c>
      <x:c r="BE1089" t="str">
        <x:f>IF(AND('中古車掲載'!C1090="One2car",'中古車掲載'!F1090="Corolla Cross",'中古車掲載'!L1090="HEV PREMIUM SAFETY",'中古車掲載'!J1090=2023,ISNUMBER('中古車掲載'!N1090),'中古車掲載'!N1090&gt;=20000,'中古車掲載'!O1090&lt;=50000,'中古車掲載'!AL1090=1,'中古車掲載'!Z1090="https://www.one2car.com/en/cars-for-sale/toyota/corolla-cross/year-2023"),'中古車掲載'!U1090,"")</x:f>
      </x:c>
      <x:c r="BF1089" t="str">
        <x:f>IF(AND('中古車掲載'!C1090="One2car",'中古車掲載'!F1090="Corolla Cross",'中古車掲載'!L1090="HEV PREMIUM",'中古車掲載'!J1090=2023,ISNUMBER('中古車掲載'!N1090),'中古車掲載'!N1090&gt;=20000,'中古車掲載'!O1090&lt;=100000,'中古車掲載'!AL1090=1,'中古車掲載'!Z1090="https://www.one2car.com/en/cars-for-sale/toyota/corolla-cross/year-2023"),'中古車掲載'!U1090,"")</x:f>
      </x:c>
      <x:c r="BG1089" t="str">
        <x:f>IF(AND('中古車掲載'!C1090="One2car",'中古車掲載'!F1090="Corolla Cross",'中古車掲載'!L1090="HEV GR SPORT",'中古車掲載'!J1090=2023,ISNUMBER('中古車掲載'!N1090),'中古車掲載'!N1090&gt;=20000,'中古車掲載'!O1090&lt;=100000,'中古車掲載'!AL1090=1,'中古車掲載'!Z1090="https://www.one2car.com/en/cars-for-sale/toyota/corolla-cross/year-2023"),'中古車掲載'!U1090,"")</x:f>
      </x:c>
      <x:c r="BH1089" t="str">
        <x:f>IF(AND('中古車掲載'!C1090="One2car",'中古車掲載'!F1090="DOLPHIN",'中古車掲載'!L1090="STANDARD RANGE",'中古車掲載'!J1090=2023,ISNUMBER('中古車掲載'!N1090),'中古車掲載'!N1090&gt;=20000,'中古車掲載'!O1090&lt;=100000,'中古車掲載'!AL1090=1),'中古車掲載'!U1090,"")</x:f>
      </x:c>
      <x:c r="BI1089" t="str">
        <x:v>Taladrod|Yaris Ativ|ICE|Unknown</x:v>
      </x:c>
      <x:c r="BJ1089" t="n">
        <x:v>1090</x:v>
      </x:c>
      <x:c r="BK1089" t="n">
        <x:f>'中古車掲載'!AM1090</x:f>
        <x:v>450000</x:v>
      </x:c>
      <x:c r="BL1089" t="str">
        <x:f>IF(ISNUMBER('中古車掲載'!AN1090),'中古車掲載'!AN1090,"")</x:f>
      </x:c>
    </x:row>
    <x:row r="1090">
      <x:c r="AZ1090" t="str">
        <x:f>IF(AND('中古車掲載'!C1091="One2car",'中古車掲載'!F1091="ATTO 3",'中古車掲載'!L1091="EXTENDED RANGE",'中古車掲載'!J1091=2023,ISNUMBER('中古車掲載'!N1091),'中古車掲載'!N1091&gt;=20000,'中古車掲載'!O1091&lt;=100000,'中古車掲載'!AL1091=1),'中古車掲載'!U1091,"")</x:f>
      </x:c>
      <x:c r="BA1090" t="str">
        <x:f>IF(AND('中古車掲載'!C1091="One2car",'中古車掲載'!F1091="Corolla Cross",'中古車掲載'!L1091="HEV PREMIUM SAFETY",'中古車掲載'!J1091=2023,ISNUMBER('中古車掲載'!N1091),'中古車掲載'!N1091&gt;=20000,'中古車掲載'!O1091&lt;=100000,'中古車掲載'!AL1091=1,'中古車掲載'!Z1091="https://www.one2car.com/en/cars-for-sale/toyota/corolla-cross/year-2023"),'中古車掲載'!U1091,"")</x:f>
      </x:c>
      <x:c r="BB1090" t="str">
        <x:f>IF(AND('中古車掲載'!C1091="One2car",'中古車掲載'!F1091="ATTO 3",'中古車掲載'!L1091="EXTENDED RANGE",'中古車掲載'!J1091=2023,ISNUMBER('中古車掲載'!N1091),'中古車掲載'!N1091&gt;=50000,'中古車掲載'!O1091&lt;=100000,'中古車掲載'!AL1091=1),'中古車掲載'!U1091,"")</x:f>
      </x:c>
      <x:c r="BC1090" t="str">
        <x:f>IF(AND('中古車掲載'!C1091="One2car",'中古車掲載'!F1091="Corolla Cross",'中古車掲載'!L1091="HEV PREMIUM SAFETY",'中古車掲載'!J1091=2023,ISNUMBER('中古車掲載'!N1091),'中古車掲載'!N1091&gt;=50000,'中古車掲載'!O1091&lt;=100000,'中古車掲載'!AL1091=1,'中古車掲載'!Z1091="https://www.one2car.com/en/cars-for-sale/toyota/corolla-cross/year-2023"),'中古車掲載'!U1091,"")</x:f>
      </x:c>
      <x:c r="BD1090" t="str">
        <x:f>IF(AND('中古車掲載'!C1091="One2car",'中古車掲載'!F1091="ATTO 3",'中古車掲載'!L1091="EXTENDED RANGE",'中古車掲載'!J1091=2023,ISNUMBER('中古車掲載'!N1091),'中古車掲載'!N1091&gt;=20000,'中古車掲載'!O1091&lt;=50000,'中古車掲載'!AL1091=1),'中古車掲載'!U1091,"")</x:f>
      </x:c>
      <x:c r="BE1090" t="str">
        <x:f>IF(AND('中古車掲載'!C1091="One2car",'中古車掲載'!F1091="Corolla Cross",'中古車掲載'!L1091="HEV PREMIUM SAFETY",'中古車掲載'!J1091=2023,ISNUMBER('中古車掲載'!N1091),'中古車掲載'!N1091&gt;=20000,'中古車掲載'!O1091&lt;=50000,'中古車掲載'!AL1091=1,'中古車掲載'!Z1091="https://www.one2car.com/en/cars-for-sale/toyota/corolla-cross/year-2023"),'中古車掲載'!U1091,"")</x:f>
      </x:c>
      <x:c r="BF1090" t="str">
        <x:f>IF(AND('中古車掲載'!C1091="One2car",'中古車掲載'!F1091="Corolla Cross",'中古車掲載'!L1091="HEV PREMIUM",'中古車掲載'!J1091=2023,ISNUMBER('中古車掲載'!N1091),'中古車掲載'!N1091&gt;=20000,'中古車掲載'!O1091&lt;=100000,'中古車掲載'!AL1091=1,'中古車掲載'!Z1091="https://www.one2car.com/en/cars-for-sale/toyota/corolla-cross/year-2023"),'中古車掲載'!U1091,"")</x:f>
      </x:c>
      <x:c r="BG1090" t="str">
        <x:f>IF(AND('中古車掲載'!C1091="One2car",'中古車掲載'!F1091="Corolla Cross",'中古車掲載'!L1091="HEV GR SPORT",'中古車掲載'!J1091=2023,ISNUMBER('中古車掲載'!N1091),'中古車掲載'!N1091&gt;=20000,'中古車掲載'!O1091&lt;=100000,'中古車掲載'!AL1091=1,'中古車掲載'!Z1091="https://www.one2car.com/en/cars-for-sale/toyota/corolla-cross/year-2023"),'中古車掲載'!U1091,"")</x:f>
      </x:c>
      <x:c r="BH1090" t="str">
        <x:f>IF(AND('中古車掲載'!C1091="One2car",'中古車掲載'!F1091="DOLPHIN",'中古車掲載'!L1091="STANDARD RANGE",'中古車掲載'!J1091=2023,ISNUMBER('中古車掲載'!N1091),'中古車掲載'!N1091&gt;=20000,'中古車掲載'!O1091&lt;=100000,'中古車掲載'!AL1091=1),'中古車掲載'!U1091,"")</x:f>
      </x:c>
      <x:c r="BI1090" t="str">
        <x:v>Taladrod|Yaris Ativ|ICE|Unknown</x:v>
      </x:c>
      <x:c r="BJ1090" t="n">
        <x:v>1091</x:v>
      </x:c>
      <x:c r="BK1090" t="n">
        <x:f>'中古車掲載'!AM1091</x:f>
        <x:v>478000</x:v>
      </x:c>
      <x:c r="BL1090" t="str">
        <x:f>IF(ISNUMBER('中古車掲載'!AN1091),'中古車掲載'!AN1091,"")</x:f>
      </x:c>
    </x:row>
    <x:row r="1091">
      <x:c r="AZ1091" t="str">
        <x:f>IF(AND('中古車掲載'!C1092="One2car",'中古車掲載'!F1092="ATTO 3",'中古車掲載'!L1092="EXTENDED RANGE",'中古車掲載'!J1092=2023,ISNUMBER('中古車掲載'!N1092),'中古車掲載'!N1092&gt;=20000,'中古車掲載'!O1092&lt;=100000,'中古車掲載'!AL1092=1),'中古車掲載'!U1092,"")</x:f>
      </x:c>
      <x:c r="BA1091" t="str">
        <x:f>IF(AND('中古車掲載'!C1092="One2car",'中古車掲載'!F1092="Corolla Cross",'中古車掲載'!L1092="HEV PREMIUM SAFETY",'中古車掲載'!J1092=2023,ISNUMBER('中古車掲載'!N1092),'中古車掲載'!N1092&gt;=20000,'中古車掲載'!O1092&lt;=100000,'中古車掲載'!AL1092=1,'中古車掲載'!Z1092="https://www.one2car.com/en/cars-for-sale/toyota/corolla-cross/year-2023"),'中古車掲載'!U1092,"")</x:f>
      </x:c>
      <x:c r="BB1091" t="str">
        <x:f>IF(AND('中古車掲載'!C1092="One2car",'中古車掲載'!F1092="ATTO 3",'中古車掲載'!L1092="EXTENDED RANGE",'中古車掲載'!J1092=2023,ISNUMBER('中古車掲載'!N1092),'中古車掲載'!N1092&gt;=50000,'中古車掲載'!O1092&lt;=100000,'中古車掲載'!AL1092=1),'中古車掲載'!U1092,"")</x:f>
      </x:c>
      <x:c r="BC1091" t="str">
        <x:f>IF(AND('中古車掲載'!C1092="One2car",'中古車掲載'!F1092="Corolla Cross",'中古車掲載'!L1092="HEV PREMIUM SAFETY",'中古車掲載'!J1092=2023,ISNUMBER('中古車掲載'!N1092),'中古車掲載'!N1092&gt;=50000,'中古車掲載'!O1092&lt;=100000,'中古車掲載'!AL1092=1,'中古車掲載'!Z1092="https://www.one2car.com/en/cars-for-sale/toyota/corolla-cross/year-2023"),'中古車掲載'!U1092,"")</x:f>
      </x:c>
      <x:c r="BD1091" t="str">
        <x:f>IF(AND('中古車掲載'!C1092="One2car",'中古車掲載'!F1092="ATTO 3",'中古車掲載'!L1092="EXTENDED RANGE",'中古車掲載'!J1092=2023,ISNUMBER('中古車掲載'!N1092),'中古車掲載'!N1092&gt;=20000,'中古車掲載'!O1092&lt;=50000,'中古車掲載'!AL1092=1),'中古車掲載'!U1092,"")</x:f>
      </x:c>
      <x:c r="BE1091" t="str">
        <x:f>IF(AND('中古車掲載'!C1092="One2car",'中古車掲載'!F1092="Corolla Cross",'中古車掲載'!L1092="HEV PREMIUM SAFETY",'中古車掲載'!J1092=2023,ISNUMBER('中古車掲載'!N1092),'中古車掲載'!N1092&gt;=20000,'中古車掲載'!O1092&lt;=50000,'中古車掲載'!AL1092=1,'中古車掲載'!Z1092="https://www.one2car.com/en/cars-for-sale/toyota/corolla-cross/year-2023"),'中古車掲載'!U1092,"")</x:f>
      </x:c>
      <x:c r="BF1091" t="str">
        <x:f>IF(AND('中古車掲載'!C1092="One2car",'中古車掲載'!F1092="Corolla Cross",'中古車掲載'!L1092="HEV PREMIUM",'中古車掲載'!J1092=2023,ISNUMBER('中古車掲載'!N1092),'中古車掲載'!N1092&gt;=20000,'中古車掲載'!O1092&lt;=100000,'中古車掲載'!AL1092=1,'中古車掲載'!Z1092="https://www.one2car.com/en/cars-for-sale/toyota/corolla-cross/year-2023"),'中古車掲載'!U1092,"")</x:f>
      </x:c>
      <x:c r="BG1091" t="str">
        <x:f>IF(AND('中古車掲載'!C1092="One2car",'中古車掲載'!F1092="Corolla Cross",'中古車掲載'!L1092="HEV GR SPORT",'中古車掲載'!J1092=2023,ISNUMBER('中古車掲載'!N1092),'中古車掲載'!N1092&gt;=20000,'中古車掲載'!O1092&lt;=100000,'中古車掲載'!AL1092=1,'中古車掲載'!Z1092="https://www.one2car.com/en/cars-for-sale/toyota/corolla-cross/year-2023"),'中古車掲載'!U1092,"")</x:f>
      </x:c>
      <x:c r="BH1091" t="str">
        <x:f>IF(AND('中古車掲載'!C1092="One2car",'中古車掲載'!F1092="DOLPHIN",'中古車掲載'!L1092="STANDARD RANGE",'中古車掲載'!J1092=2023,ISNUMBER('中古車掲載'!N1092),'中古車掲載'!N1092&gt;=20000,'中古車掲載'!O1092&lt;=100000,'中古車掲載'!AL1092=1),'中古車掲載'!U1092,"")</x:f>
      </x:c>
      <x:c r="BI1091" t="str">
        <x:v>Taladrod|Yaris Ativ|ICE|Unknown</x:v>
      </x:c>
      <x:c r="BJ1091" t="n">
        <x:v>1092</x:v>
      </x:c>
      <x:c r="BK1091" t="n">
        <x:f>'中古車掲載'!AM1092</x:f>
        <x:v>459000</x:v>
      </x:c>
      <x:c r="BL1091" t="str">
        <x:f>IF(ISNUMBER('中古車掲載'!AN1092),'中古車掲載'!AN1092,"")</x:f>
      </x:c>
    </x:row>
    <x:row r="1092">
      <x:c r="AZ1092" t="str">
        <x:f>IF(AND('中古車掲載'!C1093="One2car",'中古車掲載'!F1093="ATTO 3",'中古車掲載'!L1093="EXTENDED RANGE",'中古車掲載'!J1093=2023,ISNUMBER('中古車掲載'!N1093),'中古車掲載'!N1093&gt;=20000,'中古車掲載'!O1093&lt;=100000,'中古車掲載'!AL1093=1),'中古車掲載'!U1093,"")</x:f>
      </x:c>
      <x:c r="BA1092" t="str">
        <x:f>IF(AND('中古車掲載'!C1093="One2car",'中古車掲載'!F1093="Corolla Cross",'中古車掲載'!L1093="HEV PREMIUM SAFETY",'中古車掲載'!J1093=2023,ISNUMBER('中古車掲載'!N1093),'中古車掲載'!N1093&gt;=20000,'中古車掲載'!O1093&lt;=100000,'中古車掲載'!AL1093=1,'中古車掲載'!Z1093="https://www.one2car.com/en/cars-for-sale/toyota/corolla-cross/year-2023"),'中古車掲載'!U1093,"")</x:f>
      </x:c>
      <x:c r="BB1092" t="str">
        <x:f>IF(AND('中古車掲載'!C1093="One2car",'中古車掲載'!F1093="ATTO 3",'中古車掲載'!L1093="EXTENDED RANGE",'中古車掲載'!J1093=2023,ISNUMBER('中古車掲載'!N1093),'中古車掲載'!N1093&gt;=50000,'中古車掲載'!O1093&lt;=100000,'中古車掲載'!AL1093=1),'中古車掲載'!U1093,"")</x:f>
      </x:c>
      <x:c r="BC1092" t="str">
        <x:f>IF(AND('中古車掲載'!C1093="One2car",'中古車掲載'!F1093="Corolla Cross",'中古車掲載'!L1093="HEV PREMIUM SAFETY",'中古車掲載'!J1093=2023,ISNUMBER('中古車掲載'!N1093),'中古車掲載'!N1093&gt;=50000,'中古車掲載'!O1093&lt;=100000,'中古車掲載'!AL1093=1,'中古車掲載'!Z1093="https://www.one2car.com/en/cars-for-sale/toyota/corolla-cross/year-2023"),'中古車掲載'!U1093,"")</x:f>
      </x:c>
      <x:c r="BD1092" t="str">
        <x:f>IF(AND('中古車掲載'!C1093="One2car",'中古車掲載'!F1093="ATTO 3",'中古車掲載'!L1093="EXTENDED RANGE",'中古車掲載'!J1093=2023,ISNUMBER('中古車掲載'!N1093),'中古車掲載'!N1093&gt;=20000,'中古車掲載'!O1093&lt;=50000,'中古車掲載'!AL1093=1),'中古車掲載'!U1093,"")</x:f>
      </x:c>
      <x:c r="BE1092" t="str">
        <x:f>IF(AND('中古車掲載'!C1093="One2car",'中古車掲載'!F1093="Corolla Cross",'中古車掲載'!L1093="HEV PREMIUM SAFETY",'中古車掲載'!J1093=2023,ISNUMBER('中古車掲載'!N1093),'中古車掲載'!N1093&gt;=20000,'中古車掲載'!O1093&lt;=50000,'中古車掲載'!AL1093=1,'中古車掲載'!Z1093="https://www.one2car.com/en/cars-for-sale/toyota/corolla-cross/year-2023"),'中古車掲載'!U1093,"")</x:f>
      </x:c>
      <x:c r="BF1092" t="str">
        <x:f>IF(AND('中古車掲載'!C1093="One2car",'中古車掲載'!F1093="Corolla Cross",'中古車掲載'!L1093="HEV PREMIUM",'中古車掲載'!J1093=2023,ISNUMBER('中古車掲載'!N1093),'中古車掲載'!N1093&gt;=20000,'中古車掲載'!O1093&lt;=100000,'中古車掲載'!AL1093=1,'中古車掲載'!Z1093="https://www.one2car.com/en/cars-for-sale/toyota/corolla-cross/year-2023"),'中古車掲載'!U1093,"")</x:f>
      </x:c>
      <x:c r="BG1092" t="str">
        <x:f>IF(AND('中古車掲載'!C1093="One2car",'中古車掲載'!F1093="Corolla Cross",'中古車掲載'!L1093="HEV GR SPORT",'中古車掲載'!J1093=2023,ISNUMBER('中古車掲載'!N1093),'中古車掲載'!N1093&gt;=20000,'中古車掲載'!O1093&lt;=100000,'中古車掲載'!AL1093=1,'中古車掲載'!Z1093="https://www.one2car.com/en/cars-for-sale/toyota/corolla-cross/year-2023"),'中古車掲載'!U1093,"")</x:f>
      </x:c>
      <x:c r="BH1092" t="str">
        <x:f>IF(AND('中古車掲載'!C1093="One2car",'中古車掲載'!F1093="DOLPHIN",'中古車掲載'!L1093="STANDARD RANGE",'中古車掲載'!J1093=2023,ISNUMBER('中古車掲載'!N1093),'中古車掲載'!N1093&gt;=20000,'中古車掲載'!O1093&lt;=100000,'中古車掲載'!AL1093=1),'中古車掲載'!U1093,"")</x:f>
      </x:c>
      <x:c r="BI1092" t="str">
        <x:v>Taladrod|Yaris Ativ|ICE|Unknown</x:v>
      </x:c>
      <x:c r="BJ1092" t="n">
        <x:v>1093</x:v>
      </x:c>
      <x:c r="BK1092" t="str">
        <x:f>'中古車掲載'!AM1093</x:f>
      </x:c>
      <x:c r="BL1092" t="str">
        <x:f>IF(ISNUMBER('中古車掲載'!AN1093),'中古車掲載'!AN1093,"")</x:f>
      </x:c>
    </x:row>
    <x:row r="1093">
      <x:c r="AZ1093" t="str">
        <x:f>IF(AND('中古車掲載'!C1094="One2car",'中古車掲載'!F1094="ATTO 3",'中古車掲載'!L1094="EXTENDED RANGE",'中古車掲載'!J1094=2023,ISNUMBER('中古車掲載'!N1094),'中古車掲載'!N1094&gt;=20000,'中古車掲載'!O1094&lt;=100000,'中古車掲載'!AL1094=1),'中古車掲載'!U1094,"")</x:f>
      </x:c>
      <x:c r="BA1093" t="str">
        <x:f>IF(AND('中古車掲載'!C1094="One2car",'中古車掲載'!F1094="Corolla Cross",'中古車掲載'!L1094="HEV PREMIUM SAFETY",'中古車掲載'!J1094=2023,ISNUMBER('中古車掲載'!N1094),'中古車掲載'!N1094&gt;=20000,'中古車掲載'!O1094&lt;=100000,'中古車掲載'!AL1094=1,'中古車掲載'!Z1094="https://www.one2car.com/en/cars-for-sale/toyota/corolla-cross/year-2023"),'中古車掲載'!U1094,"")</x:f>
      </x:c>
      <x:c r="BB1093" t="str">
        <x:f>IF(AND('中古車掲載'!C1094="One2car",'中古車掲載'!F1094="ATTO 3",'中古車掲載'!L1094="EXTENDED RANGE",'中古車掲載'!J1094=2023,ISNUMBER('中古車掲載'!N1094),'中古車掲載'!N1094&gt;=50000,'中古車掲載'!O1094&lt;=100000,'中古車掲載'!AL1094=1),'中古車掲載'!U1094,"")</x:f>
      </x:c>
      <x:c r="BC1093" t="str">
        <x:f>IF(AND('中古車掲載'!C1094="One2car",'中古車掲載'!F1094="Corolla Cross",'中古車掲載'!L1094="HEV PREMIUM SAFETY",'中古車掲載'!J1094=2023,ISNUMBER('中古車掲載'!N1094),'中古車掲載'!N1094&gt;=50000,'中古車掲載'!O1094&lt;=100000,'中古車掲載'!AL1094=1,'中古車掲載'!Z1094="https://www.one2car.com/en/cars-for-sale/toyota/corolla-cross/year-2023"),'中古車掲載'!U1094,"")</x:f>
      </x:c>
      <x:c r="BD1093" t="str">
        <x:f>IF(AND('中古車掲載'!C1094="One2car",'中古車掲載'!F1094="ATTO 3",'中古車掲載'!L1094="EXTENDED RANGE",'中古車掲載'!J1094=2023,ISNUMBER('中古車掲載'!N1094),'中古車掲載'!N1094&gt;=20000,'中古車掲載'!O1094&lt;=50000,'中古車掲載'!AL1094=1),'中古車掲載'!U1094,"")</x:f>
      </x:c>
      <x:c r="BE1093" t="str">
        <x:f>IF(AND('中古車掲載'!C1094="One2car",'中古車掲載'!F1094="Corolla Cross",'中古車掲載'!L1094="HEV PREMIUM SAFETY",'中古車掲載'!J1094=2023,ISNUMBER('中古車掲載'!N1094),'中古車掲載'!N1094&gt;=20000,'中古車掲載'!O1094&lt;=50000,'中古車掲載'!AL1094=1,'中古車掲載'!Z1094="https://www.one2car.com/en/cars-for-sale/toyota/corolla-cross/year-2023"),'中古車掲載'!U1094,"")</x:f>
      </x:c>
      <x:c r="BF1093" t="str">
        <x:f>IF(AND('中古車掲載'!C1094="One2car",'中古車掲載'!F1094="Corolla Cross",'中古車掲載'!L1094="HEV PREMIUM",'中古車掲載'!J1094=2023,ISNUMBER('中古車掲載'!N1094),'中古車掲載'!N1094&gt;=20000,'中古車掲載'!O1094&lt;=100000,'中古車掲載'!AL1094=1,'中古車掲載'!Z1094="https://www.one2car.com/en/cars-for-sale/toyota/corolla-cross/year-2023"),'中古車掲載'!U1094,"")</x:f>
      </x:c>
      <x:c r="BG1093" t="str">
        <x:f>IF(AND('中古車掲載'!C1094="One2car",'中古車掲載'!F1094="Corolla Cross",'中古車掲載'!L1094="HEV GR SPORT",'中古車掲載'!J1094=2023,ISNUMBER('中古車掲載'!N1094),'中古車掲載'!N1094&gt;=20000,'中古車掲載'!O1094&lt;=100000,'中古車掲載'!AL1094=1,'中古車掲載'!Z1094="https://www.one2car.com/en/cars-for-sale/toyota/corolla-cross/year-2023"),'中古車掲載'!U1094,"")</x:f>
      </x:c>
      <x:c r="BH1093" t="str">
        <x:f>IF(AND('中古車掲載'!C1094="One2car",'中古車掲載'!F1094="DOLPHIN",'中古車掲載'!L1094="STANDARD RANGE",'中古車掲載'!J1094=2023,ISNUMBER('中古車掲載'!N1094),'中古車掲載'!N1094&gt;=20000,'中古車掲載'!O1094&lt;=100000,'中古車掲載'!AL1094=1),'中古車掲載'!U1094,"")</x:f>
      </x:c>
      <x:c r="BI1093" t="str">
        <x:v>Taladrod|Yaris Ativ|ICE|Unknown</x:v>
      </x:c>
      <x:c r="BJ1093" t="n">
        <x:v>1094</x:v>
      </x:c>
      <x:c r="BK1093" t="str">
        <x:f>'中古車掲載'!AM1094</x:f>
      </x:c>
      <x:c r="BL1093" t="str">
        <x:f>IF(ISNUMBER('中古車掲載'!AN1094),'中古車掲載'!AN1094,"")</x:f>
      </x:c>
    </x:row>
    <x:row r="1094">
      <x:c r="AZ1094" t="str">
        <x:f>IF(AND('中古車掲載'!C1095="One2car",'中古車掲載'!F1095="ATTO 3",'中古車掲載'!L1095="EXTENDED RANGE",'中古車掲載'!J1095=2023,ISNUMBER('中古車掲載'!N1095),'中古車掲載'!N1095&gt;=20000,'中古車掲載'!O1095&lt;=100000,'中古車掲載'!AL1095=1),'中古車掲載'!U1095,"")</x:f>
      </x:c>
      <x:c r="BA1094" t="str">
        <x:f>IF(AND('中古車掲載'!C1095="One2car",'中古車掲載'!F1095="Corolla Cross",'中古車掲載'!L1095="HEV PREMIUM SAFETY",'中古車掲載'!J1095=2023,ISNUMBER('中古車掲載'!N1095),'中古車掲載'!N1095&gt;=20000,'中古車掲載'!O1095&lt;=100000,'中古車掲載'!AL1095=1,'中古車掲載'!Z1095="https://www.one2car.com/en/cars-for-sale/toyota/corolla-cross/year-2023"),'中古車掲載'!U1095,"")</x:f>
      </x:c>
      <x:c r="BB1094" t="str">
        <x:f>IF(AND('中古車掲載'!C1095="One2car",'中古車掲載'!F1095="ATTO 3",'中古車掲載'!L1095="EXTENDED RANGE",'中古車掲載'!J1095=2023,ISNUMBER('中古車掲載'!N1095),'中古車掲載'!N1095&gt;=50000,'中古車掲載'!O1095&lt;=100000,'中古車掲載'!AL1095=1),'中古車掲載'!U1095,"")</x:f>
      </x:c>
      <x:c r="BC1094" t="str">
        <x:f>IF(AND('中古車掲載'!C1095="One2car",'中古車掲載'!F1095="Corolla Cross",'中古車掲載'!L1095="HEV PREMIUM SAFETY",'中古車掲載'!J1095=2023,ISNUMBER('中古車掲載'!N1095),'中古車掲載'!N1095&gt;=50000,'中古車掲載'!O1095&lt;=100000,'中古車掲載'!AL1095=1,'中古車掲載'!Z1095="https://www.one2car.com/en/cars-for-sale/toyota/corolla-cross/year-2023"),'中古車掲載'!U1095,"")</x:f>
      </x:c>
      <x:c r="BD1094" t="str">
        <x:f>IF(AND('中古車掲載'!C1095="One2car",'中古車掲載'!F1095="ATTO 3",'中古車掲載'!L1095="EXTENDED RANGE",'中古車掲載'!J1095=2023,ISNUMBER('中古車掲載'!N1095),'中古車掲載'!N1095&gt;=20000,'中古車掲載'!O1095&lt;=50000,'中古車掲載'!AL1095=1),'中古車掲載'!U1095,"")</x:f>
      </x:c>
      <x:c r="BE1094" t="str">
        <x:f>IF(AND('中古車掲載'!C1095="One2car",'中古車掲載'!F1095="Corolla Cross",'中古車掲載'!L1095="HEV PREMIUM SAFETY",'中古車掲載'!J1095=2023,ISNUMBER('中古車掲載'!N1095),'中古車掲載'!N1095&gt;=20000,'中古車掲載'!O1095&lt;=50000,'中古車掲載'!AL1095=1,'中古車掲載'!Z1095="https://www.one2car.com/en/cars-for-sale/toyota/corolla-cross/year-2023"),'中古車掲載'!U1095,"")</x:f>
      </x:c>
      <x:c r="BF1094" t="str">
        <x:f>IF(AND('中古車掲載'!C1095="One2car",'中古車掲載'!F1095="Corolla Cross",'中古車掲載'!L1095="HEV PREMIUM",'中古車掲載'!J1095=2023,ISNUMBER('中古車掲載'!N1095),'中古車掲載'!N1095&gt;=20000,'中古車掲載'!O1095&lt;=100000,'中古車掲載'!AL1095=1,'中古車掲載'!Z1095="https://www.one2car.com/en/cars-for-sale/toyota/corolla-cross/year-2023"),'中古車掲載'!U1095,"")</x:f>
      </x:c>
      <x:c r="BG1094" t="str">
        <x:f>IF(AND('中古車掲載'!C1095="One2car",'中古車掲載'!F1095="Corolla Cross",'中古車掲載'!L1095="HEV GR SPORT",'中古車掲載'!J1095=2023,ISNUMBER('中古車掲載'!N1095),'中古車掲載'!N1095&gt;=20000,'中古車掲載'!O1095&lt;=100000,'中古車掲載'!AL1095=1,'中古車掲載'!Z1095="https://www.one2car.com/en/cars-for-sale/toyota/corolla-cross/year-2023"),'中古車掲載'!U1095,"")</x:f>
      </x:c>
      <x:c r="BH1094" t="str">
        <x:f>IF(AND('中古車掲載'!C1095="One2car",'中古車掲載'!F1095="DOLPHIN",'中古車掲載'!L1095="STANDARD RANGE",'中古車掲載'!J1095=2023,ISNUMBER('中古車掲載'!N1095),'中古車掲載'!N1095&gt;=20000,'中古車掲載'!O1095&lt;=100000,'中古車掲載'!AL1095=1),'中古車掲載'!U1095,"")</x:f>
      </x:c>
      <x:c r="BI1094" t="str">
        <x:v>Taladrod|Yaris Ativ|ICE|Unknown</x:v>
      </x:c>
      <x:c r="BJ1094" t="n">
        <x:v>1095</x:v>
      </x:c>
      <x:c r="BK1094" t="str">
        <x:f>'中古車掲載'!AM1095</x:f>
      </x:c>
      <x:c r="BL1094" t="str">
        <x:f>IF(ISNUMBER('中古車掲載'!AN1095),'中古車掲載'!AN1095,"")</x:f>
      </x:c>
    </x:row>
    <x:row r="1095">
      <x:c r="AZ1095" t="str">
        <x:f>IF(AND('中古車掲載'!C1096="One2car",'中古車掲載'!F1096="ATTO 3",'中古車掲載'!L1096="EXTENDED RANGE",'中古車掲載'!J1096=2023,ISNUMBER('中古車掲載'!N1096),'中古車掲載'!N1096&gt;=20000,'中古車掲載'!O1096&lt;=100000,'中古車掲載'!AL1096=1),'中古車掲載'!U1096,"")</x:f>
      </x:c>
      <x:c r="BA1095" t="str">
        <x:f>IF(AND('中古車掲載'!C1096="One2car",'中古車掲載'!F1096="Corolla Cross",'中古車掲載'!L1096="HEV PREMIUM SAFETY",'中古車掲載'!J1096=2023,ISNUMBER('中古車掲載'!N1096),'中古車掲載'!N1096&gt;=20000,'中古車掲載'!O1096&lt;=100000,'中古車掲載'!AL1096=1,'中古車掲載'!Z1096="https://www.one2car.com/en/cars-for-sale/toyota/corolla-cross/year-2023"),'中古車掲載'!U1096,"")</x:f>
      </x:c>
      <x:c r="BB1095" t="str">
        <x:f>IF(AND('中古車掲載'!C1096="One2car",'中古車掲載'!F1096="ATTO 3",'中古車掲載'!L1096="EXTENDED RANGE",'中古車掲載'!J1096=2023,ISNUMBER('中古車掲載'!N1096),'中古車掲載'!N1096&gt;=50000,'中古車掲載'!O1096&lt;=100000,'中古車掲載'!AL1096=1),'中古車掲載'!U1096,"")</x:f>
      </x:c>
      <x:c r="BC1095" t="str">
        <x:f>IF(AND('中古車掲載'!C1096="One2car",'中古車掲載'!F1096="Corolla Cross",'中古車掲載'!L1096="HEV PREMIUM SAFETY",'中古車掲載'!J1096=2023,ISNUMBER('中古車掲載'!N1096),'中古車掲載'!N1096&gt;=50000,'中古車掲載'!O1096&lt;=100000,'中古車掲載'!AL1096=1,'中古車掲載'!Z1096="https://www.one2car.com/en/cars-for-sale/toyota/corolla-cross/year-2023"),'中古車掲載'!U1096,"")</x:f>
      </x:c>
      <x:c r="BD1095" t="str">
        <x:f>IF(AND('中古車掲載'!C1096="One2car",'中古車掲載'!F1096="ATTO 3",'中古車掲載'!L1096="EXTENDED RANGE",'中古車掲載'!J1096=2023,ISNUMBER('中古車掲載'!N1096),'中古車掲載'!N1096&gt;=20000,'中古車掲載'!O1096&lt;=50000,'中古車掲載'!AL1096=1),'中古車掲載'!U1096,"")</x:f>
      </x:c>
      <x:c r="BE1095" t="str">
        <x:f>IF(AND('中古車掲載'!C1096="One2car",'中古車掲載'!F1096="Corolla Cross",'中古車掲載'!L1096="HEV PREMIUM SAFETY",'中古車掲載'!J1096=2023,ISNUMBER('中古車掲載'!N1096),'中古車掲載'!N1096&gt;=20000,'中古車掲載'!O1096&lt;=50000,'中古車掲載'!AL1096=1,'中古車掲載'!Z1096="https://www.one2car.com/en/cars-for-sale/toyota/corolla-cross/year-2023"),'中古車掲載'!U1096,"")</x:f>
      </x:c>
      <x:c r="BF1095" t="str">
        <x:f>IF(AND('中古車掲載'!C1096="One2car",'中古車掲載'!F1096="Corolla Cross",'中古車掲載'!L1096="HEV PREMIUM",'中古車掲載'!J1096=2023,ISNUMBER('中古車掲載'!N1096),'中古車掲載'!N1096&gt;=20000,'中古車掲載'!O1096&lt;=100000,'中古車掲載'!AL1096=1,'中古車掲載'!Z1096="https://www.one2car.com/en/cars-for-sale/toyota/corolla-cross/year-2023"),'中古車掲載'!U1096,"")</x:f>
      </x:c>
      <x:c r="BG1095" t="str">
        <x:f>IF(AND('中古車掲載'!C1096="One2car",'中古車掲載'!F1096="Corolla Cross",'中古車掲載'!L1096="HEV GR SPORT",'中古車掲載'!J1096=2023,ISNUMBER('中古車掲載'!N1096),'中古車掲載'!N1096&gt;=20000,'中古車掲載'!O1096&lt;=100000,'中古車掲載'!AL1096=1,'中古車掲載'!Z1096="https://www.one2car.com/en/cars-for-sale/toyota/corolla-cross/year-2023"),'中古車掲載'!U1096,"")</x:f>
      </x:c>
      <x:c r="BH1095" t="str">
        <x:f>IF(AND('中古車掲載'!C1096="One2car",'中古車掲載'!F1096="DOLPHIN",'中古車掲載'!L1096="STANDARD RANGE",'中古車掲載'!J1096=2023,ISNUMBER('中古車掲載'!N1096),'中古車掲載'!N1096&gt;=20000,'中古車掲載'!O1096&lt;=100000,'中古車掲載'!AL1096=1),'中古車掲載'!U1096,"")</x:f>
      </x:c>
      <x:c r="BI1095" t="str">
        <x:v>Taladrod|Yaris Ativ|不明|Unknown</x:v>
      </x:c>
      <x:c r="BJ1095" t="n">
        <x:v>1096</x:v>
      </x:c>
      <x:c r="BK1095" t="n">
        <x:f>'中古車掲載'!AM1096</x:f>
        <x:v>390000</x:v>
      </x:c>
      <x:c r="BL1095" t="str">
        <x:f>IF(ISNUMBER('中古車掲載'!AN1096),'中古車掲載'!AN1096,"")</x:f>
      </x:c>
    </x:row>
    <x:row r="1096">
      <x:c r="AZ1096" t="str">
        <x:f>IF(AND('中古車掲載'!C1097="One2car",'中古車掲載'!F1097="ATTO 3",'中古車掲載'!L1097="EXTENDED RANGE",'中古車掲載'!J1097=2023,ISNUMBER('中古車掲載'!N1097),'中古車掲載'!N1097&gt;=20000,'中古車掲載'!O1097&lt;=100000,'中古車掲載'!AL1097=1),'中古車掲載'!U1097,"")</x:f>
      </x:c>
      <x:c r="BA1096" t="str">
        <x:f>IF(AND('中古車掲載'!C1097="One2car",'中古車掲載'!F1097="Corolla Cross",'中古車掲載'!L1097="HEV PREMIUM SAFETY",'中古車掲載'!J1097=2023,ISNUMBER('中古車掲載'!N1097),'中古車掲載'!N1097&gt;=20000,'中古車掲載'!O1097&lt;=100000,'中古車掲載'!AL1097=1,'中古車掲載'!Z1097="https://www.one2car.com/en/cars-for-sale/toyota/corolla-cross/year-2023"),'中古車掲載'!U1097,"")</x:f>
      </x:c>
      <x:c r="BB1096" t="str">
        <x:f>IF(AND('中古車掲載'!C1097="One2car",'中古車掲載'!F1097="ATTO 3",'中古車掲載'!L1097="EXTENDED RANGE",'中古車掲載'!J1097=2023,ISNUMBER('中古車掲載'!N1097),'中古車掲載'!N1097&gt;=50000,'中古車掲載'!O1097&lt;=100000,'中古車掲載'!AL1097=1),'中古車掲載'!U1097,"")</x:f>
      </x:c>
      <x:c r="BC1096" t="str">
        <x:f>IF(AND('中古車掲載'!C1097="One2car",'中古車掲載'!F1097="Corolla Cross",'中古車掲載'!L1097="HEV PREMIUM SAFETY",'中古車掲載'!J1097=2023,ISNUMBER('中古車掲載'!N1097),'中古車掲載'!N1097&gt;=50000,'中古車掲載'!O1097&lt;=100000,'中古車掲載'!AL1097=1,'中古車掲載'!Z1097="https://www.one2car.com/en/cars-for-sale/toyota/corolla-cross/year-2023"),'中古車掲載'!U1097,"")</x:f>
      </x:c>
      <x:c r="BD1096" t="str">
        <x:f>IF(AND('中古車掲載'!C1097="One2car",'中古車掲載'!F1097="ATTO 3",'中古車掲載'!L1097="EXTENDED RANGE",'中古車掲載'!J1097=2023,ISNUMBER('中古車掲載'!N1097),'中古車掲載'!N1097&gt;=20000,'中古車掲載'!O1097&lt;=50000,'中古車掲載'!AL1097=1),'中古車掲載'!U1097,"")</x:f>
      </x:c>
      <x:c r="BE1096" t="str">
        <x:f>IF(AND('中古車掲載'!C1097="One2car",'中古車掲載'!F1097="Corolla Cross",'中古車掲載'!L1097="HEV PREMIUM SAFETY",'中古車掲載'!J1097=2023,ISNUMBER('中古車掲載'!N1097),'中古車掲載'!N1097&gt;=20000,'中古車掲載'!O1097&lt;=50000,'中古車掲載'!AL1097=1,'中古車掲載'!Z1097="https://www.one2car.com/en/cars-for-sale/toyota/corolla-cross/year-2023"),'中古車掲載'!U1097,"")</x:f>
      </x:c>
      <x:c r="BF1096" t="str">
        <x:f>IF(AND('中古車掲載'!C1097="One2car",'中古車掲載'!F1097="Corolla Cross",'中古車掲載'!L1097="HEV PREMIUM",'中古車掲載'!J1097=2023,ISNUMBER('中古車掲載'!N1097),'中古車掲載'!N1097&gt;=20000,'中古車掲載'!O1097&lt;=100000,'中古車掲載'!AL1097=1,'中古車掲載'!Z1097="https://www.one2car.com/en/cars-for-sale/toyota/corolla-cross/year-2023"),'中古車掲載'!U1097,"")</x:f>
      </x:c>
      <x:c r="BG1096" t="str">
        <x:f>IF(AND('中古車掲載'!C1097="One2car",'中古車掲載'!F1097="Corolla Cross",'中古車掲載'!L1097="HEV GR SPORT",'中古車掲載'!J1097=2023,ISNUMBER('中古車掲載'!N1097),'中古車掲載'!N1097&gt;=20000,'中古車掲載'!O1097&lt;=100000,'中古車掲載'!AL1097=1,'中古車掲載'!Z1097="https://www.one2car.com/en/cars-for-sale/toyota/corolla-cross/year-2023"),'中古車掲載'!U1097,"")</x:f>
      </x:c>
      <x:c r="BH1096" t="str">
        <x:f>IF(AND('中古車掲載'!C1097="One2car",'中古車掲載'!F1097="DOLPHIN",'中古車掲載'!L1097="STANDARD RANGE",'中古車掲載'!J1097=2023,ISNUMBER('中古車掲載'!N1097),'中古車掲載'!N1097&gt;=20000,'中古車掲載'!O1097&lt;=100000,'中古車掲載'!AL1097=1),'中古車掲載'!U1097,"")</x:f>
      </x:c>
      <x:c r="BI1096" t="str">
        <x:v>Taladrod|Yaris Cross|HEV|Unknown</x:v>
      </x:c>
      <x:c r="BJ1096" t="n">
        <x:v>1097</x:v>
      </x:c>
      <x:c r="BK1096" t="n">
        <x:f>'中古車掲載'!AM1097</x:f>
        <x:v>604000</x:v>
      </x:c>
      <x:c r="BL1096" t="str">
        <x:f>IF(ISNUMBER('中古車掲載'!AN1097),'中古車掲載'!AN1097,"")</x:f>
      </x:c>
    </x:row>
    <x:row r="1097">
      <x:c r="AZ1097" t="str">
        <x:f>IF(AND('中古車掲載'!C1098="One2car",'中古車掲載'!F1098="ATTO 3",'中古車掲載'!L1098="EXTENDED RANGE",'中古車掲載'!J1098=2023,ISNUMBER('中古車掲載'!N1098),'中古車掲載'!N1098&gt;=20000,'中古車掲載'!O1098&lt;=100000,'中古車掲載'!AL1098=1),'中古車掲載'!U1098,"")</x:f>
      </x:c>
      <x:c r="BA1097" t="str">
        <x:f>IF(AND('中古車掲載'!C1098="One2car",'中古車掲載'!F1098="Corolla Cross",'中古車掲載'!L1098="HEV PREMIUM SAFETY",'中古車掲載'!J1098=2023,ISNUMBER('中古車掲載'!N1098),'中古車掲載'!N1098&gt;=20000,'中古車掲載'!O1098&lt;=100000,'中古車掲載'!AL1098=1,'中古車掲載'!Z1098="https://www.one2car.com/en/cars-for-sale/toyota/corolla-cross/year-2023"),'中古車掲載'!U1098,"")</x:f>
      </x:c>
      <x:c r="BB1097" t="str">
        <x:f>IF(AND('中古車掲載'!C1098="One2car",'中古車掲載'!F1098="ATTO 3",'中古車掲載'!L1098="EXTENDED RANGE",'中古車掲載'!J1098=2023,ISNUMBER('中古車掲載'!N1098),'中古車掲載'!N1098&gt;=50000,'中古車掲載'!O1098&lt;=100000,'中古車掲載'!AL1098=1),'中古車掲載'!U1098,"")</x:f>
      </x:c>
      <x:c r="BC1097" t="str">
        <x:f>IF(AND('中古車掲載'!C1098="One2car",'中古車掲載'!F1098="Corolla Cross",'中古車掲載'!L1098="HEV PREMIUM SAFETY",'中古車掲載'!J1098=2023,ISNUMBER('中古車掲載'!N1098),'中古車掲載'!N1098&gt;=50000,'中古車掲載'!O1098&lt;=100000,'中古車掲載'!AL1098=1,'中古車掲載'!Z1098="https://www.one2car.com/en/cars-for-sale/toyota/corolla-cross/year-2023"),'中古車掲載'!U1098,"")</x:f>
      </x:c>
      <x:c r="BD1097" t="str">
        <x:f>IF(AND('中古車掲載'!C1098="One2car",'中古車掲載'!F1098="ATTO 3",'中古車掲載'!L1098="EXTENDED RANGE",'中古車掲載'!J1098=2023,ISNUMBER('中古車掲載'!N1098),'中古車掲載'!N1098&gt;=20000,'中古車掲載'!O1098&lt;=50000,'中古車掲載'!AL1098=1),'中古車掲載'!U1098,"")</x:f>
      </x:c>
      <x:c r="BE1097" t="str">
        <x:f>IF(AND('中古車掲載'!C1098="One2car",'中古車掲載'!F1098="Corolla Cross",'中古車掲載'!L1098="HEV PREMIUM SAFETY",'中古車掲載'!J1098=2023,ISNUMBER('中古車掲載'!N1098),'中古車掲載'!N1098&gt;=20000,'中古車掲載'!O1098&lt;=50000,'中古車掲載'!AL1098=1,'中古車掲載'!Z1098="https://www.one2car.com/en/cars-for-sale/toyota/corolla-cross/year-2023"),'中古車掲載'!U1098,"")</x:f>
      </x:c>
      <x:c r="BF1097" t="str">
        <x:f>IF(AND('中古車掲載'!C1098="One2car",'中古車掲載'!F1098="Corolla Cross",'中古車掲載'!L1098="HEV PREMIUM",'中古車掲載'!J1098=2023,ISNUMBER('中古車掲載'!N1098),'中古車掲載'!N1098&gt;=20000,'中古車掲載'!O1098&lt;=100000,'中古車掲載'!AL1098=1,'中古車掲載'!Z1098="https://www.one2car.com/en/cars-for-sale/toyota/corolla-cross/year-2023"),'中古車掲載'!U1098,"")</x:f>
      </x:c>
      <x:c r="BG1097" t="str">
        <x:f>IF(AND('中古車掲載'!C1098="One2car",'中古車掲載'!F1098="Corolla Cross",'中古車掲載'!L1098="HEV GR SPORT",'中古車掲載'!J1098=2023,ISNUMBER('中古車掲載'!N1098),'中古車掲載'!N1098&gt;=20000,'中古車掲載'!O1098&lt;=100000,'中古車掲載'!AL1098=1,'中古車掲載'!Z1098="https://www.one2car.com/en/cars-for-sale/toyota/corolla-cross/year-2023"),'中古車掲載'!U1098,"")</x:f>
      </x:c>
      <x:c r="BH1097" t="str">
        <x:f>IF(AND('中古車掲載'!C1098="One2car",'中古車掲載'!F1098="DOLPHIN",'中古車掲載'!L1098="STANDARD RANGE",'中古車掲載'!J1098=2023,ISNUMBER('中古車掲載'!N1098),'中古車掲載'!N1098&gt;=20000,'中古車掲載'!O1098&lt;=100000,'中古車掲載'!AL1098=1),'中古車掲載'!U1098,"")</x:f>
      </x:c>
      <x:c r="BI1097" t="str">
        <x:v>Taladrod|Yaris Cross|HEV|Unknown</x:v>
      </x:c>
      <x:c r="BJ1097" t="n">
        <x:v>1098</x:v>
      </x:c>
      <x:c r="BK1097" t="n">
        <x:f>'中古車掲載'!AM1098</x:f>
        <x:v>699000</x:v>
      </x:c>
      <x:c r="BL1097" t="str">
        <x:f>IF(ISNUMBER('中古車掲載'!AN1098),'中古車掲載'!AN1098,"")</x:f>
      </x:c>
    </x:row>
    <x:row r="1098">
      <x:c r="AZ1098" t="str">
        <x:f>IF(AND('中古車掲載'!C1099="One2car",'中古車掲載'!F1099="ATTO 3",'中古車掲載'!L1099="EXTENDED RANGE",'中古車掲載'!J1099=2023,ISNUMBER('中古車掲載'!N1099),'中古車掲載'!N1099&gt;=20000,'中古車掲載'!O1099&lt;=100000,'中古車掲載'!AL1099=1),'中古車掲載'!U1099,"")</x:f>
      </x:c>
      <x:c r="BA1098" t="str">
        <x:f>IF(AND('中古車掲載'!C1099="One2car",'中古車掲載'!F1099="Corolla Cross",'中古車掲載'!L1099="HEV PREMIUM SAFETY",'中古車掲載'!J1099=2023,ISNUMBER('中古車掲載'!N1099),'中古車掲載'!N1099&gt;=20000,'中古車掲載'!O1099&lt;=100000,'中古車掲載'!AL1099=1,'中古車掲載'!Z1099="https://www.one2car.com/en/cars-for-sale/toyota/corolla-cross/year-2023"),'中古車掲載'!U1099,"")</x:f>
      </x:c>
      <x:c r="BB1098" t="str">
        <x:f>IF(AND('中古車掲載'!C1099="One2car",'中古車掲載'!F1099="ATTO 3",'中古車掲載'!L1099="EXTENDED RANGE",'中古車掲載'!J1099=2023,ISNUMBER('中古車掲載'!N1099),'中古車掲載'!N1099&gt;=50000,'中古車掲載'!O1099&lt;=100000,'中古車掲載'!AL1099=1),'中古車掲載'!U1099,"")</x:f>
      </x:c>
      <x:c r="BC1098" t="str">
        <x:f>IF(AND('中古車掲載'!C1099="One2car",'中古車掲載'!F1099="Corolla Cross",'中古車掲載'!L1099="HEV PREMIUM SAFETY",'中古車掲載'!J1099=2023,ISNUMBER('中古車掲載'!N1099),'中古車掲載'!N1099&gt;=50000,'中古車掲載'!O1099&lt;=100000,'中古車掲載'!AL1099=1,'中古車掲載'!Z1099="https://www.one2car.com/en/cars-for-sale/toyota/corolla-cross/year-2023"),'中古車掲載'!U1099,"")</x:f>
      </x:c>
      <x:c r="BD1098" t="str">
        <x:f>IF(AND('中古車掲載'!C1099="One2car",'中古車掲載'!F1099="ATTO 3",'中古車掲載'!L1099="EXTENDED RANGE",'中古車掲載'!J1099=2023,ISNUMBER('中古車掲載'!N1099),'中古車掲載'!N1099&gt;=20000,'中古車掲載'!O1099&lt;=50000,'中古車掲載'!AL1099=1),'中古車掲載'!U1099,"")</x:f>
      </x:c>
      <x:c r="BE1098" t="str">
        <x:f>IF(AND('中古車掲載'!C1099="One2car",'中古車掲載'!F1099="Corolla Cross",'中古車掲載'!L1099="HEV PREMIUM SAFETY",'中古車掲載'!J1099=2023,ISNUMBER('中古車掲載'!N1099),'中古車掲載'!N1099&gt;=20000,'中古車掲載'!O1099&lt;=50000,'中古車掲載'!AL1099=1,'中古車掲載'!Z1099="https://www.one2car.com/en/cars-for-sale/toyota/corolla-cross/year-2023"),'中古車掲載'!U1099,"")</x:f>
      </x:c>
      <x:c r="BF1098" t="str">
        <x:f>IF(AND('中古車掲載'!C1099="One2car",'中古車掲載'!F1099="Corolla Cross",'中古車掲載'!L1099="HEV PREMIUM",'中古車掲載'!J1099=2023,ISNUMBER('中古車掲載'!N1099),'中古車掲載'!N1099&gt;=20000,'中古車掲載'!O1099&lt;=100000,'中古車掲載'!AL1099=1,'中古車掲載'!Z1099="https://www.one2car.com/en/cars-for-sale/toyota/corolla-cross/year-2023"),'中古車掲載'!U1099,"")</x:f>
      </x:c>
      <x:c r="BG1098" t="str">
        <x:f>IF(AND('中古車掲載'!C1099="One2car",'中古車掲載'!F1099="Corolla Cross",'中古車掲載'!L1099="HEV GR SPORT",'中古車掲載'!J1099=2023,ISNUMBER('中古車掲載'!N1099),'中古車掲載'!N1099&gt;=20000,'中古車掲載'!O1099&lt;=100000,'中古車掲載'!AL1099=1,'中古車掲載'!Z1099="https://www.one2car.com/en/cars-for-sale/toyota/corolla-cross/year-2023"),'中古車掲載'!U1099,"")</x:f>
      </x:c>
      <x:c r="BH1098" t="str">
        <x:f>IF(AND('中古車掲載'!C1099="One2car",'中古車掲載'!F1099="DOLPHIN",'中古車掲載'!L1099="STANDARD RANGE",'中古車掲載'!J1099=2023,ISNUMBER('中古車掲載'!N1099),'中古車掲載'!N1099&gt;=20000,'中古車掲載'!O1099&lt;=100000,'中古車掲載'!AL1099=1),'中古車掲載'!U1099,"")</x:f>
      </x:c>
      <x:c r="BI1098" t="str">
        <x:v>Taladrod|Yaris Cross|HEV|Unknown</x:v>
      </x:c>
      <x:c r="BJ1098" t="n">
        <x:v>1099</x:v>
      </x:c>
      <x:c r="BK1098" t="n">
        <x:f>'中古車掲載'!AM1099</x:f>
        <x:v>729000</x:v>
      </x:c>
      <x:c r="BL1098" t="str">
        <x:f>IF(ISNUMBER('中古車掲載'!AN1099),'中古車掲載'!AN1099,"")</x:f>
      </x:c>
    </x:row>
    <x:row r="1099">
      <x:c r="AZ1099" t="str">
        <x:f>IF(AND('中古車掲載'!C1100="One2car",'中古車掲載'!F1100="ATTO 3",'中古車掲載'!L1100="EXTENDED RANGE",'中古車掲載'!J1100=2023,ISNUMBER('中古車掲載'!N1100),'中古車掲載'!N1100&gt;=20000,'中古車掲載'!O1100&lt;=100000,'中古車掲載'!AL1100=1),'中古車掲載'!U1100,"")</x:f>
      </x:c>
      <x:c r="BA1099" t="str">
        <x:f>IF(AND('中古車掲載'!C1100="One2car",'中古車掲載'!F1100="Corolla Cross",'中古車掲載'!L1100="HEV PREMIUM SAFETY",'中古車掲載'!J1100=2023,ISNUMBER('中古車掲載'!N1100),'中古車掲載'!N1100&gt;=20000,'中古車掲載'!O1100&lt;=100000,'中古車掲載'!AL1100=1,'中古車掲載'!Z1100="https://www.one2car.com/en/cars-for-sale/toyota/corolla-cross/year-2023"),'中古車掲載'!U1100,"")</x:f>
      </x:c>
      <x:c r="BB1099" t="str">
        <x:f>IF(AND('中古車掲載'!C1100="One2car",'中古車掲載'!F1100="ATTO 3",'中古車掲載'!L1100="EXTENDED RANGE",'中古車掲載'!J1100=2023,ISNUMBER('中古車掲載'!N1100),'中古車掲載'!N1100&gt;=50000,'中古車掲載'!O1100&lt;=100000,'中古車掲載'!AL1100=1),'中古車掲載'!U1100,"")</x:f>
      </x:c>
      <x:c r="BC1099" t="str">
        <x:f>IF(AND('中古車掲載'!C1100="One2car",'中古車掲載'!F1100="Corolla Cross",'中古車掲載'!L1100="HEV PREMIUM SAFETY",'中古車掲載'!J1100=2023,ISNUMBER('中古車掲載'!N1100),'中古車掲載'!N1100&gt;=50000,'中古車掲載'!O1100&lt;=100000,'中古車掲載'!AL1100=1,'中古車掲載'!Z1100="https://www.one2car.com/en/cars-for-sale/toyota/corolla-cross/year-2023"),'中古車掲載'!U1100,"")</x:f>
      </x:c>
      <x:c r="BD1099" t="str">
        <x:f>IF(AND('中古車掲載'!C1100="One2car",'中古車掲載'!F1100="ATTO 3",'中古車掲載'!L1100="EXTENDED RANGE",'中古車掲載'!J1100=2023,ISNUMBER('中古車掲載'!N1100),'中古車掲載'!N1100&gt;=20000,'中古車掲載'!O1100&lt;=50000,'中古車掲載'!AL1100=1),'中古車掲載'!U1100,"")</x:f>
      </x:c>
      <x:c r="BE1099" t="str">
        <x:f>IF(AND('中古車掲載'!C1100="One2car",'中古車掲載'!F1100="Corolla Cross",'中古車掲載'!L1100="HEV PREMIUM SAFETY",'中古車掲載'!J1100=2023,ISNUMBER('中古車掲載'!N1100),'中古車掲載'!N1100&gt;=20000,'中古車掲載'!O1100&lt;=50000,'中古車掲載'!AL1100=1,'中古車掲載'!Z1100="https://www.one2car.com/en/cars-for-sale/toyota/corolla-cross/year-2023"),'中古車掲載'!U1100,"")</x:f>
      </x:c>
      <x:c r="BF1099" t="str">
        <x:f>IF(AND('中古車掲載'!C1100="One2car",'中古車掲載'!F1100="Corolla Cross",'中古車掲載'!L1100="HEV PREMIUM",'中古車掲載'!J1100=2023,ISNUMBER('中古車掲載'!N1100),'中古車掲載'!N1100&gt;=20000,'中古車掲載'!O1100&lt;=100000,'中古車掲載'!AL1100=1,'中古車掲載'!Z1100="https://www.one2car.com/en/cars-for-sale/toyota/corolla-cross/year-2023"),'中古車掲載'!U1100,"")</x:f>
      </x:c>
      <x:c r="BG1099" t="str">
        <x:f>IF(AND('中古車掲載'!C1100="One2car",'中古車掲載'!F1100="Corolla Cross",'中古車掲載'!L1100="HEV GR SPORT",'中古車掲載'!J1100=2023,ISNUMBER('中古車掲載'!N1100),'中古車掲載'!N1100&gt;=20000,'中古車掲載'!O1100&lt;=100000,'中古車掲載'!AL1100=1,'中古車掲載'!Z1100="https://www.one2car.com/en/cars-for-sale/toyota/corolla-cross/year-2023"),'中古車掲載'!U1100,"")</x:f>
      </x:c>
      <x:c r="BH1099" t="str">
        <x:f>IF(AND('中古車掲載'!C1100="One2car",'中古車掲載'!F1100="DOLPHIN",'中古車掲載'!L1100="STANDARD RANGE",'中古車掲載'!J1100=2023,ISNUMBER('中古車掲載'!N1100),'中古車掲載'!N1100&gt;=20000,'中古車掲載'!O1100&lt;=100000,'中古車掲載'!AL1100=1),'中古車掲載'!U1100,"")</x:f>
      </x:c>
      <x:c r="BI1099" t="str">
        <x:v>Taladrod|Yaris Cross|HEV|Unknown</x:v>
      </x:c>
      <x:c r="BJ1099" t="n">
        <x:v>1100</x:v>
      </x:c>
      <x:c r="BK1099" t="n">
        <x:f>'中古車掲載'!AM1100</x:f>
        <x:v>689000</x:v>
      </x:c>
      <x:c r="BL1099" t="str">
        <x:f>IF(ISNUMBER('中古車掲載'!AN1100),'中古車掲載'!AN1100,"")</x:f>
      </x:c>
    </x:row>
    <x:row r="1100">
      <x:c r="AZ1100" t="str">
        <x:f>IF(AND('中古車掲載'!C1101="One2car",'中古車掲載'!F1101="ATTO 3",'中古車掲載'!L1101="EXTENDED RANGE",'中古車掲載'!J1101=2023,ISNUMBER('中古車掲載'!N1101),'中古車掲載'!N1101&gt;=20000,'中古車掲載'!O1101&lt;=100000,'中古車掲載'!AL1101=1),'中古車掲載'!U1101,"")</x:f>
      </x:c>
      <x:c r="BA1100" t="str">
        <x:f>IF(AND('中古車掲載'!C1101="One2car",'中古車掲載'!F1101="Corolla Cross",'中古車掲載'!L1101="HEV PREMIUM SAFETY",'中古車掲載'!J1101=2023,ISNUMBER('中古車掲載'!N1101),'中古車掲載'!N1101&gt;=20000,'中古車掲載'!O1101&lt;=100000,'中古車掲載'!AL1101=1,'中古車掲載'!Z1101="https://www.one2car.com/en/cars-for-sale/toyota/corolla-cross/year-2023"),'中古車掲載'!U1101,"")</x:f>
      </x:c>
      <x:c r="BB1100" t="str">
        <x:f>IF(AND('中古車掲載'!C1101="One2car",'中古車掲載'!F1101="ATTO 3",'中古車掲載'!L1101="EXTENDED RANGE",'中古車掲載'!J1101=2023,ISNUMBER('中古車掲載'!N1101),'中古車掲載'!N1101&gt;=50000,'中古車掲載'!O1101&lt;=100000,'中古車掲載'!AL1101=1),'中古車掲載'!U1101,"")</x:f>
      </x:c>
      <x:c r="BC1100" t="str">
        <x:f>IF(AND('中古車掲載'!C1101="One2car",'中古車掲載'!F1101="Corolla Cross",'中古車掲載'!L1101="HEV PREMIUM SAFETY",'中古車掲載'!J1101=2023,ISNUMBER('中古車掲載'!N1101),'中古車掲載'!N1101&gt;=50000,'中古車掲載'!O1101&lt;=100000,'中古車掲載'!AL1101=1,'中古車掲載'!Z1101="https://www.one2car.com/en/cars-for-sale/toyota/corolla-cross/year-2023"),'中古車掲載'!U1101,"")</x:f>
      </x:c>
      <x:c r="BD1100" t="str">
        <x:f>IF(AND('中古車掲載'!C1101="One2car",'中古車掲載'!F1101="ATTO 3",'中古車掲載'!L1101="EXTENDED RANGE",'中古車掲載'!J1101=2023,ISNUMBER('中古車掲載'!N1101),'中古車掲載'!N1101&gt;=20000,'中古車掲載'!O1101&lt;=50000,'中古車掲載'!AL1101=1),'中古車掲載'!U1101,"")</x:f>
      </x:c>
      <x:c r="BE1100" t="str">
        <x:f>IF(AND('中古車掲載'!C1101="One2car",'中古車掲載'!F1101="Corolla Cross",'中古車掲載'!L1101="HEV PREMIUM SAFETY",'中古車掲載'!J1101=2023,ISNUMBER('中古車掲載'!N1101),'中古車掲載'!N1101&gt;=20000,'中古車掲載'!O1101&lt;=50000,'中古車掲載'!AL1101=1,'中古車掲載'!Z1101="https://www.one2car.com/en/cars-for-sale/toyota/corolla-cross/year-2023"),'中古車掲載'!U1101,"")</x:f>
      </x:c>
      <x:c r="BF1100" t="str">
        <x:f>IF(AND('中古車掲載'!C1101="One2car",'中古車掲載'!F1101="Corolla Cross",'中古車掲載'!L1101="HEV PREMIUM",'中古車掲載'!J1101=2023,ISNUMBER('中古車掲載'!N1101),'中古車掲載'!N1101&gt;=20000,'中古車掲載'!O1101&lt;=100000,'中古車掲載'!AL1101=1,'中古車掲載'!Z1101="https://www.one2car.com/en/cars-for-sale/toyota/corolla-cross/year-2023"),'中古車掲載'!U1101,"")</x:f>
      </x:c>
      <x:c r="BG1100" t="str">
        <x:f>IF(AND('中古車掲載'!C1101="One2car",'中古車掲載'!F1101="Corolla Cross",'中古車掲載'!L1101="HEV GR SPORT",'中古車掲載'!J1101=2023,ISNUMBER('中古車掲載'!N1101),'中古車掲載'!N1101&gt;=20000,'中古車掲載'!O1101&lt;=100000,'中古車掲載'!AL1101=1,'中古車掲載'!Z1101="https://www.one2car.com/en/cars-for-sale/toyota/corolla-cross/year-2023"),'中古車掲載'!U1101,"")</x:f>
      </x:c>
      <x:c r="BH1100" t="str">
        <x:f>IF(AND('中古車掲載'!C1101="One2car",'中古車掲載'!F1101="DOLPHIN",'中古車掲載'!L1101="STANDARD RANGE",'中古車掲載'!J1101=2023,ISNUMBER('中古車掲載'!N1101),'中古車掲載'!N1101&gt;=20000,'中古車掲載'!O1101&lt;=100000,'中古車掲載'!AL1101=1),'中古車掲載'!U1101,"")</x:f>
      </x:c>
      <x:c r="BI1100" t="str">
        <x:v>Taladrod|Yaris Cross|HEV|Unknown</x:v>
      </x:c>
      <x:c r="BJ1100" t="n">
        <x:v>1101</x:v>
      </x:c>
      <x:c r="BK1100" t="n">
        <x:f>'中古車掲載'!AM1101</x:f>
        <x:v>664000</x:v>
      </x:c>
      <x:c r="BL1100" t="str">
        <x:f>IF(ISNUMBER('中古車掲載'!AN1101),'中古車掲載'!AN1101,"")</x:f>
      </x:c>
    </x:row>
    <x:row r="1101">
      <x:c r="AZ1101" t="str">
        <x:f>IF(AND('中古車掲載'!C1102="One2car",'中古車掲載'!F1102="ATTO 3",'中古車掲載'!L1102="EXTENDED RANGE",'中古車掲載'!J1102=2023,ISNUMBER('中古車掲載'!N1102),'中古車掲載'!N1102&gt;=20000,'中古車掲載'!O1102&lt;=100000,'中古車掲載'!AL1102=1),'中古車掲載'!U1102,"")</x:f>
      </x:c>
      <x:c r="BA1101" t="str">
        <x:f>IF(AND('中古車掲載'!C1102="One2car",'中古車掲載'!F1102="Corolla Cross",'中古車掲載'!L1102="HEV PREMIUM SAFETY",'中古車掲載'!J1102=2023,ISNUMBER('中古車掲載'!N1102),'中古車掲載'!N1102&gt;=20000,'中古車掲載'!O1102&lt;=100000,'中古車掲載'!AL1102=1,'中古車掲載'!Z1102="https://www.one2car.com/en/cars-for-sale/toyota/corolla-cross/year-2023"),'中古車掲載'!U1102,"")</x:f>
      </x:c>
      <x:c r="BB1101" t="str">
        <x:f>IF(AND('中古車掲載'!C1102="One2car",'中古車掲載'!F1102="ATTO 3",'中古車掲載'!L1102="EXTENDED RANGE",'中古車掲載'!J1102=2023,ISNUMBER('中古車掲載'!N1102),'中古車掲載'!N1102&gt;=50000,'中古車掲載'!O1102&lt;=100000,'中古車掲載'!AL1102=1),'中古車掲載'!U1102,"")</x:f>
      </x:c>
      <x:c r="BC1101" t="str">
        <x:f>IF(AND('中古車掲載'!C1102="One2car",'中古車掲載'!F1102="Corolla Cross",'中古車掲載'!L1102="HEV PREMIUM SAFETY",'中古車掲載'!J1102=2023,ISNUMBER('中古車掲載'!N1102),'中古車掲載'!N1102&gt;=50000,'中古車掲載'!O1102&lt;=100000,'中古車掲載'!AL1102=1,'中古車掲載'!Z1102="https://www.one2car.com/en/cars-for-sale/toyota/corolla-cross/year-2023"),'中古車掲載'!U1102,"")</x:f>
      </x:c>
      <x:c r="BD1101" t="str">
        <x:f>IF(AND('中古車掲載'!C1102="One2car",'中古車掲載'!F1102="ATTO 3",'中古車掲載'!L1102="EXTENDED RANGE",'中古車掲載'!J1102=2023,ISNUMBER('中古車掲載'!N1102),'中古車掲載'!N1102&gt;=20000,'中古車掲載'!O1102&lt;=50000,'中古車掲載'!AL1102=1),'中古車掲載'!U1102,"")</x:f>
      </x:c>
      <x:c r="BE1101" t="str">
        <x:f>IF(AND('中古車掲載'!C1102="One2car",'中古車掲載'!F1102="Corolla Cross",'中古車掲載'!L1102="HEV PREMIUM SAFETY",'中古車掲載'!J1102=2023,ISNUMBER('中古車掲載'!N1102),'中古車掲載'!N1102&gt;=20000,'中古車掲載'!O1102&lt;=50000,'中古車掲載'!AL1102=1,'中古車掲載'!Z1102="https://www.one2car.com/en/cars-for-sale/toyota/corolla-cross/year-2023"),'中古車掲載'!U1102,"")</x:f>
      </x:c>
      <x:c r="BF1101" t="str">
        <x:f>IF(AND('中古車掲載'!C1102="One2car",'中古車掲載'!F1102="Corolla Cross",'中古車掲載'!L1102="HEV PREMIUM",'中古車掲載'!J1102=2023,ISNUMBER('中古車掲載'!N1102),'中古車掲載'!N1102&gt;=20000,'中古車掲載'!O1102&lt;=100000,'中古車掲載'!AL1102=1,'中古車掲載'!Z1102="https://www.one2car.com/en/cars-for-sale/toyota/corolla-cross/year-2023"),'中古車掲載'!U1102,"")</x:f>
      </x:c>
      <x:c r="BG1101" t="str">
        <x:f>IF(AND('中古車掲載'!C1102="One2car",'中古車掲載'!F1102="Corolla Cross",'中古車掲載'!L1102="HEV GR SPORT",'中古車掲載'!J1102=2023,ISNUMBER('中古車掲載'!N1102),'中古車掲載'!N1102&gt;=20000,'中古車掲載'!O1102&lt;=100000,'中古車掲載'!AL1102=1,'中古車掲載'!Z1102="https://www.one2car.com/en/cars-for-sale/toyota/corolla-cross/year-2023"),'中古車掲載'!U1102,"")</x:f>
      </x:c>
      <x:c r="BH1101" t="str">
        <x:f>IF(AND('中古車掲載'!C1102="One2car",'中古車掲載'!F1102="DOLPHIN",'中古車掲載'!L1102="STANDARD RANGE",'中古車掲載'!J1102=2023,ISNUMBER('中古車掲載'!N1102),'中古車掲載'!N1102&gt;=20000,'中古車掲載'!O1102&lt;=100000,'中古車掲載'!AL1102=1),'中古車掲載'!U1102,"")</x:f>
      </x:c>
      <x:c r="BI1101" t="str">
        <x:v>Taladrod|Yaris Cross|HEV|Unknown</x:v>
      </x:c>
      <x:c r="BJ1101" t="n">
        <x:v>1102</x:v>
      </x:c>
      <x:c r="BK1101" t="n">
        <x:f>'中古車掲載'!AM1102</x:f>
        <x:v>729000</x:v>
      </x:c>
      <x:c r="BL1101" t="str">
        <x:f>IF(ISNUMBER('中古車掲載'!AN1102),'中古車掲載'!AN1102,"")</x:f>
      </x:c>
    </x:row>
    <x:row r="1102">
      <x:c r="AZ1102" t="str">
        <x:f>IF(AND('中古車掲載'!C1103="One2car",'中古車掲載'!F1103="ATTO 3",'中古車掲載'!L1103="EXTENDED RANGE",'中古車掲載'!J1103=2023,ISNUMBER('中古車掲載'!N1103),'中古車掲載'!N1103&gt;=20000,'中古車掲載'!O1103&lt;=100000,'中古車掲載'!AL1103=1),'中古車掲載'!U1103,"")</x:f>
      </x:c>
      <x:c r="BA1102" t="str">
        <x:f>IF(AND('中古車掲載'!C1103="One2car",'中古車掲載'!F1103="Corolla Cross",'中古車掲載'!L1103="HEV PREMIUM SAFETY",'中古車掲載'!J1103=2023,ISNUMBER('中古車掲載'!N1103),'中古車掲載'!N1103&gt;=20000,'中古車掲載'!O1103&lt;=100000,'中古車掲載'!AL1103=1,'中古車掲載'!Z1103="https://www.one2car.com/en/cars-for-sale/toyota/corolla-cross/year-2023"),'中古車掲載'!U1103,"")</x:f>
      </x:c>
      <x:c r="BB1102" t="str">
        <x:f>IF(AND('中古車掲載'!C1103="One2car",'中古車掲載'!F1103="ATTO 3",'中古車掲載'!L1103="EXTENDED RANGE",'中古車掲載'!J1103=2023,ISNUMBER('中古車掲載'!N1103),'中古車掲載'!N1103&gt;=50000,'中古車掲載'!O1103&lt;=100000,'中古車掲載'!AL1103=1),'中古車掲載'!U1103,"")</x:f>
      </x:c>
      <x:c r="BC1102" t="str">
        <x:f>IF(AND('中古車掲載'!C1103="One2car",'中古車掲載'!F1103="Corolla Cross",'中古車掲載'!L1103="HEV PREMIUM SAFETY",'中古車掲載'!J1103=2023,ISNUMBER('中古車掲載'!N1103),'中古車掲載'!N1103&gt;=50000,'中古車掲載'!O1103&lt;=100000,'中古車掲載'!AL1103=1,'中古車掲載'!Z1103="https://www.one2car.com/en/cars-for-sale/toyota/corolla-cross/year-2023"),'中古車掲載'!U1103,"")</x:f>
      </x:c>
      <x:c r="BD1102" t="str">
        <x:f>IF(AND('中古車掲載'!C1103="One2car",'中古車掲載'!F1103="ATTO 3",'中古車掲載'!L1103="EXTENDED RANGE",'中古車掲載'!J1103=2023,ISNUMBER('中古車掲載'!N1103),'中古車掲載'!N1103&gt;=20000,'中古車掲載'!O1103&lt;=50000,'中古車掲載'!AL1103=1),'中古車掲載'!U1103,"")</x:f>
      </x:c>
      <x:c r="BE1102" t="str">
        <x:f>IF(AND('中古車掲載'!C1103="One2car",'中古車掲載'!F1103="Corolla Cross",'中古車掲載'!L1103="HEV PREMIUM SAFETY",'中古車掲載'!J1103=2023,ISNUMBER('中古車掲載'!N1103),'中古車掲載'!N1103&gt;=20000,'中古車掲載'!O1103&lt;=50000,'中古車掲載'!AL1103=1,'中古車掲載'!Z1103="https://www.one2car.com/en/cars-for-sale/toyota/corolla-cross/year-2023"),'中古車掲載'!U1103,"")</x:f>
      </x:c>
      <x:c r="BF1102" t="str">
        <x:f>IF(AND('中古車掲載'!C1103="One2car",'中古車掲載'!F1103="Corolla Cross",'中古車掲載'!L1103="HEV PREMIUM",'中古車掲載'!J1103=2023,ISNUMBER('中古車掲載'!N1103),'中古車掲載'!N1103&gt;=20000,'中古車掲載'!O1103&lt;=100000,'中古車掲載'!AL1103=1,'中古車掲載'!Z1103="https://www.one2car.com/en/cars-for-sale/toyota/corolla-cross/year-2023"),'中古車掲載'!U1103,"")</x:f>
      </x:c>
      <x:c r="BG1102" t="str">
        <x:f>IF(AND('中古車掲載'!C1103="One2car",'中古車掲載'!F1103="Corolla Cross",'中古車掲載'!L1103="HEV GR SPORT",'中古車掲載'!J1103=2023,ISNUMBER('中古車掲載'!N1103),'中古車掲載'!N1103&gt;=20000,'中古車掲載'!O1103&lt;=100000,'中古車掲載'!AL1103=1,'中古車掲載'!Z1103="https://www.one2car.com/en/cars-for-sale/toyota/corolla-cross/year-2023"),'中古車掲載'!U1103,"")</x:f>
      </x:c>
      <x:c r="BH1102" t="str">
        <x:f>IF(AND('中古車掲載'!C1103="One2car",'中古車掲載'!F1103="DOLPHIN",'中古車掲載'!L1103="STANDARD RANGE",'中古車掲載'!J1103=2023,ISNUMBER('中古車掲載'!N1103),'中古車掲載'!N1103&gt;=20000,'中古車掲載'!O1103&lt;=100000,'中古車掲載'!AL1103=1),'中古車掲載'!U1103,"")</x:f>
      </x:c>
      <x:c r="BI1102" t="str">
        <x:v>Taladrod|Yaris Cross|HEV|Unknown</x:v>
      </x:c>
      <x:c r="BJ1102" t="n">
        <x:v>1103</x:v>
      </x:c>
      <x:c r="BK1102" t="n">
        <x:f>'中古車掲載'!AM1103</x:f>
        <x:v>679000</x:v>
      </x:c>
      <x:c r="BL1102" t="str">
        <x:f>IF(ISNUMBER('中古車掲載'!AN1103),'中古車掲載'!AN1103,"")</x:f>
      </x:c>
    </x:row>
    <x:row r="1103">
      <x:c r="AZ1103" t="str">
        <x:f>IF(AND('中古車掲載'!C1104="One2car",'中古車掲載'!F1104="ATTO 3",'中古車掲載'!L1104="EXTENDED RANGE",'中古車掲載'!J1104=2023,ISNUMBER('中古車掲載'!N1104),'中古車掲載'!N1104&gt;=20000,'中古車掲載'!O1104&lt;=100000,'中古車掲載'!AL1104=1),'中古車掲載'!U1104,"")</x:f>
      </x:c>
      <x:c r="BA1103" t="str">
        <x:f>IF(AND('中古車掲載'!C1104="One2car",'中古車掲載'!F1104="Corolla Cross",'中古車掲載'!L1104="HEV PREMIUM SAFETY",'中古車掲載'!J1104=2023,ISNUMBER('中古車掲載'!N1104),'中古車掲載'!N1104&gt;=20000,'中古車掲載'!O1104&lt;=100000,'中古車掲載'!AL1104=1,'中古車掲載'!Z1104="https://www.one2car.com/en/cars-for-sale/toyota/corolla-cross/year-2023"),'中古車掲載'!U1104,"")</x:f>
      </x:c>
      <x:c r="BB1103" t="str">
        <x:f>IF(AND('中古車掲載'!C1104="One2car",'中古車掲載'!F1104="ATTO 3",'中古車掲載'!L1104="EXTENDED RANGE",'中古車掲載'!J1104=2023,ISNUMBER('中古車掲載'!N1104),'中古車掲載'!N1104&gt;=50000,'中古車掲載'!O1104&lt;=100000,'中古車掲載'!AL1104=1),'中古車掲載'!U1104,"")</x:f>
      </x:c>
      <x:c r="BC1103" t="str">
        <x:f>IF(AND('中古車掲載'!C1104="One2car",'中古車掲載'!F1104="Corolla Cross",'中古車掲載'!L1104="HEV PREMIUM SAFETY",'中古車掲載'!J1104=2023,ISNUMBER('中古車掲載'!N1104),'中古車掲載'!N1104&gt;=50000,'中古車掲載'!O1104&lt;=100000,'中古車掲載'!AL1104=1,'中古車掲載'!Z1104="https://www.one2car.com/en/cars-for-sale/toyota/corolla-cross/year-2023"),'中古車掲載'!U1104,"")</x:f>
      </x:c>
      <x:c r="BD1103" t="str">
        <x:f>IF(AND('中古車掲載'!C1104="One2car",'中古車掲載'!F1104="ATTO 3",'中古車掲載'!L1104="EXTENDED RANGE",'中古車掲載'!J1104=2023,ISNUMBER('中古車掲載'!N1104),'中古車掲載'!N1104&gt;=20000,'中古車掲載'!O1104&lt;=50000,'中古車掲載'!AL1104=1),'中古車掲載'!U1104,"")</x:f>
      </x:c>
      <x:c r="BE1103" t="str">
        <x:f>IF(AND('中古車掲載'!C1104="One2car",'中古車掲載'!F1104="Corolla Cross",'中古車掲載'!L1104="HEV PREMIUM SAFETY",'中古車掲載'!J1104=2023,ISNUMBER('中古車掲載'!N1104),'中古車掲載'!N1104&gt;=20000,'中古車掲載'!O1104&lt;=50000,'中古車掲載'!AL1104=1,'中古車掲載'!Z1104="https://www.one2car.com/en/cars-for-sale/toyota/corolla-cross/year-2023"),'中古車掲載'!U1104,"")</x:f>
      </x:c>
      <x:c r="BF1103" t="str">
        <x:f>IF(AND('中古車掲載'!C1104="One2car",'中古車掲載'!F1104="Corolla Cross",'中古車掲載'!L1104="HEV PREMIUM",'中古車掲載'!J1104=2023,ISNUMBER('中古車掲載'!N1104),'中古車掲載'!N1104&gt;=20000,'中古車掲載'!O1104&lt;=100000,'中古車掲載'!AL1104=1,'中古車掲載'!Z1104="https://www.one2car.com/en/cars-for-sale/toyota/corolla-cross/year-2023"),'中古車掲載'!U1104,"")</x:f>
      </x:c>
      <x:c r="BG1103" t="str">
        <x:f>IF(AND('中古車掲載'!C1104="One2car",'中古車掲載'!F1104="Corolla Cross",'中古車掲載'!L1104="HEV GR SPORT",'中古車掲載'!J1104=2023,ISNUMBER('中古車掲載'!N1104),'中古車掲載'!N1104&gt;=20000,'中古車掲載'!O1104&lt;=100000,'中古車掲載'!AL1104=1,'中古車掲載'!Z1104="https://www.one2car.com/en/cars-for-sale/toyota/corolla-cross/year-2023"),'中古車掲載'!U1104,"")</x:f>
      </x:c>
      <x:c r="BH1103" t="str">
        <x:f>IF(AND('中古車掲載'!C1104="One2car",'中古車掲載'!F1104="DOLPHIN",'中古車掲載'!L1104="STANDARD RANGE",'中古車掲載'!J1104=2023,ISNUMBER('中古車掲載'!N1104),'中古車掲載'!N1104&gt;=20000,'中古車掲載'!O1104&lt;=100000,'中古車掲載'!AL1104=1),'中古車掲載'!U1104,"")</x:f>
      </x:c>
      <x:c r="BI1103" t="str">
        <x:v>Taladrod|Yaris Cross|HEV|Unknown</x:v>
      </x:c>
      <x:c r="BJ1103" t="n">
        <x:v>1104</x:v>
      </x:c>
      <x:c r="BK1103" t="n">
        <x:f>'中古車掲載'!AM1104</x:f>
        <x:v>689000</x:v>
      </x:c>
      <x:c r="BL1103" t="str">
        <x:f>IF(ISNUMBER('中古車掲載'!AN1104),'中古車掲載'!AN1104,"")</x:f>
      </x:c>
    </x:row>
    <x:row r="1104">
      <x:c r="AZ1104" t="str">
        <x:f>IF(AND('中古車掲載'!C1105="One2car",'中古車掲載'!F1105="ATTO 3",'中古車掲載'!L1105="EXTENDED RANGE",'中古車掲載'!J1105=2023,ISNUMBER('中古車掲載'!N1105),'中古車掲載'!N1105&gt;=20000,'中古車掲載'!O1105&lt;=100000,'中古車掲載'!AL1105=1),'中古車掲載'!U1105,"")</x:f>
      </x:c>
      <x:c r="BA1104" t="str">
        <x:f>IF(AND('中古車掲載'!C1105="One2car",'中古車掲載'!F1105="Corolla Cross",'中古車掲載'!L1105="HEV PREMIUM SAFETY",'中古車掲載'!J1105=2023,ISNUMBER('中古車掲載'!N1105),'中古車掲載'!N1105&gt;=20000,'中古車掲載'!O1105&lt;=100000,'中古車掲載'!AL1105=1,'中古車掲載'!Z1105="https://www.one2car.com/en/cars-for-sale/toyota/corolla-cross/year-2023"),'中古車掲載'!U1105,"")</x:f>
      </x:c>
      <x:c r="BB1104" t="str">
        <x:f>IF(AND('中古車掲載'!C1105="One2car",'中古車掲載'!F1105="ATTO 3",'中古車掲載'!L1105="EXTENDED RANGE",'中古車掲載'!J1105=2023,ISNUMBER('中古車掲載'!N1105),'中古車掲載'!N1105&gt;=50000,'中古車掲載'!O1105&lt;=100000,'中古車掲載'!AL1105=1),'中古車掲載'!U1105,"")</x:f>
      </x:c>
      <x:c r="BC1104" t="str">
        <x:f>IF(AND('中古車掲載'!C1105="One2car",'中古車掲載'!F1105="Corolla Cross",'中古車掲載'!L1105="HEV PREMIUM SAFETY",'中古車掲載'!J1105=2023,ISNUMBER('中古車掲載'!N1105),'中古車掲載'!N1105&gt;=50000,'中古車掲載'!O1105&lt;=100000,'中古車掲載'!AL1105=1,'中古車掲載'!Z1105="https://www.one2car.com/en/cars-for-sale/toyota/corolla-cross/year-2023"),'中古車掲載'!U1105,"")</x:f>
      </x:c>
      <x:c r="BD1104" t="str">
        <x:f>IF(AND('中古車掲載'!C1105="One2car",'中古車掲載'!F1105="ATTO 3",'中古車掲載'!L1105="EXTENDED RANGE",'中古車掲載'!J1105=2023,ISNUMBER('中古車掲載'!N1105),'中古車掲載'!N1105&gt;=20000,'中古車掲載'!O1105&lt;=50000,'中古車掲載'!AL1105=1),'中古車掲載'!U1105,"")</x:f>
      </x:c>
      <x:c r="BE1104" t="str">
        <x:f>IF(AND('中古車掲載'!C1105="One2car",'中古車掲載'!F1105="Corolla Cross",'中古車掲載'!L1105="HEV PREMIUM SAFETY",'中古車掲載'!J1105=2023,ISNUMBER('中古車掲載'!N1105),'中古車掲載'!N1105&gt;=20000,'中古車掲載'!O1105&lt;=50000,'中古車掲載'!AL1105=1,'中古車掲載'!Z1105="https://www.one2car.com/en/cars-for-sale/toyota/corolla-cross/year-2023"),'中古車掲載'!U1105,"")</x:f>
      </x:c>
      <x:c r="BF1104" t="str">
        <x:f>IF(AND('中古車掲載'!C1105="One2car",'中古車掲載'!F1105="Corolla Cross",'中古車掲載'!L1105="HEV PREMIUM",'中古車掲載'!J1105=2023,ISNUMBER('中古車掲載'!N1105),'中古車掲載'!N1105&gt;=20000,'中古車掲載'!O1105&lt;=100000,'中古車掲載'!AL1105=1,'中古車掲載'!Z1105="https://www.one2car.com/en/cars-for-sale/toyota/corolla-cross/year-2023"),'中古車掲載'!U1105,"")</x:f>
      </x:c>
      <x:c r="BG1104" t="str">
        <x:f>IF(AND('中古車掲載'!C1105="One2car",'中古車掲載'!F1105="Corolla Cross",'中古車掲載'!L1105="HEV GR SPORT",'中古車掲載'!J1105=2023,ISNUMBER('中古車掲載'!N1105),'中古車掲載'!N1105&gt;=20000,'中古車掲載'!O1105&lt;=100000,'中古車掲載'!AL1105=1,'中古車掲載'!Z1105="https://www.one2car.com/en/cars-for-sale/toyota/corolla-cross/year-2023"),'中古車掲載'!U1105,"")</x:f>
      </x:c>
      <x:c r="BH1104" t="str">
        <x:f>IF(AND('中古車掲載'!C1105="One2car",'中古車掲載'!F1105="DOLPHIN",'中古車掲載'!L1105="STANDARD RANGE",'中古車掲載'!J1105=2023,ISNUMBER('中古車掲載'!N1105),'中古車掲載'!N1105&gt;=20000,'中古車掲載'!O1105&lt;=100000,'中古車掲載'!AL1105=1),'中古車掲載'!U1105,"")</x:f>
      </x:c>
      <x:c r="BI1104" t="str">
        <x:v>Taladrod|Yaris Cross|HEV|Unknown</x:v>
      </x:c>
      <x:c r="BJ1104" t="n">
        <x:v>1105</x:v>
      </x:c>
      <x:c r="BK1104" t="n">
        <x:f>'中古車掲載'!AM1105</x:f>
        <x:v>734000</x:v>
      </x:c>
      <x:c r="BL1104" t="str">
        <x:f>IF(ISNUMBER('中古車掲載'!AN1105),'中古車掲載'!AN1105,"")</x:f>
      </x:c>
    </x:row>
    <x:row r="1105">
      <x:c r="AZ1105" t="str">
        <x:f>IF(AND('中古車掲載'!C1106="One2car",'中古車掲載'!F1106="ATTO 3",'中古車掲載'!L1106="EXTENDED RANGE",'中古車掲載'!J1106=2023,ISNUMBER('中古車掲載'!N1106),'中古車掲載'!N1106&gt;=20000,'中古車掲載'!O1106&lt;=100000,'中古車掲載'!AL1106=1),'中古車掲載'!U1106,"")</x:f>
      </x:c>
      <x:c r="BA1105" t="str">
        <x:f>IF(AND('中古車掲載'!C1106="One2car",'中古車掲載'!F1106="Corolla Cross",'中古車掲載'!L1106="HEV PREMIUM SAFETY",'中古車掲載'!J1106=2023,ISNUMBER('中古車掲載'!N1106),'中古車掲載'!N1106&gt;=20000,'中古車掲載'!O1106&lt;=100000,'中古車掲載'!AL1106=1,'中古車掲載'!Z1106="https://www.one2car.com/en/cars-for-sale/toyota/corolla-cross/year-2023"),'中古車掲載'!U1106,"")</x:f>
      </x:c>
      <x:c r="BB1105" t="str">
        <x:f>IF(AND('中古車掲載'!C1106="One2car",'中古車掲載'!F1106="ATTO 3",'中古車掲載'!L1106="EXTENDED RANGE",'中古車掲載'!J1106=2023,ISNUMBER('中古車掲載'!N1106),'中古車掲載'!N1106&gt;=50000,'中古車掲載'!O1106&lt;=100000,'中古車掲載'!AL1106=1),'中古車掲載'!U1106,"")</x:f>
      </x:c>
      <x:c r="BC1105" t="str">
        <x:f>IF(AND('中古車掲載'!C1106="One2car",'中古車掲載'!F1106="Corolla Cross",'中古車掲載'!L1106="HEV PREMIUM SAFETY",'中古車掲載'!J1106=2023,ISNUMBER('中古車掲載'!N1106),'中古車掲載'!N1106&gt;=50000,'中古車掲載'!O1106&lt;=100000,'中古車掲載'!AL1106=1,'中古車掲載'!Z1106="https://www.one2car.com/en/cars-for-sale/toyota/corolla-cross/year-2023"),'中古車掲載'!U1106,"")</x:f>
      </x:c>
      <x:c r="BD1105" t="str">
        <x:f>IF(AND('中古車掲載'!C1106="One2car",'中古車掲載'!F1106="ATTO 3",'中古車掲載'!L1106="EXTENDED RANGE",'中古車掲載'!J1106=2023,ISNUMBER('中古車掲載'!N1106),'中古車掲載'!N1106&gt;=20000,'中古車掲載'!O1106&lt;=50000,'中古車掲載'!AL1106=1),'中古車掲載'!U1106,"")</x:f>
      </x:c>
      <x:c r="BE1105" t="str">
        <x:f>IF(AND('中古車掲載'!C1106="One2car",'中古車掲載'!F1106="Corolla Cross",'中古車掲載'!L1106="HEV PREMIUM SAFETY",'中古車掲載'!J1106=2023,ISNUMBER('中古車掲載'!N1106),'中古車掲載'!N1106&gt;=20000,'中古車掲載'!O1106&lt;=50000,'中古車掲載'!AL1106=1,'中古車掲載'!Z1106="https://www.one2car.com/en/cars-for-sale/toyota/corolla-cross/year-2023"),'中古車掲載'!U1106,"")</x:f>
      </x:c>
      <x:c r="BF1105" t="str">
        <x:f>IF(AND('中古車掲載'!C1106="One2car",'中古車掲載'!F1106="Corolla Cross",'中古車掲載'!L1106="HEV PREMIUM",'中古車掲載'!J1106=2023,ISNUMBER('中古車掲載'!N1106),'中古車掲載'!N1106&gt;=20000,'中古車掲載'!O1106&lt;=100000,'中古車掲載'!AL1106=1,'中古車掲載'!Z1106="https://www.one2car.com/en/cars-for-sale/toyota/corolla-cross/year-2023"),'中古車掲載'!U1106,"")</x:f>
      </x:c>
      <x:c r="BG1105" t="str">
        <x:f>IF(AND('中古車掲載'!C1106="One2car",'中古車掲載'!F1106="Corolla Cross",'中古車掲載'!L1106="HEV GR SPORT",'中古車掲載'!J1106=2023,ISNUMBER('中古車掲載'!N1106),'中古車掲載'!N1106&gt;=20000,'中古車掲載'!O1106&lt;=100000,'中古車掲載'!AL1106=1,'中古車掲載'!Z1106="https://www.one2car.com/en/cars-for-sale/toyota/corolla-cross/year-2023"),'中古車掲載'!U1106,"")</x:f>
      </x:c>
      <x:c r="BH1105" t="str">
        <x:f>IF(AND('中古車掲載'!C1106="One2car",'中古車掲載'!F1106="DOLPHIN",'中古車掲載'!L1106="STANDARD RANGE",'中古車掲載'!J1106=2023,ISNUMBER('中古車掲載'!N1106),'中古車掲載'!N1106&gt;=20000,'中古車掲載'!O1106&lt;=100000,'中古車掲載'!AL1106=1),'中古車掲載'!U1106,"")</x:f>
      </x:c>
      <x:c r="BI1105" t="str">
        <x:v>Taladrod|Yaris Cross|HEV|Unknown</x:v>
      </x:c>
      <x:c r="BJ1105" t="n">
        <x:v>1106</x:v>
      </x:c>
      <x:c r="BK1105" t="n">
        <x:f>'中古車掲載'!AM1106</x:f>
        <x:v>654000</x:v>
      </x:c>
      <x:c r="BL1105" t="str">
        <x:f>IF(ISNUMBER('中古車掲載'!AN1106),'中古車掲載'!AN1106,"")</x:f>
      </x:c>
    </x:row>
    <x:row r="1106">
      <x:c r="AZ1106" t="str">
        <x:f>IF(AND('中古車掲載'!C1107="One2car",'中古車掲載'!F1107="ATTO 3",'中古車掲載'!L1107="EXTENDED RANGE",'中古車掲載'!J1107=2023,ISNUMBER('中古車掲載'!N1107),'中古車掲載'!N1107&gt;=20000,'中古車掲載'!O1107&lt;=100000,'中古車掲載'!AL1107=1),'中古車掲載'!U1107,"")</x:f>
      </x:c>
      <x:c r="BA1106" t="str">
        <x:f>IF(AND('中古車掲載'!C1107="One2car",'中古車掲載'!F1107="Corolla Cross",'中古車掲載'!L1107="HEV PREMIUM SAFETY",'中古車掲載'!J1107=2023,ISNUMBER('中古車掲載'!N1107),'中古車掲載'!N1107&gt;=20000,'中古車掲載'!O1107&lt;=100000,'中古車掲載'!AL1107=1,'中古車掲載'!Z1107="https://www.one2car.com/en/cars-for-sale/toyota/corolla-cross/year-2023"),'中古車掲載'!U1107,"")</x:f>
      </x:c>
      <x:c r="BB1106" t="str">
        <x:f>IF(AND('中古車掲載'!C1107="One2car",'中古車掲載'!F1107="ATTO 3",'中古車掲載'!L1107="EXTENDED RANGE",'中古車掲載'!J1107=2023,ISNUMBER('中古車掲載'!N1107),'中古車掲載'!N1107&gt;=50000,'中古車掲載'!O1107&lt;=100000,'中古車掲載'!AL1107=1),'中古車掲載'!U1107,"")</x:f>
      </x:c>
      <x:c r="BC1106" t="str">
        <x:f>IF(AND('中古車掲載'!C1107="One2car",'中古車掲載'!F1107="Corolla Cross",'中古車掲載'!L1107="HEV PREMIUM SAFETY",'中古車掲載'!J1107=2023,ISNUMBER('中古車掲載'!N1107),'中古車掲載'!N1107&gt;=50000,'中古車掲載'!O1107&lt;=100000,'中古車掲載'!AL1107=1,'中古車掲載'!Z1107="https://www.one2car.com/en/cars-for-sale/toyota/corolla-cross/year-2023"),'中古車掲載'!U1107,"")</x:f>
      </x:c>
      <x:c r="BD1106" t="str">
        <x:f>IF(AND('中古車掲載'!C1107="One2car",'中古車掲載'!F1107="ATTO 3",'中古車掲載'!L1107="EXTENDED RANGE",'中古車掲載'!J1107=2023,ISNUMBER('中古車掲載'!N1107),'中古車掲載'!N1107&gt;=20000,'中古車掲載'!O1107&lt;=50000,'中古車掲載'!AL1107=1),'中古車掲載'!U1107,"")</x:f>
      </x:c>
      <x:c r="BE1106" t="str">
        <x:f>IF(AND('中古車掲載'!C1107="One2car",'中古車掲載'!F1107="Corolla Cross",'中古車掲載'!L1107="HEV PREMIUM SAFETY",'中古車掲載'!J1107=2023,ISNUMBER('中古車掲載'!N1107),'中古車掲載'!N1107&gt;=20000,'中古車掲載'!O1107&lt;=50000,'中古車掲載'!AL1107=1,'中古車掲載'!Z1107="https://www.one2car.com/en/cars-for-sale/toyota/corolla-cross/year-2023"),'中古車掲載'!U1107,"")</x:f>
      </x:c>
      <x:c r="BF1106" t="str">
        <x:f>IF(AND('中古車掲載'!C1107="One2car",'中古車掲載'!F1107="Corolla Cross",'中古車掲載'!L1107="HEV PREMIUM",'中古車掲載'!J1107=2023,ISNUMBER('中古車掲載'!N1107),'中古車掲載'!N1107&gt;=20000,'中古車掲載'!O1107&lt;=100000,'中古車掲載'!AL1107=1,'中古車掲載'!Z1107="https://www.one2car.com/en/cars-for-sale/toyota/corolla-cross/year-2023"),'中古車掲載'!U1107,"")</x:f>
      </x:c>
      <x:c r="BG1106" t="str">
        <x:f>IF(AND('中古車掲載'!C1107="One2car",'中古車掲載'!F1107="Corolla Cross",'中古車掲載'!L1107="HEV GR SPORT",'中古車掲載'!J1107=2023,ISNUMBER('中古車掲載'!N1107),'中古車掲載'!N1107&gt;=20000,'中古車掲載'!O1107&lt;=100000,'中古車掲載'!AL1107=1,'中古車掲載'!Z1107="https://www.one2car.com/en/cars-for-sale/toyota/corolla-cross/year-2023"),'中古車掲載'!U1107,"")</x:f>
      </x:c>
      <x:c r="BH1106" t="str">
        <x:f>IF(AND('中古車掲載'!C1107="One2car",'中古車掲載'!F1107="DOLPHIN",'中古車掲載'!L1107="STANDARD RANGE",'中古車掲載'!J1107=2023,ISNUMBER('中古車掲載'!N1107),'中古車掲載'!N1107&gt;=20000,'中古車掲載'!O1107&lt;=100000,'中古車掲載'!AL1107=1),'中古車掲載'!U1107,"")</x:f>
      </x:c>
      <x:c r="BI1106" t="str">
        <x:v>Taladrod|Yaris Cross|HEV|Unknown</x:v>
      </x:c>
      <x:c r="BJ1106" t="n">
        <x:v>1107</x:v>
      </x:c>
      <x:c r="BK1106" t="n">
        <x:f>'中古車掲載'!AM1107</x:f>
        <x:v>689000</x:v>
      </x:c>
      <x:c r="BL1106" t="str">
        <x:f>IF(ISNUMBER('中古車掲載'!AN1107),'中古車掲載'!AN1107,"")</x:f>
      </x:c>
    </x:row>
    <x:row r="1107">
      <x:c r="AZ1107" t="str">
        <x:f>IF(AND('中古車掲載'!C1108="One2car",'中古車掲載'!F1108="ATTO 3",'中古車掲載'!L1108="EXTENDED RANGE",'中古車掲載'!J1108=2023,ISNUMBER('中古車掲載'!N1108),'中古車掲載'!N1108&gt;=20000,'中古車掲載'!O1108&lt;=100000,'中古車掲載'!AL1108=1),'中古車掲載'!U1108,"")</x:f>
      </x:c>
      <x:c r="BA1107" t="str">
        <x:f>IF(AND('中古車掲載'!C1108="One2car",'中古車掲載'!F1108="Corolla Cross",'中古車掲載'!L1108="HEV PREMIUM SAFETY",'中古車掲載'!J1108=2023,ISNUMBER('中古車掲載'!N1108),'中古車掲載'!N1108&gt;=20000,'中古車掲載'!O1108&lt;=100000,'中古車掲載'!AL1108=1,'中古車掲載'!Z1108="https://www.one2car.com/en/cars-for-sale/toyota/corolla-cross/year-2023"),'中古車掲載'!U1108,"")</x:f>
      </x:c>
      <x:c r="BB1107" t="str">
        <x:f>IF(AND('中古車掲載'!C1108="One2car",'中古車掲載'!F1108="ATTO 3",'中古車掲載'!L1108="EXTENDED RANGE",'中古車掲載'!J1108=2023,ISNUMBER('中古車掲載'!N1108),'中古車掲載'!N1108&gt;=50000,'中古車掲載'!O1108&lt;=100000,'中古車掲載'!AL1108=1),'中古車掲載'!U1108,"")</x:f>
      </x:c>
      <x:c r="BC1107" t="str">
        <x:f>IF(AND('中古車掲載'!C1108="One2car",'中古車掲載'!F1108="Corolla Cross",'中古車掲載'!L1108="HEV PREMIUM SAFETY",'中古車掲載'!J1108=2023,ISNUMBER('中古車掲載'!N1108),'中古車掲載'!N1108&gt;=50000,'中古車掲載'!O1108&lt;=100000,'中古車掲載'!AL1108=1,'中古車掲載'!Z1108="https://www.one2car.com/en/cars-for-sale/toyota/corolla-cross/year-2023"),'中古車掲載'!U1108,"")</x:f>
      </x:c>
      <x:c r="BD1107" t="str">
        <x:f>IF(AND('中古車掲載'!C1108="One2car",'中古車掲載'!F1108="ATTO 3",'中古車掲載'!L1108="EXTENDED RANGE",'中古車掲載'!J1108=2023,ISNUMBER('中古車掲載'!N1108),'中古車掲載'!N1108&gt;=20000,'中古車掲載'!O1108&lt;=50000,'中古車掲載'!AL1108=1),'中古車掲載'!U1108,"")</x:f>
      </x:c>
      <x:c r="BE1107" t="str">
        <x:f>IF(AND('中古車掲載'!C1108="One2car",'中古車掲載'!F1108="Corolla Cross",'中古車掲載'!L1108="HEV PREMIUM SAFETY",'中古車掲載'!J1108=2023,ISNUMBER('中古車掲載'!N1108),'中古車掲載'!N1108&gt;=20000,'中古車掲載'!O1108&lt;=50000,'中古車掲載'!AL1108=1,'中古車掲載'!Z1108="https://www.one2car.com/en/cars-for-sale/toyota/corolla-cross/year-2023"),'中古車掲載'!U1108,"")</x:f>
      </x:c>
      <x:c r="BF1107" t="str">
        <x:f>IF(AND('中古車掲載'!C1108="One2car",'中古車掲載'!F1108="Corolla Cross",'中古車掲載'!L1108="HEV PREMIUM",'中古車掲載'!J1108=2023,ISNUMBER('中古車掲載'!N1108),'中古車掲載'!N1108&gt;=20000,'中古車掲載'!O1108&lt;=100000,'中古車掲載'!AL1108=1,'中古車掲載'!Z1108="https://www.one2car.com/en/cars-for-sale/toyota/corolla-cross/year-2023"),'中古車掲載'!U1108,"")</x:f>
      </x:c>
      <x:c r="BG1107" t="str">
        <x:f>IF(AND('中古車掲載'!C1108="One2car",'中古車掲載'!F1108="Corolla Cross",'中古車掲載'!L1108="HEV GR SPORT",'中古車掲載'!J1108=2023,ISNUMBER('中古車掲載'!N1108),'中古車掲載'!N1108&gt;=20000,'中古車掲載'!O1108&lt;=100000,'中古車掲載'!AL1108=1,'中古車掲載'!Z1108="https://www.one2car.com/en/cars-for-sale/toyota/corolla-cross/year-2023"),'中古車掲載'!U1108,"")</x:f>
      </x:c>
      <x:c r="BH1107" t="str">
        <x:f>IF(AND('中古車掲載'!C1108="One2car",'中古車掲載'!F1108="DOLPHIN",'中古車掲載'!L1108="STANDARD RANGE",'中古車掲載'!J1108=2023,ISNUMBER('中古車掲載'!N1108),'中古車掲載'!N1108&gt;=20000,'中古車掲載'!O1108&lt;=100000,'中古車掲載'!AL1108=1),'中古車掲載'!U1108,"")</x:f>
      </x:c>
      <x:c r="BI1107" t="str">
        <x:v>Taladrod|Yaris Cross|HEV|Unknown</x:v>
      </x:c>
      <x:c r="BJ1107" t="n">
        <x:v>1108</x:v>
      </x:c>
      <x:c r="BK1107" t="n">
        <x:f>'中古車掲載'!AM1108</x:f>
        <x:v>739000</x:v>
      </x:c>
      <x:c r="BL1107" t="str">
        <x:f>IF(ISNUMBER('中古車掲載'!AN1108),'中古車掲載'!AN1108,"")</x:f>
      </x:c>
    </x:row>
    <x:row r="1108">
      <x:c r="AZ1108" t="str">
        <x:f>IF(AND('中古車掲載'!C1109="One2car",'中古車掲載'!F1109="ATTO 3",'中古車掲載'!L1109="EXTENDED RANGE",'中古車掲載'!J1109=2023,ISNUMBER('中古車掲載'!N1109),'中古車掲載'!N1109&gt;=20000,'中古車掲載'!O1109&lt;=100000,'中古車掲載'!AL1109=1),'中古車掲載'!U1109,"")</x:f>
      </x:c>
      <x:c r="BA1108" t="str">
        <x:f>IF(AND('中古車掲載'!C1109="One2car",'中古車掲載'!F1109="Corolla Cross",'中古車掲載'!L1109="HEV PREMIUM SAFETY",'中古車掲載'!J1109=2023,ISNUMBER('中古車掲載'!N1109),'中古車掲載'!N1109&gt;=20000,'中古車掲載'!O1109&lt;=100000,'中古車掲載'!AL1109=1,'中古車掲載'!Z1109="https://www.one2car.com/en/cars-for-sale/toyota/corolla-cross/year-2023"),'中古車掲載'!U1109,"")</x:f>
      </x:c>
      <x:c r="BB1108" t="str">
        <x:f>IF(AND('中古車掲載'!C1109="One2car",'中古車掲載'!F1109="ATTO 3",'中古車掲載'!L1109="EXTENDED RANGE",'中古車掲載'!J1109=2023,ISNUMBER('中古車掲載'!N1109),'中古車掲載'!N1109&gt;=50000,'中古車掲載'!O1109&lt;=100000,'中古車掲載'!AL1109=1),'中古車掲載'!U1109,"")</x:f>
      </x:c>
      <x:c r="BC1108" t="str">
        <x:f>IF(AND('中古車掲載'!C1109="One2car",'中古車掲載'!F1109="Corolla Cross",'中古車掲載'!L1109="HEV PREMIUM SAFETY",'中古車掲載'!J1109=2023,ISNUMBER('中古車掲載'!N1109),'中古車掲載'!N1109&gt;=50000,'中古車掲載'!O1109&lt;=100000,'中古車掲載'!AL1109=1,'中古車掲載'!Z1109="https://www.one2car.com/en/cars-for-sale/toyota/corolla-cross/year-2023"),'中古車掲載'!U1109,"")</x:f>
      </x:c>
      <x:c r="BD1108" t="str">
        <x:f>IF(AND('中古車掲載'!C1109="One2car",'中古車掲載'!F1109="ATTO 3",'中古車掲載'!L1109="EXTENDED RANGE",'中古車掲載'!J1109=2023,ISNUMBER('中古車掲載'!N1109),'中古車掲載'!N1109&gt;=20000,'中古車掲載'!O1109&lt;=50000,'中古車掲載'!AL1109=1),'中古車掲載'!U1109,"")</x:f>
      </x:c>
      <x:c r="BE1108" t="str">
        <x:f>IF(AND('中古車掲載'!C1109="One2car",'中古車掲載'!F1109="Corolla Cross",'中古車掲載'!L1109="HEV PREMIUM SAFETY",'中古車掲載'!J1109=2023,ISNUMBER('中古車掲載'!N1109),'中古車掲載'!N1109&gt;=20000,'中古車掲載'!O1109&lt;=50000,'中古車掲載'!AL1109=1,'中古車掲載'!Z1109="https://www.one2car.com/en/cars-for-sale/toyota/corolla-cross/year-2023"),'中古車掲載'!U1109,"")</x:f>
      </x:c>
      <x:c r="BF1108" t="str">
        <x:f>IF(AND('中古車掲載'!C1109="One2car",'中古車掲載'!F1109="Corolla Cross",'中古車掲載'!L1109="HEV PREMIUM",'中古車掲載'!J1109=2023,ISNUMBER('中古車掲載'!N1109),'中古車掲載'!N1109&gt;=20000,'中古車掲載'!O1109&lt;=100000,'中古車掲載'!AL1109=1,'中古車掲載'!Z1109="https://www.one2car.com/en/cars-for-sale/toyota/corolla-cross/year-2023"),'中古車掲載'!U1109,"")</x:f>
      </x:c>
      <x:c r="BG1108" t="str">
        <x:f>IF(AND('中古車掲載'!C1109="One2car",'中古車掲載'!F1109="Corolla Cross",'中古車掲載'!L1109="HEV GR SPORT",'中古車掲載'!J1109=2023,ISNUMBER('中古車掲載'!N1109),'中古車掲載'!N1109&gt;=20000,'中古車掲載'!O1109&lt;=100000,'中古車掲載'!AL1109=1,'中古車掲載'!Z1109="https://www.one2car.com/en/cars-for-sale/toyota/corolla-cross/year-2023"),'中古車掲載'!U1109,"")</x:f>
      </x:c>
      <x:c r="BH1108" t="str">
        <x:f>IF(AND('中古車掲載'!C1109="One2car",'中古車掲載'!F1109="DOLPHIN",'中古車掲載'!L1109="STANDARD RANGE",'中古車掲載'!J1109=2023,ISNUMBER('中古車掲載'!N1109),'中古車掲載'!N1109&gt;=20000,'中古車掲載'!O1109&lt;=100000,'中古車掲載'!AL1109=1),'中古車掲載'!U1109,"")</x:f>
      </x:c>
      <x:c r="BI1108" t="str">
        <x:v>Taladrod|Yaris Cross|HEV|Unknown</x:v>
      </x:c>
      <x:c r="BJ1108" t="n">
        <x:v>1109</x:v>
      </x:c>
      <x:c r="BK1108" t="n">
        <x:f>'中古車掲載'!AM1109</x:f>
        <x:v>669000</x:v>
      </x:c>
      <x:c r="BL1108" t="str">
        <x:f>IF(ISNUMBER('中古車掲載'!AN1109),'中古車掲載'!AN1109,"")</x:f>
      </x:c>
    </x:row>
    <x:row r="1109">
      <x:c r="AZ1109" t="str">
        <x:f>IF(AND('中古車掲載'!C1110="One2car",'中古車掲載'!F1110="ATTO 3",'中古車掲載'!L1110="EXTENDED RANGE",'中古車掲載'!J1110=2023,ISNUMBER('中古車掲載'!N1110),'中古車掲載'!N1110&gt;=20000,'中古車掲載'!O1110&lt;=100000,'中古車掲載'!AL1110=1),'中古車掲載'!U1110,"")</x:f>
      </x:c>
      <x:c r="BA1109" t="str">
        <x:f>IF(AND('中古車掲載'!C1110="One2car",'中古車掲載'!F1110="Corolla Cross",'中古車掲載'!L1110="HEV PREMIUM SAFETY",'中古車掲載'!J1110=2023,ISNUMBER('中古車掲載'!N1110),'中古車掲載'!N1110&gt;=20000,'中古車掲載'!O1110&lt;=100000,'中古車掲載'!AL1110=1,'中古車掲載'!Z1110="https://www.one2car.com/en/cars-for-sale/toyota/corolla-cross/year-2023"),'中古車掲載'!U1110,"")</x:f>
      </x:c>
      <x:c r="BB1109" t="str">
        <x:f>IF(AND('中古車掲載'!C1110="One2car",'中古車掲載'!F1110="ATTO 3",'中古車掲載'!L1110="EXTENDED RANGE",'中古車掲載'!J1110=2023,ISNUMBER('中古車掲載'!N1110),'中古車掲載'!N1110&gt;=50000,'中古車掲載'!O1110&lt;=100000,'中古車掲載'!AL1110=1),'中古車掲載'!U1110,"")</x:f>
      </x:c>
      <x:c r="BC1109" t="str">
        <x:f>IF(AND('中古車掲載'!C1110="One2car",'中古車掲載'!F1110="Corolla Cross",'中古車掲載'!L1110="HEV PREMIUM SAFETY",'中古車掲載'!J1110=2023,ISNUMBER('中古車掲載'!N1110),'中古車掲載'!N1110&gt;=50000,'中古車掲載'!O1110&lt;=100000,'中古車掲載'!AL1110=1,'中古車掲載'!Z1110="https://www.one2car.com/en/cars-for-sale/toyota/corolla-cross/year-2023"),'中古車掲載'!U1110,"")</x:f>
      </x:c>
      <x:c r="BD1109" t="str">
        <x:f>IF(AND('中古車掲載'!C1110="One2car",'中古車掲載'!F1110="ATTO 3",'中古車掲載'!L1110="EXTENDED RANGE",'中古車掲載'!J1110=2023,ISNUMBER('中古車掲載'!N1110),'中古車掲載'!N1110&gt;=20000,'中古車掲載'!O1110&lt;=50000,'中古車掲載'!AL1110=1),'中古車掲載'!U1110,"")</x:f>
      </x:c>
      <x:c r="BE1109" t="str">
        <x:f>IF(AND('中古車掲載'!C1110="One2car",'中古車掲載'!F1110="Corolla Cross",'中古車掲載'!L1110="HEV PREMIUM SAFETY",'中古車掲載'!J1110=2023,ISNUMBER('中古車掲載'!N1110),'中古車掲載'!N1110&gt;=20000,'中古車掲載'!O1110&lt;=50000,'中古車掲載'!AL1110=1,'中古車掲載'!Z1110="https://www.one2car.com/en/cars-for-sale/toyota/corolla-cross/year-2023"),'中古車掲載'!U1110,"")</x:f>
      </x:c>
      <x:c r="BF1109" t="str">
        <x:f>IF(AND('中古車掲載'!C1110="One2car",'中古車掲載'!F1110="Corolla Cross",'中古車掲載'!L1110="HEV PREMIUM",'中古車掲載'!J1110=2023,ISNUMBER('中古車掲載'!N1110),'中古車掲載'!N1110&gt;=20000,'中古車掲載'!O1110&lt;=100000,'中古車掲載'!AL1110=1,'中古車掲載'!Z1110="https://www.one2car.com/en/cars-for-sale/toyota/corolla-cross/year-2023"),'中古車掲載'!U1110,"")</x:f>
      </x:c>
      <x:c r="BG1109" t="str">
        <x:f>IF(AND('中古車掲載'!C1110="One2car",'中古車掲載'!F1110="Corolla Cross",'中古車掲載'!L1110="HEV GR SPORT",'中古車掲載'!J1110=2023,ISNUMBER('中古車掲載'!N1110),'中古車掲載'!N1110&gt;=20000,'中古車掲載'!O1110&lt;=100000,'中古車掲載'!AL1110=1,'中古車掲載'!Z1110="https://www.one2car.com/en/cars-for-sale/toyota/corolla-cross/year-2023"),'中古車掲載'!U1110,"")</x:f>
      </x:c>
      <x:c r="BH1109" t="str">
        <x:f>IF(AND('中古車掲載'!C1110="One2car",'中古車掲載'!F1110="DOLPHIN",'中古車掲載'!L1110="STANDARD RANGE",'中古車掲載'!J1110=2023,ISNUMBER('中古車掲載'!N1110),'中古車掲載'!N1110&gt;=20000,'中古車掲載'!O1110&lt;=100000,'中古車掲載'!AL1110=1),'中古車掲載'!U1110,"")</x:f>
      </x:c>
      <x:c r="BI1109" t="str">
        <x:v>Taladrod|Yaris Cross|HEV|Unknown</x:v>
      </x:c>
      <x:c r="BJ1109" t="n">
        <x:v>1110</x:v>
      </x:c>
      <x:c r="BK1109" t="n">
        <x:f>'中古車掲載'!AM1110</x:f>
        <x:v>668000</x:v>
      </x:c>
      <x:c r="BL1109" t="str">
        <x:f>IF(ISNUMBER('中古車掲載'!AN1110),'中古車掲載'!AN1110,"")</x:f>
      </x:c>
    </x:row>
    <x:row r="1110">
      <x:c r="AZ1110" t="str">
        <x:f>IF(AND('中古車掲載'!C1111="One2car",'中古車掲載'!F1111="ATTO 3",'中古車掲載'!L1111="EXTENDED RANGE",'中古車掲載'!J1111=2023,ISNUMBER('中古車掲載'!N1111),'中古車掲載'!N1111&gt;=20000,'中古車掲載'!O1111&lt;=100000,'中古車掲載'!AL1111=1),'中古車掲載'!U1111,"")</x:f>
      </x:c>
      <x:c r="BA1110" t="str">
        <x:f>IF(AND('中古車掲載'!C1111="One2car",'中古車掲載'!F1111="Corolla Cross",'中古車掲載'!L1111="HEV PREMIUM SAFETY",'中古車掲載'!J1111=2023,ISNUMBER('中古車掲載'!N1111),'中古車掲載'!N1111&gt;=20000,'中古車掲載'!O1111&lt;=100000,'中古車掲載'!AL1111=1,'中古車掲載'!Z1111="https://www.one2car.com/en/cars-for-sale/toyota/corolla-cross/year-2023"),'中古車掲載'!U1111,"")</x:f>
      </x:c>
      <x:c r="BB1110" t="str">
        <x:f>IF(AND('中古車掲載'!C1111="One2car",'中古車掲載'!F1111="ATTO 3",'中古車掲載'!L1111="EXTENDED RANGE",'中古車掲載'!J1111=2023,ISNUMBER('中古車掲載'!N1111),'中古車掲載'!N1111&gt;=50000,'中古車掲載'!O1111&lt;=100000,'中古車掲載'!AL1111=1),'中古車掲載'!U1111,"")</x:f>
      </x:c>
      <x:c r="BC1110" t="str">
        <x:f>IF(AND('中古車掲載'!C1111="One2car",'中古車掲載'!F1111="Corolla Cross",'中古車掲載'!L1111="HEV PREMIUM SAFETY",'中古車掲載'!J1111=2023,ISNUMBER('中古車掲載'!N1111),'中古車掲載'!N1111&gt;=50000,'中古車掲載'!O1111&lt;=100000,'中古車掲載'!AL1111=1,'中古車掲載'!Z1111="https://www.one2car.com/en/cars-for-sale/toyota/corolla-cross/year-2023"),'中古車掲載'!U1111,"")</x:f>
      </x:c>
      <x:c r="BD1110" t="str">
        <x:f>IF(AND('中古車掲載'!C1111="One2car",'中古車掲載'!F1111="ATTO 3",'中古車掲載'!L1111="EXTENDED RANGE",'中古車掲載'!J1111=2023,ISNUMBER('中古車掲載'!N1111),'中古車掲載'!N1111&gt;=20000,'中古車掲載'!O1111&lt;=50000,'中古車掲載'!AL1111=1),'中古車掲載'!U1111,"")</x:f>
      </x:c>
      <x:c r="BE1110" t="str">
        <x:f>IF(AND('中古車掲載'!C1111="One2car",'中古車掲載'!F1111="Corolla Cross",'中古車掲載'!L1111="HEV PREMIUM SAFETY",'中古車掲載'!J1111=2023,ISNUMBER('中古車掲載'!N1111),'中古車掲載'!N1111&gt;=20000,'中古車掲載'!O1111&lt;=50000,'中古車掲載'!AL1111=1,'中古車掲載'!Z1111="https://www.one2car.com/en/cars-for-sale/toyota/corolla-cross/year-2023"),'中古車掲載'!U1111,"")</x:f>
      </x:c>
      <x:c r="BF1110" t="str">
        <x:f>IF(AND('中古車掲載'!C1111="One2car",'中古車掲載'!F1111="Corolla Cross",'中古車掲載'!L1111="HEV PREMIUM",'中古車掲載'!J1111=2023,ISNUMBER('中古車掲載'!N1111),'中古車掲載'!N1111&gt;=20000,'中古車掲載'!O1111&lt;=100000,'中古車掲載'!AL1111=1,'中古車掲載'!Z1111="https://www.one2car.com/en/cars-for-sale/toyota/corolla-cross/year-2023"),'中古車掲載'!U1111,"")</x:f>
      </x:c>
      <x:c r="BG1110" t="str">
        <x:f>IF(AND('中古車掲載'!C1111="One2car",'中古車掲載'!F1111="Corolla Cross",'中古車掲載'!L1111="HEV GR SPORT",'中古車掲載'!J1111=2023,ISNUMBER('中古車掲載'!N1111),'中古車掲載'!N1111&gt;=20000,'中古車掲載'!O1111&lt;=100000,'中古車掲載'!AL1111=1,'中古車掲載'!Z1111="https://www.one2car.com/en/cars-for-sale/toyota/corolla-cross/year-2023"),'中古車掲載'!U1111,"")</x:f>
      </x:c>
      <x:c r="BH1110" t="str">
        <x:f>IF(AND('中古車掲載'!C1111="One2car",'中古車掲載'!F1111="DOLPHIN",'中古車掲載'!L1111="STANDARD RANGE",'中古車掲載'!J1111=2023,ISNUMBER('中古車掲載'!N1111),'中古車掲載'!N1111&gt;=20000,'中古車掲載'!O1111&lt;=100000,'中古車掲載'!AL1111=1),'中古車掲載'!U1111,"")</x:f>
      </x:c>
      <x:c r="BI1110" t="str">
        <x:v>Taladrod|Yaris Cross|HEV|Unknown</x:v>
      </x:c>
      <x:c r="BJ1110" t="n">
        <x:v>1111</x:v>
      </x:c>
      <x:c r="BK1110" t="n">
        <x:f>'中古車掲載'!AM1111</x:f>
        <x:v>698000</x:v>
      </x:c>
      <x:c r="BL1110" t="str">
        <x:f>IF(ISNUMBER('中古車掲載'!AN1111),'中古車掲載'!AN1111,"")</x:f>
      </x:c>
    </x:row>
    <x:row r="1111">
      <x:c r="AZ1111" t="str">
        <x:f>IF(AND('中古車掲載'!C1112="One2car",'中古車掲載'!F1112="ATTO 3",'中古車掲載'!L1112="EXTENDED RANGE",'中古車掲載'!J1112=2023,ISNUMBER('中古車掲載'!N1112),'中古車掲載'!N1112&gt;=20000,'中古車掲載'!O1112&lt;=100000,'中古車掲載'!AL1112=1),'中古車掲載'!U1112,"")</x:f>
      </x:c>
      <x:c r="BA1111" t="str">
        <x:f>IF(AND('中古車掲載'!C1112="One2car",'中古車掲載'!F1112="Corolla Cross",'中古車掲載'!L1112="HEV PREMIUM SAFETY",'中古車掲載'!J1112=2023,ISNUMBER('中古車掲載'!N1112),'中古車掲載'!N1112&gt;=20000,'中古車掲載'!O1112&lt;=100000,'中古車掲載'!AL1112=1,'中古車掲載'!Z1112="https://www.one2car.com/en/cars-for-sale/toyota/corolla-cross/year-2023"),'中古車掲載'!U1112,"")</x:f>
      </x:c>
      <x:c r="BB1111" t="str">
        <x:f>IF(AND('中古車掲載'!C1112="One2car",'中古車掲載'!F1112="ATTO 3",'中古車掲載'!L1112="EXTENDED RANGE",'中古車掲載'!J1112=2023,ISNUMBER('中古車掲載'!N1112),'中古車掲載'!N1112&gt;=50000,'中古車掲載'!O1112&lt;=100000,'中古車掲載'!AL1112=1),'中古車掲載'!U1112,"")</x:f>
      </x:c>
      <x:c r="BC1111" t="str">
        <x:f>IF(AND('中古車掲載'!C1112="One2car",'中古車掲載'!F1112="Corolla Cross",'中古車掲載'!L1112="HEV PREMIUM SAFETY",'中古車掲載'!J1112=2023,ISNUMBER('中古車掲載'!N1112),'中古車掲載'!N1112&gt;=50000,'中古車掲載'!O1112&lt;=100000,'中古車掲載'!AL1112=1,'中古車掲載'!Z1112="https://www.one2car.com/en/cars-for-sale/toyota/corolla-cross/year-2023"),'中古車掲載'!U1112,"")</x:f>
      </x:c>
      <x:c r="BD1111" t="str">
        <x:f>IF(AND('中古車掲載'!C1112="One2car",'中古車掲載'!F1112="ATTO 3",'中古車掲載'!L1112="EXTENDED RANGE",'中古車掲載'!J1112=2023,ISNUMBER('中古車掲載'!N1112),'中古車掲載'!N1112&gt;=20000,'中古車掲載'!O1112&lt;=50000,'中古車掲載'!AL1112=1),'中古車掲載'!U1112,"")</x:f>
      </x:c>
      <x:c r="BE1111" t="str">
        <x:f>IF(AND('中古車掲載'!C1112="One2car",'中古車掲載'!F1112="Corolla Cross",'中古車掲載'!L1112="HEV PREMIUM SAFETY",'中古車掲載'!J1112=2023,ISNUMBER('中古車掲載'!N1112),'中古車掲載'!N1112&gt;=20000,'中古車掲載'!O1112&lt;=50000,'中古車掲載'!AL1112=1,'中古車掲載'!Z1112="https://www.one2car.com/en/cars-for-sale/toyota/corolla-cross/year-2023"),'中古車掲載'!U1112,"")</x:f>
      </x:c>
      <x:c r="BF1111" t="str">
        <x:f>IF(AND('中古車掲載'!C1112="One2car",'中古車掲載'!F1112="Corolla Cross",'中古車掲載'!L1112="HEV PREMIUM",'中古車掲載'!J1112=2023,ISNUMBER('中古車掲載'!N1112),'中古車掲載'!N1112&gt;=20000,'中古車掲載'!O1112&lt;=100000,'中古車掲載'!AL1112=1,'中古車掲載'!Z1112="https://www.one2car.com/en/cars-for-sale/toyota/corolla-cross/year-2023"),'中古車掲載'!U1112,"")</x:f>
      </x:c>
      <x:c r="BG1111" t="str">
        <x:f>IF(AND('中古車掲載'!C1112="One2car",'中古車掲載'!F1112="Corolla Cross",'中古車掲載'!L1112="HEV GR SPORT",'中古車掲載'!J1112=2023,ISNUMBER('中古車掲載'!N1112),'中古車掲載'!N1112&gt;=20000,'中古車掲載'!O1112&lt;=100000,'中古車掲載'!AL1112=1,'中古車掲載'!Z1112="https://www.one2car.com/en/cars-for-sale/toyota/corolla-cross/year-2023"),'中古車掲載'!U1112,"")</x:f>
      </x:c>
      <x:c r="BH1111" t="str">
        <x:f>IF(AND('中古車掲載'!C1112="One2car",'中古車掲載'!F1112="DOLPHIN",'中古車掲載'!L1112="STANDARD RANGE",'中古車掲載'!J1112=2023,ISNUMBER('中古車掲載'!N1112),'中古車掲載'!N1112&gt;=20000,'中古車掲載'!O1112&lt;=100000,'中古車掲載'!AL1112=1),'中古車掲載'!U1112,"")</x:f>
      </x:c>
      <x:c r="BI1111" t="str">
        <x:v>Taladrod|Yaris Cross|HEV|Unknown</x:v>
      </x:c>
      <x:c r="BJ1111" t="n">
        <x:v>1112</x:v>
      </x:c>
      <x:c r="BK1111" t="n">
        <x:f>'中古車掲載'!AM1112</x:f>
        <x:v>659000</x:v>
      </x:c>
      <x:c r="BL1111" t="str">
        <x:f>IF(ISNUMBER('中古車掲載'!AN1112),'中古車掲載'!AN1112,"")</x:f>
      </x:c>
    </x:row>
    <x:row r="1112">
      <x:c r="AZ1112" t="str">
        <x:f>IF(AND('中古車掲載'!C1113="One2car",'中古車掲載'!F1113="ATTO 3",'中古車掲載'!L1113="EXTENDED RANGE",'中古車掲載'!J1113=2023,ISNUMBER('中古車掲載'!N1113),'中古車掲載'!N1113&gt;=20000,'中古車掲載'!O1113&lt;=100000,'中古車掲載'!AL1113=1),'中古車掲載'!U1113,"")</x:f>
      </x:c>
      <x:c r="BA1112" t="str">
        <x:f>IF(AND('中古車掲載'!C1113="One2car",'中古車掲載'!F1113="Corolla Cross",'中古車掲載'!L1113="HEV PREMIUM SAFETY",'中古車掲載'!J1113=2023,ISNUMBER('中古車掲載'!N1113),'中古車掲載'!N1113&gt;=20000,'中古車掲載'!O1113&lt;=100000,'中古車掲載'!AL1113=1,'中古車掲載'!Z1113="https://www.one2car.com/en/cars-for-sale/toyota/corolla-cross/year-2023"),'中古車掲載'!U1113,"")</x:f>
      </x:c>
      <x:c r="BB1112" t="str">
        <x:f>IF(AND('中古車掲載'!C1113="One2car",'中古車掲載'!F1113="ATTO 3",'中古車掲載'!L1113="EXTENDED RANGE",'中古車掲載'!J1113=2023,ISNUMBER('中古車掲載'!N1113),'中古車掲載'!N1113&gt;=50000,'中古車掲載'!O1113&lt;=100000,'中古車掲載'!AL1113=1),'中古車掲載'!U1113,"")</x:f>
      </x:c>
      <x:c r="BC1112" t="str">
        <x:f>IF(AND('中古車掲載'!C1113="One2car",'中古車掲載'!F1113="Corolla Cross",'中古車掲載'!L1113="HEV PREMIUM SAFETY",'中古車掲載'!J1113=2023,ISNUMBER('中古車掲載'!N1113),'中古車掲載'!N1113&gt;=50000,'中古車掲載'!O1113&lt;=100000,'中古車掲載'!AL1113=1,'中古車掲載'!Z1113="https://www.one2car.com/en/cars-for-sale/toyota/corolla-cross/year-2023"),'中古車掲載'!U1113,"")</x:f>
      </x:c>
      <x:c r="BD1112" t="str">
        <x:f>IF(AND('中古車掲載'!C1113="One2car",'中古車掲載'!F1113="ATTO 3",'中古車掲載'!L1113="EXTENDED RANGE",'中古車掲載'!J1113=2023,ISNUMBER('中古車掲載'!N1113),'中古車掲載'!N1113&gt;=20000,'中古車掲載'!O1113&lt;=50000,'中古車掲載'!AL1113=1),'中古車掲載'!U1113,"")</x:f>
      </x:c>
      <x:c r="BE1112" t="str">
        <x:f>IF(AND('中古車掲載'!C1113="One2car",'中古車掲載'!F1113="Corolla Cross",'中古車掲載'!L1113="HEV PREMIUM SAFETY",'中古車掲載'!J1113=2023,ISNUMBER('中古車掲載'!N1113),'中古車掲載'!N1113&gt;=20000,'中古車掲載'!O1113&lt;=50000,'中古車掲載'!AL1113=1,'中古車掲載'!Z1113="https://www.one2car.com/en/cars-for-sale/toyota/corolla-cross/year-2023"),'中古車掲載'!U1113,"")</x:f>
      </x:c>
      <x:c r="BF1112" t="str">
        <x:f>IF(AND('中古車掲載'!C1113="One2car",'中古車掲載'!F1113="Corolla Cross",'中古車掲載'!L1113="HEV PREMIUM",'中古車掲載'!J1113=2023,ISNUMBER('中古車掲載'!N1113),'中古車掲載'!N1113&gt;=20000,'中古車掲載'!O1113&lt;=100000,'中古車掲載'!AL1113=1,'中古車掲載'!Z1113="https://www.one2car.com/en/cars-for-sale/toyota/corolla-cross/year-2023"),'中古車掲載'!U1113,"")</x:f>
      </x:c>
      <x:c r="BG1112" t="str">
        <x:f>IF(AND('中古車掲載'!C1113="One2car",'中古車掲載'!F1113="Corolla Cross",'中古車掲載'!L1113="HEV GR SPORT",'中古車掲載'!J1113=2023,ISNUMBER('中古車掲載'!N1113),'中古車掲載'!N1113&gt;=20000,'中古車掲載'!O1113&lt;=100000,'中古車掲載'!AL1113=1,'中古車掲載'!Z1113="https://www.one2car.com/en/cars-for-sale/toyota/corolla-cross/year-2023"),'中古車掲載'!U1113,"")</x:f>
      </x:c>
      <x:c r="BH1112" t="str">
        <x:f>IF(AND('中古車掲載'!C1113="One2car",'中古車掲載'!F1113="DOLPHIN",'中古車掲載'!L1113="STANDARD RANGE",'中古車掲載'!J1113=2023,ISNUMBER('中古車掲載'!N1113),'中古車掲載'!N1113&gt;=20000,'中古車掲載'!O1113&lt;=100000,'中古車掲載'!AL1113=1),'中古車掲載'!U1113,"")</x:f>
      </x:c>
      <x:c r="BI1112" t="str">
        <x:v>Taladrod|Yaris Cross|HEV|Unknown</x:v>
      </x:c>
      <x:c r="BJ1112" t="n">
        <x:v>1113</x:v>
      </x:c>
      <x:c r="BK1112" t="n">
        <x:f>'中古車掲載'!AM1113</x:f>
        <x:v>678000</x:v>
      </x:c>
      <x:c r="BL1112" t="str">
        <x:f>IF(ISNUMBER('中古車掲載'!AN1113),'中古車掲載'!AN1113,"")</x:f>
      </x:c>
    </x:row>
    <x:row r="1113">
      <x:c r="AZ1113" t="str">
        <x:f>IF(AND('中古車掲載'!C1114="One2car",'中古車掲載'!F1114="ATTO 3",'中古車掲載'!L1114="EXTENDED RANGE",'中古車掲載'!J1114=2023,ISNUMBER('中古車掲載'!N1114),'中古車掲載'!N1114&gt;=20000,'中古車掲載'!O1114&lt;=100000,'中古車掲載'!AL1114=1),'中古車掲載'!U1114,"")</x:f>
      </x:c>
      <x:c r="BA1113" t="str">
        <x:f>IF(AND('中古車掲載'!C1114="One2car",'中古車掲載'!F1114="Corolla Cross",'中古車掲載'!L1114="HEV PREMIUM SAFETY",'中古車掲載'!J1114=2023,ISNUMBER('中古車掲載'!N1114),'中古車掲載'!N1114&gt;=20000,'中古車掲載'!O1114&lt;=100000,'中古車掲載'!AL1114=1,'中古車掲載'!Z1114="https://www.one2car.com/en/cars-for-sale/toyota/corolla-cross/year-2023"),'中古車掲載'!U1114,"")</x:f>
      </x:c>
      <x:c r="BB1113" t="str">
        <x:f>IF(AND('中古車掲載'!C1114="One2car",'中古車掲載'!F1114="ATTO 3",'中古車掲載'!L1114="EXTENDED RANGE",'中古車掲載'!J1114=2023,ISNUMBER('中古車掲載'!N1114),'中古車掲載'!N1114&gt;=50000,'中古車掲載'!O1114&lt;=100000,'中古車掲載'!AL1114=1),'中古車掲載'!U1114,"")</x:f>
      </x:c>
      <x:c r="BC1113" t="str">
        <x:f>IF(AND('中古車掲載'!C1114="One2car",'中古車掲載'!F1114="Corolla Cross",'中古車掲載'!L1114="HEV PREMIUM SAFETY",'中古車掲載'!J1114=2023,ISNUMBER('中古車掲載'!N1114),'中古車掲載'!N1114&gt;=50000,'中古車掲載'!O1114&lt;=100000,'中古車掲載'!AL1114=1,'中古車掲載'!Z1114="https://www.one2car.com/en/cars-for-sale/toyota/corolla-cross/year-2023"),'中古車掲載'!U1114,"")</x:f>
      </x:c>
      <x:c r="BD1113" t="str">
        <x:f>IF(AND('中古車掲載'!C1114="One2car",'中古車掲載'!F1114="ATTO 3",'中古車掲載'!L1114="EXTENDED RANGE",'中古車掲載'!J1114=2023,ISNUMBER('中古車掲載'!N1114),'中古車掲載'!N1114&gt;=20000,'中古車掲載'!O1114&lt;=50000,'中古車掲載'!AL1114=1),'中古車掲載'!U1114,"")</x:f>
      </x:c>
      <x:c r="BE1113" t="str">
        <x:f>IF(AND('中古車掲載'!C1114="One2car",'中古車掲載'!F1114="Corolla Cross",'中古車掲載'!L1114="HEV PREMIUM SAFETY",'中古車掲載'!J1114=2023,ISNUMBER('中古車掲載'!N1114),'中古車掲載'!N1114&gt;=20000,'中古車掲載'!O1114&lt;=50000,'中古車掲載'!AL1114=1,'中古車掲載'!Z1114="https://www.one2car.com/en/cars-for-sale/toyota/corolla-cross/year-2023"),'中古車掲載'!U1114,"")</x:f>
      </x:c>
      <x:c r="BF1113" t="str">
        <x:f>IF(AND('中古車掲載'!C1114="One2car",'中古車掲載'!F1114="Corolla Cross",'中古車掲載'!L1114="HEV PREMIUM",'中古車掲載'!J1114=2023,ISNUMBER('中古車掲載'!N1114),'中古車掲載'!N1114&gt;=20000,'中古車掲載'!O1114&lt;=100000,'中古車掲載'!AL1114=1,'中古車掲載'!Z1114="https://www.one2car.com/en/cars-for-sale/toyota/corolla-cross/year-2023"),'中古車掲載'!U1114,"")</x:f>
      </x:c>
      <x:c r="BG1113" t="str">
        <x:f>IF(AND('中古車掲載'!C1114="One2car",'中古車掲載'!F1114="Corolla Cross",'中古車掲載'!L1114="HEV GR SPORT",'中古車掲載'!J1114=2023,ISNUMBER('中古車掲載'!N1114),'中古車掲載'!N1114&gt;=20000,'中古車掲載'!O1114&lt;=100000,'中古車掲載'!AL1114=1,'中古車掲載'!Z1114="https://www.one2car.com/en/cars-for-sale/toyota/corolla-cross/year-2023"),'中古車掲載'!U1114,"")</x:f>
      </x:c>
      <x:c r="BH1113" t="str">
        <x:f>IF(AND('中古車掲載'!C1114="One2car",'中古車掲載'!F1114="DOLPHIN",'中古車掲載'!L1114="STANDARD RANGE",'中古車掲載'!J1114=2023,ISNUMBER('中古車掲載'!N1114),'中古車掲載'!N1114&gt;=20000,'中古車掲載'!O1114&lt;=100000,'中古車掲載'!AL1114=1),'中古車掲載'!U1114,"")</x:f>
      </x:c>
      <x:c r="BI1113" t="str">
        <x:v>Taladrod|Yaris Cross|HEV|Unknown</x:v>
      </x:c>
      <x:c r="BJ1113" t="n">
        <x:v>1114</x:v>
      </x:c>
      <x:c r="BK1113" t="n">
        <x:f>'中古車掲載'!AM1114</x:f>
        <x:v>679000</x:v>
      </x:c>
      <x:c r="BL1113" t="str">
        <x:f>IF(ISNUMBER('中古車掲載'!AN1114),'中古車掲載'!AN1114,"")</x:f>
      </x:c>
    </x:row>
    <x:row r="1114">
      <x:c r="AZ1114" t="str">
        <x:f>IF(AND('中古車掲載'!C1115="One2car",'中古車掲載'!F1115="ATTO 3",'中古車掲載'!L1115="EXTENDED RANGE",'中古車掲載'!J1115=2023,ISNUMBER('中古車掲載'!N1115),'中古車掲載'!N1115&gt;=20000,'中古車掲載'!O1115&lt;=100000,'中古車掲載'!AL1115=1),'中古車掲載'!U1115,"")</x:f>
      </x:c>
      <x:c r="BA1114" t="str">
        <x:f>IF(AND('中古車掲載'!C1115="One2car",'中古車掲載'!F1115="Corolla Cross",'中古車掲載'!L1115="HEV PREMIUM SAFETY",'中古車掲載'!J1115=2023,ISNUMBER('中古車掲載'!N1115),'中古車掲載'!N1115&gt;=20000,'中古車掲載'!O1115&lt;=100000,'中古車掲載'!AL1115=1,'中古車掲載'!Z1115="https://www.one2car.com/en/cars-for-sale/toyota/corolla-cross/year-2023"),'中古車掲載'!U1115,"")</x:f>
      </x:c>
      <x:c r="BB1114" t="str">
        <x:f>IF(AND('中古車掲載'!C1115="One2car",'中古車掲載'!F1115="ATTO 3",'中古車掲載'!L1115="EXTENDED RANGE",'中古車掲載'!J1115=2023,ISNUMBER('中古車掲載'!N1115),'中古車掲載'!N1115&gt;=50000,'中古車掲載'!O1115&lt;=100000,'中古車掲載'!AL1115=1),'中古車掲載'!U1115,"")</x:f>
      </x:c>
      <x:c r="BC1114" t="str">
        <x:f>IF(AND('中古車掲載'!C1115="One2car",'中古車掲載'!F1115="Corolla Cross",'中古車掲載'!L1115="HEV PREMIUM SAFETY",'中古車掲載'!J1115=2023,ISNUMBER('中古車掲載'!N1115),'中古車掲載'!N1115&gt;=50000,'中古車掲載'!O1115&lt;=100000,'中古車掲載'!AL1115=1,'中古車掲載'!Z1115="https://www.one2car.com/en/cars-for-sale/toyota/corolla-cross/year-2023"),'中古車掲載'!U1115,"")</x:f>
      </x:c>
      <x:c r="BD1114" t="str">
        <x:f>IF(AND('中古車掲載'!C1115="One2car",'中古車掲載'!F1115="ATTO 3",'中古車掲載'!L1115="EXTENDED RANGE",'中古車掲載'!J1115=2023,ISNUMBER('中古車掲載'!N1115),'中古車掲載'!N1115&gt;=20000,'中古車掲載'!O1115&lt;=50000,'中古車掲載'!AL1115=1),'中古車掲載'!U1115,"")</x:f>
      </x:c>
      <x:c r="BE1114" t="str">
        <x:f>IF(AND('中古車掲載'!C1115="One2car",'中古車掲載'!F1115="Corolla Cross",'中古車掲載'!L1115="HEV PREMIUM SAFETY",'中古車掲載'!J1115=2023,ISNUMBER('中古車掲載'!N1115),'中古車掲載'!N1115&gt;=20000,'中古車掲載'!O1115&lt;=50000,'中古車掲載'!AL1115=1,'中古車掲載'!Z1115="https://www.one2car.com/en/cars-for-sale/toyota/corolla-cross/year-2023"),'中古車掲載'!U1115,"")</x:f>
      </x:c>
      <x:c r="BF1114" t="str">
        <x:f>IF(AND('中古車掲載'!C1115="One2car",'中古車掲載'!F1115="Corolla Cross",'中古車掲載'!L1115="HEV PREMIUM",'中古車掲載'!J1115=2023,ISNUMBER('中古車掲載'!N1115),'中古車掲載'!N1115&gt;=20000,'中古車掲載'!O1115&lt;=100000,'中古車掲載'!AL1115=1,'中古車掲載'!Z1115="https://www.one2car.com/en/cars-for-sale/toyota/corolla-cross/year-2023"),'中古車掲載'!U1115,"")</x:f>
      </x:c>
      <x:c r="BG1114" t="str">
        <x:f>IF(AND('中古車掲載'!C1115="One2car",'中古車掲載'!F1115="Corolla Cross",'中古車掲載'!L1115="HEV GR SPORT",'中古車掲載'!J1115=2023,ISNUMBER('中古車掲載'!N1115),'中古車掲載'!N1115&gt;=20000,'中古車掲載'!O1115&lt;=100000,'中古車掲載'!AL1115=1,'中古車掲載'!Z1115="https://www.one2car.com/en/cars-for-sale/toyota/corolla-cross/year-2023"),'中古車掲載'!U1115,"")</x:f>
      </x:c>
      <x:c r="BH1114" t="str">
        <x:f>IF(AND('中古車掲載'!C1115="One2car",'中古車掲載'!F1115="DOLPHIN",'中古車掲載'!L1115="STANDARD RANGE",'中古車掲載'!J1115=2023,ISNUMBER('中古車掲載'!N1115),'中古車掲載'!N1115&gt;=20000,'中古車掲載'!O1115&lt;=100000,'中古車掲載'!AL1115=1),'中古車掲載'!U1115,"")</x:f>
      </x:c>
      <x:c r="BI1114" t="str">
        <x:v>Taladrod|Yaris Cross|HEV|Unknown</x:v>
      </x:c>
      <x:c r="BJ1114" t="n">
        <x:v>1115</x:v>
      </x:c>
      <x:c r="BK1114" t="n">
        <x:f>'中古車掲載'!AM1115</x:f>
        <x:v>555000</x:v>
      </x:c>
      <x:c r="BL1114" t="str">
        <x:f>IF(ISNUMBER('中古車掲載'!AN1115),'中古車掲載'!AN1115,"")</x:f>
      </x:c>
    </x:row>
    <x:row r="1115">
      <x:c r="AZ1115" t="str">
        <x:f>IF(AND('中古車掲載'!C1116="One2car",'中古車掲載'!F1116="ATTO 3",'中古車掲載'!L1116="EXTENDED RANGE",'中古車掲載'!J1116=2023,ISNUMBER('中古車掲載'!N1116),'中古車掲載'!N1116&gt;=20000,'中古車掲載'!O1116&lt;=100000,'中古車掲載'!AL1116=1),'中古車掲載'!U1116,"")</x:f>
      </x:c>
      <x:c r="BA1115" t="str">
        <x:f>IF(AND('中古車掲載'!C1116="One2car",'中古車掲載'!F1116="Corolla Cross",'中古車掲載'!L1116="HEV PREMIUM SAFETY",'中古車掲載'!J1116=2023,ISNUMBER('中古車掲載'!N1116),'中古車掲載'!N1116&gt;=20000,'中古車掲載'!O1116&lt;=100000,'中古車掲載'!AL1116=1,'中古車掲載'!Z1116="https://www.one2car.com/en/cars-for-sale/toyota/corolla-cross/year-2023"),'中古車掲載'!U1116,"")</x:f>
      </x:c>
      <x:c r="BB1115" t="str">
        <x:f>IF(AND('中古車掲載'!C1116="One2car",'中古車掲載'!F1116="ATTO 3",'中古車掲載'!L1116="EXTENDED RANGE",'中古車掲載'!J1116=2023,ISNUMBER('中古車掲載'!N1116),'中古車掲載'!N1116&gt;=50000,'中古車掲載'!O1116&lt;=100000,'中古車掲載'!AL1116=1),'中古車掲載'!U1116,"")</x:f>
      </x:c>
      <x:c r="BC1115" t="str">
        <x:f>IF(AND('中古車掲載'!C1116="One2car",'中古車掲載'!F1116="Corolla Cross",'中古車掲載'!L1116="HEV PREMIUM SAFETY",'中古車掲載'!J1116=2023,ISNUMBER('中古車掲載'!N1116),'中古車掲載'!N1116&gt;=50000,'中古車掲載'!O1116&lt;=100000,'中古車掲載'!AL1116=1,'中古車掲載'!Z1116="https://www.one2car.com/en/cars-for-sale/toyota/corolla-cross/year-2023"),'中古車掲載'!U1116,"")</x:f>
      </x:c>
      <x:c r="BD1115" t="str">
        <x:f>IF(AND('中古車掲載'!C1116="One2car",'中古車掲載'!F1116="ATTO 3",'中古車掲載'!L1116="EXTENDED RANGE",'中古車掲載'!J1116=2023,ISNUMBER('中古車掲載'!N1116),'中古車掲載'!N1116&gt;=20000,'中古車掲載'!O1116&lt;=50000,'中古車掲載'!AL1116=1),'中古車掲載'!U1116,"")</x:f>
      </x:c>
      <x:c r="BE1115" t="str">
        <x:f>IF(AND('中古車掲載'!C1116="One2car",'中古車掲載'!F1116="Corolla Cross",'中古車掲載'!L1116="HEV PREMIUM SAFETY",'中古車掲載'!J1116=2023,ISNUMBER('中古車掲載'!N1116),'中古車掲載'!N1116&gt;=20000,'中古車掲載'!O1116&lt;=50000,'中古車掲載'!AL1116=1,'中古車掲載'!Z1116="https://www.one2car.com/en/cars-for-sale/toyota/corolla-cross/year-2023"),'中古車掲載'!U1116,"")</x:f>
      </x:c>
      <x:c r="BF1115" t="str">
        <x:f>IF(AND('中古車掲載'!C1116="One2car",'中古車掲載'!F1116="Corolla Cross",'中古車掲載'!L1116="HEV PREMIUM",'中古車掲載'!J1116=2023,ISNUMBER('中古車掲載'!N1116),'中古車掲載'!N1116&gt;=20000,'中古車掲載'!O1116&lt;=100000,'中古車掲載'!AL1116=1,'中古車掲載'!Z1116="https://www.one2car.com/en/cars-for-sale/toyota/corolla-cross/year-2023"),'中古車掲載'!U1116,"")</x:f>
      </x:c>
      <x:c r="BG1115" t="str">
        <x:f>IF(AND('中古車掲載'!C1116="One2car",'中古車掲載'!F1116="Corolla Cross",'中古車掲載'!L1116="HEV GR SPORT",'中古車掲載'!J1116=2023,ISNUMBER('中古車掲載'!N1116),'中古車掲載'!N1116&gt;=20000,'中古車掲載'!O1116&lt;=100000,'中古車掲載'!AL1116=1,'中古車掲載'!Z1116="https://www.one2car.com/en/cars-for-sale/toyota/corolla-cross/year-2023"),'中古車掲載'!U1116,"")</x:f>
      </x:c>
      <x:c r="BH1115" t="str">
        <x:f>IF(AND('中古車掲載'!C1116="One2car",'中古車掲載'!F1116="DOLPHIN",'中古車掲載'!L1116="STANDARD RANGE",'中古車掲載'!J1116=2023,ISNUMBER('中古車掲載'!N1116),'中古車掲載'!N1116&gt;=20000,'中古車掲載'!O1116&lt;=100000,'中古車掲載'!AL1116=1),'中古車掲載'!U1116,"")</x:f>
      </x:c>
      <x:c r="BI1115" t="str">
        <x:v>Taladrod|Yaris Cross|HEV|Unknown</x:v>
      </x:c>
      <x:c r="BJ1115" t="n">
        <x:v>1116</x:v>
      </x:c>
      <x:c r="BK1115" t="n">
        <x:f>'中古車掲載'!AM1116</x:f>
        <x:v>799000</x:v>
      </x:c>
      <x:c r="BL1115" t="str">
        <x:f>IF(ISNUMBER('中古車掲載'!AN1116),'中古車掲載'!AN1116,"")</x:f>
      </x:c>
    </x:row>
    <x:row r="1116">
      <x:c r="AZ1116" t="str">
        <x:f>IF(AND('中古車掲載'!C1117="One2car",'中古車掲載'!F1117="ATTO 3",'中古車掲載'!L1117="EXTENDED RANGE",'中古車掲載'!J1117=2023,ISNUMBER('中古車掲載'!N1117),'中古車掲載'!N1117&gt;=20000,'中古車掲載'!O1117&lt;=100000,'中古車掲載'!AL1117=1),'中古車掲載'!U1117,"")</x:f>
      </x:c>
      <x:c r="BA1116" t="str">
        <x:f>IF(AND('中古車掲載'!C1117="One2car",'中古車掲載'!F1117="Corolla Cross",'中古車掲載'!L1117="HEV PREMIUM SAFETY",'中古車掲載'!J1117=2023,ISNUMBER('中古車掲載'!N1117),'中古車掲載'!N1117&gt;=20000,'中古車掲載'!O1117&lt;=100000,'中古車掲載'!AL1117=1,'中古車掲載'!Z1117="https://www.one2car.com/en/cars-for-sale/toyota/corolla-cross/year-2023"),'中古車掲載'!U1117,"")</x:f>
      </x:c>
      <x:c r="BB1116" t="str">
        <x:f>IF(AND('中古車掲載'!C1117="One2car",'中古車掲載'!F1117="ATTO 3",'中古車掲載'!L1117="EXTENDED RANGE",'中古車掲載'!J1117=2023,ISNUMBER('中古車掲載'!N1117),'中古車掲載'!N1117&gt;=50000,'中古車掲載'!O1117&lt;=100000,'中古車掲載'!AL1117=1),'中古車掲載'!U1117,"")</x:f>
      </x:c>
      <x:c r="BC1116" t="str">
        <x:f>IF(AND('中古車掲載'!C1117="One2car",'中古車掲載'!F1117="Corolla Cross",'中古車掲載'!L1117="HEV PREMIUM SAFETY",'中古車掲載'!J1117=2023,ISNUMBER('中古車掲載'!N1117),'中古車掲載'!N1117&gt;=50000,'中古車掲載'!O1117&lt;=100000,'中古車掲載'!AL1117=1,'中古車掲載'!Z1117="https://www.one2car.com/en/cars-for-sale/toyota/corolla-cross/year-2023"),'中古車掲載'!U1117,"")</x:f>
      </x:c>
      <x:c r="BD1116" t="str">
        <x:f>IF(AND('中古車掲載'!C1117="One2car",'中古車掲載'!F1117="ATTO 3",'中古車掲載'!L1117="EXTENDED RANGE",'中古車掲載'!J1117=2023,ISNUMBER('中古車掲載'!N1117),'中古車掲載'!N1117&gt;=20000,'中古車掲載'!O1117&lt;=50000,'中古車掲載'!AL1117=1),'中古車掲載'!U1117,"")</x:f>
      </x:c>
      <x:c r="BE1116" t="str">
        <x:f>IF(AND('中古車掲載'!C1117="One2car",'中古車掲載'!F1117="Corolla Cross",'中古車掲載'!L1117="HEV PREMIUM SAFETY",'中古車掲載'!J1117=2023,ISNUMBER('中古車掲載'!N1117),'中古車掲載'!N1117&gt;=20000,'中古車掲載'!O1117&lt;=50000,'中古車掲載'!AL1117=1,'中古車掲載'!Z1117="https://www.one2car.com/en/cars-for-sale/toyota/corolla-cross/year-2023"),'中古車掲載'!U1117,"")</x:f>
      </x:c>
      <x:c r="BF1116" t="str">
        <x:f>IF(AND('中古車掲載'!C1117="One2car",'中古車掲載'!F1117="Corolla Cross",'中古車掲載'!L1117="HEV PREMIUM",'中古車掲載'!J1117=2023,ISNUMBER('中古車掲載'!N1117),'中古車掲載'!N1117&gt;=20000,'中古車掲載'!O1117&lt;=100000,'中古車掲載'!AL1117=1,'中古車掲載'!Z1117="https://www.one2car.com/en/cars-for-sale/toyota/corolla-cross/year-2023"),'中古車掲載'!U1117,"")</x:f>
      </x:c>
      <x:c r="BG1116" t="str">
        <x:f>IF(AND('中古車掲載'!C1117="One2car",'中古車掲載'!F1117="Corolla Cross",'中古車掲載'!L1117="HEV GR SPORT",'中古車掲載'!J1117=2023,ISNUMBER('中古車掲載'!N1117),'中古車掲載'!N1117&gt;=20000,'中古車掲載'!O1117&lt;=100000,'中古車掲載'!AL1117=1,'中古車掲載'!Z1117="https://www.one2car.com/en/cars-for-sale/toyota/corolla-cross/year-2023"),'中古車掲載'!U1117,"")</x:f>
      </x:c>
      <x:c r="BH1116" t="str">
        <x:f>IF(AND('中古車掲載'!C1117="One2car",'中古車掲載'!F1117="DOLPHIN",'中古車掲載'!L1117="STANDARD RANGE",'中古車掲載'!J1117=2023,ISNUMBER('中古車掲載'!N1117),'中古車掲載'!N1117&gt;=20000,'中古車掲載'!O1117&lt;=100000,'中古車掲載'!AL1117=1),'中古車掲載'!U1117,"")</x:f>
      </x:c>
      <x:c r="BI1116" t="str">
        <x:v>Taladrod|Yaris Cross|HEV|Unknown</x:v>
      </x:c>
      <x:c r="BJ1116" t="n">
        <x:v>1117</x:v>
      </x:c>
      <x:c r="BK1116" t="n">
        <x:f>'中古車掲載'!AM1117</x:f>
        <x:v>614000</x:v>
      </x:c>
      <x:c r="BL1116" t="str">
        <x:f>IF(ISNUMBER('中古車掲載'!AN1117),'中古車掲載'!AN1117,"")</x:f>
      </x:c>
    </x:row>
    <x:row r="1117">
      <x:c r="AZ1117" t="str">
        <x:f>IF(AND('中古車掲載'!C1118="One2car",'中古車掲載'!F1118="ATTO 3",'中古車掲載'!L1118="EXTENDED RANGE",'中古車掲載'!J1118=2023,ISNUMBER('中古車掲載'!N1118),'中古車掲載'!N1118&gt;=20000,'中古車掲載'!O1118&lt;=100000,'中古車掲載'!AL1118=1),'中古車掲載'!U1118,"")</x:f>
      </x:c>
      <x:c r="BA1117" t="str">
        <x:f>IF(AND('中古車掲載'!C1118="One2car",'中古車掲載'!F1118="Corolla Cross",'中古車掲載'!L1118="HEV PREMIUM SAFETY",'中古車掲載'!J1118=2023,ISNUMBER('中古車掲載'!N1118),'中古車掲載'!N1118&gt;=20000,'中古車掲載'!O1118&lt;=100000,'中古車掲載'!AL1118=1,'中古車掲載'!Z1118="https://www.one2car.com/en/cars-for-sale/toyota/corolla-cross/year-2023"),'中古車掲載'!U1118,"")</x:f>
      </x:c>
      <x:c r="BB1117" t="str">
        <x:f>IF(AND('中古車掲載'!C1118="One2car",'中古車掲載'!F1118="ATTO 3",'中古車掲載'!L1118="EXTENDED RANGE",'中古車掲載'!J1118=2023,ISNUMBER('中古車掲載'!N1118),'中古車掲載'!N1118&gt;=50000,'中古車掲載'!O1118&lt;=100000,'中古車掲載'!AL1118=1),'中古車掲載'!U1118,"")</x:f>
      </x:c>
      <x:c r="BC1117" t="str">
        <x:f>IF(AND('中古車掲載'!C1118="One2car",'中古車掲載'!F1118="Corolla Cross",'中古車掲載'!L1118="HEV PREMIUM SAFETY",'中古車掲載'!J1118=2023,ISNUMBER('中古車掲載'!N1118),'中古車掲載'!N1118&gt;=50000,'中古車掲載'!O1118&lt;=100000,'中古車掲載'!AL1118=1,'中古車掲載'!Z1118="https://www.one2car.com/en/cars-for-sale/toyota/corolla-cross/year-2023"),'中古車掲載'!U1118,"")</x:f>
      </x:c>
      <x:c r="BD1117" t="str">
        <x:f>IF(AND('中古車掲載'!C1118="One2car",'中古車掲載'!F1118="ATTO 3",'中古車掲載'!L1118="EXTENDED RANGE",'中古車掲載'!J1118=2023,ISNUMBER('中古車掲載'!N1118),'中古車掲載'!N1118&gt;=20000,'中古車掲載'!O1118&lt;=50000,'中古車掲載'!AL1118=1),'中古車掲載'!U1118,"")</x:f>
      </x:c>
      <x:c r="BE1117" t="str">
        <x:f>IF(AND('中古車掲載'!C1118="One2car",'中古車掲載'!F1118="Corolla Cross",'中古車掲載'!L1118="HEV PREMIUM SAFETY",'中古車掲載'!J1118=2023,ISNUMBER('中古車掲載'!N1118),'中古車掲載'!N1118&gt;=20000,'中古車掲載'!O1118&lt;=50000,'中古車掲載'!AL1118=1,'中古車掲載'!Z1118="https://www.one2car.com/en/cars-for-sale/toyota/corolla-cross/year-2023"),'中古車掲載'!U1118,"")</x:f>
      </x:c>
      <x:c r="BF1117" t="str">
        <x:f>IF(AND('中古車掲載'!C1118="One2car",'中古車掲載'!F1118="Corolla Cross",'中古車掲載'!L1118="HEV PREMIUM",'中古車掲載'!J1118=2023,ISNUMBER('中古車掲載'!N1118),'中古車掲載'!N1118&gt;=20000,'中古車掲載'!O1118&lt;=100000,'中古車掲載'!AL1118=1,'中古車掲載'!Z1118="https://www.one2car.com/en/cars-for-sale/toyota/corolla-cross/year-2023"),'中古車掲載'!U1118,"")</x:f>
      </x:c>
      <x:c r="BG1117" t="str">
        <x:f>IF(AND('中古車掲載'!C1118="One2car",'中古車掲載'!F1118="Corolla Cross",'中古車掲載'!L1118="HEV GR SPORT",'中古車掲載'!J1118=2023,ISNUMBER('中古車掲載'!N1118),'中古車掲載'!N1118&gt;=20000,'中古車掲載'!O1118&lt;=100000,'中古車掲載'!AL1118=1,'中古車掲載'!Z1118="https://www.one2car.com/en/cars-for-sale/toyota/corolla-cross/year-2023"),'中古車掲載'!U1118,"")</x:f>
      </x:c>
      <x:c r="BH1117" t="str">
        <x:f>IF(AND('中古車掲載'!C1118="One2car",'中古車掲載'!F1118="DOLPHIN",'中古車掲載'!L1118="STANDARD RANGE",'中古車掲載'!J1118=2023,ISNUMBER('中古車掲載'!N1118),'中古車掲載'!N1118&gt;=20000,'中古車掲載'!O1118&lt;=100000,'中古車掲載'!AL1118=1),'中古車掲載'!U1118,"")</x:f>
      </x:c>
      <x:c r="BI1117" t="str">
        <x:v>Taladrod|Yaris Cross|HEV|Unknown</x:v>
      </x:c>
      <x:c r="BJ1117" t="n">
        <x:v>1118</x:v>
      </x:c>
      <x:c r="BK1117" t="n">
        <x:f>'中古車掲載'!AM1118</x:f>
        <x:v>814000</x:v>
      </x:c>
      <x:c r="BL1117" t="str">
        <x:f>IF(ISNUMBER('中古車掲載'!AN1118),'中古車掲載'!AN1118,"")</x:f>
      </x:c>
    </x:row>
    <x:row r="1118">
      <x:c r="AZ1118" t="str">
        <x:f>IF(AND('中古車掲載'!C1119="One2car",'中古車掲載'!F1119="ATTO 3",'中古車掲載'!L1119="EXTENDED RANGE",'中古車掲載'!J1119=2023,ISNUMBER('中古車掲載'!N1119),'中古車掲載'!N1119&gt;=20000,'中古車掲載'!O1119&lt;=100000,'中古車掲載'!AL1119=1),'中古車掲載'!U1119,"")</x:f>
      </x:c>
      <x:c r="BA1118" t="str">
        <x:f>IF(AND('中古車掲載'!C1119="One2car",'中古車掲載'!F1119="Corolla Cross",'中古車掲載'!L1119="HEV PREMIUM SAFETY",'中古車掲載'!J1119=2023,ISNUMBER('中古車掲載'!N1119),'中古車掲載'!N1119&gt;=20000,'中古車掲載'!O1119&lt;=100000,'中古車掲載'!AL1119=1,'中古車掲載'!Z1119="https://www.one2car.com/en/cars-for-sale/toyota/corolla-cross/year-2023"),'中古車掲載'!U1119,"")</x:f>
      </x:c>
      <x:c r="BB1118" t="str">
        <x:f>IF(AND('中古車掲載'!C1119="One2car",'中古車掲載'!F1119="ATTO 3",'中古車掲載'!L1119="EXTENDED RANGE",'中古車掲載'!J1119=2023,ISNUMBER('中古車掲載'!N1119),'中古車掲載'!N1119&gt;=50000,'中古車掲載'!O1119&lt;=100000,'中古車掲載'!AL1119=1),'中古車掲載'!U1119,"")</x:f>
      </x:c>
      <x:c r="BC1118" t="str">
        <x:f>IF(AND('中古車掲載'!C1119="One2car",'中古車掲載'!F1119="Corolla Cross",'中古車掲載'!L1119="HEV PREMIUM SAFETY",'中古車掲載'!J1119=2023,ISNUMBER('中古車掲載'!N1119),'中古車掲載'!N1119&gt;=50000,'中古車掲載'!O1119&lt;=100000,'中古車掲載'!AL1119=1,'中古車掲載'!Z1119="https://www.one2car.com/en/cars-for-sale/toyota/corolla-cross/year-2023"),'中古車掲載'!U1119,"")</x:f>
      </x:c>
      <x:c r="BD1118" t="str">
        <x:f>IF(AND('中古車掲載'!C1119="One2car",'中古車掲載'!F1119="ATTO 3",'中古車掲載'!L1119="EXTENDED RANGE",'中古車掲載'!J1119=2023,ISNUMBER('中古車掲載'!N1119),'中古車掲載'!N1119&gt;=20000,'中古車掲載'!O1119&lt;=50000,'中古車掲載'!AL1119=1),'中古車掲載'!U1119,"")</x:f>
      </x:c>
      <x:c r="BE1118" t="str">
        <x:f>IF(AND('中古車掲載'!C1119="One2car",'中古車掲載'!F1119="Corolla Cross",'中古車掲載'!L1119="HEV PREMIUM SAFETY",'中古車掲載'!J1119=2023,ISNUMBER('中古車掲載'!N1119),'中古車掲載'!N1119&gt;=20000,'中古車掲載'!O1119&lt;=50000,'中古車掲載'!AL1119=1,'中古車掲載'!Z1119="https://www.one2car.com/en/cars-for-sale/toyota/corolla-cross/year-2023"),'中古車掲載'!U1119,"")</x:f>
      </x:c>
      <x:c r="BF1118" t="str">
        <x:f>IF(AND('中古車掲載'!C1119="One2car",'中古車掲載'!F1119="Corolla Cross",'中古車掲載'!L1119="HEV PREMIUM",'中古車掲載'!J1119=2023,ISNUMBER('中古車掲載'!N1119),'中古車掲載'!N1119&gt;=20000,'中古車掲載'!O1119&lt;=100000,'中古車掲載'!AL1119=1,'中古車掲載'!Z1119="https://www.one2car.com/en/cars-for-sale/toyota/corolla-cross/year-2023"),'中古車掲載'!U1119,"")</x:f>
      </x:c>
      <x:c r="BG1118" t="str">
        <x:f>IF(AND('中古車掲載'!C1119="One2car",'中古車掲載'!F1119="Corolla Cross",'中古車掲載'!L1119="HEV GR SPORT",'中古車掲載'!J1119=2023,ISNUMBER('中古車掲載'!N1119),'中古車掲載'!N1119&gt;=20000,'中古車掲載'!O1119&lt;=100000,'中古車掲載'!AL1119=1,'中古車掲載'!Z1119="https://www.one2car.com/en/cars-for-sale/toyota/corolla-cross/year-2023"),'中古車掲載'!U1119,"")</x:f>
      </x:c>
      <x:c r="BH1118" t="str">
        <x:f>IF(AND('中古車掲載'!C1119="One2car",'中古車掲載'!F1119="DOLPHIN",'中古車掲載'!L1119="STANDARD RANGE",'中古車掲載'!J1119=2023,ISNUMBER('中古車掲載'!N1119),'中古車掲載'!N1119&gt;=20000,'中古車掲載'!O1119&lt;=100000,'中古車掲載'!AL1119=1),'中古車掲載'!U1119,"")</x:f>
      </x:c>
      <x:c r="BI1118" t="str">
        <x:v>Taladrod|Yaris Cross|HEV|Unknown</x:v>
      </x:c>
      <x:c r="BJ1118" t="n">
        <x:v>1119</x:v>
      </x:c>
      <x:c r="BK1118" t="n">
        <x:f>'中古車掲載'!AM1119</x:f>
        <x:v>698000</x:v>
      </x:c>
      <x:c r="BL1118" t="str">
        <x:f>IF(ISNUMBER('中古車掲載'!AN1119),'中古車掲載'!AN1119,"")</x:f>
      </x:c>
    </x:row>
    <x:row r="1119">
      <x:c r="AZ1119" t="str">
        <x:f>IF(AND('中古車掲載'!C1120="One2car",'中古車掲載'!F1120="ATTO 3",'中古車掲載'!L1120="EXTENDED RANGE",'中古車掲載'!J1120=2023,ISNUMBER('中古車掲載'!N1120),'中古車掲載'!N1120&gt;=20000,'中古車掲載'!O1120&lt;=100000,'中古車掲載'!AL1120=1),'中古車掲載'!U1120,"")</x:f>
      </x:c>
      <x:c r="BA1119" t="str">
        <x:f>IF(AND('中古車掲載'!C1120="One2car",'中古車掲載'!F1120="Corolla Cross",'中古車掲載'!L1120="HEV PREMIUM SAFETY",'中古車掲載'!J1120=2023,ISNUMBER('中古車掲載'!N1120),'中古車掲載'!N1120&gt;=20000,'中古車掲載'!O1120&lt;=100000,'中古車掲載'!AL1120=1,'中古車掲載'!Z1120="https://www.one2car.com/en/cars-for-sale/toyota/corolla-cross/year-2023"),'中古車掲載'!U1120,"")</x:f>
      </x:c>
      <x:c r="BB1119" t="str">
        <x:f>IF(AND('中古車掲載'!C1120="One2car",'中古車掲載'!F1120="ATTO 3",'中古車掲載'!L1120="EXTENDED RANGE",'中古車掲載'!J1120=2023,ISNUMBER('中古車掲載'!N1120),'中古車掲載'!N1120&gt;=50000,'中古車掲載'!O1120&lt;=100000,'中古車掲載'!AL1120=1),'中古車掲載'!U1120,"")</x:f>
      </x:c>
      <x:c r="BC1119" t="str">
        <x:f>IF(AND('中古車掲載'!C1120="One2car",'中古車掲載'!F1120="Corolla Cross",'中古車掲載'!L1120="HEV PREMIUM SAFETY",'中古車掲載'!J1120=2023,ISNUMBER('中古車掲載'!N1120),'中古車掲載'!N1120&gt;=50000,'中古車掲載'!O1120&lt;=100000,'中古車掲載'!AL1120=1,'中古車掲載'!Z1120="https://www.one2car.com/en/cars-for-sale/toyota/corolla-cross/year-2023"),'中古車掲載'!U1120,"")</x:f>
      </x:c>
      <x:c r="BD1119" t="str">
        <x:f>IF(AND('中古車掲載'!C1120="One2car",'中古車掲載'!F1120="ATTO 3",'中古車掲載'!L1120="EXTENDED RANGE",'中古車掲載'!J1120=2023,ISNUMBER('中古車掲載'!N1120),'中古車掲載'!N1120&gt;=20000,'中古車掲載'!O1120&lt;=50000,'中古車掲載'!AL1120=1),'中古車掲載'!U1120,"")</x:f>
      </x:c>
      <x:c r="BE1119" t="str">
        <x:f>IF(AND('中古車掲載'!C1120="One2car",'中古車掲載'!F1120="Corolla Cross",'中古車掲載'!L1120="HEV PREMIUM SAFETY",'中古車掲載'!J1120=2023,ISNUMBER('中古車掲載'!N1120),'中古車掲載'!N1120&gt;=20000,'中古車掲載'!O1120&lt;=50000,'中古車掲載'!AL1120=1,'中古車掲載'!Z1120="https://www.one2car.com/en/cars-for-sale/toyota/corolla-cross/year-2023"),'中古車掲載'!U1120,"")</x:f>
      </x:c>
      <x:c r="BF1119" t="str">
        <x:f>IF(AND('中古車掲載'!C1120="One2car",'中古車掲載'!F1120="Corolla Cross",'中古車掲載'!L1120="HEV PREMIUM",'中古車掲載'!J1120=2023,ISNUMBER('中古車掲載'!N1120),'中古車掲載'!N1120&gt;=20000,'中古車掲載'!O1120&lt;=100000,'中古車掲載'!AL1120=1,'中古車掲載'!Z1120="https://www.one2car.com/en/cars-for-sale/toyota/corolla-cross/year-2023"),'中古車掲載'!U1120,"")</x:f>
      </x:c>
      <x:c r="BG1119" t="str">
        <x:f>IF(AND('中古車掲載'!C1120="One2car",'中古車掲載'!F1120="Corolla Cross",'中古車掲載'!L1120="HEV GR SPORT",'中古車掲載'!J1120=2023,ISNUMBER('中古車掲載'!N1120),'中古車掲載'!N1120&gt;=20000,'中古車掲載'!O1120&lt;=100000,'中古車掲載'!AL1120=1,'中古車掲載'!Z1120="https://www.one2car.com/en/cars-for-sale/toyota/corolla-cross/year-2023"),'中古車掲載'!U1120,"")</x:f>
      </x:c>
      <x:c r="BH1119" t="str">
        <x:f>IF(AND('中古車掲載'!C1120="One2car",'中古車掲載'!F1120="DOLPHIN",'中古車掲載'!L1120="STANDARD RANGE",'中古車掲載'!J1120=2023,ISNUMBER('中古車掲載'!N1120),'中古車掲載'!N1120&gt;=20000,'中古車掲載'!O1120&lt;=100000,'中古車掲載'!AL1120=1),'中古車掲載'!U1120,"")</x:f>
      </x:c>
      <x:c r="BI1119" t="str">
        <x:v>Taladrod|Yaris Cross|HEV|Unknown</x:v>
      </x:c>
      <x:c r="BJ1119" t="n">
        <x:v>1120</x:v>
      </x:c>
      <x:c r="BK1119" t="n">
        <x:f>'中古車掲載'!AM1120</x:f>
        <x:v>730000</x:v>
      </x:c>
      <x:c r="BL1119" t="str">
        <x:f>IF(ISNUMBER('中古車掲載'!AN1120),'中古車掲載'!AN1120,"")</x:f>
      </x:c>
    </x:row>
    <x:row r="1120">
      <x:c r="AZ1120" t="str">
        <x:f>IF(AND('中古車掲載'!C1121="One2car",'中古車掲載'!F1121="ATTO 3",'中古車掲載'!L1121="EXTENDED RANGE",'中古車掲載'!J1121=2023,ISNUMBER('中古車掲載'!N1121),'中古車掲載'!N1121&gt;=20000,'中古車掲載'!O1121&lt;=100000,'中古車掲載'!AL1121=1),'中古車掲載'!U1121,"")</x:f>
      </x:c>
      <x:c r="BA1120" t="str">
        <x:f>IF(AND('中古車掲載'!C1121="One2car",'中古車掲載'!F1121="Corolla Cross",'中古車掲載'!L1121="HEV PREMIUM SAFETY",'中古車掲載'!J1121=2023,ISNUMBER('中古車掲載'!N1121),'中古車掲載'!N1121&gt;=20000,'中古車掲載'!O1121&lt;=100000,'中古車掲載'!AL1121=1,'中古車掲載'!Z1121="https://www.one2car.com/en/cars-for-sale/toyota/corolla-cross/year-2023"),'中古車掲載'!U1121,"")</x:f>
      </x:c>
      <x:c r="BB1120" t="str">
        <x:f>IF(AND('中古車掲載'!C1121="One2car",'中古車掲載'!F1121="ATTO 3",'中古車掲載'!L1121="EXTENDED RANGE",'中古車掲載'!J1121=2023,ISNUMBER('中古車掲載'!N1121),'中古車掲載'!N1121&gt;=50000,'中古車掲載'!O1121&lt;=100000,'中古車掲載'!AL1121=1),'中古車掲載'!U1121,"")</x:f>
      </x:c>
      <x:c r="BC1120" t="str">
        <x:f>IF(AND('中古車掲載'!C1121="One2car",'中古車掲載'!F1121="Corolla Cross",'中古車掲載'!L1121="HEV PREMIUM SAFETY",'中古車掲載'!J1121=2023,ISNUMBER('中古車掲載'!N1121),'中古車掲載'!N1121&gt;=50000,'中古車掲載'!O1121&lt;=100000,'中古車掲載'!AL1121=1,'中古車掲載'!Z1121="https://www.one2car.com/en/cars-for-sale/toyota/corolla-cross/year-2023"),'中古車掲載'!U1121,"")</x:f>
      </x:c>
      <x:c r="BD1120" t="str">
        <x:f>IF(AND('中古車掲載'!C1121="One2car",'中古車掲載'!F1121="ATTO 3",'中古車掲載'!L1121="EXTENDED RANGE",'中古車掲載'!J1121=2023,ISNUMBER('中古車掲載'!N1121),'中古車掲載'!N1121&gt;=20000,'中古車掲載'!O1121&lt;=50000,'中古車掲載'!AL1121=1),'中古車掲載'!U1121,"")</x:f>
      </x:c>
      <x:c r="BE1120" t="str">
        <x:f>IF(AND('中古車掲載'!C1121="One2car",'中古車掲載'!F1121="Corolla Cross",'中古車掲載'!L1121="HEV PREMIUM SAFETY",'中古車掲載'!J1121=2023,ISNUMBER('中古車掲載'!N1121),'中古車掲載'!N1121&gt;=20000,'中古車掲載'!O1121&lt;=50000,'中古車掲載'!AL1121=1,'中古車掲載'!Z1121="https://www.one2car.com/en/cars-for-sale/toyota/corolla-cross/year-2023"),'中古車掲載'!U1121,"")</x:f>
      </x:c>
      <x:c r="BF1120" t="str">
        <x:f>IF(AND('中古車掲載'!C1121="One2car",'中古車掲載'!F1121="Corolla Cross",'中古車掲載'!L1121="HEV PREMIUM",'中古車掲載'!J1121=2023,ISNUMBER('中古車掲載'!N1121),'中古車掲載'!N1121&gt;=20000,'中古車掲載'!O1121&lt;=100000,'中古車掲載'!AL1121=1,'中古車掲載'!Z1121="https://www.one2car.com/en/cars-for-sale/toyota/corolla-cross/year-2023"),'中古車掲載'!U1121,"")</x:f>
      </x:c>
      <x:c r="BG1120" t="str">
        <x:f>IF(AND('中古車掲載'!C1121="One2car",'中古車掲載'!F1121="Corolla Cross",'中古車掲載'!L1121="HEV GR SPORT",'中古車掲載'!J1121=2023,ISNUMBER('中古車掲載'!N1121),'中古車掲載'!N1121&gt;=20000,'中古車掲載'!O1121&lt;=100000,'中古車掲載'!AL1121=1,'中古車掲載'!Z1121="https://www.one2car.com/en/cars-for-sale/toyota/corolla-cross/year-2023"),'中古車掲載'!U1121,"")</x:f>
      </x:c>
      <x:c r="BH1120" t="str">
        <x:f>IF(AND('中古車掲載'!C1121="One2car",'中古車掲載'!F1121="DOLPHIN",'中古車掲載'!L1121="STANDARD RANGE",'中古車掲載'!J1121=2023,ISNUMBER('中古車掲載'!N1121),'中古車掲載'!N1121&gt;=20000,'中古車掲載'!O1121&lt;=100000,'中古車掲載'!AL1121=1),'中古車掲載'!U1121,"")</x:f>
      </x:c>
      <x:c r="BI1120" t="str">
        <x:v>Taladrod|Yaris Cross|HEV|Unknown</x:v>
      </x:c>
      <x:c r="BJ1120" t="n">
        <x:v>1121</x:v>
      </x:c>
      <x:c r="BK1120" t="n">
        <x:f>'中古車掲載'!AM1121</x:f>
        <x:v>658000</x:v>
      </x:c>
      <x:c r="BL1120" t="str">
        <x:f>IF(ISNUMBER('中古車掲載'!AN1121),'中古車掲載'!AN1121,"")</x:f>
      </x:c>
    </x:row>
    <x:row r="1121">
      <x:c r="AZ1121" t="str">
        <x:f>IF(AND('中古車掲載'!C1122="One2car",'中古車掲載'!F1122="ATTO 3",'中古車掲載'!L1122="EXTENDED RANGE",'中古車掲載'!J1122=2023,ISNUMBER('中古車掲載'!N1122),'中古車掲載'!N1122&gt;=20000,'中古車掲載'!O1122&lt;=100000,'中古車掲載'!AL1122=1),'中古車掲載'!U1122,"")</x:f>
      </x:c>
      <x:c r="BA1121" t="str">
        <x:f>IF(AND('中古車掲載'!C1122="One2car",'中古車掲載'!F1122="Corolla Cross",'中古車掲載'!L1122="HEV PREMIUM SAFETY",'中古車掲載'!J1122=2023,ISNUMBER('中古車掲載'!N1122),'中古車掲載'!N1122&gt;=20000,'中古車掲載'!O1122&lt;=100000,'中古車掲載'!AL1122=1,'中古車掲載'!Z1122="https://www.one2car.com/en/cars-for-sale/toyota/corolla-cross/year-2023"),'中古車掲載'!U1122,"")</x:f>
      </x:c>
      <x:c r="BB1121" t="str">
        <x:f>IF(AND('中古車掲載'!C1122="One2car",'中古車掲載'!F1122="ATTO 3",'中古車掲載'!L1122="EXTENDED RANGE",'中古車掲載'!J1122=2023,ISNUMBER('中古車掲載'!N1122),'中古車掲載'!N1122&gt;=50000,'中古車掲載'!O1122&lt;=100000,'中古車掲載'!AL1122=1),'中古車掲載'!U1122,"")</x:f>
      </x:c>
      <x:c r="BC1121" t="str">
        <x:f>IF(AND('中古車掲載'!C1122="One2car",'中古車掲載'!F1122="Corolla Cross",'中古車掲載'!L1122="HEV PREMIUM SAFETY",'中古車掲載'!J1122=2023,ISNUMBER('中古車掲載'!N1122),'中古車掲載'!N1122&gt;=50000,'中古車掲載'!O1122&lt;=100000,'中古車掲載'!AL1122=1,'中古車掲載'!Z1122="https://www.one2car.com/en/cars-for-sale/toyota/corolla-cross/year-2023"),'中古車掲載'!U1122,"")</x:f>
      </x:c>
      <x:c r="BD1121" t="str">
        <x:f>IF(AND('中古車掲載'!C1122="One2car",'中古車掲載'!F1122="ATTO 3",'中古車掲載'!L1122="EXTENDED RANGE",'中古車掲載'!J1122=2023,ISNUMBER('中古車掲載'!N1122),'中古車掲載'!N1122&gt;=20000,'中古車掲載'!O1122&lt;=50000,'中古車掲載'!AL1122=1),'中古車掲載'!U1122,"")</x:f>
      </x:c>
      <x:c r="BE1121" t="str">
        <x:f>IF(AND('中古車掲載'!C1122="One2car",'中古車掲載'!F1122="Corolla Cross",'中古車掲載'!L1122="HEV PREMIUM SAFETY",'中古車掲載'!J1122=2023,ISNUMBER('中古車掲載'!N1122),'中古車掲載'!N1122&gt;=20000,'中古車掲載'!O1122&lt;=50000,'中古車掲載'!AL1122=1,'中古車掲載'!Z1122="https://www.one2car.com/en/cars-for-sale/toyota/corolla-cross/year-2023"),'中古車掲載'!U1122,"")</x:f>
      </x:c>
      <x:c r="BF1121" t="str">
        <x:f>IF(AND('中古車掲載'!C1122="One2car",'中古車掲載'!F1122="Corolla Cross",'中古車掲載'!L1122="HEV PREMIUM",'中古車掲載'!J1122=2023,ISNUMBER('中古車掲載'!N1122),'中古車掲載'!N1122&gt;=20000,'中古車掲載'!O1122&lt;=100000,'中古車掲載'!AL1122=1,'中古車掲載'!Z1122="https://www.one2car.com/en/cars-for-sale/toyota/corolla-cross/year-2023"),'中古車掲載'!U1122,"")</x:f>
      </x:c>
      <x:c r="BG1121" t="str">
        <x:f>IF(AND('中古車掲載'!C1122="One2car",'中古車掲載'!F1122="Corolla Cross",'中古車掲載'!L1122="HEV GR SPORT",'中古車掲載'!J1122=2023,ISNUMBER('中古車掲載'!N1122),'中古車掲載'!N1122&gt;=20000,'中古車掲載'!O1122&lt;=100000,'中古車掲載'!AL1122=1,'中古車掲載'!Z1122="https://www.one2car.com/en/cars-for-sale/toyota/corolla-cross/year-2023"),'中古車掲載'!U1122,"")</x:f>
      </x:c>
      <x:c r="BH1121" t="str">
        <x:f>IF(AND('中古車掲載'!C1122="One2car",'中古車掲載'!F1122="DOLPHIN",'中古車掲載'!L1122="STANDARD RANGE",'中古車掲載'!J1122=2023,ISNUMBER('中古車掲載'!N1122),'中古車掲載'!N1122&gt;=20000,'中古車掲載'!O1122&lt;=100000,'中古車掲載'!AL1122=1),'中古車掲載'!U1122,"")</x:f>
      </x:c>
      <x:c r="BI1121" t="str">
        <x:v>Taladrod|Yaris Cross|HEV|Unknown</x:v>
      </x:c>
      <x:c r="BJ1121" t="n">
        <x:v>1122</x:v>
      </x:c>
      <x:c r="BK1121" t="n">
        <x:f>'中古車掲載'!AM1122</x:f>
        <x:v>669000</x:v>
      </x:c>
      <x:c r="BL1121" t="str">
        <x:f>IF(ISNUMBER('中古車掲載'!AN1122),'中古車掲載'!AN1122,"")</x:f>
      </x:c>
    </x:row>
    <x:row r="1122">
      <x:c r="AZ1122" t="str">
        <x:f>IF(AND('中古車掲載'!C1123="One2car",'中古車掲載'!F1123="ATTO 3",'中古車掲載'!L1123="EXTENDED RANGE",'中古車掲載'!J1123=2023,ISNUMBER('中古車掲載'!N1123),'中古車掲載'!N1123&gt;=20000,'中古車掲載'!O1123&lt;=100000,'中古車掲載'!AL1123=1),'中古車掲載'!U1123,"")</x:f>
      </x:c>
      <x:c r="BA1122" t="str">
        <x:f>IF(AND('中古車掲載'!C1123="One2car",'中古車掲載'!F1123="Corolla Cross",'中古車掲載'!L1123="HEV PREMIUM SAFETY",'中古車掲載'!J1123=2023,ISNUMBER('中古車掲載'!N1123),'中古車掲載'!N1123&gt;=20000,'中古車掲載'!O1123&lt;=100000,'中古車掲載'!AL1123=1,'中古車掲載'!Z1123="https://www.one2car.com/en/cars-for-sale/toyota/corolla-cross/year-2023"),'中古車掲載'!U1123,"")</x:f>
      </x:c>
      <x:c r="BB1122" t="str">
        <x:f>IF(AND('中古車掲載'!C1123="One2car",'中古車掲載'!F1123="ATTO 3",'中古車掲載'!L1123="EXTENDED RANGE",'中古車掲載'!J1123=2023,ISNUMBER('中古車掲載'!N1123),'中古車掲載'!N1123&gt;=50000,'中古車掲載'!O1123&lt;=100000,'中古車掲載'!AL1123=1),'中古車掲載'!U1123,"")</x:f>
      </x:c>
      <x:c r="BC1122" t="str">
        <x:f>IF(AND('中古車掲載'!C1123="One2car",'中古車掲載'!F1123="Corolla Cross",'中古車掲載'!L1123="HEV PREMIUM SAFETY",'中古車掲載'!J1123=2023,ISNUMBER('中古車掲載'!N1123),'中古車掲載'!N1123&gt;=50000,'中古車掲載'!O1123&lt;=100000,'中古車掲載'!AL1123=1,'中古車掲載'!Z1123="https://www.one2car.com/en/cars-for-sale/toyota/corolla-cross/year-2023"),'中古車掲載'!U1123,"")</x:f>
      </x:c>
      <x:c r="BD1122" t="str">
        <x:f>IF(AND('中古車掲載'!C1123="One2car",'中古車掲載'!F1123="ATTO 3",'中古車掲載'!L1123="EXTENDED RANGE",'中古車掲載'!J1123=2023,ISNUMBER('中古車掲載'!N1123),'中古車掲載'!N1123&gt;=20000,'中古車掲載'!O1123&lt;=50000,'中古車掲載'!AL1123=1),'中古車掲載'!U1123,"")</x:f>
      </x:c>
      <x:c r="BE1122" t="str">
        <x:f>IF(AND('中古車掲載'!C1123="One2car",'中古車掲載'!F1123="Corolla Cross",'中古車掲載'!L1123="HEV PREMIUM SAFETY",'中古車掲載'!J1123=2023,ISNUMBER('中古車掲載'!N1123),'中古車掲載'!N1123&gt;=20000,'中古車掲載'!O1123&lt;=50000,'中古車掲載'!AL1123=1,'中古車掲載'!Z1123="https://www.one2car.com/en/cars-for-sale/toyota/corolla-cross/year-2023"),'中古車掲載'!U1123,"")</x:f>
      </x:c>
      <x:c r="BF1122" t="str">
        <x:f>IF(AND('中古車掲載'!C1123="One2car",'中古車掲載'!F1123="Corolla Cross",'中古車掲載'!L1123="HEV PREMIUM",'中古車掲載'!J1123=2023,ISNUMBER('中古車掲載'!N1123),'中古車掲載'!N1123&gt;=20000,'中古車掲載'!O1123&lt;=100000,'中古車掲載'!AL1123=1,'中古車掲載'!Z1123="https://www.one2car.com/en/cars-for-sale/toyota/corolla-cross/year-2023"),'中古車掲載'!U1123,"")</x:f>
      </x:c>
      <x:c r="BG1122" t="str">
        <x:f>IF(AND('中古車掲載'!C1123="One2car",'中古車掲載'!F1123="Corolla Cross",'中古車掲載'!L1123="HEV GR SPORT",'中古車掲載'!J1123=2023,ISNUMBER('中古車掲載'!N1123),'中古車掲載'!N1123&gt;=20000,'中古車掲載'!O1123&lt;=100000,'中古車掲載'!AL1123=1,'中古車掲載'!Z1123="https://www.one2car.com/en/cars-for-sale/toyota/corolla-cross/year-2023"),'中古車掲載'!U1123,"")</x:f>
      </x:c>
      <x:c r="BH1122" t="str">
        <x:f>IF(AND('中古車掲載'!C1123="One2car",'中古車掲載'!F1123="DOLPHIN",'中古車掲載'!L1123="STANDARD RANGE",'中古車掲載'!J1123=2023,ISNUMBER('中古車掲載'!N1123),'中古車掲載'!N1123&gt;=20000,'中古車掲載'!O1123&lt;=100000,'中古車掲載'!AL1123=1),'中古車掲載'!U1123,"")</x:f>
      </x:c>
      <x:c r="BI1122" t="str">
        <x:v>Taladrod|Yaris Cross|HEV|Unknown</x:v>
      </x:c>
      <x:c r="BJ1122" t="n">
        <x:v>1123</x:v>
      </x:c>
      <x:c r="BK1122" t="n">
        <x:f>'中古車掲載'!AM1123</x:f>
        <x:v>667000</x:v>
      </x:c>
      <x:c r="BL1122" t="str">
        <x:f>IF(ISNUMBER('中古車掲載'!AN1123),'中古車掲載'!AN1123,"")</x:f>
      </x:c>
    </x:row>
    <x:row r="1123">
      <x:c r="AZ1123" t="str">
        <x:f>IF(AND('中古車掲載'!C1124="One2car",'中古車掲載'!F1124="ATTO 3",'中古車掲載'!L1124="EXTENDED RANGE",'中古車掲載'!J1124=2023,ISNUMBER('中古車掲載'!N1124),'中古車掲載'!N1124&gt;=20000,'中古車掲載'!O1124&lt;=100000,'中古車掲載'!AL1124=1),'中古車掲載'!U1124,"")</x:f>
      </x:c>
      <x:c r="BA1123" t="str">
        <x:f>IF(AND('中古車掲載'!C1124="One2car",'中古車掲載'!F1124="Corolla Cross",'中古車掲載'!L1124="HEV PREMIUM SAFETY",'中古車掲載'!J1124=2023,ISNUMBER('中古車掲載'!N1124),'中古車掲載'!N1124&gt;=20000,'中古車掲載'!O1124&lt;=100000,'中古車掲載'!AL1124=1,'中古車掲載'!Z1124="https://www.one2car.com/en/cars-for-sale/toyota/corolla-cross/year-2023"),'中古車掲載'!U1124,"")</x:f>
      </x:c>
      <x:c r="BB1123" t="str">
        <x:f>IF(AND('中古車掲載'!C1124="One2car",'中古車掲載'!F1124="ATTO 3",'中古車掲載'!L1124="EXTENDED RANGE",'中古車掲載'!J1124=2023,ISNUMBER('中古車掲載'!N1124),'中古車掲載'!N1124&gt;=50000,'中古車掲載'!O1124&lt;=100000,'中古車掲載'!AL1124=1),'中古車掲載'!U1124,"")</x:f>
      </x:c>
      <x:c r="BC1123" t="str">
        <x:f>IF(AND('中古車掲載'!C1124="One2car",'中古車掲載'!F1124="Corolla Cross",'中古車掲載'!L1124="HEV PREMIUM SAFETY",'中古車掲載'!J1124=2023,ISNUMBER('中古車掲載'!N1124),'中古車掲載'!N1124&gt;=50000,'中古車掲載'!O1124&lt;=100000,'中古車掲載'!AL1124=1,'中古車掲載'!Z1124="https://www.one2car.com/en/cars-for-sale/toyota/corolla-cross/year-2023"),'中古車掲載'!U1124,"")</x:f>
      </x:c>
      <x:c r="BD1123" t="str">
        <x:f>IF(AND('中古車掲載'!C1124="One2car",'中古車掲載'!F1124="ATTO 3",'中古車掲載'!L1124="EXTENDED RANGE",'中古車掲載'!J1124=2023,ISNUMBER('中古車掲載'!N1124),'中古車掲載'!N1124&gt;=20000,'中古車掲載'!O1124&lt;=50000,'中古車掲載'!AL1124=1),'中古車掲載'!U1124,"")</x:f>
      </x:c>
      <x:c r="BE1123" t="str">
        <x:f>IF(AND('中古車掲載'!C1124="One2car",'中古車掲載'!F1124="Corolla Cross",'中古車掲載'!L1124="HEV PREMIUM SAFETY",'中古車掲載'!J1124=2023,ISNUMBER('中古車掲載'!N1124),'中古車掲載'!N1124&gt;=20000,'中古車掲載'!O1124&lt;=50000,'中古車掲載'!AL1124=1,'中古車掲載'!Z1124="https://www.one2car.com/en/cars-for-sale/toyota/corolla-cross/year-2023"),'中古車掲載'!U1124,"")</x:f>
      </x:c>
      <x:c r="BF1123" t="str">
        <x:f>IF(AND('中古車掲載'!C1124="One2car",'中古車掲載'!F1124="Corolla Cross",'中古車掲載'!L1124="HEV PREMIUM",'中古車掲載'!J1124=2023,ISNUMBER('中古車掲載'!N1124),'中古車掲載'!N1124&gt;=20000,'中古車掲載'!O1124&lt;=100000,'中古車掲載'!AL1124=1,'中古車掲載'!Z1124="https://www.one2car.com/en/cars-for-sale/toyota/corolla-cross/year-2023"),'中古車掲載'!U1124,"")</x:f>
      </x:c>
      <x:c r="BG1123" t="str">
        <x:f>IF(AND('中古車掲載'!C1124="One2car",'中古車掲載'!F1124="Corolla Cross",'中古車掲載'!L1124="HEV GR SPORT",'中古車掲載'!J1124=2023,ISNUMBER('中古車掲載'!N1124),'中古車掲載'!N1124&gt;=20000,'中古車掲載'!O1124&lt;=100000,'中古車掲載'!AL1124=1,'中古車掲載'!Z1124="https://www.one2car.com/en/cars-for-sale/toyota/corolla-cross/year-2023"),'中古車掲載'!U1124,"")</x:f>
      </x:c>
      <x:c r="BH1123" t="str">
        <x:f>IF(AND('中古車掲載'!C1124="One2car",'中古車掲載'!F1124="DOLPHIN",'中古車掲載'!L1124="STANDARD RANGE",'中古車掲載'!J1124=2023,ISNUMBER('中古車掲載'!N1124),'中古車掲載'!N1124&gt;=20000,'中古車掲載'!O1124&lt;=100000,'中古車掲載'!AL1124=1),'中古車掲載'!U1124,"")</x:f>
      </x:c>
      <x:c r="BI1123" t="str">
        <x:v>Taladrod|Yaris Cross|HEV|Unknown</x:v>
      </x:c>
      <x:c r="BJ1123" t="n">
        <x:v>1124</x:v>
      </x:c>
      <x:c r="BK1123" t="n">
        <x:f>'中古車掲載'!AM1124</x:f>
        <x:v>550000</x:v>
      </x:c>
      <x:c r="BL1123" t="str">
        <x:f>IF(ISNUMBER('中古車掲載'!AN1124),'中古車掲載'!AN1124,"")</x:f>
      </x:c>
    </x:row>
    <x:row r="1124">
      <x:c r="AZ1124" t="str">
        <x:f>IF(AND('中古車掲載'!C1125="One2car",'中古車掲載'!F1125="ATTO 3",'中古車掲載'!L1125="EXTENDED RANGE",'中古車掲載'!J1125=2023,ISNUMBER('中古車掲載'!N1125),'中古車掲載'!N1125&gt;=20000,'中古車掲載'!O1125&lt;=100000,'中古車掲載'!AL1125=1),'中古車掲載'!U1125,"")</x:f>
      </x:c>
      <x:c r="BA1124" t="str">
        <x:f>IF(AND('中古車掲載'!C1125="One2car",'中古車掲載'!F1125="Corolla Cross",'中古車掲載'!L1125="HEV PREMIUM SAFETY",'中古車掲載'!J1125=2023,ISNUMBER('中古車掲載'!N1125),'中古車掲載'!N1125&gt;=20000,'中古車掲載'!O1125&lt;=100000,'中古車掲載'!AL1125=1,'中古車掲載'!Z1125="https://www.one2car.com/en/cars-for-sale/toyota/corolla-cross/year-2023"),'中古車掲載'!U1125,"")</x:f>
      </x:c>
      <x:c r="BB1124" t="str">
        <x:f>IF(AND('中古車掲載'!C1125="One2car",'中古車掲載'!F1125="ATTO 3",'中古車掲載'!L1125="EXTENDED RANGE",'中古車掲載'!J1125=2023,ISNUMBER('中古車掲載'!N1125),'中古車掲載'!N1125&gt;=50000,'中古車掲載'!O1125&lt;=100000,'中古車掲載'!AL1125=1),'中古車掲載'!U1125,"")</x:f>
      </x:c>
      <x:c r="BC1124" t="str">
        <x:f>IF(AND('中古車掲載'!C1125="One2car",'中古車掲載'!F1125="Corolla Cross",'中古車掲載'!L1125="HEV PREMIUM SAFETY",'中古車掲載'!J1125=2023,ISNUMBER('中古車掲載'!N1125),'中古車掲載'!N1125&gt;=50000,'中古車掲載'!O1125&lt;=100000,'中古車掲載'!AL1125=1,'中古車掲載'!Z1125="https://www.one2car.com/en/cars-for-sale/toyota/corolla-cross/year-2023"),'中古車掲載'!U1125,"")</x:f>
      </x:c>
      <x:c r="BD1124" t="str">
        <x:f>IF(AND('中古車掲載'!C1125="One2car",'中古車掲載'!F1125="ATTO 3",'中古車掲載'!L1125="EXTENDED RANGE",'中古車掲載'!J1125=2023,ISNUMBER('中古車掲載'!N1125),'中古車掲載'!N1125&gt;=20000,'中古車掲載'!O1125&lt;=50000,'中古車掲載'!AL1125=1),'中古車掲載'!U1125,"")</x:f>
      </x:c>
      <x:c r="BE1124" t="str">
        <x:f>IF(AND('中古車掲載'!C1125="One2car",'中古車掲載'!F1125="Corolla Cross",'中古車掲載'!L1125="HEV PREMIUM SAFETY",'中古車掲載'!J1125=2023,ISNUMBER('中古車掲載'!N1125),'中古車掲載'!N1125&gt;=20000,'中古車掲載'!O1125&lt;=50000,'中古車掲載'!AL1125=1,'中古車掲載'!Z1125="https://www.one2car.com/en/cars-for-sale/toyota/corolla-cross/year-2023"),'中古車掲載'!U1125,"")</x:f>
      </x:c>
      <x:c r="BF1124" t="str">
        <x:f>IF(AND('中古車掲載'!C1125="One2car",'中古車掲載'!F1125="Corolla Cross",'中古車掲載'!L1125="HEV PREMIUM",'中古車掲載'!J1125=2023,ISNUMBER('中古車掲載'!N1125),'中古車掲載'!N1125&gt;=20000,'中古車掲載'!O1125&lt;=100000,'中古車掲載'!AL1125=1,'中古車掲載'!Z1125="https://www.one2car.com/en/cars-for-sale/toyota/corolla-cross/year-2023"),'中古車掲載'!U1125,"")</x:f>
      </x:c>
      <x:c r="BG1124" t="str">
        <x:f>IF(AND('中古車掲載'!C1125="One2car",'中古車掲載'!F1125="Corolla Cross",'中古車掲載'!L1125="HEV GR SPORT",'中古車掲載'!J1125=2023,ISNUMBER('中古車掲載'!N1125),'中古車掲載'!N1125&gt;=20000,'中古車掲載'!O1125&lt;=100000,'中古車掲載'!AL1125=1,'中古車掲載'!Z1125="https://www.one2car.com/en/cars-for-sale/toyota/corolla-cross/year-2023"),'中古車掲載'!U1125,"")</x:f>
      </x:c>
      <x:c r="BH1124" t="str">
        <x:f>IF(AND('中古車掲載'!C1125="One2car",'中古車掲載'!F1125="DOLPHIN",'中古車掲載'!L1125="STANDARD RANGE",'中古車掲載'!J1125=2023,ISNUMBER('中古車掲載'!N1125),'中古車掲載'!N1125&gt;=20000,'中古車掲載'!O1125&lt;=100000,'中古車掲載'!AL1125=1),'中古車掲載'!U1125,"")</x:f>
      </x:c>
      <x:c r="BI1124" t="str">
        <x:v>Taladrod|Yaris Cross|HEV|Unknown</x:v>
      </x:c>
      <x:c r="BJ1124" t="n">
        <x:v>1125</x:v>
      </x:c>
      <x:c r="BK1124" t="n">
        <x:f>'中古車掲載'!AM1125</x:f>
        <x:v>689000</x:v>
      </x:c>
      <x:c r="BL1124" t="str">
        <x:f>IF(ISNUMBER('中古車掲載'!AN1125),'中古車掲載'!AN1125,"")</x:f>
      </x:c>
    </x:row>
    <x:row r="1125">
      <x:c r="AZ1125" t="str">
        <x:f>IF(AND('中古車掲載'!C1126="One2car",'中古車掲載'!F1126="ATTO 3",'中古車掲載'!L1126="EXTENDED RANGE",'中古車掲載'!J1126=2023,ISNUMBER('中古車掲載'!N1126),'中古車掲載'!N1126&gt;=20000,'中古車掲載'!O1126&lt;=100000,'中古車掲載'!AL1126=1),'中古車掲載'!U1126,"")</x:f>
      </x:c>
      <x:c r="BA1125" t="str">
        <x:f>IF(AND('中古車掲載'!C1126="One2car",'中古車掲載'!F1126="Corolla Cross",'中古車掲載'!L1126="HEV PREMIUM SAFETY",'中古車掲載'!J1126=2023,ISNUMBER('中古車掲載'!N1126),'中古車掲載'!N1126&gt;=20000,'中古車掲載'!O1126&lt;=100000,'中古車掲載'!AL1126=1,'中古車掲載'!Z1126="https://www.one2car.com/en/cars-for-sale/toyota/corolla-cross/year-2023"),'中古車掲載'!U1126,"")</x:f>
      </x:c>
      <x:c r="BB1125" t="str">
        <x:f>IF(AND('中古車掲載'!C1126="One2car",'中古車掲載'!F1126="ATTO 3",'中古車掲載'!L1126="EXTENDED RANGE",'中古車掲載'!J1126=2023,ISNUMBER('中古車掲載'!N1126),'中古車掲載'!N1126&gt;=50000,'中古車掲載'!O1126&lt;=100000,'中古車掲載'!AL1126=1),'中古車掲載'!U1126,"")</x:f>
      </x:c>
      <x:c r="BC1125" t="str">
        <x:f>IF(AND('中古車掲載'!C1126="One2car",'中古車掲載'!F1126="Corolla Cross",'中古車掲載'!L1126="HEV PREMIUM SAFETY",'中古車掲載'!J1126=2023,ISNUMBER('中古車掲載'!N1126),'中古車掲載'!N1126&gt;=50000,'中古車掲載'!O1126&lt;=100000,'中古車掲載'!AL1126=1,'中古車掲載'!Z1126="https://www.one2car.com/en/cars-for-sale/toyota/corolla-cross/year-2023"),'中古車掲載'!U1126,"")</x:f>
      </x:c>
      <x:c r="BD1125" t="str">
        <x:f>IF(AND('中古車掲載'!C1126="One2car",'中古車掲載'!F1126="ATTO 3",'中古車掲載'!L1126="EXTENDED RANGE",'中古車掲載'!J1126=2023,ISNUMBER('中古車掲載'!N1126),'中古車掲載'!N1126&gt;=20000,'中古車掲載'!O1126&lt;=50000,'中古車掲載'!AL1126=1),'中古車掲載'!U1126,"")</x:f>
      </x:c>
      <x:c r="BE1125" t="str">
        <x:f>IF(AND('中古車掲載'!C1126="One2car",'中古車掲載'!F1126="Corolla Cross",'中古車掲載'!L1126="HEV PREMIUM SAFETY",'中古車掲載'!J1126=2023,ISNUMBER('中古車掲載'!N1126),'中古車掲載'!N1126&gt;=20000,'中古車掲載'!O1126&lt;=50000,'中古車掲載'!AL1126=1,'中古車掲載'!Z1126="https://www.one2car.com/en/cars-for-sale/toyota/corolla-cross/year-2023"),'中古車掲載'!U1126,"")</x:f>
      </x:c>
      <x:c r="BF1125" t="str">
        <x:f>IF(AND('中古車掲載'!C1126="One2car",'中古車掲載'!F1126="Corolla Cross",'中古車掲載'!L1126="HEV PREMIUM",'中古車掲載'!J1126=2023,ISNUMBER('中古車掲載'!N1126),'中古車掲載'!N1126&gt;=20000,'中古車掲載'!O1126&lt;=100000,'中古車掲載'!AL1126=1,'中古車掲載'!Z1126="https://www.one2car.com/en/cars-for-sale/toyota/corolla-cross/year-2023"),'中古車掲載'!U1126,"")</x:f>
      </x:c>
      <x:c r="BG1125" t="str">
        <x:f>IF(AND('中古車掲載'!C1126="One2car",'中古車掲載'!F1126="Corolla Cross",'中古車掲載'!L1126="HEV GR SPORT",'中古車掲載'!J1126=2023,ISNUMBER('中古車掲載'!N1126),'中古車掲載'!N1126&gt;=20000,'中古車掲載'!O1126&lt;=100000,'中古車掲載'!AL1126=1,'中古車掲載'!Z1126="https://www.one2car.com/en/cars-for-sale/toyota/corolla-cross/year-2023"),'中古車掲載'!U1126,"")</x:f>
      </x:c>
      <x:c r="BH1125" t="str">
        <x:f>IF(AND('中古車掲載'!C1126="One2car",'中古車掲載'!F1126="DOLPHIN",'中古車掲載'!L1126="STANDARD RANGE",'中古車掲載'!J1126=2023,ISNUMBER('中古車掲載'!N1126),'中古車掲載'!N1126&gt;=20000,'中古車掲載'!O1126&lt;=100000,'中古車掲載'!AL1126=1),'中古車掲載'!U1126,"")</x:f>
      </x:c>
      <x:c r="BI1125" t="str">
        <x:v>Taladrod|Yaris Cross|HEV|Unknown</x:v>
      </x:c>
      <x:c r="BJ1125" t="n">
        <x:v>1126</x:v>
      </x:c>
      <x:c r="BK1125" t="n">
        <x:f>'中古車掲載'!AM1126</x:f>
        <x:v>659000</x:v>
      </x:c>
      <x:c r="BL1125" t="str">
        <x:f>IF(ISNUMBER('中古車掲載'!AN1126),'中古車掲載'!AN1126,"")</x:f>
      </x:c>
    </x:row>
    <x:row r="1126">
      <x:c r="AZ1126" t="str">
        <x:f>IF(AND('中古車掲載'!C1127="One2car",'中古車掲載'!F1127="ATTO 3",'中古車掲載'!L1127="EXTENDED RANGE",'中古車掲載'!J1127=2023,ISNUMBER('中古車掲載'!N1127),'中古車掲載'!N1127&gt;=20000,'中古車掲載'!O1127&lt;=100000,'中古車掲載'!AL1127=1),'中古車掲載'!U1127,"")</x:f>
      </x:c>
      <x:c r="BA1126" t="str">
        <x:f>IF(AND('中古車掲載'!C1127="One2car",'中古車掲載'!F1127="Corolla Cross",'中古車掲載'!L1127="HEV PREMIUM SAFETY",'中古車掲載'!J1127=2023,ISNUMBER('中古車掲載'!N1127),'中古車掲載'!N1127&gt;=20000,'中古車掲載'!O1127&lt;=100000,'中古車掲載'!AL1127=1,'中古車掲載'!Z1127="https://www.one2car.com/en/cars-for-sale/toyota/corolla-cross/year-2023"),'中古車掲載'!U1127,"")</x:f>
      </x:c>
      <x:c r="BB1126" t="str">
        <x:f>IF(AND('中古車掲載'!C1127="One2car",'中古車掲載'!F1127="ATTO 3",'中古車掲載'!L1127="EXTENDED RANGE",'中古車掲載'!J1127=2023,ISNUMBER('中古車掲載'!N1127),'中古車掲載'!N1127&gt;=50000,'中古車掲載'!O1127&lt;=100000,'中古車掲載'!AL1127=1),'中古車掲載'!U1127,"")</x:f>
      </x:c>
      <x:c r="BC1126" t="str">
        <x:f>IF(AND('中古車掲載'!C1127="One2car",'中古車掲載'!F1127="Corolla Cross",'中古車掲載'!L1127="HEV PREMIUM SAFETY",'中古車掲載'!J1127=2023,ISNUMBER('中古車掲載'!N1127),'中古車掲載'!N1127&gt;=50000,'中古車掲載'!O1127&lt;=100000,'中古車掲載'!AL1127=1,'中古車掲載'!Z1127="https://www.one2car.com/en/cars-for-sale/toyota/corolla-cross/year-2023"),'中古車掲載'!U1127,"")</x:f>
      </x:c>
      <x:c r="BD1126" t="str">
        <x:f>IF(AND('中古車掲載'!C1127="One2car",'中古車掲載'!F1127="ATTO 3",'中古車掲載'!L1127="EXTENDED RANGE",'中古車掲載'!J1127=2023,ISNUMBER('中古車掲載'!N1127),'中古車掲載'!N1127&gt;=20000,'中古車掲載'!O1127&lt;=50000,'中古車掲載'!AL1127=1),'中古車掲載'!U1127,"")</x:f>
      </x:c>
      <x:c r="BE1126" t="str">
        <x:f>IF(AND('中古車掲載'!C1127="One2car",'中古車掲載'!F1127="Corolla Cross",'中古車掲載'!L1127="HEV PREMIUM SAFETY",'中古車掲載'!J1127=2023,ISNUMBER('中古車掲載'!N1127),'中古車掲載'!N1127&gt;=20000,'中古車掲載'!O1127&lt;=50000,'中古車掲載'!AL1127=1,'中古車掲載'!Z1127="https://www.one2car.com/en/cars-for-sale/toyota/corolla-cross/year-2023"),'中古車掲載'!U1127,"")</x:f>
      </x:c>
      <x:c r="BF1126" t="str">
        <x:f>IF(AND('中古車掲載'!C1127="One2car",'中古車掲載'!F1127="Corolla Cross",'中古車掲載'!L1127="HEV PREMIUM",'中古車掲載'!J1127=2023,ISNUMBER('中古車掲載'!N1127),'中古車掲載'!N1127&gt;=20000,'中古車掲載'!O1127&lt;=100000,'中古車掲載'!AL1127=1,'中古車掲載'!Z1127="https://www.one2car.com/en/cars-for-sale/toyota/corolla-cross/year-2023"),'中古車掲載'!U1127,"")</x:f>
      </x:c>
      <x:c r="BG1126" t="str">
        <x:f>IF(AND('中古車掲載'!C1127="One2car",'中古車掲載'!F1127="Corolla Cross",'中古車掲載'!L1127="HEV GR SPORT",'中古車掲載'!J1127=2023,ISNUMBER('中古車掲載'!N1127),'中古車掲載'!N1127&gt;=20000,'中古車掲載'!O1127&lt;=100000,'中古車掲載'!AL1127=1,'中古車掲載'!Z1127="https://www.one2car.com/en/cars-for-sale/toyota/corolla-cross/year-2023"),'中古車掲載'!U1127,"")</x:f>
      </x:c>
      <x:c r="BH1126" t="str">
        <x:f>IF(AND('中古車掲載'!C1127="One2car",'中古車掲載'!F1127="DOLPHIN",'中古車掲載'!L1127="STANDARD RANGE",'中古車掲載'!J1127=2023,ISNUMBER('中古車掲載'!N1127),'中古車掲載'!N1127&gt;=20000,'中古車掲載'!O1127&lt;=100000,'中古車掲載'!AL1127=1),'中古車掲載'!U1127,"")</x:f>
      </x:c>
      <x:c r="BI1126" t="str">
        <x:v>Taladrod|Yaris Cross|HEV|Unknown</x:v>
      </x:c>
      <x:c r="BJ1126" t="n">
        <x:v>1127</x:v>
      </x:c>
      <x:c r="BK1126" t="n">
        <x:f>'中古車掲載'!AM1127</x:f>
        <x:v>674000</x:v>
      </x:c>
      <x:c r="BL1126" t="str">
        <x:f>IF(ISNUMBER('中古車掲載'!AN1127),'中古車掲載'!AN1127,"")</x:f>
      </x:c>
    </x:row>
    <x:row r="1127">
      <x:c r="AZ1127" t="str">
        <x:f>IF(AND('中古車掲載'!C1128="One2car",'中古車掲載'!F1128="ATTO 3",'中古車掲載'!L1128="EXTENDED RANGE",'中古車掲載'!J1128=2023,ISNUMBER('中古車掲載'!N1128),'中古車掲載'!N1128&gt;=20000,'中古車掲載'!O1128&lt;=100000,'中古車掲載'!AL1128=1),'中古車掲載'!U1128,"")</x:f>
      </x:c>
      <x:c r="BA1127" t="str">
        <x:f>IF(AND('中古車掲載'!C1128="One2car",'中古車掲載'!F1128="Corolla Cross",'中古車掲載'!L1128="HEV PREMIUM SAFETY",'中古車掲載'!J1128=2023,ISNUMBER('中古車掲載'!N1128),'中古車掲載'!N1128&gt;=20000,'中古車掲載'!O1128&lt;=100000,'中古車掲載'!AL1128=1,'中古車掲載'!Z1128="https://www.one2car.com/en/cars-for-sale/toyota/corolla-cross/year-2023"),'中古車掲載'!U1128,"")</x:f>
      </x:c>
      <x:c r="BB1127" t="str">
        <x:f>IF(AND('中古車掲載'!C1128="One2car",'中古車掲載'!F1128="ATTO 3",'中古車掲載'!L1128="EXTENDED RANGE",'中古車掲載'!J1128=2023,ISNUMBER('中古車掲載'!N1128),'中古車掲載'!N1128&gt;=50000,'中古車掲載'!O1128&lt;=100000,'中古車掲載'!AL1128=1),'中古車掲載'!U1128,"")</x:f>
      </x:c>
      <x:c r="BC1127" t="str">
        <x:f>IF(AND('中古車掲載'!C1128="One2car",'中古車掲載'!F1128="Corolla Cross",'中古車掲載'!L1128="HEV PREMIUM SAFETY",'中古車掲載'!J1128=2023,ISNUMBER('中古車掲載'!N1128),'中古車掲載'!N1128&gt;=50000,'中古車掲載'!O1128&lt;=100000,'中古車掲載'!AL1128=1,'中古車掲載'!Z1128="https://www.one2car.com/en/cars-for-sale/toyota/corolla-cross/year-2023"),'中古車掲載'!U1128,"")</x:f>
      </x:c>
      <x:c r="BD1127" t="str">
        <x:f>IF(AND('中古車掲載'!C1128="One2car",'中古車掲載'!F1128="ATTO 3",'中古車掲載'!L1128="EXTENDED RANGE",'中古車掲載'!J1128=2023,ISNUMBER('中古車掲載'!N1128),'中古車掲載'!N1128&gt;=20000,'中古車掲載'!O1128&lt;=50000,'中古車掲載'!AL1128=1),'中古車掲載'!U1128,"")</x:f>
      </x:c>
      <x:c r="BE1127" t="str">
        <x:f>IF(AND('中古車掲載'!C1128="One2car",'中古車掲載'!F1128="Corolla Cross",'中古車掲載'!L1128="HEV PREMIUM SAFETY",'中古車掲載'!J1128=2023,ISNUMBER('中古車掲載'!N1128),'中古車掲載'!N1128&gt;=20000,'中古車掲載'!O1128&lt;=50000,'中古車掲載'!AL1128=1,'中古車掲載'!Z1128="https://www.one2car.com/en/cars-for-sale/toyota/corolla-cross/year-2023"),'中古車掲載'!U1128,"")</x:f>
      </x:c>
      <x:c r="BF1127" t="str">
        <x:f>IF(AND('中古車掲載'!C1128="One2car",'中古車掲載'!F1128="Corolla Cross",'中古車掲載'!L1128="HEV PREMIUM",'中古車掲載'!J1128=2023,ISNUMBER('中古車掲載'!N1128),'中古車掲載'!N1128&gt;=20000,'中古車掲載'!O1128&lt;=100000,'中古車掲載'!AL1128=1,'中古車掲載'!Z1128="https://www.one2car.com/en/cars-for-sale/toyota/corolla-cross/year-2023"),'中古車掲載'!U1128,"")</x:f>
      </x:c>
      <x:c r="BG1127" t="str">
        <x:f>IF(AND('中古車掲載'!C1128="One2car",'中古車掲載'!F1128="Corolla Cross",'中古車掲載'!L1128="HEV GR SPORT",'中古車掲載'!J1128=2023,ISNUMBER('中古車掲載'!N1128),'中古車掲載'!N1128&gt;=20000,'中古車掲載'!O1128&lt;=100000,'中古車掲載'!AL1128=1,'中古車掲載'!Z1128="https://www.one2car.com/en/cars-for-sale/toyota/corolla-cross/year-2023"),'中古車掲載'!U1128,"")</x:f>
      </x:c>
      <x:c r="BH1127" t="str">
        <x:f>IF(AND('中古車掲載'!C1128="One2car",'中古車掲載'!F1128="DOLPHIN",'中古車掲載'!L1128="STANDARD RANGE",'中古車掲載'!J1128=2023,ISNUMBER('中古車掲載'!N1128),'中古車掲載'!N1128&gt;=20000,'中古車掲載'!O1128&lt;=100000,'中古車掲載'!AL1128=1),'中古車掲載'!U1128,"")</x:f>
      </x:c>
      <x:c r="BI1127" t="str">
        <x:v>Taladrod|Yaris Cross|HEV|Unknown</x:v>
      </x:c>
      <x:c r="BJ1127" t="n">
        <x:v>1128</x:v>
      </x:c>
      <x:c r="BK1127" t="n">
        <x:f>'中古車掲載'!AM1128</x:f>
        <x:v>669000</x:v>
      </x:c>
      <x:c r="BL1127" t="str">
        <x:f>IF(ISNUMBER('中古車掲載'!AN1128),'中古車掲載'!AN1128,"")</x:f>
      </x:c>
    </x:row>
    <x:row r="1128">
      <x:c r="AZ1128" t="str">
        <x:f>IF(AND('中古車掲載'!C1129="One2car",'中古車掲載'!F1129="ATTO 3",'中古車掲載'!L1129="EXTENDED RANGE",'中古車掲載'!J1129=2023,ISNUMBER('中古車掲載'!N1129),'中古車掲載'!N1129&gt;=20000,'中古車掲載'!O1129&lt;=100000,'中古車掲載'!AL1129=1),'中古車掲載'!U1129,"")</x:f>
      </x:c>
      <x:c r="BA1128" t="str">
        <x:f>IF(AND('中古車掲載'!C1129="One2car",'中古車掲載'!F1129="Corolla Cross",'中古車掲載'!L1129="HEV PREMIUM SAFETY",'中古車掲載'!J1129=2023,ISNUMBER('中古車掲載'!N1129),'中古車掲載'!N1129&gt;=20000,'中古車掲載'!O1129&lt;=100000,'中古車掲載'!AL1129=1,'中古車掲載'!Z1129="https://www.one2car.com/en/cars-for-sale/toyota/corolla-cross/year-2023"),'中古車掲載'!U1129,"")</x:f>
      </x:c>
      <x:c r="BB1128" t="str">
        <x:f>IF(AND('中古車掲載'!C1129="One2car",'中古車掲載'!F1129="ATTO 3",'中古車掲載'!L1129="EXTENDED RANGE",'中古車掲載'!J1129=2023,ISNUMBER('中古車掲載'!N1129),'中古車掲載'!N1129&gt;=50000,'中古車掲載'!O1129&lt;=100000,'中古車掲載'!AL1129=1),'中古車掲載'!U1129,"")</x:f>
      </x:c>
      <x:c r="BC1128" t="str">
        <x:f>IF(AND('中古車掲載'!C1129="One2car",'中古車掲載'!F1129="Corolla Cross",'中古車掲載'!L1129="HEV PREMIUM SAFETY",'中古車掲載'!J1129=2023,ISNUMBER('中古車掲載'!N1129),'中古車掲載'!N1129&gt;=50000,'中古車掲載'!O1129&lt;=100000,'中古車掲載'!AL1129=1,'中古車掲載'!Z1129="https://www.one2car.com/en/cars-for-sale/toyota/corolla-cross/year-2023"),'中古車掲載'!U1129,"")</x:f>
      </x:c>
      <x:c r="BD1128" t="str">
        <x:f>IF(AND('中古車掲載'!C1129="One2car",'中古車掲載'!F1129="ATTO 3",'中古車掲載'!L1129="EXTENDED RANGE",'中古車掲載'!J1129=2023,ISNUMBER('中古車掲載'!N1129),'中古車掲載'!N1129&gt;=20000,'中古車掲載'!O1129&lt;=50000,'中古車掲載'!AL1129=1),'中古車掲載'!U1129,"")</x:f>
      </x:c>
      <x:c r="BE1128" t="str">
        <x:f>IF(AND('中古車掲載'!C1129="One2car",'中古車掲載'!F1129="Corolla Cross",'中古車掲載'!L1129="HEV PREMIUM SAFETY",'中古車掲載'!J1129=2023,ISNUMBER('中古車掲載'!N1129),'中古車掲載'!N1129&gt;=20000,'中古車掲載'!O1129&lt;=50000,'中古車掲載'!AL1129=1,'中古車掲載'!Z1129="https://www.one2car.com/en/cars-for-sale/toyota/corolla-cross/year-2023"),'中古車掲載'!U1129,"")</x:f>
      </x:c>
      <x:c r="BF1128" t="str">
        <x:f>IF(AND('中古車掲載'!C1129="One2car",'中古車掲載'!F1129="Corolla Cross",'中古車掲載'!L1129="HEV PREMIUM",'中古車掲載'!J1129=2023,ISNUMBER('中古車掲載'!N1129),'中古車掲載'!N1129&gt;=20000,'中古車掲載'!O1129&lt;=100000,'中古車掲載'!AL1129=1,'中古車掲載'!Z1129="https://www.one2car.com/en/cars-for-sale/toyota/corolla-cross/year-2023"),'中古車掲載'!U1129,"")</x:f>
      </x:c>
      <x:c r="BG1128" t="str">
        <x:f>IF(AND('中古車掲載'!C1129="One2car",'中古車掲載'!F1129="Corolla Cross",'中古車掲載'!L1129="HEV GR SPORT",'中古車掲載'!J1129=2023,ISNUMBER('中古車掲載'!N1129),'中古車掲載'!N1129&gt;=20000,'中古車掲載'!O1129&lt;=100000,'中古車掲載'!AL1129=1,'中古車掲載'!Z1129="https://www.one2car.com/en/cars-for-sale/toyota/corolla-cross/year-2023"),'中古車掲載'!U1129,"")</x:f>
      </x:c>
      <x:c r="BH1128" t="str">
        <x:f>IF(AND('中古車掲載'!C1129="One2car",'中古車掲載'!F1129="DOLPHIN",'中古車掲載'!L1129="STANDARD RANGE",'中古車掲載'!J1129=2023,ISNUMBER('中古車掲載'!N1129),'中古車掲載'!N1129&gt;=20000,'中古車掲載'!O1129&lt;=100000,'中古車掲載'!AL1129=1),'中古車掲載'!U1129,"")</x:f>
      </x:c>
      <x:c r="BI1128" t="str">
        <x:v>Taladrod|Yaris Cross|HEV|Unknown</x:v>
      </x:c>
      <x:c r="BJ1128" t="n">
        <x:v>1129</x:v>
      </x:c>
      <x:c r="BK1128" t="n">
        <x:f>'中古車掲載'!AM1129</x:f>
        <x:v>599000</x:v>
      </x:c>
      <x:c r="BL1128" t="str">
        <x:f>IF(ISNUMBER('中古車掲載'!AN1129),'中古車掲載'!AN1129,"")</x:f>
      </x:c>
    </x:row>
    <x:row r="1129">
      <x:c r="AZ1129" t="str">
        <x:f>IF(AND('中古車掲載'!C1130="One2car",'中古車掲載'!F1130="ATTO 3",'中古車掲載'!L1130="EXTENDED RANGE",'中古車掲載'!J1130=2023,ISNUMBER('中古車掲載'!N1130),'中古車掲載'!N1130&gt;=20000,'中古車掲載'!O1130&lt;=100000,'中古車掲載'!AL1130=1),'中古車掲載'!U1130,"")</x:f>
      </x:c>
      <x:c r="BA1129" t="str">
        <x:f>IF(AND('中古車掲載'!C1130="One2car",'中古車掲載'!F1130="Corolla Cross",'中古車掲載'!L1130="HEV PREMIUM SAFETY",'中古車掲載'!J1130=2023,ISNUMBER('中古車掲載'!N1130),'中古車掲載'!N1130&gt;=20000,'中古車掲載'!O1130&lt;=100000,'中古車掲載'!AL1130=1,'中古車掲載'!Z1130="https://www.one2car.com/en/cars-for-sale/toyota/corolla-cross/year-2023"),'中古車掲載'!U1130,"")</x:f>
      </x:c>
      <x:c r="BB1129" t="str">
        <x:f>IF(AND('中古車掲載'!C1130="One2car",'中古車掲載'!F1130="ATTO 3",'中古車掲載'!L1130="EXTENDED RANGE",'中古車掲載'!J1130=2023,ISNUMBER('中古車掲載'!N1130),'中古車掲載'!N1130&gt;=50000,'中古車掲載'!O1130&lt;=100000,'中古車掲載'!AL1130=1),'中古車掲載'!U1130,"")</x:f>
      </x:c>
      <x:c r="BC1129" t="str">
        <x:f>IF(AND('中古車掲載'!C1130="One2car",'中古車掲載'!F1130="Corolla Cross",'中古車掲載'!L1130="HEV PREMIUM SAFETY",'中古車掲載'!J1130=2023,ISNUMBER('中古車掲載'!N1130),'中古車掲載'!N1130&gt;=50000,'中古車掲載'!O1130&lt;=100000,'中古車掲載'!AL1130=1,'中古車掲載'!Z1130="https://www.one2car.com/en/cars-for-sale/toyota/corolla-cross/year-2023"),'中古車掲載'!U1130,"")</x:f>
      </x:c>
      <x:c r="BD1129" t="str">
        <x:f>IF(AND('中古車掲載'!C1130="One2car",'中古車掲載'!F1130="ATTO 3",'中古車掲載'!L1130="EXTENDED RANGE",'中古車掲載'!J1130=2023,ISNUMBER('中古車掲載'!N1130),'中古車掲載'!N1130&gt;=20000,'中古車掲載'!O1130&lt;=50000,'中古車掲載'!AL1130=1),'中古車掲載'!U1130,"")</x:f>
      </x:c>
      <x:c r="BE1129" t="str">
        <x:f>IF(AND('中古車掲載'!C1130="One2car",'中古車掲載'!F1130="Corolla Cross",'中古車掲載'!L1130="HEV PREMIUM SAFETY",'中古車掲載'!J1130=2023,ISNUMBER('中古車掲載'!N1130),'中古車掲載'!N1130&gt;=20000,'中古車掲載'!O1130&lt;=50000,'中古車掲載'!AL1130=1,'中古車掲載'!Z1130="https://www.one2car.com/en/cars-for-sale/toyota/corolla-cross/year-2023"),'中古車掲載'!U1130,"")</x:f>
      </x:c>
      <x:c r="BF1129" t="str">
        <x:f>IF(AND('中古車掲載'!C1130="One2car",'中古車掲載'!F1130="Corolla Cross",'中古車掲載'!L1130="HEV PREMIUM",'中古車掲載'!J1130=2023,ISNUMBER('中古車掲載'!N1130),'中古車掲載'!N1130&gt;=20000,'中古車掲載'!O1130&lt;=100000,'中古車掲載'!AL1130=1,'中古車掲載'!Z1130="https://www.one2car.com/en/cars-for-sale/toyota/corolla-cross/year-2023"),'中古車掲載'!U1130,"")</x:f>
      </x:c>
      <x:c r="BG1129" t="str">
        <x:f>IF(AND('中古車掲載'!C1130="One2car",'中古車掲載'!F1130="Corolla Cross",'中古車掲載'!L1130="HEV GR SPORT",'中古車掲載'!J1130=2023,ISNUMBER('中古車掲載'!N1130),'中古車掲載'!N1130&gt;=20000,'中古車掲載'!O1130&lt;=100000,'中古車掲載'!AL1130=1,'中古車掲載'!Z1130="https://www.one2car.com/en/cars-for-sale/toyota/corolla-cross/year-2023"),'中古車掲載'!U1130,"")</x:f>
      </x:c>
      <x:c r="BH1129" t="str">
        <x:f>IF(AND('中古車掲載'!C1130="One2car",'中古車掲載'!F1130="DOLPHIN",'中古車掲載'!L1130="STANDARD RANGE",'中古車掲載'!J1130=2023,ISNUMBER('中古車掲載'!N1130),'中古車掲載'!N1130&gt;=20000,'中古車掲載'!O1130&lt;=100000,'中古車掲載'!AL1130=1),'中古車掲載'!U1130,"")</x:f>
      </x:c>
      <x:c r="BI1129" t="str">
        <x:v>Taladrod|Yaris Cross|HEV|Unknown</x:v>
      </x:c>
      <x:c r="BJ1129" t="n">
        <x:v>1130</x:v>
      </x:c>
      <x:c r="BK1129" t="n">
        <x:f>'中古車掲載'!AM1130</x:f>
        <x:v>674000</x:v>
      </x:c>
      <x:c r="BL1129" t="str">
        <x:f>IF(ISNUMBER('中古車掲載'!AN1130),'中古車掲載'!AN1130,"")</x:f>
      </x:c>
    </x:row>
    <x:row r="1130">
      <x:c r="AZ1130" t="str">
        <x:f>IF(AND('中古車掲載'!C1131="One2car",'中古車掲載'!F1131="ATTO 3",'中古車掲載'!L1131="EXTENDED RANGE",'中古車掲載'!J1131=2023,ISNUMBER('中古車掲載'!N1131),'中古車掲載'!N1131&gt;=20000,'中古車掲載'!O1131&lt;=100000,'中古車掲載'!AL1131=1),'中古車掲載'!U1131,"")</x:f>
      </x:c>
      <x:c r="BA1130" t="str">
        <x:f>IF(AND('中古車掲載'!C1131="One2car",'中古車掲載'!F1131="Corolla Cross",'中古車掲載'!L1131="HEV PREMIUM SAFETY",'中古車掲載'!J1131=2023,ISNUMBER('中古車掲載'!N1131),'中古車掲載'!N1131&gt;=20000,'中古車掲載'!O1131&lt;=100000,'中古車掲載'!AL1131=1,'中古車掲載'!Z1131="https://www.one2car.com/en/cars-for-sale/toyota/corolla-cross/year-2023"),'中古車掲載'!U1131,"")</x:f>
      </x:c>
      <x:c r="BB1130" t="str">
        <x:f>IF(AND('中古車掲載'!C1131="One2car",'中古車掲載'!F1131="ATTO 3",'中古車掲載'!L1131="EXTENDED RANGE",'中古車掲載'!J1131=2023,ISNUMBER('中古車掲載'!N1131),'中古車掲載'!N1131&gt;=50000,'中古車掲載'!O1131&lt;=100000,'中古車掲載'!AL1131=1),'中古車掲載'!U1131,"")</x:f>
      </x:c>
      <x:c r="BC1130" t="str">
        <x:f>IF(AND('中古車掲載'!C1131="One2car",'中古車掲載'!F1131="Corolla Cross",'中古車掲載'!L1131="HEV PREMIUM SAFETY",'中古車掲載'!J1131=2023,ISNUMBER('中古車掲載'!N1131),'中古車掲載'!N1131&gt;=50000,'中古車掲載'!O1131&lt;=100000,'中古車掲載'!AL1131=1,'中古車掲載'!Z1131="https://www.one2car.com/en/cars-for-sale/toyota/corolla-cross/year-2023"),'中古車掲載'!U1131,"")</x:f>
      </x:c>
      <x:c r="BD1130" t="str">
        <x:f>IF(AND('中古車掲載'!C1131="One2car",'中古車掲載'!F1131="ATTO 3",'中古車掲載'!L1131="EXTENDED RANGE",'中古車掲載'!J1131=2023,ISNUMBER('中古車掲載'!N1131),'中古車掲載'!N1131&gt;=20000,'中古車掲載'!O1131&lt;=50000,'中古車掲載'!AL1131=1),'中古車掲載'!U1131,"")</x:f>
      </x:c>
      <x:c r="BE1130" t="str">
        <x:f>IF(AND('中古車掲載'!C1131="One2car",'中古車掲載'!F1131="Corolla Cross",'中古車掲載'!L1131="HEV PREMIUM SAFETY",'中古車掲載'!J1131=2023,ISNUMBER('中古車掲載'!N1131),'中古車掲載'!N1131&gt;=20000,'中古車掲載'!O1131&lt;=50000,'中古車掲載'!AL1131=1,'中古車掲載'!Z1131="https://www.one2car.com/en/cars-for-sale/toyota/corolla-cross/year-2023"),'中古車掲載'!U1131,"")</x:f>
      </x:c>
      <x:c r="BF1130" t="str">
        <x:f>IF(AND('中古車掲載'!C1131="One2car",'中古車掲載'!F1131="Corolla Cross",'中古車掲載'!L1131="HEV PREMIUM",'中古車掲載'!J1131=2023,ISNUMBER('中古車掲載'!N1131),'中古車掲載'!N1131&gt;=20000,'中古車掲載'!O1131&lt;=100000,'中古車掲載'!AL1131=1,'中古車掲載'!Z1131="https://www.one2car.com/en/cars-for-sale/toyota/corolla-cross/year-2023"),'中古車掲載'!U1131,"")</x:f>
      </x:c>
      <x:c r="BG1130" t="str">
        <x:f>IF(AND('中古車掲載'!C1131="One2car",'中古車掲載'!F1131="Corolla Cross",'中古車掲載'!L1131="HEV GR SPORT",'中古車掲載'!J1131=2023,ISNUMBER('中古車掲載'!N1131),'中古車掲載'!N1131&gt;=20000,'中古車掲載'!O1131&lt;=100000,'中古車掲載'!AL1131=1,'中古車掲載'!Z1131="https://www.one2car.com/en/cars-for-sale/toyota/corolla-cross/year-2023"),'中古車掲載'!U1131,"")</x:f>
      </x:c>
      <x:c r="BH1130" t="str">
        <x:f>IF(AND('中古車掲載'!C1131="One2car",'中古車掲載'!F1131="DOLPHIN",'中古車掲載'!L1131="STANDARD RANGE",'中古車掲載'!J1131=2023,ISNUMBER('中古車掲載'!N1131),'中古車掲載'!N1131&gt;=20000,'中古車掲載'!O1131&lt;=100000,'中古車掲載'!AL1131=1),'中古車掲載'!U1131,"")</x:f>
      </x:c>
      <x:c r="BI1130" t="str">
        <x:v>Taladrod|Yaris Cross|HEV|Unknown</x:v>
      </x:c>
      <x:c r="BJ1130" t="n">
        <x:v>1131</x:v>
      </x:c>
      <x:c r="BK1130" t="n">
        <x:f>'中古車掲載'!AM1131</x:f>
        <x:v>745000</x:v>
      </x:c>
      <x:c r="BL1130" t="str">
        <x:f>IF(ISNUMBER('中古車掲載'!AN1131),'中古車掲載'!AN1131,"")</x:f>
      </x:c>
    </x:row>
    <x:row r="1131">
      <x:c r="AZ1131" t="str">
        <x:f>IF(AND('中古車掲載'!C1132="One2car",'中古車掲載'!F1132="ATTO 3",'中古車掲載'!L1132="EXTENDED RANGE",'中古車掲載'!J1132=2023,ISNUMBER('中古車掲載'!N1132),'中古車掲載'!N1132&gt;=20000,'中古車掲載'!O1132&lt;=100000,'中古車掲載'!AL1132=1),'中古車掲載'!U1132,"")</x:f>
      </x:c>
      <x:c r="BA1131" t="str">
        <x:f>IF(AND('中古車掲載'!C1132="One2car",'中古車掲載'!F1132="Corolla Cross",'中古車掲載'!L1132="HEV PREMIUM SAFETY",'中古車掲載'!J1132=2023,ISNUMBER('中古車掲載'!N1132),'中古車掲載'!N1132&gt;=20000,'中古車掲載'!O1132&lt;=100000,'中古車掲載'!AL1132=1,'中古車掲載'!Z1132="https://www.one2car.com/en/cars-for-sale/toyota/corolla-cross/year-2023"),'中古車掲載'!U1132,"")</x:f>
      </x:c>
      <x:c r="BB1131" t="str">
        <x:f>IF(AND('中古車掲載'!C1132="One2car",'中古車掲載'!F1132="ATTO 3",'中古車掲載'!L1132="EXTENDED RANGE",'中古車掲載'!J1132=2023,ISNUMBER('中古車掲載'!N1132),'中古車掲載'!N1132&gt;=50000,'中古車掲載'!O1132&lt;=100000,'中古車掲載'!AL1132=1),'中古車掲載'!U1132,"")</x:f>
      </x:c>
      <x:c r="BC1131" t="str">
        <x:f>IF(AND('中古車掲載'!C1132="One2car",'中古車掲載'!F1132="Corolla Cross",'中古車掲載'!L1132="HEV PREMIUM SAFETY",'中古車掲載'!J1132=2023,ISNUMBER('中古車掲載'!N1132),'中古車掲載'!N1132&gt;=50000,'中古車掲載'!O1132&lt;=100000,'中古車掲載'!AL1132=1,'中古車掲載'!Z1132="https://www.one2car.com/en/cars-for-sale/toyota/corolla-cross/year-2023"),'中古車掲載'!U1132,"")</x:f>
      </x:c>
      <x:c r="BD1131" t="str">
        <x:f>IF(AND('中古車掲載'!C1132="One2car",'中古車掲載'!F1132="ATTO 3",'中古車掲載'!L1132="EXTENDED RANGE",'中古車掲載'!J1132=2023,ISNUMBER('中古車掲載'!N1132),'中古車掲載'!N1132&gt;=20000,'中古車掲載'!O1132&lt;=50000,'中古車掲載'!AL1132=1),'中古車掲載'!U1132,"")</x:f>
      </x:c>
      <x:c r="BE1131" t="str">
        <x:f>IF(AND('中古車掲載'!C1132="One2car",'中古車掲載'!F1132="Corolla Cross",'中古車掲載'!L1132="HEV PREMIUM SAFETY",'中古車掲載'!J1132=2023,ISNUMBER('中古車掲載'!N1132),'中古車掲載'!N1132&gt;=20000,'中古車掲載'!O1132&lt;=50000,'中古車掲載'!AL1132=1,'中古車掲載'!Z1132="https://www.one2car.com/en/cars-for-sale/toyota/corolla-cross/year-2023"),'中古車掲載'!U1132,"")</x:f>
      </x:c>
      <x:c r="BF1131" t="str">
        <x:f>IF(AND('中古車掲載'!C1132="One2car",'中古車掲載'!F1132="Corolla Cross",'中古車掲載'!L1132="HEV PREMIUM",'中古車掲載'!J1132=2023,ISNUMBER('中古車掲載'!N1132),'中古車掲載'!N1132&gt;=20000,'中古車掲載'!O1132&lt;=100000,'中古車掲載'!AL1132=1,'中古車掲載'!Z1132="https://www.one2car.com/en/cars-for-sale/toyota/corolla-cross/year-2023"),'中古車掲載'!U1132,"")</x:f>
      </x:c>
      <x:c r="BG1131" t="str">
        <x:f>IF(AND('中古車掲載'!C1132="One2car",'中古車掲載'!F1132="Corolla Cross",'中古車掲載'!L1132="HEV GR SPORT",'中古車掲載'!J1132=2023,ISNUMBER('中古車掲載'!N1132),'中古車掲載'!N1132&gt;=20000,'中古車掲載'!O1132&lt;=100000,'中古車掲載'!AL1132=1,'中古車掲載'!Z1132="https://www.one2car.com/en/cars-for-sale/toyota/corolla-cross/year-2023"),'中古車掲載'!U1132,"")</x:f>
      </x:c>
      <x:c r="BH1131" t="str">
        <x:f>IF(AND('中古車掲載'!C1132="One2car",'中古車掲載'!F1132="DOLPHIN",'中古車掲載'!L1132="STANDARD RANGE",'中古車掲載'!J1132=2023,ISNUMBER('中古車掲載'!N1132),'中古車掲載'!N1132&gt;=20000,'中古車掲載'!O1132&lt;=100000,'中古車掲載'!AL1132=1),'中古車掲載'!U1132,"")</x:f>
      </x:c>
      <x:c r="BI1131" t="str">
        <x:v>Taladrod|Yaris Cross|HEV|Unknown</x:v>
      </x:c>
      <x:c r="BJ1131" t="n">
        <x:v>1132</x:v>
      </x:c>
      <x:c r="BK1131" t="n">
        <x:f>'中古車掲載'!AM1132</x:f>
        <x:v>689000</x:v>
      </x:c>
      <x:c r="BL1131" t="str">
        <x:f>IF(ISNUMBER('中古車掲載'!AN1132),'中古車掲載'!AN1132,"")</x:f>
      </x:c>
    </x:row>
    <x:row r="1132">
      <x:c r="AZ1132" t="str">
        <x:f>IF(AND('中古車掲載'!C1133="One2car",'中古車掲載'!F1133="ATTO 3",'中古車掲載'!L1133="EXTENDED RANGE",'中古車掲載'!J1133=2023,ISNUMBER('中古車掲載'!N1133),'中古車掲載'!N1133&gt;=20000,'中古車掲載'!O1133&lt;=100000,'中古車掲載'!AL1133=1),'中古車掲載'!U1133,"")</x:f>
      </x:c>
      <x:c r="BA1132" t="str">
        <x:f>IF(AND('中古車掲載'!C1133="One2car",'中古車掲載'!F1133="Corolla Cross",'中古車掲載'!L1133="HEV PREMIUM SAFETY",'中古車掲載'!J1133=2023,ISNUMBER('中古車掲載'!N1133),'中古車掲載'!N1133&gt;=20000,'中古車掲載'!O1133&lt;=100000,'中古車掲載'!AL1133=1,'中古車掲載'!Z1133="https://www.one2car.com/en/cars-for-sale/toyota/corolla-cross/year-2023"),'中古車掲載'!U1133,"")</x:f>
      </x:c>
      <x:c r="BB1132" t="str">
        <x:f>IF(AND('中古車掲載'!C1133="One2car",'中古車掲載'!F1133="ATTO 3",'中古車掲載'!L1133="EXTENDED RANGE",'中古車掲載'!J1133=2023,ISNUMBER('中古車掲載'!N1133),'中古車掲載'!N1133&gt;=50000,'中古車掲載'!O1133&lt;=100000,'中古車掲載'!AL1133=1),'中古車掲載'!U1133,"")</x:f>
      </x:c>
      <x:c r="BC1132" t="str">
        <x:f>IF(AND('中古車掲載'!C1133="One2car",'中古車掲載'!F1133="Corolla Cross",'中古車掲載'!L1133="HEV PREMIUM SAFETY",'中古車掲載'!J1133=2023,ISNUMBER('中古車掲載'!N1133),'中古車掲載'!N1133&gt;=50000,'中古車掲載'!O1133&lt;=100000,'中古車掲載'!AL1133=1,'中古車掲載'!Z1133="https://www.one2car.com/en/cars-for-sale/toyota/corolla-cross/year-2023"),'中古車掲載'!U1133,"")</x:f>
      </x:c>
      <x:c r="BD1132" t="str">
        <x:f>IF(AND('中古車掲載'!C1133="One2car",'中古車掲載'!F1133="ATTO 3",'中古車掲載'!L1133="EXTENDED RANGE",'中古車掲載'!J1133=2023,ISNUMBER('中古車掲載'!N1133),'中古車掲載'!N1133&gt;=20000,'中古車掲載'!O1133&lt;=50000,'中古車掲載'!AL1133=1),'中古車掲載'!U1133,"")</x:f>
      </x:c>
      <x:c r="BE1132" t="str">
        <x:f>IF(AND('中古車掲載'!C1133="One2car",'中古車掲載'!F1133="Corolla Cross",'中古車掲載'!L1133="HEV PREMIUM SAFETY",'中古車掲載'!J1133=2023,ISNUMBER('中古車掲載'!N1133),'中古車掲載'!N1133&gt;=20000,'中古車掲載'!O1133&lt;=50000,'中古車掲載'!AL1133=1,'中古車掲載'!Z1133="https://www.one2car.com/en/cars-for-sale/toyota/corolla-cross/year-2023"),'中古車掲載'!U1133,"")</x:f>
      </x:c>
      <x:c r="BF1132" t="str">
        <x:f>IF(AND('中古車掲載'!C1133="One2car",'中古車掲載'!F1133="Corolla Cross",'中古車掲載'!L1133="HEV PREMIUM",'中古車掲載'!J1133=2023,ISNUMBER('中古車掲載'!N1133),'中古車掲載'!N1133&gt;=20000,'中古車掲載'!O1133&lt;=100000,'中古車掲載'!AL1133=1,'中古車掲載'!Z1133="https://www.one2car.com/en/cars-for-sale/toyota/corolla-cross/year-2023"),'中古車掲載'!U1133,"")</x:f>
      </x:c>
      <x:c r="BG1132" t="str">
        <x:f>IF(AND('中古車掲載'!C1133="One2car",'中古車掲載'!F1133="Corolla Cross",'中古車掲載'!L1133="HEV GR SPORT",'中古車掲載'!J1133=2023,ISNUMBER('中古車掲載'!N1133),'中古車掲載'!N1133&gt;=20000,'中古車掲載'!O1133&lt;=100000,'中古車掲載'!AL1133=1,'中古車掲載'!Z1133="https://www.one2car.com/en/cars-for-sale/toyota/corolla-cross/year-2023"),'中古車掲載'!U1133,"")</x:f>
      </x:c>
      <x:c r="BH1132" t="str">
        <x:f>IF(AND('中古車掲載'!C1133="One2car",'中古車掲載'!F1133="DOLPHIN",'中古車掲載'!L1133="STANDARD RANGE",'中古車掲載'!J1133=2023,ISNUMBER('中古車掲載'!N1133),'中古車掲載'!N1133&gt;=20000,'中古車掲載'!O1133&lt;=100000,'中古車掲載'!AL1133=1),'中古車掲載'!U1133,"")</x:f>
      </x:c>
      <x:c r="BI1132" t="str">
        <x:v>Taladrod|Yaris Cross|HEV|Unknown</x:v>
      </x:c>
      <x:c r="BJ1132" t="n">
        <x:v>1133</x:v>
      </x:c>
      <x:c r="BK1132" t="n">
        <x:f>'中古車掲載'!AM1133</x:f>
        <x:v>669000</x:v>
      </x:c>
      <x:c r="BL1132" t="str">
        <x:f>IF(ISNUMBER('中古車掲載'!AN1133),'中古車掲載'!AN1133,"")</x:f>
      </x:c>
    </x:row>
    <x:row r="1133">
      <x:c r="AZ1133" t="str">
        <x:f>IF(AND('中古車掲載'!C1134="One2car",'中古車掲載'!F1134="ATTO 3",'中古車掲載'!L1134="EXTENDED RANGE",'中古車掲載'!J1134=2023,ISNUMBER('中古車掲載'!N1134),'中古車掲載'!N1134&gt;=20000,'中古車掲載'!O1134&lt;=100000,'中古車掲載'!AL1134=1),'中古車掲載'!U1134,"")</x:f>
      </x:c>
      <x:c r="BA1133" t="str">
        <x:f>IF(AND('中古車掲載'!C1134="One2car",'中古車掲載'!F1134="Corolla Cross",'中古車掲載'!L1134="HEV PREMIUM SAFETY",'中古車掲載'!J1134=2023,ISNUMBER('中古車掲載'!N1134),'中古車掲載'!N1134&gt;=20000,'中古車掲載'!O1134&lt;=100000,'中古車掲載'!AL1134=1,'中古車掲載'!Z1134="https://www.one2car.com/en/cars-for-sale/toyota/corolla-cross/year-2023"),'中古車掲載'!U1134,"")</x:f>
      </x:c>
      <x:c r="BB1133" t="str">
        <x:f>IF(AND('中古車掲載'!C1134="One2car",'中古車掲載'!F1134="ATTO 3",'中古車掲載'!L1134="EXTENDED RANGE",'中古車掲載'!J1134=2023,ISNUMBER('中古車掲載'!N1134),'中古車掲載'!N1134&gt;=50000,'中古車掲載'!O1134&lt;=100000,'中古車掲載'!AL1134=1),'中古車掲載'!U1134,"")</x:f>
      </x:c>
      <x:c r="BC1133" t="str">
        <x:f>IF(AND('中古車掲載'!C1134="One2car",'中古車掲載'!F1134="Corolla Cross",'中古車掲載'!L1134="HEV PREMIUM SAFETY",'中古車掲載'!J1134=2023,ISNUMBER('中古車掲載'!N1134),'中古車掲載'!N1134&gt;=50000,'中古車掲載'!O1134&lt;=100000,'中古車掲載'!AL1134=1,'中古車掲載'!Z1134="https://www.one2car.com/en/cars-for-sale/toyota/corolla-cross/year-2023"),'中古車掲載'!U1134,"")</x:f>
      </x:c>
      <x:c r="BD1133" t="str">
        <x:f>IF(AND('中古車掲載'!C1134="One2car",'中古車掲載'!F1134="ATTO 3",'中古車掲載'!L1134="EXTENDED RANGE",'中古車掲載'!J1134=2023,ISNUMBER('中古車掲載'!N1134),'中古車掲載'!N1134&gt;=20000,'中古車掲載'!O1134&lt;=50000,'中古車掲載'!AL1134=1),'中古車掲載'!U1134,"")</x:f>
      </x:c>
      <x:c r="BE1133" t="str">
        <x:f>IF(AND('中古車掲載'!C1134="One2car",'中古車掲載'!F1134="Corolla Cross",'中古車掲載'!L1134="HEV PREMIUM SAFETY",'中古車掲載'!J1134=2023,ISNUMBER('中古車掲載'!N1134),'中古車掲載'!N1134&gt;=20000,'中古車掲載'!O1134&lt;=50000,'中古車掲載'!AL1134=1,'中古車掲載'!Z1134="https://www.one2car.com/en/cars-for-sale/toyota/corolla-cross/year-2023"),'中古車掲載'!U1134,"")</x:f>
      </x:c>
      <x:c r="BF1133" t="str">
        <x:f>IF(AND('中古車掲載'!C1134="One2car",'中古車掲載'!F1134="Corolla Cross",'中古車掲載'!L1134="HEV PREMIUM",'中古車掲載'!J1134=2023,ISNUMBER('中古車掲載'!N1134),'中古車掲載'!N1134&gt;=20000,'中古車掲載'!O1134&lt;=100000,'中古車掲載'!AL1134=1,'中古車掲載'!Z1134="https://www.one2car.com/en/cars-for-sale/toyota/corolla-cross/year-2023"),'中古車掲載'!U1134,"")</x:f>
      </x:c>
      <x:c r="BG1133" t="str">
        <x:f>IF(AND('中古車掲載'!C1134="One2car",'中古車掲載'!F1134="Corolla Cross",'中古車掲載'!L1134="HEV GR SPORT",'中古車掲載'!J1134=2023,ISNUMBER('中古車掲載'!N1134),'中古車掲載'!N1134&gt;=20000,'中古車掲載'!O1134&lt;=100000,'中古車掲載'!AL1134=1,'中古車掲載'!Z1134="https://www.one2car.com/en/cars-for-sale/toyota/corolla-cross/year-2023"),'中古車掲載'!U1134,"")</x:f>
      </x:c>
      <x:c r="BH1133" t="str">
        <x:f>IF(AND('中古車掲載'!C1134="One2car",'中古車掲載'!F1134="DOLPHIN",'中古車掲載'!L1134="STANDARD RANGE",'中古車掲載'!J1134=2023,ISNUMBER('中古車掲載'!N1134),'中古車掲載'!N1134&gt;=20000,'中古車掲載'!O1134&lt;=100000,'中古車掲載'!AL1134=1),'中古車掲載'!U1134,"")</x:f>
      </x:c>
      <x:c r="BI1133" t="str">
        <x:v>Taladrod|Yaris Cross|HEV|Unknown</x:v>
      </x:c>
      <x:c r="BJ1133" t="n">
        <x:v>1134</x:v>
      </x:c>
      <x:c r="BK1133" t="n">
        <x:f>'中古車掲載'!AM1134</x:f>
        <x:v>785000</x:v>
      </x:c>
      <x:c r="BL1133" t="str">
        <x:f>IF(ISNUMBER('中古車掲載'!AN1134),'中古車掲載'!AN1134,"")</x:f>
      </x:c>
    </x:row>
    <x:row r="1134">
      <x:c r="AZ1134" t="str">
        <x:f>IF(AND('中古車掲載'!C1135="One2car",'中古車掲載'!F1135="ATTO 3",'中古車掲載'!L1135="EXTENDED RANGE",'中古車掲載'!J1135=2023,ISNUMBER('中古車掲載'!N1135),'中古車掲載'!N1135&gt;=20000,'中古車掲載'!O1135&lt;=100000,'中古車掲載'!AL1135=1),'中古車掲載'!U1135,"")</x:f>
      </x:c>
      <x:c r="BA1134" t="str">
        <x:f>IF(AND('中古車掲載'!C1135="One2car",'中古車掲載'!F1135="Corolla Cross",'中古車掲載'!L1135="HEV PREMIUM SAFETY",'中古車掲載'!J1135=2023,ISNUMBER('中古車掲載'!N1135),'中古車掲載'!N1135&gt;=20000,'中古車掲載'!O1135&lt;=100000,'中古車掲載'!AL1135=1,'中古車掲載'!Z1135="https://www.one2car.com/en/cars-for-sale/toyota/corolla-cross/year-2023"),'中古車掲載'!U1135,"")</x:f>
      </x:c>
      <x:c r="BB1134" t="str">
        <x:f>IF(AND('中古車掲載'!C1135="One2car",'中古車掲載'!F1135="ATTO 3",'中古車掲載'!L1135="EXTENDED RANGE",'中古車掲載'!J1135=2023,ISNUMBER('中古車掲載'!N1135),'中古車掲載'!N1135&gt;=50000,'中古車掲載'!O1135&lt;=100000,'中古車掲載'!AL1135=1),'中古車掲載'!U1135,"")</x:f>
      </x:c>
      <x:c r="BC1134" t="str">
        <x:f>IF(AND('中古車掲載'!C1135="One2car",'中古車掲載'!F1135="Corolla Cross",'中古車掲載'!L1135="HEV PREMIUM SAFETY",'中古車掲載'!J1135=2023,ISNUMBER('中古車掲載'!N1135),'中古車掲載'!N1135&gt;=50000,'中古車掲載'!O1135&lt;=100000,'中古車掲載'!AL1135=1,'中古車掲載'!Z1135="https://www.one2car.com/en/cars-for-sale/toyota/corolla-cross/year-2023"),'中古車掲載'!U1135,"")</x:f>
      </x:c>
      <x:c r="BD1134" t="str">
        <x:f>IF(AND('中古車掲載'!C1135="One2car",'中古車掲載'!F1135="ATTO 3",'中古車掲載'!L1135="EXTENDED RANGE",'中古車掲載'!J1135=2023,ISNUMBER('中古車掲載'!N1135),'中古車掲載'!N1135&gt;=20000,'中古車掲載'!O1135&lt;=50000,'中古車掲載'!AL1135=1),'中古車掲載'!U1135,"")</x:f>
      </x:c>
      <x:c r="BE1134" t="str">
        <x:f>IF(AND('中古車掲載'!C1135="One2car",'中古車掲載'!F1135="Corolla Cross",'中古車掲載'!L1135="HEV PREMIUM SAFETY",'中古車掲載'!J1135=2023,ISNUMBER('中古車掲載'!N1135),'中古車掲載'!N1135&gt;=20000,'中古車掲載'!O1135&lt;=50000,'中古車掲載'!AL1135=1,'中古車掲載'!Z1135="https://www.one2car.com/en/cars-for-sale/toyota/corolla-cross/year-2023"),'中古車掲載'!U1135,"")</x:f>
      </x:c>
      <x:c r="BF1134" t="str">
        <x:f>IF(AND('中古車掲載'!C1135="One2car",'中古車掲載'!F1135="Corolla Cross",'中古車掲載'!L1135="HEV PREMIUM",'中古車掲載'!J1135=2023,ISNUMBER('中古車掲載'!N1135),'中古車掲載'!N1135&gt;=20000,'中古車掲載'!O1135&lt;=100000,'中古車掲載'!AL1135=1,'中古車掲載'!Z1135="https://www.one2car.com/en/cars-for-sale/toyota/corolla-cross/year-2023"),'中古車掲載'!U1135,"")</x:f>
      </x:c>
      <x:c r="BG1134" t="str">
        <x:f>IF(AND('中古車掲載'!C1135="One2car",'中古車掲載'!F1135="Corolla Cross",'中古車掲載'!L1135="HEV GR SPORT",'中古車掲載'!J1135=2023,ISNUMBER('中古車掲載'!N1135),'中古車掲載'!N1135&gt;=20000,'中古車掲載'!O1135&lt;=100000,'中古車掲載'!AL1135=1,'中古車掲載'!Z1135="https://www.one2car.com/en/cars-for-sale/toyota/corolla-cross/year-2023"),'中古車掲載'!U1135,"")</x:f>
      </x:c>
      <x:c r="BH1134" t="str">
        <x:f>IF(AND('中古車掲載'!C1135="One2car",'中古車掲載'!F1135="DOLPHIN",'中古車掲載'!L1135="STANDARD RANGE",'中古車掲載'!J1135=2023,ISNUMBER('中古車掲載'!N1135),'中古車掲載'!N1135&gt;=20000,'中古車掲載'!O1135&lt;=100000,'中古車掲載'!AL1135=1),'中古車掲載'!U1135,"")</x:f>
      </x:c>
      <x:c r="BI1134" t="str">
        <x:v>Taladrod|Yaris Cross|HEV|Unknown</x:v>
      </x:c>
      <x:c r="BJ1134" t="n">
        <x:v>1135</x:v>
      </x:c>
      <x:c r="BK1134" t="n">
        <x:f>'中古車掲載'!AM1135</x:f>
        <x:v>744000</x:v>
      </x:c>
      <x:c r="BL1134" t="str">
        <x:f>IF(ISNUMBER('中古車掲載'!AN1135),'中古車掲載'!AN1135,"")</x:f>
      </x:c>
    </x:row>
    <x:row r="1135">
      <x:c r="AZ1135" t="str">
        <x:f>IF(AND('中古車掲載'!C1136="One2car",'中古車掲載'!F1136="ATTO 3",'中古車掲載'!L1136="EXTENDED RANGE",'中古車掲載'!J1136=2023,ISNUMBER('中古車掲載'!N1136),'中古車掲載'!N1136&gt;=20000,'中古車掲載'!O1136&lt;=100000,'中古車掲載'!AL1136=1),'中古車掲載'!U1136,"")</x:f>
      </x:c>
      <x:c r="BA1135" t="str">
        <x:f>IF(AND('中古車掲載'!C1136="One2car",'中古車掲載'!F1136="Corolla Cross",'中古車掲載'!L1136="HEV PREMIUM SAFETY",'中古車掲載'!J1136=2023,ISNUMBER('中古車掲載'!N1136),'中古車掲載'!N1136&gt;=20000,'中古車掲載'!O1136&lt;=100000,'中古車掲載'!AL1136=1,'中古車掲載'!Z1136="https://www.one2car.com/en/cars-for-sale/toyota/corolla-cross/year-2023"),'中古車掲載'!U1136,"")</x:f>
      </x:c>
      <x:c r="BB1135" t="str">
        <x:f>IF(AND('中古車掲載'!C1136="One2car",'中古車掲載'!F1136="ATTO 3",'中古車掲載'!L1136="EXTENDED RANGE",'中古車掲載'!J1136=2023,ISNUMBER('中古車掲載'!N1136),'中古車掲載'!N1136&gt;=50000,'中古車掲載'!O1136&lt;=100000,'中古車掲載'!AL1136=1),'中古車掲載'!U1136,"")</x:f>
      </x:c>
      <x:c r="BC1135" t="str">
        <x:f>IF(AND('中古車掲載'!C1136="One2car",'中古車掲載'!F1136="Corolla Cross",'中古車掲載'!L1136="HEV PREMIUM SAFETY",'中古車掲載'!J1136=2023,ISNUMBER('中古車掲載'!N1136),'中古車掲載'!N1136&gt;=50000,'中古車掲載'!O1136&lt;=100000,'中古車掲載'!AL1136=1,'中古車掲載'!Z1136="https://www.one2car.com/en/cars-for-sale/toyota/corolla-cross/year-2023"),'中古車掲載'!U1136,"")</x:f>
      </x:c>
      <x:c r="BD1135" t="str">
        <x:f>IF(AND('中古車掲載'!C1136="One2car",'中古車掲載'!F1136="ATTO 3",'中古車掲載'!L1136="EXTENDED RANGE",'中古車掲載'!J1136=2023,ISNUMBER('中古車掲載'!N1136),'中古車掲載'!N1136&gt;=20000,'中古車掲載'!O1136&lt;=50000,'中古車掲載'!AL1136=1),'中古車掲載'!U1136,"")</x:f>
      </x:c>
      <x:c r="BE1135" t="str">
        <x:f>IF(AND('中古車掲載'!C1136="One2car",'中古車掲載'!F1136="Corolla Cross",'中古車掲載'!L1136="HEV PREMIUM SAFETY",'中古車掲載'!J1136=2023,ISNUMBER('中古車掲載'!N1136),'中古車掲載'!N1136&gt;=20000,'中古車掲載'!O1136&lt;=50000,'中古車掲載'!AL1136=1,'中古車掲載'!Z1136="https://www.one2car.com/en/cars-for-sale/toyota/corolla-cross/year-2023"),'中古車掲載'!U1136,"")</x:f>
      </x:c>
      <x:c r="BF1135" t="str">
        <x:f>IF(AND('中古車掲載'!C1136="One2car",'中古車掲載'!F1136="Corolla Cross",'中古車掲載'!L1136="HEV PREMIUM",'中古車掲載'!J1136=2023,ISNUMBER('中古車掲載'!N1136),'中古車掲載'!N1136&gt;=20000,'中古車掲載'!O1136&lt;=100000,'中古車掲載'!AL1136=1,'中古車掲載'!Z1136="https://www.one2car.com/en/cars-for-sale/toyota/corolla-cross/year-2023"),'中古車掲載'!U1136,"")</x:f>
      </x:c>
      <x:c r="BG1135" t="str">
        <x:f>IF(AND('中古車掲載'!C1136="One2car",'中古車掲載'!F1136="Corolla Cross",'中古車掲載'!L1136="HEV GR SPORT",'中古車掲載'!J1136=2023,ISNUMBER('中古車掲載'!N1136),'中古車掲載'!N1136&gt;=20000,'中古車掲載'!O1136&lt;=100000,'中古車掲載'!AL1136=1,'中古車掲載'!Z1136="https://www.one2car.com/en/cars-for-sale/toyota/corolla-cross/year-2023"),'中古車掲載'!U1136,"")</x:f>
      </x:c>
      <x:c r="BH1135" t="str">
        <x:f>IF(AND('中古車掲載'!C1136="One2car",'中古車掲載'!F1136="DOLPHIN",'中古車掲載'!L1136="STANDARD RANGE",'中古車掲載'!J1136=2023,ISNUMBER('中古車掲載'!N1136),'中古車掲載'!N1136&gt;=20000,'中古車掲載'!O1136&lt;=100000,'中古車掲載'!AL1136=1),'中古車掲載'!U1136,"")</x:f>
      </x:c>
      <x:c r="BI1135" t="str">
        <x:v>Taladrod|Yaris Cross|HEV|Unknown</x:v>
      </x:c>
      <x:c r="BJ1135" t="n">
        <x:v>1136</x:v>
      </x:c>
      <x:c r="BK1135" t="n">
        <x:f>'中古車掲載'!AM1136</x:f>
        <x:v>709000</x:v>
      </x:c>
      <x:c r="BL1135" t="str">
        <x:f>IF(ISNUMBER('中古車掲載'!AN1136),'中古車掲載'!AN1136,"")</x:f>
      </x:c>
    </x:row>
    <x:row r="1136">
      <x:c r="AZ1136" t="str">
        <x:f>IF(AND('中古車掲載'!C1137="One2car",'中古車掲載'!F1137="ATTO 3",'中古車掲載'!L1137="EXTENDED RANGE",'中古車掲載'!J1137=2023,ISNUMBER('中古車掲載'!N1137),'中古車掲載'!N1137&gt;=20000,'中古車掲載'!O1137&lt;=100000,'中古車掲載'!AL1137=1),'中古車掲載'!U1137,"")</x:f>
      </x:c>
      <x:c r="BA1136" t="str">
        <x:f>IF(AND('中古車掲載'!C1137="One2car",'中古車掲載'!F1137="Corolla Cross",'中古車掲載'!L1137="HEV PREMIUM SAFETY",'中古車掲載'!J1137=2023,ISNUMBER('中古車掲載'!N1137),'中古車掲載'!N1137&gt;=20000,'中古車掲載'!O1137&lt;=100000,'中古車掲載'!AL1137=1,'中古車掲載'!Z1137="https://www.one2car.com/en/cars-for-sale/toyota/corolla-cross/year-2023"),'中古車掲載'!U1137,"")</x:f>
      </x:c>
      <x:c r="BB1136" t="str">
        <x:f>IF(AND('中古車掲載'!C1137="One2car",'中古車掲載'!F1137="ATTO 3",'中古車掲載'!L1137="EXTENDED RANGE",'中古車掲載'!J1137=2023,ISNUMBER('中古車掲載'!N1137),'中古車掲載'!N1137&gt;=50000,'中古車掲載'!O1137&lt;=100000,'中古車掲載'!AL1137=1),'中古車掲載'!U1137,"")</x:f>
      </x:c>
      <x:c r="BC1136" t="str">
        <x:f>IF(AND('中古車掲載'!C1137="One2car",'中古車掲載'!F1137="Corolla Cross",'中古車掲載'!L1137="HEV PREMIUM SAFETY",'中古車掲載'!J1137=2023,ISNUMBER('中古車掲載'!N1137),'中古車掲載'!N1137&gt;=50000,'中古車掲載'!O1137&lt;=100000,'中古車掲載'!AL1137=1,'中古車掲載'!Z1137="https://www.one2car.com/en/cars-for-sale/toyota/corolla-cross/year-2023"),'中古車掲載'!U1137,"")</x:f>
      </x:c>
      <x:c r="BD1136" t="str">
        <x:f>IF(AND('中古車掲載'!C1137="One2car",'中古車掲載'!F1137="ATTO 3",'中古車掲載'!L1137="EXTENDED RANGE",'中古車掲載'!J1137=2023,ISNUMBER('中古車掲載'!N1137),'中古車掲載'!N1137&gt;=20000,'中古車掲載'!O1137&lt;=50000,'中古車掲載'!AL1137=1),'中古車掲載'!U1137,"")</x:f>
      </x:c>
      <x:c r="BE1136" t="str">
        <x:f>IF(AND('中古車掲載'!C1137="One2car",'中古車掲載'!F1137="Corolla Cross",'中古車掲載'!L1137="HEV PREMIUM SAFETY",'中古車掲載'!J1137=2023,ISNUMBER('中古車掲載'!N1137),'中古車掲載'!N1137&gt;=20000,'中古車掲載'!O1137&lt;=50000,'中古車掲載'!AL1137=1,'中古車掲載'!Z1137="https://www.one2car.com/en/cars-for-sale/toyota/corolla-cross/year-2023"),'中古車掲載'!U1137,"")</x:f>
      </x:c>
      <x:c r="BF1136" t="str">
        <x:f>IF(AND('中古車掲載'!C1137="One2car",'中古車掲載'!F1137="Corolla Cross",'中古車掲載'!L1137="HEV PREMIUM",'中古車掲載'!J1137=2023,ISNUMBER('中古車掲載'!N1137),'中古車掲載'!N1137&gt;=20000,'中古車掲載'!O1137&lt;=100000,'中古車掲載'!AL1137=1,'中古車掲載'!Z1137="https://www.one2car.com/en/cars-for-sale/toyota/corolla-cross/year-2023"),'中古車掲載'!U1137,"")</x:f>
      </x:c>
      <x:c r="BG1136" t="str">
        <x:f>IF(AND('中古車掲載'!C1137="One2car",'中古車掲載'!F1137="Corolla Cross",'中古車掲載'!L1137="HEV GR SPORT",'中古車掲載'!J1137=2023,ISNUMBER('中古車掲載'!N1137),'中古車掲載'!N1137&gt;=20000,'中古車掲載'!O1137&lt;=100000,'中古車掲載'!AL1137=1,'中古車掲載'!Z1137="https://www.one2car.com/en/cars-for-sale/toyota/corolla-cross/year-2023"),'中古車掲載'!U1137,"")</x:f>
      </x:c>
      <x:c r="BH1136" t="str">
        <x:f>IF(AND('中古車掲載'!C1137="One2car",'中古車掲載'!F1137="DOLPHIN",'中古車掲載'!L1137="STANDARD RANGE",'中古車掲載'!J1137=2023,ISNUMBER('中古車掲載'!N1137),'中古車掲載'!N1137&gt;=20000,'中古車掲載'!O1137&lt;=100000,'中古車掲載'!AL1137=1),'中古車掲載'!U1137,"")</x:f>
      </x:c>
      <x:c r="BI1136" t="str">
        <x:v>Taladrod|Yaris Cross|HEV|Unknown</x:v>
      </x:c>
      <x:c r="BJ1136" t="n">
        <x:v>1137</x:v>
      </x:c>
      <x:c r="BK1136" t="n">
        <x:f>'中古車掲載'!AM1137</x:f>
        <x:v>639000</x:v>
      </x:c>
      <x:c r="BL1136" t="str">
        <x:f>IF(ISNUMBER('中古車掲載'!AN1137),'中古車掲載'!AN1137,"")</x:f>
      </x:c>
    </x:row>
    <x:row r="1137">
      <x:c r="AZ1137" t="str">
        <x:f>IF(AND('中古車掲載'!C1138="One2car",'中古車掲載'!F1138="ATTO 3",'中古車掲載'!L1138="EXTENDED RANGE",'中古車掲載'!J1138=2023,ISNUMBER('中古車掲載'!N1138),'中古車掲載'!N1138&gt;=20000,'中古車掲載'!O1138&lt;=100000,'中古車掲載'!AL1138=1),'中古車掲載'!U1138,"")</x:f>
      </x:c>
      <x:c r="BA1137" t="str">
        <x:f>IF(AND('中古車掲載'!C1138="One2car",'中古車掲載'!F1138="Corolla Cross",'中古車掲載'!L1138="HEV PREMIUM SAFETY",'中古車掲載'!J1138=2023,ISNUMBER('中古車掲載'!N1138),'中古車掲載'!N1138&gt;=20000,'中古車掲載'!O1138&lt;=100000,'中古車掲載'!AL1138=1,'中古車掲載'!Z1138="https://www.one2car.com/en/cars-for-sale/toyota/corolla-cross/year-2023"),'中古車掲載'!U1138,"")</x:f>
      </x:c>
      <x:c r="BB1137" t="str">
        <x:f>IF(AND('中古車掲載'!C1138="One2car",'中古車掲載'!F1138="ATTO 3",'中古車掲載'!L1138="EXTENDED RANGE",'中古車掲載'!J1138=2023,ISNUMBER('中古車掲載'!N1138),'中古車掲載'!N1138&gt;=50000,'中古車掲載'!O1138&lt;=100000,'中古車掲載'!AL1138=1),'中古車掲載'!U1138,"")</x:f>
      </x:c>
      <x:c r="BC1137" t="str">
        <x:f>IF(AND('中古車掲載'!C1138="One2car",'中古車掲載'!F1138="Corolla Cross",'中古車掲載'!L1138="HEV PREMIUM SAFETY",'中古車掲載'!J1138=2023,ISNUMBER('中古車掲載'!N1138),'中古車掲載'!N1138&gt;=50000,'中古車掲載'!O1138&lt;=100000,'中古車掲載'!AL1138=1,'中古車掲載'!Z1138="https://www.one2car.com/en/cars-for-sale/toyota/corolla-cross/year-2023"),'中古車掲載'!U1138,"")</x:f>
      </x:c>
      <x:c r="BD1137" t="str">
        <x:f>IF(AND('中古車掲載'!C1138="One2car",'中古車掲載'!F1138="ATTO 3",'中古車掲載'!L1138="EXTENDED RANGE",'中古車掲載'!J1138=2023,ISNUMBER('中古車掲載'!N1138),'中古車掲載'!N1138&gt;=20000,'中古車掲載'!O1138&lt;=50000,'中古車掲載'!AL1138=1),'中古車掲載'!U1138,"")</x:f>
      </x:c>
      <x:c r="BE1137" t="str">
        <x:f>IF(AND('中古車掲載'!C1138="One2car",'中古車掲載'!F1138="Corolla Cross",'中古車掲載'!L1138="HEV PREMIUM SAFETY",'中古車掲載'!J1138=2023,ISNUMBER('中古車掲載'!N1138),'中古車掲載'!N1138&gt;=20000,'中古車掲載'!O1138&lt;=50000,'中古車掲載'!AL1138=1,'中古車掲載'!Z1138="https://www.one2car.com/en/cars-for-sale/toyota/corolla-cross/year-2023"),'中古車掲載'!U1138,"")</x:f>
      </x:c>
      <x:c r="BF1137" t="str">
        <x:f>IF(AND('中古車掲載'!C1138="One2car",'中古車掲載'!F1138="Corolla Cross",'中古車掲載'!L1138="HEV PREMIUM",'中古車掲載'!J1138=2023,ISNUMBER('中古車掲載'!N1138),'中古車掲載'!N1138&gt;=20000,'中古車掲載'!O1138&lt;=100000,'中古車掲載'!AL1138=1,'中古車掲載'!Z1138="https://www.one2car.com/en/cars-for-sale/toyota/corolla-cross/year-2023"),'中古車掲載'!U1138,"")</x:f>
      </x:c>
      <x:c r="BG1137" t="str">
        <x:f>IF(AND('中古車掲載'!C1138="One2car",'中古車掲載'!F1138="Corolla Cross",'中古車掲載'!L1138="HEV GR SPORT",'中古車掲載'!J1138=2023,ISNUMBER('中古車掲載'!N1138),'中古車掲載'!N1138&gt;=20000,'中古車掲載'!O1138&lt;=100000,'中古車掲載'!AL1138=1,'中古車掲載'!Z1138="https://www.one2car.com/en/cars-for-sale/toyota/corolla-cross/year-2023"),'中古車掲載'!U1138,"")</x:f>
      </x:c>
      <x:c r="BH1137" t="str">
        <x:f>IF(AND('中古車掲載'!C1138="One2car",'中古車掲載'!F1138="DOLPHIN",'中古車掲載'!L1138="STANDARD RANGE",'中古車掲載'!J1138=2023,ISNUMBER('中古車掲載'!N1138),'中古車掲載'!N1138&gt;=20000,'中古車掲載'!O1138&lt;=100000,'中古車掲載'!AL1138=1),'中古車掲載'!U1138,"")</x:f>
      </x:c>
      <x:c r="BI1137" t="str">
        <x:v>Taladrod|Yaris Cross|HEV|Unknown</x:v>
      </x:c>
      <x:c r="BJ1137" t="n">
        <x:v>1138</x:v>
      </x:c>
      <x:c r="BK1137" t="str">
        <x:f>'中古車掲載'!AM1138</x:f>
      </x:c>
      <x:c r="BL1137" t="str">
        <x:f>IF(ISNUMBER('中古車掲載'!AN1138),'中古車掲載'!AN1138,"")</x:f>
      </x:c>
    </x:row>
    <x:row r="1138">
      <x:c r="AZ1138" t="str">
        <x:f>IF(AND('中古車掲載'!C1139="One2car",'中古車掲載'!F1139="ATTO 3",'中古車掲載'!L1139="EXTENDED RANGE",'中古車掲載'!J1139=2023,ISNUMBER('中古車掲載'!N1139),'中古車掲載'!N1139&gt;=20000,'中古車掲載'!O1139&lt;=100000,'中古車掲載'!AL1139=1),'中古車掲載'!U1139,"")</x:f>
      </x:c>
      <x:c r="BA1138" t="str">
        <x:f>IF(AND('中古車掲載'!C1139="One2car",'中古車掲載'!F1139="Corolla Cross",'中古車掲載'!L1139="HEV PREMIUM SAFETY",'中古車掲載'!J1139=2023,ISNUMBER('中古車掲載'!N1139),'中古車掲載'!N1139&gt;=20000,'中古車掲載'!O1139&lt;=100000,'中古車掲載'!AL1139=1,'中古車掲載'!Z1139="https://www.one2car.com/en/cars-for-sale/toyota/corolla-cross/year-2023"),'中古車掲載'!U1139,"")</x:f>
      </x:c>
      <x:c r="BB1138" t="str">
        <x:f>IF(AND('中古車掲載'!C1139="One2car",'中古車掲載'!F1139="ATTO 3",'中古車掲載'!L1139="EXTENDED RANGE",'中古車掲載'!J1139=2023,ISNUMBER('中古車掲載'!N1139),'中古車掲載'!N1139&gt;=50000,'中古車掲載'!O1139&lt;=100000,'中古車掲載'!AL1139=1),'中古車掲載'!U1139,"")</x:f>
      </x:c>
      <x:c r="BC1138" t="str">
        <x:f>IF(AND('中古車掲載'!C1139="One2car",'中古車掲載'!F1139="Corolla Cross",'中古車掲載'!L1139="HEV PREMIUM SAFETY",'中古車掲載'!J1139=2023,ISNUMBER('中古車掲載'!N1139),'中古車掲載'!N1139&gt;=50000,'中古車掲載'!O1139&lt;=100000,'中古車掲載'!AL1139=1,'中古車掲載'!Z1139="https://www.one2car.com/en/cars-for-sale/toyota/corolla-cross/year-2023"),'中古車掲載'!U1139,"")</x:f>
      </x:c>
      <x:c r="BD1138" t="str">
        <x:f>IF(AND('中古車掲載'!C1139="One2car",'中古車掲載'!F1139="ATTO 3",'中古車掲載'!L1139="EXTENDED RANGE",'中古車掲載'!J1139=2023,ISNUMBER('中古車掲載'!N1139),'中古車掲載'!N1139&gt;=20000,'中古車掲載'!O1139&lt;=50000,'中古車掲載'!AL1139=1),'中古車掲載'!U1139,"")</x:f>
      </x:c>
      <x:c r="BE1138" t="str">
        <x:f>IF(AND('中古車掲載'!C1139="One2car",'中古車掲載'!F1139="Corolla Cross",'中古車掲載'!L1139="HEV PREMIUM SAFETY",'中古車掲載'!J1139=2023,ISNUMBER('中古車掲載'!N1139),'中古車掲載'!N1139&gt;=20000,'中古車掲載'!O1139&lt;=50000,'中古車掲載'!AL1139=1,'中古車掲載'!Z1139="https://www.one2car.com/en/cars-for-sale/toyota/corolla-cross/year-2023"),'中古車掲載'!U1139,"")</x:f>
      </x:c>
      <x:c r="BF1138" t="str">
        <x:f>IF(AND('中古車掲載'!C1139="One2car",'中古車掲載'!F1139="Corolla Cross",'中古車掲載'!L1139="HEV PREMIUM",'中古車掲載'!J1139=2023,ISNUMBER('中古車掲載'!N1139),'中古車掲載'!N1139&gt;=20000,'中古車掲載'!O1139&lt;=100000,'中古車掲載'!AL1139=1,'中古車掲載'!Z1139="https://www.one2car.com/en/cars-for-sale/toyota/corolla-cross/year-2023"),'中古車掲載'!U1139,"")</x:f>
      </x:c>
      <x:c r="BG1138" t="str">
        <x:f>IF(AND('中古車掲載'!C1139="One2car",'中古車掲載'!F1139="Corolla Cross",'中古車掲載'!L1139="HEV GR SPORT",'中古車掲載'!J1139=2023,ISNUMBER('中古車掲載'!N1139),'中古車掲載'!N1139&gt;=20000,'中古車掲載'!O1139&lt;=100000,'中古車掲載'!AL1139=1,'中古車掲載'!Z1139="https://www.one2car.com/en/cars-for-sale/toyota/corolla-cross/year-2023"),'中古車掲載'!U1139,"")</x:f>
      </x:c>
      <x:c r="BH1138" t="str">
        <x:f>IF(AND('中古車掲載'!C1139="One2car",'中古車掲載'!F1139="DOLPHIN",'中古車掲載'!L1139="STANDARD RANGE",'中古車掲載'!J1139=2023,ISNUMBER('中古車掲載'!N1139),'中古車掲載'!N1139&gt;=20000,'中古車掲載'!O1139&lt;=100000,'中古車掲載'!AL1139=1),'中古車掲載'!U1139,"")</x:f>
      </x:c>
      <x:c r="BI1138" t="str">
        <x:v>Taladrod|Yaris Cross|HEV|Unknown</x:v>
      </x:c>
      <x:c r="BJ1138" t="n">
        <x:v>1139</x:v>
      </x:c>
      <x:c r="BK1138" t="str">
        <x:f>'中古車掲載'!AM1139</x:f>
      </x:c>
      <x:c r="BL1138" t="str">
        <x:f>IF(ISNUMBER('中古車掲載'!AN1139),'中古車掲載'!AN1139,"")</x:f>
      </x:c>
    </x:row>
    <x:row r="1139">
      <x:c r="AZ1139" t="str">
        <x:f>IF(AND('中古車掲載'!C1140="One2car",'中古車掲載'!F1140="ATTO 3",'中古車掲載'!L1140="EXTENDED RANGE",'中古車掲載'!J1140=2023,ISNUMBER('中古車掲載'!N1140),'中古車掲載'!N1140&gt;=20000,'中古車掲載'!O1140&lt;=100000,'中古車掲載'!AL1140=1),'中古車掲載'!U1140,"")</x:f>
      </x:c>
      <x:c r="BA1139" t="str">
        <x:f>IF(AND('中古車掲載'!C1140="One2car",'中古車掲載'!F1140="Corolla Cross",'中古車掲載'!L1140="HEV PREMIUM SAFETY",'中古車掲載'!J1140=2023,ISNUMBER('中古車掲載'!N1140),'中古車掲載'!N1140&gt;=20000,'中古車掲載'!O1140&lt;=100000,'中古車掲載'!AL1140=1,'中古車掲載'!Z1140="https://www.one2car.com/en/cars-for-sale/toyota/corolla-cross/year-2023"),'中古車掲載'!U1140,"")</x:f>
      </x:c>
      <x:c r="BB1139" t="str">
        <x:f>IF(AND('中古車掲載'!C1140="One2car",'中古車掲載'!F1140="ATTO 3",'中古車掲載'!L1140="EXTENDED RANGE",'中古車掲載'!J1140=2023,ISNUMBER('中古車掲載'!N1140),'中古車掲載'!N1140&gt;=50000,'中古車掲載'!O1140&lt;=100000,'中古車掲載'!AL1140=1),'中古車掲載'!U1140,"")</x:f>
      </x:c>
      <x:c r="BC1139" t="str">
        <x:f>IF(AND('中古車掲載'!C1140="One2car",'中古車掲載'!F1140="Corolla Cross",'中古車掲載'!L1140="HEV PREMIUM SAFETY",'中古車掲載'!J1140=2023,ISNUMBER('中古車掲載'!N1140),'中古車掲載'!N1140&gt;=50000,'中古車掲載'!O1140&lt;=100000,'中古車掲載'!AL1140=1,'中古車掲載'!Z1140="https://www.one2car.com/en/cars-for-sale/toyota/corolla-cross/year-2023"),'中古車掲載'!U1140,"")</x:f>
      </x:c>
      <x:c r="BD1139" t="str">
        <x:f>IF(AND('中古車掲載'!C1140="One2car",'中古車掲載'!F1140="ATTO 3",'中古車掲載'!L1140="EXTENDED RANGE",'中古車掲載'!J1140=2023,ISNUMBER('中古車掲載'!N1140),'中古車掲載'!N1140&gt;=20000,'中古車掲載'!O1140&lt;=50000,'中古車掲載'!AL1140=1),'中古車掲載'!U1140,"")</x:f>
      </x:c>
      <x:c r="BE1139" t="str">
        <x:f>IF(AND('中古車掲載'!C1140="One2car",'中古車掲載'!F1140="Corolla Cross",'中古車掲載'!L1140="HEV PREMIUM SAFETY",'中古車掲載'!J1140=2023,ISNUMBER('中古車掲載'!N1140),'中古車掲載'!N1140&gt;=20000,'中古車掲載'!O1140&lt;=50000,'中古車掲載'!AL1140=1,'中古車掲載'!Z1140="https://www.one2car.com/en/cars-for-sale/toyota/corolla-cross/year-2023"),'中古車掲載'!U1140,"")</x:f>
      </x:c>
      <x:c r="BF1139" t="str">
        <x:f>IF(AND('中古車掲載'!C1140="One2car",'中古車掲載'!F1140="Corolla Cross",'中古車掲載'!L1140="HEV PREMIUM",'中古車掲載'!J1140=2023,ISNUMBER('中古車掲載'!N1140),'中古車掲載'!N1140&gt;=20000,'中古車掲載'!O1140&lt;=100000,'中古車掲載'!AL1140=1,'中古車掲載'!Z1140="https://www.one2car.com/en/cars-for-sale/toyota/corolla-cross/year-2023"),'中古車掲載'!U1140,"")</x:f>
      </x:c>
      <x:c r="BG1139" t="str">
        <x:f>IF(AND('中古車掲載'!C1140="One2car",'中古車掲載'!F1140="Corolla Cross",'中古車掲載'!L1140="HEV GR SPORT",'中古車掲載'!J1140=2023,ISNUMBER('中古車掲載'!N1140),'中古車掲載'!N1140&gt;=20000,'中古車掲載'!O1140&lt;=100000,'中古車掲載'!AL1140=1,'中古車掲載'!Z1140="https://www.one2car.com/en/cars-for-sale/toyota/corolla-cross/year-2023"),'中古車掲載'!U1140,"")</x:f>
      </x:c>
      <x:c r="BH1139" t="str">
        <x:f>IF(AND('中古車掲載'!C1140="One2car",'中古車掲載'!F1140="DOLPHIN",'中古車掲載'!L1140="STANDARD RANGE",'中古車掲載'!J1140=2023,ISNUMBER('中古車掲載'!N1140),'中古車掲載'!N1140&gt;=20000,'中古車掲載'!O1140&lt;=100000,'中古車掲載'!AL1140=1),'中古車掲載'!U1140,"")</x:f>
      </x:c>
      <x:c r="BI1139" t="str">
        <x:v>Taladrod|bZ4X|BEV|Unknown</x:v>
      </x:c>
      <x:c r="BJ1139" t="n">
        <x:v>1140</x:v>
      </x:c>
      <x:c r="BK1139" t="n">
        <x:f>'中古車掲載'!AM1140</x:f>
        <x:v>980000</x:v>
      </x:c>
      <x:c r="BL1139" t="str">
        <x:f>IF(ISNUMBER('中古車掲載'!AN1140),'中古車掲載'!AN1140,"")</x:f>
      </x:c>
    </x:row>
  </x:sheetData>
  <x:conditionalFormatting sqref="D7:D38">
    <x:cfRule type="cellIs" dxfId="1" priority="1" operator="lessThan">
      <x:formula>5</x:formula>
    </x:cfRule>
  </x:conditionalFormatting>
  <x:pageMargins left="0.7" right="0.7" top="0.75" bottom="0.75" header="0.3" footer="0.3"/>
  <x:tableParts count="1">
    <x:tablePart xmlns:r="http://schemas.openxmlformats.org/officeDocument/2006/relationships" r:id="Rd58d1e36e31a484d"/>
  </x:tableParts>
</x:worksheet>
</file>

<file path=xl/worksheets/sheet3.xml><?xml version="1.0" encoding="utf-8"?>
<x:worksheet xmlns:x="http://schemas.openxmlformats.org/spreadsheetml/2006/main">
  <x:sheetViews>
    <x:sheetView showGridLines="0" workbookViewId="0">
      <x:pane xSplit="6" ySplit="7" topLeftCell="G8" activePane="bottomRight" state="frozen"/>
    </x:sheetView>
  </x:sheetViews>
  <x:sheetFormatPr defaultRowHeight="15"/>
  <x:cols>
    <x:col min="1" max="1" width="27" hidden="0" customWidth="1"/>
    <x:col min="2" max="2" width="13" hidden="0" customWidth="1"/>
    <x:col min="3" max="3" width="13" hidden="0" customWidth="1"/>
    <x:col min="4" max="4" width="11" hidden="0" customWidth="1"/>
    <x:col min="5" max="5" width="10" hidden="0" customWidth="1"/>
    <x:col min="6" max="6" width="21" hidden="0" customWidth="1"/>
    <x:col min="7" max="7" width="9" hidden="0" customWidth="1"/>
    <x:col min="8" max="8" width="12" hidden="0" customWidth="1"/>
    <x:col min="9" max="9" width="16" hidden="0" customWidth="1"/>
    <x:col min="10" max="10" width="10" hidden="0" customWidth="1"/>
    <x:col min="11" max="11" width="35" hidden="0" customWidth="1"/>
    <x:col min="12" max="12" width="33" hidden="0" customWidth="1"/>
    <x:col min="13" max="13" width="14" hidden="0" customWidth="1"/>
    <x:col min="14" max="14" width="14" hidden="0" customWidth="1"/>
    <x:col min="15" max="15" width="14" hidden="0" customWidth="1"/>
    <x:col min="16" max="16" width="25" hidden="0" customWidth="1"/>
    <x:col min="17" max="17" width="19" hidden="0" customWidth="1"/>
    <x:col min="18" max="18" width="21" hidden="0" customWidth="1"/>
    <x:col min="19" max="19" width="10" hidden="0" customWidth="1"/>
    <x:col min="20" max="20" width="19" hidden="0" customWidth="1"/>
    <x:col min="21" max="21" width="17" hidden="0" customWidth="1"/>
    <x:col min="22" max="22" width="22" hidden="0" customWidth="1"/>
    <x:col min="23" max="23" width="62" hidden="0" customWidth="1"/>
    <x:col min="24" max="24" width="24" hidden="0" customWidth="1"/>
    <x:col min="25" max="25" width="21" hidden="0" customWidth="1"/>
    <x:col min="26" max="26" width="78" hidden="0" customWidth="1"/>
    <x:col min="27" max="27" width="55" hidden="0" customWidth="1"/>
    <x:col min="28" max="28" width="62" hidden="0" customWidth="1"/>
    <x:col min="29" max="29" width="72" hidden="0" customWidth="1"/>
    <x:col min="30" max="30" width="37" hidden="0" customWidth="1"/>
    <x:col min="31" max="31" width="20" hidden="0" customWidth="1"/>
    <x:col min="32" max="32" width="16" hidden="0" customWidth="1"/>
    <x:col min="33" max="33" width="24" hidden="0" customWidth="1"/>
    <x:col min="34" max="34" width="21" hidden="0" customWidth="1"/>
    <x:col min="35" max="35" width="95" hidden="0" customWidth="1"/>
    <x:col min="36" max="36" width="25" hidden="0" customWidth="1"/>
    <x:col min="37" max="37" width="74" hidden="0" customWidth="1"/>
    <x:col min="38" max="38" width="15" hidden="0" customWidth="1"/>
    <x:col min="39" max="39" width="20" hidden="0" customWidth="1"/>
    <x:col min="40" max="40" width="20" hidden="0" customWidth="1"/>
    <x:col min="41" max="41" width="12" hidden="0" customWidth="1"/>
    <x:col min="42" max="42" width="14" hidden="0" customWidth="1"/>
  </x:cols>
  <x:sheetData>
    <x:row r="1" ht="22"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row>
    <x:row r="2" ht="22" customHeight="1">
      <x:c r="A2" s="4" t="str">
        <x:v>タイ｜BYD・Toyota 中古車掲載データ</x:v>
      </x:c>
      <x:c r="B2" s="3"/>
      <x:c r="C2" s="3"/>
      <x:c r="D2" s="3"/>
      <x:c r="E2" s="3"/>
      <x:c r="F2" s="3"/>
      <x:c r="G2" s="3"/>
      <x:c r="H2" s="3"/>
      <x:c r="I2" s="3"/>
      <x:c r="J2" s="3"/>
      <x:c r="K2" s="3"/>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row>
    <x:row r="3" ht="22" customHeight="1">
      <x:c r="A3" s="5"/>
      <x:c r="B3" s="5"/>
      <x:c r="C3" s="5"/>
      <x:c r="D3" s="5"/>
      <x:c r="E3" s="5"/>
      <x:c r="F3" s="5"/>
      <x:c r="G3" s="5"/>
      <x:c r="H3" s="5"/>
      <x:c r="I3" s="5"/>
      <x:c r="J3" s="5"/>
      <x:c r="K3" s="5"/>
      <x:c r="L3" s="5"/>
      <x:c r="M3" s="5"/>
      <x:c r="N3" s="5"/>
      <x:c r="O3" s="3"/>
      <x:c r="P3" s="3"/>
      <x:c r="Q3" s="3"/>
      <x:c r="R3" s="3"/>
      <x:c r="S3" s="3"/>
      <x:c r="T3" s="3"/>
      <x:c r="U3" s="3"/>
      <x:c r="V3" s="3"/>
      <x:c r="W3" s="3"/>
      <x:c r="X3" s="3"/>
      <x:c r="Y3" s="3"/>
      <x:c r="Z3" s="3"/>
      <x:c r="AA3" s="3"/>
      <x:c r="AB3" s="3"/>
      <x:c r="AC3" s="3"/>
      <x:c r="AD3" s="3"/>
      <x:c r="AE3" s="3"/>
      <x:c r="AF3" s="3"/>
      <x:c r="AG3" s="3"/>
      <x:c r="AH3" s="3"/>
      <x:c r="AI3" s="3"/>
      <x:c r="AJ3" s="3"/>
      <x:c r="AK3" s="3"/>
      <x:c r="AL3" s="3"/>
      <x:c r="AM3" s="3"/>
      <x:c r="AN3" s="3"/>
      <x:c r="AO3" s="3"/>
      <x:c r="AP3" s="3"/>
    </x:row>
    <x:row r="4" ht="22" customHeight="1">
      <x:c r="A4" s="3" t="str">
        <x:v>全取得広告を保持。集計除外・欠測・同条件の重複候補を別列に表示。掲載価格は成約価格ではありません。</x:v>
      </x:c>
      <x:c r="B4" s="3"/>
      <x:c r="C4" s="3"/>
      <x:c r="D4" s="3"/>
      <x:c r="E4" s="3"/>
      <x:c r="F4" s="3"/>
      <x:c r="G4" s="3"/>
      <x:c r="H4" s="3"/>
      <x:c r="I4" s="3"/>
      <x:c r="J4" s="3"/>
      <x:c r="K4" s="3"/>
      <x:c r="L4" s="3"/>
      <x:c r="M4" s="3"/>
      <x:c r="N4" s="3"/>
      <x:c r="O4" s="3"/>
      <x:c r="P4" s="3"/>
      <x:c r="Q4" s="3"/>
      <x:c r="R4" s="3"/>
      <x:c r="S4" s="3"/>
      <x:c r="T4" s="3"/>
      <x:c r="U4" s="3"/>
      <x:c r="V4" s="3"/>
      <x:c r="W4" s="3"/>
      <x:c r="X4" s="3"/>
      <x:c r="Y4" s="3"/>
      <x:c r="Z4" s="3"/>
      <x:c r="AA4" s="3"/>
      <x:c r="AB4" s="3"/>
      <x:c r="AC4" s="3"/>
      <x:c r="AD4" s="3"/>
      <x:c r="AE4" s="3"/>
      <x:c r="AF4" s="3"/>
      <x:c r="AG4" s="3"/>
      <x:c r="AH4" s="3"/>
      <x:c r="AI4" s="3"/>
      <x:c r="AJ4" s="3"/>
      <x:c r="AK4" s="3"/>
      <x:c r="AL4" s="3"/>
      <x:c r="AM4" s="3"/>
      <x:c r="AN4" s="3"/>
      <x:c r="AO4" s="3"/>
      <x:c r="AP4" s="3"/>
    </x:row>
    <x:row r="5" ht="22" customHeight="1">
      <x:c r="A5" s="3"/>
      <x:c r="B5" s="3"/>
      <x:c r="C5" s="3"/>
      <x:c r="D5" s="3"/>
      <x:c r="E5" s="3"/>
      <x:c r="F5" s="3"/>
      <x:c r="G5" s="3"/>
      <x:c r="H5" s="3"/>
      <x:c r="I5" s="3"/>
      <x:c r="J5" s="3"/>
      <x:c r="K5" s="3"/>
      <x:c r="L5" s="3"/>
      <x:c r="M5" s="3"/>
      <x:c r="N5" s="3"/>
      <x:c r="O5" s="3"/>
      <x:c r="P5" s="3"/>
      <x:c r="Q5" s="3"/>
      <x:c r="R5" s="3"/>
      <x:c r="S5" s="3"/>
      <x:c r="T5" s="3"/>
      <x:c r="U5" s="3"/>
      <x:c r="V5" s="3"/>
      <x:c r="W5" s="3"/>
      <x:c r="X5" s="3"/>
      <x:c r="Y5" s="3"/>
      <x:c r="Z5" s="3"/>
      <x:c r="AA5" s="3"/>
      <x:c r="AB5" s="3"/>
      <x:c r="AC5" s="3"/>
      <x:c r="AD5" s="3"/>
      <x:c r="AE5" s="3"/>
      <x:c r="AF5" s="3"/>
      <x:c r="AG5" s="3"/>
      <x:c r="AH5" s="3"/>
      <x:c r="AI5" s="3"/>
      <x:c r="AJ5" s="3"/>
      <x:c r="AK5" s="3"/>
      <x:c r="AL5" s="3"/>
      <x:c r="AM5" s="3"/>
      <x:c r="AN5" s="3"/>
      <x:c r="AO5" s="3"/>
      <x:c r="AP5" s="3"/>
    </x:row>
    <x:row r="6" ht="22" customHeight="1">
      <x:c r="A6" s="3"/>
      <x:c r="B6" s="3"/>
      <x:c r="C6" s="3"/>
      <x:c r="D6" s="3"/>
      <x:c r="E6" s="3"/>
      <x:c r="F6" s="3"/>
      <x:c r="G6" s="3"/>
      <x:c r="H6" s="3"/>
      <x:c r="I6" s="3"/>
      <x:c r="J6" s="3"/>
      <x:c r="K6" s="3"/>
      <x:c r="L6" s="3"/>
      <x:c r="M6" s="3"/>
      <x:c r="N6" s="3"/>
      <x:c r="O6" s="3"/>
      <x:c r="P6" s="3"/>
      <x:c r="Q6" s="3"/>
      <x:c r="R6" s="3"/>
      <x:c r="S6" s="3"/>
      <x:c r="T6" s="3"/>
      <x:c r="U6" s="3"/>
      <x:c r="V6" s="3"/>
      <x:c r="W6" s="3"/>
      <x:c r="X6" s="3"/>
      <x:c r="Y6" s="3"/>
      <x:c r="Z6" s="3"/>
      <x:c r="AA6" s="3"/>
      <x:c r="AB6" s="3"/>
      <x:c r="AC6" s="3"/>
      <x:c r="AD6" s="3"/>
      <x:c r="AE6" s="3"/>
      <x:c r="AF6" s="3"/>
      <x:c r="AG6" s="3"/>
      <x:c r="AH6" s="3"/>
      <x:c r="AI6" s="3"/>
      <x:c r="AJ6" s="3"/>
      <x:c r="AK6" s="3"/>
      <x:c r="AL6" s="3"/>
      <x:c r="AM6" s="3"/>
      <x:c r="AN6" s="3"/>
      <x:c r="AO6" s="3"/>
      <x:c r="AP6" s="3"/>
    </x:row>
    <x:row r="7" ht="30" customHeight="1">
      <x:c r="A7" s="16" t="str">
        <x:v>掲載ID/参照番号</x:v>
      </x:c>
      <x:c r="B7" s="21" t="str">
        <x:v>取得日</x:v>
      </x:c>
      <x:c r="C7" s="21" t="str">
        <x:v>サイト</x:v>
      </x:c>
      <x:c r="D7" s="21" t="str">
        <x:v>企業</x:v>
      </x:c>
      <x:c r="E7" s="21" t="str">
        <x:v>企業国籍</x:v>
      </x:c>
      <x:c r="F7" s="21" t="str">
        <x:v>モデル</x:v>
      </x:c>
      <x:c r="G7" s="21" t="str">
        <x:v>動力</x:v>
      </x:c>
      <x:c r="H7" s="21" t="str">
        <x:v>車体</x:v>
      </x:c>
      <x:c r="I7" s="21" t="str">
        <x:v>キャブ</x:v>
      </x:c>
      <x:c r="J7" s="21" t="str">
        <x:v>掲載年式</x:v>
      </x:c>
      <x:c r="K7" s="21" t="str">
        <x:v>原グレード</x:v>
      </x:c>
      <x:c r="L7" s="21" t="str">
        <x:v>統一グレード</x:v>
      </x:c>
      <x:c r="M7" s="21" t="str">
        <x:v>走行実数km</x:v>
      </x:c>
      <x:c r="N7" s="21" t="str">
        <x:v>表示km下限</x:v>
      </x:c>
      <x:c r="O7" s="21" t="str">
        <x:v>表示km上限</x:v>
      </x:c>
      <x:c r="P7" s="21" t="str">
        <x:v>走行距離帯</x:v>
      </x:c>
      <x:c r="Q7" s="21" t="str">
        <x:v>販売/掲載県</x:v>
      </x:c>
      <x:c r="R7" s="21" t="str">
        <x:v>地域区分</x:v>
      </x:c>
      <x:c r="S7" s="21" t="str">
        <x:v>AT/MT</x:v>
      </x:c>
      <x:c r="T7" s="21" t="str">
        <x:v>世代（原分類）</x:v>
      </x:c>
      <x:c r="U7" s="21" t="str">
        <x:v>掲載価格THB</x:v>
      </x:c>
      <x:c r="V7" s="21" t="str">
        <x:v>サイト新車参考THB</x:v>
      </x:c>
      <x:c r="W7" s="21" t="str">
        <x:v>車両条件</x:v>
      </x:c>
      <x:c r="X7" s="21" t="str">
        <x:v>掲載状態</x:v>
      </x:c>
      <x:c r="Y7" s="21" t="str">
        <x:v>広告更新表示</x:v>
      </x:c>
      <x:c r="Z7" s="21" t="str">
        <x:v>出典URL</x:v>
      </x:c>
      <x:c r="AA7" s="21" t="str">
        <x:v>広告内の参照位置</x:v>
      </x:c>
      <x:c r="AB7" s="21" t="str">
        <x:v>重複確認</x:v>
      </x:c>
      <x:c r="AC7" s="21" t="str">
        <x:v>税の記載</x:v>
      </x:c>
      <x:c r="AD7" s="21" t="str">
        <x:v>当時価格ID</x:v>
      </x:c>
      <x:c r="AE7" s="21" t="str">
        <x:v>当時通常価格THB</x:v>
      </x:c>
      <x:c r="AF7" s="21" t="str">
        <x:v>参考残価率</x:v>
      </x:c>
      <x:c r="AG7" s="21" t="str">
        <x:v>近似代替特価THB</x:v>
      </x:c>
      <x:c r="AH7" s="21" t="str">
        <x:v>代替新車価格比</x:v>
      </x:c>
      <x:c r="AI7" s="21" t="str">
        <x:v>分母の注意</x:v>
      </x:c>
      <x:c r="AJ7" s="21" t="str">
        <x:v>条件情報取得</x:v>
      </x:c>
      <x:c r="AK7" s="21" t="str">
        <x:v>掲載/取得の注意</x:v>
      </x:c>
      <x:c r="AL7" s="21" t="str">
        <x:v>主集計採用1/0</x:v>
      </x:c>
      <x:c r="AM7" s="21" t="str">
        <x:v>主集計用価格</x:v>
      </x:c>
      <x:c r="AN7" s="21" t="str">
        <x:v>主集計用残価率</x:v>
      </x:c>
      <x:c r="AO7" s="17" t="str">
        <x:v>年式差</x:v>
      </x:c>
      <x:c r="AP7" s="3"/>
    </x:row>
    <x:row r="8" ht="22" customHeight="1">
      <x:c r="A8" s="3" t="str">
        <x:v>C_cdm6000</x:v>
      </x:c>
      <x:c r="B8" s="7" t="d">
        <x:v>2026-10-08T00:00:00.000Z</x:v>
      </x:c>
      <x:c r="C8" s="3" t="str">
        <x:v>Carsome</x:v>
      </x:c>
      <x:c r="D8" s="3" t="str">
        <x:v>Toyota</x:v>
      </x:c>
      <x:c r="E8" s="3" t="str">
        <x:v>日本</x:v>
      </x:c>
      <x:c r="F8" s="3" t="str">
        <x:v>Corolla Cross</x:v>
      </x:c>
      <x:c r="G8" s="3" t="str">
        <x:v>HEV</x:v>
      </x:c>
      <x:c r="H8" s="3" t="str">
        <x:v>SUV</x:v>
      </x:c>
      <x:c r="I8" s="3" t="str"/>
      <x:c r="J8" s="3" t="n">
        <x:v>2021</x:v>
      </x:c>
      <x:c r="K8" s="3" t="str">
        <x:v>HYBRID PREMIUM SAFETY</x:v>
      </x:c>
      <x:c r="L8" s="3" t="str">
        <x:v>HEV PREMIUM SAFETY</x:v>
      </x:c>
      <x:c r="M8" s="22" t="n">
        <x:v>100017</x:v>
      </x:c>
      <x:c r="N8" s="22" t="n">
        <x:v>100017</x:v>
      </x:c>
      <x:c r="O8" s="22" t="n">
        <x:v>100017</x:v>
      </x:c>
      <x:c r="P8" s="3" t="str">
        <x:v>100–150千km</x:v>
      </x:c>
      <x:c r="Q8" s="3" t="str">
        <x:v>Bangkok</x:v>
      </x:c>
      <x:c r="R8" s="3" t="str">
        <x:v>Bangkok metro</x:v>
      </x:c>
      <x:c r="S8" s="3" t="str">
        <x:v>AT</x:v>
      </x:c>
      <x:c r="T8" s="3" t="str">
        <x:v>世代不明</x:v>
      </x:c>
      <x:c r="U8" s="28" t="n">
        <x:v>669000</x:v>
      </x:c>
      <x:c r="V8" s="28"/>
      <x:c r="W8" s="3" t="str">
        <x:v>サイトの認定中古車。個別事故歴・保証残は未確認</x:v>
      </x:c>
      <x:c r="X8" s="3" t="str">
        <x:v>掲載中・在庫未確認</x:v>
      </x:c>
      <x:c r="Y8" s="3" t="str"/>
      <x:c r="Z8" s="27" t="str">
        <x:v>https://www.carsome.co.th/buy-car/toyota/corolla-cross/2021-toyota-corolla-cross-hybrid-premium-safety-1.8/cdm6000</x:v>
      </x:c>
      <x:c r="AA8" s="3" t="str">
        <x:v>Taladrod個別広告ID／Carsome在庫ID</x:v>
      </x:c>
      <x:c r="AB8" s="3" t="str">
        <x:v>車台番号未取得／サイト間重複は未判定</x:v>
      </x:c>
      <x:c r="AC8" s="3" t="str">
        <x:v>税込区分未確認</x:v>
      </x:c>
      <x:c r="AD8" s="3" t="str"/>
      <x:c r="AE8" s="29" t="str">
        <x:f>""</x:f>
      </x:c>
      <x:c r="AF8" s="30" t="str">
        <x:f>IF(ISNUMBER(AE8),U8/AE8,"")</x:f>
      </x:c>
      <x:c r="AG8" s="29" t="n">
        <x:f>'新車価格・特価'!N55</x:f>
        <x:v>1204000</x:v>
      </x:c>
      <x:c r="AH8" s="30" t="n">
        <x:f>IF(ISNUMBER(AG8),U8/AG8,"")</x:f>
        <x:v>0.5556478405315615</x:v>
      </x:c>
      <x:c r="AI8" s="3" t="str">
        <x:v>同年式・グレードの検証済み当時価格なし／登録年混在</x:v>
      </x:c>
      <x:c r="AJ8" s="3" t="str">
        <x:v>走行/条件情報あり</x:v>
      </x:c>
      <x:c r="AK8" s="3" t="str">
        <x:v>表示拠点：Thon Buri。認定中古車は検査・保証費用が価格に影響する可能性。</x:v>
      </x:c>
      <x:c r="AL8" s="31" t="n">
        <x:f>IF(AND(J8&lt;='分析方法'!$B$7,OR(ISBLANK(O8),O8&gt;='分析方法'!$B$8),X8&lt;&gt;"売却済み表示"),1,0)</x:f>
        <x:v>1</x:v>
      </x:c>
      <x:c r="AM8" s="32" t="n">
        <x:f>IF(AL8=1,U8,"")</x:f>
        <x:v>669000</x:v>
      </x:c>
      <x:c r="AN8" s="33" t="str">
        <x:f>IF(AL8=1,AF8,"")</x:f>
      </x:c>
      <x:c r="AO8" s="31" t="n">
        <x:f>'分析方法'!$B$6-J8</x:f>
        <x:v>5</x:v>
      </x:c>
      <x:c r="AP8" s="3"/>
    </x:row>
    <x:row r="9" ht="22" customHeight="1">
      <x:c r="A9" s="3" t="str">
        <x:v>C_crg5000</x:v>
      </x:c>
      <x:c r="B9" s="7" t="d">
        <x:v>2026-10-08T00:00:00.000Z</x:v>
      </x:c>
      <x:c r="C9" s="3" t="str">
        <x:v>Carsome</x:v>
      </x:c>
      <x:c r="D9" s="3" t="str">
        <x:v>Toyota</x:v>
      </x:c>
      <x:c r="E9" s="3" t="str">
        <x:v>日本</x:v>
      </x:c>
      <x:c r="F9" s="3" t="str">
        <x:v>Corolla Cross</x:v>
      </x:c>
      <x:c r="G9" s="3" t="str">
        <x:v>HEV</x:v>
      </x:c>
      <x:c r="H9" s="3" t="str">
        <x:v>SUV</x:v>
      </x:c>
      <x:c r="I9" s="3" t="str"/>
      <x:c r="J9" s="3" t="n">
        <x:v>2021</x:v>
      </x:c>
      <x:c r="K9" s="3" t="str">
        <x:v>HYBRID PREMIUM SAFETY</x:v>
      </x:c>
      <x:c r="L9" s="3" t="str">
        <x:v>HEV PREMIUM SAFETY</x:v>
      </x:c>
      <x:c r="M9" s="22" t="n">
        <x:v>92970</x:v>
      </x:c>
      <x:c r="N9" s="22" t="n">
        <x:v>92970</x:v>
      </x:c>
      <x:c r="O9" s="22" t="n">
        <x:v>92970</x:v>
      </x:c>
      <x:c r="P9" s="3" t="str">
        <x:v>50–100千km</x:v>
      </x:c>
      <x:c r="Q9" s="3" t="str">
        <x:v>Bangkok</x:v>
      </x:c>
      <x:c r="R9" s="3" t="str">
        <x:v>Bangkok metro</x:v>
      </x:c>
      <x:c r="S9" s="3" t="str">
        <x:v>AT</x:v>
      </x:c>
      <x:c r="T9" s="3" t="str">
        <x:v>世代不明</x:v>
      </x:c>
      <x:c r="U9" s="28" t="n">
        <x:v>755000</x:v>
      </x:c>
      <x:c r="V9" s="28"/>
      <x:c r="W9" s="3" t="str">
        <x:v>サイトの認定中古車。個別事故歴・保証残は未確認</x:v>
      </x:c>
      <x:c r="X9" s="3" t="str">
        <x:v>掲載中・在庫未確認</x:v>
      </x:c>
      <x:c r="Y9" s="3" t="str"/>
      <x:c r="Z9" s="27" t="str">
        <x:v>https://www.carsome.co.th/buy-car/toyota/corolla-cross/2021-toyota-corolla-cross-hybrid-premium-safety-1.8/crg5000</x:v>
      </x:c>
      <x:c r="AA9" s="3" t="str">
        <x:v>Taladrod個別広告ID／Carsome在庫ID</x:v>
      </x:c>
      <x:c r="AB9" s="3" t="str">
        <x:v>車台番号未取得／サイト間重複は未判定</x:v>
      </x:c>
      <x:c r="AC9" s="3" t="str">
        <x:v>税込区分未確認</x:v>
      </x:c>
      <x:c r="AD9" s="3" t="str"/>
      <x:c r="AE9" s="29" t="str">
        <x:f>""</x:f>
      </x:c>
      <x:c r="AF9" s="30" t="str">
        <x:f>IF(ISNUMBER(AE9),U9/AE9,"")</x:f>
      </x:c>
      <x:c r="AG9" s="29" t="n">
        <x:f>'新車価格・特価'!N55</x:f>
        <x:v>1204000</x:v>
      </x:c>
      <x:c r="AH9" s="30" t="n">
        <x:f>IF(ISNUMBER(AG9),U9/AG9,"")</x:f>
        <x:v>0.6270764119601329</x:v>
      </x:c>
      <x:c r="AI9" s="3" t="str">
        <x:v>同年式・グレードの検証済み当時価格なし／登録年混在</x:v>
      </x:c>
      <x:c r="AJ9" s="3" t="str">
        <x:v>走行/条件情報あり</x:v>
      </x:c>
      <x:c r="AK9" s="3" t="str">
        <x:v>表示拠点：Bang Khae。認定中古車は検査・保証費用が価格に影響する可能性。</x:v>
      </x:c>
      <x:c r="AL9" s="31" t="n">
        <x:f>IF(AND(J9&lt;='分析方法'!$B$7,OR(ISBLANK(O9),O9&gt;='分析方法'!$B$8),X9&lt;&gt;"売却済み表示"),1,0)</x:f>
        <x:v>1</x:v>
      </x:c>
      <x:c r="AM9" s="32" t="n">
        <x:f>IF(AL9=1,U9,"")</x:f>
        <x:v>755000</x:v>
      </x:c>
      <x:c r="AN9" s="33" t="str">
        <x:f>IF(AL9=1,AF9,"")</x:f>
      </x:c>
      <x:c r="AO9" s="31" t="n">
        <x:f>'分析方法'!$B$6-J9</x:f>
        <x:v>5</x:v>
      </x:c>
      <x:c r="AP9" s="3"/>
    </x:row>
    <x:row r="10" ht="22" customHeight="1">
      <x:c r="A10" s="3" t="str">
        <x:v>C_cd56000</x:v>
      </x:c>
      <x:c r="B10" s="7" t="d">
        <x:v>2026-10-08T00:00:00.000Z</x:v>
      </x:c>
      <x:c r="C10" s="3" t="str">
        <x:v>Carsome</x:v>
      </x:c>
      <x:c r="D10" s="3" t="str">
        <x:v>Toyota</x:v>
      </x:c>
      <x:c r="E10" s="3" t="str">
        <x:v>日本</x:v>
      </x:c>
      <x:c r="F10" s="3" t="str">
        <x:v>Corolla Cross</x:v>
      </x:c>
      <x:c r="G10" s="3" t="str">
        <x:v>HEV</x:v>
      </x:c>
      <x:c r="H10" s="3" t="str">
        <x:v>SUV</x:v>
      </x:c>
      <x:c r="I10" s="3" t="str"/>
      <x:c r="J10" s="3" t="n">
        <x:v>2021</x:v>
      </x:c>
      <x:c r="K10" s="3" t="str">
        <x:v>HYBRID SMART</x:v>
      </x:c>
      <x:c r="L10" s="3" t="str">
        <x:v>HEV SMART</x:v>
      </x:c>
      <x:c r="M10" s="22" t="n">
        <x:v>156199</x:v>
      </x:c>
      <x:c r="N10" s="22" t="n">
        <x:v>156199</x:v>
      </x:c>
      <x:c r="O10" s="22" t="n">
        <x:v>156199</x:v>
      </x:c>
      <x:c r="P10" s="3" t="str">
        <x:v>150千km以上</x:v>
      </x:c>
      <x:c r="Q10" s="3" t="str">
        <x:v>Rayong</x:v>
      </x:c>
      <x:c r="R10" s="3" t="str">
        <x:v>Other province</x:v>
      </x:c>
      <x:c r="S10" s="3" t="str">
        <x:v>AT</x:v>
      </x:c>
      <x:c r="T10" s="3" t="str">
        <x:v>世代不明</x:v>
      </x:c>
      <x:c r="U10" s="28" t="n">
        <x:v>695000</x:v>
      </x:c>
      <x:c r="V10" s="28"/>
      <x:c r="W10" s="3" t="str">
        <x:v>サイトの認定中古車。個別事故歴・保証残は未確認</x:v>
      </x:c>
      <x:c r="X10" s="3" t="str">
        <x:v>掲載中・在庫未確認</x:v>
      </x:c>
      <x:c r="Y10" s="3" t="str"/>
      <x:c r="Z10" s="27" t="str">
        <x:v>https://www.carsome.co.th/buy-car/toyota/corolla-cross/2021-toyota-corolla-cross-hybrid-smart-1.8/cd56000</x:v>
      </x:c>
      <x:c r="AA10" s="3" t="str">
        <x:v>Taladrod個別広告ID／Carsome在庫ID</x:v>
      </x:c>
      <x:c r="AB10" s="3" t="str">
        <x:v>車台番号未取得／サイト間重複は未判定</x:v>
      </x:c>
      <x:c r="AC10" s="3" t="str">
        <x:v>税込区分未確認</x:v>
      </x:c>
      <x:c r="AD10" s="3" t="str"/>
      <x:c r="AE10" s="29" t="str">
        <x:f>""</x:f>
      </x:c>
      <x:c r="AF10" s="30" t="str">
        <x:f>IF(ISNUMBER(AE10),U10/AE10,"")</x:f>
      </x:c>
      <x:c r="AG10" s="29" t="n">
        <x:f>'新車価格・特価'!N53</x:f>
        <x:v>989000</x:v>
      </x:c>
      <x:c r="AH10" s="30" t="n">
        <x:f>IF(ISNUMBER(AG10),U10/AG10,"")</x:f>
        <x:v>0.7027300303336703</x:v>
      </x:c>
      <x:c r="AI10" s="3" t="str">
        <x:v>同年式・グレードの検証済み当時価格なし／登録年混在</x:v>
      </x:c>
      <x:c r="AJ10" s="3" t="str">
        <x:v>走行/条件情報あり</x:v>
      </x:c>
      <x:c r="AK10" s="3" t="str">
        <x:v>表示拠点：Muang Rayong。認定中古車は検査・保証費用が価格に影響する可能性。</x:v>
      </x:c>
      <x:c r="AL10" s="31" t="n">
        <x:f>IF(AND(J10&lt;='分析方法'!$B$7,OR(ISBLANK(O10),O10&gt;='分析方法'!$B$8),X10&lt;&gt;"売却済み表示"),1,0)</x:f>
        <x:v>1</x:v>
      </x:c>
      <x:c r="AM10" s="32" t="n">
        <x:f>IF(AL10=1,U10,"")</x:f>
        <x:v>695000</x:v>
      </x:c>
      <x:c r="AN10" s="33" t="str">
        <x:f>IF(AL10=1,AF10,"")</x:f>
      </x:c>
      <x:c r="AO10" s="31" t="n">
        <x:f>'分析方法'!$B$6-J10</x:f>
        <x:v>5</x:v>
      </x:c>
      <x:c r="AP10" s="3"/>
    </x:row>
    <x:row r="11" ht="22" customHeight="1">
      <x:c r="A11" s="3" t="str">
        <x:v>C_crf5000</x:v>
      </x:c>
      <x:c r="B11" s="7" t="d">
        <x:v>2026-10-08T00:00:00.000Z</x:v>
      </x:c>
      <x:c r="C11" s="3" t="str">
        <x:v>Carsome</x:v>
      </x:c>
      <x:c r="D11" s="3" t="str">
        <x:v>Toyota</x:v>
      </x:c>
      <x:c r="E11" s="3" t="str">
        <x:v>日本</x:v>
      </x:c>
      <x:c r="F11" s="3" t="str">
        <x:v>Corolla Cross</x:v>
      </x:c>
      <x:c r="G11" s="3" t="str">
        <x:v>HEV</x:v>
      </x:c>
      <x:c r="H11" s="3" t="str">
        <x:v>SUV</x:v>
      </x:c>
      <x:c r="I11" s="3" t="str"/>
      <x:c r="J11" s="3" t="n">
        <x:v>2022</x:v>
      </x:c>
      <x:c r="K11" s="3" t="str">
        <x:v>HYBRID PREMIUM SAFETY</x:v>
      </x:c>
      <x:c r="L11" s="3" t="str">
        <x:v>HEV PREMIUM SAFETY</x:v>
      </x:c>
      <x:c r="M11" s="22" t="n">
        <x:v>79000</x:v>
      </x:c>
      <x:c r="N11" s="22" t="n">
        <x:v>79000</x:v>
      </x:c>
      <x:c r="O11" s="22" t="n">
        <x:v>79000</x:v>
      </x:c>
      <x:c r="P11" s="3" t="str">
        <x:v>50–100千km</x:v>
      </x:c>
      <x:c r="Q11" s="3" t="str">
        <x:v>Bangkok</x:v>
      </x:c>
      <x:c r="R11" s="3" t="str">
        <x:v>Bangkok metro</x:v>
      </x:c>
      <x:c r="S11" s="3" t="str">
        <x:v>AT</x:v>
      </x:c>
      <x:c r="T11" s="3" t="str">
        <x:v>世代不明</x:v>
      </x:c>
      <x:c r="U11" s="28" t="n">
        <x:v>859000</x:v>
      </x:c>
      <x:c r="V11" s="28"/>
      <x:c r="W11" s="3" t="str">
        <x:v>サイトの認定中古車。個別事故歴・保証残は未確認</x:v>
      </x:c>
      <x:c r="X11" s="3" t="str">
        <x:v>掲載中・在庫未確認</x:v>
      </x:c>
      <x:c r="Y11" s="3" t="str"/>
      <x:c r="Z11" s="27" t="str">
        <x:v>https://www.carsome.co.th/buy-car/toyota/corolla-cross/2022-toyota-corolla-cross-hybrid-premium-safety-1.8/crf5000</x:v>
      </x:c>
      <x:c r="AA11" s="3" t="str">
        <x:v>Taladrod個別広告ID／Carsome在庫ID</x:v>
      </x:c>
      <x:c r="AB11" s="3" t="str">
        <x:v>車台番号未取得／サイト間重複は未判定</x:v>
      </x:c>
      <x:c r="AC11" s="3" t="str">
        <x:v>税込区分未確認</x:v>
      </x:c>
      <x:c r="AD11" s="3" t="str"/>
      <x:c r="AE11" s="29" t="str">
        <x:f>""</x:f>
      </x:c>
      <x:c r="AF11" s="30" t="str">
        <x:f>IF(ISNUMBER(AE11),U11/AE11,"")</x:f>
      </x:c>
      <x:c r="AG11" s="29" t="n">
        <x:f>'新車価格・特価'!N55</x:f>
        <x:v>1204000</x:v>
      </x:c>
      <x:c r="AH11" s="30" t="n">
        <x:f>IF(ISNUMBER(AG11),U11/AG11,"")</x:f>
        <x:v>0.7134551495016611</x:v>
      </x:c>
      <x:c r="AI11" s="3" t="str">
        <x:v>同年式・グレードの検証済み当時価格なし／登録年混在</x:v>
      </x:c>
      <x:c r="AJ11" s="3" t="str">
        <x:v>走行/条件情報あり</x:v>
      </x:c>
      <x:c r="AK11" s="3" t="str">
        <x:v>表示拠点：Bang Khae。認定中古車は検査・保証費用が価格に影響する可能性。</x:v>
      </x:c>
      <x:c r="AL11" s="31" t="n">
        <x:f>IF(AND(J11&lt;='分析方法'!$B$7,OR(ISBLANK(O11),O11&gt;='分析方法'!$B$8),X11&lt;&gt;"売却済み表示"),1,0)</x:f>
        <x:v>1</x:v>
      </x:c>
      <x:c r="AM11" s="32" t="n">
        <x:f>IF(AL11=1,U11,"")</x:f>
        <x:v>859000</x:v>
      </x:c>
      <x:c r="AN11" s="33" t="str">
        <x:f>IF(AL11=1,AF11,"")</x:f>
      </x:c>
      <x:c r="AO11" s="31" t="n">
        <x:f>'分析方法'!$B$6-J11</x:f>
        <x:v>4</x:v>
      </x:c>
      <x:c r="AP11" s="3"/>
    </x:row>
    <x:row r="12" ht="22" customHeight="1">
      <x:c r="A12" s="3" t="str">
        <x:v>O_atto-3_178</x:v>
      </x:c>
      <x:c r="B12" s="7" t="d">
        <x:v>2026-10-08T00:00:00.000Z</x:v>
      </x:c>
      <x:c r="C12" s="3" t="str">
        <x:v>One2car</x:v>
      </x:c>
      <x:c r="D12" s="3" t="str">
        <x:v>BYD</x:v>
      </x:c>
      <x:c r="E12" s="3" t="str">
        <x:v>中国</x:v>
      </x:c>
      <x:c r="F12" s="3" t="str">
        <x:v>ATTO 3</x:v>
      </x:c>
      <x:c r="G12" s="3" t="str">
        <x:v>BEV</x:v>
      </x:c>
      <x:c r="H12" s="3" t="str">
        <x:v>SUV</x:v>
      </x:c>
      <x:c r="I12" s="3" t="str"/>
      <x:c r="J12" s="3" t="n">
        <x:v>2022</x:v>
      </x:c>
      <x:c r="K12" s="3" t="str">
        <x:v>Standard Range</x:v>
      </x:c>
      <x:c r="L12" s="3" t="str">
        <x:v>STANDARD RANGE</x:v>
      </x:c>
      <x:c r="M12" s="22"/>
      <x:c r="N12" s="22" t="n">
        <x:v>70000</x:v>
      </x:c>
      <x:c r="O12" s="22" t="n">
        <x:v>75000</x:v>
      </x:c>
      <x:c r="P12" s="3" t="str">
        <x:v>50–100千km</x:v>
      </x:c>
      <x:c r="Q12" s="3" t="str">
        <x:v>Nakhon Pathom</x:v>
      </x:c>
      <x:c r="R12" s="3" t="str">
        <x:v>Bangkok metro</x:v>
      </x:c>
      <x:c r="S12" s="3" t="str">
        <x:v>AT</x:v>
      </x:c>
      <x:c r="T12" s="3" t="str">
        <x:v>世代不明</x:v>
      </x:c>
      <x:c r="U12" s="28" t="n">
        <x:v>519000</x:v>
      </x:c>
      <x:c r="V12" s="28"/>
      <x:c r="W12" s="3" t="str">
        <x:v>広告の申告のみ。事故・水没・SOH・保証残は未確認</x:v>
      </x:c>
      <x:c r="X12" s="3" t="str">
        <x:v>掲載中・在庫未確認</x:v>
      </x:c>
      <x:c r="Y12" s="3" t="str"/>
      <x:c r="Z12" s="27" t="str">
        <x:v>https://www.one2car.com/en/cars-for-sale/byd/atto-3</x:v>
      </x:c>
      <x:c r="AA12" s="3" t="str">
        <x:v>掲載リンク参照#178／見出し行1095（永続IDではない）</x:v>
      </x:c>
      <x:c r="AB12" s="3" t="str">
        <x:v>車台番号未取得／サイト間重複は未判定</x:v>
      </x:c>
      <x:c r="AC12" s="3" t="str">
        <x:v>税込区分未確認</x:v>
      </x:c>
      <x:c r="AD12" s="3" t="str">
        <x:v>ATTO22_STANDARD RANGE</x:v>
      </x:c>
      <x:c r="AE12" s="29" t="n">
        <x:f>'新車価格・特価'!K7</x:f>
        <x:v>1099900</x:v>
      </x:c>
      <x:c r="AF12" s="30" t="n">
        <x:f>IF(ISNUMBER(AE12),U12/AE12,"")</x:f>
        <x:v>0.47186107827984364</x:v>
      </x:c>
      <x:c r="AG12" s="29" t="n">
        <x:f>'新車価格・特価'!N34</x:f>
        <x:v>669900</x:v>
      </x:c>
      <x:c r="AH12" s="30" t="n">
        <x:f>IF(ISNUMBER(AG12),U12/AG12,"")</x:f>
        <x:v>0.7747424988804299</x:v>
      </x:c>
      <x:c r="AI12" s="3" t="str">
        <x:v>当時公表小売価格の参考残価率。実購入額ではない。年式/登録年・仕様差に注意。</x:v>
      </x:c>
      <x:c r="AJ12" s="3" t="str">
        <x:v>走行/条件情報あり</x:v>
      </x:c>
      <x:c r="AK12" s="3" t="str">
        <x:v>取得した検索結果ページの掲載。サイトの並び順による選択偏りあり。</x:v>
      </x:c>
      <x:c r="AL12" s="31" t="n">
        <x:f>IF(AND(J12&lt;='分析方法'!$B$7,OR(ISBLANK(O12),O12&gt;='分析方法'!$B$8),X12&lt;&gt;"売却済み表示"),1,0)</x:f>
        <x:v>1</x:v>
      </x:c>
      <x:c r="AM12" s="32" t="n">
        <x:f>IF(AL12=1,U12,"")</x:f>
        <x:v>519000</x:v>
      </x:c>
      <x:c r="AN12" s="33" t="n">
        <x:f>IF(AL12=1,AF12,"")</x:f>
        <x:v>0.47186107827984364</x:v>
      </x:c>
      <x:c r="AO12" s="31" t="n">
        <x:f>'分析方法'!$B$6-J12</x:f>
        <x:v>4</x:v>
      </x:c>
      <x:c r="AP12" s="3"/>
    </x:row>
    <x:row r="13" ht="22" customHeight="1">
      <x:c r="A13" s="3" t="str">
        <x:v>O_atto-3_163</x:v>
      </x:c>
      <x:c r="B13" s="7" t="d">
        <x:v>2026-10-08T00:00:00.000Z</x:v>
      </x:c>
      <x:c r="C13" s="3" t="str">
        <x:v>One2car</x:v>
      </x:c>
      <x:c r="D13" s="3" t="str">
        <x:v>BYD</x:v>
      </x:c>
      <x:c r="E13" s="3" t="str">
        <x:v>中国</x:v>
      </x:c>
      <x:c r="F13" s="3" t="str">
        <x:v>ATTO 3</x:v>
      </x:c>
      <x:c r="G13" s="3" t="str">
        <x:v>BEV</x:v>
      </x:c>
      <x:c r="H13" s="3" t="str">
        <x:v>SUV</x:v>
      </x:c>
      <x:c r="I13" s="3" t="str"/>
      <x:c r="J13" s="3" t="n">
        <x:v>2023</x:v>
      </x:c>
      <x:c r="K13" s="3" t="str">
        <x:v>Extended Range</x:v>
      </x:c>
      <x:c r="L13" s="3" t="str">
        <x:v>EXTENDED RANGE</x:v>
      </x:c>
      <x:c r="M13" s="22"/>
      <x:c r="N13" s="22" t="n">
        <x:v>100000</x:v>
      </x:c>
      <x:c r="O13" s="22" t="n">
        <x:v>105000</x:v>
      </x:c>
      <x:c r="P13" s="3" t="str">
        <x:v>100–150千km</x:v>
      </x:c>
      <x:c r="Q13" s="3" t="str">
        <x:v>Nonthaburi</x:v>
      </x:c>
      <x:c r="R13" s="3" t="str">
        <x:v>Bangkok metro</x:v>
      </x:c>
      <x:c r="S13" s="3" t="str">
        <x:v>AT</x:v>
      </x:c>
      <x:c r="T13" s="3" t="str">
        <x:v>世代不明</x:v>
      </x:c>
      <x:c r="U13" s="28" t="n">
        <x:v>437000</x:v>
      </x:c>
      <x:c r="V13" s="28"/>
      <x:c r="W13" s="3" t="str">
        <x:v>広告の申告のみ。事故・水没・SOH・保証残は未確認</x:v>
      </x:c>
      <x:c r="X13" s="3" t="str">
        <x:v>掲載中・在庫未確認</x:v>
      </x:c>
      <x:c r="Y13" s="3" t="str"/>
      <x:c r="Z13" s="27" t="str">
        <x:v>https://www.one2car.com/en/cars-for-sale/byd/atto-3</x:v>
      </x:c>
      <x:c r="AA13" s="3" t="str">
        <x:v>掲載リンク参照#163／見出し行722（永続IDではない）</x:v>
      </x:c>
      <x:c r="AB13" s="3" t="str">
        <x:v>車台番号未取得／サイト間重複は未判定</x:v>
      </x:c>
      <x:c r="AC13" s="3" t="str">
        <x:v>税込区分未確認</x:v>
      </x:c>
      <x:c r="AD13" s="3" t="str">
        <x:v>ATTO22_EXTENDED RANGE</x:v>
      </x:c>
      <x:c r="AE13" s="29" t="n">
        <x:f>'新車価格・特価'!K8</x:f>
        <x:v>1199900</x:v>
      </x:c>
      <x:c r="AF13" s="30" t="n">
        <x:f>IF(ISNUMBER(AE13),U13/AE13,"")</x:f>
        <x:v>0.3641970164180348</x:v>
      </x:c>
      <x:c r="AG13" s="29" t="n">
        <x:f>'新車価格・特価'!N35</x:f>
        <x:v>769900</x:v>
      </x:c>
      <x:c r="AH13" s="30" t="n">
        <x:f>IF(ISNUMBER(AG13),U13/AG13,"")</x:f>
        <x:v>0.5676061826211196</x:v>
      </x:c>
      <x:c r="AI13" s="3" t="str">
        <x:v>当時公表小売価格の参考残価率。実購入額ではない。年式/登録年・仕様差に注意。</x:v>
      </x:c>
      <x:c r="AJ13" s="3" t="str">
        <x:v>走行/条件情報あり</x:v>
      </x:c>
      <x:c r="AK13" s="3" t="str">
        <x:v>取得した検索結果ページの掲載。サイトの並び順による選択偏りあり。</x:v>
      </x:c>
      <x:c r="AL13" s="31" t="n">
        <x:f>IF(AND(J13&lt;='分析方法'!$B$7,OR(ISBLANK(O13),O13&gt;='分析方法'!$B$8),X13&lt;&gt;"売却済み表示"),1,0)</x:f>
        <x:v>1</x:v>
      </x:c>
      <x:c r="AM13" s="32" t="n">
        <x:f>IF(AL13=1,U13,"")</x:f>
        <x:v>437000</x:v>
      </x:c>
      <x:c r="AN13" s="33" t="n">
        <x:f>IF(AL13=1,AF13,"")</x:f>
        <x:v>0.3641970164180348</x:v>
      </x:c>
      <x:c r="AO13" s="31" t="n">
        <x:f>'分析方法'!$B$6-J13</x:f>
        <x:v>3</x:v>
      </x:c>
      <x:c r="AP13" s="3"/>
    </x:row>
    <x:row r="14" ht="22" customHeight="1">
      <x:c r="A14" s="3" t="str">
        <x:v>O_atto-3_184</x:v>
      </x:c>
      <x:c r="B14" s="7" t="d">
        <x:v>2026-10-08T00:00:00.000Z</x:v>
      </x:c>
      <x:c r="C14" s="3" t="str">
        <x:v>One2car</x:v>
      </x:c>
      <x:c r="D14" s="3" t="str">
        <x:v>BYD</x:v>
      </x:c>
      <x:c r="E14" s="3" t="str">
        <x:v>中国</x:v>
      </x:c>
      <x:c r="F14" s="3" t="str">
        <x:v>ATTO 3</x:v>
      </x:c>
      <x:c r="G14" s="3" t="str">
        <x:v>BEV</x:v>
      </x:c>
      <x:c r="H14" s="3" t="str">
        <x:v>SUV</x:v>
      </x:c>
      <x:c r="I14" s="3" t="str"/>
      <x:c r="J14" s="3" t="n">
        <x:v>2023</x:v>
      </x:c>
      <x:c r="K14" s="3" t="str">
        <x:v>Extended Range</x:v>
      </x:c>
      <x:c r="L14" s="3" t="str">
        <x:v>EXTENDED RANGE</x:v>
      </x:c>
      <x:c r="M14" s="22"/>
      <x:c r="N14" s="22" t="n">
        <x:v>40000</x:v>
      </x:c>
      <x:c r="O14" s="22" t="n">
        <x:v>45000</x:v>
      </x:c>
      <x:c r="P14" s="3" t="str">
        <x:v>20–50千km</x:v>
      </x:c>
      <x:c r="Q14" s="3" t="str">
        <x:v>Bangkok</x:v>
      </x:c>
      <x:c r="R14" s="3" t="str">
        <x:v>Bangkok metro</x:v>
      </x:c>
      <x:c r="S14" s="3" t="str">
        <x:v>AT</x:v>
      </x:c>
      <x:c r="T14" s="3" t="str">
        <x:v>世代不明</x:v>
      </x:c>
      <x:c r="U14" s="28" t="n">
        <x:v>499000</x:v>
      </x:c>
      <x:c r="V14" s="28"/>
      <x:c r="W14" s="3" t="str">
        <x:v>広告の申告のみ。事故・水没・SOH・保証残は未確認</x:v>
      </x:c>
      <x:c r="X14" s="3" t="str">
        <x:v>掲載中・在庫未確認</x:v>
      </x:c>
      <x:c r="Y14" s="3" t="str"/>
      <x:c r="Z14" s="27" t="str">
        <x:v>https://www.one2car.com/en/cars-for-sale/byd/atto-3</x:v>
      </x:c>
      <x:c r="AA14" s="3" t="str">
        <x:v>掲載リンク参照#184／見出し行1279（永続IDではない）</x:v>
      </x:c>
      <x:c r="AB14" s="3" t="str">
        <x:v>車台番号未取得／サイト間重複は未判定</x:v>
      </x:c>
      <x:c r="AC14" s="3" t="str">
        <x:v>税込区分未確認</x:v>
      </x:c>
      <x:c r="AD14" s="3" t="str">
        <x:v>ATTO22_EXTENDED RANGE</x:v>
      </x:c>
      <x:c r="AE14" s="29" t="n">
        <x:f>'新車価格・特価'!K8</x:f>
        <x:v>1199900</x:v>
      </x:c>
      <x:c r="AF14" s="30" t="n">
        <x:f>IF(ISNUMBER(AE14),U14/AE14,"")</x:f>
        <x:v>0.4158679889990833</x:v>
      </x:c>
      <x:c r="AG14" s="29" t="n">
        <x:f>'新車価格・特価'!N35</x:f>
        <x:v>769900</x:v>
      </x:c>
      <x:c r="AH14" s="30" t="n">
        <x:f>IF(ISNUMBER(AG14),U14/AG14,"")</x:f>
        <x:v>0.6481361215742304</x:v>
      </x:c>
      <x:c r="AI14" s="3" t="str">
        <x:v>当時公表小売価格の参考残価率。実購入額ではない。年式/登録年・仕様差に注意。</x:v>
      </x:c>
      <x:c r="AJ14" s="3" t="str">
        <x:v>走行/条件情報あり</x:v>
      </x:c>
      <x:c r="AK14" s="3" t="str">
        <x:v>取得した検索結果ページの掲載。サイトの並び順による選択偏りあり。</x:v>
      </x:c>
      <x:c r="AL14" s="31" t="n">
        <x:f>IF(AND(J14&lt;='分析方法'!$B$7,OR(ISBLANK(O14),O14&gt;='分析方法'!$B$8),X14&lt;&gt;"売却済み表示"),1,0)</x:f>
        <x:v>1</x:v>
      </x:c>
      <x:c r="AM14" s="32" t="n">
        <x:f>IF(AL14=1,U14,"")</x:f>
        <x:v>499000</x:v>
      </x:c>
      <x:c r="AN14" s="33" t="n">
        <x:f>IF(AL14=1,AF14,"")</x:f>
        <x:v>0.4158679889990833</x:v>
      </x:c>
      <x:c r="AO14" s="31" t="n">
        <x:f>'分析方法'!$B$6-J14</x:f>
        <x:v>3</x:v>
      </x:c>
      <x:c r="AP14" s="3"/>
    </x:row>
    <x:row r="15" ht="22" customHeight="1">
      <x:c r="A15" s="3" t="str">
        <x:v>O_atto-3_175</x:v>
      </x:c>
      <x:c r="B15" s="7" t="d">
        <x:v>2026-10-08T00:00:00.000Z</x:v>
      </x:c>
      <x:c r="C15" s="3" t="str">
        <x:v>One2car</x:v>
      </x:c>
      <x:c r="D15" s="3" t="str">
        <x:v>BYD</x:v>
      </x:c>
      <x:c r="E15" s="3" t="str">
        <x:v>中国</x:v>
      </x:c>
      <x:c r="F15" s="3" t="str">
        <x:v>ATTO 3</x:v>
      </x:c>
      <x:c r="G15" s="3" t="str">
        <x:v>BEV</x:v>
      </x:c>
      <x:c r="H15" s="3" t="str">
        <x:v>SUV</x:v>
      </x:c>
      <x:c r="I15" s="3" t="str"/>
      <x:c r="J15" s="3" t="n">
        <x:v>2023</x:v>
      </x:c>
      <x:c r="K15" s="3" t="str">
        <x:v>Extended Range</x:v>
      </x:c>
      <x:c r="L15" s="3" t="str">
        <x:v>EXTENDED RANGE</x:v>
      </x:c>
      <x:c r="M15" s="22"/>
      <x:c r="N15" s="22" t="n">
        <x:v>30000</x:v>
      </x:c>
      <x:c r="O15" s="22" t="n">
        <x:v>35000</x:v>
      </x:c>
      <x:c r="P15" s="3" t="str">
        <x:v>20–50千km</x:v>
      </x:c>
      <x:c r="Q15" s="3" t="str">
        <x:v>Nonthaburi</x:v>
      </x:c>
      <x:c r="R15" s="3" t="str">
        <x:v>Bangkok metro</x:v>
      </x:c>
      <x:c r="S15" s="3" t="str">
        <x:v>AT</x:v>
      </x:c>
      <x:c r="T15" s="3" t="str">
        <x:v>世代不明</x:v>
      </x:c>
      <x:c r="U15" s="28" t="n">
        <x:v>471000</x:v>
      </x:c>
      <x:c r="V15" s="28"/>
      <x:c r="W15" s="3" t="str">
        <x:v>広告の申告のみ。事故・水没・SOH・保証残は未確認</x:v>
      </x:c>
      <x:c r="X15" s="3" t="str">
        <x:v>掲載中・在庫未確認</x:v>
      </x:c>
      <x:c r="Y15" s="3" t="str"/>
      <x:c r="Z15" s="27" t="str">
        <x:v>https://www.one2car.com/en/cars-for-sale/byd/atto-3</x:v>
      </x:c>
      <x:c r="AA15" s="3" t="str">
        <x:v>掲載リンク参照#175／見出し行1004（永続IDではない）</x:v>
      </x:c>
      <x:c r="AB15" s="3" t="str">
        <x:v>車台番号未取得／サイト間重複は未判定</x:v>
      </x:c>
      <x:c r="AC15" s="3" t="str">
        <x:v>税込区分未確認</x:v>
      </x:c>
      <x:c r="AD15" s="3" t="str">
        <x:v>ATTO22_EXTENDED RANGE</x:v>
      </x:c>
      <x:c r="AE15" s="29" t="n">
        <x:f>'新車価格・特価'!K8</x:f>
        <x:v>1199900</x:v>
      </x:c>
      <x:c r="AF15" s="30" t="n">
        <x:f>IF(ISNUMBER(AE15),U15/AE15,"")</x:f>
        <x:v>0.3925327110592549</x:v>
      </x:c>
      <x:c r="AG15" s="29" t="n">
        <x:f>'新車価格・特価'!N35</x:f>
        <x:v>769900</x:v>
      </x:c>
      <x:c r="AH15" s="30" t="n">
        <x:f>IF(ISNUMBER(AG15),U15/AG15,"")</x:f>
        <x:v>0.6117677620470191</x:v>
      </x:c>
      <x:c r="AI15" s="3" t="str">
        <x:v>当時公表小売価格の参考残価率。実購入額ではない。年式/登録年・仕様差に注意。</x:v>
      </x:c>
      <x:c r="AJ15" s="3" t="str">
        <x:v>走行/条件情報あり</x:v>
      </x:c>
      <x:c r="AK15" s="3" t="str">
        <x:v>取得した検索結果ページの掲載。サイトの並び順による選択偏りあり。</x:v>
      </x:c>
      <x:c r="AL15" s="31" t="n">
        <x:f>IF(AND(J15&lt;='分析方法'!$B$7,OR(ISBLANK(O15),O15&gt;='分析方法'!$B$8),X15&lt;&gt;"売却済み表示"),1,0)</x:f>
        <x:v>1</x:v>
      </x:c>
      <x:c r="AM15" s="32" t="n">
        <x:f>IF(AL15=1,U15,"")</x:f>
        <x:v>471000</x:v>
      </x:c>
      <x:c r="AN15" s="33" t="n">
        <x:f>IF(AL15=1,AF15,"")</x:f>
        <x:v>0.3925327110592549</x:v>
      </x:c>
      <x:c r="AO15" s="31" t="n">
        <x:f>'分析方法'!$B$6-J15</x:f>
        <x:v>3</x:v>
      </x:c>
      <x:c r="AP15" s="3"/>
    </x:row>
    <x:row r="16" ht="22" customHeight="1">
      <x:c r="A16" s="3" t="str">
        <x:v>O_atto-3_182</x:v>
      </x:c>
      <x:c r="B16" s="7" t="d">
        <x:v>2026-10-08T00:00:00.000Z</x:v>
      </x:c>
      <x:c r="C16" s="3" t="str">
        <x:v>One2car</x:v>
      </x:c>
      <x:c r="D16" s="3" t="str">
        <x:v>BYD</x:v>
      </x:c>
      <x:c r="E16" s="3" t="str">
        <x:v>中国</x:v>
      </x:c>
      <x:c r="F16" s="3" t="str">
        <x:v>ATTO 3</x:v>
      </x:c>
      <x:c r="G16" s="3" t="str">
        <x:v>BEV</x:v>
      </x:c>
      <x:c r="H16" s="3" t="str">
        <x:v>SUV</x:v>
      </x:c>
      <x:c r="I16" s="3" t="str"/>
      <x:c r="J16" s="3" t="n">
        <x:v>2023</x:v>
      </x:c>
      <x:c r="K16" s="3" t="str">
        <x:v>Extended Range</x:v>
      </x:c>
      <x:c r="L16" s="3" t="str">
        <x:v>EXTENDED RANGE</x:v>
      </x:c>
      <x:c r="M16" s="22"/>
      <x:c r="N16" s="22" t="n">
        <x:v>75000</x:v>
      </x:c>
      <x:c r="O16" s="22" t="n">
        <x:v>80000</x:v>
      </x:c>
      <x:c r="P16" s="3" t="str">
        <x:v>50–100千km</x:v>
      </x:c>
      <x:c r="Q16" s="3" t="str">
        <x:v>Bangkok</x:v>
      </x:c>
      <x:c r="R16" s="3" t="str">
        <x:v>Bangkok metro</x:v>
      </x:c>
      <x:c r="S16" s="3" t="str">
        <x:v>AT</x:v>
      </x:c>
      <x:c r="T16" s="3" t="str">
        <x:v>世代不明</x:v>
      </x:c>
      <x:c r="U16" s="28" t="n">
        <x:v>459000</x:v>
      </x:c>
      <x:c r="V16" s="28"/>
      <x:c r="W16" s="3" t="str">
        <x:v>広告の申告のみ。事故・水没・SOH・保証残は未確認</x:v>
      </x:c>
      <x:c r="X16" s="3" t="str">
        <x:v>掲載中・在庫未確認</x:v>
      </x:c>
      <x:c r="Y16" s="3" t="str"/>
      <x:c r="Z16" s="27" t="str">
        <x:v>https://www.one2car.com/en/cars-for-sale/byd/atto-3</x:v>
      </x:c>
      <x:c r="AA16" s="3" t="str">
        <x:v>掲載リンク参照#182／見出し行1218（永続IDではない）</x:v>
      </x:c>
      <x:c r="AB16" s="3" t="str">
        <x:v>車台番号未取得／サイト間重複は未判定</x:v>
      </x:c>
      <x:c r="AC16" s="3" t="str">
        <x:v>税込区分未確認</x:v>
      </x:c>
      <x:c r="AD16" s="3" t="str">
        <x:v>ATTO22_EXTENDED RANGE</x:v>
      </x:c>
      <x:c r="AE16" s="29" t="n">
        <x:f>'新車価格・特価'!K8</x:f>
        <x:v>1199900</x:v>
      </x:c>
      <x:c r="AF16" s="30" t="n">
        <x:f>IF(ISNUMBER(AE16),U16/AE16,"")</x:f>
        <x:v>0.3825318776564714</x:v>
      </x:c>
      <x:c r="AG16" s="29" t="n">
        <x:f>'新車価格・特価'!N35</x:f>
        <x:v>769900</x:v>
      </x:c>
      <x:c r="AH16" s="30" t="n">
        <x:f>IF(ISNUMBER(AG16),U16/AG16,"")</x:f>
        <x:v>0.5961813222496428</x:v>
      </x:c>
      <x:c r="AI16" s="3" t="str">
        <x:v>当時公表小売価格の参考残価率。実購入額ではない。年式/登録年・仕様差に注意。</x:v>
      </x:c>
      <x:c r="AJ16" s="3" t="str">
        <x:v>走行/条件情報あり</x:v>
      </x:c>
      <x:c r="AK16" s="3" t="str">
        <x:v>取得した検索結果ページの掲載。サイトの並び順による選択偏りあり。</x:v>
      </x:c>
      <x:c r="AL16" s="31" t="n">
        <x:f>IF(AND(J16&lt;='分析方法'!$B$7,OR(ISBLANK(O16),O16&gt;='分析方法'!$B$8),X16&lt;&gt;"売却済み表示"),1,0)</x:f>
        <x:v>1</x:v>
      </x:c>
      <x:c r="AM16" s="32" t="n">
        <x:f>IF(AL16=1,U16,"")</x:f>
        <x:v>459000</x:v>
      </x:c>
      <x:c r="AN16" s="33" t="n">
        <x:f>IF(AL16=1,AF16,"")</x:f>
        <x:v>0.3825318776564714</x:v>
      </x:c>
      <x:c r="AO16" s="31" t="n">
        <x:f>'分析方法'!$B$6-J16</x:f>
        <x:v>3</x:v>
      </x:c>
      <x:c r="AP16" s="3"/>
    </x:row>
    <x:row r="17" ht="22" customHeight="1">
      <x:c r="A17" s="3" t="str">
        <x:v>O_atto-3_174</x:v>
      </x:c>
      <x:c r="B17" s="7" t="d">
        <x:v>2026-10-08T00:00:00.000Z</x:v>
      </x:c>
      <x:c r="C17" s="3" t="str">
        <x:v>One2car</x:v>
      </x:c>
      <x:c r="D17" s="3" t="str">
        <x:v>BYD</x:v>
      </x:c>
      <x:c r="E17" s="3" t="str">
        <x:v>中国</x:v>
      </x:c>
      <x:c r="F17" s="3" t="str">
        <x:v>ATTO 3</x:v>
      </x:c>
      <x:c r="G17" s="3" t="str">
        <x:v>BEV</x:v>
      </x:c>
      <x:c r="H17" s="3" t="str">
        <x:v>SUV</x:v>
      </x:c>
      <x:c r="I17" s="3" t="str"/>
      <x:c r="J17" s="3" t="n">
        <x:v>2023</x:v>
      </x:c>
      <x:c r="K17" s="3" t="str">
        <x:v>Extended Range</x:v>
      </x:c>
      <x:c r="L17" s="3" t="str">
        <x:v>EXTENDED RANGE</x:v>
      </x:c>
      <x:c r="M17" s="22"/>
      <x:c r="N17" s="22" t="n">
        <x:v>95000</x:v>
      </x:c>
      <x:c r="O17" s="22" t="n">
        <x:v>100000</x:v>
      </x:c>
      <x:c r="P17" s="3" t="str">
        <x:v>50–100千km</x:v>
      </x:c>
      <x:c r="Q17" s="3" t="str">
        <x:v>Nonthaburi</x:v>
      </x:c>
      <x:c r="R17" s="3" t="str">
        <x:v>Bangkok metro</x:v>
      </x:c>
      <x:c r="S17" s="3" t="str">
        <x:v>AT</x:v>
      </x:c>
      <x:c r="T17" s="3" t="str">
        <x:v>世代不明</x:v>
      </x:c>
      <x:c r="U17" s="28" t="n">
        <x:v>443000</x:v>
      </x:c>
      <x:c r="V17" s="28"/>
      <x:c r="W17" s="3" t="str">
        <x:v>広告の申告のみ。事故・水没・SOH・保証残は未確認</x:v>
      </x:c>
      <x:c r="X17" s="3" t="str">
        <x:v>掲載中・在庫未確認</x:v>
      </x:c>
      <x:c r="Y17" s="3" t="str"/>
      <x:c r="Z17" s="27" t="str">
        <x:v>https://www.one2car.com/en/cars-for-sale/byd/atto-3</x:v>
      </x:c>
      <x:c r="AA17" s="3" t="str">
        <x:v>掲載リンク参照#174／見出し行972（永続IDではない）</x:v>
      </x:c>
      <x:c r="AB17" s="3" t="str">
        <x:v>車台番号未取得／サイト間重複は未判定</x:v>
      </x:c>
      <x:c r="AC17" s="3" t="str">
        <x:v>税込区分未確認</x:v>
      </x:c>
      <x:c r="AD17" s="3" t="str">
        <x:v>ATTO22_EXTENDED RANGE</x:v>
      </x:c>
      <x:c r="AE17" s="29" t="n">
        <x:f>'新車価格・特価'!K8</x:f>
        <x:v>1199900</x:v>
      </x:c>
      <x:c r="AF17" s="30" t="n">
        <x:f>IF(ISNUMBER(AE17),U17/AE17,"")</x:f>
        <x:v>0.3691974331194266</x:v>
      </x:c>
      <x:c r="AG17" s="29" t="n">
        <x:f>'新車価格・特価'!N35</x:f>
        <x:v>769900</x:v>
      </x:c>
      <x:c r="AH17" s="30" t="n">
        <x:f>IF(ISNUMBER(AG17),U17/AG17,"")</x:f>
        <x:v>0.5753994025198078</x:v>
      </x:c>
      <x:c r="AI17" s="3" t="str">
        <x:v>当時公表小売価格の参考残価率。実購入額ではない。年式/登録年・仕様差に注意。</x:v>
      </x:c>
      <x:c r="AJ17" s="3" t="str">
        <x:v>走行/条件情報あり</x:v>
      </x:c>
      <x:c r="AK17" s="3" t="str">
        <x:v>取得した検索結果ページの掲載。サイトの並び順による選択偏りあり。</x:v>
      </x:c>
      <x:c r="AL17" s="31" t="n">
        <x:f>IF(AND(J17&lt;='分析方法'!$B$7,OR(ISBLANK(O17),O17&gt;='分析方法'!$B$8),X17&lt;&gt;"売却済み表示"),1,0)</x:f>
        <x:v>1</x:v>
      </x:c>
      <x:c r="AM17" s="32" t="n">
        <x:f>IF(AL17=1,U17,"")</x:f>
        <x:v>443000</x:v>
      </x:c>
      <x:c r="AN17" s="33" t="n">
        <x:f>IF(AL17=1,AF17,"")</x:f>
        <x:v>0.3691974331194266</x:v>
      </x:c>
      <x:c r="AO17" s="31" t="n">
        <x:f>'分析方法'!$B$6-J17</x:f>
        <x:v>3</x:v>
      </x:c>
      <x:c r="AP17" s="3"/>
    </x:row>
    <x:row r="18" ht="22" customHeight="1">
      <x:c r="A18" s="3" t="str">
        <x:v>O_atto-3_177</x:v>
      </x:c>
      <x:c r="B18" s="7" t="d">
        <x:v>2026-10-08T00:00:00.000Z</x:v>
      </x:c>
      <x:c r="C18" s="3" t="str">
        <x:v>One2car</x:v>
      </x:c>
      <x:c r="D18" s="3" t="str">
        <x:v>BYD</x:v>
      </x:c>
      <x:c r="E18" s="3" t="str">
        <x:v>中国</x:v>
      </x:c>
      <x:c r="F18" s="3" t="str">
        <x:v>ATTO 3</x:v>
      </x:c>
      <x:c r="G18" s="3" t="str">
        <x:v>BEV</x:v>
      </x:c>
      <x:c r="H18" s="3" t="str">
        <x:v>SUV</x:v>
      </x:c>
      <x:c r="I18" s="3" t="str"/>
      <x:c r="J18" s="3" t="n">
        <x:v>2023</x:v>
      </x:c>
      <x:c r="K18" s="3" t="str">
        <x:v>Extended Range</x:v>
      </x:c>
      <x:c r="L18" s="3" t="str">
        <x:v>EXTENDED RANGE</x:v>
      </x:c>
      <x:c r="M18" s="22"/>
      <x:c r="N18" s="22" t="n">
        <x:v>95000</x:v>
      </x:c>
      <x:c r="O18" s="22" t="n">
        <x:v>100000</x:v>
      </x:c>
      <x:c r="P18" s="3" t="str">
        <x:v>50–100千km</x:v>
      </x:c>
      <x:c r="Q18" s="3" t="str">
        <x:v>Nonthaburi</x:v>
      </x:c>
      <x:c r="R18" s="3" t="str">
        <x:v>Bangkok metro</x:v>
      </x:c>
      <x:c r="S18" s="3" t="str">
        <x:v>AT</x:v>
      </x:c>
      <x:c r="T18" s="3" t="str">
        <x:v>世代不明</x:v>
      </x:c>
      <x:c r="U18" s="28" t="n">
        <x:v>463000</x:v>
      </x:c>
      <x:c r="V18" s="28"/>
      <x:c r="W18" s="3" t="str">
        <x:v>広告の申告のみ。事故・水没・SOH・保証残は未確認</x:v>
      </x:c>
      <x:c r="X18" s="3" t="str">
        <x:v>掲載中・在庫未確認</x:v>
      </x:c>
      <x:c r="Y18" s="3" t="str"/>
      <x:c r="Z18" s="27" t="str">
        <x:v>https://www.one2car.com/en/cars-for-sale/byd/atto-3</x:v>
      </x:c>
      <x:c r="AA18" s="3" t="str">
        <x:v>掲載リンク参照#177／見出し行1065（永続IDではない）</x:v>
      </x:c>
      <x:c r="AB18" s="3" t="str">
        <x:v>車台番号未取得／サイト間重複は未判定</x:v>
      </x:c>
      <x:c r="AC18" s="3" t="str">
        <x:v>税込区分未確認</x:v>
      </x:c>
      <x:c r="AD18" s="3" t="str">
        <x:v>ATTO22_EXTENDED RANGE</x:v>
      </x:c>
      <x:c r="AE18" s="29" t="n">
        <x:f>'新車価格・特価'!K8</x:f>
        <x:v>1199900</x:v>
      </x:c>
      <x:c r="AF18" s="30" t="n">
        <x:f>IF(ISNUMBER(AE18),U18/AE18,"")</x:f>
        <x:v>0.38586548879073257</x:v>
      </x:c>
      <x:c r="AG18" s="29" t="n">
        <x:f>'新車価格・特価'!N35</x:f>
        <x:v>769900</x:v>
      </x:c>
      <x:c r="AH18" s="30" t="n">
        <x:f>IF(ISNUMBER(AG18),U18/AG18,"")</x:f>
        <x:v>0.6013768021821015</x:v>
      </x:c>
      <x:c r="AI18" s="3" t="str">
        <x:v>当時公表小売価格の参考残価率。実購入額ではない。年式/登録年・仕様差に注意。</x:v>
      </x:c>
      <x:c r="AJ18" s="3" t="str">
        <x:v>走行/条件情報あり</x:v>
      </x:c>
      <x:c r="AK18" s="3" t="str">
        <x:v>取得した検索結果ページの掲載。サイトの並び順による選択偏りあり。</x:v>
      </x:c>
      <x:c r="AL18" s="31" t="n">
        <x:f>IF(AND(J18&lt;='分析方法'!$B$7,OR(ISBLANK(O18),O18&gt;='分析方法'!$B$8),X18&lt;&gt;"売却済み表示"),1,0)</x:f>
        <x:v>1</x:v>
      </x:c>
      <x:c r="AM18" s="32" t="n">
        <x:f>IF(AL18=1,U18,"")</x:f>
        <x:v>463000</x:v>
      </x:c>
      <x:c r="AN18" s="33" t="n">
        <x:f>IF(AL18=1,AF18,"")</x:f>
        <x:v>0.38586548879073257</x:v>
      </x:c>
      <x:c r="AO18" s="31" t="n">
        <x:f>'分析方法'!$B$6-J18</x:f>
        <x:v>3</x:v>
      </x:c>
      <x:c r="AP18" s="3"/>
    </x:row>
    <x:row r="19" ht="22" customHeight="1">
      <x:c r="A19" s="3" t="str">
        <x:v>O_atto-3_183</x:v>
      </x:c>
      <x:c r="B19" s="7" t="d">
        <x:v>2026-10-08T00:00:00.000Z</x:v>
      </x:c>
      <x:c r="C19" s="3" t="str">
        <x:v>One2car</x:v>
      </x:c>
      <x:c r="D19" s="3" t="str">
        <x:v>BYD</x:v>
      </x:c>
      <x:c r="E19" s="3" t="str">
        <x:v>中国</x:v>
      </x:c>
      <x:c r="F19" s="3" t="str">
        <x:v>ATTO 3</x:v>
      </x:c>
      <x:c r="G19" s="3" t="str">
        <x:v>BEV</x:v>
      </x:c>
      <x:c r="H19" s="3" t="str">
        <x:v>SUV</x:v>
      </x:c>
      <x:c r="I19" s="3" t="str"/>
      <x:c r="J19" s="3" t="n">
        <x:v>2023</x:v>
      </x:c>
      <x:c r="K19" s="3" t="str">
        <x:v>Extended Range</x:v>
      </x:c>
      <x:c r="L19" s="3" t="str">
        <x:v>EXTENDED RANGE</x:v>
      </x:c>
      <x:c r="M19" s="22"/>
      <x:c r="N19" s="22" t="n">
        <x:v>95000</x:v>
      </x:c>
      <x:c r="O19" s="22" t="n">
        <x:v>100000</x:v>
      </x:c>
      <x:c r="P19" s="3" t="str">
        <x:v>50–100千km</x:v>
      </x:c>
      <x:c r="Q19" s="3" t="str">
        <x:v>Nonthaburi</x:v>
      </x:c>
      <x:c r="R19" s="3" t="str">
        <x:v>Bangkok metro</x:v>
      </x:c>
      <x:c r="S19" s="3" t="str">
        <x:v>AT</x:v>
      </x:c>
      <x:c r="T19" s="3" t="str">
        <x:v>世代不明</x:v>
      </x:c>
      <x:c r="U19" s="28" t="n">
        <x:v>467000</x:v>
      </x:c>
      <x:c r="V19" s="28"/>
      <x:c r="W19" s="3" t="str">
        <x:v>広告の申告のみ。事故・水没・SOH・保証残は未確認</x:v>
      </x:c>
      <x:c r="X19" s="3" t="str">
        <x:v>掲載中・在庫未確認</x:v>
      </x:c>
      <x:c r="Y19" s="3" t="str"/>
      <x:c r="Z19" s="27" t="str">
        <x:v>https://www.one2car.com/en/cars-for-sale/byd/atto-3</x:v>
      </x:c>
      <x:c r="AA19" s="3" t="str">
        <x:v>掲載リンク参照#183／見出し行1247（永続IDではない）</x:v>
      </x:c>
      <x:c r="AB19" s="3" t="str">
        <x:v>車台番号未取得／サイト間重複は未判定</x:v>
      </x:c>
      <x:c r="AC19" s="3" t="str">
        <x:v>税込区分未確認</x:v>
      </x:c>
      <x:c r="AD19" s="3" t="str">
        <x:v>ATTO22_EXTENDED RANGE</x:v>
      </x:c>
      <x:c r="AE19" s="29" t="n">
        <x:f>'新車価格・特価'!K8</x:f>
        <x:v>1199900</x:v>
      </x:c>
      <x:c r="AF19" s="30" t="n">
        <x:f>IF(ISNUMBER(AE19),U19/AE19,"")</x:f>
        <x:v>0.38919909992499374</x:v>
      </x:c>
      <x:c r="AG19" s="29" t="n">
        <x:f>'新車価格・特価'!N35</x:f>
        <x:v>769900</x:v>
      </x:c>
      <x:c r="AH19" s="30" t="n">
        <x:f>IF(ISNUMBER(AG19),U19/AG19,"")</x:f>
        <x:v>0.6065722821145604</x:v>
      </x:c>
      <x:c r="AI19" s="3" t="str">
        <x:v>当時公表小売価格の参考残価率。実購入額ではない。年式/登録年・仕様差に注意。</x:v>
      </x:c>
      <x:c r="AJ19" s="3" t="str">
        <x:v>走行/条件情報あり</x:v>
      </x:c>
      <x:c r="AK19" s="3" t="str">
        <x:v>取得した検索結果ページの掲載。サイトの並び順による選択偏りあり。</x:v>
      </x:c>
      <x:c r="AL19" s="31" t="n">
        <x:f>IF(AND(J19&lt;='分析方法'!$B$7,OR(ISBLANK(O19),O19&gt;='分析方法'!$B$8),X19&lt;&gt;"売却済み表示"),1,0)</x:f>
        <x:v>1</x:v>
      </x:c>
      <x:c r="AM19" s="32" t="n">
        <x:f>IF(AL19=1,U19,"")</x:f>
        <x:v>467000</x:v>
      </x:c>
      <x:c r="AN19" s="33" t="n">
        <x:f>IF(AL19=1,AF19,"")</x:f>
        <x:v>0.38919909992499374</x:v>
      </x:c>
      <x:c r="AO19" s="31" t="n">
        <x:f>'分析方法'!$B$6-J19</x:f>
        <x:v>3</x:v>
      </x:c>
      <x:c r="AP19" s="3"/>
    </x:row>
    <x:row r="20" ht="22" customHeight="1">
      <x:c r="A20" s="3" t="str">
        <x:v>O_atto-3_186</x:v>
      </x:c>
      <x:c r="B20" s="7" t="d">
        <x:v>2026-10-08T00:00:00.000Z</x:v>
      </x:c>
      <x:c r="C20" s="3" t="str">
        <x:v>One2car</x:v>
      </x:c>
      <x:c r="D20" s="3" t="str">
        <x:v>BYD</x:v>
      </x:c>
      <x:c r="E20" s="3" t="str">
        <x:v>中国</x:v>
      </x:c>
      <x:c r="F20" s="3" t="str">
        <x:v>ATTO 3</x:v>
      </x:c>
      <x:c r="G20" s="3" t="str">
        <x:v>BEV</x:v>
      </x:c>
      <x:c r="H20" s="3" t="str">
        <x:v>SUV</x:v>
      </x:c>
      <x:c r="I20" s="3" t="str"/>
      <x:c r="J20" s="3" t="n">
        <x:v>2023</x:v>
      </x:c>
      <x:c r="K20" s="3" t="str">
        <x:v>Extended Range</x:v>
      </x:c>
      <x:c r="L20" s="3" t="str">
        <x:v>EXTENDED RANGE</x:v>
      </x:c>
      <x:c r="M20" s="22"/>
      <x:c r="N20" s="22" t="n">
        <x:v>60000</x:v>
      </x:c>
      <x:c r="O20" s="22" t="n">
        <x:v>65000</x:v>
      </x:c>
      <x:c r="P20" s="3" t="str">
        <x:v>50–100千km</x:v>
      </x:c>
      <x:c r="Q20" s="3" t="str">
        <x:v>Nonthaburi</x:v>
      </x:c>
      <x:c r="R20" s="3" t="str">
        <x:v>Bangkok metro</x:v>
      </x:c>
      <x:c r="S20" s="3" t="str">
        <x:v>AT</x:v>
      </x:c>
      <x:c r="T20" s="3" t="str">
        <x:v>世代不明</x:v>
      </x:c>
      <x:c r="U20" s="28" t="n">
        <x:v>469000</x:v>
      </x:c>
      <x:c r="V20" s="28"/>
      <x:c r="W20" s="3" t="str">
        <x:v>広告の申告のみ。事故・水没・SOH・保証残は未確認</x:v>
      </x:c>
      <x:c r="X20" s="3" t="str">
        <x:v>掲載中・在庫未確認</x:v>
      </x:c>
      <x:c r="Y20" s="3" t="str"/>
      <x:c r="Z20" s="27" t="str">
        <x:v>https://www.one2car.com/en/cars-for-sale/byd/atto-3</x:v>
      </x:c>
      <x:c r="AA20" s="3" t="str">
        <x:v>掲載リンク参照#186／見出し行1343（永続IDではない）</x:v>
      </x:c>
      <x:c r="AB20" s="3" t="str">
        <x:v>車台番号未取得／サイト間重複は未判定</x:v>
      </x:c>
      <x:c r="AC20" s="3" t="str">
        <x:v>税込区分未確認</x:v>
      </x:c>
      <x:c r="AD20" s="3" t="str">
        <x:v>ATTO22_EXTENDED RANGE</x:v>
      </x:c>
      <x:c r="AE20" s="29" t="n">
        <x:f>'新車価格・特価'!K8</x:f>
        <x:v>1199900</x:v>
      </x:c>
      <x:c r="AF20" s="30" t="n">
        <x:f>IF(ISNUMBER(AE20),U20/AE20,"")</x:f>
        <x:v>0.39086590549212435</x:v>
      </x:c>
      <x:c r="AG20" s="29" t="n">
        <x:f>'新車価格・特価'!N35</x:f>
        <x:v>769900</x:v>
      </x:c>
      <x:c r="AH20" s="30" t="n">
        <x:f>IF(ISNUMBER(AG20),U20/AG20,"")</x:f>
        <x:v>0.6091700220807897</x:v>
      </x:c>
      <x:c r="AI20" s="3" t="str">
        <x:v>当時公表小売価格の参考残価率。実購入額ではない。年式/登録年・仕様差に注意。</x:v>
      </x:c>
      <x:c r="AJ20" s="3" t="str">
        <x:v>走行/条件情報あり</x:v>
      </x:c>
      <x:c r="AK20" s="3" t="str">
        <x:v>取得した検索結果ページの掲載。サイトの並び順による選択偏りあり。</x:v>
      </x:c>
      <x:c r="AL20" s="31" t="n">
        <x:f>IF(AND(J20&lt;='分析方法'!$B$7,OR(ISBLANK(O20),O20&gt;='分析方法'!$B$8),X20&lt;&gt;"売却済み表示"),1,0)</x:f>
        <x:v>1</x:v>
      </x:c>
      <x:c r="AM20" s="32" t="n">
        <x:f>IF(AL20=1,U20,"")</x:f>
        <x:v>469000</x:v>
      </x:c>
      <x:c r="AN20" s="33" t="n">
        <x:f>IF(AL20=1,AF20,"")</x:f>
        <x:v>0.39086590549212435</x:v>
      </x:c>
      <x:c r="AO20" s="31" t="n">
        <x:f>'分析方法'!$B$6-J20</x:f>
        <x:v>3</x:v>
      </x:c>
      <x:c r="AP20" s="3"/>
    </x:row>
    <x:row r="21" ht="22" customHeight="1">
      <x:c r="A21" s="3" t="str">
        <x:v>O_atto-3_176</x:v>
      </x:c>
      <x:c r="B21" s="7" t="d">
        <x:v>2026-10-08T00:00:00.000Z</x:v>
      </x:c>
      <x:c r="C21" s="3" t="str">
        <x:v>One2car</x:v>
      </x:c>
      <x:c r="D21" s="3" t="str">
        <x:v>BYD</x:v>
      </x:c>
      <x:c r="E21" s="3" t="str">
        <x:v>中国</x:v>
      </x:c>
      <x:c r="F21" s="3" t="str">
        <x:v>ATTO 3</x:v>
      </x:c>
      <x:c r="G21" s="3" t="str">
        <x:v>BEV</x:v>
      </x:c>
      <x:c r="H21" s="3" t="str">
        <x:v>SUV</x:v>
      </x:c>
      <x:c r="I21" s="3" t="str"/>
      <x:c r="J21" s="3" t="n">
        <x:v>2023</x:v>
      </x:c>
      <x:c r="K21" s="3" t="str">
        <x:v>Extended Range</x:v>
      </x:c>
      <x:c r="L21" s="3" t="str">
        <x:v>EXTENDED RANGE</x:v>
      </x:c>
      <x:c r="M21" s="22" t="n">
        <x:v>19000</x:v>
      </x:c>
      <x:c r="N21" s="22" t="n">
        <x:v>19000</x:v>
      </x:c>
      <x:c r="O21" s="22" t="n">
        <x:v>19000</x:v>
      </x:c>
      <x:c r="P21" s="3" t="str">
        <x:v>&lt;20千km</x:v>
      </x:c>
      <x:c r="Q21" s="3" t="str">
        <x:v>Bangkok</x:v>
      </x:c>
      <x:c r="R21" s="3" t="str">
        <x:v>Bangkok metro</x:v>
      </x:c>
      <x:c r="S21" s="3" t="str">
        <x:v>AT</x:v>
      </x:c>
      <x:c r="T21" s="3" t="str">
        <x:v>世代不明</x:v>
      </x:c>
      <x:c r="U21" s="28" t="n">
        <x:v>519000</x:v>
      </x:c>
      <x:c r="V21" s="28"/>
      <x:c r="W21" s="3" t="str">
        <x:v>広告の申告のみ。事故・水没・SOH・保証残は未確認</x:v>
      </x:c>
      <x:c r="X21" s="3" t="str">
        <x:v>掲載中・在庫未確認</x:v>
      </x:c>
      <x:c r="Y21" s="3" t="str"/>
      <x:c r="Z21" s="27" t="str">
        <x:v>https://www.one2car.com/en/cars-for-sale/byd/atto-3</x:v>
      </x:c>
      <x:c r="AA21" s="3" t="str">
        <x:v>掲載リンク参照#176／見出し行1036（永続IDではない）</x:v>
      </x:c>
      <x:c r="AB21" s="3" t="str">
        <x:v>車台番号未取得／サイト間重複は未判定</x:v>
      </x:c>
      <x:c r="AC21" s="3" t="str">
        <x:v>税込区分未確認</x:v>
      </x:c>
      <x:c r="AD21" s="3" t="str">
        <x:v>ATTO22_EXTENDED RANGE</x:v>
      </x:c>
      <x:c r="AE21" s="29" t="n">
        <x:f>'新車価格・特価'!K8</x:f>
        <x:v>1199900</x:v>
      </x:c>
      <x:c r="AF21" s="30" t="n">
        <x:f>IF(ISNUMBER(AE21),U21/AE21,"")</x:f>
        <x:v>0.4325360446703892</x:v>
      </x:c>
      <x:c r="AG21" s="29" t="n">
        <x:f>'新車価格・特価'!N35</x:f>
        <x:v>769900</x:v>
      </x:c>
      <x:c r="AH21" s="30" t="n">
        <x:f>IF(ISNUMBER(AG21),U21/AG21,"")</x:f>
        <x:v>0.6741135212365242</x:v>
      </x:c>
      <x:c r="AI21" s="3" t="str">
        <x:v>当時公表小売価格の参考残価率。実購入額ではない。年式/登録年・仕様差に注意。</x:v>
      </x:c>
      <x:c r="AJ21" s="3" t="str">
        <x:v>走行/条件情報あり</x:v>
      </x:c>
      <x:c r="AK21" s="3" t="str">
        <x:v>取得した検索結果ページの掲載。サイトの並び順による選択偏りあり。</x:v>
      </x:c>
      <x:c r="AL21" s="31" t="n">
        <x:f>IF(AND(J21&lt;='分析方法'!$B$7,OR(ISBLANK(O21),O21&gt;='分析方法'!$B$8),X21&lt;&gt;"売却済み表示"),1,0)</x:f>
        <x:v>1</x:v>
      </x:c>
      <x:c r="AM21" s="32" t="n">
        <x:f>IF(AL21=1,U21,"")</x:f>
        <x:v>519000</x:v>
      </x:c>
      <x:c r="AN21" s="33" t="n">
        <x:f>IF(AL21=1,AF21,"")</x:f>
        <x:v>0.4325360446703892</x:v>
      </x:c>
      <x:c r="AO21" s="31" t="n">
        <x:f>'分析方法'!$B$6-J21</x:f>
        <x:v>3</x:v>
      </x:c>
      <x:c r="AP21" s="3"/>
    </x:row>
    <x:row r="22" ht="22" customHeight="1">
      <x:c r="A22" s="3" t="str">
        <x:v>O_atto-3_185</x:v>
      </x:c>
      <x:c r="B22" s="7" t="d">
        <x:v>2026-10-08T00:00:00.000Z</x:v>
      </x:c>
      <x:c r="C22" s="3" t="str">
        <x:v>One2car</x:v>
      </x:c>
      <x:c r="D22" s="3" t="str">
        <x:v>BYD</x:v>
      </x:c>
      <x:c r="E22" s="3" t="str">
        <x:v>中国</x:v>
      </x:c>
      <x:c r="F22" s="3" t="str">
        <x:v>ATTO 3</x:v>
      </x:c>
      <x:c r="G22" s="3" t="str">
        <x:v>BEV</x:v>
      </x:c>
      <x:c r="H22" s="3" t="str">
        <x:v>SUV</x:v>
      </x:c>
      <x:c r="I22" s="3" t="str"/>
      <x:c r="J22" s="3" t="n">
        <x:v>2023</x:v>
      </x:c>
      <x:c r="K22" s="3" t="str">
        <x:v>Extended Range</x:v>
      </x:c>
      <x:c r="L22" s="3" t="str">
        <x:v>EXTENDED RANGE</x:v>
      </x:c>
      <x:c r="M22" s="22"/>
      <x:c r="N22" s="22" t="n">
        <x:v>10000</x:v>
      </x:c>
      <x:c r="O22" s="22" t="n">
        <x:v>15000</x:v>
      </x:c>
      <x:c r="P22" s="3" t="str">
        <x:v>&lt;20千km</x:v>
      </x:c>
      <x:c r="Q22" s="3" t="str">
        <x:v>Nonthaburi</x:v>
      </x:c>
      <x:c r="R22" s="3" t="str">
        <x:v>Bangkok metro</x:v>
      </x:c>
      <x:c r="S22" s="3" t="str">
        <x:v>AT</x:v>
      </x:c>
      <x:c r="T22" s="3" t="str">
        <x:v>世代不明</x:v>
      </x:c>
      <x:c r="U22" s="28" t="n">
        <x:v>491000</x:v>
      </x:c>
      <x:c r="V22" s="28"/>
      <x:c r="W22" s="3" t="str">
        <x:v>広告の申告のみ。事故・水没・SOH・保証残は未確認</x:v>
      </x:c>
      <x:c r="X22" s="3" t="str">
        <x:v>掲載中・在庫未確認</x:v>
      </x:c>
      <x:c r="Y22" s="3" t="str"/>
      <x:c r="Z22" s="27" t="str">
        <x:v>https://www.one2car.com/en/cars-for-sale/byd/atto-3</x:v>
      </x:c>
      <x:c r="AA22" s="3" t="str">
        <x:v>掲載リンク参照#185／見出し行1311（永続IDではない）</x:v>
      </x:c>
      <x:c r="AB22" s="3" t="str">
        <x:v>車台番号未取得／サイト間重複は未判定</x:v>
      </x:c>
      <x:c r="AC22" s="3" t="str">
        <x:v>税込区分未確認</x:v>
      </x:c>
      <x:c r="AD22" s="3" t="str">
        <x:v>ATTO22_EXTENDED RANGE</x:v>
      </x:c>
      <x:c r="AE22" s="29" t="n">
        <x:f>'新車価格・特価'!K8</x:f>
        <x:v>1199900</x:v>
      </x:c>
      <x:c r="AF22" s="30" t="n">
        <x:f>IF(ISNUMBER(AE22),U22/AE22,"")</x:f>
        <x:v>0.4092007667305609</x:v>
      </x:c>
      <x:c r="AG22" s="29" t="n">
        <x:f>'新車価格・特価'!N35</x:f>
        <x:v>769900</x:v>
      </x:c>
      <x:c r="AH22" s="30" t="n">
        <x:f>IF(ISNUMBER(AG22),U22/AG22,"")</x:f>
        <x:v>0.637745161709313</x:v>
      </x:c>
      <x:c r="AI22" s="3" t="str">
        <x:v>当時公表小売価格の参考残価率。実購入額ではない。年式/登録年・仕様差に注意。</x:v>
      </x:c>
      <x:c r="AJ22" s="3" t="str">
        <x:v>走行/条件情報あり</x:v>
      </x:c>
      <x:c r="AK22" s="3" t="str">
        <x:v>取得した検索結果ページの掲載。サイトの並び順による選択偏りあり。</x:v>
      </x:c>
      <x:c r="AL22" s="31" t="n">
        <x:f>IF(AND(J22&lt;='分析方法'!$B$7,OR(ISBLANK(O22),O22&gt;='分析方法'!$B$8),X22&lt;&gt;"売却済み表示"),1,0)</x:f>
        <x:v>1</x:v>
      </x:c>
      <x:c r="AM22" s="32" t="n">
        <x:f>IF(AL22=1,U22,"")</x:f>
        <x:v>491000</x:v>
      </x:c>
      <x:c r="AN22" s="33" t="n">
        <x:f>IF(AL22=1,AF22,"")</x:f>
        <x:v>0.4092007667305609</x:v>
      </x:c>
      <x:c r="AO22" s="31" t="n">
        <x:f>'分析方法'!$B$6-J22</x:f>
        <x:v>3</x:v>
      </x:c>
      <x:c r="AP22" s="3"/>
    </x:row>
    <x:row r="23" ht="22" customHeight="1">
      <x:c r="A23" s="3" t="str">
        <x:v>O_atto-3_165</x:v>
      </x:c>
      <x:c r="B23" s="7" t="d">
        <x:v>2026-10-08T00:00:00.000Z</x:v>
      </x:c>
      <x:c r="C23" s="3" t="str">
        <x:v>One2car</x:v>
      </x:c>
      <x:c r="D23" s="3" t="str">
        <x:v>BYD</x:v>
      </x:c>
      <x:c r="E23" s="3" t="str">
        <x:v>中国</x:v>
      </x:c>
      <x:c r="F23" s="3" t="str">
        <x:v>ATTO 3</x:v>
      </x:c>
      <x:c r="G23" s="3" t="str">
        <x:v>BEV</x:v>
      </x:c>
      <x:c r="H23" s="3" t="str">
        <x:v>SUV</x:v>
      </x:c>
      <x:c r="I23" s="3" t="str"/>
      <x:c r="J23" s="3" t="n">
        <x:v>2024</x:v>
      </x:c>
      <x:c r="K23" s="3" t="str">
        <x:v>Dynamic</x:v>
      </x:c>
      <x:c r="L23" s="3" t="str">
        <x:v>DYNAMIC</x:v>
      </x:c>
      <x:c r="M23" s="22"/>
      <x:c r="N23" s="22" t="n">
        <x:v>25000</x:v>
      </x:c>
      <x:c r="O23" s="22" t="n">
        <x:v>30000</x:v>
      </x:c>
      <x:c r="P23" s="3" t="str">
        <x:v>20–50千km</x:v>
      </x:c>
      <x:c r="Q23" s="3" t="str">
        <x:v>Bangkok</x:v>
      </x:c>
      <x:c r="R23" s="3" t="str">
        <x:v>Bangkok metro</x:v>
      </x:c>
      <x:c r="S23" s="3" t="str">
        <x:v>AT</x:v>
      </x:c>
      <x:c r="T23" s="3" t="str">
        <x:v>世代不明</x:v>
      </x:c>
      <x:c r="U23" s="28" t="n">
        <x:v>489000</x:v>
      </x:c>
      <x:c r="V23" s="28"/>
      <x:c r="W23" s="3" t="str">
        <x:v>広告の申告のみ。事故・水没・SOH・保証残は未確認</x:v>
      </x:c>
      <x:c r="X23" s="3" t="str">
        <x:v>掲載中・在庫未確認</x:v>
      </x:c>
      <x:c r="Y23" s="3" t="str"/>
      <x:c r="Z23" s="27" t="str">
        <x:v>https://www.one2car.com/en/cars-for-sale/byd/atto-3</x:v>
      </x:c>
      <x:c r="AA23" s="3" t="str">
        <x:v>掲載リンク参照#165／見出し行754（永続IDではない）</x:v>
      </x:c>
      <x:c r="AB23" s="3" t="str">
        <x:v>車台番号未取得／サイト間重複は未判定</x:v>
      </x:c>
      <x:c r="AC23" s="3" t="str">
        <x:v>税込区分未確認</x:v>
      </x:c>
      <x:c r="AD23" s="3" t="str">
        <x:v>ATTO24_FACTORY_D</x:v>
      </x:c>
      <x:c r="AE23" s="29" t="n">
        <x:f>'新車価格・特価'!K16</x:f>
        <x:v>899900</x:v>
      </x:c>
      <x:c r="AF23" s="30" t="n">
        <x:f>IF(ISNUMBER(AE23),U23/AE23,"")</x:f>
        <x:v>0.543393710412268</x:v>
      </x:c>
      <x:c r="AG23" s="29" t="n">
        <x:f>'新車価格・特価'!N34</x:f>
        <x:v>669900</x:v>
      </x:c>
      <x:c r="AH23" s="30" t="n">
        <x:f>IF(ISNUMBER(AG23),U23/AG23,"")</x:f>
        <x:v>0.7299596954769368</x:v>
      </x:c>
      <x:c r="AI23" s="3" t="str">
        <x:v>当時公表小売価格の参考残価率。実購入額ではない。年式/登録年・仕様差に注意。</x:v>
      </x:c>
      <x:c r="AJ23" s="3" t="str">
        <x:v>走行/条件情報あり</x:v>
      </x:c>
      <x:c r="AK23" s="3" t="str">
        <x:v>取得した検索結果ページの掲載。サイトの並び順による選択偏りあり。</x:v>
      </x:c>
      <x:c r="AL23" s="31" t="n">
        <x:f>IF(AND(J23&lt;='分析方法'!$B$7,OR(ISBLANK(O23),O23&gt;='分析方法'!$B$8),X23&lt;&gt;"売却済み表示"),1,0)</x:f>
        <x:v>1</x:v>
      </x:c>
      <x:c r="AM23" s="32" t="n">
        <x:f>IF(AL23=1,U23,"")</x:f>
        <x:v>489000</x:v>
      </x:c>
      <x:c r="AN23" s="33" t="n">
        <x:f>IF(AL23=1,AF23,"")</x:f>
        <x:v>0.543393710412268</x:v>
      </x:c>
      <x:c r="AO23" s="31" t="n">
        <x:f>'分析方法'!$B$6-J23</x:f>
        <x:v>2</x:v>
      </x:c>
      <x:c r="AP23" s="3"/>
    </x:row>
    <x:row r="24" ht="22" customHeight="1">
      <x:c r="A24" s="3" t="str">
        <x:v>O_atto-3_166</x:v>
      </x:c>
      <x:c r="B24" s="7" t="d">
        <x:v>2026-10-08T00:00:00.000Z</x:v>
      </x:c>
      <x:c r="C24" s="3" t="str">
        <x:v>One2car</x:v>
      </x:c>
      <x:c r="D24" s="3" t="str">
        <x:v>BYD</x:v>
      </x:c>
      <x:c r="E24" s="3" t="str">
        <x:v>中国</x:v>
      </x:c>
      <x:c r="F24" s="3" t="str">
        <x:v>ATTO 3</x:v>
      </x:c>
      <x:c r="G24" s="3" t="str">
        <x:v>BEV</x:v>
      </x:c>
      <x:c r="H24" s="3" t="str">
        <x:v>SUV</x:v>
      </x:c>
      <x:c r="I24" s="3" t="str"/>
      <x:c r="J24" s="3" t="n">
        <x:v>2024</x:v>
      </x:c>
      <x:c r="K24" s="3" t="str">
        <x:v>Extended Range</x:v>
      </x:c>
      <x:c r="L24" s="3" t="str">
        <x:v>EXTENDED RANGE</x:v>
      </x:c>
      <x:c r="M24" s="22"/>
      <x:c r="N24" s="22" t="n">
        <x:v>115000</x:v>
      </x:c>
      <x:c r="O24" s="22" t="n">
        <x:v>120000</x:v>
      </x:c>
      <x:c r="P24" s="3" t="str">
        <x:v>100–150千km</x:v>
      </x:c>
      <x:c r="Q24" s="3" t="str">
        <x:v>Pathum Thani</x:v>
      </x:c>
      <x:c r="R24" s="3" t="str">
        <x:v>Bangkok metro</x:v>
      </x:c>
      <x:c r="S24" s="3" t="str">
        <x:v>AT</x:v>
      </x:c>
      <x:c r="T24" s="3" t="str">
        <x:v>世代不明</x:v>
      </x:c>
      <x:c r="U24" s="28" t="n">
        <x:v>439000</x:v>
      </x:c>
      <x:c r="V24" s="28"/>
      <x:c r="W24" s="3" t="str">
        <x:v>広告の申告のみ。事故・水没・SOH・保証残は未確認</x:v>
      </x:c>
      <x:c r="X24" s="3" t="str">
        <x:v>掲載中・在庫未確認</x:v>
      </x:c>
      <x:c r="Y24" s="3" t="str"/>
      <x:c r="Z24" s="27" t="str">
        <x:v>https://www.one2car.com/en/cars-for-sale/byd/atto-3</x:v>
      </x:c>
      <x:c r="AA24" s="3" t="str">
        <x:v>掲載リンク参照#166／見出し行783（永続IDではない）</x:v>
      </x:c>
      <x:c r="AB24" s="3" t="str">
        <x:v>車台番号未取得／サイト間重複は未判定</x:v>
      </x:c>
      <x:c r="AC24" s="3" t="str">
        <x:v>税込区分未確認</x:v>
      </x:c>
      <x:c r="AD24" s="3" t="str"/>
      <x:c r="AE24" s="29" t="str">
        <x:f>""</x:f>
      </x:c>
      <x:c r="AF24" s="30" t="str">
        <x:f>IF(ISNUMBER(AE24),U24/AE24,"")</x:f>
      </x:c>
      <x:c r="AG24" s="29" t="n">
        <x:f>'新車価格・特価'!N35</x:f>
        <x:v>769900</x:v>
      </x:c>
      <x:c r="AH24" s="30" t="n">
        <x:f>IF(ISNUMBER(AG24),U24/AG24,"")</x:f>
        <x:v>0.570203922587349</x:v>
      </x:c>
      <x:c r="AI24" s="3" t="str">
        <x:v>同年式・グレードの検証済み当時価格なし／登録年混在</x:v>
      </x:c>
      <x:c r="AJ24" s="3" t="str">
        <x:v>走行/条件情報あり</x:v>
      </x:c>
      <x:c r="AK24" s="3" t="str">
        <x:v>取得した検索結果ページの掲載。サイトの並び順による選択偏りあり。</x:v>
      </x:c>
      <x:c r="AL24" s="31" t="n">
        <x:f>IF(AND(J24&lt;='分析方法'!$B$7,OR(ISBLANK(O24),O24&gt;='分析方法'!$B$8),X24&lt;&gt;"売却済み表示"),1,0)</x:f>
        <x:v>1</x:v>
      </x:c>
      <x:c r="AM24" s="32" t="n">
        <x:f>IF(AL24=1,U24,"")</x:f>
        <x:v>439000</x:v>
      </x:c>
      <x:c r="AN24" s="33" t="str">
        <x:f>IF(AL24=1,AF24,"")</x:f>
      </x:c>
      <x:c r="AO24" s="31" t="n">
        <x:f>'分析方法'!$B$6-J24</x:f>
        <x:v>2</x:v>
      </x:c>
      <x:c r="AP24" s="3"/>
    </x:row>
    <x:row r="25" ht="22" customHeight="1">
      <x:c r="A25" s="3" t="str">
        <x:v>O_atto-3_161</x:v>
      </x:c>
      <x:c r="B25" s="7" t="d">
        <x:v>2026-10-08T00:00:00.000Z</x:v>
      </x:c>
      <x:c r="C25" s="3" t="str">
        <x:v>One2car</x:v>
      </x:c>
      <x:c r="D25" s="3" t="str">
        <x:v>BYD</x:v>
      </x:c>
      <x:c r="E25" s="3" t="str">
        <x:v>中国</x:v>
      </x:c>
      <x:c r="F25" s="3" t="str">
        <x:v>ATTO 3</x:v>
      </x:c>
      <x:c r="G25" s="3" t="str">
        <x:v>BEV</x:v>
      </x:c>
      <x:c r="H25" s="3" t="str">
        <x:v>SUV</x:v>
      </x:c>
      <x:c r="I25" s="3" t="str"/>
      <x:c r="J25" s="3" t="n">
        <x:v>2024</x:v>
      </x:c>
      <x:c r="K25" s="3" t="str">
        <x:v>Standard Range</x:v>
      </x:c>
      <x:c r="L25" s="3" t="str">
        <x:v>STANDARD RANGE</x:v>
      </x:c>
      <x:c r="M25" s="22" t="n">
        <x:v>35366</x:v>
      </x:c>
      <x:c r="N25" s="22" t="n">
        <x:v>35366</x:v>
      </x:c>
      <x:c r="O25" s="22" t="n">
        <x:v>35366</x:v>
      </x:c>
      <x:c r="P25" s="3" t="str">
        <x:v>20–50千km</x:v>
      </x:c>
      <x:c r="Q25" s="3" t="str">
        <x:v>Nonthaburi</x:v>
      </x:c>
      <x:c r="R25" s="3" t="str">
        <x:v>Bangkok metro</x:v>
      </x:c>
      <x:c r="S25" s="3" t="str">
        <x:v>AT</x:v>
      </x:c>
      <x:c r="T25" s="3" t="str">
        <x:v>世代不明</x:v>
      </x:c>
      <x:c r="U25" s="28" t="n">
        <x:v>460000</x:v>
      </x:c>
      <x:c r="V25" s="28"/>
      <x:c r="W25" s="3" t="str">
        <x:v>広告の申告のみ。事故・水没・SOH・保証残は未確認</x:v>
      </x:c>
      <x:c r="X25" s="3" t="str">
        <x:v>掲載中・在庫未確認</x:v>
      </x:c>
      <x:c r="Y25" s="3" t="str"/>
      <x:c r="Z25" s="27" t="str">
        <x:v>https://www.one2car.com/en/cars-for-sale/byd/atto-3</x:v>
      </x:c>
      <x:c r="AA25" s="3" t="str">
        <x:v>掲載リンク参照#161／見出し行695（永続IDではない）</x:v>
      </x:c>
      <x:c r="AB25" s="3" t="str">
        <x:v>車台番号未取得／サイト間重複は未判定</x:v>
      </x:c>
      <x:c r="AC25" s="3" t="str">
        <x:v>税込区分未確認</x:v>
      </x:c>
      <x:c r="AD25" s="3" t="str"/>
      <x:c r="AE25" s="29" t="str">
        <x:f>""</x:f>
      </x:c>
      <x:c r="AF25" s="30" t="str">
        <x:f>IF(ISNUMBER(AE25),U25/AE25,"")</x:f>
      </x:c>
      <x:c r="AG25" s="29" t="n">
        <x:f>'新車価格・特価'!N34</x:f>
        <x:v>669900</x:v>
      </x:c>
      <x:c r="AH25" s="30" t="n">
        <x:f>IF(ISNUMBER(AG25),U25/AG25,"")</x:f>
        <x:v>0.6866696521868936</x:v>
      </x:c>
      <x:c r="AI25" s="3" t="str">
        <x:v>同年式・グレードの検証済み当時価格なし／登録年混在</x:v>
      </x:c>
      <x:c r="AJ25" s="3" t="str">
        <x:v>走行/条件情報あり</x:v>
      </x:c>
      <x:c r="AK25" s="3" t="str">
        <x:v>取得した検索結果ページの掲載。サイトの並び順による選択偏りあり。</x:v>
      </x:c>
      <x:c r="AL25" s="31" t="n">
        <x:f>IF(AND(J25&lt;='分析方法'!$B$7,OR(ISBLANK(O25),O25&gt;='分析方法'!$B$8),X25&lt;&gt;"売却済み表示"),1,0)</x:f>
        <x:v>1</x:v>
      </x:c>
      <x:c r="AM25" s="32" t="n">
        <x:f>IF(AL25=1,U25,"")</x:f>
        <x:v>460000</x:v>
      </x:c>
      <x:c r="AN25" s="33" t="str">
        <x:f>IF(AL25=1,AF25,"")</x:f>
      </x:c>
      <x:c r="AO25" s="31" t="n">
        <x:f>'分析方法'!$B$6-J25</x:f>
        <x:v>2</x:v>
      </x:c>
      <x:c r="AP25" s="3"/>
    </x:row>
    <x:row r="26" ht="22" customHeight="1">
      <x:c r="A26" s="3" t="str">
        <x:v>O_atto-3_179</x:v>
      </x:c>
      <x:c r="B26" s="7" t="d">
        <x:v>2026-10-08T00:00:00.000Z</x:v>
      </x:c>
      <x:c r="C26" s="3" t="str">
        <x:v>One2car</x:v>
      </x:c>
      <x:c r="D26" s="3" t="str">
        <x:v>BYD</x:v>
      </x:c>
      <x:c r="E26" s="3" t="str">
        <x:v>中国</x:v>
      </x:c>
      <x:c r="F26" s="3" t="str">
        <x:v>ATTO 3</x:v>
      </x:c>
      <x:c r="G26" s="3" t="str">
        <x:v>BEV</x:v>
      </x:c>
      <x:c r="H26" s="3" t="str">
        <x:v>SUV</x:v>
      </x:c>
      <x:c r="I26" s="3" t="str"/>
      <x:c r="J26" s="3" t="n">
        <x:v>2025</x:v>
      </x:c>
      <x:c r="K26" s="3" t="str">
        <x:v>Extended</x:v>
      </x:c>
      <x:c r="L26" s="3" t="str">
        <x:v>EXTENDED</x:v>
      </x:c>
      <x:c r="M26" s="22"/>
      <x:c r="N26" s="22" t="n">
        <x:v>80000</x:v>
      </x:c>
      <x:c r="O26" s="22" t="n">
        <x:v>85000</x:v>
      </x:c>
      <x:c r="P26" s="3" t="str">
        <x:v>50–100千km</x:v>
      </x:c>
      <x:c r="Q26" s="3" t="str">
        <x:v>Bangkok</x:v>
      </x:c>
      <x:c r="R26" s="3" t="str">
        <x:v>Bangkok metro</x:v>
      </x:c>
      <x:c r="S26" s="3" t="str">
        <x:v>AT</x:v>
      </x:c>
      <x:c r="T26" s="3" t="str">
        <x:v>世代不明</x:v>
      </x:c>
      <x:c r="U26" s="28" t="n">
        <x:v>529000</x:v>
      </x:c>
      <x:c r="V26" s="28"/>
      <x:c r="W26" s="3" t="str">
        <x:v>広告の申告のみ。事故・水没・SOH・保証残は未確認</x:v>
      </x:c>
      <x:c r="X26" s="3" t="str">
        <x:v>掲載中・在庫未確認</x:v>
      </x:c>
      <x:c r="Y26" s="3" t="str"/>
      <x:c r="Z26" s="27" t="str">
        <x:v>https://www.one2car.com/en/cars-for-sale/byd/atto-3</x:v>
      </x:c>
      <x:c r="AA26" s="3" t="str">
        <x:v>掲載リンク参照#179／見出し行1122（永続IDではない）</x:v>
      </x:c>
      <x:c r="AB26" s="3" t="str">
        <x:v>車台番号未取得／サイト間重複は未判定</x:v>
      </x:c>
      <x:c r="AC26" s="3" t="str">
        <x:v>税込区分未確認</x:v>
      </x:c>
      <x:c r="AD26" s="3" t="str"/>
      <x:c r="AE26" s="29" t="str">
        <x:f>""</x:f>
      </x:c>
      <x:c r="AF26" s="30" t="str">
        <x:f>IF(ISNUMBER(AE26),U26/AE26,"")</x:f>
      </x:c>
      <x:c r="AG26" s="29" t="n">
        <x:f>'新車価格・特価'!N35</x:f>
        <x:v>769900</x:v>
      </x:c>
      <x:c r="AH26" s="30" t="n">
        <x:f>IF(ISNUMBER(AG26),U26/AG26,"")</x:f>
        <x:v>0.6871022210676712</x:v>
      </x:c>
      <x:c r="AI26" s="3" t="str">
        <x:v>同年式・グレードの検証済み当時価格なし／登録年混在</x:v>
      </x:c>
      <x:c r="AJ26" s="3" t="str">
        <x:v>走行/条件情報あり</x:v>
      </x:c>
      <x:c r="AK26" s="3" t="str">
        <x:v>取得した検索結果ページの掲載。サイトの並び順による選択偏りあり。</x:v>
      </x:c>
      <x:c r="AL26" s="31" t="n">
        <x:f>IF(AND(J26&lt;='分析方法'!$B$7,OR(ISBLANK(O26),O26&gt;='分析方法'!$B$8),X26&lt;&gt;"売却済み表示"),1,0)</x:f>
        <x:v>1</x:v>
      </x:c>
      <x:c r="AM26" s="32" t="n">
        <x:f>IF(AL26=1,U26,"")</x:f>
        <x:v>529000</x:v>
      </x:c>
      <x:c r="AN26" s="33" t="str">
        <x:f>IF(AL26=1,AF26,"")</x:f>
      </x:c>
      <x:c r="AO26" s="31" t="n">
        <x:f>'分析方法'!$B$6-J26</x:f>
        <x:v>1</x:v>
      </x:c>
      <x:c r="AP26" s="3"/>
    </x:row>
    <x:row r="27" ht="22" customHeight="1">
      <x:c r="A27" s="3" t="str">
        <x:v>O_corolla-altis_272</x:v>
      </x:c>
      <x:c r="B27" s="7" t="d">
        <x:v>2026-10-08T00:00:00.000Z</x:v>
      </x:c>
      <x:c r="C27" s="3" t="str">
        <x:v>One2car</x:v>
      </x:c>
      <x:c r="D27" s="3" t="str">
        <x:v>Toyota</x:v>
      </x:c>
      <x:c r="E27" s="3" t="str">
        <x:v>日本</x:v>
      </x:c>
      <x:c r="F27" s="3" t="str">
        <x:v>Corolla Altis</x:v>
      </x:c>
      <x:c r="G27" s="3" t="str">
        <x:v>HEV</x:v>
      </x:c>
      <x:c r="H27" s="3" t="str">
        <x:v>Sedan</x:v>
      </x:c>
      <x:c r="I27" s="3" t="str"/>
      <x:c r="J27" s="3" t="n">
        <x:v>2020</x:v>
      </x:c>
      <x:c r="K27" s="3" t="str">
        <x:v>Hybrid High</x:v>
      </x:c>
      <x:c r="L27" s="3" t="str">
        <x:v>HEV HIGH</x:v>
      </x:c>
      <x:c r="M27" s="22" t="n">
        <x:v>50219</x:v>
      </x:c>
      <x:c r="N27" s="22" t="n">
        <x:v>50219</x:v>
      </x:c>
      <x:c r="O27" s="22" t="n">
        <x:v>50219</x:v>
      </x:c>
      <x:c r="P27" s="3" t="str">
        <x:v>50–100千km</x:v>
      </x:c>
      <x:c r="Q27" s="3" t="str">
        <x:v>Bangkok</x:v>
      </x:c>
      <x:c r="R27" s="3" t="str">
        <x:v>Bangkok metro</x:v>
      </x:c>
      <x:c r="S27" s="3" t="str">
        <x:v>AT</x:v>
      </x:c>
      <x:c r="T27" s="3" t="str">
        <x:v>世代不明</x:v>
      </x:c>
      <x:c r="U27" s="28" t="n">
        <x:v>559000</x:v>
      </x:c>
      <x:c r="V27" s="28"/>
      <x:c r="W27" s="3" t="str">
        <x:v>広告の申告のみ。事故・水没・SOH・保証残は未確認</x:v>
      </x:c>
      <x:c r="X27" s="3" t="str">
        <x:v>掲載中・在庫未確認</x:v>
      </x:c>
      <x:c r="Y27" s="3" t="str"/>
      <x:c r="Z27" s="27" t="str">
        <x:v>https://www.one2car.com/en/cars-for-sale/toyota/corolla-altis</x:v>
      </x:c>
      <x:c r="AA27" s="3" t="str">
        <x:v>掲載リンク参照#272／見出し行1580（永続IDではない）</x:v>
      </x:c>
      <x:c r="AB27" s="3" t="str">
        <x:v>車台番号未取得／サイト間重複は未判定</x:v>
      </x:c>
      <x:c r="AC27" s="3" t="str">
        <x:v>税込区分未確認</x:v>
      </x:c>
      <x:c r="AD27" s="3" t="str"/>
      <x:c r="AE27" s="29" t="str">
        <x:f>""</x:f>
      </x:c>
      <x:c r="AF27" s="30" t="str">
        <x:f>IF(ISNUMBER(AE27),U27/AE27,"")</x:f>
      </x:c>
      <x:c r="AG27" s="29" t="str">
        <x:f>""</x:f>
      </x:c>
      <x:c r="AH27" s="30" t="str">
        <x:f>IF(ISNUMBER(AG27),U27/AG27,"")</x:f>
      </x:c>
      <x:c r="AI27" s="3" t="str">
        <x:v>同年式・グレードの検証済み当時価格なし／登録年混在</x:v>
      </x:c>
      <x:c r="AJ27" s="3" t="str">
        <x:v>走行/条件情報あり</x:v>
      </x:c>
      <x:c r="AK27" s="3" t="str">
        <x:v>取得した検索結果ページの掲載。サイトの並び順による選択偏りあり。</x:v>
      </x:c>
      <x:c r="AL27" s="31" t="n">
        <x:f>IF(AND(J27&lt;='分析方法'!$B$7,OR(ISBLANK(O27),O27&gt;='分析方法'!$B$8),X27&lt;&gt;"売却済み表示"),1,0)</x:f>
        <x:v>1</x:v>
      </x:c>
      <x:c r="AM27" s="32" t="n">
        <x:f>IF(AL27=1,U27,"")</x:f>
        <x:v>559000</x:v>
      </x:c>
      <x:c r="AN27" s="33" t="str">
        <x:f>IF(AL27=1,AF27,"")</x:f>
      </x:c>
      <x:c r="AO27" s="31" t="n">
        <x:f>'分析方法'!$B$6-J27</x:f>
        <x:v>6</x:v>
      </x:c>
      <x:c r="AP27" s="3"/>
    </x:row>
    <x:row r="28" ht="22" customHeight="1">
      <x:c r="A28" s="3" t="str">
        <x:v>O_corolla-altis_247</x:v>
      </x:c>
      <x:c r="B28" s="7" t="d">
        <x:v>2026-10-08T00:00:00.000Z</x:v>
      </x:c>
      <x:c r="C28" s="3" t="str">
        <x:v>One2car</x:v>
      </x:c>
      <x:c r="D28" s="3" t="str">
        <x:v>Toyota</x:v>
      </x:c>
      <x:c r="E28" s="3" t="str">
        <x:v>日本</x:v>
      </x:c>
      <x:c r="F28" s="3" t="str">
        <x:v>Corolla Altis</x:v>
      </x:c>
      <x:c r="G28" s="3" t="str">
        <x:v>HEV</x:v>
      </x:c>
      <x:c r="H28" s="3" t="str">
        <x:v>Sedan</x:v>
      </x:c>
      <x:c r="I28" s="3" t="str"/>
      <x:c r="J28" s="3" t="n">
        <x:v>2020</x:v>
      </x:c>
      <x:c r="K28" s="3" t="str">
        <x:v>Hybrid Mid</x:v>
      </x:c>
      <x:c r="L28" s="3" t="str">
        <x:v>HEV MID</x:v>
      </x:c>
      <x:c r="M28" s="22"/>
      <x:c r="N28" s="22" t="n">
        <x:v>110000</x:v>
      </x:c>
      <x:c r="O28" s="22" t="n">
        <x:v>115000</x:v>
      </x:c>
      <x:c r="P28" s="3" t="str">
        <x:v>100–150千km</x:v>
      </x:c>
      <x:c r="Q28" s="3" t="str">
        <x:v>Pathum Thani</x:v>
      </x:c>
      <x:c r="R28" s="3" t="str">
        <x:v>Bangkok metro</x:v>
      </x:c>
      <x:c r="S28" s="3" t="str">
        <x:v>AT</x:v>
      </x:c>
      <x:c r="T28" s="3" t="str">
        <x:v>世代不明</x:v>
      </x:c>
      <x:c r="U28" s="28" t="n">
        <x:v>479000</x:v>
      </x:c>
      <x:c r="V28" s="28"/>
      <x:c r="W28" s="3" t="str">
        <x:v>広告の申告のみ。事故・水没・SOH・保証残は未確認</x:v>
      </x:c>
      <x:c r="X28" s="3" t="str">
        <x:v>掲載中・在庫未確認</x:v>
      </x:c>
      <x:c r="Y28" s="3" t="str"/>
      <x:c r="Z28" s="27" t="str">
        <x:v>https://www.one2car.com/en/cars-for-sale/toyota/corolla-altis</x:v>
      </x:c>
      <x:c r="AA28" s="3" t="str">
        <x:v>掲載リンク参照#247／見出し行832（永続IDではない）</x:v>
      </x:c>
      <x:c r="AB28" s="3" t="str">
        <x:v>車台番号未取得／サイト間重複は未判定</x:v>
      </x:c>
      <x:c r="AC28" s="3" t="str">
        <x:v>税込区分未確認</x:v>
      </x:c>
      <x:c r="AD28" s="3" t="str"/>
      <x:c r="AE28" s="29" t="str">
        <x:f>""</x:f>
      </x:c>
      <x:c r="AF28" s="30" t="str">
        <x:f>IF(ISNUMBER(AE28),U28/AE28,"")</x:f>
      </x:c>
      <x:c r="AG28" s="29" t="str">
        <x:f>""</x:f>
      </x:c>
      <x:c r="AH28" s="30" t="str">
        <x:f>IF(ISNUMBER(AG28),U28/AG28,"")</x:f>
      </x:c>
      <x:c r="AI28" s="3" t="str">
        <x:v>同年式・グレードの検証済み当時価格なし／登録年混在</x:v>
      </x:c>
      <x:c r="AJ28" s="3" t="str">
        <x:v>走行/条件情報あり</x:v>
      </x:c>
      <x:c r="AK28" s="3" t="str">
        <x:v>取得した検索結果ページの掲載。サイトの並び順による選択偏りあり。</x:v>
      </x:c>
      <x:c r="AL28" s="31" t="n">
        <x:f>IF(AND(J28&lt;='分析方法'!$B$7,OR(ISBLANK(O28),O28&gt;='分析方法'!$B$8),X28&lt;&gt;"売却済み表示"),1,0)</x:f>
        <x:v>1</x:v>
      </x:c>
      <x:c r="AM28" s="32" t="n">
        <x:f>IF(AL28=1,U28,"")</x:f>
        <x:v>479000</x:v>
      </x:c>
      <x:c r="AN28" s="33" t="str">
        <x:f>IF(AL28=1,AF28,"")</x:f>
      </x:c>
      <x:c r="AO28" s="31" t="n">
        <x:f>'分析方法'!$B$6-J28</x:f>
        <x:v>6</x:v>
      </x:c>
      <x:c r="AP28" s="3"/>
    </x:row>
    <x:row r="29" ht="22" customHeight="1">
      <x:c r="A29" s="3" t="str">
        <x:v>O_corolla-altis_271</x:v>
      </x:c>
      <x:c r="B29" s="7" t="d">
        <x:v>2026-10-08T00:00:00.000Z</x:v>
      </x:c>
      <x:c r="C29" s="3" t="str">
        <x:v>One2car</x:v>
      </x:c>
      <x:c r="D29" s="3" t="str">
        <x:v>Toyota</x:v>
      </x:c>
      <x:c r="E29" s="3" t="str">
        <x:v>日本</x:v>
      </x:c>
      <x:c r="F29" s="3" t="str">
        <x:v>Corolla Altis</x:v>
      </x:c>
      <x:c r="G29" s="3" t="str">
        <x:v>HEV</x:v>
      </x:c>
      <x:c r="H29" s="3" t="str">
        <x:v>Sedan</x:v>
      </x:c>
      <x:c r="I29" s="3" t="str"/>
      <x:c r="J29" s="3" t="n">
        <x:v>2021</x:v>
      </x:c>
      <x:c r="K29" s="3" t="str">
        <x:v>Hybrid Premium Safety</x:v>
      </x:c>
      <x:c r="L29" s="3" t="str">
        <x:v>HEV PREMIUM SAFETY</x:v>
      </x:c>
      <x:c r="M29" s="22" t="n">
        <x:v>50408</x:v>
      </x:c>
      <x:c r="N29" s="22" t="n">
        <x:v>50408</x:v>
      </x:c>
      <x:c r="O29" s="22" t="n">
        <x:v>50408</x:v>
      </x:c>
      <x:c r="P29" s="3" t="str">
        <x:v>50–100千km</x:v>
      </x:c>
      <x:c r="Q29" s="3" t="str">
        <x:v>Bangkok</x:v>
      </x:c>
      <x:c r="R29" s="3" t="str">
        <x:v>Bangkok metro</x:v>
      </x:c>
      <x:c r="S29" s="3" t="str">
        <x:v>AT</x:v>
      </x:c>
      <x:c r="T29" s="3" t="str">
        <x:v>世代不明</x:v>
      </x:c>
      <x:c r="U29" s="28" t="n">
        <x:v>629000</x:v>
      </x:c>
      <x:c r="V29" s="28"/>
      <x:c r="W29" s="3" t="str">
        <x:v>広告の申告のみ。事故・水没・SOH・保証残は未確認</x:v>
      </x:c>
      <x:c r="X29" s="3" t="str">
        <x:v>掲載中・在庫未確認</x:v>
      </x:c>
      <x:c r="Y29" s="3" t="str"/>
      <x:c r="Z29" s="27" t="str">
        <x:v>https://www.one2car.com/en/cars-for-sale/toyota/corolla-altis</x:v>
      </x:c>
      <x:c r="AA29" s="3" t="str">
        <x:v>掲載リンク参照#271／見出し行1544（永続IDではない）</x:v>
      </x:c>
      <x:c r="AB29" s="3" t="str">
        <x:v>車台番号未取得／サイト間重複は未判定</x:v>
      </x:c>
      <x:c r="AC29" s="3" t="str">
        <x:v>税込区分未確認</x:v>
      </x:c>
      <x:c r="AD29" s="3" t="str"/>
      <x:c r="AE29" s="29" t="str">
        <x:f>""</x:f>
      </x:c>
      <x:c r="AF29" s="30" t="str">
        <x:f>IF(ISNUMBER(AE29),U29/AE29,"")</x:f>
      </x:c>
      <x:c r="AG29" s="29" t="str">
        <x:f>""</x:f>
      </x:c>
      <x:c r="AH29" s="30" t="str">
        <x:f>IF(ISNUMBER(AG29),U29/AG29,"")</x:f>
      </x:c>
      <x:c r="AI29" s="3" t="str">
        <x:v>同年式・グレードの検証済み当時価格なし／登録年混在</x:v>
      </x:c>
      <x:c r="AJ29" s="3" t="str">
        <x:v>走行/条件情報あり</x:v>
      </x:c>
      <x:c r="AK29" s="3" t="str">
        <x:v>取得した検索結果ページの掲載。サイトの並び順による選択偏りあり。</x:v>
      </x:c>
      <x:c r="AL29" s="31" t="n">
        <x:f>IF(AND(J29&lt;='分析方法'!$B$7,OR(ISBLANK(O29),O29&gt;='分析方法'!$B$8),X29&lt;&gt;"売却済み表示"),1,0)</x:f>
        <x:v>1</x:v>
      </x:c>
      <x:c r="AM29" s="32" t="n">
        <x:f>IF(AL29=1,U29,"")</x:f>
        <x:v>629000</x:v>
      </x:c>
      <x:c r="AN29" s="33" t="str">
        <x:f>IF(AL29=1,AF29,"")</x:f>
      </x:c>
      <x:c r="AO29" s="31" t="n">
        <x:f>'分析方法'!$B$6-J29</x:f>
        <x:v>5</x:v>
      </x:c>
      <x:c r="AP29" s="3"/>
    </x:row>
    <x:row r="30" ht="22" customHeight="1">
      <x:c r="A30" s="3" t="str">
        <x:v>O_corolla-altis_270</x:v>
      </x:c>
      <x:c r="B30" s="7" t="d">
        <x:v>2026-10-08T00:00:00.000Z</x:v>
      </x:c>
      <x:c r="C30" s="3" t="str">
        <x:v>One2car</x:v>
      </x:c>
      <x:c r="D30" s="3" t="str">
        <x:v>Toyota</x:v>
      </x:c>
      <x:c r="E30" s="3" t="str">
        <x:v>日本</x:v>
      </x:c>
      <x:c r="F30" s="3" t="str">
        <x:v>Corolla Altis</x:v>
      </x:c>
      <x:c r="G30" s="3" t="str">
        <x:v>HEV</x:v>
      </x:c>
      <x:c r="H30" s="3" t="str">
        <x:v>Sedan</x:v>
      </x:c>
      <x:c r="I30" s="3" t="str"/>
      <x:c r="J30" s="3" t="n">
        <x:v>2024</x:v>
      </x:c>
      <x:c r="K30" s="3" t="str">
        <x:v>Hybrid GR Sport</x:v>
      </x:c>
      <x:c r="L30" s="3" t="str">
        <x:v>HEV GR SPORT</x:v>
      </x:c>
      <x:c r="M30" s="22"/>
      <x:c r="N30" s="22" t="n">
        <x:v>5000</x:v>
      </x:c>
      <x:c r="O30" s="22" t="n">
        <x:v>10000</x:v>
      </x:c>
      <x:c r="P30" s="3" t="str">
        <x:v>&lt;20千km</x:v>
      </x:c>
      <x:c r="Q30" s="3" t="str">
        <x:v>Bangkok</x:v>
      </x:c>
      <x:c r="R30" s="3" t="str">
        <x:v>Bangkok metro</x:v>
      </x:c>
      <x:c r="S30" s="3" t="str">
        <x:v>AT</x:v>
      </x:c>
      <x:c r="T30" s="3" t="str">
        <x:v>世代不明</x:v>
      </x:c>
      <x:c r="U30" s="28" t="n">
        <x:v>795000</x:v>
      </x:c>
      <x:c r="V30" s="28"/>
      <x:c r="W30" s="3" t="str">
        <x:v>広告の申告のみ。事故・水没・SOH・保証残は未確認</x:v>
      </x:c>
      <x:c r="X30" s="3" t="str">
        <x:v>掲載中・在庫未確認</x:v>
      </x:c>
      <x:c r="Y30" s="3" t="str"/>
      <x:c r="Z30" s="27" t="str">
        <x:v>https://www.one2car.com/en/cars-for-sale/toyota/corolla-altis</x:v>
      </x:c>
      <x:c r="AA30" s="3" t="str">
        <x:v>掲載リンク参照#270／見出し行1508（永続IDではない）</x:v>
      </x:c>
      <x:c r="AB30" s="3" t="str">
        <x:v>車台番号未取得／サイト間重複は未判定</x:v>
      </x:c>
      <x:c r="AC30" s="3" t="str">
        <x:v>税込区分未確認</x:v>
      </x:c>
      <x:c r="AD30" s="3" t="str">
        <x:v>ALTIS23_HEV GR SPORT</x:v>
      </x:c>
      <x:c r="AE30" s="29" t="n">
        <x:f>'新車価格・特価'!K60</x:f>
        <x:v>1129000</x:v>
      </x:c>
      <x:c r="AF30" s="30" t="n">
        <x:f>IF(ISNUMBER(AE30),U30/AE30,"")</x:f>
        <x:v>0.704162976085031</x:v>
      </x:c>
      <x:c r="AG30" s="29" t="str">
        <x:f>""</x:f>
      </x:c>
      <x:c r="AH30" s="30" t="str">
        <x:f>IF(ISNUMBER(AG30),U30/AG30,"")</x:f>
      </x:c>
      <x:c r="AI30" s="3" t="str">
        <x:v>当時公表小売価格の参考残価率。実購入額ではない。年式/登録年・仕様差に注意。</x:v>
      </x:c>
      <x:c r="AJ30" s="3" t="str">
        <x:v>走行/条件情報あり</x:v>
      </x:c>
      <x:c r="AK30" s="3" t="str">
        <x:v>取得した検索結果ページの掲載。サイトの並び順による選択偏りあり。</x:v>
      </x:c>
      <x:c r="AL30" s="31" t="n">
        <x:f>IF(AND(J30&lt;='分析方法'!$B$7,OR(ISBLANK(O30),O30&gt;='分析方法'!$B$8),X30&lt;&gt;"売却済み表示"),1,0)</x:f>
        <x:v>1</x:v>
      </x:c>
      <x:c r="AM30" s="32" t="n">
        <x:f>IF(AL30=1,U30,"")</x:f>
        <x:v>795000</x:v>
      </x:c>
      <x:c r="AN30" s="33" t="n">
        <x:f>IF(AL30=1,AF30,"")</x:f>
        <x:v>0.704162976085031</x:v>
      </x:c>
      <x:c r="AO30" s="31" t="n">
        <x:f>'分析方法'!$B$6-J30</x:f>
        <x:v>2</x:v>
      </x:c>
      <x:c r="AP30" s="3"/>
    </x:row>
    <x:row r="31" ht="22" customHeight="1">
      <x:c r="A31" s="3" t="str">
        <x:v>O_corolla-altis_276</x:v>
      </x:c>
      <x:c r="B31" s="7" t="d">
        <x:v>2026-10-08T00:00:00.000Z</x:v>
      </x:c>
      <x:c r="C31" s="3" t="str">
        <x:v>One2car</x:v>
      </x:c>
      <x:c r="D31" s="3" t="str">
        <x:v>Toyota</x:v>
      </x:c>
      <x:c r="E31" s="3" t="str">
        <x:v>日本</x:v>
      </x:c>
      <x:c r="F31" s="3" t="str">
        <x:v>Corolla Altis</x:v>
      </x:c>
      <x:c r="G31" s="3" t="str">
        <x:v>ICE</x:v>
      </x:c>
      <x:c r="H31" s="3" t="str">
        <x:v>Sedan</x:v>
      </x:c>
      <x:c r="I31" s="3" t="str"/>
      <x:c r="J31" s="3" t="n">
        <x:v>2020</x:v>
      </x:c>
      <x:c r="K31" s="3" t="str">
        <x:v>G</x:v>
      </x:c>
      <x:c r="L31" s="3" t="str">
        <x:v>G</x:v>
      </x:c>
      <x:c r="M31" s="22" t="n">
        <x:v>62792</x:v>
      </x:c>
      <x:c r="N31" s="22" t="n">
        <x:v>62792</x:v>
      </x:c>
      <x:c r="O31" s="22" t="n">
        <x:v>62792</x:v>
      </x:c>
      <x:c r="P31" s="3" t="str">
        <x:v>50–100千km</x:v>
      </x:c>
      <x:c r="Q31" s="3" t="str">
        <x:v>Bangkok</x:v>
      </x:c>
      <x:c r="R31" s="3" t="str">
        <x:v>Bangkok metro</x:v>
      </x:c>
      <x:c r="S31" s="3" t="str">
        <x:v>AT</x:v>
      </x:c>
      <x:c r="T31" s="3" t="str">
        <x:v>世代不明</x:v>
      </x:c>
      <x:c r="U31" s="28" t="n">
        <x:v>459000</x:v>
      </x:c>
      <x:c r="V31" s="28"/>
      <x:c r="W31" s="3" t="str">
        <x:v>広告の申告のみ。事故・水没・SOH・保証残は未確認</x:v>
      </x:c>
      <x:c r="X31" s="3" t="str">
        <x:v>掲載中・在庫未確認</x:v>
      </x:c>
      <x:c r="Y31" s="3" t="str"/>
      <x:c r="Z31" s="27" t="str">
        <x:v>https://www.one2car.com/en/cars-for-sale/toyota/corolla-altis</x:v>
      </x:c>
      <x:c r="AA31" s="3" t="str">
        <x:v>掲載リンク参照#276／見出し行1726（永続IDではない）</x:v>
      </x:c>
      <x:c r="AB31" s="3" t="str">
        <x:v>車台番号未取得／サイト間重複は未判定</x:v>
      </x:c>
      <x:c r="AC31" s="3" t="str">
        <x:v>税込区分未確認</x:v>
      </x:c>
      <x:c r="AD31" s="3" t="str"/>
      <x:c r="AE31" s="29" t="str">
        <x:f>""</x:f>
      </x:c>
      <x:c r="AF31" s="30" t="str">
        <x:f>IF(ISNUMBER(AE31),U31/AE31,"")</x:f>
      </x:c>
      <x:c r="AG31" s="29" t="str">
        <x:f>""</x:f>
      </x:c>
      <x:c r="AH31" s="30" t="str">
        <x:f>IF(ISNUMBER(AG31),U31/AG31,"")</x:f>
      </x:c>
      <x:c r="AI31" s="3" t="str">
        <x:v>同年式・グレードの検証済み当時価格なし／登録年混在</x:v>
      </x:c>
      <x:c r="AJ31" s="3" t="str">
        <x:v>走行/条件情報あり</x:v>
      </x:c>
      <x:c r="AK31" s="3" t="str">
        <x:v>取得した検索結果ページの掲載。サイトの並び順による選択偏りあり。</x:v>
      </x:c>
      <x:c r="AL31" s="31" t="n">
        <x:f>IF(AND(J31&lt;='分析方法'!$B$7,OR(ISBLANK(O31),O31&gt;='分析方法'!$B$8),X31&lt;&gt;"売却済み表示"),1,0)</x:f>
        <x:v>1</x:v>
      </x:c>
      <x:c r="AM31" s="32" t="n">
        <x:f>IF(AL31=1,U31,"")</x:f>
        <x:v>459000</x:v>
      </x:c>
      <x:c r="AN31" s="33" t="str">
        <x:f>IF(AL31=1,AF31,"")</x:f>
      </x:c>
      <x:c r="AO31" s="31" t="n">
        <x:f>'分析方法'!$B$6-J31</x:f>
        <x:v>6</x:v>
      </x:c>
      <x:c r="AP31" s="3"/>
    </x:row>
    <x:row r="32" ht="22" customHeight="1">
      <x:c r="A32" s="3" t="str">
        <x:v>O_corolla-altis_263</x:v>
      </x:c>
      <x:c r="B32" s="7" t="d">
        <x:v>2026-10-08T00:00:00.000Z</x:v>
      </x:c>
      <x:c r="C32" s="3" t="str">
        <x:v>One2car</x:v>
      </x:c>
      <x:c r="D32" s="3" t="str">
        <x:v>Toyota</x:v>
      </x:c>
      <x:c r="E32" s="3" t="str">
        <x:v>日本</x:v>
      </x:c>
      <x:c r="F32" s="3" t="str">
        <x:v>Corolla Altis</x:v>
      </x:c>
      <x:c r="G32" s="3" t="str">
        <x:v>ICE</x:v>
      </x:c>
      <x:c r="H32" s="3" t="str">
        <x:v>Sedan</x:v>
      </x:c>
      <x:c r="I32" s="3" t="str"/>
      <x:c r="J32" s="3" t="n">
        <x:v>2021</x:v>
      </x:c>
      <x:c r="K32" s="3" t="str">
        <x:v>G</x:v>
      </x:c>
      <x:c r="L32" s="3" t="str">
        <x:v>G</x:v>
      </x:c>
      <x:c r="M32" s="22"/>
      <x:c r="N32" s="22" t="n">
        <x:v>90000</x:v>
      </x:c>
      <x:c r="O32" s="22" t="n">
        <x:v>95000</x:v>
      </x:c>
      <x:c r="P32" s="3" t="str">
        <x:v>50–100千km</x:v>
      </x:c>
      <x:c r="Q32" s="3" t="str">
        <x:v>Bangkok</x:v>
      </x:c>
      <x:c r="R32" s="3" t="str">
        <x:v>Bangkok metro</x:v>
      </x:c>
      <x:c r="S32" s="3" t="str">
        <x:v>AT</x:v>
      </x:c>
      <x:c r="T32" s="3" t="str">
        <x:v>世代不明</x:v>
      </x:c>
      <x:c r="U32" s="28" t="n">
        <x:v>445000</x:v>
      </x:c>
      <x:c r="V32" s="28"/>
      <x:c r="W32" s="3" t="str">
        <x:v>広告の申告のみ。事故・水没・SOH・保証残は未確認</x:v>
      </x:c>
      <x:c r="X32" s="3" t="str">
        <x:v>掲載中・在庫未確認</x:v>
      </x:c>
      <x:c r="Y32" s="3" t="str"/>
      <x:c r="Z32" s="27" t="str">
        <x:v>https://www.one2car.com/en/cars-for-sale/toyota/corolla-altis</x:v>
      </x:c>
      <x:c r="AA32" s="3" t="str">
        <x:v>掲載リンク参照#263／見出し行1289（永続IDではない）</x:v>
      </x:c>
      <x:c r="AB32" s="3" t="str">
        <x:v>車台番号未取得／サイト間重複は未判定</x:v>
      </x:c>
      <x:c r="AC32" s="3" t="str">
        <x:v>税込区分未確認</x:v>
      </x:c>
      <x:c r="AD32" s="3" t="str"/>
      <x:c r="AE32" s="29" t="str">
        <x:f>""</x:f>
      </x:c>
      <x:c r="AF32" s="30" t="str">
        <x:f>IF(ISNUMBER(AE32),U32/AE32,"")</x:f>
      </x:c>
      <x:c r="AG32" s="29" t="str">
        <x:f>""</x:f>
      </x:c>
      <x:c r="AH32" s="30" t="str">
        <x:f>IF(ISNUMBER(AG32),U32/AG32,"")</x:f>
      </x:c>
      <x:c r="AI32" s="3" t="str">
        <x:v>同年式・グレードの検証済み当時価格なし／登録年混在</x:v>
      </x:c>
      <x:c r="AJ32" s="3" t="str">
        <x:v>走行/条件情報あり</x:v>
      </x:c>
      <x:c r="AK32" s="3" t="str">
        <x:v>取得した検索結果ページの掲載。サイトの並び順による選択偏りあり。</x:v>
      </x:c>
      <x:c r="AL32" s="31" t="n">
        <x:f>IF(AND(J32&lt;='分析方法'!$B$7,OR(ISBLANK(O32),O32&gt;='分析方法'!$B$8),X32&lt;&gt;"売却済み表示"),1,0)</x:f>
        <x:v>1</x:v>
      </x:c>
      <x:c r="AM32" s="32" t="n">
        <x:f>IF(AL32=1,U32,"")</x:f>
        <x:v>445000</x:v>
      </x:c>
      <x:c r="AN32" s="33" t="str">
        <x:f>IF(AL32=1,AF32,"")</x:f>
      </x:c>
      <x:c r="AO32" s="31" t="n">
        <x:f>'分析方法'!$B$6-J32</x:f>
        <x:v>5</x:v>
      </x:c>
      <x:c r="AP32" s="3"/>
    </x:row>
    <x:row r="33" ht="22" customHeight="1">
      <x:c r="A33" s="3" t="str">
        <x:v>O_corolla-altis_262</x:v>
      </x:c>
      <x:c r="B33" s="7" t="d">
        <x:v>2026-10-08T00:00:00.000Z</x:v>
      </x:c>
      <x:c r="C33" s="3" t="str">
        <x:v>One2car</x:v>
      </x:c>
      <x:c r="D33" s="3" t="str">
        <x:v>Toyota</x:v>
      </x:c>
      <x:c r="E33" s="3" t="str">
        <x:v>日本</x:v>
      </x:c>
      <x:c r="F33" s="3" t="str">
        <x:v>Corolla Altis</x:v>
      </x:c>
      <x:c r="G33" s="3" t="str">
        <x:v>ICE</x:v>
      </x:c>
      <x:c r="H33" s="3" t="str">
        <x:v>Sedan</x:v>
      </x:c>
      <x:c r="I33" s="3" t="str"/>
      <x:c r="J33" s="3" t="n">
        <x:v>2021</x:v>
      </x:c>
      <x:c r="K33" s="3" t="str">
        <x:v>G</x:v>
      </x:c>
      <x:c r="L33" s="3" t="str">
        <x:v>G</x:v>
      </x:c>
      <x:c r="M33" s="22"/>
      <x:c r="N33" s="22" t="n">
        <x:v>90000</x:v>
      </x:c>
      <x:c r="O33" s="22" t="n">
        <x:v>95000</x:v>
      </x:c>
      <x:c r="P33" s="3" t="str">
        <x:v>50–100千km</x:v>
      </x:c>
      <x:c r="Q33" s="3" t="str">
        <x:v>Nakhon Pathom</x:v>
      </x:c>
      <x:c r="R33" s="3" t="str">
        <x:v>Bangkok metro</x:v>
      </x:c>
      <x:c r="S33" s="3" t="str">
        <x:v>AT</x:v>
      </x:c>
      <x:c r="T33" s="3" t="str">
        <x:v>世代不明</x:v>
      </x:c>
      <x:c r="U33" s="28" t="n">
        <x:v>439000</x:v>
      </x:c>
      <x:c r="V33" s="28"/>
      <x:c r="W33" s="3" t="str">
        <x:v>広告の申告のみ。事故・水没・SOH・保証残は未確認</x:v>
      </x:c>
      <x:c r="X33" s="3" t="str">
        <x:v>掲載中・在庫未確認</x:v>
      </x:c>
      <x:c r="Y33" s="3" t="str"/>
      <x:c r="Z33" s="27" t="str">
        <x:v>https://www.one2car.com/en/cars-for-sale/toyota/corolla-altis</x:v>
      </x:c>
      <x:c r="AA33" s="3" t="str">
        <x:v>掲載リンク参照#262／見出し行1253（永続IDではない）</x:v>
      </x:c>
      <x:c r="AB33" s="3" t="str">
        <x:v>候補f4963969：同条件・価格一致、車台番号未確認</x:v>
      </x:c>
      <x:c r="AC33" s="3" t="str">
        <x:v>税込区分未確認</x:v>
      </x:c>
      <x:c r="AD33" s="3" t="str"/>
      <x:c r="AE33" s="29" t="str">
        <x:f>""</x:f>
      </x:c>
      <x:c r="AF33" s="30" t="str">
        <x:f>IF(ISNUMBER(AE33),U33/AE33,"")</x:f>
      </x:c>
      <x:c r="AG33" s="29" t="str">
        <x:f>""</x:f>
      </x:c>
      <x:c r="AH33" s="30" t="str">
        <x:f>IF(ISNUMBER(AG33),U33/AG33,"")</x:f>
      </x:c>
      <x:c r="AI33" s="3" t="str">
        <x:v>同年式・グレードの検証済み当時価格なし／登録年混在</x:v>
      </x:c>
      <x:c r="AJ33" s="3" t="str">
        <x:v>走行/条件情報あり</x:v>
      </x:c>
      <x:c r="AK33" s="3" t="str">
        <x:v>取得した検索結果ページの掲載。サイトの並び順による選択偏りあり。</x:v>
      </x:c>
      <x:c r="AL33" s="31" t="n">
        <x:f>IF(AND(J33&lt;='分析方法'!$B$7,OR(ISBLANK(O33),O33&gt;='分析方法'!$B$8),X33&lt;&gt;"売却済み表示"),1,0)</x:f>
        <x:v>1</x:v>
      </x:c>
      <x:c r="AM33" s="32" t="n">
        <x:f>IF(AL33=1,U33,"")</x:f>
        <x:v>439000</x:v>
      </x:c>
      <x:c r="AN33" s="33" t="str">
        <x:f>IF(AL33=1,AF33,"")</x:f>
      </x:c>
      <x:c r="AO33" s="31" t="n">
        <x:f>'分析方法'!$B$6-J33</x:f>
        <x:v>5</x:v>
      </x:c>
      <x:c r="AP33" s="3"/>
    </x:row>
    <x:row r="34" ht="22" customHeight="1">
      <x:c r="A34" s="3" t="str">
        <x:v>O_corolla-altis_268</x:v>
      </x:c>
      <x:c r="B34" s="7" t="d">
        <x:v>2026-10-08T00:00:00.000Z</x:v>
      </x:c>
      <x:c r="C34" s="3" t="str">
        <x:v>One2car</x:v>
      </x:c>
      <x:c r="D34" s="3" t="str">
        <x:v>Toyota</x:v>
      </x:c>
      <x:c r="E34" s="3" t="str">
        <x:v>日本</x:v>
      </x:c>
      <x:c r="F34" s="3" t="str">
        <x:v>Corolla Altis</x:v>
      </x:c>
      <x:c r="G34" s="3" t="str">
        <x:v>ICE</x:v>
      </x:c>
      <x:c r="H34" s="3" t="str">
        <x:v>Sedan</x:v>
      </x:c>
      <x:c r="I34" s="3" t="str"/>
      <x:c r="J34" s="3" t="n">
        <x:v>2021</x:v>
      </x:c>
      <x:c r="K34" s="3" t="str">
        <x:v>G</x:v>
      </x:c>
      <x:c r="L34" s="3" t="str">
        <x:v>G</x:v>
      </x:c>
      <x:c r="M34" s="22"/>
      <x:c r="N34" s="22" t="n">
        <x:v>90000</x:v>
      </x:c>
      <x:c r="O34" s="22" t="n">
        <x:v>95000</x:v>
      </x:c>
      <x:c r="P34" s="3" t="str">
        <x:v>50–100千km</x:v>
      </x:c>
      <x:c r="Q34" s="3" t="str">
        <x:v>Nakhon Pathom</x:v>
      </x:c>
      <x:c r="R34" s="3" t="str">
        <x:v>Bangkok metro</x:v>
      </x:c>
      <x:c r="S34" s="3" t="str">
        <x:v>AT</x:v>
      </x:c>
      <x:c r="T34" s="3" t="str">
        <x:v>世代不明</x:v>
      </x:c>
      <x:c r="U34" s="28" t="n">
        <x:v>439000</x:v>
      </x:c>
      <x:c r="V34" s="28"/>
      <x:c r="W34" s="3" t="str">
        <x:v>広告の申告のみ。事故・水没・SOH・保証残は未確認</x:v>
      </x:c>
      <x:c r="X34" s="3" t="str">
        <x:v>掲載中・在庫未確認</x:v>
      </x:c>
      <x:c r="Y34" s="3" t="str"/>
      <x:c r="Z34" s="27" t="str">
        <x:v>https://www.one2car.com/en/cars-for-sale/toyota/corolla-altis</x:v>
      </x:c>
      <x:c r="AA34" s="3" t="str">
        <x:v>掲載リンク参照#268／見出し行1436（永続IDではない）</x:v>
      </x:c>
      <x:c r="AB34" s="3" t="str">
        <x:v>候補f4963969：同条件・価格一致、車台番号未確認</x:v>
      </x:c>
      <x:c r="AC34" s="3" t="str">
        <x:v>税込区分未確認</x:v>
      </x:c>
      <x:c r="AD34" s="3" t="str"/>
      <x:c r="AE34" s="29" t="str">
        <x:f>""</x:f>
      </x:c>
      <x:c r="AF34" s="30" t="str">
        <x:f>IF(ISNUMBER(AE34),U34/AE34,"")</x:f>
      </x:c>
      <x:c r="AG34" s="29" t="str">
        <x:f>""</x:f>
      </x:c>
      <x:c r="AH34" s="30" t="str">
        <x:f>IF(ISNUMBER(AG34),U34/AG34,"")</x:f>
      </x:c>
      <x:c r="AI34" s="3" t="str">
        <x:v>同年式・グレードの検証済み当時価格なし／登録年混在</x:v>
      </x:c>
      <x:c r="AJ34" s="3" t="str">
        <x:v>走行/条件情報あり</x:v>
      </x:c>
      <x:c r="AK34" s="3" t="str">
        <x:v>取得した検索結果ページの掲載。サイトの並び順による選択偏りあり。</x:v>
      </x:c>
      <x:c r="AL34" s="31" t="n">
        <x:f>IF(AND(J34&lt;='分析方法'!$B$7,OR(ISBLANK(O34),O34&gt;='分析方法'!$B$8),X34&lt;&gt;"売却済み表示"),1,0)</x:f>
        <x:v>1</x:v>
      </x:c>
      <x:c r="AM34" s="32" t="n">
        <x:f>IF(AL34=1,U34,"")</x:f>
        <x:v>439000</x:v>
      </x:c>
      <x:c r="AN34" s="33" t="str">
        <x:f>IF(AL34=1,AF34,"")</x:f>
      </x:c>
      <x:c r="AO34" s="31" t="n">
        <x:f>'分析方法'!$B$6-J34</x:f>
        <x:v>5</x:v>
      </x:c>
      <x:c r="AP34" s="3"/>
    </x:row>
    <x:row r="35" ht="22" customHeight="1">
      <x:c r="A35" s="3" t="str">
        <x:v>O_corolla-altis_267</x:v>
      </x:c>
      <x:c r="B35" s="7" t="d">
        <x:v>2026-10-08T00:00:00.000Z</x:v>
      </x:c>
      <x:c r="C35" s="3" t="str">
        <x:v>One2car</x:v>
      </x:c>
      <x:c r="D35" s="3" t="str">
        <x:v>Toyota</x:v>
      </x:c>
      <x:c r="E35" s="3" t="str">
        <x:v>日本</x:v>
      </x:c>
      <x:c r="F35" s="3" t="str">
        <x:v>Corolla Altis</x:v>
      </x:c>
      <x:c r="G35" s="3" t="str">
        <x:v>ICE</x:v>
      </x:c>
      <x:c r="H35" s="3" t="str">
        <x:v>Sedan</x:v>
      </x:c>
      <x:c r="I35" s="3" t="str"/>
      <x:c r="J35" s="3" t="n">
        <x:v>2021</x:v>
      </x:c>
      <x:c r="K35" s="3" t="str">
        <x:v>G</x:v>
      </x:c>
      <x:c r="L35" s="3" t="str">
        <x:v>G</x:v>
      </x:c>
      <x:c r="M35" s="22"/>
      <x:c r="N35" s="22" t="n">
        <x:v>75000</x:v>
      </x:c>
      <x:c r="O35" s="22" t="n">
        <x:v>80000</x:v>
      </x:c>
      <x:c r="P35" s="3" t="str">
        <x:v>50–100千km</x:v>
      </x:c>
      <x:c r="Q35" s="3" t="str">
        <x:v>Pathum Thani</x:v>
      </x:c>
      <x:c r="R35" s="3" t="str">
        <x:v>Bangkok metro</x:v>
      </x:c>
      <x:c r="S35" s="3" t="str">
        <x:v>AT</x:v>
      </x:c>
      <x:c r="T35" s="3" t="str">
        <x:v>世代不明</x:v>
      </x:c>
      <x:c r="U35" s="28" t="n">
        <x:v>399000</x:v>
      </x:c>
      <x:c r="V35" s="28"/>
      <x:c r="W35" s="3" t="str">
        <x:v>広告の申告のみ。事故・水没・SOH・保証残は未確認</x:v>
      </x:c>
      <x:c r="X35" s="3" t="str">
        <x:v>掲載中・在庫未確認</x:v>
      </x:c>
      <x:c r="Y35" s="3" t="str"/>
      <x:c r="Z35" s="27" t="str">
        <x:v>https://www.one2car.com/en/cars-for-sale/toyota/corolla-altis</x:v>
      </x:c>
      <x:c r="AA35" s="3" t="str">
        <x:v>掲載リンク参照#267／見出し行1400（永続IDではない）</x:v>
      </x:c>
      <x:c r="AB35" s="3" t="str">
        <x:v>車台番号未取得／サイト間重複は未判定</x:v>
      </x:c>
      <x:c r="AC35" s="3" t="str">
        <x:v>税込区分未確認</x:v>
      </x:c>
      <x:c r="AD35" s="3" t="str"/>
      <x:c r="AE35" s="29" t="str">
        <x:f>""</x:f>
      </x:c>
      <x:c r="AF35" s="30" t="str">
        <x:f>IF(ISNUMBER(AE35),U35/AE35,"")</x:f>
      </x:c>
      <x:c r="AG35" s="29" t="str">
        <x:f>""</x:f>
      </x:c>
      <x:c r="AH35" s="30" t="str">
        <x:f>IF(ISNUMBER(AG35),U35/AG35,"")</x:f>
      </x:c>
      <x:c r="AI35" s="3" t="str">
        <x:v>同年式・グレードの検証済み当時価格なし／登録年混在</x:v>
      </x:c>
      <x:c r="AJ35" s="3" t="str">
        <x:v>走行/条件情報あり</x:v>
      </x:c>
      <x:c r="AK35" s="3" t="str">
        <x:v>取得した検索結果ページの掲載。サイトの並び順による選択偏りあり。</x:v>
      </x:c>
      <x:c r="AL35" s="31" t="n">
        <x:f>IF(AND(J35&lt;='分析方法'!$B$7,OR(ISBLANK(O35),O35&gt;='分析方法'!$B$8),X35&lt;&gt;"売却済み表示"),1,0)</x:f>
        <x:v>1</x:v>
      </x:c>
      <x:c r="AM35" s="32" t="n">
        <x:f>IF(AL35=1,U35,"")</x:f>
        <x:v>399000</x:v>
      </x:c>
      <x:c r="AN35" s="33" t="str">
        <x:f>IF(AL35=1,AF35,"")</x:f>
      </x:c>
      <x:c r="AO35" s="31" t="n">
        <x:f>'分析方法'!$B$6-J35</x:f>
        <x:v>5</x:v>
      </x:c>
      <x:c r="AP35" s="3"/>
    </x:row>
    <x:row r="36" ht="22" customHeight="1">
      <x:c r="A36" s="3" t="str">
        <x:v>O_corolla-altis_257</x:v>
      </x:c>
      <x:c r="B36" s="7" t="d">
        <x:v>2026-10-08T00:00:00.000Z</x:v>
      </x:c>
      <x:c r="C36" s="3" t="str">
        <x:v>One2car</x:v>
      </x:c>
      <x:c r="D36" s="3" t="str">
        <x:v>Toyota</x:v>
      </x:c>
      <x:c r="E36" s="3" t="str">
        <x:v>日本</x:v>
      </x:c>
      <x:c r="F36" s="3" t="str">
        <x:v>Corolla Altis</x:v>
      </x:c>
      <x:c r="G36" s="3" t="str">
        <x:v>ICE</x:v>
      </x:c>
      <x:c r="H36" s="3" t="str">
        <x:v>Sedan</x:v>
      </x:c>
      <x:c r="I36" s="3" t="str"/>
      <x:c r="J36" s="3" t="n">
        <x:v>2022</x:v>
      </x:c>
      <x:c r="K36" s="3" t="str">
        <x:v>G</x:v>
      </x:c>
      <x:c r="L36" s="3" t="str">
        <x:v>G</x:v>
      </x:c>
      <x:c r="M36" s="22" t="n">
        <x:v>140000</x:v>
      </x:c>
      <x:c r="N36" s="22" t="n">
        <x:v>140000</x:v>
      </x:c>
      <x:c r="O36" s="22" t="n">
        <x:v>140000</x:v>
      </x:c>
      <x:c r="P36" s="3" t="str">
        <x:v>100–150千km</x:v>
      </x:c>
      <x:c r="Q36" s="3" t="str">
        <x:v>Bangkok</x:v>
      </x:c>
      <x:c r="R36" s="3" t="str">
        <x:v>Bangkok metro</x:v>
      </x:c>
      <x:c r="S36" s="3" t="str">
        <x:v>AT</x:v>
      </x:c>
      <x:c r="T36" s="3" t="str">
        <x:v>世代不明</x:v>
      </x:c>
      <x:c r="U36" s="28" t="n">
        <x:v>419000</x:v>
      </x:c>
      <x:c r="V36" s="28"/>
      <x:c r="W36" s="3" t="str">
        <x:v>広告の申告のみ。事故・水没・SOH・保証残は未確認</x:v>
      </x:c>
      <x:c r="X36" s="3" t="str">
        <x:v>掲載中・在庫未確認</x:v>
      </x:c>
      <x:c r="Y36" s="3" t="str"/>
      <x:c r="Z36" s="27" t="str">
        <x:v>https://www.one2car.com/en/cars-for-sale/toyota/corolla-altis</x:v>
      </x:c>
      <x:c r="AA36" s="3" t="str">
        <x:v>掲載リンク参照#257／見出し行1070（永続IDではない）</x:v>
      </x:c>
      <x:c r="AB36" s="3" t="str">
        <x:v>車台番号未取得／サイト間重複は未判定</x:v>
      </x:c>
      <x:c r="AC36" s="3" t="str">
        <x:v>税込区分未確認</x:v>
      </x:c>
      <x:c r="AD36" s="3" t="str"/>
      <x:c r="AE36" s="29" t="str">
        <x:f>""</x:f>
      </x:c>
      <x:c r="AF36" s="30" t="str">
        <x:f>IF(ISNUMBER(AE36),U36/AE36,"")</x:f>
      </x:c>
      <x:c r="AG36" s="29" t="str">
        <x:f>""</x:f>
      </x:c>
      <x:c r="AH36" s="30" t="str">
        <x:f>IF(ISNUMBER(AG36),U36/AG36,"")</x:f>
      </x:c>
      <x:c r="AI36" s="3" t="str">
        <x:v>同年式・グレードの検証済み当時価格なし／登録年混在</x:v>
      </x:c>
      <x:c r="AJ36" s="3" t="str">
        <x:v>走行/条件情報あり</x:v>
      </x:c>
      <x:c r="AK36" s="3" t="str">
        <x:v>取得した検索結果ページの掲載。サイトの並び順による選択偏りあり。</x:v>
      </x:c>
      <x:c r="AL36" s="31" t="n">
        <x:f>IF(AND(J36&lt;='分析方法'!$B$7,OR(ISBLANK(O36),O36&gt;='分析方法'!$B$8),X36&lt;&gt;"売却済み表示"),1,0)</x:f>
        <x:v>1</x:v>
      </x:c>
      <x:c r="AM36" s="32" t="n">
        <x:f>IF(AL36=1,U36,"")</x:f>
        <x:v>419000</x:v>
      </x:c>
      <x:c r="AN36" s="33" t="str">
        <x:f>IF(AL36=1,AF36,"")</x:f>
      </x:c>
      <x:c r="AO36" s="31" t="n">
        <x:f>'分析方法'!$B$6-J36</x:f>
        <x:v>4</x:v>
      </x:c>
      <x:c r="AP36" s="3"/>
    </x:row>
    <x:row r="37" ht="22" customHeight="1">
      <x:c r="A37" s="3" t="str">
        <x:v>O_corolla-altis_269</x:v>
      </x:c>
      <x:c r="B37" s="7" t="d">
        <x:v>2026-10-08T00:00:00.000Z</x:v>
      </x:c>
      <x:c r="C37" s="3" t="str">
        <x:v>One2car</x:v>
      </x:c>
      <x:c r="D37" s="3" t="str">
        <x:v>Toyota</x:v>
      </x:c>
      <x:c r="E37" s="3" t="str">
        <x:v>日本</x:v>
      </x:c>
      <x:c r="F37" s="3" t="str">
        <x:v>Corolla Altis</x:v>
      </x:c>
      <x:c r="G37" s="3" t="str">
        <x:v>ICE</x:v>
      </x:c>
      <x:c r="H37" s="3" t="str">
        <x:v>Sedan</x:v>
      </x:c>
      <x:c r="I37" s="3" t="str"/>
      <x:c r="J37" s="3" t="n">
        <x:v>2023</x:v>
      </x:c>
      <x:c r="K37" s="3" t="str">
        <x:v>G</x:v>
      </x:c>
      <x:c r="L37" s="3" t="str">
        <x:v>G</x:v>
      </x:c>
      <x:c r="M37" s="22" t="n">
        <x:v>87000</x:v>
      </x:c>
      <x:c r="N37" s="22" t="n">
        <x:v>87000</x:v>
      </x:c>
      <x:c r="O37" s="22" t="n">
        <x:v>87000</x:v>
      </x:c>
      <x:c r="P37" s="3" t="str">
        <x:v>50–100千km</x:v>
      </x:c>
      <x:c r="Q37" s="3" t="str">
        <x:v>Bangkok</x:v>
      </x:c>
      <x:c r="R37" s="3" t="str">
        <x:v>Bangkok metro</x:v>
      </x:c>
      <x:c r="S37" s="3" t="str">
        <x:v>AT</x:v>
      </x:c>
      <x:c r="T37" s="3" t="str">
        <x:v>世代不明</x:v>
      </x:c>
      <x:c r="U37" s="28" t="n">
        <x:v>549000</x:v>
      </x:c>
      <x:c r="V37" s="28"/>
      <x:c r="W37" s="3" t="str">
        <x:v>広告の申告のみ。事故・水没・SOH・保証残は未確認</x:v>
      </x:c>
      <x:c r="X37" s="3" t="str">
        <x:v>掲載中・在庫未確認</x:v>
      </x:c>
      <x:c r="Y37" s="3" t="str"/>
      <x:c r="Z37" s="27" t="str">
        <x:v>https://www.one2car.com/en/cars-for-sale/toyota/corolla-altis</x:v>
      </x:c>
      <x:c r="AA37" s="3" t="str">
        <x:v>掲載リンク参照#269／見出し行1472（永続IDではない）</x:v>
      </x:c>
      <x:c r="AB37" s="3" t="str">
        <x:v>車台番号未取得／サイト間重複は未判定</x:v>
      </x:c>
      <x:c r="AC37" s="3" t="str">
        <x:v>税込区分未確認</x:v>
      </x:c>
      <x:c r="AD37" s="3" t="str"/>
      <x:c r="AE37" s="29" t="str">
        <x:f>""</x:f>
      </x:c>
      <x:c r="AF37" s="30" t="str">
        <x:f>IF(ISNUMBER(AE37),U37/AE37,"")</x:f>
      </x:c>
      <x:c r="AG37" s="29" t="str">
        <x:f>""</x:f>
      </x:c>
      <x:c r="AH37" s="30" t="str">
        <x:f>IF(ISNUMBER(AG37),U37/AG37,"")</x:f>
      </x:c>
      <x:c r="AI37" s="3" t="str">
        <x:v>同年式・グレードの検証済み当時価格なし／登録年混在</x:v>
      </x:c>
      <x:c r="AJ37" s="3" t="str">
        <x:v>走行/条件情報あり</x:v>
      </x:c>
      <x:c r="AK37" s="3" t="str">
        <x:v>取得した検索結果ページの掲載。サイトの並び順による選択偏りあり。</x:v>
      </x:c>
      <x:c r="AL37" s="31" t="n">
        <x:f>IF(AND(J37&lt;='分析方法'!$B$7,OR(ISBLANK(O37),O37&gt;='分析方法'!$B$8),X37&lt;&gt;"売却済み表示"),1,0)</x:f>
        <x:v>1</x:v>
      </x:c>
      <x:c r="AM37" s="32" t="n">
        <x:f>IF(AL37=1,U37,"")</x:f>
        <x:v>549000</x:v>
      </x:c>
      <x:c r="AN37" s="33" t="str">
        <x:f>IF(AL37=1,AF37,"")</x:f>
      </x:c>
      <x:c r="AO37" s="31" t="n">
        <x:f>'分析方法'!$B$6-J37</x:f>
        <x:v>3</x:v>
      </x:c>
      <x:c r="AP37" s="3"/>
    </x:row>
    <x:row r="38" ht="22" customHeight="1">
      <x:c r="A38" s="3" t="str">
        <x:v>O_corolla-cross_226</x:v>
      </x:c>
      <x:c r="B38" s="7" t="d">
        <x:v>2026-10-08T00:00:00.000Z</x:v>
      </x:c>
      <x:c r="C38" s="3" t="str">
        <x:v>One2car</x:v>
      </x:c>
      <x:c r="D38" s="3" t="str">
        <x:v>Toyota</x:v>
      </x:c>
      <x:c r="E38" s="3" t="str">
        <x:v>日本</x:v>
      </x:c>
      <x:c r="F38" s="3" t="str">
        <x:v>Corolla Cross</x:v>
      </x:c>
      <x:c r="G38" s="3" t="str">
        <x:v>HEV</x:v>
      </x:c>
      <x:c r="H38" s="3" t="str">
        <x:v>SUV</x:v>
      </x:c>
      <x:c r="I38" s="3" t="str"/>
      <x:c r="J38" s="3" t="n">
        <x:v>2020</x:v>
      </x:c>
      <x:c r="K38" s="3" t="str">
        <x:v>Hybrid Premium Safety</x:v>
      </x:c>
      <x:c r="L38" s="3" t="str">
        <x:v>HEV PREMIUM SAFETY</x:v>
      </x:c>
      <x:c r="M38" s="22"/>
      <x:c r="N38" s="22" t="n">
        <x:v>120000</x:v>
      </x:c>
      <x:c r="O38" s="22" t="n">
        <x:v>125000</x:v>
      </x:c>
      <x:c r="P38" s="3" t="str">
        <x:v>100–150千km</x:v>
      </x:c>
      <x:c r="Q38" s="3" t="str">
        <x:v>Bangkok</x:v>
      </x:c>
      <x:c r="R38" s="3" t="str">
        <x:v>Bangkok metro</x:v>
      </x:c>
      <x:c r="S38" s="3" t="str">
        <x:v>AT</x:v>
      </x:c>
      <x:c r="T38" s="3" t="str">
        <x:v>世代不明</x:v>
      </x:c>
      <x:c r="U38" s="28" t="n">
        <x:v>595000</x:v>
      </x:c>
      <x:c r="V38" s="28"/>
      <x:c r="W38" s="3" t="str">
        <x:v>広告の申告のみ。事故・水没・SOH・保証残は未確認</x:v>
      </x:c>
      <x:c r="X38" s="3" t="str">
        <x:v>掲載中・在庫未確認</x:v>
      </x:c>
      <x:c r="Y38" s="3" t="str"/>
      <x:c r="Z38" s="27" t="str">
        <x:v>https://www.one2car.com/en/cars-for-sale/toyota/corolla-cross</x:v>
      </x:c>
      <x:c r="AA38" s="3" t="str">
        <x:v>掲載リンク参照#226／見出し行767（永続IDではない）</x:v>
      </x:c>
      <x:c r="AB38" s="3" t="str">
        <x:v>車台番号未取得／サイト間重複は未判定</x:v>
      </x:c>
      <x:c r="AC38" s="3" t="str">
        <x:v>税込区分未確認</x:v>
      </x:c>
      <x:c r="AD38" s="3" t="str"/>
      <x:c r="AE38" s="29" t="str">
        <x:f>""</x:f>
      </x:c>
      <x:c r="AF38" s="30" t="str">
        <x:f>IF(ISNUMBER(AE38),U38/AE38,"")</x:f>
      </x:c>
      <x:c r="AG38" s="29" t="n">
        <x:f>'新車価格・特価'!N55</x:f>
        <x:v>1204000</x:v>
      </x:c>
      <x:c r="AH38" s="30" t="n">
        <x:f>IF(ISNUMBER(AG38),U38/AG38,"")</x:f>
        <x:v>0.4941860465116279</x:v>
      </x:c>
      <x:c r="AI38" s="3" t="str">
        <x:v>同年式・グレードの検証済み当時価格なし／登録年混在</x:v>
      </x:c>
      <x:c r="AJ38" s="3" t="str">
        <x:v>走行/条件情報あり</x:v>
      </x:c>
      <x:c r="AK38" s="3" t="str">
        <x:v>取得した検索結果ページの掲載。サイトの並び順による選択偏りあり。</x:v>
      </x:c>
      <x:c r="AL38" s="31" t="n">
        <x:f>IF(AND(J38&lt;='分析方法'!$B$7,OR(ISBLANK(O38),O38&gt;='分析方法'!$B$8),X38&lt;&gt;"売却済み表示"),1,0)</x:f>
        <x:v>1</x:v>
      </x:c>
      <x:c r="AM38" s="32" t="n">
        <x:f>IF(AL38=1,U38,"")</x:f>
        <x:v>595000</x:v>
      </x:c>
      <x:c r="AN38" s="33" t="str">
        <x:f>IF(AL38=1,AF38,"")</x:f>
      </x:c>
      <x:c r="AO38" s="31" t="n">
        <x:f>'分析方法'!$B$6-J38</x:f>
        <x:v>6</x:v>
      </x:c>
      <x:c r="AP38" s="3"/>
    </x:row>
    <x:row r="39" ht="22" customHeight="1">
      <x:c r="A39" s="3" t="str">
        <x:v>O_corolla-cross_231</x:v>
      </x:c>
      <x:c r="B39" s="7" t="d">
        <x:v>2026-10-08T00:00:00.000Z</x:v>
      </x:c>
      <x:c r="C39" s="3" t="str">
        <x:v>One2car</x:v>
      </x:c>
      <x:c r="D39" s="3" t="str">
        <x:v>Toyota</x:v>
      </x:c>
      <x:c r="E39" s="3" t="str">
        <x:v>日本</x:v>
      </x:c>
      <x:c r="F39" s="3" t="str">
        <x:v>Corolla Cross</x:v>
      </x:c>
      <x:c r="G39" s="3" t="str">
        <x:v>HEV</x:v>
      </x:c>
      <x:c r="H39" s="3" t="str">
        <x:v>SUV</x:v>
      </x:c>
      <x:c r="I39" s="3" t="str"/>
      <x:c r="J39" s="3" t="n">
        <x:v>2020</x:v>
      </x:c>
      <x:c r="K39" s="3" t="str">
        <x:v>Hybrid Premium Safety</x:v>
      </x:c>
      <x:c r="L39" s="3" t="str">
        <x:v>HEV PREMIUM SAFETY</x:v>
      </x:c>
      <x:c r="M39" s="22"/>
      <x:c r="N39" s="22" t="n">
        <x:v>150000</x:v>
      </x:c>
      <x:c r="O39" s="22" t="n">
        <x:v>155000</x:v>
      </x:c>
      <x:c r="P39" s="3" t="str">
        <x:v>150千km以上</x:v>
      </x:c>
      <x:c r="Q39" s="3" t="str">
        <x:v>Bangkok</x:v>
      </x:c>
      <x:c r="R39" s="3" t="str">
        <x:v>Bangkok metro</x:v>
      </x:c>
      <x:c r="S39" s="3" t="str">
        <x:v>AT</x:v>
      </x:c>
      <x:c r="T39" s="3" t="str">
        <x:v>世代不明</x:v>
      </x:c>
      <x:c r="U39" s="28" t="n">
        <x:v>565000</x:v>
      </x:c>
      <x:c r="V39" s="28"/>
      <x:c r="W39" s="3" t="str">
        <x:v>広告の申告のみ。事故・水没・SOH・保証残は未確認</x:v>
      </x:c>
      <x:c r="X39" s="3" t="str">
        <x:v>掲載中・在庫未確認</x:v>
      </x:c>
      <x:c r="Y39" s="3" t="str"/>
      <x:c r="Z39" s="27" t="str">
        <x:v>https://www.one2car.com/en/cars-for-sale/toyota/corolla-cross</x:v>
      </x:c>
      <x:c r="AA39" s="3" t="str">
        <x:v>掲載リンク参照#231／見出し行849（永続IDではない）</x:v>
      </x:c>
      <x:c r="AB39" s="3" t="str">
        <x:v>車台番号未取得／サイト間重複は未判定</x:v>
      </x:c>
      <x:c r="AC39" s="3" t="str">
        <x:v>税込区分未確認</x:v>
      </x:c>
      <x:c r="AD39" s="3" t="str"/>
      <x:c r="AE39" s="29" t="str">
        <x:f>""</x:f>
      </x:c>
      <x:c r="AF39" s="30" t="str">
        <x:f>IF(ISNUMBER(AE39),U39/AE39,"")</x:f>
      </x:c>
      <x:c r="AG39" s="29" t="n">
        <x:f>'新車価格・特価'!N55</x:f>
        <x:v>1204000</x:v>
      </x:c>
      <x:c r="AH39" s="30" t="n">
        <x:f>IF(ISNUMBER(AG39),U39/AG39,"")</x:f>
        <x:v>0.4692691029900332</x:v>
      </x:c>
      <x:c r="AI39" s="3" t="str">
        <x:v>同年式・グレードの検証済み当時価格なし／登録年混在</x:v>
      </x:c>
      <x:c r="AJ39" s="3" t="str">
        <x:v>走行/条件情報あり</x:v>
      </x:c>
      <x:c r="AK39" s="3" t="str">
        <x:v>取得した検索結果ページの掲載。サイトの並び順による選択偏りあり。</x:v>
      </x:c>
      <x:c r="AL39" s="31" t="n">
        <x:f>IF(AND(J39&lt;='分析方法'!$B$7,OR(ISBLANK(O39),O39&gt;='分析方法'!$B$8),X39&lt;&gt;"売却済み表示"),1,0)</x:f>
        <x:v>1</x:v>
      </x:c>
      <x:c r="AM39" s="32" t="n">
        <x:f>IF(AL39=1,U39,"")</x:f>
        <x:v>565000</x:v>
      </x:c>
      <x:c r="AN39" s="33" t="str">
        <x:f>IF(AL39=1,AF39,"")</x:f>
      </x:c>
      <x:c r="AO39" s="31" t="n">
        <x:f>'分析方法'!$B$6-J39</x:f>
        <x:v>6</x:v>
      </x:c>
      <x:c r="AP39" s="3"/>
    </x:row>
    <x:row r="40" ht="22" customHeight="1">
      <x:c r="A40" s="3" t="str">
        <x:v>O_corolla-cross_241</x:v>
      </x:c>
      <x:c r="B40" s="7" t="d">
        <x:v>2026-10-08T00:00:00.000Z</x:v>
      </x:c>
      <x:c r="C40" s="3" t="str">
        <x:v>One2car</x:v>
      </x:c>
      <x:c r="D40" s="3" t="str">
        <x:v>Toyota</x:v>
      </x:c>
      <x:c r="E40" s="3" t="str">
        <x:v>日本</x:v>
      </x:c>
      <x:c r="F40" s="3" t="str">
        <x:v>Corolla Cross</x:v>
      </x:c>
      <x:c r="G40" s="3" t="str">
        <x:v>HEV</x:v>
      </x:c>
      <x:c r="H40" s="3" t="str">
        <x:v>SUV</x:v>
      </x:c>
      <x:c r="I40" s="3" t="str"/>
      <x:c r="J40" s="3" t="n">
        <x:v>2020</x:v>
      </x:c>
      <x:c r="K40" s="3" t="str">
        <x:v>Hybrid Premium Safety</x:v>
      </x:c>
      <x:c r="L40" s="3" t="str">
        <x:v>HEV PREMIUM SAFETY</x:v>
      </x:c>
      <x:c r="M40" s="22" t="n">
        <x:v>55811</x:v>
      </x:c>
      <x:c r="N40" s="22" t="n">
        <x:v>55811</x:v>
      </x:c>
      <x:c r="O40" s="22" t="n">
        <x:v>55811</x:v>
      </x:c>
      <x:c r="P40" s="3" t="str">
        <x:v>50–100千km</x:v>
      </x:c>
      <x:c r="Q40" s="3" t="str">
        <x:v>Bangkok</x:v>
      </x:c>
      <x:c r="R40" s="3" t="str">
        <x:v>Bangkok metro</x:v>
      </x:c>
      <x:c r="S40" s="3" t="str">
        <x:v>AT</x:v>
      </x:c>
      <x:c r="T40" s="3" t="str">
        <x:v>世代不明</x:v>
      </x:c>
      <x:c r="U40" s="28" t="n">
        <x:v>698000</x:v>
      </x:c>
      <x:c r="V40" s="28"/>
      <x:c r="W40" s="3" t="str">
        <x:v>広告の申告のみ。事故・水没・SOH・保証残は未確認</x:v>
      </x:c>
      <x:c r="X40" s="3" t="str">
        <x:v>掲載中・在庫未確認</x:v>
      </x:c>
      <x:c r="Y40" s="3" t="str"/>
      <x:c r="Z40" s="27" t="str">
        <x:v>https://www.one2car.com/en/cars-for-sale/toyota/corolla-cross</x:v>
      </x:c>
      <x:c r="AA40" s="3" t="str">
        <x:v>掲載リンク参照#241／見出し行1124（永続IDではない）</x:v>
      </x:c>
      <x:c r="AB40" s="3" t="str">
        <x:v>車台番号未取得／サイト間重複は未判定</x:v>
      </x:c>
      <x:c r="AC40" s="3" t="str">
        <x:v>税込区分未確認</x:v>
      </x:c>
      <x:c r="AD40" s="3" t="str"/>
      <x:c r="AE40" s="29" t="str">
        <x:f>""</x:f>
      </x:c>
      <x:c r="AF40" s="30" t="str">
        <x:f>IF(ISNUMBER(AE40),U40/AE40,"")</x:f>
      </x:c>
      <x:c r="AG40" s="29" t="n">
        <x:f>'新車価格・特価'!N55</x:f>
        <x:v>1204000</x:v>
      </x:c>
      <x:c r="AH40" s="30" t="n">
        <x:f>IF(ISNUMBER(AG40),U40/AG40,"")</x:f>
        <x:v>0.579734219269103</x:v>
      </x:c>
      <x:c r="AI40" s="3" t="str">
        <x:v>同年式・グレードの検証済み当時価格なし／登録年混在</x:v>
      </x:c>
      <x:c r="AJ40" s="3" t="str">
        <x:v>走行/条件情報あり</x:v>
      </x:c>
      <x:c r="AK40" s="3" t="str">
        <x:v>取得した検索結果ページの掲載。サイトの並び順による選択偏りあり。</x:v>
      </x:c>
      <x:c r="AL40" s="31" t="n">
        <x:f>IF(AND(J40&lt;='分析方法'!$B$7,OR(ISBLANK(O40),O40&gt;='分析方法'!$B$8),X40&lt;&gt;"売却済み表示"),1,0)</x:f>
        <x:v>1</x:v>
      </x:c>
      <x:c r="AM40" s="32" t="n">
        <x:f>IF(AL40=1,U40,"")</x:f>
        <x:v>698000</x:v>
      </x:c>
      <x:c r="AN40" s="33" t="str">
        <x:f>IF(AL40=1,AF40,"")</x:f>
      </x:c>
      <x:c r="AO40" s="31" t="n">
        <x:f>'分析方法'!$B$6-J40</x:f>
        <x:v>6</x:v>
      </x:c>
      <x:c r="AP40" s="3"/>
    </x:row>
    <x:row r="41" ht="22" customHeight="1">
      <x:c r="A41" s="3" t="str">
        <x:v>O_corolla-cross_254</x:v>
      </x:c>
      <x:c r="B41" s="7" t="d">
        <x:v>2026-10-08T00:00:00.000Z</x:v>
      </x:c>
      <x:c r="C41" s="3" t="str">
        <x:v>One2car</x:v>
      </x:c>
      <x:c r="D41" s="3" t="str">
        <x:v>Toyota</x:v>
      </x:c>
      <x:c r="E41" s="3" t="str">
        <x:v>日本</x:v>
      </x:c>
      <x:c r="F41" s="3" t="str">
        <x:v>Corolla Cross</x:v>
      </x:c>
      <x:c r="G41" s="3" t="str">
        <x:v>HEV</x:v>
      </x:c>
      <x:c r="H41" s="3" t="str">
        <x:v>SUV</x:v>
      </x:c>
      <x:c r="I41" s="3" t="str"/>
      <x:c r="J41" s="3" t="n">
        <x:v>2020</x:v>
      </x:c>
      <x:c r="K41" s="3" t="str">
        <x:v>Hybrid Smart</x:v>
      </x:c>
      <x:c r="L41" s="3" t="str">
        <x:v>HEV SMART</x:v>
      </x:c>
      <x:c r="M41" s="22"/>
      <x:c r="N41" s="22" t="n">
        <x:v>65000</x:v>
      </x:c>
      <x:c r="O41" s="22" t="n">
        <x:v>70000</x:v>
      </x:c>
      <x:c r="P41" s="3" t="str">
        <x:v>50–100千km</x:v>
      </x:c>
      <x:c r="Q41" s="3" t="str">
        <x:v>Bangkok</x:v>
      </x:c>
      <x:c r="R41" s="3" t="str">
        <x:v>Bangkok metro</x:v>
      </x:c>
      <x:c r="S41" s="3" t="str">
        <x:v>AT</x:v>
      </x:c>
      <x:c r="T41" s="3" t="str">
        <x:v>世代不明</x:v>
      </x:c>
      <x:c r="U41" s="28" t="n">
        <x:v>569000</x:v>
      </x:c>
      <x:c r="V41" s="28"/>
      <x:c r="W41" s="3" t="str">
        <x:v>広告の申告のみ。事故・水没・SOH・保証残は未確認</x:v>
      </x:c>
      <x:c r="X41" s="3" t="str">
        <x:v>掲載中・在庫未確認</x:v>
      </x:c>
      <x:c r="Y41" s="3" t="str"/>
      <x:c r="Z41" s="27" t="str">
        <x:v>https://www.one2car.com/en/cars-for-sale/toyota/corolla-cross</x:v>
      </x:c>
      <x:c r="AA41" s="3" t="str">
        <x:v>掲載リンク参照#254／見出し行1544（永続IDではない）</x:v>
      </x:c>
      <x:c r="AB41" s="3" t="str">
        <x:v>車台番号未取得／サイト間重複は未判定</x:v>
      </x:c>
      <x:c r="AC41" s="3" t="str">
        <x:v>税込区分未確認</x:v>
      </x:c>
      <x:c r="AD41" s="3" t="str"/>
      <x:c r="AE41" s="29" t="str">
        <x:f>""</x:f>
      </x:c>
      <x:c r="AF41" s="30" t="str">
        <x:f>IF(ISNUMBER(AE41),U41/AE41,"")</x:f>
      </x:c>
      <x:c r="AG41" s="29" t="n">
        <x:f>'新車価格・特価'!N53</x:f>
        <x:v>989000</x:v>
      </x:c>
      <x:c r="AH41" s="30" t="n">
        <x:f>IF(ISNUMBER(AG41),U41/AG41,"")</x:f>
        <x:v>0.5753286147623863</x:v>
      </x:c>
      <x:c r="AI41" s="3" t="str">
        <x:v>同年式・グレードの検証済み当時価格なし／登録年混在</x:v>
      </x:c>
      <x:c r="AJ41" s="3" t="str">
        <x:v>走行/条件情報あり</x:v>
      </x:c>
      <x:c r="AK41" s="3" t="str">
        <x:v>取得した検索結果ページの掲載。サイトの並び順による選択偏りあり。</x:v>
      </x:c>
      <x:c r="AL41" s="31" t="n">
        <x:f>IF(AND(J41&lt;='分析方法'!$B$7,OR(ISBLANK(O41),O41&gt;='分析方法'!$B$8),X41&lt;&gt;"売却済み表示"),1,0)</x:f>
        <x:v>1</x:v>
      </x:c>
      <x:c r="AM41" s="32" t="n">
        <x:f>IF(AL41=1,U41,"")</x:f>
        <x:v>569000</x:v>
      </x:c>
      <x:c r="AN41" s="33" t="str">
        <x:f>IF(AL41=1,AF41,"")</x:f>
      </x:c>
      <x:c r="AO41" s="31" t="n">
        <x:f>'分析方法'!$B$6-J41</x:f>
        <x:v>6</x:v>
      </x:c>
      <x:c r="AP41" s="3"/>
    </x:row>
    <x:row r="42" ht="22" customHeight="1">
      <x:c r="A42" s="3" t="str">
        <x:v>O_corolla-cross_230</x:v>
      </x:c>
      <x:c r="B42" s="7" t="d">
        <x:v>2026-10-08T00:00:00.000Z</x:v>
      </x:c>
      <x:c r="C42" s="3" t="str">
        <x:v>One2car</x:v>
      </x:c>
      <x:c r="D42" s="3" t="str">
        <x:v>Toyota</x:v>
      </x:c>
      <x:c r="E42" s="3" t="str">
        <x:v>日本</x:v>
      </x:c>
      <x:c r="F42" s="3" t="str">
        <x:v>Corolla Cross</x:v>
      </x:c>
      <x:c r="G42" s="3" t="str">
        <x:v>HEV</x:v>
      </x:c>
      <x:c r="H42" s="3" t="str">
        <x:v>SUV</x:v>
      </x:c>
      <x:c r="I42" s="3" t="str"/>
      <x:c r="J42" s="3" t="n">
        <x:v>2021</x:v>
      </x:c>
      <x:c r="K42" s="3" t="str">
        <x:v>Hybrid Premium</x:v>
      </x:c>
      <x:c r="L42" s="3" t="str">
        <x:v>HEV PREMIUM</x:v>
      </x:c>
      <x:c r="M42" s="22"/>
      <x:c r="N42" s="22" t="n">
        <x:v>160000</x:v>
      </x:c>
      <x:c r="O42" s="22" t="n">
        <x:v>165000</x:v>
      </x:c>
      <x:c r="P42" s="3" t="str">
        <x:v>150千km以上</x:v>
      </x:c>
      <x:c r="Q42" s="3" t="str">
        <x:v>Bangkok</x:v>
      </x:c>
      <x:c r="R42" s="3" t="str">
        <x:v>Bangkok metro</x:v>
      </x:c>
      <x:c r="S42" s="3" t="str">
        <x:v>AT</x:v>
      </x:c>
      <x:c r="T42" s="3" t="str">
        <x:v>世代不明</x:v>
      </x:c>
      <x:c r="U42" s="28" t="n">
        <x:v>584000</x:v>
      </x:c>
      <x:c r="V42" s="28"/>
      <x:c r="W42" s="3" t="str">
        <x:v>広告の申告のみ。事故・水没・SOH・保証残は未確認</x:v>
      </x:c>
      <x:c r="X42" s="3" t="str">
        <x:v>掲載中・在庫未確認</x:v>
      </x:c>
      <x:c r="Y42" s="3" t="str"/>
      <x:c r="Z42" s="27" t="str">
        <x:v>https://www.one2car.com/en/cars-for-sale/toyota/corolla-cross</x:v>
      </x:c>
      <x:c r="AA42" s="3" t="str">
        <x:v>掲載リンク参照#230／見出し行808（永続IDではない）</x:v>
      </x:c>
      <x:c r="AB42" s="3" t="str">
        <x:v>車台番号未取得／サイト間重複は未判定</x:v>
      </x:c>
      <x:c r="AC42" s="3" t="str">
        <x:v>税込区分未確認</x:v>
      </x:c>
      <x:c r="AD42" s="3" t="str"/>
      <x:c r="AE42" s="29" t="str">
        <x:f>""</x:f>
      </x:c>
      <x:c r="AF42" s="30" t="str">
        <x:f>IF(ISNUMBER(AE42),U42/AE42,"")</x:f>
      </x:c>
      <x:c r="AG42" s="29" t="n">
        <x:f>'新車価格・特価'!N54</x:f>
        <x:v>1094000</x:v>
      </x:c>
      <x:c r="AH42" s="30" t="n">
        <x:f>IF(ISNUMBER(AG42),U42/AG42,"")</x:f>
        <x:v>0.5338208409506399</x:v>
      </x:c>
      <x:c r="AI42" s="3" t="str">
        <x:v>同年式・グレードの検証済み当時価格なし／登録年混在</x:v>
      </x:c>
      <x:c r="AJ42" s="3" t="str">
        <x:v>走行/条件情報あり</x:v>
      </x:c>
      <x:c r="AK42" s="3" t="str">
        <x:v>取得した検索結果ページの掲載。サイトの並び順による選択偏りあり。</x:v>
      </x:c>
      <x:c r="AL42" s="31" t="n">
        <x:f>IF(AND(J42&lt;='分析方法'!$B$7,OR(ISBLANK(O42),O42&gt;='分析方法'!$B$8),X42&lt;&gt;"売却済み表示"),1,0)</x:f>
        <x:v>1</x:v>
      </x:c>
      <x:c r="AM42" s="32" t="n">
        <x:f>IF(AL42=1,U42,"")</x:f>
        <x:v>584000</x:v>
      </x:c>
      <x:c r="AN42" s="33" t="str">
        <x:f>IF(AL42=1,AF42,"")</x:f>
      </x:c>
      <x:c r="AO42" s="31" t="n">
        <x:f>'分析方法'!$B$6-J42</x:f>
        <x:v>5</x:v>
      </x:c>
      <x:c r="AP42" s="3"/>
    </x:row>
    <x:row r="43" ht="22" customHeight="1">
      <x:c r="A43" s="3" t="str">
        <x:v>O_corolla-cross_232</x:v>
      </x:c>
      <x:c r="B43" s="7" t="d">
        <x:v>2026-10-08T00:00:00.000Z</x:v>
      </x:c>
      <x:c r="C43" s="3" t="str">
        <x:v>One2car</x:v>
      </x:c>
      <x:c r="D43" s="3" t="str">
        <x:v>Toyota</x:v>
      </x:c>
      <x:c r="E43" s="3" t="str">
        <x:v>日本</x:v>
      </x:c>
      <x:c r="F43" s="3" t="str">
        <x:v>Corolla Cross</x:v>
      </x:c>
      <x:c r="G43" s="3" t="str">
        <x:v>HEV</x:v>
      </x:c>
      <x:c r="H43" s="3" t="str">
        <x:v>SUV</x:v>
      </x:c>
      <x:c r="I43" s="3" t="str"/>
      <x:c r="J43" s="3" t="n">
        <x:v>2021</x:v>
      </x:c>
      <x:c r="K43" s="3" t="str">
        <x:v>Hybrid Premium</x:v>
      </x:c>
      <x:c r="L43" s="3" t="str">
        <x:v>HEV PREMIUM</x:v>
      </x:c>
      <x:c r="M43" s="22"/>
      <x:c r="N43" s="22" t="n">
        <x:v>225000</x:v>
      </x:c>
      <x:c r="O43" s="22" t="n">
        <x:v>230000</x:v>
      </x:c>
      <x:c r="P43" s="3" t="str">
        <x:v>150千km以上</x:v>
      </x:c>
      <x:c r="Q43" s="3" t="str">
        <x:v>Bangkok</x:v>
      </x:c>
      <x:c r="R43" s="3" t="str">
        <x:v>Bangkok metro</x:v>
      </x:c>
      <x:c r="S43" s="3" t="str">
        <x:v>AT</x:v>
      </x:c>
      <x:c r="T43" s="3" t="str">
        <x:v>世代不明</x:v>
      </x:c>
      <x:c r="U43" s="28" t="n">
        <x:v>579000</x:v>
      </x:c>
      <x:c r="V43" s="28"/>
      <x:c r="W43" s="3" t="str">
        <x:v>広告の申告のみ。事故・水没・SOH・保証残は未確認</x:v>
      </x:c>
      <x:c r="X43" s="3" t="str">
        <x:v>掲載中・在庫未確認</x:v>
      </x:c>
      <x:c r="Y43" s="3" t="str"/>
      <x:c r="Z43" s="27" t="str">
        <x:v>https://www.one2car.com/en/cars-for-sale/toyota/corolla-cross</x:v>
      </x:c>
      <x:c r="AA43" s="3" t="str">
        <x:v>掲載リンク参照#232／見出し行893（永続IDではない）</x:v>
      </x:c>
      <x:c r="AB43" s="3" t="str">
        <x:v>車台番号未取得／サイト間重複は未判定</x:v>
      </x:c>
      <x:c r="AC43" s="3" t="str">
        <x:v>税込区分未確認</x:v>
      </x:c>
      <x:c r="AD43" s="3" t="str"/>
      <x:c r="AE43" s="29" t="str">
        <x:f>""</x:f>
      </x:c>
      <x:c r="AF43" s="30" t="str">
        <x:f>IF(ISNUMBER(AE43),U43/AE43,"")</x:f>
      </x:c>
      <x:c r="AG43" s="29" t="n">
        <x:f>'新車価格・特価'!N54</x:f>
        <x:v>1094000</x:v>
      </x:c>
      <x:c r="AH43" s="30" t="n">
        <x:f>IF(ISNUMBER(AG43),U43/AG43,"")</x:f>
        <x:v>0.5292504570383912</x:v>
      </x:c>
      <x:c r="AI43" s="3" t="str">
        <x:v>同年式・グレードの検証済み当時価格なし／登録年混在</x:v>
      </x:c>
      <x:c r="AJ43" s="3" t="str">
        <x:v>走行/条件情報あり</x:v>
      </x:c>
      <x:c r="AK43" s="3" t="str">
        <x:v>取得した検索結果ページの掲載。サイトの並び順による選択偏りあり。</x:v>
      </x:c>
      <x:c r="AL43" s="31" t="n">
        <x:f>IF(AND(J43&lt;='分析方法'!$B$7,OR(ISBLANK(O43),O43&gt;='分析方法'!$B$8),X43&lt;&gt;"売却済み表示"),1,0)</x:f>
        <x:v>1</x:v>
      </x:c>
      <x:c r="AM43" s="32" t="n">
        <x:f>IF(AL43=1,U43,"")</x:f>
        <x:v>579000</x:v>
      </x:c>
      <x:c r="AN43" s="33" t="str">
        <x:f>IF(AL43=1,AF43,"")</x:f>
      </x:c>
      <x:c r="AO43" s="31" t="n">
        <x:f>'分析方法'!$B$6-J43</x:f>
        <x:v>5</x:v>
      </x:c>
      <x:c r="AP43" s="3"/>
    </x:row>
    <x:row r="44" ht="22" customHeight="1">
      <x:c r="A44" s="3" t="str">
        <x:v>O_corolla-cross_236</x:v>
      </x:c>
      <x:c r="B44" s="7" t="d">
        <x:v>2026-10-08T00:00:00.000Z</x:v>
      </x:c>
      <x:c r="C44" s="3" t="str">
        <x:v>One2car</x:v>
      </x:c>
      <x:c r="D44" s="3" t="str">
        <x:v>Toyota</x:v>
      </x:c>
      <x:c r="E44" s="3" t="str">
        <x:v>日本</x:v>
      </x:c>
      <x:c r="F44" s="3" t="str">
        <x:v>Corolla Cross</x:v>
      </x:c>
      <x:c r="G44" s="3" t="str">
        <x:v>HEV</x:v>
      </x:c>
      <x:c r="H44" s="3" t="str">
        <x:v>SUV</x:v>
      </x:c>
      <x:c r="I44" s="3" t="str"/>
      <x:c r="J44" s="3" t="n">
        <x:v>2021</x:v>
      </x:c>
      <x:c r="K44" s="3" t="str">
        <x:v>Hybrid Premium</x:v>
      </x:c>
      <x:c r="L44" s="3" t="str">
        <x:v>HEV PREMIUM</x:v>
      </x:c>
      <x:c r="M44" s="22"/>
      <x:c r="N44" s="22" t="n">
        <x:v>170000</x:v>
      </x:c>
      <x:c r="O44" s="22" t="n">
        <x:v>175000</x:v>
      </x:c>
      <x:c r="P44" s="3" t="str">
        <x:v>150千km以上</x:v>
      </x:c>
      <x:c r="Q44" s="3" t="str">
        <x:v>Bangkok</x:v>
      </x:c>
      <x:c r="R44" s="3" t="str">
        <x:v>Bangkok metro</x:v>
      </x:c>
      <x:c r="S44" s="3" t="str">
        <x:v>AT</x:v>
      </x:c>
      <x:c r="T44" s="3" t="str">
        <x:v>世代不明</x:v>
      </x:c>
      <x:c r="U44" s="28" t="n">
        <x:v>575000</x:v>
      </x:c>
      <x:c r="V44" s="28"/>
      <x:c r="W44" s="3" t="str">
        <x:v>広告の申告のみ。事故・水没・SOH・保証残は未確認</x:v>
      </x:c>
      <x:c r="X44" s="3" t="str">
        <x:v>掲載中・在庫未確認</x:v>
      </x:c>
      <x:c r="Y44" s="3" t="str"/>
      <x:c r="Z44" s="27" t="str">
        <x:v>https://www.one2car.com/en/cars-for-sale/toyota/corolla-cross</x:v>
      </x:c>
      <x:c r="AA44" s="3" t="str">
        <x:v>掲載リンク参照#236／見出し行960（永続IDではない）</x:v>
      </x:c>
      <x:c r="AB44" s="3" t="str">
        <x:v>車台番号未取得／サイト間重複は未判定</x:v>
      </x:c>
      <x:c r="AC44" s="3" t="str">
        <x:v>税込区分未確認</x:v>
      </x:c>
      <x:c r="AD44" s="3" t="str"/>
      <x:c r="AE44" s="29" t="str">
        <x:f>""</x:f>
      </x:c>
      <x:c r="AF44" s="30" t="str">
        <x:f>IF(ISNUMBER(AE44),U44/AE44,"")</x:f>
      </x:c>
      <x:c r="AG44" s="29" t="n">
        <x:f>'新車価格・特価'!N54</x:f>
        <x:v>1094000</x:v>
      </x:c>
      <x:c r="AH44" s="30" t="n">
        <x:f>IF(ISNUMBER(AG44),U44/AG44,"")</x:f>
        <x:v>0.5255941499085923</x:v>
      </x:c>
      <x:c r="AI44" s="3" t="str">
        <x:v>同年式・グレードの検証済み当時価格なし／登録年混在</x:v>
      </x:c>
      <x:c r="AJ44" s="3" t="str">
        <x:v>走行/条件情報あり</x:v>
      </x:c>
      <x:c r="AK44" s="3" t="str">
        <x:v>取得した検索結果ページの掲載。サイトの並び順による選択偏りあり。</x:v>
      </x:c>
      <x:c r="AL44" s="31" t="n">
        <x:f>IF(AND(J44&lt;='分析方法'!$B$7,OR(ISBLANK(O44),O44&gt;='分析方法'!$B$8),X44&lt;&gt;"売却済み表示"),1,0)</x:f>
        <x:v>1</x:v>
      </x:c>
      <x:c r="AM44" s="32" t="n">
        <x:f>IF(AL44=1,U44,"")</x:f>
        <x:v>575000</x:v>
      </x:c>
      <x:c r="AN44" s="33" t="str">
        <x:f>IF(AL44=1,AF44,"")</x:f>
      </x:c>
      <x:c r="AO44" s="31" t="n">
        <x:f>'分析方法'!$B$6-J44</x:f>
        <x:v>5</x:v>
      </x:c>
      <x:c r="AP44" s="3"/>
    </x:row>
    <x:row r="45" ht="22" customHeight="1">
      <x:c r="A45" s="3" t="str">
        <x:v>O_corolla-cross_256</x:v>
      </x:c>
      <x:c r="B45" s="7" t="d">
        <x:v>2026-10-08T00:00:00.000Z</x:v>
      </x:c>
      <x:c r="C45" s="3" t="str">
        <x:v>One2car</x:v>
      </x:c>
      <x:c r="D45" s="3" t="str">
        <x:v>Toyota</x:v>
      </x:c>
      <x:c r="E45" s="3" t="str">
        <x:v>日本</x:v>
      </x:c>
      <x:c r="F45" s="3" t="str">
        <x:v>Corolla Cross</x:v>
      </x:c>
      <x:c r="G45" s="3" t="str">
        <x:v>HEV</x:v>
      </x:c>
      <x:c r="H45" s="3" t="str">
        <x:v>SUV</x:v>
      </x:c>
      <x:c r="I45" s="3" t="str"/>
      <x:c r="J45" s="3" t="n">
        <x:v>2021</x:v>
      </x:c>
      <x:c r="K45" s="3" t="str">
        <x:v>Hybrid Premium</x:v>
      </x:c>
      <x:c r="L45" s="3" t="str">
        <x:v>HEV PREMIUM</x:v>
      </x:c>
      <x:c r="M45" s="22"/>
      <x:c r="N45" s="22" t="n">
        <x:v>90000</x:v>
      </x:c>
      <x:c r="O45" s="22" t="n">
        <x:v>95000</x:v>
      </x:c>
      <x:c r="P45" s="3" t="str">
        <x:v>50–100千km</x:v>
      </x:c>
      <x:c r="Q45" s="3" t="str">
        <x:v>Bangkok</x:v>
      </x:c>
      <x:c r="R45" s="3" t="str">
        <x:v>Bangkok metro</x:v>
      </x:c>
      <x:c r="S45" s="3" t="str">
        <x:v>AT</x:v>
      </x:c>
      <x:c r="T45" s="3" t="str">
        <x:v>世代不明</x:v>
      </x:c>
      <x:c r="U45" s="28" t="n">
        <x:v>699000</x:v>
      </x:c>
      <x:c r="V45" s="28"/>
      <x:c r="W45" s="3" t="str">
        <x:v>広告の申告のみ。事故・水没・SOH・保証残は未確認</x:v>
      </x:c>
      <x:c r="X45" s="3" t="str">
        <x:v>掲載中・在庫未確認</x:v>
      </x:c>
      <x:c r="Y45" s="3" t="str"/>
      <x:c r="Z45" s="27" t="str">
        <x:v>https://www.one2car.com/en/cars-for-sale/toyota/corolla-cross</x:v>
      </x:c>
      <x:c r="AA45" s="3" t="str">
        <x:v>掲載リンク参照#256／見出し行1603（永続IDではない）</x:v>
      </x:c>
      <x:c r="AB45" s="3" t="str">
        <x:v>車台番号未取得／サイト間重複は未判定</x:v>
      </x:c>
      <x:c r="AC45" s="3" t="str">
        <x:v>税込区分未確認</x:v>
      </x:c>
      <x:c r="AD45" s="3" t="str"/>
      <x:c r="AE45" s="29" t="str">
        <x:f>""</x:f>
      </x:c>
      <x:c r="AF45" s="30" t="str">
        <x:f>IF(ISNUMBER(AE45),U45/AE45,"")</x:f>
      </x:c>
      <x:c r="AG45" s="29" t="n">
        <x:f>'新車価格・特価'!N54</x:f>
        <x:v>1094000</x:v>
      </x:c>
      <x:c r="AH45" s="30" t="n">
        <x:f>IF(ISNUMBER(AG45),U45/AG45,"")</x:f>
        <x:v>0.6389396709323584</x:v>
      </x:c>
      <x:c r="AI45" s="3" t="str">
        <x:v>同年式・グレードの検証済み当時価格なし／登録年混在</x:v>
      </x:c>
      <x:c r="AJ45" s="3" t="str">
        <x:v>走行/条件情報あり</x:v>
      </x:c>
      <x:c r="AK45" s="3" t="str">
        <x:v>取得した検索結果ページの掲載。サイトの並び順による選択偏りあり。</x:v>
      </x:c>
      <x:c r="AL45" s="31" t="n">
        <x:f>IF(AND(J45&lt;='分析方法'!$B$7,OR(ISBLANK(O45),O45&gt;='分析方法'!$B$8),X45&lt;&gt;"売却済み表示"),1,0)</x:f>
        <x:v>1</x:v>
      </x:c>
      <x:c r="AM45" s="32" t="n">
        <x:f>IF(AL45=1,U45,"")</x:f>
        <x:v>699000</x:v>
      </x:c>
      <x:c r="AN45" s="33" t="str">
        <x:f>IF(AL45=1,AF45,"")</x:f>
      </x:c>
      <x:c r="AO45" s="31" t="n">
        <x:f>'分析方法'!$B$6-J45</x:f>
        <x:v>5</x:v>
      </x:c>
      <x:c r="AP45" s="3"/>
    </x:row>
    <x:row r="46" ht="22" customHeight="1">
      <x:c r="A46" s="3" t="str">
        <x:v>O_corolla-cross_257</x:v>
      </x:c>
      <x:c r="B46" s="7" t="d">
        <x:v>2026-10-08T00:00:00.000Z</x:v>
      </x:c>
      <x:c r="C46" s="3" t="str">
        <x:v>One2car</x:v>
      </x:c>
      <x:c r="D46" s="3" t="str">
        <x:v>Toyota</x:v>
      </x:c>
      <x:c r="E46" s="3" t="str">
        <x:v>日本</x:v>
      </x:c>
      <x:c r="F46" s="3" t="str">
        <x:v>Corolla Cross</x:v>
      </x:c>
      <x:c r="G46" s="3" t="str">
        <x:v>HEV</x:v>
      </x:c>
      <x:c r="H46" s="3" t="str">
        <x:v>SUV</x:v>
      </x:c>
      <x:c r="I46" s="3" t="str"/>
      <x:c r="J46" s="3" t="n">
        <x:v>2021</x:v>
      </x:c>
      <x:c r="K46" s="3" t="str">
        <x:v>Hybrid Premium</x:v>
      </x:c>
      <x:c r="L46" s="3" t="str">
        <x:v>HEV PREMIUM</x:v>
      </x:c>
      <x:c r="M46" s="22"/>
      <x:c r="N46" s="22" t="n">
        <x:v>55000</x:v>
      </x:c>
      <x:c r="O46" s="22" t="n">
        <x:v>60000</x:v>
      </x:c>
      <x:c r="P46" s="3" t="str">
        <x:v>50–100千km</x:v>
      </x:c>
      <x:c r="Q46" s="3" t="str">
        <x:v>Bangkok</x:v>
      </x:c>
      <x:c r="R46" s="3" t="str">
        <x:v>Bangkok metro</x:v>
      </x:c>
      <x:c r="S46" s="3" t="str">
        <x:v>AT</x:v>
      </x:c>
      <x:c r="T46" s="3" t="str">
        <x:v>世代不明</x:v>
      </x:c>
      <x:c r="U46" s="28" t="n">
        <x:v>669000</x:v>
      </x:c>
      <x:c r="V46" s="28"/>
      <x:c r="W46" s="3" t="str">
        <x:v>広告の申告のみ。事故・水没・SOH・保証残は未確認</x:v>
      </x:c>
      <x:c r="X46" s="3" t="str">
        <x:v>掲載中・在庫未確認</x:v>
      </x:c>
      <x:c r="Y46" s="3" t="str"/>
      <x:c r="Z46" s="27" t="str">
        <x:v>https://www.one2car.com/en/cars-for-sale/toyota/corolla-cross</x:v>
      </x:c>
      <x:c r="AA46" s="3" t="str">
        <x:v>掲載リンク参照#257／見出し行1635（永続IDではない）</x:v>
      </x:c>
      <x:c r="AB46" s="3" t="str">
        <x:v>車台番号未取得／サイト間重複は未判定</x:v>
      </x:c>
      <x:c r="AC46" s="3" t="str">
        <x:v>税込区分未確認</x:v>
      </x:c>
      <x:c r="AD46" s="3" t="str"/>
      <x:c r="AE46" s="29" t="str">
        <x:f>""</x:f>
      </x:c>
      <x:c r="AF46" s="30" t="str">
        <x:f>IF(ISNUMBER(AE46),U46/AE46,"")</x:f>
      </x:c>
      <x:c r="AG46" s="29" t="n">
        <x:f>'新車価格・特価'!N54</x:f>
        <x:v>1094000</x:v>
      </x:c>
      <x:c r="AH46" s="30" t="n">
        <x:f>IF(ISNUMBER(AG46),U46/AG46,"")</x:f>
        <x:v>0.6115173674588665</x:v>
      </x:c>
      <x:c r="AI46" s="3" t="str">
        <x:v>同年式・グレードの検証済み当時価格なし／登録年混在</x:v>
      </x:c>
      <x:c r="AJ46" s="3" t="str">
        <x:v>走行/条件情報あり</x:v>
      </x:c>
      <x:c r="AK46" s="3" t="str">
        <x:v>取得した検索結果ページの掲載。サイトの並び順による選択偏りあり。</x:v>
      </x:c>
      <x:c r="AL46" s="31" t="n">
        <x:f>IF(AND(J46&lt;='分析方法'!$B$7,OR(ISBLANK(O46),O46&gt;='分析方法'!$B$8),X46&lt;&gt;"売却済み表示"),1,0)</x:f>
        <x:v>1</x:v>
      </x:c>
      <x:c r="AM46" s="32" t="n">
        <x:f>IF(AL46=1,U46,"")</x:f>
        <x:v>669000</x:v>
      </x:c>
      <x:c r="AN46" s="33" t="str">
        <x:f>IF(AL46=1,AF46,"")</x:f>
      </x:c>
      <x:c r="AO46" s="31" t="n">
        <x:f>'分析方法'!$B$6-J46</x:f>
        <x:v>5</x:v>
      </x:c>
      <x:c r="AP46" s="3"/>
    </x:row>
    <x:row r="47" ht="22" customHeight="1">
      <x:c r="A47" s="3" t="str">
        <x:v>O_corolla-cross_251</x:v>
      </x:c>
      <x:c r="B47" s="7" t="d">
        <x:v>2026-10-08T00:00:00.000Z</x:v>
      </x:c>
      <x:c r="C47" s="3" t="str">
        <x:v>One2car</x:v>
      </x:c>
      <x:c r="D47" s="3" t="str">
        <x:v>Toyota</x:v>
      </x:c>
      <x:c r="E47" s="3" t="str">
        <x:v>日本</x:v>
      </x:c>
      <x:c r="F47" s="3" t="str">
        <x:v>Corolla Cross</x:v>
      </x:c>
      <x:c r="G47" s="3" t="str">
        <x:v>HEV</x:v>
      </x:c>
      <x:c r="H47" s="3" t="str">
        <x:v>SUV</x:v>
      </x:c>
      <x:c r="I47" s="3" t="str"/>
      <x:c r="J47" s="3" t="n">
        <x:v>2021</x:v>
      </x:c>
      <x:c r="K47" s="3" t="str">
        <x:v>Hybrid Premium Safety</x:v>
      </x:c>
      <x:c r="L47" s="3" t="str">
        <x:v>HEV PREMIUM SAFETY</x:v>
      </x:c>
      <x:c r="M47" s="22" t="n">
        <x:v>98000</x:v>
      </x:c>
      <x:c r="N47" s="22" t="n">
        <x:v>98000</x:v>
      </x:c>
      <x:c r="O47" s="22" t="n">
        <x:v>98000</x:v>
      </x:c>
      <x:c r="P47" s="3" t="str">
        <x:v>50–100千km</x:v>
      </x:c>
      <x:c r="Q47" s="3" t="str">
        <x:v>Bangkok</x:v>
      </x:c>
      <x:c r="R47" s="3" t="str">
        <x:v>Bangkok metro</x:v>
      </x:c>
      <x:c r="S47" s="3" t="str">
        <x:v>AT</x:v>
      </x:c>
      <x:c r="T47" s="3" t="str">
        <x:v>世代不明</x:v>
      </x:c>
      <x:c r="U47" s="28" t="n">
        <x:v>636000</x:v>
      </x:c>
      <x:c r="V47" s="28"/>
      <x:c r="W47" s="3" t="str">
        <x:v>広告の申告のみ。事故・水没・SOH・保証残は未確認</x:v>
      </x:c>
      <x:c r="X47" s="3" t="str">
        <x:v>掲載中・在庫未確認</x:v>
      </x:c>
      <x:c r="Y47" s="3" t="str"/>
      <x:c r="Z47" s="27" t="str">
        <x:v>https://www.one2car.com/en/cars-for-sale/toyota/corolla-cross</x:v>
      </x:c>
      <x:c r="AA47" s="3" t="str">
        <x:v>掲載リンク参照#251／見出し行1453（永続IDではない）</x:v>
      </x:c>
      <x:c r="AB47" s="3" t="str">
        <x:v>車台番号未取得／サイト間重複は未判定</x:v>
      </x:c>
      <x:c r="AC47" s="3" t="str">
        <x:v>税込区分未確認</x:v>
      </x:c>
      <x:c r="AD47" s="3" t="str"/>
      <x:c r="AE47" s="29" t="str">
        <x:f>""</x:f>
      </x:c>
      <x:c r="AF47" s="30" t="str">
        <x:f>IF(ISNUMBER(AE47),U47/AE47,"")</x:f>
      </x:c>
      <x:c r="AG47" s="29" t="n">
        <x:f>'新車価格・特価'!N55</x:f>
        <x:v>1204000</x:v>
      </x:c>
      <x:c r="AH47" s="30" t="n">
        <x:f>IF(ISNUMBER(AG47),U47/AG47,"")</x:f>
        <x:v>0.5282392026578073</x:v>
      </x:c>
      <x:c r="AI47" s="3" t="str">
        <x:v>同年式・グレードの検証済み当時価格なし／登録年混在</x:v>
      </x:c>
      <x:c r="AJ47" s="3" t="str">
        <x:v>走行/条件情報あり</x:v>
      </x:c>
      <x:c r="AK47" s="3" t="str">
        <x:v>取得した検索結果ページの掲載。サイトの並び順による選択偏りあり。</x:v>
      </x:c>
      <x:c r="AL47" s="31" t="n">
        <x:f>IF(AND(J47&lt;='分析方法'!$B$7,OR(ISBLANK(O47),O47&gt;='分析方法'!$B$8),X47&lt;&gt;"売却済み表示"),1,0)</x:f>
        <x:v>1</x:v>
      </x:c>
      <x:c r="AM47" s="32" t="n">
        <x:f>IF(AL47=1,U47,"")</x:f>
        <x:v>636000</x:v>
      </x:c>
      <x:c r="AN47" s="33" t="str">
        <x:f>IF(AL47=1,AF47,"")</x:f>
      </x:c>
      <x:c r="AO47" s="31" t="n">
        <x:f>'分析方法'!$B$6-J47</x:f>
        <x:v>5</x:v>
      </x:c>
      <x:c r="AP47" s="3"/>
    </x:row>
    <x:row r="48" ht="22" customHeight="1">
      <x:c r="A48" s="3" t="str">
        <x:v>O_corolla-cross_252</x:v>
      </x:c>
      <x:c r="B48" s="7" t="d">
        <x:v>2026-10-08T00:00:00.000Z</x:v>
      </x:c>
      <x:c r="C48" s="3" t="str">
        <x:v>One2car</x:v>
      </x:c>
      <x:c r="D48" s="3" t="str">
        <x:v>Toyota</x:v>
      </x:c>
      <x:c r="E48" s="3" t="str">
        <x:v>日本</x:v>
      </x:c>
      <x:c r="F48" s="3" t="str">
        <x:v>Corolla Cross</x:v>
      </x:c>
      <x:c r="G48" s="3" t="str">
        <x:v>HEV</x:v>
      </x:c>
      <x:c r="H48" s="3" t="str">
        <x:v>SUV</x:v>
      </x:c>
      <x:c r="I48" s="3" t="str"/>
      <x:c r="J48" s="3" t="n">
        <x:v>2021</x:v>
      </x:c>
      <x:c r="K48" s="3" t="str">
        <x:v>Hybrid Premium Safety</x:v>
      </x:c>
      <x:c r="L48" s="3" t="str">
        <x:v>HEV PREMIUM SAFETY</x:v>
      </x:c>
      <x:c r="M48" s="22" t="n">
        <x:v>97000</x:v>
      </x:c>
      <x:c r="N48" s="22" t="n">
        <x:v>97000</x:v>
      </x:c>
      <x:c r="O48" s="22" t="n">
        <x:v>97000</x:v>
      </x:c>
      <x:c r="P48" s="3" t="str">
        <x:v>50–100千km</x:v>
      </x:c>
      <x:c r="Q48" s="3" t="str">
        <x:v>Bangkok</x:v>
      </x:c>
      <x:c r="R48" s="3" t="str">
        <x:v>Bangkok metro</x:v>
      </x:c>
      <x:c r="S48" s="3" t="str">
        <x:v>AT</x:v>
      </x:c>
      <x:c r="T48" s="3" t="str">
        <x:v>世代不明</x:v>
      </x:c>
      <x:c r="U48" s="28" t="n">
        <x:v>658000</x:v>
      </x:c>
      <x:c r="V48" s="28"/>
      <x:c r="W48" s="3" t="str">
        <x:v>広告の申告のみ。事故・水没・SOH・保証残は未確認</x:v>
      </x:c>
      <x:c r="X48" s="3" t="str">
        <x:v>掲載中・在庫未確認</x:v>
      </x:c>
      <x:c r="Y48" s="3" t="str"/>
      <x:c r="Z48" s="27" t="str">
        <x:v>https://www.one2car.com/en/cars-for-sale/toyota/corolla-cross</x:v>
      </x:c>
      <x:c r="AA48" s="3" t="str">
        <x:v>掲載リンク参照#252／見出し行1485（永続IDではない）</x:v>
      </x:c>
      <x:c r="AB48" s="3" t="str">
        <x:v>車台番号未取得／サイト間重複は未判定</x:v>
      </x:c>
      <x:c r="AC48" s="3" t="str">
        <x:v>税込区分未確認</x:v>
      </x:c>
      <x:c r="AD48" s="3" t="str"/>
      <x:c r="AE48" s="29" t="str">
        <x:f>""</x:f>
      </x:c>
      <x:c r="AF48" s="30" t="str">
        <x:f>IF(ISNUMBER(AE48),U48/AE48,"")</x:f>
      </x:c>
      <x:c r="AG48" s="29" t="n">
        <x:f>'新車価格・特価'!N55</x:f>
        <x:v>1204000</x:v>
      </x:c>
      <x:c r="AH48" s="30" t="n">
        <x:f>IF(ISNUMBER(AG48),U48/AG48,"")</x:f>
        <x:v>0.5465116279069767</x:v>
      </x:c>
      <x:c r="AI48" s="3" t="str">
        <x:v>同年式・グレードの検証済み当時価格なし／登録年混在</x:v>
      </x:c>
      <x:c r="AJ48" s="3" t="str">
        <x:v>走行/条件情報あり</x:v>
      </x:c>
      <x:c r="AK48" s="3" t="str">
        <x:v>取得した検索結果ページの掲載。サイトの並び順による選択偏りあり。</x:v>
      </x:c>
      <x:c r="AL48" s="31" t="n">
        <x:f>IF(AND(J48&lt;='分析方法'!$B$7,OR(ISBLANK(O48),O48&gt;='分析方法'!$B$8),X48&lt;&gt;"売却済み表示"),1,0)</x:f>
        <x:v>1</x:v>
      </x:c>
      <x:c r="AM48" s="32" t="n">
        <x:f>IF(AL48=1,U48,"")</x:f>
        <x:v>658000</x:v>
      </x:c>
      <x:c r="AN48" s="33" t="str">
        <x:f>IF(AL48=1,AF48,"")</x:f>
      </x:c>
      <x:c r="AO48" s="31" t="n">
        <x:f>'分析方法'!$B$6-J48</x:f>
        <x:v>5</x:v>
      </x:c>
      <x:c r="AP48" s="3"/>
    </x:row>
    <x:row r="49" ht="22" customHeight="1">
      <x:c r="A49" s="3" t="str">
        <x:v>O_corolla-cross_244</x:v>
      </x:c>
      <x:c r="B49" s="7" t="d">
        <x:v>2026-10-08T00:00:00.000Z</x:v>
      </x:c>
      <x:c r="C49" s="3" t="str">
        <x:v>One2car</x:v>
      </x:c>
      <x:c r="D49" s="3" t="str">
        <x:v>Toyota</x:v>
      </x:c>
      <x:c r="E49" s="3" t="str">
        <x:v>日本</x:v>
      </x:c>
      <x:c r="F49" s="3" t="str">
        <x:v>Corolla Cross</x:v>
      </x:c>
      <x:c r="G49" s="3" t="str">
        <x:v>HEV</x:v>
      </x:c>
      <x:c r="H49" s="3" t="str">
        <x:v>SUV</x:v>
      </x:c>
      <x:c r="I49" s="3" t="str"/>
      <x:c r="J49" s="3" t="n">
        <x:v>2022</x:v>
      </x:c>
      <x:c r="K49" s="3" t="str">
        <x:v>Hybrid Premium Safety</x:v>
      </x:c>
      <x:c r="L49" s="3" t="str">
        <x:v>HEV PREMIUM SAFETY</x:v>
      </x:c>
      <x:c r="M49" s="22" t="n">
        <x:v>17236</x:v>
      </x:c>
      <x:c r="N49" s="22" t="n">
        <x:v>17236</x:v>
      </x:c>
      <x:c r="O49" s="22" t="n">
        <x:v>17236</x:v>
      </x:c>
      <x:c r="P49" s="3" t="str">
        <x:v>&lt;20千km</x:v>
      </x:c>
      <x:c r="Q49" s="3" t="str">
        <x:v>Bangkok</x:v>
      </x:c>
      <x:c r="R49" s="3" t="str">
        <x:v>Bangkok metro</x:v>
      </x:c>
      <x:c r="S49" s="3" t="str">
        <x:v>AT</x:v>
      </x:c>
      <x:c r="T49" s="3" t="str">
        <x:v>世代不明</x:v>
      </x:c>
      <x:c r="U49" s="28" t="n">
        <x:v>759000</x:v>
      </x:c>
      <x:c r="V49" s="28"/>
      <x:c r="W49" s="3" t="str">
        <x:v>広告の申告のみ。事故・水没・SOH・保証残は未確認</x:v>
      </x:c>
      <x:c r="X49" s="3" t="str">
        <x:v>掲載中・在庫未確認</x:v>
      </x:c>
      <x:c r="Y49" s="3" t="str"/>
      <x:c r="Z49" s="27" t="str">
        <x:v>https://www.one2car.com/en/cars-for-sale/toyota/corolla-cross</x:v>
      </x:c>
      <x:c r="AA49" s="3" t="str">
        <x:v>掲載リンク参照#244／見出し行1230（永続IDではない）</x:v>
      </x:c>
      <x:c r="AB49" s="3" t="str">
        <x:v>車台番号未取得／サイト間重複は未判定</x:v>
      </x:c>
      <x:c r="AC49" s="3" t="str">
        <x:v>税込区分未確認</x:v>
      </x:c>
      <x:c r="AD49" s="3" t="str"/>
      <x:c r="AE49" s="29" t="str">
        <x:f>""</x:f>
      </x:c>
      <x:c r="AF49" s="30" t="str">
        <x:f>IF(ISNUMBER(AE49),U49/AE49,"")</x:f>
      </x:c>
      <x:c r="AG49" s="29" t="n">
        <x:f>'新車価格・特価'!N55</x:f>
        <x:v>1204000</x:v>
      </x:c>
      <x:c r="AH49" s="30" t="n">
        <x:f>IF(ISNUMBER(AG49),U49/AG49,"")</x:f>
        <x:v>0.6303986710963455</x:v>
      </x:c>
      <x:c r="AI49" s="3" t="str">
        <x:v>同年式・グレードの検証済み当時価格なし／登録年混在</x:v>
      </x:c>
      <x:c r="AJ49" s="3" t="str">
        <x:v>走行/条件情報あり</x:v>
      </x:c>
      <x:c r="AK49" s="3" t="str">
        <x:v>取得した検索結果ページの掲載。サイトの並び順による選択偏りあり。</x:v>
      </x:c>
      <x:c r="AL49" s="31" t="n">
        <x:f>IF(AND(J49&lt;='分析方法'!$B$7,OR(ISBLANK(O49),O49&gt;='分析方法'!$B$8),X49&lt;&gt;"売却済み表示"),1,0)</x:f>
        <x:v>1</x:v>
      </x:c>
      <x:c r="AM49" s="32" t="n">
        <x:f>IF(AL49=1,U49,"")</x:f>
        <x:v>759000</x:v>
      </x:c>
      <x:c r="AN49" s="33" t="str">
        <x:f>IF(AL49=1,AF49,"")</x:f>
      </x:c>
      <x:c r="AO49" s="31" t="n">
        <x:f>'分析方法'!$B$6-J49</x:f>
        <x:v>4</x:v>
      </x:c>
      <x:c r="AP49" s="3"/>
    </x:row>
    <x:row r="50" ht="22" customHeight="1">
      <x:c r="A50" s="3" t="str">
        <x:v>O_corolla-cross_246</x:v>
      </x:c>
      <x:c r="B50" s="7" t="d">
        <x:v>2026-10-08T00:00:00.000Z</x:v>
      </x:c>
      <x:c r="C50" s="3" t="str">
        <x:v>One2car</x:v>
      </x:c>
      <x:c r="D50" s="3" t="str">
        <x:v>Toyota</x:v>
      </x:c>
      <x:c r="E50" s="3" t="str">
        <x:v>日本</x:v>
      </x:c>
      <x:c r="F50" s="3" t="str">
        <x:v>Corolla Cross</x:v>
      </x:c>
      <x:c r="G50" s="3" t="str">
        <x:v>HEV</x:v>
      </x:c>
      <x:c r="H50" s="3" t="str">
        <x:v>SUV</x:v>
      </x:c>
      <x:c r="I50" s="3" t="str"/>
      <x:c r="J50" s="3" t="n">
        <x:v>2022</x:v>
      </x:c>
      <x:c r="K50" s="3" t="str">
        <x:v>Hybrid Smart</x:v>
      </x:c>
      <x:c r="L50" s="3" t="str">
        <x:v>HEV SMART</x:v>
      </x:c>
      <x:c r="M50" s="22" t="n">
        <x:v>13051</x:v>
      </x:c>
      <x:c r="N50" s="22" t="n">
        <x:v>13051</x:v>
      </x:c>
      <x:c r="O50" s="22" t="n">
        <x:v>13051</x:v>
      </x:c>
      <x:c r="P50" s="3" t="str">
        <x:v>&lt;20千km</x:v>
      </x:c>
      <x:c r="Q50" s="3" t="str">
        <x:v>Bangkok</x:v>
      </x:c>
      <x:c r="R50" s="3" t="str">
        <x:v>Bangkok metro</x:v>
      </x:c>
      <x:c r="S50" s="3" t="str">
        <x:v>AT</x:v>
      </x:c>
      <x:c r="T50" s="3" t="str">
        <x:v>世代不明</x:v>
      </x:c>
      <x:c r="U50" s="28" t="n">
        <x:v>699000</x:v>
      </x:c>
      <x:c r="V50" s="28"/>
      <x:c r="W50" s="3" t="str">
        <x:v>広告の申告のみ。事故・水没・SOH・保証残は未確認</x:v>
      </x:c>
      <x:c r="X50" s="3" t="str">
        <x:v>掲載中・在庫未確認</x:v>
      </x:c>
      <x:c r="Y50" s="3" t="str"/>
      <x:c r="Z50" s="27" t="str">
        <x:v>https://www.one2car.com/en/cars-for-sale/toyota/corolla-cross</x:v>
      </x:c>
      <x:c r="AA50" s="3" t="str">
        <x:v>掲載リンク参照#246／見出し行1296（永続IDではない）</x:v>
      </x:c>
      <x:c r="AB50" s="3" t="str">
        <x:v>車台番号未取得／サイト間重複は未判定</x:v>
      </x:c>
      <x:c r="AC50" s="3" t="str">
        <x:v>税込区分未確認</x:v>
      </x:c>
      <x:c r="AD50" s="3" t="str"/>
      <x:c r="AE50" s="29" t="str">
        <x:f>""</x:f>
      </x:c>
      <x:c r="AF50" s="30" t="str">
        <x:f>IF(ISNUMBER(AE50),U50/AE50,"")</x:f>
      </x:c>
      <x:c r="AG50" s="29" t="n">
        <x:f>'新車価格・特価'!N53</x:f>
        <x:v>989000</x:v>
      </x:c>
      <x:c r="AH50" s="30" t="n">
        <x:f>IF(ISNUMBER(AG50),U50/AG50,"")</x:f>
        <x:v>0.7067745197168858</x:v>
      </x:c>
      <x:c r="AI50" s="3" t="str">
        <x:v>同年式・グレードの検証済み当時価格なし／登録年混在</x:v>
      </x:c>
      <x:c r="AJ50" s="3" t="str">
        <x:v>走行/条件情報あり</x:v>
      </x:c>
      <x:c r="AK50" s="3" t="str">
        <x:v>取得した検索結果ページの掲載。サイトの並び順による選択偏りあり。</x:v>
      </x:c>
      <x:c r="AL50" s="31" t="n">
        <x:f>IF(AND(J50&lt;='分析方法'!$B$7,OR(ISBLANK(O50),O50&gt;='分析方法'!$B$8),X50&lt;&gt;"売却済み表示"),1,0)</x:f>
        <x:v>1</x:v>
      </x:c>
      <x:c r="AM50" s="32" t="n">
        <x:f>IF(AL50=1,U50,"")</x:f>
        <x:v>699000</x:v>
      </x:c>
      <x:c r="AN50" s="33" t="str">
        <x:f>IF(AL50=1,AF50,"")</x:f>
      </x:c>
      <x:c r="AO50" s="31" t="n">
        <x:f>'分析方法'!$B$6-J50</x:f>
        <x:v>4</x:v>
      </x:c>
      <x:c r="AP50" s="3"/>
    </x:row>
    <x:row r="51" ht="22" customHeight="1">
      <x:c r="A51" s="3" t="str">
        <x:v>O_corolla-cross_Y2023_147</x:v>
      </x:c>
      <x:c r="B51" s="7" t="d">
        <x:v>2026-10-08T00:00:00.000Z</x:v>
      </x:c>
      <x:c r="C51" s="3" t="str">
        <x:v>One2car</x:v>
      </x:c>
      <x:c r="D51" s="3" t="str">
        <x:v>Toyota</x:v>
      </x:c>
      <x:c r="E51" s="3" t="str">
        <x:v>日本</x:v>
      </x:c>
      <x:c r="F51" s="3" t="str">
        <x:v>Corolla Cross</x:v>
      </x:c>
      <x:c r="G51" s="3" t="str">
        <x:v>HEV</x:v>
      </x:c>
      <x:c r="H51" s="3" t="str">
        <x:v>SUV</x:v>
      </x:c>
      <x:c r="I51" s="3" t="str"/>
      <x:c r="J51" s="3" t="n">
        <x:v>2023</x:v>
      </x:c>
      <x:c r="K51" s="3" t="str">
        <x:v>Hybrid Premium Safety GR Sport</x:v>
      </x:c>
      <x:c r="L51" s="3" t="str">
        <x:v>HEV GR SPORT</x:v>
      </x:c>
      <x:c r="M51" s="22"/>
      <x:c r="N51" s="22" t="n">
        <x:v>20000</x:v>
      </x:c>
      <x:c r="O51" s="22" t="n">
        <x:v>25000</x:v>
      </x:c>
      <x:c r="P51" s="3" t="str">
        <x:v>20–50千km</x:v>
      </x:c>
      <x:c r="Q51" s="3" t="str">
        <x:v>Bangkok</x:v>
      </x:c>
      <x:c r="R51" s="3" t="str">
        <x:v>Bangkok metro</x:v>
      </x:c>
      <x:c r="S51" s="3" t="str">
        <x:v>AT</x:v>
      </x:c>
      <x:c r="T51" s="3" t="str">
        <x:v>世代不明</x:v>
      </x:c>
      <x:c r="U51" s="28" t="n">
        <x:v>839000</x:v>
      </x:c>
      <x:c r="V51" s="28"/>
      <x:c r="W51" s="3" t="str">
        <x:v>広告の申告のみ。事故・水没・SOH・保証残は未確認</x:v>
      </x:c>
      <x:c r="X51" s="3" t="str">
        <x:v>掲載中・在庫未確認</x:v>
      </x:c>
      <x:c r="Y51" s="3" t="str"/>
      <x:c r="Z51" s="27" t="str">
        <x:v>https://www.one2car.com/en/cars-for-sale/toyota/corolla-cross/year-2023</x:v>
      </x:c>
      <x:c r="AA51" s="3" t="str">
        <x:v>掲載リンク参照#147／見出し行893（永続IDではない）</x:v>
      </x:c>
      <x:c r="AB51" s="3" t="str">
        <x:v>車台番号未取得／サイト間重複は未判定</x:v>
      </x:c>
      <x:c r="AC51" s="3" t="str">
        <x:v>税込区分未確認</x:v>
      </x:c>
      <x:c r="AD51" s="3" t="str">
        <x:v>CROSS23_HEV GR SPORT</x:v>
      </x:c>
      <x:c r="AE51" s="29" t="n">
        <x:f>'新車価格・特価'!K48</x:f>
        <x:v>1254000</x:v>
      </x:c>
      <x:c r="AF51" s="30" t="n">
        <x:f>IF(ISNUMBER(AE51),U51/AE51,"")</x:f>
        <x:v>0.6690590111642744</x:v>
      </x:c>
      <x:c r="AG51" s="29" t="str">
        <x:f>""</x:f>
      </x:c>
      <x:c r="AH51" s="30" t="str">
        <x:f>IF(ISNUMBER(AG51),U51/AG51,"")</x:f>
      </x:c>
      <x:c r="AI51" s="3" t="str">
        <x:v>当時公表小売価格の参考残価率。実購入額ではない。年式/登録年・仕様差に注意。</x:v>
      </x:c>
      <x:c r="AJ51" s="3" t="str">
        <x:v>走行/条件情報あり</x:v>
      </x:c>
      <x:c r="AK51" s="3" t="str">
        <x:v>取得した検索結果ページの掲載。サイトの並び順による選択偏りあり。</x:v>
      </x:c>
      <x:c r="AL51" s="31" t="n">
        <x:f>IF(AND(J51&lt;='分析方法'!$B$7,OR(ISBLANK(O51),O51&gt;='分析方法'!$B$8),X51&lt;&gt;"売却済み表示"),1,0)</x:f>
        <x:v>1</x:v>
      </x:c>
      <x:c r="AM51" s="32" t="n">
        <x:f>IF(AL51=1,U51,"")</x:f>
        <x:v>839000</x:v>
      </x:c>
      <x:c r="AN51" s="33" t="n">
        <x:f>IF(AL51=1,AF51,"")</x:f>
        <x:v>0.6690590111642744</x:v>
      </x:c>
      <x:c r="AO51" s="31" t="n">
        <x:f>'分析方法'!$B$6-J51</x:f>
        <x:v>3</x:v>
      </x:c>
      <x:c r="AP51" s="3"/>
    </x:row>
    <x:row r="52" ht="22" customHeight="1">
      <x:c r="A52" s="3" t="str">
        <x:v>O_corolla-cross_Y2023_150</x:v>
      </x:c>
      <x:c r="B52" s="7" t="d">
        <x:v>2026-10-08T00:00:00.000Z</x:v>
      </x:c>
      <x:c r="C52" s="3" t="str">
        <x:v>One2car</x:v>
      </x:c>
      <x:c r="D52" s="3" t="str">
        <x:v>Toyota</x:v>
      </x:c>
      <x:c r="E52" s="3" t="str">
        <x:v>日本</x:v>
      </x:c>
      <x:c r="F52" s="3" t="str">
        <x:v>Corolla Cross</x:v>
      </x:c>
      <x:c r="G52" s="3" t="str">
        <x:v>HEV</x:v>
      </x:c>
      <x:c r="H52" s="3" t="str">
        <x:v>SUV</x:v>
      </x:c>
      <x:c r="I52" s="3" t="str"/>
      <x:c r="J52" s="3" t="n">
        <x:v>2023</x:v>
      </x:c>
      <x:c r="K52" s="3" t="str">
        <x:v>Hybrid Premium Safety GR Sport</x:v>
      </x:c>
      <x:c r="L52" s="3" t="str">
        <x:v>HEV GR SPORT</x:v>
      </x:c>
      <x:c r="M52" s="22"/>
      <x:c r="N52" s="22" t="n">
        <x:v>25000</x:v>
      </x:c>
      <x:c r="O52" s="22" t="n">
        <x:v>30000</x:v>
      </x:c>
      <x:c r="P52" s="3" t="str">
        <x:v>20–50千km</x:v>
      </x:c>
      <x:c r="Q52" s="3" t="str">
        <x:v>Bangkok</x:v>
      </x:c>
      <x:c r="R52" s="3" t="str">
        <x:v>Bangkok metro</x:v>
      </x:c>
      <x:c r="S52" s="3" t="str">
        <x:v>AT</x:v>
      </x:c>
      <x:c r="T52" s="3" t="str">
        <x:v>世代不明</x:v>
      </x:c>
      <x:c r="U52" s="28" t="n">
        <x:v>799900</x:v>
      </x:c>
      <x:c r="V52" s="28"/>
      <x:c r="W52" s="3" t="str">
        <x:v>広告の申告のみ。事故・水没・SOH・保証残は未確認</x:v>
      </x:c>
      <x:c r="X52" s="3" t="str">
        <x:v>掲載中・在庫未確認</x:v>
      </x:c>
      <x:c r="Y52" s="3" t="str"/>
      <x:c r="Z52" s="27" t="str">
        <x:v>https://www.one2car.com/en/cars-for-sale/toyota/corolla-cross/year-2023</x:v>
      </x:c>
      <x:c r="AA52" s="3" t="str">
        <x:v>掲載リンク参照#150／見出し行989（永続IDではない）</x:v>
      </x:c>
      <x:c r="AB52" s="3" t="str">
        <x:v>車台番号未取得／サイト間重複は未判定</x:v>
      </x:c>
      <x:c r="AC52" s="3" t="str">
        <x:v>税込区分未確認</x:v>
      </x:c>
      <x:c r="AD52" s="3" t="str">
        <x:v>CROSS23_HEV GR SPORT</x:v>
      </x:c>
      <x:c r="AE52" s="29" t="n">
        <x:f>'新車価格・特価'!K48</x:f>
        <x:v>1254000</x:v>
      </x:c>
      <x:c r="AF52" s="30" t="n">
        <x:f>IF(ISNUMBER(AE52),U52/AE52,"")</x:f>
        <x:v>0.6378787878787879</x:v>
      </x:c>
      <x:c r="AG52" s="29" t="str">
        <x:f>""</x:f>
      </x:c>
      <x:c r="AH52" s="30" t="str">
        <x:f>IF(ISNUMBER(AG52),U52/AG52,"")</x:f>
      </x:c>
      <x:c r="AI52" s="3" t="str">
        <x:v>当時公表小売価格の参考残価率。実購入額ではない。年式/登録年・仕様差に注意。</x:v>
      </x:c>
      <x:c r="AJ52" s="3" t="str">
        <x:v>走行/条件情報あり</x:v>
      </x:c>
      <x:c r="AK52" s="3" t="str">
        <x:v>取得した検索結果ページの掲載。サイトの並び順による選択偏りあり。</x:v>
      </x:c>
      <x:c r="AL52" s="31" t="n">
        <x:f>IF(AND(J52&lt;='分析方法'!$B$7,OR(ISBLANK(O52),O52&gt;='分析方法'!$B$8),X52&lt;&gt;"売却済み表示"),1,0)</x:f>
        <x:v>1</x:v>
      </x:c>
      <x:c r="AM52" s="32" t="n">
        <x:f>IF(AL52=1,U52,"")</x:f>
        <x:v>799900</x:v>
      </x:c>
      <x:c r="AN52" s="33" t="n">
        <x:f>IF(AL52=1,AF52,"")</x:f>
        <x:v>0.6378787878787879</x:v>
      </x:c>
      <x:c r="AO52" s="31" t="n">
        <x:f>'分析方法'!$B$6-J52</x:f>
        <x:v>3</x:v>
      </x:c>
      <x:c r="AP52" s="3"/>
    </x:row>
    <x:row r="53" ht="22" customHeight="1">
      <x:c r="A53" s="3" t="str">
        <x:v>O_corolla-cross_Y2023_154</x:v>
      </x:c>
      <x:c r="B53" s="7" t="d">
        <x:v>2026-10-08T00:00:00.000Z</x:v>
      </x:c>
      <x:c r="C53" s="3" t="str">
        <x:v>One2car</x:v>
      </x:c>
      <x:c r="D53" s="3" t="str">
        <x:v>Toyota</x:v>
      </x:c>
      <x:c r="E53" s="3" t="str">
        <x:v>日本</x:v>
      </x:c>
      <x:c r="F53" s="3" t="str">
        <x:v>Corolla Cross</x:v>
      </x:c>
      <x:c r="G53" s="3" t="str">
        <x:v>HEV</x:v>
      </x:c>
      <x:c r="H53" s="3" t="str">
        <x:v>SUV</x:v>
      </x:c>
      <x:c r="I53" s="3" t="str"/>
      <x:c r="J53" s="3" t="n">
        <x:v>2023</x:v>
      </x:c>
      <x:c r="K53" s="3" t="str">
        <x:v>Hybrid Premium Safety GR Sport</x:v>
      </x:c>
      <x:c r="L53" s="3" t="str">
        <x:v>HEV GR SPORT</x:v>
      </x:c>
      <x:c r="M53" s="22"/>
      <x:c r="N53" s="22" t="n">
        <x:v>45000</x:v>
      </x:c>
      <x:c r="O53" s="22" t="n">
        <x:v>50000</x:v>
      </x:c>
      <x:c r="P53" s="3" t="str">
        <x:v>20–50千km</x:v>
      </x:c>
      <x:c r="Q53" s="3" t="str">
        <x:v>Bangkok</x:v>
      </x:c>
      <x:c r="R53" s="3" t="str">
        <x:v>Bangkok metro</x:v>
      </x:c>
      <x:c r="S53" s="3" t="str">
        <x:v>AT</x:v>
      </x:c>
      <x:c r="T53" s="3" t="str">
        <x:v>世代不明</x:v>
      </x:c>
      <x:c r="U53" s="28" t="n">
        <x:v>795000</x:v>
      </x:c>
      <x:c r="V53" s="28"/>
      <x:c r="W53" s="3" t="str">
        <x:v>広告の申告のみ。事故・水没・SOH・保証残は未確認</x:v>
      </x:c>
      <x:c r="X53" s="3" t="str">
        <x:v>掲載中・在庫未確認</x:v>
      </x:c>
      <x:c r="Y53" s="3" t="str"/>
      <x:c r="Z53" s="27" t="str">
        <x:v>https://www.one2car.com/en/cars-for-sale/toyota/corolla-cross/year-2023</x:v>
      </x:c>
      <x:c r="AA53" s="3" t="str">
        <x:v>掲載リンク参照#154／見出し行1085（永続IDではない）</x:v>
      </x:c>
      <x:c r="AB53" s="3" t="str">
        <x:v>車台番号未取得／サイト間重複は未判定</x:v>
      </x:c>
      <x:c r="AC53" s="3" t="str">
        <x:v>税込区分未確認</x:v>
      </x:c>
      <x:c r="AD53" s="3" t="str">
        <x:v>CROSS23_HEV GR SPORT</x:v>
      </x:c>
      <x:c r="AE53" s="29" t="n">
        <x:f>'新車価格・特価'!K48</x:f>
        <x:v>1254000</x:v>
      </x:c>
      <x:c r="AF53" s="30" t="n">
        <x:f>IF(ISNUMBER(AE53),U53/AE53,"")</x:f>
        <x:v>0.6339712918660287</x:v>
      </x:c>
      <x:c r="AG53" s="29" t="str">
        <x:f>""</x:f>
      </x:c>
      <x:c r="AH53" s="30" t="str">
        <x:f>IF(ISNUMBER(AG53),U53/AG53,"")</x:f>
      </x:c>
      <x:c r="AI53" s="3" t="str">
        <x:v>当時公表小売価格の参考残価率。実購入額ではない。年式/登録年・仕様差に注意。</x:v>
      </x:c>
      <x:c r="AJ53" s="3" t="str">
        <x:v>走行/条件情報あり</x:v>
      </x:c>
      <x:c r="AK53" s="3" t="str">
        <x:v>取得した検索結果ページの掲載。サイトの並び順による選択偏りあり。</x:v>
      </x:c>
      <x:c r="AL53" s="31" t="n">
        <x:f>IF(AND(J53&lt;='分析方法'!$B$7,OR(ISBLANK(O53),O53&gt;='分析方法'!$B$8),X53&lt;&gt;"売却済み表示"),1,0)</x:f>
        <x:v>1</x:v>
      </x:c>
      <x:c r="AM53" s="32" t="n">
        <x:f>IF(AL53=1,U53,"")</x:f>
        <x:v>795000</x:v>
      </x:c>
      <x:c r="AN53" s="33" t="n">
        <x:f>IF(AL53=1,AF53,"")</x:f>
        <x:v>0.6339712918660287</x:v>
      </x:c>
      <x:c r="AO53" s="31" t="n">
        <x:f>'分析方法'!$B$6-J53</x:f>
        <x:v>3</x:v>
      </x:c>
      <x:c r="AP53" s="3"/>
    </x:row>
    <x:row r="54" ht="22" customHeight="1">
      <x:c r="A54" s="3" t="str">
        <x:v>O_corolla-cross_Y2023_160</x:v>
      </x:c>
      <x:c r="B54" s="7" t="d">
        <x:v>2026-10-08T00:00:00.000Z</x:v>
      </x:c>
      <x:c r="C54" s="3" t="str">
        <x:v>One2car</x:v>
      </x:c>
      <x:c r="D54" s="3" t="str">
        <x:v>Toyota</x:v>
      </x:c>
      <x:c r="E54" s="3" t="str">
        <x:v>日本</x:v>
      </x:c>
      <x:c r="F54" s="3" t="str">
        <x:v>Corolla Cross</x:v>
      </x:c>
      <x:c r="G54" s="3" t="str">
        <x:v>HEV</x:v>
      </x:c>
      <x:c r="H54" s="3" t="str">
        <x:v>SUV</x:v>
      </x:c>
      <x:c r="I54" s="3" t="str"/>
      <x:c r="J54" s="3" t="n">
        <x:v>2023</x:v>
      </x:c>
      <x:c r="K54" s="3" t="str">
        <x:v>Hybrid Premium Safety GR Sport</x:v>
      </x:c>
      <x:c r="L54" s="3" t="str">
        <x:v>HEV GR SPORT</x:v>
      </x:c>
      <x:c r="M54" s="22"/>
      <x:c r="N54" s="22" t="n">
        <x:v>65000</x:v>
      </x:c>
      <x:c r="O54" s="22" t="n">
        <x:v>70000</x:v>
      </x:c>
      <x:c r="P54" s="3" t="str">
        <x:v>50–100千km</x:v>
      </x:c>
      <x:c r="Q54" s="3" t="str">
        <x:v>Bangkok</x:v>
      </x:c>
      <x:c r="R54" s="3" t="str">
        <x:v>Bangkok metro</x:v>
      </x:c>
      <x:c r="S54" s="3" t="str">
        <x:v>AT</x:v>
      </x:c>
      <x:c r="T54" s="3" t="str">
        <x:v>世代不明</x:v>
      </x:c>
      <x:c r="U54" s="28" t="n">
        <x:v>799000</x:v>
      </x:c>
      <x:c r="V54" s="28"/>
      <x:c r="W54" s="3" t="str">
        <x:v>広告の申告のみ。事故・水没・SOH・保証残は未確認</x:v>
      </x:c>
      <x:c r="X54" s="3" t="str">
        <x:v>掲載中・在庫未確認</x:v>
      </x:c>
      <x:c r="Y54" s="3" t="str"/>
      <x:c r="Z54" s="27" t="str">
        <x:v>https://www.one2car.com/en/cars-for-sale/toyota/corolla-cross/year-2023</x:v>
      </x:c>
      <x:c r="AA54" s="3" t="str">
        <x:v>掲載リンク参照#160／見出し行1265（永続IDではない）</x:v>
      </x:c>
      <x:c r="AB54" s="3" t="str">
        <x:v>車台番号未取得／サイト間重複は未判定</x:v>
      </x:c>
      <x:c r="AC54" s="3" t="str">
        <x:v>税込区分未確認</x:v>
      </x:c>
      <x:c r="AD54" s="3" t="str">
        <x:v>CROSS23_HEV GR SPORT</x:v>
      </x:c>
      <x:c r="AE54" s="29" t="n">
        <x:f>'新車価格・特価'!K48</x:f>
        <x:v>1254000</x:v>
      </x:c>
      <x:c r="AF54" s="30" t="n">
        <x:f>IF(ISNUMBER(AE54),U54/AE54,"")</x:f>
        <x:v>0.6371610845295056</x:v>
      </x:c>
      <x:c r="AG54" s="29" t="str">
        <x:f>""</x:f>
      </x:c>
      <x:c r="AH54" s="30" t="str">
        <x:f>IF(ISNUMBER(AG54),U54/AG54,"")</x:f>
      </x:c>
      <x:c r="AI54" s="3" t="str">
        <x:v>当時公表小売価格の参考残価率。実購入額ではない。年式/登録年・仕様差に注意。</x:v>
      </x:c>
      <x:c r="AJ54" s="3" t="str">
        <x:v>走行/条件情報あり</x:v>
      </x:c>
      <x:c r="AK54" s="3" t="str">
        <x:v>取得した検索結果ページの掲載。サイトの並び順による選択偏りあり。</x:v>
      </x:c>
      <x:c r="AL54" s="31" t="n">
        <x:f>IF(AND(J54&lt;='分析方法'!$B$7,OR(ISBLANK(O54),O54&gt;='分析方法'!$B$8),X54&lt;&gt;"売却済み表示"),1,0)</x:f>
        <x:v>1</x:v>
      </x:c>
      <x:c r="AM54" s="32" t="n">
        <x:f>IF(AL54=1,U54,"")</x:f>
        <x:v>799000</x:v>
      </x:c>
      <x:c r="AN54" s="33" t="n">
        <x:f>IF(AL54=1,AF54,"")</x:f>
        <x:v>0.6371610845295056</x:v>
      </x:c>
      <x:c r="AO54" s="31" t="n">
        <x:f>'分析方法'!$B$6-J54</x:f>
        <x:v>3</x:v>
      </x:c>
      <x:c r="AP54" s="3"/>
    </x:row>
    <x:row r="55" ht="22" customHeight="1">
      <x:c r="A55" s="3" t="str">
        <x:v>O_corolla-cross_Y2023_167</x:v>
      </x:c>
      <x:c r="B55" s="7" t="d">
        <x:v>2026-10-08T00:00:00.000Z</x:v>
      </x:c>
      <x:c r="C55" s="3" t="str">
        <x:v>One2car</x:v>
      </x:c>
      <x:c r="D55" s="3" t="str">
        <x:v>Toyota</x:v>
      </x:c>
      <x:c r="E55" s="3" t="str">
        <x:v>日本</x:v>
      </x:c>
      <x:c r="F55" s="3" t="str">
        <x:v>Corolla Cross</x:v>
      </x:c>
      <x:c r="G55" s="3" t="str">
        <x:v>HEV</x:v>
      </x:c>
      <x:c r="H55" s="3" t="str">
        <x:v>SUV</x:v>
      </x:c>
      <x:c r="I55" s="3" t="str"/>
      <x:c r="J55" s="3" t="n">
        <x:v>2023</x:v>
      </x:c>
      <x:c r="K55" s="3" t="str">
        <x:v>Hybrid Premium Safety GR Sport</x:v>
      </x:c>
      <x:c r="L55" s="3" t="str">
        <x:v>HEV GR SPORT</x:v>
      </x:c>
      <x:c r="M55" s="22"/>
      <x:c r="N55" s="22" t="n">
        <x:v>80000</x:v>
      </x:c>
      <x:c r="O55" s="22" t="n">
        <x:v>85000</x:v>
      </x:c>
      <x:c r="P55" s="3" t="str">
        <x:v>50–100千km</x:v>
      </x:c>
      <x:c r="Q55" s="3" t="str">
        <x:v>Chiang Mai</x:v>
      </x:c>
      <x:c r="R55" s="3" t="str">
        <x:v>Other province</x:v>
      </x:c>
      <x:c r="S55" s="3" t="str">
        <x:v>AT</x:v>
      </x:c>
      <x:c r="T55" s="3" t="str">
        <x:v>世代不明</x:v>
      </x:c>
      <x:c r="U55" s="28" t="n">
        <x:v>879000</x:v>
      </x:c>
      <x:c r="V55" s="28"/>
      <x:c r="W55" s="3" t="str">
        <x:v>広告の申告のみ。事故・水没・SOH・保証残は未確認</x:v>
      </x:c>
      <x:c r="X55" s="3" t="str">
        <x:v>掲載中・在庫未確認</x:v>
      </x:c>
      <x:c r="Y55" s="3" t="str"/>
      <x:c r="Z55" s="27" t="str">
        <x:v>https://www.one2car.com/en/cars-for-sale/toyota/corolla-cross/year-2023</x:v>
      </x:c>
      <x:c r="AA55" s="3" t="str">
        <x:v>掲載リンク参照#167／見出し行1483（永続IDではない）</x:v>
      </x:c>
      <x:c r="AB55" s="3" t="str">
        <x:v>車台番号未取得／サイト間重複は未判定</x:v>
      </x:c>
      <x:c r="AC55" s="3" t="str">
        <x:v>税込区分未確認</x:v>
      </x:c>
      <x:c r="AD55" s="3" t="str">
        <x:v>CROSS23_HEV GR SPORT</x:v>
      </x:c>
      <x:c r="AE55" s="29" t="n">
        <x:f>'新車価格・特価'!K48</x:f>
        <x:v>1254000</x:v>
      </x:c>
      <x:c r="AF55" s="30" t="n">
        <x:f>IF(ISNUMBER(AE55),U55/AE55,"")</x:f>
        <x:v>0.7009569377990431</x:v>
      </x:c>
      <x:c r="AG55" s="29" t="str">
        <x:f>""</x:f>
      </x:c>
      <x:c r="AH55" s="30" t="str">
        <x:f>IF(ISNUMBER(AG55),U55/AG55,"")</x:f>
      </x:c>
      <x:c r="AI55" s="3" t="str">
        <x:v>当時公表小売価格の参考残価率。実購入額ではない。年式/登録年・仕様差に注意。</x:v>
      </x:c>
      <x:c r="AJ55" s="3" t="str">
        <x:v>走行/条件情報あり</x:v>
      </x:c>
      <x:c r="AK55" s="3" t="str">
        <x:v>取得した検索結果ページの掲載。サイトの並び順による選択偏りあり。</x:v>
      </x:c>
      <x:c r="AL55" s="31" t="n">
        <x:f>IF(AND(J55&lt;='分析方法'!$B$7,OR(ISBLANK(O55),O55&gt;='分析方法'!$B$8),X55&lt;&gt;"売却済み表示"),1,0)</x:f>
        <x:v>1</x:v>
      </x:c>
      <x:c r="AM55" s="32" t="n">
        <x:f>IF(AL55=1,U55,"")</x:f>
        <x:v>879000</x:v>
      </x:c>
      <x:c r="AN55" s="33" t="n">
        <x:f>IF(AL55=1,AF55,"")</x:f>
        <x:v>0.7009569377990431</x:v>
      </x:c>
      <x:c r="AO55" s="31" t="n">
        <x:f>'分析方法'!$B$6-J55</x:f>
        <x:v>3</x:v>
      </x:c>
      <x:c r="AP55" s="3"/>
    </x:row>
    <x:row r="56" ht="22" customHeight="1">
      <x:c r="A56" s="3" t="str">
        <x:v>O_corolla-cross_Y2023_156</x:v>
      </x:c>
      <x:c r="B56" s="7" t="d">
        <x:v>2026-10-08T00:00:00.000Z</x:v>
      </x:c>
      <x:c r="C56" s="3" t="str">
        <x:v>One2car</x:v>
      </x:c>
      <x:c r="D56" s="3" t="str">
        <x:v>Toyota</x:v>
      </x:c>
      <x:c r="E56" s="3" t="str">
        <x:v>日本</x:v>
      </x:c>
      <x:c r="F56" s="3" t="str">
        <x:v>Corolla Cross</x:v>
      </x:c>
      <x:c r="G56" s="3" t="str">
        <x:v>HEV</x:v>
      </x:c>
      <x:c r="H56" s="3" t="str">
        <x:v>SUV</x:v>
      </x:c>
      <x:c r="I56" s="3" t="str"/>
      <x:c r="J56" s="3" t="n">
        <x:v>2023</x:v>
      </x:c>
      <x:c r="K56" s="3" t="str">
        <x:v>Hybrid Premium Safety GR Sport</x:v>
      </x:c>
      <x:c r="L56" s="3" t="str">
        <x:v>HEV GR SPORT</x:v>
      </x:c>
      <x:c r="M56" s="22"/>
      <x:c r="N56" s="22" t="n">
        <x:v>50000</x:v>
      </x:c>
      <x:c r="O56" s="22" t="n">
        <x:v>55000</x:v>
      </x:c>
      <x:c r="P56" s="3" t="str">
        <x:v>50–100千km</x:v>
      </x:c>
      <x:c r="Q56" s="3" t="str">
        <x:v>Pathum Thani</x:v>
      </x:c>
      <x:c r="R56" s="3" t="str">
        <x:v>Bangkok metro</x:v>
      </x:c>
      <x:c r="S56" s="3" t="str">
        <x:v>AT</x:v>
      </x:c>
      <x:c r="T56" s="3" t="str">
        <x:v>世代不明</x:v>
      </x:c>
      <x:c r="U56" s="28" t="n">
        <x:v>849000</x:v>
      </x:c>
      <x:c r="V56" s="28"/>
      <x:c r="W56" s="3" t="str">
        <x:v>広告の申告のみ。事故・水没・SOH・保証残は未確認</x:v>
      </x:c>
      <x:c r="X56" s="3" t="str">
        <x:v>掲載中・在庫未確認</x:v>
      </x:c>
      <x:c r="Y56" s="3" t="str"/>
      <x:c r="Z56" s="27" t="str">
        <x:v>https://www.one2car.com/en/cars-for-sale/toyota/corolla-cross/year-2023</x:v>
      </x:c>
      <x:c r="AA56" s="3" t="str">
        <x:v>掲載リンク参照#156／見出し行1146（永続IDではない）</x:v>
      </x:c>
      <x:c r="AB56" s="3" t="str">
        <x:v>車台番号未取得／サイト間重複は未判定</x:v>
      </x:c>
      <x:c r="AC56" s="3" t="str">
        <x:v>税込区分未確認</x:v>
      </x:c>
      <x:c r="AD56" s="3" t="str">
        <x:v>CROSS23_HEV GR SPORT</x:v>
      </x:c>
      <x:c r="AE56" s="29" t="n">
        <x:f>'新車価格・特価'!K48</x:f>
        <x:v>1254000</x:v>
      </x:c>
      <x:c r="AF56" s="30" t="n">
        <x:f>IF(ISNUMBER(AE56),U56/AE56,"")</x:f>
        <x:v>0.6770334928229665</x:v>
      </x:c>
      <x:c r="AG56" s="29" t="str">
        <x:f>""</x:f>
      </x:c>
      <x:c r="AH56" s="30" t="str">
        <x:f>IF(ISNUMBER(AG56),U56/AG56,"")</x:f>
      </x:c>
      <x:c r="AI56" s="3" t="str">
        <x:v>当時公表小売価格の参考残価率。実購入額ではない。年式/登録年・仕様差に注意。</x:v>
      </x:c>
      <x:c r="AJ56" s="3" t="str">
        <x:v>走行/条件情報あり</x:v>
      </x:c>
      <x:c r="AK56" s="3" t="str">
        <x:v>取得した検索結果ページの掲載。サイトの並び順による選択偏りあり。</x:v>
      </x:c>
      <x:c r="AL56" s="31" t="n">
        <x:f>IF(AND(J56&lt;='分析方法'!$B$7,OR(ISBLANK(O56),O56&gt;='分析方法'!$B$8),X56&lt;&gt;"売却済み表示"),1,0)</x:f>
        <x:v>1</x:v>
      </x:c>
      <x:c r="AM56" s="32" t="n">
        <x:f>IF(AL56=1,U56,"")</x:f>
        <x:v>849000</x:v>
      </x:c>
      <x:c r="AN56" s="33" t="n">
        <x:f>IF(AL56=1,AF56,"")</x:f>
        <x:v>0.6770334928229665</x:v>
      </x:c>
      <x:c r="AO56" s="31" t="n">
        <x:f>'分析方法'!$B$6-J56</x:f>
        <x:v>3</x:v>
      </x:c>
      <x:c r="AP56" s="3"/>
    </x:row>
    <x:row r="57" ht="22" customHeight="1">
      <x:c r="A57" s="3" t="str">
        <x:v>O_corolla-cross_Y2023_153</x:v>
      </x:c>
      <x:c r="B57" s="7" t="d">
        <x:v>2026-10-08T00:00:00.000Z</x:v>
      </x:c>
      <x:c r="C57" s="3" t="str">
        <x:v>One2car</x:v>
      </x:c>
      <x:c r="D57" s="3" t="str">
        <x:v>Toyota</x:v>
      </x:c>
      <x:c r="E57" s="3" t="str">
        <x:v>日本</x:v>
      </x:c>
      <x:c r="F57" s="3" t="str">
        <x:v>Corolla Cross</x:v>
      </x:c>
      <x:c r="G57" s="3" t="str">
        <x:v>HEV</x:v>
      </x:c>
      <x:c r="H57" s="3" t="str">
        <x:v>SUV</x:v>
      </x:c>
      <x:c r="I57" s="3" t="str"/>
      <x:c r="J57" s="3" t="n">
        <x:v>2023</x:v>
      </x:c>
      <x:c r="K57" s="3" t="str">
        <x:v>Hybrid Premium</x:v>
      </x:c>
      <x:c r="L57" s="3" t="str">
        <x:v>HEV PREMIUM</x:v>
      </x:c>
      <x:c r="M57" s="22"/>
      <x:c r="N57" s="22" t="n">
        <x:v>20000</x:v>
      </x:c>
      <x:c r="O57" s="22" t="n">
        <x:v>25000</x:v>
      </x:c>
      <x:c r="P57" s="3" t="str">
        <x:v>20–50千km</x:v>
      </x:c>
      <x:c r="Q57" s="3" t="str">
        <x:v>Bangkok</x:v>
      </x:c>
      <x:c r="R57" s="3" t="str">
        <x:v>Bangkok metro</x:v>
      </x:c>
      <x:c r="S57" s="3" t="str">
        <x:v>AT</x:v>
      </x:c>
      <x:c r="T57" s="3" t="str">
        <x:v>世代不明</x:v>
      </x:c>
      <x:c r="U57" s="28" t="n">
        <x:v>739000</x:v>
      </x:c>
      <x:c r="V57" s="28"/>
      <x:c r="W57" s="3" t="str">
        <x:v>広告の申告のみ。事故・水没・SOH・保証残は未確認</x:v>
      </x:c>
      <x:c r="X57" s="3" t="str">
        <x:v>掲載中・在庫未確認</x:v>
      </x:c>
      <x:c r="Y57" s="3" t="str"/>
      <x:c r="Z57" s="27" t="str">
        <x:v>https://www.one2car.com/en/cars-for-sale/toyota/corolla-cross/year-2023</x:v>
      </x:c>
      <x:c r="AA57" s="3" t="str">
        <x:v>掲載リンク参照#153／見出し行1053（永続IDではない）</x:v>
      </x:c>
      <x:c r="AB57" s="3" t="str">
        <x:v>車台番号未取得／サイト間重複は未判定</x:v>
      </x:c>
      <x:c r="AC57" s="3" t="str">
        <x:v>税込区分未確認</x:v>
      </x:c>
      <x:c r="AD57" s="3" t="str">
        <x:v>CROSS23_HEV PREMIUM</x:v>
      </x:c>
      <x:c r="AE57" s="29" t="n">
        <x:f>'新車価格・特価'!K46</x:f>
        <x:v>1094000</x:v>
      </x:c>
      <x:c r="AF57" s="30" t="n">
        <x:f>IF(ISNUMBER(AE57),U57/AE57,"")</x:f>
        <x:v>0.6755027422303473</x:v>
      </x:c>
      <x:c r="AG57" s="29" t="n">
        <x:f>'新車価格・特価'!N54</x:f>
        <x:v>1094000</x:v>
      </x:c>
      <x:c r="AH57" s="30" t="n">
        <x:f>IF(ISNUMBER(AG57),U57/AG57,"")</x:f>
        <x:v>0.6755027422303473</x:v>
      </x:c>
      <x:c r="AI57" s="3" t="str">
        <x:v>当時公表小売価格の参考残価率。実購入額ではない。年式/登録年・仕様差に注意。</x:v>
      </x:c>
      <x:c r="AJ57" s="3" t="str">
        <x:v>走行/条件情報あり</x:v>
      </x:c>
      <x:c r="AK57" s="3" t="str">
        <x:v>取得した検索結果ページの掲載。サイトの並び順による選択偏りあり。</x:v>
      </x:c>
      <x:c r="AL57" s="31" t="n">
        <x:f>IF(AND(J57&lt;='分析方法'!$B$7,OR(ISBLANK(O57),O57&gt;='分析方法'!$B$8),X57&lt;&gt;"売却済み表示"),1,0)</x:f>
        <x:v>1</x:v>
      </x:c>
      <x:c r="AM57" s="32" t="n">
        <x:f>IF(AL57=1,U57,"")</x:f>
        <x:v>739000</x:v>
      </x:c>
      <x:c r="AN57" s="33" t="n">
        <x:f>IF(AL57=1,AF57,"")</x:f>
        <x:v>0.6755027422303473</x:v>
      </x:c>
      <x:c r="AO57" s="31" t="n">
        <x:f>'分析方法'!$B$6-J57</x:f>
        <x:v>3</x:v>
      </x:c>
      <x:c r="AP57" s="3"/>
    </x:row>
    <x:row r="58" ht="22" customHeight="1">
      <x:c r="A58" s="3" t="str">
        <x:v>O_corolla-cross_Y2023_166</x:v>
      </x:c>
      <x:c r="B58" s="7" t="d">
        <x:v>2026-10-08T00:00:00.000Z</x:v>
      </x:c>
      <x:c r="C58" s="3" t="str">
        <x:v>One2car</x:v>
      </x:c>
      <x:c r="D58" s="3" t="str">
        <x:v>Toyota</x:v>
      </x:c>
      <x:c r="E58" s="3" t="str">
        <x:v>日本</x:v>
      </x:c>
      <x:c r="F58" s="3" t="str">
        <x:v>Corolla Cross</x:v>
      </x:c>
      <x:c r="G58" s="3" t="str">
        <x:v>HEV</x:v>
      </x:c>
      <x:c r="H58" s="3" t="str">
        <x:v>SUV</x:v>
      </x:c>
      <x:c r="I58" s="3" t="str"/>
      <x:c r="J58" s="3" t="n">
        <x:v>2023</x:v>
      </x:c>
      <x:c r="K58" s="3" t="str">
        <x:v>Hybrid Premium</x:v>
      </x:c>
      <x:c r="L58" s="3" t="str">
        <x:v>HEV PREMIUM</x:v>
      </x:c>
      <x:c r="M58" s="22" t="n">
        <x:v>29000</x:v>
      </x:c>
      <x:c r="N58" s="22" t="n">
        <x:v>29000</x:v>
      </x:c>
      <x:c r="O58" s="22" t="n">
        <x:v>29000</x:v>
      </x:c>
      <x:c r="P58" s="3" t="str">
        <x:v>20–50千km</x:v>
      </x:c>
      <x:c r="Q58" s="3" t="str">
        <x:v>Bangkok</x:v>
      </x:c>
      <x:c r="R58" s="3" t="str">
        <x:v>Bangkok metro</x:v>
      </x:c>
      <x:c r="S58" s="3" t="str">
        <x:v>AT</x:v>
      </x:c>
      <x:c r="T58" s="3" t="str">
        <x:v>世代不明</x:v>
      </x:c>
      <x:c r="U58" s="28" t="n">
        <x:v>729000</x:v>
      </x:c>
      <x:c r="V58" s="28"/>
      <x:c r="W58" s="3" t="str">
        <x:v>広告の申告のみ。事故・水没・SOH・保証残は未確認</x:v>
      </x:c>
      <x:c r="X58" s="3" t="str">
        <x:v>掲載中・在庫未確認</x:v>
      </x:c>
      <x:c r="Y58" s="3" t="str"/>
      <x:c r="Z58" s="27" t="str">
        <x:v>https://www.one2car.com/en/cars-for-sale/toyota/corolla-cross/year-2023</x:v>
      </x:c>
      <x:c r="AA58" s="3" t="str">
        <x:v>掲載リンク参照#166／見出し行1451（永続IDではない）</x:v>
      </x:c>
      <x:c r="AB58" s="3" t="str">
        <x:v>車台番号未取得／サイト間重複は未判定</x:v>
      </x:c>
      <x:c r="AC58" s="3" t="str">
        <x:v>税込区分未確認</x:v>
      </x:c>
      <x:c r="AD58" s="3" t="str">
        <x:v>CROSS23_HEV PREMIUM</x:v>
      </x:c>
      <x:c r="AE58" s="29" t="n">
        <x:f>'新車価格・特価'!K46</x:f>
        <x:v>1094000</x:v>
      </x:c>
      <x:c r="AF58" s="30" t="n">
        <x:f>IF(ISNUMBER(AE58),U58/AE58,"")</x:f>
        <x:v>0.6663619744058501</x:v>
      </x:c>
      <x:c r="AG58" s="29" t="n">
        <x:f>'新車価格・特価'!N54</x:f>
        <x:v>1094000</x:v>
      </x:c>
      <x:c r="AH58" s="30" t="n">
        <x:f>IF(ISNUMBER(AG58),U58/AG58,"")</x:f>
        <x:v>0.6663619744058501</x:v>
      </x:c>
      <x:c r="AI58" s="3" t="str">
        <x:v>当時公表小売価格の参考残価率。実購入額ではない。年式/登録年・仕様差に注意。</x:v>
      </x:c>
      <x:c r="AJ58" s="3" t="str">
        <x:v>走行/条件情報あり</x:v>
      </x:c>
      <x:c r="AK58" s="3" t="str">
        <x:v>取得した検索結果ページの掲載。サイトの並び順による選択偏りあり。</x:v>
      </x:c>
      <x:c r="AL58" s="31" t="n">
        <x:f>IF(AND(J58&lt;='分析方法'!$B$7,OR(ISBLANK(O58),O58&gt;='分析方法'!$B$8),X58&lt;&gt;"売却済み表示"),1,0)</x:f>
        <x:v>1</x:v>
      </x:c>
      <x:c r="AM58" s="32" t="n">
        <x:f>IF(AL58=1,U58,"")</x:f>
        <x:v>729000</x:v>
      </x:c>
      <x:c r="AN58" s="33" t="n">
        <x:f>IF(AL58=1,AF58,"")</x:f>
        <x:v>0.6663619744058501</x:v>
      </x:c>
      <x:c r="AO58" s="31" t="n">
        <x:f>'分析方法'!$B$6-J58</x:f>
        <x:v>3</x:v>
      </x:c>
      <x:c r="AP58" s="3"/>
    </x:row>
    <x:row r="59" ht="22" customHeight="1">
      <x:c r="A59" s="3" t="str">
        <x:v>O_corolla-cross_Y2023_148</x:v>
      </x:c>
      <x:c r="B59" s="7" t="d">
        <x:v>2026-10-08T00:00:00.000Z</x:v>
      </x:c>
      <x:c r="C59" s="3" t="str">
        <x:v>One2car</x:v>
      </x:c>
      <x:c r="D59" s="3" t="str">
        <x:v>Toyota</x:v>
      </x:c>
      <x:c r="E59" s="3" t="str">
        <x:v>日本</x:v>
      </x:c>
      <x:c r="F59" s="3" t="str">
        <x:v>Corolla Cross</x:v>
      </x:c>
      <x:c r="G59" s="3" t="str">
        <x:v>HEV</x:v>
      </x:c>
      <x:c r="H59" s="3" t="str">
        <x:v>SUV</x:v>
      </x:c>
      <x:c r="I59" s="3" t="str"/>
      <x:c r="J59" s="3" t="n">
        <x:v>2023</x:v>
      </x:c>
      <x:c r="K59" s="3" t="str">
        <x:v>Hybrid Premium</x:v>
      </x:c>
      <x:c r="L59" s="3" t="str">
        <x:v>HEV PREMIUM</x:v>
      </x:c>
      <x:c r="M59" s="22"/>
      <x:c r="N59" s="22" t="n">
        <x:v>95000</x:v>
      </x:c>
      <x:c r="O59" s="22" t="n">
        <x:v>100000</x:v>
      </x:c>
      <x:c r="P59" s="3" t="str">
        <x:v>50–100千km</x:v>
      </x:c>
      <x:c r="Q59" s="3" t="str">
        <x:v>Bangkok</x:v>
      </x:c>
      <x:c r="R59" s="3" t="str">
        <x:v>Bangkok metro</x:v>
      </x:c>
      <x:c r="S59" s="3" t="str">
        <x:v>AT</x:v>
      </x:c>
      <x:c r="T59" s="3" t="str">
        <x:v>世代不明</x:v>
      </x:c>
      <x:c r="U59" s="28" t="n">
        <x:v>739000</x:v>
      </x:c>
      <x:c r="V59" s="28"/>
      <x:c r="W59" s="3" t="str">
        <x:v>広告の申告のみ。事故・水没・SOH・保証残は未確認</x:v>
      </x:c>
      <x:c r="X59" s="3" t="str">
        <x:v>掲載中・在庫未確認</x:v>
      </x:c>
      <x:c r="Y59" s="3" t="str"/>
      <x:c r="Z59" s="27" t="str">
        <x:v>https://www.one2car.com/en/cars-for-sale/toyota/corolla-cross/year-2023</x:v>
      </x:c>
      <x:c r="AA59" s="3" t="str">
        <x:v>掲載リンク参照#148／見出し行925（永続IDではない）</x:v>
      </x:c>
      <x:c r="AB59" s="3" t="str">
        <x:v>車台番号未取得／サイト間重複は未判定</x:v>
      </x:c>
      <x:c r="AC59" s="3" t="str">
        <x:v>税込区分未確認</x:v>
      </x:c>
      <x:c r="AD59" s="3" t="str">
        <x:v>CROSS23_HEV PREMIUM</x:v>
      </x:c>
      <x:c r="AE59" s="29" t="n">
        <x:f>'新車価格・特価'!K46</x:f>
        <x:v>1094000</x:v>
      </x:c>
      <x:c r="AF59" s="30" t="n">
        <x:f>IF(ISNUMBER(AE59),U59/AE59,"")</x:f>
        <x:v>0.6755027422303473</x:v>
      </x:c>
      <x:c r="AG59" s="29" t="n">
        <x:f>'新車価格・特価'!N54</x:f>
        <x:v>1094000</x:v>
      </x:c>
      <x:c r="AH59" s="30" t="n">
        <x:f>IF(ISNUMBER(AG59),U59/AG59,"")</x:f>
        <x:v>0.6755027422303473</x:v>
      </x:c>
      <x:c r="AI59" s="3" t="str">
        <x:v>当時公表小売価格の参考残価率。実購入額ではない。年式/登録年・仕様差に注意。</x:v>
      </x:c>
      <x:c r="AJ59" s="3" t="str">
        <x:v>走行/条件情報あり</x:v>
      </x:c>
      <x:c r="AK59" s="3" t="str">
        <x:v>取得した検索結果ページの掲載。サイトの並び順による選択偏りあり。</x:v>
      </x:c>
      <x:c r="AL59" s="31" t="n">
        <x:f>IF(AND(J59&lt;='分析方法'!$B$7,OR(ISBLANK(O59),O59&gt;='分析方法'!$B$8),X59&lt;&gt;"売却済み表示"),1,0)</x:f>
        <x:v>1</x:v>
      </x:c>
      <x:c r="AM59" s="32" t="n">
        <x:f>IF(AL59=1,U59,"")</x:f>
        <x:v>739000</x:v>
      </x:c>
      <x:c r="AN59" s="33" t="n">
        <x:f>IF(AL59=1,AF59,"")</x:f>
        <x:v>0.6755027422303473</x:v>
      </x:c>
      <x:c r="AO59" s="31" t="n">
        <x:f>'分析方法'!$B$6-J59</x:f>
        <x:v>3</x:v>
      </x:c>
      <x:c r="AP59" s="3"/>
    </x:row>
    <x:row r="60" ht="22" customHeight="1">
      <x:c r="A60" s="3" t="str">
        <x:v>O_corolla-cross_Y2023_155</x:v>
      </x:c>
      <x:c r="B60" s="7" t="d">
        <x:v>2026-10-08T00:00:00.000Z</x:v>
      </x:c>
      <x:c r="C60" s="3" t="str">
        <x:v>One2car</x:v>
      </x:c>
      <x:c r="D60" s="3" t="str">
        <x:v>Toyota</x:v>
      </x:c>
      <x:c r="E60" s="3" t="str">
        <x:v>日本</x:v>
      </x:c>
      <x:c r="F60" s="3" t="str">
        <x:v>Corolla Cross</x:v>
      </x:c>
      <x:c r="G60" s="3" t="str">
        <x:v>HEV</x:v>
      </x:c>
      <x:c r="H60" s="3" t="str">
        <x:v>SUV</x:v>
      </x:c>
      <x:c r="I60" s="3" t="str"/>
      <x:c r="J60" s="3" t="n">
        <x:v>2023</x:v>
      </x:c>
      <x:c r="K60" s="3" t="str">
        <x:v>Hybrid Premium</x:v>
      </x:c>
      <x:c r="L60" s="3" t="str">
        <x:v>HEV PREMIUM</x:v>
      </x:c>
      <x:c r="M60" s="22"/>
      <x:c r="N60" s="22" t="n">
        <x:v>75000</x:v>
      </x:c>
      <x:c r="O60" s="22" t="n">
        <x:v>80000</x:v>
      </x:c>
      <x:c r="P60" s="3" t="str">
        <x:v>50–100千km</x:v>
      </x:c>
      <x:c r="Q60" s="3" t="str">
        <x:v>Bangkok</x:v>
      </x:c>
      <x:c r="R60" s="3" t="str">
        <x:v>Bangkok metro</x:v>
      </x:c>
      <x:c r="S60" s="3" t="str">
        <x:v>AT</x:v>
      </x:c>
      <x:c r="T60" s="3" t="str">
        <x:v>世代不明</x:v>
      </x:c>
      <x:c r="U60" s="28" t="n">
        <x:v>688000</x:v>
      </x:c>
      <x:c r="V60" s="28"/>
      <x:c r="W60" s="3" t="str">
        <x:v>広告の申告のみ。事故・水没・SOH・保証残は未確認</x:v>
      </x:c>
      <x:c r="X60" s="3" t="str">
        <x:v>掲載中・在庫未確認</x:v>
      </x:c>
      <x:c r="Y60" s="3" t="str"/>
      <x:c r="Z60" s="27" t="str">
        <x:v>https://www.one2car.com/en/cars-for-sale/toyota/corolla-cross/year-2023</x:v>
      </x:c>
      <x:c r="AA60" s="3" t="str">
        <x:v>掲載リンク参照#155／見出し行1117（永続IDではない）</x:v>
      </x:c>
      <x:c r="AB60" s="3" t="str">
        <x:v>車台番号未取得／サイト間重複は未判定</x:v>
      </x:c>
      <x:c r="AC60" s="3" t="str">
        <x:v>税込区分未確認</x:v>
      </x:c>
      <x:c r="AD60" s="3" t="str">
        <x:v>CROSS23_HEV PREMIUM</x:v>
      </x:c>
      <x:c r="AE60" s="29" t="n">
        <x:f>'新車価格・特価'!K46</x:f>
        <x:v>1094000</x:v>
      </x:c>
      <x:c r="AF60" s="30" t="n">
        <x:f>IF(ISNUMBER(AE60),U60/AE60,"")</x:f>
        <x:v>0.6288848263254113</x:v>
      </x:c>
      <x:c r="AG60" s="29" t="n">
        <x:f>'新車価格・特価'!N54</x:f>
        <x:v>1094000</x:v>
      </x:c>
      <x:c r="AH60" s="30" t="n">
        <x:f>IF(ISNUMBER(AG60),U60/AG60,"")</x:f>
        <x:v>0.6288848263254113</x:v>
      </x:c>
      <x:c r="AI60" s="3" t="str">
        <x:v>当時公表小売価格の参考残価率。実購入額ではない。年式/登録年・仕様差に注意。</x:v>
      </x:c>
      <x:c r="AJ60" s="3" t="str">
        <x:v>走行/条件情報あり</x:v>
      </x:c>
      <x:c r="AK60" s="3" t="str">
        <x:v>取得した検索結果ページの掲載。サイトの並び順による選択偏りあり。</x:v>
      </x:c>
      <x:c r="AL60" s="31" t="n">
        <x:f>IF(AND(J60&lt;='分析方法'!$B$7,OR(ISBLANK(O60),O60&gt;='分析方法'!$B$8),X60&lt;&gt;"売却済み表示"),1,0)</x:f>
        <x:v>1</x:v>
      </x:c>
      <x:c r="AM60" s="32" t="n">
        <x:f>IF(AL60=1,U60,"")</x:f>
        <x:v>688000</x:v>
      </x:c>
      <x:c r="AN60" s="33" t="n">
        <x:f>IF(AL60=1,AF60,"")</x:f>
        <x:v>0.6288848263254113</x:v>
      </x:c>
      <x:c r="AO60" s="31" t="n">
        <x:f>'分析方法'!$B$6-J60</x:f>
        <x:v>3</x:v>
      </x:c>
      <x:c r="AP60" s="3"/>
    </x:row>
    <x:row r="61" ht="22" customHeight="1">
      <x:c r="A61" s="3" t="str">
        <x:v>O_corolla-cross_Y2023_159</x:v>
      </x:c>
      <x:c r="B61" s="7" t="d">
        <x:v>2026-10-08T00:00:00.000Z</x:v>
      </x:c>
      <x:c r="C61" s="3" t="str">
        <x:v>One2car</x:v>
      </x:c>
      <x:c r="D61" s="3" t="str">
        <x:v>Toyota</x:v>
      </x:c>
      <x:c r="E61" s="3" t="str">
        <x:v>日本</x:v>
      </x:c>
      <x:c r="F61" s="3" t="str">
        <x:v>Corolla Cross</x:v>
      </x:c>
      <x:c r="G61" s="3" t="str">
        <x:v>HEV</x:v>
      </x:c>
      <x:c r="H61" s="3" t="str">
        <x:v>SUV</x:v>
      </x:c>
      <x:c r="I61" s="3" t="str"/>
      <x:c r="J61" s="3" t="n">
        <x:v>2023</x:v>
      </x:c>
      <x:c r="K61" s="3" t="str">
        <x:v>Hybrid Premium</x:v>
      </x:c>
      <x:c r="L61" s="3" t="str">
        <x:v>HEV PREMIUM</x:v>
      </x:c>
      <x:c r="M61" s="22"/>
      <x:c r="N61" s="22" t="n">
        <x:v>75000</x:v>
      </x:c>
      <x:c r="O61" s="22" t="n">
        <x:v>80000</x:v>
      </x:c>
      <x:c r="P61" s="3" t="str">
        <x:v>50–100千km</x:v>
      </x:c>
      <x:c r="Q61" s="3" t="str">
        <x:v>Bangkok</x:v>
      </x:c>
      <x:c r="R61" s="3" t="str">
        <x:v>Bangkok metro</x:v>
      </x:c>
      <x:c r="S61" s="3" t="str">
        <x:v>AT</x:v>
      </x:c>
      <x:c r="T61" s="3" t="str">
        <x:v>世代不明</x:v>
      </x:c>
      <x:c r="U61" s="28" t="n">
        <x:v>669000</x:v>
      </x:c>
      <x:c r="V61" s="28"/>
      <x:c r="W61" s="3" t="str">
        <x:v>広告の申告のみ。事故・水没・SOH・保証残は未確認</x:v>
      </x:c>
      <x:c r="X61" s="3" t="str">
        <x:v>掲載中・在庫未確認</x:v>
      </x:c>
      <x:c r="Y61" s="3" t="str"/>
      <x:c r="Z61" s="27" t="str">
        <x:v>https://www.one2car.com/en/cars-for-sale/toyota/corolla-cross/year-2023</x:v>
      </x:c>
      <x:c r="AA61" s="3" t="str">
        <x:v>掲載リンク参照#159／見出し行1233（永続IDではない）</x:v>
      </x:c>
      <x:c r="AB61" s="3" t="str">
        <x:v>車台番号未取得／サイト間重複は未判定</x:v>
      </x:c>
      <x:c r="AC61" s="3" t="str">
        <x:v>税込区分未確認</x:v>
      </x:c>
      <x:c r="AD61" s="3" t="str">
        <x:v>CROSS23_HEV PREMIUM</x:v>
      </x:c>
      <x:c r="AE61" s="29" t="n">
        <x:f>'新車価格・特価'!K46</x:f>
        <x:v>1094000</x:v>
      </x:c>
      <x:c r="AF61" s="30" t="n">
        <x:f>IF(ISNUMBER(AE61),U61/AE61,"")</x:f>
        <x:v>0.6115173674588665</x:v>
      </x:c>
      <x:c r="AG61" s="29" t="n">
        <x:f>'新車価格・特価'!N54</x:f>
        <x:v>1094000</x:v>
      </x:c>
      <x:c r="AH61" s="30" t="n">
        <x:f>IF(ISNUMBER(AG61),U61/AG61,"")</x:f>
        <x:v>0.6115173674588665</x:v>
      </x:c>
      <x:c r="AI61" s="3" t="str">
        <x:v>当時公表小売価格の参考残価率。実購入額ではない。年式/登録年・仕様差に注意。</x:v>
      </x:c>
      <x:c r="AJ61" s="3" t="str">
        <x:v>走行/条件情報あり</x:v>
      </x:c>
      <x:c r="AK61" s="3" t="str">
        <x:v>取得した検索結果ページの掲載。サイトの並び順による選択偏りあり。</x:v>
      </x:c>
      <x:c r="AL61" s="31" t="n">
        <x:f>IF(AND(J61&lt;='分析方法'!$B$7,OR(ISBLANK(O61),O61&gt;='分析方法'!$B$8),X61&lt;&gt;"売却済み表示"),1,0)</x:f>
        <x:v>1</x:v>
      </x:c>
      <x:c r="AM61" s="32" t="n">
        <x:f>IF(AL61=1,U61,"")</x:f>
        <x:v>669000</x:v>
      </x:c>
      <x:c r="AN61" s="33" t="n">
        <x:f>IF(AL61=1,AF61,"")</x:f>
        <x:v>0.6115173674588665</x:v>
      </x:c>
      <x:c r="AO61" s="31" t="n">
        <x:f>'分析方法'!$B$6-J61</x:f>
        <x:v>3</x:v>
      </x:c>
      <x:c r="AP61" s="3"/>
    </x:row>
    <x:row r="62" ht="22" customHeight="1">
      <x:c r="A62" s="3" t="str">
        <x:v>O_corolla-cross_Y2023_165</x:v>
      </x:c>
      <x:c r="B62" s="7" t="d">
        <x:v>2026-10-08T00:00:00.000Z</x:v>
      </x:c>
      <x:c r="C62" s="3" t="str">
        <x:v>One2car</x:v>
      </x:c>
      <x:c r="D62" s="3" t="str">
        <x:v>Toyota</x:v>
      </x:c>
      <x:c r="E62" s="3" t="str">
        <x:v>日本</x:v>
      </x:c>
      <x:c r="F62" s="3" t="str">
        <x:v>Corolla Cross</x:v>
      </x:c>
      <x:c r="G62" s="3" t="str">
        <x:v>HEV</x:v>
      </x:c>
      <x:c r="H62" s="3" t="str">
        <x:v>SUV</x:v>
      </x:c>
      <x:c r="I62" s="3" t="str"/>
      <x:c r="J62" s="3" t="n">
        <x:v>2023</x:v>
      </x:c>
      <x:c r="K62" s="3" t="str">
        <x:v>Hybrid Premium</x:v>
      </x:c>
      <x:c r="L62" s="3" t="str">
        <x:v>HEV PREMIUM</x:v>
      </x:c>
      <x:c r="M62" s="22" t="n">
        <x:v>72153</x:v>
      </x:c>
      <x:c r="N62" s="22" t="n">
        <x:v>72153</x:v>
      </x:c>
      <x:c r="O62" s="22" t="n">
        <x:v>72153</x:v>
      </x:c>
      <x:c r="P62" s="3" t="str">
        <x:v>50–100千km</x:v>
      </x:c>
      <x:c r="Q62" s="3" t="str">
        <x:v>Bangkok</x:v>
      </x:c>
      <x:c r="R62" s="3" t="str">
        <x:v>Bangkok metro</x:v>
      </x:c>
      <x:c r="S62" s="3" t="str">
        <x:v>AT</x:v>
      </x:c>
      <x:c r="T62" s="3" t="str">
        <x:v>世代不明</x:v>
      </x:c>
      <x:c r="U62" s="28" t="n">
        <x:v>798000</x:v>
      </x:c>
      <x:c r="V62" s="28"/>
      <x:c r="W62" s="3" t="str">
        <x:v>広告の申告のみ。事故・水没・SOH・保証残は未確認</x:v>
      </x:c>
      <x:c r="X62" s="3" t="str">
        <x:v>掲載中・在庫未確認</x:v>
      </x:c>
      <x:c r="Y62" s="3" t="str"/>
      <x:c r="Z62" s="27" t="str">
        <x:v>https://www.one2car.com/en/cars-for-sale/toyota/corolla-cross/year-2023</x:v>
      </x:c>
      <x:c r="AA62" s="3" t="str">
        <x:v>掲載リンク参照#165／見出し行1419（永続IDではない）</x:v>
      </x:c>
      <x:c r="AB62" s="3" t="str">
        <x:v>車台番号未取得／サイト間重複は未判定</x:v>
      </x:c>
      <x:c r="AC62" s="3" t="str">
        <x:v>税込区分未確認</x:v>
      </x:c>
      <x:c r="AD62" s="3" t="str">
        <x:v>CROSS23_HEV PREMIUM</x:v>
      </x:c>
      <x:c r="AE62" s="29" t="n">
        <x:f>'新車価格・特価'!K46</x:f>
        <x:v>1094000</x:v>
      </x:c>
      <x:c r="AF62" s="30" t="n">
        <x:f>IF(ISNUMBER(AE62),U62/AE62,"")</x:f>
        <x:v>0.7294332723948812</x:v>
      </x:c>
      <x:c r="AG62" s="29" t="n">
        <x:f>'新車価格・特価'!N54</x:f>
        <x:v>1094000</x:v>
      </x:c>
      <x:c r="AH62" s="30" t="n">
        <x:f>IF(ISNUMBER(AG62),U62/AG62,"")</x:f>
        <x:v>0.7294332723948812</x:v>
      </x:c>
      <x:c r="AI62" s="3" t="str">
        <x:v>当時公表小売価格の参考残価率。実購入額ではない。年式/登録年・仕様差に注意。</x:v>
      </x:c>
      <x:c r="AJ62" s="3" t="str">
        <x:v>走行/条件情報あり</x:v>
      </x:c>
      <x:c r="AK62" s="3" t="str">
        <x:v>取得した検索結果ページの掲載。サイトの並び順による選択偏りあり。</x:v>
      </x:c>
      <x:c r="AL62" s="31" t="n">
        <x:f>IF(AND(J62&lt;='分析方法'!$B$7,OR(ISBLANK(O62),O62&gt;='分析方法'!$B$8),X62&lt;&gt;"売却済み表示"),1,0)</x:f>
        <x:v>1</x:v>
      </x:c>
      <x:c r="AM62" s="32" t="n">
        <x:f>IF(AL62=1,U62,"")</x:f>
        <x:v>798000</x:v>
      </x:c>
      <x:c r="AN62" s="33" t="n">
        <x:f>IF(AL62=1,AF62,"")</x:f>
        <x:v>0.7294332723948812</x:v>
      </x:c>
      <x:c r="AO62" s="31" t="n">
        <x:f>'分析方法'!$B$6-J62</x:f>
        <x:v>3</x:v>
      </x:c>
      <x:c r="AP62" s="3"/>
    </x:row>
    <x:row r="63" ht="22" customHeight="1">
      <x:c r="A63" s="3" t="str">
        <x:v>O_corolla-cross_Y2023_158</x:v>
      </x:c>
      <x:c r="B63" s="7" t="d">
        <x:v>2026-10-08T00:00:00.000Z</x:v>
      </x:c>
      <x:c r="C63" s="3" t="str">
        <x:v>One2car</x:v>
      </x:c>
      <x:c r="D63" s="3" t="str">
        <x:v>Toyota</x:v>
      </x:c>
      <x:c r="E63" s="3" t="str">
        <x:v>日本</x:v>
      </x:c>
      <x:c r="F63" s="3" t="str">
        <x:v>Corolla Cross</x:v>
      </x:c>
      <x:c r="G63" s="3" t="str">
        <x:v>HEV</x:v>
      </x:c>
      <x:c r="H63" s="3" t="str">
        <x:v>SUV</x:v>
      </x:c>
      <x:c r="I63" s="3" t="str"/>
      <x:c r="J63" s="3" t="n">
        <x:v>2023</x:v>
      </x:c>
      <x:c r="K63" s="3" t="str">
        <x:v>Hybrid Premium</x:v>
      </x:c>
      <x:c r="L63" s="3" t="str">
        <x:v>HEV PREMIUM</x:v>
      </x:c>
      <x:c r="M63" s="22"/>
      <x:c r="N63" s="22" t="n">
        <x:v>0</x:v>
      </x:c>
      <x:c r="O63" s="22" t="n">
        <x:v>5000</x:v>
      </x:c>
      <x:c r="P63" s="3" t="str">
        <x:v>&lt;20千km</x:v>
      </x:c>
      <x:c r="Q63" s="3" t="str">
        <x:v>Bangkok</x:v>
      </x:c>
      <x:c r="R63" s="3" t="str">
        <x:v>Bangkok metro</x:v>
      </x:c>
      <x:c r="S63" s="3" t="str">
        <x:v>AT</x:v>
      </x:c>
      <x:c r="T63" s="3" t="str">
        <x:v>世代不明</x:v>
      </x:c>
      <x:c r="U63" s="28" t="n">
        <x:v>669000</x:v>
      </x:c>
      <x:c r="V63" s="28"/>
      <x:c r="W63" s="3" t="str">
        <x:v>広告の申告のみ。事故・水没・SOH・保証残は未確認</x:v>
      </x:c>
      <x:c r="X63" s="3" t="str">
        <x:v>掲載中・在庫未確認</x:v>
      </x:c>
      <x:c r="Y63" s="3" t="str"/>
      <x:c r="Z63" s="27" t="str">
        <x:v>https://www.one2car.com/en/cars-for-sale/toyota/corolla-cross/year-2023</x:v>
      </x:c>
      <x:c r="AA63" s="3" t="str">
        <x:v>掲載リンク参照#158／見出し行1204（永続IDではない）</x:v>
      </x:c>
      <x:c r="AB63" s="3" t="str">
        <x:v>候補0d3816d9：同条件・価格一致、車台番号未確認</x:v>
      </x:c>
      <x:c r="AC63" s="3" t="str">
        <x:v>税込区分未確認</x:v>
      </x:c>
      <x:c r="AD63" s="3" t="str">
        <x:v>CROSS23_HEV PREMIUM</x:v>
      </x:c>
      <x:c r="AE63" s="29" t="n">
        <x:f>'新車価格・特価'!K46</x:f>
        <x:v>1094000</x:v>
      </x:c>
      <x:c r="AF63" s="30" t="n">
        <x:f>IF(ISNUMBER(AE63),U63/AE63,"")</x:f>
        <x:v>0.6115173674588665</x:v>
      </x:c>
      <x:c r="AG63" s="29" t="n">
        <x:f>'新車価格・特価'!N54</x:f>
        <x:v>1094000</x:v>
      </x:c>
      <x:c r="AH63" s="30" t="n">
        <x:f>IF(ISNUMBER(AG63),U63/AG63,"")</x:f>
        <x:v>0.6115173674588665</x:v>
      </x:c>
      <x:c r="AI63" s="3" t="str">
        <x:v>当時公表小売価格の参考残価率。実購入額ではない。年式/登録年・仕様差に注意。</x:v>
      </x:c>
      <x:c r="AJ63" s="3" t="str">
        <x:v>走行/条件情報あり</x:v>
      </x:c>
      <x:c r="AK63" s="3" t="str">
        <x:v>取得した検索結果ページの掲載。サイトの並び順による選択偏りあり。</x:v>
      </x:c>
      <x:c r="AL63" s="31" t="n">
        <x:f>IF(AND(J63&lt;='分析方法'!$B$7,OR(ISBLANK(O63),O63&gt;='分析方法'!$B$8),X63&lt;&gt;"売却済み表示"),1,0)</x:f>
        <x:v>1</x:v>
      </x:c>
      <x:c r="AM63" s="32" t="n">
        <x:f>IF(AL63=1,U63,"")</x:f>
        <x:v>669000</x:v>
      </x:c>
      <x:c r="AN63" s="33" t="n">
        <x:f>IF(AL63=1,AF63,"")</x:f>
        <x:v>0.6115173674588665</x:v>
      </x:c>
      <x:c r="AO63" s="31" t="n">
        <x:f>'分析方法'!$B$6-J63</x:f>
        <x:v>3</x:v>
      </x:c>
      <x:c r="AP63" s="3"/>
    </x:row>
    <x:row r="64" ht="22" customHeight="1">
      <x:c r="A64" s="3" t="str">
        <x:v>O_corolla-cross_Y2023_163</x:v>
      </x:c>
      <x:c r="B64" s="7" t="d">
        <x:v>2026-10-08T00:00:00.000Z</x:v>
      </x:c>
      <x:c r="C64" s="3" t="str">
        <x:v>One2car</x:v>
      </x:c>
      <x:c r="D64" s="3" t="str">
        <x:v>Toyota</x:v>
      </x:c>
      <x:c r="E64" s="3" t="str">
        <x:v>日本</x:v>
      </x:c>
      <x:c r="F64" s="3" t="str">
        <x:v>Corolla Cross</x:v>
      </x:c>
      <x:c r="G64" s="3" t="str">
        <x:v>HEV</x:v>
      </x:c>
      <x:c r="H64" s="3" t="str">
        <x:v>SUV</x:v>
      </x:c>
      <x:c r="I64" s="3" t="str"/>
      <x:c r="J64" s="3" t="n">
        <x:v>2023</x:v>
      </x:c>
      <x:c r="K64" s="3" t="str">
        <x:v>Hybrid Premium</x:v>
      </x:c>
      <x:c r="L64" s="3" t="str">
        <x:v>HEV PREMIUM</x:v>
      </x:c>
      <x:c r="M64" s="22"/>
      <x:c r="N64" s="22" t="n">
        <x:v>0</x:v>
      </x:c>
      <x:c r="O64" s="22" t="n">
        <x:v>5000</x:v>
      </x:c>
      <x:c r="P64" s="3" t="str">
        <x:v>&lt;20千km</x:v>
      </x:c>
      <x:c r="Q64" s="3" t="str">
        <x:v>Bangkok</x:v>
      </x:c>
      <x:c r="R64" s="3" t="str">
        <x:v>Bangkok metro</x:v>
      </x:c>
      <x:c r="S64" s="3" t="str">
        <x:v>AT</x:v>
      </x:c>
      <x:c r="T64" s="3" t="str">
        <x:v>世代不明</x:v>
      </x:c>
      <x:c r="U64" s="28" t="n">
        <x:v>669000</x:v>
      </x:c>
      <x:c r="V64" s="28"/>
      <x:c r="W64" s="3" t="str">
        <x:v>広告の申告のみ。事故・水没・SOH・保証残は未確認</x:v>
      </x:c>
      <x:c r="X64" s="3" t="str">
        <x:v>掲載中・在庫未確認</x:v>
      </x:c>
      <x:c r="Y64" s="3" t="str"/>
      <x:c r="Z64" s="27" t="str">
        <x:v>https://www.one2car.com/en/cars-for-sale/toyota/corolla-cross/year-2023</x:v>
      </x:c>
      <x:c r="AA64" s="3" t="str">
        <x:v>掲載リンク参照#163／見出し行1361（永続IDではない）</x:v>
      </x:c>
      <x:c r="AB64" s="3" t="str">
        <x:v>候補0d3816d9：同条件・価格一致、車台番号未確認</x:v>
      </x:c>
      <x:c r="AC64" s="3" t="str">
        <x:v>税込区分未確認</x:v>
      </x:c>
      <x:c r="AD64" s="3" t="str">
        <x:v>CROSS23_HEV PREMIUM</x:v>
      </x:c>
      <x:c r="AE64" s="29" t="n">
        <x:f>'新車価格・特価'!K46</x:f>
        <x:v>1094000</x:v>
      </x:c>
      <x:c r="AF64" s="30" t="n">
        <x:f>IF(ISNUMBER(AE64),U64/AE64,"")</x:f>
        <x:v>0.6115173674588665</x:v>
      </x:c>
      <x:c r="AG64" s="29" t="n">
        <x:f>'新車価格・特価'!N54</x:f>
        <x:v>1094000</x:v>
      </x:c>
      <x:c r="AH64" s="30" t="n">
        <x:f>IF(ISNUMBER(AG64),U64/AG64,"")</x:f>
        <x:v>0.6115173674588665</x:v>
      </x:c>
      <x:c r="AI64" s="3" t="str">
        <x:v>当時公表小売価格の参考残価率。実購入額ではない。年式/登録年・仕様差に注意。</x:v>
      </x:c>
      <x:c r="AJ64" s="3" t="str">
        <x:v>走行/条件情報あり</x:v>
      </x:c>
      <x:c r="AK64" s="3" t="str">
        <x:v>取得した検索結果ページの掲載。サイトの並び順による選択偏りあり。</x:v>
      </x:c>
      <x:c r="AL64" s="31" t="n">
        <x:f>IF(AND(J64&lt;='分析方法'!$B$7,OR(ISBLANK(O64),O64&gt;='分析方法'!$B$8),X64&lt;&gt;"売却済み表示"),1,0)</x:f>
        <x:v>1</x:v>
      </x:c>
      <x:c r="AM64" s="32" t="n">
        <x:f>IF(AL64=1,U64,"")</x:f>
        <x:v>669000</x:v>
      </x:c>
      <x:c r="AN64" s="33" t="n">
        <x:f>IF(AL64=1,AF64,"")</x:f>
        <x:v>0.6115173674588665</x:v>
      </x:c>
      <x:c r="AO64" s="31" t="n">
        <x:f>'分析方法'!$B$6-J64</x:f>
        <x:v>3</x:v>
      </x:c>
      <x:c r="AP64" s="3"/>
    </x:row>
    <x:row r="65" ht="22" customHeight="1">
      <x:c r="A65" s="3" t="str">
        <x:v>O_corolla-cross_Y2023_152</x:v>
      </x:c>
      <x:c r="B65" s="7" t="d">
        <x:v>2026-10-08T00:00:00.000Z</x:v>
      </x:c>
      <x:c r="C65" s="3" t="str">
        <x:v>One2car</x:v>
      </x:c>
      <x:c r="D65" s="3" t="str">
        <x:v>Toyota</x:v>
      </x:c>
      <x:c r="E65" s="3" t="str">
        <x:v>日本</x:v>
      </x:c>
      <x:c r="F65" s="3" t="str">
        <x:v>Corolla Cross</x:v>
      </x:c>
      <x:c r="G65" s="3" t="str">
        <x:v>HEV</x:v>
      </x:c>
      <x:c r="H65" s="3" t="str">
        <x:v>SUV</x:v>
      </x:c>
      <x:c r="I65" s="3" t="str"/>
      <x:c r="J65" s="3" t="n">
        <x:v>2023</x:v>
      </x:c>
      <x:c r="K65" s="3" t="str">
        <x:v>Hybrid Premium Safety</x:v>
      </x:c>
      <x:c r="L65" s="3" t="str">
        <x:v>HEV PREMIUM SAFETY</x:v>
      </x:c>
      <x:c r="M65" s="22"/>
      <x:c r="N65" s="22" t="n">
        <x:v>30000</x:v>
      </x:c>
      <x:c r="O65" s="22" t="n">
        <x:v>35000</x:v>
      </x:c>
      <x:c r="P65" s="3" t="str">
        <x:v>20–50千km</x:v>
      </x:c>
      <x:c r="Q65" s="3" t="str">
        <x:v>Bangkok</x:v>
      </x:c>
      <x:c r="R65" s="3" t="str">
        <x:v>Bangkok metro</x:v>
      </x:c>
      <x:c r="S65" s="3" t="str">
        <x:v>AT</x:v>
      </x:c>
      <x:c r="T65" s="3" t="str">
        <x:v>世代不明</x:v>
      </x:c>
      <x:c r="U65" s="28" t="n">
        <x:v>759000</x:v>
      </x:c>
      <x:c r="V65" s="28"/>
      <x:c r="W65" s="3" t="str">
        <x:v>広告の申告のみ。事故・水没・SOH・保証残は未確認</x:v>
      </x:c>
      <x:c r="X65" s="3" t="str">
        <x:v>掲載中・在庫未確認</x:v>
      </x:c>
      <x:c r="Y65" s="3" t="str"/>
      <x:c r="Z65" s="27" t="str">
        <x:v>https://www.one2car.com/en/cars-for-sale/toyota/corolla-cross/year-2023</x:v>
      </x:c>
      <x:c r="AA65" s="3" t="str">
        <x:v>掲載リンク参照#152／見出し行1021（永続IDではない）</x:v>
      </x:c>
      <x:c r="AB65" s="3" t="str">
        <x:v>車台番号未取得／サイト間重複は未判定</x:v>
      </x:c>
      <x:c r="AC65" s="3" t="str">
        <x:v>税込区分未確認</x:v>
      </x:c>
      <x:c r="AD65" s="3" t="str">
        <x:v>CROSS23_HEV PREMIUM SAFETY</x:v>
      </x:c>
      <x:c r="AE65" s="29" t="n">
        <x:f>'新車価格・特価'!K47</x:f>
        <x:v>1204000</x:v>
      </x:c>
      <x:c r="AF65" s="30" t="n">
        <x:f>IF(ISNUMBER(AE65),U65/AE65,"")</x:f>
        <x:v>0.6303986710963455</x:v>
      </x:c>
      <x:c r="AG65" s="29" t="n">
        <x:f>'新車価格・特価'!N55</x:f>
        <x:v>1204000</x:v>
      </x:c>
      <x:c r="AH65" s="30" t="n">
        <x:f>IF(ISNUMBER(AG65),U65/AG65,"")</x:f>
        <x:v>0.6303986710963455</x:v>
      </x:c>
      <x:c r="AI65" s="3" t="str">
        <x:v>当時公表小売価格の参考残価率。実購入額ではない。年式/登録年・仕様差に注意。</x:v>
      </x:c>
      <x:c r="AJ65" s="3" t="str">
        <x:v>走行/条件情報あり</x:v>
      </x:c>
      <x:c r="AK65" s="3" t="str">
        <x:v>取得した検索結果ページの掲載。サイトの並び順による選択偏りあり。</x:v>
      </x:c>
      <x:c r="AL65" s="31" t="n">
        <x:f>IF(AND(J65&lt;='分析方法'!$B$7,OR(ISBLANK(O65),O65&gt;='分析方法'!$B$8),X65&lt;&gt;"売却済み表示"),1,0)</x:f>
        <x:v>1</x:v>
      </x:c>
      <x:c r="AM65" s="32" t="n">
        <x:f>IF(AL65=1,U65,"")</x:f>
        <x:v>759000</x:v>
      </x:c>
      <x:c r="AN65" s="33" t="n">
        <x:f>IF(AL65=1,AF65,"")</x:f>
        <x:v>0.6303986710963455</x:v>
      </x:c>
      <x:c r="AO65" s="31" t="n">
        <x:f>'分析方法'!$B$6-J65</x:f>
        <x:v>3</x:v>
      </x:c>
      <x:c r="AP65" s="3"/>
    </x:row>
    <x:row r="66" ht="22" customHeight="1">
      <x:c r="A66" s="3" t="str">
        <x:v>O_corolla-cross_Y2023_149</x:v>
      </x:c>
      <x:c r="B66" s="7" t="d">
        <x:v>2026-10-08T00:00:00.000Z</x:v>
      </x:c>
      <x:c r="C66" s="3" t="str">
        <x:v>One2car</x:v>
      </x:c>
      <x:c r="D66" s="3" t="str">
        <x:v>Toyota</x:v>
      </x:c>
      <x:c r="E66" s="3" t="str">
        <x:v>日本</x:v>
      </x:c>
      <x:c r="F66" s="3" t="str">
        <x:v>Corolla Cross</x:v>
      </x:c>
      <x:c r="G66" s="3" t="str">
        <x:v>HEV</x:v>
      </x:c>
      <x:c r="H66" s="3" t="str">
        <x:v>SUV</x:v>
      </x:c>
      <x:c r="I66" s="3" t="str"/>
      <x:c r="J66" s="3" t="n">
        <x:v>2023</x:v>
      </x:c>
      <x:c r="K66" s="3" t="str">
        <x:v>Hybrid Premium Safety</x:v>
      </x:c>
      <x:c r="L66" s="3" t="str">
        <x:v>HEV PREMIUM SAFETY</x:v>
      </x:c>
      <x:c r="M66" s="22"/>
      <x:c r="N66" s="22" t="n">
        <x:v>75000</x:v>
      </x:c>
      <x:c r="O66" s="22" t="n">
        <x:v>80000</x:v>
      </x:c>
      <x:c r="P66" s="3" t="str">
        <x:v>50–100千km</x:v>
      </x:c>
      <x:c r="Q66" s="3" t="str">
        <x:v>Bangkok</x:v>
      </x:c>
      <x:c r="R66" s="3" t="str">
        <x:v>Bangkok metro</x:v>
      </x:c>
      <x:c r="S66" s="3" t="str">
        <x:v>AT</x:v>
      </x:c>
      <x:c r="T66" s="3" t="str">
        <x:v>世代不明</x:v>
      </x:c>
      <x:c r="U66" s="28" t="n">
        <x:v>778000</x:v>
      </x:c>
      <x:c r="V66" s="28"/>
      <x:c r="W66" s="3" t="str">
        <x:v>広告の申告のみ。事故・水没・SOH・保証残は未確認</x:v>
      </x:c>
      <x:c r="X66" s="3" t="str">
        <x:v>掲載中・在庫未確認</x:v>
      </x:c>
      <x:c r="Y66" s="3" t="str"/>
      <x:c r="Z66" s="27" t="str">
        <x:v>https://www.one2car.com/en/cars-for-sale/toyota/corolla-cross/year-2023</x:v>
      </x:c>
      <x:c r="AA66" s="3" t="str">
        <x:v>掲載リンク参照#149／見出し行957（永続IDではない）</x:v>
      </x:c>
      <x:c r="AB66" s="3" t="str">
        <x:v>車台番号未取得／サイト間重複は未判定</x:v>
      </x:c>
      <x:c r="AC66" s="3" t="str">
        <x:v>税込区分未確認</x:v>
      </x:c>
      <x:c r="AD66" s="3" t="str">
        <x:v>CROSS23_HEV PREMIUM SAFETY</x:v>
      </x:c>
      <x:c r="AE66" s="29" t="n">
        <x:f>'新車価格・特価'!K47</x:f>
        <x:v>1204000</x:v>
      </x:c>
      <x:c r="AF66" s="30" t="n">
        <x:f>IF(ISNUMBER(AE66),U66/AE66,"")</x:f>
        <x:v>0.6461794019933554</x:v>
      </x:c>
      <x:c r="AG66" s="29" t="n">
        <x:f>'新車価格・特価'!N55</x:f>
        <x:v>1204000</x:v>
      </x:c>
      <x:c r="AH66" s="30" t="n">
        <x:f>IF(ISNUMBER(AG66),U66/AG66,"")</x:f>
        <x:v>0.6461794019933554</x:v>
      </x:c>
      <x:c r="AI66" s="3" t="str">
        <x:v>当時公表小売価格の参考残価率。実購入額ではない。年式/登録年・仕様差に注意。</x:v>
      </x:c>
      <x:c r="AJ66" s="3" t="str">
        <x:v>走行/条件情報あり</x:v>
      </x:c>
      <x:c r="AK66" s="3" t="str">
        <x:v>取得した検索結果ページの掲載。サイトの並び順による選択偏りあり。</x:v>
      </x:c>
      <x:c r="AL66" s="31" t="n">
        <x:f>IF(AND(J66&lt;='分析方法'!$B$7,OR(ISBLANK(O66),O66&gt;='分析方法'!$B$8),X66&lt;&gt;"売却済み表示"),1,0)</x:f>
        <x:v>1</x:v>
      </x:c>
      <x:c r="AM66" s="32" t="n">
        <x:f>IF(AL66=1,U66,"")</x:f>
        <x:v>778000</x:v>
      </x:c>
      <x:c r="AN66" s="33" t="n">
        <x:f>IF(AL66=1,AF66,"")</x:f>
        <x:v>0.6461794019933554</x:v>
      </x:c>
      <x:c r="AO66" s="31" t="n">
        <x:f>'分析方法'!$B$6-J66</x:f>
        <x:v>3</x:v>
      </x:c>
      <x:c r="AP66" s="3"/>
    </x:row>
    <x:row r="67" ht="22" customHeight="1">
      <x:c r="A67" s="3" t="str">
        <x:v>O_corolla-cross_Y2023_161</x:v>
      </x:c>
      <x:c r="B67" s="7" t="d">
        <x:v>2026-10-08T00:00:00.000Z</x:v>
      </x:c>
      <x:c r="C67" s="3" t="str">
        <x:v>One2car</x:v>
      </x:c>
      <x:c r="D67" s="3" t="str">
        <x:v>Toyota</x:v>
      </x:c>
      <x:c r="E67" s="3" t="str">
        <x:v>日本</x:v>
      </x:c>
      <x:c r="F67" s="3" t="str">
        <x:v>Corolla Cross</x:v>
      </x:c>
      <x:c r="G67" s="3" t="str">
        <x:v>HEV</x:v>
      </x:c>
      <x:c r="H67" s="3" t="str">
        <x:v>SUV</x:v>
      </x:c>
      <x:c r="I67" s="3" t="str"/>
      <x:c r="J67" s="3" t="n">
        <x:v>2023</x:v>
      </x:c>
      <x:c r="K67" s="3" t="str">
        <x:v>Hybrid Premium Safety</x:v>
      </x:c>
      <x:c r="L67" s="3" t="str">
        <x:v>HEV PREMIUM SAFETY</x:v>
      </x:c>
      <x:c r="M67" s="22"/>
      <x:c r="N67" s="22" t="n">
        <x:v>60000</x:v>
      </x:c>
      <x:c r="O67" s="22" t="n">
        <x:v>65000</x:v>
      </x:c>
      <x:c r="P67" s="3" t="str">
        <x:v>50–100千km</x:v>
      </x:c>
      <x:c r="Q67" s="3" t="str">
        <x:v>Bangkok</x:v>
      </x:c>
      <x:c r="R67" s="3" t="str">
        <x:v>Bangkok metro</x:v>
      </x:c>
      <x:c r="S67" s="3" t="str">
        <x:v>AT</x:v>
      </x:c>
      <x:c r="T67" s="3" t="str">
        <x:v>世代不明</x:v>
      </x:c>
      <x:c r="U67" s="28" t="n">
        <x:v>759000</x:v>
      </x:c>
      <x:c r="V67" s="28"/>
      <x:c r="W67" s="3" t="str">
        <x:v>広告の申告のみ。事故・水没・SOH・保証残は未確認</x:v>
      </x:c>
      <x:c r="X67" s="3" t="str">
        <x:v>掲載中・在庫未確認</x:v>
      </x:c>
      <x:c r="Y67" s="3" t="str"/>
      <x:c r="Z67" s="27" t="str">
        <x:v>https://www.one2car.com/en/cars-for-sale/toyota/corolla-cross/year-2023</x:v>
      </x:c>
      <x:c r="AA67" s="3" t="str">
        <x:v>掲載リンク参照#161／見出し行1297（永続IDではない）</x:v>
      </x:c>
      <x:c r="AB67" s="3" t="str">
        <x:v>車台番号未取得／サイト間重複は未判定</x:v>
      </x:c>
      <x:c r="AC67" s="3" t="str">
        <x:v>税込区分未確認</x:v>
      </x:c>
      <x:c r="AD67" s="3" t="str">
        <x:v>CROSS23_HEV PREMIUM SAFETY</x:v>
      </x:c>
      <x:c r="AE67" s="29" t="n">
        <x:f>'新車価格・特価'!K47</x:f>
        <x:v>1204000</x:v>
      </x:c>
      <x:c r="AF67" s="30" t="n">
        <x:f>IF(ISNUMBER(AE67),U67/AE67,"")</x:f>
        <x:v>0.6303986710963455</x:v>
      </x:c>
      <x:c r="AG67" s="29" t="n">
        <x:f>'新車価格・特価'!N55</x:f>
        <x:v>1204000</x:v>
      </x:c>
      <x:c r="AH67" s="30" t="n">
        <x:f>IF(ISNUMBER(AG67),U67/AG67,"")</x:f>
        <x:v>0.6303986710963455</x:v>
      </x:c>
      <x:c r="AI67" s="3" t="str">
        <x:v>当時公表小売価格の参考残価率。実購入額ではない。年式/登録年・仕様差に注意。</x:v>
      </x:c>
      <x:c r="AJ67" s="3" t="str">
        <x:v>走行/条件情報あり</x:v>
      </x:c>
      <x:c r="AK67" s="3" t="str">
        <x:v>取得した検索結果ページの掲載。サイトの並び順による選択偏りあり。</x:v>
      </x:c>
      <x:c r="AL67" s="31" t="n">
        <x:f>IF(AND(J67&lt;='分析方法'!$B$7,OR(ISBLANK(O67),O67&gt;='分析方法'!$B$8),X67&lt;&gt;"売却済み表示"),1,0)</x:f>
        <x:v>1</x:v>
      </x:c>
      <x:c r="AM67" s="32" t="n">
        <x:f>IF(AL67=1,U67,"")</x:f>
        <x:v>759000</x:v>
      </x:c>
      <x:c r="AN67" s="33" t="n">
        <x:f>IF(AL67=1,AF67,"")</x:f>
        <x:v>0.6303986710963455</x:v>
      </x:c>
      <x:c r="AO67" s="31" t="n">
        <x:f>'分析方法'!$B$6-J67</x:f>
        <x:v>3</x:v>
      </x:c>
      <x:c r="AP67" s="3"/>
    </x:row>
    <x:row r="68" ht="22" customHeight="1">
      <x:c r="A68" s="3" t="str">
        <x:v>O_corolla-cross_Y2023_162</x:v>
      </x:c>
      <x:c r="B68" s="7" t="d">
        <x:v>2026-10-08T00:00:00.000Z</x:v>
      </x:c>
      <x:c r="C68" s="3" t="str">
        <x:v>One2car</x:v>
      </x:c>
      <x:c r="D68" s="3" t="str">
        <x:v>Toyota</x:v>
      </x:c>
      <x:c r="E68" s="3" t="str">
        <x:v>日本</x:v>
      </x:c>
      <x:c r="F68" s="3" t="str">
        <x:v>Corolla Cross</x:v>
      </x:c>
      <x:c r="G68" s="3" t="str">
        <x:v>HEV</x:v>
      </x:c>
      <x:c r="H68" s="3" t="str">
        <x:v>SUV</x:v>
      </x:c>
      <x:c r="I68" s="3" t="str"/>
      <x:c r="J68" s="3" t="n">
        <x:v>2023</x:v>
      </x:c>
      <x:c r="K68" s="3" t="str">
        <x:v>Hybrid Premium Safety</x:v>
      </x:c>
      <x:c r="L68" s="3" t="str">
        <x:v>HEV PREMIUM SAFETY</x:v>
      </x:c>
      <x:c r="M68" s="22"/>
      <x:c r="N68" s="22" t="n">
        <x:v>75000</x:v>
      </x:c>
      <x:c r="O68" s="22" t="n">
        <x:v>80000</x:v>
      </x:c>
      <x:c r="P68" s="3" t="str">
        <x:v>50–100千km</x:v>
      </x:c>
      <x:c r="Q68" s="3" t="str">
        <x:v>Bangkok</x:v>
      </x:c>
      <x:c r="R68" s="3" t="str">
        <x:v>Bangkok metro</x:v>
      </x:c>
      <x:c r="S68" s="3" t="str">
        <x:v>AT</x:v>
      </x:c>
      <x:c r="T68" s="3" t="str">
        <x:v>世代不明</x:v>
      </x:c>
      <x:c r="U68" s="28" t="n">
        <x:v>739000</x:v>
      </x:c>
      <x:c r="V68" s="28"/>
      <x:c r="W68" s="3" t="str">
        <x:v>広告の申告のみ。事故・水没・SOH・保証残は未確認</x:v>
      </x:c>
      <x:c r="X68" s="3" t="str">
        <x:v>掲載中・在庫未確認</x:v>
      </x:c>
      <x:c r="Y68" s="3" t="str"/>
      <x:c r="Z68" s="27" t="str">
        <x:v>https://www.one2car.com/en/cars-for-sale/toyota/corolla-cross/year-2023</x:v>
      </x:c>
      <x:c r="AA68" s="3" t="str">
        <x:v>掲載リンク参照#162／見出し行1329（永続IDではない）</x:v>
      </x:c>
      <x:c r="AB68" s="3" t="str">
        <x:v>車台番号未取得／サイト間重複は未判定</x:v>
      </x:c>
      <x:c r="AC68" s="3" t="str">
        <x:v>税込区分未確認</x:v>
      </x:c>
      <x:c r="AD68" s="3" t="str">
        <x:v>CROSS23_HEV PREMIUM SAFETY</x:v>
      </x:c>
      <x:c r="AE68" s="29" t="n">
        <x:f>'新車価格・特価'!K47</x:f>
        <x:v>1204000</x:v>
      </x:c>
      <x:c r="AF68" s="30" t="n">
        <x:f>IF(ISNUMBER(AE68),U68/AE68,"")</x:f>
        <x:v>0.6137873754152824</x:v>
      </x:c>
      <x:c r="AG68" s="29" t="n">
        <x:f>'新車価格・特価'!N55</x:f>
        <x:v>1204000</x:v>
      </x:c>
      <x:c r="AH68" s="30" t="n">
        <x:f>IF(ISNUMBER(AG68),U68/AG68,"")</x:f>
        <x:v>0.6137873754152824</x:v>
      </x:c>
      <x:c r="AI68" s="3" t="str">
        <x:v>当時公表小売価格の参考残価率。実購入額ではない。年式/登録年・仕様差に注意。</x:v>
      </x:c>
      <x:c r="AJ68" s="3" t="str">
        <x:v>走行/条件情報あり</x:v>
      </x:c>
      <x:c r="AK68" s="3" t="str">
        <x:v>取得した検索結果ページの掲載。サイトの並び順による選択偏りあり。</x:v>
      </x:c>
      <x:c r="AL68" s="31" t="n">
        <x:f>IF(AND(J68&lt;='分析方法'!$B$7,OR(ISBLANK(O68),O68&gt;='分析方法'!$B$8),X68&lt;&gt;"売却済み表示"),1,0)</x:f>
        <x:v>1</x:v>
      </x:c>
      <x:c r="AM68" s="32" t="n">
        <x:f>IF(AL68=1,U68,"")</x:f>
        <x:v>739000</x:v>
      </x:c>
      <x:c r="AN68" s="33" t="n">
        <x:f>IF(AL68=1,AF68,"")</x:f>
        <x:v>0.6137873754152824</x:v>
      </x:c>
      <x:c r="AO68" s="31" t="n">
        <x:f>'分析方法'!$B$6-J68</x:f>
        <x:v>3</x:v>
      </x:c>
      <x:c r="AP68" s="3"/>
    </x:row>
    <x:row r="69" ht="22" customHeight="1">
      <x:c r="A69" s="3" t="str">
        <x:v>O_corolla-cross_Y2023_168</x:v>
      </x:c>
      <x:c r="B69" s="7" t="d">
        <x:v>2026-10-08T00:00:00.000Z</x:v>
      </x:c>
      <x:c r="C69" s="3" t="str">
        <x:v>One2car</x:v>
      </x:c>
      <x:c r="D69" s="3" t="str">
        <x:v>Toyota</x:v>
      </x:c>
      <x:c r="E69" s="3" t="str">
        <x:v>日本</x:v>
      </x:c>
      <x:c r="F69" s="3" t="str">
        <x:v>Corolla Cross</x:v>
      </x:c>
      <x:c r="G69" s="3" t="str">
        <x:v>HEV</x:v>
      </x:c>
      <x:c r="H69" s="3" t="str">
        <x:v>SUV</x:v>
      </x:c>
      <x:c r="I69" s="3" t="str"/>
      <x:c r="J69" s="3" t="n">
        <x:v>2023</x:v>
      </x:c>
      <x:c r="K69" s="3" t="str">
        <x:v>Hybrid Premium Safety</x:v>
      </x:c>
      <x:c r="L69" s="3" t="str">
        <x:v>HEV PREMIUM SAFETY</x:v>
      </x:c>
      <x:c r="M69" s="22"/>
      <x:c r="N69" s="22" t="n">
        <x:v>95000</x:v>
      </x:c>
      <x:c r="O69" s="22" t="n">
        <x:v>100000</x:v>
      </x:c>
      <x:c r="P69" s="3" t="str">
        <x:v>50–100千km</x:v>
      </x:c>
      <x:c r="Q69" s="3" t="str">
        <x:v>Bangkok</x:v>
      </x:c>
      <x:c r="R69" s="3" t="str">
        <x:v>Bangkok metro</x:v>
      </x:c>
      <x:c r="S69" s="3" t="str">
        <x:v>AT</x:v>
      </x:c>
      <x:c r="T69" s="3" t="str">
        <x:v>世代不明</x:v>
      </x:c>
      <x:c r="U69" s="28" t="n">
        <x:v>789000</x:v>
      </x:c>
      <x:c r="V69" s="28"/>
      <x:c r="W69" s="3" t="str">
        <x:v>広告の申告のみ。事故・水没・SOH・保証残は未確認</x:v>
      </x:c>
      <x:c r="X69" s="3" t="str">
        <x:v>掲載中・在庫未確認</x:v>
      </x:c>
      <x:c r="Y69" s="3" t="str"/>
      <x:c r="Z69" s="27" t="str">
        <x:v>https://www.one2car.com/en/cars-for-sale/toyota/corolla-cross/year-2023</x:v>
      </x:c>
      <x:c r="AA69" s="3" t="str">
        <x:v>掲載リンク参照#168／見出し行1515（永続IDではない）</x:v>
      </x:c>
      <x:c r="AB69" s="3" t="str">
        <x:v>車台番号未取得／サイト間重複は未判定</x:v>
      </x:c>
      <x:c r="AC69" s="3" t="str">
        <x:v>税込区分未確認</x:v>
      </x:c>
      <x:c r="AD69" s="3" t="str">
        <x:v>CROSS23_HEV PREMIUM SAFETY</x:v>
      </x:c>
      <x:c r="AE69" s="29" t="n">
        <x:f>'新車価格・特価'!K47</x:f>
        <x:v>1204000</x:v>
      </x:c>
      <x:c r="AF69" s="30" t="n">
        <x:f>IF(ISNUMBER(AE69),U69/AE69,"")</x:f>
        <x:v>0.6553156146179402</x:v>
      </x:c>
      <x:c r="AG69" s="29" t="n">
        <x:f>'新車価格・特価'!N55</x:f>
        <x:v>1204000</x:v>
      </x:c>
      <x:c r="AH69" s="30" t="n">
        <x:f>IF(ISNUMBER(AG69),U69/AG69,"")</x:f>
        <x:v>0.6553156146179402</x:v>
      </x:c>
      <x:c r="AI69" s="3" t="str">
        <x:v>当時公表小売価格の参考残価率。実購入額ではない。年式/登録年・仕様差に注意。</x:v>
      </x:c>
      <x:c r="AJ69" s="3" t="str">
        <x:v>走行/条件情報あり</x:v>
      </x:c>
      <x:c r="AK69" s="3" t="str">
        <x:v>取得した検索結果ページの掲載。サイトの並び順による選択偏りあり。</x:v>
      </x:c>
      <x:c r="AL69" s="31" t="n">
        <x:f>IF(AND(J69&lt;='分析方法'!$B$7,OR(ISBLANK(O69),O69&gt;='分析方法'!$B$8),X69&lt;&gt;"売却済み表示"),1,0)</x:f>
        <x:v>1</x:v>
      </x:c>
      <x:c r="AM69" s="32" t="n">
        <x:f>IF(AL69=1,U69,"")</x:f>
        <x:v>789000</x:v>
      </x:c>
      <x:c r="AN69" s="33" t="n">
        <x:f>IF(AL69=1,AF69,"")</x:f>
        <x:v>0.6553156146179402</x:v>
      </x:c>
      <x:c r="AO69" s="31" t="n">
        <x:f>'分析方法'!$B$6-J69</x:f>
        <x:v>3</x:v>
      </x:c>
      <x:c r="AP69" s="3"/>
    </x:row>
    <x:row r="70" ht="22" customHeight="1">
      <x:c r="A70" s="3" t="str">
        <x:v>O_corolla-cross_Y2023_157</x:v>
      </x:c>
      <x:c r="B70" s="7" t="d">
        <x:v>2026-10-08T00:00:00.000Z</x:v>
      </x:c>
      <x:c r="C70" s="3" t="str">
        <x:v>One2car</x:v>
      </x:c>
      <x:c r="D70" s="3" t="str">
        <x:v>Toyota</x:v>
      </x:c>
      <x:c r="E70" s="3" t="str">
        <x:v>日本</x:v>
      </x:c>
      <x:c r="F70" s="3" t="str">
        <x:v>Corolla Cross</x:v>
      </x:c>
      <x:c r="G70" s="3" t="str">
        <x:v>HEV</x:v>
      </x:c>
      <x:c r="H70" s="3" t="str">
        <x:v>SUV</x:v>
      </x:c>
      <x:c r="I70" s="3" t="str"/>
      <x:c r="J70" s="3" t="n">
        <x:v>2023</x:v>
      </x:c>
      <x:c r="K70" s="3" t="str">
        <x:v>Hybrid Premium Safety</x:v>
      </x:c>
      <x:c r="L70" s="3" t="str">
        <x:v>HEV PREMIUM SAFETY</x:v>
      </x:c>
      <x:c r="M70" s="22"/>
      <x:c r="N70" s="22" t="n">
        <x:v>0</x:v>
      </x:c>
      <x:c r="O70" s="22" t="n">
        <x:v>5000</x:v>
      </x:c>
      <x:c r="P70" s="3" t="str">
        <x:v>&lt;20千km</x:v>
      </x:c>
      <x:c r="Q70" s="3" t="str">
        <x:v>Phuket</x:v>
      </x:c>
      <x:c r="R70" s="3" t="str">
        <x:v>Other province</x:v>
      </x:c>
      <x:c r="S70" s="3" t="str">
        <x:v>AT</x:v>
      </x:c>
      <x:c r="T70" s="3" t="str">
        <x:v>世代不明</x:v>
      </x:c>
      <x:c r="U70" s="28" t="n">
        <x:v>730000</x:v>
      </x:c>
      <x:c r="V70" s="28"/>
      <x:c r="W70" s="3" t="str">
        <x:v>広告の申告のみ。事故・水没・SOH・保証残は未確認</x:v>
      </x:c>
      <x:c r="X70" s="3" t="str">
        <x:v>掲載中・在庫未確認</x:v>
      </x:c>
      <x:c r="Y70" s="3" t="str"/>
      <x:c r="Z70" s="27" t="str">
        <x:v>https://www.one2car.com/en/cars-for-sale/toyota/corolla-cross/year-2023</x:v>
      </x:c>
      <x:c r="AA70" s="3" t="str">
        <x:v>掲載リンク参照#157／見出し行1177（永続IDではない）</x:v>
      </x:c>
      <x:c r="AB70" s="3" t="str">
        <x:v>車台番号未取得／サイト間重複は未判定</x:v>
      </x:c>
      <x:c r="AC70" s="3" t="str">
        <x:v>税込区分未確認</x:v>
      </x:c>
      <x:c r="AD70" s="3" t="str">
        <x:v>CROSS23_HEV PREMIUM SAFETY</x:v>
      </x:c>
      <x:c r="AE70" s="29" t="n">
        <x:f>'新車価格・特価'!K47</x:f>
        <x:v>1204000</x:v>
      </x:c>
      <x:c r="AF70" s="30" t="n">
        <x:f>IF(ISNUMBER(AE70),U70/AE70,"")</x:f>
        <x:v>0.606312292358804</x:v>
      </x:c>
      <x:c r="AG70" s="29" t="n">
        <x:f>'新車価格・特価'!N55</x:f>
        <x:v>1204000</x:v>
      </x:c>
      <x:c r="AH70" s="30" t="n">
        <x:f>IF(ISNUMBER(AG70),U70/AG70,"")</x:f>
        <x:v>0.606312292358804</x:v>
      </x:c>
      <x:c r="AI70" s="3" t="str">
        <x:v>当時公表小売価格の参考残価率。実購入額ではない。年式/登録年・仕様差に注意。</x:v>
      </x:c>
      <x:c r="AJ70" s="3" t="str">
        <x:v>走行/条件情報あり</x:v>
      </x:c>
      <x:c r="AK70" s="3" t="str">
        <x:v>取得した検索結果ページの掲載。サイトの並び順による選択偏りあり。</x:v>
      </x:c>
      <x:c r="AL70" s="31" t="n">
        <x:f>IF(AND(J70&lt;='分析方法'!$B$7,OR(ISBLANK(O70),O70&gt;='分析方法'!$B$8),X70&lt;&gt;"売却済み表示"),1,0)</x:f>
        <x:v>1</x:v>
      </x:c>
      <x:c r="AM70" s="32" t="n">
        <x:f>IF(AL70=1,U70,"")</x:f>
        <x:v>730000</x:v>
      </x:c>
      <x:c r="AN70" s="33" t="n">
        <x:f>IF(AL70=1,AF70,"")</x:f>
        <x:v>0.606312292358804</x:v>
      </x:c>
      <x:c r="AO70" s="31" t="n">
        <x:f>'分析方法'!$B$6-J70</x:f>
        <x:v>3</x:v>
      </x:c>
      <x:c r="AP70" s="3"/>
    </x:row>
    <x:row r="71" ht="22" customHeight="1">
      <x:c r="A71" s="3" t="str">
        <x:v>O_corolla-cross_245</x:v>
      </x:c>
      <x:c r="B71" s="7" t="d">
        <x:v>2026-10-08T00:00:00.000Z</x:v>
      </x:c>
      <x:c r="C71" s="3" t="str">
        <x:v>One2car</x:v>
      </x:c>
      <x:c r="D71" s="3" t="str">
        <x:v>Toyota</x:v>
      </x:c>
      <x:c r="E71" s="3" t="str">
        <x:v>日本</x:v>
      </x:c>
      <x:c r="F71" s="3" t="str">
        <x:v>Corolla Cross</x:v>
      </x:c>
      <x:c r="G71" s="3" t="str">
        <x:v>HEV</x:v>
      </x:c>
      <x:c r="H71" s="3" t="str">
        <x:v>SUV</x:v>
      </x:c>
      <x:c r="I71" s="3" t="str"/>
      <x:c r="J71" s="3" t="n">
        <x:v>2023</x:v>
      </x:c>
      <x:c r="K71" s="3" t="str">
        <x:v>Hybrid Smart</x:v>
      </x:c>
      <x:c r="L71" s="3" t="str">
        <x:v>HEV SMART</x:v>
      </x:c>
      <x:c r="M71" s="22"/>
      <x:c r="N71" s="22" t="n">
        <x:v>170000</x:v>
      </x:c>
      <x:c r="O71" s="22" t="n">
        <x:v>175000</x:v>
      </x:c>
      <x:c r="P71" s="3" t="str">
        <x:v>150千km以上</x:v>
      </x:c>
      <x:c r="Q71" s="3" t="str">
        <x:v>Bangkok</x:v>
      </x:c>
      <x:c r="R71" s="3" t="str">
        <x:v>Bangkok metro</x:v>
      </x:c>
      <x:c r="S71" s="3" t="str">
        <x:v>AT</x:v>
      </x:c>
      <x:c r="T71" s="3" t="str">
        <x:v>世代不明</x:v>
      </x:c>
      <x:c r="U71" s="28" t="n">
        <x:v>609000</x:v>
      </x:c>
      <x:c r="V71" s="28"/>
      <x:c r="W71" s="3" t="str">
        <x:v>広告の申告のみ。事故・水没・SOH・保証残は未確認</x:v>
      </x:c>
      <x:c r="X71" s="3" t="str">
        <x:v>掲載中・在庫未確認</x:v>
      </x:c>
      <x:c r="Y71" s="3" t="str"/>
      <x:c r="Z71" s="27" t="str">
        <x:v>https://www.one2car.com/en/cars-for-sale/toyota/corolla-cross</x:v>
      </x:c>
      <x:c r="AA71" s="3" t="str">
        <x:v>掲載リンク参照#245／見出し行1264（永続IDではない）</x:v>
      </x:c>
      <x:c r="AB71" s="3" t="str">
        <x:v>車台番号未取得／サイト間重複は未判定</x:v>
      </x:c>
      <x:c r="AC71" s="3" t="str">
        <x:v>税込区分未確認</x:v>
      </x:c>
      <x:c r="AD71" s="3" t="str">
        <x:v>CROSS23_HEV SMART</x:v>
      </x:c>
      <x:c r="AE71" s="29" t="n">
        <x:f>'新車価格・特価'!K45</x:f>
        <x:v>1024000</x:v>
      </x:c>
      <x:c r="AF71" s="30" t="n">
        <x:f>IF(ISNUMBER(AE71),U71/AE71,"")</x:f>
        <x:v>0.5947265625</x:v>
      </x:c>
      <x:c r="AG71" s="29" t="n">
        <x:f>'新車価格・特価'!N53</x:f>
        <x:v>989000</x:v>
      </x:c>
      <x:c r="AH71" s="30" t="n">
        <x:f>IF(ISNUMBER(AG71),U71/AG71,"")</x:f>
        <x:v>0.6157735085945399</x:v>
      </x:c>
      <x:c r="AI71" s="3" t="str">
        <x:v>当時公表小売価格の参考残価率。実購入額ではない。年式/登録年・仕様差に注意。</x:v>
      </x:c>
      <x:c r="AJ71" s="3" t="str">
        <x:v>走行/条件情報あり</x:v>
      </x:c>
      <x:c r="AK71" s="3" t="str">
        <x:v>取得した検索結果ページの掲載。サイトの並び順による選択偏りあり。</x:v>
      </x:c>
      <x:c r="AL71" s="31" t="n">
        <x:f>IF(AND(J71&lt;='分析方法'!$B$7,OR(ISBLANK(O71),O71&gt;='分析方法'!$B$8),X71&lt;&gt;"売却済み表示"),1,0)</x:f>
        <x:v>1</x:v>
      </x:c>
      <x:c r="AM71" s="32" t="n">
        <x:f>IF(AL71=1,U71,"")</x:f>
        <x:v>609000</x:v>
      </x:c>
      <x:c r="AN71" s="33" t="n">
        <x:f>IF(AL71=1,AF71,"")</x:f>
        <x:v>0.5947265625</x:v>
      </x:c>
      <x:c r="AO71" s="31" t="n">
        <x:f>'分析方法'!$B$6-J71</x:f>
        <x:v>3</x:v>
      </x:c>
      <x:c r="AP71" s="3"/>
    </x:row>
    <x:row r="72" ht="22" customHeight="1">
      <x:c r="A72" s="3" t="str">
        <x:v>O_corolla-cross_249</x:v>
      </x:c>
      <x:c r="B72" s="7" t="d">
        <x:v>2026-10-08T00:00:00.000Z</x:v>
      </x:c>
      <x:c r="C72" s="3" t="str">
        <x:v>One2car</x:v>
      </x:c>
      <x:c r="D72" s="3" t="str">
        <x:v>Toyota</x:v>
      </x:c>
      <x:c r="E72" s="3" t="str">
        <x:v>日本</x:v>
      </x:c>
      <x:c r="F72" s="3" t="str">
        <x:v>Corolla Cross</x:v>
      </x:c>
      <x:c r="G72" s="3" t="str">
        <x:v>HEV</x:v>
      </x:c>
      <x:c r="H72" s="3" t="str">
        <x:v>SUV</x:v>
      </x:c>
      <x:c r="I72" s="3" t="str"/>
      <x:c r="J72" s="3" t="n">
        <x:v>2023</x:v>
      </x:c>
      <x:c r="K72" s="3" t="str">
        <x:v>Hybrid Smart</x:v>
      </x:c>
      <x:c r="L72" s="3" t="str">
        <x:v>HEV SMART</x:v>
      </x:c>
      <x:c r="M72" s="22"/>
      <x:c r="N72" s="22" t="n">
        <x:v>15000</x:v>
      </x:c>
      <x:c r="O72" s="22" t="n">
        <x:v>20000</x:v>
      </x:c>
      <x:c r="P72" s="3" t="str">
        <x:v>境界を跨ぐ表示レンジ</x:v>
      </x:c>
      <x:c r="Q72" s="3" t="str">
        <x:v>Bangkok</x:v>
      </x:c>
      <x:c r="R72" s="3" t="str">
        <x:v>Bangkok metro</x:v>
      </x:c>
      <x:c r="S72" s="3" t="str">
        <x:v>AT</x:v>
      </x:c>
      <x:c r="T72" s="3" t="str">
        <x:v>世代不明</x:v>
      </x:c>
      <x:c r="U72" s="28" t="n">
        <x:v>680000</x:v>
      </x:c>
      <x:c r="V72" s="28"/>
      <x:c r="W72" s="3" t="str">
        <x:v>広告の申告のみ。事故・水没・SOH・保証残は未確認</x:v>
      </x:c>
      <x:c r="X72" s="3" t="str">
        <x:v>掲載中・在庫未確認</x:v>
      </x:c>
      <x:c r="Y72" s="3" t="str"/>
      <x:c r="Z72" s="27" t="str">
        <x:v>https://www.one2car.com/en/cars-for-sale/toyota/corolla-cross</x:v>
      </x:c>
      <x:c r="AA72" s="3" t="str">
        <x:v>掲載リンク参照#249／見出し行1394（永続IDではない）</x:v>
      </x:c>
      <x:c r="AB72" s="3" t="str">
        <x:v>車台番号未取得／サイト間重複は未判定</x:v>
      </x:c>
      <x:c r="AC72" s="3" t="str">
        <x:v>税込区分未確認</x:v>
      </x:c>
      <x:c r="AD72" s="3" t="str">
        <x:v>CROSS23_HEV SMART</x:v>
      </x:c>
      <x:c r="AE72" s="29" t="n">
        <x:f>'新車価格・特価'!K45</x:f>
        <x:v>1024000</x:v>
      </x:c>
      <x:c r="AF72" s="30" t="n">
        <x:f>IF(ISNUMBER(AE72),U72/AE72,"")</x:f>
        <x:v>0.6640625</x:v>
      </x:c>
      <x:c r="AG72" s="29" t="n">
        <x:f>'新車価格・特価'!N53</x:f>
        <x:v>989000</x:v>
      </x:c>
      <x:c r="AH72" s="30" t="n">
        <x:f>IF(ISNUMBER(AG72),U72/AG72,"")</x:f>
        <x:v>0.6875631951466128</x:v>
      </x:c>
      <x:c r="AI72" s="3" t="str">
        <x:v>当時公表小売価格の参考残価率。実購入額ではない。年式/登録年・仕様差に注意。</x:v>
      </x:c>
      <x:c r="AJ72" s="3" t="str">
        <x:v>走行/条件情報あり</x:v>
      </x:c>
      <x:c r="AK72" s="3" t="str">
        <x:v>取得した検索結果ページの掲載。サイトの並び順による選択偏りあり。</x:v>
      </x:c>
      <x:c r="AL72" s="31" t="n">
        <x:f>IF(AND(J72&lt;='分析方法'!$B$7,OR(ISBLANK(O72),O72&gt;='分析方法'!$B$8),X72&lt;&gt;"売却済み表示"),1,0)</x:f>
        <x:v>1</x:v>
      </x:c>
      <x:c r="AM72" s="32" t="n">
        <x:f>IF(AL72=1,U72,"")</x:f>
        <x:v>680000</x:v>
      </x:c>
      <x:c r="AN72" s="33" t="n">
        <x:f>IF(AL72=1,AF72,"")</x:f>
        <x:v>0.6640625</x:v>
      </x:c>
      <x:c r="AO72" s="31" t="n">
        <x:f>'分析方法'!$B$6-J72</x:f>
        <x:v>3</x:v>
      </x:c>
      <x:c r="AP72" s="3"/>
    </x:row>
    <x:row r="73" ht="22" customHeight="1">
      <x:c r="A73" s="3" t="str">
        <x:v>O_corolla-cross_253</x:v>
      </x:c>
      <x:c r="B73" s="7" t="d">
        <x:v>2026-10-08T00:00:00.000Z</x:v>
      </x:c>
      <x:c r="C73" s="3" t="str">
        <x:v>One2car</x:v>
      </x:c>
      <x:c r="D73" s="3" t="str">
        <x:v>Toyota</x:v>
      </x:c>
      <x:c r="E73" s="3" t="str">
        <x:v>日本</x:v>
      </x:c>
      <x:c r="F73" s="3" t="str">
        <x:v>Corolla Cross</x:v>
      </x:c>
      <x:c r="G73" s="3" t="str">
        <x:v>HEV</x:v>
      </x:c>
      <x:c r="H73" s="3" t="str">
        <x:v>SUV</x:v>
      </x:c>
      <x:c r="I73" s="3" t="str"/>
      <x:c r="J73" s="3" t="n">
        <x:v>2024</x:v>
      </x:c>
      <x:c r="K73" s="3" t="str">
        <x:v>HEV GR Sport</x:v>
      </x:c>
      <x:c r="L73" s="3" t="str">
        <x:v>HEV GR SPORT</x:v>
      </x:c>
      <x:c r="M73" s="22" t="n">
        <x:v>58000</x:v>
      </x:c>
      <x:c r="N73" s="22" t="n">
        <x:v>58000</x:v>
      </x:c>
      <x:c r="O73" s="22" t="n">
        <x:v>58000</x:v>
      </x:c>
      <x:c r="P73" s="3" t="str">
        <x:v>50–100千km</x:v>
      </x:c>
      <x:c r="Q73" s="3" t="str">
        <x:v>Bangkok</x:v>
      </x:c>
      <x:c r="R73" s="3" t="str">
        <x:v>Bangkok metro</x:v>
      </x:c>
      <x:c r="S73" s="3" t="str">
        <x:v>AT</x:v>
      </x:c>
      <x:c r="T73" s="3" t="str">
        <x:v>世代不明</x:v>
      </x:c>
      <x:c r="U73" s="28" t="n">
        <x:v>858000</x:v>
      </x:c>
      <x:c r="V73" s="28"/>
      <x:c r="W73" s="3" t="str">
        <x:v>広告の申告のみ。事故・水没・SOH・保証残は未確認</x:v>
      </x:c>
      <x:c r="X73" s="3" t="str">
        <x:v>掲載中・在庫未確認</x:v>
      </x:c>
      <x:c r="Y73" s="3" t="str"/>
      <x:c r="Z73" s="27" t="str">
        <x:v>https://www.one2car.com/en/cars-for-sale/toyota/corolla-cross</x:v>
      </x:c>
      <x:c r="AA73" s="3" t="str">
        <x:v>掲載リンク参照#253／見出し行1514（永続IDではない）</x:v>
      </x:c>
      <x:c r="AB73" s="3" t="str">
        <x:v>車台番号未取得／サイト間重複は未判定</x:v>
      </x:c>
      <x:c r="AC73" s="3" t="str">
        <x:v>税込区分未確認</x:v>
      </x:c>
      <x:c r="AD73" s="3" t="str">
        <x:v>CROSS24_HEV GR SPORT</x:v>
      </x:c>
      <x:c r="AE73" s="29" t="n">
        <x:f>'新車価格・特価'!K52</x:f>
        <x:v>1254000</x:v>
      </x:c>
      <x:c r="AF73" s="30" t="n">
        <x:f>IF(ISNUMBER(AE73),U73/AE73,"")</x:f>
        <x:v>0.6842105263157895</x:v>
      </x:c>
      <x:c r="AG73" s="29" t="str">
        <x:f>""</x:f>
      </x:c>
      <x:c r="AH73" s="30" t="str">
        <x:f>IF(ISNUMBER(AG73),U73/AG73,"")</x:f>
      </x:c>
      <x:c r="AI73" s="3" t="str">
        <x:v>当時公表小売価格の参考残価率。実購入額ではない。年式/登録年・仕様差に注意。</x:v>
      </x:c>
      <x:c r="AJ73" s="3" t="str">
        <x:v>走行/条件情報あり</x:v>
      </x:c>
      <x:c r="AK73" s="3" t="str">
        <x:v>取得した検索結果ページの掲載。サイトの並び順による選択偏りあり。</x:v>
      </x:c>
      <x:c r="AL73" s="31" t="n">
        <x:f>IF(AND(J73&lt;='分析方法'!$B$7,OR(ISBLANK(O73),O73&gt;='分析方法'!$B$8),X73&lt;&gt;"売却済み表示"),1,0)</x:f>
        <x:v>1</x:v>
      </x:c>
      <x:c r="AM73" s="32" t="n">
        <x:f>IF(AL73=1,U73,"")</x:f>
        <x:v>858000</x:v>
      </x:c>
      <x:c r="AN73" s="33" t="n">
        <x:f>IF(AL73=1,AF73,"")</x:f>
        <x:v>0.6842105263157895</x:v>
      </x:c>
      <x:c r="AO73" s="31" t="n">
        <x:f>'分析方法'!$B$6-J73</x:f>
        <x:v>2</x:v>
      </x:c>
      <x:c r="AP73" s="3"/>
    </x:row>
    <x:row r="74" ht="22" customHeight="1">
      <x:c r="A74" s="3" t="str">
        <x:v>O_corolla-cross_240</x:v>
      </x:c>
      <x:c r="B74" s="7" t="d">
        <x:v>2026-10-08T00:00:00.000Z</x:v>
      </x:c>
      <x:c r="C74" s="3" t="str">
        <x:v>One2car</x:v>
      </x:c>
      <x:c r="D74" s="3" t="str">
        <x:v>Toyota</x:v>
      </x:c>
      <x:c r="E74" s="3" t="str">
        <x:v>日本</x:v>
      </x:c>
      <x:c r="F74" s="3" t="str">
        <x:v>Corolla Cross</x:v>
      </x:c>
      <x:c r="G74" s="3" t="str">
        <x:v>HEV</x:v>
      </x:c>
      <x:c r="H74" s="3" t="str">
        <x:v>SUV</x:v>
      </x:c>
      <x:c r="I74" s="3" t="str"/>
      <x:c r="J74" s="3" t="n">
        <x:v>2024</x:v>
      </x:c>
      <x:c r="K74" s="3" t="str">
        <x:v>HEV Premium</x:v>
      </x:c>
      <x:c r="L74" s="3" t="str">
        <x:v>HEV PREMIUM</x:v>
      </x:c>
      <x:c r="M74" s="22"/>
      <x:c r="N74" s="22" t="n">
        <x:v>40000</x:v>
      </x:c>
      <x:c r="O74" s="22" t="n">
        <x:v>45000</x:v>
      </x:c>
      <x:c r="P74" s="3" t="str">
        <x:v>20–50千km</x:v>
      </x:c>
      <x:c r="Q74" s="3" t="str">
        <x:v>Bangkok</x:v>
      </x:c>
      <x:c r="R74" s="3" t="str">
        <x:v>Bangkok metro</x:v>
      </x:c>
      <x:c r="S74" s="3" t="str">
        <x:v>AT</x:v>
      </x:c>
      <x:c r="T74" s="3" t="str">
        <x:v>世代不明</x:v>
      </x:c>
      <x:c r="U74" s="28" t="n">
        <x:v>847000</x:v>
      </x:c>
      <x:c r="V74" s="28"/>
      <x:c r="W74" s="3" t="str">
        <x:v>広告の申告のみ。事故・水没・SOH・保証残は未確認</x:v>
      </x:c>
      <x:c r="X74" s="3" t="str">
        <x:v>掲載中・在庫未確認</x:v>
      </x:c>
      <x:c r="Y74" s="3" t="str"/>
      <x:c r="Z74" s="27" t="str">
        <x:v>https://www.one2car.com/en/cars-for-sale/toyota/corolla-cross</x:v>
      </x:c>
      <x:c r="AA74" s="3" t="str">
        <x:v>掲載リンク参照#240／見出し行1092（永続IDではない）</x:v>
      </x:c>
      <x:c r="AB74" s="3" t="str">
        <x:v>車台番号未取得／サイト間重複は未判定</x:v>
      </x:c>
      <x:c r="AC74" s="3" t="str">
        <x:v>税込区分未確認</x:v>
      </x:c>
      <x:c r="AD74" s="3" t="str">
        <x:v>CROSS24_HEV PREMIUM</x:v>
      </x:c>
      <x:c r="AE74" s="29" t="n">
        <x:f>'新車価格・特価'!K50</x:f>
        <x:v>1094000</x:v>
      </x:c>
      <x:c r="AF74" s="30" t="n">
        <x:f>IF(ISNUMBER(AE74),U74/AE74,"")</x:f>
        <x:v>0.7742230347349177</x:v>
      </x:c>
      <x:c r="AG74" s="29" t="n">
        <x:f>'新車価格・特価'!N54</x:f>
        <x:v>1094000</x:v>
      </x:c>
      <x:c r="AH74" s="30" t="n">
        <x:f>IF(ISNUMBER(AG74),U74/AG74,"")</x:f>
        <x:v>0.7742230347349177</x:v>
      </x:c>
      <x:c r="AI74" s="3" t="str">
        <x:v>当時公表小売価格の参考残価率。実購入額ではない。年式/登録年・仕様差に注意。</x:v>
      </x:c>
      <x:c r="AJ74" s="3" t="str">
        <x:v>走行/条件情報あり</x:v>
      </x:c>
      <x:c r="AK74" s="3" t="str">
        <x:v>取得した検索結果ページの掲載。サイトの並び順による選択偏りあり。</x:v>
      </x:c>
      <x:c r="AL74" s="31" t="n">
        <x:f>IF(AND(J74&lt;='分析方法'!$B$7,OR(ISBLANK(O74),O74&gt;='分析方法'!$B$8),X74&lt;&gt;"売却済み表示"),1,0)</x:f>
        <x:v>1</x:v>
      </x:c>
      <x:c r="AM74" s="32" t="n">
        <x:f>IF(AL74=1,U74,"")</x:f>
        <x:v>847000</x:v>
      </x:c>
      <x:c r="AN74" s="33" t="n">
        <x:f>IF(AL74=1,AF74,"")</x:f>
        <x:v>0.7742230347349177</x:v>
      </x:c>
      <x:c r="AO74" s="31" t="n">
        <x:f>'分析方法'!$B$6-J74</x:f>
        <x:v>2</x:v>
      </x:c>
      <x:c r="AP74" s="3"/>
    </x:row>
    <x:row r="75" ht="22" customHeight="1">
      <x:c r="A75" s="3" t="str">
        <x:v>O_corolla-cross_255</x:v>
      </x:c>
      <x:c r="B75" s="7" t="d">
        <x:v>2026-10-08T00:00:00.000Z</x:v>
      </x:c>
      <x:c r="C75" s="3" t="str">
        <x:v>One2car</x:v>
      </x:c>
      <x:c r="D75" s="3" t="str">
        <x:v>Toyota</x:v>
      </x:c>
      <x:c r="E75" s="3" t="str">
        <x:v>日本</x:v>
      </x:c>
      <x:c r="F75" s="3" t="str">
        <x:v>Corolla Cross</x:v>
      </x:c>
      <x:c r="G75" s="3" t="str">
        <x:v>HEV</x:v>
      </x:c>
      <x:c r="H75" s="3" t="str">
        <x:v>SUV</x:v>
      </x:c>
      <x:c r="I75" s="3" t="str"/>
      <x:c r="J75" s="3" t="n">
        <x:v>2024</x:v>
      </x:c>
      <x:c r="K75" s="3" t="str">
        <x:v>HEV Premium</x:v>
      </x:c>
      <x:c r="L75" s="3" t="str">
        <x:v>HEV PREMIUM</x:v>
      </x:c>
      <x:c r="M75" s="22" t="n">
        <x:v>39247</x:v>
      </x:c>
      <x:c r="N75" s="22" t="n">
        <x:v>39247</x:v>
      </x:c>
      <x:c r="O75" s="22" t="n">
        <x:v>39247</x:v>
      </x:c>
      <x:c r="P75" s="3" t="str">
        <x:v>20–50千km</x:v>
      </x:c>
      <x:c r="Q75" s="3" t="str">
        <x:v>Bangkok</x:v>
      </x:c>
      <x:c r="R75" s="3" t="str">
        <x:v>Bangkok metro</x:v>
      </x:c>
      <x:c r="S75" s="3" t="str">
        <x:v>AT</x:v>
      </x:c>
      <x:c r="T75" s="3" t="str">
        <x:v>世代不明</x:v>
      </x:c>
      <x:c r="U75" s="28" t="n">
        <x:v>899000</x:v>
      </x:c>
      <x:c r="V75" s="28"/>
      <x:c r="W75" s="3" t="str">
        <x:v>広告の申告のみ。事故・水没・SOH・保証残は未確認</x:v>
      </x:c>
      <x:c r="X75" s="3" t="str">
        <x:v>掲載中・在庫未確認</x:v>
      </x:c>
      <x:c r="Y75" s="3" t="str"/>
      <x:c r="Z75" s="27" t="str">
        <x:v>https://www.one2car.com/en/cars-for-sale/toyota/corolla-cross</x:v>
      </x:c>
      <x:c r="AA75" s="3" t="str">
        <x:v>掲載リンク参照#255／見出し行1571（永続IDではない）</x:v>
      </x:c>
      <x:c r="AB75" s="3" t="str">
        <x:v>車台番号未取得／サイト間重複は未判定</x:v>
      </x:c>
      <x:c r="AC75" s="3" t="str">
        <x:v>税込区分未確認</x:v>
      </x:c>
      <x:c r="AD75" s="3" t="str">
        <x:v>CROSS24_HEV PREMIUM</x:v>
      </x:c>
      <x:c r="AE75" s="29" t="n">
        <x:f>'新車価格・特価'!K50</x:f>
        <x:v>1094000</x:v>
      </x:c>
      <x:c r="AF75" s="30" t="n">
        <x:f>IF(ISNUMBER(AE75),U75/AE75,"")</x:f>
        <x:v>0.8217550274223034</x:v>
      </x:c>
      <x:c r="AG75" s="29" t="n">
        <x:f>'新車価格・特価'!N54</x:f>
        <x:v>1094000</x:v>
      </x:c>
      <x:c r="AH75" s="30" t="n">
        <x:f>IF(ISNUMBER(AG75),U75/AG75,"")</x:f>
        <x:v>0.8217550274223034</x:v>
      </x:c>
      <x:c r="AI75" s="3" t="str">
        <x:v>当時公表小売価格の参考残価率。実購入額ではない。年式/登録年・仕様差に注意。</x:v>
      </x:c>
      <x:c r="AJ75" s="3" t="str">
        <x:v>走行/条件情報あり</x:v>
      </x:c>
      <x:c r="AK75" s="3" t="str">
        <x:v>取得した検索結果ページの掲載。サイトの並び順による選択偏りあり。</x:v>
      </x:c>
      <x:c r="AL75" s="31" t="n">
        <x:f>IF(AND(J75&lt;='分析方法'!$B$7,OR(ISBLANK(O75),O75&gt;='分析方法'!$B$8),X75&lt;&gt;"売却済み表示"),1,0)</x:f>
        <x:v>1</x:v>
      </x:c>
      <x:c r="AM75" s="32" t="n">
        <x:f>IF(AL75=1,U75,"")</x:f>
        <x:v>899000</x:v>
      </x:c>
      <x:c r="AN75" s="33" t="n">
        <x:f>IF(AL75=1,AF75,"")</x:f>
        <x:v>0.8217550274223034</x:v>
      </x:c>
      <x:c r="AO75" s="31" t="n">
        <x:f>'分析方法'!$B$6-J75</x:f>
        <x:v>2</x:v>
      </x:c>
      <x:c r="AP75" s="3"/>
    </x:row>
    <x:row r="76" ht="22" customHeight="1">
      <x:c r="A76" s="3" t="str">
        <x:v>O_corolla-cross_248</x:v>
      </x:c>
      <x:c r="B76" s="7" t="d">
        <x:v>2026-10-08T00:00:00.000Z</x:v>
      </x:c>
      <x:c r="C76" s="3" t="str">
        <x:v>One2car</x:v>
      </x:c>
      <x:c r="D76" s="3" t="str">
        <x:v>Toyota</x:v>
      </x:c>
      <x:c r="E76" s="3" t="str">
        <x:v>日本</x:v>
      </x:c>
      <x:c r="F76" s="3" t="str">
        <x:v>Corolla Cross</x:v>
      </x:c>
      <x:c r="G76" s="3" t="str">
        <x:v>HEV</x:v>
      </x:c>
      <x:c r="H76" s="3" t="str">
        <x:v>SUV</x:v>
      </x:c>
      <x:c r="I76" s="3" t="str"/>
      <x:c r="J76" s="3" t="n">
        <x:v>2024</x:v>
      </x:c>
      <x:c r="K76" s="3" t="str">
        <x:v>HEV Premium</x:v>
      </x:c>
      <x:c r="L76" s="3" t="str">
        <x:v>HEV PREMIUM</x:v>
      </x:c>
      <x:c r="M76" s="22"/>
      <x:c r="N76" s="22" t="n">
        <x:v>50000</x:v>
      </x:c>
      <x:c r="O76" s="22" t="n">
        <x:v>55000</x:v>
      </x:c>
      <x:c r="P76" s="3" t="str">
        <x:v>50–100千km</x:v>
      </x:c>
      <x:c r="Q76" s="3" t="str">
        <x:v>Chon Buri</x:v>
      </x:c>
      <x:c r="R76" s="3" t="str">
        <x:v>Other province</x:v>
      </x:c>
      <x:c r="S76" s="3" t="str">
        <x:v>AT</x:v>
      </x:c>
      <x:c r="T76" s="3" t="str">
        <x:v>世代不明</x:v>
      </x:c>
      <x:c r="U76" s="28" t="n">
        <x:v>749000</x:v>
      </x:c>
      <x:c r="V76" s="28"/>
      <x:c r="W76" s="3" t="str">
        <x:v>広告の申告のみ。事故・水没・SOH・保証残は未確認</x:v>
      </x:c>
      <x:c r="X76" s="3" t="str">
        <x:v>掲載中・在庫未確認</x:v>
      </x:c>
      <x:c r="Y76" s="3" t="str"/>
      <x:c r="Z76" s="27" t="str">
        <x:v>https://www.one2car.com/en/cars-for-sale/toyota/corolla-cross</x:v>
      </x:c>
      <x:c r="AA76" s="3" t="str">
        <x:v>掲載リンク参照#248／見出し行1360（永続IDではない）</x:v>
      </x:c>
      <x:c r="AB76" s="3" t="str">
        <x:v>車台番号未取得／サイト間重複は未判定</x:v>
      </x:c>
      <x:c r="AC76" s="3" t="str">
        <x:v>税込区分未確認</x:v>
      </x:c>
      <x:c r="AD76" s="3" t="str">
        <x:v>CROSS24_HEV PREMIUM</x:v>
      </x:c>
      <x:c r="AE76" s="29" t="n">
        <x:f>'新車価格・特価'!K50</x:f>
        <x:v>1094000</x:v>
      </x:c>
      <x:c r="AF76" s="30" t="n">
        <x:f>IF(ISNUMBER(AE76),U76/AE76,"")</x:f>
        <x:v>0.6846435100548446</x:v>
      </x:c>
      <x:c r="AG76" s="29" t="n">
        <x:f>'新車価格・特価'!N54</x:f>
        <x:v>1094000</x:v>
      </x:c>
      <x:c r="AH76" s="30" t="n">
        <x:f>IF(ISNUMBER(AG76),U76/AG76,"")</x:f>
        <x:v>0.6846435100548446</x:v>
      </x:c>
      <x:c r="AI76" s="3" t="str">
        <x:v>当時公表小売価格の参考残価率。実購入額ではない。年式/登録年・仕様差に注意。</x:v>
      </x:c>
      <x:c r="AJ76" s="3" t="str">
        <x:v>走行/条件情報あり</x:v>
      </x:c>
      <x:c r="AK76" s="3" t="str">
        <x:v>取得した検索結果ページの掲載。サイトの並び順による選択偏りあり。</x:v>
      </x:c>
      <x:c r="AL76" s="31" t="n">
        <x:f>IF(AND(J76&lt;='分析方法'!$B$7,OR(ISBLANK(O76),O76&gt;='分析方法'!$B$8),X76&lt;&gt;"売却済み表示"),1,0)</x:f>
        <x:v>1</x:v>
      </x:c>
      <x:c r="AM76" s="32" t="n">
        <x:f>IF(AL76=1,U76,"")</x:f>
        <x:v>749000</x:v>
      </x:c>
      <x:c r="AN76" s="33" t="n">
        <x:f>IF(AL76=1,AF76,"")</x:f>
        <x:v>0.6846435100548446</x:v>
      </x:c>
      <x:c r="AO76" s="31" t="n">
        <x:f>'分析方法'!$B$6-J76</x:f>
        <x:v>2</x:v>
      </x:c>
      <x:c r="AP76" s="3"/>
    </x:row>
    <x:row r="77" ht="22" customHeight="1">
      <x:c r="A77" s="3" t="str">
        <x:v>O_corolla-cross_237</x:v>
      </x:c>
      <x:c r="B77" s="7" t="d">
        <x:v>2026-10-08T00:00:00.000Z</x:v>
      </x:c>
      <x:c r="C77" s="3" t="str">
        <x:v>One2car</x:v>
      </x:c>
      <x:c r="D77" s="3" t="str">
        <x:v>Toyota</x:v>
      </x:c>
      <x:c r="E77" s="3" t="str">
        <x:v>日本</x:v>
      </x:c>
      <x:c r="F77" s="3" t="str">
        <x:v>Corolla Cross</x:v>
      </x:c>
      <x:c r="G77" s="3" t="str">
        <x:v>HEV</x:v>
      </x:c>
      <x:c r="H77" s="3" t="str">
        <x:v>SUV</x:v>
      </x:c>
      <x:c r="I77" s="3" t="str"/>
      <x:c r="J77" s="3" t="n">
        <x:v>2024</x:v>
      </x:c>
      <x:c r="K77" s="3" t="str">
        <x:v>HEV Premium Luxury</x:v>
      </x:c>
      <x:c r="L77" s="3" t="str">
        <x:v>HEV PREMIUM LUXURY</x:v>
      </x:c>
      <x:c r="M77" s="22"/>
      <x:c r="N77" s="22" t="n">
        <x:v>20000</x:v>
      </x:c>
      <x:c r="O77" s="22" t="n">
        <x:v>25000</x:v>
      </x:c>
      <x:c r="P77" s="3" t="str">
        <x:v>20–50千km</x:v>
      </x:c>
      <x:c r="Q77" s="3" t="str">
        <x:v>Bangkok</x:v>
      </x:c>
      <x:c r="R77" s="3" t="str">
        <x:v>Bangkok metro</x:v>
      </x:c>
      <x:c r="S77" s="3" t="str">
        <x:v>AT</x:v>
      </x:c>
      <x:c r="T77" s="3" t="str">
        <x:v>世代不明</x:v>
      </x:c>
      <x:c r="U77" s="28" t="n">
        <x:v>899000</x:v>
      </x:c>
      <x:c r="V77" s="28"/>
      <x:c r="W77" s="3" t="str">
        <x:v>広告の申告のみ。事故・水没・SOH・保証残は未確認</x:v>
      </x:c>
      <x:c r="X77" s="3" t="str">
        <x:v>掲載中・在庫未確認</x:v>
      </x:c>
      <x:c r="Y77" s="3" t="str"/>
      <x:c r="Z77" s="27" t="str">
        <x:v>https://www.one2car.com/en/cars-for-sale/toyota/corolla-cross</x:v>
      </x:c>
      <x:c r="AA77" s="3" t="str">
        <x:v>掲載リンク参照#237／見出し行996（永続IDではない）</x:v>
      </x:c>
      <x:c r="AB77" s="3" t="str">
        <x:v>車台番号未取得／サイト間重複は未判定</x:v>
      </x:c>
      <x:c r="AC77" s="3" t="str">
        <x:v>税込区分未確認</x:v>
      </x:c>
      <x:c r="AD77" s="3" t="str">
        <x:v>CROSS24_HEV PREMIUM LUXURY</x:v>
      </x:c>
      <x:c r="AE77" s="29" t="n">
        <x:f>'新車価格・特価'!K51</x:f>
        <x:v>1204000</x:v>
      </x:c>
      <x:c r="AF77" s="30" t="n">
        <x:f>IF(ISNUMBER(AE77),U77/AE77,"")</x:f>
        <x:v>0.7466777408637874</x:v>
      </x:c>
      <x:c r="AG77" s="29" t="n">
        <x:f>'新車価格・特価'!N55</x:f>
        <x:v>1204000</x:v>
      </x:c>
      <x:c r="AH77" s="30" t="n">
        <x:f>IF(ISNUMBER(AG77),U77/AG77,"")</x:f>
        <x:v>0.7466777408637874</x:v>
      </x:c>
      <x:c r="AI77" s="3" t="str">
        <x:v>当時公表小売価格の参考残価率。実購入額ではない。年式/登録年・仕様差に注意。</x:v>
      </x:c>
      <x:c r="AJ77" s="3" t="str">
        <x:v>走行/条件情報あり</x:v>
      </x:c>
      <x:c r="AK77" s="3" t="str">
        <x:v>取得した検索結果ページの掲載。サイトの並び順による選択偏りあり。</x:v>
      </x:c>
      <x:c r="AL77" s="31" t="n">
        <x:f>IF(AND(J77&lt;='分析方法'!$B$7,OR(ISBLANK(O77),O77&gt;='分析方法'!$B$8),X77&lt;&gt;"売却済み表示"),1,0)</x:f>
        <x:v>1</x:v>
      </x:c>
      <x:c r="AM77" s="32" t="n">
        <x:f>IF(AL77=1,U77,"")</x:f>
        <x:v>899000</x:v>
      </x:c>
      <x:c r="AN77" s="33" t="n">
        <x:f>IF(AL77=1,AF77,"")</x:f>
        <x:v>0.7466777408637874</x:v>
      </x:c>
      <x:c r="AO77" s="31" t="n">
        <x:f>'分析方法'!$B$6-J77</x:f>
        <x:v>2</x:v>
      </x:c>
      <x:c r="AP77" s="3"/>
    </x:row>
    <x:row r="78" ht="22" customHeight="1">
      <x:c r="A78" s="3" t="str">
        <x:v>O_corolla-cross_239</x:v>
      </x:c>
      <x:c r="B78" s="7" t="d">
        <x:v>2026-10-08T00:00:00.000Z</x:v>
      </x:c>
      <x:c r="C78" s="3" t="str">
        <x:v>One2car</x:v>
      </x:c>
      <x:c r="D78" s="3" t="str">
        <x:v>Toyota</x:v>
      </x:c>
      <x:c r="E78" s="3" t="str">
        <x:v>日本</x:v>
      </x:c>
      <x:c r="F78" s="3" t="str">
        <x:v>Corolla Cross</x:v>
      </x:c>
      <x:c r="G78" s="3" t="str">
        <x:v>HEV</x:v>
      </x:c>
      <x:c r="H78" s="3" t="str">
        <x:v>SUV</x:v>
      </x:c>
      <x:c r="I78" s="3" t="str"/>
      <x:c r="J78" s="3" t="n">
        <x:v>2024</x:v>
      </x:c>
      <x:c r="K78" s="3" t="str">
        <x:v>HEV Premium Luxury</x:v>
      </x:c>
      <x:c r="L78" s="3" t="str">
        <x:v>HEV PREMIUM LUXURY</x:v>
      </x:c>
      <x:c r="M78" s="22"/>
      <x:c r="N78" s="22" t="n">
        <x:v>45000</x:v>
      </x:c>
      <x:c r="O78" s="22" t="n">
        <x:v>50000</x:v>
      </x:c>
      <x:c r="P78" s="3" t="str">
        <x:v>20–50千km</x:v>
      </x:c>
      <x:c r="Q78" s="3" t="str">
        <x:v>Bangkok</x:v>
      </x:c>
      <x:c r="R78" s="3" t="str">
        <x:v>Bangkok metro</x:v>
      </x:c>
      <x:c r="S78" s="3" t="str">
        <x:v>AT</x:v>
      </x:c>
      <x:c r="T78" s="3" t="str">
        <x:v>世代不明</x:v>
      </x:c>
      <x:c r="U78" s="28" t="n">
        <x:v>899000</x:v>
      </x:c>
      <x:c r="V78" s="28"/>
      <x:c r="W78" s="3" t="str">
        <x:v>広告の申告のみ。事故・水没・SOH・保証残は未確認</x:v>
      </x:c>
      <x:c r="X78" s="3" t="str">
        <x:v>掲載中・在庫未確認</x:v>
      </x:c>
      <x:c r="Y78" s="3" t="str"/>
      <x:c r="Z78" s="27" t="str">
        <x:v>https://www.one2car.com/en/cars-for-sale/toyota/corolla-cross</x:v>
      </x:c>
      <x:c r="AA78" s="3" t="str">
        <x:v>掲載リンク参照#239／見出し行1060（永続IDではない）</x:v>
      </x:c>
      <x:c r="AB78" s="3" t="str">
        <x:v>車台番号未取得／サイト間重複は未判定</x:v>
      </x:c>
      <x:c r="AC78" s="3" t="str">
        <x:v>税込区分未確認</x:v>
      </x:c>
      <x:c r="AD78" s="3" t="str">
        <x:v>CROSS24_HEV PREMIUM LUXURY</x:v>
      </x:c>
      <x:c r="AE78" s="29" t="n">
        <x:f>'新車価格・特価'!K51</x:f>
        <x:v>1204000</x:v>
      </x:c>
      <x:c r="AF78" s="30" t="n">
        <x:f>IF(ISNUMBER(AE78),U78/AE78,"")</x:f>
        <x:v>0.7466777408637874</x:v>
      </x:c>
      <x:c r="AG78" s="29" t="n">
        <x:f>'新車価格・特価'!N55</x:f>
        <x:v>1204000</x:v>
      </x:c>
      <x:c r="AH78" s="30" t="n">
        <x:f>IF(ISNUMBER(AG78),U78/AG78,"")</x:f>
        <x:v>0.7466777408637874</x:v>
      </x:c>
      <x:c r="AI78" s="3" t="str">
        <x:v>当時公表小売価格の参考残価率。実購入額ではない。年式/登録年・仕様差に注意。</x:v>
      </x:c>
      <x:c r="AJ78" s="3" t="str">
        <x:v>走行/条件情報あり</x:v>
      </x:c>
      <x:c r="AK78" s="3" t="str">
        <x:v>取得した検索結果ページの掲載。サイトの並び順による選択偏りあり。</x:v>
      </x:c>
      <x:c r="AL78" s="31" t="n">
        <x:f>IF(AND(J78&lt;='分析方法'!$B$7,OR(ISBLANK(O78),O78&gt;='分析方法'!$B$8),X78&lt;&gt;"売却済み表示"),1,0)</x:f>
        <x:v>1</x:v>
      </x:c>
      <x:c r="AM78" s="32" t="n">
        <x:f>IF(AL78=1,U78,"")</x:f>
        <x:v>899000</x:v>
      </x:c>
      <x:c r="AN78" s="33" t="n">
        <x:f>IF(AL78=1,AF78,"")</x:f>
        <x:v>0.7466777408637874</x:v>
      </x:c>
      <x:c r="AO78" s="31" t="n">
        <x:f>'分析方法'!$B$6-J78</x:f>
        <x:v>2</x:v>
      </x:c>
      <x:c r="AP78" s="3"/>
    </x:row>
    <x:row r="79" ht="22" customHeight="1">
      <x:c r="A79" s="3" t="str">
        <x:v>O_corolla-cross_242</x:v>
      </x:c>
      <x:c r="B79" s="7" t="d">
        <x:v>2026-10-08T00:00:00.000Z</x:v>
      </x:c>
      <x:c r="C79" s="3" t="str">
        <x:v>One2car</x:v>
      </x:c>
      <x:c r="D79" s="3" t="str">
        <x:v>Toyota</x:v>
      </x:c>
      <x:c r="E79" s="3" t="str">
        <x:v>日本</x:v>
      </x:c>
      <x:c r="F79" s="3" t="str">
        <x:v>Corolla Cross</x:v>
      </x:c>
      <x:c r="G79" s="3" t="str">
        <x:v>HEV</x:v>
      </x:c>
      <x:c r="H79" s="3" t="str">
        <x:v>SUV</x:v>
      </x:c>
      <x:c r="I79" s="3" t="str"/>
      <x:c r="J79" s="3" t="n">
        <x:v>2024</x:v>
      </x:c>
      <x:c r="K79" s="3" t="str">
        <x:v>HEV Premium Luxury</x:v>
      </x:c>
      <x:c r="L79" s="3" t="str">
        <x:v>HEV PREMIUM LUXURY</x:v>
      </x:c>
      <x:c r="M79" s="22" t="n">
        <x:v>20128</x:v>
      </x:c>
      <x:c r="N79" s="22" t="n">
        <x:v>20128</x:v>
      </x:c>
      <x:c r="O79" s="22" t="n">
        <x:v>20128</x:v>
      </x:c>
      <x:c r="P79" s="3" t="str">
        <x:v>20–50千km</x:v>
      </x:c>
      <x:c r="Q79" s="3" t="str">
        <x:v>Bangkok</x:v>
      </x:c>
      <x:c r="R79" s="3" t="str">
        <x:v>Bangkok metro</x:v>
      </x:c>
      <x:c r="S79" s="3" t="str">
        <x:v>AT</x:v>
      </x:c>
      <x:c r="T79" s="3" t="str">
        <x:v>世代不明</x:v>
      </x:c>
      <x:c r="U79" s="28" t="n">
        <x:v>898000</x:v>
      </x:c>
      <x:c r="V79" s="28"/>
      <x:c r="W79" s="3" t="str">
        <x:v>広告の申告のみ。事故・水没・SOH・保証残は未確認</x:v>
      </x:c>
      <x:c r="X79" s="3" t="str">
        <x:v>掲載中・在庫未確認</x:v>
      </x:c>
      <x:c r="Y79" s="3" t="str"/>
      <x:c r="Z79" s="27" t="str">
        <x:v>https://www.one2car.com/en/cars-for-sale/toyota/corolla-cross</x:v>
      </x:c>
      <x:c r="AA79" s="3" t="str">
        <x:v>掲載リンク参照#242／見出し行1158（永続IDではない）</x:v>
      </x:c>
      <x:c r="AB79" s="3" t="str">
        <x:v>車台番号未取得／サイト間重複は未判定</x:v>
      </x:c>
      <x:c r="AC79" s="3" t="str">
        <x:v>税込区分未確認</x:v>
      </x:c>
      <x:c r="AD79" s="3" t="str">
        <x:v>CROSS24_HEV PREMIUM LUXURY</x:v>
      </x:c>
      <x:c r="AE79" s="29" t="n">
        <x:f>'新車価格・特価'!K51</x:f>
        <x:v>1204000</x:v>
      </x:c>
      <x:c r="AF79" s="30" t="n">
        <x:f>IF(ISNUMBER(AE79),U79/AE79,"")</x:f>
        <x:v>0.7458471760797342</x:v>
      </x:c>
      <x:c r="AG79" s="29" t="n">
        <x:f>'新車価格・特価'!N55</x:f>
        <x:v>1204000</x:v>
      </x:c>
      <x:c r="AH79" s="30" t="n">
        <x:f>IF(ISNUMBER(AG79),U79/AG79,"")</x:f>
        <x:v>0.7458471760797342</x:v>
      </x:c>
      <x:c r="AI79" s="3" t="str">
        <x:v>当時公表小売価格の参考残価率。実購入額ではない。年式/登録年・仕様差に注意。</x:v>
      </x:c>
      <x:c r="AJ79" s="3" t="str">
        <x:v>走行/条件情報あり</x:v>
      </x:c>
      <x:c r="AK79" s="3" t="str">
        <x:v>取得した検索結果ページの掲載。サイトの並び順による選択偏りあり。</x:v>
      </x:c>
      <x:c r="AL79" s="31" t="n">
        <x:f>IF(AND(J79&lt;='分析方法'!$B$7,OR(ISBLANK(O79),O79&gt;='分析方法'!$B$8),X79&lt;&gt;"売却済み表示"),1,0)</x:f>
        <x:v>1</x:v>
      </x:c>
      <x:c r="AM79" s="32" t="n">
        <x:f>IF(AL79=1,U79,"")</x:f>
        <x:v>898000</x:v>
      </x:c>
      <x:c r="AN79" s="33" t="n">
        <x:f>IF(AL79=1,AF79,"")</x:f>
        <x:v>0.7458471760797342</x:v>
      </x:c>
      <x:c r="AO79" s="31" t="n">
        <x:f>'分析方法'!$B$6-J79</x:f>
        <x:v>2</x:v>
      </x:c>
      <x:c r="AP79" s="3"/>
    </x:row>
    <x:row r="80" ht="22" customHeight="1">
      <x:c r="A80" s="3" t="str">
        <x:v>O_corolla-cross_247</x:v>
      </x:c>
      <x:c r="B80" s="7" t="d">
        <x:v>2026-10-08T00:00:00.000Z</x:v>
      </x:c>
      <x:c r="C80" s="3" t="str">
        <x:v>One2car</x:v>
      </x:c>
      <x:c r="D80" s="3" t="str">
        <x:v>Toyota</x:v>
      </x:c>
      <x:c r="E80" s="3" t="str">
        <x:v>日本</x:v>
      </x:c>
      <x:c r="F80" s="3" t="str">
        <x:v>Corolla Cross</x:v>
      </x:c>
      <x:c r="G80" s="3" t="str">
        <x:v>HEV</x:v>
      </x:c>
      <x:c r="H80" s="3" t="str">
        <x:v>SUV</x:v>
      </x:c>
      <x:c r="I80" s="3" t="str"/>
      <x:c r="J80" s="3" t="n">
        <x:v>2025</x:v>
      </x:c>
      <x:c r="K80" s="3" t="str">
        <x:v>HEV Premium Luxury</x:v>
      </x:c>
      <x:c r="L80" s="3" t="str">
        <x:v>HEV PREMIUM LUXURY</x:v>
      </x:c>
      <x:c r="M80" s="22" t="n">
        <x:v>8911</x:v>
      </x:c>
      <x:c r="N80" s="22" t="n">
        <x:v>8911</x:v>
      </x:c>
      <x:c r="O80" s="22" t="n">
        <x:v>8911</x:v>
      </x:c>
      <x:c r="P80" s="3" t="str">
        <x:v>&lt;20千km</x:v>
      </x:c>
      <x:c r="Q80" s="3" t="str">
        <x:v>Bangkok</x:v>
      </x:c>
      <x:c r="R80" s="3" t="str">
        <x:v>Bangkok metro</x:v>
      </x:c>
      <x:c r="S80" s="3" t="str">
        <x:v>AT</x:v>
      </x:c>
      <x:c r="T80" s="3" t="str">
        <x:v>世代不明</x:v>
      </x:c>
      <x:c r="U80" s="28" t="n">
        <x:v>959000</x:v>
      </x:c>
      <x:c r="V80" s="28"/>
      <x:c r="W80" s="3" t="str">
        <x:v>広告の申告のみ。事故・水没・SOH・保証残は未確認</x:v>
      </x:c>
      <x:c r="X80" s="3" t="str">
        <x:v>掲載中・在庫未確認</x:v>
      </x:c>
      <x:c r="Y80" s="3" t="str"/>
      <x:c r="Z80" s="27" t="str">
        <x:v>https://www.one2car.com/en/cars-for-sale/toyota/corolla-cross</x:v>
      </x:c>
      <x:c r="AA80" s="3" t="str">
        <x:v>掲載リンク参照#247／見出し行1328（永続IDではない）</x:v>
      </x:c>
      <x:c r="AB80" s="3" t="str">
        <x:v>車台番号未取得／サイト間重複は未判定</x:v>
      </x:c>
      <x:c r="AC80" s="3" t="str">
        <x:v>税込区分未確認</x:v>
      </x:c>
      <x:c r="AD80" s="3" t="str">
        <x:v>CROSS24_HEV PREMIUM LUXURY</x:v>
      </x:c>
      <x:c r="AE80" s="29" t="n">
        <x:f>'新車価格・特価'!K51</x:f>
        <x:v>1204000</x:v>
      </x:c>
      <x:c r="AF80" s="30" t="n">
        <x:f>IF(ISNUMBER(AE80),U80/AE80,"")</x:f>
        <x:v>0.7965116279069767</x:v>
      </x:c>
      <x:c r="AG80" s="29" t="n">
        <x:f>'新車価格・特価'!N55</x:f>
        <x:v>1204000</x:v>
      </x:c>
      <x:c r="AH80" s="30" t="n">
        <x:f>IF(ISNUMBER(AG80),U80/AG80,"")</x:f>
        <x:v>0.7965116279069767</x:v>
      </x:c>
      <x:c r="AI80" s="3" t="str">
        <x:v>当時公表小売価格の参考残価率。実購入額ではない。年式/登録年・仕様差に注意。</x:v>
      </x:c>
      <x:c r="AJ80" s="3" t="str">
        <x:v>走行/条件情報あり</x:v>
      </x:c>
      <x:c r="AK80" s="3" t="str">
        <x:v>取得した検索結果ページの掲載。サイトの並び順による選択偏りあり。</x:v>
      </x:c>
      <x:c r="AL80" s="31" t="n">
        <x:f>IF(AND(J80&lt;='分析方法'!$B$7,OR(ISBLANK(O80),O80&gt;='分析方法'!$B$8),X80&lt;&gt;"売却済み表示"),1,0)</x:f>
        <x:v>1</x:v>
      </x:c>
      <x:c r="AM80" s="32" t="n">
        <x:f>IF(AL80=1,U80,"")</x:f>
        <x:v>959000</x:v>
      </x:c>
      <x:c r="AN80" s="33" t="n">
        <x:f>IF(AL80=1,AF80,"")</x:f>
        <x:v>0.7965116279069767</x:v>
      </x:c>
      <x:c r="AO80" s="31" t="n">
        <x:f>'分析方法'!$B$6-J80</x:f>
        <x:v>1</x:v>
      </x:c>
      <x:c r="AP80" s="3"/>
    </x:row>
    <x:row r="81" ht="22" customHeight="1">
      <x:c r="A81" s="3" t="str">
        <x:v>O_corolla-cross_250</x:v>
      </x:c>
      <x:c r="B81" s="7" t="d">
        <x:v>2026-10-08T00:00:00.000Z</x:v>
      </x:c>
      <x:c r="C81" s="3" t="str">
        <x:v>One2car</x:v>
      </x:c>
      <x:c r="D81" s="3" t="str">
        <x:v>Toyota</x:v>
      </x:c>
      <x:c r="E81" s="3" t="str">
        <x:v>日本</x:v>
      </x:c>
      <x:c r="F81" s="3" t="str">
        <x:v>Corolla Cross</x:v>
      </x:c>
      <x:c r="G81" s="3" t="str">
        <x:v>ICE</x:v>
      </x:c>
      <x:c r="H81" s="3" t="str">
        <x:v>SUV</x:v>
      </x:c>
      <x:c r="I81" s="3" t="str"/>
      <x:c r="J81" s="3" t="n">
        <x:v>2021</x:v>
      </x:c>
      <x:c r="K81" s="3" t="str">
        <x:v>Sport</x:v>
      </x:c>
      <x:c r="L81" s="3" t="str">
        <x:v>SPORT</x:v>
      </x:c>
      <x:c r="M81" s="22" t="n">
        <x:v>90000</x:v>
      </x:c>
      <x:c r="N81" s="22" t="n">
        <x:v>90000</x:v>
      </x:c>
      <x:c r="O81" s="22" t="n">
        <x:v>90000</x:v>
      </x:c>
      <x:c r="P81" s="3" t="str">
        <x:v>50–100千km</x:v>
      </x:c>
      <x:c r="Q81" s="3" t="str">
        <x:v>Bangkok</x:v>
      </x:c>
      <x:c r="R81" s="3" t="str">
        <x:v>Bangkok metro</x:v>
      </x:c>
      <x:c r="S81" s="3" t="str">
        <x:v>AT</x:v>
      </x:c>
      <x:c r="T81" s="3" t="str">
        <x:v>世代不明</x:v>
      </x:c>
      <x:c r="U81" s="28" t="n">
        <x:v>558000</x:v>
      </x:c>
      <x:c r="V81" s="28"/>
      <x:c r="W81" s="3" t="str">
        <x:v>広告の申告のみ。事故・水没・SOH・保証残は未確認</x:v>
      </x:c>
      <x:c r="X81" s="3" t="str">
        <x:v>掲載中・在庫未確認</x:v>
      </x:c>
      <x:c r="Y81" s="3" t="str"/>
      <x:c r="Z81" s="27" t="str">
        <x:v>https://www.one2car.com/en/cars-for-sale/toyota/corolla-cross</x:v>
      </x:c>
      <x:c r="AA81" s="3" t="str">
        <x:v>掲載リンク参照#250／見出し行1421（永続IDではない）</x:v>
      </x:c>
      <x:c r="AB81" s="3" t="str">
        <x:v>車台番号未取得／サイト間重複は未判定</x:v>
      </x:c>
      <x:c r="AC81" s="3" t="str">
        <x:v>税込区分未確認</x:v>
      </x:c>
      <x:c r="AD81" s="3" t="str"/>
      <x:c r="AE81" s="29" t="str">
        <x:f>""</x:f>
      </x:c>
      <x:c r="AF81" s="30" t="str">
        <x:f>IF(ISNUMBER(AE81),U81/AE81,"")</x:f>
      </x:c>
      <x:c r="AG81" s="29" t="str">
        <x:f>""</x:f>
      </x:c>
      <x:c r="AH81" s="30" t="str">
        <x:f>IF(ISNUMBER(AG81),U81/AG81,"")</x:f>
      </x:c>
      <x:c r="AI81" s="3" t="str">
        <x:v>同年式・グレードの検証済み当時価格なし／登録年混在</x:v>
      </x:c>
      <x:c r="AJ81" s="3" t="str">
        <x:v>走行/条件情報あり</x:v>
      </x:c>
      <x:c r="AK81" s="3" t="str">
        <x:v>取得した検索結果ページの掲載。サイトの並び順による選択偏りあり。</x:v>
      </x:c>
      <x:c r="AL81" s="31" t="n">
        <x:f>IF(AND(J81&lt;='分析方法'!$B$7,OR(ISBLANK(O81),O81&gt;='分析方法'!$B$8),X81&lt;&gt;"売却済み表示"),1,0)</x:f>
        <x:v>1</x:v>
      </x:c>
      <x:c r="AM81" s="32" t="n">
        <x:f>IF(AL81=1,U81,"")</x:f>
        <x:v>558000</x:v>
      </x:c>
      <x:c r="AN81" s="33" t="str">
        <x:f>IF(AL81=1,AF81,"")</x:f>
      </x:c>
      <x:c r="AO81" s="31" t="n">
        <x:f>'分析方法'!$B$6-J81</x:f>
        <x:v>5</x:v>
      </x:c>
      <x:c r="AP81" s="3"/>
    </x:row>
    <x:row r="82" ht="22" customHeight="1">
      <x:c r="A82" s="3" t="str">
        <x:v>O_corolla-cross_238</x:v>
      </x:c>
      <x:c r="B82" s="7" t="d">
        <x:v>2026-10-08T00:00:00.000Z</x:v>
      </x:c>
      <x:c r="C82" s="3" t="str">
        <x:v>One2car</x:v>
      </x:c>
      <x:c r="D82" s="3" t="str">
        <x:v>Toyota</x:v>
      </x:c>
      <x:c r="E82" s="3" t="str">
        <x:v>日本</x:v>
      </x:c>
      <x:c r="F82" s="3" t="str">
        <x:v>Corolla Cross</x:v>
      </x:c>
      <x:c r="G82" s="3" t="str">
        <x:v>ICE</x:v>
      </x:c>
      <x:c r="H82" s="3" t="str">
        <x:v>SUV</x:v>
      </x:c>
      <x:c r="I82" s="3" t="str"/>
      <x:c r="J82" s="3" t="n">
        <x:v>2022</x:v>
      </x:c>
      <x:c r="K82" s="3" t="str">
        <x:v>Sport</x:v>
      </x:c>
      <x:c r="L82" s="3" t="str">
        <x:v>SPORT</x:v>
      </x:c>
      <x:c r="M82" s="22"/>
      <x:c r="N82" s="22" t="n">
        <x:v>90000</x:v>
      </x:c>
      <x:c r="O82" s="22" t="n">
        <x:v>95000</x:v>
      </x:c>
      <x:c r="P82" s="3" t="str">
        <x:v>50–100千km</x:v>
      </x:c>
      <x:c r="Q82" s="3" t="str">
        <x:v>Bangkok</x:v>
      </x:c>
      <x:c r="R82" s="3" t="str">
        <x:v>Bangkok metro</x:v>
      </x:c>
      <x:c r="S82" s="3" t="str">
        <x:v>AT</x:v>
      </x:c>
      <x:c r="T82" s="3" t="str">
        <x:v>世代不明</x:v>
      </x:c>
      <x:c r="U82" s="28" t="n">
        <x:v>579000</x:v>
      </x:c>
      <x:c r="V82" s="28"/>
      <x:c r="W82" s="3" t="str">
        <x:v>広告の申告のみ。事故・水没・SOH・保証残は未確認</x:v>
      </x:c>
      <x:c r="X82" s="3" t="str">
        <x:v>掲載中・在庫未確認</x:v>
      </x:c>
      <x:c r="Y82" s="3" t="str"/>
      <x:c r="Z82" s="27" t="str">
        <x:v>https://www.one2car.com/en/cars-for-sale/toyota/corolla-cross</x:v>
      </x:c>
      <x:c r="AA82" s="3" t="str">
        <x:v>掲載リンク参照#238／見出し行1028（永続IDではない）</x:v>
      </x:c>
      <x:c r="AB82" s="3" t="str">
        <x:v>車台番号未取得／サイト間重複は未判定</x:v>
      </x:c>
      <x:c r="AC82" s="3" t="str">
        <x:v>税込区分未確認</x:v>
      </x:c>
      <x:c r="AD82" s="3" t="str"/>
      <x:c r="AE82" s="29" t="str">
        <x:f>""</x:f>
      </x:c>
      <x:c r="AF82" s="30" t="str">
        <x:f>IF(ISNUMBER(AE82),U82/AE82,"")</x:f>
      </x:c>
      <x:c r="AG82" s="29" t="str">
        <x:f>""</x:f>
      </x:c>
      <x:c r="AH82" s="30" t="str">
        <x:f>IF(ISNUMBER(AG82),U82/AG82,"")</x:f>
      </x:c>
      <x:c r="AI82" s="3" t="str">
        <x:v>同年式・グレードの検証済み当時価格なし／登録年混在</x:v>
      </x:c>
      <x:c r="AJ82" s="3" t="str">
        <x:v>走行/条件情報あり</x:v>
      </x:c>
      <x:c r="AK82" s="3" t="str">
        <x:v>取得した検索結果ページの掲載。サイトの並び順による選択偏りあり。</x:v>
      </x:c>
      <x:c r="AL82" s="31" t="n">
        <x:f>IF(AND(J82&lt;='分析方法'!$B$7,OR(ISBLANK(O82),O82&gt;='分析方法'!$B$8),X82&lt;&gt;"売却済み表示"),1,0)</x:f>
        <x:v>1</x:v>
      </x:c>
      <x:c r="AM82" s="32" t="n">
        <x:f>IF(AL82=1,U82,"")</x:f>
        <x:v>579000</x:v>
      </x:c>
      <x:c r="AN82" s="33" t="str">
        <x:f>IF(AL82=1,AF82,"")</x:f>
      </x:c>
      <x:c r="AO82" s="31" t="n">
        <x:f>'分析方法'!$B$6-J82</x:f>
        <x:v>4</x:v>
      </x:c>
      <x:c r="AP82" s="3"/>
    </x:row>
    <x:row r="83" ht="22" customHeight="1">
      <x:c r="A83" s="3" t="str">
        <x:v>O_corolla-cross_Y2023_164</x:v>
      </x:c>
      <x:c r="B83" s="7" t="d">
        <x:v>2026-10-08T00:00:00.000Z</x:v>
      </x:c>
      <x:c r="C83" s="3" t="str">
        <x:v>One2car</x:v>
      </x:c>
      <x:c r="D83" s="3" t="str">
        <x:v>Toyota</x:v>
      </x:c>
      <x:c r="E83" s="3" t="str">
        <x:v>日本</x:v>
      </x:c>
      <x:c r="F83" s="3" t="str">
        <x:v>Corolla Cross</x:v>
      </x:c>
      <x:c r="G83" s="3" t="str">
        <x:v>ICE</x:v>
      </x:c>
      <x:c r="H83" s="3" t="str">
        <x:v>SUV</x:v>
      </x:c>
      <x:c r="I83" s="3" t="str"/>
      <x:c r="J83" s="3" t="n">
        <x:v>2023</x:v>
      </x:c>
      <x:c r="K83" s="3" t="str">
        <x:v>Sport Plus</x:v>
      </x:c>
      <x:c r="L83" s="3" t="str">
        <x:v>SPORT PLUS</x:v>
      </x:c>
      <x:c r="M83" s="22"/>
      <x:c r="N83" s="22" t="n">
        <x:v>95000</x:v>
      </x:c>
      <x:c r="O83" s="22" t="n">
        <x:v>100000</x:v>
      </x:c>
      <x:c r="P83" s="3" t="str">
        <x:v>50–100千km</x:v>
      </x:c>
      <x:c r="Q83" s="3" t="str">
        <x:v>Bangkok</x:v>
      </x:c>
      <x:c r="R83" s="3" t="str">
        <x:v>Bangkok metro</x:v>
      </x:c>
      <x:c r="S83" s="3" t="str">
        <x:v>AT</x:v>
      </x:c>
      <x:c r="T83" s="3" t="str">
        <x:v>世代不明</x:v>
      </x:c>
      <x:c r="U83" s="28" t="n">
        <x:v>639000</x:v>
      </x:c>
      <x:c r="V83" s="28"/>
      <x:c r="W83" s="3" t="str">
        <x:v>広告の申告のみ。事故・水没・SOH・保証残は未確認</x:v>
      </x:c>
      <x:c r="X83" s="3" t="str">
        <x:v>掲載中・在庫未確認</x:v>
      </x:c>
      <x:c r="Y83" s="3" t="str"/>
      <x:c r="Z83" s="27" t="str">
        <x:v>https://www.one2car.com/en/cars-for-sale/toyota/corolla-cross/year-2023</x:v>
      </x:c>
      <x:c r="AA83" s="3" t="str">
        <x:v>掲載リンク参照#164／見出し行1390（永続IDではない）</x:v>
      </x:c>
      <x:c r="AB83" s="3" t="str">
        <x:v>車台番号未取得／サイト間重複は未判定</x:v>
      </x:c>
      <x:c r="AC83" s="3" t="str">
        <x:v>税込区分未確認</x:v>
      </x:c>
      <x:c r="AD83" s="3" t="str">
        <x:v>CROSS23_SPORT PLUS</x:v>
      </x:c>
      <x:c r="AE83" s="29" t="n">
        <x:f>'新車価格・特価'!K44</x:f>
        <x:v>999000</x:v>
      </x:c>
      <x:c r="AF83" s="30" t="n">
        <x:f>IF(ISNUMBER(AE83),U83/AE83,"")</x:f>
        <x:v>0.6396396396396397</x:v>
      </x:c>
      <x:c r="AG83" s="29" t="str">
        <x:f>""</x:f>
      </x:c>
      <x:c r="AH83" s="30" t="str">
        <x:f>IF(ISNUMBER(AG83),U83/AG83,"")</x:f>
      </x:c>
      <x:c r="AI83" s="3" t="str">
        <x:v>当時公表小売価格の参考残価率。実購入額ではない。年式/登録年・仕様差に注意。</x:v>
      </x:c>
      <x:c r="AJ83" s="3" t="str">
        <x:v>走行/条件情報あり</x:v>
      </x:c>
      <x:c r="AK83" s="3" t="str">
        <x:v>取得した検索結果ページの掲載。サイトの並び順による選択偏りあり。</x:v>
      </x:c>
      <x:c r="AL83" s="31" t="n">
        <x:f>IF(AND(J83&lt;='分析方法'!$B$7,OR(ISBLANK(O83),O83&gt;='分析方法'!$B$8),X83&lt;&gt;"売却済み表示"),1,0)</x:f>
        <x:v>1</x:v>
      </x:c>
      <x:c r="AM83" s="32" t="n">
        <x:f>IF(AL83=1,U83,"")</x:f>
        <x:v>639000</x:v>
      </x:c>
      <x:c r="AN83" s="33" t="n">
        <x:f>IF(AL83=1,AF83,"")</x:f>
        <x:v>0.6396396396396397</x:v>
      </x:c>
      <x:c r="AO83" s="31" t="n">
        <x:f>'分析方法'!$B$6-J83</x:f>
        <x:v>3</x:v>
      </x:c>
      <x:c r="AP83" s="3"/>
    </x:row>
    <x:row r="84" ht="22" customHeight="1">
      <x:c r="A84" s="3" t="str">
        <x:v>O_dolphin_163</x:v>
      </x:c>
      <x:c r="B84" s="7" t="d">
        <x:v>2026-10-08T00:00:00.000Z</x:v>
      </x:c>
      <x:c r="C84" s="3" t="str">
        <x:v>One2car</x:v>
      </x:c>
      <x:c r="D84" s="3" t="str">
        <x:v>BYD</x:v>
      </x:c>
      <x:c r="E84" s="3" t="str">
        <x:v>中国</x:v>
      </x:c>
      <x:c r="F84" s="3" t="str">
        <x:v>DOLPHIN</x:v>
      </x:c>
      <x:c r="G84" s="3" t="str">
        <x:v>BEV</x:v>
      </x:c>
      <x:c r="H84" s="3" t="str">
        <x:v>Hatchback</x:v>
      </x:c>
      <x:c r="I84" s="3" t="str"/>
      <x:c r="J84" s="3" t="n">
        <x:v>2023</x:v>
      </x:c>
      <x:c r="K84" s="3" t="str">
        <x:v>Extended Range</x:v>
      </x:c>
      <x:c r="L84" s="3" t="str">
        <x:v>EXTENDED RANGE</x:v>
      </x:c>
      <x:c r="M84" s="22"/>
      <x:c r="N84" s="22" t="n">
        <x:v>80000</x:v>
      </x:c>
      <x:c r="O84" s="22" t="n">
        <x:v>85000</x:v>
      </x:c>
      <x:c r="P84" s="3" t="str">
        <x:v>50–100千km</x:v>
      </x:c>
      <x:c r="Q84" s="3" t="str">
        <x:v>Bangkok</x:v>
      </x:c>
      <x:c r="R84" s="3" t="str">
        <x:v>Bangkok metro</x:v>
      </x:c>
      <x:c r="S84" s="3" t="str">
        <x:v>AT</x:v>
      </x:c>
      <x:c r="T84" s="3" t="str">
        <x:v>世代不明</x:v>
      </x:c>
      <x:c r="U84" s="28" t="n">
        <x:v>349000</x:v>
      </x:c>
      <x:c r="V84" s="28"/>
      <x:c r="W84" s="3" t="str">
        <x:v>広告の申告のみ。事故・水没・SOH・保証残は未確認</x:v>
      </x:c>
      <x:c r="X84" s="3" t="str">
        <x:v>掲載中・在庫未確認</x:v>
      </x:c>
      <x:c r="Y84" s="3" t="str"/>
      <x:c r="Z84" s="27" t="str">
        <x:v>https://www.one2car.com/en/cars-for-sale/byd/dolphin</x:v>
      </x:c>
      <x:c r="AA84" s="3" t="str">
        <x:v>掲載リンク参照#163／見出し行696（永続IDではない）</x:v>
      </x:c>
      <x:c r="AB84" s="3" t="str">
        <x:v>車台番号未取得／サイト間重複は未判定</x:v>
      </x:c>
      <x:c r="AC84" s="3" t="str">
        <x:v>税込区分未確認</x:v>
      </x:c>
      <x:c r="AD84" s="3" t="str">
        <x:v>DOL23_EXTENDED RANGE</x:v>
      </x:c>
      <x:c r="AE84" s="29" t="n">
        <x:f>'新車価格・特価'!K10</x:f>
        <x:v>859999</x:v>
      </x:c>
      <x:c r="AF84" s="30" t="n">
        <x:f>IF(ISNUMBER(AE84),U84/AE84,"")</x:f>
        <x:v>0.4058144253656109</x:v>
      </x:c>
      <x:c r="AG84" s="29" t="n">
        <x:f>'新車価格・特価'!N37</x:f>
        <x:v>599900</x:v>
      </x:c>
      <x:c r="AH84" s="30" t="n">
        <x:f>IF(ISNUMBER(AG84),U84/AG84,"")</x:f>
        <x:v>0.5817636272712119</x:v>
      </x:c>
      <x:c r="AI84" s="3" t="str">
        <x:v>当時公表小売価格の参考残価率。実購入額ではない。年式/登録年・仕様差に注意。</x:v>
      </x:c>
      <x:c r="AJ84" s="3" t="str">
        <x:v>走行/条件情報あり</x:v>
      </x:c>
      <x:c r="AK84" s="3" t="str">
        <x:v>取得した検索結果ページの掲載。サイトの並び順による選択偏りあり。</x:v>
      </x:c>
      <x:c r="AL84" s="31" t="n">
        <x:f>IF(AND(J84&lt;='分析方法'!$B$7,OR(ISBLANK(O84),O84&gt;='分析方法'!$B$8),X84&lt;&gt;"売却済み表示"),1,0)</x:f>
        <x:v>1</x:v>
      </x:c>
      <x:c r="AM84" s="32" t="n">
        <x:f>IF(AL84=1,U84,"")</x:f>
        <x:v>349000</x:v>
      </x:c>
      <x:c r="AN84" s="33" t="n">
        <x:f>IF(AL84=1,AF84,"")</x:f>
        <x:v>0.4058144253656109</x:v>
      </x:c>
      <x:c r="AO84" s="31" t="n">
        <x:f>'分析方法'!$B$6-J84</x:f>
        <x:v>3</x:v>
      </x:c>
      <x:c r="AP84" s="3"/>
    </x:row>
    <x:row r="85" ht="22" customHeight="1">
      <x:c r="A85" s="3" t="str">
        <x:v>O_dolphin_189</x:v>
      </x:c>
      <x:c r="B85" s="7" t="d">
        <x:v>2026-10-08T00:00:00.000Z</x:v>
      </x:c>
      <x:c r="C85" s="3" t="str">
        <x:v>One2car</x:v>
      </x:c>
      <x:c r="D85" s="3" t="str">
        <x:v>BYD</x:v>
      </x:c>
      <x:c r="E85" s="3" t="str">
        <x:v>中国</x:v>
      </x:c>
      <x:c r="F85" s="3" t="str">
        <x:v>DOLPHIN</x:v>
      </x:c>
      <x:c r="G85" s="3" t="str">
        <x:v>BEV</x:v>
      </x:c>
      <x:c r="H85" s="3" t="str">
        <x:v>Hatchback</x:v>
      </x:c>
      <x:c r="I85" s="3" t="str"/>
      <x:c r="J85" s="3" t="n">
        <x:v>2023</x:v>
      </x:c>
      <x:c r="K85" s="3" t="str">
        <x:v>Extended Range</x:v>
      </x:c>
      <x:c r="L85" s="3" t="str">
        <x:v>EXTENDED RANGE</x:v>
      </x:c>
      <x:c r="M85" s="22"/>
      <x:c r="N85" s="22" t="n">
        <x:v>60000</x:v>
      </x:c>
      <x:c r="O85" s="22" t="n">
        <x:v>65000</x:v>
      </x:c>
      <x:c r="P85" s="3" t="str">
        <x:v>50–100千km</x:v>
      </x:c>
      <x:c r="Q85" s="3" t="str">
        <x:v>Bangkok</x:v>
      </x:c>
      <x:c r="R85" s="3" t="str">
        <x:v>Bangkok metro</x:v>
      </x:c>
      <x:c r="S85" s="3" t="str">
        <x:v>AT</x:v>
      </x:c>
      <x:c r="T85" s="3" t="str">
        <x:v>世代不明</x:v>
      </x:c>
      <x:c r="U85" s="28" t="n">
        <x:v>439000</x:v>
      </x:c>
      <x:c r="V85" s="28"/>
      <x:c r="W85" s="3" t="str">
        <x:v>広告の申告のみ。事故・水没・SOH・保証残は未確認</x:v>
      </x:c>
      <x:c r="X85" s="3" t="str">
        <x:v>掲載中・在庫未確認</x:v>
      </x:c>
      <x:c r="Y85" s="3" t="str"/>
      <x:c r="Z85" s="27" t="str">
        <x:v>https://www.one2car.com/en/cars-for-sale/byd/dolphin</x:v>
      </x:c>
      <x:c r="AA85" s="3" t="str">
        <x:v>掲載リンク参照#189／見出し行1331（永続IDではない）</x:v>
      </x:c>
      <x:c r="AB85" s="3" t="str">
        <x:v>車台番号未取得／サイト間重複は未判定</x:v>
      </x:c>
      <x:c r="AC85" s="3" t="str">
        <x:v>税込区分未確認</x:v>
      </x:c>
      <x:c r="AD85" s="3" t="str">
        <x:v>DOL23_EXTENDED RANGE</x:v>
      </x:c>
      <x:c r="AE85" s="29" t="n">
        <x:f>'新車価格・特価'!K10</x:f>
        <x:v>859999</x:v>
      </x:c>
      <x:c r="AF85" s="30" t="n">
        <x:f>IF(ISNUMBER(AE85),U85/AE85,"")</x:f>
        <x:v>0.5104657098438486</x:v>
      </x:c>
      <x:c r="AG85" s="29" t="n">
        <x:f>'新車価格・特価'!N37</x:f>
        <x:v>599900</x:v>
      </x:c>
      <x:c r="AH85" s="30" t="n">
        <x:f>IF(ISNUMBER(AG85),U85/AG85,"")</x:f>
        <x:v>0.7317886314385731</x:v>
      </x:c>
      <x:c r="AI85" s="3" t="str">
        <x:v>当時公表小売価格の参考残価率。実購入額ではない。年式/登録年・仕様差に注意。</x:v>
      </x:c>
      <x:c r="AJ85" s="3" t="str">
        <x:v>走行/条件情報あり</x:v>
      </x:c>
      <x:c r="AK85" s="3" t="str">
        <x:v>取得した検索結果ページの掲載。サイトの並び順による選択偏りあり。</x:v>
      </x:c>
      <x:c r="AL85" s="31" t="n">
        <x:f>IF(AND(J85&lt;='分析方法'!$B$7,OR(ISBLANK(O85),O85&gt;='分析方法'!$B$8),X85&lt;&gt;"売却済み表示"),1,0)</x:f>
        <x:v>1</x:v>
      </x:c>
      <x:c r="AM85" s="32" t="n">
        <x:f>IF(AL85=1,U85,"")</x:f>
        <x:v>439000</x:v>
      </x:c>
      <x:c r="AN85" s="33" t="n">
        <x:f>IF(AL85=1,AF85,"")</x:f>
        <x:v>0.5104657098438486</x:v>
      </x:c>
      <x:c r="AO85" s="31" t="n">
        <x:f>'分析方法'!$B$6-J85</x:f>
        <x:v>3</x:v>
      </x:c>
      <x:c r="AP85" s="3"/>
    </x:row>
    <x:row r="86" ht="22" customHeight="1">
      <x:c r="A86" s="3" t="str">
        <x:v>O_dolphin_167</x:v>
      </x:c>
      <x:c r="B86" s="7" t="d">
        <x:v>2026-10-08T00:00:00.000Z</x:v>
      </x:c>
      <x:c r="C86" s="3" t="str">
        <x:v>One2car</x:v>
      </x:c>
      <x:c r="D86" s="3" t="str">
        <x:v>BYD</x:v>
      </x:c>
      <x:c r="E86" s="3" t="str">
        <x:v>中国</x:v>
      </x:c>
      <x:c r="F86" s="3" t="str">
        <x:v>DOLPHIN</x:v>
      </x:c>
      <x:c r="G86" s="3" t="str">
        <x:v>BEV</x:v>
      </x:c>
      <x:c r="H86" s="3" t="str">
        <x:v>Hatchback</x:v>
      </x:c>
      <x:c r="I86" s="3" t="str"/>
      <x:c r="J86" s="3" t="n">
        <x:v>2023</x:v>
      </x:c>
      <x:c r="K86" s="3" t="str">
        <x:v>Standard Range</x:v>
      </x:c>
      <x:c r="L86" s="3" t="str">
        <x:v>STANDARD RANGE</x:v>
      </x:c>
      <x:c r="M86" s="22"/>
      <x:c r="N86" s="22" t="n">
        <x:v>125000</x:v>
      </x:c>
      <x:c r="O86" s="22" t="n">
        <x:v>130000</x:v>
      </x:c>
      <x:c r="P86" s="3" t="str">
        <x:v>100–150千km</x:v>
      </x:c>
      <x:c r="Q86" s="3" t="str">
        <x:v>Bangkok</x:v>
      </x:c>
      <x:c r="R86" s="3" t="str">
        <x:v>Bangkok metro</x:v>
      </x:c>
      <x:c r="S86" s="3" t="str">
        <x:v>AT</x:v>
      </x:c>
      <x:c r="T86" s="3" t="str">
        <x:v>世代不明</x:v>
      </x:c>
      <x:c r="U86" s="28" t="n">
        <x:v>289000</x:v>
      </x:c>
      <x:c r="V86" s="28"/>
      <x:c r="W86" s="3" t="str">
        <x:v>広告の申告のみ。事故・水没・SOH・保証残は未確認</x:v>
      </x:c>
      <x:c r="X86" s="3" t="str">
        <x:v>掲載中・在庫未確認</x:v>
      </x:c>
      <x:c r="Y86" s="3" t="str"/>
      <x:c r="Z86" s="27" t="str">
        <x:v>https://www.one2car.com/en/cars-for-sale/byd/dolphin</x:v>
      </x:c>
      <x:c r="AA86" s="3" t="str">
        <x:v>掲載リンク参照#167／見出し行773（永続IDではない）</x:v>
      </x:c>
      <x:c r="AB86" s="3" t="str">
        <x:v>車台番号未取得／サイト間重複は未判定</x:v>
      </x:c>
      <x:c r="AC86" s="3" t="str">
        <x:v>税込区分未確認</x:v>
      </x:c>
      <x:c r="AD86" s="3" t="str">
        <x:v>DOL23_STANDARD RANGE</x:v>
      </x:c>
      <x:c r="AE86" s="29" t="n">
        <x:f>'新車価格・特価'!K9</x:f>
        <x:v>699999</x:v>
      </x:c>
      <x:c r="AF86" s="30" t="n">
        <x:f>IF(ISNUMBER(AE86),U86/AE86,"")</x:f>
        <x:v>0.4128577326539038</x:v>
      </x:c>
      <x:c r="AG86" s="29" t="n">
        <x:f>'新車価格・特価'!N36</x:f>
        <x:v>509900</x:v>
      </x:c>
      <x:c r="AH86" s="30" t="n">
        <x:f>IF(ISNUMBER(AG86),U86/AG86,"")</x:f>
        <x:v>0.5667777995685429</x:v>
      </x:c>
      <x:c r="AI86" s="3" t="str">
        <x:v>当時公表小売価格の参考残価率。実購入額ではない。年式/登録年・仕様差に注意。</x:v>
      </x:c>
      <x:c r="AJ86" s="3" t="str">
        <x:v>走行/条件情報あり</x:v>
      </x:c>
      <x:c r="AK86" s="3" t="str">
        <x:v>取得した検索結果ページの掲載。サイトの並び順による選択偏りあり。</x:v>
      </x:c>
      <x:c r="AL86" s="31" t="n">
        <x:f>IF(AND(J86&lt;='分析方法'!$B$7,OR(ISBLANK(O86),O86&gt;='分析方法'!$B$8),X86&lt;&gt;"売却済み表示"),1,0)</x:f>
        <x:v>1</x:v>
      </x:c>
      <x:c r="AM86" s="32" t="n">
        <x:f>IF(AL86=1,U86,"")</x:f>
        <x:v>289000</x:v>
      </x:c>
      <x:c r="AN86" s="33" t="n">
        <x:f>IF(AL86=1,AF86,"")</x:f>
        <x:v>0.4128577326539038</x:v>
      </x:c>
      <x:c r="AO86" s="31" t="n">
        <x:f>'分析方法'!$B$6-J86</x:f>
        <x:v>3</x:v>
      </x:c>
      <x:c r="AP86" s="3"/>
    </x:row>
    <x:row r="87" ht="22" customHeight="1">
      <x:c r="A87" s="3" t="str">
        <x:v>O_dolphin_165</x:v>
      </x:c>
      <x:c r="B87" s="7" t="d">
        <x:v>2026-10-08T00:00:00.000Z</x:v>
      </x:c>
      <x:c r="C87" s="3" t="str">
        <x:v>One2car</x:v>
      </x:c>
      <x:c r="D87" s="3" t="str">
        <x:v>BYD</x:v>
      </x:c>
      <x:c r="E87" s="3" t="str">
        <x:v>中国</x:v>
      </x:c>
      <x:c r="F87" s="3" t="str">
        <x:v>DOLPHIN</x:v>
      </x:c>
      <x:c r="G87" s="3" t="str">
        <x:v>BEV</x:v>
      </x:c>
      <x:c r="H87" s="3" t="str">
        <x:v>Hatchback</x:v>
      </x:c>
      <x:c r="I87" s="3" t="str"/>
      <x:c r="J87" s="3" t="n">
        <x:v>2023</x:v>
      </x:c>
      <x:c r="K87" s="3" t="str">
        <x:v>Standard Range</x:v>
      </x:c>
      <x:c r="L87" s="3" t="str">
        <x:v>STANDARD RANGE</x:v>
      </x:c>
      <x:c r="M87" s="22"/>
      <x:c r="N87" s="22" t="n">
        <x:v>105000</x:v>
      </x:c>
      <x:c r="O87" s="22" t="n">
        <x:v>110000</x:v>
      </x:c>
      <x:c r="P87" s="3" t="str">
        <x:v>100–150千km</x:v>
      </x:c>
      <x:c r="Q87" s="3" t="str">
        <x:v>Chaiyaphum</x:v>
      </x:c>
      <x:c r="R87" s="3" t="str">
        <x:v>Other province</x:v>
      </x:c>
      <x:c r="S87" s="3" t="str">
        <x:v>AT</x:v>
      </x:c>
      <x:c r="T87" s="3" t="str">
        <x:v>世代不明</x:v>
      </x:c>
      <x:c r="U87" s="28" t="n">
        <x:v>299000</x:v>
      </x:c>
      <x:c r="V87" s="28"/>
      <x:c r="W87" s="3" t="str">
        <x:v>広告の申告のみ。事故・水没・SOH・保証残は未確認</x:v>
      </x:c>
      <x:c r="X87" s="3" t="str">
        <x:v>掲載中・在庫未確認</x:v>
      </x:c>
      <x:c r="Y87" s="3" t="str"/>
      <x:c r="Z87" s="27" t="str">
        <x:v>https://www.one2car.com/en/cars-for-sale/byd/dolphin</x:v>
      </x:c>
      <x:c r="AA87" s="3" t="str">
        <x:v>掲載リンク参照#165／見出し行721（永続IDではない）</x:v>
      </x:c>
      <x:c r="AB87" s="3" t="str">
        <x:v>車台番号未取得／サイト間重複は未判定</x:v>
      </x:c>
      <x:c r="AC87" s="3" t="str">
        <x:v>税込区分未確認</x:v>
      </x:c>
      <x:c r="AD87" s="3" t="str">
        <x:v>DOL23_STANDARD RANGE</x:v>
      </x:c>
      <x:c r="AE87" s="29" t="n">
        <x:f>'新車価格・特価'!K9</x:f>
        <x:v>699999</x:v>
      </x:c>
      <x:c r="AF87" s="30" t="n">
        <x:f>IF(ISNUMBER(AE87),U87/AE87,"")</x:f>
        <x:v>0.4271434673478105</x:v>
      </x:c>
      <x:c r="AG87" s="29" t="n">
        <x:f>'新車価格・特価'!N36</x:f>
        <x:v>509900</x:v>
      </x:c>
      <x:c r="AH87" s="30" t="n">
        <x:f>IF(ISNUMBER(AG87),U87/AG87,"")</x:f>
        <x:v>0.5863894881349284</x:v>
      </x:c>
      <x:c r="AI87" s="3" t="str">
        <x:v>当時公表小売価格の参考残価率。実購入額ではない。年式/登録年・仕様差に注意。</x:v>
      </x:c>
      <x:c r="AJ87" s="3" t="str">
        <x:v>走行/条件情報あり</x:v>
      </x:c>
      <x:c r="AK87" s="3" t="str">
        <x:v>取得した検索結果ページの掲載。サイトの並び順による選択偏りあり。</x:v>
      </x:c>
      <x:c r="AL87" s="31" t="n">
        <x:f>IF(AND(J87&lt;='分析方法'!$B$7,OR(ISBLANK(O87),O87&gt;='分析方法'!$B$8),X87&lt;&gt;"売却済み表示"),1,0)</x:f>
        <x:v>1</x:v>
      </x:c>
      <x:c r="AM87" s="32" t="n">
        <x:f>IF(AL87=1,U87,"")</x:f>
        <x:v>299000</x:v>
      </x:c>
      <x:c r="AN87" s="33" t="n">
        <x:f>IF(AL87=1,AF87,"")</x:f>
        <x:v>0.4271434673478105</x:v>
      </x:c>
      <x:c r="AO87" s="31" t="n">
        <x:f>'分析方法'!$B$6-J87</x:f>
        <x:v>3</x:v>
      </x:c>
      <x:c r="AP87" s="3"/>
    </x:row>
    <x:row r="88" ht="22" customHeight="1">
      <x:c r="A88" s="3" t="str">
        <x:v>O_dolphin_166</x:v>
      </x:c>
      <x:c r="B88" s="7" t="d">
        <x:v>2026-10-08T00:00:00.000Z</x:v>
      </x:c>
      <x:c r="C88" s="3" t="str">
        <x:v>One2car</x:v>
      </x:c>
      <x:c r="D88" s="3" t="str">
        <x:v>BYD</x:v>
      </x:c>
      <x:c r="E88" s="3" t="str">
        <x:v>中国</x:v>
      </x:c>
      <x:c r="F88" s="3" t="str">
        <x:v>DOLPHIN</x:v>
      </x:c>
      <x:c r="G88" s="3" t="str">
        <x:v>BEV</x:v>
      </x:c>
      <x:c r="H88" s="3" t="str">
        <x:v>Hatchback</x:v>
      </x:c>
      <x:c r="I88" s="3" t="str"/>
      <x:c r="J88" s="3" t="n">
        <x:v>2023</x:v>
      </x:c>
      <x:c r="K88" s="3" t="str">
        <x:v>Standard Range</x:v>
      </x:c>
      <x:c r="L88" s="3" t="str">
        <x:v>STANDARD RANGE</x:v>
      </x:c>
      <x:c r="M88" s="22"/>
      <x:c r="N88" s="22" t="n">
        <x:v>100000</x:v>
      </x:c>
      <x:c r="O88" s="22" t="n">
        <x:v>105000</x:v>
      </x:c>
      <x:c r="P88" s="3" t="str">
        <x:v>100–150千km</x:v>
      </x:c>
      <x:c r="Q88" s="3" t="str">
        <x:v>Chon Buri</x:v>
      </x:c>
      <x:c r="R88" s="3" t="str">
        <x:v>Other province</x:v>
      </x:c>
      <x:c r="S88" s="3" t="str">
        <x:v>AT</x:v>
      </x:c>
      <x:c r="T88" s="3" t="str">
        <x:v>世代不明</x:v>
      </x:c>
      <x:c r="U88" s="28" t="n">
        <x:v>309000</x:v>
      </x:c>
      <x:c r="V88" s="28"/>
      <x:c r="W88" s="3" t="str">
        <x:v>広告の申告のみ。事故・水没・SOH・保証残は未確認</x:v>
      </x:c>
      <x:c r="X88" s="3" t="str">
        <x:v>掲載中・在庫未確認</x:v>
      </x:c>
      <x:c r="Y88" s="3" t="str"/>
      <x:c r="Z88" s="27" t="str">
        <x:v>https://www.one2car.com/en/cars-for-sale/byd/dolphin</x:v>
      </x:c>
      <x:c r="AA88" s="3" t="str">
        <x:v>掲載リンク参照#166／見出し行746（永続IDではない）</x:v>
      </x:c>
      <x:c r="AB88" s="3" t="str">
        <x:v>車台番号未取得／サイト間重複は未判定</x:v>
      </x:c>
      <x:c r="AC88" s="3" t="str">
        <x:v>税込区分未確認</x:v>
      </x:c>
      <x:c r="AD88" s="3" t="str">
        <x:v>DOL23_STANDARD RANGE</x:v>
      </x:c>
      <x:c r="AE88" s="29" t="n">
        <x:f>'新車価格・特価'!K9</x:f>
        <x:v>699999</x:v>
      </x:c>
      <x:c r="AF88" s="30" t="n">
        <x:f>IF(ISNUMBER(AE88),U88/AE88,"")</x:f>
        <x:v>0.4414292020417172</x:v>
      </x:c>
      <x:c r="AG88" s="29" t="n">
        <x:f>'新車価格・特価'!N36</x:f>
        <x:v>509900</x:v>
      </x:c>
      <x:c r="AH88" s="30" t="n">
        <x:f>IF(ISNUMBER(AG88),U88/AG88,"")</x:f>
        <x:v>0.606001176701314</x:v>
      </x:c>
      <x:c r="AI88" s="3" t="str">
        <x:v>当時公表小売価格の参考残価率。実購入額ではない。年式/登録年・仕様差に注意。</x:v>
      </x:c>
      <x:c r="AJ88" s="3" t="str">
        <x:v>走行/条件情報あり</x:v>
      </x:c>
      <x:c r="AK88" s="3" t="str">
        <x:v>取得した検索結果ページの掲載。サイトの並び順による選択偏りあり。</x:v>
      </x:c>
      <x:c r="AL88" s="31" t="n">
        <x:f>IF(AND(J88&lt;='分析方法'!$B$7,OR(ISBLANK(O88),O88&gt;='分析方法'!$B$8),X88&lt;&gt;"売却済み表示"),1,0)</x:f>
        <x:v>1</x:v>
      </x:c>
      <x:c r="AM88" s="32" t="n">
        <x:f>IF(AL88=1,U88,"")</x:f>
        <x:v>309000</x:v>
      </x:c>
      <x:c r="AN88" s="33" t="n">
        <x:f>IF(AL88=1,AF88,"")</x:f>
        <x:v>0.4414292020417172</x:v>
      </x:c>
      <x:c r="AO88" s="31" t="n">
        <x:f>'分析方法'!$B$6-J88</x:f>
        <x:v>3</x:v>
      </x:c>
      <x:c r="AP88" s="3"/>
    </x:row>
    <x:row r="89" ht="22" customHeight="1">
      <x:c r="A89" s="3" t="str">
        <x:v>O_dolphin_181</x:v>
      </x:c>
      <x:c r="B89" s="7" t="d">
        <x:v>2026-10-08T00:00:00.000Z</x:v>
      </x:c>
      <x:c r="C89" s="3" t="str">
        <x:v>One2car</x:v>
      </x:c>
      <x:c r="D89" s="3" t="str">
        <x:v>BYD</x:v>
      </x:c>
      <x:c r="E89" s="3" t="str">
        <x:v>中国</x:v>
      </x:c>
      <x:c r="F89" s="3" t="str">
        <x:v>DOLPHIN</x:v>
      </x:c>
      <x:c r="G89" s="3" t="str">
        <x:v>BEV</x:v>
      </x:c>
      <x:c r="H89" s="3" t="str">
        <x:v>Hatchback</x:v>
      </x:c>
      <x:c r="I89" s="3" t="str"/>
      <x:c r="J89" s="3" t="n">
        <x:v>2023</x:v>
      </x:c>
      <x:c r="K89" s="3" t="str">
        <x:v>Standard Range</x:v>
      </x:c>
      <x:c r="L89" s="3" t="str">
        <x:v>STANDARD RANGE</x:v>
      </x:c>
      <x:c r="M89" s="22"/>
      <x:c r="N89" s="22" t="n">
        <x:v>55000</x:v>
      </x:c>
      <x:c r="O89" s="22" t="n">
        <x:v>60000</x:v>
      </x:c>
      <x:c r="P89" s="3" t="str">
        <x:v>50–100千km</x:v>
      </x:c>
      <x:c r="Q89" s="3" t="str">
        <x:v>Bangkok</x:v>
      </x:c>
      <x:c r="R89" s="3" t="str">
        <x:v>Bangkok metro</x:v>
      </x:c>
      <x:c r="S89" s="3" t="str">
        <x:v>AT</x:v>
      </x:c>
      <x:c r="T89" s="3" t="str">
        <x:v>世代不明</x:v>
      </x:c>
      <x:c r="U89" s="28" t="n">
        <x:v>319000</x:v>
      </x:c>
      <x:c r="V89" s="28"/>
      <x:c r="W89" s="3" t="str">
        <x:v>広告の申告のみ。事故・水没・SOH・保証残は未確認</x:v>
      </x:c>
      <x:c r="X89" s="3" t="str">
        <x:v>掲載中・在庫未確認</x:v>
      </x:c>
      <x:c r="Y89" s="3" t="str"/>
      <x:c r="Z89" s="27" t="str">
        <x:v>https://www.one2car.com/en/cars-for-sale/byd/dolphin</x:v>
      </x:c>
      <x:c r="AA89" s="3" t="str">
        <x:v>掲載リンク参照#181／見出し行1078（永続IDではない）</x:v>
      </x:c>
      <x:c r="AB89" s="3" t="str">
        <x:v>車台番号未取得／サイト間重複は未判定</x:v>
      </x:c>
      <x:c r="AC89" s="3" t="str">
        <x:v>税込区分未確認</x:v>
      </x:c>
      <x:c r="AD89" s="3" t="str">
        <x:v>DOL23_STANDARD RANGE</x:v>
      </x:c>
      <x:c r="AE89" s="29" t="n">
        <x:f>'新車価格・特価'!K9</x:f>
        <x:v>699999</x:v>
      </x:c>
      <x:c r="AF89" s="30" t="n">
        <x:f>IF(ISNUMBER(AE89),U89/AE89,"")</x:f>
        <x:v>0.4557149367356239</x:v>
      </x:c>
      <x:c r="AG89" s="29" t="n">
        <x:f>'新車価格・特価'!N36</x:f>
        <x:v>509900</x:v>
      </x:c>
      <x:c r="AH89" s="30" t="n">
        <x:f>IF(ISNUMBER(AG89),U89/AG89,"")</x:f>
        <x:v>0.6256128652676995</x:v>
      </x:c>
      <x:c r="AI89" s="3" t="str">
        <x:v>当時公表小売価格の参考残価率。実購入額ではない。年式/登録年・仕様差に注意。</x:v>
      </x:c>
      <x:c r="AJ89" s="3" t="str">
        <x:v>走行/条件情報あり</x:v>
      </x:c>
      <x:c r="AK89" s="3" t="str">
        <x:v>取得した検索結果ページの掲載。サイトの並び順による選択偏りあり。</x:v>
      </x:c>
      <x:c r="AL89" s="31" t="n">
        <x:f>IF(AND(J89&lt;='分析方法'!$B$7,OR(ISBLANK(O89),O89&gt;='分析方法'!$B$8),X89&lt;&gt;"売却済み表示"),1,0)</x:f>
        <x:v>1</x:v>
      </x:c>
      <x:c r="AM89" s="32" t="n">
        <x:f>IF(AL89=1,U89,"")</x:f>
        <x:v>319000</x:v>
      </x:c>
      <x:c r="AN89" s="33" t="n">
        <x:f>IF(AL89=1,AF89,"")</x:f>
        <x:v>0.4557149367356239</x:v>
      </x:c>
      <x:c r="AO89" s="31" t="n">
        <x:f>'分析方法'!$B$6-J89</x:f>
        <x:v>3</x:v>
      </x:c>
      <x:c r="AP89" s="3"/>
    </x:row>
    <x:row r="90" ht="22" customHeight="1">
      <x:c r="A90" s="3" t="str">
        <x:v>O_dolphin_179</x:v>
      </x:c>
      <x:c r="B90" s="7" t="d">
        <x:v>2026-10-08T00:00:00.000Z</x:v>
      </x:c>
      <x:c r="C90" s="3" t="str">
        <x:v>One2car</x:v>
      </x:c>
      <x:c r="D90" s="3" t="str">
        <x:v>BYD</x:v>
      </x:c>
      <x:c r="E90" s="3" t="str">
        <x:v>中国</x:v>
      </x:c>
      <x:c r="F90" s="3" t="str">
        <x:v>DOLPHIN</x:v>
      </x:c>
      <x:c r="G90" s="3" t="str">
        <x:v>BEV</x:v>
      </x:c>
      <x:c r="H90" s="3" t="str">
        <x:v>Hatchback</x:v>
      </x:c>
      <x:c r="I90" s="3" t="str"/>
      <x:c r="J90" s="3" t="n">
        <x:v>2023</x:v>
      </x:c>
      <x:c r="K90" s="3" t="str">
        <x:v>Standard Range</x:v>
      </x:c>
      <x:c r="L90" s="3" t="str">
        <x:v>STANDARD RANGE</x:v>
      </x:c>
      <x:c r="M90" s="22"/>
      <x:c r="N90" s="22" t="n">
        <x:v>60000</x:v>
      </x:c>
      <x:c r="O90" s="22" t="n">
        <x:v>65000</x:v>
      </x:c>
      <x:c r="P90" s="3" t="str">
        <x:v>50–100千km</x:v>
      </x:c>
      <x:c r="Q90" s="3" t="str">
        <x:v>Pathum Thani</x:v>
      </x:c>
      <x:c r="R90" s="3" t="str">
        <x:v>Bangkok metro</x:v>
      </x:c>
      <x:c r="S90" s="3" t="str">
        <x:v>AT</x:v>
      </x:c>
      <x:c r="T90" s="3" t="str">
        <x:v>世代不明</x:v>
      </x:c>
      <x:c r="U90" s="28" t="n">
        <x:v>346500</x:v>
      </x:c>
      <x:c r="V90" s="28"/>
      <x:c r="W90" s="3" t="str">
        <x:v>広告の申告のみ。事故・水没・SOH・保証残は未確認</x:v>
      </x:c>
      <x:c r="X90" s="3" t="str">
        <x:v>掲載中・在庫未確認</x:v>
      </x:c>
      <x:c r="Y90" s="3" t="str"/>
      <x:c r="Z90" s="27" t="str">
        <x:v>https://www.one2car.com/en/cars-for-sale/byd/dolphin</x:v>
      </x:c>
      <x:c r="AA90" s="3" t="str">
        <x:v>掲載リンク参照#179／見出し行1017（永続IDではない）</x:v>
      </x:c>
      <x:c r="AB90" s="3" t="str">
        <x:v>車台番号未取得／サイト間重複は未判定</x:v>
      </x:c>
      <x:c r="AC90" s="3" t="str">
        <x:v>税込区分未確認</x:v>
      </x:c>
      <x:c r="AD90" s="3" t="str">
        <x:v>DOL23_STANDARD RANGE</x:v>
      </x:c>
      <x:c r="AE90" s="29" t="n">
        <x:f>'新車価格・特価'!K9</x:f>
        <x:v>699999</x:v>
      </x:c>
      <x:c r="AF90" s="30" t="n">
        <x:f>IF(ISNUMBER(AE90),U90/AE90,"")</x:f>
        <x:v>0.49500070714386735</x:v>
      </x:c>
      <x:c r="AG90" s="29" t="n">
        <x:f>'新車価格・特価'!N36</x:f>
        <x:v>509900</x:v>
      </x:c>
      <x:c r="AH90" s="30" t="n">
        <x:f>IF(ISNUMBER(AG90),U90/AG90,"")</x:f>
        <x:v>0.6795450088252598</x:v>
      </x:c>
      <x:c r="AI90" s="3" t="str">
        <x:v>当時公表小売価格の参考残価率。実購入額ではない。年式/登録年・仕様差に注意。</x:v>
      </x:c>
      <x:c r="AJ90" s="3" t="str">
        <x:v>走行/条件情報あり</x:v>
      </x:c>
      <x:c r="AK90" s="3" t="str">
        <x:v>取得した検索結果ページの掲載。サイトの並び順による選択偏りあり。</x:v>
      </x:c>
      <x:c r="AL90" s="31" t="n">
        <x:f>IF(AND(J90&lt;='分析方法'!$B$7,OR(ISBLANK(O90),O90&gt;='分析方法'!$B$8),X90&lt;&gt;"売却済み表示"),1,0)</x:f>
        <x:v>1</x:v>
      </x:c>
      <x:c r="AM90" s="32" t="n">
        <x:f>IF(AL90=1,U90,"")</x:f>
        <x:v>346500</x:v>
      </x:c>
      <x:c r="AN90" s="33" t="n">
        <x:f>IF(AL90=1,AF90,"")</x:f>
        <x:v>0.49500070714386735</x:v>
      </x:c>
      <x:c r="AO90" s="31" t="n">
        <x:f>'分析方法'!$B$6-J90</x:f>
        <x:v>3</x:v>
      </x:c>
      <x:c r="AP90" s="3"/>
    </x:row>
    <x:row r="91" ht="22" customHeight="1">
      <x:c r="A91" s="3" t="str">
        <x:v>O_dolphin_177</x:v>
      </x:c>
      <x:c r="B91" s="7" t="d">
        <x:v>2026-10-08T00:00:00.000Z</x:v>
      </x:c>
      <x:c r="C91" s="3" t="str">
        <x:v>One2car</x:v>
      </x:c>
      <x:c r="D91" s="3" t="str">
        <x:v>BYD</x:v>
      </x:c>
      <x:c r="E91" s="3" t="str">
        <x:v>中国</x:v>
      </x:c>
      <x:c r="F91" s="3" t="str">
        <x:v>DOLPHIN</x:v>
      </x:c>
      <x:c r="G91" s="3" t="str">
        <x:v>BEV</x:v>
      </x:c>
      <x:c r="H91" s="3" t="str">
        <x:v>Hatchback</x:v>
      </x:c>
      <x:c r="I91" s="3" t="str"/>
      <x:c r="J91" s="3" t="n">
        <x:v>2023</x:v>
      </x:c>
      <x:c r="K91" s="3" t="str">
        <x:v>Standard Range</x:v>
      </x:c>
      <x:c r="L91" s="3" t="str">
        <x:v>STANDARD RANGE</x:v>
      </x:c>
      <x:c r="M91" s="22"/>
      <x:c r="N91" s="22" t="n">
        <x:v>75000</x:v>
      </x:c>
      <x:c r="O91" s="22" t="n">
        <x:v>80000</x:v>
      </x:c>
      <x:c r="P91" s="3" t="str">
        <x:v>50–100千km</x:v>
      </x:c>
      <x:c r="Q91" s="3" t="str">
        <x:v>Samut Prakan</x:v>
      </x:c>
      <x:c r="R91" s="3" t="str">
        <x:v>Bangkok metro</x:v>
      </x:c>
      <x:c r="S91" s="3" t="str">
        <x:v>AT</x:v>
      </x:c>
      <x:c r="T91" s="3" t="str">
        <x:v>世代不明</x:v>
      </x:c>
      <x:c r="U91" s="28" t="n">
        <x:v>345000</x:v>
      </x:c>
      <x:c r="V91" s="28"/>
      <x:c r="W91" s="3" t="str">
        <x:v>広告の申告のみ。事故・水没・SOH・保証残は未確認</x:v>
      </x:c>
      <x:c r="X91" s="3" t="str">
        <x:v>掲載中・在庫未確認</x:v>
      </x:c>
      <x:c r="Y91" s="3" t="str"/>
      <x:c r="Z91" s="27" t="str">
        <x:v>https://www.one2car.com/en/cars-for-sale/byd/dolphin</x:v>
      </x:c>
      <x:c r="AA91" s="3" t="str">
        <x:v>掲載リンク参照#177／見出し行956（永続IDではない）</x:v>
      </x:c>
      <x:c r="AB91" s="3" t="str">
        <x:v>車台番号未取得／サイト間重複は未判定</x:v>
      </x:c>
      <x:c r="AC91" s="3" t="str">
        <x:v>税込区分未確認</x:v>
      </x:c>
      <x:c r="AD91" s="3" t="str">
        <x:v>DOL23_STANDARD RANGE</x:v>
      </x:c>
      <x:c r="AE91" s="29" t="n">
        <x:f>'新車価格・特価'!K9</x:f>
        <x:v>699999</x:v>
      </x:c>
      <x:c r="AF91" s="30" t="n">
        <x:f>IF(ISNUMBER(AE91),U91/AE91,"")</x:f>
        <x:v>0.49285784693978135</x:v>
      </x:c>
      <x:c r="AG91" s="29" t="n">
        <x:f>'新車価格・特価'!N36</x:f>
        <x:v>509900</x:v>
      </x:c>
      <x:c r="AH91" s="30" t="n">
        <x:f>IF(ISNUMBER(AG91),U91/AG91,"")</x:f>
        <x:v>0.676603255540302</x:v>
      </x:c>
      <x:c r="AI91" s="3" t="str">
        <x:v>当時公表小売価格の参考残価率。実購入額ではない。年式/登録年・仕様差に注意。</x:v>
      </x:c>
      <x:c r="AJ91" s="3" t="str">
        <x:v>走行/条件情報あり</x:v>
      </x:c>
      <x:c r="AK91" s="3" t="str">
        <x:v>取得した検索結果ページの掲載。サイトの並び順による選択偏りあり。</x:v>
      </x:c>
      <x:c r="AL91" s="31" t="n">
        <x:f>IF(AND(J91&lt;='分析方法'!$B$7,OR(ISBLANK(O91),O91&gt;='分析方法'!$B$8),X91&lt;&gt;"売却済み表示"),1,0)</x:f>
        <x:v>1</x:v>
      </x:c>
      <x:c r="AM91" s="32" t="n">
        <x:f>IF(AL91=1,U91,"")</x:f>
        <x:v>345000</x:v>
      </x:c>
      <x:c r="AN91" s="33" t="n">
        <x:f>IF(AL91=1,AF91,"")</x:f>
        <x:v>0.49285784693978135</x:v>
      </x:c>
      <x:c r="AO91" s="31" t="n">
        <x:f>'分析方法'!$B$6-J91</x:f>
        <x:v>3</x:v>
      </x:c>
      <x:c r="AP91" s="3"/>
    </x:row>
    <x:row r="92" ht="22" customHeight="1">
      <x:c r="A92" s="3" t="str">
        <x:v>O_dolphin_168</x:v>
      </x:c>
      <x:c r="B92" s="7" t="d">
        <x:v>2026-10-08T00:00:00.000Z</x:v>
      </x:c>
      <x:c r="C92" s="3" t="str">
        <x:v>One2car</x:v>
      </x:c>
      <x:c r="D92" s="3" t="str">
        <x:v>BYD</x:v>
      </x:c>
      <x:c r="E92" s="3" t="str">
        <x:v>中国</x:v>
      </x:c>
      <x:c r="F92" s="3" t="str">
        <x:v>DOLPHIN</x:v>
      </x:c>
      <x:c r="G92" s="3" t="str">
        <x:v>BEV</x:v>
      </x:c>
      <x:c r="H92" s="3" t="str">
        <x:v>Hatchback</x:v>
      </x:c>
      <x:c r="I92" s="3" t="str"/>
      <x:c r="J92" s="3" t="n">
        <x:v>2024</x:v>
      </x:c>
      <x:c r="K92" s="3" t="str">
        <x:v>Extended Range</x:v>
      </x:c>
      <x:c r="L92" s="3" t="str">
        <x:v>EXTENDED RANGE</x:v>
      </x:c>
      <x:c r="M92" s="22" t="n">
        <x:v>97000</x:v>
      </x:c>
      <x:c r="N92" s="22" t="n">
        <x:v>97000</x:v>
      </x:c>
      <x:c r="O92" s="22" t="n">
        <x:v>97000</x:v>
      </x:c>
      <x:c r="P92" s="3" t="str">
        <x:v>50–100千km</x:v>
      </x:c>
      <x:c r="Q92" s="3" t="str">
        <x:v>Bangkok</x:v>
      </x:c>
      <x:c r="R92" s="3" t="str">
        <x:v>Bangkok metro</x:v>
      </x:c>
      <x:c r="S92" s="3" t="str">
        <x:v>AT</x:v>
      </x:c>
      <x:c r="T92" s="3" t="str">
        <x:v>世代不明</x:v>
      </x:c>
      <x:c r="U92" s="28" t="n">
        <x:v>369000</x:v>
      </x:c>
      <x:c r="V92" s="28"/>
      <x:c r="W92" s="3" t="str">
        <x:v>広告の申告のみ。事故・水没・SOH・保証残は未確認</x:v>
      </x:c>
      <x:c r="X92" s="3" t="str">
        <x:v>掲載中・在庫未確認</x:v>
      </x:c>
      <x:c r="Y92" s="3" t="str"/>
      <x:c r="Z92" s="27" t="str">
        <x:v>https://www.one2car.com/en/cars-for-sale/byd/dolphin</x:v>
      </x:c>
      <x:c r="AA92" s="3" t="str">
        <x:v>掲載リンク参照#168／見出し行802（永続IDではない）</x:v>
      </x:c>
      <x:c r="AB92" s="3" t="str">
        <x:v>車台番号未取得／サイト間重複は未判定</x:v>
      </x:c>
      <x:c r="AC92" s="3" t="str">
        <x:v>税込区分未確認</x:v>
      </x:c>
      <x:c r="AD92" s="3" t="str"/>
      <x:c r="AE92" s="29" t="str">
        <x:f>""</x:f>
      </x:c>
      <x:c r="AF92" s="30" t="str">
        <x:f>IF(ISNUMBER(AE92),U92/AE92,"")</x:f>
      </x:c>
      <x:c r="AG92" s="29" t="n">
        <x:f>'新車価格・特価'!N37</x:f>
        <x:v>599900</x:v>
      </x:c>
      <x:c r="AH92" s="30" t="n">
        <x:f>IF(ISNUMBER(AG92),U92/AG92,"")</x:f>
        <x:v>0.615102517086181</x:v>
      </x:c>
      <x:c r="AI92" s="3" t="str">
        <x:v>同年式・グレードの検証済み当時価格なし／登録年混在</x:v>
      </x:c>
      <x:c r="AJ92" s="3" t="str">
        <x:v>走行/条件情報あり</x:v>
      </x:c>
      <x:c r="AK92" s="3" t="str">
        <x:v>取得した検索結果ページの掲載。サイトの並び順による選択偏りあり。</x:v>
      </x:c>
      <x:c r="AL92" s="31" t="n">
        <x:f>IF(AND(J92&lt;='分析方法'!$B$7,OR(ISBLANK(O92),O92&gt;='分析方法'!$B$8),X92&lt;&gt;"売却済み表示"),1,0)</x:f>
        <x:v>1</x:v>
      </x:c>
      <x:c r="AM92" s="32" t="n">
        <x:f>IF(AL92=1,U92,"")</x:f>
        <x:v>369000</x:v>
      </x:c>
      <x:c r="AN92" s="33" t="str">
        <x:f>IF(AL92=1,AF92,"")</x:f>
      </x:c>
      <x:c r="AO92" s="31" t="n">
        <x:f>'分析方法'!$B$6-J92</x:f>
        <x:v>2</x:v>
      </x:c>
      <x:c r="AP92" s="3"/>
    </x:row>
    <x:row r="93" ht="22" customHeight="1">
      <x:c r="A93" s="3" t="str">
        <x:v>O_dolphin_178</x:v>
      </x:c>
      <x:c r="B93" s="7" t="d">
        <x:v>2026-10-08T00:00:00.000Z</x:v>
      </x:c>
      <x:c r="C93" s="3" t="str">
        <x:v>One2car</x:v>
      </x:c>
      <x:c r="D93" s="3" t="str">
        <x:v>BYD</x:v>
      </x:c>
      <x:c r="E93" s="3" t="str">
        <x:v>中国</x:v>
      </x:c>
      <x:c r="F93" s="3" t="str">
        <x:v>DOLPHIN</x:v>
      </x:c>
      <x:c r="G93" s="3" t="str">
        <x:v>BEV</x:v>
      </x:c>
      <x:c r="H93" s="3" t="str">
        <x:v>Hatchback</x:v>
      </x:c>
      <x:c r="I93" s="3" t="str"/>
      <x:c r="J93" s="3" t="n">
        <x:v>2024</x:v>
      </x:c>
      <x:c r="K93" s="3" t="str">
        <x:v>Extended Range</x:v>
      </x:c>
      <x:c r="L93" s="3" t="str">
        <x:v>EXTENDED RANGE</x:v>
      </x:c>
      <x:c r="M93" s="22"/>
      <x:c r="N93" s="22" t="n">
        <x:v>95000</x:v>
      </x:c>
      <x:c r="O93" s="22" t="n">
        <x:v>100000</x:v>
      </x:c>
      <x:c r="P93" s="3" t="str">
        <x:v>50–100千km</x:v>
      </x:c>
      <x:c r="Q93" s="3" t="str">
        <x:v>Bangkok</x:v>
      </x:c>
      <x:c r="R93" s="3" t="str">
        <x:v>Bangkok metro</x:v>
      </x:c>
      <x:c r="S93" s="3" t="str">
        <x:v>AT</x:v>
      </x:c>
      <x:c r="T93" s="3" t="str">
        <x:v>世代不明</x:v>
      </x:c>
      <x:c r="U93" s="28" t="n">
        <x:v>359000</x:v>
      </x:c>
      <x:c r="V93" s="28"/>
      <x:c r="W93" s="3" t="str">
        <x:v>広告の申告のみ。事故・水没・SOH・保証残は未確認</x:v>
      </x:c>
      <x:c r="X93" s="3" t="str">
        <x:v>掲載中・在庫未確認</x:v>
      </x:c>
      <x:c r="Y93" s="3" t="str"/>
      <x:c r="Z93" s="27" t="str">
        <x:v>https://www.one2car.com/en/cars-for-sale/byd/dolphin</x:v>
      </x:c>
      <x:c r="AA93" s="3" t="str">
        <x:v>掲載リンク参照#178／見出し行985（永続IDではない）</x:v>
      </x:c>
      <x:c r="AB93" s="3" t="str">
        <x:v>車台番号未取得／サイト間重複は未判定</x:v>
      </x:c>
      <x:c r="AC93" s="3" t="str">
        <x:v>税込区分未確認</x:v>
      </x:c>
      <x:c r="AD93" s="3" t="str"/>
      <x:c r="AE93" s="29" t="str">
        <x:f>""</x:f>
      </x:c>
      <x:c r="AF93" s="30" t="str">
        <x:f>IF(ISNUMBER(AE93),U93/AE93,"")</x:f>
      </x:c>
      <x:c r="AG93" s="29" t="n">
        <x:f>'新車価格・特価'!N37</x:f>
        <x:v>599900</x:v>
      </x:c>
      <x:c r="AH93" s="30" t="n">
        <x:f>IF(ISNUMBER(AG93),U93/AG93,"")</x:f>
        <x:v>0.5984330721786965</x:v>
      </x:c>
      <x:c r="AI93" s="3" t="str">
        <x:v>同年式・グレードの検証済み当時価格なし／登録年混在</x:v>
      </x:c>
      <x:c r="AJ93" s="3" t="str">
        <x:v>走行/条件情報あり</x:v>
      </x:c>
      <x:c r="AK93" s="3" t="str">
        <x:v>取得した検索結果ページの掲載。サイトの並び順による選択偏りあり。</x:v>
      </x:c>
      <x:c r="AL93" s="31" t="n">
        <x:f>IF(AND(J93&lt;='分析方法'!$B$7,OR(ISBLANK(O93),O93&gt;='分析方法'!$B$8),X93&lt;&gt;"売却済み表示"),1,0)</x:f>
        <x:v>1</x:v>
      </x:c>
      <x:c r="AM93" s="32" t="n">
        <x:f>IF(AL93=1,U93,"")</x:f>
        <x:v>359000</x:v>
      </x:c>
      <x:c r="AN93" s="33" t="str">
        <x:f>IF(AL93=1,AF93,"")</x:f>
      </x:c>
      <x:c r="AO93" s="31" t="n">
        <x:f>'分析方法'!$B$6-J93</x:f>
        <x:v>2</x:v>
      </x:c>
      <x:c r="AP93" s="3"/>
    </x:row>
    <x:row r="94" ht="22" customHeight="1">
      <x:c r="A94" s="3" t="str">
        <x:v>O_dolphin_184</x:v>
      </x:c>
      <x:c r="B94" s="7" t="d">
        <x:v>2026-10-08T00:00:00.000Z</x:v>
      </x:c>
      <x:c r="C94" s="3" t="str">
        <x:v>One2car</x:v>
      </x:c>
      <x:c r="D94" s="3" t="str">
        <x:v>BYD</x:v>
      </x:c>
      <x:c r="E94" s="3" t="str">
        <x:v>中国</x:v>
      </x:c>
      <x:c r="F94" s="3" t="str">
        <x:v>DOLPHIN</x:v>
      </x:c>
      <x:c r="G94" s="3" t="str">
        <x:v>BEV</x:v>
      </x:c>
      <x:c r="H94" s="3" t="str">
        <x:v>Hatchback</x:v>
      </x:c>
      <x:c r="I94" s="3" t="str"/>
      <x:c r="J94" s="3" t="n">
        <x:v>2024</x:v>
      </x:c>
      <x:c r="K94" s="3" t="str">
        <x:v>Extended Range</x:v>
      </x:c>
      <x:c r="L94" s="3" t="str">
        <x:v>EXTENDED RANGE</x:v>
      </x:c>
      <x:c r="M94" s="22" t="n">
        <x:v>59386</x:v>
      </x:c>
      <x:c r="N94" s="22" t="n">
        <x:v>59386</x:v>
      </x:c>
      <x:c r="O94" s="22" t="n">
        <x:v>59386</x:v>
      </x:c>
      <x:c r="P94" s="3" t="str">
        <x:v>50–100千km</x:v>
      </x:c>
      <x:c r="Q94" s="3" t="str">
        <x:v>Bangkok</x:v>
      </x:c>
      <x:c r="R94" s="3" t="str">
        <x:v>Bangkok metro</x:v>
      </x:c>
      <x:c r="S94" s="3" t="str">
        <x:v>AT</x:v>
      </x:c>
      <x:c r="T94" s="3" t="str">
        <x:v>世代不明</x:v>
      </x:c>
      <x:c r="U94" s="28" t="n">
        <x:v>455000</x:v>
      </x:c>
      <x:c r="V94" s="28"/>
      <x:c r="W94" s="3" t="str">
        <x:v>広告の申告のみ。事故・水没・SOH・保証残は未確認</x:v>
      </x:c>
      <x:c r="X94" s="3" t="str">
        <x:v>掲載中・在庫未確認</x:v>
      </x:c>
      <x:c r="Y94" s="3" t="str"/>
      <x:c r="Z94" s="27" t="str">
        <x:v>https://www.one2car.com/en/cars-for-sale/byd/dolphin</x:v>
      </x:c>
      <x:c r="AA94" s="3" t="str">
        <x:v>掲載リンク参照#184／見出し行1174（永続IDではない）</x:v>
      </x:c>
      <x:c r="AB94" s="3" t="str">
        <x:v>車台番号未取得／サイト間重複は未判定</x:v>
      </x:c>
      <x:c r="AC94" s="3" t="str">
        <x:v>税込区分未確認</x:v>
      </x:c>
      <x:c r="AD94" s="3" t="str"/>
      <x:c r="AE94" s="29" t="str">
        <x:f>""</x:f>
      </x:c>
      <x:c r="AF94" s="30" t="str">
        <x:f>IF(ISNUMBER(AE94),U94/AE94,"")</x:f>
      </x:c>
      <x:c r="AG94" s="29" t="n">
        <x:f>'新車価格・特価'!N37</x:f>
        <x:v>599900</x:v>
      </x:c>
      <x:c r="AH94" s="30" t="n">
        <x:f>IF(ISNUMBER(AG94),U94/AG94,"")</x:f>
        <x:v>0.7584597432905484</x:v>
      </x:c>
      <x:c r="AI94" s="3" t="str">
        <x:v>同年式・グレードの検証済み当時価格なし／登録年混在</x:v>
      </x:c>
      <x:c r="AJ94" s="3" t="str">
        <x:v>走行/条件情報あり</x:v>
      </x:c>
      <x:c r="AK94" s="3" t="str">
        <x:v>取得した検索結果ページの掲載。サイトの並び順による選択偏りあり。</x:v>
      </x:c>
      <x:c r="AL94" s="31" t="n">
        <x:f>IF(AND(J94&lt;='分析方法'!$B$7,OR(ISBLANK(O94),O94&gt;='分析方法'!$B$8),X94&lt;&gt;"売却済み表示"),1,0)</x:f>
        <x:v>1</x:v>
      </x:c>
      <x:c r="AM94" s="32" t="n">
        <x:f>IF(AL94=1,U94,"")</x:f>
        <x:v>455000</x:v>
      </x:c>
      <x:c r="AN94" s="33" t="str">
        <x:f>IF(AL94=1,AF94,"")</x:f>
      </x:c>
      <x:c r="AO94" s="31" t="n">
        <x:f>'分析方法'!$B$6-J94</x:f>
        <x:v>2</x:v>
      </x:c>
      <x:c r="AP94" s="3"/>
    </x:row>
    <x:row r="95" ht="22" customHeight="1">
      <x:c r="A95" s="3" t="str">
        <x:v>O_dolphin_185</x:v>
      </x:c>
      <x:c r="B95" s="7" t="d">
        <x:v>2026-10-08T00:00:00.000Z</x:v>
      </x:c>
      <x:c r="C95" s="3" t="str">
        <x:v>One2car</x:v>
      </x:c>
      <x:c r="D95" s="3" t="str">
        <x:v>BYD</x:v>
      </x:c>
      <x:c r="E95" s="3" t="str">
        <x:v>中国</x:v>
      </x:c>
      <x:c r="F95" s="3" t="str">
        <x:v>DOLPHIN</x:v>
      </x:c>
      <x:c r="G95" s="3" t="str">
        <x:v>BEV</x:v>
      </x:c>
      <x:c r="H95" s="3" t="str">
        <x:v>Hatchback</x:v>
      </x:c>
      <x:c r="I95" s="3" t="str"/>
      <x:c r="J95" s="3" t="n">
        <x:v>2024</x:v>
      </x:c>
      <x:c r="K95" s="3" t="str">
        <x:v>Extended Range</x:v>
      </x:c>
      <x:c r="L95" s="3" t="str">
        <x:v>EXTENDED RANGE</x:v>
      </x:c>
      <x:c r="M95" s="22"/>
      <x:c r="N95" s="22" t="n">
        <x:v>85000</x:v>
      </x:c>
      <x:c r="O95" s="22" t="n">
        <x:v>90000</x:v>
      </x:c>
      <x:c r="P95" s="3" t="str">
        <x:v>50–100千km</x:v>
      </x:c>
      <x:c r="Q95" s="3" t="str">
        <x:v>Nonthaburi</x:v>
      </x:c>
      <x:c r="R95" s="3" t="str">
        <x:v>Bangkok metro</x:v>
      </x:c>
      <x:c r="S95" s="3" t="str">
        <x:v>AT</x:v>
      </x:c>
      <x:c r="T95" s="3" t="str">
        <x:v>世代不明</x:v>
      </x:c>
      <x:c r="U95" s="28" t="n">
        <x:v>447000</x:v>
      </x:c>
      <x:c r="V95" s="28"/>
      <x:c r="W95" s="3" t="str">
        <x:v>広告の申告のみ。事故・水没・SOH・保証残は未確認</x:v>
      </x:c>
      <x:c r="X95" s="3" t="str">
        <x:v>掲載中・在庫未確認</x:v>
      </x:c>
      <x:c r="Y95" s="3" t="str"/>
      <x:c r="Z95" s="27" t="str">
        <x:v>https://www.one2car.com/en/cars-for-sale/byd/dolphin</x:v>
      </x:c>
      <x:c r="AA95" s="3" t="str">
        <x:v>掲載リンク参照#185／見出し行1203（永続IDではない）</x:v>
      </x:c>
      <x:c r="AB95" s="3" t="str">
        <x:v>車台番号未取得／サイト間重複は未判定</x:v>
      </x:c>
      <x:c r="AC95" s="3" t="str">
        <x:v>税込区分未確認</x:v>
      </x:c>
      <x:c r="AD95" s="3" t="str"/>
      <x:c r="AE95" s="29" t="str">
        <x:f>""</x:f>
      </x:c>
      <x:c r="AF95" s="30" t="str">
        <x:f>IF(ISNUMBER(AE95),U95/AE95,"")</x:f>
      </x:c>
      <x:c r="AG95" s="29" t="n">
        <x:f>'新車価格・特価'!N37</x:f>
        <x:v>599900</x:v>
      </x:c>
      <x:c r="AH95" s="30" t="n">
        <x:f>IF(ISNUMBER(AG95),U95/AG95,"")</x:f>
        <x:v>0.7451241873645608</x:v>
      </x:c>
      <x:c r="AI95" s="3" t="str">
        <x:v>同年式・グレードの検証済み当時価格なし／登録年混在</x:v>
      </x:c>
      <x:c r="AJ95" s="3" t="str">
        <x:v>走行/条件情報あり</x:v>
      </x:c>
      <x:c r="AK95" s="3" t="str">
        <x:v>取得した検索結果ページの掲載。サイトの並び順による選択偏りあり。</x:v>
      </x:c>
      <x:c r="AL95" s="31" t="n">
        <x:f>IF(AND(J95&lt;='分析方法'!$B$7,OR(ISBLANK(O95),O95&gt;='分析方法'!$B$8),X95&lt;&gt;"売却済み表示"),1,0)</x:f>
        <x:v>1</x:v>
      </x:c>
      <x:c r="AM95" s="32" t="n">
        <x:f>IF(AL95=1,U95,"")</x:f>
        <x:v>447000</x:v>
      </x:c>
      <x:c r="AN95" s="33" t="str">
        <x:f>IF(AL95=1,AF95,"")</x:f>
      </x:c>
      <x:c r="AO95" s="31" t="n">
        <x:f>'分析方法'!$B$6-J95</x:f>
        <x:v>2</x:v>
      </x:c>
      <x:c r="AP95" s="3"/>
    </x:row>
    <x:row r="96" ht="22" customHeight="1">
      <x:c r="A96" s="3" t="str">
        <x:v>O_dolphin_187</x:v>
      </x:c>
      <x:c r="B96" s="7" t="d">
        <x:v>2026-10-08T00:00:00.000Z</x:v>
      </x:c>
      <x:c r="C96" s="3" t="str">
        <x:v>One2car</x:v>
      </x:c>
      <x:c r="D96" s="3" t="str">
        <x:v>BYD</x:v>
      </x:c>
      <x:c r="E96" s="3" t="str">
        <x:v>中国</x:v>
      </x:c>
      <x:c r="F96" s="3" t="str">
        <x:v>DOLPHIN</x:v>
      </x:c>
      <x:c r="G96" s="3" t="str">
        <x:v>BEV</x:v>
      </x:c>
      <x:c r="H96" s="3" t="str">
        <x:v>Hatchback</x:v>
      </x:c>
      <x:c r="I96" s="3" t="str"/>
      <x:c r="J96" s="3" t="n">
        <x:v>2024</x:v>
      </x:c>
      <x:c r="K96" s="3" t="str">
        <x:v>Extended Range</x:v>
      </x:c>
      <x:c r="L96" s="3" t="str">
        <x:v>EXTENDED RANGE</x:v>
      </x:c>
      <x:c r="M96" s="22"/>
      <x:c r="N96" s="22" t="n">
        <x:v>80000</x:v>
      </x:c>
      <x:c r="O96" s="22" t="n">
        <x:v>85000</x:v>
      </x:c>
      <x:c r="P96" s="3" t="str">
        <x:v>50–100千km</x:v>
      </x:c>
      <x:c r="Q96" s="3" t="str">
        <x:v>Nonthaburi</x:v>
      </x:c>
      <x:c r="R96" s="3" t="str">
        <x:v>Bangkok metro</x:v>
      </x:c>
      <x:c r="S96" s="3" t="str">
        <x:v>AT</x:v>
      </x:c>
      <x:c r="T96" s="3" t="str">
        <x:v>世代不明</x:v>
      </x:c>
      <x:c r="U96" s="28" t="n">
        <x:v>447000</x:v>
      </x:c>
      <x:c r="V96" s="28"/>
      <x:c r="W96" s="3" t="str">
        <x:v>広告の申告のみ。事故・水没・SOH・保証残は未確認</x:v>
      </x:c>
      <x:c r="X96" s="3" t="str">
        <x:v>掲載中・在庫未確認</x:v>
      </x:c>
      <x:c r="Y96" s="3" t="str"/>
      <x:c r="Z96" s="27" t="str">
        <x:v>https://www.one2car.com/en/cars-for-sale/byd/dolphin</x:v>
      </x:c>
      <x:c r="AA96" s="3" t="str">
        <x:v>掲載リンク参照#187／見出し行1267（永続IDではない）</x:v>
      </x:c>
      <x:c r="AB96" s="3" t="str">
        <x:v>車台番号未取得／サイト間重複は未判定</x:v>
      </x:c>
      <x:c r="AC96" s="3" t="str">
        <x:v>税込区分未確認</x:v>
      </x:c>
      <x:c r="AD96" s="3" t="str"/>
      <x:c r="AE96" s="29" t="str">
        <x:f>""</x:f>
      </x:c>
      <x:c r="AF96" s="30" t="str">
        <x:f>IF(ISNUMBER(AE96),U96/AE96,"")</x:f>
      </x:c>
      <x:c r="AG96" s="29" t="n">
        <x:f>'新車価格・特価'!N37</x:f>
        <x:v>599900</x:v>
      </x:c>
      <x:c r="AH96" s="30" t="n">
        <x:f>IF(ISNUMBER(AG96),U96/AG96,"")</x:f>
        <x:v>0.7451241873645608</x:v>
      </x:c>
      <x:c r="AI96" s="3" t="str">
        <x:v>同年式・グレードの検証済み当時価格なし／登録年混在</x:v>
      </x:c>
      <x:c r="AJ96" s="3" t="str">
        <x:v>走行/条件情報あり</x:v>
      </x:c>
      <x:c r="AK96" s="3" t="str">
        <x:v>取得した検索結果ページの掲載。サイトの並び順による選択偏りあり。</x:v>
      </x:c>
      <x:c r="AL96" s="31" t="n">
        <x:f>IF(AND(J96&lt;='分析方法'!$B$7,OR(ISBLANK(O96),O96&gt;='分析方法'!$B$8),X96&lt;&gt;"売却済み表示"),1,0)</x:f>
        <x:v>1</x:v>
      </x:c>
      <x:c r="AM96" s="32" t="n">
        <x:f>IF(AL96=1,U96,"")</x:f>
        <x:v>447000</x:v>
      </x:c>
      <x:c r="AN96" s="33" t="str">
        <x:f>IF(AL96=1,AF96,"")</x:f>
      </x:c>
      <x:c r="AO96" s="31" t="n">
        <x:f>'分析方法'!$B$6-J96</x:f>
        <x:v>2</x:v>
      </x:c>
      <x:c r="AP96" s="3"/>
    </x:row>
    <x:row r="97" ht="22" customHeight="1">
      <x:c r="A97" s="3" t="str">
        <x:v>O_dolphin_188</x:v>
      </x:c>
      <x:c r="B97" s="7" t="d">
        <x:v>2026-10-08T00:00:00.000Z</x:v>
      </x:c>
      <x:c r="C97" s="3" t="str">
        <x:v>One2car</x:v>
      </x:c>
      <x:c r="D97" s="3" t="str">
        <x:v>BYD</x:v>
      </x:c>
      <x:c r="E97" s="3" t="str">
        <x:v>中国</x:v>
      </x:c>
      <x:c r="F97" s="3" t="str">
        <x:v>DOLPHIN</x:v>
      </x:c>
      <x:c r="G97" s="3" t="str">
        <x:v>BEV</x:v>
      </x:c>
      <x:c r="H97" s="3" t="str">
        <x:v>Hatchback</x:v>
      </x:c>
      <x:c r="I97" s="3" t="str"/>
      <x:c r="J97" s="3" t="n">
        <x:v>2024</x:v>
      </x:c>
      <x:c r="K97" s="3" t="str">
        <x:v>Extended Range</x:v>
      </x:c>
      <x:c r="L97" s="3" t="str">
        <x:v>EXTENDED RANGE</x:v>
      </x:c>
      <x:c r="M97" s="22"/>
      <x:c r="N97" s="22" t="n">
        <x:v>95000</x:v>
      </x:c>
      <x:c r="O97" s="22" t="n">
        <x:v>100000</x:v>
      </x:c>
      <x:c r="P97" s="3" t="str">
        <x:v>50–100千km</x:v>
      </x:c>
      <x:c r="Q97" s="3" t="str">
        <x:v>Nonthaburi</x:v>
      </x:c>
      <x:c r="R97" s="3" t="str">
        <x:v>Bangkok metro</x:v>
      </x:c>
      <x:c r="S97" s="3" t="str">
        <x:v>AT</x:v>
      </x:c>
      <x:c r="T97" s="3" t="str">
        <x:v>世代不明</x:v>
      </x:c>
      <x:c r="U97" s="28" t="n">
        <x:v>437000</x:v>
      </x:c>
      <x:c r="V97" s="28"/>
      <x:c r="W97" s="3" t="str">
        <x:v>広告の申告のみ。事故・水没・SOH・保証残は未確認</x:v>
      </x:c>
      <x:c r="X97" s="3" t="str">
        <x:v>掲載中・在庫未確認</x:v>
      </x:c>
      <x:c r="Y97" s="3" t="str"/>
      <x:c r="Z97" s="27" t="str">
        <x:v>https://www.one2car.com/en/cars-for-sale/byd/dolphin</x:v>
      </x:c>
      <x:c r="AA97" s="3" t="str">
        <x:v>掲載リンク参照#188／見出し行1299（永続IDではない）</x:v>
      </x:c>
      <x:c r="AB97" s="3" t="str">
        <x:v>車台番号未取得／サイト間重複は未判定</x:v>
      </x:c>
      <x:c r="AC97" s="3" t="str">
        <x:v>税込区分未確認</x:v>
      </x:c>
      <x:c r="AD97" s="3" t="str"/>
      <x:c r="AE97" s="29" t="str">
        <x:f>""</x:f>
      </x:c>
      <x:c r="AF97" s="30" t="str">
        <x:f>IF(ISNUMBER(AE97),U97/AE97,"")</x:f>
      </x:c>
      <x:c r="AG97" s="29" t="n">
        <x:f>'新車価格・特価'!N37</x:f>
        <x:v>599900</x:v>
      </x:c>
      <x:c r="AH97" s="30" t="n">
        <x:f>IF(ISNUMBER(AG97),U97/AG97,"")</x:f>
        <x:v>0.7284547424570762</x:v>
      </x:c>
      <x:c r="AI97" s="3" t="str">
        <x:v>同年式・グレードの検証済み当時価格なし／登録年混在</x:v>
      </x:c>
      <x:c r="AJ97" s="3" t="str">
        <x:v>走行/条件情報あり</x:v>
      </x:c>
      <x:c r="AK97" s="3" t="str">
        <x:v>取得した検索結果ページの掲載。サイトの並び順による選択偏りあり。</x:v>
      </x:c>
      <x:c r="AL97" s="31" t="n">
        <x:f>IF(AND(J97&lt;='分析方法'!$B$7,OR(ISBLANK(O97),O97&gt;='分析方法'!$B$8),X97&lt;&gt;"売却済み表示"),1,0)</x:f>
        <x:v>1</x:v>
      </x:c>
      <x:c r="AM97" s="32" t="n">
        <x:f>IF(AL97=1,U97,"")</x:f>
        <x:v>437000</x:v>
      </x:c>
      <x:c r="AN97" s="33" t="str">
        <x:f>IF(AL97=1,AF97,"")</x:f>
      </x:c>
      <x:c r="AO97" s="31" t="n">
        <x:f>'分析方法'!$B$6-J97</x:f>
        <x:v>2</x:v>
      </x:c>
      <x:c r="AP97" s="3"/>
    </x:row>
    <x:row r="98" ht="22" customHeight="1">
      <x:c r="A98" s="3" t="str">
        <x:v>O_dolphin_186</x:v>
      </x:c>
      <x:c r="B98" s="7" t="d">
        <x:v>2026-10-08T00:00:00.000Z</x:v>
      </x:c>
      <x:c r="C98" s="3" t="str">
        <x:v>One2car</x:v>
      </x:c>
      <x:c r="D98" s="3" t="str">
        <x:v>BYD</x:v>
      </x:c>
      <x:c r="E98" s="3" t="str">
        <x:v>中国</x:v>
      </x:c>
      <x:c r="F98" s="3" t="str">
        <x:v>DOLPHIN</x:v>
      </x:c>
      <x:c r="G98" s="3" t="str">
        <x:v>BEV</x:v>
      </x:c>
      <x:c r="H98" s="3" t="str">
        <x:v>Hatchback</x:v>
      </x:c>
      <x:c r="I98" s="3" t="str"/>
      <x:c r="J98" s="3" t="n">
        <x:v>2025</x:v>
      </x:c>
      <x:c r="K98" s="3" t="str">
        <x:v>Standard Range</x:v>
      </x:c>
      <x:c r="L98" s="3" t="str">
        <x:v>STANDARD RANGE</x:v>
      </x:c>
      <x:c r="M98" s="22"/>
      <x:c r="N98" s="22" t="n">
        <x:v>15000</x:v>
      </x:c>
      <x:c r="O98" s="22" t="n">
        <x:v>20000</x:v>
      </x:c>
      <x:c r="P98" s="3" t="str">
        <x:v>境界を跨ぐ表示レンジ</x:v>
      </x:c>
      <x:c r="Q98" s="3" t="str">
        <x:v>Nonthaburi</x:v>
      </x:c>
      <x:c r="R98" s="3" t="str">
        <x:v>Bangkok metro</x:v>
      </x:c>
      <x:c r="S98" s="3" t="str">
        <x:v>AT</x:v>
      </x:c>
      <x:c r="T98" s="3" t="str">
        <x:v>世代不明</x:v>
      </x:c>
      <x:c r="U98" s="28" t="n">
        <x:v>447000</x:v>
      </x:c>
      <x:c r="V98" s="28"/>
      <x:c r="W98" s="3" t="str">
        <x:v>広告の申告のみ。事故・水没・SOH・保証残は未確認</x:v>
      </x:c>
      <x:c r="X98" s="3" t="str">
        <x:v>掲載中・在庫未確認</x:v>
      </x:c>
      <x:c r="Y98" s="3" t="str"/>
      <x:c r="Z98" s="27" t="str">
        <x:v>https://www.one2car.com/en/cars-for-sale/byd/dolphin</x:v>
      </x:c>
      <x:c r="AA98" s="3" t="str">
        <x:v>掲載リンク参照#186／見出し行1235（永続IDではない）</x:v>
      </x:c>
      <x:c r="AB98" s="3" t="str">
        <x:v>車台番号未取得／サイト間重複は未判定</x:v>
      </x:c>
      <x:c r="AC98" s="3" t="str">
        <x:v>税込区分未確認</x:v>
      </x:c>
      <x:c r="AD98" s="3" t="str"/>
      <x:c r="AE98" s="29" t="str">
        <x:f>""</x:f>
      </x:c>
      <x:c r="AF98" s="30" t="str">
        <x:f>IF(ISNUMBER(AE98),U98/AE98,"")</x:f>
      </x:c>
      <x:c r="AG98" s="29" t="n">
        <x:f>'新車価格・特価'!N36</x:f>
        <x:v>509900</x:v>
      </x:c>
      <x:c r="AH98" s="30" t="n">
        <x:f>IF(ISNUMBER(AG98),U98/AG98,"")</x:f>
        <x:v>0.8766424789174347</x:v>
      </x:c>
      <x:c r="AI98" s="3" t="str">
        <x:v>同年式・グレードの検証済み当時価格なし／登録年混在</x:v>
      </x:c>
      <x:c r="AJ98" s="3" t="str">
        <x:v>走行/条件情報あり</x:v>
      </x:c>
      <x:c r="AK98" s="3" t="str">
        <x:v>取得した検索結果ページの掲載。サイトの並び順による選択偏りあり。</x:v>
      </x:c>
      <x:c r="AL98" s="31" t="n">
        <x:f>IF(AND(J98&lt;='分析方法'!$B$7,OR(ISBLANK(O98),O98&gt;='分析方法'!$B$8),X98&lt;&gt;"売却済み表示"),1,0)</x:f>
        <x:v>1</x:v>
      </x:c>
      <x:c r="AM98" s="32" t="n">
        <x:f>IF(AL98=1,U98,"")</x:f>
        <x:v>447000</x:v>
      </x:c>
      <x:c r="AN98" s="33" t="str">
        <x:f>IF(AL98=1,AF98,"")</x:f>
      </x:c>
      <x:c r="AO98" s="31" t="n">
        <x:f>'分析方法'!$B$6-J98</x:f>
        <x:v>1</x:v>
      </x:c>
      <x:c r="AP98" s="3"/>
    </x:row>
    <x:row r="99" ht="22" customHeight="1">
      <x:c r="A99" s="3" t="str">
        <x:v>O_dolphin_180</x:v>
      </x:c>
      <x:c r="B99" s="7" t="d">
        <x:v>2026-10-08T00:00:00.000Z</x:v>
      </x:c>
      <x:c r="C99" s="3" t="str">
        <x:v>One2car</x:v>
      </x:c>
      <x:c r="D99" s="3" t="str">
        <x:v>BYD</x:v>
      </x:c>
      <x:c r="E99" s="3" t="str">
        <x:v>中国</x:v>
      </x:c>
      <x:c r="F99" s="3" t="str">
        <x:v>DOLPHIN</x:v>
      </x:c>
      <x:c r="G99" s="3" t="str">
        <x:v>BEV</x:v>
      </x:c>
      <x:c r="H99" s="3" t="str">
        <x:v>Hatchback</x:v>
      </x:c>
      <x:c r="I99" s="3" t="str"/>
      <x:c r="J99" s="3" t="n">
        <x:v>2026</x:v>
      </x:c>
      <x:c r="K99" s="3" t="str">
        <x:v>Extended Range</x:v>
      </x:c>
      <x:c r="L99" s="3" t="str">
        <x:v>EXTENDED RANGE</x:v>
      </x:c>
      <x:c r="M99" s="22"/>
      <x:c r="N99" s="22" t="n">
        <x:v>50000</x:v>
      </x:c>
      <x:c r="O99" s="22" t="n">
        <x:v>55000</x:v>
      </x:c>
      <x:c r="P99" s="3" t="str">
        <x:v>50–100千km</x:v>
      </x:c>
      <x:c r="Q99" s="3" t="str">
        <x:v>Bangkok</x:v>
      </x:c>
      <x:c r="R99" s="3" t="str">
        <x:v>Bangkok metro</x:v>
      </x:c>
      <x:c r="S99" s="3" t="str">
        <x:v>AT</x:v>
      </x:c>
      <x:c r="T99" s="3" t="str">
        <x:v>世代不明</x:v>
      </x:c>
      <x:c r="U99" s="28" t="n">
        <x:v>379000</x:v>
      </x:c>
      <x:c r="V99" s="28"/>
      <x:c r="W99" s="3" t="str">
        <x:v>広告の申告のみ。事故・水没・SOH・保証残は未確認</x:v>
      </x:c>
      <x:c r="X99" s="3" t="str">
        <x:v>掲載中・在庫未確認</x:v>
      </x:c>
      <x:c r="Y99" s="3" t="str"/>
      <x:c r="Z99" s="27" t="str">
        <x:v>https://www.one2car.com/en/cars-for-sale/byd/dolphin</x:v>
      </x:c>
      <x:c r="AA99" s="3" t="str">
        <x:v>掲載リンク参照#180／見出し行1046（永続IDではない）</x:v>
      </x:c>
      <x:c r="AB99" s="3" t="str">
        <x:v>車台番号未取得／サイト間重複は未判定</x:v>
      </x:c>
      <x:c r="AC99" s="3" t="str">
        <x:v>税込区分未確認</x:v>
      </x:c>
      <x:c r="AD99" s="3" t="str"/>
      <x:c r="AE99" s="29" t="str">
        <x:f>""</x:f>
      </x:c>
      <x:c r="AF99" s="30" t="str">
        <x:f>IF(ISNUMBER(AE99),U99/AE99,"")</x:f>
      </x:c>
      <x:c r="AG99" s="29" t="n">
        <x:f>'新車価格・特価'!N37</x:f>
        <x:v>599900</x:v>
      </x:c>
      <x:c r="AH99" s="30" t="n">
        <x:f>IF(ISNUMBER(AG99),U99/AG99,"")</x:f>
        <x:v>0.6317719619936656</x:v>
      </x:c>
      <x:c r="AI99" s="3" t="str">
        <x:v>同年式・グレードの検証済み当時価格なし／登録年混在</x:v>
      </x:c>
      <x:c r="AJ99" s="3" t="str">
        <x:v>走行/条件情報あり</x:v>
      </x:c>
      <x:c r="AK99" s="3" t="str">
        <x:v>取得した検索結果ページの掲載。サイトの並び順による選択偏りあり。</x:v>
      </x:c>
      <x:c r="AL99" s="31" t="n">
        <x:f>IF(AND(J99&lt;='分析方法'!$B$7,OR(ISBLANK(O99),O99&gt;='分析方法'!$B$8),X99&lt;&gt;"売却済み表示"),1,0)</x:f>
        <x:v>0</x:v>
      </x:c>
      <x:c r="AM99" s="32" t="str">
        <x:f>IF(AL99=1,U99,"")</x:f>
      </x:c>
      <x:c r="AN99" s="33" t="str">
        <x:f>IF(AL99=1,AF99,"")</x:f>
      </x:c>
      <x:c r="AO99" s="31" t="n">
        <x:f>'分析方法'!$B$6-J99</x:f>
        <x:v>0</x:v>
      </x:c>
      <x:c r="AP99" s="3"/>
    </x:row>
    <x:row r="100" ht="22" customHeight="1">
      <x:c r="A100" s="3" t="str">
        <x:v>O_fortuner_271</x:v>
      </x:c>
      <x:c r="B100" s="7" t="d">
        <x:v>2026-10-08T00:00:00.000Z</x:v>
      </x:c>
      <x:c r="C100" s="3" t="str">
        <x:v>One2car</x:v>
      </x:c>
      <x:c r="D100" s="3" t="str">
        <x:v>Toyota</x:v>
      </x:c>
      <x:c r="E100" s="3" t="str">
        <x:v>日本</x:v>
      </x:c>
      <x:c r="F100" s="3" t="str">
        <x:v>Fortuner</x:v>
      </x:c>
      <x:c r="G100" s="3" t="str">
        <x:v>ICE</x:v>
      </x:c>
      <x:c r="H100" s="3" t="str">
        <x:v>SUV</x:v>
      </x:c>
      <x:c r="I100" s="3" t="str"/>
      <x:c r="J100" s="3" t="n">
        <x:v>2020</x:v>
      </x:c>
      <x:c r="K100" s="3" t="str">
        <x:v>G</x:v>
      </x:c>
      <x:c r="L100" s="3" t="str">
        <x:v>G</x:v>
      </x:c>
      <x:c r="M100" s="22"/>
      <x:c r="N100" s="22" t="n">
        <x:v>125000</x:v>
      </x:c>
      <x:c r="O100" s="22" t="n">
        <x:v>130000</x:v>
      </x:c>
      <x:c r="P100" s="3" t="str">
        <x:v>100–150千km</x:v>
      </x:c>
      <x:c r="Q100" s="3" t="str">
        <x:v>Bangkok</x:v>
      </x:c>
      <x:c r="R100" s="3" t="str">
        <x:v>Bangkok metro</x:v>
      </x:c>
      <x:c r="S100" s="3" t="str">
        <x:v>AT</x:v>
      </x:c>
      <x:c r="T100" s="3" t="str">
        <x:v>世代不明</x:v>
      </x:c>
      <x:c r="U100" s="28" t="n">
        <x:v>799000</x:v>
      </x:c>
      <x:c r="V100" s="28"/>
      <x:c r="W100" s="3" t="str">
        <x:v>広告の申告のみ。事故・水没・SOH・保証残は未確認</x:v>
      </x:c>
      <x:c r="X100" s="3" t="str">
        <x:v>掲載中・在庫未確認</x:v>
      </x:c>
      <x:c r="Y100" s="3" t="str"/>
      <x:c r="Z100" s="27" t="str">
        <x:v>https://www.one2car.com/en/cars-for-sale/toyota/fortuner</x:v>
      </x:c>
      <x:c r="AA100" s="3" t="str">
        <x:v>掲載リンク参照#271／見出し行1147（永続IDではない）</x:v>
      </x:c>
      <x:c r="AB100" s="3" t="str">
        <x:v>車台番号未取得／サイト間重複は未判定</x:v>
      </x:c>
      <x:c r="AC100" s="3" t="str">
        <x:v>税込区分未確認</x:v>
      </x:c>
      <x:c r="AD100" s="3" t="str"/>
      <x:c r="AE100" s="29" t="str">
        <x:f>""</x:f>
      </x:c>
      <x:c r="AF100" s="30" t="str">
        <x:f>IF(ISNUMBER(AE100),U100/AE100,"")</x:f>
      </x:c>
      <x:c r="AG100" s="29" t="str">
        <x:f>""</x:f>
      </x:c>
      <x:c r="AH100" s="30" t="str">
        <x:f>IF(ISNUMBER(AG100),U100/AG100,"")</x:f>
      </x:c>
      <x:c r="AI100" s="3" t="str">
        <x:v>同年式・グレードの検証済み当時価格なし／登録年混在</x:v>
      </x:c>
      <x:c r="AJ100" s="3" t="str">
        <x:v>走行/条件情報あり</x:v>
      </x:c>
      <x:c r="AK100" s="3" t="str">
        <x:v>取得した検索結果ページの掲載。サイトの並び順による選択偏りあり。</x:v>
      </x:c>
      <x:c r="AL100" s="31" t="n">
        <x:f>IF(AND(J100&lt;='分析方法'!$B$7,OR(ISBLANK(O100),O100&gt;='分析方法'!$B$8),X100&lt;&gt;"売却済み表示"),1,0)</x:f>
        <x:v>1</x:v>
      </x:c>
      <x:c r="AM100" s="32" t="n">
        <x:f>IF(AL100=1,U100,"")</x:f>
        <x:v>799000</x:v>
      </x:c>
      <x:c r="AN100" s="33" t="str">
        <x:f>IF(AL100=1,AF100,"")</x:f>
      </x:c>
      <x:c r="AO100" s="31" t="n">
        <x:f>'分析方法'!$B$6-J100</x:f>
        <x:v>6</x:v>
      </x:c>
      <x:c r="AP100" s="3"/>
    </x:row>
    <x:row r="101" ht="22" customHeight="1">
      <x:c r="A101" s="3" t="str">
        <x:v>O_fortuner_282</x:v>
      </x:c>
      <x:c r="B101" s="7" t="d">
        <x:v>2026-10-08T00:00:00.000Z</x:v>
      </x:c>
      <x:c r="C101" s="3" t="str">
        <x:v>One2car</x:v>
      </x:c>
      <x:c r="D101" s="3" t="str">
        <x:v>Toyota</x:v>
      </x:c>
      <x:c r="E101" s="3" t="str">
        <x:v>日本</x:v>
      </x:c>
      <x:c r="F101" s="3" t="str">
        <x:v>Fortuner</x:v>
      </x:c>
      <x:c r="G101" s="3" t="str">
        <x:v>ICE</x:v>
      </x:c>
      <x:c r="H101" s="3" t="str">
        <x:v>SUV</x:v>
      </x:c>
      <x:c r="I101" s="3" t="str"/>
      <x:c r="J101" s="3" t="n">
        <x:v>2020</x:v>
      </x:c>
      <x:c r="K101" s="3" t="str">
        <x:v>TRD Sportivo</x:v>
      </x:c>
      <x:c r="L101" s="3" t="str">
        <x:v>TRD SPORTIVO</x:v>
      </x:c>
      <x:c r="M101" s="22" t="n">
        <x:v>43112</x:v>
      </x:c>
      <x:c r="N101" s="22" t="n">
        <x:v>43112</x:v>
      </x:c>
      <x:c r="O101" s="22" t="n">
        <x:v>43112</x:v>
      </x:c>
      <x:c r="P101" s="3" t="str">
        <x:v>20–50千km</x:v>
      </x:c>
      <x:c r="Q101" s="3" t="str">
        <x:v>Bangkok</x:v>
      </x:c>
      <x:c r="R101" s="3" t="str">
        <x:v>Bangkok metro</x:v>
      </x:c>
      <x:c r="S101" s="3" t="str">
        <x:v>AT</x:v>
      </x:c>
      <x:c r="T101" s="3" t="str">
        <x:v>世代不明</x:v>
      </x:c>
      <x:c r="U101" s="28" t="n">
        <x:v>899000</x:v>
      </x:c>
      <x:c r="V101" s="28"/>
      <x:c r="W101" s="3" t="str">
        <x:v>広告の申告のみ。事故・水没・SOH・保証残は未確認</x:v>
      </x:c>
      <x:c r="X101" s="3" t="str">
        <x:v>掲載中・在庫未確認</x:v>
      </x:c>
      <x:c r="Y101" s="3" t="str"/>
      <x:c r="Z101" s="27" t="str">
        <x:v>https://www.one2car.com/en/cars-for-sale/toyota/fortuner</x:v>
      </x:c>
      <x:c r="AA101" s="3" t="str">
        <x:v>掲載リンク参照#282／見出し行1512（永続IDではない）</x:v>
      </x:c>
      <x:c r="AB101" s="3" t="str">
        <x:v>車台番号未取得／サイト間重複は未判定</x:v>
      </x:c>
      <x:c r="AC101" s="3" t="str">
        <x:v>税込区分未確認</x:v>
      </x:c>
      <x:c r="AD101" s="3" t="str"/>
      <x:c r="AE101" s="29" t="str">
        <x:f>""</x:f>
      </x:c>
      <x:c r="AF101" s="30" t="str">
        <x:f>IF(ISNUMBER(AE101),U101/AE101,"")</x:f>
      </x:c>
      <x:c r="AG101" s="29" t="str">
        <x:f>""</x:f>
      </x:c>
      <x:c r="AH101" s="30" t="str">
        <x:f>IF(ISNUMBER(AG101),U101/AG101,"")</x:f>
      </x:c>
      <x:c r="AI101" s="3" t="str">
        <x:v>同年式・グレードの検証済み当時価格なし／登録年混在</x:v>
      </x:c>
      <x:c r="AJ101" s="3" t="str">
        <x:v>走行/条件情報あり</x:v>
      </x:c>
      <x:c r="AK101" s="3" t="str">
        <x:v>取得した検索結果ページの掲載。サイトの並び順による選択偏りあり。</x:v>
      </x:c>
      <x:c r="AL101" s="31" t="n">
        <x:f>IF(AND(J101&lt;='分析方法'!$B$7,OR(ISBLANK(O101),O101&gt;='分析方法'!$B$8),X101&lt;&gt;"売却済み表示"),1,0)</x:f>
        <x:v>1</x:v>
      </x:c>
      <x:c r="AM101" s="32" t="n">
        <x:f>IF(AL101=1,U101,"")</x:f>
        <x:v>899000</x:v>
      </x:c>
      <x:c r="AN101" s="33" t="str">
        <x:f>IF(AL101=1,AF101,"")</x:f>
      </x:c>
      <x:c r="AO101" s="31" t="n">
        <x:f>'分析方法'!$B$6-J101</x:f>
        <x:v>6</x:v>
      </x:c>
      <x:c r="AP101" s="3"/>
    </x:row>
    <x:row r="102" ht="22" customHeight="1">
      <x:c r="A102" s="3" t="str">
        <x:v>O_fortuner_277</x:v>
      </x:c>
      <x:c r="B102" s="7" t="d">
        <x:v>2026-10-08T00:00:00.000Z</x:v>
      </x:c>
      <x:c r="C102" s="3" t="str">
        <x:v>One2car</x:v>
      </x:c>
      <x:c r="D102" s="3" t="str">
        <x:v>Toyota</x:v>
      </x:c>
      <x:c r="E102" s="3" t="str">
        <x:v>日本</x:v>
      </x:c>
      <x:c r="F102" s="3" t="str">
        <x:v>Fortuner</x:v>
      </x:c>
      <x:c r="G102" s="3" t="str">
        <x:v>ICE</x:v>
      </x:c>
      <x:c r="H102" s="3" t="str">
        <x:v>SUV</x:v>
      </x:c>
      <x:c r="I102" s="3" t="str"/>
      <x:c r="J102" s="3" t="n">
        <x:v>2020</x:v>
      </x:c>
      <x:c r="K102" s="3" t="str">
        <x:v>V</x:v>
      </x:c>
      <x:c r="L102" s="3" t="str">
        <x:v>V</x:v>
      </x:c>
      <x:c r="M102" s="22" t="n">
        <x:v>111480</x:v>
      </x:c>
      <x:c r="N102" s="22" t="n">
        <x:v>111480</x:v>
      </x:c>
      <x:c r="O102" s="22" t="n">
        <x:v>111480</x:v>
      </x:c>
      <x:c r="P102" s="3" t="str">
        <x:v>100–150千km</x:v>
      </x:c>
      <x:c r="Q102" s="3" t="str">
        <x:v>Bangkok</x:v>
      </x:c>
      <x:c r="R102" s="3" t="str">
        <x:v>Bangkok metro</x:v>
      </x:c>
      <x:c r="S102" s="3" t="str">
        <x:v>AT</x:v>
      </x:c>
      <x:c r="T102" s="3" t="str">
        <x:v>世代不明</x:v>
      </x:c>
      <x:c r="U102" s="28" t="n">
        <x:v>769000</x:v>
      </x:c>
      <x:c r="V102" s="28"/>
      <x:c r="W102" s="3" t="str">
        <x:v>広告の申告のみ。事故・水没・SOH・保証残は未確認</x:v>
      </x:c>
      <x:c r="X102" s="3" t="str">
        <x:v>掲載中・在庫未確認</x:v>
      </x:c>
      <x:c r="Y102" s="3" t="str"/>
      <x:c r="Z102" s="27" t="str">
        <x:v>https://www.one2car.com/en/cars-for-sale/toyota/fortuner</x:v>
      </x:c>
      <x:c r="AA102" s="3" t="str">
        <x:v>掲載リンク参照#277／見出し行1328（永続IDではない）</x:v>
      </x:c>
      <x:c r="AB102" s="3" t="str">
        <x:v>車台番号未取得／サイト間重複は未判定</x:v>
      </x:c>
      <x:c r="AC102" s="3" t="str">
        <x:v>税込区分未確認</x:v>
      </x:c>
      <x:c r="AD102" s="3" t="str"/>
      <x:c r="AE102" s="29" t="str">
        <x:f>""</x:f>
      </x:c>
      <x:c r="AF102" s="30" t="str">
        <x:f>IF(ISNUMBER(AE102),U102/AE102,"")</x:f>
      </x:c>
      <x:c r="AG102" s="29" t="str">
        <x:f>""</x:f>
      </x:c>
      <x:c r="AH102" s="30" t="str">
        <x:f>IF(ISNUMBER(AG102),U102/AG102,"")</x:f>
      </x:c>
      <x:c r="AI102" s="3" t="str">
        <x:v>同年式・グレードの検証済み当時価格なし／登録年混在</x:v>
      </x:c>
      <x:c r="AJ102" s="3" t="str">
        <x:v>走行/条件情報あり</x:v>
      </x:c>
      <x:c r="AK102" s="3" t="str">
        <x:v>取得した検索結果ページの掲載。サイトの並び順による選択偏りあり。</x:v>
      </x:c>
      <x:c r="AL102" s="31" t="n">
        <x:f>IF(AND(J102&lt;='分析方法'!$B$7,OR(ISBLANK(O102),O102&gt;='分析方法'!$B$8),X102&lt;&gt;"売却済み表示"),1,0)</x:f>
        <x:v>1</x:v>
      </x:c>
      <x:c r="AM102" s="32" t="n">
        <x:f>IF(AL102=1,U102,"")</x:f>
        <x:v>769000</x:v>
      </x:c>
      <x:c r="AN102" s="33" t="str">
        <x:f>IF(AL102=1,AF102,"")</x:f>
      </x:c>
      <x:c r="AO102" s="31" t="n">
        <x:f>'分析方法'!$B$6-J102</x:f>
        <x:v>6</x:v>
      </x:c>
      <x:c r="AP102" s="3"/>
    </x:row>
    <x:row r="103" ht="22" customHeight="1">
      <x:c r="A103" s="3" t="str">
        <x:v>O_fortuner_287</x:v>
      </x:c>
      <x:c r="B103" s="7" t="d">
        <x:v>2026-10-08T00:00:00.000Z</x:v>
      </x:c>
      <x:c r="C103" s="3" t="str">
        <x:v>One2car</x:v>
      </x:c>
      <x:c r="D103" s="3" t="str">
        <x:v>Toyota</x:v>
      </x:c>
      <x:c r="E103" s="3" t="str">
        <x:v>日本</x:v>
      </x:c>
      <x:c r="F103" s="3" t="str">
        <x:v>Fortuner</x:v>
      </x:c>
      <x:c r="G103" s="3" t="str">
        <x:v>ICE</x:v>
      </x:c>
      <x:c r="H103" s="3" t="str">
        <x:v>SUV</x:v>
      </x:c>
      <x:c r="I103" s="3" t="str"/>
      <x:c r="J103" s="3" t="n">
        <x:v>2020</x:v>
      </x:c>
      <x:c r="K103" s="3" t="str">
        <x:v>V</x:v>
      </x:c>
      <x:c r="L103" s="3" t="str">
        <x:v>V</x:v>
      </x:c>
      <x:c r="M103" s="22" t="n">
        <x:v>10646</x:v>
      </x:c>
      <x:c r="N103" s="22" t="n">
        <x:v>10646</x:v>
      </x:c>
      <x:c r="O103" s="22" t="n">
        <x:v>10646</x:v>
      </x:c>
      <x:c r="P103" s="3" t="str">
        <x:v>&lt;20千km</x:v>
      </x:c>
      <x:c r="Q103" s="3" t="str">
        <x:v>Bangkok</x:v>
      </x:c>
      <x:c r="R103" s="3" t="str">
        <x:v>Bangkok metro</x:v>
      </x:c>
      <x:c r="S103" s="3" t="str">
        <x:v>AT</x:v>
      </x:c>
      <x:c r="T103" s="3" t="str">
        <x:v>世代不明</x:v>
      </x:c>
      <x:c r="U103" s="28" t="n">
        <x:v>899000</x:v>
      </x:c>
      <x:c r="V103" s="28"/>
      <x:c r="W103" s="3" t="str">
        <x:v>広告の申告のみ。事故・水没・SOH・保証残は未確認</x:v>
      </x:c>
      <x:c r="X103" s="3" t="str">
        <x:v>掲載中・在庫未確認</x:v>
      </x:c>
      <x:c r="Y103" s="3" t="str"/>
      <x:c r="Z103" s="27" t="str">
        <x:v>https://www.one2car.com/en/cars-for-sale/toyota/fortuner</x:v>
      </x:c>
      <x:c r="AA103" s="3" t="str">
        <x:v>掲載リンク参照#287／見出し行1691（永続IDではない）</x:v>
      </x:c>
      <x:c r="AB103" s="3" t="str">
        <x:v>車台番号未取得／サイト間重複は未判定</x:v>
      </x:c>
      <x:c r="AC103" s="3" t="str">
        <x:v>税込区分未確認</x:v>
      </x:c>
      <x:c r="AD103" s="3" t="str"/>
      <x:c r="AE103" s="29" t="str">
        <x:f>""</x:f>
      </x:c>
      <x:c r="AF103" s="30" t="str">
        <x:f>IF(ISNUMBER(AE103),U103/AE103,"")</x:f>
      </x:c>
      <x:c r="AG103" s="29" t="str">
        <x:f>""</x:f>
      </x:c>
      <x:c r="AH103" s="30" t="str">
        <x:f>IF(ISNUMBER(AG103),U103/AG103,"")</x:f>
      </x:c>
      <x:c r="AI103" s="3" t="str">
        <x:v>同年式・グレードの検証済み当時価格なし／登録年混在</x:v>
      </x:c>
      <x:c r="AJ103" s="3" t="str">
        <x:v>走行/条件情報あり</x:v>
      </x:c>
      <x:c r="AK103" s="3" t="str">
        <x:v>取得した検索結果ページの掲載。サイトの並び順による選択偏りあり。</x:v>
      </x:c>
      <x:c r="AL103" s="31" t="n">
        <x:f>IF(AND(J103&lt;='分析方法'!$B$7,OR(ISBLANK(O103),O103&gt;='分析方法'!$B$8),X103&lt;&gt;"売却済み表示"),1,0)</x:f>
        <x:v>1</x:v>
      </x:c>
      <x:c r="AM103" s="32" t="n">
        <x:f>IF(AL103=1,U103,"")</x:f>
        <x:v>899000</x:v>
      </x:c>
      <x:c r="AN103" s="33" t="str">
        <x:f>IF(AL103=1,AF103,"")</x:f>
      </x:c>
      <x:c r="AO103" s="31" t="n">
        <x:f>'分析方法'!$B$6-J103</x:f>
        <x:v>6</x:v>
      </x:c>
      <x:c r="AP103" s="3"/>
    </x:row>
    <x:row r="104" ht="22" customHeight="1">
      <x:c r="A104" s="3" t="str">
        <x:v>O_fortuner_273</x:v>
      </x:c>
      <x:c r="B104" s="7" t="d">
        <x:v>2026-10-08T00:00:00.000Z</x:v>
      </x:c>
      <x:c r="C104" s="3" t="str">
        <x:v>One2car</x:v>
      </x:c>
      <x:c r="D104" s="3" t="str">
        <x:v>Toyota</x:v>
      </x:c>
      <x:c r="E104" s="3" t="str">
        <x:v>日本</x:v>
      </x:c>
      <x:c r="F104" s="3" t="str">
        <x:v>Fortuner</x:v>
      </x:c>
      <x:c r="G104" s="3" t="str">
        <x:v>ICE</x:v>
      </x:c>
      <x:c r="H104" s="3" t="str">
        <x:v>SUV</x:v>
      </x:c>
      <x:c r="I104" s="3" t="str"/>
      <x:c r="J104" s="3" t="n">
        <x:v>2021</x:v>
      </x:c>
      <x:c r="K104" s="3" t="str">
        <x:v>G</x:v>
      </x:c>
      <x:c r="L104" s="3" t="str">
        <x:v>G</x:v>
      </x:c>
      <x:c r="M104" s="22"/>
      <x:c r="N104" s="22" t="n">
        <x:v>110000</x:v>
      </x:c>
      <x:c r="O104" s="22" t="n">
        <x:v>115000</x:v>
      </x:c>
      <x:c r="P104" s="3" t="str">
        <x:v>100–150千km</x:v>
      </x:c>
      <x:c r="Q104" s="3" t="str">
        <x:v>Nonthaburi</x:v>
      </x:c>
      <x:c r="R104" s="3" t="str">
        <x:v>Bangkok metro</x:v>
      </x:c>
      <x:c r="S104" s="3" t="str">
        <x:v>AT</x:v>
      </x:c>
      <x:c r="T104" s="3" t="str">
        <x:v>世代不明</x:v>
      </x:c>
      <x:c r="U104" s="28" t="n">
        <x:v>750000</x:v>
      </x:c>
      <x:c r="V104" s="28"/>
      <x:c r="W104" s="3" t="str">
        <x:v>広告の申告のみ。事故・水没・SOH・保証残は未確認</x:v>
      </x:c>
      <x:c r="X104" s="3" t="str">
        <x:v>掲載中・在庫未確認</x:v>
      </x:c>
      <x:c r="Y104" s="3" t="str"/>
      <x:c r="Z104" s="27" t="str">
        <x:v>https://www.one2car.com/en/cars-for-sale/toyota/fortuner</x:v>
      </x:c>
      <x:c r="AA104" s="3" t="str">
        <x:v>掲載リンク参照#273／見出し行1221（永続IDではない）</x:v>
      </x:c>
      <x:c r="AB104" s="3" t="str">
        <x:v>車台番号未取得／サイト間重複は未判定</x:v>
      </x:c>
      <x:c r="AC104" s="3" t="str">
        <x:v>税込区分未確認</x:v>
      </x:c>
      <x:c r="AD104" s="3" t="str"/>
      <x:c r="AE104" s="29" t="str">
        <x:f>""</x:f>
      </x:c>
      <x:c r="AF104" s="30" t="str">
        <x:f>IF(ISNUMBER(AE104),U104/AE104,"")</x:f>
      </x:c>
      <x:c r="AG104" s="29" t="str">
        <x:f>""</x:f>
      </x:c>
      <x:c r="AH104" s="30" t="str">
        <x:f>IF(ISNUMBER(AG104),U104/AG104,"")</x:f>
      </x:c>
      <x:c r="AI104" s="3" t="str">
        <x:v>同年式・グレードの検証済み当時価格なし／登録年混在</x:v>
      </x:c>
      <x:c r="AJ104" s="3" t="str">
        <x:v>走行/条件情報あり</x:v>
      </x:c>
      <x:c r="AK104" s="3" t="str">
        <x:v>取得した検索結果ページの掲載。サイトの並び順による選択偏りあり。</x:v>
      </x:c>
      <x:c r="AL104" s="31" t="n">
        <x:f>IF(AND(J104&lt;='分析方法'!$B$7,OR(ISBLANK(O104),O104&gt;='分析方法'!$B$8),X104&lt;&gt;"売却済み表示"),1,0)</x:f>
        <x:v>1</x:v>
      </x:c>
      <x:c r="AM104" s="32" t="n">
        <x:f>IF(AL104=1,U104,"")</x:f>
        <x:v>750000</x:v>
      </x:c>
      <x:c r="AN104" s="33" t="str">
        <x:f>IF(AL104=1,AF104,"")</x:f>
      </x:c>
      <x:c r="AO104" s="31" t="n">
        <x:f>'分析方法'!$B$6-J104</x:f>
        <x:v>5</x:v>
      </x:c>
      <x:c r="AP104" s="3"/>
    </x:row>
    <x:row r="105" ht="22" customHeight="1">
      <x:c r="A105" s="3" t="str">
        <x:v>O_fortuner_274</x:v>
      </x:c>
      <x:c r="B105" s="7" t="d">
        <x:v>2026-10-08T00:00:00.000Z</x:v>
      </x:c>
      <x:c r="C105" s="3" t="str">
        <x:v>One2car</x:v>
      </x:c>
      <x:c r="D105" s="3" t="str">
        <x:v>Toyota</x:v>
      </x:c>
      <x:c r="E105" s="3" t="str">
        <x:v>日本</x:v>
      </x:c>
      <x:c r="F105" s="3" t="str">
        <x:v>Fortuner</x:v>
      </x:c>
      <x:c r="G105" s="3" t="str">
        <x:v>ICE</x:v>
      </x:c>
      <x:c r="H105" s="3" t="str">
        <x:v>SUV</x:v>
      </x:c>
      <x:c r="I105" s="3" t="str"/>
      <x:c r="J105" s="3" t="n">
        <x:v>2021</x:v>
      </x:c>
      <x:c r="K105" s="3" t="str">
        <x:v>G</x:v>
      </x:c>
      <x:c r="L105" s="3" t="str">
        <x:v>G</x:v>
      </x:c>
      <x:c r="M105" s="22"/>
      <x:c r="N105" s="22" t="n">
        <x:v>150000</x:v>
      </x:c>
      <x:c r="O105" s="22" t="n">
        <x:v>155000</x:v>
      </x:c>
      <x:c r="P105" s="3" t="str">
        <x:v>150千km以上</x:v>
      </x:c>
      <x:c r="Q105" s="3" t="str">
        <x:v>Bangkok</x:v>
      </x:c>
      <x:c r="R105" s="3" t="str">
        <x:v>Bangkok metro</x:v>
      </x:c>
      <x:c r="S105" s="3" t="str">
        <x:v>AT</x:v>
      </x:c>
      <x:c r="T105" s="3" t="str">
        <x:v>世代不明</x:v>
      </x:c>
      <x:c r="U105" s="28" t="n">
        <x:v>779000</x:v>
      </x:c>
      <x:c r="V105" s="28"/>
      <x:c r="W105" s="3" t="str">
        <x:v>広告の申告のみ。事故・水没・SOH・保証残は未確認</x:v>
      </x:c>
      <x:c r="X105" s="3" t="str">
        <x:v>掲載中・在庫未確認</x:v>
      </x:c>
      <x:c r="Y105" s="3" t="str"/>
      <x:c r="Z105" s="27" t="str">
        <x:v>https://www.one2car.com/en/cars-for-sale/toyota/fortuner</x:v>
      </x:c>
      <x:c r="AA105" s="3" t="str">
        <x:v>掲載リンク参照#274／見出し行1252（永続IDではない）</x:v>
      </x:c>
      <x:c r="AB105" s="3" t="str">
        <x:v>車台番号未取得／サイト間重複は未判定</x:v>
      </x:c>
      <x:c r="AC105" s="3" t="str">
        <x:v>税込区分未確認</x:v>
      </x:c>
      <x:c r="AD105" s="3" t="str"/>
      <x:c r="AE105" s="29" t="str">
        <x:f>""</x:f>
      </x:c>
      <x:c r="AF105" s="30" t="str">
        <x:f>IF(ISNUMBER(AE105),U105/AE105,"")</x:f>
      </x:c>
      <x:c r="AG105" s="29" t="str">
        <x:f>""</x:f>
      </x:c>
      <x:c r="AH105" s="30" t="str">
        <x:f>IF(ISNUMBER(AG105),U105/AG105,"")</x:f>
      </x:c>
      <x:c r="AI105" s="3" t="str">
        <x:v>同年式・グレードの検証済み当時価格なし／登録年混在</x:v>
      </x:c>
      <x:c r="AJ105" s="3" t="str">
        <x:v>走行/条件情報あり</x:v>
      </x:c>
      <x:c r="AK105" s="3" t="str">
        <x:v>取得した検索結果ページの掲載。サイトの並び順による選択偏りあり。</x:v>
      </x:c>
      <x:c r="AL105" s="31" t="n">
        <x:f>IF(AND(J105&lt;='分析方法'!$B$7,OR(ISBLANK(O105),O105&gt;='分析方法'!$B$8),X105&lt;&gt;"売却済み表示"),1,0)</x:f>
        <x:v>1</x:v>
      </x:c>
      <x:c r="AM105" s="32" t="n">
        <x:f>IF(AL105=1,U105,"")</x:f>
        <x:v>779000</x:v>
      </x:c>
      <x:c r="AN105" s="33" t="str">
        <x:f>IF(AL105=1,AF105,"")</x:f>
      </x:c>
      <x:c r="AO105" s="31" t="n">
        <x:f>'分析方法'!$B$6-J105</x:f>
        <x:v>5</x:v>
      </x:c>
      <x:c r="AP105" s="3"/>
    </x:row>
    <x:row r="106" ht="22" customHeight="1">
      <x:c r="A106" s="3" t="str">
        <x:v>O_fortuner_281</x:v>
      </x:c>
      <x:c r="B106" s="7" t="d">
        <x:v>2026-10-08T00:00:00.000Z</x:v>
      </x:c>
      <x:c r="C106" s="3" t="str">
        <x:v>One2car</x:v>
      </x:c>
      <x:c r="D106" s="3" t="str">
        <x:v>Toyota</x:v>
      </x:c>
      <x:c r="E106" s="3" t="str">
        <x:v>日本</x:v>
      </x:c>
      <x:c r="F106" s="3" t="str">
        <x:v>Fortuner</x:v>
      </x:c>
      <x:c r="G106" s="3" t="str">
        <x:v>ICE</x:v>
      </x:c>
      <x:c r="H106" s="3" t="str">
        <x:v>SUV</x:v>
      </x:c>
      <x:c r="I106" s="3" t="str"/>
      <x:c r="J106" s="3" t="n">
        <x:v>2021</x:v>
      </x:c>
      <x:c r="K106" s="3" t="str">
        <x:v>G</x:v>
      </x:c>
      <x:c r="L106" s="3" t="str">
        <x:v>G</x:v>
      </x:c>
      <x:c r="M106" s="22"/>
      <x:c r="N106" s="22" t="n">
        <x:v>165000</x:v>
      </x:c>
      <x:c r="O106" s="22" t="n">
        <x:v>170000</x:v>
      </x:c>
      <x:c r="P106" s="3" t="str">
        <x:v>150千km以上</x:v>
      </x:c>
      <x:c r="Q106" s="3" t="str">
        <x:v>Chon Buri</x:v>
      </x:c>
      <x:c r="R106" s="3" t="str">
        <x:v>Other province</x:v>
      </x:c>
      <x:c r="S106" s="3" t="str">
        <x:v>AT</x:v>
      </x:c>
      <x:c r="T106" s="3" t="str">
        <x:v>世代不明</x:v>
      </x:c>
      <x:c r="U106" s="28" t="n">
        <x:v>799000</x:v>
      </x:c>
      <x:c r="V106" s="28"/>
      <x:c r="W106" s="3" t="str">
        <x:v>広告の申告のみ。事故・水没・SOH・保証残は未確認</x:v>
      </x:c>
      <x:c r="X106" s="3" t="str">
        <x:v>掲載中・在庫未確認</x:v>
      </x:c>
      <x:c r="Y106" s="3" t="str"/>
      <x:c r="Z106" s="27" t="str">
        <x:v>https://www.one2car.com/en/cars-for-sale/toyota/fortuner</x:v>
      </x:c>
      <x:c r="AA106" s="3" t="str">
        <x:v>掲載リンク参照#281／見出し行1472（永続IDではない）</x:v>
      </x:c>
      <x:c r="AB106" s="3" t="str">
        <x:v>車台番号未取得／サイト間重複は未判定</x:v>
      </x:c>
      <x:c r="AC106" s="3" t="str">
        <x:v>税込区分未確認</x:v>
      </x:c>
      <x:c r="AD106" s="3" t="str"/>
      <x:c r="AE106" s="29" t="str">
        <x:f>""</x:f>
      </x:c>
      <x:c r="AF106" s="30" t="str">
        <x:f>IF(ISNUMBER(AE106),U106/AE106,"")</x:f>
      </x:c>
      <x:c r="AG106" s="29" t="str">
        <x:f>""</x:f>
      </x:c>
      <x:c r="AH106" s="30" t="str">
        <x:f>IF(ISNUMBER(AG106),U106/AG106,"")</x:f>
      </x:c>
      <x:c r="AI106" s="3" t="str">
        <x:v>同年式・グレードの検証済み当時価格なし／登録年混在</x:v>
      </x:c>
      <x:c r="AJ106" s="3" t="str">
        <x:v>走行/条件情報あり</x:v>
      </x:c>
      <x:c r="AK106" s="3" t="str">
        <x:v>取得した検索結果ページの掲載。サイトの並び順による選択偏りあり。</x:v>
      </x:c>
      <x:c r="AL106" s="31" t="n">
        <x:f>IF(AND(J106&lt;='分析方法'!$B$7,OR(ISBLANK(O106),O106&gt;='分析方法'!$B$8),X106&lt;&gt;"売却済み表示"),1,0)</x:f>
        <x:v>1</x:v>
      </x:c>
      <x:c r="AM106" s="32" t="n">
        <x:f>IF(AL106=1,U106,"")</x:f>
        <x:v>799000</x:v>
      </x:c>
      <x:c r="AN106" s="33" t="str">
        <x:f>IF(AL106=1,AF106,"")</x:f>
      </x:c>
      <x:c r="AO106" s="31" t="n">
        <x:f>'分析方法'!$B$6-J106</x:f>
        <x:v>5</x:v>
      </x:c>
      <x:c r="AP106" s="3"/>
    </x:row>
    <x:row r="107" ht="22" customHeight="1">
      <x:c r="A107" s="3" t="str">
        <x:v>O_fortuner_283</x:v>
      </x:c>
      <x:c r="B107" s="7" t="d">
        <x:v>2026-10-08T00:00:00.000Z</x:v>
      </x:c>
      <x:c r="C107" s="3" t="str">
        <x:v>One2car</x:v>
      </x:c>
      <x:c r="D107" s="3" t="str">
        <x:v>Toyota</x:v>
      </x:c>
      <x:c r="E107" s="3" t="str">
        <x:v>日本</x:v>
      </x:c>
      <x:c r="F107" s="3" t="str">
        <x:v>Fortuner</x:v>
      </x:c>
      <x:c r="G107" s="3" t="str">
        <x:v>ICE</x:v>
      </x:c>
      <x:c r="H107" s="3" t="str">
        <x:v>SUV</x:v>
      </x:c>
      <x:c r="I107" s="3" t="str"/>
      <x:c r="J107" s="3" t="n">
        <x:v>2021</x:v>
      </x:c>
      <x:c r="K107" s="3" t="str">
        <x:v>Legender</x:v>
      </x:c>
      <x:c r="L107" s="3" t="str">
        <x:v>LEGENDER</x:v>
      </x:c>
      <x:c r="M107" s="22" t="n">
        <x:v>111320</x:v>
      </x:c>
      <x:c r="N107" s="22" t="n">
        <x:v>111320</x:v>
      </x:c>
      <x:c r="O107" s="22" t="n">
        <x:v>111320</x:v>
      </x:c>
      <x:c r="P107" s="3" t="str">
        <x:v>100–150千km</x:v>
      </x:c>
      <x:c r="Q107" s="3" t="str">
        <x:v>Bangkok</x:v>
      </x:c>
      <x:c r="R107" s="3" t="str">
        <x:v>Bangkok metro</x:v>
      </x:c>
      <x:c r="S107" s="3" t="str">
        <x:v>AT</x:v>
      </x:c>
      <x:c r="T107" s="3" t="str">
        <x:v>世代不明</x:v>
      </x:c>
      <x:c r="U107" s="28" t="n">
        <x:v>1070000</x:v>
      </x:c>
      <x:c r="V107" s="28"/>
      <x:c r="W107" s="3" t="str">
        <x:v>広告の申告のみ。事故・水没・SOH・保証残は未確認</x:v>
      </x:c>
      <x:c r="X107" s="3" t="str">
        <x:v>掲載中・在庫未確認</x:v>
      </x:c>
      <x:c r="Y107" s="3" t="str"/>
      <x:c r="Z107" s="27" t="str">
        <x:v>https://www.one2car.com/en/cars-for-sale/toyota/fortuner</x:v>
      </x:c>
      <x:c r="AA107" s="3" t="str">
        <x:v>掲載リンク参照#283／見出し行1548（永続IDではない）</x:v>
      </x:c>
      <x:c r="AB107" s="3" t="str">
        <x:v>車台番号未取得／サイト間重複は未判定</x:v>
      </x:c>
      <x:c r="AC107" s="3" t="str">
        <x:v>税込区分未確認</x:v>
      </x:c>
      <x:c r="AD107" s="3" t="str"/>
      <x:c r="AE107" s="29" t="str">
        <x:f>""</x:f>
      </x:c>
      <x:c r="AF107" s="30" t="str">
        <x:f>IF(ISNUMBER(AE107),U107/AE107,"")</x:f>
      </x:c>
      <x:c r="AG107" s="29" t="str">
        <x:f>""</x:f>
      </x:c>
      <x:c r="AH107" s="30" t="str">
        <x:f>IF(ISNUMBER(AG107),U107/AG107,"")</x:f>
      </x:c>
      <x:c r="AI107" s="3" t="str">
        <x:v>同年式・グレードの検証済み当時価格なし／登録年混在</x:v>
      </x:c>
      <x:c r="AJ107" s="3" t="str">
        <x:v>走行/条件情報あり</x:v>
      </x:c>
      <x:c r="AK107" s="3" t="str">
        <x:v>取得した検索結果ページの掲載。サイトの並び順による選択偏りあり。</x:v>
      </x:c>
      <x:c r="AL107" s="31" t="n">
        <x:f>IF(AND(J107&lt;='分析方法'!$B$7,OR(ISBLANK(O107),O107&gt;='分析方法'!$B$8),X107&lt;&gt;"売却済み表示"),1,0)</x:f>
        <x:v>1</x:v>
      </x:c>
      <x:c r="AM107" s="32" t="n">
        <x:f>IF(AL107=1,U107,"")</x:f>
        <x:v>1070000</x:v>
      </x:c>
      <x:c r="AN107" s="33" t="str">
        <x:f>IF(AL107=1,AF107,"")</x:f>
      </x:c>
      <x:c r="AO107" s="31" t="n">
        <x:f>'分析方法'!$B$6-J107</x:f>
        <x:v>5</x:v>
      </x:c>
      <x:c r="AP107" s="3"/>
    </x:row>
    <x:row r="108" ht="22" customHeight="1">
      <x:c r="A108" s="3" t="str">
        <x:v>O_fortuner_280</x:v>
      </x:c>
      <x:c r="B108" s="7" t="d">
        <x:v>2026-10-08T00:00:00.000Z</x:v>
      </x:c>
      <x:c r="C108" s="3" t="str">
        <x:v>One2car</x:v>
      </x:c>
      <x:c r="D108" s="3" t="str">
        <x:v>Toyota</x:v>
      </x:c>
      <x:c r="E108" s="3" t="str">
        <x:v>日本</x:v>
      </x:c>
      <x:c r="F108" s="3" t="str">
        <x:v>Fortuner</x:v>
      </x:c>
      <x:c r="G108" s="3" t="str">
        <x:v>ICE</x:v>
      </x:c>
      <x:c r="H108" s="3" t="str">
        <x:v>SUV</x:v>
      </x:c>
      <x:c r="I108" s="3" t="str"/>
      <x:c r="J108" s="3" t="n">
        <x:v>2021</x:v>
      </x:c>
      <x:c r="K108" s="3" t="str">
        <x:v>Legender</x:v>
      </x:c>
      <x:c r="L108" s="3" t="str">
        <x:v>LEGENDER</x:v>
      </x:c>
      <x:c r="M108" s="22" t="n">
        <x:v>75637</x:v>
      </x:c>
      <x:c r="N108" s="22" t="n">
        <x:v>75637</x:v>
      </x:c>
      <x:c r="O108" s="22" t="n">
        <x:v>75637</x:v>
      </x:c>
      <x:c r="P108" s="3" t="str">
        <x:v>50–100千km</x:v>
      </x:c>
      <x:c r="Q108" s="3" t="str">
        <x:v>Bangkok</x:v>
      </x:c>
      <x:c r="R108" s="3" t="str">
        <x:v>Bangkok metro</x:v>
      </x:c>
      <x:c r="S108" s="3" t="str">
        <x:v>AT</x:v>
      </x:c>
      <x:c r="T108" s="3" t="str">
        <x:v>世代不明</x:v>
      </x:c>
      <x:c r="U108" s="28" t="n">
        <x:v>1139000</x:v>
      </x:c>
      <x:c r="V108" s="28"/>
      <x:c r="W108" s="3" t="str">
        <x:v>広告の申告のみ。事故・水没・SOH・保証残は未確認</x:v>
      </x:c>
      <x:c r="X108" s="3" t="str">
        <x:v>掲載中・在庫未確認</x:v>
      </x:c>
      <x:c r="Y108" s="3" t="str"/>
      <x:c r="Z108" s="27" t="str">
        <x:v>https://www.one2car.com/en/cars-for-sale/toyota/fortuner</x:v>
      </x:c>
      <x:c r="AA108" s="3" t="str">
        <x:v>掲載リンク参照#280／見出し行1436（永続IDではない）</x:v>
      </x:c>
      <x:c r="AB108" s="3" t="str">
        <x:v>車台番号未取得／サイト間重複は未判定</x:v>
      </x:c>
      <x:c r="AC108" s="3" t="str">
        <x:v>税込区分未確認</x:v>
      </x:c>
      <x:c r="AD108" s="3" t="str"/>
      <x:c r="AE108" s="29" t="str">
        <x:f>""</x:f>
      </x:c>
      <x:c r="AF108" s="30" t="str">
        <x:f>IF(ISNUMBER(AE108),U108/AE108,"")</x:f>
      </x:c>
      <x:c r="AG108" s="29" t="str">
        <x:f>""</x:f>
      </x:c>
      <x:c r="AH108" s="30" t="str">
        <x:f>IF(ISNUMBER(AG108),U108/AG108,"")</x:f>
      </x:c>
      <x:c r="AI108" s="3" t="str">
        <x:v>同年式・グレードの検証済み当時価格なし／登録年混在</x:v>
      </x:c>
      <x:c r="AJ108" s="3" t="str">
        <x:v>走行/条件情報あり</x:v>
      </x:c>
      <x:c r="AK108" s="3" t="str">
        <x:v>取得した検索結果ページの掲載。サイトの並び順による選択偏りあり。</x:v>
      </x:c>
      <x:c r="AL108" s="31" t="n">
        <x:f>IF(AND(J108&lt;='分析方法'!$B$7,OR(ISBLANK(O108),O108&gt;='分析方法'!$B$8),X108&lt;&gt;"売却済み表示"),1,0)</x:f>
        <x:v>1</x:v>
      </x:c>
      <x:c r="AM108" s="32" t="n">
        <x:f>IF(AL108=1,U108,"")</x:f>
        <x:v>1139000</x:v>
      </x:c>
      <x:c r="AN108" s="33" t="str">
        <x:f>IF(AL108=1,AF108,"")</x:f>
      </x:c>
      <x:c r="AO108" s="31" t="n">
        <x:f>'分析方法'!$B$6-J108</x:f>
        <x:v>5</x:v>
      </x:c>
      <x:c r="AP108" s="3"/>
    </x:row>
    <x:row r="109" ht="22" customHeight="1">
      <x:c r="A109" s="3" t="str">
        <x:v>O_fortuner_285</x:v>
      </x:c>
      <x:c r="B109" s="7" t="d">
        <x:v>2026-10-08T00:00:00.000Z</x:v>
      </x:c>
      <x:c r="C109" s="3" t="str">
        <x:v>One2car</x:v>
      </x:c>
      <x:c r="D109" s="3" t="str">
        <x:v>Toyota</x:v>
      </x:c>
      <x:c r="E109" s="3" t="str">
        <x:v>日本</x:v>
      </x:c>
      <x:c r="F109" s="3" t="str">
        <x:v>Fortuner</x:v>
      </x:c>
      <x:c r="G109" s="3" t="str">
        <x:v>ICE</x:v>
      </x:c>
      <x:c r="H109" s="3" t="str">
        <x:v>SUV</x:v>
      </x:c>
      <x:c r="I109" s="3" t="str"/>
      <x:c r="J109" s="3" t="n">
        <x:v>2022</x:v>
      </x:c>
      <x:c r="K109" s="3" t="str">
        <x:v>GR Sport</x:v>
      </x:c>
      <x:c r="L109" s="3" t="str">
        <x:v>GR SPORT</x:v>
      </x:c>
      <x:c r="M109" s="22" t="n">
        <x:v>124826</x:v>
      </x:c>
      <x:c r="N109" s="22" t="n">
        <x:v>124826</x:v>
      </x:c>
      <x:c r="O109" s="22" t="n">
        <x:v>124826</x:v>
      </x:c>
      <x:c r="P109" s="3" t="str">
        <x:v>100–150千km</x:v>
      </x:c>
      <x:c r="Q109" s="3" t="str">
        <x:v>Bangkok</x:v>
      </x:c>
      <x:c r="R109" s="3" t="str">
        <x:v>Bangkok metro</x:v>
      </x:c>
      <x:c r="S109" s="3" t="str">
        <x:v>AT</x:v>
      </x:c>
      <x:c r="T109" s="3" t="str">
        <x:v>世代不明</x:v>
      </x:c>
      <x:c r="U109" s="28" t="n">
        <x:v>1150000</x:v>
      </x:c>
      <x:c r="V109" s="28"/>
      <x:c r="W109" s="3" t="str">
        <x:v>広告の申告のみ。事故・水没・SOH・保証残は未確認</x:v>
      </x:c>
      <x:c r="X109" s="3" t="str">
        <x:v>掲載中・在庫未確認</x:v>
      </x:c>
      <x:c r="Y109" s="3" t="str"/>
      <x:c r="Z109" s="27" t="str">
        <x:v>https://www.one2car.com/en/cars-for-sale/toyota/fortuner</x:v>
      </x:c>
      <x:c r="AA109" s="3" t="str">
        <x:v>掲載リンク参照#285／見出し行1620（永続IDではない）</x:v>
      </x:c>
      <x:c r="AB109" s="3" t="str">
        <x:v>車台番号未取得／サイト間重複は未判定</x:v>
      </x:c>
      <x:c r="AC109" s="3" t="str">
        <x:v>税込区分未確認</x:v>
      </x:c>
      <x:c r="AD109" s="3" t="str"/>
      <x:c r="AE109" s="29" t="str">
        <x:f>""</x:f>
      </x:c>
      <x:c r="AF109" s="30" t="str">
        <x:f>IF(ISNUMBER(AE109),U109/AE109,"")</x:f>
      </x:c>
      <x:c r="AG109" s="29" t="str">
        <x:f>""</x:f>
      </x:c>
      <x:c r="AH109" s="30" t="str">
        <x:f>IF(ISNUMBER(AG109),U109/AG109,"")</x:f>
      </x:c>
      <x:c r="AI109" s="3" t="str">
        <x:v>同年式・グレードの検証済み当時価格なし／登録年混在</x:v>
      </x:c>
      <x:c r="AJ109" s="3" t="str">
        <x:v>走行/条件情報あり</x:v>
      </x:c>
      <x:c r="AK109" s="3" t="str">
        <x:v>取得した検索結果ページの掲載。サイトの並び順による選択偏りあり。</x:v>
      </x:c>
      <x:c r="AL109" s="31" t="n">
        <x:f>IF(AND(J109&lt;='分析方法'!$B$7,OR(ISBLANK(O109),O109&gt;='分析方法'!$B$8),X109&lt;&gt;"売却済み表示"),1,0)</x:f>
        <x:v>1</x:v>
      </x:c>
      <x:c r="AM109" s="32" t="n">
        <x:f>IF(AL109=1,U109,"")</x:f>
        <x:v>1150000</x:v>
      </x:c>
      <x:c r="AN109" s="33" t="str">
        <x:f>IF(AL109=1,AF109,"")</x:f>
      </x:c>
      <x:c r="AO109" s="31" t="n">
        <x:f>'分析方法'!$B$6-J109</x:f>
        <x:v>4</x:v>
      </x:c>
      <x:c r="AP109" s="3"/>
    </x:row>
    <x:row r="110" ht="22" customHeight="1">
      <x:c r="A110" s="3" t="str">
        <x:v>O_fortuner_272</x:v>
      </x:c>
      <x:c r="B110" s="7" t="d">
        <x:v>2026-10-08T00:00:00.000Z</x:v>
      </x:c>
      <x:c r="C110" s="3" t="str">
        <x:v>One2car</x:v>
      </x:c>
      <x:c r="D110" s="3" t="str">
        <x:v>Toyota</x:v>
      </x:c>
      <x:c r="E110" s="3" t="str">
        <x:v>日本</x:v>
      </x:c>
      <x:c r="F110" s="3" t="str">
        <x:v>Fortuner</x:v>
      </x:c>
      <x:c r="G110" s="3" t="str">
        <x:v>ICE</x:v>
      </x:c>
      <x:c r="H110" s="3" t="str">
        <x:v>SUV</x:v>
      </x:c>
      <x:c r="I110" s="3" t="str"/>
      <x:c r="J110" s="3" t="n">
        <x:v>2022</x:v>
      </x:c>
      <x:c r="K110" s="3" t="str">
        <x:v>Legender</x:v>
      </x:c>
      <x:c r="L110" s="3" t="str">
        <x:v>LEGENDER</x:v>
      </x:c>
      <x:c r="M110" s="22" t="n">
        <x:v>85037</x:v>
      </x:c>
      <x:c r="N110" s="22" t="n">
        <x:v>85037</x:v>
      </x:c>
      <x:c r="O110" s="22" t="n">
        <x:v>85037</x:v>
      </x:c>
      <x:c r="P110" s="3" t="str">
        <x:v>50–100千km</x:v>
      </x:c>
      <x:c r="Q110" s="3" t="str">
        <x:v>Bangkok</x:v>
      </x:c>
      <x:c r="R110" s="3" t="str">
        <x:v>Bangkok metro</x:v>
      </x:c>
      <x:c r="S110" s="3" t="str">
        <x:v>AT</x:v>
      </x:c>
      <x:c r="T110" s="3" t="str">
        <x:v>世代不明</x:v>
      </x:c>
      <x:c r="U110" s="28" t="n">
        <x:v>979000</x:v>
      </x:c>
      <x:c r="V110" s="28"/>
      <x:c r="W110" s="3" t="str">
        <x:v>広告の申告のみ。事故・水没・SOH・保証残は未確認</x:v>
      </x:c>
      <x:c r="X110" s="3" t="str">
        <x:v>掲載中・在庫未確認</x:v>
      </x:c>
      <x:c r="Y110" s="3" t="str"/>
      <x:c r="Z110" s="27" t="str">
        <x:v>https://www.one2car.com/en/cars-for-sale/toyota/fortuner</x:v>
      </x:c>
      <x:c r="AA110" s="3" t="str">
        <x:v>掲載リンク参照#272／見出し行1183（永続IDではない）</x:v>
      </x:c>
      <x:c r="AB110" s="3" t="str">
        <x:v>車台番号未取得／サイト間重複は未判定</x:v>
      </x:c>
      <x:c r="AC110" s="3" t="str">
        <x:v>税込区分未確認</x:v>
      </x:c>
      <x:c r="AD110" s="3" t="str"/>
      <x:c r="AE110" s="29" t="str">
        <x:f>""</x:f>
      </x:c>
      <x:c r="AF110" s="30" t="str">
        <x:f>IF(ISNUMBER(AE110),U110/AE110,"")</x:f>
      </x:c>
      <x:c r="AG110" s="29" t="str">
        <x:f>""</x:f>
      </x:c>
      <x:c r="AH110" s="30" t="str">
        <x:f>IF(ISNUMBER(AG110),U110/AG110,"")</x:f>
      </x:c>
      <x:c r="AI110" s="3" t="str">
        <x:v>同年式・グレードの検証済み当時価格なし／登録年混在</x:v>
      </x:c>
      <x:c r="AJ110" s="3" t="str">
        <x:v>走行/条件情報あり</x:v>
      </x:c>
      <x:c r="AK110" s="3" t="str">
        <x:v>取得した検索結果ページの掲載。サイトの並び順による選択偏りあり。</x:v>
      </x:c>
      <x:c r="AL110" s="31" t="n">
        <x:f>IF(AND(J110&lt;='分析方法'!$B$7,OR(ISBLANK(O110),O110&gt;='分析方法'!$B$8),X110&lt;&gt;"売却済み表示"),1,0)</x:f>
        <x:v>1</x:v>
      </x:c>
      <x:c r="AM110" s="32" t="n">
        <x:f>IF(AL110=1,U110,"")</x:f>
        <x:v>979000</x:v>
      </x:c>
      <x:c r="AN110" s="33" t="str">
        <x:f>IF(AL110=1,AF110,"")</x:f>
      </x:c>
      <x:c r="AO110" s="31" t="n">
        <x:f>'分析方法'!$B$6-J110</x:f>
        <x:v>4</x:v>
      </x:c>
      <x:c r="AP110" s="3"/>
    </x:row>
    <x:row r="111" ht="22" customHeight="1">
      <x:c r="A111" s="3" t="str">
        <x:v>O_fortuner_266</x:v>
      </x:c>
      <x:c r="B111" s="7" t="d">
        <x:v>2026-10-08T00:00:00.000Z</x:v>
      </x:c>
      <x:c r="C111" s="3" t="str">
        <x:v>One2car</x:v>
      </x:c>
      <x:c r="D111" s="3" t="str">
        <x:v>Toyota</x:v>
      </x:c>
      <x:c r="E111" s="3" t="str">
        <x:v>日本</x:v>
      </x:c>
      <x:c r="F111" s="3" t="str">
        <x:v>Fortuner</x:v>
      </x:c>
      <x:c r="G111" s="3" t="str">
        <x:v>ICE</x:v>
      </x:c>
      <x:c r="H111" s="3" t="str">
        <x:v>SUV</x:v>
      </x:c>
      <x:c r="I111" s="3" t="str"/>
      <x:c r="J111" s="3" t="n">
        <x:v>2022</x:v>
      </x:c>
      <x:c r="K111" s="3" t="str">
        <x:v>V</x:v>
      </x:c>
      <x:c r="L111" s="3" t="str">
        <x:v>V</x:v>
      </x:c>
      <x:c r="M111" s="22"/>
      <x:c r="N111" s="22" t="n">
        <x:v>95000</x:v>
      </x:c>
      <x:c r="O111" s="22" t="n">
        <x:v>100000</x:v>
      </x:c>
      <x:c r="P111" s="3" t="str">
        <x:v>50–100千km</x:v>
      </x:c>
      <x:c r="Q111" s="3" t="str">
        <x:v>Bangkok</x:v>
      </x:c>
      <x:c r="R111" s="3" t="str">
        <x:v>Bangkok metro</x:v>
      </x:c>
      <x:c r="S111" s="3" t="str">
        <x:v>AT</x:v>
      </x:c>
      <x:c r="T111" s="3" t="str">
        <x:v>世代不明</x:v>
      </x:c>
      <x:c r="U111" s="28" t="n">
        <x:v>799000</x:v>
      </x:c>
      <x:c r="V111" s="28"/>
      <x:c r="W111" s="3" t="str">
        <x:v>広告の申告のみ。事故・水没・SOH・保証残は未確認</x:v>
      </x:c>
      <x:c r="X111" s="3" t="str">
        <x:v>掲載中・在庫未確認</x:v>
      </x:c>
      <x:c r="Y111" s="3" t="str"/>
      <x:c r="Z111" s="27" t="str">
        <x:v>https://www.one2car.com/en/cars-for-sale/toyota/fortuner</x:v>
      </x:c>
      <x:c r="AA111" s="3" t="str">
        <x:v>掲載リンク参照#266／見出し行999（永続IDではない）</x:v>
      </x:c>
      <x:c r="AB111" s="3" t="str">
        <x:v>車台番号未取得／サイト間重複は未判定</x:v>
      </x:c>
      <x:c r="AC111" s="3" t="str">
        <x:v>税込区分未確認</x:v>
      </x:c>
      <x:c r="AD111" s="3" t="str"/>
      <x:c r="AE111" s="29" t="str">
        <x:f>""</x:f>
      </x:c>
      <x:c r="AF111" s="30" t="str">
        <x:f>IF(ISNUMBER(AE111),U111/AE111,"")</x:f>
      </x:c>
      <x:c r="AG111" s="29" t="str">
        <x:f>""</x:f>
      </x:c>
      <x:c r="AH111" s="30" t="str">
        <x:f>IF(ISNUMBER(AG111),U111/AG111,"")</x:f>
      </x:c>
      <x:c r="AI111" s="3" t="str">
        <x:v>同年式・グレードの検証済み当時価格なし／登録年混在</x:v>
      </x:c>
      <x:c r="AJ111" s="3" t="str">
        <x:v>走行/条件情報あり</x:v>
      </x:c>
      <x:c r="AK111" s="3" t="str">
        <x:v>取得した検索結果ページの掲載。サイトの並び順による選択偏りあり。</x:v>
      </x:c>
      <x:c r="AL111" s="31" t="n">
        <x:f>IF(AND(J111&lt;='分析方法'!$B$7,OR(ISBLANK(O111),O111&gt;='分析方法'!$B$8),X111&lt;&gt;"売却済み表示"),1,0)</x:f>
        <x:v>1</x:v>
      </x:c>
      <x:c r="AM111" s="32" t="n">
        <x:f>IF(AL111=1,U111,"")</x:f>
        <x:v>799000</x:v>
      </x:c>
      <x:c r="AN111" s="33" t="str">
        <x:f>IF(AL111=1,AF111,"")</x:f>
      </x:c>
      <x:c r="AO111" s="31" t="n">
        <x:f>'分析方法'!$B$6-J111</x:f>
        <x:v>4</x:v>
      </x:c>
      <x:c r="AP111" s="3"/>
    </x:row>
    <x:row r="112" ht="22" customHeight="1">
      <x:c r="A112" s="3" t="str">
        <x:v>O_fortuner_286</x:v>
      </x:c>
      <x:c r="B112" s="7" t="d">
        <x:v>2026-10-08T00:00:00.000Z</x:v>
      </x:c>
      <x:c r="C112" s="3" t="str">
        <x:v>One2car</x:v>
      </x:c>
      <x:c r="D112" s="3" t="str">
        <x:v>Toyota</x:v>
      </x:c>
      <x:c r="E112" s="3" t="str">
        <x:v>日本</x:v>
      </x:c>
      <x:c r="F112" s="3" t="str">
        <x:v>Fortuner</x:v>
      </x:c>
      <x:c r="G112" s="3" t="str">
        <x:v>ICE</x:v>
      </x:c>
      <x:c r="H112" s="3" t="str">
        <x:v>SUV</x:v>
      </x:c>
      <x:c r="I112" s="3" t="str"/>
      <x:c r="J112" s="3" t="n">
        <x:v>2022</x:v>
      </x:c>
      <x:c r="K112" s="3" t="str">
        <x:v>V</x:v>
      </x:c>
      <x:c r="L112" s="3" t="str">
        <x:v>V</x:v>
      </x:c>
      <x:c r="M112" s="22" t="n">
        <x:v>76019</x:v>
      </x:c>
      <x:c r="N112" s="22" t="n">
        <x:v>76019</x:v>
      </x:c>
      <x:c r="O112" s="22" t="n">
        <x:v>76019</x:v>
      </x:c>
      <x:c r="P112" s="3" t="str">
        <x:v>50–100千km</x:v>
      </x:c>
      <x:c r="Q112" s="3" t="str">
        <x:v>Bangkok</x:v>
      </x:c>
      <x:c r="R112" s="3" t="str">
        <x:v>Bangkok metro</x:v>
      </x:c>
      <x:c r="S112" s="3" t="str">
        <x:v>AT</x:v>
      </x:c>
      <x:c r="T112" s="3" t="str">
        <x:v>世代不明</x:v>
      </x:c>
      <x:c r="U112" s="28" t="n">
        <x:v>899000</x:v>
      </x:c>
      <x:c r="V112" s="28"/>
      <x:c r="W112" s="3" t="str">
        <x:v>広告の申告のみ。事故・水没・SOH・保証残は未確認</x:v>
      </x:c>
      <x:c r="X112" s="3" t="str">
        <x:v>掲載中・在庫未確認</x:v>
      </x:c>
      <x:c r="Y112" s="3" t="str"/>
      <x:c r="Z112" s="27" t="str">
        <x:v>https://www.one2car.com/en/cars-for-sale/toyota/fortuner</x:v>
      </x:c>
      <x:c r="AA112" s="3" t="str">
        <x:v>掲載リンク参照#286／見出し行1655（永続IDではない）</x:v>
      </x:c>
      <x:c r="AB112" s="3" t="str">
        <x:v>車台番号未取得／サイト間重複は未判定</x:v>
      </x:c>
      <x:c r="AC112" s="3" t="str">
        <x:v>税込区分未確認</x:v>
      </x:c>
      <x:c r="AD112" s="3" t="str"/>
      <x:c r="AE112" s="29" t="str">
        <x:f>""</x:f>
      </x:c>
      <x:c r="AF112" s="30" t="str">
        <x:f>IF(ISNUMBER(AE112),U112/AE112,"")</x:f>
      </x:c>
      <x:c r="AG112" s="29" t="str">
        <x:f>""</x:f>
      </x:c>
      <x:c r="AH112" s="30" t="str">
        <x:f>IF(ISNUMBER(AG112),U112/AG112,"")</x:f>
      </x:c>
      <x:c r="AI112" s="3" t="str">
        <x:v>同年式・グレードの検証済み当時価格なし／登録年混在</x:v>
      </x:c>
      <x:c r="AJ112" s="3" t="str">
        <x:v>走行/条件情報あり</x:v>
      </x:c>
      <x:c r="AK112" s="3" t="str">
        <x:v>取得した検索結果ページの掲載。サイトの並び順による選択偏りあり。</x:v>
      </x:c>
      <x:c r="AL112" s="31" t="n">
        <x:f>IF(AND(J112&lt;='分析方法'!$B$7,OR(ISBLANK(O112),O112&gt;='分析方法'!$B$8),X112&lt;&gt;"売却済み表示"),1,0)</x:f>
        <x:v>1</x:v>
      </x:c>
      <x:c r="AM112" s="32" t="n">
        <x:f>IF(AL112=1,U112,"")</x:f>
        <x:v>899000</x:v>
      </x:c>
      <x:c r="AN112" s="33" t="str">
        <x:f>IF(AL112=1,AF112,"")</x:f>
      </x:c>
      <x:c r="AO112" s="31" t="n">
        <x:f>'分析方法'!$B$6-J112</x:f>
        <x:v>4</x:v>
      </x:c>
      <x:c r="AP112" s="3"/>
    </x:row>
    <x:row r="113" ht="22" customHeight="1">
      <x:c r="A113" s="3" t="str">
        <x:v>O_fortuner_269</x:v>
      </x:c>
      <x:c r="B113" s="7" t="d">
        <x:v>2026-10-08T00:00:00.000Z</x:v>
      </x:c>
      <x:c r="C113" s="3" t="str">
        <x:v>One2car</x:v>
      </x:c>
      <x:c r="D113" s="3" t="str">
        <x:v>Toyota</x:v>
      </x:c>
      <x:c r="E113" s="3" t="str">
        <x:v>日本</x:v>
      </x:c>
      <x:c r="F113" s="3" t="str">
        <x:v>Fortuner</x:v>
      </x:c>
      <x:c r="G113" s="3" t="str">
        <x:v>ICE</x:v>
      </x:c>
      <x:c r="H113" s="3" t="str">
        <x:v>SUV</x:v>
      </x:c>
      <x:c r="I113" s="3" t="str"/>
      <x:c r="J113" s="3" t="n">
        <x:v>2024</x:v>
      </x:c>
      <x:c r="K113" s="3" t="str">
        <x:v>GR Sport</x:v>
      </x:c>
      <x:c r="L113" s="3" t="str">
        <x:v>GR SPORT</x:v>
      </x:c>
      <x:c r="M113" s="22" t="n">
        <x:v>32196</x:v>
      </x:c>
      <x:c r="N113" s="22" t="n">
        <x:v>32196</x:v>
      </x:c>
      <x:c r="O113" s="22" t="n">
        <x:v>32196</x:v>
      </x:c>
      <x:c r="P113" s="3" t="str">
        <x:v>20–50千km</x:v>
      </x:c>
      <x:c r="Q113" s="3" t="str">
        <x:v>Bangkok</x:v>
      </x:c>
      <x:c r="R113" s="3" t="str">
        <x:v>Bangkok metro</x:v>
      </x:c>
      <x:c r="S113" s="3" t="str">
        <x:v>AT</x:v>
      </x:c>
      <x:c r="T113" s="3" t="str">
        <x:v>世代不明</x:v>
      </x:c>
      <x:c r="U113" s="28" t="n">
        <x:v>1420000</x:v>
      </x:c>
      <x:c r="V113" s="28"/>
      <x:c r="W113" s="3" t="str">
        <x:v>広告の申告のみ。事故・水没・SOH・保証残は未確認</x:v>
      </x:c>
      <x:c r="X113" s="3" t="str">
        <x:v>掲載中・在庫未確認</x:v>
      </x:c>
      <x:c r="Y113" s="3" t="str"/>
      <x:c r="Z113" s="27" t="str">
        <x:v>https://www.one2car.com/en/cars-for-sale/toyota/fortuner</x:v>
      </x:c>
      <x:c r="AA113" s="3" t="str">
        <x:v>掲載リンク参照#269／見出し行1071（永続IDではない）</x:v>
      </x:c>
      <x:c r="AB113" s="3" t="str">
        <x:v>車台番号未取得／サイト間重複は未判定</x:v>
      </x:c>
      <x:c r="AC113" s="3" t="str">
        <x:v>税込区分未確認</x:v>
      </x:c>
      <x:c r="AD113" s="3" t="str"/>
      <x:c r="AE113" s="29" t="str">
        <x:f>""</x:f>
      </x:c>
      <x:c r="AF113" s="30" t="str">
        <x:f>IF(ISNUMBER(AE113),U113/AE113,"")</x:f>
      </x:c>
      <x:c r="AG113" s="29" t="str">
        <x:f>""</x:f>
      </x:c>
      <x:c r="AH113" s="30" t="str">
        <x:f>IF(ISNUMBER(AG113),U113/AG113,"")</x:f>
      </x:c>
      <x:c r="AI113" s="3" t="str">
        <x:v>同年式・グレードの検証済み当時価格なし／登録年混在</x:v>
      </x:c>
      <x:c r="AJ113" s="3" t="str">
        <x:v>走行/条件情報あり</x:v>
      </x:c>
      <x:c r="AK113" s="3" t="str">
        <x:v>取得した検索結果ページの掲載。サイトの並び順による選択偏りあり。</x:v>
      </x:c>
      <x:c r="AL113" s="31" t="n">
        <x:f>IF(AND(J113&lt;='分析方法'!$B$7,OR(ISBLANK(O113),O113&gt;='分析方法'!$B$8),X113&lt;&gt;"売却済み表示"),1,0)</x:f>
        <x:v>1</x:v>
      </x:c>
      <x:c r="AM113" s="32" t="n">
        <x:f>IF(AL113=1,U113,"")</x:f>
        <x:v>1420000</x:v>
      </x:c>
      <x:c r="AN113" s="33" t="str">
        <x:f>IF(AL113=1,AF113,"")</x:f>
      </x:c>
      <x:c r="AO113" s="31" t="n">
        <x:f>'分析方法'!$B$6-J113</x:f>
        <x:v>2</x:v>
      </x:c>
      <x:c r="AP113" s="3"/>
    </x:row>
    <x:row r="114" ht="22" customHeight="1">
      <x:c r="A114" s="3" t="str">
        <x:v>O_fortuner_276</x:v>
      </x:c>
      <x:c r="B114" s="7" t="d">
        <x:v>2026-10-08T00:00:00.000Z</x:v>
      </x:c>
      <x:c r="C114" s="3" t="str">
        <x:v>One2car</x:v>
      </x:c>
      <x:c r="D114" s="3" t="str">
        <x:v>Toyota</x:v>
      </x:c>
      <x:c r="E114" s="3" t="str">
        <x:v>日本</x:v>
      </x:c>
      <x:c r="F114" s="3" t="str">
        <x:v>Fortuner</x:v>
      </x:c>
      <x:c r="G114" s="3" t="str">
        <x:v>ICE</x:v>
      </x:c>
      <x:c r="H114" s="3" t="str">
        <x:v>SUV</x:v>
      </x:c>
      <x:c r="I114" s="3" t="str"/>
      <x:c r="J114" s="3" t="n">
        <x:v>2024</x:v>
      </x:c>
      <x:c r="K114" s="3" t="str">
        <x:v>Leader G</x:v>
      </x:c>
      <x:c r="L114" s="3" t="str">
        <x:v>LEADER G</x:v>
      </x:c>
      <x:c r="M114" s="22"/>
      <x:c r="N114" s="22" t="n">
        <x:v>15000</x:v>
      </x:c>
      <x:c r="O114" s="22" t="n">
        <x:v>20000</x:v>
      </x:c>
      <x:c r="P114" s="3" t="str">
        <x:v>境界を跨ぐ表示レンジ</x:v>
      </x:c>
      <x:c r="Q114" s="3" t="str">
        <x:v>Pathum Thani</x:v>
      </x:c>
      <x:c r="R114" s="3" t="str">
        <x:v>Bangkok metro</x:v>
      </x:c>
      <x:c r="S114" s="3" t="str">
        <x:v>AT</x:v>
      </x:c>
      <x:c r="T114" s="3" t="str">
        <x:v>世代不明</x:v>
      </x:c>
      <x:c r="U114" s="28" t="n">
        <x:v>959000</x:v>
      </x:c>
      <x:c r="V114" s="28"/>
      <x:c r="W114" s="3" t="str">
        <x:v>広告の申告のみ。事故・水没・SOH・保証残は未確認</x:v>
      </x:c>
      <x:c r="X114" s="3" t="str">
        <x:v>掲載中・在庫未確認</x:v>
      </x:c>
      <x:c r="Y114" s="3" t="str"/>
      <x:c r="Z114" s="27" t="str">
        <x:v>https://www.one2car.com/en/cars-for-sale/toyota/fortuner</x:v>
      </x:c>
      <x:c r="AA114" s="3" t="str">
        <x:v>掲載リンク参照#276／見出し行1292（永続IDではない）</x:v>
      </x:c>
      <x:c r="AB114" s="3" t="str">
        <x:v>車台番号未取得／サイト間重複は未判定</x:v>
      </x:c>
      <x:c r="AC114" s="3" t="str">
        <x:v>税込区分未確認</x:v>
      </x:c>
      <x:c r="AD114" s="3" t="str"/>
      <x:c r="AE114" s="29" t="str">
        <x:f>""</x:f>
      </x:c>
      <x:c r="AF114" s="30" t="str">
        <x:f>IF(ISNUMBER(AE114),U114/AE114,"")</x:f>
      </x:c>
      <x:c r="AG114" s="29" t="str">
        <x:f>""</x:f>
      </x:c>
      <x:c r="AH114" s="30" t="str">
        <x:f>IF(ISNUMBER(AG114),U114/AG114,"")</x:f>
      </x:c>
      <x:c r="AI114" s="3" t="str">
        <x:v>同年式・グレードの検証済み当時価格なし／登録年混在</x:v>
      </x:c>
      <x:c r="AJ114" s="3" t="str">
        <x:v>走行/条件情報あり</x:v>
      </x:c>
      <x:c r="AK114" s="3" t="str">
        <x:v>取得した検索結果ページの掲載。サイトの並び順による選択偏りあり。</x:v>
      </x:c>
      <x:c r="AL114" s="31" t="n">
        <x:f>IF(AND(J114&lt;='分析方法'!$B$7,OR(ISBLANK(O114),O114&gt;='分析方法'!$B$8),X114&lt;&gt;"売却済み表示"),1,0)</x:f>
        <x:v>1</x:v>
      </x:c>
      <x:c r="AM114" s="32" t="n">
        <x:f>IF(AL114=1,U114,"")</x:f>
        <x:v>959000</x:v>
      </x:c>
      <x:c r="AN114" s="33" t="str">
        <x:f>IF(AL114=1,AF114,"")</x:f>
      </x:c>
      <x:c r="AO114" s="31" t="n">
        <x:f>'分析方法'!$B$6-J114</x:f>
        <x:v>2</x:v>
      </x:c>
      <x:c r="AP114" s="3"/>
    </x:row>
    <x:row r="115" ht="22" customHeight="1">
      <x:c r="A115" s="3" t="str">
        <x:v>O_fortuner_284</x:v>
      </x:c>
      <x:c r="B115" s="7" t="d">
        <x:v>2026-10-08T00:00:00.000Z</x:v>
      </x:c>
      <x:c r="C115" s="3" t="str">
        <x:v>One2car</x:v>
      </x:c>
      <x:c r="D115" s="3" t="str">
        <x:v>Toyota</x:v>
      </x:c>
      <x:c r="E115" s="3" t="str">
        <x:v>日本</x:v>
      </x:c>
      <x:c r="F115" s="3" t="str">
        <x:v>Fortuner</x:v>
      </x:c>
      <x:c r="G115" s="3" t="str">
        <x:v>ICE</x:v>
      </x:c>
      <x:c r="H115" s="3" t="str">
        <x:v>SUV</x:v>
      </x:c>
      <x:c r="I115" s="3" t="str"/>
      <x:c r="J115" s="3" t="n">
        <x:v>2024</x:v>
      </x:c>
      <x:c r="K115" s="3" t="str">
        <x:v>Legender</x:v>
      </x:c>
      <x:c r="L115" s="3" t="str">
        <x:v>LEGENDER</x:v>
      </x:c>
      <x:c r="M115" s="22" t="n">
        <x:v>85450</x:v>
      </x:c>
      <x:c r="N115" s="22" t="n">
        <x:v>85450</x:v>
      </x:c>
      <x:c r="O115" s="22" t="n">
        <x:v>85450</x:v>
      </x:c>
      <x:c r="P115" s="3" t="str">
        <x:v>50–100千km</x:v>
      </x:c>
      <x:c r="Q115" s="3" t="str">
        <x:v>Bangkok</x:v>
      </x:c>
      <x:c r="R115" s="3" t="str">
        <x:v>Bangkok metro</x:v>
      </x:c>
      <x:c r="S115" s="3" t="str">
        <x:v>AT</x:v>
      </x:c>
      <x:c r="T115" s="3" t="str">
        <x:v>世代不明</x:v>
      </x:c>
      <x:c r="U115" s="28" t="n">
        <x:v>1150000</x:v>
      </x:c>
      <x:c r="V115" s="28"/>
      <x:c r="W115" s="3" t="str">
        <x:v>広告の申告のみ。事故・水没・SOH・保証残は未確認</x:v>
      </x:c>
      <x:c r="X115" s="3" t="str">
        <x:v>掲載中・在庫未確認</x:v>
      </x:c>
      <x:c r="Y115" s="3" t="str"/>
      <x:c r="Z115" s="27" t="str">
        <x:v>https://www.one2car.com/en/cars-for-sale/toyota/fortuner</x:v>
      </x:c>
      <x:c r="AA115" s="3" t="str">
        <x:v>掲載リンク参照#284／見出し行1584（永続IDではない）</x:v>
      </x:c>
      <x:c r="AB115" s="3" t="str">
        <x:v>車台番号未取得／サイト間重複は未判定</x:v>
      </x:c>
      <x:c r="AC115" s="3" t="str">
        <x:v>税込区分未確認</x:v>
      </x:c>
      <x:c r="AD115" s="3" t="str"/>
      <x:c r="AE115" s="29" t="str">
        <x:f>""</x:f>
      </x:c>
      <x:c r="AF115" s="30" t="str">
        <x:f>IF(ISNUMBER(AE115),U115/AE115,"")</x:f>
      </x:c>
      <x:c r="AG115" s="29" t="str">
        <x:f>""</x:f>
      </x:c>
      <x:c r="AH115" s="30" t="str">
        <x:f>IF(ISNUMBER(AG115),U115/AG115,"")</x:f>
      </x:c>
      <x:c r="AI115" s="3" t="str">
        <x:v>同年式・グレードの検証済み当時価格なし／登録年混在</x:v>
      </x:c>
      <x:c r="AJ115" s="3" t="str">
        <x:v>走行/条件情報あり</x:v>
      </x:c>
      <x:c r="AK115" s="3" t="str">
        <x:v>取得した検索結果ページの掲載。サイトの並び順による選択偏りあり。</x:v>
      </x:c>
      <x:c r="AL115" s="31" t="n">
        <x:f>IF(AND(J115&lt;='分析方法'!$B$7,OR(ISBLANK(O115),O115&gt;='分析方法'!$B$8),X115&lt;&gt;"売却済み表示"),1,0)</x:f>
        <x:v>1</x:v>
      </x:c>
      <x:c r="AM115" s="32" t="n">
        <x:f>IF(AL115=1,U115,"")</x:f>
        <x:v>1150000</x:v>
      </x:c>
      <x:c r="AN115" s="33" t="str">
        <x:f>IF(AL115=1,AF115,"")</x:f>
      </x:c>
      <x:c r="AO115" s="31" t="n">
        <x:f>'分析方法'!$B$6-J115</x:f>
        <x:v>2</x:v>
      </x:c>
      <x:c r="AP115" s="3"/>
    </x:row>
    <x:row r="116" ht="22" customHeight="1">
      <x:c r="A116" s="3" t="str">
        <x:v>O_hilux-revo_299</x:v>
      </x:c>
      <x:c r="B116" s="7" t="d">
        <x:v>2026-10-08T00:00:00.000Z</x:v>
      </x:c>
      <x:c r="C116" s="3" t="str">
        <x:v>One2car</x:v>
      </x:c>
      <x:c r="D116" s="3" t="str">
        <x:v>Toyota</x:v>
      </x:c>
      <x:c r="E116" s="3" t="str">
        <x:v>日本</x:v>
      </x:c>
      <x:c r="F116" s="3" t="str">
        <x:v>Hilux Revo</x:v>
      </x:c>
      <x:c r="G116" s="3" t="str">
        <x:v>ICE</x:v>
      </x:c>
      <x:c r="H116" s="3" t="str">
        <x:v>Pickup</x:v>
      </x:c>
      <x:c r="I116" s="3" t="str">
        <x:v>Double cab</x:v>
      </x:c>
      <x:c r="J116" s="3" t="n">
        <x:v>2020</x:v>
      </x:c>
      <x:c r="K116" s="3" t="str">
        <x:v>Toyota HILUX REVO 2.4 Double Cab Z Edition Entry</x:v>
      </x:c>
      <x:c r="L116" s="3" t="str">
        <x:v>TOYOTA HILUX REVO 2.4 DOUBLE CAB Z EDITION ENTRY</x:v>
      </x:c>
      <x:c r="M116" s="22"/>
      <x:c r="N116" s="22" t="n">
        <x:v>80000</x:v>
      </x:c>
      <x:c r="O116" s="22" t="n">
        <x:v>85000</x:v>
      </x:c>
      <x:c r="P116" s="3" t="str">
        <x:v>50–100千km</x:v>
      </x:c>
      <x:c r="Q116" s="3" t="str">
        <x:v>Bangkok</x:v>
      </x:c>
      <x:c r="R116" s="3" t="str">
        <x:v>Bangkok metro</x:v>
      </x:c>
      <x:c r="S116" s="3" t="str">
        <x:v>MT</x:v>
      </x:c>
      <x:c r="T116" s="3" t="str">
        <x:v>世代不明</x:v>
      </x:c>
      <x:c r="U116" s="28" t="n">
        <x:v>399000</x:v>
      </x:c>
      <x:c r="V116" s="28"/>
      <x:c r="W116" s="3" t="str">
        <x:v>広告の申告のみ。事故・水没・SOH・保証残は未確認</x:v>
      </x:c>
      <x:c r="X116" s="3" t="str">
        <x:v>掲載中・在庫未確認</x:v>
      </x:c>
      <x:c r="Y116" s="3" t="str"/>
      <x:c r="Z116" s="27" t="str">
        <x:v>https://www.one2car.com/en/cars-for-sale/toyota/hilux-revo</x:v>
      </x:c>
      <x:c r="AA116" s="3" t="str">
        <x:v>掲載リンク参照#299／見出し行990（永続IDではない）</x:v>
      </x:c>
      <x:c r="AB116" s="3" t="str">
        <x:v>車台番号未取得／サイト間重複は未判定</x:v>
      </x:c>
      <x:c r="AC116" s="3" t="str">
        <x:v>税込区分未確認</x:v>
      </x:c>
      <x:c r="AD116" s="3" t="str"/>
      <x:c r="AE116" s="29" t="str">
        <x:f>""</x:f>
      </x:c>
      <x:c r="AF116" s="30" t="str">
        <x:f>IF(ISNUMBER(AE116),U116/AE116,"")</x:f>
      </x:c>
      <x:c r="AG116" s="29" t="str">
        <x:f>""</x:f>
      </x:c>
      <x:c r="AH116" s="30" t="str">
        <x:f>IF(ISNUMBER(AG116),U116/AG116,"")</x:f>
      </x:c>
      <x:c r="AI116" s="3" t="str">
        <x:v>同年式・グレードの検証済み当時価格なし／登録年混在</x:v>
      </x:c>
      <x:c r="AJ116" s="3" t="str">
        <x:v>走行/条件情報あり</x:v>
      </x:c>
      <x:c r="AK116" s="3" t="str">
        <x:v>取得した検索結果ページの掲載。サイトの並び順による選択偏りあり。</x:v>
      </x:c>
      <x:c r="AL116" s="31" t="n">
        <x:f>IF(AND(J116&lt;='分析方法'!$B$7,OR(ISBLANK(O116),O116&gt;='分析方法'!$B$8),X116&lt;&gt;"売却済み表示"),1,0)</x:f>
        <x:v>1</x:v>
      </x:c>
      <x:c r="AM116" s="32" t="n">
        <x:f>IF(AL116=1,U116,"")</x:f>
        <x:v>399000</x:v>
      </x:c>
      <x:c r="AN116" s="33" t="str">
        <x:f>IF(AL116=1,AF116,"")</x:f>
      </x:c>
      <x:c r="AO116" s="31" t="n">
        <x:f>'分析方法'!$B$6-J116</x:f>
        <x:v>6</x:v>
      </x:c>
      <x:c r="AP116" s="3"/>
    </x:row>
    <x:row r="117" ht="22" customHeight="1">
      <x:c r="A117" s="3" t="str">
        <x:v>O_hilux-revo_303</x:v>
      </x:c>
      <x:c r="B117" s="7" t="d">
        <x:v>2026-10-08T00:00:00.000Z</x:v>
      </x:c>
      <x:c r="C117" s="3" t="str">
        <x:v>One2car</x:v>
      </x:c>
      <x:c r="D117" s="3" t="str">
        <x:v>Toyota</x:v>
      </x:c>
      <x:c r="E117" s="3" t="str">
        <x:v>日本</x:v>
      </x:c>
      <x:c r="F117" s="3" t="str">
        <x:v>Hilux Revo</x:v>
      </x:c>
      <x:c r="G117" s="3" t="str">
        <x:v>ICE</x:v>
      </x:c>
      <x:c r="H117" s="3" t="str">
        <x:v>Pickup</x:v>
      </x:c>
      <x:c r="I117" s="3" t="str">
        <x:v>Smart cab</x:v>
      </x:c>
      <x:c r="J117" s="3" t="n">
        <x:v>2020</x:v>
      </x:c>
      <x:c r="K117" s="3" t="str">
        <x:v>Toyota HILUX REVO 2.4 Smart Cab Mid</x:v>
      </x:c>
      <x:c r="L117" s="3" t="str">
        <x:v>TOYOTA HILUX REVO 2.4 SMART CAB MID</x:v>
      </x:c>
      <x:c r="M117" s="22"/>
      <x:c r="N117" s="22" t="n">
        <x:v>5000</x:v>
      </x:c>
      <x:c r="O117" s="22" t="n">
        <x:v>10000</x:v>
      </x:c>
      <x:c r="P117" s="3" t="str">
        <x:v>&lt;20千km</x:v>
      </x:c>
      <x:c r="Q117" s="3" t="str">
        <x:v>Bangkok</x:v>
      </x:c>
      <x:c r="R117" s="3" t="str">
        <x:v>Bangkok metro</x:v>
      </x:c>
      <x:c r="S117" s="3" t="str">
        <x:v>MT</x:v>
      </x:c>
      <x:c r="T117" s="3" t="str">
        <x:v>世代不明</x:v>
      </x:c>
      <x:c r="U117" s="28" t="n">
        <x:v>629000</x:v>
      </x:c>
      <x:c r="V117" s="28"/>
      <x:c r="W117" s="3" t="str">
        <x:v>広告の申告のみ。事故・水没・SOH・保証残は未確認</x:v>
      </x:c>
      <x:c r="X117" s="3" t="str">
        <x:v>掲載中・在庫未確認</x:v>
      </x:c>
      <x:c r="Y117" s="3" t="str"/>
      <x:c r="Z117" s="27" t="str">
        <x:v>https://www.one2car.com/en/cars-for-sale/toyota/hilux-revo</x:v>
      </x:c>
      <x:c r="AA117" s="3" t="str">
        <x:v>掲載リンク参照#303／見出し行1098（永続IDではない）</x:v>
      </x:c>
      <x:c r="AB117" s="3" t="str">
        <x:v>車台番号未取得／サイト間重複は未判定</x:v>
      </x:c>
      <x:c r="AC117" s="3" t="str">
        <x:v>税込区分未確認</x:v>
      </x:c>
      <x:c r="AD117" s="3" t="str"/>
      <x:c r="AE117" s="29" t="str">
        <x:f>""</x:f>
      </x:c>
      <x:c r="AF117" s="30" t="str">
        <x:f>IF(ISNUMBER(AE117),U117/AE117,"")</x:f>
      </x:c>
      <x:c r="AG117" s="29" t="str">
        <x:f>""</x:f>
      </x:c>
      <x:c r="AH117" s="30" t="str">
        <x:f>IF(ISNUMBER(AG117),U117/AG117,"")</x:f>
      </x:c>
      <x:c r="AI117" s="3" t="str">
        <x:v>同年式・グレードの検証済み当時価格なし／登録年混在</x:v>
      </x:c>
      <x:c r="AJ117" s="3" t="str">
        <x:v>走行/条件情報あり</x:v>
      </x:c>
      <x:c r="AK117" s="3" t="str">
        <x:v>取得した検索結果ページの掲載。サイトの並び順による選択偏りあり。</x:v>
      </x:c>
      <x:c r="AL117" s="31" t="n">
        <x:f>IF(AND(J117&lt;='分析方法'!$B$7,OR(ISBLANK(O117),O117&gt;='分析方法'!$B$8),X117&lt;&gt;"売却済み表示"),1,0)</x:f>
        <x:v>1</x:v>
      </x:c>
      <x:c r="AM117" s="32" t="n">
        <x:f>IF(AL117=1,U117,"")</x:f>
        <x:v>629000</x:v>
      </x:c>
      <x:c r="AN117" s="33" t="str">
        <x:f>IF(AL117=1,AF117,"")</x:f>
      </x:c>
      <x:c r="AO117" s="31" t="n">
        <x:f>'分析方法'!$B$6-J117</x:f>
        <x:v>6</x:v>
      </x:c>
      <x:c r="AP117" s="3"/>
    </x:row>
    <x:row r="118" ht="22" customHeight="1">
      <x:c r="A118" s="3" t="str">
        <x:v>O_hilux-revo_311</x:v>
      </x:c>
      <x:c r="B118" s="7" t="d">
        <x:v>2026-10-08T00:00:00.000Z</x:v>
      </x:c>
      <x:c r="C118" s="3" t="str">
        <x:v>One2car</x:v>
      </x:c>
      <x:c r="D118" s="3" t="str">
        <x:v>Toyota</x:v>
      </x:c>
      <x:c r="E118" s="3" t="str">
        <x:v>日本</x:v>
      </x:c>
      <x:c r="F118" s="3" t="str">
        <x:v>Hilux Revo</x:v>
      </x:c>
      <x:c r="G118" s="3" t="str">
        <x:v>ICE</x:v>
      </x:c>
      <x:c r="H118" s="3" t="str">
        <x:v>Pickup</x:v>
      </x:c>
      <x:c r="I118" s="3" t="str">
        <x:v>Double cab</x:v>
      </x:c>
      <x:c r="J118" s="3" t="n">
        <x:v>2021</x:v>
      </x:c>
      <x:c r="K118" s="3" t="str">
        <x:v>Toyota HILUX REVO 2.4 Double Cab Prerunner Entry</x:v>
      </x:c>
      <x:c r="L118" s="3" t="str">
        <x:v>TOYOTA HILUX REVO 2.4 DOUBLE CAB PRERUNNER ENTRY</x:v>
      </x:c>
      <x:c r="M118" s="22"/>
      <x:c r="N118" s="22" t="n">
        <x:v>60000</x:v>
      </x:c>
      <x:c r="O118" s="22" t="n">
        <x:v>65000</x:v>
      </x:c>
      <x:c r="P118" s="3" t="str">
        <x:v>50–100千km</x:v>
      </x:c>
      <x:c r="Q118" s="3" t="str">
        <x:v>Chon Buri</x:v>
      </x:c>
      <x:c r="R118" s="3" t="str">
        <x:v>Other province</x:v>
      </x:c>
      <x:c r="S118" s="3" t="str">
        <x:v>AT</x:v>
      </x:c>
      <x:c r="T118" s="3" t="str">
        <x:v>世代不明</x:v>
      </x:c>
      <x:c r="U118" s="28" t="n">
        <x:v>619000</x:v>
      </x:c>
      <x:c r="V118" s="28"/>
      <x:c r="W118" s="3" t="str">
        <x:v>広告の申告のみ。事故・水没・SOH・保証残は未確認</x:v>
      </x:c>
      <x:c r="X118" s="3" t="str">
        <x:v>掲載中・在庫未確認</x:v>
      </x:c>
      <x:c r="Y118" s="3" t="str"/>
      <x:c r="Z118" s="27" t="str">
        <x:v>https://www.one2car.com/en/cars-for-sale/toyota/hilux-revo</x:v>
      </x:c>
      <x:c r="AA118" s="3" t="str">
        <x:v>掲載リンク参照#311／見出し行1356（永続IDではない）</x:v>
      </x:c>
      <x:c r="AB118" s="3" t="str">
        <x:v>車台番号未取得／サイト間重複は未判定</x:v>
      </x:c>
      <x:c r="AC118" s="3" t="str">
        <x:v>税込区分未確認</x:v>
      </x:c>
      <x:c r="AD118" s="3" t="str"/>
      <x:c r="AE118" s="29" t="str">
        <x:f>""</x:f>
      </x:c>
      <x:c r="AF118" s="30" t="str">
        <x:f>IF(ISNUMBER(AE118),U118/AE118,"")</x:f>
      </x:c>
      <x:c r="AG118" s="29" t="str">
        <x:f>""</x:f>
      </x:c>
      <x:c r="AH118" s="30" t="str">
        <x:f>IF(ISNUMBER(AG118),U118/AG118,"")</x:f>
      </x:c>
      <x:c r="AI118" s="3" t="str">
        <x:v>同年式・グレードの検証済み当時価格なし／登録年混在</x:v>
      </x:c>
      <x:c r="AJ118" s="3" t="str">
        <x:v>走行/条件情報あり</x:v>
      </x:c>
      <x:c r="AK118" s="3" t="str">
        <x:v>取得した検索結果ページの掲載。サイトの並び順による選択偏りあり。</x:v>
      </x:c>
      <x:c r="AL118" s="31" t="n">
        <x:f>IF(AND(J118&lt;='分析方法'!$B$7,OR(ISBLANK(O118),O118&gt;='分析方法'!$B$8),X118&lt;&gt;"売却済み表示"),1,0)</x:f>
        <x:v>1</x:v>
      </x:c>
      <x:c r="AM118" s="32" t="n">
        <x:f>IF(AL118=1,U118,"")</x:f>
        <x:v>619000</x:v>
      </x:c>
      <x:c r="AN118" s="33" t="str">
        <x:f>IF(AL118=1,AF118,"")</x:f>
      </x:c>
      <x:c r="AO118" s="31" t="n">
        <x:f>'分析方法'!$B$6-J118</x:f>
        <x:v>5</x:v>
      </x:c>
      <x:c r="AP118" s="3"/>
    </x:row>
    <x:row r="119" ht="22" customHeight="1">
      <x:c r="A119" s="3" t="str">
        <x:v>O_hilux-revo_293</x:v>
      </x:c>
      <x:c r="B119" s="7" t="d">
        <x:v>2026-10-08T00:00:00.000Z</x:v>
      </x:c>
      <x:c r="C119" s="3" t="str">
        <x:v>One2car</x:v>
      </x:c>
      <x:c r="D119" s="3" t="str">
        <x:v>Toyota</x:v>
      </x:c>
      <x:c r="E119" s="3" t="str">
        <x:v>日本</x:v>
      </x:c>
      <x:c r="F119" s="3" t="str">
        <x:v>Hilux Revo</x:v>
      </x:c>
      <x:c r="G119" s="3" t="str">
        <x:v>ICE</x:v>
      </x:c>
      <x:c r="H119" s="3" t="str">
        <x:v>Pickup</x:v>
      </x:c>
      <x:c r="I119" s="3" t="str">
        <x:v>Double cab</x:v>
      </x:c>
      <x:c r="J119" s="3" t="n">
        <x:v>2021</x:v>
      </x:c>
      <x:c r="K119" s="3" t="str">
        <x:v>Toyota HILUX REVO 2.4 Double Cab Prerunner Mid</x:v>
      </x:c>
      <x:c r="L119" s="3" t="str">
        <x:v>TOYOTA HILUX REVO 2.4 DOUBLE CAB PRERUNNER MID</x:v>
      </x:c>
      <x:c r="M119" s="22"/>
      <x:c r="N119" s="22" t="n">
        <x:v>80000</x:v>
      </x:c>
      <x:c r="O119" s="22" t="n">
        <x:v>85000</x:v>
      </x:c>
      <x:c r="P119" s="3" t="str">
        <x:v>50–100千km</x:v>
      </x:c>
      <x:c r="Q119" s="3" t="str">
        <x:v>Bangkok</x:v>
      </x:c>
      <x:c r="R119" s="3" t="str">
        <x:v>Bangkok metro</x:v>
      </x:c>
      <x:c r="S119" s="3" t="str">
        <x:v>AT</x:v>
      </x:c>
      <x:c r="T119" s="3" t="str">
        <x:v>世代不明</x:v>
      </x:c>
      <x:c r="U119" s="28" t="n">
        <x:v>629000</x:v>
      </x:c>
      <x:c r="V119" s="28"/>
      <x:c r="W119" s="3" t="str">
        <x:v>広告の申告のみ。事故・水没・SOH・保証残は未確認</x:v>
      </x:c>
      <x:c r="X119" s="3" t="str">
        <x:v>掲載中・在庫未確認</x:v>
      </x:c>
      <x:c r="Y119" s="3" t="str"/>
      <x:c r="Z119" s="27" t="str">
        <x:v>https://www.one2car.com/en/cars-for-sale/toyota/hilux-revo</x:v>
      </x:c>
      <x:c r="AA119" s="3" t="str">
        <x:v>掲載リンク参照#293／見出し行852（永続IDではない）</x:v>
      </x:c>
      <x:c r="AB119" s="3" t="str">
        <x:v>車台番号未取得／サイト間重複は未判定</x:v>
      </x:c>
      <x:c r="AC119" s="3" t="str">
        <x:v>税込区分未確認</x:v>
      </x:c>
      <x:c r="AD119" s="3" t="str"/>
      <x:c r="AE119" s="29" t="str">
        <x:f>""</x:f>
      </x:c>
      <x:c r="AF119" s="30" t="str">
        <x:f>IF(ISNUMBER(AE119),U119/AE119,"")</x:f>
      </x:c>
      <x:c r="AG119" s="29" t="str">
        <x:f>""</x:f>
      </x:c>
      <x:c r="AH119" s="30" t="str">
        <x:f>IF(ISNUMBER(AG119),U119/AG119,"")</x:f>
      </x:c>
      <x:c r="AI119" s="3" t="str">
        <x:v>同年式・グレードの検証済み当時価格なし／登録年混在</x:v>
      </x:c>
      <x:c r="AJ119" s="3" t="str">
        <x:v>走行/条件情報あり</x:v>
      </x:c>
      <x:c r="AK119" s="3" t="str">
        <x:v>取得した検索結果ページの掲載。サイトの並び順による選択偏りあり。</x:v>
      </x:c>
      <x:c r="AL119" s="31" t="n">
        <x:f>IF(AND(J119&lt;='分析方法'!$B$7,OR(ISBLANK(O119),O119&gt;='分析方法'!$B$8),X119&lt;&gt;"売却済み表示"),1,0)</x:f>
        <x:v>1</x:v>
      </x:c>
      <x:c r="AM119" s="32" t="n">
        <x:f>IF(AL119=1,U119,"")</x:f>
        <x:v>629000</x:v>
      </x:c>
      <x:c r="AN119" s="33" t="str">
        <x:f>IF(AL119=1,AF119,"")</x:f>
      </x:c>
      <x:c r="AO119" s="31" t="n">
        <x:f>'分析方法'!$B$6-J119</x:f>
        <x:v>5</x:v>
      </x:c>
      <x:c r="AP119" s="3"/>
    </x:row>
    <x:row r="120" ht="22" customHeight="1">
      <x:c r="A120" s="3" t="str">
        <x:v>O_hilux-revo_301</x:v>
      </x:c>
      <x:c r="B120" s="7" t="d">
        <x:v>2026-10-08T00:00:00.000Z</x:v>
      </x:c>
      <x:c r="C120" s="3" t="str">
        <x:v>One2car</x:v>
      </x:c>
      <x:c r="D120" s="3" t="str">
        <x:v>Toyota</x:v>
      </x:c>
      <x:c r="E120" s="3" t="str">
        <x:v>日本</x:v>
      </x:c>
      <x:c r="F120" s="3" t="str">
        <x:v>Hilux Revo</x:v>
      </x:c>
      <x:c r="G120" s="3" t="str">
        <x:v>ICE</x:v>
      </x:c>
      <x:c r="H120" s="3" t="str">
        <x:v>Pickup</x:v>
      </x:c>
      <x:c r="I120" s="3" t="str">
        <x:v>Double cab</x:v>
      </x:c>
      <x:c r="J120" s="3" t="n">
        <x:v>2021</x:v>
      </x:c>
      <x:c r="K120" s="3" t="str">
        <x:v>Toyota HILUX REVO 2.4 Double Cab Z Edition Mid</x:v>
      </x:c>
      <x:c r="L120" s="3" t="str">
        <x:v>TOYOTA HILUX REVO 2.4 DOUBLE CAB Z EDITION MID</x:v>
      </x:c>
      <x:c r="M120" s="22"/>
      <x:c r="N120" s="22" t="n">
        <x:v>0</x:v>
      </x:c>
      <x:c r="O120" s="22" t="n">
        <x:v>5000</x:v>
      </x:c>
      <x:c r="P120" s="3" t="str">
        <x:v>&lt;20千km</x:v>
      </x:c>
      <x:c r="Q120" s="3" t="str">
        <x:v>Bangkok</x:v>
      </x:c>
      <x:c r="R120" s="3" t="str">
        <x:v>Bangkok metro</x:v>
      </x:c>
      <x:c r="S120" s="3" t="str">
        <x:v>AT</x:v>
      </x:c>
      <x:c r="T120" s="3" t="str">
        <x:v>世代不明</x:v>
      </x:c>
      <x:c r="U120" s="28" t="n">
        <x:v>449000</x:v>
      </x:c>
      <x:c r="V120" s="28"/>
      <x:c r="W120" s="3" t="str">
        <x:v>広告の申告のみ。事故・水没・SOH・保証残は未確認</x:v>
      </x:c>
      <x:c r="X120" s="3" t="str">
        <x:v>掲載中・在庫未確認</x:v>
      </x:c>
      <x:c r="Y120" s="3" t="str"/>
      <x:c r="Z120" s="27" t="str">
        <x:v>https://www.one2car.com/en/cars-for-sale/toyota/hilux-revo</x:v>
      </x:c>
      <x:c r="AA120" s="3" t="str">
        <x:v>掲載リンク参照#301／見出し行1026（永続IDではない）</x:v>
      </x:c>
      <x:c r="AB120" s="3" t="str">
        <x:v>車台番号未取得／サイト間重複は未判定</x:v>
      </x:c>
      <x:c r="AC120" s="3" t="str">
        <x:v>税込区分未確認</x:v>
      </x:c>
      <x:c r="AD120" s="3" t="str"/>
      <x:c r="AE120" s="29" t="str">
        <x:f>""</x:f>
      </x:c>
      <x:c r="AF120" s="30" t="str">
        <x:f>IF(ISNUMBER(AE120),U120/AE120,"")</x:f>
      </x:c>
      <x:c r="AG120" s="29" t="str">
        <x:f>""</x:f>
      </x:c>
      <x:c r="AH120" s="30" t="str">
        <x:f>IF(ISNUMBER(AG120),U120/AG120,"")</x:f>
      </x:c>
      <x:c r="AI120" s="3" t="str">
        <x:v>同年式・グレードの検証済み当時価格なし／登録年混在</x:v>
      </x:c>
      <x:c r="AJ120" s="3" t="str">
        <x:v>走行/条件情報あり</x:v>
      </x:c>
      <x:c r="AK120" s="3" t="str">
        <x:v>取得した検索結果ページの掲載。サイトの並び順による選択偏りあり。</x:v>
      </x:c>
      <x:c r="AL120" s="31" t="n">
        <x:f>IF(AND(J120&lt;='分析方法'!$B$7,OR(ISBLANK(O120),O120&gt;='分析方法'!$B$8),X120&lt;&gt;"売却済み表示"),1,0)</x:f>
        <x:v>1</x:v>
      </x:c>
      <x:c r="AM120" s="32" t="n">
        <x:f>IF(AL120=1,U120,"")</x:f>
        <x:v>449000</x:v>
      </x:c>
      <x:c r="AN120" s="33" t="str">
        <x:f>IF(AL120=1,AF120,"")</x:f>
      </x:c>
      <x:c r="AO120" s="31" t="n">
        <x:f>'分析方法'!$B$6-J120</x:f>
        <x:v>5</x:v>
      </x:c>
      <x:c r="AP120" s="3"/>
    </x:row>
    <x:row r="121" ht="22" customHeight="1">
      <x:c r="A121" s="3" t="str">
        <x:v>O_hilux-revo_302</x:v>
      </x:c>
      <x:c r="B121" s="7" t="d">
        <x:v>2026-10-08T00:00:00.000Z</x:v>
      </x:c>
      <x:c r="C121" s="3" t="str">
        <x:v>One2car</x:v>
      </x:c>
      <x:c r="D121" s="3" t="str">
        <x:v>Toyota</x:v>
      </x:c>
      <x:c r="E121" s="3" t="str">
        <x:v>日本</x:v>
      </x:c>
      <x:c r="F121" s="3" t="str">
        <x:v>Hilux Revo</x:v>
      </x:c>
      <x:c r="G121" s="3" t="str">
        <x:v>ICE</x:v>
      </x:c>
      <x:c r="H121" s="3" t="str">
        <x:v>Pickup</x:v>
      </x:c>
      <x:c r="I121" s="3" t="str">
        <x:v>Smart cab</x:v>
      </x:c>
      <x:c r="J121" s="3" t="n">
        <x:v>2021</x:v>
      </x:c>
      <x:c r="K121" s="3" t="str">
        <x:v>Toyota HILUX REVO 2.4 Smart Cab Prerunner Entry</x:v>
      </x:c>
      <x:c r="L121" s="3" t="str">
        <x:v>TOYOTA HILUX REVO 2.4 SMART CAB PRERUNNER ENTRY</x:v>
      </x:c>
      <x:c r="M121" s="22"/>
      <x:c r="N121" s="22" t="n">
        <x:v>10000</x:v>
      </x:c>
      <x:c r="O121" s="22" t="n">
        <x:v>15000</x:v>
      </x:c>
      <x:c r="P121" s="3" t="str">
        <x:v>&lt;20千km</x:v>
      </x:c>
      <x:c r="Q121" s="3" t="str">
        <x:v>Bangkok</x:v>
      </x:c>
      <x:c r="R121" s="3" t="str">
        <x:v>Bangkok metro</x:v>
      </x:c>
      <x:c r="S121" s="3" t="str">
        <x:v>AT</x:v>
      </x:c>
      <x:c r="T121" s="3" t="str">
        <x:v>世代不明</x:v>
      </x:c>
      <x:c r="U121" s="28" t="n">
        <x:v>499000</x:v>
      </x:c>
      <x:c r="V121" s="28"/>
      <x:c r="W121" s="3" t="str">
        <x:v>広告の申告のみ。事故・水没・SOH・保証残は未確認</x:v>
      </x:c>
      <x:c r="X121" s="3" t="str">
        <x:v>掲載中・在庫未確認</x:v>
      </x:c>
      <x:c r="Y121" s="3" t="str"/>
      <x:c r="Z121" s="27" t="str">
        <x:v>https://www.one2car.com/en/cars-for-sale/toyota/hilux-revo</x:v>
      </x:c>
      <x:c r="AA121" s="3" t="str">
        <x:v>掲載リンク参照#302／見出し行1062（永続IDではない）</x:v>
      </x:c>
      <x:c r="AB121" s="3" t="str">
        <x:v>車台番号未取得／サイト間重複は未判定</x:v>
      </x:c>
      <x:c r="AC121" s="3" t="str">
        <x:v>税込区分未確認</x:v>
      </x:c>
      <x:c r="AD121" s="3" t="str"/>
      <x:c r="AE121" s="29" t="str">
        <x:f>""</x:f>
      </x:c>
      <x:c r="AF121" s="30" t="str">
        <x:f>IF(ISNUMBER(AE121),U121/AE121,"")</x:f>
      </x:c>
      <x:c r="AG121" s="29" t="str">
        <x:f>""</x:f>
      </x:c>
      <x:c r="AH121" s="30" t="str">
        <x:f>IF(ISNUMBER(AG121),U121/AG121,"")</x:f>
      </x:c>
      <x:c r="AI121" s="3" t="str">
        <x:v>同年式・グレードの検証済み当時価格なし／登録年混在</x:v>
      </x:c>
      <x:c r="AJ121" s="3" t="str">
        <x:v>走行/条件情報あり</x:v>
      </x:c>
      <x:c r="AK121" s="3" t="str">
        <x:v>取得した検索結果ページの掲載。サイトの並び順による選択偏りあり。</x:v>
      </x:c>
      <x:c r="AL121" s="31" t="n">
        <x:f>IF(AND(J121&lt;='分析方法'!$B$7,OR(ISBLANK(O121),O121&gt;='分析方法'!$B$8),X121&lt;&gt;"売却済み表示"),1,0)</x:f>
        <x:v>1</x:v>
      </x:c>
      <x:c r="AM121" s="32" t="n">
        <x:f>IF(AL121=1,U121,"")</x:f>
        <x:v>499000</x:v>
      </x:c>
      <x:c r="AN121" s="33" t="str">
        <x:f>IF(AL121=1,AF121,"")</x:f>
      </x:c>
      <x:c r="AO121" s="31" t="n">
        <x:f>'分析方法'!$B$6-J121</x:f>
        <x:v>5</x:v>
      </x:c>
      <x:c r="AP121" s="3"/>
    </x:row>
    <x:row r="122" ht="22" customHeight="1">
      <x:c r="A122" s="3" t="str">
        <x:v>O_hilux-revo_310</x:v>
      </x:c>
      <x:c r="B122" s="7" t="d">
        <x:v>2026-10-08T00:00:00.000Z</x:v>
      </x:c>
      <x:c r="C122" s="3" t="str">
        <x:v>One2car</x:v>
      </x:c>
      <x:c r="D122" s="3" t="str">
        <x:v>Toyota</x:v>
      </x:c>
      <x:c r="E122" s="3" t="str">
        <x:v>日本</x:v>
      </x:c>
      <x:c r="F122" s="3" t="str">
        <x:v>Hilux Revo</x:v>
      </x:c>
      <x:c r="G122" s="3" t="str">
        <x:v>ICE</x:v>
      </x:c>
      <x:c r="H122" s="3" t="str">
        <x:v>Pickup</x:v>
      </x:c>
      <x:c r="I122" s="3" t="str">
        <x:v>Smart cab</x:v>
      </x:c>
      <x:c r="J122" s="3" t="n">
        <x:v>2021</x:v>
      </x:c>
      <x:c r="K122" s="3" t="str">
        <x:v>Toyota HILUX REVO 2.4 Smart Cab Z Edition Entry</x:v>
      </x:c>
      <x:c r="L122" s="3" t="str">
        <x:v>TOYOTA HILUX REVO 2.4 SMART CAB Z EDITION ENTRY</x:v>
      </x:c>
      <x:c r="M122" s="22"/>
      <x:c r="N122" s="22" t="n">
        <x:v>145000</x:v>
      </x:c>
      <x:c r="O122" s="22" t="n">
        <x:v>150000</x:v>
      </x:c>
      <x:c r="P122" s="3" t="str">
        <x:v>100–150千km</x:v>
      </x:c>
      <x:c r="Q122" s="3" t="str">
        <x:v>Nakhon Pathom</x:v>
      </x:c>
      <x:c r="R122" s="3" t="str">
        <x:v>Bangkok metro</x:v>
      </x:c>
      <x:c r="S122" s="3" t="str">
        <x:v>AT</x:v>
      </x:c>
      <x:c r="T122" s="3" t="str">
        <x:v>世代不明</x:v>
      </x:c>
      <x:c r="U122" s="28" t="n">
        <x:v>429000</x:v>
      </x:c>
      <x:c r="V122" s="28"/>
      <x:c r="W122" s="3" t="str">
        <x:v>広告の申告のみ。事故・水没・SOH・保証残は未確認</x:v>
      </x:c>
      <x:c r="X122" s="3" t="str">
        <x:v>掲載中・在庫未確認</x:v>
      </x:c>
      <x:c r="Y122" s="3" t="str"/>
      <x:c r="Z122" s="27" t="str">
        <x:v>https://www.one2car.com/en/cars-for-sale/toyota/hilux-revo</x:v>
      </x:c>
      <x:c r="AA122" s="3" t="str">
        <x:v>掲載リンク参照#310／見出し行1320（永続IDではない）</x:v>
      </x:c>
      <x:c r="AB122" s="3" t="str">
        <x:v>車台番号未取得／サイト間重複は未判定</x:v>
      </x:c>
      <x:c r="AC122" s="3" t="str">
        <x:v>税込区分未確認</x:v>
      </x:c>
      <x:c r="AD122" s="3" t="str"/>
      <x:c r="AE122" s="29" t="str">
        <x:f>""</x:f>
      </x:c>
      <x:c r="AF122" s="30" t="str">
        <x:f>IF(ISNUMBER(AE122),U122/AE122,"")</x:f>
      </x:c>
      <x:c r="AG122" s="29" t="str">
        <x:f>""</x:f>
      </x:c>
      <x:c r="AH122" s="30" t="str">
        <x:f>IF(ISNUMBER(AG122),U122/AG122,"")</x:f>
      </x:c>
      <x:c r="AI122" s="3" t="str">
        <x:v>同年式・グレードの検証済み当時価格なし／登録年混在</x:v>
      </x:c>
      <x:c r="AJ122" s="3" t="str">
        <x:v>走行/条件情報あり</x:v>
      </x:c>
      <x:c r="AK122" s="3" t="str">
        <x:v>取得した検索結果ページの掲載。サイトの並び順による選択偏りあり。</x:v>
      </x:c>
      <x:c r="AL122" s="31" t="n">
        <x:f>IF(AND(J122&lt;='分析方法'!$B$7,OR(ISBLANK(O122),O122&gt;='分析方法'!$B$8),X122&lt;&gt;"売却済み表示"),1,0)</x:f>
        <x:v>1</x:v>
      </x:c>
      <x:c r="AM122" s="32" t="n">
        <x:f>IF(AL122=1,U122,"")</x:f>
        <x:v>429000</x:v>
      </x:c>
      <x:c r="AN122" s="33" t="str">
        <x:f>IF(AL122=1,AF122,"")</x:f>
      </x:c>
      <x:c r="AO122" s="31" t="n">
        <x:f>'分析方法'!$B$6-J122</x:f>
        <x:v>5</x:v>
      </x:c>
      <x:c r="AP122" s="3"/>
    </x:row>
    <x:row r="123" ht="22" customHeight="1">
      <x:c r="A123" s="3" t="str">
        <x:v>O_hilux-revo_297</x:v>
      </x:c>
      <x:c r="B123" s="7" t="d">
        <x:v>2026-10-08T00:00:00.000Z</x:v>
      </x:c>
      <x:c r="C123" s="3" t="str">
        <x:v>One2car</x:v>
      </x:c>
      <x:c r="D123" s="3" t="str">
        <x:v>Toyota</x:v>
      </x:c>
      <x:c r="E123" s="3" t="str">
        <x:v>日本</x:v>
      </x:c>
      <x:c r="F123" s="3" t="str">
        <x:v>Hilux Revo</x:v>
      </x:c>
      <x:c r="G123" s="3" t="str">
        <x:v>ICE</x:v>
      </x:c>
      <x:c r="H123" s="3" t="str">
        <x:v>Pickup</x:v>
      </x:c>
      <x:c r="I123" s="3" t="str">
        <x:v>Smart cab</x:v>
      </x:c>
      <x:c r="J123" s="3" t="n">
        <x:v>2021</x:v>
      </x:c>
      <x:c r="K123" s="3" t="str">
        <x:v>Toyota HILUX REVO 2.4 Smart Cab Z Edition Entry</x:v>
      </x:c>
      <x:c r="L123" s="3" t="str">
        <x:v>TOYOTA HILUX REVO 2.4 SMART CAB Z EDITION ENTRY</x:v>
      </x:c>
      <x:c r="M123" s="22"/>
      <x:c r="N123" s="22" t="n">
        <x:v>245000</x:v>
      </x:c>
      <x:c r="O123" s="22" t="n">
        <x:v>250000</x:v>
      </x:c>
      <x:c r="P123" s="3" t="str">
        <x:v>150千km以上</x:v>
      </x:c>
      <x:c r="Q123" s="3" t="str">
        <x:v>Bangkok</x:v>
      </x:c>
      <x:c r="R123" s="3" t="str">
        <x:v>Bangkok metro</x:v>
      </x:c>
      <x:c r="S123" s="3" t="str">
        <x:v>MT</x:v>
      </x:c>
      <x:c r="T123" s="3" t="str">
        <x:v>世代不明</x:v>
      </x:c>
      <x:c r="U123" s="28" t="n">
        <x:v>299000</x:v>
      </x:c>
      <x:c r="V123" s="28"/>
      <x:c r="W123" s="3" t="str">
        <x:v>広告の申告のみ。事故・水没・SOH・保証残は未確認</x:v>
      </x:c>
      <x:c r="X123" s="3" t="str">
        <x:v>掲載中・在庫未確認</x:v>
      </x:c>
      <x:c r="Y123" s="3" t="str"/>
      <x:c r="Z123" s="27" t="str">
        <x:v>https://www.one2car.com/en/cars-for-sale/toyota/hilux-revo</x:v>
      </x:c>
      <x:c r="AA123" s="3" t="str">
        <x:v>掲載リンク参照#297／見出し行897（永続IDではない）</x:v>
      </x:c>
      <x:c r="AB123" s="3" t="str">
        <x:v>車台番号未取得／サイト間重複は未判定</x:v>
      </x:c>
      <x:c r="AC123" s="3" t="str">
        <x:v>税込区分未確認</x:v>
      </x:c>
      <x:c r="AD123" s="3" t="str"/>
      <x:c r="AE123" s="29" t="str">
        <x:f>""</x:f>
      </x:c>
      <x:c r="AF123" s="30" t="str">
        <x:f>IF(ISNUMBER(AE123),U123/AE123,"")</x:f>
      </x:c>
      <x:c r="AG123" s="29" t="str">
        <x:f>""</x:f>
      </x:c>
      <x:c r="AH123" s="30" t="str">
        <x:f>IF(ISNUMBER(AG123),U123/AG123,"")</x:f>
      </x:c>
      <x:c r="AI123" s="3" t="str">
        <x:v>同年式・グレードの検証済み当時価格なし／登録年混在</x:v>
      </x:c>
      <x:c r="AJ123" s="3" t="str">
        <x:v>走行/条件情報あり</x:v>
      </x:c>
      <x:c r="AK123" s="3" t="str">
        <x:v>取得した検索結果ページの掲載。サイトの並び順による選択偏りあり。</x:v>
      </x:c>
      <x:c r="AL123" s="31" t="n">
        <x:f>IF(AND(J123&lt;='分析方法'!$B$7,OR(ISBLANK(O123),O123&gt;='分析方法'!$B$8),X123&lt;&gt;"売却済み表示"),1,0)</x:f>
        <x:v>1</x:v>
      </x:c>
      <x:c r="AM123" s="32" t="n">
        <x:f>IF(AL123=1,U123,"")</x:f>
        <x:v>299000</x:v>
      </x:c>
      <x:c r="AN123" s="33" t="str">
        <x:f>IF(AL123=1,AF123,"")</x:f>
      </x:c>
      <x:c r="AO123" s="31" t="n">
        <x:f>'分析方法'!$B$6-J123</x:f>
        <x:v>5</x:v>
      </x:c>
      <x:c r="AP123" s="3"/>
    </x:row>
    <x:row r="124" ht="22" customHeight="1">
      <x:c r="A124" s="3" t="str">
        <x:v>O_hilux-revo_307</x:v>
      </x:c>
      <x:c r="B124" s="7" t="d">
        <x:v>2026-10-08T00:00:00.000Z</x:v>
      </x:c>
      <x:c r="C124" s="3" t="str">
        <x:v>One2car</x:v>
      </x:c>
      <x:c r="D124" s="3" t="str">
        <x:v>Toyota</x:v>
      </x:c>
      <x:c r="E124" s="3" t="str">
        <x:v>日本</x:v>
      </x:c>
      <x:c r="F124" s="3" t="str">
        <x:v>Hilux Revo</x:v>
      </x:c>
      <x:c r="G124" s="3" t="str">
        <x:v>ICE</x:v>
      </x:c>
      <x:c r="H124" s="3" t="str">
        <x:v>Pickup</x:v>
      </x:c>
      <x:c r="I124" s="3" t="str">
        <x:v>Smart cab</x:v>
      </x:c>
      <x:c r="J124" s="3" t="n">
        <x:v>2021</x:v>
      </x:c>
      <x:c r="K124" s="3" t="str">
        <x:v>Toyota HILUX REVO 2.4 Smart Cab Z Edition Entry</x:v>
      </x:c>
      <x:c r="L124" s="3" t="str">
        <x:v>TOYOTA HILUX REVO 2.4 SMART CAB Z EDITION ENTRY</x:v>
      </x:c>
      <x:c r="M124" s="22"/>
      <x:c r="N124" s="22" t="n">
        <x:v>0</x:v>
      </x:c>
      <x:c r="O124" s="22" t="n">
        <x:v>5000</x:v>
      </x:c>
      <x:c r="P124" s="3" t="str">
        <x:v>&lt;20千km</x:v>
      </x:c>
      <x:c r="Q124" s="3" t="str">
        <x:v>Bangkok</x:v>
      </x:c>
      <x:c r="R124" s="3" t="str">
        <x:v>Bangkok metro</x:v>
      </x:c>
      <x:c r="S124" s="3" t="str">
        <x:v>MT</x:v>
      </x:c>
      <x:c r="T124" s="3" t="str">
        <x:v>世代不明</x:v>
      </x:c>
      <x:c r="U124" s="28" t="n">
        <x:v>399000</x:v>
      </x:c>
      <x:c r="V124" s="28"/>
      <x:c r="W124" s="3" t="str">
        <x:v>広告の申告のみ。事故・水没・SOH・保証残は未確認</x:v>
      </x:c>
      <x:c r="X124" s="3" t="str">
        <x:v>掲載中・在庫未確認</x:v>
      </x:c>
      <x:c r="Y124" s="3" t="str"/>
      <x:c r="Z124" s="27" t="str">
        <x:v>https://www.one2car.com/en/cars-for-sale/toyota/hilux-revo</x:v>
      </x:c>
      <x:c r="AA124" s="3" t="str">
        <x:v>掲載リンク参照#307／見出し行1210（永続IDではない）</x:v>
      </x:c>
      <x:c r="AB124" s="3" t="str">
        <x:v>車台番号未取得／サイト間重複は未判定</x:v>
      </x:c>
      <x:c r="AC124" s="3" t="str">
        <x:v>税込区分未確認</x:v>
      </x:c>
      <x:c r="AD124" s="3" t="str"/>
      <x:c r="AE124" s="29" t="str">
        <x:f>""</x:f>
      </x:c>
      <x:c r="AF124" s="30" t="str">
        <x:f>IF(ISNUMBER(AE124),U124/AE124,"")</x:f>
      </x:c>
      <x:c r="AG124" s="29" t="str">
        <x:f>""</x:f>
      </x:c>
      <x:c r="AH124" s="30" t="str">
        <x:f>IF(ISNUMBER(AG124),U124/AG124,"")</x:f>
      </x:c>
      <x:c r="AI124" s="3" t="str">
        <x:v>同年式・グレードの検証済み当時価格なし／登録年混在</x:v>
      </x:c>
      <x:c r="AJ124" s="3" t="str">
        <x:v>走行/条件情報あり</x:v>
      </x:c>
      <x:c r="AK124" s="3" t="str">
        <x:v>取得した検索結果ページの掲載。サイトの並び順による選択偏りあり。</x:v>
      </x:c>
      <x:c r="AL124" s="31" t="n">
        <x:f>IF(AND(J124&lt;='分析方法'!$B$7,OR(ISBLANK(O124),O124&gt;='分析方法'!$B$8),X124&lt;&gt;"売却済み表示"),1,0)</x:f>
        <x:v>1</x:v>
      </x:c>
      <x:c r="AM124" s="32" t="n">
        <x:f>IF(AL124=1,U124,"")</x:f>
        <x:v>399000</x:v>
      </x:c>
      <x:c r="AN124" s="33" t="str">
        <x:f>IF(AL124=1,AF124,"")</x:f>
      </x:c>
      <x:c r="AO124" s="31" t="n">
        <x:f>'分析方法'!$B$6-J124</x:f>
        <x:v>5</x:v>
      </x:c>
      <x:c r="AP124" s="3"/>
    </x:row>
    <x:row r="125" ht="22" customHeight="1">
      <x:c r="A125" s="3" t="str">
        <x:v>O_hilux-revo_314</x:v>
      </x:c>
      <x:c r="B125" s="7" t="d">
        <x:v>2026-10-08T00:00:00.000Z</x:v>
      </x:c>
      <x:c r="C125" s="3" t="str">
        <x:v>One2car</x:v>
      </x:c>
      <x:c r="D125" s="3" t="str">
        <x:v>Toyota</x:v>
      </x:c>
      <x:c r="E125" s="3" t="str">
        <x:v>日本</x:v>
      </x:c>
      <x:c r="F125" s="3" t="str">
        <x:v>Hilux Revo</x:v>
      </x:c>
      <x:c r="G125" s="3" t="str">
        <x:v>ICE</x:v>
      </x:c>
      <x:c r="H125" s="3" t="str">
        <x:v>Pickup</x:v>
      </x:c>
      <x:c r="I125" s="3" t="str">
        <x:v>Smart cab</x:v>
      </x:c>
      <x:c r="J125" s="3" t="n">
        <x:v>2021</x:v>
      </x:c>
      <x:c r="K125" s="3" t="str">
        <x:v>Toyota HILUX REVO 2.4 Smart Cab Z Edition Mid</x:v>
      </x:c>
      <x:c r="L125" s="3" t="str">
        <x:v>TOYOTA HILUX REVO 2.4 SMART CAB Z EDITION MID</x:v>
      </x:c>
      <x:c r="M125" s="22"/>
      <x:c r="N125" s="22" t="n">
        <x:v>95000</x:v>
      </x:c>
      <x:c r="O125" s="22" t="n">
        <x:v>100000</x:v>
      </x:c>
      <x:c r="P125" s="3" t="str">
        <x:v>50–100千km</x:v>
      </x:c>
      <x:c r="Q125" s="3" t="str">
        <x:v>Chon Buri</x:v>
      </x:c>
      <x:c r="R125" s="3" t="str">
        <x:v>Other province</x:v>
      </x:c>
      <x:c r="S125" s="3" t="str">
        <x:v>AT</x:v>
      </x:c>
      <x:c r="T125" s="3" t="str">
        <x:v>世代不明</x:v>
      </x:c>
      <x:c r="U125" s="28" t="n">
        <x:v>399000</x:v>
      </x:c>
      <x:c r="V125" s="28"/>
      <x:c r="W125" s="3" t="str">
        <x:v>広告の申告のみ。事故・水没・SOH・保証残は未確認</x:v>
      </x:c>
      <x:c r="X125" s="3" t="str">
        <x:v>掲載中・在庫未確認</x:v>
      </x:c>
      <x:c r="Y125" s="3" t="str"/>
      <x:c r="Z125" s="27" t="str">
        <x:v>https://www.one2car.com/en/cars-for-sale/toyota/hilux-revo</x:v>
      </x:c>
      <x:c r="AA125" s="3" t="str">
        <x:v>掲載リンク参照#314／見出し行1467（永続IDではない）</x:v>
      </x:c>
      <x:c r="AB125" s="3" t="str">
        <x:v>車台番号未取得／サイト間重複は未判定</x:v>
      </x:c>
      <x:c r="AC125" s="3" t="str">
        <x:v>税込区分未確認</x:v>
      </x:c>
      <x:c r="AD125" s="3" t="str"/>
      <x:c r="AE125" s="29" t="str">
        <x:f>""</x:f>
      </x:c>
      <x:c r="AF125" s="30" t="str">
        <x:f>IF(ISNUMBER(AE125),U125/AE125,"")</x:f>
      </x:c>
      <x:c r="AG125" s="29" t="str">
        <x:f>""</x:f>
      </x:c>
      <x:c r="AH125" s="30" t="str">
        <x:f>IF(ISNUMBER(AG125),U125/AG125,"")</x:f>
      </x:c>
      <x:c r="AI125" s="3" t="str">
        <x:v>同年式・グレードの検証済み当時価格なし／登録年混在</x:v>
      </x:c>
      <x:c r="AJ125" s="3" t="str">
        <x:v>走行/条件情報あり</x:v>
      </x:c>
      <x:c r="AK125" s="3" t="str">
        <x:v>取得した検索結果ページの掲載。サイトの並び順による選択偏りあり。</x:v>
      </x:c>
      <x:c r="AL125" s="31" t="n">
        <x:f>IF(AND(J125&lt;='分析方法'!$B$7,OR(ISBLANK(O125),O125&gt;='分析方法'!$B$8),X125&lt;&gt;"売却済み表示"),1,0)</x:f>
        <x:v>1</x:v>
      </x:c>
      <x:c r="AM125" s="32" t="n">
        <x:f>IF(AL125=1,U125,"")</x:f>
        <x:v>399000</x:v>
      </x:c>
      <x:c r="AN125" s="33" t="str">
        <x:f>IF(AL125=1,AF125,"")</x:f>
      </x:c>
      <x:c r="AO125" s="31" t="n">
        <x:f>'分析方法'!$B$6-J125</x:f>
        <x:v>5</x:v>
      </x:c>
      <x:c r="AP125" s="3"/>
    </x:row>
    <x:row r="126" ht="22" customHeight="1">
      <x:c r="A126" s="3" t="str">
        <x:v>O_hilux-revo_308</x:v>
      </x:c>
      <x:c r="B126" s="7" t="d">
        <x:v>2026-10-08T00:00:00.000Z</x:v>
      </x:c>
      <x:c r="C126" s="3" t="str">
        <x:v>One2car</x:v>
      </x:c>
      <x:c r="D126" s="3" t="str">
        <x:v>Toyota</x:v>
      </x:c>
      <x:c r="E126" s="3" t="str">
        <x:v>日本</x:v>
      </x:c>
      <x:c r="F126" s="3" t="str">
        <x:v>Hilux Revo</x:v>
      </x:c>
      <x:c r="G126" s="3" t="str">
        <x:v>ICE</x:v>
      </x:c>
      <x:c r="H126" s="3" t="str">
        <x:v>Pickup</x:v>
      </x:c>
      <x:c r="I126" s="3" t="str">
        <x:v>Single cab</x:v>
      </x:c>
      <x:c r="J126" s="3" t="n">
        <x:v>2022</x:v>
      </x:c>
      <x:c r="K126" s="3" t="str">
        <x:v>Toyota HILUX REVO 2.4 Single Cab Entry</x:v>
      </x:c>
      <x:c r="L126" s="3" t="str">
        <x:v>TOYOTA HILUX REVO 2.4 SINGLE CAB ENTRY</x:v>
      </x:c>
      <x:c r="M126" s="22"/>
      <x:c r="N126" s="22" t="n">
        <x:v>0</x:v>
      </x:c>
      <x:c r="O126" s="22" t="n">
        <x:v>5000</x:v>
      </x:c>
      <x:c r="P126" s="3" t="str">
        <x:v>&lt;20千km</x:v>
      </x:c>
      <x:c r="Q126" s="3" t="str">
        <x:v>Bangkok</x:v>
      </x:c>
      <x:c r="R126" s="3" t="str">
        <x:v>Bangkok metro</x:v>
      </x:c>
      <x:c r="S126" s="3" t="str">
        <x:v>MT</x:v>
      </x:c>
      <x:c r="T126" s="3" t="str">
        <x:v>世代不明</x:v>
      </x:c>
      <x:c r="U126" s="28" t="n">
        <x:v>419000</x:v>
      </x:c>
      <x:c r="V126" s="28"/>
      <x:c r="W126" s="3" t="str">
        <x:v>広告の申告のみ。事故・水没・SOH・保証残は未確認</x:v>
      </x:c>
      <x:c r="X126" s="3" t="str">
        <x:v>掲載中・在庫未確認</x:v>
      </x:c>
      <x:c r="Y126" s="3" t="str"/>
      <x:c r="Z126" s="27" t="str">
        <x:v>https://www.one2car.com/en/cars-for-sale/toyota/hilux-revo</x:v>
      </x:c>
      <x:c r="AA126" s="3" t="str">
        <x:v>掲載リンク参照#308／見出し行1246（永続IDではない）</x:v>
      </x:c>
      <x:c r="AB126" s="3" t="str">
        <x:v>車台番号未取得／サイト間重複は未判定</x:v>
      </x:c>
      <x:c r="AC126" s="3" t="str">
        <x:v>税込区分未確認</x:v>
      </x:c>
      <x:c r="AD126" s="3" t="str"/>
      <x:c r="AE126" s="29" t="str">
        <x:f>""</x:f>
      </x:c>
      <x:c r="AF126" s="30" t="str">
        <x:f>IF(ISNUMBER(AE126),U126/AE126,"")</x:f>
      </x:c>
      <x:c r="AG126" s="29" t="str">
        <x:f>""</x:f>
      </x:c>
      <x:c r="AH126" s="30" t="str">
        <x:f>IF(ISNUMBER(AG126),U126/AG126,"")</x:f>
      </x:c>
      <x:c r="AI126" s="3" t="str">
        <x:v>同年式・グレードの検証済み当時価格なし／登録年混在</x:v>
      </x:c>
      <x:c r="AJ126" s="3" t="str">
        <x:v>走行/条件情報あり</x:v>
      </x:c>
      <x:c r="AK126" s="3" t="str">
        <x:v>取得した検索結果ページの掲載。サイトの並び順による選択偏りあり。</x:v>
      </x:c>
      <x:c r="AL126" s="31" t="n">
        <x:f>IF(AND(J126&lt;='分析方法'!$B$7,OR(ISBLANK(O126),O126&gt;='分析方法'!$B$8),X126&lt;&gt;"売却済み表示"),1,0)</x:f>
        <x:v>1</x:v>
      </x:c>
      <x:c r="AM126" s="32" t="n">
        <x:f>IF(AL126=1,U126,"")</x:f>
        <x:v>419000</x:v>
      </x:c>
      <x:c r="AN126" s="33" t="str">
        <x:f>IF(AL126=1,AF126,"")</x:f>
      </x:c>
      <x:c r="AO126" s="31" t="n">
        <x:f>'分析方法'!$B$6-J126</x:f>
        <x:v>4</x:v>
      </x:c>
      <x:c r="AP126" s="3"/>
    </x:row>
    <x:row r="127" ht="22" customHeight="1">
      <x:c r="A127" s="3" t="str">
        <x:v>O_hilux-revo_315</x:v>
      </x:c>
      <x:c r="B127" s="7" t="d">
        <x:v>2026-10-08T00:00:00.000Z</x:v>
      </x:c>
      <x:c r="C127" s="3" t="str">
        <x:v>One2car</x:v>
      </x:c>
      <x:c r="D127" s="3" t="str">
        <x:v>Toyota</x:v>
      </x:c>
      <x:c r="E127" s="3" t="str">
        <x:v>日本</x:v>
      </x:c>
      <x:c r="F127" s="3" t="str">
        <x:v>Hilux Revo</x:v>
      </x:c>
      <x:c r="G127" s="3" t="str">
        <x:v>ICE</x:v>
      </x:c>
      <x:c r="H127" s="3" t="str">
        <x:v>Pickup</x:v>
      </x:c>
      <x:c r="I127" s="3" t="str">
        <x:v>Smart cab</x:v>
      </x:c>
      <x:c r="J127" s="3" t="n">
        <x:v>2022</x:v>
      </x:c>
      <x:c r="K127" s="3" t="str">
        <x:v>Toyota HILUX REVO 2.4 Smart Cab Prerunner Entry</x:v>
      </x:c>
      <x:c r="L127" s="3" t="str">
        <x:v>TOYOTA HILUX REVO 2.4 SMART CAB PRERUNNER ENTRY</x:v>
      </x:c>
      <x:c r="M127" s="22"/>
      <x:c r="N127" s="22" t="n">
        <x:v>0</x:v>
      </x:c>
      <x:c r="O127" s="22" t="n">
        <x:v>5000</x:v>
      </x:c>
      <x:c r="P127" s="3" t="str">
        <x:v>&lt;20千km</x:v>
      </x:c>
      <x:c r="Q127" s="3" t="str">
        <x:v>Bangkok</x:v>
      </x:c>
      <x:c r="R127" s="3" t="str">
        <x:v>Bangkok metro</x:v>
      </x:c>
      <x:c r="S127" s="3" t="str">
        <x:v>AT</x:v>
      </x:c>
      <x:c r="T127" s="3" t="str">
        <x:v>世代不明</x:v>
      </x:c>
      <x:c r="U127" s="28" t="n">
        <x:v>535000</x:v>
      </x:c>
      <x:c r="V127" s="28"/>
      <x:c r="W127" s="3" t="str">
        <x:v>広告の申告のみ。事故・水没・SOH・保証残は未確認</x:v>
      </x:c>
      <x:c r="X127" s="3" t="str">
        <x:v>掲載中・在庫未確認</x:v>
      </x:c>
      <x:c r="Y127" s="3" t="str"/>
      <x:c r="Z127" s="27" t="str">
        <x:v>https://www.one2car.com/en/cars-for-sale/toyota/hilux-revo</x:v>
      </x:c>
      <x:c r="AA127" s="3" t="str">
        <x:v>掲載リンク参照#315／見出し行1503（永続IDではない）</x:v>
      </x:c>
      <x:c r="AB127" s="3" t="str">
        <x:v>車台番号未取得／サイト間重複は未判定</x:v>
      </x:c>
      <x:c r="AC127" s="3" t="str">
        <x:v>税込区分未確認</x:v>
      </x:c>
      <x:c r="AD127" s="3" t="str"/>
      <x:c r="AE127" s="29" t="str">
        <x:f>""</x:f>
      </x:c>
      <x:c r="AF127" s="30" t="str">
        <x:f>IF(ISNUMBER(AE127),U127/AE127,"")</x:f>
      </x:c>
      <x:c r="AG127" s="29" t="str">
        <x:f>""</x:f>
      </x:c>
      <x:c r="AH127" s="30" t="str">
        <x:f>IF(ISNUMBER(AG127),U127/AG127,"")</x:f>
      </x:c>
      <x:c r="AI127" s="3" t="str">
        <x:v>同年式・グレードの検証済み当時価格なし／登録年混在</x:v>
      </x:c>
      <x:c r="AJ127" s="3" t="str">
        <x:v>走行/条件情報あり</x:v>
      </x:c>
      <x:c r="AK127" s="3" t="str">
        <x:v>取得した検索結果ページの掲載。サイトの並び順による選択偏りあり。</x:v>
      </x:c>
      <x:c r="AL127" s="31" t="n">
        <x:f>IF(AND(J127&lt;='分析方法'!$B$7,OR(ISBLANK(O127),O127&gt;='分析方法'!$B$8),X127&lt;&gt;"売却済み表示"),1,0)</x:f>
        <x:v>1</x:v>
      </x:c>
      <x:c r="AM127" s="32" t="n">
        <x:f>IF(AL127=1,U127,"")</x:f>
        <x:v>535000</x:v>
      </x:c>
      <x:c r="AN127" s="33" t="str">
        <x:f>IF(AL127=1,AF127,"")</x:f>
      </x:c>
      <x:c r="AO127" s="31" t="n">
        <x:f>'分析方法'!$B$6-J127</x:f>
        <x:v>4</x:v>
      </x:c>
      <x:c r="AP127" s="3"/>
    </x:row>
    <x:row r="128" ht="22" customHeight="1">
      <x:c r="A128" s="3" t="str">
        <x:v>O_hilux-revo_306</x:v>
      </x:c>
      <x:c r="B128" s="7" t="d">
        <x:v>2026-10-08T00:00:00.000Z</x:v>
      </x:c>
      <x:c r="C128" s="3" t="str">
        <x:v>One2car</x:v>
      </x:c>
      <x:c r="D128" s="3" t="str">
        <x:v>Toyota</x:v>
      </x:c>
      <x:c r="E128" s="3" t="str">
        <x:v>日本</x:v>
      </x:c>
      <x:c r="F128" s="3" t="str">
        <x:v>Hilux Revo</x:v>
      </x:c>
      <x:c r="G128" s="3" t="str">
        <x:v>ICE</x:v>
      </x:c>
      <x:c r="H128" s="3" t="str">
        <x:v>Pickup</x:v>
      </x:c>
      <x:c r="I128" s="3" t="str">
        <x:v>Single cab</x:v>
      </x:c>
      <x:c r="J128" s="3" t="n">
        <x:v>2022</x:v>
      </x:c>
      <x:c r="K128" s="3" t="str">
        <x:v>Toyota HILUX REVO 2.8 Single Cab Entry</x:v>
      </x:c>
      <x:c r="L128" s="3" t="str">
        <x:v>TOYOTA HILUX REVO 2.8 SINGLE CAB ENTRY</x:v>
      </x:c>
      <x:c r="M128" s="22"/>
      <x:c r="N128" s="22" t="n">
        <x:v>0</x:v>
      </x:c>
      <x:c r="O128" s="22" t="n">
        <x:v>5000</x:v>
      </x:c>
      <x:c r="P128" s="3" t="str">
        <x:v>&lt;20千km</x:v>
      </x:c>
      <x:c r="Q128" s="3" t="str">
        <x:v>Bangkok</x:v>
      </x:c>
      <x:c r="R128" s="3" t="str">
        <x:v>Bangkok metro</x:v>
      </x:c>
      <x:c r="S128" s="3" t="str">
        <x:v>MT</x:v>
      </x:c>
      <x:c r="T128" s="3" t="str">
        <x:v>世代不明</x:v>
      </x:c>
      <x:c r="U128" s="28" t="n">
        <x:v>479000</x:v>
      </x:c>
      <x:c r="V128" s="28"/>
      <x:c r="W128" s="3" t="str">
        <x:v>広告の申告のみ。事故・水没・SOH・保証残は未確認</x:v>
      </x:c>
      <x:c r="X128" s="3" t="str">
        <x:v>掲載中・在庫未確認</x:v>
      </x:c>
      <x:c r="Y128" s="3" t="str"/>
      <x:c r="Z128" s="27" t="str">
        <x:v>https://www.one2car.com/en/cars-for-sale/toyota/hilux-revo</x:v>
      </x:c>
      <x:c r="AA128" s="3" t="str">
        <x:v>掲載リンク参照#306／見出し行1174（永続IDではない）</x:v>
      </x:c>
      <x:c r="AB128" s="3" t="str">
        <x:v>車台番号未取得／サイト間重複は未判定</x:v>
      </x:c>
      <x:c r="AC128" s="3" t="str">
        <x:v>税込区分未確認</x:v>
      </x:c>
      <x:c r="AD128" s="3" t="str"/>
      <x:c r="AE128" s="29" t="str">
        <x:f>""</x:f>
      </x:c>
      <x:c r="AF128" s="30" t="str">
        <x:f>IF(ISNUMBER(AE128),U128/AE128,"")</x:f>
      </x:c>
      <x:c r="AG128" s="29" t="str">
        <x:f>""</x:f>
      </x:c>
      <x:c r="AH128" s="30" t="str">
        <x:f>IF(ISNUMBER(AG128),U128/AG128,"")</x:f>
      </x:c>
      <x:c r="AI128" s="3" t="str">
        <x:v>同年式・グレードの検証済み当時価格なし／登録年混在</x:v>
      </x:c>
      <x:c r="AJ128" s="3" t="str">
        <x:v>走行/条件情報あり</x:v>
      </x:c>
      <x:c r="AK128" s="3" t="str">
        <x:v>取得した検索結果ページの掲載。サイトの並び順による選択偏りあり。</x:v>
      </x:c>
      <x:c r="AL128" s="31" t="n">
        <x:f>IF(AND(J128&lt;='分析方法'!$B$7,OR(ISBLANK(O128),O128&gt;='分析方法'!$B$8),X128&lt;&gt;"売却済み表示"),1,0)</x:f>
        <x:v>1</x:v>
      </x:c>
      <x:c r="AM128" s="32" t="n">
        <x:f>IF(AL128=1,U128,"")</x:f>
        <x:v>479000</x:v>
      </x:c>
      <x:c r="AN128" s="33" t="str">
        <x:f>IF(AL128=1,AF128,"")</x:f>
      </x:c>
      <x:c r="AO128" s="31" t="n">
        <x:f>'分析方法'!$B$6-J128</x:f>
        <x:v>4</x:v>
      </x:c>
      <x:c r="AP128" s="3"/>
    </x:row>
    <x:row r="129" ht="22" customHeight="1">
      <x:c r="A129" s="3" t="str">
        <x:v>O_hilux-revo_Y2023_179</x:v>
      </x:c>
      <x:c r="B129" s="7" t="d">
        <x:v>2026-10-08T00:00:00.000Z</x:v>
      </x:c>
      <x:c r="C129" s="3" t="str">
        <x:v>One2car</x:v>
      </x:c>
      <x:c r="D129" s="3" t="str">
        <x:v>Toyota</x:v>
      </x:c>
      <x:c r="E129" s="3" t="str">
        <x:v>日本</x:v>
      </x:c>
      <x:c r="F129" s="3" t="str">
        <x:v>Hilux Revo</x:v>
      </x:c>
      <x:c r="G129" s="3" t="str">
        <x:v>ICE</x:v>
      </x:c>
      <x:c r="H129" s="3" t="str">
        <x:v>Pickup</x:v>
      </x:c>
      <x:c r="I129" s="3" t="str">
        <x:v>Double cab</x:v>
      </x:c>
      <x:c r="J129" s="3" t="n">
        <x:v>2023</x:v>
      </x:c>
      <x:c r="K129" s="3" t="str">
        <x:v>Toyota HILUX REVO 2.4 Double Cab Prerunner Entry</x:v>
      </x:c>
      <x:c r="L129" s="3" t="str">
        <x:v>TOYOTA HILUX REVO 2.4 DOUBLE CAB PRERUNNER ENTRY</x:v>
      </x:c>
      <x:c r="M129" s="22"/>
      <x:c r="N129" s="22" t="n">
        <x:v>45000</x:v>
      </x:c>
      <x:c r="O129" s="22" t="n">
        <x:v>50000</x:v>
      </x:c>
      <x:c r="P129" s="3" t="str">
        <x:v>20–50千km</x:v>
      </x:c>
      <x:c r="Q129" s="3" t="str">
        <x:v>Chon Buri</x:v>
      </x:c>
      <x:c r="R129" s="3" t="str">
        <x:v>Other province</x:v>
      </x:c>
      <x:c r="S129" s="3" t="str">
        <x:v>MT</x:v>
      </x:c>
      <x:c r="T129" s="3" t="str">
        <x:v>世代不明</x:v>
      </x:c>
      <x:c r="U129" s="28" t="n">
        <x:v>655000</x:v>
      </x:c>
      <x:c r="V129" s="28"/>
      <x:c r="W129" s="3" t="str">
        <x:v>広告の申告のみ。事故・水没・SOH・保証残は未確認</x:v>
      </x:c>
      <x:c r="X129" s="3" t="str">
        <x:v>掲載中・在庫未確認</x:v>
      </x:c>
      <x:c r="Y129" s="3" t="str"/>
      <x:c r="Z129" s="27" t="str">
        <x:v>https://www.one2car.com/en/cars-for-sale/toyota/hilux-revo/year-2023</x:v>
      </x:c>
      <x:c r="AA129" s="3" t="str">
        <x:v>掲載リンク参照#179／見出し行1456（永続IDではない）</x:v>
      </x:c>
      <x:c r="AB129" s="3" t="str">
        <x:v>車台番号未取得／サイト間重複は未判定</x:v>
      </x:c>
      <x:c r="AC129" s="3" t="str">
        <x:v>税込区分未確認</x:v>
      </x:c>
      <x:c r="AD129" s="3" t="str"/>
      <x:c r="AE129" s="29" t="str">
        <x:f>""</x:f>
      </x:c>
      <x:c r="AF129" s="30" t="str">
        <x:f>IF(ISNUMBER(AE129),U129/AE129,"")</x:f>
      </x:c>
      <x:c r="AG129" s="29" t="str">
        <x:f>""</x:f>
      </x:c>
      <x:c r="AH129" s="30" t="str">
        <x:f>IF(ISNUMBER(AG129),U129/AG129,"")</x:f>
      </x:c>
      <x:c r="AI129" s="3" t="str">
        <x:v>同年式・グレードの検証済み当時価格なし／登録年混在</x:v>
      </x:c>
      <x:c r="AJ129" s="3" t="str">
        <x:v>走行/条件情報あり</x:v>
      </x:c>
      <x:c r="AK129" s="3" t="str">
        <x:v>取得した検索結果ページの掲載。サイトの並び順による選択偏りあり。</x:v>
      </x:c>
      <x:c r="AL129" s="31" t="n">
        <x:f>IF(AND(J129&lt;='分析方法'!$B$7,OR(ISBLANK(O129),O129&gt;='分析方法'!$B$8),X129&lt;&gt;"売却済み表示"),1,0)</x:f>
        <x:v>1</x:v>
      </x:c>
      <x:c r="AM129" s="32" t="n">
        <x:f>IF(AL129=1,U129,"")</x:f>
        <x:v>655000</x:v>
      </x:c>
      <x:c r="AN129" s="33" t="str">
        <x:f>IF(AL129=1,AF129,"")</x:f>
      </x:c>
      <x:c r="AO129" s="31" t="n">
        <x:f>'分析方法'!$B$6-J129</x:f>
        <x:v>3</x:v>
      </x:c>
      <x:c r="AP129" s="3"/>
    </x:row>
    <x:row r="130" ht="22" customHeight="1">
      <x:c r="A130" s="3" t="str">
        <x:v>O_hilux-revo_Y2023_170</x:v>
      </x:c>
      <x:c r="B130" s="7" t="d">
        <x:v>2026-10-08T00:00:00.000Z</x:v>
      </x:c>
      <x:c r="C130" s="3" t="str">
        <x:v>One2car</x:v>
      </x:c>
      <x:c r="D130" s="3" t="str">
        <x:v>Toyota</x:v>
      </x:c>
      <x:c r="E130" s="3" t="str">
        <x:v>日本</x:v>
      </x:c>
      <x:c r="F130" s="3" t="str">
        <x:v>Hilux Revo</x:v>
      </x:c>
      <x:c r="G130" s="3" t="str">
        <x:v>ICE</x:v>
      </x:c>
      <x:c r="H130" s="3" t="str">
        <x:v>Pickup</x:v>
      </x:c>
      <x:c r="I130" s="3" t="str">
        <x:v>Double cab</x:v>
      </x:c>
      <x:c r="J130" s="3" t="n">
        <x:v>2023</x:v>
      </x:c>
      <x:c r="K130" s="3" t="str">
        <x:v>Toyota HILUX REVO 2.4 Double Cab Prerunner Entry</x:v>
      </x:c>
      <x:c r="L130" s="3" t="str">
        <x:v>TOYOTA HILUX REVO 2.4 DOUBLE CAB PRERUNNER ENTRY</x:v>
      </x:c>
      <x:c r="M130" s="22" t="n">
        <x:v>59965</x:v>
      </x:c>
      <x:c r="N130" s="22" t="n">
        <x:v>59965</x:v>
      </x:c>
      <x:c r="O130" s="22" t="n">
        <x:v>59965</x:v>
      </x:c>
      <x:c r="P130" s="3" t="str">
        <x:v>50–100千km</x:v>
      </x:c>
      <x:c r="Q130" s="3" t="str">
        <x:v>Bangkok</x:v>
      </x:c>
      <x:c r="R130" s="3" t="str">
        <x:v>Bangkok metro</x:v>
      </x:c>
      <x:c r="S130" s="3" t="str">
        <x:v>AT</x:v>
      </x:c>
      <x:c r="T130" s="3" t="str">
        <x:v>世代不明</x:v>
      </x:c>
      <x:c r="U130" s="28" t="n">
        <x:v>628000</x:v>
      </x:c>
      <x:c r="V130" s="28"/>
      <x:c r="W130" s="3" t="str">
        <x:v>広告の申告のみ。事故・水没・SOH・保証残は未確認</x:v>
      </x:c>
      <x:c r="X130" s="3" t="str">
        <x:v>掲載中・在庫未確認</x:v>
      </x:c>
      <x:c r="Y130" s="3" t="str"/>
      <x:c r="Z130" s="27" t="str">
        <x:v>https://www.one2car.com/en/cars-for-sale/toyota/hilux-revo/year-2023</x:v>
      </x:c>
      <x:c r="AA130" s="3" t="str">
        <x:v>掲載リンク参照#170／見出し行1133（永続IDではない）</x:v>
      </x:c>
      <x:c r="AB130" s="3" t="str">
        <x:v>車台番号未取得／サイト間重複は未判定</x:v>
      </x:c>
      <x:c r="AC130" s="3" t="str">
        <x:v>税込区分未確認</x:v>
      </x:c>
      <x:c r="AD130" s="3" t="str"/>
      <x:c r="AE130" s="29" t="str">
        <x:f>""</x:f>
      </x:c>
      <x:c r="AF130" s="30" t="str">
        <x:f>IF(ISNUMBER(AE130),U130/AE130,"")</x:f>
      </x:c>
      <x:c r="AG130" s="29" t="str">
        <x:f>""</x:f>
      </x:c>
      <x:c r="AH130" s="30" t="str">
        <x:f>IF(ISNUMBER(AG130),U130/AG130,"")</x:f>
      </x:c>
      <x:c r="AI130" s="3" t="str">
        <x:v>同年式・グレードの検証済み当時価格なし／登録年混在</x:v>
      </x:c>
      <x:c r="AJ130" s="3" t="str">
        <x:v>走行/条件情報あり</x:v>
      </x:c>
      <x:c r="AK130" s="3" t="str">
        <x:v>取得した検索結果ページの掲載。サイトの並び順による選択偏りあり。</x:v>
      </x:c>
      <x:c r="AL130" s="31" t="n">
        <x:f>IF(AND(J130&lt;='分析方法'!$B$7,OR(ISBLANK(O130),O130&gt;='分析方法'!$B$8),X130&lt;&gt;"売却済み表示"),1,0)</x:f>
        <x:v>1</x:v>
      </x:c>
      <x:c r="AM130" s="32" t="n">
        <x:f>IF(AL130=1,U130,"")</x:f>
        <x:v>628000</x:v>
      </x:c>
      <x:c r="AN130" s="33" t="str">
        <x:f>IF(AL130=1,AF130,"")</x:f>
      </x:c>
      <x:c r="AO130" s="31" t="n">
        <x:f>'分析方法'!$B$6-J130</x:f>
        <x:v>3</x:v>
      </x:c>
      <x:c r="AP130" s="3"/>
    </x:row>
    <x:row r="131" ht="22" customHeight="1">
      <x:c r="A131" s="3" t="str">
        <x:v>O_hilux-revo_Y2023_180</x:v>
      </x:c>
      <x:c r="B131" s="7" t="d">
        <x:v>2026-10-08T00:00:00.000Z</x:v>
      </x:c>
      <x:c r="C131" s="3" t="str">
        <x:v>One2car</x:v>
      </x:c>
      <x:c r="D131" s="3" t="str">
        <x:v>Toyota</x:v>
      </x:c>
      <x:c r="E131" s="3" t="str">
        <x:v>日本</x:v>
      </x:c>
      <x:c r="F131" s="3" t="str">
        <x:v>Hilux Revo</x:v>
      </x:c>
      <x:c r="G131" s="3" t="str">
        <x:v>ICE</x:v>
      </x:c>
      <x:c r="H131" s="3" t="str">
        <x:v>Pickup</x:v>
      </x:c>
      <x:c r="I131" s="3" t="str">
        <x:v>Double cab</x:v>
      </x:c>
      <x:c r="J131" s="3" t="n">
        <x:v>2023</x:v>
      </x:c>
      <x:c r="K131" s="3" t="str">
        <x:v>Toyota HILUX REVO 2.4 Double Cab Prerunner Entry</x:v>
      </x:c>
      <x:c r="L131" s="3" t="str">
        <x:v>TOYOTA HILUX REVO 2.4 DOUBLE CAB PRERUNNER ENTRY</x:v>
      </x:c>
      <x:c r="M131" s="22"/>
      <x:c r="N131" s="22" t="n">
        <x:v>75000</x:v>
      </x:c>
      <x:c r="O131" s="22" t="n">
        <x:v>80000</x:v>
      </x:c>
      <x:c r="P131" s="3" t="str">
        <x:v>50–100千km</x:v>
      </x:c>
      <x:c r="Q131" s="3" t="str">
        <x:v>Bangkok</x:v>
      </x:c>
      <x:c r="R131" s="3" t="str">
        <x:v>Bangkok metro</x:v>
      </x:c>
      <x:c r="S131" s="3" t="str">
        <x:v>AT</x:v>
      </x:c>
      <x:c r="T131" s="3" t="str">
        <x:v>世代不明</x:v>
      </x:c>
      <x:c r="U131" s="28" t="n">
        <x:v>719000</x:v>
      </x:c>
      <x:c r="V131" s="28"/>
      <x:c r="W131" s="3" t="str">
        <x:v>広告の申告のみ。事故・水没・SOH・保証残は未確認</x:v>
      </x:c>
      <x:c r="X131" s="3" t="str">
        <x:v>掲載中・在庫未確認</x:v>
      </x:c>
      <x:c r="Y131" s="3" t="str"/>
      <x:c r="Z131" s="27" t="str">
        <x:v>https://www.one2car.com/en/cars-for-sale/toyota/hilux-revo/year-2023</x:v>
      </x:c>
      <x:c r="AA131" s="3" t="str">
        <x:v>掲載リンク参照#180／見出し行1492（永続IDではない）</x:v>
      </x:c>
      <x:c r="AB131" s="3" t="str">
        <x:v>車台番号未取得／サイト間重複は未判定</x:v>
      </x:c>
      <x:c r="AC131" s="3" t="str">
        <x:v>税込区分未確認</x:v>
      </x:c>
      <x:c r="AD131" s="3" t="str"/>
      <x:c r="AE131" s="29" t="str">
        <x:f>""</x:f>
      </x:c>
      <x:c r="AF131" s="30" t="str">
        <x:f>IF(ISNUMBER(AE131),U131/AE131,"")</x:f>
      </x:c>
      <x:c r="AG131" s="29" t="str">
        <x:f>""</x:f>
      </x:c>
      <x:c r="AH131" s="30" t="str">
        <x:f>IF(ISNUMBER(AG131),U131/AG131,"")</x:f>
      </x:c>
      <x:c r="AI131" s="3" t="str">
        <x:v>同年式・グレードの検証済み当時価格なし／登録年混在</x:v>
      </x:c>
      <x:c r="AJ131" s="3" t="str">
        <x:v>走行/条件情報あり</x:v>
      </x:c>
      <x:c r="AK131" s="3" t="str">
        <x:v>取得した検索結果ページの掲載。サイトの並び順による選択偏りあり。</x:v>
      </x:c>
      <x:c r="AL131" s="31" t="n">
        <x:f>IF(AND(J131&lt;='分析方法'!$B$7,OR(ISBLANK(O131),O131&gt;='分析方法'!$B$8),X131&lt;&gt;"売却済み表示"),1,0)</x:f>
        <x:v>1</x:v>
      </x:c>
      <x:c r="AM131" s="32" t="n">
        <x:f>IF(AL131=1,U131,"")</x:f>
        <x:v>719000</x:v>
      </x:c>
      <x:c r="AN131" s="33" t="str">
        <x:f>IF(AL131=1,AF131,"")</x:f>
      </x:c>
      <x:c r="AO131" s="31" t="n">
        <x:f>'分析方法'!$B$6-J131</x:f>
        <x:v>3</x:v>
      </x:c>
      <x:c r="AP131" s="3"/>
    </x:row>
    <x:row r="132" ht="22" customHeight="1">
      <x:c r="A132" s="3" t="str">
        <x:v>O_hilux-revo_Y2023_163</x:v>
      </x:c>
      <x:c r="B132" s="7" t="d">
        <x:v>2026-10-08T00:00:00.000Z</x:v>
      </x:c>
      <x:c r="C132" s="3" t="str">
        <x:v>One2car</x:v>
      </x:c>
      <x:c r="D132" s="3" t="str">
        <x:v>Toyota</x:v>
      </x:c>
      <x:c r="E132" s="3" t="str">
        <x:v>日本</x:v>
      </x:c>
      <x:c r="F132" s="3" t="str">
        <x:v>Hilux Revo</x:v>
      </x:c>
      <x:c r="G132" s="3" t="str">
        <x:v>ICE</x:v>
      </x:c>
      <x:c r="H132" s="3" t="str">
        <x:v>Pickup</x:v>
      </x:c>
      <x:c r="I132" s="3" t="str">
        <x:v>Double cab</x:v>
      </x:c>
      <x:c r="J132" s="3" t="n">
        <x:v>2023</x:v>
      </x:c>
      <x:c r="K132" s="3" t="str">
        <x:v>Toyota HILUX REVO 2.4 Double Cab Prerunner Mid</x:v>
      </x:c>
      <x:c r="L132" s="3" t="str">
        <x:v>TOYOTA HILUX REVO 2.4 DOUBLE CAB PRERUNNER MID</x:v>
      </x:c>
      <x:c r="M132" s="22"/>
      <x:c r="N132" s="22" t="n">
        <x:v>270000</x:v>
      </x:c>
      <x:c r="O132" s="22" t="n">
        <x:v>275000</x:v>
      </x:c>
      <x:c r="P132" s="3" t="str">
        <x:v>150千km以上</x:v>
      </x:c>
      <x:c r="Q132" s="3" t="str">
        <x:v>Bangkok</x:v>
      </x:c>
      <x:c r="R132" s="3" t="str">
        <x:v>Bangkok metro</x:v>
      </x:c>
      <x:c r="S132" s="3" t="str">
        <x:v>AT</x:v>
      </x:c>
      <x:c r="T132" s="3" t="str">
        <x:v>世代不明</x:v>
      </x:c>
      <x:c r="U132" s="28" t="n">
        <x:v>640000</x:v>
      </x:c>
      <x:c r="V132" s="28"/>
      <x:c r="W132" s="3" t="str">
        <x:v>広告の申告のみ。事故・水没・SOH・保証残は未確認</x:v>
      </x:c>
      <x:c r="X132" s="3" t="str">
        <x:v>掲載中・在庫未確認</x:v>
      </x:c>
      <x:c r="Y132" s="3" t="str"/>
      <x:c r="Z132" s="27" t="str">
        <x:v>https://www.one2car.com/en/cars-for-sale/toyota/hilux-revo/year-2023</x:v>
      </x:c>
      <x:c r="AA132" s="3" t="str">
        <x:v>掲載リンク参照#163／見出し行927（永続IDではない）</x:v>
      </x:c>
      <x:c r="AB132" s="3" t="str">
        <x:v>車台番号未取得／サイト間重複は未判定</x:v>
      </x:c>
      <x:c r="AC132" s="3" t="str">
        <x:v>税込区分未確認</x:v>
      </x:c>
      <x:c r="AD132" s="3" t="str"/>
      <x:c r="AE132" s="29" t="str">
        <x:f>""</x:f>
      </x:c>
      <x:c r="AF132" s="30" t="str">
        <x:f>IF(ISNUMBER(AE132),U132/AE132,"")</x:f>
      </x:c>
      <x:c r="AG132" s="29" t="str">
        <x:f>""</x:f>
      </x:c>
      <x:c r="AH132" s="30" t="str">
        <x:f>IF(ISNUMBER(AG132),U132/AG132,"")</x:f>
      </x:c>
      <x:c r="AI132" s="3" t="str">
        <x:v>同年式・グレードの検証済み当時価格なし／登録年混在</x:v>
      </x:c>
      <x:c r="AJ132" s="3" t="str">
        <x:v>走行/条件情報あり</x:v>
      </x:c>
      <x:c r="AK132" s="3" t="str">
        <x:v>取得した検索結果ページの掲載。サイトの並び順による選択偏りあり。</x:v>
      </x:c>
      <x:c r="AL132" s="31" t="n">
        <x:f>IF(AND(J132&lt;='分析方法'!$B$7,OR(ISBLANK(O132),O132&gt;='分析方法'!$B$8),X132&lt;&gt;"売却済み表示"),1,0)</x:f>
        <x:v>1</x:v>
      </x:c>
      <x:c r="AM132" s="32" t="n">
        <x:f>IF(AL132=1,U132,"")</x:f>
        <x:v>640000</x:v>
      </x:c>
      <x:c r="AN132" s="33" t="str">
        <x:f>IF(AL132=1,AF132,"")</x:f>
      </x:c>
      <x:c r="AO132" s="31" t="n">
        <x:f>'分析方法'!$B$6-J132</x:f>
        <x:v>3</x:v>
      </x:c>
      <x:c r="AP132" s="3"/>
    </x:row>
    <x:row r="133" ht="22" customHeight="1">
      <x:c r="A133" s="3" t="str">
        <x:v>O_hilux-revo_Y2023_183</x:v>
      </x:c>
      <x:c r="B133" s="7" t="d">
        <x:v>2026-10-08T00:00:00.000Z</x:v>
      </x:c>
      <x:c r="C133" s="3" t="str">
        <x:v>One2car</x:v>
      </x:c>
      <x:c r="D133" s="3" t="str">
        <x:v>Toyota</x:v>
      </x:c>
      <x:c r="E133" s="3" t="str">
        <x:v>日本</x:v>
      </x:c>
      <x:c r="F133" s="3" t="str">
        <x:v>Hilux Revo</x:v>
      </x:c>
      <x:c r="G133" s="3" t="str">
        <x:v>ICE</x:v>
      </x:c>
      <x:c r="H133" s="3" t="str">
        <x:v>Pickup</x:v>
      </x:c>
      <x:c r="I133" s="3" t="str">
        <x:v>Double cab</x:v>
      </x:c>
      <x:c r="J133" s="3" t="n">
        <x:v>2023</x:v>
      </x:c>
      <x:c r="K133" s="3" t="str">
        <x:v>Toyota HILUX REVO 2.4 Double Cab Prerunner Mid</x:v>
      </x:c>
      <x:c r="L133" s="3" t="str">
        <x:v>TOYOTA HILUX REVO 2.4 DOUBLE CAB PRERUNNER MID</x:v>
      </x:c>
      <x:c r="M133" s="22"/>
      <x:c r="N133" s="22" t="n">
        <x:v>20000</x:v>
      </x:c>
      <x:c r="O133" s="22" t="n">
        <x:v>25000</x:v>
      </x:c>
      <x:c r="P133" s="3" t="str">
        <x:v>20–50千km</x:v>
      </x:c>
      <x:c r="Q133" s="3" t="str">
        <x:v>Bangkok</x:v>
      </x:c>
      <x:c r="R133" s="3" t="str">
        <x:v>Bangkok metro</x:v>
      </x:c>
      <x:c r="S133" s="3" t="str">
        <x:v>AT</x:v>
      </x:c>
      <x:c r="T133" s="3" t="str">
        <x:v>世代不明</x:v>
      </x:c>
      <x:c r="U133" s="28" t="n">
        <x:v>699000</x:v>
      </x:c>
      <x:c r="V133" s="28"/>
      <x:c r="W133" s="3" t="str">
        <x:v>広告の申告のみ。事故・水没・SOH・保証残は未確認</x:v>
      </x:c>
      <x:c r="X133" s="3" t="str">
        <x:v>掲載中・在庫未確認</x:v>
      </x:c>
      <x:c r="Y133" s="3" t="str"/>
      <x:c r="Z133" s="27" t="str">
        <x:v>https://www.one2car.com/en/cars-for-sale/toyota/hilux-revo/year-2023</x:v>
      </x:c>
      <x:c r="AA133" s="3" t="str">
        <x:v>掲載リンク参照#183／見出し行1597（永続IDではない）</x:v>
      </x:c>
      <x:c r="AB133" s="3" t="str">
        <x:v>車台番号未取得／サイト間重複は未判定</x:v>
      </x:c>
      <x:c r="AC133" s="3" t="str">
        <x:v>税込区分未確認</x:v>
      </x:c>
      <x:c r="AD133" s="3" t="str"/>
      <x:c r="AE133" s="29" t="str">
        <x:f>""</x:f>
      </x:c>
      <x:c r="AF133" s="30" t="str">
        <x:f>IF(ISNUMBER(AE133),U133/AE133,"")</x:f>
      </x:c>
      <x:c r="AG133" s="29" t="str">
        <x:f>""</x:f>
      </x:c>
      <x:c r="AH133" s="30" t="str">
        <x:f>IF(ISNUMBER(AG133),U133/AG133,"")</x:f>
      </x:c>
      <x:c r="AI133" s="3" t="str">
        <x:v>同年式・グレードの検証済み当時価格なし／登録年混在</x:v>
      </x:c>
      <x:c r="AJ133" s="3" t="str">
        <x:v>走行/条件情報あり</x:v>
      </x:c>
      <x:c r="AK133" s="3" t="str">
        <x:v>取得した検索結果ページの掲載。サイトの並び順による選択偏りあり。</x:v>
      </x:c>
      <x:c r="AL133" s="31" t="n">
        <x:f>IF(AND(J133&lt;='分析方法'!$B$7,OR(ISBLANK(O133),O133&gt;='分析方法'!$B$8),X133&lt;&gt;"売却済み表示"),1,0)</x:f>
        <x:v>1</x:v>
      </x:c>
      <x:c r="AM133" s="32" t="n">
        <x:f>IF(AL133=1,U133,"")</x:f>
        <x:v>699000</x:v>
      </x:c>
      <x:c r="AN133" s="33" t="str">
        <x:f>IF(AL133=1,AF133,"")</x:f>
      </x:c>
      <x:c r="AO133" s="31" t="n">
        <x:f>'分析方法'!$B$6-J133</x:f>
        <x:v>3</x:v>
      </x:c>
      <x:c r="AP133" s="3"/>
    </x:row>
    <x:row r="134" ht="22" customHeight="1">
      <x:c r="A134" s="3" t="str">
        <x:v>O_hilux-revo_Y2023_168</x:v>
      </x:c>
      <x:c r="B134" s="7" t="d">
        <x:v>2026-10-08T00:00:00.000Z</x:v>
      </x:c>
      <x:c r="C134" s="3" t="str">
        <x:v>One2car</x:v>
      </x:c>
      <x:c r="D134" s="3" t="str">
        <x:v>Toyota</x:v>
      </x:c>
      <x:c r="E134" s="3" t="str">
        <x:v>日本</x:v>
      </x:c>
      <x:c r="F134" s="3" t="str">
        <x:v>Hilux Revo</x:v>
      </x:c>
      <x:c r="G134" s="3" t="str">
        <x:v>ICE</x:v>
      </x:c>
      <x:c r="H134" s="3" t="str">
        <x:v>Pickup</x:v>
      </x:c>
      <x:c r="I134" s="3" t="str">
        <x:v>Double cab</x:v>
      </x:c>
      <x:c r="J134" s="3" t="n">
        <x:v>2023</x:v>
      </x:c>
      <x:c r="K134" s="3" t="str">
        <x:v>Toyota HILUX REVO 2.4 Double Cab Prerunner Mid</x:v>
      </x:c>
      <x:c r="L134" s="3" t="str">
        <x:v>TOYOTA HILUX REVO 2.4 DOUBLE CAB PRERUNNER MID</x:v>
      </x:c>
      <x:c r="M134" s="22"/>
      <x:c r="N134" s="22" t="n">
        <x:v>15000</x:v>
      </x:c>
      <x:c r="O134" s="22" t="n">
        <x:v>20000</x:v>
      </x:c>
      <x:c r="P134" s="3" t="str">
        <x:v>境界を跨ぐ表示レンジ</x:v>
      </x:c>
      <x:c r="Q134" s="3" t="str">
        <x:v>Bangkok</x:v>
      </x:c>
      <x:c r="R134" s="3" t="str">
        <x:v>Bangkok metro</x:v>
      </x:c>
      <x:c r="S134" s="3" t="str">
        <x:v>AT</x:v>
      </x:c>
      <x:c r="T134" s="3" t="str">
        <x:v>世代不明</x:v>
      </x:c>
      <x:c r="U134" s="28" t="n">
        <x:v>679000</x:v>
      </x:c>
      <x:c r="V134" s="28"/>
      <x:c r="W134" s="3" t="str">
        <x:v>広告の申告のみ。事故・水没・SOH・保証残は未確認</x:v>
      </x:c>
      <x:c r="X134" s="3" t="str">
        <x:v>掲載中・在庫未確認</x:v>
      </x:c>
      <x:c r="Y134" s="3" t="str"/>
      <x:c r="Z134" s="27" t="str">
        <x:v>https://www.one2car.com/en/cars-for-sale/toyota/hilux-revo/year-2023</x:v>
      </x:c>
      <x:c r="AA134" s="3" t="str">
        <x:v>掲載リンク参照#168／見出し行1097（永続IDではない）</x:v>
      </x:c>
      <x:c r="AB134" s="3" t="str">
        <x:v>車台番号未取得／サイト間重複は未判定</x:v>
      </x:c>
      <x:c r="AC134" s="3" t="str">
        <x:v>税込区分未確認</x:v>
      </x:c>
      <x:c r="AD134" s="3" t="str"/>
      <x:c r="AE134" s="29" t="str">
        <x:f>""</x:f>
      </x:c>
      <x:c r="AF134" s="30" t="str">
        <x:f>IF(ISNUMBER(AE134),U134/AE134,"")</x:f>
      </x:c>
      <x:c r="AG134" s="29" t="str">
        <x:f>""</x:f>
      </x:c>
      <x:c r="AH134" s="30" t="str">
        <x:f>IF(ISNUMBER(AG134),U134/AG134,"")</x:f>
      </x:c>
      <x:c r="AI134" s="3" t="str">
        <x:v>同年式・グレードの検証済み当時価格なし／登録年混在</x:v>
      </x:c>
      <x:c r="AJ134" s="3" t="str">
        <x:v>走行/条件情報あり</x:v>
      </x:c>
      <x:c r="AK134" s="3" t="str">
        <x:v>取得した検索結果ページの掲載。サイトの並び順による選択偏りあり。</x:v>
      </x:c>
      <x:c r="AL134" s="31" t="n">
        <x:f>IF(AND(J134&lt;='分析方法'!$B$7,OR(ISBLANK(O134),O134&gt;='分析方法'!$B$8),X134&lt;&gt;"売却済み表示"),1,0)</x:f>
        <x:v>1</x:v>
      </x:c>
      <x:c r="AM134" s="32" t="n">
        <x:f>IF(AL134=1,U134,"")</x:f>
        <x:v>679000</x:v>
      </x:c>
      <x:c r="AN134" s="33" t="str">
        <x:f>IF(AL134=1,AF134,"")</x:f>
      </x:c>
      <x:c r="AO134" s="31" t="n">
        <x:f>'分析方法'!$B$6-J134</x:f>
        <x:v>3</x:v>
      </x:c>
      <x:c r="AP134" s="3"/>
    </x:row>
    <x:row r="135" ht="22" customHeight="1">
      <x:c r="A135" s="3" t="str">
        <x:v>O_hilux-revo_Y2023_166</x:v>
      </x:c>
      <x:c r="B135" s="7" t="d">
        <x:v>2026-10-08T00:00:00.000Z</x:v>
      </x:c>
      <x:c r="C135" s="3" t="str">
        <x:v>One2car</x:v>
      </x:c>
      <x:c r="D135" s="3" t="str">
        <x:v>Toyota</x:v>
      </x:c>
      <x:c r="E135" s="3" t="str">
        <x:v>日本</x:v>
      </x:c>
      <x:c r="F135" s="3" t="str">
        <x:v>Hilux Revo</x:v>
      </x:c>
      <x:c r="G135" s="3" t="str">
        <x:v>ICE</x:v>
      </x:c>
      <x:c r="H135" s="3" t="str">
        <x:v>Pickup</x:v>
      </x:c>
      <x:c r="I135" s="3" t="str">
        <x:v>Double cab</x:v>
      </x:c>
      <x:c r="J135" s="3" t="n">
        <x:v>2023</x:v>
      </x:c>
      <x:c r="K135" s="3" t="str">
        <x:v>Toyota HILUX REVO 2.4 Double Cab Z Edition Entry</x:v>
      </x:c>
      <x:c r="L135" s="3" t="str">
        <x:v>TOYOTA HILUX REVO 2.4 DOUBLE CAB Z EDITION ENTRY</x:v>
      </x:c>
      <x:c r="M135" s="22"/>
      <x:c r="N135" s="22" t="n">
        <x:v>80000</x:v>
      </x:c>
      <x:c r="O135" s="22" t="n">
        <x:v>85000</x:v>
      </x:c>
      <x:c r="P135" s="3" t="str">
        <x:v>50–100千km</x:v>
      </x:c>
      <x:c r="Q135" s="3" t="str">
        <x:v>Bangkok</x:v>
      </x:c>
      <x:c r="R135" s="3" t="str">
        <x:v>Bangkok metro</x:v>
      </x:c>
      <x:c r="S135" s="3" t="str">
        <x:v>MT</x:v>
      </x:c>
      <x:c r="T135" s="3" t="str">
        <x:v>世代不明</x:v>
      </x:c>
      <x:c r="U135" s="28" t="n">
        <x:v>499000</x:v>
      </x:c>
      <x:c r="V135" s="28"/>
      <x:c r="W135" s="3" t="str">
        <x:v>広告の申告のみ。事故・水没・SOH・保証残は未確認</x:v>
      </x:c>
      <x:c r="X135" s="3" t="str">
        <x:v>掲載中・在庫未確認</x:v>
      </x:c>
      <x:c r="Y135" s="3" t="str"/>
      <x:c r="Z135" s="27" t="str">
        <x:v>https://www.one2car.com/en/cars-for-sale/toyota/hilux-revo/year-2023</x:v>
      </x:c>
      <x:c r="AA135" s="3" t="str">
        <x:v>掲載リンク参照#166／見出し行1028（永続IDではない）</x:v>
      </x:c>
      <x:c r="AB135" s="3" t="str">
        <x:v>車台番号未取得／サイト間重複は未判定</x:v>
      </x:c>
      <x:c r="AC135" s="3" t="str">
        <x:v>税込区分未確認</x:v>
      </x:c>
      <x:c r="AD135" s="3" t="str"/>
      <x:c r="AE135" s="29" t="str">
        <x:f>""</x:f>
      </x:c>
      <x:c r="AF135" s="30" t="str">
        <x:f>IF(ISNUMBER(AE135),U135/AE135,"")</x:f>
      </x:c>
      <x:c r="AG135" s="29" t="str">
        <x:f>""</x:f>
      </x:c>
      <x:c r="AH135" s="30" t="str">
        <x:f>IF(ISNUMBER(AG135),U135/AG135,"")</x:f>
      </x:c>
      <x:c r="AI135" s="3" t="str">
        <x:v>同年式・グレードの検証済み当時価格なし／登録年混在</x:v>
      </x:c>
      <x:c r="AJ135" s="3" t="str">
        <x:v>走行/条件情報あり</x:v>
      </x:c>
      <x:c r="AK135" s="3" t="str">
        <x:v>取得した検索結果ページの掲載。サイトの並び順による選択偏りあり。</x:v>
      </x:c>
      <x:c r="AL135" s="31" t="n">
        <x:f>IF(AND(J135&lt;='分析方法'!$B$7,OR(ISBLANK(O135),O135&gt;='分析方法'!$B$8),X135&lt;&gt;"売却済み表示"),1,0)</x:f>
        <x:v>1</x:v>
      </x:c>
      <x:c r="AM135" s="32" t="n">
        <x:f>IF(AL135=1,U135,"")</x:f>
        <x:v>499000</x:v>
      </x:c>
      <x:c r="AN135" s="33" t="str">
        <x:f>IF(AL135=1,AF135,"")</x:f>
      </x:c>
      <x:c r="AO135" s="31" t="n">
        <x:f>'分析方法'!$B$6-J135</x:f>
        <x:v>3</x:v>
      </x:c>
      <x:c r="AP135" s="3"/>
    </x:row>
    <x:row r="136" ht="22" customHeight="1">
      <x:c r="A136" s="3" t="str">
        <x:v>O_hilux-revo_Y2023_178</x:v>
      </x:c>
      <x:c r="B136" s="7" t="d">
        <x:v>2026-10-08T00:00:00.000Z</x:v>
      </x:c>
      <x:c r="C136" s="3" t="str">
        <x:v>One2car</x:v>
      </x:c>
      <x:c r="D136" s="3" t="str">
        <x:v>Toyota</x:v>
      </x:c>
      <x:c r="E136" s="3" t="str">
        <x:v>日本</x:v>
      </x:c>
      <x:c r="F136" s="3" t="str">
        <x:v>Hilux Revo</x:v>
      </x:c>
      <x:c r="G136" s="3" t="str">
        <x:v>ICE</x:v>
      </x:c>
      <x:c r="H136" s="3" t="str">
        <x:v>Pickup</x:v>
      </x:c>
      <x:c r="I136" s="3" t="str">
        <x:v>Double cab</x:v>
      </x:c>
      <x:c r="J136" s="3" t="n">
        <x:v>2023</x:v>
      </x:c>
      <x:c r="K136" s="3" t="str">
        <x:v>Toyota HILUX REVO 2.4 Double Cab Z Edition Entry</x:v>
      </x:c>
      <x:c r="L136" s="3" t="str">
        <x:v>TOYOTA HILUX REVO 2.4 DOUBLE CAB Z EDITION ENTRY</x:v>
      </x:c>
      <x:c r="M136" s="22"/>
      <x:c r="N136" s="22" t="n">
        <x:v>15000</x:v>
      </x:c>
      <x:c r="O136" s="22" t="n">
        <x:v>20000</x:v>
      </x:c>
      <x:c r="P136" s="3" t="str">
        <x:v>境界を跨ぐ表示レンジ</x:v>
      </x:c>
      <x:c r="Q136" s="3" t="str">
        <x:v>Rayong</x:v>
      </x:c>
      <x:c r="R136" s="3" t="str">
        <x:v>Other province</x:v>
      </x:c>
      <x:c r="S136" s="3" t="str">
        <x:v>MT</x:v>
      </x:c>
      <x:c r="T136" s="3" t="str">
        <x:v>世代不明</x:v>
      </x:c>
      <x:c r="U136" s="28" t="n">
        <x:v>499000</x:v>
      </x:c>
      <x:c r="V136" s="28"/>
      <x:c r="W136" s="3" t="str">
        <x:v>広告の申告のみ。事故・水没・SOH・保証残は未確認</x:v>
      </x:c>
      <x:c r="X136" s="3" t="str">
        <x:v>掲載中・在庫未確認</x:v>
      </x:c>
      <x:c r="Y136" s="3" t="str"/>
      <x:c r="Z136" s="27" t="str">
        <x:v>https://www.one2car.com/en/cars-for-sale/toyota/hilux-revo/year-2023</x:v>
      </x:c>
      <x:c r="AA136" s="3" t="str">
        <x:v>掲載リンク参照#178／見出し行1420（永続IDではない）</x:v>
      </x:c>
      <x:c r="AB136" s="3" t="str">
        <x:v>車台番号未取得／サイト間重複は未判定</x:v>
      </x:c>
      <x:c r="AC136" s="3" t="str">
        <x:v>税込区分未確認</x:v>
      </x:c>
      <x:c r="AD136" s="3" t="str"/>
      <x:c r="AE136" s="29" t="str">
        <x:f>""</x:f>
      </x:c>
      <x:c r="AF136" s="30" t="str">
        <x:f>IF(ISNUMBER(AE136),U136/AE136,"")</x:f>
      </x:c>
      <x:c r="AG136" s="29" t="str">
        <x:f>""</x:f>
      </x:c>
      <x:c r="AH136" s="30" t="str">
        <x:f>IF(ISNUMBER(AG136),U136/AG136,"")</x:f>
      </x:c>
      <x:c r="AI136" s="3" t="str">
        <x:v>同年式・グレードの検証済み当時価格なし／登録年混在</x:v>
      </x:c>
      <x:c r="AJ136" s="3" t="str">
        <x:v>走行/条件情報あり</x:v>
      </x:c>
      <x:c r="AK136" s="3" t="str">
        <x:v>取得した検索結果ページの掲載。サイトの並び順による選択偏りあり。</x:v>
      </x:c>
      <x:c r="AL136" s="31" t="n">
        <x:f>IF(AND(J136&lt;='分析方法'!$B$7,OR(ISBLANK(O136),O136&gt;='分析方法'!$B$8),X136&lt;&gt;"売却済み表示"),1,0)</x:f>
        <x:v>1</x:v>
      </x:c>
      <x:c r="AM136" s="32" t="n">
        <x:f>IF(AL136=1,U136,"")</x:f>
        <x:v>499000</x:v>
      </x:c>
      <x:c r="AN136" s="33" t="str">
        <x:f>IF(AL136=1,AF136,"")</x:f>
      </x:c>
      <x:c r="AO136" s="31" t="n">
        <x:f>'分析方法'!$B$6-J136</x:f>
        <x:v>3</x:v>
      </x:c>
      <x:c r="AP136" s="3"/>
    </x:row>
    <x:row r="137" ht="22" customHeight="1">
      <x:c r="A137" s="3" t="str">
        <x:v>O_hilux-revo_Y2023_172</x:v>
      </x:c>
      <x:c r="B137" s="7" t="d">
        <x:v>2026-10-08T00:00:00.000Z</x:v>
      </x:c>
      <x:c r="C137" s="3" t="str">
        <x:v>One2car</x:v>
      </x:c>
      <x:c r="D137" s="3" t="str">
        <x:v>Toyota</x:v>
      </x:c>
      <x:c r="E137" s="3" t="str">
        <x:v>日本</x:v>
      </x:c>
      <x:c r="F137" s="3" t="str">
        <x:v>Hilux Revo</x:v>
      </x:c>
      <x:c r="G137" s="3" t="str">
        <x:v>ICE</x:v>
      </x:c>
      <x:c r="H137" s="3" t="str">
        <x:v>Pickup</x:v>
      </x:c>
      <x:c r="I137" s="3" t="str">
        <x:v>Double cab</x:v>
      </x:c>
      <x:c r="J137" s="3" t="n">
        <x:v>2023</x:v>
      </x:c>
      <x:c r="K137" s="3" t="str">
        <x:v>Toyota HILUX REVO 2.4 Double Cab Z Edition Mid</x:v>
      </x:c>
      <x:c r="L137" s="3" t="str">
        <x:v>TOYOTA HILUX REVO 2.4 DOUBLE CAB Z EDITION MID</x:v>
      </x:c>
      <x:c r="M137" s="22" t="n">
        <x:v>29631</x:v>
      </x:c>
      <x:c r="N137" s="22" t="n">
        <x:v>29631</x:v>
      </x:c>
      <x:c r="O137" s="22" t="n">
        <x:v>29631</x:v>
      </x:c>
      <x:c r="P137" s="3" t="str">
        <x:v>20–50千km</x:v>
      </x:c>
      <x:c r="Q137" s="3" t="str">
        <x:v>Bangkok</x:v>
      </x:c>
      <x:c r="R137" s="3" t="str">
        <x:v>Bangkok metro</x:v>
      </x:c>
      <x:c r="S137" s="3" t="str">
        <x:v>AT</x:v>
      </x:c>
      <x:c r="T137" s="3" t="str">
        <x:v>世代不明</x:v>
      </x:c>
      <x:c r="U137" s="28" t="n">
        <x:v>599000</x:v>
      </x:c>
      <x:c r="V137" s="28"/>
      <x:c r="W137" s="3" t="str">
        <x:v>広告の申告のみ。事故・水没・SOH・保証残は未確認</x:v>
      </x:c>
      <x:c r="X137" s="3" t="str">
        <x:v>掲載中・在庫未確認</x:v>
      </x:c>
      <x:c r="Y137" s="3" t="str"/>
      <x:c r="Z137" s="27" t="str">
        <x:v>https://www.one2car.com/en/cars-for-sale/toyota/hilux-revo/year-2023</x:v>
      </x:c>
      <x:c r="AA137" s="3" t="str">
        <x:v>掲載リンク参照#172／見出し行1204（永続IDではない）</x:v>
      </x:c>
      <x:c r="AB137" s="3" t="str">
        <x:v>車台番号未取得／サイト間重複は未判定</x:v>
      </x:c>
      <x:c r="AC137" s="3" t="str">
        <x:v>税込区分未確認</x:v>
      </x:c>
      <x:c r="AD137" s="3" t="str"/>
      <x:c r="AE137" s="29" t="str">
        <x:f>""</x:f>
      </x:c>
      <x:c r="AF137" s="30" t="str">
        <x:f>IF(ISNUMBER(AE137),U137/AE137,"")</x:f>
      </x:c>
      <x:c r="AG137" s="29" t="str">
        <x:f>""</x:f>
      </x:c>
      <x:c r="AH137" s="30" t="str">
        <x:f>IF(ISNUMBER(AG137),U137/AG137,"")</x:f>
      </x:c>
      <x:c r="AI137" s="3" t="str">
        <x:v>同年式・グレードの検証済み当時価格なし／登録年混在</x:v>
      </x:c>
      <x:c r="AJ137" s="3" t="str">
        <x:v>走行/条件情報あり</x:v>
      </x:c>
      <x:c r="AK137" s="3" t="str">
        <x:v>取得した検索結果ページの掲載。サイトの並び順による選択偏りあり。</x:v>
      </x:c>
      <x:c r="AL137" s="31" t="n">
        <x:f>IF(AND(J137&lt;='分析方法'!$B$7,OR(ISBLANK(O137),O137&gt;='分析方法'!$B$8),X137&lt;&gt;"売却済み表示"),1,0)</x:f>
        <x:v>1</x:v>
      </x:c>
      <x:c r="AM137" s="32" t="n">
        <x:f>IF(AL137=1,U137,"")</x:f>
        <x:v>599000</x:v>
      </x:c>
      <x:c r="AN137" s="33" t="str">
        <x:f>IF(AL137=1,AF137,"")</x:f>
      </x:c>
      <x:c r="AO137" s="31" t="n">
        <x:f>'分析方法'!$B$6-J137</x:f>
        <x:v>3</x:v>
      </x:c>
      <x:c r="AP137" s="3"/>
    </x:row>
    <x:row r="138" ht="22" customHeight="1">
      <x:c r="A138" s="3" t="str">
        <x:v>O_hilux-revo_Y2023_167</x:v>
      </x:c>
      <x:c r="B138" s="7" t="d">
        <x:v>2026-10-08T00:00:00.000Z</x:v>
      </x:c>
      <x:c r="C138" s="3" t="str">
        <x:v>One2car</x:v>
      </x:c>
      <x:c r="D138" s="3" t="str">
        <x:v>Toyota</x:v>
      </x:c>
      <x:c r="E138" s="3" t="str">
        <x:v>日本</x:v>
      </x:c>
      <x:c r="F138" s="3" t="str">
        <x:v>Hilux Revo</x:v>
      </x:c>
      <x:c r="G138" s="3" t="str">
        <x:v>ICE</x:v>
      </x:c>
      <x:c r="H138" s="3" t="str">
        <x:v>Pickup</x:v>
      </x:c>
      <x:c r="I138" s="3" t="str">
        <x:v>Single cab</x:v>
      </x:c>
      <x:c r="J138" s="3" t="n">
        <x:v>2023</x:v>
      </x:c>
      <x:c r="K138" s="3" t="str">
        <x:v>Toyota HILUX REVO 2.4 Single Cab Entry</x:v>
      </x:c>
      <x:c r="L138" s="3" t="str">
        <x:v>TOYOTA HILUX REVO 2.4 SINGLE CAB ENTRY</x:v>
      </x:c>
      <x:c r="M138" s="22"/>
      <x:c r="N138" s="22" t="n">
        <x:v>20000</x:v>
      </x:c>
      <x:c r="O138" s="22" t="n">
        <x:v>25000</x:v>
      </x:c>
      <x:c r="P138" s="3" t="str">
        <x:v>20–50千km</x:v>
      </x:c>
      <x:c r="Q138" s="3" t="str">
        <x:v>Bangkok</x:v>
      </x:c>
      <x:c r="R138" s="3" t="str">
        <x:v>Bangkok metro</x:v>
      </x:c>
      <x:c r="S138" s="3" t="str">
        <x:v>AT</x:v>
      </x:c>
      <x:c r="T138" s="3" t="str">
        <x:v>世代不明</x:v>
      </x:c>
      <x:c r="U138" s="28" t="n">
        <x:v>489000</x:v>
      </x:c>
      <x:c r="V138" s="28"/>
      <x:c r="W138" s="3" t="str">
        <x:v>広告の申告のみ。事故・水没・SOH・保証残は未確認</x:v>
      </x:c>
      <x:c r="X138" s="3" t="str">
        <x:v>掲載中・在庫未確認</x:v>
      </x:c>
      <x:c r="Y138" s="3" t="str"/>
      <x:c r="Z138" s="27" t="str">
        <x:v>https://www.one2car.com/en/cars-for-sale/toyota/hilux-revo/year-2023</x:v>
      </x:c>
      <x:c r="AA138" s="3" t="str">
        <x:v>掲載リンク参照#167／見出し行1064（永続IDではない）</x:v>
      </x:c>
      <x:c r="AB138" s="3" t="str">
        <x:v>車台番号未取得／サイト間重複は未判定</x:v>
      </x:c>
      <x:c r="AC138" s="3" t="str">
        <x:v>税込区分未確認</x:v>
      </x:c>
      <x:c r="AD138" s="3" t="str"/>
      <x:c r="AE138" s="29" t="str">
        <x:f>""</x:f>
      </x:c>
      <x:c r="AF138" s="30" t="str">
        <x:f>IF(ISNUMBER(AE138),U138/AE138,"")</x:f>
      </x:c>
      <x:c r="AG138" s="29" t="str">
        <x:f>""</x:f>
      </x:c>
      <x:c r="AH138" s="30" t="str">
        <x:f>IF(ISNUMBER(AG138),U138/AG138,"")</x:f>
      </x:c>
      <x:c r="AI138" s="3" t="str">
        <x:v>同年式・グレードの検証済み当時価格なし／登録年混在</x:v>
      </x:c>
      <x:c r="AJ138" s="3" t="str">
        <x:v>走行/条件情報あり</x:v>
      </x:c>
      <x:c r="AK138" s="3" t="str">
        <x:v>取得した検索結果ページの掲載。サイトの並び順による選択偏りあり。</x:v>
      </x:c>
      <x:c r="AL138" s="31" t="n">
        <x:f>IF(AND(J138&lt;='分析方法'!$B$7,OR(ISBLANK(O138),O138&gt;='分析方法'!$B$8),X138&lt;&gt;"売却済み表示"),1,0)</x:f>
        <x:v>1</x:v>
      </x:c>
      <x:c r="AM138" s="32" t="n">
        <x:f>IF(AL138=1,U138,"")</x:f>
        <x:v>489000</x:v>
      </x:c>
      <x:c r="AN138" s="33" t="str">
        <x:f>IF(AL138=1,AF138,"")</x:f>
      </x:c>
      <x:c r="AO138" s="31" t="n">
        <x:f>'分析方法'!$B$6-J138</x:f>
        <x:v>3</x:v>
      </x:c>
      <x:c r="AP138" s="3"/>
    </x:row>
    <x:row r="139" ht="22" customHeight="1">
      <x:c r="A139" s="3" t="str">
        <x:v>O_hilux-revo_Y2023_176</x:v>
      </x:c>
      <x:c r="B139" s="7" t="d">
        <x:v>2026-10-08T00:00:00.000Z</x:v>
      </x:c>
      <x:c r="C139" s="3" t="str">
        <x:v>One2car</x:v>
      </x:c>
      <x:c r="D139" s="3" t="str">
        <x:v>Toyota</x:v>
      </x:c>
      <x:c r="E139" s="3" t="str">
        <x:v>日本</x:v>
      </x:c>
      <x:c r="F139" s="3" t="str">
        <x:v>Hilux Revo</x:v>
      </x:c>
      <x:c r="G139" s="3" t="str">
        <x:v>ICE</x:v>
      </x:c>
      <x:c r="H139" s="3" t="str">
        <x:v>Pickup</x:v>
      </x:c>
      <x:c r="I139" s="3" t="str">
        <x:v>Single cab</x:v>
      </x:c>
      <x:c r="J139" s="3" t="n">
        <x:v>2023</x:v>
      </x:c>
      <x:c r="K139" s="3" t="str">
        <x:v>Toyota HILUX REVO 2.4 Single Cab Entry</x:v>
      </x:c>
      <x:c r="L139" s="3" t="str">
        <x:v>TOYOTA HILUX REVO 2.4 SINGLE CAB ENTRY</x:v>
      </x:c>
      <x:c r="M139" s="22"/>
      <x:c r="N139" s="22" t="n">
        <x:v>0</x:v>
      </x:c>
      <x:c r="O139" s="22" t="n">
        <x:v>5000</x:v>
      </x:c>
      <x:c r="P139" s="3" t="str">
        <x:v>&lt;20千km</x:v>
      </x:c>
      <x:c r="Q139" s="3" t="str">
        <x:v>Bangkok</x:v>
      </x:c>
      <x:c r="R139" s="3" t="str">
        <x:v>Bangkok metro</x:v>
      </x:c>
      <x:c r="S139" s="3" t="str">
        <x:v>MT</x:v>
      </x:c>
      <x:c r="T139" s="3" t="str">
        <x:v>世代不明</x:v>
      </x:c>
      <x:c r="U139" s="28" t="n">
        <x:v>449000</x:v>
      </x:c>
      <x:c r="V139" s="28"/>
      <x:c r="W139" s="3" t="str">
        <x:v>広告の申告のみ。事故・水没・SOH・保証残は未確認</x:v>
      </x:c>
      <x:c r="X139" s="3" t="str">
        <x:v>掲載中・在庫未確認</x:v>
      </x:c>
      <x:c r="Y139" s="3" t="str"/>
      <x:c r="Z139" s="27" t="str">
        <x:v>https://www.one2car.com/en/cars-for-sale/toyota/hilux-revo/year-2023</x:v>
      </x:c>
      <x:c r="AA139" s="3" t="str">
        <x:v>掲載リンク参照#176／見出し行1348（永続IDではない）</x:v>
      </x:c>
      <x:c r="AB139" s="3" t="str">
        <x:v>候補ace8330a：同条件・価格一致、車台番号未確認</x:v>
      </x:c>
      <x:c r="AC139" s="3" t="str">
        <x:v>税込区分未確認</x:v>
      </x:c>
      <x:c r="AD139" s="3" t="str"/>
      <x:c r="AE139" s="29" t="str">
        <x:f>""</x:f>
      </x:c>
      <x:c r="AF139" s="30" t="str">
        <x:f>IF(ISNUMBER(AE139),U139/AE139,"")</x:f>
      </x:c>
      <x:c r="AG139" s="29" t="str">
        <x:f>""</x:f>
      </x:c>
      <x:c r="AH139" s="30" t="str">
        <x:f>IF(ISNUMBER(AG139),U139/AG139,"")</x:f>
      </x:c>
      <x:c r="AI139" s="3" t="str">
        <x:v>同年式・グレードの検証済み当時価格なし／登録年混在</x:v>
      </x:c>
      <x:c r="AJ139" s="3" t="str">
        <x:v>走行/条件情報あり</x:v>
      </x:c>
      <x:c r="AK139" s="3" t="str">
        <x:v>取得した検索結果ページの掲載。サイトの並び順による選択偏りあり。</x:v>
      </x:c>
      <x:c r="AL139" s="31" t="n">
        <x:f>IF(AND(J139&lt;='分析方法'!$B$7,OR(ISBLANK(O139),O139&gt;='分析方法'!$B$8),X139&lt;&gt;"売却済み表示"),1,0)</x:f>
        <x:v>1</x:v>
      </x:c>
      <x:c r="AM139" s="32" t="n">
        <x:f>IF(AL139=1,U139,"")</x:f>
        <x:v>449000</x:v>
      </x:c>
      <x:c r="AN139" s="33" t="str">
        <x:f>IF(AL139=1,AF139,"")</x:f>
      </x:c>
      <x:c r="AO139" s="31" t="n">
        <x:f>'分析方法'!$B$6-J139</x:f>
        <x:v>3</x:v>
      </x:c>
      <x:c r="AP139" s="3"/>
    </x:row>
    <x:row r="140" ht="22" customHeight="1">
      <x:c r="A140" s="3" t="str">
        <x:v>O_hilux-revo_Y2023_177</x:v>
      </x:c>
      <x:c r="B140" s="7" t="d">
        <x:v>2026-10-08T00:00:00.000Z</x:v>
      </x:c>
      <x:c r="C140" s="3" t="str">
        <x:v>One2car</x:v>
      </x:c>
      <x:c r="D140" s="3" t="str">
        <x:v>Toyota</x:v>
      </x:c>
      <x:c r="E140" s="3" t="str">
        <x:v>日本</x:v>
      </x:c>
      <x:c r="F140" s="3" t="str">
        <x:v>Hilux Revo</x:v>
      </x:c>
      <x:c r="G140" s="3" t="str">
        <x:v>ICE</x:v>
      </x:c>
      <x:c r="H140" s="3" t="str">
        <x:v>Pickup</x:v>
      </x:c>
      <x:c r="I140" s="3" t="str">
        <x:v>Single cab</x:v>
      </x:c>
      <x:c r="J140" s="3" t="n">
        <x:v>2023</x:v>
      </x:c>
      <x:c r="K140" s="3" t="str">
        <x:v>Toyota HILUX REVO 2.4 Single Cab Entry</x:v>
      </x:c>
      <x:c r="L140" s="3" t="str">
        <x:v>TOYOTA HILUX REVO 2.4 SINGLE CAB ENTRY</x:v>
      </x:c>
      <x:c r="M140" s="22"/>
      <x:c r="N140" s="22" t="n">
        <x:v>0</x:v>
      </x:c>
      <x:c r="O140" s="22" t="n">
        <x:v>5000</x:v>
      </x:c>
      <x:c r="P140" s="3" t="str">
        <x:v>&lt;20千km</x:v>
      </x:c>
      <x:c r="Q140" s="3" t="str">
        <x:v>Bangkok</x:v>
      </x:c>
      <x:c r="R140" s="3" t="str">
        <x:v>Bangkok metro</x:v>
      </x:c>
      <x:c r="S140" s="3" t="str">
        <x:v>MT</x:v>
      </x:c>
      <x:c r="T140" s="3" t="str">
        <x:v>世代不明</x:v>
      </x:c>
      <x:c r="U140" s="28" t="n">
        <x:v>419000</x:v>
      </x:c>
      <x:c r="V140" s="28"/>
      <x:c r="W140" s="3" t="str">
        <x:v>広告の申告のみ。事故・水没・SOH・保証残は未確認</x:v>
      </x:c>
      <x:c r="X140" s="3" t="str">
        <x:v>掲載中・在庫未確認</x:v>
      </x:c>
      <x:c r="Y140" s="3" t="str"/>
      <x:c r="Z140" s="27" t="str">
        <x:v>https://www.one2car.com/en/cars-for-sale/toyota/hilux-revo/year-2023</x:v>
      </x:c>
      <x:c r="AA140" s="3" t="str">
        <x:v>掲載リンク参照#177／見出し行1384（永続IDではない）</x:v>
      </x:c>
      <x:c r="AB140" s="3" t="str">
        <x:v>車台番号未取得／サイト間重複は未判定</x:v>
      </x:c>
      <x:c r="AC140" s="3" t="str">
        <x:v>税込区分未確認</x:v>
      </x:c>
      <x:c r="AD140" s="3" t="str"/>
      <x:c r="AE140" s="29" t="str">
        <x:f>""</x:f>
      </x:c>
      <x:c r="AF140" s="30" t="str">
        <x:f>IF(ISNUMBER(AE140),U140/AE140,"")</x:f>
      </x:c>
      <x:c r="AG140" s="29" t="str">
        <x:f>""</x:f>
      </x:c>
      <x:c r="AH140" s="30" t="str">
        <x:f>IF(ISNUMBER(AG140),U140/AG140,"")</x:f>
      </x:c>
      <x:c r="AI140" s="3" t="str">
        <x:v>同年式・グレードの検証済み当時価格なし／登録年混在</x:v>
      </x:c>
      <x:c r="AJ140" s="3" t="str">
        <x:v>走行/条件情報あり</x:v>
      </x:c>
      <x:c r="AK140" s="3" t="str">
        <x:v>取得した検索結果ページの掲載。サイトの並び順による選択偏りあり。</x:v>
      </x:c>
      <x:c r="AL140" s="31" t="n">
        <x:f>IF(AND(J140&lt;='分析方法'!$B$7,OR(ISBLANK(O140),O140&gt;='分析方法'!$B$8),X140&lt;&gt;"売却済み表示"),1,0)</x:f>
        <x:v>1</x:v>
      </x:c>
      <x:c r="AM140" s="32" t="n">
        <x:f>IF(AL140=1,U140,"")</x:f>
        <x:v>419000</x:v>
      </x:c>
      <x:c r="AN140" s="33" t="str">
        <x:f>IF(AL140=1,AF140,"")</x:f>
      </x:c>
      <x:c r="AO140" s="31" t="n">
        <x:f>'分析方法'!$B$6-J140</x:f>
        <x:v>3</x:v>
      </x:c>
      <x:c r="AP140" s="3"/>
    </x:row>
    <x:row r="141" ht="22" customHeight="1">
      <x:c r="A141" s="3" t="str">
        <x:v>O_hilux-revo_Y2023_182</x:v>
      </x:c>
      <x:c r="B141" s="7" t="d">
        <x:v>2026-10-08T00:00:00.000Z</x:v>
      </x:c>
      <x:c r="C141" s="3" t="str">
        <x:v>One2car</x:v>
      </x:c>
      <x:c r="D141" s="3" t="str">
        <x:v>Toyota</x:v>
      </x:c>
      <x:c r="E141" s="3" t="str">
        <x:v>日本</x:v>
      </x:c>
      <x:c r="F141" s="3" t="str">
        <x:v>Hilux Revo</x:v>
      </x:c>
      <x:c r="G141" s="3" t="str">
        <x:v>ICE</x:v>
      </x:c>
      <x:c r="H141" s="3" t="str">
        <x:v>Pickup</x:v>
      </x:c>
      <x:c r="I141" s="3" t="str">
        <x:v>Single cab</x:v>
      </x:c>
      <x:c r="J141" s="3" t="n">
        <x:v>2023</x:v>
      </x:c>
      <x:c r="K141" s="3" t="str">
        <x:v>Toyota HILUX REVO 2.4 Single Cab Entry</x:v>
      </x:c>
      <x:c r="L141" s="3" t="str">
        <x:v>TOYOTA HILUX REVO 2.4 SINGLE CAB ENTRY</x:v>
      </x:c>
      <x:c r="M141" s="22"/>
      <x:c r="N141" s="22" t="n">
        <x:v>0</x:v>
      </x:c>
      <x:c r="O141" s="22" t="n">
        <x:v>5000</x:v>
      </x:c>
      <x:c r="P141" s="3" t="str">
        <x:v>&lt;20千km</x:v>
      </x:c>
      <x:c r="Q141" s="3" t="str">
        <x:v>Bangkok</x:v>
      </x:c>
      <x:c r="R141" s="3" t="str">
        <x:v>Bangkok metro</x:v>
      </x:c>
      <x:c r="S141" s="3" t="str">
        <x:v>MT</x:v>
      </x:c>
      <x:c r="T141" s="3" t="str">
        <x:v>世代不明</x:v>
      </x:c>
      <x:c r="U141" s="28" t="n">
        <x:v>449000</x:v>
      </x:c>
      <x:c r="V141" s="28"/>
      <x:c r="W141" s="3" t="str">
        <x:v>広告の申告のみ。事故・水没・SOH・保証残は未確認</x:v>
      </x:c>
      <x:c r="X141" s="3" t="str">
        <x:v>掲載中・在庫未確認</x:v>
      </x:c>
      <x:c r="Y141" s="3" t="str"/>
      <x:c r="Z141" s="27" t="str">
        <x:v>https://www.one2car.com/en/cars-for-sale/toyota/hilux-revo/year-2023</x:v>
      </x:c>
      <x:c r="AA141" s="3" t="str">
        <x:v>掲載リンク参照#182／見出し行1561（永続IDではない）</x:v>
      </x:c>
      <x:c r="AB141" s="3" t="str">
        <x:v>候補ace8330a：同条件・価格一致、車台番号未確認</x:v>
      </x:c>
      <x:c r="AC141" s="3" t="str">
        <x:v>税込区分未確認</x:v>
      </x:c>
      <x:c r="AD141" s="3" t="str"/>
      <x:c r="AE141" s="29" t="str">
        <x:f>""</x:f>
      </x:c>
      <x:c r="AF141" s="30" t="str">
        <x:f>IF(ISNUMBER(AE141),U141/AE141,"")</x:f>
      </x:c>
      <x:c r="AG141" s="29" t="str">
        <x:f>""</x:f>
      </x:c>
      <x:c r="AH141" s="30" t="str">
        <x:f>IF(ISNUMBER(AG141),U141/AG141,"")</x:f>
      </x:c>
      <x:c r="AI141" s="3" t="str">
        <x:v>同年式・グレードの検証済み当時価格なし／登録年混在</x:v>
      </x:c>
      <x:c r="AJ141" s="3" t="str">
        <x:v>走行/条件情報あり</x:v>
      </x:c>
      <x:c r="AK141" s="3" t="str">
        <x:v>取得した検索結果ページの掲載。サイトの並び順による選択偏りあり。</x:v>
      </x:c>
      <x:c r="AL141" s="31" t="n">
        <x:f>IF(AND(J141&lt;='分析方法'!$B$7,OR(ISBLANK(O141),O141&gt;='分析方法'!$B$8),X141&lt;&gt;"売却済み表示"),1,0)</x:f>
        <x:v>1</x:v>
      </x:c>
      <x:c r="AM141" s="32" t="n">
        <x:f>IF(AL141=1,U141,"")</x:f>
        <x:v>449000</x:v>
      </x:c>
      <x:c r="AN141" s="33" t="str">
        <x:f>IF(AL141=1,AF141,"")</x:f>
      </x:c>
      <x:c r="AO141" s="31" t="n">
        <x:f>'分析方法'!$B$6-J141</x:f>
        <x:v>3</x:v>
      </x:c>
      <x:c r="AP141" s="3"/>
    </x:row>
    <x:row r="142" ht="22" customHeight="1">
      <x:c r="A142" s="3" t="str">
        <x:v>O_hilux-revo_316</x:v>
      </x:c>
      <x:c r="B142" s="7" t="d">
        <x:v>2026-10-08T00:00:00.000Z</x:v>
      </x:c>
      <x:c r="C142" s="3" t="str">
        <x:v>One2car</x:v>
      </x:c>
      <x:c r="D142" s="3" t="str">
        <x:v>Toyota</x:v>
      </x:c>
      <x:c r="E142" s="3" t="str">
        <x:v>日本</x:v>
      </x:c>
      <x:c r="F142" s="3" t="str">
        <x:v>Hilux Revo</x:v>
      </x:c>
      <x:c r="G142" s="3" t="str">
        <x:v>ICE</x:v>
      </x:c>
      <x:c r="H142" s="3" t="str">
        <x:v>Pickup</x:v>
      </x:c>
      <x:c r="I142" s="3" t="str">
        <x:v>Smart cab</x:v>
      </x:c>
      <x:c r="J142" s="3" t="n">
        <x:v>2023</x:v>
      </x:c>
      <x:c r="K142" s="3" t="str">
        <x:v>Toyota HILUX REVO 2.4 Smart Cab Prerunner Mid</x:v>
      </x:c>
      <x:c r="L142" s="3" t="str">
        <x:v>TOYOTA HILUX REVO 2.4 SMART CAB PRERUNNER MID</x:v>
      </x:c>
      <x:c r="M142" s="22" t="n">
        <x:v>42316</x:v>
      </x:c>
      <x:c r="N142" s="22" t="n">
        <x:v>42316</x:v>
      </x:c>
      <x:c r="O142" s="22" t="n">
        <x:v>42316</x:v>
      </x:c>
      <x:c r="P142" s="3" t="str">
        <x:v>20–50千km</x:v>
      </x:c>
      <x:c r="Q142" s="3" t="str">
        <x:v>Bangkok</x:v>
      </x:c>
      <x:c r="R142" s="3" t="str">
        <x:v>Bangkok metro</x:v>
      </x:c>
      <x:c r="S142" s="3" t="str">
        <x:v>AT</x:v>
      </x:c>
      <x:c r="T142" s="3" t="str">
        <x:v>世代不明</x:v>
      </x:c>
      <x:c r="U142" s="28" t="n">
        <x:v>599000</x:v>
      </x:c>
      <x:c r="V142" s="28"/>
      <x:c r="W142" s="3" t="str">
        <x:v>広告の申告のみ。事故・水没・SOH・保証残は未確認</x:v>
      </x:c>
      <x:c r="X142" s="3" t="str">
        <x:v>掲載中・在庫未確認</x:v>
      </x:c>
      <x:c r="Y142" s="3" t="str"/>
      <x:c r="Z142" s="27" t="str">
        <x:v>https://www.one2car.com/en/cars-for-sale/toyota/hilux-revo</x:v>
      </x:c>
      <x:c r="AA142" s="3" t="str">
        <x:v>掲載リンク参照#316／見出し行1539（永続IDではない）</x:v>
      </x:c>
      <x:c r="AB142" s="3" t="str">
        <x:v>車台番号未取得／サイト間重複は未判定</x:v>
      </x:c>
      <x:c r="AC142" s="3" t="str">
        <x:v>税込区分未確認</x:v>
      </x:c>
      <x:c r="AD142" s="3" t="str"/>
      <x:c r="AE142" s="29" t="str">
        <x:f>""</x:f>
      </x:c>
      <x:c r="AF142" s="30" t="str">
        <x:f>IF(ISNUMBER(AE142),U142/AE142,"")</x:f>
      </x:c>
      <x:c r="AG142" s="29" t="str">
        <x:f>""</x:f>
      </x:c>
      <x:c r="AH142" s="30" t="str">
        <x:f>IF(ISNUMBER(AG142),U142/AG142,"")</x:f>
      </x:c>
      <x:c r="AI142" s="3" t="str">
        <x:v>同年式・グレードの検証済み当時価格なし／登録年混在</x:v>
      </x:c>
      <x:c r="AJ142" s="3" t="str">
        <x:v>走行/条件情報あり</x:v>
      </x:c>
      <x:c r="AK142" s="3" t="str">
        <x:v>取得した検索結果ページの掲載。サイトの並び順による選択偏りあり。</x:v>
      </x:c>
      <x:c r="AL142" s="31" t="n">
        <x:f>IF(AND(J142&lt;='分析方法'!$B$7,OR(ISBLANK(O142),O142&gt;='分析方法'!$B$8),X142&lt;&gt;"売却済み表示"),1,0)</x:f>
        <x:v>1</x:v>
      </x:c>
      <x:c r="AM142" s="32" t="n">
        <x:f>IF(AL142=1,U142,"")</x:f>
        <x:v>599000</x:v>
      </x:c>
      <x:c r="AN142" s="33" t="str">
        <x:f>IF(AL142=1,AF142,"")</x:f>
      </x:c>
      <x:c r="AO142" s="31" t="n">
        <x:f>'分析方法'!$B$6-J142</x:f>
        <x:v>3</x:v>
      </x:c>
      <x:c r="AP142" s="3"/>
    </x:row>
    <x:row r="143" ht="22" customHeight="1">
      <x:c r="A143" s="3" t="str">
        <x:v>O_hilux-revo_298</x:v>
      </x:c>
      <x:c r="B143" s="7" t="d">
        <x:v>2026-10-08T00:00:00.000Z</x:v>
      </x:c>
      <x:c r="C143" s="3" t="str">
        <x:v>One2car</x:v>
      </x:c>
      <x:c r="D143" s="3" t="str">
        <x:v>Toyota</x:v>
      </x:c>
      <x:c r="E143" s="3" t="str">
        <x:v>日本</x:v>
      </x:c>
      <x:c r="F143" s="3" t="str">
        <x:v>Hilux Revo</x:v>
      </x:c>
      <x:c r="G143" s="3" t="str">
        <x:v>ICE</x:v>
      </x:c>
      <x:c r="H143" s="3" t="str">
        <x:v>Pickup</x:v>
      </x:c>
      <x:c r="I143" s="3" t="str">
        <x:v>Smart cab</x:v>
      </x:c>
      <x:c r="J143" s="3" t="n">
        <x:v>2023</x:v>
      </x:c>
      <x:c r="K143" s="3" t="str">
        <x:v>Toyota HILUX REVO 2.4 Smart Cab Z Edition Entry</x:v>
      </x:c>
      <x:c r="L143" s="3" t="str">
        <x:v>TOYOTA HILUX REVO 2.4 SMART CAB Z EDITION ENTRY</x:v>
      </x:c>
      <x:c r="M143" s="22"/>
      <x:c r="N143" s="22" t="n">
        <x:v>155000</x:v>
      </x:c>
      <x:c r="O143" s="22" t="n">
        <x:v>160000</x:v>
      </x:c>
      <x:c r="P143" s="3" t="str">
        <x:v>150千km以上</x:v>
      </x:c>
      <x:c r="Q143" s="3" t="str">
        <x:v>Bangkok</x:v>
      </x:c>
      <x:c r="R143" s="3" t="str">
        <x:v>Bangkok metro</x:v>
      </x:c>
      <x:c r="S143" s="3" t="str">
        <x:v>AT</x:v>
      </x:c>
      <x:c r="T143" s="3" t="str">
        <x:v>世代不明</x:v>
      </x:c>
      <x:c r="U143" s="28" t="n">
        <x:v>419000</x:v>
      </x:c>
      <x:c r="V143" s="28"/>
      <x:c r="W143" s="3" t="str">
        <x:v>広告の申告のみ。事故・水没・SOH・保証残は未確認</x:v>
      </x:c>
      <x:c r="X143" s="3" t="str">
        <x:v>掲載中・在庫未確認</x:v>
      </x:c>
      <x:c r="Y143" s="3" t="str"/>
      <x:c r="Z143" s="27" t="str">
        <x:v>https://www.one2car.com/en/cars-for-sale/toyota/hilux-revo</x:v>
      </x:c>
      <x:c r="AA143" s="3" t="str">
        <x:v>掲載リンク参照#298／見出し行942（永続IDではない）</x:v>
      </x:c>
      <x:c r="AB143" s="3" t="str">
        <x:v>車台番号未取得／サイト間重複は未判定</x:v>
      </x:c>
      <x:c r="AC143" s="3" t="str">
        <x:v>税込区分未確認</x:v>
      </x:c>
      <x:c r="AD143" s="3" t="str"/>
      <x:c r="AE143" s="29" t="str">
        <x:f>""</x:f>
      </x:c>
      <x:c r="AF143" s="30" t="str">
        <x:f>IF(ISNUMBER(AE143),U143/AE143,"")</x:f>
      </x:c>
      <x:c r="AG143" s="29" t="str">
        <x:f>""</x:f>
      </x:c>
      <x:c r="AH143" s="30" t="str">
        <x:f>IF(ISNUMBER(AG143),U143/AG143,"")</x:f>
      </x:c>
      <x:c r="AI143" s="3" t="str">
        <x:v>同年式・グレードの検証済み当時価格なし／登録年混在</x:v>
      </x:c>
      <x:c r="AJ143" s="3" t="str">
        <x:v>走行/条件情報あり</x:v>
      </x:c>
      <x:c r="AK143" s="3" t="str">
        <x:v>取得した検索結果ページの掲載。サイトの並び順による選択偏りあり。</x:v>
      </x:c>
      <x:c r="AL143" s="31" t="n">
        <x:f>IF(AND(J143&lt;='分析方法'!$B$7,OR(ISBLANK(O143),O143&gt;='分析方法'!$B$8),X143&lt;&gt;"売却済み表示"),1,0)</x:f>
        <x:v>1</x:v>
      </x:c>
      <x:c r="AM143" s="32" t="n">
        <x:f>IF(AL143=1,U143,"")</x:f>
        <x:v>419000</x:v>
      </x:c>
      <x:c r="AN143" s="33" t="str">
        <x:f>IF(AL143=1,AF143,"")</x:f>
      </x:c>
      <x:c r="AO143" s="31" t="n">
        <x:f>'分析方法'!$B$6-J143</x:f>
        <x:v>3</x:v>
      </x:c>
      <x:c r="AP143" s="3"/>
    </x:row>
    <x:row r="144" ht="22" customHeight="1">
      <x:c r="A144" s="3" t="str">
        <x:v>O_hilux-revo_Y2023_165</x:v>
      </x:c>
      <x:c r="B144" s="7" t="d">
        <x:v>2026-10-08T00:00:00.000Z</x:v>
      </x:c>
      <x:c r="C144" s="3" t="str">
        <x:v>One2car</x:v>
      </x:c>
      <x:c r="D144" s="3" t="str">
        <x:v>Toyota</x:v>
      </x:c>
      <x:c r="E144" s="3" t="str">
        <x:v>日本</x:v>
      </x:c>
      <x:c r="F144" s="3" t="str">
        <x:v>Hilux Revo</x:v>
      </x:c>
      <x:c r="G144" s="3" t="str">
        <x:v>ICE</x:v>
      </x:c>
      <x:c r="H144" s="3" t="str">
        <x:v>Pickup</x:v>
      </x:c>
      <x:c r="I144" s="3" t="str">
        <x:v>Smart cab</x:v>
      </x:c>
      <x:c r="J144" s="3" t="n">
        <x:v>2023</x:v>
      </x:c>
      <x:c r="K144" s="3" t="str">
        <x:v>Toyota HILUX REVO 2.4 Smart Cab Z Edition Entry</x:v>
      </x:c>
      <x:c r="L144" s="3" t="str">
        <x:v>TOYOTA HILUX REVO 2.4 SMART CAB Z EDITION ENTRY</x:v>
      </x:c>
      <x:c r="M144" s="22"/>
      <x:c r="N144" s="22" t="n">
        <x:v>155000</x:v>
      </x:c>
      <x:c r="O144" s="22" t="n">
        <x:v>160000</x:v>
      </x:c>
      <x:c r="P144" s="3" t="str">
        <x:v>150千km以上</x:v>
      </x:c>
      <x:c r="Q144" s="3" t="str">
        <x:v>Bangkok</x:v>
      </x:c>
      <x:c r="R144" s="3" t="str">
        <x:v>Bangkok metro</x:v>
      </x:c>
      <x:c r="S144" s="3" t="str">
        <x:v>AT</x:v>
      </x:c>
      <x:c r="T144" s="3" t="str">
        <x:v>世代不明</x:v>
      </x:c>
      <x:c r="U144" s="28" t="n">
        <x:v>429000</x:v>
      </x:c>
      <x:c r="V144" s="28"/>
      <x:c r="W144" s="3" t="str">
        <x:v>広告の申告のみ。事故・水没・SOH・保証残は未確認</x:v>
      </x:c>
      <x:c r="X144" s="3" t="str">
        <x:v>掲載中・在庫未確認</x:v>
      </x:c>
      <x:c r="Y144" s="3" t="str"/>
      <x:c r="Z144" s="27" t="str">
        <x:v>https://www.one2car.com/en/cars-for-sale/toyota/hilux-revo/year-2023</x:v>
      </x:c>
      <x:c r="AA144" s="3" t="str">
        <x:v>掲載リンク参照#165／見出し行992（永続IDではない）</x:v>
      </x:c>
      <x:c r="AB144" s="3" t="str">
        <x:v>車台番号未取得／サイト間重複は未判定</x:v>
      </x:c>
      <x:c r="AC144" s="3" t="str">
        <x:v>税込区分未確認</x:v>
      </x:c>
      <x:c r="AD144" s="3" t="str"/>
      <x:c r="AE144" s="29" t="str">
        <x:f>""</x:f>
      </x:c>
      <x:c r="AF144" s="30" t="str">
        <x:f>IF(ISNUMBER(AE144),U144/AE144,"")</x:f>
      </x:c>
      <x:c r="AG144" s="29" t="str">
        <x:f>""</x:f>
      </x:c>
      <x:c r="AH144" s="30" t="str">
        <x:f>IF(ISNUMBER(AG144),U144/AG144,"")</x:f>
      </x:c>
      <x:c r="AI144" s="3" t="str">
        <x:v>同年式・グレードの検証済み当時価格なし／登録年混在</x:v>
      </x:c>
      <x:c r="AJ144" s="3" t="str">
        <x:v>走行/条件情報あり</x:v>
      </x:c>
      <x:c r="AK144" s="3" t="str">
        <x:v>取得した検索結果ページの掲載。サイトの並び順による選択偏りあり。</x:v>
      </x:c>
      <x:c r="AL144" s="31" t="n">
        <x:f>IF(AND(J144&lt;='分析方法'!$B$7,OR(ISBLANK(O144),O144&gt;='分析方法'!$B$8),X144&lt;&gt;"売却済み表示"),1,0)</x:f>
        <x:v>1</x:v>
      </x:c>
      <x:c r="AM144" s="32" t="n">
        <x:f>IF(AL144=1,U144,"")</x:f>
        <x:v>429000</x:v>
      </x:c>
      <x:c r="AN144" s="33" t="str">
        <x:f>IF(AL144=1,AF144,"")</x:f>
      </x:c>
      <x:c r="AO144" s="31" t="n">
        <x:f>'分析方法'!$B$6-J144</x:f>
        <x:v>3</x:v>
      </x:c>
      <x:c r="AP144" s="3"/>
    </x:row>
    <x:row r="145" ht="22" customHeight="1">
      <x:c r="A145" s="3" t="str">
        <x:v>O_hilux-revo_Y2023_181</x:v>
      </x:c>
      <x:c r="B145" s="7" t="d">
        <x:v>2026-10-08T00:00:00.000Z</x:v>
      </x:c>
      <x:c r="C145" s="3" t="str">
        <x:v>One2car</x:v>
      </x:c>
      <x:c r="D145" s="3" t="str">
        <x:v>Toyota</x:v>
      </x:c>
      <x:c r="E145" s="3" t="str">
        <x:v>日本</x:v>
      </x:c>
      <x:c r="F145" s="3" t="str">
        <x:v>Hilux Revo</x:v>
      </x:c>
      <x:c r="G145" s="3" t="str">
        <x:v>ICE</x:v>
      </x:c>
      <x:c r="H145" s="3" t="str">
        <x:v>Pickup</x:v>
      </x:c>
      <x:c r="I145" s="3" t="str">
        <x:v>Smart cab</x:v>
      </x:c>
      <x:c r="J145" s="3" t="n">
        <x:v>2023</x:v>
      </x:c>
      <x:c r="K145" s="3" t="str">
        <x:v>Toyota HILUX REVO 2.4 Smart Cab Z Edition Entry</x:v>
      </x:c>
      <x:c r="L145" s="3" t="str">
        <x:v>TOYOTA HILUX REVO 2.4 SMART CAB Z EDITION ENTRY</x:v>
      </x:c>
      <x:c r="M145" s="22"/>
      <x:c r="N145" s="22" t="n">
        <x:v>30000</x:v>
      </x:c>
      <x:c r="O145" s="22" t="n">
        <x:v>35000</x:v>
      </x:c>
      <x:c r="P145" s="3" t="str">
        <x:v>20–50千km</x:v>
      </x:c>
      <x:c r="Q145" s="3" t="str">
        <x:v>Chanthaburi</x:v>
      </x:c>
      <x:c r="R145" s="3" t="str">
        <x:v>Other province</x:v>
      </x:c>
      <x:c r="S145" s="3" t="str">
        <x:v>MT</x:v>
      </x:c>
      <x:c r="T145" s="3" t="str">
        <x:v>世代不明</x:v>
      </x:c>
      <x:c r="U145" s="28" t="n">
        <x:v>499000</x:v>
      </x:c>
      <x:c r="V145" s="28"/>
      <x:c r="W145" s="3" t="str">
        <x:v>広告の申告のみ。事故・水没・SOH・保証残は未確認</x:v>
      </x:c>
      <x:c r="X145" s="3" t="str">
        <x:v>掲載中・在庫未確認</x:v>
      </x:c>
      <x:c r="Y145" s="3" t="str"/>
      <x:c r="Z145" s="27" t="str">
        <x:v>https://www.one2car.com/en/cars-for-sale/toyota/hilux-revo/year-2023</x:v>
      </x:c>
      <x:c r="AA145" s="3" t="str">
        <x:v>掲載リンク参照#181／見出し行1528（永続IDではない）</x:v>
      </x:c>
      <x:c r="AB145" s="3" t="str">
        <x:v>車台番号未取得／サイト間重複は未判定</x:v>
      </x:c>
      <x:c r="AC145" s="3" t="str">
        <x:v>税込区分未確認</x:v>
      </x:c>
      <x:c r="AD145" s="3" t="str"/>
      <x:c r="AE145" s="29" t="str">
        <x:f>""</x:f>
      </x:c>
      <x:c r="AF145" s="30" t="str">
        <x:f>IF(ISNUMBER(AE145),U145/AE145,"")</x:f>
      </x:c>
      <x:c r="AG145" s="29" t="str">
        <x:f>""</x:f>
      </x:c>
      <x:c r="AH145" s="30" t="str">
        <x:f>IF(ISNUMBER(AG145),U145/AG145,"")</x:f>
      </x:c>
      <x:c r="AI145" s="3" t="str">
        <x:v>同年式・グレードの検証済み当時価格なし／登録年混在</x:v>
      </x:c>
      <x:c r="AJ145" s="3" t="str">
        <x:v>走行/条件情報あり</x:v>
      </x:c>
      <x:c r="AK145" s="3" t="str">
        <x:v>取得した検索結果ページの掲載。サイトの並び順による選択偏りあり。</x:v>
      </x:c>
      <x:c r="AL145" s="31" t="n">
        <x:f>IF(AND(J145&lt;='分析方法'!$B$7,OR(ISBLANK(O145),O145&gt;='分析方法'!$B$8),X145&lt;&gt;"売却済み表示"),1,0)</x:f>
        <x:v>1</x:v>
      </x:c>
      <x:c r="AM145" s="32" t="n">
        <x:f>IF(AL145=1,U145,"")</x:f>
        <x:v>499000</x:v>
      </x:c>
      <x:c r="AN145" s="33" t="str">
        <x:f>IF(AL145=1,AF145,"")</x:f>
      </x:c>
      <x:c r="AO145" s="31" t="n">
        <x:f>'分析方法'!$B$6-J145</x:f>
        <x:v>3</x:v>
      </x:c>
      <x:c r="AP145" s="3"/>
    </x:row>
    <x:row r="146" ht="22" customHeight="1">
      <x:c r="A146" s="3" t="str">
        <x:v>O_hilux-revo_Y2023_173</x:v>
      </x:c>
      <x:c r="B146" s="7" t="d">
        <x:v>2026-10-08T00:00:00.000Z</x:v>
      </x:c>
      <x:c r="C146" s="3" t="str">
        <x:v>One2car</x:v>
      </x:c>
      <x:c r="D146" s="3" t="str">
        <x:v>Toyota</x:v>
      </x:c>
      <x:c r="E146" s="3" t="str">
        <x:v>日本</x:v>
      </x:c>
      <x:c r="F146" s="3" t="str">
        <x:v>Hilux Revo</x:v>
      </x:c>
      <x:c r="G146" s="3" t="str">
        <x:v>ICE</x:v>
      </x:c>
      <x:c r="H146" s="3" t="str">
        <x:v>Pickup</x:v>
      </x:c>
      <x:c r="I146" s="3" t="str">
        <x:v>Smart cab</x:v>
      </x:c>
      <x:c r="J146" s="3" t="n">
        <x:v>2023</x:v>
      </x:c>
      <x:c r="K146" s="3" t="str">
        <x:v>Toyota HILUX REVO 2.4 Smart Cab Z Edition Entry</x:v>
      </x:c>
      <x:c r="L146" s="3" t="str">
        <x:v>TOYOTA HILUX REVO 2.4 SMART CAB Z EDITION ENTRY</x:v>
      </x:c>
      <x:c r="M146" s="22"/>
      <x:c r="N146" s="22" t="n">
        <x:v>65000</x:v>
      </x:c>
      <x:c r="O146" s="22" t="n">
        <x:v>70000</x:v>
      </x:c>
      <x:c r="P146" s="3" t="str">
        <x:v>50–100千km</x:v>
      </x:c>
      <x:c r="Q146" s="3" t="str">
        <x:v>Chiang Mai</x:v>
      </x:c>
      <x:c r="R146" s="3" t="str">
        <x:v>Other province</x:v>
      </x:c>
      <x:c r="S146" s="3" t="str">
        <x:v>MT</x:v>
      </x:c>
      <x:c r="T146" s="3" t="str">
        <x:v>世代不明</x:v>
      </x:c>
      <x:c r="U146" s="28" t="n">
        <x:v>465000</x:v>
      </x:c>
      <x:c r="V146" s="28"/>
      <x:c r="W146" s="3" t="str">
        <x:v>広告の申告のみ。事故・水没・SOH・保証残は未確認</x:v>
      </x:c>
      <x:c r="X146" s="3" t="str">
        <x:v>掲載中・在庫未確認</x:v>
      </x:c>
      <x:c r="Y146" s="3" t="str"/>
      <x:c r="Z146" s="27" t="str">
        <x:v>https://www.one2car.com/en/cars-for-sale/toyota/hilux-revo/year-2023</x:v>
      </x:c>
      <x:c r="AA146" s="3" t="str">
        <x:v>掲載リンク参照#173／見出し行1240（永続IDではない）</x:v>
      </x:c>
      <x:c r="AB146" s="3" t="str">
        <x:v>車台番号未取得／サイト間重複は未判定</x:v>
      </x:c>
      <x:c r="AC146" s="3" t="str">
        <x:v>税込区分未確認</x:v>
      </x:c>
      <x:c r="AD146" s="3" t="str"/>
      <x:c r="AE146" s="29" t="str">
        <x:f>""</x:f>
      </x:c>
      <x:c r="AF146" s="30" t="str">
        <x:f>IF(ISNUMBER(AE146),U146/AE146,"")</x:f>
      </x:c>
      <x:c r="AG146" s="29" t="str">
        <x:f>""</x:f>
      </x:c>
      <x:c r="AH146" s="30" t="str">
        <x:f>IF(ISNUMBER(AG146),U146/AG146,"")</x:f>
      </x:c>
      <x:c r="AI146" s="3" t="str">
        <x:v>同年式・グレードの検証済み当時価格なし／登録年混在</x:v>
      </x:c>
      <x:c r="AJ146" s="3" t="str">
        <x:v>走行/条件情報あり</x:v>
      </x:c>
      <x:c r="AK146" s="3" t="str">
        <x:v>取得した検索結果ページの掲載。サイトの並び順による選択偏りあり。</x:v>
      </x:c>
      <x:c r="AL146" s="31" t="n">
        <x:f>IF(AND(J146&lt;='分析方法'!$B$7,OR(ISBLANK(O146),O146&gt;='分析方法'!$B$8),X146&lt;&gt;"売却済み表示"),1,0)</x:f>
        <x:v>1</x:v>
      </x:c>
      <x:c r="AM146" s="32" t="n">
        <x:f>IF(AL146=1,U146,"")</x:f>
        <x:v>465000</x:v>
      </x:c>
      <x:c r="AN146" s="33" t="str">
        <x:f>IF(AL146=1,AF146,"")</x:f>
      </x:c>
      <x:c r="AO146" s="31" t="n">
        <x:f>'分析方法'!$B$6-J146</x:f>
        <x:v>3</x:v>
      </x:c>
      <x:c r="AP146" s="3"/>
    </x:row>
    <x:row r="147" ht="22" customHeight="1">
      <x:c r="A147" s="3" t="str">
        <x:v>O_hilux-revo_Y2023_174</x:v>
      </x:c>
      <x:c r="B147" s="7" t="d">
        <x:v>2026-10-08T00:00:00.000Z</x:v>
      </x:c>
      <x:c r="C147" s="3" t="str">
        <x:v>One2car</x:v>
      </x:c>
      <x:c r="D147" s="3" t="str">
        <x:v>Toyota</x:v>
      </x:c>
      <x:c r="E147" s="3" t="str">
        <x:v>日本</x:v>
      </x:c>
      <x:c r="F147" s="3" t="str">
        <x:v>Hilux Revo</x:v>
      </x:c>
      <x:c r="G147" s="3" t="str">
        <x:v>ICE</x:v>
      </x:c>
      <x:c r="H147" s="3" t="str">
        <x:v>Pickup</x:v>
      </x:c>
      <x:c r="I147" s="3" t="str">
        <x:v>Double cab</x:v>
      </x:c>
      <x:c r="J147" s="3" t="n">
        <x:v>2023</x:v>
      </x:c>
      <x:c r="K147" s="3" t="str">
        <x:v>Toyota HILUX REVO 2.8 Double Cab High</x:v>
      </x:c>
      <x:c r="L147" s="3" t="str">
        <x:v>TOYOTA HILUX REVO 2.8 DOUBLE CAB HIGH</x:v>
      </x:c>
      <x:c r="M147" s="22"/>
      <x:c r="N147" s="22" t="n">
        <x:v>75000</x:v>
      </x:c>
      <x:c r="O147" s="22" t="n">
        <x:v>80000</x:v>
      </x:c>
      <x:c r="P147" s="3" t="str">
        <x:v>50–100千km</x:v>
      </x:c>
      <x:c r="Q147" s="3" t="str">
        <x:v>Chiang Mai</x:v>
      </x:c>
      <x:c r="R147" s="3" t="str">
        <x:v>Other province</x:v>
      </x:c>
      <x:c r="S147" s="3" t="str">
        <x:v>AT</x:v>
      </x:c>
      <x:c r="T147" s="3" t="str">
        <x:v>世代不明</x:v>
      </x:c>
      <x:c r="U147" s="28" t="n">
        <x:v>1039000</x:v>
      </x:c>
      <x:c r="V147" s="28"/>
      <x:c r="W147" s="3" t="str">
        <x:v>広告の申告のみ。事故・水没・SOH・保証残は未確認</x:v>
      </x:c>
      <x:c r="X147" s="3" t="str">
        <x:v>掲載中・在庫未確認</x:v>
      </x:c>
      <x:c r="Y147" s="3" t="str"/>
      <x:c r="Z147" s="27" t="str">
        <x:v>https://www.one2car.com/en/cars-for-sale/toyota/hilux-revo/year-2023</x:v>
      </x:c>
      <x:c r="AA147" s="3" t="str">
        <x:v>掲載リンク参照#174／見出し行1276（永続IDではない）</x:v>
      </x:c>
      <x:c r="AB147" s="3" t="str">
        <x:v>車台番号未取得／サイト間重複は未判定</x:v>
      </x:c>
      <x:c r="AC147" s="3" t="str">
        <x:v>税込区分未確認</x:v>
      </x:c>
      <x:c r="AD147" s="3" t="str"/>
      <x:c r="AE147" s="29" t="str">
        <x:f>""</x:f>
      </x:c>
      <x:c r="AF147" s="30" t="str">
        <x:f>IF(ISNUMBER(AE147),U147/AE147,"")</x:f>
      </x:c>
      <x:c r="AG147" s="29" t="str">
        <x:f>""</x:f>
      </x:c>
      <x:c r="AH147" s="30" t="str">
        <x:f>IF(ISNUMBER(AG147),U147/AG147,"")</x:f>
      </x:c>
      <x:c r="AI147" s="3" t="str">
        <x:v>同年式・グレードの検証済み当時価格なし／登録年混在</x:v>
      </x:c>
      <x:c r="AJ147" s="3" t="str">
        <x:v>走行/条件情報あり</x:v>
      </x:c>
      <x:c r="AK147" s="3" t="str">
        <x:v>取得した検索結果ページの掲載。サイトの並び順による選択偏りあり。</x:v>
      </x:c>
      <x:c r="AL147" s="31" t="n">
        <x:f>IF(AND(J147&lt;='分析方法'!$B$7,OR(ISBLANK(O147),O147&gt;='分析方法'!$B$8),X147&lt;&gt;"売却済み表示"),1,0)</x:f>
        <x:v>1</x:v>
      </x:c>
      <x:c r="AM147" s="32" t="n">
        <x:f>IF(AL147=1,U147,"")</x:f>
        <x:v>1039000</x:v>
      </x:c>
      <x:c r="AN147" s="33" t="str">
        <x:f>IF(AL147=1,AF147,"")</x:f>
      </x:c>
      <x:c r="AO147" s="31" t="n">
        <x:f>'分析方法'!$B$6-J147</x:f>
        <x:v>3</x:v>
      </x:c>
      <x:c r="AP147" s="3"/>
    </x:row>
    <x:row r="148" ht="22" customHeight="1">
      <x:c r="A148" s="3" t="str">
        <x:v>O_hilux-revo_Y2023_164</x:v>
      </x:c>
      <x:c r="B148" s="7" t="d">
        <x:v>2026-10-08T00:00:00.000Z</x:v>
      </x:c>
      <x:c r="C148" s="3" t="str">
        <x:v>One2car</x:v>
      </x:c>
      <x:c r="D148" s="3" t="str">
        <x:v>Toyota</x:v>
      </x:c>
      <x:c r="E148" s="3" t="str">
        <x:v>日本</x:v>
      </x:c>
      <x:c r="F148" s="3" t="str">
        <x:v>Hilux Revo</x:v>
      </x:c>
      <x:c r="G148" s="3" t="str">
        <x:v>ICE</x:v>
      </x:c>
      <x:c r="H148" s="3" t="str">
        <x:v>Pickup</x:v>
      </x:c>
      <x:c r="I148" s="3" t="str">
        <x:v>Double cab</x:v>
      </x:c>
      <x:c r="J148" s="3" t="n">
        <x:v>2023</x:v>
      </x:c>
      <x:c r="K148" s="3" t="str">
        <x:v>Toyota HILUX REVO 2.8 Double Cab Rocco</x:v>
      </x:c>
      <x:c r="L148" s="3" t="str">
        <x:v>TOYOTA HILUX REVO 2.8 DOUBLE CAB ROCCO</x:v>
      </x:c>
      <x:c r="M148" s="22" t="n">
        <x:v>64300</x:v>
      </x:c>
      <x:c r="N148" s="22" t="n">
        <x:v>64300</x:v>
      </x:c>
      <x:c r="O148" s="22" t="n">
        <x:v>64300</x:v>
      </x:c>
      <x:c r="P148" s="3" t="str">
        <x:v>50–100千km</x:v>
      </x:c>
      <x:c r="Q148" s="3" t="str">
        <x:v>Songkhla</x:v>
      </x:c>
      <x:c r="R148" s="3" t="str">
        <x:v>Other province</x:v>
      </x:c>
      <x:c r="S148" s="3" t="str">
        <x:v>AT</x:v>
      </x:c>
      <x:c r="T148" s="3" t="str">
        <x:v>世代不明</x:v>
      </x:c>
      <x:c r="U148" s="28" t="n">
        <x:v>1079000</x:v>
      </x:c>
      <x:c r="V148" s="28"/>
      <x:c r="W148" s="3" t="str">
        <x:v>広告の申告のみ。事故・水没・SOH・保証残は未確認</x:v>
      </x:c>
      <x:c r="X148" s="3" t="str">
        <x:v>掲載中・在庫未確認</x:v>
      </x:c>
      <x:c r="Y148" s="3" t="str"/>
      <x:c r="Z148" s="27" t="str">
        <x:v>https://www.one2car.com/en/cars-for-sale/toyota/hilux-revo/year-2023</x:v>
      </x:c>
      <x:c r="AA148" s="3" t="str">
        <x:v>掲載リンク参照#164／見出し行961（永続IDではない）</x:v>
      </x:c>
      <x:c r="AB148" s="3" t="str">
        <x:v>車台番号未取得／サイト間重複は未判定</x:v>
      </x:c>
      <x:c r="AC148" s="3" t="str">
        <x:v>税込区分未確認</x:v>
      </x:c>
      <x:c r="AD148" s="3" t="str"/>
      <x:c r="AE148" s="29" t="str">
        <x:f>""</x:f>
      </x:c>
      <x:c r="AF148" s="30" t="str">
        <x:f>IF(ISNUMBER(AE148),U148/AE148,"")</x:f>
      </x:c>
      <x:c r="AG148" s="29" t="str">
        <x:f>""</x:f>
      </x:c>
      <x:c r="AH148" s="30" t="str">
        <x:f>IF(ISNUMBER(AG148),U148/AG148,"")</x:f>
      </x:c>
      <x:c r="AI148" s="3" t="str">
        <x:v>同年式・グレードの検証済み当時価格なし／登録年混在</x:v>
      </x:c>
      <x:c r="AJ148" s="3" t="str">
        <x:v>走行/条件情報あり</x:v>
      </x:c>
      <x:c r="AK148" s="3" t="str">
        <x:v>取得した検索結果ページの掲載。サイトの並び順による選択偏りあり。</x:v>
      </x:c>
      <x:c r="AL148" s="31" t="n">
        <x:f>IF(AND(J148&lt;='分析方法'!$B$7,OR(ISBLANK(O148),O148&gt;='分析方法'!$B$8),X148&lt;&gt;"売却済み表示"),1,0)</x:f>
        <x:v>1</x:v>
      </x:c>
      <x:c r="AM148" s="32" t="n">
        <x:f>IF(AL148=1,U148,"")</x:f>
        <x:v>1079000</x:v>
      </x:c>
      <x:c r="AN148" s="33" t="str">
        <x:f>IF(AL148=1,AF148,"")</x:f>
      </x:c>
      <x:c r="AO148" s="31" t="n">
        <x:f>'分析方法'!$B$6-J148</x:f>
        <x:v>3</x:v>
      </x:c>
      <x:c r="AP148" s="3"/>
    </x:row>
    <x:row r="149" ht="22" customHeight="1">
      <x:c r="A149" s="3" t="str">
        <x:v>O_hilux-revo_Y2023_171</x:v>
      </x:c>
      <x:c r="B149" s="7" t="d">
        <x:v>2026-10-08T00:00:00.000Z</x:v>
      </x:c>
      <x:c r="C149" s="3" t="str">
        <x:v>One2car</x:v>
      </x:c>
      <x:c r="D149" s="3" t="str">
        <x:v>Toyota</x:v>
      </x:c>
      <x:c r="E149" s="3" t="str">
        <x:v>日本</x:v>
      </x:c>
      <x:c r="F149" s="3" t="str">
        <x:v>Hilux Revo</x:v>
      </x:c>
      <x:c r="G149" s="3" t="str">
        <x:v>ICE</x:v>
      </x:c>
      <x:c r="H149" s="3" t="str">
        <x:v>Pickup</x:v>
      </x:c>
      <x:c r="I149" s="3" t="str">
        <x:v>Single cab</x:v>
      </x:c>
      <x:c r="J149" s="3" t="n">
        <x:v>2023</x:v>
      </x:c>
      <x:c r="K149" s="3" t="str">
        <x:v>Toyota HILUX REVO 2.8 Single Cab Entry</x:v>
      </x:c>
      <x:c r="L149" s="3" t="str">
        <x:v>TOYOTA HILUX REVO 2.8 SINGLE CAB ENTRY</x:v>
      </x:c>
      <x:c r="M149" s="22"/>
      <x:c r="N149" s="22" t="n">
        <x:v>0</x:v>
      </x:c>
      <x:c r="O149" s="22" t="n">
        <x:v>5000</x:v>
      </x:c>
      <x:c r="P149" s="3" t="str">
        <x:v>&lt;20千km</x:v>
      </x:c>
      <x:c r="Q149" s="3" t="str">
        <x:v>Bangkok</x:v>
      </x:c>
      <x:c r="R149" s="3" t="str">
        <x:v>Bangkok metro</x:v>
      </x:c>
      <x:c r="S149" s="3" t="str">
        <x:v>MT</x:v>
      </x:c>
      <x:c r="T149" s="3" t="str">
        <x:v>世代不明</x:v>
      </x:c>
      <x:c r="U149" s="28" t="n">
        <x:v>519000</x:v>
      </x:c>
      <x:c r="V149" s="28"/>
      <x:c r="W149" s="3" t="str">
        <x:v>広告の申告のみ。事故・水没・SOH・保証残は未確認</x:v>
      </x:c>
      <x:c r="X149" s="3" t="str">
        <x:v>掲載中・在庫未確認</x:v>
      </x:c>
      <x:c r="Y149" s="3" t="str"/>
      <x:c r="Z149" s="27" t="str">
        <x:v>https://www.one2car.com/en/cars-for-sale/toyota/hilux-revo/year-2023</x:v>
      </x:c>
      <x:c r="AA149" s="3" t="str">
        <x:v>掲載リンク参照#171／見出し行1168（永続IDではない）</x:v>
      </x:c>
      <x:c r="AB149" s="3" t="str">
        <x:v>車台番号未取得／サイト間重複は未判定</x:v>
      </x:c>
      <x:c r="AC149" s="3" t="str">
        <x:v>税込区分未確認</x:v>
      </x:c>
      <x:c r="AD149" s="3" t="str"/>
      <x:c r="AE149" s="29" t="str">
        <x:f>""</x:f>
      </x:c>
      <x:c r="AF149" s="30" t="str">
        <x:f>IF(ISNUMBER(AE149),U149/AE149,"")</x:f>
      </x:c>
      <x:c r="AG149" s="29" t="str">
        <x:f>""</x:f>
      </x:c>
      <x:c r="AH149" s="30" t="str">
        <x:f>IF(ISNUMBER(AG149),U149/AG149,"")</x:f>
      </x:c>
      <x:c r="AI149" s="3" t="str">
        <x:v>同年式・グレードの検証済み当時価格なし／登録年混在</x:v>
      </x:c>
      <x:c r="AJ149" s="3" t="str">
        <x:v>走行/条件情報あり</x:v>
      </x:c>
      <x:c r="AK149" s="3" t="str">
        <x:v>取得した検索結果ページの掲載。サイトの並び順による選択偏りあり。</x:v>
      </x:c>
      <x:c r="AL149" s="31" t="n">
        <x:f>IF(AND(J149&lt;='分析方法'!$B$7,OR(ISBLANK(O149),O149&gt;='分析方法'!$B$8),X149&lt;&gt;"売却済み表示"),1,0)</x:f>
        <x:v>1</x:v>
      </x:c>
      <x:c r="AM149" s="32" t="n">
        <x:f>IF(AL149=1,U149,"")</x:f>
        <x:v>519000</x:v>
      </x:c>
      <x:c r="AN149" s="33" t="str">
        <x:f>IF(AL149=1,AF149,"")</x:f>
      </x:c>
      <x:c r="AO149" s="31" t="n">
        <x:f>'分析方法'!$B$6-J149</x:f>
        <x:v>3</x:v>
      </x:c>
      <x:c r="AP149" s="3"/>
    </x:row>
    <x:row r="150" ht="22" customHeight="1">
      <x:c r="A150" s="3" t="str">
        <x:v>O_hilux-revo_Y2023_175</x:v>
      </x:c>
      <x:c r="B150" s="7" t="d">
        <x:v>2026-10-08T00:00:00.000Z</x:v>
      </x:c>
      <x:c r="C150" s="3" t="str">
        <x:v>One2car</x:v>
      </x:c>
      <x:c r="D150" s="3" t="str">
        <x:v>Toyota</x:v>
      </x:c>
      <x:c r="E150" s="3" t="str">
        <x:v>日本</x:v>
      </x:c>
      <x:c r="F150" s="3" t="str">
        <x:v>Hilux Revo</x:v>
      </x:c>
      <x:c r="G150" s="3" t="str">
        <x:v>ICE</x:v>
      </x:c>
      <x:c r="H150" s="3" t="str">
        <x:v>Pickup</x:v>
      </x:c>
      <x:c r="I150" s="3" t="str">
        <x:v>Smart cab</x:v>
      </x:c>
      <x:c r="J150" s="3" t="n">
        <x:v>2023</x:v>
      </x:c>
      <x:c r="K150" s="3" t="str">
        <x:v>Toyota HILUX REVO 2.8 Smart Cab High</x:v>
      </x:c>
      <x:c r="L150" s="3" t="str">
        <x:v>TOYOTA HILUX REVO 2.8 SMART CAB HIGH</x:v>
      </x:c>
      <x:c r="M150" s="22"/>
      <x:c r="N150" s="22" t="n">
        <x:v>20000</x:v>
      </x:c>
      <x:c r="O150" s="22" t="n">
        <x:v>25000</x:v>
      </x:c>
      <x:c r="P150" s="3" t="str">
        <x:v>20–50千km</x:v>
      </x:c>
      <x:c r="Q150" s="3" t="str">
        <x:v>Bangkok</x:v>
      </x:c>
      <x:c r="R150" s="3" t="str">
        <x:v>Bangkok metro</x:v>
      </x:c>
      <x:c r="S150" s="3" t="str">
        <x:v>MT</x:v>
      </x:c>
      <x:c r="T150" s="3" t="str">
        <x:v>世代不明</x:v>
      </x:c>
      <x:c r="U150" s="28" t="n">
        <x:v>834000</x:v>
      </x:c>
      <x:c r="V150" s="28"/>
      <x:c r="W150" s="3" t="str">
        <x:v>広告の申告のみ。事故・水没・SOH・保証残は未確認</x:v>
      </x:c>
      <x:c r="X150" s="3" t="str">
        <x:v>掲載中・在庫未確認</x:v>
      </x:c>
      <x:c r="Y150" s="3" t="str"/>
      <x:c r="Z150" s="27" t="str">
        <x:v>https://www.one2car.com/en/cars-for-sale/toyota/hilux-revo/year-2023</x:v>
      </x:c>
      <x:c r="AA150" s="3" t="str">
        <x:v>掲載リンク参照#175／見出し行1312（永続IDではない）</x:v>
      </x:c>
      <x:c r="AB150" s="3" t="str">
        <x:v>車台番号未取得／サイト間重複は未判定</x:v>
      </x:c>
      <x:c r="AC150" s="3" t="str">
        <x:v>税込区分未確認</x:v>
      </x:c>
      <x:c r="AD150" s="3" t="str"/>
      <x:c r="AE150" s="29" t="str">
        <x:f>""</x:f>
      </x:c>
      <x:c r="AF150" s="30" t="str">
        <x:f>IF(ISNUMBER(AE150),U150/AE150,"")</x:f>
      </x:c>
      <x:c r="AG150" s="29" t="str">
        <x:f>""</x:f>
      </x:c>
      <x:c r="AH150" s="30" t="str">
        <x:f>IF(ISNUMBER(AG150),U150/AG150,"")</x:f>
      </x:c>
      <x:c r="AI150" s="3" t="str">
        <x:v>同年式・グレードの検証済み当時価格なし／登録年混在</x:v>
      </x:c>
      <x:c r="AJ150" s="3" t="str">
        <x:v>走行/条件情報あり</x:v>
      </x:c>
      <x:c r="AK150" s="3" t="str">
        <x:v>取得した検索結果ページの掲載。サイトの並び順による選択偏りあり。</x:v>
      </x:c>
      <x:c r="AL150" s="31" t="n">
        <x:f>IF(AND(J150&lt;='分析方法'!$B$7,OR(ISBLANK(O150),O150&gt;='分析方法'!$B$8),X150&lt;&gt;"売却済み表示"),1,0)</x:f>
        <x:v>1</x:v>
      </x:c>
      <x:c r="AM150" s="32" t="n">
        <x:f>IF(AL150=1,U150,"")</x:f>
        <x:v>834000</x:v>
      </x:c>
      <x:c r="AN150" s="33" t="str">
        <x:f>IF(AL150=1,AF150,"")</x:f>
      </x:c>
      <x:c r="AO150" s="31" t="n">
        <x:f>'分析方法'!$B$6-J150</x:f>
        <x:v>3</x:v>
      </x:c>
      <x:c r="AP150" s="3"/>
    </x:row>
    <x:row r="151" ht="22" customHeight="1">
      <x:c r="A151" s="3" t="str">
        <x:v>O_hilux-revo_312</x:v>
      </x:c>
      <x:c r="B151" s="7" t="d">
        <x:v>2026-10-08T00:00:00.000Z</x:v>
      </x:c>
      <x:c r="C151" s="3" t="str">
        <x:v>One2car</x:v>
      </x:c>
      <x:c r="D151" s="3" t="str">
        <x:v>Toyota</x:v>
      </x:c>
      <x:c r="E151" s="3" t="str">
        <x:v>日本</x:v>
      </x:c>
      <x:c r="F151" s="3" t="str">
        <x:v>Hilux Revo</x:v>
      </x:c>
      <x:c r="G151" s="3" t="str">
        <x:v>ICE</x:v>
      </x:c>
      <x:c r="H151" s="3" t="str">
        <x:v>Pickup</x:v>
      </x:c>
      <x:c r="I151" s="3" t="str">
        <x:v>Double cab</x:v>
      </x:c>
      <x:c r="J151" s="3" t="n">
        <x:v>2025</x:v>
      </x:c>
      <x:c r="K151" s="3" t="str">
        <x:v>Toyota HILUX REVO 2.4 Double Cab Prerunner Mid</x:v>
      </x:c>
      <x:c r="L151" s="3" t="str">
        <x:v>TOYOTA HILUX REVO 2.4 DOUBLE CAB PRERUNNER MID</x:v>
      </x:c>
      <x:c r="M151" s="22"/>
      <x:c r="N151" s="22" t="n">
        <x:v>45000</x:v>
      </x:c>
      <x:c r="O151" s="22" t="n">
        <x:v>50000</x:v>
      </x:c>
      <x:c r="P151" s="3" t="str">
        <x:v>20–50千km</x:v>
      </x:c>
      <x:c r="Q151" s="3" t="str">
        <x:v>Bangkok</x:v>
      </x:c>
      <x:c r="R151" s="3" t="str">
        <x:v>Bangkok metro</x:v>
      </x:c>
      <x:c r="S151" s="3" t="str">
        <x:v>AT</x:v>
      </x:c>
      <x:c r="T151" s="3" t="str">
        <x:v>世代不明</x:v>
      </x:c>
      <x:c r="U151" s="28" t="n">
        <x:v>779000</x:v>
      </x:c>
      <x:c r="V151" s="28"/>
      <x:c r="W151" s="3" t="str">
        <x:v>広告の申告のみ。事故・水没・SOH・保証残は未確認</x:v>
      </x:c>
      <x:c r="X151" s="3" t="str">
        <x:v>掲載中・在庫未確認</x:v>
      </x:c>
      <x:c r="Y151" s="3" t="str"/>
      <x:c r="Z151" s="27" t="str">
        <x:v>https://www.one2car.com/en/cars-for-sale/toyota/hilux-revo</x:v>
      </x:c>
      <x:c r="AA151" s="3" t="str">
        <x:v>掲載リンク参照#312／見出し行1392（永続IDではない）</x:v>
      </x:c>
      <x:c r="AB151" s="3" t="str">
        <x:v>車台番号未取得／サイト間重複は未判定</x:v>
      </x:c>
      <x:c r="AC151" s="3" t="str">
        <x:v>税込区分未確認</x:v>
      </x:c>
      <x:c r="AD151" s="3" t="str"/>
      <x:c r="AE151" s="29" t="str">
        <x:f>""</x:f>
      </x:c>
      <x:c r="AF151" s="30" t="str">
        <x:f>IF(ISNUMBER(AE151),U151/AE151,"")</x:f>
      </x:c>
      <x:c r="AG151" s="29" t="str">
        <x:f>""</x:f>
      </x:c>
      <x:c r="AH151" s="30" t="str">
        <x:f>IF(ISNUMBER(AG151),U151/AG151,"")</x:f>
      </x:c>
      <x:c r="AI151" s="3" t="str">
        <x:v>同年式・グレードの検証済み当時価格なし／登録年混在</x:v>
      </x:c>
      <x:c r="AJ151" s="3" t="str">
        <x:v>走行/条件情報あり</x:v>
      </x:c>
      <x:c r="AK151" s="3" t="str">
        <x:v>取得した検索結果ページの掲載。サイトの並び順による選択偏りあり。</x:v>
      </x:c>
      <x:c r="AL151" s="31" t="n">
        <x:f>IF(AND(J151&lt;='分析方法'!$B$7,OR(ISBLANK(O151),O151&gt;='分析方法'!$B$8),X151&lt;&gt;"売却済み表示"),1,0)</x:f>
        <x:v>1</x:v>
      </x:c>
      <x:c r="AM151" s="32" t="n">
        <x:f>IF(AL151=1,U151,"")</x:f>
        <x:v>779000</x:v>
      </x:c>
      <x:c r="AN151" s="33" t="str">
        <x:f>IF(AL151=1,AF151,"")</x:f>
      </x:c>
      <x:c r="AO151" s="31" t="n">
        <x:f>'分析方法'!$B$6-J151</x:f>
        <x:v>1</x:v>
      </x:c>
      <x:c r="AP151" s="3"/>
    </x:row>
    <x:row r="152" ht="22" customHeight="1">
      <x:c r="A152" s="3" t="str">
        <x:v>O_seal_173</x:v>
      </x:c>
      <x:c r="B152" s="7" t="d">
        <x:v>2026-10-08T00:00:00.000Z</x:v>
      </x:c>
      <x:c r="C152" s="3" t="str">
        <x:v>One2car</x:v>
      </x:c>
      <x:c r="D152" s="3" t="str">
        <x:v>BYD</x:v>
      </x:c>
      <x:c r="E152" s="3" t="str">
        <x:v>中国</x:v>
      </x:c>
      <x:c r="F152" s="3" t="str">
        <x:v>SEAL</x:v>
      </x:c>
      <x:c r="G152" s="3" t="str">
        <x:v>BEV</x:v>
      </x:c>
      <x:c r="H152" s="3" t="str">
        <x:v>Sedan</x:v>
      </x:c>
      <x:c r="I152" s="3" t="str"/>
      <x:c r="J152" s="3" t="n">
        <x:v>2023</x:v>
      </x:c>
      <x:c r="K152" s="3" t="str">
        <x:v>Dynamic</x:v>
      </x:c>
      <x:c r="L152" s="3" t="str">
        <x:v>DYNAMIC</x:v>
      </x:c>
      <x:c r="M152" s="22"/>
      <x:c r="N152" s="22" t="n">
        <x:v>130000</x:v>
      </x:c>
      <x:c r="O152" s="22" t="n">
        <x:v>135000</x:v>
      </x:c>
      <x:c r="P152" s="3" t="str">
        <x:v>100–150千km</x:v>
      </x:c>
      <x:c r="Q152" s="3" t="str">
        <x:v>Pathum Thani</x:v>
      </x:c>
      <x:c r="R152" s="3" t="str">
        <x:v>Bangkok metro</x:v>
      </x:c>
      <x:c r="S152" s="3" t="str">
        <x:v>AT</x:v>
      </x:c>
      <x:c r="T152" s="3" t="str">
        <x:v>世代不明</x:v>
      </x:c>
      <x:c r="U152" s="28" t="n">
        <x:v>589000</x:v>
      </x:c>
      <x:c r="V152" s="28"/>
      <x:c r="W152" s="3" t="str">
        <x:v>広告の申告のみ。事故・水没・SOH・保証残は未確認</x:v>
      </x:c>
      <x:c r="X152" s="3" t="str">
        <x:v>掲載中・在庫未確認</x:v>
      </x:c>
      <x:c r="Y152" s="3" t="str"/>
      <x:c r="Z152" s="27" t="str">
        <x:v>https://www.one2car.com/en/cars-for-sale/byd/seal</x:v>
      </x:c>
      <x:c r="AA152" s="3" t="str">
        <x:v>掲載リンク参照#173／見出し行1059（永続IDではない）</x:v>
      </x:c>
      <x:c r="AB152" s="3" t="str">
        <x:v>車台番号未取得／サイト間重複は未判定</x:v>
      </x:c>
      <x:c r="AC152" s="3" t="str">
        <x:v>税込区分未確認</x:v>
      </x:c>
      <x:c r="AD152" s="3" t="str">
        <x:v>SEAL23_DYNAMIC</x:v>
      </x:c>
      <x:c r="AE152" s="29" t="n">
        <x:f>'新車価格・特価'!K11</x:f>
        <x:v>1325000</x:v>
      </x:c>
      <x:c r="AF152" s="30" t="n">
        <x:f>IF(ISNUMBER(AE152),U152/AE152,"")</x:f>
        <x:v>0.44452830188679243</x:v>
      </x:c>
      <x:c r="AG152" s="29" t="str">
        <x:f>""</x:f>
      </x:c>
      <x:c r="AH152" s="30" t="str">
        <x:f>IF(ISNUMBER(AG152),U152/AG152,"")</x:f>
      </x:c>
      <x:c r="AI152" s="3" t="str">
        <x:v>当時公表小売価格の参考残価率。実購入額ではない。年式/登録年・仕様差に注意。</x:v>
      </x:c>
      <x:c r="AJ152" s="3" t="str">
        <x:v>走行/条件情報あり</x:v>
      </x:c>
      <x:c r="AK152" s="3" t="str">
        <x:v>取得した検索結果ページの掲載。サイトの並び順による選択偏りあり。</x:v>
      </x:c>
      <x:c r="AL152" s="31" t="n">
        <x:f>IF(AND(J152&lt;='分析方法'!$B$7,OR(ISBLANK(O152),O152&gt;='分析方法'!$B$8),X152&lt;&gt;"売却済み表示"),1,0)</x:f>
        <x:v>1</x:v>
      </x:c>
      <x:c r="AM152" s="32" t="n">
        <x:f>IF(AL152=1,U152,"")</x:f>
        <x:v>589000</x:v>
      </x:c>
      <x:c r="AN152" s="33" t="n">
        <x:f>IF(AL152=1,AF152,"")</x:f>
        <x:v>0.44452830188679243</x:v>
      </x:c>
      <x:c r="AO152" s="31" t="n">
        <x:f>'分析方法'!$B$6-J152</x:f>
        <x:v>3</x:v>
      </x:c>
      <x:c r="AP152" s="3"/>
    </x:row>
    <x:row r="153" ht="22" customHeight="1">
      <x:c r="A153" s="3" t="str">
        <x:v>O_seal_168</x:v>
      </x:c>
      <x:c r="B153" s="7" t="d">
        <x:v>2026-10-08T00:00:00.000Z</x:v>
      </x:c>
      <x:c r="C153" s="3" t="str">
        <x:v>One2car</x:v>
      </x:c>
      <x:c r="D153" s="3" t="str">
        <x:v>BYD</x:v>
      </x:c>
      <x:c r="E153" s="3" t="str">
        <x:v>中国</x:v>
      </x:c>
      <x:c r="F153" s="3" t="str">
        <x:v>SEAL</x:v>
      </x:c>
      <x:c r="G153" s="3" t="str">
        <x:v>BEV</x:v>
      </x:c>
      <x:c r="H153" s="3" t="str">
        <x:v>Sedan</x:v>
      </x:c>
      <x:c r="I153" s="3" t="str"/>
      <x:c r="J153" s="3" t="n">
        <x:v>2023</x:v>
      </x:c>
      <x:c r="K153" s="3" t="str">
        <x:v>Premium</x:v>
      </x:c>
      <x:c r="L153" s="3" t="str">
        <x:v>PREMIUM</x:v>
      </x:c>
      <x:c r="M153" s="22"/>
      <x:c r="N153" s="22" t="n">
        <x:v>95000</x:v>
      </x:c>
      <x:c r="O153" s="22" t="n">
        <x:v>100000</x:v>
      </x:c>
      <x:c r="P153" s="3" t="str">
        <x:v>50–100千km</x:v>
      </x:c>
      <x:c r="Q153" s="3" t="str">
        <x:v>Nonthaburi</x:v>
      </x:c>
      <x:c r="R153" s="3" t="str">
        <x:v>Bangkok metro</x:v>
      </x:c>
      <x:c r="S153" s="3" t="str">
        <x:v>AT</x:v>
      </x:c>
      <x:c r="T153" s="3" t="str">
        <x:v>世代不明</x:v>
      </x:c>
      <x:c r="U153" s="28" t="n">
        <x:v>727000</x:v>
      </x:c>
      <x:c r="V153" s="28"/>
      <x:c r="W153" s="3" t="str">
        <x:v>広告の申告のみ。事故・水没・SOH・保証残は未確認</x:v>
      </x:c>
      <x:c r="X153" s="3" t="str">
        <x:v>掲載中・在庫未確認</x:v>
      </x:c>
      <x:c r="Y153" s="3" t="str"/>
      <x:c r="Z153" s="27" t="str">
        <x:v>https://www.one2car.com/en/cars-for-sale/byd/seal</x:v>
      </x:c>
      <x:c r="AA153" s="3" t="str">
        <x:v>掲載リンク参照#168／見出し行899（永続IDではない）</x:v>
      </x:c>
      <x:c r="AB153" s="3" t="str">
        <x:v>車台番号未取得／サイト間重複は未判定</x:v>
      </x:c>
      <x:c r="AC153" s="3" t="str">
        <x:v>税込区分未確認</x:v>
      </x:c>
      <x:c r="AD153" s="3" t="str">
        <x:v>SEAL23_PREMIUM</x:v>
      </x:c>
      <x:c r="AE153" s="29" t="n">
        <x:f>'新車価格・特価'!K12</x:f>
        <x:v>1449000</x:v>
      </x:c>
      <x:c r="AF153" s="30" t="n">
        <x:f>IF(ISNUMBER(AE153),U153/AE153,"")</x:f>
        <x:v>0.5017253278122843</x:v>
      </x:c>
      <x:c r="AG153" s="29" t="str">
        <x:f>""</x:f>
      </x:c>
      <x:c r="AH153" s="30" t="str">
        <x:f>IF(ISNUMBER(AG153),U153/AG153,"")</x:f>
      </x:c>
      <x:c r="AI153" s="3" t="str">
        <x:v>当時公表小売価格の参考残価率。実購入額ではない。年式/登録年・仕様差に注意。</x:v>
      </x:c>
      <x:c r="AJ153" s="3" t="str">
        <x:v>走行/条件情報あり</x:v>
      </x:c>
      <x:c r="AK153" s="3" t="str">
        <x:v>取得した検索結果ページの掲載。サイトの並び順による選択偏りあり。</x:v>
      </x:c>
      <x:c r="AL153" s="31" t="n">
        <x:f>IF(AND(J153&lt;='分析方法'!$B$7,OR(ISBLANK(O153),O153&gt;='分析方法'!$B$8),X153&lt;&gt;"売却済み表示"),1,0)</x:f>
        <x:v>1</x:v>
      </x:c>
      <x:c r="AM153" s="32" t="n">
        <x:f>IF(AL153=1,U153,"")</x:f>
        <x:v>727000</x:v>
      </x:c>
      <x:c r="AN153" s="33" t="n">
        <x:f>IF(AL153=1,AF153,"")</x:f>
        <x:v>0.5017253278122843</x:v>
      </x:c>
      <x:c r="AO153" s="31" t="n">
        <x:f>'分析方法'!$B$6-J153</x:f>
        <x:v>3</x:v>
      </x:c>
      <x:c r="AP153" s="3"/>
    </x:row>
    <x:row r="154" ht="22" customHeight="1">
      <x:c r="A154" s="3" t="str">
        <x:v>O_seal_174</x:v>
      </x:c>
      <x:c r="B154" s="7" t="d">
        <x:v>2026-10-08T00:00:00.000Z</x:v>
      </x:c>
      <x:c r="C154" s="3" t="str">
        <x:v>One2car</x:v>
      </x:c>
      <x:c r="D154" s="3" t="str">
        <x:v>BYD</x:v>
      </x:c>
      <x:c r="E154" s="3" t="str">
        <x:v>中国</x:v>
      </x:c>
      <x:c r="F154" s="3" t="str">
        <x:v>SEAL</x:v>
      </x:c>
      <x:c r="G154" s="3" t="str">
        <x:v>BEV</x:v>
      </x:c>
      <x:c r="H154" s="3" t="str">
        <x:v>Sedan</x:v>
      </x:c>
      <x:c r="I154" s="3" t="str"/>
      <x:c r="J154" s="3" t="n">
        <x:v>2024</x:v>
      </x:c>
      <x:c r="K154" s="3" t="str">
        <x:v>Dynamic</x:v>
      </x:c>
      <x:c r="L154" s="3" t="str">
        <x:v>DYNAMIC</x:v>
      </x:c>
      <x:c r="M154" s="22"/>
      <x:c r="N154" s="22" t="n">
        <x:v>10000</x:v>
      </x:c>
      <x:c r="O154" s="22" t="n">
        <x:v>15000</x:v>
      </x:c>
      <x:c r="P154" s="3" t="str">
        <x:v>&lt;20千km</x:v>
      </x:c>
      <x:c r="Q154" s="3" t="str">
        <x:v>Bangkok</x:v>
      </x:c>
      <x:c r="R154" s="3" t="str">
        <x:v>Bangkok metro</x:v>
      </x:c>
      <x:c r="S154" s="3" t="str">
        <x:v>AT</x:v>
      </x:c>
      <x:c r="T154" s="3" t="str">
        <x:v>世代不明</x:v>
      </x:c>
      <x:c r="U154" s="28" t="n">
        <x:v>659000</x:v>
      </x:c>
      <x:c r="V154" s="28"/>
      <x:c r="W154" s="3" t="str">
        <x:v>広告の申告のみ。事故・水没・SOH・保証残は未確認</x:v>
      </x:c>
      <x:c r="X154" s="3" t="str">
        <x:v>掲載中・在庫未確認</x:v>
      </x:c>
      <x:c r="Y154" s="3" t="str"/>
      <x:c r="Z154" s="27" t="str">
        <x:v>https://www.one2car.com/en/cars-for-sale/byd/seal</x:v>
      </x:c>
      <x:c r="AA154" s="3" t="str">
        <x:v>掲載リンク参照#174／見出し行1091（永続IDではない）</x:v>
      </x:c>
      <x:c r="AB154" s="3" t="str">
        <x:v>車台番号未取得／サイト間重複は未判定</x:v>
      </x:c>
      <x:c r="AC154" s="3" t="str">
        <x:v>税込区分未確認</x:v>
      </x:c>
      <x:c r="AD154" s="3" t="str">
        <x:v>SEAL23_DYNAMIC</x:v>
      </x:c>
      <x:c r="AE154" s="29" t="n">
        <x:f>'新車価格・特価'!K11</x:f>
        <x:v>1325000</x:v>
      </x:c>
      <x:c r="AF154" s="30" t="n">
        <x:f>IF(ISNUMBER(AE154),U154/AE154,"")</x:f>
        <x:v>0.49735849056603776</x:v>
      </x:c>
      <x:c r="AG154" s="29" t="str">
        <x:f>""</x:f>
      </x:c>
      <x:c r="AH154" s="30" t="str">
        <x:f>IF(ISNUMBER(AG154),U154/AG154,"")</x:f>
      </x:c>
      <x:c r="AI154" s="3" t="str">
        <x:v>当時公表小売価格の参考残価率。実購入額ではない。年式/登録年・仕様差に注意。</x:v>
      </x:c>
      <x:c r="AJ154" s="3" t="str">
        <x:v>走行/条件情報あり</x:v>
      </x:c>
      <x:c r="AK154" s="3" t="str">
        <x:v>取得した検索結果ページの掲載。サイトの並び順による選択偏りあり。</x:v>
      </x:c>
      <x:c r="AL154" s="31" t="n">
        <x:f>IF(AND(J154&lt;='分析方法'!$B$7,OR(ISBLANK(O154),O154&gt;='分析方法'!$B$8),X154&lt;&gt;"売却済み表示"),1,0)</x:f>
        <x:v>1</x:v>
      </x:c>
      <x:c r="AM154" s="32" t="n">
        <x:f>IF(AL154=1,U154,"")</x:f>
        <x:v>659000</x:v>
      </x:c>
      <x:c r="AN154" s="33" t="n">
        <x:f>IF(AL154=1,AF154,"")</x:f>
        <x:v>0.49735849056603776</x:v>
      </x:c>
      <x:c r="AO154" s="31" t="n">
        <x:f>'分析方法'!$B$6-J154</x:f>
        <x:v>2</x:v>
      </x:c>
      <x:c r="AP154" s="3"/>
    </x:row>
    <x:row r="155" ht="22" customHeight="1">
      <x:c r="A155" s="3" t="str">
        <x:v>O_seal_176</x:v>
      </x:c>
      <x:c r="B155" s="7" t="d">
        <x:v>2026-10-08T00:00:00.000Z</x:v>
      </x:c>
      <x:c r="C155" s="3" t="str">
        <x:v>One2car</x:v>
      </x:c>
      <x:c r="D155" s="3" t="str">
        <x:v>BYD</x:v>
      </x:c>
      <x:c r="E155" s="3" t="str">
        <x:v>中国</x:v>
      </x:c>
      <x:c r="F155" s="3" t="str">
        <x:v>SEAL</x:v>
      </x:c>
      <x:c r="G155" s="3" t="str">
        <x:v>BEV</x:v>
      </x:c>
      <x:c r="H155" s="3" t="str">
        <x:v>Sedan</x:v>
      </x:c>
      <x:c r="I155" s="3" t="str"/>
      <x:c r="J155" s="3" t="n">
        <x:v>2024</x:v>
      </x:c>
      <x:c r="K155" s="3" t="str">
        <x:v>Performance</x:v>
      </x:c>
      <x:c r="L155" s="3" t="str">
        <x:v>PERFORMANCE</x:v>
      </x:c>
      <x:c r="M155" s="22"/>
      <x:c r="N155" s="22" t="n">
        <x:v>45000</x:v>
      </x:c>
      <x:c r="O155" s="22" t="n">
        <x:v>50000</x:v>
      </x:c>
      <x:c r="P155" s="3" t="str">
        <x:v>20–50千km</x:v>
      </x:c>
      <x:c r="Q155" s="3" t="str">
        <x:v>Bangkok</x:v>
      </x:c>
      <x:c r="R155" s="3" t="str">
        <x:v>Bangkok metro</x:v>
      </x:c>
      <x:c r="S155" s="3" t="str">
        <x:v>AT</x:v>
      </x:c>
      <x:c r="T155" s="3" t="str">
        <x:v>世代不明</x:v>
      </x:c>
      <x:c r="U155" s="28" t="n">
        <x:v>799000</x:v>
      </x:c>
      <x:c r="V155" s="28"/>
      <x:c r="W155" s="3" t="str">
        <x:v>広告の申告のみ。事故・水没・SOH・保証残は未確認</x:v>
      </x:c>
      <x:c r="X155" s="3" t="str">
        <x:v>掲載中・在庫未確認</x:v>
      </x:c>
      <x:c r="Y155" s="3" t="str"/>
      <x:c r="Z155" s="27" t="str">
        <x:v>https://www.one2car.com/en/cars-for-sale/byd/seal</x:v>
      </x:c>
      <x:c r="AA155" s="3" t="str">
        <x:v>掲載リンク参照#176／見出し行1155（永続IDではない）</x:v>
      </x:c>
      <x:c r="AB155" s="3" t="str">
        <x:v>車台番号未取得／サイト間重複は未判定</x:v>
      </x:c>
      <x:c r="AC155" s="3" t="str">
        <x:v>税込区分未確認</x:v>
      </x:c>
      <x:c r="AD155" s="3" t="str"/>
      <x:c r="AE155" s="29" t="str">
        <x:f>""</x:f>
      </x:c>
      <x:c r="AF155" s="30" t="str">
        <x:f>IF(ISNUMBER(AE155),U155/AE155,"")</x:f>
      </x:c>
      <x:c r="AG155" s="29" t="str">
        <x:f>""</x:f>
      </x:c>
      <x:c r="AH155" s="30" t="str">
        <x:f>IF(ISNUMBER(AG155),U155/AG155,"")</x:f>
      </x:c>
      <x:c r="AI155" s="3" t="str">
        <x:v>同年式・グレードの検証済み当時価格なし／登録年混在</x:v>
      </x:c>
      <x:c r="AJ155" s="3" t="str">
        <x:v>走行/条件情報あり</x:v>
      </x:c>
      <x:c r="AK155" s="3" t="str">
        <x:v>取得した検索結果ページの掲載。サイトの並び順による選択偏りあり。</x:v>
      </x:c>
      <x:c r="AL155" s="31" t="n">
        <x:f>IF(AND(J155&lt;='分析方法'!$B$7,OR(ISBLANK(O155),O155&gt;='分析方法'!$B$8),X155&lt;&gt;"売却済み表示"),1,0)</x:f>
        <x:v>1</x:v>
      </x:c>
      <x:c r="AM155" s="32" t="n">
        <x:f>IF(AL155=1,U155,"")</x:f>
        <x:v>799000</x:v>
      </x:c>
      <x:c r="AN155" s="33" t="str">
        <x:f>IF(AL155=1,AF155,"")</x:f>
      </x:c>
      <x:c r="AO155" s="31" t="n">
        <x:f>'分析方法'!$B$6-J155</x:f>
        <x:v>2</x:v>
      </x:c>
      <x:c r="AP155" s="3"/>
    </x:row>
    <x:row r="156" ht="22" customHeight="1">
      <x:c r="A156" s="3" t="str">
        <x:v>O_seal_162</x:v>
      </x:c>
      <x:c r="B156" s="7" t="d">
        <x:v>2026-10-08T00:00:00.000Z</x:v>
      </x:c>
      <x:c r="C156" s="3" t="str">
        <x:v>One2car</x:v>
      </x:c>
      <x:c r="D156" s="3" t="str">
        <x:v>BYD</x:v>
      </x:c>
      <x:c r="E156" s="3" t="str">
        <x:v>中国</x:v>
      </x:c>
      <x:c r="F156" s="3" t="str">
        <x:v>SEAL</x:v>
      </x:c>
      <x:c r="G156" s="3" t="str">
        <x:v>BEV</x:v>
      </x:c>
      <x:c r="H156" s="3" t="str">
        <x:v>Sedan</x:v>
      </x:c>
      <x:c r="I156" s="3" t="str"/>
      <x:c r="J156" s="3" t="n">
        <x:v>2024</x:v>
      </x:c>
      <x:c r="K156" s="3" t="str">
        <x:v>Performance</x:v>
      </x:c>
      <x:c r="L156" s="3" t="str">
        <x:v>PERFORMANCE</x:v>
      </x:c>
      <x:c r="M156" s="22"/>
      <x:c r="N156" s="22" t="n">
        <x:v>70000</x:v>
      </x:c>
      <x:c r="O156" s="22" t="n">
        <x:v>75000</x:v>
      </x:c>
      <x:c r="P156" s="3" t="str">
        <x:v>50–100千km</x:v>
      </x:c>
      <x:c r="Q156" s="3" t="str">
        <x:v>Pathum Thani</x:v>
      </x:c>
      <x:c r="R156" s="3" t="str">
        <x:v>Bangkok metro</x:v>
      </x:c>
      <x:c r="S156" s="3" t="str">
        <x:v>AT</x:v>
      </x:c>
      <x:c r="T156" s="3" t="str">
        <x:v>世代不明</x:v>
      </x:c>
      <x:c r="U156" s="28" t="n">
        <x:v>829000</x:v>
      </x:c>
      <x:c r="V156" s="28"/>
      <x:c r="W156" s="3" t="str">
        <x:v>広告の申告のみ。事故・水没・SOH・保証残は未確認</x:v>
      </x:c>
      <x:c r="X156" s="3" t="str">
        <x:v>掲載中・在庫未確認</x:v>
      </x:c>
      <x:c r="Y156" s="3" t="str"/>
      <x:c r="Z156" s="27" t="str">
        <x:v>https://www.one2car.com/en/cars-for-sale/byd/seal</x:v>
      </x:c>
      <x:c r="AA156" s="3" t="str">
        <x:v>掲載リンク参照#162／見出し行806（永続IDではない）</x:v>
      </x:c>
      <x:c r="AB156" s="3" t="str">
        <x:v>車台番号未取得／サイト間重複は未判定</x:v>
      </x:c>
      <x:c r="AC156" s="3" t="str">
        <x:v>税込区分未確認</x:v>
      </x:c>
      <x:c r="AD156" s="3" t="str"/>
      <x:c r="AE156" s="29" t="str">
        <x:f>""</x:f>
      </x:c>
      <x:c r="AF156" s="30" t="str">
        <x:f>IF(ISNUMBER(AE156),U156/AE156,"")</x:f>
      </x:c>
      <x:c r="AG156" s="29" t="str">
        <x:f>""</x:f>
      </x:c>
      <x:c r="AH156" s="30" t="str">
        <x:f>IF(ISNUMBER(AG156),U156/AG156,"")</x:f>
      </x:c>
      <x:c r="AI156" s="3" t="str">
        <x:v>同年式・グレードの検証済み当時価格なし／登録年混在</x:v>
      </x:c>
      <x:c r="AJ156" s="3" t="str">
        <x:v>走行/条件情報あり</x:v>
      </x:c>
      <x:c r="AK156" s="3" t="str">
        <x:v>取得した検索結果ページの掲載。サイトの並び順による選択偏りあり。</x:v>
      </x:c>
      <x:c r="AL156" s="31" t="n">
        <x:f>IF(AND(J156&lt;='分析方法'!$B$7,OR(ISBLANK(O156),O156&gt;='分析方法'!$B$8),X156&lt;&gt;"売却済み表示"),1,0)</x:f>
        <x:v>1</x:v>
      </x:c>
      <x:c r="AM156" s="32" t="n">
        <x:f>IF(AL156=1,U156,"")</x:f>
        <x:v>829000</x:v>
      </x:c>
      <x:c r="AN156" s="33" t="str">
        <x:f>IF(AL156=1,AF156,"")</x:f>
      </x:c>
      <x:c r="AO156" s="31" t="n">
        <x:f>'分析方法'!$B$6-J156</x:f>
        <x:v>2</x:v>
      </x:c>
      <x:c r="AP156" s="3"/>
    </x:row>
    <x:row r="157" ht="22" customHeight="1">
      <x:c r="A157" s="3" t="str">
        <x:v>O_seal_169</x:v>
      </x:c>
      <x:c r="B157" s="7" t="d">
        <x:v>2026-10-08T00:00:00.000Z</x:v>
      </x:c>
      <x:c r="C157" s="3" t="str">
        <x:v>One2car</x:v>
      </x:c>
      <x:c r="D157" s="3" t="str">
        <x:v>BYD</x:v>
      </x:c>
      <x:c r="E157" s="3" t="str">
        <x:v>中国</x:v>
      </x:c>
      <x:c r="F157" s="3" t="str">
        <x:v>SEAL</x:v>
      </x:c>
      <x:c r="G157" s="3" t="str">
        <x:v>BEV</x:v>
      </x:c>
      <x:c r="H157" s="3" t="str">
        <x:v>Sedan</x:v>
      </x:c>
      <x:c r="I157" s="3" t="str"/>
      <x:c r="J157" s="3" t="n">
        <x:v>2024</x:v>
      </x:c>
      <x:c r="K157" s="3" t="str">
        <x:v>Premium</x:v>
      </x:c>
      <x:c r="L157" s="3" t="str">
        <x:v>PREMIUM</x:v>
      </x:c>
      <x:c r="M157" s="22"/>
      <x:c r="N157" s="22" t="n">
        <x:v>120000</x:v>
      </x:c>
      <x:c r="O157" s="22" t="n">
        <x:v>125000</x:v>
      </x:c>
      <x:c r="P157" s="3" t="str">
        <x:v>100–150千km</x:v>
      </x:c>
      <x:c r="Q157" s="3" t="str">
        <x:v>Pathum Thani</x:v>
      </x:c>
      <x:c r="R157" s="3" t="str">
        <x:v>Bangkok metro</x:v>
      </x:c>
      <x:c r="S157" s="3" t="str">
        <x:v>AT</x:v>
      </x:c>
      <x:c r="T157" s="3" t="str">
        <x:v>世代不明</x:v>
      </x:c>
      <x:c r="U157" s="28" t="n">
        <x:v>679000</x:v>
      </x:c>
      <x:c r="V157" s="28"/>
      <x:c r="W157" s="3" t="str">
        <x:v>広告の申告のみ。事故・水没・SOH・保証残は未確認</x:v>
      </x:c>
      <x:c r="X157" s="3" t="str">
        <x:v>掲載中・在庫未確認</x:v>
      </x:c>
      <x:c r="Y157" s="3" t="str"/>
      <x:c r="Z157" s="27" t="str">
        <x:v>https://www.one2car.com/en/cars-for-sale/byd/seal</x:v>
      </x:c>
      <x:c r="AA157" s="3" t="str">
        <x:v>掲載リンク参照#169／見出し行931（永続IDではない）</x:v>
      </x:c>
      <x:c r="AB157" s="3" t="str">
        <x:v>車台番号未取得／サイト間重複は未判定</x:v>
      </x:c>
      <x:c r="AC157" s="3" t="str">
        <x:v>税込区分未確認</x:v>
      </x:c>
      <x:c r="AD157" s="3" t="str">
        <x:v>SEAL23_PREMIUM</x:v>
      </x:c>
      <x:c r="AE157" s="29" t="n">
        <x:f>'新車価格・特価'!K12</x:f>
        <x:v>1449000</x:v>
      </x:c>
      <x:c r="AF157" s="30" t="n">
        <x:f>IF(ISNUMBER(AE157),U157/AE157,"")</x:f>
        <x:v>0.46859903381642515</x:v>
      </x:c>
      <x:c r="AG157" s="29" t="str">
        <x:f>""</x:f>
      </x:c>
      <x:c r="AH157" s="30" t="str">
        <x:f>IF(ISNUMBER(AG157),U157/AG157,"")</x:f>
      </x:c>
      <x:c r="AI157" s="3" t="str">
        <x:v>当時公表小売価格の参考残価率。実購入額ではない。年式/登録年・仕様差に注意。</x:v>
      </x:c>
      <x:c r="AJ157" s="3" t="str">
        <x:v>走行/条件情報あり</x:v>
      </x:c>
      <x:c r="AK157" s="3" t="str">
        <x:v>取得した検索結果ページの掲載。サイトの並び順による選択偏りあり。</x:v>
      </x:c>
      <x:c r="AL157" s="31" t="n">
        <x:f>IF(AND(J157&lt;='分析方法'!$B$7,OR(ISBLANK(O157),O157&gt;='分析方法'!$B$8),X157&lt;&gt;"売却済み表示"),1,0)</x:f>
        <x:v>1</x:v>
      </x:c>
      <x:c r="AM157" s="32" t="n">
        <x:f>IF(AL157=1,U157,"")</x:f>
        <x:v>679000</x:v>
      </x:c>
      <x:c r="AN157" s="33" t="n">
        <x:f>IF(AL157=1,AF157,"")</x:f>
        <x:v>0.46859903381642515</x:v>
      </x:c>
      <x:c r="AO157" s="31" t="n">
        <x:f>'分析方法'!$B$6-J157</x:f>
        <x:v>2</x:v>
      </x:c>
      <x:c r="AP157" s="3"/>
    </x:row>
    <x:row r="158" ht="22" customHeight="1">
      <x:c r="A158" s="3" t="str">
        <x:v>O_seal_166</x:v>
      </x:c>
      <x:c r="B158" s="7" t="d">
        <x:v>2026-10-08T00:00:00.000Z</x:v>
      </x:c>
      <x:c r="C158" s="3" t="str">
        <x:v>One2car</x:v>
      </x:c>
      <x:c r="D158" s="3" t="str">
        <x:v>BYD</x:v>
      </x:c>
      <x:c r="E158" s="3" t="str">
        <x:v>中国</x:v>
      </x:c>
      <x:c r="F158" s="3" t="str">
        <x:v>SEAL</x:v>
      </x:c>
      <x:c r="G158" s="3" t="str">
        <x:v>BEV</x:v>
      </x:c>
      <x:c r="H158" s="3" t="str">
        <x:v>Sedan</x:v>
      </x:c>
      <x:c r="I158" s="3" t="str"/>
      <x:c r="J158" s="3" t="n">
        <x:v>2024</x:v>
      </x:c>
      <x:c r="K158" s="3" t="str">
        <x:v>Premium</x:v>
      </x:c>
      <x:c r="L158" s="3" t="str">
        <x:v>PREMIUM</x:v>
      </x:c>
      <x:c r="M158" s="22"/>
      <x:c r="N158" s="22" t="n">
        <x:v>65000</x:v>
      </x:c>
      <x:c r="O158" s="22" t="n">
        <x:v>70000</x:v>
      </x:c>
      <x:c r="P158" s="3" t="str">
        <x:v>50–100千km</x:v>
      </x:c>
      <x:c r="Q158" s="3" t="str">
        <x:v>Bangkok</x:v>
      </x:c>
      <x:c r="R158" s="3" t="str">
        <x:v>Bangkok metro</x:v>
      </x:c>
      <x:c r="S158" s="3" t="str">
        <x:v>AT</x:v>
      </x:c>
      <x:c r="T158" s="3" t="str">
        <x:v>世代不明</x:v>
      </x:c>
      <x:c r="U158" s="28" t="n">
        <x:v>729000</x:v>
      </x:c>
      <x:c r="V158" s="28"/>
      <x:c r="W158" s="3" t="str">
        <x:v>広告の申告のみ。事故・水没・SOH・保証残は未確認</x:v>
      </x:c>
      <x:c r="X158" s="3" t="str">
        <x:v>掲載中・在庫未確認</x:v>
      </x:c>
      <x:c r="Y158" s="3" t="str"/>
      <x:c r="Z158" s="27" t="str">
        <x:v>https://www.one2car.com/en/cars-for-sale/byd/seal</x:v>
      </x:c>
      <x:c r="AA158" s="3" t="str">
        <x:v>掲載リンク参照#166／見出し行838（永続IDではない）</x:v>
      </x:c>
      <x:c r="AB158" s="3" t="str">
        <x:v>車台番号未取得／サイト間重複は未判定</x:v>
      </x:c>
      <x:c r="AC158" s="3" t="str">
        <x:v>税込区分未確認</x:v>
      </x:c>
      <x:c r="AD158" s="3" t="str">
        <x:v>SEAL23_PREMIUM</x:v>
      </x:c>
      <x:c r="AE158" s="29" t="n">
        <x:f>'新車価格・特価'!K12</x:f>
        <x:v>1449000</x:v>
      </x:c>
      <x:c r="AF158" s="30" t="n">
        <x:f>IF(ISNUMBER(AE158),U158/AE158,"")</x:f>
        <x:v>0.5031055900621118</x:v>
      </x:c>
      <x:c r="AG158" s="29" t="str">
        <x:f>""</x:f>
      </x:c>
      <x:c r="AH158" s="30" t="str">
        <x:f>IF(ISNUMBER(AG158),U158/AG158,"")</x:f>
      </x:c>
      <x:c r="AI158" s="3" t="str">
        <x:v>当時公表小売価格の参考残価率。実購入額ではない。年式/登録年・仕様差に注意。</x:v>
      </x:c>
      <x:c r="AJ158" s="3" t="str">
        <x:v>走行/条件情報あり</x:v>
      </x:c>
      <x:c r="AK158" s="3" t="str">
        <x:v>取得した検索結果ページの掲載。サイトの並び順による選択偏りあり。</x:v>
      </x:c>
      <x:c r="AL158" s="31" t="n">
        <x:f>IF(AND(J158&lt;='分析方法'!$B$7,OR(ISBLANK(O158),O158&gt;='分析方法'!$B$8),X158&lt;&gt;"売却済み表示"),1,0)</x:f>
        <x:v>1</x:v>
      </x:c>
      <x:c r="AM158" s="32" t="n">
        <x:f>IF(AL158=1,U158,"")</x:f>
        <x:v>729000</x:v>
      </x:c>
      <x:c r="AN158" s="33" t="n">
        <x:f>IF(AL158=1,AF158,"")</x:f>
        <x:v>0.5031055900621118</x:v>
      </x:c>
      <x:c r="AO158" s="31" t="n">
        <x:f>'分析方法'!$B$6-J158</x:f>
        <x:v>2</x:v>
      </x:c>
      <x:c r="AP158" s="3"/>
    </x:row>
    <x:row r="159" ht="22" customHeight="1">
      <x:c r="A159" s="3" t="str">
        <x:v>O_seal_167</x:v>
      </x:c>
      <x:c r="B159" s="7" t="d">
        <x:v>2026-10-08T00:00:00.000Z</x:v>
      </x:c>
      <x:c r="C159" s="3" t="str">
        <x:v>One2car</x:v>
      </x:c>
      <x:c r="D159" s="3" t="str">
        <x:v>BYD</x:v>
      </x:c>
      <x:c r="E159" s="3" t="str">
        <x:v>中国</x:v>
      </x:c>
      <x:c r="F159" s="3" t="str">
        <x:v>SEAL</x:v>
      </x:c>
      <x:c r="G159" s="3" t="str">
        <x:v>BEV</x:v>
      </x:c>
      <x:c r="H159" s="3" t="str">
        <x:v>Sedan</x:v>
      </x:c>
      <x:c r="I159" s="3" t="str"/>
      <x:c r="J159" s="3" t="n">
        <x:v>2024</x:v>
      </x:c>
      <x:c r="K159" s="3" t="str">
        <x:v>Premium</x:v>
      </x:c>
      <x:c r="L159" s="3" t="str">
        <x:v>PREMIUM</x:v>
      </x:c>
      <x:c r="M159" s="22"/>
      <x:c r="N159" s="22" t="n">
        <x:v>95000</x:v>
      </x:c>
      <x:c r="O159" s="22" t="n">
        <x:v>100000</x:v>
      </x:c>
      <x:c r="P159" s="3" t="str">
        <x:v>50–100千km</x:v>
      </x:c>
      <x:c r="Q159" s="3" t="str">
        <x:v>Nonthaburi</x:v>
      </x:c>
      <x:c r="R159" s="3" t="str">
        <x:v>Bangkok metro</x:v>
      </x:c>
      <x:c r="S159" s="3" t="str">
        <x:v>AT</x:v>
      </x:c>
      <x:c r="T159" s="3" t="str">
        <x:v>世代不明</x:v>
      </x:c>
      <x:c r="U159" s="28" t="n">
        <x:v>677000</x:v>
      </x:c>
      <x:c r="V159" s="28"/>
      <x:c r="W159" s="3" t="str">
        <x:v>広告の申告のみ。事故・水没・SOH・保証残は未確認</x:v>
      </x:c>
      <x:c r="X159" s="3" t="str">
        <x:v>掲載中・在庫未確認</x:v>
      </x:c>
      <x:c r="Y159" s="3" t="str"/>
      <x:c r="Z159" s="27" t="str">
        <x:v>https://www.one2car.com/en/cars-for-sale/byd/seal</x:v>
      </x:c>
      <x:c r="AA159" s="3" t="str">
        <x:v>掲載リンク参照#167／見出し行867（永続IDではない）</x:v>
      </x:c>
      <x:c r="AB159" s="3" t="str">
        <x:v>車台番号未取得／サイト間重複は未判定</x:v>
      </x:c>
      <x:c r="AC159" s="3" t="str">
        <x:v>税込区分未確認</x:v>
      </x:c>
      <x:c r="AD159" s="3" t="str">
        <x:v>SEAL23_PREMIUM</x:v>
      </x:c>
      <x:c r="AE159" s="29" t="n">
        <x:f>'新車価格・特価'!K12</x:f>
        <x:v>1449000</x:v>
      </x:c>
      <x:c r="AF159" s="30" t="n">
        <x:f>IF(ISNUMBER(AE159),U159/AE159,"")</x:f>
        <x:v>0.46721877156659763</x:v>
      </x:c>
      <x:c r="AG159" s="29" t="str">
        <x:f>""</x:f>
      </x:c>
      <x:c r="AH159" s="30" t="str">
        <x:f>IF(ISNUMBER(AG159),U159/AG159,"")</x:f>
      </x:c>
      <x:c r="AI159" s="3" t="str">
        <x:v>当時公表小売価格の参考残価率。実購入額ではない。年式/登録年・仕様差に注意。</x:v>
      </x:c>
      <x:c r="AJ159" s="3" t="str">
        <x:v>走行/条件情報あり</x:v>
      </x:c>
      <x:c r="AK159" s="3" t="str">
        <x:v>取得した検索結果ページの掲載。サイトの並び順による選択偏りあり。</x:v>
      </x:c>
      <x:c r="AL159" s="31" t="n">
        <x:f>IF(AND(J159&lt;='分析方法'!$B$7,OR(ISBLANK(O159),O159&gt;='分析方法'!$B$8),X159&lt;&gt;"売却済み表示"),1,0)</x:f>
        <x:v>1</x:v>
      </x:c>
      <x:c r="AM159" s="32" t="n">
        <x:f>IF(AL159=1,U159,"")</x:f>
        <x:v>677000</x:v>
      </x:c>
      <x:c r="AN159" s="33" t="n">
        <x:f>IF(AL159=1,AF159,"")</x:f>
        <x:v>0.46721877156659763</x:v>
      </x:c>
      <x:c r="AO159" s="31" t="n">
        <x:f>'分析方法'!$B$6-J159</x:f>
        <x:v>2</x:v>
      </x:c>
      <x:c r="AP159" s="3"/>
    </x:row>
    <x:row r="160" ht="22" customHeight="1">
      <x:c r="A160" s="3" t="str">
        <x:v>O_sealion-6_153</x:v>
      </x:c>
      <x:c r="B160" s="7" t="d">
        <x:v>2026-10-08T00:00:00.000Z</x:v>
      </x:c>
      <x:c r="C160" s="3" t="str">
        <x:v>One2car</x:v>
      </x:c>
      <x:c r="D160" s="3" t="str">
        <x:v>BYD</x:v>
      </x:c>
      <x:c r="E160" s="3" t="str">
        <x:v>中国</x:v>
      </x:c>
      <x:c r="F160" s="3" t="str">
        <x:v>SEALION 6</x:v>
      </x:c>
      <x:c r="G160" s="3" t="str">
        <x:v>PHEV</x:v>
      </x:c>
      <x:c r="H160" s="3" t="str">
        <x:v>SUV</x:v>
      </x:c>
      <x:c r="I160" s="3" t="str"/>
      <x:c r="J160" s="3" t="n">
        <x:v>2025</x:v>
      </x:c>
      <x:c r="K160" s="3" t="str">
        <x:v>DM-i Premium</x:v>
      </x:c>
      <x:c r="L160" s="3" t="str">
        <x:v>PREMIUM</x:v>
      </x:c>
      <x:c r="M160" s="22"/>
      <x:c r="N160" s="22" t="n">
        <x:v>30000</x:v>
      </x:c>
      <x:c r="O160" s="22" t="n">
        <x:v>35000</x:v>
      </x:c>
      <x:c r="P160" s="3" t="str">
        <x:v>20–50千km</x:v>
      </x:c>
      <x:c r="Q160" s="3" t="str">
        <x:v>Bangkok</x:v>
      </x:c>
      <x:c r="R160" s="3" t="str">
        <x:v>Bangkok metro</x:v>
      </x:c>
      <x:c r="S160" s="3" t="str">
        <x:v>AT</x:v>
      </x:c>
      <x:c r="T160" s="3" t="str">
        <x:v>世代不明</x:v>
      </x:c>
      <x:c r="U160" s="28" t="n">
        <x:v>739000</x:v>
      </x:c>
      <x:c r="V160" s="28"/>
      <x:c r="W160" s="3" t="str">
        <x:v>広告の申告のみ。事故・水没・SOH・保証残は未確認</x:v>
      </x:c>
      <x:c r="X160" s="3" t="str">
        <x:v>掲載中・在庫未確認</x:v>
      </x:c>
      <x:c r="Y160" s="3" t="str"/>
      <x:c r="Z160" s="27" t="str">
        <x:v>https://www.one2car.com/en/cars-for-sale/byd/sealion-6</x:v>
      </x:c>
      <x:c r="AA160" s="3" t="str">
        <x:v>掲載リンク参照#153／見出し行687（永続IDではない）</x:v>
      </x:c>
      <x:c r="AB160" s="3" t="str">
        <x:v>車台番号未取得／サイト間重複は未判定</x:v>
      </x:c>
      <x:c r="AC160" s="3" t="str">
        <x:v>税込区分未確認</x:v>
      </x:c>
      <x:c r="AD160" s="3" t="str">
        <x:v>WC25_4_2</x:v>
      </x:c>
      <x:c r="AE160" s="29" t="n">
        <x:f>'新車価格・特価'!K30</x:f>
        <x:v>1099900</x:v>
      </x:c>
      <x:c r="AF160" s="30" t="n">
        <x:f>IF(ISNUMBER(AE160),U160/AE160,"")</x:f>
        <x:v>0.6718792617510683</x:v>
      </x:c>
      <x:c r="AG160" s="29" t="n">
        <x:f>'新車価格・特価'!N39</x:f>
        <x:v>899900</x:v>
      </x:c>
      <x:c r="AH160" s="30" t="n">
        <x:f>IF(ISNUMBER(AG160),U160/AG160,"")</x:f>
        <x:v>0.821202355817313</x:v>
      </x:c>
      <x:c r="AI160" s="3" t="str">
        <x:v>当時公表小売価格の参考残価率。実購入額ではない。年式/登録年・仕様差に注意。</x:v>
      </x:c>
      <x:c r="AJ160" s="3" t="str">
        <x:v>走行/条件情報あり</x:v>
      </x:c>
      <x:c r="AK160" s="3" t="str">
        <x:v>取得した検索結果ページの掲載。サイトの並び順による選択偏りあり。</x:v>
      </x:c>
      <x:c r="AL160" s="31" t="n">
        <x:f>IF(AND(J160&lt;='分析方法'!$B$7,OR(ISBLANK(O160),O160&gt;='分析方法'!$B$8),X160&lt;&gt;"売却済み表示"),1,0)</x:f>
        <x:v>1</x:v>
      </x:c>
      <x:c r="AM160" s="32" t="n">
        <x:f>IF(AL160=1,U160,"")</x:f>
        <x:v>739000</x:v>
      </x:c>
      <x:c r="AN160" s="33" t="n">
        <x:f>IF(AL160=1,AF160,"")</x:f>
        <x:v>0.6718792617510683</x:v>
      </x:c>
      <x:c r="AO160" s="31" t="n">
        <x:f>'分析方法'!$B$6-J160</x:f>
        <x:v>1</x:v>
      </x:c>
      <x:c r="AP160" s="3"/>
    </x:row>
    <x:row r="161" ht="22" customHeight="1">
      <x:c r="A161" s="3" t="str">
        <x:v>O_sealion-6_157</x:v>
      </x:c>
      <x:c r="B161" s="7" t="d">
        <x:v>2026-10-08T00:00:00.000Z</x:v>
      </x:c>
      <x:c r="C161" s="3" t="str">
        <x:v>One2car</x:v>
      </x:c>
      <x:c r="D161" s="3" t="str">
        <x:v>BYD</x:v>
      </x:c>
      <x:c r="E161" s="3" t="str">
        <x:v>中国</x:v>
      </x:c>
      <x:c r="F161" s="3" t="str">
        <x:v>SEALION 6</x:v>
      </x:c>
      <x:c r="G161" s="3" t="str">
        <x:v>PHEV</x:v>
      </x:c>
      <x:c r="H161" s="3" t="str">
        <x:v>SUV</x:v>
      </x:c>
      <x:c r="I161" s="3" t="str"/>
      <x:c r="J161" s="3" t="n">
        <x:v>2025</x:v>
      </x:c>
      <x:c r="K161" s="3" t="str">
        <x:v>DM-i Premium</x:v>
      </x:c>
      <x:c r="L161" s="3" t="str">
        <x:v>PREMIUM</x:v>
      </x:c>
      <x:c r="M161" s="22"/>
      <x:c r="N161" s="22" t="n">
        <x:v>30000</x:v>
      </x:c>
      <x:c r="O161" s="22" t="n">
        <x:v>35000</x:v>
      </x:c>
      <x:c r="P161" s="3" t="str">
        <x:v>20–50千km</x:v>
      </x:c>
      <x:c r="Q161" s="3" t="str">
        <x:v>Bangkok</x:v>
      </x:c>
      <x:c r="R161" s="3" t="str">
        <x:v>Bangkok metro</x:v>
      </x:c>
      <x:c r="S161" s="3" t="str">
        <x:v>AT</x:v>
      </x:c>
      <x:c r="T161" s="3" t="str">
        <x:v>世代不明</x:v>
      </x:c>
      <x:c r="U161" s="28" t="n">
        <x:v>729000</x:v>
      </x:c>
      <x:c r="V161" s="28"/>
      <x:c r="W161" s="3" t="str">
        <x:v>広告の申告のみ。事故・水没・SOH・保証残は未確認</x:v>
      </x:c>
      <x:c r="X161" s="3" t="str">
        <x:v>掲載中・在庫未確認</x:v>
      </x:c>
      <x:c r="Y161" s="3" t="str"/>
      <x:c r="Z161" s="27" t="str">
        <x:v>https://www.one2car.com/en/cars-for-sale/byd/sealion-6</x:v>
      </x:c>
      <x:c r="AA161" s="3" t="str">
        <x:v>掲載リンク参照#157／見出し行719（永続IDではない）</x:v>
      </x:c>
      <x:c r="AB161" s="3" t="str">
        <x:v>車台番号未取得／サイト間重複は未判定</x:v>
      </x:c>
      <x:c r="AC161" s="3" t="str">
        <x:v>税込区分未確認</x:v>
      </x:c>
      <x:c r="AD161" s="3" t="str">
        <x:v>WC25_4_2</x:v>
      </x:c>
      <x:c r="AE161" s="29" t="n">
        <x:f>'新車価格・特価'!K30</x:f>
        <x:v>1099900</x:v>
      </x:c>
      <x:c r="AF161" s="30" t="n">
        <x:f>IF(ISNUMBER(AE161),U161/AE161,"")</x:f>
        <x:v>0.6627875261387399</x:v>
      </x:c>
      <x:c r="AG161" s="29" t="n">
        <x:f>'新車価格・特価'!N39</x:f>
        <x:v>899900</x:v>
      </x:c>
      <x:c r="AH161" s="30" t="n">
        <x:f>IF(ISNUMBER(AG161),U161/AG161,"")</x:f>
        <x:v>0.8100900100011112</x:v>
      </x:c>
      <x:c r="AI161" s="3" t="str">
        <x:v>当時公表小売価格の参考残価率。実購入額ではない。年式/登録年・仕様差に注意。</x:v>
      </x:c>
      <x:c r="AJ161" s="3" t="str">
        <x:v>走行/条件情報あり</x:v>
      </x:c>
      <x:c r="AK161" s="3" t="str">
        <x:v>取得した検索結果ページの掲載。サイトの並び順による選択偏りあり。</x:v>
      </x:c>
      <x:c r="AL161" s="31" t="n">
        <x:f>IF(AND(J161&lt;='分析方法'!$B$7,OR(ISBLANK(O161),O161&gt;='分析方法'!$B$8),X161&lt;&gt;"売却済み表示"),1,0)</x:f>
        <x:v>1</x:v>
      </x:c>
      <x:c r="AM161" s="32" t="n">
        <x:f>IF(AL161=1,U161,"")</x:f>
        <x:v>729000</x:v>
      </x:c>
      <x:c r="AN161" s="33" t="n">
        <x:f>IF(AL161=1,AF161,"")</x:f>
        <x:v>0.6627875261387399</x:v>
      </x:c>
      <x:c r="AO161" s="31" t="n">
        <x:f>'分析方法'!$B$6-J161</x:f>
        <x:v>1</x:v>
      </x:c>
      <x:c r="AP161" s="3"/>
    </x:row>
    <x:row r="162" ht="22" customHeight="1">
      <x:c r="A162" s="3" t="str">
        <x:v>O_sealion-6_160</x:v>
      </x:c>
      <x:c r="B162" s="7" t="d">
        <x:v>2026-10-08T00:00:00.000Z</x:v>
      </x:c>
      <x:c r="C162" s="3" t="str">
        <x:v>One2car</x:v>
      </x:c>
      <x:c r="D162" s="3" t="str">
        <x:v>BYD</x:v>
      </x:c>
      <x:c r="E162" s="3" t="str">
        <x:v>中国</x:v>
      </x:c>
      <x:c r="F162" s="3" t="str">
        <x:v>SEALION 6</x:v>
      </x:c>
      <x:c r="G162" s="3" t="str">
        <x:v>PHEV</x:v>
      </x:c>
      <x:c r="H162" s="3" t="str">
        <x:v>SUV</x:v>
      </x:c>
      <x:c r="I162" s="3" t="str"/>
      <x:c r="J162" s="3" t="n">
        <x:v>2025</x:v>
      </x:c>
      <x:c r="K162" s="3" t="str">
        <x:v>DM-i Premium</x:v>
      </x:c>
      <x:c r="L162" s="3" t="str">
        <x:v>PREMIUM</x:v>
      </x:c>
      <x:c r="M162" s="22" t="n">
        <x:v>41401</x:v>
      </x:c>
      <x:c r="N162" s="22" t="n">
        <x:v>41401</x:v>
      </x:c>
      <x:c r="O162" s="22" t="n">
        <x:v>41401</x:v>
      </x:c>
      <x:c r="P162" s="3" t="str">
        <x:v>20–50千km</x:v>
      </x:c>
      <x:c r="Q162" s="3" t="str">
        <x:v>Bangkok</x:v>
      </x:c>
      <x:c r="R162" s="3" t="str">
        <x:v>Bangkok metro</x:v>
      </x:c>
      <x:c r="S162" s="3" t="str">
        <x:v>AT</x:v>
      </x:c>
      <x:c r="T162" s="3" t="str">
        <x:v>世代不明</x:v>
      </x:c>
      <x:c r="U162" s="28" t="n">
        <x:v>678000</x:v>
      </x:c>
      <x:c r="V162" s="28"/>
      <x:c r="W162" s="3" t="str">
        <x:v>広告の申告のみ。事故・水没・SOH・保証残は未確認</x:v>
      </x:c>
      <x:c r="X162" s="3" t="str">
        <x:v>掲載中・在庫未確認</x:v>
      </x:c>
      <x:c r="Y162" s="3" t="str"/>
      <x:c r="Z162" s="27" t="str">
        <x:v>https://www.one2car.com/en/cars-for-sale/byd/sealion-6</x:v>
      </x:c>
      <x:c r="AA162" s="3" t="str">
        <x:v>掲載リンク参照#160／見出し行751（永続IDではない）</x:v>
      </x:c>
      <x:c r="AB162" s="3" t="str">
        <x:v>候補5b18023f：同条件・価格一致、車台番号未確認</x:v>
      </x:c>
      <x:c r="AC162" s="3" t="str">
        <x:v>税込区分未確認</x:v>
      </x:c>
      <x:c r="AD162" s="3" t="str">
        <x:v>WC25_4_2</x:v>
      </x:c>
      <x:c r="AE162" s="29" t="n">
        <x:f>'新車価格・特価'!K30</x:f>
        <x:v>1099900</x:v>
      </x:c>
      <x:c r="AF162" s="30" t="n">
        <x:f>IF(ISNUMBER(AE162),U162/AE162,"")</x:f>
        <x:v>0.6164196745158651</x:v>
      </x:c>
      <x:c r="AG162" s="29" t="n">
        <x:f>'新車価格・特価'!N39</x:f>
        <x:v>899900</x:v>
      </x:c>
      <x:c r="AH162" s="30" t="n">
        <x:f>IF(ISNUMBER(AG162),U162/AG162,"")</x:f>
        <x:v>0.753417046338482</x:v>
      </x:c>
      <x:c r="AI162" s="3" t="str">
        <x:v>当時公表小売価格の参考残価率。実購入額ではない。年式/登録年・仕様差に注意。</x:v>
      </x:c>
      <x:c r="AJ162" s="3" t="str">
        <x:v>走行/条件情報あり</x:v>
      </x:c>
      <x:c r="AK162" s="3" t="str">
        <x:v>取得した検索結果ページの掲載。サイトの並び順による選択偏りあり。</x:v>
      </x:c>
      <x:c r="AL162" s="31" t="n">
        <x:f>IF(AND(J162&lt;='分析方法'!$B$7,OR(ISBLANK(O162),O162&gt;='分析方法'!$B$8),X162&lt;&gt;"売却済み表示"),1,0)</x:f>
        <x:v>1</x:v>
      </x:c>
      <x:c r="AM162" s="32" t="n">
        <x:f>IF(AL162=1,U162,"")</x:f>
        <x:v>678000</x:v>
      </x:c>
      <x:c r="AN162" s="33" t="n">
        <x:f>IF(AL162=1,AF162,"")</x:f>
        <x:v>0.6164196745158651</x:v>
      </x:c>
      <x:c r="AO162" s="31" t="n">
        <x:f>'分析方法'!$B$6-J162</x:f>
        <x:v>1</x:v>
      </x:c>
      <x:c r="AP162" s="3"/>
    </x:row>
    <x:row r="163" ht="22" customHeight="1">
      <x:c r="A163" s="3" t="str">
        <x:v>O_sealion-6_161</x:v>
      </x:c>
      <x:c r="B163" s="7" t="d">
        <x:v>2026-10-08T00:00:00.000Z</x:v>
      </x:c>
      <x:c r="C163" s="3" t="str">
        <x:v>One2car</x:v>
      </x:c>
      <x:c r="D163" s="3" t="str">
        <x:v>BYD</x:v>
      </x:c>
      <x:c r="E163" s="3" t="str">
        <x:v>中国</x:v>
      </x:c>
      <x:c r="F163" s="3" t="str">
        <x:v>SEALION 6</x:v>
      </x:c>
      <x:c r="G163" s="3" t="str">
        <x:v>PHEV</x:v>
      </x:c>
      <x:c r="H163" s="3" t="str">
        <x:v>SUV</x:v>
      </x:c>
      <x:c r="I163" s="3" t="str"/>
      <x:c r="J163" s="3" t="n">
        <x:v>2025</x:v>
      </x:c>
      <x:c r="K163" s="3" t="str">
        <x:v>DM-i Premium</x:v>
      </x:c>
      <x:c r="L163" s="3" t="str">
        <x:v>PREMIUM</x:v>
      </x:c>
      <x:c r="M163" s="22" t="n">
        <x:v>41401</x:v>
      </x:c>
      <x:c r="N163" s="22" t="n">
        <x:v>41401</x:v>
      </x:c>
      <x:c r="O163" s="22" t="n">
        <x:v>41401</x:v>
      </x:c>
      <x:c r="P163" s="3" t="str">
        <x:v>20–50千km</x:v>
      </x:c>
      <x:c r="Q163" s="3" t="str">
        <x:v>Bangkok</x:v>
      </x:c>
      <x:c r="R163" s="3" t="str">
        <x:v>Bangkok metro</x:v>
      </x:c>
      <x:c r="S163" s="3" t="str">
        <x:v>AT</x:v>
      </x:c>
      <x:c r="T163" s="3" t="str">
        <x:v>世代不明</x:v>
      </x:c>
      <x:c r="U163" s="28" t="n">
        <x:v>678000</x:v>
      </x:c>
      <x:c r="V163" s="28"/>
      <x:c r="W163" s="3" t="str">
        <x:v>広告の申告のみ。事故・水没・SOH・保証残は未確認</x:v>
      </x:c>
      <x:c r="X163" s="3" t="str">
        <x:v>掲載中・在庫未確認</x:v>
      </x:c>
      <x:c r="Y163" s="3" t="str"/>
      <x:c r="Z163" s="27" t="str">
        <x:v>https://www.one2car.com/en/cars-for-sale/byd/sealion-6</x:v>
      </x:c>
      <x:c r="AA163" s="3" t="str">
        <x:v>掲載リンク参照#161／見出し行783（永続IDではない）</x:v>
      </x:c>
      <x:c r="AB163" s="3" t="str">
        <x:v>候補5b18023f：同条件・価格一致、車台番号未確認</x:v>
      </x:c>
      <x:c r="AC163" s="3" t="str">
        <x:v>税込区分未確認</x:v>
      </x:c>
      <x:c r="AD163" s="3" t="str">
        <x:v>WC25_4_2</x:v>
      </x:c>
      <x:c r="AE163" s="29" t="n">
        <x:f>'新車価格・特価'!K30</x:f>
        <x:v>1099900</x:v>
      </x:c>
      <x:c r="AF163" s="30" t="n">
        <x:f>IF(ISNUMBER(AE163),U163/AE163,"")</x:f>
        <x:v>0.6164196745158651</x:v>
      </x:c>
      <x:c r="AG163" s="29" t="n">
        <x:f>'新車価格・特価'!N39</x:f>
        <x:v>899900</x:v>
      </x:c>
      <x:c r="AH163" s="30" t="n">
        <x:f>IF(ISNUMBER(AG163),U163/AG163,"")</x:f>
        <x:v>0.753417046338482</x:v>
      </x:c>
      <x:c r="AI163" s="3" t="str">
        <x:v>当時公表小売価格の参考残価率。実購入額ではない。年式/登録年・仕様差に注意。</x:v>
      </x:c>
      <x:c r="AJ163" s="3" t="str">
        <x:v>走行/条件情報あり</x:v>
      </x:c>
      <x:c r="AK163" s="3" t="str">
        <x:v>取得した検索結果ページの掲載。サイトの並び順による選択偏りあり。</x:v>
      </x:c>
      <x:c r="AL163" s="31" t="n">
        <x:f>IF(AND(J163&lt;='分析方法'!$B$7,OR(ISBLANK(O163),O163&gt;='分析方法'!$B$8),X163&lt;&gt;"売却済み表示"),1,0)</x:f>
        <x:v>1</x:v>
      </x:c>
      <x:c r="AM163" s="32" t="n">
        <x:f>IF(AL163=1,U163,"")</x:f>
        <x:v>678000</x:v>
      </x:c>
      <x:c r="AN163" s="33" t="n">
        <x:f>IF(AL163=1,AF163,"")</x:f>
        <x:v>0.6164196745158651</x:v>
      </x:c>
      <x:c r="AO163" s="31" t="n">
        <x:f>'分析方法'!$B$6-J163</x:f>
        <x:v>1</x:v>
      </x:c>
      <x:c r="AP163" s="3"/>
    </x:row>
    <x:row r="164" ht="22" customHeight="1">
      <x:c r="A164" s="3" t="str">
        <x:v>O_sealion-6_164</x:v>
      </x:c>
      <x:c r="B164" s="7" t="d">
        <x:v>2026-10-08T00:00:00.000Z</x:v>
      </x:c>
      <x:c r="C164" s="3" t="str">
        <x:v>One2car</x:v>
      </x:c>
      <x:c r="D164" s="3" t="str">
        <x:v>BYD</x:v>
      </x:c>
      <x:c r="E164" s="3" t="str">
        <x:v>中国</x:v>
      </x:c>
      <x:c r="F164" s="3" t="str">
        <x:v>SEALION 6</x:v>
      </x:c>
      <x:c r="G164" s="3" t="str">
        <x:v>PHEV</x:v>
      </x:c>
      <x:c r="H164" s="3" t="str">
        <x:v>SUV</x:v>
      </x:c>
      <x:c r="I164" s="3" t="str"/>
      <x:c r="J164" s="3" t="n">
        <x:v>2025</x:v>
      </x:c>
      <x:c r="K164" s="3" t="str">
        <x:v>DM-i Premium</x:v>
      </x:c>
      <x:c r="L164" s="3" t="str">
        <x:v>PREMIUM</x:v>
      </x:c>
      <x:c r="M164" s="22" t="n">
        <x:v>39800</x:v>
      </x:c>
      <x:c r="N164" s="22" t="n">
        <x:v>39800</x:v>
      </x:c>
      <x:c r="O164" s="22" t="n">
        <x:v>39800</x:v>
      </x:c>
      <x:c r="P164" s="3" t="str">
        <x:v>20–50千km</x:v>
      </x:c>
      <x:c r="Q164" s="3" t="str">
        <x:v>Bangkok</x:v>
      </x:c>
      <x:c r="R164" s="3" t="str">
        <x:v>Bangkok metro</x:v>
      </x:c>
      <x:c r="S164" s="3" t="str">
        <x:v>AT</x:v>
      </x:c>
      <x:c r="T164" s="3" t="str">
        <x:v>世代不明</x:v>
      </x:c>
      <x:c r="U164" s="28" t="n">
        <x:v>679000</x:v>
      </x:c>
      <x:c r="V164" s="28"/>
      <x:c r="W164" s="3" t="str">
        <x:v>広告の申告のみ。事故・水没・SOH・保証残は未確認</x:v>
      </x:c>
      <x:c r="X164" s="3" t="str">
        <x:v>掲載中・在庫未確認</x:v>
      </x:c>
      <x:c r="Y164" s="3" t="str"/>
      <x:c r="Z164" s="27" t="str">
        <x:v>https://www.one2car.com/en/cars-for-sale/byd/sealion-6</x:v>
      </x:c>
      <x:c r="AA164" s="3" t="str">
        <x:v>掲載リンク参照#164／見出し行879（永続IDではない）</x:v>
      </x:c>
      <x:c r="AB164" s="3" t="str">
        <x:v>車台番号未取得／サイト間重複は未判定</x:v>
      </x:c>
      <x:c r="AC164" s="3" t="str">
        <x:v>税込区分未確認</x:v>
      </x:c>
      <x:c r="AD164" s="3" t="str">
        <x:v>WC25_4_2</x:v>
      </x:c>
      <x:c r="AE164" s="29" t="n">
        <x:f>'新車価格・特価'!K30</x:f>
        <x:v>1099900</x:v>
      </x:c>
      <x:c r="AF164" s="30" t="n">
        <x:f>IF(ISNUMBER(AE164),U164/AE164,"")</x:f>
        <x:v>0.6173288480770979</x:v>
      </x:c>
      <x:c r="AG164" s="29" t="n">
        <x:f>'新車価格・特価'!N39</x:f>
        <x:v>899900</x:v>
      </x:c>
      <x:c r="AH164" s="30" t="n">
        <x:f>IF(ISNUMBER(AG164),U164/AG164,"")</x:f>
        <x:v>0.7545282809201023</x:v>
      </x:c>
      <x:c r="AI164" s="3" t="str">
        <x:v>当時公表小売価格の参考残価率。実購入額ではない。年式/登録年・仕様差に注意。</x:v>
      </x:c>
      <x:c r="AJ164" s="3" t="str">
        <x:v>走行/条件情報あり</x:v>
      </x:c>
      <x:c r="AK164" s="3" t="str">
        <x:v>取得した検索結果ページの掲載。サイトの並び順による選択偏りあり。</x:v>
      </x:c>
      <x:c r="AL164" s="31" t="n">
        <x:f>IF(AND(J164&lt;='分析方法'!$B$7,OR(ISBLANK(O164),O164&gt;='分析方法'!$B$8),X164&lt;&gt;"売却済み表示"),1,0)</x:f>
        <x:v>1</x:v>
      </x:c>
      <x:c r="AM164" s="32" t="n">
        <x:f>IF(AL164=1,U164,"")</x:f>
        <x:v>679000</x:v>
      </x:c>
      <x:c r="AN164" s="33" t="n">
        <x:f>IF(AL164=1,AF164,"")</x:f>
        <x:v>0.6173288480770979</x:v>
      </x:c>
      <x:c r="AO164" s="31" t="n">
        <x:f>'分析方法'!$B$6-J164</x:f>
        <x:v>1</x:v>
      </x:c>
      <x:c r="AP164" s="3"/>
    </x:row>
    <x:row r="165" ht="22" customHeight="1">
      <x:c r="A165" s="3" t="str">
        <x:v>O_sealion-6_162</x:v>
      </x:c>
      <x:c r="B165" s="7" t="d">
        <x:v>2026-10-08T00:00:00.000Z</x:v>
      </x:c>
      <x:c r="C165" s="3" t="str">
        <x:v>One2car</x:v>
      </x:c>
      <x:c r="D165" s="3" t="str">
        <x:v>BYD</x:v>
      </x:c>
      <x:c r="E165" s="3" t="str">
        <x:v>中国</x:v>
      </x:c>
      <x:c r="F165" s="3" t="str">
        <x:v>SEALION 6</x:v>
      </x:c>
      <x:c r="G165" s="3" t="str">
        <x:v>PHEV</x:v>
      </x:c>
      <x:c r="H165" s="3" t="str">
        <x:v>SUV</x:v>
      </x:c>
      <x:c r="I165" s="3" t="str"/>
      <x:c r="J165" s="3" t="n">
        <x:v>2025</x:v>
      </x:c>
      <x:c r="K165" s="3" t="str">
        <x:v>DM-i Premium</x:v>
      </x:c>
      <x:c r="L165" s="3" t="str">
        <x:v>PREMIUM</x:v>
      </x:c>
      <x:c r="M165" s="22" t="n">
        <x:v>62157</x:v>
      </x:c>
      <x:c r="N165" s="22" t="n">
        <x:v>62157</x:v>
      </x:c>
      <x:c r="O165" s="22" t="n">
        <x:v>62157</x:v>
      </x:c>
      <x:c r="P165" s="3" t="str">
        <x:v>50–100千km</x:v>
      </x:c>
      <x:c r="Q165" s="3" t="str">
        <x:v>Bangkok</x:v>
      </x:c>
      <x:c r="R165" s="3" t="str">
        <x:v>Bangkok metro</x:v>
      </x:c>
      <x:c r="S165" s="3" t="str">
        <x:v>AT</x:v>
      </x:c>
      <x:c r="T165" s="3" t="str">
        <x:v>世代不明</x:v>
      </x:c>
      <x:c r="U165" s="28" t="n">
        <x:v>679000</x:v>
      </x:c>
      <x:c r="V165" s="28"/>
      <x:c r="W165" s="3" t="str">
        <x:v>広告の申告のみ。事故・水没・SOH・保証残は未確認</x:v>
      </x:c>
      <x:c r="X165" s="3" t="str">
        <x:v>掲載中・在庫未確認</x:v>
      </x:c>
      <x:c r="Y165" s="3" t="str"/>
      <x:c r="Z165" s="27" t="str">
        <x:v>https://www.one2car.com/en/cars-for-sale/byd/sealion-6</x:v>
      </x:c>
      <x:c r="AA165" s="3" t="str">
        <x:v>掲載リンク参照#162／見出し行815（永続IDではない）</x:v>
      </x:c>
      <x:c r="AB165" s="3" t="str">
        <x:v>候補c3fa4d5d：同条件・価格一致、車台番号未確認</x:v>
      </x:c>
      <x:c r="AC165" s="3" t="str">
        <x:v>税込区分未確認</x:v>
      </x:c>
      <x:c r="AD165" s="3" t="str">
        <x:v>WC25_4_2</x:v>
      </x:c>
      <x:c r="AE165" s="29" t="n">
        <x:f>'新車価格・特価'!K30</x:f>
        <x:v>1099900</x:v>
      </x:c>
      <x:c r="AF165" s="30" t="n">
        <x:f>IF(ISNUMBER(AE165),U165/AE165,"")</x:f>
        <x:v>0.6173288480770979</x:v>
      </x:c>
      <x:c r="AG165" s="29" t="n">
        <x:f>'新車価格・特価'!N39</x:f>
        <x:v>899900</x:v>
      </x:c>
      <x:c r="AH165" s="30" t="n">
        <x:f>IF(ISNUMBER(AG165),U165/AG165,"")</x:f>
        <x:v>0.7545282809201023</x:v>
      </x:c>
      <x:c r="AI165" s="3" t="str">
        <x:v>当時公表小売価格の参考残価率。実購入額ではない。年式/登録年・仕様差に注意。</x:v>
      </x:c>
      <x:c r="AJ165" s="3" t="str">
        <x:v>走行/条件情報あり</x:v>
      </x:c>
      <x:c r="AK165" s="3" t="str">
        <x:v>取得した検索結果ページの掲載。サイトの並び順による選択偏りあり。</x:v>
      </x:c>
      <x:c r="AL165" s="31" t="n">
        <x:f>IF(AND(J165&lt;='分析方法'!$B$7,OR(ISBLANK(O165),O165&gt;='分析方法'!$B$8),X165&lt;&gt;"売却済み表示"),1,0)</x:f>
        <x:v>1</x:v>
      </x:c>
      <x:c r="AM165" s="32" t="n">
        <x:f>IF(AL165=1,U165,"")</x:f>
        <x:v>679000</x:v>
      </x:c>
      <x:c r="AN165" s="33" t="n">
        <x:f>IF(AL165=1,AF165,"")</x:f>
        <x:v>0.6173288480770979</x:v>
      </x:c>
      <x:c r="AO165" s="31" t="n">
        <x:f>'分析方法'!$B$6-J165</x:f>
        <x:v>1</x:v>
      </x:c>
      <x:c r="AP165" s="3"/>
    </x:row>
    <x:row r="166" ht="22" customHeight="1">
      <x:c r="A166" s="3" t="str">
        <x:v>O_sealion-6_163</x:v>
      </x:c>
      <x:c r="B166" s="7" t="d">
        <x:v>2026-10-08T00:00:00.000Z</x:v>
      </x:c>
      <x:c r="C166" s="3" t="str">
        <x:v>One2car</x:v>
      </x:c>
      <x:c r="D166" s="3" t="str">
        <x:v>BYD</x:v>
      </x:c>
      <x:c r="E166" s="3" t="str">
        <x:v>中国</x:v>
      </x:c>
      <x:c r="F166" s="3" t="str">
        <x:v>SEALION 6</x:v>
      </x:c>
      <x:c r="G166" s="3" t="str">
        <x:v>PHEV</x:v>
      </x:c>
      <x:c r="H166" s="3" t="str">
        <x:v>SUV</x:v>
      </x:c>
      <x:c r="I166" s="3" t="str"/>
      <x:c r="J166" s="3" t="n">
        <x:v>2025</x:v>
      </x:c>
      <x:c r="K166" s="3" t="str">
        <x:v>DM-i Premium</x:v>
      </x:c>
      <x:c r="L166" s="3" t="str">
        <x:v>PREMIUM</x:v>
      </x:c>
      <x:c r="M166" s="22" t="n">
        <x:v>62157</x:v>
      </x:c>
      <x:c r="N166" s="22" t="n">
        <x:v>62157</x:v>
      </x:c>
      <x:c r="O166" s="22" t="n">
        <x:v>62157</x:v>
      </x:c>
      <x:c r="P166" s="3" t="str">
        <x:v>50–100千km</x:v>
      </x:c>
      <x:c r="Q166" s="3" t="str">
        <x:v>Bangkok</x:v>
      </x:c>
      <x:c r="R166" s="3" t="str">
        <x:v>Bangkok metro</x:v>
      </x:c>
      <x:c r="S166" s="3" t="str">
        <x:v>AT</x:v>
      </x:c>
      <x:c r="T166" s="3" t="str">
        <x:v>世代不明</x:v>
      </x:c>
      <x:c r="U166" s="28" t="n">
        <x:v>679000</x:v>
      </x:c>
      <x:c r="V166" s="28"/>
      <x:c r="W166" s="3" t="str">
        <x:v>広告の申告のみ。事故・水没・SOH・保証残は未確認</x:v>
      </x:c>
      <x:c r="X166" s="3" t="str">
        <x:v>掲載中・在庫未確認</x:v>
      </x:c>
      <x:c r="Y166" s="3" t="str"/>
      <x:c r="Z166" s="27" t="str">
        <x:v>https://www.one2car.com/en/cars-for-sale/byd/sealion-6</x:v>
      </x:c>
      <x:c r="AA166" s="3" t="str">
        <x:v>掲載リンク参照#163／見出し行847（永続IDではない）</x:v>
      </x:c>
      <x:c r="AB166" s="3" t="str">
        <x:v>候補c3fa4d5d：同条件・価格一致、車台番号未確認</x:v>
      </x:c>
      <x:c r="AC166" s="3" t="str">
        <x:v>税込区分未確認</x:v>
      </x:c>
      <x:c r="AD166" s="3" t="str">
        <x:v>WC25_4_2</x:v>
      </x:c>
      <x:c r="AE166" s="29" t="n">
        <x:f>'新車価格・特価'!K30</x:f>
        <x:v>1099900</x:v>
      </x:c>
      <x:c r="AF166" s="30" t="n">
        <x:f>IF(ISNUMBER(AE166),U166/AE166,"")</x:f>
        <x:v>0.6173288480770979</x:v>
      </x:c>
      <x:c r="AG166" s="29" t="n">
        <x:f>'新車価格・特価'!N39</x:f>
        <x:v>899900</x:v>
      </x:c>
      <x:c r="AH166" s="30" t="n">
        <x:f>IF(ISNUMBER(AG166),U166/AG166,"")</x:f>
        <x:v>0.7545282809201023</x:v>
      </x:c>
      <x:c r="AI166" s="3" t="str">
        <x:v>当時公表小売価格の参考残価率。実購入額ではない。年式/登録年・仕様差に注意。</x:v>
      </x:c>
      <x:c r="AJ166" s="3" t="str">
        <x:v>走行/条件情報あり</x:v>
      </x:c>
      <x:c r="AK166" s="3" t="str">
        <x:v>取得した検索結果ページの掲載。サイトの並び順による選択偏りあり。</x:v>
      </x:c>
      <x:c r="AL166" s="31" t="n">
        <x:f>IF(AND(J166&lt;='分析方法'!$B$7,OR(ISBLANK(O166),O166&gt;='分析方法'!$B$8),X166&lt;&gt;"売却済み表示"),1,0)</x:f>
        <x:v>1</x:v>
      </x:c>
      <x:c r="AM166" s="32" t="n">
        <x:f>IF(AL166=1,U166,"")</x:f>
        <x:v>679000</x:v>
      </x:c>
      <x:c r="AN166" s="33" t="n">
        <x:f>IF(AL166=1,AF166,"")</x:f>
        <x:v>0.6173288480770979</x:v>
      </x:c>
      <x:c r="AO166" s="31" t="n">
        <x:f>'分析方法'!$B$6-J166</x:f>
        <x:v>1</x:v>
      </x:c>
      <x:c r="AP166" s="3"/>
    </x:row>
    <x:row r="167" ht="22" customHeight="1">
      <x:c r="A167" s="3" t="str">
        <x:v>O_sealion-6_165</x:v>
      </x:c>
      <x:c r="B167" s="7" t="d">
        <x:v>2026-10-08T00:00:00.000Z</x:v>
      </x:c>
      <x:c r="C167" s="3" t="str">
        <x:v>One2car</x:v>
      </x:c>
      <x:c r="D167" s="3" t="str">
        <x:v>BYD</x:v>
      </x:c>
      <x:c r="E167" s="3" t="str">
        <x:v>中国</x:v>
      </x:c>
      <x:c r="F167" s="3" t="str">
        <x:v>SEALION 6</x:v>
      </x:c>
      <x:c r="G167" s="3" t="str">
        <x:v>PHEV</x:v>
      </x:c>
      <x:c r="H167" s="3" t="str">
        <x:v>SUV</x:v>
      </x:c>
      <x:c r="I167" s="3" t="str"/>
      <x:c r="J167" s="3" t="n">
        <x:v>2026</x:v>
      </x:c>
      <x:c r="K167" s="3" t="str">
        <x:v>DM-i Premium</x:v>
      </x:c>
      <x:c r="L167" s="3" t="str">
        <x:v>PREMIUM</x:v>
      </x:c>
      <x:c r="M167" s="22"/>
      <x:c r="N167" s="22" t="n">
        <x:v>20000</x:v>
      </x:c>
      <x:c r="O167" s="22" t="n">
        <x:v>25000</x:v>
      </x:c>
      <x:c r="P167" s="3" t="str">
        <x:v>20–50千km</x:v>
      </x:c>
      <x:c r="Q167" s="3" t="str">
        <x:v>Bangkok</x:v>
      </x:c>
      <x:c r="R167" s="3" t="str">
        <x:v>Bangkok metro</x:v>
      </x:c>
      <x:c r="S167" s="3" t="str">
        <x:v>AT</x:v>
      </x:c>
      <x:c r="T167" s="3" t="str">
        <x:v>世代不明</x:v>
      </x:c>
      <x:c r="U167" s="28" t="n">
        <x:v>729000</x:v>
      </x:c>
      <x:c r="V167" s="28"/>
      <x:c r="W167" s="3" t="str">
        <x:v>広告の申告のみ。事故・水没・SOH・保証残は未確認</x:v>
      </x:c>
      <x:c r="X167" s="3" t="str">
        <x:v>掲載中・在庫未確認</x:v>
      </x:c>
      <x:c r="Y167" s="3" t="str"/>
      <x:c r="Z167" s="27" t="str">
        <x:v>https://www.one2car.com/en/cars-for-sale/byd/sealion-6</x:v>
      </x:c>
      <x:c r="AA167" s="3" t="str">
        <x:v>掲載リンク参照#165／見出し行911（永続IDではない）</x:v>
      </x:c>
      <x:c r="AB167" s="3" t="str">
        <x:v>車台番号未取得／サイト間重複は未判定</x:v>
      </x:c>
      <x:c r="AC167" s="3" t="str">
        <x:v>税込区分未確認</x:v>
      </x:c>
      <x:c r="AD167" s="3" t="str"/>
      <x:c r="AE167" s="29" t="str">
        <x:f>""</x:f>
      </x:c>
      <x:c r="AF167" s="30" t="str">
        <x:f>IF(ISNUMBER(AE167),U167/AE167,"")</x:f>
      </x:c>
      <x:c r="AG167" s="29" t="n">
        <x:f>'新車価格・特価'!N39</x:f>
        <x:v>899900</x:v>
      </x:c>
      <x:c r="AH167" s="30" t="n">
        <x:f>IF(ISNUMBER(AG167),U167/AG167,"")</x:f>
        <x:v>0.8100900100011112</x:v>
      </x:c>
      <x:c r="AI167" s="3" t="str">
        <x:v>同年式・グレードの検証済み当時価格なし／登録年混在</x:v>
      </x:c>
      <x:c r="AJ167" s="3" t="str">
        <x:v>走行/条件情報あり</x:v>
      </x:c>
      <x:c r="AK167" s="3" t="str">
        <x:v>取得した検索結果ページの掲載。サイトの並び順による選択偏りあり。</x:v>
      </x:c>
      <x:c r="AL167" s="31" t="n">
        <x:f>IF(AND(J167&lt;='分析方法'!$B$7,OR(ISBLANK(O167),O167&gt;='分析方法'!$B$8),X167&lt;&gt;"売却済み表示"),1,0)</x:f>
        <x:v>0</x:v>
      </x:c>
      <x:c r="AM167" s="32" t="str">
        <x:f>IF(AL167=1,U167,"")</x:f>
      </x:c>
      <x:c r="AN167" s="33" t="str">
        <x:f>IF(AL167=1,AF167,"")</x:f>
      </x:c>
      <x:c r="AO167" s="31" t="n">
        <x:f>'分析方法'!$B$6-J167</x:f>
        <x:v>0</x:v>
      </x:c>
      <x:c r="AP167" s="3"/>
    </x:row>
    <x:row r="168" ht="22" customHeight="1">
      <x:c r="A168" s="3" t="str">
        <x:v>T2898630</x:v>
      </x:c>
      <x:c r="B168" s="7" t="d">
        <x:v>2026-10-08T00:00:00.000Z</x:v>
      </x:c>
      <x:c r="C168" s="3" t="str">
        <x:v>Taladrod</x:v>
      </x:c>
      <x:c r="D168" s="3" t="str">
        <x:v>BYD</x:v>
      </x:c>
      <x:c r="E168" s="3" t="str">
        <x:v>中国</x:v>
      </x:c>
      <x:c r="F168" s="3" t="str">
        <x:v>ATTO 3</x:v>
      </x:c>
      <x:c r="G168" s="3" t="str">
        <x:v>BEV</x:v>
      </x:c>
      <x:c r="H168" s="3" t="str">
        <x:v>SUV</x:v>
      </x:c>
      <x:c r="I168" s="3" t="str"/>
      <x:c r="J168" s="3" t="n">
        <x:v>2022</x:v>
      </x:c>
      <x:c r="K168" s="3" t="str">
        <x:v>EXTENDED</x:v>
      </x:c>
      <x:c r="L168" s="3" t="str">
        <x:v>EXTENDED</x:v>
      </x:c>
      <x:c r="M168" s="22" t="n">
        <x:v>76433</x:v>
      </x:c>
      <x:c r="N168" s="22" t="n">
        <x:v>76433</x:v>
      </x:c>
      <x:c r="O168" s="22" t="n">
        <x:v>76433</x:v>
      </x:c>
      <x:c r="P168" s="3" t="str">
        <x:v>50–100千km</x:v>
      </x:c>
      <x:c r="Q168" s="3" t="str">
        <x:v>นครปฐม</x:v>
      </x:c>
      <x:c r="R168" s="3" t="str">
        <x:v>Bangkok metro</x:v>
      </x:c>
      <x:c r="S168" s="3" t="str">
        <x:v>AT</x:v>
      </x:c>
      <x:c r="T168" s="3" t="str">
        <x:v>22-ปัจจุบัน</x:v>
      </x:c>
      <x:c r="U168" s="28" t="n">
        <x:v>445000</x:v>
      </x:c>
      <x:c r="V168" s="28" t="n">
        <x:v>1049900</x:v>
      </x:c>
      <x:c r="W168" s="3" t="str">
        <x:v>事故・水没・電池SOH・保証残：未確認</x:v>
      </x:c>
      <x:c r="X168" s="3" t="str">
        <x:v>掲載中・在庫未確認</x:v>
      </x:c>
      <x:c r="Y168" s="3" t="str">
        <x:v>1 วัน</x:v>
      </x:c>
      <x:c r="Z168" s="27" t="str">
        <x:v>https://www.taladrod.com/w40/icar/cardet.aspx?cid=2898630</x:v>
      </x:c>
      <x:c r="AA168" s="3" t="str">
        <x:v>Taladrod個別広告ID／Carsome在庫ID</x:v>
      </x:c>
      <x:c r="AB168" s="3" t="str">
        <x:v>車台番号未取得／サイト間重複は未判定</x:v>
      </x:c>
      <x:c r="AC168" s="3" t="str">
        <x:v>税込区分未確認</x:v>
      </x:c>
      <x:c r="AD168" s="3" t="str"/>
      <x:c r="AE168" s="29" t="str">
        <x:f>""</x:f>
      </x:c>
      <x:c r="AF168" s="30" t="str">
        <x:f>IF(ISNUMBER(AE168),U168/AE168,"")</x:f>
      </x:c>
      <x:c r="AG168" s="29" t="n">
        <x:f>'新車価格・特価'!N35</x:f>
        <x:v>769900</x:v>
      </x:c>
      <x:c r="AH168" s="30" t="n">
        <x:f>IF(ISNUMBER(AG168),U168/AG168,"")</x:f>
        <x:v>0.5779971424860372</x:v>
      </x:c>
      <x:c r="AI168" s="3" t="str">
        <x:v>同年式・グレードの検証済み当時価格なし／登録年混在</x:v>
      </x:c>
      <x:c r="AJ168" s="3" t="str">
        <x:v>走行/条件情報あり</x:v>
      </x:c>
      <x:c r="AK168" s="3" t="str">
        <x:v>一覧の表示価格。年式は掲載年式。</x:v>
      </x:c>
      <x:c r="AL168" s="31" t="n">
        <x:f>IF(AND(J168&lt;='分析方法'!$B$7,OR(ISBLANK(O168),O168&gt;='分析方法'!$B$8),X168&lt;&gt;"売却済み表示"),1,0)</x:f>
        <x:v>1</x:v>
      </x:c>
      <x:c r="AM168" s="32" t="n">
        <x:f>IF(AL168=1,U168,"")</x:f>
        <x:v>445000</x:v>
      </x:c>
      <x:c r="AN168" s="33" t="str">
        <x:f>IF(AL168=1,AF168,"")</x:f>
      </x:c>
      <x:c r="AO168" s="31" t="n">
        <x:f>'分析方法'!$B$6-J168</x:f>
        <x:v>4</x:v>
      </x:c>
      <x:c r="AP168" s="3"/>
    </x:row>
    <x:row r="169" ht="22" customHeight="1">
      <x:c r="A169" s="3" t="str">
        <x:v>T2907598</x:v>
      </x:c>
      <x:c r="B169" s="7" t="d">
        <x:v>2026-10-08T00:00:00.000Z</x:v>
      </x:c>
      <x:c r="C169" s="3" t="str">
        <x:v>Taladrod</x:v>
      </x:c>
      <x:c r="D169" s="3" t="str">
        <x:v>BYD</x:v>
      </x:c>
      <x:c r="E169" s="3" t="str">
        <x:v>中国</x:v>
      </x:c>
      <x:c r="F169" s="3" t="str">
        <x:v>ATTO 3</x:v>
      </x:c>
      <x:c r="G169" s="3" t="str">
        <x:v>BEV</x:v>
      </x:c>
      <x:c r="H169" s="3" t="str">
        <x:v>SUV</x:v>
      </x:c>
      <x:c r="I169" s="3" t="str"/>
      <x:c r="J169" s="3" t="n">
        <x:v>2022</x:v>
      </x:c>
      <x:c r="K169" s="3" t="str">
        <x:v>EXTENDED RANGE</x:v>
      </x:c>
      <x:c r="L169" s="3" t="str">
        <x:v>EXTENDED RANGE</x:v>
      </x:c>
      <x:c r="M169" s="22" t="n">
        <x:v>109000</x:v>
      </x:c>
      <x:c r="N169" s="22" t="n">
        <x:v>109000</x:v>
      </x:c>
      <x:c r="O169" s="22" t="n">
        <x:v>109000</x:v>
      </x:c>
      <x:c r="P169" s="3" t="str">
        <x:v>100–150千km</x:v>
      </x:c>
      <x:c r="Q169" s="3" t="str">
        <x:v>กรุงเทพฯ</x:v>
      </x:c>
      <x:c r="R169" s="3" t="str">
        <x:v>Bangkok metro</x:v>
      </x:c>
      <x:c r="S169" s="3" t="str">
        <x:v>AT</x:v>
      </x:c>
      <x:c r="T169" s="3" t="str">
        <x:v>22-ปัจจุบัน</x:v>
      </x:c>
      <x:c r="U169" s="28" t="n">
        <x:v>395000</x:v>
      </x:c>
      <x:c r="V169" s="28" t="n">
        <x:v>1199900</x:v>
      </x:c>
      <x:c r="W169" s="3" t="str">
        <x:v>事故・水没・電池SOH・保証残：未確認</x:v>
      </x:c>
      <x:c r="X169" s="3" t="str">
        <x:v>掲載中・在庫未確認</x:v>
      </x:c>
      <x:c r="Y169" s="3" t="str"/>
      <x:c r="Z169" s="27" t="str">
        <x:v>https://www.taladrod.com/w40/icar/cardet.aspx?cid=2907598</x:v>
      </x:c>
      <x:c r="AA169" s="3" t="str">
        <x:v>Taladrod個別広告ID／Carsome在庫ID</x:v>
      </x:c>
      <x:c r="AB169" s="3" t="str">
        <x:v>車台番号未取得／サイト間重複は未判定</x:v>
      </x:c>
      <x:c r="AC169" s="3" t="str">
        <x:v>税込区分未確認</x:v>
      </x:c>
      <x:c r="AD169" s="3" t="str">
        <x:v>ATTO22_EXTENDED RANGE</x:v>
      </x:c>
      <x:c r="AE169" s="29" t="n">
        <x:f>'新車価格・特価'!K8</x:f>
        <x:v>1199900</x:v>
      </x:c>
      <x:c r="AF169" s="30" t="n">
        <x:f>IF(ISNUMBER(AE169),U169/AE169,"")</x:f>
        <x:v>0.32919409950829237</x:v>
      </x:c>
      <x:c r="AG169" s="29" t="n">
        <x:f>'新車価格・特価'!N35</x:f>
        <x:v>769900</x:v>
      </x:c>
      <x:c r="AH169" s="30" t="n">
        <x:f>IF(ISNUMBER(AG169),U169/AG169,"")</x:f>
        <x:v>0.5130536433303027</x:v>
      </x:c>
      <x:c r="AI169" s="3" t="str">
        <x:v>当時公表小売価格の参考残価率。実購入額ではない。年式/登録年・仕様差に注意。</x:v>
      </x:c>
      <x:c r="AJ169" s="3" t="str">
        <x:v>走行/条件情報あり</x:v>
      </x:c>
      <x:c r="AK169" s="3" t="str">
        <x:v>一覧の表示価格。年式は掲載年式。</x:v>
      </x:c>
      <x:c r="AL169" s="31" t="n">
        <x:f>IF(AND(J169&lt;='分析方法'!$B$7,OR(ISBLANK(O169),O169&gt;='分析方法'!$B$8),X169&lt;&gt;"売却済み表示"),1,0)</x:f>
        <x:v>1</x:v>
      </x:c>
      <x:c r="AM169" s="32" t="n">
        <x:f>IF(AL169=1,U169,"")</x:f>
        <x:v>395000</x:v>
      </x:c>
      <x:c r="AN169" s="33" t="n">
        <x:f>IF(AL169=1,AF169,"")</x:f>
        <x:v>0.32919409950829237</x:v>
      </x:c>
      <x:c r="AO169" s="31" t="n">
        <x:f>'分析方法'!$B$6-J169</x:f>
        <x:v>4</x:v>
      </x:c>
      <x:c r="AP169" s="3"/>
    </x:row>
    <x:row r="170" ht="22" customHeight="1">
      <x:c r="A170" s="3" t="str">
        <x:v>T2910691</x:v>
      </x:c>
      <x:c r="B170" s="7" t="d">
        <x:v>2026-10-08T00:00:00.000Z</x:v>
      </x:c>
      <x:c r="C170" s="3" t="str">
        <x:v>Taladrod</x:v>
      </x:c>
      <x:c r="D170" s="3" t="str">
        <x:v>BYD</x:v>
      </x:c>
      <x:c r="E170" s="3" t="str">
        <x:v>中国</x:v>
      </x:c>
      <x:c r="F170" s="3" t="str">
        <x:v>ATTO 3</x:v>
      </x:c>
      <x:c r="G170" s="3" t="str">
        <x:v>BEV</x:v>
      </x:c>
      <x:c r="H170" s="3" t="str">
        <x:v>SUV</x:v>
      </x:c>
      <x:c r="I170" s="3" t="str"/>
      <x:c r="J170" s="3" t="n">
        <x:v>2022</x:v>
      </x:c>
      <x:c r="K170" s="3" t="str">
        <x:v>EXTENDED RANGE</x:v>
      </x:c>
      <x:c r="L170" s="3" t="str">
        <x:v>EXTENDED RANGE</x:v>
      </x:c>
      <x:c r="M170" s="22" t="n">
        <x:v>156789</x:v>
      </x:c>
      <x:c r="N170" s="22" t="n">
        <x:v>156789</x:v>
      </x:c>
      <x:c r="O170" s="22" t="n">
        <x:v>156789</x:v>
      </x:c>
      <x:c r="P170" s="3" t="str">
        <x:v>150千km以上</x:v>
      </x:c>
      <x:c r="Q170" s="3" t="str">
        <x:v>กรุงเทพฯ</x:v>
      </x:c>
      <x:c r="R170" s="3" t="str">
        <x:v>Bangkok metro</x:v>
      </x:c>
      <x:c r="S170" s="3" t="str">
        <x:v>AT</x:v>
      </x:c>
      <x:c r="T170" s="3" t="str">
        <x:v>22-ปัจจุบัน</x:v>
      </x:c>
      <x:c r="U170" s="28" t="n">
        <x:v>320000</x:v>
      </x:c>
      <x:c r="V170" s="28" t="n">
        <x:v>1199900</x:v>
      </x:c>
      <x:c r="W170" s="3" t="str">
        <x:v>事故・水没・電池SOH・保証残：未確認</x:v>
      </x:c>
      <x:c r="X170" s="3" t="str">
        <x:v>掲載中・在庫未確認</x:v>
      </x:c>
      <x:c r="Y170" s="3" t="str"/>
      <x:c r="Z170" s="27" t="str">
        <x:v>https://www.taladrod.com/w40/icar/cardet.aspx?cid=2910691</x:v>
      </x:c>
      <x:c r="AA170" s="3" t="str">
        <x:v>Taladrod個別広告ID／Carsome在庫ID</x:v>
      </x:c>
      <x:c r="AB170" s="3" t="str">
        <x:v>車台番号未取得／サイト間重複は未判定</x:v>
      </x:c>
      <x:c r="AC170" s="3" t="str">
        <x:v>税込区分未確認</x:v>
      </x:c>
      <x:c r="AD170" s="3" t="str">
        <x:v>ATTO22_EXTENDED RANGE</x:v>
      </x:c>
      <x:c r="AE170" s="29" t="n">
        <x:f>'新車価格・特価'!K8</x:f>
        <x:v>1199900</x:v>
      </x:c>
      <x:c r="AF170" s="30" t="n">
        <x:f>IF(ISNUMBER(AE170),U170/AE170,"")</x:f>
        <x:v>0.2666888907408951</x:v>
      </x:c>
      <x:c r="AG170" s="29" t="n">
        <x:f>'新車価格・特価'!N35</x:f>
        <x:v>769900</x:v>
      </x:c>
      <x:c r="AH170" s="30" t="n">
        <x:f>IF(ISNUMBER(AG170),U170/AG170,"")</x:f>
        <x:v>0.4156383945967009</x:v>
      </x:c>
      <x:c r="AI170" s="3" t="str">
        <x:v>当時公表小売価格の参考残価率。実購入額ではない。年式/登録年・仕様差に注意。</x:v>
      </x:c>
      <x:c r="AJ170" s="3" t="str">
        <x:v>走行/条件情報あり</x:v>
      </x:c>
      <x:c r="AK170" s="3" t="str">
        <x:v>一覧の表示価格。年式は掲載年式。</x:v>
      </x:c>
      <x:c r="AL170" s="31" t="n">
        <x:f>IF(AND(J170&lt;='分析方法'!$B$7,OR(ISBLANK(O170),O170&gt;='分析方法'!$B$8),X170&lt;&gt;"売却済み表示"),1,0)</x:f>
        <x:v>1</x:v>
      </x:c>
      <x:c r="AM170" s="32" t="n">
        <x:f>IF(AL170=1,U170,"")</x:f>
        <x:v>320000</x:v>
      </x:c>
      <x:c r="AN170" s="33" t="n">
        <x:f>IF(AL170=1,AF170,"")</x:f>
        <x:v>0.2666888907408951</x:v>
      </x:c>
      <x:c r="AO170" s="31" t="n">
        <x:f>'分析方法'!$B$6-J170</x:f>
        <x:v>4</x:v>
      </x:c>
      <x:c r="AP170" s="3"/>
    </x:row>
    <x:row r="171" ht="22" customHeight="1">
      <x:c r="A171" s="3" t="str">
        <x:v>T2925150</x:v>
      </x:c>
      <x:c r="B171" s="7" t="d">
        <x:v>2026-10-08T00:00:00.000Z</x:v>
      </x:c>
      <x:c r="C171" s="3" t="str">
        <x:v>Taladrod</x:v>
      </x:c>
      <x:c r="D171" s="3" t="str">
        <x:v>BYD</x:v>
      </x:c>
      <x:c r="E171" s="3" t="str">
        <x:v>中国</x:v>
      </x:c>
      <x:c r="F171" s="3" t="str">
        <x:v>ATTO 3</x:v>
      </x:c>
      <x:c r="G171" s="3" t="str">
        <x:v>BEV</x:v>
      </x:c>
      <x:c r="H171" s="3" t="str">
        <x:v>SUV</x:v>
      </x:c>
      <x:c r="I171" s="3" t="str"/>
      <x:c r="J171" s="3" t="n">
        <x:v>2022</x:v>
      </x:c>
      <x:c r="K171" s="3" t="str">
        <x:v>EXTENDED RANGE</x:v>
      </x:c>
      <x:c r="L171" s="3" t="str">
        <x:v>EXTENDED RANGE</x:v>
      </x:c>
      <x:c r="M171" s="22" t="n">
        <x:v>40000</x:v>
      </x:c>
      <x:c r="N171" s="22" t="n">
        <x:v>40000</x:v>
      </x:c>
      <x:c r="O171" s="22" t="n">
        <x:v>40000</x:v>
      </x:c>
      <x:c r="P171" s="3" t="str">
        <x:v>20–50千km</x:v>
      </x:c>
      <x:c r="Q171" s="3" t="str">
        <x:v>未取得</x:v>
      </x:c>
      <x:c r="R171" s="3" t="str">
        <x:v>Unknown</x:v>
      </x:c>
      <x:c r="S171" s="3" t="str">
        <x:v>AT</x:v>
      </x:c>
      <x:c r="T171" s="3" t="str">
        <x:v>22-ปัจจุบัน</x:v>
      </x:c>
      <x:c r="U171" s="28" t="n">
        <x:v>499000</x:v>
      </x:c>
      <x:c r="V171" s="28" t="n">
        <x:v>1199900</x:v>
      </x:c>
      <x:c r="W171" s="3" t="str">
        <x:v>出品者の無重大事故・無水没申告あり／未検証</x:v>
      </x:c>
      <x:c r="X171" s="3" t="str">
        <x:v>掲載中・在庫未確認</x:v>
      </x:c>
      <x:c r="Y171" s="3" t="str">
        <x:v>12 ชม.</x:v>
      </x:c>
      <x:c r="Z171" s="27" t="str">
        <x:v>https://www.taladrod.com/w40/icar/cardet.aspx?cid=2925150</x:v>
      </x:c>
      <x:c r="AA171" s="3" t="str">
        <x:v>Taladrod個別広告ID／Carsome在庫ID</x:v>
      </x:c>
      <x:c r="AB171" s="3" t="str">
        <x:v>車台番号未取得／サイト間重複は未判定</x:v>
      </x:c>
      <x:c r="AC171" s="3" t="str">
        <x:v>税込区分未確認</x:v>
      </x:c>
      <x:c r="AD171" s="3" t="str">
        <x:v>ATTO22_EXTENDED RANGE</x:v>
      </x:c>
      <x:c r="AE171" s="29" t="n">
        <x:f>'新車価格・特価'!K8</x:f>
        <x:v>1199900</x:v>
      </x:c>
      <x:c r="AF171" s="30" t="n">
        <x:f>IF(ISNUMBER(AE171),U171/AE171,"")</x:f>
        <x:v>0.4158679889990833</x:v>
      </x:c>
      <x:c r="AG171" s="29" t="n">
        <x:f>'新車価格・特価'!N35</x:f>
        <x:v>769900</x:v>
      </x:c>
      <x:c r="AH171" s="30" t="n">
        <x:f>IF(ISNUMBER(AG171),U171/AG171,"")</x:f>
        <x:v>0.6481361215742304</x:v>
      </x:c>
      <x:c r="AI171" s="3" t="str">
        <x:v>当時公表小売価格の参考残価率。実購入額ではない。年式/登録年・仕様差に注意。</x:v>
      </x:c>
      <x:c r="AJ171" s="3" t="str">
        <x:v>走行/条件情報あり</x:v>
      </x:c>
      <x:c r="AK171" s="3" t="str">
        <x:v>一覧の表示価格。年式は掲載年式。</x:v>
      </x:c>
      <x:c r="AL171" s="31" t="n">
        <x:f>IF(AND(J171&lt;='分析方法'!$B$7,OR(ISBLANK(O171),O171&gt;='分析方法'!$B$8),X171&lt;&gt;"売却済み表示"),1,0)</x:f>
        <x:v>1</x:v>
      </x:c>
      <x:c r="AM171" s="32" t="n">
        <x:f>IF(AL171=1,U171,"")</x:f>
        <x:v>499000</x:v>
      </x:c>
      <x:c r="AN171" s="33" t="n">
        <x:f>IF(AL171=1,AF171,"")</x:f>
        <x:v>0.4158679889990833</x:v>
      </x:c>
      <x:c r="AO171" s="31" t="n">
        <x:f>'分析方法'!$B$6-J171</x:f>
        <x:v>4</x:v>
      </x:c>
      <x:c r="AP171" s="3"/>
    </x:row>
    <x:row r="172" ht="22" customHeight="1">
      <x:c r="A172" s="3" t="str">
        <x:v>T2924944</x:v>
      </x:c>
      <x:c r="B172" s="7" t="d">
        <x:v>2026-10-08T00:00:00.000Z</x:v>
      </x:c>
      <x:c r="C172" s="3" t="str">
        <x:v>Taladrod</x:v>
      </x:c>
      <x:c r="D172" s="3" t="str">
        <x:v>BYD</x:v>
      </x:c>
      <x:c r="E172" s="3" t="str">
        <x:v>中国</x:v>
      </x:c>
      <x:c r="F172" s="3" t="str">
        <x:v>ATTO 3</x:v>
      </x:c>
      <x:c r="G172" s="3" t="str">
        <x:v>BEV</x:v>
      </x:c>
      <x:c r="H172" s="3" t="str">
        <x:v>SUV</x:v>
      </x:c>
      <x:c r="I172" s="3" t="str"/>
      <x:c r="J172" s="3" t="n">
        <x:v>2022</x:v>
      </x:c>
      <x:c r="K172" s="3" t="str">
        <x:v>STANDARD RANGE</x:v>
      </x:c>
      <x:c r="L172" s="3" t="str">
        <x:v>STANDARD RANGE</x:v>
      </x:c>
      <x:c r="M172" s="22" t="n">
        <x:v>109275</x:v>
      </x:c>
      <x:c r="N172" s="22" t="n">
        <x:v>109275</x:v>
      </x:c>
      <x:c r="O172" s="22" t="n">
        <x:v>109275</x:v>
      </x:c>
      <x:c r="P172" s="3" t="str">
        <x:v>100–150千km</x:v>
      </x:c>
      <x:c r="Q172" s="3" t="str">
        <x:v>ระยอง</x:v>
      </x:c>
      <x:c r="R172" s="3" t="str">
        <x:v>Other province</x:v>
      </x:c>
      <x:c r="S172" s="3" t="str">
        <x:v>AT</x:v>
      </x:c>
      <x:c r="T172" s="3" t="str">
        <x:v>22-ปัจจุบัน</x:v>
      </x:c>
      <x:c r="U172" s="28" t="n">
        <x:v>625000</x:v>
      </x:c>
      <x:c r="V172" s="28" t="n">
        <x:v>1099000</x:v>
      </x:c>
      <x:c r="W172" s="3" t="str">
        <x:v>事故・水没・電池SOH・保証残：未確認</x:v>
      </x:c>
      <x:c r="X172" s="3" t="str">
        <x:v>掲載中・在庫未確認</x:v>
      </x:c>
      <x:c r="Y172" s="3" t="str"/>
      <x:c r="Z172" s="27" t="str">
        <x:v>https://www.taladrod.com/w40/icar/cardet.aspx?cid=2924944</x:v>
      </x:c>
      <x:c r="AA172" s="3" t="str">
        <x:v>Taladrod個別広告ID／Carsome在庫ID</x:v>
      </x:c>
      <x:c r="AB172" s="3" t="str">
        <x:v>車台番号未取得／サイト間重複は未判定</x:v>
      </x:c>
      <x:c r="AC172" s="3" t="str">
        <x:v>税込区分未確認</x:v>
      </x:c>
      <x:c r="AD172" s="3" t="str">
        <x:v>ATTO22_STANDARD RANGE</x:v>
      </x:c>
      <x:c r="AE172" s="29" t="n">
        <x:f>'新車価格・特価'!K7</x:f>
        <x:v>1099900</x:v>
      </x:c>
      <x:c r="AF172" s="30" t="n">
        <x:f>IF(ISNUMBER(AE172),U172/AE172,"")</x:f>
        <x:v>0.5682334757705246</x:v>
      </x:c>
      <x:c r="AG172" s="29" t="n">
        <x:f>'新車価格・特価'!N34</x:f>
        <x:v>669900</x:v>
      </x:c>
      <x:c r="AH172" s="30" t="n">
        <x:f>IF(ISNUMBER(AG172),U172/AG172,"")</x:f>
        <x:v>0.9329750709061054</x:v>
      </x:c>
      <x:c r="AI172" s="3" t="str">
        <x:v>当時公表小売価格の参考残価率。実購入額ではない。年式/登録年・仕様差に注意。</x:v>
      </x:c>
      <x:c r="AJ172" s="3" t="str">
        <x:v>走行/条件情報あり</x:v>
      </x:c>
      <x:c r="AK172" s="3" t="str">
        <x:v>一覧の表示価格。年式は掲載年式。</x:v>
      </x:c>
      <x:c r="AL172" s="31" t="n">
        <x:f>IF(AND(J172&lt;='分析方法'!$B$7,OR(ISBLANK(O172),O172&gt;='分析方法'!$B$8),X172&lt;&gt;"売却済み表示"),1,0)</x:f>
        <x:v>1</x:v>
      </x:c>
      <x:c r="AM172" s="32" t="n">
        <x:f>IF(AL172=1,U172,"")</x:f>
        <x:v>625000</x:v>
      </x:c>
      <x:c r="AN172" s="33" t="n">
        <x:f>IF(AL172=1,AF172,"")</x:f>
        <x:v>0.5682334757705246</x:v>
      </x:c>
      <x:c r="AO172" s="31" t="n">
        <x:f>'分析方法'!$B$6-J172</x:f>
        <x:v>4</x:v>
      </x:c>
      <x:c r="AP172" s="3"/>
    </x:row>
    <x:row r="173" ht="22" customHeight="1">
      <x:c r="A173" s="3" t="str">
        <x:v>T2926232</x:v>
      </x:c>
      <x:c r="B173" s="7" t="d">
        <x:v>2026-10-08T00:00:00.000Z</x:v>
      </x:c>
      <x:c r="C173" s="3" t="str">
        <x:v>Taladrod</x:v>
      </x:c>
      <x:c r="D173" s="3" t="str">
        <x:v>BYD</x:v>
      </x:c>
      <x:c r="E173" s="3" t="str">
        <x:v>中国</x:v>
      </x:c>
      <x:c r="F173" s="3" t="str">
        <x:v>ATTO 3</x:v>
      </x:c>
      <x:c r="G173" s="3" t="str">
        <x:v>BEV</x:v>
      </x:c>
      <x:c r="H173" s="3" t="str">
        <x:v>SUV</x:v>
      </x:c>
      <x:c r="I173" s="3" t="str"/>
      <x:c r="J173" s="3" t="n">
        <x:v>2022</x:v>
      </x:c>
      <x:c r="K173" s="3" t="str">
        <x:v>STANDARD RANGE</x:v>
      </x:c>
      <x:c r="L173" s="3" t="str">
        <x:v>STANDARD RANGE</x:v>
      </x:c>
      <x:c r="M173" s="22" t="n">
        <x:v>174348</x:v>
      </x:c>
      <x:c r="N173" s="22" t="n">
        <x:v>174348</x:v>
      </x:c>
      <x:c r="O173" s="22" t="n">
        <x:v>174348</x:v>
      </x:c>
      <x:c r="P173" s="3" t="str">
        <x:v>150千km以上</x:v>
      </x:c>
      <x:c r="Q173" s="3" t="str">
        <x:v>กรุงเทพฯ</x:v>
      </x:c>
      <x:c r="R173" s="3" t="str">
        <x:v>Bangkok metro</x:v>
      </x:c>
      <x:c r="S173" s="3" t="str">
        <x:v>AT</x:v>
      </x:c>
      <x:c r="T173" s="3" t="str">
        <x:v>22-ปัจจุบัน</x:v>
      </x:c>
      <x:c r="U173" s="28" t="n">
        <x:v>420000</x:v>
      </x:c>
      <x:c r="V173" s="28" t="n">
        <x:v>1099000</x:v>
      </x:c>
      <x:c r="W173" s="3" t="str">
        <x:v>事故・水没・電池SOH・保証残：未確認</x:v>
      </x:c>
      <x:c r="X173" s="3" t="str">
        <x:v>掲載中・在庫未確認</x:v>
      </x:c>
      <x:c r="Y173" s="3" t="str">
        <x:v>2 วัน</x:v>
      </x:c>
      <x:c r="Z173" s="27" t="str">
        <x:v>https://www.taladrod.com/w40/icar/cardet.aspx?cid=2926232</x:v>
      </x:c>
      <x:c r="AA173" s="3" t="str">
        <x:v>Taladrod個別広告ID／Carsome在庫ID</x:v>
      </x:c>
      <x:c r="AB173" s="3" t="str">
        <x:v>車台番号未取得／サイト間重複は未判定</x:v>
      </x:c>
      <x:c r="AC173" s="3" t="str">
        <x:v>税込区分未確認</x:v>
      </x:c>
      <x:c r="AD173" s="3" t="str">
        <x:v>ATTO22_STANDARD RANGE</x:v>
      </x:c>
      <x:c r="AE173" s="29" t="n">
        <x:f>'新車価格・特価'!K7</x:f>
        <x:v>1099900</x:v>
      </x:c>
      <x:c r="AF173" s="30" t="n">
        <x:f>IF(ISNUMBER(AE173),U173/AE173,"")</x:f>
        <x:v>0.3818528957177925</x:v>
      </x:c>
      <x:c r="AG173" s="29" t="n">
        <x:f>'新車価格・特価'!N34</x:f>
        <x:v>669900</x:v>
      </x:c>
      <x:c r="AH173" s="30" t="n">
        <x:f>IF(ISNUMBER(AG173),U173/AG173,"")</x:f>
        <x:v>0.6269592476489029</x:v>
      </x:c>
      <x:c r="AI173" s="3" t="str">
        <x:v>当時公表小売価格の参考残価率。実購入額ではない。年式/登録年・仕様差に注意。</x:v>
      </x:c>
      <x:c r="AJ173" s="3" t="str">
        <x:v>走行/条件情報あり</x:v>
      </x:c>
      <x:c r="AK173" s="3" t="str">
        <x:v>一覧の表示価格。年式は掲載年式。</x:v>
      </x:c>
      <x:c r="AL173" s="31" t="n">
        <x:f>IF(AND(J173&lt;='分析方法'!$B$7,OR(ISBLANK(O173),O173&gt;='分析方法'!$B$8),X173&lt;&gt;"売却済み表示"),1,0)</x:f>
        <x:v>1</x:v>
      </x:c>
      <x:c r="AM173" s="32" t="n">
        <x:f>IF(AL173=1,U173,"")</x:f>
        <x:v>420000</x:v>
      </x:c>
      <x:c r="AN173" s="33" t="n">
        <x:f>IF(AL173=1,AF173,"")</x:f>
        <x:v>0.3818528957177925</x:v>
      </x:c>
      <x:c r="AO173" s="31" t="n">
        <x:f>'分析方法'!$B$6-J173</x:f>
        <x:v>4</x:v>
      </x:c>
      <x:c r="AP173" s="3"/>
    </x:row>
    <x:row r="174" ht="22" customHeight="1">
      <x:c r="A174" s="3" t="str">
        <x:v>T2922288</x:v>
      </x:c>
      <x:c r="B174" s="7" t="d">
        <x:v>2026-10-08T00:00:00.000Z</x:v>
      </x:c>
      <x:c r="C174" s="3" t="str">
        <x:v>Taladrod</x:v>
      </x:c>
      <x:c r="D174" s="3" t="str">
        <x:v>BYD</x:v>
      </x:c>
      <x:c r="E174" s="3" t="str">
        <x:v>中国</x:v>
      </x:c>
      <x:c r="F174" s="3" t="str">
        <x:v>ATTO 3</x:v>
      </x:c>
      <x:c r="G174" s="3" t="str">
        <x:v>BEV</x:v>
      </x:c>
      <x:c r="H174" s="3" t="str">
        <x:v>SUV</x:v>
      </x:c>
      <x:c r="I174" s="3" t="str"/>
      <x:c r="J174" s="3" t="n">
        <x:v>2023</x:v>
      </x:c>
      <x:c r="K174" s="3" t="str">
        <x:v>EXTENDED RANGE</x:v>
      </x:c>
      <x:c r="L174" s="3" t="str">
        <x:v>EXTENDED RANGE</x:v>
      </x:c>
      <x:c r="M174" s="22" t="n">
        <x:v>50350</x:v>
      </x:c>
      <x:c r="N174" s="22" t="n">
        <x:v>50350</x:v>
      </x:c>
      <x:c r="O174" s="22" t="n">
        <x:v>50350</x:v>
      </x:c>
      <x:c r="P174" s="3" t="str">
        <x:v>50–100千km</x:v>
      </x:c>
      <x:c r="Q174" s="3" t="str">
        <x:v>กรุงเทพฯ</x:v>
      </x:c>
      <x:c r="R174" s="3" t="str">
        <x:v>Bangkok metro</x:v>
      </x:c>
      <x:c r="S174" s="3" t="str">
        <x:v>AT</x:v>
      </x:c>
      <x:c r="T174" s="3" t="str">
        <x:v>22-ปัจจุบัน</x:v>
      </x:c>
      <x:c r="U174" s="28" t="n">
        <x:v>479000</x:v>
      </x:c>
      <x:c r="V174" s="28" t="n">
        <x:v>1199900</x:v>
      </x:c>
      <x:c r="W174" s="3" t="str">
        <x:v>事故・水没・電池SOH・保証残：未確認</x:v>
      </x:c>
      <x:c r="X174" s="3" t="str">
        <x:v>掲載中・在庫未確認</x:v>
      </x:c>
      <x:c r="Y174" s="3" t="str"/>
      <x:c r="Z174" s="27" t="str">
        <x:v>https://www.taladrod.com/w40/icar/cardet.aspx?cid=2922288</x:v>
      </x:c>
      <x:c r="AA174" s="3" t="str">
        <x:v>Taladrod個別広告ID／Carsome在庫ID</x:v>
      </x:c>
      <x:c r="AB174" s="3" t="str">
        <x:v>車台番号未取得／サイト間重複は未判定</x:v>
      </x:c>
      <x:c r="AC174" s="3" t="str">
        <x:v>ローン試算にVAT 7%除外の注記／車両価格の税込区分未確認</x:v>
      </x:c>
      <x:c r="AD174" s="3" t="str">
        <x:v>ATTO22_EXTENDED RANGE</x:v>
      </x:c>
      <x:c r="AE174" s="29" t="n">
        <x:f>'新車価格・特価'!K8</x:f>
        <x:v>1199900</x:v>
      </x:c>
      <x:c r="AF174" s="30" t="n">
        <x:f>IF(ISNUMBER(AE174),U174/AE174,"")</x:f>
        <x:v>0.3991999333277773</x:v>
      </x:c>
      <x:c r="AG174" s="29" t="n">
        <x:f>'新車価格・特価'!N35</x:f>
        <x:v>769900</x:v>
      </x:c>
      <x:c r="AH174" s="30" t="n">
        <x:f>IF(ISNUMBER(AG174),U174/AG174,"")</x:f>
        <x:v>0.6221587219119367</x:v>
      </x:c>
      <x:c r="AI174" s="3" t="str">
        <x:v>当時公表小売価格の参考残価率。実購入額ではない。年式/登録年・仕様差に注意。</x:v>
      </x:c>
      <x:c r="AJ174" s="3" t="str">
        <x:v>走行/条件情報あり</x:v>
      </x:c>
      <x:c r="AK174" s="3" t="str">
        <x:v>一覧の表示価格。年式は掲載年式。</x:v>
      </x:c>
      <x:c r="AL174" s="31" t="n">
        <x:f>IF(AND(J174&lt;='分析方法'!$B$7,OR(ISBLANK(O174),O174&gt;='分析方法'!$B$8),X174&lt;&gt;"売却済み表示"),1,0)</x:f>
        <x:v>1</x:v>
      </x:c>
      <x:c r="AM174" s="32" t="n">
        <x:f>IF(AL174=1,U174,"")</x:f>
        <x:v>479000</x:v>
      </x:c>
      <x:c r="AN174" s="33" t="n">
        <x:f>IF(AL174=1,AF174,"")</x:f>
        <x:v>0.3991999333277773</x:v>
      </x:c>
      <x:c r="AO174" s="31" t="n">
        <x:f>'分析方法'!$B$6-J174</x:f>
        <x:v>3</x:v>
      </x:c>
      <x:c r="AP174" s="3"/>
    </x:row>
    <x:row r="175" ht="22" customHeight="1">
      <x:c r="A175" s="3" t="str">
        <x:v>T2923070</x:v>
      </x:c>
      <x:c r="B175" s="7" t="d">
        <x:v>2026-10-08T00:00:00.000Z</x:v>
      </x:c>
      <x:c r="C175" s="3" t="str">
        <x:v>Taladrod</x:v>
      </x:c>
      <x:c r="D175" s="3" t="str">
        <x:v>BYD</x:v>
      </x:c>
      <x:c r="E175" s="3" t="str">
        <x:v>中国</x:v>
      </x:c>
      <x:c r="F175" s="3" t="str">
        <x:v>ATTO 3</x:v>
      </x:c>
      <x:c r="G175" s="3" t="str">
        <x:v>BEV</x:v>
      </x:c>
      <x:c r="H175" s="3" t="str">
        <x:v>SUV</x:v>
      </x:c>
      <x:c r="I175" s="3" t="str"/>
      <x:c r="J175" s="3" t="n">
        <x:v>2023</x:v>
      </x:c>
      <x:c r="K175" s="3" t="str">
        <x:v>EXTENDED RANGE</x:v>
      </x:c>
      <x:c r="L175" s="3" t="str">
        <x:v>EXTENDED RANGE</x:v>
      </x:c>
      <x:c r="M175" s="22" t="n">
        <x:v>64895</x:v>
      </x:c>
      <x:c r="N175" s="22" t="n">
        <x:v>64895</x:v>
      </x:c>
      <x:c r="O175" s="22" t="n">
        <x:v>64895</x:v>
      </x:c>
      <x:c r="P175" s="3" t="str">
        <x:v>50–100千km</x:v>
      </x:c>
      <x:c r="Q175" s="3" t="str">
        <x:v>กรุงเทพฯ</x:v>
      </x:c>
      <x:c r="R175" s="3" t="str">
        <x:v>Bangkok metro</x:v>
      </x:c>
      <x:c r="S175" s="3" t="str">
        <x:v>AT</x:v>
      </x:c>
      <x:c r="T175" s="3" t="str">
        <x:v>22-ปัจจุบัน</x:v>
      </x:c>
      <x:c r="U175" s="28" t="n">
        <x:v>469000</x:v>
      </x:c>
      <x:c r="V175" s="28" t="n">
        <x:v>1199900</x:v>
      </x:c>
      <x:c r="W175" s="3" t="str">
        <x:v>事故・水没・電池SOH・保証残：未確認</x:v>
      </x:c>
      <x:c r="X175" s="3" t="str">
        <x:v>掲載中・在庫未確認</x:v>
      </x:c>
      <x:c r="Y175" s="3" t="str">
        <x:v>18 ชม.</x:v>
      </x:c>
      <x:c r="Z175" s="27" t="str">
        <x:v>https://www.taladrod.com/w40/icar/cardet.aspx?cid=2923070</x:v>
      </x:c>
      <x:c r="AA175" s="3" t="str">
        <x:v>Taladrod個別広告ID／Carsome在庫ID</x:v>
      </x:c>
      <x:c r="AB175" s="3" t="str">
        <x:v>車台番号未取得／サイト間重複は未判定</x:v>
      </x:c>
      <x:c r="AC175" s="3" t="str">
        <x:v>ローン試算にVAT 7%除外の注記／車両価格の税込区分未確認</x:v>
      </x:c>
      <x:c r="AD175" s="3" t="str">
        <x:v>ATTO22_EXTENDED RANGE</x:v>
      </x:c>
      <x:c r="AE175" s="29" t="n">
        <x:f>'新車価格・特価'!K8</x:f>
        <x:v>1199900</x:v>
      </x:c>
      <x:c r="AF175" s="30" t="n">
        <x:f>IF(ISNUMBER(AE175),U175/AE175,"")</x:f>
        <x:v>0.39086590549212435</x:v>
      </x:c>
      <x:c r="AG175" s="29" t="n">
        <x:f>'新車価格・特価'!N35</x:f>
        <x:v>769900</x:v>
      </x:c>
      <x:c r="AH175" s="30" t="n">
        <x:f>IF(ISNUMBER(AG175),U175/AG175,"")</x:f>
        <x:v>0.6091700220807897</x:v>
      </x:c>
      <x:c r="AI175" s="3" t="str">
        <x:v>当時公表小売価格の参考残価率。実購入額ではない。年式/登録年・仕様差に注意。</x:v>
      </x:c>
      <x:c r="AJ175" s="3" t="str">
        <x:v>走行/条件情報あり</x:v>
      </x:c>
      <x:c r="AK175" s="3" t="str">
        <x:v>一覧の表示価格。年式は掲載年式。</x:v>
      </x:c>
      <x:c r="AL175" s="31" t="n">
        <x:f>IF(AND(J175&lt;='分析方法'!$B$7,OR(ISBLANK(O175),O175&gt;='分析方法'!$B$8),X175&lt;&gt;"売却済み表示"),1,0)</x:f>
        <x:v>1</x:v>
      </x:c>
      <x:c r="AM175" s="32" t="n">
        <x:f>IF(AL175=1,U175,"")</x:f>
        <x:v>469000</x:v>
      </x:c>
      <x:c r="AN175" s="33" t="n">
        <x:f>IF(AL175=1,AF175,"")</x:f>
        <x:v>0.39086590549212435</x:v>
      </x:c>
      <x:c r="AO175" s="31" t="n">
        <x:f>'分析方法'!$B$6-J175</x:f>
        <x:v>3</x:v>
      </x:c>
      <x:c r="AP175" s="3"/>
    </x:row>
    <x:row r="176" ht="22" customHeight="1">
      <x:c r="A176" s="3" t="str">
        <x:v>T2926378</x:v>
      </x:c>
      <x:c r="B176" s="7" t="d">
        <x:v>2026-10-08T00:00:00.000Z</x:v>
      </x:c>
      <x:c r="C176" s="3" t="str">
        <x:v>Taladrod</x:v>
      </x:c>
      <x:c r="D176" s="3" t="str">
        <x:v>BYD</x:v>
      </x:c>
      <x:c r="E176" s="3" t="str">
        <x:v>中国</x:v>
      </x:c>
      <x:c r="F176" s="3" t="str">
        <x:v>ATTO 3</x:v>
      </x:c>
      <x:c r="G176" s="3" t="str">
        <x:v>BEV</x:v>
      </x:c>
      <x:c r="H176" s="3" t="str">
        <x:v>SUV</x:v>
      </x:c>
      <x:c r="I176" s="3" t="str"/>
      <x:c r="J176" s="3" t="n">
        <x:v>2023</x:v>
      </x:c>
      <x:c r="K176" s="3" t="str">
        <x:v>EXTENDED RANGE</x:v>
      </x:c>
      <x:c r="L176" s="3" t="str">
        <x:v>EXTENDED RANGE</x:v>
      </x:c>
      <x:c r="M176" s="22" t="n">
        <x:v>100000</x:v>
      </x:c>
      <x:c r="N176" s="22" t="n">
        <x:v>100000</x:v>
      </x:c>
      <x:c r="O176" s="22" t="n">
        <x:v>100000</x:v>
      </x:c>
      <x:c r="P176" s="3" t="str">
        <x:v>50–100千km</x:v>
      </x:c>
      <x:c r="Q176" s="3" t="str">
        <x:v>กรุงเทพฯ</x:v>
      </x:c>
      <x:c r="R176" s="3" t="str">
        <x:v>Bangkok metro</x:v>
      </x:c>
      <x:c r="S176" s="3" t="str">
        <x:v>AT</x:v>
      </x:c>
      <x:c r="T176" s="3" t="str">
        <x:v>22-ปัจจุบัน</x:v>
      </x:c>
      <x:c r="U176" s="28" t="n">
        <x:v>439000</x:v>
      </x:c>
      <x:c r="V176" s="28" t="n">
        <x:v>1199900</x:v>
      </x:c>
      <x:c r="W176" s="3" t="str">
        <x:v>出品者の無重大事故・無水没申告あり／未検証</x:v>
      </x:c>
      <x:c r="X176" s="3" t="str">
        <x:v>掲載中・在庫未確認</x:v>
      </x:c>
      <x:c r="Y176" s="3" t="str">
        <x:v>8 ชม.</x:v>
      </x:c>
      <x:c r="Z176" s="27" t="str">
        <x:v>https://www.taladrod.com/w40/icar/cardet.aspx?cid=2926378</x:v>
      </x:c>
      <x:c r="AA176" s="3" t="str">
        <x:v>Taladrod個別広告ID／Carsome在庫ID</x:v>
      </x:c>
      <x:c r="AB176" s="3" t="str">
        <x:v>車台番号未取得／サイト間重複は未判定</x:v>
      </x:c>
      <x:c r="AC176" s="3" t="str">
        <x:v>ローン試算にVAT 7%除外の注記／車両価格の税込区分未確認</x:v>
      </x:c>
      <x:c r="AD176" s="3" t="str">
        <x:v>ATTO22_EXTENDED RANGE</x:v>
      </x:c>
      <x:c r="AE176" s="29" t="n">
        <x:f>'新車価格・特価'!K8</x:f>
        <x:v>1199900</x:v>
      </x:c>
      <x:c r="AF176" s="30" t="n">
        <x:f>IF(ISNUMBER(AE176),U176/AE176,"")</x:f>
        <x:v>0.3658638219851654</x:v>
      </x:c>
      <x:c r="AG176" s="29" t="n">
        <x:f>'新車価格・特価'!N35</x:f>
        <x:v>769900</x:v>
      </x:c>
      <x:c r="AH176" s="30" t="n">
        <x:f>IF(ISNUMBER(AG176),U176/AG176,"")</x:f>
        <x:v>0.570203922587349</x:v>
      </x:c>
      <x:c r="AI176" s="3" t="str">
        <x:v>当時公表小売価格の参考残価率。実購入額ではない。年式/登録年・仕様差に注意。</x:v>
      </x:c>
      <x:c r="AJ176" s="3" t="str">
        <x:v>走行/条件情報あり</x:v>
      </x:c>
      <x:c r="AK176" s="3" t="str">
        <x:v>一覧の表示価格。年式は掲載年式。</x:v>
      </x:c>
      <x:c r="AL176" s="31" t="n">
        <x:f>IF(AND(J176&lt;='分析方法'!$B$7,OR(ISBLANK(O176),O176&gt;='分析方法'!$B$8),X176&lt;&gt;"売却済み表示"),1,0)</x:f>
        <x:v>1</x:v>
      </x:c>
      <x:c r="AM176" s="32" t="n">
        <x:f>IF(AL176=1,U176,"")</x:f>
        <x:v>439000</x:v>
      </x:c>
      <x:c r="AN176" s="33" t="n">
        <x:f>IF(AL176=1,AF176,"")</x:f>
        <x:v>0.3658638219851654</x:v>
      </x:c>
      <x:c r="AO176" s="31" t="n">
        <x:f>'分析方法'!$B$6-J176</x:f>
        <x:v>3</x:v>
      </x:c>
      <x:c r="AP176" s="3"/>
    </x:row>
    <x:row r="177" ht="22" customHeight="1">
      <x:c r="A177" s="3" t="str">
        <x:v>T2893816</x:v>
      </x:c>
      <x:c r="B177" s="7" t="d">
        <x:v>2026-10-08T00:00:00.000Z</x:v>
      </x:c>
      <x:c r="C177" s="3" t="str">
        <x:v>Taladrod</x:v>
      </x:c>
      <x:c r="D177" s="3" t="str">
        <x:v>BYD</x:v>
      </x:c>
      <x:c r="E177" s="3" t="str">
        <x:v>中国</x:v>
      </x:c>
      <x:c r="F177" s="3" t="str">
        <x:v>ATTO 3</x:v>
      </x:c>
      <x:c r="G177" s="3" t="str">
        <x:v>BEV</x:v>
      </x:c>
      <x:c r="H177" s="3" t="str">
        <x:v>SUV</x:v>
      </x:c>
      <x:c r="I177" s="3" t="str"/>
      <x:c r="J177" s="3" t="n">
        <x:v>2023</x:v>
      </x:c>
      <x:c r="K177" s="3" t="str">
        <x:v>EXTENDED RANGE</x:v>
      </x:c>
      <x:c r="L177" s="3" t="str">
        <x:v>EXTENDED RANGE</x:v>
      </x:c>
      <x:c r="M177" s="22" t="n">
        <x:v>19000</x:v>
      </x:c>
      <x:c r="N177" s="22" t="n">
        <x:v>19000</x:v>
      </x:c>
      <x:c r="O177" s="22" t="n">
        <x:v>19000</x:v>
      </x:c>
      <x:c r="P177" s="3" t="str">
        <x:v>&lt;20千km</x:v>
      </x:c>
      <x:c r="Q177" s="3" t="str">
        <x:v>กรุงเทพฯ</x:v>
      </x:c>
      <x:c r="R177" s="3" t="str">
        <x:v>Bangkok metro</x:v>
      </x:c>
      <x:c r="S177" s="3" t="str">
        <x:v>AT</x:v>
      </x:c>
      <x:c r="T177" s="3" t="str">
        <x:v>22-ปัจจุบัน</x:v>
      </x:c>
      <x:c r="U177" s="28" t="n">
        <x:v>519000</x:v>
      </x:c>
      <x:c r="V177" s="28" t="n">
        <x:v>1199900</x:v>
      </x:c>
      <x:c r="W177" s="3" t="str">
        <x:v>出品者の無重大事故・無水没申告あり／未検証</x:v>
      </x:c>
      <x:c r="X177" s="3" t="str">
        <x:v>掲載中・在庫未確認</x:v>
      </x:c>
      <x:c r="Y177" s="3" t="str"/>
      <x:c r="Z177" s="27" t="str">
        <x:v>https://www.taladrod.com/w40/icar/cardet.aspx?cid=2893816</x:v>
      </x:c>
      <x:c r="AA177" s="3" t="str">
        <x:v>Taladrod個別広告ID／Carsome在庫ID</x:v>
      </x:c>
      <x:c r="AB177" s="3" t="str">
        <x:v>車台番号未取得／サイト間重複は未判定</x:v>
      </x:c>
      <x:c r="AC177" s="3" t="str">
        <x:v>ローン試算にVAT 7%除外の注記／車両価格の税込区分未確認</x:v>
      </x:c>
      <x:c r="AD177" s="3" t="str">
        <x:v>ATTO22_EXTENDED RANGE</x:v>
      </x:c>
      <x:c r="AE177" s="29" t="n">
        <x:f>'新車価格・特価'!K8</x:f>
        <x:v>1199900</x:v>
      </x:c>
      <x:c r="AF177" s="30" t="n">
        <x:f>IF(ISNUMBER(AE177),U177/AE177,"")</x:f>
        <x:v>0.4325360446703892</x:v>
      </x:c>
      <x:c r="AG177" s="29" t="n">
        <x:f>'新車価格・特価'!N35</x:f>
        <x:v>769900</x:v>
      </x:c>
      <x:c r="AH177" s="30" t="n">
        <x:f>IF(ISNUMBER(AG177),U177/AG177,"")</x:f>
        <x:v>0.6741135212365242</x:v>
      </x:c>
      <x:c r="AI177" s="3" t="str">
        <x:v>当時公表小売価格の参考残価率。実購入額ではない。年式/登録年・仕様差に注意。</x:v>
      </x:c>
      <x:c r="AJ177" s="3" t="str">
        <x:v>走行/条件情報あり</x:v>
      </x:c>
      <x:c r="AK177" s="3" t="str">
        <x:v>一覧の表示価格。年式は掲載年式。</x:v>
      </x:c>
      <x:c r="AL177" s="31" t="n">
        <x:f>IF(AND(J177&lt;='分析方法'!$B$7,OR(ISBLANK(O177),O177&gt;='分析方法'!$B$8),X177&lt;&gt;"売却済み表示"),1,0)</x:f>
        <x:v>1</x:v>
      </x:c>
      <x:c r="AM177" s="32" t="n">
        <x:f>IF(AL177=1,U177,"")</x:f>
        <x:v>519000</x:v>
      </x:c>
      <x:c r="AN177" s="33" t="n">
        <x:f>IF(AL177=1,AF177,"")</x:f>
        <x:v>0.4325360446703892</x:v>
      </x:c>
      <x:c r="AO177" s="31" t="n">
        <x:f>'分析方法'!$B$6-J177</x:f>
        <x:v>3</x:v>
      </x:c>
      <x:c r="AP177" s="3"/>
    </x:row>
    <x:row r="178" ht="22" customHeight="1">
      <x:c r="A178" s="3" t="str">
        <x:v>T2925801</x:v>
      </x:c>
      <x:c r="B178" s="7" t="d">
        <x:v>2026-10-08T00:00:00.000Z</x:v>
      </x:c>
      <x:c r="C178" s="3" t="str">
        <x:v>Taladrod</x:v>
      </x:c>
      <x:c r="D178" s="3" t="str">
        <x:v>BYD</x:v>
      </x:c>
      <x:c r="E178" s="3" t="str">
        <x:v>中国</x:v>
      </x:c>
      <x:c r="F178" s="3" t="str">
        <x:v>ATTO 3</x:v>
      </x:c>
      <x:c r="G178" s="3" t="str">
        <x:v>BEV</x:v>
      </x:c>
      <x:c r="H178" s="3" t="str">
        <x:v>SUV</x:v>
      </x:c>
      <x:c r="I178" s="3" t="str"/>
      <x:c r="J178" s="3" t="n">
        <x:v>2023</x:v>
      </x:c>
      <x:c r="K178" s="3" t="str">
        <x:v>STANDARD RANGE</x:v>
      </x:c>
      <x:c r="L178" s="3" t="str">
        <x:v>STANDARD RANGE</x:v>
      </x:c>
      <x:c r="M178" s="22" t="n">
        <x:v>100000</x:v>
      </x:c>
      <x:c r="N178" s="22" t="n">
        <x:v>100000</x:v>
      </x:c>
      <x:c r="O178" s="22" t="n">
        <x:v>100000</x:v>
      </x:c>
      <x:c r="P178" s="3" t="str">
        <x:v>50–100千km</x:v>
      </x:c>
      <x:c r="Q178" s="3" t="str">
        <x:v>未取得</x:v>
      </x:c>
      <x:c r="R178" s="3" t="str">
        <x:v>Unknown</x:v>
      </x:c>
      <x:c r="S178" s="3" t="str">
        <x:v>AT</x:v>
      </x:c>
      <x:c r="T178" s="3" t="str">
        <x:v>22-ปัจจุบัน</x:v>
      </x:c>
      <x:c r="U178" s="28" t="n">
        <x:v>439000</x:v>
      </x:c>
      <x:c r="V178" s="28" t="n">
        <x:v>1099000</x:v>
      </x:c>
      <x:c r="W178" s="3" t="str">
        <x:v>出品者の無重大事故・無水没申告あり／未検証</x:v>
      </x:c>
      <x:c r="X178" s="3" t="str">
        <x:v>掲載中・在庫未確認</x:v>
      </x:c>
      <x:c r="Y178" s="3" t="str">
        <x:v>4 วัน</x:v>
      </x:c>
      <x:c r="Z178" s="27" t="str">
        <x:v>https://www.taladrod.com/w40/icar/cardet.aspx?cid=2925801</x:v>
      </x:c>
      <x:c r="AA178" s="3" t="str">
        <x:v>Taladrod個別広告ID／Carsome在庫ID</x:v>
      </x:c>
      <x:c r="AB178" s="3" t="str">
        <x:v>車台番号未取得／サイト間重複は未判定</x:v>
      </x:c>
      <x:c r="AC178" s="3" t="str">
        <x:v>ローン試算にVAT 7%除外の注記／車両価格の税込区分未確認</x:v>
      </x:c>
      <x:c r="AD178" s="3" t="str">
        <x:v>ATTO22_STANDARD RANGE</x:v>
      </x:c>
      <x:c r="AE178" s="29" t="n">
        <x:f>'新車価格・特価'!K7</x:f>
        <x:v>1099900</x:v>
      </x:c>
      <x:c r="AF178" s="30" t="n">
        <x:f>IF(ISNUMBER(AE178),U178/AE178,"")</x:f>
        <x:v>0.3991271933812165</x:v>
      </x:c>
      <x:c r="AG178" s="29" t="n">
        <x:f>'新車価格・特価'!N34</x:f>
        <x:v>669900</x:v>
      </x:c>
      <x:c r="AH178" s="30" t="n">
        <x:f>IF(ISNUMBER(AG178),U178/AG178,"")</x:f>
        <x:v>0.6553216898044484</x:v>
      </x:c>
      <x:c r="AI178" s="3" t="str">
        <x:v>当時公表小売価格の参考残価率。実購入額ではない。年式/登録年・仕様差に注意。</x:v>
      </x:c>
      <x:c r="AJ178" s="3" t="str">
        <x:v>走行/条件情報あり</x:v>
      </x:c>
      <x:c r="AK178" s="3" t="str">
        <x:v>一覧の表示価格。年式は掲載年式。</x:v>
      </x:c>
      <x:c r="AL178" s="31" t="n">
        <x:f>IF(AND(J178&lt;='分析方法'!$B$7,OR(ISBLANK(O178),O178&gt;='分析方法'!$B$8),X178&lt;&gt;"売却済み表示"),1,0)</x:f>
        <x:v>1</x:v>
      </x:c>
      <x:c r="AM178" s="32" t="n">
        <x:f>IF(AL178=1,U178,"")</x:f>
        <x:v>439000</x:v>
      </x:c>
      <x:c r="AN178" s="33" t="n">
        <x:f>IF(AL178=1,AF178,"")</x:f>
        <x:v>0.3991271933812165</x:v>
      </x:c>
      <x:c r="AO178" s="31" t="n">
        <x:f>'分析方法'!$B$6-J178</x:f>
        <x:v>3</x:v>
      </x:c>
      <x:c r="AP178" s="3"/>
    </x:row>
    <x:row r="179" ht="22" customHeight="1">
      <x:c r="A179" s="3" t="str">
        <x:v>T2926352</x:v>
      </x:c>
      <x:c r="B179" s="7" t="d">
        <x:v>2026-10-08T00:00:00.000Z</x:v>
      </x:c>
      <x:c r="C179" s="3" t="str">
        <x:v>Taladrod</x:v>
      </x:c>
      <x:c r="D179" s="3" t="str">
        <x:v>BYD</x:v>
      </x:c>
      <x:c r="E179" s="3" t="str">
        <x:v>中国</x:v>
      </x:c>
      <x:c r="F179" s="3" t="str">
        <x:v>ATTO 3</x:v>
      </x:c>
      <x:c r="G179" s="3" t="str">
        <x:v>BEV</x:v>
      </x:c>
      <x:c r="H179" s="3" t="str">
        <x:v>SUV</x:v>
      </x:c>
      <x:c r="I179" s="3" t="str"/>
      <x:c r="J179" s="3" t="n">
        <x:v>2023</x:v>
      </x:c>
      <x:c r="K179" s="3" t="str">
        <x:v></x:v>
      </x:c>
      <x:c r="L179" s="3" t="str">
        <x:v>グレード不明</x:v>
      </x:c>
      <x:c r="M179" s="22"/>
      <x:c r="N179" s="22"/>
      <x:c r="O179" s="22"/>
      <x:c r="P179" s="3" t="str">
        <x:v>未掲載</x:v>
      </x:c>
      <x:c r="Q179" s="3" t="str">
        <x:v>未取得</x:v>
      </x:c>
      <x:c r="R179" s="3" t="str">
        <x:v>Unknown</x:v>
      </x:c>
      <x:c r="S179" s="3" t="str">
        <x:v>AT</x:v>
      </x:c>
      <x:c r="T179" s="3" t="str">
        <x:v>22-ปัจจุบัน</x:v>
      </x:c>
      <x:c r="U179" s="28" t="n">
        <x:v>420000</x:v>
      </x:c>
      <x:c r="V179" s="28"/>
      <x:c r="W179" s="3" t="str">
        <x:v>事故・水没・電池SOH・保証残：未確認</x:v>
      </x:c>
      <x:c r="X179" s="3" t="str">
        <x:v>掲載中・在庫未確認</x:v>
      </x:c>
      <x:c r="Y179" s="3" t="str">
        <x:v>1 วัน</x:v>
      </x:c>
      <x:c r="Z179" s="27" t="str">
        <x:v>https://www.taladrod.com/w40/icar/cardet.aspx?cid=2926352</x:v>
      </x:c>
      <x:c r="AA179" s="3" t="str">
        <x:v>Taladrod個別広告ID／Carsome在庫ID</x:v>
      </x:c>
      <x:c r="AB179" s="3" t="str">
        <x:v>車台番号未取得／サイト間重複は未判定</x:v>
      </x:c>
      <x:c r="AC179" s="3" t="str">
        <x:v>ローン試算にVAT 7%除外の注記／車両価格の税込区分未確認</x:v>
      </x:c>
      <x:c r="AD179" s="3" t="str"/>
      <x:c r="AE179" s="29" t="str">
        <x:f>""</x:f>
      </x:c>
      <x:c r="AF179" s="30" t="str">
        <x:f>IF(ISNUMBER(AE179),U179/AE179,"")</x:f>
      </x:c>
      <x:c r="AG179" s="29" t="str">
        <x:f>""</x:f>
      </x:c>
      <x:c r="AH179" s="30" t="str">
        <x:f>IF(ISNUMBER(AG179),U179/AG179,"")</x:f>
      </x:c>
      <x:c r="AI179" s="3" t="str">
        <x:v>同年式・グレードの検証済み当時価格なし／登録年混在</x:v>
      </x:c>
      <x:c r="AJ179" s="3" t="str">
        <x:v>走行/条件情報あり</x:v>
      </x:c>
      <x:c r="AK179" s="3" t="str">
        <x:v>一覧の表示価格。年式は掲載年式。</x:v>
      </x:c>
      <x:c r="AL179" s="31" t="n">
        <x:f>IF(AND(J179&lt;='分析方法'!$B$7,OR(ISBLANK(O179),O179&gt;='分析方法'!$B$8),X179&lt;&gt;"売却済み表示"),1,0)</x:f>
        <x:v>1</x:v>
      </x:c>
      <x:c r="AM179" s="32" t="n">
        <x:f>IF(AL179=1,U179,"")</x:f>
        <x:v>420000</x:v>
      </x:c>
      <x:c r="AN179" s="33" t="str">
        <x:f>IF(AL179=1,AF179,"")</x:f>
      </x:c>
      <x:c r="AO179" s="31" t="n">
        <x:f>'分析方法'!$B$6-J179</x:f>
        <x:v>3</x:v>
      </x:c>
      <x:c r="AP179" s="3"/>
    </x:row>
    <x:row r="180" ht="22" customHeight="1">
      <x:c r="A180" s="3" t="str">
        <x:v>T2925964</x:v>
      </x:c>
      <x:c r="B180" s="7" t="d">
        <x:v>2026-10-08T00:00:00.000Z</x:v>
      </x:c>
      <x:c r="C180" s="3" t="str">
        <x:v>Taladrod</x:v>
      </x:c>
      <x:c r="D180" s="3" t="str">
        <x:v>BYD</x:v>
      </x:c>
      <x:c r="E180" s="3" t="str">
        <x:v>中国</x:v>
      </x:c>
      <x:c r="F180" s="3" t="str">
        <x:v>ATTO 3</x:v>
      </x:c>
      <x:c r="G180" s="3" t="str">
        <x:v>BEV</x:v>
      </x:c>
      <x:c r="H180" s="3" t="str">
        <x:v>SUV</x:v>
      </x:c>
      <x:c r="I180" s="3" t="str"/>
      <x:c r="J180" s="3" t="n">
        <x:v>2024</x:v>
      </x:c>
      <x:c r="K180" s="3" t="str">
        <x:v>DYNAMIC</x:v>
      </x:c>
      <x:c r="L180" s="3" t="str">
        <x:v>DYNAMIC</x:v>
      </x:c>
      <x:c r="M180" s="22" t="n">
        <x:v>26558</x:v>
      </x:c>
      <x:c r="N180" s="22" t="n">
        <x:v>26558</x:v>
      </x:c>
      <x:c r="O180" s="22" t="n">
        <x:v>26558</x:v>
      </x:c>
      <x:c r="P180" s="3" t="str">
        <x:v>20–50千km</x:v>
      </x:c>
      <x:c r="Q180" s="3" t="str">
        <x:v>กรุงเทพฯ</x:v>
      </x:c>
      <x:c r="R180" s="3" t="str">
        <x:v>Bangkok metro</x:v>
      </x:c>
      <x:c r="S180" s="3" t="str">
        <x:v>AT</x:v>
      </x:c>
      <x:c r="T180" s="3" t="str">
        <x:v>22-ปัจจุบัน</x:v>
      </x:c>
      <x:c r="U180" s="28" t="n">
        <x:v>489000</x:v>
      </x:c>
      <x:c r="V180" s="28" t="n">
        <x:v>899900</x:v>
      </x:c>
      <x:c r="W180" s="3" t="str">
        <x:v>出品者の無重大事故・無水没申告あり／未検証</x:v>
      </x:c>
      <x:c r="X180" s="3" t="str">
        <x:v>掲載中・在庫未確認</x:v>
      </x:c>
      <x:c r="Y180" s="3" t="str">
        <x:v>12 ชม.</x:v>
      </x:c>
      <x:c r="Z180" s="27" t="str">
        <x:v>https://www.taladrod.com/w40/icar/cardet.aspx?cid=2925964</x:v>
      </x:c>
      <x:c r="AA180" s="3" t="str">
        <x:v>Taladrod個別広告ID／Carsome在庫ID</x:v>
      </x:c>
      <x:c r="AB180" s="3" t="str">
        <x:v>車台番号未取得／サイト間重複は未判定</x:v>
      </x:c>
      <x:c r="AC180" s="3" t="str">
        <x:v>ローン試算にVAT 7%除外の注記／車両価格の税込区分未確認</x:v>
      </x:c>
      <x:c r="AD180" s="3" t="str">
        <x:v>ATTO24_FACTORY_D</x:v>
      </x:c>
      <x:c r="AE180" s="29" t="n">
        <x:f>'新車価格・特価'!K16</x:f>
        <x:v>899900</x:v>
      </x:c>
      <x:c r="AF180" s="30" t="n">
        <x:f>IF(ISNUMBER(AE180),U180/AE180,"")</x:f>
        <x:v>0.543393710412268</x:v>
      </x:c>
      <x:c r="AG180" s="29" t="n">
        <x:f>'新車価格・特価'!N34</x:f>
        <x:v>669900</x:v>
      </x:c>
      <x:c r="AH180" s="30" t="n">
        <x:f>IF(ISNUMBER(AG180),U180/AG180,"")</x:f>
        <x:v>0.7299596954769368</x:v>
      </x:c>
      <x:c r="AI180" s="3" t="str">
        <x:v>当時公表小売価格の参考残価率。実購入額ではない。年式/登録年・仕様差に注意。</x:v>
      </x:c>
      <x:c r="AJ180" s="3" t="str">
        <x:v>走行/条件情報あり</x:v>
      </x:c>
      <x:c r="AK180" s="3" t="str">
        <x:v>一覧の表示価格。年式は掲載年式。</x:v>
      </x:c>
      <x:c r="AL180" s="31" t="n">
        <x:f>IF(AND(J180&lt;='分析方法'!$B$7,OR(ISBLANK(O180),O180&gt;='分析方法'!$B$8),X180&lt;&gt;"売却済み表示"),1,0)</x:f>
        <x:v>1</x:v>
      </x:c>
      <x:c r="AM180" s="32" t="n">
        <x:f>IF(AL180=1,U180,"")</x:f>
        <x:v>489000</x:v>
      </x:c>
      <x:c r="AN180" s="33" t="n">
        <x:f>IF(AL180=1,AF180,"")</x:f>
        <x:v>0.543393710412268</x:v>
      </x:c>
      <x:c r="AO180" s="31" t="n">
        <x:f>'分析方法'!$B$6-J180</x:f>
        <x:v>2</x:v>
      </x:c>
      <x:c r="AP180" s="3"/>
    </x:row>
    <x:row r="181" ht="22" customHeight="1">
      <x:c r="A181" s="3" t="str">
        <x:v>T2926316</x:v>
      </x:c>
      <x:c r="B181" s="7" t="d">
        <x:v>2026-10-08T00:00:00.000Z</x:v>
      </x:c>
      <x:c r="C181" s="3" t="str">
        <x:v>Taladrod</x:v>
      </x:c>
      <x:c r="D181" s="3" t="str">
        <x:v>BYD</x:v>
      </x:c>
      <x:c r="E181" s="3" t="str">
        <x:v>中国</x:v>
      </x:c>
      <x:c r="F181" s="3" t="str">
        <x:v>ATTO 3</x:v>
      </x:c>
      <x:c r="G181" s="3" t="str">
        <x:v>BEV</x:v>
      </x:c>
      <x:c r="H181" s="3" t="str">
        <x:v>SUV</x:v>
      </x:c>
      <x:c r="I181" s="3" t="str"/>
      <x:c r="J181" s="3" t="n">
        <x:v>2025</x:v>
      </x:c>
      <x:c r="K181" s="3" t="str">
        <x:v>EXTENDED RANGE</x:v>
      </x:c>
      <x:c r="L181" s="3" t="str">
        <x:v>EXTENDED RANGE</x:v>
      </x:c>
      <x:c r="M181" s="22" t="n">
        <x:v>80000</x:v>
      </x:c>
      <x:c r="N181" s="22" t="n">
        <x:v>80000</x:v>
      </x:c>
      <x:c r="O181" s="22" t="n">
        <x:v>80000</x:v>
      </x:c>
      <x:c r="P181" s="3" t="str">
        <x:v>50–100千km</x:v>
      </x:c>
      <x:c r="Q181" s="3" t="str">
        <x:v>未取得</x:v>
      </x:c>
      <x:c r="R181" s="3" t="str">
        <x:v>Unknown</x:v>
      </x:c>
      <x:c r="S181" s="3" t="str">
        <x:v>AT</x:v>
      </x:c>
      <x:c r="T181" s="3" t="str">
        <x:v>22-ปัจจุบัน</x:v>
      </x:c>
      <x:c r="U181" s="28" t="n">
        <x:v>529000</x:v>
      </x:c>
      <x:c r="V181" s="28" t="n">
        <x:v>1199900</x:v>
      </x:c>
      <x:c r="W181" s="3" t="str">
        <x:v>出品者の無重大事故・無水没申告あり／未検証</x:v>
      </x:c>
      <x:c r="X181" s="3" t="str">
        <x:v>掲載中・在庫未確認</x:v>
      </x:c>
      <x:c r="Y181" s="3" t="str">
        <x:v>12 ชม.</x:v>
      </x:c>
      <x:c r="Z181" s="27" t="str">
        <x:v>https://www.taladrod.com/w40/icar/cardet.aspx?cid=2926316</x:v>
      </x:c>
      <x:c r="AA181" s="3" t="str">
        <x:v>Taladrod個別広告ID／Carsome在庫ID</x:v>
      </x:c>
      <x:c r="AB181" s="3" t="str">
        <x:v>車台番号未取得／サイト間重複は未判定</x:v>
      </x:c>
      <x:c r="AC181" s="3" t="str">
        <x:v>税込区分未確認</x:v>
      </x:c>
      <x:c r="AD181" s="3" t="str"/>
      <x:c r="AE181" s="29" t="str">
        <x:f>""</x:f>
      </x:c>
      <x:c r="AF181" s="30" t="str">
        <x:f>IF(ISNUMBER(AE181),U181/AE181,"")</x:f>
      </x:c>
      <x:c r="AG181" s="29" t="n">
        <x:f>'新車価格・特価'!N35</x:f>
        <x:v>769900</x:v>
      </x:c>
      <x:c r="AH181" s="30" t="n">
        <x:f>IF(ISNUMBER(AG181),U181/AG181,"")</x:f>
        <x:v>0.6871022210676712</x:v>
      </x:c>
      <x:c r="AI181" s="3" t="str">
        <x:v>同年式・グレードの検証済み当時価格なし／登録年混在</x:v>
      </x:c>
      <x:c r="AJ181" s="3" t="str">
        <x:v>走行/条件情報あり</x:v>
      </x:c>
      <x:c r="AK181" s="3" t="str">
        <x:v>一覧の表示価格。年式は掲載年式。</x:v>
      </x:c>
      <x:c r="AL181" s="31" t="n">
        <x:f>IF(AND(J181&lt;='分析方法'!$B$7,OR(ISBLANK(O181),O181&gt;='分析方法'!$B$8),X181&lt;&gt;"売却済み表示"),1,0)</x:f>
        <x:v>1</x:v>
      </x:c>
      <x:c r="AM181" s="32" t="n">
        <x:f>IF(AL181=1,U181,"")</x:f>
        <x:v>529000</x:v>
      </x:c>
      <x:c r="AN181" s="33" t="str">
        <x:f>IF(AL181=1,AF181,"")</x:f>
      </x:c>
      <x:c r="AO181" s="31" t="n">
        <x:f>'分析方法'!$B$6-J181</x:f>
        <x:v>1</x:v>
      </x:c>
      <x:c r="AP181" s="3"/>
    </x:row>
    <x:row r="182" ht="22" customHeight="1">
      <x:c r="A182" s="3" t="str">
        <x:v>T2917688</x:v>
      </x:c>
      <x:c r="B182" s="7" t="d">
        <x:v>2026-10-08T00:00:00.000Z</x:v>
      </x:c>
      <x:c r="C182" s="3" t="str">
        <x:v>Taladrod</x:v>
      </x:c>
      <x:c r="D182" s="3" t="str">
        <x:v>BYD</x:v>
      </x:c>
      <x:c r="E182" s="3" t="str">
        <x:v>中国</x:v>
      </x:c>
      <x:c r="F182" s="3" t="str">
        <x:v>ATTO 3</x:v>
      </x:c>
      <x:c r="G182" s="3" t="str">
        <x:v>BEV</x:v>
      </x:c>
      <x:c r="H182" s="3" t="str">
        <x:v>SUV</x:v>
      </x:c>
      <x:c r="I182" s="3" t="str"/>
      <x:c r="J182" s="3" t="n">
        <x:v>2026</x:v>
      </x:c>
      <x:c r="K182" s="3" t="str">
        <x:v>EXTENDED</x:v>
      </x:c>
      <x:c r="L182" s="3" t="str">
        <x:v>EXTENDED</x:v>
      </x:c>
      <x:c r="M182" s="22" t="n">
        <x:v>7000</x:v>
      </x:c>
      <x:c r="N182" s="22" t="n">
        <x:v>7000</x:v>
      </x:c>
      <x:c r="O182" s="22" t="n">
        <x:v>7000</x:v>
      </x:c>
      <x:c r="P182" s="3" t="str">
        <x:v>&lt;20千km</x:v>
      </x:c>
      <x:c r="Q182" s="3" t="str">
        <x:v>กรุงเทพฯ</x:v>
      </x:c>
      <x:c r="R182" s="3" t="str">
        <x:v>Bangkok metro</x:v>
      </x:c>
      <x:c r="S182" s="3" t="str">
        <x:v>AT</x:v>
      </x:c>
      <x:c r="T182" s="3" t="str">
        <x:v>22-ปัจจุบัน</x:v>
      </x:c>
      <x:c r="U182" s="28" t="n">
        <x:v>599000</x:v>
      </x:c>
      <x:c r="V182" s="28" t="n">
        <x:v>1049900</x:v>
      </x:c>
      <x:c r="W182" s="3" t="str">
        <x:v>出品者の無重大事故・無水没申告あり／未検証</x:v>
      </x:c>
      <x:c r="X182" s="3" t="str">
        <x:v>掲載中・在庫未確認</x:v>
      </x:c>
      <x:c r="Y182" s="3" t="str">
        <x:v>7 ชม.</x:v>
      </x:c>
      <x:c r="Z182" s="27" t="str">
        <x:v>https://www.taladrod.com/w40/icar/cardet.aspx?cid=2917688</x:v>
      </x:c>
      <x:c r="AA182" s="3" t="str">
        <x:v>Taladrod個別広告ID／Carsome在庫ID</x:v>
      </x:c>
      <x:c r="AB182" s="3" t="str">
        <x:v>車台番号未取得／サイト間重複は未判定</x:v>
      </x:c>
      <x:c r="AC182" s="3" t="str">
        <x:v>税込区分未確認</x:v>
      </x:c>
      <x:c r="AD182" s="3" t="str"/>
      <x:c r="AE182" s="29" t="str">
        <x:f>""</x:f>
      </x:c>
      <x:c r="AF182" s="30" t="str">
        <x:f>IF(ISNUMBER(AE182),U182/AE182,"")</x:f>
      </x:c>
      <x:c r="AG182" s="29" t="n">
        <x:f>'新車価格・特価'!N35</x:f>
        <x:v>769900</x:v>
      </x:c>
      <x:c r="AH182" s="30" t="n">
        <x:f>IF(ISNUMBER(AG182),U182/AG182,"")</x:f>
        <x:v>0.7780231198856994</x:v>
      </x:c>
      <x:c r="AI182" s="3" t="str">
        <x:v>同年式・グレードの検証済み当時価格なし／登録年混在</x:v>
      </x:c>
      <x:c r="AJ182" s="3" t="str">
        <x:v>走行/条件情報あり</x:v>
      </x:c>
      <x:c r="AK182" s="3" t="str">
        <x:v>一覧の表示価格。年式は掲載年式。</x:v>
      </x:c>
      <x:c r="AL182" s="31" t="n">
        <x:f>IF(AND(J182&lt;='分析方法'!$B$7,OR(ISBLANK(O182),O182&gt;='分析方法'!$B$8),X182&lt;&gt;"売却済み表示"),1,0)</x:f>
        <x:v>0</x:v>
      </x:c>
      <x:c r="AM182" s="32" t="str">
        <x:f>IF(AL182=1,U182,"")</x:f>
      </x:c>
      <x:c r="AN182" s="33" t="str">
        <x:f>IF(AL182=1,AF182,"")</x:f>
      </x:c>
      <x:c r="AO182" s="31" t="n">
        <x:f>'分析方法'!$B$6-J182</x:f>
        <x:v>0</x:v>
      </x:c>
      <x:c r="AP182" s="3"/>
    </x:row>
    <x:row r="183" ht="22" customHeight="1">
      <x:c r="A183" s="3" t="str">
        <x:v>T2916440</x:v>
      </x:c>
      <x:c r="B183" s="7" t="d">
        <x:v>2026-10-08T00:00:00.000Z</x:v>
      </x:c>
      <x:c r="C183" s="3" t="str">
        <x:v>Taladrod</x:v>
      </x:c>
      <x:c r="D183" s="3" t="str">
        <x:v>BYD</x:v>
      </x:c>
      <x:c r="E183" s="3" t="str">
        <x:v>中国</x:v>
      </x:c>
      <x:c r="F183" s="3" t="str">
        <x:v>ATTO 3</x:v>
      </x:c>
      <x:c r="G183" s="3" t="str">
        <x:v>BEV</x:v>
      </x:c>
      <x:c r="H183" s="3" t="str">
        <x:v>SUV</x:v>
      </x:c>
      <x:c r="I183" s="3" t="str"/>
      <x:c r="J183" s="3" t="n">
        <x:v>2026</x:v>
      </x:c>
      <x:c r="K183" s="3" t="str">
        <x:v>EXTENDED RANGE</x:v>
      </x:c>
      <x:c r="L183" s="3" t="str">
        <x:v>EXTENDED RANGE</x:v>
      </x:c>
      <x:c r="M183" s="22" t="n">
        <x:v>19000</x:v>
      </x:c>
      <x:c r="N183" s="22" t="n">
        <x:v>19000</x:v>
      </x:c>
      <x:c r="O183" s="22" t="n">
        <x:v>19000</x:v>
      </x:c>
      <x:c r="P183" s="3" t="str">
        <x:v>&lt;20千km</x:v>
      </x:c>
      <x:c r="Q183" s="3" t="str">
        <x:v>กรุงเทพฯ</x:v>
      </x:c>
      <x:c r="R183" s="3" t="str">
        <x:v>Bangkok metro</x:v>
      </x:c>
      <x:c r="S183" s="3" t="str">
        <x:v>AT</x:v>
      </x:c>
      <x:c r="T183" s="3" t="str">
        <x:v>22-ปัจจุบัน</x:v>
      </x:c>
      <x:c r="U183" s="28" t="n">
        <x:v>589000</x:v>
      </x:c>
      <x:c r="V183" s="28" t="n">
        <x:v>1199900</x:v>
      </x:c>
      <x:c r="W183" s="3" t="str">
        <x:v>事故・水没・電池SOH・保証残：未確認</x:v>
      </x:c>
      <x:c r="X183" s="3" t="str">
        <x:v>掲載中・在庫未確認</x:v>
      </x:c>
      <x:c r="Y183" s="3" t="str">
        <x:v>15 ชม.</x:v>
      </x:c>
      <x:c r="Z183" s="27" t="str">
        <x:v>https://www.taladrod.com/w40/icar/cardet.aspx?cid=2916440</x:v>
      </x:c>
      <x:c r="AA183" s="3" t="str">
        <x:v>Taladrod個別広告ID／Carsome在庫ID</x:v>
      </x:c>
      <x:c r="AB183" s="3" t="str">
        <x:v>車台番号未取得／サイト間重複は未判定</x:v>
      </x:c>
      <x:c r="AC183" s="3" t="str">
        <x:v>税込区分未確認</x:v>
      </x:c>
      <x:c r="AD183" s="3" t="str"/>
      <x:c r="AE183" s="29" t="str">
        <x:f>""</x:f>
      </x:c>
      <x:c r="AF183" s="30" t="str">
        <x:f>IF(ISNUMBER(AE183),U183/AE183,"")</x:f>
      </x:c>
      <x:c r="AG183" s="29" t="n">
        <x:f>'新車価格・特価'!N35</x:f>
        <x:v>769900</x:v>
      </x:c>
      <x:c r="AH183" s="30" t="n">
        <x:f>IF(ISNUMBER(AG183),U183/AG183,"")</x:f>
        <x:v>0.7650344200545526</x:v>
      </x:c>
      <x:c r="AI183" s="3" t="str">
        <x:v>同年式・グレードの検証済み当時価格なし／登録年混在</x:v>
      </x:c>
      <x:c r="AJ183" s="3" t="str">
        <x:v>走行/条件情報あり</x:v>
      </x:c>
      <x:c r="AK183" s="3" t="str">
        <x:v>一覧の表示価格。年式は掲載年式。</x:v>
      </x:c>
      <x:c r="AL183" s="31" t="n">
        <x:f>IF(AND(J183&lt;='分析方法'!$B$7,OR(ISBLANK(O183),O183&gt;='分析方法'!$B$8),X183&lt;&gt;"売却済み表示"),1,0)</x:f>
        <x:v>0</x:v>
      </x:c>
      <x:c r="AM183" s="32" t="str">
        <x:f>IF(AL183=1,U183,"")</x:f>
      </x:c>
      <x:c r="AN183" s="33" t="str">
        <x:f>IF(AL183=1,AF183,"")</x:f>
      </x:c>
      <x:c r="AO183" s="31" t="n">
        <x:f>'分析方法'!$B$6-J183</x:f>
        <x:v>0</x:v>
      </x:c>
      <x:c r="AP183" s="3"/>
    </x:row>
    <x:row r="184" ht="22" customHeight="1">
      <x:c r="A184" s="3" t="str">
        <x:v>T2917967</x:v>
      </x:c>
      <x:c r="B184" s="7" t="d">
        <x:v>2026-10-08T00:00:00.000Z</x:v>
      </x:c>
      <x:c r="C184" s="3" t="str">
        <x:v>Taladrod</x:v>
      </x:c>
      <x:c r="D184" s="3" t="str">
        <x:v>BYD</x:v>
      </x:c>
      <x:c r="E184" s="3" t="str">
        <x:v>中国</x:v>
      </x:c>
      <x:c r="F184" s="3" t="str">
        <x:v>ATTO 3</x:v>
      </x:c>
      <x:c r="G184" s="3" t="str">
        <x:v>BEV</x:v>
      </x:c>
      <x:c r="H184" s="3" t="str">
        <x:v>SUV</x:v>
      </x:c>
      <x:c r="I184" s="3" t="str"/>
      <x:c r="J184" s="3" t="n">
        <x:v>2026</x:v>
      </x:c>
      <x:c r="K184" s="3" t="str">
        <x:v>PREMIUM</x:v>
      </x:c>
      <x:c r="L184" s="3" t="str">
        <x:v>PREMIUM</x:v>
      </x:c>
      <x:c r="M184" s="22" t="n">
        <x:v>7000</x:v>
      </x:c>
      <x:c r="N184" s="22" t="n">
        <x:v>7000</x:v>
      </x:c>
      <x:c r="O184" s="22" t="n">
        <x:v>7000</x:v>
      </x:c>
      <x:c r="P184" s="3" t="str">
        <x:v>&lt;20千km</x:v>
      </x:c>
      <x:c r="Q184" s="3" t="str">
        <x:v>未取得</x:v>
      </x:c>
      <x:c r="R184" s="3" t="str">
        <x:v>Unknown</x:v>
      </x:c>
      <x:c r="S184" s="3" t="str">
        <x:v>AT</x:v>
      </x:c>
      <x:c r="T184" s="3" t="str">
        <x:v>22-ปัจจุบัน</x:v>
      </x:c>
      <x:c r="U184" s="28" t="n">
        <x:v>529000</x:v>
      </x:c>
      <x:c r="V184" s="28" t="n">
        <x:v>949900</x:v>
      </x:c>
      <x:c r="W184" s="3" t="str">
        <x:v>事故・水没・電池SOH・保証残：未確認</x:v>
      </x:c>
      <x:c r="X184" s="3" t="str">
        <x:v>掲載中・在庫未確認</x:v>
      </x:c>
      <x:c r="Y184" s="3" t="str">
        <x:v>14 ชม.</x:v>
      </x:c>
      <x:c r="Z184" s="27" t="str">
        <x:v>https://www.taladrod.com/w40/icar/cardet.aspx?cid=2917967</x:v>
      </x:c>
      <x:c r="AA184" s="3" t="str">
        <x:v>Taladrod個別広告ID／Carsome在庫ID</x:v>
      </x:c>
      <x:c r="AB184" s="3" t="str">
        <x:v>車台番号未取得／サイト間重複は未判定</x:v>
      </x:c>
      <x:c r="AC184" s="3" t="str">
        <x:v>税込区分未確認</x:v>
      </x:c>
      <x:c r="AD184" s="3" t="str"/>
      <x:c r="AE184" s="29" t="str">
        <x:f>""</x:f>
      </x:c>
      <x:c r="AF184" s="30" t="str">
        <x:f>IF(ISNUMBER(AE184),U184/AE184,"")</x:f>
      </x:c>
      <x:c r="AG184" s="29" t="n">
        <x:f>'新車価格・特価'!N34</x:f>
        <x:v>669900</x:v>
      </x:c>
      <x:c r="AH184" s="30" t="n">
        <x:f>IF(ISNUMBER(AG184),U184/AG184,"")</x:f>
        <x:v>0.7896701000149277</x:v>
      </x:c>
      <x:c r="AI184" s="3" t="str">
        <x:v>同年式・グレードの検証済み当時価格なし／登録年混在</x:v>
      </x:c>
      <x:c r="AJ184" s="3" t="str">
        <x:v>走行/条件情報あり</x:v>
      </x:c>
      <x:c r="AK184" s="3" t="str">
        <x:v>一覧の表示価格。年式は掲載年式。</x:v>
      </x:c>
      <x:c r="AL184" s="31" t="n">
        <x:f>IF(AND(J184&lt;='分析方法'!$B$7,OR(ISBLANK(O184),O184&gt;='分析方法'!$B$8),X184&lt;&gt;"売却済み表示"),1,0)</x:f>
        <x:v>0</x:v>
      </x:c>
      <x:c r="AM184" s="32" t="str">
        <x:f>IF(AL184=1,U184,"")</x:f>
      </x:c>
      <x:c r="AN184" s="33" t="str">
        <x:f>IF(AL184=1,AF184,"")</x:f>
      </x:c>
      <x:c r="AO184" s="31" t="n">
        <x:f>'分析方法'!$B$6-J184</x:f>
        <x:v>0</x:v>
      </x:c>
      <x:c r="AP184" s="3"/>
    </x:row>
    <x:row r="185" ht="22" customHeight="1">
      <x:c r="A185" s="3" t="str">
        <x:v>T2916772</x:v>
      </x:c>
      <x:c r="B185" s="7" t="d">
        <x:v>2026-10-08T00:00:00.000Z</x:v>
      </x:c>
      <x:c r="C185" s="3" t="str">
        <x:v>Taladrod</x:v>
      </x:c>
      <x:c r="D185" s="3" t="str">
        <x:v>Toyota</x:v>
      </x:c>
      <x:c r="E185" s="3" t="str">
        <x:v>日本</x:v>
      </x:c>
      <x:c r="F185" s="3" t="str">
        <x:v>Corolla Altis</x:v>
      </x:c>
      <x:c r="G185" s="3" t="str">
        <x:v>HEV</x:v>
      </x:c>
      <x:c r="H185" s="3" t="str">
        <x:v>Sedan</x:v>
      </x:c>
      <x:c r="I185" s="3" t="str"/>
      <x:c r="J185" s="3" t="n">
        <x:v>2020</x:v>
      </x:c>
      <x:c r="K185" s="3" t="str">
        <x:v>ALTIS 1.8 HYBRID ENTRY</x:v>
      </x:c>
      <x:c r="L185" s="3" t="str">
        <x:v>HEV ENTRY</x:v>
      </x:c>
      <x:c r="M185" s="22"/>
      <x:c r="N185" s="22"/>
      <x:c r="O185" s="22"/>
      <x:c r="P185" s="3" t="str">
        <x:v>未掲載</x:v>
      </x:c>
      <x:c r="Q185" s="3" t="str">
        <x:v>未取得</x:v>
      </x:c>
      <x:c r="R185" s="3" t="str">
        <x:v>Unknown</x:v>
      </x:c>
      <x:c r="S185" s="3" t="str">
        <x:v>不明</x:v>
      </x:c>
      <x:c r="T185" s="3" t="str">
        <x:v>19-ปัจจุบัน</x:v>
      </x:c>
      <x:c r="U185" s="28" t="n">
        <x:v>479000</x:v>
      </x:c>
      <x:c r="V185" s="28" t="n">
        <x:v>939000</x:v>
      </x:c>
      <x:c r="W185" s="3" t="str">
        <x:v>事故・水没・SOH・保証残は未確認</x:v>
      </x:c>
      <x:c r="X185" s="3" t="str">
        <x:v>掲載中・在庫未確認</x:v>
      </x:c>
      <x:c r="Y185" s="3" t="str"/>
      <x:c r="Z185" s="27" t="str">
        <x:v>https://www.taladrod.com/w40/icar/cardet.aspx?cid=2916772</x:v>
      </x:c>
      <x:c r="AA185" s="3" t="str">
        <x:v>Taladrod個別広告ID／Carsome在庫ID</x:v>
      </x:c>
      <x:c r="AB185" s="3" t="str">
        <x:v>車台番号未取得／サイト間重複は未判定</x:v>
      </x:c>
      <x:c r="AC185" s="3" t="str">
        <x:v>税込区分未確認（一覧表示額）</x:v>
      </x:c>
      <x:c r="AD185" s="3" t="str"/>
      <x:c r="AE185" s="29" t="str">
        <x:f>""</x:f>
      </x:c>
      <x:c r="AF185" s="30" t="str">
        <x:f>IF(ISNUMBER(AE185),U185/AE185,"")</x:f>
      </x:c>
      <x:c r="AG185" s="29" t="str">
        <x:f>""</x:f>
      </x:c>
      <x:c r="AH185" s="30" t="str">
        <x:f>IF(ISNUMBER(AG185),U185/AG185,"")</x:f>
      </x:c>
      <x:c r="AI185" s="3" t="str">
        <x:v>同年式・グレードの検証済み当時価格なし／登録年混在</x:v>
      </x:c>
      <x:c r="AJ185" s="3" t="str">
        <x:v>一覧価格/年式のみ</x:v>
      </x:c>
      <x:c r="AK185" s="3" t="str">
        <x:v>一覧の表示価格。年式は掲載年式。</x:v>
      </x:c>
      <x:c r="AL185" s="31" t="n">
        <x:f>IF(AND(J185&lt;='分析方法'!$B$7,OR(ISBLANK(O185),O185&gt;='分析方法'!$B$8),X185&lt;&gt;"売却済み表示"),1,0)</x:f>
        <x:v>1</x:v>
      </x:c>
      <x:c r="AM185" s="32" t="n">
        <x:f>IF(AL185=1,U185,"")</x:f>
        <x:v>479000</x:v>
      </x:c>
      <x:c r="AN185" s="33" t="str">
        <x:f>IF(AL185=1,AF185,"")</x:f>
      </x:c>
      <x:c r="AO185" s="31" t="n">
        <x:f>'分析方法'!$B$6-J185</x:f>
        <x:v>6</x:v>
      </x:c>
      <x:c r="AP185" s="3"/>
    </x:row>
    <x:row r="186" ht="22" customHeight="1">
      <x:c r="A186" s="3" t="str">
        <x:v>T2915302</x:v>
      </x:c>
      <x:c r="B186" s="7" t="d">
        <x:v>2026-10-08T00:00:00.000Z</x:v>
      </x:c>
      <x:c r="C186" s="3" t="str">
        <x:v>Taladrod</x:v>
      </x:c>
      <x:c r="D186" s="3" t="str">
        <x:v>Toyota</x:v>
      </x:c>
      <x:c r="E186" s="3" t="str">
        <x:v>日本</x:v>
      </x:c>
      <x:c r="F186" s="3" t="str">
        <x:v>Corolla Altis</x:v>
      </x:c>
      <x:c r="G186" s="3" t="str">
        <x:v>HEV</x:v>
      </x:c>
      <x:c r="H186" s="3" t="str">
        <x:v>Sedan</x:v>
      </x:c>
      <x:c r="I186" s="3" t="str"/>
      <x:c r="J186" s="3" t="n">
        <x:v>2020</x:v>
      </x:c>
      <x:c r="K186" s="3" t="str">
        <x:v>ALTIS 1.8 HYBRID HIGH</x:v>
      </x:c>
      <x:c r="L186" s="3" t="str">
        <x:v>HEV HIGH</x:v>
      </x:c>
      <x:c r="M186" s="22"/>
      <x:c r="N186" s="22"/>
      <x:c r="O186" s="22"/>
      <x:c r="P186" s="3" t="str">
        <x:v>未掲載</x:v>
      </x:c>
      <x:c r="Q186" s="3" t="str">
        <x:v>未取得</x:v>
      </x:c>
      <x:c r="R186" s="3" t="str">
        <x:v>Unknown</x:v>
      </x:c>
      <x:c r="S186" s="3" t="str">
        <x:v>不明</x:v>
      </x:c>
      <x:c r="T186" s="3" t="str">
        <x:v>19-ปัจจุบัน</x:v>
      </x:c>
      <x:c r="U186" s="28" t="n">
        <x:v>459000</x:v>
      </x:c>
      <x:c r="V186" s="28" t="n">
        <x:v>1099000</x:v>
      </x:c>
      <x:c r="W186" s="3" t="str">
        <x:v>事故・水没・SOH・保証残は未確認</x:v>
      </x:c>
      <x:c r="X186" s="3" t="str">
        <x:v>掲載中・在庫未確認</x:v>
      </x:c>
      <x:c r="Y186" s="3" t="str"/>
      <x:c r="Z186" s="27" t="str">
        <x:v>https://www.taladrod.com/w40/icar/cardet.aspx?cid=2915302</x:v>
      </x:c>
      <x:c r="AA186" s="3" t="str">
        <x:v>Taladrod個別広告ID／Carsome在庫ID</x:v>
      </x:c>
      <x:c r="AB186" s="3" t="str">
        <x:v>車台番号未取得／サイト間重複は未判定</x:v>
      </x:c>
      <x:c r="AC186" s="3" t="str">
        <x:v>税込区分未確認（一覧表示額）</x:v>
      </x:c>
      <x:c r="AD186" s="3" t="str"/>
      <x:c r="AE186" s="29" t="str">
        <x:f>""</x:f>
      </x:c>
      <x:c r="AF186" s="30" t="str">
        <x:f>IF(ISNUMBER(AE186),U186/AE186,"")</x:f>
      </x:c>
      <x:c r="AG186" s="29" t="str">
        <x:f>""</x:f>
      </x:c>
      <x:c r="AH186" s="30" t="str">
        <x:f>IF(ISNUMBER(AG186),U186/AG186,"")</x:f>
      </x:c>
      <x:c r="AI186" s="3" t="str">
        <x:v>同年式・グレードの検証済み当時価格なし／登録年混在</x:v>
      </x:c>
      <x:c r="AJ186" s="3" t="str">
        <x:v>一覧価格/年式のみ</x:v>
      </x:c>
      <x:c r="AK186" s="3" t="str">
        <x:v>一覧の表示価格。年式は掲載年式。</x:v>
      </x:c>
      <x:c r="AL186" s="31" t="n">
        <x:f>IF(AND(J186&lt;='分析方法'!$B$7,OR(ISBLANK(O186),O186&gt;='分析方法'!$B$8),X186&lt;&gt;"売却済み表示"),1,0)</x:f>
        <x:v>1</x:v>
      </x:c>
      <x:c r="AM186" s="32" t="n">
        <x:f>IF(AL186=1,U186,"")</x:f>
        <x:v>459000</x:v>
      </x:c>
      <x:c r="AN186" s="33" t="str">
        <x:f>IF(AL186=1,AF186,"")</x:f>
      </x:c>
      <x:c r="AO186" s="31" t="n">
        <x:f>'分析方法'!$B$6-J186</x:f>
        <x:v>6</x:v>
      </x:c>
      <x:c r="AP186" s="3"/>
    </x:row>
    <x:row r="187" ht="22" customHeight="1">
      <x:c r="A187" s="3" t="str">
        <x:v>T2922297</x:v>
      </x:c>
      <x:c r="B187" s="7" t="d">
        <x:v>2026-10-08T00:00:00.000Z</x:v>
      </x:c>
      <x:c r="C187" s="3" t="str">
        <x:v>Taladrod</x:v>
      </x:c>
      <x:c r="D187" s="3" t="str">
        <x:v>Toyota</x:v>
      </x:c>
      <x:c r="E187" s="3" t="str">
        <x:v>日本</x:v>
      </x:c>
      <x:c r="F187" s="3" t="str">
        <x:v>Corolla Altis</x:v>
      </x:c>
      <x:c r="G187" s="3" t="str">
        <x:v>HEV</x:v>
      </x:c>
      <x:c r="H187" s="3" t="str">
        <x:v>Sedan</x:v>
      </x:c>
      <x:c r="I187" s="3" t="str"/>
      <x:c r="J187" s="3" t="n">
        <x:v>2020</x:v>
      </x:c>
      <x:c r="K187" s="3" t="str">
        <x:v>ALTIS 1.8 HYBRID HIGH</x:v>
      </x:c>
      <x:c r="L187" s="3" t="str">
        <x:v>HEV HIGH</x:v>
      </x:c>
      <x:c r="M187" s="22"/>
      <x:c r="N187" s="22"/>
      <x:c r="O187" s="22"/>
      <x:c r="P187" s="3" t="str">
        <x:v>未掲載</x:v>
      </x:c>
      <x:c r="Q187" s="3" t="str">
        <x:v>未取得</x:v>
      </x:c>
      <x:c r="R187" s="3" t="str">
        <x:v>Unknown</x:v>
      </x:c>
      <x:c r="S187" s="3" t="str">
        <x:v>不明</x:v>
      </x:c>
      <x:c r="T187" s="3" t="str">
        <x:v>19-ปัจจุบัน</x:v>
      </x:c>
      <x:c r="U187" s="28" t="n">
        <x:v>559000</x:v>
      </x:c>
      <x:c r="V187" s="28" t="n">
        <x:v>1099000</x:v>
      </x:c>
      <x:c r="W187" s="3" t="str">
        <x:v>事故・水没・SOH・保証残は未確認</x:v>
      </x:c>
      <x:c r="X187" s="3" t="str">
        <x:v>掲載中・在庫未確認</x:v>
      </x:c>
      <x:c r="Y187" s="3" t="str"/>
      <x:c r="Z187" s="27" t="str">
        <x:v>https://www.taladrod.com/w40/icar/cardet.aspx?cid=2922297</x:v>
      </x:c>
      <x:c r="AA187" s="3" t="str">
        <x:v>Taladrod個別広告ID／Carsome在庫ID</x:v>
      </x:c>
      <x:c r="AB187" s="3" t="str">
        <x:v>車台番号未取得／サイト間重複は未判定</x:v>
      </x:c>
      <x:c r="AC187" s="3" t="str">
        <x:v>税込区分未確認（一覧表示額）</x:v>
      </x:c>
      <x:c r="AD187" s="3" t="str"/>
      <x:c r="AE187" s="29" t="str">
        <x:f>""</x:f>
      </x:c>
      <x:c r="AF187" s="30" t="str">
        <x:f>IF(ISNUMBER(AE187),U187/AE187,"")</x:f>
      </x:c>
      <x:c r="AG187" s="29" t="str">
        <x:f>""</x:f>
      </x:c>
      <x:c r="AH187" s="30" t="str">
        <x:f>IF(ISNUMBER(AG187),U187/AG187,"")</x:f>
      </x:c>
      <x:c r="AI187" s="3" t="str">
        <x:v>同年式・グレードの検証済み当時価格なし／登録年混在</x:v>
      </x:c>
      <x:c r="AJ187" s="3" t="str">
        <x:v>一覧価格/年式のみ</x:v>
      </x:c>
      <x:c r="AK187" s="3" t="str">
        <x:v>一覧の表示価格。年式は掲載年式。</x:v>
      </x:c>
      <x:c r="AL187" s="31" t="n">
        <x:f>IF(AND(J187&lt;='分析方法'!$B$7,OR(ISBLANK(O187),O187&gt;='分析方法'!$B$8),X187&lt;&gt;"売却済み表示"),1,0)</x:f>
        <x:v>1</x:v>
      </x:c>
      <x:c r="AM187" s="32" t="n">
        <x:f>IF(AL187=1,U187,"")</x:f>
        <x:v>559000</x:v>
      </x:c>
      <x:c r="AN187" s="33" t="str">
        <x:f>IF(AL187=1,AF187,"")</x:f>
      </x:c>
      <x:c r="AO187" s="31" t="n">
        <x:f>'分析方法'!$B$6-J187</x:f>
        <x:v>6</x:v>
      </x:c>
      <x:c r="AP187" s="3"/>
    </x:row>
    <x:row r="188" ht="22" customHeight="1">
      <x:c r="A188" s="3" t="str">
        <x:v>T2923137</x:v>
      </x:c>
      <x:c r="B188" s="7" t="d">
        <x:v>2026-10-08T00:00:00.000Z</x:v>
      </x:c>
      <x:c r="C188" s="3" t="str">
        <x:v>Taladrod</x:v>
      </x:c>
      <x:c r="D188" s="3" t="str">
        <x:v>Toyota</x:v>
      </x:c>
      <x:c r="E188" s="3" t="str">
        <x:v>日本</x:v>
      </x:c>
      <x:c r="F188" s="3" t="str">
        <x:v>Corolla Altis</x:v>
      </x:c>
      <x:c r="G188" s="3" t="str">
        <x:v>HEV</x:v>
      </x:c>
      <x:c r="H188" s="3" t="str">
        <x:v>Sedan</x:v>
      </x:c>
      <x:c r="I188" s="3" t="str"/>
      <x:c r="J188" s="3" t="n">
        <x:v>2020</x:v>
      </x:c>
      <x:c r="K188" s="3" t="str">
        <x:v>ALTIS 1.8 HYBRID HIGH</x:v>
      </x:c>
      <x:c r="L188" s="3" t="str">
        <x:v>HEV HIGH</x:v>
      </x:c>
      <x:c r="M188" s="22"/>
      <x:c r="N188" s="22"/>
      <x:c r="O188" s="22"/>
      <x:c r="P188" s="3" t="str">
        <x:v>未掲載</x:v>
      </x:c>
      <x:c r="Q188" s="3" t="str">
        <x:v>未取得</x:v>
      </x:c>
      <x:c r="R188" s="3" t="str">
        <x:v>Unknown</x:v>
      </x:c>
      <x:c r="S188" s="3" t="str">
        <x:v>不明</x:v>
      </x:c>
      <x:c r="T188" s="3" t="str">
        <x:v>19-ปัจจุบัน</x:v>
      </x:c>
      <x:c r="U188" s="28" t="n">
        <x:v>499000</x:v>
      </x:c>
      <x:c r="V188" s="28" t="n">
        <x:v>1099000</x:v>
      </x:c>
      <x:c r="W188" s="3" t="str">
        <x:v>事故・水没・SOH・保証残は未確認</x:v>
      </x:c>
      <x:c r="X188" s="3" t="str">
        <x:v>掲載中・在庫未確認</x:v>
      </x:c>
      <x:c r="Y188" s="3" t="str"/>
      <x:c r="Z188" s="27" t="str">
        <x:v>https://www.taladrod.com/w40/icar/cardet.aspx?cid=2923137</x:v>
      </x:c>
      <x:c r="AA188" s="3" t="str">
        <x:v>Taladrod個別広告ID／Carsome在庫ID</x:v>
      </x:c>
      <x:c r="AB188" s="3" t="str">
        <x:v>車台番号未取得／サイト間重複は未判定</x:v>
      </x:c>
      <x:c r="AC188" s="3" t="str">
        <x:v>税込区分未確認（一覧表示額）</x:v>
      </x:c>
      <x:c r="AD188" s="3" t="str"/>
      <x:c r="AE188" s="29" t="str">
        <x:f>""</x:f>
      </x:c>
      <x:c r="AF188" s="30" t="str">
        <x:f>IF(ISNUMBER(AE188),U188/AE188,"")</x:f>
      </x:c>
      <x:c r="AG188" s="29" t="str">
        <x:f>""</x:f>
      </x:c>
      <x:c r="AH188" s="30" t="str">
        <x:f>IF(ISNUMBER(AG188),U188/AG188,"")</x:f>
      </x:c>
      <x:c r="AI188" s="3" t="str">
        <x:v>同年式・グレードの検証済み当時価格なし／登録年混在</x:v>
      </x:c>
      <x:c r="AJ188" s="3" t="str">
        <x:v>一覧価格/年式のみ</x:v>
      </x:c>
      <x:c r="AK188" s="3" t="str">
        <x:v>一覧の表示価格。年式は掲載年式。</x:v>
      </x:c>
      <x:c r="AL188" s="31" t="n">
        <x:f>IF(AND(J188&lt;='分析方法'!$B$7,OR(ISBLANK(O188),O188&gt;='分析方法'!$B$8),X188&lt;&gt;"売却済み表示"),1,0)</x:f>
        <x:v>1</x:v>
      </x:c>
      <x:c r="AM188" s="32" t="n">
        <x:f>IF(AL188=1,U188,"")</x:f>
        <x:v>499000</x:v>
      </x:c>
      <x:c r="AN188" s="33" t="str">
        <x:f>IF(AL188=1,AF188,"")</x:f>
      </x:c>
      <x:c r="AO188" s="31" t="n">
        <x:f>'分析方法'!$B$6-J188</x:f>
        <x:v>6</x:v>
      </x:c>
      <x:c r="AP188" s="3"/>
    </x:row>
    <x:row r="189" ht="22" customHeight="1">
      <x:c r="A189" s="3" t="str">
        <x:v>T2925551</x:v>
      </x:c>
      <x:c r="B189" s="7" t="d">
        <x:v>2026-10-08T00:00:00.000Z</x:v>
      </x:c>
      <x:c r="C189" s="3" t="str">
        <x:v>Taladrod</x:v>
      </x:c>
      <x:c r="D189" s="3" t="str">
        <x:v>Toyota</x:v>
      </x:c>
      <x:c r="E189" s="3" t="str">
        <x:v>日本</x:v>
      </x:c>
      <x:c r="F189" s="3" t="str">
        <x:v>Corolla Altis</x:v>
      </x:c>
      <x:c r="G189" s="3" t="str">
        <x:v>HEV</x:v>
      </x:c>
      <x:c r="H189" s="3" t="str">
        <x:v>Sedan</x:v>
      </x:c>
      <x:c r="I189" s="3" t="str"/>
      <x:c r="J189" s="3" t="n">
        <x:v>2020</x:v>
      </x:c>
      <x:c r="K189" s="3" t="str">
        <x:v>ALTIS 1.8 HYBRID HIGH</x:v>
      </x:c>
      <x:c r="L189" s="3" t="str">
        <x:v>HEV HIGH</x:v>
      </x:c>
      <x:c r="M189" s="22"/>
      <x:c r="N189" s="22"/>
      <x:c r="O189" s="22"/>
      <x:c r="P189" s="3" t="str">
        <x:v>未掲載</x:v>
      </x:c>
      <x:c r="Q189" s="3" t="str">
        <x:v>未取得</x:v>
      </x:c>
      <x:c r="R189" s="3" t="str">
        <x:v>Unknown</x:v>
      </x:c>
      <x:c r="S189" s="3" t="str">
        <x:v>不明</x:v>
      </x:c>
      <x:c r="T189" s="3" t="str">
        <x:v>19-ปัจจุบัน</x:v>
      </x:c>
      <x:c r="U189" s="28" t="n">
        <x:v>469000</x:v>
      </x:c>
      <x:c r="V189" s="28" t="n">
        <x:v>1099000</x:v>
      </x:c>
      <x:c r="W189" s="3" t="str">
        <x:v>事故・水没・SOH・保証残は未確認</x:v>
      </x:c>
      <x:c r="X189" s="3" t="str">
        <x:v>掲載中・在庫未確認</x:v>
      </x:c>
      <x:c r="Y189" s="3" t="str"/>
      <x:c r="Z189" s="27" t="str">
        <x:v>https://www.taladrod.com/w40/icar/cardet.aspx?cid=2925551</x:v>
      </x:c>
      <x:c r="AA189" s="3" t="str">
        <x:v>Taladrod個別広告ID／Carsome在庫ID</x:v>
      </x:c>
      <x:c r="AB189" s="3" t="str">
        <x:v>車台番号未取得／サイト間重複は未判定</x:v>
      </x:c>
      <x:c r="AC189" s="3" t="str">
        <x:v>税込区分未確認（一覧表示額）</x:v>
      </x:c>
      <x:c r="AD189" s="3" t="str"/>
      <x:c r="AE189" s="29" t="str">
        <x:f>""</x:f>
      </x:c>
      <x:c r="AF189" s="30" t="str">
        <x:f>IF(ISNUMBER(AE189),U189/AE189,"")</x:f>
      </x:c>
      <x:c r="AG189" s="29" t="str">
        <x:f>""</x:f>
      </x:c>
      <x:c r="AH189" s="30" t="str">
        <x:f>IF(ISNUMBER(AG189),U189/AG189,"")</x:f>
      </x:c>
      <x:c r="AI189" s="3" t="str">
        <x:v>同年式・グレードの検証済み当時価格なし／登録年混在</x:v>
      </x:c>
      <x:c r="AJ189" s="3" t="str">
        <x:v>一覧価格/年式のみ</x:v>
      </x:c>
      <x:c r="AK189" s="3" t="str">
        <x:v>一覧の表示価格。年式は掲載年式。</x:v>
      </x:c>
      <x:c r="AL189" s="31" t="n">
        <x:f>IF(AND(J189&lt;='分析方法'!$B$7,OR(ISBLANK(O189),O189&gt;='分析方法'!$B$8),X189&lt;&gt;"売却済み表示"),1,0)</x:f>
        <x:v>1</x:v>
      </x:c>
      <x:c r="AM189" s="32" t="n">
        <x:f>IF(AL189=1,U189,"")</x:f>
        <x:v>469000</x:v>
      </x:c>
      <x:c r="AN189" s="33" t="str">
        <x:f>IF(AL189=1,AF189,"")</x:f>
      </x:c>
      <x:c r="AO189" s="31" t="n">
        <x:f>'分析方法'!$B$6-J189</x:f>
        <x:v>6</x:v>
      </x:c>
      <x:c r="AP189" s="3"/>
    </x:row>
    <x:row r="190" ht="22" customHeight="1">
      <x:c r="A190" s="3" t="str">
        <x:v>T2880398</x:v>
      </x:c>
      <x:c r="B190" s="7" t="d">
        <x:v>2026-10-08T00:00:00.000Z</x:v>
      </x:c>
      <x:c r="C190" s="3" t="str">
        <x:v>Taladrod</x:v>
      </x:c>
      <x:c r="D190" s="3" t="str">
        <x:v>Toyota</x:v>
      </x:c>
      <x:c r="E190" s="3" t="str">
        <x:v>日本</x:v>
      </x:c>
      <x:c r="F190" s="3" t="str">
        <x:v>Corolla Altis</x:v>
      </x:c>
      <x:c r="G190" s="3" t="str">
        <x:v>HEV</x:v>
      </x:c>
      <x:c r="H190" s="3" t="str">
        <x:v>Sedan</x:v>
      </x:c>
      <x:c r="I190" s="3" t="str"/>
      <x:c r="J190" s="3" t="n">
        <x:v>2020</x:v>
      </x:c>
      <x:c r="K190" s="3" t="str">
        <x:v>ALTIS 1.8 HYBRID MID</x:v>
      </x:c>
      <x:c r="L190" s="3" t="str">
        <x:v>HEV MID</x:v>
      </x:c>
      <x:c r="M190" s="22"/>
      <x:c r="N190" s="22"/>
      <x:c r="O190" s="22"/>
      <x:c r="P190" s="3" t="str">
        <x:v>未掲載</x:v>
      </x:c>
      <x:c r="Q190" s="3" t="str">
        <x:v>未取得</x:v>
      </x:c>
      <x:c r="R190" s="3" t="str">
        <x:v>Unknown</x:v>
      </x:c>
      <x:c r="S190" s="3" t="str">
        <x:v>不明</x:v>
      </x:c>
      <x:c r="T190" s="3" t="str">
        <x:v>19-ปัจจุบัน</x:v>
      </x:c>
      <x:c r="U190" s="28" t="n">
        <x:v>499000</x:v>
      </x:c>
      <x:c r="V190" s="28" t="n">
        <x:v>989000</x:v>
      </x:c>
      <x:c r="W190" s="3" t="str">
        <x:v>事故・水没・SOH・保証残は未確認</x:v>
      </x:c>
      <x:c r="X190" s="3" t="str">
        <x:v>掲載中・在庫未確認</x:v>
      </x:c>
      <x:c r="Y190" s="3" t="str"/>
      <x:c r="Z190" s="27" t="str">
        <x:v>https://www.taladrod.com/w40/icar/cardet.aspx?cid=2880398</x:v>
      </x:c>
      <x:c r="AA190" s="3" t="str">
        <x:v>Taladrod個別広告ID／Carsome在庫ID</x:v>
      </x:c>
      <x:c r="AB190" s="3" t="str">
        <x:v>車台番号未取得／サイト間重複は未判定</x:v>
      </x:c>
      <x:c r="AC190" s="3" t="str">
        <x:v>税込区分未確認（一覧表示額）</x:v>
      </x:c>
      <x:c r="AD190" s="3" t="str"/>
      <x:c r="AE190" s="29" t="str">
        <x:f>""</x:f>
      </x:c>
      <x:c r="AF190" s="30" t="str">
        <x:f>IF(ISNUMBER(AE190),U190/AE190,"")</x:f>
      </x:c>
      <x:c r="AG190" s="29" t="str">
        <x:f>""</x:f>
      </x:c>
      <x:c r="AH190" s="30" t="str">
        <x:f>IF(ISNUMBER(AG190),U190/AG190,"")</x:f>
      </x:c>
      <x:c r="AI190" s="3" t="str">
        <x:v>同年式・グレードの検証済み当時価格なし／登録年混在</x:v>
      </x:c>
      <x:c r="AJ190" s="3" t="str">
        <x:v>一覧価格/年式のみ</x:v>
      </x:c>
      <x:c r="AK190" s="3" t="str">
        <x:v>一覧の表示価格。年式は掲載年式。</x:v>
      </x:c>
      <x:c r="AL190" s="31" t="n">
        <x:f>IF(AND(J190&lt;='分析方法'!$B$7,OR(ISBLANK(O190),O190&gt;='分析方法'!$B$8),X190&lt;&gt;"売却済み表示"),1,0)</x:f>
        <x:v>1</x:v>
      </x:c>
      <x:c r="AM190" s="32" t="n">
        <x:f>IF(AL190=1,U190,"")</x:f>
        <x:v>499000</x:v>
      </x:c>
      <x:c r="AN190" s="33" t="str">
        <x:f>IF(AL190=1,AF190,"")</x:f>
      </x:c>
      <x:c r="AO190" s="31" t="n">
        <x:f>'分析方法'!$B$6-J190</x:f>
        <x:v>6</x:v>
      </x:c>
      <x:c r="AP190" s="3"/>
    </x:row>
    <x:row r="191" ht="22" customHeight="1">
      <x:c r="A191" s="3" t="str">
        <x:v>T2897609</x:v>
      </x:c>
      <x:c r="B191" s="7" t="d">
        <x:v>2026-10-08T00:00:00.000Z</x:v>
      </x:c>
      <x:c r="C191" s="3" t="str">
        <x:v>Taladrod</x:v>
      </x:c>
      <x:c r="D191" s="3" t="str">
        <x:v>Toyota</x:v>
      </x:c>
      <x:c r="E191" s="3" t="str">
        <x:v>日本</x:v>
      </x:c>
      <x:c r="F191" s="3" t="str">
        <x:v>Corolla Altis</x:v>
      </x:c>
      <x:c r="G191" s="3" t="str">
        <x:v>HEV</x:v>
      </x:c>
      <x:c r="H191" s="3" t="str">
        <x:v>Sedan</x:v>
      </x:c>
      <x:c r="I191" s="3" t="str"/>
      <x:c r="J191" s="3" t="n">
        <x:v>2020</x:v>
      </x:c>
      <x:c r="K191" s="3" t="str">
        <x:v>ALTIS 1.8 HYBRID MID</x:v>
      </x:c>
      <x:c r="L191" s="3" t="str">
        <x:v>HEV MID</x:v>
      </x:c>
      <x:c r="M191" s="22"/>
      <x:c r="N191" s="22"/>
      <x:c r="O191" s="22"/>
      <x:c r="P191" s="3" t="str">
        <x:v>未掲載</x:v>
      </x:c>
      <x:c r="Q191" s="3" t="str">
        <x:v>未取得</x:v>
      </x:c>
      <x:c r="R191" s="3" t="str">
        <x:v>Unknown</x:v>
      </x:c>
      <x:c r="S191" s="3" t="str">
        <x:v>不明</x:v>
      </x:c>
      <x:c r="T191" s="3" t="str">
        <x:v>19-ปัจจุบัน</x:v>
      </x:c>
      <x:c r="U191" s="28" t="n">
        <x:v>449000</x:v>
      </x:c>
      <x:c r="V191" s="28" t="n">
        <x:v>989000</x:v>
      </x:c>
      <x:c r="W191" s="3" t="str">
        <x:v>事故・水没・SOH・保証残は未確認</x:v>
      </x:c>
      <x:c r="X191" s="3" t="str">
        <x:v>掲載中・在庫未確認</x:v>
      </x:c>
      <x:c r="Y191" s="3" t="str"/>
      <x:c r="Z191" s="27" t="str">
        <x:v>https://www.taladrod.com/w40/icar/cardet.aspx?cid=2897609</x:v>
      </x:c>
      <x:c r="AA191" s="3" t="str">
        <x:v>Taladrod個別広告ID／Carsome在庫ID</x:v>
      </x:c>
      <x:c r="AB191" s="3" t="str">
        <x:v>車台番号未取得／サイト間重複は未判定</x:v>
      </x:c>
      <x:c r="AC191" s="3" t="str">
        <x:v>税込区分未確認（一覧表示額）</x:v>
      </x:c>
      <x:c r="AD191" s="3" t="str"/>
      <x:c r="AE191" s="29" t="str">
        <x:f>""</x:f>
      </x:c>
      <x:c r="AF191" s="30" t="str">
        <x:f>IF(ISNUMBER(AE191),U191/AE191,"")</x:f>
      </x:c>
      <x:c r="AG191" s="29" t="str">
        <x:f>""</x:f>
      </x:c>
      <x:c r="AH191" s="30" t="str">
        <x:f>IF(ISNUMBER(AG191),U191/AG191,"")</x:f>
      </x:c>
      <x:c r="AI191" s="3" t="str">
        <x:v>同年式・グレードの検証済み当時価格なし／登録年混在</x:v>
      </x:c>
      <x:c r="AJ191" s="3" t="str">
        <x:v>一覧価格/年式のみ</x:v>
      </x:c>
      <x:c r="AK191" s="3" t="str">
        <x:v>一覧の表示価格。年式は掲載年式。</x:v>
      </x:c>
      <x:c r="AL191" s="31" t="n">
        <x:f>IF(AND(J191&lt;='分析方法'!$B$7,OR(ISBLANK(O191),O191&gt;='分析方法'!$B$8),X191&lt;&gt;"売却済み表示"),1,0)</x:f>
        <x:v>1</x:v>
      </x:c>
      <x:c r="AM191" s="32" t="n">
        <x:f>IF(AL191=1,U191,"")</x:f>
        <x:v>449000</x:v>
      </x:c>
      <x:c r="AN191" s="33" t="str">
        <x:f>IF(AL191=1,AF191,"")</x:f>
      </x:c>
      <x:c r="AO191" s="31" t="n">
        <x:f>'分析方法'!$B$6-J191</x:f>
        <x:v>6</x:v>
      </x:c>
      <x:c r="AP191" s="3"/>
    </x:row>
    <x:row r="192" ht="22" customHeight="1">
      <x:c r="A192" s="3" t="str">
        <x:v>T2915785</x:v>
      </x:c>
      <x:c r="B192" s="7" t="d">
        <x:v>2026-10-08T00:00:00.000Z</x:v>
      </x:c>
      <x:c r="C192" s="3" t="str">
        <x:v>Taladrod</x:v>
      </x:c>
      <x:c r="D192" s="3" t="str">
        <x:v>Toyota</x:v>
      </x:c>
      <x:c r="E192" s="3" t="str">
        <x:v>日本</x:v>
      </x:c>
      <x:c r="F192" s="3" t="str">
        <x:v>Corolla Altis</x:v>
      </x:c>
      <x:c r="G192" s="3" t="str">
        <x:v>HEV</x:v>
      </x:c>
      <x:c r="H192" s="3" t="str">
        <x:v>Sedan</x:v>
      </x:c>
      <x:c r="I192" s="3" t="str"/>
      <x:c r="J192" s="3" t="n">
        <x:v>2020</x:v>
      </x:c>
      <x:c r="K192" s="3" t="str">
        <x:v>ALTIS 1.8 HYBRID MID</x:v>
      </x:c>
      <x:c r="L192" s="3" t="str">
        <x:v>HEV MID</x:v>
      </x:c>
      <x:c r="M192" s="22"/>
      <x:c r="N192" s="22"/>
      <x:c r="O192" s="22"/>
      <x:c r="P192" s="3" t="str">
        <x:v>未掲載</x:v>
      </x:c>
      <x:c r="Q192" s="3" t="str">
        <x:v>未取得</x:v>
      </x:c>
      <x:c r="R192" s="3" t="str">
        <x:v>Unknown</x:v>
      </x:c>
      <x:c r="S192" s="3" t="str">
        <x:v>不明</x:v>
      </x:c>
      <x:c r="T192" s="3" t="str">
        <x:v>19-ปัจจุบัน</x:v>
      </x:c>
      <x:c r="U192" s="28" t="n">
        <x:v>424000</x:v>
      </x:c>
      <x:c r="V192" s="28" t="n">
        <x:v>989000</x:v>
      </x:c>
      <x:c r="W192" s="3" t="str">
        <x:v>事故・水没・SOH・保証残は未確認</x:v>
      </x:c>
      <x:c r="X192" s="3" t="str">
        <x:v>掲載中・在庫未確認</x:v>
      </x:c>
      <x:c r="Y192" s="3" t="str"/>
      <x:c r="Z192" s="27" t="str">
        <x:v>https://www.taladrod.com/w40/icar/cardet.aspx?cid=2915785</x:v>
      </x:c>
      <x:c r="AA192" s="3" t="str">
        <x:v>Taladrod個別広告ID／Carsome在庫ID</x:v>
      </x:c>
      <x:c r="AB192" s="3" t="str">
        <x:v>車台番号未取得／サイト間重複は未判定</x:v>
      </x:c>
      <x:c r="AC192" s="3" t="str">
        <x:v>税込区分未確認（一覧表示額）</x:v>
      </x:c>
      <x:c r="AD192" s="3" t="str"/>
      <x:c r="AE192" s="29" t="str">
        <x:f>""</x:f>
      </x:c>
      <x:c r="AF192" s="30" t="str">
        <x:f>IF(ISNUMBER(AE192),U192/AE192,"")</x:f>
      </x:c>
      <x:c r="AG192" s="29" t="str">
        <x:f>""</x:f>
      </x:c>
      <x:c r="AH192" s="30" t="str">
        <x:f>IF(ISNUMBER(AG192),U192/AG192,"")</x:f>
      </x:c>
      <x:c r="AI192" s="3" t="str">
        <x:v>同年式・グレードの検証済み当時価格なし／登録年混在</x:v>
      </x:c>
      <x:c r="AJ192" s="3" t="str">
        <x:v>一覧価格/年式のみ</x:v>
      </x:c>
      <x:c r="AK192" s="3" t="str">
        <x:v>一覧の表示価格。年式は掲載年式。</x:v>
      </x:c>
      <x:c r="AL192" s="31" t="n">
        <x:f>IF(AND(J192&lt;='分析方法'!$B$7,OR(ISBLANK(O192),O192&gt;='分析方法'!$B$8),X192&lt;&gt;"売却済み表示"),1,0)</x:f>
        <x:v>1</x:v>
      </x:c>
      <x:c r="AM192" s="32" t="n">
        <x:f>IF(AL192=1,U192,"")</x:f>
        <x:v>424000</x:v>
      </x:c>
      <x:c r="AN192" s="33" t="str">
        <x:f>IF(AL192=1,AF192,"")</x:f>
      </x:c>
      <x:c r="AO192" s="31" t="n">
        <x:f>'分析方法'!$B$6-J192</x:f>
        <x:v>6</x:v>
      </x:c>
      <x:c r="AP192" s="3"/>
    </x:row>
    <x:row r="193" ht="22" customHeight="1">
      <x:c r="A193" s="3" t="str">
        <x:v>T2919866</x:v>
      </x:c>
      <x:c r="B193" s="7" t="d">
        <x:v>2026-10-08T00:00:00.000Z</x:v>
      </x:c>
      <x:c r="C193" s="3" t="str">
        <x:v>Taladrod</x:v>
      </x:c>
      <x:c r="D193" s="3" t="str">
        <x:v>Toyota</x:v>
      </x:c>
      <x:c r="E193" s="3" t="str">
        <x:v>日本</x:v>
      </x:c>
      <x:c r="F193" s="3" t="str">
        <x:v>Corolla Altis</x:v>
      </x:c>
      <x:c r="G193" s="3" t="str">
        <x:v>HEV</x:v>
      </x:c>
      <x:c r="H193" s="3" t="str">
        <x:v>Sedan</x:v>
      </x:c>
      <x:c r="I193" s="3" t="str"/>
      <x:c r="J193" s="3" t="n">
        <x:v>2020</x:v>
      </x:c>
      <x:c r="K193" s="3" t="str">
        <x:v>ALTIS 1.8 HYBRID PREMIUM</x:v>
      </x:c>
      <x:c r="L193" s="3" t="str">
        <x:v>HEV PREMIUM</x:v>
      </x:c>
      <x:c r="M193" s="22"/>
      <x:c r="N193" s="22"/>
      <x:c r="O193" s="22"/>
      <x:c r="P193" s="3" t="str">
        <x:v>未掲載</x:v>
      </x:c>
      <x:c r="Q193" s="3" t="str">
        <x:v>未取得</x:v>
      </x:c>
      <x:c r="R193" s="3" t="str">
        <x:v>Unknown</x:v>
      </x:c>
      <x:c r="S193" s="3" t="str">
        <x:v>不明</x:v>
      </x:c>
      <x:c r="T193" s="3" t="str">
        <x:v>19-ปัจจุบัน</x:v>
      </x:c>
      <x:c r="U193" s="28" t="n">
        <x:v>499000</x:v>
      </x:c>
      <x:c r="V193" s="28" t="n">
        <x:v>994000</x:v>
      </x:c>
      <x:c r="W193" s="3" t="str">
        <x:v>事故・水没・SOH・保証残は未確認</x:v>
      </x:c>
      <x:c r="X193" s="3" t="str">
        <x:v>掲載中・在庫未確認</x:v>
      </x:c>
      <x:c r="Y193" s="3" t="str"/>
      <x:c r="Z193" s="27" t="str">
        <x:v>https://www.taladrod.com/w40/icar/cardet.aspx?cid=2919866</x:v>
      </x:c>
      <x:c r="AA193" s="3" t="str">
        <x:v>Taladrod個別広告ID／Carsome在庫ID</x:v>
      </x:c>
      <x:c r="AB193" s="3" t="str">
        <x:v>車台番号未取得／サイト間重複は未判定</x:v>
      </x:c>
      <x:c r="AC193" s="3" t="str">
        <x:v>税込区分未確認（一覧表示額）</x:v>
      </x:c>
      <x:c r="AD193" s="3" t="str"/>
      <x:c r="AE193" s="29" t="str">
        <x:f>""</x:f>
      </x:c>
      <x:c r="AF193" s="30" t="str">
        <x:f>IF(ISNUMBER(AE193),U193/AE193,"")</x:f>
      </x:c>
      <x:c r="AG193" s="29" t="str">
        <x:f>""</x:f>
      </x:c>
      <x:c r="AH193" s="30" t="str">
        <x:f>IF(ISNUMBER(AG193),U193/AG193,"")</x:f>
      </x:c>
      <x:c r="AI193" s="3" t="str">
        <x:v>同年式・グレードの検証済み当時価格なし／登録年混在</x:v>
      </x:c>
      <x:c r="AJ193" s="3" t="str">
        <x:v>一覧価格/年式のみ</x:v>
      </x:c>
      <x:c r="AK193" s="3" t="str">
        <x:v>一覧の表示価格。年式は掲載年式。</x:v>
      </x:c>
      <x:c r="AL193" s="31" t="n">
        <x:f>IF(AND(J193&lt;='分析方法'!$B$7,OR(ISBLANK(O193),O193&gt;='分析方法'!$B$8),X193&lt;&gt;"売却済み表示"),1,0)</x:f>
        <x:v>1</x:v>
      </x:c>
      <x:c r="AM193" s="32" t="n">
        <x:f>IF(AL193=1,U193,"")</x:f>
        <x:v>499000</x:v>
      </x:c>
      <x:c r="AN193" s="33" t="str">
        <x:f>IF(AL193=1,AF193,"")</x:f>
      </x:c>
      <x:c r="AO193" s="31" t="n">
        <x:f>'分析方法'!$B$6-J193</x:f>
        <x:v>6</x:v>
      </x:c>
      <x:c r="AP193" s="3"/>
    </x:row>
    <x:row r="194" ht="22" customHeight="1">
      <x:c r="A194" s="3" t="str">
        <x:v>T2904681</x:v>
      </x:c>
      <x:c r="B194" s="7" t="d">
        <x:v>2026-10-08T00:00:00.000Z</x:v>
      </x:c>
      <x:c r="C194" s="3" t="str">
        <x:v>Taladrod</x:v>
      </x:c>
      <x:c r="D194" s="3" t="str">
        <x:v>Toyota</x:v>
      </x:c>
      <x:c r="E194" s="3" t="str">
        <x:v>日本</x:v>
      </x:c>
      <x:c r="F194" s="3" t="str">
        <x:v>Corolla Altis</x:v>
      </x:c>
      <x:c r="G194" s="3" t="str">
        <x:v>HEV</x:v>
      </x:c>
      <x:c r="H194" s="3" t="str">
        <x:v>Sedan</x:v>
      </x:c>
      <x:c r="I194" s="3" t="str"/>
      <x:c r="J194" s="3" t="n">
        <x:v>2021</x:v>
      </x:c>
      <x:c r="K194" s="3" t="str">
        <x:v>ALTIS 1.8 HYBRID ENTRY</x:v>
      </x:c>
      <x:c r="L194" s="3" t="str">
        <x:v>HEV ENTRY</x:v>
      </x:c>
      <x:c r="M194" s="22"/>
      <x:c r="N194" s="22"/>
      <x:c r="O194" s="22"/>
      <x:c r="P194" s="3" t="str">
        <x:v>未掲載</x:v>
      </x:c>
      <x:c r="Q194" s="3" t="str">
        <x:v>未取得</x:v>
      </x:c>
      <x:c r="R194" s="3" t="str">
        <x:v>Unknown</x:v>
      </x:c>
      <x:c r="S194" s="3" t="str">
        <x:v>不明</x:v>
      </x:c>
      <x:c r="T194" s="3" t="str">
        <x:v>19-ปัจจุบัน</x:v>
      </x:c>
      <x:c r="U194" s="28" t="n">
        <x:v>489000</x:v>
      </x:c>
      <x:c r="V194" s="28" t="n">
        <x:v>939000</x:v>
      </x:c>
      <x:c r="W194" s="3" t="str">
        <x:v>事故・水没・SOH・保証残は未確認</x:v>
      </x:c>
      <x:c r="X194" s="3" t="str">
        <x:v>掲載中・在庫未確認</x:v>
      </x:c>
      <x:c r="Y194" s="3" t="str"/>
      <x:c r="Z194" s="27" t="str">
        <x:v>https://www.taladrod.com/w40/icar/cardet.aspx?cid=2904681</x:v>
      </x:c>
      <x:c r="AA194" s="3" t="str">
        <x:v>Taladrod個別広告ID／Carsome在庫ID</x:v>
      </x:c>
      <x:c r="AB194" s="3" t="str">
        <x:v>車台番号未取得／サイト間重複は未判定</x:v>
      </x:c>
      <x:c r="AC194" s="3" t="str">
        <x:v>税込区分未確認（一覧表示額）</x:v>
      </x:c>
      <x:c r="AD194" s="3" t="str"/>
      <x:c r="AE194" s="29" t="str">
        <x:f>""</x:f>
      </x:c>
      <x:c r="AF194" s="30" t="str">
        <x:f>IF(ISNUMBER(AE194),U194/AE194,"")</x:f>
      </x:c>
      <x:c r="AG194" s="29" t="str">
        <x:f>""</x:f>
      </x:c>
      <x:c r="AH194" s="30" t="str">
        <x:f>IF(ISNUMBER(AG194),U194/AG194,"")</x:f>
      </x:c>
      <x:c r="AI194" s="3" t="str">
        <x:v>同年式・グレードの検証済み当時価格なし／登録年混在</x:v>
      </x:c>
      <x:c r="AJ194" s="3" t="str">
        <x:v>一覧価格/年式のみ</x:v>
      </x:c>
      <x:c r="AK194" s="3" t="str">
        <x:v>一覧の表示価格。年式は掲載年式。</x:v>
      </x:c>
      <x:c r="AL194" s="31" t="n">
        <x:f>IF(AND(J194&lt;='分析方法'!$B$7,OR(ISBLANK(O194),O194&gt;='分析方法'!$B$8),X194&lt;&gt;"売却済み表示"),1,0)</x:f>
        <x:v>1</x:v>
      </x:c>
      <x:c r="AM194" s="32" t="n">
        <x:f>IF(AL194=1,U194,"")</x:f>
        <x:v>489000</x:v>
      </x:c>
      <x:c r="AN194" s="33" t="str">
        <x:f>IF(AL194=1,AF194,"")</x:f>
      </x:c>
      <x:c r="AO194" s="31" t="n">
        <x:f>'分析方法'!$B$6-J194</x:f>
        <x:v>5</x:v>
      </x:c>
      <x:c r="AP194" s="3"/>
    </x:row>
    <x:row r="195" ht="22" customHeight="1">
      <x:c r="A195" s="3" t="str">
        <x:v>T2890985</x:v>
      </x:c>
      <x:c r="B195" s="7" t="d">
        <x:v>2026-10-08T00:00:00.000Z</x:v>
      </x:c>
      <x:c r="C195" s="3" t="str">
        <x:v>Taladrod</x:v>
      </x:c>
      <x:c r="D195" s="3" t="str">
        <x:v>Toyota</x:v>
      </x:c>
      <x:c r="E195" s="3" t="str">
        <x:v>日本</x:v>
      </x:c>
      <x:c r="F195" s="3" t="str">
        <x:v>Corolla Altis</x:v>
      </x:c>
      <x:c r="G195" s="3" t="str">
        <x:v>HEV</x:v>
      </x:c>
      <x:c r="H195" s="3" t="str">
        <x:v>Sedan</x:v>
      </x:c>
      <x:c r="I195" s="3" t="str"/>
      <x:c r="J195" s="3" t="n">
        <x:v>2021</x:v>
      </x:c>
      <x:c r="K195" s="3" t="str">
        <x:v>ALTIS 1.8 HYBRID PREMIUM</x:v>
      </x:c>
      <x:c r="L195" s="3" t="str">
        <x:v>HEV PREMIUM</x:v>
      </x:c>
      <x:c r="M195" s="22"/>
      <x:c r="N195" s="22"/>
      <x:c r="O195" s="22"/>
      <x:c r="P195" s="3" t="str">
        <x:v>未掲載</x:v>
      </x:c>
      <x:c r="Q195" s="3" t="str">
        <x:v>未取得</x:v>
      </x:c>
      <x:c r="R195" s="3" t="str">
        <x:v>Unknown</x:v>
      </x:c>
      <x:c r="S195" s="3" t="str">
        <x:v>不明</x:v>
      </x:c>
      <x:c r="T195" s="3" t="str">
        <x:v>19-ปัจจุบัน</x:v>
      </x:c>
      <x:c r="U195" s="28" t="n">
        <x:v>519000</x:v>
      </x:c>
      <x:c r="V195" s="28" t="n">
        <x:v>994000</x:v>
      </x:c>
      <x:c r="W195" s="3" t="str">
        <x:v>事故・水没・SOH・保証残は未確認</x:v>
      </x:c>
      <x:c r="X195" s="3" t="str">
        <x:v>掲載中・在庫未確認</x:v>
      </x:c>
      <x:c r="Y195" s="3" t="str"/>
      <x:c r="Z195" s="27" t="str">
        <x:v>https://www.taladrod.com/w40/icar/cardet.aspx?cid=2890985</x:v>
      </x:c>
      <x:c r="AA195" s="3" t="str">
        <x:v>Taladrod個別広告ID／Carsome在庫ID</x:v>
      </x:c>
      <x:c r="AB195" s="3" t="str">
        <x:v>車台番号未取得／サイト間重複は未判定</x:v>
      </x:c>
      <x:c r="AC195" s="3" t="str">
        <x:v>税込区分未確認（一覧表示額）</x:v>
      </x:c>
      <x:c r="AD195" s="3" t="str"/>
      <x:c r="AE195" s="29" t="str">
        <x:f>""</x:f>
      </x:c>
      <x:c r="AF195" s="30" t="str">
        <x:f>IF(ISNUMBER(AE195),U195/AE195,"")</x:f>
      </x:c>
      <x:c r="AG195" s="29" t="str">
        <x:f>""</x:f>
      </x:c>
      <x:c r="AH195" s="30" t="str">
        <x:f>IF(ISNUMBER(AG195),U195/AG195,"")</x:f>
      </x:c>
      <x:c r="AI195" s="3" t="str">
        <x:v>同年式・グレードの検証済み当時価格なし／登録年混在</x:v>
      </x:c>
      <x:c r="AJ195" s="3" t="str">
        <x:v>一覧価格/年式のみ</x:v>
      </x:c>
      <x:c r="AK195" s="3" t="str">
        <x:v>一覧の表示価格。年式は掲載年式。</x:v>
      </x:c>
      <x:c r="AL195" s="31" t="n">
        <x:f>IF(AND(J195&lt;='分析方法'!$B$7,OR(ISBLANK(O195),O195&gt;='分析方法'!$B$8),X195&lt;&gt;"売却済み表示"),1,0)</x:f>
        <x:v>1</x:v>
      </x:c>
      <x:c r="AM195" s="32" t="n">
        <x:f>IF(AL195=1,U195,"")</x:f>
        <x:v>519000</x:v>
      </x:c>
      <x:c r="AN195" s="33" t="str">
        <x:f>IF(AL195=1,AF195,"")</x:f>
      </x:c>
      <x:c r="AO195" s="31" t="n">
        <x:f>'分析方法'!$B$6-J195</x:f>
        <x:v>5</x:v>
      </x:c>
      <x:c r="AP195" s="3"/>
    </x:row>
    <x:row r="196" ht="22" customHeight="1">
      <x:c r="A196" s="3" t="str">
        <x:v>T2903857</x:v>
      </x:c>
      <x:c r="B196" s="7" t="d">
        <x:v>2026-10-08T00:00:00.000Z</x:v>
      </x:c>
      <x:c r="C196" s="3" t="str">
        <x:v>Taladrod</x:v>
      </x:c>
      <x:c r="D196" s="3" t="str">
        <x:v>Toyota</x:v>
      </x:c>
      <x:c r="E196" s="3" t="str">
        <x:v>日本</x:v>
      </x:c>
      <x:c r="F196" s="3" t="str">
        <x:v>Corolla Altis</x:v>
      </x:c>
      <x:c r="G196" s="3" t="str">
        <x:v>HEV</x:v>
      </x:c>
      <x:c r="H196" s="3" t="str">
        <x:v>Sedan</x:v>
      </x:c>
      <x:c r="I196" s="3" t="str"/>
      <x:c r="J196" s="3" t="n">
        <x:v>2021</x:v>
      </x:c>
      <x:c r="K196" s="3" t="str">
        <x:v>ALTIS 1.8 HYBRID PREMIUM</x:v>
      </x:c>
      <x:c r="L196" s="3" t="str">
        <x:v>HEV PREMIUM</x:v>
      </x:c>
      <x:c r="M196" s="22"/>
      <x:c r="N196" s="22"/>
      <x:c r="O196" s="22"/>
      <x:c r="P196" s="3" t="str">
        <x:v>未掲載</x:v>
      </x:c>
      <x:c r="Q196" s="3" t="str">
        <x:v>未取得</x:v>
      </x:c>
      <x:c r="R196" s="3" t="str">
        <x:v>Unknown</x:v>
      </x:c>
      <x:c r="S196" s="3" t="str">
        <x:v>不明</x:v>
      </x:c>
      <x:c r="T196" s="3" t="str">
        <x:v>世代不明</x:v>
      </x:c>
      <x:c r="U196" s="28" t="n">
        <x:v>750000</x:v>
      </x:c>
      <x:c r="V196" s="28"/>
      <x:c r="W196" s="3" t="str">
        <x:v>事故・水没・SOH・保証残は未確認</x:v>
      </x:c>
      <x:c r="X196" s="3" t="str">
        <x:v>掲載中・在庫未確認</x:v>
      </x:c>
      <x:c r="Y196" s="3" t="str"/>
      <x:c r="Z196" s="27" t="str">
        <x:v>https://www.taladrod.com/w40/icar/cardet.aspx?cid=2903857</x:v>
      </x:c>
      <x:c r="AA196" s="3" t="str">
        <x:v>Taladrod個別広告ID／Carsome在庫ID</x:v>
      </x:c>
      <x:c r="AB196" s="3" t="str">
        <x:v>車台番号未取得／サイト間重複は未判定</x:v>
      </x:c>
      <x:c r="AC196" s="3" t="str">
        <x:v>税込区分未確認（一覧表示額）</x:v>
      </x:c>
      <x:c r="AD196" s="3" t="str"/>
      <x:c r="AE196" s="29" t="str">
        <x:f>""</x:f>
      </x:c>
      <x:c r="AF196" s="30" t="str">
        <x:f>IF(ISNUMBER(AE196),U196/AE196,"")</x:f>
      </x:c>
      <x:c r="AG196" s="29" t="str">
        <x:f>""</x:f>
      </x:c>
      <x:c r="AH196" s="30" t="str">
        <x:f>IF(ISNUMBER(AG196),U196/AG196,"")</x:f>
      </x:c>
      <x:c r="AI196" s="3" t="str">
        <x:v>同年式・グレードの検証済み当時価格なし／登録年混在</x:v>
      </x:c>
      <x:c r="AJ196" s="3" t="str">
        <x:v>一覧価格/年式のみ</x:v>
      </x:c>
      <x:c r="AK196" s="3" t="str">
        <x:v>一覧の表示価格。年式は掲載年式。</x:v>
      </x:c>
      <x:c r="AL196" s="31" t="n">
        <x:f>IF(AND(J196&lt;='分析方法'!$B$7,OR(ISBLANK(O196),O196&gt;='分析方法'!$B$8),X196&lt;&gt;"売却済み表示"),1,0)</x:f>
        <x:v>1</x:v>
      </x:c>
      <x:c r="AM196" s="32" t="n">
        <x:f>IF(AL196=1,U196,"")</x:f>
        <x:v>750000</x:v>
      </x:c>
      <x:c r="AN196" s="33" t="str">
        <x:f>IF(AL196=1,AF196,"")</x:f>
      </x:c>
      <x:c r="AO196" s="31" t="n">
        <x:f>'分析方法'!$B$6-J196</x:f>
        <x:v>5</x:v>
      </x:c>
      <x:c r="AP196" s="3"/>
    </x:row>
    <x:row r="197" ht="22" customHeight="1">
      <x:c r="A197" s="3" t="str">
        <x:v>T2920552</x:v>
      </x:c>
      <x:c r="B197" s="7" t="d">
        <x:v>2026-10-08T00:00:00.000Z</x:v>
      </x:c>
      <x:c r="C197" s="3" t="str">
        <x:v>Taladrod</x:v>
      </x:c>
      <x:c r="D197" s="3" t="str">
        <x:v>Toyota</x:v>
      </x:c>
      <x:c r="E197" s="3" t="str">
        <x:v>日本</x:v>
      </x:c>
      <x:c r="F197" s="3" t="str">
        <x:v>Corolla Altis</x:v>
      </x:c>
      <x:c r="G197" s="3" t="str">
        <x:v>HEV</x:v>
      </x:c>
      <x:c r="H197" s="3" t="str">
        <x:v>Sedan</x:v>
      </x:c>
      <x:c r="I197" s="3" t="str"/>
      <x:c r="J197" s="3" t="n">
        <x:v>2021</x:v>
      </x:c>
      <x:c r="K197" s="3" t="str">
        <x:v>ALTIS 1.8 HYBRID PREMIUM SAFETY</x:v>
      </x:c>
      <x:c r="L197" s="3" t="str">
        <x:v>HEV PREMIUM SAFETY</x:v>
      </x:c>
      <x:c r="M197" s="22"/>
      <x:c r="N197" s="22"/>
      <x:c r="O197" s="22"/>
      <x:c r="P197" s="3" t="str">
        <x:v>未掲載</x:v>
      </x:c>
      <x:c r="Q197" s="3" t="str">
        <x:v>未取得</x:v>
      </x:c>
      <x:c r="R197" s="3" t="str">
        <x:v>Unknown</x:v>
      </x:c>
      <x:c r="S197" s="3" t="str">
        <x:v>不明</x:v>
      </x:c>
      <x:c r="T197" s="3" t="str">
        <x:v>19-ปัจจุบัน</x:v>
      </x:c>
      <x:c r="U197" s="28" t="n">
        <x:v>469000</x:v>
      </x:c>
      <x:c r="V197" s="28" t="n">
        <x:v>1099000</x:v>
      </x:c>
      <x:c r="W197" s="3" t="str">
        <x:v>事故・水没・SOH・保証残は未確認</x:v>
      </x:c>
      <x:c r="X197" s="3" t="str">
        <x:v>掲載中・在庫未確認</x:v>
      </x:c>
      <x:c r="Y197" s="3" t="str"/>
      <x:c r="Z197" s="27" t="str">
        <x:v>https://www.taladrod.com/w40/icar/cardet.aspx?cid=2920552</x:v>
      </x:c>
      <x:c r="AA197" s="3" t="str">
        <x:v>Taladrod個別広告ID／Carsome在庫ID</x:v>
      </x:c>
      <x:c r="AB197" s="3" t="str">
        <x:v>車台番号未取得／サイト間重複は未判定</x:v>
      </x:c>
      <x:c r="AC197" s="3" t="str">
        <x:v>税込区分未確認（一覧表示額）</x:v>
      </x:c>
      <x:c r="AD197" s="3" t="str"/>
      <x:c r="AE197" s="29" t="str">
        <x:f>""</x:f>
      </x:c>
      <x:c r="AF197" s="30" t="str">
        <x:f>IF(ISNUMBER(AE197),U197/AE197,"")</x:f>
      </x:c>
      <x:c r="AG197" s="29" t="str">
        <x:f>""</x:f>
      </x:c>
      <x:c r="AH197" s="30" t="str">
        <x:f>IF(ISNUMBER(AG197),U197/AG197,"")</x:f>
      </x:c>
      <x:c r="AI197" s="3" t="str">
        <x:v>同年式・グレードの検証済み当時価格なし／登録年混在</x:v>
      </x:c>
      <x:c r="AJ197" s="3" t="str">
        <x:v>一覧価格/年式のみ</x:v>
      </x:c>
      <x:c r="AK197" s="3" t="str">
        <x:v>一覧の表示価格。年式は掲載年式。</x:v>
      </x:c>
      <x:c r="AL197" s="31" t="n">
        <x:f>IF(AND(J197&lt;='分析方法'!$B$7,OR(ISBLANK(O197),O197&gt;='分析方法'!$B$8),X197&lt;&gt;"売却済み表示"),1,0)</x:f>
        <x:v>1</x:v>
      </x:c>
      <x:c r="AM197" s="32" t="n">
        <x:f>IF(AL197=1,U197,"")</x:f>
        <x:v>469000</x:v>
      </x:c>
      <x:c r="AN197" s="33" t="str">
        <x:f>IF(AL197=1,AF197,"")</x:f>
      </x:c>
      <x:c r="AO197" s="31" t="n">
        <x:f>'分析方法'!$B$6-J197</x:f>
        <x:v>5</x:v>
      </x:c>
      <x:c r="AP197" s="3"/>
    </x:row>
    <x:row r="198" ht="22" customHeight="1">
      <x:c r="A198" s="3" t="str">
        <x:v>T2923333</x:v>
      </x:c>
      <x:c r="B198" s="7" t="d">
        <x:v>2026-10-08T00:00:00.000Z</x:v>
      </x:c>
      <x:c r="C198" s="3" t="str">
        <x:v>Taladrod</x:v>
      </x:c>
      <x:c r="D198" s="3" t="str">
        <x:v>Toyota</x:v>
      </x:c>
      <x:c r="E198" s="3" t="str">
        <x:v>日本</x:v>
      </x:c>
      <x:c r="F198" s="3" t="str">
        <x:v>Corolla Altis</x:v>
      </x:c>
      <x:c r="G198" s="3" t="str">
        <x:v>HEV</x:v>
      </x:c>
      <x:c r="H198" s="3" t="str">
        <x:v>Sedan</x:v>
      </x:c>
      <x:c r="I198" s="3" t="str"/>
      <x:c r="J198" s="3" t="n">
        <x:v>2021</x:v>
      </x:c>
      <x:c r="K198" s="3" t="str">
        <x:v>ALTIS 1.8 HYBRID PREMIUM SAFETY</x:v>
      </x:c>
      <x:c r="L198" s="3" t="str">
        <x:v>HEV PREMIUM SAFETY</x:v>
      </x:c>
      <x:c r="M198" s="22"/>
      <x:c r="N198" s="22"/>
      <x:c r="O198" s="22"/>
      <x:c r="P198" s="3" t="str">
        <x:v>未掲載</x:v>
      </x:c>
      <x:c r="Q198" s="3" t="str">
        <x:v>未取得</x:v>
      </x:c>
      <x:c r="R198" s="3" t="str">
        <x:v>Unknown</x:v>
      </x:c>
      <x:c r="S198" s="3" t="str">
        <x:v>不明</x:v>
      </x:c>
      <x:c r="T198" s="3" t="str">
        <x:v>19-ปัจจุบัน</x:v>
      </x:c>
      <x:c r="U198" s="28" t="n">
        <x:v>629000</x:v>
      </x:c>
      <x:c r="V198" s="28" t="n">
        <x:v>1099000</x:v>
      </x:c>
      <x:c r="W198" s="3" t="str">
        <x:v>事故・水没・SOH・保証残は未確認</x:v>
      </x:c>
      <x:c r="X198" s="3" t="str">
        <x:v>掲載中・在庫未確認</x:v>
      </x:c>
      <x:c r="Y198" s="3" t="str"/>
      <x:c r="Z198" s="27" t="str">
        <x:v>https://www.taladrod.com/w40/icar/cardet.aspx?cid=2923333</x:v>
      </x:c>
      <x:c r="AA198" s="3" t="str">
        <x:v>Taladrod個別広告ID／Carsome在庫ID</x:v>
      </x:c>
      <x:c r="AB198" s="3" t="str">
        <x:v>車台番号未取得／サイト間重複は未判定</x:v>
      </x:c>
      <x:c r="AC198" s="3" t="str">
        <x:v>税込区分未確認（一覧表示額）</x:v>
      </x:c>
      <x:c r="AD198" s="3" t="str"/>
      <x:c r="AE198" s="29" t="str">
        <x:f>""</x:f>
      </x:c>
      <x:c r="AF198" s="30" t="str">
        <x:f>IF(ISNUMBER(AE198),U198/AE198,"")</x:f>
      </x:c>
      <x:c r="AG198" s="29" t="str">
        <x:f>""</x:f>
      </x:c>
      <x:c r="AH198" s="30" t="str">
        <x:f>IF(ISNUMBER(AG198),U198/AG198,"")</x:f>
      </x:c>
      <x:c r="AI198" s="3" t="str">
        <x:v>同年式・グレードの検証済み当時価格なし／登録年混在</x:v>
      </x:c>
      <x:c r="AJ198" s="3" t="str">
        <x:v>一覧価格/年式のみ</x:v>
      </x:c>
      <x:c r="AK198" s="3" t="str">
        <x:v>一覧の表示価格。年式は掲載年式。</x:v>
      </x:c>
      <x:c r="AL198" s="31" t="n">
        <x:f>IF(AND(J198&lt;='分析方法'!$B$7,OR(ISBLANK(O198),O198&gt;='分析方法'!$B$8),X198&lt;&gt;"売却済み表示"),1,0)</x:f>
        <x:v>1</x:v>
      </x:c>
      <x:c r="AM198" s="32" t="n">
        <x:f>IF(AL198=1,U198,"")</x:f>
        <x:v>629000</x:v>
      </x:c>
      <x:c r="AN198" s="33" t="str">
        <x:f>IF(AL198=1,AF198,"")</x:f>
      </x:c>
      <x:c r="AO198" s="31" t="n">
        <x:f>'分析方法'!$B$6-J198</x:f>
        <x:v>5</x:v>
      </x:c>
      <x:c r="AP198" s="3"/>
    </x:row>
    <x:row r="199" ht="22" customHeight="1">
      <x:c r="A199" s="3" t="str">
        <x:v>T2880402</x:v>
      </x:c>
      <x:c r="B199" s="7" t="d">
        <x:v>2026-10-08T00:00:00.000Z</x:v>
      </x:c>
      <x:c r="C199" s="3" t="str">
        <x:v>Taladrod</x:v>
      </x:c>
      <x:c r="D199" s="3" t="str">
        <x:v>Toyota</x:v>
      </x:c>
      <x:c r="E199" s="3" t="str">
        <x:v>日本</x:v>
      </x:c>
      <x:c r="F199" s="3" t="str">
        <x:v>Corolla Altis</x:v>
      </x:c>
      <x:c r="G199" s="3" t="str">
        <x:v>HEV</x:v>
      </x:c>
      <x:c r="H199" s="3" t="str">
        <x:v>Sedan</x:v>
      </x:c>
      <x:c r="I199" s="3" t="str"/>
      <x:c r="J199" s="3" t="n">
        <x:v>2021</x:v>
      </x:c>
      <x:c r="K199" s="3" t="str">
        <x:v>ALTIS 1.8 HYBRID SMART</x:v>
      </x:c>
      <x:c r="L199" s="3" t="str">
        <x:v>HEV SMART</x:v>
      </x:c>
      <x:c r="M199" s="22"/>
      <x:c r="N199" s="22"/>
      <x:c r="O199" s="22"/>
      <x:c r="P199" s="3" t="str">
        <x:v>未掲載</x:v>
      </x:c>
      <x:c r="Q199" s="3" t="str">
        <x:v>未取得</x:v>
      </x:c>
      <x:c r="R199" s="3" t="str">
        <x:v>Unknown</x:v>
      </x:c>
      <x:c r="S199" s="3" t="str">
        <x:v>不明</x:v>
      </x:c>
      <x:c r="T199" s="3" t="str">
        <x:v>19-ปัจจุบัน</x:v>
      </x:c>
      <x:c r="U199" s="28" t="n">
        <x:v>485000</x:v>
      </x:c>
      <x:c r="V199" s="28" t="n">
        <x:v>939000</x:v>
      </x:c>
      <x:c r="W199" s="3" t="str">
        <x:v>事故・水没・SOH・保証残は未確認</x:v>
      </x:c>
      <x:c r="X199" s="3" t="str">
        <x:v>掲載中・在庫未確認</x:v>
      </x:c>
      <x:c r="Y199" s="3" t="str"/>
      <x:c r="Z199" s="27" t="str">
        <x:v>https://www.taladrod.com/w40/icar/cardet.aspx?cid=2880402</x:v>
      </x:c>
      <x:c r="AA199" s="3" t="str">
        <x:v>Taladrod個別広告ID／Carsome在庫ID</x:v>
      </x:c>
      <x:c r="AB199" s="3" t="str">
        <x:v>車台番号未取得／サイト間重複は未判定</x:v>
      </x:c>
      <x:c r="AC199" s="3" t="str">
        <x:v>税込区分未確認（一覧表示額）</x:v>
      </x:c>
      <x:c r="AD199" s="3" t="str"/>
      <x:c r="AE199" s="29" t="str">
        <x:f>""</x:f>
      </x:c>
      <x:c r="AF199" s="30" t="str">
        <x:f>IF(ISNUMBER(AE199),U199/AE199,"")</x:f>
      </x:c>
      <x:c r="AG199" s="29" t="str">
        <x:f>""</x:f>
      </x:c>
      <x:c r="AH199" s="30" t="str">
        <x:f>IF(ISNUMBER(AG199),U199/AG199,"")</x:f>
      </x:c>
      <x:c r="AI199" s="3" t="str">
        <x:v>同年式・グレードの検証済み当時価格なし／登録年混在</x:v>
      </x:c>
      <x:c r="AJ199" s="3" t="str">
        <x:v>一覧価格/年式のみ</x:v>
      </x:c>
      <x:c r="AK199" s="3" t="str">
        <x:v>一覧の表示価格。年式は掲載年式。</x:v>
      </x:c>
      <x:c r="AL199" s="31" t="n">
        <x:f>IF(AND(J199&lt;='分析方法'!$B$7,OR(ISBLANK(O199),O199&gt;='分析方法'!$B$8),X199&lt;&gt;"売却済み表示"),1,0)</x:f>
        <x:v>1</x:v>
      </x:c>
      <x:c r="AM199" s="32" t="n">
        <x:f>IF(AL199=1,U199,"")</x:f>
        <x:v>485000</x:v>
      </x:c>
      <x:c r="AN199" s="33" t="str">
        <x:f>IF(AL199=1,AF199,"")</x:f>
      </x:c>
      <x:c r="AO199" s="31" t="n">
        <x:f>'分析方法'!$B$6-J199</x:f>
        <x:v>5</x:v>
      </x:c>
      <x:c r="AP199" s="3"/>
    </x:row>
    <x:row r="200" ht="22" customHeight="1">
      <x:c r="A200" s="3" t="str">
        <x:v>T2906504</x:v>
      </x:c>
      <x:c r="B200" s="7" t="d">
        <x:v>2026-10-08T00:00:00.000Z</x:v>
      </x:c>
      <x:c r="C200" s="3" t="str">
        <x:v>Taladrod</x:v>
      </x:c>
      <x:c r="D200" s="3" t="str">
        <x:v>Toyota</x:v>
      </x:c>
      <x:c r="E200" s="3" t="str">
        <x:v>日本</x:v>
      </x:c>
      <x:c r="F200" s="3" t="str">
        <x:v>Corolla Altis</x:v>
      </x:c>
      <x:c r="G200" s="3" t="str">
        <x:v>HEV</x:v>
      </x:c>
      <x:c r="H200" s="3" t="str">
        <x:v>Sedan</x:v>
      </x:c>
      <x:c r="I200" s="3" t="str"/>
      <x:c r="J200" s="3" t="n">
        <x:v>2021</x:v>
      </x:c>
      <x:c r="K200" s="3" t="str">
        <x:v>ALTIS 1.8 HYBRID SMART</x:v>
      </x:c>
      <x:c r="L200" s="3" t="str">
        <x:v>HEV SMART</x:v>
      </x:c>
      <x:c r="M200" s="22"/>
      <x:c r="N200" s="22"/>
      <x:c r="O200" s="22"/>
      <x:c r="P200" s="3" t="str">
        <x:v>未掲載</x:v>
      </x:c>
      <x:c r="Q200" s="3" t="str">
        <x:v>未取得</x:v>
      </x:c>
      <x:c r="R200" s="3" t="str">
        <x:v>Unknown</x:v>
      </x:c>
      <x:c r="S200" s="3" t="str">
        <x:v>不明</x:v>
      </x:c>
      <x:c r="T200" s="3" t="str">
        <x:v>19-ปัจจุบัน</x:v>
      </x:c>
      <x:c r="U200" s="28" t="n">
        <x:v>459000</x:v>
      </x:c>
      <x:c r="V200" s="28" t="n">
        <x:v>939000</x:v>
      </x:c>
      <x:c r="W200" s="3" t="str">
        <x:v>事故・水没・SOH・保証残は未確認</x:v>
      </x:c>
      <x:c r="X200" s="3" t="str">
        <x:v>掲載中・在庫未確認</x:v>
      </x:c>
      <x:c r="Y200" s="3" t="str"/>
      <x:c r="Z200" s="27" t="str">
        <x:v>https://www.taladrod.com/w40/icar/cardet.aspx?cid=2906504</x:v>
      </x:c>
      <x:c r="AA200" s="3" t="str">
        <x:v>Taladrod個別広告ID／Carsome在庫ID</x:v>
      </x:c>
      <x:c r="AB200" s="3" t="str">
        <x:v>車台番号未取得／サイト間重複は未判定</x:v>
      </x:c>
      <x:c r="AC200" s="3" t="str">
        <x:v>税込区分未確認（一覧表示額）</x:v>
      </x:c>
      <x:c r="AD200" s="3" t="str"/>
      <x:c r="AE200" s="29" t="str">
        <x:f>""</x:f>
      </x:c>
      <x:c r="AF200" s="30" t="str">
        <x:f>IF(ISNUMBER(AE200),U200/AE200,"")</x:f>
      </x:c>
      <x:c r="AG200" s="29" t="str">
        <x:f>""</x:f>
      </x:c>
      <x:c r="AH200" s="30" t="str">
        <x:f>IF(ISNUMBER(AG200),U200/AG200,"")</x:f>
      </x:c>
      <x:c r="AI200" s="3" t="str">
        <x:v>同年式・グレードの検証済み当時価格なし／登録年混在</x:v>
      </x:c>
      <x:c r="AJ200" s="3" t="str">
        <x:v>一覧価格/年式のみ</x:v>
      </x:c>
      <x:c r="AK200" s="3" t="str">
        <x:v>一覧の表示価格。年式は掲載年式。</x:v>
      </x:c>
      <x:c r="AL200" s="31" t="n">
        <x:f>IF(AND(J200&lt;='分析方法'!$B$7,OR(ISBLANK(O200),O200&gt;='分析方法'!$B$8),X200&lt;&gt;"売却済み表示"),1,0)</x:f>
        <x:v>1</x:v>
      </x:c>
      <x:c r="AM200" s="32" t="n">
        <x:f>IF(AL200=1,U200,"")</x:f>
        <x:v>459000</x:v>
      </x:c>
      <x:c r="AN200" s="33" t="str">
        <x:f>IF(AL200=1,AF200,"")</x:f>
      </x:c>
      <x:c r="AO200" s="31" t="n">
        <x:f>'分析方法'!$B$6-J200</x:f>
        <x:v>5</x:v>
      </x:c>
      <x:c r="AP200" s="3"/>
    </x:row>
    <x:row r="201" ht="22" customHeight="1">
      <x:c r="A201" s="3" t="str">
        <x:v>T2905952</x:v>
      </x:c>
      <x:c r="B201" s="7" t="d">
        <x:v>2026-10-08T00:00:00.000Z</x:v>
      </x:c>
      <x:c r="C201" s="3" t="str">
        <x:v>Taladrod</x:v>
      </x:c>
      <x:c r="D201" s="3" t="str">
        <x:v>Toyota</x:v>
      </x:c>
      <x:c r="E201" s="3" t="str">
        <x:v>日本</x:v>
      </x:c>
      <x:c r="F201" s="3" t="str">
        <x:v>Corolla Altis</x:v>
      </x:c>
      <x:c r="G201" s="3" t="str">
        <x:v>HEV</x:v>
      </x:c>
      <x:c r="H201" s="3" t="str">
        <x:v>Sedan</x:v>
      </x:c>
      <x:c r="I201" s="3" t="str"/>
      <x:c r="J201" s="3" t="n">
        <x:v>2022</x:v>
      </x:c>
      <x:c r="K201" s="3" t="str">
        <x:v>ALTIS 1.8 HYBRID GR SPORT</x:v>
      </x:c>
      <x:c r="L201" s="3" t="str">
        <x:v>HEV GR SPORT</x:v>
      </x:c>
      <x:c r="M201" s="22"/>
      <x:c r="N201" s="22"/>
      <x:c r="O201" s="22"/>
      <x:c r="P201" s="3" t="str">
        <x:v>未掲載</x:v>
      </x:c>
      <x:c r="Q201" s="3" t="str">
        <x:v>未取得</x:v>
      </x:c>
      <x:c r="R201" s="3" t="str">
        <x:v>Unknown</x:v>
      </x:c>
      <x:c r="S201" s="3" t="str">
        <x:v>不明</x:v>
      </x:c>
      <x:c r="T201" s="3" t="str">
        <x:v>19-ปัจจุบัน</x:v>
      </x:c>
      <x:c r="U201" s="28" t="n">
        <x:v>620000</x:v>
      </x:c>
      <x:c r="V201" s="28" t="n">
        <x:v>1114000</x:v>
      </x:c>
      <x:c r="W201" s="3" t="str">
        <x:v>事故・水没・SOH・保証残は未確認</x:v>
      </x:c>
      <x:c r="X201" s="3" t="str">
        <x:v>掲載中・在庫未確認</x:v>
      </x:c>
      <x:c r="Y201" s="3" t="str"/>
      <x:c r="Z201" s="27" t="str">
        <x:v>https://www.taladrod.com/w40/icar/cardet.aspx?cid=2905952</x:v>
      </x:c>
      <x:c r="AA201" s="3" t="str">
        <x:v>Taladrod個別広告ID／Carsome在庫ID</x:v>
      </x:c>
      <x:c r="AB201" s="3" t="str">
        <x:v>車台番号未取得／サイト間重複は未判定</x:v>
      </x:c>
      <x:c r="AC201" s="3" t="str">
        <x:v>税込区分未確認（一覧表示額）</x:v>
      </x:c>
      <x:c r="AD201" s="3" t="str"/>
      <x:c r="AE201" s="29" t="str">
        <x:f>""</x:f>
      </x:c>
      <x:c r="AF201" s="30" t="str">
        <x:f>IF(ISNUMBER(AE201),U201/AE201,"")</x:f>
      </x:c>
      <x:c r="AG201" s="29" t="str">
        <x:f>""</x:f>
      </x:c>
      <x:c r="AH201" s="30" t="str">
        <x:f>IF(ISNUMBER(AG201),U201/AG201,"")</x:f>
      </x:c>
      <x:c r="AI201" s="3" t="str">
        <x:v>同年式・グレードの検証済み当時価格なし／登録年混在</x:v>
      </x:c>
      <x:c r="AJ201" s="3" t="str">
        <x:v>一覧価格/年式のみ</x:v>
      </x:c>
      <x:c r="AK201" s="3" t="str">
        <x:v>一覧の表示価格。年式は掲載年式。</x:v>
      </x:c>
      <x:c r="AL201" s="31" t="n">
        <x:f>IF(AND(J201&lt;='分析方法'!$B$7,OR(ISBLANK(O201),O201&gt;='分析方法'!$B$8),X201&lt;&gt;"売却済み表示"),1,0)</x:f>
        <x:v>1</x:v>
      </x:c>
      <x:c r="AM201" s="32" t="n">
        <x:f>IF(AL201=1,U201,"")</x:f>
        <x:v>620000</x:v>
      </x:c>
      <x:c r="AN201" s="33" t="str">
        <x:f>IF(AL201=1,AF201,"")</x:f>
      </x:c>
      <x:c r="AO201" s="31" t="n">
        <x:f>'分析方法'!$B$6-J201</x:f>
        <x:v>4</x:v>
      </x:c>
      <x:c r="AP201" s="3"/>
    </x:row>
    <x:row r="202" ht="22" customHeight="1">
      <x:c r="A202" s="3" t="str">
        <x:v>T2924406</x:v>
      </x:c>
      <x:c r="B202" s="7" t="d">
        <x:v>2026-10-08T00:00:00.000Z</x:v>
      </x:c>
      <x:c r="C202" s="3" t="str">
        <x:v>Taladrod</x:v>
      </x:c>
      <x:c r="D202" s="3" t="str">
        <x:v>Toyota</x:v>
      </x:c>
      <x:c r="E202" s="3" t="str">
        <x:v>日本</x:v>
      </x:c>
      <x:c r="F202" s="3" t="str">
        <x:v>Corolla Altis</x:v>
      </x:c>
      <x:c r="G202" s="3" t="str">
        <x:v>HEV</x:v>
      </x:c>
      <x:c r="H202" s="3" t="str">
        <x:v>Sedan</x:v>
      </x:c>
      <x:c r="I202" s="3" t="str"/>
      <x:c r="J202" s="3" t="n">
        <x:v>2022</x:v>
      </x:c>
      <x:c r="K202" s="3" t="str">
        <x:v>ALTIS 1.8 HYBRID PREMIUM</x:v>
      </x:c>
      <x:c r="L202" s="3" t="str">
        <x:v>HEV PREMIUM</x:v>
      </x:c>
      <x:c r="M202" s="22"/>
      <x:c r="N202" s="22"/>
      <x:c r="O202" s="22"/>
      <x:c r="P202" s="3" t="str">
        <x:v>未掲載</x:v>
      </x:c>
      <x:c r="Q202" s="3" t="str">
        <x:v>未取得</x:v>
      </x:c>
      <x:c r="R202" s="3" t="str">
        <x:v>Unknown</x:v>
      </x:c>
      <x:c r="S202" s="3" t="str">
        <x:v>不明</x:v>
      </x:c>
      <x:c r="T202" s="3" t="str">
        <x:v>19-ปัจจุบัน</x:v>
      </x:c>
      <x:c r="U202" s="28" t="n">
        <x:v>599000</x:v>
      </x:c>
      <x:c r="V202" s="28" t="n">
        <x:v>994000</x:v>
      </x:c>
      <x:c r="W202" s="3" t="str">
        <x:v>事故・水没・SOH・保証残は未確認</x:v>
      </x:c>
      <x:c r="X202" s="3" t="str">
        <x:v>掲載中・在庫未確認</x:v>
      </x:c>
      <x:c r="Y202" s="3" t="str"/>
      <x:c r="Z202" s="27" t="str">
        <x:v>https://www.taladrod.com/w40/icar/cardet.aspx?cid=2924406</x:v>
      </x:c>
      <x:c r="AA202" s="3" t="str">
        <x:v>Taladrod個別広告ID／Carsome在庫ID</x:v>
      </x:c>
      <x:c r="AB202" s="3" t="str">
        <x:v>車台番号未取得／サイト間重複は未判定</x:v>
      </x:c>
      <x:c r="AC202" s="3" t="str">
        <x:v>税込区分未確認（一覧表示額）</x:v>
      </x:c>
      <x:c r="AD202" s="3" t="str"/>
      <x:c r="AE202" s="29" t="str">
        <x:f>""</x:f>
      </x:c>
      <x:c r="AF202" s="30" t="str">
        <x:f>IF(ISNUMBER(AE202),U202/AE202,"")</x:f>
      </x:c>
      <x:c r="AG202" s="29" t="str">
        <x:f>""</x:f>
      </x:c>
      <x:c r="AH202" s="30" t="str">
        <x:f>IF(ISNUMBER(AG202),U202/AG202,"")</x:f>
      </x:c>
      <x:c r="AI202" s="3" t="str">
        <x:v>同年式・グレードの検証済み当時価格なし／登録年混在</x:v>
      </x:c>
      <x:c r="AJ202" s="3" t="str">
        <x:v>一覧価格/年式のみ</x:v>
      </x:c>
      <x:c r="AK202" s="3" t="str">
        <x:v>一覧の表示価格。年式は掲載年式。</x:v>
      </x:c>
      <x:c r="AL202" s="31" t="n">
        <x:f>IF(AND(J202&lt;='分析方法'!$B$7,OR(ISBLANK(O202),O202&gt;='分析方法'!$B$8),X202&lt;&gt;"売却済み表示"),1,0)</x:f>
        <x:v>1</x:v>
      </x:c>
      <x:c r="AM202" s="32" t="n">
        <x:f>IF(AL202=1,U202,"")</x:f>
        <x:v>599000</x:v>
      </x:c>
      <x:c r="AN202" s="33" t="str">
        <x:f>IF(AL202=1,AF202,"")</x:f>
      </x:c>
      <x:c r="AO202" s="31" t="n">
        <x:f>'分析方法'!$B$6-J202</x:f>
        <x:v>4</x:v>
      </x:c>
      <x:c r="AP202" s="3"/>
    </x:row>
    <x:row r="203" ht="22" customHeight="1">
      <x:c r="A203" s="3" t="str">
        <x:v>T2894347</x:v>
      </x:c>
      <x:c r="B203" s="7" t="d">
        <x:v>2026-10-08T00:00:00.000Z</x:v>
      </x:c>
      <x:c r="C203" s="3" t="str">
        <x:v>Taladrod</x:v>
      </x:c>
      <x:c r="D203" s="3" t="str">
        <x:v>Toyota</x:v>
      </x:c>
      <x:c r="E203" s="3" t="str">
        <x:v>日本</x:v>
      </x:c>
      <x:c r="F203" s="3" t="str">
        <x:v>Corolla Altis</x:v>
      </x:c>
      <x:c r="G203" s="3" t="str">
        <x:v>HEV</x:v>
      </x:c>
      <x:c r="H203" s="3" t="str">
        <x:v>Sedan</x:v>
      </x:c>
      <x:c r="I203" s="3" t="str"/>
      <x:c r="J203" s="3" t="n">
        <x:v>2023</x:v>
      </x:c>
      <x:c r="K203" s="3" t="str">
        <x:v>ALTIS 1.8 HYBRID GR SPORT</x:v>
      </x:c>
      <x:c r="L203" s="3" t="str">
        <x:v>HEV GR SPORT</x:v>
      </x:c>
      <x:c r="M203" s="22"/>
      <x:c r="N203" s="22"/>
      <x:c r="O203" s="22"/>
      <x:c r="P203" s="3" t="str">
        <x:v>未掲載</x:v>
      </x:c>
      <x:c r="Q203" s="3" t="str">
        <x:v>未取得</x:v>
      </x:c>
      <x:c r="R203" s="3" t="str">
        <x:v>Unknown</x:v>
      </x:c>
      <x:c r="S203" s="3" t="str">
        <x:v>不明</x:v>
      </x:c>
      <x:c r="T203" s="3" t="str">
        <x:v>19-ปัจจุบัน</x:v>
      </x:c>
      <x:c r="U203" s="28" t="n">
        <x:v>699000</x:v>
      </x:c>
      <x:c r="V203" s="28" t="n">
        <x:v>1114000</x:v>
      </x:c>
      <x:c r="W203" s="3" t="str">
        <x:v>事故・水没・SOH・保証残は未確認</x:v>
      </x:c>
      <x:c r="X203" s="3" t="str">
        <x:v>掲載中・在庫未確認</x:v>
      </x:c>
      <x:c r="Y203" s="3" t="str"/>
      <x:c r="Z203" s="27" t="str">
        <x:v>https://www.taladrod.com/w40/icar/cardet.aspx?cid=2894347</x:v>
      </x:c>
      <x:c r="AA203" s="3" t="str">
        <x:v>Taladrod個別広告ID／Carsome在庫ID</x:v>
      </x:c>
      <x:c r="AB203" s="3" t="str">
        <x:v>車台番号未取得／サイト間重複は未判定</x:v>
      </x:c>
      <x:c r="AC203" s="3" t="str">
        <x:v>税込区分未確認（一覧表示額）</x:v>
      </x:c>
      <x:c r="AD203" s="3" t="str"/>
      <x:c r="AE203" s="29" t="str">
        <x:f>""</x:f>
      </x:c>
      <x:c r="AF203" s="30" t="str">
        <x:f>IF(ISNUMBER(AE203),U203/AE203,"")</x:f>
      </x:c>
      <x:c r="AG203" s="29" t="str">
        <x:f>""</x:f>
      </x:c>
      <x:c r="AH203" s="30" t="str">
        <x:f>IF(ISNUMBER(AG203),U203/AG203,"")</x:f>
      </x:c>
      <x:c r="AI203" s="3" t="str">
        <x:v>同年式・グレードの検証済み当時価格なし／登録年混在</x:v>
      </x:c>
      <x:c r="AJ203" s="3" t="str">
        <x:v>一覧価格/年式のみ</x:v>
      </x:c>
      <x:c r="AK203" s="3" t="str">
        <x:v>一覧の表示価格。年式は掲載年式。</x:v>
      </x:c>
      <x:c r="AL203" s="31" t="n">
        <x:f>IF(AND(J203&lt;='分析方法'!$B$7,OR(ISBLANK(O203),O203&gt;='分析方法'!$B$8),X203&lt;&gt;"売却済み表示"),1,0)</x:f>
        <x:v>1</x:v>
      </x:c>
      <x:c r="AM203" s="32" t="n">
        <x:f>IF(AL203=1,U203,"")</x:f>
        <x:v>699000</x:v>
      </x:c>
      <x:c r="AN203" s="33" t="str">
        <x:f>IF(AL203=1,AF203,"")</x:f>
      </x:c>
      <x:c r="AO203" s="31" t="n">
        <x:f>'分析方法'!$B$6-J203</x:f>
        <x:v>3</x:v>
      </x:c>
      <x:c r="AP203" s="3"/>
    </x:row>
    <x:row r="204" ht="22" customHeight="1">
      <x:c r="A204" s="3" t="str">
        <x:v>T2913130</x:v>
      </x:c>
      <x:c r="B204" s="7" t="d">
        <x:v>2026-10-08T00:00:00.000Z</x:v>
      </x:c>
      <x:c r="C204" s="3" t="str">
        <x:v>Taladrod</x:v>
      </x:c>
      <x:c r="D204" s="3" t="str">
        <x:v>Toyota</x:v>
      </x:c>
      <x:c r="E204" s="3" t="str">
        <x:v>日本</x:v>
      </x:c>
      <x:c r="F204" s="3" t="str">
        <x:v>Corolla Altis</x:v>
      </x:c>
      <x:c r="G204" s="3" t="str">
        <x:v>HEV</x:v>
      </x:c>
      <x:c r="H204" s="3" t="str">
        <x:v>Sedan</x:v>
      </x:c>
      <x:c r="I204" s="3" t="str"/>
      <x:c r="J204" s="3" t="n">
        <x:v>2023</x:v>
      </x:c>
      <x:c r="K204" s="3" t="str">
        <x:v>ALTIS 1.8 HYBRID PREMIUM</x:v>
      </x:c>
      <x:c r="L204" s="3" t="str">
        <x:v>HEV PREMIUM</x:v>
      </x:c>
      <x:c r="M204" s="22"/>
      <x:c r="N204" s="22"/>
      <x:c r="O204" s="22"/>
      <x:c r="P204" s="3" t="str">
        <x:v>未掲載</x:v>
      </x:c>
      <x:c r="Q204" s="3" t="str">
        <x:v>未取得</x:v>
      </x:c>
      <x:c r="R204" s="3" t="str">
        <x:v>Unknown</x:v>
      </x:c>
      <x:c r="S204" s="3" t="str">
        <x:v>不明</x:v>
      </x:c>
      <x:c r="T204" s="3" t="str">
        <x:v>19-ปัจจุบัน</x:v>
      </x:c>
      <x:c r="U204" s="28" t="n">
        <x:v>475000</x:v>
      </x:c>
      <x:c r="V204" s="28" t="n">
        <x:v>994000</x:v>
      </x:c>
      <x:c r="W204" s="3" t="str">
        <x:v>事故・水没・SOH・保証残は未確認</x:v>
      </x:c>
      <x:c r="X204" s="3" t="str">
        <x:v>掲載中・在庫未確認</x:v>
      </x:c>
      <x:c r="Y204" s="3" t="str"/>
      <x:c r="Z204" s="27" t="str">
        <x:v>https://www.taladrod.com/w40/icar/cardet.aspx?cid=2913130</x:v>
      </x:c>
      <x:c r="AA204" s="3" t="str">
        <x:v>Taladrod個別広告ID／Carsome在庫ID</x:v>
      </x:c>
      <x:c r="AB204" s="3" t="str">
        <x:v>車台番号未取得／サイト間重複は未判定</x:v>
      </x:c>
      <x:c r="AC204" s="3" t="str">
        <x:v>税込区分未確認（一覧表示額）</x:v>
      </x:c>
      <x:c r="AD204" s="3" t="str"/>
      <x:c r="AE204" s="29" t="str">
        <x:f>""</x:f>
      </x:c>
      <x:c r="AF204" s="30" t="str">
        <x:f>IF(ISNUMBER(AE204),U204/AE204,"")</x:f>
      </x:c>
      <x:c r="AG204" s="29" t="str">
        <x:f>""</x:f>
      </x:c>
      <x:c r="AH204" s="30" t="str">
        <x:f>IF(ISNUMBER(AG204),U204/AG204,"")</x:f>
      </x:c>
      <x:c r="AI204" s="3" t="str">
        <x:v>同年式・グレードの検証済み当時価格なし／登録年混在</x:v>
      </x:c>
      <x:c r="AJ204" s="3" t="str">
        <x:v>一覧価格/年式のみ</x:v>
      </x:c>
      <x:c r="AK204" s="3" t="str">
        <x:v>一覧の表示価格。年式は掲載年式。</x:v>
      </x:c>
      <x:c r="AL204" s="31" t="n">
        <x:f>IF(AND(J204&lt;='分析方法'!$B$7,OR(ISBLANK(O204),O204&gt;='分析方法'!$B$8),X204&lt;&gt;"売却済み表示"),1,0)</x:f>
        <x:v>1</x:v>
      </x:c>
      <x:c r="AM204" s="32" t="n">
        <x:f>IF(AL204=1,U204,"")</x:f>
        <x:v>475000</x:v>
      </x:c>
      <x:c r="AN204" s="33" t="str">
        <x:f>IF(AL204=1,AF204,"")</x:f>
      </x:c>
      <x:c r="AO204" s="31" t="n">
        <x:f>'分析方法'!$B$6-J204</x:f>
        <x:v>3</x:v>
      </x:c>
      <x:c r="AP204" s="3"/>
    </x:row>
    <x:row r="205" ht="22" customHeight="1">
      <x:c r="A205" s="3" t="str">
        <x:v>T2893496</x:v>
      </x:c>
      <x:c r="B205" s="7" t="d">
        <x:v>2026-10-08T00:00:00.000Z</x:v>
      </x:c>
      <x:c r="C205" s="3" t="str">
        <x:v>Taladrod</x:v>
      </x:c>
      <x:c r="D205" s="3" t="str">
        <x:v>Toyota</x:v>
      </x:c>
      <x:c r="E205" s="3" t="str">
        <x:v>日本</x:v>
      </x:c>
      <x:c r="F205" s="3" t="str">
        <x:v>Corolla Altis</x:v>
      </x:c>
      <x:c r="G205" s="3" t="str">
        <x:v>HEV</x:v>
      </x:c>
      <x:c r="H205" s="3" t="str">
        <x:v>Sedan</x:v>
      </x:c>
      <x:c r="I205" s="3" t="str"/>
      <x:c r="J205" s="3" t="n">
        <x:v>2024</x:v>
      </x:c>
      <x:c r="K205" s="3" t="str">
        <x:v>ALTIS 1.8 HYBRID GR SPORT</x:v>
      </x:c>
      <x:c r="L205" s="3" t="str">
        <x:v>HEV GR SPORT</x:v>
      </x:c>
      <x:c r="M205" s="22"/>
      <x:c r="N205" s="22"/>
      <x:c r="O205" s="22"/>
      <x:c r="P205" s="3" t="str">
        <x:v>未掲載</x:v>
      </x:c>
      <x:c r="Q205" s="3" t="str">
        <x:v>未取得</x:v>
      </x:c>
      <x:c r="R205" s="3" t="str">
        <x:v>Unknown</x:v>
      </x:c>
      <x:c r="S205" s="3" t="str">
        <x:v>不明</x:v>
      </x:c>
      <x:c r="T205" s="3" t="str">
        <x:v>19-ปัจจุบัน</x:v>
      </x:c>
      <x:c r="U205" s="28" t="n">
        <x:v>760000</x:v>
      </x:c>
      <x:c r="V205" s="28" t="n">
        <x:v>1114000</x:v>
      </x:c>
      <x:c r="W205" s="3" t="str">
        <x:v>事故・水没・SOH・保証残は未確認</x:v>
      </x:c>
      <x:c r="X205" s="3" t="str">
        <x:v>掲載中・在庫未確認</x:v>
      </x:c>
      <x:c r="Y205" s="3" t="str"/>
      <x:c r="Z205" s="27" t="str">
        <x:v>https://www.taladrod.com/w40/icar/cardet.aspx?cid=2893496</x:v>
      </x:c>
      <x:c r="AA205" s="3" t="str">
        <x:v>Taladrod個別広告ID／Carsome在庫ID</x:v>
      </x:c>
      <x:c r="AB205" s="3" t="str">
        <x:v>車台番号未取得／サイト間重複は未判定</x:v>
      </x:c>
      <x:c r="AC205" s="3" t="str">
        <x:v>税込区分未確認（一覧表示額）</x:v>
      </x:c>
      <x:c r="AD205" s="3" t="str">
        <x:v>ALTIS23_HEV GR SPORT</x:v>
      </x:c>
      <x:c r="AE205" s="29" t="n">
        <x:f>'新車価格・特価'!K60</x:f>
        <x:v>1129000</x:v>
      </x:c>
      <x:c r="AF205" s="30" t="n">
        <x:f>IF(ISNUMBER(AE205),U205/AE205,"")</x:f>
        <x:v>0.6731620903454384</x:v>
      </x:c>
      <x:c r="AG205" s="29" t="str">
        <x:f>""</x:f>
      </x:c>
      <x:c r="AH205" s="30" t="str">
        <x:f>IF(ISNUMBER(AG205),U205/AG205,"")</x:f>
      </x:c>
      <x:c r="AI205" s="3" t="str">
        <x:v>当時公表小売価格の参考残価率。実購入額ではない。年式/登録年・仕様差に注意。</x:v>
      </x:c>
      <x:c r="AJ205" s="3" t="str">
        <x:v>一覧価格/年式のみ</x:v>
      </x:c>
      <x:c r="AK205" s="3" t="str">
        <x:v>一覧の表示価格。年式は掲載年式。</x:v>
      </x:c>
      <x:c r="AL205" s="31" t="n">
        <x:f>IF(AND(J205&lt;='分析方法'!$B$7,OR(ISBLANK(O205),O205&gt;='分析方法'!$B$8),X205&lt;&gt;"売却済み表示"),1,0)</x:f>
        <x:v>1</x:v>
      </x:c>
      <x:c r="AM205" s="32" t="n">
        <x:f>IF(AL205=1,U205,"")</x:f>
        <x:v>760000</x:v>
      </x:c>
      <x:c r="AN205" s="33" t="n">
        <x:f>IF(AL205=1,AF205,"")</x:f>
        <x:v>0.6731620903454384</x:v>
      </x:c>
      <x:c r="AO205" s="31" t="n">
        <x:f>'分析方法'!$B$6-J205</x:f>
        <x:v>2</x:v>
      </x:c>
      <x:c r="AP205" s="3"/>
    </x:row>
    <x:row r="206" ht="22" customHeight="1">
      <x:c r="A206" s="3" t="str">
        <x:v>T2920192</x:v>
      </x:c>
      <x:c r="B206" s="7" t="d">
        <x:v>2026-10-08T00:00:00.000Z</x:v>
      </x:c>
      <x:c r="C206" s="3" t="str">
        <x:v>Taladrod</x:v>
      </x:c>
      <x:c r="D206" s="3" t="str">
        <x:v>Toyota</x:v>
      </x:c>
      <x:c r="E206" s="3" t="str">
        <x:v>日本</x:v>
      </x:c>
      <x:c r="F206" s="3" t="str">
        <x:v>Corolla Altis</x:v>
      </x:c>
      <x:c r="G206" s="3" t="str">
        <x:v>HEV</x:v>
      </x:c>
      <x:c r="H206" s="3" t="str">
        <x:v>Sedan</x:v>
      </x:c>
      <x:c r="I206" s="3" t="str"/>
      <x:c r="J206" s="3" t="n">
        <x:v>2024</x:v>
      </x:c>
      <x:c r="K206" s="3" t="str">
        <x:v>ALTIS 1.8 HYBRID GR SPORT</x:v>
      </x:c>
      <x:c r="L206" s="3" t="str">
        <x:v>HEV GR SPORT</x:v>
      </x:c>
      <x:c r="M206" s="22"/>
      <x:c r="N206" s="22"/>
      <x:c r="O206" s="22"/>
      <x:c r="P206" s="3" t="str">
        <x:v>未掲載</x:v>
      </x:c>
      <x:c r="Q206" s="3" t="str">
        <x:v>未取得</x:v>
      </x:c>
      <x:c r="R206" s="3" t="str">
        <x:v>Unknown</x:v>
      </x:c>
      <x:c r="S206" s="3" t="str">
        <x:v>不明</x:v>
      </x:c>
      <x:c r="T206" s="3" t="str">
        <x:v>19-ปัจจุบัน</x:v>
      </x:c>
      <x:c r="U206" s="28" t="n">
        <x:v>795000</x:v>
      </x:c>
      <x:c r="V206" s="28" t="n">
        <x:v>1114000</x:v>
      </x:c>
      <x:c r="W206" s="3" t="str">
        <x:v>事故・水没・SOH・保証残は未確認</x:v>
      </x:c>
      <x:c r="X206" s="3" t="str">
        <x:v>掲載中・在庫未確認</x:v>
      </x:c>
      <x:c r="Y206" s="3" t="str"/>
      <x:c r="Z206" s="27" t="str">
        <x:v>https://www.taladrod.com/w40/icar/cardet.aspx?cid=2920192</x:v>
      </x:c>
      <x:c r="AA206" s="3" t="str">
        <x:v>Taladrod個別広告ID／Carsome在庫ID</x:v>
      </x:c>
      <x:c r="AB206" s="3" t="str">
        <x:v>車台番号未取得／サイト間重複は未判定</x:v>
      </x:c>
      <x:c r="AC206" s="3" t="str">
        <x:v>税込区分未確認（一覧表示額）</x:v>
      </x:c>
      <x:c r="AD206" s="3" t="str">
        <x:v>ALTIS23_HEV GR SPORT</x:v>
      </x:c>
      <x:c r="AE206" s="29" t="n">
        <x:f>'新車価格・特価'!K60</x:f>
        <x:v>1129000</x:v>
      </x:c>
      <x:c r="AF206" s="30" t="n">
        <x:f>IF(ISNUMBER(AE206),U206/AE206,"")</x:f>
        <x:v>0.704162976085031</x:v>
      </x:c>
      <x:c r="AG206" s="29" t="str">
        <x:f>""</x:f>
      </x:c>
      <x:c r="AH206" s="30" t="str">
        <x:f>IF(ISNUMBER(AG206),U206/AG206,"")</x:f>
      </x:c>
      <x:c r="AI206" s="3" t="str">
        <x:v>当時公表小売価格の参考残価率。実購入額ではない。年式/登録年・仕様差に注意。</x:v>
      </x:c>
      <x:c r="AJ206" s="3" t="str">
        <x:v>一覧価格/年式のみ</x:v>
      </x:c>
      <x:c r="AK206" s="3" t="str">
        <x:v>一覧の表示価格。年式は掲載年式。</x:v>
      </x:c>
      <x:c r="AL206" s="31" t="n">
        <x:f>IF(AND(J206&lt;='分析方法'!$B$7,OR(ISBLANK(O206),O206&gt;='分析方法'!$B$8),X206&lt;&gt;"売却済み表示"),1,0)</x:f>
        <x:v>1</x:v>
      </x:c>
      <x:c r="AM206" s="32" t="n">
        <x:f>IF(AL206=1,U206,"")</x:f>
        <x:v>795000</x:v>
      </x:c>
      <x:c r="AN206" s="33" t="n">
        <x:f>IF(AL206=1,AF206,"")</x:f>
        <x:v>0.704162976085031</x:v>
      </x:c>
      <x:c r="AO206" s="31" t="n">
        <x:f>'分析方法'!$B$6-J206</x:f>
        <x:v>2</x:v>
      </x:c>
      <x:c r="AP206" s="3"/>
    </x:row>
    <x:row r="207" ht="22" customHeight="1">
      <x:c r="A207" s="3" t="str">
        <x:v>T2917384</x:v>
      </x:c>
      <x:c r="B207" s="7" t="d">
        <x:v>2026-10-08T00:00:00.000Z</x:v>
      </x:c>
      <x:c r="C207" s="3" t="str">
        <x:v>Taladrod</x:v>
      </x:c>
      <x:c r="D207" s="3" t="str">
        <x:v>Toyota</x:v>
      </x:c>
      <x:c r="E207" s="3" t="str">
        <x:v>日本</x:v>
      </x:c>
      <x:c r="F207" s="3" t="str">
        <x:v>Corolla Altis</x:v>
      </x:c>
      <x:c r="G207" s="3" t="str">
        <x:v>HEV</x:v>
      </x:c>
      <x:c r="H207" s="3" t="str">
        <x:v>Sedan</x:v>
      </x:c>
      <x:c r="I207" s="3" t="str"/>
      <x:c r="J207" s="3" t="n">
        <x:v>2025</x:v>
      </x:c>
      <x:c r="K207" s="3" t="str">
        <x:v>ALTIS 1.8 HYBRID GR SPORT</x:v>
      </x:c>
      <x:c r="L207" s="3" t="str">
        <x:v>HEV GR SPORT</x:v>
      </x:c>
      <x:c r="M207" s="22"/>
      <x:c r="N207" s="22"/>
      <x:c r="O207" s="22"/>
      <x:c r="P207" s="3" t="str">
        <x:v>未掲載</x:v>
      </x:c>
      <x:c r="Q207" s="3" t="str">
        <x:v>未取得</x:v>
      </x:c>
      <x:c r="R207" s="3" t="str">
        <x:v>Unknown</x:v>
      </x:c>
      <x:c r="S207" s="3" t="str">
        <x:v>不明</x:v>
      </x:c>
      <x:c r="T207" s="3" t="str">
        <x:v>19-ปัจจุบัน</x:v>
      </x:c>
      <x:c r="U207" s="28" t="n">
        <x:v>895000</x:v>
      </x:c>
      <x:c r="V207" s="28" t="n">
        <x:v>1114000</x:v>
      </x:c>
      <x:c r="W207" s="3" t="str">
        <x:v>事故・水没・SOH・保証残は未確認</x:v>
      </x:c>
      <x:c r="X207" s="3" t="str">
        <x:v>掲載中・在庫未確認</x:v>
      </x:c>
      <x:c r="Y207" s="3" t="str"/>
      <x:c r="Z207" s="27" t="str">
        <x:v>https://www.taladrod.com/w40/icar/cardet.aspx?cid=2917384</x:v>
      </x:c>
      <x:c r="AA207" s="3" t="str">
        <x:v>Taladrod個別広告ID／Carsome在庫ID</x:v>
      </x:c>
      <x:c r="AB207" s="3" t="str">
        <x:v>車台番号未取得／サイト間重複は未判定</x:v>
      </x:c>
      <x:c r="AC207" s="3" t="str">
        <x:v>税込区分未確認（一覧表示額）</x:v>
      </x:c>
      <x:c r="AD207" s="3" t="str"/>
      <x:c r="AE207" s="29" t="str">
        <x:f>""</x:f>
      </x:c>
      <x:c r="AF207" s="30" t="str">
        <x:f>IF(ISNUMBER(AE207),U207/AE207,"")</x:f>
      </x:c>
      <x:c r="AG207" s="29" t="str">
        <x:f>""</x:f>
      </x:c>
      <x:c r="AH207" s="30" t="str">
        <x:f>IF(ISNUMBER(AG207),U207/AG207,"")</x:f>
      </x:c>
      <x:c r="AI207" s="3" t="str">
        <x:v>同年式・グレードの検証済み当時価格なし／登録年混在</x:v>
      </x:c>
      <x:c r="AJ207" s="3" t="str">
        <x:v>一覧価格/年式のみ</x:v>
      </x:c>
      <x:c r="AK207" s="3" t="str">
        <x:v>一覧の表示価格。年式は掲載年式。</x:v>
      </x:c>
      <x:c r="AL207" s="31" t="n">
        <x:f>IF(AND(J207&lt;='分析方法'!$B$7,OR(ISBLANK(O207),O207&gt;='分析方法'!$B$8),X207&lt;&gt;"売却済み表示"),1,0)</x:f>
        <x:v>1</x:v>
      </x:c>
      <x:c r="AM207" s="32" t="n">
        <x:f>IF(AL207=1,U207,"")</x:f>
        <x:v>895000</x:v>
      </x:c>
      <x:c r="AN207" s="33" t="str">
        <x:f>IF(AL207=1,AF207,"")</x:f>
      </x:c>
      <x:c r="AO207" s="31" t="n">
        <x:f>'分析方法'!$B$6-J207</x:f>
        <x:v>1</x:v>
      </x:c>
      <x:c r="AP207" s="3"/>
    </x:row>
    <x:row r="208" ht="22" customHeight="1">
      <x:c r="A208" s="3" t="str">
        <x:v>T2893964</x:v>
      </x:c>
      <x:c r="B208" s="7" t="d">
        <x:v>2026-10-08T00:00:00.000Z</x:v>
      </x:c>
      <x:c r="C208" s="3" t="str">
        <x:v>Taladrod</x:v>
      </x:c>
      <x:c r="D208" s="3" t="str">
        <x:v>Toyota</x:v>
      </x:c>
      <x:c r="E208" s="3" t="str">
        <x:v>日本</x:v>
      </x:c>
      <x:c r="F208" s="3" t="str">
        <x:v>Corolla Altis</x:v>
      </x:c>
      <x:c r="G208" s="3" t="str">
        <x:v>HEV</x:v>
      </x:c>
      <x:c r="H208" s="3" t="str">
        <x:v>Sedan</x:v>
      </x:c>
      <x:c r="I208" s="3" t="str"/>
      <x:c r="J208" s="3" t="n">
        <x:v>2025</x:v>
      </x:c>
      <x:c r="K208" s="3" t="str">
        <x:v>ALTIS 1.8 HYBRID PREMIUM</x:v>
      </x:c>
      <x:c r="L208" s="3" t="str">
        <x:v>HEV PREMIUM</x:v>
      </x:c>
      <x:c r="M208" s="22"/>
      <x:c r="N208" s="22"/>
      <x:c r="O208" s="22"/>
      <x:c r="P208" s="3" t="str">
        <x:v>未掲載</x:v>
      </x:c>
      <x:c r="Q208" s="3" t="str">
        <x:v>未取得</x:v>
      </x:c>
      <x:c r="R208" s="3" t="str">
        <x:v>Unknown</x:v>
      </x:c>
      <x:c r="S208" s="3" t="str">
        <x:v>不明</x:v>
      </x:c>
      <x:c r="T208" s="3" t="str">
        <x:v>19-ปัจจุบัน</x:v>
      </x:c>
      <x:c r="U208" s="28" t="n">
        <x:v>875000</x:v>
      </x:c>
      <x:c r="V208" s="28" t="n">
        <x:v>994000</x:v>
      </x:c>
      <x:c r="W208" s="3" t="str">
        <x:v>事故・水没・SOH・保証残は未確認</x:v>
      </x:c>
      <x:c r="X208" s="3" t="str">
        <x:v>掲載中・在庫未確認</x:v>
      </x:c>
      <x:c r="Y208" s="3" t="str"/>
      <x:c r="Z208" s="27" t="str">
        <x:v>https://www.taladrod.com/w40/icar/cardet.aspx?cid=2893964</x:v>
      </x:c>
      <x:c r="AA208" s="3" t="str">
        <x:v>Taladrod個別広告ID／Carsome在庫ID</x:v>
      </x:c>
      <x:c r="AB208" s="3" t="str">
        <x:v>車台番号未取得／サイト間重複は未判定</x:v>
      </x:c>
      <x:c r="AC208" s="3" t="str">
        <x:v>税込区分未確認（一覧表示額）</x:v>
      </x:c>
      <x:c r="AD208" s="3" t="str"/>
      <x:c r="AE208" s="29" t="str">
        <x:f>""</x:f>
      </x:c>
      <x:c r="AF208" s="30" t="str">
        <x:f>IF(ISNUMBER(AE208),U208/AE208,"")</x:f>
      </x:c>
      <x:c r="AG208" s="29" t="str">
        <x:f>""</x:f>
      </x:c>
      <x:c r="AH208" s="30" t="str">
        <x:f>IF(ISNUMBER(AG208),U208/AG208,"")</x:f>
      </x:c>
      <x:c r="AI208" s="3" t="str">
        <x:v>同年式・グレードの検証済み当時価格なし／登録年混在</x:v>
      </x:c>
      <x:c r="AJ208" s="3" t="str">
        <x:v>一覧価格/年式のみ</x:v>
      </x:c>
      <x:c r="AK208" s="3" t="str">
        <x:v>一覧の表示価格。年式は掲載年式。</x:v>
      </x:c>
      <x:c r="AL208" s="31" t="n">
        <x:f>IF(AND(J208&lt;='分析方法'!$B$7,OR(ISBLANK(O208),O208&gt;='分析方法'!$B$8),X208&lt;&gt;"売却済み表示"),1,0)</x:f>
        <x:v>1</x:v>
      </x:c>
      <x:c r="AM208" s="32" t="n">
        <x:f>IF(AL208=1,U208,"")</x:f>
        <x:v>875000</x:v>
      </x:c>
      <x:c r="AN208" s="33" t="str">
        <x:f>IF(AL208=1,AF208,"")</x:f>
      </x:c>
      <x:c r="AO208" s="31" t="n">
        <x:f>'分析方法'!$B$6-J208</x:f>
        <x:v>1</x:v>
      </x:c>
      <x:c r="AP208" s="3"/>
    </x:row>
    <x:row r="209" ht="22" customHeight="1">
      <x:c r="A209" s="3" t="str">
        <x:v>T2903851</x:v>
      </x:c>
      <x:c r="B209" s="7" t="d">
        <x:v>2026-10-08T00:00:00.000Z</x:v>
      </x:c>
      <x:c r="C209" s="3" t="str">
        <x:v>Taladrod</x:v>
      </x:c>
      <x:c r="D209" s="3" t="str">
        <x:v>Toyota</x:v>
      </x:c>
      <x:c r="E209" s="3" t="str">
        <x:v>日本</x:v>
      </x:c>
      <x:c r="F209" s="3" t="str">
        <x:v>Corolla Altis</x:v>
      </x:c>
      <x:c r="G209" s="3" t="str">
        <x:v>HEV</x:v>
      </x:c>
      <x:c r="H209" s="3" t="str">
        <x:v>Sedan</x:v>
      </x:c>
      <x:c r="I209" s="3" t="str"/>
      <x:c r="J209" s="3" t="n">
        <x:v>2025</x:v>
      </x:c>
      <x:c r="K209" s="3" t="str">
        <x:v>ALTIS 1.8 HYBRID PREMIUM</x:v>
      </x:c>
      <x:c r="L209" s="3" t="str">
        <x:v>HEV PREMIUM</x:v>
      </x:c>
      <x:c r="M209" s="22"/>
      <x:c r="N209" s="22"/>
      <x:c r="O209" s="22"/>
      <x:c r="P209" s="3" t="str">
        <x:v>未掲載</x:v>
      </x:c>
      <x:c r="Q209" s="3" t="str">
        <x:v>未取得</x:v>
      </x:c>
      <x:c r="R209" s="3" t="str">
        <x:v>Unknown</x:v>
      </x:c>
      <x:c r="S209" s="3" t="str">
        <x:v>不明</x:v>
      </x:c>
      <x:c r="T209" s="3" t="str">
        <x:v>19-ปัจจุบัน</x:v>
      </x:c>
      <x:c r="U209" s="28" t="n">
        <x:v>819000</x:v>
      </x:c>
      <x:c r="V209" s="28" t="n">
        <x:v>994000</x:v>
      </x:c>
      <x:c r="W209" s="3" t="str">
        <x:v>事故・水没・SOH・保証残は未確認</x:v>
      </x:c>
      <x:c r="X209" s="3" t="str">
        <x:v>掲載中・在庫未確認</x:v>
      </x:c>
      <x:c r="Y209" s="3" t="str"/>
      <x:c r="Z209" s="27" t="str">
        <x:v>https://www.taladrod.com/w40/icar/cardet.aspx?cid=2903851</x:v>
      </x:c>
      <x:c r="AA209" s="3" t="str">
        <x:v>Taladrod個別広告ID／Carsome在庫ID</x:v>
      </x:c>
      <x:c r="AB209" s="3" t="str">
        <x:v>車台番号未取得／サイト間重複は未判定</x:v>
      </x:c>
      <x:c r="AC209" s="3" t="str">
        <x:v>税込区分未確認（一覧表示額）</x:v>
      </x:c>
      <x:c r="AD209" s="3" t="str"/>
      <x:c r="AE209" s="29" t="str">
        <x:f>""</x:f>
      </x:c>
      <x:c r="AF209" s="30" t="str">
        <x:f>IF(ISNUMBER(AE209),U209/AE209,"")</x:f>
      </x:c>
      <x:c r="AG209" s="29" t="str">
        <x:f>""</x:f>
      </x:c>
      <x:c r="AH209" s="30" t="str">
        <x:f>IF(ISNUMBER(AG209),U209/AG209,"")</x:f>
      </x:c>
      <x:c r="AI209" s="3" t="str">
        <x:v>同年式・グレードの検証済み当時価格なし／登録年混在</x:v>
      </x:c>
      <x:c r="AJ209" s="3" t="str">
        <x:v>一覧価格/年式のみ</x:v>
      </x:c>
      <x:c r="AK209" s="3" t="str">
        <x:v>一覧の表示価格。年式は掲載年式。</x:v>
      </x:c>
      <x:c r="AL209" s="31" t="n">
        <x:f>IF(AND(J209&lt;='分析方法'!$B$7,OR(ISBLANK(O209),O209&gt;='分析方法'!$B$8),X209&lt;&gt;"売却済み表示"),1,0)</x:f>
        <x:v>1</x:v>
      </x:c>
      <x:c r="AM209" s="32" t="n">
        <x:f>IF(AL209=1,U209,"")</x:f>
        <x:v>819000</x:v>
      </x:c>
      <x:c r="AN209" s="33" t="str">
        <x:f>IF(AL209=1,AF209,"")</x:f>
      </x:c>
      <x:c r="AO209" s="31" t="n">
        <x:f>'分析方法'!$B$6-J209</x:f>
        <x:v>1</x:v>
      </x:c>
      <x:c r="AP209" s="3"/>
    </x:row>
    <x:row r="210" ht="22" customHeight="1">
      <x:c r="A210" s="3" t="str">
        <x:v>T2915144</x:v>
      </x:c>
      <x:c r="B210" s="7" t="d">
        <x:v>2026-10-08T00:00:00.000Z</x:v>
      </x:c>
      <x:c r="C210" s="3" t="str">
        <x:v>Taladrod</x:v>
      </x:c>
      <x:c r="D210" s="3" t="str">
        <x:v>Toyota</x:v>
      </x:c>
      <x:c r="E210" s="3" t="str">
        <x:v>日本</x:v>
      </x:c>
      <x:c r="F210" s="3" t="str">
        <x:v>Corolla Altis</x:v>
      </x:c>
      <x:c r="G210" s="3" t="str">
        <x:v>HEV</x:v>
      </x:c>
      <x:c r="H210" s="3" t="str">
        <x:v>Sedan</x:v>
      </x:c>
      <x:c r="I210" s="3" t="str"/>
      <x:c r="J210" s="3" t="n">
        <x:v>2025</x:v>
      </x:c>
      <x:c r="K210" s="3" t="str">
        <x:v>ALTIS 1.8 HYBRID PREMIUM</x:v>
      </x:c>
      <x:c r="L210" s="3" t="str">
        <x:v>HEV PREMIUM</x:v>
      </x:c>
      <x:c r="M210" s="22"/>
      <x:c r="N210" s="22"/>
      <x:c r="O210" s="22"/>
      <x:c r="P210" s="3" t="str">
        <x:v>未掲載</x:v>
      </x:c>
      <x:c r="Q210" s="3" t="str">
        <x:v>未取得</x:v>
      </x:c>
      <x:c r="R210" s="3" t="str">
        <x:v>Unknown</x:v>
      </x:c>
      <x:c r="S210" s="3" t="str">
        <x:v>不明</x:v>
      </x:c>
      <x:c r="T210" s="3" t="str">
        <x:v>19-ปัจจุบัน</x:v>
      </x:c>
      <x:c r="U210" s="28" t="n">
        <x:v>755000</x:v>
      </x:c>
      <x:c r="V210" s="28" t="n">
        <x:v>994000</x:v>
      </x:c>
      <x:c r="W210" s="3" t="str">
        <x:v>事故・水没・SOH・保証残は未確認</x:v>
      </x:c>
      <x:c r="X210" s="3" t="str">
        <x:v>掲載中・在庫未確認</x:v>
      </x:c>
      <x:c r="Y210" s="3" t="str"/>
      <x:c r="Z210" s="27" t="str">
        <x:v>https://www.taladrod.com/w40/icar/cardet.aspx?cid=2915144</x:v>
      </x:c>
      <x:c r="AA210" s="3" t="str">
        <x:v>Taladrod個別広告ID／Carsome在庫ID</x:v>
      </x:c>
      <x:c r="AB210" s="3" t="str">
        <x:v>車台番号未取得／サイト間重複は未判定</x:v>
      </x:c>
      <x:c r="AC210" s="3" t="str">
        <x:v>税込区分未確認（一覧表示額）</x:v>
      </x:c>
      <x:c r="AD210" s="3" t="str"/>
      <x:c r="AE210" s="29" t="str">
        <x:f>""</x:f>
      </x:c>
      <x:c r="AF210" s="30" t="str">
        <x:f>IF(ISNUMBER(AE210),U210/AE210,"")</x:f>
      </x:c>
      <x:c r="AG210" s="29" t="str">
        <x:f>""</x:f>
      </x:c>
      <x:c r="AH210" s="30" t="str">
        <x:f>IF(ISNUMBER(AG210),U210/AG210,"")</x:f>
      </x:c>
      <x:c r="AI210" s="3" t="str">
        <x:v>同年式・グレードの検証済み当時価格なし／登録年混在</x:v>
      </x:c>
      <x:c r="AJ210" s="3" t="str">
        <x:v>一覧価格/年式のみ</x:v>
      </x:c>
      <x:c r="AK210" s="3" t="str">
        <x:v>一覧の表示価格。年式は掲載年式。</x:v>
      </x:c>
      <x:c r="AL210" s="31" t="n">
        <x:f>IF(AND(J210&lt;='分析方法'!$B$7,OR(ISBLANK(O210),O210&gt;='分析方法'!$B$8),X210&lt;&gt;"売却済み表示"),1,0)</x:f>
        <x:v>1</x:v>
      </x:c>
      <x:c r="AM210" s="32" t="n">
        <x:f>IF(AL210=1,U210,"")</x:f>
        <x:v>755000</x:v>
      </x:c>
      <x:c r="AN210" s="33" t="str">
        <x:f>IF(AL210=1,AF210,"")</x:f>
      </x:c>
      <x:c r="AO210" s="31" t="n">
        <x:f>'分析方法'!$B$6-J210</x:f>
        <x:v>1</x:v>
      </x:c>
      <x:c r="AP210" s="3"/>
    </x:row>
    <x:row r="211" ht="22" customHeight="1">
      <x:c r="A211" s="3" t="str">
        <x:v>T2880702</x:v>
      </x:c>
      <x:c r="B211" s="7" t="d">
        <x:v>2026-10-08T00:00:00.000Z</x:v>
      </x:c>
      <x:c r="C211" s="3" t="str">
        <x:v>Taladrod</x:v>
      </x:c>
      <x:c r="D211" s="3" t="str">
        <x:v>Toyota</x:v>
      </x:c>
      <x:c r="E211" s="3" t="str">
        <x:v>日本</x:v>
      </x:c>
      <x:c r="F211" s="3" t="str">
        <x:v>Corolla Altis</x:v>
      </x:c>
      <x:c r="G211" s="3" t="str">
        <x:v>ICE</x:v>
      </x:c>
      <x:c r="H211" s="3" t="str">
        <x:v>Sedan</x:v>
      </x:c>
      <x:c r="I211" s="3" t="str"/>
      <x:c r="J211" s="3" t="n">
        <x:v>2020</x:v>
      </x:c>
      <x:c r="K211" s="3" t="str">
        <x:v>ALTIS 1.6 G</x:v>
      </x:c>
      <x:c r="L211" s="3" t="str">
        <x:v>G</x:v>
      </x:c>
      <x:c r="M211" s="22"/>
      <x:c r="N211" s="22"/>
      <x:c r="O211" s="22"/>
      <x:c r="P211" s="3" t="str">
        <x:v>未掲載</x:v>
      </x:c>
      <x:c r="Q211" s="3" t="str">
        <x:v>未取得</x:v>
      </x:c>
      <x:c r="R211" s="3" t="str">
        <x:v>Unknown</x:v>
      </x:c>
      <x:c r="S211" s="3" t="str">
        <x:v>不明</x:v>
      </x:c>
      <x:c r="T211" s="3" t="str">
        <x:v>19-ปัจจุบัน</x:v>
      </x:c>
      <x:c r="U211" s="28" t="n">
        <x:v>439000</x:v>
      </x:c>
      <x:c r="V211" s="28" t="n">
        <x:v>879000</x:v>
      </x:c>
      <x:c r="W211" s="3" t="str">
        <x:v>事故・水没・SOH・保証残は未確認</x:v>
      </x:c>
      <x:c r="X211" s="3" t="str">
        <x:v>掲載中・在庫未確認</x:v>
      </x:c>
      <x:c r="Y211" s="3" t="str"/>
      <x:c r="Z211" s="27" t="str">
        <x:v>https://www.taladrod.com/w40/icar/cardet.aspx?cid=2880702</x:v>
      </x:c>
      <x:c r="AA211" s="3" t="str">
        <x:v>Taladrod個別広告ID／Carsome在庫ID</x:v>
      </x:c>
      <x:c r="AB211" s="3" t="str">
        <x:v>車台番号未取得／サイト間重複は未判定</x:v>
      </x:c>
      <x:c r="AC211" s="3" t="str">
        <x:v>税込区分未確認（一覧表示額）</x:v>
      </x:c>
      <x:c r="AD211" s="3" t="str"/>
      <x:c r="AE211" s="29" t="str">
        <x:f>""</x:f>
      </x:c>
      <x:c r="AF211" s="30" t="str">
        <x:f>IF(ISNUMBER(AE211),U211/AE211,"")</x:f>
      </x:c>
      <x:c r="AG211" s="29" t="str">
        <x:f>""</x:f>
      </x:c>
      <x:c r="AH211" s="30" t="str">
        <x:f>IF(ISNUMBER(AG211),U211/AG211,"")</x:f>
      </x:c>
      <x:c r="AI211" s="3" t="str">
        <x:v>同年式・グレードの検証済み当時価格なし／登録年混在</x:v>
      </x:c>
      <x:c r="AJ211" s="3" t="str">
        <x:v>一覧価格/年式のみ</x:v>
      </x:c>
      <x:c r="AK211" s="3" t="str">
        <x:v>一覧の表示価格。年式は掲載年式。</x:v>
      </x:c>
      <x:c r="AL211" s="31" t="n">
        <x:f>IF(AND(J211&lt;='分析方法'!$B$7,OR(ISBLANK(O211),O211&gt;='分析方法'!$B$8),X211&lt;&gt;"売却済み表示"),1,0)</x:f>
        <x:v>1</x:v>
      </x:c>
      <x:c r="AM211" s="32" t="n">
        <x:f>IF(AL211=1,U211,"")</x:f>
        <x:v>439000</x:v>
      </x:c>
      <x:c r="AN211" s="33" t="str">
        <x:f>IF(AL211=1,AF211,"")</x:f>
      </x:c>
      <x:c r="AO211" s="31" t="n">
        <x:f>'分析方法'!$B$6-J211</x:f>
        <x:v>6</x:v>
      </x:c>
      <x:c r="AP211" s="3"/>
    </x:row>
    <x:row r="212" ht="22" customHeight="1">
      <x:c r="A212" s="3" t="str">
        <x:v>T2884716</x:v>
      </x:c>
      <x:c r="B212" s="7" t="d">
        <x:v>2026-10-08T00:00:00.000Z</x:v>
      </x:c>
      <x:c r="C212" s="3" t="str">
        <x:v>Taladrod</x:v>
      </x:c>
      <x:c r="D212" s="3" t="str">
        <x:v>Toyota</x:v>
      </x:c>
      <x:c r="E212" s="3" t="str">
        <x:v>日本</x:v>
      </x:c>
      <x:c r="F212" s="3" t="str">
        <x:v>Corolla Altis</x:v>
      </x:c>
      <x:c r="G212" s="3" t="str">
        <x:v>ICE</x:v>
      </x:c>
      <x:c r="H212" s="3" t="str">
        <x:v>Sedan</x:v>
      </x:c>
      <x:c r="I212" s="3" t="str"/>
      <x:c r="J212" s="3" t="n">
        <x:v>2020</x:v>
      </x:c>
      <x:c r="K212" s="3" t="str">
        <x:v>ALTIS 1.6 G</x:v>
      </x:c>
      <x:c r="L212" s="3" t="str">
        <x:v>G</x:v>
      </x:c>
      <x:c r="M212" s="22"/>
      <x:c r="N212" s="22"/>
      <x:c r="O212" s="22"/>
      <x:c r="P212" s="3" t="str">
        <x:v>未掲載</x:v>
      </x:c>
      <x:c r="Q212" s="3" t="str">
        <x:v>未取得</x:v>
      </x:c>
      <x:c r="R212" s="3" t="str">
        <x:v>Unknown</x:v>
      </x:c>
      <x:c r="S212" s="3" t="str">
        <x:v>不明</x:v>
      </x:c>
      <x:c r="T212" s="3" t="str">
        <x:v>19-ปัจจุบัน</x:v>
      </x:c>
      <x:c r="U212" s="28" t="n">
        <x:v>418000</x:v>
      </x:c>
      <x:c r="V212" s="28" t="n">
        <x:v>879000</x:v>
      </x:c>
      <x:c r="W212" s="3" t="str">
        <x:v>事故・水没・SOH・保証残は未確認</x:v>
      </x:c>
      <x:c r="X212" s="3" t="str">
        <x:v>掲載中・在庫未確認</x:v>
      </x:c>
      <x:c r="Y212" s="3" t="str"/>
      <x:c r="Z212" s="27" t="str">
        <x:v>https://www.taladrod.com/w40/icar/cardet.aspx?cid=2884716</x:v>
      </x:c>
      <x:c r="AA212" s="3" t="str">
        <x:v>Taladrod個別広告ID／Carsome在庫ID</x:v>
      </x:c>
      <x:c r="AB212" s="3" t="str">
        <x:v>車台番号未取得／サイト間重複は未判定</x:v>
      </x:c>
      <x:c r="AC212" s="3" t="str">
        <x:v>税込区分未確認（一覧表示額）</x:v>
      </x:c>
      <x:c r="AD212" s="3" t="str"/>
      <x:c r="AE212" s="29" t="str">
        <x:f>""</x:f>
      </x:c>
      <x:c r="AF212" s="30" t="str">
        <x:f>IF(ISNUMBER(AE212),U212/AE212,"")</x:f>
      </x:c>
      <x:c r="AG212" s="29" t="str">
        <x:f>""</x:f>
      </x:c>
      <x:c r="AH212" s="30" t="str">
        <x:f>IF(ISNUMBER(AG212),U212/AG212,"")</x:f>
      </x:c>
      <x:c r="AI212" s="3" t="str">
        <x:v>同年式・グレードの検証済み当時価格なし／登録年混在</x:v>
      </x:c>
      <x:c r="AJ212" s="3" t="str">
        <x:v>一覧価格/年式のみ</x:v>
      </x:c>
      <x:c r="AK212" s="3" t="str">
        <x:v>一覧の表示価格。年式は掲載年式。</x:v>
      </x:c>
      <x:c r="AL212" s="31" t="n">
        <x:f>IF(AND(J212&lt;='分析方法'!$B$7,OR(ISBLANK(O212),O212&gt;='分析方法'!$B$8),X212&lt;&gt;"売却済み表示"),1,0)</x:f>
        <x:v>1</x:v>
      </x:c>
      <x:c r="AM212" s="32" t="n">
        <x:f>IF(AL212=1,U212,"")</x:f>
        <x:v>418000</x:v>
      </x:c>
      <x:c r="AN212" s="33" t="str">
        <x:f>IF(AL212=1,AF212,"")</x:f>
      </x:c>
      <x:c r="AO212" s="31" t="n">
        <x:f>'分析方法'!$B$6-J212</x:f>
        <x:v>6</x:v>
      </x:c>
      <x:c r="AP212" s="3"/>
    </x:row>
    <x:row r="213" ht="22" customHeight="1">
      <x:c r="A213" s="3" t="str">
        <x:v>T2886540</x:v>
      </x:c>
      <x:c r="B213" s="7" t="d">
        <x:v>2026-10-08T00:00:00.000Z</x:v>
      </x:c>
      <x:c r="C213" s="3" t="str">
        <x:v>Taladrod</x:v>
      </x:c>
      <x:c r="D213" s="3" t="str">
        <x:v>Toyota</x:v>
      </x:c>
      <x:c r="E213" s="3" t="str">
        <x:v>日本</x:v>
      </x:c>
      <x:c r="F213" s="3" t="str">
        <x:v>Corolla Altis</x:v>
      </x:c>
      <x:c r="G213" s="3" t="str">
        <x:v>ICE</x:v>
      </x:c>
      <x:c r="H213" s="3" t="str">
        <x:v>Sedan</x:v>
      </x:c>
      <x:c r="I213" s="3" t="str"/>
      <x:c r="J213" s="3" t="n">
        <x:v>2020</x:v>
      </x:c>
      <x:c r="K213" s="3" t="str">
        <x:v>ALTIS 1.6 G</x:v>
      </x:c>
      <x:c r="L213" s="3" t="str">
        <x:v>G</x:v>
      </x:c>
      <x:c r="M213" s="22"/>
      <x:c r="N213" s="22"/>
      <x:c r="O213" s="22"/>
      <x:c r="P213" s="3" t="str">
        <x:v>未掲載</x:v>
      </x:c>
      <x:c r="Q213" s="3" t="str">
        <x:v>未取得</x:v>
      </x:c>
      <x:c r="R213" s="3" t="str">
        <x:v>Unknown</x:v>
      </x:c>
      <x:c r="S213" s="3" t="str">
        <x:v>不明</x:v>
      </x:c>
      <x:c r="T213" s="3" t="str">
        <x:v>19-ปัจจุบัน</x:v>
      </x:c>
      <x:c r="U213" s="28" t="n">
        <x:v>435000</x:v>
      </x:c>
      <x:c r="V213" s="28" t="n">
        <x:v>879000</x:v>
      </x:c>
      <x:c r="W213" s="3" t="str">
        <x:v>事故・水没・SOH・保証残は未確認</x:v>
      </x:c>
      <x:c r="X213" s="3" t="str">
        <x:v>掲載中・在庫未確認</x:v>
      </x:c>
      <x:c r="Y213" s="3" t="str"/>
      <x:c r="Z213" s="27" t="str">
        <x:v>https://www.taladrod.com/w40/icar/cardet.aspx?cid=2886540</x:v>
      </x:c>
      <x:c r="AA213" s="3" t="str">
        <x:v>Taladrod個別広告ID／Carsome在庫ID</x:v>
      </x:c>
      <x:c r="AB213" s="3" t="str">
        <x:v>車台番号未取得／サイト間重複は未判定</x:v>
      </x:c>
      <x:c r="AC213" s="3" t="str">
        <x:v>税込区分未確認（一覧表示額）</x:v>
      </x:c>
      <x:c r="AD213" s="3" t="str"/>
      <x:c r="AE213" s="29" t="str">
        <x:f>""</x:f>
      </x:c>
      <x:c r="AF213" s="30" t="str">
        <x:f>IF(ISNUMBER(AE213),U213/AE213,"")</x:f>
      </x:c>
      <x:c r="AG213" s="29" t="str">
        <x:f>""</x:f>
      </x:c>
      <x:c r="AH213" s="30" t="str">
        <x:f>IF(ISNUMBER(AG213),U213/AG213,"")</x:f>
      </x:c>
      <x:c r="AI213" s="3" t="str">
        <x:v>同年式・グレードの検証済み当時価格なし／登録年混在</x:v>
      </x:c>
      <x:c r="AJ213" s="3" t="str">
        <x:v>一覧価格/年式のみ</x:v>
      </x:c>
      <x:c r="AK213" s="3" t="str">
        <x:v>一覧の表示価格。年式は掲載年式。</x:v>
      </x:c>
      <x:c r="AL213" s="31" t="n">
        <x:f>IF(AND(J213&lt;='分析方法'!$B$7,OR(ISBLANK(O213),O213&gt;='分析方法'!$B$8),X213&lt;&gt;"売却済み表示"),1,0)</x:f>
        <x:v>1</x:v>
      </x:c>
      <x:c r="AM213" s="32" t="n">
        <x:f>IF(AL213=1,U213,"")</x:f>
        <x:v>435000</x:v>
      </x:c>
      <x:c r="AN213" s="33" t="str">
        <x:f>IF(AL213=1,AF213,"")</x:f>
      </x:c>
      <x:c r="AO213" s="31" t="n">
        <x:f>'分析方法'!$B$6-J213</x:f>
        <x:v>6</x:v>
      </x:c>
      <x:c r="AP213" s="3"/>
    </x:row>
    <x:row r="214" ht="22" customHeight="1">
      <x:c r="A214" s="3" t="str">
        <x:v>T2887860</x:v>
      </x:c>
      <x:c r="B214" s="7" t="d">
        <x:v>2026-10-08T00:00:00.000Z</x:v>
      </x:c>
      <x:c r="C214" s="3" t="str">
        <x:v>Taladrod</x:v>
      </x:c>
      <x:c r="D214" s="3" t="str">
        <x:v>Toyota</x:v>
      </x:c>
      <x:c r="E214" s="3" t="str">
        <x:v>日本</x:v>
      </x:c>
      <x:c r="F214" s="3" t="str">
        <x:v>Corolla Altis</x:v>
      </x:c>
      <x:c r="G214" s="3" t="str">
        <x:v>ICE</x:v>
      </x:c>
      <x:c r="H214" s="3" t="str">
        <x:v>Sedan</x:v>
      </x:c>
      <x:c r="I214" s="3" t="str"/>
      <x:c r="J214" s="3" t="n">
        <x:v>2020</x:v>
      </x:c>
      <x:c r="K214" s="3" t="str">
        <x:v>ALTIS 1.6 G</x:v>
      </x:c>
      <x:c r="L214" s="3" t="str">
        <x:v>G</x:v>
      </x:c>
      <x:c r="M214" s="22"/>
      <x:c r="N214" s="22"/>
      <x:c r="O214" s="22"/>
      <x:c r="P214" s="3" t="str">
        <x:v>未掲載</x:v>
      </x:c>
      <x:c r="Q214" s="3" t="str">
        <x:v>未取得</x:v>
      </x:c>
      <x:c r="R214" s="3" t="str">
        <x:v>Unknown</x:v>
      </x:c>
      <x:c r="S214" s="3" t="str">
        <x:v>不明</x:v>
      </x:c>
      <x:c r="T214" s="3" t="str">
        <x:v>19-ปัจจุบัน</x:v>
      </x:c>
      <x:c r="U214" s="28" t="n">
        <x:v>499000</x:v>
      </x:c>
      <x:c r="V214" s="28" t="n">
        <x:v>879000</x:v>
      </x:c>
      <x:c r="W214" s="3" t="str">
        <x:v>事故・水没・SOH・保証残は未確認</x:v>
      </x:c>
      <x:c r="X214" s="3" t="str">
        <x:v>掲載中・在庫未確認</x:v>
      </x:c>
      <x:c r="Y214" s="3" t="str"/>
      <x:c r="Z214" s="27" t="str">
        <x:v>https://www.taladrod.com/w40/icar/cardet.aspx?cid=2887860</x:v>
      </x:c>
      <x:c r="AA214" s="3" t="str">
        <x:v>Taladrod個別広告ID／Carsome在庫ID</x:v>
      </x:c>
      <x:c r="AB214" s="3" t="str">
        <x:v>車台番号未取得／サイト間重複は未判定</x:v>
      </x:c>
      <x:c r="AC214" s="3" t="str">
        <x:v>税込区分未確認（一覧表示額）</x:v>
      </x:c>
      <x:c r="AD214" s="3" t="str"/>
      <x:c r="AE214" s="29" t="str">
        <x:f>""</x:f>
      </x:c>
      <x:c r="AF214" s="30" t="str">
        <x:f>IF(ISNUMBER(AE214),U214/AE214,"")</x:f>
      </x:c>
      <x:c r="AG214" s="29" t="str">
        <x:f>""</x:f>
      </x:c>
      <x:c r="AH214" s="30" t="str">
        <x:f>IF(ISNUMBER(AG214),U214/AG214,"")</x:f>
      </x:c>
      <x:c r="AI214" s="3" t="str">
        <x:v>同年式・グレードの検証済み当時価格なし／登録年混在</x:v>
      </x:c>
      <x:c r="AJ214" s="3" t="str">
        <x:v>一覧価格/年式のみ</x:v>
      </x:c>
      <x:c r="AK214" s="3" t="str">
        <x:v>一覧の表示価格。年式は掲載年式。</x:v>
      </x:c>
      <x:c r="AL214" s="31" t="n">
        <x:f>IF(AND(J214&lt;='分析方法'!$B$7,OR(ISBLANK(O214),O214&gt;='分析方法'!$B$8),X214&lt;&gt;"売却済み表示"),1,0)</x:f>
        <x:v>1</x:v>
      </x:c>
      <x:c r="AM214" s="32" t="n">
        <x:f>IF(AL214=1,U214,"")</x:f>
        <x:v>499000</x:v>
      </x:c>
      <x:c r="AN214" s="33" t="str">
        <x:f>IF(AL214=1,AF214,"")</x:f>
      </x:c>
      <x:c r="AO214" s="31" t="n">
        <x:f>'分析方法'!$B$6-J214</x:f>
        <x:v>6</x:v>
      </x:c>
      <x:c r="AP214" s="3"/>
    </x:row>
    <x:row r="215" ht="22" customHeight="1">
      <x:c r="A215" s="3" t="str">
        <x:v>T2888101</x:v>
      </x:c>
      <x:c r="B215" s="7" t="d">
        <x:v>2026-10-08T00:00:00.000Z</x:v>
      </x:c>
      <x:c r="C215" s="3" t="str">
        <x:v>Taladrod</x:v>
      </x:c>
      <x:c r="D215" s="3" t="str">
        <x:v>Toyota</x:v>
      </x:c>
      <x:c r="E215" s="3" t="str">
        <x:v>日本</x:v>
      </x:c>
      <x:c r="F215" s="3" t="str">
        <x:v>Corolla Altis</x:v>
      </x:c>
      <x:c r="G215" s="3" t="str">
        <x:v>ICE</x:v>
      </x:c>
      <x:c r="H215" s="3" t="str">
        <x:v>Sedan</x:v>
      </x:c>
      <x:c r="I215" s="3" t="str"/>
      <x:c r="J215" s="3" t="n">
        <x:v>2020</x:v>
      </x:c>
      <x:c r="K215" s="3" t="str">
        <x:v>ALTIS 1.6 G</x:v>
      </x:c>
      <x:c r="L215" s="3" t="str">
        <x:v>G</x:v>
      </x:c>
      <x:c r="M215" s="22"/>
      <x:c r="N215" s="22"/>
      <x:c r="O215" s="22"/>
      <x:c r="P215" s="3" t="str">
        <x:v>未掲載</x:v>
      </x:c>
      <x:c r="Q215" s="3" t="str">
        <x:v>未取得</x:v>
      </x:c>
      <x:c r="R215" s="3" t="str">
        <x:v>Unknown</x:v>
      </x:c>
      <x:c r="S215" s="3" t="str">
        <x:v>不明</x:v>
      </x:c>
      <x:c r="T215" s="3" t="str">
        <x:v>19-ปัจจุบัน</x:v>
      </x:c>
      <x:c r="U215" s="28" t="n">
        <x:v>459000</x:v>
      </x:c>
      <x:c r="V215" s="28" t="n">
        <x:v>879000</x:v>
      </x:c>
      <x:c r="W215" s="3" t="str">
        <x:v>事故・水没・SOH・保証残は未確認</x:v>
      </x:c>
      <x:c r="X215" s="3" t="str">
        <x:v>掲載中・在庫未確認</x:v>
      </x:c>
      <x:c r="Y215" s="3" t="str"/>
      <x:c r="Z215" s="27" t="str">
        <x:v>https://www.taladrod.com/w40/icar/cardet.aspx?cid=2888101</x:v>
      </x:c>
      <x:c r="AA215" s="3" t="str">
        <x:v>Taladrod個別広告ID／Carsome在庫ID</x:v>
      </x:c>
      <x:c r="AB215" s="3" t="str">
        <x:v>車台番号未取得／サイト間重複は未判定</x:v>
      </x:c>
      <x:c r="AC215" s="3" t="str">
        <x:v>税込区分未確認（一覧表示額）</x:v>
      </x:c>
      <x:c r="AD215" s="3" t="str"/>
      <x:c r="AE215" s="29" t="str">
        <x:f>""</x:f>
      </x:c>
      <x:c r="AF215" s="30" t="str">
        <x:f>IF(ISNUMBER(AE215),U215/AE215,"")</x:f>
      </x:c>
      <x:c r="AG215" s="29" t="str">
        <x:f>""</x:f>
      </x:c>
      <x:c r="AH215" s="30" t="str">
        <x:f>IF(ISNUMBER(AG215),U215/AG215,"")</x:f>
      </x:c>
      <x:c r="AI215" s="3" t="str">
        <x:v>同年式・グレードの検証済み当時価格なし／登録年混在</x:v>
      </x:c>
      <x:c r="AJ215" s="3" t="str">
        <x:v>一覧価格/年式のみ</x:v>
      </x:c>
      <x:c r="AK215" s="3" t="str">
        <x:v>一覧の表示価格。年式は掲載年式。</x:v>
      </x:c>
      <x:c r="AL215" s="31" t="n">
        <x:f>IF(AND(J215&lt;='分析方法'!$B$7,OR(ISBLANK(O215),O215&gt;='分析方法'!$B$8),X215&lt;&gt;"売却済み表示"),1,0)</x:f>
        <x:v>1</x:v>
      </x:c>
      <x:c r="AM215" s="32" t="n">
        <x:f>IF(AL215=1,U215,"")</x:f>
        <x:v>459000</x:v>
      </x:c>
      <x:c r="AN215" s="33" t="str">
        <x:f>IF(AL215=1,AF215,"")</x:f>
      </x:c>
      <x:c r="AO215" s="31" t="n">
        <x:f>'分析方法'!$B$6-J215</x:f>
        <x:v>6</x:v>
      </x:c>
      <x:c r="AP215" s="3"/>
    </x:row>
    <x:row r="216" ht="22" customHeight="1">
      <x:c r="A216" s="3" t="str">
        <x:v>T2901410</x:v>
      </x:c>
      <x:c r="B216" s="7" t="d">
        <x:v>2026-10-08T00:00:00.000Z</x:v>
      </x:c>
      <x:c r="C216" s="3" t="str">
        <x:v>Taladrod</x:v>
      </x:c>
      <x:c r="D216" s="3" t="str">
        <x:v>Toyota</x:v>
      </x:c>
      <x:c r="E216" s="3" t="str">
        <x:v>日本</x:v>
      </x:c>
      <x:c r="F216" s="3" t="str">
        <x:v>Corolla Altis</x:v>
      </x:c>
      <x:c r="G216" s="3" t="str">
        <x:v>ICE</x:v>
      </x:c>
      <x:c r="H216" s="3" t="str">
        <x:v>Sedan</x:v>
      </x:c>
      <x:c r="I216" s="3" t="str"/>
      <x:c r="J216" s="3" t="n">
        <x:v>2020</x:v>
      </x:c>
      <x:c r="K216" s="3" t="str">
        <x:v>ALTIS 1.6 G</x:v>
      </x:c>
      <x:c r="L216" s="3" t="str">
        <x:v>G</x:v>
      </x:c>
      <x:c r="M216" s="22"/>
      <x:c r="N216" s="22"/>
      <x:c r="O216" s="22"/>
      <x:c r="P216" s="3" t="str">
        <x:v>未掲載</x:v>
      </x:c>
      <x:c r="Q216" s="3" t="str">
        <x:v>未取得</x:v>
      </x:c>
      <x:c r="R216" s="3" t="str">
        <x:v>Unknown</x:v>
      </x:c>
      <x:c r="S216" s="3" t="str">
        <x:v>不明</x:v>
      </x:c>
      <x:c r="T216" s="3" t="str">
        <x:v>19-ปัจจุบัน</x:v>
      </x:c>
      <x:c r="U216" s="28" t="n">
        <x:v>395000</x:v>
      </x:c>
      <x:c r="V216" s="28" t="n">
        <x:v>879000</x:v>
      </x:c>
      <x:c r="W216" s="3" t="str">
        <x:v>事故・水没・SOH・保証残は未確認</x:v>
      </x:c>
      <x:c r="X216" s="3" t="str">
        <x:v>掲載中・在庫未確認</x:v>
      </x:c>
      <x:c r="Y216" s="3" t="str"/>
      <x:c r="Z216" s="27" t="str">
        <x:v>https://www.taladrod.com/w40/icar/cardet.aspx?cid=2901410</x:v>
      </x:c>
      <x:c r="AA216" s="3" t="str">
        <x:v>Taladrod個別広告ID／Carsome在庫ID</x:v>
      </x:c>
      <x:c r="AB216" s="3" t="str">
        <x:v>車台番号未取得／サイト間重複は未判定</x:v>
      </x:c>
      <x:c r="AC216" s="3" t="str">
        <x:v>税込区分未確認（一覧表示額）</x:v>
      </x:c>
      <x:c r="AD216" s="3" t="str"/>
      <x:c r="AE216" s="29" t="str">
        <x:f>""</x:f>
      </x:c>
      <x:c r="AF216" s="30" t="str">
        <x:f>IF(ISNUMBER(AE216),U216/AE216,"")</x:f>
      </x:c>
      <x:c r="AG216" s="29" t="str">
        <x:f>""</x:f>
      </x:c>
      <x:c r="AH216" s="30" t="str">
        <x:f>IF(ISNUMBER(AG216),U216/AG216,"")</x:f>
      </x:c>
      <x:c r="AI216" s="3" t="str">
        <x:v>同年式・グレードの検証済み当時価格なし／登録年混在</x:v>
      </x:c>
      <x:c r="AJ216" s="3" t="str">
        <x:v>一覧価格/年式のみ</x:v>
      </x:c>
      <x:c r="AK216" s="3" t="str">
        <x:v>一覧の表示価格。年式は掲載年式。</x:v>
      </x:c>
      <x:c r="AL216" s="31" t="n">
        <x:f>IF(AND(J216&lt;='分析方法'!$B$7,OR(ISBLANK(O216),O216&gt;='分析方法'!$B$8),X216&lt;&gt;"売却済み表示"),1,0)</x:f>
        <x:v>1</x:v>
      </x:c>
      <x:c r="AM216" s="32" t="n">
        <x:f>IF(AL216=1,U216,"")</x:f>
        <x:v>395000</x:v>
      </x:c>
      <x:c r="AN216" s="33" t="str">
        <x:f>IF(AL216=1,AF216,"")</x:f>
      </x:c>
      <x:c r="AO216" s="31" t="n">
        <x:f>'分析方法'!$B$6-J216</x:f>
        <x:v>6</x:v>
      </x:c>
      <x:c r="AP216" s="3"/>
    </x:row>
    <x:row r="217" ht="22" customHeight="1">
      <x:c r="A217" s="3" t="str">
        <x:v>T2903781</x:v>
      </x:c>
      <x:c r="B217" s="7" t="d">
        <x:v>2026-10-08T00:00:00.000Z</x:v>
      </x:c>
      <x:c r="C217" s="3" t="str">
        <x:v>Taladrod</x:v>
      </x:c>
      <x:c r="D217" s="3" t="str">
        <x:v>Toyota</x:v>
      </x:c>
      <x:c r="E217" s="3" t="str">
        <x:v>日本</x:v>
      </x:c>
      <x:c r="F217" s="3" t="str">
        <x:v>Corolla Altis</x:v>
      </x:c>
      <x:c r="G217" s="3" t="str">
        <x:v>ICE</x:v>
      </x:c>
      <x:c r="H217" s="3" t="str">
        <x:v>Sedan</x:v>
      </x:c>
      <x:c r="I217" s="3" t="str"/>
      <x:c r="J217" s="3" t="n">
        <x:v>2020</x:v>
      </x:c>
      <x:c r="K217" s="3" t="str">
        <x:v>ALTIS 1.6 G</x:v>
      </x:c>
      <x:c r="L217" s="3" t="str">
        <x:v>G</x:v>
      </x:c>
      <x:c r="M217" s="22"/>
      <x:c r="N217" s="22"/>
      <x:c r="O217" s="22"/>
      <x:c r="P217" s="3" t="str">
        <x:v>未掲載</x:v>
      </x:c>
      <x:c r="Q217" s="3" t="str">
        <x:v>未取得</x:v>
      </x:c>
      <x:c r="R217" s="3" t="str">
        <x:v>Unknown</x:v>
      </x:c>
      <x:c r="S217" s="3" t="str">
        <x:v>不明</x:v>
      </x:c>
      <x:c r="T217" s="3" t="str">
        <x:v>19-ปัจจุบัน</x:v>
      </x:c>
      <x:c r="U217" s="28" t="n">
        <x:v>439000</x:v>
      </x:c>
      <x:c r="V217" s="28" t="n">
        <x:v>879000</x:v>
      </x:c>
      <x:c r="W217" s="3" t="str">
        <x:v>事故・水没・SOH・保証残は未確認</x:v>
      </x:c>
      <x:c r="X217" s="3" t="str">
        <x:v>掲載中・在庫未確認</x:v>
      </x:c>
      <x:c r="Y217" s="3" t="str"/>
      <x:c r="Z217" s="27" t="str">
        <x:v>https://www.taladrod.com/w40/icar/cardet.aspx?cid=2903781</x:v>
      </x:c>
      <x:c r="AA217" s="3" t="str">
        <x:v>Taladrod個別広告ID／Carsome在庫ID</x:v>
      </x:c>
      <x:c r="AB217" s="3" t="str">
        <x:v>車台番号未取得／サイト間重複は未判定</x:v>
      </x:c>
      <x:c r="AC217" s="3" t="str">
        <x:v>税込区分未確認（一覧表示額）</x:v>
      </x:c>
      <x:c r="AD217" s="3" t="str"/>
      <x:c r="AE217" s="29" t="str">
        <x:f>""</x:f>
      </x:c>
      <x:c r="AF217" s="30" t="str">
        <x:f>IF(ISNUMBER(AE217),U217/AE217,"")</x:f>
      </x:c>
      <x:c r="AG217" s="29" t="str">
        <x:f>""</x:f>
      </x:c>
      <x:c r="AH217" s="30" t="str">
        <x:f>IF(ISNUMBER(AG217),U217/AG217,"")</x:f>
      </x:c>
      <x:c r="AI217" s="3" t="str">
        <x:v>同年式・グレードの検証済み当時価格なし／登録年混在</x:v>
      </x:c>
      <x:c r="AJ217" s="3" t="str">
        <x:v>一覧価格/年式のみ</x:v>
      </x:c>
      <x:c r="AK217" s="3" t="str">
        <x:v>一覧の表示価格。年式は掲載年式。</x:v>
      </x:c>
      <x:c r="AL217" s="31" t="n">
        <x:f>IF(AND(J217&lt;='分析方法'!$B$7,OR(ISBLANK(O217),O217&gt;='分析方法'!$B$8),X217&lt;&gt;"売却済み表示"),1,0)</x:f>
        <x:v>1</x:v>
      </x:c>
      <x:c r="AM217" s="32" t="n">
        <x:f>IF(AL217=1,U217,"")</x:f>
        <x:v>439000</x:v>
      </x:c>
      <x:c r="AN217" s="33" t="str">
        <x:f>IF(AL217=1,AF217,"")</x:f>
      </x:c>
      <x:c r="AO217" s="31" t="n">
        <x:f>'分析方法'!$B$6-J217</x:f>
        <x:v>6</x:v>
      </x:c>
      <x:c r="AP217" s="3"/>
    </x:row>
    <x:row r="218" ht="22" customHeight="1">
      <x:c r="A218" s="3" t="str">
        <x:v>T2904687</x:v>
      </x:c>
      <x:c r="B218" s="7" t="d">
        <x:v>2026-10-08T00:00:00.000Z</x:v>
      </x:c>
      <x:c r="C218" s="3" t="str">
        <x:v>Taladrod</x:v>
      </x:c>
      <x:c r="D218" s="3" t="str">
        <x:v>Toyota</x:v>
      </x:c>
      <x:c r="E218" s="3" t="str">
        <x:v>日本</x:v>
      </x:c>
      <x:c r="F218" s="3" t="str">
        <x:v>Corolla Altis</x:v>
      </x:c>
      <x:c r="G218" s="3" t="str">
        <x:v>ICE</x:v>
      </x:c>
      <x:c r="H218" s="3" t="str">
        <x:v>Sedan</x:v>
      </x:c>
      <x:c r="I218" s="3" t="str"/>
      <x:c r="J218" s="3" t="n">
        <x:v>2020</x:v>
      </x:c>
      <x:c r="K218" s="3" t="str">
        <x:v>ALTIS 1.6 G</x:v>
      </x:c>
      <x:c r="L218" s="3" t="str">
        <x:v>G</x:v>
      </x:c>
      <x:c r="M218" s="22"/>
      <x:c r="N218" s="22"/>
      <x:c r="O218" s="22"/>
      <x:c r="P218" s="3" t="str">
        <x:v>未掲載</x:v>
      </x:c>
      <x:c r="Q218" s="3" t="str">
        <x:v>未取得</x:v>
      </x:c>
      <x:c r="R218" s="3" t="str">
        <x:v>Unknown</x:v>
      </x:c>
      <x:c r="S218" s="3" t="str">
        <x:v>不明</x:v>
      </x:c>
      <x:c r="T218" s="3" t="str">
        <x:v>19-ปัจจุบัน</x:v>
      </x:c>
      <x:c r="U218" s="28" t="n">
        <x:v>419000</x:v>
      </x:c>
      <x:c r="V218" s="28" t="n">
        <x:v>879000</x:v>
      </x:c>
      <x:c r="W218" s="3" t="str">
        <x:v>事故・水没・SOH・保証残は未確認</x:v>
      </x:c>
      <x:c r="X218" s="3" t="str">
        <x:v>掲載中・在庫未確認</x:v>
      </x:c>
      <x:c r="Y218" s="3" t="str"/>
      <x:c r="Z218" s="27" t="str">
        <x:v>https://www.taladrod.com/w40/icar/cardet.aspx?cid=2904687</x:v>
      </x:c>
      <x:c r="AA218" s="3" t="str">
        <x:v>Taladrod個別広告ID／Carsome在庫ID</x:v>
      </x:c>
      <x:c r="AB218" s="3" t="str">
        <x:v>車台番号未取得／サイト間重複は未判定</x:v>
      </x:c>
      <x:c r="AC218" s="3" t="str">
        <x:v>税込区分未確認（一覧表示額）</x:v>
      </x:c>
      <x:c r="AD218" s="3" t="str"/>
      <x:c r="AE218" s="29" t="str">
        <x:f>""</x:f>
      </x:c>
      <x:c r="AF218" s="30" t="str">
        <x:f>IF(ISNUMBER(AE218),U218/AE218,"")</x:f>
      </x:c>
      <x:c r="AG218" s="29" t="str">
        <x:f>""</x:f>
      </x:c>
      <x:c r="AH218" s="30" t="str">
        <x:f>IF(ISNUMBER(AG218),U218/AG218,"")</x:f>
      </x:c>
      <x:c r="AI218" s="3" t="str">
        <x:v>同年式・グレードの検証済み当時価格なし／登録年混在</x:v>
      </x:c>
      <x:c r="AJ218" s="3" t="str">
        <x:v>一覧価格/年式のみ</x:v>
      </x:c>
      <x:c r="AK218" s="3" t="str">
        <x:v>一覧の表示価格。年式は掲載年式。</x:v>
      </x:c>
      <x:c r="AL218" s="31" t="n">
        <x:f>IF(AND(J218&lt;='分析方法'!$B$7,OR(ISBLANK(O218),O218&gt;='分析方法'!$B$8),X218&lt;&gt;"売却済み表示"),1,0)</x:f>
        <x:v>1</x:v>
      </x:c>
      <x:c r="AM218" s="32" t="n">
        <x:f>IF(AL218=1,U218,"")</x:f>
        <x:v>419000</x:v>
      </x:c>
      <x:c r="AN218" s="33" t="str">
        <x:f>IF(AL218=1,AF218,"")</x:f>
      </x:c>
      <x:c r="AO218" s="31" t="n">
        <x:f>'分析方法'!$B$6-J218</x:f>
        <x:v>6</x:v>
      </x:c>
      <x:c r="AP218" s="3"/>
    </x:row>
    <x:row r="219" ht="22" customHeight="1">
      <x:c r="A219" s="3" t="str">
        <x:v>T2904912</x:v>
      </x:c>
      <x:c r="B219" s="7" t="d">
        <x:v>2026-10-08T00:00:00.000Z</x:v>
      </x:c>
      <x:c r="C219" s="3" t="str">
        <x:v>Taladrod</x:v>
      </x:c>
      <x:c r="D219" s="3" t="str">
        <x:v>Toyota</x:v>
      </x:c>
      <x:c r="E219" s="3" t="str">
        <x:v>日本</x:v>
      </x:c>
      <x:c r="F219" s="3" t="str">
        <x:v>Corolla Altis</x:v>
      </x:c>
      <x:c r="G219" s="3" t="str">
        <x:v>ICE</x:v>
      </x:c>
      <x:c r="H219" s="3" t="str">
        <x:v>Sedan</x:v>
      </x:c>
      <x:c r="I219" s="3" t="str"/>
      <x:c r="J219" s="3" t="n">
        <x:v>2020</x:v>
      </x:c>
      <x:c r="K219" s="3" t="str">
        <x:v>ALTIS 1.6 G</x:v>
      </x:c>
      <x:c r="L219" s="3" t="str">
        <x:v>G</x:v>
      </x:c>
      <x:c r="M219" s="22"/>
      <x:c r="N219" s="22"/>
      <x:c r="O219" s="22"/>
      <x:c r="P219" s="3" t="str">
        <x:v>未掲載</x:v>
      </x:c>
      <x:c r="Q219" s="3" t="str">
        <x:v>未取得</x:v>
      </x:c>
      <x:c r="R219" s="3" t="str">
        <x:v>Unknown</x:v>
      </x:c>
      <x:c r="S219" s="3" t="str">
        <x:v>不明</x:v>
      </x:c>
      <x:c r="T219" s="3" t="str">
        <x:v>19-ปัจจุบัน</x:v>
      </x:c>
      <x:c r="U219" s="28" t="n">
        <x:v>499000</x:v>
      </x:c>
      <x:c r="V219" s="28" t="n">
        <x:v>879000</x:v>
      </x:c>
      <x:c r="W219" s="3" t="str">
        <x:v>事故・水没・SOH・保証残は未確認</x:v>
      </x:c>
      <x:c r="X219" s="3" t="str">
        <x:v>掲載中・在庫未確認</x:v>
      </x:c>
      <x:c r="Y219" s="3" t="str"/>
      <x:c r="Z219" s="27" t="str">
        <x:v>https://www.taladrod.com/w40/icar/cardet.aspx?cid=2904912</x:v>
      </x:c>
      <x:c r="AA219" s="3" t="str">
        <x:v>Taladrod個別広告ID／Carsome在庫ID</x:v>
      </x:c>
      <x:c r="AB219" s="3" t="str">
        <x:v>車台番号未取得／サイト間重複は未判定</x:v>
      </x:c>
      <x:c r="AC219" s="3" t="str">
        <x:v>税込区分未確認（一覧表示額）</x:v>
      </x:c>
      <x:c r="AD219" s="3" t="str"/>
      <x:c r="AE219" s="29" t="str">
        <x:f>""</x:f>
      </x:c>
      <x:c r="AF219" s="30" t="str">
        <x:f>IF(ISNUMBER(AE219),U219/AE219,"")</x:f>
      </x:c>
      <x:c r="AG219" s="29" t="str">
        <x:f>""</x:f>
      </x:c>
      <x:c r="AH219" s="30" t="str">
        <x:f>IF(ISNUMBER(AG219),U219/AG219,"")</x:f>
      </x:c>
      <x:c r="AI219" s="3" t="str">
        <x:v>同年式・グレードの検証済み当時価格なし／登録年混在</x:v>
      </x:c>
      <x:c r="AJ219" s="3" t="str">
        <x:v>一覧価格/年式のみ</x:v>
      </x:c>
      <x:c r="AK219" s="3" t="str">
        <x:v>一覧の表示価格。年式は掲載年式。</x:v>
      </x:c>
      <x:c r="AL219" s="31" t="n">
        <x:f>IF(AND(J219&lt;='分析方法'!$B$7,OR(ISBLANK(O219),O219&gt;='分析方法'!$B$8),X219&lt;&gt;"売却済み表示"),1,0)</x:f>
        <x:v>1</x:v>
      </x:c>
      <x:c r="AM219" s="32" t="n">
        <x:f>IF(AL219=1,U219,"")</x:f>
        <x:v>499000</x:v>
      </x:c>
      <x:c r="AN219" s="33" t="str">
        <x:f>IF(AL219=1,AF219,"")</x:f>
      </x:c>
      <x:c r="AO219" s="31" t="n">
        <x:f>'分析方法'!$B$6-J219</x:f>
        <x:v>6</x:v>
      </x:c>
      <x:c r="AP219" s="3"/>
    </x:row>
    <x:row r="220" ht="22" customHeight="1">
      <x:c r="A220" s="3" t="str">
        <x:v>T2906503</x:v>
      </x:c>
      <x:c r="B220" s="7" t="d">
        <x:v>2026-10-08T00:00:00.000Z</x:v>
      </x:c>
      <x:c r="C220" s="3" t="str">
        <x:v>Taladrod</x:v>
      </x:c>
      <x:c r="D220" s="3" t="str">
        <x:v>Toyota</x:v>
      </x:c>
      <x:c r="E220" s="3" t="str">
        <x:v>日本</x:v>
      </x:c>
      <x:c r="F220" s="3" t="str">
        <x:v>Corolla Altis</x:v>
      </x:c>
      <x:c r="G220" s="3" t="str">
        <x:v>ICE</x:v>
      </x:c>
      <x:c r="H220" s="3" t="str">
        <x:v>Sedan</x:v>
      </x:c>
      <x:c r="I220" s="3" t="str"/>
      <x:c r="J220" s="3" t="n">
        <x:v>2020</x:v>
      </x:c>
      <x:c r="K220" s="3" t="str">
        <x:v>ALTIS 1.6 G</x:v>
      </x:c>
      <x:c r="L220" s="3" t="str">
        <x:v>G</x:v>
      </x:c>
      <x:c r="M220" s="22"/>
      <x:c r="N220" s="22"/>
      <x:c r="O220" s="22"/>
      <x:c r="P220" s="3" t="str">
        <x:v>未掲載</x:v>
      </x:c>
      <x:c r="Q220" s="3" t="str">
        <x:v>未取得</x:v>
      </x:c>
      <x:c r="R220" s="3" t="str">
        <x:v>Unknown</x:v>
      </x:c>
      <x:c r="S220" s="3" t="str">
        <x:v>不明</x:v>
      </x:c>
      <x:c r="T220" s="3" t="str">
        <x:v>19-ปัจจุบัน</x:v>
      </x:c>
      <x:c r="U220" s="28" t="n">
        <x:v>348000</x:v>
      </x:c>
      <x:c r="V220" s="28" t="n">
        <x:v>879000</x:v>
      </x:c>
      <x:c r="W220" s="3" t="str">
        <x:v>事故・水没・SOH・保証残は未確認</x:v>
      </x:c>
      <x:c r="X220" s="3" t="str">
        <x:v>掲載中・在庫未確認</x:v>
      </x:c>
      <x:c r="Y220" s="3" t="str"/>
      <x:c r="Z220" s="27" t="str">
        <x:v>https://www.taladrod.com/w40/icar/cardet.aspx?cid=2906503</x:v>
      </x:c>
      <x:c r="AA220" s="3" t="str">
        <x:v>Taladrod個別広告ID／Carsome在庫ID</x:v>
      </x:c>
      <x:c r="AB220" s="3" t="str">
        <x:v>車台番号未取得／サイト間重複は未判定</x:v>
      </x:c>
      <x:c r="AC220" s="3" t="str">
        <x:v>税込区分未確認（一覧表示額）</x:v>
      </x:c>
      <x:c r="AD220" s="3" t="str"/>
      <x:c r="AE220" s="29" t="str">
        <x:f>""</x:f>
      </x:c>
      <x:c r="AF220" s="30" t="str">
        <x:f>IF(ISNUMBER(AE220),U220/AE220,"")</x:f>
      </x:c>
      <x:c r="AG220" s="29" t="str">
        <x:f>""</x:f>
      </x:c>
      <x:c r="AH220" s="30" t="str">
        <x:f>IF(ISNUMBER(AG220),U220/AG220,"")</x:f>
      </x:c>
      <x:c r="AI220" s="3" t="str">
        <x:v>同年式・グレードの検証済み当時価格なし／登録年混在</x:v>
      </x:c>
      <x:c r="AJ220" s="3" t="str">
        <x:v>一覧価格/年式のみ</x:v>
      </x:c>
      <x:c r="AK220" s="3" t="str">
        <x:v>一覧の表示価格。年式は掲載年式。</x:v>
      </x:c>
      <x:c r="AL220" s="31" t="n">
        <x:f>IF(AND(J220&lt;='分析方法'!$B$7,OR(ISBLANK(O220),O220&gt;='分析方法'!$B$8),X220&lt;&gt;"売却済み表示"),1,0)</x:f>
        <x:v>1</x:v>
      </x:c>
      <x:c r="AM220" s="32" t="n">
        <x:f>IF(AL220=1,U220,"")</x:f>
        <x:v>348000</x:v>
      </x:c>
      <x:c r="AN220" s="33" t="str">
        <x:f>IF(AL220=1,AF220,"")</x:f>
      </x:c>
      <x:c r="AO220" s="31" t="n">
        <x:f>'分析方法'!$B$6-J220</x:f>
        <x:v>6</x:v>
      </x:c>
      <x:c r="AP220" s="3"/>
    </x:row>
    <x:row r="221" ht="22" customHeight="1">
      <x:c r="A221" s="3" t="str">
        <x:v>T2910251</x:v>
      </x:c>
      <x:c r="B221" s="7" t="d">
        <x:v>2026-10-08T00:00:00.000Z</x:v>
      </x:c>
      <x:c r="C221" s="3" t="str">
        <x:v>Taladrod</x:v>
      </x:c>
      <x:c r="D221" s="3" t="str">
        <x:v>Toyota</x:v>
      </x:c>
      <x:c r="E221" s="3" t="str">
        <x:v>日本</x:v>
      </x:c>
      <x:c r="F221" s="3" t="str">
        <x:v>Corolla Altis</x:v>
      </x:c>
      <x:c r="G221" s="3" t="str">
        <x:v>ICE</x:v>
      </x:c>
      <x:c r="H221" s="3" t="str">
        <x:v>Sedan</x:v>
      </x:c>
      <x:c r="I221" s="3" t="str"/>
      <x:c r="J221" s="3" t="n">
        <x:v>2020</x:v>
      </x:c>
      <x:c r="K221" s="3" t="str">
        <x:v>ALTIS 1.6 G</x:v>
      </x:c>
      <x:c r="L221" s="3" t="str">
        <x:v>G</x:v>
      </x:c>
      <x:c r="M221" s="22"/>
      <x:c r="N221" s="22"/>
      <x:c r="O221" s="22"/>
      <x:c r="P221" s="3" t="str">
        <x:v>未掲載</x:v>
      </x:c>
      <x:c r="Q221" s="3" t="str">
        <x:v>未取得</x:v>
      </x:c>
      <x:c r="R221" s="3" t="str">
        <x:v>Unknown</x:v>
      </x:c>
      <x:c r="S221" s="3" t="str">
        <x:v>不明</x:v>
      </x:c>
      <x:c r="T221" s="3" t="str">
        <x:v>19-ปัจจุบัน</x:v>
      </x:c>
      <x:c r="U221" s="28" t="n">
        <x:v>399000</x:v>
      </x:c>
      <x:c r="V221" s="28" t="n">
        <x:v>879000</x:v>
      </x:c>
      <x:c r="W221" s="3" t="str">
        <x:v>事故・水没・SOH・保証残は未確認</x:v>
      </x:c>
      <x:c r="X221" s="3" t="str">
        <x:v>掲載中・在庫未確認</x:v>
      </x:c>
      <x:c r="Y221" s="3" t="str"/>
      <x:c r="Z221" s="27" t="str">
        <x:v>https://www.taladrod.com/w40/icar/cardet.aspx?cid=2910251</x:v>
      </x:c>
      <x:c r="AA221" s="3" t="str">
        <x:v>Taladrod個別広告ID／Carsome在庫ID</x:v>
      </x:c>
      <x:c r="AB221" s="3" t="str">
        <x:v>車台番号未取得／サイト間重複は未判定</x:v>
      </x:c>
      <x:c r="AC221" s="3" t="str">
        <x:v>税込区分未確認（一覧表示額）</x:v>
      </x:c>
      <x:c r="AD221" s="3" t="str"/>
      <x:c r="AE221" s="29" t="str">
        <x:f>""</x:f>
      </x:c>
      <x:c r="AF221" s="30" t="str">
        <x:f>IF(ISNUMBER(AE221),U221/AE221,"")</x:f>
      </x:c>
      <x:c r="AG221" s="29" t="str">
        <x:f>""</x:f>
      </x:c>
      <x:c r="AH221" s="30" t="str">
        <x:f>IF(ISNUMBER(AG221),U221/AG221,"")</x:f>
      </x:c>
      <x:c r="AI221" s="3" t="str">
        <x:v>同年式・グレードの検証済み当時価格なし／登録年混在</x:v>
      </x:c>
      <x:c r="AJ221" s="3" t="str">
        <x:v>一覧価格/年式のみ</x:v>
      </x:c>
      <x:c r="AK221" s="3" t="str">
        <x:v>一覧の表示価格。年式は掲載年式。</x:v>
      </x:c>
      <x:c r="AL221" s="31" t="n">
        <x:f>IF(AND(J221&lt;='分析方法'!$B$7,OR(ISBLANK(O221),O221&gt;='分析方法'!$B$8),X221&lt;&gt;"売却済み表示"),1,0)</x:f>
        <x:v>1</x:v>
      </x:c>
      <x:c r="AM221" s="32" t="n">
        <x:f>IF(AL221=1,U221,"")</x:f>
        <x:v>399000</x:v>
      </x:c>
      <x:c r="AN221" s="33" t="str">
        <x:f>IF(AL221=1,AF221,"")</x:f>
      </x:c>
      <x:c r="AO221" s="31" t="n">
        <x:f>'分析方法'!$B$6-J221</x:f>
        <x:v>6</x:v>
      </x:c>
      <x:c r="AP221" s="3"/>
    </x:row>
    <x:row r="222" ht="22" customHeight="1">
      <x:c r="A222" s="3" t="str">
        <x:v>T2915058</x:v>
      </x:c>
      <x:c r="B222" s="7" t="d">
        <x:v>2026-10-08T00:00:00.000Z</x:v>
      </x:c>
      <x:c r="C222" s="3" t="str">
        <x:v>Taladrod</x:v>
      </x:c>
      <x:c r="D222" s="3" t="str">
        <x:v>Toyota</x:v>
      </x:c>
      <x:c r="E222" s="3" t="str">
        <x:v>日本</x:v>
      </x:c>
      <x:c r="F222" s="3" t="str">
        <x:v>Corolla Altis</x:v>
      </x:c>
      <x:c r="G222" s="3" t="str">
        <x:v>ICE</x:v>
      </x:c>
      <x:c r="H222" s="3" t="str">
        <x:v>Sedan</x:v>
      </x:c>
      <x:c r="I222" s="3" t="str"/>
      <x:c r="J222" s="3" t="n">
        <x:v>2020</x:v>
      </x:c>
      <x:c r="K222" s="3" t="str">
        <x:v>ALTIS 1.6 G</x:v>
      </x:c>
      <x:c r="L222" s="3" t="str">
        <x:v>G</x:v>
      </x:c>
      <x:c r="M222" s="22"/>
      <x:c r="N222" s="22"/>
      <x:c r="O222" s="22"/>
      <x:c r="P222" s="3" t="str">
        <x:v>未掲載</x:v>
      </x:c>
      <x:c r="Q222" s="3" t="str">
        <x:v>未取得</x:v>
      </x:c>
      <x:c r="R222" s="3" t="str">
        <x:v>Unknown</x:v>
      </x:c>
      <x:c r="S222" s="3" t="str">
        <x:v>不明</x:v>
      </x:c>
      <x:c r="T222" s="3" t="str">
        <x:v>19-ปัจจุบัน</x:v>
      </x:c>
      <x:c r="U222" s="28" t="n">
        <x:v>455000</x:v>
      </x:c>
      <x:c r="V222" s="28" t="n">
        <x:v>879000</x:v>
      </x:c>
      <x:c r="W222" s="3" t="str">
        <x:v>事故・水没・SOH・保証残は未確認</x:v>
      </x:c>
      <x:c r="X222" s="3" t="str">
        <x:v>掲載中・在庫未確認</x:v>
      </x:c>
      <x:c r="Y222" s="3" t="str"/>
      <x:c r="Z222" s="27" t="str">
        <x:v>https://www.taladrod.com/w40/icar/cardet.aspx?cid=2915058</x:v>
      </x:c>
      <x:c r="AA222" s="3" t="str">
        <x:v>Taladrod個別広告ID／Carsome在庫ID</x:v>
      </x:c>
      <x:c r="AB222" s="3" t="str">
        <x:v>車台番号未取得／サイト間重複は未判定</x:v>
      </x:c>
      <x:c r="AC222" s="3" t="str">
        <x:v>税込区分未確認（一覧表示額）</x:v>
      </x:c>
      <x:c r="AD222" s="3" t="str"/>
      <x:c r="AE222" s="29" t="str">
        <x:f>""</x:f>
      </x:c>
      <x:c r="AF222" s="30" t="str">
        <x:f>IF(ISNUMBER(AE222),U222/AE222,"")</x:f>
      </x:c>
      <x:c r="AG222" s="29" t="str">
        <x:f>""</x:f>
      </x:c>
      <x:c r="AH222" s="30" t="str">
        <x:f>IF(ISNUMBER(AG222),U222/AG222,"")</x:f>
      </x:c>
      <x:c r="AI222" s="3" t="str">
        <x:v>同年式・グレードの検証済み当時価格なし／登録年混在</x:v>
      </x:c>
      <x:c r="AJ222" s="3" t="str">
        <x:v>一覧価格/年式のみ</x:v>
      </x:c>
      <x:c r="AK222" s="3" t="str">
        <x:v>一覧の表示価格。年式は掲載年式。</x:v>
      </x:c>
      <x:c r="AL222" s="31" t="n">
        <x:f>IF(AND(J222&lt;='分析方法'!$B$7,OR(ISBLANK(O222),O222&gt;='分析方法'!$B$8),X222&lt;&gt;"売却済み表示"),1,0)</x:f>
        <x:v>1</x:v>
      </x:c>
      <x:c r="AM222" s="32" t="n">
        <x:f>IF(AL222=1,U222,"")</x:f>
        <x:v>455000</x:v>
      </x:c>
      <x:c r="AN222" s="33" t="str">
        <x:f>IF(AL222=1,AF222,"")</x:f>
      </x:c>
      <x:c r="AO222" s="31" t="n">
        <x:f>'分析方法'!$B$6-J222</x:f>
        <x:v>6</x:v>
      </x:c>
      <x:c r="AP222" s="3"/>
    </x:row>
    <x:row r="223" ht="22" customHeight="1">
      <x:c r="A223" s="3" t="str">
        <x:v>T2916931</x:v>
      </x:c>
      <x:c r="B223" s="7" t="d">
        <x:v>2026-10-08T00:00:00.000Z</x:v>
      </x:c>
      <x:c r="C223" s="3" t="str">
        <x:v>Taladrod</x:v>
      </x:c>
      <x:c r="D223" s="3" t="str">
        <x:v>Toyota</x:v>
      </x:c>
      <x:c r="E223" s="3" t="str">
        <x:v>日本</x:v>
      </x:c>
      <x:c r="F223" s="3" t="str">
        <x:v>Corolla Altis</x:v>
      </x:c>
      <x:c r="G223" s="3" t="str">
        <x:v>ICE</x:v>
      </x:c>
      <x:c r="H223" s="3" t="str">
        <x:v>Sedan</x:v>
      </x:c>
      <x:c r="I223" s="3" t="str"/>
      <x:c r="J223" s="3" t="n">
        <x:v>2020</x:v>
      </x:c>
      <x:c r="K223" s="3" t="str">
        <x:v>ALTIS 1.6 G</x:v>
      </x:c>
      <x:c r="L223" s="3" t="str">
        <x:v>G</x:v>
      </x:c>
      <x:c r="M223" s="22"/>
      <x:c r="N223" s="22"/>
      <x:c r="O223" s="22"/>
      <x:c r="P223" s="3" t="str">
        <x:v>未掲載</x:v>
      </x:c>
      <x:c r="Q223" s="3" t="str">
        <x:v>未取得</x:v>
      </x:c>
      <x:c r="R223" s="3" t="str">
        <x:v>Unknown</x:v>
      </x:c>
      <x:c r="S223" s="3" t="str">
        <x:v>不明</x:v>
      </x:c>
      <x:c r="T223" s="3" t="str">
        <x:v>19-ปัจจุบัน</x:v>
      </x:c>
      <x:c r="U223" s="28" t="n">
        <x:v>499000</x:v>
      </x:c>
      <x:c r="V223" s="28" t="n">
        <x:v>879000</x:v>
      </x:c>
      <x:c r="W223" s="3" t="str">
        <x:v>事故・水没・SOH・保証残は未確認</x:v>
      </x:c>
      <x:c r="X223" s="3" t="str">
        <x:v>掲載中・在庫未確認</x:v>
      </x:c>
      <x:c r="Y223" s="3" t="str"/>
      <x:c r="Z223" s="27" t="str">
        <x:v>https://www.taladrod.com/w40/icar/cardet.aspx?cid=2916931</x:v>
      </x:c>
      <x:c r="AA223" s="3" t="str">
        <x:v>Taladrod個別広告ID／Carsome在庫ID</x:v>
      </x:c>
      <x:c r="AB223" s="3" t="str">
        <x:v>車台番号未取得／サイト間重複は未判定</x:v>
      </x:c>
      <x:c r="AC223" s="3" t="str">
        <x:v>税込区分未確認（一覧表示額）</x:v>
      </x:c>
      <x:c r="AD223" s="3" t="str"/>
      <x:c r="AE223" s="29" t="str">
        <x:f>""</x:f>
      </x:c>
      <x:c r="AF223" s="30" t="str">
        <x:f>IF(ISNUMBER(AE223),U223/AE223,"")</x:f>
      </x:c>
      <x:c r="AG223" s="29" t="str">
        <x:f>""</x:f>
      </x:c>
      <x:c r="AH223" s="30" t="str">
        <x:f>IF(ISNUMBER(AG223),U223/AG223,"")</x:f>
      </x:c>
      <x:c r="AI223" s="3" t="str">
        <x:v>同年式・グレードの検証済み当時価格なし／登録年混在</x:v>
      </x:c>
      <x:c r="AJ223" s="3" t="str">
        <x:v>一覧価格/年式のみ</x:v>
      </x:c>
      <x:c r="AK223" s="3" t="str">
        <x:v>一覧の表示価格。年式は掲載年式。</x:v>
      </x:c>
      <x:c r="AL223" s="31" t="n">
        <x:f>IF(AND(J223&lt;='分析方法'!$B$7,OR(ISBLANK(O223),O223&gt;='分析方法'!$B$8),X223&lt;&gt;"売却済み表示"),1,0)</x:f>
        <x:v>1</x:v>
      </x:c>
      <x:c r="AM223" s="32" t="n">
        <x:f>IF(AL223=1,U223,"")</x:f>
        <x:v>499000</x:v>
      </x:c>
      <x:c r="AN223" s="33" t="str">
        <x:f>IF(AL223=1,AF223,"")</x:f>
      </x:c>
      <x:c r="AO223" s="31" t="n">
        <x:f>'分析方法'!$B$6-J223</x:f>
        <x:v>6</x:v>
      </x:c>
      <x:c r="AP223" s="3"/>
    </x:row>
    <x:row r="224" ht="22" customHeight="1">
      <x:c r="A224" s="3" t="str">
        <x:v>T2920479</x:v>
      </x:c>
      <x:c r="B224" s="7" t="d">
        <x:v>2026-10-08T00:00:00.000Z</x:v>
      </x:c>
      <x:c r="C224" s="3" t="str">
        <x:v>Taladrod</x:v>
      </x:c>
      <x:c r="D224" s="3" t="str">
        <x:v>Toyota</x:v>
      </x:c>
      <x:c r="E224" s="3" t="str">
        <x:v>日本</x:v>
      </x:c>
      <x:c r="F224" s="3" t="str">
        <x:v>Corolla Altis</x:v>
      </x:c>
      <x:c r="G224" s="3" t="str">
        <x:v>ICE</x:v>
      </x:c>
      <x:c r="H224" s="3" t="str">
        <x:v>Sedan</x:v>
      </x:c>
      <x:c r="I224" s="3" t="str"/>
      <x:c r="J224" s="3" t="n">
        <x:v>2020</x:v>
      </x:c>
      <x:c r="K224" s="3" t="str">
        <x:v>ALTIS 1.6 G</x:v>
      </x:c>
      <x:c r="L224" s="3" t="str">
        <x:v>G</x:v>
      </x:c>
      <x:c r="M224" s="22"/>
      <x:c r="N224" s="22"/>
      <x:c r="O224" s="22"/>
      <x:c r="P224" s="3" t="str">
        <x:v>未掲載</x:v>
      </x:c>
      <x:c r="Q224" s="3" t="str">
        <x:v>未取得</x:v>
      </x:c>
      <x:c r="R224" s="3" t="str">
        <x:v>Unknown</x:v>
      </x:c>
      <x:c r="S224" s="3" t="str">
        <x:v>不明</x:v>
      </x:c>
      <x:c r="T224" s="3" t="str">
        <x:v>19-ปัจจุบัน</x:v>
      </x:c>
      <x:c r="U224" s="28" t="n">
        <x:v>499000</x:v>
      </x:c>
      <x:c r="V224" s="28" t="n">
        <x:v>879000</x:v>
      </x:c>
      <x:c r="W224" s="3" t="str">
        <x:v>事故・水没・SOH・保証残は未確認</x:v>
      </x:c>
      <x:c r="X224" s="3" t="str">
        <x:v>掲載中・在庫未確認</x:v>
      </x:c>
      <x:c r="Y224" s="3" t="str"/>
      <x:c r="Z224" s="27" t="str">
        <x:v>https://www.taladrod.com/w40/icar/cardet.aspx?cid=2920479</x:v>
      </x:c>
      <x:c r="AA224" s="3" t="str">
        <x:v>Taladrod個別広告ID／Carsome在庫ID</x:v>
      </x:c>
      <x:c r="AB224" s="3" t="str">
        <x:v>車台番号未取得／サイト間重複は未判定</x:v>
      </x:c>
      <x:c r="AC224" s="3" t="str">
        <x:v>税込区分未確認（一覧表示額）</x:v>
      </x:c>
      <x:c r="AD224" s="3" t="str"/>
      <x:c r="AE224" s="29" t="str">
        <x:f>""</x:f>
      </x:c>
      <x:c r="AF224" s="30" t="str">
        <x:f>IF(ISNUMBER(AE224),U224/AE224,"")</x:f>
      </x:c>
      <x:c r="AG224" s="29" t="str">
        <x:f>""</x:f>
      </x:c>
      <x:c r="AH224" s="30" t="str">
        <x:f>IF(ISNUMBER(AG224),U224/AG224,"")</x:f>
      </x:c>
      <x:c r="AI224" s="3" t="str">
        <x:v>同年式・グレードの検証済み当時価格なし／登録年混在</x:v>
      </x:c>
      <x:c r="AJ224" s="3" t="str">
        <x:v>一覧価格/年式のみ</x:v>
      </x:c>
      <x:c r="AK224" s="3" t="str">
        <x:v>一覧の表示価格。年式は掲載年式。</x:v>
      </x:c>
      <x:c r="AL224" s="31" t="n">
        <x:f>IF(AND(J224&lt;='分析方法'!$B$7,OR(ISBLANK(O224),O224&gt;='分析方法'!$B$8),X224&lt;&gt;"売却済み表示"),1,0)</x:f>
        <x:v>1</x:v>
      </x:c>
      <x:c r="AM224" s="32" t="n">
        <x:f>IF(AL224=1,U224,"")</x:f>
        <x:v>499000</x:v>
      </x:c>
      <x:c r="AN224" s="33" t="str">
        <x:f>IF(AL224=1,AF224,"")</x:f>
      </x:c>
      <x:c r="AO224" s="31" t="n">
        <x:f>'分析方法'!$B$6-J224</x:f>
        <x:v>6</x:v>
      </x:c>
      <x:c r="AP224" s="3"/>
    </x:row>
    <x:row r="225" ht="22" customHeight="1">
      <x:c r="A225" s="3" t="str">
        <x:v>T2920864</x:v>
      </x:c>
      <x:c r="B225" s="7" t="d">
        <x:v>2026-10-08T00:00:00.000Z</x:v>
      </x:c>
      <x:c r="C225" s="3" t="str">
        <x:v>Taladrod</x:v>
      </x:c>
      <x:c r="D225" s="3" t="str">
        <x:v>Toyota</x:v>
      </x:c>
      <x:c r="E225" s="3" t="str">
        <x:v>日本</x:v>
      </x:c>
      <x:c r="F225" s="3" t="str">
        <x:v>Corolla Altis</x:v>
      </x:c>
      <x:c r="G225" s="3" t="str">
        <x:v>ICE</x:v>
      </x:c>
      <x:c r="H225" s="3" t="str">
        <x:v>Sedan</x:v>
      </x:c>
      <x:c r="I225" s="3" t="str"/>
      <x:c r="J225" s="3" t="n">
        <x:v>2020</x:v>
      </x:c>
      <x:c r="K225" s="3" t="str">
        <x:v>ALTIS 1.6 G</x:v>
      </x:c>
      <x:c r="L225" s="3" t="str">
        <x:v>G</x:v>
      </x:c>
      <x:c r="M225" s="22"/>
      <x:c r="N225" s="22"/>
      <x:c r="O225" s="22"/>
      <x:c r="P225" s="3" t="str">
        <x:v>未掲載</x:v>
      </x:c>
      <x:c r="Q225" s="3" t="str">
        <x:v>未取得</x:v>
      </x:c>
      <x:c r="R225" s="3" t="str">
        <x:v>Unknown</x:v>
      </x:c>
      <x:c r="S225" s="3" t="str">
        <x:v>不明</x:v>
      </x:c>
      <x:c r="T225" s="3" t="str">
        <x:v>19-ปัจจุบัน</x:v>
      </x:c>
      <x:c r="U225" s="28" t="n">
        <x:v>399000</x:v>
      </x:c>
      <x:c r="V225" s="28" t="n">
        <x:v>879000</x:v>
      </x:c>
      <x:c r="W225" s="3" t="str">
        <x:v>事故・水没・SOH・保証残は未確認</x:v>
      </x:c>
      <x:c r="X225" s="3" t="str">
        <x:v>掲載中・在庫未確認</x:v>
      </x:c>
      <x:c r="Y225" s="3" t="str"/>
      <x:c r="Z225" s="27" t="str">
        <x:v>https://www.taladrod.com/w40/icar/cardet.aspx?cid=2920864</x:v>
      </x:c>
      <x:c r="AA225" s="3" t="str">
        <x:v>Taladrod個別広告ID／Carsome在庫ID</x:v>
      </x:c>
      <x:c r="AB225" s="3" t="str">
        <x:v>車台番号未取得／サイト間重複は未判定</x:v>
      </x:c>
      <x:c r="AC225" s="3" t="str">
        <x:v>税込区分未確認（一覧表示額）</x:v>
      </x:c>
      <x:c r="AD225" s="3" t="str"/>
      <x:c r="AE225" s="29" t="str">
        <x:f>""</x:f>
      </x:c>
      <x:c r="AF225" s="30" t="str">
        <x:f>IF(ISNUMBER(AE225),U225/AE225,"")</x:f>
      </x:c>
      <x:c r="AG225" s="29" t="str">
        <x:f>""</x:f>
      </x:c>
      <x:c r="AH225" s="30" t="str">
        <x:f>IF(ISNUMBER(AG225),U225/AG225,"")</x:f>
      </x:c>
      <x:c r="AI225" s="3" t="str">
        <x:v>同年式・グレードの検証済み当時価格なし／登録年混在</x:v>
      </x:c>
      <x:c r="AJ225" s="3" t="str">
        <x:v>一覧価格/年式のみ</x:v>
      </x:c>
      <x:c r="AK225" s="3" t="str">
        <x:v>一覧の表示価格。年式は掲載年式。</x:v>
      </x:c>
      <x:c r="AL225" s="31" t="n">
        <x:f>IF(AND(J225&lt;='分析方法'!$B$7,OR(ISBLANK(O225),O225&gt;='分析方法'!$B$8),X225&lt;&gt;"売却済み表示"),1,0)</x:f>
        <x:v>1</x:v>
      </x:c>
      <x:c r="AM225" s="32" t="n">
        <x:f>IF(AL225=1,U225,"")</x:f>
        <x:v>399000</x:v>
      </x:c>
      <x:c r="AN225" s="33" t="str">
        <x:f>IF(AL225=1,AF225,"")</x:f>
      </x:c>
      <x:c r="AO225" s="31" t="n">
        <x:f>'分析方法'!$B$6-J225</x:f>
        <x:v>6</x:v>
      </x:c>
      <x:c r="AP225" s="3"/>
    </x:row>
    <x:row r="226" ht="22" customHeight="1">
      <x:c r="A226" s="3" t="str">
        <x:v>T2922204</x:v>
      </x:c>
      <x:c r="B226" s="7" t="d">
        <x:v>2026-10-08T00:00:00.000Z</x:v>
      </x:c>
      <x:c r="C226" s="3" t="str">
        <x:v>Taladrod</x:v>
      </x:c>
      <x:c r="D226" s="3" t="str">
        <x:v>Toyota</x:v>
      </x:c>
      <x:c r="E226" s="3" t="str">
        <x:v>日本</x:v>
      </x:c>
      <x:c r="F226" s="3" t="str">
        <x:v>Corolla Altis</x:v>
      </x:c>
      <x:c r="G226" s="3" t="str">
        <x:v>ICE</x:v>
      </x:c>
      <x:c r="H226" s="3" t="str">
        <x:v>Sedan</x:v>
      </x:c>
      <x:c r="I226" s="3" t="str"/>
      <x:c r="J226" s="3" t="n">
        <x:v>2020</x:v>
      </x:c>
      <x:c r="K226" s="3" t="str">
        <x:v>ALTIS 1.6 G</x:v>
      </x:c>
      <x:c r="L226" s="3" t="str">
        <x:v>G</x:v>
      </x:c>
      <x:c r="M226" s="22"/>
      <x:c r="N226" s="22"/>
      <x:c r="O226" s="22"/>
      <x:c r="P226" s="3" t="str">
        <x:v>未掲載</x:v>
      </x:c>
      <x:c r="Q226" s="3" t="str">
        <x:v>未取得</x:v>
      </x:c>
      <x:c r="R226" s="3" t="str">
        <x:v>Unknown</x:v>
      </x:c>
      <x:c r="S226" s="3" t="str">
        <x:v>不明</x:v>
      </x:c>
      <x:c r="T226" s="3" t="str">
        <x:v>19-ปัจจุบัน</x:v>
      </x:c>
      <x:c r="U226" s="28" t="n">
        <x:v>378000</x:v>
      </x:c>
      <x:c r="V226" s="28" t="n">
        <x:v>879000</x:v>
      </x:c>
      <x:c r="W226" s="3" t="str">
        <x:v>事故・水没・SOH・保証残は未確認</x:v>
      </x:c>
      <x:c r="X226" s="3" t="str">
        <x:v>掲載中・在庫未確認</x:v>
      </x:c>
      <x:c r="Y226" s="3" t="str"/>
      <x:c r="Z226" s="27" t="str">
        <x:v>https://www.taladrod.com/w40/icar/cardet.aspx?cid=2922204</x:v>
      </x:c>
      <x:c r="AA226" s="3" t="str">
        <x:v>Taladrod個別広告ID／Carsome在庫ID</x:v>
      </x:c>
      <x:c r="AB226" s="3" t="str">
        <x:v>車台番号未取得／サイト間重複は未判定</x:v>
      </x:c>
      <x:c r="AC226" s="3" t="str">
        <x:v>税込区分未確認（一覧表示額）</x:v>
      </x:c>
      <x:c r="AD226" s="3" t="str"/>
      <x:c r="AE226" s="29" t="str">
        <x:f>""</x:f>
      </x:c>
      <x:c r="AF226" s="30" t="str">
        <x:f>IF(ISNUMBER(AE226),U226/AE226,"")</x:f>
      </x:c>
      <x:c r="AG226" s="29" t="str">
        <x:f>""</x:f>
      </x:c>
      <x:c r="AH226" s="30" t="str">
        <x:f>IF(ISNUMBER(AG226),U226/AG226,"")</x:f>
      </x:c>
      <x:c r="AI226" s="3" t="str">
        <x:v>同年式・グレードの検証済み当時価格なし／登録年混在</x:v>
      </x:c>
      <x:c r="AJ226" s="3" t="str">
        <x:v>一覧価格/年式のみ</x:v>
      </x:c>
      <x:c r="AK226" s="3" t="str">
        <x:v>一覧の表示価格。年式は掲載年式。</x:v>
      </x:c>
      <x:c r="AL226" s="31" t="n">
        <x:f>IF(AND(J226&lt;='分析方法'!$B$7,OR(ISBLANK(O226),O226&gt;='分析方法'!$B$8),X226&lt;&gt;"売却済み表示"),1,0)</x:f>
        <x:v>1</x:v>
      </x:c>
      <x:c r="AM226" s="32" t="n">
        <x:f>IF(AL226=1,U226,"")</x:f>
        <x:v>378000</x:v>
      </x:c>
      <x:c r="AN226" s="33" t="str">
        <x:f>IF(AL226=1,AF226,"")</x:f>
      </x:c>
      <x:c r="AO226" s="31" t="n">
        <x:f>'分析方法'!$B$6-J226</x:f>
        <x:v>6</x:v>
      </x:c>
      <x:c r="AP226" s="3"/>
    </x:row>
    <x:row r="227" ht="22" customHeight="1">
      <x:c r="A227" s="3" t="str">
        <x:v>T2924084</x:v>
      </x:c>
      <x:c r="B227" s="7" t="d">
        <x:v>2026-10-08T00:00:00.000Z</x:v>
      </x:c>
      <x:c r="C227" s="3" t="str">
        <x:v>Taladrod</x:v>
      </x:c>
      <x:c r="D227" s="3" t="str">
        <x:v>Toyota</x:v>
      </x:c>
      <x:c r="E227" s="3" t="str">
        <x:v>日本</x:v>
      </x:c>
      <x:c r="F227" s="3" t="str">
        <x:v>Corolla Altis</x:v>
      </x:c>
      <x:c r="G227" s="3" t="str">
        <x:v>ICE</x:v>
      </x:c>
      <x:c r="H227" s="3" t="str">
        <x:v>Sedan</x:v>
      </x:c>
      <x:c r="I227" s="3" t="str"/>
      <x:c r="J227" s="3" t="n">
        <x:v>2020</x:v>
      </x:c>
      <x:c r="K227" s="3" t="str">
        <x:v>ALTIS 1.6 G</x:v>
      </x:c>
      <x:c r="L227" s="3" t="str">
        <x:v>G</x:v>
      </x:c>
      <x:c r="M227" s="22"/>
      <x:c r="N227" s="22"/>
      <x:c r="O227" s="22"/>
      <x:c r="P227" s="3" t="str">
        <x:v>未掲載</x:v>
      </x:c>
      <x:c r="Q227" s="3" t="str">
        <x:v>未取得</x:v>
      </x:c>
      <x:c r="R227" s="3" t="str">
        <x:v>Unknown</x:v>
      </x:c>
      <x:c r="S227" s="3" t="str">
        <x:v>不明</x:v>
      </x:c>
      <x:c r="T227" s="3" t="str">
        <x:v>19-ปัจจุบัน</x:v>
      </x:c>
      <x:c r="U227" s="28" t="n">
        <x:v>459000</x:v>
      </x:c>
      <x:c r="V227" s="28" t="n">
        <x:v>879000</x:v>
      </x:c>
      <x:c r="W227" s="3" t="str">
        <x:v>事故・水没・SOH・保証残は未確認</x:v>
      </x:c>
      <x:c r="X227" s="3" t="str">
        <x:v>掲載中・在庫未確認</x:v>
      </x:c>
      <x:c r="Y227" s="3" t="str"/>
      <x:c r="Z227" s="27" t="str">
        <x:v>https://www.taladrod.com/w40/icar/cardet.aspx?cid=2924084</x:v>
      </x:c>
      <x:c r="AA227" s="3" t="str">
        <x:v>Taladrod個別広告ID／Carsome在庫ID</x:v>
      </x:c>
      <x:c r="AB227" s="3" t="str">
        <x:v>車台番号未取得／サイト間重複は未判定</x:v>
      </x:c>
      <x:c r="AC227" s="3" t="str">
        <x:v>税込区分未確認（一覧表示額）</x:v>
      </x:c>
      <x:c r="AD227" s="3" t="str"/>
      <x:c r="AE227" s="29" t="str">
        <x:f>""</x:f>
      </x:c>
      <x:c r="AF227" s="30" t="str">
        <x:f>IF(ISNUMBER(AE227),U227/AE227,"")</x:f>
      </x:c>
      <x:c r="AG227" s="29" t="str">
        <x:f>""</x:f>
      </x:c>
      <x:c r="AH227" s="30" t="str">
        <x:f>IF(ISNUMBER(AG227),U227/AG227,"")</x:f>
      </x:c>
      <x:c r="AI227" s="3" t="str">
        <x:v>同年式・グレードの検証済み当時価格なし／登録年混在</x:v>
      </x:c>
      <x:c r="AJ227" s="3" t="str">
        <x:v>一覧価格/年式のみ</x:v>
      </x:c>
      <x:c r="AK227" s="3" t="str">
        <x:v>一覧の表示価格。年式は掲載年式。</x:v>
      </x:c>
      <x:c r="AL227" s="31" t="n">
        <x:f>IF(AND(J227&lt;='分析方法'!$B$7,OR(ISBLANK(O227),O227&gt;='分析方法'!$B$8),X227&lt;&gt;"売却済み表示"),1,0)</x:f>
        <x:v>1</x:v>
      </x:c>
      <x:c r="AM227" s="32" t="n">
        <x:f>IF(AL227=1,U227,"")</x:f>
        <x:v>459000</x:v>
      </x:c>
      <x:c r="AN227" s="33" t="str">
        <x:f>IF(AL227=1,AF227,"")</x:f>
      </x:c>
      <x:c r="AO227" s="31" t="n">
        <x:f>'分析方法'!$B$6-J227</x:f>
        <x:v>6</x:v>
      </x:c>
      <x:c r="AP227" s="3"/>
    </x:row>
    <x:row r="228" ht="22" customHeight="1">
      <x:c r="A228" s="3" t="str">
        <x:v>T2924149</x:v>
      </x:c>
      <x:c r="B228" s="7" t="d">
        <x:v>2026-10-08T00:00:00.000Z</x:v>
      </x:c>
      <x:c r="C228" s="3" t="str">
        <x:v>Taladrod</x:v>
      </x:c>
      <x:c r="D228" s="3" t="str">
        <x:v>Toyota</x:v>
      </x:c>
      <x:c r="E228" s="3" t="str">
        <x:v>日本</x:v>
      </x:c>
      <x:c r="F228" s="3" t="str">
        <x:v>Corolla Altis</x:v>
      </x:c>
      <x:c r="G228" s="3" t="str">
        <x:v>ICE</x:v>
      </x:c>
      <x:c r="H228" s="3" t="str">
        <x:v>Sedan</x:v>
      </x:c>
      <x:c r="I228" s="3" t="str"/>
      <x:c r="J228" s="3" t="n">
        <x:v>2020</x:v>
      </x:c>
      <x:c r="K228" s="3" t="str">
        <x:v>ALTIS 1.6 G</x:v>
      </x:c>
      <x:c r="L228" s="3" t="str">
        <x:v>G</x:v>
      </x:c>
      <x:c r="M228" s="22"/>
      <x:c r="N228" s="22"/>
      <x:c r="O228" s="22"/>
      <x:c r="P228" s="3" t="str">
        <x:v>未掲載</x:v>
      </x:c>
      <x:c r="Q228" s="3" t="str">
        <x:v>未取得</x:v>
      </x:c>
      <x:c r="R228" s="3" t="str">
        <x:v>Unknown</x:v>
      </x:c>
      <x:c r="S228" s="3" t="str">
        <x:v>不明</x:v>
      </x:c>
      <x:c r="T228" s="3" t="str">
        <x:v>19-ปัจจุบัน</x:v>
      </x:c>
      <x:c r="U228" s="28" t="n">
        <x:v>419000</x:v>
      </x:c>
      <x:c r="V228" s="28" t="n">
        <x:v>879000</x:v>
      </x:c>
      <x:c r="W228" s="3" t="str">
        <x:v>事故・水没・SOH・保証残は未確認</x:v>
      </x:c>
      <x:c r="X228" s="3" t="str">
        <x:v>掲載中・在庫未確認</x:v>
      </x:c>
      <x:c r="Y228" s="3" t="str"/>
      <x:c r="Z228" s="27" t="str">
        <x:v>https://www.taladrod.com/w40/icar/cardet.aspx?cid=2924149</x:v>
      </x:c>
      <x:c r="AA228" s="3" t="str">
        <x:v>Taladrod個別広告ID／Carsome在庫ID</x:v>
      </x:c>
      <x:c r="AB228" s="3" t="str">
        <x:v>車台番号未取得／サイト間重複は未判定</x:v>
      </x:c>
      <x:c r="AC228" s="3" t="str">
        <x:v>税込区分未確認（一覧表示額）</x:v>
      </x:c>
      <x:c r="AD228" s="3" t="str"/>
      <x:c r="AE228" s="29" t="str">
        <x:f>""</x:f>
      </x:c>
      <x:c r="AF228" s="30" t="str">
        <x:f>IF(ISNUMBER(AE228),U228/AE228,"")</x:f>
      </x:c>
      <x:c r="AG228" s="29" t="str">
        <x:f>""</x:f>
      </x:c>
      <x:c r="AH228" s="30" t="str">
        <x:f>IF(ISNUMBER(AG228),U228/AG228,"")</x:f>
      </x:c>
      <x:c r="AI228" s="3" t="str">
        <x:v>同年式・グレードの検証済み当時価格なし／登録年混在</x:v>
      </x:c>
      <x:c r="AJ228" s="3" t="str">
        <x:v>一覧価格/年式のみ</x:v>
      </x:c>
      <x:c r="AK228" s="3" t="str">
        <x:v>一覧の表示価格。年式は掲載年式。</x:v>
      </x:c>
      <x:c r="AL228" s="31" t="n">
        <x:f>IF(AND(J228&lt;='分析方法'!$B$7,OR(ISBLANK(O228),O228&gt;='分析方法'!$B$8),X228&lt;&gt;"売却済み表示"),1,0)</x:f>
        <x:v>1</x:v>
      </x:c>
      <x:c r="AM228" s="32" t="n">
        <x:f>IF(AL228=1,U228,"")</x:f>
        <x:v>419000</x:v>
      </x:c>
      <x:c r="AN228" s="33" t="str">
        <x:f>IF(AL228=1,AF228,"")</x:f>
      </x:c>
      <x:c r="AO228" s="31" t="n">
        <x:f>'分析方法'!$B$6-J228</x:f>
        <x:v>6</x:v>
      </x:c>
      <x:c r="AP228" s="3"/>
    </x:row>
    <x:row r="229" ht="22" customHeight="1">
      <x:c r="A229" s="3" t="str">
        <x:v>T2924361</x:v>
      </x:c>
      <x:c r="B229" s="7" t="d">
        <x:v>2026-10-08T00:00:00.000Z</x:v>
      </x:c>
      <x:c r="C229" s="3" t="str">
        <x:v>Taladrod</x:v>
      </x:c>
      <x:c r="D229" s="3" t="str">
        <x:v>Toyota</x:v>
      </x:c>
      <x:c r="E229" s="3" t="str">
        <x:v>日本</x:v>
      </x:c>
      <x:c r="F229" s="3" t="str">
        <x:v>Corolla Altis</x:v>
      </x:c>
      <x:c r="G229" s="3" t="str">
        <x:v>ICE</x:v>
      </x:c>
      <x:c r="H229" s="3" t="str">
        <x:v>Sedan</x:v>
      </x:c>
      <x:c r="I229" s="3" t="str"/>
      <x:c r="J229" s="3" t="n">
        <x:v>2020</x:v>
      </x:c>
      <x:c r="K229" s="3" t="str">
        <x:v>ALTIS 1.6 G</x:v>
      </x:c>
      <x:c r="L229" s="3" t="str">
        <x:v>G</x:v>
      </x:c>
      <x:c r="M229" s="22"/>
      <x:c r="N229" s="22"/>
      <x:c r="O229" s="22"/>
      <x:c r="P229" s="3" t="str">
        <x:v>未掲載</x:v>
      </x:c>
      <x:c r="Q229" s="3" t="str">
        <x:v>未取得</x:v>
      </x:c>
      <x:c r="R229" s="3" t="str">
        <x:v>Unknown</x:v>
      </x:c>
      <x:c r="S229" s="3" t="str">
        <x:v>不明</x:v>
      </x:c>
      <x:c r="T229" s="3" t="str">
        <x:v>19-ปัจจุบัน</x:v>
      </x:c>
      <x:c r="U229" s="28" t="n">
        <x:v>439000</x:v>
      </x:c>
      <x:c r="V229" s="28" t="n">
        <x:v>879000</x:v>
      </x:c>
      <x:c r="W229" s="3" t="str">
        <x:v>事故・水没・SOH・保証残は未確認</x:v>
      </x:c>
      <x:c r="X229" s="3" t="str">
        <x:v>掲載中・在庫未確認</x:v>
      </x:c>
      <x:c r="Y229" s="3" t="str"/>
      <x:c r="Z229" s="27" t="str">
        <x:v>https://www.taladrod.com/w40/icar/cardet.aspx?cid=2924361</x:v>
      </x:c>
      <x:c r="AA229" s="3" t="str">
        <x:v>Taladrod個別広告ID／Carsome在庫ID</x:v>
      </x:c>
      <x:c r="AB229" s="3" t="str">
        <x:v>車台番号未取得／サイト間重複は未判定</x:v>
      </x:c>
      <x:c r="AC229" s="3" t="str">
        <x:v>税込区分未確認（一覧表示額）</x:v>
      </x:c>
      <x:c r="AD229" s="3" t="str"/>
      <x:c r="AE229" s="29" t="str">
        <x:f>""</x:f>
      </x:c>
      <x:c r="AF229" s="30" t="str">
        <x:f>IF(ISNUMBER(AE229),U229/AE229,"")</x:f>
      </x:c>
      <x:c r="AG229" s="29" t="str">
        <x:f>""</x:f>
      </x:c>
      <x:c r="AH229" s="30" t="str">
        <x:f>IF(ISNUMBER(AG229),U229/AG229,"")</x:f>
      </x:c>
      <x:c r="AI229" s="3" t="str">
        <x:v>同年式・グレードの検証済み当時価格なし／登録年混在</x:v>
      </x:c>
      <x:c r="AJ229" s="3" t="str">
        <x:v>一覧価格/年式のみ</x:v>
      </x:c>
      <x:c r="AK229" s="3" t="str">
        <x:v>一覧の表示価格。年式は掲載年式。</x:v>
      </x:c>
      <x:c r="AL229" s="31" t="n">
        <x:f>IF(AND(J229&lt;='分析方法'!$B$7,OR(ISBLANK(O229),O229&gt;='分析方法'!$B$8),X229&lt;&gt;"売却済み表示"),1,0)</x:f>
        <x:v>1</x:v>
      </x:c>
      <x:c r="AM229" s="32" t="n">
        <x:f>IF(AL229=1,U229,"")</x:f>
        <x:v>439000</x:v>
      </x:c>
      <x:c r="AN229" s="33" t="str">
        <x:f>IF(AL229=1,AF229,"")</x:f>
      </x:c>
      <x:c r="AO229" s="31" t="n">
        <x:f>'分析方法'!$B$6-J229</x:f>
        <x:v>6</x:v>
      </x:c>
      <x:c r="AP229" s="3"/>
    </x:row>
    <x:row r="230" ht="22" customHeight="1">
      <x:c r="A230" s="3" t="str">
        <x:v>T2906535</x:v>
      </x:c>
      <x:c r="B230" s="7" t="d">
        <x:v>2026-10-08T00:00:00.000Z</x:v>
      </x:c>
      <x:c r="C230" s="3" t="str">
        <x:v>Taladrod</x:v>
      </x:c>
      <x:c r="D230" s="3" t="str">
        <x:v>Toyota</x:v>
      </x:c>
      <x:c r="E230" s="3" t="str">
        <x:v>日本</x:v>
      </x:c>
      <x:c r="F230" s="3" t="str">
        <x:v>Corolla Altis</x:v>
      </x:c>
      <x:c r="G230" s="3" t="str">
        <x:v>ICE</x:v>
      </x:c>
      <x:c r="H230" s="3" t="str">
        <x:v>Sedan</x:v>
      </x:c>
      <x:c r="I230" s="3" t="str"/>
      <x:c r="J230" s="3" t="n">
        <x:v>2020</x:v>
      </x:c>
      <x:c r="K230" s="3" t="str">
        <x:v>ALTIS 1.8 GR SPORT</x:v>
      </x:c>
      <x:c r="L230" s="3" t="str">
        <x:v>GR SPORT</x:v>
      </x:c>
      <x:c r="M230" s="22"/>
      <x:c r="N230" s="22"/>
      <x:c r="O230" s="22"/>
      <x:c r="P230" s="3" t="str">
        <x:v>未掲載</x:v>
      </x:c>
      <x:c r="Q230" s="3" t="str">
        <x:v>未取得</x:v>
      </x:c>
      <x:c r="R230" s="3" t="str">
        <x:v>Unknown</x:v>
      </x:c>
      <x:c r="S230" s="3" t="str">
        <x:v>不明</x:v>
      </x:c>
      <x:c r="T230" s="3" t="str">
        <x:v>19-ปัจจุบัน</x:v>
      </x:c>
      <x:c r="U230" s="28" t="n">
        <x:v>479000</x:v>
      </x:c>
      <x:c r="V230" s="28" t="n">
        <x:v>999000</x:v>
      </x:c>
      <x:c r="W230" s="3" t="str">
        <x:v>事故・水没・SOH・保証残は未確認</x:v>
      </x:c>
      <x:c r="X230" s="3" t="str">
        <x:v>掲載中・在庫未確認</x:v>
      </x:c>
      <x:c r="Y230" s="3" t="str"/>
      <x:c r="Z230" s="27" t="str">
        <x:v>https://www.taladrod.com/w40/icar/cardet.aspx?cid=2906535</x:v>
      </x:c>
      <x:c r="AA230" s="3" t="str">
        <x:v>Taladrod個別広告ID／Carsome在庫ID</x:v>
      </x:c>
      <x:c r="AB230" s="3" t="str">
        <x:v>車台番号未取得／サイト間重複は未判定</x:v>
      </x:c>
      <x:c r="AC230" s="3" t="str">
        <x:v>税込区分未確認（一覧表示額）</x:v>
      </x:c>
      <x:c r="AD230" s="3" t="str"/>
      <x:c r="AE230" s="29" t="str">
        <x:f>""</x:f>
      </x:c>
      <x:c r="AF230" s="30" t="str">
        <x:f>IF(ISNUMBER(AE230),U230/AE230,"")</x:f>
      </x:c>
      <x:c r="AG230" s="29" t="str">
        <x:f>""</x:f>
      </x:c>
      <x:c r="AH230" s="30" t="str">
        <x:f>IF(ISNUMBER(AG230),U230/AG230,"")</x:f>
      </x:c>
      <x:c r="AI230" s="3" t="str">
        <x:v>同年式・グレードの検証済み当時価格なし／登録年混在</x:v>
      </x:c>
      <x:c r="AJ230" s="3" t="str">
        <x:v>一覧価格/年式のみ</x:v>
      </x:c>
      <x:c r="AK230" s="3" t="str">
        <x:v>一覧の表示価格。年式は掲載年式。</x:v>
      </x:c>
      <x:c r="AL230" s="31" t="n">
        <x:f>IF(AND(J230&lt;='分析方法'!$B$7,OR(ISBLANK(O230),O230&gt;='分析方法'!$B$8),X230&lt;&gt;"売却済み表示"),1,0)</x:f>
        <x:v>1</x:v>
      </x:c>
      <x:c r="AM230" s="32" t="n">
        <x:f>IF(AL230=1,U230,"")</x:f>
        <x:v>479000</x:v>
      </x:c>
      <x:c r="AN230" s="33" t="str">
        <x:f>IF(AL230=1,AF230,"")</x:f>
      </x:c>
      <x:c r="AO230" s="31" t="n">
        <x:f>'分析方法'!$B$6-J230</x:f>
        <x:v>6</x:v>
      </x:c>
      <x:c r="AP230" s="3"/>
    </x:row>
    <x:row r="231" ht="22" customHeight="1">
      <x:c r="A231" s="3" t="str">
        <x:v>T2914465</x:v>
      </x:c>
      <x:c r="B231" s="7" t="d">
        <x:v>2026-10-08T00:00:00.000Z</x:v>
      </x:c>
      <x:c r="C231" s="3" t="str">
        <x:v>Taladrod</x:v>
      </x:c>
      <x:c r="D231" s="3" t="str">
        <x:v>Toyota</x:v>
      </x:c>
      <x:c r="E231" s="3" t="str">
        <x:v>日本</x:v>
      </x:c>
      <x:c r="F231" s="3" t="str">
        <x:v>Corolla Altis</x:v>
      </x:c>
      <x:c r="G231" s="3" t="str">
        <x:v>ICE</x:v>
      </x:c>
      <x:c r="H231" s="3" t="str">
        <x:v>Sedan</x:v>
      </x:c>
      <x:c r="I231" s="3" t="str"/>
      <x:c r="J231" s="3" t="n">
        <x:v>2020</x:v>
      </x:c>
      <x:c r="K231" s="3" t="str">
        <x:v>ALTIS 1.8 GR SPORT</x:v>
      </x:c>
      <x:c r="L231" s="3" t="str">
        <x:v>GR SPORT</x:v>
      </x:c>
      <x:c r="M231" s="22"/>
      <x:c r="N231" s="22"/>
      <x:c r="O231" s="22"/>
      <x:c r="P231" s="3" t="str">
        <x:v>未掲載</x:v>
      </x:c>
      <x:c r="Q231" s="3" t="str">
        <x:v>未取得</x:v>
      </x:c>
      <x:c r="R231" s="3" t="str">
        <x:v>Unknown</x:v>
      </x:c>
      <x:c r="S231" s="3" t="str">
        <x:v>不明</x:v>
      </x:c>
      <x:c r="T231" s="3" t="str">
        <x:v>19-ปัจจุบัน</x:v>
      </x:c>
      <x:c r="U231" s="28" t="n">
        <x:v>555000</x:v>
      </x:c>
      <x:c r="V231" s="28" t="n">
        <x:v>999000</x:v>
      </x:c>
      <x:c r="W231" s="3" t="str">
        <x:v>事故・水没・SOH・保証残は未確認</x:v>
      </x:c>
      <x:c r="X231" s="3" t="str">
        <x:v>掲載中・在庫未確認</x:v>
      </x:c>
      <x:c r="Y231" s="3" t="str"/>
      <x:c r="Z231" s="27" t="str">
        <x:v>https://www.taladrod.com/w40/icar/cardet.aspx?cid=2914465</x:v>
      </x:c>
      <x:c r="AA231" s="3" t="str">
        <x:v>Taladrod個別広告ID／Carsome在庫ID</x:v>
      </x:c>
      <x:c r="AB231" s="3" t="str">
        <x:v>車台番号未取得／サイト間重複は未判定</x:v>
      </x:c>
      <x:c r="AC231" s="3" t="str">
        <x:v>税込区分未確認（一覧表示額）</x:v>
      </x:c>
      <x:c r="AD231" s="3" t="str"/>
      <x:c r="AE231" s="29" t="str">
        <x:f>""</x:f>
      </x:c>
      <x:c r="AF231" s="30" t="str">
        <x:f>IF(ISNUMBER(AE231),U231/AE231,"")</x:f>
      </x:c>
      <x:c r="AG231" s="29" t="str">
        <x:f>""</x:f>
      </x:c>
      <x:c r="AH231" s="30" t="str">
        <x:f>IF(ISNUMBER(AG231),U231/AG231,"")</x:f>
      </x:c>
      <x:c r="AI231" s="3" t="str">
        <x:v>同年式・グレードの検証済み当時価格なし／登録年混在</x:v>
      </x:c>
      <x:c r="AJ231" s="3" t="str">
        <x:v>一覧価格/年式のみ</x:v>
      </x:c>
      <x:c r="AK231" s="3" t="str">
        <x:v>一覧の表示価格。年式は掲載年式。</x:v>
      </x:c>
      <x:c r="AL231" s="31" t="n">
        <x:f>IF(AND(J231&lt;='分析方法'!$B$7,OR(ISBLANK(O231),O231&gt;='分析方法'!$B$8),X231&lt;&gt;"売却済み表示"),1,0)</x:f>
        <x:v>1</x:v>
      </x:c>
      <x:c r="AM231" s="32" t="n">
        <x:f>IF(AL231=1,U231,"")</x:f>
        <x:v>555000</x:v>
      </x:c>
      <x:c r="AN231" s="33" t="str">
        <x:f>IF(AL231=1,AF231,"")</x:f>
      </x:c>
      <x:c r="AO231" s="31" t="n">
        <x:f>'分析方法'!$B$6-J231</x:f>
        <x:v>6</x:v>
      </x:c>
      <x:c r="AP231" s="3"/>
    </x:row>
    <x:row r="232" ht="22" customHeight="1">
      <x:c r="A232" s="3" t="str">
        <x:v>T2920051</x:v>
      </x:c>
      <x:c r="B232" s="7" t="d">
        <x:v>2026-10-08T00:00:00.000Z</x:v>
      </x:c>
      <x:c r="C232" s="3" t="str">
        <x:v>Taladrod</x:v>
      </x:c>
      <x:c r="D232" s="3" t="str">
        <x:v>Toyota</x:v>
      </x:c>
      <x:c r="E232" s="3" t="str">
        <x:v>日本</x:v>
      </x:c>
      <x:c r="F232" s="3" t="str">
        <x:v>Corolla Altis</x:v>
      </x:c>
      <x:c r="G232" s="3" t="str">
        <x:v>ICE</x:v>
      </x:c>
      <x:c r="H232" s="3" t="str">
        <x:v>Sedan</x:v>
      </x:c>
      <x:c r="I232" s="3" t="str"/>
      <x:c r="J232" s="3" t="n">
        <x:v>2020</x:v>
      </x:c>
      <x:c r="K232" s="3" t="str">
        <x:v>ALTIS 1.8 GR SPORT</x:v>
      </x:c>
      <x:c r="L232" s="3" t="str">
        <x:v>GR SPORT</x:v>
      </x:c>
      <x:c r="M232" s="22"/>
      <x:c r="N232" s="22"/>
      <x:c r="O232" s="22"/>
      <x:c r="P232" s="3" t="str">
        <x:v>未掲載</x:v>
      </x:c>
      <x:c r="Q232" s="3" t="str">
        <x:v>未取得</x:v>
      </x:c>
      <x:c r="R232" s="3" t="str">
        <x:v>Unknown</x:v>
      </x:c>
      <x:c r="S232" s="3" t="str">
        <x:v>不明</x:v>
      </x:c>
      <x:c r="T232" s="3" t="str">
        <x:v>19-ปัจจุบัน</x:v>
      </x:c>
      <x:c r="U232" s="28" t="n">
        <x:v>478000</x:v>
      </x:c>
      <x:c r="V232" s="28" t="n">
        <x:v>999000</x:v>
      </x:c>
      <x:c r="W232" s="3" t="str">
        <x:v>事故・水没・SOH・保証残は未確認</x:v>
      </x:c>
      <x:c r="X232" s="3" t="str">
        <x:v>掲載中・在庫未確認</x:v>
      </x:c>
      <x:c r="Y232" s="3" t="str"/>
      <x:c r="Z232" s="27" t="str">
        <x:v>https://www.taladrod.com/w40/icar/cardet.aspx?cid=2920051</x:v>
      </x:c>
      <x:c r="AA232" s="3" t="str">
        <x:v>Taladrod個別広告ID／Carsome在庫ID</x:v>
      </x:c>
      <x:c r="AB232" s="3" t="str">
        <x:v>車台番号未取得／サイト間重複は未判定</x:v>
      </x:c>
      <x:c r="AC232" s="3" t="str">
        <x:v>税込区分未確認（一覧表示額）</x:v>
      </x:c>
      <x:c r="AD232" s="3" t="str"/>
      <x:c r="AE232" s="29" t="str">
        <x:f>""</x:f>
      </x:c>
      <x:c r="AF232" s="30" t="str">
        <x:f>IF(ISNUMBER(AE232),U232/AE232,"")</x:f>
      </x:c>
      <x:c r="AG232" s="29" t="str">
        <x:f>""</x:f>
      </x:c>
      <x:c r="AH232" s="30" t="str">
        <x:f>IF(ISNUMBER(AG232),U232/AG232,"")</x:f>
      </x:c>
      <x:c r="AI232" s="3" t="str">
        <x:v>同年式・グレードの検証済み当時価格なし／登録年混在</x:v>
      </x:c>
      <x:c r="AJ232" s="3" t="str">
        <x:v>一覧価格/年式のみ</x:v>
      </x:c>
      <x:c r="AK232" s="3" t="str">
        <x:v>一覧の表示価格。年式は掲載年式。</x:v>
      </x:c>
      <x:c r="AL232" s="31" t="n">
        <x:f>IF(AND(J232&lt;='分析方法'!$B$7,OR(ISBLANK(O232),O232&gt;='分析方法'!$B$8),X232&lt;&gt;"売却済み表示"),1,0)</x:f>
        <x:v>1</x:v>
      </x:c>
      <x:c r="AM232" s="32" t="n">
        <x:f>IF(AL232=1,U232,"")</x:f>
        <x:v>478000</x:v>
      </x:c>
      <x:c r="AN232" s="33" t="str">
        <x:f>IF(AL232=1,AF232,"")</x:f>
      </x:c>
      <x:c r="AO232" s="31" t="n">
        <x:f>'分析方法'!$B$6-J232</x:f>
        <x:v>6</x:v>
      </x:c>
      <x:c r="AP232" s="3"/>
    </x:row>
    <x:row r="233" ht="22" customHeight="1">
      <x:c r="A233" s="3" t="str">
        <x:v>T2912994</x:v>
      </x:c>
      <x:c r="B233" s="7" t="d">
        <x:v>2026-10-08T00:00:00.000Z</x:v>
      </x:c>
      <x:c r="C233" s="3" t="str">
        <x:v>Taladrod</x:v>
      </x:c>
      <x:c r="D233" s="3" t="str">
        <x:v>Toyota</x:v>
      </x:c>
      <x:c r="E233" s="3" t="str">
        <x:v>日本</x:v>
      </x:c>
      <x:c r="F233" s="3" t="str">
        <x:v>Corolla Altis</x:v>
      </x:c>
      <x:c r="G233" s="3" t="str">
        <x:v>ICE</x:v>
      </x:c>
      <x:c r="H233" s="3" t="str">
        <x:v>Sedan</x:v>
      </x:c>
      <x:c r="I233" s="3" t="str"/>
      <x:c r="J233" s="3" t="n">
        <x:v>2020</x:v>
      </x:c>
      <x:c r="K233" s="3" t="str">
        <x:v>ALTIS 1.8 SPORT</x:v>
      </x:c>
      <x:c r="L233" s="3" t="str">
        <x:v>SPORT</x:v>
      </x:c>
      <x:c r="M233" s="22"/>
      <x:c r="N233" s="22"/>
      <x:c r="O233" s="22"/>
      <x:c r="P233" s="3" t="str">
        <x:v>未掲載</x:v>
      </x:c>
      <x:c r="Q233" s="3" t="str">
        <x:v>未取得</x:v>
      </x:c>
      <x:c r="R233" s="3" t="str">
        <x:v>Unknown</x:v>
      </x:c>
      <x:c r="S233" s="3" t="str">
        <x:v>不明</x:v>
      </x:c>
      <x:c r="T233" s="3" t="str">
        <x:v>19-ปัจจุบัน</x:v>
      </x:c>
      <x:c r="U233" s="28" t="n">
        <x:v>499000</x:v>
      </x:c>
      <x:c r="V233" s="28" t="n">
        <x:v>964000</x:v>
      </x:c>
      <x:c r="W233" s="3" t="str">
        <x:v>事故・水没・SOH・保証残は未確認</x:v>
      </x:c>
      <x:c r="X233" s="3" t="str">
        <x:v>掲載中・在庫未確認</x:v>
      </x:c>
      <x:c r="Y233" s="3" t="str"/>
      <x:c r="Z233" s="27" t="str">
        <x:v>https://www.taladrod.com/w40/icar/cardet.aspx?cid=2912994</x:v>
      </x:c>
      <x:c r="AA233" s="3" t="str">
        <x:v>Taladrod個別広告ID／Carsome在庫ID</x:v>
      </x:c>
      <x:c r="AB233" s="3" t="str">
        <x:v>車台番号未取得／サイト間重複は未判定</x:v>
      </x:c>
      <x:c r="AC233" s="3" t="str">
        <x:v>税込区分未確認（一覧表示額）</x:v>
      </x:c>
      <x:c r="AD233" s="3" t="str"/>
      <x:c r="AE233" s="29" t="str">
        <x:f>""</x:f>
      </x:c>
      <x:c r="AF233" s="30" t="str">
        <x:f>IF(ISNUMBER(AE233),U233/AE233,"")</x:f>
      </x:c>
      <x:c r="AG233" s="29" t="str">
        <x:f>""</x:f>
      </x:c>
      <x:c r="AH233" s="30" t="str">
        <x:f>IF(ISNUMBER(AG233),U233/AG233,"")</x:f>
      </x:c>
      <x:c r="AI233" s="3" t="str">
        <x:v>同年式・グレードの検証済み当時価格なし／登録年混在</x:v>
      </x:c>
      <x:c r="AJ233" s="3" t="str">
        <x:v>一覧価格/年式のみ</x:v>
      </x:c>
      <x:c r="AK233" s="3" t="str">
        <x:v>一覧の表示価格。年式は掲載年式。</x:v>
      </x:c>
      <x:c r="AL233" s="31" t="n">
        <x:f>IF(AND(J233&lt;='分析方法'!$B$7,OR(ISBLANK(O233),O233&gt;='分析方法'!$B$8),X233&lt;&gt;"売却済み表示"),1,0)</x:f>
        <x:v>1</x:v>
      </x:c>
      <x:c r="AM233" s="32" t="n">
        <x:f>IF(AL233=1,U233,"")</x:f>
        <x:v>499000</x:v>
      </x:c>
      <x:c r="AN233" s="33" t="str">
        <x:f>IF(AL233=1,AF233,"")</x:f>
      </x:c>
      <x:c r="AO233" s="31" t="n">
        <x:f>'分析方法'!$B$6-J233</x:f>
        <x:v>6</x:v>
      </x:c>
      <x:c r="AP233" s="3"/>
    </x:row>
    <x:row r="234" ht="22" customHeight="1">
      <x:c r="A234" s="3" t="str">
        <x:v>T2892800</x:v>
      </x:c>
      <x:c r="B234" s="7" t="d">
        <x:v>2026-10-08T00:00:00.000Z</x:v>
      </x:c>
      <x:c r="C234" s="3" t="str">
        <x:v>Taladrod</x:v>
      </x:c>
      <x:c r="D234" s="3" t="str">
        <x:v>Toyota</x:v>
      </x:c>
      <x:c r="E234" s="3" t="str">
        <x:v>日本</x:v>
      </x:c>
      <x:c r="F234" s="3" t="str">
        <x:v>Corolla Altis</x:v>
      </x:c>
      <x:c r="G234" s="3" t="str">
        <x:v>ICE</x:v>
      </x:c>
      <x:c r="H234" s="3" t="str">
        <x:v>Sedan</x:v>
      </x:c>
      <x:c r="I234" s="3" t="str"/>
      <x:c r="J234" s="3" t="n">
        <x:v>2021</x:v>
      </x:c>
      <x:c r="K234" s="3" t="str">
        <x:v>ALTIS 1.6 G</x:v>
      </x:c>
      <x:c r="L234" s="3" t="str">
        <x:v>G</x:v>
      </x:c>
      <x:c r="M234" s="22"/>
      <x:c r="N234" s="22"/>
      <x:c r="O234" s="22"/>
      <x:c r="P234" s="3" t="str">
        <x:v>未掲載</x:v>
      </x:c>
      <x:c r="Q234" s="3" t="str">
        <x:v>未取得</x:v>
      </x:c>
      <x:c r="R234" s="3" t="str">
        <x:v>Unknown</x:v>
      </x:c>
      <x:c r="S234" s="3" t="str">
        <x:v>不明</x:v>
      </x:c>
      <x:c r="T234" s="3" t="str">
        <x:v>19-ปัจจุบัน</x:v>
      </x:c>
      <x:c r="U234" s="28" t="n">
        <x:v>460000</x:v>
      </x:c>
      <x:c r="V234" s="28" t="n">
        <x:v>879000</x:v>
      </x:c>
      <x:c r="W234" s="3" t="str">
        <x:v>事故・水没・SOH・保証残は未確認</x:v>
      </x:c>
      <x:c r="X234" s="3" t="str">
        <x:v>掲載中・在庫未確認</x:v>
      </x:c>
      <x:c r="Y234" s="3" t="str"/>
      <x:c r="Z234" s="27" t="str">
        <x:v>https://www.taladrod.com/w40/icar/cardet.aspx?cid=2892800</x:v>
      </x:c>
      <x:c r="AA234" s="3" t="str">
        <x:v>Taladrod個別広告ID／Carsome在庫ID</x:v>
      </x:c>
      <x:c r="AB234" s="3" t="str">
        <x:v>車台番号未取得／サイト間重複は未判定</x:v>
      </x:c>
      <x:c r="AC234" s="3" t="str">
        <x:v>税込区分未確認（一覧表示額）</x:v>
      </x:c>
      <x:c r="AD234" s="3" t="str"/>
      <x:c r="AE234" s="29" t="str">
        <x:f>""</x:f>
      </x:c>
      <x:c r="AF234" s="30" t="str">
        <x:f>IF(ISNUMBER(AE234),U234/AE234,"")</x:f>
      </x:c>
      <x:c r="AG234" s="29" t="str">
        <x:f>""</x:f>
      </x:c>
      <x:c r="AH234" s="30" t="str">
        <x:f>IF(ISNUMBER(AG234),U234/AG234,"")</x:f>
      </x:c>
      <x:c r="AI234" s="3" t="str">
        <x:v>同年式・グレードの検証済み当時価格なし／登録年混在</x:v>
      </x:c>
      <x:c r="AJ234" s="3" t="str">
        <x:v>一覧価格/年式のみ</x:v>
      </x:c>
      <x:c r="AK234" s="3" t="str">
        <x:v>一覧の表示価格。年式は掲載年式。</x:v>
      </x:c>
      <x:c r="AL234" s="31" t="n">
        <x:f>IF(AND(J234&lt;='分析方法'!$B$7,OR(ISBLANK(O234),O234&gt;='分析方法'!$B$8),X234&lt;&gt;"売却済み表示"),1,0)</x:f>
        <x:v>1</x:v>
      </x:c>
      <x:c r="AM234" s="32" t="n">
        <x:f>IF(AL234=1,U234,"")</x:f>
        <x:v>460000</x:v>
      </x:c>
      <x:c r="AN234" s="33" t="str">
        <x:f>IF(AL234=1,AF234,"")</x:f>
      </x:c>
      <x:c r="AO234" s="31" t="n">
        <x:f>'分析方法'!$B$6-J234</x:f>
        <x:v>5</x:v>
      </x:c>
      <x:c r="AP234" s="3"/>
    </x:row>
    <x:row r="235" ht="22" customHeight="1">
      <x:c r="A235" s="3" t="str">
        <x:v>T2895975</x:v>
      </x:c>
      <x:c r="B235" s="7" t="d">
        <x:v>2026-10-08T00:00:00.000Z</x:v>
      </x:c>
      <x:c r="C235" s="3" t="str">
        <x:v>Taladrod</x:v>
      </x:c>
      <x:c r="D235" s="3" t="str">
        <x:v>Toyota</x:v>
      </x:c>
      <x:c r="E235" s="3" t="str">
        <x:v>日本</x:v>
      </x:c>
      <x:c r="F235" s="3" t="str">
        <x:v>Corolla Altis</x:v>
      </x:c>
      <x:c r="G235" s="3" t="str">
        <x:v>ICE</x:v>
      </x:c>
      <x:c r="H235" s="3" t="str">
        <x:v>Sedan</x:v>
      </x:c>
      <x:c r="I235" s="3" t="str"/>
      <x:c r="J235" s="3" t="n">
        <x:v>2021</x:v>
      </x:c>
      <x:c r="K235" s="3" t="str">
        <x:v>ALTIS 1.6 G</x:v>
      </x:c>
      <x:c r="L235" s="3" t="str">
        <x:v>G</x:v>
      </x:c>
      <x:c r="M235" s="22"/>
      <x:c r="N235" s="22"/>
      <x:c r="O235" s="22"/>
      <x:c r="P235" s="3" t="str">
        <x:v>未掲載</x:v>
      </x:c>
      <x:c r="Q235" s="3" t="str">
        <x:v>未取得</x:v>
      </x:c>
      <x:c r="R235" s="3" t="str">
        <x:v>Unknown</x:v>
      </x:c>
      <x:c r="S235" s="3" t="str">
        <x:v>不明</x:v>
      </x:c>
      <x:c r="T235" s="3" t="str">
        <x:v>19-ปัจจุบัน</x:v>
      </x:c>
      <x:c r="U235" s="28" t="n">
        <x:v>425000</x:v>
      </x:c>
      <x:c r="V235" s="28" t="n">
        <x:v>879000</x:v>
      </x:c>
      <x:c r="W235" s="3" t="str">
        <x:v>事故・水没・SOH・保証残は未確認</x:v>
      </x:c>
      <x:c r="X235" s="3" t="str">
        <x:v>掲載中・在庫未確認</x:v>
      </x:c>
      <x:c r="Y235" s="3" t="str"/>
      <x:c r="Z235" s="27" t="str">
        <x:v>https://www.taladrod.com/w40/icar/cardet.aspx?cid=2895975</x:v>
      </x:c>
      <x:c r="AA235" s="3" t="str">
        <x:v>Taladrod個別広告ID／Carsome在庫ID</x:v>
      </x:c>
      <x:c r="AB235" s="3" t="str">
        <x:v>車台番号未取得／サイト間重複は未判定</x:v>
      </x:c>
      <x:c r="AC235" s="3" t="str">
        <x:v>税込区分未確認（一覧表示額）</x:v>
      </x:c>
      <x:c r="AD235" s="3" t="str"/>
      <x:c r="AE235" s="29" t="str">
        <x:f>""</x:f>
      </x:c>
      <x:c r="AF235" s="30" t="str">
        <x:f>IF(ISNUMBER(AE235),U235/AE235,"")</x:f>
      </x:c>
      <x:c r="AG235" s="29" t="str">
        <x:f>""</x:f>
      </x:c>
      <x:c r="AH235" s="30" t="str">
        <x:f>IF(ISNUMBER(AG235),U235/AG235,"")</x:f>
      </x:c>
      <x:c r="AI235" s="3" t="str">
        <x:v>同年式・グレードの検証済み当時価格なし／登録年混在</x:v>
      </x:c>
      <x:c r="AJ235" s="3" t="str">
        <x:v>一覧価格/年式のみ</x:v>
      </x:c>
      <x:c r="AK235" s="3" t="str">
        <x:v>一覧の表示価格。年式は掲載年式。</x:v>
      </x:c>
      <x:c r="AL235" s="31" t="n">
        <x:f>IF(AND(J235&lt;='分析方法'!$B$7,OR(ISBLANK(O235),O235&gt;='分析方法'!$B$8),X235&lt;&gt;"売却済み表示"),1,0)</x:f>
        <x:v>1</x:v>
      </x:c>
      <x:c r="AM235" s="32" t="n">
        <x:f>IF(AL235=1,U235,"")</x:f>
        <x:v>425000</x:v>
      </x:c>
      <x:c r="AN235" s="33" t="str">
        <x:f>IF(AL235=1,AF235,"")</x:f>
      </x:c>
      <x:c r="AO235" s="31" t="n">
        <x:f>'分析方法'!$B$6-J235</x:f>
        <x:v>5</x:v>
      </x:c>
      <x:c r="AP235" s="3"/>
    </x:row>
    <x:row r="236" ht="22" customHeight="1">
      <x:c r="A236" s="3" t="str">
        <x:v>T2897654</x:v>
      </x:c>
      <x:c r="B236" s="7" t="d">
        <x:v>2026-10-08T00:00:00.000Z</x:v>
      </x:c>
      <x:c r="C236" s="3" t="str">
        <x:v>Taladrod</x:v>
      </x:c>
      <x:c r="D236" s="3" t="str">
        <x:v>Toyota</x:v>
      </x:c>
      <x:c r="E236" s="3" t="str">
        <x:v>日本</x:v>
      </x:c>
      <x:c r="F236" s="3" t="str">
        <x:v>Corolla Altis</x:v>
      </x:c>
      <x:c r="G236" s="3" t="str">
        <x:v>ICE</x:v>
      </x:c>
      <x:c r="H236" s="3" t="str">
        <x:v>Sedan</x:v>
      </x:c>
      <x:c r="I236" s="3" t="str"/>
      <x:c r="J236" s="3" t="n">
        <x:v>2021</x:v>
      </x:c>
      <x:c r="K236" s="3" t="str">
        <x:v>ALTIS 1.6 G</x:v>
      </x:c>
      <x:c r="L236" s="3" t="str">
        <x:v>G</x:v>
      </x:c>
      <x:c r="M236" s="22"/>
      <x:c r="N236" s="22"/>
      <x:c r="O236" s="22"/>
      <x:c r="P236" s="3" t="str">
        <x:v>未掲載</x:v>
      </x:c>
      <x:c r="Q236" s="3" t="str">
        <x:v>未取得</x:v>
      </x:c>
      <x:c r="R236" s="3" t="str">
        <x:v>Unknown</x:v>
      </x:c>
      <x:c r="S236" s="3" t="str">
        <x:v>不明</x:v>
      </x:c>
      <x:c r="T236" s="3" t="str">
        <x:v>19-ปัจจุบัน</x:v>
      </x:c>
      <x:c r="U236" s="28" t="n">
        <x:v>379000</x:v>
      </x:c>
      <x:c r="V236" s="28" t="n">
        <x:v>879000</x:v>
      </x:c>
      <x:c r="W236" s="3" t="str">
        <x:v>事故・水没・SOH・保証残は未確認</x:v>
      </x:c>
      <x:c r="X236" s="3" t="str">
        <x:v>掲載中・在庫未確認</x:v>
      </x:c>
      <x:c r="Y236" s="3" t="str"/>
      <x:c r="Z236" s="27" t="str">
        <x:v>https://www.taladrod.com/w40/icar/cardet.aspx?cid=2897654</x:v>
      </x:c>
      <x:c r="AA236" s="3" t="str">
        <x:v>Taladrod個別広告ID／Carsome在庫ID</x:v>
      </x:c>
      <x:c r="AB236" s="3" t="str">
        <x:v>車台番号未取得／サイト間重複は未判定</x:v>
      </x:c>
      <x:c r="AC236" s="3" t="str">
        <x:v>税込区分未確認（一覧表示額）</x:v>
      </x:c>
      <x:c r="AD236" s="3" t="str"/>
      <x:c r="AE236" s="29" t="str">
        <x:f>""</x:f>
      </x:c>
      <x:c r="AF236" s="30" t="str">
        <x:f>IF(ISNUMBER(AE236),U236/AE236,"")</x:f>
      </x:c>
      <x:c r="AG236" s="29" t="str">
        <x:f>""</x:f>
      </x:c>
      <x:c r="AH236" s="30" t="str">
        <x:f>IF(ISNUMBER(AG236),U236/AG236,"")</x:f>
      </x:c>
      <x:c r="AI236" s="3" t="str">
        <x:v>同年式・グレードの検証済み当時価格なし／登録年混在</x:v>
      </x:c>
      <x:c r="AJ236" s="3" t="str">
        <x:v>一覧価格/年式のみ</x:v>
      </x:c>
      <x:c r="AK236" s="3" t="str">
        <x:v>一覧の表示価格。年式は掲載年式。</x:v>
      </x:c>
      <x:c r="AL236" s="31" t="n">
        <x:f>IF(AND(J236&lt;='分析方法'!$B$7,OR(ISBLANK(O236),O236&gt;='分析方法'!$B$8),X236&lt;&gt;"売却済み表示"),1,0)</x:f>
        <x:v>1</x:v>
      </x:c>
      <x:c r="AM236" s="32" t="n">
        <x:f>IF(AL236=1,U236,"")</x:f>
        <x:v>379000</x:v>
      </x:c>
      <x:c r="AN236" s="33" t="str">
        <x:f>IF(AL236=1,AF236,"")</x:f>
      </x:c>
      <x:c r="AO236" s="31" t="n">
        <x:f>'分析方法'!$B$6-J236</x:f>
        <x:v>5</x:v>
      </x:c>
      <x:c r="AP236" s="3"/>
    </x:row>
    <x:row r="237" ht="22" customHeight="1">
      <x:c r="A237" s="3" t="str">
        <x:v>T2898225</x:v>
      </x:c>
      <x:c r="B237" s="7" t="d">
        <x:v>2026-10-08T00:00:00.000Z</x:v>
      </x:c>
      <x:c r="C237" s="3" t="str">
        <x:v>Taladrod</x:v>
      </x:c>
      <x:c r="D237" s="3" t="str">
        <x:v>Toyota</x:v>
      </x:c>
      <x:c r="E237" s="3" t="str">
        <x:v>日本</x:v>
      </x:c>
      <x:c r="F237" s="3" t="str">
        <x:v>Corolla Altis</x:v>
      </x:c>
      <x:c r="G237" s="3" t="str">
        <x:v>ICE</x:v>
      </x:c>
      <x:c r="H237" s="3" t="str">
        <x:v>Sedan</x:v>
      </x:c>
      <x:c r="I237" s="3" t="str"/>
      <x:c r="J237" s="3" t="n">
        <x:v>2021</x:v>
      </x:c>
      <x:c r="K237" s="3" t="str">
        <x:v>ALTIS 1.6 G</x:v>
      </x:c>
      <x:c r="L237" s="3" t="str">
        <x:v>G</x:v>
      </x:c>
      <x:c r="M237" s="22"/>
      <x:c r="N237" s="22"/>
      <x:c r="O237" s="22"/>
      <x:c r="P237" s="3" t="str">
        <x:v>未掲載</x:v>
      </x:c>
      <x:c r="Q237" s="3" t="str">
        <x:v>未取得</x:v>
      </x:c>
      <x:c r="R237" s="3" t="str">
        <x:v>Unknown</x:v>
      </x:c>
      <x:c r="S237" s="3" t="str">
        <x:v>不明</x:v>
      </x:c>
      <x:c r="T237" s="3" t="str">
        <x:v>19-ปัจจุบัน</x:v>
      </x:c>
      <x:c r="U237" s="28" t="n">
        <x:v>425000</x:v>
      </x:c>
      <x:c r="V237" s="28" t="n">
        <x:v>879000</x:v>
      </x:c>
      <x:c r="W237" s="3" t="str">
        <x:v>事故・水没・SOH・保証残は未確認</x:v>
      </x:c>
      <x:c r="X237" s="3" t="str">
        <x:v>掲載中・在庫未確認</x:v>
      </x:c>
      <x:c r="Y237" s="3" t="str"/>
      <x:c r="Z237" s="27" t="str">
        <x:v>https://www.taladrod.com/w40/icar/cardet.aspx?cid=2898225</x:v>
      </x:c>
      <x:c r="AA237" s="3" t="str">
        <x:v>Taladrod個別広告ID／Carsome在庫ID</x:v>
      </x:c>
      <x:c r="AB237" s="3" t="str">
        <x:v>車台番号未取得／サイト間重複は未判定</x:v>
      </x:c>
      <x:c r="AC237" s="3" t="str">
        <x:v>税込区分未確認（一覧表示額）</x:v>
      </x:c>
      <x:c r="AD237" s="3" t="str"/>
      <x:c r="AE237" s="29" t="str">
        <x:f>""</x:f>
      </x:c>
      <x:c r="AF237" s="30" t="str">
        <x:f>IF(ISNUMBER(AE237),U237/AE237,"")</x:f>
      </x:c>
      <x:c r="AG237" s="29" t="str">
        <x:f>""</x:f>
      </x:c>
      <x:c r="AH237" s="30" t="str">
        <x:f>IF(ISNUMBER(AG237),U237/AG237,"")</x:f>
      </x:c>
      <x:c r="AI237" s="3" t="str">
        <x:v>同年式・グレードの検証済み当時価格なし／登録年混在</x:v>
      </x:c>
      <x:c r="AJ237" s="3" t="str">
        <x:v>一覧価格/年式のみ</x:v>
      </x:c>
      <x:c r="AK237" s="3" t="str">
        <x:v>一覧の表示価格。年式は掲載年式。</x:v>
      </x:c>
      <x:c r="AL237" s="31" t="n">
        <x:f>IF(AND(J237&lt;='分析方法'!$B$7,OR(ISBLANK(O237),O237&gt;='分析方法'!$B$8),X237&lt;&gt;"売却済み表示"),1,0)</x:f>
        <x:v>1</x:v>
      </x:c>
      <x:c r="AM237" s="32" t="n">
        <x:f>IF(AL237=1,U237,"")</x:f>
        <x:v>425000</x:v>
      </x:c>
      <x:c r="AN237" s="33" t="str">
        <x:f>IF(AL237=1,AF237,"")</x:f>
      </x:c>
      <x:c r="AO237" s="31" t="n">
        <x:f>'分析方法'!$B$6-J237</x:f>
        <x:v>5</x:v>
      </x:c>
      <x:c r="AP237" s="3"/>
    </x:row>
    <x:row r="238" ht="22" customHeight="1">
      <x:c r="A238" s="3" t="str">
        <x:v>T2898721</x:v>
      </x:c>
      <x:c r="B238" s="7" t="d">
        <x:v>2026-10-08T00:00:00.000Z</x:v>
      </x:c>
      <x:c r="C238" s="3" t="str">
        <x:v>Taladrod</x:v>
      </x:c>
      <x:c r="D238" s="3" t="str">
        <x:v>Toyota</x:v>
      </x:c>
      <x:c r="E238" s="3" t="str">
        <x:v>日本</x:v>
      </x:c>
      <x:c r="F238" s="3" t="str">
        <x:v>Corolla Altis</x:v>
      </x:c>
      <x:c r="G238" s="3" t="str">
        <x:v>ICE</x:v>
      </x:c>
      <x:c r="H238" s="3" t="str">
        <x:v>Sedan</x:v>
      </x:c>
      <x:c r="I238" s="3" t="str"/>
      <x:c r="J238" s="3" t="n">
        <x:v>2021</x:v>
      </x:c>
      <x:c r="K238" s="3" t="str">
        <x:v>ALTIS 1.6 G</x:v>
      </x:c>
      <x:c r="L238" s="3" t="str">
        <x:v>G</x:v>
      </x:c>
      <x:c r="M238" s="22"/>
      <x:c r="N238" s="22"/>
      <x:c r="O238" s="22"/>
      <x:c r="P238" s="3" t="str">
        <x:v>未掲載</x:v>
      </x:c>
      <x:c r="Q238" s="3" t="str">
        <x:v>未取得</x:v>
      </x:c>
      <x:c r="R238" s="3" t="str">
        <x:v>Unknown</x:v>
      </x:c>
      <x:c r="S238" s="3" t="str">
        <x:v>不明</x:v>
      </x:c>
      <x:c r="T238" s="3" t="str">
        <x:v>19-ปัจจุบัน</x:v>
      </x:c>
      <x:c r="U238" s="28" t="n">
        <x:v>379000</x:v>
      </x:c>
      <x:c r="V238" s="28" t="n">
        <x:v>879000</x:v>
      </x:c>
      <x:c r="W238" s="3" t="str">
        <x:v>事故・水没・SOH・保証残は未確認</x:v>
      </x:c>
      <x:c r="X238" s="3" t="str">
        <x:v>掲載中・在庫未確認</x:v>
      </x:c>
      <x:c r="Y238" s="3" t="str"/>
      <x:c r="Z238" s="27" t="str">
        <x:v>https://www.taladrod.com/w40/icar/cardet.aspx?cid=2898721</x:v>
      </x:c>
      <x:c r="AA238" s="3" t="str">
        <x:v>Taladrod個別広告ID／Carsome在庫ID</x:v>
      </x:c>
      <x:c r="AB238" s="3" t="str">
        <x:v>車台番号未取得／サイト間重複は未判定</x:v>
      </x:c>
      <x:c r="AC238" s="3" t="str">
        <x:v>税込区分未確認（一覧表示額）</x:v>
      </x:c>
      <x:c r="AD238" s="3" t="str"/>
      <x:c r="AE238" s="29" t="str">
        <x:f>""</x:f>
      </x:c>
      <x:c r="AF238" s="30" t="str">
        <x:f>IF(ISNUMBER(AE238),U238/AE238,"")</x:f>
      </x:c>
      <x:c r="AG238" s="29" t="str">
        <x:f>""</x:f>
      </x:c>
      <x:c r="AH238" s="30" t="str">
        <x:f>IF(ISNUMBER(AG238),U238/AG238,"")</x:f>
      </x:c>
      <x:c r="AI238" s="3" t="str">
        <x:v>同年式・グレードの検証済み当時価格なし／登録年混在</x:v>
      </x:c>
      <x:c r="AJ238" s="3" t="str">
        <x:v>一覧価格/年式のみ</x:v>
      </x:c>
      <x:c r="AK238" s="3" t="str">
        <x:v>一覧の表示価格。年式は掲載年式。</x:v>
      </x:c>
      <x:c r="AL238" s="31" t="n">
        <x:f>IF(AND(J238&lt;='分析方法'!$B$7,OR(ISBLANK(O238),O238&gt;='分析方法'!$B$8),X238&lt;&gt;"売却済み表示"),1,0)</x:f>
        <x:v>1</x:v>
      </x:c>
      <x:c r="AM238" s="32" t="n">
        <x:f>IF(AL238=1,U238,"")</x:f>
        <x:v>379000</x:v>
      </x:c>
      <x:c r="AN238" s="33" t="str">
        <x:f>IF(AL238=1,AF238,"")</x:f>
      </x:c>
      <x:c r="AO238" s="31" t="n">
        <x:f>'分析方法'!$B$6-J238</x:f>
        <x:v>5</x:v>
      </x:c>
      <x:c r="AP238" s="3"/>
    </x:row>
    <x:row r="239" ht="22" customHeight="1">
      <x:c r="A239" s="3" t="str">
        <x:v>T2898870</x:v>
      </x:c>
      <x:c r="B239" s="7" t="d">
        <x:v>2026-10-08T00:00:00.000Z</x:v>
      </x:c>
      <x:c r="C239" s="3" t="str">
        <x:v>Taladrod</x:v>
      </x:c>
      <x:c r="D239" s="3" t="str">
        <x:v>Toyota</x:v>
      </x:c>
      <x:c r="E239" s="3" t="str">
        <x:v>日本</x:v>
      </x:c>
      <x:c r="F239" s="3" t="str">
        <x:v>Corolla Altis</x:v>
      </x:c>
      <x:c r="G239" s="3" t="str">
        <x:v>ICE</x:v>
      </x:c>
      <x:c r="H239" s="3" t="str">
        <x:v>Sedan</x:v>
      </x:c>
      <x:c r="I239" s="3" t="str"/>
      <x:c r="J239" s="3" t="n">
        <x:v>2021</x:v>
      </x:c>
      <x:c r="K239" s="3" t="str">
        <x:v>ALTIS 1.6 G</x:v>
      </x:c>
      <x:c r="L239" s="3" t="str">
        <x:v>G</x:v>
      </x:c>
      <x:c r="M239" s="22"/>
      <x:c r="N239" s="22"/>
      <x:c r="O239" s="22"/>
      <x:c r="P239" s="3" t="str">
        <x:v>未掲載</x:v>
      </x:c>
      <x:c r="Q239" s="3" t="str">
        <x:v>未取得</x:v>
      </x:c>
      <x:c r="R239" s="3" t="str">
        <x:v>Unknown</x:v>
      </x:c>
      <x:c r="S239" s="3" t="str">
        <x:v>不明</x:v>
      </x:c>
      <x:c r="T239" s="3" t="str">
        <x:v>19-ปัจจุบัน</x:v>
      </x:c>
      <x:c r="U239" s="28" t="n">
        <x:v>458000</x:v>
      </x:c>
      <x:c r="V239" s="28" t="n">
        <x:v>879000</x:v>
      </x:c>
      <x:c r="W239" s="3" t="str">
        <x:v>事故・水没・SOH・保証残は未確認</x:v>
      </x:c>
      <x:c r="X239" s="3" t="str">
        <x:v>掲載中・在庫未確認</x:v>
      </x:c>
      <x:c r="Y239" s="3" t="str"/>
      <x:c r="Z239" s="27" t="str">
        <x:v>https://www.taladrod.com/w40/icar/cardet.aspx?cid=2898870</x:v>
      </x:c>
      <x:c r="AA239" s="3" t="str">
        <x:v>Taladrod個別広告ID／Carsome在庫ID</x:v>
      </x:c>
      <x:c r="AB239" s="3" t="str">
        <x:v>車台番号未取得／サイト間重複は未判定</x:v>
      </x:c>
      <x:c r="AC239" s="3" t="str">
        <x:v>税込区分未確認（一覧表示額）</x:v>
      </x:c>
      <x:c r="AD239" s="3" t="str"/>
      <x:c r="AE239" s="29" t="str">
        <x:f>""</x:f>
      </x:c>
      <x:c r="AF239" s="30" t="str">
        <x:f>IF(ISNUMBER(AE239),U239/AE239,"")</x:f>
      </x:c>
      <x:c r="AG239" s="29" t="str">
        <x:f>""</x:f>
      </x:c>
      <x:c r="AH239" s="30" t="str">
        <x:f>IF(ISNUMBER(AG239),U239/AG239,"")</x:f>
      </x:c>
      <x:c r="AI239" s="3" t="str">
        <x:v>同年式・グレードの検証済み当時価格なし／登録年混在</x:v>
      </x:c>
      <x:c r="AJ239" s="3" t="str">
        <x:v>一覧価格/年式のみ</x:v>
      </x:c>
      <x:c r="AK239" s="3" t="str">
        <x:v>一覧の表示価格。年式は掲載年式。</x:v>
      </x:c>
      <x:c r="AL239" s="31" t="n">
        <x:f>IF(AND(J239&lt;='分析方法'!$B$7,OR(ISBLANK(O239),O239&gt;='分析方法'!$B$8),X239&lt;&gt;"売却済み表示"),1,0)</x:f>
        <x:v>1</x:v>
      </x:c>
      <x:c r="AM239" s="32" t="n">
        <x:f>IF(AL239=1,U239,"")</x:f>
        <x:v>458000</x:v>
      </x:c>
      <x:c r="AN239" s="33" t="str">
        <x:f>IF(AL239=1,AF239,"")</x:f>
      </x:c>
      <x:c r="AO239" s="31" t="n">
        <x:f>'分析方法'!$B$6-J239</x:f>
        <x:v>5</x:v>
      </x:c>
      <x:c r="AP239" s="3"/>
    </x:row>
    <x:row r="240" ht="22" customHeight="1">
      <x:c r="A240" s="3" t="str">
        <x:v>T2900166</x:v>
      </x:c>
      <x:c r="B240" s="7" t="d">
        <x:v>2026-10-08T00:00:00.000Z</x:v>
      </x:c>
      <x:c r="C240" s="3" t="str">
        <x:v>Taladrod</x:v>
      </x:c>
      <x:c r="D240" s="3" t="str">
        <x:v>Toyota</x:v>
      </x:c>
      <x:c r="E240" s="3" t="str">
        <x:v>日本</x:v>
      </x:c>
      <x:c r="F240" s="3" t="str">
        <x:v>Corolla Altis</x:v>
      </x:c>
      <x:c r="G240" s="3" t="str">
        <x:v>ICE</x:v>
      </x:c>
      <x:c r="H240" s="3" t="str">
        <x:v>Sedan</x:v>
      </x:c>
      <x:c r="I240" s="3" t="str"/>
      <x:c r="J240" s="3" t="n">
        <x:v>2021</x:v>
      </x:c>
      <x:c r="K240" s="3" t="str">
        <x:v>ALTIS 1.6 G</x:v>
      </x:c>
      <x:c r="L240" s="3" t="str">
        <x:v>G</x:v>
      </x:c>
      <x:c r="M240" s="22"/>
      <x:c r="N240" s="22"/>
      <x:c r="O240" s="22"/>
      <x:c r="P240" s="3" t="str">
        <x:v>未掲載</x:v>
      </x:c>
      <x:c r="Q240" s="3" t="str">
        <x:v>未取得</x:v>
      </x:c>
      <x:c r="R240" s="3" t="str">
        <x:v>Unknown</x:v>
      </x:c>
      <x:c r="S240" s="3" t="str">
        <x:v>不明</x:v>
      </x:c>
      <x:c r="T240" s="3" t="str">
        <x:v>19-ปัจจุบัน</x:v>
      </x:c>
      <x:c r="U240" s="28" t="n">
        <x:v>429000</x:v>
      </x:c>
      <x:c r="V240" s="28" t="n">
        <x:v>879000</x:v>
      </x:c>
      <x:c r="W240" s="3" t="str">
        <x:v>事故・水没・SOH・保証残は未確認</x:v>
      </x:c>
      <x:c r="X240" s="3" t="str">
        <x:v>掲載中・在庫未確認</x:v>
      </x:c>
      <x:c r="Y240" s="3" t="str"/>
      <x:c r="Z240" s="27" t="str">
        <x:v>https://www.taladrod.com/w40/icar/cardet.aspx?cid=2900166</x:v>
      </x:c>
      <x:c r="AA240" s="3" t="str">
        <x:v>Taladrod個別広告ID／Carsome在庫ID</x:v>
      </x:c>
      <x:c r="AB240" s="3" t="str">
        <x:v>車台番号未取得／サイト間重複は未判定</x:v>
      </x:c>
      <x:c r="AC240" s="3" t="str">
        <x:v>税込区分未確認（一覧表示額）</x:v>
      </x:c>
      <x:c r="AD240" s="3" t="str"/>
      <x:c r="AE240" s="29" t="str">
        <x:f>""</x:f>
      </x:c>
      <x:c r="AF240" s="30" t="str">
        <x:f>IF(ISNUMBER(AE240),U240/AE240,"")</x:f>
      </x:c>
      <x:c r="AG240" s="29" t="str">
        <x:f>""</x:f>
      </x:c>
      <x:c r="AH240" s="30" t="str">
        <x:f>IF(ISNUMBER(AG240),U240/AG240,"")</x:f>
      </x:c>
      <x:c r="AI240" s="3" t="str">
        <x:v>同年式・グレードの検証済み当時価格なし／登録年混在</x:v>
      </x:c>
      <x:c r="AJ240" s="3" t="str">
        <x:v>一覧価格/年式のみ</x:v>
      </x:c>
      <x:c r="AK240" s="3" t="str">
        <x:v>一覧の表示価格。年式は掲載年式。</x:v>
      </x:c>
      <x:c r="AL240" s="31" t="n">
        <x:f>IF(AND(J240&lt;='分析方法'!$B$7,OR(ISBLANK(O240),O240&gt;='分析方法'!$B$8),X240&lt;&gt;"売却済み表示"),1,0)</x:f>
        <x:v>1</x:v>
      </x:c>
      <x:c r="AM240" s="32" t="n">
        <x:f>IF(AL240=1,U240,"")</x:f>
        <x:v>429000</x:v>
      </x:c>
      <x:c r="AN240" s="33" t="str">
        <x:f>IF(AL240=1,AF240,"")</x:f>
      </x:c>
      <x:c r="AO240" s="31" t="n">
        <x:f>'分析方法'!$B$6-J240</x:f>
        <x:v>5</x:v>
      </x:c>
      <x:c r="AP240" s="3"/>
    </x:row>
    <x:row r="241" ht="22" customHeight="1">
      <x:c r="A241" s="3" t="str">
        <x:v>T2902128</x:v>
      </x:c>
      <x:c r="B241" s="7" t="d">
        <x:v>2026-10-08T00:00:00.000Z</x:v>
      </x:c>
      <x:c r="C241" s="3" t="str">
        <x:v>Taladrod</x:v>
      </x:c>
      <x:c r="D241" s="3" t="str">
        <x:v>Toyota</x:v>
      </x:c>
      <x:c r="E241" s="3" t="str">
        <x:v>日本</x:v>
      </x:c>
      <x:c r="F241" s="3" t="str">
        <x:v>Corolla Altis</x:v>
      </x:c>
      <x:c r="G241" s="3" t="str">
        <x:v>ICE</x:v>
      </x:c>
      <x:c r="H241" s="3" t="str">
        <x:v>Sedan</x:v>
      </x:c>
      <x:c r="I241" s="3" t="str"/>
      <x:c r="J241" s="3" t="n">
        <x:v>2021</x:v>
      </x:c>
      <x:c r="K241" s="3" t="str">
        <x:v>ALTIS 1.6 G</x:v>
      </x:c>
      <x:c r="L241" s="3" t="str">
        <x:v>G</x:v>
      </x:c>
      <x:c r="M241" s="22"/>
      <x:c r="N241" s="22"/>
      <x:c r="O241" s="22"/>
      <x:c r="P241" s="3" t="str">
        <x:v>未掲載</x:v>
      </x:c>
      <x:c r="Q241" s="3" t="str">
        <x:v>未取得</x:v>
      </x:c>
      <x:c r="R241" s="3" t="str">
        <x:v>Unknown</x:v>
      </x:c>
      <x:c r="S241" s="3" t="str">
        <x:v>不明</x:v>
      </x:c>
      <x:c r="T241" s="3" t="str">
        <x:v>19-ปัจจุบัน</x:v>
      </x:c>
      <x:c r="U241" s="28" t="n">
        <x:v>499000</x:v>
      </x:c>
      <x:c r="V241" s="28" t="n">
        <x:v>879000</x:v>
      </x:c>
      <x:c r="W241" s="3" t="str">
        <x:v>事故・水没・SOH・保証残は未確認</x:v>
      </x:c>
      <x:c r="X241" s="3" t="str">
        <x:v>掲載中・在庫未確認</x:v>
      </x:c>
      <x:c r="Y241" s="3" t="str"/>
      <x:c r="Z241" s="27" t="str">
        <x:v>https://www.taladrod.com/w40/icar/cardet.aspx?cid=2902128</x:v>
      </x:c>
      <x:c r="AA241" s="3" t="str">
        <x:v>Taladrod個別広告ID／Carsome在庫ID</x:v>
      </x:c>
      <x:c r="AB241" s="3" t="str">
        <x:v>車台番号未取得／サイト間重複は未判定</x:v>
      </x:c>
      <x:c r="AC241" s="3" t="str">
        <x:v>税込区分未確認（一覧表示額）</x:v>
      </x:c>
      <x:c r="AD241" s="3" t="str"/>
      <x:c r="AE241" s="29" t="str">
        <x:f>""</x:f>
      </x:c>
      <x:c r="AF241" s="30" t="str">
        <x:f>IF(ISNUMBER(AE241),U241/AE241,"")</x:f>
      </x:c>
      <x:c r="AG241" s="29" t="str">
        <x:f>""</x:f>
      </x:c>
      <x:c r="AH241" s="30" t="str">
        <x:f>IF(ISNUMBER(AG241),U241/AG241,"")</x:f>
      </x:c>
      <x:c r="AI241" s="3" t="str">
        <x:v>同年式・グレードの検証済み当時価格なし／登録年混在</x:v>
      </x:c>
      <x:c r="AJ241" s="3" t="str">
        <x:v>一覧価格/年式のみ</x:v>
      </x:c>
      <x:c r="AK241" s="3" t="str">
        <x:v>一覧の表示価格。年式は掲載年式。</x:v>
      </x:c>
      <x:c r="AL241" s="31" t="n">
        <x:f>IF(AND(J241&lt;='分析方法'!$B$7,OR(ISBLANK(O241),O241&gt;='分析方法'!$B$8),X241&lt;&gt;"売却済み表示"),1,0)</x:f>
        <x:v>1</x:v>
      </x:c>
      <x:c r="AM241" s="32" t="n">
        <x:f>IF(AL241=1,U241,"")</x:f>
        <x:v>499000</x:v>
      </x:c>
      <x:c r="AN241" s="33" t="str">
        <x:f>IF(AL241=1,AF241,"")</x:f>
      </x:c>
      <x:c r="AO241" s="31" t="n">
        <x:f>'分析方法'!$B$6-J241</x:f>
        <x:v>5</x:v>
      </x:c>
      <x:c r="AP241" s="3"/>
    </x:row>
    <x:row r="242" ht="22" customHeight="1">
      <x:c r="A242" s="3" t="str">
        <x:v>T2910247</x:v>
      </x:c>
      <x:c r="B242" s="7" t="d">
        <x:v>2026-10-08T00:00:00.000Z</x:v>
      </x:c>
      <x:c r="C242" s="3" t="str">
        <x:v>Taladrod</x:v>
      </x:c>
      <x:c r="D242" s="3" t="str">
        <x:v>Toyota</x:v>
      </x:c>
      <x:c r="E242" s="3" t="str">
        <x:v>日本</x:v>
      </x:c>
      <x:c r="F242" s="3" t="str">
        <x:v>Corolla Altis</x:v>
      </x:c>
      <x:c r="G242" s="3" t="str">
        <x:v>ICE</x:v>
      </x:c>
      <x:c r="H242" s="3" t="str">
        <x:v>Sedan</x:v>
      </x:c>
      <x:c r="I242" s="3" t="str"/>
      <x:c r="J242" s="3" t="n">
        <x:v>2021</x:v>
      </x:c>
      <x:c r="K242" s="3" t="str">
        <x:v>ALTIS 1.6 G</x:v>
      </x:c>
      <x:c r="L242" s="3" t="str">
        <x:v>G</x:v>
      </x:c>
      <x:c r="M242" s="22"/>
      <x:c r="N242" s="22"/>
      <x:c r="O242" s="22"/>
      <x:c r="P242" s="3" t="str">
        <x:v>未掲載</x:v>
      </x:c>
      <x:c r="Q242" s="3" t="str">
        <x:v>未取得</x:v>
      </x:c>
      <x:c r="R242" s="3" t="str">
        <x:v>Unknown</x:v>
      </x:c>
      <x:c r="S242" s="3" t="str">
        <x:v>不明</x:v>
      </x:c>
      <x:c r="T242" s="3" t="str">
        <x:v>19-ปัจจุบัน</x:v>
      </x:c>
      <x:c r="U242" s="28" t="n">
        <x:v>419000</x:v>
      </x:c>
      <x:c r="V242" s="28" t="n">
        <x:v>879000</x:v>
      </x:c>
      <x:c r="W242" s="3" t="str">
        <x:v>事故・水没・SOH・保証残は未確認</x:v>
      </x:c>
      <x:c r="X242" s="3" t="str">
        <x:v>掲載中・在庫未確認</x:v>
      </x:c>
      <x:c r="Y242" s="3" t="str"/>
      <x:c r="Z242" s="27" t="str">
        <x:v>https://www.taladrod.com/w40/icar/cardet.aspx?cid=2910247</x:v>
      </x:c>
      <x:c r="AA242" s="3" t="str">
        <x:v>Taladrod個別広告ID／Carsome在庫ID</x:v>
      </x:c>
      <x:c r="AB242" s="3" t="str">
        <x:v>車台番号未取得／サイト間重複は未判定</x:v>
      </x:c>
      <x:c r="AC242" s="3" t="str">
        <x:v>税込区分未確認（一覧表示額）</x:v>
      </x:c>
      <x:c r="AD242" s="3" t="str"/>
      <x:c r="AE242" s="29" t="str">
        <x:f>""</x:f>
      </x:c>
      <x:c r="AF242" s="30" t="str">
        <x:f>IF(ISNUMBER(AE242),U242/AE242,"")</x:f>
      </x:c>
      <x:c r="AG242" s="29" t="str">
        <x:f>""</x:f>
      </x:c>
      <x:c r="AH242" s="30" t="str">
        <x:f>IF(ISNUMBER(AG242),U242/AG242,"")</x:f>
      </x:c>
      <x:c r="AI242" s="3" t="str">
        <x:v>同年式・グレードの検証済み当時価格なし／登録年混在</x:v>
      </x:c>
      <x:c r="AJ242" s="3" t="str">
        <x:v>一覧価格/年式のみ</x:v>
      </x:c>
      <x:c r="AK242" s="3" t="str">
        <x:v>一覧の表示価格。年式は掲載年式。</x:v>
      </x:c>
      <x:c r="AL242" s="31" t="n">
        <x:f>IF(AND(J242&lt;='分析方法'!$B$7,OR(ISBLANK(O242),O242&gt;='分析方法'!$B$8),X242&lt;&gt;"売却済み表示"),1,0)</x:f>
        <x:v>1</x:v>
      </x:c>
      <x:c r="AM242" s="32" t="n">
        <x:f>IF(AL242=1,U242,"")</x:f>
        <x:v>419000</x:v>
      </x:c>
      <x:c r="AN242" s="33" t="str">
        <x:f>IF(AL242=1,AF242,"")</x:f>
      </x:c>
      <x:c r="AO242" s="31" t="n">
        <x:f>'分析方法'!$B$6-J242</x:f>
        <x:v>5</x:v>
      </x:c>
      <x:c r="AP242" s="3"/>
    </x:row>
    <x:row r="243" ht="22" customHeight="1">
      <x:c r="A243" s="3" t="str">
        <x:v>T2910249</x:v>
      </x:c>
      <x:c r="B243" s="7" t="d">
        <x:v>2026-10-08T00:00:00.000Z</x:v>
      </x:c>
      <x:c r="C243" s="3" t="str">
        <x:v>Taladrod</x:v>
      </x:c>
      <x:c r="D243" s="3" t="str">
        <x:v>Toyota</x:v>
      </x:c>
      <x:c r="E243" s="3" t="str">
        <x:v>日本</x:v>
      </x:c>
      <x:c r="F243" s="3" t="str">
        <x:v>Corolla Altis</x:v>
      </x:c>
      <x:c r="G243" s="3" t="str">
        <x:v>ICE</x:v>
      </x:c>
      <x:c r="H243" s="3" t="str">
        <x:v>Sedan</x:v>
      </x:c>
      <x:c r="I243" s="3" t="str"/>
      <x:c r="J243" s="3" t="n">
        <x:v>2021</x:v>
      </x:c>
      <x:c r="K243" s="3" t="str">
        <x:v>ALTIS 1.6 G</x:v>
      </x:c>
      <x:c r="L243" s="3" t="str">
        <x:v>G</x:v>
      </x:c>
      <x:c r="M243" s="22"/>
      <x:c r="N243" s="22"/>
      <x:c r="O243" s="22"/>
      <x:c r="P243" s="3" t="str">
        <x:v>未掲載</x:v>
      </x:c>
      <x:c r="Q243" s="3" t="str">
        <x:v>未取得</x:v>
      </x:c>
      <x:c r="R243" s="3" t="str">
        <x:v>Unknown</x:v>
      </x:c>
      <x:c r="S243" s="3" t="str">
        <x:v>不明</x:v>
      </x:c>
      <x:c r="T243" s="3" t="str">
        <x:v>19-ปัจจุบัน</x:v>
      </x:c>
      <x:c r="U243" s="28" t="n">
        <x:v>459000</x:v>
      </x:c>
      <x:c r="V243" s="28" t="n">
        <x:v>879000</x:v>
      </x:c>
      <x:c r="W243" s="3" t="str">
        <x:v>事故・水没・SOH・保証残は未確認</x:v>
      </x:c>
      <x:c r="X243" s="3" t="str">
        <x:v>掲載中・在庫未確認</x:v>
      </x:c>
      <x:c r="Y243" s="3" t="str"/>
      <x:c r="Z243" s="27" t="str">
        <x:v>https://www.taladrod.com/w40/icar/cardet.aspx?cid=2910249</x:v>
      </x:c>
      <x:c r="AA243" s="3" t="str">
        <x:v>Taladrod個別広告ID／Carsome在庫ID</x:v>
      </x:c>
      <x:c r="AB243" s="3" t="str">
        <x:v>車台番号未取得／サイト間重複は未判定</x:v>
      </x:c>
      <x:c r="AC243" s="3" t="str">
        <x:v>税込区分未確認（一覧表示額）</x:v>
      </x:c>
      <x:c r="AD243" s="3" t="str"/>
      <x:c r="AE243" s="29" t="str">
        <x:f>""</x:f>
      </x:c>
      <x:c r="AF243" s="30" t="str">
        <x:f>IF(ISNUMBER(AE243),U243/AE243,"")</x:f>
      </x:c>
      <x:c r="AG243" s="29" t="str">
        <x:f>""</x:f>
      </x:c>
      <x:c r="AH243" s="30" t="str">
        <x:f>IF(ISNUMBER(AG243),U243/AG243,"")</x:f>
      </x:c>
      <x:c r="AI243" s="3" t="str">
        <x:v>同年式・グレードの検証済み当時価格なし／登録年混在</x:v>
      </x:c>
      <x:c r="AJ243" s="3" t="str">
        <x:v>一覧価格/年式のみ</x:v>
      </x:c>
      <x:c r="AK243" s="3" t="str">
        <x:v>一覧の表示価格。年式は掲載年式。</x:v>
      </x:c>
      <x:c r="AL243" s="31" t="n">
        <x:f>IF(AND(J243&lt;='分析方法'!$B$7,OR(ISBLANK(O243),O243&gt;='分析方法'!$B$8),X243&lt;&gt;"売却済み表示"),1,0)</x:f>
        <x:v>1</x:v>
      </x:c>
      <x:c r="AM243" s="32" t="n">
        <x:f>IF(AL243=1,U243,"")</x:f>
        <x:v>459000</x:v>
      </x:c>
      <x:c r="AN243" s="33" t="str">
        <x:f>IF(AL243=1,AF243,"")</x:f>
      </x:c>
      <x:c r="AO243" s="31" t="n">
        <x:f>'分析方法'!$B$6-J243</x:f>
        <x:v>5</x:v>
      </x:c>
      <x:c r="AP243" s="3"/>
    </x:row>
    <x:row r="244" ht="22" customHeight="1">
      <x:c r="A244" s="3" t="str">
        <x:v>T2911243</x:v>
      </x:c>
      <x:c r="B244" s="7" t="d">
        <x:v>2026-10-08T00:00:00.000Z</x:v>
      </x:c>
      <x:c r="C244" s="3" t="str">
        <x:v>Taladrod</x:v>
      </x:c>
      <x:c r="D244" s="3" t="str">
        <x:v>Toyota</x:v>
      </x:c>
      <x:c r="E244" s="3" t="str">
        <x:v>日本</x:v>
      </x:c>
      <x:c r="F244" s="3" t="str">
        <x:v>Corolla Altis</x:v>
      </x:c>
      <x:c r="G244" s="3" t="str">
        <x:v>ICE</x:v>
      </x:c>
      <x:c r="H244" s="3" t="str">
        <x:v>Sedan</x:v>
      </x:c>
      <x:c r="I244" s="3" t="str"/>
      <x:c r="J244" s="3" t="n">
        <x:v>2021</x:v>
      </x:c>
      <x:c r="K244" s="3" t="str">
        <x:v>ALTIS 1.6 G</x:v>
      </x:c>
      <x:c r="L244" s="3" t="str">
        <x:v>G</x:v>
      </x:c>
      <x:c r="M244" s="22"/>
      <x:c r="N244" s="22"/>
      <x:c r="O244" s="22"/>
      <x:c r="P244" s="3" t="str">
        <x:v>未掲載</x:v>
      </x:c>
      <x:c r="Q244" s="3" t="str">
        <x:v>未取得</x:v>
      </x:c>
      <x:c r="R244" s="3" t="str">
        <x:v>Unknown</x:v>
      </x:c>
      <x:c r="S244" s="3" t="str">
        <x:v>不明</x:v>
      </x:c>
      <x:c r="T244" s="3" t="str">
        <x:v>19-ปัจจุบัน</x:v>
      </x:c>
      <x:c r="U244" s="28" t="n">
        <x:v>425000</x:v>
      </x:c>
      <x:c r="V244" s="28" t="n">
        <x:v>879000</x:v>
      </x:c>
      <x:c r="W244" s="3" t="str">
        <x:v>事故・水没・SOH・保証残は未確認</x:v>
      </x:c>
      <x:c r="X244" s="3" t="str">
        <x:v>掲載中・在庫未確認</x:v>
      </x:c>
      <x:c r="Y244" s="3" t="str"/>
      <x:c r="Z244" s="27" t="str">
        <x:v>https://www.taladrod.com/w40/icar/cardet.aspx?cid=2911243</x:v>
      </x:c>
      <x:c r="AA244" s="3" t="str">
        <x:v>Taladrod個別広告ID／Carsome在庫ID</x:v>
      </x:c>
      <x:c r="AB244" s="3" t="str">
        <x:v>車台番号未取得／サイト間重複は未判定</x:v>
      </x:c>
      <x:c r="AC244" s="3" t="str">
        <x:v>税込区分未確認（一覧表示額）</x:v>
      </x:c>
      <x:c r="AD244" s="3" t="str"/>
      <x:c r="AE244" s="29" t="str">
        <x:f>""</x:f>
      </x:c>
      <x:c r="AF244" s="30" t="str">
        <x:f>IF(ISNUMBER(AE244),U244/AE244,"")</x:f>
      </x:c>
      <x:c r="AG244" s="29" t="str">
        <x:f>""</x:f>
      </x:c>
      <x:c r="AH244" s="30" t="str">
        <x:f>IF(ISNUMBER(AG244),U244/AG244,"")</x:f>
      </x:c>
      <x:c r="AI244" s="3" t="str">
        <x:v>同年式・グレードの検証済み当時価格なし／登録年混在</x:v>
      </x:c>
      <x:c r="AJ244" s="3" t="str">
        <x:v>一覧価格/年式のみ</x:v>
      </x:c>
      <x:c r="AK244" s="3" t="str">
        <x:v>一覧の表示価格。年式は掲載年式。</x:v>
      </x:c>
      <x:c r="AL244" s="31" t="n">
        <x:f>IF(AND(J244&lt;='分析方法'!$B$7,OR(ISBLANK(O244),O244&gt;='分析方法'!$B$8),X244&lt;&gt;"売却済み表示"),1,0)</x:f>
        <x:v>1</x:v>
      </x:c>
      <x:c r="AM244" s="32" t="n">
        <x:f>IF(AL244=1,U244,"")</x:f>
        <x:v>425000</x:v>
      </x:c>
      <x:c r="AN244" s="33" t="str">
        <x:f>IF(AL244=1,AF244,"")</x:f>
      </x:c>
      <x:c r="AO244" s="31" t="n">
        <x:f>'分析方法'!$B$6-J244</x:f>
        <x:v>5</x:v>
      </x:c>
      <x:c r="AP244" s="3"/>
    </x:row>
    <x:row r="245" ht="22" customHeight="1">
      <x:c r="A245" s="3" t="str">
        <x:v>T2913436</x:v>
      </x:c>
      <x:c r="B245" s="7" t="d">
        <x:v>2026-10-08T00:00:00.000Z</x:v>
      </x:c>
      <x:c r="C245" s="3" t="str">
        <x:v>Taladrod</x:v>
      </x:c>
      <x:c r="D245" s="3" t="str">
        <x:v>Toyota</x:v>
      </x:c>
      <x:c r="E245" s="3" t="str">
        <x:v>日本</x:v>
      </x:c>
      <x:c r="F245" s="3" t="str">
        <x:v>Corolla Altis</x:v>
      </x:c>
      <x:c r="G245" s="3" t="str">
        <x:v>ICE</x:v>
      </x:c>
      <x:c r="H245" s="3" t="str">
        <x:v>Sedan</x:v>
      </x:c>
      <x:c r="I245" s="3" t="str"/>
      <x:c r="J245" s="3" t="n">
        <x:v>2021</x:v>
      </x:c>
      <x:c r="K245" s="3" t="str">
        <x:v>ALTIS 1.6 G</x:v>
      </x:c>
      <x:c r="L245" s="3" t="str">
        <x:v>G</x:v>
      </x:c>
      <x:c r="M245" s="22"/>
      <x:c r="N245" s="22"/>
      <x:c r="O245" s="22"/>
      <x:c r="P245" s="3" t="str">
        <x:v>未掲載</x:v>
      </x:c>
      <x:c r="Q245" s="3" t="str">
        <x:v>未取得</x:v>
      </x:c>
      <x:c r="R245" s="3" t="str">
        <x:v>Unknown</x:v>
      </x:c>
      <x:c r="S245" s="3" t="str">
        <x:v>不明</x:v>
      </x:c>
      <x:c r="T245" s="3" t="str">
        <x:v>19-ปัจจุบัน</x:v>
      </x:c>
      <x:c r="U245" s="28" t="n">
        <x:v>425000</x:v>
      </x:c>
      <x:c r="V245" s="28" t="n">
        <x:v>879000</x:v>
      </x:c>
      <x:c r="W245" s="3" t="str">
        <x:v>事故・水没・SOH・保証残は未確認</x:v>
      </x:c>
      <x:c r="X245" s="3" t="str">
        <x:v>掲載中・在庫未確認</x:v>
      </x:c>
      <x:c r="Y245" s="3" t="str"/>
      <x:c r="Z245" s="27" t="str">
        <x:v>https://www.taladrod.com/w40/icar/cardet.aspx?cid=2913436</x:v>
      </x:c>
      <x:c r="AA245" s="3" t="str">
        <x:v>Taladrod個別広告ID／Carsome在庫ID</x:v>
      </x:c>
      <x:c r="AB245" s="3" t="str">
        <x:v>車台番号未取得／サイト間重複は未判定</x:v>
      </x:c>
      <x:c r="AC245" s="3" t="str">
        <x:v>税込区分未確認（一覧表示額）</x:v>
      </x:c>
      <x:c r="AD245" s="3" t="str"/>
      <x:c r="AE245" s="29" t="str">
        <x:f>""</x:f>
      </x:c>
      <x:c r="AF245" s="30" t="str">
        <x:f>IF(ISNUMBER(AE245),U245/AE245,"")</x:f>
      </x:c>
      <x:c r="AG245" s="29" t="str">
        <x:f>""</x:f>
      </x:c>
      <x:c r="AH245" s="30" t="str">
        <x:f>IF(ISNUMBER(AG245),U245/AG245,"")</x:f>
      </x:c>
      <x:c r="AI245" s="3" t="str">
        <x:v>同年式・グレードの検証済み当時価格なし／登録年混在</x:v>
      </x:c>
      <x:c r="AJ245" s="3" t="str">
        <x:v>一覧価格/年式のみ</x:v>
      </x:c>
      <x:c r="AK245" s="3" t="str">
        <x:v>一覧の表示価格。年式は掲載年式。</x:v>
      </x:c>
      <x:c r="AL245" s="31" t="n">
        <x:f>IF(AND(J245&lt;='分析方法'!$B$7,OR(ISBLANK(O245),O245&gt;='分析方法'!$B$8),X245&lt;&gt;"売却済み表示"),1,0)</x:f>
        <x:v>1</x:v>
      </x:c>
      <x:c r="AM245" s="32" t="n">
        <x:f>IF(AL245=1,U245,"")</x:f>
        <x:v>425000</x:v>
      </x:c>
      <x:c r="AN245" s="33" t="str">
        <x:f>IF(AL245=1,AF245,"")</x:f>
      </x:c>
      <x:c r="AO245" s="31" t="n">
        <x:f>'分析方法'!$B$6-J245</x:f>
        <x:v>5</x:v>
      </x:c>
      <x:c r="AP245" s="3"/>
    </x:row>
    <x:row r="246" ht="22" customHeight="1">
      <x:c r="A246" s="3" t="str">
        <x:v>T2915315</x:v>
      </x:c>
      <x:c r="B246" s="7" t="d">
        <x:v>2026-10-08T00:00:00.000Z</x:v>
      </x:c>
      <x:c r="C246" s="3" t="str">
        <x:v>Taladrod</x:v>
      </x:c>
      <x:c r="D246" s="3" t="str">
        <x:v>Toyota</x:v>
      </x:c>
      <x:c r="E246" s="3" t="str">
        <x:v>日本</x:v>
      </x:c>
      <x:c r="F246" s="3" t="str">
        <x:v>Corolla Altis</x:v>
      </x:c>
      <x:c r="G246" s="3" t="str">
        <x:v>ICE</x:v>
      </x:c>
      <x:c r="H246" s="3" t="str">
        <x:v>Sedan</x:v>
      </x:c>
      <x:c r="I246" s="3" t="str"/>
      <x:c r="J246" s="3" t="n">
        <x:v>2021</x:v>
      </x:c>
      <x:c r="K246" s="3" t="str">
        <x:v>ALTIS 1.6 G</x:v>
      </x:c>
      <x:c r="L246" s="3" t="str">
        <x:v>G</x:v>
      </x:c>
      <x:c r="M246" s="22"/>
      <x:c r="N246" s="22"/>
      <x:c r="O246" s="22"/>
      <x:c r="P246" s="3" t="str">
        <x:v>未掲載</x:v>
      </x:c>
      <x:c r="Q246" s="3" t="str">
        <x:v>未取得</x:v>
      </x:c>
      <x:c r="R246" s="3" t="str">
        <x:v>Unknown</x:v>
      </x:c>
      <x:c r="S246" s="3" t="str">
        <x:v>不明</x:v>
      </x:c>
      <x:c r="T246" s="3" t="str">
        <x:v>19-ปัจจุบัน</x:v>
      </x:c>
      <x:c r="U246" s="28" t="n">
        <x:v>419000</x:v>
      </x:c>
      <x:c r="V246" s="28" t="n">
        <x:v>879000</x:v>
      </x:c>
      <x:c r="W246" s="3" t="str">
        <x:v>事故・水没・SOH・保証残は未確認</x:v>
      </x:c>
      <x:c r="X246" s="3" t="str">
        <x:v>掲載中・在庫未確認</x:v>
      </x:c>
      <x:c r="Y246" s="3" t="str"/>
      <x:c r="Z246" s="27" t="str">
        <x:v>https://www.taladrod.com/w40/icar/cardet.aspx?cid=2915315</x:v>
      </x:c>
      <x:c r="AA246" s="3" t="str">
        <x:v>Taladrod個別広告ID／Carsome在庫ID</x:v>
      </x:c>
      <x:c r="AB246" s="3" t="str">
        <x:v>車台番号未取得／サイト間重複は未判定</x:v>
      </x:c>
      <x:c r="AC246" s="3" t="str">
        <x:v>税込区分未確認（一覧表示額）</x:v>
      </x:c>
      <x:c r="AD246" s="3" t="str"/>
      <x:c r="AE246" s="29" t="str">
        <x:f>""</x:f>
      </x:c>
      <x:c r="AF246" s="30" t="str">
        <x:f>IF(ISNUMBER(AE246),U246/AE246,"")</x:f>
      </x:c>
      <x:c r="AG246" s="29" t="str">
        <x:f>""</x:f>
      </x:c>
      <x:c r="AH246" s="30" t="str">
        <x:f>IF(ISNUMBER(AG246),U246/AG246,"")</x:f>
      </x:c>
      <x:c r="AI246" s="3" t="str">
        <x:v>同年式・グレードの検証済み当時価格なし／登録年混在</x:v>
      </x:c>
      <x:c r="AJ246" s="3" t="str">
        <x:v>一覧価格/年式のみ</x:v>
      </x:c>
      <x:c r="AK246" s="3" t="str">
        <x:v>一覧の表示価格。年式は掲載年式。</x:v>
      </x:c>
      <x:c r="AL246" s="31" t="n">
        <x:f>IF(AND(J246&lt;='分析方法'!$B$7,OR(ISBLANK(O246),O246&gt;='分析方法'!$B$8),X246&lt;&gt;"売却済み表示"),1,0)</x:f>
        <x:v>1</x:v>
      </x:c>
      <x:c r="AM246" s="32" t="n">
        <x:f>IF(AL246=1,U246,"")</x:f>
        <x:v>419000</x:v>
      </x:c>
      <x:c r="AN246" s="33" t="str">
        <x:f>IF(AL246=1,AF246,"")</x:f>
      </x:c>
      <x:c r="AO246" s="31" t="n">
        <x:f>'分析方法'!$B$6-J246</x:f>
        <x:v>5</x:v>
      </x:c>
      <x:c r="AP246" s="3"/>
    </x:row>
    <x:row r="247" ht="22" customHeight="1">
      <x:c r="A247" s="3" t="str">
        <x:v>T2917342</x:v>
      </x:c>
      <x:c r="B247" s="7" t="d">
        <x:v>2026-10-08T00:00:00.000Z</x:v>
      </x:c>
      <x:c r="C247" s="3" t="str">
        <x:v>Taladrod</x:v>
      </x:c>
      <x:c r="D247" s="3" t="str">
        <x:v>Toyota</x:v>
      </x:c>
      <x:c r="E247" s="3" t="str">
        <x:v>日本</x:v>
      </x:c>
      <x:c r="F247" s="3" t="str">
        <x:v>Corolla Altis</x:v>
      </x:c>
      <x:c r="G247" s="3" t="str">
        <x:v>ICE</x:v>
      </x:c>
      <x:c r="H247" s="3" t="str">
        <x:v>Sedan</x:v>
      </x:c>
      <x:c r="I247" s="3" t="str"/>
      <x:c r="J247" s="3" t="n">
        <x:v>2021</x:v>
      </x:c>
      <x:c r="K247" s="3" t="str">
        <x:v>ALTIS 1.6 G</x:v>
      </x:c>
      <x:c r="L247" s="3" t="str">
        <x:v>G</x:v>
      </x:c>
      <x:c r="M247" s="22"/>
      <x:c r="N247" s="22"/>
      <x:c r="O247" s="22"/>
      <x:c r="P247" s="3" t="str">
        <x:v>未掲載</x:v>
      </x:c>
      <x:c r="Q247" s="3" t="str">
        <x:v>未取得</x:v>
      </x:c>
      <x:c r="R247" s="3" t="str">
        <x:v>Unknown</x:v>
      </x:c>
      <x:c r="S247" s="3" t="str">
        <x:v>不明</x:v>
      </x:c>
      <x:c r="T247" s="3" t="str">
        <x:v>19-ปัจจุบัน</x:v>
      </x:c>
      <x:c r="U247" s="28" t="n">
        <x:v>399000</x:v>
      </x:c>
      <x:c r="V247" s="28" t="n">
        <x:v>879000</x:v>
      </x:c>
      <x:c r="W247" s="3" t="str">
        <x:v>事故・水没・SOH・保証残は未確認</x:v>
      </x:c>
      <x:c r="X247" s="3" t="str">
        <x:v>掲載中・在庫未確認</x:v>
      </x:c>
      <x:c r="Y247" s="3" t="str"/>
      <x:c r="Z247" s="27" t="str">
        <x:v>https://www.taladrod.com/w40/icar/cardet.aspx?cid=2917342</x:v>
      </x:c>
      <x:c r="AA247" s="3" t="str">
        <x:v>Taladrod個別広告ID／Carsome在庫ID</x:v>
      </x:c>
      <x:c r="AB247" s="3" t="str">
        <x:v>車台番号未取得／サイト間重複は未判定</x:v>
      </x:c>
      <x:c r="AC247" s="3" t="str">
        <x:v>税込区分未確認（一覧表示額）</x:v>
      </x:c>
      <x:c r="AD247" s="3" t="str"/>
      <x:c r="AE247" s="29" t="str">
        <x:f>""</x:f>
      </x:c>
      <x:c r="AF247" s="30" t="str">
        <x:f>IF(ISNUMBER(AE247),U247/AE247,"")</x:f>
      </x:c>
      <x:c r="AG247" s="29" t="str">
        <x:f>""</x:f>
      </x:c>
      <x:c r="AH247" s="30" t="str">
        <x:f>IF(ISNUMBER(AG247),U247/AG247,"")</x:f>
      </x:c>
      <x:c r="AI247" s="3" t="str">
        <x:v>同年式・グレードの検証済み当時価格なし／登録年混在</x:v>
      </x:c>
      <x:c r="AJ247" s="3" t="str">
        <x:v>一覧価格/年式のみ</x:v>
      </x:c>
      <x:c r="AK247" s="3" t="str">
        <x:v>一覧の表示価格。年式は掲載年式。</x:v>
      </x:c>
      <x:c r="AL247" s="31" t="n">
        <x:f>IF(AND(J247&lt;='分析方法'!$B$7,OR(ISBLANK(O247),O247&gt;='分析方法'!$B$8),X247&lt;&gt;"売却済み表示"),1,0)</x:f>
        <x:v>1</x:v>
      </x:c>
      <x:c r="AM247" s="32" t="n">
        <x:f>IF(AL247=1,U247,"")</x:f>
        <x:v>399000</x:v>
      </x:c>
      <x:c r="AN247" s="33" t="str">
        <x:f>IF(AL247=1,AF247,"")</x:f>
      </x:c>
      <x:c r="AO247" s="31" t="n">
        <x:f>'分析方法'!$B$6-J247</x:f>
        <x:v>5</x:v>
      </x:c>
      <x:c r="AP247" s="3"/>
    </x:row>
    <x:row r="248" ht="22" customHeight="1">
      <x:c r="A248" s="3" t="str">
        <x:v>T2919789</x:v>
      </x:c>
      <x:c r="B248" s="7" t="d">
        <x:v>2026-10-08T00:00:00.000Z</x:v>
      </x:c>
      <x:c r="C248" s="3" t="str">
        <x:v>Taladrod</x:v>
      </x:c>
      <x:c r="D248" s="3" t="str">
        <x:v>Toyota</x:v>
      </x:c>
      <x:c r="E248" s="3" t="str">
        <x:v>日本</x:v>
      </x:c>
      <x:c r="F248" s="3" t="str">
        <x:v>Corolla Altis</x:v>
      </x:c>
      <x:c r="G248" s="3" t="str">
        <x:v>ICE</x:v>
      </x:c>
      <x:c r="H248" s="3" t="str">
        <x:v>Sedan</x:v>
      </x:c>
      <x:c r="I248" s="3" t="str"/>
      <x:c r="J248" s="3" t="n">
        <x:v>2021</x:v>
      </x:c>
      <x:c r="K248" s="3" t="str">
        <x:v>ALTIS 1.6 G</x:v>
      </x:c>
      <x:c r="L248" s="3" t="str">
        <x:v>G</x:v>
      </x:c>
      <x:c r="M248" s="22"/>
      <x:c r="N248" s="22"/>
      <x:c r="O248" s="22"/>
      <x:c r="P248" s="3" t="str">
        <x:v>未掲載</x:v>
      </x:c>
      <x:c r="Q248" s="3" t="str">
        <x:v>未取得</x:v>
      </x:c>
      <x:c r="R248" s="3" t="str">
        <x:v>Unknown</x:v>
      </x:c>
      <x:c r="S248" s="3" t="str">
        <x:v>不明</x:v>
      </x:c>
      <x:c r="T248" s="3" t="str">
        <x:v>19-ปัจจุบัน</x:v>
      </x:c>
      <x:c r="U248" s="28" t="n">
        <x:v>519000</x:v>
      </x:c>
      <x:c r="V248" s="28" t="n">
        <x:v>879000</x:v>
      </x:c>
      <x:c r="W248" s="3" t="str">
        <x:v>事故・水没・SOH・保証残は未確認</x:v>
      </x:c>
      <x:c r="X248" s="3" t="str">
        <x:v>掲載中・在庫未確認</x:v>
      </x:c>
      <x:c r="Y248" s="3" t="str"/>
      <x:c r="Z248" s="27" t="str">
        <x:v>https://www.taladrod.com/w40/icar/cardet.aspx?cid=2919789</x:v>
      </x:c>
      <x:c r="AA248" s="3" t="str">
        <x:v>Taladrod個別広告ID／Carsome在庫ID</x:v>
      </x:c>
      <x:c r="AB248" s="3" t="str">
        <x:v>車台番号未取得／サイト間重複は未判定</x:v>
      </x:c>
      <x:c r="AC248" s="3" t="str">
        <x:v>税込区分未確認（一覧表示額）</x:v>
      </x:c>
      <x:c r="AD248" s="3" t="str"/>
      <x:c r="AE248" s="29" t="str">
        <x:f>""</x:f>
      </x:c>
      <x:c r="AF248" s="30" t="str">
        <x:f>IF(ISNUMBER(AE248),U248/AE248,"")</x:f>
      </x:c>
      <x:c r="AG248" s="29" t="str">
        <x:f>""</x:f>
      </x:c>
      <x:c r="AH248" s="30" t="str">
        <x:f>IF(ISNUMBER(AG248),U248/AG248,"")</x:f>
      </x:c>
      <x:c r="AI248" s="3" t="str">
        <x:v>同年式・グレードの検証済み当時価格なし／登録年混在</x:v>
      </x:c>
      <x:c r="AJ248" s="3" t="str">
        <x:v>一覧価格/年式のみ</x:v>
      </x:c>
      <x:c r="AK248" s="3" t="str">
        <x:v>一覧の表示価格。年式は掲載年式。</x:v>
      </x:c>
      <x:c r="AL248" s="31" t="n">
        <x:f>IF(AND(J248&lt;='分析方法'!$B$7,OR(ISBLANK(O248),O248&gt;='分析方法'!$B$8),X248&lt;&gt;"売却済み表示"),1,0)</x:f>
        <x:v>1</x:v>
      </x:c>
      <x:c r="AM248" s="32" t="n">
        <x:f>IF(AL248=1,U248,"")</x:f>
        <x:v>519000</x:v>
      </x:c>
      <x:c r="AN248" s="33" t="str">
        <x:f>IF(AL248=1,AF248,"")</x:f>
      </x:c>
      <x:c r="AO248" s="31" t="n">
        <x:f>'分析方法'!$B$6-J248</x:f>
        <x:v>5</x:v>
      </x:c>
      <x:c r="AP248" s="3"/>
    </x:row>
    <x:row r="249" ht="22" customHeight="1">
      <x:c r="A249" s="3" t="str">
        <x:v>T2923858</x:v>
      </x:c>
      <x:c r="B249" s="7" t="d">
        <x:v>2026-10-08T00:00:00.000Z</x:v>
      </x:c>
      <x:c r="C249" s="3" t="str">
        <x:v>Taladrod</x:v>
      </x:c>
      <x:c r="D249" s="3" t="str">
        <x:v>Toyota</x:v>
      </x:c>
      <x:c r="E249" s="3" t="str">
        <x:v>日本</x:v>
      </x:c>
      <x:c r="F249" s="3" t="str">
        <x:v>Corolla Altis</x:v>
      </x:c>
      <x:c r="G249" s="3" t="str">
        <x:v>ICE</x:v>
      </x:c>
      <x:c r="H249" s="3" t="str">
        <x:v>Sedan</x:v>
      </x:c>
      <x:c r="I249" s="3" t="str"/>
      <x:c r="J249" s="3" t="n">
        <x:v>2021</x:v>
      </x:c>
      <x:c r="K249" s="3" t="str">
        <x:v>ALTIS 1.6 G</x:v>
      </x:c>
      <x:c r="L249" s="3" t="str">
        <x:v>G</x:v>
      </x:c>
      <x:c r="M249" s="22"/>
      <x:c r="N249" s="22"/>
      <x:c r="O249" s="22"/>
      <x:c r="P249" s="3" t="str">
        <x:v>未掲載</x:v>
      </x:c>
      <x:c r="Q249" s="3" t="str">
        <x:v>未取得</x:v>
      </x:c>
      <x:c r="R249" s="3" t="str">
        <x:v>Unknown</x:v>
      </x:c>
      <x:c r="S249" s="3" t="str">
        <x:v>不明</x:v>
      </x:c>
      <x:c r="T249" s="3" t="str">
        <x:v>19-ปัจจุบัน</x:v>
      </x:c>
      <x:c r="U249" s="28" t="n">
        <x:v>439000</x:v>
      </x:c>
      <x:c r="V249" s="28" t="n">
        <x:v>879000</x:v>
      </x:c>
      <x:c r="W249" s="3" t="str">
        <x:v>事故・水没・SOH・保証残は未確認</x:v>
      </x:c>
      <x:c r="X249" s="3" t="str">
        <x:v>掲載中・在庫未確認</x:v>
      </x:c>
      <x:c r="Y249" s="3" t="str"/>
      <x:c r="Z249" s="27" t="str">
        <x:v>https://www.taladrod.com/w40/icar/cardet.aspx?cid=2923858</x:v>
      </x:c>
      <x:c r="AA249" s="3" t="str">
        <x:v>Taladrod個別広告ID／Carsome在庫ID</x:v>
      </x:c>
      <x:c r="AB249" s="3" t="str">
        <x:v>車台番号未取得／サイト間重複は未判定</x:v>
      </x:c>
      <x:c r="AC249" s="3" t="str">
        <x:v>税込区分未確認（一覧表示額）</x:v>
      </x:c>
      <x:c r="AD249" s="3" t="str"/>
      <x:c r="AE249" s="29" t="str">
        <x:f>""</x:f>
      </x:c>
      <x:c r="AF249" s="30" t="str">
        <x:f>IF(ISNUMBER(AE249),U249/AE249,"")</x:f>
      </x:c>
      <x:c r="AG249" s="29" t="str">
        <x:f>""</x:f>
      </x:c>
      <x:c r="AH249" s="30" t="str">
        <x:f>IF(ISNUMBER(AG249),U249/AG249,"")</x:f>
      </x:c>
      <x:c r="AI249" s="3" t="str">
        <x:v>同年式・グレードの検証済み当時価格なし／登録年混在</x:v>
      </x:c>
      <x:c r="AJ249" s="3" t="str">
        <x:v>一覧価格/年式のみ</x:v>
      </x:c>
      <x:c r="AK249" s="3" t="str">
        <x:v>一覧の表示価格。年式は掲載年式。</x:v>
      </x:c>
      <x:c r="AL249" s="31" t="n">
        <x:f>IF(AND(J249&lt;='分析方法'!$B$7,OR(ISBLANK(O249),O249&gt;='分析方法'!$B$8),X249&lt;&gt;"売却済み表示"),1,0)</x:f>
        <x:v>1</x:v>
      </x:c>
      <x:c r="AM249" s="32" t="n">
        <x:f>IF(AL249=1,U249,"")</x:f>
        <x:v>439000</x:v>
      </x:c>
      <x:c r="AN249" s="33" t="str">
        <x:f>IF(AL249=1,AF249,"")</x:f>
      </x:c>
      <x:c r="AO249" s="31" t="n">
        <x:f>'分析方法'!$B$6-J249</x:f>
        <x:v>5</x:v>
      </x:c>
      <x:c r="AP249" s="3"/>
    </x:row>
    <x:row r="250" ht="22" customHeight="1">
      <x:c r="A250" s="3" t="str">
        <x:v>T2905939</x:v>
      </x:c>
      <x:c r="B250" s="7" t="d">
        <x:v>2026-10-08T00:00:00.000Z</x:v>
      </x:c>
      <x:c r="C250" s="3" t="str">
        <x:v>Taladrod</x:v>
      </x:c>
      <x:c r="D250" s="3" t="str">
        <x:v>Toyota</x:v>
      </x:c>
      <x:c r="E250" s="3" t="str">
        <x:v>日本</x:v>
      </x:c>
      <x:c r="F250" s="3" t="str">
        <x:v>Corolla Altis</x:v>
      </x:c>
      <x:c r="G250" s="3" t="str">
        <x:v>ICE</x:v>
      </x:c>
      <x:c r="H250" s="3" t="str">
        <x:v>Sedan</x:v>
      </x:c>
      <x:c r="I250" s="3" t="str"/>
      <x:c r="J250" s="3" t="n">
        <x:v>2021</x:v>
      </x:c>
      <x:c r="K250" s="3" t="str">
        <x:v>ALTIS 1.8 GR SPORT</x:v>
      </x:c>
      <x:c r="L250" s="3" t="str">
        <x:v>GR SPORT</x:v>
      </x:c>
      <x:c r="M250" s="22"/>
      <x:c r="N250" s="22"/>
      <x:c r="O250" s="22"/>
      <x:c r="P250" s="3" t="str">
        <x:v>未掲載</x:v>
      </x:c>
      <x:c r="Q250" s="3" t="str">
        <x:v>未取得</x:v>
      </x:c>
      <x:c r="R250" s="3" t="str">
        <x:v>Unknown</x:v>
      </x:c>
      <x:c r="S250" s="3" t="str">
        <x:v>不明</x:v>
      </x:c>
      <x:c r="T250" s="3" t="str">
        <x:v>19-ปัจจุบัน</x:v>
      </x:c>
      <x:c r="U250" s="28" t="n">
        <x:v>519000</x:v>
      </x:c>
      <x:c r="V250" s="28" t="n">
        <x:v>999000</x:v>
      </x:c>
      <x:c r="W250" s="3" t="str">
        <x:v>事故・水没・SOH・保証残は未確認</x:v>
      </x:c>
      <x:c r="X250" s="3" t="str">
        <x:v>掲載中・在庫未確認</x:v>
      </x:c>
      <x:c r="Y250" s="3" t="str"/>
      <x:c r="Z250" s="27" t="str">
        <x:v>https://www.taladrod.com/w40/icar/cardet.aspx?cid=2905939</x:v>
      </x:c>
      <x:c r="AA250" s="3" t="str">
        <x:v>Taladrod個別広告ID／Carsome在庫ID</x:v>
      </x:c>
      <x:c r="AB250" s="3" t="str">
        <x:v>車台番号未取得／サイト間重複は未判定</x:v>
      </x:c>
      <x:c r="AC250" s="3" t="str">
        <x:v>税込区分未確認（一覧表示額）</x:v>
      </x:c>
      <x:c r="AD250" s="3" t="str"/>
      <x:c r="AE250" s="29" t="str">
        <x:f>""</x:f>
      </x:c>
      <x:c r="AF250" s="30" t="str">
        <x:f>IF(ISNUMBER(AE250),U250/AE250,"")</x:f>
      </x:c>
      <x:c r="AG250" s="29" t="str">
        <x:f>""</x:f>
      </x:c>
      <x:c r="AH250" s="30" t="str">
        <x:f>IF(ISNUMBER(AG250),U250/AG250,"")</x:f>
      </x:c>
      <x:c r="AI250" s="3" t="str">
        <x:v>同年式・グレードの検証済み当時価格なし／登録年混在</x:v>
      </x:c>
      <x:c r="AJ250" s="3" t="str">
        <x:v>一覧価格/年式のみ</x:v>
      </x:c>
      <x:c r="AK250" s="3" t="str">
        <x:v>一覧の表示価格。年式は掲載年式。</x:v>
      </x:c>
      <x:c r="AL250" s="31" t="n">
        <x:f>IF(AND(J250&lt;='分析方法'!$B$7,OR(ISBLANK(O250),O250&gt;='分析方法'!$B$8),X250&lt;&gt;"売却済み表示"),1,0)</x:f>
        <x:v>1</x:v>
      </x:c>
      <x:c r="AM250" s="32" t="n">
        <x:f>IF(AL250=1,U250,"")</x:f>
        <x:v>519000</x:v>
      </x:c>
      <x:c r="AN250" s="33" t="str">
        <x:f>IF(AL250=1,AF250,"")</x:f>
      </x:c>
      <x:c r="AO250" s="31" t="n">
        <x:f>'分析方法'!$B$6-J250</x:f>
        <x:v>5</x:v>
      </x:c>
      <x:c r="AP250" s="3"/>
    </x:row>
    <x:row r="251" ht="22" customHeight="1">
      <x:c r="A251" s="3" t="str">
        <x:v>T2913140</x:v>
      </x:c>
      <x:c r="B251" s="7" t="d">
        <x:v>2026-10-08T00:00:00.000Z</x:v>
      </x:c>
      <x:c r="C251" s="3" t="str">
        <x:v>Taladrod</x:v>
      </x:c>
      <x:c r="D251" s="3" t="str">
        <x:v>Toyota</x:v>
      </x:c>
      <x:c r="E251" s="3" t="str">
        <x:v>日本</x:v>
      </x:c>
      <x:c r="F251" s="3" t="str">
        <x:v>Corolla Altis</x:v>
      </x:c>
      <x:c r="G251" s="3" t="str">
        <x:v>ICE</x:v>
      </x:c>
      <x:c r="H251" s="3" t="str">
        <x:v>Sedan</x:v>
      </x:c>
      <x:c r="I251" s="3" t="str"/>
      <x:c r="J251" s="3" t="n">
        <x:v>2021</x:v>
      </x:c>
      <x:c r="K251" s="3" t="str">
        <x:v>ALTIS 1.8 GR SPORT</x:v>
      </x:c>
      <x:c r="L251" s="3" t="str">
        <x:v>GR SPORT</x:v>
      </x:c>
      <x:c r="M251" s="22"/>
      <x:c r="N251" s="22"/>
      <x:c r="O251" s="22"/>
      <x:c r="P251" s="3" t="str">
        <x:v>未掲載</x:v>
      </x:c>
      <x:c r="Q251" s="3" t="str">
        <x:v>未取得</x:v>
      </x:c>
      <x:c r="R251" s="3" t="str">
        <x:v>Unknown</x:v>
      </x:c>
      <x:c r="S251" s="3" t="str">
        <x:v>不明</x:v>
      </x:c>
      <x:c r="T251" s="3" t="str">
        <x:v>19-ปัจจุบัน</x:v>
      </x:c>
      <x:c r="U251" s="28" t="n">
        <x:v>499000</x:v>
      </x:c>
      <x:c r="V251" s="28" t="n">
        <x:v>999000</x:v>
      </x:c>
      <x:c r="W251" s="3" t="str">
        <x:v>事故・水没・SOH・保証残は未確認</x:v>
      </x:c>
      <x:c r="X251" s="3" t="str">
        <x:v>掲載中・在庫未確認</x:v>
      </x:c>
      <x:c r="Y251" s="3" t="str"/>
      <x:c r="Z251" s="27" t="str">
        <x:v>https://www.taladrod.com/w40/icar/cardet.aspx?cid=2913140</x:v>
      </x:c>
      <x:c r="AA251" s="3" t="str">
        <x:v>Taladrod個別広告ID／Carsome在庫ID</x:v>
      </x:c>
      <x:c r="AB251" s="3" t="str">
        <x:v>車台番号未取得／サイト間重複は未判定</x:v>
      </x:c>
      <x:c r="AC251" s="3" t="str">
        <x:v>税込区分未確認（一覧表示額）</x:v>
      </x:c>
      <x:c r="AD251" s="3" t="str"/>
      <x:c r="AE251" s="29" t="str">
        <x:f>""</x:f>
      </x:c>
      <x:c r="AF251" s="30" t="str">
        <x:f>IF(ISNUMBER(AE251),U251/AE251,"")</x:f>
      </x:c>
      <x:c r="AG251" s="29" t="str">
        <x:f>""</x:f>
      </x:c>
      <x:c r="AH251" s="30" t="str">
        <x:f>IF(ISNUMBER(AG251),U251/AG251,"")</x:f>
      </x:c>
      <x:c r="AI251" s="3" t="str">
        <x:v>同年式・グレードの検証済み当時価格なし／登録年混在</x:v>
      </x:c>
      <x:c r="AJ251" s="3" t="str">
        <x:v>一覧価格/年式のみ</x:v>
      </x:c>
      <x:c r="AK251" s="3" t="str">
        <x:v>一覧の表示価格。年式は掲載年式。</x:v>
      </x:c>
      <x:c r="AL251" s="31" t="n">
        <x:f>IF(AND(J251&lt;='分析方法'!$B$7,OR(ISBLANK(O251),O251&gt;='分析方法'!$B$8),X251&lt;&gt;"売却済み表示"),1,0)</x:f>
        <x:v>1</x:v>
      </x:c>
      <x:c r="AM251" s="32" t="n">
        <x:f>IF(AL251=1,U251,"")</x:f>
        <x:v>499000</x:v>
      </x:c>
      <x:c r="AN251" s="33" t="str">
        <x:f>IF(AL251=1,AF251,"")</x:f>
      </x:c>
      <x:c r="AO251" s="31" t="n">
        <x:f>'分析方法'!$B$6-J251</x:f>
        <x:v>5</x:v>
      </x:c>
      <x:c r="AP251" s="3"/>
    </x:row>
    <x:row r="252" ht="22" customHeight="1">
      <x:c r="A252" s="3" t="str">
        <x:v>T2921240</x:v>
      </x:c>
      <x:c r="B252" s="7" t="d">
        <x:v>2026-10-08T00:00:00.000Z</x:v>
      </x:c>
      <x:c r="C252" s="3" t="str">
        <x:v>Taladrod</x:v>
      </x:c>
      <x:c r="D252" s="3" t="str">
        <x:v>Toyota</x:v>
      </x:c>
      <x:c r="E252" s="3" t="str">
        <x:v>日本</x:v>
      </x:c>
      <x:c r="F252" s="3" t="str">
        <x:v>Corolla Altis</x:v>
      </x:c>
      <x:c r="G252" s="3" t="str">
        <x:v>ICE</x:v>
      </x:c>
      <x:c r="H252" s="3" t="str">
        <x:v>Sedan</x:v>
      </x:c>
      <x:c r="I252" s="3" t="str"/>
      <x:c r="J252" s="3" t="n">
        <x:v>2021</x:v>
      </x:c>
      <x:c r="K252" s="3" t="str">
        <x:v>ALTIS 1.8 SPORT</x:v>
      </x:c>
      <x:c r="L252" s="3" t="str">
        <x:v>SPORT</x:v>
      </x:c>
      <x:c r="M252" s="22"/>
      <x:c r="N252" s="22"/>
      <x:c r="O252" s="22"/>
      <x:c r="P252" s="3" t="str">
        <x:v>未掲載</x:v>
      </x:c>
      <x:c r="Q252" s="3" t="str">
        <x:v>未取得</x:v>
      </x:c>
      <x:c r="R252" s="3" t="str">
        <x:v>Unknown</x:v>
      </x:c>
      <x:c r="S252" s="3" t="str">
        <x:v>不明</x:v>
      </x:c>
      <x:c r="T252" s="3" t="str">
        <x:v>19-ปัจจุบัน</x:v>
      </x:c>
      <x:c r="U252" s="28" t="n">
        <x:v>499000</x:v>
      </x:c>
      <x:c r="V252" s="28" t="n">
        <x:v>964000</x:v>
      </x:c>
      <x:c r="W252" s="3" t="str">
        <x:v>事故・水没・SOH・保証残は未確認</x:v>
      </x:c>
      <x:c r="X252" s="3" t="str">
        <x:v>掲載中・在庫未確認</x:v>
      </x:c>
      <x:c r="Y252" s="3" t="str"/>
      <x:c r="Z252" s="27" t="str">
        <x:v>https://www.taladrod.com/w40/icar/cardet.aspx?cid=2921240</x:v>
      </x:c>
      <x:c r="AA252" s="3" t="str">
        <x:v>Taladrod個別広告ID／Carsome在庫ID</x:v>
      </x:c>
      <x:c r="AB252" s="3" t="str">
        <x:v>車台番号未取得／サイト間重複は未判定</x:v>
      </x:c>
      <x:c r="AC252" s="3" t="str">
        <x:v>税込区分未確認（一覧表示額）</x:v>
      </x:c>
      <x:c r="AD252" s="3" t="str"/>
      <x:c r="AE252" s="29" t="str">
        <x:f>""</x:f>
      </x:c>
      <x:c r="AF252" s="30" t="str">
        <x:f>IF(ISNUMBER(AE252),U252/AE252,"")</x:f>
      </x:c>
      <x:c r="AG252" s="29" t="str">
        <x:f>""</x:f>
      </x:c>
      <x:c r="AH252" s="30" t="str">
        <x:f>IF(ISNUMBER(AG252),U252/AG252,"")</x:f>
      </x:c>
      <x:c r="AI252" s="3" t="str">
        <x:v>同年式・グレードの検証済み当時価格なし／登録年混在</x:v>
      </x:c>
      <x:c r="AJ252" s="3" t="str">
        <x:v>一覧価格/年式のみ</x:v>
      </x:c>
      <x:c r="AK252" s="3" t="str">
        <x:v>一覧の表示価格。年式は掲載年式。</x:v>
      </x:c>
      <x:c r="AL252" s="31" t="n">
        <x:f>IF(AND(J252&lt;='分析方法'!$B$7,OR(ISBLANK(O252),O252&gt;='分析方法'!$B$8),X252&lt;&gt;"売却済み表示"),1,0)</x:f>
        <x:v>1</x:v>
      </x:c>
      <x:c r="AM252" s="32" t="n">
        <x:f>IF(AL252=1,U252,"")</x:f>
        <x:v>499000</x:v>
      </x:c>
      <x:c r="AN252" s="33" t="str">
        <x:f>IF(AL252=1,AF252,"")</x:f>
      </x:c>
      <x:c r="AO252" s="31" t="n">
        <x:f>'分析方法'!$B$6-J252</x:f>
        <x:v>5</x:v>
      </x:c>
      <x:c r="AP252" s="3"/>
    </x:row>
    <x:row r="253" ht="22" customHeight="1">
      <x:c r="A253" s="3" t="str">
        <x:v>T2926345</x:v>
      </x:c>
      <x:c r="B253" s="7" t="d">
        <x:v>2026-10-08T00:00:00.000Z</x:v>
      </x:c>
      <x:c r="C253" s="3" t="str">
        <x:v>Taladrod</x:v>
      </x:c>
      <x:c r="D253" s="3" t="str">
        <x:v>Toyota</x:v>
      </x:c>
      <x:c r="E253" s="3" t="str">
        <x:v>日本</x:v>
      </x:c>
      <x:c r="F253" s="3" t="str">
        <x:v>Corolla Altis</x:v>
      </x:c>
      <x:c r="G253" s="3" t="str">
        <x:v>ICE</x:v>
      </x:c>
      <x:c r="H253" s="3" t="str">
        <x:v>Sedan</x:v>
      </x:c>
      <x:c r="I253" s="3" t="str"/>
      <x:c r="J253" s="3" t="n">
        <x:v>2021</x:v>
      </x:c>
      <x:c r="K253" s="3" t="str">
        <x:v>ALTIS 1.8 SPORT</x:v>
      </x:c>
      <x:c r="L253" s="3" t="str">
        <x:v>SPORT</x:v>
      </x:c>
      <x:c r="M253" s="22"/>
      <x:c r="N253" s="22"/>
      <x:c r="O253" s="22"/>
      <x:c r="P253" s="3" t="str">
        <x:v>未掲載</x:v>
      </x:c>
      <x:c r="Q253" s="3" t="str">
        <x:v>未取得</x:v>
      </x:c>
      <x:c r="R253" s="3" t="str">
        <x:v>Unknown</x:v>
      </x:c>
      <x:c r="S253" s="3" t="str">
        <x:v>不明</x:v>
      </x:c>
      <x:c r="T253" s="3" t="str">
        <x:v>19-ปัจจุบัน</x:v>
      </x:c>
      <x:c r="U253" s="28" t="n">
        <x:v>499000</x:v>
      </x:c>
      <x:c r="V253" s="28" t="n">
        <x:v>964000</x:v>
      </x:c>
      <x:c r="W253" s="3" t="str">
        <x:v>事故・水没・SOH・保証残は未確認</x:v>
      </x:c>
      <x:c r="X253" s="3" t="str">
        <x:v>掲載中・在庫未確認</x:v>
      </x:c>
      <x:c r="Y253" s="3" t="str"/>
      <x:c r="Z253" s="27" t="str">
        <x:v>https://www.taladrod.com/w40/icar/cardet.aspx?cid=2926345</x:v>
      </x:c>
      <x:c r="AA253" s="3" t="str">
        <x:v>Taladrod個別広告ID／Carsome在庫ID</x:v>
      </x:c>
      <x:c r="AB253" s="3" t="str">
        <x:v>車台番号未取得／サイト間重複は未判定</x:v>
      </x:c>
      <x:c r="AC253" s="3" t="str">
        <x:v>税込区分未確認（一覧表示額）</x:v>
      </x:c>
      <x:c r="AD253" s="3" t="str"/>
      <x:c r="AE253" s="29" t="str">
        <x:f>""</x:f>
      </x:c>
      <x:c r="AF253" s="30" t="str">
        <x:f>IF(ISNUMBER(AE253),U253/AE253,"")</x:f>
      </x:c>
      <x:c r="AG253" s="29" t="str">
        <x:f>""</x:f>
      </x:c>
      <x:c r="AH253" s="30" t="str">
        <x:f>IF(ISNUMBER(AG253),U253/AG253,"")</x:f>
      </x:c>
      <x:c r="AI253" s="3" t="str">
        <x:v>同年式・グレードの検証済み当時価格なし／登録年混在</x:v>
      </x:c>
      <x:c r="AJ253" s="3" t="str">
        <x:v>一覧価格/年式のみ</x:v>
      </x:c>
      <x:c r="AK253" s="3" t="str">
        <x:v>一覧の表示価格。年式は掲載年式。</x:v>
      </x:c>
      <x:c r="AL253" s="31" t="n">
        <x:f>IF(AND(J253&lt;='分析方法'!$B$7,OR(ISBLANK(O253),O253&gt;='分析方法'!$B$8),X253&lt;&gt;"売却済み表示"),1,0)</x:f>
        <x:v>1</x:v>
      </x:c>
      <x:c r="AM253" s="32" t="n">
        <x:f>IF(AL253=1,U253,"")</x:f>
        <x:v>499000</x:v>
      </x:c>
      <x:c r="AN253" s="33" t="str">
        <x:f>IF(AL253=1,AF253,"")</x:f>
      </x:c>
      <x:c r="AO253" s="31" t="n">
        <x:f>'分析方法'!$B$6-J253</x:f>
        <x:v>5</x:v>
      </x:c>
      <x:c r="AP253" s="3"/>
    </x:row>
    <x:row r="254" ht="22" customHeight="1">
      <x:c r="A254" s="3" t="str">
        <x:v>T2896837</x:v>
      </x:c>
      <x:c r="B254" s="7" t="d">
        <x:v>2026-10-08T00:00:00.000Z</x:v>
      </x:c>
      <x:c r="C254" s="3" t="str">
        <x:v>Taladrod</x:v>
      </x:c>
      <x:c r="D254" s="3" t="str">
        <x:v>Toyota</x:v>
      </x:c>
      <x:c r="E254" s="3" t="str">
        <x:v>日本</x:v>
      </x:c>
      <x:c r="F254" s="3" t="str">
        <x:v>Corolla Altis</x:v>
      </x:c>
      <x:c r="G254" s="3" t="str">
        <x:v>ICE</x:v>
      </x:c>
      <x:c r="H254" s="3" t="str">
        <x:v>Sedan</x:v>
      </x:c>
      <x:c r="I254" s="3" t="str"/>
      <x:c r="J254" s="3" t="n">
        <x:v>2022</x:v>
      </x:c>
      <x:c r="K254" s="3" t="str">
        <x:v>ALTIS 1.6 G</x:v>
      </x:c>
      <x:c r="L254" s="3" t="str">
        <x:v>G</x:v>
      </x:c>
      <x:c r="M254" s="22"/>
      <x:c r="N254" s="22"/>
      <x:c r="O254" s="22"/>
      <x:c r="P254" s="3" t="str">
        <x:v>未掲載</x:v>
      </x:c>
      <x:c r="Q254" s="3" t="str">
        <x:v>未取得</x:v>
      </x:c>
      <x:c r="R254" s="3" t="str">
        <x:v>Unknown</x:v>
      </x:c>
      <x:c r="S254" s="3" t="str">
        <x:v>不明</x:v>
      </x:c>
      <x:c r="T254" s="3" t="str">
        <x:v>19-ปัจจุบัน</x:v>
      </x:c>
      <x:c r="U254" s="28" t="n">
        <x:v>444000</x:v>
      </x:c>
      <x:c r="V254" s="28" t="n">
        <x:v>879000</x:v>
      </x:c>
      <x:c r="W254" s="3" t="str">
        <x:v>事故・水没・SOH・保証残は未確認</x:v>
      </x:c>
      <x:c r="X254" s="3" t="str">
        <x:v>掲載中・在庫未確認</x:v>
      </x:c>
      <x:c r="Y254" s="3" t="str"/>
      <x:c r="Z254" s="27" t="str">
        <x:v>https://www.taladrod.com/w40/icar/cardet.aspx?cid=2896837</x:v>
      </x:c>
      <x:c r="AA254" s="3" t="str">
        <x:v>Taladrod個別広告ID／Carsome在庫ID</x:v>
      </x:c>
      <x:c r="AB254" s="3" t="str">
        <x:v>車台番号未取得／サイト間重複は未判定</x:v>
      </x:c>
      <x:c r="AC254" s="3" t="str">
        <x:v>税込区分未確認（一覧表示額）</x:v>
      </x:c>
      <x:c r="AD254" s="3" t="str"/>
      <x:c r="AE254" s="29" t="str">
        <x:f>""</x:f>
      </x:c>
      <x:c r="AF254" s="30" t="str">
        <x:f>IF(ISNUMBER(AE254),U254/AE254,"")</x:f>
      </x:c>
      <x:c r="AG254" s="29" t="str">
        <x:f>""</x:f>
      </x:c>
      <x:c r="AH254" s="30" t="str">
        <x:f>IF(ISNUMBER(AG254),U254/AG254,"")</x:f>
      </x:c>
      <x:c r="AI254" s="3" t="str">
        <x:v>同年式・グレードの検証済み当時価格なし／登録年混在</x:v>
      </x:c>
      <x:c r="AJ254" s="3" t="str">
        <x:v>一覧価格/年式のみ</x:v>
      </x:c>
      <x:c r="AK254" s="3" t="str">
        <x:v>一覧の表示価格。年式は掲載年式。</x:v>
      </x:c>
      <x:c r="AL254" s="31" t="n">
        <x:f>IF(AND(J254&lt;='分析方法'!$B$7,OR(ISBLANK(O254),O254&gt;='分析方法'!$B$8),X254&lt;&gt;"売却済み表示"),1,0)</x:f>
        <x:v>1</x:v>
      </x:c>
      <x:c r="AM254" s="32" t="n">
        <x:f>IF(AL254=1,U254,"")</x:f>
        <x:v>444000</x:v>
      </x:c>
      <x:c r="AN254" s="33" t="str">
        <x:f>IF(AL254=1,AF254,"")</x:f>
      </x:c>
      <x:c r="AO254" s="31" t="n">
        <x:f>'分析方法'!$B$6-J254</x:f>
        <x:v>4</x:v>
      </x:c>
      <x:c r="AP254" s="3"/>
    </x:row>
    <x:row r="255" ht="22" customHeight="1">
      <x:c r="A255" s="3" t="str">
        <x:v>T2899610</x:v>
      </x:c>
      <x:c r="B255" s="7" t="d">
        <x:v>2026-10-08T00:00:00.000Z</x:v>
      </x:c>
      <x:c r="C255" s="3" t="str">
        <x:v>Taladrod</x:v>
      </x:c>
      <x:c r="D255" s="3" t="str">
        <x:v>Toyota</x:v>
      </x:c>
      <x:c r="E255" s="3" t="str">
        <x:v>日本</x:v>
      </x:c>
      <x:c r="F255" s="3" t="str">
        <x:v>Corolla Altis</x:v>
      </x:c>
      <x:c r="G255" s="3" t="str">
        <x:v>ICE</x:v>
      </x:c>
      <x:c r="H255" s="3" t="str">
        <x:v>Sedan</x:v>
      </x:c>
      <x:c r="I255" s="3" t="str"/>
      <x:c r="J255" s="3" t="n">
        <x:v>2022</x:v>
      </x:c>
      <x:c r="K255" s="3" t="str">
        <x:v>ALTIS 1.6 G</x:v>
      </x:c>
      <x:c r="L255" s="3" t="str">
        <x:v>G</x:v>
      </x:c>
      <x:c r="M255" s="22"/>
      <x:c r="N255" s="22"/>
      <x:c r="O255" s="22"/>
      <x:c r="P255" s="3" t="str">
        <x:v>未掲載</x:v>
      </x:c>
      <x:c r="Q255" s="3" t="str">
        <x:v>未取得</x:v>
      </x:c>
      <x:c r="R255" s="3" t="str">
        <x:v>Unknown</x:v>
      </x:c>
      <x:c r="S255" s="3" t="str">
        <x:v>不明</x:v>
      </x:c>
      <x:c r="T255" s="3" t="str">
        <x:v>19-ปัจจุบัน</x:v>
      </x:c>
      <x:c r="U255" s="28" t="n">
        <x:v>460000</x:v>
      </x:c>
      <x:c r="V255" s="28" t="n">
        <x:v>879000</x:v>
      </x:c>
      <x:c r="W255" s="3" t="str">
        <x:v>事故・水没・SOH・保証残は未確認</x:v>
      </x:c>
      <x:c r="X255" s="3" t="str">
        <x:v>掲載中・在庫未確認</x:v>
      </x:c>
      <x:c r="Y255" s="3" t="str"/>
      <x:c r="Z255" s="27" t="str">
        <x:v>https://www.taladrod.com/w40/icar/cardet.aspx?cid=2899610</x:v>
      </x:c>
      <x:c r="AA255" s="3" t="str">
        <x:v>Taladrod個別広告ID／Carsome在庫ID</x:v>
      </x:c>
      <x:c r="AB255" s="3" t="str">
        <x:v>車台番号未取得／サイト間重複は未判定</x:v>
      </x:c>
      <x:c r="AC255" s="3" t="str">
        <x:v>税込区分未確認（一覧表示額）</x:v>
      </x:c>
      <x:c r="AD255" s="3" t="str"/>
      <x:c r="AE255" s="29" t="str">
        <x:f>""</x:f>
      </x:c>
      <x:c r="AF255" s="30" t="str">
        <x:f>IF(ISNUMBER(AE255),U255/AE255,"")</x:f>
      </x:c>
      <x:c r="AG255" s="29" t="str">
        <x:f>""</x:f>
      </x:c>
      <x:c r="AH255" s="30" t="str">
        <x:f>IF(ISNUMBER(AG255),U255/AG255,"")</x:f>
      </x:c>
      <x:c r="AI255" s="3" t="str">
        <x:v>同年式・グレードの検証済み当時価格なし／登録年混在</x:v>
      </x:c>
      <x:c r="AJ255" s="3" t="str">
        <x:v>一覧価格/年式のみ</x:v>
      </x:c>
      <x:c r="AK255" s="3" t="str">
        <x:v>一覧の表示価格。年式は掲載年式。</x:v>
      </x:c>
      <x:c r="AL255" s="31" t="n">
        <x:f>IF(AND(J255&lt;='分析方法'!$B$7,OR(ISBLANK(O255),O255&gt;='分析方法'!$B$8),X255&lt;&gt;"売却済み表示"),1,0)</x:f>
        <x:v>1</x:v>
      </x:c>
      <x:c r="AM255" s="32" t="n">
        <x:f>IF(AL255=1,U255,"")</x:f>
        <x:v>460000</x:v>
      </x:c>
      <x:c r="AN255" s="33" t="str">
        <x:f>IF(AL255=1,AF255,"")</x:f>
      </x:c>
      <x:c r="AO255" s="31" t="n">
        <x:f>'分析方法'!$B$6-J255</x:f>
        <x:v>4</x:v>
      </x:c>
      <x:c r="AP255" s="3"/>
    </x:row>
    <x:row r="256" ht="22" customHeight="1">
      <x:c r="A256" s="3" t="str">
        <x:v>T2907276</x:v>
      </x:c>
      <x:c r="B256" s="7" t="d">
        <x:v>2026-10-08T00:00:00.000Z</x:v>
      </x:c>
      <x:c r="C256" s="3" t="str">
        <x:v>Taladrod</x:v>
      </x:c>
      <x:c r="D256" s="3" t="str">
        <x:v>Toyota</x:v>
      </x:c>
      <x:c r="E256" s="3" t="str">
        <x:v>日本</x:v>
      </x:c>
      <x:c r="F256" s="3" t="str">
        <x:v>Corolla Altis</x:v>
      </x:c>
      <x:c r="G256" s="3" t="str">
        <x:v>ICE</x:v>
      </x:c>
      <x:c r="H256" s="3" t="str">
        <x:v>Sedan</x:v>
      </x:c>
      <x:c r="I256" s="3" t="str"/>
      <x:c r="J256" s="3" t="n">
        <x:v>2022</x:v>
      </x:c>
      <x:c r="K256" s="3" t="str">
        <x:v>ALTIS 1.6 G</x:v>
      </x:c>
      <x:c r="L256" s="3" t="str">
        <x:v>G</x:v>
      </x:c>
      <x:c r="M256" s="22"/>
      <x:c r="N256" s="22"/>
      <x:c r="O256" s="22"/>
      <x:c r="P256" s="3" t="str">
        <x:v>未掲載</x:v>
      </x:c>
      <x:c r="Q256" s="3" t="str">
        <x:v>未取得</x:v>
      </x:c>
      <x:c r="R256" s="3" t="str">
        <x:v>Unknown</x:v>
      </x:c>
      <x:c r="S256" s="3" t="str">
        <x:v>不明</x:v>
      </x:c>
      <x:c r="T256" s="3" t="str">
        <x:v>19-ปัจจุบัน</x:v>
      </x:c>
      <x:c r="U256" s="28" t="n">
        <x:v>459000</x:v>
      </x:c>
      <x:c r="V256" s="28" t="n">
        <x:v>879000</x:v>
      </x:c>
      <x:c r="W256" s="3" t="str">
        <x:v>事故・水没・SOH・保証残は未確認</x:v>
      </x:c>
      <x:c r="X256" s="3" t="str">
        <x:v>掲載中・在庫未確認</x:v>
      </x:c>
      <x:c r="Y256" s="3" t="str"/>
      <x:c r="Z256" s="27" t="str">
        <x:v>https://www.taladrod.com/w40/icar/cardet.aspx?cid=2907276</x:v>
      </x:c>
      <x:c r="AA256" s="3" t="str">
        <x:v>Taladrod個別広告ID／Carsome在庫ID</x:v>
      </x:c>
      <x:c r="AB256" s="3" t="str">
        <x:v>車台番号未取得／サイト間重複は未判定</x:v>
      </x:c>
      <x:c r="AC256" s="3" t="str">
        <x:v>税込区分未確認（一覧表示額）</x:v>
      </x:c>
      <x:c r="AD256" s="3" t="str"/>
      <x:c r="AE256" s="29" t="str">
        <x:f>""</x:f>
      </x:c>
      <x:c r="AF256" s="30" t="str">
        <x:f>IF(ISNUMBER(AE256),U256/AE256,"")</x:f>
      </x:c>
      <x:c r="AG256" s="29" t="str">
        <x:f>""</x:f>
      </x:c>
      <x:c r="AH256" s="30" t="str">
        <x:f>IF(ISNUMBER(AG256),U256/AG256,"")</x:f>
      </x:c>
      <x:c r="AI256" s="3" t="str">
        <x:v>同年式・グレードの検証済み当時価格なし／登録年混在</x:v>
      </x:c>
      <x:c r="AJ256" s="3" t="str">
        <x:v>一覧価格/年式のみ</x:v>
      </x:c>
      <x:c r="AK256" s="3" t="str">
        <x:v>一覧の表示価格。年式は掲載年式。</x:v>
      </x:c>
      <x:c r="AL256" s="31" t="n">
        <x:f>IF(AND(J256&lt;='分析方法'!$B$7,OR(ISBLANK(O256),O256&gt;='分析方法'!$B$8),X256&lt;&gt;"売却済み表示"),1,0)</x:f>
        <x:v>1</x:v>
      </x:c>
      <x:c r="AM256" s="32" t="n">
        <x:f>IF(AL256=1,U256,"")</x:f>
        <x:v>459000</x:v>
      </x:c>
      <x:c r="AN256" s="33" t="str">
        <x:f>IF(AL256=1,AF256,"")</x:f>
      </x:c>
      <x:c r="AO256" s="31" t="n">
        <x:f>'分析方法'!$B$6-J256</x:f>
        <x:v>4</x:v>
      </x:c>
      <x:c r="AP256" s="3"/>
    </x:row>
    <x:row r="257" ht="22" customHeight="1">
      <x:c r="A257" s="3" t="str">
        <x:v>T2910230</x:v>
      </x:c>
      <x:c r="B257" s="7" t="d">
        <x:v>2026-10-08T00:00:00.000Z</x:v>
      </x:c>
      <x:c r="C257" s="3" t="str">
        <x:v>Taladrod</x:v>
      </x:c>
      <x:c r="D257" s="3" t="str">
        <x:v>Toyota</x:v>
      </x:c>
      <x:c r="E257" s="3" t="str">
        <x:v>日本</x:v>
      </x:c>
      <x:c r="F257" s="3" t="str">
        <x:v>Corolla Altis</x:v>
      </x:c>
      <x:c r="G257" s="3" t="str">
        <x:v>ICE</x:v>
      </x:c>
      <x:c r="H257" s="3" t="str">
        <x:v>Sedan</x:v>
      </x:c>
      <x:c r="I257" s="3" t="str"/>
      <x:c r="J257" s="3" t="n">
        <x:v>2022</x:v>
      </x:c>
      <x:c r="K257" s="3" t="str">
        <x:v>ALTIS 1.6 G</x:v>
      </x:c>
      <x:c r="L257" s="3" t="str">
        <x:v>G</x:v>
      </x:c>
      <x:c r="M257" s="22"/>
      <x:c r="N257" s="22"/>
      <x:c r="O257" s="22"/>
      <x:c r="P257" s="3" t="str">
        <x:v>未掲載</x:v>
      </x:c>
      <x:c r="Q257" s="3" t="str">
        <x:v>未取得</x:v>
      </x:c>
      <x:c r="R257" s="3" t="str">
        <x:v>Unknown</x:v>
      </x:c>
      <x:c r="S257" s="3" t="str">
        <x:v>不明</x:v>
      </x:c>
      <x:c r="T257" s="3" t="str">
        <x:v>19-ปัจจุบัน</x:v>
      </x:c>
      <x:c r="U257" s="28" t="n">
        <x:v>529000</x:v>
      </x:c>
      <x:c r="V257" s="28" t="n">
        <x:v>879000</x:v>
      </x:c>
      <x:c r="W257" s="3" t="str">
        <x:v>事故・水没・SOH・保証残は未確認</x:v>
      </x:c>
      <x:c r="X257" s="3" t="str">
        <x:v>掲載中・在庫未確認</x:v>
      </x:c>
      <x:c r="Y257" s="3" t="str"/>
      <x:c r="Z257" s="27" t="str">
        <x:v>https://www.taladrod.com/w40/icar/cardet.aspx?cid=2910230</x:v>
      </x:c>
      <x:c r="AA257" s="3" t="str">
        <x:v>Taladrod個別広告ID／Carsome在庫ID</x:v>
      </x:c>
      <x:c r="AB257" s="3" t="str">
        <x:v>車台番号未取得／サイト間重複は未判定</x:v>
      </x:c>
      <x:c r="AC257" s="3" t="str">
        <x:v>税込区分未確認（一覧表示額）</x:v>
      </x:c>
      <x:c r="AD257" s="3" t="str"/>
      <x:c r="AE257" s="29" t="str">
        <x:f>""</x:f>
      </x:c>
      <x:c r="AF257" s="30" t="str">
        <x:f>IF(ISNUMBER(AE257),U257/AE257,"")</x:f>
      </x:c>
      <x:c r="AG257" s="29" t="str">
        <x:f>""</x:f>
      </x:c>
      <x:c r="AH257" s="30" t="str">
        <x:f>IF(ISNUMBER(AG257),U257/AG257,"")</x:f>
      </x:c>
      <x:c r="AI257" s="3" t="str">
        <x:v>同年式・グレードの検証済み当時価格なし／登録年混在</x:v>
      </x:c>
      <x:c r="AJ257" s="3" t="str">
        <x:v>一覧価格/年式のみ</x:v>
      </x:c>
      <x:c r="AK257" s="3" t="str">
        <x:v>一覧の表示価格。年式は掲載年式。</x:v>
      </x:c>
      <x:c r="AL257" s="31" t="n">
        <x:f>IF(AND(J257&lt;='分析方法'!$B$7,OR(ISBLANK(O257),O257&gt;='分析方法'!$B$8),X257&lt;&gt;"売却済み表示"),1,0)</x:f>
        <x:v>1</x:v>
      </x:c>
      <x:c r="AM257" s="32" t="n">
        <x:f>IF(AL257=1,U257,"")</x:f>
        <x:v>529000</x:v>
      </x:c>
      <x:c r="AN257" s="33" t="str">
        <x:f>IF(AL257=1,AF257,"")</x:f>
      </x:c>
      <x:c r="AO257" s="31" t="n">
        <x:f>'分析方法'!$B$6-J257</x:f>
        <x:v>4</x:v>
      </x:c>
      <x:c r="AP257" s="3"/>
    </x:row>
    <x:row r="258" ht="22" customHeight="1">
      <x:c r="A258" s="3" t="str">
        <x:v>T2911241</x:v>
      </x:c>
      <x:c r="B258" s="7" t="d">
        <x:v>2026-10-08T00:00:00.000Z</x:v>
      </x:c>
      <x:c r="C258" s="3" t="str">
        <x:v>Taladrod</x:v>
      </x:c>
      <x:c r="D258" s="3" t="str">
        <x:v>Toyota</x:v>
      </x:c>
      <x:c r="E258" s="3" t="str">
        <x:v>日本</x:v>
      </x:c>
      <x:c r="F258" s="3" t="str">
        <x:v>Corolla Altis</x:v>
      </x:c>
      <x:c r="G258" s="3" t="str">
        <x:v>ICE</x:v>
      </x:c>
      <x:c r="H258" s="3" t="str">
        <x:v>Sedan</x:v>
      </x:c>
      <x:c r="I258" s="3" t="str"/>
      <x:c r="J258" s="3" t="n">
        <x:v>2022</x:v>
      </x:c>
      <x:c r="K258" s="3" t="str">
        <x:v>ALTIS 1.6 G</x:v>
      </x:c>
      <x:c r="L258" s="3" t="str">
        <x:v>G</x:v>
      </x:c>
      <x:c r="M258" s="22"/>
      <x:c r="N258" s="22"/>
      <x:c r="O258" s="22"/>
      <x:c r="P258" s="3" t="str">
        <x:v>未掲載</x:v>
      </x:c>
      <x:c r="Q258" s="3" t="str">
        <x:v>未取得</x:v>
      </x:c>
      <x:c r="R258" s="3" t="str">
        <x:v>Unknown</x:v>
      </x:c>
      <x:c r="S258" s="3" t="str">
        <x:v>不明</x:v>
      </x:c>
      <x:c r="T258" s="3" t="str">
        <x:v>19-ปัจจุบัน</x:v>
      </x:c>
      <x:c r="U258" s="28" t="n">
        <x:v>450000</x:v>
      </x:c>
      <x:c r="V258" s="28" t="n">
        <x:v>879000</x:v>
      </x:c>
      <x:c r="W258" s="3" t="str">
        <x:v>事故・水没・SOH・保証残は未確認</x:v>
      </x:c>
      <x:c r="X258" s="3" t="str">
        <x:v>掲載中・在庫未確認</x:v>
      </x:c>
      <x:c r="Y258" s="3" t="str"/>
      <x:c r="Z258" s="27" t="str">
        <x:v>https://www.taladrod.com/w40/icar/cardet.aspx?cid=2911241</x:v>
      </x:c>
      <x:c r="AA258" s="3" t="str">
        <x:v>Taladrod個別広告ID／Carsome在庫ID</x:v>
      </x:c>
      <x:c r="AB258" s="3" t="str">
        <x:v>車台番号未取得／サイト間重複は未判定</x:v>
      </x:c>
      <x:c r="AC258" s="3" t="str">
        <x:v>税込区分未確認（一覧表示額）</x:v>
      </x:c>
      <x:c r="AD258" s="3" t="str"/>
      <x:c r="AE258" s="29" t="str">
        <x:f>""</x:f>
      </x:c>
      <x:c r="AF258" s="30" t="str">
        <x:f>IF(ISNUMBER(AE258),U258/AE258,"")</x:f>
      </x:c>
      <x:c r="AG258" s="29" t="str">
        <x:f>""</x:f>
      </x:c>
      <x:c r="AH258" s="30" t="str">
        <x:f>IF(ISNUMBER(AG258),U258/AG258,"")</x:f>
      </x:c>
      <x:c r="AI258" s="3" t="str">
        <x:v>同年式・グレードの検証済み当時価格なし／登録年混在</x:v>
      </x:c>
      <x:c r="AJ258" s="3" t="str">
        <x:v>一覧価格/年式のみ</x:v>
      </x:c>
      <x:c r="AK258" s="3" t="str">
        <x:v>一覧の表示価格。年式は掲載年式。</x:v>
      </x:c>
      <x:c r="AL258" s="31" t="n">
        <x:f>IF(AND(J258&lt;='分析方法'!$B$7,OR(ISBLANK(O258),O258&gt;='分析方法'!$B$8),X258&lt;&gt;"売却済み表示"),1,0)</x:f>
        <x:v>1</x:v>
      </x:c>
      <x:c r="AM258" s="32" t="n">
        <x:f>IF(AL258=1,U258,"")</x:f>
        <x:v>450000</x:v>
      </x:c>
      <x:c r="AN258" s="33" t="str">
        <x:f>IF(AL258=1,AF258,"")</x:f>
      </x:c>
      <x:c r="AO258" s="31" t="n">
        <x:f>'分析方法'!$B$6-J258</x:f>
        <x:v>4</x:v>
      </x:c>
      <x:c r="AP258" s="3"/>
    </x:row>
    <x:row r="259" ht="22" customHeight="1">
      <x:c r="A259" s="3" t="str">
        <x:v>T2911248</x:v>
      </x:c>
      <x:c r="B259" s="7" t="d">
        <x:v>2026-10-08T00:00:00.000Z</x:v>
      </x:c>
      <x:c r="C259" s="3" t="str">
        <x:v>Taladrod</x:v>
      </x:c>
      <x:c r="D259" s="3" t="str">
        <x:v>Toyota</x:v>
      </x:c>
      <x:c r="E259" s="3" t="str">
        <x:v>日本</x:v>
      </x:c>
      <x:c r="F259" s="3" t="str">
        <x:v>Corolla Altis</x:v>
      </x:c>
      <x:c r="G259" s="3" t="str">
        <x:v>ICE</x:v>
      </x:c>
      <x:c r="H259" s="3" t="str">
        <x:v>Sedan</x:v>
      </x:c>
      <x:c r="I259" s="3" t="str"/>
      <x:c r="J259" s="3" t="n">
        <x:v>2022</x:v>
      </x:c>
      <x:c r="K259" s="3" t="str">
        <x:v>ALTIS 1.6 G</x:v>
      </x:c>
      <x:c r="L259" s="3" t="str">
        <x:v>G</x:v>
      </x:c>
      <x:c r="M259" s="22"/>
      <x:c r="N259" s="22"/>
      <x:c r="O259" s="22"/>
      <x:c r="P259" s="3" t="str">
        <x:v>未掲載</x:v>
      </x:c>
      <x:c r="Q259" s="3" t="str">
        <x:v>未取得</x:v>
      </x:c>
      <x:c r="R259" s="3" t="str">
        <x:v>Unknown</x:v>
      </x:c>
      <x:c r="S259" s="3" t="str">
        <x:v>不明</x:v>
      </x:c>
      <x:c r="T259" s="3" t="str">
        <x:v>19-ปัจจุบัน</x:v>
      </x:c>
      <x:c r="U259" s="28" t="n">
        <x:v>460000</x:v>
      </x:c>
      <x:c r="V259" s="28" t="n">
        <x:v>879000</x:v>
      </x:c>
      <x:c r="W259" s="3" t="str">
        <x:v>事故・水没・SOH・保証残は未確認</x:v>
      </x:c>
      <x:c r="X259" s="3" t="str">
        <x:v>掲載中・在庫未確認</x:v>
      </x:c>
      <x:c r="Y259" s="3" t="str"/>
      <x:c r="Z259" s="27" t="str">
        <x:v>https://www.taladrod.com/w40/icar/cardet.aspx?cid=2911248</x:v>
      </x:c>
      <x:c r="AA259" s="3" t="str">
        <x:v>Taladrod個別広告ID／Carsome在庫ID</x:v>
      </x:c>
      <x:c r="AB259" s="3" t="str">
        <x:v>車台番号未取得／サイト間重複は未判定</x:v>
      </x:c>
      <x:c r="AC259" s="3" t="str">
        <x:v>税込区分未確認（一覧表示額）</x:v>
      </x:c>
      <x:c r="AD259" s="3" t="str"/>
      <x:c r="AE259" s="29" t="str">
        <x:f>""</x:f>
      </x:c>
      <x:c r="AF259" s="30" t="str">
        <x:f>IF(ISNUMBER(AE259),U259/AE259,"")</x:f>
      </x:c>
      <x:c r="AG259" s="29" t="str">
        <x:f>""</x:f>
      </x:c>
      <x:c r="AH259" s="30" t="str">
        <x:f>IF(ISNUMBER(AG259),U259/AG259,"")</x:f>
      </x:c>
      <x:c r="AI259" s="3" t="str">
        <x:v>同年式・グレードの検証済み当時価格なし／登録年混在</x:v>
      </x:c>
      <x:c r="AJ259" s="3" t="str">
        <x:v>一覧価格/年式のみ</x:v>
      </x:c>
      <x:c r="AK259" s="3" t="str">
        <x:v>一覧の表示価格。年式は掲載年式。</x:v>
      </x:c>
      <x:c r="AL259" s="31" t="n">
        <x:f>IF(AND(J259&lt;='分析方法'!$B$7,OR(ISBLANK(O259),O259&gt;='分析方法'!$B$8),X259&lt;&gt;"売却済み表示"),1,0)</x:f>
        <x:v>1</x:v>
      </x:c>
      <x:c r="AM259" s="32" t="n">
        <x:f>IF(AL259=1,U259,"")</x:f>
        <x:v>460000</x:v>
      </x:c>
      <x:c r="AN259" s="33" t="str">
        <x:f>IF(AL259=1,AF259,"")</x:f>
      </x:c>
      <x:c r="AO259" s="31" t="n">
        <x:f>'分析方法'!$B$6-J259</x:f>
        <x:v>4</x:v>
      </x:c>
      <x:c r="AP259" s="3"/>
    </x:row>
    <x:row r="260" ht="22" customHeight="1">
      <x:c r="A260" s="3" t="str">
        <x:v>T2912419</x:v>
      </x:c>
      <x:c r="B260" s="7" t="d">
        <x:v>2026-10-08T00:00:00.000Z</x:v>
      </x:c>
      <x:c r="C260" s="3" t="str">
        <x:v>Taladrod</x:v>
      </x:c>
      <x:c r="D260" s="3" t="str">
        <x:v>Toyota</x:v>
      </x:c>
      <x:c r="E260" s="3" t="str">
        <x:v>日本</x:v>
      </x:c>
      <x:c r="F260" s="3" t="str">
        <x:v>Corolla Altis</x:v>
      </x:c>
      <x:c r="G260" s="3" t="str">
        <x:v>ICE</x:v>
      </x:c>
      <x:c r="H260" s="3" t="str">
        <x:v>Sedan</x:v>
      </x:c>
      <x:c r="I260" s="3" t="str"/>
      <x:c r="J260" s="3" t="n">
        <x:v>2022</x:v>
      </x:c>
      <x:c r="K260" s="3" t="str">
        <x:v>ALTIS 1.6 G</x:v>
      </x:c>
      <x:c r="L260" s="3" t="str">
        <x:v>G</x:v>
      </x:c>
      <x:c r="M260" s="22"/>
      <x:c r="N260" s="22"/>
      <x:c r="O260" s="22"/>
      <x:c r="P260" s="3" t="str">
        <x:v>未掲載</x:v>
      </x:c>
      <x:c r="Q260" s="3" t="str">
        <x:v>未取得</x:v>
      </x:c>
      <x:c r="R260" s="3" t="str">
        <x:v>Unknown</x:v>
      </x:c>
      <x:c r="S260" s="3" t="str">
        <x:v>不明</x:v>
      </x:c>
      <x:c r="T260" s="3" t="str">
        <x:v>19-ปัจจุบัน</x:v>
      </x:c>
      <x:c r="U260" s="28" t="n">
        <x:v>469000</x:v>
      </x:c>
      <x:c r="V260" s="28" t="n">
        <x:v>879000</x:v>
      </x:c>
      <x:c r="W260" s="3" t="str">
        <x:v>事故・水没・SOH・保証残は未確認</x:v>
      </x:c>
      <x:c r="X260" s="3" t="str">
        <x:v>掲載中・在庫未確認</x:v>
      </x:c>
      <x:c r="Y260" s="3" t="str"/>
      <x:c r="Z260" s="27" t="str">
        <x:v>https://www.taladrod.com/w40/icar/cardet.aspx?cid=2912419</x:v>
      </x:c>
      <x:c r="AA260" s="3" t="str">
        <x:v>Taladrod個別広告ID／Carsome在庫ID</x:v>
      </x:c>
      <x:c r="AB260" s="3" t="str">
        <x:v>車台番号未取得／サイト間重複は未判定</x:v>
      </x:c>
      <x:c r="AC260" s="3" t="str">
        <x:v>税込区分未確認（一覧表示額）</x:v>
      </x:c>
      <x:c r="AD260" s="3" t="str"/>
      <x:c r="AE260" s="29" t="str">
        <x:f>""</x:f>
      </x:c>
      <x:c r="AF260" s="30" t="str">
        <x:f>IF(ISNUMBER(AE260),U260/AE260,"")</x:f>
      </x:c>
      <x:c r="AG260" s="29" t="str">
        <x:f>""</x:f>
      </x:c>
      <x:c r="AH260" s="30" t="str">
        <x:f>IF(ISNUMBER(AG260),U260/AG260,"")</x:f>
      </x:c>
      <x:c r="AI260" s="3" t="str">
        <x:v>同年式・グレードの検証済み当時価格なし／登録年混在</x:v>
      </x:c>
      <x:c r="AJ260" s="3" t="str">
        <x:v>一覧価格/年式のみ</x:v>
      </x:c>
      <x:c r="AK260" s="3" t="str">
        <x:v>一覧の表示価格。年式は掲載年式。</x:v>
      </x:c>
      <x:c r="AL260" s="31" t="n">
        <x:f>IF(AND(J260&lt;='分析方法'!$B$7,OR(ISBLANK(O260),O260&gt;='分析方法'!$B$8),X260&lt;&gt;"売却済み表示"),1,0)</x:f>
        <x:v>1</x:v>
      </x:c>
      <x:c r="AM260" s="32" t="n">
        <x:f>IF(AL260=1,U260,"")</x:f>
        <x:v>469000</x:v>
      </x:c>
      <x:c r="AN260" s="33" t="str">
        <x:f>IF(AL260=1,AF260,"")</x:f>
      </x:c>
      <x:c r="AO260" s="31" t="n">
        <x:f>'分析方法'!$B$6-J260</x:f>
        <x:v>4</x:v>
      </x:c>
      <x:c r="AP260" s="3"/>
    </x:row>
    <x:row r="261" ht="22" customHeight="1">
      <x:c r="A261" s="3" t="str">
        <x:v>T2913143</x:v>
      </x:c>
      <x:c r="B261" s="7" t="d">
        <x:v>2026-10-08T00:00:00.000Z</x:v>
      </x:c>
      <x:c r="C261" s="3" t="str">
        <x:v>Taladrod</x:v>
      </x:c>
      <x:c r="D261" s="3" t="str">
        <x:v>Toyota</x:v>
      </x:c>
      <x:c r="E261" s="3" t="str">
        <x:v>日本</x:v>
      </x:c>
      <x:c r="F261" s="3" t="str">
        <x:v>Corolla Altis</x:v>
      </x:c>
      <x:c r="G261" s="3" t="str">
        <x:v>ICE</x:v>
      </x:c>
      <x:c r="H261" s="3" t="str">
        <x:v>Sedan</x:v>
      </x:c>
      <x:c r="I261" s="3" t="str"/>
      <x:c r="J261" s="3" t="n">
        <x:v>2022</x:v>
      </x:c>
      <x:c r="K261" s="3" t="str">
        <x:v>ALTIS 1.6 G</x:v>
      </x:c>
      <x:c r="L261" s="3" t="str">
        <x:v>G</x:v>
      </x:c>
      <x:c r="M261" s="22"/>
      <x:c r="N261" s="22"/>
      <x:c r="O261" s="22"/>
      <x:c r="P261" s="3" t="str">
        <x:v>未掲載</x:v>
      </x:c>
      <x:c r="Q261" s="3" t="str">
        <x:v>未取得</x:v>
      </x:c>
      <x:c r="R261" s="3" t="str">
        <x:v>Unknown</x:v>
      </x:c>
      <x:c r="S261" s="3" t="str">
        <x:v>不明</x:v>
      </x:c>
      <x:c r="T261" s="3" t="str">
        <x:v>19-ปัจจุบัน</x:v>
      </x:c>
      <x:c r="U261" s="28" t="n">
        <x:v>419000</x:v>
      </x:c>
      <x:c r="V261" s="28" t="n">
        <x:v>879000</x:v>
      </x:c>
      <x:c r="W261" s="3" t="str">
        <x:v>事故・水没・SOH・保証残は未確認</x:v>
      </x:c>
      <x:c r="X261" s="3" t="str">
        <x:v>掲載中・在庫未確認</x:v>
      </x:c>
      <x:c r="Y261" s="3" t="str"/>
      <x:c r="Z261" s="27" t="str">
        <x:v>https://www.taladrod.com/w40/icar/cardet.aspx?cid=2913143</x:v>
      </x:c>
      <x:c r="AA261" s="3" t="str">
        <x:v>Taladrod個別広告ID／Carsome在庫ID</x:v>
      </x:c>
      <x:c r="AB261" s="3" t="str">
        <x:v>車台番号未取得／サイト間重複は未判定</x:v>
      </x:c>
      <x:c r="AC261" s="3" t="str">
        <x:v>税込区分未確認（一覧表示額）</x:v>
      </x:c>
      <x:c r="AD261" s="3" t="str"/>
      <x:c r="AE261" s="29" t="str">
        <x:f>""</x:f>
      </x:c>
      <x:c r="AF261" s="30" t="str">
        <x:f>IF(ISNUMBER(AE261),U261/AE261,"")</x:f>
      </x:c>
      <x:c r="AG261" s="29" t="str">
        <x:f>""</x:f>
      </x:c>
      <x:c r="AH261" s="30" t="str">
        <x:f>IF(ISNUMBER(AG261),U261/AG261,"")</x:f>
      </x:c>
      <x:c r="AI261" s="3" t="str">
        <x:v>同年式・グレードの検証済み当時価格なし／登録年混在</x:v>
      </x:c>
      <x:c r="AJ261" s="3" t="str">
        <x:v>一覧価格/年式のみ</x:v>
      </x:c>
      <x:c r="AK261" s="3" t="str">
        <x:v>一覧の表示価格。年式は掲載年式。</x:v>
      </x:c>
      <x:c r="AL261" s="31" t="n">
        <x:f>IF(AND(J261&lt;='分析方法'!$B$7,OR(ISBLANK(O261),O261&gt;='分析方法'!$B$8),X261&lt;&gt;"売却済み表示"),1,0)</x:f>
        <x:v>1</x:v>
      </x:c>
      <x:c r="AM261" s="32" t="n">
        <x:f>IF(AL261=1,U261,"")</x:f>
        <x:v>419000</x:v>
      </x:c>
      <x:c r="AN261" s="33" t="str">
        <x:f>IF(AL261=1,AF261,"")</x:f>
      </x:c>
      <x:c r="AO261" s="31" t="n">
        <x:f>'分析方法'!$B$6-J261</x:f>
        <x:v>4</x:v>
      </x:c>
      <x:c r="AP261" s="3"/>
    </x:row>
    <x:row r="262" ht="22" customHeight="1">
      <x:c r="A262" s="3" t="str">
        <x:v>T2918913</x:v>
      </x:c>
      <x:c r="B262" s="7" t="d">
        <x:v>2026-10-08T00:00:00.000Z</x:v>
      </x:c>
      <x:c r="C262" s="3" t="str">
        <x:v>Taladrod</x:v>
      </x:c>
      <x:c r="D262" s="3" t="str">
        <x:v>Toyota</x:v>
      </x:c>
      <x:c r="E262" s="3" t="str">
        <x:v>日本</x:v>
      </x:c>
      <x:c r="F262" s="3" t="str">
        <x:v>Corolla Altis</x:v>
      </x:c>
      <x:c r="G262" s="3" t="str">
        <x:v>ICE</x:v>
      </x:c>
      <x:c r="H262" s="3" t="str">
        <x:v>Sedan</x:v>
      </x:c>
      <x:c r="I262" s="3" t="str"/>
      <x:c r="J262" s="3" t="n">
        <x:v>2022</x:v>
      </x:c>
      <x:c r="K262" s="3" t="str">
        <x:v>ALTIS 1.6 G</x:v>
      </x:c>
      <x:c r="L262" s="3" t="str">
        <x:v>G</x:v>
      </x:c>
      <x:c r="M262" s="22"/>
      <x:c r="N262" s="22"/>
      <x:c r="O262" s="22"/>
      <x:c r="P262" s="3" t="str">
        <x:v>未掲載</x:v>
      </x:c>
      <x:c r="Q262" s="3" t="str">
        <x:v>未取得</x:v>
      </x:c>
      <x:c r="R262" s="3" t="str">
        <x:v>Unknown</x:v>
      </x:c>
      <x:c r="S262" s="3" t="str">
        <x:v>不明</x:v>
      </x:c>
      <x:c r="T262" s="3" t="str">
        <x:v>19-ปัจจุบัน</x:v>
      </x:c>
      <x:c r="U262" s="28" t="n">
        <x:v>435000</x:v>
      </x:c>
      <x:c r="V262" s="28" t="n">
        <x:v>879000</x:v>
      </x:c>
      <x:c r="W262" s="3" t="str">
        <x:v>事故・水没・SOH・保証残は未確認</x:v>
      </x:c>
      <x:c r="X262" s="3" t="str">
        <x:v>掲載中・在庫未確認</x:v>
      </x:c>
      <x:c r="Y262" s="3" t="str"/>
      <x:c r="Z262" s="27" t="str">
        <x:v>https://www.taladrod.com/w40/icar/cardet.aspx?cid=2918913</x:v>
      </x:c>
      <x:c r="AA262" s="3" t="str">
        <x:v>Taladrod個別広告ID／Carsome在庫ID</x:v>
      </x:c>
      <x:c r="AB262" s="3" t="str">
        <x:v>車台番号未取得／サイト間重複は未判定</x:v>
      </x:c>
      <x:c r="AC262" s="3" t="str">
        <x:v>税込区分未確認（一覧表示額）</x:v>
      </x:c>
      <x:c r="AD262" s="3" t="str"/>
      <x:c r="AE262" s="29" t="str">
        <x:f>""</x:f>
      </x:c>
      <x:c r="AF262" s="30" t="str">
        <x:f>IF(ISNUMBER(AE262),U262/AE262,"")</x:f>
      </x:c>
      <x:c r="AG262" s="29" t="str">
        <x:f>""</x:f>
      </x:c>
      <x:c r="AH262" s="30" t="str">
        <x:f>IF(ISNUMBER(AG262),U262/AG262,"")</x:f>
      </x:c>
      <x:c r="AI262" s="3" t="str">
        <x:v>同年式・グレードの検証済み当時価格なし／登録年混在</x:v>
      </x:c>
      <x:c r="AJ262" s="3" t="str">
        <x:v>一覧価格/年式のみ</x:v>
      </x:c>
      <x:c r="AK262" s="3" t="str">
        <x:v>一覧の表示価格。年式は掲載年式。</x:v>
      </x:c>
      <x:c r="AL262" s="31" t="n">
        <x:f>IF(AND(J262&lt;='分析方法'!$B$7,OR(ISBLANK(O262),O262&gt;='分析方法'!$B$8),X262&lt;&gt;"売却済み表示"),1,0)</x:f>
        <x:v>1</x:v>
      </x:c>
      <x:c r="AM262" s="32" t="n">
        <x:f>IF(AL262=1,U262,"")</x:f>
        <x:v>435000</x:v>
      </x:c>
      <x:c r="AN262" s="33" t="str">
        <x:f>IF(AL262=1,AF262,"")</x:f>
      </x:c>
      <x:c r="AO262" s="31" t="n">
        <x:f>'分析方法'!$B$6-J262</x:f>
        <x:v>4</x:v>
      </x:c>
      <x:c r="AP262" s="3"/>
    </x:row>
    <x:row r="263" ht="22" customHeight="1">
      <x:c r="A263" s="3" t="str">
        <x:v>T2919869</x:v>
      </x:c>
      <x:c r="B263" s="7" t="d">
        <x:v>2026-10-08T00:00:00.000Z</x:v>
      </x:c>
      <x:c r="C263" s="3" t="str">
        <x:v>Taladrod</x:v>
      </x:c>
      <x:c r="D263" s="3" t="str">
        <x:v>Toyota</x:v>
      </x:c>
      <x:c r="E263" s="3" t="str">
        <x:v>日本</x:v>
      </x:c>
      <x:c r="F263" s="3" t="str">
        <x:v>Corolla Altis</x:v>
      </x:c>
      <x:c r="G263" s="3" t="str">
        <x:v>ICE</x:v>
      </x:c>
      <x:c r="H263" s="3" t="str">
        <x:v>Sedan</x:v>
      </x:c>
      <x:c r="I263" s="3" t="str"/>
      <x:c r="J263" s="3" t="n">
        <x:v>2022</x:v>
      </x:c>
      <x:c r="K263" s="3" t="str">
        <x:v>ALTIS 1.6 G</x:v>
      </x:c>
      <x:c r="L263" s="3" t="str">
        <x:v>G</x:v>
      </x:c>
      <x:c r="M263" s="22"/>
      <x:c r="N263" s="22"/>
      <x:c r="O263" s="22"/>
      <x:c r="P263" s="3" t="str">
        <x:v>未掲載</x:v>
      </x:c>
      <x:c r="Q263" s="3" t="str">
        <x:v>未取得</x:v>
      </x:c>
      <x:c r="R263" s="3" t="str">
        <x:v>Unknown</x:v>
      </x:c>
      <x:c r="S263" s="3" t="str">
        <x:v>不明</x:v>
      </x:c>
      <x:c r="T263" s="3" t="str">
        <x:v>19-ปัจจุบัน</x:v>
      </x:c>
      <x:c r="U263" s="28" t="n">
        <x:v>479000</x:v>
      </x:c>
      <x:c r="V263" s="28" t="n">
        <x:v>879000</x:v>
      </x:c>
      <x:c r="W263" s="3" t="str">
        <x:v>事故・水没・SOH・保証残は未確認</x:v>
      </x:c>
      <x:c r="X263" s="3" t="str">
        <x:v>掲載中・在庫未確認</x:v>
      </x:c>
      <x:c r="Y263" s="3" t="str"/>
      <x:c r="Z263" s="27" t="str">
        <x:v>https://www.taladrod.com/w40/icar/cardet.aspx?cid=2919869</x:v>
      </x:c>
      <x:c r="AA263" s="3" t="str">
        <x:v>Taladrod個別広告ID／Carsome在庫ID</x:v>
      </x:c>
      <x:c r="AB263" s="3" t="str">
        <x:v>車台番号未取得／サイト間重複は未判定</x:v>
      </x:c>
      <x:c r="AC263" s="3" t="str">
        <x:v>税込区分未確認（一覧表示額）</x:v>
      </x:c>
      <x:c r="AD263" s="3" t="str"/>
      <x:c r="AE263" s="29" t="str">
        <x:f>""</x:f>
      </x:c>
      <x:c r="AF263" s="30" t="str">
        <x:f>IF(ISNUMBER(AE263),U263/AE263,"")</x:f>
      </x:c>
      <x:c r="AG263" s="29" t="str">
        <x:f>""</x:f>
      </x:c>
      <x:c r="AH263" s="30" t="str">
        <x:f>IF(ISNUMBER(AG263),U263/AG263,"")</x:f>
      </x:c>
      <x:c r="AI263" s="3" t="str">
        <x:v>同年式・グレードの検証済み当時価格なし／登録年混在</x:v>
      </x:c>
      <x:c r="AJ263" s="3" t="str">
        <x:v>一覧価格/年式のみ</x:v>
      </x:c>
      <x:c r="AK263" s="3" t="str">
        <x:v>一覧の表示価格。年式は掲載年式。</x:v>
      </x:c>
      <x:c r="AL263" s="31" t="n">
        <x:f>IF(AND(J263&lt;='分析方法'!$B$7,OR(ISBLANK(O263),O263&gt;='分析方法'!$B$8),X263&lt;&gt;"売却済み表示"),1,0)</x:f>
        <x:v>1</x:v>
      </x:c>
      <x:c r="AM263" s="32" t="n">
        <x:f>IF(AL263=1,U263,"")</x:f>
        <x:v>479000</x:v>
      </x:c>
      <x:c r="AN263" s="33" t="str">
        <x:f>IF(AL263=1,AF263,"")</x:f>
      </x:c>
      <x:c r="AO263" s="31" t="n">
        <x:f>'分析方法'!$B$6-J263</x:f>
        <x:v>4</x:v>
      </x:c>
      <x:c r="AP263" s="3"/>
    </x:row>
    <x:row r="264" ht="22" customHeight="1">
      <x:c r="A264" s="3" t="str">
        <x:v>T2921106</x:v>
      </x:c>
      <x:c r="B264" s="7" t="d">
        <x:v>2026-10-08T00:00:00.000Z</x:v>
      </x:c>
      <x:c r="C264" s="3" t="str">
        <x:v>Taladrod</x:v>
      </x:c>
      <x:c r="D264" s="3" t="str">
        <x:v>Toyota</x:v>
      </x:c>
      <x:c r="E264" s="3" t="str">
        <x:v>日本</x:v>
      </x:c>
      <x:c r="F264" s="3" t="str">
        <x:v>Corolla Altis</x:v>
      </x:c>
      <x:c r="G264" s="3" t="str">
        <x:v>ICE</x:v>
      </x:c>
      <x:c r="H264" s="3" t="str">
        <x:v>Sedan</x:v>
      </x:c>
      <x:c r="I264" s="3" t="str"/>
      <x:c r="J264" s="3" t="n">
        <x:v>2022</x:v>
      </x:c>
      <x:c r="K264" s="3" t="str">
        <x:v>ALTIS 1.6 G</x:v>
      </x:c>
      <x:c r="L264" s="3" t="str">
        <x:v>G</x:v>
      </x:c>
      <x:c r="M264" s="22"/>
      <x:c r="N264" s="22"/>
      <x:c r="O264" s="22"/>
      <x:c r="P264" s="3" t="str">
        <x:v>未掲載</x:v>
      </x:c>
      <x:c r="Q264" s="3" t="str">
        <x:v>未取得</x:v>
      </x:c>
      <x:c r="R264" s="3" t="str">
        <x:v>Unknown</x:v>
      </x:c>
      <x:c r="S264" s="3" t="str">
        <x:v>不明</x:v>
      </x:c>
      <x:c r="T264" s="3" t="str">
        <x:v>19-ปัจจุบัน</x:v>
      </x:c>
      <x:c r="U264" s="28" t="n">
        <x:v>489000</x:v>
      </x:c>
      <x:c r="V264" s="28" t="n">
        <x:v>879000</x:v>
      </x:c>
      <x:c r="W264" s="3" t="str">
        <x:v>事故・水没・SOH・保証残は未確認</x:v>
      </x:c>
      <x:c r="X264" s="3" t="str">
        <x:v>掲載中・在庫未確認</x:v>
      </x:c>
      <x:c r="Y264" s="3" t="str"/>
      <x:c r="Z264" s="27" t="str">
        <x:v>https://www.taladrod.com/w40/icar/cardet.aspx?cid=2921106</x:v>
      </x:c>
      <x:c r="AA264" s="3" t="str">
        <x:v>Taladrod個別広告ID／Carsome在庫ID</x:v>
      </x:c>
      <x:c r="AB264" s="3" t="str">
        <x:v>車台番号未取得／サイト間重複は未判定</x:v>
      </x:c>
      <x:c r="AC264" s="3" t="str">
        <x:v>税込区分未確認（一覧表示額）</x:v>
      </x:c>
      <x:c r="AD264" s="3" t="str"/>
      <x:c r="AE264" s="29" t="str">
        <x:f>""</x:f>
      </x:c>
      <x:c r="AF264" s="30" t="str">
        <x:f>IF(ISNUMBER(AE264),U264/AE264,"")</x:f>
      </x:c>
      <x:c r="AG264" s="29" t="str">
        <x:f>""</x:f>
      </x:c>
      <x:c r="AH264" s="30" t="str">
        <x:f>IF(ISNUMBER(AG264),U264/AG264,"")</x:f>
      </x:c>
      <x:c r="AI264" s="3" t="str">
        <x:v>同年式・グレードの検証済み当時価格なし／登録年混在</x:v>
      </x:c>
      <x:c r="AJ264" s="3" t="str">
        <x:v>一覧価格/年式のみ</x:v>
      </x:c>
      <x:c r="AK264" s="3" t="str">
        <x:v>一覧の表示価格。年式は掲載年式。</x:v>
      </x:c>
      <x:c r="AL264" s="31" t="n">
        <x:f>IF(AND(J264&lt;='分析方法'!$B$7,OR(ISBLANK(O264),O264&gt;='分析方法'!$B$8),X264&lt;&gt;"売却済み表示"),1,0)</x:f>
        <x:v>1</x:v>
      </x:c>
      <x:c r="AM264" s="32" t="n">
        <x:f>IF(AL264=1,U264,"")</x:f>
        <x:v>489000</x:v>
      </x:c>
      <x:c r="AN264" s="33" t="str">
        <x:f>IF(AL264=1,AF264,"")</x:f>
      </x:c>
      <x:c r="AO264" s="31" t="n">
        <x:f>'分析方法'!$B$6-J264</x:f>
        <x:v>4</x:v>
      </x:c>
      <x:c r="AP264" s="3"/>
    </x:row>
    <x:row r="265" ht="22" customHeight="1">
      <x:c r="A265" s="3" t="str">
        <x:v>T2924815</x:v>
      </x:c>
      <x:c r="B265" s="7" t="d">
        <x:v>2026-10-08T00:00:00.000Z</x:v>
      </x:c>
      <x:c r="C265" s="3" t="str">
        <x:v>Taladrod</x:v>
      </x:c>
      <x:c r="D265" s="3" t="str">
        <x:v>Toyota</x:v>
      </x:c>
      <x:c r="E265" s="3" t="str">
        <x:v>日本</x:v>
      </x:c>
      <x:c r="F265" s="3" t="str">
        <x:v>Corolla Altis</x:v>
      </x:c>
      <x:c r="G265" s="3" t="str">
        <x:v>ICE</x:v>
      </x:c>
      <x:c r="H265" s="3" t="str">
        <x:v>Sedan</x:v>
      </x:c>
      <x:c r="I265" s="3" t="str"/>
      <x:c r="J265" s="3" t="n">
        <x:v>2022</x:v>
      </x:c>
      <x:c r="K265" s="3" t="str">
        <x:v>ALTIS 1.6 G</x:v>
      </x:c>
      <x:c r="L265" s="3" t="str">
        <x:v>G</x:v>
      </x:c>
      <x:c r="M265" s="22"/>
      <x:c r="N265" s="22"/>
      <x:c r="O265" s="22"/>
      <x:c r="P265" s="3" t="str">
        <x:v>未掲載</x:v>
      </x:c>
      <x:c r="Q265" s="3" t="str">
        <x:v>未取得</x:v>
      </x:c>
      <x:c r="R265" s="3" t="str">
        <x:v>Unknown</x:v>
      </x:c>
      <x:c r="S265" s="3" t="str">
        <x:v>不明</x:v>
      </x:c>
      <x:c r="T265" s="3" t="str">
        <x:v>19-ปัจจุบัน</x:v>
      </x:c>
      <x:c r="U265" s="28" t="n">
        <x:v>459000</x:v>
      </x:c>
      <x:c r="V265" s="28" t="n">
        <x:v>879000</x:v>
      </x:c>
      <x:c r="W265" s="3" t="str">
        <x:v>事故・水没・SOH・保証残は未確認</x:v>
      </x:c>
      <x:c r="X265" s="3" t="str">
        <x:v>掲載中・在庫未確認</x:v>
      </x:c>
      <x:c r="Y265" s="3" t="str"/>
      <x:c r="Z265" s="27" t="str">
        <x:v>https://www.taladrod.com/w40/icar/cardet.aspx?cid=2924815</x:v>
      </x:c>
      <x:c r="AA265" s="3" t="str">
        <x:v>Taladrod個別広告ID／Carsome在庫ID</x:v>
      </x:c>
      <x:c r="AB265" s="3" t="str">
        <x:v>車台番号未取得／サイト間重複は未判定</x:v>
      </x:c>
      <x:c r="AC265" s="3" t="str">
        <x:v>税込区分未確認（一覧表示額）</x:v>
      </x:c>
      <x:c r="AD265" s="3" t="str"/>
      <x:c r="AE265" s="29" t="str">
        <x:f>""</x:f>
      </x:c>
      <x:c r="AF265" s="30" t="str">
        <x:f>IF(ISNUMBER(AE265),U265/AE265,"")</x:f>
      </x:c>
      <x:c r="AG265" s="29" t="str">
        <x:f>""</x:f>
      </x:c>
      <x:c r="AH265" s="30" t="str">
        <x:f>IF(ISNUMBER(AG265),U265/AG265,"")</x:f>
      </x:c>
      <x:c r="AI265" s="3" t="str">
        <x:v>同年式・グレードの検証済み当時価格なし／登録年混在</x:v>
      </x:c>
      <x:c r="AJ265" s="3" t="str">
        <x:v>一覧価格/年式のみ</x:v>
      </x:c>
      <x:c r="AK265" s="3" t="str">
        <x:v>一覧の表示価格。年式は掲載年式。</x:v>
      </x:c>
      <x:c r="AL265" s="31" t="n">
        <x:f>IF(AND(J265&lt;='分析方法'!$B$7,OR(ISBLANK(O265),O265&gt;='分析方法'!$B$8),X265&lt;&gt;"売却済み表示"),1,0)</x:f>
        <x:v>1</x:v>
      </x:c>
      <x:c r="AM265" s="32" t="n">
        <x:f>IF(AL265=1,U265,"")</x:f>
        <x:v>459000</x:v>
      </x:c>
      <x:c r="AN265" s="33" t="str">
        <x:f>IF(AL265=1,AF265,"")</x:f>
      </x:c>
      <x:c r="AO265" s="31" t="n">
        <x:f>'分析方法'!$B$6-J265</x:f>
        <x:v>4</x:v>
      </x:c>
      <x:c r="AP265" s="3"/>
    </x:row>
    <x:row r="266" ht="22" customHeight="1">
      <x:c r="A266" s="3" t="str">
        <x:v>T2925926</x:v>
      </x:c>
      <x:c r="B266" s="7" t="d">
        <x:v>2026-10-08T00:00:00.000Z</x:v>
      </x:c>
      <x:c r="C266" s="3" t="str">
        <x:v>Taladrod</x:v>
      </x:c>
      <x:c r="D266" s="3" t="str">
        <x:v>Toyota</x:v>
      </x:c>
      <x:c r="E266" s="3" t="str">
        <x:v>日本</x:v>
      </x:c>
      <x:c r="F266" s="3" t="str">
        <x:v>Corolla Altis</x:v>
      </x:c>
      <x:c r="G266" s="3" t="str">
        <x:v>ICE</x:v>
      </x:c>
      <x:c r="H266" s="3" t="str">
        <x:v>Sedan</x:v>
      </x:c>
      <x:c r="I266" s="3" t="str"/>
      <x:c r="J266" s="3" t="n">
        <x:v>2022</x:v>
      </x:c>
      <x:c r="K266" s="3" t="str">
        <x:v>ALTIS 1.6 G</x:v>
      </x:c>
      <x:c r="L266" s="3" t="str">
        <x:v>G</x:v>
      </x:c>
      <x:c r="M266" s="22"/>
      <x:c r="N266" s="22"/>
      <x:c r="O266" s="22"/>
      <x:c r="P266" s="3" t="str">
        <x:v>未掲載</x:v>
      </x:c>
      <x:c r="Q266" s="3" t="str">
        <x:v>未取得</x:v>
      </x:c>
      <x:c r="R266" s="3" t="str">
        <x:v>Unknown</x:v>
      </x:c>
      <x:c r="S266" s="3" t="str">
        <x:v>不明</x:v>
      </x:c>
      <x:c r="T266" s="3" t="str">
        <x:v>19-ปัจจุบัน</x:v>
      </x:c>
      <x:c r="U266" s="28" t="n">
        <x:v>529000</x:v>
      </x:c>
      <x:c r="V266" s="28" t="n">
        <x:v>879000</x:v>
      </x:c>
      <x:c r="W266" s="3" t="str">
        <x:v>事故・水没・SOH・保証残は未確認</x:v>
      </x:c>
      <x:c r="X266" s="3" t="str">
        <x:v>掲載中・在庫未確認</x:v>
      </x:c>
      <x:c r="Y266" s="3" t="str"/>
      <x:c r="Z266" s="27" t="str">
        <x:v>https://www.taladrod.com/w40/icar/cardet.aspx?cid=2925926</x:v>
      </x:c>
      <x:c r="AA266" s="3" t="str">
        <x:v>Taladrod個別広告ID／Carsome在庫ID</x:v>
      </x:c>
      <x:c r="AB266" s="3" t="str">
        <x:v>車台番号未取得／サイト間重複は未判定</x:v>
      </x:c>
      <x:c r="AC266" s="3" t="str">
        <x:v>税込区分未確認（一覧表示額）</x:v>
      </x:c>
      <x:c r="AD266" s="3" t="str"/>
      <x:c r="AE266" s="29" t="str">
        <x:f>""</x:f>
      </x:c>
      <x:c r="AF266" s="30" t="str">
        <x:f>IF(ISNUMBER(AE266),U266/AE266,"")</x:f>
      </x:c>
      <x:c r="AG266" s="29" t="str">
        <x:f>""</x:f>
      </x:c>
      <x:c r="AH266" s="30" t="str">
        <x:f>IF(ISNUMBER(AG266),U266/AG266,"")</x:f>
      </x:c>
      <x:c r="AI266" s="3" t="str">
        <x:v>同年式・グレードの検証済み当時価格なし／登録年混在</x:v>
      </x:c>
      <x:c r="AJ266" s="3" t="str">
        <x:v>一覧価格/年式のみ</x:v>
      </x:c>
      <x:c r="AK266" s="3" t="str">
        <x:v>一覧の表示価格。年式は掲載年式。</x:v>
      </x:c>
      <x:c r="AL266" s="31" t="n">
        <x:f>IF(AND(J266&lt;='分析方法'!$B$7,OR(ISBLANK(O266),O266&gt;='分析方法'!$B$8),X266&lt;&gt;"売却済み表示"),1,0)</x:f>
        <x:v>1</x:v>
      </x:c>
      <x:c r="AM266" s="32" t="n">
        <x:f>IF(AL266=1,U266,"")</x:f>
        <x:v>529000</x:v>
      </x:c>
      <x:c r="AN266" s="33" t="str">
        <x:f>IF(AL266=1,AF266,"")</x:f>
      </x:c>
      <x:c r="AO266" s="31" t="n">
        <x:f>'分析方法'!$B$6-J266</x:f>
        <x:v>4</x:v>
      </x:c>
      <x:c r="AP266" s="3"/>
    </x:row>
    <x:row r="267" ht="22" customHeight="1">
      <x:c r="A267" s="3" t="str">
        <x:v>T2900714</x:v>
      </x:c>
      <x:c r="B267" s="7" t="d">
        <x:v>2026-10-08T00:00:00.000Z</x:v>
      </x:c>
      <x:c r="C267" s="3" t="str">
        <x:v>Taladrod</x:v>
      </x:c>
      <x:c r="D267" s="3" t="str">
        <x:v>Toyota</x:v>
      </x:c>
      <x:c r="E267" s="3" t="str">
        <x:v>日本</x:v>
      </x:c>
      <x:c r="F267" s="3" t="str">
        <x:v>Corolla Altis</x:v>
      </x:c>
      <x:c r="G267" s="3" t="str">
        <x:v>ICE</x:v>
      </x:c>
      <x:c r="H267" s="3" t="str">
        <x:v>Sedan</x:v>
      </x:c>
      <x:c r="I267" s="3" t="str"/>
      <x:c r="J267" s="3" t="n">
        <x:v>2022</x:v>
      </x:c>
      <x:c r="K267" s="3" t="str">
        <x:v>ALTIS 1.8 GR SPORT</x:v>
      </x:c>
      <x:c r="L267" s="3" t="str">
        <x:v>GR SPORT</x:v>
      </x:c>
      <x:c r="M267" s="22"/>
      <x:c r="N267" s="22"/>
      <x:c r="O267" s="22"/>
      <x:c r="P267" s="3" t="str">
        <x:v>未掲載</x:v>
      </x:c>
      <x:c r="Q267" s="3" t="str">
        <x:v>未取得</x:v>
      </x:c>
      <x:c r="R267" s="3" t="str">
        <x:v>Unknown</x:v>
      </x:c>
      <x:c r="S267" s="3" t="str">
        <x:v>不明</x:v>
      </x:c>
      <x:c r="T267" s="3" t="str">
        <x:v>19-ปัจจุบัน</x:v>
      </x:c>
      <x:c r="U267" s="28" t="n">
        <x:v>519000</x:v>
      </x:c>
      <x:c r="V267" s="28" t="n">
        <x:v>999000</x:v>
      </x:c>
      <x:c r="W267" s="3" t="str">
        <x:v>事故・水没・SOH・保証残は未確認</x:v>
      </x:c>
      <x:c r="X267" s="3" t="str">
        <x:v>掲載中・在庫未確認</x:v>
      </x:c>
      <x:c r="Y267" s="3" t="str"/>
      <x:c r="Z267" s="27" t="str">
        <x:v>https://www.taladrod.com/w40/icar/cardet.aspx?cid=2900714</x:v>
      </x:c>
      <x:c r="AA267" s="3" t="str">
        <x:v>Taladrod個別広告ID／Carsome在庫ID</x:v>
      </x:c>
      <x:c r="AB267" s="3" t="str">
        <x:v>車台番号未取得／サイト間重複は未判定</x:v>
      </x:c>
      <x:c r="AC267" s="3" t="str">
        <x:v>税込区分未確認（一覧表示額）</x:v>
      </x:c>
      <x:c r="AD267" s="3" t="str"/>
      <x:c r="AE267" s="29" t="str">
        <x:f>""</x:f>
      </x:c>
      <x:c r="AF267" s="30" t="str">
        <x:f>IF(ISNUMBER(AE267),U267/AE267,"")</x:f>
      </x:c>
      <x:c r="AG267" s="29" t="str">
        <x:f>""</x:f>
      </x:c>
      <x:c r="AH267" s="30" t="str">
        <x:f>IF(ISNUMBER(AG267),U267/AG267,"")</x:f>
      </x:c>
      <x:c r="AI267" s="3" t="str">
        <x:v>同年式・グレードの検証済み当時価格なし／登録年混在</x:v>
      </x:c>
      <x:c r="AJ267" s="3" t="str">
        <x:v>一覧価格/年式のみ</x:v>
      </x:c>
      <x:c r="AK267" s="3" t="str">
        <x:v>一覧の表示価格。年式は掲載年式。</x:v>
      </x:c>
      <x:c r="AL267" s="31" t="n">
        <x:f>IF(AND(J267&lt;='分析方法'!$B$7,OR(ISBLANK(O267),O267&gt;='分析方法'!$B$8),X267&lt;&gt;"売却済み表示"),1,0)</x:f>
        <x:v>1</x:v>
      </x:c>
      <x:c r="AM267" s="32" t="n">
        <x:f>IF(AL267=1,U267,"")</x:f>
        <x:v>519000</x:v>
      </x:c>
      <x:c r="AN267" s="33" t="str">
        <x:f>IF(AL267=1,AF267,"")</x:f>
      </x:c>
      <x:c r="AO267" s="31" t="n">
        <x:f>'分析方法'!$B$6-J267</x:f>
        <x:v>4</x:v>
      </x:c>
      <x:c r="AP267" s="3"/>
    </x:row>
    <x:row r="268" ht="22" customHeight="1">
      <x:c r="A268" s="3" t="str">
        <x:v>T2921892</x:v>
      </x:c>
      <x:c r="B268" s="7" t="d">
        <x:v>2026-10-08T00:00:00.000Z</x:v>
      </x:c>
      <x:c r="C268" s="3" t="str">
        <x:v>Taladrod</x:v>
      </x:c>
      <x:c r="D268" s="3" t="str">
        <x:v>Toyota</x:v>
      </x:c>
      <x:c r="E268" s="3" t="str">
        <x:v>日本</x:v>
      </x:c>
      <x:c r="F268" s="3" t="str">
        <x:v>Corolla Altis</x:v>
      </x:c>
      <x:c r="G268" s="3" t="str">
        <x:v>ICE</x:v>
      </x:c>
      <x:c r="H268" s="3" t="str">
        <x:v>Sedan</x:v>
      </x:c>
      <x:c r="I268" s="3" t="str"/>
      <x:c r="J268" s="3" t="n">
        <x:v>2022</x:v>
      </x:c>
      <x:c r="K268" s="3" t="str">
        <x:v>ALTIS 1.8 SPORT</x:v>
      </x:c>
      <x:c r="L268" s="3" t="str">
        <x:v>SPORT</x:v>
      </x:c>
      <x:c r="M268" s="22"/>
      <x:c r="N268" s="22"/>
      <x:c r="O268" s="22"/>
      <x:c r="P268" s="3" t="str">
        <x:v>未掲載</x:v>
      </x:c>
      <x:c r="Q268" s="3" t="str">
        <x:v>未取得</x:v>
      </x:c>
      <x:c r="R268" s="3" t="str">
        <x:v>Unknown</x:v>
      </x:c>
      <x:c r="S268" s="3" t="str">
        <x:v>不明</x:v>
      </x:c>
      <x:c r="T268" s="3" t="str">
        <x:v>19-ปัจจุบัน</x:v>
      </x:c>
      <x:c r="U268" s="28" t="n">
        <x:v>529000</x:v>
      </x:c>
      <x:c r="V268" s="28" t="n">
        <x:v>964000</x:v>
      </x:c>
      <x:c r="W268" s="3" t="str">
        <x:v>事故・水没・SOH・保証残は未確認</x:v>
      </x:c>
      <x:c r="X268" s="3" t="str">
        <x:v>掲載中・在庫未確認</x:v>
      </x:c>
      <x:c r="Y268" s="3" t="str"/>
      <x:c r="Z268" s="27" t="str">
        <x:v>https://www.taladrod.com/w40/icar/cardet.aspx?cid=2921892</x:v>
      </x:c>
      <x:c r="AA268" s="3" t="str">
        <x:v>Taladrod個別広告ID／Carsome在庫ID</x:v>
      </x:c>
      <x:c r="AB268" s="3" t="str">
        <x:v>車台番号未取得／サイト間重複は未判定</x:v>
      </x:c>
      <x:c r="AC268" s="3" t="str">
        <x:v>税込区分未確認（一覧表示額）</x:v>
      </x:c>
      <x:c r="AD268" s="3" t="str"/>
      <x:c r="AE268" s="29" t="str">
        <x:f>""</x:f>
      </x:c>
      <x:c r="AF268" s="30" t="str">
        <x:f>IF(ISNUMBER(AE268),U268/AE268,"")</x:f>
      </x:c>
      <x:c r="AG268" s="29" t="str">
        <x:f>""</x:f>
      </x:c>
      <x:c r="AH268" s="30" t="str">
        <x:f>IF(ISNUMBER(AG268),U268/AG268,"")</x:f>
      </x:c>
      <x:c r="AI268" s="3" t="str">
        <x:v>同年式・グレードの検証済み当時価格なし／登録年混在</x:v>
      </x:c>
      <x:c r="AJ268" s="3" t="str">
        <x:v>一覧価格/年式のみ</x:v>
      </x:c>
      <x:c r="AK268" s="3" t="str">
        <x:v>一覧の表示価格。年式は掲載年式。</x:v>
      </x:c>
      <x:c r="AL268" s="31" t="n">
        <x:f>IF(AND(J268&lt;='分析方法'!$B$7,OR(ISBLANK(O268),O268&gt;='分析方法'!$B$8),X268&lt;&gt;"売却済み表示"),1,0)</x:f>
        <x:v>1</x:v>
      </x:c>
      <x:c r="AM268" s="32" t="n">
        <x:f>IF(AL268=1,U268,"")</x:f>
        <x:v>529000</x:v>
      </x:c>
      <x:c r="AN268" s="33" t="str">
        <x:f>IF(AL268=1,AF268,"")</x:f>
      </x:c>
      <x:c r="AO268" s="31" t="n">
        <x:f>'分析方法'!$B$6-J268</x:f>
        <x:v>4</x:v>
      </x:c>
      <x:c r="AP268" s="3"/>
    </x:row>
    <x:row r="269" ht="22" customHeight="1">
      <x:c r="A269" s="3" t="str">
        <x:v>T2905445</x:v>
      </x:c>
      <x:c r="B269" s="7" t="d">
        <x:v>2026-10-08T00:00:00.000Z</x:v>
      </x:c>
      <x:c r="C269" s="3" t="str">
        <x:v>Taladrod</x:v>
      </x:c>
      <x:c r="D269" s="3" t="str">
        <x:v>Toyota</x:v>
      </x:c>
      <x:c r="E269" s="3" t="str">
        <x:v>日本</x:v>
      </x:c>
      <x:c r="F269" s="3" t="str">
        <x:v>Corolla Altis</x:v>
      </x:c>
      <x:c r="G269" s="3" t="str">
        <x:v>ICE</x:v>
      </x:c>
      <x:c r="H269" s="3" t="str">
        <x:v>Sedan</x:v>
      </x:c>
      <x:c r="I269" s="3" t="str"/>
      <x:c r="J269" s="3" t="n">
        <x:v>2023</x:v>
      </x:c>
      <x:c r="K269" s="3" t="str">
        <x:v>ALTIS 1.6 G</x:v>
      </x:c>
      <x:c r="L269" s="3" t="str">
        <x:v>G</x:v>
      </x:c>
      <x:c r="M269" s="22"/>
      <x:c r="N269" s="22"/>
      <x:c r="O269" s="22"/>
      <x:c r="P269" s="3" t="str">
        <x:v>未掲載</x:v>
      </x:c>
      <x:c r="Q269" s="3" t="str">
        <x:v>未取得</x:v>
      </x:c>
      <x:c r="R269" s="3" t="str">
        <x:v>Unknown</x:v>
      </x:c>
      <x:c r="S269" s="3" t="str">
        <x:v>不明</x:v>
      </x:c>
      <x:c r="T269" s="3" t="str">
        <x:v>19-ปัจจุบัน</x:v>
      </x:c>
      <x:c r="U269" s="28" t="n">
        <x:v>479000</x:v>
      </x:c>
      <x:c r="V269" s="28" t="n">
        <x:v>879000</x:v>
      </x:c>
      <x:c r="W269" s="3" t="str">
        <x:v>事故・水没・SOH・保証残は未確認</x:v>
      </x:c>
      <x:c r="X269" s="3" t="str">
        <x:v>掲載中・在庫未確認</x:v>
      </x:c>
      <x:c r="Y269" s="3" t="str"/>
      <x:c r="Z269" s="27" t="str">
        <x:v>https://www.taladrod.com/w40/icar/cardet.aspx?cid=2905445</x:v>
      </x:c>
      <x:c r="AA269" s="3" t="str">
        <x:v>Taladrod個別広告ID／Carsome在庫ID</x:v>
      </x:c>
      <x:c r="AB269" s="3" t="str">
        <x:v>車台番号未取得／サイト間重複は未判定</x:v>
      </x:c>
      <x:c r="AC269" s="3" t="str">
        <x:v>税込区分未確認（一覧表示額）</x:v>
      </x:c>
      <x:c r="AD269" s="3" t="str"/>
      <x:c r="AE269" s="29" t="str">
        <x:f>""</x:f>
      </x:c>
      <x:c r="AF269" s="30" t="str">
        <x:f>IF(ISNUMBER(AE269),U269/AE269,"")</x:f>
      </x:c>
      <x:c r="AG269" s="29" t="str">
        <x:f>""</x:f>
      </x:c>
      <x:c r="AH269" s="30" t="str">
        <x:f>IF(ISNUMBER(AG269),U269/AG269,"")</x:f>
      </x:c>
      <x:c r="AI269" s="3" t="str">
        <x:v>同年式・グレードの検証済み当時価格なし／登録年混在</x:v>
      </x:c>
      <x:c r="AJ269" s="3" t="str">
        <x:v>一覧価格/年式のみ</x:v>
      </x:c>
      <x:c r="AK269" s="3" t="str">
        <x:v>一覧の表示価格。年式は掲載年式。</x:v>
      </x:c>
      <x:c r="AL269" s="31" t="n">
        <x:f>IF(AND(J269&lt;='分析方法'!$B$7,OR(ISBLANK(O269),O269&gt;='分析方法'!$B$8),X269&lt;&gt;"売却済み表示"),1,0)</x:f>
        <x:v>1</x:v>
      </x:c>
      <x:c r="AM269" s="32" t="n">
        <x:f>IF(AL269=1,U269,"")</x:f>
        <x:v>479000</x:v>
      </x:c>
      <x:c r="AN269" s="33" t="str">
        <x:f>IF(AL269=1,AF269,"")</x:f>
      </x:c>
      <x:c r="AO269" s="31" t="n">
        <x:f>'分析方法'!$B$6-J269</x:f>
        <x:v>3</x:v>
      </x:c>
      <x:c r="AP269" s="3"/>
    </x:row>
    <x:row r="270" ht="22" customHeight="1">
      <x:c r="A270" s="3" t="str">
        <x:v>T2912418</x:v>
      </x:c>
      <x:c r="B270" s="7" t="d">
        <x:v>2026-10-08T00:00:00.000Z</x:v>
      </x:c>
      <x:c r="C270" s="3" t="str">
        <x:v>Taladrod</x:v>
      </x:c>
      <x:c r="D270" s="3" t="str">
        <x:v>Toyota</x:v>
      </x:c>
      <x:c r="E270" s="3" t="str">
        <x:v>日本</x:v>
      </x:c>
      <x:c r="F270" s="3" t="str">
        <x:v>Corolla Altis</x:v>
      </x:c>
      <x:c r="G270" s="3" t="str">
        <x:v>ICE</x:v>
      </x:c>
      <x:c r="H270" s="3" t="str">
        <x:v>Sedan</x:v>
      </x:c>
      <x:c r="I270" s="3" t="str"/>
      <x:c r="J270" s="3" t="n">
        <x:v>2023</x:v>
      </x:c>
      <x:c r="K270" s="3" t="str">
        <x:v>ALTIS 1.6 G</x:v>
      </x:c>
      <x:c r="L270" s="3" t="str">
        <x:v>G</x:v>
      </x:c>
      <x:c r="M270" s="22"/>
      <x:c r="N270" s="22"/>
      <x:c r="O270" s="22"/>
      <x:c r="P270" s="3" t="str">
        <x:v>未掲載</x:v>
      </x:c>
      <x:c r="Q270" s="3" t="str">
        <x:v>未取得</x:v>
      </x:c>
      <x:c r="R270" s="3" t="str">
        <x:v>Unknown</x:v>
      </x:c>
      <x:c r="S270" s="3" t="str">
        <x:v>不明</x:v>
      </x:c>
      <x:c r="T270" s="3" t="str">
        <x:v>19-ปัจจุบัน</x:v>
      </x:c>
      <x:c r="U270" s="28" t="n">
        <x:v>449000</x:v>
      </x:c>
      <x:c r="V270" s="28" t="n">
        <x:v>879000</x:v>
      </x:c>
      <x:c r="W270" s="3" t="str">
        <x:v>事故・水没・SOH・保証残は未確認</x:v>
      </x:c>
      <x:c r="X270" s="3" t="str">
        <x:v>掲載中・在庫未確認</x:v>
      </x:c>
      <x:c r="Y270" s="3" t="str"/>
      <x:c r="Z270" s="27" t="str">
        <x:v>https://www.taladrod.com/w40/icar/cardet.aspx?cid=2912418</x:v>
      </x:c>
      <x:c r="AA270" s="3" t="str">
        <x:v>Taladrod個別広告ID／Carsome在庫ID</x:v>
      </x:c>
      <x:c r="AB270" s="3" t="str">
        <x:v>車台番号未取得／サイト間重複は未判定</x:v>
      </x:c>
      <x:c r="AC270" s="3" t="str">
        <x:v>税込区分未確認（一覧表示額）</x:v>
      </x:c>
      <x:c r="AD270" s="3" t="str"/>
      <x:c r="AE270" s="29" t="str">
        <x:f>""</x:f>
      </x:c>
      <x:c r="AF270" s="30" t="str">
        <x:f>IF(ISNUMBER(AE270),U270/AE270,"")</x:f>
      </x:c>
      <x:c r="AG270" s="29" t="str">
        <x:f>""</x:f>
      </x:c>
      <x:c r="AH270" s="30" t="str">
        <x:f>IF(ISNUMBER(AG270),U270/AG270,"")</x:f>
      </x:c>
      <x:c r="AI270" s="3" t="str">
        <x:v>同年式・グレードの検証済み当時価格なし／登録年混在</x:v>
      </x:c>
      <x:c r="AJ270" s="3" t="str">
        <x:v>一覧価格/年式のみ</x:v>
      </x:c>
      <x:c r="AK270" s="3" t="str">
        <x:v>一覧の表示価格。年式は掲載年式。</x:v>
      </x:c>
      <x:c r="AL270" s="31" t="n">
        <x:f>IF(AND(J270&lt;='分析方法'!$B$7,OR(ISBLANK(O270),O270&gt;='分析方法'!$B$8),X270&lt;&gt;"売却済み表示"),1,0)</x:f>
        <x:v>1</x:v>
      </x:c>
      <x:c r="AM270" s="32" t="n">
        <x:f>IF(AL270=1,U270,"")</x:f>
        <x:v>449000</x:v>
      </x:c>
      <x:c r="AN270" s="33" t="str">
        <x:f>IF(AL270=1,AF270,"")</x:f>
      </x:c>
      <x:c r="AO270" s="31" t="n">
        <x:f>'分析方法'!$B$6-J270</x:f>
        <x:v>3</x:v>
      </x:c>
      <x:c r="AP270" s="3"/>
    </x:row>
    <x:row r="271" ht="22" customHeight="1">
      <x:c r="A271" s="3" t="str">
        <x:v>T2916162</x:v>
      </x:c>
      <x:c r="B271" s="7" t="d">
        <x:v>2026-10-08T00:00:00.000Z</x:v>
      </x:c>
      <x:c r="C271" s="3" t="str">
        <x:v>Taladrod</x:v>
      </x:c>
      <x:c r="D271" s="3" t="str">
        <x:v>Toyota</x:v>
      </x:c>
      <x:c r="E271" s="3" t="str">
        <x:v>日本</x:v>
      </x:c>
      <x:c r="F271" s="3" t="str">
        <x:v>Corolla Altis</x:v>
      </x:c>
      <x:c r="G271" s="3" t="str">
        <x:v>ICE</x:v>
      </x:c>
      <x:c r="H271" s="3" t="str">
        <x:v>Sedan</x:v>
      </x:c>
      <x:c r="I271" s="3" t="str"/>
      <x:c r="J271" s="3" t="n">
        <x:v>2023</x:v>
      </x:c>
      <x:c r="K271" s="3" t="str">
        <x:v>ALTIS 1.6 G</x:v>
      </x:c>
      <x:c r="L271" s="3" t="str">
        <x:v>G</x:v>
      </x:c>
      <x:c r="M271" s="22"/>
      <x:c r="N271" s="22"/>
      <x:c r="O271" s="22"/>
      <x:c r="P271" s="3" t="str">
        <x:v>未掲載</x:v>
      </x:c>
      <x:c r="Q271" s="3" t="str">
        <x:v>未取得</x:v>
      </x:c>
      <x:c r="R271" s="3" t="str">
        <x:v>Unknown</x:v>
      </x:c>
      <x:c r="S271" s="3" t="str">
        <x:v>不明</x:v>
      </x:c>
      <x:c r="T271" s="3" t="str">
        <x:v>19-ปัจจุบัน</x:v>
      </x:c>
      <x:c r="U271" s="28" t="n">
        <x:v>499000</x:v>
      </x:c>
      <x:c r="V271" s="28" t="n">
        <x:v>879000</x:v>
      </x:c>
      <x:c r="W271" s="3" t="str">
        <x:v>事故・水没・SOH・保証残は未確認</x:v>
      </x:c>
      <x:c r="X271" s="3" t="str">
        <x:v>掲載中・在庫未確認</x:v>
      </x:c>
      <x:c r="Y271" s="3" t="str"/>
      <x:c r="Z271" s="27" t="str">
        <x:v>https://www.taladrod.com/w40/icar/cardet.aspx?cid=2916162</x:v>
      </x:c>
      <x:c r="AA271" s="3" t="str">
        <x:v>Taladrod個別広告ID／Carsome在庫ID</x:v>
      </x:c>
      <x:c r="AB271" s="3" t="str">
        <x:v>車台番号未取得／サイト間重複は未判定</x:v>
      </x:c>
      <x:c r="AC271" s="3" t="str">
        <x:v>税込区分未確認（一覧表示額）</x:v>
      </x:c>
      <x:c r="AD271" s="3" t="str"/>
      <x:c r="AE271" s="29" t="str">
        <x:f>""</x:f>
      </x:c>
      <x:c r="AF271" s="30" t="str">
        <x:f>IF(ISNUMBER(AE271),U271/AE271,"")</x:f>
      </x:c>
      <x:c r="AG271" s="29" t="str">
        <x:f>""</x:f>
      </x:c>
      <x:c r="AH271" s="30" t="str">
        <x:f>IF(ISNUMBER(AG271),U271/AG271,"")</x:f>
      </x:c>
      <x:c r="AI271" s="3" t="str">
        <x:v>同年式・グレードの検証済み当時価格なし／登録年混在</x:v>
      </x:c>
      <x:c r="AJ271" s="3" t="str">
        <x:v>一覧価格/年式のみ</x:v>
      </x:c>
      <x:c r="AK271" s="3" t="str">
        <x:v>一覧の表示価格。年式は掲載年式。</x:v>
      </x:c>
      <x:c r="AL271" s="31" t="n">
        <x:f>IF(AND(J271&lt;='分析方法'!$B$7,OR(ISBLANK(O271),O271&gt;='分析方法'!$B$8),X271&lt;&gt;"売却済み表示"),1,0)</x:f>
        <x:v>1</x:v>
      </x:c>
      <x:c r="AM271" s="32" t="n">
        <x:f>IF(AL271=1,U271,"")</x:f>
        <x:v>499000</x:v>
      </x:c>
      <x:c r="AN271" s="33" t="str">
        <x:f>IF(AL271=1,AF271,"")</x:f>
      </x:c>
      <x:c r="AO271" s="31" t="n">
        <x:f>'分析方法'!$B$6-J271</x:f>
        <x:v>3</x:v>
      </x:c>
      <x:c r="AP271" s="3"/>
    </x:row>
    <x:row r="272" ht="22" customHeight="1">
      <x:c r="A272" s="3" t="str">
        <x:v>T2925316</x:v>
      </x:c>
      <x:c r="B272" s="7" t="d">
        <x:v>2026-10-08T00:00:00.000Z</x:v>
      </x:c>
      <x:c r="C272" s="3" t="str">
        <x:v>Taladrod</x:v>
      </x:c>
      <x:c r="D272" s="3" t="str">
        <x:v>Toyota</x:v>
      </x:c>
      <x:c r="E272" s="3" t="str">
        <x:v>日本</x:v>
      </x:c>
      <x:c r="F272" s="3" t="str">
        <x:v>Corolla Altis</x:v>
      </x:c>
      <x:c r="G272" s="3" t="str">
        <x:v>ICE</x:v>
      </x:c>
      <x:c r="H272" s="3" t="str">
        <x:v>Sedan</x:v>
      </x:c>
      <x:c r="I272" s="3" t="str"/>
      <x:c r="J272" s="3" t="n">
        <x:v>2023</x:v>
      </x:c>
      <x:c r="K272" s="3" t="str">
        <x:v>ALTIS 1.6 G</x:v>
      </x:c>
      <x:c r="L272" s="3" t="str">
        <x:v>G</x:v>
      </x:c>
      <x:c r="M272" s="22"/>
      <x:c r="N272" s="22"/>
      <x:c r="O272" s="22"/>
      <x:c r="P272" s="3" t="str">
        <x:v>未掲載</x:v>
      </x:c>
      <x:c r="Q272" s="3" t="str">
        <x:v>未取得</x:v>
      </x:c>
      <x:c r="R272" s="3" t="str">
        <x:v>Unknown</x:v>
      </x:c>
      <x:c r="S272" s="3" t="str">
        <x:v>不明</x:v>
      </x:c>
      <x:c r="T272" s="3" t="str">
        <x:v>19-ปัจจุบัน</x:v>
      </x:c>
      <x:c r="U272" s="28" t="n">
        <x:v>459000</x:v>
      </x:c>
      <x:c r="V272" s="28" t="n">
        <x:v>879000</x:v>
      </x:c>
      <x:c r="W272" s="3" t="str">
        <x:v>事故・水没・SOH・保証残は未確認</x:v>
      </x:c>
      <x:c r="X272" s="3" t="str">
        <x:v>掲載中・在庫未確認</x:v>
      </x:c>
      <x:c r="Y272" s="3" t="str"/>
      <x:c r="Z272" s="27" t="str">
        <x:v>https://www.taladrod.com/w40/icar/cardet.aspx?cid=2925316</x:v>
      </x:c>
      <x:c r="AA272" s="3" t="str">
        <x:v>Taladrod個別広告ID／Carsome在庫ID</x:v>
      </x:c>
      <x:c r="AB272" s="3" t="str">
        <x:v>車台番号未取得／サイト間重複は未判定</x:v>
      </x:c>
      <x:c r="AC272" s="3" t="str">
        <x:v>税込区分未確認（一覧表示額）</x:v>
      </x:c>
      <x:c r="AD272" s="3" t="str"/>
      <x:c r="AE272" s="29" t="str">
        <x:f>""</x:f>
      </x:c>
      <x:c r="AF272" s="30" t="str">
        <x:f>IF(ISNUMBER(AE272),U272/AE272,"")</x:f>
      </x:c>
      <x:c r="AG272" s="29" t="str">
        <x:f>""</x:f>
      </x:c>
      <x:c r="AH272" s="30" t="str">
        <x:f>IF(ISNUMBER(AG272),U272/AG272,"")</x:f>
      </x:c>
      <x:c r="AI272" s="3" t="str">
        <x:v>同年式・グレードの検証済み当時価格なし／登録年混在</x:v>
      </x:c>
      <x:c r="AJ272" s="3" t="str">
        <x:v>一覧価格/年式のみ</x:v>
      </x:c>
      <x:c r="AK272" s="3" t="str">
        <x:v>一覧の表示価格。年式は掲載年式。</x:v>
      </x:c>
      <x:c r="AL272" s="31" t="n">
        <x:f>IF(AND(J272&lt;='分析方法'!$B$7,OR(ISBLANK(O272),O272&gt;='分析方法'!$B$8),X272&lt;&gt;"売却済み表示"),1,0)</x:f>
        <x:v>1</x:v>
      </x:c>
      <x:c r="AM272" s="32" t="n">
        <x:f>IF(AL272=1,U272,"")</x:f>
        <x:v>459000</x:v>
      </x:c>
      <x:c r="AN272" s="33" t="str">
        <x:f>IF(AL272=1,AF272,"")</x:f>
      </x:c>
      <x:c r="AO272" s="31" t="n">
        <x:f>'分析方法'!$B$6-J272</x:f>
        <x:v>3</x:v>
      </x:c>
      <x:c r="AP272" s="3"/>
    </x:row>
    <x:row r="273" ht="22" customHeight="1">
      <x:c r="A273" s="3" t="str">
        <x:v>T2926238</x:v>
      </x:c>
      <x:c r="B273" s="7" t="d">
        <x:v>2026-10-08T00:00:00.000Z</x:v>
      </x:c>
      <x:c r="C273" s="3" t="str">
        <x:v>Taladrod</x:v>
      </x:c>
      <x:c r="D273" s="3" t="str">
        <x:v>Toyota</x:v>
      </x:c>
      <x:c r="E273" s="3" t="str">
        <x:v>日本</x:v>
      </x:c>
      <x:c r="F273" s="3" t="str">
        <x:v>Corolla Altis</x:v>
      </x:c>
      <x:c r="G273" s="3" t="str">
        <x:v>ICE</x:v>
      </x:c>
      <x:c r="H273" s="3" t="str">
        <x:v>Sedan</x:v>
      </x:c>
      <x:c r="I273" s="3" t="str"/>
      <x:c r="J273" s="3" t="n">
        <x:v>2023</x:v>
      </x:c>
      <x:c r="K273" s="3" t="str">
        <x:v>ALTIS 1.6 G</x:v>
      </x:c>
      <x:c r="L273" s="3" t="str">
        <x:v>G</x:v>
      </x:c>
      <x:c r="M273" s="22"/>
      <x:c r="N273" s="22"/>
      <x:c r="O273" s="22"/>
      <x:c r="P273" s="3" t="str">
        <x:v>未掲載</x:v>
      </x:c>
      <x:c r="Q273" s="3" t="str">
        <x:v>未取得</x:v>
      </x:c>
      <x:c r="R273" s="3" t="str">
        <x:v>Unknown</x:v>
      </x:c>
      <x:c r="S273" s="3" t="str">
        <x:v>不明</x:v>
      </x:c>
      <x:c r="T273" s="3" t="str">
        <x:v>19-ปัจจุบัน</x:v>
      </x:c>
      <x:c r="U273" s="28" t="n">
        <x:v>529000</x:v>
      </x:c>
      <x:c r="V273" s="28" t="n">
        <x:v>879000</x:v>
      </x:c>
      <x:c r="W273" s="3" t="str">
        <x:v>事故・水没・SOH・保証残は未確認</x:v>
      </x:c>
      <x:c r="X273" s="3" t="str">
        <x:v>掲載中・在庫未確認</x:v>
      </x:c>
      <x:c r="Y273" s="3" t="str"/>
      <x:c r="Z273" s="27" t="str">
        <x:v>https://www.taladrod.com/w40/icar/cardet.aspx?cid=2926238</x:v>
      </x:c>
      <x:c r="AA273" s="3" t="str">
        <x:v>Taladrod個別広告ID／Carsome在庫ID</x:v>
      </x:c>
      <x:c r="AB273" s="3" t="str">
        <x:v>車台番号未取得／サイト間重複は未判定</x:v>
      </x:c>
      <x:c r="AC273" s="3" t="str">
        <x:v>税込区分未確認（一覧表示額）</x:v>
      </x:c>
      <x:c r="AD273" s="3" t="str"/>
      <x:c r="AE273" s="29" t="str">
        <x:f>""</x:f>
      </x:c>
      <x:c r="AF273" s="30" t="str">
        <x:f>IF(ISNUMBER(AE273),U273/AE273,"")</x:f>
      </x:c>
      <x:c r="AG273" s="29" t="str">
        <x:f>""</x:f>
      </x:c>
      <x:c r="AH273" s="30" t="str">
        <x:f>IF(ISNUMBER(AG273),U273/AG273,"")</x:f>
      </x:c>
      <x:c r="AI273" s="3" t="str">
        <x:v>同年式・グレードの検証済み当時価格なし／登録年混在</x:v>
      </x:c>
      <x:c r="AJ273" s="3" t="str">
        <x:v>一覧価格/年式のみ</x:v>
      </x:c>
      <x:c r="AK273" s="3" t="str">
        <x:v>一覧の表示価格。年式は掲載年式。</x:v>
      </x:c>
      <x:c r="AL273" s="31" t="n">
        <x:f>IF(AND(J273&lt;='分析方法'!$B$7,OR(ISBLANK(O273),O273&gt;='分析方法'!$B$8),X273&lt;&gt;"売却済み表示"),1,0)</x:f>
        <x:v>1</x:v>
      </x:c>
      <x:c r="AM273" s="32" t="n">
        <x:f>IF(AL273=1,U273,"")</x:f>
        <x:v>529000</x:v>
      </x:c>
      <x:c r="AN273" s="33" t="str">
        <x:f>IF(AL273=1,AF273,"")</x:f>
      </x:c>
      <x:c r="AO273" s="31" t="n">
        <x:f>'分析方法'!$B$6-J273</x:f>
        <x:v>3</x:v>
      </x:c>
      <x:c r="AP273" s="3"/>
    </x:row>
    <x:row r="274" ht="22" customHeight="1">
      <x:c r="A274" s="3" t="str">
        <x:v>T2926245</x:v>
      </x:c>
      <x:c r="B274" s="7" t="d">
        <x:v>2026-10-08T00:00:00.000Z</x:v>
      </x:c>
      <x:c r="C274" s="3" t="str">
        <x:v>Taladrod</x:v>
      </x:c>
      <x:c r="D274" s="3" t="str">
        <x:v>Toyota</x:v>
      </x:c>
      <x:c r="E274" s="3" t="str">
        <x:v>日本</x:v>
      </x:c>
      <x:c r="F274" s="3" t="str">
        <x:v>Corolla Altis</x:v>
      </x:c>
      <x:c r="G274" s="3" t="str">
        <x:v>ICE</x:v>
      </x:c>
      <x:c r="H274" s="3" t="str">
        <x:v>Sedan</x:v>
      </x:c>
      <x:c r="I274" s="3" t="str"/>
      <x:c r="J274" s="3" t="n">
        <x:v>2023</x:v>
      </x:c>
      <x:c r="K274" s="3" t="str">
        <x:v>ALTIS 1.6 G</x:v>
      </x:c>
      <x:c r="L274" s="3" t="str">
        <x:v>G</x:v>
      </x:c>
      <x:c r="M274" s="22"/>
      <x:c r="N274" s="22"/>
      <x:c r="O274" s="22"/>
      <x:c r="P274" s="3" t="str">
        <x:v>未掲載</x:v>
      </x:c>
      <x:c r="Q274" s="3" t="str">
        <x:v>未取得</x:v>
      </x:c>
      <x:c r="R274" s="3" t="str">
        <x:v>Unknown</x:v>
      </x:c>
      <x:c r="S274" s="3" t="str">
        <x:v>不明</x:v>
      </x:c>
      <x:c r="T274" s="3" t="str">
        <x:v>19-ปัจจุบัน</x:v>
      </x:c>
      <x:c r="U274" s="28" t="n">
        <x:v>559000</x:v>
      </x:c>
      <x:c r="V274" s="28" t="n">
        <x:v>879000</x:v>
      </x:c>
      <x:c r="W274" s="3" t="str">
        <x:v>事故・水没・SOH・保証残は未確認</x:v>
      </x:c>
      <x:c r="X274" s="3" t="str">
        <x:v>掲載中・在庫未確認</x:v>
      </x:c>
      <x:c r="Y274" s="3" t="str"/>
      <x:c r="Z274" s="27" t="str">
        <x:v>https://www.taladrod.com/w40/icar/cardet.aspx?cid=2926245</x:v>
      </x:c>
      <x:c r="AA274" s="3" t="str">
        <x:v>Taladrod個別広告ID／Carsome在庫ID</x:v>
      </x:c>
      <x:c r="AB274" s="3" t="str">
        <x:v>車台番号未取得／サイト間重複は未判定</x:v>
      </x:c>
      <x:c r="AC274" s="3" t="str">
        <x:v>税込区分未確認（一覧表示額）</x:v>
      </x:c>
      <x:c r="AD274" s="3" t="str"/>
      <x:c r="AE274" s="29" t="str">
        <x:f>""</x:f>
      </x:c>
      <x:c r="AF274" s="30" t="str">
        <x:f>IF(ISNUMBER(AE274),U274/AE274,"")</x:f>
      </x:c>
      <x:c r="AG274" s="29" t="str">
        <x:f>""</x:f>
      </x:c>
      <x:c r="AH274" s="30" t="str">
        <x:f>IF(ISNUMBER(AG274),U274/AG274,"")</x:f>
      </x:c>
      <x:c r="AI274" s="3" t="str">
        <x:v>同年式・グレードの検証済み当時価格なし／登録年混在</x:v>
      </x:c>
      <x:c r="AJ274" s="3" t="str">
        <x:v>一覧価格/年式のみ</x:v>
      </x:c>
      <x:c r="AK274" s="3" t="str">
        <x:v>一覧の表示価格。年式は掲載年式。</x:v>
      </x:c>
      <x:c r="AL274" s="31" t="n">
        <x:f>IF(AND(J274&lt;='分析方法'!$B$7,OR(ISBLANK(O274),O274&gt;='分析方法'!$B$8),X274&lt;&gt;"売却済み表示"),1,0)</x:f>
        <x:v>1</x:v>
      </x:c>
      <x:c r="AM274" s="32" t="n">
        <x:f>IF(AL274=1,U274,"")</x:f>
        <x:v>559000</x:v>
      </x:c>
      <x:c r="AN274" s="33" t="str">
        <x:f>IF(AL274=1,AF274,"")</x:f>
      </x:c>
      <x:c r="AO274" s="31" t="n">
        <x:f>'分析方法'!$B$6-J274</x:f>
        <x:v>3</x:v>
      </x:c>
      <x:c r="AP274" s="3"/>
    </x:row>
    <x:row r="275" ht="22" customHeight="1">
      <x:c r="A275" s="3" t="str">
        <x:v>T2895101</x:v>
      </x:c>
      <x:c r="B275" s="7" t="d">
        <x:v>2026-10-08T00:00:00.000Z</x:v>
      </x:c>
      <x:c r="C275" s="3" t="str">
        <x:v>Taladrod</x:v>
      </x:c>
      <x:c r="D275" s="3" t="str">
        <x:v>Toyota</x:v>
      </x:c>
      <x:c r="E275" s="3" t="str">
        <x:v>日本</x:v>
      </x:c>
      <x:c r="F275" s="3" t="str">
        <x:v>Corolla Cross</x:v>
      </x:c>
      <x:c r="G275" s="3" t="str">
        <x:v>HEV</x:v>
      </x:c>
      <x:c r="H275" s="3" t="str">
        <x:v>SUV</x:v>
      </x:c>
      <x:c r="I275" s="3" t="str"/>
      <x:c r="J275" s="3" t="n">
        <x:v>2020</x:v>
      </x:c>
      <x:c r="K275" s="3" t="str">
        <x:v>1.8 HYBRID PREMIUM</x:v>
      </x:c>
      <x:c r="L275" s="3" t="str">
        <x:v>HEV PREMIUM</x:v>
      </x:c>
      <x:c r="M275" s="22"/>
      <x:c r="N275" s="22"/>
      <x:c r="O275" s="22"/>
      <x:c r="P275" s="3" t="str">
        <x:v>未掲載</x:v>
      </x:c>
      <x:c r="Q275" s="3" t="str">
        <x:v>未取得</x:v>
      </x:c>
      <x:c r="R275" s="3" t="str">
        <x:v>Unknown</x:v>
      </x:c>
      <x:c r="S275" s="3" t="str">
        <x:v>不明</x:v>
      </x:c>
      <x:c r="T275" s="3" t="str">
        <x:v>20-ปัจจุบัน</x:v>
      </x:c>
      <x:c r="U275" s="28" t="n">
        <x:v>599000</x:v>
      </x:c>
      <x:c r="V275" s="28" t="n">
        <x:v>1089000</x:v>
      </x:c>
      <x:c r="W275" s="3" t="str">
        <x:v>事故・水没・SOH・保証残は未確認</x:v>
      </x:c>
      <x:c r="X275" s="3" t="str">
        <x:v>掲載中・在庫未確認</x:v>
      </x:c>
      <x:c r="Y275" s="3" t="str"/>
      <x:c r="Z275" s="27" t="str">
        <x:v>https://www.taladrod.com/w40/icar/cardet.aspx?cid=2895101</x:v>
      </x:c>
      <x:c r="AA275" s="3" t="str">
        <x:v>Taladrod個別広告ID／Carsome在庫ID</x:v>
      </x:c>
      <x:c r="AB275" s="3" t="str">
        <x:v>車台番号未取得／サイト間重複は未判定</x:v>
      </x:c>
      <x:c r="AC275" s="3" t="str">
        <x:v>税込区分未確認（一覧表示額）</x:v>
      </x:c>
      <x:c r="AD275" s="3" t="str"/>
      <x:c r="AE275" s="29" t="str">
        <x:f>""</x:f>
      </x:c>
      <x:c r="AF275" s="30" t="str">
        <x:f>IF(ISNUMBER(AE275),U275/AE275,"")</x:f>
      </x:c>
      <x:c r="AG275" s="29" t="n">
        <x:f>'新車価格・特価'!N54</x:f>
        <x:v>1094000</x:v>
      </x:c>
      <x:c r="AH275" s="30" t="n">
        <x:f>IF(ISNUMBER(AG275),U275/AG275,"")</x:f>
        <x:v>0.5475319926873857</x:v>
      </x:c>
      <x:c r="AI275" s="3" t="str">
        <x:v>同年式・グレードの検証済み当時価格なし／登録年混在</x:v>
      </x:c>
      <x:c r="AJ275" s="3" t="str">
        <x:v>一覧価格/年式のみ</x:v>
      </x:c>
      <x:c r="AK275" s="3" t="str">
        <x:v>一覧の表示価格。年式は掲載年式。</x:v>
      </x:c>
      <x:c r="AL275" s="31" t="n">
        <x:f>IF(AND(J275&lt;='分析方法'!$B$7,OR(ISBLANK(O275),O275&gt;='分析方法'!$B$8),X275&lt;&gt;"売却済み表示"),1,0)</x:f>
        <x:v>1</x:v>
      </x:c>
      <x:c r="AM275" s="32" t="n">
        <x:f>IF(AL275=1,U275,"")</x:f>
        <x:v>599000</x:v>
      </x:c>
      <x:c r="AN275" s="33" t="str">
        <x:f>IF(AL275=1,AF275,"")</x:f>
      </x:c>
      <x:c r="AO275" s="31" t="n">
        <x:f>'分析方法'!$B$6-J275</x:f>
        <x:v>6</x:v>
      </x:c>
      <x:c r="AP275" s="3"/>
    </x:row>
    <x:row r="276" ht="22" customHeight="1">
      <x:c r="A276" s="3" t="str">
        <x:v>T2895120</x:v>
      </x:c>
      <x:c r="B276" s="7" t="d">
        <x:v>2026-10-08T00:00:00.000Z</x:v>
      </x:c>
      <x:c r="C276" s="3" t="str">
        <x:v>Taladrod</x:v>
      </x:c>
      <x:c r="D276" s="3" t="str">
        <x:v>Toyota</x:v>
      </x:c>
      <x:c r="E276" s="3" t="str">
        <x:v>日本</x:v>
      </x:c>
      <x:c r="F276" s="3" t="str">
        <x:v>Corolla Cross</x:v>
      </x:c>
      <x:c r="G276" s="3" t="str">
        <x:v>HEV</x:v>
      </x:c>
      <x:c r="H276" s="3" t="str">
        <x:v>SUV</x:v>
      </x:c>
      <x:c r="I276" s="3" t="str"/>
      <x:c r="J276" s="3" t="n">
        <x:v>2020</x:v>
      </x:c>
      <x:c r="K276" s="3" t="str">
        <x:v>1.8 HYBRID PREMIUM</x:v>
      </x:c>
      <x:c r="L276" s="3" t="str">
        <x:v>HEV PREMIUM</x:v>
      </x:c>
      <x:c r="M276" s="22"/>
      <x:c r="N276" s="22"/>
      <x:c r="O276" s="22"/>
      <x:c r="P276" s="3" t="str">
        <x:v>未掲載</x:v>
      </x:c>
      <x:c r="Q276" s="3" t="str">
        <x:v>未取得</x:v>
      </x:c>
      <x:c r="R276" s="3" t="str">
        <x:v>Unknown</x:v>
      </x:c>
      <x:c r="S276" s="3" t="str">
        <x:v>不明</x:v>
      </x:c>
      <x:c r="T276" s="3" t="str">
        <x:v>20-ปัจจุบัน</x:v>
      </x:c>
      <x:c r="U276" s="28" t="n">
        <x:v>618000</x:v>
      </x:c>
      <x:c r="V276" s="28" t="n">
        <x:v>1089000</x:v>
      </x:c>
      <x:c r="W276" s="3" t="str">
        <x:v>事故・水没・SOH・保証残は未確認</x:v>
      </x:c>
      <x:c r="X276" s="3" t="str">
        <x:v>掲載中・在庫未確認</x:v>
      </x:c>
      <x:c r="Y276" s="3" t="str"/>
      <x:c r="Z276" s="27" t="str">
        <x:v>https://www.taladrod.com/w40/icar/cardet.aspx?cid=2895120</x:v>
      </x:c>
      <x:c r="AA276" s="3" t="str">
        <x:v>Taladrod個別広告ID／Carsome在庫ID</x:v>
      </x:c>
      <x:c r="AB276" s="3" t="str">
        <x:v>車台番号未取得／サイト間重複は未判定</x:v>
      </x:c>
      <x:c r="AC276" s="3" t="str">
        <x:v>税込区分未確認（一覧表示額）</x:v>
      </x:c>
      <x:c r="AD276" s="3" t="str"/>
      <x:c r="AE276" s="29" t="str">
        <x:f>""</x:f>
      </x:c>
      <x:c r="AF276" s="30" t="str">
        <x:f>IF(ISNUMBER(AE276),U276/AE276,"")</x:f>
      </x:c>
      <x:c r="AG276" s="29" t="n">
        <x:f>'新車価格・特価'!N54</x:f>
        <x:v>1094000</x:v>
      </x:c>
      <x:c r="AH276" s="30" t="n">
        <x:f>IF(ISNUMBER(AG276),U276/AG276,"")</x:f>
        <x:v>0.5648994515539305</x:v>
      </x:c>
      <x:c r="AI276" s="3" t="str">
        <x:v>同年式・グレードの検証済み当時価格なし／登録年混在</x:v>
      </x:c>
      <x:c r="AJ276" s="3" t="str">
        <x:v>一覧価格/年式のみ</x:v>
      </x:c>
      <x:c r="AK276" s="3" t="str">
        <x:v>一覧の表示価格。年式は掲載年式。</x:v>
      </x:c>
      <x:c r="AL276" s="31" t="n">
        <x:f>IF(AND(J276&lt;='分析方法'!$B$7,OR(ISBLANK(O276),O276&gt;='分析方法'!$B$8),X276&lt;&gt;"売却済み表示"),1,0)</x:f>
        <x:v>1</x:v>
      </x:c>
      <x:c r="AM276" s="32" t="n">
        <x:f>IF(AL276=1,U276,"")</x:f>
        <x:v>618000</x:v>
      </x:c>
      <x:c r="AN276" s="33" t="str">
        <x:f>IF(AL276=1,AF276,"")</x:f>
      </x:c>
      <x:c r="AO276" s="31" t="n">
        <x:f>'分析方法'!$B$6-J276</x:f>
        <x:v>6</x:v>
      </x:c>
      <x:c r="AP276" s="3"/>
    </x:row>
    <x:row r="277" ht="22" customHeight="1">
      <x:c r="A277" s="3" t="str">
        <x:v>T2906543</x:v>
      </x:c>
      <x:c r="B277" s="7" t="d">
        <x:v>2026-10-08T00:00:00.000Z</x:v>
      </x:c>
      <x:c r="C277" s="3" t="str">
        <x:v>Taladrod</x:v>
      </x:c>
      <x:c r="D277" s="3" t="str">
        <x:v>Toyota</x:v>
      </x:c>
      <x:c r="E277" s="3" t="str">
        <x:v>日本</x:v>
      </x:c>
      <x:c r="F277" s="3" t="str">
        <x:v>Corolla Cross</x:v>
      </x:c>
      <x:c r="G277" s="3" t="str">
        <x:v>HEV</x:v>
      </x:c>
      <x:c r="H277" s="3" t="str">
        <x:v>SUV</x:v>
      </x:c>
      <x:c r="I277" s="3" t="str"/>
      <x:c r="J277" s="3" t="n">
        <x:v>2020</x:v>
      </x:c>
      <x:c r="K277" s="3" t="str">
        <x:v>1.8 HYBRID PREMIUM</x:v>
      </x:c>
      <x:c r="L277" s="3" t="str">
        <x:v>HEV PREMIUM</x:v>
      </x:c>
      <x:c r="M277" s="22"/>
      <x:c r="N277" s="22"/>
      <x:c r="O277" s="22"/>
      <x:c r="P277" s="3" t="str">
        <x:v>未掲載</x:v>
      </x:c>
      <x:c r="Q277" s="3" t="str">
        <x:v>未取得</x:v>
      </x:c>
      <x:c r="R277" s="3" t="str">
        <x:v>Unknown</x:v>
      </x:c>
      <x:c r="S277" s="3" t="str">
        <x:v>不明</x:v>
      </x:c>
      <x:c r="T277" s="3" t="str">
        <x:v>20-ปัจจุบัน</x:v>
      </x:c>
      <x:c r="U277" s="28" t="n">
        <x:v>599000</x:v>
      </x:c>
      <x:c r="V277" s="28" t="n">
        <x:v>1089000</x:v>
      </x:c>
      <x:c r="W277" s="3" t="str">
        <x:v>事故・水没・SOH・保証残は未確認</x:v>
      </x:c>
      <x:c r="X277" s="3" t="str">
        <x:v>掲載中・在庫未確認</x:v>
      </x:c>
      <x:c r="Y277" s="3" t="str"/>
      <x:c r="Z277" s="27" t="str">
        <x:v>https://www.taladrod.com/w40/icar/cardet.aspx?cid=2906543</x:v>
      </x:c>
      <x:c r="AA277" s="3" t="str">
        <x:v>Taladrod個別広告ID／Carsome在庫ID</x:v>
      </x:c>
      <x:c r="AB277" s="3" t="str">
        <x:v>車台番号未取得／サイト間重複は未判定</x:v>
      </x:c>
      <x:c r="AC277" s="3" t="str">
        <x:v>税込区分未確認（一覧表示額）</x:v>
      </x:c>
      <x:c r="AD277" s="3" t="str"/>
      <x:c r="AE277" s="29" t="str">
        <x:f>""</x:f>
      </x:c>
      <x:c r="AF277" s="30" t="str">
        <x:f>IF(ISNUMBER(AE277),U277/AE277,"")</x:f>
      </x:c>
      <x:c r="AG277" s="29" t="n">
        <x:f>'新車価格・特価'!N54</x:f>
        <x:v>1094000</x:v>
      </x:c>
      <x:c r="AH277" s="30" t="n">
        <x:f>IF(ISNUMBER(AG277),U277/AG277,"")</x:f>
        <x:v>0.5475319926873857</x:v>
      </x:c>
      <x:c r="AI277" s="3" t="str">
        <x:v>同年式・グレードの検証済み当時価格なし／登録年混在</x:v>
      </x:c>
      <x:c r="AJ277" s="3" t="str">
        <x:v>一覧価格/年式のみ</x:v>
      </x:c>
      <x:c r="AK277" s="3" t="str">
        <x:v>一覧の表示価格。年式は掲載年式。</x:v>
      </x:c>
      <x:c r="AL277" s="31" t="n">
        <x:f>IF(AND(J277&lt;='分析方法'!$B$7,OR(ISBLANK(O277),O277&gt;='分析方法'!$B$8),X277&lt;&gt;"売却済み表示"),1,0)</x:f>
        <x:v>1</x:v>
      </x:c>
      <x:c r="AM277" s="32" t="n">
        <x:f>IF(AL277=1,U277,"")</x:f>
        <x:v>599000</x:v>
      </x:c>
      <x:c r="AN277" s="33" t="str">
        <x:f>IF(AL277=1,AF277,"")</x:f>
      </x:c>
      <x:c r="AO277" s="31" t="n">
        <x:f>'分析方法'!$B$6-J277</x:f>
        <x:v>6</x:v>
      </x:c>
      <x:c r="AP277" s="3"/>
    </x:row>
    <x:row r="278" ht="22" customHeight="1">
      <x:c r="A278" s="3" t="str">
        <x:v>T2913224</x:v>
      </x:c>
      <x:c r="B278" s="7" t="d">
        <x:v>2026-10-08T00:00:00.000Z</x:v>
      </x:c>
      <x:c r="C278" s="3" t="str">
        <x:v>Taladrod</x:v>
      </x:c>
      <x:c r="D278" s="3" t="str">
        <x:v>Toyota</x:v>
      </x:c>
      <x:c r="E278" s="3" t="str">
        <x:v>日本</x:v>
      </x:c>
      <x:c r="F278" s="3" t="str">
        <x:v>Corolla Cross</x:v>
      </x:c>
      <x:c r="G278" s="3" t="str">
        <x:v>HEV</x:v>
      </x:c>
      <x:c r="H278" s="3" t="str">
        <x:v>SUV</x:v>
      </x:c>
      <x:c r="I278" s="3" t="str"/>
      <x:c r="J278" s="3" t="n">
        <x:v>2020</x:v>
      </x:c>
      <x:c r="K278" s="3" t="str">
        <x:v>1.8 HYBRID PREMIUM</x:v>
      </x:c>
      <x:c r="L278" s="3" t="str">
        <x:v>HEV PREMIUM</x:v>
      </x:c>
      <x:c r="M278" s="22"/>
      <x:c r="N278" s="22"/>
      <x:c r="O278" s="22"/>
      <x:c r="P278" s="3" t="str">
        <x:v>未掲載</x:v>
      </x:c>
      <x:c r="Q278" s="3" t="str">
        <x:v>未取得</x:v>
      </x:c>
      <x:c r="R278" s="3" t="str">
        <x:v>Unknown</x:v>
      </x:c>
      <x:c r="S278" s="3" t="str">
        <x:v>不明</x:v>
      </x:c>
      <x:c r="T278" s="3" t="str">
        <x:v>20-ปัจจุบัน</x:v>
      </x:c>
      <x:c r="U278" s="28" t="n">
        <x:v>609000</x:v>
      </x:c>
      <x:c r="V278" s="28" t="n">
        <x:v>1089000</x:v>
      </x:c>
      <x:c r="W278" s="3" t="str">
        <x:v>事故・水没・SOH・保証残は未確認</x:v>
      </x:c>
      <x:c r="X278" s="3" t="str">
        <x:v>掲載中・在庫未確認</x:v>
      </x:c>
      <x:c r="Y278" s="3" t="str"/>
      <x:c r="Z278" s="27" t="str">
        <x:v>https://www.taladrod.com/w40/icar/cardet.aspx?cid=2913224</x:v>
      </x:c>
      <x:c r="AA278" s="3" t="str">
        <x:v>Taladrod個別広告ID／Carsome在庫ID</x:v>
      </x:c>
      <x:c r="AB278" s="3" t="str">
        <x:v>車台番号未取得／サイト間重複は未判定</x:v>
      </x:c>
      <x:c r="AC278" s="3" t="str">
        <x:v>税込区分未確認（一覧表示額）</x:v>
      </x:c>
      <x:c r="AD278" s="3" t="str"/>
      <x:c r="AE278" s="29" t="str">
        <x:f>""</x:f>
      </x:c>
      <x:c r="AF278" s="30" t="str">
        <x:f>IF(ISNUMBER(AE278),U278/AE278,"")</x:f>
      </x:c>
      <x:c r="AG278" s="29" t="n">
        <x:f>'新車価格・特価'!N54</x:f>
        <x:v>1094000</x:v>
      </x:c>
      <x:c r="AH278" s="30" t="n">
        <x:f>IF(ISNUMBER(AG278),U278/AG278,"")</x:f>
        <x:v>0.556672760511883</x:v>
      </x:c>
      <x:c r="AI278" s="3" t="str">
        <x:v>同年式・グレードの検証済み当時価格なし／登録年混在</x:v>
      </x:c>
      <x:c r="AJ278" s="3" t="str">
        <x:v>一覧価格/年式のみ</x:v>
      </x:c>
      <x:c r="AK278" s="3" t="str">
        <x:v>一覧の表示価格。年式は掲載年式。</x:v>
      </x:c>
      <x:c r="AL278" s="31" t="n">
        <x:f>IF(AND(J278&lt;='分析方法'!$B$7,OR(ISBLANK(O278),O278&gt;='分析方法'!$B$8),X278&lt;&gt;"売却済み表示"),1,0)</x:f>
        <x:v>1</x:v>
      </x:c>
      <x:c r="AM278" s="32" t="n">
        <x:f>IF(AL278=1,U278,"")</x:f>
        <x:v>609000</x:v>
      </x:c>
      <x:c r="AN278" s="33" t="str">
        <x:f>IF(AL278=1,AF278,"")</x:f>
      </x:c>
      <x:c r="AO278" s="31" t="n">
        <x:f>'分析方法'!$B$6-J278</x:f>
        <x:v>6</x:v>
      </x:c>
      <x:c r="AP278" s="3"/>
    </x:row>
    <x:row r="279" ht="22" customHeight="1">
      <x:c r="A279" s="3" t="str">
        <x:v>T2914427</x:v>
      </x:c>
      <x:c r="B279" s="7" t="d">
        <x:v>2026-10-08T00:00:00.000Z</x:v>
      </x:c>
      <x:c r="C279" s="3" t="str">
        <x:v>Taladrod</x:v>
      </x:c>
      <x:c r="D279" s="3" t="str">
        <x:v>Toyota</x:v>
      </x:c>
      <x:c r="E279" s="3" t="str">
        <x:v>日本</x:v>
      </x:c>
      <x:c r="F279" s="3" t="str">
        <x:v>Corolla Cross</x:v>
      </x:c>
      <x:c r="G279" s="3" t="str">
        <x:v>HEV</x:v>
      </x:c>
      <x:c r="H279" s="3" t="str">
        <x:v>SUV</x:v>
      </x:c>
      <x:c r="I279" s="3" t="str"/>
      <x:c r="J279" s="3" t="n">
        <x:v>2020</x:v>
      </x:c>
      <x:c r="K279" s="3" t="str">
        <x:v>1.8 HYBRID PREMIUM</x:v>
      </x:c>
      <x:c r="L279" s="3" t="str">
        <x:v>HEV PREMIUM</x:v>
      </x:c>
      <x:c r="M279" s="22"/>
      <x:c r="N279" s="22"/>
      <x:c r="O279" s="22"/>
      <x:c r="P279" s="3" t="str">
        <x:v>未掲載</x:v>
      </x:c>
      <x:c r="Q279" s="3" t="str">
        <x:v>未取得</x:v>
      </x:c>
      <x:c r="R279" s="3" t="str">
        <x:v>Unknown</x:v>
      </x:c>
      <x:c r="S279" s="3" t="str">
        <x:v>不明</x:v>
      </x:c>
      <x:c r="T279" s="3" t="str">
        <x:v>20-ปัจจุบัน</x:v>
      </x:c>
      <x:c r="U279" s="28" t="n">
        <x:v>584000</x:v>
      </x:c>
      <x:c r="V279" s="28" t="n">
        <x:v>1089000</x:v>
      </x:c>
      <x:c r="W279" s="3" t="str">
        <x:v>事故・水没・SOH・保証残は未確認</x:v>
      </x:c>
      <x:c r="X279" s="3" t="str">
        <x:v>掲載中・在庫未確認</x:v>
      </x:c>
      <x:c r="Y279" s="3" t="str"/>
      <x:c r="Z279" s="27" t="str">
        <x:v>https://www.taladrod.com/w40/icar/cardet.aspx?cid=2914427</x:v>
      </x:c>
      <x:c r="AA279" s="3" t="str">
        <x:v>Taladrod個別広告ID／Carsome在庫ID</x:v>
      </x:c>
      <x:c r="AB279" s="3" t="str">
        <x:v>車台番号未取得／サイト間重複は未判定</x:v>
      </x:c>
      <x:c r="AC279" s="3" t="str">
        <x:v>税込区分未確認（一覧表示額）</x:v>
      </x:c>
      <x:c r="AD279" s="3" t="str"/>
      <x:c r="AE279" s="29" t="str">
        <x:f>""</x:f>
      </x:c>
      <x:c r="AF279" s="30" t="str">
        <x:f>IF(ISNUMBER(AE279),U279/AE279,"")</x:f>
      </x:c>
      <x:c r="AG279" s="29" t="n">
        <x:f>'新車価格・特価'!N54</x:f>
        <x:v>1094000</x:v>
      </x:c>
      <x:c r="AH279" s="30" t="n">
        <x:f>IF(ISNUMBER(AG279),U279/AG279,"")</x:f>
        <x:v>0.5338208409506399</x:v>
      </x:c>
      <x:c r="AI279" s="3" t="str">
        <x:v>同年式・グレードの検証済み当時価格なし／登録年混在</x:v>
      </x:c>
      <x:c r="AJ279" s="3" t="str">
        <x:v>一覧価格/年式のみ</x:v>
      </x:c>
      <x:c r="AK279" s="3" t="str">
        <x:v>一覧の表示価格。年式は掲載年式。</x:v>
      </x:c>
      <x:c r="AL279" s="31" t="n">
        <x:f>IF(AND(J279&lt;='分析方法'!$B$7,OR(ISBLANK(O279),O279&gt;='分析方法'!$B$8),X279&lt;&gt;"売却済み表示"),1,0)</x:f>
        <x:v>1</x:v>
      </x:c>
      <x:c r="AM279" s="32" t="n">
        <x:f>IF(AL279=1,U279,"")</x:f>
        <x:v>584000</x:v>
      </x:c>
      <x:c r="AN279" s="33" t="str">
        <x:f>IF(AL279=1,AF279,"")</x:f>
      </x:c>
      <x:c r="AO279" s="31" t="n">
        <x:f>'分析方法'!$B$6-J279</x:f>
        <x:v>6</x:v>
      </x:c>
      <x:c r="AP279" s="3"/>
    </x:row>
    <x:row r="280" ht="22" customHeight="1">
      <x:c r="A280" s="3" t="str">
        <x:v>T2922144</x:v>
      </x:c>
      <x:c r="B280" s="7" t="d">
        <x:v>2026-10-08T00:00:00.000Z</x:v>
      </x:c>
      <x:c r="C280" s="3" t="str">
        <x:v>Taladrod</x:v>
      </x:c>
      <x:c r="D280" s="3" t="str">
        <x:v>Toyota</x:v>
      </x:c>
      <x:c r="E280" s="3" t="str">
        <x:v>日本</x:v>
      </x:c>
      <x:c r="F280" s="3" t="str">
        <x:v>Corolla Cross</x:v>
      </x:c>
      <x:c r="G280" s="3" t="str">
        <x:v>HEV</x:v>
      </x:c>
      <x:c r="H280" s="3" t="str">
        <x:v>SUV</x:v>
      </x:c>
      <x:c r="I280" s="3" t="str"/>
      <x:c r="J280" s="3" t="n">
        <x:v>2020</x:v>
      </x:c>
      <x:c r="K280" s="3" t="str">
        <x:v>1.8 HYBRID PREMIUM</x:v>
      </x:c>
      <x:c r="L280" s="3" t="str">
        <x:v>HEV PREMIUM</x:v>
      </x:c>
      <x:c r="M280" s="22"/>
      <x:c r="N280" s="22"/>
      <x:c r="O280" s="22"/>
      <x:c r="P280" s="3" t="str">
        <x:v>未掲載</x:v>
      </x:c>
      <x:c r="Q280" s="3" t="str">
        <x:v>未取得</x:v>
      </x:c>
      <x:c r="R280" s="3" t="str">
        <x:v>Unknown</x:v>
      </x:c>
      <x:c r="S280" s="3" t="str">
        <x:v>不明</x:v>
      </x:c>
      <x:c r="T280" s="3" t="str">
        <x:v>20-ปัจจุบัน</x:v>
      </x:c>
      <x:c r="U280" s="28" t="n">
        <x:v>629000</x:v>
      </x:c>
      <x:c r="V280" s="28" t="n">
        <x:v>1089000</x:v>
      </x:c>
      <x:c r="W280" s="3" t="str">
        <x:v>事故・水没・SOH・保証残は未確認</x:v>
      </x:c>
      <x:c r="X280" s="3" t="str">
        <x:v>掲載中・在庫未確認</x:v>
      </x:c>
      <x:c r="Y280" s="3" t="str"/>
      <x:c r="Z280" s="27" t="str">
        <x:v>https://www.taladrod.com/w40/icar/cardet.aspx?cid=2922144</x:v>
      </x:c>
      <x:c r="AA280" s="3" t="str">
        <x:v>Taladrod個別広告ID／Carsome在庫ID</x:v>
      </x:c>
      <x:c r="AB280" s="3" t="str">
        <x:v>車台番号未取得／サイト間重複は未判定</x:v>
      </x:c>
      <x:c r="AC280" s="3" t="str">
        <x:v>税込区分未確認（一覧表示額）</x:v>
      </x:c>
      <x:c r="AD280" s="3" t="str"/>
      <x:c r="AE280" s="29" t="str">
        <x:f>""</x:f>
      </x:c>
      <x:c r="AF280" s="30" t="str">
        <x:f>IF(ISNUMBER(AE280),U280/AE280,"")</x:f>
      </x:c>
      <x:c r="AG280" s="29" t="n">
        <x:f>'新車価格・特価'!N54</x:f>
        <x:v>1094000</x:v>
      </x:c>
      <x:c r="AH280" s="30" t="n">
        <x:f>IF(ISNUMBER(AG280),U280/AG280,"")</x:f>
        <x:v>0.5749542961608776</x:v>
      </x:c>
      <x:c r="AI280" s="3" t="str">
        <x:v>同年式・グレードの検証済み当時価格なし／登録年混在</x:v>
      </x:c>
      <x:c r="AJ280" s="3" t="str">
        <x:v>一覧価格/年式のみ</x:v>
      </x:c>
      <x:c r="AK280" s="3" t="str">
        <x:v>一覧の表示価格。年式は掲載年式。</x:v>
      </x:c>
      <x:c r="AL280" s="31" t="n">
        <x:f>IF(AND(J280&lt;='分析方法'!$B$7,OR(ISBLANK(O280),O280&gt;='分析方法'!$B$8),X280&lt;&gt;"売却済み表示"),1,0)</x:f>
        <x:v>1</x:v>
      </x:c>
      <x:c r="AM280" s="32" t="n">
        <x:f>IF(AL280=1,U280,"")</x:f>
        <x:v>629000</x:v>
      </x:c>
      <x:c r="AN280" s="33" t="str">
        <x:f>IF(AL280=1,AF280,"")</x:f>
      </x:c>
      <x:c r="AO280" s="31" t="n">
        <x:f>'分析方法'!$B$6-J280</x:f>
        <x:v>6</x:v>
      </x:c>
      <x:c r="AP280" s="3"/>
    </x:row>
    <x:row r="281" ht="22" customHeight="1">
      <x:c r="A281" s="3" t="str">
        <x:v>T2923975</x:v>
      </x:c>
      <x:c r="B281" s="7" t="d">
        <x:v>2026-10-08T00:00:00.000Z</x:v>
      </x:c>
      <x:c r="C281" s="3" t="str">
        <x:v>Taladrod</x:v>
      </x:c>
      <x:c r="D281" s="3" t="str">
        <x:v>Toyota</x:v>
      </x:c>
      <x:c r="E281" s="3" t="str">
        <x:v>日本</x:v>
      </x:c>
      <x:c r="F281" s="3" t="str">
        <x:v>Corolla Cross</x:v>
      </x:c>
      <x:c r="G281" s="3" t="str">
        <x:v>HEV</x:v>
      </x:c>
      <x:c r="H281" s="3" t="str">
        <x:v>SUV</x:v>
      </x:c>
      <x:c r="I281" s="3" t="str"/>
      <x:c r="J281" s="3" t="n">
        <x:v>2020</x:v>
      </x:c>
      <x:c r="K281" s="3" t="str">
        <x:v>1.8 HYBRID PREMIUM</x:v>
      </x:c>
      <x:c r="L281" s="3" t="str">
        <x:v>HEV PREMIUM</x:v>
      </x:c>
      <x:c r="M281" s="22"/>
      <x:c r="N281" s="22"/>
      <x:c r="O281" s="22"/>
      <x:c r="P281" s="3" t="str">
        <x:v>未掲載</x:v>
      </x:c>
      <x:c r="Q281" s="3" t="str">
        <x:v>未取得</x:v>
      </x:c>
      <x:c r="R281" s="3" t="str">
        <x:v>Unknown</x:v>
      </x:c>
      <x:c r="S281" s="3" t="str">
        <x:v>不明</x:v>
      </x:c>
      <x:c r="T281" s="3" t="str">
        <x:v>20-ปัจจุบัน</x:v>
      </x:c>
      <x:c r="U281" s="28" t="n">
        <x:v>599000</x:v>
      </x:c>
      <x:c r="V281" s="28" t="n">
        <x:v>1089000</x:v>
      </x:c>
      <x:c r="W281" s="3" t="str">
        <x:v>事故・水没・SOH・保証残は未確認</x:v>
      </x:c>
      <x:c r="X281" s="3" t="str">
        <x:v>掲載中・在庫未確認</x:v>
      </x:c>
      <x:c r="Y281" s="3" t="str"/>
      <x:c r="Z281" s="27" t="str">
        <x:v>https://www.taladrod.com/w40/icar/cardet.aspx?cid=2923975</x:v>
      </x:c>
      <x:c r="AA281" s="3" t="str">
        <x:v>Taladrod個別広告ID／Carsome在庫ID</x:v>
      </x:c>
      <x:c r="AB281" s="3" t="str">
        <x:v>車台番号未取得／サイト間重複は未判定</x:v>
      </x:c>
      <x:c r="AC281" s="3" t="str">
        <x:v>税込区分未確認（一覧表示額）</x:v>
      </x:c>
      <x:c r="AD281" s="3" t="str"/>
      <x:c r="AE281" s="29" t="str">
        <x:f>""</x:f>
      </x:c>
      <x:c r="AF281" s="30" t="str">
        <x:f>IF(ISNUMBER(AE281),U281/AE281,"")</x:f>
      </x:c>
      <x:c r="AG281" s="29" t="n">
        <x:f>'新車価格・特価'!N54</x:f>
        <x:v>1094000</x:v>
      </x:c>
      <x:c r="AH281" s="30" t="n">
        <x:f>IF(ISNUMBER(AG281),U281/AG281,"")</x:f>
        <x:v>0.5475319926873857</x:v>
      </x:c>
      <x:c r="AI281" s="3" t="str">
        <x:v>同年式・グレードの検証済み当時価格なし／登録年混在</x:v>
      </x:c>
      <x:c r="AJ281" s="3" t="str">
        <x:v>一覧価格/年式のみ</x:v>
      </x:c>
      <x:c r="AK281" s="3" t="str">
        <x:v>一覧の表示価格。年式は掲載年式。</x:v>
      </x:c>
      <x:c r="AL281" s="31" t="n">
        <x:f>IF(AND(J281&lt;='分析方法'!$B$7,OR(ISBLANK(O281),O281&gt;='分析方法'!$B$8),X281&lt;&gt;"売却済み表示"),1,0)</x:f>
        <x:v>1</x:v>
      </x:c>
      <x:c r="AM281" s="32" t="n">
        <x:f>IF(AL281=1,U281,"")</x:f>
        <x:v>599000</x:v>
      </x:c>
      <x:c r="AN281" s="33" t="str">
        <x:f>IF(AL281=1,AF281,"")</x:f>
      </x:c>
      <x:c r="AO281" s="31" t="n">
        <x:f>'分析方法'!$B$6-J281</x:f>
        <x:v>6</x:v>
      </x:c>
      <x:c r="AP281" s="3"/>
    </x:row>
    <x:row r="282" ht="22" customHeight="1">
      <x:c r="A282" s="3" t="str">
        <x:v>T2889958</x:v>
      </x:c>
      <x:c r="B282" s="7" t="d">
        <x:v>2026-10-08T00:00:00.000Z</x:v>
      </x:c>
      <x:c r="C282" s="3" t="str">
        <x:v>Taladrod</x:v>
      </x:c>
      <x:c r="D282" s="3" t="str">
        <x:v>Toyota</x:v>
      </x:c>
      <x:c r="E282" s="3" t="str">
        <x:v>日本</x:v>
      </x:c>
      <x:c r="F282" s="3" t="str">
        <x:v>Corolla Cross</x:v>
      </x:c>
      <x:c r="G282" s="3" t="str">
        <x:v>HEV</x:v>
      </x:c>
      <x:c r="H282" s="3" t="str">
        <x:v>SUV</x:v>
      </x:c>
      <x:c r="I282" s="3" t="str"/>
      <x:c r="J282" s="3" t="n">
        <x:v>2020</x:v>
      </x:c>
      <x:c r="K282" s="3" t="str">
        <x:v>1.8 HYBRID PREMIUM SAFETY</x:v>
      </x:c>
      <x:c r="L282" s="3" t="str">
        <x:v>HEV PREMIUM SAFETY</x:v>
      </x:c>
      <x:c r="M282" s="22"/>
      <x:c r="N282" s="22"/>
      <x:c r="O282" s="22"/>
      <x:c r="P282" s="3" t="str">
        <x:v>未掲載</x:v>
      </x:c>
      <x:c r="Q282" s="3" t="str">
        <x:v>未取得</x:v>
      </x:c>
      <x:c r="R282" s="3" t="str">
        <x:v>Unknown</x:v>
      </x:c>
      <x:c r="S282" s="3" t="str">
        <x:v>不明</x:v>
      </x:c>
      <x:c r="T282" s="3" t="str">
        <x:v>20-ปัจจุบัน</x:v>
      </x:c>
      <x:c r="U282" s="28" t="n">
        <x:v>689000</x:v>
      </x:c>
      <x:c r="V282" s="28" t="n">
        <x:v>1199000</x:v>
      </x:c>
      <x:c r="W282" s="3" t="str">
        <x:v>事故・水没・SOH・保証残は未確認</x:v>
      </x:c>
      <x:c r="X282" s="3" t="str">
        <x:v>掲載中・在庫未確認</x:v>
      </x:c>
      <x:c r="Y282" s="3" t="str"/>
      <x:c r="Z282" s="27" t="str">
        <x:v>https://www.taladrod.com/w40/icar/cardet.aspx?cid=2889958</x:v>
      </x:c>
      <x:c r="AA282" s="3" t="str">
        <x:v>Taladrod個別広告ID／Carsome在庫ID</x:v>
      </x:c>
      <x:c r="AB282" s="3" t="str">
        <x:v>車台番号未取得／サイト間重複は未判定</x:v>
      </x:c>
      <x:c r="AC282" s="3" t="str">
        <x:v>税込区分未確認（一覧表示額）</x:v>
      </x:c>
      <x:c r="AD282" s="3" t="str"/>
      <x:c r="AE282" s="29" t="str">
        <x:f>""</x:f>
      </x:c>
      <x:c r="AF282" s="30" t="str">
        <x:f>IF(ISNUMBER(AE282),U282/AE282,"")</x:f>
      </x:c>
      <x:c r="AG282" s="29" t="n">
        <x:f>'新車価格・特価'!N55</x:f>
        <x:v>1204000</x:v>
      </x:c>
      <x:c r="AH282" s="30" t="n">
        <x:f>IF(ISNUMBER(AG282),U282/AG282,"")</x:f>
        <x:v>0.5722591362126246</x:v>
      </x:c>
      <x:c r="AI282" s="3" t="str">
        <x:v>同年式・グレードの検証済み当時価格なし／登録年混在</x:v>
      </x:c>
      <x:c r="AJ282" s="3" t="str">
        <x:v>一覧価格/年式のみ</x:v>
      </x:c>
      <x:c r="AK282" s="3" t="str">
        <x:v>一覧の表示価格。年式は掲載年式。</x:v>
      </x:c>
      <x:c r="AL282" s="31" t="n">
        <x:f>IF(AND(J282&lt;='分析方法'!$B$7,OR(ISBLANK(O282),O282&gt;='分析方法'!$B$8),X282&lt;&gt;"売却済み表示"),1,0)</x:f>
        <x:v>1</x:v>
      </x:c>
      <x:c r="AM282" s="32" t="n">
        <x:f>IF(AL282=1,U282,"")</x:f>
        <x:v>689000</x:v>
      </x:c>
      <x:c r="AN282" s="33" t="str">
        <x:f>IF(AL282=1,AF282,"")</x:f>
      </x:c>
      <x:c r="AO282" s="31" t="n">
        <x:f>'分析方法'!$B$6-J282</x:f>
        <x:v>6</x:v>
      </x:c>
      <x:c r="AP282" s="3"/>
    </x:row>
    <x:row r="283" ht="22" customHeight="1">
      <x:c r="A283" s="3" t="str">
        <x:v>T2897683</x:v>
      </x:c>
      <x:c r="B283" s="7" t="d">
        <x:v>2026-10-08T00:00:00.000Z</x:v>
      </x:c>
      <x:c r="C283" s="3" t="str">
        <x:v>Taladrod</x:v>
      </x:c>
      <x:c r="D283" s="3" t="str">
        <x:v>Toyota</x:v>
      </x:c>
      <x:c r="E283" s="3" t="str">
        <x:v>日本</x:v>
      </x:c>
      <x:c r="F283" s="3" t="str">
        <x:v>Corolla Cross</x:v>
      </x:c>
      <x:c r="G283" s="3" t="str">
        <x:v>HEV</x:v>
      </x:c>
      <x:c r="H283" s="3" t="str">
        <x:v>SUV</x:v>
      </x:c>
      <x:c r="I283" s="3" t="str"/>
      <x:c r="J283" s="3" t="n">
        <x:v>2020</x:v>
      </x:c>
      <x:c r="K283" s="3" t="str">
        <x:v>1.8 HYBRID PREMIUM SAFETY</x:v>
      </x:c>
      <x:c r="L283" s="3" t="str">
        <x:v>HEV PREMIUM SAFETY</x:v>
      </x:c>
      <x:c r="M283" s="22"/>
      <x:c r="N283" s="22"/>
      <x:c r="O283" s="22"/>
      <x:c r="P283" s="3" t="str">
        <x:v>未掲載</x:v>
      </x:c>
      <x:c r="Q283" s="3" t="str">
        <x:v>未取得</x:v>
      </x:c>
      <x:c r="R283" s="3" t="str">
        <x:v>Unknown</x:v>
      </x:c>
      <x:c r="S283" s="3" t="str">
        <x:v>不明</x:v>
      </x:c>
      <x:c r="T283" s="3" t="str">
        <x:v>20-ปัจจุบัน</x:v>
      </x:c>
      <x:c r="U283" s="28" t="n">
        <x:v>619000</x:v>
      </x:c>
      <x:c r="V283" s="28" t="n">
        <x:v>1199000</x:v>
      </x:c>
      <x:c r="W283" s="3" t="str">
        <x:v>事故・水没・SOH・保証残は未確認</x:v>
      </x:c>
      <x:c r="X283" s="3" t="str">
        <x:v>掲載中・在庫未確認</x:v>
      </x:c>
      <x:c r="Y283" s="3" t="str"/>
      <x:c r="Z283" s="27" t="str">
        <x:v>https://www.taladrod.com/w40/icar/cardet.aspx?cid=2897683</x:v>
      </x:c>
      <x:c r="AA283" s="3" t="str">
        <x:v>Taladrod個別広告ID／Carsome在庫ID</x:v>
      </x:c>
      <x:c r="AB283" s="3" t="str">
        <x:v>車台番号未取得／サイト間重複は未判定</x:v>
      </x:c>
      <x:c r="AC283" s="3" t="str">
        <x:v>税込区分未確認（一覧表示額）</x:v>
      </x:c>
      <x:c r="AD283" s="3" t="str"/>
      <x:c r="AE283" s="29" t="str">
        <x:f>""</x:f>
      </x:c>
      <x:c r="AF283" s="30" t="str">
        <x:f>IF(ISNUMBER(AE283),U283/AE283,"")</x:f>
      </x:c>
      <x:c r="AG283" s="29" t="n">
        <x:f>'新車価格・特価'!N55</x:f>
        <x:v>1204000</x:v>
      </x:c>
      <x:c r="AH283" s="30" t="n">
        <x:f>IF(ISNUMBER(AG283),U283/AG283,"")</x:f>
        <x:v>0.5141196013289037</x:v>
      </x:c>
      <x:c r="AI283" s="3" t="str">
        <x:v>同年式・グレードの検証済み当時価格なし／登録年混在</x:v>
      </x:c>
      <x:c r="AJ283" s="3" t="str">
        <x:v>一覧価格/年式のみ</x:v>
      </x:c>
      <x:c r="AK283" s="3" t="str">
        <x:v>一覧の表示価格。年式は掲載年式。</x:v>
      </x:c>
      <x:c r="AL283" s="31" t="n">
        <x:f>IF(AND(J283&lt;='分析方法'!$B$7,OR(ISBLANK(O283),O283&gt;='分析方法'!$B$8),X283&lt;&gt;"売却済み表示"),1,0)</x:f>
        <x:v>1</x:v>
      </x:c>
      <x:c r="AM283" s="32" t="n">
        <x:f>IF(AL283=1,U283,"")</x:f>
        <x:v>619000</x:v>
      </x:c>
      <x:c r="AN283" s="33" t="str">
        <x:f>IF(AL283=1,AF283,"")</x:f>
      </x:c>
      <x:c r="AO283" s="31" t="n">
        <x:f>'分析方法'!$B$6-J283</x:f>
        <x:v>6</x:v>
      </x:c>
      <x:c r="AP283" s="3"/>
    </x:row>
    <x:row r="284" ht="22" customHeight="1">
      <x:c r="A284" s="3" t="str">
        <x:v>T2897776</x:v>
      </x:c>
      <x:c r="B284" s="7" t="d">
        <x:v>2026-10-08T00:00:00.000Z</x:v>
      </x:c>
      <x:c r="C284" s="3" t="str">
        <x:v>Taladrod</x:v>
      </x:c>
      <x:c r="D284" s="3" t="str">
        <x:v>Toyota</x:v>
      </x:c>
      <x:c r="E284" s="3" t="str">
        <x:v>日本</x:v>
      </x:c>
      <x:c r="F284" s="3" t="str">
        <x:v>Corolla Cross</x:v>
      </x:c>
      <x:c r="G284" s="3" t="str">
        <x:v>HEV</x:v>
      </x:c>
      <x:c r="H284" s="3" t="str">
        <x:v>SUV</x:v>
      </x:c>
      <x:c r="I284" s="3" t="str"/>
      <x:c r="J284" s="3" t="n">
        <x:v>2020</x:v>
      </x:c>
      <x:c r="K284" s="3" t="str">
        <x:v>1.8 HYBRID PREMIUM SAFETY</x:v>
      </x:c>
      <x:c r="L284" s="3" t="str">
        <x:v>HEV PREMIUM SAFETY</x:v>
      </x:c>
      <x:c r="M284" s="22"/>
      <x:c r="N284" s="22"/>
      <x:c r="O284" s="22"/>
      <x:c r="P284" s="3" t="str">
        <x:v>未掲載</x:v>
      </x:c>
      <x:c r="Q284" s="3" t="str">
        <x:v>未取得</x:v>
      </x:c>
      <x:c r="R284" s="3" t="str">
        <x:v>Unknown</x:v>
      </x:c>
      <x:c r="S284" s="3" t="str">
        <x:v>不明</x:v>
      </x:c>
      <x:c r="T284" s="3" t="str">
        <x:v>20-ปัจจุบัน</x:v>
      </x:c>
      <x:c r="U284" s="28" t="n">
        <x:v>589000</x:v>
      </x:c>
      <x:c r="V284" s="28" t="n">
        <x:v>1199000</x:v>
      </x:c>
      <x:c r="W284" s="3" t="str">
        <x:v>事故・水没・SOH・保証残は未確認</x:v>
      </x:c>
      <x:c r="X284" s="3" t="str">
        <x:v>掲載中・在庫未確認</x:v>
      </x:c>
      <x:c r="Y284" s="3" t="str"/>
      <x:c r="Z284" s="27" t="str">
        <x:v>https://www.taladrod.com/w40/icar/cardet.aspx?cid=2897776</x:v>
      </x:c>
      <x:c r="AA284" s="3" t="str">
        <x:v>Taladrod個別広告ID／Carsome在庫ID</x:v>
      </x:c>
      <x:c r="AB284" s="3" t="str">
        <x:v>車台番号未取得／サイト間重複は未判定</x:v>
      </x:c>
      <x:c r="AC284" s="3" t="str">
        <x:v>税込区分未確認（一覧表示額）</x:v>
      </x:c>
      <x:c r="AD284" s="3" t="str"/>
      <x:c r="AE284" s="29" t="str">
        <x:f>""</x:f>
      </x:c>
      <x:c r="AF284" s="30" t="str">
        <x:f>IF(ISNUMBER(AE284),U284/AE284,"")</x:f>
      </x:c>
      <x:c r="AG284" s="29" t="n">
        <x:f>'新車価格・特価'!N55</x:f>
        <x:v>1204000</x:v>
      </x:c>
      <x:c r="AH284" s="30" t="n">
        <x:f>IF(ISNUMBER(AG284),U284/AG284,"")</x:f>
        <x:v>0.489202657807309</x:v>
      </x:c>
      <x:c r="AI284" s="3" t="str">
        <x:v>同年式・グレードの検証済み当時価格なし／登録年混在</x:v>
      </x:c>
      <x:c r="AJ284" s="3" t="str">
        <x:v>一覧価格/年式のみ</x:v>
      </x:c>
      <x:c r="AK284" s="3" t="str">
        <x:v>一覧の表示価格。年式は掲載年式。</x:v>
      </x:c>
      <x:c r="AL284" s="31" t="n">
        <x:f>IF(AND(J284&lt;='分析方法'!$B$7,OR(ISBLANK(O284),O284&gt;='分析方法'!$B$8),X284&lt;&gt;"売却済み表示"),1,0)</x:f>
        <x:v>1</x:v>
      </x:c>
      <x:c r="AM284" s="32" t="n">
        <x:f>IF(AL284=1,U284,"")</x:f>
        <x:v>589000</x:v>
      </x:c>
      <x:c r="AN284" s="33" t="str">
        <x:f>IF(AL284=1,AF284,"")</x:f>
      </x:c>
      <x:c r="AO284" s="31" t="n">
        <x:f>'分析方法'!$B$6-J284</x:f>
        <x:v>6</x:v>
      </x:c>
      <x:c r="AP284" s="3"/>
    </x:row>
    <x:row r="285" ht="22" customHeight="1">
      <x:c r="A285" s="3" t="str">
        <x:v>T2900130</x:v>
      </x:c>
      <x:c r="B285" s="7" t="d">
        <x:v>2026-10-08T00:00:00.000Z</x:v>
      </x:c>
      <x:c r="C285" s="3" t="str">
        <x:v>Taladrod</x:v>
      </x:c>
      <x:c r="D285" s="3" t="str">
        <x:v>Toyota</x:v>
      </x:c>
      <x:c r="E285" s="3" t="str">
        <x:v>日本</x:v>
      </x:c>
      <x:c r="F285" s="3" t="str">
        <x:v>Corolla Cross</x:v>
      </x:c>
      <x:c r="G285" s="3" t="str">
        <x:v>HEV</x:v>
      </x:c>
      <x:c r="H285" s="3" t="str">
        <x:v>SUV</x:v>
      </x:c>
      <x:c r="I285" s="3" t="str"/>
      <x:c r="J285" s="3" t="n">
        <x:v>2020</x:v>
      </x:c>
      <x:c r="K285" s="3" t="str">
        <x:v>1.8 HYBRID PREMIUM SAFETY</x:v>
      </x:c>
      <x:c r="L285" s="3" t="str">
        <x:v>HEV PREMIUM SAFETY</x:v>
      </x:c>
      <x:c r="M285" s="22"/>
      <x:c r="N285" s="22"/>
      <x:c r="O285" s="22"/>
      <x:c r="P285" s="3" t="str">
        <x:v>未掲載</x:v>
      </x:c>
      <x:c r="Q285" s="3" t="str">
        <x:v>未取得</x:v>
      </x:c>
      <x:c r="R285" s="3" t="str">
        <x:v>Unknown</x:v>
      </x:c>
      <x:c r="S285" s="3" t="str">
        <x:v>不明</x:v>
      </x:c>
      <x:c r="T285" s="3" t="str">
        <x:v>20-ปัจจุบัน</x:v>
      </x:c>
      <x:c r="U285" s="28" t="n">
        <x:v>619000</x:v>
      </x:c>
      <x:c r="V285" s="28" t="n">
        <x:v>1199000</x:v>
      </x:c>
      <x:c r="W285" s="3" t="str">
        <x:v>事故・水没・SOH・保証残は未確認</x:v>
      </x:c>
      <x:c r="X285" s="3" t="str">
        <x:v>掲載中・在庫未確認</x:v>
      </x:c>
      <x:c r="Y285" s="3" t="str"/>
      <x:c r="Z285" s="27" t="str">
        <x:v>https://www.taladrod.com/w40/icar/cardet.aspx?cid=2900130</x:v>
      </x:c>
      <x:c r="AA285" s="3" t="str">
        <x:v>Taladrod個別広告ID／Carsome在庫ID</x:v>
      </x:c>
      <x:c r="AB285" s="3" t="str">
        <x:v>車台番号未取得／サイト間重複は未判定</x:v>
      </x:c>
      <x:c r="AC285" s="3" t="str">
        <x:v>税込区分未確認（一覧表示額）</x:v>
      </x:c>
      <x:c r="AD285" s="3" t="str"/>
      <x:c r="AE285" s="29" t="str">
        <x:f>""</x:f>
      </x:c>
      <x:c r="AF285" s="30" t="str">
        <x:f>IF(ISNUMBER(AE285),U285/AE285,"")</x:f>
      </x:c>
      <x:c r="AG285" s="29" t="n">
        <x:f>'新車価格・特価'!N55</x:f>
        <x:v>1204000</x:v>
      </x:c>
      <x:c r="AH285" s="30" t="n">
        <x:f>IF(ISNUMBER(AG285),U285/AG285,"")</x:f>
        <x:v>0.5141196013289037</x:v>
      </x:c>
      <x:c r="AI285" s="3" t="str">
        <x:v>同年式・グレードの検証済み当時価格なし／登録年混在</x:v>
      </x:c>
      <x:c r="AJ285" s="3" t="str">
        <x:v>一覧価格/年式のみ</x:v>
      </x:c>
      <x:c r="AK285" s="3" t="str">
        <x:v>一覧の表示価格。年式は掲載年式。</x:v>
      </x:c>
      <x:c r="AL285" s="31" t="n">
        <x:f>IF(AND(J285&lt;='分析方法'!$B$7,OR(ISBLANK(O285),O285&gt;='分析方法'!$B$8),X285&lt;&gt;"売却済み表示"),1,0)</x:f>
        <x:v>1</x:v>
      </x:c>
      <x:c r="AM285" s="32" t="n">
        <x:f>IF(AL285=1,U285,"")</x:f>
        <x:v>619000</x:v>
      </x:c>
      <x:c r="AN285" s="33" t="str">
        <x:f>IF(AL285=1,AF285,"")</x:f>
      </x:c>
      <x:c r="AO285" s="31" t="n">
        <x:f>'分析方法'!$B$6-J285</x:f>
        <x:v>6</x:v>
      </x:c>
      <x:c r="AP285" s="3"/>
    </x:row>
    <x:row r="286" ht="22" customHeight="1">
      <x:c r="A286" s="3" t="str">
        <x:v>T2900199</x:v>
      </x:c>
      <x:c r="B286" s="7" t="d">
        <x:v>2026-10-08T00:00:00.000Z</x:v>
      </x:c>
      <x:c r="C286" s="3" t="str">
        <x:v>Taladrod</x:v>
      </x:c>
      <x:c r="D286" s="3" t="str">
        <x:v>Toyota</x:v>
      </x:c>
      <x:c r="E286" s="3" t="str">
        <x:v>日本</x:v>
      </x:c>
      <x:c r="F286" s="3" t="str">
        <x:v>Corolla Cross</x:v>
      </x:c>
      <x:c r="G286" s="3" t="str">
        <x:v>HEV</x:v>
      </x:c>
      <x:c r="H286" s="3" t="str">
        <x:v>SUV</x:v>
      </x:c>
      <x:c r="I286" s="3" t="str"/>
      <x:c r="J286" s="3" t="n">
        <x:v>2020</x:v>
      </x:c>
      <x:c r="K286" s="3" t="str">
        <x:v>1.8 HYBRID PREMIUM SAFETY</x:v>
      </x:c>
      <x:c r="L286" s="3" t="str">
        <x:v>HEV PREMIUM SAFETY</x:v>
      </x:c>
      <x:c r="M286" s="22"/>
      <x:c r="N286" s="22"/>
      <x:c r="O286" s="22"/>
      <x:c r="P286" s="3" t="str">
        <x:v>未掲載</x:v>
      </x:c>
      <x:c r="Q286" s="3" t="str">
        <x:v>未取得</x:v>
      </x:c>
      <x:c r="R286" s="3" t="str">
        <x:v>Unknown</x:v>
      </x:c>
      <x:c r="S286" s="3" t="str">
        <x:v>不明</x:v>
      </x:c>
      <x:c r="T286" s="3" t="str">
        <x:v>20-ปัจจุบัน</x:v>
      </x:c>
      <x:c r="U286" s="28" t="n">
        <x:v>618000</x:v>
      </x:c>
      <x:c r="V286" s="28" t="n">
        <x:v>1199000</x:v>
      </x:c>
      <x:c r="W286" s="3" t="str">
        <x:v>事故・水没・SOH・保証残は未確認</x:v>
      </x:c>
      <x:c r="X286" s="3" t="str">
        <x:v>掲載中・在庫未確認</x:v>
      </x:c>
      <x:c r="Y286" s="3" t="str"/>
      <x:c r="Z286" s="27" t="str">
        <x:v>https://www.taladrod.com/w40/icar/cardet.aspx?cid=2900199</x:v>
      </x:c>
      <x:c r="AA286" s="3" t="str">
        <x:v>Taladrod個別広告ID／Carsome在庫ID</x:v>
      </x:c>
      <x:c r="AB286" s="3" t="str">
        <x:v>車台番号未取得／サイト間重複は未判定</x:v>
      </x:c>
      <x:c r="AC286" s="3" t="str">
        <x:v>税込区分未確認（一覧表示額）</x:v>
      </x:c>
      <x:c r="AD286" s="3" t="str"/>
      <x:c r="AE286" s="29" t="str">
        <x:f>""</x:f>
      </x:c>
      <x:c r="AF286" s="30" t="str">
        <x:f>IF(ISNUMBER(AE286),U286/AE286,"")</x:f>
      </x:c>
      <x:c r="AG286" s="29" t="n">
        <x:f>'新車価格・特価'!N55</x:f>
        <x:v>1204000</x:v>
      </x:c>
      <x:c r="AH286" s="30" t="n">
        <x:f>IF(ISNUMBER(AG286),U286/AG286,"")</x:f>
        <x:v>0.5132890365448505</x:v>
      </x:c>
      <x:c r="AI286" s="3" t="str">
        <x:v>同年式・グレードの検証済み当時価格なし／登録年混在</x:v>
      </x:c>
      <x:c r="AJ286" s="3" t="str">
        <x:v>一覧価格/年式のみ</x:v>
      </x:c>
      <x:c r="AK286" s="3" t="str">
        <x:v>一覧の表示価格。年式は掲載年式。</x:v>
      </x:c>
      <x:c r="AL286" s="31" t="n">
        <x:f>IF(AND(J286&lt;='分析方法'!$B$7,OR(ISBLANK(O286),O286&gt;='分析方法'!$B$8),X286&lt;&gt;"売却済み表示"),1,0)</x:f>
        <x:v>1</x:v>
      </x:c>
      <x:c r="AM286" s="32" t="n">
        <x:f>IF(AL286=1,U286,"")</x:f>
        <x:v>618000</x:v>
      </x:c>
      <x:c r="AN286" s="33" t="str">
        <x:f>IF(AL286=1,AF286,"")</x:f>
      </x:c>
      <x:c r="AO286" s="31" t="n">
        <x:f>'分析方法'!$B$6-J286</x:f>
        <x:v>6</x:v>
      </x:c>
      <x:c r="AP286" s="3"/>
    </x:row>
    <x:row r="287" ht="22" customHeight="1">
      <x:c r="A287" s="3" t="str">
        <x:v>T2903002</x:v>
      </x:c>
      <x:c r="B287" s="7" t="d">
        <x:v>2026-10-08T00:00:00.000Z</x:v>
      </x:c>
      <x:c r="C287" s="3" t="str">
        <x:v>Taladrod</x:v>
      </x:c>
      <x:c r="D287" s="3" t="str">
        <x:v>Toyota</x:v>
      </x:c>
      <x:c r="E287" s="3" t="str">
        <x:v>日本</x:v>
      </x:c>
      <x:c r="F287" s="3" t="str">
        <x:v>Corolla Cross</x:v>
      </x:c>
      <x:c r="G287" s="3" t="str">
        <x:v>HEV</x:v>
      </x:c>
      <x:c r="H287" s="3" t="str">
        <x:v>SUV</x:v>
      </x:c>
      <x:c r="I287" s="3" t="str"/>
      <x:c r="J287" s="3" t="n">
        <x:v>2020</x:v>
      </x:c>
      <x:c r="K287" s="3" t="str">
        <x:v>1.8 HYBRID PREMIUM SAFETY</x:v>
      </x:c>
      <x:c r="L287" s="3" t="str">
        <x:v>HEV PREMIUM SAFETY</x:v>
      </x:c>
      <x:c r="M287" s="22"/>
      <x:c r="N287" s="22"/>
      <x:c r="O287" s="22"/>
      <x:c r="P287" s="3" t="str">
        <x:v>未掲載</x:v>
      </x:c>
      <x:c r="Q287" s="3" t="str">
        <x:v>未取得</x:v>
      </x:c>
      <x:c r="R287" s="3" t="str">
        <x:v>Unknown</x:v>
      </x:c>
      <x:c r="S287" s="3" t="str">
        <x:v>不明</x:v>
      </x:c>
      <x:c r="T287" s="3" t="str">
        <x:v>20-ปัจจุบัน</x:v>
      </x:c>
      <x:c r="U287" s="28" t="n">
        <x:v>649000</x:v>
      </x:c>
      <x:c r="V287" s="28" t="n">
        <x:v>1199000</x:v>
      </x:c>
      <x:c r="W287" s="3" t="str">
        <x:v>事故・水没・SOH・保証残は未確認</x:v>
      </x:c>
      <x:c r="X287" s="3" t="str">
        <x:v>掲載中・在庫未確認</x:v>
      </x:c>
      <x:c r="Y287" s="3" t="str"/>
      <x:c r="Z287" s="27" t="str">
        <x:v>https://www.taladrod.com/w40/icar/cardet.aspx?cid=2903002</x:v>
      </x:c>
      <x:c r="AA287" s="3" t="str">
        <x:v>Taladrod個別広告ID／Carsome在庫ID</x:v>
      </x:c>
      <x:c r="AB287" s="3" t="str">
        <x:v>車台番号未取得／サイト間重複は未判定</x:v>
      </x:c>
      <x:c r="AC287" s="3" t="str">
        <x:v>税込区分未確認（一覧表示額）</x:v>
      </x:c>
      <x:c r="AD287" s="3" t="str"/>
      <x:c r="AE287" s="29" t="str">
        <x:f>""</x:f>
      </x:c>
      <x:c r="AF287" s="30" t="str">
        <x:f>IF(ISNUMBER(AE287),U287/AE287,"")</x:f>
      </x:c>
      <x:c r="AG287" s="29" t="n">
        <x:f>'新車価格・特価'!N55</x:f>
        <x:v>1204000</x:v>
      </x:c>
      <x:c r="AH287" s="30" t="n">
        <x:f>IF(ISNUMBER(AG287),U287/AG287,"")</x:f>
        <x:v>0.5390365448504983</x:v>
      </x:c>
      <x:c r="AI287" s="3" t="str">
        <x:v>同年式・グレードの検証済み当時価格なし／登録年混在</x:v>
      </x:c>
      <x:c r="AJ287" s="3" t="str">
        <x:v>一覧価格/年式のみ</x:v>
      </x:c>
      <x:c r="AK287" s="3" t="str">
        <x:v>一覧の表示価格。年式は掲載年式。</x:v>
      </x:c>
      <x:c r="AL287" s="31" t="n">
        <x:f>IF(AND(J287&lt;='分析方法'!$B$7,OR(ISBLANK(O287),O287&gt;='分析方法'!$B$8),X287&lt;&gt;"売却済み表示"),1,0)</x:f>
        <x:v>1</x:v>
      </x:c>
      <x:c r="AM287" s="32" t="n">
        <x:f>IF(AL287=1,U287,"")</x:f>
        <x:v>649000</x:v>
      </x:c>
      <x:c r="AN287" s="33" t="str">
        <x:f>IF(AL287=1,AF287,"")</x:f>
      </x:c>
      <x:c r="AO287" s="31" t="n">
        <x:f>'分析方法'!$B$6-J287</x:f>
        <x:v>6</x:v>
      </x:c>
      <x:c r="AP287" s="3"/>
    </x:row>
    <x:row r="288" ht="22" customHeight="1">
      <x:c r="A288" s="3" t="str">
        <x:v>T2912956</x:v>
      </x:c>
      <x:c r="B288" s="7" t="d">
        <x:v>2026-10-08T00:00:00.000Z</x:v>
      </x:c>
      <x:c r="C288" s="3" t="str">
        <x:v>Taladrod</x:v>
      </x:c>
      <x:c r="D288" s="3" t="str">
        <x:v>Toyota</x:v>
      </x:c>
      <x:c r="E288" s="3" t="str">
        <x:v>日本</x:v>
      </x:c>
      <x:c r="F288" s="3" t="str">
        <x:v>Corolla Cross</x:v>
      </x:c>
      <x:c r="G288" s="3" t="str">
        <x:v>HEV</x:v>
      </x:c>
      <x:c r="H288" s="3" t="str">
        <x:v>SUV</x:v>
      </x:c>
      <x:c r="I288" s="3" t="str"/>
      <x:c r="J288" s="3" t="n">
        <x:v>2020</x:v>
      </x:c>
      <x:c r="K288" s="3" t="str">
        <x:v>1.8 HYBRID PREMIUM SAFETY</x:v>
      </x:c>
      <x:c r="L288" s="3" t="str">
        <x:v>HEV PREMIUM SAFETY</x:v>
      </x:c>
      <x:c r="M288" s="22"/>
      <x:c r="N288" s="22"/>
      <x:c r="O288" s="22"/>
      <x:c r="P288" s="3" t="str">
        <x:v>未掲載</x:v>
      </x:c>
      <x:c r="Q288" s="3" t="str">
        <x:v>未取得</x:v>
      </x:c>
      <x:c r="R288" s="3" t="str">
        <x:v>Unknown</x:v>
      </x:c>
      <x:c r="S288" s="3" t="str">
        <x:v>不明</x:v>
      </x:c>
      <x:c r="T288" s="3" t="str">
        <x:v>20-ปัจจุบัน</x:v>
      </x:c>
      <x:c r="U288" s="28" t="n">
        <x:v>599000</x:v>
      </x:c>
      <x:c r="V288" s="28" t="n">
        <x:v>1199000</x:v>
      </x:c>
      <x:c r="W288" s="3" t="str">
        <x:v>事故・水没・SOH・保証残は未確認</x:v>
      </x:c>
      <x:c r="X288" s="3" t="str">
        <x:v>掲載中・在庫未確認</x:v>
      </x:c>
      <x:c r="Y288" s="3" t="str"/>
      <x:c r="Z288" s="27" t="str">
        <x:v>https://www.taladrod.com/w40/icar/cardet.aspx?cid=2912956</x:v>
      </x:c>
      <x:c r="AA288" s="3" t="str">
        <x:v>Taladrod個別広告ID／Carsome在庫ID</x:v>
      </x:c>
      <x:c r="AB288" s="3" t="str">
        <x:v>車台番号未取得／サイト間重複は未判定</x:v>
      </x:c>
      <x:c r="AC288" s="3" t="str">
        <x:v>税込区分未確認（一覧表示額）</x:v>
      </x:c>
      <x:c r="AD288" s="3" t="str"/>
      <x:c r="AE288" s="29" t="str">
        <x:f>""</x:f>
      </x:c>
      <x:c r="AF288" s="30" t="str">
        <x:f>IF(ISNUMBER(AE288),U288/AE288,"")</x:f>
      </x:c>
      <x:c r="AG288" s="29" t="n">
        <x:f>'新車価格・特価'!N55</x:f>
        <x:v>1204000</x:v>
      </x:c>
      <x:c r="AH288" s="30" t="n">
        <x:f>IF(ISNUMBER(AG288),U288/AG288,"")</x:f>
        <x:v>0.49750830564784054</x:v>
      </x:c>
      <x:c r="AI288" s="3" t="str">
        <x:v>同年式・グレードの検証済み当時価格なし／登録年混在</x:v>
      </x:c>
      <x:c r="AJ288" s="3" t="str">
        <x:v>一覧価格/年式のみ</x:v>
      </x:c>
      <x:c r="AK288" s="3" t="str">
        <x:v>一覧の表示価格。年式は掲載年式。</x:v>
      </x:c>
      <x:c r="AL288" s="31" t="n">
        <x:f>IF(AND(J288&lt;='分析方法'!$B$7,OR(ISBLANK(O288),O288&gt;='分析方法'!$B$8),X288&lt;&gt;"売却済み表示"),1,0)</x:f>
        <x:v>1</x:v>
      </x:c>
      <x:c r="AM288" s="32" t="n">
        <x:f>IF(AL288=1,U288,"")</x:f>
        <x:v>599000</x:v>
      </x:c>
      <x:c r="AN288" s="33" t="str">
        <x:f>IF(AL288=1,AF288,"")</x:f>
      </x:c>
      <x:c r="AO288" s="31" t="n">
        <x:f>'分析方法'!$B$6-J288</x:f>
        <x:v>6</x:v>
      </x:c>
      <x:c r="AP288" s="3"/>
    </x:row>
    <x:row r="289" ht="22" customHeight="1">
      <x:c r="A289" s="3" t="str">
        <x:v>T2920048</x:v>
      </x:c>
      <x:c r="B289" s="7" t="d">
        <x:v>2026-10-08T00:00:00.000Z</x:v>
      </x:c>
      <x:c r="C289" s="3" t="str">
        <x:v>Taladrod</x:v>
      </x:c>
      <x:c r="D289" s="3" t="str">
        <x:v>Toyota</x:v>
      </x:c>
      <x:c r="E289" s="3" t="str">
        <x:v>日本</x:v>
      </x:c>
      <x:c r="F289" s="3" t="str">
        <x:v>Corolla Cross</x:v>
      </x:c>
      <x:c r="G289" s="3" t="str">
        <x:v>HEV</x:v>
      </x:c>
      <x:c r="H289" s="3" t="str">
        <x:v>SUV</x:v>
      </x:c>
      <x:c r="I289" s="3" t="str"/>
      <x:c r="J289" s="3" t="n">
        <x:v>2020</x:v>
      </x:c>
      <x:c r="K289" s="3" t="str">
        <x:v>1.8 HYBRID PREMIUM SAFETY</x:v>
      </x:c>
      <x:c r="L289" s="3" t="str">
        <x:v>HEV PREMIUM SAFETY</x:v>
      </x:c>
      <x:c r="M289" s="22"/>
      <x:c r="N289" s="22"/>
      <x:c r="O289" s="22"/>
      <x:c r="P289" s="3" t="str">
        <x:v>未掲載</x:v>
      </x:c>
      <x:c r="Q289" s="3" t="str">
        <x:v>未取得</x:v>
      </x:c>
      <x:c r="R289" s="3" t="str">
        <x:v>Unknown</x:v>
      </x:c>
      <x:c r="S289" s="3" t="str">
        <x:v>不明</x:v>
      </x:c>
      <x:c r="T289" s="3" t="str">
        <x:v>20-ปัจจุบัน</x:v>
      </x:c>
      <x:c r="U289" s="28" t="n">
        <x:v>599000</x:v>
      </x:c>
      <x:c r="V289" s="28" t="n">
        <x:v>1199000</x:v>
      </x:c>
      <x:c r="W289" s="3" t="str">
        <x:v>事故・水没・SOH・保証残は未確認</x:v>
      </x:c>
      <x:c r="X289" s="3" t="str">
        <x:v>掲載中・在庫未確認</x:v>
      </x:c>
      <x:c r="Y289" s="3" t="str"/>
      <x:c r="Z289" s="27" t="str">
        <x:v>https://www.taladrod.com/w40/icar/cardet.aspx?cid=2920048</x:v>
      </x:c>
      <x:c r="AA289" s="3" t="str">
        <x:v>Taladrod個別広告ID／Carsome在庫ID</x:v>
      </x:c>
      <x:c r="AB289" s="3" t="str">
        <x:v>車台番号未取得／サイト間重複は未判定</x:v>
      </x:c>
      <x:c r="AC289" s="3" t="str">
        <x:v>税込区分未確認（一覧表示額）</x:v>
      </x:c>
      <x:c r="AD289" s="3" t="str"/>
      <x:c r="AE289" s="29" t="str">
        <x:f>""</x:f>
      </x:c>
      <x:c r="AF289" s="30" t="str">
        <x:f>IF(ISNUMBER(AE289),U289/AE289,"")</x:f>
      </x:c>
      <x:c r="AG289" s="29" t="n">
        <x:f>'新車価格・特価'!N55</x:f>
        <x:v>1204000</x:v>
      </x:c>
      <x:c r="AH289" s="30" t="n">
        <x:f>IF(ISNUMBER(AG289),U289/AG289,"")</x:f>
        <x:v>0.49750830564784054</x:v>
      </x:c>
      <x:c r="AI289" s="3" t="str">
        <x:v>同年式・グレードの検証済み当時価格なし／登録年混在</x:v>
      </x:c>
      <x:c r="AJ289" s="3" t="str">
        <x:v>一覧価格/年式のみ</x:v>
      </x:c>
      <x:c r="AK289" s="3" t="str">
        <x:v>一覧の表示価格。年式は掲載年式。</x:v>
      </x:c>
      <x:c r="AL289" s="31" t="n">
        <x:f>IF(AND(J289&lt;='分析方法'!$B$7,OR(ISBLANK(O289),O289&gt;='分析方法'!$B$8),X289&lt;&gt;"売却済み表示"),1,0)</x:f>
        <x:v>1</x:v>
      </x:c>
      <x:c r="AM289" s="32" t="n">
        <x:f>IF(AL289=1,U289,"")</x:f>
        <x:v>599000</x:v>
      </x:c>
      <x:c r="AN289" s="33" t="str">
        <x:f>IF(AL289=1,AF289,"")</x:f>
      </x:c>
      <x:c r="AO289" s="31" t="n">
        <x:f>'分析方法'!$B$6-J289</x:f>
        <x:v>6</x:v>
      </x:c>
      <x:c r="AP289" s="3"/>
    </x:row>
    <x:row r="290" ht="22" customHeight="1">
      <x:c r="A290" s="3" t="str">
        <x:v>T2923499</x:v>
      </x:c>
      <x:c r="B290" s="7" t="d">
        <x:v>2026-10-08T00:00:00.000Z</x:v>
      </x:c>
      <x:c r="C290" s="3" t="str">
        <x:v>Taladrod</x:v>
      </x:c>
      <x:c r="D290" s="3" t="str">
        <x:v>Toyota</x:v>
      </x:c>
      <x:c r="E290" s="3" t="str">
        <x:v>日本</x:v>
      </x:c>
      <x:c r="F290" s="3" t="str">
        <x:v>Corolla Cross</x:v>
      </x:c>
      <x:c r="G290" s="3" t="str">
        <x:v>HEV</x:v>
      </x:c>
      <x:c r="H290" s="3" t="str">
        <x:v>SUV</x:v>
      </x:c>
      <x:c r="I290" s="3" t="str"/>
      <x:c r="J290" s="3" t="n">
        <x:v>2020</x:v>
      </x:c>
      <x:c r="K290" s="3" t="str">
        <x:v>1.8 HYBRID PREMIUM SAFETY</x:v>
      </x:c>
      <x:c r="L290" s="3" t="str">
        <x:v>HEV PREMIUM SAFETY</x:v>
      </x:c>
      <x:c r="M290" s="22"/>
      <x:c r="N290" s="22"/>
      <x:c r="O290" s="22"/>
      <x:c r="P290" s="3" t="str">
        <x:v>未掲載</x:v>
      </x:c>
      <x:c r="Q290" s="3" t="str">
        <x:v>未取得</x:v>
      </x:c>
      <x:c r="R290" s="3" t="str">
        <x:v>Unknown</x:v>
      </x:c>
      <x:c r="S290" s="3" t="str">
        <x:v>不明</x:v>
      </x:c>
      <x:c r="T290" s="3" t="str">
        <x:v>20-ปัจจุบัน</x:v>
      </x:c>
      <x:c r="U290" s="28" t="n">
        <x:v>659000</x:v>
      </x:c>
      <x:c r="V290" s="28" t="n">
        <x:v>1199000</x:v>
      </x:c>
      <x:c r="W290" s="3" t="str">
        <x:v>事故・水没・SOH・保証残は未確認</x:v>
      </x:c>
      <x:c r="X290" s="3" t="str">
        <x:v>掲載中・在庫未確認</x:v>
      </x:c>
      <x:c r="Y290" s="3" t="str"/>
      <x:c r="Z290" s="27" t="str">
        <x:v>https://www.taladrod.com/w40/icar/cardet.aspx?cid=2923499</x:v>
      </x:c>
      <x:c r="AA290" s="3" t="str">
        <x:v>Taladrod個別広告ID／Carsome在庫ID</x:v>
      </x:c>
      <x:c r="AB290" s="3" t="str">
        <x:v>車台番号未取得／サイト間重複は未判定</x:v>
      </x:c>
      <x:c r="AC290" s="3" t="str">
        <x:v>税込区分未確認（一覧表示額）</x:v>
      </x:c>
      <x:c r="AD290" s="3" t="str"/>
      <x:c r="AE290" s="29" t="str">
        <x:f>""</x:f>
      </x:c>
      <x:c r="AF290" s="30" t="str">
        <x:f>IF(ISNUMBER(AE290),U290/AE290,"")</x:f>
      </x:c>
      <x:c r="AG290" s="29" t="n">
        <x:f>'新車価格・特価'!N55</x:f>
        <x:v>1204000</x:v>
      </x:c>
      <x:c r="AH290" s="30" t="n">
        <x:f>IF(ISNUMBER(AG290),U290/AG290,"")</x:f>
        <x:v>0.5473421926910299</x:v>
      </x:c>
      <x:c r="AI290" s="3" t="str">
        <x:v>同年式・グレードの検証済み当時価格なし／登録年混在</x:v>
      </x:c>
      <x:c r="AJ290" s="3" t="str">
        <x:v>一覧価格/年式のみ</x:v>
      </x:c>
      <x:c r="AK290" s="3" t="str">
        <x:v>一覧の表示価格。年式は掲載年式。</x:v>
      </x:c>
      <x:c r="AL290" s="31" t="n">
        <x:f>IF(AND(J290&lt;='分析方法'!$B$7,OR(ISBLANK(O290),O290&gt;='分析方法'!$B$8),X290&lt;&gt;"売却済み表示"),1,0)</x:f>
        <x:v>1</x:v>
      </x:c>
      <x:c r="AM290" s="32" t="n">
        <x:f>IF(AL290=1,U290,"")</x:f>
        <x:v>659000</x:v>
      </x:c>
      <x:c r="AN290" s="33" t="str">
        <x:f>IF(AL290=1,AF290,"")</x:f>
      </x:c>
      <x:c r="AO290" s="31" t="n">
        <x:f>'分析方法'!$B$6-J290</x:f>
        <x:v>6</x:v>
      </x:c>
      <x:c r="AP290" s="3"/>
    </x:row>
    <x:row r="291" ht="22" customHeight="1">
      <x:c r="A291" s="3" t="str">
        <x:v>T2923957</x:v>
      </x:c>
      <x:c r="B291" s="7" t="d">
        <x:v>2026-10-08T00:00:00.000Z</x:v>
      </x:c>
      <x:c r="C291" s="3" t="str">
        <x:v>Taladrod</x:v>
      </x:c>
      <x:c r="D291" s="3" t="str">
        <x:v>Toyota</x:v>
      </x:c>
      <x:c r="E291" s="3" t="str">
        <x:v>日本</x:v>
      </x:c>
      <x:c r="F291" s="3" t="str">
        <x:v>Corolla Cross</x:v>
      </x:c>
      <x:c r="G291" s="3" t="str">
        <x:v>HEV</x:v>
      </x:c>
      <x:c r="H291" s="3" t="str">
        <x:v>SUV</x:v>
      </x:c>
      <x:c r="I291" s="3" t="str"/>
      <x:c r="J291" s="3" t="n">
        <x:v>2020</x:v>
      </x:c>
      <x:c r="K291" s="3" t="str">
        <x:v>1.8 HYBRID PREMIUM SAFETY</x:v>
      </x:c>
      <x:c r="L291" s="3" t="str">
        <x:v>HEV PREMIUM SAFETY</x:v>
      </x:c>
      <x:c r="M291" s="22"/>
      <x:c r="N291" s="22"/>
      <x:c r="O291" s="22"/>
      <x:c r="P291" s="3" t="str">
        <x:v>未掲載</x:v>
      </x:c>
      <x:c r="Q291" s="3" t="str">
        <x:v>未取得</x:v>
      </x:c>
      <x:c r="R291" s="3" t="str">
        <x:v>Unknown</x:v>
      </x:c>
      <x:c r="S291" s="3" t="str">
        <x:v>不明</x:v>
      </x:c>
      <x:c r="T291" s="3" t="str">
        <x:v>20-ปัจจุบัน</x:v>
      </x:c>
      <x:c r="U291" s="28" t="n">
        <x:v>624000</x:v>
      </x:c>
      <x:c r="V291" s="28" t="n">
        <x:v>1199000</x:v>
      </x:c>
      <x:c r="W291" s="3" t="str">
        <x:v>事故・水没・SOH・保証残は未確認</x:v>
      </x:c>
      <x:c r="X291" s="3" t="str">
        <x:v>掲載中・在庫未確認</x:v>
      </x:c>
      <x:c r="Y291" s="3" t="str"/>
      <x:c r="Z291" s="27" t="str">
        <x:v>https://www.taladrod.com/w40/icar/cardet.aspx?cid=2923957</x:v>
      </x:c>
      <x:c r="AA291" s="3" t="str">
        <x:v>Taladrod個別広告ID／Carsome在庫ID</x:v>
      </x:c>
      <x:c r="AB291" s="3" t="str">
        <x:v>車台番号未取得／サイト間重複は未判定</x:v>
      </x:c>
      <x:c r="AC291" s="3" t="str">
        <x:v>税込区分未確認（一覧表示額）</x:v>
      </x:c>
      <x:c r="AD291" s="3" t="str"/>
      <x:c r="AE291" s="29" t="str">
        <x:f>""</x:f>
      </x:c>
      <x:c r="AF291" s="30" t="str">
        <x:f>IF(ISNUMBER(AE291),U291/AE291,"")</x:f>
      </x:c>
      <x:c r="AG291" s="29" t="n">
        <x:f>'新車価格・特価'!N55</x:f>
        <x:v>1204000</x:v>
      </x:c>
      <x:c r="AH291" s="30" t="n">
        <x:f>IF(ISNUMBER(AG291),U291/AG291,"")</x:f>
        <x:v>0.5182724252491694</x:v>
      </x:c>
      <x:c r="AI291" s="3" t="str">
        <x:v>同年式・グレードの検証済み当時価格なし／登録年混在</x:v>
      </x:c>
      <x:c r="AJ291" s="3" t="str">
        <x:v>一覧価格/年式のみ</x:v>
      </x:c>
      <x:c r="AK291" s="3" t="str">
        <x:v>一覧の表示価格。年式は掲載年式。</x:v>
      </x:c>
      <x:c r="AL291" s="31" t="n">
        <x:f>IF(AND(J291&lt;='分析方法'!$B$7,OR(ISBLANK(O291),O291&gt;='分析方法'!$B$8),X291&lt;&gt;"売却済み表示"),1,0)</x:f>
        <x:v>1</x:v>
      </x:c>
      <x:c r="AM291" s="32" t="n">
        <x:f>IF(AL291=1,U291,"")</x:f>
        <x:v>624000</x:v>
      </x:c>
      <x:c r="AN291" s="33" t="str">
        <x:f>IF(AL291=1,AF291,"")</x:f>
      </x:c>
      <x:c r="AO291" s="31" t="n">
        <x:f>'分析方法'!$B$6-J291</x:f>
        <x:v>6</x:v>
      </x:c>
      <x:c r="AP291" s="3"/>
    </x:row>
    <x:row r="292" ht="22" customHeight="1">
      <x:c r="A292" s="3" t="str">
        <x:v>T2924055</x:v>
      </x:c>
      <x:c r="B292" s="7" t="d">
        <x:v>2026-10-08T00:00:00.000Z</x:v>
      </x:c>
      <x:c r="C292" s="3" t="str">
        <x:v>Taladrod</x:v>
      </x:c>
      <x:c r="D292" s="3" t="str">
        <x:v>Toyota</x:v>
      </x:c>
      <x:c r="E292" s="3" t="str">
        <x:v>日本</x:v>
      </x:c>
      <x:c r="F292" s="3" t="str">
        <x:v>Corolla Cross</x:v>
      </x:c>
      <x:c r="G292" s="3" t="str">
        <x:v>HEV</x:v>
      </x:c>
      <x:c r="H292" s="3" t="str">
        <x:v>SUV</x:v>
      </x:c>
      <x:c r="I292" s="3" t="str"/>
      <x:c r="J292" s="3" t="n">
        <x:v>2020</x:v>
      </x:c>
      <x:c r="K292" s="3" t="str">
        <x:v>1.8 HYBRID PREMIUM SAFETY</x:v>
      </x:c>
      <x:c r="L292" s="3" t="str">
        <x:v>HEV PREMIUM SAFETY</x:v>
      </x:c>
      <x:c r="M292" s="22"/>
      <x:c r="N292" s="22"/>
      <x:c r="O292" s="22"/>
      <x:c r="P292" s="3" t="str">
        <x:v>未掲載</x:v>
      </x:c>
      <x:c r="Q292" s="3" t="str">
        <x:v>未取得</x:v>
      </x:c>
      <x:c r="R292" s="3" t="str">
        <x:v>Unknown</x:v>
      </x:c>
      <x:c r="S292" s="3" t="str">
        <x:v>不明</x:v>
      </x:c>
      <x:c r="T292" s="3" t="str">
        <x:v>20-ปัจจุบัน</x:v>
      </x:c>
      <x:c r="U292" s="28" t="n">
        <x:v>619000</x:v>
      </x:c>
      <x:c r="V292" s="28" t="n">
        <x:v>1199000</x:v>
      </x:c>
      <x:c r="W292" s="3" t="str">
        <x:v>事故・水没・SOH・保証残は未確認</x:v>
      </x:c>
      <x:c r="X292" s="3" t="str">
        <x:v>掲載中・在庫未確認</x:v>
      </x:c>
      <x:c r="Y292" s="3" t="str"/>
      <x:c r="Z292" s="27" t="str">
        <x:v>https://www.taladrod.com/w40/icar/cardet.aspx?cid=2924055</x:v>
      </x:c>
      <x:c r="AA292" s="3" t="str">
        <x:v>Taladrod個別広告ID／Carsome在庫ID</x:v>
      </x:c>
      <x:c r="AB292" s="3" t="str">
        <x:v>車台番号未取得／サイト間重複は未判定</x:v>
      </x:c>
      <x:c r="AC292" s="3" t="str">
        <x:v>税込区分未確認（一覧表示額）</x:v>
      </x:c>
      <x:c r="AD292" s="3" t="str"/>
      <x:c r="AE292" s="29" t="str">
        <x:f>""</x:f>
      </x:c>
      <x:c r="AF292" s="30" t="str">
        <x:f>IF(ISNUMBER(AE292),U292/AE292,"")</x:f>
      </x:c>
      <x:c r="AG292" s="29" t="n">
        <x:f>'新車価格・特価'!N55</x:f>
        <x:v>1204000</x:v>
      </x:c>
      <x:c r="AH292" s="30" t="n">
        <x:f>IF(ISNUMBER(AG292),U292/AG292,"")</x:f>
        <x:v>0.5141196013289037</x:v>
      </x:c>
      <x:c r="AI292" s="3" t="str">
        <x:v>同年式・グレードの検証済み当時価格なし／登録年混在</x:v>
      </x:c>
      <x:c r="AJ292" s="3" t="str">
        <x:v>一覧価格/年式のみ</x:v>
      </x:c>
      <x:c r="AK292" s="3" t="str">
        <x:v>一覧の表示価格。年式は掲載年式。</x:v>
      </x:c>
      <x:c r="AL292" s="31" t="n">
        <x:f>IF(AND(J292&lt;='分析方法'!$B$7,OR(ISBLANK(O292),O292&gt;='分析方法'!$B$8),X292&lt;&gt;"売却済み表示"),1,0)</x:f>
        <x:v>1</x:v>
      </x:c>
      <x:c r="AM292" s="32" t="n">
        <x:f>IF(AL292=1,U292,"")</x:f>
        <x:v>619000</x:v>
      </x:c>
      <x:c r="AN292" s="33" t="str">
        <x:f>IF(AL292=1,AF292,"")</x:f>
      </x:c>
      <x:c r="AO292" s="31" t="n">
        <x:f>'分析方法'!$B$6-J292</x:f>
        <x:v>6</x:v>
      </x:c>
      <x:c r="AP292" s="3"/>
    </x:row>
    <x:row r="293" ht="22" customHeight="1">
      <x:c r="A293" s="3" t="str">
        <x:v>T2925957</x:v>
      </x:c>
      <x:c r="B293" s="7" t="d">
        <x:v>2026-10-08T00:00:00.000Z</x:v>
      </x:c>
      <x:c r="C293" s="3" t="str">
        <x:v>Taladrod</x:v>
      </x:c>
      <x:c r="D293" s="3" t="str">
        <x:v>Toyota</x:v>
      </x:c>
      <x:c r="E293" s="3" t="str">
        <x:v>日本</x:v>
      </x:c>
      <x:c r="F293" s="3" t="str">
        <x:v>Corolla Cross</x:v>
      </x:c>
      <x:c r="G293" s="3" t="str">
        <x:v>HEV</x:v>
      </x:c>
      <x:c r="H293" s="3" t="str">
        <x:v>SUV</x:v>
      </x:c>
      <x:c r="I293" s="3" t="str"/>
      <x:c r="J293" s="3" t="n">
        <x:v>2020</x:v>
      </x:c>
      <x:c r="K293" s="3" t="str">
        <x:v>1.8 HYBRID PREMIUM SAFETY</x:v>
      </x:c>
      <x:c r="L293" s="3" t="str">
        <x:v>HEV PREMIUM SAFETY</x:v>
      </x:c>
      <x:c r="M293" s="22"/>
      <x:c r="N293" s="22"/>
      <x:c r="O293" s="22"/>
      <x:c r="P293" s="3" t="str">
        <x:v>未掲載</x:v>
      </x:c>
      <x:c r="Q293" s="3" t="str">
        <x:v>未取得</x:v>
      </x:c>
      <x:c r="R293" s="3" t="str">
        <x:v>Unknown</x:v>
      </x:c>
      <x:c r="S293" s="3" t="str">
        <x:v>不明</x:v>
      </x:c>
      <x:c r="T293" s="3" t="str">
        <x:v>20-ปัจจุบัน</x:v>
      </x:c>
      <x:c r="U293" s="28" t="n">
        <x:v>720000</x:v>
      </x:c>
      <x:c r="V293" s="28" t="n">
        <x:v>1199000</x:v>
      </x:c>
      <x:c r="W293" s="3" t="str">
        <x:v>事故・水没・SOH・保証残は未確認</x:v>
      </x:c>
      <x:c r="X293" s="3" t="str">
        <x:v>掲載中・在庫未確認</x:v>
      </x:c>
      <x:c r="Y293" s="3" t="str"/>
      <x:c r="Z293" s="27" t="str">
        <x:v>https://www.taladrod.com/w40/icar/cardet.aspx?cid=2925957</x:v>
      </x:c>
      <x:c r="AA293" s="3" t="str">
        <x:v>Taladrod個別広告ID／Carsome在庫ID</x:v>
      </x:c>
      <x:c r="AB293" s="3" t="str">
        <x:v>車台番号未取得／サイト間重複は未判定</x:v>
      </x:c>
      <x:c r="AC293" s="3" t="str">
        <x:v>税込区分未確認（一覧表示額）</x:v>
      </x:c>
      <x:c r="AD293" s="3" t="str"/>
      <x:c r="AE293" s="29" t="str">
        <x:f>""</x:f>
      </x:c>
      <x:c r="AF293" s="30" t="str">
        <x:f>IF(ISNUMBER(AE293),U293/AE293,"")</x:f>
      </x:c>
      <x:c r="AG293" s="29" t="n">
        <x:f>'新車価格・特価'!N55</x:f>
        <x:v>1204000</x:v>
      </x:c>
      <x:c r="AH293" s="30" t="n">
        <x:f>IF(ISNUMBER(AG293),U293/AG293,"")</x:f>
        <x:v>0.5980066445182725</x:v>
      </x:c>
      <x:c r="AI293" s="3" t="str">
        <x:v>同年式・グレードの検証済み当時価格なし／登録年混在</x:v>
      </x:c>
      <x:c r="AJ293" s="3" t="str">
        <x:v>一覧価格/年式のみ</x:v>
      </x:c>
      <x:c r="AK293" s="3" t="str">
        <x:v>一覧の表示価格。年式は掲載年式。</x:v>
      </x:c>
      <x:c r="AL293" s="31" t="n">
        <x:f>IF(AND(J293&lt;='分析方法'!$B$7,OR(ISBLANK(O293),O293&gt;='分析方法'!$B$8),X293&lt;&gt;"売却済み表示"),1,0)</x:f>
        <x:v>1</x:v>
      </x:c>
      <x:c r="AM293" s="32" t="n">
        <x:f>IF(AL293=1,U293,"")</x:f>
        <x:v>720000</x:v>
      </x:c>
      <x:c r="AN293" s="33" t="str">
        <x:f>IF(AL293=1,AF293,"")</x:f>
      </x:c>
      <x:c r="AO293" s="31" t="n">
        <x:f>'分析方法'!$B$6-J293</x:f>
        <x:v>6</x:v>
      </x:c>
      <x:c r="AP293" s="3"/>
    </x:row>
    <x:row r="294" ht="22" customHeight="1">
      <x:c r="A294" s="3" t="str">
        <x:v>T2926381</x:v>
      </x:c>
      <x:c r="B294" s="7" t="d">
        <x:v>2026-10-08T00:00:00.000Z</x:v>
      </x:c>
      <x:c r="C294" s="3" t="str">
        <x:v>Taladrod</x:v>
      </x:c>
      <x:c r="D294" s="3" t="str">
        <x:v>Toyota</x:v>
      </x:c>
      <x:c r="E294" s="3" t="str">
        <x:v>日本</x:v>
      </x:c>
      <x:c r="F294" s="3" t="str">
        <x:v>Corolla Cross</x:v>
      </x:c>
      <x:c r="G294" s="3" t="str">
        <x:v>HEV</x:v>
      </x:c>
      <x:c r="H294" s="3" t="str">
        <x:v>SUV</x:v>
      </x:c>
      <x:c r="I294" s="3" t="str"/>
      <x:c r="J294" s="3" t="n">
        <x:v>2020</x:v>
      </x:c>
      <x:c r="K294" s="3" t="str">
        <x:v>1.8 HYBRID PREMIUM SAFETY</x:v>
      </x:c>
      <x:c r="L294" s="3" t="str">
        <x:v>HEV PREMIUM SAFETY</x:v>
      </x:c>
      <x:c r="M294" s="22"/>
      <x:c r="N294" s="22"/>
      <x:c r="O294" s="22"/>
      <x:c r="P294" s="3" t="str">
        <x:v>未掲載</x:v>
      </x:c>
      <x:c r="Q294" s="3" t="str">
        <x:v>未取得</x:v>
      </x:c>
      <x:c r="R294" s="3" t="str">
        <x:v>Unknown</x:v>
      </x:c>
      <x:c r="S294" s="3" t="str">
        <x:v>不明</x:v>
      </x:c>
      <x:c r="T294" s="3" t="str">
        <x:v>20-ปัจจุบัน</x:v>
      </x:c>
      <x:c r="U294" s="28" t="n">
        <x:v>699000</x:v>
      </x:c>
      <x:c r="V294" s="28" t="n">
        <x:v>1199000</x:v>
      </x:c>
      <x:c r="W294" s="3" t="str">
        <x:v>事故・水没・SOH・保証残は未確認</x:v>
      </x:c>
      <x:c r="X294" s="3" t="str">
        <x:v>掲載中・在庫未確認</x:v>
      </x:c>
      <x:c r="Y294" s="3" t="str"/>
      <x:c r="Z294" s="27" t="str">
        <x:v>https://www.taladrod.com/w40/icar/cardet.aspx?cid=2926381</x:v>
      </x:c>
      <x:c r="AA294" s="3" t="str">
        <x:v>Taladrod個別広告ID／Carsome在庫ID</x:v>
      </x:c>
      <x:c r="AB294" s="3" t="str">
        <x:v>車台番号未取得／サイト間重複は未判定</x:v>
      </x:c>
      <x:c r="AC294" s="3" t="str">
        <x:v>税込区分未確認（一覧表示額）</x:v>
      </x:c>
      <x:c r="AD294" s="3" t="str"/>
      <x:c r="AE294" s="29" t="str">
        <x:f>""</x:f>
      </x:c>
      <x:c r="AF294" s="30" t="str">
        <x:f>IF(ISNUMBER(AE294),U294/AE294,"")</x:f>
      </x:c>
      <x:c r="AG294" s="29" t="n">
        <x:f>'新車価格・特価'!N55</x:f>
        <x:v>1204000</x:v>
      </x:c>
      <x:c r="AH294" s="30" t="n">
        <x:f>IF(ISNUMBER(AG294),U294/AG294,"")</x:f>
        <x:v>0.5805647840531561</x:v>
      </x:c>
      <x:c r="AI294" s="3" t="str">
        <x:v>同年式・グレードの検証済み当時価格なし／登録年混在</x:v>
      </x:c>
      <x:c r="AJ294" s="3" t="str">
        <x:v>一覧価格/年式のみ</x:v>
      </x:c>
      <x:c r="AK294" s="3" t="str">
        <x:v>一覧の表示価格。年式は掲載年式。</x:v>
      </x:c>
      <x:c r="AL294" s="31" t="n">
        <x:f>IF(AND(J294&lt;='分析方法'!$B$7,OR(ISBLANK(O294),O294&gt;='分析方法'!$B$8),X294&lt;&gt;"売却済み表示"),1,0)</x:f>
        <x:v>1</x:v>
      </x:c>
      <x:c r="AM294" s="32" t="n">
        <x:f>IF(AL294=1,U294,"")</x:f>
        <x:v>699000</x:v>
      </x:c>
      <x:c r="AN294" s="33" t="str">
        <x:f>IF(AL294=1,AF294,"")</x:f>
      </x:c>
      <x:c r="AO294" s="31" t="n">
        <x:f>'分析方法'!$B$6-J294</x:f>
        <x:v>6</x:v>
      </x:c>
      <x:c r="AP294" s="3"/>
    </x:row>
    <x:row r="295" ht="22" customHeight="1">
      <x:c r="A295" s="3" t="str">
        <x:v>T2888965</x:v>
      </x:c>
      <x:c r="B295" s="7" t="d">
        <x:v>2026-10-08T00:00:00.000Z</x:v>
      </x:c>
      <x:c r="C295" s="3" t="str">
        <x:v>Taladrod</x:v>
      </x:c>
      <x:c r="D295" s="3" t="str">
        <x:v>Toyota</x:v>
      </x:c>
      <x:c r="E295" s="3" t="str">
        <x:v>日本</x:v>
      </x:c>
      <x:c r="F295" s="3" t="str">
        <x:v>Corolla Cross</x:v>
      </x:c>
      <x:c r="G295" s="3" t="str">
        <x:v>HEV</x:v>
      </x:c>
      <x:c r="H295" s="3" t="str">
        <x:v>SUV</x:v>
      </x:c>
      <x:c r="I295" s="3" t="str"/>
      <x:c r="J295" s="3" t="n">
        <x:v>2021</x:v>
      </x:c>
      <x:c r="K295" s="3" t="str">
        <x:v>1.8 HYBRID PREMIUM</x:v>
      </x:c>
      <x:c r="L295" s="3" t="str">
        <x:v>HEV PREMIUM</x:v>
      </x:c>
      <x:c r="M295" s="22"/>
      <x:c r="N295" s="22"/>
      <x:c r="O295" s="22"/>
      <x:c r="P295" s="3" t="str">
        <x:v>未掲載</x:v>
      </x:c>
      <x:c r="Q295" s="3" t="str">
        <x:v>未取得</x:v>
      </x:c>
      <x:c r="R295" s="3" t="str">
        <x:v>Unknown</x:v>
      </x:c>
      <x:c r="S295" s="3" t="str">
        <x:v>不明</x:v>
      </x:c>
      <x:c r="T295" s="3" t="str">
        <x:v>20-ปัจจุบัน</x:v>
      </x:c>
      <x:c r="U295" s="28" t="n">
        <x:v>579000</x:v>
      </x:c>
      <x:c r="V295" s="28" t="n">
        <x:v>1089000</x:v>
      </x:c>
      <x:c r="W295" s="3" t="str">
        <x:v>事故・水没・SOH・保証残は未確認</x:v>
      </x:c>
      <x:c r="X295" s="3" t="str">
        <x:v>掲載中・在庫未確認</x:v>
      </x:c>
      <x:c r="Y295" s="3" t="str"/>
      <x:c r="Z295" s="27" t="str">
        <x:v>https://www.taladrod.com/w40/icar/cardet.aspx?cid=2888965</x:v>
      </x:c>
      <x:c r="AA295" s="3" t="str">
        <x:v>Taladrod個別広告ID／Carsome在庫ID</x:v>
      </x:c>
      <x:c r="AB295" s="3" t="str">
        <x:v>車台番号未取得／サイト間重複は未判定</x:v>
      </x:c>
      <x:c r="AC295" s="3" t="str">
        <x:v>税込区分未確認（一覧表示額）</x:v>
      </x:c>
      <x:c r="AD295" s="3" t="str"/>
      <x:c r="AE295" s="29" t="str">
        <x:f>""</x:f>
      </x:c>
      <x:c r="AF295" s="30" t="str">
        <x:f>IF(ISNUMBER(AE295),U295/AE295,"")</x:f>
      </x:c>
      <x:c r="AG295" s="29" t="n">
        <x:f>'新車価格・特価'!N54</x:f>
        <x:v>1094000</x:v>
      </x:c>
      <x:c r="AH295" s="30" t="n">
        <x:f>IF(ISNUMBER(AG295),U295/AG295,"")</x:f>
        <x:v>0.5292504570383912</x:v>
      </x:c>
      <x:c r="AI295" s="3" t="str">
        <x:v>同年式・グレードの検証済み当時価格なし／登録年混在</x:v>
      </x:c>
      <x:c r="AJ295" s="3" t="str">
        <x:v>一覧価格/年式のみ</x:v>
      </x:c>
      <x:c r="AK295" s="3" t="str">
        <x:v>一覧の表示価格。年式は掲載年式。</x:v>
      </x:c>
      <x:c r="AL295" s="31" t="n">
        <x:f>IF(AND(J295&lt;='分析方法'!$B$7,OR(ISBLANK(O295),O295&gt;='分析方法'!$B$8),X295&lt;&gt;"売却済み表示"),1,0)</x:f>
        <x:v>1</x:v>
      </x:c>
      <x:c r="AM295" s="32" t="n">
        <x:f>IF(AL295=1,U295,"")</x:f>
        <x:v>579000</x:v>
      </x:c>
      <x:c r="AN295" s="33" t="str">
        <x:f>IF(AL295=1,AF295,"")</x:f>
      </x:c>
      <x:c r="AO295" s="31" t="n">
        <x:f>'分析方法'!$B$6-J295</x:f>
        <x:v>5</x:v>
      </x:c>
      <x:c r="AP295" s="3"/>
    </x:row>
    <x:row r="296" ht="22" customHeight="1">
      <x:c r="A296" s="3" t="str">
        <x:v>T2895291</x:v>
      </x:c>
      <x:c r="B296" s="7" t="d">
        <x:v>2026-10-08T00:00:00.000Z</x:v>
      </x:c>
      <x:c r="C296" s="3" t="str">
        <x:v>Taladrod</x:v>
      </x:c>
      <x:c r="D296" s="3" t="str">
        <x:v>Toyota</x:v>
      </x:c>
      <x:c r="E296" s="3" t="str">
        <x:v>日本</x:v>
      </x:c>
      <x:c r="F296" s="3" t="str">
        <x:v>Corolla Cross</x:v>
      </x:c>
      <x:c r="G296" s="3" t="str">
        <x:v>HEV</x:v>
      </x:c>
      <x:c r="H296" s="3" t="str">
        <x:v>SUV</x:v>
      </x:c>
      <x:c r="I296" s="3" t="str"/>
      <x:c r="J296" s="3" t="n">
        <x:v>2021</x:v>
      </x:c>
      <x:c r="K296" s="3" t="str">
        <x:v>1.8 HEV PREMIUM</x:v>
      </x:c>
      <x:c r="L296" s="3" t="str">
        <x:v>HEV PREMIUM</x:v>
      </x:c>
      <x:c r="M296" s="22"/>
      <x:c r="N296" s="22"/>
      <x:c r="O296" s="22"/>
      <x:c r="P296" s="3" t="str">
        <x:v>未掲載</x:v>
      </x:c>
      <x:c r="Q296" s="3" t="str">
        <x:v>未取得</x:v>
      </x:c>
      <x:c r="R296" s="3" t="str">
        <x:v>Unknown</x:v>
      </x:c>
      <x:c r="S296" s="3" t="str">
        <x:v>不明</x:v>
      </x:c>
      <x:c r="T296" s="3" t="str">
        <x:v>20-ปัจจุบัน</x:v>
      </x:c>
      <x:c r="U296" s="28" t="n">
        <x:v>639000</x:v>
      </x:c>
      <x:c r="V296" s="28" t="n">
        <x:v>1094000</x:v>
      </x:c>
      <x:c r="W296" s="3" t="str">
        <x:v>事故・水没・SOH・保証残は未確認</x:v>
      </x:c>
      <x:c r="X296" s="3" t="str">
        <x:v>掲載中・在庫未確認</x:v>
      </x:c>
      <x:c r="Y296" s="3" t="str"/>
      <x:c r="Z296" s="27" t="str">
        <x:v>https://www.taladrod.com/w40/icar/cardet.aspx?cid=2895291</x:v>
      </x:c>
      <x:c r="AA296" s="3" t="str">
        <x:v>Taladrod個別広告ID／Carsome在庫ID</x:v>
      </x:c>
      <x:c r="AB296" s="3" t="str">
        <x:v>車台番号未取得／サイト間重複は未判定</x:v>
      </x:c>
      <x:c r="AC296" s="3" t="str">
        <x:v>税込区分未確認（一覧表示額）</x:v>
      </x:c>
      <x:c r="AD296" s="3" t="str"/>
      <x:c r="AE296" s="29" t="str">
        <x:f>""</x:f>
      </x:c>
      <x:c r="AF296" s="30" t="str">
        <x:f>IF(ISNUMBER(AE296),U296/AE296,"")</x:f>
      </x:c>
      <x:c r="AG296" s="29" t="n">
        <x:f>'新車価格・特価'!N54</x:f>
        <x:v>1094000</x:v>
      </x:c>
      <x:c r="AH296" s="30" t="n">
        <x:f>IF(ISNUMBER(AG296),U296/AG296,"")</x:f>
        <x:v>0.5840950639853748</x:v>
      </x:c>
      <x:c r="AI296" s="3" t="str">
        <x:v>同年式・グレードの検証済み当時価格なし／登録年混在</x:v>
      </x:c>
      <x:c r="AJ296" s="3" t="str">
        <x:v>一覧価格/年式のみ</x:v>
      </x:c>
      <x:c r="AK296" s="3" t="str">
        <x:v>一覧の表示価格。年式は掲載年式。</x:v>
      </x:c>
      <x:c r="AL296" s="31" t="n">
        <x:f>IF(AND(J296&lt;='分析方法'!$B$7,OR(ISBLANK(O296),O296&gt;='分析方法'!$B$8),X296&lt;&gt;"売却済み表示"),1,0)</x:f>
        <x:v>1</x:v>
      </x:c>
      <x:c r="AM296" s="32" t="n">
        <x:f>IF(AL296=1,U296,"")</x:f>
        <x:v>639000</x:v>
      </x:c>
      <x:c r="AN296" s="33" t="str">
        <x:f>IF(AL296=1,AF296,"")</x:f>
      </x:c>
      <x:c r="AO296" s="31" t="n">
        <x:f>'分析方法'!$B$6-J296</x:f>
        <x:v>5</x:v>
      </x:c>
      <x:c r="AP296" s="3"/>
    </x:row>
    <x:row r="297" ht="22" customHeight="1">
      <x:c r="A297" s="3" t="str">
        <x:v>T2903007</x:v>
      </x:c>
      <x:c r="B297" s="7" t="d">
        <x:v>2026-10-08T00:00:00.000Z</x:v>
      </x:c>
      <x:c r="C297" s="3" t="str">
        <x:v>Taladrod</x:v>
      </x:c>
      <x:c r="D297" s="3" t="str">
        <x:v>Toyota</x:v>
      </x:c>
      <x:c r="E297" s="3" t="str">
        <x:v>日本</x:v>
      </x:c>
      <x:c r="F297" s="3" t="str">
        <x:v>Corolla Cross</x:v>
      </x:c>
      <x:c r="G297" s="3" t="str">
        <x:v>HEV</x:v>
      </x:c>
      <x:c r="H297" s="3" t="str">
        <x:v>SUV</x:v>
      </x:c>
      <x:c r="I297" s="3" t="str"/>
      <x:c r="J297" s="3" t="n">
        <x:v>2021</x:v>
      </x:c>
      <x:c r="K297" s="3" t="str">
        <x:v>1.8 HYBRID PREMIUM</x:v>
      </x:c>
      <x:c r="L297" s="3" t="str">
        <x:v>HEV PREMIUM</x:v>
      </x:c>
      <x:c r="M297" s="22"/>
      <x:c r="N297" s="22"/>
      <x:c r="O297" s="22"/>
      <x:c r="P297" s="3" t="str">
        <x:v>未掲載</x:v>
      </x:c>
      <x:c r="Q297" s="3" t="str">
        <x:v>未取得</x:v>
      </x:c>
      <x:c r="R297" s="3" t="str">
        <x:v>Unknown</x:v>
      </x:c>
      <x:c r="S297" s="3" t="str">
        <x:v>不明</x:v>
      </x:c>
      <x:c r="T297" s="3" t="str">
        <x:v>20-ปัจจุบัน</x:v>
      </x:c>
      <x:c r="U297" s="28" t="n">
        <x:v>628000</x:v>
      </x:c>
      <x:c r="V297" s="28" t="n">
        <x:v>1089000</x:v>
      </x:c>
      <x:c r="W297" s="3" t="str">
        <x:v>事故・水没・SOH・保証残は未確認</x:v>
      </x:c>
      <x:c r="X297" s="3" t="str">
        <x:v>掲載中・在庫未確認</x:v>
      </x:c>
      <x:c r="Y297" s="3" t="str"/>
      <x:c r="Z297" s="27" t="str">
        <x:v>https://www.taladrod.com/w40/icar/cardet.aspx?cid=2903007</x:v>
      </x:c>
      <x:c r="AA297" s="3" t="str">
        <x:v>Taladrod個別広告ID／Carsome在庫ID</x:v>
      </x:c>
      <x:c r="AB297" s="3" t="str">
        <x:v>車台番号未取得／サイト間重複は未判定</x:v>
      </x:c>
      <x:c r="AC297" s="3" t="str">
        <x:v>税込区分未確認（一覧表示額）</x:v>
      </x:c>
      <x:c r="AD297" s="3" t="str"/>
      <x:c r="AE297" s="29" t="str">
        <x:f>""</x:f>
      </x:c>
      <x:c r="AF297" s="30" t="str">
        <x:f>IF(ISNUMBER(AE297),U297/AE297,"")</x:f>
      </x:c>
      <x:c r="AG297" s="29" t="n">
        <x:f>'新車価格・特価'!N54</x:f>
        <x:v>1094000</x:v>
      </x:c>
      <x:c r="AH297" s="30" t="n">
        <x:f>IF(ISNUMBER(AG297),U297/AG297,"")</x:f>
        <x:v>0.5740402193784278</x:v>
      </x:c>
      <x:c r="AI297" s="3" t="str">
        <x:v>同年式・グレードの検証済み当時価格なし／登録年混在</x:v>
      </x:c>
      <x:c r="AJ297" s="3" t="str">
        <x:v>一覧価格/年式のみ</x:v>
      </x:c>
      <x:c r="AK297" s="3" t="str">
        <x:v>一覧の表示価格。年式は掲載年式。</x:v>
      </x:c>
      <x:c r="AL297" s="31" t="n">
        <x:f>IF(AND(J297&lt;='分析方法'!$B$7,OR(ISBLANK(O297),O297&gt;='分析方法'!$B$8),X297&lt;&gt;"売却済み表示"),1,0)</x:f>
        <x:v>1</x:v>
      </x:c>
      <x:c r="AM297" s="32" t="n">
        <x:f>IF(AL297=1,U297,"")</x:f>
        <x:v>628000</x:v>
      </x:c>
      <x:c r="AN297" s="33" t="str">
        <x:f>IF(AL297=1,AF297,"")</x:f>
      </x:c>
      <x:c r="AO297" s="31" t="n">
        <x:f>'分析方法'!$B$6-J297</x:f>
        <x:v>5</x:v>
      </x:c>
      <x:c r="AP297" s="3"/>
    </x:row>
    <x:row r="298" ht="22" customHeight="1">
      <x:c r="A298" s="3" t="str">
        <x:v>T2904751</x:v>
      </x:c>
      <x:c r="B298" s="7" t="d">
        <x:v>2026-10-08T00:00:00.000Z</x:v>
      </x:c>
      <x:c r="C298" s="3" t="str">
        <x:v>Taladrod</x:v>
      </x:c>
      <x:c r="D298" s="3" t="str">
        <x:v>Toyota</x:v>
      </x:c>
      <x:c r="E298" s="3" t="str">
        <x:v>日本</x:v>
      </x:c>
      <x:c r="F298" s="3" t="str">
        <x:v>Corolla Cross</x:v>
      </x:c>
      <x:c r="G298" s="3" t="str">
        <x:v>HEV</x:v>
      </x:c>
      <x:c r="H298" s="3" t="str">
        <x:v>SUV</x:v>
      </x:c>
      <x:c r="I298" s="3" t="str"/>
      <x:c r="J298" s="3" t="n">
        <x:v>2021</x:v>
      </x:c>
      <x:c r="K298" s="3" t="str">
        <x:v>1.8 HYBRID PREMIUM</x:v>
      </x:c>
      <x:c r="L298" s="3" t="str">
        <x:v>HEV PREMIUM</x:v>
      </x:c>
      <x:c r="M298" s="22"/>
      <x:c r="N298" s="22"/>
      <x:c r="O298" s="22"/>
      <x:c r="P298" s="3" t="str">
        <x:v>未掲載</x:v>
      </x:c>
      <x:c r="Q298" s="3" t="str">
        <x:v>未取得</x:v>
      </x:c>
      <x:c r="R298" s="3" t="str">
        <x:v>Unknown</x:v>
      </x:c>
      <x:c r="S298" s="3" t="str">
        <x:v>不明</x:v>
      </x:c>
      <x:c r="T298" s="3" t="str">
        <x:v>20-ปัจจุบัน</x:v>
      </x:c>
      <x:c r="U298" s="28" t="n">
        <x:v>669000</x:v>
      </x:c>
      <x:c r="V298" s="28" t="n">
        <x:v>1089000</x:v>
      </x:c>
      <x:c r="W298" s="3" t="str">
        <x:v>事故・水没・SOH・保証残は未確認</x:v>
      </x:c>
      <x:c r="X298" s="3" t="str">
        <x:v>掲載中・在庫未確認</x:v>
      </x:c>
      <x:c r="Y298" s="3" t="str"/>
      <x:c r="Z298" s="27" t="str">
        <x:v>https://www.taladrod.com/w40/icar/cardet.aspx?cid=2904751</x:v>
      </x:c>
      <x:c r="AA298" s="3" t="str">
        <x:v>Taladrod個別広告ID／Carsome在庫ID</x:v>
      </x:c>
      <x:c r="AB298" s="3" t="str">
        <x:v>車台番号未取得／サイト間重複は未判定</x:v>
      </x:c>
      <x:c r="AC298" s="3" t="str">
        <x:v>税込区分未確認（一覧表示額）</x:v>
      </x:c>
      <x:c r="AD298" s="3" t="str"/>
      <x:c r="AE298" s="29" t="str">
        <x:f>""</x:f>
      </x:c>
      <x:c r="AF298" s="30" t="str">
        <x:f>IF(ISNUMBER(AE298),U298/AE298,"")</x:f>
      </x:c>
      <x:c r="AG298" s="29" t="n">
        <x:f>'新車価格・特価'!N54</x:f>
        <x:v>1094000</x:v>
      </x:c>
      <x:c r="AH298" s="30" t="n">
        <x:f>IF(ISNUMBER(AG298),U298/AG298,"")</x:f>
        <x:v>0.6115173674588665</x:v>
      </x:c>
      <x:c r="AI298" s="3" t="str">
        <x:v>同年式・グレードの検証済み当時価格なし／登録年混在</x:v>
      </x:c>
      <x:c r="AJ298" s="3" t="str">
        <x:v>一覧価格/年式のみ</x:v>
      </x:c>
      <x:c r="AK298" s="3" t="str">
        <x:v>一覧の表示価格。年式は掲載年式。</x:v>
      </x:c>
      <x:c r="AL298" s="31" t="n">
        <x:f>IF(AND(J298&lt;='分析方法'!$B$7,OR(ISBLANK(O298),O298&gt;='分析方法'!$B$8),X298&lt;&gt;"売却済み表示"),1,0)</x:f>
        <x:v>1</x:v>
      </x:c>
      <x:c r="AM298" s="32" t="n">
        <x:f>IF(AL298=1,U298,"")</x:f>
        <x:v>669000</x:v>
      </x:c>
      <x:c r="AN298" s="33" t="str">
        <x:f>IF(AL298=1,AF298,"")</x:f>
      </x:c>
      <x:c r="AO298" s="31" t="n">
        <x:f>'分析方法'!$B$6-J298</x:f>
        <x:v>5</x:v>
      </x:c>
      <x:c r="AP298" s="3"/>
    </x:row>
    <x:row r="299" ht="22" customHeight="1">
      <x:c r="A299" s="3" t="str">
        <x:v>T2911446</x:v>
      </x:c>
      <x:c r="B299" s="7" t="d">
        <x:v>2026-10-08T00:00:00.000Z</x:v>
      </x:c>
      <x:c r="C299" s="3" t="str">
        <x:v>Taladrod</x:v>
      </x:c>
      <x:c r="D299" s="3" t="str">
        <x:v>Toyota</x:v>
      </x:c>
      <x:c r="E299" s="3" t="str">
        <x:v>日本</x:v>
      </x:c>
      <x:c r="F299" s="3" t="str">
        <x:v>Corolla Cross</x:v>
      </x:c>
      <x:c r="G299" s="3" t="str">
        <x:v>HEV</x:v>
      </x:c>
      <x:c r="H299" s="3" t="str">
        <x:v>SUV</x:v>
      </x:c>
      <x:c r="I299" s="3" t="str"/>
      <x:c r="J299" s="3" t="n">
        <x:v>2021</x:v>
      </x:c>
      <x:c r="K299" s="3" t="str">
        <x:v>1.8 HYBRID PREMIUM</x:v>
      </x:c>
      <x:c r="L299" s="3" t="str">
        <x:v>HEV PREMIUM</x:v>
      </x:c>
      <x:c r="M299" s="22"/>
      <x:c r="N299" s="22"/>
      <x:c r="O299" s="22"/>
      <x:c r="P299" s="3" t="str">
        <x:v>未掲載</x:v>
      </x:c>
      <x:c r="Q299" s="3" t="str">
        <x:v>未取得</x:v>
      </x:c>
      <x:c r="R299" s="3" t="str">
        <x:v>Unknown</x:v>
      </x:c>
      <x:c r="S299" s="3" t="str">
        <x:v>不明</x:v>
      </x:c>
      <x:c r="T299" s="3" t="str">
        <x:v>20-ปัจจุบัน</x:v>
      </x:c>
      <x:c r="U299" s="28" t="n">
        <x:v>579000</x:v>
      </x:c>
      <x:c r="V299" s="28" t="n">
        <x:v>1089000</x:v>
      </x:c>
      <x:c r="W299" s="3" t="str">
        <x:v>事故・水没・SOH・保証残は未確認</x:v>
      </x:c>
      <x:c r="X299" s="3" t="str">
        <x:v>掲載中・在庫未確認</x:v>
      </x:c>
      <x:c r="Y299" s="3" t="str"/>
      <x:c r="Z299" s="27" t="str">
        <x:v>https://www.taladrod.com/w40/icar/cardet.aspx?cid=2911446</x:v>
      </x:c>
      <x:c r="AA299" s="3" t="str">
        <x:v>Taladrod個別広告ID／Carsome在庫ID</x:v>
      </x:c>
      <x:c r="AB299" s="3" t="str">
        <x:v>車台番号未取得／サイト間重複は未判定</x:v>
      </x:c>
      <x:c r="AC299" s="3" t="str">
        <x:v>税込区分未確認（一覧表示額）</x:v>
      </x:c>
      <x:c r="AD299" s="3" t="str"/>
      <x:c r="AE299" s="29" t="str">
        <x:f>""</x:f>
      </x:c>
      <x:c r="AF299" s="30" t="str">
        <x:f>IF(ISNUMBER(AE299),U299/AE299,"")</x:f>
      </x:c>
      <x:c r="AG299" s="29" t="n">
        <x:f>'新車価格・特価'!N54</x:f>
        <x:v>1094000</x:v>
      </x:c>
      <x:c r="AH299" s="30" t="n">
        <x:f>IF(ISNUMBER(AG299),U299/AG299,"")</x:f>
        <x:v>0.5292504570383912</x:v>
      </x:c>
      <x:c r="AI299" s="3" t="str">
        <x:v>同年式・グレードの検証済み当時価格なし／登録年混在</x:v>
      </x:c>
      <x:c r="AJ299" s="3" t="str">
        <x:v>一覧価格/年式のみ</x:v>
      </x:c>
      <x:c r="AK299" s="3" t="str">
        <x:v>一覧の表示価格。年式は掲載年式。</x:v>
      </x:c>
      <x:c r="AL299" s="31" t="n">
        <x:f>IF(AND(J299&lt;='分析方法'!$B$7,OR(ISBLANK(O299),O299&gt;='分析方法'!$B$8),X299&lt;&gt;"売却済み表示"),1,0)</x:f>
        <x:v>1</x:v>
      </x:c>
      <x:c r="AM299" s="32" t="n">
        <x:f>IF(AL299=1,U299,"")</x:f>
        <x:v>579000</x:v>
      </x:c>
      <x:c r="AN299" s="33" t="str">
        <x:f>IF(AL299=1,AF299,"")</x:f>
      </x:c>
      <x:c r="AO299" s="31" t="n">
        <x:f>'分析方法'!$B$6-J299</x:f>
        <x:v>5</x:v>
      </x:c>
      <x:c r="AP299" s="3"/>
    </x:row>
    <x:row r="300" ht="22" customHeight="1">
      <x:c r="A300" s="3" t="str">
        <x:v>T2911730</x:v>
      </x:c>
      <x:c r="B300" s="7" t="d">
        <x:v>2026-10-08T00:00:00.000Z</x:v>
      </x:c>
      <x:c r="C300" s="3" t="str">
        <x:v>Taladrod</x:v>
      </x:c>
      <x:c r="D300" s="3" t="str">
        <x:v>Toyota</x:v>
      </x:c>
      <x:c r="E300" s="3" t="str">
        <x:v>日本</x:v>
      </x:c>
      <x:c r="F300" s="3" t="str">
        <x:v>Corolla Cross</x:v>
      </x:c>
      <x:c r="G300" s="3" t="str">
        <x:v>HEV</x:v>
      </x:c>
      <x:c r="H300" s="3" t="str">
        <x:v>SUV</x:v>
      </x:c>
      <x:c r="I300" s="3" t="str"/>
      <x:c r="J300" s="3" t="n">
        <x:v>2021</x:v>
      </x:c>
      <x:c r="K300" s="3" t="str">
        <x:v>1.8 HYBRID PREMIUM</x:v>
      </x:c>
      <x:c r="L300" s="3" t="str">
        <x:v>HEV PREMIUM</x:v>
      </x:c>
      <x:c r="M300" s="22"/>
      <x:c r="N300" s="22"/>
      <x:c r="O300" s="22"/>
      <x:c r="P300" s="3" t="str">
        <x:v>未掲載</x:v>
      </x:c>
      <x:c r="Q300" s="3" t="str">
        <x:v>未取得</x:v>
      </x:c>
      <x:c r="R300" s="3" t="str">
        <x:v>Unknown</x:v>
      </x:c>
      <x:c r="S300" s="3" t="str">
        <x:v>不明</x:v>
      </x:c>
      <x:c r="T300" s="3" t="str">
        <x:v>20-ปัจจุบัน</x:v>
      </x:c>
      <x:c r="U300" s="28" t="n">
        <x:v>589000</x:v>
      </x:c>
      <x:c r="V300" s="28" t="n">
        <x:v>1089000</x:v>
      </x:c>
      <x:c r="W300" s="3" t="str">
        <x:v>事故・水没・SOH・保証残は未確認</x:v>
      </x:c>
      <x:c r="X300" s="3" t="str">
        <x:v>掲載中・在庫未確認</x:v>
      </x:c>
      <x:c r="Y300" s="3" t="str"/>
      <x:c r="Z300" s="27" t="str">
        <x:v>https://www.taladrod.com/w40/icar/cardet.aspx?cid=2911730</x:v>
      </x:c>
      <x:c r="AA300" s="3" t="str">
        <x:v>Taladrod個別広告ID／Carsome在庫ID</x:v>
      </x:c>
      <x:c r="AB300" s="3" t="str">
        <x:v>車台番号未取得／サイト間重複は未判定</x:v>
      </x:c>
      <x:c r="AC300" s="3" t="str">
        <x:v>税込区分未確認（一覧表示額）</x:v>
      </x:c>
      <x:c r="AD300" s="3" t="str"/>
      <x:c r="AE300" s="29" t="str">
        <x:f>""</x:f>
      </x:c>
      <x:c r="AF300" s="30" t="str">
        <x:f>IF(ISNUMBER(AE300),U300/AE300,"")</x:f>
      </x:c>
      <x:c r="AG300" s="29" t="n">
        <x:f>'新車価格・特価'!N54</x:f>
        <x:v>1094000</x:v>
      </x:c>
      <x:c r="AH300" s="30" t="n">
        <x:f>IF(ISNUMBER(AG300),U300/AG300,"")</x:f>
        <x:v>0.5383912248628885</x:v>
      </x:c>
      <x:c r="AI300" s="3" t="str">
        <x:v>同年式・グレードの検証済み当時価格なし／登録年混在</x:v>
      </x:c>
      <x:c r="AJ300" s="3" t="str">
        <x:v>一覧価格/年式のみ</x:v>
      </x:c>
      <x:c r="AK300" s="3" t="str">
        <x:v>一覧の表示価格。年式は掲載年式。</x:v>
      </x:c>
      <x:c r="AL300" s="31" t="n">
        <x:f>IF(AND(J300&lt;='分析方法'!$B$7,OR(ISBLANK(O300),O300&gt;='分析方法'!$B$8),X300&lt;&gt;"売却済み表示"),1,0)</x:f>
        <x:v>1</x:v>
      </x:c>
      <x:c r="AM300" s="32" t="n">
        <x:f>IF(AL300=1,U300,"")</x:f>
        <x:v>589000</x:v>
      </x:c>
      <x:c r="AN300" s="33" t="str">
        <x:f>IF(AL300=1,AF300,"")</x:f>
      </x:c>
      <x:c r="AO300" s="31" t="n">
        <x:f>'分析方法'!$B$6-J300</x:f>
        <x:v>5</x:v>
      </x:c>
      <x:c r="AP300" s="3"/>
    </x:row>
    <x:row r="301" ht="22" customHeight="1">
      <x:c r="A301" s="3" t="str">
        <x:v>T2912449</x:v>
      </x:c>
      <x:c r="B301" s="7" t="d">
        <x:v>2026-10-08T00:00:00.000Z</x:v>
      </x:c>
      <x:c r="C301" s="3" t="str">
        <x:v>Taladrod</x:v>
      </x:c>
      <x:c r="D301" s="3" t="str">
        <x:v>Toyota</x:v>
      </x:c>
      <x:c r="E301" s="3" t="str">
        <x:v>日本</x:v>
      </x:c>
      <x:c r="F301" s="3" t="str">
        <x:v>Corolla Cross</x:v>
      </x:c>
      <x:c r="G301" s="3" t="str">
        <x:v>HEV</x:v>
      </x:c>
      <x:c r="H301" s="3" t="str">
        <x:v>SUV</x:v>
      </x:c>
      <x:c r="I301" s="3" t="str"/>
      <x:c r="J301" s="3" t="n">
        <x:v>2021</x:v>
      </x:c>
      <x:c r="K301" s="3" t="str">
        <x:v>1.8 HYBRID PREMIUM</x:v>
      </x:c>
      <x:c r="L301" s="3" t="str">
        <x:v>HEV PREMIUM</x:v>
      </x:c>
      <x:c r="M301" s="22"/>
      <x:c r="N301" s="22"/>
      <x:c r="O301" s="22"/>
      <x:c r="P301" s="3" t="str">
        <x:v>未掲載</x:v>
      </x:c>
      <x:c r="Q301" s="3" t="str">
        <x:v>未取得</x:v>
      </x:c>
      <x:c r="R301" s="3" t="str">
        <x:v>Unknown</x:v>
      </x:c>
      <x:c r="S301" s="3" t="str">
        <x:v>不明</x:v>
      </x:c>
      <x:c r="T301" s="3" t="str">
        <x:v>20-ปัจจุบัน</x:v>
      </x:c>
      <x:c r="U301" s="28" t="n">
        <x:v>559000</x:v>
      </x:c>
      <x:c r="V301" s="28" t="n">
        <x:v>1089000</x:v>
      </x:c>
      <x:c r="W301" s="3" t="str">
        <x:v>事故・水没・SOH・保証残は未確認</x:v>
      </x:c>
      <x:c r="X301" s="3" t="str">
        <x:v>掲載中・在庫未確認</x:v>
      </x:c>
      <x:c r="Y301" s="3" t="str"/>
      <x:c r="Z301" s="27" t="str">
        <x:v>https://www.taladrod.com/w40/icar/cardet.aspx?cid=2912449</x:v>
      </x:c>
      <x:c r="AA301" s="3" t="str">
        <x:v>Taladrod個別広告ID／Carsome在庫ID</x:v>
      </x:c>
      <x:c r="AB301" s="3" t="str">
        <x:v>車台番号未取得／サイト間重複は未判定</x:v>
      </x:c>
      <x:c r="AC301" s="3" t="str">
        <x:v>税込区分未確認（一覧表示額）</x:v>
      </x:c>
      <x:c r="AD301" s="3" t="str"/>
      <x:c r="AE301" s="29" t="str">
        <x:f>""</x:f>
      </x:c>
      <x:c r="AF301" s="30" t="str">
        <x:f>IF(ISNUMBER(AE301),U301/AE301,"")</x:f>
      </x:c>
      <x:c r="AG301" s="29" t="n">
        <x:f>'新車価格・特価'!N54</x:f>
        <x:v>1094000</x:v>
      </x:c>
      <x:c r="AH301" s="30" t="n">
        <x:f>IF(ISNUMBER(AG301),U301/AG301,"")</x:f>
        <x:v>0.5109689213893968</x:v>
      </x:c>
      <x:c r="AI301" s="3" t="str">
        <x:v>同年式・グレードの検証済み当時価格なし／登録年混在</x:v>
      </x:c>
      <x:c r="AJ301" s="3" t="str">
        <x:v>一覧価格/年式のみ</x:v>
      </x:c>
      <x:c r="AK301" s="3" t="str">
        <x:v>一覧の表示価格。年式は掲載年式。</x:v>
      </x:c>
      <x:c r="AL301" s="31" t="n">
        <x:f>IF(AND(J301&lt;='分析方法'!$B$7,OR(ISBLANK(O301),O301&gt;='分析方法'!$B$8),X301&lt;&gt;"売却済み表示"),1,0)</x:f>
        <x:v>1</x:v>
      </x:c>
      <x:c r="AM301" s="32" t="n">
        <x:f>IF(AL301=1,U301,"")</x:f>
        <x:v>559000</x:v>
      </x:c>
      <x:c r="AN301" s="33" t="str">
        <x:f>IF(AL301=1,AF301,"")</x:f>
      </x:c>
      <x:c r="AO301" s="31" t="n">
        <x:f>'分析方法'!$B$6-J301</x:f>
        <x:v>5</x:v>
      </x:c>
      <x:c r="AP301" s="3"/>
    </x:row>
    <x:row r="302" ht="22" customHeight="1">
      <x:c r="A302" s="3" t="str">
        <x:v>T2913160</x:v>
      </x:c>
      <x:c r="B302" s="7" t="d">
        <x:v>2026-10-08T00:00:00.000Z</x:v>
      </x:c>
      <x:c r="C302" s="3" t="str">
        <x:v>Taladrod</x:v>
      </x:c>
      <x:c r="D302" s="3" t="str">
        <x:v>Toyota</x:v>
      </x:c>
      <x:c r="E302" s="3" t="str">
        <x:v>日本</x:v>
      </x:c>
      <x:c r="F302" s="3" t="str">
        <x:v>Corolla Cross</x:v>
      </x:c>
      <x:c r="G302" s="3" t="str">
        <x:v>HEV</x:v>
      </x:c>
      <x:c r="H302" s="3" t="str">
        <x:v>SUV</x:v>
      </x:c>
      <x:c r="I302" s="3" t="str"/>
      <x:c r="J302" s="3" t="n">
        <x:v>2021</x:v>
      </x:c>
      <x:c r="K302" s="3" t="str">
        <x:v>1.8 HYBRID PREMIUM</x:v>
      </x:c>
      <x:c r="L302" s="3" t="str">
        <x:v>HEV PREMIUM</x:v>
      </x:c>
      <x:c r="M302" s="22"/>
      <x:c r="N302" s="22"/>
      <x:c r="O302" s="22"/>
      <x:c r="P302" s="3" t="str">
        <x:v>未掲載</x:v>
      </x:c>
      <x:c r="Q302" s="3" t="str">
        <x:v>未取得</x:v>
      </x:c>
      <x:c r="R302" s="3" t="str">
        <x:v>Unknown</x:v>
      </x:c>
      <x:c r="S302" s="3" t="str">
        <x:v>不明</x:v>
      </x:c>
      <x:c r="T302" s="3" t="str">
        <x:v>20-ปัจจุบัน</x:v>
      </x:c>
      <x:c r="U302" s="28" t="n">
        <x:v>638000</x:v>
      </x:c>
      <x:c r="V302" s="28" t="n">
        <x:v>1089000</x:v>
      </x:c>
      <x:c r="W302" s="3" t="str">
        <x:v>事故・水没・SOH・保証残は未確認</x:v>
      </x:c>
      <x:c r="X302" s="3" t="str">
        <x:v>掲載中・在庫未確認</x:v>
      </x:c>
      <x:c r="Y302" s="3" t="str"/>
      <x:c r="Z302" s="27" t="str">
        <x:v>https://www.taladrod.com/w40/icar/cardet.aspx?cid=2913160</x:v>
      </x:c>
      <x:c r="AA302" s="3" t="str">
        <x:v>Taladrod個別広告ID／Carsome在庫ID</x:v>
      </x:c>
      <x:c r="AB302" s="3" t="str">
        <x:v>車台番号未取得／サイト間重複は未判定</x:v>
      </x:c>
      <x:c r="AC302" s="3" t="str">
        <x:v>税込区分未確認（一覧表示額）</x:v>
      </x:c>
      <x:c r="AD302" s="3" t="str"/>
      <x:c r="AE302" s="29" t="str">
        <x:f>""</x:f>
      </x:c>
      <x:c r="AF302" s="30" t="str">
        <x:f>IF(ISNUMBER(AE302),U302/AE302,"")</x:f>
      </x:c>
      <x:c r="AG302" s="29" t="n">
        <x:f>'新車価格・特価'!N54</x:f>
        <x:v>1094000</x:v>
      </x:c>
      <x:c r="AH302" s="30" t="n">
        <x:f>IF(ISNUMBER(AG302),U302/AG302,"")</x:f>
        <x:v>0.583180987202925</x:v>
      </x:c>
      <x:c r="AI302" s="3" t="str">
        <x:v>同年式・グレードの検証済み当時価格なし／登録年混在</x:v>
      </x:c>
      <x:c r="AJ302" s="3" t="str">
        <x:v>一覧価格/年式のみ</x:v>
      </x:c>
      <x:c r="AK302" s="3" t="str">
        <x:v>一覧の表示価格。年式は掲載年式。</x:v>
      </x:c>
      <x:c r="AL302" s="31" t="n">
        <x:f>IF(AND(J302&lt;='分析方法'!$B$7,OR(ISBLANK(O302),O302&gt;='分析方法'!$B$8),X302&lt;&gt;"売却済み表示"),1,0)</x:f>
        <x:v>1</x:v>
      </x:c>
      <x:c r="AM302" s="32" t="n">
        <x:f>IF(AL302=1,U302,"")</x:f>
        <x:v>638000</x:v>
      </x:c>
      <x:c r="AN302" s="33" t="str">
        <x:f>IF(AL302=1,AF302,"")</x:f>
      </x:c>
      <x:c r="AO302" s="31" t="n">
        <x:f>'分析方法'!$B$6-J302</x:f>
        <x:v>5</x:v>
      </x:c>
      <x:c r="AP302" s="3"/>
    </x:row>
    <x:row r="303" ht="22" customHeight="1">
      <x:c r="A303" s="3" t="str">
        <x:v>T2913293</x:v>
      </x:c>
      <x:c r="B303" s="7" t="d">
        <x:v>2026-10-08T00:00:00.000Z</x:v>
      </x:c>
      <x:c r="C303" s="3" t="str">
        <x:v>Taladrod</x:v>
      </x:c>
      <x:c r="D303" s="3" t="str">
        <x:v>Toyota</x:v>
      </x:c>
      <x:c r="E303" s="3" t="str">
        <x:v>日本</x:v>
      </x:c>
      <x:c r="F303" s="3" t="str">
        <x:v>Corolla Cross</x:v>
      </x:c>
      <x:c r="G303" s="3" t="str">
        <x:v>HEV</x:v>
      </x:c>
      <x:c r="H303" s="3" t="str">
        <x:v>SUV</x:v>
      </x:c>
      <x:c r="I303" s="3" t="str"/>
      <x:c r="J303" s="3" t="n">
        <x:v>2021</x:v>
      </x:c>
      <x:c r="K303" s="3" t="str">
        <x:v>1.8 HYBRID PREMIUM</x:v>
      </x:c>
      <x:c r="L303" s="3" t="str">
        <x:v>HEV PREMIUM</x:v>
      </x:c>
      <x:c r="M303" s="22"/>
      <x:c r="N303" s="22"/>
      <x:c r="O303" s="22"/>
      <x:c r="P303" s="3" t="str">
        <x:v>未掲載</x:v>
      </x:c>
      <x:c r="Q303" s="3" t="str">
        <x:v>未取得</x:v>
      </x:c>
      <x:c r="R303" s="3" t="str">
        <x:v>Unknown</x:v>
      </x:c>
      <x:c r="S303" s="3" t="str">
        <x:v>不明</x:v>
      </x:c>
      <x:c r="T303" s="3" t="str">
        <x:v>20-ปัจจุบัน</x:v>
      </x:c>
      <x:c r="U303" s="28" t="n">
        <x:v>608000</x:v>
      </x:c>
      <x:c r="V303" s="28" t="n">
        <x:v>1089000</x:v>
      </x:c>
      <x:c r="W303" s="3" t="str">
        <x:v>事故・水没・SOH・保証残は未確認</x:v>
      </x:c>
      <x:c r="X303" s="3" t="str">
        <x:v>掲載中・在庫未確認</x:v>
      </x:c>
      <x:c r="Y303" s="3" t="str"/>
      <x:c r="Z303" s="27" t="str">
        <x:v>https://www.taladrod.com/w40/icar/cardet.aspx?cid=2913293</x:v>
      </x:c>
      <x:c r="AA303" s="3" t="str">
        <x:v>Taladrod個別広告ID／Carsome在庫ID</x:v>
      </x:c>
      <x:c r="AB303" s="3" t="str">
        <x:v>車台番号未取得／サイト間重複は未判定</x:v>
      </x:c>
      <x:c r="AC303" s="3" t="str">
        <x:v>税込区分未確認（一覧表示額）</x:v>
      </x:c>
      <x:c r="AD303" s="3" t="str"/>
      <x:c r="AE303" s="29" t="str">
        <x:f>""</x:f>
      </x:c>
      <x:c r="AF303" s="30" t="str">
        <x:f>IF(ISNUMBER(AE303),U303/AE303,"")</x:f>
      </x:c>
      <x:c r="AG303" s="29" t="n">
        <x:f>'新車価格・特価'!N54</x:f>
        <x:v>1094000</x:v>
      </x:c>
      <x:c r="AH303" s="30" t="n">
        <x:f>IF(ISNUMBER(AG303),U303/AG303,"")</x:f>
        <x:v>0.5557586837294333</x:v>
      </x:c>
      <x:c r="AI303" s="3" t="str">
        <x:v>同年式・グレードの検証済み当時価格なし／登録年混在</x:v>
      </x:c>
      <x:c r="AJ303" s="3" t="str">
        <x:v>一覧価格/年式のみ</x:v>
      </x:c>
      <x:c r="AK303" s="3" t="str">
        <x:v>一覧の表示価格。年式は掲載年式。</x:v>
      </x:c>
      <x:c r="AL303" s="31" t="n">
        <x:f>IF(AND(J303&lt;='分析方法'!$B$7,OR(ISBLANK(O303),O303&gt;='分析方法'!$B$8),X303&lt;&gt;"売却済み表示"),1,0)</x:f>
        <x:v>1</x:v>
      </x:c>
      <x:c r="AM303" s="32" t="n">
        <x:f>IF(AL303=1,U303,"")</x:f>
        <x:v>608000</x:v>
      </x:c>
      <x:c r="AN303" s="33" t="str">
        <x:f>IF(AL303=1,AF303,"")</x:f>
      </x:c>
      <x:c r="AO303" s="31" t="n">
        <x:f>'分析方法'!$B$6-J303</x:f>
        <x:v>5</x:v>
      </x:c>
      <x:c r="AP303" s="3"/>
    </x:row>
    <x:row r="304" ht="22" customHeight="1">
      <x:c r="A304" s="3" t="str">
        <x:v>T2916485</x:v>
      </x:c>
      <x:c r="B304" s="7" t="d">
        <x:v>2026-10-08T00:00:00.000Z</x:v>
      </x:c>
      <x:c r="C304" s="3" t="str">
        <x:v>Taladrod</x:v>
      </x:c>
      <x:c r="D304" s="3" t="str">
        <x:v>Toyota</x:v>
      </x:c>
      <x:c r="E304" s="3" t="str">
        <x:v>日本</x:v>
      </x:c>
      <x:c r="F304" s="3" t="str">
        <x:v>Corolla Cross</x:v>
      </x:c>
      <x:c r="G304" s="3" t="str">
        <x:v>HEV</x:v>
      </x:c>
      <x:c r="H304" s="3" t="str">
        <x:v>SUV</x:v>
      </x:c>
      <x:c r="I304" s="3" t="str"/>
      <x:c r="J304" s="3" t="n">
        <x:v>2021</x:v>
      </x:c>
      <x:c r="K304" s="3" t="str">
        <x:v>1.8 HYBRID PREMIUM</x:v>
      </x:c>
      <x:c r="L304" s="3" t="str">
        <x:v>HEV PREMIUM</x:v>
      </x:c>
      <x:c r="M304" s="22"/>
      <x:c r="N304" s="22"/>
      <x:c r="O304" s="22"/>
      <x:c r="P304" s="3" t="str">
        <x:v>未掲載</x:v>
      </x:c>
      <x:c r="Q304" s="3" t="str">
        <x:v>未取得</x:v>
      </x:c>
      <x:c r="R304" s="3" t="str">
        <x:v>Unknown</x:v>
      </x:c>
      <x:c r="S304" s="3" t="str">
        <x:v>不明</x:v>
      </x:c>
      <x:c r="T304" s="3" t="str">
        <x:v>20-ปัจจุบัน</x:v>
      </x:c>
      <x:c r="U304" s="28" t="n">
        <x:v>569000</x:v>
      </x:c>
      <x:c r="V304" s="28" t="n">
        <x:v>1089000</x:v>
      </x:c>
      <x:c r="W304" s="3" t="str">
        <x:v>事故・水没・SOH・保証残は未確認</x:v>
      </x:c>
      <x:c r="X304" s="3" t="str">
        <x:v>掲載中・在庫未確認</x:v>
      </x:c>
      <x:c r="Y304" s="3" t="str"/>
      <x:c r="Z304" s="27" t="str">
        <x:v>https://www.taladrod.com/w40/icar/cardet.aspx?cid=2916485</x:v>
      </x:c>
      <x:c r="AA304" s="3" t="str">
        <x:v>Taladrod個別広告ID／Carsome在庫ID</x:v>
      </x:c>
      <x:c r="AB304" s="3" t="str">
        <x:v>車台番号未取得／サイト間重複は未判定</x:v>
      </x:c>
      <x:c r="AC304" s="3" t="str">
        <x:v>税込区分未確認（一覧表示額）</x:v>
      </x:c>
      <x:c r="AD304" s="3" t="str"/>
      <x:c r="AE304" s="29" t="str">
        <x:f>""</x:f>
      </x:c>
      <x:c r="AF304" s="30" t="str">
        <x:f>IF(ISNUMBER(AE304),U304/AE304,"")</x:f>
      </x:c>
      <x:c r="AG304" s="29" t="n">
        <x:f>'新車価格・特価'!N54</x:f>
        <x:v>1094000</x:v>
      </x:c>
      <x:c r="AH304" s="30" t="n">
        <x:f>IF(ISNUMBER(AG304),U304/AG304,"")</x:f>
        <x:v>0.520109689213894</x:v>
      </x:c>
      <x:c r="AI304" s="3" t="str">
        <x:v>同年式・グレードの検証済み当時価格なし／登録年混在</x:v>
      </x:c>
      <x:c r="AJ304" s="3" t="str">
        <x:v>一覧価格/年式のみ</x:v>
      </x:c>
      <x:c r="AK304" s="3" t="str">
        <x:v>一覧の表示価格。年式は掲載年式。</x:v>
      </x:c>
      <x:c r="AL304" s="31" t="n">
        <x:f>IF(AND(J304&lt;='分析方法'!$B$7,OR(ISBLANK(O304),O304&gt;='分析方法'!$B$8),X304&lt;&gt;"売却済み表示"),1,0)</x:f>
        <x:v>1</x:v>
      </x:c>
      <x:c r="AM304" s="32" t="n">
        <x:f>IF(AL304=1,U304,"")</x:f>
        <x:v>569000</x:v>
      </x:c>
      <x:c r="AN304" s="33" t="str">
        <x:f>IF(AL304=1,AF304,"")</x:f>
      </x:c>
      <x:c r="AO304" s="31" t="n">
        <x:f>'分析方法'!$B$6-J304</x:f>
        <x:v>5</x:v>
      </x:c>
      <x:c r="AP304" s="3"/>
    </x:row>
    <x:row r="305" ht="22" customHeight="1">
      <x:c r="A305" s="3" t="str">
        <x:v>T2919134</x:v>
      </x:c>
      <x:c r="B305" s="7" t="d">
        <x:v>2026-10-08T00:00:00.000Z</x:v>
      </x:c>
      <x:c r="C305" s="3" t="str">
        <x:v>Taladrod</x:v>
      </x:c>
      <x:c r="D305" s="3" t="str">
        <x:v>Toyota</x:v>
      </x:c>
      <x:c r="E305" s="3" t="str">
        <x:v>日本</x:v>
      </x:c>
      <x:c r="F305" s="3" t="str">
        <x:v>Corolla Cross</x:v>
      </x:c>
      <x:c r="G305" s="3" t="str">
        <x:v>HEV</x:v>
      </x:c>
      <x:c r="H305" s="3" t="str">
        <x:v>SUV</x:v>
      </x:c>
      <x:c r="I305" s="3" t="str"/>
      <x:c r="J305" s="3" t="n">
        <x:v>2021</x:v>
      </x:c>
      <x:c r="K305" s="3" t="str">
        <x:v>1.8 HYBRID PREMIUM</x:v>
      </x:c>
      <x:c r="L305" s="3" t="str">
        <x:v>HEV PREMIUM</x:v>
      </x:c>
      <x:c r="M305" s="22"/>
      <x:c r="N305" s="22"/>
      <x:c r="O305" s="22"/>
      <x:c r="P305" s="3" t="str">
        <x:v>未掲載</x:v>
      </x:c>
      <x:c r="Q305" s="3" t="str">
        <x:v>未取得</x:v>
      </x:c>
      <x:c r="R305" s="3" t="str">
        <x:v>Unknown</x:v>
      </x:c>
      <x:c r="S305" s="3" t="str">
        <x:v>不明</x:v>
      </x:c>
      <x:c r="T305" s="3" t="str">
        <x:v>20-ปัจจุบัน</x:v>
      </x:c>
      <x:c r="U305" s="28" t="n">
        <x:v>599000</x:v>
      </x:c>
      <x:c r="V305" s="28" t="n">
        <x:v>1089000</x:v>
      </x:c>
      <x:c r="W305" s="3" t="str">
        <x:v>事故・水没・SOH・保証残は未確認</x:v>
      </x:c>
      <x:c r="X305" s="3" t="str">
        <x:v>掲載中・在庫未確認</x:v>
      </x:c>
      <x:c r="Y305" s="3" t="str"/>
      <x:c r="Z305" s="27" t="str">
        <x:v>https://www.taladrod.com/w40/icar/cardet.aspx?cid=2919134</x:v>
      </x:c>
      <x:c r="AA305" s="3" t="str">
        <x:v>Taladrod個別広告ID／Carsome在庫ID</x:v>
      </x:c>
      <x:c r="AB305" s="3" t="str">
        <x:v>車台番号未取得／サイト間重複は未判定</x:v>
      </x:c>
      <x:c r="AC305" s="3" t="str">
        <x:v>税込区分未確認（一覧表示額）</x:v>
      </x:c>
      <x:c r="AD305" s="3" t="str"/>
      <x:c r="AE305" s="29" t="str">
        <x:f>""</x:f>
      </x:c>
      <x:c r="AF305" s="30" t="str">
        <x:f>IF(ISNUMBER(AE305),U305/AE305,"")</x:f>
      </x:c>
      <x:c r="AG305" s="29" t="n">
        <x:f>'新車価格・特価'!N54</x:f>
        <x:v>1094000</x:v>
      </x:c>
      <x:c r="AH305" s="30" t="n">
        <x:f>IF(ISNUMBER(AG305),U305/AG305,"")</x:f>
        <x:v>0.5475319926873857</x:v>
      </x:c>
      <x:c r="AI305" s="3" t="str">
        <x:v>同年式・グレードの検証済み当時価格なし／登録年混在</x:v>
      </x:c>
      <x:c r="AJ305" s="3" t="str">
        <x:v>一覧価格/年式のみ</x:v>
      </x:c>
      <x:c r="AK305" s="3" t="str">
        <x:v>一覧の表示価格。年式は掲載年式。</x:v>
      </x:c>
      <x:c r="AL305" s="31" t="n">
        <x:f>IF(AND(J305&lt;='分析方法'!$B$7,OR(ISBLANK(O305),O305&gt;='分析方法'!$B$8),X305&lt;&gt;"売却済み表示"),1,0)</x:f>
        <x:v>1</x:v>
      </x:c>
      <x:c r="AM305" s="32" t="n">
        <x:f>IF(AL305=1,U305,"")</x:f>
        <x:v>599000</x:v>
      </x:c>
      <x:c r="AN305" s="33" t="str">
        <x:f>IF(AL305=1,AF305,"")</x:f>
      </x:c>
      <x:c r="AO305" s="31" t="n">
        <x:f>'分析方法'!$B$6-J305</x:f>
        <x:v>5</x:v>
      </x:c>
      <x:c r="AP305" s="3"/>
    </x:row>
    <x:row r="306" ht="22" customHeight="1">
      <x:c r="A306" s="3" t="str">
        <x:v>T2921712</x:v>
      </x:c>
      <x:c r="B306" s="7" t="d">
        <x:v>2026-10-08T00:00:00.000Z</x:v>
      </x:c>
      <x:c r="C306" s="3" t="str">
        <x:v>Taladrod</x:v>
      </x:c>
      <x:c r="D306" s="3" t="str">
        <x:v>Toyota</x:v>
      </x:c>
      <x:c r="E306" s="3" t="str">
        <x:v>日本</x:v>
      </x:c>
      <x:c r="F306" s="3" t="str">
        <x:v>Corolla Cross</x:v>
      </x:c>
      <x:c r="G306" s="3" t="str">
        <x:v>HEV</x:v>
      </x:c>
      <x:c r="H306" s="3" t="str">
        <x:v>SUV</x:v>
      </x:c>
      <x:c r="I306" s="3" t="str"/>
      <x:c r="J306" s="3" t="n">
        <x:v>2021</x:v>
      </x:c>
      <x:c r="K306" s="3" t="str">
        <x:v>1.8 HYBRID PREMIUM</x:v>
      </x:c>
      <x:c r="L306" s="3" t="str">
        <x:v>HEV PREMIUM</x:v>
      </x:c>
      <x:c r="M306" s="22"/>
      <x:c r="N306" s="22"/>
      <x:c r="O306" s="22"/>
      <x:c r="P306" s="3" t="str">
        <x:v>未掲載</x:v>
      </x:c>
      <x:c r="Q306" s="3" t="str">
        <x:v>未取得</x:v>
      </x:c>
      <x:c r="R306" s="3" t="str">
        <x:v>Unknown</x:v>
      </x:c>
      <x:c r="S306" s="3" t="str">
        <x:v>不明</x:v>
      </x:c>
      <x:c r="T306" s="3" t="str">
        <x:v>20-ปัจจุบัน</x:v>
      </x:c>
      <x:c r="U306" s="28" t="n">
        <x:v>669000</x:v>
      </x:c>
      <x:c r="V306" s="28" t="n">
        <x:v>1089000</x:v>
      </x:c>
      <x:c r="W306" s="3" t="str">
        <x:v>事故・水没・SOH・保証残は未確認</x:v>
      </x:c>
      <x:c r="X306" s="3" t="str">
        <x:v>掲載中・在庫未確認</x:v>
      </x:c>
      <x:c r="Y306" s="3" t="str"/>
      <x:c r="Z306" s="27" t="str">
        <x:v>https://www.taladrod.com/w40/icar/cardet.aspx?cid=2921712</x:v>
      </x:c>
      <x:c r="AA306" s="3" t="str">
        <x:v>Taladrod個別広告ID／Carsome在庫ID</x:v>
      </x:c>
      <x:c r="AB306" s="3" t="str">
        <x:v>車台番号未取得／サイト間重複は未判定</x:v>
      </x:c>
      <x:c r="AC306" s="3" t="str">
        <x:v>税込区分未確認（一覧表示額）</x:v>
      </x:c>
      <x:c r="AD306" s="3" t="str"/>
      <x:c r="AE306" s="29" t="str">
        <x:f>""</x:f>
      </x:c>
      <x:c r="AF306" s="30" t="str">
        <x:f>IF(ISNUMBER(AE306),U306/AE306,"")</x:f>
      </x:c>
      <x:c r="AG306" s="29" t="n">
        <x:f>'新車価格・特価'!N54</x:f>
        <x:v>1094000</x:v>
      </x:c>
      <x:c r="AH306" s="30" t="n">
        <x:f>IF(ISNUMBER(AG306),U306/AG306,"")</x:f>
        <x:v>0.6115173674588665</x:v>
      </x:c>
      <x:c r="AI306" s="3" t="str">
        <x:v>同年式・グレードの検証済み当時価格なし／登録年混在</x:v>
      </x:c>
      <x:c r="AJ306" s="3" t="str">
        <x:v>一覧価格/年式のみ</x:v>
      </x:c>
      <x:c r="AK306" s="3" t="str">
        <x:v>一覧の表示価格。年式は掲載年式。</x:v>
      </x:c>
      <x:c r="AL306" s="31" t="n">
        <x:f>IF(AND(J306&lt;='分析方法'!$B$7,OR(ISBLANK(O306),O306&gt;='分析方法'!$B$8),X306&lt;&gt;"売却済み表示"),1,0)</x:f>
        <x:v>1</x:v>
      </x:c>
      <x:c r="AM306" s="32" t="n">
        <x:f>IF(AL306=1,U306,"")</x:f>
        <x:v>669000</x:v>
      </x:c>
      <x:c r="AN306" s="33" t="str">
        <x:f>IF(AL306=1,AF306,"")</x:f>
      </x:c>
      <x:c r="AO306" s="31" t="n">
        <x:f>'分析方法'!$B$6-J306</x:f>
        <x:v>5</x:v>
      </x:c>
      <x:c r="AP306" s="3"/>
    </x:row>
    <x:row r="307" ht="22" customHeight="1">
      <x:c r="A307" s="3" t="str">
        <x:v>T2922914</x:v>
      </x:c>
      <x:c r="B307" s="7" t="d">
        <x:v>2026-10-08T00:00:00.000Z</x:v>
      </x:c>
      <x:c r="C307" s="3" t="str">
        <x:v>Taladrod</x:v>
      </x:c>
      <x:c r="D307" s="3" t="str">
        <x:v>Toyota</x:v>
      </x:c>
      <x:c r="E307" s="3" t="str">
        <x:v>日本</x:v>
      </x:c>
      <x:c r="F307" s="3" t="str">
        <x:v>Corolla Cross</x:v>
      </x:c>
      <x:c r="G307" s="3" t="str">
        <x:v>HEV</x:v>
      </x:c>
      <x:c r="H307" s="3" t="str">
        <x:v>SUV</x:v>
      </x:c>
      <x:c r="I307" s="3" t="str"/>
      <x:c r="J307" s="3" t="n">
        <x:v>2021</x:v>
      </x:c>
      <x:c r="K307" s="3" t="str">
        <x:v>1.8 HYBRID PREMIUM</x:v>
      </x:c>
      <x:c r="L307" s="3" t="str">
        <x:v>HEV PREMIUM</x:v>
      </x:c>
      <x:c r="M307" s="22"/>
      <x:c r="N307" s="22"/>
      <x:c r="O307" s="22"/>
      <x:c r="P307" s="3" t="str">
        <x:v>未掲載</x:v>
      </x:c>
      <x:c r="Q307" s="3" t="str">
        <x:v>未取得</x:v>
      </x:c>
      <x:c r="R307" s="3" t="str">
        <x:v>Unknown</x:v>
      </x:c>
      <x:c r="S307" s="3" t="str">
        <x:v>不明</x:v>
      </x:c>
      <x:c r="T307" s="3" t="str">
        <x:v>20-ปัจจุบัน</x:v>
      </x:c>
      <x:c r="U307" s="28" t="n">
        <x:v>599000</x:v>
      </x:c>
      <x:c r="V307" s="28" t="n">
        <x:v>1089000</x:v>
      </x:c>
      <x:c r="W307" s="3" t="str">
        <x:v>事故・水没・SOH・保証残は未確認</x:v>
      </x:c>
      <x:c r="X307" s="3" t="str">
        <x:v>掲載中・在庫未確認</x:v>
      </x:c>
      <x:c r="Y307" s="3" t="str"/>
      <x:c r="Z307" s="27" t="str">
        <x:v>https://www.taladrod.com/w40/icar/cardet.aspx?cid=2922914</x:v>
      </x:c>
      <x:c r="AA307" s="3" t="str">
        <x:v>Taladrod個別広告ID／Carsome在庫ID</x:v>
      </x:c>
      <x:c r="AB307" s="3" t="str">
        <x:v>車台番号未取得／サイト間重複は未判定</x:v>
      </x:c>
      <x:c r="AC307" s="3" t="str">
        <x:v>税込区分未確認（一覧表示額）</x:v>
      </x:c>
      <x:c r="AD307" s="3" t="str"/>
      <x:c r="AE307" s="29" t="str">
        <x:f>""</x:f>
      </x:c>
      <x:c r="AF307" s="30" t="str">
        <x:f>IF(ISNUMBER(AE307),U307/AE307,"")</x:f>
      </x:c>
      <x:c r="AG307" s="29" t="n">
        <x:f>'新車価格・特価'!N54</x:f>
        <x:v>1094000</x:v>
      </x:c>
      <x:c r="AH307" s="30" t="n">
        <x:f>IF(ISNUMBER(AG307),U307/AG307,"")</x:f>
        <x:v>0.5475319926873857</x:v>
      </x:c>
      <x:c r="AI307" s="3" t="str">
        <x:v>同年式・グレードの検証済み当時価格なし／登録年混在</x:v>
      </x:c>
      <x:c r="AJ307" s="3" t="str">
        <x:v>一覧価格/年式のみ</x:v>
      </x:c>
      <x:c r="AK307" s="3" t="str">
        <x:v>一覧の表示価格。年式は掲載年式。</x:v>
      </x:c>
      <x:c r="AL307" s="31" t="n">
        <x:f>IF(AND(J307&lt;='分析方法'!$B$7,OR(ISBLANK(O307),O307&gt;='分析方法'!$B$8),X307&lt;&gt;"売却済み表示"),1,0)</x:f>
        <x:v>1</x:v>
      </x:c>
      <x:c r="AM307" s="32" t="n">
        <x:f>IF(AL307=1,U307,"")</x:f>
        <x:v>599000</x:v>
      </x:c>
      <x:c r="AN307" s="33" t="str">
        <x:f>IF(AL307=1,AF307,"")</x:f>
      </x:c>
      <x:c r="AO307" s="31" t="n">
        <x:f>'分析方法'!$B$6-J307</x:f>
        <x:v>5</x:v>
      </x:c>
      <x:c r="AP307" s="3"/>
    </x:row>
    <x:row r="308" ht="22" customHeight="1">
      <x:c r="A308" s="3" t="str">
        <x:v>T2924471</x:v>
      </x:c>
      <x:c r="B308" s="7" t="d">
        <x:v>2026-10-08T00:00:00.000Z</x:v>
      </x:c>
      <x:c r="C308" s="3" t="str">
        <x:v>Taladrod</x:v>
      </x:c>
      <x:c r="D308" s="3" t="str">
        <x:v>Toyota</x:v>
      </x:c>
      <x:c r="E308" s="3" t="str">
        <x:v>日本</x:v>
      </x:c>
      <x:c r="F308" s="3" t="str">
        <x:v>Corolla Cross</x:v>
      </x:c>
      <x:c r="G308" s="3" t="str">
        <x:v>HEV</x:v>
      </x:c>
      <x:c r="H308" s="3" t="str">
        <x:v>SUV</x:v>
      </x:c>
      <x:c r="I308" s="3" t="str"/>
      <x:c r="J308" s="3" t="n">
        <x:v>2021</x:v>
      </x:c>
      <x:c r="K308" s="3" t="str">
        <x:v>1.8 HYBRID PREMIUM</x:v>
      </x:c>
      <x:c r="L308" s="3" t="str">
        <x:v>HEV PREMIUM</x:v>
      </x:c>
      <x:c r="M308" s="22"/>
      <x:c r="N308" s="22"/>
      <x:c r="O308" s="22"/>
      <x:c r="P308" s="3" t="str">
        <x:v>未掲載</x:v>
      </x:c>
      <x:c r="Q308" s="3" t="str">
        <x:v>未取得</x:v>
      </x:c>
      <x:c r="R308" s="3" t="str">
        <x:v>Unknown</x:v>
      </x:c>
      <x:c r="S308" s="3" t="str">
        <x:v>不明</x:v>
      </x:c>
      <x:c r="T308" s="3" t="str">
        <x:v>20-ปัจจุบัน</x:v>
      </x:c>
      <x:c r="U308" s="28" t="n">
        <x:v>599000</x:v>
      </x:c>
      <x:c r="V308" s="28" t="n">
        <x:v>1089000</x:v>
      </x:c>
      <x:c r="W308" s="3" t="str">
        <x:v>事故・水没・SOH・保証残は未確認</x:v>
      </x:c>
      <x:c r="X308" s="3" t="str">
        <x:v>掲載中・在庫未確認</x:v>
      </x:c>
      <x:c r="Y308" s="3" t="str"/>
      <x:c r="Z308" s="27" t="str">
        <x:v>https://www.taladrod.com/w40/icar/cardet.aspx?cid=2924471</x:v>
      </x:c>
      <x:c r="AA308" s="3" t="str">
        <x:v>Taladrod個別広告ID／Carsome在庫ID</x:v>
      </x:c>
      <x:c r="AB308" s="3" t="str">
        <x:v>車台番号未取得／サイト間重複は未判定</x:v>
      </x:c>
      <x:c r="AC308" s="3" t="str">
        <x:v>税込区分未確認（一覧表示額）</x:v>
      </x:c>
      <x:c r="AD308" s="3" t="str"/>
      <x:c r="AE308" s="29" t="str">
        <x:f>""</x:f>
      </x:c>
      <x:c r="AF308" s="30" t="str">
        <x:f>IF(ISNUMBER(AE308),U308/AE308,"")</x:f>
      </x:c>
      <x:c r="AG308" s="29" t="n">
        <x:f>'新車価格・特価'!N54</x:f>
        <x:v>1094000</x:v>
      </x:c>
      <x:c r="AH308" s="30" t="n">
        <x:f>IF(ISNUMBER(AG308),U308/AG308,"")</x:f>
        <x:v>0.5475319926873857</x:v>
      </x:c>
      <x:c r="AI308" s="3" t="str">
        <x:v>同年式・グレードの検証済み当時価格なし／登録年混在</x:v>
      </x:c>
      <x:c r="AJ308" s="3" t="str">
        <x:v>一覧価格/年式のみ</x:v>
      </x:c>
      <x:c r="AK308" s="3" t="str">
        <x:v>一覧の表示価格。年式は掲載年式。</x:v>
      </x:c>
      <x:c r="AL308" s="31" t="n">
        <x:f>IF(AND(J308&lt;='分析方法'!$B$7,OR(ISBLANK(O308),O308&gt;='分析方法'!$B$8),X308&lt;&gt;"売却済み表示"),1,0)</x:f>
        <x:v>1</x:v>
      </x:c>
      <x:c r="AM308" s="32" t="n">
        <x:f>IF(AL308=1,U308,"")</x:f>
        <x:v>599000</x:v>
      </x:c>
      <x:c r="AN308" s="33" t="str">
        <x:f>IF(AL308=1,AF308,"")</x:f>
      </x:c>
      <x:c r="AO308" s="31" t="n">
        <x:f>'分析方法'!$B$6-J308</x:f>
        <x:v>5</x:v>
      </x:c>
      <x:c r="AP308" s="3"/>
    </x:row>
    <x:row r="309" ht="22" customHeight="1">
      <x:c r="A309" s="3" t="str">
        <x:v>T2883397</x:v>
      </x:c>
      <x:c r="B309" s="7" t="d">
        <x:v>2026-10-08T00:00:00.000Z</x:v>
      </x:c>
      <x:c r="C309" s="3" t="str">
        <x:v>Taladrod</x:v>
      </x:c>
      <x:c r="D309" s="3" t="str">
        <x:v>Toyota</x:v>
      </x:c>
      <x:c r="E309" s="3" t="str">
        <x:v>日本</x:v>
      </x:c>
      <x:c r="F309" s="3" t="str">
        <x:v>Corolla Cross</x:v>
      </x:c>
      <x:c r="G309" s="3" t="str">
        <x:v>HEV</x:v>
      </x:c>
      <x:c r="H309" s="3" t="str">
        <x:v>SUV</x:v>
      </x:c>
      <x:c r="I309" s="3" t="str"/>
      <x:c r="J309" s="3" t="n">
        <x:v>2021</x:v>
      </x:c>
      <x:c r="K309" s="3" t="str">
        <x:v>1.8 HEV PREMIUM LUXURY</x:v>
      </x:c>
      <x:c r="L309" s="3" t="str">
        <x:v>HEV PREMIUM LUXURY</x:v>
      </x:c>
      <x:c r="M309" s="22"/>
      <x:c r="N309" s="22"/>
      <x:c r="O309" s="22"/>
      <x:c r="P309" s="3" t="str">
        <x:v>未掲載</x:v>
      </x:c>
      <x:c r="Q309" s="3" t="str">
        <x:v>未取得</x:v>
      </x:c>
      <x:c r="R309" s="3" t="str">
        <x:v>Unknown</x:v>
      </x:c>
      <x:c r="S309" s="3" t="str">
        <x:v>不明</x:v>
      </x:c>
      <x:c r="T309" s="3" t="str">
        <x:v>20-ปัจจุบัน</x:v>
      </x:c>
      <x:c r="U309" s="28" t="n">
        <x:v>679000</x:v>
      </x:c>
      <x:c r="V309" s="28" t="n">
        <x:v>1204000</x:v>
      </x:c>
      <x:c r="W309" s="3" t="str">
        <x:v>事故・水没・SOH・保証残は未確認</x:v>
      </x:c>
      <x:c r="X309" s="3" t="str">
        <x:v>掲載中・在庫未確認</x:v>
      </x:c>
      <x:c r="Y309" s="3" t="str"/>
      <x:c r="Z309" s="27" t="str">
        <x:v>https://www.taladrod.com/w40/icar/cardet.aspx?cid=2883397</x:v>
      </x:c>
      <x:c r="AA309" s="3" t="str">
        <x:v>Taladrod個別広告ID／Carsome在庫ID</x:v>
      </x:c>
      <x:c r="AB309" s="3" t="str">
        <x:v>車台番号未取得／サイト間重複は未判定</x:v>
      </x:c>
      <x:c r="AC309" s="3" t="str">
        <x:v>税込区分未確認（一覧表示額）</x:v>
      </x:c>
      <x:c r="AD309" s="3" t="str"/>
      <x:c r="AE309" s="29" t="str">
        <x:f>""</x:f>
      </x:c>
      <x:c r="AF309" s="30" t="str">
        <x:f>IF(ISNUMBER(AE309),U309/AE309,"")</x:f>
      </x:c>
      <x:c r="AG309" s="29" t="n">
        <x:f>'新車価格・特価'!N55</x:f>
        <x:v>1204000</x:v>
      </x:c>
      <x:c r="AH309" s="30" t="n">
        <x:f>IF(ISNUMBER(AG309),U309/AG309,"")</x:f>
        <x:v>0.563953488372093</x:v>
      </x:c>
      <x:c r="AI309" s="3" t="str">
        <x:v>同年式・グレードの検証済み当時価格なし／登録年混在</x:v>
      </x:c>
      <x:c r="AJ309" s="3" t="str">
        <x:v>一覧価格/年式のみ</x:v>
      </x:c>
      <x:c r="AK309" s="3" t="str">
        <x:v>一覧の表示価格。年式は掲載年式。</x:v>
      </x:c>
      <x:c r="AL309" s="31" t="n">
        <x:f>IF(AND(J309&lt;='分析方法'!$B$7,OR(ISBLANK(O309),O309&gt;='分析方法'!$B$8),X309&lt;&gt;"売却済み表示"),1,0)</x:f>
        <x:v>1</x:v>
      </x:c>
      <x:c r="AM309" s="32" t="n">
        <x:f>IF(AL309=1,U309,"")</x:f>
        <x:v>679000</x:v>
      </x:c>
      <x:c r="AN309" s="33" t="str">
        <x:f>IF(AL309=1,AF309,"")</x:f>
      </x:c>
      <x:c r="AO309" s="31" t="n">
        <x:f>'分析方法'!$B$6-J309</x:f>
        <x:v>5</x:v>
      </x:c>
      <x:c r="AP309" s="3"/>
    </x:row>
    <x:row r="310" ht="22" customHeight="1">
      <x:c r="A310" s="3" t="str">
        <x:v>T2919287</x:v>
      </x:c>
      <x:c r="B310" s="7" t="d">
        <x:v>2026-10-08T00:00:00.000Z</x:v>
      </x:c>
      <x:c r="C310" s="3" t="str">
        <x:v>Taladrod</x:v>
      </x:c>
      <x:c r="D310" s="3" t="str">
        <x:v>Toyota</x:v>
      </x:c>
      <x:c r="E310" s="3" t="str">
        <x:v>日本</x:v>
      </x:c>
      <x:c r="F310" s="3" t="str">
        <x:v>Corolla Cross</x:v>
      </x:c>
      <x:c r="G310" s="3" t="str">
        <x:v>HEV</x:v>
      </x:c>
      <x:c r="H310" s="3" t="str">
        <x:v>SUV</x:v>
      </x:c>
      <x:c r="I310" s="3" t="str"/>
      <x:c r="J310" s="3" t="n">
        <x:v>2021</x:v>
      </x:c>
      <x:c r="K310" s="3" t="str">
        <x:v>1.8 HEV PREMIUM LUXURY</x:v>
      </x:c>
      <x:c r="L310" s="3" t="str">
        <x:v>HEV PREMIUM LUXURY</x:v>
      </x:c>
      <x:c r="M310" s="22"/>
      <x:c r="N310" s="22"/>
      <x:c r="O310" s="22"/>
      <x:c r="P310" s="3" t="str">
        <x:v>未掲載</x:v>
      </x:c>
      <x:c r="Q310" s="3" t="str">
        <x:v>未取得</x:v>
      </x:c>
      <x:c r="R310" s="3" t="str">
        <x:v>Unknown</x:v>
      </x:c>
      <x:c r="S310" s="3" t="str">
        <x:v>不明</x:v>
      </x:c>
      <x:c r="T310" s="3" t="str">
        <x:v>20-ปัจจุบัน</x:v>
      </x:c>
      <x:c r="U310" s="28" t="n">
        <x:v>560000</x:v>
      </x:c>
      <x:c r="V310" s="28" t="n">
        <x:v>1204000</x:v>
      </x:c>
      <x:c r="W310" s="3" t="str">
        <x:v>事故・水没・SOH・保証残は未確認</x:v>
      </x:c>
      <x:c r="X310" s="3" t="str">
        <x:v>掲載中・在庫未確認</x:v>
      </x:c>
      <x:c r="Y310" s="3" t="str"/>
      <x:c r="Z310" s="27" t="str">
        <x:v>https://www.taladrod.com/w40/icar/cardet.aspx?cid=2919287</x:v>
      </x:c>
      <x:c r="AA310" s="3" t="str">
        <x:v>Taladrod個別広告ID／Carsome在庫ID</x:v>
      </x:c>
      <x:c r="AB310" s="3" t="str">
        <x:v>車台番号未取得／サイト間重複は未判定</x:v>
      </x:c>
      <x:c r="AC310" s="3" t="str">
        <x:v>税込区分未確認（一覧表示額）</x:v>
      </x:c>
      <x:c r="AD310" s="3" t="str"/>
      <x:c r="AE310" s="29" t="str">
        <x:f>""</x:f>
      </x:c>
      <x:c r="AF310" s="30" t="str">
        <x:f>IF(ISNUMBER(AE310),U310/AE310,"")</x:f>
      </x:c>
      <x:c r="AG310" s="29" t="n">
        <x:f>'新車価格・特価'!N55</x:f>
        <x:v>1204000</x:v>
      </x:c>
      <x:c r="AH310" s="30" t="n">
        <x:f>IF(ISNUMBER(AG310),U310/AG310,"")</x:f>
        <x:v>0.46511627906976744</x:v>
      </x:c>
      <x:c r="AI310" s="3" t="str">
        <x:v>同年式・グレードの検証済み当時価格なし／登録年混在</x:v>
      </x:c>
      <x:c r="AJ310" s="3" t="str">
        <x:v>一覧価格/年式のみ</x:v>
      </x:c>
      <x:c r="AK310" s="3" t="str">
        <x:v>一覧の表示価格。年式は掲載年式。</x:v>
      </x:c>
      <x:c r="AL310" s="31" t="n">
        <x:f>IF(AND(J310&lt;='分析方法'!$B$7,OR(ISBLANK(O310),O310&gt;='分析方法'!$B$8),X310&lt;&gt;"売却済み表示"),1,0)</x:f>
        <x:v>1</x:v>
      </x:c>
      <x:c r="AM310" s="32" t="n">
        <x:f>IF(AL310=1,U310,"")</x:f>
        <x:v>560000</x:v>
      </x:c>
      <x:c r="AN310" s="33" t="str">
        <x:f>IF(AL310=1,AF310,"")</x:f>
      </x:c>
      <x:c r="AO310" s="31" t="n">
        <x:f>'分析方法'!$B$6-J310</x:f>
        <x:v>5</x:v>
      </x:c>
      <x:c r="AP310" s="3"/>
    </x:row>
    <x:row r="311" ht="22" customHeight="1">
      <x:c r="A311" s="3" t="str">
        <x:v>T2888455</x:v>
      </x:c>
      <x:c r="B311" s="7" t="d">
        <x:v>2026-10-08T00:00:00.000Z</x:v>
      </x:c>
      <x:c r="C311" s="3" t="str">
        <x:v>Taladrod</x:v>
      </x:c>
      <x:c r="D311" s="3" t="str">
        <x:v>Toyota</x:v>
      </x:c>
      <x:c r="E311" s="3" t="str">
        <x:v>日本</x:v>
      </x:c>
      <x:c r="F311" s="3" t="str">
        <x:v>Corolla Cross</x:v>
      </x:c>
      <x:c r="G311" s="3" t="str">
        <x:v>HEV</x:v>
      </x:c>
      <x:c r="H311" s="3" t="str">
        <x:v>SUV</x:v>
      </x:c>
      <x:c r="I311" s="3" t="str"/>
      <x:c r="J311" s="3" t="n">
        <x:v>2021</x:v>
      </x:c>
      <x:c r="K311" s="3" t="str">
        <x:v>1.8 HYBRID PREMIUM SAFETY</x:v>
      </x:c>
      <x:c r="L311" s="3" t="str">
        <x:v>HEV PREMIUM SAFETY</x:v>
      </x:c>
      <x:c r="M311" s="22"/>
      <x:c r="N311" s="22"/>
      <x:c r="O311" s="22"/>
      <x:c r="P311" s="3" t="str">
        <x:v>未掲載</x:v>
      </x:c>
      <x:c r="Q311" s="3" t="str">
        <x:v>未取得</x:v>
      </x:c>
      <x:c r="R311" s="3" t="str">
        <x:v>Unknown</x:v>
      </x:c>
      <x:c r="S311" s="3" t="str">
        <x:v>不明</x:v>
      </x:c>
      <x:c r="T311" s="3" t="str">
        <x:v>20-ปัจจุบัน</x:v>
      </x:c>
      <x:c r="U311" s="28" t="n">
        <x:v>890000</x:v>
      </x:c>
      <x:c r="V311" s="28" t="n">
        <x:v>1199000</x:v>
      </x:c>
      <x:c r="W311" s="3" t="str">
        <x:v>事故・水没・SOH・保証残は未確認</x:v>
      </x:c>
      <x:c r="X311" s="3" t="str">
        <x:v>掲載中・在庫未確認</x:v>
      </x:c>
      <x:c r="Y311" s="3" t="str"/>
      <x:c r="Z311" s="27" t="str">
        <x:v>https://www.taladrod.com/w40/icar/cardet.aspx?cid=2888455</x:v>
      </x:c>
      <x:c r="AA311" s="3" t="str">
        <x:v>Taladrod個別広告ID／Carsome在庫ID</x:v>
      </x:c>
      <x:c r="AB311" s="3" t="str">
        <x:v>車台番号未取得／サイト間重複は未判定</x:v>
      </x:c>
      <x:c r="AC311" s="3" t="str">
        <x:v>税込区分未確認（一覧表示額）</x:v>
      </x:c>
      <x:c r="AD311" s="3" t="str"/>
      <x:c r="AE311" s="29" t="str">
        <x:f>""</x:f>
      </x:c>
      <x:c r="AF311" s="30" t="str">
        <x:f>IF(ISNUMBER(AE311),U311/AE311,"")</x:f>
      </x:c>
      <x:c r="AG311" s="29" t="n">
        <x:f>'新車価格・特価'!N55</x:f>
        <x:v>1204000</x:v>
      </x:c>
      <x:c r="AH311" s="30" t="n">
        <x:f>IF(ISNUMBER(AG311),U311/AG311,"")</x:f>
        <x:v>0.739202657807309</x:v>
      </x:c>
      <x:c r="AI311" s="3" t="str">
        <x:v>同年式・グレードの検証済み当時価格なし／登録年混在</x:v>
      </x:c>
      <x:c r="AJ311" s="3" t="str">
        <x:v>一覧価格/年式のみ</x:v>
      </x:c>
      <x:c r="AK311" s="3" t="str">
        <x:v>一覧の表示価格。年式は掲載年式。</x:v>
      </x:c>
      <x:c r="AL311" s="31" t="n">
        <x:f>IF(AND(J311&lt;='分析方法'!$B$7,OR(ISBLANK(O311),O311&gt;='分析方法'!$B$8),X311&lt;&gt;"売却済み表示"),1,0)</x:f>
        <x:v>1</x:v>
      </x:c>
      <x:c r="AM311" s="32" t="n">
        <x:f>IF(AL311=1,U311,"")</x:f>
        <x:v>890000</x:v>
      </x:c>
      <x:c r="AN311" s="33" t="str">
        <x:f>IF(AL311=1,AF311,"")</x:f>
      </x:c>
      <x:c r="AO311" s="31" t="n">
        <x:f>'分析方法'!$B$6-J311</x:f>
        <x:v>5</x:v>
      </x:c>
      <x:c r="AP311" s="3"/>
    </x:row>
    <x:row r="312" ht="22" customHeight="1">
      <x:c r="A312" s="3" t="str">
        <x:v>T2890172</x:v>
      </x:c>
      <x:c r="B312" s="7" t="d">
        <x:v>2026-10-08T00:00:00.000Z</x:v>
      </x:c>
      <x:c r="C312" s="3" t="str">
        <x:v>Taladrod</x:v>
      </x:c>
      <x:c r="D312" s="3" t="str">
        <x:v>Toyota</x:v>
      </x:c>
      <x:c r="E312" s="3" t="str">
        <x:v>日本</x:v>
      </x:c>
      <x:c r="F312" s="3" t="str">
        <x:v>Corolla Cross</x:v>
      </x:c>
      <x:c r="G312" s="3" t="str">
        <x:v>HEV</x:v>
      </x:c>
      <x:c r="H312" s="3" t="str">
        <x:v>SUV</x:v>
      </x:c>
      <x:c r="I312" s="3" t="str"/>
      <x:c r="J312" s="3" t="n">
        <x:v>2021</x:v>
      </x:c>
      <x:c r="K312" s="3" t="str">
        <x:v>1.8 HYBRID PREMIUM SAFETY</x:v>
      </x:c>
      <x:c r="L312" s="3" t="str">
        <x:v>HEV PREMIUM SAFETY</x:v>
      </x:c>
      <x:c r="M312" s="22"/>
      <x:c r="N312" s="22"/>
      <x:c r="O312" s="22"/>
      <x:c r="P312" s="3" t="str">
        <x:v>未掲載</x:v>
      </x:c>
      <x:c r="Q312" s="3" t="str">
        <x:v>未取得</x:v>
      </x:c>
      <x:c r="R312" s="3" t="str">
        <x:v>Unknown</x:v>
      </x:c>
      <x:c r="S312" s="3" t="str">
        <x:v>不明</x:v>
      </x:c>
      <x:c r="T312" s="3" t="str">
        <x:v>20-ปัจจุบัน</x:v>
      </x:c>
      <x:c r="U312" s="28" t="n">
        <x:v>689000</x:v>
      </x:c>
      <x:c r="V312" s="28" t="n">
        <x:v>1199000</x:v>
      </x:c>
      <x:c r="W312" s="3" t="str">
        <x:v>事故・水没・SOH・保証残は未確認</x:v>
      </x:c>
      <x:c r="X312" s="3" t="str">
        <x:v>掲載中・在庫未確認</x:v>
      </x:c>
      <x:c r="Y312" s="3" t="str"/>
      <x:c r="Z312" s="27" t="str">
        <x:v>https://www.taladrod.com/w40/icar/cardet.aspx?cid=2890172</x:v>
      </x:c>
      <x:c r="AA312" s="3" t="str">
        <x:v>Taladrod個別広告ID／Carsome在庫ID</x:v>
      </x:c>
      <x:c r="AB312" s="3" t="str">
        <x:v>車台番号未取得／サイト間重複は未判定</x:v>
      </x:c>
      <x:c r="AC312" s="3" t="str">
        <x:v>税込区分未確認（一覧表示額）</x:v>
      </x:c>
      <x:c r="AD312" s="3" t="str"/>
      <x:c r="AE312" s="29" t="str">
        <x:f>""</x:f>
      </x:c>
      <x:c r="AF312" s="30" t="str">
        <x:f>IF(ISNUMBER(AE312),U312/AE312,"")</x:f>
      </x:c>
      <x:c r="AG312" s="29" t="n">
        <x:f>'新車価格・特価'!N55</x:f>
        <x:v>1204000</x:v>
      </x:c>
      <x:c r="AH312" s="30" t="n">
        <x:f>IF(ISNUMBER(AG312),U312/AG312,"")</x:f>
        <x:v>0.5722591362126246</x:v>
      </x:c>
      <x:c r="AI312" s="3" t="str">
        <x:v>同年式・グレードの検証済み当時価格なし／登録年混在</x:v>
      </x:c>
      <x:c r="AJ312" s="3" t="str">
        <x:v>一覧価格/年式のみ</x:v>
      </x:c>
      <x:c r="AK312" s="3" t="str">
        <x:v>一覧の表示価格。年式は掲載年式。</x:v>
      </x:c>
      <x:c r="AL312" s="31" t="n">
        <x:f>IF(AND(J312&lt;='分析方法'!$B$7,OR(ISBLANK(O312),O312&gt;='分析方法'!$B$8),X312&lt;&gt;"売却済み表示"),1,0)</x:f>
        <x:v>1</x:v>
      </x:c>
      <x:c r="AM312" s="32" t="n">
        <x:f>IF(AL312=1,U312,"")</x:f>
        <x:v>689000</x:v>
      </x:c>
      <x:c r="AN312" s="33" t="str">
        <x:f>IF(AL312=1,AF312,"")</x:f>
      </x:c>
      <x:c r="AO312" s="31" t="n">
        <x:f>'分析方法'!$B$6-J312</x:f>
        <x:v>5</x:v>
      </x:c>
      <x:c r="AP312" s="3"/>
    </x:row>
    <x:row r="313" ht="22" customHeight="1">
      <x:c r="A313" s="3" t="str">
        <x:v>T2893823</x:v>
      </x:c>
      <x:c r="B313" s="7" t="d">
        <x:v>2026-10-08T00:00:00.000Z</x:v>
      </x:c>
      <x:c r="C313" s="3" t="str">
        <x:v>Taladrod</x:v>
      </x:c>
      <x:c r="D313" s="3" t="str">
        <x:v>Toyota</x:v>
      </x:c>
      <x:c r="E313" s="3" t="str">
        <x:v>日本</x:v>
      </x:c>
      <x:c r="F313" s="3" t="str">
        <x:v>Corolla Cross</x:v>
      </x:c>
      <x:c r="G313" s="3" t="str">
        <x:v>HEV</x:v>
      </x:c>
      <x:c r="H313" s="3" t="str">
        <x:v>SUV</x:v>
      </x:c>
      <x:c r="I313" s="3" t="str"/>
      <x:c r="J313" s="3" t="n">
        <x:v>2021</x:v>
      </x:c>
      <x:c r="K313" s="3" t="str">
        <x:v>1.8 HYBRID PREMIUM SAFETY</x:v>
      </x:c>
      <x:c r="L313" s="3" t="str">
        <x:v>HEV PREMIUM SAFETY</x:v>
      </x:c>
      <x:c r="M313" s="22"/>
      <x:c r="N313" s="22"/>
      <x:c r="O313" s="22"/>
      <x:c r="P313" s="3" t="str">
        <x:v>未掲載</x:v>
      </x:c>
      <x:c r="Q313" s="3" t="str">
        <x:v>未取得</x:v>
      </x:c>
      <x:c r="R313" s="3" t="str">
        <x:v>Unknown</x:v>
      </x:c>
      <x:c r="S313" s="3" t="str">
        <x:v>不明</x:v>
      </x:c>
      <x:c r="T313" s="3" t="str">
        <x:v>20-ปัจจุบัน</x:v>
      </x:c>
      <x:c r="U313" s="28" t="n">
        <x:v>658000</x:v>
      </x:c>
      <x:c r="V313" s="28" t="n">
        <x:v>1199000</x:v>
      </x:c>
      <x:c r="W313" s="3" t="str">
        <x:v>事故・水没・SOH・保証残は未確認</x:v>
      </x:c>
      <x:c r="X313" s="3" t="str">
        <x:v>掲載中・在庫未確認</x:v>
      </x:c>
      <x:c r="Y313" s="3" t="str"/>
      <x:c r="Z313" s="27" t="str">
        <x:v>https://www.taladrod.com/w40/icar/cardet.aspx?cid=2893823</x:v>
      </x:c>
      <x:c r="AA313" s="3" t="str">
        <x:v>Taladrod個別広告ID／Carsome在庫ID</x:v>
      </x:c>
      <x:c r="AB313" s="3" t="str">
        <x:v>車台番号未取得／サイト間重複は未判定</x:v>
      </x:c>
      <x:c r="AC313" s="3" t="str">
        <x:v>税込区分未確認（一覧表示額）</x:v>
      </x:c>
      <x:c r="AD313" s="3" t="str"/>
      <x:c r="AE313" s="29" t="str">
        <x:f>""</x:f>
      </x:c>
      <x:c r="AF313" s="30" t="str">
        <x:f>IF(ISNUMBER(AE313),U313/AE313,"")</x:f>
      </x:c>
      <x:c r="AG313" s="29" t="n">
        <x:f>'新車価格・特価'!N55</x:f>
        <x:v>1204000</x:v>
      </x:c>
      <x:c r="AH313" s="30" t="n">
        <x:f>IF(ISNUMBER(AG313),U313/AG313,"")</x:f>
        <x:v>0.5465116279069767</x:v>
      </x:c>
      <x:c r="AI313" s="3" t="str">
        <x:v>同年式・グレードの検証済み当時価格なし／登録年混在</x:v>
      </x:c>
      <x:c r="AJ313" s="3" t="str">
        <x:v>一覧価格/年式のみ</x:v>
      </x:c>
      <x:c r="AK313" s="3" t="str">
        <x:v>一覧の表示価格。年式は掲載年式。</x:v>
      </x:c>
      <x:c r="AL313" s="31" t="n">
        <x:f>IF(AND(J313&lt;='分析方法'!$B$7,OR(ISBLANK(O313),O313&gt;='分析方法'!$B$8),X313&lt;&gt;"売却済み表示"),1,0)</x:f>
        <x:v>1</x:v>
      </x:c>
      <x:c r="AM313" s="32" t="n">
        <x:f>IF(AL313=1,U313,"")</x:f>
        <x:v>658000</x:v>
      </x:c>
      <x:c r="AN313" s="33" t="str">
        <x:f>IF(AL313=1,AF313,"")</x:f>
      </x:c>
      <x:c r="AO313" s="31" t="n">
        <x:f>'分析方法'!$B$6-J313</x:f>
        <x:v>5</x:v>
      </x:c>
      <x:c r="AP313" s="3"/>
    </x:row>
    <x:row r="314" ht="22" customHeight="1">
      <x:c r="A314" s="3" t="str">
        <x:v>T2896066</x:v>
      </x:c>
      <x:c r="B314" s="7" t="d">
        <x:v>2026-10-08T00:00:00.000Z</x:v>
      </x:c>
      <x:c r="C314" s="3" t="str">
        <x:v>Taladrod</x:v>
      </x:c>
      <x:c r="D314" s="3" t="str">
        <x:v>Toyota</x:v>
      </x:c>
      <x:c r="E314" s="3" t="str">
        <x:v>日本</x:v>
      </x:c>
      <x:c r="F314" s="3" t="str">
        <x:v>Corolla Cross</x:v>
      </x:c>
      <x:c r="G314" s="3" t="str">
        <x:v>HEV</x:v>
      </x:c>
      <x:c r="H314" s="3" t="str">
        <x:v>SUV</x:v>
      </x:c>
      <x:c r="I314" s="3" t="str"/>
      <x:c r="J314" s="3" t="n">
        <x:v>2021</x:v>
      </x:c>
      <x:c r="K314" s="3" t="str">
        <x:v>1.8 HYBRID PREMIUM SAFETY</x:v>
      </x:c>
      <x:c r="L314" s="3" t="str">
        <x:v>HEV PREMIUM SAFETY</x:v>
      </x:c>
      <x:c r="M314" s="22"/>
      <x:c r="N314" s="22"/>
      <x:c r="O314" s="22"/>
      <x:c r="P314" s="3" t="str">
        <x:v>未掲載</x:v>
      </x:c>
      <x:c r="Q314" s="3" t="str">
        <x:v>未取得</x:v>
      </x:c>
      <x:c r="R314" s="3" t="str">
        <x:v>Unknown</x:v>
      </x:c>
      <x:c r="S314" s="3" t="str">
        <x:v>不明</x:v>
      </x:c>
      <x:c r="T314" s="3" t="str">
        <x:v>20-ปัจจุบัน</x:v>
      </x:c>
      <x:c r="U314" s="28" t="n">
        <x:v>699000</x:v>
      </x:c>
      <x:c r="V314" s="28" t="n">
        <x:v>1199000</x:v>
      </x:c>
      <x:c r="W314" s="3" t="str">
        <x:v>事故・水没・SOH・保証残は未確認</x:v>
      </x:c>
      <x:c r="X314" s="3" t="str">
        <x:v>掲載中・在庫未確認</x:v>
      </x:c>
      <x:c r="Y314" s="3" t="str"/>
      <x:c r="Z314" s="27" t="str">
        <x:v>https://www.taladrod.com/w40/icar/cardet.aspx?cid=2896066</x:v>
      </x:c>
      <x:c r="AA314" s="3" t="str">
        <x:v>Taladrod個別広告ID／Carsome在庫ID</x:v>
      </x:c>
      <x:c r="AB314" s="3" t="str">
        <x:v>車台番号未取得／サイト間重複は未判定</x:v>
      </x:c>
      <x:c r="AC314" s="3" t="str">
        <x:v>税込区分未確認（一覧表示額）</x:v>
      </x:c>
      <x:c r="AD314" s="3" t="str"/>
      <x:c r="AE314" s="29" t="str">
        <x:f>""</x:f>
      </x:c>
      <x:c r="AF314" s="30" t="str">
        <x:f>IF(ISNUMBER(AE314),U314/AE314,"")</x:f>
      </x:c>
      <x:c r="AG314" s="29" t="n">
        <x:f>'新車価格・特価'!N55</x:f>
        <x:v>1204000</x:v>
      </x:c>
      <x:c r="AH314" s="30" t="n">
        <x:f>IF(ISNUMBER(AG314),U314/AG314,"")</x:f>
        <x:v>0.5805647840531561</x:v>
      </x:c>
      <x:c r="AI314" s="3" t="str">
        <x:v>同年式・グレードの検証済み当時価格なし／登録年混在</x:v>
      </x:c>
      <x:c r="AJ314" s="3" t="str">
        <x:v>一覧価格/年式のみ</x:v>
      </x:c>
      <x:c r="AK314" s="3" t="str">
        <x:v>一覧の表示価格。年式は掲載年式。</x:v>
      </x:c>
      <x:c r="AL314" s="31" t="n">
        <x:f>IF(AND(J314&lt;='分析方法'!$B$7,OR(ISBLANK(O314),O314&gt;='分析方法'!$B$8),X314&lt;&gt;"売却済み表示"),1,0)</x:f>
        <x:v>1</x:v>
      </x:c>
      <x:c r="AM314" s="32" t="n">
        <x:f>IF(AL314=1,U314,"")</x:f>
        <x:v>699000</x:v>
      </x:c>
      <x:c r="AN314" s="33" t="str">
        <x:f>IF(AL314=1,AF314,"")</x:f>
      </x:c>
      <x:c r="AO314" s="31" t="n">
        <x:f>'分析方法'!$B$6-J314</x:f>
        <x:v>5</x:v>
      </x:c>
      <x:c r="AP314" s="3"/>
    </x:row>
    <x:row r="315" ht="22" customHeight="1">
      <x:c r="A315" s="3" t="str">
        <x:v>T2902691</x:v>
      </x:c>
      <x:c r="B315" s="7" t="d">
        <x:v>2026-10-08T00:00:00.000Z</x:v>
      </x:c>
      <x:c r="C315" s="3" t="str">
        <x:v>Taladrod</x:v>
      </x:c>
      <x:c r="D315" s="3" t="str">
        <x:v>Toyota</x:v>
      </x:c>
      <x:c r="E315" s="3" t="str">
        <x:v>日本</x:v>
      </x:c>
      <x:c r="F315" s="3" t="str">
        <x:v>Corolla Cross</x:v>
      </x:c>
      <x:c r="G315" s="3" t="str">
        <x:v>HEV</x:v>
      </x:c>
      <x:c r="H315" s="3" t="str">
        <x:v>SUV</x:v>
      </x:c>
      <x:c r="I315" s="3" t="str"/>
      <x:c r="J315" s="3" t="n">
        <x:v>2021</x:v>
      </x:c>
      <x:c r="K315" s="3" t="str">
        <x:v>1.8 HYBRID PREMIUM SAFETY</x:v>
      </x:c>
      <x:c r="L315" s="3" t="str">
        <x:v>HEV PREMIUM SAFETY</x:v>
      </x:c>
      <x:c r="M315" s="22"/>
      <x:c r="N315" s="22"/>
      <x:c r="O315" s="22"/>
      <x:c r="P315" s="3" t="str">
        <x:v>未掲載</x:v>
      </x:c>
      <x:c r="Q315" s="3" t="str">
        <x:v>未取得</x:v>
      </x:c>
      <x:c r="R315" s="3" t="str">
        <x:v>Unknown</x:v>
      </x:c>
      <x:c r="S315" s="3" t="str">
        <x:v>不明</x:v>
      </x:c>
      <x:c r="T315" s="3" t="str">
        <x:v>20-ปัจจุบัน</x:v>
      </x:c>
      <x:c r="U315" s="28" t="n">
        <x:v>559000</x:v>
      </x:c>
      <x:c r="V315" s="28" t="n">
        <x:v>1199000</x:v>
      </x:c>
      <x:c r="W315" s="3" t="str">
        <x:v>事故・水没・SOH・保証残は未確認</x:v>
      </x:c>
      <x:c r="X315" s="3" t="str">
        <x:v>掲載中・在庫未確認</x:v>
      </x:c>
      <x:c r="Y315" s="3" t="str"/>
      <x:c r="Z315" s="27" t="str">
        <x:v>https://www.taladrod.com/w40/icar/cardet.aspx?cid=2902691</x:v>
      </x:c>
      <x:c r="AA315" s="3" t="str">
        <x:v>Taladrod個別広告ID／Carsome在庫ID</x:v>
      </x:c>
      <x:c r="AB315" s="3" t="str">
        <x:v>車台番号未取得／サイト間重複は未判定</x:v>
      </x:c>
      <x:c r="AC315" s="3" t="str">
        <x:v>税込区分未確認（一覧表示額）</x:v>
      </x:c>
      <x:c r="AD315" s="3" t="str"/>
      <x:c r="AE315" s="29" t="str">
        <x:f>""</x:f>
      </x:c>
      <x:c r="AF315" s="30" t="str">
        <x:f>IF(ISNUMBER(AE315),U315/AE315,"")</x:f>
      </x:c>
      <x:c r="AG315" s="29" t="n">
        <x:f>'新車価格・特価'!N55</x:f>
        <x:v>1204000</x:v>
      </x:c>
      <x:c r="AH315" s="30" t="n">
        <x:f>IF(ISNUMBER(AG315),U315/AG315,"")</x:f>
        <x:v>0.4642857142857143</x:v>
      </x:c>
      <x:c r="AI315" s="3" t="str">
        <x:v>同年式・グレードの検証済み当時価格なし／登録年混在</x:v>
      </x:c>
      <x:c r="AJ315" s="3" t="str">
        <x:v>一覧価格/年式のみ</x:v>
      </x:c>
      <x:c r="AK315" s="3" t="str">
        <x:v>一覧の表示価格。年式は掲載年式。</x:v>
      </x:c>
      <x:c r="AL315" s="31" t="n">
        <x:f>IF(AND(J315&lt;='分析方法'!$B$7,OR(ISBLANK(O315),O315&gt;='分析方法'!$B$8),X315&lt;&gt;"売却済み表示"),1,0)</x:f>
        <x:v>1</x:v>
      </x:c>
      <x:c r="AM315" s="32" t="n">
        <x:f>IF(AL315=1,U315,"")</x:f>
        <x:v>559000</x:v>
      </x:c>
      <x:c r="AN315" s="33" t="str">
        <x:f>IF(AL315=1,AF315,"")</x:f>
      </x:c>
      <x:c r="AO315" s="31" t="n">
        <x:f>'分析方法'!$B$6-J315</x:f>
        <x:v>5</x:v>
      </x:c>
      <x:c r="AP315" s="3"/>
    </x:row>
    <x:row r="316" ht="22" customHeight="1">
      <x:c r="A316" s="3" t="str">
        <x:v>T2903947</x:v>
      </x:c>
      <x:c r="B316" s="7" t="d">
        <x:v>2026-10-08T00:00:00.000Z</x:v>
      </x:c>
      <x:c r="C316" s="3" t="str">
        <x:v>Taladrod</x:v>
      </x:c>
      <x:c r="D316" s="3" t="str">
        <x:v>Toyota</x:v>
      </x:c>
      <x:c r="E316" s="3" t="str">
        <x:v>日本</x:v>
      </x:c>
      <x:c r="F316" s="3" t="str">
        <x:v>Corolla Cross</x:v>
      </x:c>
      <x:c r="G316" s="3" t="str">
        <x:v>HEV</x:v>
      </x:c>
      <x:c r="H316" s="3" t="str">
        <x:v>SUV</x:v>
      </x:c>
      <x:c r="I316" s="3" t="str"/>
      <x:c r="J316" s="3" t="n">
        <x:v>2021</x:v>
      </x:c>
      <x:c r="K316" s="3" t="str">
        <x:v>1.8 HYBRID PREMIUM SAFETY</x:v>
      </x:c>
      <x:c r="L316" s="3" t="str">
        <x:v>HEV PREMIUM SAFETY</x:v>
      </x:c>
      <x:c r="M316" s="22"/>
      <x:c r="N316" s="22"/>
      <x:c r="O316" s="22"/>
      <x:c r="P316" s="3" t="str">
        <x:v>未掲載</x:v>
      </x:c>
      <x:c r="Q316" s="3" t="str">
        <x:v>未取得</x:v>
      </x:c>
      <x:c r="R316" s="3" t="str">
        <x:v>Unknown</x:v>
      </x:c>
      <x:c r="S316" s="3" t="str">
        <x:v>不明</x:v>
      </x:c>
      <x:c r="T316" s="3" t="str">
        <x:v>20-ปัจจุบัน</x:v>
      </x:c>
      <x:c r="U316" s="28" t="n">
        <x:v>659000</x:v>
      </x:c>
      <x:c r="V316" s="28" t="n">
        <x:v>1199000</x:v>
      </x:c>
      <x:c r="W316" s="3" t="str">
        <x:v>事故・水没・SOH・保証残は未確認</x:v>
      </x:c>
      <x:c r="X316" s="3" t="str">
        <x:v>掲載中・在庫未確認</x:v>
      </x:c>
      <x:c r="Y316" s="3" t="str"/>
      <x:c r="Z316" s="27" t="str">
        <x:v>https://www.taladrod.com/w40/icar/cardet.aspx?cid=2903947</x:v>
      </x:c>
      <x:c r="AA316" s="3" t="str">
        <x:v>Taladrod個別広告ID／Carsome在庫ID</x:v>
      </x:c>
      <x:c r="AB316" s="3" t="str">
        <x:v>車台番号未取得／サイト間重複は未判定</x:v>
      </x:c>
      <x:c r="AC316" s="3" t="str">
        <x:v>税込区分未確認（一覧表示額）</x:v>
      </x:c>
      <x:c r="AD316" s="3" t="str"/>
      <x:c r="AE316" s="29" t="str">
        <x:f>""</x:f>
      </x:c>
      <x:c r="AF316" s="30" t="str">
        <x:f>IF(ISNUMBER(AE316),U316/AE316,"")</x:f>
      </x:c>
      <x:c r="AG316" s="29" t="n">
        <x:f>'新車価格・特価'!N55</x:f>
        <x:v>1204000</x:v>
      </x:c>
      <x:c r="AH316" s="30" t="n">
        <x:f>IF(ISNUMBER(AG316),U316/AG316,"")</x:f>
        <x:v>0.5473421926910299</x:v>
      </x:c>
      <x:c r="AI316" s="3" t="str">
        <x:v>同年式・グレードの検証済み当時価格なし／登録年混在</x:v>
      </x:c>
      <x:c r="AJ316" s="3" t="str">
        <x:v>一覧価格/年式のみ</x:v>
      </x:c>
      <x:c r="AK316" s="3" t="str">
        <x:v>一覧の表示価格。年式は掲載年式。</x:v>
      </x:c>
      <x:c r="AL316" s="31" t="n">
        <x:f>IF(AND(J316&lt;='分析方法'!$B$7,OR(ISBLANK(O316),O316&gt;='分析方法'!$B$8),X316&lt;&gt;"売却済み表示"),1,0)</x:f>
        <x:v>1</x:v>
      </x:c>
      <x:c r="AM316" s="32" t="n">
        <x:f>IF(AL316=1,U316,"")</x:f>
        <x:v>659000</x:v>
      </x:c>
      <x:c r="AN316" s="33" t="str">
        <x:f>IF(AL316=1,AF316,"")</x:f>
      </x:c>
      <x:c r="AO316" s="31" t="n">
        <x:f>'分析方法'!$B$6-J316</x:f>
        <x:v>5</x:v>
      </x:c>
      <x:c r="AP316" s="3"/>
    </x:row>
    <x:row r="317" ht="22" customHeight="1">
      <x:c r="A317" s="3" t="str">
        <x:v>T2907171</x:v>
      </x:c>
      <x:c r="B317" s="7" t="d">
        <x:v>2026-10-08T00:00:00.000Z</x:v>
      </x:c>
      <x:c r="C317" s="3" t="str">
        <x:v>Taladrod</x:v>
      </x:c>
      <x:c r="D317" s="3" t="str">
        <x:v>Toyota</x:v>
      </x:c>
      <x:c r="E317" s="3" t="str">
        <x:v>日本</x:v>
      </x:c>
      <x:c r="F317" s="3" t="str">
        <x:v>Corolla Cross</x:v>
      </x:c>
      <x:c r="G317" s="3" t="str">
        <x:v>HEV</x:v>
      </x:c>
      <x:c r="H317" s="3" t="str">
        <x:v>SUV</x:v>
      </x:c>
      <x:c r="I317" s="3" t="str"/>
      <x:c r="J317" s="3" t="n">
        <x:v>2021</x:v>
      </x:c>
      <x:c r="K317" s="3" t="str">
        <x:v>1.8 HYBRID PREMIUM SAFETY</x:v>
      </x:c>
      <x:c r="L317" s="3" t="str">
        <x:v>HEV PREMIUM SAFETY</x:v>
      </x:c>
      <x:c r="M317" s="22"/>
      <x:c r="N317" s="22"/>
      <x:c r="O317" s="22"/>
      <x:c r="P317" s="3" t="str">
        <x:v>未掲載</x:v>
      </x:c>
      <x:c r="Q317" s="3" t="str">
        <x:v>未取得</x:v>
      </x:c>
      <x:c r="R317" s="3" t="str">
        <x:v>Unknown</x:v>
      </x:c>
      <x:c r="S317" s="3" t="str">
        <x:v>不明</x:v>
      </x:c>
      <x:c r="T317" s="3" t="str">
        <x:v>20-ปัจจุบัน</x:v>
      </x:c>
      <x:c r="U317" s="28" t="n">
        <x:v>569000</x:v>
      </x:c>
      <x:c r="V317" s="28" t="n">
        <x:v>1199000</x:v>
      </x:c>
      <x:c r="W317" s="3" t="str">
        <x:v>事故・水没・SOH・保証残は未確認</x:v>
      </x:c>
      <x:c r="X317" s="3" t="str">
        <x:v>掲載中・在庫未確認</x:v>
      </x:c>
      <x:c r="Y317" s="3" t="str"/>
      <x:c r="Z317" s="27" t="str">
        <x:v>https://www.taladrod.com/w40/icar/cardet.aspx?cid=2907171</x:v>
      </x:c>
      <x:c r="AA317" s="3" t="str">
        <x:v>Taladrod個別広告ID／Carsome在庫ID</x:v>
      </x:c>
      <x:c r="AB317" s="3" t="str">
        <x:v>車台番号未取得／サイト間重複は未判定</x:v>
      </x:c>
      <x:c r="AC317" s="3" t="str">
        <x:v>税込区分未確認（一覧表示額）</x:v>
      </x:c>
      <x:c r="AD317" s="3" t="str"/>
      <x:c r="AE317" s="29" t="str">
        <x:f>""</x:f>
      </x:c>
      <x:c r="AF317" s="30" t="str">
        <x:f>IF(ISNUMBER(AE317),U317/AE317,"")</x:f>
      </x:c>
      <x:c r="AG317" s="29" t="n">
        <x:f>'新車価格・特価'!N55</x:f>
        <x:v>1204000</x:v>
      </x:c>
      <x:c r="AH317" s="30" t="n">
        <x:f>IF(ISNUMBER(AG317),U317/AG317,"")</x:f>
        <x:v>0.47259136212624586</x:v>
      </x:c>
      <x:c r="AI317" s="3" t="str">
        <x:v>同年式・グレードの検証済み当時価格なし／登録年混在</x:v>
      </x:c>
      <x:c r="AJ317" s="3" t="str">
        <x:v>一覧価格/年式のみ</x:v>
      </x:c>
      <x:c r="AK317" s="3" t="str">
        <x:v>一覧の表示価格。年式は掲載年式。</x:v>
      </x:c>
      <x:c r="AL317" s="31" t="n">
        <x:f>IF(AND(J317&lt;='分析方法'!$B$7,OR(ISBLANK(O317),O317&gt;='分析方法'!$B$8),X317&lt;&gt;"売却済み表示"),1,0)</x:f>
        <x:v>1</x:v>
      </x:c>
      <x:c r="AM317" s="32" t="n">
        <x:f>IF(AL317=1,U317,"")</x:f>
        <x:v>569000</x:v>
      </x:c>
      <x:c r="AN317" s="33" t="str">
        <x:f>IF(AL317=1,AF317,"")</x:f>
      </x:c>
      <x:c r="AO317" s="31" t="n">
        <x:f>'分析方法'!$B$6-J317</x:f>
        <x:v>5</x:v>
      </x:c>
      <x:c r="AP317" s="3"/>
    </x:row>
    <x:row r="318" ht="22" customHeight="1">
      <x:c r="A318" s="3" t="str">
        <x:v>T2911657</x:v>
      </x:c>
      <x:c r="B318" s="7" t="d">
        <x:v>2026-10-08T00:00:00.000Z</x:v>
      </x:c>
      <x:c r="C318" s="3" t="str">
        <x:v>Taladrod</x:v>
      </x:c>
      <x:c r="D318" s="3" t="str">
        <x:v>Toyota</x:v>
      </x:c>
      <x:c r="E318" s="3" t="str">
        <x:v>日本</x:v>
      </x:c>
      <x:c r="F318" s="3" t="str">
        <x:v>Corolla Cross</x:v>
      </x:c>
      <x:c r="G318" s="3" t="str">
        <x:v>HEV</x:v>
      </x:c>
      <x:c r="H318" s="3" t="str">
        <x:v>SUV</x:v>
      </x:c>
      <x:c r="I318" s="3" t="str"/>
      <x:c r="J318" s="3" t="n">
        <x:v>2021</x:v>
      </x:c>
      <x:c r="K318" s="3" t="str">
        <x:v>1.8 HYBRID PREMIUM SAFETY</x:v>
      </x:c>
      <x:c r="L318" s="3" t="str">
        <x:v>HEV PREMIUM SAFETY</x:v>
      </x:c>
      <x:c r="M318" s="22"/>
      <x:c r="N318" s="22"/>
      <x:c r="O318" s="22"/>
      <x:c r="P318" s="3" t="str">
        <x:v>未掲載</x:v>
      </x:c>
      <x:c r="Q318" s="3" t="str">
        <x:v>未取得</x:v>
      </x:c>
      <x:c r="R318" s="3" t="str">
        <x:v>Unknown</x:v>
      </x:c>
      <x:c r="S318" s="3" t="str">
        <x:v>不明</x:v>
      </x:c>
      <x:c r="T318" s="3" t="str">
        <x:v>20-ปัจจุบัน</x:v>
      </x:c>
      <x:c r="U318" s="28" t="n">
        <x:v>569000</x:v>
      </x:c>
      <x:c r="V318" s="28" t="n">
        <x:v>1199000</x:v>
      </x:c>
      <x:c r="W318" s="3" t="str">
        <x:v>事故・水没・SOH・保証残は未確認</x:v>
      </x:c>
      <x:c r="X318" s="3" t="str">
        <x:v>掲載中・在庫未確認</x:v>
      </x:c>
      <x:c r="Y318" s="3" t="str"/>
      <x:c r="Z318" s="27" t="str">
        <x:v>https://www.taladrod.com/w40/icar/cardet.aspx?cid=2911657</x:v>
      </x:c>
      <x:c r="AA318" s="3" t="str">
        <x:v>Taladrod個別広告ID／Carsome在庫ID</x:v>
      </x:c>
      <x:c r="AB318" s="3" t="str">
        <x:v>車台番号未取得／サイト間重複は未判定</x:v>
      </x:c>
      <x:c r="AC318" s="3" t="str">
        <x:v>税込区分未確認（一覧表示額）</x:v>
      </x:c>
      <x:c r="AD318" s="3" t="str"/>
      <x:c r="AE318" s="29" t="str">
        <x:f>""</x:f>
      </x:c>
      <x:c r="AF318" s="30" t="str">
        <x:f>IF(ISNUMBER(AE318),U318/AE318,"")</x:f>
      </x:c>
      <x:c r="AG318" s="29" t="n">
        <x:f>'新車価格・特価'!N55</x:f>
        <x:v>1204000</x:v>
      </x:c>
      <x:c r="AH318" s="30" t="n">
        <x:f>IF(ISNUMBER(AG318),U318/AG318,"")</x:f>
        <x:v>0.47259136212624586</x:v>
      </x:c>
      <x:c r="AI318" s="3" t="str">
        <x:v>同年式・グレードの検証済み当時価格なし／登録年混在</x:v>
      </x:c>
      <x:c r="AJ318" s="3" t="str">
        <x:v>一覧価格/年式のみ</x:v>
      </x:c>
      <x:c r="AK318" s="3" t="str">
        <x:v>一覧の表示価格。年式は掲載年式。</x:v>
      </x:c>
      <x:c r="AL318" s="31" t="n">
        <x:f>IF(AND(J318&lt;='分析方法'!$B$7,OR(ISBLANK(O318),O318&gt;='分析方法'!$B$8),X318&lt;&gt;"売却済み表示"),1,0)</x:f>
        <x:v>1</x:v>
      </x:c>
      <x:c r="AM318" s="32" t="n">
        <x:f>IF(AL318=1,U318,"")</x:f>
        <x:v>569000</x:v>
      </x:c>
      <x:c r="AN318" s="33" t="str">
        <x:f>IF(AL318=1,AF318,"")</x:f>
      </x:c>
      <x:c r="AO318" s="31" t="n">
        <x:f>'分析方法'!$B$6-J318</x:f>
        <x:v>5</x:v>
      </x:c>
      <x:c r="AP318" s="3"/>
    </x:row>
    <x:row r="319" ht="22" customHeight="1">
      <x:c r="A319" s="3" t="str">
        <x:v>T2912371</x:v>
      </x:c>
      <x:c r="B319" s="7" t="d">
        <x:v>2026-10-08T00:00:00.000Z</x:v>
      </x:c>
      <x:c r="C319" s="3" t="str">
        <x:v>Taladrod</x:v>
      </x:c>
      <x:c r="D319" s="3" t="str">
        <x:v>Toyota</x:v>
      </x:c>
      <x:c r="E319" s="3" t="str">
        <x:v>日本</x:v>
      </x:c>
      <x:c r="F319" s="3" t="str">
        <x:v>Corolla Cross</x:v>
      </x:c>
      <x:c r="G319" s="3" t="str">
        <x:v>HEV</x:v>
      </x:c>
      <x:c r="H319" s="3" t="str">
        <x:v>SUV</x:v>
      </x:c>
      <x:c r="I319" s="3" t="str"/>
      <x:c r="J319" s="3" t="n">
        <x:v>2021</x:v>
      </x:c>
      <x:c r="K319" s="3" t="str">
        <x:v>1.8 HYBRID PREMIUM SAFETY</x:v>
      </x:c>
      <x:c r="L319" s="3" t="str">
        <x:v>HEV PREMIUM SAFETY</x:v>
      </x:c>
      <x:c r="M319" s="22"/>
      <x:c r="N319" s="22"/>
      <x:c r="O319" s="22"/>
      <x:c r="P319" s="3" t="str">
        <x:v>未掲載</x:v>
      </x:c>
      <x:c r="Q319" s="3" t="str">
        <x:v>未取得</x:v>
      </x:c>
      <x:c r="R319" s="3" t="str">
        <x:v>Unknown</x:v>
      </x:c>
      <x:c r="S319" s="3" t="str">
        <x:v>不明</x:v>
      </x:c>
      <x:c r="T319" s="3" t="str">
        <x:v>20-ปัจจุบัน</x:v>
      </x:c>
      <x:c r="U319" s="28" t="n">
        <x:v>699000</x:v>
      </x:c>
      <x:c r="V319" s="28" t="n">
        <x:v>1199000</x:v>
      </x:c>
      <x:c r="W319" s="3" t="str">
        <x:v>事故・水没・SOH・保証残は未確認</x:v>
      </x:c>
      <x:c r="X319" s="3" t="str">
        <x:v>掲載中・在庫未確認</x:v>
      </x:c>
      <x:c r="Y319" s="3" t="str"/>
      <x:c r="Z319" s="27" t="str">
        <x:v>https://www.taladrod.com/w40/icar/cardet.aspx?cid=2912371</x:v>
      </x:c>
      <x:c r="AA319" s="3" t="str">
        <x:v>Taladrod個別広告ID／Carsome在庫ID</x:v>
      </x:c>
      <x:c r="AB319" s="3" t="str">
        <x:v>車台番号未取得／サイト間重複は未判定</x:v>
      </x:c>
      <x:c r="AC319" s="3" t="str">
        <x:v>税込区分未確認（一覧表示額）</x:v>
      </x:c>
      <x:c r="AD319" s="3" t="str"/>
      <x:c r="AE319" s="29" t="str">
        <x:f>""</x:f>
      </x:c>
      <x:c r="AF319" s="30" t="str">
        <x:f>IF(ISNUMBER(AE319),U319/AE319,"")</x:f>
      </x:c>
      <x:c r="AG319" s="29" t="n">
        <x:f>'新車価格・特価'!N55</x:f>
        <x:v>1204000</x:v>
      </x:c>
      <x:c r="AH319" s="30" t="n">
        <x:f>IF(ISNUMBER(AG319),U319/AG319,"")</x:f>
        <x:v>0.5805647840531561</x:v>
      </x:c>
      <x:c r="AI319" s="3" t="str">
        <x:v>同年式・グレードの検証済み当時価格なし／登録年混在</x:v>
      </x:c>
      <x:c r="AJ319" s="3" t="str">
        <x:v>一覧価格/年式のみ</x:v>
      </x:c>
      <x:c r="AK319" s="3" t="str">
        <x:v>一覧の表示価格。年式は掲載年式。</x:v>
      </x:c>
      <x:c r="AL319" s="31" t="n">
        <x:f>IF(AND(J319&lt;='分析方法'!$B$7,OR(ISBLANK(O319),O319&gt;='分析方法'!$B$8),X319&lt;&gt;"売却済み表示"),1,0)</x:f>
        <x:v>1</x:v>
      </x:c>
      <x:c r="AM319" s="32" t="n">
        <x:f>IF(AL319=1,U319,"")</x:f>
        <x:v>699000</x:v>
      </x:c>
      <x:c r="AN319" s="33" t="str">
        <x:f>IF(AL319=1,AF319,"")</x:f>
      </x:c>
      <x:c r="AO319" s="31" t="n">
        <x:f>'分析方法'!$B$6-J319</x:f>
        <x:v>5</x:v>
      </x:c>
      <x:c r="AP319" s="3"/>
    </x:row>
    <x:row r="320" ht="22" customHeight="1">
      <x:c r="A320" s="3" t="str">
        <x:v>T2915760</x:v>
      </x:c>
      <x:c r="B320" s="7" t="d">
        <x:v>2026-10-08T00:00:00.000Z</x:v>
      </x:c>
      <x:c r="C320" s="3" t="str">
        <x:v>Taladrod</x:v>
      </x:c>
      <x:c r="D320" s="3" t="str">
        <x:v>Toyota</x:v>
      </x:c>
      <x:c r="E320" s="3" t="str">
        <x:v>日本</x:v>
      </x:c>
      <x:c r="F320" s="3" t="str">
        <x:v>Corolla Cross</x:v>
      </x:c>
      <x:c r="G320" s="3" t="str">
        <x:v>HEV</x:v>
      </x:c>
      <x:c r="H320" s="3" t="str">
        <x:v>SUV</x:v>
      </x:c>
      <x:c r="I320" s="3" t="str"/>
      <x:c r="J320" s="3" t="n">
        <x:v>2021</x:v>
      </x:c>
      <x:c r="K320" s="3" t="str">
        <x:v>1.8 HYBRID PREMIUM SAFETY</x:v>
      </x:c>
      <x:c r="L320" s="3" t="str">
        <x:v>HEV PREMIUM SAFETY</x:v>
      </x:c>
      <x:c r="M320" s="22"/>
      <x:c r="N320" s="22"/>
      <x:c r="O320" s="22"/>
      <x:c r="P320" s="3" t="str">
        <x:v>未掲載</x:v>
      </x:c>
      <x:c r="Q320" s="3" t="str">
        <x:v>未取得</x:v>
      </x:c>
      <x:c r="R320" s="3" t="str">
        <x:v>Unknown</x:v>
      </x:c>
      <x:c r="S320" s="3" t="str">
        <x:v>不明</x:v>
      </x:c>
      <x:c r="T320" s="3" t="str">
        <x:v>20-ปัจจุบัน</x:v>
      </x:c>
      <x:c r="U320" s="28" t="n">
        <x:v>599000</x:v>
      </x:c>
      <x:c r="V320" s="28" t="n">
        <x:v>1199000</x:v>
      </x:c>
      <x:c r="W320" s="3" t="str">
        <x:v>事故・水没・SOH・保証残は未確認</x:v>
      </x:c>
      <x:c r="X320" s="3" t="str">
        <x:v>掲載中・在庫未確認</x:v>
      </x:c>
      <x:c r="Y320" s="3" t="str"/>
      <x:c r="Z320" s="27" t="str">
        <x:v>https://www.taladrod.com/w40/icar/cardet.aspx?cid=2915760</x:v>
      </x:c>
      <x:c r="AA320" s="3" t="str">
        <x:v>Taladrod個別広告ID／Carsome在庫ID</x:v>
      </x:c>
      <x:c r="AB320" s="3" t="str">
        <x:v>車台番号未取得／サイト間重複は未判定</x:v>
      </x:c>
      <x:c r="AC320" s="3" t="str">
        <x:v>税込区分未確認（一覧表示額）</x:v>
      </x:c>
      <x:c r="AD320" s="3" t="str"/>
      <x:c r="AE320" s="29" t="str">
        <x:f>""</x:f>
      </x:c>
      <x:c r="AF320" s="30" t="str">
        <x:f>IF(ISNUMBER(AE320),U320/AE320,"")</x:f>
      </x:c>
      <x:c r="AG320" s="29" t="n">
        <x:f>'新車価格・特価'!N55</x:f>
        <x:v>1204000</x:v>
      </x:c>
      <x:c r="AH320" s="30" t="n">
        <x:f>IF(ISNUMBER(AG320),U320/AG320,"")</x:f>
        <x:v>0.49750830564784054</x:v>
      </x:c>
      <x:c r="AI320" s="3" t="str">
        <x:v>同年式・グレードの検証済み当時価格なし／登録年混在</x:v>
      </x:c>
      <x:c r="AJ320" s="3" t="str">
        <x:v>一覧価格/年式のみ</x:v>
      </x:c>
      <x:c r="AK320" s="3" t="str">
        <x:v>一覧の表示価格。年式は掲載年式。</x:v>
      </x:c>
      <x:c r="AL320" s="31" t="n">
        <x:f>IF(AND(J320&lt;='分析方法'!$B$7,OR(ISBLANK(O320),O320&gt;='分析方法'!$B$8),X320&lt;&gt;"売却済み表示"),1,0)</x:f>
        <x:v>1</x:v>
      </x:c>
      <x:c r="AM320" s="32" t="n">
        <x:f>IF(AL320=1,U320,"")</x:f>
        <x:v>599000</x:v>
      </x:c>
      <x:c r="AN320" s="33" t="str">
        <x:f>IF(AL320=1,AF320,"")</x:f>
      </x:c>
      <x:c r="AO320" s="31" t="n">
        <x:f>'分析方法'!$B$6-J320</x:f>
        <x:v>5</x:v>
      </x:c>
      <x:c r="AP320" s="3"/>
    </x:row>
    <x:row r="321" ht="22" customHeight="1">
      <x:c r="A321" s="3" t="str">
        <x:v>T2915960</x:v>
      </x:c>
      <x:c r="B321" s="7" t="d">
        <x:v>2026-10-08T00:00:00.000Z</x:v>
      </x:c>
      <x:c r="C321" s="3" t="str">
        <x:v>Taladrod</x:v>
      </x:c>
      <x:c r="D321" s="3" t="str">
        <x:v>Toyota</x:v>
      </x:c>
      <x:c r="E321" s="3" t="str">
        <x:v>日本</x:v>
      </x:c>
      <x:c r="F321" s="3" t="str">
        <x:v>Corolla Cross</x:v>
      </x:c>
      <x:c r="G321" s="3" t="str">
        <x:v>HEV</x:v>
      </x:c>
      <x:c r="H321" s="3" t="str">
        <x:v>SUV</x:v>
      </x:c>
      <x:c r="I321" s="3" t="str"/>
      <x:c r="J321" s="3" t="n">
        <x:v>2021</x:v>
      </x:c>
      <x:c r="K321" s="3" t="str">
        <x:v>1.8 HYBRID PREMIUM SAFETY</x:v>
      </x:c>
      <x:c r="L321" s="3" t="str">
        <x:v>HEV PREMIUM SAFETY</x:v>
      </x:c>
      <x:c r="M321" s="22"/>
      <x:c r="N321" s="22"/>
      <x:c r="O321" s="22"/>
      <x:c r="P321" s="3" t="str">
        <x:v>未掲載</x:v>
      </x:c>
      <x:c r="Q321" s="3" t="str">
        <x:v>未取得</x:v>
      </x:c>
      <x:c r="R321" s="3" t="str">
        <x:v>Unknown</x:v>
      </x:c>
      <x:c r="S321" s="3" t="str">
        <x:v>不明</x:v>
      </x:c>
      <x:c r="T321" s="3" t="str">
        <x:v>20-ปัจจุบัน</x:v>
      </x:c>
      <x:c r="U321" s="28" t="n">
        <x:v>634000</x:v>
      </x:c>
      <x:c r="V321" s="28" t="n">
        <x:v>1199000</x:v>
      </x:c>
      <x:c r="W321" s="3" t="str">
        <x:v>事故・水没・SOH・保証残は未確認</x:v>
      </x:c>
      <x:c r="X321" s="3" t="str">
        <x:v>掲載中・在庫未確認</x:v>
      </x:c>
      <x:c r="Y321" s="3" t="str"/>
      <x:c r="Z321" s="27" t="str">
        <x:v>https://www.taladrod.com/w40/icar/cardet.aspx?cid=2915960</x:v>
      </x:c>
      <x:c r="AA321" s="3" t="str">
        <x:v>Taladrod個別広告ID／Carsome在庫ID</x:v>
      </x:c>
      <x:c r="AB321" s="3" t="str">
        <x:v>車台番号未取得／サイト間重複は未判定</x:v>
      </x:c>
      <x:c r="AC321" s="3" t="str">
        <x:v>税込区分未確認（一覧表示額）</x:v>
      </x:c>
      <x:c r="AD321" s="3" t="str"/>
      <x:c r="AE321" s="29" t="str">
        <x:f>""</x:f>
      </x:c>
      <x:c r="AF321" s="30" t="str">
        <x:f>IF(ISNUMBER(AE321),U321/AE321,"")</x:f>
      </x:c>
      <x:c r="AG321" s="29" t="n">
        <x:f>'新車価格・特価'!N55</x:f>
        <x:v>1204000</x:v>
      </x:c>
      <x:c r="AH321" s="30" t="n">
        <x:f>IF(ISNUMBER(AG321),U321/AG321,"")</x:f>
        <x:v>0.526578073089701</x:v>
      </x:c>
      <x:c r="AI321" s="3" t="str">
        <x:v>同年式・グレードの検証済み当時価格なし／登録年混在</x:v>
      </x:c>
      <x:c r="AJ321" s="3" t="str">
        <x:v>一覧価格/年式のみ</x:v>
      </x:c>
      <x:c r="AK321" s="3" t="str">
        <x:v>一覧の表示価格。年式は掲載年式。</x:v>
      </x:c>
      <x:c r="AL321" s="31" t="n">
        <x:f>IF(AND(J321&lt;='分析方法'!$B$7,OR(ISBLANK(O321),O321&gt;='分析方法'!$B$8),X321&lt;&gt;"売却済み表示"),1,0)</x:f>
        <x:v>1</x:v>
      </x:c>
      <x:c r="AM321" s="32" t="n">
        <x:f>IF(AL321=1,U321,"")</x:f>
        <x:v>634000</x:v>
      </x:c>
      <x:c r="AN321" s="33" t="str">
        <x:f>IF(AL321=1,AF321,"")</x:f>
      </x:c>
      <x:c r="AO321" s="31" t="n">
        <x:f>'分析方法'!$B$6-J321</x:f>
        <x:v>5</x:v>
      </x:c>
      <x:c r="AP321" s="3"/>
    </x:row>
    <x:row r="322" ht="22" customHeight="1">
      <x:c r="A322" s="3" t="str">
        <x:v>T2919246</x:v>
      </x:c>
      <x:c r="B322" s="7" t="d">
        <x:v>2026-10-08T00:00:00.000Z</x:v>
      </x:c>
      <x:c r="C322" s="3" t="str">
        <x:v>Taladrod</x:v>
      </x:c>
      <x:c r="D322" s="3" t="str">
        <x:v>Toyota</x:v>
      </x:c>
      <x:c r="E322" s="3" t="str">
        <x:v>日本</x:v>
      </x:c>
      <x:c r="F322" s="3" t="str">
        <x:v>Corolla Cross</x:v>
      </x:c>
      <x:c r="G322" s="3" t="str">
        <x:v>HEV</x:v>
      </x:c>
      <x:c r="H322" s="3" t="str">
        <x:v>SUV</x:v>
      </x:c>
      <x:c r="I322" s="3" t="str"/>
      <x:c r="J322" s="3" t="n">
        <x:v>2021</x:v>
      </x:c>
      <x:c r="K322" s="3" t="str">
        <x:v>1.8 HYBRID PREMIUM SAFETY</x:v>
      </x:c>
      <x:c r="L322" s="3" t="str">
        <x:v>HEV PREMIUM SAFETY</x:v>
      </x:c>
      <x:c r="M322" s="22"/>
      <x:c r="N322" s="22"/>
      <x:c r="O322" s="22"/>
      <x:c r="P322" s="3" t="str">
        <x:v>未掲載</x:v>
      </x:c>
      <x:c r="Q322" s="3" t="str">
        <x:v>未取得</x:v>
      </x:c>
      <x:c r="R322" s="3" t="str">
        <x:v>Unknown</x:v>
      </x:c>
      <x:c r="S322" s="3" t="str">
        <x:v>不明</x:v>
      </x:c>
      <x:c r="T322" s="3" t="str">
        <x:v>20-ปัจจุบัน</x:v>
      </x:c>
      <x:c r="U322" s="28" t="n">
        <x:v>669000</x:v>
      </x:c>
      <x:c r="V322" s="28" t="n">
        <x:v>1199000</x:v>
      </x:c>
      <x:c r="W322" s="3" t="str">
        <x:v>事故・水没・SOH・保証残は未確認</x:v>
      </x:c>
      <x:c r="X322" s="3" t="str">
        <x:v>掲載中・在庫未確認</x:v>
      </x:c>
      <x:c r="Y322" s="3" t="str"/>
      <x:c r="Z322" s="27" t="str">
        <x:v>https://www.taladrod.com/w40/icar/cardet.aspx?cid=2919246</x:v>
      </x:c>
      <x:c r="AA322" s="3" t="str">
        <x:v>Taladrod個別広告ID／Carsome在庫ID</x:v>
      </x:c>
      <x:c r="AB322" s="3" t="str">
        <x:v>車台番号未取得／サイト間重複は未判定</x:v>
      </x:c>
      <x:c r="AC322" s="3" t="str">
        <x:v>税込区分未確認（一覧表示額）</x:v>
      </x:c>
      <x:c r="AD322" s="3" t="str"/>
      <x:c r="AE322" s="29" t="str">
        <x:f>""</x:f>
      </x:c>
      <x:c r="AF322" s="30" t="str">
        <x:f>IF(ISNUMBER(AE322),U322/AE322,"")</x:f>
      </x:c>
      <x:c r="AG322" s="29" t="n">
        <x:f>'新車価格・特価'!N55</x:f>
        <x:v>1204000</x:v>
      </x:c>
      <x:c r="AH322" s="30" t="n">
        <x:f>IF(ISNUMBER(AG322),U322/AG322,"")</x:f>
        <x:v>0.5556478405315615</x:v>
      </x:c>
      <x:c r="AI322" s="3" t="str">
        <x:v>同年式・グレードの検証済み当時価格なし／登録年混在</x:v>
      </x:c>
      <x:c r="AJ322" s="3" t="str">
        <x:v>一覧価格/年式のみ</x:v>
      </x:c>
      <x:c r="AK322" s="3" t="str">
        <x:v>一覧の表示価格。年式は掲載年式。</x:v>
      </x:c>
      <x:c r="AL322" s="31" t="n">
        <x:f>IF(AND(J322&lt;='分析方法'!$B$7,OR(ISBLANK(O322),O322&gt;='分析方法'!$B$8),X322&lt;&gt;"売却済み表示"),1,0)</x:f>
        <x:v>1</x:v>
      </x:c>
      <x:c r="AM322" s="32" t="n">
        <x:f>IF(AL322=1,U322,"")</x:f>
        <x:v>669000</x:v>
      </x:c>
      <x:c r="AN322" s="33" t="str">
        <x:f>IF(AL322=1,AF322,"")</x:f>
      </x:c>
      <x:c r="AO322" s="31" t="n">
        <x:f>'分析方法'!$B$6-J322</x:f>
        <x:v>5</x:v>
      </x:c>
      <x:c r="AP322" s="3"/>
    </x:row>
    <x:row r="323" ht="22" customHeight="1">
      <x:c r="A323" s="3" t="str">
        <x:v>T2920182</x:v>
      </x:c>
      <x:c r="B323" s="7" t="d">
        <x:v>2026-10-08T00:00:00.000Z</x:v>
      </x:c>
      <x:c r="C323" s="3" t="str">
        <x:v>Taladrod</x:v>
      </x:c>
      <x:c r="D323" s="3" t="str">
        <x:v>Toyota</x:v>
      </x:c>
      <x:c r="E323" s="3" t="str">
        <x:v>日本</x:v>
      </x:c>
      <x:c r="F323" s="3" t="str">
        <x:v>Corolla Cross</x:v>
      </x:c>
      <x:c r="G323" s="3" t="str">
        <x:v>HEV</x:v>
      </x:c>
      <x:c r="H323" s="3" t="str">
        <x:v>SUV</x:v>
      </x:c>
      <x:c r="I323" s="3" t="str"/>
      <x:c r="J323" s="3" t="n">
        <x:v>2021</x:v>
      </x:c>
      <x:c r="K323" s="3" t="str">
        <x:v>1.8 HYBRID PREMIUM SAFETY</x:v>
      </x:c>
      <x:c r="L323" s="3" t="str">
        <x:v>HEV PREMIUM SAFETY</x:v>
      </x:c>
      <x:c r="M323" s="22"/>
      <x:c r="N323" s="22"/>
      <x:c r="O323" s="22"/>
      <x:c r="P323" s="3" t="str">
        <x:v>未掲載</x:v>
      </x:c>
      <x:c r="Q323" s="3" t="str">
        <x:v>未取得</x:v>
      </x:c>
      <x:c r="R323" s="3" t="str">
        <x:v>Unknown</x:v>
      </x:c>
      <x:c r="S323" s="3" t="str">
        <x:v>不明</x:v>
      </x:c>
      <x:c r="T323" s="3" t="str">
        <x:v>20-ปัจจุบัน</x:v>
      </x:c>
      <x:c r="U323" s="28" t="n">
        <x:v>695000</x:v>
      </x:c>
      <x:c r="V323" s="28" t="n">
        <x:v>1199000</x:v>
      </x:c>
      <x:c r="W323" s="3" t="str">
        <x:v>事故・水没・SOH・保証残は未確認</x:v>
      </x:c>
      <x:c r="X323" s="3" t="str">
        <x:v>掲載中・在庫未確認</x:v>
      </x:c>
      <x:c r="Y323" s="3" t="str"/>
      <x:c r="Z323" s="27" t="str">
        <x:v>https://www.taladrod.com/w40/icar/cardet.aspx?cid=2920182</x:v>
      </x:c>
      <x:c r="AA323" s="3" t="str">
        <x:v>Taladrod個別広告ID／Carsome在庫ID</x:v>
      </x:c>
      <x:c r="AB323" s="3" t="str">
        <x:v>車台番号未取得／サイト間重複は未判定</x:v>
      </x:c>
      <x:c r="AC323" s="3" t="str">
        <x:v>税込区分未確認（一覧表示額）</x:v>
      </x:c>
      <x:c r="AD323" s="3" t="str"/>
      <x:c r="AE323" s="29" t="str">
        <x:f>""</x:f>
      </x:c>
      <x:c r="AF323" s="30" t="str">
        <x:f>IF(ISNUMBER(AE323),U323/AE323,"")</x:f>
      </x:c>
      <x:c r="AG323" s="29" t="n">
        <x:f>'新車価格・特価'!N55</x:f>
        <x:v>1204000</x:v>
      </x:c>
      <x:c r="AH323" s="30" t="n">
        <x:f>IF(ISNUMBER(AG323),U323/AG323,"")</x:f>
        <x:v>0.5772425249169435</x:v>
      </x:c>
      <x:c r="AI323" s="3" t="str">
        <x:v>同年式・グレードの検証済み当時価格なし／登録年混在</x:v>
      </x:c>
      <x:c r="AJ323" s="3" t="str">
        <x:v>一覧価格/年式のみ</x:v>
      </x:c>
      <x:c r="AK323" s="3" t="str">
        <x:v>一覧の表示価格。年式は掲載年式。</x:v>
      </x:c>
      <x:c r="AL323" s="31" t="n">
        <x:f>IF(AND(J323&lt;='分析方法'!$B$7,OR(ISBLANK(O323),O323&gt;='分析方法'!$B$8),X323&lt;&gt;"売却済み表示"),1,0)</x:f>
        <x:v>1</x:v>
      </x:c>
      <x:c r="AM323" s="32" t="n">
        <x:f>IF(AL323=1,U323,"")</x:f>
        <x:v>695000</x:v>
      </x:c>
      <x:c r="AN323" s="33" t="str">
        <x:f>IF(AL323=1,AF323,"")</x:f>
      </x:c>
      <x:c r="AO323" s="31" t="n">
        <x:f>'分析方法'!$B$6-J323</x:f>
        <x:v>5</x:v>
      </x:c>
      <x:c r="AP323" s="3"/>
    </x:row>
    <x:row r="324" ht="22" customHeight="1">
      <x:c r="A324" s="3" t="str">
        <x:v>T2920270</x:v>
      </x:c>
      <x:c r="B324" s="7" t="d">
        <x:v>2026-10-08T00:00:00.000Z</x:v>
      </x:c>
      <x:c r="C324" s="3" t="str">
        <x:v>Taladrod</x:v>
      </x:c>
      <x:c r="D324" s="3" t="str">
        <x:v>Toyota</x:v>
      </x:c>
      <x:c r="E324" s="3" t="str">
        <x:v>日本</x:v>
      </x:c>
      <x:c r="F324" s="3" t="str">
        <x:v>Corolla Cross</x:v>
      </x:c>
      <x:c r="G324" s="3" t="str">
        <x:v>HEV</x:v>
      </x:c>
      <x:c r="H324" s="3" t="str">
        <x:v>SUV</x:v>
      </x:c>
      <x:c r="I324" s="3" t="str"/>
      <x:c r="J324" s="3" t="n">
        <x:v>2021</x:v>
      </x:c>
      <x:c r="K324" s="3" t="str">
        <x:v>1.8 HYBRID PREMIUM SAFETY</x:v>
      </x:c>
      <x:c r="L324" s="3" t="str">
        <x:v>HEV PREMIUM SAFETY</x:v>
      </x:c>
      <x:c r="M324" s="22"/>
      <x:c r="N324" s="22"/>
      <x:c r="O324" s="22"/>
      <x:c r="P324" s="3" t="str">
        <x:v>未掲載</x:v>
      </x:c>
      <x:c r="Q324" s="3" t="str">
        <x:v>未取得</x:v>
      </x:c>
      <x:c r="R324" s="3" t="str">
        <x:v>Unknown</x:v>
      </x:c>
      <x:c r="S324" s="3" t="str">
        <x:v>不明</x:v>
      </x:c>
      <x:c r="T324" s="3" t="str">
        <x:v>20-ปัจจุบัน</x:v>
      </x:c>
      <x:c r="U324" s="28" t="n">
        <x:v>699000</x:v>
      </x:c>
      <x:c r="V324" s="28" t="n">
        <x:v>1199000</x:v>
      </x:c>
      <x:c r="W324" s="3" t="str">
        <x:v>事故・水没・SOH・保証残は未確認</x:v>
      </x:c>
      <x:c r="X324" s="3" t="str">
        <x:v>掲載中・在庫未確認</x:v>
      </x:c>
      <x:c r="Y324" s="3" t="str"/>
      <x:c r="Z324" s="27" t="str">
        <x:v>https://www.taladrod.com/w40/icar/cardet.aspx?cid=2920270</x:v>
      </x:c>
      <x:c r="AA324" s="3" t="str">
        <x:v>Taladrod個別広告ID／Carsome在庫ID</x:v>
      </x:c>
      <x:c r="AB324" s="3" t="str">
        <x:v>車台番号未取得／サイト間重複は未判定</x:v>
      </x:c>
      <x:c r="AC324" s="3" t="str">
        <x:v>税込区分未確認（一覧表示額）</x:v>
      </x:c>
      <x:c r="AD324" s="3" t="str"/>
      <x:c r="AE324" s="29" t="str">
        <x:f>""</x:f>
      </x:c>
      <x:c r="AF324" s="30" t="str">
        <x:f>IF(ISNUMBER(AE324),U324/AE324,"")</x:f>
      </x:c>
      <x:c r="AG324" s="29" t="n">
        <x:f>'新車価格・特価'!N55</x:f>
        <x:v>1204000</x:v>
      </x:c>
      <x:c r="AH324" s="30" t="n">
        <x:f>IF(ISNUMBER(AG324),U324/AG324,"")</x:f>
        <x:v>0.5805647840531561</x:v>
      </x:c>
      <x:c r="AI324" s="3" t="str">
        <x:v>同年式・グレードの検証済み当時価格なし／登録年混在</x:v>
      </x:c>
      <x:c r="AJ324" s="3" t="str">
        <x:v>一覧価格/年式のみ</x:v>
      </x:c>
      <x:c r="AK324" s="3" t="str">
        <x:v>一覧の表示価格。年式は掲載年式。</x:v>
      </x:c>
      <x:c r="AL324" s="31" t="n">
        <x:f>IF(AND(J324&lt;='分析方法'!$B$7,OR(ISBLANK(O324),O324&gt;='分析方法'!$B$8),X324&lt;&gt;"売却済み表示"),1,0)</x:f>
        <x:v>1</x:v>
      </x:c>
      <x:c r="AM324" s="32" t="n">
        <x:f>IF(AL324=1,U324,"")</x:f>
        <x:v>699000</x:v>
      </x:c>
      <x:c r="AN324" s="33" t="str">
        <x:f>IF(AL324=1,AF324,"")</x:f>
      </x:c>
      <x:c r="AO324" s="31" t="n">
        <x:f>'分析方法'!$B$6-J324</x:f>
        <x:v>5</x:v>
      </x:c>
      <x:c r="AP324" s="3"/>
    </x:row>
    <x:row r="325" ht="22" customHeight="1">
      <x:c r="A325" s="3" t="str">
        <x:v>T2921935</x:v>
      </x:c>
      <x:c r="B325" s="7" t="d">
        <x:v>2026-10-08T00:00:00.000Z</x:v>
      </x:c>
      <x:c r="C325" s="3" t="str">
        <x:v>Taladrod</x:v>
      </x:c>
      <x:c r="D325" s="3" t="str">
        <x:v>Toyota</x:v>
      </x:c>
      <x:c r="E325" s="3" t="str">
        <x:v>日本</x:v>
      </x:c>
      <x:c r="F325" s="3" t="str">
        <x:v>Corolla Cross</x:v>
      </x:c>
      <x:c r="G325" s="3" t="str">
        <x:v>HEV</x:v>
      </x:c>
      <x:c r="H325" s="3" t="str">
        <x:v>SUV</x:v>
      </x:c>
      <x:c r="I325" s="3" t="str"/>
      <x:c r="J325" s="3" t="n">
        <x:v>2021</x:v>
      </x:c>
      <x:c r="K325" s="3" t="str">
        <x:v>1.8 HYBRID PREMIUM SAFETY</x:v>
      </x:c>
      <x:c r="L325" s="3" t="str">
        <x:v>HEV PREMIUM SAFETY</x:v>
      </x:c>
      <x:c r="M325" s="22"/>
      <x:c r="N325" s="22"/>
      <x:c r="O325" s="22"/>
      <x:c r="P325" s="3" t="str">
        <x:v>未掲載</x:v>
      </x:c>
      <x:c r="Q325" s="3" t="str">
        <x:v>未取得</x:v>
      </x:c>
      <x:c r="R325" s="3" t="str">
        <x:v>Unknown</x:v>
      </x:c>
      <x:c r="S325" s="3" t="str">
        <x:v>不明</x:v>
      </x:c>
      <x:c r="T325" s="3" t="str">
        <x:v>20-ปัจจุบัน</x:v>
      </x:c>
      <x:c r="U325" s="28" t="n">
        <x:v>636000</x:v>
      </x:c>
      <x:c r="V325" s="28" t="n">
        <x:v>1199000</x:v>
      </x:c>
      <x:c r="W325" s="3" t="str">
        <x:v>事故・水没・SOH・保証残は未確認</x:v>
      </x:c>
      <x:c r="X325" s="3" t="str">
        <x:v>掲載中・在庫未確認</x:v>
      </x:c>
      <x:c r="Y325" s="3" t="str"/>
      <x:c r="Z325" s="27" t="str">
        <x:v>https://www.taladrod.com/w40/icar/cardet.aspx?cid=2921935</x:v>
      </x:c>
      <x:c r="AA325" s="3" t="str">
        <x:v>Taladrod個別広告ID／Carsome在庫ID</x:v>
      </x:c>
      <x:c r="AB325" s="3" t="str">
        <x:v>車台番号未取得／サイト間重複は未判定</x:v>
      </x:c>
      <x:c r="AC325" s="3" t="str">
        <x:v>税込区分未確認（一覧表示額）</x:v>
      </x:c>
      <x:c r="AD325" s="3" t="str"/>
      <x:c r="AE325" s="29" t="str">
        <x:f>""</x:f>
      </x:c>
      <x:c r="AF325" s="30" t="str">
        <x:f>IF(ISNUMBER(AE325),U325/AE325,"")</x:f>
      </x:c>
      <x:c r="AG325" s="29" t="n">
        <x:f>'新車価格・特価'!N55</x:f>
        <x:v>1204000</x:v>
      </x:c>
      <x:c r="AH325" s="30" t="n">
        <x:f>IF(ISNUMBER(AG325),U325/AG325,"")</x:f>
        <x:v>0.5282392026578073</x:v>
      </x:c>
      <x:c r="AI325" s="3" t="str">
        <x:v>同年式・グレードの検証済み当時価格なし／登録年混在</x:v>
      </x:c>
      <x:c r="AJ325" s="3" t="str">
        <x:v>一覧価格/年式のみ</x:v>
      </x:c>
      <x:c r="AK325" s="3" t="str">
        <x:v>一覧の表示価格。年式は掲載年式。</x:v>
      </x:c>
      <x:c r="AL325" s="31" t="n">
        <x:f>IF(AND(J325&lt;='分析方法'!$B$7,OR(ISBLANK(O325),O325&gt;='分析方法'!$B$8),X325&lt;&gt;"売却済み表示"),1,0)</x:f>
        <x:v>1</x:v>
      </x:c>
      <x:c r="AM325" s="32" t="n">
        <x:f>IF(AL325=1,U325,"")</x:f>
        <x:v>636000</x:v>
      </x:c>
      <x:c r="AN325" s="33" t="str">
        <x:f>IF(AL325=1,AF325,"")</x:f>
      </x:c>
      <x:c r="AO325" s="31" t="n">
        <x:f>'分析方法'!$B$6-J325</x:f>
        <x:v>5</x:v>
      </x:c>
      <x:c r="AP325" s="3"/>
    </x:row>
    <x:row r="326" ht="22" customHeight="1">
      <x:c r="A326" s="3" t="str">
        <x:v>T2922346</x:v>
      </x:c>
      <x:c r="B326" s="7" t="d">
        <x:v>2026-10-08T00:00:00.000Z</x:v>
      </x:c>
      <x:c r="C326" s="3" t="str">
        <x:v>Taladrod</x:v>
      </x:c>
      <x:c r="D326" s="3" t="str">
        <x:v>Toyota</x:v>
      </x:c>
      <x:c r="E326" s="3" t="str">
        <x:v>日本</x:v>
      </x:c>
      <x:c r="F326" s="3" t="str">
        <x:v>Corolla Cross</x:v>
      </x:c>
      <x:c r="G326" s="3" t="str">
        <x:v>HEV</x:v>
      </x:c>
      <x:c r="H326" s="3" t="str">
        <x:v>SUV</x:v>
      </x:c>
      <x:c r="I326" s="3" t="str"/>
      <x:c r="J326" s="3" t="n">
        <x:v>2021</x:v>
      </x:c>
      <x:c r="K326" s="3" t="str">
        <x:v>1.8 HYBRID PREMIUM SAFETY</x:v>
      </x:c>
      <x:c r="L326" s="3" t="str">
        <x:v>HEV PREMIUM SAFETY</x:v>
      </x:c>
      <x:c r="M326" s="22"/>
      <x:c r="N326" s="22"/>
      <x:c r="O326" s="22"/>
      <x:c r="P326" s="3" t="str">
        <x:v>未掲載</x:v>
      </x:c>
      <x:c r="Q326" s="3" t="str">
        <x:v>未取得</x:v>
      </x:c>
      <x:c r="R326" s="3" t="str">
        <x:v>Unknown</x:v>
      </x:c>
      <x:c r="S326" s="3" t="str">
        <x:v>不明</x:v>
      </x:c>
      <x:c r="T326" s="3" t="str">
        <x:v>20-ปัจจุบัน</x:v>
      </x:c>
      <x:c r="U326" s="28" t="n">
        <x:v>579000</x:v>
      </x:c>
      <x:c r="V326" s="28" t="n">
        <x:v>1199000</x:v>
      </x:c>
      <x:c r="W326" s="3" t="str">
        <x:v>事故・水没・SOH・保証残は未確認</x:v>
      </x:c>
      <x:c r="X326" s="3" t="str">
        <x:v>掲載中・在庫未確認</x:v>
      </x:c>
      <x:c r="Y326" s="3" t="str"/>
      <x:c r="Z326" s="27" t="str">
        <x:v>https://www.taladrod.com/w40/icar/cardet.aspx?cid=2922346</x:v>
      </x:c>
      <x:c r="AA326" s="3" t="str">
        <x:v>Taladrod個別広告ID／Carsome在庫ID</x:v>
      </x:c>
      <x:c r="AB326" s="3" t="str">
        <x:v>車台番号未取得／サイト間重複は未判定</x:v>
      </x:c>
      <x:c r="AC326" s="3" t="str">
        <x:v>税込区分未確認（一覧表示額）</x:v>
      </x:c>
      <x:c r="AD326" s="3" t="str"/>
      <x:c r="AE326" s="29" t="str">
        <x:f>""</x:f>
      </x:c>
      <x:c r="AF326" s="30" t="str">
        <x:f>IF(ISNUMBER(AE326),U326/AE326,"")</x:f>
      </x:c>
      <x:c r="AG326" s="29" t="n">
        <x:f>'新車価格・特価'!N55</x:f>
        <x:v>1204000</x:v>
      </x:c>
      <x:c r="AH326" s="30" t="n">
        <x:f>IF(ISNUMBER(AG326),U326/AG326,"")</x:f>
        <x:v>0.4808970099667774</x:v>
      </x:c>
      <x:c r="AI326" s="3" t="str">
        <x:v>同年式・グレードの検証済み当時価格なし／登録年混在</x:v>
      </x:c>
      <x:c r="AJ326" s="3" t="str">
        <x:v>一覧価格/年式のみ</x:v>
      </x:c>
      <x:c r="AK326" s="3" t="str">
        <x:v>一覧の表示価格。年式は掲載年式。</x:v>
      </x:c>
      <x:c r="AL326" s="31" t="n">
        <x:f>IF(AND(J326&lt;='分析方法'!$B$7,OR(ISBLANK(O326),O326&gt;='分析方法'!$B$8),X326&lt;&gt;"売却済み表示"),1,0)</x:f>
        <x:v>1</x:v>
      </x:c>
      <x:c r="AM326" s="32" t="n">
        <x:f>IF(AL326=1,U326,"")</x:f>
        <x:v>579000</x:v>
      </x:c>
      <x:c r="AN326" s="33" t="str">
        <x:f>IF(AL326=1,AF326,"")</x:f>
      </x:c>
      <x:c r="AO326" s="31" t="n">
        <x:f>'分析方法'!$B$6-J326</x:f>
        <x:v>5</x:v>
      </x:c>
      <x:c r="AP326" s="3"/>
    </x:row>
    <x:row r="327" ht="22" customHeight="1">
      <x:c r="A327" s="3" t="str">
        <x:v>T2922656</x:v>
      </x:c>
      <x:c r="B327" s="7" t="d">
        <x:v>2026-10-08T00:00:00.000Z</x:v>
      </x:c>
      <x:c r="C327" s="3" t="str">
        <x:v>Taladrod</x:v>
      </x:c>
      <x:c r="D327" s="3" t="str">
        <x:v>Toyota</x:v>
      </x:c>
      <x:c r="E327" s="3" t="str">
        <x:v>日本</x:v>
      </x:c>
      <x:c r="F327" s="3" t="str">
        <x:v>Corolla Cross</x:v>
      </x:c>
      <x:c r="G327" s="3" t="str">
        <x:v>HEV</x:v>
      </x:c>
      <x:c r="H327" s="3" t="str">
        <x:v>SUV</x:v>
      </x:c>
      <x:c r="I327" s="3" t="str"/>
      <x:c r="J327" s="3" t="n">
        <x:v>2021</x:v>
      </x:c>
      <x:c r="K327" s="3" t="str">
        <x:v>1.8 HYBRID PREMIUM SAFETY</x:v>
      </x:c>
      <x:c r="L327" s="3" t="str">
        <x:v>HEV PREMIUM SAFETY</x:v>
      </x:c>
      <x:c r="M327" s="22"/>
      <x:c r="N327" s="22"/>
      <x:c r="O327" s="22"/>
      <x:c r="P327" s="3" t="str">
        <x:v>未掲載</x:v>
      </x:c>
      <x:c r="Q327" s="3" t="str">
        <x:v>未取得</x:v>
      </x:c>
      <x:c r="R327" s="3" t="str">
        <x:v>Unknown</x:v>
      </x:c>
      <x:c r="S327" s="3" t="str">
        <x:v>不明</x:v>
      </x:c>
      <x:c r="T327" s="3" t="str">
        <x:v>20-ปัจจุบัน</x:v>
      </x:c>
      <x:c r="U327" s="28" t="n">
        <x:v>689000</x:v>
      </x:c>
      <x:c r="V327" s="28" t="n">
        <x:v>1199000</x:v>
      </x:c>
      <x:c r="W327" s="3" t="str">
        <x:v>事故・水没・SOH・保証残は未確認</x:v>
      </x:c>
      <x:c r="X327" s="3" t="str">
        <x:v>掲載中・在庫未確認</x:v>
      </x:c>
      <x:c r="Y327" s="3" t="str"/>
      <x:c r="Z327" s="27" t="str">
        <x:v>https://www.taladrod.com/w40/icar/cardet.aspx?cid=2922656</x:v>
      </x:c>
      <x:c r="AA327" s="3" t="str">
        <x:v>Taladrod個別広告ID／Carsome在庫ID</x:v>
      </x:c>
      <x:c r="AB327" s="3" t="str">
        <x:v>車台番号未取得／サイト間重複は未判定</x:v>
      </x:c>
      <x:c r="AC327" s="3" t="str">
        <x:v>税込区分未確認（一覧表示額）</x:v>
      </x:c>
      <x:c r="AD327" s="3" t="str"/>
      <x:c r="AE327" s="29" t="str">
        <x:f>""</x:f>
      </x:c>
      <x:c r="AF327" s="30" t="str">
        <x:f>IF(ISNUMBER(AE327),U327/AE327,"")</x:f>
      </x:c>
      <x:c r="AG327" s="29" t="n">
        <x:f>'新車価格・特価'!N55</x:f>
        <x:v>1204000</x:v>
      </x:c>
      <x:c r="AH327" s="30" t="n">
        <x:f>IF(ISNUMBER(AG327),U327/AG327,"")</x:f>
        <x:v>0.5722591362126246</x:v>
      </x:c>
      <x:c r="AI327" s="3" t="str">
        <x:v>同年式・グレードの検証済み当時価格なし／登録年混在</x:v>
      </x:c>
      <x:c r="AJ327" s="3" t="str">
        <x:v>一覧価格/年式のみ</x:v>
      </x:c>
      <x:c r="AK327" s="3" t="str">
        <x:v>一覧の表示価格。年式は掲載年式。</x:v>
      </x:c>
      <x:c r="AL327" s="31" t="n">
        <x:f>IF(AND(J327&lt;='分析方法'!$B$7,OR(ISBLANK(O327),O327&gt;='分析方法'!$B$8),X327&lt;&gt;"売却済み表示"),1,0)</x:f>
        <x:v>1</x:v>
      </x:c>
      <x:c r="AM327" s="32" t="n">
        <x:f>IF(AL327=1,U327,"")</x:f>
        <x:v>689000</x:v>
      </x:c>
      <x:c r="AN327" s="33" t="str">
        <x:f>IF(AL327=1,AF327,"")</x:f>
      </x:c>
      <x:c r="AO327" s="31" t="n">
        <x:f>'分析方法'!$B$6-J327</x:f>
        <x:v>5</x:v>
      </x:c>
      <x:c r="AP327" s="3"/>
    </x:row>
    <x:row r="328" ht="22" customHeight="1">
      <x:c r="A328" s="3" t="str">
        <x:v>T2924582</x:v>
      </x:c>
      <x:c r="B328" s="7" t="d">
        <x:v>2026-10-08T00:00:00.000Z</x:v>
      </x:c>
      <x:c r="C328" s="3" t="str">
        <x:v>Taladrod</x:v>
      </x:c>
      <x:c r="D328" s="3" t="str">
        <x:v>Toyota</x:v>
      </x:c>
      <x:c r="E328" s="3" t="str">
        <x:v>日本</x:v>
      </x:c>
      <x:c r="F328" s="3" t="str">
        <x:v>Corolla Cross</x:v>
      </x:c>
      <x:c r="G328" s="3" t="str">
        <x:v>HEV</x:v>
      </x:c>
      <x:c r="H328" s="3" t="str">
        <x:v>SUV</x:v>
      </x:c>
      <x:c r="I328" s="3" t="str"/>
      <x:c r="J328" s="3" t="n">
        <x:v>2021</x:v>
      </x:c>
      <x:c r="K328" s="3" t="str">
        <x:v>1.8 HYBRID PREMIUM SAFETY</x:v>
      </x:c>
      <x:c r="L328" s="3" t="str">
        <x:v>HEV PREMIUM SAFETY</x:v>
      </x:c>
      <x:c r="M328" s="22"/>
      <x:c r="N328" s="22"/>
      <x:c r="O328" s="22"/>
      <x:c r="P328" s="3" t="str">
        <x:v>未掲載</x:v>
      </x:c>
      <x:c r="Q328" s="3" t="str">
        <x:v>未取得</x:v>
      </x:c>
      <x:c r="R328" s="3" t="str">
        <x:v>Unknown</x:v>
      </x:c>
      <x:c r="S328" s="3" t="str">
        <x:v>不明</x:v>
      </x:c>
      <x:c r="T328" s="3" t="str">
        <x:v>20-ปัจจุบัน</x:v>
      </x:c>
      <x:c r="U328" s="28" t="n">
        <x:v>698000</x:v>
      </x:c>
      <x:c r="V328" s="28" t="n">
        <x:v>1199000</x:v>
      </x:c>
      <x:c r="W328" s="3" t="str">
        <x:v>事故・水没・SOH・保証残は未確認</x:v>
      </x:c>
      <x:c r="X328" s="3" t="str">
        <x:v>掲載中・在庫未確認</x:v>
      </x:c>
      <x:c r="Y328" s="3" t="str"/>
      <x:c r="Z328" s="27" t="str">
        <x:v>https://www.taladrod.com/w40/icar/cardet.aspx?cid=2924582</x:v>
      </x:c>
      <x:c r="AA328" s="3" t="str">
        <x:v>Taladrod個別広告ID／Carsome在庫ID</x:v>
      </x:c>
      <x:c r="AB328" s="3" t="str">
        <x:v>車台番号未取得／サイト間重複は未判定</x:v>
      </x:c>
      <x:c r="AC328" s="3" t="str">
        <x:v>税込区分未確認（一覧表示額）</x:v>
      </x:c>
      <x:c r="AD328" s="3" t="str"/>
      <x:c r="AE328" s="29" t="str">
        <x:f>""</x:f>
      </x:c>
      <x:c r="AF328" s="30" t="str">
        <x:f>IF(ISNUMBER(AE328),U328/AE328,"")</x:f>
      </x:c>
      <x:c r="AG328" s="29" t="n">
        <x:f>'新車価格・特価'!N55</x:f>
        <x:v>1204000</x:v>
      </x:c>
      <x:c r="AH328" s="30" t="n">
        <x:f>IF(ISNUMBER(AG328),U328/AG328,"")</x:f>
        <x:v>0.579734219269103</x:v>
      </x:c>
      <x:c r="AI328" s="3" t="str">
        <x:v>同年式・グレードの検証済み当時価格なし／登録年混在</x:v>
      </x:c>
      <x:c r="AJ328" s="3" t="str">
        <x:v>一覧価格/年式のみ</x:v>
      </x:c>
      <x:c r="AK328" s="3" t="str">
        <x:v>一覧の表示価格。年式は掲載年式。</x:v>
      </x:c>
      <x:c r="AL328" s="31" t="n">
        <x:f>IF(AND(J328&lt;='分析方法'!$B$7,OR(ISBLANK(O328),O328&gt;='分析方法'!$B$8),X328&lt;&gt;"売却済み表示"),1,0)</x:f>
        <x:v>1</x:v>
      </x:c>
      <x:c r="AM328" s="32" t="n">
        <x:f>IF(AL328=1,U328,"")</x:f>
        <x:v>698000</x:v>
      </x:c>
      <x:c r="AN328" s="33" t="str">
        <x:f>IF(AL328=1,AF328,"")</x:f>
      </x:c>
      <x:c r="AO328" s="31" t="n">
        <x:f>'分析方法'!$B$6-J328</x:f>
        <x:v>5</x:v>
      </x:c>
      <x:c r="AP328" s="3"/>
    </x:row>
    <x:row r="329" ht="22" customHeight="1">
      <x:c r="A329" s="3" t="str">
        <x:v>T2924640</x:v>
      </x:c>
      <x:c r="B329" s="7" t="d">
        <x:v>2026-10-08T00:00:00.000Z</x:v>
      </x:c>
      <x:c r="C329" s="3" t="str">
        <x:v>Taladrod</x:v>
      </x:c>
      <x:c r="D329" s="3" t="str">
        <x:v>Toyota</x:v>
      </x:c>
      <x:c r="E329" s="3" t="str">
        <x:v>日本</x:v>
      </x:c>
      <x:c r="F329" s="3" t="str">
        <x:v>Corolla Cross</x:v>
      </x:c>
      <x:c r="G329" s="3" t="str">
        <x:v>HEV</x:v>
      </x:c>
      <x:c r="H329" s="3" t="str">
        <x:v>SUV</x:v>
      </x:c>
      <x:c r="I329" s="3" t="str"/>
      <x:c r="J329" s="3" t="n">
        <x:v>2021</x:v>
      </x:c>
      <x:c r="K329" s="3" t="str">
        <x:v>1.8 HYBRID PREMIUM SAFETY</x:v>
      </x:c>
      <x:c r="L329" s="3" t="str">
        <x:v>HEV PREMIUM SAFETY</x:v>
      </x:c>
      <x:c r="M329" s="22"/>
      <x:c r="N329" s="22"/>
      <x:c r="O329" s="22"/>
      <x:c r="P329" s="3" t="str">
        <x:v>未掲載</x:v>
      </x:c>
      <x:c r="Q329" s="3" t="str">
        <x:v>未取得</x:v>
      </x:c>
      <x:c r="R329" s="3" t="str">
        <x:v>Unknown</x:v>
      </x:c>
      <x:c r="S329" s="3" t="str">
        <x:v>不明</x:v>
      </x:c>
      <x:c r="T329" s="3" t="str">
        <x:v>20-ปัจจุบัน</x:v>
      </x:c>
      <x:c r="U329" s="28" t="n">
        <x:v>698000</x:v>
      </x:c>
      <x:c r="V329" s="28" t="n">
        <x:v>1199000</x:v>
      </x:c>
      <x:c r="W329" s="3" t="str">
        <x:v>事故・水没・SOH・保証残は未確認</x:v>
      </x:c>
      <x:c r="X329" s="3" t="str">
        <x:v>掲載中・在庫未確認</x:v>
      </x:c>
      <x:c r="Y329" s="3" t="str"/>
      <x:c r="Z329" s="27" t="str">
        <x:v>https://www.taladrod.com/w40/icar/cardet.aspx?cid=2924640</x:v>
      </x:c>
      <x:c r="AA329" s="3" t="str">
        <x:v>Taladrod個別広告ID／Carsome在庫ID</x:v>
      </x:c>
      <x:c r="AB329" s="3" t="str">
        <x:v>車台番号未取得／サイト間重複は未判定</x:v>
      </x:c>
      <x:c r="AC329" s="3" t="str">
        <x:v>税込区分未確認（一覧表示額）</x:v>
      </x:c>
      <x:c r="AD329" s="3" t="str"/>
      <x:c r="AE329" s="29" t="str">
        <x:f>""</x:f>
      </x:c>
      <x:c r="AF329" s="30" t="str">
        <x:f>IF(ISNUMBER(AE329),U329/AE329,"")</x:f>
      </x:c>
      <x:c r="AG329" s="29" t="n">
        <x:f>'新車価格・特価'!N55</x:f>
        <x:v>1204000</x:v>
      </x:c>
      <x:c r="AH329" s="30" t="n">
        <x:f>IF(ISNUMBER(AG329),U329/AG329,"")</x:f>
        <x:v>0.579734219269103</x:v>
      </x:c>
      <x:c r="AI329" s="3" t="str">
        <x:v>同年式・グレードの検証済み当時価格なし／登録年混在</x:v>
      </x:c>
      <x:c r="AJ329" s="3" t="str">
        <x:v>一覧価格/年式のみ</x:v>
      </x:c>
      <x:c r="AK329" s="3" t="str">
        <x:v>一覧の表示価格。年式は掲載年式。</x:v>
      </x:c>
      <x:c r="AL329" s="31" t="n">
        <x:f>IF(AND(J329&lt;='分析方法'!$B$7,OR(ISBLANK(O329),O329&gt;='分析方法'!$B$8),X329&lt;&gt;"売却済み表示"),1,0)</x:f>
        <x:v>1</x:v>
      </x:c>
      <x:c r="AM329" s="32" t="n">
        <x:f>IF(AL329=1,U329,"")</x:f>
        <x:v>698000</x:v>
      </x:c>
      <x:c r="AN329" s="33" t="str">
        <x:f>IF(AL329=1,AF329,"")</x:f>
      </x:c>
      <x:c r="AO329" s="31" t="n">
        <x:f>'分析方法'!$B$6-J329</x:f>
        <x:v>5</x:v>
      </x:c>
      <x:c r="AP329" s="3"/>
    </x:row>
    <x:row r="330" ht="22" customHeight="1">
      <x:c r="A330" s="3" t="str">
        <x:v>T2924730</x:v>
      </x:c>
      <x:c r="B330" s="7" t="d">
        <x:v>2026-10-08T00:00:00.000Z</x:v>
      </x:c>
      <x:c r="C330" s="3" t="str">
        <x:v>Taladrod</x:v>
      </x:c>
      <x:c r="D330" s="3" t="str">
        <x:v>Toyota</x:v>
      </x:c>
      <x:c r="E330" s="3" t="str">
        <x:v>日本</x:v>
      </x:c>
      <x:c r="F330" s="3" t="str">
        <x:v>Corolla Cross</x:v>
      </x:c>
      <x:c r="G330" s="3" t="str">
        <x:v>HEV</x:v>
      </x:c>
      <x:c r="H330" s="3" t="str">
        <x:v>SUV</x:v>
      </x:c>
      <x:c r="I330" s="3" t="str"/>
      <x:c r="J330" s="3" t="n">
        <x:v>2021</x:v>
      </x:c>
      <x:c r="K330" s="3" t="str">
        <x:v>1.8 HYBRID PREMIUM SAFETY</x:v>
      </x:c>
      <x:c r="L330" s="3" t="str">
        <x:v>HEV PREMIUM SAFETY</x:v>
      </x:c>
      <x:c r="M330" s="22"/>
      <x:c r="N330" s="22"/>
      <x:c r="O330" s="22"/>
      <x:c r="P330" s="3" t="str">
        <x:v>未掲載</x:v>
      </x:c>
      <x:c r="Q330" s="3" t="str">
        <x:v>未取得</x:v>
      </x:c>
      <x:c r="R330" s="3" t="str">
        <x:v>Unknown</x:v>
      </x:c>
      <x:c r="S330" s="3" t="str">
        <x:v>不明</x:v>
      </x:c>
      <x:c r="T330" s="3" t="str">
        <x:v>20-ปัจจุบัน</x:v>
      </x:c>
      <x:c r="U330" s="28" t="n">
        <x:v>699000</x:v>
      </x:c>
      <x:c r="V330" s="28" t="n">
        <x:v>1199000</x:v>
      </x:c>
      <x:c r="W330" s="3" t="str">
        <x:v>事故・水没・SOH・保証残は未確認</x:v>
      </x:c>
      <x:c r="X330" s="3" t="str">
        <x:v>掲載中・在庫未確認</x:v>
      </x:c>
      <x:c r="Y330" s="3" t="str"/>
      <x:c r="Z330" s="27" t="str">
        <x:v>https://www.taladrod.com/w40/icar/cardet.aspx?cid=2924730</x:v>
      </x:c>
      <x:c r="AA330" s="3" t="str">
        <x:v>Taladrod個別広告ID／Carsome在庫ID</x:v>
      </x:c>
      <x:c r="AB330" s="3" t="str">
        <x:v>車台番号未取得／サイト間重複は未判定</x:v>
      </x:c>
      <x:c r="AC330" s="3" t="str">
        <x:v>税込区分未確認（一覧表示額）</x:v>
      </x:c>
      <x:c r="AD330" s="3" t="str"/>
      <x:c r="AE330" s="29" t="str">
        <x:f>""</x:f>
      </x:c>
      <x:c r="AF330" s="30" t="str">
        <x:f>IF(ISNUMBER(AE330),U330/AE330,"")</x:f>
      </x:c>
      <x:c r="AG330" s="29" t="n">
        <x:f>'新車価格・特価'!N55</x:f>
        <x:v>1204000</x:v>
      </x:c>
      <x:c r="AH330" s="30" t="n">
        <x:f>IF(ISNUMBER(AG330),U330/AG330,"")</x:f>
        <x:v>0.5805647840531561</x:v>
      </x:c>
      <x:c r="AI330" s="3" t="str">
        <x:v>同年式・グレードの検証済み当時価格なし／登録年混在</x:v>
      </x:c>
      <x:c r="AJ330" s="3" t="str">
        <x:v>一覧価格/年式のみ</x:v>
      </x:c>
      <x:c r="AK330" s="3" t="str">
        <x:v>一覧の表示価格。年式は掲載年式。</x:v>
      </x:c>
      <x:c r="AL330" s="31" t="n">
        <x:f>IF(AND(J330&lt;='分析方法'!$B$7,OR(ISBLANK(O330),O330&gt;='分析方法'!$B$8),X330&lt;&gt;"売却済み表示"),1,0)</x:f>
        <x:v>1</x:v>
      </x:c>
      <x:c r="AM330" s="32" t="n">
        <x:f>IF(AL330=1,U330,"")</x:f>
        <x:v>699000</x:v>
      </x:c>
      <x:c r="AN330" s="33" t="str">
        <x:f>IF(AL330=1,AF330,"")</x:f>
      </x:c>
      <x:c r="AO330" s="31" t="n">
        <x:f>'分析方法'!$B$6-J330</x:f>
        <x:v>5</x:v>
      </x:c>
      <x:c r="AP330" s="3"/>
    </x:row>
    <x:row r="331" ht="22" customHeight="1">
      <x:c r="A331" s="3" t="str">
        <x:v>T2926219</x:v>
      </x:c>
      <x:c r="B331" s="7" t="d">
        <x:v>2026-10-08T00:00:00.000Z</x:v>
      </x:c>
      <x:c r="C331" s="3" t="str">
        <x:v>Taladrod</x:v>
      </x:c>
      <x:c r="D331" s="3" t="str">
        <x:v>Toyota</x:v>
      </x:c>
      <x:c r="E331" s="3" t="str">
        <x:v>日本</x:v>
      </x:c>
      <x:c r="F331" s="3" t="str">
        <x:v>Corolla Cross</x:v>
      </x:c>
      <x:c r="G331" s="3" t="str">
        <x:v>HEV</x:v>
      </x:c>
      <x:c r="H331" s="3" t="str">
        <x:v>SUV</x:v>
      </x:c>
      <x:c r="I331" s="3" t="str"/>
      <x:c r="J331" s="3" t="n">
        <x:v>2021</x:v>
      </x:c>
      <x:c r="K331" s="3" t="str">
        <x:v>1.8 HYBRID PREMIUM SAFETY</x:v>
      </x:c>
      <x:c r="L331" s="3" t="str">
        <x:v>HEV PREMIUM SAFETY</x:v>
      </x:c>
      <x:c r="M331" s="22"/>
      <x:c r="N331" s="22"/>
      <x:c r="O331" s="22"/>
      <x:c r="P331" s="3" t="str">
        <x:v>未掲載</x:v>
      </x:c>
      <x:c r="Q331" s="3" t="str">
        <x:v>未取得</x:v>
      </x:c>
      <x:c r="R331" s="3" t="str">
        <x:v>Unknown</x:v>
      </x:c>
      <x:c r="S331" s="3" t="str">
        <x:v>不明</x:v>
      </x:c>
      <x:c r="T331" s="3" t="str">
        <x:v>20-ปัจจุบัน</x:v>
      </x:c>
      <x:c r="U331" s="28" t="n">
        <x:v>639000</x:v>
      </x:c>
      <x:c r="V331" s="28" t="n">
        <x:v>1199000</x:v>
      </x:c>
      <x:c r="W331" s="3" t="str">
        <x:v>事故・水没・SOH・保証残は未確認</x:v>
      </x:c>
      <x:c r="X331" s="3" t="str">
        <x:v>掲載中・在庫未確認</x:v>
      </x:c>
      <x:c r="Y331" s="3" t="str"/>
      <x:c r="Z331" s="27" t="str">
        <x:v>https://www.taladrod.com/w40/icar/cardet.aspx?cid=2926219</x:v>
      </x:c>
      <x:c r="AA331" s="3" t="str">
        <x:v>Taladrod個別広告ID／Carsome在庫ID</x:v>
      </x:c>
      <x:c r="AB331" s="3" t="str">
        <x:v>車台番号未取得／サイト間重複は未判定</x:v>
      </x:c>
      <x:c r="AC331" s="3" t="str">
        <x:v>税込区分未確認（一覧表示額）</x:v>
      </x:c>
      <x:c r="AD331" s="3" t="str"/>
      <x:c r="AE331" s="29" t="str">
        <x:f>""</x:f>
      </x:c>
      <x:c r="AF331" s="30" t="str">
        <x:f>IF(ISNUMBER(AE331),U331/AE331,"")</x:f>
      </x:c>
      <x:c r="AG331" s="29" t="n">
        <x:f>'新車価格・特価'!N55</x:f>
        <x:v>1204000</x:v>
      </x:c>
      <x:c r="AH331" s="30" t="n">
        <x:f>IF(ISNUMBER(AG331),U331/AG331,"")</x:f>
        <x:v>0.5307308970099668</x:v>
      </x:c>
      <x:c r="AI331" s="3" t="str">
        <x:v>同年式・グレードの検証済み当時価格なし／登録年混在</x:v>
      </x:c>
      <x:c r="AJ331" s="3" t="str">
        <x:v>一覧価格/年式のみ</x:v>
      </x:c>
      <x:c r="AK331" s="3" t="str">
        <x:v>一覧の表示価格。年式は掲載年式。</x:v>
      </x:c>
      <x:c r="AL331" s="31" t="n">
        <x:f>IF(AND(J331&lt;='分析方法'!$B$7,OR(ISBLANK(O331),O331&gt;='分析方法'!$B$8),X331&lt;&gt;"売却済み表示"),1,0)</x:f>
        <x:v>1</x:v>
      </x:c>
      <x:c r="AM331" s="32" t="n">
        <x:f>IF(AL331=1,U331,"")</x:f>
        <x:v>639000</x:v>
      </x:c>
      <x:c r="AN331" s="33" t="str">
        <x:f>IF(AL331=1,AF331,"")</x:f>
      </x:c>
      <x:c r="AO331" s="31" t="n">
        <x:f>'分析方法'!$B$6-J331</x:f>
        <x:v>5</x:v>
      </x:c>
      <x:c r="AP331" s="3"/>
    </x:row>
    <x:row r="332" ht="22" customHeight="1">
      <x:c r="A332" s="3" t="str">
        <x:v>T2925647</x:v>
      </x:c>
      <x:c r="B332" s="7" t="d">
        <x:v>2026-10-08T00:00:00.000Z</x:v>
      </x:c>
      <x:c r="C332" s="3" t="str">
        <x:v>Taladrod</x:v>
      </x:c>
      <x:c r="D332" s="3" t="str">
        <x:v>Toyota</x:v>
      </x:c>
      <x:c r="E332" s="3" t="str">
        <x:v>日本</x:v>
      </x:c>
      <x:c r="F332" s="3" t="str">
        <x:v>Corolla Cross</x:v>
      </x:c>
      <x:c r="G332" s="3" t="str">
        <x:v>HEV</x:v>
      </x:c>
      <x:c r="H332" s="3" t="str">
        <x:v>SUV</x:v>
      </x:c>
      <x:c r="I332" s="3" t="str"/>
      <x:c r="J332" s="3" t="n">
        <x:v>2021</x:v>
      </x:c>
      <x:c r="K332" s="3" t="str">
        <x:v>1.8 HYBRID PREMIUM SAFETY MODELLISTA</x:v>
      </x:c>
      <x:c r="L332" s="3" t="str">
        <x:v>HEV PREMIUM SAFETY MODELLISTA</x:v>
      </x:c>
      <x:c r="M332" s="22"/>
      <x:c r="N332" s="22"/>
      <x:c r="O332" s="22"/>
      <x:c r="P332" s="3" t="str">
        <x:v>未掲載</x:v>
      </x:c>
      <x:c r="Q332" s="3" t="str">
        <x:v>未取得</x:v>
      </x:c>
      <x:c r="R332" s="3" t="str">
        <x:v>Unknown</x:v>
      </x:c>
      <x:c r="S332" s="3" t="str">
        <x:v>不明</x:v>
      </x:c>
      <x:c r="T332" s="3" t="str">
        <x:v>20-ปัจจุบัน</x:v>
      </x:c>
      <x:c r="U332" s="28" t="n">
        <x:v>950000</x:v>
      </x:c>
      <x:c r="V332" s="28" t="n">
        <x:v>1240500</x:v>
      </x:c>
      <x:c r="W332" s="3" t="str">
        <x:v>事故・水没・SOH・保証残は未確認</x:v>
      </x:c>
      <x:c r="X332" s="3" t="str">
        <x:v>掲載中・在庫未確認</x:v>
      </x:c>
      <x:c r="Y332" s="3" t="str"/>
      <x:c r="Z332" s="27" t="str">
        <x:v>https://www.taladrod.com/w40/icar/cardet.aspx?cid=2925647</x:v>
      </x:c>
      <x:c r="AA332" s="3" t="str">
        <x:v>Taladrod個別広告ID／Carsome在庫ID</x:v>
      </x:c>
      <x:c r="AB332" s="3" t="str">
        <x:v>車台番号未取得／サイト間重複は未判定</x:v>
      </x:c>
      <x:c r="AC332" s="3" t="str">
        <x:v>税込区分未確認（一覧表示額）</x:v>
      </x:c>
      <x:c r="AD332" s="3" t="str"/>
      <x:c r="AE332" s="29" t="str">
        <x:f>""</x:f>
      </x:c>
      <x:c r="AF332" s="30" t="str">
        <x:f>IF(ISNUMBER(AE332),U332/AE332,"")</x:f>
      </x:c>
      <x:c r="AG332" s="29" t="str">
        <x:f>""</x:f>
      </x:c>
      <x:c r="AH332" s="30" t="str">
        <x:f>IF(ISNUMBER(AG332),U332/AG332,"")</x:f>
      </x:c>
      <x:c r="AI332" s="3" t="str">
        <x:v>同年式・グレードの検証済み当時価格なし／登録年混在</x:v>
      </x:c>
      <x:c r="AJ332" s="3" t="str">
        <x:v>一覧価格/年式のみ</x:v>
      </x:c>
      <x:c r="AK332" s="3" t="str">
        <x:v>一覧の表示価格。年式は掲載年式。</x:v>
      </x:c>
      <x:c r="AL332" s="31" t="n">
        <x:f>IF(AND(J332&lt;='分析方法'!$B$7,OR(ISBLANK(O332),O332&gt;='分析方法'!$B$8),X332&lt;&gt;"売却済み表示"),1,0)</x:f>
        <x:v>1</x:v>
      </x:c>
      <x:c r="AM332" s="32" t="n">
        <x:f>IF(AL332=1,U332,"")</x:f>
        <x:v>950000</x:v>
      </x:c>
      <x:c r="AN332" s="33" t="str">
        <x:f>IF(AL332=1,AF332,"")</x:f>
      </x:c>
      <x:c r="AO332" s="31" t="n">
        <x:f>'分析方法'!$B$6-J332</x:f>
        <x:v>5</x:v>
      </x:c>
      <x:c r="AP332" s="3"/>
    </x:row>
    <x:row r="333" ht="22" customHeight="1">
      <x:c r="A333" s="3" t="str">
        <x:v>T2882848</x:v>
      </x:c>
      <x:c r="B333" s="7" t="d">
        <x:v>2026-10-08T00:00:00.000Z</x:v>
      </x:c>
      <x:c r="C333" s="3" t="str">
        <x:v>Taladrod</x:v>
      </x:c>
      <x:c r="D333" s="3" t="str">
        <x:v>Toyota</x:v>
      </x:c>
      <x:c r="E333" s="3" t="str">
        <x:v>日本</x:v>
      </x:c>
      <x:c r="F333" s="3" t="str">
        <x:v>Corolla Cross</x:v>
      </x:c>
      <x:c r="G333" s="3" t="str">
        <x:v>HEV</x:v>
      </x:c>
      <x:c r="H333" s="3" t="str">
        <x:v>SUV</x:v>
      </x:c>
      <x:c r="I333" s="3" t="str"/>
      <x:c r="J333" s="3" t="n">
        <x:v>2021</x:v>
      </x:c>
      <x:c r="K333" s="3" t="str">
        <x:v>1.8 HYBRID SMART</x:v>
      </x:c>
      <x:c r="L333" s="3" t="str">
        <x:v>HEV SMART</x:v>
      </x:c>
      <x:c r="M333" s="22"/>
      <x:c r="N333" s="22"/>
      <x:c r="O333" s="22"/>
      <x:c r="P333" s="3" t="str">
        <x:v>未掲載</x:v>
      </x:c>
      <x:c r="Q333" s="3" t="str">
        <x:v>未取得</x:v>
      </x:c>
      <x:c r="R333" s="3" t="str">
        <x:v>Unknown</x:v>
      </x:c>
      <x:c r="S333" s="3" t="str">
        <x:v>不明</x:v>
      </x:c>
      <x:c r="T333" s="3" t="str">
        <x:v>20-ปัจจุบัน</x:v>
      </x:c>
      <x:c r="U333" s="28" t="n">
        <x:v>559000</x:v>
      </x:c>
      <x:c r="V333" s="28" t="n">
        <x:v>1019000</x:v>
      </x:c>
      <x:c r="W333" s="3" t="str">
        <x:v>事故・水没・SOH・保証残は未確認</x:v>
      </x:c>
      <x:c r="X333" s="3" t="str">
        <x:v>掲載中・在庫未確認</x:v>
      </x:c>
      <x:c r="Y333" s="3" t="str"/>
      <x:c r="Z333" s="27" t="str">
        <x:v>https://www.taladrod.com/w40/icar/cardet.aspx?cid=2882848</x:v>
      </x:c>
      <x:c r="AA333" s="3" t="str">
        <x:v>Taladrod個別広告ID／Carsome在庫ID</x:v>
      </x:c>
      <x:c r="AB333" s="3" t="str">
        <x:v>車台番号未取得／サイト間重複は未判定</x:v>
      </x:c>
      <x:c r="AC333" s="3" t="str">
        <x:v>税込区分未確認（一覧表示額）</x:v>
      </x:c>
      <x:c r="AD333" s="3" t="str"/>
      <x:c r="AE333" s="29" t="str">
        <x:f>""</x:f>
      </x:c>
      <x:c r="AF333" s="30" t="str">
        <x:f>IF(ISNUMBER(AE333),U333/AE333,"")</x:f>
      </x:c>
      <x:c r="AG333" s="29" t="n">
        <x:f>'新車価格・特価'!N53</x:f>
        <x:v>989000</x:v>
      </x:c>
      <x:c r="AH333" s="30" t="n">
        <x:f>IF(ISNUMBER(AG333),U333/AG333,"")</x:f>
        <x:v>0.5652173913043478</x:v>
      </x:c>
      <x:c r="AI333" s="3" t="str">
        <x:v>同年式・グレードの検証済み当時価格なし／登録年混在</x:v>
      </x:c>
      <x:c r="AJ333" s="3" t="str">
        <x:v>一覧価格/年式のみ</x:v>
      </x:c>
      <x:c r="AK333" s="3" t="str">
        <x:v>一覧の表示価格。年式は掲載年式。</x:v>
      </x:c>
      <x:c r="AL333" s="31" t="n">
        <x:f>IF(AND(J333&lt;='分析方法'!$B$7,OR(ISBLANK(O333),O333&gt;='分析方法'!$B$8),X333&lt;&gt;"売却済み表示"),1,0)</x:f>
        <x:v>1</x:v>
      </x:c>
      <x:c r="AM333" s="32" t="n">
        <x:f>IF(AL333=1,U333,"")</x:f>
        <x:v>559000</x:v>
      </x:c>
      <x:c r="AN333" s="33" t="str">
        <x:f>IF(AL333=1,AF333,"")</x:f>
      </x:c>
      <x:c r="AO333" s="31" t="n">
        <x:f>'分析方法'!$B$6-J333</x:f>
        <x:v>5</x:v>
      </x:c>
      <x:c r="AP333" s="3"/>
    </x:row>
    <x:row r="334" ht="22" customHeight="1">
      <x:c r="A334" s="3" t="str">
        <x:v>T2890554</x:v>
      </x:c>
      <x:c r="B334" s="7" t="d">
        <x:v>2026-10-08T00:00:00.000Z</x:v>
      </x:c>
      <x:c r="C334" s="3" t="str">
        <x:v>Taladrod</x:v>
      </x:c>
      <x:c r="D334" s="3" t="str">
        <x:v>Toyota</x:v>
      </x:c>
      <x:c r="E334" s="3" t="str">
        <x:v>日本</x:v>
      </x:c>
      <x:c r="F334" s="3" t="str">
        <x:v>Corolla Cross</x:v>
      </x:c>
      <x:c r="G334" s="3" t="str">
        <x:v>HEV</x:v>
      </x:c>
      <x:c r="H334" s="3" t="str">
        <x:v>SUV</x:v>
      </x:c>
      <x:c r="I334" s="3" t="str"/>
      <x:c r="J334" s="3" t="n">
        <x:v>2021</x:v>
      </x:c>
      <x:c r="K334" s="3" t="str">
        <x:v>1.8 HYBRID SMART</x:v>
      </x:c>
      <x:c r="L334" s="3" t="str">
        <x:v>HEV SMART</x:v>
      </x:c>
      <x:c r="M334" s="22"/>
      <x:c r="N334" s="22"/>
      <x:c r="O334" s="22"/>
      <x:c r="P334" s="3" t="str">
        <x:v>未掲載</x:v>
      </x:c>
      <x:c r="Q334" s="3" t="str">
        <x:v>未取得</x:v>
      </x:c>
      <x:c r="R334" s="3" t="str">
        <x:v>Unknown</x:v>
      </x:c>
      <x:c r="S334" s="3" t="str">
        <x:v>不明</x:v>
      </x:c>
      <x:c r="T334" s="3" t="str">
        <x:v>20-ปัจจุบัน</x:v>
      </x:c>
      <x:c r="U334" s="28" t="n">
        <x:v>579000</x:v>
      </x:c>
      <x:c r="V334" s="28" t="n">
        <x:v>1019000</x:v>
      </x:c>
      <x:c r="W334" s="3" t="str">
        <x:v>事故・水没・SOH・保証残は未確認</x:v>
      </x:c>
      <x:c r="X334" s="3" t="str">
        <x:v>掲載中・在庫未確認</x:v>
      </x:c>
      <x:c r="Y334" s="3" t="str"/>
      <x:c r="Z334" s="27" t="str">
        <x:v>https://www.taladrod.com/w40/icar/cardet.aspx?cid=2890554</x:v>
      </x:c>
      <x:c r="AA334" s="3" t="str">
        <x:v>Taladrod個別広告ID／Carsome在庫ID</x:v>
      </x:c>
      <x:c r="AB334" s="3" t="str">
        <x:v>車台番号未取得／サイト間重複は未判定</x:v>
      </x:c>
      <x:c r="AC334" s="3" t="str">
        <x:v>税込区分未確認（一覧表示額）</x:v>
      </x:c>
      <x:c r="AD334" s="3" t="str"/>
      <x:c r="AE334" s="29" t="str">
        <x:f>""</x:f>
      </x:c>
      <x:c r="AF334" s="30" t="str">
        <x:f>IF(ISNUMBER(AE334),U334/AE334,"")</x:f>
      </x:c>
      <x:c r="AG334" s="29" t="n">
        <x:f>'新車価格・特価'!N53</x:f>
        <x:v>989000</x:v>
      </x:c>
      <x:c r="AH334" s="30" t="n">
        <x:f>IF(ISNUMBER(AG334),U334/AG334,"")</x:f>
        <x:v>0.5854398382204247</x:v>
      </x:c>
      <x:c r="AI334" s="3" t="str">
        <x:v>同年式・グレードの検証済み当時価格なし／登録年混在</x:v>
      </x:c>
      <x:c r="AJ334" s="3" t="str">
        <x:v>一覧価格/年式のみ</x:v>
      </x:c>
      <x:c r="AK334" s="3" t="str">
        <x:v>一覧の表示価格。年式は掲載年式。</x:v>
      </x:c>
      <x:c r="AL334" s="31" t="n">
        <x:f>IF(AND(J334&lt;='分析方法'!$B$7,OR(ISBLANK(O334),O334&gt;='分析方法'!$B$8),X334&lt;&gt;"売却済み表示"),1,0)</x:f>
        <x:v>1</x:v>
      </x:c>
      <x:c r="AM334" s="32" t="n">
        <x:f>IF(AL334=1,U334,"")</x:f>
        <x:v>579000</x:v>
      </x:c>
      <x:c r="AN334" s="33" t="str">
        <x:f>IF(AL334=1,AF334,"")</x:f>
      </x:c>
      <x:c r="AO334" s="31" t="n">
        <x:f>'分析方法'!$B$6-J334</x:f>
        <x:v>5</x:v>
      </x:c>
      <x:c r="AP334" s="3"/>
    </x:row>
    <x:row r="335" ht="22" customHeight="1">
      <x:c r="A335" s="3" t="str">
        <x:v>T2910264</x:v>
      </x:c>
      <x:c r="B335" s="7" t="d">
        <x:v>2026-10-08T00:00:00.000Z</x:v>
      </x:c>
      <x:c r="C335" s="3" t="str">
        <x:v>Taladrod</x:v>
      </x:c>
      <x:c r="D335" s="3" t="str">
        <x:v>Toyota</x:v>
      </x:c>
      <x:c r="E335" s="3" t="str">
        <x:v>日本</x:v>
      </x:c>
      <x:c r="F335" s="3" t="str">
        <x:v>Corolla Cross</x:v>
      </x:c>
      <x:c r="G335" s="3" t="str">
        <x:v>HEV</x:v>
      </x:c>
      <x:c r="H335" s="3" t="str">
        <x:v>SUV</x:v>
      </x:c>
      <x:c r="I335" s="3" t="str"/>
      <x:c r="J335" s="3" t="n">
        <x:v>2021</x:v>
      </x:c>
      <x:c r="K335" s="3" t="str">
        <x:v>1.8 HYBRID SMART</x:v>
      </x:c>
      <x:c r="L335" s="3" t="str">
        <x:v>HEV SMART</x:v>
      </x:c>
      <x:c r="M335" s="22"/>
      <x:c r="N335" s="22"/>
      <x:c r="O335" s="22"/>
      <x:c r="P335" s="3" t="str">
        <x:v>未掲載</x:v>
      </x:c>
      <x:c r="Q335" s="3" t="str">
        <x:v>未取得</x:v>
      </x:c>
      <x:c r="R335" s="3" t="str">
        <x:v>Unknown</x:v>
      </x:c>
      <x:c r="S335" s="3" t="str">
        <x:v>不明</x:v>
      </x:c>
      <x:c r="T335" s="3" t="str">
        <x:v>20-ปัจจุบัน</x:v>
      </x:c>
      <x:c r="U335" s="28" t="n">
        <x:v>539000</x:v>
      </x:c>
      <x:c r="V335" s="28" t="n">
        <x:v>1019000</x:v>
      </x:c>
      <x:c r="W335" s="3" t="str">
        <x:v>事故・水没・SOH・保証残は未確認</x:v>
      </x:c>
      <x:c r="X335" s="3" t="str">
        <x:v>掲載中・在庫未確認</x:v>
      </x:c>
      <x:c r="Y335" s="3" t="str"/>
      <x:c r="Z335" s="27" t="str">
        <x:v>https://www.taladrod.com/w40/icar/cardet.aspx?cid=2910264</x:v>
      </x:c>
      <x:c r="AA335" s="3" t="str">
        <x:v>Taladrod個別広告ID／Carsome在庫ID</x:v>
      </x:c>
      <x:c r="AB335" s="3" t="str">
        <x:v>車台番号未取得／サイト間重複は未判定</x:v>
      </x:c>
      <x:c r="AC335" s="3" t="str">
        <x:v>税込区分未確認（一覧表示額）</x:v>
      </x:c>
      <x:c r="AD335" s="3" t="str"/>
      <x:c r="AE335" s="29" t="str">
        <x:f>""</x:f>
      </x:c>
      <x:c r="AF335" s="30" t="str">
        <x:f>IF(ISNUMBER(AE335),U335/AE335,"")</x:f>
      </x:c>
      <x:c r="AG335" s="29" t="n">
        <x:f>'新車価格・特価'!N53</x:f>
        <x:v>989000</x:v>
      </x:c>
      <x:c r="AH335" s="30" t="n">
        <x:f>IF(ISNUMBER(AG335),U335/AG335,"")</x:f>
        <x:v>0.544994944388271</x:v>
      </x:c>
      <x:c r="AI335" s="3" t="str">
        <x:v>同年式・グレードの検証済み当時価格なし／登録年混在</x:v>
      </x:c>
      <x:c r="AJ335" s="3" t="str">
        <x:v>一覧価格/年式のみ</x:v>
      </x:c>
      <x:c r="AK335" s="3" t="str">
        <x:v>一覧の表示価格。年式は掲載年式。</x:v>
      </x:c>
      <x:c r="AL335" s="31" t="n">
        <x:f>IF(AND(J335&lt;='分析方法'!$B$7,OR(ISBLANK(O335),O335&gt;='分析方法'!$B$8),X335&lt;&gt;"売却済み表示"),1,0)</x:f>
        <x:v>1</x:v>
      </x:c>
      <x:c r="AM335" s="32" t="n">
        <x:f>IF(AL335=1,U335,"")</x:f>
        <x:v>539000</x:v>
      </x:c>
      <x:c r="AN335" s="33" t="str">
        <x:f>IF(AL335=1,AF335,"")</x:f>
      </x:c>
      <x:c r="AO335" s="31" t="n">
        <x:f>'分析方法'!$B$6-J335</x:f>
        <x:v>5</x:v>
      </x:c>
      <x:c r="AP335" s="3"/>
    </x:row>
    <x:row r="336" ht="22" customHeight="1">
      <x:c r="A336" s="3" t="str">
        <x:v>T2910266</x:v>
      </x:c>
      <x:c r="B336" s="7" t="d">
        <x:v>2026-10-08T00:00:00.000Z</x:v>
      </x:c>
      <x:c r="C336" s="3" t="str">
        <x:v>Taladrod</x:v>
      </x:c>
      <x:c r="D336" s="3" t="str">
        <x:v>Toyota</x:v>
      </x:c>
      <x:c r="E336" s="3" t="str">
        <x:v>日本</x:v>
      </x:c>
      <x:c r="F336" s="3" t="str">
        <x:v>Corolla Cross</x:v>
      </x:c>
      <x:c r="G336" s="3" t="str">
        <x:v>HEV</x:v>
      </x:c>
      <x:c r="H336" s="3" t="str">
        <x:v>SUV</x:v>
      </x:c>
      <x:c r="I336" s="3" t="str"/>
      <x:c r="J336" s="3" t="n">
        <x:v>2021</x:v>
      </x:c>
      <x:c r="K336" s="3" t="str">
        <x:v>1.8 HYBRID SMART</x:v>
      </x:c>
      <x:c r="L336" s="3" t="str">
        <x:v>HEV SMART</x:v>
      </x:c>
      <x:c r="M336" s="22"/>
      <x:c r="N336" s="22"/>
      <x:c r="O336" s="22"/>
      <x:c r="P336" s="3" t="str">
        <x:v>未掲載</x:v>
      </x:c>
      <x:c r="Q336" s="3" t="str">
        <x:v>未取得</x:v>
      </x:c>
      <x:c r="R336" s="3" t="str">
        <x:v>Unknown</x:v>
      </x:c>
      <x:c r="S336" s="3" t="str">
        <x:v>不明</x:v>
      </x:c>
      <x:c r="T336" s="3" t="str">
        <x:v>20-ปัจจุบัน</x:v>
      </x:c>
      <x:c r="U336" s="28" t="n">
        <x:v>559000</x:v>
      </x:c>
      <x:c r="V336" s="28" t="n">
        <x:v>1019000</x:v>
      </x:c>
      <x:c r="W336" s="3" t="str">
        <x:v>事故・水没・SOH・保証残は未確認</x:v>
      </x:c>
      <x:c r="X336" s="3" t="str">
        <x:v>掲載中・在庫未確認</x:v>
      </x:c>
      <x:c r="Y336" s="3" t="str"/>
      <x:c r="Z336" s="27" t="str">
        <x:v>https://www.taladrod.com/w40/icar/cardet.aspx?cid=2910266</x:v>
      </x:c>
      <x:c r="AA336" s="3" t="str">
        <x:v>Taladrod個別広告ID／Carsome在庫ID</x:v>
      </x:c>
      <x:c r="AB336" s="3" t="str">
        <x:v>車台番号未取得／サイト間重複は未判定</x:v>
      </x:c>
      <x:c r="AC336" s="3" t="str">
        <x:v>税込区分未確認（一覧表示額）</x:v>
      </x:c>
      <x:c r="AD336" s="3" t="str"/>
      <x:c r="AE336" s="29" t="str">
        <x:f>""</x:f>
      </x:c>
      <x:c r="AF336" s="30" t="str">
        <x:f>IF(ISNUMBER(AE336),U336/AE336,"")</x:f>
      </x:c>
      <x:c r="AG336" s="29" t="n">
        <x:f>'新車価格・特価'!N53</x:f>
        <x:v>989000</x:v>
      </x:c>
      <x:c r="AH336" s="30" t="n">
        <x:f>IF(ISNUMBER(AG336),U336/AG336,"")</x:f>
        <x:v>0.5652173913043478</x:v>
      </x:c>
      <x:c r="AI336" s="3" t="str">
        <x:v>同年式・グレードの検証済み当時価格なし／登録年混在</x:v>
      </x:c>
      <x:c r="AJ336" s="3" t="str">
        <x:v>一覧価格/年式のみ</x:v>
      </x:c>
      <x:c r="AK336" s="3" t="str">
        <x:v>一覧の表示価格。年式は掲載年式。</x:v>
      </x:c>
      <x:c r="AL336" s="31" t="n">
        <x:f>IF(AND(J336&lt;='分析方法'!$B$7,OR(ISBLANK(O336),O336&gt;='分析方法'!$B$8),X336&lt;&gt;"売却済み表示"),1,0)</x:f>
        <x:v>1</x:v>
      </x:c>
      <x:c r="AM336" s="32" t="n">
        <x:f>IF(AL336=1,U336,"")</x:f>
        <x:v>559000</x:v>
      </x:c>
      <x:c r="AN336" s="33" t="str">
        <x:f>IF(AL336=1,AF336,"")</x:f>
      </x:c>
      <x:c r="AO336" s="31" t="n">
        <x:f>'分析方法'!$B$6-J336</x:f>
        <x:v>5</x:v>
      </x:c>
      <x:c r="AP336" s="3"/>
    </x:row>
    <x:row r="337" ht="22" customHeight="1">
      <x:c r="A337" s="3" t="str">
        <x:v>T2914444</x:v>
      </x:c>
      <x:c r="B337" s="7" t="d">
        <x:v>2026-10-08T00:00:00.000Z</x:v>
      </x:c>
      <x:c r="C337" s="3" t="str">
        <x:v>Taladrod</x:v>
      </x:c>
      <x:c r="D337" s="3" t="str">
        <x:v>Toyota</x:v>
      </x:c>
      <x:c r="E337" s="3" t="str">
        <x:v>日本</x:v>
      </x:c>
      <x:c r="F337" s="3" t="str">
        <x:v>Corolla Cross</x:v>
      </x:c>
      <x:c r="G337" s="3" t="str">
        <x:v>HEV</x:v>
      </x:c>
      <x:c r="H337" s="3" t="str">
        <x:v>SUV</x:v>
      </x:c>
      <x:c r="I337" s="3" t="str"/>
      <x:c r="J337" s="3" t="n">
        <x:v>2021</x:v>
      </x:c>
      <x:c r="K337" s="3" t="str">
        <x:v>1.8 HYBRID SMART</x:v>
      </x:c>
      <x:c r="L337" s="3" t="str">
        <x:v>HEV SMART</x:v>
      </x:c>
      <x:c r="M337" s="22"/>
      <x:c r="N337" s="22"/>
      <x:c r="O337" s="22"/>
      <x:c r="P337" s="3" t="str">
        <x:v>未掲載</x:v>
      </x:c>
      <x:c r="Q337" s="3" t="str">
        <x:v>未取得</x:v>
      </x:c>
      <x:c r="R337" s="3" t="str">
        <x:v>Unknown</x:v>
      </x:c>
      <x:c r="S337" s="3" t="str">
        <x:v>不明</x:v>
      </x:c>
      <x:c r="T337" s="3" t="str">
        <x:v>20-ปัจจุบัน</x:v>
      </x:c>
      <x:c r="U337" s="28" t="n">
        <x:v>509000</x:v>
      </x:c>
      <x:c r="V337" s="28" t="n">
        <x:v>1019000</x:v>
      </x:c>
      <x:c r="W337" s="3" t="str">
        <x:v>事故・水没・SOH・保証残は未確認</x:v>
      </x:c>
      <x:c r="X337" s="3" t="str">
        <x:v>掲載中・在庫未確認</x:v>
      </x:c>
      <x:c r="Y337" s="3" t="str"/>
      <x:c r="Z337" s="27" t="str">
        <x:v>https://www.taladrod.com/w40/icar/cardet.aspx?cid=2914444</x:v>
      </x:c>
      <x:c r="AA337" s="3" t="str">
        <x:v>Taladrod個別広告ID／Carsome在庫ID</x:v>
      </x:c>
      <x:c r="AB337" s="3" t="str">
        <x:v>車台番号未取得／サイト間重複は未判定</x:v>
      </x:c>
      <x:c r="AC337" s="3" t="str">
        <x:v>税込区分未確認（一覧表示額）</x:v>
      </x:c>
      <x:c r="AD337" s="3" t="str"/>
      <x:c r="AE337" s="29" t="str">
        <x:f>""</x:f>
      </x:c>
      <x:c r="AF337" s="30" t="str">
        <x:f>IF(ISNUMBER(AE337),U337/AE337,"")</x:f>
      </x:c>
      <x:c r="AG337" s="29" t="n">
        <x:f>'新車価格・特価'!N53</x:f>
        <x:v>989000</x:v>
      </x:c>
      <x:c r="AH337" s="30" t="n">
        <x:f>IF(ISNUMBER(AG337),U337/AG337,"")</x:f>
        <x:v>0.5146612740141557</x:v>
      </x:c>
      <x:c r="AI337" s="3" t="str">
        <x:v>同年式・グレードの検証済み当時価格なし／登録年混在</x:v>
      </x:c>
      <x:c r="AJ337" s="3" t="str">
        <x:v>一覧価格/年式のみ</x:v>
      </x:c>
      <x:c r="AK337" s="3" t="str">
        <x:v>一覧の表示価格。年式は掲載年式。</x:v>
      </x:c>
      <x:c r="AL337" s="31" t="n">
        <x:f>IF(AND(J337&lt;='分析方法'!$B$7,OR(ISBLANK(O337),O337&gt;='分析方法'!$B$8),X337&lt;&gt;"売却済み表示"),1,0)</x:f>
        <x:v>1</x:v>
      </x:c>
      <x:c r="AM337" s="32" t="n">
        <x:f>IF(AL337=1,U337,"")</x:f>
        <x:v>509000</x:v>
      </x:c>
      <x:c r="AN337" s="33" t="str">
        <x:f>IF(AL337=1,AF337,"")</x:f>
      </x:c>
      <x:c r="AO337" s="31" t="n">
        <x:f>'分析方法'!$B$6-J337</x:f>
        <x:v>5</x:v>
      </x:c>
      <x:c r="AP337" s="3"/>
    </x:row>
    <x:row r="338" ht="22" customHeight="1">
      <x:c r="A338" s="3" t="str">
        <x:v>T2917846</x:v>
      </x:c>
      <x:c r="B338" s="7" t="d">
        <x:v>2026-10-08T00:00:00.000Z</x:v>
      </x:c>
      <x:c r="C338" s="3" t="str">
        <x:v>Taladrod</x:v>
      </x:c>
      <x:c r="D338" s="3" t="str">
        <x:v>Toyota</x:v>
      </x:c>
      <x:c r="E338" s="3" t="str">
        <x:v>日本</x:v>
      </x:c>
      <x:c r="F338" s="3" t="str">
        <x:v>Corolla Cross</x:v>
      </x:c>
      <x:c r="G338" s="3" t="str">
        <x:v>HEV</x:v>
      </x:c>
      <x:c r="H338" s="3" t="str">
        <x:v>SUV</x:v>
      </x:c>
      <x:c r="I338" s="3" t="str"/>
      <x:c r="J338" s="3" t="n">
        <x:v>2021</x:v>
      </x:c>
      <x:c r="K338" s="3" t="str">
        <x:v>1.8 HYBRID SMART</x:v>
      </x:c>
      <x:c r="L338" s="3" t="str">
        <x:v>HEV SMART</x:v>
      </x:c>
      <x:c r="M338" s="22"/>
      <x:c r="N338" s="22"/>
      <x:c r="O338" s="22"/>
      <x:c r="P338" s="3" t="str">
        <x:v>未掲載</x:v>
      </x:c>
      <x:c r="Q338" s="3" t="str">
        <x:v>未取得</x:v>
      </x:c>
      <x:c r="R338" s="3" t="str">
        <x:v>Unknown</x:v>
      </x:c>
      <x:c r="S338" s="3" t="str">
        <x:v>不明</x:v>
      </x:c>
      <x:c r="T338" s="3" t="str">
        <x:v>20-ปัจจุบัน</x:v>
      </x:c>
      <x:c r="U338" s="28" t="n">
        <x:v>629000</x:v>
      </x:c>
      <x:c r="V338" s="28" t="n">
        <x:v>1019000</x:v>
      </x:c>
      <x:c r="W338" s="3" t="str">
        <x:v>事故・水没・SOH・保証残は未確認</x:v>
      </x:c>
      <x:c r="X338" s="3" t="str">
        <x:v>掲載中・在庫未確認</x:v>
      </x:c>
      <x:c r="Y338" s="3" t="str"/>
      <x:c r="Z338" s="27" t="str">
        <x:v>https://www.taladrod.com/w40/icar/cardet.aspx?cid=2917846</x:v>
      </x:c>
      <x:c r="AA338" s="3" t="str">
        <x:v>Taladrod個別広告ID／Carsome在庫ID</x:v>
      </x:c>
      <x:c r="AB338" s="3" t="str">
        <x:v>車台番号未取得／サイト間重複は未判定</x:v>
      </x:c>
      <x:c r="AC338" s="3" t="str">
        <x:v>税込区分未確認（一覧表示額）</x:v>
      </x:c>
      <x:c r="AD338" s="3" t="str"/>
      <x:c r="AE338" s="29" t="str">
        <x:f>""</x:f>
      </x:c>
      <x:c r="AF338" s="30" t="str">
        <x:f>IF(ISNUMBER(AE338),U338/AE338,"")</x:f>
      </x:c>
      <x:c r="AG338" s="29" t="n">
        <x:f>'新車価格・特価'!N53</x:f>
        <x:v>989000</x:v>
      </x:c>
      <x:c r="AH338" s="30" t="n">
        <x:f>IF(ISNUMBER(AG338),U338/AG338,"")</x:f>
        <x:v>0.6359959555106168</x:v>
      </x:c>
      <x:c r="AI338" s="3" t="str">
        <x:v>同年式・グレードの検証済み当時価格なし／登録年混在</x:v>
      </x:c>
      <x:c r="AJ338" s="3" t="str">
        <x:v>一覧価格/年式のみ</x:v>
      </x:c>
      <x:c r="AK338" s="3" t="str">
        <x:v>一覧の表示価格。年式は掲載年式。</x:v>
      </x:c>
      <x:c r="AL338" s="31" t="n">
        <x:f>IF(AND(J338&lt;='分析方法'!$B$7,OR(ISBLANK(O338),O338&gt;='分析方法'!$B$8),X338&lt;&gt;"売却済み表示"),1,0)</x:f>
        <x:v>1</x:v>
      </x:c>
      <x:c r="AM338" s="32" t="n">
        <x:f>IF(AL338=1,U338,"")</x:f>
        <x:v>629000</x:v>
      </x:c>
      <x:c r="AN338" s="33" t="str">
        <x:f>IF(AL338=1,AF338,"")</x:f>
      </x:c>
      <x:c r="AO338" s="31" t="n">
        <x:f>'分析方法'!$B$6-J338</x:f>
        <x:v>5</x:v>
      </x:c>
      <x:c r="AP338" s="3"/>
    </x:row>
    <x:row r="339" ht="22" customHeight="1">
      <x:c r="A339" s="3" t="str">
        <x:v>T2922142</x:v>
      </x:c>
      <x:c r="B339" s="7" t="d">
        <x:v>2026-10-08T00:00:00.000Z</x:v>
      </x:c>
      <x:c r="C339" s="3" t="str">
        <x:v>Taladrod</x:v>
      </x:c>
      <x:c r="D339" s="3" t="str">
        <x:v>Toyota</x:v>
      </x:c>
      <x:c r="E339" s="3" t="str">
        <x:v>日本</x:v>
      </x:c>
      <x:c r="F339" s="3" t="str">
        <x:v>Corolla Cross</x:v>
      </x:c>
      <x:c r="G339" s="3" t="str">
        <x:v>HEV</x:v>
      </x:c>
      <x:c r="H339" s="3" t="str">
        <x:v>SUV</x:v>
      </x:c>
      <x:c r="I339" s="3" t="str"/>
      <x:c r="J339" s="3" t="n">
        <x:v>2021</x:v>
      </x:c>
      <x:c r="K339" s="3" t="str">
        <x:v>1.8 HYBRID SMART</x:v>
      </x:c>
      <x:c r="L339" s="3" t="str">
        <x:v>HEV SMART</x:v>
      </x:c>
      <x:c r="M339" s="22"/>
      <x:c r="N339" s="22"/>
      <x:c r="O339" s="22"/>
      <x:c r="P339" s="3" t="str">
        <x:v>未掲載</x:v>
      </x:c>
      <x:c r="Q339" s="3" t="str">
        <x:v>未取得</x:v>
      </x:c>
      <x:c r="R339" s="3" t="str">
        <x:v>Unknown</x:v>
      </x:c>
      <x:c r="S339" s="3" t="str">
        <x:v>不明</x:v>
      </x:c>
      <x:c r="T339" s="3" t="str">
        <x:v>20-ปัจจุบัน</x:v>
      </x:c>
      <x:c r="U339" s="28" t="n">
        <x:v>549000</x:v>
      </x:c>
      <x:c r="V339" s="28" t="n">
        <x:v>1019000</x:v>
      </x:c>
      <x:c r="W339" s="3" t="str">
        <x:v>事故・水没・SOH・保証残は未確認</x:v>
      </x:c>
      <x:c r="X339" s="3" t="str">
        <x:v>掲載中・在庫未確認</x:v>
      </x:c>
      <x:c r="Y339" s="3" t="str"/>
      <x:c r="Z339" s="27" t="str">
        <x:v>https://www.taladrod.com/w40/icar/cardet.aspx?cid=2922142</x:v>
      </x:c>
      <x:c r="AA339" s="3" t="str">
        <x:v>Taladrod個別広告ID／Carsome在庫ID</x:v>
      </x:c>
      <x:c r="AB339" s="3" t="str">
        <x:v>車台番号未取得／サイト間重複は未判定</x:v>
      </x:c>
      <x:c r="AC339" s="3" t="str">
        <x:v>税込区分未確認（一覧表示額）</x:v>
      </x:c>
      <x:c r="AD339" s="3" t="str"/>
      <x:c r="AE339" s="29" t="str">
        <x:f>""</x:f>
      </x:c>
      <x:c r="AF339" s="30" t="str">
        <x:f>IF(ISNUMBER(AE339),U339/AE339,"")</x:f>
      </x:c>
      <x:c r="AG339" s="29" t="n">
        <x:f>'新車価格・特価'!N53</x:f>
        <x:v>989000</x:v>
      </x:c>
      <x:c r="AH339" s="30" t="n">
        <x:f>IF(ISNUMBER(AG339),U339/AG339,"")</x:f>
        <x:v>0.5551061678463094</x:v>
      </x:c>
      <x:c r="AI339" s="3" t="str">
        <x:v>同年式・グレードの検証済み当時価格なし／登録年混在</x:v>
      </x:c>
      <x:c r="AJ339" s="3" t="str">
        <x:v>一覧価格/年式のみ</x:v>
      </x:c>
      <x:c r="AK339" s="3" t="str">
        <x:v>一覧の表示価格。年式は掲載年式。</x:v>
      </x:c>
      <x:c r="AL339" s="31" t="n">
        <x:f>IF(AND(J339&lt;='分析方法'!$B$7,OR(ISBLANK(O339),O339&gt;='分析方法'!$B$8),X339&lt;&gt;"売却済み表示"),1,0)</x:f>
        <x:v>1</x:v>
      </x:c>
      <x:c r="AM339" s="32" t="n">
        <x:f>IF(AL339=1,U339,"")</x:f>
        <x:v>549000</x:v>
      </x:c>
      <x:c r="AN339" s="33" t="str">
        <x:f>IF(AL339=1,AF339,"")</x:f>
      </x:c>
      <x:c r="AO339" s="31" t="n">
        <x:f>'分析方法'!$B$6-J339</x:f>
        <x:v>5</x:v>
      </x:c>
      <x:c r="AP339" s="3"/>
    </x:row>
    <x:row r="340" ht="22" customHeight="1">
      <x:c r="A340" s="3" t="str">
        <x:v>T2925704</x:v>
      </x:c>
      <x:c r="B340" s="7" t="d">
        <x:v>2026-10-08T00:00:00.000Z</x:v>
      </x:c>
      <x:c r="C340" s="3" t="str">
        <x:v>Taladrod</x:v>
      </x:c>
      <x:c r="D340" s="3" t="str">
        <x:v>Toyota</x:v>
      </x:c>
      <x:c r="E340" s="3" t="str">
        <x:v>日本</x:v>
      </x:c>
      <x:c r="F340" s="3" t="str">
        <x:v>Corolla Cross</x:v>
      </x:c>
      <x:c r="G340" s="3" t="str">
        <x:v>HEV</x:v>
      </x:c>
      <x:c r="H340" s="3" t="str">
        <x:v>SUV</x:v>
      </x:c>
      <x:c r="I340" s="3" t="str"/>
      <x:c r="J340" s="3" t="n">
        <x:v>2021</x:v>
      </x:c>
      <x:c r="K340" s="3" t="str">
        <x:v>1.8 HYBRID SMART</x:v>
      </x:c>
      <x:c r="L340" s="3" t="str">
        <x:v>HEV SMART</x:v>
      </x:c>
      <x:c r="M340" s="22"/>
      <x:c r="N340" s="22"/>
      <x:c r="O340" s="22"/>
      <x:c r="P340" s="3" t="str">
        <x:v>未掲載</x:v>
      </x:c>
      <x:c r="Q340" s="3" t="str">
        <x:v>未取得</x:v>
      </x:c>
      <x:c r="R340" s="3" t="str">
        <x:v>Unknown</x:v>
      </x:c>
      <x:c r="S340" s="3" t="str">
        <x:v>不明</x:v>
      </x:c>
      <x:c r="T340" s="3" t="str">
        <x:v>20-ปัจจุบัน</x:v>
      </x:c>
      <x:c r="U340" s="28" t="n">
        <x:v>559000</x:v>
      </x:c>
      <x:c r="V340" s="28" t="n">
        <x:v>1019000</x:v>
      </x:c>
      <x:c r="W340" s="3" t="str">
        <x:v>事故・水没・SOH・保証残は未確認</x:v>
      </x:c>
      <x:c r="X340" s="3" t="str">
        <x:v>掲載中・在庫未確認</x:v>
      </x:c>
      <x:c r="Y340" s="3" t="str"/>
      <x:c r="Z340" s="27" t="str">
        <x:v>https://www.taladrod.com/w40/icar/cardet.aspx?cid=2925704</x:v>
      </x:c>
      <x:c r="AA340" s="3" t="str">
        <x:v>Taladrod個別広告ID／Carsome在庫ID</x:v>
      </x:c>
      <x:c r="AB340" s="3" t="str">
        <x:v>車台番号未取得／サイト間重複は未判定</x:v>
      </x:c>
      <x:c r="AC340" s="3" t="str">
        <x:v>税込区分未確認（一覧表示額）</x:v>
      </x:c>
      <x:c r="AD340" s="3" t="str"/>
      <x:c r="AE340" s="29" t="str">
        <x:f>""</x:f>
      </x:c>
      <x:c r="AF340" s="30" t="str">
        <x:f>IF(ISNUMBER(AE340),U340/AE340,"")</x:f>
      </x:c>
      <x:c r="AG340" s="29" t="n">
        <x:f>'新車価格・特価'!N53</x:f>
        <x:v>989000</x:v>
      </x:c>
      <x:c r="AH340" s="30" t="n">
        <x:f>IF(ISNUMBER(AG340),U340/AG340,"")</x:f>
        <x:v>0.5652173913043478</x:v>
      </x:c>
      <x:c r="AI340" s="3" t="str">
        <x:v>同年式・グレードの検証済み当時価格なし／登録年混在</x:v>
      </x:c>
      <x:c r="AJ340" s="3" t="str">
        <x:v>一覧価格/年式のみ</x:v>
      </x:c>
      <x:c r="AK340" s="3" t="str">
        <x:v>一覧の表示価格。年式は掲載年式。</x:v>
      </x:c>
      <x:c r="AL340" s="31" t="n">
        <x:f>IF(AND(J340&lt;='分析方法'!$B$7,OR(ISBLANK(O340),O340&gt;='分析方法'!$B$8),X340&lt;&gt;"売却済み表示"),1,0)</x:f>
        <x:v>1</x:v>
      </x:c>
      <x:c r="AM340" s="32" t="n">
        <x:f>IF(AL340=1,U340,"")</x:f>
        <x:v>559000</x:v>
      </x:c>
      <x:c r="AN340" s="33" t="str">
        <x:f>IF(AL340=1,AF340,"")</x:f>
      </x:c>
      <x:c r="AO340" s="31" t="n">
        <x:f>'分析方法'!$B$6-J340</x:f>
        <x:v>5</x:v>
      </x:c>
      <x:c r="AP340" s="3"/>
    </x:row>
    <x:row r="341" ht="22" customHeight="1">
      <x:c r="A341" s="3" t="str">
        <x:v>T2889875</x:v>
      </x:c>
      <x:c r="B341" s="7" t="d">
        <x:v>2026-10-08T00:00:00.000Z</x:v>
      </x:c>
      <x:c r="C341" s="3" t="str">
        <x:v>Taladrod</x:v>
      </x:c>
      <x:c r="D341" s="3" t="str">
        <x:v>Toyota</x:v>
      </x:c>
      <x:c r="E341" s="3" t="str">
        <x:v>日本</x:v>
      </x:c>
      <x:c r="F341" s="3" t="str">
        <x:v>Corolla Cross</x:v>
      </x:c>
      <x:c r="G341" s="3" t="str">
        <x:v>HEV</x:v>
      </x:c>
      <x:c r="H341" s="3" t="str">
        <x:v>SUV</x:v>
      </x:c>
      <x:c r="I341" s="3" t="str"/>
      <x:c r="J341" s="3" t="n">
        <x:v>2022</x:v>
      </x:c>
      <x:c r="K341" s="3" t="str">
        <x:v>1.8 HYBRID GR SPORT</x:v>
      </x:c>
      <x:c r="L341" s="3" t="str">
        <x:v>HEV GR SPORT</x:v>
      </x:c>
      <x:c r="M341" s="22"/>
      <x:c r="N341" s="22"/>
      <x:c r="O341" s="22"/>
      <x:c r="P341" s="3" t="str">
        <x:v>未掲載</x:v>
      </x:c>
      <x:c r="Q341" s="3" t="str">
        <x:v>未取得</x:v>
      </x:c>
      <x:c r="R341" s="3" t="str">
        <x:v>Unknown</x:v>
      </x:c>
      <x:c r="S341" s="3" t="str">
        <x:v>不明</x:v>
      </x:c>
      <x:c r="T341" s="3" t="str">
        <x:v>20-ปัจจุบัน</x:v>
      </x:c>
      <x:c r="U341" s="28" t="n">
        <x:v>789000</x:v>
      </x:c>
      <x:c r="V341" s="28"/>
      <x:c r="W341" s="3" t="str">
        <x:v>事故・水没・SOH・保証残は未確認</x:v>
      </x:c>
      <x:c r="X341" s="3" t="str">
        <x:v>掲載中・在庫未確認</x:v>
      </x:c>
      <x:c r="Y341" s="3" t="str"/>
      <x:c r="Z341" s="27" t="str">
        <x:v>https://www.taladrod.com/w40/icar/cardet.aspx?cid=2889875</x:v>
      </x:c>
      <x:c r="AA341" s="3" t="str">
        <x:v>Taladrod個別広告ID／Carsome在庫ID</x:v>
      </x:c>
      <x:c r="AB341" s="3" t="str">
        <x:v>車台番号未取得／サイト間重複は未判定</x:v>
      </x:c>
      <x:c r="AC341" s="3" t="str">
        <x:v>税込区分未確認（一覧表示額）</x:v>
      </x:c>
      <x:c r="AD341" s="3" t="str"/>
      <x:c r="AE341" s="29" t="str">
        <x:f>""</x:f>
      </x:c>
      <x:c r="AF341" s="30" t="str">
        <x:f>IF(ISNUMBER(AE341),U341/AE341,"")</x:f>
      </x:c>
      <x:c r="AG341" s="29" t="str">
        <x:f>""</x:f>
      </x:c>
      <x:c r="AH341" s="30" t="str">
        <x:f>IF(ISNUMBER(AG341),U341/AG341,"")</x:f>
      </x:c>
      <x:c r="AI341" s="3" t="str">
        <x:v>同年式・グレードの検証済み当時価格なし／登録年混在</x:v>
      </x:c>
      <x:c r="AJ341" s="3" t="str">
        <x:v>一覧価格/年式のみ</x:v>
      </x:c>
      <x:c r="AK341" s="3" t="str">
        <x:v>一覧の表示価格。年式は掲載年式。</x:v>
      </x:c>
      <x:c r="AL341" s="31" t="n">
        <x:f>IF(AND(J341&lt;='分析方法'!$B$7,OR(ISBLANK(O341),O341&gt;='分析方法'!$B$8),X341&lt;&gt;"売却済み表示"),1,0)</x:f>
        <x:v>1</x:v>
      </x:c>
      <x:c r="AM341" s="32" t="n">
        <x:f>IF(AL341=1,U341,"")</x:f>
        <x:v>789000</x:v>
      </x:c>
      <x:c r="AN341" s="33" t="str">
        <x:f>IF(AL341=1,AF341,"")</x:f>
      </x:c>
      <x:c r="AO341" s="31" t="n">
        <x:f>'分析方法'!$B$6-J341</x:f>
        <x:v>4</x:v>
      </x:c>
      <x:c r="AP341" s="3"/>
    </x:row>
    <x:row r="342" ht="22" customHeight="1">
      <x:c r="A342" s="3" t="str">
        <x:v>T2891769</x:v>
      </x:c>
      <x:c r="B342" s="7" t="d">
        <x:v>2026-10-08T00:00:00.000Z</x:v>
      </x:c>
      <x:c r="C342" s="3" t="str">
        <x:v>Taladrod</x:v>
      </x:c>
      <x:c r="D342" s="3" t="str">
        <x:v>Toyota</x:v>
      </x:c>
      <x:c r="E342" s="3" t="str">
        <x:v>日本</x:v>
      </x:c>
      <x:c r="F342" s="3" t="str">
        <x:v>Corolla Cross</x:v>
      </x:c>
      <x:c r="G342" s="3" t="str">
        <x:v>HEV</x:v>
      </x:c>
      <x:c r="H342" s="3" t="str">
        <x:v>SUV</x:v>
      </x:c>
      <x:c r="I342" s="3" t="str"/>
      <x:c r="J342" s="3" t="n">
        <x:v>2022</x:v>
      </x:c>
      <x:c r="K342" s="3" t="str">
        <x:v>1.8 HYBRID GR SPORT</x:v>
      </x:c>
      <x:c r="L342" s="3" t="str">
        <x:v>HEV GR SPORT</x:v>
      </x:c>
      <x:c r="M342" s="22"/>
      <x:c r="N342" s="22"/>
      <x:c r="O342" s="22"/>
      <x:c r="P342" s="3" t="str">
        <x:v>未掲載</x:v>
      </x:c>
      <x:c r="Q342" s="3" t="str">
        <x:v>未取得</x:v>
      </x:c>
      <x:c r="R342" s="3" t="str">
        <x:v>Unknown</x:v>
      </x:c>
      <x:c r="S342" s="3" t="str">
        <x:v>不明</x:v>
      </x:c>
      <x:c r="T342" s="3" t="str">
        <x:v>20-ปัจจุบัน</x:v>
      </x:c>
      <x:c r="U342" s="28" t="n">
        <x:v>745000</x:v>
      </x:c>
      <x:c r="V342" s="28"/>
      <x:c r="W342" s="3" t="str">
        <x:v>事故・水没・SOH・保証残は未確認</x:v>
      </x:c>
      <x:c r="X342" s="3" t="str">
        <x:v>掲載中・在庫未確認</x:v>
      </x:c>
      <x:c r="Y342" s="3" t="str"/>
      <x:c r="Z342" s="27" t="str">
        <x:v>https://www.taladrod.com/w40/icar/cardet.aspx?cid=2891769</x:v>
      </x:c>
      <x:c r="AA342" s="3" t="str">
        <x:v>Taladrod個別広告ID／Carsome在庫ID</x:v>
      </x:c>
      <x:c r="AB342" s="3" t="str">
        <x:v>車台番号未取得／サイト間重複は未判定</x:v>
      </x:c>
      <x:c r="AC342" s="3" t="str">
        <x:v>税込区分未確認（一覧表示額）</x:v>
      </x:c>
      <x:c r="AD342" s="3" t="str"/>
      <x:c r="AE342" s="29" t="str">
        <x:f>""</x:f>
      </x:c>
      <x:c r="AF342" s="30" t="str">
        <x:f>IF(ISNUMBER(AE342),U342/AE342,"")</x:f>
      </x:c>
      <x:c r="AG342" s="29" t="str">
        <x:f>""</x:f>
      </x:c>
      <x:c r="AH342" s="30" t="str">
        <x:f>IF(ISNUMBER(AG342),U342/AG342,"")</x:f>
      </x:c>
      <x:c r="AI342" s="3" t="str">
        <x:v>同年式・グレードの検証済み当時価格なし／登録年混在</x:v>
      </x:c>
      <x:c r="AJ342" s="3" t="str">
        <x:v>一覧価格/年式のみ</x:v>
      </x:c>
      <x:c r="AK342" s="3" t="str">
        <x:v>一覧の表示価格。年式は掲載年式。</x:v>
      </x:c>
      <x:c r="AL342" s="31" t="n">
        <x:f>IF(AND(J342&lt;='分析方法'!$B$7,OR(ISBLANK(O342),O342&gt;='分析方法'!$B$8),X342&lt;&gt;"売却済み表示"),1,0)</x:f>
        <x:v>1</x:v>
      </x:c>
      <x:c r="AM342" s="32" t="n">
        <x:f>IF(AL342=1,U342,"")</x:f>
        <x:v>745000</x:v>
      </x:c>
      <x:c r="AN342" s="33" t="str">
        <x:f>IF(AL342=1,AF342,"")</x:f>
      </x:c>
      <x:c r="AO342" s="31" t="n">
        <x:f>'分析方法'!$B$6-J342</x:f>
        <x:v>4</x:v>
      </x:c>
      <x:c r="AP342" s="3"/>
    </x:row>
    <x:row r="343" ht="22" customHeight="1">
      <x:c r="A343" s="3" t="str">
        <x:v>T2906202</x:v>
      </x:c>
      <x:c r="B343" s="7" t="d">
        <x:v>2026-10-08T00:00:00.000Z</x:v>
      </x:c>
      <x:c r="C343" s="3" t="str">
        <x:v>Taladrod</x:v>
      </x:c>
      <x:c r="D343" s="3" t="str">
        <x:v>Toyota</x:v>
      </x:c>
      <x:c r="E343" s="3" t="str">
        <x:v>日本</x:v>
      </x:c>
      <x:c r="F343" s="3" t="str">
        <x:v>Corolla Cross</x:v>
      </x:c>
      <x:c r="G343" s="3" t="str">
        <x:v>HEV</x:v>
      </x:c>
      <x:c r="H343" s="3" t="str">
        <x:v>SUV</x:v>
      </x:c>
      <x:c r="I343" s="3" t="str"/>
      <x:c r="J343" s="3" t="n">
        <x:v>2022</x:v>
      </x:c>
      <x:c r="K343" s="3" t="str">
        <x:v>1.8 HYBRID GR SPORT</x:v>
      </x:c>
      <x:c r="L343" s="3" t="str">
        <x:v>HEV GR SPORT</x:v>
      </x:c>
      <x:c r="M343" s="22"/>
      <x:c r="N343" s="22"/>
      <x:c r="O343" s="22"/>
      <x:c r="P343" s="3" t="str">
        <x:v>未掲載</x:v>
      </x:c>
      <x:c r="Q343" s="3" t="str">
        <x:v>未取得</x:v>
      </x:c>
      <x:c r="R343" s="3" t="str">
        <x:v>Unknown</x:v>
      </x:c>
      <x:c r="S343" s="3" t="str">
        <x:v>不明</x:v>
      </x:c>
      <x:c r="T343" s="3" t="str">
        <x:v>20-ปัจจุบัน</x:v>
      </x:c>
      <x:c r="U343" s="28" t="n">
        <x:v>795000</x:v>
      </x:c>
      <x:c r="V343" s="28"/>
      <x:c r="W343" s="3" t="str">
        <x:v>事故・水没・SOH・保証残は未確認</x:v>
      </x:c>
      <x:c r="X343" s="3" t="str">
        <x:v>掲載中・在庫未確認</x:v>
      </x:c>
      <x:c r="Y343" s="3" t="str"/>
      <x:c r="Z343" s="27" t="str">
        <x:v>https://www.taladrod.com/w40/icar/cardet.aspx?cid=2906202</x:v>
      </x:c>
      <x:c r="AA343" s="3" t="str">
        <x:v>Taladrod個別広告ID／Carsome在庫ID</x:v>
      </x:c>
      <x:c r="AB343" s="3" t="str">
        <x:v>車台番号未取得／サイト間重複は未判定</x:v>
      </x:c>
      <x:c r="AC343" s="3" t="str">
        <x:v>税込区分未確認（一覧表示額）</x:v>
      </x:c>
      <x:c r="AD343" s="3" t="str"/>
      <x:c r="AE343" s="29" t="str">
        <x:f>""</x:f>
      </x:c>
      <x:c r="AF343" s="30" t="str">
        <x:f>IF(ISNUMBER(AE343),U343/AE343,"")</x:f>
      </x:c>
      <x:c r="AG343" s="29" t="str">
        <x:f>""</x:f>
      </x:c>
      <x:c r="AH343" s="30" t="str">
        <x:f>IF(ISNUMBER(AG343),U343/AG343,"")</x:f>
      </x:c>
      <x:c r="AI343" s="3" t="str">
        <x:v>同年式・グレードの検証済み当時価格なし／登録年混在</x:v>
      </x:c>
      <x:c r="AJ343" s="3" t="str">
        <x:v>一覧価格/年式のみ</x:v>
      </x:c>
      <x:c r="AK343" s="3" t="str">
        <x:v>一覧の表示価格。年式は掲載年式。</x:v>
      </x:c>
      <x:c r="AL343" s="31" t="n">
        <x:f>IF(AND(J343&lt;='分析方法'!$B$7,OR(ISBLANK(O343),O343&gt;='分析方法'!$B$8),X343&lt;&gt;"売却済み表示"),1,0)</x:f>
        <x:v>1</x:v>
      </x:c>
      <x:c r="AM343" s="32" t="n">
        <x:f>IF(AL343=1,U343,"")</x:f>
        <x:v>795000</x:v>
      </x:c>
      <x:c r="AN343" s="33" t="str">
        <x:f>IF(AL343=1,AF343,"")</x:f>
      </x:c>
      <x:c r="AO343" s="31" t="n">
        <x:f>'分析方法'!$B$6-J343</x:f>
        <x:v>4</x:v>
      </x:c>
      <x:c r="AP343" s="3"/>
    </x:row>
    <x:row r="344" ht="22" customHeight="1">
      <x:c r="A344" s="3" t="str">
        <x:v>T2922912</x:v>
      </x:c>
      <x:c r="B344" s="7" t="d">
        <x:v>2026-10-08T00:00:00.000Z</x:v>
      </x:c>
      <x:c r="C344" s="3" t="str">
        <x:v>Taladrod</x:v>
      </x:c>
      <x:c r="D344" s="3" t="str">
        <x:v>Toyota</x:v>
      </x:c>
      <x:c r="E344" s="3" t="str">
        <x:v>日本</x:v>
      </x:c>
      <x:c r="F344" s="3" t="str">
        <x:v>Corolla Cross</x:v>
      </x:c>
      <x:c r="G344" s="3" t="str">
        <x:v>HEV</x:v>
      </x:c>
      <x:c r="H344" s="3" t="str">
        <x:v>SUV</x:v>
      </x:c>
      <x:c r="I344" s="3" t="str"/>
      <x:c r="J344" s="3" t="n">
        <x:v>2022</x:v>
      </x:c>
      <x:c r="K344" s="3" t="str">
        <x:v>1.8 HYBRID GR SPORT</x:v>
      </x:c>
      <x:c r="L344" s="3" t="str">
        <x:v>HEV GR SPORT</x:v>
      </x:c>
      <x:c r="M344" s="22"/>
      <x:c r="N344" s="22"/>
      <x:c r="O344" s="22"/>
      <x:c r="P344" s="3" t="str">
        <x:v>未掲載</x:v>
      </x:c>
      <x:c r="Q344" s="3" t="str">
        <x:v>未取得</x:v>
      </x:c>
      <x:c r="R344" s="3" t="str">
        <x:v>Unknown</x:v>
      </x:c>
      <x:c r="S344" s="3" t="str">
        <x:v>不明</x:v>
      </x:c>
      <x:c r="T344" s="3" t="str">
        <x:v>20-ปัจจุบัน</x:v>
      </x:c>
      <x:c r="U344" s="28" t="n">
        <x:v>719000</x:v>
      </x:c>
      <x:c r="V344" s="28"/>
      <x:c r="W344" s="3" t="str">
        <x:v>事故・水没・SOH・保証残は未確認</x:v>
      </x:c>
      <x:c r="X344" s="3" t="str">
        <x:v>掲載中・在庫未確認</x:v>
      </x:c>
      <x:c r="Y344" s="3" t="str"/>
      <x:c r="Z344" s="27" t="str">
        <x:v>https://www.taladrod.com/w40/icar/cardet.aspx?cid=2922912</x:v>
      </x:c>
      <x:c r="AA344" s="3" t="str">
        <x:v>Taladrod個別広告ID／Carsome在庫ID</x:v>
      </x:c>
      <x:c r="AB344" s="3" t="str">
        <x:v>車台番号未取得／サイト間重複は未判定</x:v>
      </x:c>
      <x:c r="AC344" s="3" t="str">
        <x:v>税込区分未確認（一覧表示額）</x:v>
      </x:c>
      <x:c r="AD344" s="3" t="str"/>
      <x:c r="AE344" s="29" t="str">
        <x:f>""</x:f>
      </x:c>
      <x:c r="AF344" s="30" t="str">
        <x:f>IF(ISNUMBER(AE344),U344/AE344,"")</x:f>
      </x:c>
      <x:c r="AG344" s="29" t="str">
        <x:f>""</x:f>
      </x:c>
      <x:c r="AH344" s="30" t="str">
        <x:f>IF(ISNUMBER(AG344),U344/AG344,"")</x:f>
      </x:c>
      <x:c r="AI344" s="3" t="str">
        <x:v>同年式・グレードの検証済み当時価格なし／登録年混在</x:v>
      </x:c>
      <x:c r="AJ344" s="3" t="str">
        <x:v>一覧価格/年式のみ</x:v>
      </x:c>
      <x:c r="AK344" s="3" t="str">
        <x:v>一覧の表示価格。年式は掲載年式。</x:v>
      </x:c>
      <x:c r="AL344" s="31" t="n">
        <x:f>IF(AND(J344&lt;='分析方法'!$B$7,OR(ISBLANK(O344),O344&gt;='分析方法'!$B$8),X344&lt;&gt;"売却済み表示"),1,0)</x:f>
        <x:v>1</x:v>
      </x:c>
      <x:c r="AM344" s="32" t="n">
        <x:f>IF(AL344=1,U344,"")</x:f>
        <x:v>719000</x:v>
      </x:c>
      <x:c r="AN344" s="33" t="str">
        <x:f>IF(AL344=1,AF344,"")</x:f>
      </x:c>
      <x:c r="AO344" s="31" t="n">
        <x:f>'分析方法'!$B$6-J344</x:f>
        <x:v>4</x:v>
      </x:c>
      <x:c r="AP344" s="3"/>
    </x:row>
    <x:row r="345" ht="22" customHeight="1">
      <x:c r="A345" s="3" t="str">
        <x:v>T2923412</x:v>
      </x:c>
      <x:c r="B345" s="7" t="d">
        <x:v>2026-10-08T00:00:00.000Z</x:v>
      </x:c>
      <x:c r="C345" s="3" t="str">
        <x:v>Taladrod</x:v>
      </x:c>
      <x:c r="D345" s="3" t="str">
        <x:v>Toyota</x:v>
      </x:c>
      <x:c r="E345" s="3" t="str">
        <x:v>日本</x:v>
      </x:c>
      <x:c r="F345" s="3" t="str">
        <x:v>Corolla Cross</x:v>
      </x:c>
      <x:c r="G345" s="3" t="str">
        <x:v>HEV</x:v>
      </x:c>
      <x:c r="H345" s="3" t="str">
        <x:v>SUV</x:v>
      </x:c>
      <x:c r="I345" s="3" t="str"/>
      <x:c r="J345" s="3" t="n">
        <x:v>2022</x:v>
      </x:c>
      <x:c r="K345" s="3" t="str">
        <x:v>1.8 HYBRID GR SPORT</x:v>
      </x:c>
      <x:c r="L345" s="3" t="str">
        <x:v>HEV GR SPORT</x:v>
      </x:c>
      <x:c r="M345" s="22"/>
      <x:c r="N345" s="22"/>
      <x:c r="O345" s="22"/>
      <x:c r="P345" s="3" t="str">
        <x:v>未掲載</x:v>
      </x:c>
      <x:c r="Q345" s="3" t="str">
        <x:v>未取得</x:v>
      </x:c>
      <x:c r="R345" s="3" t="str">
        <x:v>Unknown</x:v>
      </x:c>
      <x:c r="S345" s="3" t="str">
        <x:v>不明</x:v>
      </x:c>
      <x:c r="T345" s="3" t="str">
        <x:v>20-ปัจจุบัน</x:v>
      </x:c>
      <x:c r="U345" s="28" t="n">
        <x:v>769000</x:v>
      </x:c>
      <x:c r="V345" s="28"/>
      <x:c r="W345" s="3" t="str">
        <x:v>事故・水没・SOH・保証残は未確認</x:v>
      </x:c>
      <x:c r="X345" s="3" t="str">
        <x:v>掲載中・在庫未確認</x:v>
      </x:c>
      <x:c r="Y345" s="3" t="str"/>
      <x:c r="Z345" s="27" t="str">
        <x:v>https://www.taladrod.com/w40/icar/cardet.aspx?cid=2923412</x:v>
      </x:c>
      <x:c r="AA345" s="3" t="str">
        <x:v>Taladrod個別広告ID／Carsome在庫ID</x:v>
      </x:c>
      <x:c r="AB345" s="3" t="str">
        <x:v>車台番号未取得／サイト間重複は未判定</x:v>
      </x:c>
      <x:c r="AC345" s="3" t="str">
        <x:v>税込区分未確認（一覧表示額）</x:v>
      </x:c>
      <x:c r="AD345" s="3" t="str"/>
      <x:c r="AE345" s="29" t="str">
        <x:f>""</x:f>
      </x:c>
      <x:c r="AF345" s="30" t="str">
        <x:f>IF(ISNUMBER(AE345),U345/AE345,"")</x:f>
      </x:c>
      <x:c r="AG345" s="29" t="str">
        <x:f>""</x:f>
      </x:c>
      <x:c r="AH345" s="30" t="str">
        <x:f>IF(ISNUMBER(AG345),U345/AG345,"")</x:f>
      </x:c>
      <x:c r="AI345" s="3" t="str">
        <x:v>同年式・グレードの検証済み当時価格なし／登録年混在</x:v>
      </x:c>
      <x:c r="AJ345" s="3" t="str">
        <x:v>一覧価格/年式のみ</x:v>
      </x:c>
      <x:c r="AK345" s="3" t="str">
        <x:v>一覧の表示価格。年式は掲載年式。</x:v>
      </x:c>
      <x:c r="AL345" s="31" t="n">
        <x:f>IF(AND(J345&lt;='分析方法'!$B$7,OR(ISBLANK(O345),O345&gt;='分析方法'!$B$8),X345&lt;&gt;"売却済み表示"),1,0)</x:f>
        <x:v>1</x:v>
      </x:c>
      <x:c r="AM345" s="32" t="n">
        <x:f>IF(AL345=1,U345,"")</x:f>
        <x:v>769000</x:v>
      </x:c>
      <x:c r="AN345" s="33" t="str">
        <x:f>IF(AL345=1,AF345,"")</x:f>
      </x:c>
      <x:c r="AO345" s="31" t="n">
        <x:f>'分析方法'!$B$6-J345</x:f>
        <x:v>4</x:v>
      </x:c>
      <x:c r="AP345" s="3"/>
    </x:row>
    <x:row r="346" ht="22" customHeight="1">
      <x:c r="A346" s="3" t="str">
        <x:v>T2925063</x:v>
      </x:c>
      <x:c r="B346" s="7" t="d">
        <x:v>2026-10-08T00:00:00.000Z</x:v>
      </x:c>
      <x:c r="C346" s="3" t="str">
        <x:v>Taladrod</x:v>
      </x:c>
      <x:c r="D346" s="3" t="str">
        <x:v>Toyota</x:v>
      </x:c>
      <x:c r="E346" s="3" t="str">
        <x:v>日本</x:v>
      </x:c>
      <x:c r="F346" s="3" t="str">
        <x:v>Corolla Cross</x:v>
      </x:c>
      <x:c r="G346" s="3" t="str">
        <x:v>HEV</x:v>
      </x:c>
      <x:c r="H346" s="3" t="str">
        <x:v>SUV</x:v>
      </x:c>
      <x:c r="I346" s="3" t="str"/>
      <x:c r="J346" s="3" t="n">
        <x:v>2022</x:v>
      </x:c>
      <x:c r="K346" s="3" t="str">
        <x:v>1.8 HEV GR SPORT</x:v>
      </x:c>
      <x:c r="L346" s="3" t="str">
        <x:v>HEV GR SPORT</x:v>
      </x:c>
      <x:c r="M346" s="22"/>
      <x:c r="N346" s="22"/>
      <x:c r="O346" s="22"/>
      <x:c r="P346" s="3" t="str">
        <x:v>未掲載</x:v>
      </x:c>
      <x:c r="Q346" s="3" t="str">
        <x:v>未取得</x:v>
      </x:c>
      <x:c r="R346" s="3" t="str">
        <x:v>Unknown</x:v>
      </x:c>
      <x:c r="S346" s="3" t="str">
        <x:v>不明</x:v>
      </x:c>
      <x:c r="T346" s="3" t="str">
        <x:v>20-ปัจจุบัน</x:v>
      </x:c>
      <x:c r="U346" s="28" t="n">
        <x:v>820000</x:v>
      </x:c>
      <x:c r="V346" s="28" t="n">
        <x:v>1249000</x:v>
      </x:c>
      <x:c r="W346" s="3" t="str">
        <x:v>事故・水没・SOH・保証残は未確認</x:v>
      </x:c>
      <x:c r="X346" s="3" t="str">
        <x:v>掲載中・在庫未確認</x:v>
      </x:c>
      <x:c r="Y346" s="3" t="str"/>
      <x:c r="Z346" s="27" t="str">
        <x:v>https://www.taladrod.com/w40/icar/cardet.aspx?cid=2925063</x:v>
      </x:c>
      <x:c r="AA346" s="3" t="str">
        <x:v>Taladrod個別広告ID／Carsome在庫ID</x:v>
      </x:c>
      <x:c r="AB346" s="3" t="str">
        <x:v>車台番号未取得／サイト間重複は未判定</x:v>
      </x:c>
      <x:c r="AC346" s="3" t="str">
        <x:v>税込区分未確認（一覧表示額）</x:v>
      </x:c>
      <x:c r="AD346" s="3" t="str"/>
      <x:c r="AE346" s="29" t="str">
        <x:f>""</x:f>
      </x:c>
      <x:c r="AF346" s="30" t="str">
        <x:f>IF(ISNUMBER(AE346),U346/AE346,"")</x:f>
      </x:c>
      <x:c r="AG346" s="29" t="str">
        <x:f>""</x:f>
      </x:c>
      <x:c r="AH346" s="30" t="str">
        <x:f>IF(ISNUMBER(AG346),U346/AG346,"")</x:f>
      </x:c>
      <x:c r="AI346" s="3" t="str">
        <x:v>同年式・グレードの検証済み当時価格なし／登録年混在</x:v>
      </x:c>
      <x:c r="AJ346" s="3" t="str">
        <x:v>一覧価格/年式のみ</x:v>
      </x:c>
      <x:c r="AK346" s="3" t="str">
        <x:v>一覧の表示価格。年式は掲載年式。</x:v>
      </x:c>
      <x:c r="AL346" s="31" t="n">
        <x:f>IF(AND(J346&lt;='分析方法'!$B$7,OR(ISBLANK(O346),O346&gt;='分析方法'!$B$8),X346&lt;&gt;"売却済み表示"),1,0)</x:f>
        <x:v>1</x:v>
      </x:c>
      <x:c r="AM346" s="32" t="n">
        <x:f>IF(AL346=1,U346,"")</x:f>
        <x:v>820000</x:v>
      </x:c>
      <x:c r="AN346" s="33" t="str">
        <x:f>IF(AL346=1,AF346,"")</x:f>
      </x:c>
      <x:c r="AO346" s="31" t="n">
        <x:f>'分析方法'!$B$6-J346</x:f>
        <x:v>4</x:v>
      </x:c>
      <x:c r="AP346" s="3"/>
    </x:row>
    <x:row r="347" ht="22" customHeight="1">
      <x:c r="A347" s="3" t="str">
        <x:v>T2925383</x:v>
      </x:c>
      <x:c r="B347" s="7" t="d">
        <x:v>2026-10-08T00:00:00.000Z</x:v>
      </x:c>
      <x:c r="C347" s="3" t="str">
        <x:v>Taladrod</x:v>
      </x:c>
      <x:c r="D347" s="3" t="str">
        <x:v>Toyota</x:v>
      </x:c>
      <x:c r="E347" s="3" t="str">
        <x:v>日本</x:v>
      </x:c>
      <x:c r="F347" s="3" t="str">
        <x:v>Corolla Cross</x:v>
      </x:c>
      <x:c r="G347" s="3" t="str">
        <x:v>HEV</x:v>
      </x:c>
      <x:c r="H347" s="3" t="str">
        <x:v>SUV</x:v>
      </x:c>
      <x:c r="I347" s="3" t="str"/>
      <x:c r="J347" s="3" t="n">
        <x:v>2022</x:v>
      </x:c>
      <x:c r="K347" s="3" t="str">
        <x:v>1.8 HYBRID GR SPORT</x:v>
      </x:c>
      <x:c r="L347" s="3" t="str">
        <x:v>HEV GR SPORT</x:v>
      </x:c>
      <x:c r="M347" s="22"/>
      <x:c r="N347" s="22"/>
      <x:c r="O347" s="22"/>
      <x:c r="P347" s="3" t="str">
        <x:v>未掲載</x:v>
      </x:c>
      <x:c r="Q347" s="3" t="str">
        <x:v>未取得</x:v>
      </x:c>
      <x:c r="R347" s="3" t="str">
        <x:v>Unknown</x:v>
      </x:c>
      <x:c r="S347" s="3" t="str">
        <x:v>不明</x:v>
      </x:c>
      <x:c r="T347" s="3" t="str">
        <x:v>20-ปัจจุบัน</x:v>
      </x:c>
      <x:c r="U347" s="28" t="n">
        <x:v>669000</x:v>
      </x:c>
      <x:c r="V347" s="28"/>
      <x:c r="W347" s="3" t="str">
        <x:v>事故・水没・SOH・保証残は未確認</x:v>
      </x:c>
      <x:c r="X347" s="3" t="str">
        <x:v>掲載中・在庫未確認</x:v>
      </x:c>
      <x:c r="Y347" s="3" t="str"/>
      <x:c r="Z347" s="27" t="str">
        <x:v>https://www.taladrod.com/w40/icar/cardet.aspx?cid=2925383</x:v>
      </x:c>
      <x:c r="AA347" s="3" t="str">
        <x:v>Taladrod個別広告ID／Carsome在庫ID</x:v>
      </x:c>
      <x:c r="AB347" s="3" t="str">
        <x:v>車台番号未取得／サイト間重複は未判定</x:v>
      </x:c>
      <x:c r="AC347" s="3" t="str">
        <x:v>税込区分未確認（一覧表示額）</x:v>
      </x:c>
      <x:c r="AD347" s="3" t="str"/>
      <x:c r="AE347" s="29" t="str">
        <x:f>""</x:f>
      </x:c>
      <x:c r="AF347" s="30" t="str">
        <x:f>IF(ISNUMBER(AE347),U347/AE347,"")</x:f>
      </x:c>
      <x:c r="AG347" s="29" t="str">
        <x:f>""</x:f>
      </x:c>
      <x:c r="AH347" s="30" t="str">
        <x:f>IF(ISNUMBER(AG347),U347/AG347,"")</x:f>
      </x:c>
      <x:c r="AI347" s="3" t="str">
        <x:v>同年式・グレードの検証済み当時価格なし／登録年混在</x:v>
      </x:c>
      <x:c r="AJ347" s="3" t="str">
        <x:v>一覧価格/年式のみ</x:v>
      </x:c>
      <x:c r="AK347" s="3" t="str">
        <x:v>一覧の表示価格。年式は掲載年式。</x:v>
      </x:c>
      <x:c r="AL347" s="31" t="n">
        <x:f>IF(AND(J347&lt;='分析方法'!$B$7,OR(ISBLANK(O347),O347&gt;='分析方法'!$B$8),X347&lt;&gt;"売却済み表示"),1,0)</x:f>
        <x:v>1</x:v>
      </x:c>
      <x:c r="AM347" s="32" t="n">
        <x:f>IF(AL347=1,U347,"")</x:f>
        <x:v>669000</x:v>
      </x:c>
      <x:c r="AN347" s="33" t="str">
        <x:f>IF(AL347=1,AF347,"")</x:f>
      </x:c>
      <x:c r="AO347" s="31" t="n">
        <x:f>'分析方法'!$B$6-J347</x:f>
        <x:v>4</x:v>
      </x:c>
      <x:c r="AP347" s="3"/>
    </x:row>
    <x:row r="348" ht="22" customHeight="1">
      <x:c r="A348" s="3" t="str">
        <x:v>T2926338</x:v>
      </x:c>
      <x:c r="B348" s="7" t="d">
        <x:v>2026-10-08T00:00:00.000Z</x:v>
      </x:c>
      <x:c r="C348" s="3" t="str">
        <x:v>Taladrod</x:v>
      </x:c>
      <x:c r="D348" s="3" t="str">
        <x:v>Toyota</x:v>
      </x:c>
      <x:c r="E348" s="3" t="str">
        <x:v>日本</x:v>
      </x:c>
      <x:c r="F348" s="3" t="str">
        <x:v>Corolla Cross</x:v>
      </x:c>
      <x:c r="G348" s="3" t="str">
        <x:v>HEV</x:v>
      </x:c>
      <x:c r="H348" s="3" t="str">
        <x:v>SUV</x:v>
      </x:c>
      <x:c r="I348" s="3" t="str"/>
      <x:c r="J348" s="3" t="n">
        <x:v>2022</x:v>
      </x:c>
      <x:c r="K348" s="3" t="str">
        <x:v>1.8 HYBRID GR SPORT</x:v>
      </x:c>
      <x:c r="L348" s="3" t="str">
        <x:v>HEV GR SPORT</x:v>
      </x:c>
      <x:c r="M348" s="22"/>
      <x:c r="N348" s="22"/>
      <x:c r="O348" s="22"/>
      <x:c r="P348" s="3" t="str">
        <x:v>未掲載</x:v>
      </x:c>
      <x:c r="Q348" s="3" t="str">
        <x:v>未取得</x:v>
      </x:c>
      <x:c r="R348" s="3" t="str">
        <x:v>Unknown</x:v>
      </x:c>
      <x:c r="S348" s="3" t="str">
        <x:v>不明</x:v>
      </x:c>
      <x:c r="T348" s="3" t="str">
        <x:v>20-ปัจจุบัน</x:v>
      </x:c>
      <x:c r="U348" s="28" t="n">
        <x:v>819000</x:v>
      </x:c>
      <x:c r="V348" s="28"/>
      <x:c r="W348" s="3" t="str">
        <x:v>事故・水没・SOH・保証残は未確認</x:v>
      </x:c>
      <x:c r="X348" s="3" t="str">
        <x:v>掲載中・在庫未確認</x:v>
      </x:c>
      <x:c r="Y348" s="3" t="str"/>
      <x:c r="Z348" s="27" t="str">
        <x:v>https://www.taladrod.com/w40/icar/cardet.aspx?cid=2926338</x:v>
      </x:c>
      <x:c r="AA348" s="3" t="str">
        <x:v>Taladrod個別広告ID／Carsome在庫ID</x:v>
      </x:c>
      <x:c r="AB348" s="3" t="str">
        <x:v>車台番号未取得／サイト間重複は未判定</x:v>
      </x:c>
      <x:c r="AC348" s="3" t="str">
        <x:v>税込区分未確認（一覧表示額）</x:v>
      </x:c>
      <x:c r="AD348" s="3" t="str"/>
      <x:c r="AE348" s="29" t="str">
        <x:f>""</x:f>
      </x:c>
      <x:c r="AF348" s="30" t="str">
        <x:f>IF(ISNUMBER(AE348),U348/AE348,"")</x:f>
      </x:c>
      <x:c r="AG348" s="29" t="str">
        <x:f>""</x:f>
      </x:c>
      <x:c r="AH348" s="30" t="str">
        <x:f>IF(ISNUMBER(AG348),U348/AG348,"")</x:f>
      </x:c>
      <x:c r="AI348" s="3" t="str">
        <x:v>同年式・グレードの検証済み当時価格なし／登録年混在</x:v>
      </x:c>
      <x:c r="AJ348" s="3" t="str">
        <x:v>一覧価格/年式のみ</x:v>
      </x:c>
      <x:c r="AK348" s="3" t="str">
        <x:v>一覧の表示価格。年式は掲載年式。</x:v>
      </x:c>
      <x:c r="AL348" s="31" t="n">
        <x:f>IF(AND(J348&lt;='分析方法'!$B$7,OR(ISBLANK(O348),O348&gt;='分析方法'!$B$8),X348&lt;&gt;"売却済み表示"),1,0)</x:f>
        <x:v>1</x:v>
      </x:c>
      <x:c r="AM348" s="32" t="n">
        <x:f>IF(AL348=1,U348,"")</x:f>
        <x:v>819000</x:v>
      </x:c>
      <x:c r="AN348" s="33" t="str">
        <x:f>IF(AL348=1,AF348,"")</x:f>
      </x:c>
      <x:c r="AO348" s="31" t="n">
        <x:f>'分析方法'!$B$6-J348</x:f>
        <x:v>4</x:v>
      </x:c>
      <x:c r="AP348" s="3"/>
    </x:row>
    <x:row r="349" ht="22" customHeight="1">
      <x:c r="A349" s="3" t="str">
        <x:v>T2885039</x:v>
      </x:c>
      <x:c r="B349" s="7" t="d">
        <x:v>2026-10-08T00:00:00.000Z</x:v>
      </x:c>
      <x:c r="C349" s="3" t="str">
        <x:v>Taladrod</x:v>
      </x:c>
      <x:c r="D349" s="3" t="str">
        <x:v>Toyota</x:v>
      </x:c>
      <x:c r="E349" s="3" t="str">
        <x:v>日本</x:v>
      </x:c>
      <x:c r="F349" s="3" t="str">
        <x:v>Corolla Cross</x:v>
      </x:c>
      <x:c r="G349" s="3" t="str">
        <x:v>HEV</x:v>
      </x:c>
      <x:c r="H349" s="3" t="str">
        <x:v>SUV</x:v>
      </x:c>
      <x:c r="I349" s="3" t="str"/>
      <x:c r="J349" s="3" t="n">
        <x:v>2022</x:v>
      </x:c>
      <x:c r="K349" s="3" t="str">
        <x:v>1.8 HYBRID PREMIUM</x:v>
      </x:c>
      <x:c r="L349" s="3" t="str">
        <x:v>HEV PREMIUM</x:v>
      </x:c>
      <x:c r="M349" s="22"/>
      <x:c r="N349" s="22"/>
      <x:c r="O349" s="22"/>
      <x:c r="P349" s="3" t="str">
        <x:v>未掲載</x:v>
      </x:c>
      <x:c r="Q349" s="3" t="str">
        <x:v>未取得</x:v>
      </x:c>
      <x:c r="R349" s="3" t="str">
        <x:v>Unknown</x:v>
      </x:c>
      <x:c r="S349" s="3" t="str">
        <x:v>不明</x:v>
      </x:c>
      <x:c r="T349" s="3" t="str">
        <x:v>20-ปัจจุบัน</x:v>
      </x:c>
      <x:c r="U349" s="28" t="n">
        <x:v>679000</x:v>
      </x:c>
      <x:c r="V349" s="28" t="n">
        <x:v>1089000</x:v>
      </x:c>
      <x:c r="W349" s="3" t="str">
        <x:v>事故・水没・SOH・保証残は未確認</x:v>
      </x:c>
      <x:c r="X349" s="3" t="str">
        <x:v>掲載中・在庫未確認</x:v>
      </x:c>
      <x:c r="Y349" s="3" t="str"/>
      <x:c r="Z349" s="27" t="str">
        <x:v>https://www.taladrod.com/w40/icar/cardet.aspx?cid=2885039</x:v>
      </x:c>
      <x:c r="AA349" s="3" t="str">
        <x:v>Taladrod個別広告ID／Carsome在庫ID</x:v>
      </x:c>
      <x:c r="AB349" s="3" t="str">
        <x:v>車台番号未取得／サイト間重複は未判定</x:v>
      </x:c>
      <x:c r="AC349" s="3" t="str">
        <x:v>税込区分未確認（一覧表示額）</x:v>
      </x:c>
      <x:c r="AD349" s="3" t="str"/>
      <x:c r="AE349" s="29" t="str">
        <x:f>""</x:f>
      </x:c>
      <x:c r="AF349" s="30" t="str">
        <x:f>IF(ISNUMBER(AE349),U349/AE349,"")</x:f>
      </x:c>
      <x:c r="AG349" s="29" t="n">
        <x:f>'新車価格・特価'!N54</x:f>
        <x:v>1094000</x:v>
      </x:c>
      <x:c r="AH349" s="30" t="n">
        <x:f>IF(ISNUMBER(AG349),U349/AG349,"")</x:f>
        <x:v>0.6206581352833638</x:v>
      </x:c>
      <x:c r="AI349" s="3" t="str">
        <x:v>同年式・グレードの検証済み当時価格なし／登録年混在</x:v>
      </x:c>
      <x:c r="AJ349" s="3" t="str">
        <x:v>一覧価格/年式のみ</x:v>
      </x:c>
      <x:c r="AK349" s="3" t="str">
        <x:v>一覧の表示価格。年式は掲載年式。</x:v>
      </x:c>
      <x:c r="AL349" s="31" t="n">
        <x:f>IF(AND(J349&lt;='分析方法'!$B$7,OR(ISBLANK(O349),O349&gt;='分析方法'!$B$8),X349&lt;&gt;"売却済み表示"),1,0)</x:f>
        <x:v>1</x:v>
      </x:c>
      <x:c r="AM349" s="32" t="n">
        <x:f>IF(AL349=1,U349,"")</x:f>
        <x:v>679000</x:v>
      </x:c>
      <x:c r="AN349" s="33" t="str">
        <x:f>IF(AL349=1,AF349,"")</x:f>
      </x:c>
      <x:c r="AO349" s="31" t="n">
        <x:f>'分析方法'!$B$6-J349</x:f>
        <x:v>4</x:v>
      </x:c>
      <x:c r="AP349" s="3"/>
    </x:row>
    <x:row r="350" ht="22" customHeight="1">
      <x:c r="A350" s="3" t="str">
        <x:v>T2895007</x:v>
      </x:c>
      <x:c r="B350" s="7" t="d">
        <x:v>2026-10-08T00:00:00.000Z</x:v>
      </x:c>
      <x:c r="C350" s="3" t="str">
        <x:v>Taladrod</x:v>
      </x:c>
      <x:c r="D350" s="3" t="str">
        <x:v>Toyota</x:v>
      </x:c>
      <x:c r="E350" s="3" t="str">
        <x:v>日本</x:v>
      </x:c>
      <x:c r="F350" s="3" t="str">
        <x:v>Corolla Cross</x:v>
      </x:c>
      <x:c r="G350" s="3" t="str">
        <x:v>HEV</x:v>
      </x:c>
      <x:c r="H350" s="3" t="str">
        <x:v>SUV</x:v>
      </x:c>
      <x:c r="I350" s="3" t="str"/>
      <x:c r="J350" s="3" t="n">
        <x:v>2022</x:v>
      </x:c>
      <x:c r="K350" s="3" t="str">
        <x:v>1.8 HYBRID PREMIUM</x:v>
      </x:c>
      <x:c r="L350" s="3" t="str">
        <x:v>HEV PREMIUM</x:v>
      </x:c>
      <x:c r="M350" s="22"/>
      <x:c r="N350" s="22"/>
      <x:c r="O350" s="22"/>
      <x:c r="P350" s="3" t="str">
        <x:v>未掲載</x:v>
      </x:c>
      <x:c r="Q350" s="3" t="str">
        <x:v>未取得</x:v>
      </x:c>
      <x:c r="R350" s="3" t="str">
        <x:v>Unknown</x:v>
      </x:c>
      <x:c r="S350" s="3" t="str">
        <x:v>不明</x:v>
      </x:c>
      <x:c r="T350" s="3" t="str">
        <x:v>20-ปัจจุบัน</x:v>
      </x:c>
      <x:c r="U350" s="28" t="n">
        <x:v>659000</x:v>
      </x:c>
      <x:c r="V350" s="28" t="n">
        <x:v>1089000</x:v>
      </x:c>
      <x:c r="W350" s="3" t="str">
        <x:v>事故・水没・SOH・保証残は未確認</x:v>
      </x:c>
      <x:c r="X350" s="3" t="str">
        <x:v>掲載中・在庫未確認</x:v>
      </x:c>
      <x:c r="Y350" s="3" t="str"/>
      <x:c r="Z350" s="27" t="str">
        <x:v>https://www.taladrod.com/w40/icar/cardet.aspx?cid=2895007</x:v>
      </x:c>
      <x:c r="AA350" s="3" t="str">
        <x:v>Taladrod個別広告ID／Carsome在庫ID</x:v>
      </x:c>
      <x:c r="AB350" s="3" t="str">
        <x:v>車台番号未取得／サイト間重複は未判定</x:v>
      </x:c>
      <x:c r="AC350" s="3" t="str">
        <x:v>税込区分未確認（一覧表示額）</x:v>
      </x:c>
      <x:c r="AD350" s="3" t="str"/>
      <x:c r="AE350" s="29" t="str">
        <x:f>""</x:f>
      </x:c>
      <x:c r="AF350" s="30" t="str">
        <x:f>IF(ISNUMBER(AE350),U350/AE350,"")</x:f>
      </x:c>
      <x:c r="AG350" s="29" t="n">
        <x:f>'新車価格・特価'!N54</x:f>
        <x:v>1094000</x:v>
      </x:c>
      <x:c r="AH350" s="30" t="n">
        <x:f>IF(ISNUMBER(AG350),U350/AG350,"")</x:f>
        <x:v>0.6023765996343693</x:v>
      </x:c>
      <x:c r="AI350" s="3" t="str">
        <x:v>同年式・グレードの検証済み当時価格なし／登録年混在</x:v>
      </x:c>
      <x:c r="AJ350" s="3" t="str">
        <x:v>一覧価格/年式のみ</x:v>
      </x:c>
      <x:c r="AK350" s="3" t="str">
        <x:v>一覧の表示価格。年式は掲載年式。</x:v>
      </x:c>
      <x:c r="AL350" s="31" t="n">
        <x:f>IF(AND(J350&lt;='分析方法'!$B$7,OR(ISBLANK(O350),O350&gt;='分析方法'!$B$8),X350&lt;&gt;"売却済み表示"),1,0)</x:f>
        <x:v>1</x:v>
      </x:c>
      <x:c r="AM350" s="32" t="n">
        <x:f>IF(AL350=1,U350,"")</x:f>
        <x:v>659000</x:v>
      </x:c>
      <x:c r="AN350" s="33" t="str">
        <x:f>IF(AL350=1,AF350,"")</x:f>
      </x:c>
      <x:c r="AO350" s="31" t="n">
        <x:f>'分析方法'!$B$6-J350</x:f>
        <x:v>4</x:v>
      </x:c>
      <x:c r="AP350" s="3"/>
    </x:row>
    <x:row r="351" ht="22" customHeight="1">
      <x:c r="A351" s="3" t="str">
        <x:v>T2900610</x:v>
      </x:c>
      <x:c r="B351" s="7" t="d">
        <x:v>2026-10-08T00:00:00.000Z</x:v>
      </x:c>
      <x:c r="C351" s="3" t="str">
        <x:v>Taladrod</x:v>
      </x:c>
      <x:c r="D351" s="3" t="str">
        <x:v>Toyota</x:v>
      </x:c>
      <x:c r="E351" s="3" t="str">
        <x:v>日本</x:v>
      </x:c>
      <x:c r="F351" s="3" t="str">
        <x:v>Corolla Cross</x:v>
      </x:c>
      <x:c r="G351" s="3" t="str">
        <x:v>HEV</x:v>
      </x:c>
      <x:c r="H351" s="3" t="str">
        <x:v>SUV</x:v>
      </x:c>
      <x:c r="I351" s="3" t="str"/>
      <x:c r="J351" s="3" t="n">
        <x:v>2022</x:v>
      </x:c>
      <x:c r="K351" s="3" t="str">
        <x:v>1.8 HYBRID PREMIUM</x:v>
      </x:c>
      <x:c r="L351" s="3" t="str">
        <x:v>HEV PREMIUM</x:v>
      </x:c>
      <x:c r="M351" s="22"/>
      <x:c r="N351" s="22"/>
      <x:c r="O351" s="22"/>
      <x:c r="P351" s="3" t="str">
        <x:v>未掲載</x:v>
      </x:c>
      <x:c r="Q351" s="3" t="str">
        <x:v>未取得</x:v>
      </x:c>
      <x:c r="R351" s="3" t="str">
        <x:v>Unknown</x:v>
      </x:c>
      <x:c r="S351" s="3" t="str">
        <x:v>不明</x:v>
      </x:c>
      <x:c r="T351" s="3" t="str">
        <x:v>20-ปัจจุบัน</x:v>
      </x:c>
      <x:c r="U351" s="28" t="n">
        <x:v>665000</x:v>
      </x:c>
      <x:c r="V351" s="28" t="n">
        <x:v>1089000</x:v>
      </x:c>
      <x:c r="W351" s="3" t="str">
        <x:v>事故・水没・SOH・保証残は未確認</x:v>
      </x:c>
      <x:c r="X351" s="3" t="str">
        <x:v>掲載中・在庫未確認</x:v>
      </x:c>
      <x:c r="Y351" s="3" t="str"/>
      <x:c r="Z351" s="27" t="str">
        <x:v>https://www.taladrod.com/w40/icar/cardet.aspx?cid=2900610</x:v>
      </x:c>
      <x:c r="AA351" s="3" t="str">
        <x:v>Taladrod個別広告ID／Carsome在庫ID</x:v>
      </x:c>
      <x:c r="AB351" s="3" t="str">
        <x:v>車台番号未取得／サイト間重複は未判定</x:v>
      </x:c>
      <x:c r="AC351" s="3" t="str">
        <x:v>税込区分未確認（一覧表示額）</x:v>
      </x:c>
      <x:c r="AD351" s="3" t="str"/>
      <x:c r="AE351" s="29" t="str">
        <x:f>""</x:f>
      </x:c>
      <x:c r="AF351" s="30" t="str">
        <x:f>IF(ISNUMBER(AE351),U351/AE351,"")</x:f>
      </x:c>
      <x:c r="AG351" s="29" t="n">
        <x:f>'新車価格・特価'!N54</x:f>
        <x:v>1094000</x:v>
      </x:c>
      <x:c r="AH351" s="30" t="n">
        <x:f>IF(ISNUMBER(AG351),U351/AG351,"")</x:f>
        <x:v>0.6078610603290676</x:v>
      </x:c>
      <x:c r="AI351" s="3" t="str">
        <x:v>同年式・グレードの検証済み当時価格なし／登録年混在</x:v>
      </x:c>
      <x:c r="AJ351" s="3" t="str">
        <x:v>一覧価格/年式のみ</x:v>
      </x:c>
      <x:c r="AK351" s="3" t="str">
        <x:v>一覧の表示価格。年式は掲載年式。</x:v>
      </x:c>
      <x:c r="AL351" s="31" t="n">
        <x:f>IF(AND(J351&lt;='分析方法'!$B$7,OR(ISBLANK(O351),O351&gt;='分析方法'!$B$8),X351&lt;&gt;"売却済み表示"),1,0)</x:f>
        <x:v>1</x:v>
      </x:c>
      <x:c r="AM351" s="32" t="n">
        <x:f>IF(AL351=1,U351,"")</x:f>
        <x:v>665000</x:v>
      </x:c>
      <x:c r="AN351" s="33" t="str">
        <x:f>IF(AL351=1,AF351,"")</x:f>
      </x:c>
      <x:c r="AO351" s="31" t="n">
        <x:f>'分析方法'!$B$6-J351</x:f>
        <x:v>4</x:v>
      </x:c>
      <x:c r="AP351" s="3"/>
    </x:row>
    <x:row r="352" ht="22" customHeight="1">
      <x:c r="A352" s="3" t="str">
        <x:v>T2900877</x:v>
      </x:c>
      <x:c r="B352" s="7" t="d">
        <x:v>2026-10-08T00:00:00.000Z</x:v>
      </x:c>
      <x:c r="C352" s="3" t="str">
        <x:v>Taladrod</x:v>
      </x:c>
      <x:c r="D352" s="3" t="str">
        <x:v>Toyota</x:v>
      </x:c>
      <x:c r="E352" s="3" t="str">
        <x:v>日本</x:v>
      </x:c>
      <x:c r="F352" s="3" t="str">
        <x:v>Corolla Cross</x:v>
      </x:c>
      <x:c r="G352" s="3" t="str">
        <x:v>HEV</x:v>
      </x:c>
      <x:c r="H352" s="3" t="str">
        <x:v>SUV</x:v>
      </x:c>
      <x:c r="I352" s="3" t="str"/>
      <x:c r="J352" s="3" t="n">
        <x:v>2022</x:v>
      </x:c>
      <x:c r="K352" s="3" t="str">
        <x:v>1.8 HEV PREMIUM</x:v>
      </x:c>
      <x:c r="L352" s="3" t="str">
        <x:v>HEV PREMIUM</x:v>
      </x:c>
      <x:c r="M352" s="22"/>
      <x:c r="N352" s="22"/>
      <x:c r="O352" s="22"/>
      <x:c r="P352" s="3" t="str">
        <x:v>未掲載</x:v>
      </x:c>
      <x:c r="Q352" s="3" t="str">
        <x:v>未取得</x:v>
      </x:c>
      <x:c r="R352" s="3" t="str">
        <x:v>Unknown</x:v>
      </x:c>
      <x:c r="S352" s="3" t="str">
        <x:v>不明</x:v>
      </x:c>
      <x:c r="T352" s="3" t="str">
        <x:v>20-ปัจจุบัน</x:v>
      </x:c>
      <x:c r="U352" s="28" t="n">
        <x:v>638000</x:v>
      </x:c>
      <x:c r="V352" s="28" t="n">
        <x:v>1094000</x:v>
      </x:c>
      <x:c r="W352" s="3" t="str">
        <x:v>事故・水没・SOH・保証残は未確認</x:v>
      </x:c>
      <x:c r="X352" s="3" t="str">
        <x:v>掲載中・在庫未確認</x:v>
      </x:c>
      <x:c r="Y352" s="3" t="str"/>
      <x:c r="Z352" s="27" t="str">
        <x:v>https://www.taladrod.com/w40/icar/cardet.aspx?cid=2900877</x:v>
      </x:c>
      <x:c r="AA352" s="3" t="str">
        <x:v>Taladrod個別広告ID／Carsome在庫ID</x:v>
      </x:c>
      <x:c r="AB352" s="3" t="str">
        <x:v>車台番号未取得／サイト間重複は未判定</x:v>
      </x:c>
      <x:c r="AC352" s="3" t="str">
        <x:v>税込区分未確認（一覧表示額）</x:v>
      </x:c>
      <x:c r="AD352" s="3" t="str"/>
      <x:c r="AE352" s="29" t="str">
        <x:f>""</x:f>
      </x:c>
      <x:c r="AF352" s="30" t="str">
        <x:f>IF(ISNUMBER(AE352),U352/AE352,"")</x:f>
      </x:c>
      <x:c r="AG352" s="29" t="n">
        <x:f>'新車価格・特価'!N54</x:f>
        <x:v>1094000</x:v>
      </x:c>
      <x:c r="AH352" s="30" t="n">
        <x:f>IF(ISNUMBER(AG352),U352/AG352,"")</x:f>
        <x:v>0.583180987202925</x:v>
      </x:c>
      <x:c r="AI352" s="3" t="str">
        <x:v>同年式・グレードの検証済み当時価格なし／登録年混在</x:v>
      </x:c>
      <x:c r="AJ352" s="3" t="str">
        <x:v>一覧価格/年式のみ</x:v>
      </x:c>
      <x:c r="AK352" s="3" t="str">
        <x:v>一覧の表示価格。年式は掲載年式。</x:v>
      </x:c>
      <x:c r="AL352" s="31" t="n">
        <x:f>IF(AND(J352&lt;='分析方法'!$B$7,OR(ISBLANK(O352),O352&gt;='分析方法'!$B$8),X352&lt;&gt;"売却済み表示"),1,0)</x:f>
        <x:v>1</x:v>
      </x:c>
      <x:c r="AM352" s="32" t="n">
        <x:f>IF(AL352=1,U352,"")</x:f>
        <x:v>638000</x:v>
      </x:c>
      <x:c r="AN352" s="33" t="str">
        <x:f>IF(AL352=1,AF352,"")</x:f>
      </x:c>
      <x:c r="AO352" s="31" t="n">
        <x:f>'分析方法'!$B$6-J352</x:f>
        <x:v>4</x:v>
      </x:c>
      <x:c r="AP352" s="3"/>
    </x:row>
    <x:row r="353" ht="22" customHeight="1">
      <x:c r="A353" s="3" t="str">
        <x:v>T2902335</x:v>
      </x:c>
      <x:c r="B353" s="7" t="d">
        <x:v>2026-10-08T00:00:00.000Z</x:v>
      </x:c>
      <x:c r="C353" s="3" t="str">
        <x:v>Taladrod</x:v>
      </x:c>
      <x:c r="D353" s="3" t="str">
        <x:v>Toyota</x:v>
      </x:c>
      <x:c r="E353" s="3" t="str">
        <x:v>日本</x:v>
      </x:c>
      <x:c r="F353" s="3" t="str">
        <x:v>Corolla Cross</x:v>
      </x:c>
      <x:c r="G353" s="3" t="str">
        <x:v>HEV</x:v>
      </x:c>
      <x:c r="H353" s="3" t="str">
        <x:v>SUV</x:v>
      </x:c>
      <x:c r="I353" s="3" t="str"/>
      <x:c r="J353" s="3" t="n">
        <x:v>2022</x:v>
      </x:c>
      <x:c r="K353" s="3" t="str">
        <x:v>1.8 HYBRID PREMIUM</x:v>
      </x:c>
      <x:c r="L353" s="3" t="str">
        <x:v>HEV PREMIUM</x:v>
      </x:c>
      <x:c r="M353" s="22"/>
      <x:c r="N353" s="22"/>
      <x:c r="O353" s="22"/>
      <x:c r="P353" s="3" t="str">
        <x:v>未掲載</x:v>
      </x:c>
      <x:c r="Q353" s="3" t="str">
        <x:v>未取得</x:v>
      </x:c>
      <x:c r="R353" s="3" t="str">
        <x:v>Unknown</x:v>
      </x:c>
      <x:c r="S353" s="3" t="str">
        <x:v>不明</x:v>
      </x:c>
      <x:c r="T353" s="3" t="str">
        <x:v>20-ปัจจุบัน</x:v>
      </x:c>
      <x:c r="U353" s="28" t="n">
        <x:v>604000</x:v>
      </x:c>
      <x:c r="V353" s="28" t="n">
        <x:v>1089000</x:v>
      </x:c>
      <x:c r="W353" s="3" t="str">
        <x:v>事故・水没・SOH・保証残は未確認</x:v>
      </x:c>
      <x:c r="X353" s="3" t="str">
        <x:v>掲載中・在庫未確認</x:v>
      </x:c>
      <x:c r="Y353" s="3" t="str"/>
      <x:c r="Z353" s="27" t="str">
        <x:v>https://www.taladrod.com/w40/icar/cardet.aspx?cid=2902335</x:v>
      </x:c>
      <x:c r="AA353" s="3" t="str">
        <x:v>Taladrod個別広告ID／Carsome在庫ID</x:v>
      </x:c>
      <x:c r="AB353" s="3" t="str">
        <x:v>車台番号未取得／サイト間重複は未判定</x:v>
      </x:c>
      <x:c r="AC353" s="3" t="str">
        <x:v>税込区分未確認（一覧表示額）</x:v>
      </x:c>
      <x:c r="AD353" s="3" t="str"/>
      <x:c r="AE353" s="29" t="str">
        <x:f>""</x:f>
      </x:c>
      <x:c r="AF353" s="30" t="str">
        <x:f>IF(ISNUMBER(AE353),U353/AE353,"")</x:f>
      </x:c>
      <x:c r="AG353" s="29" t="n">
        <x:f>'新車価格・特価'!N54</x:f>
        <x:v>1094000</x:v>
      </x:c>
      <x:c r="AH353" s="30" t="n">
        <x:f>IF(ISNUMBER(AG353),U353/AG353,"")</x:f>
        <x:v>0.5521023765996343</x:v>
      </x:c>
      <x:c r="AI353" s="3" t="str">
        <x:v>同年式・グレードの検証済み当時価格なし／登録年混在</x:v>
      </x:c>
      <x:c r="AJ353" s="3" t="str">
        <x:v>一覧価格/年式のみ</x:v>
      </x:c>
      <x:c r="AK353" s="3" t="str">
        <x:v>一覧の表示価格。年式は掲載年式。</x:v>
      </x:c>
      <x:c r="AL353" s="31" t="n">
        <x:f>IF(AND(J353&lt;='分析方法'!$B$7,OR(ISBLANK(O353),O353&gt;='分析方法'!$B$8),X353&lt;&gt;"売却済み表示"),1,0)</x:f>
        <x:v>1</x:v>
      </x:c>
      <x:c r="AM353" s="32" t="n">
        <x:f>IF(AL353=1,U353,"")</x:f>
        <x:v>604000</x:v>
      </x:c>
      <x:c r="AN353" s="33" t="str">
        <x:f>IF(AL353=1,AF353,"")</x:f>
      </x:c>
      <x:c r="AO353" s="31" t="n">
        <x:f>'分析方法'!$B$6-J353</x:f>
        <x:v>4</x:v>
      </x:c>
      <x:c r="AP353" s="3"/>
    </x:row>
    <x:row r="354" ht="22" customHeight="1">
      <x:c r="A354" s="3" t="str">
        <x:v>T2903482</x:v>
      </x:c>
      <x:c r="B354" s="7" t="d">
        <x:v>2026-10-08T00:00:00.000Z</x:v>
      </x:c>
      <x:c r="C354" s="3" t="str">
        <x:v>Taladrod</x:v>
      </x:c>
      <x:c r="D354" s="3" t="str">
        <x:v>Toyota</x:v>
      </x:c>
      <x:c r="E354" s="3" t="str">
        <x:v>日本</x:v>
      </x:c>
      <x:c r="F354" s="3" t="str">
        <x:v>Corolla Cross</x:v>
      </x:c>
      <x:c r="G354" s="3" t="str">
        <x:v>HEV</x:v>
      </x:c>
      <x:c r="H354" s="3" t="str">
        <x:v>SUV</x:v>
      </x:c>
      <x:c r="I354" s="3" t="str"/>
      <x:c r="J354" s="3" t="n">
        <x:v>2022</x:v>
      </x:c>
      <x:c r="K354" s="3" t="str">
        <x:v>1.8 HEV PREMIUM</x:v>
      </x:c>
      <x:c r="L354" s="3" t="str">
        <x:v>HEV PREMIUM</x:v>
      </x:c>
      <x:c r="M354" s="22"/>
      <x:c r="N354" s="22"/>
      <x:c r="O354" s="22"/>
      <x:c r="P354" s="3" t="str">
        <x:v>未掲載</x:v>
      </x:c>
      <x:c r="Q354" s="3" t="str">
        <x:v>未取得</x:v>
      </x:c>
      <x:c r="R354" s="3" t="str">
        <x:v>Unknown</x:v>
      </x:c>
      <x:c r="S354" s="3" t="str">
        <x:v>不明</x:v>
      </x:c>
      <x:c r="T354" s="3" t="str">
        <x:v>20-ปัจจุบัน</x:v>
      </x:c>
      <x:c r="U354" s="28" t="n">
        <x:v>668000</x:v>
      </x:c>
      <x:c r="V354" s="28" t="n">
        <x:v>1094000</x:v>
      </x:c>
      <x:c r="W354" s="3" t="str">
        <x:v>事故・水没・SOH・保証残は未確認</x:v>
      </x:c>
      <x:c r="X354" s="3" t="str">
        <x:v>掲載中・在庫未確認</x:v>
      </x:c>
      <x:c r="Y354" s="3" t="str"/>
      <x:c r="Z354" s="27" t="str">
        <x:v>https://www.taladrod.com/w40/icar/cardet.aspx?cid=2903482</x:v>
      </x:c>
      <x:c r="AA354" s="3" t="str">
        <x:v>Taladrod個別広告ID／Carsome在庫ID</x:v>
      </x:c>
      <x:c r="AB354" s="3" t="str">
        <x:v>車台番号未取得／サイト間重複は未判定</x:v>
      </x:c>
      <x:c r="AC354" s="3" t="str">
        <x:v>税込区分未確認（一覧表示額）</x:v>
      </x:c>
      <x:c r="AD354" s="3" t="str"/>
      <x:c r="AE354" s="29" t="str">
        <x:f>""</x:f>
      </x:c>
      <x:c r="AF354" s="30" t="str">
        <x:f>IF(ISNUMBER(AE354),U354/AE354,"")</x:f>
      </x:c>
      <x:c r="AG354" s="29" t="n">
        <x:f>'新車価格・特価'!N54</x:f>
        <x:v>1094000</x:v>
      </x:c>
      <x:c r="AH354" s="30" t="n">
        <x:f>IF(ISNUMBER(AG354),U354/AG354,"")</x:f>
        <x:v>0.6106032906764168</x:v>
      </x:c>
      <x:c r="AI354" s="3" t="str">
        <x:v>同年式・グレードの検証済み当時価格なし／登録年混在</x:v>
      </x:c>
      <x:c r="AJ354" s="3" t="str">
        <x:v>一覧価格/年式のみ</x:v>
      </x:c>
      <x:c r="AK354" s="3" t="str">
        <x:v>一覧の表示価格。年式は掲載年式。</x:v>
      </x:c>
      <x:c r="AL354" s="31" t="n">
        <x:f>IF(AND(J354&lt;='分析方法'!$B$7,OR(ISBLANK(O354),O354&gt;='分析方法'!$B$8),X354&lt;&gt;"売却済み表示"),1,0)</x:f>
        <x:v>1</x:v>
      </x:c>
      <x:c r="AM354" s="32" t="n">
        <x:f>IF(AL354=1,U354,"")</x:f>
        <x:v>668000</x:v>
      </x:c>
      <x:c r="AN354" s="33" t="str">
        <x:f>IF(AL354=1,AF354,"")</x:f>
      </x:c>
      <x:c r="AO354" s="31" t="n">
        <x:f>'分析方法'!$B$6-J354</x:f>
        <x:v>4</x:v>
      </x:c>
      <x:c r="AP354" s="3"/>
    </x:row>
    <x:row r="355" ht="22" customHeight="1">
      <x:c r="A355" s="3" t="str">
        <x:v>T2905406</x:v>
      </x:c>
      <x:c r="B355" s="7" t="d">
        <x:v>2026-10-08T00:00:00.000Z</x:v>
      </x:c>
      <x:c r="C355" s="3" t="str">
        <x:v>Taladrod</x:v>
      </x:c>
      <x:c r="D355" s="3" t="str">
        <x:v>Toyota</x:v>
      </x:c>
      <x:c r="E355" s="3" t="str">
        <x:v>日本</x:v>
      </x:c>
      <x:c r="F355" s="3" t="str">
        <x:v>Corolla Cross</x:v>
      </x:c>
      <x:c r="G355" s="3" t="str">
        <x:v>HEV</x:v>
      </x:c>
      <x:c r="H355" s="3" t="str">
        <x:v>SUV</x:v>
      </x:c>
      <x:c r="I355" s="3" t="str"/>
      <x:c r="J355" s="3" t="n">
        <x:v>2022</x:v>
      </x:c>
      <x:c r="K355" s="3" t="str">
        <x:v>1.8 HYBRID PREMIUM</x:v>
      </x:c>
      <x:c r="L355" s="3" t="str">
        <x:v>HEV PREMIUM</x:v>
      </x:c>
      <x:c r="M355" s="22"/>
      <x:c r="N355" s="22"/>
      <x:c r="O355" s="22"/>
      <x:c r="P355" s="3" t="str">
        <x:v>未掲載</x:v>
      </x:c>
      <x:c r="Q355" s="3" t="str">
        <x:v>未取得</x:v>
      </x:c>
      <x:c r="R355" s="3" t="str">
        <x:v>Unknown</x:v>
      </x:c>
      <x:c r="S355" s="3" t="str">
        <x:v>不明</x:v>
      </x:c>
      <x:c r="T355" s="3" t="str">
        <x:v>20-ปัจจุบัน</x:v>
      </x:c>
      <x:c r="U355" s="28" t="n">
        <x:v>649000</x:v>
      </x:c>
      <x:c r="V355" s="28" t="n">
        <x:v>1089000</x:v>
      </x:c>
      <x:c r="W355" s="3" t="str">
        <x:v>事故・水没・SOH・保証残は未確認</x:v>
      </x:c>
      <x:c r="X355" s="3" t="str">
        <x:v>掲載中・在庫未確認</x:v>
      </x:c>
      <x:c r="Y355" s="3" t="str"/>
      <x:c r="Z355" s="27" t="str">
        <x:v>https://www.taladrod.com/w40/icar/cardet.aspx?cid=2905406</x:v>
      </x:c>
      <x:c r="AA355" s="3" t="str">
        <x:v>Taladrod個別広告ID／Carsome在庫ID</x:v>
      </x:c>
      <x:c r="AB355" s="3" t="str">
        <x:v>車台番号未取得／サイト間重複は未判定</x:v>
      </x:c>
      <x:c r="AC355" s="3" t="str">
        <x:v>税込区分未確認（一覧表示額）</x:v>
      </x:c>
      <x:c r="AD355" s="3" t="str"/>
      <x:c r="AE355" s="29" t="str">
        <x:f>""</x:f>
      </x:c>
      <x:c r="AF355" s="30" t="str">
        <x:f>IF(ISNUMBER(AE355),U355/AE355,"")</x:f>
      </x:c>
      <x:c r="AG355" s="29" t="n">
        <x:f>'新車価格・特価'!N54</x:f>
        <x:v>1094000</x:v>
      </x:c>
      <x:c r="AH355" s="30" t="n">
        <x:f>IF(ISNUMBER(AG355),U355/AG355,"")</x:f>
        <x:v>0.593235831809872</x:v>
      </x:c>
      <x:c r="AI355" s="3" t="str">
        <x:v>同年式・グレードの検証済み当時価格なし／登録年混在</x:v>
      </x:c>
      <x:c r="AJ355" s="3" t="str">
        <x:v>一覧価格/年式のみ</x:v>
      </x:c>
      <x:c r="AK355" s="3" t="str">
        <x:v>一覧の表示価格。年式は掲載年式。</x:v>
      </x:c>
      <x:c r="AL355" s="31" t="n">
        <x:f>IF(AND(J355&lt;='分析方法'!$B$7,OR(ISBLANK(O355),O355&gt;='分析方法'!$B$8),X355&lt;&gt;"売却済み表示"),1,0)</x:f>
        <x:v>1</x:v>
      </x:c>
      <x:c r="AM355" s="32" t="n">
        <x:f>IF(AL355=1,U355,"")</x:f>
        <x:v>649000</x:v>
      </x:c>
      <x:c r="AN355" s="33" t="str">
        <x:f>IF(AL355=1,AF355,"")</x:f>
      </x:c>
      <x:c r="AO355" s="31" t="n">
        <x:f>'分析方法'!$B$6-J355</x:f>
        <x:v>4</x:v>
      </x:c>
      <x:c r="AP355" s="3"/>
    </x:row>
    <x:row r="356" ht="22" customHeight="1">
      <x:c r="A356" s="3" t="str">
        <x:v>T2907460</x:v>
      </x:c>
      <x:c r="B356" s="7" t="d">
        <x:v>2026-10-08T00:00:00.000Z</x:v>
      </x:c>
      <x:c r="C356" s="3" t="str">
        <x:v>Taladrod</x:v>
      </x:c>
      <x:c r="D356" s="3" t="str">
        <x:v>Toyota</x:v>
      </x:c>
      <x:c r="E356" s="3" t="str">
        <x:v>日本</x:v>
      </x:c>
      <x:c r="F356" s="3" t="str">
        <x:v>Corolla Cross</x:v>
      </x:c>
      <x:c r="G356" s="3" t="str">
        <x:v>HEV</x:v>
      </x:c>
      <x:c r="H356" s="3" t="str">
        <x:v>SUV</x:v>
      </x:c>
      <x:c r="I356" s="3" t="str"/>
      <x:c r="J356" s="3" t="n">
        <x:v>2022</x:v>
      </x:c>
      <x:c r="K356" s="3" t="str">
        <x:v>1.8 HYBRID PREMIUM</x:v>
      </x:c>
      <x:c r="L356" s="3" t="str">
        <x:v>HEV PREMIUM</x:v>
      </x:c>
      <x:c r="M356" s="22"/>
      <x:c r="N356" s="22"/>
      <x:c r="O356" s="22"/>
      <x:c r="P356" s="3" t="str">
        <x:v>未掲載</x:v>
      </x:c>
      <x:c r="Q356" s="3" t="str">
        <x:v>未取得</x:v>
      </x:c>
      <x:c r="R356" s="3" t="str">
        <x:v>Unknown</x:v>
      </x:c>
      <x:c r="S356" s="3" t="str">
        <x:v>不明</x:v>
      </x:c>
      <x:c r="T356" s="3" t="str">
        <x:v>20-ปัจจุบัน</x:v>
      </x:c>
      <x:c r="U356" s="28" t="n">
        <x:v>664000</x:v>
      </x:c>
      <x:c r="V356" s="28" t="n">
        <x:v>1089000</x:v>
      </x:c>
      <x:c r="W356" s="3" t="str">
        <x:v>事故・水没・SOH・保証残は未確認</x:v>
      </x:c>
      <x:c r="X356" s="3" t="str">
        <x:v>掲載中・在庫未確認</x:v>
      </x:c>
      <x:c r="Y356" s="3" t="str"/>
      <x:c r="Z356" s="27" t="str">
        <x:v>https://www.taladrod.com/w40/icar/cardet.aspx?cid=2907460</x:v>
      </x:c>
      <x:c r="AA356" s="3" t="str">
        <x:v>Taladrod個別広告ID／Carsome在庫ID</x:v>
      </x:c>
      <x:c r="AB356" s="3" t="str">
        <x:v>車台番号未取得／サイト間重複は未判定</x:v>
      </x:c>
      <x:c r="AC356" s="3" t="str">
        <x:v>税込区分未確認（一覧表示額）</x:v>
      </x:c>
      <x:c r="AD356" s="3" t="str"/>
      <x:c r="AE356" s="29" t="str">
        <x:f>""</x:f>
      </x:c>
      <x:c r="AF356" s="30" t="str">
        <x:f>IF(ISNUMBER(AE356),U356/AE356,"")</x:f>
      </x:c>
      <x:c r="AG356" s="29" t="n">
        <x:f>'新車価格・特価'!N54</x:f>
        <x:v>1094000</x:v>
      </x:c>
      <x:c r="AH356" s="30" t="n">
        <x:f>IF(ISNUMBER(AG356),U356/AG356,"")</x:f>
        <x:v>0.6069469835466179</x:v>
      </x:c>
      <x:c r="AI356" s="3" t="str">
        <x:v>同年式・グレードの検証済み当時価格なし／登録年混在</x:v>
      </x:c>
      <x:c r="AJ356" s="3" t="str">
        <x:v>一覧価格/年式のみ</x:v>
      </x:c>
      <x:c r="AK356" s="3" t="str">
        <x:v>一覧の表示価格。年式は掲載年式。</x:v>
      </x:c>
      <x:c r="AL356" s="31" t="n">
        <x:f>IF(AND(J356&lt;='分析方法'!$B$7,OR(ISBLANK(O356),O356&gt;='分析方法'!$B$8),X356&lt;&gt;"売却済み表示"),1,0)</x:f>
        <x:v>1</x:v>
      </x:c>
      <x:c r="AM356" s="32" t="n">
        <x:f>IF(AL356=1,U356,"")</x:f>
        <x:v>664000</x:v>
      </x:c>
      <x:c r="AN356" s="33" t="str">
        <x:f>IF(AL356=1,AF356,"")</x:f>
      </x:c>
      <x:c r="AO356" s="31" t="n">
        <x:f>'分析方法'!$B$6-J356</x:f>
        <x:v>4</x:v>
      </x:c>
      <x:c r="AP356" s="3"/>
    </x:row>
    <x:row r="357" ht="22" customHeight="1">
      <x:c r="A357" s="3" t="str">
        <x:v>T2910827</x:v>
      </x:c>
      <x:c r="B357" s="7" t="d">
        <x:v>2026-10-08T00:00:00.000Z</x:v>
      </x:c>
      <x:c r="C357" s="3" t="str">
        <x:v>Taladrod</x:v>
      </x:c>
      <x:c r="D357" s="3" t="str">
        <x:v>Toyota</x:v>
      </x:c>
      <x:c r="E357" s="3" t="str">
        <x:v>日本</x:v>
      </x:c>
      <x:c r="F357" s="3" t="str">
        <x:v>Corolla Cross</x:v>
      </x:c>
      <x:c r="G357" s="3" t="str">
        <x:v>HEV</x:v>
      </x:c>
      <x:c r="H357" s="3" t="str">
        <x:v>SUV</x:v>
      </x:c>
      <x:c r="I357" s="3" t="str"/>
      <x:c r="J357" s="3" t="n">
        <x:v>2022</x:v>
      </x:c>
      <x:c r="K357" s="3" t="str">
        <x:v>1.8 HYBRID PREMIUM</x:v>
      </x:c>
      <x:c r="L357" s="3" t="str">
        <x:v>HEV PREMIUM</x:v>
      </x:c>
      <x:c r="M357" s="22"/>
      <x:c r="N357" s="22"/>
      <x:c r="O357" s="22"/>
      <x:c r="P357" s="3" t="str">
        <x:v>未掲載</x:v>
      </x:c>
      <x:c r="Q357" s="3" t="str">
        <x:v>未取得</x:v>
      </x:c>
      <x:c r="R357" s="3" t="str">
        <x:v>Unknown</x:v>
      </x:c>
      <x:c r="S357" s="3" t="str">
        <x:v>不明</x:v>
      </x:c>
      <x:c r="T357" s="3" t="str">
        <x:v>20-ปัจจุบัน</x:v>
      </x:c>
      <x:c r="U357" s="28" t="n">
        <x:v>599000</x:v>
      </x:c>
      <x:c r="V357" s="28" t="n">
        <x:v>1089000</x:v>
      </x:c>
      <x:c r="W357" s="3" t="str">
        <x:v>事故・水没・SOH・保証残は未確認</x:v>
      </x:c>
      <x:c r="X357" s="3" t="str">
        <x:v>掲載中・在庫未確認</x:v>
      </x:c>
      <x:c r="Y357" s="3" t="str"/>
      <x:c r="Z357" s="27" t="str">
        <x:v>https://www.taladrod.com/w40/icar/cardet.aspx?cid=2910827</x:v>
      </x:c>
      <x:c r="AA357" s="3" t="str">
        <x:v>Taladrod個別広告ID／Carsome在庫ID</x:v>
      </x:c>
      <x:c r="AB357" s="3" t="str">
        <x:v>車台番号未取得／サイト間重複は未判定</x:v>
      </x:c>
      <x:c r="AC357" s="3" t="str">
        <x:v>税込区分未確認（一覧表示額）</x:v>
      </x:c>
      <x:c r="AD357" s="3" t="str"/>
      <x:c r="AE357" s="29" t="str">
        <x:f>""</x:f>
      </x:c>
      <x:c r="AF357" s="30" t="str">
        <x:f>IF(ISNUMBER(AE357),U357/AE357,"")</x:f>
      </x:c>
      <x:c r="AG357" s="29" t="n">
        <x:f>'新車価格・特価'!N54</x:f>
        <x:v>1094000</x:v>
      </x:c>
      <x:c r="AH357" s="30" t="n">
        <x:f>IF(ISNUMBER(AG357),U357/AG357,"")</x:f>
        <x:v>0.5475319926873857</x:v>
      </x:c>
      <x:c r="AI357" s="3" t="str">
        <x:v>同年式・グレードの検証済み当時価格なし／登録年混在</x:v>
      </x:c>
      <x:c r="AJ357" s="3" t="str">
        <x:v>一覧価格/年式のみ</x:v>
      </x:c>
      <x:c r="AK357" s="3" t="str">
        <x:v>一覧の表示価格。年式は掲載年式。</x:v>
      </x:c>
      <x:c r="AL357" s="31" t="n">
        <x:f>IF(AND(J357&lt;='分析方法'!$B$7,OR(ISBLANK(O357),O357&gt;='分析方法'!$B$8),X357&lt;&gt;"売却済み表示"),1,0)</x:f>
        <x:v>1</x:v>
      </x:c>
      <x:c r="AM357" s="32" t="n">
        <x:f>IF(AL357=1,U357,"")</x:f>
        <x:v>599000</x:v>
      </x:c>
      <x:c r="AN357" s="33" t="str">
        <x:f>IF(AL357=1,AF357,"")</x:f>
      </x:c>
      <x:c r="AO357" s="31" t="n">
        <x:f>'分析方法'!$B$6-J357</x:f>
        <x:v>4</x:v>
      </x:c>
      <x:c r="AP357" s="3"/>
    </x:row>
    <x:row r="358" ht="22" customHeight="1">
      <x:c r="A358" s="3" t="str">
        <x:v>T2916929</x:v>
      </x:c>
      <x:c r="B358" s="7" t="d">
        <x:v>2026-10-08T00:00:00.000Z</x:v>
      </x:c>
      <x:c r="C358" s="3" t="str">
        <x:v>Taladrod</x:v>
      </x:c>
      <x:c r="D358" s="3" t="str">
        <x:v>Toyota</x:v>
      </x:c>
      <x:c r="E358" s="3" t="str">
        <x:v>日本</x:v>
      </x:c>
      <x:c r="F358" s="3" t="str">
        <x:v>Corolla Cross</x:v>
      </x:c>
      <x:c r="G358" s="3" t="str">
        <x:v>HEV</x:v>
      </x:c>
      <x:c r="H358" s="3" t="str">
        <x:v>SUV</x:v>
      </x:c>
      <x:c r="I358" s="3" t="str"/>
      <x:c r="J358" s="3" t="n">
        <x:v>2022</x:v>
      </x:c>
      <x:c r="K358" s="3" t="str">
        <x:v>1.8 HYBRID PREMIUM</x:v>
      </x:c>
      <x:c r="L358" s="3" t="str">
        <x:v>HEV PREMIUM</x:v>
      </x:c>
      <x:c r="M358" s="22"/>
      <x:c r="N358" s="22"/>
      <x:c r="O358" s="22"/>
      <x:c r="P358" s="3" t="str">
        <x:v>未掲載</x:v>
      </x:c>
      <x:c r="Q358" s="3" t="str">
        <x:v>未取得</x:v>
      </x:c>
      <x:c r="R358" s="3" t="str">
        <x:v>Unknown</x:v>
      </x:c>
      <x:c r="S358" s="3" t="str">
        <x:v>不明</x:v>
      </x:c>
      <x:c r="T358" s="3" t="str">
        <x:v>20-ปัจจุบัน</x:v>
      </x:c>
      <x:c r="U358" s="28" t="n">
        <x:v>689000</x:v>
      </x:c>
      <x:c r="V358" s="28" t="n">
        <x:v>1089000</x:v>
      </x:c>
      <x:c r="W358" s="3" t="str">
        <x:v>事故・水没・SOH・保証残は未確認</x:v>
      </x:c>
      <x:c r="X358" s="3" t="str">
        <x:v>掲載中・在庫未確認</x:v>
      </x:c>
      <x:c r="Y358" s="3" t="str"/>
      <x:c r="Z358" s="27" t="str">
        <x:v>https://www.taladrod.com/w40/icar/cardet.aspx?cid=2916929</x:v>
      </x:c>
      <x:c r="AA358" s="3" t="str">
        <x:v>Taladrod個別広告ID／Carsome在庫ID</x:v>
      </x:c>
      <x:c r="AB358" s="3" t="str">
        <x:v>車台番号未取得／サイト間重複は未判定</x:v>
      </x:c>
      <x:c r="AC358" s="3" t="str">
        <x:v>税込区分未確認（一覧表示額）</x:v>
      </x:c>
      <x:c r="AD358" s="3" t="str"/>
      <x:c r="AE358" s="29" t="str">
        <x:f>""</x:f>
      </x:c>
      <x:c r="AF358" s="30" t="str">
        <x:f>IF(ISNUMBER(AE358),U358/AE358,"")</x:f>
      </x:c>
      <x:c r="AG358" s="29" t="n">
        <x:f>'新車価格・特価'!N54</x:f>
        <x:v>1094000</x:v>
      </x:c>
      <x:c r="AH358" s="30" t="n">
        <x:f>IF(ISNUMBER(AG358),U358/AG358,"")</x:f>
        <x:v>0.629798903107861</x:v>
      </x:c>
      <x:c r="AI358" s="3" t="str">
        <x:v>同年式・グレードの検証済み当時価格なし／登録年混在</x:v>
      </x:c>
      <x:c r="AJ358" s="3" t="str">
        <x:v>一覧価格/年式のみ</x:v>
      </x:c>
      <x:c r="AK358" s="3" t="str">
        <x:v>一覧の表示価格。年式は掲載年式。</x:v>
      </x:c>
      <x:c r="AL358" s="31" t="n">
        <x:f>IF(AND(J358&lt;='分析方法'!$B$7,OR(ISBLANK(O358),O358&gt;='分析方法'!$B$8),X358&lt;&gt;"売却済み表示"),1,0)</x:f>
        <x:v>1</x:v>
      </x:c>
      <x:c r="AM358" s="32" t="n">
        <x:f>IF(AL358=1,U358,"")</x:f>
        <x:v>689000</x:v>
      </x:c>
      <x:c r="AN358" s="33" t="str">
        <x:f>IF(AL358=1,AF358,"")</x:f>
      </x:c>
      <x:c r="AO358" s="31" t="n">
        <x:f>'分析方法'!$B$6-J358</x:f>
        <x:v>4</x:v>
      </x:c>
      <x:c r="AP358" s="3"/>
    </x:row>
    <x:row r="359" ht="22" customHeight="1">
      <x:c r="A359" s="3" t="str">
        <x:v>T2920162</x:v>
      </x:c>
      <x:c r="B359" s="7" t="d">
        <x:v>2026-10-08T00:00:00.000Z</x:v>
      </x:c>
      <x:c r="C359" s="3" t="str">
        <x:v>Taladrod</x:v>
      </x:c>
      <x:c r="D359" s="3" t="str">
        <x:v>Toyota</x:v>
      </x:c>
      <x:c r="E359" s="3" t="str">
        <x:v>日本</x:v>
      </x:c>
      <x:c r="F359" s="3" t="str">
        <x:v>Corolla Cross</x:v>
      </x:c>
      <x:c r="G359" s="3" t="str">
        <x:v>HEV</x:v>
      </x:c>
      <x:c r="H359" s="3" t="str">
        <x:v>SUV</x:v>
      </x:c>
      <x:c r="I359" s="3" t="str"/>
      <x:c r="J359" s="3" t="n">
        <x:v>2022</x:v>
      </x:c>
      <x:c r="K359" s="3" t="str">
        <x:v>1.8 HYBRID PREMIUM</x:v>
      </x:c>
      <x:c r="L359" s="3" t="str">
        <x:v>HEV PREMIUM</x:v>
      </x:c>
      <x:c r="M359" s="22"/>
      <x:c r="N359" s="22"/>
      <x:c r="O359" s="22"/>
      <x:c r="P359" s="3" t="str">
        <x:v>未掲載</x:v>
      </x:c>
      <x:c r="Q359" s="3" t="str">
        <x:v>未取得</x:v>
      </x:c>
      <x:c r="R359" s="3" t="str">
        <x:v>Unknown</x:v>
      </x:c>
      <x:c r="S359" s="3" t="str">
        <x:v>不明</x:v>
      </x:c>
      <x:c r="T359" s="3" t="str">
        <x:v>20-ปัจจุบัน</x:v>
      </x:c>
      <x:c r="U359" s="28" t="n">
        <x:v>634000</x:v>
      </x:c>
      <x:c r="V359" s="28" t="n">
        <x:v>1089000</x:v>
      </x:c>
      <x:c r="W359" s="3" t="str">
        <x:v>事故・水没・SOH・保証残は未確認</x:v>
      </x:c>
      <x:c r="X359" s="3" t="str">
        <x:v>掲載中・在庫未確認</x:v>
      </x:c>
      <x:c r="Y359" s="3" t="str"/>
      <x:c r="Z359" s="27" t="str">
        <x:v>https://www.taladrod.com/w40/icar/cardet.aspx?cid=2920162</x:v>
      </x:c>
      <x:c r="AA359" s="3" t="str">
        <x:v>Taladrod個別広告ID／Carsome在庫ID</x:v>
      </x:c>
      <x:c r="AB359" s="3" t="str">
        <x:v>車台番号未取得／サイト間重複は未判定</x:v>
      </x:c>
      <x:c r="AC359" s="3" t="str">
        <x:v>税込区分未確認（一覧表示額）</x:v>
      </x:c>
      <x:c r="AD359" s="3" t="str"/>
      <x:c r="AE359" s="29" t="str">
        <x:f>""</x:f>
      </x:c>
      <x:c r="AF359" s="30" t="str">
        <x:f>IF(ISNUMBER(AE359),U359/AE359,"")</x:f>
      </x:c>
      <x:c r="AG359" s="29" t="n">
        <x:f>'新車価格・特価'!N54</x:f>
        <x:v>1094000</x:v>
      </x:c>
      <x:c r="AH359" s="30" t="n">
        <x:f>IF(ISNUMBER(AG359),U359/AG359,"")</x:f>
        <x:v>0.5795246800731262</x:v>
      </x:c>
      <x:c r="AI359" s="3" t="str">
        <x:v>同年式・グレードの検証済み当時価格なし／登録年混在</x:v>
      </x:c>
      <x:c r="AJ359" s="3" t="str">
        <x:v>一覧価格/年式のみ</x:v>
      </x:c>
      <x:c r="AK359" s="3" t="str">
        <x:v>一覧の表示価格。年式は掲載年式。</x:v>
      </x:c>
      <x:c r="AL359" s="31" t="n">
        <x:f>IF(AND(J359&lt;='分析方法'!$B$7,OR(ISBLANK(O359),O359&gt;='分析方法'!$B$8),X359&lt;&gt;"売却済み表示"),1,0)</x:f>
        <x:v>1</x:v>
      </x:c>
      <x:c r="AM359" s="32" t="n">
        <x:f>IF(AL359=1,U359,"")</x:f>
        <x:v>634000</x:v>
      </x:c>
      <x:c r="AN359" s="33" t="str">
        <x:f>IF(AL359=1,AF359,"")</x:f>
      </x:c>
      <x:c r="AO359" s="31" t="n">
        <x:f>'分析方法'!$B$6-J359</x:f>
        <x:v>4</x:v>
      </x:c>
      <x:c r="AP359" s="3"/>
    </x:row>
    <x:row r="360" ht="22" customHeight="1">
      <x:c r="A360" s="3" t="str">
        <x:v>T2923007</x:v>
      </x:c>
      <x:c r="B360" s="7" t="d">
        <x:v>2026-10-08T00:00:00.000Z</x:v>
      </x:c>
      <x:c r="C360" s="3" t="str">
        <x:v>Taladrod</x:v>
      </x:c>
      <x:c r="D360" s="3" t="str">
        <x:v>Toyota</x:v>
      </x:c>
      <x:c r="E360" s="3" t="str">
        <x:v>日本</x:v>
      </x:c>
      <x:c r="F360" s="3" t="str">
        <x:v>Corolla Cross</x:v>
      </x:c>
      <x:c r="G360" s="3" t="str">
        <x:v>HEV</x:v>
      </x:c>
      <x:c r="H360" s="3" t="str">
        <x:v>SUV</x:v>
      </x:c>
      <x:c r="I360" s="3" t="str"/>
      <x:c r="J360" s="3" t="n">
        <x:v>2022</x:v>
      </x:c>
      <x:c r="K360" s="3" t="str">
        <x:v>1.8 HYBRID PREMIUM</x:v>
      </x:c>
      <x:c r="L360" s="3" t="str">
        <x:v>HEV PREMIUM</x:v>
      </x:c>
      <x:c r="M360" s="22"/>
      <x:c r="N360" s="22"/>
      <x:c r="O360" s="22"/>
      <x:c r="P360" s="3" t="str">
        <x:v>未掲載</x:v>
      </x:c>
      <x:c r="Q360" s="3" t="str">
        <x:v>未取得</x:v>
      </x:c>
      <x:c r="R360" s="3" t="str">
        <x:v>Unknown</x:v>
      </x:c>
      <x:c r="S360" s="3" t="str">
        <x:v>不明</x:v>
      </x:c>
      <x:c r="T360" s="3" t="str">
        <x:v>20-ปัจจุบัน</x:v>
      </x:c>
      <x:c r="U360" s="28" t="n">
        <x:v>609000</x:v>
      </x:c>
      <x:c r="V360" s="28" t="n">
        <x:v>1089000</x:v>
      </x:c>
      <x:c r="W360" s="3" t="str">
        <x:v>事故・水没・SOH・保証残は未確認</x:v>
      </x:c>
      <x:c r="X360" s="3" t="str">
        <x:v>掲載中・在庫未確認</x:v>
      </x:c>
      <x:c r="Y360" s="3" t="str"/>
      <x:c r="Z360" s="27" t="str">
        <x:v>https://www.taladrod.com/w40/icar/cardet.aspx?cid=2923007</x:v>
      </x:c>
      <x:c r="AA360" s="3" t="str">
        <x:v>Taladrod個別広告ID／Carsome在庫ID</x:v>
      </x:c>
      <x:c r="AB360" s="3" t="str">
        <x:v>車台番号未取得／サイト間重複は未判定</x:v>
      </x:c>
      <x:c r="AC360" s="3" t="str">
        <x:v>税込区分未確認（一覧表示額）</x:v>
      </x:c>
      <x:c r="AD360" s="3" t="str"/>
      <x:c r="AE360" s="29" t="str">
        <x:f>""</x:f>
      </x:c>
      <x:c r="AF360" s="30" t="str">
        <x:f>IF(ISNUMBER(AE360),U360/AE360,"")</x:f>
      </x:c>
      <x:c r="AG360" s="29" t="n">
        <x:f>'新車価格・特価'!N54</x:f>
        <x:v>1094000</x:v>
      </x:c>
      <x:c r="AH360" s="30" t="n">
        <x:f>IF(ISNUMBER(AG360),U360/AG360,"")</x:f>
        <x:v>0.556672760511883</x:v>
      </x:c>
      <x:c r="AI360" s="3" t="str">
        <x:v>同年式・グレードの検証済み当時価格なし／登録年混在</x:v>
      </x:c>
      <x:c r="AJ360" s="3" t="str">
        <x:v>一覧価格/年式のみ</x:v>
      </x:c>
      <x:c r="AK360" s="3" t="str">
        <x:v>一覧の表示価格。年式は掲載年式。</x:v>
      </x:c>
      <x:c r="AL360" s="31" t="n">
        <x:f>IF(AND(J360&lt;='分析方法'!$B$7,OR(ISBLANK(O360),O360&gt;='分析方法'!$B$8),X360&lt;&gt;"売却済み表示"),1,0)</x:f>
        <x:v>1</x:v>
      </x:c>
      <x:c r="AM360" s="32" t="n">
        <x:f>IF(AL360=1,U360,"")</x:f>
        <x:v>609000</x:v>
      </x:c>
      <x:c r="AN360" s="33" t="str">
        <x:f>IF(AL360=1,AF360,"")</x:f>
      </x:c>
      <x:c r="AO360" s="31" t="n">
        <x:f>'分析方法'!$B$6-J360</x:f>
        <x:v>4</x:v>
      </x:c>
      <x:c r="AP360" s="3"/>
    </x:row>
    <x:row r="361" ht="22" customHeight="1">
      <x:c r="A361" s="3" t="str">
        <x:v>T2923158</x:v>
      </x:c>
      <x:c r="B361" s="7" t="d">
        <x:v>2026-10-08T00:00:00.000Z</x:v>
      </x:c>
      <x:c r="C361" s="3" t="str">
        <x:v>Taladrod</x:v>
      </x:c>
      <x:c r="D361" s="3" t="str">
        <x:v>Toyota</x:v>
      </x:c>
      <x:c r="E361" s="3" t="str">
        <x:v>日本</x:v>
      </x:c>
      <x:c r="F361" s="3" t="str">
        <x:v>Corolla Cross</x:v>
      </x:c>
      <x:c r="G361" s="3" t="str">
        <x:v>HEV</x:v>
      </x:c>
      <x:c r="H361" s="3" t="str">
        <x:v>SUV</x:v>
      </x:c>
      <x:c r="I361" s="3" t="str"/>
      <x:c r="J361" s="3" t="n">
        <x:v>2022</x:v>
      </x:c>
      <x:c r="K361" s="3" t="str">
        <x:v>1.8 HYBRID PREMIUM</x:v>
      </x:c>
      <x:c r="L361" s="3" t="str">
        <x:v>HEV PREMIUM</x:v>
      </x:c>
      <x:c r="M361" s="22"/>
      <x:c r="N361" s="22"/>
      <x:c r="O361" s="22"/>
      <x:c r="P361" s="3" t="str">
        <x:v>未掲載</x:v>
      </x:c>
      <x:c r="Q361" s="3" t="str">
        <x:v>未取得</x:v>
      </x:c>
      <x:c r="R361" s="3" t="str">
        <x:v>Unknown</x:v>
      </x:c>
      <x:c r="S361" s="3" t="str">
        <x:v>不明</x:v>
      </x:c>
      <x:c r="T361" s="3" t="str">
        <x:v>20-ปัจจุบัน</x:v>
      </x:c>
      <x:c r="U361" s="28" t="n">
        <x:v>629000</x:v>
      </x:c>
      <x:c r="V361" s="28" t="n">
        <x:v>1089000</x:v>
      </x:c>
      <x:c r="W361" s="3" t="str">
        <x:v>事故・水没・SOH・保証残は未確認</x:v>
      </x:c>
      <x:c r="X361" s="3" t="str">
        <x:v>掲載中・在庫未確認</x:v>
      </x:c>
      <x:c r="Y361" s="3" t="str"/>
      <x:c r="Z361" s="27" t="str">
        <x:v>https://www.taladrod.com/w40/icar/cardet.aspx?cid=2923158</x:v>
      </x:c>
      <x:c r="AA361" s="3" t="str">
        <x:v>Taladrod個別広告ID／Carsome在庫ID</x:v>
      </x:c>
      <x:c r="AB361" s="3" t="str">
        <x:v>車台番号未取得／サイト間重複は未判定</x:v>
      </x:c>
      <x:c r="AC361" s="3" t="str">
        <x:v>税込区分未確認（一覧表示額）</x:v>
      </x:c>
      <x:c r="AD361" s="3" t="str"/>
      <x:c r="AE361" s="29" t="str">
        <x:f>""</x:f>
      </x:c>
      <x:c r="AF361" s="30" t="str">
        <x:f>IF(ISNUMBER(AE361),U361/AE361,"")</x:f>
      </x:c>
      <x:c r="AG361" s="29" t="n">
        <x:f>'新車価格・特価'!N54</x:f>
        <x:v>1094000</x:v>
      </x:c>
      <x:c r="AH361" s="30" t="n">
        <x:f>IF(ISNUMBER(AG361),U361/AG361,"")</x:f>
        <x:v>0.5749542961608776</x:v>
      </x:c>
      <x:c r="AI361" s="3" t="str">
        <x:v>同年式・グレードの検証済み当時価格なし／登録年混在</x:v>
      </x:c>
      <x:c r="AJ361" s="3" t="str">
        <x:v>一覧価格/年式のみ</x:v>
      </x:c>
      <x:c r="AK361" s="3" t="str">
        <x:v>一覧の表示価格。年式は掲載年式。</x:v>
      </x:c>
      <x:c r="AL361" s="31" t="n">
        <x:f>IF(AND(J361&lt;='分析方法'!$B$7,OR(ISBLANK(O361),O361&gt;='分析方法'!$B$8),X361&lt;&gt;"売却済み表示"),1,0)</x:f>
        <x:v>1</x:v>
      </x:c>
      <x:c r="AM361" s="32" t="n">
        <x:f>IF(AL361=1,U361,"")</x:f>
        <x:v>629000</x:v>
      </x:c>
      <x:c r="AN361" s="33" t="str">
        <x:f>IF(AL361=1,AF361,"")</x:f>
      </x:c>
      <x:c r="AO361" s="31" t="n">
        <x:f>'分析方法'!$B$6-J361</x:f>
        <x:v>4</x:v>
      </x:c>
      <x:c r="AP361" s="3"/>
    </x:row>
    <x:row r="362" ht="22" customHeight="1">
      <x:c r="A362" s="3" t="str">
        <x:v>T2925664</x:v>
      </x:c>
      <x:c r="B362" s="7" t="d">
        <x:v>2026-10-08T00:00:00.000Z</x:v>
      </x:c>
      <x:c r="C362" s="3" t="str">
        <x:v>Taladrod</x:v>
      </x:c>
      <x:c r="D362" s="3" t="str">
        <x:v>Toyota</x:v>
      </x:c>
      <x:c r="E362" s="3" t="str">
        <x:v>日本</x:v>
      </x:c>
      <x:c r="F362" s="3" t="str">
        <x:v>Corolla Cross</x:v>
      </x:c>
      <x:c r="G362" s="3" t="str">
        <x:v>HEV</x:v>
      </x:c>
      <x:c r="H362" s="3" t="str">
        <x:v>SUV</x:v>
      </x:c>
      <x:c r="I362" s="3" t="str"/>
      <x:c r="J362" s="3" t="n">
        <x:v>2022</x:v>
      </x:c>
      <x:c r="K362" s="3" t="str">
        <x:v>1.8 HYBRID PREMIUM</x:v>
      </x:c>
      <x:c r="L362" s="3" t="str">
        <x:v>HEV PREMIUM</x:v>
      </x:c>
      <x:c r="M362" s="22"/>
      <x:c r="N362" s="22"/>
      <x:c r="O362" s="22"/>
      <x:c r="P362" s="3" t="str">
        <x:v>未掲載</x:v>
      </x:c>
      <x:c r="Q362" s="3" t="str">
        <x:v>未取得</x:v>
      </x:c>
      <x:c r="R362" s="3" t="str">
        <x:v>Unknown</x:v>
      </x:c>
      <x:c r="S362" s="3" t="str">
        <x:v>不明</x:v>
      </x:c>
      <x:c r="T362" s="3" t="str">
        <x:v>20-ปัจจุบัน</x:v>
      </x:c>
      <x:c r="U362" s="28" t="n">
        <x:v>659000</x:v>
      </x:c>
      <x:c r="V362" s="28" t="n">
        <x:v>1089000</x:v>
      </x:c>
      <x:c r="W362" s="3" t="str">
        <x:v>事故・水没・SOH・保証残は未確認</x:v>
      </x:c>
      <x:c r="X362" s="3" t="str">
        <x:v>掲載中・在庫未確認</x:v>
      </x:c>
      <x:c r="Y362" s="3" t="str"/>
      <x:c r="Z362" s="27" t="str">
        <x:v>https://www.taladrod.com/w40/icar/cardet.aspx?cid=2925664</x:v>
      </x:c>
      <x:c r="AA362" s="3" t="str">
        <x:v>Taladrod個別広告ID／Carsome在庫ID</x:v>
      </x:c>
      <x:c r="AB362" s="3" t="str">
        <x:v>車台番号未取得／サイト間重複は未判定</x:v>
      </x:c>
      <x:c r="AC362" s="3" t="str">
        <x:v>税込区分未確認（一覧表示額）</x:v>
      </x:c>
      <x:c r="AD362" s="3" t="str"/>
      <x:c r="AE362" s="29" t="str">
        <x:f>""</x:f>
      </x:c>
      <x:c r="AF362" s="30" t="str">
        <x:f>IF(ISNUMBER(AE362),U362/AE362,"")</x:f>
      </x:c>
      <x:c r="AG362" s="29" t="n">
        <x:f>'新車価格・特価'!N54</x:f>
        <x:v>1094000</x:v>
      </x:c>
      <x:c r="AH362" s="30" t="n">
        <x:f>IF(ISNUMBER(AG362),U362/AG362,"")</x:f>
        <x:v>0.6023765996343693</x:v>
      </x:c>
      <x:c r="AI362" s="3" t="str">
        <x:v>同年式・グレードの検証済み当時価格なし／登録年混在</x:v>
      </x:c>
      <x:c r="AJ362" s="3" t="str">
        <x:v>一覧価格/年式のみ</x:v>
      </x:c>
      <x:c r="AK362" s="3" t="str">
        <x:v>一覧の表示価格。年式は掲載年式。</x:v>
      </x:c>
      <x:c r="AL362" s="31" t="n">
        <x:f>IF(AND(J362&lt;='分析方法'!$B$7,OR(ISBLANK(O362),O362&gt;='分析方法'!$B$8),X362&lt;&gt;"売却済み表示"),1,0)</x:f>
        <x:v>1</x:v>
      </x:c>
      <x:c r="AM362" s="32" t="n">
        <x:f>IF(AL362=1,U362,"")</x:f>
        <x:v>659000</x:v>
      </x:c>
      <x:c r="AN362" s="33" t="str">
        <x:f>IF(AL362=1,AF362,"")</x:f>
      </x:c>
      <x:c r="AO362" s="31" t="n">
        <x:f>'分析方法'!$B$6-J362</x:f>
        <x:v>4</x:v>
      </x:c>
      <x:c r="AP362" s="3"/>
    </x:row>
    <x:row r="363" ht="22" customHeight="1">
      <x:c r="A363" s="3" t="str">
        <x:v>T2926104</x:v>
      </x:c>
      <x:c r="B363" s="7" t="d">
        <x:v>2026-10-08T00:00:00.000Z</x:v>
      </x:c>
      <x:c r="C363" s="3" t="str">
        <x:v>Taladrod</x:v>
      </x:c>
      <x:c r="D363" s="3" t="str">
        <x:v>Toyota</x:v>
      </x:c>
      <x:c r="E363" s="3" t="str">
        <x:v>日本</x:v>
      </x:c>
      <x:c r="F363" s="3" t="str">
        <x:v>Corolla Cross</x:v>
      </x:c>
      <x:c r="G363" s="3" t="str">
        <x:v>HEV</x:v>
      </x:c>
      <x:c r="H363" s="3" t="str">
        <x:v>SUV</x:v>
      </x:c>
      <x:c r="I363" s="3" t="str"/>
      <x:c r="J363" s="3" t="n">
        <x:v>2022</x:v>
      </x:c>
      <x:c r="K363" s="3" t="str">
        <x:v>1.8 HYBRID PREMIUM</x:v>
      </x:c>
      <x:c r="L363" s="3" t="str">
        <x:v>HEV PREMIUM</x:v>
      </x:c>
      <x:c r="M363" s="22"/>
      <x:c r="N363" s="22"/>
      <x:c r="O363" s="22"/>
      <x:c r="P363" s="3" t="str">
        <x:v>未掲載</x:v>
      </x:c>
      <x:c r="Q363" s="3" t="str">
        <x:v>未取得</x:v>
      </x:c>
      <x:c r="R363" s="3" t="str">
        <x:v>Unknown</x:v>
      </x:c>
      <x:c r="S363" s="3" t="str">
        <x:v>不明</x:v>
      </x:c>
      <x:c r="T363" s="3" t="str">
        <x:v>20-ปัจจุบัน</x:v>
      </x:c>
      <x:c r="U363" s="28" t="n">
        <x:v>599000</x:v>
      </x:c>
      <x:c r="V363" s="28" t="n">
        <x:v>1089000</x:v>
      </x:c>
      <x:c r="W363" s="3" t="str">
        <x:v>事故・水没・SOH・保証残は未確認</x:v>
      </x:c>
      <x:c r="X363" s="3" t="str">
        <x:v>掲載中・在庫未確認</x:v>
      </x:c>
      <x:c r="Y363" s="3" t="str"/>
      <x:c r="Z363" s="27" t="str">
        <x:v>https://www.taladrod.com/w40/icar/cardet.aspx?cid=2926104</x:v>
      </x:c>
      <x:c r="AA363" s="3" t="str">
        <x:v>Taladrod個別広告ID／Carsome在庫ID</x:v>
      </x:c>
      <x:c r="AB363" s="3" t="str">
        <x:v>車台番号未取得／サイト間重複は未判定</x:v>
      </x:c>
      <x:c r="AC363" s="3" t="str">
        <x:v>税込区分未確認（一覧表示額）</x:v>
      </x:c>
      <x:c r="AD363" s="3" t="str"/>
      <x:c r="AE363" s="29" t="str">
        <x:f>""</x:f>
      </x:c>
      <x:c r="AF363" s="30" t="str">
        <x:f>IF(ISNUMBER(AE363),U363/AE363,"")</x:f>
      </x:c>
      <x:c r="AG363" s="29" t="n">
        <x:f>'新車価格・特価'!N54</x:f>
        <x:v>1094000</x:v>
      </x:c>
      <x:c r="AH363" s="30" t="n">
        <x:f>IF(ISNUMBER(AG363),U363/AG363,"")</x:f>
        <x:v>0.5475319926873857</x:v>
      </x:c>
      <x:c r="AI363" s="3" t="str">
        <x:v>同年式・グレードの検証済み当時価格なし／登録年混在</x:v>
      </x:c>
      <x:c r="AJ363" s="3" t="str">
        <x:v>一覧価格/年式のみ</x:v>
      </x:c>
      <x:c r="AK363" s="3" t="str">
        <x:v>一覧の表示価格。年式は掲載年式。</x:v>
      </x:c>
      <x:c r="AL363" s="31" t="n">
        <x:f>IF(AND(J363&lt;='分析方法'!$B$7,OR(ISBLANK(O363),O363&gt;='分析方法'!$B$8),X363&lt;&gt;"売却済み表示"),1,0)</x:f>
        <x:v>1</x:v>
      </x:c>
      <x:c r="AM363" s="32" t="n">
        <x:f>IF(AL363=1,U363,"")</x:f>
        <x:v>599000</x:v>
      </x:c>
      <x:c r="AN363" s="33" t="str">
        <x:f>IF(AL363=1,AF363,"")</x:f>
      </x:c>
      <x:c r="AO363" s="31" t="n">
        <x:f>'分析方法'!$B$6-J363</x:f>
        <x:v>4</x:v>
      </x:c>
      <x:c r="AP363" s="3"/>
    </x:row>
    <x:row r="364" ht="22" customHeight="1">
      <x:c r="A364" s="3" t="str">
        <x:v>T2926304</x:v>
      </x:c>
      <x:c r="B364" s="7" t="d">
        <x:v>2026-10-08T00:00:00.000Z</x:v>
      </x:c>
      <x:c r="C364" s="3" t="str">
        <x:v>Taladrod</x:v>
      </x:c>
      <x:c r="D364" s="3" t="str">
        <x:v>Toyota</x:v>
      </x:c>
      <x:c r="E364" s="3" t="str">
        <x:v>日本</x:v>
      </x:c>
      <x:c r="F364" s="3" t="str">
        <x:v>Corolla Cross</x:v>
      </x:c>
      <x:c r="G364" s="3" t="str">
        <x:v>HEV</x:v>
      </x:c>
      <x:c r="H364" s="3" t="str">
        <x:v>SUV</x:v>
      </x:c>
      <x:c r="I364" s="3" t="str"/>
      <x:c r="J364" s="3" t="n">
        <x:v>2022</x:v>
      </x:c>
      <x:c r="K364" s="3" t="str">
        <x:v>1.8 HYBRID PREMIUM</x:v>
      </x:c>
      <x:c r="L364" s="3" t="str">
        <x:v>HEV PREMIUM</x:v>
      </x:c>
      <x:c r="M364" s="22"/>
      <x:c r="N364" s="22"/>
      <x:c r="O364" s="22"/>
      <x:c r="P364" s="3" t="str">
        <x:v>未掲載</x:v>
      </x:c>
      <x:c r="Q364" s="3" t="str">
        <x:v>未取得</x:v>
      </x:c>
      <x:c r="R364" s="3" t="str">
        <x:v>Unknown</x:v>
      </x:c>
      <x:c r="S364" s="3" t="str">
        <x:v>不明</x:v>
      </x:c>
      <x:c r="T364" s="3" t="str">
        <x:v>20-ปัจจุบัน</x:v>
      </x:c>
      <x:c r="U364" s="28" t="n">
        <x:v>625000</x:v>
      </x:c>
      <x:c r="V364" s="28" t="n">
        <x:v>1089000</x:v>
      </x:c>
      <x:c r="W364" s="3" t="str">
        <x:v>事故・水没・SOH・保証残は未確認</x:v>
      </x:c>
      <x:c r="X364" s="3" t="str">
        <x:v>掲載中・在庫未確認</x:v>
      </x:c>
      <x:c r="Y364" s="3" t="str"/>
      <x:c r="Z364" s="27" t="str">
        <x:v>https://www.taladrod.com/w40/icar/cardet.aspx?cid=2926304</x:v>
      </x:c>
      <x:c r="AA364" s="3" t="str">
        <x:v>Taladrod個別広告ID／Carsome在庫ID</x:v>
      </x:c>
      <x:c r="AB364" s="3" t="str">
        <x:v>車台番号未取得／サイト間重複は未判定</x:v>
      </x:c>
      <x:c r="AC364" s="3" t="str">
        <x:v>税込区分未確認（一覧表示額）</x:v>
      </x:c>
      <x:c r="AD364" s="3" t="str"/>
      <x:c r="AE364" s="29" t="str">
        <x:f>""</x:f>
      </x:c>
      <x:c r="AF364" s="30" t="str">
        <x:f>IF(ISNUMBER(AE364),U364/AE364,"")</x:f>
      </x:c>
      <x:c r="AG364" s="29" t="n">
        <x:f>'新車価格・特価'!N54</x:f>
        <x:v>1094000</x:v>
      </x:c>
      <x:c r="AH364" s="30" t="n">
        <x:f>IF(ISNUMBER(AG364),U364/AG364,"")</x:f>
        <x:v>0.5712979890310786</x:v>
      </x:c>
      <x:c r="AI364" s="3" t="str">
        <x:v>同年式・グレードの検証済み当時価格なし／登録年混在</x:v>
      </x:c>
      <x:c r="AJ364" s="3" t="str">
        <x:v>一覧価格/年式のみ</x:v>
      </x:c>
      <x:c r="AK364" s="3" t="str">
        <x:v>一覧の表示価格。年式は掲載年式。</x:v>
      </x:c>
      <x:c r="AL364" s="31" t="n">
        <x:f>IF(AND(J364&lt;='分析方法'!$B$7,OR(ISBLANK(O364),O364&gt;='分析方法'!$B$8),X364&lt;&gt;"売却済み表示"),1,0)</x:f>
        <x:v>1</x:v>
      </x:c>
      <x:c r="AM364" s="32" t="n">
        <x:f>IF(AL364=1,U364,"")</x:f>
        <x:v>625000</x:v>
      </x:c>
      <x:c r="AN364" s="33" t="str">
        <x:f>IF(AL364=1,AF364,"")</x:f>
      </x:c>
      <x:c r="AO364" s="31" t="n">
        <x:f>'分析方法'!$B$6-J364</x:f>
        <x:v>4</x:v>
      </x:c>
      <x:c r="AP364" s="3"/>
    </x:row>
    <x:row r="365" ht="22" customHeight="1">
      <x:c r="A365" s="3" t="str">
        <x:v>T2892532</x:v>
      </x:c>
      <x:c r="B365" s="7" t="d">
        <x:v>2026-10-08T00:00:00.000Z</x:v>
      </x:c>
      <x:c r="C365" s="3" t="str">
        <x:v>Taladrod</x:v>
      </x:c>
      <x:c r="D365" s="3" t="str">
        <x:v>Toyota</x:v>
      </x:c>
      <x:c r="E365" s="3" t="str">
        <x:v>日本</x:v>
      </x:c>
      <x:c r="F365" s="3" t="str">
        <x:v>Corolla Cross</x:v>
      </x:c>
      <x:c r="G365" s="3" t="str">
        <x:v>HEV</x:v>
      </x:c>
      <x:c r="H365" s="3" t="str">
        <x:v>SUV</x:v>
      </x:c>
      <x:c r="I365" s="3" t="str"/>
      <x:c r="J365" s="3" t="n">
        <x:v>2022</x:v>
      </x:c>
      <x:c r="K365" s="3" t="str">
        <x:v>1.8 HEV PREMIUM LUXURY</x:v>
      </x:c>
      <x:c r="L365" s="3" t="str">
        <x:v>HEV PREMIUM LUXURY</x:v>
      </x:c>
      <x:c r="M365" s="22"/>
      <x:c r="N365" s="22"/>
      <x:c r="O365" s="22"/>
      <x:c r="P365" s="3" t="str">
        <x:v>未掲載</x:v>
      </x:c>
      <x:c r="Q365" s="3" t="str">
        <x:v>未取得</x:v>
      </x:c>
      <x:c r="R365" s="3" t="str">
        <x:v>Unknown</x:v>
      </x:c>
      <x:c r="S365" s="3" t="str">
        <x:v>不明</x:v>
      </x:c>
      <x:c r="T365" s="3" t="str">
        <x:v>20-ปัจจุบัน</x:v>
      </x:c>
      <x:c r="U365" s="28" t="n">
        <x:v>750000</x:v>
      </x:c>
      <x:c r="V365" s="28" t="n">
        <x:v>1204000</x:v>
      </x:c>
      <x:c r="W365" s="3" t="str">
        <x:v>事故・水没・SOH・保証残は未確認</x:v>
      </x:c>
      <x:c r="X365" s="3" t="str">
        <x:v>掲載中・在庫未確認</x:v>
      </x:c>
      <x:c r="Y365" s="3" t="str"/>
      <x:c r="Z365" s="27" t="str">
        <x:v>https://www.taladrod.com/w40/icar/cardet.aspx?cid=2892532</x:v>
      </x:c>
      <x:c r="AA365" s="3" t="str">
        <x:v>Taladrod個別広告ID／Carsome在庫ID</x:v>
      </x:c>
      <x:c r="AB365" s="3" t="str">
        <x:v>車台番号未取得／サイト間重複は未判定</x:v>
      </x:c>
      <x:c r="AC365" s="3" t="str">
        <x:v>税込区分未確認（一覧表示額）</x:v>
      </x:c>
      <x:c r="AD365" s="3" t="str"/>
      <x:c r="AE365" s="29" t="str">
        <x:f>""</x:f>
      </x:c>
      <x:c r="AF365" s="30" t="str">
        <x:f>IF(ISNUMBER(AE365),U365/AE365,"")</x:f>
      </x:c>
      <x:c r="AG365" s="29" t="n">
        <x:f>'新車価格・特価'!N55</x:f>
        <x:v>1204000</x:v>
      </x:c>
      <x:c r="AH365" s="30" t="n">
        <x:f>IF(ISNUMBER(AG365),U365/AG365,"")</x:f>
        <x:v>0.6229235880398671</x:v>
      </x:c>
      <x:c r="AI365" s="3" t="str">
        <x:v>同年式・グレードの検証済み当時価格なし／登録年混在</x:v>
      </x:c>
      <x:c r="AJ365" s="3" t="str">
        <x:v>一覧価格/年式のみ</x:v>
      </x:c>
      <x:c r="AK365" s="3" t="str">
        <x:v>一覧の表示価格。年式は掲載年式。</x:v>
      </x:c>
      <x:c r="AL365" s="31" t="n">
        <x:f>IF(AND(J365&lt;='分析方法'!$B$7,OR(ISBLANK(O365),O365&gt;='分析方法'!$B$8),X365&lt;&gt;"売却済み表示"),1,0)</x:f>
        <x:v>1</x:v>
      </x:c>
      <x:c r="AM365" s="32" t="n">
        <x:f>IF(AL365=1,U365,"")</x:f>
        <x:v>750000</x:v>
      </x:c>
      <x:c r="AN365" s="33" t="str">
        <x:f>IF(AL365=1,AF365,"")</x:f>
      </x:c>
      <x:c r="AO365" s="31" t="n">
        <x:f>'分析方法'!$B$6-J365</x:f>
        <x:v>4</x:v>
      </x:c>
      <x:c r="AP365" s="3"/>
    </x:row>
    <x:row r="366" ht="22" customHeight="1">
      <x:c r="A366" s="3" t="str">
        <x:v>T2897708</x:v>
      </x:c>
      <x:c r="B366" s="7" t="d">
        <x:v>2026-10-08T00:00:00.000Z</x:v>
      </x:c>
      <x:c r="C366" s="3" t="str">
        <x:v>Taladrod</x:v>
      </x:c>
      <x:c r="D366" s="3" t="str">
        <x:v>Toyota</x:v>
      </x:c>
      <x:c r="E366" s="3" t="str">
        <x:v>日本</x:v>
      </x:c>
      <x:c r="F366" s="3" t="str">
        <x:v>Corolla Cross</x:v>
      </x:c>
      <x:c r="G366" s="3" t="str">
        <x:v>HEV</x:v>
      </x:c>
      <x:c r="H366" s="3" t="str">
        <x:v>SUV</x:v>
      </x:c>
      <x:c r="I366" s="3" t="str"/>
      <x:c r="J366" s="3" t="n">
        <x:v>2022</x:v>
      </x:c>
      <x:c r="K366" s="3" t="str">
        <x:v>1.8 HYBRID PREMIUM SAFETY</x:v>
      </x:c>
      <x:c r="L366" s="3" t="str">
        <x:v>HEV PREMIUM SAFETY</x:v>
      </x:c>
      <x:c r="M366" s="22"/>
      <x:c r="N366" s="22"/>
      <x:c r="O366" s="22"/>
      <x:c r="P366" s="3" t="str">
        <x:v>未掲載</x:v>
      </x:c>
      <x:c r="Q366" s="3" t="str">
        <x:v>未取得</x:v>
      </x:c>
      <x:c r="R366" s="3" t="str">
        <x:v>Unknown</x:v>
      </x:c>
      <x:c r="S366" s="3" t="str">
        <x:v>不明</x:v>
      </x:c>
      <x:c r="T366" s="3" t="str">
        <x:v>20-ปัจจุบัน</x:v>
      </x:c>
      <x:c r="U366" s="28" t="n">
        <x:v>679000</x:v>
      </x:c>
      <x:c r="V366" s="28" t="n">
        <x:v>1199000</x:v>
      </x:c>
      <x:c r="W366" s="3" t="str">
        <x:v>事故・水没・SOH・保証残は未確認</x:v>
      </x:c>
      <x:c r="X366" s="3" t="str">
        <x:v>掲載中・在庫未確認</x:v>
      </x:c>
      <x:c r="Y366" s="3" t="str"/>
      <x:c r="Z366" s="27" t="str">
        <x:v>https://www.taladrod.com/w40/icar/cardet.aspx?cid=2897708</x:v>
      </x:c>
      <x:c r="AA366" s="3" t="str">
        <x:v>Taladrod個別広告ID／Carsome在庫ID</x:v>
      </x:c>
      <x:c r="AB366" s="3" t="str">
        <x:v>車台番号未取得／サイト間重複は未判定</x:v>
      </x:c>
      <x:c r="AC366" s="3" t="str">
        <x:v>税込区分未確認（一覧表示額）</x:v>
      </x:c>
      <x:c r="AD366" s="3" t="str"/>
      <x:c r="AE366" s="29" t="str">
        <x:f>""</x:f>
      </x:c>
      <x:c r="AF366" s="30" t="str">
        <x:f>IF(ISNUMBER(AE366),U366/AE366,"")</x:f>
      </x:c>
      <x:c r="AG366" s="29" t="n">
        <x:f>'新車価格・特価'!N55</x:f>
        <x:v>1204000</x:v>
      </x:c>
      <x:c r="AH366" s="30" t="n">
        <x:f>IF(ISNUMBER(AG366),U366/AG366,"")</x:f>
        <x:v>0.563953488372093</x:v>
      </x:c>
      <x:c r="AI366" s="3" t="str">
        <x:v>同年式・グレードの検証済み当時価格なし／登録年混在</x:v>
      </x:c>
      <x:c r="AJ366" s="3" t="str">
        <x:v>一覧価格/年式のみ</x:v>
      </x:c>
      <x:c r="AK366" s="3" t="str">
        <x:v>一覧の表示価格。年式は掲載年式。</x:v>
      </x:c>
      <x:c r="AL366" s="31" t="n">
        <x:f>IF(AND(J366&lt;='分析方法'!$B$7,OR(ISBLANK(O366),O366&gt;='分析方法'!$B$8),X366&lt;&gt;"売却済み表示"),1,0)</x:f>
        <x:v>1</x:v>
      </x:c>
      <x:c r="AM366" s="32" t="n">
        <x:f>IF(AL366=1,U366,"")</x:f>
        <x:v>679000</x:v>
      </x:c>
      <x:c r="AN366" s="33" t="str">
        <x:f>IF(AL366=1,AF366,"")</x:f>
      </x:c>
      <x:c r="AO366" s="31" t="n">
        <x:f>'分析方法'!$B$6-J366</x:f>
        <x:v>4</x:v>
      </x:c>
      <x:c r="AP366" s="3"/>
    </x:row>
    <x:row r="367" ht="22" customHeight="1">
      <x:c r="A367" s="3" t="str">
        <x:v>T2901359</x:v>
      </x:c>
      <x:c r="B367" s="7" t="d">
        <x:v>2026-10-08T00:00:00.000Z</x:v>
      </x:c>
      <x:c r="C367" s="3" t="str">
        <x:v>Taladrod</x:v>
      </x:c>
      <x:c r="D367" s="3" t="str">
        <x:v>Toyota</x:v>
      </x:c>
      <x:c r="E367" s="3" t="str">
        <x:v>日本</x:v>
      </x:c>
      <x:c r="F367" s="3" t="str">
        <x:v>Corolla Cross</x:v>
      </x:c>
      <x:c r="G367" s="3" t="str">
        <x:v>HEV</x:v>
      </x:c>
      <x:c r="H367" s="3" t="str">
        <x:v>SUV</x:v>
      </x:c>
      <x:c r="I367" s="3" t="str"/>
      <x:c r="J367" s="3" t="n">
        <x:v>2022</x:v>
      </x:c>
      <x:c r="K367" s="3" t="str">
        <x:v>1.8 HYBRID PREMIUM SAFETY</x:v>
      </x:c>
      <x:c r="L367" s="3" t="str">
        <x:v>HEV PREMIUM SAFETY</x:v>
      </x:c>
      <x:c r="M367" s="22"/>
      <x:c r="N367" s="22"/>
      <x:c r="O367" s="22"/>
      <x:c r="P367" s="3" t="str">
        <x:v>未掲載</x:v>
      </x:c>
      <x:c r="Q367" s="3" t="str">
        <x:v>未取得</x:v>
      </x:c>
      <x:c r="R367" s="3" t="str">
        <x:v>Unknown</x:v>
      </x:c>
      <x:c r="S367" s="3" t="str">
        <x:v>不明</x:v>
      </x:c>
      <x:c r="T367" s="3" t="str">
        <x:v>20-ปัจจุบัน</x:v>
      </x:c>
      <x:c r="U367" s="28" t="n">
        <x:v>698000</x:v>
      </x:c>
      <x:c r="V367" s="28" t="n">
        <x:v>1199000</x:v>
      </x:c>
      <x:c r="W367" s="3" t="str">
        <x:v>事故・水没・SOH・保証残は未確認</x:v>
      </x:c>
      <x:c r="X367" s="3" t="str">
        <x:v>掲載中・在庫未確認</x:v>
      </x:c>
      <x:c r="Y367" s="3" t="str"/>
      <x:c r="Z367" s="27" t="str">
        <x:v>https://www.taladrod.com/w40/icar/cardet.aspx?cid=2901359</x:v>
      </x:c>
      <x:c r="AA367" s="3" t="str">
        <x:v>Taladrod個別広告ID／Carsome在庫ID</x:v>
      </x:c>
      <x:c r="AB367" s="3" t="str">
        <x:v>車台番号未取得／サイト間重複は未判定</x:v>
      </x:c>
      <x:c r="AC367" s="3" t="str">
        <x:v>税込区分未確認（一覧表示額）</x:v>
      </x:c>
      <x:c r="AD367" s="3" t="str"/>
      <x:c r="AE367" s="29" t="str">
        <x:f>""</x:f>
      </x:c>
      <x:c r="AF367" s="30" t="str">
        <x:f>IF(ISNUMBER(AE367),U367/AE367,"")</x:f>
      </x:c>
      <x:c r="AG367" s="29" t="n">
        <x:f>'新車価格・特価'!N55</x:f>
        <x:v>1204000</x:v>
      </x:c>
      <x:c r="AH367" s="30" t="n">
        <x:f>IF(ISNUMBER(AG367),U367/AG367,"")</x:f>
        <x:v>0.579734219269103</x:v>
      </x:c>
      <x:c r="AI367" s="3" t="str">
        <x:v>同年式・グレードの検証済み当時価格なし／登録年混在</x:v>
      </x:c>
      <x:c r="AJ367" s="3" t="str">
        <x:v>一覧価格/年式のみ</x:v>
      </x:c>
      <x:c r="AK367" s="3" t="str">
        <x:v>一覧の表示価格。年式は掲載年式。</x:v>
      </x:c>
      <x:c r="AL367" s="31" t="n">
        <x:f>IF(AND(J367&lt;='分析方法'!$B$7,OR(ISBLANK(O367),O367&gt;='分析方法'!$B$8),X367&lt;&gt;"売却済み表示"),1,0)</x:f>
        <x:v>1</x:v>
      </x:c>
      <x:c r="AM367" s="32" t="n">
        <x:f>IF(AL367=1,U367,"")</x:f>
        <x:v>698000</x:v>
      </x:c>
      <x:c r="AN367" s="33" t="str">
        <x:f>IF(AL367=1,AF367,"")</x:f>
      </x:c>
      <x:c r="AO367" s="31" t="n">
        <x:f>'分析方法'!$B$6-J367</x:f>
        <x:v>4</x:v>
      </x:c>
      <x:c r="AP367" s="3"/>
    </x:row>
    <x:row r="368" ht="22" customHeight="1">
      <x:c r="A368" s="3" t="str">
        <x:v>T2906853</x:v>
      </x:c>
      <x:c r="B368" s="7" t="d">
        <x:v>2026-10-08T00:00:00.000Z</x:v>
      </x:c>
      <x:c r="C368" s="3" t="str">
        <x:v>Taladrod</x:v>
      </x:c>
      <x:c r="D368" s="3" t="str">
        <x:v>Toyota</x:v>
      </x:c>
      <x:c r="E368" s="3" t="str">
        <x:v>日本</x:v>
      </x:c>
      <x:c r="F368" s="3" t="str">
        <x:v>Corolla Cross</x:v>
      </x:c>
      <x:c r="G368" s="3" t="str">
        <x:v>HEV</x:v>
      </x:c>
      <x:c r="H368" s="3" t="str">
        <x:v>SUV</x:v>
      </x:c>
      <x:c r="I368" s="3" t="str"/>
      <x:c r="J368" s="3" t="n">
        <x:v>2022</x:v>
      </x:c>
      <x:c r="K368" s="3" t="str">
        <x:v>1.8 HYBRID PREMIUM SAFETY</x:v>
      </x:c>
      <x:c r="L368" s="3" t="str">
        <x:v>HEV PREMIUM SAFETY</x:v>
      </x:c>
      <x:c r="M368" s="22"/>
      <x:c r="N368" s="22"/>
      <x:c r="O368" s="22"/>
      <x:c r="P368" s="3" t="str">
        <x:v>未掲載</x:v>
      </x:c>
      <x:c r="Q368" s="3" t="str">
        <x:v>未取得</x:v>
      </x:c>
      <x:c r="R368" s="3" t="str">
        <x:v>Unknown</x:v>
      </x:c>
      <x:c r="S368" s="3" t="str">
        <x:v>不明</x:v>
      </x:c>
      <x:c r="T368" s="3" t="str">
        <x:v>20-ปัจจุบัน</x:v>
      </x:c>
      <x:c r="U368" s="28" t="n">
        <x:v>699000</x:v>
      </x:c>
      <x:c r="V368" s="28" t="n">
        <x:v>1199000</x:v>
      </x:c>
      <x:c r="W368" s="3" t="str">
        <x:v>事故・水没・SOH・保証残は未確認</x:v>
      </x:c>
      <x:c r="X368" s="3" t="str">
        <x:v>掲載中・在庫未確認</x:v>
      </x:c>
      <x:c r="Y368" s="3" t="str"/>
      <x:c r="Z368" s="27" t="str">
        <x:v>https://www.taladrod.com/w40/icar/cardet.aspx?cid=2906853</x:v>
      </x:c>
      <x:c r="AA368" s="3" t="str">
        <x:v>Taladrod個別広告ID／Carsome在庫ID</x:v>
      </x:c>
      <x:c r="AB368" s="3" t="str">
        <x:v>車台番号未取得／サイト間重複は未判定</x:v>
      </x:c>
      <x:c r="AC368" s="3" t="str">
        <x:v>税込区分未確認（一覧表示額）</x:v>
      </x:c>
      <x:c r="AD368" s="3" t="str"/>
      <x:c r="AE368" s="29" t="str">
        <x:f>""</x:f>
      </x:c>
      <x:c r="AF368" s="30" t="str">
        <x:f>IF(ISNUMBER(AE368),U368/AE368,"")</x:f>
      </x:c>
      <x:c r="AG368" s="29" t="n">
        <x:f>'新車価格・特価'!N55</x:f>
        <x:v>1204000</x:v>
      </x:c>
      <x:c r="AH368" s="30" t="n">
        <x:f>IF(ISNUMBER(AG368),U368/AG368,"")</x:f>
        <x:v>0.5805647840531561</x:v>
      </x:c>
      <x:c r="AI368" s="3" t="str">
        <x:v>同年式・グレードの検証済み当時価格なし／登録年混在</x:v>
      </x:c>
      <x:c r="AJ368" s="3" t="str">
        <x:v>一覧価格/年式のみ</x:v>
      </x:c>
      <x:c r="AK368" s="3" t="str">
        <x:v>一覧の表示価格。年式は掲載年式。</x:v>
      </x:c>
      <x:c r="AL368" s="31" t="n">
        <x:f>IF(AND(J368&lt;='分析方法'!$B$7,OR(ISBLANK(O368),O368&gt;='分析方法'!$B$8),X368&lt;&gt;"売却済み表示"),1,0)</x:f>
        <x:v>1</x:v>
      </x:c>
      <x:c r="AM368" s="32" t="n">
        <x:f>IF(AL368=1,U368,"")</x:f>
        <x:v>699000</x:v>
      </x:c>
      <x:c r="AN368" s="33" t="str">
        <x:f>IF(AL368=1,AF368,"")</x:f>
      </x:c>
      <x:c r="AO368" s="31" t="n">
        <x:f>'分析方法'!$B$6-J368</x:f>
        <x:v>4</x:v>
      </x:c>
      <x:c r="AP368" s="3"/>
    </x:row>
    <x:row r="369" ht="22" customHeight="1">
      <x:c r="A369" s="3" t="str">
        <x:v>T2909845</x:v>
      </x:c>
      <x:c r="B369" s="7" t="d">
        <x:v>2026-10-08T00:00:00.000Z</x:v>
      </x:c>
      <x:c r="C369" s="3" t="str">
        <x:v>Taladrod</x:v>
      </x:c>
      <x:c r="D369" s="3" t="str">
        <x:v>Toyota</x:v>
      </x:c>
      <x:c r="E369" s="3" t="str">
        <x:v>日本</x:v>
      </x:c>
      <x:c r="F369" s="3" t="str">
        <x:v>Corolla Cross</x:v>
      </x:c>
      <x:c r="G369" s="3" t="str">
        <x:v>HEV</x:v>
      </x:c>
      <x:c r="H369" s="3" t="str">
        <x:v>SUV</x:v>
      </x:c>
      <x:c r="I369" s="3" t="str"/>
      <x:c r="J369" s="3" t="n">
        <x:v>2022</x:v>
      </x:c>
      <x:c r="K369" s="3" t="str">
        <x:v>1.8 HYBRID PREMIUM SAFETY</x:v>
      </x:c>
      <x:c r="L369" s="3" t="str">
        <x:v>HEV PREMIUM SAFETY</x:v>
      </x:c>
      <x:c r="M369" s="22"/>
      <x:c r="N369" s="22"/>
      <x:c r="O369" s="22"/>
      <x:c r="P369" s="3" t="str">
        <x:v>未掲載</x:v>
      </x:c>
      <x:c r="Q369" s="3" t="str">
        <x:v>未取得</x:v>
      </x:c>
      <x:c r="R369" s="3" t="str">
        <x:v>Unknown</x:v>
      </x:c>
      <x:c r="S369" s="3" t="str">
        <x:v>不明</x:v>
      </x:c>
      <x:c r="T369" s="3" t="str">
        <x:v>20-ปัจจุบัน</x:v>
      </x:c>
      <x:c r="U369" s="28" t="n">
        <x:v>699000</x:v>
      </x:c>
      <x:c r="V369" s="28" t="n">
        <x:v>1199000</x:v>
      </x:c>
      <x:c r="W369" s="3" t="str">
        <x:v>事故・水没・SOH・保証残は未確認</x:v>
      </x:c>
      <x:c r="X369" s="3" t="str">
        <x:v>掲載中・在庫未確認</x:v>
      </x:c>
      <x:c r="Y369" s="3" t="str"/>
      <x:c r="Z369" s="27" t="str">
        <x:v>https://www.taladrod.com/w40/icar/cardet.aspx?cid=2909845</x:v>
      </x:c>
      <x:c r="AA369" s="3" t="str">
        <x:v>Taladrod個別広告ID／Carsome在庫ID</x:v>
      </x:c>
      <x:c r="AB369" s="3" t="str">
        <x:v>車台番号未取得／サイト間重複は未判定</x:v>
      </x:c>
      <x:c r="AC369" s="3" t="str">
        <x:v>税込区分未確認（一覧表示額）</x:v>
      </x:c>
      <x:c r="AD369" s="3" t="str"/>
      <x:c r="AE369" s="29" t="str">
        <x:f>""</x:f>
      </x:c>
      <x:c r="AF369" s="30" t="str">
        <x:f>IF(ISNUMBER(AE369),U369/AE369,"")</x:f>
      </x:c>
      <x:c r="AG369" s="29" t="n">
        <x:f>'新車価格・特価'!N55</x:f>
        <x:v>1204000</x:v>
      </x:c>
      <x:c r="AH369" s="30" t="n">
        <x:f>IF(ISNUMBER(AG369),U369/AG369,"")</x:f>
        <x:v>0.5805647840531561</x:v>
      </x:c>
      <x:c r="AI369" s="3" t="str">
        <x:v>同年式・グレードの検証済み当時価格なし／登録年混在</x:v>
      </x:c>
      <x:c r="AJ369" s="3" t="str">
        <x:v>一覧価格/年式のみ</x:v>
      </x:c>
      <x:c r="AK369" s="3" t="str">
        <x:v>一覧の表示価格。年式は掲載年式。</x:v>
      </x:c>
      <x:c r="AL369" s="31" t="n">
        <x:f>IF(AND(J369&lt;='分析方法'!$B$7,OR(ISBLANK(O369),O369&gt;='分析方法'!$B$8),X369&lt;&gt;"売却済み表示"),1,0)</x:f>
        <x:v>1</x:v>
      </x:c>
      <x:c r="AM369" s="32" t="n">
        <x:f>IF(AL369=1,U369,"")</x:f>
        <x:v>699000</x:v>
      </x:c>
      <x:c r="AN369" s="33" t="str">
        <x:f>IF(AL369=1,AF369,"")</x:f>
      </x:c>
      <x:c r="AO369" s="31" t="n">
        <x:f>'分析方法'!$B$6-J369</x:f>
        <x:v>4</x:v>
      </x:c>
      <x:c r="AP369" s="3"/>
    </x:row>
    <x:row r="370" ht="22" customHeight="1">
      <x:c r="A370" s="3" t="str">
        <x:v>T2910055</x:v>
      </x:c>
      <x:c r="B370" s="7" t="d">
        <x:v>2026-10-08T00:00:00.000Z</x:v>
      </x:c>
      <x:c r="C370" s="3" t="str">
        <x:v>Taladrod</x:v>
      </x:c>
      <x:c r="D370" s="3" t="str">
        <x:v>Toyota</x:v>
      </x:c>
      <x:c r="E370" s="3" t="str">
        <x:v>日本</x:v>
      </x:c>
      <x:c r="F370" s="3" t="str">
        <x:v>Corolla Cross</x:v>
      </x:c>
      <x:c r="G370" s="3" t="str">
        <x:v>HEV</x:v>
      </x:c>
      <x:c r="H370" s="3" t="str">
        <x:v>SUV</x:v>
      </x:c>
      <x:c r="I370" s="3" t="str"/>
      <x:c r="J370" s="3" t="n">
        <x:v>2022</x:v>
      </x:c>
      <x:c r="K370" s="3" t="str">
        <x:v>1.8 HYBRID PREMIUM SAFETY</x:v>
      </x:c>
      <x:c r="L370" s="3" t="str">
        <x:v>HEV PREMIUM SAFETY</x:v>
      </x:c>
      <x:c r="M370" s="22"/>
      <x:c r="N370" s="22"/>
      <x:c r="O370" s="22"/>
      <x:c r="P370" s="3" t="str">
        <x:v>未掲載</x:v>
      </x:c>
      <x:c r="Q370" s="3" t="str">
        <x:v>未取得</x:v>
      </x:c>
      <x:c r="R370" s="3" t="str">
        <x:v>Unknown</x:v>
      </x:c>
      <x:c r="S370" s="3" t="str">
        <x:v>不明</x:v>
      </x:c>
      <x:c r="T370" s="3" t="str">
        <x:v>20-ปัจจุบัน</x:v>
      </x:c>
      <x:c r="U370" s="28" t="n">
        <x:v>649000</x:v>
      </x:c>
      <x:c r="V370" s="28" t="n">
        <x:v>1199000</x:v>
      </x:c>
      <x:c r="W370" s="3" t="str">
        <x:v>事故・水没・SOH・保証残は未確認</x:v>
      </x:c>
      <x:c r="X370" s="3" t="str">
        <x:v>掲載中・在庫未確認</x:v>
      </x:c>
      <x:c r="Y370" s="3" t="str"/>
      <x:c r="Z370" s="27" t="str">
        <x:v>https://www.taladrod.com/w40/icar/cardet.aspx?cid=2910055</x:v>
      </x:c>
      <x:c r="AA370" s="3" t="str">
        <x:v>Taladrod個別広告ID／Carsome在庫ID</x:v>
      </x:c>
      <x:c r="AB370" s="3" t="str">
        <x:v>車台番号未取得／サイト間重複は未判定</x:v>
      </x:c>
      <x:c r="AC370" s="3" t="str">
        <x:v>税込区分未確認（一覧表示額）</x:v>
      </x:c>
      <x:c r="AD370" s="3" t="str"/>
      <x:c r="AE370" s="29" t="str">
        <x:f>""</x:f>
      </x:c>
      <x:c r="AF370" s="30" t="str">
        <x:f>IF(ISNUMBER(AE370),U370/AE370,"")</x:f>
      </x:c>
      <x:c r="AG370" s="29" t="n">
        <x:f>'新車価格・特価'!N55</x:f>
        <x:v>1204000</x:v>
      </x:c>
      <x:c r="AH370" s="30" t="n">
        <x:f>IF(ISNUMBER(AG370),U370/AG370,"")</x:f>
        <x:v>0.5390365448504983</x:v>
      </x:c>
      <x:c r="AI370" s="3" t="str">
        <x:v>同年式・グレードの検証済み当時価格なし／登録年混在</x:v>
      </x:c>
      <x:c r="AJ370" s="3" t="str">
        <x:v>一覧価格/年式のみ</x:v>
      </x:c>
      <x:c r="AK370" s="3" t="str">
        <x:v>一覧の表示価格。年式は掲載年式。</x:v>
      </x:c>
      <x:c r="AL370" s="31" t="n">
        <x:f>IF(AND(J370&lt;='分析方法'!$B$7,OR(ISBLANK(O370),O370&gt;='分析方法'!$B$8),X370&lt;&gt;"売却済み表示"),1,0)</x:f>
        <x:v>1</x:v>
      </x:c>
      <x:c r="AM370" s="32" t="n">
        <x:f>IF(AL370=1,U370,"")</x:f>
        <x:v>649000</x:v>
      </x:c>
      <x:c r="AN370" s="33" t="str">
        <x:f>IF(AL370=1,AF370,"")</x:f>
      </x:c>
      <x:c r="AO370" s="31" t="n">
        <x:f>'分析方法'!$B$6-J370</x:f>
        <x:v>4</x:v>
      </x:c>
      <x:c r="AP370" s="3"/>
    </x:row>
    <x:row r="371" ht="22" customHeight="1">
      <x:c r="A371" s="3" t="str">
        <x:v>T2914206</x:v>
      </x:c>
      <x:c r="B371" s="7" t="d">
        <x:v>2026-10-08T00:00:00.000Z</x:v>
      </x:c>
      <x:c r="C371" s="3" t="str">
        <x:v>Taladrod</x:v>
      </x:c>
      <x:c r="D371" s="3" t="str">
        <x:v>Toyota</x:v>
      </x:c>
      <x:c r="E371" s="3" t="str">
        <x:v>日本</x:v>
      </x:c>
      <x:c r="F371" s="3" t="str">
        <x:v>Corolla Cross</x:v>
      </x:c>
      <x:c r="G371" s="3" t="str">
        <x:v>HEV</x:v>
      </x:c>
      <x:c r="H371" s="3" t="str">
        <x:v>SUV</x:v>
      </x:c>
      <x:c r="I371" s="3" t="str"/>
      <x:c r="J371" s="3" t="n">
        <x:v>2022</x:v>
      </x:c>
      <x:c r="K371" s="3" t="str">
        <x:v>1.8 HYBRID PREMIUM SAFETY</x:v>
      </x:c>
      <x:c r="L371" s="3" t="str">
        <x:v>HEV PREMIUM SAFETY</x:v>
      </x:c>
      <x:c r="M371" s="22"/>
      <x:c r="N371" s="22"/>
      <x:c r="O371" s="22"/>
      <x:c r="P371" s="3" t="str">
        <x:v>未掲載</x:v>
      </x:c>
      <x:c r="Q371" s="3" t="str">
        <x:v>未取得</x:v>
      </x:c>
      <x:c r="R371" s="3" t="str">
        <x:v>Unknown</x:v>
      </x:c>
      <x:c r="S371" s="3" t="str">
        <x:v>不明</x:v>
      </x:c>
      <x:c r="T371" s="3" t="str">
        <x:v>20-ปัจจุบัน</x:v>
      </x:c>
      <x:c r="U371" s="28" t="n">
        <x:v>699000</x:v>
      </x:c>
      <x:c r="V371" s="28" t="n">
        <x:v>1199000</x:v>
      </x:c>
      <x:c r="W371" s="3" t="str">
        <x:v>事故・水没・SOH・保証残は未確認</x:v>
      </x:c>
      <x:c r="X371" s="3" t="str">
        <x:v>掲載中・在庫未確認</x:v>
      </x:c>
      <x:c r="Y371" s="3" t="str"/>
      <x:c r="Z371" s="27" t="str">
        <x:v>https://www.taladrod.com/w40/icar/cardet.aspx?cid=2914206</x:v>
      </x:c>
      <x:c r="AA371" s="3" t="str">
        <x:v>Taladrod個別広告ID／Carsome在庫ID</x:v>
      </x:c>
      <x:c r="AB371" s="3" t="str">
        <x:v>車台番号未取得／サイト間重複は未判定</x:v>
      </x:c>
      <x:c r="AC371" s="3" t="str">
        <x:v>税込区分未確認（一覧表示額）</x:v>
      </x:c>
      <x:c r="AD371" s="3" t="str"/>
      <x:c r="AE371" s="29" t="str">
        <x:f>""</x:f>
      </x:c>
      <x:c r="AF371" s="30" t="str">
        <x:f>IF(ISNUMBER(AE371),U371/AE371,"")</x:f>
      </x:c>
      <x:c r="AG371" s="29" t="n">
        <x:f>'新車価格・特価'!N55</x:f>
        <x:v>1204000</x:v>
      </x:c>
      <x:c r="AH371" s="30" t="n">
        <x:f>IF(ISNUMBER(AG371),U371/AG371,"")</x:f>
        <x:v>0.5805647840531561</x:v>
      </x:c>
      <x:c r="AI371" s="3" t="str">
        <x:v>同年式・グレードの検証済み当時価格なし／登録年混在</x:v>
      </x:c>
      <x:c r="AJ371" s="3" t="str">
        <x:v>一覧価格/年式のみ</x:v>
      </x:c>
      <x:c r="AK371" s="3" t="str">
        <x:v>一覧の表示価格。年式は掲載年式。</x:v>
      </x:c>
      <x:c r="AL371" s="31" t="n">
        <x:f>IF(AND(J371&lt;='分析方法'!$B$7,OR(ISBLANK(O371),O371&gt;='分析方法'!$B$8),X371&lt;&gt;"売却済み表示"),1,0)</x:f>
        <x:v>1</x:v>
      </x:c>
      <x:c r="AM371" s="32" t="n">
        <x:f>IF(AL371=1,U371,"")</x:f>
        <x:v>699000</x:v>
      </x:c>
      <x:c r="AN371" s="33" t="str">
        <x:f>IF(AL371=1,AF371,"")</x:f>
      </x:c>
      <x:c r="AO371" s="31" t="n">
        <x:f>'分析方法'!$B$6-J371</x:f>
        <x:v>4</x:v>
      </x:c>
      <x:c r="AP371" s="3"/>
    </x:row>
    <x:row r="372" ht="22" customHeight="1">
      <x:c r="A372" s="3" t="str">
        <x:v>T2915010</x:v>
      </x:c>
      <x:c r="B372" s="7" t="d">
        <x:v>2026-10-08T00:00:00.000Z</x:v>
      </x:c>
      <x:c r="C372" s="3" t="str">
        <x:v>Taladrod</x:v>
      </x:c>
      <x:c r="D372" s="3" t="str">
        <x:v>Toyota</x:v>
      </x:c>
      <x:c r="E372" s="3" t="str">
        <x:v>日本</x:v>
      </x:c>
      <x:c r="F372" s="3" t="str">
        <x:v>Corolla Cross</x:v>
      </x:c>
      <x:c r="G372" s="3" t="str">
        <x:v>HEV</x:v>
      </x:c>
      <x:c r="H372" s="3" t="str">
        <x:v>SUV</x:v>
      </x:c>
      <x:c r="I372" s="3" t="str"/>
      <x:c r="J372" s="3" t="n">
        <x:v>2022</x:v>
      </x:c>
      <x:c r="K372" s="3" t="str">
        <x:v>1.8 HYBRID PREMIUM SAFETY</x:v>
      </x:c>
      <x:c r="L372" s="3" t="str">
        <x:v>HEV PREMIUM SAFETY</x:v>
      </x:c>
      <x:c r="M372" s="22"/>
      <x:c r="N372" s="22"/>
      <x:c r="O372" s="22"/>
      <x:c r="P372" s="3" t="str">
        <x:v>未掲載</x:v>
      </x:c>
      <x:c r="Q372" s="3" t="str">
        <x:v>未取得</x:v>
      </x:c>
      <x:c r="R372" s="3" t="str">
        <x:v>Unknown</x:v>
      </x:c>
      <x:c r="S372" s="3" t="str">
        <x:v>不明</x:v>
      </x:c>
      <x:c r="T372" s="3" t="str">
        <x:v>20-ปัจจุบัน</x:v>
      </x:c>
      <x:c r="U372" s="28" t="n">
        <x:v>759000</x:v>
      </x:c>
      <x:c r="V372" s="28" t="n">
        <x:v>1199000</x:v>
      </x:c>
      <x:c r="W372" s="3" t="str">
        <x:v>事故・水没・SOH・保証残は未確認</x:v>
      </x:c>
      <x:c r="X372" s="3" t="str">
        <x:v>掲載中・在庫未確認</x:v>
      </x:c>
      <x:c r="Y372" s="3" t="str"/>
      <x:c r="Z372" s="27" t="str">
        <x:v>https://www.taladrod.com/w40/icar/cardet.aspx?cid=2915010</x:v>
      </x:c>
      <x:c r="AA372" s="3" t="str">
        <x:v>Taladrod個別広告ID／Carsome在庫ID</x:v>
      </x:c>
      <x:c r="AB372" s="3" t="str">
        <x:v>車台番号未取得／サイト間重複は未判定</x:v>
      </x:c>
      <x:c r="AC372" s="3" t="str">
        <x:v>税込区分未確認（一覧表示額）</x:v>
      </x:c>
      <x:c r="AD372" s="3" t="str"/>
      <x:c r="AE372" s="29" t="str">
        <x:f>""</x:f>
      </x:c>
      <x:c r="AF372" s="30" t="str">
        <x:f>IF(ISNUMBER(AE372),U372/AE372,"")</x:f>
      </x:c>
      <x:c r="AG372" s="29" t="n">
        <x:f>'新車価格・特価'!N55</x:f>
        <x:v>1204000</x:v>
      </x:c>
      <x:c r="AH372" s="30" t="n">
        <x:f>IF(ISNUMBER(AG372),U372/AG372,"")</x:f>
        <x:v>0.6303986710963455</x:v>
      </x:c>
      <x:c r="AI372" s="3" t="str">
        <x:v>同年式・グレードの検証済み当時価格なし／登録年混在</x:v>
      </x:c>
      <x:c r="AJ372" s="3" t="str">
        <x:v>一覧価格/年式のみ</x:v>
      </x:c>
      <x:c r="AK372" s="3" t="str">
        <x:v>一覧の表示価格。年式は掲載年式。</x:v>
      </x:c>
      <x:c r="AL372" s="31" t="n">
        <x:f>IF(AND(J372&lt;='分析方法'!$B$7,OR(ISBLANK(O372),O372&gt;='分析方法'!$B$8),X372&lt;&gt;"売却済み表示"),1,0)</x:f>
        <x:v>1</x:v>
      </x:c>
      <x:c r="AM372" s="32" t="n">
        <x:f>IF(AL372=1,U372,"")</x:f>
        <x:v>759000</x:v>
      </x:c>
      <x:c r="AN372" s="33" t="str">
        <x:f>IF(AL372=1,AF372,"")</x:f>
      </x:c>
      <x:c r="AO372" s="31" t="n">
        <x:f>'分析方法'!$B$6-J372</x:f>
        <x:v>4</x:v>
      </x:c>
      <x:c r="AP372" s="3"/>
    </x:row>
    <x:row r="373" ht="22" customHeight="1">
      <x:c r="A373" s="3" t="str">
        <x:v>T2917870</x:v>
      </x:c>
      <x:c r="B373" s="7" t="d">
        <x:v>2026-10-08T00:00:00.000Z</x:v>
      </x:c>
      <x:c r="C373" s="3" t="str">
        <x:v>Taladrod</x:v>
      </x:c>
      <x:c r="D373" s="3" t="str">
        <x:v>Toyota</x:v>
      </x:c>
      <x:c r="E373" s="3" t="str">
        <x:v>日本</x:v>
      </x:c>
      <x:c r="F373" s="3" t="str">
        <x:v>Corolla Cross</x:v>
      </x:c>
      <x:c r="G373" s="3" t="str">
        <x:v>HEV</x:v>
      </x:c>
      <x:c r="H373" s="3" t="str">
        <x:v>SUV</x:v>
      </x:c>
      <x:c r="I373" s="3" t="str"/>
      <x:c r="J373" s="3" t="n">
        <x:v>2022</x:v>
      </x:c>
      <x:c r="K373" s="3" t="str">
        <x:v>1.8 HYBRID PREMIUM SAFETY</x:v>
      </x:c>
      <x:c r="L373" s="3" t="str">
        <x:v>HEV PREMIUM SAFETY</x:v>
      </x:c>
      <x:c r="M373" s="22"/>
      <x:c r="N373" s="22"/>
      <x:c r="O373" s="22"/>
      <x:c r="P373" s="3" t="str">
        <x:v>未掲載</x:v>
      </x:c>
      <x:c r="Q373" s="3" t="str">
        <x:v>未取得</x:v>
      </x:c>
      <x:c r="R373" s="3" t="str">
        <x:v>Unknown</x:v>
      </x:c>
      <x:c r="S373" s="3" t="str">
        <x:v>不明</x:v>
      </x:c>
      <x:c r="T373" s="3" t="str">
        <x:v>20-ปัจจุบัน</x:v>
      </x:c>
      <x:c r="U373" s="28" t="n">
        <x:v>698000</x:v>
      </x:c>
      <x:c r="V373" s="28" t="n">
        <x:v>1199000</x:v>
      </x:c>
      <x:c r="W373" s="3" t="str">
        <x:v>事故・水没・SOH・保証残は未確認</x:v>
      </x:c>
      <x:c r="X373" s="3" t="str">
        <x:v>掲載中・在庫未確認</x:v>
      </x:c>
      <x:c r="Y373" s="3" t="str"/>
      <x:c r="Z373" s="27" t="str">
        <x:v>https://www.taladrod.com/w40/icar/cardet.aspx?cid=2917870</x:v>
      </x:c>
      <x:c r="AA373" s="3" t="str">
        <x:v>Taladrod個別広告ID／Carsome在庫ID</x:v>
      </x:c>
      <x:c r="AB373" s="3" t="str">
        <x:v>車台番号未取得／サイト間重複は未判定</x:v>
      </x:c>
      <x:c r="AC373" s="3" t="str">
        <x:v>税込区分未確認（一覧表示額）</x:v>
      </x:c>
      <x:c r="AD373" s="3" t="str"/>
      <x:c r="AE373" s="29" t="str">
        <x:f>""</x:f>
      </x:c>
      <x:c r="AF373" s="30" t="str">
        <x:f>IF(ISNUMBER(AE373),U373/AE373,"")</x:f>
      </x:c>
      <x:c r="AG373" s="29" t="n">
        <x:f>'新車価格・特価'!N55</x:f>
        <x:v>1204000</x:v>
      </x:c>
      <x:c r="AH373" s="30" t="n">
        <x:f>IF(ISNUMBER(AG373),U373/AG373,"")</x:f>
        <x:v>0.579734219269103</x:v>
      </x:c>
      <x:c r="AI373" s="3" t="str">
        <x:v>同年式・グレードの検証済み当時価格なし／登録年混在</x:v>
      </x:c>
      <x:c r="AJ373" s="3" t="str">
        <x:v>一覧価格/年式のみ</x:v>
      </x:c>
      <x:c r="AK373" s="3" t="str">
        <x:v>一覧の表示価格。年式は掲載年式。</x:v>
      </x:c>
      <x:c r="AL373" s="31" t="n">
        <x:f>IF(AND(J373&lt;='分析方法'!$B$7,OR(ISBLANK(O373),O373&gt;='分析方法'!$B$8),X373&lt;&gt;"売却済み表示"),1,0)</x:f>
        <x:v>1</x:v>
      </x:c>
      <x:c r="AM373" s="32" t="n">
        <x:f>IF(AL373=1,U373,"")</x:f>
        <x:v>698000</x:v>
      </x:c>
      <x:c r="AN373" s="33" t="str">
        <x:f>IF(AL373=1,AF373,"")</x:f>
      </x:c>
      <x:c r="AO373" s="31" t="n">
        <x:f>'分析方法'!$B$6-J373</x:f>
        <x:v>4</x:v>
      </x:c>
      <x:c r="AP373" s="3"/>
    </x:row>
    <x:row r="374" ht="22" customHeight="1">
      <x:c r="A374" s="3" t="str">
        <x:v>T2919103</x:v>
      </x:c>
      <x:c r="B374" s="7" t="d">
        <x:v>2026-10-08T00:00:00.000Z</x:v>
      </x:c>
      <x:c r="C374" s="3" t="str">
        <x:v>Taladrod</x:v>
      </x:c>
      <x:c r="D374" s="3" t="str">
        <x:v>Toyota</x:v>
      </x:c>
      <x:c r="E374" s="3" t="str">
        <x:v>日本</x:v>
      </x:c>
      <x:c r="F374" s="3" t="str">
        <x:v>Corolla Cross</x:v>
      </x:c>
      <x:c r="G374" s="3" t="str">
        <x:v>HEV</x:v>
      </x:c>
      <x:c r="H374" s="3" t="str">
        <x:v>SUV</x:v>
      </x:c>
      <x:c r="I374" s="3" t="str"/>
      <x:c r="J374" s="3" t="n">
        <x:v>2022</x:v>
      </x:c>
      <x:c r="K374" s="3" t="str">
        <x:v>1.8 HYBRID PREMIUM SAFETY</x:v>
      </x:c>
      <x:c r="L374" s="3" t="str">
        <x:v>HEV PREMIUM SAFETY</x:v>
      </x:c>
      <x:c r="M374" s="22"/>
      <x:c r="N374" s="22"/>
      <x:c r="O374" s="22"/>
      <x:c r="P374" s="3" t="str">
        <x:v>未掲載</x:v>
      </x:c>
      <x:c r="Q374" s="3" t="str">
        <x:v>未取得</x:v>
      </x:c>
      <x:c r="R374" s="3" t="str">
        <x:v>Unknown</x:v>
      </x:c>
      <x:c r="S374" s="3" t="str">
        <x:v>不明</x:v>
      </x:c>
      <x:c r="T374" s="3" t="str">
        <x:v>20-ปัจจุบัน</x:v>
      </x:c>
      <x:c r="U374" s="28" t="n">
        <x:v>720000</x:v>
      </x:c>
      <x:c r="V374" s="28" t="n">
        <x:v>1199000</x:v>
      </x:c>
      <x:c r="W374" s="3" t="str">
        <x:v>事故・水没・SOH・保証残は未確認</x:v>
      </x:c>
      <x:c r="X374" s="3" t="str">
        <x:v>掲載中・在庫未確認</x:v>
      </x:c>
      <x:c r="Y374" s="3" t="str"/>
      <x:c r="Z374" s="27" t="str">
        <x:v>https://www.taladrod.com/w40/icar/cardet.aspx?cid=2919103</x:v>
      </x:c>
      <x:c r="AA374" s="3" t="str">
        <x:v>Taladrod個別広告ID／Carsome在庫ID</x:v>
      </x:c>
      <x:c r="AB374" s="3" t="str">
        <x:v>車台番号未取得／サイト間重複は未判定</x:v>
      </x:c>
      <x:c r="AC374" s="3" t="str">
        <x:v>税込区分未確認（一覧表示額）</x:v>
      </x:c>
      <x:c r="AD374" s="3" t="str"/>
      <x:c r="AE374" s="29" t="str">
        <x:f>""</x:f>
      </x:c>
      <x:c r="AF374" s="30" t="str">
        <x:f>IF(ISNUMBER(AE374),U374/AE374,"")</x:f>
      </x:c>
      <x:c r="AG374" s="29" t="n">
        <x:f>'新車価格・特価'!N55</x:f>
        <x:v>1204000</x:v>
      </x:c>
      <x:c r="AH374" s="30" t="n">
        <x:f>IF(ISNUMBER(AG374),U374/AG374,"")</x:f>
        <x:v>0.5980066445182725</x:v>
      </x:c>
      <x:c r="AI374" s="3" t="str">
        <x:v>同年式・グレードの検証済み当時価格なし／登録年混在</x:v>
      </x:c>
      <x:c r="AJ374" s="3" t="str">
        <x:v>一覧価格/年式のみ</x:v>
      </x:c>
      <x:c r="AK374" s="3" t="str">
        <x:v>一覧の表示価格。年式は掲載年式。</x:v>
      </x:c>
      <x:c r="AL374" s="31" t="n">
        <x:f>IF(AND(J374&lt;='分析方法'!$B$7,OR(ISBLANK(O374),O374&gt;='分析方法'!$B$8),X374&lt;&gt;"売却済み表示"),1,0)</x:f>
        <x:v>1</x:v>
      </x:c>
      <x:c r="AM374" s="32" t="n">
        <x:f>IF(AL374=1,U374,"")</x:f>
        <x:v>720000</x:v>
      </x:c>
      <x:c r="AN374" s="33" t="str">
        <x:f>IF(AL374=1,AF374,"")</x:f>
      </x:c>
      <x:c r="AO374" s="31" t="n">
        <x:f>'分析方法'!$B$6-J374</x:f>
        <x:v>4</x:v>
      </x:c>
      <x:c r="AP374" s="3"/>
    </x:row>
    <x:row r="375" ht="22" customHeight="1">
      <x:c r="A375" s="3" t="str">
        <x:v>T2919150</x:v>
      </x:c>
      <x:c r="B375" s="7" t="d">
        <x:v>2026-10-08T00:00:00.000Z</x:v>
      </x:c>
      <x:c r="C375" s="3" t="str">
        <x:v>Taladrod</x:v>
      </x:c>
      <x:c r="D375" s="3" t="str">
        <x:v>Toyota</x:v>
      </x:c>
      <x:c r="E375" s="3" t="str">
        <x:v>日本</x:v>
      </x:c>
      <x:c r="F375" s="3" t="str">
        <x:v>Corolla Cross</x:v>
      </x:c>
      <x:c r="G375" s="3" t="str">
        <x:v>HEV</x:v>
      </x:c>
      <x:c r="H375" s="3" t="str">
        <x:v>SUV</x:v>
      </x:c>
      <x:c r="I375" s="3" t="str"/>
      <x:c r="J375" s="3" t="n">
        <x:v>2022</x:v>
      </x:c>
      <x:c r="K375" s="3" t="str">
        <x:v>1.8 HYBRID PREMIUM SAFETY</x:v>
      </x:c>
      <x:c r="L375" s="3" t="str">
        <x:v>HEV PREMIUM SAFETY</x:v>
      </x:c>
      <x:c r="M375" s="22"/>
      <x:c r="N375" s="22"/>
      <x:c r="O375" s="22"/>
      <x:c r="P375" s="3" t="str">
        <x:v>未掲載</x:v>
      </x:c>
      <x:c r="Q375" s="3" t="str">
        <x:v>未取得</x:v>
      </x:c>
      <x:c r="R375" s="3" t="str">
        <x:v>Unknown</x:v>
      </x:c>
      <x:c r="S375" s="3" t="str">
        <x:v>不明</x:v>
      </x:c>
      <x:c r="T375" s="3" t="str">
        <x:v>20-ปัจจุบัน</x:v>
      </x:c>
      <x:c r="U375" s="28" t="n">
        <x:v>629000</x:v>
      </x:c>
      <x:c r="V375" s="28" t="n">
        <x:v>1199000</x:v>
      </x:c>
      <x:c r="W375" s="3" t="str">
        <x:v>事故・水没・SOH・保証残は未確認</x:v>
      </x:c>
      <x:c r="X375" s="3" t="str">
        <x:v>掲載中・在庫未確認</x:v>
      </x:c>
      <x:c r="Y375" s="3" t="str"/>
      <x:c r="Z375" s="27" t="str">
        <x:v>https://www.taladrod.com/w40/icar/cardet.aspx?cid=2919150</x:v>
      </x:c>
      <x:c r="AA375" s="3" t="str">
        <x:v>Taladrod個別広告ID／Carsome在庫ID</x:v>
      </x:c>
      <x:c r="AB375" s="3" t="str">
        <x:v>車台番号未取得／サイト間重複は未判定</x:v>
      </x:c>
      <x:c r="AC375" s="3" t="str">
        <x:v>税込区分未確認（一覧表示額）</x:v>
      </x:c>
      <x:c r="AD375" s="3" t="str"/>
      <x:c r="AE375" s="29" t="str">
        <x:f>""</x:f>
      </x:c>
      <x:c r="AF375" s="30" t="str">
        <x:f>IF(ISNUMBER(AE375),U375/AE375,"")</x:f>
      </x:c>
      <x:c r="AG375" s="29" t="n">
        <x:f>'新車価格・特価'!N55</x:f>
        <x:v>1204000</x:v>
      </x:c>
      <x:c r="AH375" s="30" t="n">
        <x:f>IF(ISNUMBER(AG375),U375/AG375,"")</x:f>
        <x:v>0.5224252491694352</x:v>
      </x:c>
      <x:c r="AI375" s="3" t="str">
        <x:v>同年式・グレードの検証済み当時価格なし／登録年混在</x:v>
      </x:c>
      <x:c r="AJ375" s="3" t="str">
        <x:v>一覧価格/年式のみ</x:v>
      </x:c>
      <x:c r="AK375" s="3" t="str">
        <x:v>一覧の表示価格。年式は掲載年式。</x:v>
      </x:c>
      <x:c r="AL375" s="31" t="n">
        <x:f>IF(AND(J375&lt;='分析方法'!$B$7,OR(ISBLANK(O375),O375&gt;='分析方法'!$B$8),X375&lt;&gt;"売却済み表示"),1,0)</x:f>
        <x:v>1</x:v>
      </x:c>
      <x:c r="AM375" s="32" t="n">
        <x:f>IF(AL375=1,U375,"")</x:f>
        <x:v>629000</x:v>
      </x:c>
      <x:c r="AN375" s="33" t="str">
        <x:f>IF(AL375=1,AF375,"")</x:f>
      </x:c>
      <x:c r="AO375" s="31" t="n">
        <x:f>'分析方法'!$B$6-J375</x:f>
        <x:v>4</x:v>
      </x:c>
      <x:c r="AP375" s="3"/>
    </x:row>
    <x:row r="376" ht="22" customHeight="1">
      <x:c r="A376" s="3" t="str">
        <x:v>T2922762</x:v>
      </x:c>
      <x:c r="B376" s="7" t="d">
        <x:v>2026-10-08T00:00:00.000Z</x:v>
      </x:c>
      <x:c r="C376" s="3" t="str">
        <x:v>Taladrod</x:v>
      </x:c>
      <x:c r="D376" s="3" t="str">
        <x:v>Toyota</x:v>
      </x:c>
      <x:c r="E376" s="3" t="str">
        <x:v>日本</x:v>
      </x:c>
      <x:c r="F376" s="3" t="str">
        <x:v>Corolla Cross</x:v>
      </x:c>
      <x:c r="G376" s="3" t="str">
        <x:v>HEV</x:v>
      </x:c>
      <x:c r="H376" s="3" t="str">
        <x:v>SUV</x:v>
      </x:c>
      <x:c r="I376" s="3" t="str"/>
      <x:c r="J376" s="3" t="n">
        <x:v>2022</x:v>
      </x:c>
      <x:c r="K376" s="3" t="str">
        <x:v>1.8 HYBRID PREMIUM SAFETY</x:v>
      </x:c>
      <x:c r="L376" s="3" t="str">
        <x:v>HEV PREMIUM SAFETY</x:v>
      </x:c>
      <x:c r="M376" s="22"/>
      <x:c r="N376" s="22"/>
      <x:c r="O376" s="22"/>
      <x:c r="P376" s="3" t="str">
        <x:v>未掲載</x:v>
      </x:c>
      <x:c r="Q376" s="3" t="str">
        <x:v>未取得</x:v>
      </x:c>
      <x:c r="R376" s="3" t="str">
        <x:v>Unknown</x:v>
      </x:c>
      <x:c r="S376" s="3" t="str">
        <x:v>不明</x:v>
      </x:c>
      <x:c r="T376" s="3" t="str">
        <x:v>20-ปัจจุบัน</x:v>
      </x:c>
      <x:c r="U376" s="28" t="n">
        <x:v>624000</x:v>
      </x:c>
      <x:c r="V376" s="28" t="n">
        <x:v>1199000</x:v>
      </x:c>
      <x:c r="W376" s="3" t="str">
        <x:v>事故・水没・SOH・保証残は未確認</x:v>
      </x:c>
      <x:c r="X376" s="3" t="str">
        <x:v>掲載中・在庫未確認</x:v>
      </x:c>
      <x:c r="Y376" s="3" t="str"/>
      <x:c r="Z376" s="27" t="str">
        <x:v>https://www.taladrod.com/w40/icar/cardet.aspx?cid=2922762</x:v>
      </x:c>
      <x:c r="AA376" s="3" t="str">
        <x:v>Taladrod個別広告ID／Carsome在庫ID</x:v>
      </x:c>
      <x:c r="AB376" s="3" t="str">
        <x:v>車台番号未取得／サイト間重複は未判定</x:v>
      </x:c>
      <x:c r="AC376" s="3" t="str">
        <x:v>税込区分未確認（一覧表示額）</x:v>
      </x:c>
      <x:c r="AD376" s="3" t="str"/>
      <x:c r="AE376" s="29" t="str">
        <x:f>""</x:f>
      </x:c>
      <x:c r="AF376" s="30" t="str">
        <x:f>IF(ISNUMBER(AE376),U376/AE376,"")</x:f>
      </x:c>
      <x:c r="AG376" s="29" t="n">
        <x:f>'新車価格・特価'!N55</x:f>
        <x:v>1204000</x:v>
      </x:c>
      <x:c r="AH376" s="30" t="n">
        <x:f>IF(ISNUMBER(AG376),U376/AG376,"")</x:f>
        <x:v>0.5182724252491694</x:v>
      </x:c>
      <x:c r="AI376" s="3" t="str">
        <x:v>同年式・グレードの検証済み当時価格なし／登録年混在</x:v>
      </x:c>
      <x:c r="AJ376" s="3" t="str">
        <x:v>一覧価格/年式のみ</x:v>
      </x:c>
      <x:c r="AK376" s="3" t="str">
        <x:v>一覧の表示価格。年式は掲載年式。</x:v>
      </x:c>
      <x:c r="AL376" s="31" t="n">
        <x:f>IF(AND(J376&lt;='分析方法'!$B$7,OR(ISBLANK(O376),O376&gt;='分析方法'!$B$8),X376&lt;&gt;"売却済み表示"),1,0)</x:f>
        <x:v>1</x:v>
      </x:c>
      <x:c r="AM376" s="32" t="n">
        <x:f>IF(AL376=1,U376,"")</x:f>
        <x:v>624000</x:v>
      </x:c>
      <x:c r="AN376" s="33" t="str">
        <x:f>IF(AL376=1,AF376,"")</x:f>
      </x:c>
      <x:c r="AO376" s="31" t="n">
        <x:f>'分析方法'!$B$6-J376</x:f>
        <x:v>4</x:v>
      </x:c>
      <x:c r="AP376" s="3"/>
    </x:row>
    <x:row r="377" ht="22" customHeight="1">
      <x:c r="A377" s="3" t="str">
        <x:v>T2924922</x:v>
      </x:c>
      <x:c r="B377" s="7" t="d">
        <x:v>2026-10-08T00:00:00.000Z</x:v>
      </x:c>
      <x:c r="C377" s="3" t="str">
        <x:v>Taladrod</x:v>
      </x:c>
      <x:c r="D377" s="3" t="str">
        <x:v>Toyota</x:v>
      </x:c>
      <x:c r="E377" s="3" t="str">
        <x:v>日本</x:v>
      </x:c>
      <x:c r="F377" s="3" t="str">
        <x:v>Corolla Cross</x:v>
      </x:c>
      <x:c r="G377" s="3" t="str">
        <x:v>HEV</x:v>
      </x:c>
      <x:c r="H377" s="3" t="str">
        <x:v>SUV</x:v>
      </x:c>
      <x:c r="I377" s="3" t="str"/>
      <x:c r="J377" s="3" t="n">
        <x:v>2022</x:v>
      </x:c>
      <x:c r="K377" s="3" t="str">
        <x:v>1.8 HYBRID PREMIUM SAFETY</x:v>
      </x:c>
      <x:c r="L377" s="3" t="str">
        <x:v>HEV PREMIUM SAFETY</x:v>
      </x:c>
      <x:c r="M377" s="22"/>
      <x:c r="N377" s="22"/>
      <x:c r="O377" s="22"/>
      <x:c r="P377" s="3" t="str">
        <x:v>未掲載</x:v>
      </x:c>
      <x:c r="Q377" s="3" t="str">
        <x:v>未取得</x:v>
      </x:c>
      <x:c r="R377" s="3" t="str">
        <x:v>Unknown</x:v>
      </x:c>
      <x:c r="S377" s="3" t="str">
        <x:v>不明</x:v>
      </x:c>
      <x:c r="T377" s="3" t="str">
        <x:v>20-ปัจจุบัน</x:v>
      </x:c>
      <x:c r="U377" s="28" t="n">
        <x:v>729000</x:v>
      </x:c>
      <x:c r="V377" s="28" t="n">
        <x:v>1199000</x:v>
      </x:c>
      <x:c r="W377" s="3" t="str">
        <x:v>事故・水没・SOH・保証残は未確認</x:v>
      </x:c>
      <x:c r="X377" s="3" t="str">
        <x:v>掲載中・在庫未確認</x:v>
      </x:c>
      <x:c r="Y377" s="3" t="str"/>
      <x:c r="Z377" s="27" t="str">
        <x:v>https://www.taladrod.com/w40/icar/cardet.aspx?cid=2924922</x:v>
      </x:c>
      <x:c r="AA377" s="3" t="str">
        <x:v>Taladrod個別広告ID／Carsome在庫ID</x:v>
      </x:c>
      <x:c r="AB377" s="3" t="str">
        <x:v>車台番号未取得／サイト間重複は未判定</x:v>
      </x:c>
      <x:c r="AC377" s="3" t="str">
        <x:v>税込区分未確認（一覧表示額）</x:v>
      </x:c>
      <x:c r="AD377" s="3" t="str"/>
      <x:c r="AE377" s="29" t="str">
        <x:f>""</x:f>
      </x:c>
      <x:c r="AF377" s="30" t="str">
        <x:f>IF(ISNUMBER(AE377),U377/AE377,"")</x:f>
      </x:c>
      <x:c r="AG377" s="29" t="n">
        <x:f>'新車価格・特価'!N55</x:f>
        <x:v>1204000</x:v>
      </x:c>
      <x:c r="AH377" s="30" t="n">
        <x:f>IF(ISNUMBER(AG377),U377/AG377,"")</x:f>
        <x:v>0.6054817275747508</x:v>
      </x:c>
      <x:c r="AI377" s="3" t="str">
        <x:v>同年式・グレードの検証済み当時価格なし／登録年混在</x:v>
      </x:c>
      <x:c r="AJ377" s="3" t="str">
        <x:v>一覧価格/年式のみ</x:v>
      </x:c>
      <x:c r="AK377" s="3" t="str">
        <x:v>一覧の表示価格。年式は掲載年式。</x:v>
      </x:c>
      <x:c r="AL377" s="31" t="n">
        <x:f>IF(AND(J377&lt;='分析方法'!$B$7,OR(ISBLANK(O377),O377&gt;='分析方法'!$B$8),X377&lt;&gt;"売却済み表示"),1,0)</x:f>
        <x:v>1</x:v>
      </x:c>
      <x:c r="AM377" s="32" t="n">
        <x:f>IF(AL377=1,U377,"")</x:f>
        <x:v>729000</x:v>
      </x:c>
      <x:c r="AN377" s="33" t="str">
        <x:f>IF(AL377=1,AF377,"")</x:f>
      </x:c>
      <x:c r="AO377" s="31" t="n">
        <x:f>'分析方法'!$B$6-J377</x:f>
        <x:v>4</x:v>
      </x:c>
      <x:c r="AP377" s="3"/>
    </x:row>
    <x:row r="378" ht="22" customHeight="1">
      <x:c r="A378" s="3" t="str">
        <x:v>T2925959</x:v>
      </x:c>
      <x:c r="B378" s="7" t="d">
        <x:v>2026-10-08T00:00:00.000Z</x:v>
      </x:c>
      <x:c r="C378" s="3" t="str">
        <x:v>Taladrod</x:v>
      </x:c>
      <x:c r="D378" s="3" t="str">
        <x:v>Toyota</x:v>
      </x:c>
      <x:c r="E378" s="3" t="str">
        <x:v>日本</x:v>
      </x:c>
      <x:c r="F378" s="3" t="str">
        <x:v>Corolla Cross</x:v>
      </x:c>
      <x:c r="G378" s="3" t="str">
        <x:v>HEV</x:v>
      </x:c>
      <x:c r="H378" s="3" t="str">
        <x:v>SUV</x:v>
      </x:c>
      <x:c r="I378" s="3" t="str"/>
      <x:c r="J378" s="3" t="n">
        <x:v>2022</x:v>
      </x:c>
      <x:c r="K378" s="3" t="str">
        <x:v>1.8 HYBRID PREMIUM SAFETY</x:v>
      </x:c>
      <x:c r="L378" s="3" t="str">
        <x:v>HEV PREMIUM SAFETY</x:v>
      </x:c>
      <x:c r="M378" s="22"/>
      <x:c r="N378" s="22"/>
      <x:c r="O378" s="22"/>
      <x:c r="P378" s="3" t="str">
        <x:v>未掲載</x:v>
      </x:c>
      <x:c r="Q378" s="3" t="str">
        <x:v>未取得</x:v>
      </x:c>
      <x:c r="R378" s="3" t="str">
        <x:v>Unknown</x:v>
      </x:c>
      <x:c r="S378" s="3" t="str">
        <x:v>不明</x:v>
      </x:c>
      <x:c r="T378" s="3" t="str">
        <x:v>20-ปัจจุบัน</x:v>
      </x:c>
      <x:c r="U378" s="28" t="n">
        <x:v>700000</x:v>
      </x:c>
      <x:c r="V378" s="28" t="n">
        <x:v>1199000</x:v>
      </x:c>
      <x:c r="W378" s="3" t="str">
        <x:v>事故・水没・SOH・保証残は未確認</x:v>
      </x:c>
      <x:c r="X378" s="3" t="str">
        <x:v>掲載中・在庫未確認</x:v>
      </x:c>
      <x:c r="Y378" s="3" t="str"/>
      <x:c r="Z378" s="27" t="str">
        <x:v>https://www.taladrod.com/w40/icar/cardet.aspx?cid=2925959</x:v>
      </x:c>
      <x:c r="AA378" s="3" t="str">
        <x:v>Taladrod個別広告ID／Carsome在庫ID</x:v>
      </x:c>
      <x:c r="AB378" s="3" t="str">
        <x:v>車台番号未取得／サイト間重複は未判定</x:v>
      </x:c>
      <x:c r="AC378" s="3" t="str">
        <x:v>税込区分未確認（一覧表示額）</x:v>
      </x:c>
      <x:c r="AD378" s="3" t="str"/>
      <x:c r="AE378" s="29" t="str">
        <x:f>""</x:f>
      </x:c>
      <x:c r="AF378" s="30" t="str">
        <x:f>IF(ISNUMBER(AE378),U378/AE378,"")</x:f>
      </x:c>
      <x:c r="AG378" s="29" t="n">
        <x:f>'新車価格・特価'!N55</x:f>
        <x:v>1204000</x:v>
      </x:c>
      <x:c r="AH378" s="30" t="n">
        <x:f>IF(ISNUMBER(AG378),U378/AG378,"")</x:f>
        <x:v>0.5813953488372093</x:v>
      </x:c>
      <x:c r="AI378" s="3" t="str">
        <x:v>同年式・グレードの検証済み当時価格なし／登録年混在</x:v>
      </x:c>
      <x:c r="AJ378" s="3" t="str">
        <x:v>一覧価格/年式のみ</x:v>
      </x:c>
      <x:c r="AK378" s="3" t="str">
        <x:v>一覧の表示価格。年式は掲載年式。</x:v>
      </x:c>
      <x:c r="AL378" s="31" t="n">
        <x:f>IF(AND(J378&lt;='分析方法'!$B$7,OR(ISBLANK(O378),O378&gt;='分析方法'!$B$8),X378&lt;&gt;"売却済み表示"),1,0)</x:f>
        <x:v>1</x:v>
      </x:c>
      <x:c r="AM378" s="32" t="n">
        <x:f>IF(AL378=1,U378,"")</x:f>
        <x:v>700000</x:v>
      </x:c>
      <x:c r="AN378" s="33" t="str">
        <x:f>IF(AL378=1,AF378,"")</x:f>
      </x:c>
      <x:c r="AO378" s="31" t="n">
        <x:f>'分析方法'!$B$6-J378</x:f>
        <x:v>4</x:v>
      </x:c>
      <x:c r="AP378" s="3"/>
    </x:row>
    <x:row r="379" ht="22" customHeight="1">
      <x:c r="A379" s="3" t="str">
        <x:v>T2895618</x:v>
      </x:c>
      <x:c r="B379" s="7" t="d">
        <x:v>2026-10-08T00:00:00.000Z</x:v>
      </x:c>
      <x:c r="C379" s="3" t="str">
        <x:v>Taladrod</x:v>
      </x:c>
      <x:c r="D379" s="3" t="str">
        <x:v>Toyota</x:v>
      </x:c>
      <x:c r="E379" s="3" t="str">
        <x:v>日本</x:v>
      </x:c>
      <x:c r="F379" s="3" t="str">
        <x:v>Corolla Cross</x:v>
      </x:c>
      <x:c r="G379" s="3" t="str">
        <x:v>HEV</x:v>
      </x:c>
      <x:c r="H379" s="3" t="str">
        <x:v>SUV</x:v>
      </x:c>
      <x:c r="I379" s="3" t="str"/>
      <x:c r="J379" s="3" t="n">
        <x:v>2022</x:v>
      </x:c>
      <x:c r="K379" s="3" t="str">
        <x:v>1.8 HYBRID SMART</x:v>
      </x:c>
      <x:c r="L379" s="3" t="str">
        <x:v>HEV SMART</x:v>
      </x:c>
      <x:c r="M379" s="22"/>
      <x:c r="N379" s="22"/>
      <x:c r="O379" s="22"/>
      <x:c r="P379" s="3" t="str">
        <x:v>未掲載</x:v>
      </x:c>
      <x:c r="Q379" s="3" t="str">
        <x:v>未取得</x:v>
      </x:c>
      <x:c r="R379" s="3" t="str">
        <x:v>Unknown</x:v>
      </x:c>
      <x:c r="S379" s="3" t="str">
        <x:v>不明</x:v>
      </x:c>
      <x:c r="T379" s="3" t="str">
        <x:v>20-ปัจจุบัน</x:v>
      </x:c>
      <x:c r="U379" s="28" t="n">
        <x:v>619000</x:v>
      </x:c>
      <x:c r="V379" s="28" t="n">
        <x:v>1019000</x:v>
      </x:c>
      <x:c r="W379" s="3" t="str">
        <x:v>事故・水没・SOH・保証残は未確認</x:v>
      </x:c>
      <x:c r="X379" s="3" t="str">
        <x:v>掲載中・在庫未確認</x:v>
      </x:c>
      <x:c r="Y379" s="3" t="str"/>
      <x:c r="Z379" s="27" t="str">
        <x:v>https://www.taladrod.com/w40/icar/cardet.aspx?cid=2895618</x:v>
      </x:c>
      <x:c r="AA379" s="3" t="str">
        <x:v>Taladrod個別広告ID／Carsome在庫ID</x:v>
      </x:c>
      <x:c r="AB379" s="3" t="str">
        <x:v>車台番号未取得／サイト間重複は未判定</x:v>
      </x:c>
      <x:c r="AC379" s="3" t="str">
        <x:v>税込区分未確認（一覧表示額）</x:v>
      </x:c>
      <x:c r="AD379" s="3" t="str"/>
      <x:c r="AE379" s="29" t="str">
        <x:f>""</x:f>
      </x:c>
      <x:c r="AF379" s="30" t="str">
        <x:f>IF(ISNUMBER(AE379),U379/AE379,"")</x:f>
      </x:c>
      <x:c r="AG379" s="29" t="n">
        <x:f>'新車価格・特価'!N53</x:f>
        <x:v>989000</x:v>
      </x:c>
      <x:c r="AH379" s="30" t="n">
        <x:f>IF(ISNUMBER(AG379),U379/AG379,"")</x:f>
        <x:v>0.6258847320525783</x:v>
      </x:c>
      <x:c r="AI379" s="3" t="str">
        <x:v>同年式・グレードの検証済み当時価格なし／登録年混在</x:v>
      </x:c>
      <x:c r="AJ379" s="3" t="str">
        <x:v>一覧価格/年式のみ</x:v>
      </x:c>
      <x:c r="AK379" s="3" t="str">
        <x:v>一覧の表示価格。年式は掲載年式。</x:v>
      </x:c>
      <x:c r="AL379" s="31" t="n">
        <x:f>IF(AND(J379&lt;='分析方法'!$B$7,OR(ISBLANK(O379),O379&gt;='分析方法'!$B$8),X379&lt;&gt;"売却済み表示"),1,0)</x:f>
        <x:v>1</x:v>
      </x:c>
      <x:c r="AM379" s="32" t="n">
        <x:f>IF(AL379=1,U379,"")</x:f>
        <x:v>619000</x:v>
      </x:c>
      <x:c r="AN379" s="33" t="str">
        <x:f>IF(AL379=1,AF379,"")</x:f>
      </x:c>
      <x:c r="AO379" s="31" t="n">
        <x:f>'分析方法'!$B$6-J379</x:f>
        <x:v>4</x:v>
      </x:c>
      <x:c r="AP379" s="3"/>
    </x:row>
    <x:row r="380" ht="22" customHeight="1">
      <x:c r="A380" s="3" t="str">
        <x:v>T2913135</x:v>
      </x:c>
      <x:c r="B380" s="7" t="d">
        <x:v>2026-10-08T00:00:00.000Z</x:v>
      </x:c>
      <x:c r="C380" s="3" t="str">
        <x:v>Taladrod</x:v>
      </x:c>
      <x:c r="D380" s="3" t="str">
        <x:v>Toyota</x:v>
      </x:c>
      <x:c r="E380" s="3" t="str">
        <x:v>日本</x:v>
      </x:c>
      <x:c r="F380" s="3" t="str">
        <x:v>Corolla Cross</x:v>
      </x:c>
      <x:c r="G380" s="3" t="str">
        <x:v>HEV</x:v>
      </x:c>
      <x:c r="H380" s="3" t="str">
        <x:v>SUV</x:v>
      </x:c>
      <x:c r="I380" s="3" t="str"/>
      <x:c r="J380" s="3" t="n">
        <x:v>2022</x:v>
      </x:c>
      <x:c r="K380" s="3" t="str">
        <x:v>1.8 HYBRID SMART</x:v>
      </x:c>
      <x:c r="L380" s="3" t="str">
        <x:v>HEV SMART</x:v>
      </x:c>
      <x:c r="M380" s="22"/>
      <x:c r="N380" s="22"/>
      <x:c r="O380" s="22"/>
      <x:c r="P380" s="3" t="str">
        <x:v>未掲載</x:v>
      </x:c>
      <x:c r="Q380" s="3" t="str">
        <x:v>未取得</x:v>
      </x:c>
      <x:c r="R380" s="3" t="str">
        <x:v>Unknown</x:v>
      </x:c>
      <x:c r="S380" s="3" t="str">
        <x:v>不明</x:v>
      </x:c>
      <x:c r="T380" s="3" t="str">
        <x:v>20-ปัจจุบัน</x:v>
      </x:c>
      <x:c r="U380" s="28" t="n">
        <x:v>619000</x:v>
      </x:c>
      <x:c r="V380" s="28" t="n">
        <x:v>1019000</x:v>
      </x:c>
      <x:c r="W380" s="3" t="str">
        <x:v>事故・水没・SOH・保証残は未確認</x:v>
      </x:c>
      <x:c r="X380" s="3" t="str">
        <x:v>掲載中・在庫未確認</x:v>
      </x:c>
      <x:c r="Y380" s="3" t="str"/>
      <x:c r="Z380" s="27" t="str">
        <x:v>https://www.taladrod.com/w40/icar/cardet.aspx?cid=2913135</x:v>
      </x:c>
      <x:c r="AA380" s="3" t="str">
        <x:v>Taladrod個別広告ID／Carsome在庫ID</x:v>
      </x:c>
      <x:c r="AB380" s="3" t="str">
        <x:v>車台番号未取得／サイト間重複は未判定</x:v>
      </x:c>
      <x:c r="AC380" s="3" t="str">
        <x:v>税込区分未確認（一覧表示額）</x:v>
      </x:c>
      <x:c r="AD380" s="3" t="str"/>
      <x:c r="AE380" s="29" t="str">
        <x:f>""</x:f>
      </x:c>
      <x:c r="AF380" s="30" t="str">
        <x:f>IF(ISNUMBER(AE380),U380/AE380,"")</x:f>
      </x:c>
      <x:c r="AG380" s="29" t="n">
        <x:f>'新車価格・特価'!N53</x:f>
        <x:v>989000</x:v>
      </x:c>
      <x:c r="AH380" s="30" t="n">
        <x:f>IF(ISNUMBER(AG380),U380/AG380,"")</x:f>
        <x:v>0.6258847320525783</x:v>
      </x:c>
      <x:c r="AI380" s="3" t="str">
        <x:v>同年式・グレードの検証済み当時価格なし／登録年混在</x:v>
      </x:c>
      <x:c r="AJ380" s="3" t="str">
        <x:v>一覧価格/年式のみ</x:v>
      </x:c>
      <x:c r="AK380" s="3" t="str">
        <x:v>一覧の表示価格。年式は掲載年式。</x:v>
      </x:c>
      <x:c r="AL380" s="31" t="n">
        <x:f>IF(AND(J380&lt;='分析方法'!$B$7,OR(ISBLANK(O380),O380&gt;='分析方法'!$B$8),X380&lt;&gt;"売却済み表示"),1,0)</x:f>
        <x:v>1</x:v>
      </x:c>
      <x:c r="AM380" s="32" t="n">
        <x:f>IF(AL380=1,U380,"")</x:f>
        <x:v>619000</x:v>
      </x:c>
      <x:c r="AN380" s="33" t="str">
        <x:f>IF(AL380=1,AF380,"")</x:f>
      </x:c>
      <x:c r="AO380" s="31" t="n">
        <x:f>'分析方法'!$B$6-J380</x:f>
        <x:v>4</x:v>
      </x:c>
      <x:c r="AP380" s="3"/>
    </x:row>
    <x:row r="381" ht="22" customHeight="1">
      <x:c r="A381" s="3" t="str">
        <x:v>T2913822</x:v>
      </x:c>
      <x:c r="B381" s="7" t="d">
        <x:v>2026-10-08T00:00:00.000Z</x:v>
      </x:c>
      <x:c r="C381" s="3" t="str">
        <x:v>Taladrod</x:v>
      </x:c>
      <x:c r="D381" s="3" t="str">
        <x:v>Toyota</x:v>
      </x:c>
      <x:c r="E381" s="3" t="str">
        <x:v>日本</x:v>
      </x:c>
      <x:c r="F381" s="3" t="str">
        <x:v>Corolla Cross</x:v>
      </x:c>
      <x:c r="G381" s="3" t="str">
        <x:v>HEV</x:v>
      </x:c>
      <x:c r="H381" s="3" t="str">
        <x:v>SUV</x:v>
      </x:c>
      <x:c r="I381" s="3" t="str"/>
      <x:c r="J381" s="3" t="n">
        <x:v>2022</x:v>
      </x:c>
      <x:c r="K381" s="3" t="str">
        <x:v>1.8 HYBRID SMART</x:v>
      </x:c>
      <x:c r="L381" s="3" t="str">
        <x:v>HEV SMART</x:v>
      </x:c>
      <x:c r="M381" s="22"/>
      <x:c r="N381" s="22"/>
      <x:c r="O381" s="22"/>
      <x:c r="P381" s="3" t="str">
        <x:v>未掲載</x:v>
      </x:c>
      <x:c r="Q381" s="3" t="str">
        <x:v>未取得</x:v>
      </x:c>
      <x:c r="R381" s="3" t="str">
        <x:v>Unknown</x:v>
      </x:c>
      <x:c r="S381" s="3" t="str">
        <x:v>不明</x:v>
      </x:c>
      <x:c r="T381" s="3" t="str">
        <x:v>20-ปัจจุบัน</x:v>
      </x:c>
      <x:c r="U381" s="28" t="n">
        <x:v>699000</x:v>
      </x:c>
      <x:c r="V381" s="28" t="n">
        <x:v>1019000</x:v>
      </x:c>
      <x:c r="W381" s="3" t="str">
        <x:v>事故・水没・SOH・保証残は未確認</x:v>
      </x:c>
      <x:c r="X381" s="3" t="str">
        <x:v>掲載中・在庫未確認</x:v>
      </x:c>
      <x:c r="Y381" s="3" t="str"/>
      <x:c r="Z381" s="27" t="str">
        <x:v>https://www.taladrod.com/w40/icar/cardet.aspx?cid=2913822</x:v>
      </x:c>
      <x:c r="AA381" s="3" t="str">
        <x:v>Taladrod個別広告ID／Carsome在庫ID</x:v>
      </x:c>
      <x:c r="AB381" s="3" t="str">
        <x:v>車台番号未取得／サイト間重複は未判定</x:v>
      </x:c>
      <x:c r="AC381" s="3" t="str">
        <x:v>税込区分未確認（一覧表示額）</x:v>
      </x:c>
      <x:c r="AD381" s="3" t="str"/>
      <x:c r="AE381" s="29" t="str">
        <x:f>""</x:f>
      </x:c>
      <x:c r="AF381" s="30" t="str">
        <x:f>IF(ISNUMBER(AE381),U381/AE381,"")</x:f>
      </x:c>
      <x:c r="AG381" s="29" t="n">
        <x:f>'新車価格・特価'!N53</x:f>
        <x:v>989000</x:v>
      </x:c>
      <x:c r="AH381" s="30" t="n">
        <x:f>IF(ISNUMBER(AG381),U381/AG381,"")</x:f>
        <x:v>0.7067745197168858</x:v>
      </x:c>
      <x:c r="AI381" s="3" t="str">
        <x:v>同年式・グレードの検証済み当時価格なし／登録年混在</x:v>
      </x:c>
      <x:c r="AJ381" s="3" t="str">
        <x:v>一覧価格/年式のみ</x:v>
      </x:c>
      <x:c r="AK381" s="3" t="str">
        <x:v>一覧の表示価格。年式は掲載年式。</x:v>
      </x:c>
      <x:c r="AL381" s="31" t="n">
        <x:f>IF(AND(J381&lt;='分析方法'!$B$7,OR(ISBLANK(O381),O381&gt;='分析方法'!$B$8),X381&lt;&gt;"売却済み表示"),1,0)</x:f>
        <x:v>1</x:v>
      </x:c>
      <x:c r="AM381" s="32" t="n">
        <x:f>IF(AL381=1,U381,"")</x:f>
        <x:v>699000</x:v>
      </x:c>
      <x:c r="AN381" s="33" t="str">
        <x:f>IF(AL381=1,AF381,"")</x:f>
      </x:c>
      <x:c r="AO381" s="31" t="n">
        <x:f>'分析方法'!$B$6-J381</x:f>
        <x:v>4</x:v>
      </x:c>
      <x:c r="AP381" s="3"/>
    </x:row>
    <x:row r="382" ht="22" customHeight="1">
      <x:c r="A382" s="3" t="str">
        <x:v>T2884673</x:v>
      </x:c>
      <x:c r="B382" s="7" t="d">
        <x:v>2026-10-08T00:00:00.000Z</x:v>
      </x:c>
      <x:c r="C382" s="3" t="str">
        <x:v>Taladrod</x:v>
      </x:c>
      <x:c r="D382" s="3" t="str">
        <x:v>Toyota</x:v>
      </x:c>
      <x:c r="E382" s="3" t="str">
        <x:v>日本</x:v>
      </x:c>
      <x:c r="F382" s="3" t="str">
        <x:v>Corolla Cross</x:v>
      </x:c>
      <x:c r="G382" s="3" t="str">
        <x:v>HEV</x:v>
      </x:c>
      <x:c r="H382" s="3" t="str">
        <x:v>SUV</x:v>
      </x:c>
      <x:c r="I382" s="3" t="str"/>
      <x:c r="J382" s="3" t="n">
        <x:v>2023</x:v>
      </x:c>
      <x:c r="K382" s="3" t="str">
        <x:v>1.8 HEV GR SPORT</x:v>
      </x:c>
      <x:c r="L382" s="3" t="str">
        <x:v>HEV GR SPORT</x:v>
      </x:c>
      <x:c r="M382" s="22"/>
      <x:c r="N382" s="22"/>
      <x:c r="O382" s="22"/>
      <x:c r="P382" s="3" t="str">
        <x:v>未掲載</x:v>
      </x:c>
      <x:c r="Q382" s="3" t="str">
        <x:v>未取得</x:v>
      </x:c>
      <x:c r="R382" s="3" t="str">
        <x:v>Unknown</x:v>
      </x:c>
      <x:c r="S382" s="3" t="str">
        <x:v>不明</x:v>
      </x:c>
      <x:c r="T382" s="3" t="str">
        <x:v>20-ปัจจุบัน</x:v>
      </x:c>
      <x:c r="U382" s="28" t="n">
        <x:v>820000</x:v>
      </x:c>
      <x:c r="V382" s="28" t="n">
        <x:v>1249000</x:v>
      </x:c>
      <x:c r="W382" s="3" t="str">
        <x:v>事故・水没・SOH・保証残は未確認</x:v>
      </x:c>
      <x:c r="X382" s="3" t="str">
        <x:v>掲載中・在庫未確認</x:v>
      </x:c>
      <x:c r="Y382" s="3" t="str"/>
      <x:c r="Z382" s="27" t="str">
        <x:v>https://www.taladrod.com/w40/icar/cardet.aspx?cid=2884673</x:v>
      </x:c>
      <x:c r="AA382" s="3" t="str">
        <x:v>Taladrod個別広告ID／Carsome在庫ID</x:v>
      </x:c>
      <x:c r="AB382" s="3" t="str">
        <x:v>車台番号未取得／サイト間重複は未判定</x:v>
      </x:c>
      <x:c r="AC382" s="3" t="str">
        <x:v>税込区分未確認（一覧表示額）</x:v>
      </x:c>
      <x:c r="AD382" s="3" t="str">
        <x:v>CROSS23_HEV GR SPORT</x:v>
      </x:c>
      <x:c r="AE382" s="29" t="n">
        <x:f>'新車価格・特価'!K48</x:f>
        <x:v>1254000</x:v>
      </x:c>
      <x:c r="AF382" s="30" t="n">
        <x:f>IF(ISNUMBER(AE382),U382/AE382,"")</x:f>
        <x:v>0.6539074960127592</x:v>
      </x:c>
      <x:c r="AG382" s="29" t="str">
        <x:f>""</x:f>
      </x:c>
      <x:c r="AH382" s="30" t="str">
        <x:f>IF(ISNUMBER(AG382),U382/AG382,"")</x:f>
      </x:c>
      <x:c r="AI382" s="3" t="str">
        <x:v>当時公表小売価格の参考残価率。実購入額ではない。年式/登録年・仕様差に注意。</x:v>
      </x:c>
      <x:c r="AJ382" s="3" t="str">
        <x:v>一覧価格/年式のみ</x:v>
      </x:c>
      <x:c r="AK382" s="3" t="str">
        <x:v>一覧の表示価格。年式は掲載年式。</x:v>
      </x:c>
      <x:c r="AL382" s="31" t="n">
        <x:f>IF(AND(J382&lt;='分析方法'!$B$7,OR(ISBLANK(O382),O382&gt;='分析方法'!$B$8),X382&lt;&gt;"売却済み表示"),1,0)</x:f>
        <x:v>1</x:v>
      </x:c>
      <x:c r="AM382" s="32" t="n">
        <x:f>IF(AL382=1,U382,"")</x:f>
        <x:v>820000</x:v>
      </x:c>
      <x:c r="AN382" s="33" t="n">
        <x:f>IF(AL382=1,AF382,"")</x:f>
        <x:v>0.6539074960127592</x:v>
      </x:c>
      <x:c r="AO382" s="31" t="n">
        <x:f>'分析方法'!$B$6-J382</x:f>
        <x:v>3</x:v>
      </x:c>
      <x:c r="AP382" s="3"/>
    </x:row>
    <x:row r="383" ht="22" customHeight="1">
      <x:c r="A383" s="3" t="str">
        <x:v>T2898468</x:v>
      </x:c>
      <x:c r="B383" s="7" t="d">
        <x:v>2026-10-08T00:00:00.000Z</x:v>
      </x:c>
      <x:c r="C383" s="3" t="str">
        <x:v>Taladrod</x:v>
      </x:c>
      <x:c r="D383" s="3" t="str">
        <x:v>Toyota</x:v>
      </x:c>
      <x:c r="E383" s="3" t="str">
        <x:v>日本</x:v>
      </x:c>
      <x:c r="F383" s="3" t="str">
        <x:v>Corolla Cross</x:v>
      </x:c>
      <x:c r="G383" s="3" t="str">
        <x:v>HEV</x:v>
      </x:c>
      <x:c r="H383" s="3" t="str">
        <x:v>SUV</x:v>
      </x:c>
      <x:c r="I383" s="3" t="str"/>
      <x:c r="J383" s="3" t="n">
        <x:v>2023</x:v>
      </x:c>
      <x:c r="K383" s="3" t="str">
        <x:v>1.8 HYBRID GR SPORT</x:v>
      </x:c>
      <x:c r="L383" s="3" t="str">
        <x:v>HEV GR SPORT</x:v>
      </x:c>
      <x:c r="M383" s="22"/>
      <x:c r="N383" s="22"/>
      <x:c r="O383" s="22"/>
      <x:c r="P383" s="3" t="str">
        <x:v>未掲載</x:v>
      </x:c>
      <x:c r="Q383" s="3" t="str">
        <x:v>未取得</x:v>
      </x:c>
      <x:c r="R383" s="3" t="str">
        <x:v>Unknown</x:v>
      </x:c>
      <x:c r="S383" s="3" t="str">
        <x:v>不明</x:v>
      </x:c>
      <x:c r="T383" s="3" t="str">
        <x:v>20-ปัจจุบัน</x:v>
      </x:c>
      <x:c r="U383" s="28" t="n">
        <x:v>839000</x:v>
      </x:c>
      <x:c r="V383" s="28"/>
      <x:c r="W383" s="3" t="str">
        <x:v>事故・水没・SOH・保証残は未確認</x:v>
      </x:c>
      <x:c r="X383" s="3" t="str">
        <x:v>掲載中・在庫未確認</x:v>
      </x:c>
      <x:c r="Y383" s="3" t="str"/>
      <x:c r="Z383" s="27" t="str">
        <x:v>https://www.taladrod.com/w40/icar/cardet.aspx?cid=2898468</x:v>
      </x:c>
      <x:c r="AA383" s="3" t="str">
        <x:v>Taladrod個別広告ID／Carsome在庫ID</x:v>
      </x:c>
      <x:c r="AB383" s="3" t="str">
        <x:v>車台番号未取得／サイト間重複は未判定</x:v>
      </x:c>
      <x:c r="AC383" s="3" t="str">
        <x:v>税込区分未確認（一覧表示額）</x:v>
      </x:c>
      <x:c r="AD383" s="3" t="str">
        <x:v>CROSS23_HEV GR SPORT</x:v>
      </x:c>
      <x:c r="AE383" s="29" t="n">
        <x:f>'新車価格・特価'!K48</x:f>
        <x:v>1254000</x:v>
      </x:c>
      <x:c r="AF383" s="30" t="n">
        <x:f>IF(ISNUMBER(AE383),U383/AE383,"")</x:f>
        <x:v>0.6690590111642744</x:v>
      </x:c>
      <x:c r="AG383" s="29" t="str">
        <x:f>""</x:f>
      </x:c>
      <x:c r="AH383" s="30" t="str">
        <x:f>IF(ISNUMBER(AG383),U383/AG383,"")</x:f>
      </x:c>
      <x:c r="AI383" s="3" t="str">
        <x:v>当時公表小売価格の参考残価率。実購入額ではない。年式/登録年・仕様差に注意。</x:v>
      </x:c>
      <x:c r="AJ383" s="3" t="str">
        <x:v>一覧価格/年式のみ</x:v>
      </x:c>
      <x:c r="AK383" s="3" t="str">
        <x:v>一覧の表示価格。年式は掲載年式。</x:v>
      </x:c>
      <x:c r="AL383" s="31" t="n">
        <x:f>IF(AND(J383&lt;='分析方法'!$B$7,OR(ISBLANK(O383),O383&gt;='分析方法'!$B$8),X383&lt;&gt;"売却済み表示"),1,0)</x:f>
        <x:v>1</x:v>
      </x:c>
      <x:c r="AM383" s="32" t="n">
        <x:f>IF(AL383=1,U383,"")</x:f>
        <x:v>839000</x:v>
      </x:c>
      <x:c r="AN383" s="33" t="n">
        <x:f>IF(AL383=1,AF383,"")</x:f>
        <x:v>0.6690590111642744</x:v>
      </x:c>
      <x:c r="AO383" s="31" t="n">
        <x:f>'分析方法'!$B$6-J383</x:f>
        <x:v>3</x:v>
      </x:c>
      <x:c r="AP383" s="3"/>
    </x:row>
    <x:row r="384" ht="22" customHeight="1">
      <x:c r="A384" s="3" t="str">
        <x:v>T2906190</x:v>
      </x:c>
      <x:c r="B384" s="7" t="d">
        <x:v>2026-10-08T00:00:00.000Z</x:v>
      </x:c>
      <x:c r="C384" s="3" t="str">
        <x:v>Taladrod</x:v>
      </x:c>
      <x:c r="D384" s="3" t="str">
        <x:v>Toyota</x:v>
      </x:c>
      <x:c r="E384" s="3" t="str">
        <x:v>日本</x:v>
      </x:c>
      <x:c r="F384" s="3" t="str">
        <x:v>Corolla Cross</x:v>
      </x:c>
      <x:c r="G384" s="3" t="str">
        <x:v>HEV</x:v>
      </x:c>
      <x:c r="H384" s="3" t="str">
        <x:v>SUV</x:v>
      </x:c>
      <x:c r="I384" s="3" t="str"/>
      <x:c r="J384" s="3" t="n">
        <x:v>2023</x:v>
      </x:c>
      <x:c r="K384" s="3" t="str">
        <x:v>1.8 HYBRID GR SPORT</x:v>
      </x:c>
      <x:c r="L384" s="3" t="str">
        <x:v>HEV GR SPORT</x:v>
      </x:c>
      <x:c r="M384" s="22"/>
      <x:c r="N384" s="22"/>
      <x:c r="O384" s="22"/>
      <x:c r="P384" s="3" t="str">
        <x:v>未掲載</x:v>
      </x:c>
      <x:c r="Q384" s="3" t="str">
        <x:v>未取得</x:v>
      </x:c>
      <x:c r="R384" s="3" t="str">
        <x:v>Unknown</x:v>
      </x:c>
      <x:c r="S384" s="3" t="str">
        <x:v>不明</x:v>
      </x:c>
      <x:c r="T384" s="3" t="str">
        <x:v>20-ปัจจุบัน</x:v>
      </x:c>
      <x:c r="U384" s="28" t="n">
        <x:v>829000</x:v>
      </x:c>
      <x:c r="V384" s="28"/>
      <x:c r="W384" s="3" t="str">
        <x:v>事故・水没・SOH・保証残は未確認</x:v>
      </x:c>
      <x:c r="X384" s="3" t="str">
        <x:v>掲載中・在庫未確認</x:v>
      </x:c>
      <x:c r="Y384" s="3" t="str"/>
      <x:c r="Z384" s="27" t="str">
        <x:v>https://www.taladrod.com/w40/icar/cardet.aspx?cid=2906190</x:v>
      </x:c>
      <x:c r="AA384" s="3" t="str">
        <x:v>Taladrod個別広告ID／Carsome在庫ID</x:v>
      </x:c>
      <x:c r="AB384" s="3" t="str">
        <x:v>車台番号未取得／サイト間重複は未判定</x:v>
      </x:c>
      <x:c r="AC384" s="3" t="str">
        <x:v>税込区分未確認（一覧表示額）</x:v>
      </x:c>
      <x:c r="AD384" s="3" t="str">
        <x:v>CROSS23_HEV GR SPORT</x:v>
      </x:c>
      <x:c r="AE384" s="29" t="n">
        <x:f>'新車価格・特価'!K48</x:f>
        <x:v>1254000</x:v>
      </x:c>
      <x:c r="AF384" s="30" t="n">
        <x:f>IF(ISNUMBER(AE384),U384/AE384,"")</x:f>
        <x:v>0.6610845295055822</x:v>
      </x:c>
      <x:c r="AG384" s="29" t="str">
        <x:f>""</x:f>
      </x:c>
      <x:c r="AH384" s="30" t="str">
        <x:f>IF(ISNUMBER(AG384),U384/AG384,"")</x:f>
      </x:c>
      <x:c r="AI384" s="3" t="str">
        <x:v>当時公表小売価格の参考残価率。実購入額ではない。年式/登録年・仕様差に注意。</x:v>
      </x:c>
      <x:c r="AJ384" s="3" t="str">
        <x:v>一覧価格/年式のみ</x:v>
      </x:c>
      <x:c r="AK384" s="3" t="str">
        <x:v>一覧の表示価格。年式は掲載年式。</x:v>
      </x:c>
      <x:c r="AL384" s="31" t="n">
        <x:f>IF(AND(J384&lt;='分析方法'!$B$7,OR(ISBLANK(O384),O384&gt;='分析方法'!$B$8),X384&lt;&gt;"売却済み表示"),1,0)</x:f>
        <x:v>1</x:v>
      </x:c>
      <x:c r="AM384" s="32" t="n">
        <x:f>IF(AL384=1,U384,"")</x:f>
        <x:v>829000</x:v>
      </x:c>
      <x:c r="AN384" s="33" t="n">
        <x:f>IF(AL384=1,AF384,"")</x:f>
        <x:v>0.6610845295055822</x:v>
      </x:c>
      <x:c r="AO384" s="31" t="n">
        <x:f>'分析方法'!$B$6-J384</x:f>
        <x:v>3</x:v>
      </x:c>
      <x:c r="AP384" s="3"/>
    </x:row>
    <x:row r="385" ht="22" customHeight="1">
      <x:c r="A385" s="3" t="str">
        <x:v>T2907017</x:v>
      </x:c>
      <x:c r="B385" s="7" t="d">
        <x:v>2026-10-08T00:00:00.000Z</x:v>
      </x:c>
      <x:c r="C385" s="3" t="str">
        <x:v>Taladrod</x:v>
      </x:c>
      <x:c r="D385" s="3" t="str">
        <x:v>Toyota</x:v>
      </x:c>
      <x:c r="E385" s="3" t="str">
        <x:v>日本</x:v>
      </x:c>
      <x:c r="F385" s="3" t="str">
        <x:v>Corolla Cross</x:v>
      </x:c>
      <x:c r="G385" s="3" t="str">
        <x:v>HEV</x:v>
      </x:c>
      <x:c r="H385" s="3" t="str">
        <x:v>SUV</x:v>
      </x:c>
      <x:c r="I385" s="3" t="str"/>
      <x:c r="J385" s="3" t="n">
        <x:v>2023</x:v>
      </x:c>
      <x:c r="K385" s="3" t="str">
        <x:v>1.8 HYBRID GR SPORT</x:v>
      </x:c>
      <x:c r="L385" s="3" t="str">
        <x:v>HEV GR SPORT</x:v>
      </x:c>
      <x:c r="M385" s="22"/>
      <x:c r="N385" s="22"/>
      <x:c r="O385" s="22"/>
      <x:c r="P385" s="3" t="str">
        <x:v>未掲載</x:v>
      </x:c>
      <x:c r="Q385" s="3" t="str">
        <x:v>未取得</x:v>
      </x:c>
      <x:c r="R385" s="3" t="str">
        <x:v>Unknown</x:v>
      </x:c>
      <x:c r="S385" s="3" t="str">
        <x:v>不明</x:v>
      </x:c>
      <x:c r="T385" s="3" t="str">
        <x:v>20-ปัจจุบัน</x:v>
      </x:c>
      <x:c r="U385" s="28" t="n">
        <x:v>780000</x:v>
      </x:c>
      <x:c r="V385" s="28"/>
      <x:c r="W385" s="3" t="str">
        <x:v>事故・水没・SOH・保証残は未確認</x:v>
      </x:c>
      <x:c r="X385" s="3" t="str">
        <x:v>掲載中・在庫未確認</x:v>
      </x:c>
      <x:c r="Y385" s="3" t="str"/>
      <x:c r="Z385" s="27" t="str">
        <x:v>https://www.taladrod.com/w40/icar/cardet.aspx?cid=2907017</x:v>
      </x:c>
      <x:c r="AA385" s="3" t="str">
        <x:v>Taladrod個別広告ID／Carsome在庫ID</x:v>
      </x:c>
      <x:c r="AB385" s="3" t="str">
        <x:v>車台番号未取得／サイト間重複は未判定</x:v>
      </x:c>
      <x:c r="AC385" s="3" t="str">
        <x:v>税込区分未確認（一覧表示額）</x:v>
      </x:c>
      <x:c r="AD385" s="3" t="str">
        <x:v>CROSS23_HEV GR SPORT</x:v>
      </x:c>
      <x:c r="AE385" s="29" t="n">
        <x:f>'新車価格・特価'!K48</x:f>
        <x:v>1254000</x:v>
      </x:c>
      <x:c r="AF385" s="30" t="n">
        <x:f>IF(ISNUMBER(AE385),U385/AE385,"")</x:f>
        <x:v>0.6220095693779905</x:v>
      </x:c>
      <x:c r="AG385" s="29" t="str">
        <x:f>""</x:f>
      </x:c>
      <x:c r="AH385" s="30" t="str">
        <x:f>IF(ISNUMBER(AG385),U385/AG385,"")</x:f>
      </x:c>
      <x:c r="AI385" s="3" t="str">
        <x:v>当時公表小売価格の参考残価率。実購入額ではない。年式/登録年・仕様差に注意。</x:v>
      </x:c>
      <x:c r="AJ385" s="3" t="str">
        <x:v>一覧価格/年式のみ</x:v>
      </x:c>
      <x:c r="AK385" s="3" t="str">
        <x:v>一覧の表示価格。年式は掲載年式。</x:v>
      </x:c>
      <x:c r="AL385" s="31" t="n">
        <x:f>IF(AND(J385&lt;='分析方法'!$B$7,OR(ISBLANK(O385),O385&gt;='分析方法'!$B$8),X385&lt;&gt;"売却済み表示"),1,0)</x:f>
        <x:v>1</x:v>
      </x:c>
      <x:c r="AM385" s="32" t="n">
        <x:f>IF(AL385=1,U385,"")</x:f>
        <x:v>780000</x:v>
      </x:c>
      <x:c r="AN385" s="33" t="n">
        <x:f>IF(AL385=1,AF385,"")</x:f>
        <x:v>0.6220095693779905</x:v>
      </x:c>
      <x:c r="AO385" s="31" t="n">
        <x:f>'分析方法'!$B$6-J385</x:f>
        <x:v>3</x:v>
      </x:c>
      <x:c r="AP385" s="3"/>
    </x:row>
    <x:row r="386" ht="22" customHeight="1">
      <x:c r="A386" s="3" t="str">
        <x:v>T2909479</x:v>
      </x:c>
      <x:c r="B386" s="7" t="d">
        <x:v>2026-10-08T00:00:00.000Z</x:v>
      </x:c>
      <x:c r="C386" s="3" t="str">
        <x:v>Taladrod</x:v>
      </x:c>
      <x:c r="D386" s="3" t="str">
        <x:v>Toyota</x:v>
      </x:c>
      <x:c r="E386" s="3" t="str">
        <x:v>日本</x:v>
      </x:c>
      <x:c r="F386" s="3" t="str">
        <x:v>Corolla Cross</x:v>
      </x:c>
      <x:c r="G386" s="3" t="str">
        <x:v>HEV</x:v>
      </x:c>
      <x:c r="H386" s="3" t="str">
        <x:v>SUV</x:v>
      </x:c>
      <x:c r="I386" s="3" t="str"/>
      <x:c r="J386" s="3" t="n">
        <x:v>2023</x:v>
      </x:c>
      <x:c r="K386" s="3" t="str">
        <x:v>1.8 HYBRID GR SPORT</x:v>
      </x:c>
      <x:c r="L386" s="3" t="str">
        <x:v>HEV GR SPORT</x:v>
      </x:c>
      <x:c r="M386" s="22"/>
      <x:c r="N386" s="22"/>
      <x:c r="O386" s="22"/>
      <x:c r="P386" s="3" t="str">
        <x:v>未掲載</x:v>
      </x:c>
      <x:c r="Q386" s="3" t="str">
        <x:v>未取得</x:v>
      </x:c>
      <x:c r="R386" s="3" t="str">
        <x:v>Unknown</x:v>
      </x:c>
      <x:c r="S386" s="3" t="str">
        <x:v>不明</x:v>
      </x:c>
      <x:c r="T386" s="3" t="str">
        <x:v>20-ปัจจุบัน</x:v>
      </x:c>
      <x:c r="U386" s="28" t="n">
        <x:v>799000</x:v>
      </x:c>
      <x:c r="V386" s="28"/>
      <x:c r="W386" s="3" t="str">
        <x:v>事故・水没・SOH・保証残は未確認</x:v>
      </x:c>
      <x:c r="X386" s="3" t="str">
        <x:v>掲載中・在庫未確認</x:v>
      </x:c>
      <x:c r="Y386" s="3" t="str"/>
      <x:c r="Z386" s="27" t="str">
        <x:v>https://www.taladrod.com/w40/icar/cardet.aspx?cid=2909479</x:v>
      </x:c>
      <x:c r="AA386" s="3" t="str">
        <x:v>Taladrod個別広告ID／Carsome在庫ID</x:v>
      </x:c>
      <x:c r="AB386" s="3" t="str">
        <x:v>車台番号未取得／サイト間重複は未判定</x:v>
      </x:c>
      <x:c r="AC386" s="3" t="str">
        <x:v>税込区分未確認（一覧表示額）</x:v>
      </x:c>
      <x:c r="AD386" s="3" t="str">
        <x:v>CROSS23_HEV GR SPORT</x:v>
      </x:c>
      <x:c r="AE386" s="29" t="n">
        <x:f>'新車価格・特価'!K48</x:f>
        <x:v>1254000</x:v>
      </x:c>
      <x:c r="AF386" s="30" t="n">
        <x:f>IF(ISNUMBER(AE386),U386/AE386,"")</x:f>
        <x:v>0.6371610845295056</x:v>
      </x:c>
      <x:c r="AG386" s="29" t="str">
        <x:f>""</x:f>
      </x:c>
      <x:c r="AH386" s="30" t="str">
        <x:f>IF(ISNUMBER(AG386),U386/AG386,"")</x:f>
      </x:c>
      <x:c r="AI386" s="3" t="str">
        <x:v>当時公表小売価格の参考残価率。実購入額ではない。年式/登録年・仕様差に注意。</x:v>
      </x:c>
      <x:c r="AJ386" s="3" t="str">
        <x:v>一覧価格/年式のみ</x:v>
      </x:c>
      <x:c r="AK386" s="3" t="str">
        <x:v>一覧の表示価格。年式は掲載年式。</x:v>
      </x:c>
      <x:c r="AL386" s="31" t="n">
        <x:f>IF(AND(J386&lt;='分析方法'!$B$7,OR(ISBLANK(O386),O386&gt;='分析方法'!$B$8),X386&lt;&gt;"売却済み表示"),1,0)</x:f>
        <x:v>1</x:v>
      </x:c>
      <x:c r="AM386" s="32" t="n">
        <x:f>IF(AL386=1,U386,"")</x:f>
        <x:v>799000</x:v>
      </x:c>
      <x:c r="AN386" s="33" t="n">
        <x:f>IF(AL386=1,AF386,"")</x:f>
        <x:v>0.6371610845295056</x:v>
      </x:c>
      <x:c r="AO386" s="31" t="n">
        <x:f>'分析方法'!$B$6-J386</x:f>
        <x:v>3</x:v>
      </x:c>
      <x:c r="AP386" s="3"/>
    </x:row>
    <x:row r="387" ht="22" customHeight="1">
      <x:c r="A387" s="3" t="str">
        <x:v>T2910584</x:v>
      </x:c>
      <x:c r="B387" s="7" t="d">
        <x:v>2026-10-08T00:00:00.000Z</x:v>
      </x:c>
      <x:c r="C387" s="3" t="str">
        <x:v>Taladrod</x:v>
      </x:c>
      <x:c r="D387" s="3" t="str">
        <x:v>Toyota</x:v>
      </x:c>
      <x:c r="E387" s="3" t="str">
        <x:v>日本</x:v>
      </x:c>
      <x:c r="F387" s="3" t="str">
        <x:v>Corolla Cross</x:v>
      </x:c>
      <x:c r="G387" s="3" t="str">
        <x:v>HEV</x:v>
      </x:c>
      <x:c r="H387" s="3" t="str">
        <x:v>SUV</x:v>
      </x:c>
      <x:c r="I387" s="3" t="str"/>
      <x:c r="J387" s="3" t="n">
        <x:v>2023</x:v>
      </x:c>
      <x:c r="K387" s="3" t="str">
        <x:v>1.8 HYBRID GR SPORT</x:v>
      </x:c>
      <x:c r="L387" s="3" t="str">
        <x:v>HEV GR SPORT</x:v>
      </x:c>
      <x:c r="M387" s="22"/>
      <x:c r="N387" s="22"/>
      <x:c r="O387" s="22"/>
      <x:c r="P387" s="3" t="str">
        <x:v>未掲載</x:v>
      </x:c>
      <x:c r="Q387" s="3" t="str">
        <x:v>未取得</x:v>
      </x:c>
      <x:c r="R387" s="3" t="str">
        <x:v>Unknown</x:v>
      </x:c>
      <x:c r="S387" s="3" t="str">
        <x:v>不明</x:v>
      </x:c>
      <x:c r="T387" s="3" t="str">
        <x:v>20-ปัจจุบัน</x:v>
      </x:c>
      <x:c r="U387" s="28" t="n">
        <x:v>849000</x:v>
      </x:c>
      <x:c r="V387" s="28"/>
      <x:c r="W387" s="3" t="str">
        <x:v>事故・水没・SOH・保証残は未確認</x:v>
      </x:c>
      <x:c r="X387" s="3" t="str">
        <x:v>掲載中・在庫未確認</x:v>
      </x:c>
      <x:c r="Y387" s="3" t="str"/>
      <x:c r="Z387" s="27" t="str">
        <x:v>https://www.taladrod.com/w40/icar/cardet.aspx?cid=2910584</x:v>
      </x:c>
      <x:c r="AA387" s="3" t="str">
        <x:v>Taladrod個別広告ID／Carsome在庫ID</x:v>
      </x:c>
      <x:c r="AB387" s="3" t="str">
        <x:v>車台番号未取得／サイト間重複は未判定</x:v>
      </x:c>
      <x:c r="AC387" s="3" t="str">
        <x:v>税込区分未確認（一覧表示額）</x:v>
      </x:c>
      <x:c r="AD387" s="3" t="str">
        <x:v>CROSS23_HEV GR SPORT</x:v>
      </x:c>
      <x:c r="AE387" s="29" t="n">
        <x:f>'新車価格・特価'!K48</x:f>
        <x:v>1254000</x:v>
      </x:c>
      <x:c r="AF387" s="30" t="n">
        <x:f>IF(ISNUMBER(AE387),U387/AE387,"")</x:f>
        <x:v>0.6770334928229665</x:v>
      </x:c>
      <x:c r="AG387" s="29" t="str">
        <x:f>""</x:f>
      </x:c>
      <x:c r="AH387" s="30" t="str">
        <x:f>IF(ISNUMBER(AG387),U387/AG387,"")</x:f>
      </x:c>
      <x:c r="AI387" s="3" t="str">
        <x:v>当時公表小売価格の参考残価率。実購入額ではない。年式/登録年・仕様差に注意。</x:v>
      </x:c>
      <x:c r="AJ387" s="3" t="str">
        <x:v>一覧価格/年式のみ</x:v>
      </x:c>
      <x:c r="AK387" s="3" t="str">
        <x:v>一覧の表示価格。年式は掲載年式。</x:v>
      </x:c>
      <x:c r="AL387" s="31" t="n">
        <x:f>IF(AND(J387&lt;='分析方法'!$B$7,OR(ISBLANK(O387),O387&gt;='分析方法'!$B$8),X387&lt;&gt;"売却済み表示"),1,0)</x:f>
        <x:v>1</x:v>
      </x:c>
      <x:c r="AM387" s="32" t="n">
        <x:f>IF(AL387=1,U387,"")</x:f>
        <x:v>849000</x:v>
      </x:c>
      <x:c r="AN387" s="33" t="n">
        <x:f>IF(AL387=1,AF387,"")</x:f>
        <x:v>0.6770334928229665</x:v>
      </x:c>
      <x:c r="AO387" s="31" t="n">
        <x:f>'分析方法'!$B$6-J387</x:f>
        <x:v>3</x:v>
      </x:c>
      <x:c r="AP387" s="3"/>
    </x:row>
    <x:row r="388" ht="22" customHeight="1">
      <x:c r="A388" s="3" t="str">
        <x:v>T2925148</x:v>
      </x:c>
      <x:c r="B388" s="7" t="d">
        <x:v>2026-10-08T00:00:00.000Z</x:v>
      </x:c>
      <x:c r="C388" s="3" t="str">
        <x:v>Taladrod</x:v>
      </x:c>
      <x:c r="D388" s="3" t="str">
        <x:v>Toyota</x:v>
      </x:c>
      <x:c r="E388" s="3" t="str">
        <x:v>日本</x:v>
      </x:c>
      <x:c r="F388" s="3" t="str">
        <x:v>Corolla Cross</x:v>
      </x:c>
      <x:c r="G388" s="3" t="str">
        <x:v>HEV</x:v>
      </x:c>
      <x:c r="H388" s="3" t="str">
        <x:v>SUV</x:v>
      </x:c>
      <x:c r="I388" s="3" t="str"/>
      <x:c r="J388" s="3" t="n">
        <x:v>2023</x:v>
      </x:c>
      <x:c r="K388" s="3" t="str">
        <x:v>1.8 HYBRID GR SPORT</x:v>
      </x:c>
      <x:c r="L388" s="3" t="str">
        <x:v>HEV GR SPORT</x:v>
      </x:c>
      <x:c r="M388" s="22"/>
      <x:c r="N388" s="22"/>
      <x:c r="O388" s="22"/>
      <x:c r="P388" s="3" t="str">
        <x:v>未掲載</x:v>
      </x:c>
      <x:c r="Q388" s="3" t="str">
        <x:v>未取得</x:v>
      </x:c>
      <x:c r="R388" s="3" t="str">
        <x:v>Unknown</x:v>
      </x:c>
      <x:c r="S388" s="3" t="str">
        <x:v>不明</x:v>
      </x:c>
      <x:c r="T388" s="3" t="str">
        <x:v>20-ปัจจุบัน</x:v>
      </x:c>
      <x:c r="U388" s="28" t="n">
        <x:v>799000</x:v>
      </x:c>
      <x:c r="V388" s="28"/>
      <x:c r="W388" s="3" t="str">
        <x:v>事故・水没・SOH・保証残は未確認</x:v>
      </x:c>
      <x:c r="X388" s="3" t="str">
        <x:v>掲載中・在庫未確認</x:v>
      </x:c>
      <x:c r="Y388" s="3" t="str"/>
      <x:c r="Z388" s="27" t="str">
        <x:v>https://www.taladrod.com/w40/icar/cardet.aspx?cid=2925148</x:v>
      </x:c>
      <x:c r="AA388" s="3" t="str">
        <x:v>Taladrod個別広告ID／Carsome在庫ID</x:v>
      </x:c>
      <x:c r="AB388" s="3" t="str">
        <x:v>車台番号未取得／サイト間重複は未判定</x:v>
      </x:c>
      <x:c r="AC388" s="3" t="str">
        <x:v>税込区分未確認（一覧表示額）</x:v>
      </x:c>
      <x:c r="AD388" s="3" t="str">
        <x:v>CROSS23_HEV GR SPORT</x:v>
      </x:c>
      <x:c r="AE388" s="29" t="n">
        <x:f>'新車価格・特価'!K48</x:f>
        <x:v>1254000</x:v>
      </x:c>
      <x:c r="AF388" s="30" t="n">
        <x:f>IF(ISNUMBER(AE388),U388/AE388,"")</x:f>
        <x:v>0.6371610845295056</x:v>
      </x:c>
      <x:c r="AG388" s="29" t="str">
        <x:f>""</x:f>
      </x:c>
      <x:c r="AH388" s="30" t="str">
        <x:f>IF(ISNUMBER(AG388),U388/AG388,"")</x:f>
      </x:c>
      <x:c r="AI388" s="3" t="str">
        <x:v>当時公表小売価格の参考残価率。実購入額ではない。年式/登録年・仕様差に注意。</x:v>
      </x:c>
      <x:c r="AJ388" s="3" t="str">
        <x:v>一覧価格/年式のみ</x:v>
      </x:c>
      <x:c r="AK388" s="3" t="str">
        <x:v>一覧の表示価格。年式は掲載年式。</x:v>
      </x:c>
      <x:c r="AL388" s="31" t="n">
        <x:f>IF(AND(J388&lt;='分析方法'!$B$7,OR(ISBLANK(O388),O388&gt;='分析方法'!$B$8),X388&lt;&gt;"売却済み表示"),1,0)</x:f>
        <x:v>1</x:v>
      </x:c>
      <x:c r="AM388" s="32" t="n">
        <x:f>IF(AL388=1,U388,"")</x:f>
        <x:v>799000</x:v>
      </x:c>
      <x:c r="AN388" s="33" t="n">
        <x:f>IF(AL388=1,AF388,"")</x:f>
        <x:v>0.6371610845295056</x:v>
      </x:c>
      <x:c r="AO388" s="31" t="n">
        <x:f>'分析方法'!$B$6-J388</x:f>
        <x:v>3</x:v>
      </x:c>
      <x:c r="AP388" s="3"/>
    </x:row>
    <x:row r="389" ht="22" customHeight="1">
      <x:c r="A389" s="3" t="str">
        <x:v>T2925738</x:v>
      </x:c>
      <x:c r="B389" s="7" t="d">
        <x:v>2026-10-08T00:00:00.000Z</x:v>
      </x:c>
      <x:c r="C389" s="3" t="str">
        <x:v>Taladrod</x:v>
      </x:c>
      <x:c r="D389" s="3" t="str">
        <x:v>Toyota</x:v>
      </x:c>
      <x:c r="E389" s="3" t="str">
        <x:v>日本</x:v>
      </x:c>
      <x:c r="F389" s="3" t="str">
        <x:v>Corolla Cross</x:v>
      </x:c>
      <x:c r="G389" s="3" t="str">
        <x:v>HEV</x:v>
      </x:c>
      <x:c r="H389" s="3" t="str">
        <x:v>SUV</x:v>
      </x:c>
      <x:c r="I389" s="3" t="str"/>
      <x:c r="J389" s="3" t="n">
        <x:v>2023</x:v>
      </x:c>
      <x:c r="K389" s="3" t="str">
        <x:v>1.8 HYBRID GR SPORT</x:v>
      </x:c>
      <x:c r="L389" s="3" t="str">
        <x:v>HEV GR SPORT</x:v>
      </x:c>
      <x:c r="M389" s="22"/>
      <x:c r="N389" s="22"/>
      <x:c r="O389" s="22"/>
      <x:c r="P389" s="3" t="str">
        <x:v>未掲載</x:v>
      </x:c>
      <x:c r="Q389" s="3" t="str">
        <x:v>未取得</x:v>
      </x:c>
      <x:c r="R389" s="3" t="str">
        <x:v>Unknown</x:v>
      </x:c>
      <x:c r="S389" s="3" t="str">
        <x:v>不明</x:v>
      </x:c>
      <x:c r="T389" s="3" t="str">
        <x:v>20-ปัจจุบัน</x:v>
      </x:c>
      <x:c r="U389" s="28" t="n">
        <x:v>899000</x:v>
      </x:c>
      <x:c r="V389" s="28"/>
      <x:c r="W389" s="3" t="str">
        <x:v>事故・水没・SOH・保証残は未確認</x:v>
      </x:c>
      <x:c r="X389" s="3" t="str">
        <x:v>掲載中・在庫未確認</x:v>
      </x:c>
      <x:c r="Y389" s="3" t="str"/>
      <x:c r="Z389" s="27" t="str">
        <x:v>https://www.taladrod.com/w40/icar/cardet.aspx?cid=2925738</x:v>
      </x:c>
      <x:c r="AA389" s="3" t="str">
        <x:v>Taladrod個別広告ID／Carsome在庫ID</x:v>
      </x:c>
      <x:c r="AB389" s="3" t="str">
        <x:v>車台番号未取得／サイト間重複は未判定</x:v>
      </x:c>
      <x:c r="AC389" s="3" t="str">
        <x:v>税込区分未確認（一覧表示額）</x:v>
      </x:c>
      <x:c r="AD389" s="3" t="str">
        <x:v>CROSS23_HEV GR SPORT</x:v>
      </x:c>
      <x:c r="AE389" s="29" t="n">
        <x:f>'新車価格・特価'!K48</x:f>
        <x:v>1254000</x:v>
      </x:c>
      <x:c r="AF389" s="30" t="n">
        <x:f>IF(ISNUMBER(AE389),U389/AE389,"")</x:f>
        <x:v>0.7169059011164274</x:v>
      </x:c>
      <x:c r="AG389" s="29" t="str">
        <x:f>""</x:f>
      </x:c>
      <x:c r="AH389" s="30" t="str">
        <x:f>IF(ISNUMBER(AG389),U389/AG389,"")</x:f>
      </x:c>
      <x:c r="AI389" s="3" t="str">
        <x:v>当時公表小売価格の参考残価率。実購入額ではない。年式/登録年・仕様差に注意。</x:v>
      </x:c>
      <x:c r="AJ389" s="3" t="str">
        <x:v>一覧価格/年式のみ</x:v>
      </x:c>
      <x:c r="AK389" s="3" t="str">
        <x:v>一覧の表示価格。年式は掲載年式。</x:v>
      </x:c>
      <x:c r="AL389" s="31" t="n">
        <x:f>IF(AND(J389&lt;='分析方法'!$B$7,OR(ISBLANK(O389),O389&gt;='分析方法'!$B$8),X389&lt;&gt;"売却済み表示"),1,0)</x:f>
        <x:v>1</x:v>
      </x:c>
      <x:c r="AM389" s="32" t="n">
        <x:f>IF(AL389=1,U389,"")</x:f>
        <x:v>899000</x:v>
      </x:c>
      <x:c r="AN389" s="33" t="n">
        <x:f>IF(AL389=1,AF389,"")</x:f>
        <x:v>0.7169059011164274</x:v>
      </x:c>
      <x:c r="AO389" s="31" t="n">
        <x:f>'分析方法'!$B$6-J389</x:f>
        <x:v>3</x:v>
      </x:c>
      <x:c r="AP389" s="3"/>
    </x:row>
    <x:row r="390" ht="22" customHeight="1">
      <x:c r="A390" s="3" t="str">
        <x:v>T2917681</x:v>
      </x:c>
      <x:c r="B390" s="7" t="d">
        <x:v>2026-10-08T00:00:00.000Z</x:v>
      </x:c>
      <x:c r="C390" s="3" t="str">
        <x:v>Taladrod</x:v>
      </x:c>
      <x:c r="D390" s="3" t="str">
        <x:v>Toyota</x:v>
      </x:c>
      <x:c r="E390" s="3" t="str">
        <x:v>日本</x:v>
      </x:c>
      <x:c r="F390" s="3" t="str">
        <x:v>Corolla Cross</x:v>
      </x:c>
      <x:c r="G390" s="3" t="str">
        <x:v>HEV</x:v>
      </x:c>
      <x:c r="H390" s="3" t="str">
        <x:v>SUV</x:v>
      </x:c>
      <x:c r="I390" s="3" t="str"/>
      <x:c r="J390" s="3" t="n">
        <x:v>2023</x:v>
      </x:c>
      <x:c r="K390" s="3" t="str">
        <x:v>1.8 HYBRID PREMIUM</x:v>
      </x:c>
      <x:c r="L390" s="3" t="str">
        <x:v>HEV PREMIUM</x:v>
      </x:c>
      <x:c r="M390" s="22"/>
      <x:c r="N390" s="22"/>
      <x:c r="O390" s="22"/>
      <x:c r="P390" s="3" t="str">
        <x:v>未掲載</x:v>
      </x:c>
      <x:c r="Q390" s="3" t="str">
        <x:v>未取得</x:v>
      </x:c>
      <x:c r="R390" s="3" t="str">
        <x:v>Unknown</x:v>
      </x:c>
      <x:c r="S390" s="3" t="str">
        <x:v>不明</x:v>
      </x:c>
      <x:c r="T390" s="3" t="str">
        <x:v>20-ปัจจุบัน</x:v>
      </x:c>
      <x:c r="U390" s="28" t="n">
        <x:v>659000</x:v>
      </x:c>
      <x:c r="V390" s="28" t="n">
        <x:v>1089000</x:v>
      </x:c>
      <x:c r="W390" s="3" t="str">
        <x:v>事故・水没・SOH・保証残は未確認</x:v>
      </x:c>
      <x:c r="X390" s="3" t="str">
        <x:v>掲載中・在庫未確認</x:v>
      </x:c>
      <x:c r="Y390" s="3" t="str"/>
      <x:c r="Z390" s="27" t="str">
        <x:v>https://www.taladrod.com/w40/icar/cardet.aspx?cid=2917681</x:v>
      </x:c>
      <x:c r="AA390" s="3" t="str">
        <x:v>Taladrod個別広告ID／Carsome在庫ID</x:v>
      </x:c>
      <x:c r="AB390" s="3" t="str">
        <x:v>車台番号未取得／サイト間重複は未判定</x:v>
      </x:c>
      <x:c r="AC390" s="3" t="str">
        <x:v>税込区分未確認（一覧表示額）</x:v>
      </x:c>
      <x:c r="AD390" s="3" t="str">
        <x:v>CROSS23_HEV PREMIUM</x:v>
      </x:c>
      <x:c r="AE390" s="29" t="n">
        <x:f>'新車価格・特価'!K46</x:f>
        <x:v>1094000</x:v>
      </x:c>
      <x:c r="AF390" s="30" t="n">
        <x:f>IF(ISNUMBER(AE390),U390/AE390,"")</x:f>
        <x:v>0.6023765996343693</x:v>
      </x:c>
      <x:c r="AG390" s="29" t="n">
        <x:f>'新車価格・特価'!N54</x:f>
        <x:v>1094000</x:v>
      </x:c>
      <x:c r="AH390" s="30" t="n">
        <x:f>IF(ISNUMBER(AG390),U390/AG390,"")</x:f>
        <x:v>0.6023765996343693</x:v>
      </x:c>
      <x:c r="AI390" s="3" t="str">
        <x:v>当時公表小売価格の参考残価率。実購入額ではない。年式/登録年・仕様差に注意。</x:v>
      </x:c>
      <x:c r="AJ390" s="3" t="str">
        <x:v>一覧価格/年式のみ</x:v>
      </x:c>
      <x:c r="AK390" s="3" t="str">
        <x:v>一覧の表示価格。年式は掲載年式。</x:v>
      </x:c>
      <x:c r="AL390" s="31" t="n">
        <x:f>IF(AND(J390&lt;='分析方法'!$B$7,OR(ISBLANK(O390),O390&gt;='分析方法'!$B$8),X390&lt;&gt;"売却済み表示"),1,0)</x:f>
        <x:v>1</x:v>
      </x:c>
      <x:c r="AM390" s="32" t="n">
        <x:f>IF(AL390=1,U390,"")</x:f>
        <x:v>659000</x:v>
      </x:c>
      <x:c r="AN390" s="33" t="n">
        <x:f>IF(AL390=1,AF390,"")</x:f>
        <x:v>0.6023765996343693</x:v>
      </x:c>
      <x:c r="AO390" s="31" t="n">
        <x:f>'分析方法'!$B$6-J390</x:f>
        <x:v>3</x:v>
      </x:c>
      <x:c r="AP390" s="3"/>
    </x:row>
    <x:row r="391" ht="22" customHeight="1">
      <x:c r="A391" s="3" t="str">
        <x:v>T2921471</x:v>
      </x:c>
      <x:c r="B391" s="7" t="d">
        <x:v>2026-10-08T00:00:00.000Z</x:v>
      </x:c>
      <x:c r="C391" s="3" t="str">
        <x:v>Taladrod</x:v>
      </x:c>
      <x:c r="D391" s="3" t="str">
        <x:v>Toyota</x:v>
      </x:c>
      <x:c r="E391" s="3" t="str">
        <x:v>日本</x:v>
      </x:c>
      <x:c r="F391" s="3" t="str">
        <x:v>Corolla Cross</x:v>
      </x:c>
      <x:c r="G391" s="3" t="str">
        <x:v>HEV</x:v>
      </x:c>
      <x:c r="H391" s="3" t="str">
        <x:v>SUV</x:v>
      </x:c>
      <x:c r="I391" s="3" t="str"/>
      <x:c r="J391" s="3" t="n">
        <x:v>2023</x:v>
      </x:c>
      <x:c r="K391" s="3" t="str">
        <x:v>1.8 HYBRID PREMIUM</x:v>
      </x:c>
      <x:c r="L391" s="3" t="str">
        <x:v>HEV PREMIUM</x:v>
      </x:c>
      <x:c r="M391" s="22"/>
      <x:c r="N391" s="22"/>
      <x:c r="O391" s="22"/>
      <x:c r="P391" s="3" t="str">
        <x:v>未掲載</x:v>
      </x:c>
      <x:c r="Q391" s="3" t="str">
        <x:v>未取得</x:v>
      </x:c>
      <x:c r="R391" s="3" t="str">
        <x:v>Unknown</x:v>
      </x:c>
      <x:c r="S391" s="3" t="str">
        <x:v>不明</x:v>
      </x:c>
      <x:c r="T391" s="3" t="str">
        <x:v>20-ปัจจุบัน</x:v>
      </x:c>
      <x:c r="U391" s="28" t="n">
        <x:v>669000</x:v>
      </x:c>
      <x:c r="V391" s="28" t="n">
        <x:v>1089000</x:v>
      </x:c>
      <x:c r="W391" s="3" t="str">
        <x:v>事故・水没・SOH・保証残は未確認</x:v>
      </x:c>
      <x:c r="X391" s="3" t="str">
        <x:v>掲載中・在庫未確認</x:v>
      </x:c>
      <x:c r="Y391" s="3" t="str"/>
      <x:c r="Z391" s="27" t="str">
        <x:v>https://www.taladrod.com/w40/icar/cardet.aspx?cid=2921471</x:v>
      </x:c>
      <x:c r="AA391" s="3" t="str">
        <x:v>Taladrod個別広告ID／Carsome在庫ID</x:v>
      </x:c>
      <x:c r="AB391" s="3" t="str">
        <x:v>車台番号未取得／サイト間重複は未判定</x:v>
      </x:c>
      <x:c r="AC391" s="3" t="str">
        <x:v>税込区分未確認（一覧表示額）</x:v>
      </x:c>
      <x:c r="AD391" s="3" t="str">
        <x:v>CROSS23_HEV PREMIUM</x:v>
      </x:c>
      <x:c r="AE391" s="29" t="n">
        <x:f>'新車価格・特価'!K46</x:f>
        <x:v>1094000</x:v>
      </x:c>
      <x:c r="AF391" s="30" t="n">
        <x:f>IF(ISNUMBER(AE391),U391/AE391,"")</x:f>
        <x:v>0.6115173674588665</x:v>
      </x:c>
      <x:c r="AG391" s="29" t="n">
        <x:f>'新車価格・特価'!N54</x:f>
        <x:v>1094000</x:v>
      </x:c>
      <x:c r="AH391" s="30" t="n">
        <x:f>IF(ISNUMBER(AG391),U391/AG391,"")</x:f>
        <x:v>0.6115173674588665</x:v>
      </x:c>
      <x:c r="AI391" s="3" t="str">
        <x:v>当時公表小売価格の参考残価率。実購入額ではない。年式/登録年・仕様差に注意。</x:v>
      </x:c>
      <x:c r="AJ391" s="3" t="str">
        <x:v>一覧価格/年式のみ</x:v>
      </x:c>
      <x:c r="AK391" s="3" t="str">
        <x:v>一覧の表示価格。年式は掲載年式。</x:v>
      </x:c>
      <x:c r="AL391" s="31" t="n">
        <x:f>IF(AND(J391&lt;='分析方法'!$B$7,OR(ISBLANK(O391),O391&gt;='分析方法'!$B$8),X391&lt;&gt;"売却済み表示"),1,0)</x:f>
        <x:v>1</x:v>
      </x:c>
      <x:c r="AM391" s="32" t="n">
        <x:f>IF(AL391=1,U391,"")</x:f>
        <x:v>669000</x:v>
      </x:c>
      <x:c r="AN391" s="33" t="n">
        <x:f>IF(AL391=1,AF391,"")</x:f>
        <x:v>0.6115173674588665</x:v>
      </x:c>
      <x:c r="AO391" s="31" t="n">
        <x:f>'分析方法'!$B$6-J391</x:f>
        <x:v>3</x:v>
      </x:c>
      <x:c r="AP391" s="3"/>
    </x:row>
    <x:row r="392" ht="22" customHeight="1">
      <x:c r="A392" s="3" t="str">
        <x:v>T2921991</x:v>
      </x:c>
      <x:c r="B392" s="7" t="d">
        <x:v>2026-10-08T00:00:00.000Z</x:v>
      </x:c>
      <x:c r="C392" s="3" t="str">
        <x:v>Taladrod</x:v>
      </x:c>
      <x:c r="D392" s="3" t="str">
        <x:v>Toyota</x:v>
      </x:c>
      <x:c r="E392" s="3" t="str">
        <x:v>日本</x:v>
      </x:c>
      <x:c r="F392" s="3" t="str">
        <x:v>Corolla Cross</x:v>
      </x:c>
      <x:c r="G392" s="3" t="str">
        <x:v>HEV</x:v>
      </x:c>
      <x:c r="H392" s="3" t="str">
        <x:v>SUV</x:v>
      </x:c>
      <x:c r="I392" s="3" t="str"/>
      <x:c r="J392" s="3" t="n">
        <x:v>2023</x:v>
      </x:c>
      <x:c r="K392" s="3" t="str">
        <x:v>1.8 HYBRID PREMIUM</x:v>
      </x:c>
      <x:c r="L392" s="3" t="str">
        <x:v>HEV PREMIUM</x:v>
      </x:c>
      <x:c r="M392" s="22"/>
      <x:c r="N392" s="22"/>
      <x:c r="O392" s="22"/>
      <x:c r="P392" s="3" t="str">
        <x:v>未掲載</x:v>
      </x:c>
      <x:c r="Q392" s="3" t="str">
        <x:v>未取得</x:v>
      </x:c>
      <x:c r="R392" s="3" t="str">
        <x:v>Unknown</x:v>
      </x:c>
      <x:c r="S392" s="3" t="str">
        <x:v>不明</x:v>
      </x:c>
      <x:c r="T392" s="3" t="str">
        <x:v>20-ปัจจุบัน</x:v>
      </x:c>
      <x:c r="U392" s="28" t="n">
        <x:v>670000</x:v>
      </x:c>
      <x:c r="V392" s="28" t="n">
        <x:v>1089000</x:v>
      </x:c>
      <x:c r="W392" s="3" t="str">
        <x:v>事故・水没・SOH・保証残は未確認</x:v>
      </x:c>
      <x:c r="X392" s="3" t="str">
        <x:v>掲載中・在庫未確認</x:v>
      </x:c>
      <x:c r="Y392" s="3" t="str"/>
      <x:c r="Z392" s="27" t="str">
        <x:v>https://www.taladrod.com/w40/icar/cardet.aspx?cid=2921991</x:v>
      </x:c>
      <x:c r="AA392" s="3" t="str">
        <x:v>Taladrod個別広告ID／Carsome在庫ID</x:v>
      </x:c>
      <x:c r="AB392" s="3" t="str">
        <x:v>車台番号未取得／サイト間重複は未判定</x:v>
      </x:c>
      <x:c r="AC392" s="3" t="str">
        <x:v>税込区分未確認（一覧表示額）</x:v>
      </x:c>
      <x:c r="AD392" s="3" t="str">
        <x:v>CROSS23_HEV PREMIUM</x:v>
      </x:c>
      <x:c r="AE392" s="29" t="n">
        <x:f>'新車価格・特価'!K46</x:f>
        <x:v>1094000</x:v>
      </x:c>
      <x:c r="AF392" s="30" t="n">
        <x:f>IF(ISNUMBER(AE392),U392/AE392,"")</x:f>
        <x:v>0.6124314442413162</x:v>
      </x:c>
      <x:c r="AG392" s="29" t="n">
        <x:f>'新車価格・特価'!N54</x:f>
        <x:v>1094000</x:v>
      </x:c>
      <x:c r="AH392" s="30" t="n">
        <x:f>IF(ISNUMBER(AG392),U392/AG392,"")</x:f>
        <x:v>0.6124314442413162</x:v>
      </x:c>
      <x:c r="AI392" s="3" t="str">
        <x:v>当時公表小売価格の参考残価率。実購入額ではない。年式/登録年・仕様差に注意。</x:v>
      </x:c>
      <x:c r="AJ392" s="3" t="str">
        <x:v>一覧価格/年式のみ</x:v>
      </x:c>
      <x:c r="AK392" s="3" t="str">
        <x:v>一覧の表示価格。年式は掲載年式。</x:v>
      </x:c>
      <x:c r="AL392" s="31" t="n">
        <x:f>IF(AND(J392&lt;='分析方法'!$B$7,OR(ISBLANK(O392),O392&gt;='分析方法'!$B$8),X392&lt;&gt;"売却済み表示"),1,0)</x:f>
        <x:v>1</x:v>
      </x:c>
      <x:c r="AM392" s="32" t="n">
        <x:f>IF(AL392=1,U392,"")</x:f>
        <x:v>670000</x:v>
      </x:c>
      <x:c r="AN392" s="33" t="n">
        <x:f>IF(AL392=1,AF392,"")</x:f>
        <x:v>0.6124314442413162</x:v>
      </x:c>
      <x:c r="AO392" s="31" t="n">
        <x:f>'分析方法'!$B$6-J392</x:f>
        <x:v>3</x:v>
      </x:c>
      <x:c r="AP392" s="3"/>
    </x:row>
    <x:row r="393" ht="22" customHeight="1">
      <x:c r="A393" s="3" t="str">
        <x:v>T2922945</x:v>
      </x:c>
      <x:c r="B393" s="7" t="d">
        <x:v>2026-10-08T00:00:00.000Z</x:v>
      </x:c>
      <x:c r="C393" s="3" t="str">
        <x:v>Taladrod</x:v>
      </x:c>
      <x:c r="D393" s="3" t="str">
        <x:v>Toyota</x:v>
      </x:c>
      <x:c r="E393" s="3" t="str">
        <x:v>日本</x:v>
      </x:c>
      <x:c r="F393" s="3" t="str">
        <x:v>Corolla Cross</x:v>
      </x:c>
      <x:c r="G393" s="3" t="str">
        <x:v>HEV</x:v>
      </x:c>
      <x:c r="H393" s="3" t="str">
        <x:v>SUV</x:v>
      </x:c>
      <x:c r="I393" s="3" t="str"/>
      <x:c r="J393" s="3" t="n">
        <x:v>2023</x:v>
      </x:c>
      <x:c r="K393" s="3" t="str">
        <x:v>1.8 HYBRID PREMIUM</x:v>
      </x:c>
      <x:c r="L393" s="3" t="str">
        <x:v>HEV PREMIUM</x:v>
      </x:c>
      <x:c r="M393" s="22"/>
      <x:c r="N393" s="22"/>
      <x:c r="O393" s="22"/>
      <x:c r="P393" s="3" t="str">
        <x:v>未掲載</x:v>
      </x:c>
      <x:c r="Q393" s="3" t="str">
        <x:v>未取得</x:v>
      </x:c>
      <x:c r="R393" s="3" t="str">
        <x:v>Unknown</x:v>
      </x:c>
      <x:c r="S393" s="3" t="str">
        <x:v>不明</x:v>
      </x:c>
      <x:c r="T393" s="3" t="str">
        <x:v>20-ปัจจุบัน</x:v>
      </x:c>
      <x:c r="U393" s="28" t="n">
        <x:v>729000</x:v>
      </x:c>
      <x:c r="V393" s="28" t="n">
        <x:v>1089000</x:v>
      </x:c>
      <x:c r="W393" s="3" t="str">
        <x:v>事故・水没・SOH・保証残は未確認</x:v>
      </x:c>
      <x:c r="X393" s="3" t="str">
        <x:v>掲載中・在庫未確認</x:v>
      </x:c>
      <x:c r="Y393" s="3" t="str"/>
      <x:c r="Z393" s="27" t="str">
        <x:v>https://www.taladrod.com/w40/icar/cardet.aspx?cid=2922945</x:v>
      </x:c>
      <x:c r="AA393" s="3" t="str">
        <x:v>Taladrod個別広告ID／Carsome在庫ID</x:v>
      </x:c>
      <x:c r="AB393" s="3" t="str">
        <x:v>車台番号未取得／サイト間重複は未判定</x:v>
      </x:c>
      <x:c r="AC393" s="3" t="str">
        <x:v>税込区分未確認（一覧表示額）</x:v>
      </x:c>
      <x:c r="AD393" s="3" t="str">
        <x:v>CROSS23_HEV PREMIUM</x:v>
      </x:c>
      <x:c r="AE393" s="29" t="n">
        <x:f>'新車価格・特価'!K46</x:f>
        <x:v>1094000</x:v>
      </x:c>
      <x:c r="AF393" s="30" t="n">
        <x:f>IF(ISNUMBER(AE393),U393/AE393,"")</x:f>
        <x:v>0.6663619744058501</x:v>
      </x:c>
      <x:c r="AG393" s="29" t="n">
        <x:f>'新車価格・特価'!N54</x:f>
        <x:v>1094000</x:v>
      </x:c>
      <x:c r="AH393" s="30" t="n">
        <x:f>IF(ISNUMBER(AG393),U393/AG393,"")</x:f>
        <x:v>0.6663619744058501</x:v>
      </x:c>
      <x:c r="AI393" s="3" t="str">
        <x:v>当時公表小売価格の参考残価率。実購入額ではない。年式/登録年・仕様差に注意。</x:v>
      </x:c>
      <x:c r="AJ393" s="3" t="str">
        <x:v>一覧価格/年式のみ</x:v>
      </x:c>
      <x:c r="AK393" s="3" t="str">
        <x:v>一覧の表示価格。年式は掲載年式。</x:v>
      </x:c>
      <x:c r="AL393" s="31" t="n">
        <x:f>IF(AND(J393&lt;='分析方法'!$B$7,OR(ISBLANK(O393),O393&gt;='分析方法'!$B$8),X393&lt;&gt;"売却済み表示"),1,0)</x:f>
        <x:v>1</x:v>
      </x:c>
      <x:c r="AM393" s="32" t="n">
        <x:f>IF(AL393=1,U393,"")</x:f>
        <x:v>729000</x:v>
      </x:c>
      <x:c r="AN393" s="33" t="n">
        <x:f>IF(AL393=1,AF393,"")</x:f>
        <x:v>0.6663619744058501</x:v>
      </x:c>
      <x:c r="AO393" s="31" t="n">
        <x:f>'分析方法'!$B$6-J393</x:f>
        <x:v>3</x:v>
      </x:c>
      <x:c r="AP393" s="3"/>
    </x:row>
    <x:row r="394" ht="22" customHeight="1">
      <x:c r="A394" s="3" t="str">
        <x:v>T2923354</x:v>
      </x:c>
      <x:c r="B394" s="7" t="d">
        <x:v>2026-10-08T00:00:00.000Z</x:v>
      </x:c>
      <x:c r="C394" s="3" t="str">
        <x:v>Taladrod</x:v>
      </x:c>
      <x:c r="D394" s="3" t="str">
        <x:v>Toyota</x:v>
      </x:c>
      <x:c r="E394" s="3" t="str">
        <x:v>日本</x:v>
      </x:c>
      <x:c r="F394" s="3" t="str">
        <x:v>Corolla Cross</x:v>
      </x:c>
      <x:c r="G394" s="3" t="str">
        <x:v>HEV</x:v>
      </x:c>
      <x:c r="H394" s="3" t="str">
        <x:v>SUV</x:v>
      </x:c>
      <x:c r="I394" s="3" t="str"/>
      <x:c r="J394" s="3" t="n">
        <x:v>2023</x:v>
      </x:c>
      <x:c r="K394" s="3" t="str">
        <x:v>1.8 HYBRID PREMIUM</x:v>
      </x:c>
      <x:c r="L394" s="3" t="str">
        <x:v>HEV PREMIUM</x:v>
      </x:c>
      <x:c r="M394" s="22"/>
      <x:c r="N394" s="22"/>
      <x:c r="O394" s="22"/>
      <x:c r="P394" s="3" t="str">
        <x:v>未掲載</x:v>
      </x:c>
      <x:c r="Q394" s="3" t="str">
        <x:v>未取得</x:v>
      </x:c>
      <x:c r="R394" s="3" t="str">
        <x:v>Unknown</x:v>
      </x:c>
      <x:c r="S394" s="3" t="str">
        <x:v>不明</x:v>
      </x:c>
      <x:c r="T394" s="3" t="str">
        <x:v>20-ปัจจุบัน</x:v>
      </x:c>
      <x:c r="U394" s="28" t="n">
        <x:v>799000</x:v>
      </x:c>
      <x:c r="V394" s="28" t="n">
        <x:v>1089000</x:v>
      </x:c>
      <x:c r="W394" s="3" t="str">
        <x:v>事故・水没・SOH・保証残は未確認</x:v>
      </x:c>
      <x:c r="X394" s="3" t="str">
        <x:v>掲載中・在庫未確認</x:v>
      </x:c>
      <x:c r="Y394" s="3" t="str"/>
      <x:c r="Z394" s="27" t="str">
        <x:v>https://www.taladrod.com/w40/icar/cardet.aspx?cid=2923354</x:v>
      </x:c>
      <x:c r="AA394" s="3" t="str">
        <x:v>Taladrod個別広告ID／Carsome在庫ID</x:v>
      </x:c>
      <x:c r="AB394" s="3" t="str">
        <x:v>車台番号未取得／サイト間重複は未判定</x:v>
      </x:c>
      <x:c r="AC394" s="3" t="str">
        <x:v>税込区分未確認（一覧表示額）</x:v>
      </x:c>
      <x:c r="AD394" s="3" t="str">
        <x:v>CROSS23_HEV PREMIUM</x:v>
      </x:c>
      <x:c r="AE394" s="29" t="n">
        <x:f>'新車価格・特価'!K46</x:f>
        <x:v>1094000</x:v>
      </x:c>
      <x:c r="AF394" s="30" t="n">
        <x:f>IF(ISNUMBER(AE394),U394/AE394,"")</x:f>
        <x:v>0.7303473491773309</x:v>
      </x:c>
      <x:c r="AG394" s="29" t="n">
        <x:f>'新車価格・特価'!N54</x:f>
        <x:v>1094000</x:v>
      </x:c>
      <x:c r="AH394" s="30" t="n">
        <x:f>IF(ISNUMBER(AG394),U394/AG394,"")</x:f>
        <x:v>0.7303473491773309</x:v>
      </x:c>
      <x:c r="AI394" s="3" t="str">
        <x:v>当時公表小売価格の参考残価率。実購入額ではない。年式/登録年・仕様差に注意。</x:v>
      </x:c>
      <x:c r="AJ394" s="3" t="str">
        <x:v>一覧価格/年式のみ</x:v>
      </x:c>
      <x:c r="AK394" s="3" t="str">
        <x:v>一覧の表示価格。年式は掲載年式。</x:v>
      </x:c>
      <x:c r="AL394" s="31" t="n">
        <x:f>IF(AND(J394&lt;='分析方法'!$B$7,OR(ISBLANK(O394),O394&gt;='分析方法'!$B$8),X394&lt;&gt;"売却済み表示"),1,0)</x:f>
        <x:v>1</x:v>
      </x:c>
      <x:c r="AM394" s="32" t="n">
        <x:f>IF(AL394=1,U394,"")</x:f>
        <x:v>799000</x:v>
      </x:c>
      <x:c r="AN394" s="33" t="n">
        <x:f>IF(AL394=1,AF394,"")</x:f>
        <x:v>0.7303473491773309</x:v>
      </x:c>
      <x:c r="AO394" s="31" t="n">
        <x:f>'分析方法'!$B$6-J394</x:f>
        <x:v>3</x:v>
      </x:c>
      <x:c r="AP394" s="3"/>
    </x:row>
    <x:row r="395" ht="22" customHeight="1">
      <x:c r="A395" s="3" t="str">
        <x:v>T2926055</x:v>
      </x:c>
      <x:c r="B395" s="7" t="d">
        <x:v>2026-10-08T00:00:00.000Z</x:v>
      </x:c>
      <x:c r="C395" s="3" t="str">
        <x:v>Taladrod</x:v>
      </x:c>
      <x:c r="D395" s="3" t="str">
        <x:v>Toyota</x:v>
      </x:c>
      <x:c r="E395" s="3" t="str">
        <x:v>日本</x:v>
      </x:c>
      <x:c r="F395" s="3" t="str">
        <x:v>Corolla Cross</x:v>
      </x:c>
      <x:c r="G395" s="3" t="str">
        <x:v>HEV</x:v>
      </x:c>
      <x:c r="H395" s="3" t="str">
        <x:v>SUV</x:v>
      </x:c>
      <x:c r="I395" s="3" t="str"/>
      <x:c r="J395" s="3" t="n">
        <x:v>2023</x:v>
      </x:c>
      <x:c r="K395" s="3" t="str">
        <x:v>1.8 HYBRID PREMIUM</x:v>
      </x:c>
      <x:c r="L395" s="3" t="str">
        <x:v>HEV PREMIUM</x:v>
      </x:c>
      <x:c r="M395" s="22"/>
      <x:c r="N395" s="22"/>
      <x:c r="O395" s="22"/>
      <x:c r="P395" s="3" t="str">
        <x:v>未掲載</x:v>
      </x:c>
      <x:c r="Q395" s="3" t="str">
        <x:v>未取得</x:v>
      </x:c>
      <x:c r="R395" s="3" t="str">
        <x:v>Unknown</x:v>
      </x:c>
      <x:c r="S395" s="3" t="str">
        <x:v>不明</x:v>
      </x:c>
      <x:c r="T395" s="3" t="str">
        <x:v>20-ปัจจุบัน</x:v>
      </x:c>
      <x:c r="U395" s="28" t="n">
        <x:v>629000</x:v>
      </x:c>
      <x:c r="V395" s="28" t="n">
        <x:v>1089000</x:v>
      </x:c>
      <x:c r="W395" s="3" t="str">
        <x:v>事故・水没・SOH・保証残は未確認</x:v>
      </x:c>
      <x:c r="X395" s="3" t="str">
        <x:v>掲載中・在庫未確認</x:v>
      </x:c>
      <x:c r="Y395" s="3" t="str"/>
      <x:c r="Z395" s="27" t="str">
        <x:v>https://www.taladrod.com/w40/icar/cardet.aspx?cid=2926055</x:v>
      </x:c>
      <x:c r="AA395" s="3" t="str">
        <x:v>Taladrod個別広告ID／Carsome在庫ID</x:v>
      </x:c>
      <x:c r="AB395" s="3" t="str">
        <x:v>車台番号未取得／サイト間重複は未判定</x:v>
      </x:c>
      <x:c r="AC395" s="3" t="str">
        <x:v>税込区分未確認（一覧表示額）</x:v>
      </x:c>
      <x:c r="AD395" s="3" t="str">
        <x:v>CROSS23_HEV PREMIUM</x:v>
      </x:c>
      <x:c r="AE395" s="29" t="n">
        <x:f>'新車価格・特価'!K46</x:f>
        <x:v>1094000</x:v>
      </x:c>
      <x:c r="AF395" s="30" t="n">
        <x:f>IF(ISNUMBER(AE395),U395/AE395,"")</x:f>
        <x:v>0.5749542961608776</x:v>
      </x:c>
      <x:c r="AG395" s="29" t="n">
        <x:f>'新車価格・特価'!N54</x:f>
        <x:v>1094000</x:v>
      </x:c>
      <x:c r="AH395" s="30" t="n">
        <x:f>IF(ISNUMBER(AG395),U395/AG395,"")</x:f>
        <x:v>0.5749542961608776</x:v>
      </x:c>
      <x:c r="AI395" s="3" t="str">
        <x:v>当時公表小売価格の参考残価率。実購入額ではない。年式/登録年・仕様差に注意。</x:v>
      </x:c>
      <x:c r="AJ395" s="3" t="str">
        <x:v>一覧価格/年式のみ</x:v>
      </x:c>
      <x:c r="AK395" s="3" t="str">
        <x:v>一覧の表示価格。年式は掲載年式。</x:v>
      </x:c>
      <x:c r="AL395" s="31" t="n">
        <x:f>IF(AND(J395&lt;='分析方法'!$B$7,OR(ISBLANK(O395),O395&gt;='分析方法'!$B$8),X395&lt;&gt;"売却済み表示"),1,0)</x:f>
        <x:v>1</x:v>
      </x:c>
      <x:c r="AM395" s="32" t="n">
        <x:f>IF(AL395=1,U395,"")</x:f>
        <x:v>629000</x:v>
      </x:c>
      <x:c r="AN395" s="33" t="n">
        <x:f>IF(AL395=1,AF395,"")</x:f>
        <x:v>0.5749542961608776</x:v>
      </x:c>
      <x:c r="AO395" s="31" t="n">
        <x:f>'分析方法'!$B$6-J395</x:f>
        <x:v>3</x:v>
      </x:c>
      <x:c r="AP395" s="3"/>
    </x:row>
    <x:row r="396" ht="22" customHeight="1">
      <x:c r="A396" s="3" t="str">
        <x:v>T2892433</x:v>
      </x:c>
      <x:c r="B396" s="7" t="d">
        <x:v>2026-10-08T00:00:00.000Z</x:v>
      </x:c>
      <x:c r="C396" s="3" t="str">
        <x:v>Taladrod</x:v>
      </x:c>
      <x:c r="D396" s="3" t="str">
        <x:v>Toyota</x:v>
      </x:c>
      <x:c r="E396" s="3" t="str">
        <x:v>日本</x:v>
      </x:c>
      <x:c r="F396" s="3" t="str">
        <x:v>Corolla Cross</x:v>
      </x:c>
      <x:c r="G396" s="3" t="str">
        <x:v>HEV</x:v>
      </x:c>
      <x:c r="H396" s="3" t="str">
        <x:v>SUV</x:v>
      </x:c>
      <x:c r="I396" s="3" t="str"/>
      <x:c r="J396" s="3" t="n">
        <x:v>2023</x:v>
      </x:c>
      <x:c r="K396" s="3" t="str">
        <x:v>1.8 HYBRID PREMIUM SAFETY</x:v>
      </x:c>
      <x:c r="L396" s="3" t="str">
        <x:v>HEV PREMIUM SAFETY</x:v>
      </x:c>
      <x:c r="M396" s="22"/>
      <x:c r="N396" s="22"/>
      <x:c r="O396" s="22"/>
      <x:c r="P396" s="3" t="str">
        <x:v>未掲載</x:v>
      </x:c>
      <x:c r="Q396" s="3" t="str">
        <x:v>未取得</x:v>
      </x:c>
      <x:c r="R396" s="3" t="str">
        <x:v>Unknown</x:v>
      </x:c>
      <x:c r="S396" s="3" t="str">
        <x:v>不明</x:v>
      </x:c>
      <x:c r="T396" s="3" t="str">
        <x:v>20-ปัจจุบัน</x:v>
      </x:c>
      <x:c r="U396" s="28" t="n">
        <x:v>848000</x:v>
      </x:c>
      <x:c r="V396" s="28" t="n">
        <x:v>1199000</x:v>
      </x:c>
      <x:c r="W396" s="3" t="str">
        <x:v>事故・水没・SOH・保証残は未確認</x:v>
      </x:c>
      <x:c r="X396" s="3" t="str">
        <x:v>掲載中・在庫未確認</x:v>
      </x:c>
      <x:c r="Y396" s="3" t="str"/>
      <x:c r="Z396" s="27" t="str">
        <x:v>https://www.taladrod.com/w40/icar/cardet.aspx?cid=2892433</x:v>
      </x:c>
      <x:c r="AA396" s="3" t="str">
        <x:v>Taladrod個別広告ID／Carsome在庫ID</x:v>
      </x:c>
      <x:c r="AB396" s="3" t="str">
        <x:v>車台番号未取得／サイト間重複は未判定</x:v>
      </x:c>
      <x:c r="AC396" s="3" t="str">
        <x:v>税込区分未確認（一覧表示額）</x:v>
      </x:c>
      <x:c r="AD396" s="3" t="str">
        <x:v>CROSS23_HEV PREMIUM SAFETY</x:v>
      </x:c>
      <x:c r="AE396" s="29" t="n">
        <x:f>'新車価格・特価'!K47</x:f>
        <x:v>1204000</x:v>
      </x:c>
      <x:c r="AF396" s="30" t="n">
        <x:f>IF(ISNUMBER(AE396),U396/AE396,"")</x:f>
        <x:v>0.7043189368770764</x:v>
      </x:c>
      <x:c r="AG396" s="29" t="n">
        <x:f>'新車価格・特価'!N55</x:f>
        <x:v>1204000</x:v>
      </x:c>
      <x:c r="AH396" s="30" t="n">
        <x:f>IF(ISNUMBER(AG396),U396/AG396,"")</x:f>
        <x:v>0.7043189368770764</x:v>
      </x:c>
      <x:c r="AI396" s="3" t="str">
        <x:v>当時公表小売価格の参考残価率。実購入額ではない。年式/登録年・仕様差に注意。</x:v>
      </x:c>
      <x:c r="AJ396" s="3" t="str">
        <x:v>一覧価格/年式のみ</x:v>
      </x:c>
      <x:c r="AK396" s="3" t="str">
        <x:v>一覧の表示価格。年式は掲載年式。</x:v>
      </x:c>
      <x:c r="AL396" s="31" t="n">
        <x:f>IF(AND(J396&lt;='分析方法'!$B$7,OR(ISBLANK(O396),O396&gt;='分析方法'!$B$8),X396&lt;&gt;"売却済み表示"),1,0)</x:f>
        <x:v>1</x:v>
      </x:c>
      <x:c r="AM396" s="32" t="n">
        <x:f>IF(AL396=1,U396,"")</x:f>
        <x:v>848000</x:v>
      </x:c>
      <x:c r="AN396" s="33" t="n">
        <x:f>IF(AL396=1,AF396,"")</x:f>
        <x:v>0.7043189368770764</x:v>
      </x:c>
      <x:c r="AO396" s="31" t="n">
        <x:f>'分析方法'!$B$6-J396</x:f>
        <x:v>3</x:v>
      </x:c>
      <x:c r="AP396" s="3"/>
    </x:row>
    <x:row r="397" ht="22" customHeight="1">
      <x:c r="A397" s="3" t="str">
        <x:v>T2908488</x:v>
      </x:c>
      <x:c r="B397" s="7" t="d">
        <x:v>2026-10-08T00:00:00.000Z</x:v>
      </x:c>
      <x:c r="C397" s="3" t="str">
        <x:v>Taladrod</x:v>
      </x:c>
      <x:c r="D397" s="3" t="str">
        <x:v>Toyota</x:v>
      </x:c>
      <x:c r="E397" s="3" t="str">
        <x:v>日本</x:v>
      </x:c>
      <x:c r="F397" s="3" t="str">
        <x:v>Corolla Cross</x:v>
      </x:c>
      <x:c r="G397" s="3" t="str">
        <x:v>HEV</x:v>
      </x:c>
      <x:c r="H397" s="3" t="str">
        <x:v>SUV</x:v>
      </x:c>
      <x:c r="I397" s="3" t="str"/>
      <x:c r="J397" s="3" t="n">
        <x:v>2023</x:v>
      </x:c>
      <x:c r="K397" s="3" t="str">
        <x:v>1.8 HYBRID PREMIUM SAFETY</x:v>
      </x:c>
      <x:c r="L397" s="3" t="str">
        <x:v>HEV PREMIUM SAFETY</x:v>
      </x:c>
      <x:c r="M397" s="22"/>
      <x:c r="N397" s="22"/>
      <x:c r="O397" s="22"/>
      <x:c r="P397" s="3" t="str">
        <x:v>未掲載</x:v>
      </x:c>
      <x:c r="Q397" s="3" t="str">
        <x:v>未取得</x:v>
      </x:c>
      <x:c r="R397" s="3" t="str">
        <x:v>Unknown</x:v>
      </x:c>
      <x:c r="S397" s="3" t="str">
        <x:v>不明</x:v>
      </x:c>
      <x:c r="T397" s="3" t="str">
        <x:v>20-ปัจจุบัน</x:v>
      </x:c>
      <x:c r="U397" s="28" t="n">
        <x:v>759000</x:v>
      </x:c>
      <x:c r="V397" s="28" t="n">
        <x:v>1199000</x:v>
      </x:c>
      <x:c r="W397" s="3" t="str">
        <x:v>事故・水没・SOH・保証残は未確認</x:v>
      </x:c>
      <x:c r="X397" s="3" t="str">
        <x:v>掲載中・在庫未確認</x:v>
      </x:c>
      <x:c r="Y397" s="3" t="str"/>
      <x:c r="Z397" s="27" t="str">
        <x:v>https://www.taladrod.com/w40/icar/cardet.aspx?cid=2908488</x:v>
      </x:c>
      <x:c r="AA397" s="3" t="str">
        <x:v>Taladrod個別広告ID／Carsome在庫ID</x:v>
      </x:c>
      <x:c r="AB397" s="3" t="str">
        <x:v>車台番号未取得／サイト間重複は未判定</x:v>
      </x:c>
      <x:c r="AC397" s="3" t="str">
        <x:v>税込区分未確認（一覧表示額）</x:v>
      </x:c>
      <x:c r="AD397" s="3" t="str">
        <x:v>CROSS23_HEV PREMIUM SAFETY</x:v>
      </x:c>
      <x:c r="AE397" s="29" t="n">
        <x:f>'新車価格・特価'!K47</x:f>
        <x:v>1204000</x:v>
      </x:c>
      <x:c r="AF397" s="30" t="n">
        <x:f>IF(ISNUMBER(AE397),U397/AE397,"")</x:f>
        <x:v>0.6303986710963455</x:v>
      </x:c>
      <x:c r="AG397" s="29" t="n">
        <x:f>'新車価格・特価'!N55</x:f>
        <x:v>1204000</x:v>
      </x:c>
      <x:c r="AH397" s="30" t="n">
        <x:f>IF(ISNUMBER(AG397),U397/AG397,"")</x:f>
        <x:v>0.6303986710963455</x:v>
      </x:c>
      <x:c r="AI397" s="3" t="str">
        <x:v>当時公表小売価格の参考残価率。実購入額ではない。年式/登録年・仕様差に注意。</x:v>
      </x:c>
      <x:c r="AJ397" s="3" t="str">
        <x:v>一覧価格/年式のみ</x:v>
      </x:c>
      <x:c r="AK397" s="3" t="str">
        <x:v>一覧の表示価格。年式は掲載年式。</x:v>
      </x:c>
      <x:c r="AL397" s="31" t="n">
        <x:f>IF(AND(J397&lt;='分析方法'!$B$7,OR(ISBLANK(O397),O397&gt;='分析方法'!$B$8),X397&lt;&gt;"売却済み表示"),1,0)</x:f>
        <x:v>1</x:v>
      </x:c>
      <x:c r="AM397" s="32" t="n">
        <x:f>IF(AL397=1,U397,"")</x:f>
        <x:v>759000</x:v>
      </x:c>
      <x:c r="AN397" s="33" t="n">
        <x:f>IF(AL397=1,AF397,"")</x:f>
        <x:v>0.6303986710963455</x:v>
      </x:c>
      <x:c r="AO397" s="31" t="n">
        <x:f>'分析方法'!$B$6-J397</x:f>
        <x:v>3</x:v>
      </x:c>
      <x:c r="AP397" s="3"/>
    </x:row>
    <x:row r="398" ht="22" customHeight="1">
      <x:c r="A398" s="3" t="str">
        <x:v>T2917983</x:v>
      </x:c>
      <x:c r="B398" s="7" t="d">
        <x:v>2026-10-08T00:00:00.000Z</x:v>
      </x:c>
      <x:c r="C398" s="3" t="str">
        <x:v>Taladrod</x:v>
      </x:c>
      <x:c r="D398" s="3" t="str">
        <x:v>Toyota</x:v>
      </x:c>
      <x:c r="E398" s="3" t="str">
        <x:v>日本</x:v>
      </x:c>
      <x:c r="F398" s="3" t="str">
        <x:v>Corolla Cross</x:v>
      </x:c>
      <x:c r="G398" s="3" t="str">
        <x:v>HEV</x:v>
      </x:c>
      <x:c r="H398" s="3" t="str">
        <x:v>SUV</x:v>
      </x:c>
      <x:c r="I398" s="3" t="str"/>
      <x:c r="J398" s="3" t="n">
        <x:v>2023</x:v>
      </x:c>
      <x:c r="K398" s="3" t="str">
        <x:v>1.8 HYBRID PREMIUM SAFETY</x:v>
      </x:c>
      <x:c r="L398" s="3" t="str">
        <x:v>HEV PREMIUM SAFETY</x:v>
      </x:c>
      <x:c r="M398" s="22"/>
      <x:c r="N398" s="22"/>
      <x:c r="O398" s="22"/>
      <x:c r="P398" s="3" t="str">
        <x:v>未掲載</x:v>
      </x:c>
      <x:c r="Q398" s="3" t="str">
        <x:v>未取得</x:v>
      </x:c>
      <x:c r="R398" s="3" t="str">
        <x:v>Unknown</x:v>
      </x:c>
      <x:c r="S398" s="3" t="str">
        <x:v>不明</x:v>
      </x:c>
      <x:c r="T398" s="3" t="str">
        <x:v>20-ปัจจุบัน</x:v>
      </x:c>
      <x:c r="U398" s="28" t="n">
        <x:v>699000</x:v>
      </x:c>
      <x:c r="V398" s="28" t="n">
        <x:v>1199000</x:v>
      </x:c>
      <x:c r="W398" s="3" t="str">
        <x:v>事故・水没・SOH・保証残は未確認</x:v>
      </x:c>
      <x:c r="X398" s="3" t="str">
        <x:v>掲載中・在庫未確認</x:v>
      </x:c>
      <x:c r="Y398" s="3" t="str"/>
      <x:c r="Z398" s="27" t="str">
        <x:v>https://www.taladrod.com/w40/icar/cardet.aspx?cid=2917983</x:v>
      </x:c>
      <x:c r="AA398" s="3" t="str">
        <x:v>Taladrod個別広告ID／Carsome在庫ID</x:v>
      </x:c>
      <x:c r="AB398" s="3" t="str">
        <x:v>車台番号未取得／サイト間重複は未判定</x:v>
      </x:c>
      <x:c r="AC398" s="3" t="str">
        <x:v>税込区分未確認（一覧表示額）</x:v>
      </x:c>
      <x:c r="AD398" s="3" t="str">
        <x:v>CROSS23_HEV PREMIUM SAFETY</x:v>
      </x:c>
      <x:c r="AE398" s="29" t="n">
        <x:f>'新車価格・特価'!K47</x:f>
        <x:v>1204000</x:v>
      </x:c>
      <x:c r="AF398" s="30" t="n">
        <x:f>IF(ISNUMBER(AE398),U398/AE398,"")</x:f>
        <x:v>0.5805647840531561</x:v>
      </x:c>
      <x:c r="AG398" s="29" t="n">
        <x:f>'新車価格・特価'!N55</x:f>
        <x:v>1204000</x:v>
      </x:c>
      <x:c r="AH398" s="30" t="n">
        <x:f>IF(ISNUMBER(AG398),U398/AG398,"")</x:f>
        <x:v>0.5805647840531561</x:v>
      </x:c>
      <x:c r="AI398" s="3" t="str">
        <x:v>当時公表小売価格の参考残価率。実購入額ではない。年式/登録年・仕様差に注意。</x:v>
      </x:c>
      <x:c r="AJ398" s="3" t="str">
        <x:v>一覧価格/年式のみ</x:v>
      </x:c>
      <x:c r="AK398" s="3" t="str">
        <x:v>一覧の表示価格。年式は掲載年式。</x:v>
      </x:c>
      <x:c r="AL398" s="31" t="n">
        <x:f>IF(AND(J398&lt;='分析方法'!$B$7,OR(ISBLANK(O398),O398&gt;='分析方法'!$B$8),X398&lt;&gt;"売却済み表示"),1,0)</x:f>
        <x:v>1</x:v>
      </x:c>
      <x:c r="AM398" s="32" t="n">
        <x:f>IF(AL398=1,U398,"")</x:f>
        <x:v>699000</x:v>
      </x:c>
      <x:c r="AN398" s="33" t="n">
        <x:f>IF(AL398=1,AF398,"")</x:f>
        <x:v>0.5805647840531561</x:v>
      </x:c>
      <x:c r="AO398" s="31" t="n">
        <x:f>'分析方法'!$B$6-J398</x:f>
        <x:v>3</x:v>
      </x:c>
      <x:c r="AP398" s="3"/>
    </x:row>
    <x:row r="399" ht="22" customHeight="1">
      <x:c r="A399" s="3" t="str">
        <x:v>T2918162</x:v>
      </x:c>
      <x:c r="B399" s="7" t="d">
        <x:v>2026-10-08T00:00:00.000Z</x:v>
      </x:c>
      <x:c r="C399" s="3" t="str">
        <x:v>Taladrod</x:v>
      </x:c>
      <x:c r="D399" s="3" t="str">
        <x:v>Toyota</x:v>
      </x:c>
      <x:c r="E399" s="3" t="str">
        <x:v>日本</x:v>
      </x:c>
      <x:c r="F399" s="3" t="str">
        <x:v>Corolla Cross</x:v>
      </x:c>
      <x:c r="G399" s="3" t="str">
        <x:v>HEV</x:v>
      </x:c>
      <x:c r="H399" s="3" t="str">
        <x:v>SUV</x:v>
      </x:c>
      <x:c r="I399" s="3" t="str"/>
      <x:c r="J399" s="3" t="n">
        <x:v>2023</x:v>
      </x:c>
      <x:c r="K399" s="3" t="str">
        <x:v>1.8 HYBRID PREMIUM SAFETY</x:v>
      </x:c>
      <x:c r="L399" s="3" t="str">
        <x:v>HEV PREMIUM SAFETY</x:v>
      </x:c>
      <x:c r="M399" s="22"/>
      <x:c r="N399" s="22"/>
      <x:c r="O399" s="22"/>
      <x:c r="P399" s="3" t="str">
        <x:v>未掲載</x:v>
      </x:c>
      <x:c r="Q399" s="3" t="str">
        <x:v>未取得</x:v>
      </x:c>
      <x:c r="R399" s="3" t="str">
        <x:v>Unknown</x:v>
      </x:c>
      <x:c r="S399" s="3" t="str">
        <x:v>不明</x:v>
      </x:c>
      <x:c r="T399" s="3" t="str">
        <x:v>20-ปัจจุบัน</x:v>
      </x:c>
      <x:c r="U399" s="28" t="n">
        <x:v>739000</x:v>
      </x:c>
      <x:c r="V399" s="28" t="n">
        <x:v>1199000</x:v>
      </x:c>
      <x:c r="W399" s="3" t="str">
        <x:v>事故・水没・SOH・保証残は未確認</x:v>
      </x:c>
      <x:c r="X399" s="3" t="str">
        <x:v>掲載中・在庫未確認</x:v>
      </x:c>
      <x:c r="Y399" s="3" t="str"/>
      <x:c r="Z399" s="27" t="str">
        <x:v>https://www.taladrod.com/w40/icar/cardet.aspx?cid=2918162</x:v>
      </x:c>
      <x:c r="AA399" s="3" t="str">
        <x:v>Taladrod個別広告ID／Carsome在庫ID</x:v>
      </x:c>
      <x:c r="AB399" s="3" t="str">
        <x:v>車台番号未取得／サイト間重複は未判定</x:v>
      </x:c>
      <x:c r="AC399" s="3" t="str">
        <x:v>税込区分未確認（一覧表示額）</x:v>
      </x:c>
      <x:c r="AD399" s="3" t="str">
        <x:v>CROSS23_HEV PREMIUM SAFETY</x:v>
      </x:c>
      <x:c r="AE399" s="29" t="n">
        <x:f>'新車価格・特価'!K47</x:f>
        <x:v>1204000</x:v>
      </x:c>
      <x:c r="AF399" s="30" t="n">
        <x:f>IF(ISNUMBER(AE399),U399/AE399,"")</x:f>
        <x:v>0.6137873754152824</x:v>
      </x:c>
      <x:c r="AG399" s="29" t="n">
        <x:f>'新車価格・特価'!N55</x:f>
        <x:v>1204000</x:v>
      </x:c>
      <x:c r="AH399" s="30" t="n">
        <x:f>IF(ISNUMBER(AG399),U399/AG399,"")</x:f>
        <x:v>0.6137873754152824</x:v>
      </x:c>
      <x:c r="AI399" s="3" t="str">
        <x:v>当時公表小売価格の参考残価率。実購入額ではない。年式/登録年・仕様差に注意。</x:v>
      </x:c>
      <x:c r="AJ399" s="3" t="str">
        <x:v>一覧価格/年式のみ</x:v>
      </x:c>
      <x:c r="AK399" s="3" t="str">
        <x:v>一覧の表示価格。年式は掲載年式。</x:v>
      </x:c>
      <x:c r="AL399" s="31" t="n">
        <x:f>IF(AND(J399&lt;='分析方法'!$B$7,OR(ISBLANK(O399),O399&gt;='分析方法'!$B$8),X399&lt;&gt;"売却済み表示"),1,0)</x:f>
        <x:v>1</x:v>
      </x:c>
      <x:c r="AM399" s="32" t="n">
        <x:f>IF(AL399=1,U399,"")</x:f>
        <x:v>739000</x:v>
      </x:c>
      <x:c r="AN399" s="33" t="n">
        <x:f>IF(AL399=1,AF399,"")</x:f>
        <x:v>0.6137873754152824</x:v>
      </x:c>
      <x:c r="AO399" s="31" t="n">
        <x:f>'分析方法'!$B$6-J399</x:f>
        <x:v>3</x:v>
      </x:c>
      <x:c r="AP399" s="3"/>
    </x:row>
    <x:row r="400" ht="22" customHeight="1">
      <x:c r="A400" s="3" t="str">
        <x:v>T2925735</x:v>
      </x:c>
      <x:c r="B400" s="7" t="d">
        <x:v>2026-10-08T00:00:00.000Z</x:v>
      </x:c>
      <x:c r="C400" s="3" t="str">
        <x:v>Taladrod</x:v>
      </x:c>
      <x:c r="D400" s="3" t="str">
        <x:v>Toyota</x:v>
      </x:c>
      <x:c r="E400" s="3" t="str">
        <x:v>日本</x:v>
      </x:c>
      <x:c r="F400" s="3" t="str">
        <x:v>Corolla Cross</x:v>
      </x:c>
      <x:c r="G400" s="3" t="str">
        <x:v>HEV</x:v>
      </x:c>
      <x:c r="H400" s="3" t="str">
        <x:v>SUV</x:v>
      </x:c>
      <x:c r="I400" s="3" t="str"/>
      <x:c r="J400" s="3" t="n">
        <x:v>2023</x:v>
      </x:c>
      <x:c r="K400" s="3" t="str">
        <x:v>1.8 HYBRID PREMIUM SAFETY</x:v>
      </x:c>
      <x:c r="L400" s="3" t="str">
        <x:v>HEV PREMIUM SAFETY</x:v>
      </x:c>
      <x:c r="M400" s="22"/>
      <x:c r="N400" s="22"/>
      <x:c r="O400" s="22"/>
      <x:c r="P400" s="3" t="str">
        <x:v>未掲載</x:v>
      </x:c>
      <x:c r="Q400" s="3" t="str">
        <x:v>未取得</x:v>
      </x:c>
      <x:c r="R400" s="3" t="str">
        <x:v>Unknown</x:v>
      </x:c>
      <x:c r="S400" s="3" t="str">
        <x:v>不明</x:v>
      </x:c>
      <x:c r="T400" s="3" t="str">
        <x:v>20-ปัจจุบัน</x:v>
      </x:c>
      <x:c r="U400" s="28" t="n">
        <x:v>755000</x:v>
      </x:c>
      <x:c r="V400" s="28" t="n">
        <x:v>1199000</x:v>
      </x:c>
      <x:c r="W400" s="3" t="str">
        <x:v>事故・水没・SOH・保証残は未確認</x:v>
      </x:c>
      <x:c r="X400" s="3" t="str">
        <x:v>掲載中・在庫未確認</x:v>
      </x:c>
      <x:c r="Y400" s="3" t="str"/>
      <x:c r="Z400" s="27" t="str">
        <x:v>https://www.taladrod.com/w40/icar/cardet.aspx?cid=2925735</x:v>
      </x:c>
      <x:c r="AA400" s="3" t="str">
        <x:v>Taladrod個別広告ID／Carsome在庫ID</x:v>
      </x:c>
      <x:c r="AB400" s="3" t="str">
        <x:v>車台番号未取得／サイト間重複は未判定</x:v>
      </x:c>
      <x:c r="AC400" s="3" t="str">
        <x:v>税込区分未確認（一覧表示額）</x:v>
      </x:c>
      <x:c r="AD400" s="3" t="str">
        <x:v>CROSS23_HEV PREMIUM SAFETY</x:v>
      </x:c>
      <x:c r="AE400" s="29" t="n">
        <x:f>'新車価格・特価'!K47</x:f>
        <x:v>1204000</x:v>
      </x:c>
      <x:c r="AF400" s="30" t="n">
        <x:f>IF(ISNUMBER(AE400),U400/AE400,"")</x:f>
        <x:v>0.6270764119601329</x:v>
      </x:c>
      <x:c r="AG400" s="29" t="n">
        <x:f>'新車価格・特価'!N55</x:f>
        <x:v>1204000</x:v>
      </x:c>
      <x:c r="AH400" s="30" t="n">
        <x:f>IF(ISNUMBER(AG400),U400/AG400,"")</x:f>
        <x:v>0.6270764119601329</x:v>
      </x:c>
      <x:c r="AI400" s="3" t="str">
        <x:v>当時公表小売価格の参考残価率。実購入額ではない。年式/登録年・仕様差に注意。</x:v>
      </x:c>
      <x:c r="AJ400" s="3" t="str">
        <x:v>一覧価格/年式のみ</x:v>
      </x:c>
      <x:c r="AK400" s="3" t="str">
        <x:v>一覧の表示価格。年式は掲載年式。</x:v>
      </x:c>
      <x:c r="AL400" s="31" t="n">
        <x:f>IF(AND(J400&lt;='分析方法'!$B$7,OR(ISBLANK(O400),O400&gt;='分析方法'!$B$8),X400&lt;&gt;"売却済み表示"),1,0)</x:f>
        <x:v>1</x:v>
      </x:c>
      <x:c r="AM400" s="32" t="n">
        <x:f>IF(AL400=1,U400,"")</x:f>
        <x:v>755000</x:v>
      </x:c>
      <x:c r="AN400" s="33" t="n">
        <x:f>IF(AL400=1,AF400,"")</x:f>
        <x:v>0.6270764119601329</x:v>
      </x:c>
      <x:c r="AO400" s="31" t="n">
        <x:f>'分析方法'!$B$6-J400</x:f>
        <x:v>3</x:v>
      </x:c>
      <x:c r="AP400" s="3"/>
    </x:row>
    <x:row r="401" ht="22" customHeight="1">
      <x:c r="A401" s="3" t="str">
        <x:v>T2901117</x:v>
      </x:c>
      <x:c r="B401" s="7" t="d">
        <x:v>2026-10-08T00:00:00.000Z</x:v>
      </x:c>
      <x:c r="C401" s="3" t="str">
        <x:v>Taladrod</x:v>
      </x:c>
      <x:c r="D401" s="3" t="str">
        <x:v>Toyota</x:v>
      </x:c>
      <x:c r="E401" s="3" t="str">
        <x:v>日本</x:v>
      </x:c>
      <x:c r="F401" s="3" t="str">
        <x:v>Corolla Cross</x:v>
      </x:c>
      <x:c r="G401" s="3" t="str">
        <x:v>HEV</x:v>
      </x:c>
      <x:c r="H401" s="3" t="str">
        <x:v>SUV</x:v>
      </x:c>
      <x:c r="I401" s="3" t="str"/>
      <x:c r="J401" s="3" t="n">
        <x:v>2023</x:v>
      </x:c>
      <x:c r="K401" s="3" t="str">
        <x:v>1.8 HYBRID SMART</x:v>
      </x:c>
      <x:c r="L401" s="3" t="str">
        <x:v>HEV SMART</x:v>
      </x:c>
      <x:c r="M401" s="22"/>
      <x:c r="N401" s="22"/>
      <x:c r="O401" s="22"/>
      <x:c r="P401" s="3" t="str">
        <x:v>未掲載</x:v>
      </x:c>
      <x:c r="Q401" s="3" t="str">
        <x:v>未取得</x:v>
      </x:c>
      <x:c r="R401" s="3" t="str">
        <x:v>Unknown</x:v>
      </x:c>
      <x:c r="S401" s="3" t="str">
        <x:v>不明</x:v>
      </x:c>
      <x:c r="T401" s="3" t="str">
        <x:v>20-ปัจจุบัน</x:v>
      </x:c>
      <x:c r="U401" s="28" t="n">
        <x:v>689000</x:v>
      </x:c>
      <x:c r="V401" s="28" t="n">
        <x:v>1019000</x:v>
      </x:c>
      <x:c r="W401" s="3" t="str">
        <x:v>事故・水没・SOH・保証残は未確認</x:v>
      </x:c>
      <x:c r="X401" s="3" t="str">
        <x:v>掲載中・在庫未確認</x:v>
      </x:c>
      <x:c r="Y401" s="3" t="str"/>
      <x:c r="Z401" s="27" t="str">
        <x:v>https://www.taladrod.com/w40/icar/cardet.aspx?cid=2901117</x:v>
      </x:c>
      <x:c r="AA401" s="3" t="str">
        <x:v>Taladrod個別広告ID／Carsome在庫ID</x:v>
      </x:c>
      <x:c r="AB401" s="3" t="str">
        <x:v>車台番号未取得／サイト間重複は未判定</x:v>
      </x:c>
      <x:c r="AC401" s="3" t="str">
        <x:v>税込区分未確認（一覧表示額）</x:v>
      </x:c>
      <x:c r="AD401" s="3" t="str">
        <x:v>CROSS23_HEV SMART</x:v>
      </x:c>
      <x:c r="AE401" s="29" t="n">
        <x:f>'新車価格・特価'!K45</x:f>
        <x:v>1024000</x:v>
      </x:c>
      <x:c r="AF401" s="30" t="n">
        <x:f>IF(ISNUMBER(AE401),U401/AE401,"")</x:f>
        <x:v>0.6728515625</x:v>
      </x:c>
      <x:c r="AG401" s="29" t="n">
        <x:f>'新車価格・特価'!N53</x:f>
        <x:v>989000</x:v>
      </x:c>
      <x:c r="AH401" s="30" t="n">
        <x:f>IF(ISNUMBER(AG401),U401/AG401,"")</x:f>
        <x:v>0.6966632962588474</x:v>
      </x:c>
      <x:c r="AI401" s="3" t="str">
        <x:v>当時公表小売価格の参考残価率。実購入額ではない。年式/登録年・仕様差に注意。</x:v>
      </x:c>
      <x:c r="AJ401" s="3" t="str">
        <x:v>一覧価格/年式のみ</x:v>
      </x:c>
      <x:c r="AK401" s="3" t="str">
        <x:v>一覧の表示価格。年式は掲載年式。</x:v>
      </x:c>
      <x:c r="AL401" s="31" t="n">
        <x:f>IF(AND(J401&lt;='分析方法'!$B$7,OR(ISBLANK(O401),O401&gt;='分析方法'!$B$8),X401&lt;&gt;"売却済み表示"),1,0)</x:f>
        <x:v>1</x:v>
      </x:c>
      <x:c r="AM401" s="32" t="n">
        <x:f>IF(AL401=1,U401,"")</x:f>
        <x:v>689000</x:v>
      </x:c>
      <x:c r="AN401" s="33" t="n">
        <x:f>IF(AL401=1,AF401,"")</x:f>
        <x:v>0.6728515625</x:v>
      </x:c>
      <x:c r="AO401" s="31" t="n">
        <x:f>'分析方法'!$B$6-J401</x:f>
        <x:v>3</x:v>
      </x:c>
      <x:c r="AP401" s="3"/>
    </x:row>
    <x:row r="402" ht="22" customHeight="1">
      <x:c r="A402" s="3" t="str">
        <x:v>T2902240</x:v>
      </x:c>
      <x:c r="B402" s="7" t="d">
        <x:v>2026-10-08T00:00:00.000Z</x:v>
      </x:c>
      <x:c r="C402" s="3" t="str">
        <x:v>Taladrod</x:v>
      </x:c>
      <x:c r="D402" s="3" t="str">
        <x:v>Toyota</x:v>
      </x:c>
      <x:c r="E402" s="3" t="str">
        <x:v>日本</x:v>
      </x:c>
      <x:c r="F402" s="3" t="str">
        <x:v>Corolla Cross</x:v>
      </x:c>
      <x:c r="G402" s="3" t="str">
        <x:v>HEV</x:v>
      </x:c>
      <x:c r="H402" s="3" t="str">
        <x:v>SUV</x:v>
      </x:c>
      <x:c r="I402" s="3" t="str"/>
      <x:c r="J402" s="3" t="n">
        <x:v>2023</x:v>
      </x:c>
      <x:c r="K402" s="3" t="str">
        <x:v>1.8 HYBRID SMART</x:v>
      </x:c>
      <x:c r="L402" s="3" t="str">
        <x:v>HEV SMART</x:v>
      </x:c>
      <x:c r="M402" s="22"/>
      <x:c r="N402" s="22"/>
      <x:c r="O402" s="22"/>
      <x:c r="P402" s="3" t="str">
        <x:v>未掲載</x:v>
      </x:c>
      <x:c r="Q402" s="3" t="str">
        <x:v>未取得</x:v>
      </x:c>
      <x:c r="R402" s="3" t="str">
        <x:v>Unknown</x:v>
      </x:c>
      <x:c r="S402" s="3" t="str">
        <x:v>不明</x:v>
      </x:c>
      <x:c r="T402" s="3" t="str">
        <x:v>20-ปัจจุบัน</x:v>
      </x:c>
      <x:c r="U402" s="28" t="n">
        <x:v>689000</x:v>
      </x:c>
      <x:c r="V402" s="28" t="n">
        <x:v>1019000</x:v>
      </x:c>
      <x:c r="W402" s="3" t="str">
        <x:v>事故・水没・SOH・保証残は未確認</x:v>
      </x:c>
      <x:c r="X402" s="3" t="str">
        <x:v>掲載中・在庫未確認</x:v>
      </x:c>
      <x:c r="Y402" s="3" t="str"/>
      <x:c r="Z402" s="27" t="str">
        <x:v>https://www.taladrod.com/w40/icar/cardet.aspx?cid=2902240</x:v>
      </x:c>
      <x:c r="AA402" s="3" t="str">
        <x:v>Taladrod個別広告ID／Carsome在庫ID</x:v>
      </x:c>
      <x:c r="AB402" s="3" t="str">
        <x:v>車台番号未取得／サイト間重複は未判定</x:v>
      </x:c>
      <x:c r="AC402" s="3" t="str">
        <x:v>税込区分未確認（一覧表示額）</x:v>
      </x:c>
      <x:c r="AD402" s="3" t="str">
        <x:v>CROSS23_HEV SMART</x:v>
      </x:c>
      <x:c r="AE402" s="29" t="n">
        <x:f>'新車価格・特価'!K45</x:f>
        <x:v>1024000</x:v>
      </x:c>
      <x:c r="AF402" s="30" t="n">
        <x:f>IF(ISNUMBER(AE402),U402/AE402,"")</x:f>
        <x:v>0.6728515625</x:v>
      </x:c>
      <x:c r="AG402" s="29" t="n">
        <x:f>'新車価格・特価'!N53</x:f>
        <x:v>989000</x:v>
      </x:c>
      <x:c r="AH402" s="30" t="n">
        <x:f>IF(ISNUMBER(AG402),U402/AG402,"")</x:f>
        <x:v>0.6966632962588474</x:v>
      </x:c>
      <x:c r="AI402" s="3" t="str">
        <x:v>当時公表小売価格の参考残価率。実購入額ではない。年式/登録年・仕様差に注意。</x:v>
      </x:c>
      <x:c r="AJ402" s="3" t="str">
        <x:v>一覧価格/年式のみ</x:v>
      </x:c>
      <x:c r="AK402" s="3" t="str">
        <x:v>一覧の表示価格。年式は掲載年式。</x:v>
      </x:c>
      <x:c r="AL402" s="31" t="n">
        <x:f>IF(AND(J402&lt;='分析方法'!$B$7,OR(ISBLANK(O402),O402&gt;='分析方法'!$B$8),X402&lt;&gt;"売却済み表示"),1,0)</x:f>
        <x:v>1</x:v>
      </x:c>
      <x:c r="AM402" s="32" t="n">
        <x:f>IF(AL402=1,U402,"")</x:f>
        <x:v>689000</x:v>
      </x:c>
      <x:c r="AN402" s="33" t="n">
        <x:f>IF(AL402=1,AF402,"")</x:f>
        <x:v>0.6728515625</x:v>
      </x:c>
      <x:c r="AO402" s="31" t="n">
        <x:f>'分析方法'!$B$6-J402</x:f>
        <x:v>3</x:v>
      </x:c>
      <x:c r="AP402" s="3"/>
    </x:row>
    <x:row r="403" ht="22" customHeight="1">
      <x:c r="A403" s="3" t="str">
        <x:v>T2902242</x:v>
      </x:c>
      <x:c r="B403" s="7" t="d">
        <x:v>2026-10-08T00:00:00.000Z</x:v>
      </x:c>
      <x:c r="C403" s="3" t="str">
        <x:v>Taladrod</x:v>
      </x:c>
      <x:c r="D403" s="3" t="str">
        <x:v>Toyota</x:v>
      </x:c>
      <x:c r="E403" s="3" t="str">
        <x:v>日本</x:v>
      </x:c>
      <x:c r="F403" s="3" t="str">
        <x:v>Corolla Cross</x:v>
      </x:c>
      <x:c r="G403" s="3" t="str">
        <x:v>HEV</x:v>
      </x:c>
      <x:c r="H403" s="3" t="str">
        <x:v>SUV</x:v>
      </x:c>
      <x:c r="I403" s="3" t="str"/>
      <x:c r="J403" s="3" t="n">
        <x:v>2023</x:v>
      </x:c>
      <x:c r="K403" s="3" t="str">
        <x:v>1.8 HYBRID SMART</x:v>
      </x:c>
      <x:c r="L403" s="3" t="str">
        <x:v>HEV SMART</x:v>
      </x:c>
      <x:c r="M403" s="22"/>
      <x:c r="N403" s="22"/>
      <x:c r="O403" s="22"/>
      <x:c r="P403" s="3" t="str">
        <x:v>未掲載</x:v>
      </x:c>
      <x:c r="Q403" s="3" t="str">
        <x:v>未取得</x:v>
      </x:c>
      <x:c r="R403" s="3" t="str">
        <x:v>Unknown</x:v>
      </x:c>
      <x:c r="S403" s="3" t="str">
        <x:v>不明</x:v>
      </x:c>
      <x:c r="T403" s="3" t="str">
        <x:v>20-ปัจจุบัน</x:v>
      </x:c>
      <x:c r="U403" s="28" t="n">
        <x:v>659000</x:v>
      </x:c>
      <x:c r="V403" s="28" t="n">
        <x:v>1019000</x:v>
      </x:c>
      <x:c r="W403" s="3" t="str">
        <x:v>事故・水没・SOH・保証残は未確認</x:v>
      </x:c>
      <x:c r="X403" s="3" t="str">
        <x:v>掲載中・在庫未確認</x:v>
      </x:c>
      <x:c r="Y403" s="3" t="str"/>
      <x:c r="Z403" s="27" t="str">
        <x:v>https://www.taladrod.com/w40/icar/cardet.aspx?cid=2902242</x:v>
      </x:c>
      <x:c r="AA403" s="3" t="str">
        <x:v>Taladrod個別広告ID／Carsome在庫ID</x:v>
      </x:c>
      <x:c r="AB403" s="3" t="str">
        <x:v>車台番号未取得／サイト間重複は未判定</x:v>
      </x:c>
      <x:c r="AC403" s="3" t="str">
        <x:v>税込区分未確認（一覧表示額）</x:v>
      </x:c>
      <x:c r="AD403" s="3" t="str">
        <x:v>CROSS23_HEV SMART</x:v>
      </x:c>
      <x:c r="AE403" s="29" t="n">
        <x:f>'新車価格・特価'!K45</x:f>
        <x:v>1024000</x:v>
      </x:c>
      <x:c r="AF403" s="30" t="n">
        <x:f>IF(ISNUMBER(AE403),U403/AE403,"")</x:f>
        <x:v>0.6435546875</x:v>
      </x:c>
      <x:c r="AG403" s="29" t="n">
        <x:f>'新車価格・特価'!N53</x:f>
        <x:v>989000</x:v>
      </x:c>
      <x:c r="AH403" s="30" t="n">
        <x:f>IF(ISNUMBER(AG403),U403/AG403,"")</x:f>
        <x:v>0.6663296258847321</x:v>
      </x:c>
      <x:c r="AI403" s="3" t="str">
        <x:v>当時公表小売価格の参考残価率。実購入額ではない。年式/登録年・仕様差に注意。</x:v>
      </x:c>
      <x:c r="AJ403" s="3" t="str">
        <x:v>一覧価格/年式のみ</x:v>
      </x:c>
      <x:c r="AK403" s="3" t="str">
        <x:v>一覧の表示価格。年式は掲載年式。</x:v>
      </x:c>
      <x:c r="AL403" s="31" t="n">
        <x:f>IF(AND(J403&lt;='分析方法'!$B$7,OR(ISBLANK(O403),O403&gt;='分析方法'!$B$8),X403&lt;&gt;"売却済み表示"),1,0)</x:f>
        <x:v>1</x:v>
      </x:c>
      <x:c r="AM403" s="32" t="n">
        <x:f>IF(AL403=1,U403,"")</x:f>
        <x:v>659000</x:v>
      </x:c>
      <x:c r="AN403" s="33" t="n">
        <x:f>IF(AL403=1,AF403,"")</x:f>
        <x:v>0.6435546875</x:v>
      </x:c>
      <x:c r="AO403" s="31" t="n">
        <x:f>'分析方法'!$B$6-J403</x:f>
        <x:v>3</x:v>
      </x:c>
      <x:c r="AP403" s="3"/>
    </x:row>
    <x:row r="404" ht="22" customHeight="1">
      <x:c r="A404" s="3" t="str">
        <x:v>T2910058</x:v>
      </x:c>
      <x:c r="B404" s="7" t="d">
        <x:v>2026-10-08T00:00:00.000Z</x:v>
      </x:c>
      <x:c r="C404" s="3" t="str">
        <x:v>Taladrod</x:v>
      </x:c>
      <x:c r="D404" s="3" t="str">
        <x:v>Toyota</x:v>
      </x:c>
      <x:c r="E404" s="3" t="str">
        <x:v>日本</x:v>
      </x:c>
      <x:c r="F404" s="3" t="str">
        <x:v>Corolla Cross</x:v>
      </x:c>
      <x:c r="G404" s="3" t="str">
        <x:v>HEV</x:v>
      </x:c>
      <x:c r="H404" s="3" t="str">
        <x:v>SUV</x:v>
      </x:c>
      <x:c r="I404" s="3" t="str"/>
      <x:c r="J404" s="3" t="n">
        <x:v>2023</x:v>
      </x:c>
      <x:c r="K404" s="3" t="str">
        <x:v>1.8 HYBRID SMART</x:v>
      </x:c>
      <x:c r="L404" s="3" t="str">
        <x:v>HEV SMART</x:v>
      </x:c>
      <x:c r="M404" s="22"/>
      <x:c r="N404" s="22"/>
      <x:c r="O404" s="22"/>
      <x:c r="P404" s="3" t="str">
        <x:v>未掲載</x:v>
      </x:c>
      <x:c r="Q404" s="3" t="str">
        <x:v>未取得</x:v>
      </x:c>
      <x:c r="R404" s="3" t="str">
        <x:v>Unknown</x:v>
      </x:c>
      <x:c r="S404" s="3" t="str">
        <x:v>不明</x:v>
      </x:c>
      <x:c r="T404" s="3" t="str">
        <x:v>20-ปัจจุบัน</x:v>
      </x:c>
      <x:c r="U404" s="28" t="n">
        <x:v>619000</x:v>
      </x:c>
      <x:c r="V404" s="28" t="n">
        <x:v>1019000</x:v>
      </x:c>
      <x:c r="W404" s="3" t="str">
        <x:v>事故・水没・SOH・保証残は未確認</x:v>
      </x:c>
      <x:c r="X404" s="3" t="str">
        <x:v>掲載中・在庫未確認</x:v>
      </x:c>
      <x:c r="Y404" s="3" t="str"/>
      <x:c r="Z404" s="27" t="str">
        <x:v>https://www.taladrod.com/w40/icar/cardet.aspx?cid=2910058</x:v>
      </x:c>
      <x:c r="AA404" s="3" t="str">
        <x:v>Taladrod個別広告ID／Carsome在庫ID</x:v>
      </x:c>
      <x:c r="AB404" s="3" t="str">
        <x:v>車台番号未取得／サイト間重複は未判定</x:v>
      </x:c>
      <x:c r="AC404" s="3" t="str">
        <x:v>税込区分未確認（一覧表示額）</x:v>
      </x:c>
      <x:c r="AD404" s="3" t="str">
        <x:v>CROSS23_HEV SMART</x:v>
      </x:c>
      <x:c r="AE404" s="29" t="n">
        <x:f>'新車価格・特価'!K45</x:f>
        <x:v>1024000</x:v>
      </x:c>
      <x:c r="AF404" s="30" t="n">
        <x:f>IF(ISNUMBER(AE404),U404/AE404,"")</x:f>
        <x:v>0.6044921875</x:v>
      </x:c>
      <x:c r="AG404" s="29" t="n">
        <x:f>'新車価格・特価'!N53</x:f>
        <x:v>989000</x:v>
      </x:c>
      <x:c r="AH404" s="30" t="n">
        <x:f>IF(ISNUMBER(AG404),U404/AG404,"")</x:f>
        <x:v>0.6258847320525783</x:v>
      </x:c>
      <x:c r="AI404" s="3" t="str">
        <x:v>当時公表小売価格の参考残価率。実購入額ではない。年式/登録年・仕様差に注意。</x:v>
      </x:c>
      <x:c r="AJ404" s="3" t="str">
        <x:v>一覧価格/年式のみ</x:v>
      </x:c>
      <x:c r="AK404" s="3" t="str">
        <x:v>一覧の表示価格。年式は掲載年式。</x:v>
      </x:c>
      <x:c r="AL404" s="31" t="n">
        <x:f>IF(AND(J404&lt;='分析方法'!$B$7,OR(ISBLANK(O404),O404&gt;='分析方法'!$B$8),X404&lt;&gt;"売却済み表示"),1,0)</x:f>
        <x:v>1</x:v>
      </x:c>
      <x:c r="AM404" s="32" t="n">
        <x:f>IF(AL404=1,U404,"")</x:f>
        <x:v>619000</x:v>
      </x:c>
      <x:c r="AN404" s="33" t="n">
        <x:f>IF(AL404=1,AF404,"")</x:f>
        <x:v>0.6044921875</x:v>
      </x:c>
      <x:c r="AO404" s="31" t="n">
        <x:f>'分析方法'!$B$6-J404</x:f>
        <x:v>3</x:v>
      </x:c>
      <x:c r="AP404" s="3"/>
    </x:row>
    <x:row r="405" ht="22" customHeight="1">
      <x:c r="A405" s="3" t="str">
        <x:v>T2926342</x:v>
      </x:c>
      <x:c r="B405" s="7" t="d">
        <x:v>2026-10-08T00:00:00.000Z</x:v>
      </x:c>
      <x:c r="C405" s="3" t="str">
        <x:v>Taladrod</x:v>
      </x:c>
      <x:c r="D405" s="3" t="str">
        <x:v>Toyota</x:v>
      </x:c>
      <x:c r="E405" s="3" t="str">
        <x:v>日本</x:v>
      </x:c>
      <x:c r="F405" s="3" t="str">
        <x:v>Corolla Cross</x:v>
      </x:c>
      <x:c r="G405" s="3" t="str">
        <x:v>HEV</x:v>
      </x:c>
      <x:c r="H405" s="3" t="str">
        <x:v>SUV</x:v>
      </x:c>
      <x:c r="I405" s="3" t="str"/>
      <x:c r="J405" s="3" t="n">
        <x:v>2023</x:v>
      </x:c>
      <x:c r="K405" s="3" t="str">
        <x:v>1.8 HYBRID SMART</x:v>
      </x:c>
      <x:c r="L405" s="3" t="str">
        <x:v>HEV SMART</x:v>
      </x:c>
      <x:c r="M405" s="22"/>
      <x:c r="N405" s="22"/>
      <x:c r="O405" s="22"/>
      <x:c r="P405" s="3" t="str">
        <x:v>未掲載</x:v>
      </x:c>
      <x:c r="Q405" s="3" t="str">
        <x:v>未取得</x:v>
      </x:c>
      <x:c r="R405" s="3" t="str">
        <x:v>Unknown</x:v>
      </x:c>
      <x:c r="S405" s="3" t="str">
        <x:v>不明</x:v>
      </x:c>
      <x:c r="T405" s="3" t="str">
        <x:v>20-ปัจจุบัน</x:v>
      </x:c>
      <x:c r="U405" s="28" t="n">
        <x:v>599000</x:v>
      </x:c>
      <x:c r="V405" s="28" t="n">
        <x:v>1019000</x:v>
      </x:c>
      <x:c r="W405" s="3" t="str">
        <x:v>事故・水没・SOH・保証残は未確認</x:v>
      </x:c>
      <x:c r="X405" s="3" t="str">
        <x:v>掲載中・在庫未確認</x:v>
      </x:c>
      <x:c r="Y405" s="3" t="str"/>
      <x:c r="Z405" s="27" t="str">
        <x:v>https://www.taladrod.com/w40/icar/cardet.aspx?cid=2926342</x:v>
      </x:c>
      <x:c r="AA405" s="3" t="str">
        <x:v>Taladrod個別広告ID／Carsome在庫ID</x:v>
      </x:c>
      <x:c r="AB405" s="3" t="str">
        <x:v>車台番号未取得／サイト間重複は未判定</x:v>
      </x:c>
      <x:c r="AC405" s="3" t="str">
        <x:v>税込区分未確認（一覧表示額）</x:v>
      </x:c>
      <x:c r="AD405" s="3" t="str">
        <x:v>CROSS23_HEV SMART</x:v>
      </x:c>
      <x:c r="AE405" s="29" t="n">
        <x:f>'新車価格・特価'!K45</x:f>
        <x:v>1024000</x:v>
      </x:c>
      <x:c r="AF405" s="30" t="n">
        <x:f>IF(ISNUMBER(AE405),U405/AE405,"")</x:f>
        <x:v>0.5849609375</x:v>
      </x:c>
      <x:c r="AG405" s="29" t="n">
        <x:f>'新車価格・特価'!N53</x:f>
        <x:v>989000</x:v>
      </x:c>
      <x:c r="AH405" s="30" t="n">
        <x:f>IF(ISNUMBER(AG405),U405/AG405,"")</x:f>
        <x:v>0.6056622851365016</x:v>
      </x:c>
      <x:c r="AI405" s="3" t="str">
        <x:v>当時公表小売価格の参考残価率。実購入額ではない。年式/登録年・仕様差に注意。</x:v>
      </x:c>
      <x:c r="AJ405" s="3" t="str">
        <x:v>一覧価格/年式のみ</x:v>
      </x:c>
      <x:c r="AK405" s="3" t="str">
        <x:v>一覧の表示価格。年式は掲載年式。</x:v>
      </x:c>
      <x:c r="AL405" s="31" t="n">
        <x:f>IF(AND(J405&lt;='分析方法'!$B$7,OR(ISBLANK(O405),O405&gt;='分析方法'!$B$8),X405&lt;&gt;"売却済み表示"),1,0)</x:f>
        <x:v>1</x:v>
      </x:c>
      <x:c r="AM405" s="32" t="n">
        <x:f>IF(AL405=1,U405,"")</x:f>
        <x:v>599000</x:v>
      </x:c>
      <x:c r="AN405" s="33" t="n">
        <x:f>IF(AL405=1,AF405,"")</x:f>
        <x:v>0.5849609375</x:v>
      </x:c>
      <x:c r="AO405" s="31" t="n">
        <x:f>'分析方法'!$B$6-J405</x:f>
        <x:v>3</x:v>
      </x:c>
      <x:c r="AP405" s="3"/>
    </x:row>
    <x:row r="406" ht="22" customHeight="1">
      <x:c r="A406" s="3" t="str">
        <x:v>T2885045</x:v>
      </x:c>
      <x:c r="B406" s="7" t="d">
        <x:v>2026-10-08T00:00:00.000Z</x:v>
      </x:c>
      <x:c r="C406" s="3" t="str">
        <x:v>Taladrod</x:v>
      </x:c>
      <x:c r="D406" s="3" t="str">
        <x:v>Toyota</x:v>
      </x:c>
      <x:c r="E406" s="3" t="str">
        <x:v>日本</x:v>
      </x:c>
      <x:c r="F406" s="3" t="str">
        <x:v>Corolla Cross</x:v>
      </x:c>
      <x:c r="G406" s="3" t="str">
        <x:v>HEV</x:v>
      </x:c>
      <x:c r="H406" s="3" t="str">
        <x:v>SUV</x:v>
      </x:c>
      <x:c r="I406" s="3" t="str"/>
      <x:c r="J406" s="3" t="n">
        <x:v>2024</x:v>
      </x:c>
      <x:c r="K406" s="3" t="str">
        <x:v>1.8 HYBRID GR SPORT</x:v>
      </x:c>
      <x:c r="L406" s="3" t="str">
        <x:v>HEV GR SPORT</x:v>
      </x:c>
      <x:c r="M406" s="22"/>
      <x:c r="N406" s="22"/>
      <x:c r="O406" s="22"/>
      <x:c r="P406" s="3" t="str">
        <x:v>未掲載</x:v>
      </x:c>
      <x:c r="Q406" s="3" t="str">
        <x:v>未取得</x:v>
      </x:c>
      <x:c r="R406" s="3" t="str">
        <x:v>Unknown</x:v>
      </x:c>
      <x:c r="S406" s="3" t="str">
        <x:v>不明</x:v>
      </x:c>
      <x:c r="T406" s="3" t="str">
        <x:v>20-ปัจจุบัน</x:v>
      </x:c>
      <x:c r="U406" s="28" t="n">
        <x:v>878000</x:v>
      </x:c>
      <x:c r="V406" s="28"/>
      <x:c r="W406" s="3" t="str">
        <x:v>事故・水没・SOH・保証残は未確認</x:v>
      </x:c>
      <x:c r="X406" s="3" t="str">
        <x:v>掲載中・在庫未確認</x:v>
      </x:c>
      <x:c r="Y406" s="3" t="str"/>
      <x:c r="Z406" s="27" t="str">
        <x:v>https://www.taladrod.com/w40/icar/cardet.aspx?cid=2885045</x:v>
      </x:c>
      <x:c r="AA406" s="3" t="str">
        <x:v>Taladrod個別広告ID／Carsome在庫ID</x:v>
      </x:c>
      <x:c r="AB406" s="3" t="str">
        <x:v>車台番号未取得／サイト間重複は未判定</x:v>
      </x:c>
      <x:c r="AC406" s="3" t="str">
        <x:v>税込区分未確認（一覧表示額）</x:v>
      </x:c>
      <x:c r="AD406" s="3" t="str">
        <x:v>CROSS24_HEV GR SPORT</x:v>
      </x:c>
      <x:c r="AE406" s="29" t="n">
        <x:f>'新車価格・特価'!K52</x:f>
        <x:v>1254000</x:v>
      </x:c>
      <x:c r="AF406" s="30" t="n">
        <x:f>IF(ISNUMBER(AE406),U406/AE406,"")</x:f>
        <x:v>0.7001594896331739</x:v>
      </x:c>
      <x:c r="AG406" s="29" t="str">
        <x:f>""</x:f>
      </x:c>
      <x:c r="AH406" s="30" t="str">
        <x:f>IF(ISNUMBER(AG406),U406/AG406,"")</x:f>
      </x:c>
      <x:c r="AI406" s="3" t="str">
        <x:v>当時公表小売価格の参考残価率。実購入額ではない。年式/登録年・仕様差に注意。</x:v>
      </x:c>
      <x:c r="AJ406" s="3" t="str">
        <x:v>一覧価格/年式のみ</x:v>
      </x:c>
      <x:c r="AK406" s="3" t="str">
        <x:v>一覧の表示価格。年式は掲載年式。</x:v>
      </x:c>
      <x:c r="AL406" s="31" t="n">
        <x:f>IF(AND(J406&lt;='分析方法'!$B$7,OR(ISBLANK(O406),O406&gt;='分析方法'!$B$8),X406&lt;&gt;"売却済み表示"),1,0)</x:f>
        <x:v>1</x:v>
      </x:c>
      <x:c r="AM406" s="32" t="n">
        <x:f>IF(AL406=1,U406,"")</x:f>
        <x:v>878000</x:v>
      </x:c>
      <x:c r="AN406" s="33" t="n">
        <x:f>IF(AL406=1,AF406,"")</x:f>
        <x:v>0.7001594896331739</x:v>
      </x:c>
      <x:c r="AO406" s="31" t="n">
        <x:f>'分析方法'!$B$6-J406</x:f>
        <x:v>2</x:v>
      </x:c>
      <x:c r="AP406" s="3"/>
    </x:row>
    <x:row r="407" ht="22" customHeight="1">
      <x:c r="A407" s="3" t="str">
        <x:v>T2885211</x:v>
      </x:c>
      <x:c r="B407" s="7" t="d">
        <x:v>2026-10-08T00:00:00.000Z</x:v>
      </x:c>
      <x:c r="C407" s="3" t="str">
        <x:v>Taladrod</x:v>
      </x:c>
      <x:c r="D407" s="3" t="str">
        <x:v>Toyota</x:v>
      </x:c>
      <x:c r="E407" s="3" t="str">
        <x:v>日本</x:v>
      </x:c>
      <x:c r="F407" s="3" t="str">
        <x:v>Corolla Cross</x:v>
      </x:c>
      <x:c r="G407" s="3" t="str">
        <x:v>HEV</x:v>
      </x:c>
      <x:c r="H407" s="3" t="str">
        <x:v>SUV</x:v>
      </x:c>
      <x:c r="I407" s="3" t="str"/>
      <x:c r="J407" s="3" t="n">
        <x:v>2024</x:v>
      </x:c>
      <x:c r="K407" s="3" t="str">
        <x:v>1.8 HEV GR SPORT</x:v>
      </x:c>
      <x:c r="L407" s="3" t="str">
        <x:v>HEV GR SPORT</x:v>
      </x:c>
      <x:c r="M407" s="22"/>
      <x:c r="N407" s="22"/>
      <x:c r="O407" s="22"/>
      <x:c r="P407" s="3" t="str">
        <x:v>未掲載</x:v>
      </x:c>
      <x:c r="Q407" s="3" t="str">
        <x:v>未取得</x:v>
      </x:c>
      <x:c r="R407" s="3" t="str">
        <x:v>Unknown</x:v>
      </x:c>
      <x:c r="S407" s="3" t="str">
        <x:v>不明</x:v>
      </x:c>
      <x:c r="T407" s="3" t="str">
        <x:v>20-ปัจจุบัน</x:v>
      </x:c>
      <x:c r="U407" s="28" t="n">
        <x:v>955000</x:v>
      </x:c>
      <x:c r="V407" s="28" t="n">
        <x:v>1249000</x:v>
      </x:c>
      <x:c r="W407" s="3" t="str">
        <x:v>事故・水没・SOH・保証残は未確認</x:v>
      </x:c>
      <x:c r="X407" s="3" t="str">
        <x:v>掲載中・在庫未確認</x:v>
      </x:c>
      <x:c r="Y407" s="3" t="str"/>
      <x:c r="Z407" s="27" t="str">
        <x:v>https://www.taladrod.com/w40/icar/cardet.aspx?cid=2885211</x:v>
      </x:c>
      <x:c r="AA407" s="3" t="str">
        <x:v>Taladrod個別広告ID／Carsome在庫ID</x:v>
      </x:c>
      <x:c r="AB407" s="3" t="str">
        <x:v>車台番号未取得／サイト間重複は未判定</x:v>
      </x:c>
      <x:c r="AC407" s="3" t="str">
        <x:v>税込区分未確認（一覧表示額）</x:v>
      </x:c>
      <x:c r="AD407" s="3" t="str">
        <x:v>CROSS24_HEV GR SPORT</x:v>
      </x:c>
      <x:c r="AE407" s="29" t="n">
        <x:f>'新車価格・特価'!K52</x:f>
        <x:v>1254000</x:v>
      </x:c>
      <x:c r="AF407" s="30" t="n">
        <x:f>IF(ISNUMBER(AE407),U407/AE407,"")</x:f>
        <x:v>0.7615629984051037</x:v>
      </x:c>
      <x:c r="AG407" s="29" t="str">
        <x:f>""</x:f>
      </x:c>
      <x:c r="AH407" s="30" t="str">
        <x:f>IF(ISNUMBER(AG407),U407/AG407,"")</x:f>
      </x:c>
      <x:c r="AI407" s="3" t="str">
        <x:v>当時公表小売価格の参考残価率。実購入額ではない。年式/登録年・仕様差に注意。</x:v>
      </x:c>
      <x:c r="AJ407" s="3" t="str">
        <x:v>一覧価格/年式のみ</x:v>
      </x:c>
      <x:c r="AK407" s="3" t="str">
        <x:v>一覧の表示価格。年式は掲載年式。</x:v>
      </x:c>
      <x:c r="AL407" s="31" t="n">
        <x:f>IF(AND(J407&lt;='分析方法'!$B$7,OR(ISBLANK(O407),O407&gt;='分析方法'!$B$8),X407&lt;&gt;"売却済み表示"),1,0)</x:f>
        <x:v>1</x:v>
      </x:c>
      <x:c r="AM407" s="32" t="n">
        <x:f>IF(AL407=1,U407,"")</x:f>
        <x:v>955000</x:v>
      </x:c>
      <x:c r="AN407" s="33" t="n">
        <x:f>IF(AL407=1,AF407,"")</x:f>
        <x:v>0.7615629984051037</x:v>
      </x:c>
      <x:c r="AO407" s="31" t="n">
        <x:f>'分析方法'!$B$6-J407</x:f>
        <x:v>2</x:v>
      </x:c>
      <x:c r="AP407" s="3"/>
    </x:row>
    <x:row r="408" ht="22" customHeight="1">
      <x:c r="A408" s="3" t="str">
        <x:v>T2909644</x:v>
      </x:c>
      <x:c r="B408" s="7" t="d">
        <x:v>2026-10-08T00:00:00.000Z</x:v>
      </x:c>
      <x:c r="C408" s="3" t="str">
        <x:v>Taladrod</x:v>
      </x:c>
      <x:c r="D408" s="3" t="str">
        <x:v>Toyota</x:v>
      </x:c>
      <x:c r="E408" s="3" t="str">
        <x:v>日本</x:v>
      </x:c>
      <x:c r="F408" s="3" t="str">
        <x:v>Corolla Cross</x:v>
      </x:c>
      <x:c r="G408" s="3" t="str">
        <x:v>HEV</x:v>
      </x:c>
      <x:c r="H408" s="3" t="str">
        <x:v>SUV</x:v>
      </x:c>
      <x:c r="I408" s="3" t="str"/>
      <x:c r="J408" s="3" t="n">
        <x:v>2024</x:v>
      </x:c>
      <x:c r="K408" s="3" t="str">
        <x:v>1.8 HEV GR SPORT</x:v>
      </x:c>
      <x:c r="L408" s="3" t="str">
        <x:v>HEV GR SPORT</x:v>
      </x:c>
      <x:c r="M408" s="22"/>
      <x:c r="N408" s="22"/>
      <x:c r="O408" s="22"/>
      <x:c r="P408" s="3" t="str">
        <x:v>未掲載</x:v>
      </x:c>
      <x:c r="Q408" s="3" t="str">
        <x:v>未取得</x:v>
      </x:c>
      <x:c r="R408" s="3" t="str">
        <x:v>Unknown</x:v>
      </x:c>
      <x:c r="S408" s="3" t="str">
        <x:v>不明</x:v>
      </x:c>
      <x:c r="T408" s="3" t="str">
        <x:v>20-ปัจจุบัน</x:v>
      </x:c>
      <x:c r="U408" s="28" t="n">
        <x:v>899000</x:v>
      </x:c>
      <x:c r="V408" s="28" t="n">
        <x:v>1249000</x:v>
      </x:c>
      <x:c r="W408" s="3" t="str">
        <x:v>事故・水没・SOH・保証残は未確認</x:v>
      </x:c>
      <x:c r="X408" s="3" t="str">
        <x:v>掲載中・在庫未確認</x:v>
      </x:c>
      <x:c r="Y408" s="3" t="str"/>
      <x:c r="Z408" s="27" t="str">
        <x:v>https://www.taladrod.com/w40/icar/cardet.aspx?cid=2909644</x:v>
      </x:c>
      <x:c r="AA408" s="3" t="str">
        <x:v>Taladrod個別広告ID／Carsome在庫ID</x:v>
      </x:c>
      <x:c r="AB408" s="3" t="str">
        <x:v>車台番号未取得／サイト間重複は未判定</x:v>
      </x:c>
      <x:c r="AC408" s="3" t="str">
        <x:v>税込区分未確認（一覧表示額）</x:v>
      </x:c>
      <x:c r="AD408" s="3" t="str">
        <x:v>CROSS24_HEV GR SPORT</x:v>
      </x:c>
      <x:c r="AE408" s="29" t="n">
        <x:f>'新車価格・特価'!K52</x:f>
        <x:v>1254000</x:v>
      </x:c>
      <x:c r="AF408" s="30" t="n">
        <x:f>IF(ISNUMBER(AE408),U408/AE408,"")</x:f>
        <x:v>0.7169059011164274</x:v>
      </x:c>
      <x:c r="AG408" s="29" t="str">
        <x:f>""</x:f>
      </x:c>
      <x:c r="AH408" s="30" t="str">
        <x:f>IF(ISNUMBER(AG408),U408/AG408,"")</x:f>
      </x:c>
      <x:c r="AI408" s="3" t="str">
        <x:v>当時公表小売価格の参考残価率。実購入額ではない。年式/登録年・仕様差に注意。</x:v>
      </x:c>
      <x:c r="AJ408" s="3" t="str">
        <x:v>一覧価格/年式のみ</x:v>
      </x:c>
      <x:c r="AK408" s="3" t="str">
        <x:v>一覧の表示価格。年式は掲載年式。</x:v>
      </x:c>
      <x:c r="AL408" s="31" t="n">
        <x:f>IF(AND(J408&lt;='分析方法'!$B$7,OR(ISBLANK(O408),O408&gt;='分析方法'!$B$8),X408&lt;&gt;"売却済み表示"),1,0)</x:f>
        <x:v>1</x:v>
      </x:c>
      <x:c r="AM408" s="32" t="n">
        <x:f>IF(AL408=1,U408,"")</x:f>
        <x:v>899000</x:v>
      </x:c>
      <x:c r="AN408" s="33" t="n">
        <x:f>IF(AL408=1,AF408,"")</x:f>
        <x:v>0.7169059011164274</x:v>
      </x:c>
      <x:c r="AO408" s="31" t="n">
        <x:f>'分析方法'!$B$6-J408</x:f>
        <x:v>2</x:v>
      </x:c>
      <x:c r="AP408" s="3"/>
    </x:row>
    <x:row r="409" ht="22" customHeight="1">
      <x:c r="A409" s="3" t="str">
        <x:v>T2923249</x:v>
      </x:c>
      <x:c r="B409" s="7" t="d">
        <x:v>2026-10-08T00:00:00.000Z</x:v>
      </x:c>
      <x:c r="C409" s="3" t="str">
        <x:v>Taladrod</x:v>
      </x:c>
      <x:c r="D409" s="3" t="str">
        <x:v>Toyota</x:v>
      </x:c>
      <x:c r="E409" s="3" t="str">
        <x:v>日本</x:v>
      </x:c>
      <x:c r="F409" s="3" t="str">
        <x:v>Corolla Cross</x:v>
      </x:c>
      <x:c r="G409" s="3" t="str">
        <x:v>HEV</x:v>
      </x:c>
      <x:c r="H409" s="3" t="str">
        <x:v>SUV</x:v>
      </x:c>
      <x:c r="I409" s="3" t="str"/>
      <x:c r="J409" s="3" t="n">
        <x:v>2024</x:v>
      </x:c>
      <x:c r="K409" s="3" t="str">
        <x:v>1.8 HYBRID GR SPORT</x:v>
      </x:c>
      <x:c r="L409" s="3" t="str">
        <x:v>HEV GR SPORT</x:v>
      </x:c>
      <x:c r="M409" s="22"/>
      <x:c r="N409" s="22"/>
      <x:c r="O409" s="22"/>
      <x:c r="P409" s="3" t="str">
        <x:v>未掲載</x:v>
      </x:c>
      <x:c r="Q409" s="3" t="str">
        <x:v>未取得</x:v>
      </x:c>
      <x:c r="R409" s="3" t="str">
        <x:v>Unknown</x:v>
      </x:c>
      <x:c r="S409" s="3" t="str">
        <x:v>不明</x:v>
      </x:c>
      <x:c r="T409" s="3" t="str">
        <x:v>20-ปัจจุบัน</x:v>
      </x:c>
      <x:c r="U409" s="28" t="n">
        <x:v>858000</x:v>
      </x:c>
      <x:c r="V409" s="28"/>
      <x:c r="W409" s="3" t="str">
        <x:v>事故・水没・SOH・保証残は未確認</x:v>
      </x:c>
      <x:c r="X409" s="3" t="str">
        <x:v>掲載中・在庫未確認</x:v>
      </x:c>
      <x:c r="Y409" s="3" t="str"/>
      <x:c r="Z409" s="27" t="str">
        <x:v>https://www.taladrod.com/w40/icar/cardet.aspx?cid=2923249</x:v>
      </x:c>
      <x:c r="AA409" s="3" t="str">
        <x:v>Taladrod個別広告ID／Carsome在庫ID</x:v>
      </x:c>
      <x:c r="AB409" s="3" t="str">
        <x:v>車台番号未取得／サイト間重複は未判定</x:v>
      </x:c>
      <x:c r="AC409" s="3" t="str">
        <x:v>税込区分未確認（一覧表示額）</x:v>
      </x:c>
      <x:c r="AD409" s="3" t="str">
        <x:v>CROSS24_HEV GR SPORT</x:v>
      </x:c>
      <x:c r="AE409" s="29" t="n">
        <x:f>'新車価格・特価'!K52</x:f>
        <x:v>1254000</x:v>
      </x:c>
      <x:c r="AF409" s="30" t="n">
        <x:f>IF(ISNUMBER(AE409),U409/AE409,"")</x:f>
        <x:v>0.6842105263157895</x:v>
      </x:c>
      <x:c r="AG409" s="29" t="str">
        <x:f>""</x:f>
      </x:c>
      <x:c r="AH409" s="30" t="str">
        <x:f>IF(ISNUMBER(AG409),U409/AG409,"")</x:f>
      </x:c>
      <x:c r="AI409" s="3" t="str">
        <x:v>当時公表小売価格の参考残価率。実購入額ではない。年式/登録年・仕様差に注意。</x:v>
      </x:c>
      <x:c r="AJ409" s="3" t="str">
        <x:v>一覧価格/年式のみ</x:v>
      </x:c>
      <x:c r="AK409" s="3" t="str">
        <x:v>一覧の表示価格。年式は掲載年式。</x:v>
      </x:c>
      <x:c r="AL409" s="31" t="n">
        <x:f>IF(AND(J409&lt;='分析方法'!$B$7,OR(ISBLANK(O409),O409&gt;='分析方法'!$B$8),X409&lt;&gt;"売却済み表示"),1,0)</x:f>
        <x:v>1</x:v>
      </x:c>
      <x:c r="AM409" s="32" t="n">
        <x:f>IF(AL409=1,U409,"")</x:f>
        <x:v>858000</x:v>
      </x:c>
      <x:c r="AN409" s="33" t="n">
        <x:f>IF(AL409=1,AF409,"")</x:f>
        <x:v>0.6842105263157895</x:v>
      </x:c>
      <x:c r="AO409" s="31" t="n">
        <x:f>'分析方法'!$B$6-J409</x:f>
        <x:v>2</x:v>
      </x:c>
      <x:c r="AP409" s="3"/>
    </x:row>
    <x:row r="410" ht="22" customHeight="1">
      <x:c r="A410" s="3" t="str">
        <x:v>T2925000</x:v>
      </x:c>
      <x:c r="B410" s="7" t="d">
        <x:v>2026-10-08T00:00:00.000Z</x:v>
      </x:c>
      <x:c r="C410" s="3" t="str">
        <x:v>Taladrod</x:v>
      </x:c>
      <x:c r="D410" s="3" t="str">
        <x:v>Toyota</x:v>
      </x:c>
      <x:c r="E410" s="3" t="str">
        <x:v>日本</x:v>
      </x:c>
      <x:c r="F410" s="3" t="str">
        <x:v>Corolla Cross</x:v>
      </x:c>
      <x:c r="G410" s="3" t="str">
        <x:v>HEV</x:v>
      </x:c>
      <x:c r="H410" s="3" t="str">
        <x:v>SUV</x:v>
      </x:c>
      <x:c r="I410" s="3" t="str"/>
      <x:c r="J410" s="3" t="n">
        <x:v>2024</x:v>
      </x:c>
      <x:c r="K410" s="3" t="str">
        <x:v>1.8 HYBRID GR SPORT</x:v>
      </x:c>
      <x:c r="L410" s="3" t="str">
        <x:v>HEV GR SPORT</x:v>
      </x:c>
      <x:c r="M410" s="22"/>
      <x:c r="N410" s="22"/>
      <x:c r="O410" s="22"/>
      <x:c r="P410" s="3" t="str">
        <x:v>未掲載</x:v>
      </x:c>
      <x:c r="Q410" s="3" t="str">
        <x:v>未取得</x:v>
      </x:c>
      <x:c r="R410" s="3" t="str">
        <x:v>Unknown</x:v>
      </x:c>
      <x:c r="S410" s="3" t="str">
        <x:v>不明</x:v>
      </x:c>
      <x:c r="T410" s="3" t="str">
        <x:v>20-ปัจจุบัน</x:v>
      </x:c>
      <x:c r="U410" s="28" t="n">
        <x:v>898000</x:v>
      </x:c>
      <x:c r="V410" s="28"/>
      <x:c r="W410" s="3" t="str">
        <x:v>事故・水没・SOH・保証残は未確認</x:v>
      </x:c>
      <x:c r="X410" s="3" t="str">
        <x:v>掲載中・在庫未確認</x:v>
      </x:c>
      <x:c r="Y410" s="3" t="str"/>
      <x:c r="Z410" s="27" t="str">
        <x:v>https://www.taladrod.com/w40/icar/cardet.aspx?cid=2925000</x:v>
      </x:c>
      <x:c r="AA410" s="3" t="str">
        <x:v>Taladrod個別広告ID／Carsome在庫ID</x:v>
      </x:c>
      <x:c r="AB410" s="3" t="str">
        <x:v>車台番号未取得／サイト間重複は未判定</x:v>
      </x:c>
      <x:c r="AC410" s="3" t="str">
        <x:v>税込区分未確認（一覧表示額）</x:v>
      </x:c>
      <x:c r="AD410" s="3" t="str">
        <x:v>CROSS24_HEV GR SPORT</x:v>
      </x:c>
      <x:c r="AE410" s="29" t="n">
        <x:f>'新車価格・特価'!K52</x:f>
        <x:v>1254000</x:v>
      </x:c>
      <x:c r="AF410" s="30" t="n">
        <x:f>IF(ISNUMBER(AE410),U410/AE410,"")</x:f>
        <x:v>0.7161084529505582</x:v>
      </x:c>
      <x:c r="AG410" s="29" t="str">
        <x:f>""</x:f>
      </x:c>
      <x:c r="AH410" s="30" t="str">
        <x:f>IF(ISNUMBER(AG410),U410/AG410,"")</x:f>
      </x:c>
      <x:c r="AI410" s="3" t="str">
        <x:v>当時公表小売価格の参考残価率。実購入額ではない。年式/登録年・仕様差に注意。</x:v>
      </x:c>
      <x:c r="AJ410" s="3" t="str">
        <x:v>一覧価格/年式のみ</x:v>
      </x:c>
      <x:c r="AK410" s="3" t="str">
        <x:v>一覧の表示価格。年式は掲載年式。</x:v>
      </x:c>
      <x:c r="AL410" s="31" t="n">
        <x:f>IF(AND(J410&lt;='分析方法'!$B$7,OR(ISBLANK(O410),O410&gt;='分析方法'!$B$8),X410&lt;&gt;"売却済み表示"),1,0)</x:f>
        <x:v>1</x:v>
      </x:c>
      <x:c r="AM410" s="32" t="n">
        <x:f>IF(AL410=1,U410,"")</x:f>
        <x:v>898000</x:v>
      </x:c>
      <x:c r="AN410" s="33" t="n">
        <x:f>IF(AL410=1,AF410,"")</x:f>
        <x:v>0.7161084529505582</x:v>
      </x:c>
      <x:c r="AO410" s="31" t="n">
        <x:f>'分析方法'!$B$6-J410</x:f>
        <x:v>2</x:v>
      </x:c>
      <x:c r="AP410" s="3"/>
    </x:row>
    <x:row r="411" ht="22" customHeight="1">
      <x:c r="A411" s="3" t="str">
        <x:v>T2926569</x:v>
      </x:c>
      <x:c r="B411" s="7" t="d">
        <x:v>2026-10-08T00:00:00.000Z</x:v>
      </x:c>
      <x:c r="C411" s="3" t="str">
        <x:v>Taladrod</x:v>
      </x:c>
      <x:c r="D411" s="3" t="str">
        <x:v>Toyota</x:v>
      </x:c>
      <x:c r="E411" s="3" t="str">
        <x:v>日本</x:v>
      </x:c>
      <x:c r="F411" s="3" t="str">
        <x:v>Corolla Cross</x:v>
      </x:c>
      <x:c r="G411" s="3" t="str">
        <x:v>HEV</x:v>
      </x:c>
      <x:c r="H411" s="3" t="str">
        <x:v>SUV</x:v>
      </x:c>
      <x:c r="I411" s="3" t="str"/>
      <x:c r="J411" s="3" t="n">
        <x:v>2024</x:v>
      </x:c>
      <x:c r="K411" s="3" t="str">
        <x:v>1.8 HYBRID GR SPORT</x:v>
      </x:c>
      <x:c r="L411" s="3" t="str">
        <x:v>HEV GR SPORT</x:v>
      </x:c>
      <x:c r="M411" s="22"/>
      <x:c r="N411" s="22"/>
      <x:c r="O411" s="22"/>
      <x:c r="P411" s="3" t="str">
        <x:v>未掲載</x:v>
      </x:c>
      <x:c r="Q411" s="3" t="str">
        <x:v>未取得</x:v>
      </x:c>
      <x:c r="R411" s="3" t="str">
        <x:v>Unknown</x:v>
      </x:c>
      <x:c r="S411" s="3" t="str">
        <x:v>不明</x:v>
      </x:c>
      <x:c r="T411" s="3" t="str">
        <x:v>20-ปัจจุบัน</x:v>
      </x:c>
      <x:c r="U411" s="28" t="n">
        <x:v>778000</x:v>
      </x:c>
      <x:c r="V411" s="28"/>
      <x:c r="W411" s="3" t="str">
        <x:v>事故・水没・SOH・保証残は未確認</x:v>
      </x:c>
      <x:c r="X411" s="3" t="str">
        <x:v>掲載中・在庫未確認</x:v>
      </x:c>
      <x:c r="Y411" s="3" t="str"/>
      <x:c r="Z411" s="27" t="str">
        <x:v>https://www.taladrod.com/w40/icar/cardet.aspx?cid=2926569</x:v>
      </x:c>
      <x:c r="AA411" s="3" t="str">
        <x:v>Taladrod個別広告ID／Carsome在庫ID</x:v>
      </x:c>
      <x:c r="AB411" s="3" t="str">
        <x:v>車台番号未取得／サイト間重複は未判定</x:v>
      </x:c>
      <x:c r="AC411" s="3" t="str">
        <x:v>税込区分未確認（一覧表示額）</x:v>
      </x:c>
      <x:c r="AD411" s="3" t="str">
        <x:v>CROSS24_HEV GR SPORT</x:v>
      </x:c>
      <x:c r="AE411" s="29" t="n">
        <x:f>'新車価格・特価'!K52</x:f>
        <x:v>1254000</x:v>
      </x:c>
      <x:c r="AF411" s="30" t="n">
        <x:f>IF(ISNUMBER(AE411),U411/AE411,"")</x:f>
        <x:v>0.620414673046252</x:v>
      </x:c>
      <x:c r="AG411" s="29" t="str">
        <x:f>""</x:f>
      </x:c>
      <x:c r="AH411" s="30" t="str">
        <x:f>IF(ISNUMBER(AG411),U411/AG411,"")</x:f>
      </x:c>
      <x:c r="AI411" s="3" t="str">
        <x:v>当時公表小売価格の参考残価率。実購入額ではない。年式/登録年・仕様差に注意。</x:v>
      </x:c>
      <x:c r="AJ411" s="3" t="str">
        <x:v>一覧価格/年式のみ</x:v>
      </x:c>
      <x:c r="AK411" s="3" t="str">
        <x:v>一覧の表示価格。年式は掲載年式。</x:v>
      </x:c>
      <x:c r="AL411" s="31" t="n">
        <x:f>IF(AND(J411&lt;='分析方法'!$B$7,OR(ISBLANK(O411),O411&gt;='分析方法'!$B$8),X411&lt;&gt;"売却済み表示"),1,0)</x:f>
        <x:v>1</x:v>
      </x:c>
      <x:c r="AM411" s="32" t="n">
        <x:f>IF(AL411=1,U411,"")</x:f>
        <x:v>778000</x:v>
      </x:c>
      <x:c r="AN411" s="33" t="n">
        <x:f>IF(AL411=1,AF411,"")</x:f>
        <x:v>0.620414673046252</x:v>
      </x:c>
      <x:c r="AO411" s="31" t="n">
        <x:f>'分析方法'!$B$6-J411</x:f>
        <x:v>2</x:v>
      </x:c>
      <x:c r="AP411" s="3"/>
    </x:row>
    <x:row r="412" ht="22" customHeight="1">
      <x:c r="A412" s="3" t="str">
        <x:v>T2911541</x:v>
      </x:c>
      <x:c r="B412" s="7" t="d">
        <x:v>2026-10-08T00:00:00.000Z</x:v>
      </x:c>
      <x:c r="C412" s="3" t="str">
        <x:v>Taladrod</x:v>
      </x:c>
      <x:c r="D412" s="3" t="str">
        <x:v>Toyota</x:v>
      </x:c>
      <x:c r="E412" s="3" t="str">
        <x:v>日本</x:v>
      </x:c>
      <x:c r="F412" s="3" t="str">
        <x:v>Corolla Cross</x:v>
      </x:c>
      <x:c r="G412" s="3" t="str">
        <x:v>HEV</x:v>
      </x:c>
      <x:c r="H412" s="3" t="str">
        <x:v>SUV</x:v>
      </x:c>
      <x:c r="I412" s="3" t="str"/>
      <x:c r="J412" s="3" t="n">
        <x:v>2024</x:v>
      </x:c>
      <x:c r="K412" s="3" t="str">
        <x:v>1.8 HEV PREMIUM</x:v>
      </x:c>
      <x:c r="L412" s="3" t="str">
        <x:v>HEV PREMIUM</x:v>
      </x:c>
      <x:c r="M412" s="22"/>
      <x:c r="N412" s="22"/>
      <x:c r="O412" s="22"/>
      <x:c r="P412" s="3" t="str">
        <x:v>未掲載</x:v>
      </x:c>
      <x:c r="Q412" s="3" t="str">
        <x:v>未取得</x:v>
      </x:c>
      <x:c r="R412" s="3" t="str">
        <x:v>Unknown</x:v>
      </x:c>
      <x:c r="S412" s="3" t="str">
        <x:v>不明</x:v>
      </x:c>
      <x:c r="T412" s="3" t="str">
        <x:v>20-ปัจจุบัน</x:v>
      </x:c>
      <x:c r="U412" s="28" t="n">
        <x:v>829000</x:v>
      </x:c>
      <x:c r="V412" s="28" t="n">
        <x:v>1094000</x:v>
      </x:c>
      <x:c r="W412" s="3" t="str">
        <x:v>事故・水没・SOH・保証残は未確認</x:v>
      </x:c>
      <x:c r="X412" s="3" t="str">
        <x:v>掲載中・在庫未確認</x:v>
      </x:c>
      <x:c r="Y412" s="3" t="str"/>
      <x:c r="Z412" s="27" t="str">
        <x:v>https://www.taladrod.com/w40/icar/cardet.aspx?cid=2911541</x:v>
      </x:c>
      <x:c r="AA412" s="3" t="str">
        <x:v>Taladrod個別広告ID／Carsome在庫ID</x:v>
      </x:c>
      <x:c r="AB412" s="3" t="str">
        <x:v>車台番号未取得／サイト間重複は未判定</x:v>
      </x:c>
      <x:c r="AC412" s="3" t="str">
        <x:v>税込区分未確認（一覧表示額）</x:v>
      </x:c>
      <x:c r="AD412" s="3" t="str">
        <x:v>CROSS24_HEV PREMIUM</x:v>
      </x:c>
      <x:c r="AE412" s="29" t="n">
        <x:f>'新車価格・特価'!K50</x:f>
        <x:v>1094000</x:v>
      </x:c>
      <x:c r="AF412" s="30" t="n">
        <x:f>IF(ISNUMBER(AE412),U412/AE412,"")</x:f>
        <x:v>0.7577696526508226</x:v>
      </x:c>
      <x:c r="AG412" s="29" t="n">
        <x:f>'新車価格・特価'!N54</x:f>
        <x:v>1094000</x:v>
      </x:c>
      <x:c r="AH412" s="30" t="n">
        <x:f>IF(ISNUMBER(AG412),U412/AG412,"")</x:f>
        <x:v>0.7577696526508226</x:v>
      </x:c>
      <x:c r="AI412" s="3" t="str">
        <x:v>当時公表小売価格の参考残価率。実購入額ではない。年式/登録年・仕様差に注意。</x:v>
      </x:c>
      <x:c r="AJ412" s="3" t="str">
        <x:v>一覧価格/年式のみ</x:v>
      </x:c>
      <x:c r="AK412" s="3" t="str">
        <x:v>一覧の表示価格。年式は掲載年式。</x:v>
      </x:c>
      <x:c r="AL412" s="31" t="n">
        <x:f>IF(AND(J412&lt;='分析方法'!$B$7,OR(ISBLANK(O412),O412&gt;='分析方法'!$B$8),X412&lt;&gt;"売却済み表示"),1,0)</x:f>
        <x:v>1</x:v>
      </x:c>
      <x:c r="AM412" s="32" t="n">
        <x:f>IF(AL412=1,U412,"")</x:f>
        <x:v>829000</x:v>
      </x:c>
      <x:c r="AN412" s="33" t="n">
        <x:f>IF(AL412=1,AF412,"")</x:f>
        <x:v>0.7577696526508226</x:v>
      </x:c>
      <x:c r="AO412" s="31" t="n">
        <x:f>'分析方法'!$B$6-J412</x:f>
        <x:v>2</x:v>
      </x:c>
      <x:c r="AP412" s="3"/>
    </x:row>
    <x:row r="413" ht="22" customHeight="1">
      <x:c r="A413" s="3" t="str">
        <x:v>T2918477</x:v>
      </x:c>
      <x:c r="B413" s="7" t="d">
        <x:v>2026-10-08T00:00:00.000Z</x:v>
      </x:c>
      <x:c r="C413" s="3" t="str">
        <x:v>Taladrod</x:v>
      </x:c>
      <x:c r="D413" s="3" t="str">
        <x:v>Toyota</x:v>
      </x:c>
      <x:c r="E413" s="3" t="str">
        <x:v>日本</x:v>
      </x:c>
      <x:c r="F413" s="3" t="str">
        <x:v>Corolla Cross</x:v>
      </x:c>
      <x:c r="G413" s="3" t="str">
        <x:v>HEV</x:v>
      </x:c>
      <x:c r="H413" s="3" t="str">
        <x:v>SUV</x:v>
      </x:c>
      <x:c r="I413" s="3" t="str"/>
      <x:c r="J413" s="3" t="n">
        <x:v>2024</x:v>
      </x:c>
      <x:c r="K413" s="3" t="str">
        <x:v>1.8 HEV PREMIUM</x:v>
      </x:c>
      <x:c r="L413" s="3" t="str">
        <x:v>HEV PREMIUM</x:v>
      </x:c>
      <x:c r="M413" s="22"/>
      <x:c r="N413" s="22"/>
      <x:c r="O413" s="22"/>
      <x:c r="P413" s="3" t="str">
        <x:v>未掲載</x:v>
      </x:c>
      <x:c r="Q413" s="3" t="str">
        <x:v>未取得</x:v>
      </x:c>
      <x:c r="R413" s="3" t="str">
        <x:v>Unknown</x:v>
      </x:c>
      <x:c r="S413" s="3" t="str">
        <x:v>不明</x:v>
      </x:c>
      <x:c r="T413" s="3" t="str">
        <x:v>20-ปัจจุบัน</x:v>
      </x:c>
      <x:c r="U413" s="28" t="n">
        <x:v>785000</x:v>
      </x:c>
      <x:c r="V413" s="28" t="n">
        <x:v>1094000</x:v>
      </x:c>
      <x:c r="W413" s="3" t="str">
        <x:v>事故・水没・SOH・保証残は未確認</x:v>
      </x:c>
      <x:c r="X413" s="3" t="str">
        <x:v>掲載中・在庫未確認</x:v>
      </x:c>
      <x:c r="Y413" s="3" t="str"/>
      <x:c r="Z413" s="27" t="str">
        <x:v>https://www.taladrod.com/w40/icar/cardet.aspx?cid=2918477</x:v>
      </x:c>
      <x:c r="AA413" s="3" t="str">
        <x:v>Taladrod個別広告ID／Carsome在庫ID</x:v>
      </x:c>
      <x:c r="AB413" s="3" t="str">
        <x:v>車台番号未取得／サイト間重複は未判定</x:v>
      </x:c>
      <x:c r="AC413" s="3" t="str">
        <x:v>税込区分未確認（一覧表示額）</x:v>
      </x:c>
      <x:c r="AD413" s="3" t="str">
        <x:v>CROSS24_HEV PREMIUM</x:v>
      </x:c>
      <x:c r="AE413" s="29" t="n">
        <x:f>'新車価格・特価'!K50</x:f>
        <x:v>1094000</x:v>
      </x:c>
      <x:c r="AF413" s="30" t="n">
        <x:f>IF(ISNUMBER(AE413),U413/AE413,"")</x:f>
        <x:v>0.7175502742230347</x:v>
      </x:c>
      <x:c r="AG413" s="29" t="n">
        <x:f>'新車価格・特価'!N54</x:f>
        <x:v>1094000</x:v>
      </x:c>
      <x:c r="AH413" s="30" t="n">
        <x:f>IF(ISNUMBER(AG413),U413/AG413,"")</x:f>
        <x:v>0.7175502742230347</x:v>
      </x:c>
      <x:c r="AI413" s="3" t="str">
        <x:v>当時公表小売価格の参考残価率。実購入額ではない。年式/登録年・仕様差に注意。</x:v>
      </x:c>
      <x:c r="AJ413" s="3" t="str">
        <x:v>一覧価格/年式のみ</x:v>
      </x:c>
      <x:c r="AK413" s="3" t="str">
        <x:v>一覧の表示価格。年式は掲載年式。</x:v>
      </x:c>
      <x:c r="AL413" s="31" t="n">
        <x:f>IF(AND(J413&lt;='分析方法'!$B$7,OR(ISBLANK(O413),O413&gt;='分析方法'!$B$8),X413&lt;&gt;"売却済み表示"),1,0)</x:f>
        <x:v>1</x:v>
      </x:c>
      <x:c r="AM413" s="32" t="n">
        <x:f>IF(AL413=1,U413,"")</x:f>
        <x:v>785000</x:v>
      </x:c>
      <x:c r="AN413" s="33" t="n">
        <x:f>IF(AL413=1,AF413,"")</x:f>
        <x:v>0.7175502742230347</x:v>
      </x:c>
      <x:c r="AO413" s="31" t="n">
        <x:f>'分析方法'!$B$6-J413</x:f>
        <x:v>2</x:v>
      </x:c>
      <x:c r="AP413" s="3"/>
    </x:row>
    <x:row r="414" ht="22" customHeight="1">
      <x:c r="A414" s="3" t="str">
        <x:v>T2919582</x:v>
      </x:c>
      <x:c r="B414" s="7" t="d">
        <x:v>2026-10-08T00:00:00.000Z</x:v>
      </x:c>
      <x:c r="C414" s="3" t="str">
        <x:v>Taladrod</x:v>
      </x:c>
      <x:c r="D414" s="3" t="str">
        <x:v>Toyota</x:v>
      </x:c>
      <x:c r="E414" s="3" t="str">
        <x:v>日本</x:v>
      </x:c>
      <x:c r="F414" s="3" t="str">
        <x:v>Corolla Cross</x:v>
      </x:c>
      <x:c r="G414" s="3" t="str">
        <x:v>HEV</x:v>
      </x:c>
      <x:c r="H414" s="3" t="str">
        <x:v>SUV</x:v>
      </x:c>
      <x:c r="I414" s="3" t="str"/>
      <x:c r="J414" s="3" t="n">
        <x:v>2024</x:v>
      </x:c>
      <x:c r="K414" s="3" t="str">
        <x:v>1.8 HEV PREMIUM</x:v>
      </x:c>
      <x:c r="L414" s="3" t="str">
        <x:v>HEV PREMIUM</x:v>
      </x:c>
      <x:c r="M414" s="22"/>
      <x:c r="N414" s="22"/>
      <x:c r="O414" s="22"/>
      <x:c r="P414" s="3" t="str">
        <x:v>未掲載</x:v>
      </x:c>
      <x:c r="Q414" s="3" t="str">
        <x:v>未取得</x:v>
      </x:c>
      <x:c r="R414" s="3" t="str">
        <x:v>Unknown</x:v>
      </x:c>
      <x:c r="S414" s="3" t="str">
        <x:v>不明</x:v>
      </x:c>
      <x:c r="T414" s="3" t="str">
        <x:v>20-ปัจจุบัน</x:v>
      </x:c>
      <x:c r="U414" s="28" t="n">
        <x:v>829000</x:v>
      </x:c>
      <x:c r="V414" s="28" t="n">
        <x:v>1094000</x:v>
      </x:c>
      <x:c r="W414" s="3" t="str">
        <x:v>事故・水没・SOH・保証残は未確認</x:v>
      </x:c>
      <x:c r="X414" s="3" t="str">
        <x:v>掲載中・在庫未確認</x:v>
      </x:c>
      <x:c r="Y414" s="3" t="str"/>
      <x:c r="Z414" s="27" t="str">
        <x:v>https://www.taladrod.com/w40/icar/cardet.aspx?cid=2919582</x:v>
      </x:c>
      <x:c r="AA414" s="3" t="str">
        <x:v>Taladrod個別広告ID／Carsome在庫ID</x:v>
      </x:c>
      <x:c r="AB414" s="3" t="str">
        <x:v>車台番号未取得／サイト間重複は未判定</x:v>
      </x:c>
      <x:c r="AC414" s="3" t="str">
        <x:v>税込区分未確認（一覧表示額）</x:v>
      </x:c>
      <x:c r="AD414" s="3" t="str">
        <x:v>CROSS24_HEV PREMIUM</x:v>
      </x:c>
      <x:c r="AE414" s="29" t="n">
        <x:f>'新車価格・特価'!K50</x:f>
        <x:v>1094000</x:v>
      </x:c>
      <x:c r="AF414" s="30" t="n">
        <x:f>IF(ISNUMBER(AE414),U414/AE414,"")</x:f>
        <x:v>0.7577696526508226</x:v>
      </x:c>
      <x:c r="AG414" s="29" t="n">
        <x:f>'新車価格・特価'!N54</x:f>
        <x:v>1094000</x:v>
      </x:c>
      <x:c r="AH414" s="30" t="n">
        <x:f>IF(ISNUMBER(AG414),U414/AG414,"")</x:f>
        <x:v>0.7577696526508226</x:v>
      </x:c>
      <x:c r="AI414" s="3" t="str">
        <x:v>当時公表小売価格の参考残価率。実購入額ではない。年式/登録年・仕様差に注意。</x:v>
      </x:c>
      <x:c r="AJ414" s="3" t="str">
        <x:v>一覧価格/年式のみ</x:v>
      </x:c>
      <x:c r="AK414" s="3" t="str">
        <x:v>一覧の表示価格。年式は掲載年式。</x:v>
      </x:c>
      <x:c r="AL414" s="31" t="n">
        <x:f>IF(AND(J414&lt;='分析方法'!$B$7,OR(ISBLANK(O414),O414&gt;='分析方法'!$B$8),X414&lt;&gt;"売却済み表示"),1,0)</x:f>
        <x:v>1</x:v>
      </x:c>
      <x:c r="AM414" s="32" t="n">
        <x:f>IF(AL414=1,U414,"")</x:f>
        <x:v>829000</x:v>
      </x:c>
      <x:c r="AN414" s="33" t="n">
        <x:f>IF(AL414=1,AF414,"")</x:f>
        <x:v>0.7577696526508226</x:v>
      </x:c>
      <x:c r="AO414" s="31" t="n">
        <x:f>'分析方法'!$B$6-J414</x:f>
        <x:v>2</x:v>
      </x:c>
      <x:c r="AP414" s="3"/>
    </x:row>
    <x:row r="415" ht="22" customHeight="1">
      <x:c r="A415" s="3" t="str">
        <x:v>T2923020</x:v>
      </x:c>
      <x:c r="B415" s="7" t="d">
        <x:v>2026-10-08T00:00:00.000Z</x:v>
      </x:c>
      <x:c r="C415" s="3" t="str">
        <x:v>Taladrod</x:v>
      </x:c>
      <x:c r="D415" s="3" t="str">
        <x:v>Toyota</x:v>
      </x:c>
      <x:c r="E415" s="3" t="str">
        <x:v>日本</x:v>
      </x:c>
      <x:c r="F415" s="3" t="str">
        <x:v>Corolla Cross</x:v>
      </x:c>
      <x:c r="G415" s="3" t="str">
        <x:v>HEV</x:v>
      </x:c>
      <x:c r="H415" s="3" t="str">
        <x:v>SUV</x:v>
      </x:c>
      <x:c r="I415" s="3" t="str"/>
      <x:c r="J415" s="3" t="n">
        <x:v>2024</x:v>
      </x:c>
      <x:c r="K415" s="3" t="str">
        <x:v>1.8 HEV PREMIUM</x:v>
      </x:c>
      <x:c r="L415" s="3" t="str">
        <x:v>HEV PREMIUM</x:v>
      </x:c>
      <x:c r="M415" s="22"/>
      <x:c r="N415" s="22"/>
      <x:c r="O415" s="22"/>
      <x:c r="P415" s="3" t="str">
        <x:v>未掲載</x:v>
      </x:c>
      <x:c r="Q415" s="3" t="str">
        <x:v>未取得</x:v>
      </x:c>
      <x:c r="R415" s="3" t="str">
        <x:v>Unknown</x:v>
      </x:c>
      <x:c r="S415" s="3" t="str">
        <x:v>不明</x:v>
      </x:c>
      <x:c r="T415" s="3" t="str">
        <x:v>20-ปัจจุบัน</x:v>
      </x:c>
      <x:c r="U415" s="28" t="n">
        <x:v>799000</x:v>
      </x:c>
      <x:c r="V415" s="28" t="n">
        <x:v>1094000</x:v>
      </x:c>
      <x:c r="W415" s="3" t="str">
        <x:v>事故・水没・SOH・保証残は未確認</x:v>
      </x:c>
      <x:c r="X415" s="3" t="str">
        <x:v>掲載中・在庫未確認</x:v>
      </x:c>
      <x:c r="Y415" s="3" t="str"/>
      <x:c r="Z415" s="27" t="str">
        <x:v>https://www.taladrod.com/w40/icar/cardet.aspx?cid=2923020</x:v>
      </x:c>
      <x:c r="AA415" s="3" t="str">
        <x:v>Taladrod個別広告ID／Carsome在庫ID</x:v>
      </x:c>
      <x:c r="AB415" s="3" t="str">
        <x:v>車台番号未取得／サイト間重複は未判定</x:v>
      </x:c>
      <x:c r="AC415" s="3" t="str">
        <x:v>税込区分未確認（一覧表示額）</x:v>
      </x:c>
      <x:c r="AD415" s="3" t="str">
        <x:v>CROSS24_HEV PREMIUM</x:v>
      </x:c>
      <x:c r="AE415" s="29" t="n">
        <x:f>'新車価格・特価'!K50</x:f>
        <x:v>1094000</x:v>
      </x:c>
      <x:c r="AF415" s="30" t="n">
        <x:f>IF(ISNUMBER(AE415),U415/AE415,"")</x:f>
        <x:v>0.7303473491773309</x:v>
      </x:c>
      <x:c r="AG415" s="29" t="n">
        <x:f>'新車価格・特価'!N54</x:f>
        <x:v>1094000</x:v>
      </x:c>
      <x:c r="AH415" s="30" t="n">
        <x:f>IF(ISNUMBER(AG415),U415/AG415,"")</x:f>
        <x:v>0.7303473491773309</x:v>
      </x:c>
      <x:c r="AI415" s="3" t="str">
        <x:v>当時公表小売価格の参考残価率。実購入額ではない。年式/登録年・仕様差に注意。</x:v>
      </x:c>
      <x:c r="AJ415" s="3" t="str">
        <x:v>一覧価格/年式のみ</x:v>
      </x:c>
      <x:c r="AK415" s="3" t="str">
        <x:v>一覧の表示価格。年式は掲載年式。</x:v>
      </x:c>
      <x:c r="AL415" s="31" t="n">
        <x:f>IF(AND(J415&lt;='分析方法'!$B$7,OR(ISBLANK(O415),O415&gt;='分析方法'!$B$8),X415&lt;&gt;"売却済み表示"),1,0)</x:f>
        <x:v>1</x:v>
      </x:c>
      <x:c r="AM415" s="32" t="n">
        <x:f>IF(AL415=1,U415,"")</x:f>
        <x:v>799000</x:v>
      </x:c>
      <x:c r="AN415" s="33" t="n">
        <x:f>IF(AL415=1,AF415,"")</x:f>
        <x:v>0.7303473491773309</x:v>
      </x:c>
      <x:c r="AO415" s="31" t="n">
        <x:f>'分析方法'!$B$6-J415</x:f>
        <x:v>2</x:v>
      </x:c>
      <x:c r="AP415" s="3"/>
    </x:row>
    <x:row r="416" ht="22" customHeight="1">
      <x:c r="A416" s="3" t="str">
        <x:v>T2923719</x:v>
      </x:c>
      <x:c r="B416" s="7" t="d">
        <x:v>2026-10-08T00:00:00.000Z</x:v>
      </x:c>
      <x:c r="C416" s="3" t="str">
        <x:v>Taladrod</x:v>
      </x:c>
      <x:c r="D416" s="3" t="str">
        <x:v>Toyota</x:v>
      </x:c>
      <x:c r="E416" s="3" t="str">
        <x:v>日本</x:v>
      </x:c>
      <x:c r="F416" s="3" t="str">
        <x:v>Corolla Cross</x:v>
      </x:c>
      <x:c r="G416" s="3" t="str">
        <x:v>HEV</x:v>
      </x:c>
      <x:c r="H416" s="3" t="str">
        <x:v>SUV</x:v>
      </x:c>
      <x:c r="I416" s="3" t="str"/>
      <x:c r="J416" s="3" t="n">
        <x:v>2024</x:v>
      </x:c>
      <x:c r="K416" s="3" t="str">
        <x:v>1.8 HEV PREMIUM</x:v>
      </x:c>
      <x:c r="L416" s="3" t="str">
        <x:v>HEV PREMIUM</x:v>
      </x:c>
      <x:c r="M416" s="22"/>
      <x:c r="N416" s="22"/>
      <x:c r="O416" s="22"/>
      <x:c r="P416" s="3" t="str">
        <x:v>未掲載</x:v>
      </x:c>
      <x:c r="Q416" s="3" t="str">
        <x:v>未取得</x:v>
      </x:c>
      <x:c r="R416" s="3" t="str">
        <x:v>Unknown</x:v>
      </x:c>
      <x:c r="S416" s="3" t="str">
        <x:v>不明</x:v>
      </x:c>
      <x:c r="T416" s="3" t="str">
        <x:v>20-ปัจจุบัน</x:v>
      </x:c>
      <x:c r="U416" s="28" t="n">
        <x:v>699000</x:v>
      </x:c>
      <x:c r="V416" s="28" t="n">
        <x:v>1094000</x:v>
      </x:c>
      <x:c r="W416" s="3" t="str">
        <x:v>事故・水没・SOH・保証残は未確認</x:v>
      </x:c>
      <x:c r="X416" s="3" t="str">
        <x:v>掲載中・在庫未確認</x:v>
      </x:c>
      <x:c r="Y416" s="3" t="str"/>
      <x:c r="Z416" s="27" t="str">
        <x:v>https://www.taladrod.com/w40/icar/cardet.aspx?cid=2923719</x:v>
      </x:c>
      <x:c r="AA416" s="3" t="str">
        <x:v>Taladrod個別広告ID／Carsome在庫ID</x:v>
      </x:c>
      <x:c r="AB416" s="3" t="str">
        <x:v>車台番号未取得／サイト間重複は未判定</x:v>
      </x:c>
      <x:c r="AC416" s="3" t="str">
        <x:v>税込区分未確認（一覧表示額）</x:v>
      </x:c>
      <x:c r="AD416" s="3" t="str">
        <x:v>CROSS24_HEV PREMIUM</x:v>
      </x:c>
      <x:c r="AE416" s="29" t="n">
        <x:f>'新車価格・特価'!K50</x:f>
        <x:v>1094000</x:v>
      </x:c>
      <x:c r="AF416" s="30" t="n">
        <x:f>IF(ISNUMBER(AE416),U416/AE416,"")</x:f>
        <x:v>0.6389396709323584</x:v>
      </x:c>
      <x:c r="AG416" s="29" t="n">
        <x:f>'新車価格・特価'!N54</x:f>
        <x:v>1094000</x:v>
      </x:c>
      <x:c r="AH416" s="30" t="n">
        <x:f>IF(ISNUMBER(AG416),U416/AG416,"")</x:f>
        <x:v>0.6389396709323584</x:v>
      </x:c>
      <x:c r="AI416" s="3" t="str">
        <x:v>当時公表小売価格の参考残価率。実購入額ではない。年式/登録年・仕様差に注意。</x:v>
      </x:c>
      <x:c r="AJ416" s="3" t="str">
        <x:v>一覧価格/年式のみ</x:v>
      </x:c>
      <x:c r="AK416" s="3" t="str">
        <x:v>一覧の表示価格。年式は掲載年式。</x:v>
      </x:c>
      <x:c r="AL416" s="31" t="n">
        <x:f>IF(AND(J416&lt;='分析方法'!$B$7,OR(ISBLANK(O416),O416&gt;='分析方法'!$B$8),X416&lt;&gt;"売却済み表示"),1,0)</x:f>
        <x:v>1</x:v>
      </x:c>
      <x:c r="AM416" s="32" t="n">
        <x:f>IF(AL416=1,U416,"")</x:f>
        <x:v>699000</x:v>
      </x:c>
      <x:c r="AN416" s="33" t="n">
        <x:f>IF(AL416=1,AF416,"")</x:f>
        <x:v>0.6389396709323584</x:v>
      </x:c>
      <x:c r="AO416" s="31" t="n">
        <x:f>'分析方法'!$B$6-J416</x:f>
        <x:v>2</x:v>
      </x:c>
      <x:c r="AP416" s="3"/>
    </x:row>
    <x:row r="417" ht="22" customHeight="1">
      <x:c r="A417" s="3" t="str">
        <x:v>T2881491</x:v>
      </x:c>
      <x:c r="B417" s="7" t="d">
        <x:v>2026-10-08T00:00:00.000Z</x:v>
      </x:c>
      <x:c r="C417" s="3" t="str">
        <x:v>Taladrod</x:v>
      </x:c>
      <x:c r="D417" s="3" t="str">
        <x:v>Toyota</x:v>
      </x:c>
      <x:c r="E417" s="3" t="str">
        <x:v>日本</x:v>
      </x:c>
      <x:c r="F417" s="3" t="str">
        <x:v>Corolla Cross</x:v>
      </x:c>
      <x:c r="G417" s="3" t="str">
        <x:v>HEV</x:v>
      </x:c>
      <x:c r="H417" s="3" t="str">
        <x:v>SUV</x:v>
      </x:c>
      <x:c r="I417" s="3" t="str"/>
      <x:c r="J417" s="3" t="n">
        <x:v>2024</x:v>
      </x:c>
      <x:c r="K417" s="3" t="str">
        <x:v>1.8 HEV PREMIUM LUXURY</x:v>
      </x:c>
      <x:c r="L417" s="3" t="str">
        <x:v>HEV PREMIUM LUXURY</x:v>
      </x:c>
      <x:c r="M417" s="22"/>
      <x:c r="N417" s="22"/>
      <x:c r="O417" s="22"/>
      <x:c r="P417" s="3" t="str">
        <x:v>未掲載</x:v>
      </x:c>
      <x:c r="Q417" s="3" t="str">
        <x:v>未取得</x:v>
      </x:c>
      <x:c r="R417" s="3" t="str">
        <x:v>Unknown</x:v>
      </x:c>
      <x:c r="S417" s="3" t="str">
        <x:v>不明</x:v>
      </x:c>
      <x:c r="T417" s="3" t="str">
        <x:v>20-ปัจจุบัน</x:v>
      </x:c>
      <x:c r="U417" s="28" t="n">
        <x:v>899000</x:v>
      </x:c>
      <x:c r="V417" s="28" t="n">
        <x:v>1204000</x:v>
      </x:c>
      <x:c r="W417" s="3" t="str">
        <x:v>事故・水没・SOH・保証残は未確認</x:v>
      </x:c>
      <x:c r="X417" s="3" t="str">
        <x:v>掲載中・在庫未確認</x:v>
      </x:c>
      <x:c r="Y417" s="3" t="str"/>
      <x:c r="Z417" s="27" t="str">
        <x:v>https://www.taladrod.com/w40/icar/cardet.aspx?cid=2881491</x:v>
      </x:c>
      <x:c r="AA417" s="3" t="str">
        <x:v>Taladrod個別広告ID／Carsome在庫ID</x:v>
      </x:c>
      <x:c r="AB417" s="3" t="str">
        <x:v>車台番号未取得／サイト間重複は未判定</x:v>
      </x:c>
      <x:c r="AC417" s="3" t="str">
        <x:v>税込区分未確認（一覧表示額）</x:v>
      </x:c>
      <x:c r="AD417" s="3" t="str">
        <x:v>CROSS24_HEV PREMIUM LUXURY</x:v>
      </x:c>
      <x:c r="AE417" s="29" t="n">
        <x:f>'新車価格・特価'!K51</x:f>
        <x:v>1204000</x:v>
      </x:c>
      <x:c r="AF417" s="30" t="n">
        <x:f>IF(ISNUMBER(AE417),U417/AE417,"")</x:f>
        <x:v>0.7466777408637874</x:v>
      </x:c>
      <x:c r="AG417" s="29" t="n">
        <x:f>'新車価格・特価'!N55</x:f>
        <x:v>1204000</x:v>
      </x:c>
      <x:c r="AH417" s="30" t="n">
        <x:f>IF(ISNUMBER(AG417),U417/AG417,"")</x:f>
        <x:v>0.7466777408637874</x:v>
      </x:c>
      <x:c r="AI417" s="3" t="str">
        <x:v>当時公表小売価格の参考残価率。実購入額ではない。年式/登録年・仕様差に注意。</x:v>
      </x:c>
      <x:c r="AJ417" s="3" t="str">
        <x:v>一覧価格/年式のみ</x:v>
      </x:c>
      <x:c r="AK417" s="3" t="str">
        <x:v>一覧の表示価格。年式は掲載年式。</x:v>
      </x:c>
      <x:c r="AL417" s="31" t="n">
        <x:f>IF(AND(J417&lt;='分析方法'!$B$7,OR(ISBLANK(O417),O417&gt;='分析方法'!$B$8),X417&lt;&gt;"売却済み表示"),1,0)</x:f>
        <x:v>1</x:v>
      </x:c>
      <x:c r="AM417" s="32" t="n">
        <x:f>IF(AL417=1,U417,"")</x:f>
        <x:v>899000</x:v>
      </x:c>
      <x:c r="AN417" s="33" t="n">
        <x:f>IF(AL417=1,AF417,"")</x:f>
        <x:v>0.7466777408637874</x:v>
      </x:c>
      <x:c r="AO417" s="31" t="n">
        <x:f>'分析方法'!$B$6-J417</x:f>
        <x:v>2</x:v>
      </x:c>
      <x:c r="AP417" s="3"/>
    </x:row>
    <x:row r="418" ht="22" customHeight="1">
      <x:c r="A418" s="3" t="str">
        <x:v>T2897676</x:v>
      </x:c>
      <x:c r="B418" s="7" t="d">
        <x:v>2026-10-08T00:00:00.000Z</x:v>
      </x:c>
      <x:c r="C418" s="3" t="str">
        <x:v>Taladrod</x:v>
      </x:c>
      <x:c r="D418" s="3" t="str">
        <x:v>Toyota</x:v>
      </x:c>
      <x:c r="E418" s="3" t="str">
        <x:v>日本</x:v>
      </x:c>
      <x:c r="F418" s="3" t="str">
        <x:v>Corolla Cross</x:v>
      </x:c>
      <x:c r="G418" s="3" t="str">
        <x:v>HEV</x:v>
      </x:c>
      <x:c r="H418" s="3" t="str">
        <x:v>SUV</x:v>
      </x:c>
      <x:c r="I418" s="3" t="str"/>
      <x:c r="J418" s="3" t="n">
        <x:v>2024</x:v>
      </x:c>
      <x:c r="K418" s="3" t="str">
        <x:v>1.8 HEV PREMIUM LUXURY</x:v>
      </x:c>
      <x:c r="L418" s="3" t="str">
        <x:v>HEV PREMIUM LUXURY</x:v>
      </x:c>
      <x:c r="M418" s="22"/>
      <x:c r="N418" s="22"/>
      <x:c r="O418" s="22"/>
      <x:c r="P418" s="3" t="str">
        <x:v>未掲載</x:v>
      </x:c>
      <x:c r="Q418" s="3" t="str">
        <x:v>未取得</x:v>
      </x:c>
      <x:c r="R418" s="3" t="str">
        <x:v>Unknown</x:v>
      </x:c>
      <x:c r="S418" s="3" t="str">
        <x:v>不明</x:v>
      </x:c>
      <x:c r="T418" s="3" t="str">
        <x:v>20-ปัจจุบัน</x:v>
      </x:c>
      <x:c r="U418" s="28" t="n">
        <x:v>874000</x:v>
      </x:c>
      <x:c r="V418" s="28" t="n">
        <x:v>1204000</x:v>
      </x:c>
      <x:c r="W418" s="3" t="str">
        <x:v>事故・水没・SOH・保証残は未確認</x:v>
      </x:c>
      <x:c r="X418" s="3" t="str">
        <x:v>掲載中・在庫未確認</x:v>
      </x:c>
      <x:c r="Y418" s="3" t="str"/>
      <x:c r="Z418" s="27" t="str">
        <x:v>https://www.taladrod.com/w40/icar/cardet.aspx?cid=2897676</x:v>
      </x:c>
      <x:c r="AA418" s="3" t="str">
        <x:v>Taladrod個別広告ID／Carsome在庫ID</x:v>
      </x:c>
      <x:c r="AB418" s="3" t="str">
        <x:v>車台番号未取得／サイト間重複は未判定</x:v>
      </x:c>
      <x:c r="AC418" s="3" t="str">
        <x:v>税込区分未確認（一覧表示額）</x:v>
      </x:c>
      <x:c r="AD418" s="3" t="str">
        <x:v>CROSS24_HEV PREMIUM LUXURY</x:v>
      </x:c>
      <x:c r="AE418" s="29" t="n">
        <x:f>'新車価格・特価'!K51</x:f>
        <x:v>1204000</x:v>
      </x:c>
      <x:c r="AF418" s="30" t="n">
        <x:f>IF(ISNUMBER(AE418),U418/AE418,"")</x:f>
        <x:v>0.7259136212624585</x:v>
      </x:c>
      <x:c r="AG418" s="29" t="n">
        <x:f>'新車価格・特価'!N55</x:f>
        <x:v>1204000</x:v>
      </x:c>
      <x:c r="AH418" s="30" t="n">
        <x:f>IF(ISNUMBER(AG418),U418/AG418,"")</x:f>
        <x:v>0.7259136212624585</x:v>
      </x:c>
      <x:c r="AI418" s="3" t="str">
        <x:v>当時公表小売価格の参考残価率。実購入額ではない。年式/登録年・仕様差に注意。</x:v>
      </x:c>
      <x:c r="AJ418" s="3" t="str">
        <x:v>一覧価格/年式のみ</x:v>
      </x:c>
      <x:c r="AK418" s="3" t="str">
        <x:v>一覧の表示価格。年式は掲載年式。</x:v>
      </x:c>
      <x:c r="AL418" s="31" t="n">
        <x:f>IF(AND(J418&lt;='分析方法'!$B$7,OR(ISBLANK(O418),O418&gt;='分析方法'!$B$8),X418&lt;&gt;"売却済み表示"),1,0)</x:f>
        <x:v>1</x:v>
      </x:c>
      <x:c r="AM418" s="32" t="n">
        <x:f>IF(AL418=1,U418,"")</x:f>
        <x:v>874000</x:v>
      </x:c>
      <x:c r="AN418" s="33" t="n">
        <x:f>IF(AL418=1,AF418,"")</x:f>
        <x:v>0.7259136212624585</x:v>
      </x:c>
      <x:c r="AO418" s="31" t="n">
        <x:f>'分析方法'!$B$6-J418</x:f>
        <x:v>2</x:v>
      </x:c>
      <x:c r="AP418" s="3"/>
    </x:row>
    <x:row r="419" ht="22" customHeight="1">
      <x:c r="A419" s="3" t="str">
        <x:v>T2899244</x:v>
      </x:c>
      <x:c r="B419" s="7" t="d">
        <x:v>2026-10-08T00:00:00.000Z</x:v>
      </x:c>
      <x:c r="C419" s="3" t="str">
        <x:v>Taladrod</x:v>
      </x:c>
      <x:c r="D419" s="3" t="str">
        <x:v>Toyota</x:v>
      </x:c>
      <x:c r="E419" s="3" t="str">
        <x:v>日本</x:v>
      </x:c>
      <x:c r="F419" s="3" t="str">
        <x:v>Corolla Cross</x:v>
      </x:c>
      <x:c r="G419" s="3" t="str">
        <x:v>HEV</x:v>
      </x:c>
      <x:c r="H419" s="3" t="str">
        <x:v>SUV</x:v>
      </x:c>
      <x:c r="I419" s="3" t="str"/>
      <x:c r="J419" s="3" t="n">
        <x:v>2024</x:v>
      </x:c>
      <x:c r="K419" s="3" t="str">
        <x:v>1.8 HEV PREMIUM LUXURY</x:v>
      </x:c>
      <x:c r="L419" s="3" t="str">
        <x:v>HEV PREMIUM LUXURY</x:v>
      </x:c>
      <x:c r="M419" s="22"/>
      <x:c r="N419" s="22"/>
      <x:c r="O419" s="22"/>
      <x:c r="P419" s="3" t="str">
        <x:v>未掲載</x:v>
      </x:c>
      <x:c r="Q419" s="3" t="str">
        <x:v>未取得</x:v>
      </x:c>
      <x:c r="R419" s="3" t="str">
        <x:v>Unknown</x:v>
      </x:c>
      <x:c r="S419" s="3" t="str">
        <x:v>不明</x:v>
      </x:c>
      <x:c r="T419" s="3" t="str">
        <x:v>20-ปัจจุบัน</x:v>
      </x:c>
      <x:c r="U419" s="28" t="n">
        <x:v>919000</x:v>
      </x:c>
      <x:c r="V419" s="28" t="n">
        <x:v>1204000</x:v>
      </x:c>
      <x:c r="W419" s="3" t="str">
        <x:v>事故・水没・SOH・保証残は未確認</x:v>
      </x:c>
      <x:c r="X419" s="3" t="str">
        <x:v>掲載中・在庫未確認</x:v>
      </x:c>
      <x:c r="Y419" s="3" t="str"/>
      <x:c r="Z419" s="27" t="str">
        <x:v>https://www.taladrod.com/w40/icar/cardet.aspx?cid=2899244</x:v>
      </x:c>
      <x:c r="AA419" s="3" t="str">
        <x:v>Taladrod個別広告ID／Carsome在庫ID</x:v>
      </x:c>
      <x:c r="AB419" s="3" t="str">
        <x:v>車台番号未取得／サイト間重複は未判定</x:v>
      </x:c>
      <x:c r="AC419" s="3" t="str">
        <x:v>税込区分未確認（一覧表示額）</x:v>
      </x:c>
      <x:c r="AD419" s="3" t="str">
        <x:v>CROSS24_HEV PREMIUM LUXURY</x:v>
      </x:c>
      <x:c r="AE419" s="29" t="n">
        <x:f>'新車価格・特価'!K51</x:f>
        <x:v>1204000</x:v>
      </x:c>
      <x:c r="AF419" s="30" t="n">
        <x:f>IF(ISNUMBER(AE419),U419/AE419,"")</x:f>
        <x:v>0.7632890365448505</x:v>
      </x:c>
      <x:c r="AG419" s="29" t="n">
        <x:f>'新車価格・特価'!N55</x:f>
        <x:v>1204000</x:v>
      </x:c>
      <x:c r="AH419" s="30" t="n">
        <x:f>IF(ISNUMBER(AG419),U419/AG419,"")</x:f>
        <x:v>0.7632890365448505</x:v>
      </x:c>
      <x:c r="AI419" s="3" t="str">
        <x:v>当時公表小売価格の参考残価率。実購入額ではない。年式/登録年・仕様差に注意。</x:v>
      </x:c>
      <x:c r="AJ419" s="3" t="str">
        <x:v>一覧価格/年式のみ</x:v>
      </x:c>
      <x:c r="AK419" s="3" t="str">
        <x:v>一覧の表示価格。年式は掲載年式。</x:v>
      </x:c>
      <x:c r="AL419" s="31" t="n">
        <x:f>IF(AND(J419&lt;='分析方法'!$B$7,OR(ISBLANK(O419),O419&gt;='分析方法'!$B$8),X419&lt;&gt;"売却済み表示"),1,0)</x:f>
        <x:v>1</x:v>
      </x:c>
      <x:c r="AM419" s="32" t="n">
        <x:f>IF(AL419=1,U419,"")</x:f>
        <x:v>919000</x:v>
      </x:c>
      <x:c r="AN419" s="33" t="n">
        <x:f>IF(AL419=1,AF419,"")</x:f>
        <x:v>0.7632890365448505</x:v>
      </x:c>
      <x:c r="AO419" s="31" t="n">
        <x:f>'分析方法'!$B$6-J419</x:f>
        <x:v>2</x:v>
      </x:c>
      <x:c r="AP419" s="3"/>
    </x:row>
    <x:row r="420" ht="22" customHeight="1">
      <x:c r="A420" s="3" t="str">
        <x:v>T2910447</x:v>
      </x:c>
      <x:c r="B420" s="7" t="d">
        <x:v>2026-10-08T00:00:00.000Z</x:v>
      </x:c>
      <x:c r="C420" s="3" t="str">
        <x:v>Taladrod</x:v>
      </x:c>
      <x:c r="D420" s="3" t="str">
        <x:v>Toyota</x:v>
      </x:c>
      <x:c r="E420" s="3" t="str">
        <x:v>日本</x:v>
      </x:c>
      <x:c r="F420" s="3" t="str">
        <x:v>Corolla Cross</x:v>
      </x:c>
      <x:c r="G420" s="3" t="str">
        <x:v>HEV</x:v>
      </x:c>
      <x:c r="H420" s="3" t="str">
        <x:v>SUV</x:v>
      </x:c>
      <x:c r="I420" s="3" t="str"/>
      <x:c r="J420" s="3" t="n">
        <x:v>2024</x:v>
      </x:c>
      <x:c r="K420" s="3" t="str">
        <x:v>1.8 HEV PREMIUM LUXURY</x:v>
      </x:c>
      <x:c r="L420" s="3" t="str">
        <x:v>HEV PREMIUM LUXURY</x:v>
      </x:c>
      <x:c r="M420" s="22"/>
      <x:c r="N420" s="22"/>
      <x:c r="O420" s="22"/>
      <x:c r="P420" s="3" t="str">
        <x:v>未掲載</x:v>
      </x:c>
      <x:c r="Q420" s="3" t="str">
        <x:v>未取得</x:v>
      </x:c>
      <x:c r="R420" s="3" t="str">
        <x:v>Unknown</x:v>
      </x:c>
      <x:c r="S420" s="3" t="str">
        <x:v>不明</x:v>
      </x:c>
      <x:c r="T420" s="3" t="str">
        <x:v>20-ปัจจุบัน</x:v>
      </x:c>
      <x:c r="U420" s="28" t="n">
        <x:v>859000</x:v>
      </x:c>
      <x:c r="V420" s="28" t="n">
        <x:v>1204000</x:v>
      </x:c>
      <x:c r="W420" s="3" t="str">
        <x:v>事故・水没・SOH・保証残は未確認</x:v>
      </x:c>
      <x:c r="X420" s="3" t="str">
        <x:v>掲載中・在庫未確認</x:v>
      </x:c>
      <x:c r="Y420" s="3" t="str"/>
      <x:c r="Z420" s="27" t="str">
        <x:v>https://www.taladrod.com/w40/icar/cardet.aspx?cid=2910447</x:v>
      </x:c>
      <x:c r="AA420" s="3" t="str">
        <x:v>Taladrod個別広告ID／Carsome在庫ID</x:v>
      </x:c>
      <x:c r="AB420" s="3" t="str">
        <x:v>車台番号未取得／サイト間重複は未判定</x:v>
      </x:c>
      <x:c r="AC420" s="3" t="str">
        <x:v>税込区分未確認（一覧表示額）</x:v>
      </x:c>
      <x:c r="AD420" s="3" t="str">
        <x:v>CROSS24_HEV PREMIUM LUXURY</x:v>
      </x:c>
      <x:c r="AE420" s="29" t="n">
        <x:f>'新車価格・特価'!K51</x:f>
        <x:v>1204000</x:v>
      </x:c>
      <x:c r="AF420" s="30" t="n">
        <x:f>IF(ISNUMBER(AE420),U420/AE420,"")</x:f>
        <x:v>0.7134551495016611</x:v>
      </x:c>
      <x:c r="AG420" s="29" t="n">
        <x:f>'新車価格・特価'!N55</x:f>
        <x:v>1204000</x:v>
      </x:c>
      <x:c r="AH420" s="30" t="n">
        <x:f>IF(ISNUMBER(AG420),U420/AG420,"")</x:f>
        <x:v>0.7134551495016611</x:v>
      </x:c>
      <x:c r="AI420" s="3" t="str">
        <x:v>当時公表小売価格の参考残価率。実購入額ではない。年式/登録年・仕様差に注意。</x:v>
      </x:c>
      <x:c r="AJ420" s="3" t="str">
        <x:v>一覧価格/年式のみ</x:v>
      </x:c>
      <x:c r="AK420" s="3" t="str">
        <x:v>一覧の表示価格。年式は掲載年式。</x:v>
      </x:c>
      <x:c r="AL420" s="31" t="n">
        <x:f>IF(AND(J420&lt;='分析方法'!$B$7,OR(ISBLANK(O420),O420&gt;='分析方法'!$B$8),X420&lt;&gt;"売却済み表示"),1,0)</x:f>
        <x:v>1</x:v>
      </x:c>
      <x:c r="AM420" s="32" t="n">
        <x:f>IF(AL420=1,U420,"")</x:f>
        <x:v>859000</x:v>
      </x:c>
      <x:c r="AN420" s="33" t="n">
        <x:f>IF(AL420=1,AF420,"")</x:f>
        <x:v>0.7134551495016611</x:v>
      </x:c>
      <x:c r="AO420" s="31" t="n">
        <x:f>'分析方法'!$B$6-J420</x:f>
        <x:v>2</x:v>
      </x:c>
      <x:c r="AP420" s="3"/>
    </x:row>
    <x:row r="421" ht="22" customHeight="1">
      <x:c r="A421" s="3" t="str">
        <x:v>T2913006</x:v>
      </x:c>
      <x:c r="B421" s="7" t="d">
        <x:v>2026-10-08T00:00:00.000Z</x:v>
      </x:c>
      <x:c r="C421" s="3" t="str">
        <x:v>Taladrod</x:v>
      </x:c>
      <x:c r="D421" s="3" t="str">
        <x:v>Toyota</x:v>
      </x:c>
      <x:c r="E421" s="3" t="str">
        <x:v>日本</x:v>
      </x:c>
      <x:c r="F421" s="3" t="str">
        <x:v>Corolla Cross</x:v>
      </x:c>
      <x:c r="G421" s="3" t="str">
        <x:v>HEV</x:v>
      </x:c>
      <x:c r="H421" s="3" t="str">
        <x:v>SUV</x:v>
      </x:c>
      <x:c r="I421" s="3" t="str"/>
      <x:c r="J421" s="3" t="n">
        <x:v>2024</x:v>
      </x:c>
      <x:c r="K421" s="3" t="str">
        <x:v>1.8 HEV PREMIUM LUXURY</x:v>
      </x:c>
      <x:c r="L421" s="3" t="str">
        <x:v>HEV PREMIUM LUXURY</x:v>
      </x:c>
      <x:c r="M421" s="22"/>
      <x:c r="N421" s="22"/>
      <x:c r="O421" s="22"/>
      <x:c r="P421" s="3" t="str">
        <x:v>未掲載</x:v>
      </x:c>
      <x:c r="Q421" s="3" t="str">
        <x:v>未取得</x:v>
      </x:c>
      <x:c r="R421" s="3" t="str">
        <x:v>Unknown</x:v>
      </x:c>
      <x:c r="S421" s="3" t="str">
        <x:v>不明</x:v>
      </x:c>
      <x:c r="T421" s="3" t="str">
        <x:v>20-ปัจจุบัน</x:v>
      </x:c>
      <x:c r="U421" s="28" t="n">
        <x:v>899000</x:v>
      </x:c>
      <x:c r="V421" s="28" t="n">
        <x:v>1204000</x:v>
      </x:c>
      <x:c r="W421" s="3" t="str">
        <x:v>事故・水没・SOH・保証残は未確認</x:v>
      </x:c>
      <x:c r="X421" s="3" t="str">
        <x:v>掲載中・在庫未確認</x:v>
      </x:c>
      <x:c r="Y421" s="3" t="str"/>
      <x:c r="Z421" s="27" t="str">
        <x:v>https://www.taladrod.com/w40/icar/cardet.aspx?cid=2913006</x:v>
      </x:c>
      <x:c r="AA421" s="3" t="str">
        <x:v>Taladrod個別広告ID／Carsome在庫ID</x:v>
      </x:c>
      <x:c r="AB421" s="3" t="str">
        <x:v>車台番号未取得／サイト間重複は未判定</x:v>
      </x:c>
      <x:c r="AC421" s="3" t="str">
        <x:v>税込区分未確認（一覧表示額）</x:v>
      </x:c>
      <x:c r="AD421" s="3" t="str">
        <x:v>CROSS24_HEV PREMIUM LUXURY</x:v>
      </x:c>
      <x:c r="AE421" s="29" t="n">
        <x:f>'新車価格・特価'!K51</x:f>
        <x:v>1204000</x:v>
      </x:c>
      <x:c r="AF421" s="30" t="n">
        <x:f>IF(ISNUMBER(AE421),U421/AE421,"")</x:f>
        <x:v>0.7466777408637874</x:v>
      </x:c>
      <x:c r="AG421" s="29" t="n">
        <x:f>'新車価格・特価'!N55</x:f>
        <x:v>1204000</x:v>
      </x:c>
      <x:c r="AH421" s="30" t="n">
        <x:f>IF(ISNUMBER(AG421),U421/AG421,"")</x:f>
        <x:v>0.7466777408637874</x:v>
      </x:c>
      <x:c r="AI421" s="3" t="str">
        <x:v>当時公表小売価格の参考残価率。実購入額ではない。年式/登録年・仕様差に注意。</x:v>
      </x:c>
      <x:c r="AJ421" s="3" t="str">
        <x:v>一覧価格/年式のみ</x:v>
      </x:c>
      <x:c r="AK421" s="3" t="str">
        <x:v>一覧の表示価格。年式は掲載年式。</x:v>
      </x:c>
      <x:c r="AL421" s="31" t="n">
        <x:f>IF(AND(J421&lt;='分析方法'!$B$7,OR(ISBLANK(O421),O421&gt;='分析方法'!$B$8),X421&lt;&gt;"売却済み表示"),1,0)</x:f>
        <x:v>1</x:v>
      </x:c>
      <x:c r="AM421" s="32" t="n">
        <x:f>IF(AL421=1,U421,"")</x:f>
        <x:v>899000</x:v>
      </x:c>
      <x:c r="AN421" s="33" t="n">
        <x:f>IF(AL421=1,AF421,"")</x:f>
        <x:v>0.7466777408637874</x:v>
      </x:c>
      <x:c r="AO421" s="31" t="n">
        <x:f>'分析方法'!$B$6-J421</x:f>
        <x:v>2</x:v>
      </x:c>
      <x:c r="AP421" s="3"/>
    </x:row>
    <x:row r="422" ht="22" customHeight="1">
      <x:c r="A422" s="3" t="str">
        <x:v>T2918463</x:v>
      </x:c>
      <x:c r="B422" s="7" t="d">
        <x:v>2026-10-08T00:00:00.000Z</x:v>
      </x:c>
      <x:c r="C422" s="3" t="str">
        <x:v>Taladrod</x:v>
      </x:c>
      <x:c r="D422" s="3" t="str">
        <x:v>Toyota</x:v>
      </x:c>
      <x:c r="E422" s="3" t="str">
        <x:v>日本</x:v>
      </x:c>
      <x:c r="F422" s="3" t="str">
        <x:v>Corolla Cross</x:v>
      </x:c>
      <x:c r="G422" s="3" t="str">
        <x:v>HEV</x:v>
      </x:c>
      <x:c r="H422" s="3" t="str">
        <x:v>SUV</x:v>
      </x:c>
      <x:c r="I422" s="3" t="str"/>
      <x:c r="J422" s="3" t="n">
        <x:v>2024</x:v>
      </x:c>
      <x:c r="K422" s="3" t="str">
        <x:v>1.8 HEV PREMIUM LUXURY</x:v>
      </x:c>
      <x:c r="L422" s="3" t="str">
        <x:v>HEV PREMIUM LUXURY</x:v>
      </x:c>
      <x:c r="M422" s="22"/>
      <x:c r="N422" s="22"/>
      <x:c r="O422" s="22"/>
      <x:c r="P422" s="3" t="str">
        <x:v>未掲載</x:v>
      </x:c>
      <x:c r="Q422" s="3" t="str">
        <x:v>未取得</x:v>
      </x:c>
      <x:c r="R422" s="3" t="str">
        <x:v>Unknown</x:v>
      </x:c>
      <x:c r="S422" s="3" t="str">
        <x:v>不明</x:v>
      </x:c>
      <x:c r="T422" s="3" t="str">
        <x:v>20-ปัจจุบัน</x:v>
      </x:c>
      <x:c r="U422" s="28" t="n">
        <x:v>879000</x:v>
      </x:c>
      <x:c r="V422" s="28" t="n">
        <x:v>1204000</x:v>
      </x:c>
      <x:c r="W422" s="3" t="str">
        <x:v>事故・水没・SOH・保証残は未確認</x:v>
      </x:c>
      <x:c r="X422" s="3" t="str">
        <x:v>掲載中・在庫未確認</x:v>
      </x:c>
      <x:c r="Y422" s="3" t="str"/>
      <x:c r="Z422" s="27" t="str">
        <x:v>https://www.taladrod.com/w40/icar/cardet.aspx?cid=2918463</x:v>
      </x:c>
      <x:c r="AA422" s="3" t="str">
        <x:v>Taladrod個別広告ID／Carsome在庫ID</x:v>
      </x:c>
      <x:c r="AB422" s="3" t="str">
        <x:v>車台番号未取得／サイト間重複は未判定</x:v>
      </x:c>
      <x:c r="AC422" s="3" t="str">
        <x:v>税込区分未確認（一覧表示額）</x:v>
      </x:c>
      <x:c r="AD422" s="3" t="str">
        <x:v>CROSS24_HEV PREMIUM LUXURY</x:v>
      </x:c>
      <x:c r="AE422" s="29" t="n">
        <x:f>'新車価格・特価'!K51</x:f>
        <x:v>1204000</x:v>
      </x:c>
      <x:c r="AF422" s="30" t="n">
        <x:f>IF(ISNUMBER(AE422),U422/AE422,"")</x:f>
        <x:v>0.7300664451827242</x:v>
      </x:c>
      <x:c r="AG422" s="29" t="n">
        <x:f>'新車価格・特価'!N55</x:f>
        <x:v>1204000</x:v>
      </x:c>
      <x:c r="AH422" s="30" t="n">
        <x:f>IF(ISNUMBER(AG422),U422/AG422,"")</x:f>
        <x:v>0.7300664451827242</x:v>
      </x:c>
      <x:c r="AI422" s="3" t="str">
        <x:v>当時公表小売価格の参考残価率。実購入額ではない。年式/登録年・仕様差に注意。</x:v>
      </x:c>
      <x:c r="AJ422" s="3" t="str">
        <x:v>一覧価格/年式のみ</x:v>
      </x:c>
      <x:c r="AK422" s="3" t="str">
        <x:v>一覧の表示価格。年式は掲載年式。</x:v>
      </x:c>
      <x:c r="AL422" s="31" t="n">
        <x:f>IF(AND(J422&lt;='分析方法'!$B$7,OR(ISBLANK(O422),O422&gt;='分析方法'!$B$8),X422&lt;&gt;"売却済み表示"),1,0)</x:f>
        <x:v>1</x:v>
      </x:c>
      <x:c r="AM422" s="32" t="n">
        <x:f>IF(AL422=1,U422,"")</x:f>
        <x:v>879000</x:v>
      </x:c>
      <x:c r="AN422" s="33" t="n">
        <x:f>IF(AL422=1,AF422,"")</x:f>
        <x:v>0.7300664451827242</x:v>
      </x:c>
      <x:c r="AO422" s="31" t="n">
        <x:f>'分析方法'!$B$6-J422</x:f>
        <x:v>2</x:v>
      </x:c>
      <x:c r="AP422" s="3"/>
    </x:row>
    <x:row r="423" ht="22" customHeight="1">
      <x:c r="A423" s="3" t="str">
        <x:v>T2922710</x:v>
      </x:c>
      <x:c r="B423" s="7" t="d">
        <x:v>2026-10-08T00:00:00.000Z</x:v>
      </x:c>
      <x:c r="C423" s="3" t="str">
        <x:v>Taladrod</x:v>
      </x:c>
      <x:c r="D423" s="3" t="str">
        <x:v>Toyota</x:v>
      </x:c>
      <x:c r="E423" s="3" t="str">
        <x:v>日本</x:v>
      </x:c>
      <x:c r="F423" s="3" t="str">
        <x:v>Corolla Cross</x:v>
      </x:c>
      <x:c r="G423" s="3" t="str">
        <x:v>HEV</x:v>
      </x:c>
      <x:c r="H423" s="3" t="str">
        <x:v>SUV</x:v>
      </x:c>
      <x:c r="I423" s="3" t="str"/>
      <x:c r="J423" s="3" t="n">
        <x:v>2024</x:v>
      </x:c>
      <x:c r="K423" s="3" t="str">
        <x:v>1.8 HEV PREMIUM LUXURY</x:v>
      </x:c>
      <x:c r="L423" s="3" t="str">
        <x:v>HEV PREMIUM LUXURY</x:v>
      </x:c>
      <x:c r="M423" s="22"/>
      <x:c r="N423" s="22"/>
      <x:c r="O423" s="22"/>
      <x:c r="P423" s="3" t="str">
        <x:v>未掲載</x:v>
      </x:c>
      <x:c r="Q423" s="3" t="str">
        <x:v>未取得</x:v>
      </x:c>
      <x:c r="R423" s="3" t="str">
        <x:v>Unknown</x:v>
      </x:c>
      <x:c r="S423" s="3" t="str">
        <x:v>不明</x:v>
      </x:c>
      <x:c r="T423" s="3" t="str">
        <x:v>20-ปัจจุบัน</x:v>
      </x:c>
      <x:c r="U423" s="28" t="n">
        <x:v>899000</x:v>
      </x:c>
      <x:c r="V423" s="28" t="n">
        <x:v>1204000</x:v>
      </x:c>
      <x:c r="W423" s="3" t="str">
        <x:v>事故・水没・SOH・保証残は未確認</x:v>
      </x:c>
      <x:c r="X423" s="3" t="str">
        <x:v>掲載中・在庫未確認</x:v>
      </x:c>
      <x:c r="Y423" s="3" t="str"/>
      <x:c r="Z423" s="27" t="str">
        <x:v>https://www.taladrod.com/w40/icar/cardet.aspx?cid=2922710</x:v>
      </x:c>
      <x:c r="AA423" s="3" t="str">
        <x:v>Taladrod個別広告ID／Carsome在庫ID</x:v>
      </x:c>
      <x:c r="AB423" s="3" t="str">
        <x:v>車台番号未取得／サイト間重複は未判定</x:v>
      </x:c>
      <x:c r="AC423" s="3" t="str">
        <x:v>税込区分未確認（一覧表示額）</x:v>
      </x:c>
      <x:c r="AD423" s="3" t="str">
        <x:v>CROSS24_HEV PREMIUM LUXURY</x:v>
      </x:c>
      <x:c r="AE423" s="29" t="n">
        <x:f>'新車価格・特価'!K51</x:f>
        <x:v>1204000</x:v>
      </x:c>
      <x:c r="AF423" s="30" t="n">
        <x:f>IF(ISNUMBER(AE423),U423/AE423,"")</x:f>
        <x:v>0.7466777408637874</x:v>
      </x:c>
      <x:c r="AG423" s="29" t="n">
        <x:f>'新車価格・特価'!N55</x:f>
        <x:v>1204000</x:v>
      </x:c>
      <x:c r="AH423" s="30" t="n">
        <x:f>IF(ISNUMBER(AG423),U423/AG423,"")</x:f>
        <x:v>0.7466777408637874</x:v>
      </x:c>
      <x:c r="AI423" s="3" t="str">
        <x:v>当時公表小売価格の参考残価率。実購入額ではない。年式/登録年・仕様差に注意。</x:v>
      </x:c>
      <x:c r="AJ423" s="3" t="str">
        <x:v>一覧価格/年式のみ</x:v>
      </x:c>
      <x:c r="AK423" s="3" t="str">
        <x:v>一覧の表示価格。年式は掲載年式。</x:v>
      </x:c>
      <x:c r="AL423" s="31" t="n">
        <x:f>IF(AND(J423&lt;='分析方法'!$B$7,OR(ISBLANK(O423),O423&gt;='分析方法'!$B$8),X423&lt;&gt;"売却済み表示"),1,0)</x:f>
        <x:v>1</x:v>
      </x:c>
      <x:c r="AM423" s="32" t="n">
        <x:f>IF(AL423=1,U423,"")</x:f>
        <x:v>899000</x:v>
      </x:c>
      <x:c r="AN423" s="33" t="n">
        <x:f>IF(AL423=1,AF423,"")</x:f>
        <x:v>0.7466777408637874</x:v>
      </x:c>
      <x:c r="AO423" s="31" t="n">
        <x:f>'分析方法'!$B$6-J423</x:f>
        <x:v>2</x:v>
      </x:c>
      <x:c r="AP423" s="3"/>
    </x:row>
    <x:row r="424" ht="22" customHeight="1">
      <x:c r="A424" s="3" t="str">
        <x:v>T2923169</x:v>
      </x:c>
      <x:c r="B424" s="7" t="d">
        <x:v>2026-10-08T00:00:00.000Z</x:v>
      </x:c>
      <x:c r="C424" s="3" t="str">
        <x:v>Taladrod</x:v>
      </x:c>
      <x:c r="D424" s="3" t="str">
        <x:v>Toyota</x:v>
      </x:c>
      <x:c r="E424" s="3" t="str">
        <x:v>日本</x:v>
      </x:c>
      <x:c r="F424" s="3" t="str">
        <x:v>Corolla Cross</x:v>
      </x:c>
      <x:c r="G424" s="3" t="str">
        <x:v>HEV</x:v>
      </x:c>
      <x:c r="H424" s="3" t="str">
        <x:v>SUV</x:v>
      </x:c>
      <x:c r="I424" s="3" t="str"/>
      <x:c r="J424" s="3" t="n">
        <x:v>2024</x:v>
      </x:c>
      <x:c r="K424" s="3" t="str">
        <x:v>1.8 HEV PREMIUM LUXURY</x:v>
      </x:c>
      <x:c r="L424" s="3" t="str">
        <x:v>HEV PREMIUM LUXURY</x:v>
      </x:c>
      <x:c r="M424" s="22"/>
      <x:c r="N424" s="22"/>
      <x:c r="O424" s="22"/>
      <x:c r="P424" s="3" t="str">
        <x:v>未掲載</x:v>
      </x:c>
      <x:c r="Q424" s="3" t="str">
        <x:v>未取得</x:v>
      </x:c>
      <x:c r="R424" s="3" t="str">
        <x:v>Unknown</x:v>
      </x:c>
      <x:c r="S424" s="3" t="str">
        <x:v>不明</x:v>
      </x:c>
      <x:c r="T424" s="3" t="str">
        <x:v>20-ปัจจุบัน</x:v>
      </x:c>
      <x:c r="U424" s="28" t="n">
        <x:v>885000</x:v>
      </x:c>
      <x:c r="V424" s="28" t="n">
        <x:v>1204000</x:v>
      </x:c>
      <x:c r="W424" s="3" t="str">
        <x:v>事故・水没・SOH・保証残は未確認</x:v>
      </x:c>
      <x:c r="X424" s="3" t="str">
        <x:v>掲載中・在庫未確認</x:v>
      </x:c>
      <x:c r="Y424" s="3" t="str"/>
      <x:c r="Z424" s="27" t="str">
        <x:v>https://www.taladrod.com/w40/icar/cardet.aspx?cid=2923169</x:v>
      </x:c>
      <x:c r="AA424" s="3" t="str">
        <x:v>Taladrod個別広告ID／Carsome在庫ID</x:v>
      </x:c>
      <x:c r="AB424" s="3" t="str">
        <x:v>車台番号未取得／サイト間重複は未判定</x:v>
      </x:c>
      <x:c r="AC424" s="3" t="str">
        <x:v>税込区分未確認（一覧表示額）</x:v>
      </x:c>
      <x:c r="AD424" s="3" t="str">
        <x:v>CROSS24_HEV PREMIUM LUXURY</x:v>
      </x:c>
      <x:c r="AE424" s="29" t="n">
        <x:f>'新車価格・特価'!K51</x:f>
        <x:v>1204000</x:v>
      </x:c>
      <x:c r="AF424" s="30" t="n">
        <x:f>IF(ISNUMBER(AE424),U424/AE424,"")</x:f>
        <x:v>0.7350498338870431</x:v>
      </x:c>
      <x:c r="AG424" s="29" t="n">
        <x:f>'新車価格・特価'!N55</x:f>
        <x:v>1204000</x:v>
      </x:c>
      <x:c r="AH424" s="30" t="n">
        <x:f>IF(ISNUMBER(AG424),U424/AG424,"")</x:f>
        <x:v>0.7350498338870431</x:v>
      </x:c>
      <x:c r="AI424" s="3" t="str">
        <x:v>当時公表小売価格の参考残価率。実購入額ではない。年式/登録年・仕様差に注意。</x:v>
      </x:c>
      <x:c r="AJ424" s="3" t="str">
        <x:v>一覧価格/年式のみ</x:v>
      </x:c>
      <x:c r="AK424" s="3" t="str">
        <x:v>一覧の表示価格。年式は掲載年式。</x:v>
      </x:c>
      <x:c r="AL424" s="31" t="n">
        <x:f>IF(AND(J424&lt;='分析方法'!$B$7,OR(ISBLANK(O424),O424&gt;='分析方法'!$B$8),X424&lt;&gt;"売却済み表示"),1,0)</x:f>
        <x:v>1</x:v>
      </x:c>
      <x:c r="AM424" s="32" t="n">
        <x:f>IF(AL424=1,U424,"")</x:f>
        <x:v>885000</x:v>
      </x:c>
      <x:c r="AN424" s="33" t="n">
        <x:f>IF(AL424=1,AF424,"")</x:f>
        <x:v>0.7350498338870431</x:v>
      </x:c>
      <x:c r="AO424" s="31" t="n">
        <x:f>'分析方法'!$B$6-J424</x:f>
        <x:v>2</x:v>
      </x:c>
      <x:c r="AP424" s="3"/>
    </x:row>
    <x:row r="425" ht="22" customHeight="1">
      <x:c r="A425" s="3" t="str">
        <x:v>T2926049</x:v>
      </x:c>
      <x:c r="B425" s="7" t="d">
        <x:v>2026-10-08T00:00:00.000Z</x:v>
      </x:c>
      <x:c r="C425" s="3" t="str">
        <x:v>Taladrod</x:v>
      </x:c>
      <x:c r="D425" s="3" t="str">
        <x:v>Toyota</x:v>
      </x:c>
      <x:c r="E425" s="3" t="str">
        <x:v>日本</x:v>
      </x:c>
      <x:c r="F425" s="3" t="str">
        <x:v>Corolla Cross</x:v>
      </x:c>
      <x:c r="G425" s="3" t="str">
        <x:v>HEV</x:v>
      </x:c>
      <x:c r="H425" s="3" t="str">
        <x:v>SUV</x:v>
      </x:c>
      <x:c r="I425" s="3" t="str"/>
      <x:c r="J425" s="3" t="n">
        <x:v>2024</x:v>
      </x:c>
      <x:c r="K425" s="3" t="str">
        <x:v>1.8 HEV PREMIUM LUXURY</x:v>
      </x:c>
      <x:c r="L425" s="3" t="str">
        <x:v>HEV PREMIUM LUXURY</x:v>
      </x:c>
      <x:c r="M425" s="22"/>
      <x:c r="N425" s="22"/>
      <x:c r="O425" s="22"/>
      <x:c r="P425" s="3" t="str">
        <x:v>未掲載</x:v>
      </x:c>
      <x:c r="Q425" s="3" t="str">
        <x:v>未取得</x:v>
      </x:c>
      <x:c r="R425" s="3" t="str">
        <x:v>Unknown</x:v>
      </x:c>
      <x:c r="S425" s="3" t="str">
        <x:v>不明</x:v>
      </x:c>
      <x:c r="T425" s="3" t="str">
        <x:v>20-ปัจจุบัน</x:v>
      </x:c>
      <x:c r="U425" s="28" t="n">
        <x:v>898000</x:v>
      </x:c>
      <x:c r="V425" s="28" t="n">
        <x:v>1204000</x:v>
      </x:c>
      <x:c r="W425" s="3" t="str">
        <x:v>事故・水没・SOH・保証残は未確認</x:v>
      </x:c>
      <x:c r="X425" s="3" t="str">
        <x:v>掲載中・在庫未確認</x:v>
      </x:c>
      <x:c r="Y425" s="3" t="str"/>
      <x:c r="Z425" s="27" t="str">
        <x:v>https://www.taladrod.com/w40/icar/cardet.aspx?cid=2926049</x:v>
      </x:c>
      <x:c r="AA425" s="3" t="str">
        <x:v>Taladrod個別広告ID／Carsome在庫ID</x:v>
      </x:c>
      <x:c r="AB425" s="3" t="str">
        <x:v>車台番号未取得／サイト間重複は未判定</x:v>
      </x:c>
      <x:c r="AC425" s="3" t="str">
        <x:v>税込区分未確認（一覧表示額）</x:v>
      </x:c>
      <x:c r="AD425" s="3" t="str">
        <x:v>CROSS24_HEV PREMIUM LUXURY</x:v>
      </x:c>
      <x:c r="AE425" s="29" t="n">
        <x:f>'新車価格・特価'!K51</x:f>
        <x:v>1204000</x:v>
      </x:c>
      <x:c r="AF425" s="30" t="n">
        <x:f>IF(ISNUMBER(AE425),U425/AE425,"")</x:f>
        <x:v>0.7458471760797342</x:v>
      </x:c>
      <x:c r="AG425" s="29" t="n">
        <x:f>'新車価格・特価'!N55</x:f>
        <x:v>1204000</x:v>
      </x:c>
      <x:c r="AH425" s="30" t="n">
        <x:f>IF(ISNUMBER(AG425),U425/AG425,"")</x:f>
        <x:v>0.7458471760797342</x:v>
      </x:c>
      <x:c r="AI425" s="3" t="str">
        <x:v>当時公表小売価格の参考残価率。実購入額ではない。年式/登録年・仕様差に注意。</x:v>
      </x:c>
      <x:c r="AJ425" s="3" t="str">
        <x:v>一覧価格/年式のみ</x:v>
      </x:c>
      <x:c r="AK425" s="3" t="str">
        <x:v>一覧の表示価格。年式は掲載年式。</x:v>
      </x:c>
      <x:c r="AL425" s="31" t="n">
        <x:f>IF(AND(J425&lt;='分析方法'!$B$7,OR(ISBLANK(O425),O425&gt;='分析方法'!$B$8),X425&lt;&gt;"売却済み表示"),1,0)</x:f>
        <x:v>1</x:v>
      </x:c>
      <x:c r="AM425" s="32" t="n">
        <x:f>IF(AL425=1,U425,"")</x:f>
        <x:v>898000</x:v>
      </x:c>
      <x:c r="AN425" s="33" t="n">
        <x:f>IF(AL425=1,AF425,"")</x:f>
        <x:v>0.7458471760797342</x:v>
      </x:c>
      <x:c r="AO425" s="31" t="n">
        <x:f>'分析方法'!$B$6-J425</x:f>
        <x:v>2</x:v>
      </x:c>
      <x:c r="AP425" s="3"/>
    </x:row>
    <x:row r="426" ht="22" customHeight="1">
      <x:c r="A426" s="3" t="str">
        <x:v>T2892291</x:v>
      </x:c>
      <x:c r="B426" s="7" t="d">
        <x:v>2026-10-08T00:00:00.000Z</x:v>
      </x:c>
      <x:c r="C426" s="3" t="str">
        <x:v>Taladrod</x:v>
      </x:c>
      <x:c r="D426" s="3" t="str">
        <x:v>Toyota</x:v>
      </x:c>
      <x:c r="E426" s="3" t="str">
        <x:v>日本</x:v>
      </x:c>
      <x:c r="F426" s="3" t="str">
        <x:v>Corolla Cross</x:v>
      </x:c>
      <x:c r="G426" s="3" t="str">
        <x:v>HEV</x:v>
      </x:c>
      <x:c r="H426" s="3" t="str">
        <x:v>SUV</x:v>
      </x:c>
      <x:c r="I426" s="3" t="str"/>
      <x:c r="J426" s="3" t="n">
        <x:v>2025</x:v>
      </x:c>
      <x:c r="K426" s="3" t="str">
        <x:v>1.8 HEV GR SPORT</x:v>
      </x:c>
      <x:c r="L426" s="3" t="str">
        <x:v>HEV GR SPORT</x:v>
      </x:c>
      <x:c r="M426" s="22"/>
      <x:c r="N426" s="22"/>
      <x:c r="O426" s="22"/>
      <x:c r="P426" s="3" t="str">
        <x:v>未掲載</x:v>
      </x:c>
      <x:c r="Q426" s="3" t="str">
        <x:v>未取得</x:v>
      </x:c>
      <x:c r="R426" s="3" t="str">
        <x:v>Unknown</x:v>
      </x:c>
      <x:c r="S426" s="3" t="str">
        <x:v>不明</x:v>
      </x:c>
      <x:c r="T426" s="3" t="str">
        <x:v>20-ปัจจุบัน</x:v>
      </x:c>
      <x:c r="U426" s="28" t="n">
        <x:v>989000</x:v>
      </x:c>
      <x:c r="V426" s="28" t="n">
        <x:v>1249000</x:v>
      </x:c>
      <x:c r="W426" s="3" t="str">
        <x:v>事故・水没・SOH・保証残は未確認</x:v>
      </x:c>
      <x:c r="X426" s="3" t="str">
        <x:v>掲載中・在庫未確認</x:v>
      </x:c>
      <x:c r="Y426" s="3" t="str"/>
      <x:c r="Z426" s="27" t="str">
        <x:v>https://www.taladrod.com/w40/icar/cardet.aspx?cid=2892291</x:v>
      </x:c>
      <x:c r="AA426" s="3" t="str">
        <x:v>Taladrod個別広告ID／Carsome在庫ID</x:v>
      </x:c>
      <x:c r="AB426" s="3" t="str">
        <x:v>車台番号未取得／サイト間重複は未判定</x:v>
      </x:c>
      <x:c r="AC426" s="3" t="str">
        <x:v>税込区分未確認（一覧表示額）</x:v>
      </x:c>
      <x:c r="AD426" s="3" t="str">
        <x:v>CROSS24_HEV GR SPORT</x:v>
      </x:c>
      <x:c r="AE426" s="29" t="n">
        <x:f>'新車価格・特価'!K52</x:f>
        <x:v>1254000</x:v>
      </x:c>
      <x:c r="AF426" s="30" t="n">
        <x:f>IF(ISNUMBER(AE426),U426/AE426,"")</x:f>
        <x:v>0.7886762360446571</x:v>
      </x:c>
      <x:c r="AG426" s="29" t="str">
        <x:f>""</x:f>
      </x:c>
      <x:c r="AH426" s="30" t="str">
        <x:f>IF(ISNUMBER(AG426),U426/AG426,"")</x:f>
      </x:c>
      <x:c r="AI426" s="3" t="str">
        <x:v>当時公表小売価格の参考残価率。実購入額ではない。年式/登録年・仕様差に注意。</x:v>
      </x:c>
      <x:c r="AJ426" s="3" t="str">
        <x:v>一覧価格/年式のみ</x:v>
      </x:c>
      <x:c r="AK426" s="3" t="str">
        <x:v>一覧の表示価格。年式は掲載年式。</x:v>
      </x:c>
      <x:c r="AL426" s="31" t="n">
        <x:f>IF(AND(J426&lt;='分析方法'!$B$7,OR(ISBLANK(O426),O426&gt;='分析方法'!$B$8),X426&lt;&gt;"売却済み表示"),1,0)</x:f>
        <x:v>1</x:v>
      </x:c>
      <x:c r="AM426" s="32" t="n">
        <x:f>IF(AL426=1,U426,"")</x:f>
        <x:v>989000</x:v>
      </x:c>
      <x:c r="AN426" s="33" t="n">
        <x:f>IF(AL426=1,AF426,"")</x:f>
        <x:v>0.7886762360446571</x:v>
      </x:c>
      <x:c r="AO426" s="31" t="n">
        <x:f>'分析方法'!$B$6-J426</x:f>
        <x:v>1</x:v>
      </x:c>
      <x:c r="AP426" s="3"/>
    </x:row>
    <x:row r="427" ht="22" customHeight="1">
      <x:c r="A427" s="3" t="str">
        <x:v>T2925539</x:v>
      </x:c>
      <x:c r="B427" s="7" t="d">
        <x:v>2026-10-08T00:00:00.000Z</x:v>
      </x:c>
      <x:c r="C427" s="3" t="str">
        <x:v>Taladrod</x:v>
      </x:c>
      <x:c r="D427" s="3" t="str">
        <x:v>Toyota</x:v>
      </x:c>
      <x:c r="E427" s="3" t="str">
        <x:v>日本</x:v>
      </x:c>
      <x:c r="F427" s="3" t="str">
        <x:v>Corolla Cross</x:v>
      </x:c>
      <x:c r="G427" s="3" t="str">
        <x:v>HEV</x:v>
      </x:c>
      <x:c r="H427" s="3" t="str">
        <x:v>SUV</x:v>
      </x:c>
      <x:c r="I427" s="3" t="str"/>
      <x:c r="J427" s="3" t="n">
        <x:v>2025</x:v>
      </x:c>
      <x:c r="K427" s="3" t="str">
        <x:v>1.8 HEV GR SPORT</x:v>
      </x:c>
      <x:c r="L427" s="3" t="str">
        <x:v>HEV GR SPORT</x:v>
      </x:c>
      <x:c r="M427" s="22"/>
      <x:c r="N427" s="22"/>
      <x:c r="O427" s="22"/>
      <x:c r="P427" s="3" t="str">
        <x:v>未掲載</x:v>
      </x:c>
      <x:c r="Q427" s="3" t="str">
        <x:v>未取得</x:v>
      </x:c>
      <x:c r="R427" s="3" t="str">
        <x:v>Unknown</x:v>
      </x:c>
      <x:c r="S427" s="3" t="str">
        <x:v>不明</x:v>
      </x:c>
      <x:c r="T427" s="3" t="str">
        <x:v>20-ปัจจุบัน</x:v>
      </x:c>
      <x:c r="U427" s="28" t="n">
        <x:v>899000</x:v>
      </x:c>
      <x:c r="V427" s="28" t="n">
        <x:v>1249000</x:v>
      </x:c>
      <x:c r="W427" s="3" t="str">
        <x:v>事故・水没・SOH・保証残は未確認</x:v>
      </x:c>
      <x:c r="X427" s="3" t="str">
        <x:v>掲載中・在庫未確認</x:v>
      </x:c>
      <x:c r="Y427" s="3" t="str"/>
      <x:c r="Z427" s="27" t="str">
        <x:v>https://www.taladrod.com/w40/icar/cardet.aspx?cid=2925539</x:v>
      </x:c>
      <x:c r="AA427" s="3" t="str">
        <x:v>Taladrod個別広告ID／Carsome在庫ID</x:v>
      </x:c>
      <x:c r="AB427" s="3" t="str">
        <x:v>車台番号未取得／サイト間重複は未判定</x:v>
      </x:c>
      <x:c r="AC427" s="3" t="str">
        <x:v>税込区分未確認（一覧表示額）</x:v>
      </x:c>
      <x:c r="AD427" s="3" t="str">
        <x:v>CROSS24_HEV GR SPORT</x:v>
      </x:c>
      <x:c r="AE427" s="29" t="n">
        <x:f>'新車価格・特価'!K52</x:f>
        <x:v>1254000</x:v>
      </x:c>
      <x:c r="AF427" s="30" t="n">
        <x:f>IF(ISNUMBER(AE427),U427/AE427,"")</x:f>
        <x:v>0.7169059011164274</x:v>
      </x:c>
      <x:c r="AG427" s="29" t="str">
        <x:f>""</x:f>
      </x:c>
      <x:c r="AH427" s="30" t="str">
        <x:f>IF(ISNUMBER(AG427),U427/AG427,"")</x:f>
      </x:c>
      <x:c r="AI427" s="3" t="str">
        <x:v>当時公表小売価格の参考残価率。実購入額ではない。年式/登録年・仕様差に注意。</x:v>
      </x:c>
      <x:c r="AJ427" s="3" t="str">
        <x:v>一覧価格/年式のみ</x:v>
      </x:c>
      <x:c r="AK427" s="3" t="str">
        <x:v>一覧の表示価格。年式は掲載年式。</x:v>
      </x:c>
      <x:c r="AL427" s="31" t="n">
        <x:f>IF(AND(J427&lt;='分析方法'!$B$7,OR(ISBLANK(O427),O427&gt;='分析方法'!$B$8),X427&lt;&gt;"売却済み表示"),1,0)</x:f>
        <x:v>1</x:v>
      </x:c>
      <x:c r="AM427" s="32" t="n">
        <x:f>IF(AL427=1,U427,"")</x:f>
        <x:v>899000</x:v>
      </x:c>
      <x:c r="AN427" s="33" t="n">
        <x:f>IF(AL427=1,AF427,"")</x:f>
        <x:v>0.7169059011164274</x:v>
      </x:c>
      <x:c r="AO427" s="31" t="n">
        <x:f>'分析方法'!$B$6-J427</x:f>
        <x:v>1</x:v>
      </x:c>
      <x:c r="AP427" s="3"/>
    </x:row>
    <x:row r="428" ht="22" customHeight="1">
      <x:c r="A428" s="3" t="str">
        <x:v>T2892916</x:v>
      </x:c>
      <x:c r="B428" s="7" t="d">
        <x:v>2026-10-08T00:00:00.000Z</x:v>
      </x:c>
      <x:c r="C428" s="3" t="str">
        <x:v>Taladrod</x:v>
      </x:c>
      <x:c r="D428" s="3" t="str">
        <x:v>Toyota</x:v>
      </x:c>
      <x:c r="E428" s="3" t="str">
        <x:v>日本</x:v>
      </x:c>
      <x:c r="F428" s="3" t="str">
        <x:v>Corolla Cross</x:v>
      </x:c>
      <x:c r="G428" s="3" t="str">
        <x:v>HEV</x:v>
      </x:c>
      <x:c r="H428" s="3" t="str">
        <x:v>SUV</x:v>
      </x:c>
      <x:c r="I428" s="3" t="str"/>
      <x:c r="J428" s="3" t="n">
        <x:v>2025</x:v>
      </x:c>
      <x:c r="K428" s="3" t="str">
        <x:v>1.8 HEV PREMIUM</x:v>
      </x:c>
      <x:c r="L428" s="3" t="str">
        <x:v>HEV PREMIUM</x:v>
      </x:c>
      <x:c r="M428" s="22"/>
      <x:c r="N428" s="22"/>
      <x:c r="O428" s="22"/>
      <x:c r="P428" s="3" t="str">
        <x:v>未掲載</x:v>
      </x:c>
      <x:c r="Q428" s="3" t="str">
        <x:v>未取得</x:v>
      </x:c>
      <x:c r="R428" s="3" t="str">
        <x:v>Unknown</x:v>
      </x:c>
      <x:c r="S428" s="3" t="str">
        <x:v>不明</x:v>
      </x:c>
      <x:c r="T428" s="3" t="str">
        <x:v>20-ปัจจุบัน</x:v>
      </x:c>
      <x:c r="U428" s="28" t="n">
        <x:v>950000</x:v>
      </x:c>
      <x:c r="V428" s="28" t="n">
        <x:v>1094000</x:v>
      </x:c>
      <x:c r="W428" s="3" t="str">
        <x:v>事故・水没・SOH・保証残は未確認</x:v>
      </x:c>
      <x:c r="X428" s="3" t="str">
        <x:v>掲載中・在庫未確認</x:v>
      </x:c>
      <x:c r="Y428" s="3" t="str"/>
      <x:c r="Z428" s="27" t="str">
        <x:v>https://www.taladrod.com/w40/icar/cardet.aspx?cid=2892916</x:v>
      </x:c>
      <x:c r="AA428" s="3" t="str">
        <x:v>Taladrod個別広告ID／Carsome在庫ID</x:v>
      </x:c>
      <x:c r="AB428" s="3" t="str">
        <x:v>車台番号未取得／サイト間重複は未判定</x:v>
      </x:c>
      <x:c r="AC428" s="3" t="str">
        <x:v>税込区分未確認（一覧表示額）</x:v>
      </x:c>
      <x:c r="AD428" s="3" t="str">
        <x:v>CROSS24_HEV PREMIUM</x:v>
      </x:c>
      <x:c r="AE428" s="29" t="n">
        <x:f>'新車価格・特価'!K50</x:f>
        <x:v>1094000</x:v>
      </x:c>
      <x:c r="AF428" s="30" t="n">
        <x:f>IF(ISNUMBER(AE428),U428/AE428,"")</x:f>
        <x:v>0.8683729433272395</x:v>
      </x:c>
      <x:c r="AG428" s="29" t="n">
        <x:f>'新車価格・特価'!N54</x:f>
        <x:v>1094000</x:v>
      </x:c>
      <x:c r="AH428" s="30" t="n">
        <x:f>IF(ISNUMBER(AG428),U428/AG428,"")</x:f>
        <x:v>0.8683729433272395</x:v>
      </x:c>
      <x:c r="AI428" s="3" t="str">
        <x:v>当時公表小売価格の参考残価率。実購入額ではない。年式/登録年・仕様差に注意。</x:v>
      </x:c>
      <x:c r="AJ428" s="3" t="str">
        <x:v>一覧価格/年式のみ</x:v>
      </x:c>
      <x:c r="AK428" s="3" t="str">
        <x:v>一覧の表示価格。年式は掲載年式。</x:v>
      </x:c>
      <x:c r="AL428" s="31" t="n">
        <x:f>IF(AND(J428&lt;='分析方法'!$B$7,OR(ISBLANK(O428),O428&gt;='分析方法'!$B$8),X428&lt;&gt;"売却済み表示"),1,0)</x:f>
        <x:v>1</x:v>
      </x:c>
      <x:c r="AM428" s="32" t="n">
        <x:f>IF(AL428=1,U428,"")</x:f>
        <x:v>950000</x:v>
      </x:c>
      <x:c r="AN428" s="33" t="n">
        <x:f>IF(AL428=1,AF428,"")</x:f>
        <x:v>0.8683729433272395</x:v>
      </x:c>
      <x:c r="AO428" s="31" t="n">
        <x:f>'分析方法'!$B$6-J428</x:f>
        <x:v>1</x:v>
      </x:c>
      <x:c r="AP428" s="3"/>
    </x:row>
    <x:row r="429" ht="22" customHeight="1">
      <x:c r="A429" s="3" t="str">
        <x:v>T2900137</x:v>
      </x:c>
      <x:c r="B429" s="7" t="d">
        <x:v>2026-10-08T00:00:00.000Z</x:v>
      </x:c>
      <x:c r="C429" s="3" t="str">
        <x:v>Taladrod</x:v>
      </x:c>
      <x:c r="D429" s="3" t="str">
        <x:v>Toyota</x:v>
      </x:c>
      <x:c r="E429" s="3" t="str">
        <x:v>日本</x:v>
      </x:c>
      <x:c r="F429" s="3" t="str">
        <x:v>Corolla Cross</x:v>
      </x:c>
      <x:c r="G429" s="3" t="str">
        <x:v>HEV</x:v>
      </x:c>
      <x:c r="H429" s="3" t="str">
        <x:v>SUV</x:v>
      </x:c>
      <x:c r="I429" s="3" t="str"/>
      <x:c r="J429" s="3" t="n">
        <x:v>2025</x:v>
      </x:c>
      <x:c r="K429" s="3" t="str">
        <x:v>1.8 HEV PREMIUM</x:v>
      </x:c>
      <x:c r="L429" s="3" t="str">
        <x:v>HEV PREMIUM</x:v>
      </x:c>
      <x:c r="M429" s="22"/>
      <x:c r="N429" s="22"/>
      <x:c r="O429" s="22"/>
      <x:c r="P429" s="3" t="str">
        <x:v>未掲載</x:v>
      </x:c>
      <x:c r="Q429" s="3" t="str">
        <x:v>未取得</x:v>
      </x:c>
      <x:c r="R429" s="3" t="str">
        <x:v>Unknown</x:v>
      </x:c>
      <x:c r="S429" s="3" t="str">
        <x:v>不明</x:v>
      </x:c>
      <x:c r="T429" s="3" t="str">
        <x:v>20-ปัจจุบัน</x:v>
      </x:c>
      <x:c r="U429" s="28" t="n">
        <x:v>869000</x:v>
      </x:c>
      <x:c r="V429" s="28" t="n">
        <x:v>1094000</x:v>
      </x:c>
      <x:c r="W429" s="3" t="str">
        <x:v>事故・水没・SOH・保証残は未確認</x:v>
      </x:c>
      <x:c r="X429" s="3" t="str">
        <x:v>掲載中・在庫未確認</x:v>
      </x:c>
      <x:c r="Y429" s="3" t="str"/>
      <x:c r="Z429" s="27" t="str">
        <x:v>https://www.taladrod.com/w40/icar/cardet.aspx?cid=2900137</x:v>
      </x:c>
      <x:c r="AA429" s="3" t="str">
        <x:v>Taladrod個別広告ID／Carsome在庫ID</x:v>
      </x:c>
      <x:c r="AB429" s="3" t="str">
        <x:v>車台番号未取得／サイト間重複は未判定</x:v>
      </x:c>
      <x:c r="AC429" s="3" t="str">
        <x:v>税込区分未確認（一覧表示額）</x:v>
      </x:c>
      <x:c r="AD429" s="3" t="str">
        <x:v>CROSS24_HEV PREMIUM</x:v>
      </x:c>
      <x:c r="AE429" s="29" t="n">
        <x:f>'新車価格・特価'!K50</x:f>
        <x:v>1094000</x:v>
      </x:c>
      <x:c r="AF429" s="30" t="n">
        <x:f>IF(ISNUMBER(AE429),U429/AE429,"")</x:f>
        <x:v>0.7943327239488117</x:v>
      </x:c>
      <x:c r="AG429" s="29" t="n">
        <x:f>'新車価格・特価'!N54</x:f>
        <x:v>1094000</x:v>
      </x:c>
      <x:c r="AH429" s="30" t="n">
        <x:f>IF(ISNUMBER(AG429),U429/AG429,"")</x:f>
        <x:v>0.7943327239488117</x:v>
      </x:c>
      <x:c r="AI429" s="3" t="str">
        <x:v>当時公表小売価格の参考残価率。実購入額ではない。年式/登録年・仕様差に注意。</x:v>
      </x:c>
      <x:c r="AJ429" s="3" t="str">
        <x:v>一覧価格/年式のみ</x:v>
      </x:c>
      <x:c r="AK429" s="3" t="str">
        <x:v>一覧の表示価格。年式は掲載年式。</x:v>
      </x:c>
      <x:c r="AL429" s="31" t="n">
        <x:f>IF(AND(J429&lt;='分析方法'!$B$7,OR(ISBLANK(O429),O429&gt;='分析方法'!$B$8),X429&lt;&gt;"売却済み表示"),1,0)</x:f>
        <x:v>1</x:v>
      </x:c>
      <x:c r="AM429" s="32" t="n">
        <x:f>IF(AL429=1,U429,"")</x:f>
        <x:v>869000</x:v>
      </x:c>
      <x:c r="AN429" s="33" t="n">
        <x:f>IF(AL429=1,AF429,"")</x:f>
        <x:v>0.7943327239488117</x:v>
      </x:c>
      <x:c r="AO429" s="31" t="n">
        <x:f>'分析方法'!$B$6-J429</x:f>
        <x:v>1</x:v>
      </x:c>
      <x:c r="AP429" s="3"/>
    </x:row>
    <x:row r="430" ht="22" customHeight="1">
      <x:c r="A430" s="3" t="str">
        <x:v>T2918417</x:v>
      </x:c>
      <x:c r="B430" s="7" t="d">
        <x:v>2026-10-08T00:00:00.000Z</x:v>
      </x:c>
      <x:c r="C430" s="3" t="str">
        <x:v>Taladrod</x:v>
      </x:c>
      <x:c r="D430" s="3" t="str">
        <x:v>Toyota</x:v>
      </x:c>
      <x:c r="E430" s="3" t="str">
        <x:v>日本</x:v>
      </x:c>
      <x:c r="F430" s="3" t="str">
        <x:v>Corolla Cross</x:v>
      </x:c>
      <x:c r="G430" s="3" t="str">
        <x:v>HEV</x:v>
      </x:c>
      <x:c r="H430" s="3" t="str">
        <x:v>SUV</x:v>
      </x:c>
      <x:c r="I430" s="3" t="str"/>
      <x:c r="J430" s="3" t="n">
        <x:v>2025</x:v>
      </x:c>
      <x:c r="K430" s="3" t="str">
        <x:v>1.8 HEV PREMIUM</x:v>
      </x:c>
      <x:c r="L430" s="3" t="str">
        <x:v>HEV PREMIUM</x:v>
      </x:c>
      <x:c r="M430" s="22"/>
      <x:c r="N430" s="22"/>
      <x:c r="O430" s="22"/>
      <x:c r="P430" s="3" t="str">
        <x:v>未掲載</x:v>
      </x:c>
      <x:c r="Q430" s="3" t="str">
        <x:v>未取得</x:v>
      </x:c>
      <x:c r="R430" s="3" t="str">
        <x:v>Unknown</x:v>
      </x:c>
      <x:c r="S430" s="3" t="str">
        <x:v>不明</x:v>
      </x:c>
      <x:c r="T430" s="3" t="str">
        <x:v>20-ปัจจุบัน</x:v>
      </x:c>
      <x:c r="U430" s="28" t="n">
        <x:v>845000</x:v>
      </x:c>
      <x:c r="V430" s="28" t="n">
        <x:v>1094000</x:v>
      </x:c>
      <x:c r="W430" s="3" t="str">
        <x:v>事故・水没・SOH・保証残は未確認</x:v>
      </x:c>
      <x:c r="X430" s="3" t="str">
        <x:v>掲載中・在庫未確認</x:v>
      </x:c>
      <x:c r="Y430" s="3" t="str"/>
      <x:c r="Z430" s="27" t="str">
        <x:v>https://www.taladrod.com/w40/icar/cardet.aspx?cid=2918417</x:v>
      </x:c>
      <x:c r="AA430" s="3" t="str">
        <x:v>Taladrod個別広告ID／Carsome在庫ID</x:v>
      </x:c>
      <x:c r="AB430" s="3" t="str">
        <x:v>車台番号未取得／サイト間重複は未判定</x:v>
      </x:c>
      <x:c r="AC430" s="3" t="str">
        <x:v>税込区分未確認（一覧表示額）</x:v>
      </x:c>
      <x:c r="AD430" s="3" t="str">
        <x:v>CROSS24_HEV PREMIUM</x:v>
      </x:c>
      <x:c r="AE430" s="29" t="n">
        <x:f>'新車価格・特価'!K50</x:f>
        <x:v>1094000</x:v>
      </x:c>
      <x:c r="AF430" s="30" t="n">
        <x:f>IF(ISNUMBER(AE430),U430/AE430,"")</x:f>
        <x:v>0.7723948811700183</x:v>
      </x:c>
      <x:c r="AG430" s="29" t="n">
        <x:f>'新車価格・特価'!N54</x:f>
        <x:v>1094000</x:v>
      </x:c>
      <x:c r="AH430" s="30" t="n">
        <x:f>IF(ISNUMBER(AG430),U430/AG430,"")</x:f>
        <x:v>0.7723948811700183</x:v>
      </x:c>
      <x:c r="AI430" s="3" t="str">
        <x:v>当時公表小売価格の参考残価率。実購入額ではない。年式/登録年・仕様差に注意。</x:v>
      </x:c>
      <x:c r="AJ430" s="3" t="str">
        <x:v>一覧価格/年式のみ</x:v>
      </x:c>
      <x:c r="AK430" s="3" t="str">
        <x:v>一覧の表示価格。年式は掲載年式。</x:v>
      </x:c>
      <x:c r="AL430" s="31" t="n">
        <x:f>IF(AND(J430&lt;='分析方法'!$B$7,OR(ISBLANK(O430),O430&gt;='分析方法'!$B$8),X430&lt;&gt;"売却済み表示"),1,0)</x:f>
        <x:v>1</x:v>
      </x:c>
      <x:c r="AM430" s="32" t="n">
        <x:f>IF(AL430=1,U430,"")</x:f>
        <x:v>845000</x:v>
      </x:c>
      <x:c r="AN430" s="33" t="n">
        <x:f>IF(AL430=1,AF430,"")</x:f>
        <x:v>0.7723948811700183</x:v>
      </x:c>
      <x:c r="AO430" s="31" t="n">
        <x:f>'分析方法'!$B$6-J430</x:f>
        <x:v>1</x:v>
      </x:c>
      <x:c r="AP430" s="3"/>
    </x:row>
    <x:row r="431" ht="22" customHeight="1">
      <x:c r="A431" s="3" t="str">
        <x:v>T2921592</x:v>
      </x:c>
      <x:c r="B431" s="7" t="d">
        <x:v>2026-10-08T00:00:00.000Z</x:v>
      </x:c>
      <x:c r="C431" s="3" t="str">
        <x:v>Taladrod</x:v>
      </x:c>
      <x:c r="D431" s="3" t="str">
        <x:v>Toyota</x:v>
      </x:c>
      <x:c r="E431" s="3" t="str">
        <x:v>日本</x:v>
      </x:c>
      <x:c r="F431" s="3" t="str">
        <x:v>Corolla Cross</x:v>
      </x:c>
      <x:c r="G431" s="3" t="str">
        <x:v>HEV</x:v>
      </x:c>
      <x:c r="H431" s="3" t="str">
        <x:v>SUV</x:v>
      </x:c>
      <x:c r="I431" s="3" t="str"/>
      <x:c r="J431" s="3" t="n">
        <x:v>2025</x:v>
      </x:c>
      <x:c r="K431" s="3" t="str">
        <x:v>1.8 HEV PREMIUM</x:v>
      </x:c>
      <x:c r="L431" s="3" t="str">
        <x:v>HEV PREMIUM</x:v>
      </x:c>
      <x:c r="M431" s="22"/>
      <x:c r="N431" s="22"/>
      <x:c r="O431" s="22"/>
      <x:c r="P431" s="3" t="str">
        <x:v>未掲載</x:v>
      </x:c>
      <x:c r="Q431" s="3" t="str">
        <x:v>未取得</x:v>
      </x:c>
      <x:c r="R431" s="3" t="str">
        <x:v>Unknown</x:v>
      </x:c>
      <x:c r="S431" s="3" t="str">
        <x:v>不明</x:v>
      </x:c>
      <x:c r="T431" s="3" t="str">
        <x:v>20-ปัจจุบัน</x:v>
      </x:c>
      <x:c r="U431" s="28" t="n">
        <x:v>879000</x:v>
      </x:c>
      <x:c r="V431" s="28" t="n">
        <x:v>1094000</x:v>
      </x:c>
      <x:c r="W431" s="3" t="str">
        <x:v>事故・水没・SOH・保証残は未確認</x:v>
      </x:c>
      <x:c r="X431" s="3" t="str">
        <x:v>掲載中・在庫未確認</x:v>
      </x:c>
      <x:c r="Y431" s="3" t="str"/>
      <x:c r="Z431" s="27" t="str">
        <x:v>https://www.taladrod.com/w40/icar/cardet.aspx?cid=2921592</x:v>
      </x:c>
      <x:c r="AA431" s="3" t="str">
        <x:v>Taladrod個別広告ID／Carsome在庫ID</x:v>
      </x:c>
      <x:c r="AB431" s="3" t="str">
        <x:v>車台番号未取得／サイト間重複は未判定</x:v>
      </x:c>
      <x:c r="AC431" s="3" t="str">
        <x:v>税込区分未確認（一覧表示額）</x:v>
      </x:c>
      <x:c r="AD431" s="3" t="str">
        <x:v>CROSS24_HEV PREMIUM</x:v>
      </x:c>
      <x:c r="AE431" s="29" t="n">
        <x:f>'新車価格・特価'!K50</x:f>
        <x:v>1094000</x:v>
      </x:c>
      <x:c r="AF431" s="30" t="n">
        <x:f>IF(ISNUMBER(AE431),U431/AE431,"")</x:f>
        <x:v>0.803473491773309</x:v>
      </x:c>
      <x:c r="AG431" s="29" t="n">
        <x:f>'新車価格・特価'!N54</x:f>
        <x:v>1094000</x:v>
      </x:c>
      <x:c r="AH431" s="30" t="n">
        <x:f>IF(ISNUMBER(AG431),U431/AG431,"")</x:f>
        <x:v>0.803473491773309</x:v>
      </x:c>
      <x:c r="AI431" s="3" t="str">
        <x:v>当時公表小売価格の参考残価率。実購入額ではない。年式/登録年・仕様差に注意。</x:v>
      </x:c>
      <x:c r="AJ431" s="3" t="str">
        <x:v>一覧価格/年式のみ</x:v>
      </x:c>
      <x:c r="AK431" s="3" t="str">
        <x:v>一覧の表示価格。年式は掲載年式。</x:v>
      </x:c>
      <x:c r="AL431" s="31" t="n">
        <x:f>IF(AND(J431&lt;='分析方法'!$B$7,OR(ISBLANK(O431),O431&gt;='分析方法'!$B$8),X431&lt;&gt;"売却済み表示"),1,0)</x:f>
        <x:v>1</x:v>
      </x:c>
      <x:c r="AM431" s="32" t="n">
        <x:f>IF(AL431=1,U431,"")</x:f>
        <x:v>879000</x:v>
      </x:c>
      <x:c r="AN431" s="33" t="n">
        <x:f>IF(AL431=1,AF431,"")</x:f>
        <x:v>0.803473491773309</x:v>
      </x:c>
      <x:c r="AO431" s="31" t="n">
        <x:f>'分析方法'!$B$6-J431</x:f>
        <x:v>1</x:v>
      </x:c>
      <x:c r="AP431" s="3"/>
    </x:row>
    <x:row r="432" ht="22" customHeight="1">
      <x:c r="A432" s="3" t="str">
        <x:v>T2893683</x:v>
      </x:c>
      <x:c r="B432" s="7" t="d">
        <x:v>2026-10-08T00:00:00.000Z</x:v>
      </x:c>
      <x:c r="C432" s="3" t="str">
        <x:v>Taladrod</x:v>
      </x:c>
      <x:c r="D432" s="3" t="str">
        <x:v>Toyota</x:v>
      </x:c>
      <x:c r="E432" s="3" t="str">
        <x:v>日本</x:v>
      </x:c>
      <x:c r="F432" s="3" t="str">
        <x:v>Corolla Cross</x:v>
      </x:c>
      <x:c r="G432" s="3" t="str">
        <x:v>HEV</x:v>
      </x:c>
      <x:c r="H432" s="3" t="str">
        <x:v>SUV</x:v>
      </x:c>
      <x:c r="I432" s="3" t="str"/>
      <x:c r="J432" s="3" t="n">
        <x:v>2025</x:v>
      </x:c>
      <x:c r="K432" s="3" t="str">
        <x:v>1.8 HEV PREMIUM LUXURY</x:v>
      </x:c>
      <x:c r="L432" s="3" t="str">
        <x:v>HEV PREMIUM LUXURY</x:v>
      </x:c>
      <x:c r="M432" s="22"/>
      <x:c r="N432" s="22"/>
      <x:c r="O432" s="22"/>
      <x:c r="P432" s="3" t="str">
        <x:v>未掲載</x:v>
      </x:c>
      <x:c r="Q432" s="3" t="str">
        <x:v>未取得</x:v>
      </x:c>
      <x:c r="R432" s="3" t="str">
        <x:v>Unknown</x:v>
      </x:c>
      <x:c r="S432" s="3" t="str">
        <x:v>不明</x:v>
      </x:c>
      <x:c r="T432" s="3" t="str">
        <x:v>20-ปัจจุบัน</x:v>
      </x:c>
      <x:c r="U432" s="28" t="n">
        <x:v>898000</x:v>
      </x:c>
      <x:c r="V432" s="28" t="n">
        <x:v>1204000</x:v>
      </x:c>
      <x:c r="W432" s="3" t="str">
        <x:v>事故・水没・SOH・保証残は未確認</x:v>
      </x:c>
      <x:c r="X432" s="3" t="str">
        <x:v>掲載中・在庫未確認</x:v>
      </x:c>
      <x:c r="Y432" s="3" t="str"/>
      <x:c r="Z432" s="27" t="str">
        <x:v>https://www.taladrod.com/w40/icar/cardet.aspx?cid=2893683</x:v>
      </x:c>
      <x:c r="AA432" s="3" t="str">
        <x:v>Taladrod個別広告ID／Carsome在庫ID</x:v>
      </x:c>
      <x:c r="AB432" s="3" t="str">
        <x:v>車台番号未取得／サイト間重複は未判定</x:v>
      </x:c>
      <x:c r="AC432" s="3" t="str">
        <x:v>税込区分未確認（一覧表示額）</x:v>
      </x:c>
      <x:c r="AD432" s="3" t="str">
        <x:v>CROSS24_HEV PREMIUM LUXURY</x:v>
      </x:c>
      <x:c r="AE432" s="29" t="n">
        <x:f>'新車価格・特価'!K51</x:f>
        <x:v>1204000</x:v>
      </x:c>
      <x:c r="AF432" s="30" t="n">
        <x:f>IF(ISNUMBER(AE432),U432/AE432,"")</x:f>
        <x:v>0.7458471760797342</x:v>
      </x:c>
      <x:c r="AG432" s="29" t="n">
        <x:f>'新車価格・特価'!N55</x:f>
        <x:v>1204000</x:v>
      </x:c>
      <x:c r="AH432" s="30" t="n">
        <x:f>IF(ISNUMBER(AG432),U432/AG432,"")</x:f>
        <x:v>0.7458471760797342</x:v>
      </x:c>
      <x:c r="AI432" s="3" t="str">
        <x:v>当時公表小売価格の参考残価率。実購入額ではない。年式/登録年・仕様差に注意。</x:v>
      </x:c>
      <x:c r="AJ432" s="3" t="str">
        <x:v>一覧価格/年式のみ</x:v>
      </x:c>
      <x:c r="AK432" s="3" t="str">
        <x:v>一覧の表示価格。年式は掲載年式。</x:v>
      </x:c>
      <x:c r="AL432" s="31" t="n">
        <x:f>IF(AND(J432&lt;='分析方法'!$B$7,OR(ISBLANK(O432),O432&gt;='分析方法'!$B$8),X432&lt;&gt;"売却済み表示"),1,0)</x:f>
        <x:v>1</x:v>
      </x:c>
      <x:c r="AM432" s="32" t="n">
        <x:f>IF(AL432=1,U432,"")</x:f>
        <x:v>898000</x:v>
      </x:c>
      <x:c r="AN432" s="33" t="n">
        <x:f>IF(AL432=1,AF432,"")</x:f>
        <x:v>0.7458471760797342</x:v>
      </x:c>
      <x:c r="AO432" s="31" t="n">
        <x:f>'分析方法'!$B$6-J432</x:f>
        <x:v>1</x:v>
      </x:c>
      <x:c r="AP432" s="3"/>
    </x:row>
    <x:row r="433" ht="22" customHeight="1">
      <x:c r="A433" s="3" t="str">
        <x:v>T2909623</x:v>
      </x:c>
      <x:c r="B433" s="7" t="d">
        <x:v>2026-10-08T00:00:00.000Z</x:v>
      </x:c>
      <x:c r="C433" s="3" t="str">
        <x:v>Taladrod</x:v>
      </x:c>
      <x:c r="D433" s="3" t="str">
        <x:v>Toyota</x:v>
      </x:c>
      <x:c r="E433" s="3" t="str">
        <x:v>日本</x:v>
      </x:c>
      <x:c r="F433" s="3" t="str">
        <x:v>Corolla Cross</x:v>
      </x:c>
      <x:c r="G433" s="3" t="str">
        <x:v>HEV</x:v>
      </x:c>
      <x:c r="H433" s="3" t="str">
        <x:v>SUV</x:v>
      </x:c>
      <x:c r="I433" s="3" t="str"/>
      <x:c r="J433" s="3" t="n">
        <x:v>2025</x:v>
      </x:c>
      <x:c r="K433" s="3" t="str">
        <x:v>1.8 HEV PREMIUM LUXURY</x:v>
      </x:c>
      <x:c r="L433" s="3" t="str">
        <x:v>HEV PREMIUM LUXURY</x:v>
      </x:c>
      <x:c r="M433" s="22"/>
      <x:c r="N433" s="22"/>
      <x:c r="O433" s="22"/>
      <x:c r="P433" s="3" t="str">
        <x:v>未掲載</x:v>
      </x:c>
      <x:c r="Q433" s="3" t="str">
        <x:v>未取得</x:v>
      </x:c>
      <x:c r="R433" s="3" t="str">
        <x:v>Unknown</x:v>
      </x:c>
      <x:c r="S433" s="3" t="str">
        <x:v>不明</x:v>
      </x:c>
      <x:c r="T433" s="3" t="str">
        <x:v>20-ปัจจุบัน</x:v>
      </x:c>
      <x:c r="U433" s="28" t="n">
        <x:v>958000</x:v>
      </x:c>
      <x:c r="V433" s="28" t="n">
        <x:v>1204000</x:v>
      </x:c>
      <x:c r="W433" s="3" t="str">
        <x:v>事故・水没・SOH・保証残は未確認</x:v>
      </x:c>
      <x:c r="X433" s="3" t="str">
        <x:v>掲載中・在庫未確認</x:v>
      </x:c>
      <x:c r="Y433" s="3" t="str"/>
      <x:c r="Z433" s="27" t="str">
        <x:v>https://www.taladrod.com/w40/icar/cardet.aspx?cid=2909623</x:v>
      </x:c>
      <x:c r="AA433" s="3" t="str">
        <x:v>Taladrod個別広告ID／Carsome在庫ID</x:v>
      </x:c>
      <x:c r="AB433" s="3" t="str">
        <x:v>車台番号未取得／サイト間重複は未判定</x:v>
      </x:c>
      <x:c r="AC433" s="3" t="str">
        <x:v>税込区分未確認（一覧表示額）</x:v>
      </x:c>
      <x:c r="AD433" s="3" t="str">
        <x:v>CROSS24_HEV PREMIUM LUXURY</x:v>
      </x:c>
      <x:c r="AE433" s="29" t="n">
        <x:f>'新車価格・特価'!K51</x:f>
        <x:v>1204000</x:v>
      </x:c>
      <x:c r="AF433" s="30" t="n">
        <x:f>IF(ISNUMBER(AE433),U433/AE433,"")</x:f>
        <x:v>0.7956810631229236</x:v>
      </x:c>
      <x:c r="AG433" s="29" t="n">
        <x:f>'新車価格・特価'!N55</x:f>
        <x:v>1204000</x:v>
      </x:c>
      <x:c r="AH433" s="30" t="n">
        <x:f>IF(ISNUMBER(AG433),U433/AG433,"")</x:f>
        <x:v>0.7956810631229236</x:v>
      </x:c>
      <x:c r="AI433" s="3" t="str">
        <x:v>当時公表小売価格の参考残価率。実購入額ではない。年式/登録年・仕様差に注意。</x:v>
      </x:c>
      <x:c r="AJ433" s="3" t="str">
        <x:v>一覧価格/年式のみ</x:v>
      </x:c>
      <x:c r="AK433" s="3" t="str">
        <x:v>一覧の表示価格。年式は掲載年式。</x:v>
      </x:c>
      <x:c r="AL433" s="31" t="n">
        <x:f>IF(AND(J433&lt;='分析方法'!$B$7,OR(ISBLANK(O433),O433&gt;='分析方法'!$B$8),X433&lt;&gt;"売却済み表示"),1,0)</x:f>
        <x:v>1</x:v>
      </x:c>
      <x:c r="AM433" s="32" t="n">
        <x:f>IF(AL433=1,U433,"")</x:f>
        <x:v>958000</x:v>
      </x:c>
      <x:c r="AN433" s="33" t="n">
        <x:f>IF(AL433=1,AF433,"")</x:f>
        <x:v>0.7956810631229236</x:v>
      </x:c>
      <x:c r="AO433" s="31" t="n">
        <x:f>'分析方法'!$B$6-J433</x:f>
        <x:v>1</x:v>
      </x:c>
      <x:c r="AP433" s="3"/>
    </x:row>
    <x:row r="434" ht="22" customHeight="1">
      <x:c r="A434" s="3" t="str">
        <x:v>T2910902</x:v>
      </x:c>
      <x:c r="B434" s="7" t="d">
        <x:v>2026-10-08T00:00:00.000Z</x:v>
      </x:c>
      <x:c r="C434" s="3" t="str">
        <x:v>Taladrod</x:v>
      </x:c>
      <x:c r="D434" s="3" t="str">
        <x:v>Toyota</x:v>
      </x:c>
      <x:c r="E434" s="3" t="str">
        <x:v>日本</x:v>
      </x:c>
      <x:c r="F434" s="3" t="str">
        <x:v>Corolla Cross</x:v>
      </x:c>
      <x:c r="G434" s="3" t="str">
        <x:v>HEV</x:v>
      </x:c>
      <x:c r="H434" s="3" t="str">
        <x:v>SUV</x:v>
      </x:c>
      <x:c r="I434" s="3" t="str"/>
      <x:c r="J434" s="3" t="n">
        <x:v>2025</x:v>
      </x:c>
      <x:c r="K434" s="3" t="str">
        <x:v>1.8 HEV PREMIUM LUXURY</x:v>
      </x:c>
      <x:c r="L434" s="3" t="str">
        <x:v>HEV PREMIUM LUXURY</x:v>
      </x:c>
      <x:c r="M434" s="22"/>
      <x:c r="N434" s="22"/>
      <x:c r="O434" s="22"/>
      <x:c r="P434" s="3" t="str">
        <x:v>未掲載</x:v>
      </x:c>
      <x:c r="Q434" s="3" t="str">
        <x:v>未取得</x:v>
      </x:c>
      <x:c r="R434" s="3" t="str">
        <x:v>Unknown</x:v>
      </x:c>
      <x:c r="S434" s="3" t="str">
        <x:v>不明</x:v>
      </x:c>
      <x:c r="T434" s="3" t="str">
        <x:v>20-ปัจจุบัน</x:v>
      </x:c>
      <x:c r="U434" s="28" t="n">
        <x:v>899000</x:v>
      </x:c>
      <x:c r="V434" s="28" t="n">
        <x:v>1204000</x:v>
      </x:c>
      <x:c r="W434" s="3" t="str">
        <x:v>事故・水没・SOH・保証残は未確認</x:v>
      </x:c>
      <x:c r="X434" s="3" t="str">
        <x:v>掲載中・在庫未確認</x:v>
      </x:c>
      <x:c r="Y434" s="3" t="str"/>
      <x:c r="Z434" s="27" t="str">
        <x:v>https://www.taladrod.com/w40/icar/cardet.aspx?cid=2910902</x:v>
      </x:c>
      <x:c r="AA434" s="3" t="str">
        <x:v>Taladrod個別広告ID／Carsome在庫ID</x:v>
      </x:c>
      <x:c r="AB434" s="3" t="str">
        <x:v>車台番号未取得／サイト間重複は未判定</x:v>
      </x:c>
      <x:c r="AC434" s="3" t="str">
        <x:v>税込区分未確認（一覧表示額）</x:v>
      </x:c>
      <x:c r="AD434" s="3" t="str">
        <x:v>CROSS24_HEV PREMIUM LUXURY</x:v>
      </x:c>
      <x:c r="AE434" s="29" t="n">
        <x:f>'新車価格・特価'!K51</x:f>
        <x:v>1204000</x:v>
      </x:c>
      <x:c r="AF434" s="30" t="n">
        <x:f>IF(ISNUMBER(AE434),U434/AE434,"")</x:f>
        <x:v>0.7466777408637874</x:v>
      </x:c>
      <x:c r="AG434" s="29" t="n">
        <x:f>'新車価格・特価'!N55</x:f>
        <x:v>1204000</x:v>
      </x:c>
      <x:c r="AH434" s="30" t="n">
        <x:f>IF(ISNUMBER(AG434),U434/AG434,"")</x:f>
        <x:v>0.7466777408637874</x:v>
      </x:c>
      <x:c r="AI434" s="3" t="str">
        <x:v>当時公表小売価格の参考残価率。実購入額ではない。年式/登録年・仕様差に注意。</x:v>
      </x:c>
      <x:c r="AJ434" s="3" t="str">
        <x:v>一覧価格/年式のみ</x:v>
      </x:c>
      <x:c r="AK434" s="3" t="str">
        <x:v>一覧の表示価格。年式は掲載年式。</x:v>
      </x:c>
      <x:c r="AL434" s="31" t="n">
        <x:f>IF(AND(J434&lt;='分析方法'!$B$7,OR(ISBLANK(O434),O434&gt;='分析方法'!$B$8),X434&lt;&gt;"売却済み表示"),1,0)</x:f>
        <x:v>1</x:v>
      </x:c>
      <x:c r="AM434" s="32" t="n">
        <x:f>IF(AL434=1,U434,"")</x:f>
        <x:v>899000</x:v>
      </x:c>
      <x:c r="AN434" s="33" t="n">
        <x:f>IF(AL434=1,AF434,"")</x:f>
        <x:v>0.7466777408637874</x:v>
      </x:c>
      <x:c r="AO434" s="31" t="n">
        <x:f>'分析方法'!$B$6-J434</x:f>
        <x:v>1</x:v>
      </x:c>
      <x:c r="AP434" s="3"/>
    </x:row>
    <x:row r="435" ht="22" customHeight="1">
      <x:c r="A435" s="3" t="str">
        <x:v>T2913469</x:v>
      </x:c>
      <x:c r="B435" s="7" t="d">
        <x:v>2026-10-08T00:00:00.000Z</x:v>
      </x:c>
      <x:c r="C435" s="3" t="str">
        <x:v>Taladrod</x:v>
      </x:c>
      <x:c r="D435" s="3" t="str">
        <x:v>Toyota</x:v>
      </x:c>
      <x:c r="E435" s="3" t="str">
        <x:v>日本</x:v>
      </x:c>
      <x:c r="F435" s="3" t="str">
        <x:v>Corolla Cross</x:v>
      </x:c>
      <x:c r="G435" s="3" t="str">
        <x:v>HEV</x:v>
      </x:c>
      <x:c r="H435" s="3" t="str">
        <x:v>SUV</x:v>
      </x:c>
      <x:c r="I435" s="3" t="str"/>
      <x:c r="J435" s="3" t="n">
        <x:v>2025</x:v>
      </x:c>
      <x:c r="K435" s="3" t="str">
        <x:v>1.8 HEV PREMIUM LUXURY</x:v>
      </x:c>
      <x:c r="L435" s="3" t="str">
        <x:v>HEV PREMIUM LUXURY</x:v>
      </x:c>
      <x:c r="M435" s="22"/>
      <x:c r="N435" s="22"/>
      <x:c r="O435" s="22"/>
      <x:c r="P435" s="3" t="str">
        <x:v>未掲載</x:v>
      </x:c>
      <x:c r="Q435" s="3" t="str">
        <x:v>未取得</x:v>
      </x:c>
      <x:c r="R435" s="3" t="str">
        <x:v>Unknown</x:v>
      </x:c>
      <x:c r="S435" s="3" t="str">
        <x:v>不明</x:v>
      </x:c>
      <x:c r="T435" s="3" t="str">
        <x:v>20-ปัจจุบัน</x:v>
      </x:c>
      <x:c r="U435" s="28" t="n">
        <x:v>939000</x:v>
      </x:c>
      <x:c r="V435" s="28" t="n">
        <x:v>1204000</x:v>
      </x:c>
      <x:c r="W435" s="3" t="str">
        <x:v>事故・水没・SOH・保証残は未確認</x:v>
      </x:c>
      <x:c r="X435" s="3" t="str">
        <x:v>掲載中・在庫未確認</x:v>
      </x:c>
      <x:c r="Y435" s="3" t="str"/>
      <x:c r="Z435" s="27" t="str">
        <x:v>https://www.taladrod.com/w40/icar/cardet.aspx?cid=2913469</x:v>
      </x:c>
      <x:c r="AA435" s="3" t="str">
        <x:v>Taladrod個別広告ID／Carsome在庫ID</x:v>
      </x:c>
      <x:c r="AB435" s="3" t="str">
        <x:v>車台番号未取得／サイト間重複は未判定</x:v>
      </x:c>
      <x:c r="AC435" s="3" t="str">
        <x:v>税込区分未確認（一覧表示額）</x:v>
      </x:c>
      <x:c r="AD435" s="3" t="str">
        <x:v>CROSS24_HEV PREMIUM LUXURY</x:v>
      </x:c>
      <x:c r="AE435" s="29" t="n">
        <x:f>'新車価格・特価'!K51</x:f>
        <x:v>1204000</x:v>
      </x:c>
      <x:c r="AF435" s="30" t="n">
        <x:f>IF(ISNUMBER(AE435),U435/AE435,"")</x:f>
        <x:v>0.7799003322259136</x:v>
      </x:c>
      <x:c r="AG435" s="29" t="n">
        <x:f>'新車価格・特価'!N55</x:f>
        <x:v>1204000</x:v>
      </x:c>
      <x:c r="AH435" s="30" t="n">
        <x:f>IF(ISNUMBER(AG435),U435/AG435,"")</x:f>
        <x:v>0.7799003322259136</x:v>
      </x:c>
      <x:c r="AI435" s="3" t="str">
        <x:v>当時公表小売価格の参考残価率。実購入額ではない。年式/登録年・仕様差に注意。</x:v>
      </x:c>
      <x:c r="AJ435" s="3" t="str">
        <x:v>一覧価格/年式のみ</x:v>
      </x:c>
      <x:c r="AK435" s="3" t="str">
        <x:v>一覧の表示価格。年式は掲載年式。</x:v>
      </x:c>
      <x:c r="AL435" s="31" t="n">
        <x:f>IF(AND(J435&lt;='分析方法'!$B$7,OR(ISBLANK(O435),O435&gt;='分析方法'!$B$8),X435&lt;&gt;"売却済み表示"),1,0)</x:f>
        <x:v>1</x:v>
      </x:c>
      <x:c r="AM435" s="32" t="n">
        <x:f>IF(AL435=1,U435,"")</x:f>
        <x:v>939000</x:v>
      </x:c>
      <x:c r="AN435" s="33" t="n">
        <x:f>IF(AL435=1,AF435,"")</x:f>
        <x:v>0.7799003322259136</x:v>
      </x:c>
      <x:c r="AO435" s="31" t="n">
        <x:f>'分析方法'!$B$6-J435</x:f>
        <x:v>1</x:v>
      </x:c>
      <x:c r="AP435" s="3"/>
    </x:row>
    <x:row r="436" ht="22" customHeight="1">
      <x:c r="A436" s="3" t="str">
        <x:v>T2924509</x:v>
      </x:c>
      <x:c r="B436" s="7" t="d">
        <x:v>2026-10-08T00:00:00.000Z</x:v>
      </x:c>
      <x:c r="C436" s="3" t="str">
        <x:v>Taladrod</x:v>
      </x:c>
      <x:c r="D436" s="3" t="str">
        <x:v>Toyota</x:v>
      </x:c>
      <x:c r="E436" s="3" t="str">
        <x:v>日本</x:v>
      </x:c>
      <x:c r="F436" s="3" t="str">
        <x:v>Corolla Cross</x:v>
      </x:c>
      <x:c r="G436" s="3" t="str">
        <x:v>HEV</x:v>
      </x:c>
      <x:c r="H436" s="3" t="str">
        <x:v>SUV</x:v>
      </x:c>
      <x:c r="I436" s="3" t="str"/>
      <x:c r="J436" s="3" t="n">
        <x:v>2025</x:v>
      </x:c>
      <x:c r="K436" s="3" t="str">
        <x:v>1.8 HEV PREMIUM LUXURY</x:v>
      </x:c>
      <x:c r="L436" s="3" t="str">
        <x:v>HEV PREMIUM LUXURY</x:v>
      </x:c>
      <x:c r="M436" s="22"/>
      <x:c r="N436" s="22"/>
      <x:c r="O436" s="22"/>
      <x:c r="P436" s="3" t="str">
        <x:v>未掲載</x:v>
      </x:c>
      <x:c r="Q436" s="3" t="str">
        <x:v>未取得</x:v>
      </x:c>
      <x:c r="R436" s="3" t="str">
        <x:v>Unknown</x:v>
      </x:c>
      <x:c r="S436" s="3" t="str">
        <x:v>不明</x:v>
      </x:c>
      <x:c r="T436" s="3" t="str">
        <x:v>20-ปัจจุบัน</x:v>
      </x:c>
      <x:c r="U436" s="28" t="n">
        <x:v>999000</x:v>
      </x:c>
      <x:c r="V436" s="28" t="n">
        <x:v>1204000</x:v>
      </x:c>
      <x:c r="W436" s="3" t="str">
        <x:v>事故・水没・SOH・保証残は未確認</x:v>
      </x:c>
      <x:c r="X436" s="3" t="str">
        <x:v>掲載中・在庫未確認</x:v>
      </x:c>
      <x:c r="Y436" s="3" t="str"/>
      <x:c r="Z436" s="27" t="str">
        <x:v>https://www.taladrod.com/w40/icar/cardet.aspx?cid=2924509</x:v>
      </x:c>
      <x:c r="AA436" s="3" t="str">
        <x:v>Taladrod個別広告ID／Carsome在庫ID</x:v>
      </x:c>
      <x:c r="AB436" s="3" t="str">
        <x:v>車台番号未取得／サイト間重複は未判定</x:v>
      </x:c>
      <x:c r="AC436" s="3" t="str">
        <x:v>税込区分未確認（一覧表示額）</x:v>
      </x:c>
      <x:c r="AD436" s="3" t="str">
        <x:v>CROSS24_HEV PREMIUM LUXURY</x:v>
      </x:c>
      <x:c r="AE436" s="29" t="n">
        <x:f>'新車価格・特価'!K51</x:f>
        <x:v>1204000</x:v>
      </x:c>
      <x:c r="AF436" s="30" t="n">
        <x:f>IF(ISNUMBER(AE436),U436/AE436,"")</x:f>
        <x:v>0.829734219269103</x:v>
      </x:c>
      <x:c r="AG436" s="29" t="n">
        <x:f>'新車価格・特価'!N55</x:f>
        <x:v>1204000</x:v>
      </x:c>
      <x:c r="AH436" s="30" t="n">
        <x:f>IF(ISNUMBER(AG436),U436/AG436,"")</x:f>
        <x:v>0.829734219269103</x:v>
      </x:c>
      <x:c r="AI436" s="3" t="str">
        <x:v>当時公表小売価格の参考残価率。実購入額ではない。年式/登録年・仕様差に注意。</x:v>
      </x:c>
      <x:c r="AJ436" s="3" t="str">
        <x:v>一覧価格/年式のみ</x:v>
      </x:c>
      <x:c r="AK436" s="3" t="str">
        <x:v>一覧の表示価格。年式は掲載年式。</x:v>
      </x:c>
      <x:c r="AL436" s="31" t="n">
        <x:f>IF(AND(J436&lt;='分析方法'!$B$7,OR(ISBLANK(O436),O436&gt;='分析方法'!$B$8),X436&lt;&gt;"売却済み表示"),1,0)</x:f>
        <x:v>1</x:v>
      </x:c>
      <x:c r="AM436" s="32" t="n">
        <x:f>IF(AL436=1,U436,"")</x:f>
        <x:v>999000</x:v>
      </x:c>
      <x:c r="AN436" s="33" t="n">
        <x:f>IF(AL436=1,AF436,"")</x:f>
        <x:v>0.829734219269103</x:v>
      </x:c>
      <x:c r="AO436" s="31" t="n">
        <x:f>'分析方法'!$B$6-J436</x:f>
        <x:v>1</x:v>
      </x:c>
      <x:c r="AP436" s="3"/>
    </x:row>
    <x:row r="437" ht="22" customHeight="1">
      <x:c r="A437" s="3" t="str">
        <x:v>T2924522</x:v>
      </x:c>
      <x:c r="B437" s="7" t="d">
        <x:v>2026-10-08T00:00:00.000Z</x:v>
      </x:c>
      <x:c r="C437" s="3" t="str">
        <x:v>Taladrod</x:v>
      </x:c>
      <x:c r="D437" s="3" t="str">
        <x:v>Toyota</x:v>
      </x:c>
      <x:c r="E437" s="3" t="str">
        <x:v>日本</x:v>
      </x:c>
      <x:c r="F437" s="3" t="str">
        <x:v>Corolla Cross</x:v>
      </x:c>
      <x:c r="G437" s="3" t="str">
        <x:v>HEV</x:v>
      </x:c>
      <x:c r="H437" s="3" t="str">
        <x:v>SUV</x:v>
      </x:c>
      <x:c r="I437" s="3" t="str"/>
      <x:c r="J437" s="3" t="n">
        <x:v>2025</x:v>
      </x:c>
      <x:c r="K437" s="3" t="str">
        <x:v>1.8 HEV PREMIUM LUXURY</x:v>
      </x:c>
      <x:c r="L437" s="3" t="str">
        <x:v>HEV PREMIUM LUXURY</x:v>
      </x:c>
      <x:c r="M437" s="22"/>
      <x:c r="N437" s="22"/>
      <x:c r="O437" s="22"/>
      <x:c r="P437" s="3" t="str">
        <x:v>未掲載</x:v>
      </x:c>
      <x:c r="Q437" s="3" t="str">
        <x:v>未取得</x:v>
      </x:c>
      <x:c r="R437" s="3" t="str">
        <x:v>Unknown</x:v>
      </x:c>
      <x:c r="S437" s="3" t="str">
        <x:v>不明</x:v>
      </x:c>
      <x:c r="T437" s="3" t="str">
        <x:v>20-ปัจจุบัน</x:v>
      </x:c>
      <x:c r="U437" s="28" t="n">
        <x:v>959000</x:v>
      </x:c>
      <x:c r="V437" s="28" t="n">
        <x:v>1204000</x:v>
      </x:c>
      <x:c r="W437" s="3" t="str">
        <x:v>事故・水没・SOH・保証残は未確認</x:v>
      </x:c>
      <x:c r="X437" s="3" t="str">
        <x:v>掲載中・在庫未確認</x:v>
      </x:c>
      <x:c r="Y437" s="3" t="str"/>
      <x:c r="Z437" s="27" t="str">
        <x:v>https://www.taladrod.com/w40/icar/cardet.aspx?cid=2924522</x:v>
      </x:c>
      <x:c r="AA437" s="3" t="str">
        <x:v>Taladrod個別広告ID／Carsome在庫ID</x:v>
      </x:c>
      <x:c r="AB437" s="3" t="str">
        <x:v>車台番号未取得／サイト間重複は未判定</x:v>
      </x:c>
      <x:c r="AC437" s="3" t="str">
        <x:v>税込区分未確認（一覧表示額）</x:v>
      </x:c>
      <x:c r="AD437" s="3" t="str">
        <x:v>CROSS24_HEV PREMIUM LUXURY</x:v>
      </x:c>
      <x:c r="AE437" s="29" t="n">
        <x:f>'新車価格・特価'!K51</x:f>
        <x:v>1204000</x:v>
      </x:c>
      <x:c r="AF437" s="30" t="n">
        <x:f>IF(ISNUMBER(AE437),U437/AE437,"")</x:f>
        <x:v>0.7965116279069767</x:v>
      </x:c>
      <x:c r="AG437" s="29" t="n">
        <x:f>'新車価格・特価'!N55</x:f>
        <x:v>1204000</x:v>
      </x:c>
      <x:c r="AH437" s="30" t="n">
        <x:f>IF(ISNUMBER(AG437),U437/AG437,"")</x:f>
        <x:v>0.7965116279069767</x:v>
      </x:c>
      <x:c r="AI437" s="3" t="str">
        <x:v>当時公表小売価格の参考残価率。実購入額ではない。年式/登録年・仕様差に注意。</x:v>
      </x:c>
      <x:c r="AJ437" s="3" t="str">
        <x:v>一覧価格/年式のみ</x:v>
      </x:c>
      <x:c r="AK437" s="3" t="str">
        <x:v>一覧の表示価格。年式は掲載年式。</x:v>
      </x:c>
      <x:c r="AL437" s="31" t="n">
        <x:f>IF(AND(J437&lt;='分析方法'!$B$7,OR(ISBLANK(O437),O437&gt;='分析方法'!$B$8),X437&lt;&gt;"売却済み表示"),1,0)</x:f>
        <x:v>1</x:v>
      </x:c>
      <x:c r="AM437" s="32" t="n">
        <x:f>IF(AL437=1,U437,"")</x:f>
        <x:v>959000</x:v>
      </x:c>
      <x:c r="AN437" s="33" t="n">
        <x:f>IF(AL437=1,AF437,"")</x:f>
        <x:v>0.7965116279069767</x:v>
      </x:c>
      <x:c r="AO437" s="31" t="n">
        <x:f>'分析方法'!$B$6-J437</x:f>
        <x:v>1</x:v>
      </x:c>
      <x:c r="AP437" s="3"/>
    </x:row>
    <x:row r="438" ht="22" customHeight="1">
      <x:c r="A438" s="3" t="str">
        <x:v>T2925221</x:v>
      </x:c>
      <x:c r="B438" s="7" t="d">
        <x:v>2026-10-08T00:00:00.000Z</x:v>
      </x:c>
      <x:c r="C438" s="3" t="str">
        <x:v>Taladrod</x:v>
      </x:c>
      <x:c r="D438" s="3" t="str">
        <x:v>Toyota</x:v>
      </x:c>
      <x:c r="E438" s="3" t="str">
        <x:v>日本</x:v>
      </x:c>
      <x:c r="F438" s="3" t="str">
        <x:v>Corolla Cross</x:v>
      </x:c>
      <x:c r="G438" s="3" t="str">
        <x:v>HEV</x:v>
      </x:c>
      <x:c r="H438" s="3" t="str">
        <x:v>SUV</x:v>
      </x:c>
      <x:c r="I438" s="3" t="str"/>
      <x:c r="J438" s="3" t="n">
        <x:v>2025</x:v>
      </x:c>
      <x:c r="K438" s="3" t="str">
        <x:v>1.8 HEV PREMIUM LUXURY</x:v>
      </x:c>
      <x:c r="L438" s="3" t="str">
        <x:v>HEV PREMIUM LUXURY</x:v>
      </x:c>
      <x:c r="M438" s="22"/>
      <x:c r="N438" s="22"/>
      <x:c r="O438" s="22"/>
      <x:c r="P438" s="3" t="str">
        <x:v>未掲載</x:v>
      </x:c>
      <x:c r="Q438" s="3" t="str">
        <x:v>未取得</x:v>
      </x:c>
      <x:c r="R438" s="3" t="str">
        <x:v>Unknown</x:v>
      </x:c>
      <x:c r="S438" s="3" t="str">
        <x:v>不明</x:v>
      </x:c>
      <x:c r="T438" s="3" t="str">
        <x:v>20-ปัจจุบัน</x:v>
      </x:c>
      <x:c r="U438" s="28" t="n">
        <x:v>899000</x:v>
      </x:c>
      <x:c r="V438" s="28" t="n">
        <x:v>1204000</x:v>
      </x:c>
      <x:c r="W438" s="3" t="str">
        <x:v>事故・水没・SOH・保証残は未確認</x:v>
      </x:c>
      <x:c r="X438" s="3" t="str">
        <x:v>掲載中・在庫未確認</x:v>
      </x:c>
      <x:c r="Y438" s="3" t="str"/>
      <x:c r="Z438" s="27" t="str">
        <x:v>https://www.taladrod.com/w40/icar/cardet.aspx?cid=2925221</x:v>
      </x:c>
      <x:c r="AA438" s="3" t="str">
        <x:v>Taladrod個別広告ID／Carsome在庫ID</x:v>
      </x:c>
      <x:c r="AB438" s="3" t="str">
        <x:v>車台番号未取得／サイト間重複は未判定</x:v>
      </x:c>
      <x:c r="AC438" s="3" t="str">
        <x:v>税込区分未確認（一覧表示額）</x:v>
      </x:c>
      <x:c r="AD438" s="3" t="str">
        <x:v>CROSS24_HEV PREMIUM LUXURY</x:v>
      </x:c>
      <x:c r="AE438" s="29" t="n">
        <x:f>'新車価格・特価'!K51</x:f>
        <x:v>1204000</x:v>
      </x:c>
      <x:c r="AF438" s="30" t="n">
        <x:f>IF(ISNUMBER(AE438),U438/AE438,"")</x:f>
        <x:v>0.7466777408637874</x:v>
      </x:c>
      <x:c r="AG438" s="29" t="n">
        <x:f>'新車価格・特価'!N55</x:f>
        <x:v>1204000</x:v>
      </x:c>
      <x:c r="AH438" s="30" t="n">
        <x:f>IF(ISNUMBER(AG438),U438/AG438,"")</x:f>
        <x:v>0.7466777408637874</x:v>
      </x:c>
      <x:c r="AI438" s="3" t="str">
        <x:v>当時公表小売価格の参考残価率。実購入額ではない。年式/登録年・仕様差に注意。</x:v>
      </x:c>
      <x:c r="AJ438" s="3" t="str">
        <x:v>一覧価格/年式のみ</x:v>
      </x:c>
      <x:c r="AK438" s="3" t="str">
        <x:v>一覧の表示価格。年式は掲載年式。</x:v>
      </x:c>
      <x:c r="AL438" s="31" t="n">
        <x:f>IF(AND(J438&lt;='分析方法'!$B$7,OR(ISBLANK(O438),O438&gt;='分析方法'!$B$8),X438&lt;&gt;"売却済み表示"),1,0)</x:f>
        <x:v>1</x:v>
      </x:c>
      <x:c r="AM438" s="32" t="n">
        <x:f>IF(AL438=1,U438,"")</x:f>
        <x:v>899000</x:v>
      </x:c>
      <x:c r="AN438" s="33" t="n">
        <x:f>IF(AL438=1,AF438,"")</x:f>
        <x:v>0.7466777408637874</x:v>
      </x:c>
      <x:c r="AO438" s="31" t="n">
        <x:f>'分析方法'!$B$6-J438</x:f>
        <x:v>1</x:v>
      </x:c>
      <x:c r="AP438" s="3"/>
    </x:row>
    <x:row r="439" ht="22" customHeight="1">
      <x:c r="A439" s="3" t="str">
        <x:v>T2905104</x:v>
      </x:c>
      <x:c r="B439" s="7" t="d">
        <x:v>2026-10-08T00:00:00.000Z</x:v>
      </x:c>
      <x:c r="C439" s="3" t="str">
        <x:v>Taladrod</x:v>
      </x:c>
      <x:c r="D439" s="3" t="str">
        <x:v>Toyota</x:v>
      </x:c>
      <x:c r="E439" s="3" t="str">
        <x:v>日本</x:v>
      </x:c>
      <x:c r="F439" s="3" t="str">
        <x:v>Corolla Cross</x:v>
      </x:c>
      <x:c r="G439" s="3" t="str">
        <x:v>HEV</x:v>
      </x:c>
      <x:c r="H439" s="3" t="str">
        <x:v>SUV</x:v>
      </x:c>
      <x:c r="I439" s="3" t="str"/>
      <x:c r="J439" s="3" t="n">
        <x:v>2026</x:v>
      </x:c>
      <x:c r="K439" s="3" t="str">
        <x:v>1.8 HEV GR SPORT</x:v>
      </x:c>
      <x:c r="L439" s="3" t="str">
        <x:v>HEV GR SPORT</x:v>
      </x:c>
      <x:c r="M439" s="22"/>
      <x:c r="N439" s="22"/>
      <x:c r="O439" s="22"/>
      <x:c r="P439" s="3" t="str">
        <x:v>未掲載</x:v>
      </x:c>
      <x:c r="Q439" s="3" t="str">
        <x:v>未取得</x:v>
      </x:c>
      <x:c r="R439" s="3" t="str">
        <x:v>Unknown</x:v>
      </x:c>
      <x:c r="S439" s="3" t="str">
        <x:v>不明</x:v>
      </x:c>
      <x:c r="T439" s="3" t="str">
        <x:v>20-ปัจจุบัน</x:v>
      </x:c>
      <x:c r="U439" s="28" t="n">
        <x:v>929000</x:v>
      </x:c>
      <x:c r="V439" s="28" t="n">
        <x:v>1249000</x:v>
      </x:c>
      <x:c r="W439" s="3" t="str">
        <x:v>事故・水没・SOH・保証残は未確認</x:v>
      </x:c>
      <x:c r="X439" s="3" t="str">
        <x:v>掲載中・在庫未確認</x:v>
      </x:c>
      <x:c r="Y439" s="3" t="str"/>
      <x:c r="Z439" s="27" t="str">
        <x:v>https://www.taladrod.com/w40/icar/cardet.aspx?cid=2905104</x:v>
      </x:c>
      <x:c r="AA439" s="3" t="str">
        <x:v>Taladrod個別広告ID／Carsome在庫ID</x:v>
      </x:c>
      <x:c r="AB439" s="3" t="str">
        <x:v>車台番号未取得／サイト間重複は未判定</x:v>
      </x:c>
      <x:c r="AC439" s="3" t="str">
        <x:v>税込区分未確認（一覧表示額）</x:v>
      </x:c>
      <x:c r="AD439" s="3" t="str"/>
      <x:c r="AE439" s="29" t="str">
        <x:f>""</x:f>
      </x:c>
      <x:c r="AF439" s="30" t="str">
        <x:f>IF(ISNUMBER(AE439),U439/AE439,"")</x:f>
      </x:c>
      <x:c r="AG439" s="29" t="str">
        <x:f>""</x:f>
      </x:c>
      <x:c r="AH439" s="30" t="str">
        <x:f>IF(ISNUMBER(AG439),U439/AG439,"")</x:f>
      </x:c>
      <x:c r="AI439" s="3" t="str">
        <x:v>同年式・グレードの検証済み当時価格なし／登録年混在</x:v>
      </x:c>
      <x:c r="AJ439" s="3" t="str">
        <x:v>一覧価格/年式のみ</x:v>
      </x:c>
      <x:c r="AK439" s="3" t="str">
        <x:v>一覧の表示価格。年式は掲載年式。</x:v>
      </x:c>
      <x:c r="AL439" s="31" t="n">
        <x:f>IF(AND(J439&lt;='分析方法'!$B$7,OR(ISBLANK(O439),O439&gt;='分析方法'!$B$8),X439&lt;&gt;"売却済み表示"),1,0)</x:f>
        <x:v>0</x:v>
      </x:c>
      <x:c r="AM439" s="32" t="str">
        <x:f>IF(AL439=1,U439,"")</x:f>
      </x:c>
      <x:c r="AN439" s="33" t="str">
        <x:f>IF(AL439=1,AF439,"")</x:f>
      </x:c>
      <x:c r="AO439" s="31" t="n">
        <x:f>'分析方法'!$B$6-J439</x:f>
        <x:v>0</x:v>
      </x:c>
      <x:c r="AP439" s="3"/>
    </x:row>
    <x:row r="440" ht="22" customHeight="1">
      <x:c r="A440" s="3" t="str">
        <x:v>T2913942</x:v>
      </x:c>
      <x:c r="B440" s="7" t="d">
        <x:v>2026-10-08T00:00:00.000Z</x:v>
      </x:c>
      <x:c r="C440" s="3" t="str">
        <x:v>Taladrod</x:v>
      </x:c>
      <x:c r="D440" s="3" t="str">
        <x:v>Toyota</x:v>
      </x:c>
      <x:c r="E440" s="3" t="str">
        <x:v>日本</x:v>
      </x:c>
      <x:c r="F440" s="3" t="str">
        <x:v>Corolla Cross</x:v>
      </x:c>
      <x:c r="G440" s="3" t="str">
        <x:v>HEV</x:v>
      </x:c>
      <x:c r="H440" s="3" t="str">
        <x:v>SUV</x:v>
      </x:c>
      <x:c r="I440" s="3" t="str"/>
      <x:c r="J440" s="3" t="n">
        <x:v>2026</x:v>
      </x:c>
      <x:c r="K440" s="3" t="str">
        <x:v>1.8 HEV PREMIUM</x:v>
      </x:c>
      <x:c r="L440" s="3" t="str">
        <x:v>HEV PREMIUM</x:v>
      </x:c>
      <x:c r="M440" s="22"/>
      <x:c r="N440" s="22"/>
      <x:c r="O440" s="22"/>
      <x:c r="P440" s="3" t="str">
        <x:v>未掲載</x:v>
      </x:c>
      <x:c r="Q440" s="3" t="str">
        <x:v>未取得</x:v>
      </x:c>
      <x:c r="R440" s="3" t="str">
        <x:v>Unknown</x:v>
      </x:c>
      <x:c r="S440" s="3" t="str">
        <x:v>不明</x:v>
      </x:c>
      <x:c r="T440" s="3" t="str">
        <x:v>20-ปัจจุบัน</x:v>
      </x:c>
      <x:c r="U440" s="28" t="n">
        <x:v>929000</x:v>
      </x:c>
      <x:c r="V440" s="28" t="n">
        <x:v>1094000</x:v>
      </x:c>
      <x:c r="W440" s="3" t="str">
        <x:v>事故・水没・SOH・保証残は未確認</x:v>
      </x:c>
      <x:c r="X440" s="3" t="str">
        <x:v>掲載中・在庫未確認</x:v>
      </x:c>
      <x:c r="Y440" s="3" t="str"/>
      <x:c r="Z440" s="27" t="str">
        <x:v>https://www.taladrod.com/w40/icar/cardet.aspx?cid=2913942</x:v>
      </x:c>
      <x:c r="AA440" s="3" t="str">
        <x:v>Taladrod個別広告ID／Carsome在庫ID</x:v>
      </x:c>
      <x:c r="AB440" s="3" t="str">
        <x:v>車台番号未取得／サイト間重複は未判定</x:v>
      </x:c>
      <x:c r="AC440" s="3" t="str">
        <x:v>税込区分未確認（一覧表示額）</x:v>
      </x:c>
      <x:c r="AD440" s="3" t="str"/>
      <x:c r="AE440" s="29" t="str">
        <x:f>""</x:f>
      </x:c>
      <x:c r="AF440" s="30" t="str">
        <x:f>IF(ISNUMBER(AE440),U440/AE440,"")</x:f>
      </x:c>
      <x:c r="AG440" s="29" t="n">
        <x:f>'新車価格・特価'!N54</x:f>
        <x:v>1094000</x:v>
      </x:c>
      <x:c r="AH440" s="30" t="n">
        <x:f>IF(ISNUMBER(AG440),U440/AG440,"")</x:f>
        <x:v>0.8491773308957953</x:v>
      </x:c>
      <x:c r="AI440" s="3" t="str">
        <x:v>同年式・グレードの検証済み当時価格なし／登録年混在</x:v>
      </x:c>
      <x:c r="AJ440" s="3" t="str">
        <x:v>一覧価格/年式のみ</x:v>
      </x:c>
      <x:c r="AK440" s="3" t="str">
        <x:v>一覧の表示価格。年式は掲載年式。</x:v>
      </x:c>
      <x:c r="AL440" s="31" t="n">
        <x:f>IF(AND(J440&lt;='分析方法'!$B$7,OR(ISBLANK(O440),O440&gt;='分析方法'!$B$8),X440&lt;&gt;"売却済み表示"),1,0)</x:f>
        <x:v>0</x:v>
      </x:c>
      <x:c r="AM440" s="32" t="str">
        <x:f>IF(AL440=1,U440,"")</x:f>
      </x:c>
      <x:c r="AN440" s="33" t="str">
        <x:f>IF(AL440=1,AF440,"")</x:f>
      </x:c>
      <x:c r="AO440" s="31" t="n">
        <x:f>'分析方法'!$B$6-J440</x:f>
        <x:v>0</x:v>
      </x:c>
      <x:c r="AP440" s="3"/>
    </x:row>
    <x:row r="441" ht="22" customHeight="1">
      <x:c r="A441" s="3" t="str">
        <x:v>T2910454</x:v>
      </x:c>
      <x:c r="B441" s="7" t="d">
        <x:v>2026-10-08T00:00:00.000Z</x:v>
      </x:c>
      <x:c r="C441" s="3" t="str">
        <x:v>Taladrod</x:v>
      </x:c>
      <x:c r="D441" s="3" t="str">
        <x:v>Toyota</x:v>
      </x:c>
      <x:c r="E441" s="3" t="str">
        <x:v>日本</x:v>
      </x:c>
      <x:c r="F441" s="3" t="str">
        <x:v>Corolla Cross</x:v>
      </x:c>
      <x:c r="G441" s="3" t="str">
        <x:v>ICE</x:v>
      </x:c>
      <x:c r="H441" s="3" t="str">
        <x:v>SUV</x:v>
      </x:c>
      <x:c r="I441" s="3" t="str"/>
      <x:c r="J441" s="3" t="n">
        <x:v>2020</x:v>
      </x:c>
      <x:c r="K441" s="3" t="str">
        <x:v>1.8 SPORT</x:v>
      </x:c>
      <x:c r="L441" s="3" t="str">
        <x:v>SPORT</x:v>
      </x:c>
      <x:c r="M441" s="22"/>
      <x:c r="N441" s="22"/>
      <x:c r="O441" s="22"/>
      <x:c r="P441" s="3" t="str">
        <x:v>未掲載</x:v>
      </x:c>
      <x:c r="Q441" s="3" t="str">
        <x:v>未取得</x:v>
      </x:c>
      <x:c r="R441" s="3" t="str">
        <x:v>Unknown</x:v>
      </x:c>
      <x:c r="S441" s="3" t="str">
        <x:v>不明</x:v>
      </x:c>
      <x:c r="T441" s="3" t="str">
        <x:v>20-ปัจจุบัน</x:v>
      </x:c>
      <x:c r="U441" s="28" t="n">
        <x:v>499000</x:v>
      </x:c>
      <x:c r="V441" s="28" t="n">
        <x:v>989000</x:v>
      </x:c>
      <x:c r="W441" s="3" t="str">
        <x:v>事故・水没・SOH・保証残は未確認</x:v>
      </x:c>
      <x:c r="X441" s="3" t="str">
        <x:v>掲載中・在庫未確認</x:v>
      </x:c>
      <x:c r="Y441" s="3" t="str"/>
      <x:c r="Z441" s="27" t="str">
        <x:v>https://www.taladrod.com/w40/icar/cardet.aspx?cid=2910454</x:v>
      </x:c>
      <x:c r="AA441" s="3" t="str">
        <x:v>Taladrod個別広告ID／Carsome在庫ID</x:v>
      </x:c>
      <x:c r="AB441" s="3" t="str">
        <x:v>車台番号未取得／サイト間重複は未判定</x:v>
      </x:c>
      <x:c r="AC441" s="3" t="str">
        <x:v>税込区分未確認（一覧表示額）</x:v>
      </x:c>
      <x:c r="AD441" s="3" t="str"/>
      <x:c r="AE441" s="29" t="str">
        <x:f>""</x:f>
      </x:c>
      <x:c r="AF441" s="30" t="str">
        <x:f>IF(ISNUMBER(AE441),U441/AE441,"")</x:f>
      </x:c>
      <x:c r="AG441" s="29" t="str">
        <x:f>""</x:f>
      </x:c>
      <x:c r="AH441" s="30" t="str">
        <x:f>IF(ISNUMBER(AG441),U441/AG441,"")</x:f>
      </x:c>
      <x:c r="AI441" s="3" t="str">
        <x:v>同年式・グレードの検証済み当時価格なし／登録年混在</x:v>
      </x:c>
      <x:c r="AJ441" s="3" t="str">
        <x:v>一覧価格/年式のみ</x:v>
      </x:c>
      <x:c r="AK441" s="3" t="str">
        <x:v>一覧の表示価格。年式は掲載年式。</x:v>
      </x:c>
      <x:c r="AL441" s="31" t="n">
        <x:f>IF(AND(J441&lt;='分析方法'!$B$7,OR(ISBLANK(O441),O441&gt;='分析方法'!$B$8),X441&lt;&gt;"売却済み表示"),1,0)</x:f>
        <x:v>1</x:v>
      </x:c>
      <x:c r="AM441" s="32" t="n">
        <x:f>IF(AL441=1,U441,"")</x:f>
        <x:v>499000</x:v>
      </x:c>
      <x:c r="AN441" s="33" t="str">
        <x:f>IF(AL441=1,AF441,"")</x:f>
      </x:c>
      <x:c r="AO441" s="31" t="n">
        <x:f>'分析方法'!$B$6-J441</x:f>
        <x:v>6</x:v>
      </x:c>
      <x:c r="AP441" s="3"/>
    </x:row>
    <x:row r="442" ht="22" customHeight="1">
      <x:c r="A442" s="3" t="str">
        <x:v>T2899409</x:v>
      </x:c>
      <x:c r="B442" s="7" t="d">
        <x:v>2026-10-08T00:00:00.000Z</x:v>
      </x:c>
      <x:c r="C442" s="3" t="str">
        <x:v>Taladrod</x:v>
      </x:c>
      <x:c r="D442" s="3" t="str">
        <x:v>Toyota</x:v>
      </x:c>
      <x:c r="E442" s="3" t="str">
        <x:v>日本</x:v>
      </x:c>
      <x:c r="F442" s="3" t="str">
        <x:v>Corolla Cross</x:v>
      </x:c>
      <x:c r="G442" s="3" t="str">
        <x:v>ICE</x:v>
      </x:c>
      <x:c r="H442" s="3" t="str">
        <x:v>SUV</x:v>
      </x:c>
      <x:c r="I442" s="3" t="str"/>
      <x:c r="J442" s="3" t="n">
        <x:v>2021</x:v>
      </x:c>
      <x:c r="K442" s="3" t="str">
        <x:v>1.8 SPORT</x:v>
      </x:c>
      <x:c r="L442" s="3" t="str">
        <x:v>SPORT</x:v>
      </x:c>
      <x:c r="M442" s="22"/>
      <x:c r="N442" s="22"/>
      <x:c r="O442" s="22"/>
      <x:c r="P442" s="3" t="str">
        <x:v>未掲載</x:v>
      </x:c>
      <x:c r="Q442" s="3" t="str">
        <x:v>未取得</x:v>
      </x:c>
      <x:c r="R442" s="3" t="str">
        <x:v>Unknown</x:v>
      </x:c>
      <x:c r="S442" s="3" t="str">
        <x:v>不明</x:v>
      </x:c>
      <x:c r="T442" s="3" t="str">
        <x:v>20-ปัจจุบัน</x:v>
      </x:c>
      <x:c r="U442" s="28" t="n">
        <x:v>569000</x:v>
      </x:c>
      <x:c r="V442" s="28" t="n">
        <x:v>989000</x:v>
      </x:c>
      <x:c r="W442" s="3" t="str">
        <x:v>事故・水没・SOH・保証残は未確認</x:v>
      </x:c>
      <x:c r="X442" s="3" t="str">
        <x:v>掲載中・在庫未確認</x:v>
      </x:c>
      <x:c r="Y442" s="3" t="str"/>
      <x:c r="Z442" s="27" t="str">
        <x:v>https://www.taladrod.com/w40/icar/cardet.aspx?cid=2899409</x:v>
      </x:c>
      <x:c r="AA442" s="3" t="str">
        <x:v>Taladrod個別広告ID／Carsome在庫ID</x:v>
      </x:c>
      <x:c r="AB442" s="3" t="str">
        <x:v>車台番号未取得／サイト間重複は未判定</x:v>
      </x:c>
      <x:c r="AC442" s="3" t="str">
        <x:v>税込区分未確認（一覧表示額）</x:v>
      </x:c>
      <x:c r="AD442" s="3" t="str"/>
      <x:c r="AE442" s="29" t="str">
        <x:f>""</x:f>
      </x:c>
      <x:c r="AF442" s="30" t="str">
        <x:f>IF(ISNUMBER(AE442),U442/AE442,"")</x:f>
      </x:c>
      <x:c r="AG442" s="29" t="str">
        <x:f>""</x:f>
      </x:c>
      <x:c r="AH442" s="30" t="str">
        <x:f>IF(ISNUMBER(AG442),U442/AG442,"")</x:f>
      </x:c>
      <x:c r="AI442" s="3" t="str">
        <x:v>同年式・グレードの検証済み当時価格なし／登録年混在</x:v>
      </x:c>
      <x:c r="AJ442" s="3" t="str">
        <x:v>一覧価格/年式のみ</x:v>
      </x:c>
      <x:c r="AK442" s="3" t="str">
        <x:v>一覧の表示価格。年式は掲載年式。</x:v>
      </x:c>
      <x:c r="AL442" s="31" t="n">
        <x:f>IF(AND(J442&lt;='分析方法'!$B$7,OR(ISBLANK(O442),O442&gt;='分析方法'!$B$8),X442&lt;&gt;"売却済み表示"),1,0)</x:f>
        <x:v>1</x:v>
      </x:c>
      <x:c r="AM442" s="32" t="n">
        <x:f>IF(AL442=1,U442,"")</x:f>
        <x:v>569000</x:v>
      </x:c>
      <x:c r="AN442" s="33" t="str">
        <x:f>IF(AL442=1,AF442,"")</x:f>
      </x:c>
      <x:c r="AO442" s="31" t="n">
        <x:f>'分析方法'!$B$6-J442</x:f>
        <x:v>5</x:v>
      </x:c>
      <x:c r="AP442" s="3"/>
    </x:row>
    <x:row r="443" ht="22" customHeight="1">
      <x:c r="A443" s="3" t="str">
        <x:v>T2901118</x:v>
      </x:c>
      <x:c r="B443" s="7" t="d">
        <x:v>2026-10-08T00:00:00.000Z</x:v>
      </x:c>
      <x:c r="C443" s="3" t="str">
        <x:v>Taladrod</x:v>
      </x:c>
      <x:c r="D443" s="3" t="str">
        <x:v>Toyota</x:v>
      </x:c>
      <x:c r="E443" s="3" t="str">
        <x:v>日本</x:v>
      </x:c>
      <x:c r="F443" s="3" t="str">
        <x:v>Corolla Cross</x:v>
      </x:c>
      <x:c r="G443" s="3" t="str">
        <x:v>ICE</x:v>
      </x:c>
      <x:c r="H443" s="3" t="str">
        <x:v>SUV</x:v>
      </x:c>
      <x:c r="I443" s="3" t="str"/>
      <x:c r="J443" s="3" t="n">
        <x:v>2021</x:v>
      </x:c>
      <x:c r="K443" s="3" t="str">
        <x:v>1.8 SPORT</x:v>
      </x:c>
      <x:c r="L443" s="3" t="str">
        <x:v>SPORT</x:v>
      </x:c>
      <x:c r="M443" s="22"/>
      <x:c r="N443" s="22"/>
      <x:c r="O443" s="22"/>
      <x:c r="P443" s="3" t="str">
        <x:v>未掲載</x:v>
      </x:c>
      <x:c r="Q443" s="3" t="str">
        <x:v>未取得</x:v>
      </x:c>
      <x:c r="R443" s="3" t="str">
        <x:v>Unknown</x:v>
      </x:c>
      <x:c r="S443" s="3" t="str">
        <x:v>不明</x:v>
      </x:c>
      <x:c r="T443" s="3" t="str">
        <x:v>20-ปัจจุบัน</x:v>
      </x:c>
      <x:c r="U443" s="28" t="n">
        <x:v>519000</x:v>
      </x:c>
      <x:c r="V443" s="28" t="n">
        <x:v>989000</x:v>
      </x:c>
      <x:c r="W443" s="3" t="str">
        <x:v>事故・水没・SOH・保証残は未確認</x:v>
      </x:c>
      <x:c r="X443" s="3" t="str">
        <x:v>掲載中・在庫未確認</x:v>
      </x:c>
      <x:c r="Y443" s="3" t="str"/>
      <x:c r="Z443" s="27" t="str">
        <x:v>https://www.taladrod.com/w40/icar/cardet.aspx?cid=2901118</x:v>
      </x:c>
      <x:c r="AA443" s="3" t="str">
        <x:v>Taladrod個別広告ID／Carsome在庫ID</x:v>
      </x:c>
      <x:c r="AB443" s="3" t="str">
        <x:v>車台番号未取得／サイト間重複は未判定</x:v>
      </x:c>
      <x:c r="AC443" s="3" t="str">
        <x:v>税込区分未確認（一覧表示額）</x:v>
      </x:c>
      <x:c r="AD443" s="3" t="str"/>
      <x:c r="AE443" s="29" t="str">
        <x:f>""</x:f>
      </x:c>
      <x:c r="AF443" s="30" t="str">
        <x:f>IF(ISNUMBER(AE443),U443/AE443,"")</x:f>
      </x:c>
      <x:c r="AG443" s="29" t="str">
        <x:f>""</x:f>
      </x:c>
      <x:c r="AH443" s="30" t="str">
        <x:f>IF(ISNUMBER(AG443),U443/AG443,"")</x:f>
      </x:c>
      <x:c r="AI443" s="3" t="str">
        <x:v>同年式・グレードの検証済み当時価格なし／登録年混在</x:v>
      </x:c>
      <x:c r="AJ443" s="3" t="str">
        <x:v>一覧価格/年式のみ</x:v>
      </x:c>
      <x:c r="AK443" s="3" t="str">
        <x:v>一覧の表示価格。年式は掲載年式。</x:v>
      </x:c>
      <x:c r="AL443" s="31" t="n">
        <x:f>IF(AND(J443&lt;='分析方法'!$B$7,OR(ISBLANK(O443),O443&gt;='分析方法'!$B$8),X443&lt;&gt;"売却済み表示"),1,0)</x:f>
        <x:v>1</x:v>
      </x:c>
      <x:c r="AM443" s="32" t="n">
        <x:f>IF(AL443=1,U443,"")</x:f>
        <x:v>519000</x:v>
      </x:c>
      <x:c r="AN443" s="33" t="str">
        <x:f>IF(AL443=1,AF443,"")</x:f>
      </x:c>
      <x:c r="AO443" s="31" t="n">
        <x:f>'分析方法'!$B$6-J443</x:f>
        <x:v>5</x:v>
      </x:c>
      <x:c r="AP443" s="3"/>
    </x:row>
    <x:row r="444" ht="22" customHeight="1">
      <x:c r="A444" s="3" t="str">
        <x:v>T2908000</x:v>
      </x:c>
      <x:c r="B444" s="7" t="d">
        <x:v>2026-10-08T00:00:00.000Z</x:v>
      </x:c>
      <x:c r="C444" s="3" t="str">
        <x:v>Taladrod</x:v>
      </x:c>
      <x:c r="D444" s="3" t="str">
        <x:v>Toyota</x:v>
      </x:c>
      <x:c r="E444" s="3" t="str">
        <x:v>日本</x:v>
      </x:c>
      <x:c r="F444" s="3" t="str">
        <x:v>Corolla Cross</x:v>
      </x:c>
      <x:c r="G444" s="3" t="str">
        <x:v>ICE</x:v>
      </x:c>
      <x:c r="H444" s="3" t="str">
        <x:v>SUV</x:v>
      </x:c>
      <x:c r="I444" s="3" t="str"/>
      <x:c r="J444" s="3" t="n">
        <x:v>2021</x:v>
      </x:c>
      <x:c r="K444" s="3" t="str">
        <x:v>1.8 SPORT</x:v>
      </x:c>
      <x:c r="L444" s="3" t="str">
        <x:v>SPORT</x:v>
      </x:c>
      <x:c r="M444" s="22"/>
      <x:c r="N444" s="22"/>
      <x:c r="O444" s="22"/>
      <x:c r="P444" s="3" t="str">
        <x:v>未掲載</x:v>
      </x:c>
      <x:c r="Q444" s="3" t="str">
        <x:v>未取得</x:v>
      </x:c>
      <x:c r="R444" s="3" t="str">
        <x:v>Unknown</x:v>
      </x:c>
      <x:c r="S444" s="3" t="str">
        <x:v>不明</x:v>
      </x:c>
      <x:c r="T444" s="3" t="str">
        <x:v>20-ปัจจุบัน</x:v>
      </x:c>
      <x:c r="U444" s="28" t="n">
        <x:v>534000</x:v>
      </x:c>
      <x:c r="V444" s="28" t="n">
        <x:v>989000</x:v>
      </x:c>
      <x:c r="W444" s="3" t="str">
        <x:v>事故・水没・SOH・保証残は未確認</x:v>
      </x:c>
      <x:c r="X444" s="3" t="str">
        <x:v>掲載中・在庫未確認</x:v>
      </x:c>
      <x:c r="Y444" s="3" t="str"/>
      <x:c r="Z444" s="27" t="str">
        <x:v>https://www.taladrod.com/w40/icar/cardet.aspx?cid=2908000</x:v>
      </x:c>
      <x:c r="AA444" s="3" t="str">
        <x:v>Taladrod個別広告ID／Carsome在庫ID</x:v>
      </x:c>
      <x:c r="AB444" s="3" t="str">
        <x:v>車台番号未取得／サイト間重複は未判定</x:v>
      </x:c>
      <x:c r="AC444" s="3" t="str">
        <x:v>税込区分未確認（一覧表示額）</x:v>
      </x:c>
      <x:c r="AD444" s="3" t="str"/>
      <x:c r="AE444" s="29" t="str">
        <x:f>""</x:f>
      </x:c>
      <x:c r="AF444" s="30" t="str">
        <x:f>IF(ISNUMBER(AE444),U444/AE444,"")</x:f>
      </x:c>
      <x:c r="AG444" s="29" t="str">
        <x:f>""</x:f>
      </x:c>
      <x:c r="AH444" s="30" t="str">
        <x:f>IF(ISNUMBER(AG444),U444/AG444,"")</x:f>
      </x:c>
      <x:c r="AI444" s="3" t="str">
        <x:v>同年式・グレードの検証済み当時価格なし／登録年混在</x:v>
      </x:c>
      <x:c r="AJ444" s="3" t="str">
        <x:v>一覧価格/年式のみ</x:v>
      </x:c>
      <x:c r="AK444" s="3" t="str">
        <x:v>一覧の表示価格。年式は掲載年式。</x:v>
      </x:c>
      <x:c r="AL444" s="31" t="n">
        <x:f>IF(AND(J444&lt;='分析方法'!$B$7,OR(ISBLANK(O444),O444&gt;='分析方法'!$B$8),X444&lt;&gt;"売却済み表示"),1,0)</x:f>
        <x:v>1</x:v>
      </x:c>
      <x:c r="AM444" s="32" t="n">
        <x:f>IF(AL444=1,U444,"")</x:f>
        <x:v>534000</x:v>
      </x:c>
      <x:c r="AN444" s="33" t="str">
        <x:f>IF(AL444=1,AF444,"")</x:f>
      </x:c>
      <x:c r="AO444" s="31" t="n">
        <x:f>'分析方法'!$B$6-J444</x:f>
        <x:v>5</x:v>
      </x:c>
      <x:c r="AP444" s="3"/>
    </x:row>
    <x:row r="445" ht="22" customHeight="1">
      <x:c r="A445" s="3" t="str">
        <x:v>T2913283</x:v>
      </x:c>
      <x:c r="B445" s="7" t="d">
        <x:v>2026-10-08T00:00:00.000Z</x:v>
      </x:c>
      <x:c r="C445" s="3" t="str">
        <x:v>Taladrod</x:v>
      </x:c>
      <x:c r="D445" s="3" t="str">
        <x:v>Toyota</x:v>
      </x:c>
      <x:c r="E445" s="3" t="str">
        <x:v>日本</x:v>
      </x:c>
      <x:c r="F445" s="3" t="str">
        <x:v>Corolla Cross</x:v>
      </x:c>
      <x:c r="G445" s="3" t="str">
        <x:v>ICE</x:v>
      </x:c>
      <x:c r="H445" s="3" t="str">
        <x:v>SUV</x:v>
      </x:c>
      <x:c r="I445" s="3" t="str"/>
      <x:c r="J445" s="3" t="n">
        <x:v>2021</x:v>
      </x:c>
      <x:c r="K445" s="3" t="str">
        <x:v>1.8 SPORT</x:v>
      </x:c>
      <x:c r="L445" s="3" t="str">
        <x:v>SPORT</x:v>
      </x:c>
      <x:c r="M445" s="22"/>
      <x:c r="N445" s="22"/>
      <x:c r="O445" s="22"/>
      <x:c r="P445" s="3" t="str">
        <x:v>未掲載</x:v>
      </x:c>
      <x:c r="Q445" s="3" t="str">
        <x:v>未取得</x:v>
      </x:c>
      <x:c r="R445" s="3" t="str">
        <x:v>Unknown</x:v>
      </x:c>
      <x:c r="S445" s="3" t="str">
        <x:v>不明</x:v>
      </x:c>
      <x:c r="T445" s="3" t="str">
        <x:v>20-ปัจจุบัน</x:v>
      </x:c>
      <x:c r="U445" s="28" t="n">
        <x:v>549000</x:v>
      </x:c>
      <x:c r="V445" s="28" t="n">
        <x:v>989000</x:v>
      </x:c>
      <x:c r="W445" s="3" t="str">
        <x:v>事故・水没・SOH・保証残は未確認</x:v>
      </x:c>
      <x:c r="X445" s="3" t="str">
        <x:v>掲載中・在庫未確認</x:v>
      </x:c>
      <x:c r="Y445" s="3" t="str"/>
      <x:c r="Z445" s="27" t="str">
        <x:v>https://www.taladrod.com/w40/icar/cardet.aspx?cid=2913283</x:v>
      </x:c>
      <x:c r="AA445" s="3" t="str">
        <x:v>Taladrod個別広告ID／Carsome在庫ID</x:v>
      </x:c>
      <x:c r="AB445" s="3" t="str">
        <x:v>車台番号未取得／サイト間重複は未判定</x:v>
      </x:c>
      <x:c r="AC445" s="3" t="str">
        <x:v>税込区分未確認（一覧表示額）</x:v>
      </x:c>
      <x:c r="AD445" s="3" t="str"/>
      <x:c r="AE445" s="29" t="str">
        <x:f>""</x:f>
      </x:c>
      <x:c r="AF445" s="30" t="str">
        <x:f>IF(ISNUMBER(AE445),U445/AE445,"")</x:f>
      </x:c>
      <x:c r="AG445" s="29" t="str">
        <x:f>""</x:f>
      </x:c>
      <x:c r="AH445" s="30" t="str">
        <x:f>IF(ISNUMBER(AG445),U445/AG445,"")</x:f>
      </x:c>
      <x:c r="AI445" s="3" t="str">
        <x:v>同年式・グレードの検証済み当時価格なし／登録年混在</x:v>
      </x:c>
      <x:c r="AJ445" s="3" t="str">
        <x:v>一覧価格/年式のみ</x:v>
      </x:c>
      <x:c r="AK445" s="3" t="str">
        <x:v>一覧の表示価格。年式は掲載年式。</x:v>
      </x:c>
      <x:c r="AL445" s="31" t="n">
        <x:f>IF(AND(J445&lt;='分析方法'!$B$7,OR(ISBLANK(O445),O445&gt;='分析方法'!$B$8),X445&lt;&gt;"売却済み表示"),1,0)</x:f>
        <x:v>1</x:v>
      </x:c>
      <x:c r="AM445" s="32" t="n">
        <x:f>IF(AL445=1,U445,"")</x:f>
        <x:v>549000</x:v>
      </x:c>
      <x:c r="AN445" s="33" t="str">
        <x:f>IF(AL445=1,AF445,"")</x:f>
      </x:c>
      <x:c r="AO445" s="31" t="n">
        <x:f>'分析方法'!$B$6-J445</x:f>
        <x:v>5</x:v>
      </x:c>
      <x:c r="AP445" s="3"/>
    </x:row>
    <x:row r="446" ht="22" customHeight="1">
      <x:c r="A446" s="3" t="str">
        <x:v>T2922872</x:v>
      </x:c>
      <x:c r="B446" s="7" t="d">
        <x:v>2026-10-08T00:00:00.000Z</x:v>
      </x:c>
      <x:c r="C446" s="3" t="str">
        <x:v>Taladrod</x:v>
      </x:c>
      <x:c r="D446" s="3" t="str">
        <x:v>Toyota</x:v>
      </x:c>
      <x:c r="E446" s="3" t="str">
        <x:v>日本</x:v>
      </x:c>
      <x:c r="F446" s="3" t="str">
        <x:v>Corolla Cross</x:v>
      </x:c>
      <x:c r="G446" s="3" t="str">
        <x:v>ICE</x:v>
      </x:c>
      <x:c r="H446" s="3" t="str">
        <x:v>SUV</x:v>
      </x:c>
      <x:c r="I446" s="3" t="str"/>
      <x:c r="J446" s="3" t="n">
        <x:v>2021</x:v>
      </x:c>
      <x:c r="K446" s="3" t="str">
        <x:v>1.8 SPORT</x:v>
      </x:c>
      <x:c r="L446" s="3" t="str">
        <x:v>SPORT</x:v>
      </x:c>
      <x:c r="M446" s="22"/>
      <x:c r="N446" s="22"/>
      <x:c r="O446" s="22"/>
      <x:c r="P446" s="3" t="str">
        <x:v>未掲載</x:v>
      </x:c>
      <x:c r="Q446" s="3" t="str">
        <x:v>未取得</x:v>
      </x:c>
      <x:c r="R446" s="3" t="str">
        <x:v>Unknown</x:v>
      </x:c>
      <x:c r="S446" s="3" t="str">
        <x:v>不明</x:v>
      </x:c>
      <x:c r="T446" s="3" t="str">
        <x:v>20-ปัจจุบัน</x:v>
      </x:c>
      <x:c r="U446" s="28" t="n">
        <x:v>589000</x:v>
      </x:c>
      <x:c r="V446" s="28" t="n">
        <x:v>989000</x:v>
      </x:c>
      <x:c r="W446" s="3" t="str">
        <x:v>事故・水没・SOH・保証残は未確認</x:v>
      </x:c>
      <x:c r="X446" s="3" t="str">
        <x:v>掲載中・在庫未確認</x:v>
      </x:c>
      <x:c r="Y446" s="3" t="str"/>
      <x:c r="Z446" s="27" t="str">
        <x:v>https://www.taladrod.com/w40/icar/cardet.aspx?cid=2922872</x:v>
      </x:c>
      <x:c r="AA446" s="3" t="str">
        <x:v>Taladrod個別広告ID／Carsome在庫ID</x:v>
      </x:c>
      <x:c r="AB446" s="3" t="str">
        <x:v>車台番号未取得／サイト間重複は未判定</x:v>
      </x:c>
      <x:c r="AC446" s="3" t="str">
        <x:v>税込区分未確認（一覧表示額）</x:v>
      </x:c>
      <x:c r="AD446" s="3" t="str"/>
      <x:c r="AE446" s="29" t="str">
        <x:f>""</x:f>
      </x:c>
      <x:c r="AF446" s="30" t="str">
        <x:f>IF(ISNUMBER(AE446),U446/AE446,"")</x:f>
      </x:c>
      <x:c r="AG446" s="29" t="str">
        <x:f>""</x:f>
      </x:c>
      <x:c r="AH446" s="30" t="str">
        <x:f>IF(ISNUMBER(AG446),U446/AG446,"")</x:f>
      </x:c>
      <x:c r="AI446" s="3" t="str">
        <x:v>同年式・グレードの検証済み当時価格なし／登録年混在</x:v>
      </x:c>
      <x:c r="AJ446" s="3" t="str">
        <x:v>一覧価格/年式のみ</x:v>
      </x:c>
      <x:c r="AK446" s="3" t="str">
        <x:v>一覧の表示価格。年式は掲載年式。</x:v>
      </x:c>
      <x:c r="AL446" s="31" t="n">
        <x:f>IF(AND(J446&lt;='分析方法'!$B$7,OR(ISBLANK(O446),O446&gt;='分析方法'!$B$8),X446&lt;&gt;"売却済み表示"),1,0)</x:f>
        <x:v>1</x:v>
      </x:c>
      <x:c r="AM446" s="32" t="n">
        <x:f>IF(AL446=1,U446,"")</x:f>
        <x:v>589000</x:v>
      </x:c>
      <x:c r="AN446" s="33" t="str">
        <x:f>IF(AL446=1,AF446,"")</x:f>
      </x:c>
      <x:c r="AO446" s="31" t="n">
        <x:f>'分析方法'!$B$6-J446</x:f>
        <x:v>5</x:v>
      </x:c>
      <x:c r="AP446" s="3"/>
    </x:row>
    <x:row r="447" ht="22" customHeight="1">
      <x:c r="A447" s="3" t="str">
        <x:v>T2924060</x:v>
      </x:c>
      <x:c r="B447" s="7" t="d">
        <x:v>2026-10-08T00:00:00.000Z</x:v>
      </x:c>
      <x:c r="C447" s="3" t="str">
        <x:v>Taladrod</x:v>
      </x:c>
      <x:c r="D447" s="3" t="str">
        <x:v>Toyota</x:v>
      </x:c>
      <x:c r="E447" s="3" t="str">
        <x:v>日本</x:v>
      </x:c>
      <x:c r="F447" s="3" t="str">
        <x:v>Corolla Cross</x:v>
      </x:c>
      <x:c r="G447" s="3" t="str">
        <x:v>ICE</x:v>
      </x:c>
      <x:c r="H447" s="3" t="str">
        <x:v>SUV</x:v>
      </x:c>
      <x:c r="I447" s="3" t="str"/>
      <x:c r="J447" s="3" t="n">
        <x:v>2021</x:v>
      </x:c>
      <x:c r="K447" s="3" t="str">
        <x:v>1.8 SPORT</x:v>
      </x:c>
      <x:c r="L447" s="3" t="str">
        <x:v>SPORT</x:v>
      </x:c>
      <x:c r="M447" s="22"/>
      <x:c r="N447" s="22"/>
      <x:c r="O447" s="22"/>
      <x:c r="P447" s="3" t="str">
        <x:v>未掲載</x:v>
      </x:c>
      <x:c r="Q447" s="3" t="str">
        <x:v>未取得</x:v>
      </x:c>
      <x:c r="R447" s="3" t="str">
        <x:v>Unknown</x:v>
      </x:c>
      <x:c r="S447" s="3" t="str">
        <x:v>不明</x:v>
      </x:c>
      <x:c r="T447" s="3" t="str">
        <x:v>20-ปัจจุบัน</x:v>
      </x:c>
      <x:c r="U447" s="28" t="n">
        <x:v>599000</x:v>
      </x:c>
      <x:c r="V447" s="28" t="n">
        <x:v>989000</x:v>
      </x:c>
      <x:c r="W447" s="3" t="str">
        <x:v>事故・水没・SOH・保証残は未確認</x:v>
      </x:c>
      <x:c r="X447" s="3" t="str">
        <x:v>掲載中・在庫未確認</x:v>
      </x:c>
      <x:c r="Y447" s="3" t="str"/>
      <x:c r="Z447" s="27" t="str">
        <x:v>https://www.taladrod.com/w40/icar/cardet.aspx?cid=2924060</x:v>
      </x:c>
      <x:c r="AA447" s="3" t="str">
        <x:v>Taladrod個別広告ID／Carsome在庫ID</x:v>
      </x:c>
      <x:c r="AB447" s="3" t="str">
        <x:v>車台番号未取得／サイト間重複は未判定</x:v>
      </x:c>
      <x:c r="AC447" s="3" t="str">
        <x:v>税込区分未確認（一覧表示額）</x:v>
      </x:c>
      <x:c r="AD447" s="3" t="str"/>
      <x:c r="AE447" s="29" t="str">
        <x:f>""</x:f>
      </x:c>
      <x:c r="AF447" s="30" t="str">
        <x:f>IF(ISNUMBER(AE447),U447/AE447,"")</x:f>
      </x:c>
      <x:c r="AG447" s="29" t="str">
        <x:f>""</x:f>
      </x:c>
      <x:c r="AH447" s="30" t="str">
        <x:f>IF(ISNUMBER(AG447),U447/AG447,"")</x:f>
      </x:c>
      <x:c r="AI447" s="3" t="str">
        <x:v>同年式・グレードの検証済み当時価格なし／登録年混在</x:v>
      </x:c>
      <x:c r="AJ447" s="3" t="str">
        <x:v>一覧価格/年式のみ</x:v>
      </x:c>
      <x:c r="AK447" s="3" t="str">
        <x:v>一覧の表示価格。年式は掲載年式。</x:v>
      </x:c>
      <x:c r="AL447" s="31" t="n">
        <x:f>IF(AND(J447&lt;='分析方法'!$B$7,OR(ISBLANK(O447),O447&gt;='分析方法'!$B$8),X447&lt;&gt;"売却済み表示"),1,0)</x:f>
        <x:v>1</x:v>
      </x:c>
      <x:c r="AM447" s="32" t="n">
        <x:f>IF(AL447=1,U447,"")</x:f>
        <x:v>599000</x:v>
      </x:c>
      <x:c r="AN447" s="33" t="str">
        <x:f>IF(AL447=1,AF447,"")</x:f>
      </x:c>
      <x:c r="AO447" s="31" t="n">
        <x:f>'分析方法'!$B$6-J447</x:f>
        <x:v>5</x:v>
      </x:c>
      <x:c r="AP447" s="3"/>
    </x:row>
    <x:row r="448" ht="22" customHeight="1">
      <x:c r="A448" s="3" t="str">
        <x:v>T2925412</x:v>
      </x:c>
      <x:c r="B448" s="7" t="d">
        <x:v>2026-10-08T00:00:00.000Z</x:v>
      </x:c>
      <x:c r="C448" s="3" t="str">
        <x:v>Taladrod</x:v>
      </x:c>
      <x:c r="D448" s="3" t="str">
        <x:v>Toyota</x:v>
      </x:c>
      <x:c r="E448" s="3" t="str">
        <x:v>日本</x:v>
      </x:c>
      <x:c r="F448" s="3" t="str">
        <x:v>Corolla Cross</x:v>
      </x:c>
      <x:c r="G448" s="3" t="str">
        <x:v>ICE</x:v>
      </x:c>
      <x:c r="H448" s="3" t="str">
        <x:v>SUV</x:v>
      </x:c>
      <x:c r="I448" s="3" t="str"/>
      <x:c r="J448" s="3" t="n">
        <x:v>2021</x:v>
      </x:c>
      <x:c r="K448" s="3" t="str">
        <x:v>1.8 SPORT</x:v>
      </x:c>
      <x:c r="L448" s="3" t="str">
        <x:v>SPORT</x:v>
      </x:c>
      <x:c r="M448" s="22"/>
      <x:c r="N448" s="22"/>
      <x:c r="O448" s="22"/>
      <x:c r="P448" s="3" t="str">
        <x:v>未掲載</x:v>
      </x:c>
      <x:c r="Q448" s="3" t="str">
        <x:v>未取得</x:v>
      </x:c>
      <x:c r="R448" s="3" t="str">
        <x:v>Unknown</x:v>
      </x:c>
      <x:c r="S448" s="3" t="str">
        <x:v>不明</x:v>
      </x:c>
      <x:c r="T448" s="3" t="str">
        <x:v>20-ปัจจุบัน</x:v>
      </x:c>
      <x:c r="U448" s="28" t="n">
        <x:v>558000</x:v>
      </x:c>
      <x:c r="V448" s="28" t="n">
        <x:v>989000</x:v>
      </x:c>
      <x:c r="W448" s="3" t="str">
        <x:v>事故・水没・SOH・保証残は未確認</x:v>
      </x:c>
      <x:c r="X448" s="3" t="str">
        <x:v>掲載中・在庫未確認</x:v>
      </x:c>
      <x:c r="Y448" s="3" t="str"/>
      <x:c r="Z448" s="27" t="str">
        <x:v>https://www.taladrod.com/w40/icar/cardet.aspx?cid=2925412</x:v>
      </x:c>
      <x:c r="AA448" s="3" t="str">
        <x:v>Taladrod個別広告ID／Carsome在庫ID</x:v>
      </x:c>
      <x:c r="AB448" s="3" t="str">
        <x:v>車台番号未取得／サイト間重複は未判定</x:v>
      </x:c>
      <x:c r="AC448" s="3" t="str">
        <x:v>税込区分未確認（一覧表示額）</x:v>
      </x:c>
      <x:c r="AD448" s="3" t="str"/>
      <x:c r="AE448" s="29" t="str">
        <x:f>""</x:f>
      </x:c>
      <x:c r="AF448" s="30" t="str">
        <x:f>IF(ISNUMBER(AE448),U448/AE448,"")</x:f>
      </x:c>
      <x:c r="AG448" s="29" t="str">
        <x:f>""</x:f>
      </x:c>
      <x:c r="AH448" s="30" t="str">
        <x:f>IF(ISNUMBER(AG448),U448/AG448,"")</x:f>
      </x:c>
      <x:c r="AI448" s="3" t="str">
        <x:v>同年式・グレードの検証済み当時価格なし／登録年混在</x:v>
      </x:c>
      <x:c r="AJ448" s="3" t="str">
        <x:v>一覧価格/年式のみ</x:v>
      </x:c>
      <x:c r="AK448" s="3" t="str">
        <x:v>一覧の表示価格。年式は掲載年式。</x:v>
      </x:c>
      <x:c r="AL448" s="31" t="n">
        <x:f>IF(AND(J448&lt;='分析方法'!$B$7,OR(ISBLANK(O448),O448&gt;='分析方法'!$B$8),X448&lt;&gt;"売却済み表示"),1,0)</x:f>
        <x:v>1</x:v>
      </x:c>
      <x:c r="AM448" s="32" t="n">
        <x:f>IF(AL448=1,U448,"")</x:f>
        <x:v>558000</x:v>
      </x:c>
      <x:c r="AN448" s="33" t="str">
        <x:f>IF(AL448=1,AF448,"")</x:f>
      </x:c>
      <x:c r="AO448" s="31" t="n">
        <x:f>'分析方法'!$B$6-J448</x:f>
        <x:v>5</x:v>
      </x:c>
      <x:c r="AP448" s="3"/>
    </x:row>
    <x:row r="449" ht="22" customHeight="1">
      <x:c r="A449" s="3" t="str">
        <x:v>T2909560</x:v>
      </x:c>
      <x:c r="B449" s="7" t="d">
        <x:v>2026-10-08T00:00:00.000Z</x:v>
      </x:c>
      <x:c r="C449" s="3" t="str">
        <x:v>Taladrod</x:v>
      </x:c>
      <x:c r="D449" s="3" t="str">
        <x:v>Toyota</x:v>
      </x:c>
      <x:c r="E449" s="3" t="str">
        <x:v>日本</x:v>
      </x:c>
      <x:c r="F449" s="3" t="str">
        <x:v>Corolla Cross</x:v>
      </x:c>
      <x:c r="G449" s="3" t="str">
        <x:v>ICE</x:v>
      </x:c>
      <x:c r="H449" s="3" t="str">
        <x:v>SUV</x:v>
      </x:c>
      <x:c r="I449" s="3" t="str"/>
      <x:c r="J449" s="3" t="n">
        <x:v>2022</x:v>
      </x:c>
      <x:c r="K449" s="3" t="str">
        <x:v>1.8 SPORT</x:v>
      </x:c>
      <x:c r="L449" s="3" t="str">
        <x:v>SPORT</x:v>
      </x:c>
      <x:c r="M449" s="22"/>
      <x:c r="N449" s="22"/>
      <x:c r="O449" s="22"/>
      <x:c r="P449" s="3" t="str">
        <x:v>未掲載</x:v>
      </x:c>
      <x:c r="Q449" s="3" t="str">
        <x:v>未取得</x:v>
      </x:c>
      <x:c r="R449" s="3" t="str">
        <x:v>Unknown</x:v>
      </x:c>
      <x:c r="S449" s="3" t="str">
        <x:v>不明</x:v>
      </x:c>
      <x:c r="T449" s="3" t="str">
        <x:v>20-ปัจจุบัน</x:v>
      </x:c>
      <x:c r="U449" s="28" t="n">
        <x:v>499000</x:v>
      </x:c>
      <x:c r="V449" s="28" t="n">
        <x:v>989000</x:v>
      </x:c>
      <x:c r="W449" s="3" t="str">
        <x:v>事故・水没・SOH・保証残は未確認</x:v>
      </x:c>
      <x:c r="X449" s="3" t="str">
        <x:v>掲載中・在庫未確認</x:v>
      </x:c>
      <x:c r="Y449" s="3" t="str"/>
      <x:c r="Z449" s="27" t="str">
        <x:v>https://www.taladrod.com/w40/icar/cardet.aspx?cid=2909560</x:v>
      </x:c>
      <x:c r="AA449" s="3" t="str">
        <x:v>Taladrod個別広告ID／Carsome在庫ID</x:v>
      </x:c>
      <x:c r="AB449" s="3" t="str">
        <x:v>車台番号未取得／サイト間重複は未判定</x:v>
      </x:c>
      <x:c r="AC449" s="3" t="str">
        <x:v>税込区分未確認（一覧表示額）</x:v>
      </x:c>
      <x:c r="AD449" s="3" t="str"/>
      <x:c r="AE449" s="29" t="str">
        <x:f>""</x:f>
      </x:c>
      <x:c r="AF449" s="30" t="str">
        <x:f>IF(ISNUMBER(AE449),U449/AE449,"")</x:f>
      </x:c>
      <x:c r="AG449" s="29" t="str">
        <x:f>""</x:f>
      </x:c>
      <x:c r="AH449" s="30" t="str">
        <x:f>IF(ISNUMBER(AG449),U449/AG449,"")</x:f>
      </x:c>
      <x:c r="AI449" s="3" t="str">
        <x:v>同年式・グレードの検証済み当時価格なし／登録年混在</x:v>
      </x:c>
      <x:c r="AJ449" s="3" t="str">
        <x:v>一覧価格/年式のみ</x:v>
      </x:c>
      <x:c r="AK449" s="3" t="str">
        <x:v>一覧の表示価格。年式は掲載年式。</x:v>
      </x:c>
      <x:c r="AL449" s="31" t="n">
        <x:f>IF(AND(J449&lt;='分析方法'!$B$7,OR(ISBLANK(O449),O449&gt;='分析方法'!$B$8),X449&lt;&gt;"売却済み表示"),1,0)</x:f>
        <x:v>1</x:v>
      </x:c>
      <x:c r="AM449" s="32" t="n">
        <x:f>IF(AL449=1,U449,"")</x:f>
        <x:v>499000</x:v>
      </x:c>
      <x:c r="AN449" s="33" t="str">
        <x:f>IF(AL449=1,AF449,"")</x:f>
      </x:c>
      <x:c r="AO449" s="31" t="n">
        <x:f>'分析方法'!$B$6-J449</x:f>
        <x:v>4</x:v>
      </x:c>
      <x:c r="AP449" s="3"/>
    </x:row>
    <x:row r="450" ht="22" customHeight="1">
      <x:c r="A450" s="3" t="str">
        <x:v>T2918989</x:v>
      </x:c>
      <x:c r="B450" s="7" t="d">
        <x:v>2026-10-08T00:00:00.000Z</x:v>
      </x:c>
      <x:c r="C450" s="3" t="str">
        <x:v>Taladrod</x:v>
      </x:c>
      <x:c r="D450" s="3" t="str">
        <x:v>Toyota</x:v>
      </x:c>
      <x:c r="E450" s="3" t="str">
        <x:v>日本</x:v>
      </x:c>
      <x:c r="F450" s="3" t="str">
        <x:v>Corolla Cross</x:v>
      </x:c>
      <x:c r="G450" s="3" t="str">
        <x:v>ICE</x:v>
      </x:c>
      <x:c r="H450" s="3" t="str">
        <x:v>SUV</x:v>
      </x:c>
      <x:c r="I450" s="3" t="str"/>
      <x:c r="J450" s="3" t="n">
        <x:v>2022</x:v>
      </x:c>
      <x:c r="K450" s="3" t="str">
        <x:v>1.8 SPORT</x:v>
      </x:c>
      <x:c r="L450" s="3" t="str">
        <x:v>SPORT</x:v>
      </x:c>
      <x:c r="M450" s="22"/>
      <x:c r="N450" s="22"/>
      <x:c r="O450" s="22"/>
      <x:c r="P450" s="3" t="str">
        <x:v>未掲載</x:v>
      </x:c>
      <x:c r="Q450" s="3" t="str">
        <x:v>未取得</x:v>
      </x:c>
      <x:c r="R450" s="3" t="str">
        <x:v>Unknown</x:v>
      </x:c>
      <x:c r="S450" s="3" t="str">
        <x:v>不明</x:v>
      </x:c>
      <x:c r="T450" s="3" t="str">
        <x:v>20-ปัจจุบัน</x:v>
      </x:c>
      <x:c r="U450" s="28" t="n">
        <x:v>489000</x:v>
      </x:c>
      <x:c r="V450" s="28" t="n">
        <x:v>989000</x:v>
      </x:c>
      <x:c r="W450" s="3" t="str">
        <x:v>事故・水没・SOH・保証残は未確認</x:v>
      </x:c>
      <x:c r="X450" s="3" t="str">
        <x:v>掲載中・在庫未確認</x:v>
      </x:c>
      <x:c r="Y450" s="3" t="str"/>
      <x:c r="Z450" s="27" t="str">
        <x:v>https://www.taladrod.com/w40/icar/cardet.aspx?cid=2918989</x:v>
      </x:c>
      <x:c r="AA450" s="3" t="str">
        <x:v>Taladrod個別広告ID／Carsome在庫ID</x:v>
      </x:c>
      <x:c r="AB450" s="3" t="str">
        <x:v>車台番号未取得／サイト間重複は未判定</x:v>
      </x:c>
      <x:c r="AC450" s="3" t="str">
        <x:v>税込区分未確認（一覧表示額）</x:v>
      </x:c>
      <x:c r="AD450" s="3" t="str"/>
      <x:c r="AE450" s="29" t="str">
        <x:f>""</x:f>
      </x:c>
      <x:c r="AF450" s="30" t="str">
        <x:f>IF(ISNUMBER(AE450),U450/AE450,"")</x:f>
      </x:c>
      <x:c r="AG450" s="29" t="str">
        <x:f>""</x:f>
      </x:c>
      <x:c r="AH450" s="30" t="str">
        <x:f>IF(ISNUMBER(AG450),U450/AG450,"")</x:f>
      </x:c>
      <x:c r="AI450" s="3" t="str">
        <x:v>同年式・グレードの検証済み当時価格なし／登録年混在</x:v>
      </x:c>
      <x:c r="AJ450" s="3" t="str">
        <x:v>一覧価格/年式のみ</x:v>
      </x:c>
      <x:c r="AK450" s="3" t="str">
        <x:v>一覧の表示価格。年式は掲載年式。</x:v>
      </x:c>
      <x:c r="AL450" s="31" t="n">
        <x:f>IF(AND(J450&lt;='分析方法'!$B$7,OR(ISBLANK(O450),O450&gt;='分析方法'!$B$8),X450&lt;&gt;"売却済み表示"),1,0)</x:f>
        <x:v>1</x:v>
      </x:c>
      <x:c r="AM450" s="32" t="n">
        <x:f>IF(AL450=1,U450,"")</x:f>
        <x:v>489000</x:v>
      </x:c>
      <x:c r="AN450" s="33" t="str">
        <x:f>IF(AL450=1,AF450,"")</x:f>
      </x:c>
      <x:c r="AO450" s="31" t="n">
        <x:f>'分析方法'!$B$6-J450</x:f>
        <x:v>4</x:v>
      </x:c>
      <x:c r="AP450" s="3"/>
    </x:row>
    <x:row r="451" ht="22" customHeight="1">
      <x:c r="A451" s="3" t="str">
        <x:v>T2920750</x:v>
      </x:c>
      <x:c r="B451" s="7" t="d">
        <x:v>2026-10-08T00:00:00.000Z</x:v>
      </x:c>
      <x:c r="C451" s="3" t="str">
        <x:v>Taladrod</x:v>
      </x:c>
      <x:c r="D451" s="3" t="str">
        <x:v>Toyota</x:v>
      </x:c>
      <x:c r="E451" s="3" t="str">
        <x:v>日本</x:v>
      </x:c>
      <x:c r="F451" s="3" t="str">
        <x:v>Corolla Cross</x:v>
      </x:c>
      <x:c r="G451" s="3" t="str">
        <x:v>ICE</x:v>
      </x:c>
      <x:c r="H451" s="3" t="str">
        <x:v>SUV</x:v>
      </x:c>
      <x:c r="I451" s="3" t="str"/>
      <x:c r="J451" s="3" t="n">
        <x:v>2022</x:v>
      </x:c>
      <x:c r="K451" s="3" t="str">
        <x:v>1.8 SPORT</x:v>
      </x:c>
      <x:c r="L451" s="3" t="str">
        <x:v>SPORT</x:v>
      </x:c>
      <x:c r="M451" s="22"/>
      <x:c r="N451" s="22"/>
      <x:c r="O451" s="22"/>
      <x:c r="P451" s="3" t="str">
        <x:v>未掲載</x:v>
      </x:c>
      <x:c r="Q451" s="3" t="str">
        <x:v>未取得</x:v>
      </x:c>
      <x:c r="R451" s="3" t="str">
        <x:v>Unknown</x:v>
      </x:c>
      <x:c r="S451" s="3" t="str">
        <x:v>不明</x:v>
      </x:c>
      <x:c r="T451" s="3" t="str">
        <x:v>20-ปัจจุบัน</x:v>
      </x:c>
      <x:c r="U451" s="28" t="n">
        <x:v>579000</x:v>
      </x:c>
      <x:c r="V451" s="28" t="n">
        <x:v>989000</x:v>
      </x:c>
      <x:c r="W451" s="3" t="str">
        <x:v>事故・水没・SOH・保証残は未確認</x:v>
      </x:c>
      <x:c r="X451" s="3" t="str">
        <x:v>掲載中・在庫未確認</x:v>
      </x:c>
      <x:c r="Y451" s="3" t="str"/>
      <x:c r="Z451" s="27" t="str">
        <x:v>https://www.taladrod.com/w40/icar/cardet.aspx?cid=2920750</x:v>
      </x:c>
      <x:c r="AA451" s="3" t="str">
        <x:v>Taladrod個別広告ID／Carsome在庫ID</x:v>
      </x:c>
      <x:c r="AB451" s="3" t="str">
        <x:v>車台番号未取得／サイト間重複は未判定</x:v>
      </x:c>
      <x:c r="AC451" s="3" t="str">
        <x:v>税込区分未確認（一覧表示額）</x:v>
      </x:c>
      <x:c r="AD451" s="3" t="str"/>
      <x:c r="AE451" s="29" t="str">
        <x:f>""</x:f>
      </x:c>
      <x:c r="AF451" s="30" t="str">
        <x:f>IF(ISNUMBER(AE451),U451/AE451,"")</x:f>
      </x:c>
      <x:c r="AG451" s="29" t="str">
        <x:f>""</x:f>
      </x:c>
      <x:c r="AH451" s="30" t="str">
        <x:f>IF(ISNUMBER(AG451),U451/AG451,"")</x:f>
      </x:c>
      <x:c r="AI451" s="3" t="str">
        <x:v>同年式・グレードの検証済み当時価格なし／登録年混在</x:v>
      </x:c>
      <x:c r="AJ451" s="3" t="str">
        <x:v>一覧価格/年式のみ</x:v>
      </x:c>
      <x:c r="AK451" s="3" t="str">
        <x:v>一覧の表示価格。年式は掲載年式。</x:v>
      </x:c>
      <x:c r="AL451" s="31" t="n">
        <x:f>IF(AND(J451&lt;='分析方法'!$B$7,OR(ISBLANK(O451),O451&gt;='分析方法'!$B$8),X451&lt;&gt;"売却済み表示"),1,0)</x:f>
        <x:v>1</x:v>
      </x:c>
      <x:c r="AM451" s="32" t="n">
        <x:f>IF(AL451=1,U451,"")</x:f>
        <x:v>579000</x:v>
      </x:c>
      <x:c r="AN451" s="33" t="str">
        <x:f>IF(AL451=1,AF451,"")</x:f>
      </x:c>
      <x:c r="AO451" s="31" t="n">
        <x:f>'分析方法'!$B$6-J451</x:f>
        <x:v>4</x:v>
      </x:c>
      <x:c r="AP451" s="3"/>
    </x:row>
    <x:row r="452" ht="22" customHeight="1">
      <x:c r="A452" s="3" t="str">
        <x:v>T2926536</x:v>
      </x:c>
      <x:c r="B452" s="7" t="d">
        <x:v>2026-10-08T00:00:00.000Z</x:v>
      </x:c>
      <x:c r="C452" s="3" t="str">
        <x:v>Taladrod</x:v>
      </x:c>
      <x:c r="D452" s="3" t="str">
        <x:v>Toyota</x:v>
      </x:c>
      <x:c r="E452" s="3" t="str">
        <x:v>日本</x:v>
      </x:c>
      <x:c r="F452" s="3" t="str">
        <x:v>Corolla Cross</x:v>
      </x:c>
      <x:c r="G452" s="3" t="str">
        <x:v>ICE</x:v>
      </x:c>
      <x:c r="H452" s="3" t="str">
        <x:v>SUV</x:v>
      </x:c>
      <x:c r="I452" s="3" t="str"/>
      <x:c r="J452" s="3" t="n">
        <x:v>2022</x:v>
      </x:c>
      <x:c r="K452" s="3" t="str">
        <x:v>1.8 SPORT</x:v>
      </x:c>
      <x:c r="L452" s="3" t="str">
        <x:v>SPORT</x:v>
      </x:c>
      <x:c r="M452" s="22"/>
      <x:c r="N452" s="22"/>
      <x:c r="O452" s="22"/>
      <x:c r="P452" s="3" t="str">
        <x:v>未掲載</x:v>
      </x:c>
      <x:c r="Q452" s="3" t="str">
        <x:v>未取得</x:v>
      </x:c>
      <x:c r="R452" s="3" t="str">
        <x:v>Unknown</x:v>
      </x:c>
      <x:c r="S452" s="3" t="str">
        <x:v>不明</x:v>
      </x:c>
      <x:c r="T452" s="3" t="str">
        <x:v>20-ปัจจุบัน</x:v>
      </x:c>
      <x:c r="U452" s="28" t="n">
        <x:v>529000</x:v>
      </x:c>
      <x:c r="V452" s="28" t="n">
        <x:v>989000</x:v>
      </x:c>
      <x:c r="W452" s="3" t="str">
        <x:v>事故・水没・SOH・保証残は未確認</x:v>
      </x:c>
      <x:c r="X452" s="3" t="str">
        <x:v>掲載中・在庫未確認</x:v>
      </x:c>
      <x:c r="Y452" s="3" t="str"/>
      <x:c r="Z452" s="27" t="str">
        <x:v>https://www.taladrod.com/w40/icar/cardet.aspx?cid=2926536</x:v>
      </x:c>
      <x:c r="AA452" s="3" t="str">
        <x:v>Taladrod個別広告ID／Carsome在庫ID</x:v>
      </x:c>
      <x:c r="AB452" s="3" t="str">
        <x:v>車台番号未取得／サイト間重複は未判定</x:v>
      </x:c>
      <x:c r="AC452" s="3" t="str">
        <x:v>税込区分未確認（一覧表示額）</x:v>
      </x:c>
      <x:c r="AD452" s="3" t="str"/>
      <x:c r="AE452" s="29" t="str">
        <x:f>""</x:f>
      </x:c>
      <x:c r="AF452" s="30" t="str">
        <x:f>IF(ISNUMBER(AE452),U452/AE452,"")</x:f>
      </x:c>
      <x:c r="AG452" s="29" t="str">
        <x:f>""</x:f>
      </x:c>
      <x:c r="AH452" s="30" t="str">
        <x:f>IF(ISNUMBER(AG452),U452/AG452,"")</x:f>
      </x:c>
      <x:c r="AI452" s="3" t="str">
        <x:v>同年式・グレードの検証済み当時価格なし／登録年混在</x:v>
      </x:c>
      <x:c r="AJ452" s="3" t="str">
        <x:v>一覧価格/年式のみ</x:v>
      </x:c>
      <x:c r="AK452" s="3" t="str">
        <x:v>一覧の表示価格。年式は掲載年式。</x:v>
      </x:c>
      <x:c r="AL452" s="31" t="n">
        <x:f>IF(AND(J452&lt;='分析方法'!$B$7,OR(ISBLANK(O452),O452&gt;='分析方法'!$B$8),X452&lt;&gt;"売却済み表示"),1,0)</x:f>
        <x:v>1</x:v>
      </x:c>
      <x:c r="AM452" s="32" t="n">
        <x:f>IF(AL452=1,U452,"")</x:f>
        <x:v>529000</x:v>
      </x:c>
      <x:c r="AN452" s="33" t="str">
        <x:f>IF(AL452=1,AF452,"")</x:f>
      </x:c>
      <x:c r="AO452" s="31" t="n">
        <x:f>'分析方法'!$B$6-J452</x:f>
        <x:v>4</x:v>
      </x:c>
      <x:c r="AP452" s="3"/>
    </x:row>
    <x:row r="453" ht="22" customHeight="1">
      <x:c r="A453" s="3" t="str">
        <x:v>T2925088</x:v>
      </x:c>
      <x:c r="B453" s="7" t="d">
        <x:v>2026-10-08T00:00:00.000Z</x:v>
      </x:c>
      <x:c r="C453" s="3" t="str">
        <x:v>Taladrod</x:v>
      </x:c>
      <x:c r="D453" s="3" t="str">
        <x:v>Toyota</x:v>
      </x:c>
      <x:c r="E453" s="3" t="str">
        <x:v>日本</x:v>
      </x:c>
      <x:c r="F453" s="3" t="str">
        <x:v>Corolla Cross</x:v>
      </x:c>
      <x:c r="G453" s="3" t="str">
        <x:v>ICE</x:v>
      </x:c>
      <x:c r="H453" s="3" t="str">
        <x:v>SUV</x:v>
      </x:c>
      <x:c r="I453" s="3" t="str"/>
      <x:c r="J453" s="3" t="n">
        <x:v>2022</x:v>
      </x:c>
      <x:c r="K453" s="3" t="str">
        <x:v>1.8 SPORT PLUS</x:v>
      </x:c>
      <x:c r="L453" s="3" t="str">
        <x:v>SPORT PLUS</x:v>
      </x:c>
      <x:c r="M453" s="22"/>
      <x:c r="N453" s="22"/>
      <x:c r="O453" s="22"/>
      <x:c r="P453" s="3" t="str">
        <x:v>未掲載</x:v>
      </x:c>
      <x:c r="Q453" s="3" t="str">
        <x:v>未取得</x:v>
      </x:c>
      <x:c r="R453" s="3" t="str">
        <x:v>Unknown</x:v>
      </x:c>
      <x:c r="S453" s="3" t="str">
        <x:v>不明</x:v>
      </x:c>
      <x:c r="T453" s="3" t="str">
        <x:v>20-ปัจจุบัน</x:v>
      </x:c>
      <x:c r="U453" s="28" t="n">
        <x:v>640000</x:v>
      </x:c>
      <x:c r="V453" s="28" t="n">
        <x:v>999000</x:v>
      </x:c>
      <x:c r="W453" s="3" t="str">
        <x:v>事故・水没・SOH・保証残は未確認</x:v>
      </x:c>
      <x:c r="X453" s="3" t="str">
        <x:v>掲載中・在庫未確認</x:v>
      </x:c>
      <x:c r="Y453" s="3" t="str"/>
      <x:c r="Z453" s="27" t="str">
        <x:v>https://www.taladrod.com/w40/icar/cardet.aspx?cid=2925088</x:v>
      </x:c>
      <x:c r="AA453" s="3" t="str">
        <x:v>Taladrod個別広告ID／Carsome在庫ID</x:v>
      </x:c>
      <x:c r="AB453" s="3" t="str">
        <x:v>車台番号未取得／サイト間重複は未判定</x:v>
      </x:c>
      <x:c r="AC453" s="3" t="str">
        <x:v>税込区分未確認（一覧表示額）</x:v>
      </x:c>
      <x:c r="AD453" s="3" t="str"/>
      <x:c r="AE453" s="29" t="str">
        <x:f>""</x:f>
      </x:c>
      <x:c r="AF453" s="30" t="str">
        <x:f>IF(ISNUMBER(AE453),U453/AE453,"")</x:f>
      </x:c>
      <x:c r="AG453" s="29" t="str">
        <x:f>""</x:f>
      </x:c>
      <x:c r="AH453" s="30" t="str">
        <x:f>IF(ISNUMBER(AG453),U453/AG453,"")</x:f>
      </x:c>
      <x:c r="AI453" s="3" t="str">
        <x:v>同年式・グレードの検証済み当時価格なし／登録年混在</x:v>
      </x:c>
      <x:c r="AJ453" s="3" t="str">
        <x:v>一覧価格/年式のみ</x:v>
      </x:c>
      <x:c r="AK453" s="3" t="str">
        <x:v>一覧の表示価格。年式は掲載年式。</x:v>
      </x:c>
      <x:c r="AL453" s="31" t="n">
        <x:f>IF(AND(J453&lt;='分析方法'!$B$7,OR(ISBLANK(O453),O453&gt;='分析方法'!$B$8),X453&lt;&gt;"売却済み表示"),1,0)</x:f>
        <x:v>1</x:v>
      </x:c>
      <x:c r="AM453" s="32" t="n">
        <x:f>IF(AL453=1,U453,"")</x:f>
        <x:v>640000</x:v>
      </x:c>
      <x:c r="AN453" s="33" t="str">
        <x:f>IF(AL453=1,AF453,"")</x:f>
      </x:c>
      <x:c r="AO453" s="31" t="n">
        <x:f>'分析方法'!$B$6-J453</x:f>
        <x:v>4</x:v>
      </x:c>
      <x:c r="AP453" s="3"/>
    </x:row>
    <x:row r="454" ht="22" customHeight="1">
      <x:c r="A454" s="3" t="str">
        <x:v>T2881769</x:v>
      </x:c>
      <x:c r="B454" s="7" t="d">
        <x:v>2026-10-08T00:00:00.000Z</x:v>
      </x:c>
      <x:c r="C454" s="3" t="str">
        <x:v>Taladrod</x:v>
      </x:c>
      <x:c r="D454" s="3" t="str">
        <x:v>Toyota</x:v>
      </x:c>
      <x:c r="E454" s="3" t="str">
        <x:v>日本</x:v>
      </x:c>
      <x:c r="F454" s="3" t="str">
        <x:v>Corolla Cross</x:v>
      </x:c>
      <x:c r="G454" s="3" t="str">
        <x:v>ICE</x:v>
      </x:c>
      <x:c r="H454" s="3" t="str">
        <x:v>SUV</x:v>
      </x:c>
      <x:c r="I454" s="3" t="str"/>
      <x:c r="J454" s="3" t="n">
        <x:v>2023</x:v>
      </x:c>
      <x:c r="K454" s="3" t="str">
        <x:v>1.8 SPORT</x:v>
      </x:c>
      <x:c r="L454" s="3" t="str">
        <x:v>SPORT</x:v>
      </x:c>
      <x:c r="M454" s="22"/>
      <x:c r="N454" s="22"/>
      <x:c r="O454" s="22"/>
      <x:c r="P454" s="3" t="str">
        <x:v>未掲載</x:v>
      </x:c>
      <x:c r="Q454" s="3" t="str">
        <x:v>未取得</x:v>
      </x:c>
      <x:c r="R454" s="3" t="str">
        <x:v>Unknown</x:v>
      </x:c>
      <x:c r="S454" s="3" t="str">
        <x:v>不明</x:v>
      </x:c>
      <x:c r="T454" s="3" t="str">
        <x:v>20-ปัจจุบัน</x:v>
      </x:c>
      <x:c r="U454" s="28" t="n">
        <x:v>729000</x:v>
      </x:c>
      <x:c r="V454" s="28" t="n">
        <x:v>989000</x:v>
      </x:c>
      <x:c r="W454" s="3" t="str">
        <x:v>事故・水没・SOH・保証残は未確認</x:v>
      </x:c>
      <x:c r="X454" s="3" t="str">
        <x:v>掲載中・在庫未確認</x:v>
      </x:c>
      <x:c r="Y454" s="3" t="str"/>
      <x:c r="Z454" s="27" t="str">
        <x:v>https://www.taladrod.com/w40/icar/cardet.aspx?cid=2881769</x:v>
      </x:c>
      <x:c r="AA454" s="3" t="str">
        <x:v>Taladrod個別広告ID／Carsome在庫ID</x:v>
      </x:c>
      <x:c r="AB454" s="3" t="str">
        <x:v>車台番号未取得／サイト間重複は未判定</x:v>
      </x:c>
      <x:c r="AC454" s="3" t="str">
        <x:v>税込区分未確認（一覧表示額）</x:v>
      </x:c>
      <x:c r="AD454" s="3" t="str"/>
      <x:c r="AE454" s="29" t="str">
        <x:f>""</x:f>
      </x:c>
      <x:c r="AF454" s="30" t="str">
        <x:f>IF(ISNUMBER(AE454),U454/AE454,"")</x:f>
      </x:c>
      <x:c r="AG454" s="29" t="str">
        <x:f>""</x:f>
      </x:c>
      <x:c r="AH454" s="30" t="str">
        <x:f>IF(ISNUMBER(AG454),U454/AG454,"")</x:f>
      </x:c>
      <x:c r="AI454" s="3" t="str">
        <x:v>同年式・グレードの検証済み当時価格なし／登録年混在</x:v>
      </x:c>
      <x:c r="AJ454" s="3" t="str">
        <x:v>一覧価格/年式のみ</x:v>
      </x:c>
      <x:c r="AK454" s="3" t="str">
        <x:v>一覧の表示価格。年式は掲載年式。</x:v>
      </x:c>
      <x:c r="AL454" s="31" t="n">
        <x:f>IF(AND(J454&lt;='分析方法'!$B$7,OR(ISBLANK(O454),O454&gt;='分析方法'!$B$8),X454&lt;&gt;"売却済み表示"),1,0)</x:f>
        <x:v>1</x:v>
      </x:c>
      <x:c r="AM454" s="32" t="n">
        <x:f>IF(AL454=1,U454,"")</x:f>
        <x:v>729000</x:v>
      </x:c>
      <x:c r="AN454" s="33" t="str">
        <x:f>IF(AL454=1,AF454,"")</x:f>
      </x:c>
      <x:c r="AO454" s="31" t="n">
        <x:f>'分析方法'!$B$6-J454</x:f>
        <x:v>3</x:v>
      </x:c>
      <x:c r="AP454" s="3"/>
    </x:row>
    <x:row r="455" ht="22" customHeight="1">
      <x:c r="A455" s="3" t="str">
        <x:v>T2900019</x:v>
      </x:c>
      <x:c r="B455" s="7" t="d">
        <x:v>2026-10-08T00:00:00.000Z</x:v>
      </x:c>
      <x:c r="C455" s="3" t="str">
        <x:v>Taladrod</x:v>
      </x:c>
      <x:c r="D455" s="3" t="str">
        <x:v>Toyota</x:v>
      </x:c>
      <x:c r="E455" s="3" t="str">
        <x:v>日本</x:v>
      </x:c>
      <x:c r="F455" s="3" t="str">
        <x:v>Corolla Cross</x:v>
      </x:c>
      <x:c r="G455" s="3" t="str">
        <x:v>ICE</x:v>
      </x:c>
      <x:c r="H455" s="3" t="str">
        <x:v>SUV</x:v>
      </x:c>
      <x:c r="I455" s="3" t="str"/>
      <x:c r="J455" s="3" t="n">
        <x:v>2023</x:v>
      </x:c>
      <x:c r="K455" s="3" t="str">
        <x:v>1.8 SPORT</x:v>
      </x:c>
      <x:c r="L455" s="3" t="str">
        <x:v>SPORT</x:v>
      </x:c>
      <x:c r="M455" s="22"/>
      <x:c r="N455" s="22"/>
      <x:c r="O455" s="22"/>
      <x:c r="P455" s="3" t="str">
        <x:v>未掲載</x:v>
      </x:c>
      <x:c r="Q455" s="3" t="str">
        <x:v>未取得</x:v>
      </x:c>
      <x:c r="R455" s="3" t="str">
        <x:v>Unknown</x:v>
      </x:c>
      <x:c r="S455" s="3" t="str">
        <x:v>不明</x:v>
      </x:c>
      <x:c r="T455" s="3" t="str">
        <x:v>20-ปัจจุบัน</x:v>
      </x:c>
      <x:c r="U455" s="28" t="n">
        <x:v>658000</x:v>
      </x:c>
      <x:c r="V455" s="28" t="n">
        <x:v>989000</x:v>
      </x:c>
      <x:c r="W455" s="3" t="str">
        <x:v>事故・水没・SOH・保証残は未確認</x:v>
      </x:c>
      <x:c r="X455" s="3" t="str">
        <x:v>掲載中・在庫未確認</x:v>
      </x:c>
      <x:c r="Y455" s="3" t="str"/>
      <x:c r="Z455" s="27" t="str">
        <x:v>https://www.taladrod.com/w40/icar/cardet.aspx?cid=2900019</x:v>
      </x:c>
      <x:c r="AA455" s="3" t="str">
        <x:v>Taladrod個別広告ID／Carsome在庫ID</x:v>
      </x:c>
      <x:c r="AB455" s="3" t="str">
        <x:v>車台番号未取得／サイト間重複は未判定</x:v>
      </x:c>
      <x:c r="AC455" s="3" t="str">
        <x:v>税込区分未確認（一覧表示額）</x:v>
      </x:c>
      <x:c r="AD455" s="3" t="str"/>
      <x:c r="AE455" s="29" t="str">
        <x:f>""</x:f>
      </x:c>
      <x:c r="AF455" s="30" t="str">
        <x:f>IF(ISNUMBER(AE455),U455/AE455,"")</x:f>
      </x:c>
      <x:c r="AG455" s="29" t="str">
        <x:f>""</x:f>
      </x:c>
      <x:c r="AH455" s="30" t="str">
        <x:f>IF(ISNUMBER(AG455),U455/AG455,"")</x:f>
      </x:c>
      <x:c r="AI455" s="3" t="str">
        <x:v>同年式・グレードの検証済み当時価格なし／登録年混在</x:v>
      </x:c>
      <x:c r="AJ455" s="3" t="str">
        <x:v>一覧価格/年式のみ</x:v>
      </x:c>
      <x:c r="AK455" s="3" t="str">
        <x:v>一覧の表示価格。年式は掲載年式。</x:v>
      </x:c>
      <x:c r="AL455" s="31" t="n">
        <x:f>IF(AND(J455&lt;='分析方法'!$B$7,OR(ISBLANK(O455),O455&gt;='分析方法'!$B$8),X455&lt;&gt;"売却済み表示"),1,0)</x:f>
        <x:v>1</x:v>
      </x:c>
      <x:c r="AM455" s="32" t="n">
        <x:f>IF(AL455=1,U455,"")</x:f>
        <x:v>658000</x:v>
      </x:c>
      <x:c r="AN455" s="33" t="str">
        <x:f>IF(AL455=1,AF455,"")</x:f>
      </x:c>
      <x:c r="AO455" s="31" t="n">
        <x:f>'分析方法'!$B$6-J455</x:f>
        <x:v>3</x:v>
      </x:c>
      <x:c r="AP455" s="3"/>
    </x:row>
    <x:row r="456" ht="22" customHeight="1">
      <x:c r="A456" s="3" t="str">
        <x:v>T2905241</x:v>
      </x:c>
      <x:c r="B456" s="7" t="d">
        <x:v>2026-10-08T00:00:00.000Z</x:v>
      </x:c>
      <x:c r="C456" s="3" t="str">
        <x:v>Taladrod</x:v>
      </x:c>
      <x:c r="D456" s="3" t="str">
        <x:v>Toyota</x:v>
      </x:c>
      <x:c r="E456" s="3" t="str">
        <x:v>日本</x:v>
      </x:c>
      <x:c r="F456" s="3" t="str">
        <x:v>Corolla Cross</x:v>
      </x:c>
      <x:c r="G456" s="3" t="str">
        <x:v>ICE</x:v>
      </x:c>
      <x:c r="H456" s="3" t="str">
        <x:v>SUV</x:v>
      </x:c>
      <x:c r="I456" s="3" t="str"/>
      <x:c r="J456" s="3" t="n">
        <x:v>2023</x:v>
      </x:c>
      <x:c r="K456" s="3" t="str">
        <x:v>1.8 SPORT</x:v>
      </x:c>
      <x:c r="L456" s="3" t="str">
        <x:v>SPORT</x:v>
      </x:c>
      <x:c r="M456" s="22"/>
      <x:c r="N456" s="22"/>
      <x:c r="O456" s="22"/>
      <x:c r="P456" s="3" t="str">
        <x:v>未掲載</x:v>
      </x:c>
      <x:c r="Q456" s="3" t="str">
        <x:v>未取得</x:v>
      </x:c>
      <x:c r="R456" s="3" t="str">
        <x:v>Unknown</x:v>
      </x:c>
      <x:c r="S456" s="3" t="str">
        <x:v>不明</x:v>
      </x:c>
      <x:c r="T456" s="3" t="str">
        <x:v>20-ปัจจุบัน</x:v>
      </x:c>
      <x:c r="U456" s="28" t="n">
        <x:v>649000</x:v>
      </x:c>
      <x:c r="V456" s="28" t="n">
        <x:v>989000</x:v>
      </x:c>
      <x:c r="W456" s="3" t="str">
        <x:v>事故・水没・SOH・保証残は未確認</x:v>
      </x:c>
      <x:c r="X456" s="3" t="str">
        <x:v>掲載中・在庫未確認</x:v>
      </x:c>
      <x:c r="Y456" s="3" t="str"/>
      <x:c r="Z456" s="27" t="str">
        <x:v>https://www.taladrod.com/w40/icar/cardet.aspx?cid=2905241</x:v>
      </x:c>
      <x:c r="AA456" s="3" t="str">
        <x:v>Taladrod個別広告ID／Carsome在庫ID</x:v>
      </x:c>
      <x:c r="AB456" s="3" t="str">
        <x:v>車台番号未取得／サイト間重複は未判定</x:v>
      </x:c>
      <x:c r="AC456" s="3" t="str">
        <x:v>税込区分未確認（一覧表示額）</x:v>
      </x:c>
      <x:c r="AD456" s="3" t="str"/>
      <x:c r="AE456" s="29" t="str">
        <x:f>""</x:f>
      </x:c>
      <x:c r="AF456" s="30" t="str">
        <x:f>IF(ISNUMBER(AE456),U456/AE456,"")</x:f>
      </x:c>
      <x:c r="AG456" s="29" t="str">
        <x:f>""</x:f>
      </x:c>
      <x:c r="AH456" s="30" t="str">
        <x:f>IF(ISNUMBER(AG456),U456/AG456,"")</x:f>
      </x:c>
      <x:c r="AI456" s="3" t="str">
        <x:v>同年式・グレードの検証済み当時価格なし／登録年混在</x:v>
      </x:c>
      <x:c r="AJ456" s="3" t="str">
        <x:v>一覧価格/年式のみ</x:v>
      </x:c>
      <x:c r="AK456" s="3" t="str">
        <x:v>一覧の表示価格。年式は掲載年式。</x:v>
      </x:c>
      <x:c r="AL456" s="31" t="n">
        <x:f>IF(AND(J456&lt;='分析方法'!$B$7,OR(ISBLANK(O456),O456&gt;='分析方法'!$B$8),X456&lt;&gt;"売却済み表示"),1,0)</x:f>
        <x:v>1</x:v>
      </x:c>
      <x:c r="AM456" s="32" t="n">
        <x:f>IF(AL456=1,U456,"")</x:f>
        <x:v>649000</x:v>
      </x:c>
      <x:c r="AN456" s="33" t="str">
        <x:f>IF(AL456=1,AF456,"")</x:f>
      </x:c>
      <x:c r="AO456" s="31" t="n">
        <x:f>'分析方法'!$B$6-J456</x:f>
        <x:v>3</x:v>
      </x:c>
      <x:c r="AP456" s="3"/>
    </x:row>
    <x:row r="457" ht="22" customHeight="1">
      <x:c r="A457" s="3" t="str">
        <x:v>T2921733</x:v>
      </x:c>
      <x:c r="B457" s="7" t="d">
        <x:v>2026-10-08T00:00:00.000Z</x:v>
      </x:c>
      <x:c r="C457" s="3" t="str">
        <x:v>Taladrod</x:v>
      </x:c>
      <x:c r="D457" s="3" t="str">
        <x:v>Toyota</x:v>
      </x:c>
      <x:c r="E457" s="3" t="str">
        <x:v>日本</x:v>
      </x:c>
      <x:c r="F457" s="3" t="str">
        <x:v>Corolla Cross</x:v>
      </x:c>
      <x:c r="G457" s="3" t="str">
        <x:v>ICE</x:v>
      </x:c>
      <x:c r="H457" s="3" t="str">
        <x:v>SUV</x:v>
      </x:c>
      <x:c r="I457" s="3" t="str"/>
      <x:c r="J457" s="3" t="n">
        <x:v>2023</x:v>
      </x:c>
      <x:c r="K457" s="3" t="str">
        <x:v>1.8 SPORT PLUS</x:v>
      </x:c>
      <x:c r="L457" s="3" t="str">
        <x:v>SPORT PLUS</x:v>
      </x:c>
      <x:c r="M457" s="22"/>
      <x:c r="N457" s="22"/>
      <x:c r="O457" s="22"/>
      <x:c r="P457" s="3" t="str">
        <x:v>未掲載</x:v>
      </x:c>
      <x:c r="Q457" s="3" t="str">
        <x:v>未取得</x:v>
      </x:c>
      <x:c r="R457" s="3" t="str">
        <x:v>Unknown</x:v>
      </x:c>
      <x:c r="S457" s="3" t="str">
        <x:v>不明</x:v>
      </x:c>
      <x:c r="T457" s="3" t="str">
        <x:v>20-ปัจจุบัน</x:v>
      </x:c>
      <x:c r="U457" s="28" t="n">
        <x:v>759000</x:v>
      </x:c>
      <x:c r="V457" s="28" t="n">
        <x:v>999000</x:v>
      </x:c>
      <x:c r="W457" s="3" t="str">
        <x:v>事故・水没・SOH・保証残は未確認</x:v>
      </x:c>
      <x:c r="X457" s="3" t="str">
        <x:v>掲載中・在庫未確認</x:v>
      </x:c>
      <x:c r="Y457" s="3" t="str"/>
      <x:c r="Z457" s="27" t="str">
        <x:v>https://www.taladrod.com/w40/icar/cardet.aspx?cid=2921733</x:v>
      </x:c>
      <x:c r="AA457" s="3" t="str">
        <x:v>Taladrod個別広告ID／Carsome在庫ID</x:v>
      </x:c>
      <x:c r="AB457" s="3" t="str">
        <x:v>車台番号未取得／サイト間重複は未判定</x:v>
      </x:c>
      <x:c r="AC457" s="3" t="str">
        <x:v>税込区分未確認（一覧表示額）</x:v>
      </x:c>
      <x:c r="AD457" s="3" t="str">
        <x:v>CROSS23_SPORT PLUS</x:v>
      </x:c>
      <x:c r="AE457" s="29" t="n">
        <x:f>'新車価格・特価'!K44</x:f>
        <x:v>999000</x:v>
      </x:c>
      <x:c r="AF457" s="30" t="n">
        <x:f>IF(ISNUMBER(AE457),U457/AE457,"")</x:f>
        <x:v>0.7597597597597597</x:v>
      </x:c>
      <x:c r="AG457" s="29" t="str">
        <x:f>""</x:f>
      </x:c>
      <x:c r="AH457" s="30" t="str">
        <x:f>IF(ISNUMBER(AG457),U457/AG457,"")</x:f>
      </x:c>
      <x:c r="AI457" s="3" t="str">
        <x:v>当時公表小売価格の参考残価率。実購入額ではない。年式/登録年・仕様差に注意。</x:v>
      </x:c>
      <x:c r="AJ457" s="3" t="str">
        <x:v>一覧価格/年式のみ</x:v>
      </x:c>
      <x:c r="AK457" s="3" t="str">
        <x:v>一覧の表示価格。年式は掲載年式。</x:v>
      </x:c>
      <x:c r="AL457" s="31" t="n">
        <x:f>IF(AND(J457&lt;='分析方法'!$B$7,OR(ISBLANK(O457),O457&gt;='分析方法'!$B$8),X457&lt;&gt;"売却済み表示"),1,0)</x:f>
        <x:v>1</x:v>
      </x:c>
      <x:c r="AM457" s="32" t="n">
        <x:f>IF(AL457=1,U457,"")</x:f>
        <x:v>759000</x:v>
      </x:c>
      <x:c r="AN457" s="33" t="n">
        <x:f>IF(AL457=1,AF457,"")</x:f>
        <x:v>0.7597597597597597</x:v>
      </x:c>
      <x:c r="AO457" s="31" t="n">
        <x:f>'分析方法'!$B$6-J457</x:f>
        <x:v>3</x:v>
      </x:c>
      <x:c r="AP457" s="3"/>
    </x:row>
    <x:row r="458" ht="22" customHeight="1">
      <x:c r="A458" s="3" t="str">
        <x:v>T2922239</x:v>
      </x:c>
      <x:c r="B458" s="7" t="d">
        <x:v>2026-10-08T00:00:00.000Z</x:v>
      </x:c>
      <x:c r="C458" s="3" t="str">
        <x:v>Taladrod</x:v>
      </x:c>
      <x:c r="D458" s="3" t="str">
        <x:v>Toyota</x:v>
      </x:c>
      <x:c r="E458" s="3" t="str">
        <x:v>日本</x:v>
      </x:c>
      <x:c r="F458" s="3" t="str">
        <x:v>Corolla Cross</x:v>
      </x:c>
      <x:c r="G458" s="3" t="str">
        <x:v>ICE</x:v>
      </x:c>
      <x:c r="H458" s="3" t="str">
        <x:v>SUV</x:v>
      </x:c>
      <x:c r="I458" s="3" t="str"/>
      <x:c r="J458" s="3" t="n">
        <x:v>2023</x:v>
      </x:c>
      <x:c r="K458" s="3" t="str">
        <x:v>1.8 SPORT PLUS</x:v>
      </x:c>
      <x:c r="L458" s="3" t="str">
        <x:v>SPORT PLUS</x:v>
      </x:c>
      <x:c r="M458" s="22"/>
      <x:c r="N458" s="22"/>
      <x:c r="O458" s="22"/>
      <x:c r="P458" s="3" t="str">
        <x:v>未掲載</x:v>
      </x:c>
      <x:c r="Q458" s="3" t="str">
        <x:v>未取得</x:v>
      </x:c>
      <x:c r="R458" s="3" t="str">
        <x:v>Unknown</x:v>
      </x:c>
      <x:c r="S458" s="3" t="str">
        <x:v>不明</x:v>
      </x:c>
      <x:c r="T458" s="3" t="str">
        <x:v>20-ปัจจุบัน</x:v>
      </x:c>
      <x:c r="U458" s="28" t="n">
        <x:v>639000</x:v>
      </x:c>
      <x:c r="V458" s="28" t="n">
        <x:v>999000</x:v>
      </x:c>
      <x:c r="W458" s="3" t="str">
        <x:v>事故・水没・SOH・保証残は未確認</x:v>
      </x:c>
      <x:c r="X458" s="3" t="str">
        <x:v>掲載中・在庫未確認</x:v>
      </x:c>
      <x:c r="Y458" s="3" t="str"/>
      <x:c r="Z458" s="27" t="str">
        <x:v>https://www.taladrod.com/w40/icar/cardet.aspx?cid=2922239</x:v>
      </x:c>
      <x:c r="AA458" s="3" t="str">
        <x:v>Taladrod個別広告ID／Carsome在庫ID</x:v>
      </x:c>
      <x:c r="AB458" s="3" t="str">
        <x:v>車台番号未取得／サイト間重複は未判定</x:v>
      </x:c>
      <x:c r="AC458" s="3" t="str">
        <x:v>税込区分未確認（一覧表示額）</x:v>
      </x:c>
      <x:c r="AD458" s="3" t="str">
        <x:v>CROSS23_SPORT PLUS</x:v>
      </x:c>
      <x:c r="AE458" s="29" t="n">
        <x:f>'新車価格・特価'!K44</x:f>
        <x:v>999000</x:v>
      </x:c>
      <x:c r="AF458" s="30" t="n">
        <x:f>IF(ISNUMBER(AE458),U458/AE458,"")</x:f>
        <x:v>0.6396396396396397</x:v>
      </x:c>
      <x:c r="AG458" s="29" t="str">
        <x:f>""</x:f>
      </x:c>
      <x:c r="AH458" s="30" t="str">
        <x:f>IF(ISNUMBER(AG458),U458/AG458,"")</x:f>
      </x:c>
      <x:c r="AI458" s="3" t="str">
        <x:v>当時公表小売価格の参考残価率。実購入額ではない。年式/登録年・仕様差に注意。</x:v>
      </x:c>
      <x:c r="AJ458" s="3" t="str">
        <x:v>一覧価格/年式のみ</x:v>
      </x:c>
      <x:c r="AK458" s="3" t="str">
        <x:v>一覧の表示価格。年式は掲載年式。</x:v>
      </x:c>
      <x:c r="AL458" s="31" t="n">
        <x:f>IF(AND(J458&lt;='分析方法'!$B$7,OR(ISBLANK(O458),O458&gt;='分析方法'!$B$8),X458&lt;&gt;"売却済み表示"),1,0)</x:f>
        <x:v>1</x:v>
      </x:c>
      <x:c r="AM458" s="32" t="n">
        <x:f>IF(AL458=1,U458,"")</x:f>
        <x:v>639000</x:v>
      </x:c>
      <x:c r="AN458" s="33" t="n">
        <x:f>IF(AL458=1,AF458,"")</x:f>
        <x:v>0.6396396396396397</x:v>
      </x:c>
      <x:c r="AO458" s="31" t="n">
        <x:f>'分析方法'!$B$6-J458</x:f>
        <x:v>3</x:v>
      </x:c>
      <x:c r="AP458" s="3"/>
    </x:row>
    <x:row r="459" ht="22" customHeight="1">
      <x:c r="A459" s="3" t="str">
        <x:v>T2925390</x:v>
      </x:c>
      <x:c r="B459" s="7" t="d">
        <x:v>2026-10-08T00:00:00.000Z</x:v>
      </x:c>
      <x:c r="C459" s="3" t="str">
        <x:v>Taladrod</x:v>
      </x:c>
      <x:c r="D459" s="3" t="str">
        <x:v>Toyota</x:v>
      </x:c>
      <x:c r="E459" s="3" t="str">
        <x:v>日本</x:v>
      </x:c>
      <x:c r="F459" s="3" t="str">
        <x:v>Corolla Cross</x:v>
      </x:c>
      <x:c r="G459" s="3" t="str">
        <x:v>ICE</x:v>
      </x:c>
      <x:c r="H459" s="3" t="str">
        <x:v>SUV</x:v>
      </x:c>
      <x:c r="I459" s="3" t="str"/>
      <x:c r="J459" s="3" t="n">
        <x:v>2023</x:v>
      </x:c>
      <x:c r="K459" s="3" t="str">
        <x:v>1.8 SPORT PLUS</x:v>
      </x:c>
      <x:c r="L459" s="3" t="str">
        <x:v>SPORT PLUS</x:v>
      </x:c>
      <x:c r="M459" s="22"/>
      <x:c r="N459" s="22"/>
      <x:c r="O459" s="22"/>
      <x:c r="P459" s="3" t="str">
        <x:v>未掲載</x:v>
      </x:c>
      <x:c r="Q459" s="3" t="str">
        <x:v>未取得</x:v>
      </x:c>
      <x:c r="R459" s="3" t="str">
        <x:v>Unknown</x:v>
      </x:c>
      <x:c r="S459" s="3" t="str">
        <x:v>不明</x:v>
      </x:c>
      <x:c r="T459" s="3" t="str">
        <x:v>20-ปัจจุบัน</x:v>
      </x:c>
      <x:c r="U459" s="28" t="n">
        <x:v>699000</x:v>
      </x:c>
      <x:c r="V459" s="28" t="n">
        <x:v>999000</x:v>
      </x:c>
      <x:c r="W459" s="3" t="str">
        <x:v>事故・水没・SOH・保証残は未確認</x:v>
      </x:c>
      <x:c r="X459" s="3" t="str">
        <x:v>掲載中・在庫未確認</x:v>
      </x:c>
      <x:c r="Y459" s="3" t="str"/>
      <x:c r="Z459" s="27" t="str">
        <x:v>https://www.taladrod.com/w40/icar/cardet.aspx?cid=2925390</x:v>
      </x:c>
      <x:c r="AA459" s="3" t="str">
        <x:v>Taladrod個別広告ID／Carsome在庫ID</x:v>
      </x:c>
      <x:c r="AB459" s="3" t="str">
        <x:v>車台番号未取得／サイト間重複は未判定</x:v>
      </x:c>
      <x:c r="AC459" s="3" t="str">
        <x:v>税込区分未確認（一覧表示額）</x:v>
      </x:c>
      <x:c r="AD459" s="3" t="str">
        <x:v>CROSS23_SPORT PLUS</x:v>
      </x:c>
      <x:c r="AE459" s="29" t="n">
        <x:f>'新車価格・特価'!K44</x:f>
        <x:v>999000</x:v>
      </x:c>
      <x:c r="AF459" s="30" t="n">
        <x:f>IF(ISNUMBER(AE459),U459/AE459,"")</x:f>
        <x:v>0.6996996996996997</x:v>
      </x:c>
      <x:c r="AG459" s="29" t="str">
        <x:f>""</x:f>
      </x:c>
      <x:c r="AH459" s="30" t="str">
        <x:f>IF(ISNUMBER(AG459),U459/AG459,"")</x:f>
      </x:c>
      <x:c r="AI459" s="3" t="str">
        <x:v>当時公表小売価格の参考残価率。実購入額ではない。年式/登録年・仕様差に注意。</x:v>
      </x:c>
      <x:c r="AJ459" s="3" t="str">
        <x:v>一覧価格/年式のみ</x:v>
      </x:c>
      <x:c r="AK459" s="3" t="str">
        <x:v>一覧の表示価格。年式は掲載年式。</x:v>
      </x:c>
      <x:c r="AL459" s="31" t="n">
        <x:f>IF(AND(J459&lt;='分析方法'!$B$7,OR(ISBLANK(O459),O459&gt;='分析方法'!$B$8),X459&lt;&gt;"売却済み表示"),1,0)</x:f>
        <x:v>1</x:v>
      </x:c>
      <x:c r="AM459" s="32" t="n">
        <x:f>IF(AL459=1,U459,"")</x:f>
        <x:v>699000</x:v>
      </x:c>
      <x:c r="AN459" s="33" t="n">
        <x:f>IF(AL459=1,AF459,"")</x:f>
        <x:v>0.6996996996996997</x:v>
      </x:c>
      <x:c r="AO459" s="31" t="n">
        <x:f>'分析方法'!$B$6-J459</x:f>
        <x:v>3</x:v>
      </x:c>
      <x:c r="AP459" s="3"/>
    </x:row>
    <x:row r="460" ht="22" customHeight="1">
      <x:c r="A460" s="3" t="str">
        <x:v>T2925838</x:v>
      </x:c>
      <x:c r="B460" s="7" t="d">
        <x:v>2026-10-08T00:00:00.000Z</x:v>
      </x:c>
      <x:c r="C460" s="3" t="str">
        <x:v>Taladrod</x:v>
      </x:c>
      <x:c r="D460" s="3" t="str">
        <x:v>Toyota</x:v>
      </x:c>
      <x:c r="E460" s="3" t="str">
        <x:v>日本</x:v>
      </x:c>
      <x:c r="F460" s="3" t="str">
        <x:v>Corolla Cross</x:v>
      </x:c>
      <x:c r="G460" s="3" t="str">
        <x:v>ICE</x:v>
      </x:c>
      <x:c r="H460" s="3" t="str">
        <x:v>SUV</x:v>
      </x:c>
      <x:c r="I460" s="3" t="str"/>
      <x:c r="J460" s="3" t="n">
        <x:v>2023</x:v>
      </x:c>
      <x:c r="K460" s="3" t="str">
        <x:v>1.8 SPORT PLUS</x:v>
      </x:c>
      <x:c r="L460" s="3" t="str">
        <x:v>SPORT PLUS</x:v>
      </x:c>
      <x:c r="M460" s="22"/>
      <x:c r="N460" s="22"/>
      <x:c r="O460" s="22"/>
      <x:c r="P460" s="3" t="str">
        <x:v>未掲載</x:v>
      </x:c>
      <x:c r="Q460" s="3" t="str">
        <x:v>未取得</x:v>
      </x:c>
      <x:c r="R460" s="3" t="str">
        <x:v>Unknown</x:v>
      </x:c>
      <x:c r="S460" s="3" t="str">
        <x:v>不明</x:v>
      </x:c>
      <x:c r="T460" s="3" t="str">
        <x:v>20-ปัจจุบัน</x:v>
      </x:c>
      <x:c r="U460" s="28" t="n">
        <x:v>799000</x:v>
      </x:c>
      <x:c r="V460" s="28" t="n">
        <x:v>999000</x:v>
      </x:c>
      <x:c r="W460" s="3" t="str">
        <x:v>事故・水没・SOH・保証残は未確認</x:v>
      </x:c>
      <x:c r="X460" s="3" t="str">
        <x:v>掲載中・在庫未確認</x:v>
      </x:c>
      <x:c r="Y460" s="3" t="str"/>
      <x:c r="Z460" s="27" t="str">
        <x:v>https://www.taladrod.com/w40/icar/cardet.aspx?cid=2925838</x:v>
      </x:c>
      <x:c r="AA460" s="3" t="str">
        <x:v>Taladrod個別広告ID／Carsome在庫ID</x:v>
      </x:c>
      <x:c r="AB460" s="3" t="str">
        <x:v>車台番号未取得／サイト間重複は未判定</x:v>
      </x:c>
      <x:c r="AC460" s="3" t="str">
        <x:v>税込区分未確認（一覧表示額）</x:v>
      </x:c>
      <x:c r="AD460" s="3" t="str">
        <x:v>CROSS23_SPORT PLUS</x:v>
      </x:c>
      <x:c r="AE460" s="29" t="n">
        <x:f>'新車価格・特価'!K44</x:f>
        <x:v>999000</x:v>
      </x:c>
      <x:c r="AF460" s="30" t="n">
        <x:f>IF(ISNUMBER(AE460),U460/AE460,"")</x:f>
        <x:v>0.7997997997997998</x:v>
      </x:c>
      <x:c r="AG460" s="29" t="str">
        <x:f>""</x:f>
      </x:c>
      <x:c r="AH460" s="30" t="str">
        <x:f>IF(ISNUMBER(AG460),U460/AG460,"")</x:f>
      </x:c>
      <x:c r="AI460" s="3" t="str">
        <x:v>当時公表小売価格の参考残価率。実購入額ではない。年式/登録年・仕様差に注意。</x:v>
      </x:c>
      <x:c r="AJ460" s="3" t="str">
        <x:v>一覧価格/年式のみ</x:v>
      </x:c>
      <x:c r="AK460" s="3" t="str">
        <x:v>一覧の表示価格。年式は掲載年式。</x:v>
      </x:c>
      <x:c r="AL460" s="31" t="n">
        <x:f>IF(AND(J460&lt;='分析方法'!$B$7,OR(ISBLANK(O460),O460&gt;='分析方法'!$B$8),X460&lt;&gt;"売却済み表示"),1,0)</x:f>
        <x:v>1</x:v>
      </x:c>
      <x:c r="AM460" s="32" t="n">
        <x:f>IF(AL460=1,U460,"")</x:f>
        <x:v>799000</x:v>
      </x:c>
      <x:c r="AN460" s="33" t="n">
        <x:f>IF(AL460=1,AF460,"")</x:f>
        <x:v>0.7997997997997998</x:v>
      </x:c>
      <x:c r="AO460" s="31" t="n">
        <x:f>'分析方法'!$B$6-J460</x:f>
        <x:v>3</x:v>
      </x:c>
      <x:c r="AP460" s="3"/>
    </x:row>
    <x:row r="461" ht="22" customHeight="1">
      <x:c r="A461" s="3" t="str">
        <x:v>T2925856</x:v>
      </x:c>
      <x:c r="B461" s="7" t="d">
        <x:v>2026-10-08T00:00:00.000Z</x:v>
      </x:c>
      <x:c r="C461" s="3" t="str">
        <x:v>Taladrod</x:v>
      </x:c>
      <x:c r="D461" s="3" t="str">
        <x:v>Toyota</x:v>
      </x:c>
      <x:c r="E461" s="3" t="str">
        <x:v>日本</x:v>
      </x:c>
      <x:c r="F461" s="3" t="str">
        <x:v>Corolla Cross</x:v>
      </x:c>
      <x:c r="G461" s="3" t="str">
        <x:v>ICE</x:v>
      </x:c>
      <x:c r="H461" s="3" t="str">
        <x:v>SUV</x:v>
      </x:c>
      <x:c r="I461" s="3" t="str"/>
      <x:c r="J461" s="3" t="n">
        <x:v>2023</x:v>
      </x:c>
      <x:c r="K461" s="3" t="str">
        <x:v>1.8 SPORT PLUS</x:v>
      </x:c>
      <x:c r="L461" s="3" t="str">
        <x:v>SPORT PLUS</x:v>
      </x:c>
      <x:c r="M461" s="22"/>
      <x:c r="N461" s="22"/>
      <x:c r="O461" s="22"/>
      <x:c r="P461" s="3" t="str">
        <x:v>未掲載</x:v>
      </x:c>
      <x:c r="Q461" s="3" t="str">
        <x:v>未取得</x:v>
      </x:c>
      <x:c r="R461" s="3" t="str">
        <x:v>Unknown</x:v>
      </x:c>
      <x:c r="S461" s="3" t="str">
        <x:v>不明</x:v>
      </x:c>
      <x:c r="T461" s="3" t="str">
        <x:v>20-ปัจจุบัน</x:v>
      </x:c>
      <x:c r="U461" s="28" t="n">
        <x:v>702000</x:v>
      </x:c>
      <x:c r="V461" s="28" t="n">
        <x:v>999000</x:v>
      </x:c>
      <x:c r="W461" s="3" t="str">
        <x:v>事故・水没・SOH・保証残は未確認</x:v>
      </x:c>
      <x:c r="X461" s="3" t="str">
        <x:v>掲載中・在庫未確認</x:v>
      </x:c>
      <x:c r="Y461" s="3" t="str"/>
      <x:c r="Z461" s="27" t="str">
        <x:v>https://www.taladrod.com/w40/icar/cardet.aspx?cid=2925856</x:v>
      </x:c>
      <x:c r="AA461" s="3" t="str">
        <x:v>Taladrod個別広告ID／Carsome在庫ID</x:v>
      </x:c>
      <x:c r="AB461" s="3" t="str">
        <x:v>車台番号未取得／サイト間重複は未判定</x:v>
      </x:c>
      <x:c r="AC461" s="3" t="str">
        <x:v>税込区分未確認（一覧表示額）</x:v>
      </x:c>
      <x:c r="AD461" s="3" t="str">
        <x:v>CROSS23_SPORT PLUS</x:v>
      </x:c>
      <x:c r="AE461" s="29" t="n">
        <x:f>'新車価格・特価'!K44</x:f>
        <x:v>999000</x:v>
      </x:c>
      <x:c r="AF461" s="30" t="n">
        <x:f>IF(ISNUMBER(AE461),U461/AE461,"")</x:f>
        <x:v>0.7027027027027027</x:v>
      </x:c>
      <x:c r="AG461" s="29" t="str">
        <x:f>""</x:f>
      </x:c>
      <x:c r="AH461" s="30" t="str">
        <x:f>IF(ISNUMBER(AG461),U461/AG461,"")</x:f>
      </x:c>
      <x:c r="AI461" s="3" t="str">
        <x:v>当時公表小売価格の参考残価率。実購入額ではない。年式/登録年・仕様差に注意。</x:v>
      </x:c>
      <x:c r="AJ461" s="3" t="str">
        <x:v>一覧価格/年式のみ</x:v>
      </x:c>
      <x:c r="AK461" s="3" t="str">
        <x:v>一覧の表示価格。年式は掲載年式。</x:v>
      </x:c>
      <x:c r="AL461" s="31" t="n">
        <x:f>IF(AND(J461&lt;='分析方法'!$B$7,OR(ISBLANK(O461),O461&gt;='分析方法'!$B$8),X461&lt;&gt;"売却済み表示"),1,0)</x:f>
        <x:v>1</x:v>
      </x:c>
      <x:c r="AM461" s="32" t="n">
        <x:f>IF(AL461=1,U461,"")</x:f>
        <x:v>702000</x:v>
      </x:c>
      <x:c r="AN461" s="33" t="n">
        <x:f>IF(AL461=1,AF461,"")</x:f>
        <x:v>0.7027027027027027</x:v>
      </x:c>
      <x:c r="AO461" s="31" t="n">
        <x:f>'分析方法'!$B$6-J461</x:f>
        <x:v>3</x:v>
      </x:c>
      <x:c r="AP461" s="3"/>
    </x:row>
    <x:row r="462" ht="22" customHeight="1">
      <x:c r="A462" s="3" t="str">
        <x:v>T2921314</x:v>
      </x:c>
      <x:c r="B462" s="7" t="d">
        <x:v>2026-10-08T00:00:00.000Z</x:v>
      </x:c>
      <x:c r="C462" s="3" t="str">
        <x:v>Taladrod</x:v>
      </x:c>
      <x:c r="D462" s="3" t="str">
        <x:v>Toyota</x:v>
      </x:c>
      <x:c r="E462" s="3" t="str">
        <x:v>日本</x:v>
      </x:c>
      <x:c r="F462" s="3" t="str">
        <x:v>Corolla Cross</x:v>
      </x:c>
      <x:c r="G462" s="3" t="str">
        <x:v>ICE</x:v>
      </x:c>
      <x:c r="H462" s="3" t="str">
        <x:v>SUV</x:v>
      </x:c>
      <x:c r="I462" s="3" t="str"/>
      <x:c r="J462" s="3" t="n">
        <x:v>2024</x:v>
      </x:c>
      <x:c r="K462" s="3" t="str">
        <x:v>1.8 SPORT PLUS</x:v>
      </x:c>
      <x:c r="L462" s="3" t="str">
        <x:v>SPORT PLUS</x:v>
      </x:c>
      <x:c r="M462" s="22"/>
      <x:c r="N462" s="22"/>
      <x:c r="O462" s="22"/>
      <x:c r="P462" s="3" t="str">
        <x:v>未掲載</x:v>
      </x:c>
      <x:c r="Q462" s="3" t="str">
        <x:v>未取得</x:v>
      </x:c>
      <x:c r="R462" s="3" t="str">
        <x:v>Unknown</x:v>
      </x:c>
      <x:c r="S462" s="3" t="str">
        <x:v>不明</x:v>
      </x:c>
      <x:c r="T462" s="3" t="str">
        <x:v>20-ปัจจุบัน</x:v>
      </x:c>
      <x:c r="U462" s="28" t="n">
        <x:v>799000</x:v>
      </x:c>
      <x:c r="V462" s="28" t="n">
        <x:v>999000</x:v>
      </x:c>
      <x:c r="W462" s="3" t="str">
        <x:v>事故・水没・SOH・保証残は未確認</x:v>
      </x:c>
      <x:c r="X462" s="3" t="str">
        <x:v>掲載中・在庫未確認</x:v>
      </x:c>
      <x:c r="Y462" s="3" t="str"/>
      <x:c r="Z462" s="27" t="str">
        <x:v>https://www.taladrod.com/w40/icar/cardet.aspx?cid=2921314</x:v>
      </x:c>
      <x:c r="AA462" s="3" t="str">
        <x:v>Taladrod個別広告ID／Carsome在庫ID</x:v>
      </x:c>
      <x:c r="AB462" s="3" t="str">
        <x:v>車台番号未取得／サイト間重複は未判定</x:v>
      </x:c>
      <x:c r="AC462" s="3" t="str">
        <x:v>税込区分未確認（一覧表示額）</x:v>
      </x:c>
      <x:c r="AD462" s="3" t="str">
        <x:v>CROSS24_SPORT PLUS</x:v>
      </x:c>
      <x:c r="AE462" s="29" t="n">
        <x:f>'新車価格・特価'!K49</x:f>
        <x:v>999000</x:v>
      </x:c>
      <x:c r="AF462" s="30" t="n">
        <x:f>IF(ISNUMBER(AE462),U462/AE462,"")</x:f>
        <x:v>0.7997997997997998</x:v>
      </x:c>
      <x:c r="AG462" s="29" t="str">
        <x:f>""</x:f>
      </x:c>
      <x:c r="AH462" s="30" t="str">
        <x:f>IF(ISNUMBER(AG462),U462/AG462,"")</x:f>
      </x:c>
      <x:c r="AI462" s="3" t="str">
        <x:v>当時公表小売価格の参考残価率。実購入額ではない。年式/登録年・仕様差に注意。</x:v>
      </x:c>
      <x:c r="AJ462" s="3" t="str">
        <x:v>一覧価格/年式のみ</x:v>
      </x:c>
      <x:c r="AK462" s="3" t="str">
        <x:v>一覧の表示価格。年式は掲載年式。</x:v>
      </x:c>
      <x:c r="AL462" s="31" t="n">
        <x:f>IF(AND(J462&lt;='分析方法'!$B$7,OR(ISBLANK(O462),O462&gt;='分析方法'!$B$8),X462&lt;&gt;"売却済み表示"),1,0)</x:f>
        <x:v>1</x:v>
      </x:c>
      <x:c r="AM462" s="32" t="n">
        <x:f>IF(AL462=1,U462,"")</x:f>
        <x:v>799000</x:v>
      </x:c>
      <x:c r="AN462" s="33" t="n">
        <x:f>IF(AL462=1,AF462,"")</x:f>
        <x:v>0.7997997997997998</x:v>
      </x:c>
      <x:c r="AO462" s="31" t="n">
        <x:f>'分析方法'!$B$6-J462</x:f>
        <x:v>2</x:v>
      </x:c>
      <x:c r="AP462" s="3"/>
    </x:row>
    <x:row r="463" ht="22" customHeight="1">
      <x:c r="A463" s="3" t="str">
        <x:v>T2925755</x:v>
      </x:c>
      <x:c r="B463" s="7" t="d">
        <x:v>2026-10-08T00:00:00.000Z</x:v>
      </x:c>
      <x:c r="C463" s="3" t="str">
        <x:v>Taladrod</x:v>
      </x:c>
      <x:c r="D463" s="3" t="str">
        <x:v>Toyota</x:v>
      </x:c>
      <x:c r="E463" s="3" t="str">
        <x:v>日本</x:v>
      </x:c>
      <x:c r="F463" s="3" t="str">
        <x:v>Corolla Cross</x:v>
      </x:c>
      <x:c r="G463" s="3" t="str">
        <x:v>不明</x:v>
      </x:c>
      <x:c r="H463" s="3" t="str">
        <x:v>SUV</x:v>
      </x:c>
      <x:c r="I463" s="3" t="str"/>
      <x:c r="J463" s="3" t="n">
        <x:v>2022</x:v>
      </x:c>
      <x:c r="K463" s="3" t="str">
        <x:v></x:v>
      </x:c>
      <x:c r="L463" s="3" t="str">
        <x:v>グレード不明</x:v>
      </x:c>
      <x:c r="M463" s="22"/>
      <x:c r="N463" s="22"/>
      <x:c r="O463" s="22"/>
      <x:c r="P463" s="3" t="str">
        <x:v>未掲載</x:v>
      </x:c>
      <x:c r="Q463" s="3" t="str">
        <x:v>未取得</x:v>
      </x:c>
      <x:c r="R463" s="3" t="str">
        <x:v>Unknown</x:v>
      </x:c>
      <x:c r="S463" s="3" t="str">
        <x:v>不明</x:v>
      </x:c>
      <x:c r="T463" s="3" t="str">
        <x:v>20-ปัจจุบัน</x:v>
      </x:c>
      <x:c r="U463" s="28" t="n">
        <x:v>729000</x:v>
      </x:c>
      <x:c r="V463" s="28"/>
      <x:c r="W463" s="3" t="str">
        <x:v>事故・水没・SOH・保証残は未確認</x:v>
      </x:c>
      <x:c r="X463" s="3" t="str">
        <x:v>掲載中・在庫未確認</x:v>
      </x:c>
      <x:c r="Y463" s="3" t="str"/>
      <x:c r="Z463" s="27" t="str">
        <x:v>https://www.taladrod.com/w40/icar/cardet.aspx?cid=2925755</x:v>
      </x:c>
      <x:c r="AA463" s="3" t="str">
        <x:v>Taladrod個別広告ID／Carsome在庫ID</x:v>
      </x:c>
      <x:c r="AB463" s="3" t="str">
        <x:v>車台番号未取得／サイト間重複は未判定</x:v>
      </x:c>
      <x:c r="AC463" s="3" t="str">
        <x:v>税込区分未確認（一覧表示額）</x:v>
      </x:c>
      <x:c r="AD463" s="3" t="str"/>
      <x:c r="AE463" s="29" t="str">
        <x:f>""</x:f>
      </x:c>
      <x:c r="AF463" s="30" t="str">
        <x:f>IF(ISNUMBER(AE463),U463/AE463,"")</x:f>
      </x:c>
      <x:c r="AG463" s="29" t="str">
        <x:f>""</x:f>
      </x:c>
      <x:c r="AH463" s="30" t="str">
        <x:f>IF(ISNUMBER(AG463),U463/AG463,"")</x:f>
      </x:c>
      <x:c r="AI463" s="3" t="str">
        <x:v>同年式・グレードの検証済み当時価格なし／登録年混在</x:v>
      </x:c>
      <x:c r="AJ463" s="3" t="str">
        <x:v>一覧価格/年式のみ</x:v>
      </x:c>
      <x:c r="AK463" s="3" t="str">
        <x:v>一覧の表示価格。年式は掲載年式。</x:v>
      </x:c>
      <x:c r="AL463" s="31" t="n">
        <x:f>IF(AND(J463&lt;='分析方法'!$B$7,OR(ISBLANK(O463),O463&gt;='分析方法'!$B$8),X463&lt;&gt;"売却済み表示"),1,0)</x:f>
        <x:v>1</x:v>
      </x:c>
      <x:c r="AM463" s="32" t="n">
        <x:f>IF(AL463=1,U463,"")</x:f>
        <x:v>729000</x:v>
      </x:c>
      <x:c r="AN463" s="33" t="str">
        <x:f>IF(AL463=1,AF463,"")</x:f>
      </x:c>
      <x:c r="AO463" s="31" t="n">
        <x:f>'分析方法'!$B$6-J463</x:f>
        <x:v>4</x:v>
      </x:c>
      <x:c r="AP463" s="3"/>
    </x:row>
    <x:row r="464" ht="22" customHeight="1">
      <x:c r="A464" s="3" t="str">
        <x:v>T2925488</x:v>
      </x:c>
      <x:c r="B464" s="7" t="d">
        <x:v>2026-10-08T00:00:00.000Z</x:v>
      </x:c>
      <x:c r="C464" s="3" t="str">
        <x:v>Taladrod</x:v>
      </x:c>
      <x:c r="D464" s="3" t="str">
        <x:v>BYD</x:v>
      </x:c>
      <x:c r="E464" s="3" t="str">
        <x:v>中国</x:v>
      </x:c>
      <x:c r="F464" s="3" t="str">
        <x:v>DOLPHIN</x:v>
      </x:c>
      <x:c r="G464" s="3" t="str">
        <x:v>BEV</x:v>
      </x:c>
      <x:c r="H464" s="3" t="str">
        <x:v>Hatchback</x:v>
      </x:c>
      <x:c r="I464" s="3" t="str"/>
      <x:c r="J464" s="3" t="n">
        <x:v>2023</x:v>
      </x:c>
      <x:c r="K464" s="3" t="str">
        <x:v>EXTENDED RANGE</x:v>
      </x:c>
      <x:c r="L464" s="3" t="str">
        <x:v>EXTENDED RANGE</x:v>
      </x:c>
      <x:c r="M464" s="22" t="n">
        <x:v>119000</x:v>
      </x:c>
      <x:c r="N464" s="22" t="n">
        <x:v>119000</x:v>
      </x:c>
      <x:c r="O464" s="22" t="n">
        <x:v>119000</x:v>
      </x:c>
      <x:c r="P464" s="3" t="str">
        <x:v>100–150千km</x:v>
      </x:c>
      <x:c r="Q464" s="3" t="str">
        <x:v>未取得</x:v>
      </x:c>
      <x:c r="R464" s="3" t="str">
        <x:v>Unknown</x:v>
      </x:c>
      <x:c r="S464" s="3" t="str">
        <x:v>AT</x:v>
      </x:c>
      <x:c r="T464" s="3" t="str">
        <x:v>23-ปัจจุบัน</x:v>
      </x:c>
      <x:c r="U464" s="28" t="n">
        <x:v>339000</x:v>
      </x:c>
      <x:c r="V464" s="28" t="n">
        <x:v>859999</x:v>
      </x:c>
      <x:c r="W464" s="3" t="str">
        <x:v>出品者の無重大事故・無水没申告あり／未検証</x:v>
      </x:c>
      <x:c r="X464" s="3" t="str">
        <x:v>掲載中・在庫未確認</x:v>
      </x:c>
      <x:c r="Y464" s="3" t="str">
        <x:v>15 ชม.</x:v>
      </x:c>
      <x:c r="Z464" s="27" t="str">
        <x:v>https://www.taladrod.com/w40/icar/cardet.aspx?cid=2925488</x:v>
      </x:c>
      <x:c r="AA464" s="3" t="str">
        <x:v>Taladrod個別広告ID／Carsome在庫ID</x:v>
      </x:c>
      <x:c r="AB464" s="3" t="str">
        <x:v>車台番号未取得／サイト間重複は未判定</x:v>
      </x:c>
      <x:c r="AC464" s="3" t="str">
        <x:v>ローン試算にVAT 7%除外の注記／車両価格の税込区分未確認</x:v>
      </x:c>
      <x:c r="AD464" s="3" t="str">
        <x:v>DOL23_EXTENDED RANGE</x:v>
      </x:c>
      <x:c r="AE464" s="29" t="n">
        <x:f>'新車価格・特価'!K10</x:f>
        <x:v>859999</x:v>
      </x:c>
      <x:c r="AF464" s="30" t="n">
        <x:f>IF(ISNUMBER(AE464),U464/AE464,"")</x:f>
        <x:v>0.3941865048680289</x:v>
      </x:c>
      <x:c r="AG464" s="29" t="n">
        <x:f>'新車価格・特価'!N37</x:f>
        <x:v>599900</x:v>
      </x:c>
      <x:c r="AH464" s="30" t="n">
        <x:f>IF(ISNUMBER(AG464),U464/AG464,"")</x:f>
        <x:v>0.5650941823637273</x:v>
      </x:c>
      <x:c r="AI464" s="3" t="str">
        <x:v>当時公表小売価格の参考残価率。実購入額ではない。年式/登録年・仕様差に注意。</x:v>
      </x:c>
      <x:c r="AJ464" s="3" t="str">
        <x:v>走行/条件情報あり</x:v>
      </x:c>
      <x:c r="AK464" s="3" t="str">
        <x:v>一覧の表示価格。年式は掲載年式。</x:v>
      </x:c>
      <x:c r="AL464" s="31" t="n">
        <x:f>IF(AND(J464&lt;='分析方法'!$B$7,OR(ISBLANK(O464),O464&gt;='分析方法'!$B$8),X464&lt;&gt;"売却済み表示"),1,0)</x:f>
        <x:v>1</x:v>
      </x:c>
      <x:c r="AM464" s="32" t="n">
        <x:f>IF(AL464=1,U464,"")</x:f>
        <x:v>339000</x:v>
      </x:c>
      <x:c r="AN464" s="33" t="n">
        <x:f>IF(AL464=1,AF464,"")</x:f>
        <x:v>0.3941865048680289</x:v>
      </x:c>
      <x:c r="AO464" s="31" t="n">
        <x:f>'分析方法'!$B$6-J464</x:f>
        <x:v>3</x:v>
      </x:c>
      <x:c r="AP464" s="3"/>
    </x:row>
    <x:row r="465" ht="22" customHeight="1">
      <x:c r="A465" s="3" t="str">
        <x:v>T2925761</x:v>
      </x:c>
      <x:c r="B465" s="7" t="d">
        <x:v>2026-10-08T00:00:00.000Z</x:v>
      </x:c>
      <x:c r="C465" s="3" t="str">
        <x:v>Taladrod</x:v>
      </x:c>
      <x:c r="D465" s="3" t="str">
        <x:v>BYD</x:v>
      </x:c>
      <x:c r="E465" s="3" t="str">
        <x:v>中国</x:v>
      </x:c>
      <x:c r="F465" s="3" t="str">
        <x:v>DOLPHIN</x:v>
      </x:c>
      <x:c r="G465" s="3" t="str">
        <x:v>BEV</x:v>
      </x:c>
      <x:c r="H465" s="3" t="str">
        <x:v>Hatchback</x:v>
      </x:c>
      <x:c r="I465" s="3" t="str"/>
      <x:c r="J465" s="3" t="n">
        <x:v>2023</x:v>
      </x:c>
      <x:c r="K465" s="3" t="str">
        <x:v>EXTENDED RANGE</x:v>
      </x:c>
      <x:c r="L465" s="3" t="str">
        <x:v>EXTENDED RANGE</x:v>
      </x:c>
      <x:c r="M465" s="22" t="n">
        <x:v>48700</x:v>
      </x:c>
      <x:c r="N465" s="22" t="n">
        <x:v>48700</x:v>
      </x:c>
      <x:c r="O465" s="22" t="n">
        <x:v>48700</x:v>
      </x:c>
      <x:c r="P465" s="3" t="str">
        <x:v>20–50千km</x:v>
      </x:c>
      <x:c r="Q465" s="3" t="str">
        <x:v>未取得</x:v>
      </x:c>
      <x:c r="R465" s="3" t="str">
        <x:v>Unknown</x:v>
      </x:c>
      <x:c r="S465" s="3" t="str">
        <x:v>不明</x:v>
      </x:c>
      <x:c r="T465" s="3" t="str">
        <x:v>23-ปัจจุบัน</x:v>
      </x:c>
      <x:c r="U465" s="28" t="n">
        <x:v>338000</x:v>
      </x:c>
      <x:c r="V465" s="28" t="n">
        <x:v>859999</x:v>
      </x:c>
      <x:c r="W465" s="3" t="str">
        <x:v>事故・水没・電池SOH・保証残：未確認</x:v>
      </x:c>
      <x:c r="X465" s="3" t="str">
        <x:v>掲載中・在庫未確認</x:v>
      </x:c>
      <x:c r="Y465" s="3" t="str">
        <x:v>14 ชม.</x:v>
      </x:c>
      <x:c r="Z465" s="27" t="str">
        <x:v>https://www.taladrod.com/w40/icar/cardet.aspx?cid=2925761</x:v>
      </x:c>
      <x:c r="AA465" s="3" t="str">
        <x:v>Taladrod個別広告ID／Carsome在庫ID</x:v>
      </x:c>
      <x:c r="AB465" s="3" t="str">
        <x:v>車台番号未取得／サイト間重複は未判定</x:v>
      </x:c>
      <x:c r="AC465" s="3" t="str">
        <x:v>ローン試算にVAT 7%除外の注記／車両価格の税込区分未確認</x:v>
      </x:c>
      <x:c r="AD465" s="3" t="str">
        <x:v>DOL23_EXTENDED RANGE</x:v>
      </x:c>
      <x:c r="AE465" s="29" t="n">
        <x:f>'新車価格・特価'!K10</x:f>
        <x:v>859999</x:v>
      </x:c>
      <x:c r="AF465" s="30" t="n">
        <x:f>IF(ISNUMBER(AE465),U465/AE465,"")</x:f>
        <x:v>0.3930237128182707</x:v>
      </x:c>
      <x:c r="AG465" s="29" t="n">
        <x:f>'新車価格・特価'!N37</x:f>
        <x:v>599900</x:v>
      </x:c>
      <x:c r="AH465" s="30" t="n">
        <x:f>IF(ISNUMBER(AG465),U465/AG465,"")</x:f>
        <x:v>0.5634272378729789</x:v>
      </x:c>
      <x:c r="AI465" s="3" t="str">
        <x:v>当時公表小売価格の参考残価率。実購入額ではない。年式/登録年・仕様差に注意。</x:v>
      </x:c>
      <x:c r="AJ465" s="3" t="str">
        <x:v>走行/条件情報あり</x:v>
      </x:c>
      <x:c r="AK465" s="3" t="str">
        <x:v>一覧の表示価格。年式は掲載年式。</x:v>
      </x:c>
      <x:c r="AL465" s="31" t="n">
        <x:f>IF(AND(J465&lt;='分析方法'!$B$7,OR(ISBLANK(O465),O465&gt;='分析方法'!$B$8),X465&lt;&gt;"売却済み表示"),1,0)</x:f>
        <x:v>1</x:v>
      </x:c>
      <x:c r="AM465" s="32" t="n">
        <x:f>IF(AL465=1,U465,"")</x:f>
        <x:v>338000</x:v>
      </x:c>
      <x:c r="AN465" s="33" t="n">
        <x:f>IF(AL465=1,AF465,"")</x:f>
        <x:v>0.3930237128182707</x:v>
      </x:c>
      <x:c r="AO465" s="31" t="n">
        <x:f>'分析方法'!$B$6-J465</x:f>
        <x:v>3</x:v>
      </x:c>
      <x:c r="AP465" s="3"/>
    </x:row>
    <x:row r="466" ht="22" customHeight="1">
      <x:c r="A466" s="3" t="str">
        <x:v>T2926289</x:v>
      </x:c>
      <x:c r="B466" s="7" t="d">
        <x:v>2026-10-08T00:00:00.000Z</x:v>
      </x:c>
      <x:c r="C466" s="3" t="str">
        <x:v>Taladrod</x:v>
      </x:c>
      <x:c r="D466" s="3" t="str">
        <x:v>BYD</x:v>
      </x:c>
      <x:c r="E466" s="3" t="str">
        <x:v>中国</x:v>
      </x:c>
      <x:c r="F466" s="3" t="str">
        <x:v>DOLPHIN</x:v>
      </x:c>
      <x:c r="G466" s="3" t="str">
        <x:v>BEV</x:v>
      </x:c>
      <x:c r="H466" s="3" t="str">
        <x:v>Hatchback</x:v>
      </x:c>
      <x:c r="I466" s="3" t="str"/>
      <x:c r="J466" s="3" t="n">
        <x:v>2023</x:v>
      </x:c>
      <x:c r="K466" s="3" t="str">
        <x:v>EXTENDED RANGE</x:v>
      </x:c>
      <x:c r="L466" s="3" t="str">
        <x:v>EXTENDED RANGE</x:v>
      </x:c>
      <x:c r="M466" s="22" t="n">
        <x:v>81000</x:v>
      </x:c>
      <x:c r="N466" s="22" t="n">
        <x:v>81000</x:v>
      </x:c>
      <x:c r="O466" s="22" t="n">
        <x:v>81000</x:v>
      </x:c>
      <x:c r="P466" s="3" t="str">
        <x:v>50–100千km</x:v>
      </x:c>
      <x:c r="Q466" s="3" t="str">
        <x:v>กรุงเทพฯ</x:v>
      </x:c>
      <x:c r="R466" s="3" t="str">
        <x:v>Bangkok metro</x:v>
      </x:c>
      <x:c r="S466" s="3" t="str">
        <x:v>AT</x:v>
      </x:c>
      <x:c r="T466" s="3" t="str">
        <x:v>23-ปัจจุบัน</x:v>
      </x:c>
      <x:c r="U466" s="28" t="n">
        <x:v>349000</x:v>
      </x:c>
      <x:c r="V466" s="28" t="n">
        <x:v>859999</x:v>
      </x:c>
      <x:c r="W466" s="3" t="str">
        <x:v>事故・水没・電池SOH・保証残：未確認</x:v>
      </x:c>
      <x:c r="X466" s="3" t="str">
        <x:v>掲載中・在庫未確認</x:v>
      </x:c>
      <x:c r="Y466" s="3" t="str">
        <x:v>14 ชม.</x:v>
      </x:c>
      <x:c r="Z466" s="27" t="str">
        <x:v>https://www.taladrod.com/w40/icar/cardet.aspx?cid=2926289</x:v>
      </x:c>
      <x:c r="AA466" s="3" t="str">
        <x:v>Taladrod個別広告ID／Carsome在庫ID</x:v>
      </x:c>
      <x:c r="AB466" s="3" t="str">
        <x:v>車台番号未取得／サイト間重複は未判定</x:v>
      </x:c>
      <x:c r="AC466" s="3" t="str">
        <x:v>ローン試算にVAT 7%除外の注記／車両価格の税込区分未確認</x:v>
      </x:c>
      <x:c r="AD466" s="3" t="str">
        <x:v>DOL23_EXTENDED RANGE</x:v>
      </x:c>
      <x:c r="AE466" s="29" t="n">
        <x:f>'新車価格・特価'!K10</x:f>
        <x:v>859999</x:v>
      </x:c>
      <x:c r="AF466" s="30" t="n">
        <x:f>IF(ISNUMBER(AE466),U466/AE466,"")</x:f>
        <x:v>0.4058144253656109</x:v>
      </x:c>
      <x:c r="AG466" s="29" t="n">
        <x:f>'新車価格・特価'!N37</x:f>
        <x:v>599900</x:v>
      </x:c>
      <x:c r="AH466" s="30" t="n">
        <x:f>IF(ISNUMBER(AG466),U466/AG466,"")</x:f>
        <x:v>0.5817636272712119</x:v>
      </x:c>
      <x:c r="AI466" s="3" t="str">
        <x:v>当時公表小売価格の参考残価率。実購入額ではない。年式/登録年・仕様差に注意。</x:v>
      </x:c>
      <x:c r="AJ466" s="3" t="str">
        <x:v>走行/条件情報あり</x:v>
      </x:c>
      <x:c r="AK466" s="3" t="str">
        <x:v>一覧の表示価格。年式は掲載年式。</x:v>
      </x:c>
      <x:c r="AL466" s="31" t="n">
        <x:f>IF(AND(J466&lt;='分析方法'!$B$7,OR(ISBLANK(O466),O466&gt;='分析方法'!$B$8),X466&lt;&gt;"売却済み表示"),1,0)</x:f>
        <x:v>1</x:v>
      </x:c>
      <x:c r="AM466" s="32" t="n">
        <x:f>IF(AL466=1,U466,"")</x:f>
        <x:v>349000</x:v>
      </x:c>
      <x:c r="AN466" s="33" t="n">
        <x:f>IF(AL466=1,AF466,"")</x:f>
        <x:v>0.4058144253656109</x:v>
      </x:c>
      <x:c r="AO466" s="31" t="n">
        <x:f>'分析方法'!$B$6-J466</x:f>
        <x:v>3</x:v>
      </x:c>
      <x:c r="AP466" s="3"/>
    </x:row>
    <x:row r="467" ht="22" customHeight="1">
      <x:c r="A467" s="3" t="str">
        <x:v>T2891033</x:v>
      </x:c>
      <x:c r="B467" s="7" t="d">
        <x:v>2026-10-08T00:00:00.000Z</x:v>
      </x:c>
      <x:c r="C467" s="3" t="str">
        <x:v>Taladrod</x:v>
      </x:c>
      <x:c r="D467" s="3" t="str">
        <x:v>BYD</x:v>
      </x:c>
      <x:c r="E467" s="3" t="str">
        <x:v>中国</x:v>
      </x:c>
      <x:c r="F467" s="3" t="str">
        <x:v>DOLPHIN</x:v>
      </x:c>
      <x:c r="G467" s="3" t="str">
        <x:v>BEV</x:v>
      </x:c>
      <x:c r="H467" s="3" t="str">
        <x:v>Hatchback</x:v>
      </x:c>
      <x:c r="I467" s="3" t="str"/>
      <x:c r="J467" s="3" t="n">
        <x:v>2023</x:v>
      </x:c>
      <x:c r="K467" s="3" t="str">
        <x:v>STANDARD RANGE</x:v>
      </x:c>
      <x:c r="L467" s="3" t="str">
        <x:v>STANDARD RANGE</x:v>
      </x:c>
      <x:c r="M467" s="22"/>
      <x:c r="N467" s="22"/>
      <x:c r="O467" s="22"/>
      <x:c r="P467" s="3" t="str">
        <x:v>未掲載</x:v>
      </x:c>
      <x:c r="Q467" s="3" t="str">
        <x:v>未取得</x:v>
      </x:c>
      <x:c r="R467" s="3" t="str">
        <x:v>Unknown</x:v>
      </x:c>
      <x:c r="S467" s="3" t="str">
        <x:v>不明</x:v>
      </x:c>
      <x:c r="T467" s="3" t="str">
        <x:v>23-ปัจจุบัน</x:v>
      </x:c>
      <x:c r="U467" s="28" t="n">
        <x:v>330000</x:v>
      </x:c>
      <x:c r="V467" s="28" t="n">
        <x:v>699999</x:v>
      </x:c>
      <x:c r="W467" s="3" t="str">
        <x:v>事故・水没・SOH・保証残は未確認</x:v>
      </x:c>
      <x:c r="X467" s="3" t="str">
        <x:v>掲載中・在庫未確認</x:v>
      </x:c>
      <x:c r="Y467" s="3" t="str"/>
      <x:c r="Z467" s="27" t="str">
        <x:v>https://www.taladrod.com/w40/icar/cardet.aspx?cid=2891033</x:v>
      </x:c>
      <x:c r="AA467" s="3" t="str">
        <x:v>Taladrod個別広告ID／Carsome在庫ID</x:v>
      </x:c>
      <x:c r="AB467" s="3" t="str">
        <x:v>車台番号未取得／サイト間重複は未判定</x:v>
      </x:c>
      <x:c r="AC467" s="3" t="str">
        <x:v>税込区分未確認（一覧表示額）</x:v>
      </x:c>
      <x:c r="AD467" s="3" t="str">
        <x:v>DOL23_STANDARD RANGE</x:v>
      </x:c>
      <x:c r="AE467" s="29" t="n">
        <x:f>'新車価格・特価'!K9</x:f>
        <x:v>699999</x:v>
      </x:c>
      <x:c r="AF467" s="30" t="n">
        <x:f>IF(ISNUMBER(AE467),U467/AE467,"")</x:f>
        <x:v>0.4714292448989213</x:v>
      </x:c>
      <x:c r="AG467" s="29" t="n">
        <x:f>'新車価格・特価'!N36</x:f>
        <x:v>509900</x:v>
      </x:c>
      <x:c r="AH467" s="30" t="n">
        <x:f>IF(ISNUMBER(AG467),U467/AG467,"")</x:f>
        <x:v>0.6471857226907237</x:v>
      </x:c>
      <x:c r="AI467" s="3" t="str">
        <x:v>当時公表小売価格の参考残価率。実購入額ではない。年式/登録年・仕様差に注意。</x:v>
      </x:c>
      <x:c r="AJ467" s="3" t="str">
        <x:v>一覧価格/年式のみ</x:v>
      </x:c>
      <x:c r="AK467" s="3" t="str">
        <x:v>一覧の表示価格。年式は掲載年式。</x:v>
      </x:c>
      <x:c r="AL467" s="31" t="n">
        <x:f>IF(AND(J467&lt;='分析方法'!$B$7,OR(ISBLANK(O467),O467&gt;='分析方法'!$B$8),X467&lt;&gt;"売却済み表示"),1,0)</x:f>
        <x:v>1</x:v>
      </x:c>
      <x:c r="AM467" s="32" t="n">
        <x:f>IF(AL467=1,U467,"")</x:f>
        <x:v>330000</x:v>
      </x:c>
      <x:c r="AN467" s="33" t="n">
        <x:f>IF(AL467=1,AF467,"")</x:f>
        <x:v>0.4714292448989213</x:v>
      </x:c>
      <x:c r="AO467" s="31" t="n">
        <x:f>'分析方法'!$B$6-J467</x:f>
        <x:v>3</x:v>
      </x:c>
      <x:c r="AP467" s="3"/>
    </x:row>
    <x:row r="468" ht="22" customHeight="1">
      <x:c r="A468" s="3" t="str">
        <x:v>T2893917</x:v>
      </x:c>
      <x:c r="B468" s="7" t="d">
        <x:v>2026-10-08T00:00:00.000Z</x:v>
      </x:c>
      <x:c r="C468" s="3" t="str">
        <x:v>Taladrod</x:v>
      </x:c>
      <x:c r="D468" s="3" t="str">
        <x:v>BYD</x:v>
      </x:c>
      <x:c r="E468" s="3" t="str">
        <x:v>中国</x:v>
      </x:c>
      <x:c r="F468" s="3" t="str">
        <x:v>DOLPHIN</x:v>
      </x:c>
      <x:c r="G468" s="3" t="str">
        <x:v>BEV</x:v>
      </x:c>
      <x:c r="H468" s="3" t="str">
        <x:v>Hatchback</x:v>
      </x:c>
      <x:c r="I468" s="3" t="str"/>
      <x:c r="J468" s="3" t="n">
        <x:v>2023</x:v>
      </x:c>
      <x:c r="K468" s="3" t="str">
        <x:v>STANDARD RANGE</x:v>
      </x:c>
      <x:c r="L468" s="3" t="str">
        <x:v>STANDARD RANGE</x:v>
      </x:c>
      <x:c r="M468" s="22"/>
      <x:c r="N468" s="22"/>
      <x:c r="O468" s="22"/>
      <x:c r="P468" s="3" t="str">
        <x:v>未掲載</x:v>
      </x:c>
      <x:c r="Q468" s="3" t="str">
        <x:v>未取得</x:v>
      </x:c>
      <x:c r="R468" s="3" t="str">
        <x:v>Unknown</x:v>
      </x:c>
      <x:c r="S468" s="3" t="str">
        <x:v>不明</x:v>
      </x:c>
      <x:c r="T468" s="3" t="str">
        <x:v>23-ปัจจุบัน</x:v>
      </x:c>
      <x:c r="U468" s="28" t="n">
        <x:v>399000</x:v>
      </x:c>
      <x:c r="V468" s="28" t="n">
        <x:v>699999</x:v>
      </x:c>
      <x:c r="W468" s="3" t="str">
        <x:v>事故・水没・SOH・保証残は未確認</x:v>
      </x:c>
      <x:c r="X468" s="3" t="str">
        <x:v>掲載中・在庫未確認</x:v>
      </x:c>
      <x:c r="Y468" s="3" t="str"/>
      <x:c r="Z468" s="27" t="str">
        <x:v>https://www.taladrod.com/w40/icar/cardet.aspx?cid=2893917</x:v>
      </x:c>
      <x:c r="AA468" s="3" t="str">
        <x:v>Taladrod個別広告ID／Carsome在庫ID</x:v>
      </x:c>
      <x:c r="AB468" s="3" t="str">
        <x:v>車台番号未取得／サイト間重複は未判定</x:v>
      </x:c>
      <x:c r="AC468" s="3" t="str">
        <x:v>税込区分未確認（一覧表示額）</x:v>
      </x:c>
      <x:c r="AD468" s="3" t="str">
        <x:v>DOL23_STANDARD RANGE</x:v>
      </x:c>
      <x:c r="AE468" s="29" t="n">
        <x:f>'新車価格・特価'!K9</x:f>
        <x:v>699999</x:v>
      </x:c>
      <x:c r="AF468" s="30" t="n">
        <x:f>IF(ISNUMBER(AE468),U468/AE468,"")</x:f>
        <x:v>0.5700008142868775</x:v>
      </x:c>
      <x:c r="AG468" s="29" t="n">
        <x:f>'新車価格・特価'!N36</x:f>
        <x:v>509900</x:v>
      </x:c>
      <x:c r="AH468" s="30" t="n">
        <x:f>IF(ISNUMBER(AG468),U468/AG468,"")</x:f>
        <x:v>0.7825063737987841</x:v>
      </x:c>
      <x:c r="AI468" s="3" t="str">
        <x:v>当時公表小売価格の参考残価率。実購入額ではない。年式/登録年・仕様差に注意。</x:v>
      </x:c>
      <x:c r="AJ468" s="3" t="str">
        <x:v>一覧価格/年式のみ</x:v>
      </x:c>
      <x:c r="AK468" s="3" t="str">
        <x:v>一覧の表示価格。年式は掲載年式。</x:v>
      </x:c>
      <x:c r="AL468" s="31" t="n">
        <x:f>IF(AND(J468&lt;='分析方法'!$B$7,OR(ISBLANK(O468),O468&gt;='分析方法'!$B$8),X468&lt;&gt;"売却済み表示"),1,0)</x:f>
        <x:v>1</x:v>
      </x:c>
      <x:c r="AM468" s="32" t="n">
        <x:f>IF(AL468=1,U468,"")</x:f>
        <x:v>399000</x:v>
      </x:c>
      <x:c r="AN468" s="33" t="n">
        <x:f>IF(AL468=1,AF468,"")</x:f>
        <x:v>0.5700008142868775</x:v>
      </x:c>
      <x:c r="AO468" s="31" t="n">
        <x:f>'分析方法'!$B$6-J468</x:f>
        <x:v>3</x:v>
      </x:c>
      <x:c r="AP468" s="3"/>
    </x:row>
    <x:row r="469" ht="22" customHeight="1">
      <x:c r="A469" s="3" t="str">
        <x:v>T2898592</x:v>
      </x:c>
      <x:c r="B469" s="7" t="d">
        <x:v>2026-10-08T00:00:00.000Z</x:v>
      </x:c>
      <x:c r="C469" s="3" t="str">
        <x:v>Taladrod</x:v>
      </x:c>
      <x:c r="D469" s="3" t="str">
        <x:v>BYD</x:v>
      </x:c>
      <x:c r="E469" s="3" t="str">
        <x:v>中国</x:v>
      </x:c>
      <x:c r="F469" s="3" t="str">
        <x:v>DOLPHIN</x:v>
      </x:c>
      <x:c r="G469" s="3" t="str">
        <x:v>BEV</x:v>
      </x:c>
      <x:c r="H469" s="3" t="str">
        <x:v>Hatchback</x:v>
      </x:c>
      <x:c r="I469" s="3" t="str"/>
      <x:c r="J469" s="3" t="n">
        <x:v>2023</x:v>
      </x:c>
      <x:c r="K469" s="3" t="str">
        <x:v>STANDARD RANGE</x:v>
      </x:c>
      <x:c r="L469" s="3" t="str">
        <x:v>STANDARD RANGE</x:v>
      </x:c>
      <x:c r="M469" s="22"/>
      <x:c r="N469" s="22"/>
      <x:c r="O469" s="22"/>
      <x:c r="P469" s="3" t="str">
        <x:v>未掲載</x:v>
      </x:c>
      <x:c r="Q469" s="3" t="str">
        <x:v>未取得</x:v>
      </x:c>
      <x:c r="R469" s="3" t="str">
        <x:v>Unknown</x:v>
      </x:c>
      <x:c r="S469" s="3" t="str">
        <x:v>不明</x:v>
      </x:c>
      <x:c r="T469" s="3" t="str">
        <x:v>23-ปัจจุบัน</x:v>
      </x:c>
      <x:c r="U469" s="28" t="n">
        <x:v>400000</x:v>
      </x:c>
      <x:c r="V469" s="28" t="n">
        <x:v>699999</x:v>
      </x:c>
      <x:c r="W469" s="3" t="str">
        <x:v>事故・水没・SOH・保証残は未確認</x:v>
      </x:c>
      <x:c r="X469" s="3" t="str">
        <x:v>掲載中・在庫未確認</x:v>
      </x:c>
      <x:c r="Y469" s="3" t="str"/>
      <x:c r="Z469" s="27" t="str">
        <x:v>https://www.taladrod.com/w40/icar/cardet.aspx?cid=2898592</x:v>
      </x:c>
      <x:c r="AA469" s="3" t="str">
        <x:v>Taladrod個別広告ID／Carsome在庫ID</x:v>
      </x:c>
      <x:c r="AB469" s="3" t="str">
        <x:v>車台番号未取得／サイト間重複は未判定</x:v>
      </x:c>
      <x:c r="AC469" s="3" t="str">
        <x:v>税込区分未確認（一覧表示額）</x:v>
      </x:c>
      <x:c r="AD469" s="3" t="str">
        <x:v>DOL23_STANDARD RANGE</x:v>
      </x:c>
      <x:c r="AE469" s="29" t="n">
        <x:f>'新車価格・特価'!K9</x:f>
        <x:v>699999</x:v>
      </x:c>
      <x:c r="AF469" s="30" t="n">
        <x:f>IF(ISNUMBER(AE469),U469/AE469,"")</x:f>
        <x:v>0.5714293877562682</x:v>
      </x:c>
      <x:c r="AG469" s="29" t="n">
        <x:f>'新車価格・特価'!N36</x:f>
        <x:v>509900</x:v>
      </x:c>
      <x:c r="AH469" s="30" t="n">
        <x:f>IF(ISNUMBER(AG469),U469/AG469,"")</x:f>
        <x:v>0.7844675426554226</x:v>
      </x:c>
      <x:c r="AI469" s="3" t="str">
        <x:v>当時公表小売価格の参考残価率。実購入額ではない。年式/登録年・仕様差に注意。</x:v>
      </x:c>
      <x:c r="AJ469" s="3" t="str">
        <x:v>一覧価格/年式のみ</x:v>
      </x:c>
      <x:c r="AK469" s="3" t="str">
        <x:v>一覧の表示価格。年式は掲載年式。</x:v>
      </x:c>
      <x:c r="AL469" s="31" t="n">
        <x:f>IF(AND(J469&lt;='分析方法'!$B$7,OR(ISBLANK(O469),O469&gt;='分析方法'!$B$8),X469&lt;&gt;"売却済み表示"),1,0)</x:f>
        <x:v>1</x:v>
      </x:c>
      <x:c r="AM469" s="32" t="n">
        <x:f>IF(AL469=1,U469,"")</x:f>
        <x:v>400000</x:v>
      </x:c>
      <x:c r="AN469" s="33" t="n">
        <x:f>IF(AL469=1,AF469,"")</x:f>
        <x:v>0.5714293877562682</x:v>
      </x:c>
      <x:c r="AO469" s="31" t="n">
        <x:f>'分析方法'!$B$6-J469</x:f>
        <x:v>3</x:v>
      </x:c>
      <x:c r="AP469" s="3"/>
    </x:row>
    <x:row r="470" ht="22" customHeight="1">
      <x:c r="A470" s="3" t="str">
        <x:v>T2910179</x:v>
      </x:c>
      <x:c r="B470" s="7" t="d">
        <x:v>2026-10-08T00:00:00.000Z</x:v>
      </x:c>
      <x:c r="C470" s="3" t="str">
        <x:v>Taladrod</x:v>
      </x:c>
      <x:c r="D470" s="3" t="str">
        <x:v>BYD</x:v>
      </x:c>
      <x:c r="E470" s="3" t="str">
        <x:v>中国</x:v>
      </x:c>
      <x:c r="F470" s="3" t="str">
        <x:v>DOLPHIN</x:v>
      </x:c>
      <x:c r="G470" s="3" t="str">
        <x:v>BEV</x:v>
      </x:c>
      <x:c r="H470" s="3" t="str">
        <x:v>Hatchback</x:v>
      </x:c>
      <x:c r="I470" s="3" t="str"/>
      <x:c r="J470" s="3" t="n">
        <x:v>2023</x:v>
      </x:c>
      <x:c r="K470" s="3" t="str">
        <x:v>STANDARD RANGE</x:v>
      </x:c>
      <x:c r="L470" s="3" t="str">
        <x:v>STANDARD RANGE</x:v>
      </x:c>
      <x:c r="M470" s="22"/>
      <x:c r="N470" s="22"/>
      <x:c r="O470" s="22"/>
      <x:c r="P470" s="3" t="str">
        <x:v>未掲載</x:v>
      </x:c>
      <x:c r="Q470" s="3" t="str">
        <x:v>未取得</x:v>
      </x:c>
      <x:c r="R470" s="3" t="str">
        <x:v>Unknown</x:v>
      </x:c>
      <x:c r="S470" s="3" t="str">
        <x:v>不明</x:v>
      </x:c>
      <x:c r="T470" s="3" t="str">
        <x:v>23-ปัจจุบัน</x:v>
      </x:c>
      <x:c r="U470" s="28" t="n">
        <x:v>359000</x:v>
      </x:c>
      <x:c r="V470" s="28" t="n">
        <x:v>699999</x:v>
      </x:c>
      <x:c r="W470" s="3" t="str">
        <x:v>事故・水没・SOH・保証残は未確認</x:v>
      </x:c>
      <x:c r="X470" s="3" t="str">
        <x:v>掲載中・在庫未確認</x:v>
      </x:c>
      <x:c r="Y470" s="3" t="str"/>
      <x:c r="Z470" s="27" t="str">
        <x:v>https://www.taladrod.com/w40/icar/cardet.aspx?cid=2910179</x:v>
      </x:c>
      <x:c r="AA470" s="3" t="str">
        <x:v>Taladrod個別広告ID／Carsome在庫ID</x:v>
      </x:c>
      <x:c r="AB470" s="3" t="str">
        <x:v>車台番号未取得／サイト間重複は未判定</x:v>
      </x:c>
      <x:c r="AC470" s="3" t="str">
        <x:v>税込区分未確認（一覧表示額）</x:v>
      </x:c>
      <x:c r="AD470" s="3" t="str">
        <x:v>DOL23_STANDARD RANGE</x:v>
      </x:c>
      <x:c r="AE470" s="29" t="n">
        <x:f>'新車価格・特価'!K9</x:f>
        <x:v>699999</x:v>
      </x:c>
      <x:c r="AF470" s="30" t="n">
        <x:f>IF(ISNUMBER(AE470),U470/AE470,"")</x:f>
        <x:v>0.5128578755112507</x:v>
      </x:c>
      <x:c r="AG470" s="29" t="n">
        <x:f>'新車価格・特価'!N36</x:f>
        <x:v>509900</x:v>
      </x:c>
      <x:c r="AH470" s="30" t="n">
        <x:f>IF(ISNUMBER(AG470),U470/AG470,"")</x:f>
        <x:v>0.7040596195332418</x:v>
      </x:c>
      <x:c r="AI470" s="3" t="str">
        <x:v>当時公表小売価格の参考残価率。実購入額ではない。年式/登録年・仕様差に注意。</x:v>
      </x:c>
      <x:c r="AJ470" s="3" t="str">
        <x:v>一覧価格/年式のみ</x:v>
      </x:c>
      <x:c r="AK470" s="3" t="str">
        <x:v>一覧の表示価格。年式は掲載年式。</x:v>
      </x:c>
      <x:c r="AL470" s="31" t="n">
        <x:f>IF(AND(J470&lt;='分析方法'!$B$7,OR(ISBLANK(O470),O470&gt;='分析方法'!$B$8),X470&lt;&gt;"売却済み表示"),1,0)</x:f>
        <x:v>1</x:v>
      </x:c>
      <x:c r="AM470" s="32" t="n">
        <x:f>IF(AL470=1,U470,"")</x:f>
        <x:v>359000</x:v>
      </x:c>
      <x:c r="AN470" s="33" t="n">
        <x:f>IF(AL470=1,AF470,"")</x:f>
        <x:v>0.5128578755112507</x:v>
      </x:c>
      <x:c r="AO470" s="31" t="n">
        <x:f>'分析方法'!$B$6-J470</x:f>
        <x:v>3</x:v>
      </x:c>
      <x:c r="AP470" s="3"/>
    </x:row>
    <x:row r="471" ht="22" customHeight="1">
      <x:c r="A471" s="3" t="str">
        <x:v>T2917143</x:v>
      </x:c>
      <x:c r="B471" s="7" t="d">
        <x:v>2026-10-08T00:00:00.000Z</x:v>
      </x:c>
      <x:c r="C471" s="3" t="str">
        <x:v>Taladrod</x:v>
      </x:c>
      <x:c r="D471" s="3" t="str">
        <x:v>BYD</x:v>
      </x:c>
      <x:c r="E471" s="3" t="str">
        <x:v>中国</x:v>
      </x:c>
      <x:c r="F471" s="3" t="str">
        <x:v>DOLPHIN</x:v>
      </x:c>
      <x:c r="G471" s="3" t="str">
        <x:v>BEV</x:v>
      </x:c>
      <x:c r="H471" s="3" t="str">
        <x:v>Hatchback</x:v>
      </x:c>
      <x:c r="I471" s="3" t="str"/>
      <x:c r="J471" s="3" t="n">
        <x:v>2023</x:v>
      </x:c>
      <x:c r="K471" s="3" t="str">
        <x:v>STANDARD RANGE</x:v>
      </x:c>
      <x:c r="L471" s="3" t="str">
        <x:v>STANDARD RANGE</x:v>
      </x:c>
      <x:c r="M471" s="22"/>
      <x:c r="N471" s="22"/>
      <x:c r="O471" s="22"/>
      <x:c r="P471" s="3" t="str">
        <x:v>未掲載</x:v>
      </x:c>
      <x:c r="Q471" s="3" t="str">
        <x:v>未取得</x:v>
      </x:c>
      <x:c r="R471" s="3" t="str">
        <x:v>Unknown</x:v>
      </x:c>
      <x:c r="S471" s="3" t="str">
        <x:v>不明</x:v>
      </x:c>
      <x:c r="T471" s="3" t="str">
        <x:v>23-ปัจจุบัน</x:v>
      </x:c>
      <x:c r="U471" s="28" t="n">
        <x:v>299000</x:v>
      </x:c>
      <x:c r="V471" s="28" t="n">
        <x:v>699999</x:v>
      </x:c>
      <x:c r="W471" s="3" t="str">
        <x:v>事故・水没・SOH・保証残は未確認</x:v>
      </x:c>
      <x:c r="X471" s="3" t="str">
        <x:v>掲載中・在庫未確認</x:v>
      </x:c>
      <x:c r="Y471" s="3" t="str"/>
      <x:c r="Z471" s="27" t="str">
        <x:v>https://www.taladrod.com/w40/icar/cardet.aspx?cid=2917143</x:v>
      </x:c>
      <x:c r="AA471" s="3" t="str">
        <x:v>Taladrod個別広告ID／Carsome在庫ID</x:v>
      </x:c>
      <x:c r="AB471" s="3" t="str">
        <x:v>車台番号未取得／サイト間重複は未判定</x:v>
      </x:c>
      <x:c r="AC471" s="3" t="str">
        <x:v>税込区分未確認（一覧表示額）</x:v>
      </x:c>
      <x:c r="AD471" s="3" t="str">
        <x:v>DOL23_STANDARD RANGE</x:v>
      </x:c>
      <x:c r="AE471" s="29" t="n">
        <x:f>'新車価格・特価'!K9</x:f>
        <x:v>699999</x:v>
      </x:c>
      <x:c r="AF471" s="30" t="n">
        <x:f>IF(ISNUMBER(AE471),U471/AE471,"")</x:f>
        <x:v>0.4271434673478105</x:v>
      </x:c>
      <x:c r="AG471" s="29" t="n">
        <x:f>'新車価格・特価'!N36</x:f>
        <x:v>509900</x:v>
      </x:c>
      <x:c r="AH471" s="30" t="n">
        <x:f>IF(ISNUMBER(AG471),U471/AG471,"")</x:f>
        <x:v>0.5863894881349284</x:v>
      </x:c>
      <x:c r="AI471" s="3" t="str">
        <x:v>当時公表小売価格の参考残価率。実購入額ではない。年式/登録年・仕様差に注意。</x:v>
      </x:c>
      <x:c r="AJ471" s="3" t="str">
        <x:v>一覧価格/年式のみ</x:v>
      </x:c>
      <x:c r="AK471" s="3" t="str">
        <x:v>一覧の表示価格。年式は掲載年式。</x:v>
      </x:c>
      <x:c r="AL471" s="31" t="n">
        <x:f>IF(AND(J471&lt;='分析方法'!$B$7,OR(ISBLANK(O471),O471&gt;='分析方法'!$B$8),X471&lt;&gt;"売却済み表示"),1,0)</x:f>
        <x:v>1</x:v>
      </x:c>
      <x:c r="AM471" s="32" t="n">
        <x:f>IF(AL471=1,U471,"")</x:f>
        <x:v>299000</x:v>
      </x:c>
      <x:c r="AN471" s="33" t="n">
        <x:f>IF(AL471=1,AF471,"")</x:f>
        <x:v>0.4271434673478105</x:v>
      </x:c>
      <x:c r="AO471" s="31" t="n">
        <x:f>'分析方法'!$B$6-J471</x:f>
        <x:v>3</x:v>
      </x:c>
      <x:c r="AP471" s="3"/>
    </x:row>
    <x:row r="472" ht="22" customHeight="1">
      <x:c r="A472" s="3" t="str">
        <x:v>T2921223</x:v>
      </x:c>
      <x:c r="B472" s="7" t="d">
        <x:v>2026-10-08T00:00:00.000Z</x:v>
      </x:c>
      <x:c r="C472" s="3" t="str">
        <x:v>Taladrod</x:v>
      </x:c>
      <x:c r="D472" s="3" t="str">
        <x:v>BYD</x:v>
      </x:c>
      <x:c r="E472" s="3" t="str">
        <x:v>中国</x:v>
      </x:c>
      <x:c r="F472" s="3" t="str">
        <x:v>DOLPHIN</x:v>
      </x:c>
      <x:c r="G472" s="3" t="str">
        <x:v>BEV</x:v>
      </x:c>
      <x:c r="H472" s="3" t="str">
        <x:v>Hatchback</x:v>
      </x:c>
      <x:c r="I472" s="3" t="str"/>
      <x:c r="J472" s="3" t="n">
        <x:v>2023</x:v>
      </x:c>
      <x:c r="K472" s="3" t="str">
        <x:v>STANDARD RANGE</x:v>
      </x:c>
      <x:c r="L472" s="3" t="str">
        <x:v>STANDARD RANGE</x:v>
      </x:c>
      <x:c r="M472" s="22"/>
      <x:c r="N472" s="22"/>
      <x:c r="O472" s="22"/>
      <x:c r="P472" s="3" t="str">
        <x:v>未掲載</x:v>
      </x:c>
      <x:c r="Q472" s="3" t="str">
        <x:v>未取得</x:v>
      </x:c>
      <x:c r="R472" s="3" t="str">
        <x:v>Unknown</x:v>
      </x:c>
      <x:c r="S472" s="3" t="str">
        <x:v>不明</x:v>
      </x:c>
      <x:c r="T472" s="3" t="str">
        <x:v>23-ปัจจุบัน</x:v>
      </x:c>
      <x:c r="U472" s="28" t="n">
        <x:v>355000</x:v>
      </x:c>
      <x:c r="V472" s="28" t="n">
        <x:v>699999</x:v>
      </x:c>
      <x:c r="W472" s="3" t="str">
        <x:v>事故・水没・SOH・保証残は未確認</x:v>
      </x:c>
      <x:c r="X472" s="3" t="str">
        <x:v>掲載中・在庫未確認</x:v>
      </x:c>
      <x:c r="Y472" s="3" t="str"/>
      <x:c r="Z472" s="27" t="str">
        <x:v>https://www.taladrod.com/w40/icar/cardet.aspx?cid=2921223</x:v>
      </x:c>
      <x:c r="AA472" s="3" t="str">
        <x:v>Taladrod個別広告ID／Carsome在庫ID</x:v>
      </x:c>
      <x:c r="AB472" s="3" t="str">
        <x:v>車台番号未取得／サイト間重複は未判定</x:v>
      </x:c>
      <x:c r="AC472" s="3" t="str">
        <x:v>税込区分未確認（一覧表示額）</x:v>
      </x:c>
      <x:c r="AD472" s="3" t="str">
        <x:v>DOL23_STANDARD RANGE</x:v>
      </x:c>
      <x:c r="AE472" s="29" t="n">
        <x:f>'新車価格・特価'!K9</x:f>
        <x:v>699999</x:v>
      </x:c>
      <x:c r="AF472" s="30" t="n">
        <x:f>IF(ISNUMBER(AE472),U472/AE472,"")</x:f>
        <x:v>0.507143581633688</x:v>
      </x:c>
      <x:c r="AG472" s="29" t="n">
        <x:f>'新車価格・特価'!N36</x:f>
        <x:v>509900</x:v>
      </x:c>
      <x:c r="AH472" s="30" t="n">
        <x:f>IF(ISNUMBER(AG472),U472/AG472,"")</x:f>
        <x:v>0.6962149441066876</x:v>
      </x:c>
      <x:c r="AI472" s="3" t="str">
        <x:v>当時公表小売価格の参考残価率。実購入額ではない。年式/登録年・仕様差に注意。</x:v>
      </x:c>
      <x:c r="AJ472" s="3" t="str">
        <x:v>一覧価格/年式のみ</x:v>
      </x:c>
      <x:c r="AK472" s="3" t="str">
        <x:v>一覧の表示価格。年式は掲載年式。</x:v>
      </x:c>
      <x:c r="AL472" s="31" t="n">
        <x:f>IF(AND(J472&lt;='分析方法'!$B$7,OR(ISBLANK(O472),O472&gt;='分析方法'!$B$8),X472&lt;&gt;"売却済み表示"),1,0)</x:f>
        <x:v>1</x:v>
      </x:c>
      <x:c r="AM472" s="32" t="n">
        <x:f>IF(AL472=1,U472,"")</x:f>
        <x:v>355000</x:v>
      </x:c>
      <x:c r="AN472" s="33" t="n">
        <x:f>IF(AL472=1,AF472,"")</x:f>
        <x:v>0.507143581633688</x:v>
      </x:c>
      <x:c r="AO472" s="31" t="n">
        <x:f>'分析方法'!$B$6-J472</x:f>
        <x:v>3</x:v>
      </x:c>
      <x:c r="AP472" s="3"/>
    </x:row>
    <x:row r="473" ht="22" customHeight="1">
      <x:c r="A473" s="3" t="str">
        <x:v>T2922907</x:v>
      </x:c>
      <x:c r="B473" s="7" t="d">
        <x:v>2026-10-08T00:00:00.000Z</x:v>
      </x:c>
      <x:c r="C473" s="3" t="str">
        <x:v>Taladrod</x:v>
      </x:c>
      <x:c r="D473" s="3" t="str">
        <x:v>BYD</x:v>
      </x:c>
      <x:c r="E473" s="3" t="str">
        <x:v>中国</x:v>
      </x:c>
      <x:c r="F473" s="3" t="str">
        <x:v>DOLPHIN</x:v>
      </x:c>
      <x:c r="G473" s="3" t="str">
        <x:v>BEV</x:v>
      </x:c>
      <x:c r="H473" s="3" t="str">
        <x:v>Hatchback</x:v>
      </x:c>
      <x:c r="I473" s="3" t="str"/>
      <x:c r="J473" s="3" t="n">
        <x:v>2023</x:v>
      </x:c>
      <x:c r="K473" s="3" t="str">
        <x:v>STANDARD RANGE</x:v>
      </x:c>
      <x:c r="L473" s="3" t="str">
        <x:v>STANDARD RANGE</x:v>
      </x:c>
      <x:c r="M473" s="22"/>
      <x:c r="N473" s="22"/>
      <x:c r="O473" s="22"/>
      <x:c r="P473" s="3" t="str">
        <x:v>未掲載</x:v>
      </x:c>
      <x:c r="Q473" s="3" t="str">
        <x:v>未取得</x:v>
      </x:c>
      <x:c r="R473" s="3" t="str">
        <x:v>Unknown</x:v>
      </x:c>
      <x:c r="S473" s="3" t="str">
        <x:v>不明</x:v>
      </x:c>
      <x:c r="T473" s="3" t="str">
        <x:v>23-ปัจจุบัน</x:v>
      </x:c>
      <x:c r="U473" s="28" t="n">
        <x:v>319000</x:v>
      </x:c>
      <x:c r="V473" s="28" t="n">
        <x:v>699999</x:v>
      </x:c>
      <x:c r="W473" s="3" t="str">
        <x:v>事故・水没・SOH・保証残は未確認</x:v>
      </x:c>
      <x:c r="X473" s="3" t="str">
        <x:v>掲載中・在庫未確認</x:v>
      </x:c>
      <x:c r="Y473" s="3" t="str"/>
      <x:c r="Z473" s="27" t="str">
        <x:v>https://www.taladrod.com/w40/icar/cardet.aspx?cid=2922907</x:v>
      </x:c>
      <x:c r="AA473" s="3" t="str">
        <x:v>Taladrod個別広告ID／Carsome在庫ID</x:v>
      </x:c>
      <x:c r="AB473" s="3" t="str">
        <x:v>車台番号未取得／サイト間重複は未判定</x:v>
      </x:c>
      <x:c r="AC473" s="3" t="str">
        <x:v>税込区分未確認（一覧表示額）</x:v>
      </x:c>
      <x:c r="AD473" s="3" t="str">
        <x:v>DOL23_STANDARD RANGE</x:v>
      </x:c>
      <x:c r="AE473" s="29" t="n">
        <x:f>'新車価格・特価'!K9</x:f>
        <x:v>699999</x:v>
      </x:c>
      <x:c r="AF473" s="30" t="n">
        <x:f>IF(ISNUMBER(AE473),U473/AE473,"")</x:f>
        <x:v>0.4557149367356239</x:v>
      </x:c>
      <x:c r="AG473" s="29" t="n">
        <x:f>'新車価格・特価'!N36</x:f>
        <x:v>509900</x:v>
      </x:c>
      <x:c r="AH473" s="30" t="n">
        <x:f>IF(ISNUMBER(AG473),U473/AG473,"")</x:f>
        <x:v>0.6256128652676995</x:v>
      </x:c>
      <x:c r="AI473" s="3" t="str">
        <x:v>当時公表小売価格の参考残価率。実購入額ではない。年式/登録年・仕様差に注意。</x:v>
      </x:c>
      <x:c r="AJ473" s="3" t="str">
        <x:v>一覧価格/年式のみ</x:v>
      </x:c>
      <x:c r="AK473" s="3" t="str">
        <x:v>一覧の表示価格。年式は掲載年式。</x:v>
      </x:c>
      <x:c r="AL473" s="31" t="n">
        <x:f>IF(AND(J473&lt;='分析方法'!$B$7,OR(ISBLANK(O473),O473&gt;='分析方法'!$B$8),X473&lt;&gt;"売却済み表示"),1,0)</x:f>
        <x:v>1</x:v>
      </x:c>
      <x:c r="AM473" s="32" t="n">
        <x:f>IF(AL473=1,U473,"")</x:f>
        <x:v>319000</x:v>
      </x:c>
      <x:c r="AN473" s="33" t="n">
        <x:f>IF(AL473=1,AF473,"")</x:f>
        <x:v>0.4557149367356239</x:v>
      </x:c>
      <x:c r="AO473" s="31" t="n">
        <x:f>'分析方法'!$B$6-J473</x:f>
        <x:v>3</x:v>
      </x:c>
      <x:c r="AP473" s="3"/>
    </x:row>
    <x:row r="474" ht="22" customHeight="1">
      <x:c r="A474" s="3" t="str">
        <x:v>T2925285</x:v>
      </x:c>
      <x:c r="B474" s="7" t="d">
        <x:v>2026-10-08T00:00:00.000Z</x:v>
      </x:c>
      <x:c r="C474" s="3" t="str">
        <x:v>Taladrod</x:v>
      </x:c>
      <x:c r="D474" s="3" t="str">
        <x:v>BYD</x:v>
      </x:c>
      <x:c r="E474" s="3" t="str">
        <x:v>中国</x:v>
      </x:c>
      <x:c r="F474" s="3" t="str">
        <x:v>DOLPHIN</x:v>
      </x:c>
      <x:c r="G474" s="3" t="str">
        <x:v>BEV</x:v>
      </x:c>
      <x:c r="H474" s="3" t="str">
        <x:v>Hatchback</x:v>
      </x:c>
      <x:c r="I474" s="3" t="str"/>
      <x:c r="J474" s="3" t="n">
        <x:v>2023</x:v>
      </x:c>
      <x:c r="K474" s="3" t="str">
        <x:v>STANDARD RANGE</x:v>
      </x:c>
      <x:c r="L474" s="3" t="str">
        <x:v>STANDARD RANGE</x:v>
      </x:c>
      <x:c r="M474" s="22"/>
      <x:c r="N474" s="22"/>
      <x:c r="O474" s="22"/>
      <x:c r="P474" s="3" t="str">
        <x:v>未掲載</x:v>
      </x:c>
      <x:c r="Q474" s="3" t="str">
        <x:v>未取得</x:v>
      </x:c>
      <x:c r="R474" s="3" t="str">
        <x:v>Unknown</x:v>
      </x:c>
      <x:c r="S474" s="3" t="str">
        <x:v>不明</x:v>
      </x:c>
      <x:c r="T474" s="3" t="str">
        <x:v>23-ปัจจุบัน</x:v>
      </x:c>
      <x:c r="U474" s="28" t="n">
        <x:v>339000</x:v>
      </x:c>
      <x:c r="V474" s="28" t="n">
        <x:v>699999</x:v>
      </x:c>
      <x:c r="W474" s="3" t="str">
        <x:v>事故・水没・SOH・保証残は未確認</x:v>
      </x:c>
      <x:c r="X474" s="3" t="str">
        <x:v>掲載中・在庫未確認</x:v>
      </x:c>
      <x:c r="Y474" s="3" t="str"/>
      <x:c r="Z474" s="27" t="str">
        <x:v>https://www.taladrod.com/w40/icar/cardet.aspx?cid=2925285</x:v>
      </x:c>
      <x:c r="AA474" s="3" t="str">
        <x:v>Taladrod個別広告ID／Carsome在庫ID</x:v>
      </x:c>
      <x:c r="AB474" s="3" t="str">
        <x:v>車台番号未取得／サイト間重複は未判定</x:v>
      </x:c>
      <x:c r="AC474" s="3" t="str">
        <x:v>税込区分未確認（一覧表示額）</x:v>
      </x:c>
      <x:c r="AD474" s="3" t="str">
        <x:v>DOL23_STANDARD RANGE</x:v>
      </x:c>
      <x:c r="AE474" s="29" t="n">
        <x:f>'新車価格・特価'!K9</x:f>
        <x:v>699999</x:v>
      </x:c>
      <x:c r="AF474" s="30" t="n">
        <x:f>IF(ISNUMBER(AE474),U474/AE474,"")</x:f>
        <x:v>0.4842864061234373</x:v>
      </x:c>
      <x:c r="AG474" s="29" t="n">
        <x:f>'新車価格・特価'!N36</x:f>
        <x:v>509900</x:v>
      </x:c>
      <x:c r="AH474" s="30" t="n">
        <x:f>IF(ISNUMBER(AG474),U474/AG474,"")</x:f>
        <x:v>0.6648362424004707</x:v>
      </x:c>
      <x:c r="AI474" s="3" t="str">
        <x:v>当時公表小売価格の参考残価率。実購入額ではない。年式/登録年・仕様差に注意。</x:v>
      </x:c>
      <x:c r="AJ474" s="3" t="str">
        <x:v>一覧価格/年式のみ</x:v>
      </x:c>
      <x:c r="AK474" s="3" t="str">
        <x:v>一覧の表示価格。年式は掲載年式。</x:v>
      </x:c>
      <x:c r="AL474" s="31" t="n">
        <x:f>IF(AND(J474&lt;='分析方法'!$B$7,OR(ISBLANK(O474),O474&gt;='分析方法'!$B$8),X474&lt;&gt;"売却済み表示"),1,0)</x:f>
        <x:v>1</x:v>
      </x:c>
      <x:c r="AM474" s="32" t="n">
        <x:f>IF(AL474=1,U474,"")</x:f>
        <x:v>339000</x:v>
      </x:c>
      <x:c r="AN474" s="33" t="n">
        <x:f>IF(AL474=1,AF474,"")</x:f>
        <x:v>0.4842864061234373</x:v>
      </x:c>
      <x:c r="AO474" s="31" t="n">
        <x:f>'分析方法'!$B$6-J474</x:f>
        <x:v>3</x:v>
      </x:c>
      <x:c r="AP474" s="3"/>
    </x:row>
    <x:row r="475" ht="22" customHeight="1">
      <x:c r="A475" s="3" t="str">
        <x:v>T2925871</x:v>
      </x:c>
      <x:c r="B475" s="7" t="d">
        <x:v>2026-10-08T00:00:00.000Z</x:v>
      </x:c>
      <x:c r="C475" s="3" t="str">
        <x:v>Taladrod</x:v>
      </x:c>
      <x:c r="D475" s="3" t="str">
        <x:v>BYD</x:v>
      </x:c>
      <x:c r="E475" s="3" t="str">
        <x:v>中国</x:v>
      </x:c>
      <x:c r="F475" s="3" t="str">
        <x:v>DOLPHIN</x:v>
      </x:c>
      <x:c r="G475" s="3" t="str">
        <x:v>BEV</x:v>
      </x:c>
      <x:c r="H475" s="3" t="str">
        <x:v>Hatchback</x:v>
      </x:c>
      <x:c r="I475" s="3" t="str"/>
      <x:c r="J475" s="3" t="n">
        <x:v>2023</x:v>
      </x:c>
      <x:c r="K475" s="3" t="str">
        <x:v>STANDARD RANGE</x:v>
      </x:c>
      <x:c r="L475" s="3" t="str">
        <x:v>STANDARD RANGE</x:v>
      </x:c>
      <x:c r="M475" s="22"/>
      <x:c r="N475" s="22"/>
      <x:c r="O475" s="22"/>
      <x:c r="P475" s="3" t="str">
        <x:v>未掲載</x:v>
      </x:c>
      <x:c r="Q475" s="3" t="str">
        <x:v>未取得</x:v>
      </x:c>
      <x:c r="R475" s="3" t="str">
        <x:v>Unknown</x:v>
      </x:c>
      <x:c r="S475" s="3" t="str">
        <x:v>不明</x:v>
      </x:c>
      <x:c r="T475" s="3" t="str">
        <x:v>23-ปัจจุบัน</x:v>
      </x:c>
      <x:c r="U475" s="28" t="n">
        <x:v>289000</x:v>
      </x:c>
      <x:c r="V475" s="28" t="n">
        <x:v>699999</x:v>
      </x:c>
      <x:c r="W475" s="3" t="str">
        <x:v>事故・水没・SOH・保証残は未確認</x:v>
      </x:c>
      <x:c r="X475" s="3" t="str">
        <x:v>掲載中・在庫未確認</x:v>
      </x:c>
      <x:c r="Y475" s="3" t="str"/>
      <x:c r="Z475" s="27" t="str">
        <x:v>https://www.taladrod.com/w40/icar/cardet.aspx?cid=2925871</x:v>
      </x:c>
      <x:c r="AA475" s="3" t="str">
        <x:v>Taladrod個別広告ID／Carsome在庫ID</x:v>
      </x:c>
      <x:c r="AB475" s="3" t="str">
        <x:v>車台番号未取得／サイト間重複は未判定</x:v>
      </x:c>
      <x:c r="AC475" s="3" t="str">
        <x:v>税込区分未確認（一覧表示額）</x:v>
      </x:c>
      <x:c r="AD475" s="3" t="str">
        <x:v>DOL23_STANDARD RANGE</x:v>
      </x:c>
      <x:c r="AE475" s="29" t="n">
        <x:f>'新車価格・特価'!K9</x:f>
        <x:v>699999</x:v>
      </x:c>
      <x:c r="AF475" s="30" t="n">
        <x:f>IF(ISNUMBER(AE475),U475/AE475,"")</x:f>
        <x:v>0.4128577326539038</x:v>
      </x:c>
      <x:c r="AG475" s="29" t="n">
        <x:f>'新車価格・特価'!N36</x:f>
        <x:v>509900</x:v>
      </x:c>
      <x:c r="AH475" s="30" t="n">
        <x:f>IF(ISNUMBER(AG475),U475/AG475,"")</x:f>
        <x:v>0.5667777995685429</x:v>
      </x:c>
      <x:c r="AI475" s="3" t="str">
        <x:v>当時公表小売価格の参考残価率。実購入額ではない。年式/登録年・仕様差に注意。</x:v>
      </x:c>
      <x:c r="AJ475" s="3" t="str">
        <x:v>一覧価格/年式のみ</x:v>
      </x:c>
      <x:c r="AK475" s="3" t="str">
        <x:v>一覧の表示価格。年式は掲載年式。</x:v>
      </x:c>
      <x:c r="AL475" s="31" t="n">
        <x:f>IF(AND(J475&lt;='分析方法'!$B$7,OR(ISBLANK(O475),O475&gt;='分析方法'!$B$8),X475&lt;&gt;"売却済み表示"),1,0)</x:f>
        <x:v>1</x:v>
      </x:c>
      <x:c r="AM475" s="32" t="n">
        <x:f>IF(AL475=1,U475,"")</x:f>
        <x:v>289000</x:v>
      </x:c>
      <x:c r="AN475" s="33" t="n">
        <x:f>IF(AL475=1,AF475,"")</x:f>
        <x:v>0.4128577326539038</x:v>
      </x:c>
      <x:c r="AO475" s="31" t="n">
        <x:f>'分析方法'!$B$6-J475</x:f>
        <x:v>3</x:v>
      </x:c>
      <x:c r="AP475" s="3"/>
    </x:row>
    <x:row r="476" ht="22" customHeight="1">
      <x:c r="A476" s="3" t="str">
        <x:v>T2899343</x:v>
      </x:c>
      <x:c r="B476" s="7" t="d">
        <x:v>2026-10-08T00:00:00.000Z</x:v>
      </x:c>
      <x:c r="C476" s="3" t="str">
        <x:v>Taladrod</x:v>
      </x:c>
      <x:c r="D476" s="3" t="str">
        <x:v>BYD</x:v>
      </x:c>
      <x:c r="E476" s="3" t="str">
        <x:v>中国</x:v>
      </x:c>
      <x:c r="F476" s="3" t="str">
        <x:v>DOLPHIN</x:v>
      </x:c>
      <x:c r="G476" s="3" t="str">
        <x:v>BEV</x:v>
      </x:c>
      <x:c r="H476" s="3" t="str">
        <x:v>Hatchback</x:v>
      </x:c>
      <x:c r="I476" s="3" t="str"/>
      <x:c r="J476" s="3" t="n">
        <x:v>2024</x:v>
      </x:c>
      <x:c r="K476" s="3" t="str">
        <x:v>EXTENDED RANGE</x:v>
      </x:c>
      <x:c r="L476" s="3" t="str">
        <x:v>EXTENDED RANGE</x:v>
      </x:c>
      <x:c r="M476" s="22"/>
      <x:c r="N476" s="22"/>
      <x:c r="O476" s="22"/>
      <x:c r="P476" s="3" t="str">
        <x:v>未掲載</x:v>
      </x:c>
      <x:c r="Q476" s="3" t="str">
        <x:v>未取得</x:v>
      </x:c>
      <x:c r="R476" s="3" t="str">
        <x:v>Unknown</x:v>
      </x:c>
      <x:c r="S476" s="3" t="str">
        <x:v>不明</x:v>
      </x:c>
      <x:c r="T476" s="3" t="str">
        <x:v>23-ปัจจุบัน</x:v>
      </x:c>
      <x:c r="U476" s="28" t="n">
        <x:v>445000</x:v>
      </x:c>
      <x:c r="V476" s="28" t="n">
        <x:v>859999</x:v>
      </x:c>
      <x:c r="W476" s="3" t="str">
        <x:v>事故・水没・SOH・保証残は未確認</x:v>
      </x:c>
      <x:c r="X476" s="3" t="str">
        <x:v>掲載中・在庫未確認</x:v>
      </x:c>
      <x:c r="Y476" s="3" t="str"/>
      <x:c r="Z476" s="27" t="str">
        <x:v>https://www.taladrod.com/w40/icar/cardet.aspx?cid=2899343</x:v>
      </x:c>
      <x:c r="AA476" s="3" t="str">
        <x:v>Taladrod個別広告ID／Carsome在庫ID</x:v>
      </x:c>
      <x:c r="AB476" s="3" t="str">
        <x:v>車台番号未取得／サイト間重複は未判定</x:v>
      </x:c>
      <x:c r="AC476" s="3" t="str">
        <x:v>税込区分未確認（一覧表示額）</x:v>
      </x:c>
      <x:c r="AD476" s="3" t="str"/>
      <x:c r="AE476" s="29" t="str">
        <x:f>""</x:f>
      </x:c>
      <x:c r="AF476" s="30" t="str">
        <x:f>IF(ISNUMBER(AE476),U476/AE476,"")</x:f>
      </x:c>
      <x:c r="AG476" s="29" t="n">
        <x:f>'新車価格・特価'!N37</x:f>
        <x:v>599900</x:v>
      </x:c>
      <x:c r="AH476" s="30" t="n">
        <x:f>IF(ISNUMBER(AG476),U476/AG476,"")</x:f>
        <x:v>0.7417902983830639</x:v>
      </x:c>
      <x:c r="AI476" s="3" t="str">
        <x:v>同年式・グレードの検証済み当時価格なし／登録年混在</x:v>
      </x:c>
      <x:c r="AJ476" s="3" t="str">
        <x:v>一覧価格/年式のみ</x:v>
      </x:c>
      <x:c r="AK476" s="3" t="str">
        <x:v>一覧の表示価格。年式は掲載年式。</x:v>
      </x:c>
      <x:c r="AL476" s="31" t="n">
        <x:f>IF(AND(J476&lt;='分析方法'!$B$7,OR(ISBLANK(O476),O476&gt;='分析方法'!$B$8),X476&lt;&gt;"売却済み表示"),1,0)</x:f>
        <x:v>1</x:v>
      </x:c>
      <x:c r="AM476" s="32" t="n">
        <x:f>IF(AL476=1,U476,"")</x:f>
        <x:v>445000</x:v>
      </x:c>
      <x:c r="AN476" s="33" t="str">
        <x:f>IF(AL476=1,AF476,"")</x:f>
      </x:c>
      <x:c r="AO476" s="31" t="n">
        <x:f>'分析方法'!$B$6-J476</x:f>
        <x:v>2</x:v>
      </x:c>
      <x:c r="AP476" s="3"/>
    </x:row>
    <x:row r="477" ht="22" customHeight="1">
      <x:c r="A477" s="3" t="str">
        <x:v>T2910693</x:v>
      </x:c>
      <x:c r="B477" s="7" t="d">
        <x:v>2026-10-08T00:00:00.000Z</x:v>
      </x:c>
      <x:c r="C477" s="3" t="str">
        <x:v>Taladrod</x:v>
      </x:c>
      <x:c r="D477" s="3" t="str">
        <x:v>BYD</x:v>
      </x:c>
      <x:c r="E477" s="3" t="str">
        <x:v>中国</x:v>
      </x:c>
      <x:c r="F477" s="3" t="str">
        <x:v>DOLPHIN</x:v>
      </x:c>
      <x:c r="G477" s="3" t="str">
        <x:v>BEV</x:v>
      </x:c>
      <x:c r="H477" s="3" t="str">
        <x:v>Hatchback</x:v>
      </x:c>
      <x:c r="I477" s="3" t="str"/>
      <x:c r="J477" s="3" t="n">
        <x:v>2024</x:v>
      </x:c>
      <x:c r="K477" s="3" t="str">
        <x:v>STANDARD RANGE</x:v>
      </x:c>
      <x:c r="L477" s="3" t="str">
        <x:v>STANDARD RANGE</x:v>
      </x:c>
      <x:c r="M477" s="22"/>
      <x:c r="N477" s="22"/>
      <x:c r="O477" s="22"/>
      <x:c r="P477" s="3" t="str">
        <x:v>未掲載</x:v>
      </x:c>
      <x:c r="Q477" s="3" t="str">
        <x:v>未取得</x:v>
      </x:c>
      <x:c r="R477" s="3" t="str">
        <x:v>Unknown</x:v>
      </x:c>
      <x:c r="S477" s="3" t="str">
        <x:v>不明</x:v>
      </x:c>
      <x:c r="T477" s="3" t="str">
        <x:v>23-ปัจจุบัน</x:v>
      </x:c>
      <x:c r="U477" s="28" t="n">
        <x:v>325000</x:v>
      </x:c>
      <x:c r="V477" s="28" t="n">
        <x:v>699999</x:v>
      </x:c>
      <x:c r="W477" s="3" t="str">
        <x:v>事故・水没・SOH・保証残は未確認</x:v>
      </x:c>
      <x:c r="X477" s="3" t="str">
        <x:v>掲載中・在庫未確認</x:v>
      </x:c>
      <x:c r="Y477" s="3" t="str"/>
      <x:c r="Z477" s="27" t="str">
        <x:v>https://www.taladrod.com/w40/icar/cardet.aspx?cid=2910693</x:v>
      </x:c>
      <x:c r="AA477" s="3" t="str">
        <x:v>Taladrod個別広告ID／Carsome在庫ID</x:v>
      </x:c>
      <x:c r="AB477" s="3" t="str">
        <x:v>車台番号未取得／サイト間重複は未判定</x:v>
      </x:c>
      <x:c r="AC477" s="3" t="str">
        <x:v>税込区分未確認（一覧表示額）</x:v>
      </x:c>
      <x:c r="AD477" s="3" t="str"/>
      <x:c r="AE477" s="29" t="str">
        <x:f>""</x:f>
      </x:c>
      <x:c r="AF477" s="30" t="str">
        <x:f>IF(ISNUMBER(AE477),U477/AE477,"")</x:f>
      </x:c>
      <x:c r="AG477" s="29" t="n">
        <x:f>'新車価格・特価'!N36</x:f>
        <x:v>509900</x:v>
      </x:c>
      <x:c r="AH477" s="30" t="n">
        <x:f>IF(ISNUMBER(AG477),U477/AG477,"")</x:f>
        <x:v>0.6373798784075309</x:v>
      </x:c>
      <x:c r="AI477" s="3" t="str">
        <x:v>同年式・グレードの検証済み当時価格なし／登録年混在</x:v>
      </x:c>
      <x:c r="AJ477" s="3" t="str">
        <x:v>一覧価格/年式のみ</x:v>
      </x:c>
      <x:c r="AK477" s="3" t="str">
        <x:v>一覧の表示価格。年式は掲載年式。</x:v>
      </x:c>
      <x:c r="AL477" s="31" t="n">
        <x:f>IF(AND(J477&lt;='分析方法'!$B$7,OR(ISBLANK(O477),O477&gt;='分析方法'!$B$8),X477&lt;&gt;"売却済み表示"),1,0)</x:f>
        <x:v>1</x:v>
      </x:c>
      <x:c r="AM477" s="32" t="n">
        <x:f>IF(AL477=1,U477,"")</x:f>
        <x:v>325000</x:v>
      </x:c>
      <x:c r="AN477" s="33" t="str">
        <x:f>IF(AL477=1,AF477,"")</x:f>
      </x:c>
      <x:c r="AO477" s="31" t="n">
        <x:f>'分析方法'!$B$6-J477</x:f>
        <x:v>2</x:v>
      </x:c>
      <x:c r="AP477" s="3"/>
    </x:row>
    <x:row r="478" ht="22" customHeight="1">
      <x:c r="A478" s="3" t="str">
        <x:v>T2916932</x:v>
      </x:c>
      <x:c r="B478" s="7" t="d">
        <x:v>2026-10-08T00:00:00.000Z</x:v>
      </x:c>
      <x:c r="C478" s="3" t="str">
        <x:v>Taladrod</x:v>
      </x:c>
      <x:c r="D478" s="3" t="str">
        <x:v>BYD</x:v>
      </x:c>
      <x:c r="E478" s="3" t="str">
        <x:v>中国</x:v>
      </x:c>
      <x:c r="F478" s="3" t="str">
        <x:v>DOLPHIN</x:v>
      </x:c>
      <x:c r="G478" s="3" t="str">
        <x:v>BEV</x:v>
      </x:c>
      <x:c r="H478" s="3" t="str">
        <x:v>Hatchback</x:v>
      </x:c>
      <x:c r="I478" s="3" t="str"/>
      <x:c r="J478" s="3" t="n">
        <x:v>2024</x:v>
      </x:c>
      <x:c r="K478" s="3" t="str">
        <x:v>STANDARD RANGE</x:v>
      </x:c>
      <x:c r="L478" s="3" t="str">
        <x:v>STANDARD RANGE</x:v>
      </x:c>
      <x:c r="M478" s="22"/>
      <x:c r="N478" s="22"/>
      <x:c r="O478" s="22"/>
      <x:c r="P478" s="3" t="str">
        <x:v>未掲載</x:v>
      </x:c>
      <x:c r="Q478" s="3" t="str">
        <x:v>未取得</x:v>
      </x:c>
      <x:c r="R478" s="3" t="str">
        <x:v>Unknown</x:v>
      </x:c>
      <x:c r="S478" s="3" t="str">
        <x:v>不明</x:v>
      </x:c>
      <x:c r="T478" s="3" t="str">
        <x:v>23-ปัจจุบัน</x:v>
      </x:c>
      <x:c r="U478" s="28" t="n">
        <x:v>379000</x:v>
      </x:c>
      <x:c r="V478" s="28" t="n">
        <x:v>699999</x:v>
      </x:c>
      <x:c r="W478" s="3" t="str">
        <x:v>事故・水没・SOH・保証残は未確認</x:v>
      </x:c>
      <x:c r="X478" s="3" t="str">
        <x:v>掲載中・在庫未確認</x:v>
      </x:c>
      <x:c r="Y478" s="3" t="str"/>
      <x:c r="Z478" s="27" t="str">
        <x:v>https://www.taladrod.com/w40/icar/cardet.aspx?cid=2916932</x:v>
      </x:c>
      <x:c r="AA478" s="3" t="str">
        <x:v>Taladrod個別広告ID／Carsome在庫ID</x:v>
      </x:c>
      <x:c r="AB478" s="3" t="str">
        <x:v>車台番号未取得／サイト間重複は未判定</x:v>
      </x:c>
      <x:c r="AC478" s="3" t="str">
        <x:v>税込区分未確認（一覧表示額）</x:v>
      </x:c>
      <x:c r="AD478" s="3" t="str"/>
      <x:c r="AE478" s="29" t="str">
        <x:f>""</x:f>
      </x:c>
      <x:c r="AF478" s="30" t="str">
        <x:f>IF(ISNUMBER(AE478),U478/AE478,"")</x:f>
      </x:c>
      <x:c r="AG478" s="29" t="n">
        <x:f>'新車価格・特価'!N36</x:f>
        <x:v>509900</x:v>
      </x:c>
      <x:c r="AH478" s="30" t="n">
        <x:f>IF(ISNUMBER(AG478),U478/AG478,"")</x:f>
        <x:v>0.7432829966660129</x:v>
      </x:c>
      <x:c r="AI478" s="3" t="str">
        <x:v>同年式・グレードの検証済み当時価格なし／登録年混在</x:v>
      </x:c>
      <x:c r="AJ478" s="3" t="str">
        <x:v>一覧価格/年式のみ</x:v>
      </x:c>
      <x:c r="AK478" s="3" t="str">
        <x:v>一覧の表示価格。年式は掲載年式。</x:v>
      </x:c>
      <x:c r="AL478" s="31" t="n">
        <x:f>IF(AND(J478&lt;='分析方法'!$B$7,OR(ISBLANK(O478),O478&gt;='分析方法'!$B$8),X478&lt;&gt;"売却済み表示"),1,0)</x:f>
        <x:v>1</x:v>
      </x:c>
      <x:c r="AM478" s="32" t="n">
        <x:f>IF(AL478=1,U478,"")</x:f>
        <x:v>379000</x:v>
      </x:c>
      <x:c r="AN478" s="33" t="str">
        <x:f>IF(AL478=1,AF478,"")</x:f>
      </x:c>
      <x:c r="AO478" s="31" t="n">
        <x:f>'分析方法'!$B$6-J478</x:f>
        <x:v>2</x:v>
      </x:c>
      <x:c r="AP478" s="3"/>
    </x:row>
    <x:row r="479" ht="22" customHeight="1">
      <x:c r="A479" s="3" t="str">
        <x:v>T2919503</x:v>
      </x:c>
      <x:c r="B479" s="7" t="d">
        <x:v>2026-10-08T00:00:00.000Z</x:v>
      </x:c>
      <x:c r="C479" s="3" t="str">
        <x:v>Taladrod</x:v>
      </x:c>
      <x:c r="D479" s="3" t="str">
        <x:v>BYD</x:v>
      </x:c>
      <x:c r="E479" s="3" t="str">
        <x:v>中国</x:v>
      </x:c>
      <x:c r="F479" s="3" t="str">
        <x:v>DOLPHIN</x:v>
      </x:c>
      <x:c r="G479" s="3" t="str">
        <x:v>BEV</x:v>
      </x:c>
      <x:c r="H479" s="3" t="str">
        <x:v>Hatchback</x:v>
      </x:c>
      <x:c r="I479" s="3" t="str"/>
      <x:c r="J479" s="3" t="n">
        <x:v>2024</x:v>
      </x:c>
      <x:c r="K479" s="3" t="str">
        <x:v>STANDARD RANGE</x:v>
      </x:c>
      <x:c r="L479" s="3" t="str">
        <x:v>STANDARD RANGE</x:v>
      </x:c>
      <x:c r="M479" s="22"/>
      <x:c r="N479" s="22"/>
      <x:c r="O479" s="22"/>
      <x:c r="P479" s="3" t="str">
        <x:v>未掲載</x:v>
      </x:c>
      <x:c r="Q479" s="3" t="str">
        <x:v>未取得</x:v>
      </x:c>
      <x:c r="R479" s="3" t="str">
        <x:v>Unknown</x:v>
      </x:c>
      <x:c r="S479" s="3" t="str">
        <x:v>不明</x:v>
      </x:c>
      <x:c r="T479" s="3" t="str">
        <x:v>23-ปัจจุบัน</x:v>
      </x:c>
      <x:c r="U479" s="28" t="n">
        <x:v>330000</x:v>
      </x:c>
      <x:c r="V479" s="28" t="n">
        <x:v>699999</x:v>
      </x:c>
      <x:c r="W479" s="3" t="str">
        <x:v>事故・水没・SOH・保証残は未確認</x:v>
      </x:c>
      <x:c r="X479" s="3" t="str">
        <x:v>掲載中・在庫未確認</x:v>
      </x:c>
      <x:c r="Y479" s="3" t="str"/>
      <x:c r="Z479" s="27" t="str">
        <x:v>https://www.taladrod.com/w40/icar/cardet.aspx?cid=2919503</x:v>
      </x:c>
      <x:c r="AA479" s="3" t="str">
        <x:v>Taladrod個別広告ID／Carsome在庫ID</x:v>
      </x:c>
      <x:c r="AB479" s="3" t="str">
        <x:v>車台番号未取得／サイト間重複は未判定</x:v>
      </x:c>
      <x:c r="AC479" s="3" t="str">
        <x:v>税込区分未確認（一覧表示額）</x:v>
      </x:c>
      <x:c r="AD479" s="3" t="str"/>
      <x:c r="AE479" s="29" t="str">
        <x:f>""</x:f>
      </x:c>
      <x:c r="AF479" s="30" t="str">
        <x:f>IF(ISNUMBER(AE479),U479/AE479,"")</x:f>
      </x:c>
      <x:c r="AG479" s="29" t="n">
        <x:f>'新車価格・特価'!N36</x:f>
        <x:v>509900</x:v>
      </x:c>
      <x:c r="AH479" s="30" t="n">
        <x:f>IF(ISNUMBER(AG479),U479/AG479,"")</x:f>
        <x:v>0.6471857226907237</x:v>
      </x:c>
      <x:c r="AI479" s="3" t="str">
        <x:v>同年式・グレードの検証済み当時価格なし／登録年混在</x:v>
      </x:c>
      <x:c r="AJ479" s="3" t="str">
        <x:v>一覧価格/年式のみ</x:v>
      </x:c>
      <x:c r="AK479" s="3" t="str">
        <x:v>一覧の表示価格。年式は掲載年式。</x:v>
      </x:c>
      <x:c r="AL479" s="31" t="n">
        <x:f>IF(AND(J479&lt;='分析方法'!$B$7,OR(ISBLANK(O479),O479&gt;='分析方法'!$B$8),X479&lt;&gt;"売却済み表示"),1,0)</x:f>
        <x:v>1</x:v>
      </x:c>
      <x:c r="AM479" s="32" t="n">
        <x:f>IF(AL479=1,U479,"")</x:f>
        <x:v>330000</x:v>
      </x:c>
      <x:c r="AN479" s="33" t="str">
        <x:f>IF(AL479=1,AF479,"")</x:f>
      </x:c>
      <x:c r="AO479" s="31" t="n">
        <x:f>'分析方法'!$B$6-J479</x:f>
        <x:v>2</x:v>
      </x:c>
      <x:c r="AP479" s="3"/>
    </x:row>
    <x:row r="480" ht="22" customHeight="1">
      <x:c r="A480" s="3" t="str">
        <x:v>T2920243</x:v>
      </x:c>
      <x:c r="B480" s="7" t="d">
        <x:v>2026-10-08T00:00:00.000Z</x:v>
      </x:c>
      <x:c r="C480" s="3" t="str">
        <x:v>Taladrod</x:v>
      </x:c>
      <x:c r="D480" s="3" t="str">
        <x:v>BYD</x:v>
      </x:c>
      <x:c r="E480" s="3" t="str">
        <x:v>中国</x:v>
      </x:c>
      <x:c r="F480" s="3" t="str">
        <x:v>DOLPHIN</x:v>
      </x:c>
      <x:c r="G480" s="3" t="str">
        <x:v>BEV</x:v>
      </x:c>
      <x:c r="H480" s="3" t="str">
        <x:v>Hatchback</x:v>
      </x:c>
      <x:c r="I480" s="3" t="str"/>
      <x:c r="J480" s="3" t="n">
        <x:v>2024</x:v>
      </x:c>
      <x:c r="K480" s="3" t="str">
        <x:v>STANDARD RANGE</x:v>
      </x:c>
      <x:c r="L480" s="3" t="str">
        <x:v>STANDARD RANGE</x:v>
      </x:c>
      <x:c r="M480" s="22"/>
      <x:c r="N480" s="22"/>
      <x:c r="O480" s="22"/>
      <x:c r="P480" s="3" t="str">
        <x:v>未掲載</x:v>
      </x:c>
      <x:c r="Q480" s="3" t="str">
        <x:v>未取得</x:v>
      </x:c>
      <x:c r="R480" s="3" t="str">
        <x:v>Unknown</x:v>
      </x:c>
      <x:c r="S480" s="3" t="str">
        <x:v>不明</x:v>
      </x:c>
      <x:c r="T480" s="3" t="str">
        <x:v>23-ปัจจุบัน</x:v>
      </x:c>
      <x:c r="U480" s="28" t="n">
        <x:v>349000</x:v>
      </x:c>
      <x:c r="V480" s="28" t="n">
        <x:v>699999</x:v>
      </x:c>
      <x:c r="W480" s="3" t="str">
        <x:v>事故・水没・SOH・保証残は未確認</x:v>
      </x:c>
      <x:c r="X480" s="3" t="str">
        <x:v>掲載中・在庫未確認</x:v>
      </x:c>
      <x:c r="Y480" s="3" t="str"/>
      <x:c r="Z480" s="27" t="str">
        <x:v>https://www.taladrod.com/w40/icar/cardet.aspx?cid=2920243</x:v>
      </x:c>
      <x:c r="AA480" s="3" t="str">
        <x:v>Taladrod個別広告ID／Carsome在庫ID</x:v>
      </x:c>
      <x:c r="AB480" s="3" t="str">
        <x:v>車台番号未取得／サイト間重複は未判定</x:v>
      </x:c>
      <x:c r="AC480" s="3" t="str">
        <x:v>税込区分未確認（一覧表示額）</x:v>
      </x:c>
      <x:c r="AD480" s="3" t="str"/>
      <x:c r="AE480" s="29" t="str">
        <x:f>""</x:f>
      </x:c>
      <x:c r="AF480" s="30" t="str">
        <x:f>IF(ISNUMBER(AE480),U480/AE480,"")</x:f>
      </x:c>
      <x:c r="AG480" s="29" t="n">
        <x:f>'新車価格・特価'!N36</x:f>
        <x:v>509900</x:v>
      </x:c>
      <x:c r="AH480" s="30" t="n">
        <x:f>IF(ISNUMBER(AG480),U480/AG480,"")</x:f>
        <x:v>0.6844479309668563</x:v>
      </x:c>
      <x:c r="AI480" s="3" t="str">
        <x:v>同年式・グレードの検証済み当時価格なし／登録年混在</x:v>
      </x:c>
      <x:c r="AJ480" s="3" t="str">
        <x:v>一覧価格/年式のみ</x:v>
      </x:c>
      <x:c r="AK480" s="3" t="str">
        <x:v>一覧の表示価格。年式は掲載年式。</x:v>
      </x:c>
      <x:c r="AL480" s="31" t="n">
        <x:f>IF(AND(J480&lt;='分析方法'!$B$7,OR(ISBLANK(O480),O480&gt;='分析方法'!$B$8),X480&lt;&gt;"売却済み表示"),1,0)</x:f>
        <x:v>1</x:v>
      </x:c>
      <x:c r="AM480" s="32" t="n">
        <x:f>IF(AL480=1,U480,"")</x:f>
        <x:v>349000</x:v>
      </x:c>
      <x:c r="AN480" s="33" t="str">
        <x:f>IF(AL480=1,AF480,"")</x:f>
      </x:c>
      <x:c r="AO480" s="31" t="n">
        <x:f>'分析方法'!$B$6-J480</x:f>
        <x:v>2</x:v>
      </x:c>
      <x:c r="AP480" s="3"/>
    </x:row>
    <x:row r="481" ht="22" customHeight="1">
      <x:c r="A481" s="3" t="str">
        <x:v>T2925898</x:v>
      </x:c>
      <x:c r="B481" s="7" t="d">
        <x:v>2026-10-08T00:00:00.000Z</x:v>
      </x:c>
      <x:c r="C481" s="3" t="str">
        <x:v>Taladrod</x:v>
      </x:c>
      <x:c r="D481" s="3" t="str">
        <x:v>BYD</x:v>
      </x:c>
      <x:c r="E481" s="3" t="str">
        <x:v>中国</x:v>
      </x:c>
      <x:c r="F481" s="3" t="str">
        <x:v>DOLPHIN</x:v>
      </x:c>
      <x:c r="G481" s="3" t="str">
        <x:v>BEV</x:v>
      </x:c>
      <x:c r="H481" s="3" t="str">
        <x:v>Hatchback</x:v>
      </x:c>
      <x:c r="I481" s="3" t="str"/>
      <x:c r="J481" s="3" t="n">
        <x:v>2024</x:v>
      </x:c>
      <x:c r="K481" s="3" t="str">
        <x:v>STANDARD RANGE</x:v>
      </x:c>
      <x:c r="L481" s="3" t="str">
        <x:v>STANDARD RANGE</x:v>
      </x:c>
      <x:c r="M481" s="22"/>
      <x:c r="N481" s="22"/>
      <x:c r="O481" s="22"/>
      <x:c r="P481" s="3" t="str">
        <x:v>未掲載</x:v>
      </x:c>
      <x:c r="Q481" s="3" t="str">
        <x:v>未取得</x:v>
      </x:c>
      <x:c r="R481" s="3" t="str">
        <x:v>Unknown</x:v>
      </x:c>
      <x:c r="S481" s="3" t="str">
        <x:v>不明</x:v>
      </x:c>
      <x:c r="T481" s="3" t="str">
        <x:v>23-ปัจจุบัน</x:v>
      </x:c>
      <x:c r="U481" s="28" t="n">
        <x:v>339000</x:v>
      </x:c>
      <x:c r="V481" s="28" t="n">
        <x:v>699999</x:v>
      </x:c>
      <x:c r="W481" s="3" t="str">
        <x:v>事故・水没・SOH・保証残は未確認</x:v>
      </x:c>
      <x:c r="X481" s="3" t="str">
        <x:v>掲載中・在庫未確認</x:v>
      </x:c>
      <x:c r="Y481" s="3" t="str"/>
      <x:c r="Z481" s="27" t="str">
        <x:v>https://www.taladrod.com/w40/icar/cardet.aspx?cid=2925898</x:v>
      </x:c>
      <x:c r="AA481" s="3" t="str">
        <x:v>Taladrod個別広告ID／Carsome在庫ID</x:v>
      </x:c>
      <x:c r="AB481" s="3" t="str">
        <x:v>車台番号未取得／サイト間重複は未判定</x:v>
      </x:c>
      <x:c r="AC481" s="3" t="str">
        <x:v>税込区分未確認（一覧表示額）</x:v>
      </x:c>
      <x:c r="AD481" s="3" t="str"/>
      <x:c r="AE481" s="29" t="str">
        <x:f>""</x:f>
      </x:c>
      <x:c r="AF481" s="30" t="str">
        <x:f>IF(ISNUMBER(AE481),U481/AE481,"")</x:f>
      </x:c>
      <x:c r="AG481" s="29" t="n">
        <x:f>'新車価格・特価'!N36</x:f>
        <x:v>509900</x:v>
      </x:c>
      <x:c r="AH481" s="30" t="n">
        <x:f>IF(ISNUMBER(AG481),U481/AG481,"")</x:f>
        <x:v>0.6648362424004707</x:v>
      </x:c>
      <x:c r="AI481" s="3" t="str">
        <x:v>同年式・グレードの検証済み当時価格なし／登録年混在</x:v>
      </x:c>
      <x:c r="AJ481" s="3" t="str">
        <x:v>一覧価格/年式のみ</x:v>
      </x:c>
      <x:c r="AK481" s="3" t="str">
        <x:v>一覧の表示価格。年式は掲載年式。</x:v>
      </x:c>
      <x:c r="AL481" s="31" t="n">
        <x:f>IF(AND(J481&lt;='分析方法'!$B$7,OR(ISBLANK(O481),O481&gt;='分析方法'!$B$8),X481&lt;&gt;"売却済み表示"),1,0)</x:f>
        <x:v>1</x:v>
      </x:c>
      <x:c r="AM481" s="32" t="n">
        <x:f>IF(AL481=1,U481,"")</x:f>
        <x:v>339000</x:v>
      </x:c>
      <x:c r="AN481" s="33" t="str">
        <x:f>IF(AL481=1,AF481,"")</x:f>
      </x:c>
      <x:c r="AO481" s="31" t="n">
        <x:f>'分析方法'!$B$6-J481</x:f>
        <x:v>2</x:v>
      </x:c>
      <x:c r="AP481" s="3"/>
    </x:row>
    <x:row r="482" ht="22" customHeight="1">
      <x:c r="A482" s="3" t="str">
        <x:v>T2891842</x:v>
      </x:c>
      <x:c r="B482" s="7" t="d">
        <x:v>2026-10-08T00:00:00.000Z</x:v>
      </x:c>
      <x:c r="C482" s="3" t="str">
        <x:v>Taladrod</x:v>
      </x:c>
      <x:c r="D482" s="3" t="str">
        <x:v>BYD</x:v>
      </x:c>
      <x:c r="E482" s="3" t="str">
        <x:v>中国</x:v>
      </x:c>
      <x:c r="F482" s="3" t="str">
        <x:v>DOLPHIN</x:v>
      </x:c>
      <x:c r="G482" s="3" t="str">
        <x:v>BEV</x:v>
      </x:c>
      <x:c r="H482" s="3" t="str">
        <x:v>Hatchback</x:v>
      </x:c>
      <x:c r="I482" s="3" t="str"/>
      <x:c r="J482" s="3" t="n">
        <x:v>2025</x:v>
      </x:c>
      <x:c r="K482" s="3" t="str">
        <x:v>EXTENDED RANGE</x:v>
      </x:c>
      <x:c r="L482" s="3" t="str">
        <x:v>EXTENDED RANGE</x:v>
      </x:c>
      <x:c r="M482" s="22"/>
      <x:c r="N482" s="22"/>
      <x:c r="O482" s="22"/>
      <x:c r="P482" s="3" t="str">
        <x:v>未掲載</x:v>
      </x:c>
      <x:c r="Q482" s="3" t="str">
        <x:v>未取得</x:v>
      </x:c>
      <x:c r="R482" s="3" t="str">
        <x:v>Unknown</x:v>
      </x:c>
      <x:c r="S482" s="3" t="str">
        <x:v>不明</x:v>
      </x:c>
      <x:c r="T482" s="3" t="str">
        <x:v>23-ปัจจุบัน</x:v>
      </x:c>
      <x:c r="U482" s="28" t="n">
        <x:v>429000</x:v>
      </x:c>
      <x:c r="V482" s="28" t="n">
        <x:v>859999</x:v>
      </x:c>
      <x:c r="W482" s="3" t="str">
        <x:v>事故・水没・SOH・保証残は未確認</x:v>
      </x:c>
      <x:c r="X482" s="3" t="str">
        <x:v>掲載中・在庫未確認</x:v>
      </x:c>
      <x:c r="Y482" s="3" t="str"/>
      <x:c r="Z482" s="27" t="str">
        <x:v>https://www.taladrod.com/w40/icar/cardet.aspx?cid=2891842</x:v>
      </x:c>
      <x:c r="AA482" s="3" t="str">
        <x:v>Taladrod個別広告ID／Carsome在庫ID</x:v>
      </x:c>
      <x:c r="AB482" s="3" t="str">
        <x:v>車台番号未取得／サイト間重複は未判定</x:v>
      </x:c>
      <x:c r="AC482" s="3" t="str">
        <x:v>税込区分未確認（一覧表示額）</x:v>
      </x:c>
      <x:c r="AD482" s="3" t="str"/>
      <x:c r="AE482" s="29" t="str">
        <x:f>""</x:f>
      </x:c>
      <x:c r="AF482" s="30" t="str">
        <x:f>IF(ISNUMBER(AE482),U482/AE482,"")</x:f>
      </x:c>
      <x:c r="AG482" s="29" t="n">
        <x:f>'新車価格・特価'!N37</x:f>
        <x:v>599900</x:v>
      </x:c>
      <x:c r="AH482" s="30" t="n">
        <x:f>IF(ISNUMBER(AG482),U482/AG482,"")</x:f>
        <x:v>0.7151191865310885</x:v>
      </x:c>
      <x:c r="AI482" s="3" t="str">
        <x:v>同年式・グレードの検証済み当時価格なし／登録年混在</x:v>
      </x:c>
      <x:c r="AJ482" s="3" t="str">
        <x:v>一覧価格/年式のみ</x:v>
      </x:c>
      <x:c r="AK482" s="3" t="str">
        <x:v>一覧の表示価格。年式は掲載年式。</x:v>
      </x:c>
      <x:c r="AL482" s="31" t="n">
        <x:f>IF(AND(J482&lt;='分析方法'!$B$7,OR(ISBLANK(O482),O482&gt;='分析方法'!$B$8),X482&lt;&gt;"売却済み表示"),1,0)</x:f>
        <x:v>1</x:v>
      </x:c>
      <x:c r="AM482" s="32" t="n">
        <x:f>IF(AL482=1,U482,"")</x:f>
        <x:v>429000</x:v>
      </x:c>
      <x:c r="AN482" s="33" t="str">
        <x:f>IF(AL482=1,AF482,"")</x:f>
      </x:c>
      <x:c r="AO482" s="31" t="n">
        <x:f>'分析方法'!$B$6-J482</x:f>
        <x:v>1</x:v>
      </x:c>
      <x:c r="AP482" s="3"/>
    </x:row>
    <x:row r="483" ht="22" customHeight="1">
      <x:c r="A483" s="3" t="str">
        <x:v>T2894679</x:v>
      </x:c>
      <x:c r="B483" s="7" t="d">
        <x:v>2026-10-08T00:00:00.000Z</x:v>
      </x:c>
      <x:c r="C483" s="3" t="str">
        <x:v>Taladrod</x:v>
      </x:c>
      <x:c r="D483" s="3" t="str">
        <x:v>BYD</x:v>
      </x:c>
      <x:c r="E483" s="3" t="str">
        <x:v>中国</x:v>
      </x:c>
      <x:c r="F483" s="3" t="str">
        <x:v>DOLPHIN</x:v>
      </x:c>
      <x:c r="G483" s="3" t="str">
        <x:v>BEV</x:v>
      </x:c>
      <x:c r="H483" s="3" t="str">
        <x:v>Hatchback</x:v>
      </x:c>
      <x:c r="I483" s="3" t="str"/>
      <x:c r="J483" s="3" t="n">
        <x:v>2025</x:v>
      </x:c>
      <x:c r="K483" s="3" t="str">
        <x:v>EXTENDED RANGE</x:v>
      </x:c>
      <x:c r="L483" s="3" t="str">
        <x:v>EXTENDED RANGE</x:v>
      </x:c>
      <x:c r="M483" s="22"/>
      <x:c r="N483" s="22"/>
      <x:c r="O483" s="22"/>
      <x:c r="P483" s="3" t="str">
        <x:v>未掲載</x:v>
      </x:c>
      <x:c r="Q483" s="3" t="str">
        <x:v>未取得</x:v>
      </x:c>
      <x:c r="R483" s="3" t="str">
        <x:v>Unknown</x:v>
      </x:c>
      <x:c r="S483" s="3" t="str">
        <x:v>不明</x:v>
      </x:c>
      <x:c r="T483" s="3" t="str">
        <x:v>23-ปัจจุบัน</x:v>
      </x:c>
      <x:c r="U483" s="28" t="n">
        <x:v>455000</x:v>
      </x:c>
      <x:c r="V483" s="28" t="n">
        <x:v>859999</x:v>
      </x:c>
      <x:c r="W483" s="3" t="str">
        <x:v>事故・水没・SOH・保証残は未確認</x:v>
      </x:c>
      <x:c r="X483" s="3" t="str">
        <x:v>掲載中・在庫未確認</x:v>
      </x:c>
      <x:c r="Y483" s="3" t="str"/>
      <x:c r="Z483" s="27" t="str">
        <x:v>https://www.taladrod.com/w40/icar/cardet.aspx?cid=2894679</x:v>
      </x:c>
      <x:c r="AA483" s="3" t="str">
        <x:v>Taladrod個別広告ID／Carsome在庫ID</x:v>
      </x:c>
      <x:c r="AB483" s="3" t="str">
        <x:v>車台番号未取得／サイト間重複は未判定</x:v>
      </x:c>
      <x:c r="AC483" s="3" t="str">
        <x:v>税込区分未確認（一覧表示額）</x:v>
      </x:c>
      <x:c r="AD483" s="3" t="str"/>
      <x:c r="AE483" s="29" t="str">
        <x:f>""</x:f>
      </x:c>
      <x:c r="AF483" s="30" t="str">
        <x:f>IF(ISNUMBER(AE483),U483/AE483,"")</x:f>
      </x:c>
      <x:c r="AG483" s="29" t="n">
        <x:f>'新車価格・特価'!N37</x:f>
        <x:v>599900</x:v>
      </x:c>
      <x:c r="AH483" s="30" t="n">
        <x:f>IF(ISNUMBER(AG483),U483/AG483,"")</x:f>
        <x:v>0.7584597432905484</x:v>
      </x:c>
      <x:c r="AI483" s="3" t="str">
        <x:v>同年式・グレードの検証済み当時価格なし／登録年混在</x:v>
      </x:c>
      <x:c r="AJ483" s="3" t="str">
        <x:v>一覧価格/年式のみ</x:v>
      </x:c>
      <x:c r="AK483" s="3" t="str">
        <x:v>一覧の表示価格。年式は掲載年式。</x:v>
      </x:c>
      <x:c r="AL483" s="31" t="n">
        <x:f>IF(AND(J483&lt;='分析方法'!$B$7,OR(ISBLANK(O483),O483&gt;='分析方法'!$B$8),X483&lt;&gt;"売却済み表示"),1,0)</x:f>
        <x:v>1</x:v>
      </x:c>
      <x:c r="AM483" s="32" t="n">
        <x:f>IF(AL483=1,U483,"")</x:f>
        <x:v>455000</x:v>
      </x:c>
      <x:c r="AN483" s="33" t="str">
        <x:f>IF(AL483=1,AF483,"")</x:f>
      </x:c>
      <x:c r="AO483" s="31" t="n">
        <x:f>'分析方法'!$B$6-J483</x:f>
        <x:v>1</x:v>
      </x:c>
      <x:c r="AP483" s="3"/>
    </x:row>
    <x:row r="484" ht="22" customHeight="1">
      <x:c r="A484" s="3" t="str">
        <x:v>T2920813</x:v>
      </x:c>
      <x:c r="B484" s="7" t="d">
        <x:v>2026-10-08T00:00:00.000Z</x:v>
      </x:c>
      <x:c r="C484" s="3" t="str">
        <x:v>Taladrod</x:v>
      </x:c>
      <x:c r="D484" s="3" t="str">
        <x:v>BYD</x:v>
      </x:c>
      <x:c r="E484" s="3" t="str">
        <x:v>中国</x:v>
      </x:c>
      <x:c r="F484" s="3" t="str">
        <x:v>DOLPHIN</x:v>
      </x:c>
      <x:c r="G484" s="3" t="str">
        <x:v>BEV</x:v>
      </x:c>
      <x:c r="H484" s="3" t="str">
        <x:v>Hatchback</x:v>
      </x:c>
      <x:c r="I484" s="3" t="str"/>
      <x:c r="J484" s="3" t="n">
        <x:v>2025</x:v>
      </x:c>
      <x:c r="K484" s="3" t="str">
        <x:v>STANDARD RANGE</x:v>
      </x:c>
      <x:c r="L484" s="3" t="str">
        <x:v>STANDARD RANGE</x:v>
      </x:c>
      <x:c r="M484" s="22"/>
      <x:c r="N484" s="22"/>
      <x:c r="O484" s="22"/>
      <x:c r="P484" s="3" t="str">
        <x:v>未掲載</x:v>
      </x:c>
      <x:c r="Q484" s="3" t="str">
        <x:v>未取得</x:v>
      </x:c>
      <x:c r="R484" s="3" t="str">
        <x:v>Unknown</x:v>
      </x:c>
      <x:c r="S484" s="3" t="str">
        <x:v>不明</x:v>
      </x:c>
      <x:c r="T484" s="3" t="str">
        <x:v>23-ปัจจุบัน</x:v>
      </x:c>
      <x:c r="U484" s="28" t="n">
        <x:v>369000</x:v>
      </x:c>
      <x:c r="V484" s="28" t="n">
        <x:v>699999</x:v>
      </x:c>
      <x:c r="W484" s="3" t="str">
        <x:v>事故・水没・SOH・保証残は未確認</x:v>
      </x:c>
      <x:c r="X484" s="3" t="str">
        <x:v>掲載中・在庫未確認</x:v>
      </x:c>
      <x:c r="Y484" s="3" t="str"/>
      <x:c r="Z484" s="27" t="str">
        <x:v>https://www.taladrod.com/w40/icar/cardet.aspx?cid=2920813</x:v>
      </x:c>
      <x:c r="AA484" s="3" t="str">
        <x:v>Taladrod個別広告ID／Carsome在庫ID</x:v>
      </x:c>
      <x:c r="AB484" s="3" t="str">
        <x:v>車台番号未取得／サイト間重複は未判定</x:v>
      </x:c>
      <x:c r="AC484" s="3" t="str">
        <x:v>税込区分未確認（一覧表示額）</x:v>
      </x:c>
      <x:c r="AD484" s="3" t="str"/>
      <x:c r="AE484" s="29" t="str">
        <x:f>""</x:f>
      </x:c>
      <x:c r="AF484" s="30" t="str">
        <x:f>IF(ISNUMBER(AE484),U484/AE484,"")</x:f>
      </x:c>
      <x:c r="AG484" s="29" t="n">
        <x:f>'新車価格・特価'!N36</x:f>
        <x:v>509900</x:v>
      </x:c>
      <x:c r="AH484" s="30" t="n">
        <x:f>IF(ISNUMBER(AG484),U484/AG484,"")</x:f>
        <x:v>0.7236713080996274</x:v>
      </x:c>
      <x:c r="AI484" s="3" t="str">
        <x:v>同年式・グレードの検証済み当時価格なし／登録年混在</x:v>
      </x:c>
      <x:c r="AJ484" s="3" t="str">
        <x:v>一覧価格/年式のみ</x:v>
      </x:c>
      <x:c r="AK484" s="3" t="str">
        <x:v>一覧の表示価格。年式は掲載年式。</x:v>
      </x:c>
      <x:c r="AL484" s="31" t="n">
        <x:f>IF(AND(J484&lt;='分析方法'!$B$7,OR(ISBLANK(O484),O484&gt;='分析方法'!$B$8),X484&lt;&gt;"売却済み表示"),1,0)</x:f>
        <x:v>1</x:v>
      </x:c>
      <x:c r="AM484" s="32" t="n">
        <x:f>IF(AL484=1,U484,"")</x:f>
        <x:v>369000</x:v>
      </x:c>
      <x:c r="AN484" s="33" t="str">
        <x:f>IF(AL484=1,AF484,"")</x:f>
      </x:c>
      <x:c r="AO484" s="31" t="n">
        <x:f>'分析方法'!$B$6-J484</x:f>
        <x:v>1</x:v>
      </x:c>
      <x:c r="AP484" s="3"/>
    </x:row>
    <x:row r="485" ht="22" customHeight="1">
      <x:c r="A485" s="3" t="str">
        <x:v>T2925781</x:v>
      </x:c>
      <x:c r="B485" s="7" t="d">
        <x:v>2026-10-08T00:00:00.000Z</x:v>
      </x:c>
      <x:c r="C485" s="3" t="str">
        <x:v>Taladrod</x:v>
      </x:c>
      <x:c r="D485" s="3" t="str">
        <x:v>BYD</x:v>
      </x:c>
      <x:c r="E485" s="3" t="str">
        <x:v>中国</x:v>
      </x:c>
      <x:c r="F485" s="3" t="str">
        <x:v>DOLPHIN</x:v>
      </x:c>
      <x:c r="G485" s="3" t="str">
        <x:v>BEV</x:v>
      </x:c>
      <x:c r="H485" s="3" t="str">
        <x:v>Hatchback</x:v>
      </x:c>
      <x:c r="I485" s="3" t="str"/>
      <x:c r="J485" s="3" t="n">
        <x:v>2025</x:v>
      </x:c>
      <x:c r="K485" s="3" t="str">
        <x:v>STANDARD RANGE</x:v>
      </x:c>
      <x:c r="L485" s="3" t="str">
        <x:v>STANDARD RANGE</x:v>
      </x:c>
      <x:c r="M485" s="22"/>
      <x:c r="N485" s="22"/>
      <x:c r="O485" s="22"/>
      <x:c r="P485" s="3" t="str">
        <x:v>未掲載</x:v>
      </x:c>
      <x:c r="Q485" s="3" t="str">
        <x:v>未取得</x:v>
      </x:c>
      <x:c r="R485" s="3" t="str">
        <x:v>Unknown</x:v>
      </x:c>
      <x:c r="S485" s="3" t="str">
        <x:v>不明</x:v>
      </x:c>
      <x:c r="T485" s="3" t="str">
        <x:v>23-ปัจจุบัน</x:v>
      </x:c>
      <x:c r="U485" s="28" t="n">
        <x:v>399000</x:v>
      </x:c>
      <x:c r="V485" s="28" t="n">
        <x:v>699999</x:v>
      </x:c>
      <x:c r="W485" s="3" t="str">
        <x:v>事故・水没・SOH・保証残は未確認</x:v>
      </x:c>
      <x:c r="X485" s="3" t="str">
        <x:v>掲載中・在庫未確認</x:v>
      </x:c>
      <x:c r="Y485" s="3" t="str"/>
      <x:c r="Z485" s="27" t="str">
        <x:v>https://www.taladrod.com/w40/icar/cardet.aspx?cid=2925781</x:v>
      </x:c>
      <x:c r="AA485" s="3" t="str">
        <x:v>Taladrod個別広告ID／Carsome在庫ID</x:v>
      </x:c>
      <x:c r="AB485" s="3" t="str">
        <x:v>車台番号未取得／サイト間重複は未判定</x:v>
      </x:c>
      <x:c r="AC485" s="3" t="str">
        <x:v>税込区分未確認（一覧表示額）</x:v>
      </x:c>
      <x:c r="AD485" s="3" t="str"/>
      <x:c r="AE485" s="29" t="str">
        <x:f>""</x:f>
      </x:c>
      <x:c r="AF485" s="30" t="str">
        <x:f>IF(ISNUMBER(AE485),U485/AE485,"")</x:f>
      </x:c>
      <x:c r="AG485" s="29" t="n">
        <x:f>'新車価格・特価'!N36</x:f>
        <x:v>509900</x:v>
      </x:c>
      <x:c r="AH485" s="30" t="n">
        <x:f>IF(ISNUMBER(AG485),U485/AG485,"")</x:f>
        <x:v>0.7825063737987841</x:v>
      </x:c>
      <x:c r="AI485" s="3" t="str">
        <x:v>同年式・グレードの検証済み当時価格なし／登録年混在</x:v>
      </x:c>
      <x:c r="AJ485" s="3" t="str">
        <x:v>一覧価格/年式のみ</x:v>
      </x:c>
      <x:c r="AK485" s="3" t="str">
        <x:v>一覧の表示価格。年式は掲載年式。</x:v>
      </x:c>
      <x:c r="AL485" s="31" t="n">
        <x:f>IF(AND(J485&lt;='分析方法'!$B$7,OR(ISBLANK(O485),O485&gt;='分析方法'!$B$8),X485&lt;&gt;"売却済み表示"),1,0)</x:f>
        <x:v>1</x:v>
      </x:c>
      <x:c r="AM485" s="32" t="n">
        <x:f>IF(AL485=1,U485,"")</x:f>
        <x:v>399000</x:v>
      </x:c>
      <x:c r="AN485" s="33" t="str">
        <x:f>IF(AL485=1,AF485,"")</x:f>
      </x:c>
      <x:c r="AO485" s="31" t="n">
        <x:f>'分析方法'!$B$6-J485</x:f>
        <x:v>1</x:v>
      </x:c>
      <x:c r="AP485" s="3"/>
    </x:row>
    <x:row r="486" ht="22" customHeight="1">
      <x:c r="A486" s="3" t="str">
        <x:v>T2897643</x:v>
      </x:c>
      <x:c r="B486" s="7" t="d">
        <x:v>2026-10-08T00:00:00.000Z</x:v>
      </x:c>
      <x:c r="C486" s="3" t="str">
        <x:v>Taladrod</x:v>
      </x:c>
      <x:c r="D486" s="3" t="str">
        <x:v>Toyota</x:v>
      </x:c>
      <x:c r="E486" s="3" t="str">
        <x:v>日本</x:v>
      </x:c>
      <x:c r="F486" s="3" t="str">
        <x:v>Fortuner</x:v>
      </x:c>
      <x:c r="G486" s="3" t="str">
        <x:v>ICE</x:v>
      </x:c>
      <x:c r="H486" s="3" t="str">
        <x:v>SUV</x:v>
      </x:c>
      <x:c r="I486" s="3" t="str"/>
      <x:c r="J486" s="3" t="n">
        <x:v>2020</x:v>
      </x:c>
      <x:c r="K486" s="3" t="str">
        <x:v>2.4 G</x:v>
      </x:c>
      <x:c r="L486" s="3" t="str">
        <x:v>2.4 G</x:v>
      </x:c>
      <x:c r="M486" s="22"/>
      <x:c r="N486" s="22"/>
      <x:c r="O486" s="22"/>
      <x:c r="P486" s="3" t="str">
        <x:v>未掲載</x:v>
      </x:c>
      <x:c r="Q486" s="3" t="str">
        <x:v>未取得</x:v>
      </x:c>
      <x:c r="R486" s="3" t="str">
        <x:v>Unknown</x:v>
      </x:c>
      <x:c r="S486" s="3" t="str">
        <x:v>不明</x:v>
      </x:c>
      <x:c r="T486" s="3" t="str">
        <x:v>15-ปัจจุบัน</x:v>
      </x:c>
      <x:c r="U486" s="28" t="n">
        <x:v>679000</x:v>
      </x:c>
      <x:c r="V486" s="28" t="n">
        <x:v>1349000</x:v>
      </x:c>
      <x:c r="W486" s="3" t="str">
        <x:v>事故・水没・SOH・保証残は未確認</x:v>
      </x:c>
      <x:c r="X486" s="3" t="str">
        <x:v>掲載中・在庫未確認</x:v>
      </x:c>
      <x:c r="Y486" s="3" t="str"/>
      <x:c r="Z486" s="27" t="str">
        <x:v>https://www.taladrod.com/w40/icar/cardet.aspx?cid=2897643</x:v>
      </x:c>
      <x:c r="AA486" s="3" t="str">
        <x:v>Taladrod個別広告ID／Carsome在庫ID</x:v>
      </x:c>
      <x:c r="AB486" s="3" t="str">
        <x:v>車台番号未取得／サイト間重複は未判定</x:v>
      </x:c>
      <x:c r="AC486" s="3" t="str">
        <x:v>税込区分未確認（一覧表示額）</x:v>
      </x:c>
      <x:c r="AD486" s="3" t="str"/>
      <x:c r="AE486" s="29" t="str">
        <x:f>""</x:f>
      </x:c>
      <x:c r="AF486" s="30" t="str">
        <x:f>IF(ISNUMBER(AE486),U486/AE486,"")</x:f>
      </x:c>
      <x:c r="AG486" s="29" t="str">
        <x:f>""</x:f>
      </x:c>
      <x:c r="AH486" s="30" t="str">
        <x:f>IF(ISNUMBER(AG486),U486/AG486,"")</x:f>
      </x:c>
      <x:c r="AI486" s="3" t="str">
        <x:v>同年式・グレードの検証済み当時価格なし／登録年混在</x:v>
      </x:c>
      <x:c r="AJ486" s="3" t="str">
        <x:v>一覧価格/年式のみ</x:v>
      </x:c>
      <x:c r="AK486" s="3" t="str">
        <x:v>一覧の表示価格。年式は掲載年式。</x:v>
      </x:c>
      <x:c r="AL486" s="31" t="n">
        <x:f>IF(AND(J486&lt;='分析方法'!$B$7,OR(ISBLANK(O486),O486&gt;='分析方法'!$B$8),X486&lt;&gt;"売却済み表示"),1,0)</x:f>
        <x:v>1</x:v>
      </x:c>
      <x:c r="AM486" s="32" t="n">
        <x:f>IF(AL486=1,U486,"")</x:f>
        <x:v>679000</x:v>
      </x:c>
      <x:c r="AN486" s="33" t="str">
        <x:f>IF(AL486=1,AF486,"")</x:f>
      </x:c>
      <x:c r="AO486" s="31" t="n">
        <x:f>'分析方法'!$B$6-J486</x:f>
        <x:v>6</x:v>
      </x:c>
      <x:c r="AP486" s="3"/>
    </x:row>
    <x:row r="487" ht="22" customHeight="1">
      <x:c r="A487" s="3" t="str">
        <x:v>T2908302</x:v>
      </x:c>
      <x:c r="B487" s="7" t="d">
        <x:v>2026-10-08T00:00:00.000Z</x:v>
      </x:c>
      <x:c r="C487" s="3" t="str">
        <x:v>Taladrod</x:v>
      </x:c>
      <x:c r="D487" s="3" t="str">
        <x:v>Toyota</x:v>
      </x:c>
      <x:c r="E487" s="3" t="str">
        <x:v>日本</x:v>
      </x:c>
      <x:c r="F487" s="3" t="str">
        <x:v>Fortuner</x:v>
      </x:c>
      <x:c r="G487" s="3" t="str">
        <x:v>ICE</x:v>
      </x:c>
      <x:c r="H487" s="3" t="str">
        <x:v>SUV</x:v>
      </x:c>
      <x:c r="I487" s="3" t="str"/>
      <x:c r="J487" s="3" t="n">
        <x:v>2020</x:v>
      </x:c>
      <x:c r="K487" s="3" t="str">
        <x:v>2.4 G</x:v>
      </x:c>
      <x:c r="L487" s="3" t="str">
        <x:v>2.4 G</x:v>
      </x:c>
      <x:c r="M487" s="22"/>
      <x:c r="N487" s="22"/>
      <x:c r="O487" s="22"/>
      <x:c r="P487" s="3" t="str">
        <x:v>未掲載</x:v>
      </x:c>
      <x:c r="Q487" s="3" t="str">
        <x:v>未取得</x:v>
      </x:c>
      <x:c r="R487" s="3" t="str">
        <x:v>Unknown</x:v>
      </x:c>
      <x:c r="S487" s="3" t="str">
        <x:v>不明</x:v>
      </x:c>
      <x:c r="T487" s="3" t="str">
        <x:v>15-ปัจจุบัน</x:v>
      </x:c>
      <x:c r="U487" s="28" t="n">
        <x:v>799000</x:v>
      </x:c>
      <x:c r="V487" s="28" t="n">
        <x:v>1349000</x:v>
      </x:c>
      <x:c r="W487" s="3" t="str">
        <x:v>事故・水没・SOH・保証残は未確認</x:v>
      </x:c>
      <x:c r="X487" s="3" t="str">
        <x:v>掲載中・在庫未確認</x:v>
      </x:c>
      <x:c r="Y487" s="3" t="str"/>
      <x:c r="Z487" s="27" t="str">
        <x:v>https://www.taladrod.com/w40/icar/cardet.aspx?cid=2908302</x:v>
      </x:c>
      <x:c r="AA487" s="3" t="str">
        <x:v>Taladrod個別広告ID／Carsome在庫ID</x:v>
      </x:c>
      <x:c r="AB487" s="3" t="str">
        <x:v>車台番号未取得／サイト間重複は未判定</x:v>
      </x:c>
      <x:c r="AC487" s="3" t="str">
        <x:v>税込区分未確認（一覧表示額）</x:v>
      </x:c>
      <x:c r="AD487" s="3" t="str"/>
      <x:c r="AE487" s="29" t="str">
        <x:f>""</x:f>
      </x:c>
      <x:c r="AF487" s="30" t="str">
        <x:f>IF(ISNUMBER(AE487),U487/AE487,"")</x:f>
      </x:c>
      <x:c r="AG487" s="29" t="str">
        <x:f>""</x:f>
      </x:c>
      <x:c r="AH487" s="30" t="str">
        <x:f>IF(ISNUMBER(AG487),U487/AG487,"")</x:f>
      </x:c>
      <x:c r="AI487" s="3" t="str">
        <x:v>同年式・グレードの検証済み当時価格なし／登録年混在</x:v>
      </x:c>
      <x:c r="AJ487" s="3" t="str">
        <x:v>一覧価格/年式のみ</x:v>
      </x:c>
      <x:c r="AK487" s="3" t="str">
        <x:v>一覧の表示価格。年式は掲載年式。</x:v>
      </x:c>
      <x:c r="AL487" s="31" t="n">
        <x:f>IF(AND(J487&lt;='分析方法'!$B$7,OR(ISBLANK(O487),O487&gt;='分析方法'!$B$8),X487&lt;&gt;"売却済み表示"),1,0)</x:f>
        <x:v>1</x:v>
      </x:c>
      <x:c r="AM487" s="32" t="n">
        <x:f>IF(AL487=1,U487,"")</x:f>
        <x:v>799000</x:v>
      </x:c>
      <x:c r="AN487" s="33" t="str">
        <x:f>IF(AL487=1,AF487,"")</x:f>
      </x:c>
      <x:c r="AO487" s="31" t="n">
        <x:f>'分析方法'!$B$6-J487</x:f>
        <x:v>6</x:v>
      </x:c>
      <x:c r="AP487" s="3"/>
    </x:row>
    <x:row r="488" ht="22" customHeight="1">
      <x:c r="A488" s="3" t="str">
        <x:v>T2919009</x:v>
      </x:c>
      <x:c r="B488" s="7" t="d">
        <x:v>2026-10-08T00:00:00.000Z</x:v>
      </x:c>
      <x:c r="C488" s="3" t="str">
        <x:v>Taladrod</x:v>
      </x:c>
      <x:c r="D488" s="3" t="str">
        <x:v>Toyota</x:v>
      </x:c>
      <x:c r="E488" s="3" t="str">
        <x:v>日本</x:v>
      </x:c>
      <x:c r="F488" s="3" t="str">
        <x:v>Fortuner</x:v>
      </x:c>
      <x:c r="G488" s="3" t="str">
        <x:v>ICE</x:v>
      </x:c>
      <x:c r="H488" s="3" t="str">
        <x:v>SUV</x:v>
      </x:c>
      <x:c r="I488" s="3" t="str"/>
      <x:c r="J488" s="3" t="n">
        <x:v>2020</x:v>
      </x:c>
      <x:c r="K488" s="3" t="str">
        <x:v>2.4 G</x:v>
      </x:c>
      <x:c r="L488" s="3" t="str">
        <x:v>2.4 G</x:v>
      </x:c>
      <x:c r="M488" s="22"/>
      <x:c r="N488" s="22"/>
      <x:c r="O488" s="22"/>
      <x:c r="P488" s="3" t="str">
        <x:v>未掲載</x:v>
      </x:c>
      <x:c r="Q488" s="3" t="str">
        <x:v>未取得</x:v>
      </x:c>
      <x:c r="R488" s="3" t="str">
        <x:v>Unknown</x:v>
      </x:c>
      <x:c r="S488" s="3" t="str">
        <x:v>不明</x:v>
      </x:c>
      <x:c r="T488" s="3" t="str">
        <x:v>15-ปัจจุบัน</x:v>
      </x:c>
      <x:c r="U488" s="28" t="n">
        <x:v>794000</x:v>
      </x:c>
      <x:c r="V488" s="28" t="n">
        <x:v>1349000</x:v>
      </x:c>
      <x:c r="W488" s="3" t="str">
        <x:v>事故・水没・SOH・保証残は未確認</x:v>
      </x:c>
      <x:c r="X488" s="3" t="str">
        <x:v>掲載中・在庫未確認</x:v>
      </x:c>
      <x:c r="Y488" s="3" t="str"/>
      <x:c r="Z488" s="27" t="str">
        <x:v>https://www.taladrod.com/w40/icar/cardet.aspx?cid=2919009</x:v>
      </x:c>
      <x:c r="AA488" s="3" t="str">
        <x:v>Taladrod個別広告ID／Carsome在庫ID</x:v>
      </x:c>
      <x:c r="AB488" s="3" t="str">
        <x:v>車台番号未取得／サイト間重複は未判定</x:v>
      </x:c>
      <x:c r="AC488" s="3" t="str">
        <x:v>税込区分未確認（一覧表示額）</x:v>
      </x:c>
      <x:c r="AD488" s="3" t="str"/>
      <x:c r="AE488" s="29" t="str">
        <x:f>""</x:f>
      </x:c>
      <x:c r="AF488" s="30" t="str">
        <x:f>IF(ISNUMBER(AE488),U488/AE488,"")</x:f>
      </x:c>
      <x:c r="AG488" s="29" t="str">
        <x:f>""</x:f>
      </x:c>
      <x:c r="AH488" s="30" t="str">
        <x:f>IF(ISNUMBER(AG488),U488/AG488,"")</x:f>
      </x:c>
      <x:c r="AI488" s="3" t="str">
        <x:v>同年式・グレードの検証済み当時価格なし／登録年混在</x:v>
      </x:c>
      <x:c r="AJ488" s="3" t="str">
        <x:v>一覧価格/年式のみ</x:v>
      </x:c>
      <x:c r="AK488" s="3" t="str">
        <x:v>一覧の表示価格。年式は掲載年式。</x:v>
      </x:c>
      <x:c r="AL488" s="31" t="n">
        <x:f>IF(AND(J488&lt;='分析方法'!$B$7,OR(ISBLANK(O488),O488&gt;='分析方法'!$B$8),X488&lt;&gt;"売却済み表示"),1,0)</x:f>
        <x:v>1</x:v>
      </x:c>
      <x:c r="AM488" s="32" t="n">
        <x:f>IF(AL488=1,U488,"")</x:f>
        <x:v>794000</x:v>
      </x:c>
      <x:c r="AN488" s="33" t="str">
        <x:f>IF(AL488=1,AF488,"")</x:f>
      </x:c>
      <x:c r="AO488" s="31" t="n">
        <x:f>'分析方法'!$B$6-J488</x:f>
        <x:v>6</x:v>
      </x:c>
      <x:c r="AP488" s="3"/>
    </x:row>
    <x:row r="489" ht="22" customHeight="1">
      <x:c r="A489" s="3" t="str">
        <x:v>T2920445</x:v>
      </x:c>
      <x:c r="B489" s="7" t="d">
        <x:v>2026-10-08T00:00:00.000Z</x:v>
      </x:c>
      <x:c r="C489" s="3" t="str">
        <x:v>Taladrod</x:v>
      </x:c>
      <x:c r="D489" s="3" t="str">
        <x:v>Toyota</x:v>
      </x:c>
      <x:c r="E489" s="3" t="str">
        <x:v>日本</x:v>
      </x:c>
      <x:c r="F489" s="3" t="str">
        <x:v>Fortuner</x:v>
      </x:c>
      <x:c r="G489" s="3" t="str">
        <x:v>ICE</x:v>
      </x:c>
      <x:c r="H489" s="3" t="str">
        <x:v>SUV</x:v>
      </x:c>
      <x:c r="I489" s="3" t="str"/>
      <x:c r="J489" s="3" t="n">
        <x:v>2020</x:v>
      </x:c>
      <x:c r="K489" s="3" t="str">
        <x:v>2.4 G</x:v>
      </x:c>
      <x:c r="L489" s="3" t="str">
        <x:v>2.4 G</x:v>
      </x:c>
      <x:c r="M489" s="22"/>
      <x:c r="N489" s="22"/>
      <x:c r="O489" s="22"/>
      <x:c r="P489" s="3" t="str">
        <x:v>未掲載</x:v>
      </x:c>
      <x:c r="Q489" s="3" t="str">
        <x:v>未取得</x:v>
      </x:c>
      <x:c r="R489" s="3" t="str">
        <x:v>Unknown</x:v>
      </x:c>
      <x:c r="S489" s="3" t="str">
        <x:v>不明</x:v>
      </x:c>
      <x:c r="T489" s="3" t="str">
        <x:v>15-ปัจจุบัน</x:v>
      </x:c>
      <x:c r="U489" s="28" t="n">
        <x:v>799000</x:v>
      </x:c>
      <x:c r="V489" s="28" t="n">
        <x:v>1349000</x:v>
      </x:c>
      <x:c r="W489" s="3" t="str">
        <x:v>事故・水没・SOH・保証残は未確認</x:v>
      </x:c>
      <x:c r="X489" s="3" t="str">
        <x:v>掲載中・在庫未確認</x:v>
      </x:c>
      <x:c r="Y489" s="3" t="str"/>
      <x:c r="Z489" s="27" t="str">
        <x:v>https://www.taladrod.com/w40/icar/cardet.aspx?cid=2920445</x:v>
      </x:c>
      <x:c r="AA489" s="3" t="str">
        <x:v>Taladrod個別広告ID／Carsome在庫ID</x:v>
      </x:c>
      <x:c r="AB489" s="3" t="str">
        <x:v>車台番号未取得／サイト間重複は未判定</x:v>
      </x:c>
      <x:c r="AC489" s="3" t="str">
        <x:v>税込区分未確認（一覧表示額）</x:v>
      </x:c>
      <x:c r="AD489" s="3" t="str"/>
      <x:c r="AE489" s="29" t="str">
        <x:f>""</x:f>
      </x:c>
      <x:c r="AF489" s="30" t="str">
        <x:f>IF(ISNUMBER(AE489),U489/AE489,"")</x:f>
      </x:c>
      <x:c r="AG489" s="29" t="str">
        <x:f>""</x:f>
      </x:c>
      <x:c r="AH489" s="30" t="str">
        <x:f>IF(ISNUMBER(AG489),U489/AG489,"")</x:f>
      </x:c>
      <x:c r="AI489" s="3" t="str">
        <x:v>同年式・グレードの検証済み当時価格なし／登録年混在</x:v>
      </x:c>
      <x:c r="AJ489" s="3" t="str">
        <x:v>一覧価格/年式のみ</x:v>
      </x:c>
      <x:c r="AK489" s="3" t="str">
        <x:v>一覧の表示価格。年式は掲載年式。</x:v>
      </x:c>
      <x:c r="AL489" s="31" t="n">
        <x:f>IF(AND(J489&lt;='分析方法'!$B$7,OR(ISBLANK(O489),O489&gt;='分析方法'!$B$8),X489&lt;&gt;"売却済み表示"),1,0)</x:f>
        <x:v>1</x:v>
      </x:c>
      <x:c r="AM489" s="32" t="n">
        <x:f>IF(AL489=1,U489,"")</x:f>
        <x:v>799000</x:v>
      </x:c>
      <x:c r="AN489" s="33" t="str">
        <x:f>IF(AL489=1,AF489,"")</x:f>
      </x:c>
      <x:c r="AO489" s="31" t="n">
        <x:f>'分析方法'!$B$6-J489</x:f>
        <x:v>6</x:v>
      </x:c>
      <x:c r="AP489" s="3"/>
    </x:row>
    <x:row r="490" ht="22" customHeight="1">
      <x:c r="A490" s="3" t="str">
        <x:v>T2923073</x:v>
      </x:c>
      <x:c r="B490" s="7" t="d">
        <x:v>2026-10-08T00:00:00.000Z</x:v>
      </x:c>
      <x:c r="C490" s="3" t="str">
        <x:v>Taladrod</x:v>
      </x:c>
      <x:c r="D490" s="3" t="str">
        <x:v>Toyota</x:v>
      </x:c>
      <x:c r="E490" s="3" t="str">
        <x:v>日本</x:v>
      </x:c>
      <x:c r="F490" s="3" t="str">
        <x:v>Fortuner</x:v>
      </x:c>
      <x:c r="G490" s="3" t="str">
        <x:v>ICE</x:v>
      </x:c>
      <x:c r="H490" s="3" t="str">
        <x:v>SUV</x:v>
      </x:c>
      <x:c r="I490" s="3" t="str"/>
      <x:c r="J490" s="3" t="n">
        <x:v>2020</x:v>
      </x:c>
      <x:c r="K490" s="3" t="str">
        <x:v>2.4 G</x:v>
      </x:c>
      <x:c r="L490" s="3" t="str">
        <x:v>2.4 G</x:v>
      </x:c>
      <x:c r="M490" s="22"/>
      <x:c r="N490" s="22"/>
      <x:c r="O490" s="22"/>
      <x:c r="P490" s="3" t="str">
        <x:v>未掲載</x:v>
      </x:c>
      <x:c r="Q490" s="3" t="str">
        <x:v>未取得</x:v>
      </x:c>
      <x:c r="R490" s="3" t="str">
        <x:v>Unknown</x:v>
      </x:c>
      <x:c r="S490" s="3" t="str">
        <x:v>不明</x:v>
      </x:c>
      <x:c r="T490" s="3" t="str">
        <x:v>15-ปัจจุบัน</x:v>
      </x:c>
      <x:c r="U490" s="28" t="n">
        <x:v>669000</x:v>
      </x:c>
      <x:c r="V490" s="28" t="n">
        <x:v>1349000</x:v>
      </x:c>
      <x:c r="W490" s="3" t="str">
        <x:v>事故・水没・SOH・保証残は未確認</x:v>
      </x:c>
      <x:c r="X490" s="3" t="str">
        <x:v>掲載中・在庫未確認</x:v>
      </x:c>
      <x:c r="Y490" s="3" t="str"/>
      <x:c r="Z490" s="27" t="str">
        <x:v>https://www.taladrod.com/w40/icar/cardet.aspx?cid=2923073</x:v>
      </x:c>
      <x:c r="AA490" s="3" t="str">
        <x:v>Taladrod個別広告ID／Carsome在庫ID</x:v>
      </x:c>
      <x:c r="AB490" s="3" t="str">
        <x:v>車台番号未取得／サイト間重複は未判定</x:v>
      </x:c>
      <x:c r="AC490" s="3" t="str">
        <x:v>税込区分未確認（一覧表示額）</x:v>
      </x:c>
      <x:c r="AD490" s="3" t="str"/>
      <x:c r="AE490" s="29" t="str">
        <x:f>""</x:f>
      </x:c>
      <x:c r="AF490" s="30" t="str">
        <x:f>IF(ISNUMBER(AE490),U490/AE490,"")</x:f>
      </x:c>
      <x:c r="AG490" s="29" t="str">
        <x:f>""</x:f>
      </x:c>
      <x:c r="AH490" s="30" t="str">
        <x:f>IF(ISNUMBER(AG490),U490/AG490,"")</x:f>
      </x:c>
      <x:c r="AI490" s="3" t="str">
        <x:v>同年式・グレードの検証済み当時価格なし／登録年混在</x:v>
      </x:c>
      <x:c r="AJ490" s="3" t="str">
        <x:v>一覧価格/年式のみ</x:v>
      </x:c>
      <x:c r="AK490" s="3" t="str">
        <x:v>一覧の表示価格。年式は掲載年式。</x:v>
      </x:c>
      <x:c r="AL490" s="31" t="n">
        <x:f>IF(AND(J490&lt;='分析方法'!$B$7,OR(ISBLANK(O490),O490&gt;='分析方法'!$B$8),X490&lt;&gt;"売却済み表示"),1,0)</x:f>
        <x:v>1</x:v>
      </x:c>
      <x:c r="AM490" s="32" t="n">
        <x:f>IF(AL490=1,U490,"")</x:f>
        <x:v>669000</x:v>
      </x:c>
      <x:c r="AN490" s="33" t="str">
        <x:f>IF(AL490=1,AF490,"")</x:f>
      </x:c>
      <x:c r="AO490" s="31" t="n">
        <x:f>'分析方法'!$B$6-J490</x:f>
        <x:v>6</x:v>
      </x:c>
      <x:c r="AP490" s="3"/>
    </x:row>
    <x:row r="491" ht="22" customHeight="1">
      <x:c r="A491" s="3" t="str">
        <x:v>T2924503</x:v>
      </x:c>
      <x:c r="B491" s="7" t="d">
        <x:v>2026-10-08T00:00:00.000Z</x:v>
      </x:c>
      <x:c r="C491" s="3" t="str">
        <x:v>Taladrod</x:v>
      </x:c>
      <x:c r="D491" s="3" t="str">
        <x:v>Toyota</x:v>
      </x:c>
      <x:c r="E491" s="3" t="str">
        <x:v>日本</x:v>
      </x:c>
      <x:c r="F491" s="3" t="str">
        <x:v>Fortuner</x:v>
      </x:c>
      <x:c r="G491" s="3" t="str">
        <x:v>ICE</x:v>
      </x:c>
      <x:c r="H491" s="3" t="str">
        <x:v>SUV</x:v>
      </x:c>
      <x:c r="I491" s="3" t="str"/>
      <x:c r="J491" s="3" t="n">
        <x:v>2020</x:v>
      </x:c>
      <x:c r="K491" s="3" t="str">
        <x:v>2.4 G</x:v>
      </x:c>
      <x:c r="L491" s="3" t="str">
        <x:v>2.4 G</x:v>
      </x:c>
      <x:c r="M491" s="22"/>
      <x:c r="N491" s="22"/>
      <x:c r="O491" s="22"/>
      <x:c r="P491" s="3" t="str">
        <x:v>未掲載</x:v>
      </x:c>
      <x:c r="Q491" s="3" t="str">
        <x:v>未取得</x:v>
      </x:c>
      <x:c r="R491" s="3" t="str">
        <x:v>Unknown</x:v>
      </x:c>
      <x:c r="S491" s="3" t="str">
        <x:v>不明</x:v>
      </x:c>
      <x:c r="T491" s="3" t="str">
        <x:v>15-ปัจจุบัน</x:v>
      </x:c>
      <x:c r="U491" s="28" t="n">
        <x:v>824000</x:v>
      </x:c>
      <x:c r="V491" s="28" t="n">
        <x:v>1349000</x:v>
      </x:c>
      <x:c r="W491" s="3" t="str">
        <x:v>事故・水没・SOH・保証残は未確認</x:v>
      </x:c>
      <x:c r="X491" s="3" t="str">
        <x:v>掲載中・在庫未確認</x:v>
      </x:c>
      <x:c r="Y491" s="3" t="str"/>
      <x:c r="Z491" s="27" t="str">
        <x:v>https://www.taladrod.com/w40/icar/cardet.aspx?cid=2924503</x:v>
      </x:c>
      <x:c r="AA491" s="3" t="str">
        <x:v>Taladrod個別広告ID／Carsome在庫ID</x:v>
      </x:c>
      <x:c r="AB491" s="3" t="str">
        <x:v>車台番号未取得／サイト間重複は未判定</x:v>
      </x:c>
      <x:c r="AC491" s="3" t="str">
        <x:v>税込区分未確認（一覧表示額）</x:v>
      </x:c>
      <x:c r="AD491" s="3" t="str"/>
      <x:c r="AE491" s="29" t="str">
        <x:f>""</x:f>
      </x:c>
      <x:c r="AF491" s="30" t="str">
        <x:f>IF(ISNUMBER(AE491),U491/AE491,"")</x:f>
      </x:c>
      <x:c r="AG491" s="29" t="str">
        <x:f>""</x:f>
      </x:c>
      <x:c r="AH491" s="30" t="str">
        <x:f>IF(ISNUMBER(AG491),U491/AG491,"")</x:f>
      </x:c>
      <x:c r="AI491" s="3" t="str">
        <x:v>同年式・グレードの検証済み当時価格なし／登録年混在</x:v>
      </x:c>
      <x:c r="AJ491" s="3" t="str">
        <x:v>一覧価格/年式のみ</x:v>
      </x:c>
      <x:c r="AK491" s="3" t="str">
        <x:v>一覧の表示価格。年式は掲載年式。</x:v>
      </x:c>
      <x:c r="AL491" s="31" t="n">
        <x:f>IF(AND(J491&lt;='分析方法'!$B$7,OR(ISBLANK(O491),O491&gt;='分析方法'!$B$8),X491&lt;&gt;"売却済み表示"),1,0)</x:f>
        <x:v>1</x:v>
      </x:c>
      <x:c r="AM491" s="32" t="n">
        <x:f>IF(AL491=1,U491,"")</x:f>
        <x:v>824000</x:v>
      </x:c>
      <x:c r="AN491" s="33" t="str">
        <x:f>IF(AL491=1,AF491,"")</x:f>
      </x:c>
      <x:c r="AO491" s="31" t="n">
        <x:f>'分析方法'!$B$6-J491</x:f>
        <x:v>6</x:v>
      </x:c>
      <x:c r="AP491" s="3"/>
    </x:row>
    <x:row r="492" ht="22" customHeight="1">
      <x:c r="A492" s="3" t="str">
        <x:v>T2926291</x:v>
      </x:c>
      <x:c r="B492" s="7" t="d">
        <x:v>2026-10-08T00:00:00.000Z</x:v>
      </x:c>
      <x:c r="C492" s="3" t="str">
        <x:v>Taladrod</x:v>
      </x:c>
      <x:c r="D492" s="3" t="str">
        <x:v>Toyota</x:v>
      </x:c>
      <x:c r="E492" s="3" t="str">
        <x:v>日本</x:v>
      </x:c>
      <x:c r="F492" s="3" t="str">
        <x:v>Fortuner</x:v>
      </x:c>
      <x:c r="G492" s="3" t="str">
        <x:v>ICE</x:v>
      </x:c>
      <x:c r="H492" s="3" t="str">
        <x:v>SUV</x:v>
      </x:c>
      <x:c r="I492" s="3" t="str"/>
      <x:c r="J492" s="3" t="n">
        <x:v>2020</x:v>
      </x:c>
      <x:c r="K492" s="3" t="str">
        <x:v>2.4 G</x:v>
      </x:c>
      <x:c r="L492" s="3" t="str">
        <x:v>2.4 G</x:v>
      </x:c>
      <x:c r="M492" s="22"/>
      <x:c r="N492" s="22"/>
      <x:c r="O492" s="22"/>
      <x:c r="P492" s="3" t="str">
        <x:v>未掲載</x:v>
      </x:c>
      <x:c r="Q492" s="3" t="str">
        <x:v>未取得</x:v>
      </x:c>
      <x:c r="R492" s="3" t="str">
        <x:v>Unknown</x:v>
      </x:c>
      <x:c r="S492" s="3" t="str">
        <x:v>不明</x:v>
      </x:c>
      <x:c r="T492" s="3" t="str">
        <x:v>15-ปัจจุบัน</x:v>
      </x:c>
      <x:c r="U492" s="28" t="n">
        <x:v>830000</x:v>
      </x:c>
      <x:c r="V492" s="28" t="n">
        <x:v>1349000</x:v>
      </x:c>
      <x:c r="W492" s="3" t="str">
        <x:v>事故・水没・SOH・保証残は未確認</x:v>
      </x:c>
      <x:c r="X492" s="3" t="str">
        <x:v>掲載中・在庫未確認</x:v>
      </x:c>
      <x:c r="Y492" s="3" t="str"/>
      <x:c r="Z492" s="27" t="str">
        <x:v>https://www.taladrod.com/w40/icar/cardet.aspx?cid=2926291</x:v>
      </x:c>
      <x:c r="AA492" s="3" t="str">
        <x:v>Taladrod個別広告ID／Carsome在庫ID</x:v>
      </x:c>
      <x:c r="AB492" s="3" t="str">
        <x:v>車台番号未取得／サイト間重複は未判定</x:v>
      </x:c>
      <x:c r="AC492" s="3" t="str">
        <x:v>税込区分未確認（一覧表示額）</x:v>
      </x:c>
      <x:c r="AD492" s="3" t="str"/>
      <x:c r="AE492" s="29" t="str">
        <x:f>""</x:f>
      </x:c>
      <x:c r="AF492" s="30" t="str">
        <x:f>IF(ISNUMBER(AE492),U492/AE492,"")</x:f>
      </x:c>
      <x:c r="AG492" s="29" t="str">
        <x:f>""</x:f>
      </x:c>
      <x:c r="AH492" s="30" t="str">
        <x:f>IF(ISNUMBER(AG492),U492/AG492,"")</x:f>
      </x:c>
      <x:c r="AI492" s="3" t="str">
        <x:v>同年式・グレードの検証済み当時価格なし／登録年混在</x:v>
      </x:c>
      <x:c r="AJ492" s="3" t="str">
        <x:v>一覧価格/年式のみ</x:v>
      </x:c>
      <x:c r="AK492" s="3" t="str">
        <x:v>一覧の表示価格。年式は掲載年式。</x:v>
      </x:c>
      <x:c r="AL492" s="31" t="n">
        <x:f>IF(AND(J492&lt;='分析方法'!$B$7,OR(ISBLANK(O492),O492&gt;='分析方法'!$B$8),X492&lt;&gt;"売却済み表示"),1,0)</x:f>
        <x:v>1</x:v>
      </x:c>
      <x:c r="AM492" s="32" t="n">
        <x:f>IF(AL492=1,U492,"")</x:f>
        <x:v>830000</x:v>
      </x:c>
      <x:c r="AN492" s="33" t="str">
        <x:f>IF(AL492=1,AF492,"")</x:f>
      </x:c>
      <x:c r="AO492" s="31" t="n">
        <x:f>'分析方法'!$B$6-J492</x:f>
        <x:v>6</x:v>
      </x:c>
      <x:c r="AP492" s="3"/>
    </x:row>
    <x:row r="493" ht="22" customHeight="1">
      <x:c r="A493" s="3" t="str">
        <x:v>T2913828</x:v>
      </x:c>
      <x:c r="B493" s="7" t="d">
        <x:v>2026-10-08T00:00:00.000Z</x:v>
      </x:c>
      <x:c r="C493" s="3" t="str">
        <x:v>Taladrod</x:v>
      </x:c>
      <x:c r="D493" s="3" t="str">
        <x:v>Toyota</x:v>
      </x:c>
      <x:c r="E493" s="3" t="str">
        <x:v>日本</x:v>
      </x:c>
      <x:c r="F493" s="3" t="str">
        <x:v>Fortuner</x:v>
      </x:c>
      <x:c r="G493" s="3" t="str">
        <x:v>ICE</x:v>
      </x:c>
      <x:c r="H493" s="3" t="str">
        <x:v>SUV</x:v>
      </x:c>
      <x:c r="I493" s="3" t="str"/>
      <x:c r="J493" s="3" t="n">
        <x:v>2020</x:v>
      </x:c>
      <x:c r="K493" s="3" t="str">
        <x:v>2.4 LEGENDER BLACK TOP</x:v>
      </x:c>
      <x:c r="L493" s="3" t="str">
        <x:v>2.4 LEGENDER BLACK TOP</x:v>
      </x:c>
      <x:c r="M493" s="22"/>
      <x:c r="N493" s="22"/>
      <x:c r="O493" s="22"/>
      <x:c r="P493" s="3" t="str">
        <x:v>未掲載</x:v>
      </x:c>
      <x:c r="Q493" s="3" t="str">
        <x:v>未取得</x:v>
      </x:c>
      <x:c r="R493" s="3" t="str">
        <x:v>Unknown</x:v>
      </x:c>
      <x:c r="S493" s="3" t="str">
        <x:v>不明</x:v>
      </x:c>
      <x:c r="T493" s="3" t="str">
        <x:v>15-ปัจจุบัน</x:v>
      </x:c>
      <x:c r="U493" s="28" t="n">
        <x:v>909000</x:v>
      </x:c>
      <x:c r="V493" s="28" t="n">
        <x:v>1584000</x:v>
      </x:c>
      <x:c r="W493" s="3" t="str">
        <x:v>事故・水没・SOH・保証残は未確認</x:v>
      </x:c>
      <x:c r="X493" s="3" t="str">
        <x:v>掲載中・在庫未確認</x:v>
      </x:c>
      <x:c r="Y493" s="3" t="str"/>
      <x:c r="Z493" s="27" t="str">
        <x:v>https://www.taladrod.com/w40/icar/cardet.aspx?cid=2913828</x:v>
      </x:c>
      <x:c r="AA493" s="3" t="str">
        <x:v>Taladrod個別広告ID／Carsome在庫ID</x:v>
      </x:c>
      <x:c r="AB493" s="3" t="str">
        <x:v>車台番号未取得／サイト間重複は未判定</x:v>
      </x:c>
      <x:c r="AC493" s="3" t="str">
        <x:v>税込区分未確認（一覧表示額）</x:v>
      </x:c>
      <x:c r="AD493" s="3" t="str"/>
      <x:c r="AE493" s="29" t="str">
        <x:f>""</x:f>
      </x:c>
      <x:c r="AF493" s="30" t="str">
        <x:f>IF(ISNUMBER(AE493),U493/AE493,"")</x:f>
      </x:c>
      <x:c r="AG493" s="29" t="str">
        <x:f>""</x:f>
      </x:c>
      <x:c r="AH493" s="30" t="str">
        <x:f>IF(ISNUMBER(AG493),U493/AG493,"")</x:f>
      </x:c>
      <x:c r="AI493" s="3" t="str">
        <x:v>同年式・グレードの検証済み当時価格なし／登録年混在</x:v>
      </x:c>
      <x:c r="AJ493" s="3" t="str">
        <x:v>一覧価格/年式のみ</x:v>
      </x:c>
      <x:c r="AK493" s="3" t="str">
        <x:v>一覧の表示価格。年式は掲載年式。</x:v>
      </x:c>
      <x:c r="AL493" s="31" t="n">
        <x:f>IF(AND(J493&lt;='分析方法'!$B$7,OR(ISBLANK(O493),O493&gt;='分析方法'!$B$8),X493&lt;&gt;"売却済み表示"),1,0)</x:f>
        <x:v>1</x:v>
      </x:c>
      <x:c r="AM493" s="32" t="n">
        <x:f>IF(AL493=1,U493,"")</x:f>
        <x:v>909000</x:v>
      </x:c>
      <x:c r="AN493" s="33" t="str">
        <x:f>IF(AL493=1,AF493,"")</x:f>
      </x:c>
      <x:c r="AO493" s="31" t="n">
        <x:f>'分析方法'!$B$6-J493</x:f>
        <x:v>6</x:v>
      </x:c>
      <x:c r="AP493" s="3"/>
    </x:row>
    <x:row r="494" ht="22" customHeight="1">
      <x:c r="A494" s="3" t="str">
        <x:v>T2891285</x:v>
      </x:c>
      <x:c r="B494" s="7" t="d">
        <x:v>2026-10-08T00:00:00.000Z</x:v>
      </x:c>
      <x:c r="C494" s="3" t="str">
        <x:v>Taladrod</x:v>
      </x:c>
      <x:c r="D494" s="3" t="str">
        <x:v>Toyota</x:v>
      </x:c>
      <x:c r="E494" s="3" t="str">
        <x:v>日本</x:v>
      </x:c>
      <x:c r="F494" s="3" t="str">
        <x:v>Fortuner</x:v>
      </x:c>
      <x:c r="G494" s="3" t="str">
        <x:v>ICE</x:v>
      </x:c>
      <x:c r="H494" s="3" t="str">
        <x:v>SUV</x:v>
      </x:c>
      <x:c r="I494" s="3" t="str"/>
      <x:c r="J494" s="3" t="n">
        <x:v>2020</x:v>
      </x:c>
      <x:c r="K494" s="3" t="str">
        <x:v>2.4 V</x:v>
      </x:c>
      <x:c r="L494" s="3" t="str">
        <x:v>2.4 V</x:v>
      </x:c>
      <x:c r="M494" s="22"/>
      <x:c r="N494" s="22"/>
      <x:c r="O494" s="22"/>
      <x:c r="P494" s="3" t="str">
        <x:v>未掲載</x:v>
      </x:c>
      <x:c r="Q494" s="3" t="str">
        <x:v>未取得</x:v>
      </x:c>
      <x:c r="R494" s="3" t="str">
        <x:v>Unknown</x:v>
      </x:c>
      <x:c r="S494" s="3" t="str">
        <x:v>不明</x:v>
      </x:c>
      <x:c r="T494" s="3" t="str">
        <x:v>15-ปัจจุบัน</x:v>
      </x:c>
      <x:c r="U494" s="28" t="n">
        <x:v>759000</x:v>
      </x:c>
      <x:c r="V494" s="28" t="n">
        <x:v>1419000</x:v>
      </x:c>
      <x:c r="W494" s="3" t="str">
        <x:v>事故・水没・SOH・保証残は未確認</x:v>
      </x:c>
      <x:c r="X494" s="3" t="str">
        <x:v>掲載中・在庫未確認</x:v>
      </x:c>
      <x:c r="Y494" s="3" t="str"/>
      <x:c r="Z494" s="27" t="str">
        <x:v>https://www.taladrod.com/w40/icar/cardet.aspx?cid=2891285</x:v>
      </x:c>
      <x:c r="AA494" s="3" t="str">
        <x:v>Taladrod個別広告ID／Carsome在庫ID</x:v>
      </x:c>
      <x:c r="AB494" s="3" t="str">
        <x:v>車台番号未取得／サイト間重複は未判定</x:v>
      </x:c>
      <x:c r="AC494" s="3" t="str">
        <x:v>税込区分未確認（一覧表示額）</x:v>
      </x:c>
      <x:c r="AD494" s="3" t="str"/>
      <x:c r="AE494" s="29" t="str">
        <x:f>""</x:f>
      </x:c>
      <x:c r="AF494" s="30" t="str">
        <x:f>IF(ISNUMBER(AE494),U494/AE494,"")</x:f>
      </x:c>
      <x:c r="AG494" s="29" t="str">
        <x:f>""</x:f>
      </x:c>
      <x:c r="AH494" s="30" t="str">
        <x:f>IF(ISNUMBER(AG494),U494/AG494,"")</x:f>
      </x:c>
      <x:c r="AI494" s="3" t="str">
        <x:v>同年式・グレードの検証済み当時価格なし／登録年混在</x:v>
      </x:c>
      <x:c r="AJ494" s="3" t="str">
        <x:v>一覧価格/年式のみ</x:v>
      </x:c>
      <x:c r="AK494" s="3" t="str">
        <x:v>一覧の表示価格。年式は掲載年式。</x:v>
      </x:c>
      <x:c r="AL494" s="31" t="n">
        <x:f>IF(AND(J494&lt;='分析方法'!$B$7,OR(ISBLANK(O494),O494&gt;='分析方法'!$B$8),X494&lt;&gt;"売却済み表示"),1,0)</x:f>
        <x:v>1</x:v>
      </x:c>
      <x:c r="AM494" s="32" t="n">
        <x:f>IF(AL494=1,U494,"")</x:f>
        <x:v>759000</x:v>
      </x:c>
      <x:c r="AN494" s="33" t="str">
        <x:f>IF(AL494=1,AF494,"")</x:f>
      </x:c>
      <x:c r="AO494" s="31" t="n">
        <x:f>'分析方法'!$B$6-J494</x:f>
        <x:v>6</x:v>
      </x:c>
      <x:c r="AP494" s="3"/>
    </x:row>
    <x:row r="495" ht="22" customHeight="1">
      <x:c r="A495" s="3" t="str">
        <x:v>T2892867</x:v>
      </x:c>
      <x:c r="B495" s="7" t="d">
        <x:v>2026-10-08T00:00:00.000Z</x:v>
      </x:c>
      <x:c r="C495" s="3" t="str">
        <x:v>Taladrod</x:v>
      </x:c>
      <x:c r="D495" s="3" t="str">
        <x:v>Toyota</x:v>
      </x:c>
      <x:c r="E495" s="3" t="str">
        <x:v>日本</x:v>
      </x:c>
      <x:c r="F495" s="3" t="str">
        <x:v>Fortuner</x:v>
      </x:c>
      <x:c r="G495" s="3" t="str">
        <x:v>ICE</x:v>
      </x:c>
      <x:c r="H495" s="3" t="str">
        <x:v>SUV</x:v>
      </x:c>
      <x:c r="I495" s="3" t="str"/>
      <x:c r="J495" s="3" t="n">
        <x:v>2020</x:v>
      </x:c>
      <x:c r="K495" s="3" t="str">
        <x:v>2.4 V</x:v>
      </x:c>
      <x:c r="L495" s="3" t="str">
        <x:v>2.4 V</x:v>
      </x:c>
      <x:c r="M495" s="22"/>
      <x:c r="N495" s="22"/>
      <x:c r="O495" s="22"/>
      <x:c r="P495" s="3" t="str">
        <x:v>未掲載</x:v>
      </x:c>
      <x:c r="Q495" s="3" t="str">
        <x:v>未取得</x:v>
      </x:c>
      <x:c r="R495" s="3" t="str">
        <x:v>Unknown</x:v>
      </x:c>
      <x:c r="S495" s="3" t="str">
        <x:v>不明</x:v>
      </x:c>
      <x:c r="T495" s="3" t="str">
        <x:v>15-ปัจจุบัน</x:v>
      </x:c>
      <x:c r="U495" s="28" t="n">
        <x:v>820000</x:v>
      </x:c>
      <x:c r="V495" s="28" t="n">
        <x:v>1419000</x:v>
      </x:c>
      <x:c r="W495" s="3" t="str">
        <x:v>事故・水没・SOH・保証残は未確認</x:v>
      </x:c>
      <x:c r="X495" s="3" t="str">
        <x:v>掲載中・在庫未確認</x:v>
      </x:c>
      <x:c r="Y495" s="3" t="str"/>
      <x:c r="Z495" s="27" t="str">
        <x:v>https://www.taladrod.com/w40/icar/cardet.aspx?cid=2892867</x:v>
      </x:c>
      <x:c r="AA495" s="3" t="str">
        <x:v>Taladrod個別広告ID／Carsome在庫ID</x:v>
      </x:c>
      <x:c r="AB495" s="3" t="str">
        <x:v>車台番号未取得／サイト間重複は未判定</x:v>
      </x:c>
      <x:c r="AC495" s="3" t="str">
        <x:v>税込区分未確認（一覧表示額）</x:v>
      </x:c>
      <x:c r="AD495" s="3" t="str"/>
      <x:c r="AE495" s="29" t="str">
        <x:f>""</x:f>
      </x:c>
      <x:c r="AF495" s="30" t="str">
        <x:f>IF(ISNUMBER(AE495),U495/AE495,"")</x:f>
      </x:c>
      <x:c r="AG495" s="29" t="str">
        <x:f>""</x:f>
      </x:c>
      <x:c r="AH495" s="30" t="str">
        <x:f>IF(ISNUMBER(AG495),U495/AG495,"")</x:f>
      </x:c>
      <x:c r="AI495" s="3" t="str">
        <x:v>同年式・グレードの検証済み当時価格なし／登録年混在</x:v>
      </x:c>
      <x:c r="AJ495" s="3" t="str">
        <x:v>一覧価格/年式のみ</x:v>
      </x:c>
      <x:c r="AK495" s="3" t="str">
        <x:v>一覧の表示価格。年式は掲載年式。</x:v>
      </x:c>
      <x:c r="AL495" s="31" t="n">
        <x:f>IF(AND(J495&lt;='分析方法'!$B$7,OR(ISBLANK(O495),O495&gt;='分析方法'!$B$8),X495&lt;&gt;"売却済み表示"),1,0)</x:f>
        <x:v>1</x:v>
      </x:c>
      <x:c r="AM495" s="32" t="n">
        <x:f>IF(AL495=1,U495,"")</x:f>
        <x:v>820000</x:v>
      </x:c>
      <x:c r="AN495" s="33" t="str">
        <x:f>IF(AL495=1,AF495,"")</x:f>
      </x:c>
      <x:c r="AO495" s="31" t="n">
        <x:f>'分析方法'!$B$6-J495</x:f>
        <x:v>6</x:v>
      </x:c>
      <x:c r="AP495" s="3"/>
    </x:row>
    <x:row r="496" ht="22" customHeight="1">
      <x:c r="A496" s="3" t="str">
        <x:v>T2901292</x:v>
      </x:c>
      <x:c r="B496" s="7" t="d">
        <x:v>2026-10-08T00:00:00.000Z</x:v>
      </x:c>
      <x:c r="C496" s="3" t="str">
        <x:v>Taladrod</x:v>
      </x:c>
      <x:c r="D496" s="3" t="str">
        <x:v>Toyota</x:v>
      </x:c>
      <x:c r="E496" s="3" t="str">
        <x:v>日本</x:v>
      </x:c>
      <x:c r="F496" s="3" t="str">
        <x:v>Fortuner</x:v>
      </x:c>
      <x:c r="G496" s="3" t="str">
        <x:v>ICE</x:v>
      </x:c>
      <x:c r="H496" s="3" t="str">
        <x:v>SUV</x:v>
      </x:c>
      <x:c r="I496" s="3" t="str"/>
      <x:c r="J496" s="3" t="n">
        <x:v>2020</x:v>
      </x:c>
      <x:c r="K496" s="3" t="str">
        <x:v>2.4 V</x:v>
      </x:c>
      <x:c r="L496" s="3" t="str">
        <x:v>2.4 V</x:v>
      </x:c>
      <x:c r="M496" s="22"/>
      <x:c r="N496" s="22"/>
      <x:c r="O496" s="22"/>
      <x:c r="P496" s="3" t="str">
        <x:v>未掲載</x:v>
      </x:c>
      <x:c r="Q496" s="3" t="str">
        <x:v>未取得</x:v>
      </x:c>
      <x:c r="R496" s="3" t="str">
        <x:v>Unknown</x:v>
      </x:c>
      <x:c r="S496" s="3" t="str">
        <x:v>不明</x:v>
      </x:c>
      <x:c r="T496" s="3" t="str">
        <x:v>15-ปัจจุบัน</x:v>
      </x:c>
      <x:c r="U496" s="28" t="n">
        <x:v>774000</x:v>
      </x:c>
      <x:c r="V496" s="28" t="n">
        <x:v>1419000</x:v>
      </x:c>
      <x:c r="W496" s="3" t="str">
        <x:v>事故・水没・SOH・保証残は未確認</x:v>
      </x:c>
      <x:c r="X496" s="3" t="str">
        <x:v>掲載中・在庫未確認</x:v>
      </x:c>
      <x:c r="Y496" s="3" t="str"/>
      <x:c r="Z496" s="27" t="str">
        <x:v>https://www.taladrod.com/w40/icar/cardet.aspx?cid=2901292</x:v>
      </x:c>
      <x:c r="AA496" s="3" t="str">
        <x:v>Taladrod個別広告ID／Carsome在庫ID</x:v>
      </x:c>
      <x:c r="AB496" s="3" t="str">
        <x:v>車台番号未取得／サイト間重複は未判定</x:v>
      </x:c>
      <x:c r="AC496" s="3" t="str">
        <x:v>税込区分未確認（一覧表示額）</x:v>
      </x:c>
      <x:c r="AD496" s="3" t="str"/>
      <x:c r="AE496" s="29" t="str">
        <x:f>""</x:f>
      </x:c>
      <x:c r="AF496" s="30" t="str">
        <x:f>IF(ISNUMBER(AE496),U496/AE496,"")</x:f>
      </x:c>
      <x:c r="AG496" s="29" t="str">
        <x:f>""</x:f>
      </x:c>
      <x:c r="AH496" s="30" t="str">
        <x:f>IF(ISNUMBER(AG496),U496/AG496,"")</x:f>
      </x:c>
      <x:c r="AI496" s="3" t="str">
        <x:v>同年式・グレードの検証済み当時価格なし／登録年混在</x:v>
      </x:c>
      <x:c r="AJ496" s="3" t="str">
        <x:v>一覧価格/年式のみ</x:v>
      </x:c>
      <x:c r="AK496" s="3" t="str">
        <x:v>一覧の表示価格。年式は掲載年式。</x:v>
      </x:c>
      <x:c r="AL496" s="31" t="n">
        <x:f>IF(AND(J496&lt;='分析方法'!$B$7,OR(ISBLANK(O496),O496&gt;='分析方法'!$B$8),X496&lt;&gt;"売却済み表示"),1,0)</x:f>
        <x:v>1</x:v>
      </x:c>
      <x:c r="AM496" s="32" t="n">
        <x:f>IF(AL496=1,U496,"")</x:f>
        <x:v>774000</x:v>
      </x:c>
      <x:c r="AN496" s="33" t="str">
        <x:f>IF(AL496=1,AF496,"")</x:f>
      </x:c>
      <x:c r="AO496" s="31" t="n">
        <x:f>'分析方法'!$B$6-J496</x:f>
        <x:v>6</x:v>
      </x:c>
      <x:c r="AP496" s="3"/>
    </x:row>
    <x:row r="497" ht="22" customHeight="1">
      <x:c r="A497" s="3" t="str">
        <x:v>T2905382</x:v>
      </x:c>
      <x:c r="B497" s="7" t="d">
        <x:v>2026-10-08T00:00:00.000Z</x:v>
      </x:c>
      <x:c r="C497" s="3" t="str">
        <x:v>Taladrod</x:v>
      </x:c>
      <x:c r="D497" s="3" t="str">
        <x:v>Toyota</x:v>
      </x:c>
      <x:c r="E497" s="3" t="str">
        <x:v>日本</x:v>
      </x:c>
      <x:c r="F497" s="3" t="str">
        <x:v>Fortuner</x:v>
      </x:c>
      <x:c r="G497" s="3" t="str">
        <x:v>ICE</x:v>
      </x:c>
      <x:c r="H497" s="3" t="str">
        <x:v>SUV</x:v>
      </x:c>
      <x:c r="I497" s="3" t="str"/>
      <x:c r="J497" s="3" t="n">
        <x:v>2020</x:v>
      </x:c>
      <x:c r="K497" s="3" t="str">
        <x:v>2.4 V</x:v>
      </x:c>
      <x:c r="L497" s="3" t="str">
        <x:v>2.4 V</x:v>
      </x:c>
      <x:c r="M497" s="22"/>
      <x:c r="N497" s="22"/>
      <x:c r="O497" s="22"/>
      <x:c r="P497" s="3" t="str">
        <x:v>未掲載</x:v>
      </x:c>
      <x:c r="Q497" s="3" t="str">
        <x:v>未取得</x:v>
      </x:c>
      <x:c r="R497" s="3" t="str">
        <x:v>Unknown</x:v>
      </x:c>
      <x:c r="S497" s="3" t="str">
        <x:v>不明</x:v>
      </x:c>
      <x:c r="T497" s="3" t="str">
        <x:v>15-ปัจจุบัน</x:v>
      </x:c>
      <x:c r="U497" s="28" t="n">
        <x:v>899000</x:v>
      </x:c>
      <x:c r="V497" s="28" t="n">
        <x:v>1419000</x:v>
      </x:c>
      <x:c r="W497" s="3" t="str">
        <x:v>事故・水没・SOH・保証残は未確認</x:v>
      </x:c>
      <x:c r="X497" s="3" t="str">
        <x:v>掲載中・在庫未確認</x:v>
      </x:c>
      <x:c r="Y497" s="3" t="str"/>
      <x:c r="Z497" s="27" t="str">
        <x:v>https://www.taladrod.com/w40/icar/cardet.aspx?cid=2905382</x:v>
      </x:c>
      <x:c r="AA497" s="3" t="str">
        <x:v>Taladrod個別広告ID／Carsome在庫ID</x:v>
      </x:c>
      <x:c r="AB497" s="3" t="str">
        <x:v>車台番号未取得／サイト間重複は未判定</x:v>
      </x:c>
      <x:c r="AC497" s="3" t="str">
        <x:v>税込区分未確認（一覧表示額）</x:v>
      </x:c>
      <x:c r="AD497" s="3" t="str"/>
      <x:c r="AE497" s="29" t="str">
        <x:f>""</x:f>
      </x:c>
      <x:c r="AF497" s="30" t="str">
        <x:f>IF(ISNUMBER(AE497),U497/AE497,"")</x:f>
      </x:c>
      <x:c r="AG497" s="29" t="str">
        <x:f>""</x:f>
      </x:c>
      <x:c r="AH497" s="30" t="str">
        <x:f>IF(ISNUMBER(AG497),U497/AG497,"")</x:f>
      </x:c>
      <x:c r="AI497" s="3" t="str">
        <x:v>同年式・グレードの検証済み当時価格なし／登録年混在</x:v>
      </x:c>
      <x:c r="AJ497" s="3" t="str">
        <x:v>一覧価格/年式のみ</x:v>
      </x:c>
      <x:c r="AK497" s="3" t="str">
        <x:v>一覧の表示価格。年式は掲載年式。</x:v>
      </x:c>
      <x:c r="AL497" s="31" t="n">
        <x:f>IF(AND(J497&lt;='分析方法'!$B$7,OR(ISBLANK(O497),O497&gt;='分析方法'!$B$8),X497&lt;&gt;"売却済み表示"),1,0)</x:f>
        <x:v>1</x:v>
      </x:c>
      <x:c r="AM497" s="32" t="n">
        <x:f>IF(AL497=1,U497,"")</x:f>
        <x:v>899000</x:v>
      </x:c>
      <x:c r="AN497" s="33" t="str">
        <x:f>IF(AL497=1,AF497,"")</x:f>
      </x:c>
      <x:c r="AO497" s="31" t="n">
        <x:f>'分析方法'!$B$6-J497</x:f>
        <x:v>6</x:v>
      </x:c>
      <x:c r="AP497" s="3"/>
    </x:row>
    <x:row r="498" ht="22" customHeight="1">
      <x:c r="A498" s="3" t="str">
        <x:v>T2910071</x:v>
      </x:c>
      <x:c r="B498" s="7" t="d">
        <x:v>2026-10-08T00:00:00.000Z</x:v>
      </x:c>
      <x:c r="C498" s="3" t="str">
        <x:v>Taladrod</x:v>
      </x:c>
      <x:c r="D498" s="3" t="str">
        <x:v>Toyota</x:v>
      </x:c>
      <x:c r="E498" s="3" t="str">
        <x:v>日本</x:v>
      </x:c>
      <x:c r="F498" s="3" t="str">
        <x:v>Fortuner</x:v>
      </x:c>
      <x:c r="G498" s="3" t="str">
        <x:v>ICE</x:v>
      </x:c>
      <x:c r="H498" s="3" t="str">
        <x:v>SUV</x:v>
      </x:c>
      <x:c r="I498" s="3" t="str"/>
      <x:c r="J498" s="3" t="n">
        <x:v>2020</x:v>
      </x:c>
      <x:c r="K498" s="3" t="str">
        <x:v>2.4 V</x:v>
      </x:c>
      <x:c r="L498" s="3" t="str">
        <x:v>2.4 V</x:v>
      </x:c>
      <x:c r="M498" s="22"/>
      <x:c r="N498" s="22"/>
      <x:c r="O498" s="22"/>
      <x:c r="P498" s="3" t="str">
        <x:v>未掲載</x:v>
      </x:c>
      <x:c r="Q498" s="3" t="str">
        <x:v>未取得</x:v>
      </x:c>
      <x:c r="R498" s="3" t="str">
        <x:v>Unknown</x:v>
      </x:c>
      <x:c r="S498" s="3" t="str">
        <x:v>不明</x:v>
      </x:c>
      <x:c r="T498" s="3" t="str">
        <x:v>15-ปัจจุบัน</x:v>
      </x:c>
      <x:c r="U498" s="28" t="n">
        <x:v>799000</x:v>
      </x:c>
      <x:c r="V498" s="28" t="n">
        <x:v>1419000</x:v>
      </x:c>
      <x:c r="W498" s="3" t="str">
        <x:v>事故・水没・SOH・保証残は未確認</x:v>
      </x:c>
      <x:c r="X498" s="3" t="str">
        <x:v>掲載中・在庫未確認</x:v>
      </x:c>
      <x:c r="Y498" s="3" t="str"/>
      <x:c r="Z498" s="27" t="str">
        <x:v>https://www.taladrod.com/w40/icar/cardet.aspx?cid=2910071</x:v>
      </x:c>
      <x:c r="AA498" s="3" t="str">
        <x:v>Taladrod個別広告ID／Carsome在庫ID</x:v>
      </x:c>
      <x:c r="AB498" s="3" t="str">
        <x:v>車台番号未取得／サイト間重複は未判定</x:v>
      </x:c>
      <x:c r="AC498" s="3" t="str">
        <x:v>税込区分未確認（一覧表示額）</x:v>
      </x:c>
      <x:c r="AD498" s="3" t="str"/>
      <x:c r="AE498" s="29" t="str">
        <x:f>""</x:f>
      </x:c>
      <x:c r="AF498" s="30" t="str">
        <x:f>IF(ISNUMBER(AE498),U498/AE498,"")</x:f>
      </x:c>
      <x:c r="AG498" s="29" t="str">
        <x:f>""</x:f>
      </x:c>
      <x:c r="AH498" s="30" t="str">
        <x:f>IF(ISNUMBER(AG498),U498/AG498,"")</x:f>
      </x:c>
      <x:c r="AI498" s="3" t="str">
        <x:v>同年式・グレードの検証済み当時価格なし／登録年混在</x:v>
      </x:c>
      <x:c r="AJ498" s="3" t="str">
        <x:v>一覧価格/年式のみ</x:v>
      </x:c>
      <x:c r="AK498" s="3" t="str">
        <x:v>一覧の表示価格。年式は掲載年式。</x:v>
      </x:c>
      <x:c r="AL498" s="31" t="n">
        <x:f>IF(AND(J498&lt;='分析方法'!$B$7,OR(ISBLANK(O498),O498&gt;='分析方法'!$B$8),X498&lt;&gt;"売却済み表示"),1,0)</x:f>
        <x:v>1</x:v>
      </x:c>
      <x:c r="AM498" s="32" t="n">
        <x:f>IF(AL498=1,U498,"")</x:f>
        <x:v>799000</x:v>
      </x:c>
      <x:c r="AN498" s="33" t="str">
        <x:f>IF(AL498=1,AF498,"")</x:f>
      </x:c>
      <x:c r="AO498" s="31" t="n">
        <x:f>'分析方法'!$B$6-J498</x:f>
        <x:v>6</x:v>
      </x:c>
      <x:c r="AP498" s="3"/>
    </x:row>
    <x:row r="499" ht="22" customHeight="1">
      <x:c r="A499" s="3" t="str">
        <x:v>T2911114</x:v>
      </x:c>
      <x:c r="B499" s="7" t="d">
        <x:v>2026-10-08T00:00:00.000Z</x:v>
      </x:c>
      <x:c r="C499" s="3" t="str">
        <x:v>Taladrod</x:v>
      </x:c>
      <x:c r="D499" s="3" t="str">
        <x:v>Toyota</x:v>
      </x:c>
      <x:c r="E499" s="3" t="str">
        <x:v>日本</x:v>
      </x:c>
      <x:c r="F499" s="3" t="str">
        <x:v>Fortuner</x:v>
      </x:c>
      <x:c r="G499" s="3" t="str">
        <x:v>ICE</x:v>
      </x:c>
      <x:c r="H499" s="3" t="str">
        <x:v>SUV</x:v>
      </x:c>
      <x:c r="I499" s="3" t="str"/>
      <x:c r="J499" s="3" t="n">
        <x:v>2020</x:v>
      </x:c>
      <x:c r="K499" s="3" t="str">
        <x:v>2.4 V</x:v>
      </x:c>
      <x:c r="L499" s="3" t="str">
        <x:v>2.4 V</x:v>
      </x:c>
      <x:c r="M499" s="22"/>
      <x:c r="N499" s="22"/>
      <x:c r="O499" s="22"/>
      <x:c r="P499" s="3" t="str">
        <x:v>未掲載</x:v>
      </x:c>
      <x:c r="Q499" s="3" t="str">
        <x:v>未取得</x:v>
      </x:c>
      <x:c r="R499" s="3" t="str">
        <x:v>Unknown</x:v>
      </x:c>
      <x:c r="S499" s="3" t="str">
        <x:v>不明</x:v>
      </x:c>
      <x:c r="T499" s="3" t="str">
        <x:v>15-ปัจจุบัน</x:v>
      </x:c>
      <x:c r="U499" s="28" t="n">
        <x:v>799000</x:v>
      </x:c>
      <x:c r="V499" s="28" t="n">
        <x:v>1419000</x:v>
      </x:c>
      <x:c r="W499" s="3" t="str">
        <x:v>事故・水没・SOH・保証残は未確認</x:v>
      </x:c>
      <x:c r="X499" s="3" t="str">
        <x:v>掲載中・在庫未確認</x:v>
      </x:c>
      <x:c r="Y499" s="3" t="str"/>
      <x:c r="Z499" s="27" t="str">
        <x:v>https://www.taladrod.com/w40/icar/cardet.aspx?cid=2911114</x:v>
      </x:c>
      <x:c r="AA499" s="3" t="str">
        <x:v>Taladrod個別広告ID／Carsome在庫ID</x:v>
      </x:c>
      <x:c r="AB499" s="3" t="str">
        <x:v>車台番号未取得／サイト間重複は未判定</x:v>
      </x:c>
      <x:c r="AC499" s="3" t="str">
        <x:v>税込区分未確認（一覧表示額）</x:v>
      </x:c>
      <x:c r="AD499" s="3" t="str"/>
      <x:c r="AE499" s="29" t="str">
        <x:f>""</x:f>
      </x:c>
      <x:c r="AF499" s="30" t="str">
        <x:f>IF(ISNUMBER(AE499),U499/AE499,"")</x:f>
      </x:c>
      <x:c r="AG499" s="29" t="str">
        <x:f>""</x:f>
      </x:c>
      <x:c r="AH499" s="30" t="str">
        <x:f>IF(ISNUMBER(AG499),U499/AG499,"")</x:f>
      </x:c>
      <x:c r="AI499" s="3" t="str">
        <x:v>同年式・グレードの検証済み当時価格なし／登録年混在</x:v>
      </x:c>
      <x:c r="AJ499" s="3" t="str">
        <x:v>一覧価格/年式のみ</x:v>
      </x:c>
      <x:c r="AK499" s="3" t="str">
        <x:v>一覧の表示価格。年式は掲載年式。</x:v>
      </x:c>
      <x:c r="AL499" s="31" t="n">
        <x:f>IF(AND(J499&lt;='分析方法'!$B$7,OR(ISBLANK(O499),O499&gt;='分析方法'!$B$8),X499&lt;&gt;"売却済み表示"),1,0)</x:f>
        <x:v>1</x:v>
      </x:c>
      <x:c r="AM499" s="32" t="n">
        <x:f>IF(AL499=1,U499,"")</x:f>
        <x:v>799000</x:v>
      </x:c>
      <x:c r="AN499" s="33" t="str">
        <x:f>IF(AL499=1,AF499,"")</x:f>
      </x:c>
      <x:c r="AO499" s="31" t="n">
        <x:f>'分析方法'!$B$6-J499</x:f>
        <x:v>6</x:v>
      </x:c>
      <x:c r="AP499" s="3"/>
    </x:row>
    <x:row r="500" ht="22" customHeight="1">
      <x:c r="A500" s="3" t="str">
        <x:v>T2912835</x:v>
      </x:c>
      <x:c r="B500" s="7" t="d">
        <x:v>2026-10-08T00:00:00.000Z</x:v>
      </x:c>
      <x:c r="C500" s="3" t="str">
        <x:v>Taladrod</x:v>
      </x:c>
      <x:c r="D500" s="3" t="str">
        <x:v>Toyota</x:v>
      </x:c>
      <x:c r="E500" s="3" t="str">
        <x:v>日本</x:v>
      </x:c>
      <x:c r="F500" s="3" t="str">
        <x:v>Fortuner</x:v>
      </x:c>
      <x:c r="G500" s="3" t="str">
        <x:v>ICE</x:v>
      </x:c>
      <x:c r="H500" s="3" t="str">
        <x:v>SUV</x:v>
      </x:c>
      <x:c r="I500" s="3" t="str"/>
      <x:c r="J500" s="3" t="n">
        <x:v>2020</x:v>
      </x:c>
      <x:c r="K500" s="3" t="str">
        <x:v>2.4 V</x:v>
      </x:c>
      <x:c r="L500" s="3" t="str">
        <x:v>2.4 V</x:v>
      </x:c>
      <x:c r="M500" s="22"/>
      <x:c r="N500" s="22"/>
      <x:c r="O500" s="22"/>
      <x:c r="P500" s="3" t="str">
        <x:v>未掲載</x:v>
      </x:c>
      <x:c r="Q500" s="3" t="str">
        <x:v>未取得</x:v>
      </x:c>
      <x:c r="R500" s="3" t="str">
        <x:v>Unknown</x:v>
      </x:c>
      <x:c r="S500" s="3" t="str">
        <x:v>不明</x:v>
      </x:c>
      <x:c r="T500" s="3" t="str">
        <x:v>15-ปัจจุบัน</x:v>
      </x:c>
      <x:c r="U500" s="28" t="n">
        <x:v>754000</x:v>
      </x:c>
      <x:c r="V500" s="28" t="n">
        <x:v>1419000</x:v>
      </x:c>
      <x:c r="W500" s="3" t="str">
        <x:v>事故・水没・SOH・保証残は未確認</x:v>
      </x:c>
      <x:c r="X500" s="3" t="str">
        <x:v>掲載中・在庫未確認</x:v>
      </x:c>
      <x:c r="Y500" s="3" t="str"/>
      <x:c r="Z500" s="27" t="str">
        <x:v>https://www.taladrod.com/w40/icar/cardet.aspx?cid=2912835</x:v>
      </x:c>
      <x:c r="AA500" s="3" t="str">
        <x:v>Taladrod個別広告ID／Carsome在庫ID</x:v>
      </x:c>
      <x:c r="AB500" s="3" t="str">
        <x:v>車台番号未取得／サイト間重複は未判定</x:v>
      </x:c>
      <x:c r="AC500" s="3" t="str">
        <x:v>税込区分未確認（一覧表示額）</x:v>
      </x:c>
      <x:c r="AD500" s="3" t="str"/>
      <x:c r="AE500" s="29" t="str">
        <x:f>""</x:f>
      </x:c>
      <x:c r="AF500" s="30" t="str">
        <x:f>IF(ISNUMBER(AE500),U500/AE500,"")</x:f>
      </x:c>
      <x:c r="AG500" s="29" t="str">
        <x:f>""</x:f>
      </x:c>
      <x:c r="AH500" s="30" t="str">
        <x:f>IF(ISNUMBER(AG500),U500/AG500,"")</x:f>
      </x:c>
      <x:c r="AI500" s="3" t="str">
        <x:v>同年式・グレードの検証済み当時価格なし／登録年混在</x:v>
      </x:c>
      <x:c r="AJ500" s="3" t="str">
        <x:v>一覧価格/年式のみ</x:v>
      </x:c>
      <x:c r="AK500" s="3" t="str">
        <x:v>一覧の表示価格。年式は掲載年式。</x:v>
      </x:c>
      <x:c r="AL500" s="31" t="n">
        <x:f>IF(AND(J500&lt;='分析方法'!$B$7,OR(ISBLANK(O500),O500&gt;='分析方法'!$B$8),X500&lt;&gt;"売却済み表示"),1,0)</x:f>
        <x:v>1</x:v>
      </x:c>
      <x:c r="AM500" s="32" t="n">
        <x:f>IF(AL500=1,U500,"")</x:f>
        <x:v>754000</x:v>
      </x:c>
      <x:c r="AN500" s="33" t="str">
        <x:f>IF(AL500=1,AF500,"")</x:f>
      </x:c>
      <x:c r="AO500" s="31" t="n">
        <x:f>'分析方法'!$B$6-J500</x:f>
        <x:v>6</x:v>
      </x:c>
      <x:c r="AP500" s="3"/>
    </x:row>
    <x:row r="501" ht="22" customHeight="1">
      <x:c r="A501" s="3" t="str">
        <x:v>T2916930</x:v>
      </x:c>
      <x:c r="B501" s="7" t="d">
        <x:v>2026-10-08T00:00:00.000Z</x:v>
      </x:c>
      <x:c r="C501" s="3" t="str">
        <x:v>Taladrod</x:v>
      </x:c>
      <x:c r="D501" s="3" t="str">
        <x:v>Toyota</x:v>
      </x:c>
      <x:c r="E501" s="3" t="str">
        <x:v>日本</x:v>
      </x:c>
      <x:c r="F501" s="3" t="str">
        <x:v>Fortuner</x:v>
      </x:c>
      <x:c r="G501" s="3" t="str">
        <x:v>ICE</x:v>
      </x:c>
      <x:c r="H501" s="3" t="str">
        <x:v>SUV</x:v>
      </x:c>
      <x:c r="I501" s="3" t="str"/>
      <x:c r="J501" s="3" t="n">
        <x:v>2020</x:v>
      </x:c>
      <x:c r="K501" s="3" t="str">
        <x:v>2.4 V</x:v>
      </x:c>
      <x:c r="L501" s="3" t="str">
        <x:v>2.4 V</x:v>
      </x:c>
      <x:c r="M501" s="22"/>
      <x:c r="N501" s="22"/>
      <x:c r="O501" s="22"/>
      <x:c r="P501" s="3" t="str">
        <x:v>未掲載</x:v>
      </x:c>
      <x:c r="Q501" s="3" t="str">
        <x:v>未取得</x:v>
      </x:c>
      <x:c r="R501" s="3" t="str">
        <x:v>Unknown</x:v>
      </x:c>
      <x:c r="S501" s="3" t="str">
        <x:v>不明</x:v>
      </x:c>
      <x:c r="T501" s="3" t="str">
        <x:v>15-ปัจจุบัน</x:v>
      </x:c>
      <x:c r="U501" s="28" t="n">
        <x:v>745000</x:v>
      </x:c>
      <x:c r="V501" s="28" t="n">
        <x:v>1419000</x:v>
      </x:c>
      <x:c r="W501" s="3" t="str">
        <x:v>事故・水没・SOH・保証残は未確認</x:v>
      </x:c>
      <x:c r="X501" s="3" t="str">
        <x:v>掲載中・在庫未確認</x:v>
      </x:c>
      <x:c r="Y501" s="3" t="str"/>
      <x:c r="Z501" s="27" t="str">
        <x:v>https://www.taladrod.com/w40/icar/cardet.aspx?cid=2916930</x:v>
      </x:c>
      <x:c r="AA501" s="3" t="str">
        <x:v>Taladrod個別広告ID／Carsome在庫ID</x:v>
      </x:c>
      <x:c r="AB501" s="3" t="str">
        <x:v>車台番号未取得／サイト間重複は未判定</x:v>
      </x:c>
      <x:c r="AC501" s="3" t="str">
        <x:v>税込区分未確認（一覧表示額）</x:v>
      </x:c>
      <x:c r="AD501" s="3" t="str"/>
      <x:c r="AE501" s="29" t="str">
        <x:f>""</x:f>
      </x:c>
      <x:c r="AF501" s="30" t="str">
        <x:f>IF(ISNUMBER(AE501),U501/AE501,"")</x:f>
      </x:c>
      <x:c r="AG501" s="29" t="str">
        <x:f>""</x:f>
      </x:c>
      <x:c r="AH501" s="30" t="str">
        <x:f>IF(ISNUMBER(AG501),U501/AG501,"")</x:f>
      </x:c>
      <x:c r="AI501" s="3" t="str">
        <x:v>同年式・グレードの検証済み当時価格なし／登録年混在</x:v>
      </x:c>
      <x:c r="AJ501" s="3" t="str">
        <x:v>一覧価格/年式のみ</x:v>
      </x:c>
      <x:c r="AK501" s="3" t="str">
        <x:v>一覧の表示価格。年式は掲載年式。</x:v>
      </x:c>
      <x:c r="AL501" s="31" t="n">
        <x:f>IF(AND(J501&lt;='分析方法'!$B$7,OR(ISBLANK(O501),O501&gt;='分析方法'!$B$8),X501&lt;&gt;"売却済み表示"),1,0)</x:f>
        <x:v>1</x:v>
      </x:c>
      <x:c r="AM501" s="32" t="n">
        <x:f>IF(AL501=1,U501,"")</x:f>
        <x:v>745000</x:v>
      </x:c>
      <x:c r="AN501" s="33" t="str">
        <x:f>IF(AL501=1,AF501,"")</x:f>
      </x:c>
      <x:c r="AO501" s="31" t="n">
        <x:f>'分析方法'!$B$6-J501</x:f>
        <x:v>6</x:v>
      </x:c>
      <x:c r="AP501" s="3"/>
    </x:row>
    <x:row r="502" ht="22" customHeight="1">
      <x:c r="A502" s="3" t="str">
        <x:v>T2921636</x:v>
      </x:c>
      <x:c r="B502" s="7" t="d">
        <x:v>2026-10-08T00:00:00.000Z</x:v>
      </x:c>
      <x:c r="C502" s="3" t="str">
        <x:v>Taladrod</x:v>
      </x:c>
      <x:c r="D502" s="3" t="str">
        <x:v>Toyota</x:v>
      </x:c>
      <x:c r="E502" s="3" t="str">
        <x:v>日本</x:v>
      </x:c>
      <x:c r="F502" s="3" t="str">
        <x:v>Fortuner</x:v>
      </x:c>
      <x:c r="G502" s="3" t="str">
        <x:v>ICE</x:v>
      </x:c>
      <x:c r="H502" s="3" t="str">
        <x:v>SUV</x:v>
      </x:c>
      <x:c r="I502" s="3" t="str"/>
      <x:c r="J502" s="3" t="n">
        <x:v>2020</x:v>
      </x:c>
      <x:c r="K502" s="3" t="str">
        <x:v>2.4 V</x:v>
      </x:c>
      <x:c r="L502" s="3" t="str">
        <x:v>2.4 V</x:v>
      </x:c>
      <x:c r="M502" s="22"/>
      <x:c r="N502" s="22"/>
      <x:c r="O502" s="22"/>
      <x:c r="P502" s="3" t="str">
        <x:v>未掲載</x:v>
      </x:c>
      <x:c r="Q502" s="3" t="str">
        <x:v>未取得</x:v>
      </x:c>
      <x:c r="R502" s="3" t="str">
        <x:v>Unknown</x:v>
      </x:c>
      <x:c r="S502" s="3" t="str">
        <x:v>不明</x:v>
      </x:c>
      <x:c r="T502" s="3" t="str">
        <x:v>15-ปัจจุบัน</x:v>
      </x:c>
      <x:c r="U502" s="28" t="n">
        <x:v>750000</x:v>
      </x:c>
      <x:c r="V502" s="28" t="n">
        <x:v>1419000</x:v>
      </x:c>
      <x:c r="W502" s="3" t="str">
        <x:v>事故・水没・SOH・保証残は未確認</x:v>
      </x:c>
      <x:c r="X502" s="3" t="str">
        <x:v>掲載中・在庫未確認</x:v>
      </x:c>
      <x:c r="Y502" s="3" t="str"/>
      <x:c r="Z502" s="27" t="str">
        <x:v>https://www.taladrod.com/w40/icar/cardet.aspx?cid=2921636</x:v>
      </x:c>
      <x:c r="AA502" s="3" t="str">
        <x:v>Taladrod個別広告ID／Carsome在庫ID</x:v>
      </x:c>
      <x:c r="AB502" s="3" t="str">
        <x:v>車台番号未取得／サイト間重複は未判定</x:v>
      </x:c>
      <x:c r="AC502" s="3" t="str">
        <x:v>税込区分未確認（一覧表示額）</x:v>
      </x:c>
      <x:c r="AD502" s="3" t="str"/>
      <x:c r="AE502" s="29" t="str">
        <x:f>""</x:f>
      </x:c>
      <x:c r="AF502" s="30" t="str">
        <x:f>IF(ISNUMBER(AE502),U502/AE502,"")</x:f>
      </x:c>
      <x:c r="AG502" s="29" t="str">
        <x:f>""</x:f>
      </x:c>
      <x:c r="AH502" s="30" t="str">
        <x:f>IF(ISNUMBER(AG502),U502/AG502,"")</x:f>
      </x:c>
      <x:c r="AI502" s="3" t="str">
        <x:v>同年式・グレードの検証済み当時価格なし／登録年混在</x:v>
      </x:c>
      <x:c r="AJ502" s="3" t="str">
        <x:v>一覧価格/年式のみ</x:v>
      </x:c>
      <x:c r="AK502" s="3" t="str">
        <x:v>一覧の表示価格。年式は掲載年式。</x:v>
      </x:c>
      <x:c r="AL502" s="31" t="n">
        <x:f>IF(AND(J502&lt;='分析方法'!$B$7,OR(ISBLANK(O502),O502&gt;='分析方法'!$B$8),X502&lt;&gt;"売却済み表示"),1,0)</x:f>
        <x:v>1</x:v>
      </x:c>
      <x:c r="AM502" s="32" t="n">
        <x:f>IF(AL502=1,U502,"")</x:f>
        <x:v>750000</x:v>
      </x:c>
      <x:c r="AN502" s="33" t="str">
        <x:f>IF(AL502=1,AF502,"")</x:f>
      </x:c>
      <x:c r="AO502" s="31" t="n">
        <x:f>'分析方法'!$B$6-J502</x:f>
        <x:v>6</x:v>
      </x:c>
      <x:c r="AP502" s="3"/>
    </x:row>
    <x:row r="503" ht="22" customHeight="1">
      <x:c r="A503" s="3" t="str">
        <x:v>T2880659</x:v>
      </x:c>
      <x:c r="B503" s="7" t="d">
        <x:v>2026-10-08T00:00:00.000Z</x:v>
      </x:c>
      <x:c r="C503" s="3" t="str">
        <x:v>Taladrod</x:v>
      </x:c>
      <x:c r="D503" s="3" t="str">
        <x:v>Toyota</x:v>
      </x:c>
      <x:c r="E503" s="3" t="str">
        <x:v>日本</x:v>
      </x:c>
      <x:c r="F503" s="3" t="str">
        <x:v>Fortuner</x:v>
      </x:c>
      <x:c r="G503" s="3" t="str">
        <x:v>ICE</x:v>
      </x:c>
      <x:c r="H503" s="3" t="str">
        <x:v>SUV</x:v>
      </x:c>
      <x:c r="I503" s="3" t="str"/>
      <x:c r="J503" s="3" t="n">
        <x:v>2020</x:v>
      </x:c>
      <x:c r="K503" s="3" t="str">
        <x:v>2.4 V 4WD</x:v>
      </x:c>
      <x:c r="L503" s="3" t="str">
        <x:v>2.4 V 4WD</x:v>
      </x:c>
      <x:c r="M503" s="22"/>
      <x:c r="N503" s="22"/>
      <x:c r="O503" s="22"/>
      <x:c r="P503" s="3" t="str">
        <x:v>未掲載</x:v>
      </x:c>
      <x:c r="Q503" s="3" t="str">
        <x:v>未取得</x:v>
      </x:c>
      <x:c r="R503" s="3" t="str">
        <x:v>Unknown</x:v>
      </x:c>
      <x:c r="S503" s="3" t="str">
        <x:v>不明</x:v>
      </x:c>
      <x:c r="T503" s="3" t="str">
        <x:v>15-ปัจจุบัน</x:v>
      </x:c>
      <x:c r="U503" s="28" t="n">
        <x:v>925000</x:v>
      </x:c>
      <x:c r="V503" s="28" t="n">
        <x:v>1494000</x:v>
      </x:c>
      <x:c r="W503" s="3" t="str">
        <x:v>事故・水没・SOH・保証残は未確認</x:v>
      </x:c>
      <x:c r="X503" s="3" t="str">
        <x:v>掲載中・在庫未確認</x:v>
      </x:c>
      <x:c r="Y503" s="3" t="str"/>
      <x:c r="Z503" s="27" t="str">
        <x:v>https://www.taladrod.com/w40/icar/cardet.aspx?cid=2880659</x:v>
      </x:c>
      <x:c r="AA503" s="3" t="str">
        <x:v>Taladrod個別広告ID／Carsome在庫ID</x:v>
      </x:c>
      <x:c r="AB503" s="3" t="str">
        <x:v>車台番号未取得／サイト間重複は未判定</x:v>
      </x:c>
      <x:c r="AC503" s="3" t="str">
        <x:v>税込区分未確認（一覧表示額）</x:v>
      </x:c>
      <x:c r="AD503" s="3" t="str"/>
      <x:c r="AE503" s="29" t="str">
        <x:f>""</x:f>
      </x:c>
      <x:c r="AF503" s="30" t="str">
        <x:f>IF(ISNUMBER(AE503),U503/AE503,"")</x:f>
      </x:c>
      <x:c r="AG503" s="29" t="str">
        <x:f>""</x:f>
      </x:c>
      <x:c r="AH503" s="30" t="str">
        <x:f>IF(ISNUMBER(AG503),U503/AG503,"")</x:f>
      </x:c>
      <x:c r="AI503" s="3" t="str">
        <x:v>同年式・グレードの検証済み当時価格なし／登録年混在</x:v>
      </x:c>
      <x:c r="AJ503" s="3" t="str">
        <x:v>一覧価格/年式のみ</x:v>
      </x:c>
      <x:c r="AK503" s="3" t="str">
        <x:v>一覧の表示価格。年式は掲載年式。</x:v>
      </x:c>
      <x:c r="AL503" s="31" t="n">
        <x:f>IF(AND(J503&lt;='分析方法'!$B$7,OR(ISBLANK(O503),O503&gt;='分析方法'!$B$8),X503&lt;&gt;"売却済み表示"),1,0)</x:f>
        <x:v>1</x:v>
      </x:c>
      <x:c r="AM503" s="32" t="n">
        <x:f>IF(AL503=1,U503,"")</x:f>
        <x:v>925000</x:v>
      </x:c>
      <x:c r="AN503" s="33" t="str">
        <x:f>IF(AL503=1,AF503,"")</x:f>
      </x:c>
      <x:c r="AO503" s="31" t="n">
        <x:f>'分析方法'!$B$6-J503</x:f>
        <x:v>6</x:v>
      </x:c>
      <x:c r="AP503" s="3"/>
    </x:row>
    <x:row r="504" ht="22" customHeight="1">
      <x:c r="A504" s="3" t="str">
        <x:v>T2887078</x:v>
      </x:c>
      <x:c r="B504" s="7" t="d">
        <x:v>2026-10-08T00:00:00.000Z</x:v>
      </x:c>
      <x:c r="C504" s="3" t="str">
        <x:v>Taladrod</x:v>
      </x:c>
      <x:c r="D504" s="3" t="str">
        <x:v>Toyota</x:v>
      </x:c>
      <x:c r="E504" s="3" t="str">
        <x:v>日本</x:v>
      </x:c>
      <x:c r="F504" s="3" t="str">
        <x:v>Fortuner</x:v>
      </x:c>
      <x:c r="G504" s="3" t="str">
        <x:v>ICE</x:v>
      </x:c>
      <x:c r="H504" s="3" t="str">
        <x:v>SUV</x:v>
      </x:c>
      <x:c r="I504" s="3" t="str"/>
      <x:c r="J504" s="3" t="n">
        <x:v>2020</x:v>
      </x:c>
      <x:c r="K504" s="3" t="str">
        <x:v>2.4 V 4WD</x:v>
      </x:c>
      <x:c r="L504" s="3" t="str">
        <x:v>2.4 V 4WD</x:v>
      </x:c>
      <x:c r="M504" s="22"/>
      <x:c r="N504" s="22"/>
      <x:c r="O504" s="22"/>
      <x:c r="P504" s="3" t="str">
        <x:v>未掲載</x:v>
      </x:c>
      <x:c r="Q504" s="3" t="str">
        <x:v>未取得</x:v>
      </x:c>
      <x:c r="R504" s="3" t="str">
        <x:v>Unknown</x:v>
      </x:c>
      <x:c r="S504" s="3" t="str">
        <x:v>不明</x:v>
      </x:c>
      <x:c r="T504" s="3" t="str">
        <x:v>15-ปัจจุบัน</x:v>
      </x:c>
      <x:c r="U504" s="28" t="n">
        <x:v>909000</x:v>
      </x:c>
      <x:c r="V504" s="28" t="n">
        <x:v>1494000</x:v>
      </x:c>
      <x:c r="W504" s="3" t="str">
        <x:v>事故・水没・SOH・保証残は未確認</x:v>
      </x:c>
      <x:c r="X504" s="3" t="str">
        <x:v>掲載中・在庫未確認</x:v>
      </x:c>
      <x:c r="Y504" s="3" t="str"/>
      <x:c r="Z504" s="27" t="str">
        <x:v>https://www.taladrod.com/w40/icar/cardet.aspx?cid=2887078</x:v>
      </x:c>
      <x:c r="AA504" s="3" t="str">
        <x:v>Taladrod個別広告ID／Carsome在庫ID</x:v>
      </x:c>
      <x:c r="AB504" s="3" t="str">
        <x:v>車台番号未取得／サイト間重複は未判定</x:v>
      </x:c>
      <x:c r="AC504" s="3" t="str">
        <x:v>税込区分未確認（一覧表示額）</x:v>
      </x:c>
      <x:c r="AD504" s="3" t="str"/>
      <x:c r="AE504" s="29" t="str">
        <x:f>""</x:f>
      </x:c>
      <x:c r="AF504" s="30" t="str">
        <x:f>IF(ISNUMBER(AE504),U504/AE504,"")</x:f>
      </x:c>
      <x:c r="AG504" s="29" t="str">
        <x:f>""</x:f>
      </x:c>
      <x:c r="AH504" s="30" t="str">
        <x:f>IF(ISNUMBER(AG504),U504/AG504,"")</x:f>
      </x:c>
      <x:c r="AI504" s="3" t="str">
        <x:v>同年式・グレードの検証済み当時価格なし／登録年混在</x:v>
      </x:c>
      <x:c r="AJ504" s="3" t="str">
        <x:v>一覧価格/年式のみ</x:v>
      </x:c>
      <x:c r="AK504" s="3" t="str">
        <x:v>一覧の表示価格。年式は掲載年式。</x:v>
      </x:c>
      <x:c r="AL504" s="31" t="n">
        <x:f>IF(AND(J504&lt;='分析方法'!$B$7,OR(ISBLANK(O504),O504&gt;='分析方法'!$B$8),X504&lt;&gt;"売却済み表示"),1,0)</x:f>
        <x:v>1</x:v>
      </x:c>
      <x:c r="AM504" s="32" t="n">
        <x:f>IF(AL504=1,U504,"")</x:f>
        <x:v>909000</x:v>
      </x:c>
      <x:c r="AN504" s="33" t="str">
        <x:f>IF(AL504=1,AF504,"")</x:f>
      </x:c>
      <x:c r="AO504" s="31" t="n">
        <x:f>'分析方法'!$B$6-J504</x:f>
        <x:v>6</x:v>
      </x:c>
      <x:c r="AP504" s="3"/>
    </x:row>
    <x:row r="505" ht="22" customHeight="1">
      <x:c r="A505" s="3" t="str">
        <x:v>T2913194</x:v>
      </x:c>
      <x:c r="B505" s="7" t="d">
        <x:v>2026-10-08T00:00:00.000Z</x:v>
      </x:c>
      <x:c r="C505" s="3" t="str">
        <x:v>Taladrod</x:v>
      </x:c>
      <x:c r="D505" s="3" t="str">
        <x:v>Toyota</x:v>
      </x:c>
      <x:c r="E505" s="3" t="str">
        <x:v>日本</x:v>
      </x:c>
      <x:c r="F505" s="3" t="str">
        <x:v>Fortuner</x:v>
      </x:c>
      <x:c r="G505" s="3" t="str">
        <x:v>ICE</x:v>
      </x:c>
      <x:c r="H505" s="3" t="str">
        <x:v>SUV</x:v>
      </x:c>
      <x:c r="I505" s="3" t="str"/>
      <x:c r="J505" s="3" t="n">
        <x:v>2020</x:v>
      </x:c>
      <x:c r="K505" s="3" t="str">
        <x:v>2.4 V 4WD</x:v>
      </x:c>
      <x:c r="L505" s="3" t="str">
        <x:v>2.4 V 4WD</x:v>
      </x:c>
      <x:c r="M505" s="22"/>
      <x:c r="N505" s="22"/>
      <x:c r="O505" s="22"/>
      <x:c r="P505" s="3" t="str">
        <x:v>未掲載</x:v>
      </x:c>
      <x:c r="Q505" s="3" t="str">
        <x:v>未取得</x:v>
      </x:c>
      <x:c r="R505" s="3" t="str">
        <x:v>Unknown</x:v>
      </x:c>
      <x:c r="S505" s="3" t="str">
        <x:v>不明</x:v>
      </x:c>
      <x:c r="T505" s="3" t="str">
        <x:v>15-ปัจจุบัน</x:v>
      </x:c>
      <x:c r="U505" s="28" t="n">
        <x:v>929000</x:v>
      </x:c>
      <x:c r="V505" s="28" t="n">
        <x:v>1494000</x:v>
      </x:c>
      <x:c r="W505" s="3" t="str">
        <x:v>事故・水没・SOH・保証残は未確認</x:v>
      </x:c>
      <x:c r="X505" s="3" t="str">
        <x:v>掲載中・在庫未確認</x:v>
      </x:c>
      <x:c r="Y505" s="3" t="str"/>
      <x:c r="Z505" s="27" t="str">
        <x:v>https://www.taladrod.com/w40/icar/cardet.aspx?cid=2913194</x:v>
      </x:c>
      <x:c r="AA505" s="3" t="str">
        <x:v>Taladrod個別広告ID／Carsome在庫ID</x:v>
      </x:c>
      <x:c r="AB505" s="3" t="str">
        <x:v>車台番号未取得／サイト間重複は未判定</x:v>
      </x:c>
      <x:c r="AC505" s="3" t="str">
        <x:v>税込区分未確認（一覧表示額）</x:v>
      </x:c>
      <x:c r="AD505" s="3" t="str"/>
      <x:c r="AE505" s="29" t="str">
        <x:f>""</x:f>
      </x:c>
      <x:c r="AF505" s="30" t="str">
        <x:f>IF(ISNUMBER(AE505),U505/AE505,"")</x:f>
      </x:c>
      <x:c r="AG505" s="29" t="str">
        <x:f>""</x:f>
      </x:c>
      <x:c r="AH505" s="30" t="str">
        <x:f>IF(ISNUMBER(AG505),U505/AG505,"")</x:f>
      </x:c>
      <x:c r="AI505" s="3" t="str">
        <x:v>同年式・グレードの検証済み当時価格なし／登録年混在</x:v>
      </x:c>
      <x:c r="AJ505" s="3" t="str">
        <x:v>一覧価格/年式のみ</x:v>
      </x:c>
      <x:c r="AK505" s="3" t="str">
        <x:v>一覧の表示価格。年式は掲載年式。</x:v>
      </x:c>
      <x:c r="AL505" s="31" t="n">
        <x:f>IF(AND(J505&lt;='分析方法'!$B$7,OR(ISBLANK(O505),O505&gt;='分析方法'!$B$8),X505&lt;&gt;"売却済み表示"),1,0)</x:f>
        <x:v>1</x:v>
      </x:c>
      <x:c r="AM505" s="32" t="n">
        <x:f>IF(AL505=1,U505,"")</x:f>
        <x:v>929000</x:v>
      </x:c>
      <x:c r="AN505" s="33" t="str">
        <x:f>IF(AL505=1,AF505,"")</x:f>
      </x:c>
      <x:c r="AO505" s="31" t="n">
        <x:f>'分析方法'!$B$6-J505</x:f>
        <x:v>6</x:v>
      </x:c>
      <x:c r="AP505" s="3"/>
    </x:row>
    <x:row r="506" ht="22" customHeight="1">
      <x:c r="A506" s="3" t="str">
        <x:v>T2918961</x:v>
      </x:c>
      <x:c r="B506" s="7" t="d">
        <x:v>2026-10-08T00:00:00.000Z</x:v>
      </x:c>
      <x:c r="C506" s="3" t="str">
        <x:v>Taladrod</x:v>
      </x:c>
      <x:c r="D506" s="3" t="str">
        <x:v>Toyota</x:v>
      </x:c>
      <x:c r="E506" s="3" t="str">
        <x:v>日本</x:v>
      </x:c>
      <x:c r="F506" s="3" t="str">
        <x:v>Fortuner</x:v>
      </x:c>
      <x:c r="G506" s="3" t="str">
        <x:v>ICE</x:v>
      </x:c>
      <x:c r="H506" s="3" t="str">
        <x:v>SUV</x:v>
      </x:c>
      <x:c r="I506" s="3" t="str"/>
      <x:c r="J506" s="3" t="n">
        <x:v>2020</x:v>
      </x:c>
      <x:c r="K506" s="3" t="str">
        <x:v>2.4 V 4WD</x:v>
      </x:c>
      <x:c r="L506" s="3" t="str">
        <x:v>2.4 V 4WD</x:v>
      </x:c>
      <x:c r="M506" s="22"/>
      <x:c r="N506" s="22"/>
      <x:c r="O506" s="22"/>
      <x:c r="P506" s="3" t="str">
        <x:v>未掲載</x:v>
      </x:c>
      <x:c r="Q506" s="3" t="str">
        <x:v>未取得</x:v>
      </x:c>
      <x:c r="R506" s="3" t="str">
        <x:v>Unknown</x:v>
      </x:c>
      <x:c r="S506" s="3" t="str">
        <x:v>不明</x:v>
      </x:c>
      <x:c r="T506" s="3" t="str">
        <x:v>15-ปัจจุบัน</x:v>
      </x:c>
      <x:c r="U506" s="28" t="n">
        <x:v>825000</x:v>
      </x:c>
      <x:c r="V506" s="28" t="n">
        <x:v>1494000</x:v>
      </x:c>
      <x:c r="W506" s="3" t="str">
        <x:v>事故・水没・SOH・保証残は未確認</x:v>
      </x:c>
      <x:c r="X506" s="3" t="str">
        <x:v>掲載中・在庫未確認</x:v>
      </x:c>
      <x:c r="Y506" s="3" t="str"/>
      <x:c r="Z506" s="27" t="str">
        <x:v>https://www.taladrod.com/w40/icar/cardet.aspx?cid=2918961</x:v>
      </x:c>
      <x:c r="AA506" s="3" t="str">
        <x:v>Taladrod個別広告ID／Carsome在庫ID</x:v>
      </x:c>
      <x:c r="AB506" s="3" t="str">
        <x:v>車台番号未取得／サイト間重複は未判定</x:v>
      </x:c>
      <x:c r="AC506" s="3" t="str">
        <x:v>税込区分未確認（一覧表示額）</x:v>
      </x:c>
      <x:c r="AD506" s="3" t="str"/>
      <x:c r="AE506" s="29" t="str">
        <x:f>""</x:f>
      </x:c>
      <x:c r="AF506" s="30" t="str">
        <x:f>IF(ISNUMBER(AE506),U506/AE506,"")</x:f>
      </x:c>
      <x:c r="AG506" s="29" t="str">
        <x:f>""</x:f>
      </x:c>
      <x:c r="AH506" s="30" t="str">
        <x:f>IF(ISNUMBER(AG506),U506/AG506,"")</x:f>
      </x:c>
      <x:c r="AI506" s="3" t="str">
        <x:v>同年式・グレードの検証済み当時価格なし／登録年混在</x:v>
      </x:c>
      <x:c r="AJ506" s="3" t="str">
        <x:v>一覧価格/年式のみ</x:v>
      </x:c>
      <x:c r="AK506" s="3" t="str">
        <x:v>一覧の表示価格。年式は掲載年式。</x:v>
      </x:c>
      <x:c r="AL506" s="31" t="n">
        <x:f>IF(AND(J506&lt;='分析方法'!$B$7,OR(ISBLANK(O506),O506&gt;='分析方法'!$B$8),X506&lt;&gt;"売却済み表示"),1,0)</x:f>
        <x:v>1</x:v>
      </x:c>
      <x:c r="AM506" s="32" t="n">
        <x:f>IF(AL506=1,U506,"")</x:f>
        <x:v>825000</x:v>
      </x:c>
      <x:c r="AN506" s="33" t="str">
        <x:f>IF(AL506=1,AF506,"")</x:f>
      </x:c>
      <x:c r="AO506" s="31" t="n">
        <x:f>'分析方法'!$B$6-J506</x:f>
        <x:v>6</x:v>
      </x:c>
      <x:c r="AP506" s="3"/>
    </x:row>
    <x:row r="507" ht="22" customHeight="1">
      <x:c r="A507" s="3" t="str">
        <x:v>T2920195</x:v>
      </x:c>
      <x:c r="B507" s="7" t="d">
        <x:v>2026-10-08T00:00:00.000Z</x:v>
      </x:c>
      <x:c r="C507" s="3" t="str">
        <x:v>Taladrod</x:v>
      </x:c>
      <x:c r="D507" s="3" t="str">
        <x:v>Toyota</x:v>
      </x:c>
      <x:c r="E507" s="3" t="str">
        <x:v>日本</x:v>
      </x:c>
      <x:c r="F507" s="3" t="str">
        <x:v>Fortuner</x:v>
      </x:c>
      <x:c r="G507" s="3" t="str">
        <x:v>ICE</x:v>
      </x:c>
      <x:c r="H507" s="3" t="str">
        <x:v>SUV</x:v>
      </x:c>
      <x:c r="I507" s="3" t="str"/>
      <x:c r="J507" s="3" t="n">
        <x:v>2020</x:v>
      </x:c>
      <x:c r="K507" s="3" t="str">
        <x:v>2.4 V 4WD</x:v>
      </x:c>
      <x:c r="L507" s="3" t="str">
        <x:v>2.4 V 4WD</x:v>
      </x:c>
      <x:c r="M507" s="22"/>
      <x:c r="N507" s="22"/>
      <x:c r="O507" s="22"/>
      <x:c r="P507" s="3" t="str">
        <x:v>未掲載</x:v>
      </x:c>
      <x:c r="Q507" s="3" t="str">
        <x:v>未取得</x:v>
      </x:c>
      <x:c r="R507" s="3" t="str">
        <x:v>Unknown</x:v>
      </x:c>
      <x:c r="S507" s="3" t="str">
        <x:v>不明</x:v>
      </x:c>
      <x:c r="T507" s="3" t="str">
        <x:v>15-ปัจจุบัน</x:v>
      </x:c>
      <x:c r="U507" s="28" t="n">
        <x:v>909000</x:v>
      </x:c>
      <x:c r="V507" s="28" t="n">
        <x:v>1494000</x:v>
      </x:c>
      <x:c r="W507" s="3" t="str">
        <x:v>事故・水没・SOH・保証残は未確認</x:v>
      </x:c>
      <x:c r="X507" s="3" t="str">
        <x:v>掲載中・在庫未確認</x:v>
      </x:c>
      <x:c r="Y507" s="3" t="str"/>
      <x:c r="Z507" s="27" t="str">
        <x:v>https://www.taladrod.com/w40/icar/cardet.aspx?cid=2920195</x:v>
      </x:c>
      <x:c r="AA507" s="3" t="str">
        <x:v>Taladrod個別広告ID／Carsome在庫ID</x:v>
      </x:c>
      <x:c r="AB507" s="3" t="str">
        <x:v>車台番号未取得／サイト間重複は未判定</x:v>
      </x:c>
      <x:c r="AC507" s="3" t="str">
        <x:v>税込区分未確認（一覧表示額）</x:v>
      </x:c>
      <x:c r="AD507" s="3" t="str"/>
      <x:c r="AE507" s="29" t="str">
        <x:f>""</x:f>
      </x:c>
      <x:c r="AF507" s="30" t="str">
        <x:f>IF(ISNUMBER(AE507),U507/AE507,"")</x:f>
      </x:c>
      <x:c r="AG507" s="29" t="str">
        <x:f>""</x:f>
      </x:c>
      <x:c r="AH507" s="30" t="str">
        <x:f>IF(ISNUMBER(AG507),U507/AG507,"")</x:f>
      </x:c>
      <x:c r="AI507" s="3" t="str">
        <x:v>同年式・グレードの検証済み当時価格なし／登録年混在</x:v>
      </x:c>
      <x:c r="AJ507" s="3" t="str">
        <x:v>一覧価格/年式のみ</x:v>
      </x:c>
      <x:c r="AK507" s="3" t="str">
        <x:v>一覧の表示価格。年式は掲載年式。</x:v>
      </x:c>
      <x:c r="AL507" s="31" t="n">
        <x:f>IF(AND(J507&lt;='分析方法'!$B$7,OR(ISBLANK(O507),O507&gt;='分析方法'!$B$8),X507&lt;&gt;"売却済み表示"),1,0)</x:f>
        <x:v>1</x:v>
      </x:c>
      <x:c r="AM507" s="32" t="n">
        <x:f>IF(AL507=1,U507,"")</x:f>
        <x:v>909000</x:v>
      </x:c>
      <x:c r="AN507" s="33" t="str">
        <x:f>IF(AL507=1,AF507,"")</x:f>
      </x:c>
      <x:c r="AO507" s="31" t="n">
        <x:f>'分析方法'!$B$6-J507</x:f>
        <x:v>6</x:v>
      </x:c>
      <x:c r="AP507" s="3"/>
    </x:row>
    <x:row r="508" ht="22" customHeight="1">
      <x:c r="A508" s="3" t="str">
        <x:v>T2921149</x:v>
      </x:c>
      <x:c r="B508" s="7" t="d">
        <x:v>2026-10-08T00:00:00.000Z</x:v>
      </x:c>
      <x:c r="C508" s="3" t="str">
        <x:v>Taladrod</x:v>
      </x:c>
      <x:c r="D508" s="3" t="str">
        <x:v>Toyota</x:v>
      </x:c>
      <x:c r="E508" s="3" t="str">
        <x:v>日本</x:v>
      </x:c>
      <x:c r="F508" s="3" t="str">
        <x:v>Fortuner</x:v>
      </x:c>
      <x:c r="G508" s="3" t="str">
        <x:v>ICE</x:v>
      </x:c>
      <x:c r="H508" s="3" t="str">
        <x:v>SUV</x:v>
      </x:c>
      <x:c r="I508" s="3" t="str"/>
      <x:c r="J508" s="3" t="n">
        <x:v>2020</x:v>
      </x:c>
      <x:c r="K508" s="3" t="str">
        <x:v>2.4 V 4WD</x:v>
      </x:c>
      <x:c r="L508" s="3" t="str">
        <x:v>2.4 V 4WD</x:v>
      </x:c>
      <x:c r="M508" s="22"/>
      <x:c r="N508" s="22"/>
      <x:c r="O508" s="22"/>
      <x:c r="P508" s="3" t="str">
        <x:v>未掲載</x:v>
      </x:c>
      <x:c r="Q508" s="3" t="str">
        <x:v>未取得</x:v>
      </x:c>
      <x:c r="R508" s="3" t="str">
        <x:v>Unknown</x:v>
      </x:c>
      <x:c r="S508" s="3" t="str">
        <x:v>不明</x:v>
      </x:c>
      <x:c r="T508" s="3" t="str">
        <x:v>15-ปัจจุบัน</x:v>
      </x:c>
      <x:c r="U508" s="28" t="n">
        <x:v>879000</x:v>
      </x:c>
      <x:c r="V508" s="28" t="n">
        <x:v>1494000</x:v>
      </x:c>
      <x:c r="W508" s="3" t="str">
        <x:v>事故・水没・SOH・保証残は未確認</x:v>
      </x:c>
      <x:c r="X508" s="3" t="str">
        <x:v>掲載中・在庫未確認</x:v>
      </x:c>
      <x:c r="Y508" s="3" t="str"/>
      <x:c r="Z508" s="27" t="str">
        <x:v>https://www.taladrod.com/w40/icar/cardet.aspx?cid=2921149</x:v>
      </x:c>
      <x:c r="AA508" s="3" t="str">
        <x:v>Taladrod個別広告ID／Carsome在庫ID</x:v>
      </x:c>
      <x:c r="AB508" s="3" t="str">
        <x:v>車台番号未取得／サイト間重複は未判定</x:v>
      </x:c>
      <x:c r="AC508" s="3" t="str">
        <x:v>税込区分未確認（一覧表示額）</x:v>
      </x:c>
      <x:c r="AD508" s="3" t="str"/>
      <x:c r="AE508" s="29" t="str">
        <x:f>""</x:f>
      </x:c>
      <x:c r="AF508" s="30" t="str">
        <x:f>IF(ISNUMBER(AE508),U508/AE508,"")</x:f>
      </x:c>
      <x:c r="AG508" s="29" t="str">
        <x:f>""</x:f>
      </x:c>
      <x:c r="AH508" s="30" t="str">
        <x:f>IF(ISNUMBER(AG508),U508/AG508,"")</x:f>
      </x:c>
      <x:c r="AI508" s="3" t="str">
        <x:v>同年式・グレードの検証済み当時価格なし／登録年混在</x:v>
      </x:c>
      <x:c r="AJ508" s="3" t="str">
        <x:v>一覧価格/年式のみ</x:v>
      </x:c>
      <x:c r="AK508" s="3" t="str">
        <x:v>一覧の表示価格。年式は掲載年式。</x:v>
      </x:c>
      <x:c r="AL508" s="31" t="n">
        <x:f>IF(AND(J508&lt;='分析方法'!$B$7,OR(ISBLANK(O508),O508&gt;='分析方法'!$B$8),X508&lt;&gt;"売却済み表示"),1,0)</x:f>
        <x:v>1</x:v>
      </x:c>
      <x:c r="AM508" s="32" t="n">
        <x:f>IF(AL508=1,U508,"")</x:f>
        <x:v>879000</x:v>
      </x:c>
      <x:c r="AN508" s="33" t="str">
        <x:f>IF(AL508=1,AF508,"")</x:f>
      </x:c>
      <x:c r="AO508" s="31" t="n">
        <x:f>'分析方法'!$B$6-J508</x:f>
        <x:v>6</x:v>
      </x:c>
      <x:c r="AP508" s="3"/>
    </x:row>
    <x:row r="509" ht="22" customHeight="1">
      <x:c r="A509" s="3" t="str">
        <x:v>T2922677</x:v>
      </x:c>
      <x:c r="B509" s="7" t="d">
        <x:v>2026-10-08T00:00:00.000Z</x:v>
      </x:c>
      <x:c r="C509" s="3" t="str">
        <x:v>Taladrod</x:v>
      </x:c>
      <x:c r="D509" s="3" t="str">
        <x:v>Toyota</x:v>
      </x:c>
      <x:c r="E509" s="3" t="str">
        <x:v>日本</x:v>
      </x:c>
      <x:c r="F509" s="3" t="str">
        <x:v>Fortuner</x:v>
      </x:c>
      <x:c r="G509" s="3" t="str">
        <x:v>ICE</x:v>
      </x:c>
      <x:c r="H509" s="3" t="str">
        <x:v>SUV</x:v>
      </x:c>
      <x:c r="I509" s="3" t="str"/>
      <x:c r="J509" s="3" t="n">
        <x:v>2020</x:v>
      </x:c>
      <x:c r="K509" s="3" t="str">
        <x:v>2.4 V 4WD</x:v>
      </x:c>
      <x:c r="L509" s="3" t="str">
        <x:v>2.4 V 4WD</x:v>
      </x:c>
      <x:c r="M509" s="22"/>
      <x:c r="N509" s="22"/>
      <x:c r="O509" s="22"/>
      <x:c r="P509" s="3" t="str">
        <x:v>未掲載</x:v>
      </x:c>
      <x:c r="Q509" s="3" t="str">
        <x:v>未取得</x:v>
      </x:c>
      <x:c r="R509" s="3" t="str">
        <x:v>Unknown</x:v>
      </x:c>
      <x:c r="S509" s="3" t="str">
        <x:v>不明</x:v>
      </x:c>
      <x:c r="T509" s="3" t="str">
        <x:v>15-ปัจจุบัน</x:v>
      </x:c>
      <x:c r="U509" s="28" t="n">
        <x:v>859000</x:v>
      </x:c>
      <x:c r="V509" s="28" t="n">
        <x:v>1494000</x:v>
      </x:c>
      <x:c r="W509" s="3" t="str">
        <x:v>事故・水没・SOH・保証残は未確認</x:v>
      </x:c>
      <x:c r="X509" s="3" t="str">
        <x:v>掲載中・在庫未確認</x:v>
      </x:c>
      <x:c r="Y509" s="3" t="str"/>
      <x:c r="Z509" s="27" t="str">
        <x:v>https://www.taladrod.com/w40/icar/cardet.aspx?cid=2922677</x:v>
      </x:c>
      <x:c r="AA509" s="3" t="str">
        <x:v>Taladrod個別広告ID／Carsome在庫ID</x:v>
      </x:c>
      <x:c r="AB509" s="3" t="str">
        <x:v>車台番号未取得／サイト間重複は未判定</x:v>
      </x:c>
      <x:c r="AC509" s="3" t="str">
        <x:v>税込区分未確認（一覧表示額）</x:v>
      </x:c>
      <x:c r="AD509" s="3" t="str"/>
      <x:c r="AE509" s="29" t="str">
        <x:f>""</x:f>
      </x:c>
      <x:c r="AF509" s="30" t="str">
        <x:f>IF(ISNUMBER(AE509),U509/AE509,"")</x:f>
      </x:c>
      <x:c r="AG509" s="29" t="str">
        <x:f>""</x:f>
      </x:c>
      <x:c r="AH509" s="30" t="str">
        <x:f>IF(ISNUMBER(AG509),U509/AG509,"")</x:f>
      </x:c>
      <x:c r="AI509" s="3" t="str">
        <x:v>同年式・グレードの検証済み当時価格なし／登録年混在</x:v>
      </x:c>
      <x:c r="AJ509" s="3" t="str">
        <x:v>一覧価格/年式のみ</x:v>
      </x:c>
      <x:c r="AK509" s="3" t="str">
        <x:v>一覧の表示価格。年式は掲載年式。</x:v>
      </x:c>
      <x:c r="AL509" s="31" t="n">
        <x:f>IF(AND(J509&lt;='分析方法'!$B$7,OR(ISBLANK(O509),O509&gt;='分析方法'!$B$8),X509&lt;&gt;"売却済み表示"),1,0)</x:f>
        <x:v>1</x:v>
      </x:c>
      <x:c r="AM509" s="32" t="n">
        <x:f>IF(AL509=1,U509,"")</x:f>
        <x:v>859000</x:v>
      </x:c>
      <x:c r="AN509" s="33" t="str">
        <x:f>IF(AL509=1,AF509,"")</x:f>
      </x:c>
      <x:c r="AO509" s="31" t="n">
        <x:f>'分析方法'!$B$6-J509</x:f>
        <x:v>6</x:v>
      </x:c>
      <x:c r="AP509" s="3"/>
    </x:row>
    <x:row r="510" ht="22" customHeight="1">
      <x:c r="A510" s="3" t="str">
        <x:v>T2926506</x:v>
      </x:c>
      <x:c r="B510" s="7" t="d">
        <x:v>2026-10-08T00:00:00.000Z</x:v>
      </x:c>
      <x:c r="C510" s="3" t="str">
        <x:v>Taladrod</x:v>
      </x:c>
      <x:c r="D510" s="3" t="str">
        <x:v>Toyota</x:v>
      </x:c>
      <x:c r="E510" s="3" t="str">
        <x:v>日本</x:v>
      </x:c>
      <x:c r="F510" s="3" t="str">
        <x:v>Fortuner</x:v>
      </x:c>
      <x:c r="G510" s="3" t="str">
        <x:v>ICE</x:v>
      </x:c>
      <x:c r="H510" s="3" t="str">
        <x:v>SUV</x:v>
      </x:c>
      <x:c r="I510" s="3" t="str"/>
      <x:c r="J510" s="3" t="n">
        <x:v>2020</x:v>
      </x:c>
      <x:c r="K510" s="3" t="str">
        <x:v>2.4 V 4WD</x:v>
      </x:c>
      <x:c r="L510" s="3" t="str">
        <x:v>2.4 V 4WD</x:v>
      </x:c>
      <x:c r="M510" s="22"/>
      <x:c r="N510" s="22"/>
      <x:c r="O510" s="22"/>
      <x:c r="P510" s="3" t="str">
        <x:v>未掲載</x:v>
      </x:c>
      <x:c r="Q510" s="3" t="str">
        <x:v>未取得</x:v>
      </x:c>
      <x:c r="R510" s="3" t="str">
        <x:v>Unknown</x:v>
      </x:c>
      <x:c r="S510" s="3" t="str">
        <x:v>不明</x:v>
      </x:c>
      <x:c r="T510" s="3" t="str">
        <x:v>15-ปัจจุบัน</x:v>
      </x:c>
      <x:c r="U510" s="28" t="n">
        <x:v>779000</x:v>
      </x:c>
      <x:c r="V510" s="28" t="n">
        <x:v>1494000</x:v>
      </x:c>
      <x:c r="W510" s="3" t="str">
        <x:v>事故・水没・SOH・保証残は未確認</x:v>
      </x:c>
      <x:c r="X510" s="3" t="str">
        <x:v>掲載中・在庫未確認</x:v>
      </x:c>
      <x:c r="Y510" s="3" t="str"/>
      <x:c r="Z510" s="27" t="str">
        <x:v>https://www.taladrod.com/w40/icar/cardet.aspx?cid=2926506</x:v>
      </x:c>
      <x:c r="AA510" s="3" t="str">
        <x:v>Taladrod個別広告ID／Carsome在庫ID</x:v>
      </x:c>
      <x:c r="AB510" s="3" t="str">
        <x:v>車台番号未取得／サイト間重複は未判定</x:v>
      </x:c>
      <x:c r="AC510" s="3" t="str">
        <x:v>税込区分未確認（一覧表示額）</x:v>
      </x:c>
      <x:c r="AD510" s="3" t="str"/>
      <x:c r="AE510" s="29" t="str">
        <x:f>""</x:f>
      </x:c>
      <x:c r="AF510" s="30" t="str">
        <x:f>IF(ISNUMBER(AE510),U510/AE510,"")</x:f>
      </x:c>
      <x:c r="AG510" s="29" t="str">
        <x:f>""</x:f>
      </x:c>
      <x:c r="AH510" s="30" t="str">
        <x:f>IF(ISNUMBER(AG510),U510/AG510,"")</x:f>
      </x:c>
      <x:c r="AI510" s="3" t="str">
        <x:v>同年式・グレードの検証済み当時価格なし／登録年混在</x:v>
      </x:c>
      <x:c r="AJ510" s="3" t="str">
        <x:v>一覧価格/年式のみ</x:v>
      </x:c>
      <x:c r="AK510" s="3" t="str">
        <x:v>一覧の表示価格。年式は掲載年式。</x:v>
      </x:c>
      <x:c r="AL510" s="31" t="n">
        <x:f>IF(AND(J510&lt;='分析方法'!$B$7,OR(ISBLANK(O510),O510&gt;='分析方法'!$B$8),X510&lt;&gt;"売却済み表示"),1,0)</x:f>
        <x:v>1</x:v>
      </x:c>
      <x:c r="AM510" s="32" t="n">
        <x:f>IF(AL510=1,U510,"")</x:f>
        <x:v>779000</x:v>
      </x:c>
      <x:c r="AN510" s="33" t="str">
        <x:f>IF(AL510=1,AF510,"")</x:f>
      </x:c>
      <x:c r="AO510" s="31" t="n">
        <x:f>'分析方法'!$B$6-J510</x:f>
        <x:v>6</x:v>
      </x:c>
      <x:c r="AP510" s="3"/>
    </x:row>
    <x:row r="511" ht="22" customHeight="1">
      <x:c r="A511" s="3" t="str">
        <x:v>T2923135</x:v>
      </x:c>
      <x:c r="B511" s="7" t="d">
        <x:v>2026-10-08T00:00:00.000Z</x:v>
      </x:c>
      <x:c r="C511" s="3" t="str">
        <x:v>Taladrod</x:v>
      </x:c>
      <x:c r="D511" s="3" t="str">
        <x:v>Toyota</x:v>
      </x:c>
      <x:c r="E511" s="3" t="str">
        <x:v>日本</x:v>
      </x:c>
      <x:c r="F511" s="3" t="str">
        <x:v>Fortuner</x:v>
      </x:c>
      <x:c r="G511" s="3" t="str">
        <x:v>ICE</x:v>
      </x:c>
      <x:c r="H511" s="3" t="str">
        <x:v>SUV</x:v>
      </x:c>
      <x:c r="I511" s="3" t="str"/>
      <x:c r="J511" s="3" t="n">
        <x:v>2020</x:v>
      </x:c>
      <x:c r="K511" s="3" t="str">
        <x:v>2.8 LEGENDER</x:v>
      </x:c>
      <x:c r="L511" s="3" t="str">
        <x:v>2.8 LEGENDER</x:v>
      </x:c>
      <x:c r="M511" s="22"/>
      <x:c r="N511" s="22"/>
      <x:c r="O511" s="22"/>
      <x:c r="P511" s="3" t="str">
        <x:v>未掲載</x:v>
      </x:c>
      <x:c r="Q511" s="3" t="str">
        <x:v>未取得</x:v>
      </x:c>
      <x:c r="R511" s="3" t="str">
        <x:v>Unknown</x:v>
      </x:c>
      <x:c r="S511" s="3" t="str">
        <x:v>不明</x:v>
      </x:c>
      <x:c r="T511" s="3" t="str">
        <x:v>15-ปัจจุบัน</x:v>
      </x:c>
      <x:c r="U511" s="28" t="n">
        <x:v>779000</x:v>
      </x:c>
      <x:c r="V511" s="28" t="n">
        <x:v>1769000</x:v>
      </x:c>
      <x:c r="W511" s="3" t="str">
        <x:v>事故・水没・SOH・保証残は未確認</x:v>
      </x:c>
      <x:c r="X511" s="3" t="str">
        <x:v>掲載中・在庫未確認</x:v>
      </x:c>
      <x:c r="Y511" s="3" t="str"/>
      <x:c r="Z511" s="27" t="str">
        <x:v>https://www.taladrod.com/w40/icar/cardet.aspx?cid=2923135</x:v>
      </x:c>
      <x:c r="AA511" s="3" t="str">
        <x:v>Taladrod個別広告ID／Carsome在庫ID</x:v>
      </x:c>
      <x:c r="AB511" s="3" t="str">
        <x:v>車台番号未取得／サイト間重複は未判定</x:v>
      </x:c>
      <x:c r="AC511" s="3" t="str">
        <x:v>税込区分未確認（一覧表示額）</x:v>
      </x:c>
      <x:c r="AD511" s="3" t="str"/>
      <x:c r="AE511" s="29" t="str">
        <x:f>""</x:f>
      </x:c>
      <x:c r="AF511" s="30" t="str">
        <x:f>IF(ISNUMBER(AE511),U511/AE511,"")</x:f>
      </x:c>
      <x:c r="AG511" s="29" t="str">
        <x:f>""</x:f>
      </x:c>
      <x:c r="AH511" s="30" t="str">
        <x:f>IF(ISNUMBER(AG511),U511/AG511,"")</x:f>
      </x:c>
      <x:c r="AI511" s="3" t="str">
        <x:v>同年式・グレードの検証済み当時価格なし／登録年混在</x:v>
      </x:c>
      <x:c r="AJ511" s="3" t="str">
        <x:v>一覧価格/年式のみ</x:v>
      </x:c>
      <x:c r="AK511" s="3" t="str">
        <x:v>一覧の表示価格。年式は掲載年式。</x:v>
      </x:c>
      <x:c r="AL511" s="31" t="n">
        <x:f>IF(AND(J511&lt;='分析方法'!$B$7,OR(ISBLANK(O511),O511&gt;='分析方法'!$B$8),X511&lt;&gt;"売却済み表示"),1,0)</x:f>
        <x:v>1</x:v>
      </x:c>
      <x:c r="AM511" s="32" t="n">
        <x:f>IF(AL511=1,U511,"")</x:f>
        <x:v>779000</x:v>
      </x:c>
      <x:c r="AN511" s="33" t="str">
        <x:f>IF(AL511=1,AF511,"")</x:f>
      </x:c>
      <x:c r="AO511" s="31" t="n">
        <x:f>'分析方法'!$B$6-J511</x:f>
        <x:v>6</x:v>
      </x:c>
      <x:c r="AP511" s="3"/>
    </x:row>
    <x:row r="512" ht="22" customHeight="1">
      <x:c r="A512" s="3" t="str">
        <x:v>T2912540</x:v>
      </x:c>
      <x:c r="B512" s="7" t="d">
        <x:v>2026-10-08T00:00:00.000Z</x:v>
      </x:c>
      <x:c r="C512" s="3" t="str">
        <x:v>Taladrod</x:v>
      </x:c>
      <x:c r="D512" s="3" t="str">
        <x:v>Toyota</x:v>
      </x:c>
      <x:c r="E512" s="3" t="str">
        <x:v>日本</x:v>
      </x:c>
      <x:c r="F512" s="3" t="str">
        <x:v>Fortuner</x:v>
      </x:c>
      <x:c r="G512" s="3" t="str">
        <x:v>ICE</x:v>
      </x:c>
      <x:c r="H512" s="3" t="str">
        <x:v>SUV</x:v>
      </x:c>
      <x:c r="I512" s="3" t="str"/>
      <x:c r="J512" s="3" t="n">
        <x:v>2020</x:v>
      </x:c>
      <x:c r="K512" s="3" t="str">
        <x:v>2.8 LEGENDER BLACK TOP</x:v>
      </x:c>
      <x:c r="L512" s="3" t="str">
        <x:v>2.8 LEGENDER BLACK TOP</x:v>
      </x:c>
      <x:c r="M512" s="22"/>
      <x:c r="N512" s="22"/>
      <x:c r="O512" s="22"/>
      <x:c r="P512" s="3" t="str">
        <x:v>未掲載</x:v>
      </x:c>
      <x:c r="Q512" s="3" t="str">
        <x:v>未取得</x:v>
      </x:c>
      <x:c r="R512" s="3" t="str">
        <x:v>Unknown</x:v>
      </x:c>
      <x:c r="S512" s="3" t="str">
        <x:v>不明</x:v>
      </x:c>
      <x:c r="T512" s="3" t="str">
        <x:v>15-ปัจจุบัน</x:v>
      </x:c>
      <x:c r="U512" s="28" t="n">
        <x:v>779000</x:v>
      </x:c>
      <x:c r="V512" s="28" t="n">
        <x:v>1789000</x:v>
      </x:c>
      <x:c r="W512" s="3" t="str">
        <x:v>事故・水没・SOH・保証残は未確認</x:v>
      </x:c>
      <x:c r="X512" s="3" t="str">
        <x:v>掲載中・在庫未確認</x:v>
      </x:c>
      <x:c r="Y512" s="3" t="str"/>
      <x:c r="Z512" s="27" t="str">
        <x:v>https://www.taladrod.com/w40/icar/cardet.aspx?cid=2912540</x:v>
      </x:c>
      <x:c r="AA512" s="3" t="str">
        <x:v>Taladrod個別広告ID／Carsome在庫ID</x:v>
      </x:c>
      <x:c r="AB512" s="3" t="str">
        <x:v>車台番号未取得／サイト間重複は未判定</x:v>
      </x:c>
      <x:c r="AC512" s="3" t="str">
        <x:v>税込区分未確認（一覧表示額）</x:v>
      </x:c>
      <x:c r="AD512" s="3" t="str"/>
      <x:c r="AE512" s="29" t="str">
        <x:f>""</x:f>
      </x:c>
      <x:c r="AF512" s="30" t="str">
        <x:f>IF(ISNUMBER(AE512),U512/AE512,"")</x:f>
      </x:c>
      <x:c r="AG512" s="29" t="str">
        <x:f>""</x:f>
      </x:c>
      <x:c r="AH512" s="30" t="str">
        <x:f>IF(ISNUMBER(AG512),U512/AG512,"")</x:f>
      </x:c>
      <x:c r="AI512" s="3" t="str">
        <x:v>同年式・グレードの検証済み当時価格なし／登録年混在</x:v>
      </x:c>
      <x:c r="AJ512" s="3" t="str">
        <x:v>一覧価格/年式のみ</x:v>
      </x:c>
      <x:c r="AK512" s="3" t="str">
        <x:v>一覧の表示価格。年式は掲載年式。</x:v>
      </x:c>
      <x:c r="AL512" s="31" t="n">
        <x:f>IF(AND(J512&lt;='分析方法'!$B$7,OR(ISBLANK(O512),O512&gt;='分析方法'!$B$8),X512&lt;&gt;"売却済み表示"),1,0)</x:f>
        <x:v>1</x:v>
      </x:c>
      <x:c r="AM512" s="32" t="n">
        <x:f>IF(AL512=1,U512,"")</x:f>
        <x:v>779000</x:v>
      </x:c>
      <x:c r="AN512" s="33" t="str">
        <x:f>IF(AL512=1,AF512,"")</x:f>
      </x:c>
      <x:c r="AO512" s="31" t="n">
        <x:f>'分析方法'!$B$6-J512</x:f>
        <x:v>6</x:v>
      </x:c>
      <x:c r="AP512" s="3"/>
    </x:row>
    <x:row r="513" ht="22" customHeight="1">
      <x:c r="A513" s="3" t="str">
        <x:v>T2906074</x:v>
      </x:c>
      <x:c r="B513" s="7" t="d">
        <x:v>2026-10-08T00:00:00.000Z</x:v>
      </x:c>
      <x:c r="C513" s="3" t="str">
        <x:v>Taladrod</x:v>
      </x:c>
      <x:c r="D513" s="3" t="str">
        <x:v>Toyota</x:v>
      </x:c>
      <x:c r="E513" s="3" t="str">
        <x:v>日本</x:v>
      </x:c>
      <x:c r="F513" s="3" t="str">
        <x:v>Fortuner</x:v>
      </x:c>
      <x:c r="G513" s="3" t="str">
        <x:v>ICE</x:v>
      </x:c>
      <x:c r="H513" s="3" t="str">
        <x:v>SUV</x:v>
      </x:c>
      <x:c r="I513" s="3" t="str"/>
      <x:c r="J513" s="3" t="n">
        <x:v>2020</x:v>
      </x:c>
      <x:c r="K513" s="3" t="str">
        <x:v>2.8 TRD SPORTIVO 2WD</x:v>
      </x:c>
      <x:c r="L513" s="3" t="str">
        <x:v>2.8 TRD SPORTIVO 2WD</x:v>
      </x:c>
      <x:c r="M513" s="22"/>
      <x:c r="N513" s="22"/>
      <x:c r="O513" s="22"/>
      <x:c r="P513" s="3" t="str">
        <x:v>未掲載</x:v>
      </x:c>
      <x:c r="Q513" s="3" t="str">
        <x:v>未取得</x:v>
      </x:c>
      <x:c r="R513" s="3" t="str">
        <x:v>Unknown</x:v>
      </x:c>
      <x:c r="S513" s="3" t="str">
        <x:v>不明</x:v>
      </x:c>
      <x:c r="T513" s="3" t="str">
        <x:v>15-ปัจจุบัน</x:v>
      </x:c>
      <x:c r="U513" s="28" t="n">
        <x:v>889000</x:v>
      </x:c>
      <x:c r="V513" s="28" t="n">
        <x:v>1679000</x:v>
      </x:c>
      <x:c r="W513" s="3" t="str">
        <x:v>事故・水没・SOH・保証残は未確認</x:v>
      </x:c>
      <x:c r="X513" s="3" t="str">
        <x:v>掲載中・在庫未確認</x:v>
      </x:c>
      <x:c r="Y513" s="3" t="str"/>
      <x:c r="Z513" s="27" t="str">
        <x:v>https://www.taladrod.com/w40/icar/cardet.aspx?cid=2906074</x:v>
      </x:c>
      <x:c r="AA513" s="3" t="str">
        <x:v>Taladrod個別広告ID／Carsome在庫ID</x:v>
      </x:c>
      <x:c r="AB513" s="3" t="str">
        <x:v>車台番号未取得／サイト間重複は未判定</x:v>
      </x:c>
      <x:c r="AC513" s="3" t="str">
        <x:v>税込区分未確認（一覧表示額）</x:v>
      </x:c>
      <x:c r="AD513" s="3" t="str"/>
      <x:c r="AE513" s="29" t="str">
        <x:f>""</x:f>
      </x:c>
      <x:c r="AF513" s="30" t="str">
        <x:f>IF(ISNUMBER(AE513),U513/AE513,"")</x:f>
      </x:c>
      <x:c r="AG513" s="29" t="str">
        <x:f>""</x:f>
      </x:c>
      <x:c r="AH513" s="30" t="str">
        <x:f>IF(ISNUMBER(AG513),U513/AG513,"")</x:f>
      </x:c>
      <x:c r="AI513" s="3" t="str">
        <x:v>同年式・グレードの検証済み当時価格なし／登録年混在</x:v>
      </x:c>
      <x:c r="AJ513" s="3" t="str">
        <x:v>一覧価格/年式のみ</x:v>
      </x:c>
      <x:c r="AK513" s="3" t="str">
        <x:v>一覧の表示価格。年式は掲載年式。</x:v>
      </x:c>
      <x:c r="AL513" s="31" t="n">
        <x:f>IF(AND(J513&lt;='分析方法'!$B$7,OR(ISBLANK(O513),O513&gt;='分析方法'!$B$8),X513&lt;&gt;"売却済み表示"),1,0)</x:f>
        <x:v>1</x:v>
      </x:c>
      <x:c r="AM513" s="32" t="n">
        <x:f>IF(AL513=1,U513,"")</x:f>
        <x:v>889000</x:v>
      </x:c>
      <x:c r="AN513" s="33" t="str">
        <x:f>IF(AL513=1,AF513,"")</x:f>
      </x:c>
      <x:c r="AO513" s="31" t="n">
        <x:f>'分析方法'!$B$6-J513</x:f>
        <x:v>6</x:v>
      </x:c>
      <x:c r="AP513" s="3"/>
    </x:row>
    <x:row r="514" ht="22" customHeight="1">
      <x:c r="A514" s="3" t="str">
        <x:v>T2917969</x:v>
      </x:c>
      <x:c r="B514" s="7" t="d">
        <x:v>2026-10-08T00:00:00.000Z</x:v>
      </x:c>
      <x:c r="C514" s="3" t="str">
        <x:v>Taladrod</x:v>
      </x:c>
      <x:c r="D514" s="3" t="str">
        <x:v>Toyota</x:v>
      </x:c>
      <x:c r="E514" s="3" t="str">
        <x:v>日本</x:v>
      </x:c>
      <x:c r="F514" s="3" t="str">
        <x:v>Fortuner</x:v>
      </x:c>
      <x:c r="G514" s="3" t="str">
        <x:v>ICE</x:v>
      </x:c>
      <x:c r="H514" s="3" t="str">
        <x:v>SUV</x:v>
      </x:c>
      <x:c r="I514" s="3" t="str"/>
      <x:c r="J514" s="3" t="n">
        <x:v>2020</x:v>
      </x:c>
      <x:c r="K514" s="3" t="str">
        <x:v>2.8 TRD SPORTIVO 4WD</x:v>
      </x:c>
      <x:c r="L514" s="3" t="str">
        <x:v>2.8 TRD SPORTIVO 4WD</x:v>
      </x:c>
      <x:c r="M514" s="22"/>
      <x:c r="N514" s="22"/>
      <x:c r="O514" s="22"/>
      <x:c r="P514" s="3" t="str">
        <x:v>未掲載</x:v>
      </x:c>
      <x:c r="Q514" s="3" t="str">
        <x:v>未取得</x:v>
      </x:c>
      <x:c r="R514" s="3" t="str">
        <x:v>Unknown</x:v>
      </x:c>
      <x:c r="S514" s="3" t="str">
        <x:v>不明</x:v>
      </x:c>
      <x:c r="T514" s="3" t="str">
        <x:v>15-ปัจจุบัน</x:v>
      </x:c>
      <x:c r="U514" s="28" t="n">
        <x:v>799000</x:v>
      </x:c>
      <x:c r="V514" s="28" t="n">
        <x:v>1749000</x:v>
      </x:c>
      <x:c r="W514" s="3" t="str">
        <x:v>事故・水没・SOH・保証残は未確認</x:v>
      </x:c>
      <x:c r="X514" s="3" t="str">
        <x:v>掲載中・在庫未確認</x:v>
      </x:c>
      <x:c r="Y514" s="3" t="str"/>
      <x:c r="Z514" s="27" t="str">
        <x:v>https://www.taladrod.com/w40/icar/cardet.aspx?cid=2917969</x:v>
      </x:c>
      <x:c r="AA514" s="3" t="str">
        <x:v>Taladrod個別広告ID／Carsome在庫ID</x:v>
      </x:c>
      <x:c r="AB514" s="3" t="str">
        <x:v>車台番号未取得／サイト間重複は未判定</x:v>
      </x:c>
      <x:c r="AC514" s="3" t="str">
        <x:v>税込区分未確認（一覧表示額）</x:v>
      </x:c>
      <x:c r="AD514" s="3" t="str"/>
      <x:c r="AE514" s="29" t="str">
        <x:f>""</x:f>
      </x:c>
      <x:c r="AF514" s="30" t="str">
        <x:f>IF(ISNUMBER(AE514),U514/AE514,"")</x:f>
      </x:c>
      <x:c r="AG514" s="29" t="str">
        <x:f>""</x:f>
      </x:c>
      <x:c r="AH514" s="30" t="str">
        <x:f>IF(ISNUMBER(AG514),U514/AG514,"")</x:f>
      </x:c>
      <x:c r="AI514" s="3" t="str">
        <x:v>同年式・グレードの検証済み当時価格なし／登録年混在</x:v>
      </x:c>
      <x:c r="AJ514" s="3" t="str">
        <x:v>一覧価格/年式のみ</x:v>
      </x:c>
      <x:c r="AK514" s="3" t="str">
        <x:v>一覧の表示価格。年式は掲載年式。</x:v>
      </x:c>
      <x:c r="AL514" s="31" t="n">
        <x:f>IF(AND(J514&lt;='分析方法'!$B$7,OR(ISBLANK(O514),O514&gt;='分析方法'!$B$8),X514&lt;&gt;"売却済み表示"),1,0)</x:f>
        <x:v>1</x:v>
      </x:c>
      <x:c r="AM514" s="32" t="n">
        <x:f>IF(AL514=1,U514,"")</x:f>
        <x:v>799000</x:v>
      </x:c>
      <x:c r="AN514" s="33" t="str">
        <x:f>IF(AL514=1,AF514,"")</x:f>
      </x:c>
      <x:c r="AO514" s="31" t="n">
        <x:f>'分析方法'!$B$6-J514</x:f>
        <x:v>6</x:v>
      </x:c>
      <x:c r="AP514" s="3"/>
    </x:row>
    <x:row r="515" ht="22" customHeight="1">
      <x:c r="A515" s="3" t="str">
        <x:v>T2896737</x:v>
      </x:c>
      <x:c r="B515" s="7" t="d">
        <x:v>2026-10-08T00:00:00.000Z</x:v>
      </x:c>
      <x:c r="C515" s="3" t="str">
        <x:v>Taladrod</x:v>
      </x:c>
      <x:c r="D515" s="3" t="str">
        <x:v>Toyota</x:v>
      </x:c>
      <x:c r="E515" s="3" t="str">
        <x:v>日本</x:v>
      </x:c>
      <x:c r="F515" s="3" t="str">
        <x:v>Fortuner</x:v>
      </x:c>
      <x:c r="G515" s="3" t="str">
        <x:v>ICE</x:v>
      </x:c>
      <x:c r="H515" s="3" t="str">
        <x:v>SUV</x:v>
      </x:c>
      <x:c r="I515" s="3" t="str"/>
      <x:c r="J515" s="3" t="n">
        <x:v>2020</x:v>
      </x:c>
      <x:c r="K515" s="3" t="str">
        <x:v>2.8 TRD SPORTIVO BLACK TOP 2WD</x:v>
      </x:c>
      <x:c r="L515" s="3" t="str">
        <x:v>2.8 TRD SPORTIVO BLACK TOP 2WD</x:v>
      </x:c>
      <x:c r="M515" s="22"/>
      <x:c r="N515" s="22"/>
      <x:c r="O515" s="22"/>
      <x:c r="P515" s="3" t="str">
        <x:v>未掲載</x:v>
      </x:c>
      <x:c r="Q515" s="3" t="str">
        <x:v>未取得</x:v>
      </x:c>
      <x:c r="R515" s="3" t="str">
        <x:v>Unknown</x:v>
      </x:c>
      <x:c r="S515" s="3" t="str">
        <x:v>不明</x:v>
      </x:c>
      <x:c r="T515" s="3" t="str">
        <x:v>15-ปัจจุบัน</x:v>
      </x:c>
      <x:c r="U515" s="28" t="n">
        <x:v>828000</x:v>
      </x:c>
      <x:c r="V515" s="28" t="n">
        <x:v>1699000</x:v>
      </x:c>
      <x:c r="W515" s="3" t="str">
        <x:v>事故・水没・SOH・保証残は未確認</x:v>
      </x:c>
      <x:c r="X515" s="3" t="str">
        <x:v>掲載中・在庫未確認</x:v>
      </x:c>
      <x:c r="Y515" s="3" t="str"/>
      <x:c r="Z515" s="27" t="str">
        <x:v>https://www.taladrod.com/w40/icar/cardet.aspx?cid=2896737</x:v>
      </x:c>
      <x:c r="AA515" s="3" t="str">
        <x:v>Taladrod個別広告ID／Carsome在庫ID</x:v>
      </x:c>
      <x:c r="AB515" s="3" t="str">
        <x:v>車台番号未取得／サイト間重複は未判定</x:v>
      </x:c>
      <x:c r="AC515" s="3" t="str">
        <x:v>税込区分未確認（一覧表示額）</x:v>
      </x:c>
      <x:c r="AD515" s="3" t="str"/>
      <x:c r="AE515" s="29" t="str">
        <x:f>""</x:f>
      </x:c>
      <x:c r="AF515" s="30" t="str">
        <x:f>IF(ISNUMBER(AE515),U515/AE515,"")</x:f>
      </x:c>
      <x:c r="AG515" s="29" t="str">
        <x:f>""</x:f>
      </x:c>
      <x:c r="AH515" s="30" t="str">
        <x:f>IF(ISNUMBER(AG515),U515/AG515,"")</x:f>
      </x:c>
      <x:c r="AI515" s="3" t="str">
        <x:v>同年式・グレードの検証済み当時価格なし／登録年混在</x:v>
      </x:c>
      <x:c r="AJ515" s="3" t="str">
        <x:v>一覧価格/年式のみ</x:v>
      </x:c>
      <x:c r="AK515" s="3" t="str">
        <x:v>一覧の表示価格。年式は掲載年式。</x:v>
      </x:c>
      <x:c r="AL515" s="31" t="n">
        <x:f>IF(AND(J515&lt;='分析方法'!$B$7,OR(ISBLANK(O515),O515&gt;='分析方法'!$B$8),X515&lt;&gt;"売却済み表示"),1,0)</x:f>
        <x:v>1</x:v>
      </x:c>
      <x:c r="AM515" s="32" t="n">
        <x:f>IF(AL515=1,U515,"")</x:f>
        <x:v>828000</x:v>
      </x:c>
      <x:c r="AN515" s="33" t="str">
        <x:f>IF(AL515=1,AF515,"")</x:f>
      </x:c>
      <x:c r="AO515" s="31" t="n">
        <x:f>'分析方法'!$B$6-J515</x:f>
        <x:v>6</x:v>
      </x:c>
      <x:c r="AP515" s="3"/>
    </x:row>
    <x:row r="516" ht="22" customHeight="1">
      <x:c r="A516" s="3" t="str">
        <x:v>T2916651</x:v>
      </x:c>
      <x:c r="B516" s="7" t="d">
        <x:v>2026-10-08T00:00:00.000Z</x:v>
      </x:c>
      <x:c r="C516" s="3" t="str">
        <x:v>Taladrod</x:v>
      </x:c>
      <x:c r="D516" s="3" t="str">
        <x:v>Toyota</x:v>
      </x:c>
      <x:c r="E516" s="3" t="str">
        <x:v>日本</x:v>
      </x:c>
      <x:c r="F516" s="3" t="str">
        <x:v>Fortuner</x:v>
      </x:c>
      <x:c r="G516" s="3" t="str">
        <x:v>ICE</x:v>
      </x:c>
      <x:c r="H516" s="3" t="str">
        <x:v>SUV</x:v>
      </x:c>
      <x:c r="I516" s="3" t="str"/>
      <x:c r="J516" s="3" t="n">
        <x:v>2020</x:v>
      </x:c>
      <x:c r="K516" s="3" t="str">
        <x:v>2.8 TRD SPORTIVO BLACK TOP 2WD</x:v>
      </x:c>
      <x:c r="L516" s="3" t="str">
        <x:v>2.8 TRD SPORTIVO BLACK TOP 2WD</x:v>
      </x:c>
      <x:c r="M516" s="22"/>
      <x:c r="N516" s="22"/>
      <x:c r="O516" s="22"/>
      <x:c r="P516" s="3" t="str">
        <x:v>未掲載</x:v>
      </x:c>
      <x:c r="Q516" s="3" t="str">
        <x:v>未取得</x:v>
      </x:c>
      <x:c r="R516" s="3" t="str">
        <x:v>Unknown</x:v>
      </x:c>
      <x:c r="S516" s="3" t="str">
        <x:v>不明</x:v>
      </x:c>
      <x:c r="T516" s="3" t="str">
        <x:v>15-ปัจจุบัน</x:v>
      </x:c>
      <x:c r="U516" s="28" t="n">
        <x:v>889000</x:v>
      </x:c>
      <x:c r="V516" s="28" t="n">
        <x:v>1699000</x:v>
      </x:c>
      <x:c r="W516" s="3" t="str">
        <x:v>事故・水没・SOH・保証残は未確認</x:v>
      </x:c>
      <x:c r="X516" s="3" t="str">
        <x:v>掲載中・在庫未確認</x:v>
      </x:c>
      <x:c r="Y516" s="3" t="str"/>
      <x:c r="Z516" s="27" t="str">
        <x:v>https://www.taladrod.com/w40/icar/cardet.aspx?cid=2916651</x:v>
      </x:c>
      <x:c r="AA516" s="3" t="str">
        <x:v>Taladrod個別広告ID／Carsome在庫ID</x:v>
      </x:c>
      <x:c r="AB516" s="3" t="str">
        <x:v>車台番号未取得／サイト間重複は未判定</x:v>
      </x:c>
      <x:c r="AC516" s="3" t="str">
        <x:v>税込区分未確認（一覧表示額）</x:v>
      </x:c>
      <x:c r="AD516" s="3" t="str"/>
      <x:c r="AE516" s="29" t="str">
        <x:f>""</x:f>
      </x:c>
      <x:c r="AF516" s="30" t="str">
        <x:f>IF(ISNUMBER(AE516),U516/AE516,"")</x:f>
      </x:c>
      <x:c r="AG516" s="29" t="str">
        <x:f>""</x:f>
      </x:c>
      <x:c r="AH516" s="30" t="str">
        <x:f>IF(ISNUMBER(AG516),U516/AG516,"")</x:f>
      </x:c>
      <x:c r="AI516" s="3" t="str">
        <x:v>同年式・グレードの検証済み当時価格なし／登録年混在</x:v>
      </x:c>
      <x:c r="AJ516" s="3" t="str">
        <x:v>一覧価格/年式のみ</x:v>
      </x:c>
      <x:c r="AK516" s="3" t="str">
        <x:v>一覧の表示価格。年式は掲載年式。</x:v>
      </x:c>
      <x:c r="AL516" s="31" t="n">
        <x:f>IF(AND(J516&lt;='分析方法'!$B$7,OR(ISBLANK(O516),O516&gt;='分析方法'!$B$8),X516&lt;&gt;"売却済み表示"),1,0)</x:f>
        <x:v>1</x:v>
      </x:c>
      <x:c r="AM516" s="32" t="n">
        <x:f>IF(AL516=1,U516,"")</x:f>
        <x:v>889000</x:v>
      </x:c>
      <x:c r="AN516" s="33" t="str">
        <x:f>IF(AL516=1,AF516,"")</x:f>
      </x:c>
      <x:c r="AO516" s="31" t="n">
        <x:f>'分析方法'!$B$6-J516</x:f>
        <x:v>6</x:v>
      </x:c>
      <x:c r="AP516" s="3"/>
    </x:row>
    <x:row r="517" ht="22" customHeight="1">
      <x:c r="A517" s="3" t="str">
        <x:v>T2917188</x:v>
      </x:c>
      <x:c r="B517" s="7" t="d">
        <x:v>2026-10-08T00:00:00.000Z</x:v>
      </x:c>
      <x:c r="C517" s="3" t="str">
        <x:v>Taladrod</x:v>
      </x:c>
      <x:c r="D517" s="3" t="str">
        <x:v>Toyota</x:v>
      </x:c>
      <x:c r="E517" s="3" t="str">
        <x:v>日本</x:v>
      </x:c>
      <x:c r="F517" s="3" t="str">
        <x:v>Fortuner</x:v>
      </x:c>
      <x:c r="G517" s="3" t="str">
        <x:v>ICE</x:v>
      </x:c>
      <x:c r="H517" s="3" t="str">
        <x:v>SUV</x:v>
      </x:c>
      <x:c r="I517" s="3" t="str"/>
      <x:c r="J517" s="3" t="n">
        <x:v>2020</x:v>
      </x:c>
      <x:c r="K517" s="3" t="str">
        <x:v>2.8 TRD SPORTIVO BLACK TOP 2WD</x:v>
      </x:c>
      <x:c r="L517" s="3" t="str">
        <x:v>2.8 TRD SPORTIVO BLACK TOP 2WD</x:v>
      </x:c>
      <x:c r="M517" s="22"/>
      <x:c r="N517" s="22"/>
      <x:c r="O517" s="22"/>
      <x:c r="P517" s="3" t="str">
        <x:v>未掲載</x:v>
      </x:c>
      <x:c r="Q517" s="3" t="str">
        <x:v>未取得</x:v>
      </x:c>
      <x:c r="R517" s="3" t="str">
        <x:v>Unknown</x:v>
      </x:c>
      <x:c r="S517" s="3" t="str">
        <x:v>不明</x:v>
      </x:c>
      <x:c r="T517" s="3" t="str">
        <x:v>15-ปัจจุบัน</x:v>
      </x:c>
      <x:c r="U517" s="28" t="n">
        <x:v>899000</x:v>
      </x:c>
      <x:c r="V517" s="28" t="n">
        <x:v>1699000</x:v>
      </x:c>
      <x:c r="W517" s="3" t="str">
        <x:v>事故・水没・SOH・保証残は未確認</x:v>
      </x:c>
      <x:c r="X517" s="3" t="str">
        <x:v>掲載中・在庫未確認</x:v>
      </x:c>
      <x:c r="Y517" s="3" t="str"/>
      <x:c r="Z517" s="27" t="str">
        <x:v>https://www.taladrod.com/w40/icar/cardet.aspx?cid=2917188</x:v>
      </x:c>
      <x:c r="AA517" s="3" t="str">
        <x:v>Taladrod個別広告ID／Carsome在庫ID</x:v>
      </x:c>
      <x:c r="AB517" s="3" t="str">
        <x:v>車台番号未取得／サイト間重複は未判定</x:v>
      </x:c>
      <x:c r="AC517" s="3" t="str">
        <x:v>税込区分未確認（一覧表示額）</x:v>
      </x:c>
      <x:c r="AD517" s="3" t="str"/>
      <x:c r="AE517" s="29" t="str">
        <x:f>""</x:f>
      </x:c>
      <x:c r="AF517" s="30" t="str">
        <x:f>IF(ISNUMBER(AE517),U517/AE517,"")</x:f>
      </x:c>
      <x:c r="AG517" s="29" t="str">
        <x:f>""</x:f>
      </x:c>
      <x:c r="AH517" s="30" t="str">
        <x:f>IF(ISNUMBER(AG517),U517/AG517,"")</x:f>
      </x:c>
      <x:c r="AI517" s="3" t="str">
        <x:v>同年式・グレードの検証済み当時価格なし／登録年混在</x:v>
      </x:c>
      <x:c r="AJ517" s="3" t="str">
        <x:v>一覧価格/年式のみ</x:v>
      </x:c>
      <x:c r="AK517" s="3" t="str">
        <x:v>一覧の表示価格。年式は掲載年式。</x:v>
      </x:c>
      <x:c r="AL517" s="31" t="n">
        <x:f>IF(AND(J517&lt;='分析方法'!$B$7,OR(ISBLANK(O517),O517&gt;='分析方法'!$B$8),X517&lt;&gt;"売却済み表示"),1,0)</x:f>
        <x:v>1</x:v>
      </x:c>
      <x:c r="AM517" s="32" t="n">
        <x:f>IF(AL517=1,U517,"")</x:f>
        <x:v>899000</x:v>
      </x:c>
      <x:c r="AN517" s="33" t="str">
        <x:f>IF(AL517=1,AF517,"")</x:f>
      </x:c>
      <x:c r="AO517" s="31" t="n">
        <x:f>'分析方法'!$B$6-J517</x:f>
        <x:v>6</x:v>
      </x:c>
      <x:c r="AP517" s="3"/>
    </x:row>
    <x:row r="518" ht="22" customHeight="1">
      <x:c r="A518" s="3" t="str">
        <x:v>T2922233</x:v>
      </x:c>
      <x:c r="B518" s="7" t="d">
        <x:v>2026-10-08T00:00:00.000Z</x:v>
      </x:c>
      <x:c r="C518" s="3" t="str">
        <x:v>Taladrod</x:v>
      </x:c>
      <x:c r="D518" s="3" t="str">
        <x:v>Toyota</x:v>
      </x:c>
      <x:c r="E518" s="3" t="str">
        <x:v>日本</x:v>
      </x:c>
      <x:c r="F518" s="3" t="str">
        <x:v>Fortuner</x:v>
      </x:c>
      <x:c r="G518" s="3" t="str">
        <x:v>ICE</x:v>
      </x:c>
      <x:c r="H518" s="3" t="str">
        <x:v>SUV</x:v>
      </x:c>
      <x:c r="I518" s="3" t="str"/>
      <x:c r="J518" s="3" t="n">
        <x:v>2020</x:v>
      </x:c>
      <x:c r="K518" s="3" t="str">
        <x:v>2.8 TRD SPORTIVO BLACK TOP 4WD</x:v>
      </x:c>
      <x:c r="L518" s="3" t="str">
        <x:v>2.8 TRD SPORTIVO BLACK TOP 4WD</x:v>
      </x:c>
      <x:c r="M518" s="22"/>
      <x:c r="N518" s="22"/>
      <x:c r="O518" s="22"/>
      <x:c r="P518" s="3" t="str">
        <x:v>未掲載</x:v>
      </x:c>
      <x:c r="Q518" s="3" t="str">
        <x:v>未取得</x:v>
      </x:c>
      <x:c r="R518" s="3" t="str">
        <x:v>Unknown</x:v>
      </x:c>
      <x:c r="S518" s="3" t="str">
        <x:v>不明</x:v>
      </x:c>
      <x:c r="T518" s="3" t="str">
        <x:v>15-ปัจจุบัน</x:v>
      </x:c>
      <x:c r="U518" s="28" t="n">
        <x:v>899000</x:v>
      </x:c>
      <x:c r="V518" s="28" t="n">
        <x:v>1769000</x:v>
      </x:c>
      <x:c r="W518" s="3" t="str">
        <x:v>事故・水没・SOH・保証残は未確認</x:v>
      </x:c>
      <x:c r="X518" s="3" t="str">
        <x:v>掲載中・在庫未確認</x:v>
      </x:c>
      <x:c r="Y518" s="3" t="str"/>
      <x:c r="Z518" s="27" t="str">
        <x:v>https://www.taladrod.com/w40/icar/cardet.aspx?cid=2922233</x:v>
      </x:c>
      <x:c r="AA518" s="3" t="str">
        <x:v>Taladrod個別広告ID／Carsome在庫ID</x:v>
      </x:c>
      <x:c r="AB518" s="3" t="str">
        <x:v>車台番号未取得／サイト間重複は未判定</x:v>
      </x:c>
      <x:c r="AC518" s="3" t="str">
        <x:v>税込区分未確認（一覧表示額）</x:v>
      </x:c>
      <x:c r="AD518" s="3" t="str"/>
      <x:c r="AE518" s="29" t="str">
        <x:f>""</x:f>
      </x:c>
      <x:c r="AF518" s="30" t="str">
        <x:f>IF(ISNUMBER(AE518),U518/AE518,"")</x:f>
      </x:c>
      <x:c r="AG518" s="29" t="str">
        <x:f>""</x:f>
      </x:c>
      <x:c r="AH518" s="30" t="str">
        <x:f>IF(ISNUMBER(AG518),U518/AG518,"")</x:f>
      </x:c>
      <x:c r="AI518" s="3" t="str">
        <x:v>同年式・グレードの検証済み当時価格なし／登録年混在</x:v>
      </x:c>
      <x:c r="AJ518" s="3" t="str">
        <x:v>一覧価格/年式のみ</x:v>
      </x:c>
      <x:c r="AK518" s="3" t="str">
        <x:v>一覧の表示価格。年式は掲載年式。</x:v>
      </x:c>
      <x:c r="AL518" s="31" t="n">
        <x:f>IF(AND(J518&lt;='分析方法'!$B$7,OR(ISBLANK(O518),O518&gt;='分析方法'!$B$8),X518&lt;&gt;"売却済み表示"),1,0)</x:f>
        <x:v>1</x:v>
      </x:c>
      <x:c r="AM518" s="32" t="n">
        <x:f>IF(AL518=1,U518,"")</x:f>
        <x:v>899000</x:v>
      </x:c>
      <x:c r="AN518" s="33" t="str">
        <x:f>IF(AL518=1,AF518,"")</x:f>
      </x:c>
      <x:c r="AO518" s="31" t="n">
        <x:f>'分析方法'!$B$6-J518</x:f>
        <x:v>6</x:v>
      </x:c>
      <x:c r="AP518" s="3"/>
    </x:row>
    <x:row r="519" ht="22" customHeight="1">
      <x:c r="A519" s="3" t="str">
        <x:v>T2923761</x:v>
      </x:c>
      <x:c r="B519" s="7" t="d">
        <x:v>2026-10-08T00:00:00.000Z</x:v>
      </x:c>
      <x:c r="C519" s="3" t="str">
        <x:v>Taladrod</x:v>
      </x:c>
      <x:c r="D519" s="3" t="str">
        <x:v>Toyota</x:v>
      </x:c>
      <x:c r="E519" s="3" t="str">
        <x:v>日本</x:v>
      </x:c>
      <x:c r="F519" s="3" t="str">
        <x:v>Fortuner</x:v>
      </x:c>
      <x:c r="G519" s="3" t="str">
        <x:v>ICE</x:v>
      </x:c>
      <x:c r="H519" s="3" t="str">
        <x:v>SUV</x:v>
      </x:c>
      <x:c r="I519" s="3" t="str"/>
      <x:c r="J519" s="3" t="n">
        <x:v>2020</x:v>
      </x:c>
      <x:c r="K519" s="3" t="str">
        <x:v>2.8 TRD SPORTIVO BLACK TOP 4WD</x:v>
      </x:c>
      <x:c r="L519" s="3" t="str">
        <x:v>2.8 TRD SPORTIVO BLACK TOP 4WD</x:v>
      </x:c>
      <x:c r="M519" s="22"/>
      <x:c r="N519" s="22"/>
      <x:c r="O519" s="22"/>
      <x:c r="P519" s="3" t="str">
        <x:v>未掲載</x:v>
      </x:c>
      <x:c r="Q519" s="3" t="str">
        <x:v>未取得</x:v>
      </x:c>
      <x:c r="R519" s="3" t="str">
        <x:v>Unknown</x:v>
      </x:c>
      <x:c r="S519" s="3" t="str">
        <x:v>不明</x:v>
      </x:c>
      <x:c r="T519" s="3" t="str">
        <x:v>15-ปัจจุบัน</x:v>
      </x:c>
      <x:c r="U519" s="28" t="n">
        <x:v>899000</x:v>
      </x:c>
      <x:c r="V519" s="28" t="n">
        <x:v>1769000</x:v>
      </x:c>
      <x:c r="W519" s="3" t="str">
        <x:v>事故・水没・SOH・保証残は未確認</x:v>
      </x:c>
      <x:c r="X519" s="3" t="str">
        <x:v>掲載中・在庫未確認</x:v>
      </x:c>
      <x:c r="Y519" s="3" t="str"/>
      <x:c r="Z519" s="27" t="str">
        <x:v>https://www.taladrod.com/w40/icar/cardet.aspx?cid=2923761</x:v>
      </x:c>
      <x:c r="AA519" s="3" t="str">
        <x:v>Taladrod個別広告ID／Carsome在庫ID</x:v>
      </x:c>
      <x:c r="AB519" s="3" t="str">
        <x:v>車台番号未取得／サイト間重複は未判定</x:v>
      </x:c>
      <x:c r="AC519" s="3" t="str">
        <x:v>税込区分未確認（一覧表示額）</x:v>
      </x:c>
      <x:c r="AD519" s="3" t="str"/>
      <x:c r="AE519" s="29" t="str">
        <x:f>""</x:f>
      </x:c>
      <x:c r="AF519" s="30" t="str">
        <x:f>IF(ISNUMBER(AE519),U519/AE519,"")</x:f>
      </x:c>
      <x:c r="AG519" s="29" t="str">
        <x:f>""</x:f>
      </x:c>
      <x:c r="AH519" s="30" t="str">
        <x:f>IF(ISNUMBER(AG519),U519/AG519,"")</x:f>
      </x:c>
      <x:c r="AI519" s="3" t="str">
        <x:v>同年式・グレードの検証済み当時価格なし／登録年混在</x:v>
      </x:c>
      <x:c r="AJ519" s="3" t="str">
        <x:v>一覧価格/年式のみ</x:v>
      </x:c>
      <x:c r="AK519" s="3" t="str">
        <x:v>一覧の表示価格。年式は掲載年式。</x:v>
      </x:c>
      <x:c r="AL519" s="31" t="n">
        <x:f>IF(AND(J519&lt;='分析方法'!$B$7,OR(ISBLANK(O519),O519&gt;='分析方法'!$B$8),X519&lt;&gt;"売却済み表示"),1,0)</x:f>
        <x:v>1</x:v>
      </x:c>
      <x:c r="AM519" s="32" t="n">
        <x:f>IF(AL519=1,U519,"")</x:f>
        <x:v>899000</x:v>
      </x:c>
      <x:c r="AN519" s="33" t="str">
        <x:f>IF(AL519=1,AF519,"")</x:f>
      </x:c>
      <x:c r="AO519" s="31" t="n">
        <x:f>'分析方法'!$B$6-J519</x:f>
        <x:v>6</x:v>
      </x:c>
      <x:c r="AP519" s="3"/>
    </x:row>
    <x:row r="520" ht="22" customHeight="1">
      <x:c r="A520" s="3" t="str">
        <x:v>T2917985</x:v>
      </x:c>
      <x:c r="B520" s="7" t="d">
        <x:v>2026-10-08T00:00:00.000Z</x:v>
      </x:c>
      <x:c r="C520" s="3" t="str">
        <x:v>Taladrod</x:v>
      </x:c>
      <x:c r="D520" s="3" t="str">
        <x:v>Toyota</x:v>
      </x:c>
      <x:c r="E520" s="3" t="str">
        <x:v>日本</x:v>
      </x:c>
      <x:c r="F520" s="3" t="str">
        <x:v>Fortuner</x:v>
      </x:c>
      <x:c r="G520" s="3" t="str">
        <x:v>ICE</x:v>
      </x:c>
      <x:c r="H520" s="3" t="str">
        <x:v>SUV</x:v>
      </x:c>
      <x:c r="I520" s="3" t="str"/>
      <x:c r="J520" s="3" t="n">
        <x:v>2020</x:v>
      </x:c>
      <x:c r="K520" s="3" t="str">
        <x:v>2.8 V 2WD</x:v>
      </x:c>
      <x:c r="L520" s="3" t="str">
        <x:v>2.8 V 2WD</x:v>
      </x:c>
      <x:c r="M520" s="22"/>
      <x:c r="N520" s="22"/>
      <x:c r="O520" s="22"/>
      <x:c r="P520" s="3" t="str">
        <x:v>未掲載</x:v>
      </x:c>
      <x:c r="Q520" s="3" t="str">
        <x:v>未取得</x:v>
      </x:c>
      <x:c r="R520" s="3" t="str">
        <x:v>Unknown</x:v>
      </x:c>
      <x:c r="S520" s="3" t="str">
        <x:v>不明</x:v>
      </x:c>
      <x:c r="T520" s="3" t="str">
        <x:v>15-ปัจจุบัน</x:v>
      </x:c>
      <x:c r="U520" s="28" t="n">
        <x:v>829000</x:v>
      </x:c>
      <x:c r="V520" s="28" t="n">
        <x:v>1529000</x:v>
      </x:c>
      <x:c r="W520" s="3" t="str">
        <x:v>事故・水没・SOH・保証残は未確認</x:v>
      </x:c>
      <x:c r="X520" s="3" t="str">
        <x:v>掲載中・在庫未確認</x:v>
      </x:c>
      <x:c r="Y520" s="3" t="str"/>
      <x:c r="Z520" s="27" t="str">
        <x:v>https://www.taladrod.com/w40/icar/cardet.aspx?cid=2917985</x:v>
      </x:c>
      <x:c r="AA520" s="3" t="str">
        <x:v>Taladrod個別広告ID／Carsome在庫ID</x:v>
      </x:c>
      <x:c r="AB520" s="3" t="str">
        <x:v>車台番号未取得／サイト間重複は未判定</x:v>
      </x:c>
      <x:c r="AC520" s="3" t="str">
        <x:v>税込区分未確認（一覧表示額）</x:v>
      </x:c>
      <x:c r="AD520" s="3" t="str"/>
      <x:c r="AE520" s="29" t="str">
        <x:f>""</x:f>
      </x:c>
      <x:c r="AF520" s="30" t="str">
        <x:f>IF(ISNUMBER(AE520),U520/AE520,"")</x:f>
      </x:c>
      <x:c r="AG520" s="29" t="str">
        <x:f>""</x:f>
      </x:c>
      <x:c r="AH520" s="30" t="str">
        <x:f>IF(ISNUMBER(AG520),U520/AG520,"")</x:f>
      </x:c>
      <x:c r="AI520" s="3" t="str">
        <x:v>同年式・グレードの検証済み当時価格なし／登録年混在</x:v>
      </x:c>
      <x:c r="AJ520" s="3" t="str">
        <x:v>一覧価格/年式のみ</x:v>
      </x:c>
      <x:c r="AK520" s="3" t="str">
        <x:v>一覧の表示価格。年式は掲載年式。</x:v>
      </x:c>
      <x:c r="AL520" s="31" t="n">
        <x:f>IF(AND(J520&lt;='分析方法'!$B$7,OR(ISBLANK(O520),O520&gt;='分析方法'!$B$8),X520&lt;&gt;"売却済み表示"),1,0)</x:f>
        <x:v>1</x:v>
      </x:c>
      <x:c r="AM520" s="32" t="n">
        <x:f>IF(AL520=1,U520,"")</x:f>
        <x:v>829000</x:v>
      </x:c>
      <x:c r="AN520" s="33" t="str">
        <x:f>IF(AL520=1,AF520,"")</x:f>
      </x:c>
      <x:c r="AO520" s="31" t="n">
        <x:f>'分析方法'!$B$6-J520</x:f>
        <x:v>6</x:v>
      </x:c>
      <x:c r="AP520" s="3"/>
    </x:row>
    <x:row r="521" ht="22" customHeight="1">
      <x:c r="A521" s="3" t="str">
        <x:v>T2918534</x:v>
      </x:c>
      <x:c r="B521" s="7" t="d">
        <x:v>2026-10-08T00:00:00.000Z</x:v>
      </x:c>
      <x:c r="C521" s="3" t="str">
        <x:v>Taladrod</x:v>
      </x:c>
      <x:c r="D521" s="3" t="str">
        <x:v>Toyota</x:v>
      </x:c>
      <x:c r="E521" s="3" t="str">
        <x:v>日本</x:v>
      </x:c>
      <x:c r="F521" s="3" t="str">
        <x:v>Fortuner</x:v>
      </x:c>
      <x:c r="G521" s="3" t="str">
        <x:v>ICE</x:v>
      </x:c>
      <x:c r="H521" s="3" t="str">
        <x:v>SUV</x:v>
      </x:c>
      <x:c r="I521" s="3" t="str"/>
      <x:c r="J521" s="3" t="n">
        <x:v>2021</x:v>
      </x:c>
      <x:c r="K521" s="3" t="str">
        <x:v>2.4 COMMANDER</x:v>
      </x:c>
      <x:c r="L521" s="3" t="str">
        <x:v>2.4 COMMANDER</x:v>
      </x:c>
      <x:c r="M521" s="22"/>
      <x:c r="N521" s="22"/>
      <x:c r="O521" s="22"/>
      <x:c r="P521" s="3" t="str">
        <x:v>未掲載</x:v>
      </x:c>
      <x:c r="Q521" s="3" t="str">
        <x:v>未取得</x:v>
      </x:c>
      <x:c r="R521" s="3" t="str">
        <x:v>Unknown</x:v>
      </x:c>
      <x:c r="S521" s="3" t="str">
        <x:v>不明</x:v>
      </x:c>
      <x:c r="T521" s="3" t="str">
        <x:v>15-ปัจจุบัน</x:v>
      </x:c>
      <x:c r="U521" s="28" t="n">
        <x:v>759000</x:v>
      </x:c>
      <x:c r="V521" s="28" t="n">
        <x:v>1505000</x:v>
      </x:c>
      <x:c r="W521" s="3" t="str">
        <x:v>事故・水没・SOH・保証残は未確認</x:v>
      </x:c>
      <x:c r="X521" s="3" t="str">
        <x:v>掲載中・在庫未確認</x:v>
      </x:c>
      <x:c r="Y521" s="3" t="str"/>
      <x:c r="Z521" s="27" t="str">
        <x:v>https://www.taladrod.com/w40/icar/cardet.aspx?cid=2918534</x:v>
      </x:c>
      <x:c r="AA521" s="3" t="str">
        <x:v>Taladrod個別広告ID／Carsome在庫ID</x:v>
      </x:c>
      <x:c r="AB521" s="3" t="str">
        <x:v>車台番号未取得／サイト間重複は未判定</x:v>
      </x:c>
      <x:c r="AC521" s="3" t="str">
        <x:v>税込区分未確認（一覧表示額）</x:v>
      </x:c>
      <x:c r="AD521" s="3" t="str"/>
      <x:c r="AE521" s="29" t="str">
        <x:f>""</x:f>
      </x:c>
      <x:c r="AF521" s="30" t="str">
        <x:f>IF(ISNUMBER(AE521),U521/AE521,"")</x:f>
      </x:c>
      <x:c r="AG521" s="29" t="str">
        <x:f>""</x:f>
      </x:c>
      <x:c r="AH521" s="30" t="str">
        <x:f>IF(ISNUMBER(AG521),U521/AG521,"")</x:f>
      </x:c>
      <x:c r="AI521" s="3" t="str">
        <x:v>同年式・グレードの検証済み当時価格なし／登録年混在</x:v>
      </x:c>
      <x:c r="AJ521" s="3" t="str">
        <x:v>一覧価格/年式のみ</x:v>
      </x:c>
      <x:c r="AK521" s="3" t="str">
        <x:v>一覧の表示価格。年式は掲載年式。</x:v>
      </x:c>
      <x:c r="AL521" s="31" t="n">
        <x:f>IF(AND(J521&lt;='分析方法'!$B$7,OR(ISBLANK(O521),O521&gt;='分析方法'!$B$8),X521&lt;&gt;"売却済み表示"),1,0)</x:f>
        <x:v>1</x:v>
      </x:c>
      <x:c r="AM521" s="32" t="n">
        <x:f>IF(AL521=1,U521,"")</x:f>
        <x:v>759000</x:v>
      </x:c>
      <x:c r="AN521" s="33" t="str">
        <x:f>IF(AL521=1,AF521,"")</x:f>
      </x:c>
      <x:c r="AO521" s="31" t="n">
        <x:f>'分析方法'!$B$6-J521</x:f>
        <x:v>5</x:v>
      </x:c>
      <x:c r="AP521" s="3"/>
    </x:row>
    <x:row r="522" ht="22" customHeight="1">
      <x:c r="A522" s="3" t="str">
        <x:v>T2891624</x:v>
      </x:c>
      <x:c r="B522" s="7" t="d">
        <x:v>2026-10-08T00:00:00.000Z</x:v>
      </x:c>
      <x:c r="C522" s="3" t="str">
        <x:v>Taladrod</x:v>
      </x:c>
      <x:c r="D522" s="3" t="str">
        <x:v>Toyota</x:v>
      </x:c>
      <x:c r="E522" s="3" t="str">
        <x:v>日本</x:v>
      </x:c>
      <x:c r="F522" s="3" t="str">
        <x:v>Fortuner</x:v>
      </x:c>
      <x:c r="G522" s="3" t="str">
        <x:v>ICE</x:v>
      </x:c>
      <x:c r="H522" s="3" t="str">
        <x:v>SUV</x:v>
      </x:c>
      <x:c r="I522" s="3" t="str"/>
      <x:c r="J522" s="3" t="n">
        <x:v>2021</x:v>
      </x:c>
      <x:c r="K522" s="3" t="str">
        <x:v>2.4 G</x:v>
      </x:c>
      <x:c r="L522" s="3" t="str">
        <x:v>2.4 G</x:v>
      </x:c>
      <x:c r="M522" s="22"/>
      <x:c r="N522" s="22"/>
      <x:c r="O522" s="22"/>
      <x:c r="P522" s="3" t="str">
        <x:v>未掲載</x:v>
      </x:c>
      <x:c r="Q522" s="3" t="str">
        <x:v>未取得</x:v>
      </x:c>
      <x:c r="R522" s="3" t="str">
        <x:v>Unknown</x:v>
      </x:c>
      <x:c r="S522" s="3" t="str">
        <x:v>不明</x:v>
      </x:c>
      <x:c r="T522" s="3" t="str">
        <x:v>15-ปัจจุบัน</x:v>
      </x:c>
      <x:c r="U522" s="28" t="n">
        <x:v>899000</x:v>
      </x:c>
      <x:c r="V522" s="28" t="n">
        <x:v>1349000</x:v>
      </x:c>
      <x:c r="W522" s="3" t="str">
        <x:v>事故・水没・SOH・保証残は未確認</x:v>
      </x:c>
      <x:c r="X522" s="3" t="str">
        <x:v>掲載中・在庫未確認</x:v>
      </x:c>
      <x:c r="Y522" s="3" t="str"/>
      <x:c r="Z522" s="27" t="str">
        <x:v>https://www.taladrod.com/w40/icar/cardet.aspx?cid=2891624</x:v>
      </x:c>
      <x:c r="AA522" s="3" t="str">
        <x:v>Taladrod個別広告ID／Carsome在庫ID</x:v>
      </x:c>
      <x:c r="AB522" s="3" t="str">
        <x:v>車台番号未取得／サイト間重複は未判定</x:v>
      </x:c>
      <x:c r="AC522" s="3" t="str">
        <x:v>税込区分未確認（一覧表示額）</x:v>
      </x:c>
      <x:c r="AD522" s="3" t="str"/>
      <x:c r="AE522" s="29" t="str">
        <x:f>""</x:f>
      </x:c>
      <x:c r="AF522" s="30" t="str">
        <x:f>IF(ISNUMBER(AE522),U522/AE522,"")</x:f>
      </x:c>
      <x:c r="AG522" s="29" t="str">
        <x:f>""</x:f>
      </x:c>
      <x:c r="AH522" s="30" t="str">
        <x:f>IF(ISNUMBER(AG522),U522/AG522,"")</x:f>
      </x:c>
      <x:c r="AI522" s="3" t="str">
        <x:v>同年式・グレードの検証済み当時価格なし／登録年混在</x:v>
      </x:c>
      <x:c r="AJ522" s="3" t="str">
        <x:v>一覧価格/年式のみ</x:v>
      </x:c>
      <x:c r="AK522" s="3" t="str">
        <x:v>一覧の表示価格。年式は掲載年式。</x:v>
      </x:c>
      <x:c r="AL522" s="31" t="n">
        <x:f>IF(AND(J522&lt;='分析方法'!$B$7,OR(ISBLANK(O522),O522&gt;='分析方法'!$B$8),X522&lt;&gt;"売却済み表示"),1,0)</x:f>
        <x:v>1</x:v>
      </x:c>
      <x:c r="AM522" s="32" t="n">
        <x:f>IF(AL522=1,U522,"")</x:f>
        <x:v>899000</x:v>
      </x:c>
      <x:c r="AN522" s="33" t="str">
        <x:f>IF(AL522=1,AF522,"")</x:f>
      </x:c>
      <x:c r="AO522" s="31" t="n">
        <x:f>'分析方法'!$B$6-J522</x:f>
        <x:v>5</x:v>
      </x:c>
      <x:c r="AP522" s="3"/>
    </x:row>
    <x:row r="523" ht="22" customHeight="1">
      <x:c r="A523" s="3" t="str">
        <x:v>T2895732</x:v>
      </x:c>
      <x:c r="B523" s="7" t="d">
        <x:v>2026-10-08T00:00:00.000Z</x:v>
      </x:c>
      <x:c r="C523" s="3" t="str">
        <x:v>Taladrod</x:v>
      </x:c>
      <x:c r="D523" s="3" t="str">
        <x:v>Toyota</x:v>
      </x:c>
      <x:c r="E523" s="3" t="str">
        <x:v>日本</x:v>
      </x:c>
      <x:c r="F523" s="3" t="str">
        <x:v>Fortuner</x:v>
      </x:c>
      <x:c r="G523" s="3" t="str">
        <x:v>ICE</x:v>
      </x:c>
      <x:c r="H523" s="3" t="str">
        <x:v>SUV</x:v>
      </x:c>
      <x:c r="I523" s="3" t="str"/>
      <x:c r="J523" s="3" t="n">
        <x:v>2021</x:v>
      </x:c>
      <x:c r="K523" s="3" t="str">
        <x:v>2.4 G</x:v>
      </x:c>
      <x:c r="L523" s="3" t="str">
        <x:v>2.4 G</x:v>
      </x:c>
      <x:c r="M523" s="22"/>
      <x:c r="N523" s="22"/>
      <x:c r="O523" s="22"/>
      <x:c r="P523" s="3" t="str">
        <x:v>未掲載</x:v>
      </x:c>
      <x:c r="Q523" s="3" t="str">
        <x:v>未取得</x:v>
      </x:c>
      <x:c r="R523" s="3" t="str">
        <x:v>Unknown</x:v>
      </x:c>
      <x:c r="S523" s="3" t="str">
        <x:v>不明</x:v>
      </x:c>
      <x:c r="T523" s="3" t="str">
        <x:v>15-ปัจจุบัน</x:v>
      </x:c>
      <x:c r="U523" s="28" t="n">
        <x:v>919000</x:v>
      </x:c>
      <x:c r="V523" s="28" t="n">
        <x:v>1349000</x:v>
      </x:c>
      <x:c r="W523" s="3" t="str">
        <x:v>事故・水没・SOH・保証残は未確認</x:v>
      </x:c>
      <x:c r="X523" s="3" t="str">
        <x:v>掲載中・在庫未確認</x:v>
      </x:c>
      <x:c r="Y523" s="3" t="str"/>
      <x:c r="Z523" s="27" t="str">
        <x:v>https://www.taladrod.com/w40/icar/cardet.aspx?cid=2895732</x:v>
      </x:c>
      <x:c r="AA523" s="3" t="str">
        <x:v>Taladrod個別広告ID／Carsome在庫ID</x:v>
      </x:c>
      <x:c r="AB523" s="3" t="str">
        <x:v>車台番号未取得／サイト間重複は未判定</x:v>
      </x:c>
      <x:c r="AC523" s="3" t="str">
        <x:v>税込区分未確認（一覧表示額）</x:v>
      </x:c>
      <x:c r="AD523" s="3" t="str"/>
      <x:c r="AE523" s="29" t="str">
        <x:f>""</x:f>
      </x:c>
      <x:c r="AF523" s="30" t="str">
        <x:f>IF(ISNUMBER(AE523),U523/AE523,"")</x:f>
      </x:c>
      <x:c r="AG523" s="29" t="str">
        <x:f>""</x:f>
      </x:c>
      <x:c r="AH523" s="30" t="str">
        <x:f>IF(ISNUMBER(AG523),U523/AG523,"")</x:f>
      </x:c>
      <x:c r="AI523" s="3" t="str">
        <x:v>同年式・グレードの検証済み当時価格なし／登録年混在</x:v>
      </x:c>
      <x:c r="AJ523" s="3" t="str">
        <x:v>一覧価格/年式のみ</x:v>
      </x:c>
      <x:c r="AK523" s="3" t="str">
        <x:v>一覧の表示価格。年式は掲載年式。</x:v>
      </x:c>
      <x:c r="AL523" s="31" t="n">
        <x:f>IF(AND(J523&lt;='分析方法'!$B$7,OR(ISBLANK(O523),O523&gt;='分析方法'!$B$8),X523&lt;&gt;"売却済み表示"),1,0)</x:f>
        <x:v>1</x:v>
      </x:c>
      <x:c r="AM523" s="32" t="n">
        <x:f>IF(AL523=1,U523,"")</x:f>
        <x:v>919000</x:v>
      </x:c>
      <x:c r="AN523" s="33" t="str">
        <x:f>IF(AL523=1,AF523,"")</x:f>
      </x:c>
      <x:c r="AO523" s="31" t="n">
        <x:f>'分析方法'!$B$6-J523</x:f>
        <x:v>5</x:v>
      </x:c>
      <x:c r="AP523" s="3"/>
    </x:row>
    <x:row r="524" ht="22" customHeight="1">
      <x:c r="A524" s="3" t="str">
        <x:v>T2911949</x:v>
      </x:c>
      <x:c r="B524" s="7" t="d">
        <x:v>2026-10-08T00:00:00.000Z</x:v>
      </x:c>
      <x:c r="C524" s="3" t="str">
        <x:v>Taladrod</x:v>
      </x:c>
      <x:c r="D524" s="3" t="str">
        <x:v>Toyota</x:v>
      </x:c>
      <x:c r="E524" s="3" t="str">
        <x:v>日本</x:v>
      </x:c>
      <x:c r="F524" s="3" t="str">
        <x:v>Fortuner</x:v>
      </x:c>
      <x:c r="G524" s="3" t="str">
        <x:v>ICE</x:v>
      </x:c>
      <x:c r="H524" s="3" t="str">
        <x:v>SUV</x:v>
      </x:c>
      <x:c r="I524" s="3" t="str"/>
      <x:c r="J524" s="3" t="n">
        <x:v>2021</x:v>
      </x:c>
      <x:c r="K524" s="3" t="str">
        <x:v>2.4 G</x:v>
      </x:c>
      <x:c r="L524" s="3" t="str">
        <x:v>2.4 G</x:v>
      </x:c>
      <x:c r="M524" s="22"/>
      <x:c r="N524" s="22"/>
      <x:c r="O524" s="22"/>
      <x:c r="P524" s="3" t="str">
        <x:v>未掲載</x:v>
      </x:c>
      <x:c r="Q524" s="3" t="str">
        <x:v>未取得</x:v>
      </x:c>
      <x:c r="R524" s="3" t="str">
        <x:v>Unknown</x:v>
      </x:c>
      <x:c r="S524" s="3" t="str">
        <x:v>不明</x:v>
      </x:c>
      <x:c r="T524" s="3" t="str">
        <x:v>15-ปัจจุบัน</x:v>
      </x:c>
      <x:c r="U524" s="28" t="n">
        <x:v>819000</x:v>
      </x:c>
      <x:c r="V524" s="28" t="n">
        <x:v>1349000</x:v>
      </x:c>
      <x:c r="W524" s="3" t="str">
        <x:v>事故・水没・SOH・保証残は未確認</x:v>
      </x:c>
      <x:c r="X524" s="3" t="str">
        <x:v>掲載中・在庫未確認</x:v>
      </x:c>
      <x:c r="Y524" s="3" t="str"/>
      <x:c r="Z524" s="27" t="str">
        <x:v>https://www.taladrod.com/w40/icar/cardet.aspx?cid=2911949</x:v>
      </x:c>
      <x:c r="AA524" s="3" t="str">
        <x:v>Taladrod個別広告ID／Carsome在庫ID</x:v>
      </x:c>
      <x:c r="AB524" s="3" t="str">
        <x:v>車台番号未取得／サイト間重複は未判定</x:v>
      </x:c>
      <x:c r="AC524" s="3" t="str">
        <x:v>税込区分未確認（一覧表示額）</x:v>
      </x:c>
      <x:c r="AD524" s="3" t="str"/>
      <x:c r="AE524" s="29" t="str">
        <x:f>""</x:f>
      </x:c>
      <x:c r="AF524" s="30" t="str">
        <x:f>IF(ISNUMBER(AE524),U524/AE524,"")</x:f>
      </x:c>
      <x:c r="AG524" s="29" t="str">
        <x:f>""</x:f>
      </x:c>
      <x:c r="AH524" s="30" t="str">
        <x:f>IF(ISNUMBER(AG524),U524/AG524,"")</x:f>
      </x:c>
      <x:c r="AI524" s="3" t="str">
        <x:v>同年式・グレードの検証済み当時価格なし／登録年混在</x:v>
      </x:c>
      <x:c r="AJ524" s="3" t="str">
        <x:v>一覧価格/年式のみ</x:v>
      </x:c>
      <x:c r="AK524" s="3" t="str">
        <x:v>一覧の表示価格。年式は掲載年式。</x:v>
      </x:c>
      <x:c r="AL524" s="31" t="n">
        <x:f>IF(AND(J524&lt;='分析方法'!$B$7,OR(ISBLANK(O524),O524&gt;='分析方法'!$B$8),X524&lt;&gt;"売却済み表示"),1,0)</x:f>
        <x:v>1</x:v>
      </x:c>
      <x:c r="AM524" s="32" t="n">
        <x:f>IF(AL524=1,U524,"")</x:f>
        <x:v>819000</x:v>
      </x:c>
      <x:c r="AN524" s="33" t="str">
        <x:f>IF(AL524=1,AF524,"")</x:f>
      </x:c>
      <x:c r="AO524" s="31" t="n">
        <x:f>'分析方法'!$B$6-J524</x:f>
        <x:v>5</x:v>
      </x:c>
      <x:c r="AP524" s="3"/>
    </x:row>
    <x:row r="525" ht="22" customHeight="1">
      <x:c r="A525" s="3" t="str">
        <x:v>T2912025</x:v>
      </x:c>
      <x:c r="B525" s="7" t="d">
        <x:v>2026-10-08T00:00:00.000Z</x:v>
      </x:c>
      <x:c r="C525" s="3" t="str">
        <x:v>Taladrod</x:v>
      </x:c>
      <x:c r="D525" s="3" t="str">
        <x:v>Toyota</x:v>
      </x:c>
      <x:c r="E525" s="3" t="str">
        <x:v>日本</x:v>
      </x:c>
      <x:c r="F525" s="3" t="str">
        <x:v>Fortuner</x:v>
      </x:c>
      <x:c r="G525" s="3" t="str">
        <x:v>ICE</x:v>
      </x:c>
      <x:c r="H525" s="3" t="str">
        <x:v>SUV</x:v>
      </x:c>
      <x:c r="I525" s="3" t="str"/>
      <x:c r="J525" s="3" t="n">
        <x:v>2021</x:v>
      </x:c>
      <x:c r="K525" s="3" t="str">
        <x:v>2.4 G</x:v>
      </x:c>
      <x:c r="L525" s="3" t="str">
        <x:v>2.4 G</x:v>
      </x:c>
      <x:c r="M525" s="22"/>
      <x:c r="N525" s="22"/>
      <x:c r="O525" s="22"/>
      <x:c r="P525" s="3" t="str">
        <x:v>未掲載</x:v>
      </x:c>
      <x:c r="Q525" s="3" t="str">
        <x:v>未取得</x:v>
      </x:c>
      <x:c r="R525" s="3" t="str">
        <x:v>Unknown</x:v>
      </x:c>
      <x:c r="S525" s="3" t="str">
        <x:v>不明</x:v>
      </x:c>
      <x:c r="T525" s="3" t="str">
        <x:v>15-ปัจจุบัน</x:v>
      </x:c>
      <x:c r="U525" s="28" t="n">
        <x:v>799000</x:v>
      </x:c>
      <x:c r="V525" s="28" t="n">
        <x:v>1349000</x:v>
      </x:c>
      <x:c r="W525" s="3" t="str">
        <x:v>事故・水没・SOH・保証残は未確認</x:v>
      </x:c>
      <x:c r="X525" s="3" t="str">
        <x:v>掲載中・在庫未確認</x:v>
      </x:c>
      <x:c r="Y525" s="3" t="str"/>
      <x:c r="Z525" s="27" t="str">
        <x:v>https://www.taladrod.com/w40/icar/cardet.aspx?cid=2912025</x:v>
      </x:c>
      <x:c r="AA525" s="3" t="str">
        <x:v>Taladrod個別広告ID／Carsome在庫ID</x:v>
      </x:c>
      <x:c r="AB525" s="3" t="str">
        <x:v>車台番号未取得／サイト間重複は未判定</x:v>
      </x:c>
      <x:c r="AC525" s="3" t="str">
        <x:v>税込区分未確認（一覧表示額）</x:v>
      </x:c>
      <x:c r="AD525" s="3" t="str"/>
      <x:c r="AE525" s="29" t="str">
        <x:f>""</x:f>
      </x:c>
      <x:c r="AF525" s="30" t="str">
        <x:f>IF(ISNUMBER(AE525),U525/AE525,"")</x:f>
      </x:c>
      <x:c r="AG525" s="29" t="str">
        <x:f>""</x:f>
      </x:c>
      <x:c r="AH525" s="30" t="str">
        <x:f>IF(ISNUMBER(AG525),U525/AG525,"")</x:f>
      </x:c>
      <x:c r="AI525" s="3" t="str">
        <x:v>同年式・グレードの検証済み当時価格なし／登録年混在</x:v>
      </x:c>
      <x:c r="AJ525" s="3" t="str">
        <x:v>一覧価格/年式のみ</x:v>
      </x:c>
      <x:c r="AK525" s="3" t="str">
        <x:v>一覧の表示価格。年式は掲載年式。</x:v>
      </x:c>
      <x:c r="AL525" s="31" t="n">
        <x:f>IF(AND(J525&lt;='分析方法'!$B$7,OR(ISBLANK(O525),O525&gt;='分析方法'!$B$8),X525&lt;&gt;"売却済み表示"),1,0)</x:f>
        <x:v>1</x:v>
      </x:c>
      <x:c r="AM525" s="32" t="n">
        <x:f>IF(AL525=1,U525,"")</x:f>
        <x:v>799000</x:v>
      </x:c>
      <x:c r="AN525" s="33" t="str">
        <x:f>IF(AL525=1,AF525,"")</x:f>
      </x:c>
      <x:c r="AO525" s="31" t="n">
        <x:f>'分析方法'!$B$6-J525</x:f>
        <x:v>5</x:v>
      </x:c>
      <x:c r="AP525" s="3"/>
    </x:row>
    <x:row r="526" ht="22" customHeight="1">
      <x:c r="A526" s="3" t="str">
        <x:v>T2922136</x:v>
      </x:c>
      <x:c r="B526" s="7" t="d">
        <x:v>2026-10-08T00:00:00.000Z</x:v>
      </x:c>
      <x:c r="C526" s="3" t="str">
        <x:v>Taladrod</x:v>
      </x:c>
      <x:c r="D526" s="3" t="str">
        <x:v>Toyota</x:v>
      </x:c>
      <x:c r="E526" s="3" t="str">
        <x:v>日本</x:v>
      </x:c>
      <x:c r="F526" s="3" t="str">
        <x:v>Fortuner</x:v>
      </x:c>
      <x:c r="G526" s="3" t="str">
        <x:v>ICE</x:v>
      </x:c>
      <x:c r="H526" s="3" t="str">
        <x:v>SUV</x:v>
      </x:c>
      <x:c r="I526" s="3" t="str"/>
      <x:c r="J526" s="3" t="n">
        <x:v>2021</x:v>
      </x:c>
      <x:c r="K526" s="3" t="str">
        <x:v>2.4 G</x:v>
      </x:c>
      <x:c r="L526" s="3" t="str">
        <x:v>2.4 G</x:v>
      </x:c>
      <x:c r="M526" s="22"/>
      <x:c r="N526" s="22"/>
      <x:c r="O526" s="22"/>
      <x:c r="P526" s="3" t="str">
        <x:v>未掲載</x:v>
      </x:c>
      <x:c r="Q526" s="3" t="str">
        <x:v>未取得</x:v>
      </x:c>
      <x:c r="R526" s="3" t="str">
        <x:v>Unknown</x:v>
      </x:c>
      <x:c r="S526" s="3" t="str">
        <x:v>不明</x:v>
      </x:c>
      <x:c r="T526" s="3" t="str">
        <x:v>15-ปัจจุบัน</x:v>
      </x:c>
      <x:c r="U526" s="28" t="n">
        <x:v>789000</x:v>
      </x:c>
      <x:c r="V526" s="28" t="n">
        <x:v>1349000</x:v>
      </x:c>
      <x:c r="W526" s="3" t="str">
        <x:v>事故・水没・SOH・保証残は未確認</x:v>
      </x:c>
      <x:c r="X526" s="3" t="str">
        <x:v>掲載中・在庫未確認</x:v>
      </x:c>
      <x:c r="Y526" s="3" t="str"/>
      <x:c r="Z526" s="27" t="str">
        <x:v>https://www.taladrod.com/w40/icar/cardet.aspx?cid=2922136</x:v>
      </x:c>
      <x:c r="AA526" s="3" t="str">
        <x:v>Taladrod個別広告ID／Carsome在庫ID</x:v>
      </x:c>
      <x:c r="AB526" s="3" t="str">
        <x:v>車台番号未取得／サイト間重複は未判定</x:v>
      </x:c>
      <x:c r="AC526" s="3" t="str">
        <x:v>税込区分未確認（一覧表示額）</x:v>
      </x:c>
      <x:c r="AD526" s="3" t="str"/>
      <x:c r="AE526" s="29" t="str">
        <x:f>""</x:f>
      </x:c>
      <x:c r="AF526" s="30" t="str">
        <x:f>IF(ISNUMBER(AE526),U526/AE526,"")</x:f>
      </x:c>
      <x:c r="AG526" s="29" t="str">
        <x:f>""</x:f>
      </x:c>
      <x:c r="AH526" s="30" t="str">
        <x:f>IF(ISNUMBER(AG526),U526/AG526,"")</x:f>
      </x:c>
      <x:c r="AI526" s="3" t="str">
        <x:v>同年式・グレードの検証済み当時価格なし／登録年混在</x:v>
      </x:c>
      <x:c r="AJ526" s="3" t="str">
        <x:v>一覧価格/年式のみ</x:v>
      </x:c>
      <x:c r="AK526" s="3" t="str">
        <x:v>一覧の表示価格。年式は掲載年式。</x:v>
      </x:c>
      <x:c r="AL526" s="31" t="n">
        <x:f>IF(AND(J526&lt;='分析方法'!$B$7,OR(ISBLANK(O526),O526&gt;='分析方法'!$B$8),X526&lt;&gt;"売却済み表示"),1,0)</x:f>
        <x:v>1</x:v>
      </x:c>
      <x:c r="AM526" s="32" t="n">
        <x:f>IF(AL526=1,U526,"")</x:f>
        <x:v>789000</x:v>
      </x:c>
      <x:c r="AN526" s="33" t="str">
        <x:f>IF(AL526=1,AF526,"")</x:f>
      </x:c>
      <x:c r="AO526" s="31" t="n">
        <x:f>'分析方法'!$B$6-J526</x:f>
        <x:v>5</x:v>
      </x:c>
      <x:c r="AP526" s="3"/>
    </x:row>
    <x:row r="527" ht="22" customHeight="1">
      <x:c r="A527" s="3" t="str">
        <x:v>T2926389</x:v>
      </x:c>
      <x:c r="B527" s="7" t="d">
        <x:v>2026-10-08T00:00:00.000Z</x:v>
      </x:c>
      <x:c r="C527" s="3" t="str">
        <x:v>Taladrod</x:v>
      </x:c>
      <x:c r="D527" s="3" t="str">
        <x:v>Toyota</x:v>
      </x:c>
      <x:c r="E527" s="3" t="str">
        <x:v>日本</x:v>
      </x:c>
      <x:c r="F527" s="3" t="str">
        <x:v>Fortuner</x:v>
      </x:c>
      <x:c r="G527" s="3" t="str">
        <x:v>ICE</x:v>
      </x:c>
      <x:c r="H527" s="3" t="str">
        <x:v>SUV</x:v>
      </x:c>
      <x:c r="I527" s="3" t="str"/>
      <x:c r="J527" s="3" t="n">
        <x:v>2021</x:v>
      </x:c>
      <x:c r="K527" s="3" t="str">
        <x:v>2.4 G</x:v>
      </x:c>
      <x:c r="L527" s="3" t="str">
        <x:v>2.4 G</x:v>
      </x:c>
      <x:c r="M527" s="22"/>
      <x:c r="N527" s="22"/>
      <x:c r="O527" s="22"/>
      <x:c r="P527" s="3" t="str">
        <x:v>未掲載</x:v>
      </x:c>
      <x:c r="Q527" s="3" t="str">
        <x:v>未取得</x:v>
      </x:c>
      <x:c r="R527" s="3" t="str">
        <x:v>Unknown</x:v>
      </x:c>
      <x:c r="S527" s="3" t="str">
        <x:v>不明</x:v>
      </x:c>
      <x:c r="T527" s="3" t="str">
        <x:v>15-ปัจจุบัน</x:v>
      </x:c>
      <x:c r="U527" s="28" t="n">
        <x:v>879000</x:v>
      </x:c>
      <x:c r="V527" s="28" t="n">
        <x:v>1349000</x:v>
      </x:c>
      <x:c r="W527" s="3" t="str">
        <x:v>事故・水没・SOH・保証残は未確認</x:v>
      </x:c>
      <x:c r="X527" s="3" t="str">
        <x:v>掲載中・在庫未確認</x:v>
      </x:c>
      <x:c r="Y527" s="3" t="str"/>
      <x:c r="Z527" s="27" t="str">
        <x:v>https://www.taladrod.com/w40/icar/cardet.aspx?cid=2926389</x:v>
      </x:c>
      <x:c r="AA527" s="3" t="str">
        <x:v>Taladrod個別広告ID／Carsome在庫ID</x:v>
      </x:c>
      <x:c r="AB527" s="3" t="str">
        <x:v>車台番号未取得／サイト間重複は未判定</x:v>
      </x:c>
      <x:c r="AC527" s="3" t="str">
        <x:v>税込区分未確認（一覧表示額）</x:v>
      </x:c>
      <x:c r="AD527" s="3" t="str"/>
      <x:c r="AE527" s="29" t="str">
        <x:f>""</x:f>
      </x:c>
      <x:c r="AF527" s="30" t="str">
        <x:f>IF(ISNUMBER(AE527),U527/AE527,"")</x:f>
      </x:c>
      <x:c r="AG527" s="29" t="str">
        <x:f>""</x:f>
      </x:c>
      <x:c r="AH527" s="30" t="str">
        <x:f>IF(ISNUMBER(AG527),U527/AG527,"")</x:f>
      </x:c>
      <x:c r="AI527" s="3" t="str">
        <x:v>同年式・グレードの検証済み当時価格なし／登録年混在</x:v>
      </x:c>
      <x:c r="AJ527" s="3" t="str">
        <x:v>一覧価格/年式のみ</x:v>
      </x:c>
      <x:c r="AK527" s="3" t="str">
        <x:v>一覧の表示価格。年式は掲載年式。</x:v>
      </x:c>
      <x:c r="AL527" s="31" t="n">
        <x:f>IF(AND(J527&lt;='分析方法'!$B$7,OR(ISBLANK(O527),O527&gt;='分析方法'!$B$8),X527&lt;&gt;"売却済み表示"),1,0)</x:f>
        <x:v>1</x:v>
      </x:c>
      <x:c r="AM527" s="32" t="n">
        <x:f>IF(AL527=1,U527,"")</x:f>
        <x:v>879000</x:v>
      </x:c>
      <x:c r="AN527" s="33" t="str">
        <x:f>IF(AL527=1,AF527,"")</x:f>
      </x:c>
      <x:c r="AO527" s="31" t="n">
        <x:f>'分析方法'!$B$6-J527</x:f>
        <x:v>5</x:v>
      </x:c>
      <x:c r="AP527" s="3"/>
    </x:row>
    <x:row r="528" ht="22" customHeight="1">
      <x:c r="A528" s="3" t="str">
        <x:v>T2880046</x:v>
      </x:c>
      <x:c r="B528" s="7" t="d">
        <x:v>2026-10-08T00:00:00.000Z</x:v>
      </x:c>
      <x:c r="C528" s="3" t="str">
        <x:v>Taladrod</x:v>
      </x:c>
      <x:c r="D528" s="3" t="str">
        <x:v>Toyota</x:v>
      </x:c>
      <x:c r="E528" s="3" t="str">
        <x:v>日本</x:v>
      </x:c>
      <x:c r="F528" s="3" t="str">
        <x:v>Fortuner</x:v>
      </x:c>
      <x:c r="G528" s="3" t="str">
        <x:v>ICE</x:v>
      </x:c>
      <x:c r="H528" s="3" t="str">
        <x:v>SUV</x:v>
      </x:c>
      <x:c r="I528" s="3" t="str"/>
      <x:c r="J528" s="3" t="n">
        <x:v>2021</x:v>
      </x:c>
      <x:c r="K528" s="3" t="str">
        <x:v>2.4 LEGENDER</x:v>
      </x:c>
      <x:c r="L528" s="3" t="str">
        <x:v>2.4 LEGENDER</x:v>
      </x:c>
      <x:c r="M528" s="22"/>
      <x:c r="N528" s="22"/>
      <x:c r="O528" s="22"/>
      <x:c r="P528" s="3" t="str">
        <x:v>未掲載</x:v>
      </x:c>
      <x:c r="Q528" s="3" t="str">
        <x:v>未取得</x:v>
      </x:c>
      <x:c r="R528" s="3" t="str">
        <x:v>Unknown</x:v>
      </x:c>
      <x:c r="S528" s="3" t="str">
        <x:v>不明</x:v>
      </x:c>
      <x:c r="T528" s="3" t="str">
        <x:v>15-ปัจจุบัน</x:v>
      </x:c>
      <x:c r="U528" s="28" t="n">
        <x:v>948000</x:v>
      </x:c>
      <x:c r="V528" s="28" t="n">
        <x:v>1564000</x:v>
      </x:c>
      <x:c r="W528" s="3" t="str">
        <x:v>事故・水没・SOH・保証残は未確認</x:v>
      </x:c>
      <x:c r="X528" s="3" t="str">
        <x:v>掲載中・在庫未確認</x:v>
      </x:c>
      <x:c r="Y528" s="3" t="str"/>
      <x:c r="Z528" s="27" t="str">
        <x:v>https://www.taladrod.com/w40/icar/cardet.aspx?cid=2880046</x:v>
      </x:c>
      <x:c r="AA528" s="3" t="str">
        <x:v>Taladrod個別広告ID／Carsome在庫ID</x:v>
      </x:c>
      <x:c r="AB528" s="3" t="str">
        <x:v>車台番号未取得／サイト間重複は未判定</x:v>
      </x:c>
      <x:c r="AC528" s="3" t="str">
        <x:v>税込区分未確認（一覧表示額）</x:v>
      </x:c>
      <x:c r="AD528" s="3" t="str"/>
      <x:c r="AE528" s="29" t="str">
        <x:f>""</x:f>
      </x:c>
      <x:c r="AF528" s="30" t="str">
        <x:f>IF(ISNUMBER(AE528),U528/AE528,"")</x:f>
      </x:c>
      <x:c r="AG528" s="29" t="str">
        <x:f>""</x:f>
      </x:c>
      <x:c r="AH528" s="30" t="str">
        <x:f>IF(ISNUMBER(AG528),U528/AG528,"")</x:f>
      </x:c>
      <x:c r="AI528" s="3" t="str">
        <x:v>同年式・グレードの検証済み当時価格なし／登録年混在</x:v>
      </x:c>
      <x:c r="AJ528" s="3" t="str">
        <x:v>一覧価格/年式のみ</x:v>
      </x:c>
      <x:c r="AK528" s="3" t="str">
        <x:v>一覧の表示価格。年式は掲載年式。</x:v>
      </x:c>
      <x:c r="AL528" s="31" t="n">
        <x:f>IF(AND(J528&lt;='分析方法'!$B$7,OR(ISBLANK(O528),O528&gt;='分析方法'!$B$8),X528&lt;&gt;"売却済み表示"),1,0)</x:f>
        <x:v>1</x:v>
      </x:c>
      <x:c r="AM528" s="32" t="n">
        <x:f>IF(AL528=1,U528,"")</x:f>
        <x:v>948000</x:v>
      </x:c>
      <x:c r="AN528" s="33" t="str">
        <x:f>IF(AL528=1,AF528,"")</x:f>
      </x:c>
      <x:c r="AO528" s="31" t="n">
        <x:f>'分析方法'!$B$6-J528</x:f>
        <x:v>5</x:v>
      </x:c>
      <x:c r="AP528" s="3"/>
    </x:row>
    <x:row r="529" ht="22" customHeight="1">
      <x:c r="A529" s="3" t="str">
        <x:v>T2883429</x:v>
      </x:c>
      <x:c r="B529" s="7" t="d">
        <x:v>2026-10-08T00:00:00.000Z</x:v>
      </x:c>
      <x:c r="C529" s="3" t="str">
        <x:v>Taladrod</x:v>
      </x:c>
      <x:c r="D529" s="3" t="str">
        <x:v>Toyota</x:v>
      </x:c>
      <x:c r="E529" s="3" t="str">
        <x:v>日本</x:v>
      </x:c>
      <x:c r="F529" s="3" t="str">
        <x:v>Fortuner</x:v>
      </x:c>
      <x:c r="G529" s="3" t="str">
        <x:v>ICE</x:v>
      </x:c>
      <x:c r="H529" s="3" t="str">
        <x:v>SUV</x:v>
      </x:c>
      <x:c r="I529" s="3" t="str"/>
      <x:c r="J529" s="3" t="n">
        <x:v>2021</x:v>
      </x:c>
      <x:c r="K529" s="3" t="str">
        <x:v>2.4 LEGENDER</x:v>
      </x:c>
      <x:c r="L529" s="3" t="str">
        <x:v>2.4 LEGENDER</x:v>
      </x:c>
      <x:c r="M529" s="22"/>
      <x:c r="N529" s="22"/>
      <x:c r="O529" s="22"/>
      <x:c r="P529" s="3" t="str">
        <x:v>未掲載</x:v>
      </x:c>
      <x:c r="Q529" s="3" t="str">
        <x:v>未取得</x:v>
      </x:c>
      <x:c r="R529" s="3" t="str">
        <x:v>Unknown</x:v>
      </x:c>
      <x:c r="S529" s="3" t="str">
        <x:v>不明</x:v>
      </x:c>
      <x:c r="T529" s="3" t="str">
        <x:v>15-ปัจจุบัน</x:v>
      </x:c>
      <x:c r="U529" s="28" t="n">
        <x:v>949000</x:v>
      </x:c>
      <x:c r="V529" s="28" t="n">
        <x:v>1564000</x:v>
      </x:c>
      <x:c r="W529" s="3" t="str">
        <x:v>事故・水没・SOH・保証残は未確認</x:v>
      </x:c>
      <x:c r="X529" s="3" t="str">
        <x:v>掲載中・在庫未確認</x:v>
      </x:c>
      <x:c r="Y529" s="3" t="str"/>
      <x:c r="Z529" s="27" t="str">
        <x:v>https://www.taladrod.com/w40/icar/cardet.aspx?cid=2883429</x:v>
      </x:c>
      <x:c r="AA529" s="3" t="str">
        <x:v>Taladrod個別広告ID／Carsome在庫ID</x:v>
      </x:c>
      <x:c r="AB529" s="3" t="str">
        <x:v>車台番号未取得／サイト間重複は未判定</x:v>
      </x:c>
      <x:c r="AC529" s="3" t="str">
        <x:v>税込区分未確認（一覧表示額）</x:v>
      </x:c>
      <x:c r="AD529" s="3" t="str"/>
      <x:c r="AE529" s="29" t="str">
        <x:f>""</x:f>
      </x:c>
      <x:c r="AF529" s="30" t="str">
        <x:f>IF(ISNUMBER(AE529),U529/AE529,"")</x:f>
      </x:c>
      <x:c r="AG529" s="29" t="str">
        <x:f>""</x:f>
      </x:c>
      <x:c r="AH529" s="30" t="str">
        <x:f>IF(ISNUMBER(AG529),U529/AG529,"")</x:f>
      </x:c>
      <x:c r="AI529" s="3" t="str">
        <x:v>同年式・グレードの検証済み当時価格なし／登録年混在</x:v>
      </x:c>
      <x:c r="AJ529" s="3" t="str">
        <x:v>一覧価格/年式のみ</x:v>
      </x:c>
      <x:c r="AK529" s="3" t="str">
        <x:v>一覧の表示価格。年式は掲載年式。</x:v>
      </x:c>
      <x:c r="AL529" s="31" t="n">
        <x:f>IF(AND(J529&lt;='分析方法'!$B$7,OR(ISBLANK(O529),O529&gt;='分析方法'!$B$8),X529&lt;&gt;"売却済み表示"),1,0)</x:f>
        <x:v>1</x:v>
      </x:c>
      <x:c r="AM529" s="32" t="n">
        <x:f>IF(AL529=1,U529,"")</x:f>
        <x:v>949000</x:v>
      </x:c>
      <x:c r="AN529" s="33" t="str">
        <x:f>IF(AL529=1,AF529,"")</x:f>
      </x:c>
      <x:c r="AO529" s="31" t="n">
        <x:f>'分析方法'!$B$6-J529</x:f>
        <x:v>5</x:v>
      </x:c>
      <x:c r="AP529" s="3"/>
    </x:row>
    <x:row r="530" ht="22" customHeight="1">
      <x:c r="A530" s="3" t="str">
        <x:v>T2909818</x:v>
      </x:c>
      <x:c r="B530" s="7" t="d">
        <x:v>2026-10-08T00:00:00.000Z</x:v>
      </x:c>
      <x:c r="C530" s="3" t="str">
        <x:v>Taladrod</x:v>
      </x:c>
      <x:c r="D530" s="3" t="str">
        <x:v>Toyota</x:v>
      </x:c>
      <x:c r="E530" s="3" t="str">
        <x:v>日本</x:v>
      </x:c>
      <x:c r="F530" s="3" t="str">
        <x:v>Fortuner</x:v>
      </x:c>
      <x:c r="G530" s="3" t="str">
        <x:v>ICE</x:v>
      </x:c>
      <x:c r="H530" s="3" t="str">
        <x:v>SUV</x:v>
      </x:c>
      <x:c r="I530" s="3" t="str"/>
      <x:c r="J530" s="3" t="n">
        <x:v>2021</x:v>
      </x:c>
      <x:c r="K530" s="3" t="str">
        <x:v>2.4 LEGENDER</x:v>
      </x:c>
      <x:c r="L530" s="3" t="str">
        <x:v>2.4 LEGENDER</x:v>
      </x:c>
      <x:c r="M530" s="22"/>
      <x:c r="N530" s="22"/>
      <x:c r="O530" s="22"/>
      <x:c r="P530" s="3" t="str">
        <x:v>未掲載</x:v>
      </x:c>
      <x:c r="Q530" s="3" t="str">
        <x:v>未取得</x:v>
      </x:c>
      <x:c r="R530" s="3" t="str">
        <x:v>Unknown</x:v>
      </x:c>
      <x:c r="S530" s="3" t="str">
        <x:v>不明</x:v>
      </x:c>
      <x:c r="T530" s="3" t="str">
        <x:v>15-ปัจจุบัน</x:v>
      </x:c>
      <x:c r="U530" s="28" t="n">
        <x:v>929000</x:v>
      </x:c>
      <x:c r="V530" s="28" t="n">
        <x:v>1564000</x:v>
      </x:c>
      <x:c r="W530" s="3" t="str">
        <x:v>事故・水没・SOH・保証残は未確認</x:v>
      </x:c>
      <x:c r="X530" s="3" t="str">
        <x:v>掲載中・在庫未確認</x:v>
      </x:c>
      <x:c r="Y530" s="3" t="str"/>
      <x:c r="Z530" s="27" t="str">
        <x:v>https://www.taladrod.com/w40/icar/cardet.aspx?cid=2909818</x:v>
      </x:c>
      <x:c r="AA530" s="3" t="str">
        <x:v>Taladrod個別広告ID／Carsome在庫ID</x:v>
      </x:c>
      <x:c r="AB530" s="3" t="str">
        <x:v>車台番号未取得／サイト間重複は未判定</x:v>
      </x:c>
      <x:c r="AC530" s="3" t="str">
        <x:v>税込区分未確認（一覧表示額）</x:v>
      </x:c>
      <x:c r="AD530" s="3" t="str"/>
      <x:c r="AE530" s="29" t="str">
        <x:f>""</x:f>
      </x:c>
      <x:c r="AF530" s="30" t="str">
        <x:f>IF(ISNUMBER(AE530),U530/AE530,"")</x:f>
      </x:c>
      <x:c r="AG530" s="29" t="str">
        <x:f>""</x:f>
      </x:c>
      <x:c r="AH530" s="30" t="str">
        <x:f>IF(ISNUMBER(AG530),U530/AG530,"")</x:f>
      </x:c>
      <x:c r="AI530" s="3" t="str">
        <x:v>同年式・グレードの検証済み当時価格なし／登録年混在</x:v>
      </x:c>
      <x:c r="AJ530" s="3" t="str">
        <x:v>一覧価格/年式のみ</x:v>
      </x:c>
      <x:c r="AK530" s="3" t="str">
        <x:v>一覧の表示価格。年式は掲載年式。</x:v>
      </x:c>
      <x:c r="AL530" s="31" t="n">
        <x:f>IF(AND(J530&lt;='分析方法'!$B$7,OR(ISBLANK(O530),O530&gt;='分析方法'!$B$8),X530&lt;&gt;"売却済み表示"),1,0)</x:f>
        <x:v>1</x:v>
      </x:c>
      <x:c r="AM530" s="32" t="n">
        <x:f>IF(AL530=1,U530,"")</x:f>
        <x:v>929000</x:v>
      </x:c>
      <x:c r="AN530" s="33" t="str">
        <x:f>IF(AL530=1,AF530,"")</x:f>
      </x:c>
      <x:c r="AO530" s="31" t="n">
        <x:f>'分析方法'!$B$6-J530</x:f>
        <x:v>5</x:v>
      </x:c>
      <x:c r="AP530" s="3"/>
    </x:row>
    <x:row r="531" ht="22" customHeight="1">
      <x:c r="A531" s="3" t="str">
        <x:v>T2914891</x:v>
      </x:c>
      <x:c r="B531" s="7" t="d">
        <x:v>2026-10-08T00:00:00.000Z</x:v>
      </x:c>
      <x:c r="C531" s="3" t="str">
        <x:v>Taladrod</x:v>
      </x:c>
      <x:c r="D531" s="3" t="str">
        <x:v>Toyota</x:v>
      </x:c>
      <x:c r="E531" s="3" t="str">
        <x:v>日本</x:v>
      </x:c>
      <x:c r="F531" s="3" t="str">
        <x:v>Fortuner</x:v>
      </x:c>
      <x:c r="G531" s="3" t="str">
        <x:v>ICE</x:v>
      </x:c>
      <x:c r="H531" s="3" t="str">
        <x:v>SUV</x:v>
      </x:c>
      <x:c r="I531" s="3" t="str"/>
      <x:c r="J531" s="3" t="n">
        <x:v>2021</x:v>
      </x:c>
      <x:c r="K531" s="3" t="str">
        <x:v>2.4 LEGENDER</x:v>
      </x:c>
      <x:c r="L531" s="3" t="str">
        <x:v>2.4 LEGENDER</x:v>
      </x:c>
      <x:c r="M531" s="22"/>
      <x:c r="N531" s="22"/>
      <x:c r="O531" s="22"/>
      <x:c r="P531" s="3" t="str">
        <x:v>未掲載</x:v>
      </x:c>
      <x:c r="Q531" s="3" t="str">
        <x:v>未取得</x:v>
      </x:c>
      <x:c r="R531" s="3" t="str">
        <x:v>Unknown</x:v>
      </x:c>
      <x:c r="S531" s="3" t="str">
        <x:v>不明</x:v>
      </x:c>
      <x:c r="T531" s="3" t="str">
        <x:v>15-ปัจจุบัน</x:v>
      </x:c>
      <x:c r="U531" s="28" t="n">
        <x:v>935000</x:v>
      </x:c>
      <x:c r="V531" s="28" t="n">
        <x:v>1564000</x:v>
      </x:c>
      <x:c r="W531" s="3" t="str">
        <x:v>事故・水没・SOH・保証残は未確認</x:v>
      </x:c>
      <x:c r="X531" s="3" t="str">
        <x:v>掲載中・在庫未確認</x:v>
      </x:c>
      <x:c r="Y531" s="3" t="str"/>
      <x:c r="Z531" s="27" t="str">
        <x:v>https://www.taladrod.com/w40/icar/cardet.aspx?cid=2914891</x:v>
      </x:c>
      <x:c r="AA531" s="3" t="str">
        <x:v>Taladrod個別広告ID／Carsome在庫ID</x:v>
      </x:c>
      <x:c r="AB531" s="3" t="str">
        <x:v>車台番号未取得／サイト間重複は未判定</x:v>
      </x:c>
      <x:c r="AC531" s="3" t="str">
        <x:v>税込区分未確認（一覧表示額）</x:v>
      </x:c>
      <x:c r="AD531" s="3" t="str"/>
      <x:c r="AE531" s="29" t="str">
        <x:f>""</x:f>
      </x:c>
      <x:c r="AF531" s="30" t="str">
        <x:f>IF(ISNUMBER(AE531),U531/AE531,"")</x:f>
      </x:c>
      <x:c r="AG531" s="29" t="str">
        <x:f>""</x:f>
      </x:c>
      <x:c r="AH531" s="30" t="str">
        <x:f>IF(ISNUMBER(AG531),U531/AG531,"")</x:f>
      </x:c>
      <x:c r="AI531" s="3" t="str">
        <x:v>同年式・グレードの検証済み当時価格なし／登録年混在</x:v>
      </x:c>
      <x:c r="AJ531" s="3" t="str">
        <x:v>一覧価格/年式のみ</x:v>
      </x:c>
      <x:c r="AK531" s="3" t="str">
        <x:v>一覧の表示価格。年式は掲載年式。</x:v>
      </x:c>
      <x:c r="AL531" s="31" t="n">
        <x:f>IF(AND(J531&lt;='分析方法'!$B$7,OR(ISBLANK(O531),O531&gt;='分析方法'!$B$8),X531&lt;&gt;"売却済み表示"),1,0)</x:f>
        <x:v>1</x:v>
      </x:c>
      <x:c r="AM531" s="32" t="n">
        <x:f>IF(AL531=1,U531,"")</x:f>
        <x:v>935000</x:v>
      </x:c>
      <x:c r="AN531" s="33" t="str">
        <x:f>IF(AL531=1,AF531,"")</x:f>
      </x:c>
      <x:c r="AO531" s="31" t="n">
        <x:f>'分析方法'!$B$6-J531</x:f>
        <x:v>5</x:v>
      </x:c>
      <x:c r="AP531" s="3"/>
    </x:row>
    <x:row r="532" ht="22" customHeight="1">
      <x:c r="A532" s="3" t="str">
        <x:v>T2919269</x:v>
      </x:c>
      <x:c r="B532" s="7" t="d">
        <x:v>2026-10-08T00:00:00.000Z</x:v>
      </x:c>
      <x:c r="C532" s="3" t="str">
        <x:v>Taladrod</x:v>
      </x:c>
      <x:c r="D532" s="3" t="str">
        <x:v>Toyota</x:v>
      </x:c>
      <x:c r="E532" s="3" t="str">
        <x:v>日本</x:v>
      </x:c>
      <x:c r="F532" s="3" t="str">
        <x:v>Fortuner</x:v>
      </x:c>
      <x:c r="G532" s="3" t="str">
        <x:v>ICE</x:v>
      </x:c>
      <x:c r="H532" s="3" t="str">
        <x:v>SUV</x:v>
      </x:c>
      <x:c r="I532" s="3" t="str"/>
      <x:c r="J532" s="3" t="n">
        <x:v>2021</x:v>
      </x:c>
      <x:c r="K532" s="3" t="str">
        <x:v>2.4 LEGENDER 4WD</x:v>
      </x:c>
      <x:c r="L532" s="3" t="str">
        <x:v>2.4 LEGENDER 4WD</x:v>
      </x:c>
      <x:c r="M532" s="22"/>
      <x:c r="N532" s="22"/>
      <x:c r="O532" s="22"/>
      <x:c r="P532" s="3" t="str">
        <x:v>未掲載</x:v>
      </x:c>
      <x:c r="Q532" s="3" t="str">
        <x:v>未取得</x:v>
      </x:c>
      <x:c r="R532" s="3" t="str">
        <x:v>Unknown</x:v>
      </x:c>
      <x:c r="S532" s="3" t="str">
        <x:v>不明</x:v>
      </x:c>
      <x:c r="T532" s="3" t="str">
        <x:v>15-ปัจจุบัน</x:v>
      </x:c>
      <x:c r="U532" s="28" t="n">
        <x:v>994000</x:v>
      </x:c>
      <x:c r="V532" s="28" t="n">
        <x:v>1634000</x:v>
      </x:c>
      <x:c r="W532" s="3" t="str">
        <x:v>事故・水没・SOH・保証残は未確認</x:v>
      </x:c>
      <x:c r="X532" s="3" t="str">
        <x:v>掲載中・在庫未確認</x:v>
      </x:c>
      <x:c r="Y532" s="3" t="str"/>
      <x:c r="Z532" s="27" t="str">
        <x:v>https://www.taladrod.com/w40/icar/cardet.aspx?cid=2919269</x:v>
      </x:c>
      <x:c r="AA532" s="3" t="str">
        <x:v>Taladrod個別広告ID／Carsome在庫ID</x:v>
      </x:c>
      <x:c r="AB532" s="3" t="str">
        <x:v>車台番号未取得／サイト間重複は未判定</x:v>
      </x:c>
      <x:c r="AC532" s="3" t="str">
        <x:v>税込区分未確認（一覧表示額）</x:v>
      </x:c>
      <x:c r="AD532" s="3" t="str"/>
      <x:c r="AE532" s="29" t="str">
        <x:f>""</x:f>
      </x:c>
      <x:c r="AF532" s="30" t="str">
        <x:f>IF(ISNUMBER(AE532),U532/AE532,"")</x:f>
      </x:c>
      <x:c r="AG532" s="29" t="str">
        <x:f>""</x:f>
      </x:c>
      <x:c r="AH532" s="30" t="str">
        <x:f>IF(ISNUMBER(AG532),U532/AG532,"")</x:f>
      </x:c>
      <x:c r="AI532" s="3" t="str">
        <x:v>同年式・グレードの検証済み当時価格なし／登録年混在</x:v>
      </x:c>
      <x:c r="AJ532" s="3" t="str">
        <x:v>一覧価格/年式のみ</x:v>
      </x:c>
      <x:c r="AK532" s="3" t="str">
        <x:v>一覧の表示価格。年式は掲載年式。</x:v>
      </x:c>
      <x:c r="AL532" s="31" t="n">
        <x:f>IF(AND(J532&lt;='分析方法'!$B$7,OR(ISBLANK(O532),O532&gt;='分析方法'!$B$8),X532&lt;&gt;"売却済み表示"),1,0)</x:f>
        <x:v>1</x:v>
      </x:c>
      <x:c r="AM532" s="32" t="n">
        <x:f>IF(AL532=1,U532,"")</x:f>
        <x:v>994000</x:v>
      </x:c>
      <x:c r="AN532" s="33" t="str">
        <x:f>IF(AL532=1,AF532,"")</x:f>
      </x:c>
      <x:c r="AO532" s="31" t="n">
        <x:f>'分析方法'!$B$6-J532</x:f>
        <x:v>5</x:v>
      </x:c>
      <x:c r="AP532" s="3"/>
    </x:row>
    <x:row r="533" ht="22" customHeight="1">
      <x:c r="A533" s="3" t="str">
        <x:v>T2920827</x:v>
      </x:c>
      <x:c r="B533" s="7" t="d">
        <x:v>2026-10-08T00:00:00.000Z</x:v>
      </x:c>
      <x:c r="C533" s="3" t="str">
        <x:v>Taladrod</x:v>
      </x:c>
      <x:c r="D533" s="3" t="str">
        <x:v>Toyota</x:v>
      </x:c>
      <x:c r="E533" s="3" t="str">
        <x:v>日本</x:v>
      </x:c>
      <x:c r="F533" s="3" t="str">
        <x:v>Fortuner</x:v>
      </x:c>
      <x:c r="G533" s="3" t="str">
        <x:v>ICE</x:v>
      </x:c>
      <x:c r="H533" s="3" t="str">
        <x:v>SUV</x:v>
      </x:c>
      <x:c r="I533" s="3" t="str"/>
      <x:c r="J533" s="3" t="n">
        <x:v>2021</x:v>
      </x:c>
      <x:c r="K533" s="3" t="str">
        <x:v>2.4 LEGENDER 4WD</x:v>
      </x:c>
      <x:c r="L533" s="3" t="str">
        <x:v>2.4 LEGENDER 4WD</x:v>
      </x:c>
      <x:c r="M533" s="22"/>
      <x:c r="N533" s="22"/>
      <x:c r="O533" s="22"/>
      <x:c r="P533" s="3" t="str">
        <x:v>未掲載</x:v>
      </x:c>
      <x:c r="Q533" s="3" t="str">
        <x:v>未取得</x:v>
      </x:c>
      <x:c r="R533" s="3" t="str">
        <x:v>Unknown</x:v>
      </x:c>
      <x:c r="S533" s="3" t="str">
        <x:v>不明</x:v>
      </x:c>
      <x:c r="T533" s="3" t="str">
        <x:v>15-ปัจจุบัน</x:v>
      </x:c>
      <x:c r="U533" s="28" t="n">
        <x:v>979000</x:v>
      </x:c>
      <x:c r="V533" s="28" t="n">
        <x:v>1634000</x:v>
      </x:c>
      <x:c r="W533" s="3" t="str">
        <x:v>事故・水没・SOH・保証残は未確認</x:v>
      </x:c>
      <x:c r="X533" s="3" t="str">
        <x:v>掲載中・在庫未確認</x:v>
      </x:c>
      <x:c r="Y533" s="3" t="str"/>
      <x:c r="Z533" s="27" t="str">
        <x:v>https://www.taladrod.com/w40/icar/cardet.aspx?cid=2920827</x:v>
      </x:c>
      <x:c r="AA533" s="3" t="str">
        <x:v>Taladrod個別広告ID／Carsome在庫ID</x:v>
      </x:c>
      <x:c r="AB533" s="3" t="str">
        <x:v>車台番号未取得／サイト間重複は未判定</x:v>
      </x:c>
      <x:c r="AC533" s="3" t="str">
        <x:v>税込区分未確認（一覧表示額）</x:v>
      </x:c>
      <x:c r="AD533" s="3" t="str"/>
      <x:c r="AE533" s="29" t="str">
        <x:f>""</x:f>
      </x:c>
      <x:c r="AF533" s="30" t="str">
        <x:f>IF(ISNUMBER(AE533),U533/AE533,"")</x:f>
      </x:c>
      <x:c r="AG533" s="29" t="str">
        <x:f>""</x:f>
      </x:c>
      <x:c r="AH533" s="30" t="str">
        <x:f>IF(ISNUMBER(AG533),U533/AG533,"")</x:f>
      </x:c>
      <x:c r="AI533" s="3" t="str">
        <x:v>同年式・グレードの検証済み当時価格なし／登録年混在</x:v>
      </x:c>
      <x:c r="AJ533" s="3" t="str">
        <x:v>一覧価格/年式のみ</x:v>
      </x:c>
      <x:c r="AK533" s="3" t="str">
        <x:v>一覧の表示価格。年式は掲載年式。</x:v>
      </x:c>
      <x:c r="AL533" s="31" t="n">
        <x:f>IF(AND(J533&lt;='分析方法'!$B$7,OR(ISBLANK(O533),O533&gt;='分析方法'!$B$8),X533&lt;&gt;"売却済み表示"),1,0)</x:f>
        <x:v>1</x:v>
      </x:c>
      <x:c r="AM533" s="32" t="n">
        <x:f>IF(AL533=1,U533,"")</x:f>
        <x:v>979000</x:v>
      </x:c>
      <x:c r="AN533" s="33" t="str">
        <x:f>IF(AL533=1,AF533,"")</x:f>
      </x:c>
      <x:c r="AO533" s="31" t="n">
        <x:f>'分析方法'!$B$6-J533</x:f>
        <x:v>5</x:v>
      </x:c>
      <x:c r="AP533" s="3"/>
    </x:row>
    <x:row r="534" ht="22" customHeight="1">
      <x:c r="A534" s="3" t="str">
        <x:v>T2910385</x:v>
      </x:c>
      <x:c r="B534" s="7" t="d">
        <x:v>2026-10-08T00:00:00.000Z</x:v>
      </x:c>
      <x:c r="C534" s="3" t="str">
        <x:v>Taladrod</x:v>
      </x:c>
      <x:c r="D534" s="3" t="str">
        <x:v>Toyota</x:v>
      </x:c>
      <x:c r="E534" s="3" t="str">
        <x:v>日本</x:v>
      </x:c>
      <x:c r="F534" s="3" t="str">
        <x:v>Fortuner</x:v>
      </x:c>
      <x:c r="G534" s="3" t="str">
        <x:v>ICE</x:v>
      </x:c>
      <x:c r="H534" s="3" t="str">
        <x:v>SUV</x:v>
      </x:c>
      <x:c r="I534" s="3" t="str"/>
      <x:c r="J534" s="3" t="n">
        <x:v>2021</x:v>
      </x:c>
      <x:c r="K534" s="3" t="str">
        <x:v>2.4 LEGENDER BLACK TOP</x:v>
      </x:c>
      <x:c r="L534" s="3" t="str">
        <x:v>2.4 LEGENDER BLACK TOP</x:v>
      </x:c>
      <x:c r="M534" s="22"/>
      <x:c r="N534" s="22"/>
      <x:c r="O534" s="22"/>
      <x:c r="P534" s="3" t="str">
        <x:v>未掲載</x:v>
      </x:c>
      <x:c r="Q534" s="3" t="str">
        <x:v>未取得</x:v>
      </x:c>
      <x:c r="R534" s="3" t="str">
        <x:v>Unknown</x:v>
      </x:c>
      <x:c r="S534" s="3" t="str">
        <x:v>不明</x:v>
      </x:c>
      <x:c r="T534" s="3" t="str">
        <x:v>15-ปัจจุบัน</x:v>
      </x:c>
      <x:c r="U534" s="28" t="n">
        <x:v>939000</x:v>
      </x:c>
      <x:c r="V534" s="28" t="n">
        <x:v>1584000</x:v>
      </x:c>
      <x:c r="W534" s="3" t="str">
        <x:v>事故・水没・SOH・保証残は未確認</x:v>
      </x:c>
      <x:c r="X534" s="3" t="str">
        <x:v>掲載中・在庫未確認</x:v>
      </x:c>
      <x:c r="Y534" s="3" t="str"/>
      <x:c r="Z534" s="27" t="str">
        <x:v>https://www.taladrod.com/w40/icar/cardet.aspx?cid=2910385</x:v>
      </x:c>
      <x:c r="AA534" s="3" t="str">
        <x:v>Taladrod個別広告ID／Carsome在庫ID</x:v>
      </x:c>
      <x:c r="AB534" s="3" t="str">
        <x:v>車台番号未取得／サイト間重複は未判定</x:v>
      </x:c>
      <x:c r="AC534" s="3" t="str">
        <x:v>税込区分未確認（一覧表示額）</x:v>
      </x:c>
      <x:c r="AD534" s="3" t="str"/>
      <x:c r="AE534" s="29" t="str">
        <x:f>""</x:f>
      </x:c>
      <x:c r="AF534" s="30" t="str">
        <x:f>IF(ISNUMBER(AE534),U534/AE534,"")</x:f>
      </x:c>
      <x:c r="AG534" s="29" t="str">
        <x:f>""</x:f>
      </x:c>
      <x:c r="AH534" s="30" t="str">
        <x:f>IF(ISNUMBER(AG534),U534/AG534,"")</x:f>
      </x:c>
      <x:c r="AI534" s="3" t="str">
        <x:v>同年式・グレードの検証済み当時価格なし／登録年混在</x:v>
      </x:c>
      <x:c r="AJ534" s="3" t="str">
        <x:v>一覧価格/年式のみ</x:v>
      </x:c>
      <x:c r="AK534" s="3" t="str">
        <x:v>一覧の表示価格。年式は掲載年式。</x:v>
      </x:c>
      <x:c r="AL534" s="31" t="n">
        <x:f>IF(AND(J534&lt;='分析方法'!$B$7,OR(ISBLANK(O534),O534&gt;='分析方法'!$B$8),X534&lt;&gt;"売却済み表示"),1,0)</x:f>
        <x:v>1</x:v>
      </x:c>
      <x:c r="AM534" s="32" t="n">
        <x:f>IF(AL534=1,U534,"")</x:f>
        <x:v>939000</x:v>
      </x:c>
      <x:c r="AN534" s="33" t="str">
        <x:f>IF(AL534=1,AF534,"")</x:f>
      </x:c>
      <x:c r="AO534" s="31" t="n">
        <x:f>'分析方法'!$B$6-J534</x:f>
        <x:v>5</x:v>
      </x:c>
      <x:c r="AP534" s="3"/>
    </x:row>
    <x:row r="535" ht="22" customHeight="1">
      <x:c r="A535" s="3" t="str">
        <x:v>T2918478</x:v>
      </x:c>
      <x:c r="B535" s="7" t="d">
        <x:v>2026-10-08T00:00:00.000Z</x:v>
      </x:c>
      <x:c r="C535" s="3" t="str">
        <x:v>Taladrod</x:v>
      </x:c>
      <x:c r="D535" s="3" t="str">
        <x:v>Toyota</x:v>
      </x:c>
      <x:c r="E535" s="3" t="str">
        <x:v>日本</x:v>
      </x:c>
      <x:c r="F535" s="3" t="str">
        <x:v>Fortuner</x:v>
      </x:c>
      <x:c r="G535" s="3" t="str">
        <x:v>ICE</x:v>
      </x:c>
      <x:c r="H535" s="3" t="str">
        <x:v>SUV</x:v>
      </x:c>
      <x:c r="I535" s="3" t="str"/>
      <x:c r="J535" s="3" t="n">
        <x:v>2021</x:v>
      </x:c>
      <x:c r="K535" s="3" t="str">
        <x:v>2.4 LEGENDER BLACK TOP</x:v>
      </x:c>
      <x:c r="L535" s="3" t="str">
        <x:v>2.4 LEGENDER BLACK TOP</x:v>
      </x:c>
      <x:c r="M535" s="22"/>
      <x:c r="N535" s="22"/>
      <x:c r="O535" s="22"/>
      <x:c r="P535" s="3" t="str">
        <x:v>未掲載</x:v>
      </x:c>
      <x:c r="Q535" s="3" t="str">
        <x:v>未取得</x:v>
      </x:c>
      <x:c r="R535" s="3" t="str">
        <x:v>Unknown</x:v>
      </x:c>
      <x:c r="S535" s="3" t="str">
        <x:v>不明</x:v>
      </x:c>
      <x:c r="T535" s="3" t="str">
        <x:v>15-ปัจจุบัน</x:v>
      </x:c>
      <x:c r="U535" s="28" t="n">
        <x:v>985000</x:v>
      </x:c>
      <x:c r="V535" s="28" t="n">
        <x:v>1584000</x:v>
      </x:c>
      <x:c r="W535" s="3" t="str">
        <x:v>事故・水没・SOH・保証残は未確認</x:v>
      </x:c>
      <x:c r="X535" s="3" t="str">
        <x:v>掲載中・在庫未確認</x:v>
      </x:c>
      <x:c r="Y535" s="3" t="str"/>
      <x:c r="Z535" s="27" t="str">
        <x:v>https://www.taladrod.com/w40/icar/cardet.aspx?cid=2918478</x:v>
      </x:c>
      <x:c r="AA535" s="3" t="str">
        <x:v>Taladrod個別広告ID／Carsome在庫ID</x:v>
      </x:c>
      <x:c r="AB535" s="3" t="str">
        <x:v>車台番号未取得／サイト間重複は未判定</x:v>
      </x:c>
      <x:c r="AC535" s="3" t="str">
        <x:v>税込区分未確認（一覧表示額）</x:v>
      </x:c>
      <x:c r="AD535" s="3" t="str"/>
      <x:c r="AE535" s="29" t="str">
        <x:f>""</x:f>
      </x:c>
      <x:c r="AF535" s="30" t="str">
        <x:f>IF(ISNUMBER(AE535),U535/AE535,"")</x:f>
      </x:c>
      <x:c r="AG535" s="29" t="str">
        <x:f>""</x:f>
      </x:c>
      <x:c r="AH535" s="30" t="str">
        <x:f>IF(ISNUMBER(AG535),U535/AG535,"")</x:f>
      </x:c>
      <x:c r="AI535" s="3" t="str">
        <x:v>同年式・グレードの検証済み当時価格なし／登録年混在</x:v>
      </x:c>
      <x:c r="AJ535" s="3" t="str">
        <x:v>一覧価格/年式のみ</x:v>
      </x:c>
      <x:c r="AK535" s="3" t="str">
        <x:v>一覧の表示価格。年式は掲載年式。</x:v>
      </x:c>
      <x:c r="AL535" s="31" t="n">
        <x:f>IF(AND(J535&lt;='分析方法'!$B$7,OR(ISBLANK(O535),O535&gt;='分析方法'!$B$8),X535&lt;&gt;"売却済み表示"),1,0)</x:f>
        <x:v>1</x:v>
      </x:c>
      <x:c r="AM535" s="32" t="n">
        <x:f>IF(AL535=1,U535,"")</x:f>
        <x:v>985000</x:v>
      </x:c>
      <x:c r="AN535" s="33" t="str">
        <x:f>IF(AL535=1,AF535,"")</x:f>
      </x:c>
      <x:c r="AO535" s="31" t="n">
        <x:f>'分析方法'!$B$6-J535</x:f>
        <x:v>5</x:v>
      </x:c>
      <x:c r="AP535" s="3"/>
    </x:row>
    <x:row r="536" ht="22" customHeight="1">
      <x:c r="A536" s="3" t="str">
        <x:v>T2924369</x:v>
      </x:c>
      <x:c r="B536" s="7" t="d">
        <x:v>2026-10-08T00:00:00.000Z</x:v>
      </x:c>
      <x:c r="C536" s="3" t="str">
        <x:v>Taladrod</x:v>
      </x:c>
      <x:c r="D536" s="3" t="str">
        <x:v>Toyota</x:v>
      </x:c>
      <x:c r="E536" s="3" t="str">
        <x:v>日本</x:v>
      </x:c>
      <x:c r="F536" s="3" t="str">
        <x:v>Fortuner</x:v>
      </x:c>
      <x:c r="G536" s="3" t="str">
        <x:v>ICE</x:v>
      </x:c>
      <x:c r="H536" s="3" t="str">
        <x:v>SUV</x:v>
      </x:c>
      <x:c r="I536" s="3" t="str"/>
      <x:c r="J536" s="3" t="n">
        <x:v>2021</x:v>
      </x:c>
      <x:c r="K536" s="3" t="str">
        <x:v>2.4 LEGENDER BLACK TOP</x:v>
      </x:c>
      <x:c r="L536" s="3" t="str">
        <x:v>2.4 LEGENDER BLACK TOP</x:v>
      </x:c>
      <x:c r="M536" s="22"/>
      <x:c r="N536" s="22"/>
      <x:c r="O536" s="22"/>
      <x:c r="P536" s="3" t="str">
        <x:v>未掲載</x:v>
      </x:c>
      <x:c r="Q536" s="3" t="str">
        <x:v>未取得</x:v>
      </x:c>
      <x:c r="R536" s="3" t="str">
        <x:v>Unknown</x:v>
      </x:c>
      <x:c r="S536" s="3" t="str">
        <x:v>不明</x:v>
      </x:c>
      <x:c r="T536" s="3" t="str">
        <x:v>15-ปัจจุบัน</x:v>
      </x:c>
      <x:c r="U536" s="28" t="n">
        <x:v>864000</x:v>
      </x:c>
      <x:c r="V536" s="28" t="n">
        <x:v>1584000</x:v>
      </x:c>
      <x:c r="W536" s="3" t="str">
        <x:v>事故・水没・SOH・保証残は未確認</x:v>
      </x:c>
      <x:c r="X536" s="3" t="str">
        <x:v>掲載中・在庫未確認</x:v>
      </x:c>
      <x:c r="Y536" s="3" t="str"/>
      <x:c r="Z536" s="27" t="str">
        <x:v>https://www.taladrod.com/w40/icar/cardet.aspx?cid=2924369</x:v>
      </x:c>
      <x:c r="AA536" s="3" t="str">
        <x:v>Taladrod個別広告ID／Carsome在庫ID</x:v>
      </x:c>
      <x:c r="AB536" s="3" t="str">
        <x:v>車台番号未取得／サイト間重複は未判定</x:v>
      </x:c>
      <x:c r="AC536" s="3" t="str">
        <x:v>税込区分未確認（一覧表示額）</x:v>
      </x:c>
      <x:c r="AD536" s="3" t="str"/>
      <x:c r="AE536" s="29" t="str">
        <x:f>""</x:f>
      </x:c>
      <x:c r="AF536" s="30" t="str">
        <x:f>IF(ISNUMBER(AE536),U536/AE536,"")</x:f>
      </x:c>
      <x:c r="AG536" s="29" t="str">
        <x:f>""</x:f>
      </x:c>
      <x:c r="AH536" s="30" t="str">
        <x:f>IF(ISNUMBER(AG536),U536/AG536,"")</x:f>
      </x:c>
      <x:c r="AI536" s="3" t="str">
        <x:v>同年式・グレードの検証済み当時価格なし／登録年混在</x:v>
      </x:c>
      <x:c r="AJ536" s="3" t="str">
        <x:v>一覧価格/年式のみ</x:v>
      </x:c>
      <x:c r="AK536" s="3" t="str">
        <x:v>一覧の表示価格。年式は掲載年式。</x:v>
      </x:c>
      <x:c r="AL536" s="31" t="n">
        <x:f>IF(AND(J536&lt;='分析方法'!$B$7,OR(ISBLANK(O536),O536&gt;='分析方法'!$B$8),X536&lt;&gt;"売却済み表示"),1,0)</x:f>
        <x:v>1</x:v>
      </x:c>
      <x:c r="AM536" s="32" t="n">
        <x:f>IF(AL536=1,U536,"")</x:f>
        <x:v>864000</x:v>
      </x:c>
      <x:c r="AN536" s="33" t="str">
        <x:f>IF(AL536=1,AF536,"")</x:f>
      </x:c>
      <x:c r="AO536" s="31" t="n">
        <x:f>'分析方法'!$B$6-J536</x:f>
        <x:v>5</x:v>
      </x:c>
      <x:c r="AP536" s="3"/>
    </x:row>
    <x:row r="537" ht="22" customHeight="1">
      <x:c r="A537" s="3" t="str">
        <x:v>T2924443</x:v>
      </x:c>
      <x:c r="B537" s="7" t="d">
        <x:v>2026-10-08T00:00:00.000Z</x:v>
      </x:c>
      <x:c r="C537" s="3" t="str">
        <x:v>Taladrod</x:v>
      </x:c>
      <x:c r="D537" s="3" t="str">
        <x:v>Toyota</x:v>
      </x:c>
      <x:c r="E537" s="3" t="str">
        <x:v>日本</x:v>
      </x:c>
      <x:c r="F537" s="3" t="str">
        <x:v>Fortuner</x:v>
      </x:c>
      <x:c r="G537" s="3" t="str">
        <x:v>ICE</x:v>
      </x:c>
      <x:c r="H537" s="3" t="str">
        <x:v>SUV</x:v>
      </x:c>
      <x:c r="I537" s="3" t="str"/>
      <x:c r="J537" s="3" t="n">
        <x:v>2021</x:v>
      </x:c>
      <x:c r="K537" s="3" t="str">
        <x:v>2.4 LEGENDER BLACK TOP</x:v>
      </x:c>
      <x:c r="L537" s="3" t="str">
        <x:v>2.4 LEGENDER BLACK TOP</x:v>
      </x:c>
      <x:c r="M537" s="22"/>
      <x:c r="N537" s="22"/>
      <x:c r="O537" s="22"/>
      <x:c r="P537" s="3" t="str">
        <x:v>未掲載</x:v>
      </x:c>
      <x:c r="Q537" s="3" t="str">
        <x:v>未取得</x:v>
      </x:c>
      <x:c r="R537" s="3" t="str">
        <x:v>Unknown</x:v>
      </x:c>
      <x:c r="S537" s="3" t="str">
        <x:v>不明</x:v>
      </x:c>
      <x:c r="T537" s="3" t="str">
        <x:v>15-ปัจจุบัน</x:v>
      </x:c>
      <x:c r="U537" s="28" t="n">
        <x:v>979000</x:v>
      </x:c>
      <x:c r="V537" s="28" t="n">
        <x:v>1584000</x:v>
      </x:c>
      <x:c r="W537" s="3" t="str">
        <x:v>事故・水没・SOH・保証残は未確認</x:v>
      </x:c>
      <x:c r="X537" s="3" t="str">
        <x:v>掲載中・在庫未確認</x:v>
      </x:c>
      <x:c r="Y537" s="3" t="str"/>
      <x:c r="Z537" s="27" t="str">
        <x:v>https://www.taladrod.com/w40/icar/cardet.aspx?cid=2924443</x:v>
      </x:c>
      <x:c r="AA537" s="3" t="str">
        <x:v>Taladrod個別広告ID／Carsome在庫ID</x:v>
      </x:c>
      <x:c r="AB537" s="3" t="str">
        <x:v>車台番号未取得／サイト間重複は未判定</x:v>
      </x:c>
      <x:c r="AC537" s="3" t="str">
        <x:v>税込区分未確認（一覧表示額）</x:v>
      </x:c>
      <x:c r="AD537" s="3" t="str"/>
      <x:c r="AE537" s="29" t="str">
        <x:f>""</x:f>
      </x:c>
      <x:c r="AF537" s="30" t="str">
        <x:f>IF(ISNUMBER(AE537),U537/AE537,"")</x:f>
      </x:c>
      <x:c r="AG537" s="29" t="str">
        <x:f>""</x:f>
      </x:c>
      <x:c r="AH537" s="30" t="str">
        <x:f>IF(ISNUMBER(AG537),U537/AG537,"")</x:f>
      </x:c>
      <x:c r="AI537" s="3" t="str">
        <x:v>同年式・グレードの検証済み当時価格なし／登録年混在</x:v>
      </x:c>
      <x:c r="AJ537" s="3" t="str">
        <x:v>一覧価格/年式のみ</x:v>
      </x:c>
      <x:c r="AK537" s="3" t="str">
        <x:v>一覧の表示価格。年式は掲載年式。</x:v>
      </x:c>
      <x:c r="AL537" s="31" t="n">
        <x:f>IF(AND(J537&lt;='分析方法'!$B$7,OR(ISBLANK(O537),O537&gt;='分析方法'!$B$8),X537&lt;&gt;"売却済み表示"),1,0)</x:f>
        <x:v>1</x:v>
      </x:c>
      <x:c r="AM537" s="32" t="n">
        <x:f>IF(AL537=1,U537,"")</x:f>
        <x:v>979000</x:v>
      </x:c>
      <x:c r="AN537" s="33" t="str">
        <x:f>IF(AL537=1,AF537,"")</x:f>
      </x:c>
      <x:c r="AO537" s="31" t="n">
        <x:f>'分析方法'!$B$6-J537</x:f>
        <x:v>5</x:v>
      </x:c>
      <x:c r="AP537" s="3"/>
    </x:row>
    <x:row r="538" ht="22" customHeight="1">
      <x:c r="A538" s="3" t="str">
        <x:v>T2924891</x:v>
      </x:c>
      <x:c r="B538" s="7" t="d">
        <x:v>2026-10-08T00:00:00.000Z</x:v>
      </x:c>
      <x:c r="C538" s="3" t="str">
        <x:v>Taladrod</x:v>
      </x:c>
      <x:c r="D538" s="3" t="str">
        <x:v>Toyota</x:v>
      </x:c>
      <x:c r="E538" s="3" t="str">
        <x:v>日本</x:v>
      </x:c>
      <x:c r="F538" s="3" t="str">
        <x:v>Fortuner</x:v>
      </x:c>
      <x:c r="G538" s="3" t="str">
        <x:v>ICE</x:v>
      </x:c>
      <x:c r="H538" s="3" t="str">
        <x:v>SUV</x:v>
      </x:c>
      <x:c r="I538" s="3" t="str"/>
      <x:c r="J538" s="3" t="n">
        <x:v>2021</x:v>
      </x:c>
      <x:c r="K538" s="3" t="str">
        <x:v>2.4 LEGENDER BLACK TOP</x:v>
      </x:c>
      <x:c r="L538" s="3" t="str">
        <x:v>2.4 LEGENDER BLACK TOP</x:v>
      </x:c>
      <x:c r="M538" s="22"/>
      <x:c r="N538" s="22"/>
      <x:c r="O538" s="22"/>
      <x:c r="P538" s="3" t="str">
        <x:v>未掲載</x:v>
      </x:c>
      <x:c r="Q538" s="3" t="str">
        <x:v>未取得</x:v>
      </x:c>
      <x:c r="R538" s="3" t="str">
        <x:v>Unknown</x:v>
      </x:c>
      <x:c r="S538" s="3" t="str">
        <x:v>不明</x:v>
      </x:c>
      <x:c r="T538" s="3" t="str">
        <x:v>15-ปัจจุบัน</x:v>
      </x:c>
      <x:c r="U538" s="28" t="n">
        <x:v>980000</x:v>
      </x:c>
      <x:c r="V538" s="28" t="n">
        <x:v>1584000</x:v>
      </x:c>
      <x:c r="W538" s="3" t="str">
        <x:v>事故・水没・SOH・保証残は未確認</x:v>
      </x:c>
      <x:c r="X538" s="3" t="str">
        <x:v>掲載中・在庫未確認</x:v>
      </x:c>
      <x:c r="Y538" s="3" t="str"/>
      <x:c r="Z538" s="27" t="str">
        <x:v>https://www.taladrod.com/w40/icar/cardet.aspx?cid=2924891</x:v>
      </x:c>
      <x:c r="AA538" s="3" t="str">
        <x:v>Taladrod個別広告ID／Carsome在庫ID</x:v>
      </x:c>
      <x:c r="AB538" s="3" t="str">
        <x:v>車台番号未取得／サイト間重複は未判定</x:v>
      </x:c>
      <x:c r="AC538" s="3" t="str">
        <x:v>税込区分未確認（一覧表示額）</x:v>
      </x:c>
      <x:c r="AD538" s="3" t="str"/>
      <x:c r="AE538" s="29" t="str">
        <x:f>""</x:f>
      </x:c>
      <x:c r="AF538" s="30" t="str">
        <x:f>IF(ISNUMBER(AE538),U538/AE538,"")</x:f>
      </x:c>
      <x:c r="AG538" s="29" t="str">
        <x:f>""</x:f>
      </x:c>
      <x:c r="AH538" s="30" t="str">
        <x:f>IF(ISNUMBER(AG538),U538/AG538,"")</x:f>
      </x:c>
      <x:c r="AI538" s="3" t="str">
        <x:v>同年式・グレードの検証済み当時価格なし／登録年混在</x:v>
      </x:c>
      <x:c r="AJ538" s="3" t="str">
        <x:v>一覧価格/年式のみ</x:v>
      </x:c>
      <x:c r="AK538" s="3" t="str">
        <x:v>一覧の表示価格。年式は掲載年式。</x:v>
      </x:c>
      <x:c r="AL538" s="31" t="n">
        <x:f>IF(AND(J538&lt;='分析方法'!$B$7,OR(ISBLANK(O538),O538&gt;='分析方法'!$B$8),X538&lt;&gt;"売却済み表示"),1,0)</x:f>
        <x:v>1</x:v>
      </x:c>
      <x:c r="AM538" s="32" t="n">
        <x:f>IF(AL538=1,U538,"")</x:f>
        <x:v>980000</x:v>
      </x:c>
      <x:c r="AN538" s="33" t="str">
        <x:f>IF(AL538=1,AF538,"")</x:f>
      </x:c>
      <x:c r="AO538" s="31" t="n">
        <x:f>'分析方法'!$B$6-J538</x:f>
        <x:v>5</x:v>
      </x:c>
      <x:c r="AP538" s="3"/>
    </x:row>
    <x:row r="539" ht="22" customHeight="1">
      <x:c r="A539" s="3" t="str">
        <x:v>T2901508</x:v>
      </x:c>
      <x:c r="B539" s="7" t="d">
        <x:v>2026-10-08T00:00:00.000Z</x:v>
      </x:c>
      <x:c r="C539" s="3" t="str">
        <x:v>Taladrod</x:v>
      </x:c>
      <x:c r="D539" s="3" t="str">
        <x:v>Toyota</x:v>
      </x:c>
      <x:c r="E539" s="3" t="str">
        <x:v>日本</x:v>
      </x:c>
      <x:c r="F539" s="3" t="str">
        <x:v>Fortuner</x:v>
      </x:c>
      <x:c r="G539" s="3" t="str">
        <x:v>ICE</x:v>
      </x:c>
      <x:c r="H539" s="3" t="str">
        <x:v>SUV</x:v>
      </x:c>
      <x:c r="I539" s="3" t="str"/>
      <x:c r="J539" s="3" t="n">
        <x:v>2021</x:v>
      </x:c>
      <x:c r="K539" s="3" t="str">
        <x:v>2.4 LEGENDER BLACK TOP 4WD</x:v>
      </x:c>
      <x:c r="L539" s="3" t="str">
        <x:v>2.4 LEGENDER BLACK TOP 4WD</x:v>
      </x:c>
      <x:c r="M539" s="22"/>
      <x:c r="N539" s="22"/>
      <x:c r="O539" s="22"/>
      <x:c r="P539" s="3" t="str">
        <x:v>未掲載</x:v>
      </x:c>
      <x:c r="Q539" s="3" t="str">
        <x:v>未取得</x:v>
      </x:c>
      <x:c r="R539" s="3" t="str">
        <x:v>Unknown</x:v>
      </x:c>
      <x:c r="S539" s="3" t="str">
        <x:v>不明</x:v>
      </x:c>
      <x:c r="T539" s="3" t="str">
        <x:v>15-ปัจจุบัน</x:v>
      </x:c>
      <x:c r="U539" s="28" t="n">
        <x:v>919000</x:v>
      </x:c>
      <x:c r="V539" s="28" t="n">
        <x:v>1654000</x:v>
      </x:c>
      <x:c r="W539" s="3" t="str">
        <x:v>事故・水没・SOH・保証残は未確認</x:v>
      </x:c>
      <x:c r="X539" s="3" t="str">
        <x:v>掲載中・在庫未確認</x:v>
      </x:c>
      <x:c r="Y539" s="3" t="str"/>
      <x:c r="Z539" s="27" t="str">
        <x:v>https://www.taladrod.com/w40/icar/cardet.aspx?cid=2901508</x:v>
      </x:c>
      <x:c r="AA539" s="3" t="str">
        <x:v>Taladrod個別広告ID／Carsome在庫ID</x:v>
      </x:c>
      <x:c r="AB539" s="3" t="str">
        <x:v>車台番号未取得／サイト間重複は未判定</x:v>
      </x:c>
      <x:c r="AC539" s="3" t="str">
        <x:v>税込区分未確認（一覧表示額）</x:v>
      </x:c>
      <x:c r="AD539" s="3" t="str"/>
      <x:c r="AE539" s="29" t="str">
        <x:f>""</x:f>
      </x:c>
      <x:c r="AF539" s="30" t="str">
        <x:f>IF(ISNUMBER(AE539),U539/AE539,"")</x:f>
      </x:c>
      <x:c r="AG539" s="29" t="str">
        <x:f>""</x:f>
      </x:c>
      <x:c r="AH539" s="30" t="str">
        <x:f>IF(ISNUMBER(AG539),U539/AG539,"")</x:f>
      </x:c>
      <x:c r="AI539" s="3" t="str">
        <x:v>同年式・グレードの検証済み当時価格なし／登録年混在</x:v>
      </x:c>
      <x:c r="AJ539" s="3" t="str">
        <x:v>一覧価格/年式のみ</x:v>
      </x:c>
      <x:c r="AK539" s="3" t="str">
        <x:v>一覧の表示価格。年式は掲載年式。</x:v>
      </x:c>
      <x:c r="AL539" s="31" t="n">
        <x:f>IF(AND(J539&lt;='分析方法'!$B$7,OR(ISBLANK(O539),O539&gt;='分析方法'!$B$8),X539&lt;&gt;"売却済み表示"),1,0)</x:f>
        <x:v>1</x:v>
      </x:c>
      <x:c r="AM539" s="32" t="n">
        <x:f>IF(AL539=1,U539,"")</x:f>
        <x:v>919000</x:v>
      </x:c>
      <x:c r="AN539" s="33" t="str">
        <x:f>IF(AL539=1,AF539,"")</x:f>
      </x:c>
      <x:c r="AO539" s="31" t="n">
        <x:f>'分析方法'!$B$6-J539</x:f>
        <x:v>5</x:v>
      </x:c>
      <x:c r="AP539" s="3"/>
    </x:row>
    <x:row r="540" ht="22" customHeight="1">
      <x:c r="A540" s="3" t="str">
        <x:v>T2910859</x:v>
      </x:c>
      <x:c r="B540" s="7" t="d">
        <x:v>2026-10-08T00:00:00.000Z</x:v>
      </x:c>
      <x:c r="C540" s="3" t="str">
        <x:v>Taladrod</x:v>
      </x:c>
      <x:c r="D540" s="3" t="str">
        <x:v>Toyota</x:v>
      </x:c>
      <x:c r="E540" s="3" t="str">
        <x:v>日本</x:v>
      </x:c>
      <x:c r="F540" s="3" t="str">
        <x:v>Fortuner</x:v>
      </x:c>
      <x:c r="G540" s="3" t="str">
        <x:v>ICE</x:v>
      </x:c>
      <x:c r="H540" s="3" t="str">
        <x:v>SUV</x:v>
      </x:c>
      <x:c r="I540" s="3" t="str"/>
      <x:c r="J540" s="3" t="n">
        <x:v>2021</x:v>
      </x:c>
      <x:c r="K540" s="3" t="str">
        <x:v>2.4 LEGENDER BLACK TOP 4WD</x:v>
      </x:c>
      <x:c r="L540" s="3" t="str">
        <x:v>2.4 LEGENDER BLACK TOP 4WD</x:v>
      </x:c>
      <x:c r="M540" s="22"/>
      <x:c r="N540" s="22"/>
      <x:c r="O540" s="22"/>
      <x:c r="P540" s="3" t="str">
        <x:v>未掲載</x:v>
      </x:c>
      <x:c r="Q540" s="3" t="str">
        <x:v>未取得</x:v>
      </x:c>
      <x:c r="R540" s="3" t="str">
        <x:v>Unknown</x:v>
      </x:c>
      <x:c r="S540" s="3" t="str">
        <x:v>不明</x:v>
      </x:c>
      <x:c r="T540" s="3" t="str">
        <x:v>15-ปัจจุบัน</x:v>
      </x:c>
      <x:c r="U540" s="28" t="n">
        <x:v>999000</x:v>
      </x:c>
      <x:c r="V540" s="28" t="n">
        <x:v>1654000</x:v>
      </x:c>
      <x:c r="W540" s="3" t="str">
        <x:v>事故・水没・SOH・保証残は未確認</x:v>
      </x:c>
      <x:c r="X540" s="3" t="str">
        <x:v>掲載中・在庫未確認</x:v>
      </x:c>
      <x:c r="Y540" s="3" t="str"/>
      <x:c r="Z540" s="27" t="str">
        <x:v>https://www.taladrod.com/w40/icar/cardet.aspx?cid=2910859</x:v>
      </x:c>
      <x:c r="AA540" s="3" t="str">
        <x:v>Taladrod個別広告ID／Carsome在庫ID</x:v>
      </x:c>
      <x:c r="AB540" s="3" t="str">
        <x:v>車台番号未取得／サイト間重複は未判定</x:v>
      </x:c>
      <x:c r="AC540" s="3" t="str">
        <x:v>税込区分未確認（一覧表示額）</x:v>
      </x:c>
      <x:c r="AD540" s="3" t="str"/>
      <x:c r="AE540" s="29" t="str">
        <x:f>""</x:f>
      </x:c>
      <x:c r="AF540" s="30" t="str">
        <x:f>IF(ISNUMBER(AE540),U540/AE540,"")</x:f>
      </x:c>
      <x:c r="AG540" s="29" t="str">
        <x:f>""</x:f>
      </x:c>
      <x:c r="AH540" s="30" t="str">
        <x:f>IF(ISNUMBER(AG540),U540/AG540,"")</x:f>
      </x:c>
      <x:c r="AI540" s="3" t="str">
        <x:v>同年式・グレードの検証済み当時価格なし／登録年混在</x:v>
      </x:c>
      <x:c r="AJ540" s="3" t="str">
        <x:v>一覧価格/年式のみ</x:v>
      </x:c>
      <x:c r="AK540" s="3" t="str">
        <x:v>一覧の表示価格。年式は掲載年式。</x:v>
      </x:c>
      <x:c r="AL540" s="31" t="n">
        <x:f>IF(AND(J540&lt;='分析方法'!$B$7,OR(ISBLANK(O540),O540&gt;='分析方法'!$B$8),X540&lt;&gt;"売却済み表示"),1,0)</x:f>
        <x:v>1</x:v>
      </x:c>
      <x:c r="AM540" s="32" t="n">
        <x:f>IF(AL540=1,U540,"")</x:f>
        <x:v>999000</x:v>
      </x:c>
      <x:c r="AN540" s="33" t="str">
        <x:f>IF(AL540=1,AF540,"")</x:f>
      </x:c>
      <x:c r="AO540" s="31" t="n">
        <x:f>'分析方法'!$B$6-J540</x:f>
        <x:v>5</x:v>
      </x:c>
      <x:c r="AP540" s="3"/>
    </x:row>
    <x:row r="541" ht="22" customHeight="1">
      <x:c r="A541" s="3" t="str">
        <x:v>T2914329</x:v>
      </x:c>
      <x:c r="B541" s="7" t="d">
        <x:v>2026-10-08T00:00:00.000Z</x:v>
      </x:c>
      <x:c r="C541" s="3" t="str">
        <x:v>Taladrod</x:v>
      </x:c>
      <x:c r="D541" s="3" t="str">
        <x:v>Toyota</x:v>
      </x:c>
      <x:c r="E541" s="3" t="str">
        <x:v>日本</x:v>
      </x:c>
      <x:c r="F541" s="3" t="str">
        <x:v>Fortuner</x:v>
      </x:c>
      <x:c r="G541" s="3" t="str">
        <x:v>ICE</x:v>
      </x:c>
      <x:c r="H541" s="3" t="str">
        <x:v>SUV</x:v>
      </x:c>
      <x:c r="I541" s="3" t="str"/>
      <x:c r="J541" s="3" t="n">
        <x:v>2021</x:v>
      </x:c>
      <x:c r="K541" s="3" t="str">
        <x:v>2.4 LEGENDER BLACK TOP 4WD</x:v>
      </x:c>
      <x:c r="L541" s="3" t="str">
        <x:v>2.4 LEGENDER BLACK TOP 4WD</x:v>
      </x:c>
      <x:c r="M541" s="22"/>
      <x:c r="N541" s="22"/>
      <x:c r="O541" s="22"/>
      <x:c r="P541" s="3" t="str">
        <x:v>未掲載</x:v>
      </x:c>
      <x:c r="Q541" s="3" t="str">
        <x:v>未取得</x:v>
      </x:c>
      <x:c r="R541" s="3" t="str">
        <x:v>Unknown</x:v>
      </x:c>
      <x:c r="S541" s="3" t="str">
        <x:v>不明</x:v>
      </x:c>
      <x:c r="T541" s="3" t="str">
        <x:v>15-ปัจจุบัน</x:v>
      </x:c>
      <x:c r="U541" s="28" t="n">
        <x:v>989000</x:v>
      </x:c>
      <x:c r="V541" s="28" t="n">
        <x:v>1654000</x:v>
      </x:c>
      <x:c r="W541" s="3" t="str">
        <x:v>事故・水没・SOH・保証残は未確認</x:v>
      </x:c>
      <x:c r="X541" s="3" t="str">
        <x:v>掲載中・在庫未確認</x:v>
      </x:c>
      <x:c r="Y541" s="3" t="str"/>
      <x:c r="Z541" s="27" t="str">
        <x:v>https://www.taladrod.com/w40/icar/cardet.aspx?cid=2914329</x:v>
      </x:c>
      <x:c r="AA541" s="3" t="str">
        <x:v>Taladrod個別広告ID／Carsome在庫ID</x:v>
      </x:c>
      <x:c r="AB541" s="3" t="str">
        <x:v>車台番号未取得／サイト間重複は未判定</x:v>
      </x:c>
      <x:c r="AC541" s="3" t="str">
        <x:v>税込区分未確認（一覧表示額）</x:v>
      </x:c>
      <x:c r="AD541" s="3" t="str"/>
      <x:c r="AE541" s="29" t="str">
        <x:f>""</x:f>
      </x:c>
      <x:c r="AF541" s="30" t="str">
        <x:f>IF(ISNUMBER(AE541),U541/AE541,"")</x:f>
      </x:c>
      <x:c r="AG541" s="29" t="str">
        <x:f>""</x:f>
      </x:c>
      <x:c r="AH541" s="30" t="str">
        <x:f>IF(ISNUMBER(AG541),U541/AG541,"")</x:f>
      </x:c>
      <x:c r="AI541" s="3" t="str">
        <x:v>同年式・グレードの検証済み当時価格なし／登録年混在</x:v>
      </x:c>
      <x:c r="AJ541" s="3" t="str">
        <x:v>一覧価格/年式のみ</x:v>
      </x:c>
      <x:c r="AK541" s="3" t="str">
        <x:v>一覧の表示価格。年式は掲載年式。</x:v>
      </x:c>
      <x:c r="AL541" s="31" t="n">
        <x:f>IF(AND(J541&lt;='分析方法'!$B$7,OR(ISBLANK(O541),O541&gt;='分析方法'!$B$8),X541&lt;&gt;"売却済み表示"),1,0)</x:f>
        <x:v>1</x:v>
      </x:c>
      <x:c r="AM541" s="32" t="n">
        <x:f>IF(AL541=1,U541,"")</x:f>
        <x:v>989000</x:v>
      </x:c>
      <x:c r="AN541" s="33" t="str">
        <x:f>IF(AL541=1,AF541,"")</x:f>
      </x:c>
      <x:c r="AO541" s="31" t="n">
        <x:f>'分析方法'!$B$6-J541</x:f>
        <x:v>5</x:v>
      </x:c>
      <x:c r="AP541" s="3"/>
    </x:row>
    <x:row r="542" ht="22" customHeight="1">
      <x:c r="A542" s="3" t="str">
        <x:v>T2895297</x:v>
      </x:c>
      <x:c r="B542" s="7" t="d">
        <x:v>2026-10-08T00:00:00.000Z</x:v>
      </x:c>
      <x:c r="C542" s="3" t="str">
        <x:v>Taladrod</x:v>
      </x:c>
      <x:c r="D542" s="3" t="str">
        <x:v>Toyota</x:v>
      </x:c>
      <x:c r="E542" s="3" t="str">
        <x:v>日本</x:v>
      </x:c>
      <x:c r="F542" s="3" t="str">
        <x:v>Fortuner</x:v>
      </x:c>
      <x:c r="G542" s="3" t="str">
        <x:v>ICE</x:v>
      </x:c>
      <x:c r="H542" s="3" t="str">
        <x:v>SUV</x:v>
      </x:c>
      <x:c r="I542" s="3" t="str"/>
      <x:c r="J542" s="3" t="n">
        <x:v>2021</x:v>
      </x:c>
      <x:c r="K542" s="3" t="str">
        <x:v>2.4 V</x:v>
      </x:c>
      <x:c r="L542" s="3" t="str">
        <x:v>2.4 V</x:v>
      </x:c>
      <x:c r="M542" s="22"/>
      <x:c r="N542" s="22"/>
      <x:c r="O542" s="22"/>
      <x:c r="P542" s="3" t="str">
        <x:v>未掲載</x:v>
      </x:c>
      <x:c r="Q542" s="3" t="str">
        <x:v>未取得</x:v>
      </x:c>
      <x:c r="R542" s="3" t="str">
        <x:v>Unknown</x:v>
      </x:c>
      <x:c r="S542" s="3" t="str">
        <x:v>不明</x:v>
      </x:c>
      <x:c r="T542" s="3" t="str">
        <x:v>15-ปัจจุบัน</x:v>
      </x:c>
      <x:c r="U542" s="28" t="n">
        <x:v>891000</x:v>
      </x:c>
      <x:c r="V542" s="28" t="n">
        <x:v>1419000</x:v>
      </x:c>
      <x:c r="W542" s="3" t="str">
        <x:v>事故・水没・SOH・保証残は未確認</x:v>
      </x:c>
      <x:c r="X542" s="3" t="str">
        <x:v>掲載中・在庫未確認</x:v>
      </x:c>
      <x:c r="Y542" s="3" t="str"/>
      <x:c r="Z542" s="27" t="str">
        <x:v>https://www.taladrod.com/w40/icar/cardet.aspx?cid=2895297</x:v>
      </x:c>
      <x:c r="AA542" s="3" t="str">
        <x:v>Taladrod個別広告ID／Carsome在庫ID</x:v>
      </x:c>
      <x:c r="AB542" s="3" t="str">
        <x:v>車台番号未取得／サイト間重複は未判定</x:v>
      </x:c>
      <x:c r="AC542" s="3" t="str">
        <x:v>税込区分未確認（一覧表示額）</x:v>
      </x:c>
      <x:c r="AD542" s="3" t="str"/>
      <x:c r="AE542" s="29" t="str">
        <x:f>""</x:f>
      </x:c>
      <x:c r="AF542" s="30" t="str">
        <x:f>IF(ISNUMBER(AE542),U542/AE542,"")</x:f>
      </x:c>
      <x:c r="AG542" s="29" t="str">
        <x:f>""</x:f>
      </x:c>
      <x:c r="AH542" s="30" t="str">
        <x:f>IF(ISNUMBER(AG542),U542/AG542,"")</x:f>
      </x:c>
      <x:c r="AI542" s="3" t="str">
        <x:v>同年式・グレードの検証済み当時価格なし／登録年混在</x:v>
      </x:c>
      <x:c r="AJ542" s="3" t="str">
        <x:v>一覧価格/年式のみ</x:v>
      </x:c>
      <x:c r="AK542" s="3" t="str">
        <x:v>一覧の表示価格。年式は掲載年式。</x:v>
      </x:c>
      <x:c r="AL542" s="31" t="n">
        <x:f>IF(AND(J542&lt;='分析方法'!$B$7,OR(ISBLANK(O542),O542&gt;='分析方法'!$B$8),X542&lt;&gt;"売却済み表示"),1,0)</x:f>
        <x:v>1</x:v>
      </x:c>
      <x:c r="AM542" s="32" t="n">
        <x:f>IF(AL542=1,U542,"")</x:f>
        <x:v>891000</x:v>
      </x:c>
      <x:c r="AN542" s="33" t="str">
        <x:f>IF(AL542=1,AF542,"")</x:f>
      </x:c>
      <x:c r="AO542" s="31" t="n">
        <x:f>'分析方法'!$B$6-J542</x:f>
        <x:v>5</x:v>
      </x:c>
      <x:c r="AP542" s="3"/>
    </x:row>
    <x:row r="543" ht="22" customHeight="1">
      <x:c r="A543" s="3" t="str">
        <x:v>T2905120</x:v>
      </x:c>
      <x:c r="B543" s="7" t="d">
        <x:v>2026-10-08T00:00:00.000Z</x:v>
      </x:c>
      <x:c r="C543" s="3" t="str">
        <x:v>Taladrod</x:v>
      </x:c>
      <x:c r="D543" s="3" t="str">
        <x:v>Toyota</x:v>
      </x:c>
      <x:c r="E543" s="3" t="str">
        <x:v>日本</x:v>
      </x:c>
      <x:c r="F543" s="3" t="str">
        <x:v>Fortuner</x:v>
      </x:c>
      <x:c r="G543" s="3" t="str">
        <x:v>ICE</x:v>
      </x:c>
      <x:c r="H543" s="3" t="str">
        <x:v>SUV</x:v>
      </x:c>
      <x:c r="I543" s="3" t="str"/>
      <x:c r="J543" s="3" t="n">
        <x:v>2021</x:v>
      </x:c>
      <x:c r="K543" s="3" t="str">
        <x:v>2.4 V</x:v>
      </x:c>
      <x:c r="L543" s="3" t="str">
        <x:v>2.4 V</x:v>
      </x:c>
      <x:c r="M543" s="22"/>
      <x:c r="N543" s="22"/>
      <x:c r="O543" s="22"/>
      <x:c r="P543" s="3" t="str">
        <x:v>未掲載</x:v>
      </x:c>
      <x:c r="Q543" s="3" t="str">
        <x:v>未取得</x:v>
      </x:c>
      <x:c r="R543" s="3" t="str">
        <x:v>Unknown</x:v>
      </x:c>
      <x:c r="S543" s="3" t="str">
        <x:v>不明</x:v>
      </x:c>
      <x:c r="T543" s="3" t="str">
        <x:v>15-ปัจจุบัน</x:v>
      </x:c>
      <x:c r="U543" s="28" t="n">
        <x:v>844000</x:v>
      </x:c>
      <x:c r="V543" s="28" t="n">
        <x:v>1419000</x:v>
      </x:c>
      <x:c r="W543" s="3" t="str">
        <x:v>事故・水没・SOH・保証残は未確認</x:v>
      </x:c>
      <x:c r="X543" s="3" t="str">
        <x:v>掲載中・在庫未確認</x:v>
      </x:c>
      <x:c r="Y543" s="3" t="str"/>
      <x:c r="Z543" s="27" t="str">
        <x:v>https://www.taladrod.com/w40/icar/cardet.aspx?cid=2905120</x:v>
      </x:c>
      <x:c r="AA543" s="3" t="str">
        <x:v>Taladrod個別広告ID／Carsome在庫ID</x:v>
      </x:c>
      <x:c r="AB543" s="3" t="str">
        <x:v>車台番号未取得／サイト間重複は未判定</x:v>
      </x:c>
      <x:c r="AC543" s="3" t="str">
        <x:v>税込区分未確認（一覧表示額）</x:v>
      </x:c>
      <x:c r="AD543" s="3" t="str"/>
      <x:c r="AE543" s="29" t="str">
        <x:f>""</x:f>
      </x:c>
      <x:c r="AF543" s="30" t="str">
        <x:f>IF(ISNUMBER(AE543),U543/AE543,"")</x:f>
      </x:c>
      <x:c r="AG543" s="29" t="str">
        <x:f>""</x:f>
      </x:c>
      <x:c r="AH543" s="30" t="str">
        <x:f>IF(ISNUMBER(AG543),U543/AG543,"")</x:f>
      </x:c>
      <x:c r="AI543" s="3" t="str">
        <x:v>同年式・グレードの検証済み当時価格なし／登録年混在</x:v>
      </x:c>
      <x:c r="AJ543" s="3" t="str">
        <x:v>一覧価格/年式のみ</x:v>
      </x:c>
      <x:c r="AK543" s="3" t="str">
        <x:v>一覧の表示価格。年式は掲載年式。</x:v>
      </x:c>
      <x:c r="AL543" s="31" t="n">
        <x:f>IF(AND(J543&lt;='分析方法'!$B$7,OR(ISBLANK(O543),O543&gt;='分析方法'!$B$8),X543&lt;&gt;"売却済み表示"),1,0)</x:f>
        <x:v>1</x:v>
      </x:c>
      <x:c r="AM543" s="32" t="n">
        <x:f>IF(AL543=1,U543,"")</x:f>
        <x:v>844000</x:v>
      </x:c>
      <x:c r="AN543" s="33" t="str">
        <x:f>IF(AL543=1,AF543,"")</x:f>
      </x:c>
      <x:c r="AO543" s="31" t="n">
        <x:f>'分析方法'!$B$6-J543</x:f>
        <x:v>5</x:v>
      </x:c>
      <x:c r="AP543" s="3"/>
    </x:row>
    <x:row r="544" ht="22" customHeight="1">
      <x:c r="A544" s="3" t="str">
        <x:v>T2905154</x:v>
      </x:c>
      <x:c r="B544" s="7" t="d">
        <x:v>2026-10-08T00:00:00.000Z</x:v>
      </x:c>
      <x:c r="C544" s="3" t="str">
        <x:v>Taladrod</x:v>
      </x:c>
      <x:c r="D544" s="3" t="str">
        <x:v>Toyota</x:v>
      </x:c>
      <x:c r="E544" s="3" t="str">
        <x:v>日本</x:v>
      </x:c>
      <x:c r="F544" s="3" t="str">
        <x:v>Fortuner</x:v>
      </x:c>
      <x:c r="G544" s="3" t="str">
        <x:v>ICE</x:v>
      </x:c>
      <x:c r="H544" s="3" t="str">
        <x:v>SUV</x:v>
      </x:c>
      <x:c r="I544" s="3" t="str"/>
      <x:c r="J544" s="3" t="n">
        <x:v>2021</x:v>
      </x:c>
      <x:c r="K544" s="3" t="str">
        <x:v>2.4 V</x:v>
      </x:c>
      <x:c r="L544" s="3" t="str">
        <x:v>2.4 V</x:v>
      </x:c>
      <x:c r="M544" s="22"/>
      <x:c r="N544" s="22"/>
      <x:c r="O544" s="22"/>
      <x:c r="P544" s="3" t="str">
        <x:v>未掲載</x:v>
      </x:c>
      <x:c r="Q544" s="3" t="str">
        <x:v>未取得</x:v>
      </x:c>
      <x:c r="R544" s="3" t="str">
        <x:v>Unknown</x:v>
      </x:c>
      <x:c r="S544" s="3" t="str">
        <x:v>不明</x:v>
      </x:c>
      <x:c r="T544" s="3" t="str">
        <x:v>15-ปัจจุบัน</x:v>
      </x:c>
      <x:c r="U544" s="28" t="n">
        <x:v>804000</x:v>
      </x:c>
      <x:c r="V544" s="28" t="n">
        <x:v>1419000</x:v>
      </x:c>
      <x:c r="W544" s="3" t="str">
        <x:v>事故・水没・SOH・保証残は未確認</x:v>
      </x:c>
      <x:c r="X544" s="3" t="str">
        <x:v>掲載中・在庫未確認</x:v>
      </x:c>
      <x:c r="Y544" s="3" t="str"/>
      <x:c r="Z544" s="27" t="str">
        <x:v>https://www.taladrod.com/w40/icar/cardet.aspx?cid=2905154</x:v>
      </x:c>
      <x:c r="AA544" s="3" t="str">
        <x:v>Taladrod個別広告ID／Carsome在庫ID</x:v>
      </x:c>
      <x:c r="AB544" s="3" t="str">
        <x:v>車台番号未取得／サイト間重複は未判定</x:v>
      </x:c>
      <x:c r="AC544" s="3" t="str">
        <x:v>税込区分未確認（一覧表示額）</x:v>
      </x:c>
      <x:c r="AD544" s="3" t="str"/>
      <x:c r="AE544" s="29" t="str">
        <x:f>""</x:f>
      </x:c>
      <x:c r="AF544" s="30" t="str">
        <x:f>IF(ISNUMBER(AE544),U544/AE544,"")</x:f>
      </x:c>
      <x:c r="AG544" s="29" t="str">
        <x:f>""</x:f>
      </x:c>
      <x:c r="AH544" s="30" t="str">
        <x:f>IF(ISNUMBER(AG544),U544/AG544,"")</x:f>
      </x:c>
      <x:c r="AI544" s="3" t="str">
        <x:v>同年式・グレードの検証済み当時価格なし／登録年混在</x:v>
      </x:c>
      <x:c r="AJ544" s="3" t="str">
        <x:v>一覧価格/年式のみ</x:v>
      </x:c>
      <x:c r="AK544" s="3" t="str">
        <x:v>一覧の表示価格。年式は掲載年式。</x:v>
      </x:c>
      <x:c r="AL544" s="31" t="n">
        <x:f>IF(AND(J544&lt;='分析方法'!$B$7,OR(ISBLANK(O544),O544&gt;='分析方法'!$B$8),X544&lt;&gt;"売却済み表示"),1,0)</x:f>
        <x:v>1</x:v>
      </x:c>
      <x:c r="AM544" s="32" t="n">
        <x:f>IF(AL544=1,U544,"")</x:f>
        <x:v>804000</x:v>
      </x:c>
      <x:c r="AN544" s="33" t="str">
        <x:f>IF(AL544=1,AF544,"")</x:f>
      </x:c>
      <x:c r="AO544" s="31" t="n">
        <x:f>'分析方法'!$B$6-J544</x:f>
        <x:v>5</x:v>
      </x:c>
      <x:c r="AP544" s="3"/>
    </x:row>
    <x:row r="545" ht="22" customHeight="1">
      <x:c r="A545" s="3" t="str">
        <x:v>T2905671</x:v>
      </x:c>
      <x:c r="B545" s="7" t="d">
        <x:v>2026-10-08T00:00:00.000Z</x:v>
      </x:c>
      <x:c r="C545" s="3" t="str">
        <x:v>Taladrod</x:v>
      </x:c>
      <x:c r="D545" s="3" t="str">
        <x:v>Toyota</x:v>
      </x:c>
      <x:c r="E545" s="3" t="str">
        <x:v>日本</x:v>
      </x:c>
      <x:c r="F545" s="3" t="str">
        <x:v>Fortuner</x:v>
      </x:c>
      <x:c r="G545" s="3" t="str">
        <x:v>ICE</x:v>
      </x:c>
      <x:c r="H545" s="3" t="str">
        <x:v>SUV</x:v>
      </x:c>
      <x:c r="I545" s="3" t="str"/>
      <x:c r="J545" s="3" t="n">
        <x:v>2021</x:v>
      </x:c>
      <x:c r="K545" s="3" t="str">
        <x:v>2.4 V</x:v>
      </x:c>
      <x:c r="L545" s="3" t="str">
        <x:v>2.4 V</x:v>
      </x:c>
      <x:c r="M545" s="22"/>
      <x:c r="N545" s="22"/>
      <x:c r="O545" s="22"/>
      <x:c r="P545" s="3" t="str">
        <x:v>未掲載</x:v>
      </x:c>
      <x:c r="Q545" s="3" t="str">
        <x:v>未取得</x:v>
      </x:c>
      <x:c r="R545" s="3" t="str">
        <x:v>Unknown</x:v>
      </x:c>
      <x:c r="S545" s="3" t="str">
        <x:v>不明</x:v>
      </x:c>
      <x:c r="T545" s="3" t="str">
        <x:v>15-ปัจจุบัน</x:v>
      </x:c>
      <x:c r="U545" s="28" t="n">
        <x:v>849000</x:v>
      </x:c>
      <x:c r="V545" s="28" t="n">
        <x:v>1419000</x:v>
      </x:c>
      <x:c r="W545" s="3" t="str">
        <x:v>事故・水没・SOH・保証残は未確認</x:v>
      </x:c>
      <x:c r="X545" s="3" t="str">
        <x:v>掲載中・在庫未確認</x:v>
      </x:c>
      <x:c r="Y545" s="3" t="str"/>
      <x:c r="Z545" s="27" t="str">
        <x:v>https://www.taladrod.com/w40/icar/cardet.aspx?cid=2905671</x:v>
      </x:c>
      <x:c r="AA545" s="3" t="str">
        <x:v>Taladrod個別広告ID／Carsome在庫ID</x:v>
      </x:c>
      <x:c r="AB545" s="3" t="str">
        <x:v>車台番号未取得／サイト間重複は未判定</x:v>
      </x:c>
      <x:c r="AC545" s="3" t="str">
        <x:v>税込区分未確認（一覧表示額）</x:v>
      </x:c>
      <x:c r="AD545" s="3" t="str"/>
      <x:c r="AE545" s="29" t="str">
        <x:f>""</x:f>
      </x:c>
      <x:c r="AF545" s="30" t="str">
        <x:f>IF(ISNUMBER(AE545),U545/AE545,"")</x:f>
      </x:c>
      <x:c r="AG545" s="29" t="str">
        <x:f>""</x:f>
      </x:c>
      <x:c r="AH545" s="30" t="str">
        <x:f>IF(ISNUMBER(AG545),U545/AG545,"")</x:f>
      </x:c>
      <x:c r="AI545" s="3" t="str">
        <x:v>同年式・グレードの検証済み当時価格なし／登録年混在</x:v>
      </x:c>
      <x:c r="AJ545" s="3" t="str">
        <x:v>一覧価格/年式のみ</x:v>
      </x:c>
      <x:c r="AK545" s="3" t="str">
        <x:v>一覧の表示価格。年式は掲載年式。</x:v>
      </x:c>
      <x:c r="AL545" s="31" t="n">
        <x:f>IF(AND(J545&lt;='分析方法'!$B$7,OR(ISBLANK(O545),O545&gt;='分析方法'!$B$8),X545&lt;&gt;"売却済み表示"),1,0)</x:f>
        <x:v>1</x:v>
      </x:c>
      <x:c r="AM545" s="32" t="n">
        <x:f>IF(AL545=1,U545,"")</x:f>
        <x:v>849000</x:v>
      </x:c>
      <x:c r="AN545" s="33" t="str">
        <x:f>IF(AL545=1,AF545,"")</x:f>
      </x:c>
      <x:c r="AO545" s="31" t="n">
        <x:f>'分析方法'!$B$6-J545</x:f>
        <x:v>5</x:v>
      </x:c>
      <x:c r="AP545" s="3"/>
    </x:row>
    <x:row r="546" ht="22" customHeight="1">
      <x:c r="A546" s="3" t="str">
        <x:v>T2907319</x:v>
      </x:c>
      <x:c r="B546" s="7" t="d">
        <x:v>2026-10-08T00:00:00.000Z</x:v>
      </x:c>
      <x:c r="C546" s="3" t="str">
        <x:v>Taladrod</x:v>
      </x:c>
      <x:c r="D546" s="3" t="str">
        <x:v>Toyota</x:v>
      </x:c>
      <x:c r="E546" s="3" t="str">
        <x:v>日本</x:v>
      </x:c>
      <x:c r="F546" s="3" t="str">
        <x:v>Fortuner</x:v>
      </x:c>
      <x:c r="G546" s="3" t="str">
        <x:v>ICE</x:v>
      </x:c>
      <x:c r="H546" s="3" t="str">
        <x:v>SUV</x:v>
      </x:c>
      <x:c r="I546" s="3" t="str"/>
      <x:c r="J546" s="3" t="n">
        <x:v>2021</x:v>
      </x:c>
      <x:c r="K546" s="3" t="str">
        <x:v>2.4 V</x:v>
      </x:c>
      <x:c r="L546" s="3" t="str">
        <x:v>2.4 V</x:v>
      </x:c>
      <x:c r="M546" s="22"/>
      <x:c r="N546" s="22"/>
      <x:c r="O546" s="22"/>
      <x:c r="P546" s="3" t="str">
        <x:v>未掲載</x:v>
      </x:c>
      <x:c r="Q546" s="3" t="str">
        <x:v>未取得</x:v>
      </x:c>
      <x:c r="R546" s="3" t="str">
        <x:v>Unknown</x:v>
      </x:c>
      <x:c r="S546" s="3" t="str">
        <x:v>不明</x:v>
      </x:c>
      <x:c r="T546" s="3" t="str">
        <x:v>15-ปัจจุบัน</x:v>
      </x:c>
      <x:c r="U546" s="28" t="n">
        <x:v>829000</x:v>
      </x:c>
      <x:c r="V546" s="28" t="n">
        <x:v>1419000</x:v>
      </x:c>
      <x:c r="W546" s="3" t="str">
        <x:v>事故・水没・SOH・保証残は未確認</x:v>
      </x:c>
      <x:c r="X546" s="3" t="str">
        <x:v>掲載中・在庫未確認</x:v>
      </x:c>
      <x:c r="Y546" s="3" t="str"/>
      <x:c r="Z546" s="27" t="str">
        <x:v>https://www.taladrod.com/w40/icar/cardet.aspx?cid=2907319</x:v>
      </x:c>
      <x:c r="AA546" s="3" t="str">
        <x:v>Taladrod個別広告ID／Carsome在庫ID</x:v>
      </x:c>
      <x:c r="AB546" s="3" t="str">
        <x:v>車台番号未取得／サイト間重複は未判定</x:v>
      </x:c>
      <x:c r="AC546" s="3" t="str">
        <x:v>税込区分未確認（一覧表示額）</x:v>
      </x:c>
      <x:c r="AD546" s="3" t="str"/>
      <x:c r="AE546" s="29" t="str">
        <x:f>""</x:f>
      </x:c>
      <x:c r="AF546" s="30" t="str">
        <x:f>IF(ISNUMBER(AE546),U546/AE546,"")</x:f>
      </x:c>
      <x:c r="AG546" s="29" t="str">
        <x:f>""</x:f>
      </x:c>
      <x:c r="AH546" s="30" t="str">
        <x:f>IF(ISNUMBER(AG546),U546/AG546,"")</x:f>
      </x:c>
      <x:c r="AI546" s="3" t="str">
        <x:v>同年式・グレードの検証済み当時価格なし／登録年混在</x:v>
      </x:c>
      <x:c r="AJ546" s="3" t="str">
        <x:v>一覧価格/年式のみ</x:v>
      </x:c>
      <x:c r="AK546" s="3" t="str">
        <x:v>一覧の表示価格。年式は掲載年式。</x:v>
      </x:c>
      <x:c r="AL546" s="31" t="n">
        <x:f>IF(AND(J546&lt;='分析方法'!$B$7,OR(ISBLANK(O546),O546&gt;='分析方法'!$B$8),X546&lt;&gt;"売却済み表示"),1,0)</x:f>
        <x:v>1</x:v>
      </x:c>
      <x:c r="AM546" s="32" t="n">
        <x:f>IF(AL546=1,U546,"")</x:f>
        <x:v>829000</x:v>
      </x:c>
      <x:c r="AN546" s="33" t="str">
        <x:f>IF(AL546=1,AF546,"")</x:f>
      </x:c>
      <x:c r="AO546" s="31" t="n">
        <x:f>'分析方法'!$B$6-J546</x:f>
        <x:v>5</x:v>
      </x:c>
      <x:c r="AP546" s="3"/>
    </x:row>
    <x:row r="547" ht="22" customHeight="1">
      <x:c r="A547" s="3" t="str">
        <x:v>T2913558</x:v>
      </x:c>
      <x:c r="B547" s="7" t="d">
        <x:v>2026-10-08T00:00:00.000Z</x:v>
      </x:c>
      <x:c r="C547" s="3" t="str">
        <x:v>Taladrod</x:v>
      </x:c>
      <x:c r="D547" s="3" t="str">
        <x:v>Toyota</x:v>
      </x:c>
      <x:c r="E547" s="3" t="str">
        <x:v>日本</x:v>
      </x:c>
      <x:c r="F547" s="3" t="str">
        <x:v>Fortuner</x:v>
      </x:c>
      <x:c r="G547" s="3" t="str">
        <x:v>ICE</x:v>
      </x:c>
      <x:c r="H547" s="3" t="str">
        <x:v>SUV</x:v>
      </x:c>
      <x:c r="I547" s="3" t="str"/>
      <x:c r="J547" s="3" t="n">
        <x:v>2021</x:v>
      </x:c>
      <x:c r="K547" s="3" t="str">
        <x:v>2.4 V</x:v>
      </x:c>
      <x:c r="L547" s="3" t="str">
        <x:v>2.4 V</x:v>
      </x:c>
      <x:c r="M547" s="22"/>
      <x:c r="N547" s="22"/>
      <x:c r="O547" s="22"/>
      <x:c r="P547" s="3" t="str">
        <x:v>未掲載</x:v>
      </x:c>
      <x:c r="Q547" s="3" t="str">
        <x:v>未取得</x:v>
      </x:c>
      <x:c r="R547" s="3" t="str">
        <x:v>Unknown</x:v>
      </x:c>
      <x:c r="S547" s="3" t="str">
        <x:v>不明</x:v>
      </x:c>
      <x:c r="T547" s="3" t="str">
        <x:v>15-ปัจจุบัน</x:v>
      </x:c>
      <x:c r="U547" s="28" t="n">
        <x:v>849000</x:v>
      </x:c>
      <x:c r="V547" s="28" t="n">
        <x:v>1419000</x:v>
      </x:c>
      <x:c r="W547" s="3" t="str">
        <x:v>事故・水没・SOH・保証残は未確認</x:v>
      </x:c>
      <x:c r="X547" s="3" t="str">
        <x:v>掲載中・在庫未確認</x:v>
      </x:c>
      <x:c r="Y547" s="3" t="str"/>
      <x:c r="Z547" s="27" t="str">
        <x:v>https://www.taladrod.com/w40/icar/cardet.aspx?cid=2913558</x:v>
      </x:c>
      <x:c r="AA547" s="3" t="str">
        <x:v>Taladrod個別広告ID／Carsome在庫ID</x:v>
      </x:c>
      <x:c r="AB547" s="3" t="str">
        <x:v>車台番号未取得／サイト間重複は未判定</x:v>
      </x:c>
      <x:c r="AC547" s="3" t="str">
        <x:v>税込区分未確認（一覧表示額）</x:v>
      </x:c>
      <x:c r="AD547" s="3" t="str"/>
      <x:c r="AE547" s="29" t="str">
        <x:f>""</x:f>
      </x:c>
      <x:c r="AF547" s="30" t="str">
        <x:f>IF(ISNUMBER(AE547),U547/AE547,"")</x:f>
      </x:c>
      <x:c r="AG547" s="29" t="str">
        <x:f>""</x:f>
      </x:c>
      <x:c r="AH547" s="30" t="str">
        <x:f>IF(ISNUMBER(AG547),U547/AG547,"")</x:f>
      </x:c>
      <x:c r="AI547" s="3" t="str">
        <x:v>同年式・グレードの検証済み当時価格なし／登録年混在</x:v>
      </x:c>
      <x:c r="AJ547" s="3" t="str">
        <x:v>一覧価格/年式のみ</x:v>
      </x:c>
      <x:c r="AK547" s="3" t="str">
        <x:v>一覧の表示価格。年式は掲載年式。</x:v>
      </x:c>
      <x:c r="AL547" s="31" t="n">
        <x:f>IF(AND(J547&lt;='分析方法'!$B$7,OR(ISBLANK(O547),O547&gt;='分析方法'!$B$8),X547&lt;&gt;"売却済み表示"),1,0)</x:f>
        <x:v>1</x:v>
      </x:c>
      <x:c r="AM547" s="32" t="n">
        <x:f>IF(AL547=1,U547,"")</x:f>
        <x:v>849000</x:v>
      </x:c>
      <x:c r="AN547" s="33" t="str">
        <x:f>IF(AL547=1,AF547,"")</x:f>
      </x:c>
      <x:c r="AO547" s="31" t="n">
        <x:f>'分析方法'!$B$6-J547</x:f>
        <x:v>5</x:v>
      </x:c>
      <x:c r="AP547" s="3"/>
    </x:row>
    <x:row r="548" ht="22" customHeight="1">
      <x:c r="A548" s="3" t="str">
        <x:v>T2914939</x:v>
      </x:c>
      <x:c r="B548" s="7" t="d">
        <x:v>2026-10-08T00:00:00.000Z</x:v>
      </x:c>
      <x:c r="C548" s="3" t="str">
        <x:v>Taladrod</x:v>
      </x:c>
      <x:c r="D548" s="3" t="str">
        <x:v>Toyota</x:v>
      </x:c>
      <x:c r="E548" s="3" t="str">
        <x:v>日本</x:v>
      </x:c>
      <x:c r="F548" s="3" t="str">
        <x:v>Fortuner</x:v>
      </x:c>
      <x:c r="G548" s="3" t="str">
        <x:v>ICE</x:v>
      </x:c>
      <x:c r="H548" s="3" t="str">
        <x:v>SUV</x:v>
      </x:c>
      <x:c r="I548" s="3" t="str"/>
      <x:c r="J548" s="3" t="n">
        <x:v>2021</x:v>
      </x:c>
      <x:c r="K548" s="3" t="str">
        <x:v>2.4 V</x:v>
      </x:c>
      <x:c r="L548" s="3" t="str">
        <x:v>2.4 V</x:v>
      </x:c>
      <x:c r="M548" s="22"/>
      <x:c r="N548" s="22"/>
      <x:c r="O548" s="22"/>
      <x:c r="P548" s="3" t="str">
        <x:v>未掲載</x:v>
      </x:c>
      <x:c r="Q548" s="3" t="str">
        <x:v>未取得</x:v>
      </x:c>
      <x:c r="R548" s="3" t="str">
        <x:v>Unknown</x:v>
      </x:c>
      <x:c r="S548" s="3" t="str">
        <x:v>不明</x:v>
      </x:c>
      <x:c r="T548" s="3" t="str">
        <x:v>15-ปัจจุบัน</x:v>
      </x:c>
      <x:c r="U548" s="28" t="n">
        <x:v>804000</x:v>
      </x:c>
      <x:c r="V548" s="28" t="n">
        <x:v>1419000</x:v>
      </x:c>
      <x:c r="W548" s="3" t="str">
        <x:v>事故・水没・SOH・保証残は未確認</x:v>
      </x:c>
      <x:c r="X548" s="3" t="str">
        <x:v>掲載中・在庫未確認</x:v>
      </x:c>
      <x:c r="Y548" s="3" t="str"/>
      <x:c r="Z548" s="27" t="str">
        <x:v>https://www.taladrod.com/w40/icar/cardet.aspx?cid=2914939</x:v>
      </x:c>
      <x:c r="AA548" s="3" t="str">
        <x:v>Taladrod個別広告ID／Carsome在庫ID</x:v>
      </x:c>
      <x:c r="AB548" s="3" t="str">
        <x:v>車台番号未取得／サイト間重複は未判定</x:v>
      </x:c>
      <x:c r="AC548" s="3" t="str">
        <x:v>税込区分未確認（一覧表示額）</x:v>
      </x:c>
      <x:c r="AD548" s="3" t="str"/>
      <x:c r="AE548" s="29" t="str">
        <x:f>""</x:f>
      </x:c>
      <x:c r="AF548" s="30" t="str">
        <x:f>IF(ISNUMBER(AE548),U548/AE548,"")</x:f>
      </x:c>
      <x:c r="AG548" s="29" t="str">
        <x:f>""</x:f>
      </x:c>
      <x:c r="AH548" s="30" t="str">
        <x:f>IF(ISNUMBER(AG548),U548/AG548,"")</x:f>
      </x:c>
      <x:c r="AI548" s="3" t="str">
        <x:v>同年式・グレードの検証済み当時価格なし／登録年混在</x:v>
      </x:c>
      <x:c r="AJ548" s="3" t="str">
        <x:v>一覧価格/年式のみ</x:v>
      </x:c>
      <x:c r="AK548" s="3" t="str">
        <x:v>一覧の表示価格。年式は掲載年式。</x:v>
      </x:c>
      <x:c r="AL548" s="31" t="n">
        <x:f>IF(AND(J548&lt;='分析方法'!$B$7,OR(ISBLANK(O548),O548&gt;='分析方法'!$B$8),X548&lt;&gt;"売却済み表示"),1,0)</x:f>
        <x:v>1</x:v>
      </x:c>
      <x:c r="AM548" s="32" t="n">
        <x:f>IF(AL548=1,U548,"")</x:f>
        <x:v>804000</x:v>
      </x:c>
      <x:c r="AN548" s="33" t="str">
        <x:f>IF(AL548=1,AF548,"")</x:f>
      </x:c>
      <x:c r="AO548" s="31" t="n">
        <x:f>'分析方法'!$B$6-J548</x:f>
        <x:v>5</x:v>
      </x:c>
      <x:c r="AP548" s="3"/>
    </x:row>
    <x:row r="549" ht="22" customHeight="1">
      <x:c r="A549" s="3" t="str">
        <x:v>T2901443</x:v>
      </x:c>
      <x:c r="B549" s="7" t="d">
        <x:v>2026-10-08T00:00:00.000Z</x:v>
      </x:c>
      <x:c r="C549" s="3" t="str">
        <x:v>Taladrod</x:v>
      </x:c>
      <x:c r="D549" s="3" t="str">
        <x:v>Toyota</x:v>
      </x:c>
      <x:c r="E549" s="3" t="str">
        <x:v>日本</x:v>
      </x:c>
      <x:c r="F549" s="3" t="str">
        <x:v>Fortuner</x:v>
      </x:c>
      <x:c r="G549" s="3" t="str">
        <x:v>ICE</x:v>
      </x:c>
      <x:c r="H549" s="3" t="str">
        <x:v>SUV</x:v>
      </x:c>
      <x:c r="I549" s="3" t="str"/>
      <x:c r="J549" s="3" t="n">
        <x:v>2021</x:v>
      </x:c>
      <x:c r="K549" s="3" t="str">
        <x:v>2.4 V 4WD</x:v>
      </x:c>
      <x:c r="L549" s="3" t="str">
        <x:v>2.4 V 4WD</x:v>
      </x:c>
      <x:c r="M549" s="22"/>
      <x:c r="N549" s="22"/>
      <x:c r="O549" s="22"/>
      <x:c r="P549" s="3" t="str">
        <x:v>未掲載</x:v>
      </x:c>
      <x:c r="Q549" s="3" t="str">
        <x:v>未取得</x:v>
      </x:c>
      <x:c r="R549" s="3" t="str">
        <x:v>Unknown</x:v>
      </x:c>
      <x:c r="S549" s="3" t="str">
        <x:v>不明</x:v>
      </x:c>
      <x:c r="T549" s="3" t="str">
        <x:v>15-ปัจจุบัน</x:v>
      </x:c>
      <x:c r="U549" s="28" t="n">
        <x:v>849000</x:v>
      </x:c>
      <x:c r="V549" s="28" t="n">
        <x:v>1494000</x:v>
      </x:c>
      <x:c r="W549" s="3" t="str">
        <x:v>事故・水没・SOH・保証残は未確認</x:v>
      </x:c>
      <x:c r="X549" s="3" t="str">
        <x:v>掲載中・在庫未確認</x:v>
      </x:c>
      <x:c r="Y549" s="3" t="str"/>
      <x:c r="Z549" s="27" t="str">
        <x:v>https://www.taladrod.com/w40/icar/cardet.aspx?cid=2901443</x:v>
      </x:c>
      <x:c r="AA549" s="3" t="str">
        <x:v>Taladrod個別広告ID／Carsome在庫ID</x:v>
      </x:c>
      <x:c r="AB549" s="3" t="str">
        <x:v>車台番号未取得／サイト間重複は未判定</x:v>
      </x:c>
      <x:c r="AC549" s="3" t="str">
        <x:v>税込区分未確認（一覧表示額）</x:v>
      </x:c>
      <x:c r="AD549" s="3" t="str"/>
      <x:c r="AE549" s="29" t="str">
        <x:f>""</x:f>
      </x:c>
      <x:c r="AF549" s="30" t="str">
        <x:f>IF(ISNUMBER(AE549),U549/AE549,"")</x:f>
      </x:c>
      <x:c r="AG549" s="29" t="str">
        <x:f>""</x:f>
      </x:c>
      <x:c r="AH549" s="30" t="str">
        <x:f>IF(ISNUMBER(AG549),U549/AG549,"")</x:f>
      </x:c>
      <x:c r="AI549" s="3" t="str">
        <x:v>同年式・グレードの検証済み当時価格なし／登録年混在</x:v>
      </x:c>
      <x:c r="AJ549" s="3" t="str">
        <x:v>一覧価格/年式のみ</x:v>
      </x:c>
      <x:c r="AK549" s="3" t="str">
        <x:v>一覧の表示価格。年式は掲載年式。</x:v>
      </x:c>
      <x:c r="AL549" s="31" t="n">
        <x:f>IF(AND(J549&lt;='分析方法'!$B$7,OR(ISBLANK(O549),O549&gt;='分析方法'!$B$8),X549&lt;&gt;"売却済み表示"),1,0)</x:f>
        <x:v>1</x:v>
      </x:c>
      <x:c r="AM549" s="32" t="n">
        <x:f>IF(AL549=1,U549,"")</x:f>
        <x:v>849000</x:v>
      </x:c>
      <x:c r="AN549" s="33" t="str">
        <x:f>IF(AL549=1,AF549,"")</x:f>
      </x:c>
      <x:c r="AO549" s="31" t="n">
        <x:f>'分析方法'!$B$6-J549</x:f>
        <x:v>5</x:v>
      </x:c>
      <x:c r="AP549" s="3"/>
    </x:row>
    <x:row r="550" ht="22" customHeight="1">
      <x:c r="A550" s="3" t="str">
        <x:v>T2903990</x:v>
      </x:c>
      <x:c r="B550" s="7" t="d">
        <x:v>2026-10-08T00:00:00.000Z</x:v>
      </x:c>
      <x:c r="C550" s="3" t="str">
        <x:v>Taladrod</x:v>
      </x:c>
      <x:c r="D550" s="3" t="str">
        <x:v>Toyota</x:v>
      </x:c>
      <x:c r="E550" s="3" t="str">
        <x:v>日本</x:v>
      </x:c>
      <x:c r="F550" s="3" t="str">
        <x:v>Fortuner</x:v>
      </x:c>
      <x:c r="G550" s="3" t="str">
        <x:v>ICE</x:v>
      </x:c>
      <x:c r="H550" s="3" t="str">
        <x:v>SUV</x:v>
      </x:c>
      <x:c r="I550" s="3" t="str"/>
      <x:c r="J550" s="3" t="n">
        <x:v>2021</x:v>
      </x:c>
      <x:c r="K550" s="3" t="str">
        <x:v>2.4 V 4WD</x:v>
      </x:c>
      <x:c r="L550" s="3" t="str">
        <x:v>2.4 V 4WD</x:v>
      </x:c>
      <x:c r="M550" s="22"/>
      <x:c r="N550" s="22"/>
      <x:c r="O550" s="22"/>
      <x:c r="P550" s="3" t="str">
        <x:v>未掲載</x:v>
      </x:c>
      <x:c r="Q550" s="3" t="str">
        <x:v>未取得</x:v>
      </x:c>
      <x:c r="R550" s="3" t="str">
        <x:v>Unknown</x:v>
      </x:c>
      <x:c r="S550" s="3" t="str">
        <x:v>不明</x:v>
      </x:c>
      <x:c r="T550" s="3" t="str">
        <x:v>15-ปัจจุบัน</x:v>
      </x:c>
      <x:c r="U550" s="28" t="n">
        <x:v>879000</x:v>
      </x:c>
      <x:c r="V550" s="28" t="n">
        <x:v>1494000</x:v>
      </x:c>
      <x:c r="W550" s="3" t="str">
        <x:v>事故・水没・SOH・保証残は未確認</x:v>
      </x:c>
      <x:c r="X550" s="3" t="str">
        <x:v>掲載中・在庫未確認</x:v>
      </x:c>
      <x:c r="Y550" s="3" t="str"/>
      <x:c r="Z550" s="27" t="str">
        <x:v>https://www.taladrod.com/w40/icar/cardet.aspx?cid=2903990</x:v>
      </x:c>
      <x:c r="AA550" s="3" t="str">
        <x:v>Taladrod個別広告ID／Carsome在庫ID</x:v>
      </x:c>
      <x:c r="AB550" s="3" t="str">
        <x:v>車台番号未取得／サイト間重複は未判定</x:v>
      </x:c>
      <x:c r="AC550" s="3" t="str">
        <x:v>税込区分未確認（一覧表示額）</x:v>
      </x:c>
      <x:c r="AD550" s="3" t="str"/>
      <x:c r="AE550" s="29" t="str">
        <x:f>""</x:f>
      </x:c>
      <x:c r="AF550" s="30" t="str">
        <x:f>IF(ISNUMBER(AE550),U550/AE550,"")</x:f>
      </x:c>
      <x:c r="AG550" s="29" t="str">
        <x:f>""</x:f>
      </x:c>
      <x:c r="AH550" s="30" t="str">
        <x:f>IF(ISNUMBER(AG550),U550/AG550,"")</x:f>
      </x:c>
      <x:c r="AI550" s="3" t="str">
        <x:v>同年式・グレードの検証済み当時価格なし／登録年混在</x:v>
      </x:c>
      <x:c r="AJ550" s="3" t="str">
        <x:v>一覧価格/年式のみ</x:v>
      </x:c>
      <x:c r="AK550" s="3" t="str">
        <x:v>一覧の表示価格。年式は掲載年式。</x:v>
      </x:c>
      <x:c r="AL550" s="31" t="n">
        <x:f>IF(AND(J550&lt;='分析方法'!$B$7,OR(ISBLANK(O550),O550&gt;='分析方法'!$B$8),X550&lt;&gt;"売却済み表示"),1,0)</x:f>
        <x:v>1</x:v>
      </x:c>
      <x:c r="AM550" s="32" t="n">
        <x:f>IF(AL550=1,U550,"")</x:f>
        <x:v>879000</x:v>
      </x:c>
      <x:c r="AN550" s="33" t="str">
        <x:f>IF(AL550=1,AF550,"")</x:f>
      </x:c>
      <x:c r="AO550" s="31" t="n">
        <x:f>'分析方法'!$B$6-J550</x:f>
        <x:v>5</x:v>
      </x:c>
      <x:c r="AP550" s="3"/>
    </x:row>
    <x:row r="551" ht="22" customHeight="1">
      <x:c r="A551" s="3" t="str">
        <x:v>T2909809</x:v>
      </x:c>
      <x:c r="B551" s="7" t="d">
        <x:v>2026-10-08T00:00:00.000Z</x:v>
      </x:c>
      <x:c r="C551" s="3" t="str">
        <x:v>Taladrod</x:v>
      </x:c>
      <x:c r="D551" s="3" t="str">
        <x:v>Toyota</x:v>
      </x:c>
      <x:c r="E551" s="3" t="str">
        <x:v>日本</x:v>
      </x:c>
      <x:c r="F551" s="3" t="str">
        <x:v>Fortuner</x:v>
      </x:c>
      <x:c r="G551" s="3" t="str">
        <x:v>ICE</x:v>
      </x:c>
      <x:c r="H551" s="3" t="str">
        <x:v>SUV</x:v>
      </x:c>
      <x:c r="I551" s="3" t="str"/>
      <x:c r="J551" s="3" t="n">
        <x:v>2021</x:v>
      </x:c>
      <x:c r="K551" s="3" t="str">
        <x:v>2.4 V 4WD</x:v>
      </x:c>
      <x:c r="L551" s="3" t="str">
        <x:v>2.4 V 4WD</x:v>
      </x:c>
      <x:c r="M551" s="22"/>
      <x:c r="N551" s="22"/>
      <x:c r="O551" s="22"/>
      <x:c r="P551" s="3" t="str">
        <x:v>未掲載</x:v>
      </x:c>
      <x:c r="Q551" s="3" t="str">
        <x:v>未取得</x:v>
      </x:c>
      <x:c r="R551" s="3" t="str">
        <x:v>Unknown</x:v>
      </x:c>
      <x:c r="S551" s="3" t="str">
        <x:v>不明</x:v>
      </x:c>
      <x:c r="T551" s="3" t="str">
        <x:v>15-ปัจจุบัน</x:v>
      </x:c>
      <x:c r="U551" s="28" t="n">
        <x:v>929000</x:v>
      </x:c>
      <x:c r="V551" s="28" t="n">
        <x:v>1494000</x:v>
      </x:c>
      <x:c r="W551" s="3" t="str">
        <x:v>事故・水没・SOH・保証残は未確認</x:v>
      </x:c>
      <x:c r="X551" s="3" t="str">
        <x:v>掲載中・在庫未確認</x:v>
      </x:c>
      <x:c r="Y551" s="3" t="str"/>
      <x:c r="Z551" s="27" t="str">
        <x:v>https://www.taladrod.com/w40/icar/cardet.aspx?cid=2909809</x:v>
      </x:c>
      <x:c r="AA551" s="3" t="str">
        <x:v>Taladrod個別広告ID／Carsome在庫ID</x:v>
      </x:c>
      <x:c r="AB551" s="3" t="str">
        <x:v>車台番号未取得／サイト間重複は未判定</x:v>
      </x:c>
      <x:c r="AC551" s="3" t="str">
        <x:v>税込区分未確認（一覧表示額）</x:v>
      </x:c>
      <x:c r="AD551" s="3" t="str"/>
      <x:c r="AE551" s="29" t="str">
        <x:f>""</x:f>
      </x:c>
      <x:c r="AF551" s="30" t="str">
        <x:f>IF(ISNUMBER(AE551),U551/AE551,"")</x:f>
      </x:c>
      <x:c r="AG551" s="29" t="str">
        <x:f>""</x:f>
      </x:c>
      <x:c r="AH551" s="30" t="str">
        <x:f>IF(ISNUMBER(AG551),U551/AG551,"")</x:f>
      </x:c>
      <x:c r="AI551" s="3" t="str">
        <x:v>同年式・グレードの検証済み当時価格なし／登録年混在</x:v>
      </x:c>
      <x:c r="AJ551" s="3" t="str">
        <x:v>一覧価格/年式のみ</x:v>
      </x:c>
      <x:c r="AK551" s="3" t="str">
        <x:v>一覧の表示価格。年式は掲載年式。</x:v>
      </x:c>
      <x:c r="AL551" s="31" t="n">
        <x:f>IF(AND(J551&lt;='分析方法'!$B$7,OR(ISBLANK(O551),O551&gt;='分析方法'!$B$8),X551&lt;&gt;"売却済み表示"),1,0)</x:f>
        <x:v>1</x:v>
      </x:c>
      <x:c r="AM551" s="32" t="n">
        <x:f>IF(AL551=1,U551,"")</x:f>
        <x:v>929000</x:v>
      </x:c>
      <x:c r="AN551" s="33" t="str">
        <x:f>IF(AL551=1,AF551,"")</x:f>
      </x:c>
      <x:c r="AO551" s="31" t="n">
        <x:f>'分析方法'!$B$6-J551</x:f>
        <x:v>5</x:v>
      </x:c>
      <x:c r="AP551" s="3"/>
    </x:row>
    <x:row r="552" ht="22" customHeight="1">
      <x:c r="A552" s="3" t="str">
        <x:v>T2910616</x:v>
      </x:c>
      <x:c r="B552" s="7" t="d">
        <x:v>2026-10-08T00:00:00.000Z</x:v>
      </x:c>
      <x:c r="C552" s="3" t="str">
        <x:v>Taladrod</x:v>
      </x:c>
      <x:c r="D552" s="3" t="str">
        <x:v>Toyota</x:v>
      </x:c>
      <x:c r="E552" s="3" t="str">
        <x:v>日本</x:v>
      </x:c>
      <x:c r="F552" s="3" t="str">
        <x:v>Fortuner</x:v>
      </x:c>
      <x:c r="G552" s="3" t="str">
        <x:v>ICE</x:v>
      </x:c>
      <x:c r="H552" s="3" t="str">
        <x:v>SUV</x:v>
      </x:c>
      <x:c r="I552" s="3" t="str"/>
      <x:c r="J552" s="3" t="n">
        <x:v>2021</x:v>
      </x:c>
      <x:c r="K552" s="3" t="str">
        <x:v>2.4 V 4WD</x:v>
      </x:c>
      <x:c r="L552" s="3" t="str">
        <x:v>2.4 V 4WD</x:v>
      </x:c>
      <x:c r="M552" s="22"/>
      <x:c r="N552" s="22"/>
      <x:c r="O552" s="22"/>
      <x:c r="P552" s="3" t="str">
        <x:v>未掲載</x:v>
      </x:c>
      <x:c r="Q552" s="3" t="str">
        <x:v>未取得</x:v>
      </x:c>
      <x:c r="R552" s="3" t="str">
        <x:v>Unknown</x:v>
      </x:c>
      <x:c r="S552" s="3" t="str">
        <x:v>不明</x:v>
      </x:c>
      <x:c r="T552" s="3" t="str">
        <x:v>15-ปัจจุบัน</x:v>
      </x:c>
      <x:c r="U552" s="28" t="n">
        <x:v>959000</x:v>
      </x:c>
      <x:c r="V552" s="28" t="n">
        <x:v>1494000</x:v>
      </x:c>
      <x:c r="W552" s="3" t="str">
        <x:v>事故・水没・SOH・保証残は未確認</x:v>
      </x:c>
      <x:c r="X552" s="3" t="str">
        <x:v>掲載中・在庫未確認</x:v>
      </x:c>
      <x:c r="Y552" s="3" t="str"/>
      <x:c r="Z552" s="27" t="str">
        <x:v>https://www.taladrod.com/w40/icar/cardet.aspx?cid=2910616</x:v>
      </x:c>
      <x:c r="AA552" s="3" t="str">
        <x:v>Taladrod個別広告ID／Carsome在庫ID</x:v>
      </x:c>
      <x:c r="AB552" s="3" t="str">
        <x:v>車台番号未取得／サイト間重複は未判定</x:v>
      </x:c>
      <x:c r="AC552" s="3" t="str">
        <x:v>税込区分未確認（一覧表示額）</x:v>
      </x:c>
      <x:c r="AD552" s="3" t="str"/>
      <x:c r="AE552" s="29" t="str">
        <x:f>""</x:f>
      </x:c>
      <x:c r="AF552" s="30" t="str">
        <x:f>IF(ISNUMBER(AE552),U552/AE552,"")</x:f>
      </x:c>
      <x:c r="AG552" s="29" t="str">
        <x:f>""</x:f>
      </x:c>
      <x:c r="AH552" s="30" t="str">
        <x:f>IF(ISNUMBER(AG552),U552/AG552,"")</x:f>
      </x:c>
      <x:c r="AI552" s="3" t="str">
        <x:v>同年式・グレードの検証済み当時価格なし／登録年混在</x:v>
      </x:c>
      <x:c r="AJ552" s="3" t="str">
        <x:v>一覧価格/年式のみ</x:v>
      </x:c>
      <x:c r="AK552" s="3" t="str">
        <x:v>一覧の表示価格。年式は掲載年式。</x:v>
      </x:c>
      <x:c r="AL552" s="31" t="n">
        <x:f>IF(AND(J552&lt;='分析方法'!$B$7,OR(ISBLANK(O552),O552&gt;='分析方法'!$B$8),X552&lt;&gt;"売却済み表示"),1,0)</x:f>
        <x:v>1</x:v>
      </x:c>
      <x:c r="AM552" s="32" t="n">
        <x:f>IF(AL552=1,U552,"")</x:f>
        <x:v>959000</x:v>
      </x:c>
      <x:c r="AN552" s="33" t="str">
        <x:f>IF(AL552=1,AF552,"")</x:f>
      </x:c>
      <x:c r="AO552" s="31" t="n">
        <x:f>'分析方法'!$B$6-J552</x:f>
        <x:v>5</x:v>
      </x:c>
      <x:c r="AP552" s="3"/>
    </x:row>
    <x:row r="553" ht="22" customHeight="1">
      <x:c r="A553" s="3" t="str">
        <x:v>T2912892</x:v>
      </x:c>
      <x:c r="B553" s="7" t="d">
        <x:v>2026-10-08T00:00:00.000Z</x:v>
      </x:c>
      <x:c r="C553" s="3" t="str">
        <x:v>Taladrod</x:v>
      </x:c>
      <x:c r="D553" s="3" t="str">
        <x:v>Toyota</x:v>
      </x:c>
      <x:c r="E553" s="3" t="str">
        <x:v>日本</x:v>
      </x:c>
      <x:c r="F553" s="3" t="str">
        <x:v>Fortuner</x:v>
      </x:c>
      <x:c r="G553" s="3" t="str">
        <x:v>ICE</x:v>
      </x:c>
      <x:c r="H553" s="3" t="str">
        <x:v>SUV</x:v>
      </x:c>
      <x:c r="I553" s="3" t="str"/>
      <x:c r="J553" s="3" t="n">
        <x:v>2021</x:v>
      </x:c>
      <x:c r="K553" s="3" t="str">
        <x:v>2.4 V 4WD</x:v>
      </x:c>
      <x:c r="L553" s="3" t="str">
        <x:v>2.4 V 4WD</x:v>
      </x:c>
      <x:c r="M553" s="22"/>
      <x:c r="N553" s="22"/>
      <x:c r="O553" s="22"/>
      <x:c r="P553" s="3" t="str">
        <x:v>未掲載</x:v>
      </x:c>
      <x:c r="Q553" s="3" t="str">
        <x:v>未取得</x:v>
      </x:c>
      <x:c r="R553" s="3" t="str">
        <x:v>Unknown</x:v>
      </x:c>
      <x:c r="S553" s="3" t="str">
        <x:v>不明</x:v>
      </x:c>
      <x:c r="T553" s="3" t="str">
        <x:v>15-ปัจจุบัน</x:v>
      </x:c>
      <x:c r="U553" s="28" t="n">
        <x:v>778000</x:v>
      </x:c>
      <x:c r="V553" s="28" t="n">
        <x:v>1494000</x:v>
      </x:c>
      <x:c r="W553" s="3" t="str">
        <x:v>事故・水没・SOH・保証残は未確認</x:v>
      </x:c>
      <x:c r="X553" s="3" t="str">
        <x:v>掲載中・在庫未確認</x:v>
      </x:c>
      <x:c r="Y553" s="3" t="str"/>
      <x:c r="Z553" s="27" t="str">
        <x:v>https://www.taladrod.com/w40/icar/cardet.aspx?cid=2912892</x:v>
      </x:c>
      <x:c r="AA553" s="3" t="str">
        <x:v>Taladrod個別広告ID／Carsome在庫ID</x:v>
      </x:c>
      <x:c r="AB553" s="3" t="str">
        <x:v>車台番号未取得／サイト間重複は未判定</x:v>
      </x:c>
      <x:c r="AC553" s="3" t="str">
        <x:v>税込区分未確認（一覧表示額）</x:v>
      </x:c>
      <x:c r="AD553" s="3" t="str"/>
      <x:c r="AE553" s="29" t="str">
        <x:f>""</x:f>
      </x:c>
      <x:c r="AF553" s="30" t="str">
        <x:f>IF(ISNUMBER(AE553),U553/AE553,"")</x:f>
      </x:c>
      <x:c r="AG553" s="29" t="str">
        <x:f>""</x:f>
      </x:c>
      <x:c r="AH553" s="30" t="str">
        <x:f>IF(ISNUMBER(AG553),U553/AG553,"")</x:f>
      </x:c>
      <x:c r="AI553" s="3" t="str">
        <x:v>同年式・グレードの検証済み当時価格なし／登録年混在</x:v>
      </x:c>
      <x:c r="AJ553" s="3" t="str">
        <x:v>一覧価格/年式のみ</x:v>
      </x:c>
      <x:c r="AK553" s="3" t="str">
        <x:v>一覧の表示価格。年式は掲載年式。</x:v>
      </x:c>
      <x:c r="AL553" s="31" t="n">
        <x:f>IF(AND(J553&lt;='分析方法'!$B$7,OR(ISBLANK(O553),O553&gt;='分析方法'!$B$8),X553&lt;&gt;"売却済み表示"),1,0)</x:f>
        <x:v>1</x:v>
      </x:c>
      <x:c r="AM553" s="32" t="n">
        <x:f>IF(AL553=1,U553,"")</x:f>
        <x:v>778000</x:v>
      </x:c>
      <x:c r="AN553" s="33" t="str">
        <x:f>IF(AL553=1,AF553,"")</x:f>
      </x:c>
      <x:c r="AO553" s="31" t="n">
        <x:f>'分析方法'!$B$6-J553</x:f>
        <x:v>5</x:v>
      </x:c>
      <x:c r="AP553" s="3"/>
    </x:row>
    <x:row r="554" ht="22" customHeight="1">
      <x:c r="A554" s="3" t="str">
        <x:v>T2923446</x:v>
      </x:c>
      <x:c r="B554" s="7" t="d">
        <x:v>2026-10-08T00:00:00.000Z</x:v>
      </x:c>
      <x:c r="C554" s="3" t="str">
        <x:v>Taladrod</x:v>
      </x:c>
      <x:c r="D554" s="3" t="str">
        <x:v>Toyota</x:v>
      </x:c>
      <x:c r="E554" s="3" t="str">
        <x:v>日本</x:v>
      </x:c>
      <x:c r="F554" s="3" t="str">
        <x:v>Fortuner</x:v>
      </x:c>
      <x:c r="G554" s="3" t="str">
        <x:v>ICE</x:v>
      </x:c>
      <x:c r="H554" s="3" t="str">
        <x:v>SUV</x:v>
      </x:c>
      <x:c r="I554" s="3" t="str"/>
      <x:c r="J554" s="3" t="n">
        <x:v>2021</x:v>
      </x:c>
      <x:c r="K554" s="3" t="str">
        <x:v>2.4 V 4WD</x:v>
      </x:c>
      <x:c r="L554" s="3" t="str">
        <x:v>2.4 V 4WD</x:v>
      </x:c>
      <x:c r="M554" s="22"/>
      <x:c r="N554" s="22"/>
      <x:c r="O554" s="22"/>
      <x:c r="P554" s="3" t="str">
        <x:v>未掲載</x:v>
      </x:c>
      <x:c r="Q554" s="3" t="str">
        <x:v>未取得</x:v>
      </x:c>
      <x:c r="R554" s="3" t="str">
        <x:v>Unknown</x:v>
      </x:c>
      <x:c r="S554" s="3" t="str">
        <x:v>不明</x:v>
      </x:c>
      <x:c r="T554" s="3" t="str">
        <x:v>15-ปัจจุบัน</x:v>
      </x:c>
      <x:c r="U554" s="28" t="n">
        <x:v>990000</x:v>
      </x:c>
      <x:c r="V554" s="28" t="n">
        <x:v>1494000</x:v>
      </x:c>
      <x:c r="W554" s="3" t="str">
        <x:v>事故・水没・SOH・保証残は未確認</x:v>
      </x:c>
      <x:c r="X554" s="3" t="str">
        <x:v>掲載中・在庫未確認</x:v>
      </x:c>
      <x:c r="Y554" s="3" t="str"/>
      <x:c r="Z554" s="27" t="str">
        <x:v>https://www.taladrod.com/w40/icar/cardet.aspx?cid=2923446</x:v>
      </x:c>
      <x:c r="AA554" s="3" t="str">
        <x:v>Taladrod個別広告ID／Carsome在庫ID</x:v>
      </x:c>
      <x:c r="AB554" s="3" t="str">
        <x:v>車台番号未取得／サイト間重複は未判定</x:v>
      </x:c>
      <x:c r="AC554" s="3" t="str">
        <x:v>税込区分未確認（一覧表示額）</x:v>
      </x:c>
      <x:c r="AD554" s="3" t="str"/>
      <x:c r="AE554" s="29" t="str">
        <x:f>""</x:f>
      </x:c>
      <x:c r="AF554" s="30" t="str">
        <x:f>IF(ISNUMBER(AE554),U554/AE554,"")</x:f>
      </x:c>
      <x:c r="AG554" s="29" t="str">
        <x:f>""</x:f>
      </x:c>
      <x:c r="AH554" s="30" t="str">
        <x:f>IF(ISNUMBER(AG554),U554/AG554,"")</x:f>
      </x:c>
      <x:c r="AI554" s="3" t="str">
        <x:v>同年式・グレードの検証済み当時価格なし／登録年混在</x:v>
      </x:c>
      <x:c r="AJ554" s="3" t="str">
        <x:v>一覧価格/年式のみ</x:v>
      </x:c>
      <x:c r="AK554" s="3" t="str">
        <x:v>一覧の表示価格。年式は掲載年式。</x:v>
      </x:c>
      <x:c r="AL554" s="31" t="n">
        <x:f>IF(AND(J554&lt;='分析方法'!$B$7,OR(ISBLANK(O554),O554&gt;='分析方法'!$B$8),X554&lt;&gt;"売却済み表示"),1,0)</x:f>
        <x:v>1</x:v>
      </x:c>
      <x:c r="AM554" s="32" t="n">
        <x:f>IF(AL554=1,U554,"")</x:f>
        <x:v>990000</x:v>
      </x:c>
      <x:c r="AN554" s="33" t="str">
        <x:f>IF(AL554=1,AF554,"")</x:f>
      </x:c>
      <x:c r="AO554" s="31" t="n">
        <x:f>'分析方法'!$B$6-J554</x:f>
        <x:v>5</x:v>
      </x:c>
      <x:c r="AP554" s="3"/>
    </x:row>
    <x:row r="555" ht="22" customHeight="1">
      <x:c r="A555" s="3" t="str">
        <x:v>T2916435</x:v>
      </x:c>
      <x:c r="B555" s="7" t="d">
        <x:v>2026-10-08T00:00:00.000Z</x:v>
      </x:c>
      <x:c r="C555" s="3" t="str">
        <x:v>Taladrod</x:v>
      </x:c>
      <x:c r="D555" s="3" t="str">
        <x:v>Toyota</x:v>
      </x:c>
      <x:c r="E555" s="3" t="str">
        <x:v>日本</x:v>
      </x:c>
      <x:c r="F555" s="3" t="str">
        <x:v>Fortuner</x:v>
      </x:c>
      <x:c r="G555" s="3" t="str">
        <x:v>ICE</x:v>
      </x:c>
      <x:c r="H555" s="3" t="str">
        <x:v>SUV</x:v>
      </x:c>
      <x:c r="I555" s="3" t="str"/>
      <x:c r="J555" s="3" t="n">
        <x:v>2021</x:v>
      </x:c>
      <x:c r="K555" s="3" t="str">
        <x:v>2.8 LEGENDER</x:v>
      </x:c>
      <x:c r="L555" s="3" t="str">
        <x:v>2.8 LEGENDER</x:v>
      </x:c>
      <x:c r="M555" s="22"/>
      <x:c r="N555" s="22"/>
      <x:c r="O555" s="22"/>
      <x:c r="P555" s="3" t="str">
        <x:v>未掲載</x:v>
      </x:c>
      <x:c r="Q555" s="3" t="str">
        <x:v>未取得</x:v>
      </x:c>
      <x:c r="R555" s="3" t="str">
        <x:v>Unknown</x:v>
      </x:c>
      <x:c r="S555" s="3" t="str">
        <x:v>不明</x:v>
      </x:c>
      <x:c r="T555" s="3" t="str">
        <x:v>15-ปัจจุบัน</x:v>
      </x:c>
      <x:c r="U555" s="28" t="n">
        <x:v>974000</x:v>
      </x:c>
      <x:c r="V555" s="28" t="n">
        <x:v>1769000</x:v>
      </x:c>
      <x:c r="W555" s="3" t="str">
        <x:v>事故・水没・SOH・保証残は未確認</x:v>
      </x:c>
      <x:c r="X555" s="3" t="str">
        <x:v>掲載中・在庫未確認</x:v>
      </x:c>
      <x:c r="Y555" s="3" t="str"/>
      <x:c r="Z555" s="27" t="str">
        <x:v>https://www.taladrod.com/w40/icar/cardet.aspx?cid=2916435</x:v>
      </x:c>
      <x:c r="AA555" s="3" t="str">
        <x:v>Taladrod個別広告ID／Carsome在庫ID</x:v>
      </x:c>
      <x:c r="AB555" s="3" t="str">
        <x:v>車台番号未取得／サイト間重複は未判定</x:v>
      </x:c>
      <x:c r="AC555" s="3" t="str">
        <x:v>税込区分未確認（一覧表示額）</x:v>
      </x:c>
      <x:c r="AD555" s="3" t="str"/>
      <x:c r="AE555" s="29" t="str">
        <x:f>""</x:f>
      </x:c>
      <x:c r="AF555" s="30" t="str">
        <x:f>IF(ISNUMBER(AE555),U555/AE555,"")</x:f>
      </x:c>
      <x:c r="AG555" s="29" t="str">
        <x:f>""</x:f>
      </x:c>
      <x:c r="AH555" s="30" t="str">
        <x:f>IF(ISNUMBER(AG555),U555/AG555,"")</x:f>
      </x:c>
      <x:c r="AI555" s="3" t="str">
        <x:v>同年式・グレードの検証済み当時価格なし／登録年混在</x:v>
      </x:c>
      <x:c r="AJ555" s="3" t="str">
        <x:v>一覧価格/年式のみ</x:v>
      </x:c>
      <x:c r="AK555" s="3" t="str">
        <x:v>一覧の表示価格。年式は掲載年式。</x:v>
      </x:c>
      <x:c r="AL555" s="31" t="n">
        <x:f>IF(AND(J555&lt;='分析方法'!$B$7,OR(ISBLANK(O555),O555&gt;='分析方法'!$B$8),X555&lt;&gt;"売却済み表示"),1,0)</x:f>
        <x:v>1</x:v>
      </x:c>
      <x:c r="AM555" s="32" t="n">
        <x:f>IF(AL555=1,U555,"")</x:f>
        <x:v>974000</x:v>
      </x:c>
      <x:c r="AN555" s="33" t="str">
        <x:f>IF(AL555=1,AF555,"")</x:f>
      </x:c>
      <x:c r="AO555" s="31" t="n">
        <x:f>'分析方法'!$B$6-J555</x:f>
        <x:v>5</x:v>
      </x:c>
      <x:c r="AP555" s="3"/>
    </x:row>
    <x:row r="556" ht="22" customHeight="1">
      <x:c r="A556" s="3" t="str">
        <x:v>T2919966</x:v>
      </x:c>
      <x:c r="B556" s="7" t="d">
        <x:v>2026-10-08T00:00:00.000Z</x:v>
      </x:c>
      <x:c r="C556" s="3" t="str">
        <x:v>Taladrod</x:v>
      </x:c>
      <x:c r="D556" s="3" t="str">
        <x:v>Toyota</x:v>
      </x:c>
      <x:c r="E556" s="3" t="str">
        <x:v>日本</x:v>
      </x:c>
      <x:c r="F556" s="3" t="str">
        <x:v>Fortuner</x:v>
      </x:c>
      <x:c r="G556" s="3" t="str">
        <x:v>ICE</x:v>
      </x:c>
      <x:c r="H556" s="3" t="str">
        <x:v>SUV</x:v>
      </x:c>
      <x:c r="I556" s="3" t="str"/>
      <x:c r="J556" s="3" t="n">
        <x:v>2021</x:v>
      </x:c>
      <x:c r="K556" s="3" t="str">
        <x:v>2.8 LEGENDER 4WD</x:v>
      </x:c>
      <x:c r="L556" s="3" t="str">
        <x:v>2.8 LEGENDER 4WD</x:v>
      </x:c>
      <x:c r="M556" s="22"/>
      <x:c r="N556" s="22"/>
      <x:c r="O556" s="22"/>
      <x:c r="P556" s="3" t="str">
        <x:v>未掲載</x:v>
      </x:c>
      <x:c r="Q556" s="3" t="str">
        <x:v>未取得</x:v>
      </x:c>
      <x:c r="R556" s="3" t="str">
        <x:v>Unknown</x:v>
      </x:c>
      <x:c r="S556" s="3" t="str">
        <x:v>不明</x:v>
      </x:c>
      <x:c r="T556" s="3" t="str">
        <x:v>15-ปัจจุบัน</x:v>
      </x:c>
      <x:c r="U556" s="28" t="n">
        <x:v>995000</x:v>
      </x:c>
      <x:c r="V556" s="28" t="n">
        <x:v>1839000</x:v>
      </x:c>
      <x:c r="W556" s="3" t="str">
        <x:v>事故・水没・SOH・保証残は未確認</x:v>
      </x:c>
      <x:c r="X556" s="3" t="str">
        <x:v>掲載中・在庫未確認</x:v>
      </x:c>
      <x:c r="Y556" s="3" t="str"/>
      <x:c r="Z556" s="27" t="str">
        <x:v>https://www.taladrod.com/w40/icar/cardet.aspx?cid=2919966</x:v>
      </x:c>
      <x:c r="AA556" s="3" t="str">
        <x:v>Taladrod個別広告ID／Carsome在庫ID</x:v>
      </x:c>
      <x:c r="AB556" s="3" t="str">
        <x:v>車台番号未取得／サイト間重複は未判定</x:v>
      </x:c>
      <x:c r="AC556" s="3" t="str">
        <x:v>税込区分未確認（一覧表示額）</x:v>
      </x:c>
      <x:c r="AD556" s="3" t="str"/>
      <x:c r="AE556" s="29" t="str">
        <x:f>""</x:f>
      </x:c>
      <x:c r="AF556" s="30" t="str">
        <x:f>IF(ISNUMBER(AE556),U556/AE556,"")</x:f>
      </x:c>
      <x:c r="AG556" s="29" t="str">
        <x:f>""</x:f>
      </x:c>
      <x:c r="AH556" s="30" t="str">
        <x:f>IF(ISNUMBER(AG556),U556/AG556,"")</x:f>
      </x:c>
      <x:c r="AI556" s="3" t="str">
        <x:v>同年式・グレードの検証済み当時価格なし／登録年混在</x:v>
      </x:c>
      <x:c r="AJ556" s="3" t="str">
        <x:v>一覧価格/年式のみ</x:v>
      </x:c>
      <x:c r="AK556" s="3" t="str">
        <x:v>一覧の表示価格。年式は掲載年式。</x:v>
      </x:c>
      <x:c r="AL556" s="31" t="n">
        <x:f>IF(AND(J556&lt;='分析方法'!$B$7,OR(ISBLANK(O556),O556&gt;='分析方法'!$B$8),X556&lt;&gt;"売却済み表示"),1,0)</x:f>
        <x:v>1</x:v>
      </x:c>
      <x:c r="AM556" s="32" t="n">
        <x:f>IF(AL556=1,U556,"")</x:f>
        <x:v>995000</x:v>
      </x:c>
      <x:c r="AN556" s="33" t="str">
        <x:f>IF(AL556=1,AF556,"")</x:f>
      </x:c>
      <x:c r="AO556" s="31" t="n">
        <x:f>'分析方法'!$B$6-J556</x:f>
        <x:v>5</x:v>
      </x:c>
      <x:c r="AP556" s="3"/>
    </x:row>
    <x:row r="557" ht="22" customHeight="1">
      <x:c r="A557" s="3" t="str">
        <x:v>T2925577</x:v>
      </x:c>
      <x:c r="B557" s="7" t="d">
        <x:v>2026-10-08T00:00:00.000Z</x:v>
      </x:c>
      <x:c r="C557" s="3" t="str">
        <x:v>Taladrod</x:v>
      </x:c>
      <x:c r="D557" s="3" t="str">
        <x:v>Toyota</x:v>
      </x:c>
      <x:c r="E557" s="3" t="str">
        <x:v>日本</x:v>
      </x:c>
      <x:c r="F557" s="3" t="str">
        <x:v>Fortuner</x:v>
      </x:c>
      <x:c r="G557" s="3" t="str">
        <x:v>ICE</x:v>
      </x:c>
      <x:c r="H557" s="3" t="str">
        <x:v>SUV</x:v>
      </x:c>
      <x:c r="I557" s="3" t="str"/>
      <x:c r="J557" s="3" t="n">
        <x:v>2021</x:v>
      </x:c>
      <x:c r="K557" s="3" t="str">
        <x:v>2.8 LEGENDER 4WD</x:v>
      </x:c>
      <x:c r="L557" s="3" t="str">
        <x:v>2.8 LEGENDER 4WD</x:v>
      </x:c>
      <x:c r="M557" s="22"/>
      <x:c r="N557" s="22"/>
      <x:c r="O557" s="22"/>
      <x:c r="P557" s="3" t="str">
        <x:v>未掲載</x:v>
      </x:c>
      <x:c r="Q557" s="3" t="str">
        <x:v>未取得</x:v>
      </x:c>
      <x:c r="R557" s="3" t="str">
        <x:v>Unknown</x:v>
      </x:c>
      <x:c r="S557" s="3" t="str">
        <x:v>不明</x:v>
      </x:c>
      <x:c r="T557" s="3" t="str">
        <x:v>15-ปัจจุบัน</x:v>
      </x:c>
      <x:c r="U557" s="28" t="n">
        <x:v>959000</x:v>
      </x:c>
      <x:c r="V557" s="28" t="n">
        <x:v>1839000</x:v>
      </x:c>
      <x:c r="W557" s="3" t="str">
        <x:v>事故・水没・SOH・保証残は未確認</x:v>
      </x:c>
      <x:c r="X557" s="3" t="str">
        <x:v>掲載中・在庫未確認</x:v>
      </x:c>
      <x:c r="Y557" s="3" t="str"/>
      <x:c r="Z557" s="27" t="str">
        <x:v>https://www.taladrod.com/w40/icar/cardet.aspx?cid=2925577</x:v>
      </x:c>
      <x:c r="AA557" s="3" t="str">
        <x:v>Taladrod個別広告ID／Carsome在庫ID</x:v>
      </x:c>
      <x:c r="AB557" s="3" t="str">
        <x:v>車台番号未取得／サイト間重複は未判定</x:v>
      </x:c>
      <x:c r="AC557" s="3" t="str">
        <x:v>税込区分未確認（一覧表示額）</x:v>
      </x:c>
      <x:c r="AD557" s="3" t="str"/>
      <x:c r="AE557" s="29" t="str">
        <x:f>""</x:f>
      </x:c>
      <x:c r="AF557" s="30" t="str">
        <x:f>IF(ISNUMBER(AE557),U557/AE557,"")</x:f>
      </x:c>
      <x:c r="AG557" s="29" t="str">
        <x:f>""</x:f>
      </x:c>
      <x:c r="AH557" s="30" t="str">
        <x:f>IF(ISNUMBER(AG557),U557/AG557,"")</x:f>
      </x:c>
      <x:c r="AI557" s="3" t="str">
        <x:v>同年式・グレードの検証済み当時価格なし／登録年混在</x:v>
      </x:c>
      <x:c r="AJ557" s="3" t="str">
        <x:v>一覧価格/年式のみ</x:v>
      </x:c>
      <x:c r="AK557" s="3" t="str">
        <x:v>一覧の表示価格。年式は掲載年式。</x:v>
      </x:c>
      <x:c r="AL557" s="31" t="n">
        <x:f>IF(AND(J557&lt;='分析方法'!$B$7,OR(ISBLANK(O557),O557&gt;='分析方法'!$B$8),X557&lt;&gt;"売却済み表示"),1,0)</x:f>
        <x:v>1</x:v>
      </x:c>
      <x:c r="AM557" s="32" t="n">
        <x:f>IF(AL557=1,U557,"")</x:f>
        <x:v>959000</x:v>
      </x:c>
      <x:c r="AN557" s="33" t="str">
        <x:f>IF(AL557=1,AF557,"")</x:f>
      </x:c>
      <x:c r="AO557" s="31" t="n">
        <x:f>'分析方法'!$B$6-J557</x:f>
        <x:v>5</x:v>
      </x:c>
      <x:c r="AP557" s="3"/>
    </x:row>
    <x:row r="558" ht="22" customHeight="1">
      <x:c r="A558" s="3" t="str">
        <x:v>T2913392</x:v>
      </x:c>
      <x:c r="B558" s="7" t="d">
        <x:v>2026-10-08T00:00:00.000Z</x:v>
      </x:c>
      <x:c r="C558" s="3" t="str">
        <x:v>Taladrod</x:v>
      </x:c>
      <x:c r="D558" s="3" t="str">
        <x:v>Toyota</x:v>
      </x:c>
      <x:c r="E558" s="3" t="str">
        <x:v>日本</x:v>
      </x:c>
      <x:c r="F558" s="3" t="str">
        <x:v>Fortuner</x:v>
      </x:c>
      <x:c r="G558" s="3" t="str">
        <x:v>ICE</x:v>
      </x:c>
      <x:c r="H558" s="3" t="str">
        <x:v>SUV</x:v>
      </x:c>
      <x:c r="I558" s="3" t="str"/>
      <x:c r="J558" s="3" t="n">
        <x:v>2021</x:v>
      </x:c>
      <x:c r="K558" s="3" t="str">
        <x:v>2.8 LEGENDER BLACK TOP</x:v>
      </x:c>
      <x:c r="L558" s="3" t="str">
        <x:v>2.8 LEGENDER BLACK TOP</x:v>
      </x:c>
      <x:c r="M558" s="22"/>
      <x:c r="N558" s="22"/>
      <x:c r="O558" s="22"/>
      <x:c r="P558" s="3" t="str">
        <x:v>未掲載</x:v>
      </x:c>
      <x:c r="Q558" s="3" t="str">
        <x:v>未取得</x:v>
      </x:c>
      <x:c r="R558" s="3" t="str">
        <x:v>Unknown</x:v>
      </x:c>
      <x:c r="S558" s="3" t="str">
        <x:v>不明</x:v>
      </x:c>
      <x:c r="T558" s="3" t="str">
        <x:v>15-ปัจจุบัน</x:v>
      </x:c>
      <x:c r="U558" s="28" t="n">
        <x:v>979000</x:v>
      </x:c>
      <x:c r="V558" s="28" t="n">
        <x:v>1789000</x:v>
      </x:c>
      <x:c r="W558" s="3" t="str">
        <x:v>事故・水没・SOH・保証残は未確認</x:v>
      </x:c>
      <x:c r="X558" s="3" t="str">
        <x:v>掲載中・在庫未確認</x:v>
      </x:c>
      <x:c r="Y558" s="3" t="str"/>
      <x:c r="Z558" s="27" t="str">
        <x:v>https://www.taladrod.com/w40/icar/cardet.aspx?cid=2913392</x:v>
      </x:c>
      <x:c r="AA558" s="3" t="str">
        <x:v>Taladrod個別広告ID／Carsome在庫ID</x:v>
      </x:c>
      <x:c r="AB558" s="3" t="str">
        <x:v>車台番号未取得／サイト間重複は未判定</x:v>
      </x:c>
      <x:c r="AC558" s="3" t="str">
        <x:v>税込区分未確認（一覧表示額）</x:v>
      </x:c>
      <x:c r="AD558" s="3" t="str"/>
      <x:c r="AE558" s="29" t="str">
        <x:f>""</x:f>
      </x:c>
      <x:c r="AF558" s="30" t="str">
        <x:f>IF(ISNUMBER(AE558),U558/AE558,"")</x:f>
      </x:c>
      <x:c r="AG558" s="29" t="str">
        <x:f>""</x:f>
      </x:c>
      <x:c r="AH558" s="30" t="str">
        <x:f>IF(ISNUMBER(AG558),U558/AG558,"")</x:f>
      </x:c>
      <x:c r="AI558" s="3" t="str">
        <x:v>同年式・グレードの検証済み当時価格なし／登録年混在</x:v>
      </x:c>
      <x:c r="AJ558" s="3" t="str">
        <x:v>一覧価格/年式のみ</x:v>
      </x:c>
      <x:c r="AK558" s="3" t="str">
        <x:v>一覧の表示価格。年式は掲載年式。</x:v>
      </x:c>
      <x:c r="AL558" s="31" t="n">
        <x:f>IF(AND(J558&lt;='分析方法'!$B$7,OR(ISBLANK(O558),O558&gt;='分析方法'!$B$8),X558&lt;&gt;"売却済み表示"),1,0)</x:f>
        <x:v>1</x:v>
      </x:c>
      <x:c r="AM558" s="32" t="n">
        <x:f>IF(AL558=1,U558,"")</x:f>
        <x:v>979000</x:v>
      </x:c>
      <x:c r="AN558" s="33" t="str">
        <x:f>IF(AL558=1,AF558,"")</x:f>
      </x:c>
      <x:c r="AO558" s="31" t="n">
        <x:f>'分析方法'!$B$6-J558</x:f>
        <x:v>5</x:v>
      </x:c>
      <x:c r="AP558" s="3"/>
    </x:row>
    <x:row r="559" ht="22" customHeight="1">
      <x:c r="A559" s="3" t="str">
        <x:v>T2921969</x:v>
      </x:c>
      <x:c r="B559" s="7" t="d">
        <x:v>2026-10-08T00:00:00.000Z</x:v>
      </x:c>
      <x:c r="C559" s="3" t="str">
        <x:v>Taladrod</x:v>
      </x:c>
      <x:c r="D559" s="3" t="str">
        <x:v>Toyota</x:v>
      </x:c>
      <x:c r="E559" s="3" t="str">
        <x:v>日本</x:v>
      </x:c>
      <x:c r="F559" s="3" t="str">
        <x:v>Fortuner</x:v>
      </x:c>
      <x:c r="G559" s="3" t="str">
        <x:v>ICE</x:v>
      </x:c>
      <x:c r="H559" s="3" t="str">
        <x:v>SUV</x:v>
      </x:c>
      <x:c r="I559" s="3" t="str"/>
      <x:c r="J559" s="3" t="n">
        <x:v>2021</x:v>
      </x:c>
      <x:c r="K559" s="3" t="str">
        <x:v>2.8 LEGENDER BLACK TOP</x:v>
      </x:c>
      <x:c r="L559" s="3" t="str">
        <x:v>2.8 LEGENDER BLACK TOP</x:v>
      </x:c>
      <x:c r="M559" s="22"/>
      <x:c r="N559" s="22"/>
      <x:c r="O559" s="22"/>
      <x:c r="P559" s="3" t="str">
        <x:v>未掲載</x:v>
      </x:c>
      <x:c r="Q559" s="3" t="str">
        <x:v>未取得</x:v>
      </x:c>
      <x:c r="R559" s="3" t="str">
        <x:v>Unknown</x:v>
      </x:c>
      <x:c r="S559" s="3" t="str">
        <x:v>不明</x:v>
      </x:c>
      <x:c r="T559" s="3" t="str">
        <x:v>15-ปัจจุบัน</x:v>
      </x:c>
      <x:c r="U559" s="28" t="n">
        <x:v>929000</x:v>
      </x:c>
      <x:c r="V559" s="28" t="n">
        <x:v>1789000</x:v>
      </x:c>
      <x:c r="W559" s="3" t="str">
        <x:v>事故・水没・SOH・保証残は未確認</x:v>
      </x:c>
      <x:c r="X559" s="3" t="str">
        <x:v>掲載中・在庫未確認</x:v>
      </x:c>
      <x:c r="Y559" s="3" t="str"/>
      <x:c r="Z559" s="27" t="str">
        <x:v>https://www.taladrod.com/w40/icar/cardet.aspx?cid=2921969</x:v>
      </x:c>
      <x:c r="AA559" s="3" t="str">
        <x:v>Taladrod個別広告ID／Carsome在庫ID</x:v>
      </x:c>
      <x:c r="AB559" s="3" t="str">
        <x:v>車台番号未取得／サイト間重複は未判定</x:v>
      </x:c>
      <x:c r="AC559" s="3" t="str">
        <x:v>税込区分未確認（一覧表示額）</x:v>
      </x:c>
      <x:c r="AD559" s="3" t="str"/>
      <x:c r="AE559" s="29" t="str">
        <x:f>""</x:f>
      </x:c>
      <x:c r="AF559" s="30" t="str">
        <x:f>IF(ISNUMBER(AE559),U559/AE559,"")</x:f>
      </x:c>
      <x:c r="AG559" s="29" t="str">
        <x:f>""</x:f>
      </x:c>
      <x:c r="AH559" s="30" t="str">
        <x:f>IF(ISNUMBER(AG559),U559/AG559,"")</x:f>
      </x:c>
      <x:c r="AI559" s="3" t="str">
        <x:v>同年式・グレードの検証済み当時価格なし／登録年混在</x:v>
      </x:c>
      <x:c r="AJ559" s="3" t="str">
        <x:v>一覧価格/年式のみ</x:v>
      </x:c>
      <x:c r="AK559" s="3" t="str">
        <x:v>一覧の表示価格。年式は掲載年式。</x:v>
      </x:c>
      <x:c r="AL559" s="31" t="n">
        <x:f>IF(AND(J559&lt;='分析方法'!$B$7,OR(ISBLANK(O559),O559&gt;='分析方法'!$B$8),X559&lt;&gt;"売却済み表示"),1,0)</x:f>
        <x:v>1</x:v>
      </x:c>
      <x:c r="AM559" s="32" t="n">
        <x:f>IF(AL559=1,U559,"")</x:f>
        <x:v>929000</x:v>
      </x:c>
      <x:c r="AN559" s="33" t="str">
        <x:f>IF(AL559=1,AF559,"")</x:f>
      </x:c>
      <x:c r="AO559" s="31" t="n">
        <x:f>'分析方法'!$B$6-J559</x:f>
        <x:v>5</x:v>
      </x:c>
      <x:c r="AP559" s="3"/>
    </x:row>
    <x:row r="560" ht="22" customHeight="1">
      <x:c r="A560" s="3" t="str">
        <x:v>T2926254</x:v>
      </x:c>
      <x:c r="B560" s="7" t="d">
        <x:v>2026-10-08T00:00:00.000Z</x:v>
      </x:c>
      <x:c r="C560" s="3" t="str">
        <x:v>Taladrod</x:v>
      </x:c>
      <x:c r="D560" s="3" t="str">
        <x:v>Toyota</x:v>
      </x:c>
      <x:c r="E560" s="3" t="str">
        <x:v>日本</x:v>
      </x:c>
      <x:c r="F560" s="3" t="str">
        <x:v>Fortuner</x:v>
      </x:c>
      <x:c r="G560" s="3" t="str">
        <x:v>ICE</x:v>
      </x:c>
      <x:c r="H560" s="3" t="str">
        <x:v>SUV</x:v>
      </x:c>
      <x:c r="I560" s="3" t="str"/>
      <x:c r="J560" s="3" t="n">
        <x:v>2021</x:v>
      </x:c>
      <x:c r="K560" s="3" t="str">
        <x:v>2.8 LEGENDER BLACK TOP</x:v>
      </x:c>
      <x:c r="L560" s="3" t="str">
        <x:v>2.8 LEGENDER BLACK TOP</x:v>
      </x:c>
      <x:c r="M560" s="22"/>
      <x:c r="N560" s="22"/>
      <x:c r="O560" s="22"/>
      <x:c r="P560" s="3" t="str">
        <x:v>未掲載</x:v>
      </x:c>
      <x:c r="Q560" s="3" t="str">
        <x:v>未取得</x:v>
      </x:c>
      <x:c r="R560" s="3" t="str">
        <x:v>Unknown</x:v>
      </x:c>
      <x:c r="S560" s="3" t="str">
        <x:v>不明</x:v>
      </x:c>
      <x:c r="T560" s="3" t="str">
        <x:v>15-ปัจจุบัน</x:v>
      </x:c>
      <x:c r="U560" s="28" t="n">
        <x:v>999000</x:v>
      </x:c>
      <x:c r="V560" s="28" t="n">
        <x:v>1789000</x:v>
      </x:c>
      <x:c r="W560" s="3" t="str">
        <x:v>事故・水没・SOH・保証残は未確認</x:v>
      </x:c>
      <x:c r="X560" s="3" t="str">
        <x:v>掲載中・在庫未確認</x:v>
      </x:c>
      <x:c r="Y560" s="3" t="str"/>
      <x:c r="Z560" s="27" t="str">
        <x:v>https://www.taladrod.com/w40/icar/cardet.aspx?cid=2926254</x:v>
      </x:c>
      <x:c r="AA560" s="3" t="str">
        <x:v>Taladrod個別広告ID／Carsome在庫ID</x:v>
      </x:c>
      <x:c r="AB560" s="3" t="str">
        <x:v>車台番号未取得／サイト間重複は未判定</x:v>
      </x:c>
      <x:c r="AC560" s="3" t="str">
        <x:v>税込区分未確認（一覧表示額）</x:v>
      </x:c>
      <x:c r="AD560" s="3" t="str"/>
      <x:c r="AE560" s="29" t="str">
        <x:f>""</x:f>
      </x:c>
      <x:c r="AF560" s="30" t="str">
        <x:f>IF(ISNUMBER(AE560),U560/AE560,"")</x:f>
      </x:c>
      <x:c r="AG560" s="29" t="str">
        <x:f>""</x:f>
      </x:c>
      <x:c r="AH560" s="30" t="str">
        <x:f>IF(ISNUMBER(AG560),U560/AG560,"")</x:f>
      </x:c>
      <x:c r="AI560" s="3" t="str">
        <x:v>同年式・グレードの検証済み当時価格なし／登録年混在</x:v>
      </x:c>
      <x:c r="AJ560" s="3" t="str">
        <x:v>一覧価格/年式のみ</x:v>
      </x:c>
      <x:c r="AK560" s="3" t="str">
        <x:v>一覧の表示価格。年式は掲載年式。</x:v>
      </x:c>
      <x:c r="AL560" s="31" t="n">
        <x:f>IF(AND(J560&lt;='分析方法'!$B$7,OR(ISBLANK(O560),O560&gt;='分析方法'!$B$8),X560&lt;&gt;"売却済み表示"),1,0)</x:f>
        <x:v>1</x:v>
      </x:c>
      <x:c r="AM560" s="32" t="n">
        <x:f>IF(AL560=1,U560,"")</x:f>
        <x:v>999000</x:v>
      </x:c>
      <x:c r="AN560" s="33" t="str">
        <x:f>IF(AL560=1,AF560,"")</x:f>
      </x:c>
      <x:c r="AO560" s="31" t="n">
        <x:f>'分析方法'!$B$6-J560</x:f>
        <x:v>5</x:v>
      </x:c>
      <x:c r="AP560" s="3"/>
    </x:row>
    <x:row r="561" ht="22" customHeight="1">
      <x:c r="A561" s="3" t="str">
        <x:v>T2910654</x:v>
      </x:c>
      <x:c r="B561" s="7" t="d">
        <x:v>2026-10-08T00:00:00.000Z</x:v>
      </x:c>
      <x:c r="C561" s="3" t="str">
        <x:v>Taladrod</x:v>
      </x:c>
      <x:c r="D561" s="3" t="str">
        <x:v>Toyota</x:v>
      </x:c>
      <x:c r="E561" s="3" t="str">
        <x:v>日本</x:v>
      </x:c>
      <x:c r="F561" s="3" t="str">
        <x:v>Fortuner</x:v>
      </x:c>
      <x:c r="G561" s="3" t="str">
        <x:v>ICE</x:v>
      </x:c>
      <x:c r="H561" s="3" t="str">
        <x:v>SUV</x:v>
      </x:c>
      <x:c r="I561" s="3" t="str"/>
      <x:c r="J561" s="3" t="n">
        <x:v>2021</x:v>
      </x:c>
      <x:c r="K561" s="3" t="str">
        <x:v>2.8 LEGENDER BLACK TOP 4WD</x:v>
      </x:c>
      <x:c r="L561" s="3" t="str">
        <x:v>2.8 LEGENDER BLACK TOP 4WD</x:v>
      </x:c>
      <x:c r="M561" s="22"/>
      <x:c r="N561" s="22"/>
      <x:c r="O561" s="22"/>
      <x:c r="P561" s="3" t="str">
        <x:v>未掲載</x:v>
      </x:c>
      <x:c r="Q561" s="3" t="str">
        <x:v>未取得</x:v>
      </x:c>
      <x:c r="R561" s="3" t="str">
        <x:v>Unknown</x:v>
      </x:c>
      <x:c r="S561" s="3" t="str">
        <x:v>不明</x:v>
      </x:c>
      <x:c r="T561" s="3" t="str">
        <x:v>15-ปัจจุบัน</x:v>
      </x:c>
      <x:c r="U561" s="28" t="n">
        <x:v>929000</x:v>
      </x:c>
      <x:c r="V561" s="28" t="n">
        <x:v>1859000</x:v>
      </x:c>
      <x:c r="W561" s="3" t="str">
        <x:v>事故・水没・SOH・保証残は未確認</x:v>
      </x:c>
      <x:c r="X561" s="3" t="str">
        <x:v>掲載中・在庫未確認</x:v>
      </x:c>
      <x:c r="Y561" s="3" t="str"/>
      <x:c r="Z561" s="27" t="str">
        <x:v>https://www.taladrod.com/w40/icar/cardet.aspx?cid=2910654</x:v>
      </x:c>
      <x:c r="AA561" s="3" t="str">
        <x:v>Taladrod個別広告ID／Carsome在庫ID</x:v>
      </x:c>
      <x:c r="AB561" s="3" t="str">
        <x:v>車台番号未取得／サイト間重複は未判定</x:v>
      </x:c>
      <x:c r="AC561" s="3" t="str">
        <x:v>税込区分未確認（一覧表示額）</x:v>
      </x:c>
      <x:c r="AD561" s="3" t="str"/>
      <x:c r="AE561" s="29" t="str">
        <x:f>""</x:f>
      </x:c>
      <x:c r="AF561" s="30" t="str">
        <x:f>IF(ISNUMBER(AE561),U561/AE561,"")</x:f>
      </x:c>
      <x:c r="AG561" s="29" t="str">
        <x:f>""</x:f>
      </x:c>
      <x:c r="AH561" s="30" t="str">
        <x:f>IF(ISNUMBER(AG561),U561/AG561,"")</x:f>
      </x:c>
      <x:c r="AI561" s="3" t="str">
        <x:v>同年式・グレードの検証済み当時価格なし／登録年混在</x:v>
      </x:c>
      <x:c r="AJ561" s="3" t="str">
        <x:v>一覧価格/年式のみ</x:v>
      </x:c>
      <x:c r="AK561" s="3" t="str">
        <x:v>一覧の表示価格。年式は掲載年式。</x:v>
      </x:c>
      <x:c r="AL561" s="31" t="n">
        <x:f>IF(AND(J561&lt;='分析方法'!$B$7,OR(ISBLANK(O561),O561&gt;='分析方法'!$B$8),X561&lt;&gt;"売却済み表示"),1,0)</x:f>
        <x:v>1</x:v>
      </x:c>
      <x:c r="AM561" s="32" t="n">
        <x:f>IF(AL561=1,U561,"")</x:f>
        <x:v>929000</x:v>
      </x:c>
      <x:c r="AN561" s="33" t="str">
        <x:f>IF(AL561=1,AF561,"")</x:f>
      </x:c>
      <x:c r="AO561" s="31" t="n">
        <x:f>'分析方法'!$B$6-J561</x:f>
        <x:v>5</x:v>
      </x:c>
      <x:c r="AP561" s="3"/>
    </x:row>
    <x:row r="562" ht="22" customHeight="1">
      <x:c r="A562" s="3" t="str">
        <x:v>T2892194</x:v>
      </x:c>
      <x:c r="B562" s="7" t="d">
        <x:v>2026-10-08T00:00:00.000Z</x:v>
      </x:c>
      <x:c r="C562" s="3" t="str">
        <x:v>Taladrod</x:v>
      </x:c>
      <x:c r="D562" s="3" t="str">
        <x:v>Toyota</x:v>
      </x:c>
      <x:c r="E562" s="3" t="str">
        <x:v>日本</x:v>
      </x:c>
      <x:c r="F562" s="3" t="str">
        <x:v>Fortuner</x:v>
      </x:c>
      <x:c r="G562" s="3" t="str">
        <x:v>ICE</x:v>
      </x:c>
      <x:c r="H562" s="3" t="str">
        <x:v>SUV</x:v>
      </x:c>
      <x:c r="I562" s="3" t="str"/>
      <x:c r="J562" s="3" t="n">
        <x:v>2021</x:v>
      </x:c>
      <x:c r="K562" s="3" t="str">
        <x:v>2.8 V 4WD</x:v>
      </x:c>
      <x:c r="L562" s="3" t="str">
        <x:v>2.8 V 4WD</x:v>
      </x:c>
      <x:c r="M562" s="22"/>
      <x:c r="N562" s="22"/>
      <x:c r="O562" s="22"/>
      <x:c r="P562" s="3" t="str">
        <x:v>未掲載</x:v>
      </x:c>
      <x:c r="Q562" s="3" t="str">
        <x:v>未取得</x:v>
      </x:c>
      <x:c r="R562" s="3" t="str">
        <x:v>Unknown</x:v>
      </x:c>
      <x:c r="S562" s="3" t="str">
        <x:v>不明</x:v>
      </x:c>
      <x:c r="T562" s="3" t="str">
        <x:v>15-ปัจจุบัน</x:v>
      </x:c>
      <x:c r="U562" s="28" t="n">
        <x:v>899000</x:v>
      </x:c>
      <x:c r="V562" s="28" t="n">
        <x:v>1599000</x:v>
      </x:c>
      <x:c r="W562" s="3" t="str">
        <x:v>事故・水没・SOH・保証残は未確認</x:v>
      </x:c>
      <x:c r="X562" s="3" t="str">
        <x:v>掲載中・在庫未確認</x:v>
      </x:c>
      <x:c r="Y562" s="3" t="str"/>
      <x:c r="Z562" s="27" t="str">
        <x:v>https://www.taladrod.com/w40/icar/cardet.aspx?cid=2892194</x:v>
      </x:c>
      <x:c r="AA562" s="3" t="str">
        <x:v>Taladrod個別広告ID／Carsome在庫ID</x:v>
      </x:c>
      <x:c r="AB562" s="3" t="str">
        <x:v>車台番号未取得／サイト間重複は未判定</x:v>
      </x:c>
      <x:c r="AC562" s="3" t="str">
        <x:v>税込区分未確認（一覧表示額）</x:v>
      </x:c>
      <x:c r="AD562" s="3" t="str"/>
      <x:c r="AE562" s="29" t="str">
        <x:f>""</x:f>
      </x:c>
      <x:c r="AF562" s="30" t="str">
        <x:f>IF(ISNUMBER(AE562),U562/AE562,"")</x:f>
      </x:c>
      <x:c r="AG562" s="29" t="str">
        <x:f>""</x:f>
      </x:c>
      <x:c r="AH562" s="30" t="str">
        <x:f>IF(ISNUMBER(AG562),U562/AG562,"")</x:f>
      </x:c>
      <x:c r="AI562" s="3" t="str">
        <x:v>同年式・グレードの検証済み当時価格なし／登録年混在</x:v>
      </x:c>
      <x:c r="AJ562" s="3" t="str">
        <x:v>一覧価格/年式のみ</x:v>
      </x:c>
      <x:c r="AK562" s="3" t="str">
        <x:v>一覧の表示価格。年式は掲載年式。</x:v>
      </x:c>
      <x:c r="AL562" s="31" t="n">
        <x:f>IF(AND(J562&lt;='分析方法'!$B$7,OR(ISBLANK(O562),O562&gt;='分析方法'!$B$8),X562&lt;&gt;"売却済み表示"),1,0)</x:f>
        <x:v>1</x:v>
      </x:c>
      <x:c r="AM562" s="32" t="n">
        <x:f>IF(AL562=1,U562,"")</x:f>
        <x:v>899000</x:v>
      </x:c>
      <x:c r="AN562" s="33" t="str">
        <x:f>IF(AL562=1,AF562,"")</x:f>
      </x:c>
      <x:c r="AO562" s="31" t="n">
        <x:f>'分析方法'!$B$6-J562</x:f>
        <x:v>5</x:v>
      </x:c>
      <x:c r="AP562" s="3"/>
    </x:row>
    <x:row r="563" ht="22" customHeight="1">
      <x:c r="A563" s="3" t="str">
        <x:v>T2901741</x:v>
      </x:c>
      <x:c r="B563" s="7" t="d">
        <x:v>2026-10-08T00:00:00.000Z</x:v>
      </x:c>
      <x:c r="C563" s="3" t="str">
        <x:v>Taladrod</x:v>
      </x:c>
      <x:c r="D563" s="3" t="str">
        <x:v>Toyota</x:v>
      </x:c>
      <x:c r="E563" s="3" t="str">
        <x:v>日本</x:v>
      </x:c>
      <x:c r="F563" s="3" t="str">
        <x:v>Fortuner</x:v>
      </x:c>
      <x:c r="G563" s="3" t="str">
        <x:v>ICE</x:v>
      </x:c>
      <x:c r="H563" s="3" t="str">
        <x:v>SUV</x:v>
      </x:c>
      <x:c r="I563" s="3" t="str"/>
      <x:c r="J563" s="3" t="n">
        <x:v>2022</x:v>
      </x:c>
      <x:c r="K563" s="3" t="str">
        <x:v>2.4 COMMANDER</x:v>
      </x:c>
      <x:c r="L563" s="3" t="str">
        <x:v>2.4 COMMANDER</x:v>
      </x:c>
      <x:c r="M563" s="22"/>
      <x:c r="N563" s="22"/>
      <x:c r="O563" s="22"/>
      <x:c r="P563" s="3" t="str">
        <x:v>未掲載</x:v>
      </x:c>
      <x:c r="Q563" s="3" t="str">
        <x:v>未取得</x:v>
      </x:c>
      <x:c r="R563" s="3" t="str">
        <x:v>Unknown</x:v>
      </x:c>
      <x:c r="S563" s="3" t="str">
        <x:v>不明</x:v>
      </x:c>
      <x:c r="T563" s="3" t="str">
        <x:v>15-ปัจจุบัน</x:v>
      </x:c>
      <x:c r="U563" s="28" t="n">
        <x:v>898000</x:v>
      </x:c>
      <x:c r="V563" s="28" t="n">
        <x:v>1505000</x:v>
      </x:c>
      <x:c r="W563" s="3" t="str">
        <x:v>事故・水没・SOH・保証残は未確認</x:v>
      </x:c>
      <x:c r="X563" s="3" t="str">
        <x:v>掲載中・在庫未確認</x:v>
      </x:c>
      <x:c r="Y563" s="3" t="str"/>
      <x:c r="Z563" s="27" t="str">
        <x:v>https://www.taladrod.com/w40/icar/cardet.aspx?cid=2901741</x:v>
      </x:c>
      <x:c r="AA563" s="3" t="str">
        <x:v>Taladrod個別広告ID／Carsome在庫ID</x:v>
      </x:c>
      <x:c r="AB563" s="3" t="str">
        <x:v>車台番号未取得／サイト間重複は未判定</x:v>
      </x:c>
      <x:c r="AC563" s="3" t="str">
        <x:v>税込区分未確認（一覧表示額）</x:v>
      </x:c>
      <x:c r="AD563" s="3" t="str"/>
      <x:c r="AE563" s="29" t="str">
        <x:f>""</x:f>
      </x:c>
      <x:c r="AF563" s="30" t="str">
        <x:f>IF(ISNUMBER(AE563),U563/AE563,"")</x:f>
      </x:c>
      <x:c r="AG563" s="29" t="str">
        <x:f>""</x:f>
      </x:c>
      <x:c r="AH563" s="30" t="str">
        <x:f>IF(ISNUMBER(AG563),U563/AG563,"")</x:f>
      </x:c>
      <x:c r="AI563" s="3" t="str">
        <x:v>同年式・グレードの検証済み当時価格なし／登録年混在</x:v>
      </x:c>
      <x:c r="AJ563" s="3" t="str">
        <x:v>一覧価格/年式のみ</x:v>
      </x:c>
      <x:c r="AK563" s="3" t="str">
        <x:v>一覧の表示価格。年式は掲載年式。</x:v>
      </x:c>
      <x:c r="AL563" s="31" t="n">
        <x:f>IF(AND(J563&lt;='分析方法'!$B$7,OR(ISBLANK(O563),O563&gt;='分析方法'!$B$8),X563&lt;&gt;"売却済み表示"),1,0)</x:f>
        <x:v>1</x:v>
      </x:c>
      <x:c r="AM563" s="32" t="n">
        <x:f>IF(AL563=1,U563,"")</x:f>
        <x:v>898000</x:v>
      </x:c>
      <x:c r="AN563" s="33" t="str">
        <x:f>IF(AL563=1,AF563,"")</x:f>
      </x:c>
      <x:c r="AO563" s="31" t="n">
        <x:f>'分析方法'!$B$6-J563</x:f>
        <x:v>4</x:v>
      </x:c>
      <x:c r="AP563" s="3"/>
    </x:row>
    <x:row r="564" ht="22" customHeight="1">
      <x:c r="A564" s="3" t="str">
        <x:v>T2923866</x:v>
      </x:c>
      <x:c r="B564" s="7" t="d">
        <x:v>2026-10-08T00:00:00.000Z</x:v>
      </x:c>
      <x:c r="C564" s="3" t="str">
        <x:v>Taladrod</x:v>
      </x:c>
      <x:c r="D564" s="3" t="str">
        <x:v>Toyota</x:v>
      </x:c>
      <x:c r="E564" s="3" t="str">
        <x:v>日本</x:v>
      </x:c>
      <x:c r="F564" s="3" t="str">
        <x:v>Fortuner</x:v>
      </x:c>
      <x:c r="G564" s="3" t="str">
        <x:v>ICE</x:v>
      </x:c>
      <x:c r="H564" s="3" t="str">
        <x:v>SUV</x:v>
      </x:c>
      <x:c r="I564" s="3" t="str"/>
      <x:c r="J564" s="3" t="n">
        <x:v>2022</x:v>
      </x:c>
      <x:c r="K564" s="3" t="str">
        <x:v>2.4 COMMANDER</x:v>
      </x:c>
      <x:c r="L564" s="3" t="str">
        <x:v>2.4 COMMANDER</x:v>
      </x:c>
      <x:c r="M564" s="22"/>
      <x:c r="N564" s="22"/>
      <x:c r="O564" s="22"/>
      <x:c r="P564" s="3" t="str">
        <x:v>未掲載</x:v>
      </x:c>
      <x:c r="Q564" s="3" t="str">
        <x:v>未取得</x:v>
      </x:c>
      <x:c r="R564" s="3" t="str">
        <x:v>Unknown</x:v>
      </x:c>
      <x:c r="S564" s="3" t="str">
        <x:v>不明</x:v>
      </x:c>
      <x:c r="T564" s="3" t="str">
        <x:v>15-ปัจจุบัน</x:v>
      </x:c>
      <x:c r="U564" s="28" t="n">
        <x:v>939000</x:v>
      </x:c>
      <x:c r="V564" s="28" t="n">
        <x:v>1505000</x:v>
      </x:c>
      <x:c r="W564" s="3" t="str">
        <x:v>事故・水没・SOH・保証残は未確認</x:v>
      </x:c>
      <x:c r="X564" s="3" t="str">
        <x:v>掲載中・在庫未確認</x:v>
      </x:c>
      <x:c r="Y564" s="3" t="str"/>
      <x:c r="Z564" s="27" t="str">
        <x:v>https://www.taladrod.com/w40/icar/cardet.aspx?cid=2923866</x:v>
      </x:c>
      <x:c r="AA564" s="3" t="str">
        <x:v>Taladrod個別広告ID／Carsome在庫ID</x:v>
      </x:c>
      <x:c r="AB564" s="3" t="str">
        <x:v>車台番号未取得／サイト間重複は未判定</x:v>
      </x:c>
      <x:c r="AC564" s="3" t="str">
        <x:v>税込区分未確認（一覧表示額）</x:v>
      </x:c>
      <x:c r="AD564" s="3" t="str"/>
      <x:c r="AE564" s="29" t="str">
        <x:f>""</x:f>
      </x:c>
      <x:c r="AF564" s="30" t="str">
        <x:f>IF(ISNUMBER(AE564),U564/AE564,"")</x:f>
      </x:c>
      <x:c r="AG564" s="29" t="str">
        <x:f>""</x:f>
      </x:c>
      <x:c r="AH564" s="30" t="str">
        <x:f>IF(ISNUMBER(AG564),U564/AG564,"")</x:f>
      </x:c>
      <x:c r="AI564" s="3" t="str">
        <x:v>同年式・グレードの検証済み当時価格なし／登録年混在</x:v>
      </x:c>
      <x:c r="AJ564" s="3" t="str">
        <x:v>一覧価格/年式のみ</x:v>
      </x:c>
      <x:c r="AK564" s="3" t="str">
        <x:v>一覧の表示価格。年式は掲載年式。</x:v>
      </x:c>
      <x:c r="AL564" s="31" t="n">
        <x:f>IF(AND(J564&lt;='分析方法'!$B$7,OR(ISBLANK(O564),O564&gt;='分析方法'!$B$8),X564&lt;&gt;"売却済み表示"),1,0)</x:f>
        <x:v>1</x:v>
      </x:c>
      <x:c r="AM564" s="32" t="n">
        <x:f>IF(AL564=1,U564,"")</x:f>
        <x:v>939000</x:v>
      </x:c>
      <x:c r="AN564" s="33" t="str">
        <x:f>IF(AL564=1,AF564,"")</x:f>
      </x:c>
      <x:c r="AO564" s="31" t="n">
        <x:f>'分析方法'!$B$6-J564</x:f>
        <x:v>4</x:v>
      </x:c>
      <x:c r="AP564" s="3"/>
    </x:row>
    <x:row r="565" ht="22" customHeight="1">
      <x:c r="A565" s="3" t="str">
        <x:v>T2883538</x:v>
      </x:c>
      <x:c r="B565" s="7" t="d">
        <x:v>2026-10-08T00:00:00.000Z</x:v>
      </x:c>
      <x:c r="C565" s="3" t="str">
        <x:v>Taladrod</x:v>
      </x:c>
      <x:c r="D565" s="3" t="str">
        <x:v>Toyota</x:v>
      </x:c>
      <x:c r="E565" s="3" t="str">
        <x:v>日本</x:v>
      </x:c>
      <x:c r="F565" s="3" t="str">
        <x:v>Fortuner</x:v>
      </x:c>
      <x:c r="G565" s="3" t="str">
        <x:v>ICE</x:v>
      </x:c>
      <x:c r="H565" s="3" t="str">
        <x:v>SUV</x:v>
      </x:c>
      <x:c r="I565" s="3" t="str"/>
      <x:c r="J565" s="3" t="n">
        <x:v>2022</x:v>
      </x:c>
      <x:c r="K565" s="3" t="str">
        <x:v>2.4 G</x:v>
      </x:c>
      <x:c r="L565" s="3" t="str">
        <x:v>2.4 G</x:v>
      </x:c>
      <x:c r="M565" s="22"/>
      <x:c r="N565" s="22"/>
      <x:c r="O565" s="22"/>
      <x:c r="P565" s="3" t="str">
        <x:v>未掲載</x:v>
      </x:c>
      <x:c r="Q565" s="3" t="str">
        <x:v>未取得</x:v>
      </x:c>
      <x:c r="R565" s="3" t="str">
        <x:v>Unknown</x:v>
      </x:c>
      <x:c r="S565" s="3" t="str">
        <x:v>不明</x:v>
      </x:c>
      <x:c r="T565" s="3" t="str">
        <x:v>15-ปัจจุบัน</x:v>
      </x:c>
      <x:c r="U565" s="28" t="n">
        <x:v>794000</x:v>
      </x:c>
      <x:c r="V565" s="28" t="n">
        <x:v>1349000</x:v>
      </x:c>
      <x:c r="W565" s="3" t="str">
        <x:v>事故・水没・SOH・保証残は未確認</x:v>
      </x:c>
      <x:c r="X565" s="3" t="str">
        <x:v>掲載中・在庫未確認</x:v>
      </x:c>
      <x:c r="Y565" s="3" t="str"/>
      <x:c r="Z565" s="27" t="str">
        <x:v>https://www.taladrod.com/w40/icar/cardet.aspx?cid=2883538</x:v>
      </x:c>
      <x:c r="AA565" s="3" t="str">
        <x:v>Taladrod個別広告ID／Carsome在庫ID</x:v>
      </x:c>
      <x:c r="AB565" s="3" t="str">
        <x:v>車台番号未取得／サイト間重複は未判定</x:v>
      </x:c>
      <x:c r="AC565" s="3" t="str">
        <x:v>税込区分未確認（一覧表示額）</x:v>
      </x:c>
      <x:c r="AD565" s="3" t="str"/>
      <x:c r="AE565" s="29" t="str">
        <x:f>""</x:f>
      </x:c>
      <x:c r="AF565" s="30" t="str">
        <x:f>IF(ISNUMBER(AE565),U565/AE565,"")</x:f>
      </x:c>
      <x:c r="AG565" s="29" t="str">
        <x:f>""</x:f>
      </x:c>
      <x:c r="AH565" s="30" t="str">
        <x:f>IF(ISNUMBER(AG565),U565/AG565,"")</x:f>
      </x:c>
      <x:c r="AI565" s="3" t="str">
        <x:v>同年式・グレードの検証済み当時価格なし／登録年混在</x:v>
      </x:c>
      <x:c r="AJ565" s="3" t="str">
        <x:v>一覧価格/年式のみ</x:v>
      </x:c>
      <x:c r="AK565" s="3" t="str">
        <x:v>一覧の表示価格。年式は掲載年式。</x:v>
      </x:c>
      <x:c r="AL565" s="31" t="n">
        <x:f>IF(AND(J565&lt;='分析方法'!$B$7,OR(ISBLANK(O565),O565&gt;='分析方法'!$B$8),X565&lt;&gt;"売却済み表示"),1,0)</x:f>
        <x:v>1</x:v>
      </x:c>
      <x:c r="AM565" s="32" t="n">
        <x:f>IF(AL565=1,U565,"")</x:f>
        <x:v>794000</x:v>
      </x:c>
      <x:c r="AN565" s="33" t="str">
        <x:f>IF(AL565=1,AF565,"")</x:f>
      </x:c>
      <x:c r="AO565" s="31" t="n">
        <x:f>'分析方法'!$B$6-J565</x:f>
        <x:v>4</x:v>
      </x:c>
      <x:c r="AP565" s="3"/>
    </x:row>
    <x:row r="566" ht="22" customHeight="1">
      <x:c r="A566" s="3" t="str">
        <x:v>T2898883</x:v>
      </x:c>
      <x:c r="B566" s="7" t="d">
        <x:v>2026-10-08T00:00:00.000Z</x:v>
      </x:c>
      <x:c r="C566" s="3" t="str">
        <x:v>Taladrod</x:v>
      </x:c>
      <x:c r="D566" s="3" t="str">
        <x:v>Toyota</x:v>
      </x:c>
      <x:c r="E566" s="3" t="str">
        <x:v>日本</x:v>
      </x:c>
      <x:c r="F566" s="3" t="str">
        <x:v>Fortuner</x:v>
      </x:c>
      <x:c r="G566" s="3" t="str">
        <x:v>ICE</x:v>
      </x:c>
      <x:c r="H566" s="3" t="str">
        <x:v>SUV</x:v>
      </x:c>
      <x:c r="I566" s="3" t="str"/>
      <x:c r="J566" s="3" t="n">
        <x:v>2022</x:v>
      </x:c>
      <x:c r="K566" s="3" t="str">
        <x:v>2.4 G</x:v>
      </x:c>
      <x:c r="L566" s="3" t="str">
        <x:v>2.4 G</x:v>
      </x:c>
      <x:c r="M566" s="22"/>
      <x:c r="N566" s="22"/>
      <x:c r="O566" s="22"/>
      <x:c r="P566" s="3" t="str">
        <x:v>未掲載</x:v>
      </x:c>
      <x:c r="Q566" s="3" t="str">
        <x:v>未取得</x:v>
      </x:c>
      <x:c r="R566" s="3" t="str">
        <x:v>Unknown</x:v>
      </x:c>
      <x:c r="S566" s="3" t="str">
        <x:v>不明</x:v>
      </x:c>
      <x:c r="T566" s="3" t="str">
        <x:v>15-ปัจจุบัน</x:v>
      </x:c>
      <x:c r="U566" s="28" t="n">
        <x:v>879000</x:v>
      </x:c>
      <x:c r="V566" s="28" t="n">
        <x:v>1349000</x:v>
      </x:c>
      <x:c r="W566" s="3" t="str">
        <x:v>事故・水没・SOH・保証残は未確認</x:v>
      </x:c>
      <x:c r="X566" s="3" t="str">
        <x:v>掲載中・在庫未確認</x:v>
      </x:c>
      <x:c r="Y566" s="3" t="str"/>
      <x:c r="Z566" s="27" t="str">
        <x:v>https://www.taladrod.com/w40/icar/cardet.aspx?cid=2898883</x:v>
      </x:c>
      <x:c r="AA566" s="3" t="str">
        <x:v>Taladrod個別広告ID／Carsome在庫ID</x:v>
      </x:c>
      <x:c r="AB566" s="3" t="str">
        <x:v>車台番号未取得／サイト間重複は未判定</x:v>
      </x:c>
      <x:c r="AC566" s="3" t="str">
        <x:v>税込区分未確認（一覧表示額）</x:v>
      </x:c>
      <x:c r="AD566" s="3" t="str"/>
      <x:c r="AE566" s="29" t="str">
        <x:f>""</x:f>
      </x:c>
      <x:c r="AF566" s="30" t="str">
        <x:f>IF(ISNUMBER(AE566),U566/AE566,"")</x:f>
      </x:c>
      <x:c r="AG566" s="29" t="str">
        <x:f>""</x:f>
      </x:c>
      <x:c r="AH566" s="30" t="str">
        <x:f>IF(ISNUMBER(AG566),U566/AG566,"")</x:f>
      </x:c>
      <x:c r="AI566" s="3" t="str">
        <x:v>同年式・グレードの検証済み当時価格なし／登録年混在</x:v>
      </x:c>
      <x:c r="AJ566" s="3" t="str">
        <x:v>一覧価格/年式のみ</x:v>
      </x:c>
      <x:c r="AK566" s="3" t="str">
        <x:v>一覧の表示価格。年式は掲載年式。</x:v>
      </x:c>
      <x:c r="AL566" s="31" t="n">
        <x:f>IF(AND(J566&lt;='分析方法'!$B$7,OR(ISBLANK(O566),O566&gt;='分析方法'!$B$8),X566&lt;&gt;"売却済み表示"),1,0)</x:f>
        <x:v>1</x:v>
      </x:c>
      <x:c r="AM566" s="32" t="n">
        <x:f>IF(AL566=1,U566,"")</x:f>
        <x:v>879000</x:v>
      </x:c>
      <x:c r="AN566" s="33" t="str">
        <x:f>IF(AL566=1,AF566,"")</x:f>
      </x:c>
      <x:c r="AO566" s="31" t="n">
        <x:f>'分析方法'!$B$6-J566</x:f>
        <x:v>4</x:v>
      </x:c>
      <x:c r="AP566" s="3"/>
    </x:row>
    <x:row r="567" ht="22" customHeight="1">
      <x:c r="A567" s="3" t="str">
        <x:v>T2917197</x:v>
      </x:c>
      <x:c r="B567" s="7" t="d">
        <x:v>2026-10-08T00:00:00.000Z</x:v>
      </x:c>
      <x:c r="C567" s="3" t="str">
        <x:v>Taladrod</x:v>
      </x:c>
      <x:c r="D567" s="3" t="str">
        <x:v>Toyota</x:v>
      </x:c>
      <x:c r="E567" s="3" t="str">
        <x:v>日本</x:v>
      </x:c>
      <x:c r="F567" s="3" t="str">
        <x:v>Fortuner</x:v>
      </x:c>
      <x:c r="G567" s="3" t="str">
        <x:v>ICE</x:v>
      </x:c>
      <x:c r="H567" s="3" t="str">
        <x:v>SUV</x:v>
      </x:c>
      <x:c r="I567" s="3" t="str"/>
      <x:c r="J567" s="3" t="n">
        <x:v>2022</x:v>
      </x:c>
      <x:c r="K567" s="3" t="str">
        <x:v>2.4 G</x:v>
      </x:c>
      <x:c r="L567" s="3" t="str">
        <x:v>2.4 G</x:v>
      </x:c>
      <x:c r="M567" s="22"/>
      <x:c r="N567" s="22"/>
      <x:c r="O567" s="22"/>
      <x:c r="P567" s="3" t="str">
        <x:v>未掲載</x:v>
      </x:c>
      <x:c r="Q567" s="3" t="str">
        <x:v>未取得</x:v>
      </x:c>
      <x:c r="R567" s="3" t="str">
        <x:v>Unknown</x:v>
      </x:c>
      <x:c r="S567" s="3" t="str">
        <x:v>不明</x:v>
      </x:c>
      <x:c r="T567" s="3" t="str">
        <x:v>15-ปัจจุบัน</x:v>
      </x:c>
      <x:c r="U567" s="28" t="n">
        <x:v>829000</x:v>
      </x:c>
      <x:c r="V567" s="28" t="n">
        <x:v>1349000</x:v>
      </x:c>
      <x:c r="W567" s="3" t="str">
        <x:v>事故・水没・SOH・保証残は未確認</x:v>
      </x:c>
      <x:c r="X567" s="3" t="str">
        <x:v>掲載中・在庫未確認</x:v>
      </x:c>
      <x:c r="Y567" s="3" t="str"/>
      <x:c r="Z567" s="27" t="str">
        <x:v>https://www.taladrod.com/w40/icar/cardet.aspx?cid=2917197</x:v>
      </x:c>
      <x:c r="AA567" s="3" t="str">
        <x:v>Taladrod個別広告ID／Carsome在庫ID</x:v>
      </x:c>
      <x:c r="AB567" s="3" t="str">
        <x:v>車台番号未取得／サイト間重複は未判定</x:v>
      </x:c>
      <x:c r="AC567" s="3" t="str">
        <x:v>税込区分未確認（一覧表示額）</x:v>
      </x:c>
      <x:c r="AD567" s="3" t="str"/>
      <x:c r="AE567" s="29" t="str">
        <x:f>""</x:f>
      </x:c>
      <x:c r="AF567" s="30" t="str">
        <x:f>IF(ISNUMBER(AE567),U567/AE567,"")</x:f>
      </x:c>
      <x:c r="AG567" s="29" t="str">
        <x:f>""</x:f>
      </x:c>
      <x:c r="AH567" s="30" t="str">
        <x:f>IF(ISNUMBER(AG567),U567/AG567,"")</x:f>
      </x:c>
      <x:c r="AI567" s="3" t="str">
        <x:v>同年式・グレードの検証済み当時価格なし／登録年混在</x:v>
      </x:c>
      <x:c r="AJ567" s="3" t="str">
        <x:v>一覧価格/年式のみ</x:v>
      </x:c>
      <x:c r="AK567" s="3" t="str">
        <x:v>一覧の表示価格。年式は掲載年式。</x:v>
      </x:c>
      <x:c r="AL567" s="31" t="n">
        <x:f>IF(AND(J567&lt;='分析方法'!$B$7,OR(ISBLANK(O567),O567&gt;='分析方法'!$B$8),X567&lt;&gt;"売却済み表示"),1,0)</x:f>
        <x:v>1</x:v>
      </x:c>
      <x:c r="AM567" s="32" t="n">
        <x:f>IF(AL567=1,U567,"")</x:f>
        <x:v>829000</x:v>
      </x:c>
      <x:c r="AN567" s="33" t="str">
        <x:f>IF(AL567=1,AF567,"")</x:f>
      </x:c>
      <x:c r="AO567" s="31" t="n">
        <x:f>'分析方法'!$B$6-J567</x:f>
        <x:v>4</x:v>
      </x:c>
      <x:c r="AP567" s="3"/>
    </x:row>
    <x:row r="568" ht="22" customHeight="1">
      <x:c r="A568" s="3" t="str">
        <x:v>T2903360</x:v>
      </x:c>
      <x:c r="B568" s="7" t="d">
        <x:v>2026-10-08T00:00:00.000Z</x:v>
      </x:c>
      <x:c r="C568" s="3" t="str">
        <x:v>Taladrod</x:v>
      </x:c>
      <x:c r="D568" s="3" t="str">
        <x:v>Toyota</x:v>
      </x:c>
      <x:c r="E568" s="3" t="str">
        <x:v>日本</x:v>
      </x:c>
      <x:c r="F568" s="3" t="str">
        <x:v>Fortuner</x:v>
      </x:c>
      <x:c r="G568" s="3" t="str">
        <x:v>ICE</x:v>
      </x:c>
      <x:c r="H568" s="3" t="str">
        <x:v>SUV</x:v>
      </x:c>
      <x:c r="I568" s="3" t="str"/>
      <x:c r="J568" s="3" t="n">
        <x:v>2022</x:v>
      </x:c>
      <x:c r="K568" s="3" t="str">
        <x:v>2.4 G LEADER</x:v>
      </x:c>
      <x:c r="L568" s="3" t="str">
        <x:v>2.4 G LEADER</x:v>
      </x:c>
      <x:c r="M568" s="22"/>
      <x:c r="N568" s="22"/>
      <x:c r="O568" s="22"/>
      <x:c r="P568" s="3" t="str">
        <x:v>未掲載</x:v>
      </x:c>
      <x:c r="Q568" s="3" t="str">
        <x:v>未取得</x:v>
      </x:c>
      <x:c r="R568" s="3" t="str">
        <x:v>Unknown</x:v>
      </x:c>
      <x:c r="S568" s="3" t="str">
        <x:v>不明</x:v>
      </x:c>
      <x:c r="T568" s="3" t="str">
        <x:v>15-ปัจจุบัน</x:v>
      </x:c>
      <x:c r="U568" s="28" t="n">
        <x:v>895000</x:v>
      </x:c>
      <x:c r="V568" s="28" t="n">
        <x:v>1375000</x:v>
      </x:c>
      <x:c r="W568" s="3" t="str">
        <x:v>事故・水没・SOH・保証残は未確認</x:v>
      </x:c>
      <x:c r="X568" s="3" t="str">
        <x:v>掲載中・在庫未確認</x:v>
      </x:c>
      <x:c r="Y568" s="3" t="str"/>
      <x:c r="Z568" s="27" t="str">
        <x:v>https://www.taladrod.com/w40/icar/cardet.aspx?cid=2903360</x:v>
      </x:c>
      <x:c r="AA568" s="3" t="str">
        <x:v>Taladrod個別広告ID／Carsome在庫ID</x:v>
      </x:c>
      <x:c r="AB568" s="3" t="str">
        <x:v>車台番号未取得／サイト間重複は未判定</x:v>
      </x:c>
      <x:c r="AC568" s="3" t="str">
        <x:v>税込区分未確認（一覧表示額）</x:v>
      </x:c>
      <x:c r="AD568" s="3" t="str"/>
      <x:c r="AE568" s="29" t="str">
        <x:f>""</x:f>
      </x:c>
      <x:c r="AF568" s="30" t="str">
        <x:f>IF(ISNUMBER(AE568),U568/AE568,"")</x:f>
      </x:c>
      <x:c r="AG568" s="29" t="str">
        <x:f>""</x:f>
      </x:c>
      <x:c r="AH568" s="30" t="str">
        <x:f>IF(ISNUMBER(AG568),U568/AG568,"")</x:f>
      </x:c>
      <x:c r="AI568" s="3" t="str">
        <x:v>同年式・グレードの検証済み当時価格なし／登録年混在</x:v>
      </x:c>
      <x:c r="AJ568" s="3" t="str">
        <x:v>一覧価格/年式のみ</x:v>
      </x:c>
      <x:c r="AK568" s="3" t="str">
        <x:v>一覧の表示価格。年式は掲載年式。</x:v>
      </x:c>
      <x:c r="AL568" s="31" t="n">
        <x:f>IF(AND(J568&lt;='分析方法'!$B$7,OR(ISBLANK(O568),O568&gt;='分析方法'!$B$8),X568&lt;&gt;"売却済み表示"),1,0)</x:f>
        <x:v>1</x:v>
      </x:c>
      <x:c r="AM568" s="32" t="n">
        <x:f>IF(AL568=1,U568,"")</x:f>
        <x:v>895000</x:v>
      </x:c>
      <x:c r="AN568" s="33" t="str">
        <x:f>IF(AL568=1,AF568,"")</x:f>
      </x:c>
      <x:c r="AO568" s="31" t="n">
        <x:f>'分析方法'!$B$6-J568</x:f>
        <x:v>4</x:v>
      </x:c>
      <x:c r="AP568" s="3"/>
    </x:row>
    <x:row r="569" ht="22" customHeight="1">
      <x:c r="A569" s="3" t="str">
        <x:v>T2926190</x:v>
      </x:c>
      <x:c r="B569" s="7" t="d">
        <x:v>2026-10-08T00:00:00.000Z</x:v>
      </x:c>
      <x:c r="C569" s="3" t="str">
        <x:v>Taladrod</x:v>
      </x:c>
      <x:c r="D569" s="3" t="str">
        <x:v>Toyota</x:v>
      </x:c>
      <x:c r="E569" s="3" t="str">
        <x:v>日本</x:v>
      </x:c>
      <x:c r="F569" s="3" t="str">
        <x:v>Fortuner</x:v>
      </x:c>
      <x:c r="G569" s="3" t="str">
        <x:v>ICE</x:v>
      </x:c>
      <x:c r="H569" s="3" t="str">
        <x:v>SUV</x:v>
      </x:c>
      <x:c r="I569" s="3" t="str"/>
      <x:c r="J569" s="3" t="n">
        <x:v>2022</x:v>
      </x:c>
      <x:c r="K569" s="3" t="str">
        <x:v>2.4 G LEADER</x:v>
      </x:c>
      <x:c r="L569" s="3" t="str">
        <x:v>2.4 G LEADER</x:v>
      </x:c>
      <x:c r="M569" s="22"/>
      <x:c r="N569" s="22"/>
      <x:c r="O569" s="22"/>
      <x:c r="P569" s="3" t="str">
        <x:v>未掲載</x:v>
      </x:c>
      <x:c r="Q569" s="3" t="str">
        <x:v>未取得</x:v>
      </x:c>
      <x:c r="R569" s="3" t="str">
        <x:v>Unknown</x:v>
      </x:c>
      <x:c r="S569" s="3" t="str">
        <x:v>不明</x:v>
      </x:c>
      <x:c r="T569" s="3" t="str">
        <x:v>15-ปัจจุบัน</x:v>
      </x:c>
      <x:c r="U569" s="28" t="n">
        <x:v>898000</x:v>
      </x:c>
      <x:c r="V569" s="28" t="n">
        <x:v>1375000</x:v>
      </x:c>
      <x:c r="W569" s="3" t="str">
        <x:v>事故・水没・SOH・保証残は未確認</x:v>
      </x:c>
      <x:c r="X569" s="3" t="str">
        <x:v>掲載中・在庫未確認</x:v>
      </x:c>
      <x:c r="Y569" s="3" t="str"/>
      <x:c r="Z569" s="27" t="str">
        <x:v>https://www.taladrod.com/w40/icar/cardet.aspx?cid=2926190</x:v>
      </x:c>
      <x:c r="AA569" s="3" t="str">
        <x:v>Taladrod個別広告ID／Carsome在庫ID</x:v>
      </x:c>
      <x:c r="AB569" s="3" t="str">
        <x:v>車台番号未取得／サイト間重複は未判定</x:v>
      </x:c>
      <x:c r="AC569" s="3" t="str">
        <x:v>税込区分未確認（一覧表示額）</x:v>
      </x:c>
      <x:c r="AD569" s="3" t="str"/>
      <x:c r="AE569" s="29" t="str">
        <x:f>""</x:f>
      </x:c>
      <x:c r="AF569" s="30" t="str">
        <x:f>IF(ISNUMBER(AE569),U569/AE569,"")</x:f>
      </x:c>
      <x:c r="AG569" s="29" t="str">
        <x:f>""</x:f>
      </x:c>
      <x:c r="AH569" s="30" t="str">
        <x:f>IF(ISNUMBER(AG569),U569/AG569,"")</x:f>
      </x:c>
      <x:c r="AI569" s="3" t="str">
        <x:v>同年式・グレードの検証済み当時価格なし／登録年混在</x:v>
      </x:c>
      <x:c r="AJ569" s="3" t="str">
        <x:v>一覧価格/年式のみ</x:v>
      </x:c>
      <x:c r="AK569" s="3" t="str">
        <x:v>一覧の表示価格。年式は掲載年式。</x:v>
      </x:c>
      <x:c r="AL569" s="31" t="n">
        <x:f>IF(AND(J569&lt;='分析方法'!$B$7,OR(ISBLANK(O569),O569&gt;='分析方法'!$B$8),X569&lt;&gt;"売却済み表示"),1,0)</x:f>
        <x:v>1</x:v>
      </x:c>
      <x:c r="AM569" s="32" t="n">
        <x:f>IF(AL569=1,U569,"")</x:f>
        <x:v>898000</x:v>
      </x:c>
      <x:c r="AN569" s="33" t="str">
        <x:f>IF(AL569=1,AF569,"")</x:f>
      </x:c>
      <x:c r="AO569" s="31" t="n">
        <x:f>'分析方法'!$B$6-J569</x:f>
        <x:v>4</x:v>
      </x:c>
      <x:c r="AP569" s="3"/>
    </x:row>
    <x:row r="570" ht="22" customHeight="1">
      <x:c r="A570" s="3" t="str">
        <x:v>T2883163</x:v>
      </x:c>
      <x:c r="B570" s="7" t="d">
        <x:v>2026-10-08T00:00:00.000Z</x:v>
      </x:c>
      <x:c r="C570" s="3" t="str">
        <x:v>Taladrod</x:v>
      </x:c>
      <x:c r="D570" s="3" t="str">
        <x:v>Toyota</x:v>
      </x:c>
      <x:c r="E570" s="3" t="str">
        <x:v>日本</x:v>
      </x:c>
      <x:c r="F570" s="3" t="str">
        <x:v>Fortuner</x:v>
      </x:c>
      <x:c r="G570" s="3" t="str">
        <x:v>ICE</x:v>
      </x:c>
      <x:c r="H570" s="3" t="str">
        <x:v>SUV</x:v>
      </x:c>
      <x:c r="I570" s="3" t="str"/>
      <x:c r="J570" s="3" t="n">
        <x:v>2022</x:v>
      </x:c>
      <x:c r="K570" s="3" t="str">
        <x:v>2.4 LEGENDER</x:v>
      </x:c>
      <x:c r="L570" s="3" t="str">
        <x:v>2.4 LEGENDER</x:v>
      </x:c>
      <x:c r="M570" s="22"/>
      <x:c r="N570" s="22"/>
      <x:c r="O570" s="22"/>
      <x:c r="P570" s="3" t="str">
        <x:v>未掲載</x:v>
      </x:c>
      <x:c r="Q570" s="3" t="str">
        <x:v>未取得</x:v>
      </x:c>
      <x:c r="R570" s="3" t="str">
        <x:v>Unknown</x:v>
      </x:c>
      <x:c r="S570" s="3" t="str">
        <x:v>不明</x:v>
      </x:c>
      <x:c r="T570" s="3" t="str">
        <x:v>15-ปัจจุบัน</x:v>
      </x:c>
      <x:c r="U570" s="28" t="n">
        <x:v>950000</x:v>
      </x:c>
      <x:c r="V570" s="28" t="n">
        <x:v>1564000</x:v>
      </x:c>
      <x:c r="W570" s="3" t="str">
        <x:v>事故・水没・SOH・保証残は未確認</x:v>
      </x:c>
      <x:c r="X570" s="3" t="str">
        <x:v>掲載中・在庫未確認</x:v>
      </x:c>
      <x:c r="Y570" s="3" t="str"/>
      <x:c r="Z570" s="27" t="str">
        <x:v>https://www.taladrod.com/w40/icar/cardet.aspx?cid=2883163</x:v>
      </x:c>
      <x:c r="AA570" s="3" t="str">
        <x:v>Taladrod個別広告ID／Carsome在庫ID</x:v>
      </x:c>
      <x:c r="AB570" s="3" t="str">
        <x:v>車台番号未取得／サイト間重複は未判定</x:v>
      </x:c>
      <x:c r="AC570" s="3" t="str">
        <x:v>税込区分未確認（一覧表示額）</x:v>
      </x:c>
      <x:c r="AD570" s="3" t="str"/>
      <x:c r="AE570" s="29" t="str">
        <x:f>""</x:f>
      </x:c>
      <x:c r="AF570" s="30" t="str">
        <x:f>IF(ISNUMBER(AE570),U570/AE570,"")</x:f>
      </x:c>
      <x:c r="AG570" s="29" t="str">
        <x:f>""</x:f>
      </x:c>
      <x:c r="AH570" s="30" t="str">
        <x:f>IF(ISNUMBER(AG570),U570/AG570,"")</x:f>
      </x:c>
      <x:c r="AI570" s="3" t="str">
        <x:v>同年式・グレードの検証済み当時価格なし／登録年混在</x:v>
      </x:c>
      <x:c r="AJ570" s="3" t="str">
        <x:v>一覧価格/年式のみ</x:v>
      </x:c>
      <x:c r="AK570" s="3" t="str">
        <x:v>一覧の表示価格。年式は掲載年式。</x:v>
      </x:c>
      <x:c r="AL570" s="31" t="n">
        <x:f>IF(AND(J570&lt;='分析方法'!$B$7,OR(ISBLANK(O570),O570&gt;='分析方法'!$B$8),X570&lt;&gt;"売却済み表示"),1,0)</x:f>
        <x:v>1</x:v>
      </x:c>
      <x:c r="AM570" s="32" t="n">
        <x:f>IF(AL570=1,U570,"")</x:f>
        <x:v>950000</x:v>
      </x:c>
      <x:c r="AN570" s="33" t="str">
        <x:f>IF(AL570=1,AF570,"")</x:f>
      </x:c>
      <x:c r="AO570" s="31" t="n">
        <x:f>'分析方法'!$B$6-J570</x:f>
        <x:v>4</x:v>
      </x:c>
      <x:c r="AP570" s="3"/>
    </x:row>
    <x:row r="571" ht="22" customHeight="1">
      <x:c r="A571" s="3" t="str">
        <x:v>T2913878</x:v>
      </x:c>
      <x:c r="B571" s="7" t="d">
        <x:v>2026-10-08T00:00:00.000Z</x:v>
      </x:c>
      <x:c r="C571" s="3" t="str">
        <x:v>Taladrod</x:v>
      </x:c>
      <x:c r="D571" s="3" t="str">
        <x:v>Toyota</x:v>
      </x:c>
      <x:c r="E571" s="3" t="str">
        <x:v>日本</x:v>
      </x:c>
      <x:c r="F571" s="3" t="str">
        <x:v>Fortuner</x:v>
      </x:c>
      <x:c r="G571" s="3" t="str">
        <x:v>ICE</x:v>
      </x:c>
      <x:c r="H571" s="3" t="str">
        <x:v>SUV</x:v>
      </x:c>
      <x:c r="I571" s="3" t="str"/>
      <x:c r="J571" s="3" t="n">
        <x:v>2022</x:v>
      </x:c>
      <x:c r="K571" s="3" t="str">
        <x:v>2.4 LEGENDER</x:v>
      </x:c>
      <x:c r="L571" s="3" t="str">
        <x:v>2.4 LEGENDER</x:v>
      </x:c>
      <x:c r="M571" s="22"/>
      <x:c r="N571" s="22"/>
      <x:c r="O571" s="22"/>
      <x:c r="P571" s="3" t="str">
        <x:v>未掲載</x:v>
      </x:c>
      <x:c r="Q571" s="3" t="str">
        <x:v>未取得</x:v>
      </x:c>
      <x:c r="R571" s="3" t="str">
        <x:v>Unknown</x:v>
      </x:c>
      <x:c r="S571" s="3" t="str">
        <x:v>不明</x:v>
      </x:c>
      <x:c r="T571" s="3" t="str">
        <x:v>15-ปัจจุบัน</x:v>
      </x:c>
      <x:c r="U571" s="28" t="n">
        <x:v>914000</x:v>
      </x:c>
      <x:c r="V571" s="28" t="n">
        <x:v>1564000</x:v>
      </x:c>
      <x:c r="W571" s="3" t="str">
        <x:v>事故・水没・SOH・保証残は未確認</x:v>
      </x:c>
      <x:c r="X571" s="3" t="str">
        <x:v>掲載中・在庫未確認</x:v>
      </x:c>
      <x:c r="Y571" s="3" t="str"/>
      <x:c r="Z571" s="27" t="str">
        <x:v>https://www.taladrod.com/w40/icar/cardet.aspx?cid=2913878</x:v>
      </x:c>
      <x:c r="AA571" s="3" t="str">
        <x:v>Taladrod個別広告ID／Carsome在庫ID</x:v>
      </x:c>
      <x:c r="AB571" s="3" t="str">
        <x:v>車台番号未取得／サイト間重複は未判定</x:v>
      </x:c>
      <x:c r="AC571" s="3" t="str">
        <x:v>税込区分未確認（一覧表示額）</x:v>
      </x:c>
      <x:c r="AD571" s="3" t="str"/>
      <x:c r="AE571" s="29" t="str">
        <x:f>""</x:f>
      </x:c>
      <x:c r="AF571" s="30" t="str">
        <x:f>IF(ISNUMBER(AE571),U571/AE571,"")</x:f>
      </x:c>
      <x:c r="AG571" s="29" t="str">
        <x:f>""</x:f>
      </x:c>
      <x:c r="AH571" s="30" t="str">
        <x:f>IF(ISNUMBER(AG571),U571/AG571,"")</x:f>
      </x:c>
      <x:c r="AI571" s="3" t="str">
        <x:v>同年式・グレードの検証済み当時価格なし／登録年混在</x:v>
      </x:c>
      <x:c r="AJ571" s="3" t="str">
        <x:v>一覧価格/年式のみ</x:v>
      </x:c>
      <x:c r="AK571" s="3" t="str">
        <x:v>一覧の表示価格。年式は掲載年式。</x:v>
      </x:c>
      <x:c r="AL571" s="31" t="n">
        <x:f>IF(AND(J571&lt;='分析方法'!$B$7,OR(ISBLANK(O571),O571&gt;='分析方法'!$B$8),X571&lt;&gt;"売却済み表示"),1,0)</x:f>
        <x:v>1</x:v>
      </x:c>
      <x:c r="AM571" s="32" t="n">
        <x:f>IF(AL571=1,U571,"")</x:f>
        <x:v>914000</x:v>
      </x:c>
      <x:c r="AN571" s="33" t="str">
        <x:f>IF(AL571=1,AF571,"")</x:f>
      </x:c>
      <x:c r="AO571" s="31" t="n">
        <x:f>'分析方法'!$B$6-J571</x:f>
        <x:v>4</x:v>
      </x:c>
      <x:c r="AP571" s="3"/>
    </x:row>
    <x:row r="572" ht="22" customHeight="1">
      <x:c r="A572" s="3" t="str">
        <x:v>T2919364</x:v>
      </x:c>
      <x:c r="B572" s="7" t="d">
        <x:v>2026-10-08T00:00:00.000Z</x:v>
      </x:c>
      <x:c r="C572" s="3" t="str">
        <x:v>Taladrod</x:v>
      </x:c>
      <x:c r="D572" s="3" t="str">
        <x:v>Toyota</x:v>
      </x:c>
      <x:c r="E572" s="3" t="str">
        <x:v>日本</x:v>
      </x:c>
      <x:c r="F572" s="3" t="str">
        <x:v>Fortuner</x:v>
      </x:c>
      <x:c r="G572" s="3" t="str">
        <x:v>ICE</x:v>
      </x:c>
      <x:c r="H572" s="3" t="str">
        <x:v>SUV</x:v>
      </x:c>
      <x:c r="I572" s="3" t="str"/>
      <x:c r="J572" s="3" t="n">
        <x:v>2022</x:v>
      </x:c>
      <x:c r="K572" s="3" t="str">
        <x:v>2.4 LEGENDER</x:v>
      </x:c>
      <x:c r="L572" s="3" t="str">
        <x:v>2.4 LEGENDER</x:v>
      </x:c>
      <x:c r="M572" s="22"/>
      <x:c r="N572" s="22"/>
      <x:c r="O572" s="22"/>
      <x:c r="P572" s="3" t="str">
        <x:v>未掲載</x:v>
      </x:c>
      <x:c r="Q572" s="3" t="str">
        <x:v>未取得</x:v>
      </x:c>
      <x:c r="R572" s="3" t="str">
        <x:v>Unknown</x:v>
      </x:c>
      <x:c r="S572" s="3" t="str">
        <x:v>不明</x:v>
      </x:c>
      <x:c r="T572" s="3" t="str">
        <x:v>15-ปัจจุบัน</x:v>
      </x:c>
      <x:c r="U572" s="28" t="n">
        <x:v>984000</x:v>
      </x:c>
      <x:c r="V572" s="28" t="n">
        <x:v>1564000</x:v>
      </x:c>
      <x:c r="W572" s="3" t="str">
        <x:v>事故・水没・SOH・保証残は未確認</x:v>
      </x:c>
      <x:c r="X572" s="3" t="str">
        <x:v>掲載中・在庫未確認</x:v>
      </x:c>
      <x:c r="Y572" s="3" t="str"/>
      <x:c r="Z572" s="27" t="str">
        <x:v>https://www.taladrod.com/w40/icar/cardet.aspx?cid=2919364</x:v>
      </x:c>
      <x:c r="AA572" s="3" t="str">
        <x:v>Taladrod個別広告ID／Carsome在庫ID</x:v>
      </x:c>
      <x:c r="AB572" s="3" t="str">
        <x:v>車台番号未取得／サイト間重複は未判定</x:v>
      </x:c>
      <x:c r="AC572" s="3" t="str">
        <x:v>税込区分未確認（一覧表示額）</x:v>
      </x:c>
      <x:c r="AD572" s="3" t="str"/>
      <x:c r="AE572" s="29" t="str">
        <x:f>""</x:f>
      </x:c>
      <x:c r="AF572" s="30" t="str">
        <x:f>IF(ISNUMBER(AE572),U572/AE572,"")</x:f>
      </x:c>
      <x:c r="AG572" s="29" t="str">
        <x:f>""</x:f>
      </x:c>
      <x:c r="AH572" s="30" t="str">
        <x:f>IF(ISNUMBER(AG572),U572/AG572,"")</x:f>
      </x:c>
      <x:c r="AI572" s="3" t="str">
        <x:v>同年式・グレードの検証済み当時価格なし／登録年混在</x:v>
      </x:c>
      <x:c r="AJ572" s="3" t="str">
        <x:v>一覧価格/年式のみ</x:v>
      </x:c>
      <x:c r="AK572" s="3" t="str">
        <x:v>一覧の表示価格。年式は掲載年式。</x:v>
      </x:c>
      <x:c r="AL572" s="31" t="n">
        <x:f>IF(AND(J572&lt;='分析方法'!$B$7,OR(ISBLANK(O572),O572&gt;='分析方法'!$B$8),X572&lt;&gt;"売却済み表示"),1,0)</x:f>
        <x:v>1</x:v>
      </x:c>
      <x:c r="AM572" s="32" t="n">
        <x:f>IF(AL572=1,U572,"")</x:f>
        <x:v>984000</x:v>
      </x:c>
      <x:c r="AN572" s="33" t="str">
        <x:f>IF(AL572=1,AF572,"")</x:f>
      </x:c>
      <x:c r="AO572" s="31" t="n">
        <x:f>'分析方法'!$B$6-J572</x:f>
        <x:v>4</x:v>
      </x:c>
      <x:c r="AP572" s="3"/>
    </x:row>
    <x:row r="573" ht="22" customHeight="1">
      <x:c r="A573" s="3" t="str">
        <x:v>T2882631</x:v>
      </x:c>
      <x:c r="B573" s="7" t="d">
        <x:v>2026-10-08T00:00:00.000Z</x:v>
      </x:c>
      <x:c r="C573" s="3" t="str">
        <x:v>Taladrod</x:v>
      </x:c>
      <x:c r="D573" s="3" t="str">
        <x:v>Toyota</x:v>
      </x:c>
      <x:c r="E573" s="3" t="str">
        <x:v>日本</x:v>
      </x:c>
      <x:c r="F573" s="3" t="str">
        <x:v>Fortuner</x:v>
      </x:c>
      <x:c r="G573" s="3" t="str">
        <x:v>ICE</x:v>
      </x:c>
      <x:c r="H573" s="3" t="str">
        <x:v>SUV</x:v>
      </x:c>
      <x:c r="I573" s="3" t="str"/>
      <x:c r="J573" s="3" t="n">
        <x:v>2022</x:v>
      </x:c>
      <x:c r="K573" s="3" t="str">
        <x:v>2.4 LEGENDER BLACK TOP</x:v>
      </x:c>
      <x:c r="L573" s="3" t="str">
        <x:v>2.4 LEGENDER BLACK TOP</x:v>
      </x:c>
      <x:c r="M573" s="22"/>
      <x:c r="N573" s="22"/>
      <x:c r="O573" s="22"/>
      <x:c r="P573" s="3" t="str">
        <x:v>未掲載</x:v>
      </x:c>
      <x:c r="Q573" s="3" t="str">
        <x:v>未取得</x:v>
      </x:c>
      <x:c r="R573" s="3" t="str">
        <x:v>Unknown</x:v>
      </x:c>
      <x:c r="S573" s="3" t="str">
        <x:v>不明</x:v>
      </x:c>
      <x:c r="T573" s="3" t="str">
        <x:v>15-ปัจจุบัน</x:v>
      </x:c>
      <x:c r="U573" s="28" t="n">
        <x:v>989000</x:v>
      </x:c>
      <x:c r="V573" s="28" t="n">
        <x:v>1584000</x:v>
      </x:c>
      <x:c r="W573" s="3" t="str">
        <x:v>事故・水没・SOH・保証残は未確認</x:v>
      </x:c>
      <x:c r="X573" s="3" t="str">
        <x:v>掲載中・在庫未確認</x:v>
      </x:c>
      <x:c r="Y573" s="3" t="str"/>
      <x:c r="Z573" s="27" t="str">
        <x:v>https://www.taladrod.com/w40/icar/cardet.aspx?cid=2882631</x:v>
      </x:c>
      <x:c r="AA573" s="3" t="str">
        <x:v>Taladrod個別広告ID／Carsome在庫ID</x:v>
      </x:c>
      <x:c r="AB573" s="3" t="str">
        <x:v>車台番号未取得／サイト間重複は未判定</x:v>
      </x:c>
      <x:c r="AC573" s="3" t="str">
        <x:v>税込区分未確認（一覧表示額）</x:v>
      </x:c>
      <x:c r="AD573" s="3" t="str"/>
      <x:c r="AE573" s="29" t="str">
        <x:f>""</x:f>
      </x:c>
      <x:c r="AF573" s="30" t="str">
        <x:f>IF(ISNUMBER(AE573),U573/AE573,"")</x:f>
      </x:c>
      <x:c r="AG573" s="29" t="str">
        <x:f>""</x:f>
      </x:c>
      <x:c r="AH573" s="30" t="str">
        <x:f>IF(ISNUMBER(AG573),U573/AG573,"")</x:f>
      </x:c>
      <x:c r="AI573" s="3" t="str">
        <x:v>同年式・グレードの検証済み当時価格なし／登録年混在</x:v>
      </x:c>
      <x:c r="AJ573" s="3" t="str">
        <x:v>一覧価格/年式のみ</x:v>
      </x:c>
      <x:c r="AK573" s="3" t="str">
        <x:v>一覧の表示価格。年式は掲載年式。</x:v>
      </x:c>
      <x:c r="AL573" s="31" t="n">
        <x:f>IF(AND(J573&lt;='分析方法'!$B$7,OR(ISBLANK(O573),O573&gt;='分析方法'!$B$8),X573&lt;&gt;"売却済み表示"),1,0)</x:f>
        <x:v>1</x:v>
      </x:c>
      <x:c r="AM573" s="32" t="n">
        <x:f>IF(AL573=1,U573,"")</x:f>
        <x:v>989000</x:v>
      </x:c>
      <x:c r="AN573" s="33" t="str">
        <x:f>IF(AL573=1,AF573,"")</x:f>
      </x:c>
      <x:c r="AO573" s="31" t="n">
        <x:f>'分析方法'!$B$6-J573</x:f>
        <x:v>4</x:v>
      </x:c>
      <x:c r="AP573" s="3"/>
    </x:row>
    <x:row r="574" ht="22" customHeight="1">
      <x:c r="A574" s="3" t="str">
        <x:v>T2912312</x:v>
      </x:c>
      <x:c r="B574" s="7" t="d">
        <x:v>2026-10-08T00:00:00.000Z</x:v>
      </x:c>
      <x:c r="C574" s="3" t="str">
        <x:v>Taladrod</x:v>
      </x:c>
      <x:c r="D574" s="3" t="str">
        <x:v>Toyota</x:v>
      </x:c>
      <x:c r="E574" s="3" t="str">
        <x:v>日本</x:v>
      </x:c>
      <x:c r="F574" s="3" t="str">
        <x:v>Fortuner</x:v>
      </x:c>
      <x:c r="G574" s="3" t="str">
        <x:v>ICE</x:v>
      </x:c>
      <x:c r="H574" s="3" t="str">
        <x:v>SUV</x:v>
      </x:c>
      <x:c r="I574" s="3" t="str"/>
      <x:c r="J574" s="3" t="n">
        <x:v>2022</x:v>
      </x:c>
      <x:c r="K574" s="3" t="str">
        <x:v>2.4 LEGENDER BLACK TOP</x:v>
      </x:c>
      <x:c r="L574" s="3" t="str">
        <x:v>2.4 LEGENDER BLACK TOP</x:v>
      </x:c>
      <x:c r="M574" s="22"/>
      <x:c r="N574" s="22"/>
      <x:c r="O574" s="22"/>
      <x:c r="P574" s="3" t="str">
        <x:v>未掲載</x:v>
      </x:c>
      <x:c r="Q574" s="3" t="str">
        <x:v>未取得</x:v>
      </x:c>
      <x:c r="R574" s="3" t="str">
        <x:v>Unknown</x:v>
      </x:c>
      <x:c r="S574" s="3" t="str">
        <x:v>不明</x:v>
      </x:c>
      <x:c r="T574" s="3" t="str">
        <x:v>15-ปัจจุบัน</x:v>
      </x:c>
      <x:c r="U574" s="28" t="n">
        <x:v>999000</x:v>
      </x:c>
      <x:c r="V574" s="28" t="n">
        <x:v>1584000</x:v>
      </x:c>
      <x:c r="W574" s="3" t="str">
        <x:v>事故・水没・SOH・保証残は未確認</x:v>
      </x:c>
      <x:c r="X574" s="3" t="str">
        <x:v>掲載中・在庫未確認</x:v>
      </x:c>
      <x:c r="Y574" s="3" t="str"/>
      <x:c r="Z574" s="27" t="str">
        <x:v>https://www.taladrod.com/w40/icar/cardet.aspx?cid=2912312</x:v>
      </x:c>
      <x:c r="AA574" s="3" t="str">
        <x:v>Taladrod個別広告ID／Carsome在庫ID</x:v>
      </x:c>
      <x:c r="AB574" s="3" t="str">
        <x:v>車台番号未取得／サイト間重複は未判定</x:v>
      </x:c>
      <x:c r="AC574" s="3" t="str">
        <x:v>税込区分未確認（一覧表示額）</x:v>
      </x:c>
      <x:c r="AD574" s="3" t="str"/>
      <x:c r="AE574" s="29" t="str">
        <x:f>""</x:f>
      </x:c>
      <x:c r="AF574" s="30" t="str">
        <x:f>IF(ISNUMBER(AE574),U574/AE574,"")</x:f>
      </x:c>
      <x:c r="AG574" s="29" t="str">
        <x:f>""</x:f>
      </x:c>
      <x:c r="AH574" s="30" t="str">
        <x:f>IF(ISNUMBER(AG574),U574/AG574,"")</x:f>
      </x:c>
      <x:c r="AI574" s="3" t="str">
        <x:v>同年式・グレードの検証済み当時価格なし／登録年混在</x:v>
      </x:c>
      <x:c r="AJ574" s="3" t="str">
        <x:v>一覧価格/年式のみ</x:v>
      </x:c>
      <x:c r="AK574" s="3" t="str">
        <x:v>一覧の表示価格。年式は掲載年式。</x:v>
      </x:c>
      <x:c r="AL574" s="31" t="n">
        <x:f>IF(AND(J574&lt;='分析方法'!$B$7,OR(ISBLANK(O574),O574&gt;='分析方法'!$B$8),X574&lt;&gt;"売却済み表示"),1,0)</x:f>
        <x:v>1</x:v>
      </x:c>
      <x:c r="AM574" s="32" t="n">
        <x:f>IF(AL574=1,U574,"")</x:f>
        <x:v>999000</x:v>
      </x:c>
      <x:c r="AN574" s="33" t="str">
        <x:f>IF(AL574=1,AF574,"")</x:f>
      </x:c>
      <x:c r="AO574" s="31" t="n">
        <x:f>'分析方法'!$B$6-J574</x:f>
        <x:v>4</x:v>
      </x:c>
      <x:c r="AP574" s="3"/>
    </x:row>
    <x:row r="575" ht="22" customHeight="1">
      <x:c r="A575" s="3" t="str">
        <x:v>T2913824</x:v>
      </x:c>
      <x:c r="B575" s="7" t="d">
        <x:v>2026-10-08T00:00:00.000Z</x:v>
      </x:c>
      <x:c r="C575" s="3" t="str">
        <x:v>Taladrod</x:v>
      </x:c>
      <x:c r="D575" s="3" t="str">
        <x:v>Toyota</x:v>
      </x:c>
      <x:c r="E575" s="3" t="str">
        <x:v>日本</x:v>
      </x:c>
      <x:c r="F575" s="3" t="str">
        <x:v>Fortuner</x:v>
      </x:c>
      <x:c r="G575" s="3" t="str">
        <x:v>ICE</x:v>
      </x:c>
      <x:c r="H575" s="3" t="str">
        <x:v>SUV</x:v>
      </x:c>
      <x:c r="I575" s="3" t="str"/>
      <x:c r="J575" s="3" t="n">
        <x:v>2022</x:v>
      </x:c>
      <x:c r="K575" s="3" t="str">
        <x:v>2.4 LEGENDER BLACK TOP</x:v>
      </x:c>
      <x:c r="L575" s="3" t="str">
        <x:v>2.4 LEGENDER BLACK TOP</x:v>
      </x:c>
      <x:c r="M575" s="22"/>
      <x:c r="N575" s="22"/>
      <x:c r="O575" s="22"/>
      <x:c r="P575" s="3" t="str">
        <x:v>未掲載</x:v>
      </x:c>
      <x:c r="Q575" s="3" t="str">
        <x:v>未取得</x:v>
      </x:c>
      <x:c r="R575" s="3" t="str">
        <x:v>Unknown</x:v>
      </x:c>
      <x:c r="S575" s="3" t="str">
        <x:v>不明</x:v>
      </x:c>
      <x:c r="T575" s="3" t="str">
        <x:v>15-ปัจจุบัน</x:v>
      </x:c>
      <x:c r="U575" s="28" t="n">
        <x:v>979000</x:v>
      </x:c>
      <x:c r="V575" s="28" t="n">
        <x:v>1584000</x:v>
      </x:c>
      <x:c r="W575" s="3" t="str">
        <x:v>事故・水没・SOH・保証残は未確認</x:v>
      </x:c>
      <x:c r="X575" s="3" t="str">
        <x:v>掲載中・在庫未確認</x:v>
      </x:c>
      <x:c r="Y575" s="3" t="str"/>
      <x:c r="Z575" s="27" t="str">
        <x:v>https://www.taladrod.com/w40/icar/cardet.aspx?cid=2913824</x:v>
      </x:c>
      <x:c r="AA575" s="3" t="str">
        <x:v>Taladrod個別広告ID／Carsome在庫ID</x:v>
      </x:c>
      <x:c r="AB575" s="3" t="str">
        <x:v>車台番号未取得／サイト間重複は未判定</x:v>
      </x:c>
      <x:c r="AC575" s="3" t="str">
        <x:v>税込区分未確認（一覧表示額）</x:v>
      </x:c>
      <x:c r="AD575" s="3" t="str"/>
      <x:c r="AE575" s="29" t="str">
        <x:f>""</x:f>
      </x:c>
      <x:c r="AF575" s="30" t="str">
        <x:f>IF(ISNUMBER(AE575),U575/AE575,"")</x:f>
      </x:c>
      <x:c r="AG575" s="29" t="str">
        <x:f>""</x:f>
      </x:c>
      <x:c r="AH575" s="30" t="str">
        <x:f>IF(ISNUMBER(AG575),U575/AG575,"")</x:f>
      </x:c>
      <x:c r="AI575" s="3" t="str">
        <x:v>同年式・グレードの検証済み当時価格なし／登録年混在</x:v>
      </x:c>
      <x:c r="AJ575" s="3" t="str">
        <x:v>一覧価格/年式のみ</x:v>
      </x:c>
      <x:c r="AK575" s="3" t="str">
        <x:v>一覧の表示価格。年式は掲載年式。</x:v>
      </x:c>
      <x:c r="AL575" s="31" t="n">
        <x:f>IF(AND(J575&lt;='分析方法'!$B$7,OR(ISBLANK(O575),O575&gt;='分析方法'!$B$8),X575&lt;&gt;"売却済み表示"),1,0)</x:f>
        <x:v>1</x:v>
      </x:c>
      <x:c r="AM575" s="32" t="n">
        <x:f>IF(AL575=1,U575,"")</x:f>
        <x:v>979000</x:v>
      </x:c>
      <x:c r="AN575" s="33" t="str">
        <x:f>IF(AL575=1,AF575,"")</x:f>
      </x:c>
      <x:c r="AO575" s="31" t="n">
        <x:f>'分析方法'!$B$6-J575</x:f>
        <x:v>4</x:v>
      </x:c>
      <x:c r="AP575" s="3"/>
    </x:row>
    <x:row r="576" ht="22" customHeight="1">
      <x:c r="A576" s="3" t="str">
        <x:v>T2913988</x:v>
      </x:c>
      <x:c r="B576" s="7" t="d">
        <x:v>2026-10-08T00:00:00.000Z</x:v>
      </x:c>
      <x:c r="C576" s="3" t="str">
        <x:v>Taladrod</x:v>
      </x:c>
      <x:c r="D576" s="3" t="str">
        <x:v>Toyota</x:v>
      </x:c>
      <x:c r="E576" s="3" t="str">
        <x:v>日本</x:v>
      </x:c>
      <x:c r="F576" s="3" t="str">
        <x:v>Fortuner</x:v>
      </x:c>
      <x:c r="G576" s="3" t="str">
        <x:v>ICE</x:v>
      </x:c>
      <x:c r="H576" s="3" t="str">
        <x:v>SUV</x:v>
      </x:c>
      <x:c r="I576" s="3" t="str"/>
      <x:c r="J576" s="3" t="n">
        <x:v>2022</x:v>
      </x:c>
      <x:c r="K576" s="3" t="str">
        <x:v>2.4 LEGENDER BLACK TOP</x:v>
      </x:c>
      <x:c r="L576" s="3" t="str">
        <x:v>2.4 LEGENDER BLACK TOP</x:v>
      </x:c>
      <x:c r="M576" s="22"/>
      <x:c r="N576" s="22"/>
      <x:c r="O576" s="22"/>
      <x:c r="P576" s="3" t="str">
        <x:v>未掲載</x:v>
      </x:c>
      <x:c r="Q576" s="3" t="str">
        <x:v>未取得</x:v>
      </x:c>
      <x:c r="R576" s="3" t="str">
        <x:v>Unknown</x:v>
      </x:c>
      <x:c r="S576" s="3" t="str">
        <x:v>不明</x:v>
      </x:c>
      <x:c r="T576" s="3" t="str">
        <x:v>15-ปัจจุบัน</x:v>
      </x:c>
      <x:c r="U576" s="28" t="n">
        <x:v>999000</x:v>
      </x:c>
      <x:c r="V576" s="28" t="n">
        <x:v>1584000</x:v>
      </x:c>
      <x:c r="W576" s="3" t="str">
        <x:v>事故・水没・SOH・保証残は未確認</x:v>
      </x:c>
      <x:c r="X576" s="3" t="str">
        <x:v>掲載中・在庫未確認</x:v>
      </x:c>
      <x:c r="Y576" s="3" t="str"/>
      <x:c r="Z576" s="27" t="str">
        <x:v>https://www.taladrod.com/w40/icar/cardet.aspx?cid=2913988</x:v>
      </x:c>
      <x:c r="AA576" s="3" t="str">
        <x:v>Taladrod個別広告ID／Carsome在庫ID</x:v>
      </x:c>
      <x:c r="AB576" s="3" t="str">
        <x:v>車台番号未取得／サイト間重複は未判定</x:v>
      </x:c>
      <x:c r="AC576" s="3" t="str">
        <x:v>税込区分未確認（一覧表示額）</x:v>
      </x:c>
      <x:c r="AD576" s="3" t="str"/>
      <x:c r="AE576" s="29" t="str">
        <x:f>""</x:f>
      </x:c>
      <x:c r="AF576" s="30" t="str">
        <x:f>IF(ISNUMBER(AE576),U576/AE576,"")</x:f>
      </x:c>
      <x:c r="AG576" s="29" t="str">
        <x:f>""</x:f>
      </x:c>
      <x:c r="AH576" s="30" t="str">
        <x:f>IF(ISNUMBER(AG576),U576/AG576,"")</x:f>
      </x:c>
      <x:c r="AI576" s="3" t="str">
        <x:v>同年式・グレードの検証済み当時価格なし／登録年混在</x:v>
      </x:c>
      <x:c r="AJ576" s="3" t="str">
        <x:v>一覧価格/年式のみ</x:v>
      </x:c>
      <x:c r="AK576" s="3" t="str">
        <x:v>一覧の表示価格。年式は掲載年式。</x:v>
      </x:c>
      <x:c r="AL576" s="31" t="n">
        <x:f>IF(AND(J576&lt;='分析方法'!$B$7,OR(ISBLANK(O576),O576&gt;='分析方法'!$B$8),X576&lt;&gt;"売却済み表示"),1,0)</x:f>
        <x:v>1</x:v>
      </x:c>
      <x:c r="AM576" s="32" t="n">
        <x:f>IF(AL576=1,U576,"")</x:f>
        <x:v>999000</x:v>
      </x:c>
      <x:c r="AN576" s="33" t="str">
        <x:f>IF(AL576=1,AF576,"")</x:f>
      </x:c>
      <x:c r="AO576" s="31" t="n">
        <x:f>'分析方法'!$B$6-J576</x:f>
        <x:v>4</x:v>
      </x:c>
      <x:c r="AP576" s="3"/>
    </x:row>
    <x:row r="577" ht="22" customHeight="1">
      <x:c r="A577" s="3" t="str">
        <x:v>T2915508</x:v>
      </x:c>
      <x:c r="B577" s="7" t="d">
        <x:v>2026-10-08T00:00:00.000Z</x:v>
      </x:c>
      <x:c r="C577" s="3" t="str">
        <x:v>Taladrod</x:v>
      </x:c>
      <x:c r="D577" s="3" t="str">
        <x:v>Toyota</x:v>
      </x:c>
      <x:c r="E577" s="3" t="str">
        <x:v>日本</x:v>
      </x:c>
      <x:c r="F577" s="3" t="str">
        <x:v>Fortuner</x:v>
      </x:c>
      <x:c r="G577" s="3" t="str">
        <x:v>ICE</x:v>
      </x:c>
      <x:c r="H577" s="3" t="str">
        <x:v>SUV</x:v>
      </x:c>
      <x:c r="I577" s="3" t="str"/>
      <x:c r="J577" s="3" t="n">
        <x:v>2022</x:v>
      </x:c>
      <x:c r="K577" s="3" t="str">
        <x:v>2.4 LEGENDER BLACK TOP</x:v>
      </x:c>
      <x:c r="L577" s="3" t="str">
        <x:v>2.4 LEGENDER BLACK TOP</x:v>
      </x:c>
      <x:c r="M577" s="22"/>
      <x:c r="N577" s="22"/>
      <x:c r="O577" s="22"/>
      <x:c r="P577" s="3" t="str">
        <x:v>未掲載</x:v>
      </x:c>
      <x:c r="Q577" s="3" t="str">
        <x:v>未取得</x:v>
      </x:c>
      <x:c r="R577" s="3" t="str">
        <x:v>Unknown</x:v>
      </x:c>
      <x:c r="S577" s="3" t="str">
        <x:v>不明</x:v>
      </x:c>
      <x:c r="T577" s="3" t="str">
        <x:v>15-ปัจจุบัน</x:v>
      </x:c>
      <x:c r="U577" s="28" t="n">
        <x:v>929000</x:v>
      </x:c>
      <x:c r="V577" s="28" t="n">
        <x:v>1584000</x:v>
      </x:c>
      <x:c r="W577" s="3" t="str">
        <x:v>事故・水没・SOH・保証残は未確認</x:v>
      </x:c>
      <x:c r="X577" s="3" t="str">
        <x:v>掲載中・在庫未確認</x:v>
      </x:c>
      <x:c r="Y577" s="3" t="str"/>
      <x:c r="Z577" s="27" t="str">
        <x:v>https://www.taladrod.com/w40/icar/cardet.aspx?cid=2915508</x:v>
      </x:c>
      <x:c r="AA577" s="3" t="str">
        <x:v>Taladrod個別広告ID／Carsome在庫ID</x:v>
      </x:c>
      <x:c r="AB577" s="3" t="str">
        <x:v>車台番号未取得／サイト間重複は未判定</x:v>
      </x:c>
      <x:c r="AC577" s="3" t="str">
        <x:v>税込区分未確認（一覧表示額）</x:v>
      </x:c>
      <x:c r="AD577" s="3" t="str"/>
      <x:c r="AE577" s="29" t="str">
        <x:f>""</x:f>
      </x:c>
      <x:c r="AF577" s="30" t="str">
        <x:f>IF(ISNUMBER(AE577),U577/AE577,"")</x:f>
      </x:c>
      <x:c r="AG577" s="29" t="str">
        <x:f>""</x:f>
      </x:c>
      <x:c r="AH577" s="30" t="str">
        <x:f>IF(ISNUMBER(AG577),U577/AG577,"")</x:f>
      </x:c>
      <x:c r="AI577" s="3" t="str">
        <x:v>同年式・グレードの検証済み当時価格なし／登録年混在</x:v>
      </x:c>
      <x:c r="AJ577" s="3" t="str">
        <x:v>一覧価格/年式のみ</x:v>
      </x:c>
      <x:c r="AK577" s="3" t="str">
        <x:v>一覧の表示価格。年式は掲載年式。</x:v>
      </x:c>
      <x:c r="AL577" s="31" t="n">
        <x:f>IF(AND(J577&lt;='分析方法'!$B$7,OR(ISBLANK(O577),O577&gt;='分析方法'!$B$8),X577&lt;&gt;"売却済み表示"),1,0)</x:f>
        <x:v>1</x:v>
      </x:c>
      <x:c r="AM577" s="32" t="n">
        <x:f>IF(AL577=1,U577,"")</x:f>
        <x:v>929000</x:v>
      </x:c>
      <x:c r="AN577" s="33" t="str">
        <x:f>IF(AL577=1,AF577,"")</x:f>
      </x:c>
      <x:c r="AO577" s="31" t="n">
        <x:f>'分析方法'!$B$6-J577</x:f>
        <x:v>4</x:v>
      </x:c>
      <x:c r="AP577" s="3"/>
    </x:row>
    <x:row r="578" ht="22" customHeight="1">
      <x:c r="A578" s="3" t="str">
        <x:v>T2915538</x:v>
      </x:c>
      <x:c r="B578" s="7" t="d">
        <x:v>2026-10-08T00:00:00.000Z</x:v>
      </x:c>
      <x:c r="C578" s="3" t="str">
        <x:v>Taladrod</x:v>
      </x:c>
      <x:c r="D578" s="3" t="str">
        <x:v>Toyota</x:v>
      </x:c>
      <x:c r="E578" s="3" t="str">
        <x:v>日本</x:v>
      </x:c>
      <x:c r="F578" s="3" t="str">
        <x:v>Fortuner</x:v>
      </x:c>
      <x:c r="G578" s="3" t="str">
        <x:v>ICE</x:v>
      </x:c>
      <x:c r="H578" s="3" t="str">
        <x:v>SUV</x:v>
      </x:c>
      <x:c r="I578" s="3" t="str"/>
      <x:c r="J578" s="3" t="n">
        <x:v>2022</x:v>
      </x:c>
      <x:c r="K578" s="3" t="str">
        <x:v>2.4 LEGENDER BLACK TOP</x:v>
      </x:c>
      <x:c r="L578" s="3" t="str">
        <x:v>2.4 LEGENDER BLACK TOP</x:v>
      </x:c>
      <x:c r="M578" s="22"/>
      <x:c r="N578" s="22"/>
      <x:c r="O578" s="22"/>
      <x:c r="P578" s="3" t="str">
        <x:v>未掲載</x:v>
      </x:c>
      <x:c r="Q578" s="3" t="str">
        <x:v>未取得</x:v>
      </x:c>
      <x:c r="R578" s="3" t="str">
        <x:v>Unknown</x:v>
      </x:c>
      <x:c r="S578" s="3" t="str">
        <x:v>不明</x:v>
      </x:c>
      <x:c r="T578" s="3" t="str">
        <x:v>15-ปัจจุบัน</x:v>
      </x:c>
      <x:c r="U578" s="28" t="n">
        <x:v>936000</x:v>
      </x:c>
      <x:c r="V578" s="28" t="n">
        <x:v>1584000</x:v>
      </x:c>
      <x:c r="W578" s="3" t="str">
        <x:v>事故・水没・SOH・保証残は未確認</x:v>
      </x:c>
      <x:c r="X578" s="3" t="str">
        <x:v>掲載中・在庫未確認</x:v>
      </x:c>
      <x:c r="Y578" s="3" t="str"/>
      <x:c r="Z578" s="27" t="str">
        <x:v>https://www.taladrod.com/w40/icar/cardet.aspx?cid=2915538</x:v>
      </x:c>
      <x:c r="AA578" s="3" t="str">
        <x:v>Taladrod個別広告ID／Carsome在庫ID</x:v>
      </x:c>
      <x:c r="AB578" s="3" t="str">
        <x:v>車台番号未取得／サイト間重複は未判定</x:v>
      </x:c>
      <x:c r="AC578" s="3" t="str">
        <x:v>税込区分未確認（一覧表示額）</x:v>
      </x:c>
      <x:c r="AD578" s="3" t="str"/>
      <x:c r="AE578" s="29" t="str">
        <x:f>""</x:f>
      </x:c>
      <x:c r="AF578" s="30" t="str">
        <x:f>IF(ISNUMBER(AE578),U578/AE578,"")</x:f>
      </x:c>
      <x:c r="AG578" s="29" t="str">
        <x:f>""</x:f>
      </x:c>
      <x:c r="AH578" s="30" t="str">
        <x:f>IF(ISNUMBER(AG578),U578/AG578,"")</x:f>
      </x:c>
      <x:c r="AI578" s="3" t="str">
        <x:v>同年式・グレードの検証済み当時価格なし／登録年混在</x:v>
      </x:c>
      <x:c r="AJ578" s="3" t="str">
        <x:v>一覧価格/年式のみ</x:v>
      </x:c>
      <x:c r="AK578" s="3" t="str">
        <x:v>一覧の表示価格。年式は掲載年式。</x:v>
      </x:c>
      <x:c r="AL578" s="31" t="n">
        <x:f>IF(AND(J578&lt;='分析方法'!$B$7,OR(ISBLANK(O578),O578&gt;='分析方法'!$B$8),X578&lt;&gt;"売却済み表示"),1,0)</x:f>
        <x:v>1</x:v>
      </x:c>
      <x:c r="AM578" s="32" t="n">
        <x:f>IF(AL578=1,U578,"")</x:f>
        <x:v>936000</x:v>
      </x:c>
      <x:c r="AN578" s="33" t="str">
        <x:f>IF(AL578=1,AF578,"")</x:f>
      </x:c>
      <x:c r="AO578" s="31" t="n">
        <x:f>'分析方法'!$B$6-J578</x:f>
        <x:v>4</x:v>
      </x:c>
      <x:c r="AP578" s="3"/>
    </x:row>
    <x:row r="579" ht="22" customHeight="1">
      <x:c r="A579" s="3" t="str">
        <x:v>T2916157</x:v>
      </x:c>
      <x:c r="B579" s="7" t="d">
        <x:v>2026-10-08T00:00:00.000Z</x:v>
      </x:c>
      <x:c r="C579" s="3" t="str">
        <x:v>Taladrod</x:v>
      </x:c>
      <x:c r="D579" s="3" t="str">
        <x:v>Toyota</x:v>
      </x:c>
      <x:c r="E579" s="3" t="str">
        <x:v>日本</x:v>
      </x:c>
      <x:c r="F579" s="3" t="str">
        <x:v>Fortuner</x:v>
      </x:c>
      <x:c r="G579" s="3" t="str">
        <x:v>ICE</x:v>
      </x:c>
      <x:c r="H579" s="3" t="str">
        <x:v>SUV</x:v>
      </x:c>
      <x:c r="I579" s="3" t="str"/>
      <x:c r="J579" s="3" t="n">
        <x:v>2022</x:v>
      </x:c>
      <x:c r="K579" s="3" t="str">
        <x:v>2.4 LEGENDER BLACK TOP</x:v>
      </x:c>
      <x:c r="L579" s="3" t="str">
        <x:v>2.4 LEGENDER BLACK TOP</x:v>
      </x:c>
      <x:c r="M579" s="22"/>
      <x:c r="N579" s="22"/>
      <x:c r="O579" s="22"/>
      <x:c r="P579" s="3" t="str">
        <x:v>未掲載</x:v>
      </x:c>
      <x:c r="Q579" s="3" t="str">
        <x:v>未取得</x:v>
      </x:c>
      <x:c r="R579" s="3" t="str">
        <x:v>Unknown</x:v>
      </x:c>
      <x:c r="S579" s="3" t="str">
        <x:v>不明</x:v>
      </x:c>
      <x:c r="T579" s="3" t="str">
        <x:v>15-ปัจจุบัน</x:v>
      </x:c>
      <x:c r="U579" s="28" t="n">
        <x:v>989000</x:v>
      </x:c>
      <x:c r="V579" s="28" t="n">
        <x:v>1584000</x:v>
      </x:c>
      <x:c r="W579" s="3" t="str">
        <x:v>事故・水没・SOH・保証残は未確認</x:v>
      </x:c>
      <x:c r="X579" s="3" t="str">
        <x:v>掲載中・在庫未確認</x:v>
      </x:c>
      <x:c r="Y579" s="3" t="str"/>
      <x:c r="Z579" s="27" t="str">
        <x:v>https://www.taladrod.com/w40/icar/cardet.aspx?cid=2916157</x:v>
      </x:c>
      <x:c r="AA579" s="3" t="str">
        <x:v>Taladrod個別広告ID／Carsome在庫ID</x:v>
      </x:c>
      <x:c r="AB579" s="3" t="str">
        <x:v>車台番号未取得／サイト間重複は未判定</x:v>
      </x:c>
      <x:c r="AC579" s="3" t="str">
        <x:v>税込区分未確認（一覧表示額）</x:v>
      </x:c>
      <x:c r="AD579" s="3" t="str"/>
      <x:c r="AE579" s="29" t="str">
        <x:f>""</x:f>
      </x:c>
      <x:c r="AF579" s="30" t="str">
        <x:f>IF(ISNUMBER(AE579),U579/AE579,"")</x:f>
      </x:c>
      <x:c r="AG579" s="29" t="str">
        <x:f>""</x:f>
      </x:c>
      <x:c r="AH579" s="30" t="str">
        <x:f>IF(ISNUMBER(AG579),U579/AG579,"")</x:f>
      </x:c>
      <x:c r="AI579" s="3" t="str">
        <x:v>同年式・グレードの検証済み当時価格なし／登録年混在</x:v>
      </x:c>
      <x:c r="AJ579" s="3" t="str">
        <x:v>一覧価格/年式のみ</x:v>
      </x:c>
      <x:c r="AK579" s="3" t="str">
        <x:v>一覧の表示価格。年式は掲載年式。</x:v>
      </x:c>
      <x:c r="AL579" s="31" t="n">
        <x:f>IF(AND(J579&lt;='分析方法'!$B$7,OR(ISBLANK(O579),O579&gt;='分析方法'!$B$8),X579&lt;&gt;"売却済み表示"),1,0)</x:f>
        <x:v>1</x:v>
      </x:c>
      <x:c r="AM579" s="32" t="n">
        <x:f>IF(AL579=1,U579,"")</x:f>
        <x:v>989000</x:v>
      </x:c>
      <x:c r="AN579" s="33" t="str">
        <x:f>IF(AL579=1,AF579,"")</x:f>
      </x:c>
      <x:c r="AO579" s="31" t="n">
        <x:f>'分析方法'!$B$6-J579</x:f>
        <x:v>4</x:v>
      </x:c>
      <x:c r="AP579" s="3"/>
    </x:row>
    <x:row r="580" ht="22" customHeight="1">
      <x:c r="A580" s="3" t="str">
        <x:v>T2916158</x:v>
      </x:c>
      <x:c r="B580" s="7" t="d">
        <x:v>2026-10-08T00:00:00.000Z</x:v>
      </x:c>
      <x:c r="C580" s="3" t="str">
        <x:v>Taladrod</x:v>
      </x:c>
      <x:c r="D580" s="3" t="str">
        <x:v>Toyota</x:v>
      </x:c>
      <x:c r="E580" s="3" t="str">
        <x:v>日本</x:v>
      </x:c>
      <x:c r="F580" s="3" t="str">
        <x:v>Fortuner</x:v>
      </x:c>
      <x:c r="G580" s="3" t="str">
        <x:v>ICE</x:v>
      </x:c>
      <x:c r="H580" s="3" t="str">
        <x:v>SUV</x:v>
      </x:c>
      <x:c r="I580" s="3" t="str"/>
      <x:c r="J580" s="3" t="n">
        <x:v>2022</x:v>
      </x:c>
      <x:c r="K580" s="3" t="str">
        <x:v>2.4 LEGENDER BLACK TOP</x:v>
      </x:c>
      <x:c r="L580" s="3" t="str">
        <x:v>2.4 LEGENDER BLACK TOP</x:v>
      </x:c>
      <x:c r="M580" s="22"/>
      <x:c r="N580" s="22"/>
      <x:c r="O580" s="22"/>
      <x:c r="P580" s="3" t="str">
        <x:v>未掲載</x:v>
      </x:c>
      <x:c r="Q580" s="3" t="str">
        <x:v>未取得</x:v>
      </x:c>
      <x:c r="R580" s="3" t="str">
        <x:v>Unknown</x:v>
      </x:c>
      <x:c r="S580" s="3" t="str">
        <x:v>不明</x:v>
      </x:c>
      <x:c r="T580" s="3" t="str">
        <x:v>15-ปัจจุบัน</x:v>
      </x:c>
      <x:c r="U580" s="28" t="n">
        <x:v>999000</x:v>
      </x:c>
      <x:c r="V580" s="28" t="n">
        <x:v>1584000</x:v>
      </x:c>
      <x:c r="W580" s="3" t="str">
        <x:v>事故・水没・SOH・保証残は未確認</x:v>
      </x:c>
      <x:c r="X580" s="3" t="str">
        <x:v>掲載中・在庫未確認</x:v>
      </x:c>
      <x:c r="Y580" s="3" t="str"/>
      <x:c r="Z580" s="27" t="str">
        <x:v>https://www.taladrod.com/w40/icar/cardet.aspx?cid=2916158</x:v>
      </x:c>
      <x:c r="AA580" s="3" t="str">
        <x:v>Taladrod個別広告ID／Carsome在庫ID</x:v>
      </x:c>
      <x:c r="AB580" s="3" t="str">
        <x:v>車台番号未取得／サイト間重複は未判定</x:v>
      </x:c>
      <x:c r="AC580" s="3" t="str">
        <x:v>税込区分未確認（一覧表示額）</x:v>
      </x:c>
      <x:c r="AD580" s="3" t="str"/>
      <x:c r="AE580" s="29" t="str">
        <x:f>""</x:f>
      </x:c>
      <x:c r="AF580" s="30" t="str">
        <x:f>IF(ISNUMBER(AE580),U580/AE580,"")</x:f>
      </x:c>
      <x:c r="AG580" s="29" t="str">
        <x:f>""</x:f>
      </x:c>
      <x:c r="AH580" s="30" t="str">
        <x:f>IF(ISNUMBER(AG580),U580/AG580,"")</x:f>
      </x:c>
      <x:c r="AI580" s="3" t="str">
        <x:v>同年式・グレードの検証済み当時価格なし／登録年混在</x:v>
      </x:c>
      <x:c r="AJ580" s="3" t="str">
        <x:v>一覧価格/年式のみ</x:v>
      </x:c>
      <x:c r="AK580" s="3" t="str">
        <x:v>一覧の表示価格。年式は掲載年式。</x:v>
      </x:c>
      <x:c r="AL580" s="31" t="n">
        <x:f>IF(AND(J580&lt;='分析方法'!$B$7,OR(ISBLANK(O580),O580&gt;='分析方法'!$B$8),X580&lt;&gt;"売却済み表示"),1,0)</x:f>
        <x:v>1</x:v>
      </x:c>
      <x:c r="AM580" s="32" t="n">
        <x:f>IF(AL580=1,U580,"")</x:f>
        <x:v>999000</x:v>
      </x:c>
      <x:c r="AN580" s="33" t="str">
        <x:f>IF(AL580=1,AF580,"")</x:f>
      </x:c>
      <x:c r="AO580" s="31" t="n">
        <x:f>'分析方法'!$B$6-J580</x:f>
        <x:v>4</x:v>
      </x:c>
      <x:c r="AP580" s="3"/>
    </x:row>
    <x:row r="581" ht="22" customHeight="1">
      <x:c r="A581" s="3" t="str">
        <x:v>T2919835</x:v>
      </x:c>
      <x:c r="B581" s="7" t="d">
        <x:v>2026-10-08T00:00:00.000Z</x:v>
      </x:c>
      <x:c r="C581" s="3" t="str">
        <x:v>Taladrod</x:v>
      </x:c>
      <x:c r="D581" s="3" t="str">
        <x:v>Toyota</x:v>
      </x:c>
      <x:c r="E581" s="3" t="str">
        <x:v>日本</x:v>
      </x:c>
      <x:c r="F581" s="3" t="str">
        <x:v>Fortuner</x:v>
      </x:c>
      <x:c r="G581" s="3" t="str">
        <x:v>ICE</x:v>
      </x:c>
      <x:c r="H581" s="3" t="str">
        <x:v>SUV</x:v>
      </x:c>
      <x:c r="I581" s="3" t="str"/>
      <x:c r="J581" s="3" t="n">
        <x:v>2022</x:v>
      </x:c>
      <x:c r="K581" s="3" t="str">
        <x:v>2.4 LEGENDER BLACK TOP</x:v>
      </x:c>
      <x:c r="L581" s="3" t="str">
        <x:v>2.4 LEGENDER BLACK TOP</x:v>
      </x:c>
      <x:c r="M581" s="22"/>
      <x:c r="N581" s="22"/>
      <x:c r="O581" s="22"/>
      <x:c r="P581" s="3" t="str">
        <x:v>未掲載</x:v>
      </x:c>
      <x:c r="Q581" s="3" t="str">
        <x:v>未取得</x:v>
      </x:c>
      <x:c r="R581" s="3" t="str">
        <x:v>Unknown</x:v>
      </x:c>
      <x:c r="S581" s="3" t="str">
        <x:v>不明</x:v>
      </x:c>
      <x:c r="T581" s="3" t="str">
        <x:v>15-ปัจจุบัน</x:v>
      </x:c>
      <x:c r="U581" s="28" t="n">
        <x:v>969000</x:v>
      </x:c>
      <x:c r="V581" s="28" t="n">
        <x:v>1584000</x:v>
      </x:c>
      <x:c r="W581" s="3" t="str">
        <x:v>事故・水没・SOH・保証残は未確認</x:v>
      </x:c>
      <x:c r="X581" s="3" t="str">
        <x:v>掲載中・在庫未確認</x:v>
      </x:c>
      <x:c r="Y581" s="3" t="str"/>
      <x:c r="Z581" s="27" t="str">
        <x:v>https://www.taladrod.com/w40/icar/cardet.aspx?cid=2919835</x:v>
      </x:c>
      <x:c r="AA581" s="3" t="str">
        <x:v>Taladrod個別広告ID／Carsome在庫ID</x:v>
      </x:c>
      <x:c r="AB581" s="3" t="str">
        <x:v>車台番号未取得／サイト間重複は未判定</x:v>
      </x:c>
      <x:c r="AC581" s="3" t="str">
        <x:v>税込区分未確認（一覧表示額）</x:v>
      </x:c>
      <x:c r="AD581" s="3" t="str"/>
      <x:c r="AE581" s="29" t="str">
        <x:f>""</x:f>
      </x:c>
      <x:c r="AF581" s="30" t="str">
        <x:f>IF(ISNUMBER(AE581),U581/AE581,"")</x:f>
      </x:c>
      <x:c r="AG581" s="29" t="str">
        <x:f>""</x:f>
      </x:c>
      <x:c r="AH581" s="30" t="str">
        <x:f>IF(ISNUMBER(AG581),U581/AG581,"")</x:f>
      </x:c>
      <x:c r="AI581" s="3" t="str">
        <x:v>同年式・グレードの検証済み当時価格なし／登録年混在</x:v>
      </x:c>
      <x:c r="AJ581" s="3" t="str">
        <x:v>一覧価格/年式のみ</x:v>
      </x:c>
      <x:c r="AK581" s="3" t="str">
        <x:v>一覧の表示価格。年式は掲載年式。</x:v>
      </x:c>
      <x:c r="AL581" s="31" t="n">
        <x:f>IF(AND(J581&lt;='分析方法'!$B$7,OR(ISBLANK(O581),O581&gt;='分析方法'!$B$8),X581&lt;&gt;"売却済み表示"),1,0)</x:f>
        <x:v>1</x:v>
      </x:c>
      <x:c r="AM581" s="32" t="n">
        <x:f>IF(AL581=1,U581,"")</x:f>
        <x:v>969000</x:v>
      </x:c>
      <x:c r="AN581" s="33" t="str">
        <x:f>IF(AL581=1,AF581,"")</x:f>
      </x:c>
      <x:c r="AO581" s="31" t="n">
        <x:f>'分析方法'!$B$6-J581</x:f>
        <x:v>4</x:v>
      </x:c>
      <x:c r="AP581" s="3"/>
    </x:row>
    <x:row r="582" ht="22" customHeight="1">
      <x:c r="A582" s="3" t="str">
        <x:v>T2923472</x:v>
      </x:c>
      <x:c r="B582" s="7" t="d">
        <x:v>2026-10-08T00:00:00.000Z</x:v>
      </x:c>
      <x:c r="C582" s="3" t="str">
        <x:v>Taladrod</x:v>
      </x:c>
      <x:c r="D582" s="3" t="str">
        <x:v>Toyota</x:v>
      </x:c>
      <x:c r="E582" s="3" t="str">
        <x:v>日本</x:v>
      </x:c>
      <x:c r="F582" s="3" t="str">
        <x:v>Fortuner</x:v>
      </x:c>
      <x:c r="G582" s="3" t="str">
        <x:v>ICE</x:v>
      </x:c>
      <x:c r="H582" s="3" t="str">
        <x:v>SUV</x:v>
      </x:c>
      <x:c r="I582" s="3" t="str"/>
      <x:c r="J582" s="3" t="n">
        <x:v>2022</x:v>
      </x:c>
      <x:c r="K582" s="3" t="str">
        <x:v>2.4 LEGENDER BLACK TOP</x:v>
      </x:c>
      <x:c r="L582" s="3" t="str">
        <x:v>2.4 LEGENDER BLACK TOP</x:v>
      </x:c>
      <x:c r="M582" s="22"/>
      <x:c r="N582" s="22"/>
      <x:c r="O582" s="22"/>
      <x:c r="P582" s="3" t="str">
        <x:v>未掲載</x:v>
      </x:c>
      <x:c r="Q582" s="3" t="str">
        <x:v>未取得</x:v>
      </x:c>
      <x:c r="R582" s="3" t="str">
        <x:v>Unknown</x:v>
      </x:c>
      <x:c r="S582" s="3" t="str">
        <x:v>不明</x:v>
      </x:c>
      <x:c r="T582" s="3" t="str">
        <x:v>15-ปัจจุบัน</x:v>
      </x:c>
      <x:c r="U582" s="28" t="n">
        <x:v>924000</x:v>
      </x:c>
      <x:c r="V582" s="28" t="n">
        <x:v>1584000</x:v>
      </x:c>
      <x:c r="W582" s="3" t="str">
        <x:v>事故・水没・SOH・保証残は未確認</x:v>
      </x:c>
      <x:c r="X582" s="3" t="str">
        <x:v>掲載中・在庫未確認</x:v>
      </x:c>
      <x:c r="Y582" s="3" t="str"/>
      <x:c r="Z582" s="27" t="str">
        <x:v>https://www.taladrod.com/w40/icar/cardet.aspx?cid=2923472</x:v>
      </x:c>
      <x:c r="AA582" s="3" t="str">
        <x:v>Taladrod個別広告ID／Carsome在庫ID</x:v>
      </x:c>
      <x:c r="AB582" s="3" t="str">
        <x:v>車台番号未取得／サイト間重複は未判定</x:v>
      </x:c>
      <x:c r="AC582" s="3" t="str">
        <x:v>税込区分未確認（一覧表示額）</x:v>
      </x:c>
      <x:c r="AD582" s="3" t="str"/>
      <x:c r="AE582" s="29" t="str">
        <x:f>""</x:f>
      </x:c>
      <x:c r="AF582" s="30" t="str">
        <x:f>IF(ISNUMBER(AE582),U582/AE582,"")</x:f>
      </x:c>
      <x:c r="AG582" s="29" t="str">
        <x:f>""</x:f>
      </x:c>
      <x:c r="AH582" s="30" t="str">
        <x:f>IF(ISNUMBER(AG582),U582/AG582,"")</x:f>
      </x:c>
      <x:c r="AI582" s="3" t="str">
        <x:v>同年式・グレードの検証済み当時価格なし／登録年混在</x:v>
      </x:c>
      <x:c r="AJ582" s="3" t="str">
        <x:v>一覧価格/年式のみ</x:v>
      </x:c>
      <x:c r="AK582" s="3" t="str">
        <x:v>一覧の表示価格。年式は掲載年式。</x:v>
      </x:c>
      <x:c r="AL582" s="31" t="n">
        <x:f>IF(AND(J582&lt;='分析方法'!$B$7,OR(ISBLANK(O582),O582&gt;='分析方法'!$B$8),X582&lt;&gt;"売却済み表示"),1,0)</x:f>
        <x:v>1</x:v>
      </x:c>
      <x:c r="AM582" s="32" t="n">
        <x:f>IF(AL582=1,U582,"")</x:f>
        <x:v>924000</x:v>
      </x:c>
      <x:c r="AN582" s="33" t="str">
        <x:f>IF(AL582=1,AF582,"")</x:f>
      </x:c>
      <x:c r="AO582" s="31" t="n">
        <x:f>'分析方法'!$B$6-J582</x:f>
        <x:v>4</x:v>
      </x:c>
      <x:c r="AP582" s="3"/>
    </x:row>
    <x:row r="583" ht="22" customHeight="1">
      <x:c r="A583" s="3" t="str">
        <x:v>T2923867</x:v>
      </x:c>
      <x:c r="B583" s="7" t="d">
        <x:v>2026-10-08T00:00:00.000Z</x:v>
      </x:c>
      <x:c r="C583" s="3" t="str">
        <x:v>Taladrod</x:v>
      </x:c>
      <x:c r="D583" s="3" t="str">
        <x:v>Toyota</x:v>
      </x:c>
      <x:c r="E583" s="3" t="str">
        <x:v>日本</x:v>
      </x:c>
      <x:c r="F583" s="3" t="str">
        <x:v>Fortuner</x:v>
      </x:c>
      <x:c r="G583" s="3" t="str">
        <x:v>ICE</x:v>
      </x:c>
      <x:c r="H583" s="3" t="str">
        <x:v>SUV</x:v>
      </x:c>
      <x:c r="I583" s="3" t="str"/>
      <x:c r="J583" s="3" t="n">
        <x:v>2022</x:v>
      </x:c>
      <x:c r="K583" s="3" t="str">
        <x:v>2.4 LEGENDER BLACK TOP</x:v>
      </x:c>
      <x:c r="L583" s="3" t="str">
        <x:v>2.4 LEGENDER BLACK TOP</x:v>
      </x:c>
      <x:c r="M583" s="22"/>
      <x:c r="N583" s="22"/>
      <x:c r="O583" s="22"/>
      <x:c r="P583" s="3" t="str">
        <x:v>未掲載</x:v>
      </x:c>
      <x:c r="Q583" s="3" t="str">
        <x:v>未取得</x:v>
      </x:c>
      <x:c r="R583" s="3" t="str">
        <x:v>Unknown</x:v>
      </x:c>
      <x:c r="S583" s="3" t="str">
        <x:v>不明</x:v>
      </x:c>
      <x:c r="T583" s="3" t="str">
        <x:v>15-ปัจจุบัน</x:v>
      </x:c>
      <x:c r="U583" s="28" t="n">
        <x:v>979000</x:v>
      </x:c>
      <x:c r="V583" s="28" t="n">
        <x:v>1584000</x:v>
      </x:c>
      <x:c r="W583" s="3" t="str">
        <x:v>事故・水没・SOH・保証残は未確認</x:v>
      </x:c>
      <x:c r="X583" s="3" t="str">
        <x:v>掲載中・在庫未確認</x:v>
      </x:c>
      <x:c r="Y583" s="3" t="str"/>
      <x:c r="Z583" s="27" t="str">
        <x:v>https://www.taladrod.com/w40/icar/cardet.aspx?cid=2923867</x:v>
      </x:c>
      <x:c r="AA583" s="3" t="str">
        <x:v>Taladrod個別広告ID／Carsome在庫ID</x:v>
      </x:c>
      <x:c r="AB583" s="3" t="str">
        <x:v>車台番号未取得／サイト間重複は未判定</x:v>
      </x:c>
      <x:c r="AC583" s="3" t="str">
        <x:v>税込区分未確認（一覧表示額）</x:v>
      </x:c>
      <x:c r="AD583" s="3" t="str"/>
      <x:c r="AE583" s="29" t="str">
        <x:f>""</x:f>
      </x:c>
      <x:c r="AF583" s="30" t="str">
        <x:f>IF(ISNUMBER(AE583),U583/AE583,"")</x:f>
      </x:c>
      <x:c r="AG583" s="29" t="str">
        <x:f>""</x:f>
      </x:c>
      <x:c r="AH583" s="30" t="str">
        <x:f>IF(ISNUMBER(AG583),U583/AG583,"")</x:f>
      </x:c>
      <x:c r="AI583" s="3" t="str">
        <x:v>同年式・グレードの検証済み当時価格なし／登録年混在</x:v>
      </x:c>
      <x:c r="AJ583" s="3" t="str">
        <x:v>一覧価格/年式のみ</x:v>
      </x:c>
      <x:c r="AK583" s="3" t="str">
        <x:v>一覧の表示価格。年式は掲載年式。</x:v>
      </x:c>
      <x:c r="AL583" s="31" t="n">
        <x:f>IF(AND(J583&lt;='分析方法'!$B$7,OR(ISBLANK(O583),O583&gt;='分析方法'!$B$8),X583&lt;&gt;"売却済み表示"),1,0)</x:f>
        <x:v>1</x:v>
      </x:c>
      <x:c r="AM583" s="32" t="n">
        <x:f>IF(AL583=1,U583,"")</x:f>
        <x:v>979000</x:v>
      </x:c>
      <x:c r="AN583" s="33" t="str">
        <x:f>IF(AL583=1,AF583,"")</x:f>
      </x:c>
      <x:c r="AO583" s="31" t="n">
        <x:f>'分析方法'!$B$6-J583</x:f>
        <x:v>4</x:v>
      </x:c>
      <x:c r="AP583" s="3"/>
    </x:row>
    <x:row r="584" ht="22" customHeight="1">
      <x:c r="A584" s="3" t="str">
        <x:v>T2885233</x:v>
      </x:c>
      <x:c r="B584" s="7" t="d">
        <x:v>2026-10-08T00:00:00.000Z</x:v>
      </x:c>
      <x:c r="C584" s="3" t="str">
        <x:v>Taladrod</x:v>
      </x:c>
      <x:c r="D584" s="3" t="str">
        <x:v>Toyota</x:v>
      </x:c>
      <x:c r="E584" s="3" t="str">
        <x:v>日本</x:v>
      </x:c>
      <x:c r="F584" s="3" t="str">
        <x:v>Fortuner</x:v>
      </x:c>
      <x:c r="G584" s="3" t="str">
        <x:v>ICE</x:v>
      </x:c>
      <x:c r="H584" s="3" t="str">
        <x:v>SUV</x:v>
      </x:c>
      <x:c r="I584" s="3" t="str"/>
      <x:c r="J584" s="3" t="n">
        <x:v>2022</x:v>
      </x:c>
      <x:c r="K584" s="3" t="str">
        <x:v>2.4 V</x:v>
      </x:c>
      <x:c r="L584" s="3" t="str">
        <x:v>2.4 V</x:v>
      </x:c>
      <x:c r="M584" s="22"/>
      <x:c r="N584" s="22"/>
      <x:c r="O584" s="22"/>
      <x:c r="P584" s="3" t="str">
        <x:v>未掲載</x:v>
      </x:c>
      <x:c r="Q584" s="3" t="str">
        <x:v>未取得</x:v>
      </x:c>
      <x:c r="R584" s="3" t="str">
        <x:v>Unknown</x:v>
      </x:c>
      <x:c r="S584" s="3" t="str">
        <x:v>不明</x:v>
      </x:c>
      <x:c r="T584" s="3" t="str">
        <x:v>15-ปัจจุบัน</x:v>
      </x:c>
      <x:c r="U584" s="28" t="n">
        <x:v>925000</x:v>
      </x:c>
      <x:c r="V584" s="28" t="n">
        <x:v>1419000</x:v>
      </x:c>
      <x:c r="W584" s="3" t="str">
        <x:v>事故・水没・SOH・保証残は未確認</x:v>
      </x:c>
      <x:c r="X584" s="3" t="str">
        <x:v>掲載中・在庫未確認</x:v>
      </x:c>
      <x:c r="Y584" s="3" t="str"/>
      <x:c r="Z584" s="27" t="str">
        <x:v>https://www.taladrod.com/w40/icar/cardet.aspx?cid=2885233</x:v>
      </x:c>
      <x:c r="AA584" s="3" t="str">
        <x:v>Taladrod個別広告ID／Carsome在庫ID</x:v>
      </x:c>
      <x:c r="AB584" s="3" t="str">
        <x:v>車台番号未取得／サイト間重複は未判定</x:v>
      </x:c>
      <x:c r="AC584" s="3" t="str">
        <x:v>税込区分未確認（一覧表示額）</x:v>
      </x:c>
      <x:c r="AD584" s="3" t="str"/>
      <x:c r="AE584" s="29" t="str">
        <x:f>""</x:f>
      </x:c>
      <x:c r="AF584" s="30" t="str">
        <x:f>IF(ISNUMBER(AE584),U584/AE584,"")</x:f>
      </x:c>
      <x:c r="AG584" s="29" t="str">
        <x:f>""</x:f>
      </x:c>
      <x:c r="AH584" s="30" t="str">
        <x:f>IF(ISNUMBER(AG584),U584/AG584,"")</x:f>
      </x:c>
      <x:c r="AI584" s="3" t="str">
        <x:v>同年式・グレードの検証済み当時価格なし／登録年混在</x:v>
      </x:c>
      <x:c r="AJ584" s="3" t="str">
        <x:v>一覧価格/年式のみ</x:v>
      </x:c>
      <x:c r="AK584" s="3" t="str">
        <x:v>一覧の表示価格。年式は掲載年式。</x:v>
      </x:c>
      <x:c r="AL584" s="31" t="n">
        <x:f>IF(AND(J584&lt;='分析方法'!$B$7,OR(ISBLANK(O584),O584&gt;='分析方法'!$B$8),X584&lt;&gt;"売却済み表示"),1,0)</x:f>
        <x:v>1</x:v>
      </x:c>
      <x:c r="AM584" s="32" t="n">
        <x:f>IF(AL584=1,U584,"")</x:f>
        <x:v>925000</x:v>
      </x:c>
      <x:c r="AN584" s="33" t="str">
        <x:f>IF(AL584=1,AF584,"")</x:f>
      </x:c>
      <x:c r="AO584" s="31" t="n">
        <x:f>'分析方法'!$B$6-J584</x:f>
        <x:v>4</x:v>
      </x:c>
      <x:c r="AP584" s="3"/>
    </x:row>
    <x:row r="585" ht="22" customHeight="1">
      <x:c r="A585" s="3" t="str">
        <x:v>T2898129</x:v>
      </x:c>
      <x:c r="B585" s="7" t="d">
        <x:v>2026-10-08T00:00:00.000Z</x:v>
      </x:c>
      <x:c r="C585" s="3" t="str">
        <x:v>Taladrod</x:v>
      </x:c>
      <x:c r="D585" s="3" t="str">
        <x:v>Toyota</x:v>
      </x:c>
      <x:c r="E585" s="3" t="str">
        <x:v>日本</x:v>
      </x:c>
      <x:c r="F585" s="3" t="str">
        <x:v>Fortuner</x:v>
      </x:c>
      <x:c r="G585" s="3" t="str">
        <x:v>ICE</x:v>
      </x:c>
      <x:c r="H585" s="3" t="str">
        <x:v>SUV</x:v>
      </x:c>
      <x:c r="I585" s="3" t="str"/>
      <x:c r="J585" s="3" t="n">
        <x:v>2022</x:v>
      </x:c>
      <x:c r="K585" s="3" t="str">
        <x:v>2.4 V</x:v>
      </x:c>
      <x:c r="L585" s="3" t="str">
        <x:v>2.4 V</x:v>
      </x:c>
      <x:c r="M585" s="22"/>
      <x:c r="N585" s="22"/>
      <x:c r="O585" s="22"/>
      <x:c r="P585" s="3" t="str">
        <x:v>未掲載</x:v>
      </x:c>
      <x:c r="Q585" s="3" t="str">
        <x:v>未取得</x:v>
      </x:c>
      <x:c r="R585" s="3" t="str">
        <x:v>Unknown</x:v>
      </x:c>
      <x:c r="S585" s="3" t="str">
        <x:v>不明</x:v>
      </x:c>
      <x:c r="T585" s="3" t="str">
        <x:v>15-ปัจจุบัน</x:v>
      </x:c>
      <x:c r="U585" s="28" t="n">
        <x:v>879000</x:v>
      </x:c>
      <x:c r="V585" s="28" t="n">
        <x:v>1419000</x:v>
      </x:c>
      <x:c r="W585" s="3" t="str">
        <x:v>事故・水没・SOH・保証残は未確認</x:v>
      </x:c>
      <x:c r="X585" s="3" t="str">
        <x:v>掲載中・在庫未確認</x:v>
      </x:c>
      <x:c r="Y585" s="3" t="str"/>
      <x:c r="Z585" s="27" t="str">
        <x:v>https://www.taladrod.com/w40/icar/cardet.aspx?cid=2898129</x:v>
      </x:c>
      <x:c r="AA585" s="3" t="str">
        <x:v>Taladrod個別広告ID／Carsome在庫ID</x:v>
      </x:c>
      <x:c r="AB585" s="3" t="str">
        <x:v>車台番号未取得／サイト間重複は未判定</x:v>
      </x:c>
      <x:c r="AC585" s="3" t="str">
        <x:v>税込区分未確認（一覧表示額）</x:v>
      </x:c>
      <x:c r="AD585" s="3" t="str"/>
      <x:c r="AE585" s="29" t="str">
        <x:f>""</x:f>
      </x:c>
      <x:c r="AF585" s="30" t="str">
        <x:f>IF(ISNUMBER(AE585),U585/AE585,"")</x:f>
      </x:c>
      <x:c r="AG585" s="29" t="str">
        <x:f>""</x:f>
      </x:c>
      <x:c r="AH585" s="30" t="str">
        <x:f>IF(ISNUMBER(AG585),U585/AG585,"")</x:f>
      </x:c>
      <x:c r="AI585" s="3" t="str">
        <x:v>同年式・グレードの検証済み当時価格なし／登録年混在</x:v>
      </x:c>
      <x:c r="AJ585" s="3" t="str">
        <x:v>一覧価格/年式のみ</x:v>
      </x:c>
      <x:c r="AK585" s="3" t="str">
        <x:v>一覧の表示価格。年式は掲載年式。</x:v>
      </x:c>
      <x:c r="AL585" s="31" t="n">
        <x:f>IF(AND(J585&lt;='分析方法'!$B$7,OR(ISBLANK(O585),O585&gt;='分析方法'!$B$8),X585&lt;&gt;"売却済み表示"),1,0)</x:f>
        <x:v>1</x:v>
      </x:c>
      <x:c r="AM585" s="32" t="n">
        <x:f>IF(AL585=1,U585,"")</x:f>
        <x:v>879000</x:v>
      </x:c>
      <x:c r="AN585" s="33" t="str">
        <x:f>IF(AL585=1,AF585,"")</x:f>
      </x:c>
      <x:c r="AO585" s="31" t="n">
        <x:f>'分析方法'!$B$6-J585</x:f>
        <x:v>4</x:v>
      </x:c>
      <x:c r="AP585" s="3"/>
    </x:row>
    <x:row r="586" ht="22" customHeight="1">
      <x:c r="A586" s="3" t="str">
        <x:v>T2902093</x:v>
      </x:c>
      <x:c r="B586" s="7" t="d">
        <x:v>2026-10-08T00:00:00.000Z</x:v>
      </x:c>
      <x:c r="C586" s="3" t="str">
        <x:v>Taladrod</x:v>
      </x:c>
      <x:c r="D586" s="3" t="str">
        <x:v>Toyota</x:v>
      </x:c>
      <x:c r="E586" s="3" t="str">
        <x:v>日本</x:v>
      </x:c>
      <x:c r="F586" s="3" t="str">
        <x:v>Fortuner</x:v>
      </x:c>
      <x:c r="G586" s="3" t="str">
        <x:v>ICE</x:v>
      </x:c>
      <x:c r="H586" s="3" t="str">
        <x:v>SUV</x:v>
      </x:c>
      <x:c r="I586" s="3" t="str"/>
      <x:c r="J586" s="3" t="n">
        <x:v>2022</x:v>
      </x:c>
      <x:c r="K586" s="3" t="str">
        <x:v>2.4 V</x:v>
      </x:c>
      <x:c r="L586" s="3" t="str">
        <x:v>2.4 V</x:v>
      </x:c>
      <x:c r="M586" s="22"/>
      <x:c r="N586" s="22"/>
      <x:c r="O586" s="22"/>
      <x:c r="P586" s="3" t="str">
        <x:v>未掲載</x:v>
      </x:c>
      <x:c r="Q586" s="3" t="str">
        <x:v>未取得</x:v>
      </x:c>
      <x:c r="R586" s="3" t="str">
        <x:v>Unknown</x:v>
      </x:c>
      <x:c r="S586" s="3" t="str">
        <x:v>不明</x:v>
      </x:c>
      <x:c r="T586" s="3" t="str">
        <x:v>15-ปัจจุบัน</x:v>
      </x:c>
      <x:c r="U586" s="28" t="n">
        <x:v>899000</x:v>
      </x:c>
      <x:c r="V586" s="28" t="n">
        <x:v>1419000</x:v>
      </x:c>
      <x:c r="W586" s="3" t="str">
        <x:v>事故・水没・SOH・保証残は未確認</x:v>
      </x:c>
      <x:c r="X586" s="3" t="str">
        <x:v>掲載中・在庫未確認</x:v>
      </x:c>
      <x:c r="Y586" s="3" t="str"/>
      <x:c r="Z586" s="27" t="str">
        <x:v>https://www.taladrod.com/w40/icar/cardet.aspx?cid=2902093</x:v>
      </x:c>
      <x:c r="AA586" s="3" t="str">
        <x:v>Taladrod個別広告ID／Carsome在庫ID</x:v>
      </x:c>
      <x:c r="AB586" s="3" t="str">
        <x:v>車台番号未取得／サイト間重複は未判定</x:v>
      </x:c>
      <x:c r="AC586" s="3" t="str">
        <x:v>税込区分未確認（一覧表示額）</x:v>
      </x:c>
      <x:c r="AD586" s="3" t="str"/>
      <x:c r="AE586" s="29" t="str">
        <x:f>""</x:f>
      </x:c>
      <x:c r="AF586" s="30" t="str">
        <x:f>IF(ISNUMBER(AE586),U586/AE586,"")</x:f>
      </x:c>
      <x:c r="AG586" s="29" t="str">
        <x:f>""</x:f>
      </x:c>
      <x:c r="AH586" s="30" t="str">
        <x:f>IF(ISNUMBER(AG586),U586/AG586,"")</x:f>
      </x:c>
      <x:c r="AI586" s="3" t="str">
        <x:v>同年式・グレードの検証済み当時価格なし／登録年混在</x:v>
      </x:c>
      <x:c r="AJ586" s="3" t="str">
        <x:v>一覧価格/年式のみ</x:v>
      </x:c>
      <x:c r="AK586" s="3" t="str">
        <x:v>一覧の表示価格。年式は掲載年式。</x:v>
      </x:c>
      <x:c r="AL586" s="31" t="n">
        <x:f>IF(AND(J586&lt;='分析方法'!$B$7,OR(ISBLANK(O586),O586&gt;='分析方法'!$B$8),X586&lt;&gt;"売却済み表示"),1,0)</x:f>
        <x:v>1</x:v>
      </x:c>
      <x:c r="AM586" s="32" t="n">
        <x:f>IF(AL586=1,U586,"")</x:f>
        <x:v>899000</x:v>
      </x:c>
      <x:c r="AN586" s="33" t="str">
        <x:f>IF(AL586=1,AF586,"")</x:f>
      </x:c>
      <x:c r="AO586" s="31" t="n">
        <x:f>'分析方法'!$B$6-J586</x:f>
        <x:v>4</x:v>
      </x:c>
      <x:c r="AP586" s="3"/>
    </x:row>
    <x:row r="587" ht="22" customHeight="1">
      <x:c r="A587" s="3" t="str">
        <x:v>T2902705</x:v>
      </x:c>
      <x:c r="B587" s="7" t="d">
        <x:v>2026-10-08T00:00:00.000Z</x:v>
      </x:c>
      <x:c r="C587" s="3" t="str">
        <x:v>Taladrod</x:v>
      </x:c>
      <x:c r="D587" s="3" t="str">
        <x:v>Toyota</x:v>
      </x:c>
      <x:c r="E587" s="3" t="str">
        <x:v>日本</x:v>
      </x:c>
      <x:c r="F587" s="3" t="str">
        <x:v>Fortuner</x:v>
      </x:c>
      <x:c r="G587" s="3" t="str">
        <x:v>ICE</x:v>
      </x:c>
      <x:c r="H587" s="3" t="str">
        <x:v>SUV</x:v>
      </x:c>
      <x:c r="I587" s="3" t="str"/>
      <x:c r="J587" s="3" t="n">
        <x:v>2022</x:v>
      </x:c>
      <x:c r="K587" s="3" t="str">
        <x:v>2.4 V</x:v>
      </x:c>
      <x:c r="L587" s="3" t="str">
        <x:v>2.4 V</x:v>
      </x:c>
      <x:c r="M587" s="22"/>
      <x:c r="N587" s="22"/>
      <x:c r="O587" s="22"/>
      <x:c r="P587" s="3" t="str">
        <x:v>未掲載</x:v>
      </x:c>
      <x:c r="Q587" s="3" t="str">
        <x:v>未取得</x:v>
      </x:c>
      <x:c r="R587" s="3" t="str">
        <x:v>Unknown</x:v>
      </x:c>
      <x:c r="S587" s="3" t="str">
        <x:v>不明</x:v>
      </x:c>
      <x:c r="T587" s="3" t="str">
        <x:v>15-ปัจจุบัน</x:v>
      </x:c>
      <x:c r="U587" s="28" t="n">
        <x:v>809000</x:v>
      </x:c>
      <x:c r="V587" s="28" t="n">
        <x:v>1419000</x:v>
      </x:c>
      <x:c r="W587" s="3" t="str">
        <x:v>事故・水没・SOH・保証残は未確認</x:v>
      </x:c>
      <x:c r="X587" s="3" t="str">
        <x:v>掲載中・在庫未確認</x:v>
      </x:c>
      <x:c r="Y587" s="3" t="str"/>
      <x:c r="Z587" s="27" t="str">
        <x:v>https://www.taladrod.com/w40/icar/cardet.aspx?cid=2902705</x:v>
      </x:c>
      <x:c r="AA587" s="3" t="str">
        <x:v>Taladrod個別広告ID／Carsome在庫ID</x:v>
      </x:c>
      <x:c r="AB587" s="3" t="str">
        <x:v>車台番号未取得／サイト間重複は未判定</x:v>
      </x:c>
      <x:c r="AC587" s="3" t="str">
        <x:v>税込区分未確認（一覧表示額）</x:v>
      </x:c>
      <x:c r="AD587" s="3" t="str"/>
      <x:c r="AE587" s="29" t="str">
        <x:f>""</x:f>
      </x:c>
      <x:c r="AF587" s="30" t="str">
        <x:f>IF(ISNUMBER(AE587),U587/AE587,"")</x:f>
      </x:c>
      <x:c r="AG587" s="29" t="str">
        <x:f>""</x:f>
      </x:c>
      <x:c r="AH587" s="30" t="str">
        <x:f>IF(ISNUMBER(AG587),U587/AG587,"")</x:f>
      </x:c>
      <x:c r="AI587" s="3" t="str">
        <x:v>同年式・グレードの検証済み当時価格なし／登録年混在</x:v>
      </x:c>
      <x:c r="AJ587" s="3" t="str">
        <x:v>一覧価格/年式のみ</x:v>
      </x:c>
      <x:c r="AK587" s="3" t="str">
        <x:v>一覧の表示価格。年式は掲載年式。</x:v>
      </x:c>
      <x:c r="AL587" s="31" t="n">
        <x:f>IF(AND(J587&lt;='分析方法'!$B$7,OR(ISBLANK(O587),O587&gt;='分析方法'!$B$8),X587&lt;&gt;"売却済み表示"),1,0)</x:f>
        <x:v>1</x:v>
      </x:c>
      <x:c r="AM587" s="32" t="n">
        <x:f>IF(AL587=1,U587,"")</x:f>
        <x:v>809000</x:v>
      </x:c>
      <x:c r="AN587" s="33" t="str">
        <x:f>IF(AL587=1,AF587,"")</x:f>
      </x:c>
      <x:c r="AO587" s="31" t="n">
        <x:f>'分析方法'!$B$6-J587</x:f>
        <x:v>4</x:v>
      </x:c>
      <x:c r="AP587" s="3"/>
    </x:row>
    <x:row r="588" ht="22" customHeight="1">
      <x:c r="A588" s="3" t="str">
        <x:v>T2906428</x:v>
      </x:c>
      <x:c r="B588" s="7" t="d">
        <x:v>2026-10-08T00:00:00.000Z</x:v>
      </x:c>
      <x:c r="C588" s="3" t="str">
        <x:v>Taladrod</x:v>
      </x:c>
      <x:c r="D588" s="3" t="str">
        <x:v>Toyota</x:v>
      </x:c>
      <x:c r="E588" s="3" t="str">
        <x:v>日本</x:v>
      </x:c>
      <x:c r="F588" s="3" t="str">
        <x:v>Fortuner</x:v>
      </x:c>
      <x:c r="G588" s="3" t="str">
        <x:v>ICE</x:v>
      </x:c>
      <x:c r="H588" s="3" t="str">
        <x:v>SUV</x:v>
      </x:c>
      <x:c r="I588" s="3" t="str"/>
      <x:c r="J588" s="3" t="n">
        <x:v>2022</x:v>
      </x:c>
      <x:c r="K588" s="3" t="str">
        <x:v>2.4 V</x:v>
      </x:c>
      <x:c r="L588" s="3" t="str">
        <x:v>2.4 V</x:v>
      </x:c>
      <x:c r="M588" s="22"/>
      <x:c r="N588" s="22"/>
      <x:c r="O588" s="22"/>
      <x:c r="P588" s="3" t="str">
        <x:v>未掲載</x:v>
      </x:c>
      <x:c r="Q588" s="3" t="str">
        <x:v>未取得</x:v>
      </x:c>
      <x:c r="R588" s="3" t="str">
        <x:v>Unknown</x:v>
      </x:c>
      <x:c r="S588" s="3" t="str">
        <x:v>不明</x:v>
      </x:c>
      <x:c r="T588" s="3" t="str">
        <x:v>15-ปัจจุบัน</x:v>
      </x:c>
      <x:c r="U588" s="28" t="n">
        <x:v>809000</x:v>
      </x:c>
      <x:c r="V588" s="28" t="n">
        <x:v>1419000</x:v>
      </x:c>
      <x:c r="W588" s="3" t="str">
        <x:v>事故・水没・SOH・保証残は未確認</x:v>
      </x:c>
      <x:c r="X588" s="3" t="str">
        <x:v>掲載中・在庫未確認</x:v>
      </x:c>
      <x:c r="Y588" s="3" t="str"/>
      <x:c r="Z588" s="27" t="str">
        <x:v>https://www.taladrod.com/w40/icar/cardet.aspx?cid=2906428</x:v>
      </x:c>
      <x:c r="AA588" s="3" t="str">
        <x:v>Taladrod個別広告ID／Carsome在庫ID</x:v>
      </x:c>
      <x:c r="AB588" s="3" t="str">
        <x:v>車台番号未取得／サイト間重複は未判定</x:v>
      </x:c>
      <x:c r="AC588" s="3" t="str">
        <x:v>税込区分未確認（一覧表示額）</x:v>
      </x:c>
      <x:c r="AD588" s="3" t="str"/>
      <x:c r="AE588" s="29" t="str">
        <x:f>""</x:f>
      </x:c>
      <x:c r="AF588" s="30" t="str">
        <x:f>IF(ISNUMBER(AE588),U588/AE588,"")</x:f>
      </x:c>
      <x:c r="AG588" s="29" t="str">
        <x:f>""</x:f>
      </x:c>
      <x:c r="AH588" s="30" t="str">
        <x:f>IF(ISNUMBER(AG588),U588/AG588,"")</x:f>
      </x:c>
      <x:c r="AI588" s="3" t="str">
        <x:v>同年式・グレードの検証済み当時価格なし／登録年混在</x:v>
      </x:c>
      <x:c r="AJ588" s="3" t="str">
        <x:v>一覧価格/年式のみ</x:v>
      </x:c>
      <x:c r="AK588" s="3" t="str">
        <x:v>一覧の表示価格。年式は掲載年式。</x:v>
      </x:c>
      <x:c r="AL588" s="31" t="n">
        <x:f>IF(AND(J588&lt;='分析方法'!$B$7,OR(ISBLANK(O588),O588&gt;='分析方法'!$B$8),X588&lt;&gt;"売却済み表示"),1,0)</x:f>
        <x:v>1</x:v>
      </x:c>
      <x:c r="AM588" s="32" t="n">
        <x:f>IF(AL588=1,U588,"")</x:f>
        <x:v>809000</x:v>
      </x:c>
      <x:c r="AN588" s="33" t="str">
        <x:f>IF(AL588=1,AF588,"")</x:f>
      </x:c>
      <x:c r="AO588" s="31" t="n">
        <x:f>'分析方法'!$B$6-J588</x:f>
        <x:v>4</x:v>
      </x:c>
      <x:c r="AP588" s="3"/>
    </x:row>
    <x:row r="589" ht="22" customHeight="1">
      <x:c r="A589" s="3" t="str">
        <x:v>T2910051</x:v>
      </x:c>
      <x:c r="B589" s="7" t="d">
        <x:v>2026-10-08T00:00:00.000Z</x:v>
      </x:c>
      <x:c r="C589" s="3" t="str">
        <x:v>Taladrod</x:v>
      </x:c>
      <x:c r="D589" s="3" t="str">
        <x:v>Toyota</x:v>
      </x:c>
      <x:c r="E589" s="3" t="str">
        <x:v>日本</x:v>
      </x:c>
      <x:c r="F589" s="3" t="str">
        <x:v>Fortuner</x:v>
      </x:c>
      <x:c r="G589" s="3" t="str">
        <x:v>ICE</x:v>
      </x:c>
      <x:c r="H589" s="3" t="str">
        <x:v>SUV</x:v>
      </x:c>
      <x:c r="I589" s="3" t="str"/>
      <x:c r="J589" s="3" t="n">
        <x:v>2022</x:v>
      </x:c>
      <x:c r="K589" s="3" t="str">
        <x:v>2.4 V</x:v>
      </x:c>
      <x:c r="L589" s="3" t="str">
        <x:v>2.4 V</x:v>
      </x:c>
      <x:c r="M589" s="22"/>
      <x:c r="N589" s="22"/>
      <x:c r="O589" s="22"/>
      <x:c r="P589" s="3" t="str">
        <x:v>未掲載</x:v>
      </x:c>
      <x:c r="Q589" s="3" t="str">
        <x:v>未取得</x:v>
      </x:c>
      <x:c r="R589" s="3" t="str">
        <x:v>Unknown</x:v>
      </x:c>
      <x:c r="S589" s="3" t="str">
        <x:v>不明</x:v>
      </x:c>
      <x:c r="T589" s="3" t="str">
        <x:v>15-ปัจจุบัน</x:v>
      </x:c>
      <x:c r="U589" s="28" t="n">
        <x:v>839000</x:v>
      </x:c>
      <x:c r="V589" s="28" t="n">
        <x:v>1419000</x:v>
      </x:c>
      <x:c r="W589" s="3" t="str">
        <x:v>事故・水没・SOH・保証残は未確認</x:v>
      </x:c>
      <x:c r="X589" s="3" t="str">
        <x:v>掲載中・在庫未確認</x:v>
      </x:c>
      <x:c r="Y589" s="3" t="str"/>
      <x:c r="Z589" s="27" t="str">
        <x:v>https://www.taladrod.com/w40/icar/cardet.aspx?cid=2910051</x:v>
      </x:c>
      <x:c r="AA589" s="3" t="str">
        <x:v>Taladrod個別広告ID／Carsome在庫ID</x:v>
      </x:c>
      <x:c r="AB589" s="3" t="str">
        <x:v>車台番号未取得／サイト間重複は未判定</x:v>
      </x:c>
      <x:c r="AC589" s="3" t="str">
        <x:v>税込区分未確認（一覧表示額）</x:v>
      </x:c>
      <x:c r="AD589" s="3" t="str"/>
      <x:c r="AE589" s="29" t="str">
        <x:f>""</x:f>
      </x:c>
      <x:c r="AF589" s="30" t="str">
        <x:f>IF(ISNUMBER(AE589),U589/AE589,"")</x:f>
      </x:c>
      <x:c r="AG589" s="29" t="str">
        <x:f>""</x:f>
      </x:c>
      <x:c r="AH589" s="30" t="str">
        <x:f>IF(ISNUMBER(AG589),U589/AG589,"")</x:f>
      </x:c>
      <x:c r="AI589" s="3" t="str">
        <x:v>同年式・グレードの検証済み当時価格なし／登録年混在</x:v>
      </x:c>
      <x:c r="AJ589" s="3" t="str">
        <x:v>一覧価格/年式のみ</x:v>
      </x:c>
      <x:c r="AK589" s="3" t="str">
        <x:v>一覧の表示価格。年式は掲載年式。</x:v>
      </x:c>
      <x:c r="AL589" s="31" t="n">
        <x:f>IF(AND(J589&lt;='分析方法'!$B$7,OR(ISBLANK(O589),O589&gt;='分析方法'!$B$8),X589&lt;&gt;"売却済み表示"),1,0)</x:f>
        <x:v>1</x:v>
      </x:c>
      <x:c r="AM589" s="32" t="n">
        <x:f>IF(AL589=1,U589,"")</x:f>
        <x:v>839000</x:v>
      </x:c>
      <x:c r="AN589" s="33" t="str">
        <x:f>IF(AL589=1,AF589,"")</x:f>
      </x:c>
      <x:c r="AO589" s="31" t="n">
        <x:f>'分析方法'!$B$6-J589</x:f>
        <x:v>4</x:v>
      </x:c>
      <x:c r="AP589" s="3"/>
    </x:row>
    <x:row r="590" ht="22" customHeight="1">
      <x:c r="A590" s="3" t="str">
        <x:v>T2922134</x:v>
      </x:c>
      <x:c r="B590" s="7" t="d">
        <x:v>2026-10-08T00:00:00.000Z</x:v>
      </x:c>
      <x:c r="C590" s="3" t="str">
        <x:v>Taladrod</x:v>
      </x:c>
      <x:c r="D590" s="3" t="str">
        <x:v>Toyota</x:v>
      </x:c>
      <x:c r="E590" s="3" t="str">
        <x:v>日本</x:v>
      </x:c>
      <x:c r="F590" s="3" t="str">
        <x:v>Fortuner</x:v>
      </x:c>
      <x:c r="G590" s="3" t="str">
        <x:v>ICE</x:v>
      </x:c>
      <x:c r="H590" s="3" t="str">
        <x:v>SUV</x:v>
      </x:c>
      <x:c r="I590" s="3" t="str"/>
      <x:c r="J590" s="3" t="n">
        <x:v>2022</x:v>
      </x:c>
      <x:c r="K590" s="3" t="str">
        <x:v>2.4 V</x:v>
      </x:c>
      <x:c r="L590" s="3" t="str">
        <x:v>2.4 V</x:v>
      </x:c>
      <x:c r="M590" s="22"/>
      <x:c r="N590" s="22"/>
      <x:c r="O590" s="22"/>
      <x:c r="P590" s="3" t="str">
        <x:v>未掲載</x:v>
      </x:c>
      <x:c r="Q590" s="3" t="str">
        <x:v>未取得</x:v>
      </x:c>
      <x:c r="R590" s="3" t="str">
        <x:v>Unknown</x:v>
      </x:c>
      <x:c r="S590" s="3" t="str">
        <x:v>不明</x:v>
      </x:c>
      <x:c r="T590" s="3" t="str">
        <x:v>15-ปัจจุบัน</x:v>
      </x:c>
      <x:c r="U590" s="28" t="n">
        <x:v>809000</x:v>
      </x:c>
      <x:c r="V590" s="28" t="n">
        <x:v>1419000</x:v>
      </x:c>
      <x:c r="W590" s="3" t="str">
        <x:v>事故・水没・SOH・保証残は未確認</x:v>
      </x:c>
      <x:c r="X590" s="3" t="str">
        <x:v>掲載中・在庫未確認</x:v>
      </x:c>
      <x:c r="Y590" s="3" t="str"/>
      <x:c r="Z590" s="27" t="str">
        <x:v>https://www.taladrod.com/w40/icar/cardet.aspx?cid=2922134</x:v>
      </x:c>
      <x:c r="AA590" s="3" t="str">
        <x:v>Taladrod個別広告ID／Carsome在庫ID</x:v>
      </x:c>
      <x:c r="AB590" s="3" t="str">
        <x:v>車台番号未取得／サイト間重複は未判定</x:v>
      </x:c>
      <x:c r="AC590" s="3" t="str">
        <x:v>税込区分未確認（一覧表示額）</x:v>
      </x:c>
      <x:c r="AD590" s="3" t="str"/>
      <x:c r="AE590" s="29" t="str">
        <x:f>""</x:f>
      </x:c>
      <x:c r="AF590" s="30" t="str">
        <x:f>IF(ISNUMBER(AE590),U590/AE590,"")</x:f>
      </x:c>
      <x:c r="AG590" s="29" t="str">
        <x:f>""</x:f>
      </x:c>
      <x:c r="AH590" s="30" t="str">
        <x:f>IF(ISNUMBER(AG590),U590/AG590,"")</x:f>
      </x:c>
      <x:c r="AI590" s="3" t="str">
        <x:v>同年式・グレードの検証済み当時価格なし／登録年混在</x:v>
      </x:c>
      <x:c r="AJ590" s="3" t="str">
        <x:v>一覧価格/年式のみ</x:v>
      </x:c>
      <x:c r="AK590" s="3" t="str">
        <x:v>一覧の表示価格。年式は掲載年式。</x:v>
      </x:c>
      <x:c r="AL590" s="31" t="n">
        <x:f>IF(AND(J590&lt;='分析方法'!$B$7,OR(ISBLANK(O590),O590&gt;='分析方法'!$B$8),X590&lt;&gt;"売却済み表示"),1,0)</x:f>
        <x:v>1</x:v>
      </x:c>
      <x:c r="AM590" s="32" t="n">
        <x:f>IF(AL590=1,U590,"")</x:f>
        <x:v>809000</x:v>
      </x:c>
      <x:c r="AN590" s="33" t="str">
        <x:f>IF(AL590=1,AF590,"")</x:f>
      </x:c>
      <x:c r="AO590" s="31" t="n">
        <x:f>'分析方法'!$B$6-J590</x:f>
        <x:v>4</x:v>
      </x:c>
      <x:c r="AP590" s="3"/>
    </x:row>
    <x:row r="591" ht="22" customHeight="1">
      <x:c r="A591" s="3" t="str">
        <x:v>T2923497</x:v>
      </x:c>
      <x:c r="B591" s="7" t="d">
        <x:v>2026-10-08T00:00:00.000Z</x:v>
      </x:c>
      <x:c r="C591" s="3" t="str">
        <x:v>Taladrod</x:v>
      </x:c>
      <x:c r="D591" s="3" t="str">
        <x:v>Toyota</x:v>
      </x:c>
      <x:c r="E591" s="3" t="str">
        <x:v>日本</x:v>
      </x:c>
      <x:c r="F591" s="3" t="str">
        <x:v>Fortuner</x:v>
      </x:c>
      <x:c r="G591" s="3" t="str">
        <x:v>ICE</x:v>
      </x:c>
      <x:c r="H591" s="3" t="str">
        <x:v>SUV</x:v>
      </x:c>
      <x:c r="I591" s="3" t="str"/>
      <x:c r="J591" s="3" t="n">
        <x:v>2022</x:v>
      </x:c>
      <x:c r="K591" s="3" t="str">
        <x:v>2.4 V</x:v>
      </x:c>
      <x:c r="L591" s="3" t="str">
        <x:v>2.4 V</x:v>
      </x:c>
      <x:c r="M591" s="22"/>
      <x:c r="N591" s="22"/>
      <x:c r="O591" s="22"/>
      <x:c r="P591" s="3" t="str">
        <x:v>未掲載</x:v>
      </x:c>
      <x:c r="Q591" s="3" t="str">
        <x:v>未取得</x:v>
      </x:c>
      <x:c r="R591" s="3" t="str">
        <x:v>Unknown</x:v>
      </x:c>
      <x:c r="S591" s="3" t="str">
        <x:v>不明</x:v>
      </x:c>
      <x:c r="T591" s="3" t="str">
        <x:v>15-ปัจจุบัน</x:v>
      </x:c>
      <x:c r="U591" s="28" t="n">
        <x:v>859000</x:v>
      </x:c>
      <x:c r="V591" s="28" t="n">
        <x:v>1419000</x:v>
      </x:c>
      <x:c r="W591" s="3" t="str">
        <x:v>事故・水没・SOH・保証残は未確認</x:v>
      </x:c>
      <x:c r="X591" s="3" t="str">
        <x:v>掲載中・在庫未確認</x:v>
      </x:c>
      <x:c r="Y591" s="3" t="str"/>
      <x:c r="Z591" s="27" t="str">
        <x:v>https://www.taladrod.com/w40/icar/cardet.aspx?cid=2923497</x:v>
      </x:c>
      <x:c r="AA591" s="3" t="str">
        <x:v>Taladrod個別広告ID／Carsome在庫ID</x:v>
      </x:c>
      <x:c r="AB591" s="3" t="str">
        <x:v>車台番号未取得／サイト間重複は未判定</x:v>
      </x:c>
      <x:c r="AC591" s="3" t="str">
        <x:v>税込区分未確認（一覧表示額）</x:v>
      </x:c>
      <x:c r="AD591" s="3" t="str"/>
      <x:c r="AE591" s="29" t="str">
        <x:f>""</x:f>
      </x:c>
      <x:c r="AF591" s="30" t="str">
        <x:f>IF(ISNUMBER(AE591),U591/AE591,"")</x:f>
      </x:c>
      <x:c r="AG591" s="29" t="str">
        <x:f>""</x:f>
      </x:c>
      <x:c r="AH591" s="30" t="str">
        <x:f>IF(ISNUMBER(AG591),U591/AG591,"")</x:f>
      </x:c>
      <x:c r="AI591" s="3" t="str">
        <x:v>同年式・グレードの検証済み当時価格なし／登録年混在</x:v>
      </x:c>
      <x:c r="AJ591" s="3" t="str">
        <x:v>一覧価格/年式のみ</x:v>
      </x:c>
      <x:c r="AK591" s="3" t="str">
        <x:v>一覧の表示価格。年式は掲載年式。</x:v>
      </x:c>
      <x:c r="AL591" s="31" t="n">
        <x:f>IF(AND(J591&lt;='分析方法'!$B$7,OR(ISBLANK(O591),O591&gt;='分析方法'!$B$8),X591&lt;&gt;"売却済み表示"),1,0)</x:f>
        <x:v>1</x:v>
      </x:c>
      <x:c r="AM591" s="32" t="n">
        <x:f>IF(AL591=1,U591,"")</x:f>
        <x:v>859000</x:v>
      </x:c>
      <x:c r="AN591" s="33" t="str">
        <x:f>IF(AL591=1,AF591,"")</x:f>
      </x:c>
      <x:c r="AO591" s="31" t="n">
        <x:f>'分析方法'!$B$6-J591</x:f>
        <x:v>4</x:v>
      </x:c>
      <x:c r="AP591" s="3"/>
    </x:row>
    <x:row r="592" ht="22" customHeight="1">
      <x:c r="A592" s="3" t="str">
        <x:v>T2913984</x:v>
      </x:c>
      <x:c r="B592" s="7" t="d">
        <x:v>2026-10-08T00:00:00.000Z</x:v>
      </x:c>
      <x:c r="C592" s="3" t="str">
        <x:v>Taladrod</x:v>
      </x:c>
      <x:c r="D592" s="3" t="str">
        <x:v>Toyota</x:v>
      </x:c>
      <x:c r="E592" s="3" t="str">
        <x:v>日本</x:v>
      </x:c>
      <x:c r="F592" s="3" t="str">
        <x:v>Fortuner</x:v>
      </x:c>
      <x:c r="G592" s="3" t="str">
        <x:v>ICE</x:v>
      </x:c>
      <x:c r="H592" s="3" t="str">
        <x:v>SUV</x:v>
      </x:c>
      <x:c r="I592" s="3" t="str"/>
      <x:c r="J592" s="3" t="n">
        <x:v>2022</x:v>
      </x:c>
      <x:c r="K592" s="3" t="str">
        <x:v>2.4 V 4WD</x:v>
      </x:c>
      <x:c r="L592" s="3" t="str">
        <x:v>2.4 V 4WD</x:v>
      </x:c>
      <x:c r="M592" s="22"/>
      <x:c r="N592" s="22"/>
      <x:c r="O592" s="22"/>
      <x:c r="P592" s="3" t="str">
        <x:v>未掲載</x:v>
      </x:c>
      <x:c r="Q592" s="3" t="str">
        <x:v>未取得</x:v>
      </x:c>
      <x:c r="R592" s="3" t="str">
        <x:v>Unknown</x:v>
      </x:c>
      <x:c r="S592" s="3" t="str">
        <x:v>不明</x:v>
      </x:c>
      <x:c r="T592" s="3" t="str">
        <x:v>15-ปัจจุบัน</x:v>
      </x:c>
      <x:c r="U592" s="28" t="n">
        <x:v>899000</x:v>
      </x:c>
      <x:c r="V592" s="28" t="n">
        <x:v>1494000</x:v>
      </x:c>
      <x:c r="W592" s="3" t="str">
        <x:v>事故・水没・SOH・保証残は未確認</x:v>
      </x:c>
      <x:c r="X592" s="3" t="str">
        <x:v>掲載中・在庫未確認</x:v>
      </x:c>
      <x:c r="Y592" s="3" t="str"/>
      <x:c r="Z592" s="27" t="str">
        <x:v>https://www.taladrod.com/w40/icar/cardet.aspx?cid=2913984</x:v>
      </x:c>
      <x:c r="AA592" s="3" t="str">
        <x:v>Taladrod個別広告ID／Carsome在庫ID</x:v>
      </x:c>
      <x:c r="AB592" s="3" t="str">
        <x:v>車台番号未取得／サイト間重複は未判定</x:v>
      </x:c>
      <x:c r="AC592" s="3" t="str">
        <x:v>税込区分未確認（一覧表示額）</x:v>
      </x:c>
      <x:c r="AD592" s="3" t="str"/>
      <x:c r="AE592" s="29" t="str">
        <x:f>""</x:f>
      </x:c>
      <x:c r="AF592" s="30" t="str">
        <x:f>IF(ISNUMBER(AE592),U592/AE592,"")</x:f>
      </x:c>
      <x:c r="AG592" s="29" t="str">
        <x:f>""</x:f>
      </x:c>
      <x:c r="AH592" s="30" t="str">
        <x:f>IF(ISNUMBER(AG592),U592/AG592,"")</x:f>
      </x:c>
      <x:c r="AI592" s="3" t="str">
        <x:v>同年式・グレードの検証済み当時価格なし／登録年混在</x:v>
      </x:c>
      <x:c r="AJ592" s="3" t="str">
        <x:v>一覧価格/年式のみ</x:v>
      </x:c>
      <x:c r="AK592" s="3" t="str">
        <x:v>一覧の表示価格。年式は掲載年式。</x:v>
      </x:c>
      <x:c r="AL592" s="31" t="n">
        <x:f>IF(AND(J592&lt;='分析方法'!$B$7,OR(ISBLANK(O592),O592&gt;='分析方法'!$B$8),X592&lt;&gt;"売却済み表示"),1,0)</x:f>
        <x:v>1</x:v>
      </x:c>
      <x:c r="AM592" s="32" t="n">
        <x:f>IF(AL592=1,U592,"")</x:f>
        <x:v>899000</x:v>
      </x:c>
      <x:c r="AN592" s="33" t="str">
        <x:f>IF(AL592=1,AF592,"")</x:f>
      </x:c>
      <x:c r="AO592" s="31" t="n">
        <x:f>'分析方法'!$B$6-J592</x:f>
        <x:v>4</x:v>
      </x:c>
      <x:c r="AP592" s="3"/>
    </x:row>
    <x:row r="593" ht="22" customHeight="1">
      <x:c r="A593" s="3" t="str">
        <x:v>T2921803</x:v>
      </x:c>
      <x:c r="B593" s="7" t="d">
        <x:v>2026-10-08T00:00:00.000Z</x:v>
      </x:c>
      <x:c r="C593" s="3" t="str">
        <x:v>Taladrod</x:v>
      </x:c>
      <x:c r="D593" s="3" t="str">
        <x:v>Toyota</x:v>
      </x:c>
      <x:c r="E593" s="3" t="str">
        <x:v>日本</x:v>
      </x:c>
      <x:c r="F593" s="3" t="str">
        <x:v>Fortuner</x:v>
      </x:c>
      <x:c r="G593" s="3" t="str">
        <x:v>ICE</x:v>
      </x:c>
      <x:c r="H593" s="3" t="str">
        <x:v>SUV</x:v>
      </x:c>
      <x:c r="I593" s="3" t="str"/>
      <x:c r="J593" s="3" t="n">
        <x:v>2022</x:v>
      </x:c>
      <x:c r="K593" s="3" t="str">
        <x:v>2.4 V 4WD</x:v>
      </x:c>
      <x:c r="L593" s="3" t="str">
        <x:v>2.4 V 4WD</x:v>
      </x:c>
      <x:c r="M593" s="22"/>
      <x:c r="N593" s="22"/>
      <x:c r="O593" s="22"/>
      <x:c r="P593" s="3" t="str">
        <x:v>未掲載</x:v>
      </x:c>
      <x:c r="Q593" s="3" t="str">
        <x:v>未取得</x:v>
      </x:c>
      <x:c r="R593" s="3" t="str">
        <x:v>Unknown</x:v>
      </x:c>
      <x:c r="S593" s="3" t="str">
        <x:v>不明</x:v>
      </x:c>
      <x:c r="T593" s="3" t="str">
        <x:v>15-ปัจจุบัน</x:v>
      </x:c>
      <x:c r="U593" s="28" t="n">
        <x:v>989000</x:v>
      </x:c>
      <x:c r="V593" s="28" t="n">
        <x:v>1494000</x:v>
      </x:c>
      <x:c r="W593" s="3" t="str">
        <x:v>事故・水没・SOH・保証残は未確認</x:v>
      </x:c>
      <x:c r="X593" s="3" t="str">
        <x:v>掲載中・在庫未確認</x:v>
      </x:c>
      <x:c r="Y593" s="3" t="str"/>
      <x:c r="Z593" s="27" t="str">
        <x:v>https://www.taladrod.com/w40/icar/cardet.aspx?cid=2921803</x:v>
      </x:c>
      <x:c r="AA593" s="3" t="str">
        <x:v>Taladrod個別広告ID／Carsome在庫ID</x:v>
      </x:c>
      <x:c r="AB593" s="3" t="str">
        <x:v>車台番号未取得／サイト間重複は未判定</x:v>
      </x:c>
      <x:c r="AC593" s="3" t="str">
        <x:v>税込区分未確認（一覧表示額）</x:v>
      </x:c>
      <x:c r="AD593" s="3" t="str"/>
      <x:c r="AE593" s="29" t="str">
        <x:f>""</x:f>
      </x:c>
      <x:c r="AF593" s="30" t="str">
        <x:f>IF(ISNUMBER(AE593),U593/AE593,"")</x:f>
      </x:c>
      <x:c r="AG593" s="29" t="str">
        <x:f>""</x:f>
      </x:c>
      <x:c r="AH593" s="30" t="str">
        <x:f>IF(ISNUMBER(AG593),U593/AG593,"")</x:f>
      </x:c>
      <x:c r="AI593" s="3" t="str">
        <x:v>同年式・グレードの検証済み当時価格なし／登録年混在</x:v>
      </x:c>
      <x:c r="AJ593" s="3" t="str">
        <x:v>一覧価格/年式のみ</x:v>
      </x:c>
      <x:c r="AK593" s="3" t="str">
        <x:v>一覧の表示価格。年式は掲載年式。</x:v>
      </x:c>
      <x:c r="AL593" s="31" t="n">
        <x:f>IF(AND(J593&lt;='分析方法'!$B$7,OR(ISBLANK(O593),O593&gt;='分析方法'!$B$8),X593&lt;&gt;"売却済み表示"),1,0)</x:f>
        <x:v>1</x:v>
      </x:c>
      <x:c r="AM593" s="32" t="n">
        <x:f>IF(AL593=1,U593,"")</x:f>
        <x:v>989000</x:v>
      </x:c>
      <x:c r="AN593" s="33" t="str">
        <x:f>IF(AL593=1,AF593,"")</x:f>
      </x:c>
      <x:c r="AO593" s="31" t="n">
        <x:f>'分析方法'!$B$6-J593</x:f>
        <x:v>4</x:v>
      </x:c>
      <x:c r="AP593" s="3"/>
    </x:row>
    <x:row r="594" ht="22" customHeight="1">
      <x:c r="A594" s="3" t="str">
        <x:v>T2906945</x:v>
      </x:c>
      <x:c r="B594" s="7" t="d">
        <x:v>2026-10-08T00:00:00.000Z</x:v>
      </x:c>
      <x:c r="C594" s="3" t="str">
        <x:v>Taladrod</x:v>
      </x:c>
      <x:c r="D594" s="3" t="str">
        <x:v>Toyota</x:v>
      </x:c>
      <x:c r="E594" s="3" t="str">
        <x:v>日本</x:v>
      </x:c>
      <x:c r="F594" s="3" t="str">
        <x:v>Fortuner</x:v>
      </x:c>
      <x:c r="G594" s="3" t="str">
        <x:v>ICE</x:v>
      </x:c>
      <x:c r="H594" s="3" t="str">
        <x:v>SUV</x:v>
      </x:c>
      <x:c r="I594" s="3" t="str"/>
      <x:c r="J594" s="3" t="n">
        <x:v>2022</x:v>
      </x:c>
      <x:c r="K594" s="3" t="str">
        <x:v>2.4 V 4WD LEADER</x:v>
      </x:c>
      <x:c r="L594" s="3" t="str">
        <x:v>2.4 V 4WD LEADER</x:v>
      </x:c>
      <x:c r="M594" s="22"/>
      <x:c r="N594" s="22"/>
      <x:c r="O594" s="22"/>
      <x:c r="P594" s="3" t="str">
        <x:v>未掲載</x:v>
      </x:c>
      <x:c r="Q594" s="3" t="str">
        <x:v>未取得</x:v>
      </x:c>
      <x:c r="R594" s="3" t="str">
        <x:v>Unknown</x:v>
      </x:c>
      <x:c r="S594" s="3" t="str">
        <x:v>不明</x:v>
      </x:c>
      <x:c r="T594" s="3" t="str">
        <x:v>15-ปัจจุบัน</x:v>
      </x:c>
      <x:c r="U594" s="28" t="n">
        <x:v>939000</x:v>
      </x:c>
      <x:c r="V594" s="28" t="n">
        <x:v>1575000</x:v>
      </x:c>
      <x:c r="W594" s="3" t="str">
        <x:v>事故・水没・SOH・保証残は未確認</x:v>
      </x:c>
      <x:c r="X594" s="3" t="str">
        <x:v>掲載中・在庫未確認</x:v>
      </x:c>
      <x:c r="Y594" s="3" t="str"/>
      <x:c r="Z594" s="27" t="str">
        <x:v>https://www.taladrod.com/w40/icar/cardet.aspx?cid=2906945</x:v>
      </x:c>
      <x:c r="AA594" s="3" t="str">
        <x:v>Taladrod個別広告ID／Carsome在庫ID</x:v>
      </x:c>
      <x:c r="AB594" s="3" t="str">
        <x:v>車台番号未取得／サイト間重複は未判定</x:v>
      </x:c>
      <x:c r="AC594" s="3" t="str">
        <x:v>税込区分未確認（一覧表示額）</x:v>
      </x:c>
      <x:c r="AD594" s="3" t="str"/>
      <x:c r="AE594" s="29" t="str">
        <x:f>""</x:f>
      </x:c>
      <x:c r="AF594" s="30" t="str">
        <x:f>IF(ISNUMBER(AE594),U594/AE594,"")</x:f>
      </x:c>
      <x:c r="AG594" s="29" t="str">
        <x:f>""</x:f>
      </x:c>
      <x:c r="AH594" s="30" t="str">
        <x:f>IF(ISNUMBER(AG594),U594/AG594,"")</x:f>
      </x:c>
      <x:c r="AI594" s="3" t="str">
        <x:v>同年式・グレードの検証済み当時価格なし／登録年混在</x:v>
      </x:c>
      <x:c r="AJ594" s="3" t="str">
        <x:v>一覧価格/年式のみ</x:v>
      </x:c>
      <x:c r="AK594" s="3" t="str">
        <x:v>一覧の表示価格。年式は掲載年式。</x:v>
      </x:c>
      <x:c r="AL594" s="31" t="n">
        <x:f>IF(AND(J594&lt;='分析方法'!$B$7,OR(ISBLANK(O594),O594&gt;='分析方法'!$B$8),X594&lt;&gt;"売却済み表示"),1,0)</x:f>
        <x:v>1</x:v>
      </x:c>
      <x:c r="AM594" s="32" t="n">
        <x:f>IF(AL594=1,U594,"")</x:f>
        <x:v>939000</x:v>
      </x:c>
      <x:c r="AN594" s="33" t="str">
        <x:f>IF(AL594=1,AF594,"")</x:f>
      </x:c>
      <x:c r="AO594" s="31" t="n">
        <x:f>'分析方法'!$B$6-J594</x:f>
        <x:v>4</x:v>
      </x:c>
      <x:c r="AP594" s="3"/>
    </x:row>
    <x:row r="595" ht="22" customHeight="1">
      <x:c r="A595" s="3" t="str">
        <x:v>T2923502</x:v>
      </x:c>
      <x:c r="B595" s="7" t="d">
        <x:v>2026-10-08T00:00:00.000Z</x:v>
      </x:c>
      <x:c r="C595" s="3" t="str">
        <x:v>Taladrod</x:v>
      </x:c>
      <x:c r="D595" s="3" t="str">
        <x:v>Toyota</x:v>
      </x:c>
      <x:c r="E595" s="3" t="str">
        <x:v>日本</x:v>
      </x:c>
      <x:c r="F595" s="3" t="str">
        <x:v>Fortuner</x:v>
      </x:c>
      <x:c r="G595" s="3" t="str">
        <x:v>ICE</x:v>
      </x:c>
      <x:c r="H595" s="3" t="str">
        <x:v>SUV</x:v>
      </x:c>
      <x:c r="I595" s="3" t="str"/>
      <x:c r="J595" s="3" t="n">
        <x:v>2022</x:v>
      </x:c>
      <x:c r="K595" s="3" t="str">
        <x:v>2.4 V 4WD LEADER</x:v>
      </x:c>
      <x:c r="L595" s="3" t="str">
        <x:v>2.4 V 4WD LEADER</x:v>
      </x:c>
      <x:c r="M595" s="22"/>
      <x:c r="N595" s="22"/>
      <x:c r="O595" s="22"/>
      <x:c r="P595" s="3" t="str">
        <x:v>未掲載</x:v>
      </x:c>
      <x:c r="Q595" s="3" t="str">
        <x:v>未取得</x:v>
      </x:c>
      <x:c r="R595" s="3" t="str">
        <x:v>Unknown</x:v>
      </x:c>
      <x:c r="S595" s="3" t="str">
        <x:v>不明</x:v>
      </x:c>
      <x:c r="T595" s="3" t="str">
        <x:v>15-ปัจจุบัน</x:v>
      </x:c>
      <x:c r="U595" s="28" t="n">
        <x:v>939000</x:v>
      </x:c>
      <x:c r="V595" s="28" t="n">
        <x:v>1575000</x:v>
      </x:c>
      <x:c r="W595" s="3" t="str">
        <x:v>事故・水没・SOH・保証残は未確認</x:v>
      </x:c>
      <x:c r="X595" s="3" t="str">
        <x:v>掲載中・在庫未確認</x:v>
      </x:c>
      <x:c r="Y595" s="3" t="str"/>
      <x:c r="Z595" s="27" t="str">
        <x:v>https://www.taladrod.com/w40/icar/cardet.aspx?cid=2923502</x:v>
      </x:c>
      <x:c r="AA595" s="3" t="str">
        <x:v>Taladrod個別広告ID／Carsome在庫ID</x:v>
      </x:c>
      <x:c r="AB595" s="3" t="str">
        <x:v>車台番号未取得／サイト間重複は未判定</x:v>
      </x:c>
      <x:c r="AC595" s="3" t="str">
        <x:v>税込区分未確認（一覧表示額）</x:v>
      </x:c>
      <x:c r="AD595" s="3" t="str"/>
      <x:c r="AE595" s="29" t="str">
        <x:f>""</x:f>
      </x:c>
      <x:c r="AF595" s="30" t="str">
        <x:f>IF(ISNUMBER(AE595),U595/AE595,"")</x:f>
      </x:c>
      <x:c r="AG595" s="29" t="str">
        <x:f>""</x:f>
      </x:c>
      <x:c r="AH595" s="30" t="str">
        <x:f>IF(ISNUMBER(AG595),U595/AG595,"")</x:f>
      </x:c>
      <x:c r="AI595" s="3" t="str">
        <x:v>同年式・グレードの検証済み当時価格なし／登録年混在</x:v>
      </x:c>
      <x:c r="AJ595" s="3" t="str">
        <x:v>一覧価格/年式のみ</x:v>
      </x:c>
      <x:c r="AK595" s="3" t="str">
        <x:v>一覧の表示価格。年式は掲載年式。</x:v>
      </x:c>
      <x:c r="AL595" s="31" t="n">
        <x:f>IF(AND(J595&lt;='分析方法'!$B$7,OR(ISBLANK(O595),O595&gt;='分析方法'!$B$8),X595&lt;&gt;"売却済み表示"),1,0)</x:f>
        <x:v>1</x:v>
      </x:c>
      <x:c r="AM595" s="32" t="n">
        <x:f>IF(AL595=1,U595,"")</x:f>
        <x:v>939000</x:v>
      </x:c>
      <x:c r="AN595" s="33" t="str">
        <x:f>IF(AL595=1,AF595,"")</x:f>
      </x:c>
      <x:c r="AO595" s="31" t="n">
        <x:f>'分析方法'!$B$6-J595</x:f>
        <x:v>4</x:v>
      </x:c>
      <x:c r="AP595" s="3"/>
    </x:row>
    <x:row r="596" ht="22" customHeight="1">
      <x:c r="A596" s="3" t="str">
        <x:v>T2924761</x:v>
      </x:c>
      <x:c r="B596" s="7" t="d">
        <x:v>2026-10-08T00:00:00.000Z</x:v>
      </x:c>
      <x:c r="C596" s="3" t="str">
        <x:v>Taladrod</x:v>
      </x:c>
      <x:c r="D596" s="3" t="str">
        <x:v>Toyota</x:v>
      </x:c>
      <x:c r="E596" s="3" t="str">
        <x:v>日本</x:v>
      </x:c>
      <x:c r="F596" s="3" t="str">
        <x:v>Fortuner</x:v>
      </x:c>
      <x:c r="G596" s="3" t="str">
        <x:v>ICE</x:v>
      </x:c>
      <x:c r="H596" s="3" t="str">
        <x:v>SUV</x:v>
      </x:c>
      <x:c r="I596" s="3" t="str"/>
      <x:c r="J596" s="3" t="n">
        <x:v>2022</x:v>
      </x:c>
      <x:c r="K596" s="3" t="str">
        <x:v>2.4 V 4WD LEADER</x:v>
      </x:c>
      <x:c r="L596" s="3" t="str">
        <x:v>2.4 V 4WD LEADER</x:v>
      </x:c>
      <x:c r="M596" s="22"/>
      <x:c r="N596" s="22"/>
      <x:c r="O596" s="22"/>
      <x:c r="P596" s="3" t="str">
        <x:v>未掲載</x:v>
      </x:c>
      <x:c r="Q596" s="3" t="str">
        <x:v>未取得</x:v>
      </x:c>
      <x:c r="R596" s="3" t="str">
        <x:v>Unknown</x:v>
      </x:c>
      <x:c r="S596" s="3" t="str">
        <x:v>不明</x:v>
      </x:c>
      <x:c r="T596" s="3" t="str">
        <x:v>15-ปัจจุบัน</x:v>
      </x:c>
      <x:c r="U596" s="28" t="n">
        <x:v>938000</x:v>
      </x:c>
      <x:c r="V596" s="28" t="n">
        <x:v>1575000</x:v>
      </x:c>
      <x:c r="W596" s="3" t="str">
        <x:v>事故・水没・SOH・保証残は未確認</x:v>
      </x:c>
      <x:c r="X596" s="3" t="str">
        <x:v>掲載中・在庫未確認</x:v>
      </x:c>
      <x:c r="Y596" s="3" t="str"/>
      <x:c r="Z596" s="27" t="str">
        <x:v>https://www.taladrod.com/w40/icar/cardet.aspx?cid=2924761</x:v>
      </x:c>
      <x:c r="AA596" s="3" t="str">
        <x:v>Taladrod個別広告ID／Carsome在庫ID</x:v>
      </x:c>
      <x:c r="AB596" s="3" t="str">
        <x:v>車台番号未取得／サイト間重複は未判定</x:v>
      </x:c>
      <x:c r="AC596" s="3" t="str">
        <x:v>税込区分未確認（一覧表示額）</x:v>
      </x:c>
      <x:c r="AD596" s="3" t="str"/>
      <x:c r="AE596" s="29" t="str">
        <x:f>""</x:f>
      </x:c>
      <x:c r="AF596" s="30" t="str">
        <x:f>IF(ISNUMBER(AE596),U596/AE596,"")</x:f>
      </x:c>
      <x:c r="AG596" s="29" t="str">
        <x:f>""</x:f>
      </x:c>
      <x:c r="AH596" s="30" t="str">
        <x:f>IF(ISNUMBER(AG596),U596/AG596,"")</x:f>
      </x:c>
      <x:c r="AI596" s="3" t="str">
        <x:v>同年式・グレードの検証済み当時価格なし／登録年混在</x:v>
      </x:c>
      <x:c r="AJ596" s="3" t="str">
        <x:v>一覧価格/年式のみ</x:v>
      </x:c>
      <x:c r="AK596" s="3" t="str">
        <x:v>一覧の表示価格。年式は掲載年式。</x:v>
      </x:c>
      <x:c r="AL596" s="31" t="n">
        <x:f>IF(AND(J596&lt;='分析方法'!$B$7,OR(ISBLANK(O596),O596&gt;='分析方法'!$B$8),X596&lt;&gt;"売却済み表示"),1,0)</x:f>
        <x:v>1</x:v>
      </x:c>
      <x:c r="AM596" s="32" t="n">
        <x:f>IF(AL596=1,U596,"")</x:f>
        <x:v>938000</x:v>
      </x:c>
      <x:c r="AN596" s="33" t="str">
        <x:f>IF(AL596=1,AF596,"")</x:f>
      </x:c>
      <x:c r="AO596" s="31" t="n">
        <x:f>'分析方法'!$B$6-J596</x:f>
        <x:v>4</x:v>
      </x:c>
      <x:c r="AP596" s="3"/>
    </x:row>
    <x:row r="597" ht="22" customHeight="1">
      <x:c r="A597" s="3" t="str">
        <x:v>T2892387</x:v>
      </x:c>
      <x:c r="B597" s="7" t="d">
        <x:v>2026-10-08T00:00:00.000Z</x:v>
      </x:c>
      <x:c r="C597" s="3" t="str">
        <x:v>Taladrod</x:v>
      </x:c>
      <x:c r="D597" s="3" t="str">
        <x:v>Toyota</x:v>
      </x:c>
      <x:c r="E597" s="3" t="str">
        <x:v>日本</x:v>
      </x:c>
      <x:c r="F597" s="3" t="str">
        <x:v>Fortuner</x:v>
      </x:c>
      <x:c r="G597" s="3" t="str">
        <x:v>ICE</x:v>
      </x:c>
      <x:c r="H597" s="3" t="str">
        <x:v>SUV</x:v>
      </x:c>
      <x:c r="I597" s="3" t="str"/>
      <x:c r="J597" s="3" t="n">
        <x:v>2022</x:v>
      </x:c>
      <x:c r="K597" s="3" t="str">
        <x:v>2.4 V LEADER</x:v>
      </x:c>
      <x:c r="L597" s="3" t="str">
        <x:v>2.4 V LEADER</x:v>
      </x:c>
      <x:c r="M597" s="22"/>
      <x:c r="N597" s="22"/>
      <x:c r="O597" s="22"/>
      <x:c r="P597" s="3" t="str">
        <x:v>未掲載</x:v>
      </x:c>
      <x:c r="Q597" s="3" t="str">
        <x:v>未取得</x:v>
      </x:c>
      <x:c r="R597" s="3" t="str">
        <x:v>Unknown</x:v>
      </x:c>
      <x:c r="S597" s="3" t="str">
        <x:v>不明</x:v>
      </x:c>
      <x:c r="T597" s="3" t="str">
        <x:v>15-ปัจจุบัน</x:v>
      </x:c>
      <x:c r="U597" s="28" t="n">
        <x:v>999000</x:v>
      </x:c>
      <x:c r="V597" s="28" t="n">
        <x:v>1505000</x:v>
      </x:c>
      <x:c r="W597" s="3" t="str">
        <x:v>事故・水没・SOH・保証残は未確認</x:v>
      </x:c>
      <x:c r="X597" s="3" t="str">
        <x:v>掲載中・在庫未確認</x:v>
      </x:c>
      <x:c r="Y597" s="3" t="str"/>
      <x:c r="Z597" s="27" t="str">
        <x:v>https://www.taladrod.com/w40/icar/cardet.aspx?cid=2892387</x:v>
      </x:c>
      <x:c r="AA597" s="3" t="str">
        <x:v>Taladrod個別広告ID／Carsome在庫ID</x:v>
      </x:c>
      <x:c r="AB597" s="3" t="str">
        <x:v>車台番号未取得／サイト間重複は未判定</x:v>
      </x:c>
      <x:c r="AC597" s="3" t="str">
        <x:v>税込区分未確認（一覧表示額）</x:v>
      </x:c>
      <x:c r="AD597" s="3" t="str"/>
      <x:c r="AE597" s="29" t="str">
        <x:f>""</x:f>
      </x:c>
      <x:c r="AF597" s="30" t="str">
        <x:f>IF(ISNUMBER(AE597),U597/AE597,"")</x:f>
      </x:c>
      <x:c r="AG597" s="29" t="str">
        <x:f>""</x:f>
      </x:c>
      <x:c r="AH597" s="30" t="str">
        <x:f>IF(ISNUMBER(AG597),U597/AG597,"")</x:f>
      </x:c>
      <x:c r="AI597" s="3" t="str">
        <x:v>同年式・グレードの検証済み当時価格なし／登録年混在</x:v>
      </x:c>
      <x:c r="AJ597" s="3" t="str">
        <x:v>一覧価格/年式のみ</x:v>
      </x:c>
      <x:c r="AK597" s="3" t="str">
        <x:v>一覧の表示価格。年式は掲載年式。</x:v>
      </x:c>
      <x:c r="AL597" s="31" t="n">
        <x:f>IF(AND(J597&lt;='分析方法'!$B$7,OR(ISBLANK(O597),O597&gt;='分析方法'!$B$8),X597&lt;&gt;"売却済み表示"),1,0)</x:f>
        <x:v>1</x:v>
      </x:c>
      <x:c r="AM597" s="32" t="n">
        <x:f>IF(AL597=1,U597,"")</x:f>
        <x:v>999000</x:v>
      </x:c>
      <x:c r="AN597" s="33" t="str">
        <x:f>IF(AL597=1,AF597,"")</x:f>
      </x:c>
      <x:c r="AO597" s="31" t="n">
        <x:f>'分析方法'!$B$6-J597</x:f>
        <x:v>4</x:v>
      </x:c>
      <x:c r="AP597" s="3"/>
    </x:row>
    <x:row r="598" ht="22" customHeight="1">
      <x:c r="A598" s="3" t="str">
        <x:v>T2905831</x:v>
      </x:c>
      <x:c r="B598" s="7" t="d">
        <x:v>2026-10-08T00:00:00.000Z</x:v>
      </x:c>
      <x:c r="C598" s="3" t="str">
        <x:v>Taladrod</x:v>
      </x:c>
      <x:c r="D598" s="3" t="str">
        <x:v>Toyota</x:v>
      </x:c>
      <x:c r="E598" s="3" t="str">
        <x:v>日本</x:v>
      </x:c>
      <x:c r="F598" s="3" t="str">
        <x:v>Fortuner</x:v>
      </x:c>
      <x:c r="G598" s="3" t="str">
        <x:v>ICE</x:v>
      </x:c>
      <x:c r="H598" s="3" t="str">
        <x:v>SUV</x:v>
      </x:c>
      <x:c r="I598" s="3" t="str"/>
      <x:c r="J598" s="3" t="n">
        <x:v>2022</x:v>
      </x:c>
      <x:c r="K598" s="3" t="str">
        <x:v>2.4 V LEADER</x:v>
      </x:c>
      <x:c r="L598" s="3" t="str">
        <x:v>2.4 V LEADER</x:v>
      </x:c>
      <x:c r="M598" s="22"/>
      <x:c r="N598" s="22"/>
      <x:c r="O598" s="22"/>
      <x:c r="P598" s="3" t="str">
        <x:v>未掲載</x:v>
      </x:c>
      <x:c r="Q598" s="3" t="str">
        <x:v>未取得</x:v>
      </x:c>
      <x:c r="R598" s="3" t="str">
        <x:v>Unknown</x:v>
      </x:c>
      <x:c r="S598" s="3" t="str">
        <x:v>不明</x:v>
      </x:c>
      <x:c r="T598" s="3" t="str">
        <x:v>15-ปัจจุบัน</x:v>
      </x:c>
      <x:c r="U598" s="28" t="n">
        <x:v>969000</x:v>
      </x:c>
      <x:c r="V598" s="28" t="n">
        <x:v>1505000</x:v>
      </x:c>
      <x:c r="W598" s="3" t="str">
        <x:v>事故・水没・SOH・保証残は未確認</x:v>
      </x:c>
      <x:c r="X598" s="3" t="str">
        <x:v>掲載中・在庫未確認</x:v>
      </x:c>
      <x:c r="Y598" s="3" t="str"/>
      <x:c r="Z598" s="27" t="str">
        <x:v>https://www.taladrod.com/w40/icar/cardet.aspx?cid=2905831</x:v>
      </x:c>
      <x:c r="AA598" s="3" t="str">
        <x:v>Taladrod個別広告ID／Carsome在庫ID</x:v>
      </x:c>
      <x:c r="AB598" s="3" t="str">
        <x:v>車台番号未取得／サイト間重複は未判定</x:v>
      </x:c>
      <x:c r="AC598" s="3" t="str">
        <x:v>税込区分未確認（一覧表示額）</x:v>
      </x:c>
      <x:c r="AD598" s="3" t="str"/>
      <x:c r="AE598" s="29" t="str">
        <x:f>""</x:f>
      </x:c>
      <x:c r="AF598" s="30" t="str">
        <x:f>IF(ISNUMBER(AE598),U598/AE598,"")</x:f>
      </x:c>
      <x:c r="AG598" s="29" t="str">
        <x:f>""</x:f>
      </x:c>
      <x:c r="AH598" s="30" t="str">
        <x:f>IF(ISNUMBER(AG598),U598/AG598,"")</x:f>
      </x:c>
      <x:c r="AI598" s="3" t="str">
        <x:v>同年式・グレードの検証済み当時価格なし／登録年混在</x:v>
      </x:c>
      <x:c r="AJ598" s="3" t="str">
        <x:v>一覧価格/年式のみ</x:v>
      </x:c>
      <x:c r="AK598" s="3" t="str">
        <x:v>一覧の表示価格。年式は掲載年式。</x:v>
      </x:c>
      <x:c r="AL598" s="31" t="n">
        <x:f>IF(AND(J598&lt;='分析方法'!$B$7,OR(ISBLANK(O598),O598&gt;='分析方法'!$B$8),X598&lt;&gt;"売却済み表示"),1,0)</x:f>
        <x:v>1</x:v>
      </x:c>
      <x:c r="AM598" s="32" t="n">
        <x:f>IF(AL598=1,U598,"")</x:f>
        <x:v>969000</x:v>
      </x:c>
      <x:c r="AN598" s="33" t="str">
        <x:f>IF(AL598=1,AF598,"")</x:f>
      </x:c>
      <x:c r="AO598" s="31" t="n">
        <x:f>'分析方法'!$B$6-J598</x:f>
        <x:v>4</x:v>
      </x:c>
      <x:c r="AP598" s="3"/>
    </x:row>
    <x:row r="599" ht="22" customHeight="1">
      <x:c r="A599" s="3" t="str">
        <x:v>T2906576</x:v>
      </x:c>
      <x:c r="B599" s="7" t="d">
        <x:v>2026-10-08T00:00:00.000Z</x:v>
      </x:c>
      <x:c r="C599" s="3" t="str">
        <x:v>Taladrod</x:v>
      </x:c>
      <x:c r="D599" s="3" t="str">
        <x:v>Toyota</x:v>
      </x:c>
      <x:c r="E599" s="3" t="str">
        <x:v>日本</x:v>
      </x:c>
      <x:c r="F599" s="3" t="str">
        <x:v>Fortuner</x:v>
      </x:c>
      <x:c r="G599" s="3" t="str">
        <x:v>ICE</x:v>
      </x:c>
      <x:c r="H599" s="3" t="str">
        <x:v>SUV</x:v>
      </x:c>
      <x:c r="I599" s="3" t="str"/>
      <x:c r="J599" s="3" t="n">
        <x:v>2022</x:v>
      </x:c>
      <x:c r="K599" s="3" t="str">
        <x:v>2.4 V LEADER</x:v>
      </x:c>
      <x:c r="L599" s="3" t="str">
        <x:v>2.4 V LEADER</x:v>
      </x:c>
      <x:c r="M599" s="22"/>
      <x:c r="N599" s="22"/>
      <x:c r="O599" s="22"/>
      <x:c r="P599" s="3" t="str">
        <x:v>未掲載</x:v>
      </x:c>
      <x:c r="Q599" s="3" t="str">
        <x:v>未取得</x:v>
      </x:c>
      <x:c r="R599" s="3" t="str">
        <x:v>Unknown</x:v>
      </x:c>
      <x:c r="S599" s="3" t="str">
        <x:v>不明</x:v>
      </x:c>
      <x:c r="T599" s="3" t="str">
        <x:v>15-ปัจจุบัน</x:v>
      </x:c>
      <x:c r="U599" s="28" t="n">
        <x:v>929000</x:v>
      </x:c>
      <x:c r="V599" s="28" t="n">
        <x:v>1505000</x:v>
      </x:c>
      <x:c r="W599" s="3" t="str">
        <x:v>事故・水没・SOH・保証残は未確認</x:v>
      </x:c>
      <x:c r="X599" s="3" t="str">
        <x:v>掲載中・在庫未確認</x:v>
      </x:c>
      <x:c r="Y599" s="3" t="str"/>
      <x:c r="Z599" s="27" t="str">
        <x:v>https://www.taladrod.com/w40/icar/cardet.aspx?cid=2906576</x:v>
      </x:c>
      <x:c r="AA599" s="3" t="str">
        <x:v>Taladrod個別広告ID／Carsome在庫ID</x:v>
      </x:c>
      <x:c r="AB599" s="3" t="str">
        <x:v>車台番号未取得／サイト間重複は未判定</x:v>
      </x:c>
      <x:c r="AC599" s="3" t="str">
        <x:v>税込区分未確認（一覧表示額）</x:v>
      </x:c>
      <x:c r="AD599" s="3" t="str"/>
      <x:c r="AE599" s="29" t="str">
        <x:f>""</x:f>
      </x:c>
      <x:c r="AF599" s="30" t="str">
        <x:f>IF(ISNUMBER(AE599),U599/AE599,"")</x:f>
      </x:c>
      <x:c r="AG599" s="29" t="str">
        <x:f>""</x:f>
      </x:c>
      <x:c r="AH599" s="30" t="str">
        <x:f>IF(ISNUMBER(AG599),U599/AG599,"")</x:f>
      </x:c>
      <x:c r="AI599" s="3" t="str">
        <x:v>同年式・グレードの検証済み当時価格なし／登録年混在</x:v>
      </x:c>
      <x:c r="AJ599" s="3" t="str">
        <x:v>一覧価格/年式のみ</x:v>
      </x:c>
      <x:c r="AK599" s="3" t="str">
        <x:v>一覧の表示価格。年式は掲載年式。</x:v>
      </x:c>
      <x:c r="AL599" s="31" t="n">
        <x:f>IF(AND(J599&lt;='分析方法'!$B$7,OR(ISBLANK(O599),O599&gt;='分析方法'!$B$8),X599&lt;&gt;"売却済み表示"),1,0)</x:f>
        <x:v>1</x:v>
      </x:c>
      <x:c r="AM599" s="32" t="n">
        <x:f>IF(AL599=1,U599,"")</x:f>
        <x:v>929000</x:v>
      </x:c>
      <x:c r="AN599" s="33" t="str">
        <x:f>IF(AL599=1,AF599,"")</x:f>
      </x:c>
      <x:c r="AO599" s="31" t="n">
        <x:f>'分析方法'!$B$6-J599</x:f>
        <x:v>4</x:v>
      </x:c>
      <x:c r="AP599" s="3"/>
    </x:row>
    <x:row r="600" ht="22" customHeight="1">
      <x:c r="A600" s="3" t="str">
        <x:v>T2907839</x:v>
      </x:c>
      <x:c r="B600" s="7" t="d">
        <x:v>2026-10-08T00:00:00.000Z</x:v>
      </x:c>
      <x:c r="C600" s="3" t="str">
        <x:v>Taladrod</x:v>
      </x:c>
      <x:c r="D600" s="3" t="str">
        <x:v>Toyota</x:v>
      </x:c>
      <x:c r="E600" s="3" t="str">
        <x:v>日本</x:v>
      </x:c>
      <x:c r="F600" s="3" t="str">
        <x:v>Fortuner</x:v>
      </x:c>
      <x:c r="G600" s="3" t="str">
        <x:v>ICE</x:v>
      </x:c>
      <x:c r="H600" s="3" t="str">
        <x:v>SUV</x:v>
      </x:c>
      <x:c r="I600" s="3" t="str"/>
      <x:c r="J600" s="3" t="n">
        <x:v>2022</x:v>
      </x:c>
      <x:c r="K600" s="3" t="str">
        <x:v>2.4 V LEADER</x:v>
      </x:c>
      <x:c r="L600" s="3" t="str">
        <x:v>2.4 V LEADER</x:v>
      </x:c>
      <x:c r="M600" s="22"/>
      <x:c r="N600" s="22"/>
      <x:c r="O600" s="22"/>
      <x:c r="P600" s="3" t="str">
        <x:v>未掲載</x:v>
      </x:c>
      <x:c r="Q600" s="3" t="str">
        <x:v>未取得</x:v>
      </x:c>
      <x:c r="R600" s="3" t="str">
        <x:v>Unknown</x:v>
      </x:c>
      <x:c r="S600" s="3" t="str">
        <x:v>不明</x:v>
      </x:c>
      <x:c r="T600" s="3" t="str">
        <x:v>15-ปัจจุบัน</x:v>
      </x:c>
      <x:c r="U600" s="28" t="n">
        <x:v>939000</x:v>
      </x:c>
      <x:c r="V600" s="28" t="n">
        <x:v>1505000</x:v>
      </x:c>
      <x:c r="W600" s="3" t="str">
        <x:v>事故・水没・SOH・保証残は未確認</x:v>
      </x:c>
      <x:c r="X600" s="3" t="str">
        <x:v>掲載中・在庫未確認</x:v>
      </x:c>
      <x:c r="Y600" s="3" t="str"/>
      <x:c r="Z600" s="27" t="str">
        <x:v>https://www.taladrod.com/w40/icar/cardet.aspx?cid=2907839</x:v>
      </x:c>
      <x:c r="AA600" s="3" t="str">
        <x:v>Taladrod個別広告ID／Carsome在庫ID</x:v>
      </x:c>
      <x:c r="AB600" s="3" t="str">
        <x:v>車台番号未取得／サイト間重複は未判定</x:v>
      </x:c>
      <x:c r="AC600" s="3" t="str">
        <x:v>税込区分未確認（一覧表示額）</x:v>
      </x:c>
      <x:c r="AD600" s="3" t="str"/>
      <x:c r="AE600" s="29" t="str">
        <x:f>""</x:f>
      </x:c>
      <x:c r="AF600" s="30" t="str">
        <x:f>IF(ISNUMBER(AE600),U600/AE600,"")</x:f>
      </x:c>
      <x:c r="AG600" s="29" t="str">
        <x:f>""</x:f>
      </x:c>
      <x:c r="AH600" s="30" t="str">
        <x:f>IF(ISNUMBER(AG600),U600/AG600,"")</x:f>
      </x:c>
      <x:c r="AI600" s="3" t="str">
        <x:v>同年式・グレードの検証済み当時価格なし／登録年混在</x:v>
      </x:c>
      <x:c r="AJ600" s="3" t="str">
        <x:v>一覧価格/年式のみ</x:v>
      </x:c>
      <x:c r="AK600" s="3" t="str">
        <x:v>一覧の表示価格。年式は掲載年式。</x:v>
      </x:c>
      <x:c r="AL600" s="31" t="n">
        <x:f>IF(AND(J600&lt;='分析方法'!$B$7,OR(ISBLANK(O600),O600&gt;='分析方法'!$B$8),X600&lt;&gt;"売却済み表示"),1,0)</x:f>
        <x:v>1</x:v>
      </x:c>
      <x:c r="AM600" s="32" t="n">
        <x:f>IF(AL600=1,U600,"")</x:f>
        <x:v>939000</x:v>
      </x:c>
      <x:c r="AN600" s="33" t="str">
        <x:f>IF(AL600=1,AF600,"")</x:f>
      </x:c>
      <x:c r="AO600" s="31" t="n">
        <x:f>'分析方法'!$B$6-J600</x:f>
        <x:v>4</x:v>
      </x:c>
      <x:c r="AP600" s="3"/>
    </x:row>
    <x:row r="601" ht="22" customHeight="1">
      <x:c r="A601" s="3" t="str">
        <x:v>T2913132</x:v>
      </x:c>
      <x:c r="B601" s="7" t="d">
        <x:v>2026-10-08T00:00:00.000Z</x:v>
      </x:c>
      <x:c r="C601" s="3" t="str">
        <x:v>Taladrod</x:v>
      </x:c>
      <x:c r="D601" s="3" t="str">
        <x:v>Toyota</x:v>
      </x:c>
      <x:c r="E601" s="3" t="str">
        <x:v>日本</x:v>
      </x:c>
      <x:c r="F601" s="3" t="str">
        <x:v>Fortuner</x:v>
      </x:c>
      <x:c r="G601" s="3" t="str">
        <x:v>ICE</x:v>
      </x:c>
      <x:c r="H601" s="3" t="str">
        <x:v>SUV</x:v>
      </x:c>
      <x:c r="I601" s="3" t="str"/>
      <x:c r="J601" s="3" t="n">
        <x:v>2022</x:v>
      </x:c>
      <x:c r="K601" s="3" t="str">
        <x:v>2.4 V LEADER</x:v>
      </x:c>
      <x:c r="L601" s="3" t="str">
        <x:v>2.4 V LEADER</x:v>
      </x:c>
      <x:c r="M601" s="22"/>
      <x:c r="N601" s="22"/>
      <x:c r="O601" s="22"/>
      <x:c r="P601" s="3" t="str">
        <x:v>未掲載</x:v>
      </x:c>
      <x:c r="Q601" s="3" t="str">
        <x:v>未取得</x:v>
      </x:c>
      <x:c r="R601" s="3" t="str">
        <x:v>Unknown</x:v>
      </x:c>
      <x:c r="S601" s="3" t="str">
        <x:v>不明</x:v>
      </x:c>
      <x:c r="T601" s="3" t="str">
        <x:v>15-ปัจจุบัน</x:v>
      </x:c>
      <x:c r="U601" s="28" t="n">
        <x:v>929000</x:v>
      </x:c>
      <x:c r="V601" s="28" t="n">
        <x:v>1505000</x:v>
      </x:c>
      <x:c r="W601" s="3" t="str">
        <x:v>事故・水没・SOH・保証残は未確認</x:v>
      </x:c>
      <x:c r="X601" s="3" t="str">
        <x:v>掲載中・在庫未確認</x:v>
      </x:c>
      <x:c r="Y601" s="3" t="str"/>
      <x:c r="Z601" s="27" t="str">
        <x:v>https://www.taladrod.com/w40/icar/cardet.aspx?cid=2913132</x:v>
      </x:c>
      <x:c r="AA601" s="3" t="str">
        <x:v>Taladrod個別広告ID／Carsome在庫ID</x:v>
      </x:c>
      <x:c r="AB601" s="3" t="str">
        <x:v>車台番号未取得／サイト間重複は未判定</x:v>
      </x:c>
      <x:c r="AC601" s="3" t="str">
        <x:v>税込区分未確認（一覧表示額）</x:v>
      </x:c>
      <x:c r="AD601" s="3" t="str"/>
      <x:c r="AE601" s="29" t="str">
        <x:f>""</x:f>
      </x:c>
      <x:c r="AF601" s="30" t="str">
        <x:f>IF(ISNUMBER(AE601),U601/AE601,"")</x:f>
      </x:c>
      <x:c r="AG601" s="29" t="str">
        <x:f>""</x:f>
      </x:c>
      <x:c r="AH601" s="30" t="str">
        <x:f>IF(ISNUMBER(AG601),U601/AG601,"")</x:f>
      </x:c>
      <x:c r="AI601" s="3" t="str">
        <x:v>同年式・グレードの検証済み当時価格なし／登録年混在</x:v>
      </x:c>
      <x:c r="AJ601" s="3" t="str">
        <x:v>一覧価格/年式のみ</x:v>
      </x:c>
      <x:c r="AK601" s="3" t="str">
        <x:v>一覧の表示価格。年式は掲載年式。</x:v>
      </x:c>
      <x:c r="AL601" s="31" t="n">
        <x:f>IF(AND(J601&lt;='分析方法'!$B$7,OR(ISBLANK(O601),O601&gt;='分析方法'!$B$8),X601&lt;&gt;"売却済み表示"),1,0)</x:f>
        <x:v>1</x:v>
      </x:c>
      <x:c r="AM601" s="32" t="n">
        <x:f>IF(AL601=1,U601,"")</x:f>
        <x:v>929000</x:v>
      </x:c>
      <x:c r="AN601" s="33" t="str">
        <x:f>IF(AL601=1,AF601,"")</x:f>
      </x:c>
      <x:c r="AO601" s="31" t="n">
        <x:f>'分析方法'!$B$6-J601</x:f>
        <x:v>4</x:v>
      </x:c>
      <x:c r="AP601" s="3"/>
    </x:row>
    <x:row r="602" ht="22" customHeight="1">
      <x:c r="A602" s="3" t="str">
        <x:v>T2920257</x:v>
      </x:c>
      <x:c r="B602" s="7" t="d">
        <x:v>2026-10-08T00:00:00.000Z</x:v>
      </x:c>
      <x:c r="C602" s="3" t="str">
        <x:v>Taladrod</x:v>
      </x:c>
      <x:c r="D602" s="3" t="str">
        <x:v>Toyota</x:v>
      </x:c>
      <x:c r="E602" s="3" t="str">
        <x:v>日本</x:v>
      </x:c>
      <x:c r="F602" s="3" t="str">
        <x:v>Fortuner</x:v>
      </x:c>
      <x:c r="G602" s="3" t="str">
        <x:v>ICE</x:v>
      </x:c>
      <x:c r="H602" s="3" t="str">
        <x:v>SUV</x:v>
      </x:c>
      <x:c r="I602" s="3" t="str"/>
      <x:c r="J602" s="3" t="n">
        <x:v>2022</x:v>
      </x:c>
      <x:c r="K602" s="3" t="str">
        <x:v>2.4 V LEADER</x:v>
      </x:c>
      <x:c r="L602" s="3" t="str">
        <x:v>2.4 V LEADER</x:v>
      </x:c>
      <x:c r="M602" s="22"/>
      <x:c r="N602" s="22"/>
      <x:c r="O602" s="22"/>
      <x:c r="P602" s="3" t="str">
        <x:v>未掲載</x:v>
      </x:c>
      <x:c r="Q602" s="3" t="str">
        <x:v>未取得</x:v>
      </x:c>
      <x:c r="R602" s="3" t="str">
        <x:v>Unknown</x:v>
      </x:c>
      <x:c r="S602" s="3" t="str">
        <x:v>不明</x:v>
      </x:c>
      <x:c r="T602" s="3" t="str">
        <x:v>15-ปัจจุบัน</x:v>
      </x:c>
      <x:c r="U602" s="28" t="n">
        <x:v>919000</x:v>
      </x:c>
      <x:c r="V602" s="28" t="n">
        <x:v>1505000</x:v>
      </x:c>
      <x:c r="W602" s="3" t="str">
        <x:v>事故・水没・SOH・保証残は未確認</x:v>
      </x:c>
      <x:c r="X602" s="3" t="str">
        <x:v>掲載中・在庫未確認</x:v>
      </x:c>
      <x:c r="Y602" s="3" t="str"/>
      <x:c r="Z602" s="27" t="str">
        <x:v>https://www.taladrod.com/w40/icar/cardet.aspx?cid=2920257</x:v>
      </x:c>
      <x:c r="AA602" s="3" t="str">
        <x:v>Taladrod個別広告ID／Carsome在庫ID</x:v>
      </x:c>
      <x:c r="AB602" s="3" t="str">
        <x:v>車台番号未取得／サイト間重複は未判定</x:v>
      </x:c>
      <x:c r="AC602" s="3" t="str">
        <x:v>税込区分未確認（一覧表示額）</x:v>
      </x:c>
      <x:c r="AD602" s="3" t="str"/>
      <x:c r="AE602" s="29" t="str">
        <x:f>""</x:f>
      </x:c>
      <x:c r="AF602" s="30" t="str">
        <x:f>IF(ISNUMBER(AE602),U602/AE602,"")</x:f>
      </x:c>
      <x:c r="AG602" s="29" t="str">
        <x:f>""</x:f>
      </x:c>
      <x:c r="AH602" s="30" t="str">
        <x:f>IF(ISNUMBER(AG602),U602/AG602,"")</x:f>
      </x:c>
      <x:c r="AI602" s="3" t="str">
        <x:v>同年式・グレードの検証済み当時価格なし／登録年混在</x:v>
      </x:c>
      <x:c r="AJ602" s="3" t="str">
        <x:v>一覧価格/年式のみ</x:v>
      </x:c>
      <x:c r="AK602" s="3" t="str">
        <x:v>一覧の表示価格。年式は掲載年式。</x:v>
      </x:c>
      <x:c r="AL602" s="31" t="n">
        <x:f>IF(AND(J602&lt;='分析方法'!$B$7,OR(ISBLANK(O602),O602&gt;='分析方法'!$B$8),X602&lt;&gt;"売却済み表示"),1,0)</x:f>
        <x:v>1</x:v>
      </x:c>
      <x:c r="AM602" s="32" t="n">
        <x:f>IF(AL602=1,U602,"")</x:f>
        <x:v>919000</x:v>
      </x:c>
      <x:c r="AN602" s="33" t="str">
        <x:f>IF(AL602=1,AF602,"")</x:f>
      </x:c>
      <x:c r="AO602" s="31" t="n">
        <x:f>'分析方法'!$B$6-J602</x:f>
        <x:v>4</x:v>
      </x:c>
      <x:c r="AP602" s="3"/>
    </x:row>
    <x:row r="603" ht="22" customHeight="1">
      <x:c r="A603" s="3" t="str">
        <x:v>T2922685</x:v>
      </x:c>
      <x:c r="B603" s="7" t="d">
        <x:v>2026-10-08T00:00:00.000Z</x:v>
      </x:c>
      <x:c r="C603" s="3" t="str">
        <x:v>Taladrod</x:v>
      </x:c>
      <x:c r="D603" s="3" t="str">
        <x:v>Toyota</x:v>
      </x:c>
      <x:c r="E603" s="3" t="str">
        <x:v>日本</x:v>
      </x:c>
      <x:c r="F603" s="3" t="str">
        <x:v>Fortuner</x:v>
      </x:c>
      <x:c r="G603" s="3" t="str">
        <x:v>ICE</x:v>
      </x:c>
      <x:c r="H603" s="3" t="str">
        <x:v>SUV</x:v>
      </x:c>
      <x:c r="I603" s="3" t="str"/>
      <x:c r="J603" s="3" t="n">
        <x:v>2022</x:v>
      </x:c>
      <x:c r="K603" s="3" t="str">
        <x:v>2.4 V LEADER</x:v>
      </x:c>
      <x:c r="L603" s="3" t="str">
        <x:v>2.4 V LEADER</x:v>
      </x:c>
      <x:c r="M603" s="22"/>
      <x:c r="N603" s="22"/>
      <x:c r="O603" s="22"/>
      <x:c r="P603" s="3" t="str">
        <x:v>未掲載</x:v>
      </x:c>
      <x:c r="Q603" s="3" t="str">
        <x:v>未取得</x:v>
      </x:c>
      <x:c r="R603" s="3" t="str">
        <x:v>Unknown</x:v>
      </x:c>
      <x:c r="S603" s="3" t="str">
        <x:v>不明</x:v>
      </x:c>
      <x:c r="T603" s="3" t="str">
        <x:v>15-ปัจจุบัน</x:v>
      </x:c>
      <x:c r="U603" s="28" t="n">
        <x:v>859000</x:v>
      </x:c>
      <x:c r="V603" s="28" t="n">
        <x:v>1505000</x:v>
      </x:c>
      <x:c r="W603" s="3" t="str">
        <x:v>事故・水没・SOH・保証残は未確認</x:v>
      </x:c>
      <x:c r="X603" s="3" t="str">
        <x:v>掲載中・在庫未確認</x:v>
      </x:c>
      <x:c r="Y603" s="3" t="str"/>
      <x:c r="Z603" s="27" t="str">
        <x:v>https://www.taladrod.com/w40/icar/cardet.aspx?cid=2922685</x:v>
      </x:c>
      <x:c r="AA603" s="3" t="str">
        <x:v>Taladrod個別広告ID／Carsome在庫ID</x:v>
      </x:c>
      <x:c r="AB603" s="3" t="str">
        <x:v>車台番号未取得／サイト間重複は未判定</x:v>
      </x:c>
      <x:c r="AC603" s="3" t="str">
        <x:v>税込区分未確認（一覧表示額）</x:v>
      </x:c>
      <x:c r="AD603" s="3" t="str"/>
      <x:c r="AE603" s="29" t="str">
        <x:f>""</x:f>
      </x:c>
      <x:c r="AF603" s="30" t="str">
        <x:f>IF(ISNUMBER(AE603),U603/AE603,"")</x:f>
      </x:c>
      <x:c r="AG603" s="29" t="str">
        <x:f>""</x:f>
      </x:c>
      <x:c r="AH603" s="30" t="str">
        <x:f>IF(ISNUMBER(AG603),U603/AG603,"")</x:f>
      </x:c>
      <x:c r="AI603" s="3" t="str">
        <x:v>同年式・グレードの検証済み当時価格なし／登録年混在</x:v>
      </x:c>
      <x:c r="AJ603" s="3" t="str">
        <x:v>一覧価格/年式のみ</x:v>
      </x:c>
      <x:c r="AK603" s="3" t="str">
        <x:v>一覧の表示価格。年式は掲載年式。</x:v>
      </x:c>
      <x:c r="AL603" s="31" t="n">
        <x:f>IF(AND(J603&lt;='分析方法'!$B$7,OR(ISBLANK(O603),O603&gt;='分析方法'!$B$8),X603&lt;&gt;"売却済み表示"),1,0)</x:f>
        <x:v>1</x:v>
      </x:c>
      <x:c r="AM603" s="32" t="n">
        <x:f>IF(AL603=1,U603,"")</x:f>
        <x:v>859000</x:v>
      </x:c>
      <x:c r="AN603" s="33" t="str">
        <x:f>IF(AL603=1,AF603,"")</x:f>
      </x:c>
      <x:c r="AO603" s="31" t="n">
        <x:f>'分析方法'!$B$6-J603</x:f>
        <x:v>4</x:v>
      </x:c>
      <x:c r="AP603" s="3"/>
    </x:row>
    <x:row r="604" ht="22" customHeight="1">
      <x:c r="A604" s="3" t="str">
        <x:v>T2925830</x:v>
      </x:c>
      <x:c r="B604" s="7" t="d">
        <x:v>2026-10-08T00:00:00.000Z</x:v>
      </x:c>
      <x:c r="C604" s="3" t="str">
        <x:v>Taladrod</x:v>
      </x:c>
      <x:c r="D604" s="3" t="str">
        <x:v>Toyota</x:v>
      </x:c>
      <x:c r="E604" s="3" t="str">
        <x:v>日本</x:v>
      </x:c>
      <x:c r="F604" s="3" t="str">
        <x:v>Fortuner</x:v>
      </x:c>
      <x:c r="G604" s="3" t="str">
        <x:v>ICE</x:v>
      </x:c>
      <x:c r="H604" s="3" t="str">
        <x:v>SUV</x:v>
      </x:c>
      <x:c r="I604" s="3" t="str"/>
      <x:c r="J604" s="3" t="n">
        <x:v>2022</x:v>
      </x:c>
      <x:c r="K604" s="3" t="str">
        <x:v>2.4 V LEADER</x:v>
      </x:c>
      <x:c r="L604" s="3" t="str">
        <x:v>2.4 V LEADER</x:v>
      </x:c>
      <x:c r="M604" s="22"/>
      <x:c r="N604" s="22"/>
      <x:c r="O604" s="22"/>
      <x:c r="P604" s="3" t="str">
        <x:v>未掲載</x:v>
      </x:c>
      <x:c r="Q604" s="3" t="str">
        <x:v>未取得</x:v>
      </x:c>
      <x:c r="R604" s="3" t="str">
        <x:v>Unknown</x:v>
      </x:c>
      <x:c r="S604" s="3" t="str">
        <x:v>不明</x:v>
      </x:c>
      <x:c r="T604" s="3" t="str">
        <x:v>15-ปัจจุบัน</x:v>
      </x:c>
      <x:c r="U604" s="28" t="n">
        <x:v>909000</x:v>
      </x:c>
      <x:c r="V604" s="28" t="n">
        <x:v>1505000</x:v>
      </x:c>
      <x:c r="W604" s="3" t="str">
        <x:v>事故・水没・SOH・保証残は未確認</x:v>
      </x:c>
      <x:c r="X604" s="3" t="str">
        <x:v>掲載中・在庫未確認</x:v>
      </x:c>
      <x:c r="Y604" s="3" t="str"/>
      <x:c r="Z604" s="27" t="str">
        <x:v>https://www.taladrod.com/w40/icar/cardet.aspx?cid=2925830</x:v>
      </x:c>
      <x:c r="AA604" s="3" t="str">
        <x:v>Taladrod個別広告ID／Carsome在庫ID</x:v>
      </x:c>
      <x:c r="AB604" s="3" t="str">
        <x:v>車台番号未取得／サイト間重複は未判定</x:v>
      </x:c>
      <x:c r="AC604" s="3" t="str">
        <x:v>税込区分未確認（一覧表示額）</x:v>
      </x:c>
      <x:c r="AD604" s="3" t="str"/>
      <x:c r="AE604" s="29" t="str">
        <x:f>""</x:f>
      </x:c>
      <x:c r="AF604" s="30" t="str">
        <x:f>IF(ISNUMBER(AE604),U604/AE604,"")</x:f>
      </x:c>
      <x:c r="AG604" s="29" t="str">
        <x:f>""</x:f>
      </x:c>
      <x:c r="AH604" s="30" t="str">
        <x:f>IF(ISNUMBER(AG604),U604/AG604,"")</x:f>
      </x:c>
      <x:c r="AI604" s="3" t="str">
        <x:v>同年式・グレードの検証済み当時価格なし／登録年混在</x:v>
      </x:c>
      <x:c r="AJ604" s="3" t="str">
        <x:v>一覧価格/年式のみ</x:v>
      </x:c>
      <x:c r="AK604" s="3" t="str">
        <x:v>一覧の表示価格。年式は掲載年式。</x:v>
      </x:c>
      <x:c r="AL604" s="31" t="n">
        <x:f>IF(AND(J604&lt;='分析方法'!$B$7,OR(ISBLANK(O604),O604&gt;='分析方法'!$B$8),X604&lt;&gt;"売却済み表示"),1,0)</x:f>
        <x:v>1</x:v>
      </x:c>
      <x:c r="AM604" s="32" t="n">
        <x:f>IF(AL604=1,U604,"")</x:f>
        <x:v>909000</x:v>
      </x:c>
      <x:c r="AN604" s="33" t="str">
        <x:f>IF(AL604=1,AF604,"")</x:f>
      </x:c>
      <x:c r="AO604" s="31" t="n">
        <x:f>'分析方法'!$B$6-J604</x:f>
        <x:v>4</x:v>
      </x:c>
      <x:c r="AP604" s="3"/>
    </x:row>
    <x:row r="605" ht="22" customHeight="1">
      <x:c r="A605" s="3" t="str">
        <x:v>T2903586</x:v>
      </x:c>
      <x:c r="B605" s="7" t="d">
        <x:v>2026-10-08T00:00:00.000Z</x:v>
      </x:c>
      <x:c r="C605" s="3" t="str">
        <x:v>Taladrod</x:v>
      </x:c>
      <x:c r="D605" s="3" t="str">
        <x:v>Toyota</x:v>
      </x:c>
      <x:c r="E605" s="3" t="str">
        <x:v>日本</x:v>
      </x:c>
      <x:c r="F605" s="3" t="str">
        <x:v>Fortuner</x:v>
      </x:c>
      <x:c r="G605" s="3" t="str">
        <x:v>ICE</x:v>
      </x:c>
      <x:c r="H605" s="3" t="str">
        <x:v>SUV</x:v>
      </x:c>
      <x:c r="I605" s="3" t="str"/>
      <x:c r="J605" s="3" t="n">
        <x:v>2022</x:v>
      </x:c>
      <x:c r="K605" s="3" t="str">
        <x:v>2.8 LEGENDER</x:v>
      </x:c>
      <x:c r="L605" s="3" t="str">
        <x:v>2.8 LEGENDER</x:v>
      </x:c>
      <x:c r="M605" s="22"/>
      <x:c r="N605" s="22"/>
      <x:c r="O605" s="22"/>
      <x:c r="P605" s="3" t="str">
        <x:v>未掲載</x:v>
      </x:c>
      <x:c r="Q605" s="3" t="str">
        <x:v>未取得</x:v>
      </x:c>
      <x:c r="R605" s="3" t="str">
        <x:v>Unknown</x:v>
      </x:c>
      <x:c r="S605" s="3" t="str">
        <x:v>不明</x:v>
      </x:c>
      <x:c r="T605" s="3" t="str">
        <x:v>15-ปัจจุบัน</x:v>
      </x:c>
      <x:c r="U605" s="28" t="n">
        <x:v>999000</x:v>
      </x:c>
      <x:c r="V605" s="28" t="n">
        <x:v>1769000</x:v>
      </x:c>
      <x:c r="W605" s="3" t="str">
        <x:v>事故・水没・SOH・保証残は未確認</x:v>
      </x:c>
      <x:c r="X605" s="3" t="str">
        <x:v>掲載中・在庫未確認</x:v>
      </x:c>
      <x:c r="Y605" s="3" t="str"/>
      <x:c r="Z605" s="27" t="str">
        <x:v>https://www.taladrod.com/w40/icar/cardet.aspx?cid=2903586</x:v>
      </x:c>
      <x:c r="AA605" s="3" t="str">
        <x:v>Taladrod個別広告ID／Carsome在庫ID</x:v>
      </x:c>
      <x:c r="AB605" s="3" t="str">
        <x:v>車台番号未取得／サイト間重複は未判定</x:v>
      </x:c>
      <x:c r="AC605" s="3" t="str">
        <x:v>税込区分未確認（一覧表示額）</x:v>
      </x:c>
      <x:c r="AD605" s="3" t="str"/>
      <x:c r="AE605" s="29" t="str">
        <x:f>""</x:f>
      </x:c>
      <x:c r="AF605" s="30" t="str">
        <x:f>IF(ISNUMBER(AE605),U605/AE605,"")</x:f>
      </x:c>
      <x:c r="AG605" s="29" t="str">
        <x:f>""</x:f>
      </x:c>
      <x:c r="AH605" s="30" t="str">
        <x:f>IF(ISNUMBER(AG605),U605/AG605,"")</x:f>
      </x:c>
      <x:c r="AI605" s="3" t="str">
        <x:v>同年式・グレードの検証済み当時価格なし／登録年混在</x:v>
      </x:c>
      <x:c r="AJ605" s="3" t="str">
        <x:v>一覧価格/年式のみ</x:v>
      </x:c>
      <x:c r="AK605" s="3" t="str">
        <x:v>一覧の表示価格。年式は掲載年式。</x:v>
      </x:c>
      <x:c r="AL605" s="31" t="n">
        <x:f>IF(AND(J605&lt;='分析方法'!$B$7,OR(ISBLANK(O605),O605&gt;='分析方法'!$B$8),X605&lt;&gt;"売却済み表示"),1,0)</x:f>
        <x:v>1</x:v>
      </x:c>
      <x:c r="AM605" s="32" t="n">
        <x:f>IF(AL605=1,U605,"")</x:f>
        <x:v>999000</x:v>
      </x:c>
      <x:c r="AN605" s="33" t="str">
        <x:f>IF(AL605=1,AF605,"")</x:f>
      </x:c>
      <x:c r="AO605" s="31" t="n">
        <x:f>'分析方法'!$B$6-J605</x:f>
        <x:v>4</x:v>
      </x:c>
      <x:c r="AP605" s="3"/>
    </x:row>
    <x:row r="606" ht="22" customHeight="1">
      <x:c r="A606" s="3" t="str">
        <x:v>T2915035</x:v>
      </x:c>
      <x:c r="B606" s="7" t="d">
        <x:v>2026-10-08T00:00:00.000Z</x:v>
      </x:c>
      <x:c r="C606" s="3" t="str">
        <x:v>Taladrod</x:v>
      </x:c>
      <x:c r="D606" s="3" t="str">
        <x:v>Toyota</x:v>
      </x:c>
      <x:c r="E606" s="3" t="str">
        <x:v>日本</x:v>
      </x:c>
      <x:c r="F606" s="3" t="str">
        <x:v>Fortuner</x:v>
      </x:c>
      <x:c r="G606" s="3" t="str">
        <x:v>ICE</x:v>
      </x:c>
      <x:c r="H606" s="3" t="str">
        <x:v>SUV</x:v>
      </x:c>
      <x:c r="I606" s="3" t="str"/>
      <x:c r="J606" s="3" t="n">
        <x:v>2023</x:v>
      </x:c>
      <x:c r="K606" s="3" t="str">
        <x:v>2.4 G LEADER</x:v>
      </x:c>
      <x:c r="L606" s="3" t="str">
        <x:v>2.4 G LEADER</x:v>
      </x:c>
      <x:c r="M606" s="22"/>
      <x:c r="N606" s="22"/>
      <x:c r="O606" s="22"/>
      <x:c r="P606" s="3" t="str">
        <x:v>未掲載</x:v>
      </x:c>
      <x:c r="Q606" s="3" t="str">
        <x:v>未取得</x:v>
      </x:c>
      <x:c r="R606" s="3" t="str">
        <x:v>Unknown</x:v>
      </x:c>
      <x:c r="S606" s="3" t="str">
        <x:v>不明</x:v>
      </x:c>
      <x:c r="T606" s="3" t="str">
        <x:v>15-ปัจจุบัน</x:v>
      </x:c>
      <x:c r="U606" s="28" t="n">
        <x:v>899000</x:v>
      </x:c>
      <x:c r="V606" s="28" t="n">
        <x:v>1375000</x:v>
      </x:c>
      <x:c r="W606" s="3" t="str">
        <x:v>事故・水没・SOH・保証残は未確認</x:v>
      </x:c>
      <x:c r="X606" s="3" t="str">
        <x:v>掲載中・在庫未確認</x:v>
      </x:c>
      <x:c r="Y606" s="3" t="str"/>
      <x:c r="Z606" s="27" t="str">
        <x:v>https://www.taladrod.com/w40/icar/cardet.aspx?cid=2915035</x:v>
      </x:c>
      <x:c r="AA606" s="3" t="str">
        <x:v>Taladrod個別広告ID／Carsome在庫ID</x:v>
      </x:c>
      <x:c r="AB606" s="3" t="str">
        <x:v>車台番号未取得／サイト間重複は未判定</x:v>
      </x:c>
      <x:c r="AC606" s="3" t="str">
        <x:v>税込区分未確認（一覧表示額）</x:v>
      </x:c>
      <x:c r="AD606" s="3" t="str"/>
      <x:c r="AE606" s="29" t="str">
        <x:f>""</x:f>
      </x:c>
      <x:c r="AF606" s="30" t="str">
        <x:f>IF(ISNUMBER(AE606),U606/AE606,"")</x:f>
      </x:c>
      <x:c r="AG606" s="29" t="str">
        <x:f>""</x:f>
      </x:c>
      <x:c r="AH606" s="30" t="str">
        <x:f>IF(ISNUMBER(AG606),U606/AG606,"")</x:f>
      </x:c>
      <x:c r="AI606" s="3" t="str">
        <x:v>同年式・グレードの検証済み当時価格なし／登録年混在</x:v>
      </x:c>
      <x:c r="AJ606" s="3" t="str">
        <x:v>一覧価格/年式のみ</x:v>
      </x:c>
      <x:c r="AK606" s="3" t="str">
        <x:v>一覧の表示価格。年式は掲載年式。</x:v>
      </x:c>
      <x:c r="AL606" s="31" t="n">
        <x:f>IF(AND(J606&lt;='分析方法'!$B$7,OR(ISBLANK(O606),O606&gt;='分析方法'!$B$8),X606&lt;&gt;"売却済み表示"),1,0)</x:f>
        <x:v>1</x:v>
      </x:c>
      <x:c r="AM606" s="32" t="n">
        <x:f>IF(AL606=1,U606,"")</x:f>
        <x:v>899000</x:v>
      </x:c>
      <x:c r="AN606" s="33" t="str">
        <x:f>IF(AL606=1,AF606,"")</x:f>
      </x:c>
      <x:c r="AO606" s="31" t="n">
        <x:f>'分析方法'!$B$6-J606</x:f>
        <x:v>3</x:v>
      </x:c>
      <x:c r="AP606" s="3"/>
    </x:row>
    <x:row r="607" ht="22" customHeight="1">
      <x:c r="A607" s="3" t="str">
        <x:v>T2915628</x:v>
      </x:c>
      <x:c r="B607" s="7" t="d">
        <x:v>2026-10-08T00:00:00.000Z</x:v>
      </x:c>
      <x:c r="C607" s="3" t="str">
        <x:v>Taladrod</x:v>
      </x:c>
      <x:c r="D607" s="3" t="str">
        <x:v>Toyota</x:v>
      </x:c>
      <x:c r="E607" s="3" t="str">
        <x:v>日本</x:v>
      </x:c>
      <x:c r="F607" s="3" t="str">
        <x:v>Fortuner</x:v>
      </x:c>
      <x:c r="G607" s="3" t="str">
        <x:v>ICE</x:v>
      </x:c>
      <x:c r="H607" s="3" t="str">
        <x:v>SUV</x:v>
      </x:c>
      <x:c r="I607" s="3" t="str"/>
      <x:c r="J607" s="3" t="n">
        <x:v>2023</x:v>
      </x:c>
      <x:c r="K607" s="3" t="str">
        <x:v>2.4 G LEADER</x:v>
      </x:c>
      <x:c r="L607" s="3" t="str">
        <x:v>2.4 G LEADER</x:v>
      </x:c>
      <x:c r="M607" s="22"/>
      <x:c r="N607" s="22"/>
      <x:c r="O607" s="22"/>
      <x:c r="P607" s="3" t="str">
        <x:v>未掲載</x:v>
      </x:c>
      <x:c r="Q607" s="3" t="str">
        <x:v>未取得</x:v>
      </x:c>
      <x:c r="R607" s="3" t="str">
        <x:v>Unknown</x:v>
      </x:c>
      <x:c r="S607" s="3" t="str">
        <x:v>不明</x:v>
      </x:c>
      <x:c r="T607" s="3" t="str">
        <x:v>15-ปัจจุบัน</x:v>
      </x:c>
      <x:c r="U607" s="28" t="n">
        <x:v>969000</x:v>
      </x:c>
      <x:c r="V607" s="28" t="n">
        <x:v>1375000</x:v>
      </x:c>
      <x:c r="W607" s="3" t="str">
        <x:v>事故・水没・SOH・保証残は未確認</x:v>
      </x:c>
      <x:c r="X607" s="3" t="str">
        <x:v>掲載中・在庫未確認</x:v>
      </x:c>
      <x:c r="Y607" s="3" t="str"/>
      <x:c r="Z607" s="27" t="str">
        <x:v>https://www.taladrod.com/w40/icar/cardet.aspx?cid=2915628</x:v>
      </x:c>
      <x:c r="AA607" s="3" t="str">
        <x:v>Taladrod個別広告ID／Carsome在庫ID</x:v>
      </x:c>
      <x:c r="AB607" s="3" t="str">
        <x:v>車台番号未取得／サイト間重複は未判定</x:v>
      </x:c>
      <x:c r="AC607" s="3" t="str">
        <x:v>税込区分未確認（一覧表示額）</x:v>
      </x:c>
      <x:c r="AD607" s="3" t="str"/>
      <x:c r="AE607" s="29" t="str">
        <x:f>""</x:f>
      </x:c>
      <x:c r="AF607" s="30" t="str">
        <x:f>IF(ISNUMBER(AE607),U607/AE607,"")</x:f>
      </x:c>
      <x:c r="AG607" s="29" t="str">
        <x:f>""</x:f>
      </x:c>
      <x:c r="AH607" s="30" t="str">
        <x:f>IF(ISNUMBER(AG607),U607/AG607,"")</x:f>
      </x:c>
      <x:c r="AI607" s="3" t="str">
        <x:v>同年式・グレードの検証済み当時価格なし／登録年混在</x:v>
      </x:c>
      <x:c r="AJ607" s="3" t="str">
        <x:v>一覧価格/年式のみ</x:v>
      </x:c>
      <x:c r="AK607" s="3" t="str">
        <x:v>一覧の表示価格。年式は掲載年式。</x:v>
      </x:c>
      <x:c r="AL607" s="31" t="n">
        <x:f>IF(AND(J607&lt;='分析方法'!$B$7,OR(ISBLANK(O607),O607&gt;='分析方法'!$B$8),X607&lt;&gt;"売却済み表示"),1,0)</x:f>
        <x:v>1</x:v>
      </x:c>
      <x:c r="AM607" s="32" t="n">
        <x:f>IF(AL607=1,U607,"")</x:f>
        <x:v>969000</x:v>
      </x:c>
      <x:c r="AN607" s="33" t="str">
        <x:f>IF(AL607=1,AF607,"")</x:f>
      </x:c>
      <x:c r="AO607" s="31" t="n">
        <x:f>'分析方法'!$B$6-J607</x:f>
        <x:v>3</x:v>
      </x:c>
      <x:c r="AP607" s="3"/>
    </x:row>
    <x:row r="608" ht="22" customHeight="1">
      <x:c r="A608" s="3" t="str">
        <x:v>T2917008</x:v>
      </x:c>
      <x:c r="B608" s="7" t="d">
        <x:v>2026-10-08T00:00:00.000Z</x:v>
      </x:c>
      <x:c r="C608" s="3" t="str">
        <x:v>Taladrod</x:v>
      </x:c>
      <x:c r="D608" s="3" t="str">
        <x:v>Toyota</x:v>
      </x:c>
      <x:c r="E608" s="3" t="str">
        <x:v>日本</x:v>
      </x:c>
      <x:c r="F608" s="3" t="str">
        <x:v>Fortuner</x:v>
      </x:c>
      <x:c r="G608" s="3" t="str">
        <x:v>ICE</x:v>
      </x:c>
      <x:c r="H608" s="3" t="str">
        <x:v>SUV</x:v>
      </x:c>
      <x:c r="I608" s="3" t="str"/>
      <x:c r="J608" s="3" t="n">
        <x:v>2023</x:v>
      </x:c>
      <x:c r="K608" s="3" t="str">
        <x:v>2.4 G LEADER</x:v>
      </x:c>
      <x:c r="L608" s="3" t="str">
        <x:v>2.4 G LEADER</x:v>
      </x:c>
      <x:c r="M608" s="22"/>
      <x:c r="N608" s="22"/>
      <x:c r="O608" s="22"/>
      <x:c r="P608" s="3" t="str">
        <x:v>未掲載</x:v>
      </x:c>
      <x:c r="Q608" s="3" t="str">
        <x:v>未取得</x:v>
      </x:c>
      <x:c r="R608" s="3" t="str">
        <x:v>Unknown</x:v>
      </x:c>
      <x:c r="S608" s="3" t="str">
        <x:v>不明</x:v>
      </x:c>
      <x:c r="T608" s="3" t="str">
        <x:v>15-ปัจจุบัน</x:v>
      </x:c>
      <x:c r="U608" s="28" t="n">
        <x:v>849000</x:v>
      </x:c>
      <x:c r="V608" s="28" t="n">
        <x:v>1375000</x:v>
      </x:c>
      <x:c r="W608" s="3" t="str">
        <x:v>事故・水没・SOH・保証残は未確認</x:v>
      </x:c>
      <x:c r="X608" s="3" t="str">
        <x:v>掲載中・在庫未確認</x:v>
      </x:c>
      <x:c r="Y608" s="3" t="str"/>
      <x:c r="Z608" s="27" t="str">
        <x:v>https://www.taladrod.com/w40/icar/cardet.aspx?cid=2917008</x:v>
      </x:c>
      <x:c r="AA608" s="3" t="str">
        <x:v>Taladrod個別広告ID／Carsome在庫ID</x:v>
      </x:c>
      <x:c r="AB608" s="3" t="str">
        <x:v>車台番号未取得／サイト間重複は未判定</x:v>
      </x:c>
      <x:c r="AC608" s="3" t="str">
        <x:v>税込区分未確認（一覧表示額）</x:v>
      </x:c>
      <x:c r="AD608" s="3" t="str"/>
      <x:c r="AE608" s="29" t="str">
        <x:f>""</x:f>
      </x:c>
      <x:c r="AF608" s="30" t="str">
        <x:f>IF(ISNUMBER(AE608),U608/AE608,"")</x:f>
      </x:c>
      <x:c r="AG608" s="29" t="str">
        <x:f>""</x:f>
      </x:c>
      <x:c r="AH608" s="30" t="str">
        <x:f>IF(ISNUMBER(AG608),U608/AG608,"")</x:f>
      </x:c>
      <x:c r="AI608" s="3" t="str">
        <x:v>同年式・グレードの検証済み当時価格なし／登録年混在</x:v>
      </x:c>
      <x:c r="AJ608" s="3" t="str">
        <x:v>一覧価格/年式のみ</x:v>
      </x:c>
      <x:c r="AK608" s="3" t="str">
        <x:v>一覧の表示価格。年式は掲載年式。</x:v>
      </x:c>
      <x:c r="AL608" s="31" t="n">
        <x:f>IF(AND(J608&lt;='分析方法'!$B$7,OR(ISBLANK(O608),O608&gt;='分析方法'!$B$8),X608&lt;&gt;"売却済み表示"),1,0)</x:f>
        <x:v>1</x:v>
      </x:c>
      <x:c r="AM608" s="32" t="n">
        <x:f>IF(AL608=1,U608,"")</x:f>
        <x:v>849000</x:v>
      </x:c>
      <x:c r="AN608" s="33" t="str">
        <x:f>IF(AL608=1,AF608,"")</x:f>
      </x:c>
      <x:c r="AO608" s="31" t="n">
        <x:f>'分析方法'!$B$6-J608</x:f>
        <x:v>3</x:v>
      </x:c>
      <x:c r="AP608" s="3"/>
    </x:row>
    <x:row r="609" ht="22" customHeight="1">
      <x:c r="A609" s="3" t="str">
        <x:v>T2918271</x:v>
      </x:c>
      <x:c r="B609" s="7" t="d">
        <x:v>2026-10-08T00:00:00.000Z</x:v>
      </x:c>
      <x:c r="C609" s="3" t="str">
        <x:v>Taladrod</x:v>
      </x:c>
      <x:c r="D609" s="3" t="str">
        <x:v>Toyota</x:v>
      </x:c>
      <x:c r="E609" s="3" t="str">
        <x:v>日本</x:v>
      </x:c>
      <x:c r="F609" s="3" t="str">
        <x:v>Fortuner</x:v>
      </x:c>
      <x:c r="G609" s="3" t="str">
        <x:v>ICE</x:v>
      </x:c>
      <x:c r="H609" s="3" t="str">
        <x:v>SUV</x:v>
      </x:c>
      <x:c r="I609" s="3" t="str"/>
      <x:c r="J609" s="3" t="n">
        <x:v>2023</x:v>
      </x:c>
      <x:c r="K609" s="3" t="str">
        <x:v>2.4 G LEADER</x:v>
      </x:c>
      <x:c r="L609" s="3" t="str">
        <x:v>2.4 G LEADER</x:v>
      </x:c>
      <x:c r="M609" s="22"/>
      <x:c r="N609" s="22"/>
      <x:c r="O609" s="22"/>
      <x:c r="P609" s="3" t="str">
        <x:v>未掲載</x:v>
      </x:c>
      <x:c r="Q609" s="3" t="str">
        <x:v>未取得</x:v>
      </x:c>
      <x:c r="R609" s="3" t="str">
        <x:v>Unknown</x:v>
      </x:c>
      <x:c r="S609" s="3" t="str">
        <x:v>不明</x:v>
      </x:c>
      <x:c r="T609" s="3" t="str">
        <x:v>15-ปัจจุบัน</x:v>
      </x:c>
      <x:c r="U609" s="28" t="n">
        <x:v>829000</x:v>
      </x:c>
      <x:c r="V609" s="28" t="n">
        <x:v>1375000</x:v>
      </x:c>
      <x:c r="W609" s="3" t="str">
        <x:v>事故・水没・SOH・保証残は未確認</x:v>
      </x:c>
      <x:c r="X609" s="3" t="str">
        <x:v>掲載中・在庫未確認</x:v>
      </x:c>
      <x:c r="Y609" s="3" t="str"/>
      <x:c r="Z609" s="27" t="str">
        <x:v>https://www.taladrod.com/w40/icar/cardet.aspx?cid=2918271</x:v>
      </x:c>
      <x:c r="AA609" s="3" t="str">
        <x:v>Taladrod個別広告ID／Carsome在庫ID</x:v>
      </x:c>
      <x:c r="AB609" s="3" t="str">
        <x:v>車台番号未取得／サイト間重複は未判定</x:v>
      </x:c>
      <x:c r="AC609" s="3" t="str">
        <x:v>税込区分未確認（一覧表示額）</x:v>
      </x:c>
      <x:c r="AD609" s="3" t="str"/>
      <x:c r="AE609" s="29" t="str">
        <x:f>""</x:f>
      </x:c>
      <x:c r="AF609" s="30" t="str">
        <x:f>IF(ISNUMBER(AE609),U609/AE609,"")</x:f>
      </x:c>
      <x:c r="AG609" s="29" t="str">
        <x:f>""</x:f>
      </x:c>
      <x:c r="AH609" s="30" t="str">
        <x:f>IF(ISNUMBER(AG609),U609/AG609,"")</x:f>
      </x:c>
      <x:c r="AI609" s="3" t="str">
        <x:v>同年式・グレードの検証済み当時価格なし／登録年混在</x:v>
      </x:c>
      <x:c r="AJ609" s="3" t="str">
        <x:v>一覧価格/年式のみ</x:v>
      </x:c>
      <x:c r="AK609" s="3" t="str">
        <x:v>一覧の表示価格。年式は掲載年式。</x:v>
      </x:c>
      <x:c r="AL609" s="31" t="n">
        <x:f>IF(AND(J609&lt;='分析方法'!$B$7,OR(ISBLANK(O609),O609&gt;='分析方法'!$B$8),X609&lt;&gt;"売却済み表示"),1,0)</x:f>
        <x:v>1</x:v>
      </x:c>
      <x:c r="AM609" s="32" t="n">
        <x:f>IF(AL609=1,U609,"")</x:f>
        <x:v>829000</x:v>
      </x:c>
      <x:c r="AN609" s="33" t="str">
        <x:f>IF(AL609=1,AF609,"")</x:f>
      </x:c>
      <x:c r="AO609" s="31" t="n">
        <x:f>'分析方法'!$B$6-J609</x:f>
        <x:v>3</x:v>
      </x:c>
      <x:c r="AP609" s="3"/>
    </x:row>
    <x:row r="610" ht="22" customHeight="1">
      <x:c r="A610" s="3" t="str">
        <x:v>T2919362</x:v>
      </x:c>
      <x:c r="B610" s="7" t="d">
        <x:v>2026-10-08T00:00:00.000Z</x:v>
      </x:c>
      <x:c r="C610" s="3" t="str">
        <x:v>Taladrod</x:v>
      </x:c>
      <x:c r="D610" s="3" t="str">
        <x:v>Toyota</x:v>
      </x:c>
      <x:c r="E610" s="3" t="str">
        <x:v>日本</x:v>
      </x:c>
      <x:c r="F610" s="3" t="str">
        <x:v>Fortuner</x:v>
      </x:c>
      <x:c r="G610" s="3" t="str">
        <x:v>ICE</x:v>
      </x:c>
      <x:c r="H610" s="3" t="str">
        <x:v>SUV</x:v>
      </x:c>
      <x:c r="I610" s="3" t="str"/>
      <x:c r="J610" s="3" t="n">
        <x:v>2023</x:v>
      </x:c>
      <x:c r="K610" s="3" t="str">
        <x:v>2.4 G LEADER</x:v>
      </x:c>
      <x:c r="L610" s="3" t="str">
        <x:v>2.4 G LEADER</x:v>
      </x:c>
      <x:c r="M610" s="22"/>
      <x:c r="N610" s="22"/>
      <x:c r="O610" s="22"/>
      <x:c r="P610" s="3" t="str">
        <x:v>未掲載</x:v>
      </x:c>
      <x:c r="Q610" s="3" t="str">
        <x:v>未取得</x:v>
      </x:c>
      <x:c r="R610" s="3" t="str">
        <x:v>Unknown</x:v>
      </x:c>
      <x:c r="S610" s="3" t="str">
        <x:v>不明</x:v>
      </x:c>
      <x:c r="T610" s="3" t="str">
        <x:v>15-ปัจจุบัน</x:v>
      </x:c>
      <x:c r="U610" s="28" t="n">
        <x:v>844000</x:v>
      </x:c>
      <x:c r="V610" s="28" t="n">
        <x:v>1375000</x:v>
      </x:c>
      <x:c r="W610" s="3" t="str">
        <x:v>事故・水没・SOH・保証残は未確認</x:v>
      </x:c>
      <x:c r="X610" s="3" t="str">
        <x:v>掲載中・在庫未確認</x:v>
      </x:c>
      <x:c r="Y610" s="3" t="str"/>
      <x:c r="Z610" s="27" t="str">
        <x:v>https://www.taladrod.com/w40/icar/cardet.aspx?cid=2919362</x:v>
      </x:c>
      <x:c r="AA610" s="3" t="str">
        <x:v>Taladrod個別広告ID／Carsome在庫ID</x:v>
      </x:c>
      <x:c r="AB610" s="3" t="str">
        <x:v>車台番号未取得／サイト間重複は未判定</x:v>
      </x:c>
      <x:c r="AC610" s="3" t="str">
        <x:v>税込区分未確認（一覧表示額）</x:v>
      </x:c>
      <x:c r="AD610" s="3" t="str"/>
      <x:c r="AE610" s="29" t="str">
        <x:f>""</x:f>
      </x:c>
      <x:c r="AF610" s="30" t="str">
        <x:f>IF(ISNUMBER(AE610),U610/AE610,"")</x:f>
      </x:c>
      <x:c r="AG610" s="29" t="str">
        <x:f>""</x:f>
      </x:c>
      <x:c r="AH610" s="30" t="str">
        <x:f>IF(ISNUMBER(AG610),U610/AG610,"")</x:f>
      </x:c>
      <x:c r="AI610" s="3" t="str">
        <x:v>同年式・グレードの検証済み当時価格なし／登録年混在</x:v>
      </x:c>
      <x:c r="AJ610" s="3" t="str">
        <x:v>一覧価格/年式のみ</x:v>
      </x:c>
      <x:c r="AK610" s="3" t="str">
        <x:v>一覧の表示価格。年式は掲載年式。</x:v>
      </x:c>
      <x:c r="AL610" s="31" t="n">
        <x:f>IF(AND(J610&lt;='分析方法'!$B$7,OR(ISBLANK(O610),O610&gt;='分析方法'!$B$8),X610&lt;&gt;"売却済み表示"),1,0)</x:f>
        <x:v>1</x:v>
      </x:c>
      <x:c r="AM610" s="32" t="n">
        <x:f>IF(AL610=1,U610,"")</x:f>
        <x:v>844000</x:v>
      </x:c>
      <x:c r="AN610" s="33" t="str">
        <x:f>IF(AL610=1,AF610,"")</x:f>
      </x:c>
      <x:c r="AO610" s="31" t="n">
        <x:f>'分析方法'!$B$6-J610</x:f>
        <x:v>3</x:v>
      </x:c>
      <x:c r="AP610" s="3"/>
    </x:row>
    <x:row r="611" ht="22" customHeight="1">
      <x:c r="A611" s="3" t="str">
        <x:v>T2913315</x:v>
      </x:c>
      <x:c r="B611" s="7" t="d">
        <x:v>2026-10-08T00:00:00.000Z</x:v>
      </x:c>
      <x:c r="C611" s="3" t="str">
        <x:v>Taladrod</x:v>
      </x:c>
      <x:c r="D611" s="3" t="str">
        <x:v>Toyota</x:v>
      </x:c>
      <x:c r="E611" s="3" t="str">
        <x:v>日本</x:v>
      </x:c>
      <x:c r="F611" s="3" t="str">
        <x:v>Fortuner</x:v>
      </x:c>
      <x:c r="G611" s="3" t="str">
        <x:v>ICE</x:v>
      </x:c>
      <x:c r="H611" s="3" t="str">
        <x:v>SUV</x:v>
      </x:c>
      <x:c r="I611" s="3" t="str"/>
      <x:c r="J611" s="3" t="n">
        <x:v>2023</x:v>
      </x:c>
      <x:c r="K611" s="3" t="str">
        <x:v>2.4 LEGENDER</x:v>
      </x:c>
      <x:c r="L611" s="3" t="str">
        <x:v>2.4 LEGENDER</x:v>
      </x:c>
      <x:c r="M611" s="22"/>
      <x:c r="N611" s="22"/>
      <x:c r="O611" s="22"/>
      <x:c r="P611" s="3" t="str">
        <x:v>未掲載</x:v>
      </x:c>
      <x:c r="Q611" s="3" t="str">
        <x:v>未取得</x:v>
      </x:c>
      <x:c r="R611" s="3" t="str">
        <x:v>Unknown</x:v>
      </x:c>
      <x:c r="S611" s="3" t="str">
        <x:v>不明</x:v>
      </x:c>
      <x:c r="T611" s="3" t="str">
        <x:v>15-ปัจจุบัน</x:v>
      </x:c>
      <x:c r="U611" s="28" t="n">
        <x:v>888000</x:v>
      </x:c>
      <x:c r="V611" s="28" t="n">
        <x:v>1564000</x:v>
      </x:c>
      <x:c r="W611" s="3" t="str">
        <x:v>事故・水没・SOH・保証残は未確認</x:v>
      </x:c>
      <x:c r="X611" s="3" t="str">
        <x:v>掲載中・在庫未確認</x:v>
      </x:c>
      <x:c r="Y611" s="3" t="str"/>
      <x:c r="Z611" s="27" t="str">
        <x:v>https://www.taladrod.com/w40/icar/cardet.aspx?cid=2913315</x:v>
      </x:c>
      <x:c r="AA611" s="3" t="str">
        <x:v>Taladrod個別広告ID／Carsome在庫ID</x:v>
      </x:c>
      <x:c r="AB611" s="3" t="str">
        <x:v>車台番号未取得／サイト間重複は未判定</x:v>
      </x:c>
      <x:c r="AC611" s="3" t="str">
        <x:v>税込区分未確認（一覧表示額）</x:v>
      </x:c>
      <x:c r="AD611" s="3" t="str"/>
      <x:c r="AE611" s="29" t="str">
        <x:f>""</x:f>
      </x:c>
      <x:c r="AF611" s="30" t="str">
        <x:f>IF(ISNUMBER(AE611),U611/AE611,"")</x:f>
      </x:c>
      <x:c r="AG611" s="29" t="str">
        <x:f>""</x:f>
      </x:c>
      <x:c r="AH611" s="30" t="str">
        <x:f>IF(ISNUMBER(AG611),U611/AG611,"")</x:f>
      </x:c>
      <x:c r="AI611" s="3" t="str">
        <x:v>同年式・グレードの検証済み当時価格なし／登録年混在</x:v>
      </x:c>
      <x:c r="AJ611" s="3" t="str">
        <x:v>一覧価格/年式のみ</x:v>
      </x:c>
      <x:c r="AK611" s="3" t="str">
        <x:v>一覧の表示価格。年式は掲載年式。</x:v>
      </x:c>
      <x:c r="AL611" s="31" t="n">
        <x:f>IF(AND(J611&lt;='分析方法'!$B$7,OR(ISBLANK(O611),O611&gt;='分析方法'!$B$8),X611&lt;&gt;"売却済み表示"),1,0)</x:f>
        <x:v>1</x:v>
      </x:c>
      <x:c r="AM611" s="32" t="n">
        <x:f>IF(AL611=1,U611,"")</x:f>
        <x:v>888000</x:v>
      </x:c>
      <x:c r="AN611" s="33" t="str">
        <x:f>IF(AL611=1,AF611,"")</x:f>
      </x:c>
      <x:c r="AO611" s="31" t="n">
        <x:f>'分析方法'!$B$6-J611</x:f>
        <x:v>3</x:v>
      </x:c>
      <x:c r="AP611" s="3"/>
    </x:row>
    <x:row r="612" ht="22" customHeight="1">
      <x:c r="A612" s="3" t="str">
        <x:v>T2912178</x:v>
      </x:c>
      <x:c r="B612" s="7" t="d">
        <x:v>2026-10-08T00:00:00.000Z</x:v>
      </x:c>
      <x:c r="C612" s="3" t="str">
        <x:v>Taladrod</x:v>
      </x:c>
      <x:c r="D612" s="3" t="str">
        <x:v>Toyota</x:v>
      </x:c>
      <x:c r="E612" s="3" t="str">
        <x:v>日本</x:v>
      </x:c>
      <x:c r="F612" s="3" t="str">
        <x:v>Fortuner</x:v>
      </x:c>
      <x:c r="G612" s="3" t="str">
        <x:v>ICE</x:v>
      </x:c>
      <x:c r="H612" s="3" t="str">
        <x:v>SUV</x:v>
      </x:c>
      <x:c r="I612" s="3" t="str"/>
      <x:c r="J612" s="3" t="n">
        <x:v>2023</x:v>
      </x:c>
      <x:c r="K612" s="3" t="str">
        <x:v>2.4 LEGENDER BLACK TOP</x:v>
      </x:c>
      <x:c r="L612" s="3" t="str">
        <x:v>2.4 LEGENDER BLACK TOP</x:v>
      </x:c>
      <x:c r="M612" s="22"/>
      <x:c r="N612" s="22"/>
      <x:c r="O612" s="22"/>
      <x:c r="P612" s="3" t="str">
        <x:v>未掲載</x:v>
      </x:c>
      <x:c r="Q612" s="3" t="str">
        <x:v>未取得</x:v>
      </x:c>
      <x:c r="R612" s="3" t="str">
        <x:v>Unknown</x:v>
      </x:c>
      <x:c r="S612" s="3" t="str">
        <x:v>不明</x:v>
      </x:c>
      <x:c r="T612" s="3" t="str">
        <x:v>15-ปัจจุบัน</x:v>
      </x:c>
      <x:c r="U612" s="28" t="n">
        <x:v>979000</x:v>
      </x:c>
      <x:c r="V612" s="28" t="n">
        <x:v>1584000</x:v>
      </x:c>
      <x:c r="W612" s="3" t="str">
        <x:v>事故・水没・SOH・保証残は未確認</x:v>
      </x:c>
      <x:c r="X612" s="3" t="str">
        <x:v>掲載中・在庫未確認</x:v>
      </x:c>
      <x:c r="Y612" s="3" t="str"/>
      <x:c r="Z612" s="27" t="str">
        <x:v>https://www.taladrod.com/w40/icar/cardet.aspx?cid=2912178</x:v>
      </x:c>
      <x:c r="AA612" s="3" t="str">
        <x:v>Taladrod個別広告ID／Carsome在庫ID</x:v>
      </x:c>
      <x:c r="AB612" s="3" t="str">
        <x:v>車台番号未取得／サイト間重複は未判定</x:v>
      </x:c>
      <x:c r="AC612" s="3" t="str">
        <x:v>税込区分未確認（一覧表示額）</x:v>
      </x:c>
      <x:c r="AD612" s="3" t="str"/>
      <x:c r="AE612" s="29" t="str">
        <x:f>""</x:f>
      </x:c>
      <x:c r="AF612" s="30" t="str">
        <x:f>IF(ISNUMBER(AE612),U612/AE612,"")</x:f>
      </x:c>
      <x:c r="AG612" s="29" t="str">
        <x:f>""</x:f>
      </x:c>
      <x:c r="AH612" s="30" t="str">
        <x:f>IF(ISNUMBER(AG612),U612/AG612,"")</x:f>
      </x:c>
      <x:c r="AI612" s="3" t="str">
        <x:v>同年式・グレードの検証済み当時価格なし／登録年混在</x:v>
      </x:c>
      <x:c r="AJ612" s="3" t="str">
        <x:v>一覧価格/年式のみ</x:v>
      </x:c>
      <x:c r="AK612" s="3" t="str">
        <x:v>一覧の表示価格。年式は掲載年式。</x:v>
      </x:c>
      <x:c r="AL612" s="31" t="n">
        <x:f>IF(AND(J612&lt;='分析方法'!$B$7,OR(ISBLANK(O612),O612&gt;='分析方法'!$B$8),X612&lt;&gt;"売却済み表示"),1,0)</x:f>
        <x:v>1</x:v>
      </x:c>
      <x:c r="AM612" s="32" t="n">
        <x:f>IF(AL612=1,U612,"")</x:f>
        <x:v>979000</x:v>
      </x:c>
      <x:c r="AN612" s="33" t="str">
        <x:f>IF(AL612=1,AF612,"")</x:f>
      </x:c>
      <x:c r="AO612" s="31" t="n">
        <x:f>'分析方法'!$B$6-J612</x:f>
        <x:v>3</x:v>
      </x:c>
      <x:c r="AP612" s="3"/>
    </x:row>
    <x:row r="613" ht="22" customHeight="1">
      <x:c r="A613" s="3" t="str">
        <x:v>T2925548</x:v>
      </x:c>
      <x:c r="B613" s="7" t="d">
        <x:v>2026-10-08T00:00:00.000Z</x:v>
      </x:c>
      <x:c r="C613" s="3" t="str">
        <x:v>Taladrod</x:v>
      </x:c>
      <x:c r="D613" s="3" t="str">
        <x:v>Toyota</x:v>
      </x:c>
      <x:c r="E613" s="3" t="str">
        <x:v>日本</x:v>
      </x:c>
      <x:c r="F613" s="3" t="str">
        <x:v>Fortuner</x:v>
      </x:c>
      <x:c r="G613" s="3" t="str">
        <x:v>ICE</x:v>
      </x:c>
      <x:c r="H613" s="3" t="str">
        <x:v>SUV</x:v>
      </x:c>
      <x:c r="I613" s="3" t="str"/>
      <x:c r="J613" s="3" t="n">
        <x:v>2023</x:v>
      </x:c>
      <x:c r="K613" s="3" t="str">
        <x:v>2.4 LEGENDER BLACK TOP</x:v>
      </x:c>
      <x:c r="L613" s="3" t="str">
        <x:v>2.4 LEGENDER BLACK TOP</x:v>
      </x:c>
      <x:c r="M613" s="22"/>
      <x:c r="N613" s="22"/>
      <x:c r="O613" s="22"/>
      <x:c r="P613" s="3" t="str">
        <x:v>未掲載</x:v>
      </x:c>
      <x:c r="Q613" s="3" t="str">
        <x:v>未取得</x:v>
      </x:c>
      <x:c r="R613" s="3" t="str">
        <x:v>Unknown</x:v>
      </x:c>
      <x:c r="S613" s="3" t="str">
        <x:v>不明</x:v>
      </x:c>
      <x:c r="T613" s="3" t="str">
        <x:v>15-ปัจจุบัน</x:v>
      </x:c>
      <x:c r="U613" s="28" t="n">
        <x:v>928000</x:v>
      </x:c>
      <x:c r="V613" s="28" t="n">
        <x:v>1584000</x:v>
      </x:c>
      <x:c r="W613" s="3" t="str">
        <x:v>事故・水没・SOH・保証残は未確認</x:v>
      </x:c>
      <x:c r="X613" s="3" t="str">
        <x:v>掲載中・在庫未確認</x:v>
      </x:c>
      <x:c r="Y613" s="3" t="str"/>
      <x:c r="Z613" s="27" t="str">
        <x:v>https://www.taladrod.com/w40/icar/cardet.aspx?cid=2925548</x:v>
      </x:c>
      <x:c r="AA613" s="3" t="str">
        <x:v>Taladrod個別広告ID／Carsome在庫ID</x:v>
      </x:c>
      <x:c r="AB613" s="3" t="str">
        <x:v>車台番号未取得／サイト間重複は未判定</x:v>
      </x:c>
      <x:c r="AC613" s="3" t="str">
        <x:v>税込区分未確認（一覧表示額）</x:v>
      </x:c>
      <x:c r="AD613" s="3" t="str"/>
      <x:c r="AE613" s="29" t="str">
        <x:f>""</x:f>
      </x:c>
      <x:c r="AF613" s="30" t="str">
        <x:f>IF(ISNUMBER(AE613),U613/AE613,"")</x:f>
      </x:c>
      <x:c r="AG613" s="29" t="str">
        <x:f>""</x:f>
      </x:c>
      <x:c r="AH613" s="30" t="str">
        <x:f>IF(ISNUMBER(AG613),U613/AG613,"")</x:f>
      </x:c>
      <x:c r="AI613" s="3" t="str">
        <x:v>同年式・グレードの検証済み当時価格なし／登録年混在</x:v>
      </x:c>
      <x:c r="AJ613" s="3" t="str">
        <x:v>一覧価格/年式のみ</x:v>
      </x:c>
      <x:c r="AK613" s="3" t="str">
        <x:v>一覧の表示価格。年式は掲載年式。</x:v>
      </x:c>
      <x:c r="AL613" s="31" t="n">
        <x:f>IF(AND(J613&lt;='分析方法'!$B$7,OR(ISBLANK(O613),O613&gt;='分析方法'!$B$8),X613&lt;&gt;"売却済み表示"),1,0)</x:f>
        <x:v>1</x:v>
      </x:c>
      <x:c r="AM613" s="32" t="n">
        <x:f>IF(AL613=1,U613,"")</x:f>
        <x:v>928000</x:v>
      </x:c>
      <x:c r="AN613" s="33" t="str">
        <x:f>IF(AL613=1,AF613,"")</x:f>
      </x:c>
      <x:c r="AO613" s="31" t="n">
        <x:f>'分析方法'!$B$6-J613</x:f>
        <x:v>3</x:v>
      </x:c>
      <x:c r="AP613" s="3"/>
    </x:row>
    <x:row r="614" ht="22" customHeight="1">
      <x:c r="A614" s="3" t="str">
        <x:v>T2897316</x:v>
      </x:c>
      <x:c r="B614" s="7" t="d">
        <x:v>2026-10-08T00:00:00.000Z</x:v>
      </x:c>
      <x:c r="C614" s="3" t="str">
        <x:v>Taladrod</x:v>
      </x:c>
      <x:c r="D614" s="3" t="str">
        <x:v>Toyota</x:v>
      </x:c>
      <x:c r="E614" s="3" t="str">
        <x:v>日本</x:v>
      </x:c>
      <x:c r="F614" s="3" t="str">
        <x:v>Fortuner</x:v>
      </x:c>
      <x:c r="G614" s="3" t="str">
        <x:v>ICE</x:v>
      </x:c>
      <x:c r="H614" s="3" t="str">
        <x:v>SUV</x:v>
      </x:c>
      <x:c r="I614" s="3" t="str"/>
      <x:c r="J614" s="3" t="n">
        <x:v>2023</x:v>
      </x:c>
      <x:c r="K614" s="3" t="str">
        <x:v>2.4 V LEADER</x:v>
      </x:c>
      <x:c r="L614" s="3" t="str">
        <x:v>2.4 V LEADER</x:v>
      </x:c>
      <x:c r="M614" s="22"/>
      <x:c r="N614" s="22"/>
      <x:c r="O614" s="22"/>
      <x:c r="P614" s="3" t="str">
        <x:v>未掲載</x:v>
      </x:c>
      <x:c r="Q614" s="3" t="str">
        <x:v>未取得</x:v>
      </x:c>
      <x:c r="R614" s="3" t="str">
        <x:v>Unknown</x:v>
      </x:c>
      <x:c r="S614" s="3" t="str">
        <x:v>不明</x:v>
      </x:c>
      <x:c r="T614" s="3" t="str">
        <x:v>15-ปัจจุบัน</x:v>
      </x:c>
      <x:c r="U614" s="28" t="n">
        <x:v>999000</x:v>
      </x:c>
      <x:c r="V614" s="28" t="n">
        <x:v>1505000</x:v>
      </x:c>
      <x:c r="W614" s="3" t="str">
        <x:v>事故・水没・SOH・保証残は未確認</x:v>
      </x:c>
      <x:c r="X614" s="3" t="str">
        <x:v>掲載中・在庫未確認</x:v>
      </x:c>
      <x:c r="Y614" s="3" t="str"/>
      <x:c r="Z614" s="27" t="str">
        <x:v>https://www.taladrod.com/w40/icar/cardet.aspx?cid=2897316</x:v>
      </x:c>
      <x:c r="AA614" s="3" t="str">
        <x:v>Taladrod個別広告ID／Carsome在庫ID</x:v>
      </x:c>
      <x:c r="AB614" s="3" t="str">
        <x:v>車台番号未取得／サイト間重複は未判定</x:v>
      </x:c>
      <x:c r="AC614" s="3" t="str">
        <x:v>税込区分未確認（一覧表示額）</x:v>
      </x:c>
      <x:c r="AD614" s="3" t="str"/>
      <x:c r="AE614" s="29" t="str">
        <x:f>""</x:f>
      </x:c>
      <x:c r="AF614" s="30" t="str">
        <x:f>IF(ISNUMBER(AE614),U614/AE614,"")</x:f>
      </x:c>
      <x:c r="AG614" s="29" t="str">
        <x:f>""</x:f>
      </x:c>
      <x:c r="AH614" s="30" t="str">
        <x:f>IF(ISNUMBER(AG614),U614/AG614,"")</x:f>
      </x:c>
      <x:c r="AI614" s="3" t="str">
        <x:v>同年式・グレードの検証済み当時価格なし／登録年混在</x:v>
      </x:c>
      <x:c r="AJ614" s="3" t="str">
        <x:v>一覧価格/年式のみ</x:v>
      </x:c>
      <x:c r="AK614" s="3" t="str">
        <x:v>一覧の表示価格。年式は掲載年式。</x:v>
      </x:c>
      <x:c r="AL614" s="31" t="n">
        <x:f>IF(AND(J614&lt;='分析方法'!$B$7,OR(ISBLANK(O614),O614&gt;='分析方法'!$B$8),X614&lt;&gt;"売却済み表示"),1,0)</x:f>
        <x:v>1</x:v>
      </x:c>
      <x:c r="AM614" s="32" t="n">
        <x:f>IF(AL614=1,U614,"")</x:f>
        <x:v>999000</x:v>
      </x:c>
      <x:c r="AN614" s="33" t="str">
        <x:f>IF(AL614=1,AF614,"")</x:f>
      </x:c>
      <x:c r="AO614" s="31" t="n">
        <x:f>'分析方法'!$B$6-J614</x:f>
        <x:v>3</x:v>
      </x:c>
      <x:c r="AP614" s="3"/>
    </x:row>
    <x:row r="615" ht="22" customHeight="1">
      <x:c r="A615" s="3" t="str">
        <x:v>T2901819</x:v>
      </x:c>
      <x:c r="B615" s="7" t="d">
        <x:v>2026-10-08T00:00:00.000Z</x:v>
      </x:c>
      <x:c r="C615" s="3" t="str">
        <x:v>Taladrod</x:v>
      </x:c>
      <x:c r="D615" s="3" t="str">
        <x:v>Toyota</x:v>
      </x:c>
      <x:c r="E615" s="3" t="str">
        <x:v>日本</x:v>
      </x:c>
      <x:c r="F615" s="3" t="str">
        <x:v>Fortuner</x:v>
      </x:c>
      <x:c r="G615" s="3" t="str">
        <x:v>ICE</x:v>
      </x:c>
      <x:c r="H615" s="3" t="str">
        <x:v>SUV</x:v>
      </x:c>
      <x:c r="I615" s="3" t="str"/>
      <x:c r="J615" s="3" t="n">
        <x:v>2023</x:v>
      </x:c>
      <x:c r="K615" s="3" t="str">
        <x:v>2.4 V LEADER</x:v>
      </x:c>
      <x:c r="L615" s="3" t="str">
        <x:v>2.4 V LEADER</x:v>
      </x:c>
      <x:c r="M615" s="22"/>
      <x:c r="N615" s="22"/>
      <x:c r="O615" s="22"/>
      <x:c r="P615" s="3" t="str">
        <x:v>未掲載</x:v>
      </x:c>
      <x:c r="Q615" s="3" t="str">
        <x:v>未取得</x:v>
      </x:c>
      <x:c r="R615" s="3" t="str">
        <x:v>Unknown</x:v>
      </x:c>
      <x:c r="S615" s="3" t="str">
        <x:v>不明</x:v>
      </x:c>
      <x:c r="T615" s="3" t="str">
        <x:v>15-ปัจจุบัน</x:v>
      </x:c>
      <x:c r="U615" s="28" t="n">
        <x:v>959000</x:v>
      </x:c>
      <x:c r="V615" s="28" t="n">
        <x:v>1505000</x:v>
      </x:c>
      <x:c r="W615" s="3" t="str">
        <x:v>事故・水没・SOH・保証残は未確認</x:v>
      </x:c>
      <x:c r="X615" s="3" t="str">
        <x:v>掲載中・在庫未確認</x:v>
      </x:c>
      <x:c r="Y615" s="3" t="str"/>
      <x:c r="Z615" s="27" t="str">
        <x:v>https://www.taladrod.com/w40/icar/cardet.aspx?cid=2901819</x:v>
      </x:c>
      <x:c r="AA615" s="3" t="str">
        <x:v>Taladrod個別広告ID／Carsome在庫ID</x:v>
      </x:c>
      <x:c r="AB615" s="3" t="str">
        <x:v>車台番号未取得／サイト間重複は未判定</x:v>
      </x:c>
      <x:c r="AC615" s="3" t="str">
        <x:v>税込区分未確認（一覧表示額）</x:v>
      </x:c>
      <x:c r="AD615" s="3" t="str"/>
      <x:c r="AE615" s="29" t="str">
        <x:f>""</x:f>
      </x:c>
      <x:c r="AF615" s="30" t="str">
        <x:f>IF(ISNUMBER(AE615),U615/AE615,"")</x:f>
      </x:c>
      <x:c r="AG615" s="29" t="str">
        <x:f>""</x:f>
      </x:c>
      <x:c r="AH615" s="30" t="str">
        <x:f>IF(ISNUMBER(AG615),U615/AG615,"")</x:f>
      </x:c>
      <x:c r="AI615" s="3" t="str">
        <x:v>同年式・グレードの検証済み当時価格なし／登録年混在</x:v>
      </x:c>
      <x:c r="AJ615" s="3" t="str">
        <x:v>一覧価格/年式のみ</x:v>
      </x:c>
      <x:c r="AK615" s="3" t="str">
        <x:v>一覧の表示価格。年式は掲載年式。</x:v>
      </x:c>
      <x:c r="AL615" s="31" t="n">
        <x:f>IF(AND(J615&lt;='分析方法'!$B$7,OR(ISBLANK(O615),O615&gt;='分析方法'!$B$8),X615&lt;&gt;"売却済み表示"),1,0)</x:f>
        <x:v>1</x:v>
      </x:c>
      <x:c r="AM615" s="32" t="n">
        <x:f>IF(AL615=1,U615,"")</x:f>
        <x:v>959000</x:v>
      </x:c>
      <x:c r="AN615" s="33" t="str">
        <x:f>IF(AL615=1,AF615,"")</x:f>
      </x:c>
      <x:c r="AO615" s="31" t="n">
        <x:f>'分析方法'!$B$6-J615</x:f>
        <x:v>3</x:v>
      </x:c>
      <x:c r="AP615" s="3"/>
    </x:row>
    <x:row r="616" ht="22" customHeight="1">
      <x:c r="A616" s="3" t="str">
        <x:v>T2911696</x:v>
      </x:c>
      <x:c r="B616" s="7" t="d">
        <x:v>2026-10-08T00:00:00.000Z</x:v>
      </x:c>
      <x:c r="C616" s="3" t="str">
        <x:v>Taladrod</x:v>
      </x:c>
      <x:c r="D616" s="3" t="str">
        <x:v>Toyota</x:v>
      </x:c>
      <x:c r="E616" s="3" t="str">
        <x:v>日本</x:v>
      </x:c>
      <x:c r="F616" s="3" t="str">
        <x:v>Fortuner</x:v>
      </x:c>
      <x:c r="G616" s="3" t="str">
        <x:v>ICE</x:v>
      </x:c>
      <x:c r="H616" s="3" t="str">
        <x:v>SUV</x:v>
      </x:c>
      <x:c r="I616" s="3" t="str"/>
      <x:c r="J616" s="3" t="n">
        <x:v>2023</x:v>
      </x:c>
      <x:c r="K616" s="3" t="str">
        <x:v>2.4 V LEADER</x:v>
      </x:c>
      <x:c r="L616" s="3" t="str">
        <x:v>2.4 V LEADER</x:v>
      </x:c>
      <x:c r="M616" s="22"/>
      <x:c r="N616" s="22"/>
      <x:c r="O616" s="22"/>
      <x:c r="P616" s="3" t="str">
        <x:v>未掲載</x:v>
      </x:c>
      <x:c r="Q616" s="3" t="str">
        <x:v>未取得</x:v>
      </x:c>
      <x:c r="R616" s="3" t="str">
        <x:v>Unknown</x:v>
      </x:c>
      <x:c r="S616" s="3" t="str">
        <x:v>不明</x:v>
      </x:c>
      <x:c r="T616" s="3" t="str">
        <x:v>15-ปัจจุบัน</x:v>
      </x:c>
      <x:c r="U616" s="28" t="n">
        <x:v>999000</x:v>
      </x:c>
      <x:c r="V616" s="28" t="n">
        <x:v>1505000</x:v>
      </x:c>
      <x:c r="W616" s="3" t="str">
        <x:v>事故・水没・SOH・保証残は未確認</x:v>
      </x:c>
      <x:c r="X616" s="3" t="str">
        <x:v>掲載中・在庫未確認</x:v>
      </x:c>
      <x:c r="Y616" s="3" t="str"/>
      <x:c r="Z616" s="27" t="str">
        <x:v>https://www.taladrod.com/w40/icar/cardet.aspx?cid=2911696</x:v>
      </x:c>
      <x:c r="AA616" s="3" t="str">
        <x:v>Taladrod個別広告ID／Carsome在庫ID</x:v>
      </x:c>
      <x:c r="AB616" s="3" t="str">
        <x:v>車台番号未取得／サイト間重複は未判定</x:v>
      </x:c>
      <x:c r="AC616" s="3" t="str">
        <x:v>税込区分未確認（一覧表示額）</x:v>
      </x:c>
      <x:c r="AD616" s="3" t="str"/>
      <x:c r="AE616" s="29" t="str">
        <x:f>""</x:f>
      </x:c>
      <x:c r="AF616" s="30" t="str">
        <x:f>IF(ISNUMBER(AE616),U616/AE616,"")</x:f>
      </x:c>
      <x:c r="AG616" s="29" t="str">
        <x:f>""</x:f>
      </x:c>
      <x:c r="AH616" s="30" t="str">
        <x:f>IF(ISNUMBER(AG616),U616/AG616,"")</x:f>
      </x:c>
      <x:c r="AI616" s="3" t="str">
        <x:v>同年式・グレードの検証済み当時価格なし／登録年混在</x:v>
      </x:c>
      <x:c r="AJ616" s="3" t="str">
        <x:v>一覧価格/年式のみ</x:v>
      </x:c>
      <x:c r="AK616" s="3" t="str">
        <x:v>一覧の表示価格。年式は掲載年式。</x:v>
      </x:c>
      <x:c r="AL616" s="31" t="n">
        <x:f>IF(AND(J616&lt;='分析方法'!$B$7,OR(ISBLANK(O616),O616&gt;='分析方法'!$B$8),X616&lt;&gt;"売却済み表示"),1,0)</x:f>
        <x:v>1</x:v>
      </x:c>
      <x:c r="AM616" s="32" t="n">
        <x:f>IF(AL616=1,U616,"")</x:f>
        <x:v>999000</x:v>
      </x:c>
      <x:c r="AN616" s="33" t="str">
        <x:f>IF(AL616=1,AF616,"")</x:f>
      </x:c>
      <x:c r="AO616" s="31" t="n">
        <x:f>'分析方法'!$B$6-J616</x:f>
        <x:v>3</x:v>
      </x:c>
      <x:c r="AP616" s="3"/>
    </x:row>
    <x:row r="617" ht="22" customHeight="1">
      <x:c r="A617" s="3" t="str">
        <x:v>T2919359</x:v>
      </x:c>
      <x:c r="B617" s="7" t="d">
        <x:v>2026-10-08T00:00:00.000Z</x:v>
      </x:c>
      <x:c r="C617" s="3" t="str">
        <x:v>Taladrod</x:v>
      </x:c>
      <x:c r="D617" s="3" t="str">
        <x:v>Toyota</x:v>
      </x:c>
      <x:c r="E617" s="3" t="str">
        <x:v>日本</x:v>
      </x:c>
      <x:c r="F617" s="3" t="str">
        <x:v>Fortuner</x:v>
      </x:c>
      <x:c r="G617" s="3" t="str">
        <x:v>ICE</x:v>
      </x:c>
      <x:c r="H617" s="3" t="str">
        <x:v>SUV</x:v>
      </x:c>
      <x:c r="I617" s="3" t="str"/>
      <x:c r="J617" s="3" t="n">
        <x:v>2023</x:v>
      </x:c>
      <x:c r="K617" s="3" t="str">
        <x:v>2.4 V LEADER</x:v>
      </x:c>
      <x:c r="L617" s="3" t="str">
        <x:v>2.4 V LEADER</x:v>
      </x:c>
      <x:c r="M617" s="22"/>
      <x:c r="N617" s="22"/>
      <x:c r="O617" s="22"/>
      <x:c r="P617" s="3" t="str">
        <x:v>未掲載</x:v>
      </x:c>
      <x:c r="Q617" s="3" t="str">
        <x:v>未取得</x:v>
      </x:c>
      <x:c r="R617" s="3" t="str">
        <x:v>Unknown</x:v>
      </x:c>
      <x:c r="S617" s="3" t="str">
        <x:v>不明</x:v>
      </x:c>
      <x:c r="T617" s="3" t="str">
        <x:v>15-ปัจจุบัน</x:v>
      </x:c>
      <x:c r="U617" s="28" t="n">
        <x:v>999000</x:v>
      </x:c>
      <x:c r="V617" s="28" t="n">
        <x:v>1505000</x:v>
      </x:c>
      <x:c r="W617" s="3" t="str">
        <x:v>事故・水没・SOH・保証残は未確認</x:v>
      </x:c>
      <x:c r="X617" s="3" t="str">
        <x:v>掲載中・在庫未確認</x:v>
      </x:c>
      <x:c r="Y617" s="3" t="str"/>
      <x:c r="Z617" s="27" t="str">
        <x:v>https://www.taladrod.com/w40/icar/cardet.aspx?cid=2919359</x:v>
      </x:c>
      <x:c r="AA617" s="3" t="str">
        <x:v>Taladrod個別広告ID／Carsome在庫ID</x:v>
      </x:c>
      <x:c r="AB617" s="3" t="str">
        <x:v>車台番号未取得／サイト間重複は未判定</x:v>
      </x:c>
      <x:c r="AC617" s="3" t="str">
        <x:v>税込区分未確認（一覧表示額）</x:v>
      </x:c>
      <x:c r="AD617" s="3" t="str"/>
      <x:c r="AE617" s="29" t="str">
        <x:f>""</x:f>
      </x:c>
      <x:c r="AF617" s="30" t="str">
        <x:f>IF(ISNUMBER(AE617),U617/AE617,"")</x:f>
      </x:c>
      <x:c r="AG617" s="29" t="str">
        <x:f>""</x:f>
      </x:c>
      <x:c r="AH617" s="30" t="str">
        <x:f>IF(ISNUMBER(AG617),U617/AG617,"")</x:f>
      </x:c>
      <x:c r="AI617" s="3" t="str">
        <x:v>同年式・グレードの検証済み当時価格なし／登録年混在</x:v>
      </x:c>
      <x:c r="AJ617" s="3" t="str">
        <x:v>一覧価格/年式のみ</x:v>
      </x:c>
      <x:c r="AK617" s="3" t="str">
        <x:v>一覧の表示価格。年式は掲載年式。</x:v>
      </x:c>
      <x:c r="AL617" s="31" t="n">
        <x:f>IF(AND(J617&lt;='分析方法'!$B$7,OR(ISBLANK(O617),O617&gt;='分析方法'!$B$8),X617&lt;&gt;"売却済み表示"),1,0)</x:f>
        <x:v>1</x:v>
      </x:c>
      <x:c r="AM617" s="32" t="n">
        <x:f>IF(AL617=1,U617,"")</x:f>
        <x:v>999000</x:v>
      </x:c>
      <x:c r="AN617" s="33" t="str">
        <x:f>IF(AL617=1,AF617,"")</x:f>
      </x:c>
      <x:c r="AO617" s="31" t="n">
        <x:f>'分析方法'!$B$6-J617</x:f>
        <x:v>3</x:v>
      </x:c>
      <x:c r="AP617" s="3"/>
    </x:row>
    <x:row r="618" ht="22" customHeight="1">
      <x:c r="A618" s="3" t="str">
        <x:v>T2920747</x:v>
      </x:c>
      <x:c r="B618" s="7" t="d">
        <x:v>2026-10-08T00:00:00.000Z</x:v>
      </x:c>
      <x:c r="C618" s="3" t="str">
        <x:v>Taladrod</x:v>
      </x:c>
      <x:c r="D618" s="3" t="str">
        <x:v>Toyota</x:v>
      </x:c>
      <x:c r="E618" s="3" t="str">
        <x:v>日本</x:v>
      </x:c>
      <x:c r="F618" s="3" t="str">
        <x:v>Fortuner</x:v>
      </x:c>
      <x:c r="G618" s="3" t="str">
        <x:v>ICE</x:v>
      </x:c>
      <x:c r="H618" s="3" t="str">
        <x:v>SUV</x:v>
      </x:c>
      <x:c r="I618" s="3" t="str"/>
      <x:c r="J618" s="3" t="n">
        <x:v>2023</x:v>
      </x:c>
      <x:c r="K618" s="3" t="str">
        <x:v>2.4 V LEADER</x:v>
      </x:c>
      <x:c r="L618" s="3" t="str">
        <x:v>2.4 V LEADER</x:v>
      </x:c>
      <x:c r="M618" s="22"/>
      <x:c r="N618" s="22"/>
      <x:c r="O618" s="22"/>
      <x:c r="P618" s="3" t="str">
        <x:v>未掲載</x:v>
      </x:c>
      <x:c r="Q618" s="3" t="str">
        <x:v>未取得</x:v>
      </x:c>
      <x:c r="R618" s="3" t="str">
        <x:v>Unknown</x:v>
      </x:c>
      <x:c r="S618" s="3" t="str">
        <x:v>不明</x:v>
      </x:c>
      <x:c r="T618" s="3" t="str">
        <x:v>15-ปัจจุบัน</x:v>
      </x:c>
      <x:c r="U618" s="28" t="n">
        <x:v>929000</x:v>
      </x:c>
      <x:c r="V618" s="28" t="n">
        <x:v>1505000</x:v>
      </x:c>
      <x:c r="W618" s="3" t="str">
        <x:v>事故・水没・SOH・保証残は未確認</x:v>
      </x:c>
      <x:c r="X618" s="3" t="str">
        <x:v>掲載中・在庫未確認</x:v>
      </x:c>
      <x:c r="Y618" s="3" t="str"/>
      <x:c r="Z618" s="27" t="str">
        <x:v>https://www.taladrod.com/w40/icar/cardet.aspx?cid=2920747</x:v>
      </x:c>
      <x:c r="AA618" s="3" t="str">
        <x:v>Taladrod個別広告ID／Carsome在庫ID</x:v>
      </x:c>
      <x:c r="AB618" s="3" t="str">
        <x:v>車台番号未取得／サイト間重複は未判定</x:v>
      </x:c>
      <x:c r="AC618" s="3" t="str">
        <x:v>税込区分未確認（一覧表示額）</x:v>
      </x:c>
      <x:c r="AD618" s="3" t="str"/>
      <x:c r="AE618" s="29" t="str">
        <x:f>""</x:f>
      </x:c>
      <x:c r="AF618" s="30" t="str">
        <x:f>IF(ISNUMBER(AE618),U618/AE618,"")</x:f>
      </x:c>
      <x:c r="AG618" s="29" t="str">
        <x:f>""</x:f>
      </x:c>
      <x:c r="AH618" s="30" t="str">
        <x:f>IF(ISNUMBER(AG618),U618/AG618,"")</x:f>
      </x:c>
      <x:c r="AI618" s="3" t="str">
        <x:v>同年式・グレードの検証済み当時価格なし／登録年混在</x:v>
      </x:c>
      <x:c r="AJ618" s="3" t="str">
        <x:v>一覧価格/年式のみ</x:v>
      </x:c>
      <x:c r="AK618" s="3" t="str">
        <x:v>一覧の表示価格。年式は掲載年式。</x:v>
      </x:c>
      <x:c r="AL618" s="31" t="n">
        <x:f>IF(AND(J618&lt;='分析方法'!$B$7,OR(ISBLANK(O618),O618&gt;='分析方法'!$B$8),X618&lt;&gt;"売却済み表示"),1,0)</x:f>
        <x:v>1</x:v>
      </x:c>
      <x:c r="AM618" s="32" t="n">
        <x:f>IF(AL618=1,U618,"")</x:f>
        <x:v>929000</x:v>
      </x:c>
      <x:c r="AN618" s="33" t="str">
        <x:f>IF(AL618=1,AF618,"")</x:f>
      </x:c>
      <x:c r="AO618" s="31" t="n">
        <x:f>'分析方法'!$B$6-J618</x:f>
        <x:v>3</x:v>
      </x:c>
      <x:c r="AP618" s="3"/>
    </x:row>
    <x:row r="619" ht="22" customHeight="1">
      <x:c r="A619" s="3" t="str">
        <x:v>T2923940</x:v>
      </x:c>
      <x:c r="B619" s="7" t="d">
        <x:v>2026-10-08T00:00:00.000Z</x:v>
      </x:c>
      <x:c r="C619" s="3" t="str">
        <x:v>Taladrod</x:v>
      </x:c>
      <x:c r="D619" s="3" t="str">
        <x:v>Toyota</x:v>
      </x:c>
      <x:c r="E619" s="3" t="str">
        <x:v>日本</x:v>
      </x:c>
      <x:c r="F619" s="3" t="str">
        <x:v>Fortuner</x:v>
      </x:c>
      <x:c r="G619" s="3" t="str">
        <x:v>ICE</x:v>
      </x:c>
      <x:c r="H619" s="3" t="str">
        <x:v>SUV</x:v>
      </x:c>
      <x:c r="I619" s="3" t="str"/>
      <x:c r="J619" s="3" t="n">
        <x:v>2023</x:v>
      </x:c>
      <x:c r="K619" s="3" t="str">
        <x:v>2.4 V LEADER</x:v>
      </x:c>
      <x:c r="L619" s="3" t="str">
        <x:v>2.4 V LEADER</x:v>
      </x:c>
      <x:c r="M619" s="22"/>
      <x:c r="N619" s="22"/>
      <x:c r="O619" s="22"/>
      <x:c r="P619" s="3" t="str">
        <x:v>未掲載</x:v>
      </x:c>
      <x:c r="Q619" s="3" t="str">
        <x:v>未取得</x:v>
      </x:c>
      <x:c r="R619" s="3" t="str">
        <x:v>Unknown</x:v>
      </x:c>
      <x:c r="S619" s="3" t="str">
        <x:v>不明</x:v>
      </x:c>
      <x:c r="T619" s="3" t="str">
        <x:v>15-ปัจจุบัน</x:v>
      </x:c>
      <x:c r="U619" s="28" t="n">
        <x:v>949000</x:v>
      </x:c>
      <x:c r="V619" s="28" t="n">
        <x:v>1505000</x:v>
      </x:c>
      <x:c r="W619" s="3" t="str">
        <x:v>事故・水没・SOH・保証残は未確認</x:v>
      </x:c>
      <x:c r="X619" s="3" t="str">
        <x:v>掲載中・在庫未確認</x:v>
      </x:c>
      <x:c r="Y619" s="3" t="str"/>
      <x:c r="Z619" s="27" t="str">
        <x:v>https://www.taladrod.com/w40/icar/cardet.aspx?cid=2923940</x:v>
      </x:c>
      <x:c r="AA619" s="3" t="str">
        <x:v>Taladrod個別広告ID／Carsome在庫ID</x:v>
      </x:c>
      <x:c r="AB619" s="3" t="str">
        <x:v>車台番号未取得／サイト間重複は未判定</x:v>
      </x:c>
      <x:c r="AC619" s="3" t="str">
        <x:v>税込区分未確認（一覧表示額）</x:v>
      </x:c>
      <x:c r="AD619" s="3" t="str"/>
      <x:c r="AE619" s="29" t="str">
        <x:f>""</x:f>
      </x:c>
      <x:c r="AF619" s="30" t="str">
        <x:f>IF(ISNUMBER(AE619),U619/AE619,"")</x:f>
      </x:c>
      <x:c r="AG619" s="29" t="str">
        <x:f>""</x:f>
      </x:c>
      <x:c r="AH619" s="30" t="str">
        <x:f>IF(ISNUMBER(AG619),U619/AG619,"")</x:f>
      </x:c>
      <x:c r="AI619" s="3" t="str">
        <x:v>同年式・グレードの検証済み当時価格なし／登録年混在</x:v>
      </x:c>
      <x:c r="AJ619" s="3" t="str">
        <x:v>一覧価格/年式のみ</x:v>
      </x:c>
      <x:c r="AK619" s="3" t="str">
        <x:v>一覧の表示価格。年式は掲載年式。</x:v>
      </x:c>
      <x:c r="AL619" s="31" t="n">
        <x:f>IF(AND(J619&lt;='分析方法'!$B$7,OR(ISBLANK(O619),O619&gt;='分析方法'!$B$8),X619&lt;&gt;"売却済み表示"),1,0)</x:f>
        <x:v>1</x:v>
      </x:c>
      <x:c r="AM619" s="32" t="n">
        <x:f>IF(AL619=1,U619,"")</x:f>
        <x:v>949000</x:v>
      </x:c>
      <x:c r="AN619" s="33" t="str">
        <x:f>IF(AL619=1,AF619,"")</x:f>
      </x:c>
      <x:c r="AO619" s="31" t="n">
        <x:f>'分析方法'!$B$6-J619</x:f>
        <x:v>3</x:v>
      </x:c>
      <x:c r="AP619" s="3"/>
    </x:row>
    <x:row r="620" ht="22" customHeight="1">
      <x:c r="A620" s="3" t="str">
        <x:v>T2922776</x:v>
      </x:c>
      <x:c r="B620" s="7" t="d">
        <x:v>2026-10-08T00:00:00.000Z</x:v>
      </x:c>
      <x:c r="C620" s="3" t="str">
        <x:v>Taladrod</x:v>
      </x:c>
      <x:c r="D620" s="3" t="str">
        <x:v>Toyota</x:v>
      </x:c>
      <x:c r="E620" s="3" t="str">
        <x:v>日本</x:v>
      </x:c>
      <x:c r="F620" s="3" t="str">
        <x:v>Fortuner</x:v>
      </x:c>
      <x:c r="G620" s="3" t="str">
        <x:v>ICE</x:v>
      </x:c>
      <x:c r="H620" s="3" t="str">
        <x:v>SUV</x:v>
      </x:c>
      <x:c r="I620" s="3" t="str"/>
      <x:c r="J620" s="3" t="n">
        <x:v>2024</x:v>
      </x:c>
      <x:c r="K620" s="3" t="str">
        <x:v>2.4 G LEADER</x:v>
      </x:c>
      <x:c r="L620" s="3" t="str">
        <x:v>2.4 G LEADER</x:v>
      </x:c>
      <x:c r="M620" s="22"/>
      <x:c r="N620" s="22"/>
      <x:c r="O620" s="22"/>
      <x:c r="P620" s="3" t="str">
        <x:v>未掲載</x:v>
      </x:c>
      <x:c r="Q620" s="3" t="str">
        <x:v>未取得</x:v>
      </x:c>
      <x:c r="R620" s="3" t="str">
        <x:v>Unknown</x:v>
      </x:c>
      <x:c r="S620" s="3" t="str">
        <x:v>不明</x:v>
      </x:c>
      <x:c r="T620" s="3" t="str">
        <x:v>15-ปัจจุบัน</x:v>
      </x:c>
      <x:c r="U620" s="28" t="n">
        <x:v>979000</x:v>
      </x:c>
      <x:c r="V620" s="28" t="n">
        <x:v>1375000</x:v>
      </x:c>
      <x:c r="W620" s="3" t="str">
        <x:v>事故・水没・SOH・保証残は未確認</x:v>
      </x:c>
      <x:c r="X620" s="3" t="str">
        <x:v>掲載中・在庫未確認</x:v>
      </x:c>
      <x:c r="Y620" s="3" t="str"/>
      <x:c r="Z620" s="27" t="str">
        <x:v>https://www.taladrod.com/w40/icar/cardet.aspx?cid=2922776</x:v>
      </x:c>
      <x:c r="AA620" s="3" t="str">
        <x:v>Taladrod個別広告ID／Carsome在庫ID</x:v>
      </x:c>
      <x:c r="AB620" s="3" t="str">
        <x:v>車台番号未取得／サイト間重複は未判定</x:v>
      </x:c>
      <x:c r="AC620" s="3" t="str">
        <x:v>税込区分未確認（一覧表示額）</x:v>
      </x:c>
      <x:c r="AD620" s="3" t="str"/>
      <x:c r="AE620" s="29" t="str">
        <x:f>""</x:f>
      </x:c>
      <x:c r="AF620" s="30" t="str">
        <x:f>IF(ISNUMBER(AE620),U620/AE620,"")</x:f>
      </x:c>
      <x:c r="AG620" s="29" t="str">
        <x:f>""</x:f>
      </x:c>
      <x:c r="AH620" s="30" t="str">
        <x:f>IF(ISNUMBER(AG620),U620/AG620,"")</x:f>
      </x:c>
      <x:c r="AI620" s="3" t="str">
        <x:v>同年式・グレードの検証済み当時価格なし／登録年混在</x:v>
      </x:c>
      <x:c r="AJ620" s="3" t="str">
        <x:v>一覧価格/年式のみ</x:v>
      </x:c>
      <x:c r="AK620" s="3" t="str">
        <x:v>一覧の表示価格。年式は掲載年式。</x:v>
      </x:c>
      <x:c r="AL620" s="31" t="n">
        <x:f>IF(AND(J620&lt;='分析方法'!$B$7,OR(ISBLANK(O620),O620&gt;='分析方法'!$B$8),X620&lt;&gt;"売却済み表示"),1,0)</x:f>
        <x:v>1</x:v>
      </x:c>
      <x:c r="AM620" s="32" t="n">
        <x:f>IF(AL620=1,U620,"")</x:f>
        <x:v>979000</x:v>
      </x:c>
      <x:c r="AN620" s="33" t="str">
        <x:f>IF(AL620=1,AF620,"")</x:f>
      </x:c>
      <x:c r="AO620" s="31" t="n">
        <x:f>'分析方法'!$B$6-J620</x:f>
        <x:v>2</x:v>
      </x:c>
      <x:c r="AP620" s="3"/>
    </x:row>
    <x:row r="621" ht="22" customHeight="1">
      <x:c r="A621" s="3" t="str">
        <x:v>T2911516</x:v>
      </x:c>
      <x:c r="B621" s="7" t="d">
        <x:v>2026-10-08T00:00:00.000Z</x:v>
      </x:c>
      <x:c r="C621" s="3" t="str">
        <x:v>Taladrod</x:v>
      </x:c>
      <x:c r="D621" s="3" t="str">
        <x:v>Toyota</x:v>
      </x:c>
      <x:c r="E621" s="3" t="str">
        <x:v>日本</x:v>
      </x:c>
      <x:c r="F621" s="3" t="str">
        <x:v>Fortuner</x:v>
      </x:c>
      <x:c r="G621" s="3" t="str">
        <x:v>ICE</x:v>
      </x:c>
      <x:c r="H621" s="3" t="str">
        <x:v>SUV</x:v>
      </x:c>
      <x:c r="I621" s="3" t="str"/>
      <x:c r="J621" s="3" t="n">
        <x:v>2024</x:v>
      </x:c>
      <x:c r="K621" s="3" t="str">
        <x:v>2.4 V LEADER</x:v>
      </x:c>
      <x:c r="L621" s="3" t="str">
        <x:v>2.4 V LEADER</x:v>
      </x:c>
      <x:c r="M621" s="22"/>
      <x:c r="N621" s="22"/>
      <x:c r="O621" s="22"/>
      <x:c r="P621" s="3" t="str">
        <x:v>未掲載</x:v>
      </x:c>
      <x:c r="Q621" s="3" t="str">
        <x:v>未取得</x:v>
      </x:c>
      <x:c r="R621" s="3" t="str">
        <x:v>Unknown</x:v>
      </x:c>
      <x:c r="S621" s="3" t="str">
        <x:v>不明</x:v>
      </x:c>
      <x:c r="T621" s="3" t="str">
        <x:v>15-ปัจจุบัน</x:v>
      </x:c>
      <x:c r="U621" s="28" t="n">
        <x:v>999000</x:v>
      </x:c>
      <x:c r="V621" s="28" t="n">
        <x:v>1505000</x:v>
      </x:c>
      <x:c r="W621" s="3" t="str">
        <x:v>事故・水没・SOH・保証残は未確認</x:v>
      </x:c>
      <x:c r="X621" s="3" t="str">
        <x:v>掲載中・在庫未確認</x:v>
      </x:c>
      <x:c r="Y621" s="3" t="str"/>
      <x:c r="Z621" s="27" t="str">
        <x:v>https://www.taladrod.com/w40/icar/cardet.aspx?cid=2911516</x:v>
      </x:c>
      <x:c r="AA621" s="3" t="str">
        <x:v>Taladrod個別広告ID／Carsome在庫ID</x:v>
      </x:c>
      <x:c r="AB621" s="3" t="str">
        <x:v>車台番号未取得／サイト間重複は未判定</x:v>
      </x:c>
      <x:c r="AC621" s="3" t="str">
        <x:v>税込区分未確認（一覧表示額）</x:v>
      </x:c>
      <x:c r="AD621" s="3" t="str"/>
      <x:c r="AE621" s="29" t="str">
        <x:f>""</x:f>
      </x:c>
      <x:c r="AF621" s="30" t="str">
        <x:f>IF(ISNUMBER(AE621),U621/AE621,"")</x:f>
      </x:c>
      <x:c r="AG621" s="29" t="str">
        <x:f>""</x:f>
      </x:c>
      <x:c r="AH621" s="30" t="str">
        <x:f>IF(ISNUMBER(AG621),U621/AG621,"")</x:f>
      </x:c>
      <x:c r="AI621" s="3" t="str">
        <x:v>同年式・グレードの検証済み当時価格なし／登録年混在</x:v>
      </x:c>
      <x:c r="AJ621" s="3" t="str">
        <x:v>一覧価格/年式のみ</x:v>
      </x:c>
      <x:c r="AK621" s="3" t="str">
        <x:v>一覧の表示価格。年式は掲載年式。</x:v>
      </x:c>
      <x:c r="AL621" s="31" t="n">
        <x:f>IF(AND(J621&lt;='分析方法'!$B$7,OR(ISBLANK(O621),O621&gt;='分析方法'!$B$8),X621&lt;&gt;"売却済み表示"),1,0)</x:f>
        <x:v>1</x:v>
      </x:c>
      <x:c r="AM621" s="32" t="n">
        <x:f>IF(AL621=1,U621,"")</x:f>
        <x:v>999000</x:v>
      </x:c>
      <x:c r="AN621" s="33" t="str">
        <x:f>IF(AL621=1,AF621,"")</x:f>
      </x:c>
      <x:c r="AO621" s="31" t="n">
        <x:f>'分析方法'!$B$6-J621</x:f>
        <x:v>2</x:v>
      </x:c>
      <x:c r="AP621" s="3"/>
    </x:row>
    <x:row r="622" ht="22" customHeight="1">
      <x:c r="A622" s="3" t="str">
        <x:v>T2921043</x:v>
      </x:c>
      <x:c r="B622" s="7" t="d">
        <x:v>2026-10-08T00:00:00.000Z</x:v>
      </x:c>
      <x:c r="C622" s="3" t="str">
        <x:v>Taladrod</x:v>
      </x:c>
      <x:c r="D622" s="3" t="str">
        <x:v>Toyota</x:v>
      </x:c>
      <x:c r="E622" s="3" t="str">
        <x:v>日本</x:v>
      </x:c>
      <x:c r="F622" s="3" t="str">
        <x:v>Fortuner</x:v>
      </x:c>
      <x:c r="G622" s="3" t="str">
        <x:v>ICE</x:v>
      </x:c>
      <x:c r="H622" s="3" t="str">
        <x:v>SUV</x:v>
      </x:c>
      <x:c r="I622" s="3" t="str"/>
      <x:c r="J622" s="3" t="n">
        <x:v>2024</x:v>
      </x:c>
      <x:c r="K622" s="3" t="str">
        <x:v>2.4 V LEADER</x:v>
      </x:c>
      <x:c r="L622" s="3" t="str">
        <x:v>2.4 V LEADER</x:v>
      </x:c>
      <x:c r="M622" s="22"/>
      <x:c r="N622" s="22"/>
      <x:c r="O622" s="22"/>
      <x:c r="P622" s="3" t="str">
        <x:v>未掲載</x:v>
      </x:c>
      <x:c r="Q622" s="3" t="str">
        <x:v>未取得</x:v>
      </x:c>
      <x:c r="R622" s="3" t="str">
        <x:v>Unknown</x:v>
      </x:c>
      <x:c r="S622" s="3" t="str">
        <x:v>不明</x:v>
      </x:c>
      <x:c r="T622" s="3" t="str">
        <x:v>15-ปัจจุบัน</x:v>
      </x:c>
      <x:c r="U622" s="28" t="n">
        <x:v>999000</x:v>
      </x:c>
      <x:c r="V622" s="28" t="n">
        <x:v>1505000</x:v>
      </x:c>
      <x:c r="W622" s="3" t="str">
        <x:v>事故・水没・SOH・保証残は未確認</x:v>
      </x:c>
      <x:c r="X622" s="3" t="str">
        <x:v>掲載中・在庫未確認</x:v>
      </x:c>
      <x:c r="Y622" s="3" t="str"/>
      <x:c r="Z622" s="27" t="str">
        <x:v>https://www.taladrod.com/w40/icar/cardet.aspx?cid=2921043</x:v>
      </x:c>
      <x:c r="AA622" s="3" t="str">
        <x:v>Taladrod個別広告ID／Carsome在庫ID</x:v>
      </x:c>
      <x:c r="AB622" s="3" t="str">
        <x:v>車台番号未取得／サイト間重複は未判定</x:v>
      </x:c>
      <x:c r="AC622" s="3" t="str">
        <x:v>税込区分未確認（一覧表示額）</x:v>
      </x:c>
      <x:c r="AD622" s="3" t="str"/>
      <x:c r="AE622" s="29" t="str">
        <x:f>""</x:f>
      </x:c>
      <x:c r="AF622" s="30" t="str">
        <x:f>IF(ISNUMBER(AE622),U622/AE622,"")</x:f>
      </x:c>
      <x:c r="AG622" s="29" t="str">
        <x:f>""</x:f>
      </x:c>
      <x:c r="AH622" s="30" t="str">
        <x:f>IF(ISNUMBER(AG622),U622/AG622,"")</x:f>
      </x:c>
      <x:c r="AI622" s="3" t="str">
        <x:v>同年式・グレードの検証済み当時価格なし／登録年混在</x:v>
      </x:c>
      <x:c r="AJ622" s="3" t="str">
        <x:v>一覧価格/年式のみ</x:v>
      </x:c>
      <x:c r="AK622" s="3" t="str">
        <x:v>一覧の表示価格。年式は掲載年式。</x:v>
      </x:c>
      <x:c r="AL622" s="31" t="n">
        <x:f>IF(AND(J622&lt;='分析方法'!$B$7,OR(ISBLANK(O622),O622&gt;='分析方法'!$B$8),X622&lt;&gt;"売却済み表示"),1,0)</x:f>
        <x:v>1</x:v>
      </x:c>
      <x:c r="AM622" s="32" t="n">
        <x:f>IF(AL622=1,U622,"")</x:f>
        <x:v>999000</x:v>
      </x:c>
      <x:c r="AN622" s="33" t="str">
        <x:f>IF(AL622=1,AF622,"")</x:f>
      </x:c>
      <x:c r="AO622" s="31" t="n">
        <x:f>'分析方法'!$B$6-J622</x:f>
        <x:v>2</x:v>
      </x:c>
      <x:c r="AP622" s="3"/>
    </x:row>
    <x:row r="623" ht="22" customHeight="1">
      <x:c r="A623" s="3" t="str">
        <x:v>T2920393</x:v>
      </x:c>
      <x:c r="B623" s="7" t="d">
        <x:v>2026-10-08T00:00:00.000Z</x:v>
      </x:c>
      <x:c r="C623" s="3" t="str">
        <x:v>Taladrod</x:v>
      </x:c>
      <x:c r="D623" s="3" t="str">
        <x:v>Toyota</x:v>
      </x:c>
      <x:c r="E623" s="3" t="str">
        <x:v>日本</x:v>
      </x:c>
      <x:c r="F623" s="3" t="str">
        <x:v>Fortuner</x:v>
      </x:c>
      <x:c r="G623" s="3" t="str">
        <x:v>ICE</x:v>
      </x:c>
      <x:c r="H623" s="3" t="str">
        <x:v>SUV</x:v>
      </x:c>
      <x:c r="I623" s="3" t="str"/>
      <x:c r="J623" s="3" t="n">
        <x:v>2025</x:v>
      </x:c>
      <x:c r="K623" s="3" t="str">
        <x:v>2.4 S LEADER</x:v>
      </x:c>
      <x:c r="L623" s="3" t="str">
        <x:v>2.4 S LEADER</x:v>
      </x:c>
      <x:c r="M623" s="22"/>
      <x:c r="N623" s="22"/>
      <x:c r="O623" s="22"/>
      <x:c r="P623" s="3" t="str">
        <x:v>未掲載</x:v>
      </x:c>
      <x:c r="Q623" s="3" t="str">
        <x:v>未取得</x:v>
      </x:c>
      <x:c r="R623" s="3" t="str">
        <x:v>Unknown</x:v>
      </x:c>
      <x:c r="S623" s="3" t="str">
        <x:v>不明</x:v>
      </x:c>
      <x:c r="T623" s="3" t="str">
        <x:v>15-ปัจจุบัน</x:v>
      </x:c>
      <x:c r="U623" s="28" t="n">
        <x:v>979000</x:v>
      </x:c>
      <x:c r="V623" s="28" t="n">
        <x:v>1239000</x:v>
      </x:c>
      <x:c r="W623" s="3" t="str">
        <x:v>事故・水没・SOH・保証残は未確認</x:v>
      </x:c>
      <x:c r="X623" s="3" t="str">
        <x:v>掲載中・在庫未確認</x:v>
      </x:c>
      <x:c r="Y623" s="3" t="str"/>
      <x:c r="Z623" s="27" t="str">
        <x:v>https://www.taladrod.com/w40/icar/cardet.aspx?cid=2920393</x:v>
      </x:c>
      <x:c r="AA623" s="3" t="str">
        <x:v>Taladrod個別広告ID／Carsome在庫ID</x:v>
      </x:c>
      <x:c r="AB623" s="3" t="str">
        <x:v>車台番号未取得／サイト間重複は未判定</x:v>
      </x:c>
      <x:c r="AC623" s="3" t="str">
        <x:v>税込区分未確認（一覧表示額）</x:v>
      </x:c>
      <x:c r="AD623" s="3" t="str"/>
      <x:c r="AE623" s="29" t="str">
        <x:f>""</x:f>
      </x:c>
      <x:c r="AF623" s="30" t="str">
        <x:f>IF(ISNUMBER(AE623),U623/AE623,"")</x:f>
      </x:c>
      <x:c r="AG623" s="29" t="str">
        <x:f>""</x:f>
      </x:c>
      <x:c r="AH623" s="30" t="str">
        <x:f>IF(ISNUMBER(AG623),U623/AG623,"")</x:f>
      </x:c>
      <x:c r="AI623" s="3" t="str">
        <x:v>同年式・グレードの検証済み当時価格なし／登録年混在</x:v>
      </x:c>
      <x:c r="AJ623" s="3" t="str">
        <x:v>一覧価格/年式のみ</x:v>
      </x:c>
      <x:c r="AK623" s="3" t="str">
        <x:v>一覧の表示価格。年式は掲載年式。</x:v>
      </x:c>
      <x:c r="AL623" s="31" t="n">
        <x:f>IF(AND(J623&lt;='分析方法'!$B$7,OR(ISBLANK(O623),O623&gt;='分析方法'!$B$8),X623&lt;&gt;"売却済み表示"),1,0)</x:f>
        <x:v>1</x:v>
      </x:c>
      <x:c r="AM623" s="32" t="n">
        <x:f>IF(AL623=1,U623,"")</x:f>
        <x:v>979000</x:v>
      </x:c>
      <x:c r="AN623" s="33" t="str">
        <x:f>IF(AL623=1,AF623,"")</x:f>
      </x:c>
      <x:c r="AO623" s="31" t="n">
        <x:f>'分析方法'!$B$6-J623</x:f>
        <x:v>1</x:v>
      </x:c>
      <x:c r="AP623" s="3"/>
    </x:row>
    <x:row r="624" ht="22" customHeight="1">
      <x:c r="A624" s="3" t="str">
        <x:v>T2905535</x:v>
      </x:c>
      <x:c r="B624" s="7" t="d">
        <x:v>2026-10-08T00:00:00.000Z</x:v>
      </x:c>
      <x:c r="C624" s="3" t="str">
        <x:v>Taladrod</x:v>
      </x:c>
      <x:c r="D624" s="3" t="str">
        <x:v>Toyota</x:v>
      </x:c>
      <x:c r="E624" s="3" t="str">
        <x:v>日本</x:v>
      </x:c>
      <x:c r="F624" s="3" t="str">
        <x:v>Hilux Champ</x:v>
      </x:c>
      <x:c r="G624" s="3" t="str">
        <x:v>ICE</x:v>
      </x:c>
      <x:c r="H624" s="3" t="str">
        <x:v>Pickup</x:v>
      </x:c>
      <x:c r="I624" s="3" t="str">
        <x:v>キャブ不明</x:v>
      </x:c>
      <x:c r="J624" s="3" t="n">
        <x:v>2024</x:v>
      </x:c>
      <x:c r="K624" s="3" t="str">
        <x:v>2.4 LWB AT</x:v>
      </x:c>
      <x:c r="L624" s="3" t="str">
        <x:v>2.4 LWB AT</x:v>
      </x:c>
      <x:c r="M624" s="22"/>
      <x:c r="N624" s="22"/>
      <x:c r="O624" s="22"/>
      <x:c r="P624" s="3" t="str">
        <x:v>未掲載</x:v>
      </x:c>
      <x:c r="Q624" s="3" t="str">
        <x:v>未取得</x:v>
      </x:c>
      <x:c r="R624" s="3" t="str">
        <x:v>Unknown</x:v>
      </x:c>
      <x:c r="S624" s="3" t="str">
        <x:v>不明</x:v>
      </x:c>
      <x:c r="T624" s="3" t="str">
        <x:v>世代不明</x:v>
      </x:c>
      <x:c r="U624" s="28" t="n">
        <x:v>445000</x:v>
      </x:c>
      <x:c r="V624" s="28" t="n">
        <x:v>577000</x:v>
      </x:c>
      <x:c r="W624" s="3" t="str">
        <x:v>事故・水没・SOH・保証残は未確認</x:v>
      </x:c>
      <x:c r="X624" s="3" t="str">
        <x:v>掲載中・在庫未確認</x:v>
      </x:c>
      <x:c r="Y624" s="3" t="str"/>
      <x:c r="Z624" s="27" t="str">
        <x:v>https://www.taladrod.com/w40/icar/cardet.aspx?cid=2905535</x:v>
      </x:c>
      <x:c r="AA624" s="3" t="str">
        <x:v>Taladrod個別広告ID／Carsome在庫ID</x:v>
      </x:c>
      <x:c r="AB624" s="3" t="str">
        <x:v>車台番号未取得／サイト間重複は未判定</x:v>
      </x:c>
      <x:c r="AC624" s="3" t="str">
        <x:v>税込区分未確認（一覧表示額）</x:v>
      </x:c>
      <x:c r="AD624" s="3" t="str"/>
      <x:c r="AE624" s="29" t="str">
        <x:f>""</x:f>
      </x:c>
      <x:c r="AF624" s="30" t="str">
        <x:f>IF(ISNUMBER(AE624),U624/AE624,"")</x:f>
      </x:c>
      <x:c r="AG624" s="29" t="str">
        <x:f>""</x:f>
      </x:c>
      <x:c r="AH624" s="30" t="str">
        <x:f>IF(ISNUMBER(AG624),U624/AG624,"")</x:f>
      </x:c>
      <x:c r="AI624" s="3" t="str">
        <x:v>同年式・グレードの検証済み当時価格なし／登録年混在</x:v>
      </x:c>
      <x:c r="AJ624" s="3" t="str">
        <x:v>一覧価格/年式のみ</x:v>
      </x:c>
      <x:c r="AK624" s="3" t="str">
        <x:v>一覧の表示価格。年式は掲載年式。</x:v>
      </x:c>
      <x:c r="AL624" s="31" t="n">
        <x:f>IF(AND(J624&lt;='分析方法'!$B$7,OR(ISBLANK(O624),O624&gt;='分析方法'!$B$8),X624&lt;&gt;"売却済み表示"),1,0)</x:f>
        <x:v>1</x:v>
      </x:c>
      <x:c r="AM624" s="32" t="n">
        <x:f>IF(AL624=1,U624,"")</x:f>
        <x:v>445000</x:v>
      </x:c>
      <x:c r="AN624" s="33" t="str">
        <x:f>IF(AL624=1,AF624,"")</x:f>
      </x:c>
      <x:c r="AO624" s="31" t="n">
        <x:f>'分析方法'!$B$6-J624</x:f>
        <x:v>2</x:v>
      </x:c>
      <x:c r="AP624" s="3"/>
    </x:row>
    <x:row r="625" ht="22" customHeight="1">
      <x:c r="A625" s="3" t="str">
        <x:v>T2911086</x:v>
      </x:c>
      <x:c r="B625" s="7" t="d">
        <x:v>2026-10-08T00:00:00.000Z</x:v>
      </x:c>
      <x:c r="C625" s="3" t="str">
        <x:v>Taladrod</x:v>
      </x:c>
      <x:c r="D625" s="3" t="str">
        <x:v>Toyota</x:v>
      </x:c>
      <x:c r="E625" s="3" t="str">
        <x:v>日本</x:v>
      </x:c>
      <x:c r="F625" s="3" t="str">
        <x:v>Hilux Champ</x:v>
      </x:c>
      <x:c r="G625" s="3" t="str">
        <x:v>ICE</x:v>
      </x:c>
      <x:c r="H625" s="3" t="str">
        <x:v>Pickup</x:v>
      </x:c>
      <x:c r="I625" s="3" t="str">
        <x:v>キャブ不明</x:v>
      </x:c>
      <x:c r="J625" s="3" t="n">
        <x:v>2024</x:v>
      </x:c>
      <x:c r="K625" s="3" t="str">
        <x:v>2.4 LWB AT</x:v>
      </x:c>
      <x:c r="L625" s="3" t="str">
        <x:v>2.4 LWB AT</x:v>
      </x:c>
      <x:c r="M625" s="22"/>
      <x:c r="N625" s="22"/>
      <x:c r="O625" s="22"/>
      <x:c r="P625" s="3" t="str">
        <x:v>未掲載</x:v>
      </x:c>
      <x:c r="Q625" s="3" t="str">
        <x:v>未取得</x:v>
      </x:c>
      <x:c r="R625" s="3" t="str">
        <x:v>Unknown</x:v>
      </x:c>
      <x:c r="S625" s="3" t="str">
        <x:v>不明</x:v>
      </x:c>
      <x:c r="T625" s="3" t="str">
        <x:v>世代不明</x:v>
      </x:c>
      <x:c r="U625" s="28" t="n">
        <x:v>450000</x:v>
      </x:c>
      <x:c r="V625" s="28" t="n">
        <x:v>577000</x:v>
      </x:c>
      <x:c r="W625" s="3" t="str">
        <x:v>事故・水没・SOH・保証残は未確認</x:v>
      </x:c>
      <x:c r="X625" s="3" t="str">
        <x:v>掲載中・在庫未確認</x:v>
      </x:c>
      <x:c r="Y625" s="3" t="str"/>
      <x:c r="Z625" s="27" t="str">
        <x:v>https://www.taladrod.com/w40/icar/cardet.aspx?cid=2911086</x:v>
      </x:c>
      <x:c r="AA625" s="3" t="str">
        <x:v>Taladrod個別広告ID／Carsome在庫ID</x:v>
      </x:c>
      <x:c r="AB625" s="3" t="str">
        <x:v>車台番号未取得／サイト間重複は未判定</x:v>
      </x:c>
      <x:c r="AC625" s="3" t="str">
        <x:v>税込区分未確認（一覧表示額）</x:v>
      </x:c>
      <x:c r="AD625" s="3" t="str"/>
      <x:c r="AE625" s="29" t="str">
        <x:f>""</x:f>
      </x:c>
      <x:c r="AF625" s="30" t="str">
        <x:f>IF(ISNUMBER(AE625),U625/AE625,"")</x:f>
      </x:c>
      <x:c r="AG625" s="29" t="str">
        <x:f>""</x:f>
      </x:c>
      <x:c r="AH625" s="30" t="str">
        <x:f>IF(ISNUMBER(AG625),U625/AG625,"")</x:f>
      </x:c>
      <x:c r="AI625" s="3" t="str">
        <x:v>同年式・グレードの検証済み当時価格なし／登録年混在</x:v>
      </x:c>
      <x:c r="AJ625" s="3" t="str">
        <x:v>一覧価格/年式のみ</x:v>
      </x:c>
      <x:c r="AK625" s="3" t="str">
        <x:v>一覧の表示価格。年式は掲載年式。</x:v>
      </x:c>
      <x:c r="AL625" s="31" t="n">
        <x:f>IF(AND(J625&lt;='分析方法'!$B$7,OR(ISBLANK(O625),O625&gt;='分析方法'!$B$8),X625&lt;&gt;"売却済み表示"),1,0)</x:f>
        <x:v>1</x:v>
      </x:c>
      <x:c r="AM625" s="32" t="n">
        <x:f>IF(AL625=1,U625,"")</x:f>
        <x:v>450000</x:v>
      </x:c>
      <x:c r="AN625" s="33" t="str">
        <x:f>IF(AL625=1,AF625,"")</x:f>
      </x:c>
      <x:c r="AO625" s="31" t="n">
        <x:f>'分析方法'!$B$6-J625</x:f>
        <x:v>2</x:v>
      </x:c>
      <x:c r="AP625" s="3"/>
    </x:row>
    <x:row r="626" ht="22" customHeight="1">
      <x:c r="A626" s="3" t="str">
        <x:v>T2915872</x:v>
      </x:c>
      <x:c r="B626" s="7" t="d">
        <x:v>2026-10-08T00:00:00.000Z</x:v>
      </x:c>
      <x:c r="C626" s="3" t="str">
        <x:v>Taladrod</x:v>
      </x:c>
      <x:c r="D626" s="3" t="str">
        <x:v>Toyota</x:v>
      </x:c>
      <x:c r="E626" s="3" t="str">
        <x:v>日本</x:v>
      </x:c>
      <x:c r="F626" s="3" t="str">
        <x:v>Hilux Champ</x:v>
      </x:c>
      <x:c r="G626" s="3" t="str">
        <x:v>ICE</x:v>
      </x:c>
      <x:c r="H626" s="3" t="str">
        <x:v>Pickup</x:v>
      </x:c>
      <x:c r="I626" s="3" t="str">
        <x:v>キャブ不明</x:v>
      </x:c>
      <x:c r="J626" s="3" t="n">
        <x:v>2024</x:v>
      </x:c>
      <x:c r="K626" s="3" t="str">
        <x:v>2.4 LWB AT</x:v>
      </x:c>
      <x:c r="L626" s="3" t="str">
        <x:v>2.4 LWB AT</x:v>
      </x:c>
      <x:c r="M626" s="22"/>
      <x:c r="N626" s="22"/>
      <x:c r="O626" s="22"/>
      <x:c r="P626" s="3" t="str">
        <x:v>未掲載</x:v>
      </x:c>
      <x:c r="Q626" s="3" t="str">
        <x:v>未取得</x:v>
      </x:c>
      <x:c r="R626" s="3" t="str">
        <x:v>Unknown</x:v>
      </x:c>
      <x:c r="S626" s="3" t="str">
        <x:v>不明</x:v>
      </x:c>
      <x:c r="T626" s="3" t="str">
        <x:v>世代不明</x:v>
      </x:c>
      <x:c r="U626" s="28" t="n">
        <x:v>469000</x:v>
      </x:c>
      <x:c r="V626" s="28" t="n">
        <x:v>577000</x:v>
      </x:c>
      <x:c r="W626" s="3" t="str">
        <x:v>事故・水没・SOH・保証残は未確認</x:v>
      </x:c>
      <x:c r="X626" s="3" t="str">
        <x:v>掲載中・在庫未確認</x:v>
      </x:c>
      <x:c r="Y626" s="3" t="str"/>
      <x:c r="Z626" s="27" t="str">
        <x:v>https://www.taladrod.com/w40/icar/cardet.aspx?cid=2915872</x:v>
      </x:c>
      <x:c r="AA626" s="3" t="str">
        <x:v>Taladrod個別広告ID／Carsome在庫ID</x:v>
      </x:c>
      <x:c r="AB626" s="3" t="str">
        <x:v>車台番号未取得／サイト間重複は未判定</x:v>
      </x:c>
      <x:c r="AC626" s="3" t="str">
        <x:v>税込区分未確認（一覧表示額）</x:v>
      </x:c>
      <x:c r="AD626" s="3" t="str"/>
      <x:c r="AE626" s="29" t="str">
        <x:f>""</x:f>
      </x:c>
      <x:c r="AF626" s="30" t="str">
        <x:f>IF(ISNUMBER(AE626),U626/AE626,"")</x:f>
      </x:c>
      <x:c r="AG626" s="29" t="str">
        <x:f>""</x:f>
      </x:c>
      <x:c r="AH626" s="30" t="str">
        <x:f>IF(ISNUMBER(AG626),U626/AG626,"")</x:f>
      </x:c>
      <x:c r="AI626" s="3" t="str">
        <x:v>同年式・グレードの検証済み当時価格なし／登録年混在</x:v>
      </x:c>
      <x:c r="AJ626" s="3" t="str">
        <x:v>一覧価格/年式のみ</x:v>
      </x:c>
      <x:c r="AK626" s="3" t="str">
        <x:v>一覧の表示価格。年式は掲載年式。</x:v>
      </x:c>
      <x:c r="AL626" s="31" t="n">
        <x:f>IF(AND(J626&lt;='分析方法'!$B$7,OR(ISBLANK(O626),O626&gt;='分析方法'!$B$8),X626&lt;&gt;"売却済み表示"),1,0)</x:f>
        <x:v>1</x:v>
      </x:c>
      <x:c r="AM626" s="32" t="n">
        <x:f>IF(AL626=1,U626,"")</x:f>
        <x:v>469000</x:v>
      </x:c>
      <x:c r="AN626" s="33" t="str">
        <x:f>IF(AL626=1,AF626,"")</x:f>
      </x:c>
      <x:c r="AO626" s="31" t="n">
        <x:f>'分析方法'!$B$6-J626</x:f>
        <x:v>2</x:v>
      </x:c>
      <x:c r="AP626" s="3"/>
    </x:row>
    <x:row r="627" ht="22" customHeight="1">
      <x:c r="A627" s="3" t="str">
        <x:v>T2903209</x:v>
      </x:c>
      <x:c r="B627" s="7" t="d">
        <x:v>2026-10-08T00:00:00.000Z</x:v>
      </x:c>
      <x:c r="C627" s="3" t="str">
        <x:v>Taladrod</x:v>
      </x:c>
      <x:c r="D627" s="3" t="str">
        <x:v>Toyota</x:v>
      </x:c>
      <x:c r="E627" s="3" t="str">
        <x:v>日本</x:v>
      </x:c>
      <x:c r="F627" s="3" t="str">
        <x:v>Hilux Champ</x:v>
      </x:c>
      <x:c r="G627" s="3" t="str">
        <x:v>ICE</x:v>
      </x:c>
      <x:c r="H627" s="3" t="str">
        <x:v>Pickup</x:v>
      </x:c>
      <x:c r="I627" s="3" t="str">
        <x:v>キャブ不明</x:v>
      </x:c>
      <x:c r="J627" s="3" t="n">
        <x:v>2024</x:v>
      </x:c>
      <x:c r="K627" s="3" t="str">
        <x:v>2.4 LWB C&amp;C</x:v>
      </x:c>
      <x:c r="L627" s="3" t="str">
        <x:v>2.4 LWB C&amp;C</x:v>
      </x:c>
      <x:c r="M627" s="22"/>
      <x:c r="N627" s="22"/>
      <x:c r="O627" s="22"/>
      <x:c r="P627" s="3" t="str">
        <x:v>未掲載</x:v>
      </x:c>
      <x:c r="Q627" s="3" t="str">
        <x:v>未取得</x:v>
      </x:c>
      <x:c r="R627" s="3" t="str">
        <x:v>Unknown</x:v>
      </x:c>
      <x:c r="S627" s="3" t="str">
        <x:v>不明</x:v>
      </x:c>
      <x:c r="T627" s="3" t="str">
        <x:v>世代不明</x:v>
      </x:c>
      <x:c r="U627" s="28" t="n">
        <x:v>449000</x:v>
      </x:c>
      <x:c r="V627" s="28" t="n">
        <x:v>514000</x:v>
      </x:c>
      <x:c r="W627" s="3" t="str">
        <x:v>事故・水没・SOH・保証残は未確認</x:v>
      </x:c>
      <x:c r="X627" s="3" t="str">
        <x:v>掲載中・在庫未確認</x:v>
      </x:c>
      <x:c r="Y627" s="3" t="str"/>
      <x:c r="Z627" s="27" t="str">
        <x:v>https://www.taladrod.com/w40/icar/cardet.aspx?cid=2903209</x:v>
      </x:c>
      <x:c r="AA627" s="3" t="str">
        <x:v>Taladrod個別広告ID／Carsome在庫ID</x:v>
      </x:c>
      <x:c r="AB627" s="3" t="str">
        <x:v>車台番号未取得／サイト間重複は未判定</x:v>
      </x:c>
      <x:c r="AC627" s="3" t="str">
        <x:v>税込区分未確認（一覧表示額）</x:v>
      </x:c>
      <x:c r="AD627" s="3" t="str"/>
      <x:c r="AE627" s="29" t="str">
        <x:f>""</x:f>
      </x:c>
      <x:c r="AF627" s="30" t="str">
        <x:f>IF(ISNUMBER(AE627),U627/AE627,"")</x:f>
      </x:c>
      <x:c r="AG627" s="29" t="str">
        <x:f>""</x:f>
      </x:c>
      <x:c r="AH627" s="30" t="str">
        <x:f>IF(ISNUMBER(AG627),U627/AG627,"")</x:f>
      </x:c>
      <x:c r="AI627" s="3" t="str">
        <x:v>同年式・グレードの検証済み当時価格なし／登録年混在</x:v>
      </x:c>
      <x:c r="AJ627" s="3" t="str">
        <x:v>一覧価格/年式のみ</x:v>
      </x:c>
      <x:c r="AK627" s="3" t="str">
        <x:v>一覧の表示価格。年式は掲載年式。</x:v>
      </x:c>
      <x:c r="AL627" s="31" t="n">
        <x:f>IF(AND(J627&lt;='分析方法'!$B$7,OR(ISBLANK(O627),O627&gt;='分析方法'!$B$8),X627&lt;&gt;"売却済み表示"),1,0)</x:f>
        <x:v>1</x:v>
      </x:c>
      <x:c r="AM627" s="32" t="n">
        <x:f>IF(AL627=1,U627,"")</x:f>
        <x:v>449000</x:v>
      </x:c>
      <x:c r="AN627" s="33" t="str">
        <x:f>IF(AL627=1,AF627,"")</x:f>
      </x:c>
      <x:c r="AO627" s="31" t="n">
        <x:f>'分析方法'!$B$6-J627</x:f>
        <x:v>2</x:v>
      </x:c>
      <x:c r="AP627" s="3"/>
    </x:row>
    <x:row r="628" ht="22" customHeight="1">
      <x:c r="A628" s="3" t="str">
        <x:v>T2883057</x:v>
      </x:c>
      <x:c r="B628" s="7" t="d">
        <x:v>2026-10-08T00:00:00.000Z</x:v>
      </x:c>
      <x:c r="C628" s="3" t="str">
        <x:v>Taladrod</x:v>
      </x:c>
      <x:c r="D628" s="3" t="str">
        <x:v>Toyota</x:v>
      </x:c>
      <x:c r="E628" s="3" t="str">
        <x:v>日本</x:v>
      </x:c>
      <x:c r="F628" s="3" t="str">
        <x:v>Hilux Champ</x:v>
      </x:c>
      <x:c r="G628" s="3" t="str">
        <x:v>ICE</x:v>
      </x:c>
      <x:c r="H628" s="3" t="str">
        <x:v>Pickup</x:v>
      </x:c>
      <x:c r="I628" s="3" t="str">
        <x:v>キャブ不明</x:v>
      </x:c>
      <x:c r="J628" s="3" t="n">
        <x:v>2024</x:v>
      </x:c>
      <x:c r="K628" s="3" t="str">
        <x:v>2.4 LWB MT</x:v>
      </x:c>
      <x:c r="L628" s="3" t="str">
        <x:v>2.4 LWB MT</x:v>
      </x:c>
      <x:c r="M628" s="22"/>
      <x:c r="N628" s="22"/>
      <x:c r="O628" s="22"/>
      <x:c r="P628" s="3" t="str">
        <x:v>未掲載</x:v>
      </x:c>
      <x:c r="Q628" s="3" t="str">
        <x:v>未取得</x:v>
      </x:c>
      <x:c r="R628" s="3" t="str">
        <x:v>Unknown</x:v>
      </x:c>
      <x:c r="S628" s="3" t="str">
        <x:v>不明</x:v>
      </x:c>
      <x:c r="T628" s="3" t="str">
        <x:v>世代不明</x:v>
      </x:c>
      <x:c r="U628" s="28" t="n">
        <x:v>449000</x:v>
      </x:c>
      <x:c r="V628" s="28" t="n">
        <x:v>542000</x:v>
      </x:c>
      <x:c r="W628" s="3" t="str">
        <x:v>事故・水没・SOH・保証残は未確認</x:v>
      </x:c>
      <x:c r="X628" s="3" t="str">
        <x:v>掲載中・在庫未確認</x:v>
      </x:c>
      <x:c r="Y628" s="3" t="str"/>
      <x:c r="Z628" s="27" t="str">
        <x:v>https://www.taladrod.com/w40/icar/cardet.aspx?cid=2883057</x:v>
      </x:c>
      <x:c r="AA628" s="3" t="str">
        <x:v>Taladrod個別広告ID／Carsome在庫ID</x:v>
      </x:c>
      <x:c r="AB628" s="3" t="str">
        <x:v>車台番号未取得／サイト間重複は未判定</x:v>
      </x:c>
      <x:c r="AC628" s="3" t="str">
        <x:v>税込区分未確認（一覧表示額）</x:v>
      </x:c>
      <x:c r="AD628" s="3" t="str"/>
      <x:c r="AE628" s="29" t="str">
        <x:f>""</x:f>
      </x:c>
      <x:c r="AF628" s="30" t="str">
        <x:f>IF(ISNUMBER(AE628),U628/AE628,"")</x:f>
      </x:c>
      <x:c r="AG628" s="29" t="str">
        <x:f>""</x:f>
      </x:c>
      <x:c r="AH628" s="30" t="str">
        <x:f>IF(ISNUMBER(AG628),U628/AG628,"")</x:f>
      </x:c>
      <x:c r="AI628" s="3" t="str">
        <x:v>同年式・グレードの検証済み当時価格なし／登録年混在</x:v>
      </x:c>
      <x:c r="AJ628" s="3" t="str">
        <x:v>一覧価格/年式のみ</x:v>
      </x:c>
      <x:c r="AK628" s="3" t="str">
        <x:v>一覧の表示価格。年式は掲載年式。</x:v>
      </x:c>
      <x:c r="AL628" s="31" t="n">
        <x:f>IF(AND(J628&lt;='分析方法'!$B$7,OR(ISBLANK(O628),O628&gt;='分析方法'!$B$8),X628&lt;&gt;"売却済み表示"),1,0)</x:f>
        <x:v>1</x:v>
      </x:c>
      <x:c r="AM628" s="32" t="n">
        <x:f>IF(AL628=1,U628,"")</x:f>
        <x:v>449000</x:v>
      </x:c>
      <x:c r="AN628" s="33" t="str">
        <x:f>IF(AL628=1,AF628,"")</x:f>
      </x:c>
      <x:c r="AO628" s="31" t="n">
        <x:f>'分析方法'!$B$6-J628</x:f>
        <x:v>2</x:v>
      </x:c>
      <x:c r="AP628" s="3"/>
    </x:row>
    <x:row r="629" ht="22" customHeight="1">
      <x:c r="A629" s="3" t="str">
        <x:v>T2883058</x:v>
      </x:c>
      <x:c r="B629" s="7" t="d">
        <x:v>2026-10-08T00:00:00.000Z</x:v>
      </x:c>
      <x:c r="C629" s="3" t="str">
        <x:v>Taladrod</x:v>
      </x:c>
      <x:c r="D629" s="3" t="str">
        <x:v>Toyota</x:v>
      </x:c>
      <x:c r="E629" s="3" t="str">
        <x:v>日本</x:v>
      </x:c>
      <x:c r="F629" s="3" t="str">
        <x:v>Hilux Champ</x:v>
      </x:c>
      <x:c r="G629" s="3" t="str">
        <x:v>ICE</x:v>
      </x:c>
      <x:c r="H629" s="3" t="str">
        <x:v>Pickup</x:v>
      </x:c>
      <x:c r="I629" s="3" t="str">
        <x:v>キャブ不明</x:v>
      </x:c>
      <x:c r="J629" s="3" t="n">
        <x:v>2024</x:v>
      </x:c>
      <x:c r="K629" s="3" t="str">
        <x:v>2.4 LWB MT</x:v>
      </x:c>
      <x:c r="L629" s="3" t="str">
        <x:v>2.4 LWB MT</x:v>
      </x:c>
      <x:c r="M629" s="22"/>
      <x:c r="N629" s="22"/>
      <x:c r="O629" s="22"/>
      <x:c r="P629" s="3" t="str">
        <x:v>未掲載</x:v>
      </x:c>
      <x:c r="Q629" s="3" t="str">
        <x:v>未取得</x:v>
      </x:c>
      <x:c r="R629" s="3" t="str">
        <x:v>Unknown</x:v>
      </x:c>
      <x:c r="S629" s="3" t="str">
        <x:v>不明</x:v>
      </x:c>
      <x:c r="T629" s="3" t="str">
        <x:v>世代不明</x:v>
      </x:c>
      <x:c r="U629" s="28" t="n">
        <x:v>459000</x:v>
      </x:c>
      <x:c r="V629" s="28" t="n">
        <x:v>542000</x:v>
      </x:c>
      <x:c r="W629" s="3" t="str">
        <x:v>事故・水没・SOH・保証残は未確認</x:v>
      </x:c>
      <x:c r="X629" s="3" t="str">
        <x:v>掲載中・在庫未確認</x:v>
      </x:c>
      <x:c r="Y629" s="3" t="str"/>
      <x:c r="Z629" s="27" t="str">
        <x:v>https://www.taladrod.com/w40/icar/cardet.aspx?cid=2883058</x:v>
      </x:c>
      <x:c r="AA629" s="3" t="str">
        <x:v>Taladrod個別広告ID／Carsome在庫ID</x:v>
      </x:c>
      <x:c r="AB629" s="3" t="str">
        <x:v>車台番号未取得／サイト間重複は未判定</x:v>
      </x:c>
      <x:c r="AC629" s="3" t="str">
        <x:v>税込区分未確認（一覧表示額）</x:v>
      </x:c>
      <x:c r="AD629" s="3" t="str"/>
      <x:c r="AE629" s="29" t="str">
        <x:f>""</x:f>
      </x:c>
      <x:c r="AF629" s="30" t="str">
        <x:f>IF(ISNUMBER(AE629),U629/AE629,"")</x:f>
      </x:c>
      <x:c r="AG629" s="29" t="str">
        <x:f>""</x:f>
      </x:c>
      <x:c r="AH629" s="30" t="str">
        <x:f>IF(ISNUMBER(AG629),U629/AG629,"")</x:f>
      </x:c>
      <x:c r="AI629" s="3" t="str">
        <x:v>同年式・グレードの検証済み当時価格なし／登録年混在</x:v>
      </x:c>
      <x:c r="AJ629" s="3" t="str">
        <x:v>一覧価格/年式のみ</x:v>
      </x:c>
      <x:c r="AK629" s="3" t="str">
        <x:v>一覧の表示価格。年式は掲載年式。</x:v>
      </x:c>
      <x:c r="AL629" s="31" t="n">
        <x:f>IF(AND(J629&lt;='分析方法'!$B$7,OR(ISBLANK(O629),O629&gt;='分析方法'!$B$8),X629&lt;&gt;"売却済み表示"),1,0)</x:f>
        <x:v>1</x:v>
      </x:c>
      <x:c r="AM629" s="32" t="n">
        <x:f>IF(AL629=1,U629,"")</x:f>
        <x:v>459000</x:v>
      </x:c>
      <x:c r="AN629" s="33" t="str">
        <x:f>IF(AL629=1,AF629,"")</x:f>
      </x:c>
      <x:c r="AO629" s="31" t="n">
        <x:f>'分析方法'!$B$6-J629</x:f>
        <x:v>2</x:v>
      </x:c>
      <x:c r="AP629" s="3"/>
    </x:row>
    <x:row r="630" ht="22" customHeight="1">
      <x:c r="A630" s="3" t="str">
        <x:v>T2899309</x:v>
      </x:c>
      <x:c r="B630" s="7" t="d">
        <x:v>2026-10-08T00:00:00.000Z</x:v>
      </x:c>
      <x:c r="C630" s="3" t="str">
        <x:v>Taladrod</x:v>
      </x:c>
      <x:c r="D630" s="3" t="str">
        <x:v>Toyota</x:v>
      </x:c>
      <x:c r="E630" s="3" t="str">
        <x:v>日本</x:v>
      </x:c>
      <x:c r="F630" s="3" t="str">
        <x:v>Hilux Champ</x:v>
      </x:c>
      <x:c r="G630" s="3" t="str">
        <x:v>ICE</x:v>
      </x:c>
      <x:c r="H630" s="3" t="str">
        <x:v>Pickup</x:v>
      </x:c>
      <x:c r="I630" s="3" t="str">
        <x:v>キャブ不明</x:v>
      </x:c>
      <x:c r="J630" s="3" t="n">
        <x:v>2024</x:v>
      </x:c>
      <x:c r="K630" s="3" t="str">
        <x:v>2.4 LWB MT</x:v>
      </x:c>
      <x:c r="L630" s="3" t="str">
        <x:v>2.4 LWB MT</x:v>
      </x:c>
      <x:c r="M630" s="22"/>
      <x:c r="N630" s="22"/>
      <x:c r="O630" s="22"/>
      <x:c r="P630" s="3" t="str">
        <x:v>未掲載</x:v>
      </x:c>
      <x:c r="Q630" s="3" t="str">
        <x:v>未取得</x:v>
      </x:c>
      <x:c r="R630" s="3" t="str">
        <x:v>Unknown</x:v>
      </x:c>
      <x:c r="S630" s="3" t="str">
        <x:v>不明</x:v>
      </x:c>
      <x:c r="T630" s="3" t="str">
        <x:v>世代不明</x:v>
      </x:c>
      <x:c r="U630" s="28" t="n">
        <x:v>449000</x:v>
      </x:c>
      <x:c r="V630" s="28" t="n">
        <x:v>542000</x:v>
      </x:c>
      <x:c r="W630" s="3" t="str">
        <x:v>事故・水没・SOH・保証残は未確認</x:v>
      </x:c>
      <x:c r="X630" s="3" t="str">
        <x:v>掲載中・在庫未確認</x:v>
      </x:c>
      <x:c r="Y630" s="3" t="str"/>
      <x:c r="Z630" s="27" t="str">
        <x:v>https://www.taladrod.com/w40/icar/cardet.aspx?cid=2899309</x:v>
      </x:c>
      <x:c r="AA630" s="3" t="str">
        <x:v>Taladrod個別広告ID／Carsome在庫ID</x:v>
      </x:c>
      <x:c r="AB630" s="3" t="str">
        <x:v>車台番号未取得／サイト間重複は未判定</x:v>
      </x:c>
      <x:c r="AC630" s="3" t="str">
        <x:v>税込区分未確認（一覧表示額）</x:v>
      </x:c>
      <x:c r="AD630" s="3" t="str"/>
      <x:c r="AE630" s="29" t="str">
        <x:f>""</x:f>
      </x:c>
      <x:c r="AF630" s="30" t="str">
        <x:f>IF(ISNUMBER(AE630),U630/AE630,"")</x:f>
      </x:c>
      <x:c r="AG630" s="29" t="str">
        <x:f>""</x:f>
      </x:c>
      <x:c r="AH630" s="30" t="str">
        <x:f>IF(ISNUMBER(AG630),U630/AG630,"")</x:f>
      </x:c>
      <x:c r="AI630" s="3" t="str">
        <x:v>同年式・グレードの検証済み当時価格なし／登録年混在</x:v>
      </x:c>
      <x:c r="AJ630" s="3" t="str">
        <x:v>一覧価格/年式のみ</x:v>
      </x:c>
      <x:c r="AK630" s="3" t="str">
        <x:v>一覧の表示価格。年式は掲載年式。</x:v>
      </x:c>
      <x:c r="AL630" s="31" t="n">
        <x:f>IF(AND(J630&lt;='分析方法'!$B$7,OR(ISBLANK(O630),O630&gt;='分析方法'!$B$8),X630&lt;&gt;"売却済み表示"),1,0)</x:f>
        <x:v>1</x:v>
      </x:c>
      <x:c r="AM630" s="32" t="n">
        <x:f>IF(AL630=1,U630,"")</x:f>
        <x:v>449000</x:v>
      </x:c>
      <x:c r="AN630" s="33" t="str">
        <x:f>IF(AL630=1,AF630,"")</x:f>
      </x:c>
      <x:c r="AO630" s="31" t="n">
        <x:f>'分析方法'!$B$6-J630</x:f>
        <x:v>2</x:v>
      </x:c>
      <x:c r="AP630" s="3"/>
    </x:row>
    <x:row r="631" ht="22" customHeight="1">
      <x:c r="A631" s="3" t="str">
        <x:v>T2903702</x:v>
      </x:c>
      <x:c r="B631" s="7" t="d">
        <x:v>2026-10-08T00:00:00.000Z</x:v>
      </x:c>
      <x:c r="C631" s="3" t="str">
        <x:v>Taladrod</x:v>
      </x:c>
      <x:c r="D631" s="3" t="str">
        <x:v>Toyota</x:v>
      </x:c>
      <x:c r="E631" s="3" t="str">
        <x:v>日本</x:v>
      </x:c>
      <x:c r="F631" s="3" t="str">
        <x:v>Hilux Champ</x:v>
      </x:c>
      <x:c r="G631" s="3" t="str">
        <x:v>ICE</x:v>
      </x:c>
      <x:c r="H631" s="3" t="str">
        <x:v>Pickup</x:v>
      </x:c>
      <x:c r="I631" s="3" t="str">
        <x:v>キャブ不明</x:v>
      </x:c>
      <x:c r="J631" s="3" t="n">
        <x:v>2024</x:v>
      </x:c>
      <x:c r="K631" s="3" t="str">
        <x:v>2.4 LWB MT</x:v>
      </x:c>
      <x:c r="L631" s="3" t="str">
        <x:v>2.4 LWB MT</x:v>
      </x:c>
      <x:c r="M631" s="22"/>
      <x:c r="N631" s="22"/>
      <x:c r="O631" s="22"/>
      <x:c r="P631" s="3" t="str">
        <x:v>未掲載</x:v>
      </x:c>
      <x:c r="Q631" s="3" t="str">
        <x:v>未取得</x:v>
      </x:c>
      <x:c r="R631" s="3" t="str">
        <x:v>Unknown</x:v>
      </x:c>
      <x:c r="S631" s="3" t="str">
        <x:v>不明</x:v>
      </x:c>
      <x:c r="T631" s="3" t="str">
        <x:v>世代不明</x:v>
      </x:c>
      <x:c r="U631" s="28" t="n">
        <x:v>439000</x:v>
      </x:c>
      <x:c r="V631" s="28" t="n">
        <x:v>542000</x:v>
      </x:c>
      <x:c r="W631" s="3" t="str">
        <x:v>事故・水没・SOH・保証残は未確認</x:v>
      </x:c>
      <x:c r="X631" s="3" t="str">
        <x:v>掲載中・在庫未確認</x:v>
      </x:c>
      <x:c r="Y631" s="3" t="str"/>
      <x:c r="Z631" s="27" t="str">
        <x:v>https://www.taladrod.com/w40/icar/cardet.aspx?cid=2903702</x:v>
      </x:c>
      <x:c r="AA631" s="3" t="str">
        <x:v>Taladrod個別広告ID／Carsome在庫ID</x:v>
      </x:c>
      <x:c r="AB631" s="3" t="str">
        <x:v>車台番号未取得／サイト間重複は未判定</x:v>
      </x:c>
      <x:c r="AC631" s="3" t="str">
        <x:v>税込区分未確認（一覧表示額）</x:v>
      </x:c>
      <x:c r="AD631" s="3" t="str"/>
      <x:c r="AE631" s="29" t="str">
        <x:f>""</x:f>
      </x:c>
      <x:c r="AF631" s="30" t="str">
        <x:f>IF(ISNUMBER(AE631),U631/AE631,"")</x:f>
      </x:c>
      <x:c r="AG631" s="29" t="str">
        <x:f>""</x:f>
      </x:c>
      <x:c r="AH631" s="30" t="str">
        <x:f>IF(ISNUMBER(AG631),U631/AG631,"")</x:f>
      </x:c>
      <x:c r="AI631" s="3" t="str">
        <x:v>同年式・グレードの検証済み当時価格なし／登録年混在</x:v>
      </x:c>
      <x:c r="AJ631" s="3" t="str">
        <x:v>一覧価格/年式のみ</x:v>
      </x:c>
      <x:c r="AK631" s="3" t="str">
        <x:v>一覧の表示価格。年式は掲載年式。</x:v>
      </x:c>
      <x:c r="AL631" s="31" t="n">
        <x:f>IF(AND(J631&lt;='分析方法'!$B$7,OR(ISBLANK(O631),O631&gt;='分析方法'!$B$8),X631&lt;&gt;"売却済み表示"),1,0)</x:f>
        <x:v>1</x:v>
      </x:c>
      <x:c r="AM631" s="32" t="n">
        <x:f>IF(AL631=1,U631,"")</x:f>
        <x:v>439000</x:v>
      </x:c>
      <x:c r="AN631" s="33" t="str">
        <x:f>IF(AL631=1,AF631,"")</x:f>
      </x:c>
      <x:c r="AO631" s="31" t="n">
        <x:f>'分析方法'!$B$6-J631</x:f>
        <x:v>2</x:v>
      </x:c>
      <x:c r="AP631" s="3"/>
    </x:row>
    <x:row r="632" ht="22" customHeight="1">
      <x:c r="A632" s="3" t="str">
        <x:v>T2905666</x:v>
      </x:c>
      <x:c r="B632" s="7" t="d">
        <x:v>2026-10-08T00:00:00.000Z</x:v>
      </x:c>
      <x:c r="C632" s="3" t="str">
        <x:v>Taladrod</x:v>
      </x:c>
      <x:c r="D632" s="3" t="str">
        <x:v>Toyota</x:v>
      </x:c>
      <x:c r="E632" s="3" t="str">
        <x:v>日本</x:v>
      </x:c>
      <x:c r="F632" s="3" t="str">
        <x:v>Hilux Champ</x:v>
      </x:c>
      <x:c r="G632" s="3" t="str">
        <x:v>ICE</x:v>
      </x:c>
      <x:c r="H632" s="3" t="str">
        <x:v>Pickup</x:v>
      </x:c>
      <x:c r="I632" s="3" t="str">
        <x:v>キャブ不明</x:v>
      </x:c>
      <x:c r="J632" s="3" t="n">
        <x:v>2024</x:v>
      </x:c>
      <x:c r="K632" s="3" t="str">
        <x:v>2.4 LWB MT</x:v>
      </x:c>
      <x:c r="L632" s="3" t="str">
        <x:v>2.4 LWB MT</x:v>
      </x:c>
      <x:c r="M632" s="22"/>
      <x:c r="N632" s="22"/>
      <x:c r="O632" s="22"/>
      <x:c r="P632" s="3" t="str">
        <x:v>未掲載</x:v>
      </x:c>
      <x:c r="Q632" s="3" t="str">
        <x:v>未取得</x:v>
      </x:c>
      <x:c r="R632" s="3" t="str">
        <x:v>Unknown</x:v>
      </x:c>
      <x:c r="S632" s="3" t="str">
        <x:v>不明</x:v>
      </x:c>
      <x:c r="T632" s="3" t="str">
        <x:v>世代不明</x:v>
      </x:c>
      <x:c r="U632" s="28" t="n">
        <x:v>439000</x:v>
      </x:c>
      <x:c r="V632" s="28" t="n">
        <x:v>542000</x:v>
      </x:c>
      <x:c r="W632" s="3" t="str">
        <x:v>事故・水没・SOH・保証残は未確認</x:v>
      </x:c>
      <x:c r="X632" s="3" t="str">
        <x:v>掲載中・在庫未確認</x:v>
      </x:c>
      <x:c r="Y632" s="3" t="str"/>
      <x:c r="Z632" s="27" t="str">
        <x:v>https://www.taladrod.com/w40/icar/cardet.aspx?cid=2905666</x:v>
      </x:c>
      <x:c r="AA632" s="3" t="str">
        <x:v>Taladrod個別広告ID／Carsome在庫ID</x:v>
      </x:c>
      <x:c r="AB632" s="3" t="str">
        <x:v>車台番号未取得／サイト間重複は未判定</x:v>
      </x:c>
      <x:c r="AC632" s="3" t="str">
        <x:v>税込区分未確認（一覧表示額）</x:v>
      </x:c>
      <x:c r="AD632" s="3" t="str"/>
      <x:c r="AE632" s="29" t="str">
        <x:f>""</x:f>
      </x:c>
      <x:c r="AF632" s="30" t="str">
        <x:f>IF(ISNUMBER(AE632),U632/AE632,"")</x:f>
      </x:c>
      <x:c r="AG632" s="29" t="str">
        <x:f>""</x:f>
      </x:c>
      <x:c r="AH632" s="30" t="str">
        <x:f>IF(ISNUMBER(AG632),U632/AG632,"")</x:f>
      </x:c>
      <x:c r="AI632" s="3" t="str">
        <x:v>同年式・グレードの検証済み当時価格なし／登録年混在</x:v>
      </x:c>
      <x:c r="AJ632" s="3" t="str">
        <x:v>一覧価格/年式のみ</x:v>
      </x:c>
      <x:c r="AK632" s="3" t="str">
        <x:v>一覧の表示価格。年式は掲載年式。</x:v>
      </x:c>
      <x:c r="AL632" s="31" t="n">
        <x:f>IF(AND(J632&lt;='分析方法'!$B$7,OR(ISBLANK(O632),O632&gt;='分析方法'!$B$8),X632&lt;&gt;"売却済み表示"),1,0)</x:f>
        <x:v>1</x:v>
      </x:c>
      <x:c r="AM632" s="32" t="n">
        <x:f>IF(AL632=1,U632,"")</x:f>
        <x:v>439000</x:v>
      </x:c>
      <x:c r="AN632" s="33" t="str">
        <x:f>IF(AL632=1,AF632,"")</x:f>
      </x:c>
      <x:c r="AO632" s="31" t="n">
        <x:f>'分析方法'!$B$6-J632</x:f>
        <x:v>2</x:v>
      </x:c>
      <x:c r="AP632" s="3"/>
    </x:row>
    <x:row r="633" ht="22" customHeight="1">
      <x:c r="A633" s="3" t="str">
        <x:v>T2911628</x:v>
      </x:c>
      <x:c r="B633" s="7" t="d">
        <x:v>2026-10-08T00:00:00.000Z</x:v>
      </x:c>
      <x:c r="C633" s="3" t="str">
        <x:v>Taladrod</x:v>
      </x:c>
      <x:c r="D633" s="3" t="str">
        <x:v>Toyota</x:v>
      </x:c>
      <x:c r="E633" s="3" t="str">
        <x:v>日本</x:v>
      </x:c>
      <x:c r="F633" s="3" t="str">
        <x:v>Hilux Champ</x:v>
      </x:c>
      <x:c r="G633" s="3" t="str">
        <x:v>ICE</x:v>
      </x:c>
      <x:c r="H633" s="3" t="str">
        <x:v>Pickup</x:v>
      </x:c>
      <x:c r="I633" s="3" t="str">
        <x:v>キャブ不明</x:v>
      </x:c>
      <x:c r="J633" s="3" t="n">
        <x:v>2024</x:v>
      </x:c>
      <x:c r="K633" s="3" t="str">
        <x:v>2.4 LWB MT</x:v>
      </x:c>
      <x:c r="L633" s="3" t="str">
        <x:v>2.4 LWB MT</x:v>
      </x:c>
      <x:c r="M633" s="22"/>
      <x:c r="N633" s="22"/>
      <x:c r="O633" s="22"/>
      <x:c r="P633" s="3" t="str">
        <x:v>未掲載</x:v>
      </x:c>
      <x:c r="Q633" s="3" t="str">
        <x:v>未取得</x:v>
      </x:c>
      <x:c r="R633" s="3" t="str">
        <x:v>Unknown</x:v>
      </x:c>
      <x:c r="S633" s="3" t="str">
        <x:v>不明</x:v>
      </x:c>
      <x:c r="T633" s="3" t="str">
        <x:v>世代不明</x:v>
      </x:c>
      <x:c r="U633" s="28" t="n">
        <x:v>424000</x:v>
      </x:c>
      <x:c r="V633" s="28" t="n">
        <x:v>542000</x:v>
      </x:c>
      <x:c r="W633" s="3" t="str">
        <x:v>事故・水没・SOH・保証残は未確認</x:v>
      </x:c>
      <x:c r="X633" s="3" t="str">
        <x:v>掲載中・在庫未確認</x:v>
      </x:c>
      <x:c r="Y633" s="3" t="str"/>
      <x:c r="Z633" s="27" t="str">
        <x:v>https://www.taladrod.com/w40/icar/cardet.aspx?cid=2911628</x:v>
      </x:c>
      <x:c r="AA633" s="3" t="str">
        <x:v>Taladrod個別広告ID／Carsome在庫ID</x:v>
      </x:c>
      <x:c r="AB633" s="3" t="str">
        <x:v>車台番号未取得／サイト間重複は未判定</x:v>
      </x:c>
      <x:c r="AC633" s="3" t="str">
        <x:v>税込区分未確認（一覧表示額）</x:v>
      </x:c>
      <x:c r="AD633" s="3" t="str"/>
      <x:c r="AE633" s="29" t="str">
        <x:f>""</x:f>
      </x:c>
      <x:c r="AF633" s="30" t="str">
        <x:f>IF(ISNUMBER(AE633),U633/AE633,"")</x:f>
      </x:c>
      <x:c r="AG633" s="29" t="str">
        <x:f>""</x:f>
      </x:c>
      <x:c r="AH633" s="30" t="str">
        <x:f>IF(ISNUMBER(AG633),U633/AG633,"")</x:f>
      </x:c>
      <x:c r="AI633" s="3" t="str">
        <x:v>同年式・グレードの検証済み当時価格なし／登録年混在</x:v>
      </x:c>
      <x:c r="AJ633" s="3" t="str">
        <x:v>一覧価格/年式のみ</x:v>
      </x:c>
      <x:c r="AK633" s="3" t="str">
        <x:v>一覧の表示価格。年式は掲載年式。</x:v>
      </x:c>
      <x:c r="AL633" s="31" t="n">
        <x:f>IF(AND(J633&lt;='分析方法'!$B$7,OR(ISBLANK(O633),O633&gt;='分析方法'!$B$8),X633&lt;&gt;"売却済み表示"),1,0)</x:f>
        <x:v>1</x:v>
      </x:c>
      <x:c r="AM633" s="32" t="n">
        <x:f>IF(AL633=1,U633,"")</x:f>
        <x:v>424000</x:v>
      </x:c>
      <x:c r="AN633" s="33" t="str">
        <x:f>IF(AL633=1,AF633,"")</x:f>
      </x:c>
      <x:c r="AO633" s="31" t="n">
        <x:f>'分析方法'!$B$6-J633</x:f>
        <x:v>2</x:v>
      </x:c>
      <x:c r="AP633" s="3"/>
    </x:row>
    <x:row r="634" ht="22" customHeight="1">
      <x:c r="A634" s="3" t="str">
        <x:v>T2897799</x:v>
      </x:c>
      <x:c r="B634" s="7" t="d">
        <x:v>2026-10-08T00:00:00.000Z</x:v>
      </x:c>
      <x:c r="C634" s="3" t="str">
        <x:v>Taladrod</x:v>
      </x:c>
      <x:c r="D634" s="3" t="str">
        <x:v>Toyota</x:v>
      </x:c>
      <x:c r="E634" s="3" t="str">
        <x:v>日本</x:v>
      </x:c>
      <x:c r="F634" s="3" t="str">
        <x:v>Hilux Champ</x:v>
      </x:c>
      <x:c r="G634" s="3" t="str">
        <x:v>ICE</x:v>
      </x:c>
      <x:c r="H634" s="3" t="str">
        <x:v>Pickup</x:v>
      </x:c>
      <x:c r="I634" s="3" t="str">
        <x:v>キャブ不明</x:v>
      </x:c>
      <x:c r="J634" s="3" t="n">
        <x:v>2024</x:v>
      </x:c>
      <x:c r="K634" s="3" t="str">
        <x:v>2.4 SWB ATTRACTIVE PACKAGE</x:v>
      </x:c>
      <x:c r="L634" s="3" t="str">
        <x:v>2.4 SWB ATTRACTIVE PACKAGE</x:v>
      </x:c>
      <x:c r="M634" s="22"/>
      <x:c r="N634" s="22"/>
      <x:c r="O634" s="22"/>
      <x:c r="P634" s="3" t="str">
        <x:v>未掲載</x:v>
      </x:c>
      <x:c r="Q634" s="3" t="str">
        <x:v>未取得</x:v>
      </x:c>
      <x:c r="R634" s="3" t="str">
        <x:v>Unknown</x:v>
      </x:c>
      <x:c r="S634" s="3" t="str">
        <x:v>不明</x:v>
      </x:c>
      <x:c r="T634" s="3" t="str">
        <x:v>世代不明</x:v>
      </x:c>
      <x:c r="U634" s="28" t="n">
        <x:v>460000</x:v>
      </x:c>
      <x:c r="V634" s="28" t="n">
        <x:v>597000</x:v>
      </x:c>
      <x:c r="W634" s="3" t="str">
        <x:v>事故・水没・SOH・保証残は未確認</x:v>
      </x:c>
      <x:c r="X634" s="3" t="str">
        <x:v>掲載中・在庫未確認</x:v>
      </x:c>
      <x:c r="Y634" s="3" t="str"/>
      <x:c r="Z634" s="27" t="str">
        <x:v>https://www.taladrod.com/w40/icar/cardet.aspx?cid=2897799</x:v>
      </x:c>
      <x:c r="AA634" s="3" t="str">
        <x:v>Taladrod個別広告ID／Carsome在庫ID</x:v>
      </x:c>
      <x:c r="AB634" s="3" t="str">
        <x:v>車台番号未取得／サイト間重複は未判定</x:v>
      </x:c>
      <x:c r="AC634" s="3" t="str">
        <x:v>税込区分未確認（一覧表示額）</x:v>
      </x:c>
      <x:c r="AD634" s="3" t="str"/>
      <x:c r="AE634" s="29" t="str">
        <x:f>""</x:f>
      </x:c>
      <x:c r="AF634" s="30" t="str">
        <x:f>IF(ISNUMBER(AE634),U634/AE634,"")</x:f>
      </x:c>
      <x:c r="AG634" s="29" t="str">
        <x:f>""</x:f>
      </x:c>
      <x:c r="AH634" s="30" t="str">
        <x:f>IF(ISNUMBER(AG634),U634/AG634,"")</x:f>
      </x:c>
      <x:c r="AI634" s="3" t="str">
        <x:v>同年式・グレードの検証済み当時価格なし／登録年混在</x:v>
      </x:c>
      <x:c r="AJ634" s="3" t="str">
        <x:v>一覧価格/年式のみ</x:v>
      </x:c>
      <x:c r="AK634" s="3" t="str">
        <x:v>一覧の表示価格。年式は掲載年式。</x:v>
      </x:c>
      <x:c r="AL634" s="31" t="n">
        <x:f>IF(AND(J634&lt;='分析方法'!$B$7,OR(ISBLANK(O634),O634&gt;='分析方法'!$B$8),X634&lt;&gt;"売却済み表示"),1,0)</x:f>
        <x:v>1</x:v>
      </x:c>
      <x:c r="AM634" s="32" t="n">
        <x:f>IF(AL634=1,U634,"")</x:f>
        <x:v>460000</x:v>
      </x:c>
      <x:c r="AN634" s="33" t="str">
        <x:f>IF(AL634=1,AF634,"")</x:f>
      </x:c>
      <x:c r="AO634" s="31" t="n">
        <x:f>'分析方法'!$B$6-J634</x:f>
        <x:v>2</x:v>
      </x:c>
      <x:c r="AP634" s="3"/>
    </x:row>
    <x:row r="635" ht="22" customHeight="1">
      <x:c r="A635" s="3" t="str">
        <x:v>T2907662</x:v>
      </x:c>
      <x:c r="B635" s="7" t="d">
        <x:v>2026-10-08T00:00:00.000Z</x:v>
      </x:c>
      <x:c r="C635" s="3" t="str">
        <x:v>Taladrod</x:v>
      </x:c>
      <x:c r="D635" s="3" t="str">
        <x:v>Toyota</x:v>
      </x:c>
      <x:c r="E635" s="3" t="str">
        <x:v>日本</x:v>
      </x:c>
      <x:c r="F635" s="3" t="str">
        <x:v>Hilux Champ</x:v>
      </x:c>
      <x:c r="G635" s="3" t="str">
        <x:v>ICE</x:v>
      </x:c>
      <x:c r="H635" s="3" t="str">
        <x:v>Pickup</x:v>
      </x:c>
      <x:c r="I635" s="3" t="str">
        <x:v>キャブ不明</x:v>
      </x:c>
      <x:c r="J635" s="3" t="n">
        <x:v>2024</x:v>
      </x:c>
      <x:c r="K635" s="3" t="str">
        <x:v>2.4 SWB ATTRACTIVE PACKAGE</x:v>
      </x:c>
      <x:c r="L635" s="3" t="str">
        <x:v>2.4 SWB ATTRACTIVE PACKAGE</x:v>
      </x:c>
      <x:c r="M635" s="22"/>
      <x:c r="N635" s="22"/>
      <x:c r="O635" s="22"/>
      <x:c r="P635" s="3" t="str">
        <x:v>未掲載</x:v>
      </x:c>
      <x:c r="Q635" s="3" t="str">
        <x:v>未取得</x:v>
      </x:c>
      <x:c r="R635" s="3" t="str">
        <x:v>Unknown</x:v>
      </x:c>
      <x:c r="S635" s="3" t="str">
        <x:v>不明</x:v>
      </x:c>
      <x:c r="T635" s="3" t="str">
        <x:v>世代不明</x:v>
      </x:c>
      <x:c r="U635" s="28" t="n">
        <x:v>450000</x:v>
      </x:c>
      <x:c r="V635" s="28" t="n">
        <x:v>597000</x:v>
      </x:c>
      <x:c r="W635" s="3" t="str">
        <x:v>事故・水没・SOH・保証残は未確認</x:v>
      </x:c>
      <x:c r="X635" s="3" t="str">
        <x:v>掲載中・在庫未確認</x:v>
      </x:c>
      <x:c r="Y635" s="3" t="str"/>
      <x:c r="Z635" s="27" t="str">
        <x:v>https://www.taladrod.com/w40/icar/cardet.aspx?cid=2907662</x:v>
      </x:c>
      <x:c r="AA635" s="3" t="str">
        <x:v>Taladrod個別広告ID／Carsome在庫ID</x:v>
      </x:c>
      <x:c r="AB635" s="3" t="str">
        <x:v>車台番号未取得／サイト間重複は未判定</x:v>
      </x:c>
      <x:c r="AC635" s="3" t="str">
        <x:v>税込区分未確認（一覧表示額）</x:v>
      </x:c>
      <x:c r="AD635" s="3" t="str"/>
      <x:c r="AE635" s="29" t="str">
        <x:f>""</x:f>
      </x:c>
      <x:c r="AF635" s="30" t="str">
        <x:f>IF(ISNUMBER(AE635),U635/AE635,"")</x:f>
      </x:c>
      <x:c r="AG635" s="29" t="str">
        <x:f>""</x:f>
      </x:c>
      <x:c r="AH635" s="30" t="str">
        <x:f>IF(ISNUMBER(AG635),U635/AG635,"")</x:f>
      </x:c>
      <x:c r="AI635" s="3" t="str">
        <x:v>同年式・グレードの検証済み当時価格なし／登録年混在</x:v>
      </x:c>
      <x:c r="AJ635" s="3" t="str">
        <x:v>一覧価格/年式のみ</x:v>
      </x:c>
      <x:c r="AK635" s="3" t="str">
        <x:v>一覧の表示価格。年式は掲載年式。</x:v>
      </x:c>
      <x:c r="AL635" s="31" t="n">
        <x:f>IF(AND(J635&lt;='分析方法'!$B$7,OR(ISBLANK(O635),O635&gt;='分析方法'!$B$8),X635&lt;&gt;"売却済み表示"),1,0)</x:f>
        <x:v>1</x:v>
      </x:c>
      <x:c r="AM635" s="32" t="n">
        <x:f>IF(AL635=1,U635,"")</x:f>
        <x:v>450000</x:v>
      </x:c>
      <x:c r="AN635" s="33" t="str">
        <x:f>IF(AL635=1,AF635,"")</x:f>
      </x:c>
      <x:c r="AO635" s="31" t="n">
        <x:f>'分析方法'!$B$6-J635</x:f>
        <x:v>2</x:v>
      </x:c>
      <x:c r="AP635" s="3"/>
    </x:row>
    <x:row r="636" ht="22" customHeight="1">
      <x:c r="A636" s="3" t="str">
        <x:v>T2921691</x:v>
      </x:c>
      <x:c r="B636" s="7" t="d">
        <x:v>2026-10-08T00:00:00.000Z</x:v>
      </x:c>
      <x:c r="C636" s="3" t="str">
        <x:v>Taladrod</x:v>
      </x:c>
      <x:c r="D636" s="3" t="str">
        <x:v>Toyota</x:v>
      </x:c>
      <x:c r="E636" s="3" t="str">
        <x:v>日本</x:v>
      </x:c>
      <x:c r="F636" s="3" t="str">
        <x:v>Hilux Champ</x:v>
      </x:c>
      <x:c r="G636" s="3" t="str">
        <x:v>ICE</x:v>
      </x:c>
      <x:c r="H636" s="3" t="str">
        <x:v>Pickup</x:v>
      </x:c>
      <x:c r="I636" s="3" t="str">
        <x:v>キャブ不明</x:v>
      </x:c>
      <x:c r="J636" s="3" t="n">
        <x:v>2024</x:v>
      </x:c>
      <x:c r="K636" s="3" t="str">
        <x:v>2.4 SWB ATTRACTIVE PACKAGE</x:v>
      </x:c>
      <x:c r="L636" s="3" t="str">
        <x:v>2.4 SWB ATTRACTIVE PACKAGE</x:v>
      </x:c>
      <x:c r="M636" s="22"/>
      <x:c r="N636" s="22"/>
      <x:c r="O636" s="22"/>
      <x:c r="P636" s="3" t="str">
        <x:v>未掲載</x:v>
      </x:c>
      <x:c r="Q636" s="3" t="str">
        <x:v>未取得</x:v>
      </x:c>
      <x:c r="R636" s="3" t="str">
        <x:v>Unknown</x:v>
      </x:c>
      <x:c r="S636" s="3" t="str">
        <x:v>不明</x:v>
      </x:c>
      <x:c r="T636" s="3" t="str">
        <x:v>世代不明</x:v>
      </x:c>
      <x:c r="U636" s="28" t="n">
        <x:v>445000</x:v>
      </x:c>
      <x:c r="V636" s="28" t="n">
        <x:v>597000</x:v>
      </x:c>
      <x:c r="W636" s="3" t="str">
        <x:v>事故・水没・SOH・保証残は未確認</x:v>
      </x:c>
      <x:c r="X636" s="3" t="str">
        <x:v>掲載中・在庫未確認</x:v>
      </x:c>
      <x:c r="Y636" s="3" t="str"/>
      <x:c r="Z636" s="27" t="str">
        <x:v>https://www.taladrod.com/w40/icar/cardet.aspx?cid=2921691</x:v>
      </x:c>
      <x:c r="AA636" s="3" t="str">
        <x:v>Taladrod個別広告ID／Carsome在庫ID</x:v>
      </x:c>
      <x:c r="AB636" s="3" t="str">
        <x:v>車台番号未取得／サイト間重複は未判定</x:v>
      </x:c>
      <x:c r="AC636" s="3" t="str">
        <x:v>税込区分未確認（一覧表示額）</x:v>
      </x:c>
      <x:c r="AD636" s="3" t="str"/>
      <x:c r="AE636" s="29" t="str">
        <x:f>""</x:f>
      </x:c>
      <x:c r="AF636" s="30" t="str">
        <x:f>IF(ISNUMBER(AE636),U636/AE636,"")</x:f>
      </x:c>
      <x:c r="AG636" s="29" t="str">
        <x:f>""</x:f>
      </x:c>
      <x:c r="AH636" s="30" t="str">
        <x:f>IF(ISNUMBER(AG636),U636/AG636,"")</x:f>
      </x:c>
      <x:c r="AI636" s="3" t="str">
        <x:v>同年式・グレードの検証済み当時価格なし／登録年混在</x:v>
      </x:c>
      <x:c r="AJ636" s="3" t="str">
        <x:v>一覧価格/年式のみ</x:v>
      </x:c>
      <x:c r="AK636" s="3" t="str">
        <x:v>一覧の表示価格。年式は掲載年式。</x:v>
      </x:c>
      <x:c r="AL636" s="31" t="n">
        <x:f>IF(AND(J636&lt;='分析方法'!$B$7,OR(ISBLANK(O636),O636&gt;='分析方法'!$B$8),X636&lt;&gt;"売却済み表示"),1,0)</x:f>
        <x:v>1</x:v>
      </x:c>
      <x:c r="AM636" s="32" t="n">
        <x:f>IF(AL636=1,U636,"")</x:f>
        <x:v>445000</x:v>
      </x:c>
      <x:c r="AN636" s="33" t="str">
        <x:f>IF(AL636=1,AF636,"")</x:f>
      </x:c>
      <x:c r="AO636" s="31" t="n">
        <x:f>'分析方法'!$B$6-J636</x:f>
        <x:v>2</x:v>
      </x:c>
      <x:c r="AP636" s="3"/>
    </x:row>
    <x:row r="637" ht="22" customHeight="1">
      <x:c r="A637" s="3" t="str">
        <x:v>T2923548</x:v>
      </x:c>
      <x:c r="B637" s="7" t="d">
        <x:v>2026-10-08T00:00:00.000Z</x:v>
      </x:c>
      <x:c r="C637" s="3" t="str">
        <x:v>Taladrod</x:v>
      </x:c>
      <x:c r="D637" s="3" t="str">
        <x:v>Toyota</x:v>
      </x:c>
      <x:c r="E637" s="3" t="str">
        <x:v>日本</x:v>
      </x:c>
      <x:c r="F637" s="3" t="str">
        <x:v>Hilux Champ</x:v>
      </x:c>
      <x:c r="G637" s="3" t="str">
        <x:v>ICE</x:v>
      </x:c>
      <x:c r="H637" s="3" t="str">
        <x:v>Pickup</x:v>
      </x:c>
      <x:c r="I637" s="3" t="str">
        <x:v>キャブ不明</x:v>
      </x:c>
      <x:c r="J637" s="3" t="n">
        <x:v>2024</x:v>
      </x:c>
      <x:c r="K637" s="3" t="str">
        <x:v>2.4 SWB ATTRACTIVE PACKAGE</x:v>
      </x:c>
      <x:c r="L637" s="3" t="str">
        <x:v>2.4 SWB ATTRACTIVE PACKAGE</x:v>
      </x:c>
      <x:c r="M637" s="22"/>
      <x:c r="N637" s="22"/>
      <x:c r="O637" s="22"/>
      <x:c r="P637" s="3" t="str">
        <x:v>未掲載</x:v>
      </x:c>
      <x:c r="Q637" s="3" t="str">
        <x:v>未取得</x:v>
      </x:c>
      <x:c r="R637" s="3" t="str">
        <x:v>Unknown</x:v>
      </x:c>
      <x:c r="S637" s="3" t="str">
        <x:v>不明</x:v>
      </x:c>
      <x:c r="T637" s="3" t="str">
        <x:v>世代不明</x:v>
      </x:c>
      <x:c r="U637" s="28" t="n">
        <x:v>480000</x:v>
      </x:c>
      <x:c r="V637" s="28" t="n">
        <x:v>597000</x:v>
      </x:c>
      <x:c r="W637" s="3" t="str">
        <x:v>事故・水没・SOH・保証残は未確認</x:v>
      </x:c>
      <x:c r="X637" s="3" t="str">
        <x:v>掲載中・在庫未確認</x:v>
      </x:c>
      <x:c r="Y637" s="3" t="str"/>
      <x:c r="Z637" s="27" t="str">
        <x:v>https://www.taladrod.com/w40/icar/cardet.aspx?cid=2923548</x:v>
      </x:c>
      <x:c r="AA637" s="3" t="str">
        <x:v>Taladrod個別広告ID／Carsome在庫ID</x:v>
      </x:c>
      <x:c r="AB637" s="3" t="str">
        <x:v>車台番号未取得／サイト間重複は未判定</x:v>
      </x:c>
      <x:c r="AC637" s="3" t="str">
        <x:v>税込区分未確認（一覧表示額）</x:v>
      </x:c>
      <x:c r="AD637" s="3" t="str"/>
      <x:c r="AE637" s="29" t="str">
        <x:f>""</x:f>
      </x:c>
      <x:c r="AF637" s="30" t="str">
        <x:f>IF(ISNUMBER(AE637),U637/AE637,"")</x:f>
      </x:c>
      <x:c r="AG637" s="29" t="str">
        <x:f>""</x:f>
      </x:c>
      <x:c r="AH637" s="30" t="str">
        <x:f>IF(ISNUMBER(AG637),U637/AG637,"")</x:f>
      </x:c>
      <x:c r="AI637" s="3" t="str">
        <x:v>同年式・グレードの検証済み当時価格なし／登録年混在</x:v>
      </x:c>
      <x:c r="AJ637" s="3" t="str">
        <x:v>一覧価格/年式のみ</x:v>
      </x:c>
      <x:c r="AK637" s="3" t="str">
        <x:v>一覧の表示価格。年式は掲載年式。</x:v>
      </x:c>
      <x:c r="AL637" s="31" t="n">
        <x:f>IF(AND(J637&lt;='分析方法'!$B$7,OR(ISBLANK(O637),O637&gt;='分析方法'!$B$8),X637&lt;&gt;"売却済み表示"),1,0)</x:f>
        <x:v>1</x:v>
      </x:c>
      <x:c r="AM637" s="32" t="n">
        <x:f>IF(AL637=1,U637,"")</x:f>
        <x:v>480000</x:v>
      </x:c>
      <x:c r="AN637" s="33" t="str">
        <x:f>IF(AL637=1,AF637,"")</x:f>
      </x:c>
      <x:c r="AO637" s="31" t="n">
        <x:f>'分析方法'!$B$6-J637</x:f>
        <x:v>2</x:v>
      </x:c>
      <x:c r="AP637" s="3"/>
    </x:row>
    <x:row r="638" ht="22" customHeight="1">
      <x:c r="A638" s="3" t="str">
        <x:v>T2881365</x:v>
      </x:c>
      <x:c r="B638" s="7" t="d">
        <x:v>2026-10-08T00:00:00.000Z</x:v>
      </x:c>
      <x:c r="C638" s="3" t="str">
        <x:v>Taladrod</x:v>
      </x:c>
      <x:c r="D638" s="3" t="str">
        <x:v>Toyota</x:v>
      </x:c>
      <x:c r="E638" s="3" t="str">
        <x:v>日本</x:v>
      </x:c>
      <x:c r="F638" s="3" t="str">
        <x:v>Hilux Champ</x:v>
      </x:c>
      <x:c r="G638" s="3" t="str">
        <x:v>ICE</x:v>
      </x:c>
      <x:c r="H638" s="3" t="str">
        <x:v>Pickup</x:v>
      </x:c>
      <x:c r="I638" s="3" t="str">
        <x:v>キャブ不明</x:v>
      </x:c>
      <x:c r="J638" s="3" t="n">
        <x:v>2025</x:v>
      </x:c>
      <x:c r="K638" s="3" t="str">
        <x:v>2.4 LWB AT</x:v>
      </x:c>
      <x:c r="L638" s="3" t="str">
        <x:v>2.4 LWB AT</x:v>
      </x:c>
      <x:c r="M638" s="22"/>
      <x:c r="N638" s="22"/>
      <x:c r="O638" s="22"/>
      <x:c r="P638" s="3" t="str">
        <x:v>未掲載</x:v>
      </x:c>
      <x:c r="Q638" s="3" t="str">
        <x:v>未取得</x:v>
      </x:c>
      <x:c r="R638" s="3" t="str">
        <x:v>Unknown</x:v>
      </x:c>
      <x:c r="S638" s="3" t="str">
        <x:v>不明</x:v>
      </x:c>
      <x:c r="T638" s="3" t="str">
        <x:v>世代不明</x:v>
      </x:c>
      <x:c r="U638" s="28" t="n">
        <x:v>466000</x:v>
      </x:c>
      <x:c r="V638" s="28" t="n">
        <x:v>577000</x:v>
      </x:c>
      <x:c r="W638" s="3" t="str">
        <x:v>事故・水没・SOH・保証残は未確認</x:v>
      </x:c>
      <x:c r="X638" s="3" t="str">
        <x:v>掲載中・在庫未確認</x:v>
      </x:c>
      <x:c r="Y638" s="3" t="str"/>
      <x:c r="Z638" s="27" t="str">
        <x:v>https://www.taladrod.com/w40/icar/cardet.aspx?cid=2881365</x:v>
      </x:c>
      <x:c r="AA638" s="3" t="str">
        <x:v>Taladrod個別広告ID／Carsome在庫ID</x:v>
      </x:c>
      <x:c r="AB638" s="3" t="str">
        <x:v>車台番号未取得／サイト間重複は未判定</x:v>
      </x:c>
      <x:c r="AC638" s="3" t="str">
        <x:v>税込区分未確認（一覧表示額）</x:v>
      </x:c>
      <x:c r="AD638" s="3" t="str"/>
      <x:c r="AE638" s="29" t="str">
        <x:f>""</x:f>
      </x:c>
      <x:c r="AF638" s="30" t="str">
        <x:f>IF(ISNUMBER(AE638),U638/AE638,"")</x:f>
      </x:c>
      <x:c r="AG638" s="29" t="str">
        <x:f>""</x:f>
      </x:c>
      <x:c r="AH638" s="30" t="str">
        <x:f>IF(ISNUMBER(AG638),U638/AG638,"")</x:f>
      </x:c>
      <x:c r="AI638" s="3" t="str">
        <x:v>同年式・グレードの検証済み当時価格なし／登録年混在</x:v>
      </x:c>
      <x:c r="AJ638" s="3" t="str">
        <x:v>一覧価格/年式のみ</x:v>
      </x:c>
      <x:c r="AK638" s="3" t="str">
        <x:v>一覧の表示価格。年式は掲載年式。</x:v>
      </x:c>
      <x:c r="AL638" s="31" t="n">
        <x:f>IF(AND(J638&lt;='分析方法'!$B$7,OR(ISBLANK(O638),O638&gt;='分析方法'!$B$8),X638&lt;&gt;"売却済み表示"),1,0)</x:f>
        <x:v>1</x:v>
      </x:c>
      <x:c r="AM638" s="32" t="n">
        <x:f>IF(AL638=1,U638,"")</x:f>
        <x:v>466000</x:v>
      </x:c>
      <x:c r="AN638" s="33" t="str">
        <x:f>IF(AL638=1,AF638,"")</x:f>
      </x:c>
      <x:c r="AO638" s="31" t="n">
        <x:f>'分析方法'!$B$6-J638</x:f>
        <x:v>1</x:v>
      </x:c>
      <x:c r="AP638" s="3"/>
    </x:row>
    <x:row r="639" ht="22" customHeight="1">
      <x:c r="A639" s="3" t="str">
        <x:v>T2893279</x:v>
      </x:c>
      <x:c r="B639" s="7" t="d">
        <x:v>2026-10-08T00:00:00.000Z</x:v>
      </x:c>
      <x:c r="C639" s="3" t="str">
        <x:v>Taladrod</x:v>
      </x:c>
      <x:c r="D639" s="3" t="str">
        <x:v>Toyota</x:v>
      </x:c>
      <x:c r="E639" s="3" t="str">
        <x:v>日本</x:v>
      </x:c>
      <x:c r="F639" s="3" t="str">
        <x:v>Hilux Champ</x:v>
      </x:c>
      <x:c r="G639" s="3" t="str">
        <x:v>ICE</x:v>
      </x:c>
      <x:c r="H639" s="3" t="str">
        <x:v>Pickup</x:v>
      </x:c>
      <x:c r="I639" s="3" t="str">
        <x:v>キャブ不明</x:v>
      </x:c>
      <x:c r="J639" s="3" t="n">
        <x:v>2025</x:v>
      </x:c>
      <x:c r="K639" s="3" t="str">
        <x:v>2.4 LWB AT</x:v>
      </x:c>
      <x:c r="L639" s="3" t="str">
        <x:v>2.4 LWB AT</x:v>
      </x:c>
      <x:c r="M639" s="22"/>
      <x:c r="N639" s="22"/>
      <x:c r="O639" s="22"/>
      <x:c r="P639" s="3" t="str">
        <x:v>未掲載</x:v>
      </x:c>
      <x:c r="Q639" s="3" t="str">
        <x:v>未取得</x:v>
      </x:c>
      <x:c r="R639" s="3" t="str">
        <x:v>Unknown</x:v>
      </x:c>
      <x:c r="S639" s="3" t="str">
        <x:v>不明</x:v>
      </x:c>
      <x:c r="T639" s="3" t="str">
        <x:v>世代不明</x:v>
      </x:c>
      <x:c r="U639" s="28" t="n">
        <x:v>540000</x:v>
      </x:c>
      <x:c r="V639" s="28" t="n">
        <x:v>577000</x:v>
      </x:c>
      <x:c r="W639" s="3" t="str">
        <x:v>事故・水没・SOH・保証残は未確認</x:v>
      </x:c>
      <x:c r="X639" s="3" t="str">
        <x:v>掲載中・在庫未確認</x:v>
      </x:c>
      <x:c r="Y639" s="3" t="str"/>
      <x:c r="Z639" s="27" t="str">
        <x:v>https://www.taladrod.com/w40/icar/cardet.aspx?cid=2893279</x:v>
      </x:c>
      <x:c r="AA639" s="3" t="str">
        <x:v>Taladrod個別広告ID／Carsome在庫ID</x:v>
      </x:c>
      <x:c r="AB639" s="3" t="str">
        <x:v>車台番号未取得／サイト間重複は未判定</x:v>
      </x:c>
      <x:c r="AC639" s="3" t="str">
        <x:v>税込区分未確認（一覧表示額）</x:v>
      </x:c>
      <x:c r="AD639" s="3" t="str"/>
      <x:c r="AE639" s="29" t="str">
        <x:f>""</x:f>
      </x:c>
      <x:c r="AF639" s="30" t="str">
        <x:f>IF(ISNUMBER(AE639),U639/AE639,"")</x:f>
      </x:c>
      <x:c r="AG639" s="29" t="str">
        <x:f>""</x:f>
      </x:c>
      <x:c r="AH639" s="30" t="str">
        <x:f>IF(ISNUMBER(AG639),U639/AG639,"")</x:f>
      </x:c>
      <x:c r="AI639" s="3" t="str">
        <x:v>同年式・グレードの検証済み当時価格なし／登録年混在</x:v>
      </x:c>
      <x:c r="AJ639" s="3" t="str">
        <x:v>一覧価格/年式のみ</x:v>
      </x:c>
      <x:c r="AK639" s="3" t="str">
        <x:v>一覧の表示価格。年式は掲載年式。</x:v>
      </x:c>
      <x:c r="AL639" s="31" t="n">
        <x:f>IF(AND(J639&lt;='分析方法'!$B$7,OR(ISBLANK(O639),O639&gt;='分析方法'!$B$8),X639&lt;&gt;"売却済み表示"),1,0)</x:f>
        <x:v>1</x:v>
      </x:c>
      <x:c r="AM639" s="32" t="n">
        <x:f>IF(AL639=1,U639,"")</x:f>
        <x:v>540000</x:v>
      </x:c>
      <x:c r="AN639" s="33" t="str">
        <x:f>IF(AL639=1,AF639,"")</x:f>
      </x:c>
      <x:c r="AO639" s="31" t="n">
        <x:f>'分析方法'!$B$6-J639</x:f>
        <x:v>1</x:v>
      </x:c>
      <x:c r="AP639" s="3"/>
    </x:row>
    <x:row r="640" ht="22" customHeight="1">
      <x:c r="A640" s="3" t="str">
        <x:v>T2907503</x:v>
      </x:c>
      <x:c r="B640" s="7" t="d">
        <x:v>2026-10-08T00:00:00.000Z</x:v>
      </x:c>
      <x:c r="C640" s="3" t="str">
        <x:v>Taladrod</x:v>
      </x:c>
      <x:c r="D640" s="3" t="str">
        <x:v>Toyota</x:v>
      </x:c>
      <x:c r="E640" s="3" t="str">
        <x:v>日本</x:v>
      </x:c>
      <x:c r="F640" s="3" t="str">
        <x:v>Hilux Champ</x:v>
      </x:c>
      <x:c r="G640" s="3" t="str">
        <x:v>ICE</x:v>
      </x:c>
      <x:c r="H640" s="3" t="str">
        <x:v>Pickup</x:v>
      </x:c>
      <x:c r="I640" s="3" t="str">
        <x:v>キャブ不明</x:v>
      </x:c>
      <x:c r="J640" s="3" t="n">
        <x:v>2025</x:v>
      </x:c>
      <x:c r="K640" s="3" t="str">
        <x:v>2.4 LWB AT</x:v>
      </x:c>
      <x:c r="L640" s="3" t="str">
        <x:v>2.4 LWB AT</x:v>
      </x:c>
      <x:c r="M640" s="22"/>
      <x:c r="N640" s="22"/>
      <x:c r="O640" s="22"/>
      <x:c r="P640" s="3" t="str">
        <x:v>未掲載</x:v>
      </x:c>
      <x:c r="Q640" s="3" t="str">
        <x:v>未取得</x:v>
      </x:c>
      <x:c r="R640" s="3" t="str">
        <x:v>Unknown</x:v>
      </x:c>
      <x:c r="S640" s="3" t="str">
        <x:v>不明</x:v>
      </x:c>
      <x:c r="T640" s="3" t="str">
        <x:v>世代不明</x:v>
      </x:c>
      <x:c r="U640" s="28" t="n">
        <x:v>450000</x:v>
      </x:c>
      <x:c r="V640" s="28" t="n">
        <x:v>577000</x:v>
      </x:c>
      <x:c r="W640" s="3" t="str">
        <x:v>事故・水没・SOH・保証残は未確認</x:v>
      </x:c>
      <x:c r="X640" s="3" t="str">
        <x:v>掲載中・在庫未確認</x:v>
      </x:c>
      <x:c r="Y640" s="3" t="str"/>
      <x:c r="Z640" s="27" t="str">
        <x:v>https://www.taladrod.com/w40/icar/cardet.aspx?cid=2907503</x:v>
      </x:c>
      <x:c r="AA640" s="3" t="str">
        <x:v>Taladrod個別広告ID／Carsome在庫ID</x:v>
      </x:c>
      <x:c r="AB640" s="3" t="str">
        <x:v>車台番号未取得／サイト間重複は未判定</x:v>
      </x:c>
      <x:c r="AC640" s="3" t="str">
        <x:v>税込区分未確認（一覧表示額）</x:v>
      </x:c>
      <x:c r="AD640" s="3" t="str"/>
      <x:c r="AE640" s="29" t="str">
        <x:f>""</x:f>
      </x:c>
      <x:c r="AF640" s="30" t="str">
        <x:f>IF(ISNUMBER(AE640),U640/AE640,"")</x:f>
      </x:c>
      <x:c r="AG640" s="29" t="str">
        <x:f>""</x:f>
      </x:c>
      <x:c r="AH640" s="30" t="str">
        <x:f>IF(ISNUMBER(AG640),U640/AG640,"")</x:f>
      </x:c>
      <x:c r="AI640" s="3" t="str">
        <x:v>同年式・グレードの検証済み当時価格なし／登録年混在</x:v>
      </x:c>
      <x:c r="AJ640" s="3" t="str">
        <x:v>一覧価格/年式のみ</x:v>
      </x:c>
      <x:c r="AK640" s="3" t="str">
        <x:v>一覧の表示価格。年式は掲載年式。</x:v>
      </x:c>
      <x:c r="AL640" s="31" t="n">
        <x:f>IF(AND(J640&lt;='分析方法'!$B$7,OR(ISBLANK(O640),O640&gt;='分析方法'!$B$8),X640&lt;&gt;"売却済み表示"),1,0)</x:f>
        <x:v>1</x:v>
      </x:c>
      <x:c r="AM640" s="32" t="n">
        <x:f>IF(AL640=1,U640,"")</x:f>
        <x:v>450000</x:v>
      </x:c>
      <x:c r="AN640" s="33" t="str">
        <x:f>IF(AL640=1,AF640,"")</x:f>
      </x:c>
      <x:c r="AO640" s="31" t="n">
        <x:f>'分析方法'!$B$6-J640</x:f>
        <x:v>1</x:v>
      </x:c>
      <x:c r="AP640" s="3"/>
    </x:row>
    <x:row r="641" ht="22" customHeight="1">
      <x:c r="A641" s="3" t="str">
        <x:v>T2909013</x:v>
      </x:c>
      <x:c r="B641" s="7" t="d">
        <x:v>2026-10-08T00:00:00.000Z</x:v>
      </x:c>
      <x:c r="C641" s="3" t="str">
        <x:v>Taladrod</x:v>
      </x:c>
      <x:c r="D641" s="3" t="str">
        <x:v>Toyota</x:v>
      </x:c>
      <x:c r="E641" s="3" t="str">
        <x:v>日本</x:v>
      </x:c>
      <x:c r="F641" s="3" t="str">
        <x:v>Hilux Champ</x:v>
      </x:c>
      <x:c r="G641" s="3" t="str">
        <x:v>ICE</x:v>
      </x:c>
      <x:c r="H641" s="3" t="str">
        <x:v>Pickup</x:v>
      </x:c>
      <x:c r="I641" s="3" t="str">
        <x:v>キャブ不明</x:v>
      </x:c>
      <x:c r="J641" s="3" t="n">
        <x:v>2025</x:v>
      </x:c>
      <x:c r="K641" s="3" t="str">
        <x:v>2.4 LWB AT</x:v>
      </x:c>
      <x:c r="L641" s="3" t="str">
        <x:v>2.4 LWB AT</x:v>
      </x:c>
      <x:c r="M641" s="22"/>
      <x:c r="N641" s="22"/>
      <x:c r="O641" s="22"/>
      <x:c r="P641" s="3" t="str">
        <x:v>未掲載</x:v>
      </x:c>
      <x:c r="Q641" s="3" t="str">
        <x:v>未取得</x:v>
      </x:c>
      <x:c r="R641" s="3" t="str">
        <x:v>Unknown</x:v>
      </x:c>
      <x:c r="S641" s="3" t="str">
        <x:v>不明</x:v>
      </x:c>
      <x:c r="T641" s="3" t="str">
        <x:v>世代不明</x:v>
      </x:c>
      <x:c r="U641" s="28" t="n">
        <x:v>489000</x:v>
      </x:c>
      <x:c r="V641" s="28" t="n">
        <x:v>577000</x:v>
      </x:c>
      <x:c r="W641" s="3" t="str">
        <x:v>事故・水没・SOH・保証残は未確認</x:v>
      </x:c>
      <x:c r="X641" s="3" t="str">
        <x:v>掲載中・在庫未確認</x:v>
      </x:c>
      <x:c r="Y641" s="3" t="str"/>
      <x:c r="Z641" s="27" t="str">
        <x:v>https://www.taladrod.com/w40/icar/cardet.aspx?cid=2909013</x:v>
      </x:c>
      <x:c r="AA641" s="3" t="str">
        <x:v>Taladrod個別広告ID／Carsome在庫ID</x:v>
      </x:c>
      <x:c r="AB641" s="3" t="str">
        <x:v>車台番号未取得／サイト間重複は未判定</x:v>
      </x:c>
      <x:c r="AC641" s="3" t="str">
        <x:v>税込区分未確認（一覧表示額）</x:v>
      </x:c>
      <x:c r="AD641" s="3" t="str"/>
      <x:c r="AE641" s="29" t="str">
        <x:f>""</x:f>
      </x:c>
      <x:c r="AF641" s="30" t="str">
        <x:f>IF(ISNUMBER(AE641),U641/AE641,"")</x:f>
      </x:c>
      <x:c r="AG641" s="29" t="str">
        <x:f>""</x:f>
      </x:c>
      <x:c r="AH641" s="30" t="str">
        <x:f>IF(ISNUMBER(AG641),U641/AG641,"")</x:f>
      </x:c>
      <x:c r="AI641" s="3" t="str">
        <x:v>同年式・グレードの検証済み当時価格なし／登録年混在</x:v>
      </x:c>
      <x:c r="AJ641" s="3" t="str">
        <x:v>一覧価格/年式のみ</x:v>
      </x:c>
      <x:c r="AK641" s="3" t="str">
        <x:v>一覧の表示価格。年式は掲載年式。</x:v>
      </x:c>
      <x:c r="AL641" s="31" t="n">
        <x:f>IF(AND(J641&lt;='分析方法'!$B$7,OR(ISBLANK(O641),O641&gt;='分析方法'!$B$8),X641&lt;&gt;"売却済み表示"),1,0)</x:f>
        <x:v>1</x:v>
      </x:c>
      <x:c r="AM641" s="32" t="n">
        <x:f>IF(AL641=1,U641,"")</x:f>
        <x:v>489000</x:v>
      </x:c>
      <x:c r="AN641" s="33" t="str">
        <x:f>IF(AL641=1,AF641,"")</x:f>
      </x:c>
      <x:c r="AO641" s="31" t="n">
        <x:f>'分析方法'!$B$6-J641</x:f>
        <x:v>1</x:v>
      </x:c>
      <x:c r="AP641" s="3"/>
    </x:row>
    <x:row r="642" ht="22" customHeight="1">
      <x:c r="A642" s="3" t="str">
        <x:v>T2894595</x:v>
      </x:c>
      <x:c r="B642" s="7" t="d">
        <x:v>2026-10-08T00:00:00.000Z</x:v>
      </x:c>
      <x:c r="C642" s="3" t="str">
        <x:v>Taladrod</x:v>
      </x:c>
      <x:c r="D642" s="3" t="str">
        <x:v>Toyota</x:v>
      </x:c>
      <x:c r="E642" s="3" t="str">
        <x:v>日本</x:v>
      </x:c>
      <x:c r="F642" s="3" t="str">
        <x:v>Hilux Champ</x:v>
      </x:c>
      <x:c r="G642" s="3" t="str">
        <x:v>ICE</x:v>
      </x:c>
      <x:c r="H642" s="3" t="str">
        <x:v>Pickup</x:v>
      </x:c>
      <x:c r="I642" s="3" t="str">
        <x:v>キャブ不明</x:v>
      </x:c>
      <x:c r="J642" s="3" t="n">
        <x:v>2025</x:v>
      </x:c>
      <x:c r="K642" s="3" t="str">
        <x:v>2.4 LWB C&amp;C</x:v>
      </x:c>
      <x:c r="L642" s="3" t="str">
        <x:v>2.4 LWB C&amp;C</x:v>
      </x:c>
      <x:c r="M642" s="22"/>
      <x:c r="N642" s="22"/>
      <x:c r="O642" s="22"/>
      <x:c r="P642" s="3" t="str">
        <x:v>未掲載</x:v>
      </x:c>
      <x:c r="Q642" s="3" t="str">
        <x:v>未取得</x:v>
      </x:c>
      <x:c r="R642" s="3" t="str">
        <x:v>Unknown</x:v>
      </x:c>
      <x:c r="S642" s="3" t="str">
        <x:v>不明</x:v>
      </x:c>
      <x:c r="T642" s="3" t="str">
        <x:v>世代不明</x:v>
      </x:c>
      <x:c r="U642" s="28" t="n">
        <x:v>488000</x:v>
      </x:c>
      <x:c r="V642" s="28" t="n">
        <x:v>514000</x:v>
      </x:c>
      <x:c r="W642" s="3" t="str">
        <x:v>事故・水没・SOH・保証残は未確認</x:v>
      </x:c>
      <x:c r="X642" s="3" t="str">
        <x:v>掲載中・在庫未確認</x:v>
      </x:c>
      <x:c r="Y642" s="3" t="str"/>
      <x:c r="Z642" s="27" t="str">
        <x:v>https://www.taladrod.com/w40/icar/cardet.aspx?cid=2894595</x:v>
      </x:c>
      <x:c r="AA642" s="3" t="str">
        <x:v>Taladrod個別広告ID／Carsome在庫ID</x:v>
      </x:c>
      <x:c r="AB642" s="3" t="str">
        <x:v>車台番号未取得／サイト間重複は未判定</x:v>
      </x:c>
      <x:c r="AC642" s="3" t="str">
        <x:v>税込区分未確認（一覧表示額）</x:v>
      </x:c>
      <x:c r="AD642" s="3" t="str"/>
      <x:c r="AE642" s="29" t="str">
        <x:f>""</x:f>
      </x:c>
      <x:c r="AF642" s="30" t="str">
        <x:f>IF(ISNUMBER(AE642),U642/AE642,"")</x:f>
      </x:c>
      <x:c r="AG642" s="29" t="str">
        <x:f>""</x:f>
      </x:c>
      <x:c r="AH642" s="30" t="str">
        <x:f>IF(ISNUMBER(AG642),U642/AG642,"")</x:f>
      </x:c>
      <x:c r="AI642" s="3" t="str">
        <x:v>同年式・グレードの検証済み当時価格なし／登録年混在</x:v>
      </x:c>
      <x:c r="AJ642" s="3" t="str">
        <x:v>一覧価格/年式のみ</x:v>
      </x:c>
      <x:c r="AK642" s="3" t="str">
        <x:v>一覧の表示価格。年式は掲載年式。</x:v>
      </x:c>
      <x:c r="AL642" s="31" t="n">
        <x:f>IF(AND(J642&lt;='分析方法'!$B$7,OR(ISBLANK(O642),O642&gt;='分析方法'!$B$8),X642&lt;&gt;"売却済み表示"),1,0)</x:f>
        <x:v>1</x:v>
      </x:c>
      <x:c r="AM642" s="32" t="n">
        <x:f>IF(AL642=1,U642,"")</x:f>
        <x:v>488000</x:v>
      </x:c>
      <x:c r="AN642" s="33" t="str">
        <x:f>IF(AL642=1,AF642,"")</x:f>
      </x:c>
      <x:c r="AO642" s="31" t="n">
        <x:f>'分析方法'!$B$6-J642</x:f>
        <x:v>1</x:v>
      </x:c>
      <x:c r="AP642" s="3"/>
    </x:row>
    <x:row r="643" ht="22" customHeight="1">
      <x:c r="A643" s="3" t="str">
        <x:v>T2905796</x:v>
      </x:c>
      <x:c r="B643" s="7" t="d">
        <x:v>2026-10-08T00:00:00.000Z</x:v>
      </x:c>
      <x:c r="C643" s="3" t="str">
        <x:v>Taladrod</x:v>
      </x:c>
      <x:c r="D643" s="3" t="str">
        <x:v>Toyota</x:v>
      </x:c>
      <x:c r="E643" s="3" t="str">
        <x:v>日本</x:v>
      </x:c>
      <x:c r="F643" s="3" t="str">
        <x:v>Hilux Champ</x:v>
      </x:c>
      <x:c r="G643" s="3" t="str">
        <x:v>ICE</x:v>
      </x:c>
      <x:c r="H643" s="3" t="str">
        <x:v>Pickup</x:v>
      </x:c>
      <x:c r="I643" s="3" t="str">
        <x:v>キャブ不明</x:v>
      </x:c>
      <x:c r="J643" s="3" t="n">
        <x:v>2025</x:v>
      </x:c>
      <x:c r="K643" s="3" t="str">
        <x:v>2.4 SWB ATTRACTIVE PACKAGE</x:v>
      </x:c>
      <x:c r="L643" s="3" t="str">
        <x:v>2.4 SWB ATTRACTIVE PACKAGE</x:v>
      </x:c>
      <x:c r="M643" s="22"/>
      <x:c r="N643" s="22"/>
      <x:c r="O643" s="22"/>
      <x:c r="P643" s="3" t="str">
        <x:v>未掲載</x:v>
      </x:c>
      <x:c r="Q643" s="3" t="str">
        <x:v>未取得</x:v>
      </x:c>
      <x:c r="R643" s="3" t="str">
        <x:v>Unknown</x:v>
      </x:c>
      <x:c r="S643" s="3" t="str">
        <x:v>不明</x:v>
      </x:c>
      <x:c r="T643" s="3" t="str">
        <x:v>世代不明</x:v>
      </x:c>
      <x:c r="U643" s="28" t="n">
        <x:v>469000</x:v>
      </x:c>
      <x:c r="V643" s="28" t="n">
        <x:v>597000</x:v>
      </x:c>
      <x:c r="W643" s="3" t="str">
        <x:v>事故・水没・SOH・保証残は未確認</x:v>
      </x:c>
      <x:c r="X643" s="3" t="str">
        <x:v>掲載中・在庫未確認</x:v>
      </x:c>
      <x:c r="Y643" s="3" t="str"/>
      <x:c r="Z643" s="27" t="str">
        <x:v>https://www.taladrod.com/w40/icar/cardet.aspx?cid=2905796</x:v>
      </x:c>
      <x:c r="AA643" s="3" t="str">
        <x:v>Taladrod個別広告ID／Carsome在庫ID</x:v>
      </x:c>
      <x:c r="AB643" s="3" t="str">
        <x:v>車台番号未取得／サイト間重複は未判定</x:v>
      </x:c>
      <x:c r="AC643" s="3" t="str">
        <x:v>税込区分未確認（一覧表示額）</x:v>
      </x:c>
      <x:c r="AD643" s="3" t="str"/>
      <x:c r="AE643" s="29" t="str">
        <x:f>""</x:f>
      </x:c>
      <x:c r="AF643" s="30" t="str">
        <x:f>IF(ISNUMBER(AE643),U643/AE643,"")</x:f>
      </x:c>
      <x:c r="AG643" s="29" t="str">
        <x:f>""</x:f>
      </x:c>
      <x:c r="AH643" s="30" t="str">
        <x:f>IF(ISNUMBER(AG643),U643/AG643,"")</x:f>
      </x:c>
      <x:c r="AI643" s="3" t="str">
        <x:v>同年式・グレードの検証済み当時価格なし／登録年混在</x:v>
      </x:c>
      <x:c r="AJ643" s="3" t="str">
        <x:v>一覧価格/年式のみ</x:v>
      </x:c>
      <x:c r="AK643" s="3" t="str">
        <x:v>一覧の表示価格。年式は掲載年式。</x:v>
      </x:c>
      <x:c r="AL643" s="31" t="n">
        <x:f>IF(AND(J643&lt;='分析方法'!$B$7,OR(ISBLANK(O643),O643&gt;='分析方法'!$B$8),X643&lt;&gt;"売却済み表示"),1,0)</x:f>
        <x:v>1</x:v>
      </x:c>
      <x:c r="AM643" s="32" t="n">
        <x:f>IF(AL643=1,U643,"")</x:f>
        <x:v>469000</x:v>
      </x:c>
      <x:c r="AN643" s="33" t="str">
        <x:f>IF(AL643=1,AF643,"")</x:f>
      </x:c>
      <x:c r="AO643" s="31" t="n">
        <x:f>'分析方法'!$B$6-J643</x:f>
        <x:v>1</x:v>
      </x:c>
      <x:c r="AP643" s="3"/>
    </x:row>
    <x:row r="644" ht="22" customHeight="1">
      <x:c r="A644" s="3" t="str">
        <x:v>T2912207</x:v>
      </x:c>
      <x:c r="B644" s="7" t="d">
        <x:v>2026-10-08T00:00:00.000Z</x:v>
      </x:c>
      <x:c r="C644" s="3" t="str">
        <x:v>Taladrod</x:v>
      </x:c>
      <x:c r="D644" s="3" t="str">
        <x:v>Toyota</x:v>
      </x:c>
      <x:c r="E644" s="3" t="str">
        <x:v>日本</x:v>
      </x:c>
      <x:c r="F644" s="3" t="str">
        <x:v>Hilux Champ</x:v>
      </x:c>
      <x:c r="G644" s="3" t="str">
        <x:v>ICE</x:v>
      </x:c>
      <x:c r="H644" s="3" t="str">
        <x:v>Pickup</x:v>
      </x:c>
      <x:c r="I644" s="3" t="str">
        <x:v>キャブ不明</x:v>
      </x:c>
      <x:c r="J644" s="3" t="n">
        <x:v>2025</x:v>
      </x:c>
      <x:c r="K644" s="3" t="str">
        <x:v>2.4 SWB ATTRACTIVE PACKAGE</x:v>
      </x:c>
      <x:c r="L644" s="3" t="str">
        <x:v>2.4 SWB ATTRACTIVE PACKAGE</x:v>
      </x:c>
      <x:c r="M644" s="22"/>
      <x:c r="N644" s="22"/>
      <x:c r="O644" s="22"/>
      <x:c r="P644" s="3" t="str">
        <x:v>未掲載</x:v>
      </x:c>
      <x:c r="Q644" s="3" t="str">
        <x:v>未取得</x:v>
      </x:c>
      <x:c r="R644" s="3" t="str">
        <x:v>Unknown</x:v>
      </x:c>
      <x:c r="S644" s="3" t="str">
        <x:v>不明</x:v>
      </x:c>
      <x:c r="T644" s="3" t="str">
        <x:v>世代不明</x:v>
      </x:c>
      <x:c r="U644" s="28" t="n">
        <x:v>469000</x:v>
      </x:c>
      <x:c r="V644" s="28" t="n">
        <x:v>597000</x:v>
      </x:c>
      <x:c r="W644" s="3" t="str">
        <x:v>事故・水没・SOH・保証残は未確認</x:v>
      </x:c>
      <x:c r="X644" s="3" t="str">
        <x:v>掲載中・在庫未確認</x:v>
      </x:c>
      <x:c r="Y644" s="3" t="str"/>
      <x:c r="Z644" s="27" t="str">
        <x:v>https://www.taladrod.com/w40/icar/cardet.aspx?cid=2912207</x:v>
      </x:c>
      <x:c r="AA644" s="3" t="str">
        <x:v>Taladrod個別広告ID／Carsome在庫ID</x:v>
      </x:c>
      <x:c r="AB644" s="3" t="str">
        <x:v>車台番号未取得／サイト間重複は未判定</x:v>
      </x:c>
      <x:c r="AC644" s="3" t="str">
        <x:v>税込区分未確認（一覧表示額）</x:v>
      </x:c>
      <x:c r="AD644" s="3" t="str"/>
      <x:c r="AE644" s="29" t="str">
        <x:f>""</x:f>
      </x:c>
      <x:c r="AF644" s="30" t="str">
        <x:f>IF(ISNUMBER(AE644),U644/AE644,"")</x:f>
      </x:c>
      <x:c r="AG644" s="29" t="str">
        <x:f>""</x:f>
      </x:c>
      <x:c r="AH644" s="30" t="str">
        <x:f>IF(ISNUMBER(AG644),U644/AG644,"")</x:f>
      </x:c>
      <x:c r="AI644" s="3" t="str">
        <x:v>同年式・グレードの検証済み当時価格なし／登録年混在</x:v>
      </x:c>
      <x:c r="AJ644" s="3" t="str">
        <x:v>一覧価格/年式のみ</x:v>
      </x:c>
      <x:c r="AK644" s="3" t="str">
        <x:v>一覧の表示価格。年式は掲載年式。</x:v>
      </x:c>
      <x:c r="AL644" s="31" t="n">
        <x:f>IF(AND(J644&lt;='分析方法'!$B$7,OR(ISBLANK(O644),O644&gt;='分析方法'!$B$8),X644&lt;&gt;"売却済み表示"),1,0)</x:f>
        <x:v>1</x:v>
      </x:c>
      <x:c r="AM644" s="32" t="n">
        <x:f>IF(AL644=1,U644,"")</x:f>
        <x:v>469000</x:v>
      </x:c>
      <x:c r="AN644" s="33" t="str">
        <x:f>IF(AL644=1,AF644,"")</x:f>
      </x:c>
      <x:c r="AO644" s="31" t="n">
        <x:f>'分析方法'!$B$6-J644</x:f>
        <x:v>1</x:v>
      </x:c>
      <x:c r="AP644" s="3"/>
    </x:row>
    <x:row r="645" ht="22" customHeight="1">
      <x:c r="A645" s="3" t="str">
        <x:v>T2917788</x:v>
      </x:c>
      <x:c r="B645" s="7" t="d">
        <x:v>2026-10-08T00:00:00.000Z</x:v>
      </x:c>
      <x:c r="C645" s="3" t="str">
        <x:v>Taladrod</x:v>
      </x:c>
      <x:c r="D645" s="3" t="str">
        <x:v>Toyota</x:v>
      </x:c>
      <x:c r="E645" s="3" t="str">
        <x:v>日本</x:v>
      </x:c>
      <x:c r="F645" s="3" t="str">
        <x:v>Hilux Champ</x:v>
      </x:c>
      <x:c r="G645" s="3" t="str">
        <x:v>ICE</x:v>
      </x:c>
      <x:c r="H645" s="3" t="str">
        <x:v>Pickup</x:v>
      </x:c>
      <x:c r="I645" s="3" t="str">
        <x:v>キャブ不明</x:v>
      </x:c>
      <x:c r="J645" s="3" t="n">
        <x:v>2025</x:v>
      </x:c>
      <x:c r="K645" s="3" t="str">
        <x:v>2.4 SWB ATTRACTIVE PACKAGE</x:v>
      </x:c>
      <x:c r="L645" s="3" t="str">
        <x:v>2.4 SWB ATTRACTIVE PACKAGE</x:v>
      </x:c>
      <x:c r="M645" s="22"/>
      <x:c r="N645" s="22"/>
      <x:c r="O645" s="22"/>
      <x:c r="P645" s="3" t="str">
        <x:v>未掲載</x:v>
      </x:c>
      <x:c r="Q645" s="3" t="str">
        <x:v>未取得</x:v>
      </x:c>
      <x:c r="R645" s="3" t="str">
        <x:v>Unknown</x:v>
      </x:c>
      <x:c r="S645" s="3" t="str">
        <x:v>不明</x:v>
      </x:c>
      <x:c r="T645" s="3" t="str">
        <x:v>世代不明</x:v>
      </x:c>
      <x:c r="U645" s="28" t="n">
        <x:v>464000</x:v>
      </x:c>
      <x:c r="V645" s="28" t="n">
        <x:v>597000</x:v>
      </x:c>
      <x:c r="W645" s="3" t="str">
        <x:v>事故・水没・SOH・保証残は未確認</x:v>
      </x:c>
      <x:c r="X645" s="3" t="str">
        <x:v>掲載中・在庫未確認</x:v>
      </x:c>
      <x:c r="Y645" s="3" t="str"/>
      <x:c r="Z645" s="27" t="str">
        <x:v>https://www.taladrod.com/w40/icar/cardet.aspx?cid=2917788</x:v>
      </x:c>
      <x:c r="AA645" s="3" t="str">
        <x:v>Taladrod個別広告ID／Carsome在庫ID</x:v>
      </x:c>
      <x:c r="AB645" s="3" t="str">
        <x:v>車台番号未取得／サイト間重複は未判定</x:v>
      </x:c>
      <x:c r="AC645" s="3" t="str">
        <x:v>税込区分未確認（一覧表示額）</x:v>
      </x:c>
      <x:c r="AD645" s="3" t="str"/>
      <x:c r="AE645" s="29" t="str">
        <x:f>""</x:f>
      </x:c>
      <x:c r="AF645" s="30" t="str">
        <x:f>IF(ISNUMBER(AE645),U645/AE645,"")</x:f>
      </x:c>
      <x:c r="AG645" s="29" t="str">
        <x:f>""</x:f>
      </x:c>
      <x:c r="AH645" s="30" t="str">
        <x:f>IF(ISNUMBER(AG645),U645/AG645,"")</x:f>
      </x:c>
      <x:c r="AI645" s="3" t="str">
        <x:v>同年式・グレードの検証済み当時価格なし／登録年混在</x:v>
      </x:c>
      <x:c r="AJ645" s="3" t="str">
        <x:v>一覧価格/年式のみ</x:v>
      </x:c>
      <x:c r="AK645" s="3" t="str">
        <x:v>一覧の表示価格。年式は掲載年式。</x:v>
      </x:c>
      <x:c r="AL645" s="31" t="n">
        <x:f>IF(AND(J645&lt;='分析方法'!$B$7,OR(ISBLANK(O645),O645&gt;='分析方法'!$B$8),X645&lt;&gt;"売却済み表示"),1,0)</x:f>
        <x:v>1</x:v>
      </x:c>
      <x:c r="AM645" s="32" t="n">
        <x:f>IF(AL645=1,U645,"")</x:f>
        <x:v>464000</x:v>
      </x:c>
      <x:c r="AN645" s="33" t="str">
        <x:f>IF(AL645=1,AF645,"")</x:f>
      </x:c>
      <x:c r="AO645" s="31" t="n">
        <x:f>'分析方法'!$B$6-J645</x:f>
        <x:v>1</x:v>
      </x:c>
      <x:c r="AP645" s="3"/>
    </x:row>
    <x:row r="646" ht="22" customHeight="1">
      <x:c r="A646" s="3" t="str">
        <x:v>T2921926</x:v>
      </x:c>
      <x:c r="B646" s="7" t="d">
        <x:v>2026-10-08T00:00:00.000Z</x:v>
      </x:c>
      <x:c r="C646" s="3" t="str">
        <x:v>Taladrod</x:v>
      </x:c>
      <x:c r="D646" s="3" t="str">
        <x:v>Toyota</x:v>
      </x:c>
      <x:c r="E646" s="3" t="str">
        <x:v>日本</x:v>
      </x:c>
      <x:c r="F646" s="3" t="str">
        <x:v>Hilux Champ</x:v>
      </x:c>
      <x:c r="G646" s="3" t="str">
        <x:v>ICE</x:v>
      </x:c>
      <x:c r="H646" s="3" t="str">
        <x:v>Pickup</x:v>
      </x:c>
      <x:c r="I646" s="3" t="str">
        <x:v>キャブ不明</x:v>
      </x:c>
      <x:c r="J646" s="3" t="n">
        <x:v>2025</x:v>
      </x:c>
      <x:c r="K646" s="3" t="str">
        <x:v>2.4 SWB ATTRACTIVE PACKAGE</x:v>
      </x:c>
      <x:c r="L646" s="3" t="str">
        <x:v>2.4 SWB ATTRACTIVE PACKAGE</x:v>
      </x:c>
      <x:c r="M646" s="22"/>
      <x:c r="N646" s="22"/>
      <x:c r="O646" s="22"/>
      <x:c r="P646" s="3" t="str">
        <x:v>未掲載</x:v>
      </x:c>
      <x:c r="Q646" s="3" t="str">
        <x:v>未取得</x:v>
      </x:c>
      <x:c r="R646" s="3" t="str">
        <x:v>Unknown</x:v>
      </x:c>
      <x:c r="S646" s="3" t="str">
        <x:v>不明</x:v>
      </x:c>
      <x:c r="T646" s="3" t="str">
        <x:v>世代不明</x:v>
      </x:c>
      <x:c r="U646" s="28" t="n">
        <x:v>464000</x:v>
      </x:c>
      <x:c r="V646" s="28" t="n">
        <x:v>597000</x:v>
      </x:c>
      <x:c r="W646" s="3" t="str">
        <x:v>事故・水没・SOH・保証残は未確認</x:v>
      </x:c>
      <x:c r="X646" s="3" t="str">
        <x:v>掲載中・在庫未確認</x:v>
      </x:c>
      <x:c r="Y646" s="3" t="str"/>
      <x:c r="Z646" s="27" t="str">
        <x:v>https://www.taladrod.com/w40/icar/cardet.aspx?cid=2921926</x:v>
      </x:c>
      <x:c r="AA646" s="3" t="str">
        <x:v>Taladrod個別広告ID／Carsome在庫ID</x:v>
      </x:c>
      <x:c r="AB646" s="3" t="str">
        <x:v>車台番号未取得／サイト間重複は未判定</x:v>
      </x:c>
      <x:c r="AC646" s="3" t="str">
        <x:v>税込区分未確認（一覧表示額）</x:v>
      </x:c>
      <x:c r="AD646" s="3" t="str"/>
      <x:c r="AE646" s="29" t="str">
        <x:f>""</x:f>
      </x:c>
      <x:c r="AF646" s="30" t="str">
        <x:f>IF(ISNUMBER(AE646),U646/AE646,"")</x:f>
      </x:c>
      <x:c r="AG646" s="29" t="str">
        <x:f>""</x:f>
      </x:c>
      <x:c r="AH646" s="30" t="str">
        <x:f>IF(ISNUMBER(AG646),U646/AG646,"")</x:f>
      </x:c>
      <x:c r="AI646" s="3" t="str">
        <x:v>同年式・グレードの検証済み当時価格なし／登録年混在</x:v>
      </x:c>
      <x:c r="AJ646" s="3" t="str">
        <x:v>一覧価格/年式のみ</x:v>
      </x:c>
      <x:c r="AK646" s="3" t="str">
        <x:v>一覧の表示価格。年式は掲載年式。</x:v>
      </x:c>
      <x:c r="AL646" s="31" t="n">
        <x:f>IF(AND(J646&lt;='分析方法'!$B$7,OR(ISBLANK(O646),O646&gt;='分析方法'!$B$8),X646&lt;&gt;"売却済み表示"),1,0)</x:f>
        <x:v>1</x:v>
      </x:c>
      <x:c r="AM646" s="32" t="n">
        <x:f>IF(AL646=1,U646,"")</x:f>
        <x:v>464000</x:v>
      </x:c>
      <x:c r="AN646" s="33" t="str">
        <x:f>IF(AL646=1,AF646,"")</x:f>
      </x:c>
      <x:c r="AO646" s="31" t="n">
        <x:f>'分析方法'!$B$6-J646</x:f>
        <x:v>1</x:v>
      </x:c>
      <x:c r="AP646" s="3"/>
    </x:row>
    <x:row r="647" ht="22" customHeight="1">
      <x:c r="A647" s="3" t="str">
        <x:v>T2921931</x:v>
      </x:c>
      <x:c r="B647" s="7" t="d">
        <x:v>2026-10-08T00:00:00.000Z</x:v>
      </x:c>
      <x:c r="C647" s="3" t="str">
        <x:v>Taladrod</x:v>
      </x:c>
      <x:c r="D647" s="3" t="str">
        <x:v>Toyota</x:v>
      </x:c>
      <x:c r="E647" s="3" t="str">
        <x:v>日本</x:v>
      </x:c>
      <x:c r="F647" s="3" t="str">
        <x:v>Hilux Champ</x:v>
      </x:c>
      <x:c r="G647" s="3" t="str">
        <x:v>ICE</x:v>
      </x:c>
      <x:c r="H647" s="3" t="str">
        <x:v>Pickup</x:v>
      </x:c>
      <x:c r="I647" s="3" t="str">
        <x:v>キャブ不明</x:v>
      </x:c>
      <x:c r="J647" s="3" t="n">
        <x:v>2025</x:v>
      </x:c>
      <x:c r="K647" s="3" t="str">
        <x:v>2.4 SWB ATTRACTIVE PACKAGE</x:v>
      </x:c>
      <x:c r="L647" s="3" t="str">
        <x:v>2.4 SWB ATTRACTIVE PACKAGE</x:v>
      </x:c>
      <x:c r="M647" s="22"/>
      <x:c r="N647" s="22"/>
      <x:c r="O647" s="22"/>
      <x:c r="P647" s="3" t="str">
        <x:v>未掲載</x:v>
      </x:c>
      <x:c r="Q647" s="3" t="str">
        <x:v>未取得</x:v>
      </x:c>
      <x:c r="R647" s="3" t="str">
        <x:v>Unknown</x:v>
      </x:c>
      <x:c r="S647" s="3" t="str">
        <x:v>不明</x:v>
      </x:c>
      <x:c r="T647" s="3" t="str">
        <x:v>世代不明</x:v>
      </x:c>
      <x:c r="U647" s="28" t="n">
        <x:v>464000</x:v>
      </x:c>
      <x:c r="V647" s="28" t="n">
        <x:v>597000</x:v>
      </x:c>
      <x:c r="W647" s="3" t="str">
        <x:v>事故・水没・SOH・保証残は未確認</x:v>
      </x:c>
      <x:c r="X647" s="3" t="str">
        <x:v>掲載中・在庫未確認</x:v>
      </x:c>
      <x:c r="Y647" s="3" t="str"/>
      <x:c r="Z647" s="27" t="str">
        <x:v>https://www.taladrod.com/w40/icar/cardet.aspx?cid=2921931</x:v>
      </x:c>
      <x:c r="AA647" s="3" t="str">
        <x:v>Taladrod個別広告ID／Carsome在庫ID</x:v>
      </x:c>
      <x:c r="AB647" s="3" t="str">
        <x:v>車台番号未取得／サイト間重複は未判定</x:v>
      </x:c>
      <x:c r="AC647" s="3" t="str">
        <x:v>税込区分未確認（一覧表示額）</x:v>
      </x:c>
      <x:c r="AD647" s="3" t="str"/>
      <x:c r="AE647" s="29" t="str">
        <x:f>""</x:f>
      </x:c>
      <x:c r="AF647" s="30" t="str">
        <x:f>IF(ISNUMBER(AE647),U647/AE647,"")</x:f>
      </x:c>
      <x:c r="AG647" s="29" t="str">
        <x:f>""</x:f>
      </x:c>
      <x:c r="AH647" s="30" t="str">
        <x:f>IF(ISNUMBER(AG647),U647/AG647,"")</x:f>
      </x:c>
      <x:c r="AI647" s="3" t="str">
        <x:v>同年式・グレードの検証済み当時価格なし／登録年混在</x:v>
      </x:c>
      <x:c r="AJ647" s="3" t="str">
        <x:v>一覧価格/年式のみ</x:v>
      </x:c>
      <x:c r="AK647" s="3" t="str">
        <x:v>一覧の表示価格。年式は掲載年式。</x:v>
      </x:c>
      <x:c r="AL647" s="31" t="n">
        <x:f>IF(AND(J647&lt;='分析方法'!$B$7,OR(ISBLANK(O647),O647&gt;='分析方法'!$B$8),X647&lt;&gt;"売却済み表示"),1,0)</x:f>
        <x:v>1</x:v>
      </x:c>
      <x:c r="AM647" s="32" t="n">
        <x:f>IF(AL647=1,U647,"")</x:f>
        <x:v>464000</x:v>
      </x:c>
      <x:c r="AN647" s="33" t="str">
        <x:f>IF(AL647=1,AF647,"")</x:f>
      </x:c>
      <x:c r="AO647" s="31" t="n">
        <x:f>'分析方法'!$B$6-J647</x:f>
        <x:v>1</x:v>
      </x:c>
      <x:c r="AP647" s="3"/>
    </x:row>
    <x:row r="648" ht="22" customHeight="1">
      <x:c r="A648" s="3" t="str">
        <x:v>T2922095</x:v>
      </x:c>
      <x:c r="B648" s="7" t="d">
        <x:v>2026-10-08T00:00:00.000Z</x:v>
      </x:c>
      <x:c r="C648" s="3" t="str">
        <x:v>Taladrod</x:v>
      </x:c>
      <x:c r="D648" s="3" t="str">
        <x:v>Toyota</x:v>
      </x:c>
      <x:c r="E648" s="3" t="str">
        <x:v>日本</x:v>
      </x:c>
      <x:c r="F648" s="3" t="str">
        <x:v>Hilux Champ</x:v>
      </x:c>
      <x:c r="G648" s="3" t="str">
        <x:v>ICE</x:v>
      </x:c>
      <x:c r="H648" s="3" t="str">
        <x:v>Pickup</x:v>
      </x:c>
      <x:c r="I648" s="3" t="str">
        <x:v>キャブ不明</x:v>
      </x:c>
      <x:c r="J648" s="3" t="n">
        <x:v>2025</x:v>
      </x:c>
      <x:c r="K648" s="3" t="str">
        <x:v>2.4 SWB ATTRACTIVE PACKAGE</x:v>
      </x:c>
      <x:c r="L648" s="3" t="str">
        <x:v>2.4 SWB ATTRACTIVE PACKAGE</x:v>
      </x:c>
      <x:c r="M648" s="22"/>
      <x:c r="N648" s="22"/>
      <x:c r="O648" s="22"/>
      <x:c r="P648" s="3" t="str">
        <x:v>未掲載</x:v>
      </x:c>
      <x:c r="Q648" s="3" t="str">
        <x:v>未取得</x:v>
      </x:c>
      <x:c r="R648" s="3" t="str">
        <x:v>Unknown</x:v>
      </x:c>
      <x:c r="S648" s="3" t="str">
        <x:v>不明</x:v>
      </x:c>
      <x:c r="T648" s="3" t="str">
        <x:v>世代不明</x:v>
      </x:c>
      <x:c r="U648" s="28" t="n">
        <x:v>464000</x:v>
      </x:c>
      <x:c r="V648" s="28" t="n">
        <x:v>597000</x:v>
      </x:c>
      <x:c r="W648" s="3" t="str">
        <x:v>事故・水没・SOH・保証残は未確認</x:v>
      </x:c>
      <x:c r="X648" s="3" t="str">
        <x:v>掲載中・在庫未確認</x:v>
      </x:c>
      <x:c r="Y648" s="3" t="str"/>
      <x:c r="Z648" s="27" t="str">
        <x:v>https://www.taladrod.com/w40/icar/cardet.aspx?cid=2922095</x:v>
      </x:c>
      <x:c r="AA648" s="3" t="str">
        <x:v>Taladrod個別広告ID／Carsome在庫ID</x:v>
      </x:c>
      <x:c r="AB648" s="3" t="str">
        <x:v>車台番号未取得／サイト間重複は未判定</x:v>
      </x:c>
      <x:c r="AC648" s="3" t="str">
        <x:v>税込区分未確認（一覧表示額）</x:v>
      </x:c>
      <x:c r="AD648" s="3" t="str"/>
      <x:c r="AE648" s="29" t="str">
        <x:f>""</x:f>
      </x:c>
      <x:c r="AF648" s="30" t="str">
        <x:f>IF(ISNUMBER(AE648),U648/AE648,"")</x:f>
      </x:c>
      <x:c r="AG648" s="29" t="str">
        <x:f>""</x:f>
      </x:c>
      <x:c r="AH648" s="30" t="str">
        <x:f>IF(ISNUMBER(AG648),U648/AG648,"")</x:f>
      </x:c>
      <x:c r="AI648" s="3" t="str">
        <x:v>同年式・グレードの検証済み当時価格なし／登録年混在</x:v>
      </x:c>
      <x:c r="AJ648" s="3" t="str">
        <x:v>一覧価格/年式のみ</x:v>
      </x:c>
      <x:c r="AK648" s="3" t="str">
        <x:v>一覧の表示価格。年式は掲載年式。</x:v>
      </x:c>
      <x:c r="AL648" s="31" t="n">
        <x:f>IF(AND(J648&lt;='分析方法'!$B$7,OR(ISBLANK(O648),O648&gt;='分析方法'!$B$8),X648&lt;&gt;"売却済み表示"),1,0)</x:f>
        <x:v>1</x:v>
      </x:c>
      <x:c r="AM648" s="32" t="n">
        <x:f>IF(AL648=1,U648,"")</x:f>
        <x:v>464000</x:v>
      </x:c>
      <x:c r="AN648" s="33" t="str">
        <x:f>IF(AL648=1,AF648,"")</x:f>
      </x:c>
      <x:c r="AO648" s="31" t="n">
        <x:f>'分析方法'!$B$6-J648</x:f>
        <x:v>1</x:v>
      </x:c>
      <x:c r="AP648" s="3"/>
    </x:row>
    <x:row r="649" ht="22" customHeight="1">
      <x:c r="A649" s="3" t="str">
        <x:v>T2923287</x:v>
      </x:c>
      <x:c r="B649" s="7" t="d">
        <x:v>2026-10-08T00:00:00.000Z</x:v>
      </x:c>
      <x:c r="C649" s="3" t="str">
        <x:v>Taladrod</x:v>
      </x:c>
      <x:c r="D649" s="3" t="str">
        <x:v>Toyota</x:v>
      </x:c>
      <x:c r="E649" s="3" t="str">
        <x:v>日本</x:v>
      </x:c>
      <x:c r="F649" s="3" t="str">
        <x:v>Hilux Champ</x:v>
      </x:c>
      <x:c r="G649" s="3" t="str">
        <x:v>ICE</x:v>
      </x:c>
      <x:c r="H649" s="3" t="str">
        <x:v>Pickup</x:v>
      </x:c>
      <x:c r="I649" s="3" t="str">
        <x:v>キャブ不明</x:v>
      </x:c>
      <x:c r="J649" s="3" t="n">
        <x:v>2025</x:v>
      </x:c>
      <x:c r="K649" s="3" t="str">
        <x:v>2.4 SWB ATTRACTIVE PACKAGE</x:v>
      </x:c>
      <x:c r="L649" s="3" t="str">
        <x:v>2.4 SWB ATTRACTIVE PACKAGE</x:v>
      </x:c>
      <x:c r="M649" s="22"/>
      <x:c r="N649" s="22"/>
      <x:c r="O649" s="22"/>
      <x:c r="P649" s="3" t="str">
        <x:v>未掲載</x:v>
      </x:c>
      <x:c r="Q649" s="3" t="str">
        <x:v>未取得</x:v>
      </x:c>
      <x:c r="R649" s="3" t="str">
        <x:v>Unknown</x:v>
      </x:c>
      <x:c r="S649" s="3" t="str">
        <x:v>不明</x:v>
      </x:c>
      <x:c r="T649" s="3" t="str">
        <x:v>世代不明</x:v>
      </x:c>
      <x:c r="U649" s="28" t="n">
        <x:v>550000</x:v>
      </x:c>
      <x:c r="V649" s="28" t="n">
        <x:v>597000</x:v>
      </x:c>
      <x:c r="W649" s="3" t="str">
        <x:v>事故・水没・SOH・保証残は未確認</x:v>
      </x:c>
      <x:c r="X649" s="3" t="str">
        <x:v>掲載中・在庫未確認</x:v>
      </x:c>
      <x:c r="Y649" s="3" t="str"/>
      <x:c r="Z649" s="27" t="str">
        <x:v>https://www.taladrod.com/w40/icar/cardet.aspx?cid=2923287</x:v>
      </x:c>
      <x:c r="AA649" s="3" t="str">
        <x:v>Taladrod個別広告ID／Carsome在庫ID</x:v>
      </x:c>
      <x:c r="AB649" s="3" t="str">
        <x:v>車台番号未取得／サイト間重複は未判定</x:v>
      </x:c>
      <x:c r="AC649" s="3" t="str">
        <x:v>税込区分未確認（一覧表示額）</x:v>
      </x:c>
      <x:c r="AD649" s="3" t="str"/>
      <x:c r="AE649" s="29" t="str">
        <x:f>""</x:f>
      </x:c>
      <x:c r="AF649" s="30" t="str">
        <x:f>IF(ISNUMBER(AE649),U649/AE649,"")</x:f>
      </x:c>
      <x:c r="AG649" s="29" t="str">
        <x:f>""</x:f>
      </x:c>
      <x:c r="AH649" s="30" t="str">
        <x:f>IF(ISNUMBER(AG649),U649/AG649,"")</x:f>
      </x:c>
      <x:c r="AI649" s="3" t="str">
        <x:v>同年式・グレードの検証済み当時価格なし／登録年混在</x:v>
      </x:c>
      <x:c r="AJ649" s="3" t="str">
        <x:v>一覧価格/年式のみ</x:v>
      </x:c>
      <x:c r="AK649" s="3" t="str">
        <x:v>一覧の表示価格。年式は掲載年式。</x:v>
      </x:c>
      <x:c r="AL649" s="31" t="n">
        <x:f>IF(AND(J649&lt;='分析方法'!$B$7,OR(ISBLANK(O649),O649&gt;='分析方法'!$B$8),X649&lt;&gt;"売却済み表示"),1,0)</x:f>
        <x:v>1</x:v>
      </x:c>
      <x:c r="AM649" s="32" t="n">
        <x:f>IF(AL649=1,U649,"")</x:f>
        <x:v>550000</x:v>
      </x:c>
      <x:c r="AN649" s="33" t="str">
        <x:f>IF(AL649=1,AF649,"")</x:f>
      </x:c>
      <x:c r="AO649" s="31" t="n">
        <x:f>'分析方法'!$B$6-J649</x:f>
        <x:v>1</x:v>
      </x:c>
      <x:c r="AP649" s="3"/>
    </x:row>
    <x:row r="650" ht="22" customHeight="1">
      <x:c r="A650" s="3" t="str">
        <x:v>T2889495</x:v>
      </x:c>
      <x:c r="B650" s="7" t="d">
        <x:v>2026-10-08T00:00:00.000Z</x:v>
      </x:c>
      <x:c r="C650" s="3" t="str">
        <x:v>Taladrod</x:v>
      </x:c>
      <x:c r="D650" s="3" t="str">
        <x:v>Toyota</x:v>
      </x:c>
      <x:c r="E650" s="3" t="str">
        <x:v>日本</x:v>
      </x:c>
      <x:c r="F650" s="3" t="str">
        <x:v>Hilux Revo</x:v>
      </x:c>
      <x:c r="G650" s="3" t="str">
        <x:v>ICE</x:v>
      </x:c>
      <x:c r="H650" s="3" t="str">
        <x:v>Pickup</x:v>
      </x:c>
      <x:c r="I650" s="3" t="str">
        <x:v>Double cab</x:v>
      </x:c>
      <x:c r="J650" s="3" t="n">
        <x:v>2020</x:v>
      </x:c>
      <x:c r="K650" s="3" t="str">
        <x:v>2.4 E DOUBLE CAB</x:v>
      </x:c>
      <x:c r="L650" s="3" t="str">
        <x:v>2.4 E DOUBLE CAB</x:v>
      </x:c>
      <x:c r="M650" s="22"/>
      <x:c r="N650" s="22"/>
      <x:c r="O650" s="22"/>
      <x:c r="P650" s="3" t="str">
        <x:v>未掲載</x:v>
      </x:c>
      <x:c r="Q650" s="3" t="str">
        <x:v>未取得</x:v>
      </x:c>
      <x:c r="R650" s="3" t="str">
        <x:v>Unknown</x:v>
      </x:c>
      <x:c r="S650" s="3" t="str">
        <x:v>不明</x:v>
      </x:c>
      <x:c r="T650" s="3" t="str">
        <x:v>世代不明</x:v>
      </x:c>
      <x:c r="U650" s="28" t="n">
        <x:v>389000</x:v>
      </x:c>
      <x:c r="V650" s="28" t="n">
        <x:v>795000</x:v>
      </x:c>
      <x:c r="W650" s="3" t="str">
        <x:v>事故・水没・SOH・保証残は未確認</x:v>
      </x:c>
      <x:c r="X650" s="3" t="str">
        <x:v>掲載中・在庫未確認</x:v>
      </x:c>
      <x:c r="Y650" s="3" t="str"/>
      <x:c r="Z650" s="27" t="str">
        <x:v>https://www.taladrod.com/w40/icar/cardet.aspx?cid=2889495</x:v>
      </x:c>
      <x:c r="AA650" s="3" t="str">
        <x:v>Taladrod個別広告ID／Carsome在庫ID</x:v>
      </x:c>
      <x:c r="AB650" s="3" t="str">
        <x:v>車台番号未取得／サイト間重複は未判定</x:v>
      </x:c>
      <x:c r="AC650" s="3" t="str">
        <x:v>税込区分未確認（一覧表示額）</x:v>
      </x:c>
      <x:c r="AD650" s="3" t="str"/>
      <x:c r="AE650" s="29" t="str">
        <x:f>""</x:f>
      </x:c>
      <x:c r="AF650" s="30" t="str">
        <x:f>IF(ISNUMBER(AE650),U650/AE650,"")</x:f>
      </x:c>
      <x:c r="AG650" s="29" t="str">
        <x:f>""</x:f>
      </x:c>
      <x:c r="AH650" s="30" t="str">
        <x:f>IF(ISNUMBER(AG650),U650/AG650,"")</x:f>
      </x:c>
      <x:c r="AI650" s="3" t="str">
        <x:v>同年式・グレードの検証済み当時価格なし／登録年混在</x:v>
      </x:c>
      <x:c r="AJ650" s="3" t="str">
        <x:v>一覧価格/年式のみ</x:v>
      </x:c>
      <x:c r="AK650" s="3" t="str">
        <x:v>一覧の表示価格。年式は掲載年式。</x:v>
      </x:c>
      <x:c r="AL650" s="31" t="n">
        <x:f>IF(AND(J650&lt;='分析方法'!$B$7,OR(ISBLANK(O650),O650&gt;='分析方法'!$B$8),X650&lt;&gt;"売却済み表示"),1,0)</x:f>
        <x:v>1</x:v>
      </x:c>
      <x:c r="AM650" s="32" t="n">
        <x:f>IF(AL650=1,U650,"")</x:f>
        <x:v>389000</x:v>
      </x:c>
      <x:c r="AN650" s="33" t="str">
        <x:f>IF(AL650=1,AF650,"")</x:f>
      </x:c>
      <x:c r="AO650" s="31" t="n">
        <x:f>'分析方法'!$B$6-J650</x:f>
        <x:v>6</x:v>
      </x:c>
      <x:c r="AP650" s="3"/>
    </x:row>
    <x:row r="651" ht="22" customHeight="1">
      <x:c r="A651" s="3" t="str">
        <x:v>T2908974</x:v>
      </x:c>
      <x:c r="B651" s="7" t="d">
        <x:v>2026-10-08T00:00:00.000Z</x:v>
      </x:c>
      <x:c r="C651" s="3" t="str">
        <x:v>Taladrod</x:v>
      </x:c>
      <x:c r="D651" s="3" t="str">
        <x:v>Toyota</x:v>
      </x:c>
      <x:c r="E651" s="3" t="str">
        <x:v>日本</x:v>
      </x:c>
      <x:c r="F651" s="3" t="str">
        <x:v>Hilux Revo</x:v>
      </x:c>
      <x:c r="G651" s="3" t="str">
        <x:v>ICE</x:v>
      </x:c>
      <x:c r="H651" s="3" t="str">
        <x:v>Pickup</x:v>
      </x:c>
      <x:c r="I651" s="3" t="str">
        <x:v>Double cab</x:v>
      </x:c>
      <x:c r="J651" s="3" t="n">
        <x:v>2020</x:v>
      </x:c>
      <x:c r="K651" s="3" t="str">
        <x:v>2.4 E PLUS PRERUNNER DOUBLE CAB</x:v>
      </x:c>
      <x:c r="L651" s="3" t="str">
        <x:v>2.4 E PLUS PRERUNNER DOUBLE CAB</x:v>
      </x:c>
      <x:c r="M651" s="22"/>
      <x:c r="N651" s="22"/>
      <x:c r="O651" s="22"/>
      <x:c r="P651" s="3" t="str">
        <x:v>未掲載</x:v>
      </x:c>
      <x:c r="Q651" s="3" t="str">
        <x:v>未取得</x:v>
      </x:c>
      <x:c r="R651" s="3" t="str">
        <x:v>Unknown</x:v>
      </x:c>
      <x:c r="S651" s="3" t="str">
        <x:v>不明</x:v>
      </x:c>
      <x:c r="T651" s="3" t="str">
        <x:v>世代不明</x:v>
      </x:c>
      <x:c r="U651" s="28" t="n">
        <x:v>570000</x:v>
      </x:c>
      <x:c r="V651" s="28"/>
      <x:c r="W651" s="3" t="str">
        <x:v>事故・水没・SOH・保証残は未確認</x:v>
      </x:c>
      <x:c r="X651" s="3" t="str">
        <x:v>掲載中・在庫未確認</x:v>
      </x:c>
      <x:c r="Y651" s="3" t="str"/>
      <x:c r="Z651" s="27" t="str">
        <x:v>https://www.taladrod.com/w40/icar/cardet.aspx?cid=2908974</x:v>
      </x:c>
      <x:c r="AA651" s="3" t="str">
        <x:v>Taladrod個別広告ID／Carsome在庫ID</x:v>
      </x:c>
      <x:c r="AB651" s="3" t="str">
        <x:v>車台番号未取得／サイト間重複は未判定</x:v>
      </x:c>
      <x:c r="AC651" s="3" t="str">
        <x:v>税込区分未確認（一覧表示額）</x:v>
      </x:c>
      <x:c r="AD651" s="3" t="str"/>
      <x:c r="AE651" s="29" t="str">
        <x:f>""</x:f>
      </x:c>
      <x:c r="AF651" s="30" t="str">
        <x:f>IF(ISNUMBER(AE651),U651/AE651,"")</x:f>
      </x:c>
      <x:c r="AG651" s="29" t="str">
        <x:f>""</x:f>
      </x:c>
      <x:c r="AH651" s="30" t="str">
        <x:f>IF(ISNUMBER(AG651),U651/AG651,"")</x:f>
      </x:c>
      <x:c r="AI651" s="3" t="str">
        <x:v>同年式・グレードの検証済み当時価格なし／登録年混在</x:v>
      </x:c>
      <x:c r="AJ651" s="3" t="str">
        <x:v>一覧価格/年式のみ</x:v>
      </x:c>
      <x:c r="AK651" s="3" t="str">
        <x:v>一覧の表示価格。年式は掲載年式。</x:v>
      </x:c>
      <x:c r="AL651" s="31" t="n">
        <x:f>IF(AND(J651&lt;='分析方法'!$B$7,OR(ISBLANK(O651),O651&gt;='分析方法'!$B$8),X651&lt;&gt;"売却済み表示"),1,0)</x:f>
        <x:v>1</x:v>
      </x:c>
      <x:c r="AM651" s="32" t="n">
        <x:f>IF(AL651=1,U651,"")</x:f>
        <x:v>570000</x:v>
      </x:c>
      <x:c r="AN651" s="33" t="str">
        <x:f>IF(AL651=1,AF651,"")</x:f>
      </x:c>
      <x:c r="AO651" s="31" t="n">
        <x:f>'分析方法'!$B$6-J651</x:f>
        <x:v>6</x:v>
      </x:c>
      <x:c r="AP651" s="3"/>
    </x:row>
    <x:row r="652" ht="22" customHeight="1">
      <x:c r="A652" s="3" t="str">
        <x:v>T2919405</x:v>
      </x:c>
      <x:c r="B652" s="7" t="d">
        <x:v>2026-10-08T00:00:00.000Z</x:v>
      </x:c>
      <x:c r="C652" s="3" t="str">
        <x:v>Taladrod</x:v>
      </x:c>
      <x:c r="D652" s="3" t="str">
        <x:v>Toyota</x:v>
      </x:c>
      <x:c r="E652" s="3" t="str">
        <x:v>日本</x:v>
      </x:c>
      <x:c r="F652" s="3" t="str">
        <x:v>Hilux Revo</x:v>
      </x:c>
      <x:c r="G652" s="3" t="str">
        <x:v>ICE</x:v>
      </x:c>
      <x:c r="H652" s="3" t="str">
        <x:v>Pickup</x:v>
      </x:c>
      <x:c r="I652" s="3" t="str">
        <x:v>Double cab</x:v>
      </x:c>
      <x:c r="J652" s="3" t="n">
        <x:v>2020</x:v>
      </x:c>
      <x:c r="K652" s="3" t="str">
        <x:v>2.4 E PLUS PRERUNNER DOUBLE CAB</x:v>
      </x:c>
      <x:c r="L652" s="3" t="str">
        <x:v>2.4 E PLUS PRERUNNER DOUBLE CAB</x:v>
      </x:c>
      <x:c r="M652" s="22"/>
      <x:c r="N652" s="22"/>
      <x:c r="O652" s="22"/>
      <x:c r="P652" s="3" t="str">
        <x:v>未掲載</x:v>
      </x:c>
      <x:c r="Q652" s="3" t="str">
        <x:v>未取得</x:v>
      </x:c>
      <x:c r="R652" s="3" t="str">
        <x:v>Unknown</x:v>
      </x:c>
      <x:c r="S652" s="3" t="str">
        <x:v>不明</x:v>
      </x:c>
      <x:c r="T652" s="3" t="str">
        <x:v>世代不明</x:v>
      </x:c>
      <x:c r="U652" s="28" t="n">
        <x:v>554000</x:v>
      </x:c>
      <x:c r="V652" s="28"/>
      <x:c r="W652" s="3" t="str">
        <x:v>事故・水没・SOH・保証残は未確認</x:v>
      </x:c>
      <x:c r="X652" s="3" t="str">
        <x:v>掲載中・在庫未確認</x:v>
      </x:c>
      <x:c r="Y652" s="3" t="str"/>
      <x:c r="Z652" s="27" t="str">
        <x:v>https://www.taladrod.com/w40/icar/cardet.aspx?cid=2919405</x:v>
      </x:c>
      <x:c r="AA652" s="3" t="str">
        <x:v>Taladrod個別広告ID／Carsome在庫ID</x:v>
      </x:c>
      <x:c r="AB652" s="3" t="str">
        <x:v>車台番号未取得／サイト間重複は未判定</x:v>
      </x:c>
      <x:c r="AC652" s="3" t="str">
        <x:v>税込区分未確認（一覧表示額）</x:v>
      </x:c>
      <x:c r="AD652" s="3" t="str"/>
      <x:c r="AE652" s="29" t="str">
        <x:f>""</x:f>
      </x:c>
      <x:c r="AF652" s="30" t="str">
        <x:f>IF(ISNUMBER(AE652),U652/AE652,"")</x:f>
      </x:c>
      <x:c r="AG652" s="29" t="str">
        <x:f>""</x:f>
      </x:c>
      <x:c r="AH652" s="30" t="str">
        <x:f>IF(ISNUMBER(AG652),U652/AG652,"")</x:f>
      </x:c>
      <x:c r="AI652" s="3" t="str">
        <x:v>同年式・グレードの検証済み当時価格なし／登録年混在</x:v>
      </x:c>
      <x:c r="AJ652" s="3" t="str">
        <x:v>一覧価格/年式のみ</x:v>
      </x:c>
      <x:c r="AK652" s="3" t="str">
        <x:v>一覧の表示価格。年式は掲載年式。</x:v>
      </x:c>
      <x:c r="AL652" s="31" t="n">
        <x:f>IF(AND(J652&lt;='分析方法'!$B$7,OR(ISBLANK(O652),O652&gt;='分析方法'!$B$8),X652&lt;&gt;"売却済み表示"),1,0)</x:f>
        <x:v>1</x:v>
      </x:c>
      <x:c r="AM652" s="32" t="n">
        <x:f>IF(AL652=1,U652,"")</x:f>
        <x:v>554000</x:v>
      </x:c>
      <x:c r="AN652" s="33" t="str">
        <x:f>IF(AL652=1,AF652,"")</x:f>
      </x:c>
      <x:c r="AO652" s="31" t="n">
        <x:f>'分析方法'!$B$6-J652</x:f>
        <x:v>6</x:v>
      </x:c>
      <x:c r="AP652" s="3"/>
    </x:row>
    <x:row r="653" ht="22" customHeight="1">
      <x:c r="A653" s="3" t="str">
        <x:v>T2919865</x:v>
      </x:c>
      <x:c r="B653" s="7" t="d">
        <x:v>2026-10-08T00:00:00.000Z</x:v>
      </x:c>
      <x:c r="C653" s="3" t="str">
        <x:v>Taladrod</x:v>
      </x:c>
      <x:c r="D653" s="3" t="str">
        <x:v>Toyota</x:v>
      </x:c>
      <x:c r="E653" s="3" t="str">
        <x:v>日本</x:v>
      </x:c>
      <x:c r="F653" s="3" t="str">
        <x:v>Hilux Revo</x:v>
      </x:c>
      <x:c r="G653" s="3" t="str">
        <x:v>ICE</x:v>
      </x:c>
      <x:c r="H653" s="3" t="str">
        <x:v>Pickup</x:v>
      </x:c>
      <x:c r="I653" s="3" t="str">
        <x:v>Double cab</x:v>
      </x:c>
      <x:c r="J653" s="3" t="n">
        <x:v>2020</x:v>
      </x:c>
      <x:c r="K653" s="3" t="str">
        <x:v>2.4 E PRERUNNER DOUBLE CAB</x:v>
      </x:c>
      <x:c r="L653" s="3" t="str">
        <x:v>2.4 E PRERUNNER DOUBLE CAB</x:v>
      </x:c>
      <x:c r="M653" s="22"/>
      <x:c r="N653" s="22"/>
      <x:c r="O653" s="22"/>
      <x:c r="P653" s="3" t="str">
        <x:v>未掲載</x:v>
      </x:c>
      <x:c r="Q653" s="3" t="str">
        <x:v>未取得</x:v>
      </x:c>
      <x:c r="R653" s="3" t="str">
        <x:v>Unknown</x:v>
      </x:c>
      <x:c r="S653" s="3" t="str">
        <x:v>不明</x:v>
      </x:c>
      <x:c r="T653" s="3" t="str">
        <x:v>世代不明</x:v>
      </x:c>
      <x:c r="U653" s="28" t="n">
        <x:v>539000</x:v>
      </x:c>
      <x:c r="V653" s="28"/>
      <x:c r="W653" s="3" t="str">
        <x:v>事故・水没・SOH・保証残は未確認</x:v>
      </x:c>
      <x:c r="X653" s="3" t="str">
        <x:v>掲載中・在庫未確認</x:v>
      </x:c>
      <x:c r="Y653" s="3" t="str"/>
      <x:c r="Z653" s="27" t="str">
        <x:v>https://www.taladrod.com/w40/icar/cardet.aspx?cid=2919865</x:v>
      </x:c>
      <x:c r="AA653" s="3" t="str">
        <x:v>Taladrod個別広告ID／Carsome在庫ID</x:v>
      </x:c>
      <x:c r="AB653" s="3" t="str">
        <x:v>車台番号未取得／サイト間重複は未判定</x:v>
      </x:c>
      <x:c r="AC653" s="3" t="str">
        <x:v>税込区分未確認（一覧表示額）</x:v>
      </x:c>
      <x:c r="AD653" s="3" t="str"/>
      <x:c r="AE653" s="29" t="str">
        <x:f>""</x:f>
      </x:c>
      <x:c r="AF653" s="30" t="str">
        <x:f>IF(ISNUMBER(AE653),U653/AE653,"")</x:f>
      </x:c>
      <x:c r="AG653" s="29" t="str">
        <x:f>""</x:f>
      </x:c>
      <x:c r="AH653" s="30" t="str">
        <x:f>IF(ISNUMBER(AG653),U653/AG653,"")</x:f>
      </x:c>
      <x:c r="AI653" s="3" t="str">
        <x:v>同年式・グレードの検証済み当時価格なし／登録年混在</x:v>
      </x:c>
      <x:c r="AJ653" s="3" t="str">
        <x:v>一覧価格/年式のみ</x:v>
      </x:c>
      <x:c r="AK653" s="3" t="str">
        <x:v>一覧の表示価格。年式は掲載年式。</x:v>
      </x:c>
      <x:c r="AL653" s="31" t="n">
        <x:f>IF(AND(J653&lt;='分析方法'!$B$7,OR(ISBLANK(O653),O653&gt;='分析方法'!$B$8),X653&lt;&gt;"売却済み表示"),1,0)</x:f>
        <x:v>1</x:v>
      </x:c>
      <x:c r="AM653" s="32" t="n">
        <x:f>IF(AL653=1,U653,"")</x:f>
        <x:v>539000</x:v>
      </x:c>
      <x:c r="AN653" s="33" t="str">
        <x:f>IF(AL653=1,AF653,"")</x:f>
      </x:c>
      <x:c r="AO653" s="31" t="n">
        <x:f>'分析方法'!$B$6-J653</x:f>
        <x:v>6</x:v>
      </x:c>
      <x:c r="AP653" s="3"/>
    </x:row>
    <x:row r="654" ht="22" customHeight="1">
      <x:c r="A654" s="3" t="str">
        <x:v>T2924656</x:v>
      </x:c>
      <x:c r="B654" s="7" t="d">
        <x:v>2026-10-08T00:00:00.000Z</x:v>
      </x:c>
      <x:c r="C654" s="3" t="str">
        <x:v>Taladrod</x:v>
      </x:c>
      <x:c r="D654" s="3" t="str">
        <x:v>Toyota</x:v>
      </x:c>
      <x:c r="E654" s="3" t="str">
        <x:v>日本</x:v>
      </x:c>
      <x:c r="F654" s="3" t="str">
        <x:v>Hilux Revo</x:v>
      </x:c>
      <x:c r="G654" s="3" t="str">
        <x:v>ICE</x:v>
      </x:c>
      <x:c r="H654" s="3" t="str">
        <x:v>Pickup</x:v>
      </x:c>
      <x:c r="I654" s="3" t="str">
        <x:v>Smart cab</x:v>
      </x:c>
      <x:c r="J654" s="3" t="n">
        <x:v>2020</x:v>
      </x:c>
      <x:c r="K654" s="3" t="str">
        <x:v>2.4 E SMART CAB</x:v>
      </x:c>
      <x:c r="L654" s="3" t="str">
        <x:v>2.4 E SMART CAB</x:v>
      </x:c>
      <x:c r="M654" s="22"/>
      <x:c r="N654" s="22"/>
      <x:c r="O654" s="22"/>
      <x:c r="P654" s="3" t="str">
        <x:v>未掲載</x:v>
      </x:c>
      <x:c r="Q654" s="3" t="str">
        <x:v>未取得</x:v>
      </x:c>
      <x:c r="R654" s="3" t="str">
        <x:v>Unknown</x:v>
      </x:c>
      <x:c r="S654" s="3" t="str">
        <x:v>不明</x:v>
      </x:c>
      <x:c r="T654" s="3" t="str">
        <x:v>世代不明</x:v>
      </x:c>
      <x:c r="U654" s="28" t="n">
        <x:v>385000</x:v>
      </x:c>
      <x:c r="V654" s="28"/>
      <x:c r="W654" s="3" t="str">
        <x:v>事故・水没・SOH・保証残は未確認</x:v>
      </x:c>
      <x:c r="X654" s="3" t="str">
        <x:v>掲載中・在庫未確認</x:v>
      </x:c>
      <x:c r="Y654" s="3" t="str"/>
      <x:c r="Z654" s="27" t="str">
        <x:v>https://www.taladrod.com/w40/icar/cardet.aspx?cid=2924656</x:v>
      </x:c>
      <x:c r="AA654" s="3" t="str">
        <x:v>Taladrod個別広告ID／Carsome在庫ID</x:v>
      </x:c>
      <x:c r="AB654" s="3" t="str">
        <x:v>車台番号未取得／サイト間重複は未判定</x:v>
      </x:c>
      <x:c r="AC654" s="3" t="str">
        <x:v>税込区分未確認（一覧表示額）</x:v>
      </x:c>
      <x:c r="AD654" s="3" t="str"/>
      <x:c r="AE654" s="29" t="str">
        <x:f>""</x:f>
      </x:c>
      <x:c r="AF654" s="30" t="str">
        <x:f>IF(ISNUMBER(AE654),U654/AE654,"")</x:f>
      </x:c>
      <x:c r="AG654" s="29" t="str">
        <x:f>""</x:f>
      </x:c>
      <x:c r="AH654" s="30" t="str">
        <x:f>IF(ISNUMBER(AG654),U654/AG654,"")</x:f>
      </x:c>
      <x:c r="AI654" s="3" t="str">
        <x:v>同年式・グレードの検証済み当時価格なし／登録年混在</x:v>
      </x:c>
      <x:c r="AJ654" s="3" t="str">
        <x:v>一覧価格/年式のみ</x:v>
      </x:c>
      <x:c r="AK654" s="3" t="str">
        <x:v>一覧の表示価格。年式は掲載年式。</x:v>
      </x:c>
      <x:c r="AL654" s="31" t="n">
        <x:f>IF(AND(J654&lt;='分析方法'!$B$7,OR(ISBLANK(O654),O654&gt;='分析方法'!$B$8),X654&lt;&gt;"売却済み表示"),1,0)</x:f>
        <x:v>1</x:v>
      </x:c>
      <x:c r="AM654" s="32" t="n">
        <x:f>IF(AL654=1,U654,"")</x:f>
        <x:v>385000</x:v>
      </x:c>
      <x:c r="AN654" s="33" t="str">
        <x:f>IF(AL654=1,AF654,"")</x:f>
      </x:c>
      <x:c r="AO654" s="31" t="n">
        <x:f>'分析方法'!$B$6-J654</x:f>
        <x:v>6</x:v>
      </x:c>
      <x:c r="AP654" s="3"/>
    </x:row>
    <x:row r="655" ht="22" customHeight="1">
      <x:c r="A655" s="3" t="str">
        <x:v>T2898651</x:v>
      </x:c>
      <x:c r="B655" s="7" t="d">
        <x:v>2026-10-08T00:00:00.000Z</x:v>
      </x:c>
      <x:c r="C655" s="3" t="str">
        <x:v>Taladrod</x:v>
      </x:c>
      <x:c r="D655" s="3" t="str">
        <x:v>Toyota</x:v>
      </x:c>
      <x:c r="E655" s="3" t="str">
        <x:v>日本</x:v>
      </x:c>
      <x:c r="F655" s="3" t="str">
        <x:v>Hilux Revo</x:v>
      </x:c>
      <x:c r="G655" s="3" t="str">
        <x:v>ICE</x:v>
      </x:c>
      <x:c r="H655" s="3" t="str">
        <x:v>Pickup</x:v>
      </x:c>
      <x:c r="I655" s="3" t="str">
        <x:v>Smart cab</x:v>
      </x:c>
      <x:c r="J655" s="3" t="n">
        <x:v>2020</x:v>
      </x:c>
      <x:c r="K655" s="3" t="str">
        <x:v>2.4 E Z EDITION SMART CAB</x:v>
      </x:c>
      <x:c r="L655" s="3" t="str">
        <x:v>2.4 E Z EDITION SMART CAB</x:v>
      </x:c>
      <x:c r="M655" s="22"/>
      <x:c r="N655" s="22"/>
      <x:c r="O655" s="22"/>
      <x:c r="P655" s="3" t="str">
        <x:v>未掲載</x:v>
      </x:c>
      <x:c r="Q655" s="3" t="str">
        <x:v>未取得</x:v>
      </x:c>
      <x:c r="R655" s="3" t="str">
        <x:v>Unknown</x:v>
      </x:c>
      <x:c r="S655" s="3" t="str">
        <x:v>不明</x:v>
      </x:c>
      <x:c r="T655" s="3" t="str">
        <x:v>世代不明</x:v>
      </x:c>
      <x:c r="U655" s="28" t="n">
        <x:v>359000</x:v>
      </x:c>
      <x:c r="V655" s="28"/>
      <x:c r="W655" s="3" t="str">
        <x:v>事故・水没・SOH・保証残は未確認</x:v>
      </x:c>
      <x:c r="X655" s="3" t="str">
        <x:v>掲載中・在庫未確認</x:v>
      </x:c>
      <x:c r="Y655" s="3" t="str"/>
      <x:c r="Z655" s="27" t="str">
        <x:v>https://www.taladrod.com/w40/icar/cardet.aspx?cid=2898651</x:v>
      </x:c>
      <x:c r="AA655" s="3" t="str">
        <x:v>Taladrod個別広告ID／Carsome在庫ID</x:v>
      </x:c>
      <x:c r="AB655" s="3" t="str">
        <x:v>車台番号未取得／サイト間重複は未判定</x:v>
      </x:c>
      <x:c r="AC655" s="3" t="str">
        <x:v>税込区分未確認（一覧表示額）</x:v>
      </x:c>
      <x:c r="AD655" s="3" t="str"/>
      <x:c r="AE655" s="29" t="str">
        <x:f>""</x:f>
      </x:c>
      <x:c r="AF655" s="30" t="str">
        <x:f>IF(ISNUMBER(AE655),U655/AE655,"")</x:f>
      </x:c>
      <x:c r="AG655" s="29" t="str">
        <x:f>""</x:f>
      </x:c>
      <x:c r="AH655" s="30" t="str">
        <x:f>IF(ISNUMBER(AG655),U655/AG655,"")</x:f>
      </x:c>
      <x:c r="AI655" s="3" t="str">
        <x:v>同年式・グレードの検証済み当時価格なし／登録年混在</x:v>
      </x:c>
      <x:c r="AJ655" s="3" t="str">
        <x:v>一覧価格/年式のみ</x:v>
      </x:c>
      <x:c r="AK655" s="3" t="str">
        <x:v>一覧の表示価格。年式は掲載年式。</x:v>
      </x:c>
      <x:c r="AL655" s="31" t="n">
        <x:f>IF(AND(J655&lt;='分析方法'!$B$7,OR(ISBLANK(O655),O655&gt;='分析方法'!$B$8),X655&lt;&gt;"売却済み表示"),1,0)</x:f>
        <x:v>1</x:v>
      </x:c>
      <x:c r="AM655" s="32" t="n">
        <x:f>IF(AL655=1,U655,"")</x:f>
        <x:v>359000</x:v>
      </x:c>
      <x:c r="AN655" s="33" t="str">
        <x:f>IF(AL655=1,AF655,"")</x:f>
      </x:c>
      <x:c r="AO655" s="31" t="n">
        <x:f>'分析方法'!$B$6-J655</x:f>
        <x:v>6</x:v>
      </x:c>
      <x:c r="AP655" s="3"/>
    </x:row>
    <x:row r="656" ht="22" customHeight="1">
      <x:c r="A656" s="3" t="str">
        <x:v>T2912236</x:v>
      </x:c>
      <x:c r="B656" s="7" t="d">
        <x:v>2026-10-08T00:00:00.000Z</x:v>
      </x:c>
      <x:c r="C656" s="3" t="str">
        <x:v>Taladrod</x:v>
      </x:c>
      <x:c r="D656" s="3" t="str">
        <x:v>Toyota</x:v>
      </x:c>
      <x:c r="E656" s="3" t="str">
        <x:v>日本</x:v>
      </x:c>
      <x:c r="F656" s="3" t="str">
        <x:v>Hilux Revo</x:v>
      </x:c>
      <x:c r="G656" s="3" t="str">
        <x:v>ICE</x:v>
      </x:c>
      <x:c r="H656" s="3" t="str">
        <x:v>Pickup</x:v>
      </x:c>
      <x:c r="I656" s="3" t="str">
        <x:v>Double cab</x:v>
      </x:c>
      <x:c r="J656" s="3" t="n">
        <x:v>2020</x:v>
      </x:c>
      <x:c r="K656" s="3" t="str">
        <x:v>2.4 ENTRY PRERUNNER DOUBLE CAB</x:v>
      </x:c>
      <x:c r="L656" s="3" t="str">
        <x:v>2.4 ENTRY PRERUNNER DOUBLE CAB</x:v>
      </x:c>
      <x:c r="M656" s="22"/>
      <x:c r="N656" s="22"/>
      <x:c r="O656" s="22"/>
      <x:c r="P656" s="3" t="str">
        <x:v>未掲載</x:v>
      </x:c>
      <x:c r="Q656" s="3" t="str">
        <x:v>未取得</x:v>
      </x:c>
      <x:c r="R656" s="3" t="str">
        <x:v>Unknown</x:v>
      </x:c>
      <x:c r="S656" s="3" t="str">
        <x:v>不明</x:v>
      </x:c>
      <x:c r="T656" s="3" t="str">
        <x:v>世代不明</x:v>
      </x:c>
      <x:c r="U656" s="28" t="n">
        <x:v>599000</x:v>
      </x:c>
      <x:c r="V656" s="28"/>
      <x:c r="W656" s="3" t="str">
        <x:v>事故・水没・SOH・保証残は未確認</x:v>
      </x:c>
      <x:c r="X656" s="3" t="str">
        <x:v>掲載中・在庫未確認</x:v>
      </x:c>
      <x:c r="Y656" s="3" t="str"/>
      <x:c r="Z656" s="27" t="str">
        <x:v>https://www.taladrod.com/w40/icar/cardet.aspx?cid=2912236</x:v>
      </x:c>
      <x:c r="AA656" s="3" t="str">
        <x:v>Taladrod個別広告ID／Carsome在庫ID</x:v>
      </x:c>
      <x:c r="AB656" s="3" t="str">
        <x:v>車台番号未取得／サイト間重複は未判定</x:v>
      </x:c>
      <x:c r="AC656" s="3" t="str">
        <x:v>税込区分未確認（一覧表示額）</x:v>
      </x:c>
      <x:c r="AD656" s="3" t="str"/>
      <x:c r="AE656" s="29" t="str">
        <x:f>""</x:f>
      </x:c>
      <x:c r="AF656" s="30" t="str">
        <x:f>IF(ISNUMBER(AE656),U656/AE656,"")</x:f>
      </x:c>
      <x:c r="AG656" s="29" t="str">
        <x:f>""</x:f>
      </x:c>
      <x:c r="AH656" s="30" t="str">
        <x:f>IF(ISNUMBER(AG656),U656/AG656,"")</x:f>
      </x:c>
      <x:c r="AI656" s="3" t="str">
        <x:v>同年式・グレードの検証済み当時価格なし／登録年混在</x:v>
      </x:c>
      <x:c r="AJ656" s="3" t="str">
        <x:v>一覧価格/年式のみ</x:v>
      </x:c>
      <x:c r="AK656" s="3" t="str">
        <x:v>一覧の表示価格。年式は掲載年式。</x:v>
      </x:c>
      <x:c r="AL656" s="31" t="n">
        <x:f>IF(AND(J656&lt;='分析方法'!$B$7,OR(ISBLANK(O656),O656&gt;='分析方法'!$B$8),X656&lt;&gt;"売却済み表示"),1,0)</x:f>
        <x:v>1</x:v>
      </x:c>
      <x:c r="AM656" s="32" t="n">
        <x:f>IF(AL656=1,U656,"")</x:f>
        <x:v>599000</x:v>
      </x:c>
      <x:c r="AN656" s="33" t="str">
        <x:f>IF(AL656=1,AF656,"")</x:f>
      </x:c>
      <x:c r="AO656" s="31" t="n">
        <x:f>'分析方法'!$B$6-J656</x:f>
        <x:v>6</x:v>
      </x:c>
      <x:c r="AP656" s="3"/>
    </x:row>
    <x:row r="657" ht="22" customHeight="1">
      <x:c r="A657" s="3" t="str">
        <x:v>T2896237</x:v>
      </x:c>
      <x:c r="B657" s="7" t="d">
        <x:v>2026-10-08T00:00:00.000Z</x:v>
      </x:c>
      <x:c r="C657" s="3" t="str">
        <x:v>Taladrod</x:v>
      </x:c>
      <x:c r="D657" s="3" t="str">
        <x:v>Toyota</x:v>
      </x:c>
      <x:c r="E657" s="3" t="str">
        <x:v>日本</x:v>
      </x:c>
      <x:c r="F657" s="3" t="str">
        <x:v>Hilux Revo</x:v>
      </x:c>
      <x:c r="G657" s="3" t="str">
        <x:v>ICE</x:v>
      </x:c>
      <x:c r="H657" s="3" t="str">
        <x:v>Pickup</x:v>
      </x:c>
      <x:c r="I657" s="3" t="str">
        <x:v>Smart cab</x:v>
      </x:c>
      <x:c r="J657" s="3" t="n">
        <x:v>2020</x:v>
      </x:c>
      <x:c r="K657" s="3" t="str">
        <x:v>2.4 ENTRY PRERUNNER SMART CAB</x:v>
      </x:c>
      <x:c r="L657" s="3" t="str">
        <x:v>2.4 ENTRY PRERUNNER SMART CAB</x:v>
      </x:c>
      <x:c r="M657" s="22"/>
      <x:c r="N657" s="22"/>
      <x:c r="O657" s="22"/>
      <x:c r="P657" s="3" t="str">
        <x:v>未掲載</x:v>
      </x:c>
      <x:c r="Q657" s="3" t="str">
        <x:v>未取得</x:v>
      </x:c>
      <x:c r="R657" s="3" t="str">
        <x:v>Unknown</x:v>
      </x:c>
      <x:c r="S657" s="3" t="str">
        <x:v>不明</x:v>
      </x:c>
      <x:c r="T657" s="3" t="str">
        <x:v>世代不明</x:v>
      </x:c>
      <x:c r="U657" s="28" t="n">
        <x:v>399000</x:v>
      </x:c>
      <x:c r="V657" s="28"/>
      <x:c r="W657" s="3" t="str">
        <x:v>事故・水没・SOH・保証残は未確認</x:v>
      </x:c>
      <x:c r="X657" s="3" t="str">
        <x:v>掲載中・在庫未確認</x:v>
      </x:c>
      <x:c r="Y657" s="3" t="str"/>
      <x:c r="Z657" s="27" t="str">
        <x:v>https://www.taladrod.com/w40/icar/cardet.aspx?cid=2896237</x:v>
      </x:c>
      <x:c r="AA657" s="3" t="str">
        <x:v>Taladrod個別広告ID／Carsome在庫ID</x:v>
      </x:c>
      <x:c r="AB657" s="3" t="str">
        <x:v>車台番号未取得／サイト間重複は未判定</x:v>
      </x:c>
      <x:c r="AC657" s="3" t="str">
        <x:v>税込区分未確認（一覧表示額）</x:v>
      </x:c>
      <x:c r="AD657" s="3" t="str"/>
      <x:c r="AE657" s="29" t="str">
        <x:f>""</x:f>
      </x:c>
      <x:c r="AF657" s="30" t="str">
        <x:f>IF(ISNUMBER(AE657),U657/AE657,"")</x:f>
      </x:c>
      <x:c r="AG657" s="29" t="str">
        <x:f>""</x:f>
      </x:c>
      <x:c r="AH657" s="30" t="str">
        <x:f>IF(ISNUMBER(AG657),U657/AG657,"")</x:f>
      </x:c>
      <x:c r="AI657" s="3" t="str">
        <x:v>同年式・グレードの検証済み当時価格なし／登録年混在</x:v>
      </x:c>
      <x:c r="AJ657" s="3" t="str">
        <x:v>一覧価格/年式のみ</x:v>
      </x:c>
      <x:c r="AK657" s="3" t="str">
        <x:v>一覧の表示価格。年式は掲載年式。</x:v>
      </x:c>
      <x:c r="AL657" s="31" t="n">
        <x:f>IF(AND(J657&lt;='分析方法'!$B$7,OR(ISBLANK(O657),O657&gt;='分析方法'!$B$8),X657&lt;&gt;"売却済み表示"),1,0)</x:f>
        <x:v>1</x:v>
      </x:c>
      <x:c r="AM657" s="32" t="n">
        <x:f>IF(AL657=1,U657,"")</x:f>
        <x:v>399000</x:v>
      </x:c>
      <x:c r="AN657" s="33" t="str">
        <x:f>IF(AL657=1,AF657,"")</x:f>
      </x:c>
      <x:c r="AO657" s="31" t="n">
        <x:f>'分析方法'!$B$6-J657</x:f>
        <x:v>6</x:v>
      </x:c>
      <x:c r="AP657" s="3"/>
    </x:row>
    <x:row r="658" ht="22" customHeight="1">
      <x:c r="A658" s="3" t="str">
        <x:v>T2912485</x:v>
      </x:c>
      <x:c r="B658" s="7" t="d">
        <x:v>2026-10-08T00:00:00.000Z</x:v>
      </x:c>
      <x:c r="C658" s="3" t="str">
        <x:v>Taladrod</x:v>
      </x:c>
      <x:c r="D658" s="3" t="str">
        <x:v>Toyota</x:v>
      </x:c>
      <x:c r="E658" s="3" t="str">
        <x:v>日本</x:v>
      </x:c>
      <x:c r="F658" s="3" t="str">
        <x:v>Hilux Revo</x:v>
      </x:c>
      <x:c r="G658" s="3" t="str">
        <x:v>ICE</x:v>
      </x:c>
      <x:c r="H658" s="3" t="str">
        <x:v>Pickup</x:v>
      </x:c>
      <x:c r="I658" s="3" t="str">
        <x:v>Smart cab</x:v>
      </x:c>
      <x:c r="J658" s="3" t="n">
        <x:v>2020</x:v>
      </x:c>
      <x:c r="K658" s="3" t="str">
        <x:v>2.4 ENTRY PRERUNNER SMART CAB</x:v>
      </x:c>
      <x:c r="L658" s="3" t="str">
        <x:v>2.4 ENTRY PRERUNNER SMART CAB</x:v>
      </x:c>
      <x:c r="M658" s="22"/>
      <x:c r="N658" s="22"/>
      <x:c r="O658" s="22"/>
      <x:c r="P658" s="3" t="str">
        <x:v>未掲載</x:v>
      </x:c>
      <x:c r="Q658" s="3" t="str">
        <x:v>未取得</x:v>
      </x:c>
      <x:c r="R658" s="3" t="str">
        <x:v>Unknown</x:v>
      </x:c>
      <x:c r="S658" s="3" t="str">
        <x:v>不明</x:v>
      </x:c>
      <x:c r="T658" s="3" t="str">
        <x:v>世代不明</x:v>
      </x:c>
      <x:c r="U658" s="28" t="n">
        <x:v>389000</x:v>
      </x:c>
      <x:c r="V658" s="28"/>
      <x:c r="W658" s="3" t="str">
        <x:v>事故・水没・SOH・保証残は未確認</x:v>
      </x:c>
      <x:c r="X658" s="3" t="str">
        <x:v>掲載中・在庫未確認</x:v>
      </x:c>
      <x:c r="Y658" s="3" t="str"/>
      <x:c r="Z658" s="27" t="str">
        <x:v>https://www.taladrod.com/w40/icar/cardet.aspx?cid=2912485</x:v>
      </x:c>
      <x:c r="AA658" s="3" t="str">
        <x:v>Taladrod個別広告ID／Carsome在庫ID</x:v>
      </x:c>
      <x:c r="AB658" s="3" t="str">
        <x:v>車台番号未取得／サイト間重複は未判定</x:v>
      </x:c>
      <x:c r="AC658" s="3" t="str">
        <x:v>税込区分未確認（一覧表示額）</x:v>
      </x:c>
      <x:c r="AD658" s="3" t="str"/>
      <x:c r="AE658" s="29" t="str">
        <x:f>""</x:f>
      </x:c>
      <x:c r="AF658" s="30" t="str">
        <x:f>IF(ISNUMBER(AE658),U658/AE658,"")</x:f>
      </x:c>
      <x:c r="AG658" s="29" t="str">
        <x:f>""</x:f>
      </x:c>
      <x:c r="AH658" s="30" t="str">
        <x:f>IF(ISNUMBER(AG658),U658/AG658,"")</x:f>
      </x:c>
      <x:c r="AI658" s="3" t="str">
        <x:v>同年式・グレードの検証済み当時価格なし／登録年混在</x:v>
      </x:c>
      <x:c r="AJ658" s="3" t="str">
        <x:v>一覧価格/年式のみ</x:v>
      </x:c>
      <x:c r="AK658" s="3" t="str">
        <x:v>一覧の表示価格。年式は掲載年式。</x:v>
      </x:c>
      <x:c r="AL658" s="31" t="n">
        <x:f>IF(AND(J658&lt;='分析方法'!$B$7,OR(ISBLANK(O658),O658&gt;='分析方法'!$B$8),X658&lt;&gt;"売却済み表示"),1,0)</x:f>
        <x:v>1</x:v>
      </x:c>
      <x:c r="AM658" s="32" t="n">
        <x:f>IF(AL658=1,U658,"")</x:f>
        <x:v>389000</x:v>
      </x:c>
      <x:c r="AN658" s="33" t="str">
        <x:f>IF(AL658=1,AF658,"")</x:f>
      </x:c>
      <x:c r="AO658" s="31" t="n">
        <x:f>'分析方法'!$B$6-J658</x:f>
        <x:v>6</x:v>
      </x:c>
      <x:c r="AP658" s="3"/>
    </x:row>
    <x:row r="659" ht="22" customHeight="1">
      <x:c r="A659" s="3" t="str">
        <x:v>T2924326</x:v>
      </x:c>
      <x:c r="B659" s="7" t="d">
        <x:v>2026-10-08T00:00:00.000Z</x:v>
      </x:c>
      <x:c r="C659" s="3" t="str">
        <x:v>Taladrod</x:v>
      </x:c>
      <x:c r="D659" s="3" t="str">
        <x:v>Toyota</x:v>
      </x:c>
      <x:c r="E659" s="3" t="str">
        <x:v>日本</x:v>
      </x:c>
      <x:c r="F659" s="3" t="str">
        <x:v>Hilux Revo</x:v>
      </x:c>
      <x:c r="G659" s="3" t="str">
        <x:v>ICE</x:v>
      </x:c>
      <x:c r="H659" s="3" t="str">
        <x:v>Pickup</x:v>
      </x:c>
      <x:c r="I659" s="3" t="str">
        <x:v>Smart cab</x:v>
      </x:c>
      <x:c r="J659" s="3" t="n">
        <x:v>2020</x:v>
      </x:c>
      <x:c r="K659" s="3" t="str">
        <x:v>2.4 ENTRY PRERUNNER SMART CAB</x:v>
      </x:c>
      <x:c r="L659" s="3" t="str">
        <x:v>2.4 ENTRY PRERUNNER SMART CAB</x:v>
      </x:c>
      <x:c r="M659" s="22"/>
      <x:c r="N659" s="22"/>
      <x:c r="O659" s="22"/>
      <x:c r="P659" s="3" t="str">
        <x:v>未掲載</x:v>
      </x:c>
      <x:c r="Q659" s="3" t="str">
        <x:v>未取得</x:v>
      </x:c>
      <x:c r="R659" s="3" t="str">
        <x:v>Unknown</x:v>
      </x:c>
      <x:c r="S659" s="3" t="str">
        <x:v>不明</x:v>
      </x:c>
      <x:c r="T659" s="3" t="str">
        <x:v>世代不明</x:v>
      </x:c>
      <x:c r="U659" s="28" t="n">
        <x:v>429000</x:v>
      </x:c>
      <x:c r="V659" s="28"/>
      <x:c r="W659" s="3" t="str">
        <x:v>事故・水没・SOH・保証残は未確認</x:v>
      </x:c>
      <x:c r="X659" s="3" t="str">
        <x:v>掲載中・在庫未確認</x:v>
      </x:c>
      <x:c r="Y659" s="3" t="str"/>
      <x:c r="Z659" s="27" t="str">
        <x:v>https://www.taladrod.com/w40/icar/cardet.aspx?cid=2924326</x:v>
      </x:c>
      <x:c r="AA659" s="3" t="str">
        <x:v>Taladrod個別広告ID／Carsome在庫ID</x:v>
      </x:c>
      <x:c r="AB659" s="3" t="str">
        <x:v>車台番号未取得／サイト間重複は未判定</x:v>
      </x:c>
      <x:c r="AC659" s="3" t="str">
        <x:v>税込区分未確認（一覧表示額）</x:v>
      </x:c>
      <x:c r="AD659" s="3" t="str"/>
      <x:c r="AE659" s="29" t="str">
        <x:f>""</x:f>
      </x:c>
      <x:c r="AF659" s="30" t="str">
        <x:f>IF(ISNUMBER(AE659),U659/AE659,"")</x:f>
      </x:c>
      <x:c r="AG659" s="29" t="str">
        <x:f>""</x:f>
      </x:c>
      <x:c r="AH659" s="30" t="str">
        <x:f>IF(ISNUMBER(AG659),U659/AG659,"")</x:f>
      </x:c>
      <x:c r="AI659" s="3" t="str">
        <x:v>同年式・グレードの検証済み当時価格なし／登録年混在</x:v>
      </x:c>
      <x:c r="AJ659" s="3" t="str">
        <x:v>一覧価格/年式のみ</x:v>
      </x:c>
      <x:c r="AK659" s="3" t="str">
        <x:v>一覧の表示価格。年式は掲載年式。</x:v>
      </x:c>
      <x:c r="AL659" s="31" t="n">
        <x:f>IF(AND(J659&lt;='分析方法'!$B$7,OR(ISBLANK(O659),O659&gt;='分析方法'!$B$8),X659&lt;&gt;"売却済み表示"),1,0)</x:f>
        <x:v>1</x:v>
      </x:c>
      <x:c r="AM659" s="32" t="n">
        <x:f>IF(AL659=1,U659,"")</x:f>
        <x:v>429000</x:v>
      </x:c>
      <x:c r="AN659" s="33" t="str">
        <x:f>IF(AL659=1,AF659,"")</x:f>
      </x:c>
      <x:c r="AO659" s="31" t="n">
        <x:f>'分析方法'!$B$6-J659</x:f>
        <x:v>6</x:v>
      </x:c>
      <x:c r="AP659" s="3"/>
    </x:row>
    <x:row r="660" ht="22" customHeight="1">
      <x:c r="A660" s="3" t="str">
        <x:v>T2889421</x:v>
      </x:c>
      <x:c r="B660" s="7" t="d">
        <x:v>2026-10-08T00:00:00.000Z</x:v>
      </x:c>
      <x:c r="C660" s="3" t="str">
        <x:v>Taladrod</x:v>
      </x:c>
      <x:c r="D660" s="3" t="str">
        <x:v>Toyota</x:v>
      </x:c>
      <x:c r="E660" s="3" t="str">
        <x:v>日本</x:v>
      </x:c>
      <x:c r="F660" s="3" t="str">
        <x:v>Hilux Revo</x:v>
      </x:c>
      <x:c r="G660" s="3" t="str">
        <x:v>ICE</x:v>
      </x:c>
      <x:c r="H660" s="3" t="str">
        <x:v>Pickup</x:v>
      </x:c>
      <x:c r="I660" s="3" t="str">
        <x:v>Single cab</x:v>
      </x:c>
      <x:c r="J660" s="3" t="n">
        <x:v>2020</x:v>
      </x:c>
      <x:c r="K660" s="3" t="str">
        <x:v>2.4 ENTRY STANDARD CAB</x:v>
      </x:c>
      <x:c r="L660" s="3" t="str">
        <x:v>2.4 ENTRY STANDARD CAB</x:v>
      </x:c>
      <x:c r="M660" s="22"/>
      <x:c r="N660" s="22"/>
      <x:c r="O660" s="22"/>
      <x:c r="P660" s="3" t="str">
        <x:v>未掲載</x:v>
      </x:c>
      <x:c r="Q660" s="3" t="str">
        <x:v>未取得</x:v>
      </x:c>
      <x:c r="R660" s="3" t="str">
        <x:v>Unknown</x:v>
      </x:c>
      <x:c r="S660" s="3" t="str">
        <x:v>不明</x:v>
      </x:c>
      <x:c r="T660" s="3" t="str">
        <x:v>世代不明</x:v>
      </x:c>
      <x:c r="U660" s="28" t="n">
        <x:v>389000</x:v>
      </x:c>
      <x:c r="V660" s="28"/>
      <x:c r="W660" s="3" t="str">
        <x:v>事故・水没・SOH・保証残は未確認</x:v>
      </x:c>
      <x:c r="X660" s="3" t="str">
        <x:v>掲載中・在庫未確認</x:v>
      </x:c>
      <x:c r="Y660" s="3" t="str"/>
      <x:c r="Z660" s="27" t="str">
        <x:v>https://www.taladrod.com/w40/icar/cardet.aspx?cid=2889421</x:v>
      </x:c>
      <x:c r="AA660" s="3" t="str">
        <x:v>Taladrod個別広告ID／Carsome在庫ID</x:v>
      </x:c>
      <x:c r="AB660" s="3" t="str">
        <x:v>車台番号未取得／サイト間重複は未判定</x:v>
      </x:c>
      <x:c r="AC660" s="3" t="str">
        <x:v>税込区分未確認（一覧表示額）</x:v>
      </x:c>
      <x:c r="AD660" s="3" t="str"/>
      <x:c r="AE660" s="29" t="str">
        <x:f>""</x:f>
      </x:c>
      <x:c r="AF660" s="30" t="str">
        <x:f>IF(ISNUMBER(AE660),U660/AE660,"")</x:f>
      </x:c>
      <x:c r="AG660" s="29" t="str">
        <x:f>""</x:f>
      </x:c>
      <x:c r="AH660" s="30" t="str">
        <x:f>IF(ISNUMBER(AG660),U660/AG660,"")</x:f>
      </x:c>
      <x:c r="AI660" s="3" t="str">
        <x:v>同年式・グレードの検証済み当時価格なし／登録年混在</x:v>
      </x:c>
      <x:c r="AJ660" s="3" t="str">
        <x:v>一覧価格/年式のみ</x:v>
      </x:c>
      <x:c r="AK660" s="3" t="str">
        <x:v>一覧の表示価格。年式は掲載年式。</x:v>
      </x:c>
      <x:c r="AL660" s="31" t="n">
        <x:f>IF(AND(J660&lt;='分析方法'!$B$7,OR(ISBLANK(O660),O660&gt;='分析方法'!$B$8),X660&lt;&gt;"売却済み表示"),1,0)</x:f>
        <x:v>1</x:v>
      </x:c>
      <x:c r="AM660" s="32" t="n">
        <x:f>IF(AL660=1,U660,"")</x:f>
        <x:v>389000</x:v>
      </x:c>
      <x:c r="AN660" s="33" t="str">
        <x:f>IF(AL660=1,AF660,"")</x:f>
      </x:c>
      <x:c r="AO660" s="31" t="n">
        <x:f>'分析方法'!$B$6-J660</x:f>
        <x:v>6</x:v>
      </x:c>
      <x:c r="AP660" s="3"/>
    </x:row>
    <x:row r="661" ht="22" customHeight="1">
      <x:c r="A661" s="3" t="str">
        <x:v>T2921008</x:v>
      </x:c>
      <x:c r="B661" s="7" t="d">
        <x:v>2026-10-08T00:00:00.000Z</x:v>
      </x:c>
      <x:c r="C661" s="3" t="str">
        <x:v>Taladrod</x:v>
      </x:c>
      <x:c r="D661" s="3" t="str">
        <x:v>Toyota</x:v>
      </x:c>
      <x:c r="E661" s="3" t="str">
        <x:v>日本</x:v>
      </x:c>
      <x:c r="F661" s="3" t="str">
        <x:v>Hilux Revo</x:v>
      </x:c>
      <x:c r="G661" s="3" t="str">
        <x:v>ICE</x:v>
      </x:c>
      <x:c r="H661" s="3" t="str">
        <x:v>Pickup</x:v>
      </x:c>
      <x:c r="I661" s="3" t="str">
        <x:v>Single cab</x:v>
      </x:c>
      <x:c r="J661" s="3" t="n">
        <x:v>2020</x:v>
      </x:c>
      <x:c r="K661" s="3" t="str">
        <x:v>2.4 ENTRY STANDARD CAB</x:v>
      </x:c>
      <x:c r="L661" s="3" t="str">
        <x:v>2.4 ENTRY STANDARD CAB</x:v>
      </x:c>
      <x:c r="M661" s="22"/>
      <x:c r="N661" s="22"/>
      <x:c r="O661" s="22"/>
      <x:c r="P661" s="3" t="str">
        <x:v>未掲載</x:v>
      </x:c>
      <x:c r="Q661" s="3" t="str">
        <x:v>未取得</x:v>
      </x:c>
      <x:c r="R661" s="3" t="str">
        <x:v>Unknown</x:v>
      </x:c>
      <x:c r="S661" s="3" t="str">
        <x:v>不明</x:v>
      </x:c>
      <x:c r="T661" s="3" t="str">
        <x:v>世代不明</x:v>
      </x:c>
      <x:c r="U661" s="28" t="n">
        <x:v>364000</x:v>
      </x:c>
      <x:c r="V661" s="28"/>
      <x:c r="W661" s="3" t="str">
        <x:v>事故・水没・SOH・保証残は未確認</x:v>
      </x:c>
      <x:c r="X661" s="3" t="str">
        <x:v>掲載中・在庫未確認</x:v>
      </x:c>
      <x:c r="Y661" s="3" t="str"/>
      <x:c r="Z661" s="27" t="str">
        <x:v>https://www.taladrod.com/w40/icar/cardet.aspx?cid=2921008</x:v>
      </x:c>
      <x:c r="AA661" s="3" t="str">
        <x:v>Taladrod個別広告ID／Carsome在庫ID</x:v>
      </x:c>
      <x:c r="AB661" s="3" t="str">
        <x:v>車台番号未取得／サイト間重複は未判定</x:v>
      </x:c>
      <x:c r="AC661" s="3" t="str">
        <x:v>税込区分未確認（一覧表示額）</x:v>
      </x:c>
      <x:c r="AD661" s="3" t="str"/>
      <x:c r="AE661" s="29" t="str">
        <x:f>""</x:f>
      </x:c>
      <x:c r="AF661" s="30" t="str">
        <x:f>IF(ISNUMBER(AE661),U661/AE661,"")</x:f>
      </x:c>
      <x:c r="AG661" s="29" t="str">
        <x:f>""</x:f>
      </x:c>
      <x:c r="AH661" s="30" t="str">
        <x:f>IF(ISNUMBER(AG661),U661/AG661,"")</x:f>
      </x:c>
      <x:c r="AI661" s="3" t="str">
        <x:v>同年式・グレードの検証済み当時価格なし／登録年混在</x:v>
      </x:c>
      <x:c r="AJ661" s="3" t="str">
        <x:v>一覧価格/年式のみ</x:v>
      </x:c>
      <x:c r="AK661" s="3" t="str">
        <x:v>一覧の表示価格。年式は掲載年式。</x:v>
      </x:c>
      <x:c r="AL661" s="31" t="n">
        <x:f>IF(AND(J661&lt;='分析方法'!$B$7,OR(ISBLANK(O661),O661&gt;='分析方法'!$B$8),X661&lt;&gt;"売却済み表示"),1,0)</x:f>
        <x:v>1</x:v>
      </x:c>
      <x:c r="AM661" s="32" t="n">
        <x:f>IF(AL661=1,U661,"")</x:f>
        <x:v>364000</x:v>
      </x:c>
      <x:c r="AN661" s="33" t="str">
        <x:f>IF(AL661=1,AF661,"")</x:f>
      </x:c>
      <x:c r="AO661" s="31" t="n">
        <x:f>'分析方法'!$B$6-J661</x:f>
        <x:v>6</x:v>
      </x:c>
      <x:c r="AP661" s="3"/>
    </x:row>
    <x:row r="662" ht="22" customHeight="1">
      <x:c r="A662" s="3" t="str">
        <x:v>T2922827</x:v>
      </x:c>
      <x:c r="B662" s="7" t="d">
        <x:v>2026-10-08T00:00:00.000Z</x:v>
      </x:c>
      <x:c r="C662" s="3" t="str">
        <x:v>Taladrod</x:v>
      </x:c>
      <x:c r="D662" s="3" t="str">
        <x:v>Toyota</x:v>
      </x:c>
      <x:c r="E662" s="3" t="str">
        <x:v>日本</x:v>
      </x:c>
      <x:c r="F662" s="3" t="str">
        <x:v>Hilux Revo</x:v>
      </x:c>
      <x:c r="G662" s="3" t="str">
        <x:v>ICE</x:v>
      </x:c>
      <x:c r="H662" s="3" t="str">
        <x:v>Pickup</x:v>
      </x:c>
      <x:c r="I662" s="3" t="str">
        <x:v>Single cab</x:v>
      </x:c>
      <x:c r="J662" s="3" t="n">
        <x:v>2020</x:v>
      </x:c>
      <x:c r="K662" s="3" t="str">
        <x:v>2.4 ENTRY STANDARD CAB</x:v>
      </x:c>
      <x:c r="L662" s="3" t="str">
        <x:v>2.4 ENTRY STANDARD CAB</x:v>
      </x:c>
      <x:c r="M662" s="22"/>
      <x:c r="N662" s="22"/>
      <x:c r="O662" s="22"/>
      <x:c r="P662" s="3" t="str">
        <x:v>未掲載</x:v>
      </x:c>
      <x:c r="Q662" s="3" t="str">
        <x:v>未取得</x:v>
      </x:c>
      <x:c r="R662" s="3" t="str">
        <x:v>Unknown</x:v>
      </x:c>
      <x:c r="S662" s="3" t="str">
        <x:v>不明</x:v>
      </x:c>
      <x:c r="T662" s="3" t="str">
        <x:v>世代不明</x:v>
      </x:c>
      <x:c r="U662" s="28" t="n">
        <x:v>410000</x:v>
      </x:c>
      <x:c r="V662" s="28"/>
      <x:c r="W662" s="3" t="str">
        <x:v>事故・水没・SOH・保証残は未確認</x:v>
      </x:c>
      <x:c r="X662" s="3" t="str">
        <x:v>掲載中・在庫未確認</x:v>
      </x:c>
      <x:c r="Y662" s="3" t="str"/>
      <x:c r="Z662" s="27" t="str">
        <x:v>https://www.taladrod.com/w40/icar/cardet.aspx?cid=2922827</x:v>
      </x:c>
      <x:c r="AA662" s="3" t="str">
        <x:v>Taladrod個別広告ID／Carsome在庫ID</x:v>
      </x:c>
      <x:c r="AB662" s="3" t="str">
        <x:v>車台番号未取得／サイト間重複は未判定</x:v>
      </x:c>
      <x:c r="AC662" s="3" t="str">
        <x:v>税込区分未確認（一覧表示額）</x:v>
      </x:c>
      <x:c r="AD662" s="3" t="str"/>
      <x:c r="AE662" s="29" t="str">
        <x:f>""</x:f>
      </x:c>
      <x:c r="AF662" s="30" t="str">
        <x:f>IF(ISNUMBER(AE662),U662/AE662,"")</x:f>
      </x:c>
      <x:c r="AG662" s="29" t="str">
        <x:f>""</x:f>
      </x:c>
      <x:c r="AH662" s="30" t="str">
        <x:f>IF(ISNUMBER(AG662),U662/AG662,"")</x:f>
      </x:c>
      <x:c r="AI662" s="3" t="str">
        <x:v>同年式・グレードの検証済み当時価格なし／登録年混在</x:v>
      </x:c>
      <x:c r="AJ662" s="3" t="str">
        <x:v>一覧価格/年式のみ</x:v>
      </x:c>
      <x:c r="AK662" s="3" t="str">
        <x:v>一覧の表示価格。年式は掲載年式。</x:v>
      </x:c>
      <x:c r="AL662" s="31" t="n">
        <x:f>IF(AND(J662&lt;='分析方法'!$B$7,OR(ISBLANK(O662),O662&gt;='分析方法'!$B$8),X662&lt;&gt;"売却済み表示"),1,0)</x:f>
        <x:v>1</x:v>
      </x:c>
      <x:c r="AM662" s="32" t="n">
        <x:f>IF(AL662=1,U662,"")</x:f>
        <x:v>410000</x:v>
      </x:c>
      <x:c r="AN662" s="33" t="str">
        <x:f>IF(AL662=1,AF662,"")</x:f>
      </x:c>
      <x:c r="AO662" s="31" t="n">
        <x:f>'分析方法'!$B$6-J662</x:f>
        <x:v>6</x:v>
      </x:c>
      <x:c r="AP662" s="3"/>
    </x:row>
    <x:row r="663" ht="22" customHeight="1">
      <x:c r="A663" s="3" t="str">
        <x:v>T2924653</x:v>
      </x:c>
      <x:c r="B663" s="7" t="d">
        <x:v>2026-10-08T00:00:00.000Z</x:v>
      </x:c>
      <x:c r="C663" s="3" t="str">
        <x:v>Taladrod</x:v>
      </x:c>
      <x:c r="D663" s="3" t="str">
        <x:v>Toyota</x:v>
      </x:c>
      <x:c r="E663" s="3" t="str">
        <x:v>日本</x:v>
      </x:c>
      <x:c r="F663" s="3" t="str">
        <x:v>Hilux Revo</x:v>
      </x:c>
      <x:c r="G663" s="3" t="str">
        <x:v>ICE</x:v>
      </x:c>
      <x:c r="H663" s="3" t="str">
        <x:v>Pickup</x:v>
      </x:c>
      <x:c r="I663" s="3" t="str">
        <x:v>Single cab</x:v>
      </x:c>
      <x:c r="J663" s="3" t="n">
        <x:v>2020</x:v>
      </x:c>
      <x:c r="K663" s="3" t="str">
        <x:v>2.4 ENTRY STANDARD CAB</x:v>
      </x:c>
      <x:c r="L663" s="3" t="str">
        <x:v>2.4 ENTRY STANDARD CAB</x:v>
      </x:c>
      <x:c r="M663" s="22"/>
      <x:c r="N663" s="22"/>
      <x:c r="O663" s="22"/>
      <x:c r="P663" s="3" t="str">
        <x:v>未掲載</x:v>
      </x:c>
      <x:c r="Q663" s="3" t="str">
        <x:v>未取得</x:v>
      </x:c>
      <x:c r="R663" s="3" t="str">
        <x:v>Unknown</x:v>
      </x:c>
      <x:c r="S663" s="3" t="str">
        <x:v>不明</x:v>
      </x:c>
      <x:c r="T663" s="3" t="str">
        <x:v>世代不明</x:v>
      </x:c>
      <x:c r="U663" s="28" t="n">
        <x:v>290000</x:v>
      </x:c>
      <x:c r="V663" s="28"/>
      <x:c r="W663" s="3" t="str">
        <x:v>事故・水没・SOH・保証残は未確認</x:v>
      </x:c>
      <x:c r="X663" s="3" t="str">
        <x:v>掲載中・在庫未確認</x:v>
      </x:c>
      <x:c r="Y663" s="3" t="str"/>
      <x:c r="Z663" s="27" t="str">
        <x:v>https://www.taladrod.com/w40/icar/cardet.aspx?cid=2924653</x:v>
      </x:c>
      <x:c r="AA663" s="3" t="str">
        <x:v>Taladrod個別広告ID／Carsome在庫ID</x:v>
      </x:c>
      <x:c r="AB663" s="3" t="str">
        <x:v>車台番号未取得／サイト間重複は未判定</x:v>
      </x:c>
      <x:c r="AC663" s="3" t="str">
        <x:v>税込区分未確認（一覧表示額）</x:v>
      </x:c>
      <x:c r="AD663" s="3" t="str"/>
      <x:c r="AE663" s="29" t="str">
        <x:f>""</x:f>
      </x:c>
      <x:c r="AF663" s="30" t="str">
        <x:f>IF(ISNUMBER(AE663),U663/AE663,"")</x:f>
      </x:c>
      <x:c r="AG663" s="29" t="str">
        <x:f>""</x:f>
      </x:c>
      <x:c r="AH663" s="30" t="str">
        <x:f>IF(ISNUMBER(AG663),U663/AG663,"")</x:f>
      </x:c>
      <x:c r="AI663" s="3" t="str">
        <x:v>同年式・グレードの検証済み当時価格なし／登録年混在</x:v>
      </x:c>
      <x:c r="AJ663" s="3" t="str">
        <x:v>一覧価格/年式のみ</x:v>
      </x:c>
      <x:c r="AK663" s="3" t="str">
        <x:v>一覧の表示価格。年式は掲載年式。</x:v>
      </x:c>
      <x:c r="AL663" s="31" t="n">
        <x:f>IF(AND(J663&lt;='分析方法'!$B$7,OR(ISBLANK(O663),O663&gt;='分析方法'!$B$8),X663&lt;&gt;"売却済み表示"),1,0)</x:f>
        <x:v>1</x:v>
      </x:c>
      <x:c r="AM663" s="32" t="n">
        <x:f>IF(AL663=1,U663,"")</x:f>
        <x:v>290000</x:v>
      </x:c>
      <x:c r="AN663" s="33" t="str">
        <x:f>IF(AL663=1,AF663,"")</x:f>
      </x:c>
      <x:c r="AO663" s="31" t="n">
        <x:f>'分析方法'!$B$6-J663</x:f>
        <x:v>6</x:v>
      </x:c>
      <x:c r="AP663" s="3"/>
    </x:row>
    <x:row r="664" ht="22" customHeight="1">
      <x:c r="A664" s="3" t="str">
        <x:v>T2904233</x:v>
      </x:c>
      <x:c r="B664" s="7" t="d">
        <x:v>2026-10-08T00:00:00.000Z</x:v>
      </x:c>
      <x:c r="C664" s="3" t="str">
        <x:v>Taladrod</x:v>
      </x:c>
      <x:c r="D664" s="3" t="str">
        <x:v>Toyota</x:v>
      </x:c>
      <x:c r="E664" s="3" t="str">
        <x:v>日本</x:v>
      </x:c>
      <x:c r="F664" s="3" t="str">
        <x:v>Hilux Revo</x:v>
      </x:c>
      <x:c r="G664" s="3" t="str">
        <x:v>ICE</x:v>
      </x:c>
      <x:c r="H664" s="3" t="str">
        <x:v>Pickup</x:v>
      </x:c>
      <x:c r="I664" s="3" t="str">
        <x:v>Double cab</x:v>
      </x:c>
      <x:c r="J664" s="3" t="n">
        <x:v>2020</x:v>
      </x:c>
      <x:c r="K664" s="3" t="str">
        <x:v>2.4 ENTRY Z EDITION DOUBLE CAB</x:v>
      </x:c>
      <x:c r="L664" s="3" t="str">
        <x:v>2.4 ENTRY Z EDITION DOUBLE CAB</x:v>
      </x:c>
      <x:c r="M664" s="22"/>
      <x:c r="N664" s="22"/>
      <x:c r="O664" s="22"/>
      <x:c r="P664" s="3" t="str">
        <x:v>未掲載</x:v>
      </x:c>
      <x:c r="Q664" s="3" t="str">
        <x:v>未取得</x:v>
      </x:c>
      <x:c r="R664" s="3" t="str">
        <x:v>Unknown</x:v>
      </x:c>
      <x:c r="S664" s="3" t="str">
        <x:v>不明</x:v>
      </x:c>
      <x:c r="T664" s="3" t="str">
        <x:v>世代不明</x:v>
      </x:c>
      <x:c r="U664" s="28" t="n">
        <x:v>399000</x:v>
      </x:c>
      <x:c r="V664" s="28"/>
      <x:c r="W664" s="3" t="str">
        <x:v>事故・水没・SOH・保証残は未確認</x:v>
      </x:c>
      <x:c r="X664" s="3" t="str">
        <x:v>掲載中・在庫未確認</x:v>
      </x:c>
      <x:c r="Y664" s="3" t="str"/>
      <x:c r="Z664" s="27" t="str">
        <x:v>https://www.taladrod.com/w40/icar/cardet.aspx?cid=2904233</x:v>
      </x:c>
      <x:c r="AA664" s="3" t="str">
        <x:v>Taladrod個別広告ID／Carsome在庫ID</x:v>
      </x:c>
      <x:c r="AB664" s="3" t="str">
        <x:v>車台番号未取得／サイト間重複は未判定</x:v>
      </x:c>
      <x:c r="AC664" s="3" t="str">
        <x:v>税込区分未確認（一覧表示額）</x:v>
      </x:c>
      <x:c r="AD664" s="3" t="str"/>
      <x:c r="AE664" s="29" t="str">
        <x:f>""</x:f>
      </x:c>
      <x:c r="AF664" s="30" t="str">
        <x:f>IF(ISNUMBER(AE664),U664/AE664,"")</x:f>
      </x:c>
      <x:c r="AG664" s="29" t="str">
        <x:f>""</x:f>
      </x:c>
      <x:c r="AH664" s="30" t="str">
        <x:f>IF(ISNUMBER(AG664),U664/AG664,"")</x:f>
      </x:c>
      <x:c r="AI664" s="3" t="str">
        <x:v>同年式・グレードの検証済み当時価格なし／登録年混在</x:v>
      </x:c>
      <x:c r="AJ664" s="3" t="str">
        <x:v>一覧価格/年式のみ</x:v>
      </x:c>
      <x:c r="AK664" s="3" t="str">
        <x:v>一覧の表示価格。年式は掲載年式。</x:v>
      </x:c>
      <x:c r="AL664" s="31" t="n">
        <x:f>IF(AND(J664&lt;='分析方法'!$B$7,OR(ISBLANK(O664),O664&gt;='分析方法'!$B$8),X664&lt;&gt;"売却済み表示"),1,0)</x:f>
        <x:v>1</x:v>
      </x:c>
      <x:c r="AM664" s="32" t="n">
        <x:f>IF(AL664=1,U664,"")</x:f>
        <x:v>399000</x:v>
      </x:c>
      <x:c r="AN664" s="33" t="str">
        <x:f>IF(AL664=1,AF664,"")</x:f>
      </x:c>
      <x:c r="AO664" s="31" t="n">
        <x:f>'分析方法'!$B$6-J664</x:f>
        <x:v>6</x:v>
      </x:c>
      <x:c r="AP664" s="3"/>
    </x:row>
    <x:row r="665" ht="22" customHeight="1">
      <x:c r="A665" s="3" t="str">
        <x:v>T2907308</x:v>
      </x:c>
      <x:c r="B665" s="7" t="d">
        <x:v>2026-10-08T00:00:00.000Z</x:v>
      </x:c>
      <x:c r="C665" s="3" t="str">
        <x:v>Taladrod</x:v>
      </x:c>
      <x:c r="D665" s="3" t="str">
        <x:v>Toyota</x:v>
      </x:c>
      <x:c r="E665" s="3" t="str">
        <x:v>日本</x:v>
      </x:c>
      <x:c r="F665" s="3" t="str">
        <x:v>Hilux Revo</x:v>
      </x:c>
      <x:c r="G665" s="3" t="str">
        <x:v>ICE</x:v>
      </x:c>
      <x:c r="H665" s="3" t="str">
        <x:v>Pickup</x:v>
      </x:c>
      <x:c r="I665" s="3" t="str">
        <x:v>Double cab</x:v>
      </x:c>
      <x:c r="J665" s="3" t="n">
        <x:v>2020</x:v>
      </x:c>
      <x:c r="K665" s="3" t="str">
        <x:v>2.4 ENTRY Z EDITION DOUBLE CAB</x:v>
      </x:c>
      <x:c r="L665" s="3" t="str">
        <x:v>2.4 ENTRY Z EDITION DOUBLE CAB</x:v>
      </x:c>
      <x:c r="M665" s="22"/>
      <x:c r="N665" s="22"/>
      <x:c r="O665" s="22"/>
      <x:c r="P665" s="3" t="str">
        <x:v>未掲載</x:v>
      </x:c>
      <x:c r="Q665" s="3" t="str">
        <x:v>未取得</x:v>
      </x:c>
      <x:c r="R665" s="3" t="str">
        <x:v>Unknown</x:v>
      </x:c>
      <x:c r="S665" s="3" t="str">
        <x:v>不明</x:v>
      </x:c>
      <x:c r="T665" s="3" t="str">
        <x:v>世代不明</x:v>
      </x:c>
      <x:c r="U665" s="28" t="n">
        <x:v>425000</x:v>
      </x:c>
      <x:c r="V665" s="28"/>
      <x:c r="W665" s="3" t="str">
        <x:v>事故・水没・SOH・保証残は未確認</x:v>
      </x:c>
      <x:c r="X665" s="3" t="str">
        <x:v>掲載中・在庫未確認</x:v>
      </x:c>
      <x:c r="Y665" s="3" t="str"/>
      <x:c r="Z665" s="27" t="str">
        <x:v>https://www.taladrod.com/w40/icar/cardet.aspx?cid=2907308</x:v>
      </x:c>
      <x:c r="AA665" s="3" t="str">
        <x:v>Taladrod個別広告ID／Carsome在庫ID</x:v>
      </x:c>
      <x:c r="AB665" s="3" t="str">
        <x:v>車台番号未取得／サイト間重複は未判定</x:v>
      </x:c>
      <x:c r="AC665" s="3" t="str">
        <x:v>税込区分未確認（一覧表示額）</x:v>
      </x:c>
      <x:c r="AD665" s="3" t="str"/>
      <x:c r="AE665" s="29" t="str">
        <x:f>""</x:f>
      </x:c>
      <x:c r="AF665" s="30" t="str">
        <x:f>IF(ISNUMBER(AE665),U665/AE665,"")</x:f>
      </x:c>
      <x:c r="AG665" s="29" t="str">
        <x:f>""</x:f>
      </x:c>
      <x:c r="AH665" s="30" t="str">
        <x:f>IF(ISNUMBER(AG665),U665/AG665,"")</x:f>
      </x:c>
      <x:c r="AI665" s="3" t="str">
        <x:v>同年式・グレードの検証済み当時価格なし／登録年混在</x:v>
      </x:c>
      <x:c r="AJ665" s="3" t="str">
        <x:v>一覧価格/年式のみ</x:v>
      </x:c>
      <x:c r="AK665" s="3" t="str">
        <x:v>一覧の表示価格。年式は掲載年式。</x:v>
      </x:c>
      <x:c r="AL665" s="31" t="n">
        <x:f>IF(AND(J665&lt;='分析方法'!$B$7,OR(ISBLANK(O665),O665&gt;='分析方法'!$B$8),X665&lt;&gt;"売却済み表示"),1,0)</x:f>
        <x:v>1</x:v>
      </x:c>
      <x:c r="AM665" s="32" t="n">
        <x:f>IF(AL665=1,U665,"")</x:f>
        <x:v>425000</x:v>
      </x:c>
      <x:c r="AN665" s="33" t="str">
        <x:f>IF(AL665=1,AF665,"")</x:f>
      </x:c>
      <x:c r="AO665" s="31" t="n">
        <x:f>'分析方法'!$B$6-J665</x:f>
        <x:v>6</x:v>
      </x:c>
      <x:c r="AP665" s="3"/>
    </x:row>
    <x:row r="666" ht="22" customHeight="1">
      <x:c r="A666" s="3" t="str">
        <x:v>T2925462</x:v>
      </x:c>
      <x:c r="B666" s="7" t="d">
        <x:v>2026-10-08T00:00:00.000Z</x:v>
      </x:c>
      <x:c r="C666" s="3" t="str">
        <x:v>Taladrod</x:v>
      </x:c>
      <x:c r="D666" s="3" t="str">
        <x:v>Toyota</x:v>
      </x:c>
      <x:c r="E666" s="3" t="str">
        <x:v>日本</x:v>
      </x:c>
      <x:c r="F666" s="3" t="str">
        <x:v>Hilux Revo</x:v>
      </x:c>
      <x:c r="G666" s="3" t="str">
        <x:v>ICE</x:v>
      </x:c>
      <x:c r="H666" s="3" t="str">
        <x:v>Pickup</x:v>
      </x:c>
      <x:c r="I666" s="3" t="str">
        <x:v>Smart cab</x:v>
      </x:c>
      <x:c r="J666" s="3" t="n">
        <x:v>2020</x:v>
      </x:c>
      <x:c r="K666" s="3" t="str">
        <x:v>2.4 ENTRY Z EDITION SMART CAB</x:v>
      </x:c>
      <x:c r="L666" s="3" t="str">
        <x:v>2.4 ENTRY Z EDITION SMART CAB</x:v>
      </x:c>
      <x:c r="M666" s="22"/>
      <x:c r="N666" s="22"/>
      <x:c r="O666" s="22"/>
      <x:c r="P666" s="3" t="str">
        <x:v>未掲載</x:v>
      </x:c>
      <x:c r="Q666" s="3" t="str">
        <x:v>未取得</x:v>
      </x:c>
      <x:c r="R666" s="3" t="str">
        <x:v>Unknown</x:v>
      </x:c>
      <x:c r="S666" s="3" t="str">
        <x:v>不明</x:v>
      </x:c>
      <x:c r="T666" s="3" t="str">
        <x:v>世代不明</x:v>
      </x:c>
      <x:c r="U666" s="28" t="n">
        <x:v>419000</x:v>
      </x:c>
      <x:c r="V666" s="28"/>
      <x:c r="W666" s="3" t="str">
        <x:v>事故・水没・SOH・保証残は未確認</x:v>
      </x:c>
      <x:c r="X666" s="3" t="str">
        <x:v>掲載中・在庫未確認</x:v>
      </x:c>
      <x:c r="Y666" s="3" t="str"/>
      <x:c r="Z666" s="27" t="str">
        <x:v>https://www.taladrod.com/w40/icar/cardet.aspx?cid=2925462</x:v>
      </x:c>
      <x:c r="AA666" s="3" t="str">
        <x:v>Taladrod個別広告ID／Carsome在庫ID</x:v>
      </x:c>
      <x:c r="AB666" s="3" t="str">
        <x:v>車台番号未取得／サイト間重複は未判定</x:v>
      </x:c>
      <x:c r="AC666" s="3" t="str">
        <x:v>税込区分未確認（一覧表示額）</x:v>
      </x:c>
      <x:c r="AD666" s="3" t="str"/>
      <x:c r="AE666" s="29" t="str">
        <x:f>""</x:f>
      </x:c>
      <x:c r="AF666" s="30" t="str">
        <x:f>IF(ISNUMBER(AE666),U666/AE666,"")</x:f>
      </x:c>
      <x:c r="AG666" s="29" t="str">
        <x:f>""</x:f>
      </x:c>
      <x:c r="AH666" s="30" t="str">
        <x:f>IF(ISNUMBER(AG666),U666/AG666,"")</x:f>
      </x:c>
      <x:c r="AI666" s="3" t="str">
        <x:v>同年式・グレードの検証済み当時価格なし／登録年混在</x:v>
      </x:c>
      <x:c r="AJ666" s="3" t="str">
        <x:v>一覧価格/年式のみ</x:v>
      </x:c>
      <x:c r="AK666" s="3" t="str">
        <x:v>一覧の表示価格。年式は掲載年式。</x:v>
      </x:c>
      <x:c r="AL666" s="31" t="n">
        <x:f>IF(AND(J666&lt;='分析方法'!$B$7,OR(ISBLANK(O666),O666&gt;='分析方法'!$B$8),X666&lt;&gt;"売却済み表示"),1,0)</x:f>
        <x:v>1</x:v>
      </x:c>
      <x:c r="AM666" s="32" t="n">
        <x:f>IF(AL666=1,U666,"")</x:f>
        <x:v>419000</x:v>
      </x:c>
      <x:c r="AN666" s="33" t="str">
        <x:f>IF(AL666=1,AF666,"")</x:f>
      </x:c>
      <x:c r="AO666" s="31" t="n">
        <x:f>'分析方法'!$B$6-J666</x:f>
        <x:v>6</x:v>
      </x:c>
      <x:c r="AP666" s="3"/>
    </x:row>
    <x:row r="667" ht="22" customHeight="1">
      <x:c r="A667" s="3" t="str">
        <x:v>T2925948</x:v>
      </x:c>
      <x:c r="B667" s="7" t="d">
        <x:v>2026-10-08T00:00:00.000Z</x:v>
      </x:c>
      <x:c r="C667" s="3" t="str">
        <x:v>Taladrod</x:v>
      </x:c>
      <x:c r="D667" s="3" t="str">
        <x:v>Toyota</x:v>
      </x:c>
      <x:c r="E667" s="3" t="str">
        <x:v>日本</x:v>
      </x:c>
      <x:c r="F667" s="3" t="str">
        <x:v>Hilux Revo</x:v>
      </x:c>
      <x:c r="G667" s="3" t="str">
        <x:v>ICE</x:v>
      </x:c>
      <x:c r="H667" s="3" t="str">
        <x:v>Pickup</x:v>
      </x:c>
      <x:c r="I667" s="3" t="str">
        <x:v>Double cab</x:v>
      </x:c>
      <x:c r="J667" s="3" t="n">
        <x:v>2020</x:v>
      </x:c>
      <x:c r="K667" s="3" t="str">
        <x:v>2.4 HIGH PRERUNNER DOUBLE CAB</x:v>
      </x:c>
      <x:c r="L667" s="3" t="str">
        <x:v>2.4 HIGH PRERUNNER DOUBLE CAB</x:v>
      </x:c>
      <x:c r="M667" s="22"/>
      <x:c r="N667" s="22"/>
      <x:c r="O667" s="22"/>
      <x:c r="P667" s="3" t="str">
        <x:v>未掲載</x:v>
      </x:c>
      <x:c r="Q667" s="3" t="str">
        <x:v>未取得</x:v>
      </x:c>
      <x:c r="R667" s="3" t="str">
        <x:v>Unknown</x:v>
      </x:c>
      <x:c r="S667" s="3" t="str">
        <x:v>不明</x:v>
      </x:c>
      <x:c r="T667" s="3" t="str">
        <x:v>世代不明</x:v>
      </x:c>
      <x:c r="U667" s="28" t="n">
        <x:v>629000</x:v>
      </x:c>
      <x:c r="V667" s="28"/>
      <x:c r="W667" s="3" t="str">
        <x:v>事故・水没・SOH・保証残は未確認</x:v>
      </x:c>
      <x:c r="X667" s="3" t="str">
        <x:v>掲載中・在庫未確認</x:v>
      </x:c>
      <x:c r="Y667" s="3" t="str"/>
      <x:c r="Z667" s="27" t="str">
        <x:v>https://www.taladrod.com/w40/icar/cardet.aspx?cid=2925948</x:v>
      </x:c>
      <x:c r="AA667" s="3" t="str">
        <x:v>Taladrod個別広告ID／Carsome在庫ID</x:v>
      </x:c>
      <x:c r="AB667" s="3" t="str">
        <x:v>車台番号未取得／サイト間重複は未判定</x:v>
      </x:c>
      <x:c r="AC667" s="3" t="str">
        <x:v>税込区分未確認（一覧表示額）</x:v>
      </x:c>
      <x:c r="AD667" s="3" t="str"/>
      <x:c r="AE667" s="29" t="str">
        <x:f>""</x:f>
      </x:c>
      <x:c r="AF667" s="30" t="str">
        <x:f>IF(ISNUMBER(AE667),U667/AE667,"")</x:f>
      </x:c>
      <x:c r="AG667" s="29" t="str">
        <x:f>""</x:f>
      </x:c>
      <x:c r="AH667" s="30" t="str">
        <x:f>IF(ISNUMBER(AG667),U667/AG667,"")</x:f>
      </x:c>
      <x:c r="AI667" s="3" t="str">
        <x:v>同年式・グレードの検証済み当時価格なし／登録年混在</x:v>
      </x:c>
      <x:c r="AJ667" s="3" t="str">
        <x:v>一覧価格/年式のみ</x:v>
      </x:c>
      <x:c r="AK667" s="3" t="str">
        <x:v>一覧の表示価格。年式は掲載年式。</x:v>
      </x:c>
      <x:c r="AL667" s="31" t="n">
        <x:f>IF(AND(J667&lt;='分析方法'!$B$7,OR(ISBLANK(O667),O667&gt;='分析方法'!$B$8),X667&lt;&gt;"売却済み表示"),1,0)</x:f>
        <x:v>1</x:v>
      </x:c>
      <x:c r="AM667" s="32" t="n">
        <x:f>IF(AL667=1,U667,"")</x:f>
        <x:v>629000</x:v>
      </x:c>
      <x:c r="AN667" s="33" t="str">
        <x:f>IF(AL667=1,AF667,"")</x:f>
      </x:c>
      <x:c r="AO667" s="31" t="n">
        <x:f>'分析方法'!$B$6-J667</x:f>
        <x:v>6</x:v>
      </x:c>
      <x:c r="AP667" s="3"/>
    </x:row>
    <x:row r="668" ht="22" customHeight="1">
      <x:c r="A668" s="3" t="str">
        <x:v>T2915156</x:v>
      </x:c>
      <x:c r="B668" s="7" t="d">
        <x:v>2026-10-08T00:00:00.000Z</x:v>
      </x:c>
      <x:c r="C668" s="3" t="str">
        <x:v>Taladrod</x:v>
      </x:c>
      <x:c r="D668" s="3" t="str">
        <x:v>Toyota</x:v>
      </x:c>
      <x:c r="E668" s="3" t="str">
        <x:v>日本</x:v>
      </x:c>
      <x:c r="F668" s="3" t="str">
        <x:v>Hilux Revo</x:v>
      </x:c>
      <x:c r="G668" s="3" t="str">
        <x:v>ICE</x:v>
      </x:c>
      <x:c r="H668" s="3" t="str">
        <x:v>Pickup</x:v>
      </x:c>
      <x:c r="I668" s="3" t="str">
        <x:v>Double cab</x:v>
      </x:c>
      <x:c r="J668" s="3" t="n">
        <x:v>2020</x:v>
      </x:c>
      <x:c r="K668" s="3" t="str">
        <x:v>2.4 J PLUS DOUBLE CAB</x:v>
      </x:c>
      <x:c r="L668" s="3" t="str">
        <x:v>2.4 J PLUS DOUBLE CAB</x:v>
      </x:c>
      <x:c r="M668" s="22"/>
      <x:c r="N668" s="22"/>
      <x:c r="O668" s="22"/>
      <x:c r="P668" s="3" t="str">
        <x:v>未掲載</x:v>
      </x:c>
      <x:c r="Q668" s="3" t="str">
        <x:v>未取得</x:v>
      </x:c>
      <x:c r="R668" s="3" t="str">
        <x:v>Unknown</x:v>
      </x:c>
      <x:c r="S668" s="3" t="str">
        <x:v>不明</x:v>
      </x:c>
      <x:c r="T668" s="3" t="str">
        <x:v>世代不明</x:v>
      </x:c>
      <x:c r="U668" s="28" t="n">
        <x:v>404000</x:v>
      </x:c>
      <x:c r="V668" s="28" t="n">
        <x:v>725000</x:v>
      </x:c>
      <x:c r="W668" s="3" t="str">
        <x:v>事故・水没・SOH・保証残は未確認</x:v>
      </x:c>
      <x:c r="X668" s="3" t="str">
        <x:v>掲載中・在庫未確認</x:v>
      </x:c>
      <x:c r="Y668" s="3" t="str"/>
      <x:c r="Z668" s="27" t="str">
        <x:v>https://www.taladrod.com/w40/icar/cardet.aspx?cid=2915156</x:v>
      </x:c>
      <x:c r="AA668" s="3" t="str">
        <x:v>Taladrod個別広告ID／Carsome在庫ID</x:v>
      </x:c>
      <x:c r="AB668" s="3" t="str">
        <x:v>車台番号未取得／サイト間重複は未判定</x:v>
      </x:c>
      <x:c r="AC668" s="3" t="str">
        <x:v>税込区分未確認（一覧表示額）</x:v>
      </x:c>
      <x:c r="AD668" s="3" t="str"/>
      <x:c r="AE668" s="29" t="str">
        <x:f>""</x:f>
      </x:c>
      <x:c r="AF668" s="30" t="str">
        <x:f>IF(ISNUMBER(AE668),U668/AE668,"")</x:f>
      </x:c>
      <x:c r="AG668" s="29" t="str">
        <x:f>""</x:f>
      </x:c>
      <x:c r="AH668" s="30" t="str">
        <x:f>IF(ISNUMBER(AG668),U668/AG668,"")</x:f>
      </x:c>
      <x:c r="AI668" s="3" t="str">
        <x:v>同年式・グレードの検証済み当時価格なし／登録年混在</x:v>
      </x:c>
      <x:c r="AJ668" s="3" t="str">
        <x:v>一覧価格/年式のみ</x:v>
      </x:c>
      <x:c r="AK668" s="3" t="str">
        <x:v>一覧の表示価格。年式は掲載年式。</x:v>
      </x:c>
      <x:c r="AL668" s="31" t="n">
        <x:f>IF(AND(J668&lt;='分析方法'!$B$7,OR(ISBLANK(O668),O668&gt;='分析方法'!$B$8),X668&lt;&gt;"売却済み表示"),1,0)</x:f>
        <x:v>1</x:v>
      </x:c>
      <x:c r="AM668" s="32" t="n">
        <x:f>IF(AL668=1,U668,"")</x:f>
        <x:v>404000</x:v>
      </x:c>
      <x:c r="AN668" s="33" t="str">
        <x:f>IF(AL668=1,AF668,"")</x:f>
      </x:c>
      <x:c r="AO668" s="31" t="n">
        <x:f>'分析方法'!$B$6-J668</x:f>
        <x:v>6</x:v>
      </x:c>
      <x:c r="AP668" s="3"/>
    </x:row>
    <x:row r="669" ht="22" customHeight="1">
      <x:c r="A669" s="3" t="str">
        <x:v>T2910739</x:v>
      </x:c>
      <x:c r="B669" s="7" t="d">
        <x:v>2026-10-08T00:00:00.000Z</x:v>
      </x:c>
      <x:c r="C669" s="3" t="str">
        <x:v>Taladrod</x:v>
      </x:c>
      <x:c r="D669" s="3" t="str">
        <x:v>Toyota</x:v>
      </x:c>
      <x:c r="E669" s="3" t="str">
        <x:v>日本</x:v>
      </x:c>
      <x:c r="F669" s="3" t="str">
        <x:v>Hilux Revo</x:v>
      </x:c>
      <x:c r="G669" s="3" t="str">
        <x:v>ICE</x:v>
      </x:c>
      <x:c r="H669" s="3" t="str">
        <x:v>Pickup</x:v>
      </x:c>
      <x:c r="I669" s="3" t="str">
        <x:v>Smart cab</x:v>
      </x:c>
      <x:c r="J669" s="3" t="n">
        <x:v>2020</x:v>
      </x:c>
      <x:c r="K669" s="3" t="str">
        <x:v>2.4 J PLUS Z EDITION SMART CAB</x:v>
      </x:c>
      <x:c r="L669" s="3" t="str">
        <x:v>2.4 J PLUS Z EDITION SMART CAB</x:v>
      </x:c>
      <x:c r="M669" s="22"/>
      <x:c r="N669" s="22"/>
      <x:c r="O669" s="22"/>
      <x:c r="P669" s="3" t="str">
        <x:v>未掲載</x:v>
      </x:c>
      <x:c r="Q669" s="3" t="str">
        <x:v>未取得</x:v>
      </x:c>
      <x:c r="R669" s="3" t="str">
        <x:v>Unknown</x:v>
      </x:c>
      <x:c r="S669" s="3" t="str">
        <x:v>不明</x:v>
      </x:c>
      <x:c r="T669" s="3" t="str">
        <x:v>世代不明</x:v>
      </x:c>
      <x:c r="U669" s="28" t="n">
        <x:v>398000</x:v>
      </x:c>
      <x:c r="V669" s="28"/>
      <x:c r="W669" s="3" t="str">
        <x:v>事故・水没・SOH・保証残は未確認</x:v>
      </x:c>
      <x:c r="X669" s="3" t="str">
        <x:v>掲載中・在庫未確認</x:v>
      </x:c>
      <x:c r="Y669" s="3" t="str"/>
      <x:c r="Z669" s="27" t="str">
        <x:v>https://www.taladrod.com/w40/icar/cardet.aspx?cid=2910739</x:v>
      </x:c>
      <x:c r="AA669" s="3" t="str">
        <x:v>Taladrod個別広告ID／Carsome在庫ID</x:v>
      </x:c>
      <x:c r="AB669" s="3" t="str">
        <x:v>車台番号未取得／サイト間重複は未判定</x:v>
      </x:c>
      <x:c r="AC669" s="3" t="str">
        <x:v>税込区分未確認（一覧表示額）</x:v>
      </x:c>
      <x:c r="AD669" s="3" t="str"/>
      <x:c r="AE669" s="29" t="str">
        <x:f>""</x:f>
      </x:c>
      <x:c r="AF669" s="30" t="str">
        <x:f>IF(ISNUMBER(AE669),U669/AE669,"")</x:f>
      </x:c>
      <x:c r="AG669" s="29" t="str">
        <x:f>""</x:f>
      </x:c>
      <x:c r="AH669" s="30" t="str">
        <x:f>IF(ISNUMBER(AG669),U669/AG669,"")</x:f>
      </x:c>
      <x:c r="AI669" s="3" t="str">
        <x:v>同年式・グレードの検証済み当時価格なし／登録年混在</x:v>
      </x:c>
      <x:c r="AJ669" s="3" t="str">
        <x:v>一覧価格/年式のみ</x:v>
      </x:c>
      <x:c r="AK669" s="3" t="str">
        <x:v>一覧の表示価格。年式は掲載年式。</x:v>
      </x:c>
      <x:c r="AL669" s="31" t="n">
        <x:f>IF(AND(J669&lt;='分析方法'!$B$7,OR(ISBLANK(O669),O669&gt;='分析方法'!$B$8),X669&lt;&gt;"売却済み表示"),1,0)</x:f>
        <x:v>1</x:v>
      </x:c>
      <x:c r="AM669" s="32" t="n">
        <x:f>IF(AL669=1,U669,"")</x:f>
        <x:v>398000</x:v>
      </x:c>
      <x:c r="AN669" s="33" t="str">
        <x:f>IF(AL669=1,AF669,"")</x:f>
      </x:c>
      <x:c r="AO669" s="31" t="n">
        <x:f>'分析方法'!$B$6-J669</x:f>
        <x:v>6</x:v>
      </x:c>
      <x:c r="AP669" s="3"/>
    </x:row>
    <x:row r="670" ht="22" customHeight="1">
      <x:c r="A670" s="3" t="str">
        <x:v>T2914291</x:v>
      </x:c>
      <x:c r="B670" s="7" t="d">
        <x:v>2026-10-08T00:00:00.000Z</x:v>
      </x:c>
      <x:c r="C670" s="3" t="str">
        <x:v>Taladrod</x:v>
      </x:c>
      <x:c r="D670" s="3" t="str">
        <x:v>Toyota</x:v>
      </x:c>
      <x:c r="E670" s="3" t="str">
        <x:v>日本</x:v>
      </x:c>
      <x:c r="F670" s="3" t="str">
        <x:v>Hilux Revo</x:v>
      </x:c>
      <x:c r="G670" s="3" t="str">
        <x:v>ICE</x:v>
      </x:c>
      <x:c r="H670" s="3" t="str">
        <x:v>Pickup</x:v>
      </x:c>
      <x:c r="I670" s="3" t="str">
        <x:v>Smart cab</x:v>
      </x:c>
      <x:c r="J670" s="3" t="n">
        <x:v>2020</x:v>
      </x:c>
      <x:c r="K670" s="3" t="str">
        <x:v>2.4 J PLUS Z EDITION SMART CAB</x:v>
      </x:c>
      <x:c r="L670" s="3" t="str">
        <x:v>2.4 J PLUS Z EDITION SMART CAB</x:v>
      </x:c>
      <x:c r="M670" s="22"/>
      <x:c r="N670" s="22"/>
      <x:c r="O670" s="22"/>
      <x:c r="P670" s="3" t="str">
        <x:v>未掲載</x:v>
      </x:c>
      <x:c r="Q670" s="3" t="str">
        <x:v>未取得</x:v>
      </x:c>
      <x:c r="R670" s="3" t="str">
        <x:v>Unknown</x:v>
      </x:c>
      <x:c r="S670" s="3" t="str">
        <x:v>不明</x:v>
      </x:c>
      <x:c r="T670" s="3" t="str">
        <x:v>世代不明</x:v>
      </x:c>
      <x:c r="U670" s="28" t="n">
        <x:v>328000</x:v>
      </x:c>
      <x:c r="V670" s="28"/>
      <x:c r="W670" s="3" t="str">
        <x:v>事故・水没・SOH・保証残は未確認</x:v>
      </x:c>
      <x:c r="X670" s="3" t="str">
        <x:v>掲載中・在庫未確認</x:v>
      </x:c>
      <x:c r="Y670" s="3" t="str"/>
      <x:c r="Z670" s="27" t="str">
        <x:v>https://www.taladrod.com/w40/icar/cardet.aspx?cid=2914291</x:v>
      </x:c>
      <x:c r="AA670" s="3" t="str">
        <x:v>Taladrod個別広告ID／Carsome在庫ID</x:v>
      </x:c>
      <x:c r="AB670" s="3" t="str">
        <x:v>車台番号未取得／サイト間重複は未判定</x:v>
      </x:c>
      <x:c r="AC670" s="3" t="str">
        <x:v>税込区分未確認（一覧表示額）</x:v>
      </x:c>
      <x:c r="AD670" s="3" t="str"/>
      <x:c r="AE670" s="29" t="str">
        <x:f>""</x:f>
      </x:c>
      <x:c r="AF670" s="30" t="str">
        <x:f>IF(ISNUMBER(AE670),U670/AE670,"")</x:f>
      </x:c>
      <x:c r="AG670" s="29" t="str">
        <x:f>""</x:f>
      </x:c>
      <x:c r="AH670" s="30" t="str">
        <x:f>IF(ISNUMBER(AG670),U670/AG670,"")</x:f>
      </x:c>
      <x:c r="AI670" s="3" t="str">
        <x:v>同年式・グレードの検証済み当時価格なし／登録年混在</x:v>
      </x:c>
      <x:c r="AJ670" s="3" t="str">
        <x:v>一覧価格/年式のみ</x:v>
      </x:c>
      <x:c r="AK670" s="3" t="str">
        <x:v>一覧の表示価格。年式は掲載年式。</x:v>
      </x:c>
      <x:c r="AL670" s="31" t="n">
        <x:f>IF(AND(J670&lt;='分析方法'!$B$7,OR(ISBLANK(O670),O670&gt;='分析方法'!$B$8),X670&lt;&gt;"売却済み表示"),1,0)</x:f>
        <x:v>1</x:v>
      </x:c>
      <x:c r="AM670" s="32" t="n">
        <x:f>IF(AL670=1,U670,"")</x:f>
        <x:v>328000</x:v>
      </x:c>
      <x:c r="AN670" s="33" t="str">
        <x:f>IF(AL670=1,AF670,"")</x:f>
      </x:c>
      <x:c r="AO670" s="31" t="n">
        <x:f>'分析方法'!$B$6-J670</x:f>
        <x:v>6</x:v>
      </x:c>
      <x:c r="AP670" s="3"/>
    </x:row>
    <x:row r="671" ht="22" customHeight="1">
      <x:c r="A671" s="3" t="str">
        <x:v>T2925555</x:v>
      </x:c>
      <x:c r="B671" s="7" t="d">
        <x:v>2026-10-08T00:00:00.000Z</x:v>
      </x:c>
      <x:c r="C671" s="3" t="str">
        <x:v>Taladrod</x:v>
      </x:c>
      <x:c r="D671" s="3" t="str">
        <x:v>Toyota</x:v>
      </x:c>
      <x:c r="E671" s="3" t="str">
        <x:v>日本</x:v>
      </x:c>
      <x:c r="F671" s="3" t="str">
        <x:v>Hilux Revo</x:v>
      </x:c>
      <x:c r="G671" s="3" t="str">
        <x:v>ICE</x:v>
      </x:c>
      <x:c r="H671" s="3" t="str">
        <x:v>Pickup</x:v>
      </x:c>
      <x:c r="I671" s="3" t="str">
        <x:v>Smart cab</x:v>
      </x:c>
      <x:c r="J671" s="3" t="n">
        <x:v>2020</x:v>
      </x:c>
      <x:c r="K671" s="3" t="str">
        <x:v>2.4 J PLUS Z EDITION SMART CAB</x:v>
      </x:c>
      <x:c r="L671" s="3" t="str">
        <x:v>2.4 J PLUS Z EDITION SMART CAB</x:v>
      </x:c>
      <x:c r="M671" s="22"/>
      <x:c r="N671" s="22"/>
      <x:c r="O671" s="22"/>
      <x:c r="P671" s="3" t="str">
        <x:v>未掲載</x:v>
      </x:c>
      <x:c r="Q671" s="3" t="str">
        <x:v>未取得</x:v>
      </x:c>
      <x:c r="R671" s="3" t="str">
        <x:v>Unknown</x:v>
      </x:c>
      <x:c r="S671" s="3" t="str">
        <x:v>不明</x:v>
      </x:c>
      <x:c r="T671" s="3" t="str">
        <x:v>世代不明</x:v>
      </x:c>
      <x:c r="U671" s="28" t="n">
        <x:v>349000</x:v>
      </x:c>
      <x:c r="V671" s="28"/>
      <x:c r="W671" s="3" t="str">
        <x:v>事故・水没・SOH・保証残は未確認</x:v>
      </x:c>
      <x:c r="X671" s="3" t="str">
        <x:v>掲載中・在庫未確認</x:v>
      </x:c>
      <x:c r="Y671" s="3" t="str"/>
      <x:c r="Z671" s="27" t="str">
        <x:v>https://www.taladrod.com/w40/icar/cardet.aspx?cid=2925555</x:v>
      </x:c>
      <x:c r="AA671" s="3" t="str">
        <x:v>Taladrod個別広告ID／Carsome在庫ID</x:v>
      </x:c>
      <x:c r="AB671" s="3" t="str">
        <x:v>車台番号未取得／サイト間重複は未判定</x:v>
      </x:c>
      <x:c r="AC671" s="3" t="str">
        <x:v>税込区分未確認（一覧表示額）</x:v>
      </x:c>
      <x:c r="AD671" s="3" t="str"/>
      <x:c r="AE671" s="29" t="str">
        <x:f>""</x:f>
      </x:c>
      <x:c r="AF671" s="30" t="str">
        <x:f>IF(ISNUMBER(AE671),U671/AE671,"")</x:f>
      </x:c>
      <x:c r="AG671" s="29" t="str">
        <x:f>""</x:f>
      </x:c>
      <x:c r="AH671" s="30" t="str">
        <x:f>IF(ISNUMBER(AG671),U671/AG671,"")</x:f>
      </x:c>
      <x:c r="AI671" s="3" t="str">
        <x:v>同年式・グレードの検証済み当時価格なし／登録年混在</x:v>
      </x:c>
      <x:c r="AJ671" s="3" t="str">
        <x:v>一覧価格/年式のみ</x:v>
      </x:c>
      <x:c r="AK671" s="3" t="str">
        <x:v>一覧の表示価格。年式は掲載年式。</x:v>
      </x:c>
      <x:c r="AL671" s="31" t="n">
        <x:f>IF(AND(J671&lt;='分析方法'!$B$7,OR(ISBLANK(O671),O671&gt;='分析方法'!$B$8),X671&lt;&gt;"売却済み表示"),1,0)</x:f>
        <x:v>1</x:v>
      </x:c>
      <x:c r="AM671" s="32" t="n">
        <x:f>IF(AL671=1,U671,"")</x:f>
        <x:v>349000</x:v>
      </x:c>
      <x:c r="AN671" s="33" t="str">
        <x:f>IF(AL671=1,AF671,"")</x:f>
      </x:c>
      <x:c r="AO671" s="31" t="n">
        <x:f>'分析方法'!$B$6-J671</x:f>
        <x:v>6</x:v>
      </x:c>
      <x:c r="AP671" s="3"/>
    </x:row>
    <x:row r="672" ht="22" customHeight="1">
      <x:c r="A672" s="3" t="str">
        <x:v>T2922520</x:v>
      </x:c>
      <x:c r="B672" s="7" t="d">
        <x:v>2026-10-08T00:00:00.000Z</x:v>
      </x:c>
      <x:c r="C672" s="3" t="str">
        <x:v>Taladrod</x:v>
      </x:c>
      <x:c r="D672" s="3" t="str">
        <x:v>Toyota</x:v>
      </x:c>
      <x:c r="E672" s="3" t="str">
        <x:v>日本</x:v>
      </x:c>
      <x:c r="F672" s="3" t="str">
        <x:v>Hilux Revo</x:v>
      </x:c>
      <x:c r="G672" s="3" t="str">
        <x:v>ICE</x:v>
      </x:c>
      <x:c r="H672" s="3" t="str">
        <x:v>Pickup</x:v>
      </x:c>
      <x:c r="I672" s="3" t="str">
        <x:v>Single cab</x:v>
      </x:c>
      <x:c r="J672" s="3" t="n">
        <x:v>2020</x:v>
      </x:c>
      <x:c r="K672" s="3" t="str">
        <x:v>2.4 J STANDARD CAB</x:v>
      </x:c>
      <x:c r="L672" s="3" t="str">
        <x:v>2.4 J STANDARD CAB</x:v>
      </x:c>
      <x:c r="M672" s="22"/>
      <x:c r="N672" s="22"/>
      <x:c r="O672" s="22"/>
      <x:c r="P672" s="3" t="str">
        <x:v>未掲載</x:v>
      </x:c>
      <x:c r="Q672" s="3" t="str">
        <x:v>未取得</x:v>
      </x:c>
      <x:c r="R672" s="3" t="str">
        <x:v>Unknown</x:v>
      </x:c>
      <x:c r="S672" s="3" t="str">
        <x:v>不明</x:v>
      </x:c>
      <x:c r="T672" s="3" t="str">
        <x:v>世代不明</x:v>
      </x:c>
      <x:c r="U672" s="28" t="n">
        <x:v>299000</x:v>
      </x:c>
      <x:c r="V672" s="28" t="n">
        <x:v>569000</x:v>
      </x:c>
      <x:c r="W672" s="3" t="str">
        <x:v>事故・水没・SOH・保証残は未確認</x:v>
      </x:c>
      <x:c r="X672" s="3" t="str">
        <x:v>掲載中・在庫未確認</x:v>
      </x:c>
      <x:c r="Y672" s="3" t="str"/>
      <x:c r="Z672" s="27" t="str">
        <x:v>https://www.taladrod.com/w40/icar/cardet.aspx?cid=2922520</x:v>
      </x:c>
      <x:c r="AA672" s="3" t="str">
        <x:v>Taladrod個別広告ID／Carsome在庫ID</x:v>
      </x:c>
      <x:c r="AB672" s="3" t="str">
        <x:v>車台番号未取得／サイト間重複は未判定</x:v>
      </x:c>
      <x:c r="AC672" s="3" t="str">
        <x:v>税込区分未確認（一覧表示額）</x:v>
      </x:c>
      <x:c r="AD672" s="3" t="str"/>
      <x:c r="AE672" s="29" t="str">
        <x:f>""</x:f>
      </x:c>
      <x:c r="AF672" s="30" t="str">
        <x:f>IF(ISNUMBER(AE672),U672/AE672,"")</x:f>
      </x:c>
      <x:c r="AG672" s="29" t="str">
        <x:f>""</x:f>
      </x:c>
      <x:c r="AH672" s="30" t="str">
        <x:f>IF(ISNUMBER(AG672),U672/AG672,"")</x:f>
      </x:c>
      <x:c r="AI672" s="3" t="str">
        <x:v>同年式・グレードの検証済み当時価格なし／登録年混在</x:v>
      </x:c>
      <x:c r="AJ672" s="3" t="str">
        <x:v>一覧価格/年式のみ</x:v>
      </x:c>
      <x:c r="AK672" s="3" t="str">
        <x:v>一覧の表示価格。年式は掲載年式。</x:v>
      </x:c>
      <x:c r="AL672" s="31" t="n">
        <x:f>IF(AND(J672&lt;='分析方法'!$B$7,OR(ISBLANK(O672),O672&gt;='分析方法'!$B$8),X672&lt;&gt;"売却済み表示"),1,0)</x:f>
        <x:v>1</x:v>
      </x:c>
      <x:c r="AM672" s="32" t="n">
        <x:f>IF(AL672=1,U672,"")</x:f>
        <x:v>299000</x:v>
      </x:c>
      <x:c r="AN672" s="33" t="str">
        <x:f>IF(AL672=1,AF672,"")</x:f>
      </x:c>
      <x:c r="AO672" s="31" t="n">
        <x:f>'分析方法'!$B$6-J672</x:f>
        <x:v>6</x:v>
      </x:c>
      <x:c r="AP672" s="3"/>
    </x:row>
    <x:row r="673" ht="22" customHeight="1">
      <x:c r="A673" s="3" t="str">
        <x:v>T2922743</x:v>
      </x:c>
      <x:c r="B673" s="7" t="d">
        <x:v>2026-10-08T00:00:00.000Z</x:v>
      </x:c>
      <x:c r="C673" s="3" t="str">
        <x:v>Taladrod</x:v>
      </x:c>
      <x:c r="D673" s="3" t="str">
        <x:v>Toyota</x:v>
      </x:c>
      <x:c r="E673" s="3" t="str">
        <x:v>日本</x:v>
      </x:c>
      <x:c r="F673" s="3" t="str">
        <x:v>Hilux Revo</x:v>
      </x:c>
      <x:c r="G673" s="3" t="str">
        <x:v>ICE</x:v>
      </x:c>
      <x:c r="H673" s="3" t="str">
        <x:v>Pickup</x:v>
      </x:c>
      <x:c r="I673" s="3" t="str">
        <x:v>Double cab</x:v>
      </x:c>
      <x:c r="J673" s="3" t="n">
        <x:v>2020</x:v>
      </x:c>
      <x:c r="K673" s="3" t="str">
        <x:v>2.4 MID PRERUNNER DOUBLE CAB</x:v>
      </x:c>
      <x:c r="L673" s="3" t="str">
        <x:v>2.4 MID PRERUNNER DOUBLE CAB</x:v>
      </x:c>
      <x:c r="M673" s="22"/>
      <x:c r="N673" s="22"/>
      <x:c r="O673" s="22"/>
      <x:c r="P673" s="3" t="str">
        <x:v>未掲載</x:v>
      </x:c>
      <x:c r="Q673" s="3" t="str">
        <x:v>未取得</x:v>
      </x:c>
      <x:c r="R673" s="3" t="str">
        <x:v>Unknown</x:v>
      </x:c>
      <x:c r="S673" s="3" t="str">
        <x:v>不明</x:v>
      </x:c>
      <x:c r="T673" s="3" t="str">
        <x:v>世代不明</x:v>
      </x:c>
      <x:c r="U673" s="28" t="n">
        <x:v>515000</x:v>
      </x:c>
      <x:c r="V673" s="28"/>
      <x:c r="W673" s="3" t="str">
        <x:v>事故・水没・SOH・保証残は未確認</x:v>
      </x:c>
      <x:c r="X673" s="3" t="str">
        <x:v>掲載中・在庫未確認</x:v>
      </x:c>
      <x:c r="Y673" s="3" t="str"/>
      <x:c r="Z673" s="27" t="str">
        <x:v>https://www.taladrod.com/w40/icar/cardet.aspx?cid=2922743</x:v>
      </x:c>
      <x:c r="AA673" s="3" t="str">
        <x:v>Taladrod個別広告ID／Carsome在庫ID</x:v>
      </x:c>
      <x:c r="AB673" s="3" t="str">
        <x:v>車台番号未取得／サイト間重複は未判定</x:v>
      </x:c>
      <x:c r="AC673" s="3" t="str">
        <x:v>税込区分未確認（一覧表示額）</x:v>
      </x:c>
      <x:c r="AD673" s="3" t="str"/>
      <x:c r="AE673" s="29" t="str">
        <x:f>""</x:f>
      </x:c>
      <x:c r="AF673" s="30" t="str">
        <x:f>IF(ISNUMBER(AE673),U673/AE673,"")</x:f>
      </x:c>
      <x:c r="AG673" s="29" t="str">
        <x:f>""</x:f>
      </x:c>
      <x:c r="AH673" s="30" t="str">
        <x:f>IF(ISNUMBER(AG673),U673/AG673,"")</x:f>
      </x:c>
      <x:c r="AI673" s="3" t="str">
        <x:v>同年式・グレードの検証済み当時価格なし／登録年混在</x:v>
      </x:c>
      <x:c r="AJ673" s="3" t="str">
        <x:v>一覧価格/年式のみ</x:v>
      </x:c>
      <x:c r="AK673" s="3" t="str">
        <x:v>一覧の表示価格。年式は掲載年式。</x:v>
      </x:c>
      <x:c r="AL673" s="31" t="n">
        <x:f>IF(AND(J673&lt;='分析方法'!$B$7,OR(ISBLANK(O673),O673&gt;='分析方法'!$B$8),X673&lt;&gt;"売却済み表示"),1,0)</x:f>
        <x:v>1</x:v>
      </x:c>
      <x:c r="AM673" s="32" t="n">
        <x:f>IF(AL673=1,U673,"")</x:f>
        <x:v>515000</x:v>
      </x:c>
      <x:c r="AN673" s="33" t="str">
        <x:f>IF(AL673=1,AF673,"")</x:f>
      </x:c>
      <x:c r="AO673" s="31" t="n">
        <x:f>'分析方法'!$B$6-J673</x:f>
        <x:v>6</x:v>
      </x:c>
      <x:c r="AP673" s="3"/>
    </x:row>
    <x:row r="674" ht="22" customHeight="1">
      <x:c r="A674" s="3" t="str">
        <x:v>T2923857</x:v>
      </x:c>
      <x:c r="B674" s="7" t="d">
        <x:v>2026-10-08T00:00:00.000Z</x:v>
      </x:c>
      <x:c r="C674" s="3" t="str">
        <x:v>Taladrod</x:v>
      </x:c>
      <x:c r="D674" s="3" t="str">
        <x:v>Toyota</x:v>
      </x:c>
      <x:c r="E674" s="3" t="str">
        <x:v>日本</x:v>
      </x:c>
      <x:c r="F674" s="3" t="str">
        <x:v>Hilux Revo</x:v>
      </x:c>
      <x:c r="G674" s="3" t="str">
        <x:v>ICE</x:v>
      </x:c>
      <x:c r="H674" s="3" t="str">
        <x:v>Pickup</x:v>
      </x:c>
      <x:c r="I674" s="3" t="str">
        <x:v>Double cab</x:v>
      </x:c>
      <x:c r="J674" s="3" t="n">
        <x:v>2020</x:v>
      </x:c>
      <x:c r="K674" s="3" t="str">
        <x:v>2.4 MID PRERUNNER DOUBLE CAB</x:v>
      </x:c>
      <x:c r="L674" s="3" t="str">
        <x:v>2.4 MID PRERUNNER DOUBLE CAB</x:v>
      </x:c>
      <x:c r="M674" s="22"/>
      <x:c r="N674" s="22"/>
      <x:c r="O674" s="22"/>
      <x:c r="P674" s="3" t="str">
        <x:v>未掲載</x:v>
      </x:c>
      <x:c r="Q674" s="3" t="str">
        <x:v>未取得</x:v>
      </x:c>
      <x:c r="R674" s="3" t="str">
        <x:v>Unknown</x:v>
      </x:c>
      <x:c r="S674" s="3" t="str">
        <x:v>不明</x:v>
      </x:c>
      <x:c r="T674" s="3" t="str">
        <x:v>世代不明</x:v>
      </x:c>
      <x:c r="U674" s="28" t="n">
        <x:v>515000</x:v>
      </x:c>
      <x:c r="V674" s="28"/>
      <x:c r="W674" s="3" t="str">
        <x:v>事故・水没・SOH・保証残は未確認</x:v>
      </x:c>
      <x:c r="X674" s="3" t="str">
        <x:v>掲載中・在庫未確認</x:v>
      </x:c>
      <x:c r="Y674" s="3" t="str"/>
      <x:c r="Z674" s="27" t="str">
        <x:v>https://www.taladrod.com/w40/icar/cardet.aspx?cid=2923857</x:v>
      </x:c>
      <x:c r="AA674" s="3" t="str">
        <x:v>Taladrod個別広告ID／Carsome在庫ID</x:v>
      </x:c>
      <x:c r="AB674" s="3" t="str">
        <x:v>車台番号未取得／サイト間重複は未判定</x:v>
      </x:c>
      <x:c r="AC674" s="3" t="str">
        <x:v>税込区分未確認（一覧表示額）</x:v>
      </x:c>
      <x:c r="AD674" s="3" t="str"/>
      <x:c r="AE674" s="29" t="str">
        <x:f>""</x:f>
      </x:c>
      <x:c r="AF674" s="30" t="str">
        <x:f>IF(ISNUMBER(AE674),U674/AE674,"")</x:f>
      </x:c>
      <x:c r="AG674" s="29" t="str">
        <x:f>""</x:f>
      </x:c>
      <x:c r="AH674" s="30" t="str">
        <x:f>IF(ISNUMBER(AG674),U674/AG674,"")</x:f>
      </x:c>
      <x:c r="AI674" s="3" t="str">
        <x:v>同年式・グレードの検証済み当時価格なし／登録年混在</x:v>
      </x:c>
      <x:c r="AJ674" s="3" t="str">
        <x:v>一覧価格/年式のみ</x:v>
      </x:c>
      <x:c r="AK674" s="3" t="str">
        <x:v>一覧の表示価格。年式は掲載年式。</x:v>
      </x:c>
      <x:c r="AL674" s="31" t="n">
        <x:f>IF(AND(J674&lt;='分析方法'!$B$7,OR(ISBLANK(O674),O674&gt;='分析方法'!$B$8),X674&lt;&gt;"売却済み表示"),1,0)</x:f>
        <x:v>1</x:v>
      </x:c>
      <x:c r="AM674" s="32" t="n">
        <x:f>IF(AL674=1,U674,"")</x:f>
        <x:v>515000</x:v>
      </x:c>
      <x:c r="AN674" s="33" t="str">
        <x:f>IF(AL674=1,AF674,"")</x:f>
      </x:c>
      <x:c r="AO674" s="31" t="n">
        <x:f>'分析方法'!$B$6-J674</x:f>
        <x:v>6</x:v>
      </x:c>
      <x:c r="AP674" s="3"/>
    </x:row>
    <x:row r="675" ht="22" customHeight="1">
      <x:c r="A675" s="3" t="str">
        <x:v>T2907021</x:v>
      </x:c>
      <x:c r="B675" s="7" t="d">
        <x:v>2026-10-08T00:00:00.000Z</x:v>
      </x:c>
      <x:c r="C675" s="3" t="str">
        <x:v>Taladrod</x:v>
      </x:c>
      <x:c r="D675" s="3" t="str">
        <x:v>Toyota</x:v>
      </x:c>
      <x:c r="E675" s="3" t="str">
        <x:v>日本</x:v>
      </x:c>
      <x:c r="F675" s="3" t="str">
        <x:v>Hilux Revo</x:v>
      </x:c>
      <x:c r="G675" s="3" t="str">
        <x:v>ICE</x:v>
      </x:c>
      <x:c r="H675" s="3" t="str">
        <x:v>Pickup</x:v>
      </x:c>
      <x:c r="I675" s="3" t="str">
        <x:v>Smart cab</x:v>
      </x:c>
      <x:c r="J675" s="3" t="n">
        <x:v>2020</x:v>
      </x:c>
      <x:c r="K675" s="3" t="str">
        <x:v>2.4 MID PRERUNNER SMART CAB</x:v>
      </x:c>
      <x:c r="L675" s="3" t="str">
        <x:v>2.4 MID PRERUNNER SMART CAB</x:v>
      </x:c>
      <x:c r="M675" s="22"/>
      <x:c r="N675" s="22"/>
      <x:c r="O675" s="22"/>
      <x:c r="P675" s="3" t="str">
        <x:v>未掲載</x:v>
      </x:c>
      <x:c r="Q675" s="3" t="str">
        <x:v>未取得</x:v>
      </x:c>
      <x:c r="R675" s="3" t="str">
        <x:v>Unknown</x:v>
      </x:c>
      <x:c r="S675" s="3" t="str">
        <x:v>不明</x:v>
      </x:c>
      <x:c r="T675" s="3" t="str">
        <x:v>世代不明</x:v>
      </x:c>
      <x:c r="U675" s="28" t="n">
        <x:v>499000</x:v>
      </x:c>
      <x:c r="V675" s="28"/>
      <x:c r="W675" s="3" t="str">
        <x:v>事故・水没・SOH・保証残は未確認</x:v>
      </x:c>
      <x:c r="X675" s="3" t="str">
        <x:v>掲載中・在庫未確認</x:v>
      </x:c>
      <x:c r="Y675" s="3" t="str"/>
      <x:c r="Z675" s="27" t="str">
        <x:v>https://www.taladrod.com/w40/icar/cardet.aspx?cid=2907021</x:v>
      </x:c>
      <x:c r="AA675" s="3" t="str">
        <x:v>Taladrod個別広告ID／Carsome在庫ID</x:v>
      </x:c>
      <x:c r="AB675" s="3" t="str">
        <x:v>車台番号未取得／サイト間重複は未判定</x:v>
      </x:c>
      <x:c r="AC675" s="3" t="str">
        <x:v>税込区分未確認（一覧表示額）</x:v>
      </x:c>
      <x:c r="AD675" s="3" t="str"/>
      <x:c r="AE675" s="29" t="str">
        <x:f>""</x:f>
      </x:c>
      <x:c r="AF675" s="30" t="str">
        <x:f>IF(ISNUMBER(AE675),U675/AE675,"")</x:f>
      </x:c>
      <x:c r="AG675" s="29" t="str">
        <x:f>""</x:f>
      </x:c>
      <x:c r="AH675" s="30" t="str">
        <x:f>IF(ISNUMBER(AG675),U675/AG675,"")</x:f>
      </x:c>
      <x:c r="AI675" s="3" t="str">
        <x:v>同年式・グレードの検証済み当時価格なし／登録年混在</x:v>
      </x:c>
      <x:c r="AJ675" s="3" t="str">
        <x:v>一覧価格/年式のみ</x:v>
      </x:c>
      <x:c r="AK675" s="3" t="str">
        <x:v>一覧の表示価格。年式は掲載年式。</x:v>
      </x:c>
      <x:c r="AL675" s="31" t="n">
        <x:f>IF(AND(J675&lt;='分析方法'!$B$7,OR(ISBLANK(O675),O675&gt;='分析方法'!$B$8),X675&lt;&gt;"売却済み表示"),1,0)</x:f>
        <x:v>1</x:v>
      </x:c>
      <x:c r="AM675" s="32" t="n">
        <x:f>IF(AL675=1,U675,"")</x:f>
        <x:v>499000</x:v>
      </x:c>
      <x:c r="AN675" s="33" t="str">
        <x:f>IF(AL675=1,AF675,"")</x:f>
      </x:c>
      <x:c r="AO675" s="31" t="n">
        <x:f>'分析方法'!$B$6-J675</x:f>
        <x:v>6</x:v>
      </x:c>
      <x:c r="AP675" s="3"/>
    </x:row>
    <x:row r="676" ht="22" customHeight="1">
      <x:c r="A676" s="3" t="str">
        <x:v>T2880826</x:v>
      </x:c>
      <x:c r="B676" s="7" t="d">
        <x:v>2026-10-08T00:00:00.000Z</x:v>
      </x:c>
      <x:c r="C676" s="3" t="str">
        <x:v>Taladrod</x:v>
      </x:c>
      <x:c r="D676" s="3" t="str">
        <x:v>Toyota</x:v>
      </x:c>
      <x:c r="E676" s="3" t="str">
        <x:v>日本</x:v>
      </x:c>
      <x:c r="F676" s="3" t="str">
        <x:v>Hilux Revo</x:v>
      </x:c>
      <x:c r="G676" s="3" t="str">
        <x:v>ICE</x:v>
      </x:c>
      <x:c r="H676" s="3" t="str">
        <x:v>Pickup</x:v>
      </x:c>
      <x:c r="I676" s="3" t="str">
        <x:v>Double cab</x:v>
      </x:c>
      <x:c r="J676" s="3" t="n">
        <x:v>2020</x:v>
      </x:c>
      <x:c r="K676" s="3" t="str">
        <x:v>2.4 MID Z EDITION DOUBLE CAB</x:v>
      </x:c>
      <x:c r="L676" s="3" t="str">
        <x:v>2.4 MID Z EDITION DOUBLE CAB</x:v>
      </x:c>
      <x:c r="M676" s="22"/>
      <x:c r="N676" s="22"/>
      <x:c r="O676" s="22"/>
      <x:c r="P676" s="3" t="str">
        <x:v>未掲載</x:v>
      </x:c>
      <x:c r="Q676" s="3" t="str">
        <x:v>未取得</x:v>
      </x:c>
      <x:c r="R676" s="3" t="str">
        <x:v>Unknown</x:v>
      </x:c>
      <x:c r="S676" s="3" t="str">
        <x:v>不明</x:v>
      </x:c>
      <x:c r="T676" s="3" t="str">
        <x:v>世代不明</x:v>
      </x:c>
      <x:c r="U676" s="28" t="n">
        <x:v>464000</x:v>
      </x:c>
      <x:c r="V676" s="28"/>
      <x:c r="W676" s="3" t="str">
        <x:v>事故・水没・SOH・保証残は未確認</x:v>
      </x:c>
      <x:c r="X676" s="3" t="str">
        <x:v>掲載中・在庫未確認</x:v>
      </x:c>
      <x:c r="Y676" s="3" t="str"/>
      <x:c r="Z676" s="27" t="str">
        <x:v>https://www.taladrod.com/w40/icar/cardet.aspx?cid=2880826</x:v>
      </x:c>
      <x:c r="AA676" s="3" t="str">
        <x:v>Taladrod個別広告ID／Carsome在庫ID</x:v>
      </x:c>
      <x:c r="AB676" s="3" t="str">
        <x:v>車台番号未取得／サイト間重複は未判定</x:v>
      </x:c>
      <x:c r="AC676" s="3" t="str">
        <x:v>税込区分未確認（一覧表示額）</x:v>
      </x:c>
      <x:c r="AD676" s="3" t="str"/>
      <x:c r="AE676" s="29" t="str">
        <x:f>""</x:f>
      </x:c>
      <x:c r="AF676" s="30" t="str">
        <x:f>IF(ISNUMBER(AE676),U676/AE676,"")</x:f>
      </x:c>
      <x:c r="AG676" s="29" t="str">
        <x:f>""</x:f>
      </x:c>
      <x:c r="AH676" s="30" t="str">
        <x:f>IF(ISNUMBER(AG676),U676/AG676,"")</x:f>
      </x:c>
      <x:c r="AI676" s="3" t="str">
        <x:v>同年式・グレードの検証済み当時価格なし／登録年混在</x:v>
      </x:c>
      <x:c r="AJ676" s="3" t="str">
        <x:v>一覧価格/年式のみ</x:v>
      </x:c>
      <x:c r="AK676" s="3" t="str">
        <x:v>一覧の表示価格。年式は掲載年式。</x:v>
      </x:c>
      <x:c r="AL676" s="31" t="n">
        <x:f>IF(AND(J676&lt;='分析方法'!$B$7,OR(ISBLANK(O676),O676&gt;='分析方法'!$B$8),X676&lt;&gt;"売却済み表示"),1,0)</x:f>
        <x:v>1</x:v>
      </x:c>
      <x:c r="AM676" s="32" t="n">
        <x:f>IF(AL676=1,U676,"")</x:f>
        <x:v>464000</x:v>
      </x:c>
      <x:c r="AN676" s="33" t="str">
        <x:f>IF(AL676=1,AF676,"")</x:f>
      </x:c>
      <x:c r="AO676" s="31" t="n">
        <x:f>'分析方法'!$B$6-J676</x:f>
        <x:v>6</x:v>
      </x:c>
      <x:c r="AP676" s="3"/>
    </x:row>
    <x:row r="677" ht="22" customHeight="1">
      <x:c r="A677" s="3" t="str">
        <x:v>T2889280</x:v>
      </x:c>
      <x:c r="B677" s="7" t="d">
        <x:v>2026-10-08T00:00:00.000Z</x:v>
      </x:c>
      <x:c r="C677" s="3" t="str">
        <x:v>Taladrod</x:v>
      </x:c>
      <x:c r="D677" s="3" t="str">
        <x:v>Toyota</x:v>
      </x:c>
      <x:c r="E677" s="3" t="str">
        <x:v>日本</x:v>
      </x:c>
      <x:c r="F677" s="3" t="str">
        <x:v>Hilux Revo</x:v>
      </x:c>
      <x:c r="G677" s="3" t="str">
        <x:v>ICE</x:v>
      </x:c>
      <x:c r="H677" s="3" t="str">
        <x:v>Pickup</x:v>
      </x:c>
      <x:c r="I677" s="3" t="str">
        <x:v>Double cab</x:v>
      </x:c>
      <x:c r="J677" s="3" t="n">
        <x:v>2020</x:v>
      </x:c>
      <x:c r="K677" s="3" t="str">
        <x:v>2.4 MID Z EDITION DOUBLE CAB</x:v>
      </x:c>
      <x:c r="L677" s="3" t="str">
        <x:v>2.4 MID Z EDITION DOUBLE CAB</x:v>
      </x:c>
      <x:c r="M677" s="22"/>
      <x:c r="N677" s="22"/>
      <x:c r="O677" s="22"/>
      <x:c r="P677" s="3" t="str">
        <x:v>未掲載</x:v>
      </x:c>
      <x:c r="Q677" s="3" t="str">
        <x:v>未取得</x:v>
      </x:c>
      <x:c r="R677" s="3" t="str">
        <x:v>Unknown</x:v>
      </x:c>
      <x:c r="S677" s="3" t="str">
        <x:v>不明</x:v>
      </x:c>
      <x:c r="T677" s="3" t="str">
        <x:v>世代不明</x:v>
      </x:c>
      <x:c r="U677" s="28" t="n">
        <x:v>469000</x:v>
      </x:c>
      <x:c r="V677" s="28"/>
      <x:c r="W677" s="3" t="str">
        <x:v>事故・水没・SOH・保証残は未確認</x:v>
      </x:c>
      <x:c r="X677" s="3" t="str">
        <x:v>掲載中・在庫未確認</x:v>
      </x:c>
      <x:c r="Y677" s="3" t="str"/>
      <x:c r="Z677" s="27" t="str">
        <x:v>https://www.taladrod.com/w40/icar/cardet.aspx?cid=2889280</x:v>
      </x:c>
      <x:c r="AA677" s="3" t="str">
        <x:v>Taladrod個別広告ID／Carsome在庫ID</x:v>
      </x:c>
      <x:c r="AB677" s="3" t="str">
        <x:v>車台番号未取得／サイト間重複は未判定</x:v>
      </x:c>
      <x:c r="AC677" s="3" t="str">
        <x:v>税込区分未確認（一覧表示額）</x:v>
      </x:c>
      <x:c r="AD677" s="3" t="str"/>
      <x:c r="AE677" s="29" t="str">
        <x:f>""</x:f>
      </x:c>
      <x:c r="AF677" s="30" t="str">
        <x:f>IF(ISNUMBER(AE677),U677/AE677,"")</x:f>
      </x:c>
      <x:c r="AG677" s="29" t="str">
        <x:f>""</x:f>
      </x:c>
      <x:c r="AH677" s="30" t="str">
        <x:f>IF(ISNUMBER(AG677),U677/AG677,"")</x:f>
      </x:c>
      <x:c r="AI677" s="3" t="str">
        <x:v>同年式・グレードの検証済み当時価格なし／登録年混在</x:v>
      </x:c>
      <x:c r="AJ677" s="3" t="str">
        <x:v>一覧価格/年式のみ</x:v>
      </x:c>
      <x:c r="AK677" s="3" t="str">
        <x:v>一覧の表示価格。年式は掲載年式。</x:v>
      </x:c>
      <x:c r="AL677" s="31" t="n">
        <x:f>IF(AND(J677&lt;='分析方法'!$B$7,OR(ISBLANK(O677),O677&gt;='分析方法'!$B$8),X677&lt;&gt;"売却済み表示"),1,0)</x:f>
        <x:v>1</x:v>
      </x:c>
      <x:c r="AM677" s="32" t="n">
        <x:f>IF(AL677=1,U677,"")</x:f>
        <x:v>469000</x:v>
      </x:c>
      <x:c r="AN677" s="33" t="str">
        <x:f>IF(AL677=1,AF677,"")</x:f>
      </x:c>
      <x:c r="AO677" s="31" t="n">
        <x:f>'分析方法'!$B$6-J677</x:f>
        <x:v>6</x:v>
      </x:c>
      <x:c r="AP677" s="3"/>
    </x:row>
    <x:row r="678" ht="22" customHeight="1">
      <x:c r="A678" s="3" t="str">
        <x:v>T2893170</x:v>
      </x:c>
      <x:c r="B678" s="7" t="d">
        <x:v>2026-10-08T00:00:00.000Z</x:v>
      </x:c>
      <x:c r="C678" s="3" t="str">
        <x:v>Taladrod</x:v>
      </x:c>
      <x:c r="D678" s="3" t="str">
        <x:v>Toyota</x:v>
      </x:c>
      <x:c r="E678" s="3" t="str">
        <x:v>日本</x:v>
      </x:c>
      <x:c r="F678" s="3" t="str">
        <x:v>Hilux Revo</x:v>
      </x:c>
      <x:c r="G678" s="3" t="str">
        <x:v>ICE</x:v>
      </x:c>
      <x:c r="H678" s="3" t="str">
        <x:v>Pickup</x:v>
      </x:c>
      <x:c r="I678" s="3" t="str">
        <x:v>Double cab</x:v>
      </x:c>
      <x:c r="J678" s="3" t="n">
        <x:v>2020</x:v>
      </x:c>
      <x:c r="K678" s="3" t="str">
        <x:v>2.4 MID Z EDITION DOUBLE CAB</x:v>
      </x:c>
      <x:c r="L678" s="3" t="str">
        <x:v>2.4 MID Z EDITION DOUBLE CAB</x:v>
      </x:c>
      <x:c r="M678" s="22"/>
      <x:c r="N678" s="22"/>
      <x:c r="O678" s="22"/>
      <x:c r="P678" s="3" t="str">
        <x:v>未掲載</x:v>
      </x:c>
      <x:c r="Q678" s="3" t="str">
        <x:v>未取得</x:v>
      </x:c>
      <x:c r="R678" s="3" t="str">
        <x:v>Unknown</x:v>
      </x:c>
      <x:c r="S678" s="3" t="str">
        <x:v>不明</x:v>
      </x:c>
      <x:c r="T678" s="3" t="str">
        <x:v>世代不明</x:v>
      </x:c>
      <x:c r="U678" s="28" t="n">
        <x:v>439000</x:v>
      </x:c>
      <x:c r="V678" s="28"/>
      <x:c r="W678" s="3" t="str">
        <x:v>事故・水没・SOH・保証残は未確認</x:v>
      </x:c>
      <x:c r="X678" s="3" t="str">
        <x:v>掲載中・在庫未確認</x:v>
      </x:c>
      <x:c r="Y678" s="3" t="str"/>
      <x:c r="Z678" s="27" t="str">
        <x:v>https://www.taladrod.com/w40/icar/cardet.aspx?cid=2893170</x:v>
      </x:c>
      <x:c r="AA678" s="3" t="str">
        <x:v>Taladrod個別広告ID／Carsome在庫ID</x:v>
      </x:c>
      <x:c r="AB678" s="3" t="str">
        <x:v>車台番号未取得／サイト間重複は未判定</x:v>
      </x:c>
      <x:c r="AC678" s="3" t="str">
        <x:v>税込区分未確認（一覧表示額）</x:v>
      </x:c>
      <x:c r="AD678" s="3" t="str"/>
      <x:c r="AE678" s="29" t="str">
        <x:f>""</x:f>
      </x:c>
      <x:c r="AF678" s="30" t="str">
        <x:f>IF(ISNUMBER(AE678),U678/AE678,"")</x:f>
      </x:c>
      <x:c r="AG678" s="29" t="str">
        <x:f>""</x:f>
      </x:c>
      <x:c r="AH678" s="30" t="str">
        <x:f>IF(ISNUMBER(AG678),U678/AG678,"")</x:f>
      </x:c>
      <x:c r="AI678" s="3" t="str">
        <x:v>同年式・グレードの検証済み当時価格なし／登録年混在</x:v>
      </x:c>
      <x:c r="AJ678" s="3" t="str">
        <x:v>一覧価格/年式のみ</x:v>
      </x:c>
      <x:c r="AK678" s="3" t="str">
        <x:v>一覧の表示価格。年式は掲載年式。</x:v>
      </x:c>
      <x:c r="AL678" s="31" t="n">
        <x:f>IF(AND(J678&lt;='分析方法'!$B$7,OR(ISBLANK(O678),O678&gt;='分析方法'!$B$8),X678&lt;&gt;"売却済み表示"),1,0)</x:f>
        <x:v>1</x:v>
      </x:c>
      <x:c r="AM678" s="32" t="n">
        <x:f>IF(AL678=1,U678,"")</x:f>
        <x:v>439000</x:v>
      </x:c>
      <x:c r="AN678" s="33" t="str">
        <x:f>IF(AL678=1,AF678,"")</x:f>
      </x:c>
      <x:c r="AO678" s="31" t="n">
        <x:f>'分析方法'!$B$6-J678</x:f>
        <x:v>6</x:v>
      </x:c>
      <x:c r="AP678" s="3"/>
    </x:row>
    <x:row r="679" ht="22" customHeight="1">
      <x:c r="A679" s="3" t="str">
        <x:v>T2898163</x:v>
      </x:c>
      <x:c r="B679" s="7" t="d">
        <x:v>2026-10-08T00:00:00.000Z</x:v>
      </x:c>
      <x:c r="C679" s="3" t="str">
        <x:v>Taladrod</x:v>
      </x:c>
      <x:c r="D679" s="3" t="str">
        <x:v>Toyota</x:v>
      </x:c>
      <x:c r="E679" s="3" t="str">
        <x:v>日本</x:v>
      </x:c>
      <x:c r="F679" s="3" t="str">
        <x:v>Hilux Revo</x:v>
      </x:c>
      <x:c r="G679" s="3" t="str">
        <x:v>ICE</x:v>
      </x:c>
      <x:c r="H679" s="3" t="str">
        <x:v>Pickup</x:v>
      </x:c>
      <x:c r="I679" s="3" t="str">
        <x:v>Double cab</x:v>
      </x:c>
      <x:c r="J679" s="3" t="n">
        <x:v>2020</x:v>
      </x:c>
      <x:c r="K679" s="3" t="str">
        <x:v>2.4 MID Z EDITION DOUBLE CAB</x:v>
      </x:c>
      <x:c r="L679" s="3" t="str">
        <x:v>2.4 MID Z EDITION DOUBLE CAB</x:v>
      </x:c>
      <x:c r="M679" s="22"/>
      <x:c r="N679" s="22"/>
      <x:c r="O679" s="22"/>
      <x:c r="P679" s="3" t="str">
        <x:v>未掲載</x:v>
      </x:c>
      <x:c r="Q679" s="3" t="str">
        <x:v>未取得</x:v>
      </x:c>
      <x:c r="R679" s="3" t="str">
        <x:v>Unknown</x:v>
      </x:c>
      <x:c r="S679" s="3" t="str">
        <x:v>不明</x:v>
      </x:c>
      <x:c r="T679" s="3" t="str">
        <x:v>世代不明</x:v>
      </x:c>
      <x:c r="U679" s="28" t="n">
        <x:v>475000</x:v>
      </x:c>
      <x:c r="V679" s="28"/>
      <x:c r="W679" s="3" t="str">
        <x:v>事故・水没・SOH・保証残は未確認</x:v>
      </x:c>
      <x:c r="X679" s="3" t="str">
        <x:v>掲載中・在庫未確認</x:v>
      </x:c>
      <x:c r="Y679" s="3" t="str"/>
      <x:c r="Z679" s="27" t="str">
        <x:v>https://www.taladrod.com/w40/icar/cardet.aspx?cid=2898163</x:v>
      </x:c>
      <x:c r="AA679" s="3" t="str">
        <x:v>Taladrod個別広告ID／Carsome在庫ID</x:v>
      </x:c>
      <x:c r="AB679" s="3" t="str">
        <x:v>車台番号未取得／サイト間重複は未判定</x:v>
      </x:c>
      <x:c r="AC679" s="3" t="str">
        <x:v>税込区分未確認（一覧表示額）</x:v>
      </x:c>
      <x:c r="AD679" s="3" t="str"/>
      <x:c r="AE679" s="29" t="str">
        <x:f>""</x:f>
      </x:c>
      <x:c r="AF679" s="30" t="str">
        <x:f>IF(ISNUMBER(AE679),U679/AE679,"")</x:f>
      </x:c>
      <x:c r="AG679" s="29" t="str">
        <x:f>""</x:f>
      </x:c>
      <x:c r="AH679" s="30" t="str">
        <x:f>IF(ISNUMBER(AG679),U679/AG679,"")</x:f>
      </x:c>
      <x:c r="AI679" s="3" t="str">
        <x:v>同年式・グレードの検証済み当時価格なし／登録年混在</x:v>
      </x:c>
      <x:c r="AJ679" s="3" t="str">
        <x:v>一覧価格/年式のみ</x:v>
      </x:c>
      <x:c r="AK679" s="3" t="str">
        <x:v>一覧の表示価格。年式は掲載年式。</x:v>
      </x:c>
      <x:c r="AL679" s="31" t="n">
        <x:f>IF(AND(J679&lt;='分析方法'!$B$7,OR(ISBLANK(O679),O679&gt;='分析方法'!$B$8),X679&lt;&gt;"売却済み表示"),1,0)</x:f>
        <x:v>1</x:v>
      </x:c>
      <x:c r="AM679" s="32" t="n">
        <x:f>IF(AL679=1,U679,"")</x:f>
        <x:v>475000</x:v>
      </x:c>
      <x:c r="AN679" s="33" t="str">
        <x:f>IF(AL679=1,AF679,"")</x:f>
      </x:c>
      <x:c r="AO679" s="31" t="n">
        <x:f>'分析方法'!$B$6-J679</x:f>
        <x:v>6</x:v>
      </x:c>
      <x:c r="AP679" s="3"/>
    </x:row>
    <x:row r="680" ht="22" customHeight="1">
      <x:c r="A680" s="3" t="str">
        <x:v>T2898476</x:v>
      </x:c>
      <x:c r="B680" s="7" t="d">
        <x:v>2026-10-08T00:00:00.000Z</x:v>
      </x:c>
      <x:c r="C680" s="3" t="str">
        <x:v>Taladrod</x:v>
      </x:c>
      <x:c r="D680" s="3" t="str">
        <x:v>Toyota</x:v>
      </x:c>
      <x:c r="E680" s="3" t="str">
        <x:v>日本</x:v>
      </x:c>
      <x:c r="F680" s="3" t="str">
        <x:v>Hilux Revo</x:v>
      </x:c>
      <x:c r="G680" s="3" t="str">
        <x:v>ICE</x:v>
      </x:c>
      <x:c r="H680" s="3" t="str">
        <x:v>Pickup</x:v>
      </x:c>
      <x:c r="I680" s="3" t="str">
        <x:v>Double cab</x:v>
      </x:c>
      <x:c r="J680" s="3" t="n">
        <x:v>2020</x:v>
      </x:c>
      <x:c r="K680" s="3" t="str">
        <x:v>2.4 MID Z EDITION DOUBLE CAB</x:v>
      </x:c>
      <x:c r="L680" s="3" t="str">
        <x:v>2.4 MID Z EDITION DOUBLE CAB</x:v>
      </x:c>
      <x:c r="M680" s="22"/>
      <x:c r="N680" s="22"/>
      <x:c r="O680" s="22"/>
      <x:c r="P680" s="3" t="str">
        <x:v>未掲載</x:v>
      </x:c>
      <x:c r="Q680" s="3" t="str">
        <x:v>未取得</x:v>
      </x:c>
      <x:c r="R680" s="3" t="str">
        <x:v>Unknown</x:v>
      </x:c>
      <x:c r="S680" s="3" t="str">
        <x:v>不明</x:v>
      </x:c>
      <x:c r="T680" s="3" t="str">
        <x:v>世代不明</x:v>
      </x:c>
      <x:c r="U680" s="28" t="n">
        <x:v>424000</x:v>
      </x:c>
      <x:c r="V680" s="28"/>
      <x:c r="W680" s="3" t="str">
        <x:v>事故・水没・SOH・保証残は未確認</x:v>
      </x:c>
      <x:c r="X680" s="3" t="str">
        <x:v>掲載中・在庫未確認</x:v>
      </x:c>
      <x:c r="Y680" s="3" t="str"/>
      <x:c r="Z680" s="27" t="str">
        <x:v>https://www.taladrod.com/w40/icar/cardet.aspx?cid=2898476</x:v>
      </x:c>
      <x:c r="AA680" s="3" t="str">
        <x:v>Taladrod個別広告ID／Carsome在庫ID</x:v>
      </x:c>
      <x:c r="AB680" s="3" t="str">
        <x:v>車台番号未取得／サイト間重複は未判定</x:v>
      </x:c>
      <x:c r="AC680" s="3" t="str">
        <x:v>税込区分未確認（一覧表示額）</x:v>
      </x:c>
      <x:c r="AD680" s="3" t="str"/>
      <x:c r="AE680" s="29" t="str">
        <x:f>""</x:f>
      </x:c>
      <x:c r="AF680" s="30" t="str">
        <x:f>IF(ISNUMBER(AE680),U680/AE680,"")</x:f>
      </x:c>
      <x:c r="AG680" s="29" t="str">
        <x:f>""</x:f>
      </x:c>
      <x:c r="AH680" s="30" t="str">
        <x:f>IF(ISNUMBER(AG680),U680/AG680,"")</x:f>
      </x:c>
      <x:c r="AI680" s="3" t="str">
        <x:v>同年式・グレードの検証済み当時価格なし／登録年混在</x:v>
      </x:c>
      <x:c r="AJ680" s="3" t="str">
        <x:v>一覧価格/年式のみ</x:v>
      </x:c>
      <x:c r="AK680" s="3" t="str">
        <x:v>一覧の表示価格。年式は掲載年式。</x:v>
      </x:c>
      <x:c r="AL680" s="31" t="n">
        <x:f>IF(AND(J680&lt;='分析方法'!$B$7,OR(ISBLANK(O680),O680&gt;='分析方法'!$B$8),X680&lt;&gt;"売却済み表示"),1,0)</x:f>
        <x:v>1</x:v>
      </x:c>
      <x:c r="AM680" s="32" t="n">
        <x:f>IF(AL680=1,U680,"")</x:f>
        <x:v>424000</x:v>
      </x:c>
      <x:c r="AN680" s="33" t="str">
        <x:f>IF(AL680=1,AF680,"")</x:f>
      </x:c>
      <x:c r="AO680" s="31" t="n">
        <x:f>'分析方法'!$B$6-J680</x:f>
        <x:v>6</x:v>
      </x:c>
      <x:c r="AP680" s="3"/>
    </x:row>
    <x:row r="681" ht="22" customHeight="1">
      <x:c r="A681" s="3" t="str">
        <x:v>T2904741</x:v>
      </x:c>
      <x:c r="B681" s="7" t="d">
        <x:v>2026-10-08T00:00:00.000Z</x:v>
      </x:c>
      <x:c r="C681" s="3" t="str">
        <x:v>Taladrod</x:v>
      </x:c>
      <x:c r="D681" s="3" t="str">
        <x:v>Toyota</x:v>
      </x:c>
      <x:c r="E681" s="3" t="str">
        <x:v>日本</x:v>
      </x:c>
      <x:c r="F681" s="3" t="str">
        <x:v>Hilux Revo</x:v>
      </x:c>
      <x:c r="G681" s="3" t="str">
        <x:v>ICE</x:v>
      </x:c>
      <x:c r="H681" s="3" t="str">
        <x:v>Pickup</x:v>
      </x:c>
      <x:c r="I681" s="3" t="str">
        <x:v>Double cab</x:v>
      </x:c>
      <x:c r="J681" s="3" t="n">
        <x:v>2020</x:v>
      </x:c>
      <x:c r="K681" s="3" t="str">
        <x:v>2.4 MID Z EDITION DOUBLE CAB</x:v>
      </x:c>
      <x:c r="L681" s="3" t="str">
        <x:v>2.4 MID Z EDITION DOUBLE CAB</x:v>
      </x:c>
      <x:c r="M681" s="22"/>
      <x:c r="N681" s="22"/>
      <x:c r="O681" s="22"/>
      <x:c r="P681" s="3" t="str">
        <x:v>未掲載</x:v>
      </x:c>
      <x:c r="Q681" s="3" t="str">
        <x:v>未取得</x:v>
      </x:c>
      <x:c r="R681" s="3" t="str">
        <x:v>Unknown</x:v>
      </x:c>
      <x:c r="S681" s="3" t="str">
        <x:v>不明</x:v>
      </x:c>
      <x:c r="T681" s="3" t="str">
        <x:v>世代不明</x:v>
      </x:c>
      <x:c r="U681" s="28" t="n">
        <x:v>438000</x:v>
      </x:c>
      <x:c r="V681" s="28"/>
      <x:c r="W681" s="3" t="str">
        <x:v>事故・水没・SOH・保証残は未確認</x:v>
      </x:c>
      <x:c r="X681" s="3" t="str">
        <x:v>掲載中・在庫未確認</x:v>
      </x:c>
      <x:c r="Y681" s="3" t="str"/>
      <x:c r="Z681" s="27" t="str">
        <x:v>https://www.taladrod.com/w40/icar/cardet.aspx?cid=2904741</x:v>
      </x:c>
      <x:c r="AA681" s="3" t="str">
        <x:v>Taladrod個別広告ID／Carsome在庫ID</x:v>
      </x:c>
      <x:c r="AB681" s="3" t="str">
        <x:v>車台番号未取得／サイト間重複は未判定</x:v>
      </x:c>
      <x:c r="AC681" s="3" t="str">
        <x:v>税込区分未確認（一覧表示額）</x:v>
      </x:c>
      <x:c r="AD681" s="3" t="str"/>
      <x:c r="AE681" s="29" t="str">
        <x:f>""</x:f>
      </x:c>
      <x:c r="AF681" s="30" t="str">
        <x:f>IF(ISNUMBER(AE681),U681/AE681,"")</x:f>
      </x:c>
      <x:c r="AG681" s="29" t="str">
        <x:f>""</x:f>
      </x:c>
      <x:c r="AH681" s="30" t="str">
        <x:f>IF(ISNUMBER(AG681),U681/AG681,"")</x:f>
      </x:c>
      <x:c r="AI681" s="3" t="str">
        <x:v>同年式・グレードの検証済み当時価格なし／登録年混在</x:v>
      </x:c>
      <x:c r="AJ681" s="3" t="str">
        <x:v>一覧価格/年式のみ</x:v>
      </x:c>
      <x:c r="AK681" s="3" t="str">
        <x:v>一覧の表示価格。年式は掲載年式。</x:v>
      </x:c>
      <x:c r="AL681" s="31" t="n">
        <x:f>IF(AND(J681&lt;='分析方法'!$B$7,OR(ISBLANK(O681),O681&gt;='分析方法'!$B$8),X681&lt;&gt;"売却済み表示"),1,0)</x:f>
        <x:v>1</x:v>
      </x:c>
      <x:c r="AM681" s="32" t="n">
        <x:f>IF(AL681=1,U681,"")</x:f>
        <x:v>438000</x:v>
      </x:c>
      <x:c r="AN681" s="33" t="str">
        <x:f>IF(AL681=1,AF681,"")</x:f>
      </x:c>
      <x:c r="AO681" s="31" t="n">
        <x:f>'分析方法'!$B$6-J681</x:f>
        <x:v>6</x:v>
      </x:c>
      <x:c r="AP681" s="3"/>
    </x:row>
    <x:row r="682" ht="22" customHeight="1">
      <x:c r="A682" s="3" t="str">
        <x:v>T2918483</x:v>
      </x:c>
      <x:c r="B682" s="7" t="d">
        <x:v>2026-10-08T00:00:00.000Z</x:v>
      </x:c>
      <x:c r="C682" s="3" t="str">
        <x:v>Taladrod</x:v>
      </x:c>
      <x:c r="D682" s="3" t="str">
        <x:v>Toyota</x:v>
      </x:c>
      <x:c r="E682" s="3" t="str">
        <x:v>日本</x:v>
      </x:c>
      <x:c r="F682" s="3" t="str">
        <x:v>Hilux Revo</x:v>
      </x:c>
      <x:c r="G682" s="3" t="str">
        <x:v>ICE</x:v>
      </x:c>
      <x:c r="H682" s="3" t="str">
        <x:v>Pickup</x:v>
      </x:c>
      <x:c r="I682" s="3" t="str">
        <x:v>Double cab</x:v>
      </x:c>
      <x:c r="J682" s="3" t="n">
        <x:v>2020</x:v>
      </x:c>
      <x:c r="K682" s="3" t="str">
        <x:v>2.4 MID Z EDITION DOUBLE CAB</x:v>
      </x:c>
      <x:c r="L682" s="3" t="str">
        <x:v>2.4 MID Z EDITION DOUBLE CAB</x:v>
      </x:c>
      <x:c r="M682" s="22"/>
      <x:c r="N682" s="22"/>
      <x:c r="O682" s="22"/>
      <x:c r="P682" s="3" t="str">
        <x:v>未掲載</x:v>
      </x:c>
      <x:c r="Q682" s="3" t="str">
        <x:v>未取得</x:v>
      </x:c>
      <x:c r="R682" s="3" t="str">
        <x:v>Unknown</x:v>
      </x:c>
      <x:c r="S682" s="3" t="str">
        <x:v>不明</x:v>
      </x:c>
      <x:c r="T682" s="3" t="str">
        <x:v>世代不明</x:v>
      </x:c>
      <x:c r="U682" s="28" t="n">
        <x:v>469000</x:v>
      </x:c>
      <x:c r="V682" s="28"/>
      <x:c r="W682" s="3" t="str">
        <x:v>事故・水没・SOH・保証残は未確認</x:v>
      </x:c>
      <x:c r="X682" s="3" t="str">
        <x:v>掲載中・在庫未確認</x:v>
      </x:c>
      <x:c r="Y682" s="3" t="str"/>
      <x:c r="Z682" s="27" t="str">
        <x:v>https://www.taladrod.com/w40/icar/cardet.aspx?cid=2918483</x:v>
      </x:c>
      <x:c r="AA682" s="3" t="str">
        <x:v>Taladrod個別広告ID／Carsome在庫ID</x:v>
      </x:c>
      <x:c r="AB682" s="3" t="str">
        <x:v>車台番号未取得／サイト間重複は未判定</x:v>
      </x:c>
      <x:c r="AC682" s="3" t="str">
        <x:v>税込区分未確認（一覧表示額）</x:v>
      </x:c>
      <x:c r="AD682" s="3" t="str"/>
      <x:c r="AE682" s="29" t="str">
        <x:f>""</x:f>
      </x:c>
      <x:c r="AF682" s="30" t="str">
        <x:f>IF(ISNUMBER(AE682),U682/AE682,"")</x:f>
      </x:c>
      <x:c r="AG682" s="29" t="str">
        <x:f>""</x:f>
      </x:c>
      <x:c r="AH682" s="30" t="str">
        <x:f>IF(ISNUMBER(AG682),U682/AG682,"")</x:f>
      </x:c>
      <x:c r="AI682" s="3" t="str">
        <x:v>同年式・グレードの検証済み当時価格なし／登録年混在</x:v>
      </x:c>
      <x:c r="AJ682" s="3" t="str">
        <x:v>一覧価格/年式のみ</x:v>
      </x:c>
      <x:c r="AK682" s="3" t="str">
        <x:v>一覧の表示価格。年式は掲載年式。</x:v>
      </x:c>
      <x:c r="AL682" s="31" t="n">
        <x:f>IF(AND(J682&lt;='分析方法'!$B$7,OR(ISBLANK(O682),O682&gt;='分析方法'!$B$8),X682&lt;&gt;"売却済み表示"),1,0)</x:f>
        <x:v>1</x:v>
      </x:c>
      <x:c r="AM682" s="32" t="n">
        <x:f>IF(AL682=1,U682,"")</x:f>
        <x:v>469000</x:v>
      </x:c>
      <x:c r="AN682" s="33" t="str">
        <x:f>IF(AL682=1,AF682,"")</x:f>
      </x:c>
      <x:c r="AO682" s="31" t="n">
        <x:f>'分析方法'!$B$6-J682</x:f>
        <x:v>6</x:v>
      </x:c>
      <x:c r="AP682" s="3"/>
    </x:row>
    <x:row r="683" ht="22" customHeight="1">
      <x:c r="A683" s="3" t="str">
        <x:v>T2922313</x:v>
      </x:c>
      <x:c r="B683" s="7" t="d">
        <x:v>2026-10-08T00:00:00.000Z</x:v>
      </x:c>
      <x:c r="C683" s="3" t="str">
        <x:v>Taladrod</x:v>
      </x:c>
      <x:c r="D683" s="3" t="str">
        <x:v>Toyota</x:v>
      </x:c>
      <x:c r="E683" s="3" t="str">
        <x:v>日本</x:v>
      </x:c>
      <x:c r="F683" s="3" t="str">
        <x:v>Hilux Revo</x:v>
      </x:c>
      <x:c r="G683" s="3" t="str">
        <x:v>ICE</x:v>
      </x:c>
      <x:c r="H683" s="3" t="str">
        <x:v>Pickup</x:v>
      </x:c>
      <x:c r="I683" s="3" t="str">
        <x:v>Double cab</x:v>
      </x:c>
      <x:c r="J683" s="3" t="n">
        <x:v>2020</x:v>
      </x:c>
      <x:c r="K683" s="3" t="str">
        <x:v>2.4 MID Z EDITION DOUBLE CAB</x:v>
      </x:c>
      <x:c r="L683" s="3" t="str">
        <x:v>2.4 MID Z EDITION DOUBLE CAB</x:v>
      </x:c>
      <x:c r="M683" s="22"/>
      <x:c r="N683" s="22"/>
      <x:c r="O683" s="22"/>
      <x:c r="P683" s="3" t="str">
        <x:v>未掲載</x:v>
      </x:c>
      <x:c r="Q683" s="3" t="str">
        <x:v>未取得</x:v>
      </x:c>
      <x:c r="R683" s="3" t="str">
        <x:v>Unknown</x:v>
      </x:c>
      <x:c r="S683" s="3" t="str">
        <x:v>不明</x:v>
      </x:c>
      <x:c r="T683" s="3" t="str">
        <x:v>世代不明</x:v>
      </x:c>
      <x:c r="U683" s="28" t="n">
        <x:v>449000</x:v>
      </x:c>
      <x:c r="V683" s="28"/>
      <x:c r="W683" s="3" t="str">
        <x:v>事故・水没・SOH・保証残は未確認</x:v>
      </x:c>
      <x:c r="X683" s="3" t="str">
        <x:v>掲載中・在庫未確認</x:v>
      </x:c>
      <x:c r="Y683" s="3" t="str"/>
      <x:c r="Z683" s="27" t="str">
        <x:v>https://www.taladrod.com/w40/icar/cardet.aspx?cid=2922313</x:v>
      </x:c>
      <x:c r="AA683" s="3" t="str">
        <x:v>Taladrod個別広告ID／Carsome在庫ID</x:v>
      </x:c>
      <x:c r="AB683" s="3" t="str">
        <x:v>車台番号未取得／サイト間重複は未判定</x:v>
      </x:c>
      <x:c r="AC683" s="3" t="str">
        <x:v>税込区分未確認（一覧表示額）</x:v>
      </x:c>
      <x:c r="AD683" s="3" t="str"/>
      <x:c r="AE683" s="29" t="str">
        <x:f>""</x:f>
      </x:c>
      <x:c r="AF683" s="30" t="str">
        <x:f>IF(ISNUMBER(AE683),U683/AE683,"")</x:f>
      </x:c>
      <x:c r="AG683" s="29" t="str">
        <x:f>""</x:f>
      </x:c>
      <x:c r="AH683" s="30" t="str">
        <x:f>IF(ISNUMBER(AG683),U683/AG683,"")</x:f>
      </x:c>
      <x:c r="AI683" s="3" t="str">
        <x:v>同年式・グレードの検証済み当時価格なし／登録年混在</x:v>
      </x:c>
      <x:c r="AJ683" s="3" t="str">
        <x:v>一覧価格/年式のみ</x:v>
      </x:c>
      <x:c r="AK683" s="3" t="str">
        <x:v>一覧の表示価格。年式は掲載年式。</x:v>
      </x:c>
      <x:c r="AL683" s="31" t="n">
        <x:f>IF(AND(J683&lt;='分析方法'!$B$7,OR(ISBLANK(O683),O683&gt;='分析方法'!$B$8),X683&lt;&gt;"売却済み表示"),1,0)</x:f>
        <x:v>1</x:v>
      </x:c>
      <x:c r="AM683" s="32" t="n">
        <x:f>IF(AL683=1,U683,"")</x:f>
        <x:v>449000</x:v>
      </x:c>
      <x:c r="AN683" s="33" t="str">
        <x:f>IF(AL683=1,AF683,"")</x:f>
      </x:c>
      <x:c r="AO683" s="31" t="n">
        <x:f>'分析方法'!$B$6-J683</x:f>
        <x:v>6</x:v>
      </x:c>
      <x:c r="AP683" s="3"/>
    </x:row>
    <x:row r="684" ht="22" customHeight="1">
      <x:c r="A684" s="3" t="str">
        <x:v>T2888705</x:v>
      </x:c>
      <x:c r="B684" s="7" t="d">
        <x:v>2026-10-08T00:00:00.000Z</x:v>
      </x:c>
      <x:c r="C684" s="3" t="str">
        <x:v>Taladrod</x:v>
      </x:c>
      <x:c r="D684" s="3" t="str">
        <x:v>Toyota</x:v>
      </x:c>
      <x:c r="E684" s="3" t="str">
        <x:v>日本</x:v>
      </x:c>
      <x:c r="F684" s="3" t="str">
        <x:v>Hilux Revo</x:v>
      </x:c>
      <x:c r="G684" s="3" t="str">
        <x:v>ICE</x:v>
      </x:c>
      <x:c r="H684" s="3" t="str">
        <x:v>Pickup</x:v>
      </x:c>
      <x:c r="I684" s="3" t="str">
        <x:v>Smart cab</x:v>
      </x:c>
      <x:c r="J684" s="3" t="n">
        <x:v>2020</x:v>
      </x:c>
      <x:c r="K684" s="3" t="str">
        <x:v>2.4 MID Z EDITION SMART CAB</x:v>
      </x:c>
      <x:c r="L684" s="3" t="str">
        <x:v>2.4 MID Z EDITION SMART CAB</x:v>
      </x:c>
      <x:c r="M684" s="22"/>
      <x:c r="N684" s="22"/>
      <x:c r="O684" s="22"/>
      <x:c r="P684" s="3" t="str">
        <x:v>未掲載</x:v>
      </x:c>
      <x:c r="Q684" s="3" t="str">
        <x:v>未取得</x:v>
      </x:c>
      <x:c r="R684" s="3" t="str">
        <x:v>Unknown</x:v>
      </x:c>
      <x:c r="S684" s="3" t="str">
        <x:v>不明</x:v>
      </x:c>
      <x:c r="T684" s="3" t="str">
        <x:v>世代不明</x:v>
      </x:c>
      <x:c r="U684" s="28" t="n">
        <x:v>379000</x:v>
      </x:c>
      <x:c r="V684" s="28"/>
      <x:c r="W684" s="3" t="str">
        <x:v>事故・水没・SOH・保証残は未確認</x:v>
      </x:c>
      <x:c r="X684" s="3" t="str">
        <x:v>掲載中・在庫未確認</x:v>
      </x:c>
      <x:c r="Y684" s="3" t="str"/>
      <x:c r="Z684" s="27" t="str">
        <x:v>https://www.taladrod.com/w40/icar/cardet.aspx?cid=2888705</x:v>
      </x:c>
      <x:c r="AA684" s="3" t="str">
        <x:v>Taladrod個別広告ID／Carsome在庫ID</x:v>
      </x:c>
      <x:c r="AB684" s="3" t="str">
        <x:v>車台番号未取得／サイト間重複は未判定</x:v>
      </x:c>
      <x:c r="AC684" s="3" t="str">
        <x:v>税込区分未確認（一覧表示額）</x:v>
      </x:c>
      <x:c r="AD684" s="3" t="str"/>
      <x:c r="AE684" s="29" t="str">
        <x:f>""</x:f>
      </x:c>
      <x:c r="AF684" s="30" t="str">
        <x:f>IF(ISNUMBER(AE684),U684/AE684,"")</x:f>
      </x:c>
      <x:c r="AG684" s="29" t="str">
        <x:f>""</x:f>
      </x:c>
      <x:c r="AH684" s="30" t="str">
        <x:f>IF(ISNUMBER(AG684),U684/AG684,"")</x:f>
      </x:c>
      <x:c r="AI684" s="3" t="str">
        <x:v>同年式・グレードの検証済み当時価格なし／登録年混在</x:v>
      </x:c>
      <x:c r="AJ684" s="3" t="str">
        <x:v>一覧価格/年式のみ</x:v>
      </x:c>
      <x:c r="AK684" s="3" t="str">
        <x:v>一覧の表示価格。年式は掲載年式。</x:v>
      </x:c>
      <x:c r="AL684" s="31" t="n">
        <x:f>IF(AND(J684&lt;='分析方法'!$B$7,OR(ISBLANK(O684),O684&gt;='分析方法'!$B$8),X684&lt;&gt;"売却済み表示"),1,0)</x:f>
        <x:v>1</x:v>
      </x:c>
      <x:c r="AM684" s="32" t="n">
        <x:f>IF(AL684=1,U684,"")</x:f>
        <x:v>379000</x:v>
      </x:c>
      <x:c r="AN684" s="33" t="str">
        <x:f>IF(AL684=1,AF684,"")</x:f>
      </x:c>
      <x:c r="AO684" s="31" t="n">
        <x:f>'分析方法'!$B$6-J684</x:f>
        <x:v>6</x:v>
      </x:c>
      <x:c r="AP684" s="3"/>
    </x:row>
    <x:row r="685" ht="22" customHeight="1">
      <x:c r="A685" s="3" t="str">
        <x:v>T2888817</x:v>
      </x:c>
      <x:c r="B685" s="7" t="d">
        <x:v>2026-10-08T00:00:00.000Z</x:v>
      </x:c>
      <x:c r="C685" s="3" t="str">
        <x:v>Taladrod</x:v>
      </x:c>
      <x:c r="D685" s="3" t="str">
        <x:v>Toyota</x:v>
      </x:c>
      <x:c r="E685" s="3" t="str">
        <x:v>日本</x:v>
      </x:c>
      <x:c r="F685" s="3" t="str">
        <x:v>Hilux Revo</x:v>
      </x:c>
      <x:c r="G685" s="3" t="str">
        <x:v>ICE</x:v>
      </x:c>
      <x:c r="H685" s="3" t="str">
        <x:v>Pickup</x:v>
      </x:c>
      <x:c r="I685" s="3" t="str">
        <x:v>Smart cab</x:v>
      </x:c>
      <x:c r="J685" s="3" t="n">
        <x:v>2020</x:v>
      </x:c>
      <x:c r="K685" s="3" t="str">
        <x:v>2.4 MID Z EDITION SMART CAB</x:v>
      </x:c>
      <x:c r="L685" s="3" t="str">
        <x:v>2.4 MID Z EDITION SMART CAB</x:v>
      </x:c>
      <x:c r="M685" s="22"/>
      <x:c r="N685" s="22"/>
      <x:c r="O685" s="22"/>
      <x:c r="P685" s="3" t="str">
        <x:v>未掲載</x:v>
      </x:c>
      <x:c r="Q685" s="3" t="str">
        <x:v>未取得</x:v>
      </x:c>
      <x:c r="R685" s="3" t="str">
        <x:v>Unknown</x:v>
      </x:c>
      <x:c r="S685" s="3" t="str">
        <x:v>不明</x:v>
      </x:c>
      <x:c r="T685" s="3" t="str">
        <x:v>世代不明</x:v>
      </x:c>
      <x:c r="U685" s="28" t="n">
        <x:v>369000</x:v>
      </x:c>
      <x:c r="V685" s="28"/>
      <x:c r="W685" s="3" t="str">
        <x:v>事故・水没・SOH・保証残は未確認</x:v>
      </x:c>
      <x:c r="X685" s="3" t="str">
        <x:v>掲載中・在庫未確認</x:v>
      </x:c>
      <x:c r="Y685" s="3" t="str"/>
      <x:c r="Z685" s="27" t="str">
        <x:v>https://www.taladrod.com/w40/icar/cardet.aspx?cid=2888817</x:v>
      </x:c>
      <x:c r="AA685" s="3" t="str">
        <x:v>Taladrod個別広告ID／Carsome在庫ID</x:v>
      </x:c>
      <x:c r="AB685" s="3" t="str">
        <x:v>車台番号未取得／サイト間重複は未判定</x:v>
      </x:c>
      <x:c r="AC685" s="3" t="str">
        <x:v>税込区分未確認（一覧表示額）</x:v>
      </x:c>
      <x:c r="AD685" s="3" t="str"/>
      <x:c r="AE685" s="29" t="str">
        <x:f>""</x:f>
      </x:c>
      <x:c r="AF685" s="30" t="str">
        <x:f>IF(ISNUMBER(AE685),U685/AE685,"")</x:f>
      </x:c>
      <x:c r="AG685" s="29" t="str">
        <x:f>""</x:f>
      </x:c>
      <x:c r="AH685" s="30" t="str">
        <x:f>IF(ISNUMBER(AG685),U685/AG685,"")</x:f>
      </x:c>
      <x:c r="AI685" s="3" t="str">
        <x:v>同年式・グレードの検証済み当時価格なし／登録年混在</x:v>
      </x:c>
      <x:c r="AJ685" s="3" t="str">
        <x:v>一覧価格/年式のみ</x:v>
      </x:c>
      <x:c r="AK685" s="3" t="str">
        <x:v>一覧の表示価格。年式は掲載年式。</x:v>
      </x:c>
      <x:c r="AL685" s="31" t="n">
        <x:f>IF(AND(J685&lt;='分析方法'!$B$7,OR(ISBLANK(O685),O685&gt;='分析方法'!$B$8),X685&lt;&gt;"売却済み表示"),1,0)</x:f>
        <x:v>1</x:v>
      </x:c>
      <x:c r="AM685" s="32" t="n">
        <x:f>IF(AL685=1,U685,"")</x:f>
        <x:v>369000</x:v>
      </x:c>
      <x:c r="AN685" s="33" t="str">
        <x:f>IF(AL685=1,AF685,"")</x:f>
      </x:c>
      <x:c r="AO685" s="31" t="n">
        <x:f>'分析方法'!$B$6-J685</x:f>
        <x:v>6</x:v>
      </x:c>
      <x:c r="AP685" s="3"/>
    </x:row>
    <x:row r="686" ht="22" customHeight="1">
      <x:c r="A686" s="3" t="str">
        <x:v>T2889072</x:v>
      </x:c>
      <x:c r="B686" s="7" t="d">
        <x:v>2026-10-08T00:00:00.000Z</x:v>
      </x:c>
      <x:c r="C686" s="3" t="str">
        <x:v>Taladrod</x:v>
      </x:c>
      <x:c r="D686" s="3" t="str">
        <x:v>Toyota</x:v>
      </x:c>
      <x:c r="E686" s="3" t="str">
        <x:v>日本</x:v>
      </x:c>
      <x:c r="F686" s="3" t="str">
        <x:v>Hilux Revo</x:v>
      </x:c>
      <x:c r="G686" s="3" t="str">
        <x:v>ICE</x:v>
      </x:c>
      <x:c r="H686" s="3" t="str">
        <x:v>Pickup</x:v>
      </x:c>
      <x:c r="I686" s="3" t="str">
        <x:v>Smart cab</x:v>
      </x:c>
      <x:c r="J686" s="3" t="n">
        <x:v>2020</x:v>
      </x:c>
      <x:c r="K686" s="3" t="str">
        <x:v>2.4 MID Z EDITION SMART CAB</x:v>
      </x:c>
      <x:c r="L686" s="3" t="str">
        <x:v>2.4 MID Z EDITION SMART CAB</x:v>
      </x:c>
      <x:c r="M686" s="22"/>
      <x:c r="N686" s="22"/>
      <x:c r="O686" s="22"/>
      <x:c r="P686" s="3" t="str">
        <x:v>未掲載</x:v>
      </x:c>
      <x:c r="Q686" s="3" t="str">
        <x:v>未取得</x:v>
      </x:c>
      <x:c r="R686" s="3" t="str">
        <x:v>Unknown</x:v>
      </x:c>
      <x:c r="S686" s="3" t="str">
        <x:v>不明</x:v>
      </x:c>
      <x:c r="T686" s="3" t="str">
        <x:v>世代不明</x:v>
      </x:c>
      <x:c r="U686" s="28" t="n">
        <x:v>379000</x:v>
      </x:c>
      <x:c r="V686" s="28"/>
      <x:c r="W686" s="3" t="str">
        <x:v>事故・水没・SOH・保証残は未確認</x:v>
      </x:c>
      <x:c r="X686" s="3" t="str">
        <x:v>掲載中・在庫未確認</x:v>
      </x:c>
      <x:c r="Y686" s="3" t="str"/>
      <x:c r="Z686" s="27" t="str">
        <x:v>https://www.taladrod.com/w40/icar/cardet.aspx?cid=2889072</x:v>
      </x:c>
      <x:c r="AA686" s="3" t="str">
        <x:v>Taladrod個別広告ID／Carsome在庫ID</x:v>
      </x:c>
      <x:c r="AB686" s="3" t="str">
        <x:v>車台番号未取得／サイト間重複は未判定</x:v>
      </x:c>
      <x:c r="AC686" s="3" t="str">
        <x:v>税込区分未確認（一覧表示額）</x:v>
      </x:c>
      <x:c r="AD686" s="3" t="str"/>
      <x:c r="AE686" s="29" t="str">
        <x:f>""</x:f>
      </x:c>
      <x:c r="AF686" s="30" t="str">
        <x:f>IF(ISNUMBER(AE686),U686/AE686,"")</x:f>
      </x:c>
      <x:c r="AG686" s="29" t="str">
        <x:f>""</x:f>
      </x:c>
      <x:c r="AH686" s="30" t="str">
        <x:f>IF(ISNUMBER(AG686),U686/AG686,"")</x:f>
      </x:c>
      <x:c r="AI686" s="3" t="str">
        <x:v>同年式・グレードの検証済み当時価格なし／登録年混在</x:v>
      </x:c>
      <x:c r="AJ686" s="3" t="str">
        <x:v>一覧価格/年式のみ</x:v>
      </x:c>
      <x:c r="AK686" s="3" t="str">
        <x:v>一覧の表示価格。年式は掲載年式。</x:v>
      </x:c>
      <x:c r="AL686" s="31" t="n">
        <x:f>IF(AND(J686&lt;='分析方法'!$B$7,OR(ISBLANK(O686),O686&gt;='分析方法'!$B$8),X686&lt;&gt;"売却済み表示"),1,0)</x:f>
        <x:v>1</x:v>
      </x:c>
      <x:c r="AM686" s="32" t="n">
        <x:f>IF(AL686=1,U686,"")</x:f>
        <x:v>379000</x:v>
      </x:c>
      <x:c r="AN686" s="33" t="str">
        <x:f>IF(AL686=1,AF686,"")</x:f>
      </x:c>
      <x:c r="AO686" s="31" t="n">
        <x:f>'分析方法'!$B$6-J686</x:f>
        <x:v>6</x:v>
      </x:c>
      <x:c r="AP686" s="3"/>
    </x:row>
    <x:row r="687" ht="22" customHeight="1">
      <x:c r="A687" s="3" t="str">
        <x:v>T2891111</x:v>
      </x:c>
      <x:c r="B687" s="7" t="d">
        <x:v>2026-10-08T00:00:00.000Z</x:v>
      </x:c>
      <x:c r="C687" s="3" t="str">
        <x:v>Taladrod</x:v>
      </x:c>
      <x:c r="D687" s="3" t="str">
        <x:v>Toyota</x:v>
      </x:c>
      <x:c r="E687" s="3" t="str">
        <x:v>日本</x:v>
      </x:c>
      <x:c r="F687" s="3" t="str">
        <x:v>Hilux Revo</x:v>
      </x:c>
      <x:c r="G687" s="3" t="str">
        <x:v>ICE</x:v>
      </x:c>
      <x:c r="H687" s="3" t="str">
        <x:v>Pickup</x:v>
      </x:c>
      <x:c r="I687" s="3" t="str">
        <x:v>Smart cab</x:v>
      </x:c>
      <x:c r="J687" s="3" t="n">
        <x:v>2020</x:v>
      </x:c>
      <x:c r="K687" s="3" t="str">
        <x:v>2.4 MID Z EDITION SMART CAB</x:v>
      </x:c>
      <x:c r="L687" s="3" t="str">
        <x:v>2.4 MID Z EDITION SMART CAB</x:v>
      </x:c>
      <x:c r="M687" s="22"/>
      <x:c r="N687" s="22"/>
      <x:c r="O687" s="22"/>
      <x:c r="P687" s="3" t="str">
        <x:v>未掲載</x:v>
      </x:c>
      <x:c r="Q687" s="3" t="str">
        <x:v>未取得</x:v>
      </x:c>
      <x:c r="R687" s="3" t="str">
        <x:v>Unknown</x:v>
      </x:c>
      <x:c r="S687" s="3" t="str">
        <x:v>不明</x:v>
      </x:c>
      <x:c r="T687" s="3" t="str">
        <x:v>世代不明</x:v>
      </x:c>
      <x:c r="U687" s="28" t="n">
        <x:v>379000</x:v>
      </x:c>
      <x:c r="V687" s="28"/>
      <x:c r="W687" s="3" t="str">
        <x:v>事故・水没・SOH・保証残は未確認</x:v>
      </x:c>
      <x:c r="X687" s="3" t="str">
        <x:v>掲載中・在庫未確認</x:v>
      </x:c>
      <x:c r="Y687" s="3" t="str"/>
      <x:c r="Z687" s="27" t="str">
        <x:v>https://www.taladrod.com/w40/icar/cardet.aspx?cid=2891111</x:v>
      </x:c>
      <x:c r="AA687" s="3" t="str">
        <x:v>Taladrod個別広告ID／Carsome在庫ID</x:v>
      </x:c>
      <x:c r="AB687" s="3" t="str">
        <x:v>車台番号未取得／サイト間重複は未判定</x:v>
      </x:c>
      <x:c r="AC687" s="3" t="str">
        <x:v>税込区分未確認（一覧表示額）</x:v>
      </x:c>
      <x:c r="AD687" s="3" t="str"/>
      <x:c r="AE687" s="29" t="str">
        <x:f>""</x:f>
      </x:c>
      <x:c r="AF687" s="30" t="str">
        <x:f>IF(ISNUMBER(AE687),U687/AE687,"")</x:f>
      </x:c>
      <x:c r="AG687" s="29" t="str">
        <x:f>""</x:f>
      </x:c>
      <x:c r="AH687" s="30" t="str">
        <x:f>IF(ISNUMBER(AG687),U687/AG687,"")</x:f>
      </x:c>
      <x:c r="AI687" s="3" t="str">
        <x:v>同年式・グレードの検証済み当時価格なし／登録年混在</x:v>
      </x:c>
      <x:c r="AJ687" s="3" t="str">
        <x:v>一覧価格/年式のみ</x:v>
      </x:c>
      <x:c r="AK687" s="3" t="str">
        <x:v>一覧の表示価格。年式は掲載年式。</x:v>
      </x:c>
      <x:c r="AL687" s="31" t="n">
        <x:f>IF(AND(J687&lt;='分析方法'!$B$7,OR(ISBLANK(O687),O687&gt;='分析方法'!$B$8),X687&lt;&gt;"売却済み表示"),1,0)</x:f>
        <x:v>1</x:v>
      </x:c>
      <x:c r="AM687" s="32" t="n">
        <x:f>IF(AL687=1,U687,"")</x:f>
        <x:v>379000</x:v>
      </x:c>
      <x:c r="AN687" s="33" t="str">
        <x:f>IF(AL687=1,AF687,"")</x:f>
      </x:c>
      <x:c r="AO687" s="31" t="n">
        <x:f>'分析方法'!$B$6-J687</x:f>
        <x:v>6</x:v>
      </x:c>
      <x:c r="AP687" s="3"/>
    </x:row>
    <x:row r="688" ht="22" customHeight="1">
      <x:c r="A688" s="3" t="str">
        <x:v>T2911135</x:v>
      </x:c>
      <x:c r="B688" s="7" t="d">
        <x:v>2026-10-08T00:00:00.000Z</x:v>
      </x:c>
      <x:c r="C688" s="3" t="str">
        <x:v>Taladrod</x:v>
      </x:c>
      <x:c r="D688" s="3" t="str">
        <x:v>Toyota</x:v>
      </x:c>
      <x:c r="E688" s="3" t="str">
        <x:v>日本</x:v>
      </x:c>
      <x:c r="F688" s="3" t="str">
        <x:v>Hilux Revo</x:v>
      </x:c>
      <x:c r="G688" s="3" t="str">
        <x:v>ICE</x:v>
      </x:c>
      <x:c r="H688" s="3" t="str">
        <x:v>Pickup</x:v>
      </x:c>
      <x:c r="I688" s="3" t="str">
        <x:v>Smart cab</x:v>
      </x:c>
      <x:c r="J688" s="3" t="n">
        <x:v>2020</x:v>
      </x:c>
      <x:c r="K688" s="3" t="str">
        <x:v>2.4 MID Z EDITION SMART CAB</x:v>
      </x:c>
      <x:c r="L688" s="3" t="str">
        <x:v>2.4 MID Z EDITION SMART CAB</x:v>
      </x:c>
      <x:c r="M688" s="22"/>
      <x:c r="N688" s="22"/>
      <x:c r="O688" s="22"/>
      <x:c r="P688" s="3" t="str">
        <x:v>未掲載</x:v>
      </x:c>
      <x:c r="Q688" s="3" t="str">
        <x:v>未取得</x:v>
      </x:c>
      <x:c r="R688" s="3" t="str">
        <x:v>Unknown</x:v>
      </x:c>
      <x:c r="S688" s="3" t="str">
        <x:v>不明</x:v>
      </x:c>
      <x:c r="T688" s="3" t="str">
        <x:v>世代不明</x:v>
      </x:c>
      <x:c r="U688" s="28" t="n">
        <x:v>439000</x:v>
      </x:c>
      <x:c r="V688" s="28"/>
      <x:c r="W688" s="3" t="str">
        <x:v>事故・水没・SOH・保証残は未確認</x:v>
      </x:c>
      <x:c r="X688" s="3" t="str">
        <x:v>掲載中・在庫未確認</x:v>
      </x:c>
      <x:c r="Y688" s="3" t="str"/>
      <x:c r="Z688" s="27" t="str">
        <x:v>https://www.taladrod.com/w40/icar/cardet.aspx?cid=2911135</x:v>
      </x:c>
      <x:c r="AA688" s="3" t="str">
        <x:v>Taladrod個別広告ID／Carsome在庫ID</x:v>
      </x:c>
      <x:c r="AB688" s="3" t="str">
        <x:v>車台番号未取得／サイト間重複は未判定</x:v>
      </x:c>
      <x:c r="AC688" s="3" t="str">
        <x:v>税込区分未確認（一覧表示額）</x:v>
      </x:c>
      <x:c r="AD688" s="3" t="str"/>
      <x:c r="AE688" s="29" t="str">
        <x:f>""</x:f>
      </x:c>
      <x:c r="AF688" s="30" t="str">
        <x:f>IF(ISNUMBER(AE688),U688/AE688,"")</x:f>
      </x:c>
      <x:c r="AG688" s="29" t="str">
        <x:f>""</x:f>
      </x:c>
      <x:c r="AH688" s="30" t="str">
        <x:f>IF(ISNUMBER(AG688),U688/AG688,"")</x:f>
      </x:c>
      <x:c r="AI688" s="3" t="str">
        <x:v>同年式・グレードの検証済み当時価格なし／登録年混在</x:v>
      </x:c>
      <x:c r="AJ688" s="3" t="str">
        <x:v>一覧価格/年式のみ</x:v>
      </x:c>
      <x:c r="AK688" s="3" t="str">
        <x:v>一覧の表示価格。年式は掲載年式。</x:v>
      </x:c>
      <x:c r="AL688" s="31" t="n">
        <x:f>IF(AND(J688&lt;='分析方法'!$B$7,OR(ISBLANK(O688),O688&gt;='分析方法'!$B$8),X688&lt;&gt;"売却済み表示"),1,0)</x:f>
        <x:v>1</x:v>
      </x:c>
      <x:c r="AM688" s="32" t="n">
        <x:f>IF(AL688=1,U688,"")</x:f>
        <x:v>439000</x:v>
      </x:c>
      <x:c r="AN688" s="33" t="str">
        <x:f>IF(AL688=1,AF688,"")</x:f>
      </x:c>
      <x:c r="AO688" s="31" t="n">
        <x:f>'分析方法'!$B$6-J688</x:f>
        <x:v>6</x:v>
      </x:c>
      <x:c r="AP688" s="3"/>
    </x:row>
    <x:row r="689" ht="22" customHeight="1">
      <x:c r="A689" s="3" t="str">
        <x:v>T2917590</x:v>
      </x:c>
      <x:c r="B689" s="7" t="d">
        <x:v>2026-10-08T00:00:00.000Z</x:v>
      </x:c>
      <x:c r="C689" s="3" t="str">
        <x:v>Taladrod</x:v>
      </x:c>
      <x:c r="D689" s="3" t="str">
        <x:v>Toyota</x:v>
      </x:c>
      <x:c r="E689" s="3" t="str">
        <x:v>日本</x:v>
      </x:c>
      <x:c r="F689" s="3" t="str">
        <x:v>Hilux Revo</x:v>
      </x:c>
      <x:c r="G689" s="3" t="str">
        <x:v>ICE</x:v>
      </x:c>
      <x:c r="H689" s="3" t="str">
        <x:v>Pickup</x:v>
      </x:c>
      <x:c r="I689" s="3" t="str">
        <x:v>Smart cab</x:v>
      </x:c>
      <x:c r="J689" s="3" t="n">
        <x:v>2020</x:v>
      </x:c>
      <x:c r="K689" s="3" t="str">
        <x:v>2.4 MID Z EDITION SMART CAB</x:v>
      </x:c>
      <x:c r="L689" s="3" t="str">
        <x:v>2.4 MID Z EDITION SMART CAB</x:v>
      </x:c>
      <x:c r="M689" s="22"/>
      <x:c r="N689" s="22"/>
      <x:c r="O689" s="22"/>
      <x:c r="P689" s="3" t="str">
        <x:v>未掲載</x:v>
      </x:c>
      <x:c r="Q689" s="3" t="str">
        <x:v>未取得</x:v>
      </x:c>
      <x:c r="R689" s="3" t="str">
        <x:v>Unknown</x:v>
      </x:c>
      <x:c r="S689" s="3" t="str">
        <x:v>不明</x:v>
      </x:c>
      <x:c r="T689" s="3" t="str">
        <x:v>世代不明</x:v>
      </x:c>
      <x:c r="U689" s="28" t="n">
        <x:v>399000</x:v>
      </x:c>
      <x:c r="V689" s="28"/>
      <x:c r="W689" s="3" t="str">
        <x:v>事故・水没・SOH・保証残は未確認</x:v>
      </x:c>
      <x:c r="X689" s="3" t="str">
        <x:v>掲載中・在庫未確認</x:v>
      </x:c>
      <x:c r="Y689" s="3" t="str"/>
      <x:c r="Z689" s="27" t="str">
        <x:v>https://www.taladrod.com/w40/icar/cardet.aspx?cid=2917590</x:v>
      </x:c>
      <x:c r="AA689" s="3" t="str">
        <x:v>Taladrod個別広告ID／Carsome在庫ID</x:v>
      </x:c>
      <x:c r="AB689" s="3" t="str">
        <x:v>車台番号未取得／サイト間重複は未判定</x:v>
      </x:c>
      <x:c r="AC689" s="3" t="str">
        <x:v>税込区分未確認（一覧表示額）</x:v>
      </x:c>
      <x:c r="AD689" s="3" t="str"/>
      <x:c r="AE689" s="29" t="str">
        <x:f>""</x:f>
      </x:c>
      <x:c r="AF689" s="30" t="str">
        <x:f>IF(ISNUMBER(AE689),U689/AE689,"")</x:f>
      </x:c>
      <x:c r="AG689" s="29" t="str">
        <x:f>""</x:f>
      </x:c>
      <x:c r="AH689" s="30" t="str">
        <x:f>IF(ISNUMBER(AG689),U689/AG689,"")</x:f>
      </x:c>
      <x:c r="AI689" s="3" t="str">
        <x:v>同年式・グレードの検証済み当時価格なし／登録年混在</x:v>
      </x:c>
      <x:c r="AJ689" s="3" t="str">
        <x:v>一覧価格/年式のみ</x:v>
      </x:c>
      <x:c r="AK689" s="3" t="str">
        <x:v>一覧の表示価格。年式は掲載年式。</x:v>
      </x:c>
      <x:c r="AL689" s="31" t="n">
        <x:f>IF(AND(J689&lt;='分析方法'!$B$7,OR(ISBLANK(O689),O689&gt;='分析方法'!$B$8),X689&lt;&gt;"売却済み表示"),1,0)</x:f>
        <x:v>1</x:v>
      </x:c>
      <x:c r="AM689" s="32" t="n">
        <x:f>IF(AL689=1,U689,"")</x:f>
        <x:v>399000</x:v>
      </x:c>
      <x:c r="AN689" s="33" t="str">
        <x:f>IF(AL689=1,AF689,"")</x:f>
      </x:c>
      <x:c r="AO689" s="31" t="n">
        <x:f>'分析方法'!$B$6-J689</x:f>
        <x:v>6</x:v>
      </x:c>
      <x:c r="AP689" s="3"/>
    </x:row>
    <x:row r="690" ht="22" customHeight="1">
      <x:c r="A690" s="3" t="str">
        <x:v>T2919406</x:v>
      </x:c>
      <x:c r="B690" s="7" t="d">
        <x:v>2026-10-08T00:00:00.000Z</x:v>
      </x:c>
      <x:c r="C690" s="3" t="str">
        <x:v>Taladrod</x:v>
      </x:c>
      <x:c r="D690" s="3" t="str">
        <x:v>Toyota</x:v>
      </x:c>
      <x:c r="E690" s="3" t="str">
        <x:v>日本</x:v>
      </x:c>
      <x:c r="F690" s="3" t="str">
        <x:v>Hilux Revo</x:v>
      </x:c>
      <x:c r="G690" s="3" t="str">
        <x:v>ICE</x:v>
      </x:c>
      <x:c r="H690" s="3" t="str">
        <x:v>Pickup</x:v>
      </x:c>
      <x:c r="I690" s="3" t="str">
        <x:v>Smart cab</x:v>
      </x:c>
      <x:c r="J690" s="3" t="n">
        <x:v>2020</x:v>
      </x:c>
      <x:c r="K690" s="3" t="str">
        <x:v>2.4 MID Z EDITION SMART CAB</x:v>
      </x:c>
      <x:c r="L690" s="3" t="str">
        <x:v>2.4 MID Z EDITION SMART CAB</x:v>
      </x:c>
      <x:c r="M690" s="22"/>
      <x:c r="N690" s="22"/>
      <x:c r="O690" s="22"/>
      <x:c r="P690" s="3" t="str">
        <x:v>未掲載</x:v>
      </x:c>
      <x:c r="Q690" s="3" t="str">
        <x:v>未取得</x:v>
      </x:c>
      <x:c r="R690" s="3" t="str">
        <x:v>Unknown</x:v>
      </x:c>
      <x:c r="S690" s="3" t="str">
        <x:v>不明</x:v>
      </x:c>
      <x:c r="T690" s="3" t="str">
        <x:v>世代不明</x:v>
      </x:c>
      <x:c r="U690" s="28" t="n">
        <x:v>358000</x:v>
      </x:c>
      <x:c r="V690" s="28"/>
      <x:c r="W690" s="3" t="str">
        <x:v>事故・水没・SOH・保証残は未確認</x:v>
      </x:c>
      <x:c r="X690" s="3" t="str">
        <x:v>掲載中・在庫未確認</x:v>
      </x:c>
      <x:c r="Y690" s="3" t="str"/>
      <x:c r="Z690" s="27" t="str">
        <x:v>https://www.taladrod.com/w40/icar/cardet.aspx?cid=2919406</x:v>
      </x:c>
      <x:c r="AA690" s="3" t="str">
        <x:v>Taladrod個別広告ID／Carsome在庫ID</x:v>
      </x:c>
      <x:c r="AB690" s="3" t="str">
        <x:v>車台番号未取得／サイト間重複は未判定</x:v>
      </x:c>
      <x:c r="AC690" s="3" t="str">
        <x:v>税込区分未確認（一覧表示額）</x:v>
      </x:c>
      <x:c r="AD690" s="3" t="str"/>
      <x:c r="AE690" s="29" t="str">
        <x:f>""</x:f>
      </x:c>
      <x:c r="AF690" s="30" t="str">
        <x:f>IF(ISNUMBER(AE690),U690/AE690,"")</x:f>
      </x:c>
      <x:c r="AG690" s="29" t="str">
        <x:f>""</x:f>
      </x:c>
      <x:c r="AH690" s="30" t="str">
        <x:f>IF(ISNUMBER(AG690),U690/AG690,"")</x:f>
      </x:c>
      <x:c r="AI690" s="3" t="str">
        <x:v>同年式・グレードの検証済み当時価格なし／登録年混在</x:v>
      </x:c>
      <x:c r="AJ690" s="3" t="str">
        <x:v>一覧価格/年式のみ</x:v>
      </x:c>
      <x:c r="AK690" s="3" t="str">
        <x:v>一覧の表示価格。年式は掲載年式。</x:v>
      </x:c>
      <x:c r="AL690" s="31" t="n">
        <x:f>IF(AND(J690&lt;='分析方法'!$B$7,OR(ISBLANK(O690),O690&gt;='分析方法'!$B$8),X690&lt;&gt;"売却済み表示"),1,0)</x:f>
        <x:v>1</x:v>
      </x:c>
      <x:c r="AM690" s="32" t="n">
        <x:f>IF(AL690=1,U690,"")</x:f>
        <x:v>358000</x:v>
      </x:c>
      <x:c r="AN690" s="33" t="str">
        <x:f>IF(AL690=1,AF690,"")</x:f>
      </x:c>
      <x:c r="AO690" s="31" t="n">
        <x:f>'分析方法'!$B$6-J690</x:f>
        <x:v>6</x:v>
      </x:c>
      <x:c r="AP690" s="3"/>
    </x:row>
    <x:row r="691" ht="22" customHeight="1">
      <x:c r="A691" s="3" t="str">
        <x:v>T2891569</x:v>
      </x:c>
      <x:c r="B691" s="7" t="d">
        <x:v>2026-10-08T00:00:00.000Z</x:v>
      </x:c>
      <x:c r="C691" s="3" t="str">
        <x:v>Taladrod</x:v>
      </x:c>
      <x:c r="D691" s="3" t="str">
        <x:v>Toyota</x:v>
      </x:c>
      <x:c r="E691" s="3" t="str">
        <x:v>日本</x:v>
      </x:c>
      <x:c r="F691" s="3" t="str">
        <x:v>Hilux Revo</x:v>
      </x:c>
      <x:c r="G691" s="3" t="str">
        <x:v>ICE</x:v>
      </x:c>
      <x:c r="H691" s="3" t="str">
        <x:v>Pickup</x:v>
      </x:c>
      <x:c r="I691" s="3" t="str">
        <x:v>Double cab</x:v>
      </x:c>
      <x:c r="J691" s="3" t="n">
        <x:v>2020</x:v>
      </x:c>
      <x:c r="K691" s="3" t="str">
        <x:v>2.4 PRERUNNER DOUBLE CAB</x:v>
      </x:c>
      <x:c r="L691" s="3" t="str">
        <x:v>2.4 PRERUNNER DOUBLE CAB</x:v>
      </x:c>
      <x:c r="M691" s="22"/>
      <x:c r="N691" s="22"/>
      <x:c r="O691" s="22"/>
      <x:c r="P691" s="3" t="str">
        <x:v>未掲載</x:v>
      </x:c>
      <x:c r="Q691" s="3" t="str">
        <x:v>未取得</x:v>
      </x:c>
      <x:c r="R691" s="3" t="str">
        <x:v>Unknown</x:v>
      </x:c>
      <x:c r="S691" s="3" t="str">
        <x:v>不明</x:v>
      </x:c>
      <x:c r="T691" s="3" t="str">
        <x:v>世代不明</x:v>
      </x:c>
      <x:c r="U691" s="28" t="n">
        <x:v>650000</x:v>
      </x:c>
      <x:c r="V691" s="28"/>
      <x:c r="W691" s="3" t="str">
        <x:v>事故・水没・SOH・保証残は未確認</x:v>
      </x:c>
      <x:c r="X691" s="3" t="str">
        <x:v>掲載中・在庫未確認</x:v>
      </x:c>
      <x:c r="Y691" s="3" t="str"/>
      <x:c r="Z691" s="27" t="str">
        <x:v>https://www.taladrod.com/w40/icar/cardet.aspx?cid=2891569</x:v>
      </x:c>
      <x:c r="AA691" s="3" t="str">
        <x:v>Taladrod個別広告ID／Carsome在庫ID</x:v>
      </x:c>
      <x:c r="AB691" s="3" t="str">
        <x:v>車台番号未取得／サイト間重複は未判定</x:v>
      </x:c>
      <x:c r="AC691" s="3" t="str">
        <x:v>税込区分未確認（一覧表示額）</x:v>
      </x:c>
      <x:c r="AD691" s="3" t="str"/>
      <x:c r="AE691" s="29" t="str">
        <x:f>""</x:f>
      </x:c>
      <x:c r="AF691" s="30" t="str">
        <x:f>IF(ISNUMBER(AE691),U691/AE691,"")</x:f>
      </x:c>
      <x:c r="AG691" s="29" t="str">
        <x:f>""</x:f>
      </x:c>
      <x:c r="AH691" s="30" t="str">
        <x:f>IF(ISNUMBER(AG691),U691/AG691,"")</x:f>
      </x:c>
      <x:c r="AI691" s="3" t="str">
        <x:v>同年式・グレードの検証済み当時価格なし／登録年混在</x:v>
      </x:c>
      <x:c r="AJ691" s="3" t="str">
        <x:v>一覧価格/年式のみ</x:v>
      </x:c>
      <x:c r="AK691" s="3" t="str">
        <x:v>一覧の表示価格。年式は掲載年式。</x:v>
      </x:c>
      <x:c r="AL691" s="31" t="n">
        <x:f>IF(AND(J691&lt;='分析方法'!$B$7,OR(ISBLANK(O691),O691&gt;='分析方法'!$B$8),X691&lt;&gt;"売却済み表示"),1,0)</x:f>
        <x:v>1</x:v>
      </x:c>
      <x:c r="AM691" s="32" t="n">
        <x:f>IF(AL691=1,U691,"")</x:f>
        <x:v>650000</x:v>
      </x:c>
      <x:c r="AN691" s="33" t="str">
        <x:f>IF(AL691=1,AF691,"")</x:f>
      </x:c>
      <x:c r="AO691" s="31" t="n">
        <x:f>'分析方法'!$B$6-J691</x:f>
        <x:v>6</x:v>
      </x:c>
      <x:c r="AP691" s="3"/>
    </x:row>
    <x:row r="692" ht="22" customHeight="1">
      <x:c r="A692" s="3" t="str">
        <x:v>T2916716</x:v>
      </x:c>
      <x:c r="B692" s="7" t="d">
        <x:v>2026-10-08T00:00:00.000Z</x:v>
      </x:c>
      <x:c r="C692" s="3" t="str">
        <x:v>Taladrod</x:v>
      </x:c>
      <x:c r="D692" s="3" t="str">
        <x:v>Toyota</x:v>
      </x:c>
      <x:c r="E692" s="3" t="str">
        <x:v>日本</x:v>
      </x:c>
      <x:c r="F692" s="3" t="str">
        <x:v>Hilux Revo</x:v>
      </x:c>
      <x:c r="G692" s="3" t="str">
        <x:v>ICE</x:v>
      </x:c>
      <x:c r="H692" s="3" t="str">
        <x:v>Pickup</x:v>
      </x:c>
      <x:c r="I692" s="3" t="str">
        <x:v>Double cab</x:v>
      </x:c>
      <x:c r="J692" s="3" t="n">
        <x:v>2020</x:v>
      </x:c>
      <x:c r="K692" s="3" t="str">
        <x:v>2.4 PRERUNNER DOUBLE CAB</x:v>
      </x:c>
      <x:c r="L692" s="3" t="str">
        <x:v>2.4 PRERUNNER DOUBLE CAB</x:v>
      </x:c>
      <x:c r="M692" s="22"/>
      <x:c r="N692" s="22"/>
      <x:c r="O692" s="22"/>
      <x:c r="P692" s="3" t="str">
        <x:v>未掲載</x:v>
      </x:c>
      <x:c r="Q692" s="3" t="str">
        <x:v>未取得</x:v>
      </x:c>
      <x:c r="R692" s="3" t="str">
        <x:v>Unknown</x:v>
      </x:c>
      <x:c r="S692" s="3" t="str">
        <x:v>不明</x:v>
      </x:c>
      <x:c r="T692" s="3" t="str">
        <x:v>世代不明</x:v>
      </x:c>
      <x:c r="U692" s="28" t="n">
        <x:v>649000</x:v>
      </x:c>
      <x:c r="V692" s="28"/>
      <x:c r="W692" s="3" t="str">
        <x:v>事故・水没・SOH・保証残は未確認</x:v>
      </x:c>
      <x:c r="X692" s="3" t="str">
        <x:v>掲載中・在庫未確認</x:v>
      </x:c>
      <x:c r="Y692" s="3" t="str"/>
      <x:c r="Z692" s="27" t="str">
        <x:v>https://www.taladrod.com/w40/icar/cardet.aspx?cid=2916716</x:v>
      </x:c>
      <x:c r="AA692" s="3" t="str">
        <x:v>Taladrod個別広告ID／Carsome在庫ID</x:v>
      </x:c>
      <x:c r="AB692" s="3" t="str">
        <x:v>車台番号未取得／サイト間重複は未判定</x:v>
      </x:c>
      <x:c r="AC692" s="3" t="str">
        <x:v>税込区分未確認（一覧表示額）</x:v>
      </x:c>
      <x:c r="AD692" s="3" t="str"/>
      <x:c r="AE692" s="29" t="str">
        <x:f>""</x:f>
      </x:c>
      <x:c r="AF692" s="30" t="str">
        <x:f>IF(ISNUMBER(AE692),U692/AE692,"")</x:f>
      </x:c>
      <x:c r="AG692" s="29" t="str">
        <x:f>""</x:f>
      </x:c>
      <x:c r="AH692" s="30" t="str">
        <x:f>IF(ISNUMBER(AG692),U692/AG692,"")</x:f>
      </x:c>
      <x:c r="AI692" s="3" t="str">
        <x:v>同年式・グレードの検証済み当時価格なし／登録年混在</x:v>
      </x:c>
      <x:c r="AJ692" s="3" t="str">
        <x:v>一覧価格/年式のみ</x:v>
      </x:c>
      <x:c r="AK692" s="3" t="str">
        <x:v>一覧の表示価格。年式は掲載年式。</x:v>
      </x:c>
      <x:c r="AL692" s="31" t="n">
        <x:f>IF(AND(J692&lt;='分析方法'!$B$7,OR(ISBLANK(O692),O692&gt;='分析方法'!$B$8),X692&lt;&gt;"売却済み表示"),1,0)</x:f>
        <x:v>1</x:v>
      </x:c>
      <x:c r="AM692" s="32" t="n">
        <x:f>IF(AL692=1,U692,"")</x:f>
        <x:v>649000</x:v>
      </x:c>
      <x:c r="AN692" s="33" t="str">
        <x:f>IF(AL692=1,AF692,"")</x:f>
      </x:c>
      <x:c r="AO692" s="31" t="n">
        <x:f>'分析方法'!$B$6-J692</x:f>
        <x:v>6</x:v>
      </x:c>
      <x:c r="AP692" s="3"/>
    </x:row>
    <x:row r="693" ht="22" customHeight="1">
      <x:c r="A693" s="3" t="str">
        <x:v>T2923987</x:v>
      </x:c>
      <x:c r="B693" s="7" t="d">
        <x:v>2026-10-08T00:00:00.000Z</x:v>
      </x:c>
      <x:c r="C693" s="3" t="str">
        <x:v>Taladrod</x:v>
      </x:c>
      <x:c r="D693" s="3" t="str">
        <x:v>Toyota</x:v>
      </x:c>
      <x:c r="E693" s="3" t="str">
        <x:v>日本</x:v>
      </x:c>
      <x:c r="F693" s="3" t="str">
        <x:v>Hilux Revo</x:v>
      </x:c>
      <x:c r="G693" s="3" t="str">
        <x:v>ICE</x:v>
      </x:c>
      <x:c r="H693" s="3" t="str">
        <x:v>Pickup</x:v>
      </x:c>
      <x:c r="I693" s="3" t="str">
        <x:v>Double cab</x:v>
      </x:c>
      <x:c r="J693" s="3" t="n">
        <x:v>2020</x:v>
      </x:c>
      <x:c r="K693" s="3" t="str">
        <x:v>2.4 PRERUNNER DOUBLE CAB</x:v>
      </x:c>
      <x:c r="L693" s="3" t="str">
        <x:v>2.4 PRERUNNER DOUBLE CAB</x:v>
      </x:c>
      <x:c r="M693" s="22"/>
      <x:c r="N693" s="22"/>
      <x:c r="O693" s="22"/>
      <x:c r="P693" s="3" t="str">
        <x:v>未掲載</x:v>
      </x:c>
      <x:c r="Q693" s="3" t="str">
        <x:v>未取得</x:v>
      </x:c>
      <x:c r="R693" s="3" t="str">
        <x:v>Unknown</x:v>
      </x:c>
      <x:c r="S693" s="3" t="str">
        <x:v>不明</x:v>
      </x:c>
      <x:c r="T693" s="3" t="str">
        <x:v>世代不明</x:v>
      </x:c>
      <x:c r="U693" s="28" t="n">
        <x:v>350000</x:v>
      </x:c>
      <x:c r="V693" s="28"/>
      <x:c r="W693" s="3" t="str">
        <x:v>事故・水没・SOH・保証残は未確認</x:v>
      </x:c>
      <x:c r="X693" s="3" t="str">
        <x:v>掲載中・在庫未確認</x:v>
      </x:c>
      <x:c r="Y693" s="3" t="str"/>
      <x:c r="Z693" s="27" t="str">
        <x:v>https://www.taladrod.com/w40/icar/cardet.aspx?cid=2923987</x:v>
      </x:c>
      <x:c r="AA693" s="3" t="str">
        <x:v>Taladrod個別広告ID／Carsome在庫ID</x:v>
      </x:c>
      <x:c r="AB693" s="3" t="str">
        <x:v>車台番号未取得／サイト間重複は未判定</x:v>
      </x:c>
      <x:c r="AC693" s="3" t="str">
        <x:v>税込区分未確認（一覧表示額）</x:v>
      </x:c>
      <x:c r="AD693" s="3" t="str"/>
      <x:c r="AE693" s="29" t="str">
        <x:f>""</x:f>
      </x:c>
      <x:c r="AF693" s="30" t="str">
        <x:f>IF(ISNUMBER(AE693),U693/AE693,"")</x:f>
      </x:c>
      <x:c r="AG693" s="29" t="str">
        <x:f>""</x:f>
      </x:c>
      <x:c r="AH693" s="30" t="str">
        <x:f>IF(ISNUMBER(AG693),U693/AG693,"")</x:f>
      </x:c>
      <x:c r="AI693" s="3" t="str">
        <x:v>同年式・グレードの検証済み当時価格なし／登録年混在</x:v>
      </x:c>
      <x:c r="AJ693" s="3" t="str">
        <x:v>一覧価格/年式のみ</x:v>
      </x:c>
      <x:c r="AK693" s="3" t="str">
        <x:v>一覧の表示価格。年式は掲載年式。</x:v>
      </x:c>
      <x:c r="AL693" s="31" t="n">
        <x:f>IF(AND(J693&lt;='分析方法'!$B$7,OR(ISBLANK(O693),O693&gt;='分析方法'!$B$8),X693&lt;&gt;"売却済み表示"),1,0)</x:f>
        <x:v>1</x:v>
      </x:c>
      <x:c r="AM693" s="32" t="n">
        <x:f>IF(AL693=1,U693,"")</x:f>
        <x:v>350000</x:v>
      </x:c>
      <x:c r="AN693" s="33" t="str">
        <x:f>IF(AL693=1,AF693,"")</x:f>
      </x:c>
      <x:c r="AO693" s="31" t="n">
        <x:f>'分析方法'!$B$6-J693</x:f>
        <x:v>6</x:v>
      </x:c>
      <x:c r="AP693" s="3"/>
    </x:row>
    <x:row r="694" ht="22" customHeight="1">
      <x:c r="A694" s="3" t="str">
        <x:v>T2924485</x:v>
      </x:c>
      <x:c r="B694" s="7" t="d">
        <x:v>2026-10-08T00:00:00.000Z</x:v>
      </x:c>
      <x:c r="C694" s="3" t="str">
        <x:v>Taladrod</x:v>
      </x:c>
      <x:c r="D694" s="3" t="str">
        <x:v>Toyota</x:v>
      </x:c>
      <x:c r="E694" s="3" t="str">
        <x:v>日本</x:v>
      </x:c>
      <x:c r="F694" s="3" t="str">
        <x:v>Hilux Revo</x:v>
      </x:c>
      <x:c r="G694" s="3" t="str">
        <x:v>ICE</x:v>
      </x:c>
      <x:c r="H694" s="3" t="str">
        <x:v>Pickup</x:v>
      </x:c>
      <x:c r="I694" s="3" t="str">
        <x:v>Double cab</x:v>
      </x:c>
      <x:c r="J694" s="3" t="n">
        <x:v>2020</x:v>
      </x:c>
      <x:c r="K694" s="3" t="str">
        <x:v>2.4 PRERUNNER DOUBLE CAB</x:v>
      </x:c>
      <x:c r="L694" s="3" t="str">
        <x:v>2.4 PRERUNNER DOUBLE CAB</x:v>
      </x:c>
      <x:c r="M694" s="22"/>
      <x:c r="N694" s="22"/>
      <x:c r="O694" s="22"/>
      <x:c r="P694" s="3" t="str">
        <x:v>未掲載</x:v>
      </x:c>
      <x:c r="Q694" s="3" t="str">
        <x:v>未取得</x:v>
      </x:c>
      <x:c r="R694" s="3" t="str">
        <x:v>Unknown</x:v>
      </x:c>
      <x:c r="S694" s="3" t="str">
        <x:v>不明</x:v>
      </x:c>
      <x:c r="T694" s="3" t="str">
        <x:v>世代不明</x:v>
      </x:c>
      <x:c r="U694" s="28" t="n">
        <x:v>599000</x:v>
      </x:c>
      <x:c r="V694" s="28"/>
      <x:c r="W694" s="3" t="str">
        <x:v>事故・水没・SOH・保証残は未確認</x:v>
      </x:c>
      <x:c r="X694" s="3" t="str">
        <x:v>掲載中・在庫未確認</x:v>
      </x:c>
      <x:c r="Y694" s="3" t="str"/>
      <x:c r="Z694" s="27" t="str">
        <x:v>https://www.taladrod.com/w40/icar/cardet.aspx?cid=2924485</x:v>
      </x:c>
      <x:c r="AA694" s="3" t="str">
        <x:v>Taladrod個別広告ID／Carsome在庫ID</x:v>
      </x:c>
      <x:c r="AB694" s="3" t="str">
        <x:v>車台番号未取得／サイト間重複は未判定</x:v>
      </x:c>
      <x:c r="AC694" s="3" t="str">
        <x:v>税込区分未確認（一覧表示額）</x:v>
      </x:c>
      <x:c r="AD694" s="3" t="str"/>
      <x:c r="AE694" s="29" t="str">
        <x:f>""</x:f>
      </x:c>
      <x:c r="AF694" s="30" t="str">
        <x:f>IF(ISNUMBER(AE694),U694/AE694,"")</x:f>
      </x:c>
      <x:c r="AG694" s="29" t="str">
        <x:f>""</x:f>
      </x:c>
      <x:c r="AH694" s="30" t="str">
        <x:f>IF(ISNUMBER(AG694),U694/AG694,"")</x:f>
      </x:c>
      <x:c r="AI694" s="3" t="str">
        <x:v>同年式・グレードの検証済み当時価格なし／登録年混在</x:v>
      </x:c>
      <x:c r="AJ694" s="3" t="str">
        <x:v>一覧価格/年式のみ</x:v>
      </x:c>
      <x:c r="AK694" s="3" t="str">
        <x:v>一覧の表示価格。年式は掲載年式。</x:v>
      </x:c>
      <x:c r="AL694" s="31" t="n">
        <x:f>IF(AND(J694&lt;='分析方法'!$B$7,OR(ISBLANK(O694),O694&gt;='分析方法'!$B$8),X694&lt;&gt;"売却済み表示"),1,0)</x:f>
        <x:v>1</x:v>
      </x:c>
      <x:c r="AM694" s="32" t="n">
        <x:f>IF(AL694=1,U694,"")</x:f>
        <x:v>599000</x:v>
      </x:c>
      <x:c r="AN694" s="33" t="str">
        <x:f>IF(AL694=1,AF694,"")</x:f>
      </x:c>
      <x:c r="AO694" s="31" t="n">
        <x:f>'分析方法'!$B$6-J694</x:f>
        <x:v>6</x:v>
      </x:c>
      <x:c r="AP694" s="3"/>
    </x:row>
    <x:row r="695" ht="22" customHeight="1">
      <x:c r="A695" s="3" t="str">
        <x:v>T2926009</x:v>
      </x:c>
      <x:c r="B695" s="7" t="d">
        <x:v>2026-10-08T00:00:00.000Z</x:v>
      </x:c>
      <x:c r="C695" s="3" t="str">
        <x:v>Taladrod</x:v>
      </x:c>
      <x:c r="D695" s="3" t="str">
        <x:v>Toyota</x:v>
      </x:c>
      <x:c r="E695" s="3" t="str">
        <x:v>日本</x:v>
      </x:c>
      <x:c r="F695" s="3" t="str">
        <x:v>Hilux Revo</x:v>
      </x:c>
      <x:c r="G695" s="3" t="str">
        <x:v>ICE</x:v>
      </x:c>
      <x:c r="H695" s="3" t="str">
        <x:v>Pickup</x:v>
      </x:c>
      <x:c r="I695" s="3" t="str">
        <x:v>Double cab</x:v>
      </x:c>
      <x:c r="J695" s="3" t="n">
        <x:v>2020</x:v>
      </x:c>
      <x:c r="K695" s="3" t="str">
        <x:v>2.4 PRERUNNER DOUBLE CAB</x:v>
      </x:c>
      <x:c r="L695" s="3" t="str">
        <x:v>2.4 PRERUNNER DOUBLE CAB</x:v>
      </x:c>
      <x:c r="M695" s="22"/>
      <x:c r="N695" s="22"/>
      <x:c r="O695" s="22"/>
      <x:c r="P695" s="3" t="str">
        <x:v>未掲載</x:v>
      </x:c>
      <x:c r="Q695" s="3" t="str">
        <x:v>未取得</x:v>
      </x:c>
      <x:c r="R695" s="3" t="str">
        <x:v>Unknown</x:v>
      </x:c>
      <x:c r="S695" s="3" t="str">
        <x:v>不明</x:v>
      </x:c>
      <x:c r="T695" s="3" t="str">
        <x:v>世代不明</x:v>
      </x:c>
      <x:c r="U695" s="28" t="n">
        <x:v>620000</x:v>
      </x:c>
      <x:c r="V695" s="28"/>
      <x:c r="W695" s="3" t="str">
        <x:v>事故・水没・SOH・保証残は未確認</x:v>
      </x:c>
      <x:c r="X695" s="3" t="str">
        <x:v>掲載中・在庫未確認</x:v>
      </x:c>
      <x:c r="Y695" s="3" t="str"/>
      <x:c r="Z695" s="27" t="str">
        <x:v>https://www.taladrod.com/w40/icar/cardet.aspx?cid=2926009</x:v>
      </x:c>
      <x:c r="AA695" s="3" t="str">
        <x:v>Taladrod個別広告ID／Carsome在庫ID</x:v>
      </x:c>
      <x:c r="AB695" s="3" t="str">
        <x:v>車台番号未取得／サイト間重複は未判定</x:v>
      </x:c>
      <x:c r="AC695" s="3" t="str">
        <x:v>税込区分未確認（一覧表示額）</x:v>
      </x:c>
      <x:c r="AD695" s="3" t="str"/>
      <x:c r="AE695" s="29" t="str">
        <x:f>""</x:f>
      </x:c>
      <x:c r="AF695" s="30" t="str">
        <x:f>IF(ISNUMBER(AE695),U695/AE695,"")</x:f>
      </x:c>
      <x:c r="AG695" s="29" t="str">
        <x:f>""</x:f>
      </x:c>
      <x:c r="AH695" s="30" t="str">
        <x:f>IF(ISNUMBER(AG695),U695/AG695,"")</x:f>
      </x:c>
      <x:c r="AI695" s="3" t="str">
        <x:v>同年式・グレードの検証済み当時価格なし／登録年混在</x:v>
      </x:c>
      <x:c r="AJ695" s="3" t="str">
        <x:v>一覧価格/年式のみ</x:v>
      </x:c>
      <x:c r="AK695" s="3" t="str">
        <x:v>一覧の表示価格。年式は掲載年式。</x:v>
      </x:c>
      <x:c r="AL695" s="31" t="n">
        <x:f>IF(AND(J695&lt;='分析方法'!$B$7,OR(ISBLANK(O695),O695&gt;='分析方法'!$B$8),X695&lt;&gt;"売却済み表示"),1,0)</x:f>
        <x:v>1</x:v>
      </x:c>
      <x:c r="AM695" s="32" t="n">
        <x:f>IF(AL695=1,U695,"")</x:f>
        <x:v>620000</x:v>
      </x:c>
      <x:c r="AN695" s="33" t="str">
        <x:f>IF(AL695=1,AF695,"")</x:f>
      </x:c>
      <x:c r="AO695" s="31" t="n">
        <x:f>'分析方法'!$B$6-J695</x:f>
        <x:v>6</x:v>
      </x:c>
      <x:c r="AP695" s="3"/>
    </x:row>
    <x:row r="696" ht="22" customHeight="1">
      <x:c r="A696" s="3" t="str">
        <x:v>T2912783</x:v>
      </x:c>
      <x:c r="B696" s="7" t="d">
        <x:v>2026-10-08T00:00:00.000Z</x:v>
      </x:c>
      <x:c r="C696" s="3" t="str">
        <x:v>Taladrod</x:v>
      </x:c>
      <x:c r="D696" s="3" t="str">
        <x:v>Toyota</x:v>
      </x:c>
      <x:c r="E696" s="3" t="str">
        <x:v>日本</x:v>
      </x:c>
      <x:c r="F696" s="3" t="str">
        <x:v>Hilux Revo</x:v>
      </x:c>
      <x:c r="G696" s="3" t="str">
        <x:v>ICE</x:v>
      </x:c>
      <x:c r="H696" s="3" t="str">
        <x:v>Pickup</x:v>
      </x:c>
      <x:c r="I696" s="3" t="str">
        <x:v>Smart cab</x:v>
      </x:c>
      <x:c r="J696" s="3" t="n">
        <x:v>2020</x:v>
      </x:c>
      <x:c r="K696" s="3" t="str">
        <x:v>2.4 PRERUNNER SMART CAB</x:v>
      </x:c>
      <x:c r="L696" s="3" t="str">
        <x:v>2.4 PRERUNNER SMART CAB</x:v>
      </x:c>
      <x:c r="M696" s="22"/>
      <x:c r="N696" s="22"/>
      <x:c r="O696" s="22"/>
      <x:c r="P696" s="3" t="str">
        <x:v>未掲載</x:v>
      </x:c>
      <x:c r="Q696" s="3" t="str">
        <x:v>未取得</x:v>
      </x:c>
      <x:c r="R696" s="3" t="str">
        <x:v>Unknown</x:v>
      </x:c>
      <x:c r="S696" s="3" t="str">
        <x:v>不明</x:v>
      </x:c>
      <x:c r="T696" s="3" t="str">
        <x:v>世代不明</x:v>
      </x:c>
      <x:c r="U696" s="28" t="n">
        <x:v>514000</x:v>
      </x:c>
      <x:c r="V696" s="28" t="n">
        <x:v>949000</x:v>
      </x:c>
      <x:c r="W696" s="3" t="str">
        <x:v>事故・水没・SOH・保証残は未確認</x:v>
      </x:c>
      <x:c r="X696" s="3" t="str">
        <x:v>掲載中・在庫未確認</x:v>
      </x:c>
      <x:c r="Y696" s="3" t="str"/>
      <x:c r="Z696" s="27" t="str">
        <x:v>https://www.taladrod.com/w40/icar/cardet.aspx?cid=2912783</x:v>
      </x:c>
      <x:c r="AA696" s="3" t="str">
        <x:v>Taladrod個別広告ID／Carsome在庫ID</x:v>
      </x:c>
      <x:c r="AB696" s="3" t="str">
        <x:v>車台番号未取得／サイト間重複は未判定</x:v>
      </x:c>
      <x:c r="AC696" s="3" t="str">
        <x:v>税込区分未確認（一覧表示額）</x:v>
      </x:c>
      <x:c r="AD696" s="3" t="str"/>
      <x:c r="AE696" s="29" t="str">
        <x:f>""</x:f>
      </x:c>
      <x:c r="AF696" s="30" t="str">
        <x:f>IF(ISNUMBER(AE696),U696/AE696,"")</x:f>
      </x:c>
      <x:c r="AG696" s="29" t="str">
        <x:f>""</x:f>
      </x:c>
      <x:c r="AH696" s="30" t="str">
        <x:f>IF(ISNUMBER(AG696),U696/AG696,"")</x:f>
      </x:c>
      <x:c r="AI696" s="3" t="str">
        <x:v>同年式・グレードの検証済み当時価格なし／登録年混在</x:v>
      </x:c>
      <x:c r="AJ696" s="3" t="str">
        <x:v>一覧価格/年式のみ</x:v>
      </x:c>
      <x:c r="AK696" s="3" t="str">
        <x:v>一覧の表示価格。年式は掲載年式。</x:v>
      </x:c>
      <x:c r="AL696" s="31" t="n">
        <x:f>IF(AND(J696&lt;='分析方法'!$B$7,OR(ISBLANK(O696),O696&gt;='分析方法'!$B$8),X696&lt;&gt;"売却済み表示"),1,0)</x:f>
        <x:v>1</x:v>
      </x:c>
      <x:c r="AM696" s="32" t="n">
        <x:f>IF(AL696=1,U696,"")</x:f>
        <x:v>514000</x:v>
      </x:c>
      <x:c r="AN696" s="33" t="str">
        <x:f>IF(AL696=1,AF696,"")</x:f>
      </x:c>
      <x:c r="AO696" s="31" t="n">
        <x:f>'分析方法'!$B$6-J696</x:f>
        <x:v>6</x:v>
      </x:c>
      <x:c r="AP696" s="3"/>
    </x:row>
    <x:row r="697" ht="22" customHeight="1">
      <x:c r="A697" s="3" t="str">
        <x:v>T2918699</x:v>
      </x:c>
      <x:c r="B697" s="7" t="d">
        <x:v>2026-10-08T00:00:00.000Z</x:v>
      </x:c>
      <x:c r="C697" s="3" t="str">
        <x:v>Taladrod</x:v>
      </x:c>
      <x:c r="D697" s="3" t="str">
        <x:v>Toyota</x:v>
      </x:c>
      <x:c r="E697" s="3" t="str">
        <x:v>日本</x:v>
      </x:c>
      <x:c r="F697" s="3" t="str">
        <x:v>Hilux Revo</x:v>
      </x:c>
      <x:c r="G697" s="3" t="str">
        <x:v>ICE</x:v>
      </x:c>
      <x:c r="H697" s="3" t="str">
        <x:v>Pickup</x:v>
      </x:c>
      <x:c r="I697" s="3" t="str">
        <x:v>Smart cab</x:v>
      </x:c>
      <x:c r="J697" s="3" t="n">
        <x:v>2020</x:v>
      </x:c>
      <x:c r="K697" s="3" t="str">
        <x:v>2.4 PRERUNNER SMART CAB</x:v>
      </x:c>
      <x:c r="L697" s="3" t="str">
        <x:v>2.4 PRERUNNER SMART CAB</x:v>
      </x:c>
      <x:c r="M697" s="22"/>
      <x:c r="N697" s="22"/>
      <x:c r="O697" s="22"/>
      <x:c r="P697" s="3" t="str">
        <x:v>未掲載</x:v>
      </x:c>
      <x:c r="Q697" s="3" t="str">
        <x:v>未取得</x:v>
      </x:c>
      <x:c r="R697" s="3" t="str">
        <x:v>Unknown</x:v>
      </x:c>
      <x:c r="S697" s="3" t="str">
        <x:v>不明</x:v>
      </x:c>
      <x:c r="T697" s="3" t="str">
        <x:v>世代不明</x:v>
      </x:c>
      <x:c r="U697" s="28" t="n">
        <x:v>489000</x:v>
      </x:c>
      <x:c r="V697" s="28" t="n">
        <x:v>949000</x:v>
      </x:c>
      <x:c r="W697" s="3" t="str">
        <x:v>事故・水没・SOH・保証残は未確認</x:v>
      </x:c>
      <x:c r="X697" s="3" t="str">
        <x:v>掲載中・在庫未確認</x:v>
      </x:c>
      <x:c r="Y697" s="3" t="str"/>
      <x:c r="Z697" s="27" t="str">
        <x:v>https://www.taladrod.com/w40/icar/cardet.aspx?cid=2918699</x:v>
      </x:c>
      <x:c r="AA697" s="3" t="str">
        <x:v>Taladrod個別広告ID／Carsome在庫ID</x:v>
      </x:c>
      <x:c r="AB697" s="3" t="str">
        <x:v>車台番号未取得／サイト間重複は未判定</x:v>
      </x:c>
      <x:c r="AC697" s="3" t="str">
        <x:v>税込区分未確認（一覧表示額）</x:v>
      </x:c>
      <x:c r="AD697" s="3" t="str"/>
      <x:c r="AE697" s="29" t="str">
        <x:f>""</x:f>
      </x:c>
      <x:c r="AF697" s="30" t="str">
        <x:f>IF(ISNUMBER(AE697),U697/AE697,"")</x:f>
      </x:c>
      <x:c r="AG697" s="29" t="str">
        <x:f>""</x:f>
      </x:c>
      <x:c r="AH697" s="30" t="str">
        <x:f>IF(ISNUMBER(AG697),U697/AG697,"")</x:f>
      </x:c>
      <x:c r="AI697" s="3" t="str">
        <x:v>同年式・グレードの検証済み当時価格なし／登録年混在</x:v>
      </x:c>
      <x:c r="AJ697" s="3" t="str">
        <x:v>一覧価格/年式のみ</x:v>
      </x:c>
      <x:c r="AK697" s="3" t="str">
        <x:v>一覧の表示価格。年式は掲載年式。</x:v>
      </x:c>
      <x:c r="AL697" s="31" t="n">
        <x:f>IF(AND(J697&lt;='分析方法'!$B$7,OR(ISBLANK(O697),O697&gt;='分析方法'!$B$8),X697&lt;&gt;"売却済み表示"),1,0)</x:f>
        <x:v>1</x:v>
      </x:c>
      <x:c r="AM697" s="32" t="n">
        <x:f>IF(AL697=1,U697,"")</x:f>
        <x:v>489000</x:v>
      </x:c>
      <x:c r="AN697" s="33" t="str">
        <x:f>IF(AL697=1,AF697,"")</x:f>
      </x:c>
      <x:c r="AO697" s="31" t="n">
        <x:f>'分析方法'!$B$6-J697</x:f>
        <x:v>6</x:v>
      </x:c>
      <x:c r="AP697" s="3"/>
    </x:row>
    <x:row r="698" ht="22" customHeight="1">
      <x:c r="A698" s="3" t="str">
        <x:v>T2922537</x:v>
      </x:c>
      <x:c r="B698" s="7" t="d">
        <x:v>2026-10-08T00:00:00.000Z</x:v>
      </x:c>
      <x:c r="C698" s="3" t="str">
        <x:v>Taladrod</x:v>
      </x:c>
      <x:c r="D698" s="3" t="str">
        <x:v>Toyota</x:v>
      </x:c>
      <x:c r="E698" s="3" t="str">
        <x:v>日本</x:v>
      </x:c>
      <x:c r="F698" s="3" t="str">
        <x:v>Hilux Revo</x:v>
      </x:c>
      <x:c r="G698" s="3" t="str">
        <x:v>ICE</x:v>
      </x:c>
      <x:c r="H698" s="3" t="str">
        <x:v>Pickup</x:v>
      </x:c>
      <x:c r="I698" s="3" t="str">
        <x:v>Smart cab</x:v>
      </x:c>
      <x:c r="J698" s="3" t="n">
        <x:v>2020</x:v>
      </x:c>
      <x:c r="K698" s="3" t="str">
        <x:v>2.4 PRERUNNER SMART CAB</x:v>
      </x:c>
      <x:c r="L698" s="3" t="str">
        <x:v>2.4 PRERUNNER SMART CAB</x:v>
      </x:c>
      <x:c r="M698" s="22"/>
      <x:c r="N698" s="22"/>
      <x:c r="O698" s="22"/>
      <x:c r="P698" s="3" t="str">
        <x:v>未掲載</x:v>
      </x:c>
      <x:c r="Q698" s="3" t="str">
        <x:v>未取得</x:v>
      </x:c>
      <x:c r="R698" s="3" t="str">
        <x:v>Unknown</x:v>
      </x:c>
      <x:c r="S698" s="3" t="str">
        <x:v>不明</x:v>
      </x:c>
      <x:c r="T698" s="3" t="str">
        <x:v>世代不明</x:v>
      </x:c>
      <x:c r="U698" s="28" t="n">
        <x:v>589000</x:v>
      </x:c>
      <x:c r="V698" s="28" t="n">
        <x:v>949000</x:v>
      </x:c>
      <x:c r="W698" s="3" t="str">
        <x:v>事故・水没・SOH・保証残は未確認</x:v>
      </x:c>
      <x:c r="X698" s="3" t="str">
        <x:v>掲載中・在庫未確認</x:v>
      </x:c>
      <x:c r="Y698" s="3" t="str"/>
      <x:c r="Z698" s="27" t="str">
        <x:v>https://www.taladrod.com/w40/icar/cardet.aspx?cid=2922537</x:v>
      </x:c>
      <x:c r="AA698" s="3" t="str">
        <x:v>Taladrod個別広告ID／Carsome在庫ID</x:v>
      </x:c>
      <x:c r="AB698" s="3" t="str">
        <x:v>車台番号未取得／サイト間重複は未判定</x:v>
      </x:c>
      <x:c r="AC698" s="3" t="str">
        <x:v>税込区分未確認（一覧表示額）</x:v>
      </x:c>
      <x:c r="AD698" s="3" t="str"/>
      <x:c r="AE698" s="29" t="str">
        <x:f>""</x:f>
      </x:c>
      <x:c r="AF698" s="30" t="str">
        <x:f>IF(ISNUMBER(AE698),U698/AE698,"")</x:f>
      </x:c>
      <x:c r="AG698" s="29" t="str">
        <x:f>""</x:f>
      </x:c>
      <x:c r="AH698" s="30" t="str">
        <x:f>IF(ISNUMBER(AG698),U698/AG698,"")</x:f>
      </x:c>
      <x:c r="AI698" s="3" t="str">
        <x:v>同年式・グレードの検証済み当時価格なし／登録年混在</x:v>
      </x:c>
      <x:c r="AJ698" s="3" t="str">
        <x:v>一覧価格/年式のみ</x:v>
      </x:c>
      <x:c r="AK698" s="3" t="str">
        <x:v>一覧の表示価格。年式は掲載年式。</x:v>
      </x:c>
      <x:c r="AL698" s="31" t="n">
        <x:f>IF(AND(J698&lt;='分析方法'!$B$7,OR(ISBLANK(O698),O698&gt;='分析方法'!$B$8),X698&lt;&gt;"売却済み表示"),1,0)</x:f>
        <x:v>1</x:v>
      </x:c>
      <x:c r="AM698" s="32" t="n">
        <x:f>IF(AL698=1,U698,"")</x:f>
        <x:v>589000</x:v>
      </x:c>
      <x:c r="AN698" s="33" t="str">
        <x:f>IF(AL698=1,AF698,"")</x:f>
      </x:c>
      <x:c r="AO698" s="31" t="n">
        <x:f>'分析方法'!$B$6-J698</x:f>
        <x:v>6</x:v>
      </x:c>
      <x:c r="AP698" s="3"/>
    </x:row>
    <x:row r="699" ht="22" customHeight="1">
      <x:c r="A699" s="3" t="str">
        <x:v>T2890984</x:v>
      </x:c>
      <x:c r="B699" s="7" t="d">
        <x:v>2026-10-08T00:00:00.000Z</x:v>
      </x:c>
      <x:c r="C699" s="3" t="str">
        <x:v>Taladrod</x:v>
      </x:c>
      <x:c r="D699" s="3" t="str">
        <x:v>Toyota</x:v>
      </x:c>
      <x:c r="E699" s="3" t="str">
        <x:v>日本</x:v>
      </x:c>
      <x:c r="F699" s="3" t="str">
        <x:v>Hilux Revo</x:v>
      </x:c>
      <x:c r="G699" s="3" t="str">
        <x:v>ICE</x:v>
      </x:c>
      <x:c r="H699" s="3" t="str">
        <x:v>Pickup</x:v>
      </x:c>
      <x:c r="I699" s="3" t="str">
        <x:v>Single cab</x:v>
      </x:c>
      <x:c r="J699" s="3" t="n">
        <x:v>2020</x:v>
      </x:c>
      <x:c r="K699" s="3" t="str">
        <x:v>2.8 ENTRY 4WD STANDARD CAB</x:v>
      </x:c>
      <x:c r="L699" s="3" t="str">
        <x:v>2.8 ENTRY 4WD STANDARD CAB</x:v>
      </x:c>
      <x:c r="M699" s="22"/>
      <x:c r="N699" s="22"/>
      <x:c r="O699" s="22"/>
      <x:c r="P699" s="3" t="str">
        <x:v>未掲載</x:v>
      </x:c>
      <x:c r="Q699" s="3" t="str">
        <x:v>未取得</x:v>
      </x:c>
      <x:c r="R699" s="3" t="str">
        <x:v>Unknown</x:v>
      </x:c>
      <x:c r="S699" s="3" t="str">
        <x:v>不明</x:v>
      </x:c>
      <x:c r="T699" s="3" t="str">
        <x:v>世代不明</x:v>
      </x:c>
      <x:c r="U699" s="28" t="n">
        <x:v>539000</x:v>
      </x:c>
      <x:c r="V699" s="28"/>
      <x:c r="W699" s="3" t="str">
        <x:v>事故・水没・SOH・保証残は未確認</x:v>
      </x:c>
      <x:c r="X699" s="3" t="str">
        <x:v>掲載中・在庫未確認</x:v>
      </x:c>
      <x:c r="Y699" s="3" t="str"/>
      <x:c r="Z699" s="27" t="str">
        <x:v>https://www.taladrod.com/w40/icar/cardet.aspx?cid=2890984</x:v>
      </x:c>
      <x:c r="AA699" s="3" t="str">
        <x:v>Taladrod個別広告ID／Carsome在庫ID</x:v>
      </x:c>
      <x:c r="AB699" s="3" t="str">
        <x:v>車台番号未取得／サイト間重複は未判定</x:v>
      </x:c>
      <x:c r="AC699" s="3" t="str">
        <x:v>税込区分未確認（一覧表示額）</x:v>
      </x:c>
      <x:c r="AD699" s="3" t="str"/>
      <x:c r="AE699" s="29" t="str">
        <x:f>""</x:f>
      </x:c>
      <x:c r="AF699" s="30" t="str">
        <x:f>IF(ISNUMBER(AE699),U699/AE699,"")</x:f>
      </x:c>
      <x:c r="AG699" s="29" t="str">
        <x:f>""</x:f>
      </x:c>
      <x:c r="AH699" s="30" t="str">
        <x:f>IF(ISNUMBER(AG699),U699/AG699,"")</x:f>
      </x:c>
      <x:c r="AI699" s="3" t="str">
        <x:v>同年式・グレードの検証済み当時価格なし／登録年混在</x:v>
      </x:c>
      <x:c r="AJ699" s="3" t="str">
        <x:v>一覧価格/年式のみ</x:v>
      </x:c>
      <x:c r="AK699" s="3" t="str">
        <x:v>一覧の表示価格。年式は掲載年式。</x:v>
      </x:c>
      <x:c r="AL699" s="31" t="n">
        <x:f>IF(AND(J699&lt;='分析方法'!$B$7,OR(ISBLANK(O699),O699&gt;='分析方法'!$B$8),X699&lt;&gt;"売却済み表示"),1,0)</x:f>
        <x:v>1</x:v>
      </x:c>
      <x:c r="AM699" s="32" t="n">
        <x:f>IF(AL699=1,U699,"")</x:f>
        <x:v>539000</x:v>
      </x:c>
      <x:c r="AN699" s="33" t="str">
        <x:f>IF(AL699=1,AF699,"")</x:f>
      </x:c>
      <x:c r="AO699" s="31" t="n">
        <x:f>'分析方法'!$B$6-J699</x:f>
        <x:v>6</x:v>
      </x:c>
      <x:c r="AP699" s="3"/>
    </x:row>
    <x:row r="700" ht="22" customHeight="1">
      <x:c r="A700" s="3" t="str">
        <x:v>T2926453</x:v>
      </x:c>
      <x:c r="B700" s="7" t="d">
        <x:v>2026-10-08T00:00:00.000Z</x:v>
      </x:c>
      <x:c r="C700" s="3" t="str">
        <x:v>Taladrod</x:v>
      </x:c>
      <x:c r="D700" s="3" t="str">
        <x:v>Toyota</x:v>
      </x:c>
      <x:c r="E700" s="3" t="str">
        <x:v>日本</x:v>
      </x:c>
      <x:c r="F700" s="3" t="str">
        <x:v>Hilux Revo</x:v>
      </x:c>
      <x:c r="G700" s="3" t="str">
        <x:v>ICE</x:v>
      </x:c>
      <x:c r="H700" s="3" t="str">
        <x:v>Pickup</x:v>
      </x:c>
      <x:c r="I700" s="3" t="str">
        <x:v>Single cab</x:v>
      </x:c>
      <x:c r="J700" s="3" t="n">
        <x:v>2020</x:v>
      </x:c>
      <x:c r="K700" s="3" t="str">
        <x:v>2.8 J PLUS STANDARD CAB</x:v>
      </x:c>
      <x:c r="L700" s="3" t="str">
        <x:v>2.8 J PLUS STANDARD CAB</x:v>
      </x:c>
      <x:c r="M700" s="22"/>
      <x:c r="N700" s="22"/>
      <x:c r="O700" s="22"/>
      <x:c r="P700" s="3" t="str">
        <x:v>未掲載</x:v>
      </x:c>
      <x:c r="Q700" s="3" t="str">
        <x:v>未取得</x:v>
      </x:c>
      <x:c r="R700" s="3" t="str">
        <x:v>Unknown</x:v>
      </x:c>
      <x:c r="S700" s="3" t="str">
        <x:v>不明</x:v>
      </x:c>
      <x:c r="T700" s="3" t="str">
        <x:v>世代不明</x:v>
      </x:c>
      <x:c r="U700" s="28" t="n">
        <x:v>320000</x:v>
      </x:c>
      <x:c r="V700" s="28" t="n">
        <x:v>605000</x:v>
      </x:c>
      <x:c r="W700" s="3" t="str">
        <x:v>事故・水没・SOH・保証残は未確認</x:v>
      </x:c>
      <x:c r="X700" s="3" t="str">
        <x:v>掲載中・在庫未確認</x:v>
      </x:c>
      <x:c r="Y700" s="3" t="str"/>
      <x:c r="Z700" s="27" t="str">
        <x:v>https://www.taladrod.com/w40/icar/cardet.aspx?cid=2926453</x:v>
      </x:c>
      <x:c r="AA700" s="3" t="str">
        <x:v>Taladrod個別広告ID／Carsome在庫ID</x:v>
      </x:c>
      <x:c r="AB700" s="3" t="str">
        <x:v>車台番号未取得／サイト間重複は未判定</x:v>
      </x:c>
      <x:c r="AC700" s="3" t="str">
        <x:v>税込区分未確認（一覧表示額）</x:v>
      </x:c>
      <x:c r="AD700" s="3" t="str"/>
      <x:c r="AE700" s="29" t="str">
        <x:f>""</x:f>
      </x:c>
      <x:c r="AF700" s="30" t="str">
        <x:f>IF(ISNUMBER(AE700),U700/AE700,"")</x:f>
      </x:c>
      <x:c r="AG700" s="29" t="str">
        <x:f>""</x:f>
      </x:c>
      <x:c r="AH700" s="30" t="str">
        <x:f>IF(ISNUMBER(AG700),U700/AG700,"")</x:f>
      </x:c>
      <x:c r="AI700" s="3" t="str">
        <x:v>同年式・グレードの検証済み当時価格なし／登録年混在</x:v>
      </x:c>
      <x:c r="AJ700" s="3" t="str">
        <x:v>一覧価格/年式のみ</x:v>
      </x:c>
      <x:c r="AK700" s="3" t="str">
        <x:v>一覧の表示価格。年式は掲載年式。</x:v>
      </x:c>
      <x:c r="AL700" s="31" t="n">
        <x:f>IF(AND(J700&lt;='分析方法'!$B$7,OR(ISBLANK(O700),O700&gt;='分析方法'!$B$8),X700&lt;&gt;"売却済み表示"),1,0)</x:f>
        <x:v>1</x:v>
      </x:c>
      <x:c r="AM700" s="32" t="n">
        <x:f>IF(AL700=1,U700,"")</x:f>
        <x:v>320000</x:v>
      </x:c>
      <x:c r="AN700" s="33" t="str">
        <x:f>IF(AL700=1,AF700,"")</x:f>
      </x:c>
      <x:c r="AO700" s="31" t="n">
        <x:f>'分析方法'!$B$6-J700</x:f>
        <x:v>6</x:v>
      </x:c>
      <x:c r="AP700" s="3"/>
    </x:row>
    <x:row r="701" ht="22" customHeight="1">
      <x:c r="A701" s="3" t="str">
        <x:v>T2922823</x:v>
      </x:c>
      <x:c r="B701" s="7" t="d">
        <x:v>2026-10-08T00:00:00.000Z</x:v>
      </x:c>
      <x:c r="C701" s="3" t="str">
        <x:v>Taladrod</x:v>
      </x:c>
      <x:c r="D701" s="3" t="str">
        <x:v>Toyota</x:v>
      </x:c>
      <x:c r="E701" s="3" t="str">
        <x:v>日本</x:v>
      </x:c>
      <x:c r="F701" s="3" t="str">
        <x:v>Hilux Revo</x:v>
      </x:c>
      <x:c r="G701" s="3" t="str">
        <x:v>ICE</x:v>
      </x:c>
      <x:c r="H701" s="3" t="str">
        <x:v>Pickup</x:v>
      </x:c>
      <x:c r="I701" s="3" t="str">
        <x:v>Smart cab</x:v>
      </x:c>
      <x:c r="J701" s="3" t="n">
        <x:v>2021</x:v>
      </x:c>
      <x:c r="K701" s="3" t="str">
        <x:v>2.4 E Z EDITION SMART CAB</x:v>
      </x:c>
      <x:c r="L701" s="3" t="str">
        <x:v>2.4 E Z EDITION SMART CAB</x:v>
      </x:c>
      <x:c r="M701" s="22"/>
      <x:c r="N701" s="22"/>
      <x:c r="O701" s="22"/>
      <x:c r="P701" s="3" t="str">
        <x:v>未掲載</x:v>
      </x:c>
      <x:c r="Q701" s="3" t="str">
        <x:v>未取得</x:v>
      </x:c>
      <x:c r="R701" s="3" t="str">
        <x:v>Unknown</x:v>
      </x:c>
      <x:c r="S701" s="3" t="str">
        <x:v>不明</x:v>
      </x:c>
      <x:c r="T701" s="3" t="str">
        <x:v>世代不明</x:v>
      </x:c>
      <x:c r="U701" s="28" t="n">
        <x:v>355000</x:v>
      </x:c>
      <x:c r="V701" s="28"/>
      <x:c r="W701" s="3" t="str">
        <x:v>事故・水没・SOH・保証残は未確認</x:v>
      </x:c>
      <x:c r="X701" s="3" t="str">
        <x:v>掲載中・在庫未確認</x:v>
      </x:c>
      <x:c r="Y701" s="3" t="str"/>
      <x:c r="Z701" s="27" t="str">
        <x:v>https://www.taladrod.com/w40/icar/cardet.aspx?cid=2922823</x:v>
      </x:c>
      <x:c r="AA701" s="3" t="str">
        <x:v>Taladrod個別広告ID／Carsome在庫ID</x:v>
      </x:c>
      <x:c r="AB701" s="3" t="str">
        <x:v>車台番号未取得／サイト間重複は未判定</x:v>
      </x:c>
      <x:c r="AC701" s="3" t="str">
        <x:v>税込区分未確認（一覧表示額）</x:v>
      </x:c>
      <x:c r="AD701" s="3" t="str"/>
      <x:c r="AE701" s="29" t="str">
        <x:f>""</x:f>
      </x:c>
      <x:c r="AF701" s="30" t="str">
        <x:f>IF(ISNUMBER(AE701),U701/AE701,"")</x:f>
      </x:c>
      <x:c r="AG701" s="29" t="str">
        <x:f>""</x:f>
      </x:c>
      <x:c r="AH701" s="30" t="str">
        <x:f>IF(ISNUMBER(AG701),U701/AG701,"")</x:f>
      </x:c>
      <x:c r="AI701" s="3" t="str">
        <x:v>同年式・グレードの検証済み当時価格なし／登録年混在</x:v>
      </x:c>
      <x:c r="AJ701" s="3" t="str">
        <x:v>一覧価格/年式のみ</x:v>
      </x:c>
      <x:c r="AK701" s="3" t="str">
        <x:v>一覧の表示価格。年式は掲載年式。</x:v>
      </x:c>
      <x:c r="AL701" s="31" t="n">
        <x:f>IF(AND(J701&lt;='分析方法'!$B$7,OR(ISBLANK(O701),O701&gt;='分析方法'!$B$8),X701&lt;&gt;"売却済み表示"),1,0)</x:f>
        <x:v>1</x:v>
      </x:c>
      <x:c r="AM701" s="32" t="n">
        <x:f>IF(AL701=1,U701,"")</x:f>
        <x:v>355000</x:v>
      </x:c>
      <x:c r="AN701" s="33" t="str">
        <x:f>IF(AL701=1,AF701,"")</x:f>
      </x:c>
      <x:c r="AO701" s="31" t="n">
        <x:f>'分析方法'!$B$6-J701</x:f>
        <x:v>5</x:v>
      </x:c>
      <x:c r="AP701" s="3"/>
    </x:row>
    <x:row r="702" ht="22" customHeight="1">
      <x:c r="A702" s="3" t="str">
        <x:v>T2921200</x:v>
      </x:c>
      <x:c r="B702" s="7" t="d">
        <x:v>2026-10-08T00:00:00.000Z</x:v>
      </x:c>
      <x:c r="C702" s="3" t="str">
        <x:v>Taladrod</x:v>
      </x:c>
      <x:c r="D702" s="3" t="str">
        <x:v>Toyota</x:v>
      </x:c>
      <x:c r="E702" s="3" t="str">
        <x:v>日本</x:v>
      </x:c>
      <x:c r="F702" s="3" t="str">
        <x:v>Hilux Revo</x:v>
      </x:c>
      <x:c r="G702" s="3" t="str">
        <x:v>ICE</x:v>
      </x:c>
      <x:c r="H702" s="3" t="str">
        <x:v>Pickup</x:v>
      </x:c>
      <x:c r="I702" s="3" t="str">
        <x:v>Single cab</x:v>
      </x:c>
      <x:c r="J702" s="3" t="n">
        <x:v>2021</x:v>
      </x:c>
      <x:c r="K702" s="3" t="str">
        <x:v>2.4 ENTRY CHASSIS</x:v>
      </x:c>
      <x:c r="L702" s="3" t="str">
        <x:v>2.4 ENTRY CHASSIS</x:v>
      </x:c>
      <x:c r="M702" s="22"/>
      <x:c r="N702" s="22"/>
      <x:c r="O702" s="22"/>
      <x:c r="P702" s="3" t="str">
        <x:v>未掲載</x:v>
      </x:c>
      <x:c r="Q702" s="3" t="str">
        <x:v>未取得</x:v>
      </x:c>
      <x:c r="R702" s="3" t="str">
        <x:v>Unknown</x:v>
      </x:c>
      <x:c r="S702" s="3" t="str">
        <x:v>不明</x:v>
      </x:c>
      <x:c r="T702" s="3" t="str">
        <x:v>世代不明</x:v>
      </x:c>
      <x:c r="U702" s="28" t="n">
        <x:v>330000</x:v>
      </x:c>
      <x:c r="V702" s="28"/>
      <x:c r="W702" s="3" t="str">
        <x:v>事故・水没・SOH・保証残は未確認</x:v>
      </x:c>
      <x:c r="X702" s="3" t="str">
        <x:v>掲載中・在庫未確認</x:v>
      </x:c>
      <x:c r="Y702" s="3" t="str"/>
      <x:c r="Z702" s="27" t="str">
        <x:v>https://www.taladrod.com/w40/icar/cardet.aspx?cid=2921200</x:v>
      </x:c>
      <x:c r="AA702" s="3" t="str">
        <x:v>Taladrod個別広告ID／Carsome在庫ID</x:v>
      </x:c>
      <x:c r="AB702" s="3" t="str">
        <x:v>車台番号未取得／サイト間重複は未判定</x:v>
      </x:c>
      <x:c r="AC702" s="3" t="str">
        <x:v>税込区分未確認（一覧表示額）</x:v>
      </x:c>
      <x:c r="AD702" s="3" t="str"/>
      <x:c r="AE702" s="29" t="str">
        <x:f>""</x:f>
      </x:c>
      <x:c r="AF702" s="30" t="str">
        <x:f>IF(ISNUMBER(AE702),U702/AE702,"")</x:f>
      </x:c>
      <x:c r="AG702" s="29" t="str">
        <x:f>""</x:f>
      </x:c>
      <x:c r="AH702" s="30" t="str">
        <x:f>IF(ISNUMBER(AG702),U702/AG702,"")</x:f>
      </x:c>
      <x:c r="AI702" s="3" t="str">
        <x:v>同年式・グレードの検証済み当時価格なし／登録年混在</x:v>
      </x:c>
      <x:c r="AJ702" s="3" t="str">
        <x:v>一覧価格/年式のみ</x:v>
      </x:c>
      <x:c r="AK702" s="3" t="str">
        <x:v>一覧の表示価格。年式は掲載年式。</x:v>
      </x:c>
      <x:c r="AL702" s="31" t="n">
        <x:f>IF(AND(J702&lt;='分析方法'!$B$7,OR(ISBLANK(O702),O702&gt;='分析方法'!$B$8),X702&lt;&gt;"売却済み表示"),1,0)</x:f>
        <x:v>1</x:v>
      </x:c>
      <x:c r="AM702" s="32" t="n">
        <x:f>IF(AL702=1,U702,"")</x:f>
        <x:v>330000</x:v>
      </x:c>
      <x:c r="AN702" s="33" t="str">
        <x:f>IF(AL702=1,AF702,"")</x:f>
      </x:c>
      <x:c r="AO702" s="31" t="n">
        <x:f>'分析方法'!$B$6-J702</x:f>
        <x:v>5</x:v>
      </x:c>
      <x:c r="AP702" s="3"/>
    </x:row>
    <x:row r="703" ht="22" customHeight="1">
      <x:c r="A703" s="3" t="str">
        <x:v>T2908476</x:v>
      </x:c>
      <x:c r="B703" s="7" t="d">
        <x:v>2026-10-08T00:00:00.000Z</x:v>
      </x:c>
      <x:c r="C703" s="3" t="str">
        <x:v>Taladrod</x:v>
      </x:c>
      <x:c r="D703" s="3" t="str">
        <x:v>Toyota</x:v>
      </x:c>
      <x:c r="E703" s="3" t="str">
        <x:v>日本</x:v>
      </x:c>
      <x:c r="F703" s="3" t="str">
        <x:v>Hilux Revo</x:v>
      </x:c>
      <x:c r="G703" s="3" t="str">
        <x:v>ICE</x:v>
      </x:c>
      <x:c r="H703" s="3" t="str">
        <x:v>Pickup</x:v>
      </x:c>
      <x:c r="I703" s="3" t="str">
        <x:v>Double cab</x:v>
      </x:c>
      <x:c r="J703" s="3" t="n">
        <x:v>2021</x:v>
      </x:c>
      <x:c r="K703" s="3" t="str">
        <x:v>2.4 ENTRY PRERUNNER DOUBLE CAB</x:v>
      </x:c>
      <x:c r="L703" s="3" t="str">
        <x:v>2.4 ENTRY PRERUNNER DOUBLE CAB</x:v>
      </x:c>
      <x:c r="M703" s="22"/>
      <x:c r="N703" s="22"/>
      <x:c r="O703" s="22"/>
      <x:c r="P703" s="3" t="str">
        <x:v>未掲載</x:v>
      </x:c>
      <x:c r="Q703" s="3" t="str">
        <x:v>未取得</x:v>
      </x:c>
      <x:c r="R703" s="3" t="str">
        <x:v>Unknown</x:v>
      </x:c>
      <x:c r="S703" s="3" t="str">
        <x:v>不明</x:v>
      </x:c>
      <x:c r="T703" s="3" t="str">
        <x:v>世代不明</x:v>
      </x:c>
      <x:c r="U703" s="28" t="n">
        <x:v>539000</x:v>
      </x:c>
      <x:c r="V703" s="28"/>
      <x:c r="W703" s="3" t="str">
        <x:v>事故・水没・SOH・保証残は未確認</x:v>
      </x:c>
      <x:c r="X703" s="3" t="str">
        <x:v>掲載中・在庫未確認</x:v>
      </x:c>
      <x:c r="Y703" s="3" t="str"/>
      <x:c r="Z703" s="27" t="str">
        <x:v>https://www.taladrod.com/w40/icar/cardet.aspx?cid=2908476</x:v>
      </x:c>
      <x:c r="AA703" s="3" t="str">
        <x:v>Taladrod個別広告ID／Carsome在庫ID</x:v>
      </x:c>
      <x:c r="AB703" s="3" t="str">
        <x:v>車台番号未取得／サイト間重複は未判定</x:v>
      </x:c>
      <x:c r="AC703" s="3" t="str">
        <x:v>税込区分未確認（一覧表示額）</x:v>
      </x:c>
      <x:c r="AD703" s="3" t="str"/>
      <x:c r="AE703" s="29" t="str">
        <x:f>""</x:f>
      </x:c>
      <x:c r="AF703" s="30" t="str">
        <x:f>IF(ISNUMBER(AE703),U703/AE703,"")</x:f>
      </x:c>
      <x:c r="AG703" s="29" t="str">
        <x:f>""</x:f>
      </x:c>
      <x:c r="AH703" s="30" t="str">
        <x:f>IF(ISNUMBER(AG703),U703/AG703,"")</x:f>
      </x:c>
      <x:c r="AI703" s="3" t="str">
        <x:v>同年式・グレードの検証済み当時価格なし／登録年混在</x:v>
      </x:c>
      <x:c r="AJ703" s="3" t="str">
        <x:v>一覧価格/年式のみ</x:v>
      </x:c>
      <x:c r="AK703" s="3" t="str">
        <x:v>一覧の表示価格。年式は掲載年式。</x:v>
      </x:c>
      <x:c r="AL703" s="31" t="n">
        <x:f>IF(AND(J703&lt;='分析方法'!$B$7,OR(ISBLANK(O703),O703&gt;='分析方法'!$B$8),X703&lt;&gt;"売却済み表示"),1,0)</x:f>
        <x:v>1</x:v>
      </x:c>
      <x:c r="AM703" s="32" t="n">
        <x:f>IF(AL703=1,U703,"")</x:f>
        <x:v>539000</x:v>
      </x:c>
      <x:c r="AN703" s="33" t="str">
        <x:f>IF(AL703=1,AF703,"")</x:f>
      </x:c>
      <x:c r="AO703" s="31" t="n">
        <x:f>'分析方法'!$B$6-J703</x:f>
        <x:v>5</x:v>
      </x:c>
      <x:c r="AP703" s="3"/>
    </x:row>
    <x:row r="704" ht="22" customHeight="1">
      <x:c r="A704" s="3" t="str">
        <x:v>T2908512</x:v>
      </x:c>
      <x:c r="B704" s="7" t="d">
        <x:v>2026-10-08T00:00:00.000Z</x:v>
      </x:c>
      <x:c r="C704" s="3" t="str">
        <x:v>Taladrod</x:v>
      </x:c>
      <x:c r="D704" s="3" t="str">
        <x:v>Toyota</x:v>
      </x:c>
      <x:c r="E704" s="3" t="str">
        <x:v>日本</x:v>
      </x:c>
      <x:c r="F704" s="3" t="str">
        <x:v>Hilux Revo</x:v>
      </x:c>
      <x:c r="G704" s="3" t="str">
        <x:v>ICE</x:v>
      </x:c>
      <x:c r="H704" s="3" t="str">
        <x:v>Pickup</x:v>
      </x:c>
      <x:c r="I704" s="3" t="str">
        <x:v>Double cab</x:v>
      </x:c>
      <x:c r="J704" s="3" t="n">
        <x:v>2021</x:v>
      </x:c>
      <x:c r="K704" s="3" t="str">
        <x:v>2.4 ENTRY PRERUNNER DOUBLE CAB</x:v>
      </x:c>
      <x:c r="L704" s="3" t="str">
        <x:v>2.4 ENTRY PRERUNNER DOUBLE CAB</x:v>
      </x:c>
      <x:c r="M704" s="22"/>
      <x:c r="N704" s="22"/>
      <x:c r="O704" s="22"/>
      <x:c r="P704" s="3" t="str">
        <x:v>未掲載</x:v>
      </x:c>
      <x:c r="Q704" s="3" t="str">
        <x:v>未取得</x:v>
      </x:c>
      <x:c r="R704" s="3" t="str">
        <x:v>Unknown</x:v>
      </x:c>
      <x:c r="S704" s="3" t="str">
        <x:v>不明</x:v>
      </x:c>
      <x:c r="T704" s="3" t="str">
        <x:v>世代不明</x:v>
      </x:c>
      <x:c r="U704" s="28" t="n">
        <x:v>504000</x:v>
      </x:c>
      <x:c r="V704" s="28"/>
      <x:c r="W704" s="3" t="str">
        <x:v>事故・水没・SOH・保証残は未確認</x:v>
      </x:c>
      <x:c r="X704" s="3" t="str">
        <x:v>掲載中・在庫未確認</x:v>
      </x:c>
      <x:c r="Y704" s="3" t="str"/>
      <x:c r="Z704" s="27" t="str">
        <x:v>https://www.taladrod.com/w40/icar/cardet.aspx?cid=2908512</x:v>
      </x:c>
      <x:c r="AA704" s="3" t="str">
        <x:v>Taladrod個別広告ID／Carsome在庫ID</x:v>
      </x:c>
      <x:c r="AB704" s="3" t="str">
        <x:v>車台番号未取得／サイト間重複は未判定</x:v>
      </x:c>
      <x:c r="AC704" s="3" t="str">
        <x:v>税込区分未確認（一覧表示額）</x:v>
      </x:c>
      <x:c r="AD704" s="3" t="str"/>
      <x:c r="AE704" s="29" t="str">
        <x:f>""</x:f>
      </x:c>
      <x:c r="AF704" s="30" t="str">
        <x:f>IF(ISNUMBER(AE704),U704/AE704,"")</x:f>
      </x:c>
      <x:c r="AG704" s="29" t="str">
        <x:f>""</x:f>
      </x:c>
      <x:c r="AH704" s="30" t="str">
        <x:f>IF(ISNUMBER(AG704),U704/AG704,"")</x:f>
      </x:c>
      <x:c r="AI704" s="3" t="str">
        <x:v>同年式・グレードの検証済み当時価格なし／登録年混在</x:v>
      </x:c>
      <x:c r="AJ704" s="3" t="str">
        <x:v>一覧価格/年式のみ</x:v>
      </x:c>
      <x:c r="AK704" s="3" t="str">
        <x:v>一覧の表示価格。年式は掲載年式。</x:v>
      </x:c>
      <x:c r="AL704" s="31" t="n">
        <x:f>IF(AND(J704&lt;='分析方法'!$B$7,OR(ISBLANK(O704),O704&gt;='分析方法'!$B$8),X704&lt;&gt;"売却済み表示"),1,0)</x:f>
        <x:v>1</x:v>
      </x:c>
      <x:c r="AM704" s="32" t="n">
        <x:f>IF(AL704=1,U704,"")</x:f>
        <x:v>504000</x:v>
      </x:c>
      <x:c r="AN704" s="33" t="str">
        <x:f>IF(AL704=1,AF704,"")</x:f>
      </x:c>
      <x:c r="AO704" s="31" t="n">
        <x:f>'分析方法'!$B$6-J704</x:f>
        <x:v>5</x:v>
      </x:c>
      <x:c r="AP704" s="3"/>
    </x:row>
    <x:row r="705" ht="22" customHeight="1">
      <x:c r="A705" s="3" t="str">
        <x:v>T2910107</x:v>
      </x:c>
      <x:c r="B705" s="7" t="d">
        <x:v>2026-10-08T00:00:00.000Z</x:v>
      </x:c>
      <x:c r="C705" s="3" t="str">
        <x:v>Taladrod</x:v>
      </x:c>
      <x:c r="D705" s="3" t="str">
        <x:v>Toyota</x:v>
      </x:c>
      <x:c r="E705" s="3" t="str">
        <x:v>日本</x:v>
      </x:c>
      <x:c r="F705" s="3" t="str">
        <x:v>Hilux Revo</x:v>
      </x:c>
      <x:c r="G705" s="3" t="str">
        <x:v>ICE</x:v>
      </x:c>
      <x:c r="H705" s="3" t="str">
        <x:v>Pickup</x:v>
      </x:c>
      <x:c r="I705" s="3" t="str">
        <x:v>Double cab</x:v>
      </x:c>
      <x:c r="J705" s="3" t="n">
        <x:v>2021</x:v>
      </x:c>
      <x:c r="K705" s="3" t="str">
        <x:v>2.4 ENTRY PRERUNNER DOUBLE CAB</x:v>
      </x:c>
      <x:c r="L705" s="3" t="str">
        <x:v>2.4 ENTRY PRERUNNER DOUBLE CAB</x:v>
      </x:c>
      <x:c r="M705" s="22"/>
      <x:c r="N705" s="22"/>
      <x:c r="O705" s="22"/>
      <x:c r="P705" s="3" t="str">
        <x:v>未掲載</x:v>
      </x:c>
      <x:c r="Q705" s="3" t="str">
        <x:v>未取得</x:v>
      </x:c>
      <x:c r="R705" s="3" t="str">
        <x:v>Unknown</x:v>
      </x:c>
      <x:c r="S705" s="3" t="str">
        <x:v>不明</x:v>
      </x:c>
      <x:c r="T705" s="3" t="str">
        <x:v>世代不明</x:v>
      </x:c>
      <x:c r="U705" s="28" t="n">
        <x:v>549000</x:v>
      </x:c>
      <x:c r="V705" s="28"/>
      <x:c r="W705" s="3" t="str">
        <x:v>事故・水没・SOH・保証残は未確認</x:v>
      </x:c>
      <x:c r="X705" s="3" t="str">
        <x:v>掲載中・在庫未確認</x:v>
      </x:c>
      <x:c r="Y705" s="3" t="str"/>
      <x:c r="Z705" s="27" t="str">
        <x:v>https://www.taladrod.com/w40/icar/cardet.aspx?cid=2910107</x:v>
      </x:c>
      <x:c r="AA705" s="3" t="str">
        <x:v>Taladrod個別広告ID／Carsome在庫ID</x:v>
      </x:c>
      <x:c r="AB705" s="3" t="str">
        <x:v>車台番号未取得／サイト間重複は未判定</x:v>
      </x:c>
      <x:c r="AC705" s="3" t="str">
        <x:v>税込区分未確認（一覧表示額）</x:v>
      </x:c>
      <x:c r="AD705" s="3" t="str"/>
      <x:c r="AE705" s="29" t="str">
        <x:f>""</x:f>
      </x:c>
      <x:c r="AF705" s="30" t="str">
        <x:f>IF(ISNUMBER(AE705),U705/AE705,"")</x:f>
      </x:c>
      <x:c r="AG705" s="29" t="str">
        <x:f>""</x:f>
      </x:c>
      <x:c r="AH705" s="30" t="str">
        <x:f>IF(ISNUMBER(AG705),U705/AG705,"")</x:f>
      </x:c>
      <x:c r="AI705" s="3" t="str">
        <x:v>同年式・グレードの検証済み当時価格なし／登録年混在</x:v>
      </x:c>
      <x:c r="AJ705" s="3" t="str">
        <x:v>一覧価格/年式のみ</x:v>
      </x:c>
      <x:c r="AK705" s="3" t="str">
        <x:v>一覧の表示価格。年式は掲載年式。</x:v>
      </x:c>
      <x:c r="AL705" s="31" t="n">
        <x:f>IF(AND(J705&lt;='分析方法'!$B$7,OR(ISBLANK(O705),O705&gt;='分析方法'!$B$8),X705&lt;&gt;"売却済み表示"),1,0)</x:f>
        <x:v>1</x:v>
      </x:c>
      <x:c r="AM705" s="32" t="n">
        <x:f>IF(AL705=1,U705,"")</x:f>
        <x:v>549000</x:v>
      </x:c>
      <x:c r="AN705" s="33" t="str">
        <x:f>IF(AL705=1,AF705,"")</x:f>
      </x:c>
      <x:c r="AO705" s="31" t="n">
        <x:f>'分析方法'!$B$6-J705</x:f>
        <x:v>5</x:v>
      </x:c>
      <x:c r="AP705" s="3"/>
    </x:row>
    <x:row r="706" ht="22" customHeight="1">
      <x:c r="A706" s="3" t="str">
        <x:v>T2910920</x:v>
      </x:c>
      <x:c r="B706" s="7" t="d">
        <x:v>2026-10-08T00:00:00.000Z</x:v>
      </x:c>
      <x:c r="C706" s="3" t="str">
        <x:v>Taladrod</x:v>
      </x:c>
      <x:c r="D706" s="3" t="str">
        <x:v>Toyota</x:v>
      </x:c>
      <x:c r="E706" s="3" t="str">
        <x:v>日本</x:v>
      </x:c>
      <x:c r="F706" s="3" t="str">
        <x:v>Hilux Revo</x:v>
      </x:c>
      <x:c r="G706" s="3" t="str">
        <x:v>ICE</x:v>
      </x:c>
      <x:c r="H706" s="3" t="str">
        <x:v>Pickup</x:v>
      </x:c>
      <x:c r="I706" s="3" t="str">
        <x:v>Double cab</x:v>
      </x:c>
      <x:c r="J706" s="3" t="n">
        <x:v>2021</x:v>
      </x:c>
      <x:c r="K706" s="3" t="str">
        <x:v>2.4 ENTRY PRERUNNER DOUBLE CAB</x:v>
      </x:c>
      <x:c r="L706" s="3" t="str">
        <x:v>2.4 ENTRY PRERUNNER DOUBLE CAB</x:v>
      </x:c>
      <x:c r="M706" s="22"/>
      <x:c r="N706" s="22"/>
      <x:c r="O706" s="22"/>
      <x:c r="P706" s="3" t="str">
        <x:v>未掲載</x:v>
      </x:c>
      <x:c r="Q706" s="3" t="str">
        <x:v>未取得</x:v>
      </x:c>
      <x:c r="R706" s="3" t="str">
        <x:v>Unknown</x:v>
      </x:c>
      <x:c r="S706" s="3" t="str">
        <x:v>不明</x:v>
      </x:c>
      <x:c r="T706" s="3" t="str">
        <x:v>世代不明</x:v>
      </x:c>
      <x:c r="U706" s="28" t="n">
        <x:v>575000</x:v>
      </x:c>
      <x:c r="V706" s="28"/>
      <x:c r="W706" s="3" t="str">
        <x:v>事故・水没・SOH・保証残は未確認</x:v>
      </x:c>
      <x:c r="X706" s="3" t="str">
        <x:v>掲載中・在庫未確認</x:v>
      </x:c>
      <x:c r="Y706" s="3" t="str"/>
      <x:c r="Z706" s="27" t="str">
        <x:v>https://www.taladrod.com/w40/icar/cardet.aspx?cid=2910920</x:v>
      </x:c>
      <x:c r="AA706" s="3" t="str">
        <x:v>Taladrod個別広告ID／Carsome在庫ID</x:v>
      </x:c>
      <x:c r="AB706" s="3" t="str">
        <x:v>車台番号未取得／サイト間重複は未判定</x:v>
      </x:c>
      <x:c r="AC706" s="3" t="str">
        <x:v>税込区分未確認（一覧表示額）</x:v>
      </x:c>
      <x:c r="AD706" s="3" t="str"/>
      <x:c r="AE706" s="29" t="str">
        <x:f>""</x:f>
      </x:c>
      <x:c r="AF706" s="30" t="str">
        <x:f>IF(ISNUMBER(AE706),U706/AE706,"")</x:f>
      </x:c>
      <x:c r="AG706" s="29" t="str">
        <x:f>""</x:f>
      </x:c>
      <x:c r="AH706" s="30" t="str">
        <x:f>IF(ISNUMBER(AG706),U706/AG706,"")</x:f>
      </x:c>
      <x:c r="AI706" s="3" t="str">
        <x:v>同年式・グレードの検証済み当時価格なし／登録年混在</x:v>
      </x:c>
      <x:c r="AJ706" s="3" t="str">
        <x:v>一覧価格/年式のみ</x:v>
      </x:c>
      <x:c r="AK706" s="3" t="str">
        <x:v>一覧の表示価格。年式は掲載年式。</x:v>
      </x:c>
      <x:c r="AL706" s="31" t="n">
        <x:f>IF(AND(J706&lt;='分析方法'!$B$7,OR(ISBLANK(O706),O706&gt;='分析方法'!$B$8),X706&lt;&gt;"売却済み表示"),1,0)</x:f>
        <x:v>1</x:v>
      </x:c>
      <x:c r="AM706" s="32" t="n">
        <x:f>IF(AL706=1,U706,"")</x:f>
        <x:v>575000</x:v>
      </x:c>
      <x:c r="AN706" s="33" t="str">
        <x:f>IF(AL706=1,AF706,"")</x:f>
      </x:c>
      <x:c r="AO706" s="31" t="n">
        <x:f>'分析方法'!$B$6-J706</x:f>
        <x:v>5</x:v>
      </x:c>
      <x:c r="AP706" s="3"/>
    </x:row>
    <x:row r="707" ht="22" customHeight="1">
      <x:c r="A707" s="3" t="str">
        <x:v>T2914743</x:v>
      </x:c>
      <x:c r="B707" s="7" t="d">
        <x:v>2026-10-08T00:00:00.000Z</x:v>
      </x:c>
      <x:c r="C707" s="3" t="str">
        <x:v>Taladrod</x:v>
      </x:c>
      <x:c r="D707" s="3" t="str">
        <x:v>Toyota</x:v>
      </x:c>
      <x:c r="E707" s="3" t="str">
        <x:v>日本</x:v>
      </x:c>
      <x:c r="F707" s="3" t="str">
        <x:v>Hilux Revo</x:v>
      </x:c>
      <x:c r="G707" s="3" t="str">
        <x:v>ICE</x:v>
      </x:c>
      <x:c r="H707" s="3" t="str">
        <x:v>Pickup</x:v>
      </x:c>
      <x:c r="I707" s="3" t="str">
        <x:v>Double cab</x:v>
      </x:c>
      <x:c r="J707" s="3" t="n">
        <x:v>2021</x:v>
      </x:c>
      <x:c r="K707" s="3" t="str">
        <x:v>2.4 ENTRY PRERUNNER DOUBLE CAB</x:v>
      </x:c>
      <x:c r="L707" s="3" t="str">
        <x:v>2.4 ENTRY PRERUNNER DOUBLE CAB</x:v>
      </x:c>
      <x:c r="M707" s="22"/>
      <x:c r="N707" s="22"/>
      <x:c r="O707" s="22"/>
      <x:c r="P707" s="3" t="str">
        <x:v>未掲載</x:v>
      </x:c>
      <x:c r="Q707" s="3" t="str">
        <x:v>未取得</x:v>
      </x:c>
      <x:c r="R707" s="3" t="str">
        <x:v>Unknown</x:v>
      </x:c>
      <x:c r="S707" s="3" t="str">
        <x:v>不明</x:v>
      </x:c>
      <x:c r="T707" s="3" t="str">
        <x:v>世代不明</x:v>
      </x:c>
      <x:c r="U707" s="28" t="n">
        <x:v>655000</x:v>
      </x:c>
      <x:c r="V707" s="28"/>
      <x:c r="W707" s="3" t="str">
        <x:v>事故・水没・SOH・保証残は未確認</x:v>
      </x:c>
      <x:c r="X707" s="3" t="str">
        <x:v>掲載中・在庫未確認</x:v>
      </x:c>
      <x:c r="Y707" s="3" t="str"/>
      <x:c r="Z707" s="27" t="str">
        <x:v>https://www.taladrod.com/w40/icar/cardet.aspx?cid=2914743</x:v>
      </x:c>
      <x:c r="AA707" s="3" t="str">
        <x:v>Taladrod個別広告ID／Carsome在庫ID</x:v>
      </x:c>
      <x:c r="AB707" s="3" t="str">
        <x:v>車台番号未取得／サイト間重複は未判定</x:v>
      </x:c>
      <x:c r="AC707" s="3" t="str">
        <x:v>税込区分未確認（一覧表示額）</x:v>
      </x:c>
      <x:c r="AD707" s="3" t="str"/>
      <x:c r="AE707" s="29" t="str">
        <x:f>""</x:f>
      </x:c>
      <x:c r="AF707" s="30" t="str">
        <x:f>IF(ISNUMBER(AE707),U707/AE707,"")</x:f>
      </x:c>
      <x:c r="AG707" s="29" t="str">
        <x:f>""</x:f>
      </x:c>
      <x:c r="AH707" s="30" t="str">
        <x:f>IF(ISNUMBER(AG707),U707/AG707,"")</x:f>
      </x:c>
      <x:c r="AI707" s="3" t="str">
        <x:v>同年式・グレードの検証済み当時価格なし／登録年混在</x:v>
      </x:c>
      <x:c r="AJ707" s="3" t="str">
        <x:v>一覧価格/年式のみ</x:v>
      </x:c>
      <x:c r="AK707" s="3" t="str">
        <x:v>一覧の表示価格。年式は掲載年式。</x:v>
      </x:c>
      <x:c r="AL707" s="31" t="n">
        <x:f>IF(AND(J707&lt;='分析方法'!$B$7,OR(ISBLANK(O707),O707&gt;='分析方法'!$B$8),X707&lt;&gt;"売却済み表示"),1,0)</x:f>
        <x:v>1</x:v>
      </x:c>
      <x:c r="AM707" s="32" t="n">
        <x:f>IF(AL707=1,U707,"")</x:f>
        <x:v>655000</x:v>
      </x:c>
      <x:c r="AN707" s="33" t="str">
        <x:f>IF(AL707=1,AF707,"")</x:f>
      </x:c>
      <x:c r="AO707" s="31" t="n">
        <x:f>'分析方法'!$B$6-J707</x:f>
        <x:v>5</x:v>
      </x:c>
      <x:c r="AP707" s="3"/>
    </x:row>
    <x:row r="708" ht="22" customHeight="1">
      <x:c r="A708" s="3" t="str">
        <x:v>T2915718</x:v>
      </x:c>
      <x:c r="B708" s="7" t="d">
        <x:v>2026-10-08T00:00:00.000Z</x:v>
      </x:c>
      <x:c r="C708" s="3" t="str">
        <x:v>Taladrod</x:v>
      </x:c>
      <x:c r="D708" s="3" t="str">
        <x:v>Toyota</x:v>
      </x:c>
      <x:c r="E708" s="3" t="str">
        <x:v>日本</x:v>
      </x:c>
      <x:c r="F708" s="3" t="str">
        <x:v>Hilux Revo</x:v>
      </x:c>
      <x:c r="G708" s="3" t="str">
        <x:v>ICE</x:v>
      </x:c>
      <x:c r="H708" s="3" t="str">
        <x:v>Pickup</x:v>
      </x:c>
      <x:c r="I708" s="3" t="str">
        <x:v>Double cab</x:v>
      </x:c>
      <x:c r="J708" s="3" t="n">
        <x:v>2021</x:v>
      </x:c>
      <x:c r="K708" s="3" t="str">
        <x:v>2.4 ENTRY PRERUNNER DOUBLE CAB</x:v>
      </x:c>
      <x:c r="L708" s="3" t="str">
        <x:v>2.4 ENTRY PRERUNNER DOUBLE CAB</x:v>
      </x:c>
      <x:c r="M708" s="22"/>
      <x:c r="N708" s="22"/>
      <x:c r="O708" s="22"/>
      <x:c r="P708" s="3" t="str">
        <x:v>未掲載</x:v>
      </x:c>
      <x:c r="Q708" s="3" t="str">
        <x:v>未取得</x:v>
      </x:c>
      <x:c r="R708" s="3" t="str">
        <x:v>Unknown</x:v>
      </x:c>
      <x:c r="S708" s="3" t="str">
        <x:v>不明</x:v>
      </x:c>
      <x:c r="T708" s="3" t="str">
        <x:v>世代不明</x:v>
      </x:c>
      <x:c r="U708" s="28" t="n">
        <x:v>565000</x:v>
      </x:c>
      <x:c r="V708" s="28"/>
      <x:c r="W708" s="3" t="str">
        <x:v>事故・水没・SOH・保証残は未確認</x:v>
      </x:c>
      <x:c r="X708" s="3" t="str">
        <x:v>掲載中・在庫未確認</x:v>
      </x:c>
      <x:c r="Y708" s="3" t="str"/>
      <x:c r="Z708" s="27" t="str">
        <x:v>https://www.taladrod.com/w40/icar/cardet.aspx?cid=2915718</x:v>
      </x:c>
      <x:c r="AA708" s="3" t="str">
        <x:v>Taladrod個別広告ID／Carsome在庫ID</x:v>
      </x:c>
      <x:c r="AB708" s="3" t="str">
        <x:v>車台番号未取得／サイト間重複は未判定</x:v>
      </x:c>
      <x:c r="AC708" s="3" t="str">
        <x:v>税込区分未確認（一覧表示額）</x:v>
      </x:c>
      <x:c r="AD708" s="3" t="str"/>
      <x:c r="AE708" s="29" t="str">
        <x:f>""</x:f>
      </x:c>
      <x:c r="AF708" s="30" t="str">
        <x:f>IF(ISNUMBER(AE708),U708/AE708,"")</x:f>
      </x:c>
      <x:c r="AG708" s="29" t="str">
        <x:f>""</x:f>
      </x:c>
      <x:c r="AH708" s="30" t="str">
        <x:f>IF(ISNUMBER(AG708),U708/AG708,"")</x:f>
      </x:c>
      <x:c r="AI708" s="3" t="str">
        <x:v>同年式・グレードの検証済み当時価格なし／登録年混在</x:v>
      </x:c>
      <x:c r="AJ708" s="3" t="str">
        <x:v>一覧価格/年式のみ</x:v>
      </x:c>
      <x:c r="AK708" s="3" t="str">
        <x:v>一覧の表示価格。年式は掲載年式。</x:v>
      </x:c>
      <x:c r="AL708" s="31" t="n">
        <x:f>IF(AND(J708&lt;='分析方法'!$B$7,OR(ISBLANK(O708),O708&gt;='分析方法'!$B$8),X708&lt;&gt;"売却済み表示"),1,0)</x:f>
        <x:v>1</x:v>
      </x:c>
      <x:c r="AM708" s="32" t="n">
        <x:f>IF(AL708=1,U708,"")</x:f>
        <x:v>565000</x:v>
      </x:c>
      <x:c r="AN708" s="33" t="str">
        <x:f>IF(AL708=1,AF708,"")</x:f>
      </x:c>
      <x:c r="AO708" s="31" t="n">
        <x:f>'分析方法'!$B$6-J708</x:f>
        <x:v>5</x:v>
      </x:c>
      <x:c r="AP708" s="3"/>
    </x:row>
    <x:row r="709" ht="22" customHeight="1">
      <x:c r="A709" s="3" t="str">
        <x:v>T2918084</x:v>
      </x:c>
      <x:c r="B709" s="7" t="d">
        <x:v>2026-10-08T00:00:00.000Z</x:v>
      </x:c>
      <x:c r="C709" s="3" t="str">
        <x:v>Taladrod</x:v>
      </x:c>
      <x:c r="D709" s="3" t="str">
        <x:v>Toyota</x:v>
      </x:c>
      <x:c r="E709" s="3" t="str">
        <x:v>日本</x:v>
      </x:c>
      <x:c r="F709" s="3" t="str">
        <x:v>Hilux Revo</x:v>
      </x:c>
      <x:c r="G709" s="3" t="str">
        <x:v>ICE</x:v>
      </x:c>
      <x:c r="H709" s="3" t="str">
        <x:v>Pickup</x:v>
      </x:c>
      <x:c r="I709" s="3" t="str">
        <x:v>Double cab</x:v>
      </x:c>
      <x:c r="J709" s="3" t="n">
        <x:v>2021</x:v>
      </x:c>
      <x:c r="K709" s="3" t="str">
        <x:v>2.4 ENTRY PRERUNNER DOUBLE CAB</x:v>
      </x:c>
      <x:c r="L709" s="3" t="str">
        <x:v>2.4 ENTRY PRERUNNER DOUBLE CAB</x:v>
      </x:c>
      <x:c r="M709" s="22"/>
      <x:c r="N709" s="22"/>
      <x:c r="O709" s="22"/>
      <x:c r="P709" s="3" t="str">
        <x:v>未掲載</x:v>
      </x:c>
      <x:c r="Q709" s="3" t="str">
        <x:v>未取得</x:v>
      </x:c>
      <x:c r="R709" s="3" t="str">
        <x:v>Unknown</x:v>
      </x:c>
      <x:c r="S709" s="3" t="str">
        <x:v>不明</x:v>
      </x:c>
      <x:c r="T709" s="3" t="str">
        <x:v>世代不明</x:v>
      </x:c>
      <x:c r="U709" s="28" t="n">
        <x:v>659000</x:v>
      </x:c>
      <x:c r="V709" s="28"/>
      <x:c r="W709" s="3" t="str">
        <x:v>事故・水没・SOH・保証残は未確認</x:v>
      </x:c>
      <x:c r="X709" s="3" t="str">
        <x:v>掲載中・在庫未確認</x:v>
      </x:c>
      <x:c r="Y709" s="3" t="str"/>
      <x:c r="Z709" s="27" t="str">
        <x:v>https://www.taladrod.com/w40/icar/cardet.aspx?cid=2918084</x:v>
      </x:c>
      <x:c r="AA709" s="3" t="str">
        <x:v>Taladrod個別広告ID／Carsome在庫ID</x:v>
      </x:c>
      <x:c r="AB709" s="3" t="str">
        <x:v>車台番号未取得／サイト間重複は未判定</x:v>
      </x:c>
      <x:c r="AC709" s="3" t="str">
        <x:v>税込区分未確認（一覧表示額）</x:v>
      </x:c>
      <x:c r="AD709" s="3" t="str"/>
      <x:c r="AE709" s="29" t="str">
        <x:f>""</x:f>
      </x:c>
      <x:c r="AF709" s="30" t="str">
        <x:f>IF(ISNUMBER(AE709),U709/AE709,"")</x:f>
      </x:c>
      <x:c r="AG709" s="29" t="str">
        <x:f>""</x:f>
      </x:c>
      <x:c r="AH709" s="30" t="str">
        <x:f>IF(ISNUMBER(AG709),U709/AG709,"")</x:f>
      </x:c>
      <x:c r="AI709" s="3" t="str">
        <x:v>同年式・グレードの検証済み当時価格なし／登録年混在</x:v>
      </x:c>
      <x:c r="AJ709" s="3" t="str">
        <x:v>一覧価格/年式のみ</x:v>
      </x:c>
      <x:c r="AK709" s="3" t="str">
        <x:v>一覧の表示価格。年式は掲載年式。</x:v>
      </x:c>
      <x:c r="AL709" s="31" t="n">
        <x:f>IF(AND(J709&lt;='分析方法'!$B$7,OR(ISBLANK(O709),O709&gt;='分析方法'!$B$8),X709&lt;&gt;"売却済み表示"),1,0)</x:f>
        <x:v>1</x:v>
      </x:c>
      <x:c r="AM709" s="32" t="n">
        <x:f>IF(AL709=1,U709,"")</x:f>
        <x:v>659000</x:v>
      </x:c>
      <x:c r="AN709" s="33" t="str">
        <x:f>IF(AL709=1,AF709,"")</x:f>
      </x:c>
      <x:c r="AO709" s="31" t="n">
        <x:f>'分析方法'!$B$6-J709</x:f>
        <x:v>5</x:v>
      </x:c>
      <x:c r="AP709" s="3"/>
    </x:row>
    <x:row r="710" ht="22" customHeight="1">
      <x:c r="A710" s="3" t="str">
        <x:v>T2888274</x:v>
      </x:c>
      <x:c r="B710" s="7" t="d">
        <x:v>2026-10-08T00:00:00.000Z</x:v>
      </x:c>
      <x:c r="C710" s="3" t="str">
        <x:v>Taladrod</x:v>
      </x:c>
      <x:c r="D710" s="3" t="str">
        <x:v>Toyota</x:v>
      </x:c>
      <x:c r="E710" s="3" t="str">
        <x:v>日本</x:v>
      </x:c>
      <x:c r="F710" s="3" t="str">
        <x:v>Hilux Revo</x:v>
      </x:c>
      <x:c r="G710" s="3" t="str">
        <x:v>ICE</x:v>
      </x:c>
      <x:c r="H710" s="3" t="str">
        <x:v>Pickup</x:v>
      </x:c>
      <x:c r="I710" s="3" t="str">
        <x:v>Smart cab</x:v>
      </x:c>
      <x:c r="J710" s="3" t="n">
        <x:v>2021</x:v>
      </x:c>
      <x:c r="K710" s="3" t="str">
        <x:v>2.4 ENTRY PRERUNNER SMART CAB</x:v>
      </x:c>
      <x:c r="L710" s="3" t="str">
        <x:v>2.4 ENTRY PRERUNNER SMART CAB</x:v>
      </x:c>
      <x:c r="M710" s="22"/>
      <x:c r="N710" s="22"/>
      <x:c r="O710" s="22"/>
      <x:c r="P710" s="3" t="str">
        <x:v>未掲載</x:v>
      </x:c>
      <x:c r="Q710" s="3" t="str">
        <x:v>未取得</x:v>
      </x:c>
      <x:c r="R710" s="3" t="str">
        <x:v>Unknown</x:v>
      </x:c>
      <x:c r="S710" s="3" t="str">
        <x:v>不明</x:v>
      </x:c>
      <x:c r="T710" s="3" t="str">
        <x:v>世代不明</x:v>
      </x:c>
      <x:c r="U710" s="28" t="n">
        <x:v>555000</x:v>
      </x:c>
      <x:c r="V710" s="28"/>
      <x:c r="W710" s="3" t="str">
        <x:v>事故・水没・SOH・保証残は未確認</x:v>
      </x:c>
      <x:c r="X710" s="3" t="str">
        <x:v>掲載中・在庫未確認</x:v>
      </x:c>
      <x:c r="Y710" s="3" t="str"/>
      <x:c r="Z710" s="27" t="str">
        <x:v>https://www.taladrod.com/w40/icar/cardet.aspx?cid=2888274</x:v>
      </x:c>
      <x:c r="AA710" s="3" t="str">
        <x:v>Taladrod個別広告ID／Carsome在庫ID</x:v>
      </x:c>
      <x:c r="AB710" s="3" t="str">
        <x:v>車台番号未取得／サイト間重複は未判定</x:v>
      </x:c>
      <x:c r="AC710" s="3" t="str">
        <x:v>税込区分未確認（一覧表示額）</x:v>
      </x:c>
      <x:c r="AD710" s="3" t="str"/>
      <x:c r="AE710" s="29" t="str">
        <x:f>""</x:f>
      </x:c>
      <x:c r="AF710" s="30" t="str">
        <x:f>IF(ISNUMBER(AE710),U710/AE710,"")</x:f>
      </x:c>
      <x:c r="AG710" s="29" t="str">
        <x:f>""</x:f>
      </x:c>
      <x:c r="AH710" s="30" t="str">
        <x:f>IF(ISNUMBER(AG710),U710/AG710,"")</x:f>
      </x:c>
      <x:c r="AI710" s="3" t="str">
        <x:v>同年式・グレードの検証済み当時価格なし／登録年混在</x:v>
      </x:c>
      <x:c r="AJ710" s="3" t="str">
        <x:v>一覧価格/年式のみ</x:v>
      </x:c>
      <x:c r="AK710" s="3" t="str">
        <x:v>一覧の表示価格。年式は掲載年式。</x:v>
      </x:c>
      <x:c r="AL710" s="31" t="n">
        <x:f>IF(AND(J710&lt;='分析方法'!$B$7,OR(ISBLANK(O710),O710&gt;='分析方法'!$B$8),X710&lt;&gt;"売却済み表示"),1,0)</x:f>
        <x:v>1</x:v>
      </x:c>
      <x:c r="AM710" s="32" t="n">
        <x:f>IF(AL710=1,U710,"")</x:f>
        <x:v>555000</x:v>
      </x:c>
      <x:c r="AN710" s="33" t="str">
        <x:f>IF(AL710=1,AF710,"")</x:f>
      </x:c>
      <x:c r="AO710" s="31" t="n">
        <x:f>'分析方法'!$B$6-J710</x:f>
        <x:v>5</x:v>
      </x:c>
      <x:c r="AP710" s="3"/>
    </x:row>
    <x:row r="711" ht="22" customHeight="1">
      <x:c r="A711" s="3" t="str">
        <x:v>T2909850</x:v>
      </x:c>
      <x:c r="B711" s="7" t="d">
        <x:v>2026-10-08T00:00:00.000Z</x:v>
      </x:c>
      <x:c r="C711" s="3" t="str">
        <x:v>Taladrod</x:v>
      </x:c>
      <x:c r="D711" s="3" t="str">
        <x:v>Toyota</x:v>
      </x:c>
      <x:c r="E711" s="3" t="str">
        <x:v>日本</x:v>
      </x:c>
      <x:c r="F711" s="3" t="str">
        <x:v>Hilux Revo</x:v>
      </x:c>
      <x:c r="G711" s="3" t="str">
        <x:v>ICE</x:v>
      </x:c>
      <x:c r="H711" s="3" t="str">
        <x:v>Pickup</x:v>
      </x:c>
      <x:c r="I711" s="3" t="str">
        <x:v>Smart cab</x:v>
      </x:c>
      <x:c r="J711" s="3" t="n">
        <x:v>2021</x:v>
      </x:c>
      <x:c r="K711" s="3" t="str">
        <x:v>2.4 ENTRY PRERUNNER SMART CAB</x:v>
      </x:c>
      <x:c r="L711" s="3" t="str">
        <x:v>2.4 ENTRY PRERUNNER SMART CAB</x:v>
      </x:c>
      <x:c r="M711" s="22"/>
      <x:c r="N711" s="22"/>
      <x:c r="O711" s="22"/>
      <x:c r="P711" s="3" t="str">
        <x:v>未掲載</x:v>
      </x:c>
      <x:c r="Q711" s="3" t="str">
        <x:v>未取得</x:v>
      </x:c>
      <x:c r="R711" s="3" t="str">
        <x:v>Unknown</x:v>
      </x:c>
      <x:c r="S711" s="3" t="str">
        <x:v>不明</x:v>
      </x:c>
      <x:c r="T711" s="3" t="str">
        <x:v>世代不明</x:v>
      </x:c>
      <x:c r="U711" s="28" t="n">
        <x:v>449000</x:v>
      </x:c>
      <x:c r="V711" s="28"/>
      <x:c r="W711" s="3" t="str">
        <x:v>事故・水没・SOH・保証残は未確認</x:v>
      </x:c>
      <x:c r="X711" s="3" t="str">
        <x:v>掲載中・在庫未確認</x:v>
      </x:c>
      <x:c r="Y711" s="3" t="str"/>
      <x:c r="Z711" s="27" t="str">
        <x:v>https://www.taladrod.com/w40/icar/cardet.aspx?cid=2909850</x:v>
      </x:c>
      <x:c r="AA711" s="3" t="str">
        <x:v>Taladrod個別広告ID／Carsome在庫ID</x:v>
      </x:c>
      <x:c r="AB711" s="3" t="str">
        <x:v>車台番号未取得／サイト間重複は未判定</x:v>
      </x:c>
      <x:c r="AC711" s="3" t="str">
        <x:v>税込区分未確認（一覧表示額）</x:v>
      </x:c>
      <x:c r="AD711" s="3" t="str"/>
      <x:c r="AE711" s="29" t="str">
        <x:f>""</x:f>
      </x:c>
      <x:c r="AF711" s="30" t="str">
        <x:f>IF(ISNUMBER(AE711),U711/AE711,"")</x:f>
      </x:c>
      <x:c r="AG711" s="29" t="str">
        <x:f>""</x:f>
      </x:c>
      <x:c r="AH711" s="30" t="str">
        <x:f>IF(ISNUMBER(AG711),U711/AG711,"")</x:f>
      </x:c>
      <x:c r="AI711" s="3" t="str">
        <x:v>同年式・グレードの検証済み当時価格なし／登録年混在</x:v>
      </x:c>
      <x:c r="AJ711" s="3" t="str">
        <x:v>一覧価格/年式のみ</x:v>
      </x:c>
      <x:c r="AK711" s="3" t="str">
        <x:v>一覧の表示価格。年式は掲載年式。</x:v>
      </x:c>
      <x:c r="AL711" s="31" t="n">
        <x:f>IF(AND(J711&lt;='分析方法'!$B$7,OR(ISBLANK(O711),O711&gt;='分析方法'!$B$8),X711&lt;&gt;"売却済み表示"),1,0)</x:f>
        <x:v>1</x:v>
      </x:c>
      <x:c r="AM711" s="32" t="n">
        <x:f>IF(AL711=1,U711,"")</x:f>
        <x:v>449000</x:v>
      </x:c>
      <x:c r="AN711" s="33" t="str">
        <x:f>IF(AL711=1,AF711,"")</x:f>
      </x:c>
      <x:c r="AO711" s="31" t="n">
        <x:f>'分析方法'!$B$6-J711</x:f>
        <x:v>5</x:v>
      </x:c>
      <x:c r="AP711" s="3"/>
    </x:row>
    <x:row r="712" ht="22" customHeight="1">
      <x:c r="A712" s="3" t="str">
        <x:v>T2913514</x:v>
      </x:c>
      <x:c r="B712" s="7" t="d">
        <x:v>2026-10-08T00:00:00.000Z</x:v>
      </x:c>
      <x:c r="C712" s="3" t="str">
        <x:v>Taladrod</x:v>
      </x:c>
      <x:c r="D712" s="3" t="str">
        <x:v>Toyota</x:v>
      </x:c>
      <x:c r="E712" s="3" t="str">
        <x:v>日本</x:v>
      </x:c>
      <x:c r="F712" s="3" t="str">
        <x:v>Hilux Revo</x:v>
      </x:c>
      <x:c r="G712" s="3" t="str">
        <x:v>ICE</x:v>
      </x:c>
      <x:c r="H712" s="3" t="str">
        <x:v>Pickup</x:v>
      </x:c>
      <x:c r="I712" s="3" t="str">
        <x:v>Smart cab</x:v>
      </x:c>
      <x:c r="J712" s="3" t="n">
        <x:v>2021</x:v>
      </x:c>
      <x:c r="K712" s="3" t="str">
        <x:v>2.4 ENTRY PRERUNNER SMART CAB</x:v>
      </x:c>
      <x:c r="L712" s="3" t="str">
        <x:v>2.4 ENTRY PRERUNNER SMART CAB</x:v>
      </x:c>
      <x:c r="M712" s="22"/>
      <x:c r="N712" s="22"/>
      <x:c r="O712" s="22"/>
      <x:c r="P712" s="3" t="str">
        <x:v>未掲載</x:v>
      </x:c>
      <x:c r="Q712" s="3" t="str">
        <x:v>未取得</x:v>
      </x:c>
      <x:c r="R712" s="3" t="str">
        <x:v>Unknown</x:v>
      </x:c>
      <x:c r="S712" s="3" t="str">
        <x:v>不明</x:v>
      </x:c>
      <x:c r="T712" s="3" t="str">
        <x:v>世代不明</x:v>
      </x:c>
      <x:c r="U712" s="28" t="n">
        <x:v>488000</x:v>
      </x:c>
      <x:c r="V712" s="28"/>
      <x:c r="W712" s="3" t="str">
        <x:v>事故・水没・SOH・保証残は未確認</x:v>
      </x:c>
      <x:c r="X712" s="3" t="str">
        <x:v>掲載中・在庫未確認</x:v>
      </x:c>
      <x:c r="Y712" s="3" t="str"/>
      <x:c r="Z712" s="27" t="str">
        <x:v>https://www.taladrod.com/w40/icar/cardet.aspx?cid=2913514</x:v>
      </x:c>
      <x:c r="AA712" s="3" t="str">
        <x:v>Taladrod個別広告ID／Carsome在庫ID</x:v>
      </x:c>
      <x:c r="AB712" s="3" t="str">
        <x:v>車台番号未取得／サイト間重複は未判定</x:v>
      </x:c>
      <x:c r="AC712" s="3" t="str">
        <x:v>税込区分未確認（一覧表示額）</x:v>
      </x:c>
      <x:c r="AD712" s="3" t="str"/>
      <x:c r="AE712" s="29" t="str">
        <x:f>""</x:f>
      </x:c>
      <x:c r="AF712" s="30" t="str">
        <x:f>IF(ISNUMBER(AE712),U712/AE712,"")</x:f>
      </x:c>
      <x:c r="AG712" s="29" t="str">
        <x:f>""</x:f>
      </x:c>
      <x:c r="AH712" s="30" t="str">
        <x:f>IF(ISNUMBER(AG712),U712/AG712,"")</x:f>
      </x:c>
      <x:c r="AI712" s="3" t="str">
        <x:v>同年式・グレードの検証済み当時価格なし／登録年混在</x:v>
      </x:c>
      <x:c r="AJ712" s="3" t="str">
        <x:v>一覧価格/年式のみ</x:v>
      </x:c>
      <x:c r="AK712" s="3" t="str">
        <x:v>一覧の表示価格。年式は掲載年式。</x:v>
      </x:c>
      <x:c r="AL712" s="31" t="n">
        <x:f>IF(AND(J712&lt;='分析方法'!$B$7,OR(ISBLANK(O712),O712&gt;='分析方法'!$B$8),X712&lt;&gt;"売却済み表示"),1,0)</x:f>
        <x:v>1</x:v>
      </x:c>
      <x:c r="AM712" s="32" t="n">
        <x:f>IF(AL712=1,U712,"")</x:f>
        <x:v>488000</x:v>
      </x:c>
      <x:c r="AN712" s="33" t="str">
        <x:f>IF(AL712=1,AF712,"")</x:f>
      </x:c>
      <x:c r="AO712" s="31" t="n">
        <x:f>'分析方法'!$B$6-J712</x:f>
        <x:v>5</x:v>
      </x:c>
      <x:c r="AP712" s="3"/>
    </x:row>
    <x:row r="713" ht="22" customHeight="1">
      <x:c r="A713" s="3" t="str">
        <x:v>T2887495</x:v>
      </x:c>
      <x:c r="B713" s="7" t="d">
        <x:v>2026-10-08T00:00:00.000Z</x:v>
      </x:c>
      <x:c r="C713" s="3" t="str">
        <x:v>Taladrod</x:v>
      </x:c>
      <x:c r="D713" s="3" t="str">
        <x:v>Toyota</x:v>
      </x:c>
      <x:c r="E713" s="3" t="str">
        <x:v>日本</x:v>
      </x:c>
      <x:c r="F713" s="3" t="str">
        <x:v>Hilux Revo</x:v>
      </x:c>
      <x:c r="G713" s="3" t="str">
        <x:v>ICE</x:v>
      </x:c>
      <x:c r="H713" s="3" t="str">
        <x:v>Pickup</x:v>
      </x:c>
      <x:c r="I713" s="3" t="str">
        <x:v>Single cab</x:v>
      </x:c>
      <x:c r="J713" s="3" t="n">
        <x:v>2021</x:v>
      </x:c>
      <x:c r="K713" s="3" t="str">
        <x:v>2.4 ENTRY STANDARD CAB</x:v>
      </x:c>
      <x:c r="L713" s="3" t="str">
        <x:v>2.4 ENTRY STANDARD CAB</x:v>
      </x:c>
      <x:c r="M713" s="22"/>
      <x:c r="N713" s="22"/>
      <x:c r="O713" s="22"/>
      <x:c r="P713" s="3" t="str">
        <x:v>未掲載</x:v>
      </x:c>
      <x:c r="Q713" s="3" t="str">
        <x:v>未取得</x:v>
      </x:c>
      <x:c r="R713" s="3" t="str">
        <x:v>Unknown</x:v>
      </x:c>
      <x:c r="S713" s="3" t="str">
        <x:v>不明</x:v>
      </x:c>
      <x:c r="T713" s="3" t="str">
        <x:v>世代不明</x:v>
      </x:c>
      <x:c r="U713" s="28" t="n">
        <x:v>309000</x:v>
      </x:c>
      <x:c r="V713" s="28"/>
      <x:c r="W713" s="3" t="str">
        <x:v>事故・水没・SOH・保証残は未確認</x:v>
      </x:c>
      <x:c r="X713" s="3" t="str">
        <x:v>掲載中・在庫未確認</x:v>
      </x:c>
      <x:c r="Y713" s="3" t="str"/>
      <x:c r="Z713" s="27" t="str">
        <x:v>https://www.taladrod.com/w40/icar/cardet.aspx?cid=2887495</x:v>
      </x:c>
      <x:c r="AA713" s="3" t="str">
        <x:v>Taladrod個別広告ID／Carsome在庫ID</x:v>
      </x:c>
      <x:c r="AB713" s="3" t="str">
        <x:v>車台番号未取得／サイト間重複は未判定</x:v>
      </x:c>
      <x:c r="AC713" s="3" t="str">
        <x:v>税込区分未確認（一覧表示額）</x:v>
      </x:c>
      <x:c r="AD713" s="3" t="str"/>
      <x:c r="AE713" s="29" t="str">
        <x:f>""</x:f>
      </x:c>
      <x:c r="AF713" s="30" t="str">
        <x:f>IF(ISNUMBER(AE713),U713/AE713,"")</x:f>
      </x:c>
      <x:c r="AG713" s="29" t="str">
        <x:f>""</x:f>
      </x:c>
      <x:c r="AH713" s="30" t="str">
        <x:f>IF(ISNUMBER(AG713),U713/AG713,"")</x:f>
      </x:c>
      <x:c r="AI713" s="3" t="str">
        <x:v>同年式・グレードの検証済み当時価格なし／登録年混在</x:v>
      </x:c>
      <x:c r="AJ713" s="3" t="str">
        <x:v>一覧価格/年式のみ</x:v>
      </x:c>
      <x:c r="AK713" s="3" t="str">
        <x:v>一覧の表示価格。年式は掲載年式。</x:v>
      </x:c>
      <x:c r="AL713" s="31" t="n">
        <x:f>IF(AND(J713&lt;='分析方法'!$B$7,OR(ISBLANK(O713),O713&gt;='分析方法'!$B$8),X713&lt;&gt;"売却済み表示"),1,0)</x:f>
        <x:v>1</x:v>
      </x:c>
      <x:c r="AM713" s="32" t="n">
        <x:f>IF(AL713=1,U713,"")</x:f>
        <x:v>309000</x:v>
      </x:c>
      <x:c r="AN713" s="33" t="str">
        <x:f>IF(AL713=1,AF713,"")</x:f>
      </x:c>
      <x:c r="AO713" s="31" t="n">
        <x:f>'分析方法'!$B$6-J713</x:f>
        <x:v>5</x:v>
      </x:c>
      <x:c r="AP713" s="3"/>
    </x:row>
    <x:row r="714" ht="22" customHeight="1">
      <x:c r="A714" s="3" t="str">
        <x:v>T2891685</x:v>
      </x:c>
      <x:c r="B714" s="7" t="d">
        <x:v>2026-10-08T00:00:00.000Z</x:v>
      </x:c>
      <x:c r="C714" s="3" t="str">
        <x:v>Taladrod</x:v>
      </x:c>
      <x:c r="D714" s="3" t="str">
        <x:v>Toyota</x:v>
      </x:c>
      <x:c r="E714" s="3" t="str">
        <x:v>日本</x:v>
      </x:c>
      <x:c r="F714" s="3" t="str">
        <x:v>Hilux Revo</x:v>
      </x:c>
      <x:c r="G714" s="3" t="str">
        <x:v>ICE</x:v>
      </x:c>
      <x:c r="H714" s="3" t="str">
        <x:v>Pickup</x:v>
      </x:c>
      <x:c r="I714" s="3" t="str">
        <x:v>Single cab</x:v>
      </x:c>
      <x:c r="J714" s="3" t="n">
        <x:v>2021</x:v>
      </x:c>
      <x:c r="K714" s="3" t="str">
        <x:v>2.4 ENTRY STANDARD CAB</x:v>
      </x:c>
      <x:c r="L714" s="3" t="str">
        <x:v>2.4 ENTRY STANDARD CAB</x:v>
      </x:c>
      <x:c r="M714" s="22"/>
      <x:c r="N714" s="22"/>
      <x:c r="O714" s="22"/>
      <x:c r="P714" s="3" t="str">
        <x:v>未掲載</x:v>
      </x:c>
      <x:c r="Q714" s="3" t="str">
        <x:v>未取得</x:v>
      </x:c>
      <x:c r="R714" s="3" t="str">
        <x:v>Unknown</x:v>
      </x:c>
      <x:c r="S714" s="3" t="str">
        <x:v>不明</x:v>
      </x:c>
      <x:c r="T714" s="3" t="str">
        <x:v>世代不明</x:v>
      </x:c>
      <x:c r="U714" s="28" t="n">
        <x:v>344000</x:v>
      </x:c>
      <x:c r="V714" s="28"/>
      <x:c r="W714" s="3" t="str">
        <x:v>事故・水没・SOH・保証残は未確認</x:v>
      </x:c>
      <x:c r="X714" s="3" t="str">
        <x:v>掲載中・在庫未確認</x:v>
      </x:c>
      <x:c r="Y714" s="3" t="str"/>
      <x:c r="Z714" s="27" t="str">
        <x:v>https://www.taladrod.com/w40/icar/cardet.aspx?cid=2891685</x:v>
      </x:c>
      <x:c r="AA714" s="3" t="str">
        <x:v>Taladrod個別広告ID／Carsome在庫ID</x:v>
      </x:c>
      <x:c r="AB714" s="3" t="str">
        <x:v>車台番号未取得／サイト間重複は未判定</x:v>
      </x:c>
      <x:c r="AC714" s="3" t="str">
        <x:v>税込区分未確認（一覧表示額）</x:v>
      </x:c>
      <x:c r="AD714" s="3" t="str"/>
      <x:c r="AE714" s="29" t="str">
        <x:f>""</x:f>
      </x:c>
      <x:c r="AF714" s="30" t="str">
        <x:f>IF(ISNUMBER(AE714),U714/AE714,"")</x:f>
      </x:c>
      <x:c r="AG714" s="29" t="str">
        <x:f>""</x:f>
      </x:c>
      <x:c r="AH714" s="30" t="str">
        <x:f>IF(ISNUMBER(AG714),U714/AG714,"")</x:f>
      </x:c>
      <x:c r="AI714" s="3" t="str">
        <x:v>同年式・グレードの検証済み当時価格なし／登録年混在</x:v>
      </x:c>
      <x:c r="AJ714" s="3" t="str">
        <x:v>一覧価格/年式のみ</x:v>
      </x:c>
      <x:c r="AK714" s="3" t="str">
        <x:v>一覧の表示価格。年式は掲載年式。</x:v>
      </x:c>
      <x:c r="AL714" s="31" t="n">
        <x:f>IF(AND(J714&lt;='分析方法'!$B$7,OR(ISBLANK(O714),O714&gt;='分析方法'!$B$8),X714&lt;&gt;"売却済み表示"),1,0)</x:f>
        <x:v>1</x:v>
      </x:c>
      <x:c r="AM714" s="32" t="n">
        <x:f>IF(AL714=1,U714,"")</x:f>
        <x:v>344000</x:v>
      </x:c>
      <x:c r="AN714" s="33" t="str">
        <x:f>IF(AL714=1,AF714,"")</x:f>
      </x:c>
      <x:c r="AO714" s="31" t="n">
        <x:f>'分析方法'!$B$6-J714</x:f>
        <x:v>5</x:v>
      </x:c>
      <x:c r="AP714" s="3"/>
    </x:row>
    <x:row r="715" ht="22" customHeight="1">
      <x:c r="A715" s="3" t="str">
        <x:v>T2893480</x:v>
      </x:c>
      <x:c r="B715" s="7" t="d">
        <x:v>2026-10-08T00:00:00.000Z</x:v>
      </x:c>
      <x:c r="C715" s="3" t="str">
        <x:v>Taladrod</x:v>
      </x:c>
      <x:c r="D715" s="3" t="str">
        <x:v>Toyota</x:v>
      </x:c>
      <x:c r="E715" s="3" t="str">
        <x:v>日本</x:v>
      </x:c>
      <x:c r="F715" s="3" t="str">
        <x:v>Hilux Revo</x:v>
      </x:c>
      <x:c r="G715" s="3" t="str">
        <x:v>ICE</x:v>
      </x:c>
      <x:c r="H715" s="3" t="str">
        <x:v>Pickup</x:v>
      </x:c>
      <x:c r="I715" s="3" t="str">
        <x:v>Single cab</x:v>
      </x:c>
      <x:c r="J715" s="3" t="n">
        <x:v>2021</x:v>
      </x:c>
      <x:c r="K715" s="3" t="str">
        <x:v>2.4 ENTRY STANDARD CAB</x:v>
      </x:c>
      <x:c r="L715" s="3" t="str">
        <x:v>2.4 ENTRY STANDARD CAB</x:v>
      </x:c>
      <x:c r="M715" s="22"/>
      <x:c r="N715" s="22"/>
      <x:c r="O715" s="22"/>
      <x:c r="P715" s="3" t="str">
        <x:v>未掲載</x:v>
      </x:c>
      <x:c r="Q715" s="3" t="str">
        <x:v>未取得</x:v>
      </x:c>
      <x:c r="R715" s="3" t="str">
        <x:v>Unknown</x:v>
      </x:c>
      <x:c r="S715" s="3" t="str">
        <x:v>不明</x:v>
      </x:c>
      <x:c r="T715" s="3" t="str">
        <x:v>世代不明</x:v>
      </x:c>
      <x:c r="U715" s="28" t="n">
        <x:v>334000</x:v>
      </x:c>
      <x:c r="V715" s="28"/>
      <x:c r="W715" s="3" t="str">
        <x:v>事故・水没・SOH・保証残は未確認</x:v>
      </x:c>
      <x:c r="X715" s="3" t="str">
        <x:v>掲載中・在庫未確認</x:v>
      </x:c>
      <x:c r="Y715" s="3" t="str"/>
      <x:c r="Z715" s="27" t="str">
        <x:v>https://www.taladrod.com/w40/icar/cardet.aspx?cid=2893480</x:v>
      </x:c>
      <x:c r="AA715" s="3" t="str">
        <x:v>Taladrod個別広告ID／Carsome在庫ID</x:v>
      </x:c>
      <x:c r="AB715" s="3" t="str">
        <x:v>車台番号未取得／サイト間重複は未判定</x:v>
      </x:c>
      <x:c r="AC715" s="3" t="str">
        <x:v>税込区分未確認（一覧表示額）</x:v>
      </x:c>
      <x:c r="AD715" s="3" t="str"/>
      <x:c r="AE715" s="29" t="str">
        <x:f>""</x:f>
      </x:c>
      <x:c r="AF715" s="30" t="str">
        <x:f>IF(ISNUMBER(AE715),U715/AE715,"")</x:f>
      </x:c>
      <x:c r="AG715" s="29" t="str">
        <x:f>""</x:f>
      </x:c>
      <x:c r="AH715" s="30" t="str">
        <x:f>IF(ISNUMBER(AG715),U715/AG715,"")</x:f>
      </x:c>
      <x:c r="AI715" s="3" t="str">
        <x:v>同年式・グレードの検証済み当時価格なし／登録年混在</x:v>
      </x:c>
      <x:c r="AJ715" s="3" t="str">
        <x:v>一覧価格/年式のみ</x:v>
      </x:c>
      <x:c r="AK715" s="3" t="str">
        <x:v>一覧の表示価格。年式は掲載年式。</x:v>
      </x:c>
      <x:c r="AL715" s="31" t="n">
        <x:f>IF(AND(J715&lt;='分析方法'!$B$7,OR(ISBLANK(O715),O715&gt;='分析方法'!$B$8),X715&lt;&gt;"売却済み表示"),1,0)</x:f>
        <x:v>1</x:v>
      </x:c>
      <x:c r="AM715" s="32" t="n">
        <x:f>IF(AL715=1,U715,"")</x:f>
        <x:v>334000</x:v>
      </x:c>
      <x:c r="AN715" s="33" t="str">
        <x:f>IF(AL715=1,AF715,"")</x:f>
      </x:c>
      <x:c r="AO715" s="31" t="n">
        <x:f>'分析方法'!$B$6-J715</x:f>
        <x:v>5</x:v>
      </x:c>
      <x:c r="AP715" s="3"/>
    </x:row>
    <x:row r="716" ht="22" customHeight="1">
      <x:c r="A716" s="3" t="str">
        <x:v>T2900169</x:v>
      </x:c>
      <x:c r="B716" s="7" t="d">
        <x:v>2026-10-08T00:00:00.000Z</x:v>
      </x:c>
      <x:c r="C716" s="3" t="str">
        <x:v>Taladrod</x:v>
      </x:c>
      <x:c r="D716" s="3" t="str">
        <x:v>Toyota</x:v>
      </x:c>
      <x:c r="E716" s="3" t="str">
        <x:v>日本</x:v>
      </x:c>
      <x:c r="F716" s="3" t="str">
        <x:v>Hilux Revo</x:v>
      </x:c>
      <x:c r="G716" s="3" t="str">
        <x:v>ICE</x:v>
      </x:c>
      <x:c r="H716" s="3" t="str">
        <x:v>Pickup</x:v>
      </x:c>
      <x:c r="I716" s="3" t="str">
        <x:v>Single cab</x:v>
      </x:c>
      <x:c r="J716" s="3" t="n">
        <x:v>2021</x:v>
      </x:c>
      <x:c r="K716" s="3" t="str">
        <x:v>2.4 ENTRY STANDARD CAB</x:v>
      </x:c>
      <x:c r="L716" s="3" t="str">
        <x:v>2.4 ENTRY STANDARD CAB</x:v>
      </x:c>
      <x:c r="M716" s="22"/>
      <x:c r="N716" s="22"/>
      <x:c r="O716" s="22"/>
      <x:c r="P716" s="3" t="str">
        <x:v>未掲載</x:v>
      </x:c>
      <x:c r="Q716" s="3" t="str">
        <x:v>未取得</x:v>
      </x:c>
      <x:c r="R716" s="3" t="str">
        <x:v>Unknown</x:v>
      </x:c>
      <x:c r="S716" s="3" t="str">
        <x:v>不明</x:v>
      </x:c>
      <x:c r="T716" s="3" t="str">
        <x:v>世代不明</x:v>
      </x:c>
      <x:c r="U716" s="28" t="n">
        <x:v>429000</x:v>
      </x:c>
      <x:c r="V716" s="28"/>
      <x:c r="W716" s="3" t="str">
        <x:v>事故・水没・SOH・保証残は未確認</x:v>
      </x:c>
      <x:c r="X716" s="3" t="str">
        <x:v>掲載中・在庫未確認</x:v>
      </x:c>
      <x:c r="Y716" s="3" t="str"/>
      <x:c r="Z716" s="27" t="str">
        <x:v>https://www.taladrod.com/w40/icar/cardet.aspx?cid=2900169</x:v>
      </x:c>
      <x:c r="AA716" s="3" t="str">
        <x:v>Taladrod個別広告ID／Carsome在庫ID</x:v>
      </x:c>
      <x:c r="AB716" s="3" t="str">
        <x:v>車台番号未取得／サイト間重複は未判定</x:v>
      </x:c>
      <x:c r="AC716" s="3" t="str">
        <x:v>税込区分未確認（一覧表示額）</x:v>
      </x:c>
      <x:c r="AD716" s="3" t="str"/>
      <x:c r="AE716" s="29" t="str">
        <x:f>""</x:f>
      </x:c>
      <x:c r="AF716" s="30" t="str">
        <x:f>IF(ISNUMBER(AE716),U716/AE716,"")</x:f>
      </x:c>
      <x:c r="AG716" s="29" t="str">
        <x:f>""</x:f>
      </x:c>
      <x:c r="AH716" s="30" t="str">
        <x:f>IF(ISNUMBER(AG716),U716/AG716,"")</x:f>
      </x:c>
      <x:c r="AI716" s="3" t="str">
        <x:v>同年式・グレードの検証済み当時価格なし／登録年混在</x:v>
      </x:c>
      <x:c r="AJ716" s="3" t="str">
        <x:v>一覧価格/年式のみ</x:v>
      </x:c>
      <x:c r="AK716" s="3" t="str">
        <x:v>一覧の表示価格。年式は掲載年式。</x:v>
      </x:c>
      <x:c r="AL716" s="31" t="n">
        <x:f>IF(AND(J716&lt;='分析方法'!$B$7,OR(ISBLANK(O716),O716&gt;='分析方法'!$B$8),X716&lt;&gt;"売却済み表示"),1,0)</x:f>
        <x:v>1</x:v>
      </x:c>
      <x:c r="AM716" s="32" t="n">
        <x:f>IF(AL716=1,U716,"")</x:f>
        <x:v>429000</x:v>
      </x:c>
      <x:c r="AN716" s="33" t="str">
        <x:f>IF(AL716=1,AF716,"")</x:f>
      </x:c>
      <x:c r="AO716" s="31" t="n">
        <x:f>'分析方法'!$B$6-J716</x:f>
        <x:v>5</x:v>
      </x:c>
      <x:c r="AP716" s="3"/>
    </x:row>
    <x:row r="717" ht="22" customHeight="1">
      <x:c r="A717" s="3" t="str">
        <x:v>T2909458</x:v>
      </x:c>
      <x:c r="B717" s="7" t="d">
        <x:v>2026-10-08T00:00:00.000Z</x:v>
      </x:c>
      <x:c r="C717" s="3" t="str">
        <x:v>Taladrod</x:v>
      </x:c>
      <x:c r="D717" s="3" t="str">
        <x:v>Toyota</x:v>
      </x:c>
      <x:c r="E717" s="3" t="str">
        <x:v>日本</x:v>
      </x:c>
      <x:c r="F717" s="3" t="str">
        <x:v>Hilux Revo</x:v>
      </x:c>
      <x:c r="G717" s="3" t="str">
        <x:v>ICE</x:v>
      </x:c>
      <x:c r="H717" s="3" t="str">
        <x:v>Pickup</x:v>
      </x:c>
      <x:c r="I717" s="3" t="str">
        <x:v>Single cab</x:v>
      </x:c>
      <x:c r="J717" s="3" t="n">
        <x:v>2021</x:v>
      </x:c>
      <x:c r="K717" s="3" t="str">
        <x:v>2.4 ENTRY STANDARD CAB</x:v>
      </x:c>
      <x:c r="L717" s="3" t="str">
        <x:v>2.4 ENTRY STANDARD CAB</x:v>
      </x:c>
      <x:c r="M717" s="22"/>
      <x:c r="N717" s="22"/>
      <x:c r="O717" s="22"/>
      <x:c r="P717" s="3" t="str">
        <x:v>未掲載</x:v>
      </x:c>
      <x:c r="Q717" s="3" t="str">
        <x:v>未取得</x:v>
      </x:c>
      <x:c r="R717" s="3" t="str">
        <x:v>Unknown</x:v>
      </x:c>
      <x:c r="S717" s="3" t="str">
        <x:v>不明</x:v>
      </x:c>
      <x:c r="T717" s="3" t="str">
        <x:v>世代不明</x:v>
      </x:c>
      <x:c r="U717" s="28" t="n">
        <x:v>449000</x:v>
      </x:c>
      <x:c r="V717" s="28"/>
      <x:c r="W717" s="3" t="str">
        <x:v>事故・水没・SOH・保証残は未確認</x:v>
      </x:c>
      <x:c r="X717" s="3" t="str">
        <x:v>掲載中・在庫未確認</x:v>
      </x:c>
      <x:c r="Y717" s="3" t="str"/>
      <x:c r="Z717" s="27" t="str">
        <x:v>https://www.taladrod.com/w40/icar/cardet.aspx?cid=2909458</x:v>
      </x:c>
      <x:c r="AA717" s="3" t="str">
        <x:v>Taladrod個別広告ID／Carsome在庫ID</x:v>
      </x:c>
      <x:c r="AB717" s="3" t="str">
        <x:v>車台番号未取得／サイト間重複は未判定</x:v>
      </x:c>
      <x:c r="AC717" s="3" t="str">
        <x:v>税込区分未確認（一覧表示額）</x:v>
      </x:c>
      <x:c r="AD717" s="3" t="str"/>
      <x:c r="AE717" s="29" t="str">
        <x:f>""</x:f>
      </x:c>
      <x:c r="AF717" s="30" t="str">
        <x:f>IF(ISNUMBER(AE717),U717/AE717,"")</x:f>
      </x:c>
      <x:c r="AG717" s="29" t="str">
        <x:f>""</x:f>
      </x:c>
      <x:c r="AH717" s="30" t="str">
        <x:f>IF(ISNUMBER(AG717),U717/AG717,"")</x:f>
      </x:c>
      <x:c r="AI717" s="3" t="str">
        <x:v>同年式・グレードの検証済み当時価格なし／登録年混在</x:v>
      </x:c>
      <x:c r="AJ717" s="3" t="str">
        <x:v>一覧価格/年式のみ</x:v>
      </x:c>
      <x:c r="AK717" s="3" t="str">
        <x:v>一覧の表示価格。年式は掲載年式。</x:v>
      </x:c>
      <x:c r="AL717" s="31" t="n">
        <x:f>IF(AND(J717&lt;='分析方法'!$B$7,OR(ISBLANK(O717),O717&gt;='分析方法'!$B$8),X717&lt;&gt;"売却済み表示"),1,0)</x:f>
        <x:v>1</x:v>
      </x:c>
      <x:c r="AM717" s="32" t="n">
        <x:f>IF(AL717=1,U717,"")</x:f>
        <x:v>449000</x:v>
      </x:c>
      <x:c r="AN717" s="33" t="str">
        <x:f>IF(AL717=1,AF717,"")</x:f>
      </x:c>
      <x:c r="AO717" s="31" t="n">
        <x:f>'分析方法'!$B$6-J717</x:f>
        <x:v>5</x:v>
      </x:c>
      <x:c r="AP717" s="3"/>
    </x:row>
    <x:row r="718" ht="22" customHeight="1">
      <x:c r="A718" s="3" t="str">
        <x:v>T2909551</x:v>
      </x:c>
      <x:c r="B718" s="7" t="d">
        <x:v>2026-10-08T00:00:00.000Z</x:v>
      </x:c>
      <x:c r="C718" s="3" t="str">
        <x:v>Taladrod</x:v>
      </x:c>
      <x:c r="D718" s="3" t="str">
        <x:v>Toyota</x:v>
      </x:c>
      <x:c r="E718" s="3" t="str">
        <x:v>日本</x:v>
      </x:c>
      <x:c r="F718" s="3" t="str">
        <x:v>Hilux Revo</x:v>
      </x:c>
      <x:c r="G718" s="3" t="str">
        <x:v>ICE</x:v>
      </x:c>
      <x:c r="H718" s="3" t="str">
        <x:v>Pickup</x:v>
      </x:c>
      <x:c r="I718" s="3" t="str">
        <x:v>Single cab</x:v>
      </x:c>
      <x:c r="J718" s="3" t="n">
        <x:v>2021</x:v>
      </x:c>
      <x:c r="K718" s="3" t="str">
        <x:v>2.4 ENTRY STANDARD CAB</x:v>
      </x:c>
      <x:c r="L718" s="3" t="str">
        <x:v>2.4 ENTRY STANDARD CAB</x:v>
      </x:c>
      <x:c r="M718" s="22"/>
      <x:c r="N718" s="22"/>
      <x:c r="O718" s="22"/>
      <x:c r="P718" s="3" t="str">
        <x:v>未掲載</x:v>
      </x:c>
      <x:c r="Q718" s="3" t="str">
        <x:v>未取得</x:v>
      </x:c>
      <x:c r="R718" s="3" t="str">
        <x:v>Unknown</x:v>
      </x:c>
      <x:c r="S718" s="3" t="str">
        <x:v>不明</x:v>
      </x:c>
      <x:c r="T718" s="3" t="str">
        <x:v>世代不明</x:v>
      </x:c>
      <x:c r="U718" s="28" t="n">
        <x:v>297000</x:v>
      </x:c>
      <x:c r="V718" s="28"/>
      <x:c r="W718" s="3" t="str">
        <x:v>事故・水没・SOH・保証残は未確認</x:v>
      </x:c>
      <x:c r="X718" s="3" t="str">
        <x:v>掲載中・在庫未確認</x:v>
      </x:c>
      <x:c r="Y718" s="3" t="str"/>
      <x:c r="Z718" s="27" t="str">
        <x:v>https://www.taladrod.com/w40/icar/cardet.aspx?cid=2909551</x:v>
      </x:c>
      <x:c r="AA718" s="3" t="str">
        <x:v>Taladrod個別広告ID／Carsome在庫ID</x:v>
      </x:c>
      <x:c r="AB718" s="3" t="str">
        <x:v>車台番号未取得／サイト間重複は未判定</x:v>
      </x:c>
      <x:c r="AC718" s="3" t="str">
        <x:v>税込区分未確認（一覧表示額）</x:v>
      </x:c>
      <x:c r="AD718" s="3" t="str"/>
      <x:c r="AE718" s="29" t="str">
        <x:f>""</x:f>
      </x:c>
      <x:c r="AF718" s="30" t="str">
        <x:f>IF(ISNUMBER(AE718),U718/AE718,"")</x:f>
      </x:c>
      <x:c r="AG718" s="29" t="str">
        <x:f>""</x:f>
      </x:c>
      <x:c r="AH718" s="30" t="str">
        <x:f>IF(ISNUMBER(AG718),U718/AG718,"")</x:f>
      </x:c>
      <x:c r="AI718" s="3" t="str">
        <x:v>同年式・グレードの検証済み当時価格なし／登録年混在</x:v>
      </x:c>
      <x:c r="AJ718" s="3" t="str">
        <x:v>一覧価格/年式のみ</x:v>
      </x:c>
      <x:c r="AK718" s="3" t="str">
        <x:v>一覧の表示価格。年式は掲載年式。</x:v>
      </x:c>
      <x:c r="AL718" s="31" t="n">
        <x:f>IF(AND(J718&lt;='分析方法'!$B$7,OR(ISBLANK(O718),O718&gt;='分析方法'!$B$8),X718&lt;&gt;"売却済み表示"),1,0)</x:f>
        <x:v>1</x:v>
      </x:c>
      <x:c r="AM718" s="32" t="n">
        <x:f>IF(AL718=1,U718,"")</x:f>
        <x:v>297000</x:v>
      </x:c>
      <x:c r="AN718" s="33" t="str">
        <x:f>IF(AL718=1,AF718,"")</x:f>
      </x:c>
      <x:c r="AO718" s="31" t="n">
        <x:f>'分析方法'!$B$6-J718</x:f>
        <x:v>5</x:v>
      </x:c>
      <x:c r="AP718" s="3"/>
    </x:row>
    <x:row r="719" ht="22" customHeight="1">
      <x:c r="A719" s="3" t="str">
        <x:v>T2911779</x:v>
      </x:c>
      <x:c r="B719" s="7" t="d">
        <x:v>2026-10-08T00:00:00.000Z</x:v>
      </x:c>
      <x:c r="C719" s="3" t="str">
        <x:v>Taladrod</x:v>
      </x:c>
      <x:c r="D719" s="3" t="str">
        <x:v>Toyota</x:v>
      </x:c>
      <x:c r="E719" s="3" t="str">
        <x:v>日本</x:v>
      </x:c>
      <x:c r="F719" s="3" t="str">
        <x:v>Hilux Revo</x:v>
      </x:c>
      <x:c r="G719" s="3" t="str">
        <x:v>ICE</x:v>
      </x:c>
      <x:c r="H719" s="3" t="str">
        <x:v>Pickup</x:v>
      </x:c>
      <x:c r="I719" s="3" t="str">
        <x:v>Single cab</x:v>
      </x:c>
      <x:c r="J719" s="3" t="n">
        <x:v>2021</x:v>
      </x:c>
      <x:c r="K719" s="3" t="str">
        <x:v>2.4 ENTRY STANDARD CAB</x:v>
      </x:c>
      <x:c r="L719" s="3" t="str">
        <x:v>2.4 ENTRY STANDARD CAB</x:v>
      </x:c>
      <x:c r="M719" s="22"/>
      <x:c r="N719" s="22"/>
      <x:c r="O719" s="22"/>
      <x:c r="P719" s="3" t="str">
        <x:v>未掲載</x:v>
      </x:c>
      <x:c r="Q719" s="3" t="str">
        <x:v>未取得</x:v>
      </x:c>
      <x:c r="R719" s="3" t="str">
        <x:v>Unknown</x:v>
      </x:c>
      <x:c r="S719" s="3" t="str">
        <x:v>不明</x:v>
      </x:c>
      <x:c r="T719" s="3" t="str">
        <x:v>世代不明</x:v>
      </x:c>
      <x:c r="U719" s="28" t="n">
        <x:v>459000</x:v>
      </x:c>
      <x:c r="V719" s="28"/>
      <x:c r="W719" s="3" t="str">
        <x:v>事故・水没・SOH・保証残は未確認</x:v>
      </x:c>
      <x:c r="X719" s="3" t="str">
        <x:v>掲載中・在庫未確認</x:v>
      </x:c>
      <x:c r="Y719" s="3" t="str"/>
      <x:c r="Z719" s="27" t="str">
        <x:v>https://www.taladrod.com/w40/icar/cardet.aspx?cid=2911779</x:v>
      </x:c>
      <x:c r="AA719" s="3" t="str">
        <x:v>Taladrod個別広告ID／Carsome在庫ID</x:v>
      </x:c>
      <x:c r="AB719" s="3" t="str">
        <x:v>車台番号未取得／サイト間重複は未判定</x:v>
      </x:c>
      <x:c r="AC719" s="3" t="str">
        <x:v>税込区分未確認（一覧表示額）</x:v>
      </x:c>
      <x:c r="AD719" s="3" t="str"/>
      <x:c r="AE719" s="29" t="str">
        <x:f>""</x:f>
      </x:c>
      <x:c r="AF719" s="30" t="str">
        <x:f>IF(ISNUMBER(AE719),U719/AE719,"")</x:f>
      </x:c>
      <x:c r="AG719" s="29" t="str">
        <x:f>""</x:f>
      </x:c>
      <x:c r="AH719" s="30" t="str">
        <x:f>IF(ISNUMBER(AG719),U719/AG719,"")</x:f>
      </x:c>
      <x:c r="AI719" s="3" t="str">
        <x:v>同年式・グレードの検証済み当時価格なし／登録年混在</x:v>
      </x:c>
      <x:c r="AJ719" s="3" t="str">
        <x:v>一覧価格/年式のみ</x:v>
      </x:c>
      <x:c r="AK719" s="3" t="str">
        <x:v>一覧の表示価格。年式は掲載年式。</x:v>
      </x:c>
      <x:c r="AL719" s="31" t="n">
        <x:f>IF(AND(J719&lt;='分析方法'!$B$7,OR(ISBLANK(O719),O719&gt;='分析方法'!$B$8),X719&lt;&gt;"売却済み表示"),1,0)</x:f>
        <x:v>1</x:v>
      </x:c>
      <x:c r="AM719" s="32" t="n">
        <x:f>IF(AL719=1,U719,"")</x:f>
        <x:v>459000</x:v>
      </x:c>
      <x:c r="AN719" s="33" t="str">
        <x:f>IF(AL719=1,AF719,"")</x:f>
      </x:c>
      <x:c r="AO719" s="31" t="n">
        <x:f>'分析方法'!$B$6-J719</x:f>
        <x:v>5</x:v>
      </x:c>
      <x:c r="AP719" s="3"/>
    </x:row>
    <x:row r="720" ht="22" customHeight="1">
      <x:c r="A720" s="3" t="str">
        <x:v>T2914496</x:v>
      </x:c>
      <x:c r="B720" s="7" t="d">
        <x:v>2026-10-08T00:00:00.000Z</x:v>
      </x:c>
      <x:c r="C720" s="3" t="str">
        <x:v>Taladrod</x:v>
      </x:c>
      <x:c r="D720" s="3" t="str">
        <x:v>Toyota</x:v>
      </x:c>
      <x:c r="E720" s="3" t="str">
        <x:v>日本</x:v>
      </x:c>
      <x:c r="F720" s="3" t="str">
        <x:v>Hilux Revo</x:v>
      </x:c>
      <x:c r="G720" s="3" t="str">
        <x:v>ICE</x:v>
      </x:c>
      <x:c r="H720" s="3" t="str">
        <x:v>Pickup</x:v>
      </x:c>
      <x:c r="I720" s="3" t="str">
        <x:v>Single cab</x:v>
      </x:c>
      <x:c r="J720" s="3" t="n">
        <x:v>2021</x:v>
      </x:c>
      <x:c r="K720" s="3" t="str">
        <x:v>2.4 ENTRY STANDARD CAB</x:v>
      </x:c>
      <x:c r="L720" s="3" t="str">
        <x:v>2.4 ENTRY STANDARD CAB</x:v>
      </x:c>
      <x:c r="M720" s="22"/>
      <x:c r="N720" s="22"/>
      <x:c r="O720" s="22"/>
      <x:c r="P720" s="3" t="str">
        <x:v>未掲載</x:v>
      </x:c>
      <x:c r="Q720" s="3" t="str">
        <x:v>未取得</x:v>
      </x:c>
      <x:c r="R720" s="3" t="str">
        <x:v>Unknown</x:v>
      </x:c>
      <x:c r="S720" s="3" t="str">
        <x:v>不明</x:v>
      </x:c>
      <x:c r="T720" s="3" t="str">
        <x:v>世代不明</x:v>
      </x:c>
      <x:c r="U720" s="28" t="n">
        <x:v>459000</x:v>
      </x:c>
      <x:c r="V720" s="28"/>
      <x:c r="W720" s="3" t="str">
        <x:v>事故・水没・SOH・保証残は未確認</x:v>
      </x:c>
      <x:c r="X720" s="3" t="str">
        <x:v>掲載中・在庫未確認</x:v>
      </x:c>
      <x:c r="Y720" s="3" t="str"/>
      <x:c r="Z720" s="27" t="str">
        <x:v>https://www.taladrod.com/w40/icar/cardet.aspx?cid=2914496</x:v>
      </x:c>
      <x:c r="AA720" s="3" t="str">
        <x:v>Taladrod個別広告ID／Carsome在庫ID</x:v>
      </x:c>
      <x:c r="AB720" s="3" t="str">
        <x:v>車台番号未取得／サイト間重複は未判定</x:v>
      </x:c>
      <x:c r="AC720" s="3" t="str">
        <x:v>税込区分未確認（一覧表示額）</x:v>
      </x:c>
      <x:c r="AD720" s="3" t="str"/>
      <x:c r="AE720" s="29" t="str">
        <x:f>""</x:f>
      </x:c>
      <x:c r="AF720" s="30" t="str">
        <x:f>IF(ISNUMBER(AE720),U720/AE720,"")</x:f>
      </x:c>
      <x:c r="AG720" s="29" t="str">
        <x:f>""</x:f>
      </x:c>
      <x:c r="AH720" s="30" t="str">
        <x:f>IF(ISNUMBER(AG720),U720/AG720,"")</x:f>
      </x:c>
      <x:c r="AI720" s="3" t="str">
        <x:v>同年式・グレードの検証済み当時価格なし／登録年混在</x:v>
      </x:c>
      <x:c r="AJ720" s="3" t="str">
        <x:v>一覧価格/年式のみ</x:v>
      </x:c>
      <x:c r="AK720" s="3" t="str">
        <x:v>一覧の表示価格。年式は掲載年式。</x:v>
      </x:c>
      <x:c r="AL720" s="31" t="n">
        <x:f>IF(AND(J720&lt;='分析方法'!$B$7,OR(ISBLANK(O720),O720&gt;='分析方法'!$B$8),X720&lt;&gt;"売却済み表示"),1,0)</x:f>
        <x:v>1</x:v>
      </x:c>
      <x:c r="AM720" s="32" t="n">
        <x:f>IF(AL720=1,U720,"")</x:f>
        <x:v>459000</x:v>
      </x:c>
      <x:c r="AN720" s="33" t="str">
        <x:f>IF(AL720=1,AF720,"")</x:f>
      </x:c>
      <x:c r="AO720" s="31" t="n">
        <x:f>'分析方法'!$B$6-J720</x:f>
        <x:v>5</x:v>
      </x:c>
      <x:c r="AP720" s="3"/>
    </x:row>
    <x:row r="721" ht="22" customHeight="1">
      <x:c r="A721" s="3" t="str">
        <x:v>T2914831</x:v>
      </x:c>
      <x:c r="B721" s="7" t="d">
        <x:v>2026-10-08T00:00:00.000Z</x:v>
      </x:c>
      <x:c r="C721" s="3" t="str">
        <x:v>Taladrod</x:v>
      </x:c>
      <x:c r="D721" s="3" t="str">
        <x:v>Toyota</x:v>
      </x:c>
      <x:c r="E721" s="3" t="str">
        <x:v>日本</x:v>
      </x:c>
      <x:c r="F721" s="3" t="str">
        <x:v>Hilux Revo</x:v>
      </x:c>
      <x:c r="G721" s="3" t="str">
        <x:v>ICE</x:v>
      </x:c>
      <x:c r="H721" s="3" t="str">
        <x:v>Pickup</x:v>
      </x:c>
      <x:c r="I721" s="3" t="str">
        <x:v>Single cab</x:v>
      </x:c>
      <x:c r="J721" s="3" t="n">
        <x:v>2021</x:v>
      </x:c>
      <x:c r="K721" s="3" t="str">
        <x:v>2.4 ENTRY STANDARD CAB</x:v>
      </x:c>
      <x:c r="L721" s="3" t="str">
        <x:v>2.4 ENTRY STANDARD CAB</x:v>
      </x:c>
      <x:c r="M721" s="22"/>
      <x:c r="N721" s="22"/>
      <x:c r="O721" s="22"/>
      <x:c r="P721" s="3" t="str">
        <x:v>未掲載</x:v>
      </x:c>
      <x:c r="Q721" s="3" t="str">
        <x:v>未取得</x:v>
      </x:c>
      <x:c r="R721" s="3" t="str">
        <x:v>Unknown</x:v>
      </x:c>
      <x:c r="S721" s="3" t="str">
        <x:v>不明</x:v>
      </x:c>
      <x:c r="T721" s="3" t="str">
        <x:v>世代不明</x:v>
      </x:c>
      <x:c r="U721" s="28" t="n">
        <x:v>459000</x:v>
      </x:c>
      <x:c r="V721" s="28"/>
      <x:c r="W721" s="3" t="str">
        <x:v>事故・水没・SOH・保証残は未確認</x:v>
      </x:c>
      <x:c r="X721" s="3" t="str">
        <x:v>掲載中・在庫未確認</x:v>
      </x:c>
      <x:c r="Y721" s="3" t="str"/>
      <x:c r="Z721" s="27" t="str">
        <x:v>https://www.taladrod.com/w40/icar/cardet.aspx?cid=2914831</x:v>
      </x:c>
      <x:c r="AA721" s="3" t="str">
        <x:v>Taladrod個別広告ID／Carsome在庫ID</x:v>
      </x:c>
      <x:c r="AB721" s="3" t="str">
        <x:v>車台番号未取得／サイト間重複は未判定</x:v>
      </x:c>
      <x:c r="AC721" s="3" t="str">
        <x:v>税込区分未確認（一覧表示額）</x:v>
      </x:c>
      <x:c r="AD721" s="3" t="str"/>
      <x:c r="AE721" s="29" t="str">
        <x:f>""</x:f>
      </x:c>
      <x:c r="AF721" s="30" t="str">
        <x:f>IF(ISNUMBER(AE721),U721/AE721,"")</x:f>
      </x:c>
      <x:c r="AG721" s="29" t="str">
        <x:f>""</x:f>
      </x:c>
      <x:c r="AH721" s="30" t="str">
        <x:f>IF(ISNUMBER(AG721),U721/AG721,"")</x:f>
      </x:c>
      <x:c r="AI721" s="3" t="str">
        <x:v>同年式・グレードの検証済み当時価格なし／登録年混在</x:v>
      </x:c>
      <x:c r="AJ721" s="3" t="str">
        <x:v>一覧価格/年式のみ</x:v>
      </x:c>
      <x:c r="AK721" s="3" t="str">
        <x:v>一覧の表示価格。年式は掲載年式。</x:v>
      </x:c>
      <x:c r="AL721" s="31" t="n">
        <x:f>IF(AND(J721&lt;='分析方法'!$B$7,OR(ISBLANK(O721),O721&gt;='分析方法'!$B$8),X721&lt;&gt;"売却済み表示"),1,0)</x:f>
        <x:v>1</x:v>
      </x:c>
      <x:c r="AM721" s="32" t="n">
        <x:f>IF(AL721=1,U721,"")</x:f>
        <x:v>459000</x:v>
      </x:c>
      <x:c r="AN721" s="33" t="str">
        <x:f>IF(AL721=1,AF721,"")</x:f>
      </x:c>
      <x:c r="AO721" s="31" t="n">
        <x:f>'分析方法'!$B$6-J721</x:f>
        <x:v>5</x:v>
      </x:c>
      <x:c r="AP721" s="3"/>
    </x:row>
    <x:row r="722" ht="22" customHeight="1">
      <x:c r="A722" s="3" t="str">
        <x:v>T2915022</x:v>
      </x:c>
      <x:c r="B722" s="7" t="d">
        <x:v>2026-10-08T00:00:00.000Z</x:v>
      </x:c>
      <x:c r="C722" s="3" t="str">
        <x:v>Taladrod</x:v>
      </x:c>
      <x:c r="D722" s="3" t="str">
        <x:v>Toyota</x:v>
      </x:c>
      <x:c r="E722" s="3" t="str">
        <x:v>日本</x:v>
      </x:c>
      <x:c r="F722" s="3" t="str">
        <x:v>Hilux Revo</x:v>
      </x:c>
      <x:c r="G722" s="3" t="str">
        <x:v>ICE</x:v>
      </x:c>
      <x:c r="H722" s="3" t="str">
        <x:v>Pickup</x:v>
      </x:c>
      <x:c r="I722" s="3" t="str">
        <x:v>Single cab</x:v>
      </x:c>
      <x:c r="J722" s="3" t="n">
        <x:v>2021</x:v>
      </x:c>
      <x:c r="K722" s="3" t="str">
        <x:v>2.4 ENTRY STANDARD CAB</x:v>
      </x:c>
      <x:c r="L722" s="3" t="str">
        <x:v>2.4 ENTRY STANDARD CAB</x:v>
      </x:c>
      <x:c r="M722" s="22"/>
      <x:c r="N722" s="22"/>
      <x:c r="O722" s="22"/>
      <x:c r="P722" s="3" t="str">
        <x:v>未掲載</x:v>
      </x:c>
      <x:c r="Q722" s="3" t="str">
        <x:v>未取得</x:v>
      </x:c>
      <x:c r="R722" s="3" t="str">
        <x:v>Unknown</x:v>
      </x:c>
      <x:c r="S722" s="3" t="str">
        <x:v>不明</x:v>
      </x:c>
      <x:c r="T722" s="3" t="str">
        <x:v>世代不明</x:v>
      </x:c>
      <x:c r="U722" s="28" t="n">
        <x:v>419000</x:v>
      </x:c>
      <x:c r="V722" s="28"/>
      <x:c r="W722" s="3" t="str">
        <x:v>事故・水没・SOH・保証残は未確認</x:v>
      </x:c>
      <x:c r="X722" s="3" t="str">
        <x:v>掲載中・在庫未確認</x:v>
      </x:c>
      <x:c r="Y722" s="3" t="str"/>
      <x:c r="Z722" s="27" t="str">
        <x:v>https://www.taladrod.com/w40/icar/cardet.aspx?cid=2915022</x:v>
      </x:c>
      <x:c r="AA722" s="3" t="str">
        <x:v>Taladrod個別広告ID／Carsome在庫ID</x:v>
      </x:c>
      <x:c r="AB722" s="3" t="str">
        <x:v>車台番号未取得／サイト間重複は未判定</x:v>
      </x:c>
      <x:c r="AC722" s="3" t="str">
        <x:v>税込区分未確認（一覧表示額）</x:v>
      </x:c>
      <x:c r="AD722" s="3" t="str"/>
      <x:c r="AE722" s="29" t="str">
        <x:f>""</x:f>
      </x:c>
      <x:c r="AF722" s="30" t="str">
        <x:f>IF(ISNUMBER(AE722),U722/AE722,"")</x:f>
      </x:c>
      <x:c r="AG722" s="29" t="str">
        <x:f>""</x:f>
      </x:c>
      <x:c r="AH722" s="30" t="str">
        <x:f>IF(ISNUMBER(AG722),U722/AG722,"")</x:f>
      </x:c>
      <x:c r="AI722" s="3" t="str">
        <x:v>同年式・グレードの検証済み当時価格なし／登録年混在</x:v>
      </x:c>
      <x:c r="AJ722" s="3" t="str">
        <x:v>一覧価格/年式のみ</x:v>
      </x:c>
      <x:c r="AK722" s="3" t="str">
        <x:v>一覧の表示価格。年式は掲載年式。</x:v>
      </x:c>
      <x:c r="AL722" s="31" t="n">
        <x:f>IF(AND(J722&lt;='分析方法'!$B$7,OR(ISBLANK(O722),O722&gt;='分析方法'!$B$8),X722&lt;&gt;"売却済み表示"),1,0)</x:f>
        <x:v>1</x:v>
      </x:c>
      <x:c r="AM722" s="32" t="n">
        <x:f>IF(AL722=1,U722,"")</x:f>
        <x:v>419000</x:v>
      </x:c>
      <x:c r="AN722" s="33" t="str">
        <x:f>IF(AL722=1,AF722,"")</x:f>
      </x:c>
      <x:c r="AO722" s="31" t="n">
        <x:f>'分析方法'!$B$6-J722</x:f>
        <x:v>5</x:v>
      </x:c>
      <x:c r="AP722" s="3"/>
    </x:row>
    <x:row r="723" ht="22" customHeight="1">
      <x:c r="A723" s="3" t="str">
        <x:v>T2912337</x:v>
      </x:c>
      <x:c r="B723" s="7" t="d">
        <x:v>2026-10-08T00:00:00.000Z</x:v>
      </x:c>
      <x:c r="C723" s="3" t="str">
        <x:v>Taladrod</x:v>
      </x:c>
      <x:c r="D723" s="3" t="str">
        <x:v>Toyota</x:v>
      </x:c>
      <x:c r="E723" s="3" t="str">
        <x:v>日本</x:v>
      </x:c>
      <x:c r="F723" s="3" t="str">
        <x:v>Hilux Revo</x:v>
      </x:c>
      <x:c r="G723" s="3" t="str">
        <x:v>ICE</x:v>
      </x:c>
      <x:c r="H723" s="3" t="str">
        <x:v>Pickup</x:v>
      </x:c>
      <x:c r="I723" s="3" t="str">
        <x:v>Single cab</x:v>
      </x:c>
      <x:c r="J723" s="3" t="n">
        <x:v>2021</x:v>
      </x:c>
      <x:c r="K723" s="3" t="str">
        <x:v>2.4 ENTRY SWB STANDARD CAB</x:v>
      </x:c>
      <x:c r="L723" s="3" t="str">
        <x:v>2.4 ENTRY SWB STANDARD CAB</x:v>
      </x:c>
      <x:c r="M723" s="22"/>
      <x:c r="N723" s="22"/>
      <x:c r="O723" s="22"/>
      <x:c r="P723" s="3" t="str">
        <x:v>未掲載</x:v>
      </x:c>
      <x:c r="Q723" s="3" t="str">
        <x:v>未取得</x:v>
      </x:c>
      <x:c r="R723" s="3" t="str">
        <x:v>Unknown</x:v>
      </x:c>
      <x:c r="S723" s="3" t="str">
        <x:v>不明</x:v>
      </x:c>
      <x:c r="T723" s="3" t="str">
        <x:v>世代不明</x:v>
      </x:c>
      <x:c r="U723" s="28" t="n">
        <x:v>459000</x:v>
      </x:c>
      <x:c r="V723" s="28"/>
      <x:c r="W723" s="3" t="str">
        <x:v>事故・水没・SOH・保証残は未確認</x:v>
      </x:c>
      <x:c r="X723" s="3" t="str">
        <x:v>掲載中・在庫未確認</x:v>
      </x:c>
      <x:c r="Y723" s="3" t="str"/>
      <x:c r="Z723" s="27" t="str">
        <x:v>https://www.taladrod.com/w40/icar/cardet.aspx?cid=2912337</x:v>
      </x:c>
      <x:c r="AA723" s="3" t="str">
        <x:v>Taladrod個別広告ID／Carsome在庫ID</x:v>
      </x:c>
      <x:c r="AB723" s="3" t="str">
        <x:v>車台番号未取得／サイト間重複は未判定</x:v>
      </x:c>
      <x:c r="AC723" s="3" t="str">
        <x:v>税込区分未確認（一覧表示額）</x:v>
      </x:c>
      <x:c r="AD723" s="3" t="str"/>
      <x:c r="AE723" s="29" t="str">
        <x:f>""</x:f>
      </x:c>
      <x:c r="AF723" s="30" t="str">
        <x:f>IF(ISNUMBER(AE723),U723/AE723,"")</x:f>
      </x:c>
      <x:c r="AG723" s="29" t="str">
        <x:f>""</x:f>
      </x:c>
      <x:c r="AH723" s="30" t="str">
        <x:f>IF(ISNUMBER(AG723),U723/AG723,"")</x:f>
      </x:c>
      <x:c r="AI723" s="3" t="str">
        <x:v>同年式・グレードの検証済み当時価格なし／登録年混在</x:v>
      </x:c>
      <x:c r="AJ723" s="3" t="str">
        <x:v>一覧価格/年式のみ</x:v>
      </x:c>
      <x:c r="AK723" s="3" t="str">
        <x:v>一覧の表示価格。年式は掲載年式。</x:v>
      </x:c>
      <x:c r="AL723" s="31" t="n">
        <x:f>IF(AND(J723&lt;='分析方法'!$B$7,OR(ISBLANK(O723),O723&gt;='分析方法'!$B$8),X723&lt;&gt;"売却済み表示"),1,0)</x:f>
        <x:v>1</x:v>
      </x:c>
      <x:c r="AM723" s="32" t="n">
        <x:f>IF(AL723=1,U723,"")</x:f>
        <x:v>459000</x:v>
      </x:c>
      <x:c r="AN723" s="33" t="str">
        <x:f>IF(AL723=1,AF723,"")</x:f>
      </x:c>
      <x:c r="AO723" s="31" t="n">
        <x:f>'分析方法'!$B$6-J723</x:f>
        <x:v>5</x:v>
      </x:c>
      <x:c r="AP723" s="3"/>
    </x:row>
    <x:row r="724" ht="22" customHeight="1">
      <x:c r="A724" s="3" t="str">
        <x:v>T2888909</x:v>
      </x:c>
      <x:c r="B724" s="7" t="d">
        <x:v>2026-10-08T00:00:00.000Z</x:v>
      </x:c>
      <x:c r="C724" s="3" t="str">
        <x:v>Taladrod</x:v>
      </x:c>
      <x:c r="D724" s="3" t="str">
        <x:v>Toyota</x:v>
      </x:c>
      <x:c r="E724" s="3" t="str">
        <x:v>日本</x:v>
      </x:c>
      <x:c r="F724" s="3" t="str">
        <x:v>Hilux Revo</x:v>
      </x:c>
      <x:c r="G724" s="3" t="str">
        <x:v>ICE</x:v>
      </x:c>
      <x:c r="H724" s="3" t="str">
        <x:v>Pickup</x:v>
      </x:c>
      <x:c r="I724" s="3" t="str">
        <x:v>Double cab</x:v>
      </x:c>
      <x:c r="J724" s="3" t="n">
        <x:v>2021</x:v>
      </x:c>
      <x:c r="K724" s="3" t="str">
        <x:v>2.4 ENTRY Z EDITION DOUBLE CAB</x:v>
      </x:c>
      <x:c r="L724" s="3" t="str">
        <x:v>2.4 ENTRY Z EDITION DOUBLE CAB</x:v>
      </x:c>
      <x:c r="M724" s="22"/>
      <x:c r="N724" s="22"/>
      <x:c r="O724" s="22"/>
      <x:c r="P724" s="3" t="str">
        <x:v>未掲載</x:v>
      </x:c>
      <x:c r="Q724" s="3" t="str">
        <x:v>未取得</x:v>
      </x:c>
      <x:c r="R724" s="3" t="str">
        <x:v>Unknown</x:v>
      </x:c>
      <x:c r="S724" s="3" t="str">
        <x:v>不明</x:v>
      </x:c>
      <x:c r="T724" s="3" t="str">
        <x:v>世代不明</x:v>
      </x:c>
      <x:c r="U724" s="28" t="n">
        <x:v>469000</x:v>
      </x:c>
      <x:c r="V724" s="28"/>
      <x:c r="W724" s="3" t="str">
        <x:v>事故・水没・SOH・保証残は未確認</x:v>
      </x:c>
      <x:c r="X724" s="3" t="str">
        <x:v>掲載中・在庫未確認</x:v>
      </x:c>
      <x:c r="Y724" s="3" t="str"/>
      <x:c r="Z724" s="27" t="str">
        <x:v>https://www.taladrod.com/w40/icar/cardet.aspx?cid=2888909</x:v>
      </x:c>
      <x:c r="AA724" s="3" t="str">
        <x:v>Taladrod個別広告ID／Carsome在庫ID</x:v>
      </x:c>
      <x:c r="AB724" s="3" t="str">
        <x:v>車台番号未取得／サイト間重複は未判定</x:v>
      </x:c>
      <x:c r="AC724" s="3" t="str">
        <x:v>税込区分未確認（一覧表示額）</x:v>
      </x:c>
      <x:c r="AD724" s="3" t="str"/>
      <x:c r="AE724" s="29" t="str">
        <x:f>""</x:f>
      </x:c>
      <x:c r="AF724" s="30" t="str">
        <x:f>IF(ISNUMBER(AE724),U724/AE724,"")</x:f>
      </x:c>
      <x:c r="AG724" s="29" t="str">
        <x:f>""</x:f>
      </x:c>
      <x:c r="AH724" s="30" t="str">
        <x:f>IF(ISNUMBER(AG724),U724/AG724,"")</x:f>
      </x:c>
      <x:c r="AI724" s="3" t="str">
        <x:v>同年式・グレードの検証済み当時価格なし／登録年混在</x:v>
      </x:c>
      <x:c r="AJ724" s="3" t="str">
        <x:v>一覧価格/年式のみ</x:v>
      </x:c>
      <x:c r="AK724" s="3" t="str">
        <x:v>一覧の表示価格。年式は掲載年式。</x:v>
      </x:c>
      <x:c r="AL724" s="31" t="n">
        <x:f>IF(AND(J724&lt;='分析方法'!$B$7,OR(ISBLANK(O724),O724&gt;='分析方法'!$B$8),X724&lt;&gt;"売却済み表示"),1,0)</x:f>
        <x:v>1</x:v>
      </x:c>
      <x:c r="AM724" s="32" t="n">
        <x:f>IF(AL724=1,U724,"")</x:f>
        <x:v>469000</x:v>
      </x:c>
      <x:c r="AN724" s="33" t="str">
        <x:f>IF(AL724=1,AF724,"")</x:f>
      </x:c>
      <x:c r="AO724" s="31" t="n">
        <x:f>'分析方法'!$B$6-J724</x:f>
        <x:v>5</x:v>
      </x:c>
      <x:c r="AP724" s="3"/>
    </x:row>
    <x:row r="725" ht="22" customHeight="1">
      <x:c r="A725" s="3" t="str">
        <x:v>T2892203</x:v>
      </x:c>
      <x:c r="B725" s="7" t="d">
        <x:v>2026-10-08T00:00:00.000Z</x:v>
      </x:c>
      <x:c r="C725" s="3" t="str">
        <x:v>Taladrod</x:v>
      </x:c>
      <x:c r="D725" s="3" t="str">
        <x:v>Toyota</x:v>
      </x:c>
      <x:c r="E725" s="3" t="str">
        <x:v>日本</x:v>
      </x:c>
      <x:c r="F725" s="3" t="str">
        <x:v>Hilux Revo</x:v>
      </x:c>
      <x:c r="G725" s="3" t="str">
        <x:v>ICE</x:v>
      </x:c>
      <x:c r="H725" s="3" t="str">
        <x:v>Pickup</x:v>
      </x:c>
      <x:c r="I725" s="3" t="str">
        <x:v>Double cab</x:v>
      </x:c>
      <x:c r="J725" s="3" t="n">
        <x:v>2021</x:v>
      </x:c>
      <x:c r="K725" s="3" t="str">
        <x:v>2.4 ENTRY Z EDITION DOUBLE CAB</x:v>
      </x:c>
      <x:c r="L725" s="3" t="str">
        <x:v>2.4 ENTRY Z EDITION DOUBLE CAB</x:v>
      </x:c>
      <x:c r="M725" s="22"/>
      <x:c r="N725" s="22"/>
      <x:c r="O725" s="22"/>
      <x:c r="P725" s="3" t="str">
        <x:v>未掲載</x:v>
      </x:c>
      <x:c r="Q725" s="3" t="str">
        <x:v>未取得</x:v>
      </x:c>
      <x:c r="R725" s="3" t="str">
        <x:v>Unknown</x:v>
      </x:c>
      <x:c r="S725" s="3" t="str">
        <x:v>不明</x:v>
      </x:c>
      <x:c r="T725" s="3" t="str">
        <x:v>世代不明</x:v>
      </x:c>
      <x:c r="U725" s="28" t="n">
        <x:v>448000</x:v>
      </x:c>
      <x:c r="V725" s="28"/>
      <x:c r="W725" s="3" t="str">
        <x:v>事故・水没・SOH・保証残は未確認</x:v>
      </x:c>
      <x:c r="X725" s="3" t="str">
        <x:v>掲載中・在庫未確認</x:v>
      </x:c>
      <x:c r="Y725" s="3" t="str"/>
      <x:c r="Z725" s="27" t="str">
        <x:v>https://www.taladrod.com/w40/icar/cardet.aspx?cid=2892203</x:v>
      </x:c>
      <x:c r="AA725" s="3" t="str">
        <x:v>Taladrod個別広告ID／Carsome在庫ID</x:v>
      </x:c>
      <x:c r="AB725" s="3" t="str">
        <x:v>車台番号未取得／サイト間重複は未判定</x:v>
      </x:c>
      <x:c r="AC725" s="3" t="str">
        <x:v>税込区分未確認（一覧表示額）</x:v>
      </x:c>
      <x:c r="AD725" s="3" t="str"/>
      <x:c r="AE725" s="29" t="str">
        <x:f>""</x:f>
      </x:c>
      <x:c r="AF725" s="30" t="str">
        <x:f>IF(ISNUMBER(AE725),U725/AE725,"")</x:f>
      </x:c>
      <x:c r="AG725" s="29" t="str">
        <x:f>""</x:f>
      </x:c>
      <x:c r="AH725" s="30" t="str">
        <x:f>IF(ISNUMBER(AG725),U725/AG725,"")</x:f>
      </x:c>
      <x:c r="AI725" s="3" t="str">
        <x:v>同年式・グレードの検証済み当時価格なし／登録年混在</x:v>
      </x:c>
      <x:c r="AJ725" s="3" t="str">
        <x:v>一覧価格/年式のみ</x:v>
      </x:c>
      <x:c r="AK725" s="3" t="str">
        <x:v>一覧の表示価格。年式は掲載年式。</x:v>
      </x:c>
      <x:c r="AL725" s="31" t="n">
        <x:f>IF(AND(J725&lt;='分析方法'!$B$7,OR(ISBLANK(O725),O725&gt;='分析方法'!$B$8),X725&lt;&gt;"売却済み表示"),1,0)</x:f>
        <x:v>1</x:v>
      </x:c>
      <x:c r="AM725" s="32" t="n">
        <x:f>IF(AL725=1,U725,"")</x:f>
        <x:v>448000</x:v>
      </x:c>
      <x:c r="AN725" s="33" t="str">
        <x:f>IF(AL725=1,AF725,"")</x:f>
      </x:c>
      <x:c r="AO725" s="31" t="n">
        <x:f>'分析方法'!$B$6-J725</x:f>
        <x:v>5</x:v>
      </x:c>
      <x:c r="AP725" s="3"/>
    </x:row>
    <x:row r="726" ht="22" customHeight="1">
      <x:c r="A726" s="3" t="str">
        <x:v>T2903085</x:v>
      </x:c>
      <x:c r="B726" s="7" t="d">
        <x:v>2026-10-08T00:00:00.000Z</x:v>
      </x:c>
      <x:c r="C726" s="3" t="str">
        <x:v>Taladrod</x:v>
      </x:c>
      <x:c r="D726" s="3" t="str">
        <x:v>Toyota</x:v>
      </x:c>
      <x:c r="E726" s="3" t="str">
        <x:v>日本</x:v>
      </x:c>
      <x:c r="F726" s="3" t="str">
        <x:v>Hilux Revo</x:v>
      </x:c>
      <x:c r="G726" s="3" t="str">
        <x:v>ICE</x:v>
      </x:c>
      <x:c r="H726" s="3" t="str">
        <x:v>Pickup</x:v>
      </x:c>
      <x:c r="I726" s="3" t="str">
        <x:v>Double cab</x:v>
      </x:c>
      <x:c r="J726" s="3" t="n">
        <x:v>2021</x:v>
      </x:c>
      <x:c r="K726" s="3" t="str">
        <x:v>2.4 ENTRY Z EDITION DOUBLE CAB</x:v>
      </x:c>
      <x:c r="L726" s="3" t="str">
        <x:v>2.4 ENTRY Z EDITION DOUBLE CAB</x:v>
      </x:c>
      <x:c r="M726" s="22"/>
      <x:c r="N726" s="22"/>
      <x:c r="O726" s="22"/>
      <x:c r="P726" s="3" t="str">
        <x:v>未掲載</x:v>
      </x:c>
      <x:c r="Q726" s="3" t="str">
        <x:v>未取得</x:v>
      </x:c>
      <x:c r="R726" s="3" t="str">
        <x:v>Unknown</x:v>
      </x:c>
      <x:c r="S726" s="3" t="str">
        <x:v>不明</x:v>
      </x:c>
      <x:c r="T726" s="3" t="str">
        <x:v>世代不明</x:v>
      </x:c>
      <x:c r="U726" s="28" t="n">
        <x:v>469000</x:v>
      </x:c>
      <x:c r="V726" s="28"/>
      <x:c r="W726" s="3" t="str">
        <x:v>事故・水没・SOH・保証残は未確認</x:v>
      </x:c>
      <x:c r="X726" s="3" t="str">
        <x:v>掲載中・在庫未確認</x:v>
      </x:c>
      <x:c r="Y726" s="3" t="str"/>
      <x:c r="Z726" s="27" t="str">
        <x:v>https://www.taladrod.com/w40/icar/cardet.aspx?cid=2903085</x:v>
      </x:c>
      <x:c r="AA726" s="3" t="str">
        <x:v>Taladrod個別広告ID／Carsome在庫ID</x:v>
      </x:c>
      <x:c r="AB726" s="3" t="str">
        <x:v>車台番号未取得／サイト間重複は未判定</x:v>
      </x:c>
      <x:c r="AC726" s="3" t="str">
        <x:v>税込区分未確認（一覧表示額）</x:v>
      </x:c>
      <x:c r="AD726" s="3" t="str"/>
      <x:c r="AE726" s="29" t="str">
        <x:f>""</x:f>
      </x:c>
      <x:c r="AF726" s="30" t="str">
        <x:f>IF(ISNUMBER(AE726),U726/AE726,"")</x:f>
      </x:c>
      <x:c r="AG726" s="29" t="str">
        <x:f>""</x:f>
      </x:c>
      <x:c r="AH726" s="30" t="str">
        <x:f>IF(ISNUMBER(AG726),U726/AG726,"")</x:f>
      </x:c>
      <x:c r="AI726" s="3" t="str">
        <x:v>同年式・グレードの検証済み当時価格なし／登録年混在</x:v>
      </x:c>
      <x:c r="AJ726" s="3" t="str">
        <x:v>一覧価格/年式のみ</x:v>
      </x:c>
      <x:c r="AK726" s="3" t="str">
        <x:v>一覧の表示価格。年式は掲載年式。</x:v>
      </x:c>
      <x:c r="AL726" s="31" t="n">
        <x:f>IF(AND(J726&lt;='分析方法'!$B$7,OR(ISBLANK(O726),O726&gt;='分析方法'!$B$8),X726&lt;&gt;"売却済み表示"),1,0)</x:f>
        <x:v>1</x:v>
      </x:c>
      <x:c r="AM726" s="32" t="n">
        <x:f>IF(AL726=1,U726,"")</x:f>
        <x:v>469000</x:v>
      </x:c>
      <x:c r="AN726" s="33" t="str">
        <x:f>IF(AL726=1,AF726,"")</x:f>
      </x:c>
      <x:c r="AO726" s="31" t="n">
        <x:f>'分析方法'!$B$6-J726</x:f>
        <x:v>5</x:v>
      </x:c>
      <x:c r="AP726" s="3"/>
    </x:row>
    <x:row r="727" ht="22" customHeight="1">
      <x:c r="A727" s="3" t="str">
        <x:v>T2910240</x:v>
      </x:c>
      <x:c r="B727" s="7" t="d">
        <x:v>2026-10-08T00:00:00.000Z</x:v>
      </x:c>
      <x:c r="C727" s="3" t="str">
        <x:v>Taladrod</x:v>
      </x:c>
      <x:c r="D727" s="3" t="str">
        <x:v>Toyota</x:v>
      </x:c>
      <x:c r="E727" s="3" t="str">
        <x:v>日本</x:v>
      </x:c>
      <x:c r="F727" s="3" t="str">
        <x:v>Hilux Revo</x:v>
      </x:c>
      <x:c r="G727" s="3" t="str">
        <x:v>ICE</x:v>
      </x:c>
      <x:c r="H727" s="3" t="str">
        <x:v>Pickup</x:v>
      </x:c>
      <x:c r="I727" s="3" t="str">
        <x:v>Double cab</x:v>
      </x:c>
      <x:c r="J727" s="3" t="n">
        <x:v>2021</x:v>
      </x:c>
      <x:c r="K727" s="3" t="str">
        <x:v>2.4 ENTRY Z EDITION DOUBLE CAB</x:v>
      </x:c>
      <x:c r="L727" s="3" t="str">
        <x:v>2.4 ENTRY Z EDITION DOUBLE CAB</x:v>
      </x:c>
      <x:c r="M727" s="22"/>
      <x:c r="N727" s="22"/>
      <x:c r="O727" s="22"/>
      <x:c r="P727" s="3" t="str">
        <x:v>未掲載</x:v>
      </x:c>
      <x:c r="Q727" s="3" t="str">
        <x:v>未取得</x:v>
      </x:c>
      <x:c r="R727" s="3" t="str">
        <x:v>Unknown</x:v>
      </x:c>
      <x:c r="S727" s="3" t="str">
        <x:v>不明</x:v>
      </x:c>
      <x:c r="T727" s="3" t="str">
        <x:v>世代不明</x:v>
      </x:c>
      <x:c r="U727" s="28" t="n">
        <x:v>399000</x:v>
      </x:c>
      <x:c r="V727" s="28"/>
      <x:c r="W727" s="3" t="str">
        <x:v>事故・水没・SOH・保証残は未確認</x:v>
      </x:c>
      <x:c r="X727" s="3" t="str">
        <x:v>掲載中・在庫未確認</x:v>
      </x:c>
      <x:c r="Y727" s="3" t="str"/>
      <x:c r="Z727" s="27" t="str">
        <x:v>https://www.taladrod.com/w40/icar/cardet.aspx?cid=2910240</x:v>
      </x:c>
      <x:c r="AA727" s="3" t="str">
        <x:v>Taladrod個別広告ID／Carsome在庫ID</x:v>
      </x:c>
      <x:c r="AB727" s="3" t="str">
        <x:v>車台番号未取得／サイト間重複は未判定</x:v>
      </x:c>
      <x:c r="AC727" s="3" t="str">
        <x:v>税込区分未確認（一覧表示額）</x:v>
      </x:c>
      <x:c r="AD727" s="3" t="str"/>
      <x:c r="AE727" s="29" t="str">
        <x:f>""</x:f>
      </x:c>
      <x:c r="AF727" s="30" t="str">
        <x:f>IF(ISNUMBER(AE727),U727/AE727,"")</x:f>
      </x:c>
      <x:c r="AG727" s="29" t="str">
        <x:f>""</x:f>
      </x:c>
      <x:c r="AH727" s="30" t="str">
        <x:f>IF(ISNUMBER(AG727),U727/AG727,"")</x:f>
      </x:c>
      <x:c r="AI727" s="3" t="str">
        <x:v>同年式・グレードの検証済み当時価格なし／登録年混在</x:v>
      </x:c>
      <x:c r="AJ727" s="3" t="str">
        <x:v>一覧価格/年式のみ</x:v>
      </x:c>
      <x:c r="AK727" s="3" t="str">
        <x:v>一覧の表示価格。年式は掲載年式。</x:v>
      </x:c>
      <x:c r="AL727" s="31" t="n">
        <x:f>IF(AND(J727&lt;='分析方法'!$B$7,OR(ISBLANK(O727),O727&gt;='分析方法'!$B$8),X727&lt;&gt;"売却済み表示"),1,0)</x:f>
        <x:v>1</x:v>
      </x:c>
      <x:c r="AM727" s="32" t="n">
        <x:f>IF(AL727=1,U727,"")</x:f>
        <x:v>399000</x:v>
      </x:c>
      <x:c r="AN727" s="33" t="str">
        <x:f>IF(AL727=1,AF727,"")</x:f>
      </x:c>
      <x:c r="AO727" s="31" t="n">
        <x:f>'分析方法'!$B$6-J727</x:f>
        <x:v>5</x:v>
      </x:c>
      <x:c r="AP727" s="3"/>
    </x:row>
    <x:row r="728" ht="22" customHeight="1">
      <x:c r="A728" s="3" t="str">
        <x:v>T2910953</x:v>
      </x:c>
      <x:c r="B728" s="7" t="d">
        <x:v>2026-10-08T00:00:00.000Z</x:v>
      </x:c>
      <x:c r="C728" s="3" t="str">
        <x:v>Taladrod</x:v>
      </x:c>
      <x:c r="D728" s="3" t="str">
        <x:v>Toyota</x:v>
      </x:c>
      <x:c r="E728" s="3" t="str">
        <x:v>日本</x:v>
      </x:c>
      <x:c r="F728" s="3" t="str">
        <x:v>Hilux Revo</x:v>
      </x:c>
      <x:c r="G728" s="3" t="str">
        <x:v>ICE</x:v>
      </x:c>
      <x:c r="H728" s="3" t="str">
        <x:v>Pickup</x:v>
      </x:c>
      <x:c r="I728" s="3" t="str">
        <x:v>Double cab</x:v>
      </x:c>
      <x:c r="J728" s="3" t="n">
        <x:v>2021</x:v>
      </x:c>
      <x:c r="K728" s="3" t="str">
        <x:v>2.4 ENTRY Z EDITION DOUBLE CAB</x:v>
      </x:c>
      <x:c r="L728" s="3" t="str">
        <x:v>2.4 ENTRY Z EDITION DOUBLE CAB</x:v>
      </x:c>
      <x:c r="M728" s="22"/>
      <x:c r="N728" s="22"/>
      <x:c r="O728" s="22"/>
      <x:c r="P728" s="3" t="str">
        <x:v>未掲載</x:v>
      </x:c>
      <x:c r="Q728" s="3" t="str">
        <x:v>未取得</x:v>
      </x:c>
      <x:c r="R728" s="3" t="str">
        <x:v>Unknown</x:v>
      </x:c>
      <x:c r="S728" s="3" t="str">
        <x:v>不明</x:v>
      </x:c>
      <x:c r="T728" s="3" t="str">
        <x:v>世代不明</x:v>
      </x:c>
      <x:c r="U728" s="28" t="n">
        <x:v>489000</x:v>
      </x:c>
      <x:c r="V728" s="28"/>
      <x:c r="W728" s="3" t="str">
        <x:v>事故・水没・SOH・保証残は未確認</x:v>
      </x:c>
      <x:c r="X728" s="3" t="str">
        <x:v>掲載中・在庫未確認</x:v>
      </x:c>
      <x:c r="Y728" s="3" t="str"/>
      <x:c r="Z728" s="27" t="str">
        <x:v>https://www.taladrod.com/w40/icar/cardet.aspx?cid=2910953</x:v>
      </x:c>
      <x:c r="AA728" s="3" t="str">
        <x:v>Taladrod個別広告ID／Carsome在庫ID</x:v>
      </x:c>
      <x:c r="AB728" s="3" t="str">
        <x:v>車台番号未取得／サイト間重複は未判定</x:v>
      </x:c>
      <x:c r="AC728" s="3" t="str">
        <x:v>税込区分未確認（一覧表示額）</x:v>
      </x:c>
      <x:c r="AD728" s="3" t="str"/>
      <x:c r="AE728" s="29" t="str">
        <x:f>""</x:f>
      </x:c>
      <x:c r="AF728" s="30" t="str">
        <x:f>IF(ISNUMBER(AE728),U728/AE728,"")</x:f>
      </x:c>
      <x:c r="AG728" s="29" t="str">
        <x:f>""</x:f>
      </x:c>
      <x:c r="AH728" s="30" t="str">
        <x:f>IF(ISNUMBER(AG728),U728/AG728,"")</x:f>
      </x:c>
      <x:c r="AI728" s="3" t="str">
        <x:v>同年式・グレードの検証済み当時価格なし／登録年混在</x:v>
      </x:c>
      <x:c r="AJ728" s="3" t="str">
        <x:v>一覧価格/年式のみ</x:v>
      </x:c>
      <x:c r="AK728" s="3" t="str">
        <x:v>一覧の表示価格。年式は掲載年式。</x:v>
      </x:c>
      <x:c r="AL728" s="31" t="n">
        <x:f>IF(AND(J728&lt;='分析方法'!$B$7,OR(ISBLANK(O728),O728&gt;='分析方法'!$B$8),X728&lt;&gt;"売却済み表示"),1,0)</x:f>
        <x:v>1</x:v>
      </x:c>
      <x:c r="AM728" s="32" t="n">
        <x:f>IF(AL728=1,U728,"")</x:f>
        <x:v>489000</x:v>
      </x:c>
      <x:c r="AN728" s="33" t="str">
        <x:f>IF(AL728=1,AF728,"")</x:f>
      </x:c>
      <x:c r="AO728" s="31" t="n">
        <x:f>'分析方法'!$B$6-J728</x:f>
        <x:v>5</x:v>
      </x:c>
      <x:c r="AP728" s="3"/>
    </x:row>
    <x:row r="729" ht="22" customHeight="1">
      <x:c r="A729" s="3" t="str">
        <x:v>T2920529</x:v>
      </x:c>
      <x:c r="B729" s="7" t="d">
        <x:v>2026-10-08T00:00:00.000Z</x:v>
      </x:c>
      <x:c r="C729" s="3" t="str">
        <x:v>Taladrod</x:v>
      </x:c>
      <x:c r="D729" s="3" t="str">
        <x:v>Toyota</x:v>
      </x:c>
      <x:c r="E729" s="3" t="str">
        <x:v>日本</x:v>
      </x:c>
      <x:c r="F729" s="3" t="str">
        <x:v>Hilux Revo</x:v>
      </x:c>
      <x:c r="G729" s="3" t="str">
        <x:v>ICE</x:v>
      </x:c>
      <x:c r="H729" s="3" t="str">
        <x:v>Pickup</x:v>
      </x:c>
      <x:c r="I729" s="3" t="str">
        <x:v>Double cab</x:v>
      </x:c>
      <x:c r="J729" s="3" t="n">
        <x:v>2021</x:v>
      </x:c>
      <x:c r="K729" s="3" t="str">
        <x:v>2.4 ENTRY Z EDITION DOUBLE CAB</x:v>
      </x:c>
      <x:c r="L729" s="3" t="str">
        <x:v>2.4 ENTRY Z EDITION DOUBLE CAB</x:v>
      </x:c>
      <x:c r="M729" s="22"/>
      <x:c r="N729" s="22"/>
      <x:c r="O729" s="22"/>
      <x:c r="P729" s="3" t="str">
        <x:v>未掲載</x:v>
      </x:c>
      <x:c r="Q729" s="3" t="str">
        <x:v>未取得</x:v>
      </x:c>
      <x:c r="R729" s="3" t="str">
        <x:v>Unknown</x:v>
      </x:c>
      <x:c r="S729" s="3" t="str">
        <x:v>不明</x:v>
      </x:c>
      <x:c r="T729" s="3" t="str">
        <x:v>世代不明</x:v>
      </x:c>
      <x:c r="U729" s="28" t="n">
        <x:v>488000</x:v>
      </x:c>
      <x:c r="V729" s="28"/>
      <x:c r="W729" s="3" t="str">
        <x:v>事故・水没・SOH・保証残は未確認</x:v>
      </x:c>
      <x:c r="X729" s="3" t="str">
        <x:v>掲載中・在庫未確認</x:v>
      </x:c>
      <x:c r="Y729" s="3" t="str"/>
      <x:c r="Z729" s="27" t="str">
        <x:v>https://www.taladrod.com/w40/icar/cardet.aspx?cid=2920529</x:v>
      </x:c>
      <x:c r="AA729" s="3" t="str">
        <x:v>Taladrod個別広告ID／Carsome在庫ID</x:v>
      </x:c>
      <x:c r="AB729" s="3" t="str">
        <x:v>車台番号未取得／サイト間重複は未判定</x:v>
      </x:c>
      <x:c r="AC729" s="3" t="str">
        <x:v>税込区分未確認（一覧表示額）</x:v>
      </x:c>
      <x:c r="AD729" s="3" t="str"/>
      <x:c r="AE729" s="29" t="str">
        <x:f>""</x:f>
      </x:c>
      <x:c r="AF729" s="30" t="str">
        <x:f>IF(ISNUMBER(AE729),U729/AE729,"")</x:f>
      </x:c>
      <x:c r="AG729" s="29" t="str">
        <x:f>""</x:f>
      </x:c>
      <x:c r="AH729" s="30" t="str">
        <x:f>IF(ISNUMBER(AG729),U729/AG729,"")</x:f>
      </x:c>
      <x:c r="AI729" s="3" t="str">
        <x:v>同年式・グレードの検証済み当時価格なし／登録年混在</x:v>
      </x:c>
      <x:c r="AJ729" s="3" t="str">
        <x:v>一覧価格/年式のみ</x:v>
      </x:c>
      <x:c r="AK729" s="3" t="str">
        <x:v>一覧の表示価格。年式は掲載年式。</x:v>
      </x:c>
      <x:c r="AL729" s="31" t="n">
        <x:f>IF(AND(J729&lt;='分析方法'!$B$7,OR(ISBLANK(O729),O729&gt;='分析方法'!$B$8),X729&lt;&gt;"売却済み表示"),1,0)</x:f>
        <x:v>1</x:v>
      </x:c>
      <x:c r="AM729" s="32" t="n">
        <x:f>IF(AL729=1,U729,"")</x:f>
        <x:v>488000</x:v>
      </x:c>
      <x:c r="AN729" s="33" t="str">
        <x:f>IF(AL729=1,AF729,"")</x:f>
      </x:c>
      <x:c r="AO729" s="31" t="n">
        <x:f>'分析方法'!$B$6-J729</x:f>
        <x:v>5</x:v>
      </x:c>
      <x:c r="AP729" s="3"/>
    </x:row>
    <x:row r="730" ht="22" customHeight="1">
      <x:c r="A730" s="3" t="str">
        <x:v>T2923415</x:v>
      </x:c>
      <x:c r="B730" s="7" t="d">
        <x:v>2026-10-08T00:00:00.000Z</x:v>
      </x:c>
      <x:c r="C730" s="3" t="str">
        <x:v>Taladrod</x:v>
      </x:c>
      <x:c r="D730" s="3" t="str">
        <x:v>Toyota</x:v>
      </x:c>
      <x:c r="E730" s="3" t="str">
        <x:v>日本</x:v>
      </x:c>
      <x:c r="F730" s="3" t="str">
        <x:v>Hilux Revo</x:v>
      </x:c>
      <x:c r="G730" s="3" t="str">
        <x:v>ICE</x:v>
      </x:c>
      <x:c r="H730" s="3" t="str">
        <x:v>Pickup</x:v>
      </x:c>
      <x:c r="I730" s="3" t="str">
        <x:v>Double cab</x:v>
      </x:c>
      <x:c r="J730" s="3" t="n">
        <x:v>2021</x:v>
      </x:c>
      <x:c r="K730" s="3" t="str">
        <x:v>2.4 ENTRY Z EDITION DOUBLE CAB</x:v>
      </x:c>
      <x:c r="L730" s="3" t="str">
        <x:v>2.4 ENTRY Z EDITION DOUBLE CAB</x:v>
      </x:c>
      <x:c r="M730" s="22"/>
      <x:c r="N730" s="22"/>
      <x:c r="O730" s="22"/>
      <x:c r="P730" s="3" t="str">
        <x:v>未掲載</x:v>
      </x:c>
      <x:c r="Q730" s="3" t="str">
        <x:v>未取得</x:v>
      </x:c>
      <x:c r="R730" s="3" t="str">
        <x:v>Unknown</x:v>
      </x:c>
      <x:c r="S730" s="3" t="str">
        <x:v>不明</x:v>
      </x:c>
      <x:c r="T730" s="3" t="str">
        <x:v>世代不明</x:v>
      </x:c>
      <x:c r="U730" s="28" t="n">
        <x:v>439000</x:v>
      </x:c>
      <x:c r="V730" s="28"/>
      <x:c r="W730" s="3" t="str">
        <x:v>事故・水没・SOH・保証残は未確認</x:v>
      </x:c>
      <x:c r="X730" s="3" t="str">
        <x:v>掲載中・在庫未確認</x:v>
      </x:c>
      <x:c r="Y730" s="3" t="str"/>
      <x:c r="Z730" s="27" t="str">
        <x:v>https://www.taladrod.com/w40/icar/cardet.aspx?cid=2923415</x:v>
      </x:c>
      <x:c r="AA730" s="3" t="str">
        <x:v>Taladrod個別広告ID／Carsome在庫ID</x:v>
      </x:c>
      <x:c r="AB730" s="3" t="str">
        <x:v>車台番号未取得／サイト間重複は未判定</x:v>
      </x:c>
      <x:c r="AC730" s="3" t="str">
        <x:v>税込区分未確認（一覧表示額）</x:v>
      </x:c>
      <x:c r="AD730" s="3" t="str"/>
      <x:c r="AE730" s="29" t="str">
        <x:f>""</x:f>
      </x:c>
      <x:c r="AF730" s="30" t="str">
        <x:f>IF(ISNUMBER(AE730),U730/AE730,"")</x:f>
      </x:c>
      <x:c r="AG730" s="29" t="str">
        <x:f>""</x:f>
      </x:c>
      <x:c r="AH730" s="30" t="str">
        <x:f>IF(ISNUMBER(AG730),U730/AG730,"")</x:f>
      </x:c>
      <x:c r="AI730" s="3" t="str">
        <x:v>同年式・グレードの検証済み当時価格なし／登録年混在</x:v>
      </x:c>
      <x:c r="AJ730" s="3" t="str">
        <x:v>一覧価格/年式のみ</x:v>
      </x:c>
      <x:c r="AK730" s="3" t="str">
        <x:v>一覧の表示価格。年式は掲載年式。</x:v>
      </x:c>
      <x:c r="AL730" s="31" t="n">
        <x:f>IF(AND(J730&lt;='分析方法'!$B$7,OR(ISBLANK(O730),O730&gt;='分析方法'!$B$8),X730&lt;&gt;"売却済み表示"),1,0)</x:f>
        <x:v>1</x:v>
      </x:c>
      <x:c r="AM730" s="32" t="n">
        <x:f>IF(AL730=1,U730,"")</x:f>
        <x:v>439000</x:v>
      </x:c>
      <x:c r="AN730" s="33" t="str">
        <x:f>IF(AL730=1,AF730,"")</x:f>
      </x:c>
      <x:c r="AO730" s="31" t="n">
        <x:f>'分析方法'!$B$6-J730</x:f>
        <x:v>5</x:v>
      </x:c>
      <x:c r="AP730" s="3"/>
    </x:row>
    <x:row r="731" ht="22" customHeight="1">
      <x:c r="A731" s="3" t="str">
        <x:v>T2923531</x:v>
      </x:c>
      <x:c r="B731" s="7" t="d">
        <x:v>2026-10-08T00:00:00.000Z</x:v>
      </x:c>
      <x:c r="C731" s="3" t="str">
        <x:v>Taladrod</x:v>
      </x:c>
      <x:c r="D731" s="3" t="str">
        <x:v>Toyota</x:v>
      </x:c>
      <x:c r="E731" s="3" t="str">
        <x:v>日本</x:v>
      </x:c>
      <x:c r="F731" s="3" t="str">
        <x:v>Hilux Revo</x:v>
      </x:c>
      <x:c r="G731" s="3" t="str">
        <x:v>ICE</x:v>
      </x:c>
      <x:c r="H731" s="3" t="str">
        <x:v>Pickup</x:v>
      </x:c>
      <x:c r="I731" s="3" t="str">
        <x:v>Double cab</x:v>
      </x:c>
      <x:c r="J731" s="3" t="n">
        <x:v>2021</x:v>
      </x:c>
      <x:c r="K731" s="3" t="str">
        <x:v>2.4 ENTRY Z EDITION DOUBLE CAB</x:v>
      </x:c>
      <x:c r="L731" s="3" t="str">
        <x:v>2.4 ENTRY Z EDITION DOUBLE CAB</x:v>
      </x:c>
      <x:c r="M731" s="22"/>
      <x:c r="N731" s="22"/>
      <x:c r="O731" s="22"/>
      <x:c r="P731" s="3" t="str">
        <x:v>未掲載</x:v>
      </x:c>
      <x:c r="Q731" s="3" t="str">
        <x:v>未取得</x:v>
      </x:c>
      <x:c r="R731" s="3" t="str">
        <x:v>Unknown</x:v>
      </x:c>
      <x:c r="S731" s="3" t="str">
        <x:v>不明</x:v>
      </x:c>
      <x:c r="T731" s="3" t="str">
        <x:v>世代不明</x:v>
      </x:c>
      <x:c r="U731" s="28" t="n">
        <x:v>435000</x:v>
      </x:c>
      <x:c r="V731" s="28"/>
      <x:c r="W731" s="3" t="str">
        <x:v>事故・水没・SOH・保証残は未確認</x:v>
      </x:c>
      <x:c r="X731" s="3" t="str">
        <x:v>掲載中・在庫未確認</x:v>
      </x:c>
      <x:c r="Y731" s="3" t="str"/>
      <x:c r="Z731" s="27" t="str">
        <x:v>https://www.taladrod.com/w40/icar/cardet.aspx?cid=2923531</x:v>
      </x:c>
      <x:c r="AA731" s="3" t="str">
        <x:v>Taladrod個別広告ID／Carsome在庫ID</x:v>
      </x:c>
      <x:c r="AB731" s="3" t="str">
        <x:v>車台番号未取得／サイト間重複は未判定</x:v>
      </x:c>
      <x:c r="AC731" s="3" t="str">
        <x:v>税込区分未確認（一覧表示額）</x:v>
      </x:c>
      <x:c r="AD731" s="3" t="str"/>
      <x:c r="AE731" s="29" t="str">
        <x:f>""</x:f>
      </x:c>
      <x:c r="AF731" s="30" t="str">
        <x:f>IF(ISNUMBER(AE731),U731/AE731,"")</x:f>
      </x:c>
      <x:c r="AG731" s="29" t="str">
        <x:f>""</x:f>
      </x:c>
      <x:c r="AH731" s="30" t="str">
        <x:f>IF(ISNUMBER(AG731),U731/AG731,"")</x:f>
      </x:c>
      <x:c r="AI731" s="3" t="str">
        <x:v>同年式・グレードの検証済み当時価格なし／登録年混在</x:v>
      </x:c>
      <x:c r="AJ731" s="3" t="str">
        <x:v>一覧価格/年式のみ</x:v>
      </x:c>
      <x:c r="AK731" s="3" t="str">
        <x:v>一覧の表示価格。年式は掲載年式。</x:v>
      </x:c>
      <x:c r="AL731" s="31" t="n">
        <x:f>IF(AND(J731&lt;='分析方法'!$B$7,OR(ISBLANK(O731),O731&gt;='分析方法'!$B$8),X731&lt;&gt;"売却済み表示"),1,0)</x:f>
        <x:v>1</x:v>
      </x:c>
      <x:c r="AM731" s="32" t="n">
        <x:f>IF(AL731=1,U731,"")</x:f>
        <x:v>435000</x:v>
      </x:c>
      <x:c r="AN731" s="33" t="str">
        <x:f>IF(AL731=1,AF731,"")</x:f>
      </x:c>
      <x:c r="AO731" s="31" t="n">
        <x:f>'分析方法'!$B$6-J731</x:f>
        <x:v>5</x:v>
      </x:c>
      <x:c r="AP731" s="3"/>
    </x:row>
    <x:row r="732" ht="22" customHeight="1">
      <x:c r="A732" s="3" t="str">
        <x:v>T2888752</x:v>
      </x:c>
      <x:c r="B732" s="7" t="d">
        <x:v>2026-10-08T00:00:00.000Z</x:v>
      </x:c>
      <x:c r="C732" s="3" t="str">
        <x:v>Taladrod</x:v>
      </x:c>
      <x:c r="D732" s="3" t="str">
        <x:v>Toyota</x:v>
      </x:c>
      <x:c r="E732" s="3" t="str">
        <x:v>日本</x:v>
      </x:c>
      <x:c r="F732" s="3" t="str">
        <x:v>Hilux Revo</x:v>
      </x:c>
      <x:c r="G732" s="3" t="str">
        <x:v>ICE</x:v>
      </x:c>
      <x:c r="H732" s="3" t="str">
        <x:v>Pickup</x:v>
      </x:c>
      <x:c r="I732" s="3" t="str">
        <x:v>Smart cab</x:v>
      </x:c>
      <x:c r="J732" s="3" t="n">
        <x:v>2021</x:v>
      </x:c>
      <x:c r="K732" s="3" t="str">
        <x:v>2.4 ENTRY Z EDITION SMART CAB</x:v>
      </x:c>
      <x:c r="L732" s="3" t="str">
        <x:v>2.4 ENTRY Z EDITION SMART CAB</x:v>
      </x:c>
      <x:c r="M732" s="22"/>
      <x:c r="N732" s="22"/>
      <x:c r="O732" s="22"/>
      <x:c r="P732" s="3" t="str">
        <x:v>未掲載</x:v>
      </x:c>
      <x:c r="Q732" s="3" t="str">
        <x:v>未取得</x:v>
      </x:c>
      <x:c r="R732" s="3" t="str">
        <x:v>Unknown</x:v>
      </x:c>
      <x:c r="S732" s="3" t="str">
        <x:v>不明</x:v>
      </x:c>
      <x:c r="T732" s="3" t="str">
        <x:v>世代不明</x:v>
      </x:c>
      <x:c r="U732" s="28" t="n">
        <x:v>439000</x:v>
      </x:c>
      <x:c r="V732" s="28"/>
      <x:c r="W732" s="3" t="str">
        <x:v>事故・水没・SOH・保証残は未確認</x:v>
      </x:c>
      <x:c r="X732" s="3" t="str">
        <x:v>掲載中・在庫未確認</x:v>
      </x:c>
      <x:c r="Y732" s="3" t="str"/>
      <x:c r="Z732" s="27" t="str">
        <x:v>https://www.taladrod.com/w40/icar/cardet.aspx?cid=2888752</x:v>
      </x:c>
      <x:c r="AA732" s="3" t="str">
        <x:v>Taladrod個別広告ID／Carsome在庫ID</x:v>
      </x:c>
      <x:c r="AB732" s="3" t="str">
        <x:v>車台番号未取得／サイト間重複は未判定</x:v>
      </x:c>
      <x:c r="AC732" s="3" t="str">
        <x:v>税込区分未確認（一覧表示額）</x:v>
      </x:c>
      <x:c r="AD732" s="3" t="str"/>
      <x:c r="AE732" s="29" t="str">
        <x:f>""</x:f>
      </x:c>
      <x:c r="AF732" s="30" t="str">
        <x:f>IF(ISNUMBER(AE732),U732/AE732,"")</x:f>
      </x:c>
      <x:c r="AG732" s="29" t="str">
        <x:f>""</x:f>
      </x:c>
      <x:c r="AH732" s="30" t="str">
        <x:f>IF(ISNUMBER(AG732),U732/AG732,"")</x:f>
      </x:c>
      <x:c r="AI732" s="3" t="str">
        <x:v>同年式・グレードの検証済み当時価格なし／登録年混在</x:v>
      </x:c>
      <x:c r="AJ732" s="3" t="str">
        <x:v>一覧価格/年式のみ</x:v>
      </x:c>
      <x:c r="AK732" s="3" t="str">
        <x:v>一覧の表示価格。年式は掲載年式。</x:v>
      </x:c>
      <x:c r="AL732" s="31" t="n">
        <x:f>IF(AND(J732&lt;='分析方法'!$B$7,OR(ISBLANK(O732),O732&gt;='分析方法'!$B$8),X732&lt;&gt;"売却済み表示"),1,0)</x:f>
        <x:v>1</x:v>
      </x:c>
      <x:c r="AM732" s="32" t="n">
        <x:f>IF(AL732=1,U732,"")</x:f>
        <x:v>439000</x:v>
      </x:c>
      <x:c r="AN732" s="33" t="str">
        <x:f>IF(AL732=1,AF732,"")</x:f>
      </x:c>
      <x:c r="AO732" s="31" t="n">
        <x:f>'分析方法'!$B$6-J732</x:f>
        <x:v>5</x:v>
      </x:c>
      <x:c r="AP732" s="3"/>
    </x:row>
    <x:row r="733" ht="22" customHeight="1">
      <x:c r="A733" s="3" t="str">
        <x:v>T2915288</x:v>
      </x:c>
      <x:c r="B733" s="7" t="d">
        <x:v>2026-10-08T00:00:00.000Z</x:v>
      </x:c>
      <x:c r="C733" s="3" t="str">
        <x:v>Taladrod</x:v>
      </x:c>
      <x:c r="D733" s="3" t="str">
        <x:v>Toyota</x:v>
      </x:c>
      <x:c r="E733" s="3" t="str">
        <x:v>日本</x:v>
      </x:c>
      <x:c r="F733" s="3" t="str">
        <x:v>Hilux Revo</x:v>
      </x:c>
      <x:c r="G733" s="3" t="str">
        <x:v>ICE</x:v>
      </x:c>
      <x:c r="H733" s="3" t="str">
        <x:v>Pickup</x:v>
      </x:c>
      <x:c r="I733" s="3" t="str">
        <x:v>Smart cab</x:v>
      </x:c>
      <x:c r="J733" s="3" t="n">
        <x:v>2021</x:v>
      </x:c>
      <x:c r="K733" s="3" t="str">
        <x:v>2.4 ENTRY Z EDITION SMART CAB</x:v>
      </x:c>
      <x:c r="L733" s="3" t="str">
        <x:v>2.4 ENTRY Z EDITION SMART CAB</x:v>
      </x:c>
      <x:c r="M733" s="22"/>
      <x:c r="N733" s="22"/>
      <x:c r="O733" s="22"/>
      <x:c r="P733" s="3" t="str">
        <x:v>未掲載</x:v>
      </x:c>
      <x:c r="Q733" s="3" t="str">
        <x:v>未取得</x:v>
      </x:c>
      <x:c r="R733" s="3" t="str">
        <x:v>Unknown</x:v>
      </x:c>
      <x:c r="S733" s="3" t="str">
        <x:v>不明</x:v>
      </x:c>
      <x:c r="T733" s="3" t="str">
        <x:v>世代不明</x:v>
      </x:c>
      <x:c r="U733" s="28" t="n">
        <x:v>375000</x:v>
      </x:c>
      <x:c r="V733" s="28"/>
      <x:c r="W733" s="3" t="str">
        <x:v>事故・水没・SOH・保証残は未確認</x:v>
      </x:c>
      <x:c r="X733" s="3" t="str">
        <x:v>掲載中・在庫未確認</x:v>
      </x:c>
      <x:c r="Y733" s="3" t="str"/>
      <x:c r="Z733" s="27" t="str">
        <x:v>https://www.taladrod.com/w40/icar/cardet.aspx?cid=2915288</x:v>
      </x:c>
      <x:c r="AA733" s="3" t="str">
        <x:v>Taladrod個別広告ID／Carsome在庫ID</x:v>
      </x:c>
      <x:c r="AB733" s="3" t="str">
        <x:v>車台番号未取得／サイト間重複は未判定</x:v>
      </x:c>
      <x:c r="AC733" s="3" t="str">
        <x:v>税込区分未確認（一覧表示額）</x:v>
      </x:c>
      <x:c r="AD733" s="3" t="str"/>
      <x:c r="AE733" s="29" t="str">
        <x:f>""</x:f>
      </x:c>
      <x:c r="AF733" s="30" t="str">
        <x:f>IF(ISNUMBER(AE733),U733/AE733,"")</x:f>
      </x:c>
      <x:c r="AG733" s="29" t="str">
        <x:f>""</x:f>
      </x:c>
      <x:c r="AH733" s="30" t="str">
        <x:f>IF(ISNUMBER(AG733),U733/AG733,"")</x:f>
      </x:c>
      <x:c r="AI733" s="3" t="str">
        <x:v>同年式・グレードの検証済み当時価格なし／登録年混在</x:v>
      </x:c>
      <x:c r="AJ733" s="3" t="str">
        <x:v>一覧価格/年式のみ</x:v>
      </x:c>
      <x:c r="AK733" s="3" t="str">
        <x:v>一覧の表示価格。年式は掲載年式。</x:v>
      </x:c>
      <x:c r="AL733" s="31" t="n">
        <x:f>IF(AND(J733&lt;='分析方法'!$B$7,OR(ISBLANK(O733),O733&gt;='分析方法'!$B$8),X733&lt;&gt;"売却済み表示"),1,0)</x:f>
        <x:v>1</x:v>
      </x:c>
      <x:c r="AM733" s="32" t="n">
        <x:f>IF(AL733=1,U733,"")</x:f>
        <x:v>375000</x:v>
      </x:c>
      <x:c r="AN733" s="33" t="str">
        <x:f>IF(AL733=1,AF733,"")</x:f>
      </x:c>
      <x:c r="AO733" s="31" t="n">
        <x:f>'分析方法'!$B$6-J733</x:f>
        <x:v>5</x:v>
      </x:c>
      <x:c r="AP733" s="3"/>
    </x:row>
    <x:row r="734" ht="22" customHeight="1">
      <x:c r="A734" s="3" t="str">
        <x:v>T2919410</x:v>
      </x:c>
      <x:c r="B734" s="7" t="d">
        <x:v>2026-10-08T00:00:00.000Z</x:v>
      </x:c>
      <x:c r="C734" s="3" t="str">
        <x:v>Taladrod</x:v>
      </x:c>
      <x:c r="D734" s="3" t="str">
        <x:v>Toyota</x:v>
      </x:c>
      <x:c r="E734" s="3" t="str">
        <x:v>日本</x:v>
      </x:c>
      <x:c r="F734" s="3" t="str">
        <x:v>Hilux Revo</x:v>
      </x:c>
      <x:c r="G734" s="3" t="str">
        <x:v>ICE</x:v>
      </x:c>
      <x:c r="H734" s="3" t="str">
        <x:v>Pickup</x:v>
      </x:c>
      <x:c r="I734" s="3" t="str">
        <x:v>Smart cab</x:v>
      </x:c>
      <x:c r="J734" s="3" t="n">
        <x:v>2021</x:v>
      </x:c>
      <x:c r="K734" s="3" t="str">
        <x:v>2.4 ENTRY Z EDITION SMART CAB</x:v>
      </x:c>
      <x:c r="L734" s="3" t="str">
        <x:v>2.4 ENTRY Z EDITION SMART CAB</x:v>
      </x:c>
      <x:c r="M734" s="22"/>
      <x:c r="N734" s="22"/>
      <x:c r="O734" s="22"/>
      <x:c r="P734" s="3" t="str">
        <x:v>未掲載</x:v>
      </x:c>
      <x:c r="Q734" s="3" t="str">
        <x:v>未取得</x:v>
      </x:c>
      <x:c r="R734" s="3" t="str">
        <x:v>Unknown</x:v>
      </x:c>
      <x:c r="S734" s="3" t="str">
        <x:v>不明</x:v>
      </x:c>
      <x:c r="T734" s="3" t="str">
        <x:v>世代不明</x:v>
      </x:c>
      <x:c r="U734" s="28" t="n">
        <x:v>379000</x:v>
      </x:c>
      <x:c r="V734" s="28"/>
      <x:c r="W734" s="3" t="str">
        <x:v>事故・水没・SOH・保証残は未確認</x:v>
      </x:c>
      <x:c r="X734" s="3" t="str">
        <x:v>掲載中・在庫未確認</x:v>
      </x:c>
      <x:c r="Y734" s="3" t="str"/>
      <x:c r="Z734" s="27" t="str">
        <x:v>https://www.taladrod.com/w40/icar/cardet.aspx?cid=2919410</x:v>
      </x:c>
      <x:c r="AA734" s="3" t="str">
        <x:v>Taladrod個別広告ID／Carsome在庫ID</x:v>
      </x:c>
      <x:c r="AB734" s="3" t="str">
        <x:v>車台番号未取得／サイト間重複は未判定</x:v>
      </x:c>
      <x:c r="AC734" s="3" t="str">
        <x:v>税込区分未確認（一覧表示額）</x:v>
      </x:c>
      <x:c r="AD734" s="3" t="str"/>
      <x:c r="AE734" s="29" t="str">
        <x:f>""</x:f>
      </x:c>
      <x:c r="AF734" s="30" t="str">
        <x:f>IF(ISNUMBER(AE734),U734/AE734,"")</x:f>
      </x:c>
      <x:c r="AG734" s="29" t="str">
        <x:f>""</x:f>
      </x:c>
      <x:c r="AH734" s="30" t="str">
        <x:f>IF(ISNUMBER(AG734),U734/AG734,"")</x:f>
      </x:c>
      <x:c r="AI734" s="3" t="str">
        <x:v>同年式・グレードの検証済み当時価格なし／登録年混在</x:v>
      </x:c>
      <x:c r="AJ734" s="3" t="str">
        <x:v>一覧価格/年式のみ</x:v>
      </x:c>
      <x:c r="AK734" s="3" t="str">
        <x:v>一覧の表示価格。年式は掲載年式。</x:v>
      </x:c>
      <x:c r="AL734" s="31" t="n">
        <x:f>IF(AND(J734&lt;='分析方法'!$B$7,OR(ISBLANK(O734),O734&gt;='分析方法'!$B$8),X734&lt;&gt;"売却済み表示"),1,0)</x:f>
        <x:v>1</x:v>
      </x:c>
      <x:c r="AM734" s="32" t="n">
        <x:f>IF(AL734=1,U734,"")</x:f>
        <x:v>379000</x:v>
      </x:c>
      <x:c r="AN734" s="33" t="str">
        <x:f>IF(AL734=1,AF734,"")</x:f>
      </x:c>
      <x:c r="AO734" s="31" t="n">
        <x:f>'分析方法'!$B$6-J734</x:f>
        <x:v>5</x:v>
      </x:c>
      <x:c r="AP734" s="3"/>
    </x:row>
    <x:row r="735" ht="22" customHeight="1">
      <x:c r="A735" s="3" t="str">
        <x:v>T2919602</x:v>
      </x:c>
      <x:c r="B735" s="7" t="d">
        <x:v>2026-10-08T00:00:00.000Z</x:v>
      </x:c>
      <x:c r="C735" s="3" t="str">
        <x:v>Taladrod</x:v>
      </x:c>
      <x:c r="D735" s="3" t="str">
        <x:v>Toyota</x:v>
      </x:c>
      <x:c r="E735" s="3" t="str">
        <x:v>日本</x:v>
      </x:c>
      <x:c r="F735" s="3" t="str">
        <x:v>Hilux Revo</x:v>
      </x:c>
      <x:c r="G735" s="3" t="str">
        <x:v>ICE</x:v>
      </x:c>
      <x:c r="H735" s="3" t="str">
        <x:v>Pickup</x:v>
      </x:c>
      <x:c r="I735" s="3" t="str">
        <x:v>Smart cab</x:v>
      </x:c>
      <x:c r="J735" s="3" t="n">
        <x:v>2021</x:v>
      </x:c>
      <x:c r="K735" s="3" t="str">
        <x:v>2.4 ENTRY Z EDITION SMART CAB</x:v>
      </x:c>
      <x:c r="L735" s="3" t="str">
        <x:v>2.4 ENTRY Z EDITION SMART CAB</x:v>
      </x:c>
      <x:c r="M735" s="22"/>
      <x:c r="N735" s="22"/>
      <x:c r="O735" s="22"/>
      <x:c r="P735" s="3" t="str">
        <x:v>未掲載</x:v>
      </x:c>
      <x:c r="Q735" s="3" t="str">
        <x:v>未取得</x:v>
      </x:c>
      <x:c r="R735" s="3" t="str">
        <x:v>Unknown</x:v>
      </x:c>
      <x:c r="S735" s="3" t="str">
        <x:v>不明</x:v>
      </x:c>
      <x:c r="T735" s="3" t="str">
        <x:v>世代不明</x:v>
      </x:c>
      <x:c r="U735" s="28" t="n">
        <x:v>340000</x:v>
      </x:c>
      <x:c r="V735" s="28"/>
      <x:c r="W735" s="3" t="str">
        <x:v>事故・水没・SOH・保証残は未確認</x:v>
      </x:c>
      <x:c r="X735" s="3" t="str">
        <x:v>掲載中・在庫未確認</x:v>
      </x:c>
      <x:c r="Y735" s="3" t="str"/>
      <x:c r="Z735" s="27" t="str">
        <x:v>https://www.taladrod.com/w40/icar/cardet.aspx?cid=2919602</x:v>
      </x:c>
      <x:c r="AA735" s="3" t="str">
        <x:v>Taladrod個別広告ID／Carsome在庫ID</x:v>
      </x:c>
      <x:c r="AB735" s="3" t="str">
        <x:v>車台番号未取得／サイト間重複は未判定</x:v>
      </x:c>
      <x:c r="AC735" s="3" t="str">
        <x:v>税込区分未確認（一覧表示額）</x:v>
      </x:c>
      <x:c r="AD735" s="3" t="str"/>
      <x:c r="AE735" s="29" t="str">
        <x:f>""</x:f>
      </x:c>
      <x:c r="AF735" s="30" t="str">
        <x:f>IF(ISNUMBER(AE735),U735/AE735,"")</x:f>
      </x:c>
      <x:c r="AG735" s="29" t="str">
        <x:f>""</x:f>
      </x:c>
      <x:c r="AH735" s="30" t="str">
        <x:f>IF(ISNUMBER(AG735),U735/AG735,"")</x:f>
      </x:c>
      <x:c r="AI735" s="3" t="str">
        <x:v>同年式・グレードの検証済み当時価格なし／登録年混在</x:v>
      </x:c>
      <x:c r="AJ735" s="3" t="str">
        <x:v>一覧価格/年式のみ</x:v>
      </x:c>
      <x:c r="AK735" s="3" t="str">
        <x:v>一覧の表示価格。年式は掲載年式。</x:v>
      </x:c>
      <x:c r="AL735" s="31" t="n">
        <x:f>IF(AND(J735&lt;='分析方法'!$B$7,OR(ISBLANK(O735),O735&gt;='分析方法'!$B$8),X735&lt;&gt;"売却済み表示"),1,0)</x:f>
        <x:v>1</x:v>
      </x:c>
      <x:c r="AM735" s="32" t="n">
        <x:f>IF(AL735=1,U735,"")</x:f>
        <x:v>340000</x:v>
      </x:c>
      <x:c r="AN735" s="33" t="str">
        <x:f>IF(AL735=1,AF735,"")</x:f>
      </x:c>
      <x:c r="AO735" s="31" t="n">
        <x:f>'分析方法'!$B$6-J735</x:f>
        <x:v>5</x:v>
      </x:c>
      <x:c r="AP735" s="3"/>
    </x:row>
    <x:row r="736" ht="22" customHeight="1">
      <x:c r="A736" s="3" t="str">
        <x:v>T2921996</x:v>
      </x:c>
      <x:c r="B736" s="7" t="d">
        <x:v>2026-10-08T00:00:00.000Z</x:v>
      </x:c>
      <x:c r="C736" s="3" t="str">
        <x:v>Taladrod</x:v>
      </x:c>
      <x:c r="D736" s="3" t="str">
        <x:v>Toyota</x:v>
      </x:c>
      <x:c r="E736" s="3" t="str">
        <x:v>日本</x:v>
      </x:c>
      <x:c r="F736" s="3" t="str">
        <x:v>Hilux Revo</x:v>
      </x:c>
      <x:c r="G736" s="3" t="str">
        <x:v>ICE</x:v>
      </x:c>
      <x:c r="H736" s="3" t="str">
        <x:v>Pickup</x:v>
      </x:c>
      <x:c r="I736" s="3" t="str">
        <x:v>Smart cab</x:v>
      </x:c>
      <x:c r="J736" s="3" t="n">
        <x:v>2021</x:v>
      </x:c>
      <x:c r="K736" s="3" t="str">
        <x:v>2.4 ENTRY Z EDITION SMART CAB</x:v>
      </x:c>
      <x:c r="L736" s="3" t="str">
        <x:v>2.4 ENTRY Z EDITION SMART CAB</x:v>
      </x:c>
      <x:c r="M736" s="22"/>
      <x:c r="N736" s="22"/>
      <x:c r="O736" s="22"/>
      <x:c r="P736" s="3" t="str">
        <x:v>未掲載</x:v>
      </x:c>
      <x:c r="Q736" s="3" t="str">
        <x:v>未取得</x:v>
      </x:c>
      <x:c r="R736" s="3" t="str">
        <x:v>Unknown</x:v>
      </x:c>
      <x:c r="S736" s="3" t="str">
        <x:v>不明</x:v>
      </x:c>
      <x:c r="T736" s="3" t="str">
        <x:v>世代不明</x:v>
      </x:c>
      <x:c r="U736" s="28" t="n">
        <x:v>399000</x:v>
      </x:c>
      <x:c r="V736" s="28"/>
      <x:c r="W736" s="3" t="str">
        <x:v>事故・水没・SOH・保証残は未確認</x:v>
      </x:c>
      <x:c r="X736" s="3" t="str">
        <x:v>掲載中・在庫未確認</x:v>
      </x:c>
      <x:c r="Y736" s="3" t="str"/>
      <x:c r="Z736" s="27" t="str">
        <x:v>https://www.taladrod.com/w40/icar/cardet.aspx?cid=2921996</x:v>
      </x:c>
      <x:c r="AA736" s="3" t="str">
        <x:v>Taladrod個別広告ID／Carsome在庫ID</x:v>
      </x:c>
      <x:c r="AB736" s="3" t="str">
        <x:v>車台番号未取得／サイト間重複は未判定</x:v>
      </x:c>
      <x:c r="AC736" s="3" t="str">
        <x:v>税込区分未確認（一覧表示額）</x:v>
      </x:c>
      <x:c r="AD736" s="3" t="str"/>
      <x:c r="AE736" s="29" t="str">
        <x:f>""</x:f>
      </x:c>
      <x:c r="AF736" s="30" t="str">
        <x:f>IF(ISNUMBER(AE736),U736/AE736,"")</x:f>
      </x:c>
      <x:c r="AG736" s="29" t="str">
        <x:f>""</x:f>
      </x:c>
      <x:c r="AH736" s="30" t="str">
        <x:f>IF(ISNUMBER(AG736),U736/AG736,"")</x:f>
      </x:c>
      <x:c r="AI736" s="3" t="str">
        <x:v>同年式・グレードの検証済み当時価格なし／登録年混在</x:v>
      </x:c>
      <x:c r="AJ736" s="3" t="str">
        <x:v>一覧価格/年式のみ</x:v>
      </x:c>
      <x:c r="AK736" s="3" t="str">
        <x:v>一覧の表示価格。年式は掲載年式。</x:v>
      </x:c>
      <x:c r="AL736" s="31" t="n">
        <x:f>IF(AND(J736&lt;='分析方法'!$B$7,OR(ISBLANK(O736),O736&gt;='分析方法'!$B$8),X736&lt;&gt;"売却済み表示"),1,0)</x:f>
        <x:v>1</x:v>
      </x:c>
      <x:c r="AM736" s="32" t="n">
        <x:f>IF(AL736=1,U736,"")</x:f>
        <x:v>399000</x:v>
      </x:c>
      <x:c r="AN736" s="33" t="str">
        <x:f>IF(AL736=1,AF736,"")</x:f>
      </x:c>
      <x:c r="AO736" s="31" t="n">
        <x:f>'分析方法'!$B$6-J736</x:f>
        <x:v>5</x:v>
      </x:c>
      <x:c r="AP736" s="3"/>
    </x:row>
    <x:row r="737" ht="22" customHeight="1">
      <x:c r="A737" s="3" t="str">
        <x:v>T2922412</x:v>
      </x:c>
      <x:c r="B737" s="7" t="d">
        <x:v>2026-10-08T00:00:00.000Z</x:v>
      </x:c>
      <x:c r="C737" s="3" t="str">
        <x:v>Taladrod</x:v>
      </x:c>
      <x:c r="D737" s="3" t="str">
        <x:v>Toyota</x:v>
      </x:c>
      <x:c r="E737" s="3" t="str">
        <x:v>日本</x:v>
      </x:c>
      <x:c r="F737" s="3" t="str">
        <x:v>Hilux Revo</x:v>
      </x:c>
      <x:c r="G737" s="3" t="str">
        <x:v>ICE</x:v>
      </x:c>
      <x:c r="H737" s="3" t="str">
        <x:v>Pickup</x:v>
      </x:c>
      <x:c r="I737" s="3" t="str">
        <x:v>Smart cab</x:v>
      </x:c>
      <x:c r="J737" s="3" t="n">
        <x:v>2021</x:v>
      </x:c>
      <x:c r="K737" s="3" t="str">
        <x:v>2.4 ENTRY Z EDITION SMART CAB</x:v>
      </x:c>
      <x:c r="L737" s="3" t="str">
        <x:v>2.4 ENTRY Z EDITION SMART CAB</x:v>
      </x:c>
      <x:c r="M737" s="22"/>
      <x:c r="N737" s="22"/>
      <x:c r="O737" s="22"/>
      <x:c r="P737" s="3" t="str">
        <x:v>未掲載</x:v>
      </x:c>
      <x:c r="Q737" s="3" t="str">
        <x:v>未取得</x:v>
      </x:c>
      <x:c r="R737" s="3" t="str">
        <x:v>Unknown</x:v>
      </x:c>
      <x:c r="S737" s="3" t="str">
        <x:v>不明</x:v>
      </x:c>
      <x:c r="T737" s="3" t="str">
        <x:v>世代不明</x:v>
      </x:c>
      <x:c r="U737" s="28" t="n">
        <x:v>319000</x:v>
      </x:c>
      <x:c r="V737" s="28"/>
      <x:c r="W737" s="3" t="str">
        <x:v>事故・水没・SOH・保証残は未確認</x:v>
      </x:c>
      <x:c r="X737" s="3" t="str">
        <x:v>掲載中・在庫未確認</x:v>
      </x:c>
      <x:c r="Y737" s="3" t="str"/>
      <x:c r="Z737" s="27" t="str">
        <x:v>https://www.taladrod.com/w40/icar/cardet.aspx?cid=2922412</x:v>
      </x:c>
      <x:c r="AA737" s="3" t="str">
        <x:v>Taladrod個別広告ID／Carsome在庫ID</x:v>
      </x:c>
      <x:c r="AB737" s="3" t="str">
        <x:v>車台番号未取得／サイト間重複は未判定</x:v>
      </x:c>
      <x:c r="AC737" s="3" t="str">
        <x:v>税込区分未確認（一覧表示額）</x:v>
      </x:c>
      <x:c r="AD737" s="3" t="str"/>
      <x:c r="AE737" s="29" t="str">
        <x:f>""</x:f>
      </x:c>
      <x:c r="AF737" s="30" t="str">
        <x:f>IF(ISNUMBER(AE737),U737/AE737,"")</x:f>
      </x:c>
      <x:c r="AG737" s="29" t="str">
        <x:f>""</x:f>
      </x:c>
      <x:c r="AH737" s="30" t="str">
        <x:f>IF(ISNUMBER(AG737),U737/AG737,"")</x:f>
      </x:c>
      <x:c r="AI737" s="3" t="str">
        <x:v>同年式・グレードの検証済み当時価格なし／登録年混在</x:v>
      </x:c>
      <x:c r="AJ737" s="3" t="str">
        <x:v>一覧価格/年式のみ</x:v>
      </x:c>
      <x:c r="AK737" s="3" t="str">
        <x:v>一覧の表示価格。年式は掲載年式。</x:v>
      </x:c>
      <x:c r="AL737" s="31" t="n">
        <x:f>IF(AND(J737&lt;='分析方法'!$B$7,OR(ISBLANK(O737),O737&gt;='分析方法'!$B$8),X737&lt;&gt;"売却済み表示"),1,0)</x:f>
        <x:v>1</x:v>
      </x:c>
      <x:c r="AM737" s="32" t="n">
        <x:f>IF(AL737=1,U737,"")</x:f>
        <x:v>319000</x:v>
      </x:c>
      <x:c r="AN737" s="33" t="str">
        <x:f>IF(AL737=1,AF737,"")</x:f>
      </x:c>
      <x:c r="AO737" s="31" t="n">
        <x:f>'分析方法'!$B$6-J737</x:f>
        <x:v>5</x:v>
      </x:c>
      <x:c r="AP737" s="3"/>
    </x:row>
    <x:row r="738" ht="22" customHeight="1">
      <x:c r="A738" s="3" t="str">
        <x:v>T2924027</x:v>
      </x:c>
      <x:c r="B738" s="7" t="d">
        <x:v>2026-10-08T00:00:00.000Z</x:v>
      </x:c>
      <x:c r="C738" s="3" t="str">
        <x:v>Taladrod</x:v>
      </x:c>
      <x:c r="D738" s="3" t="str">
        <x:v>Toyota</x:v>
      </x:c>
      <x:c r="E738" s="3" t="str">
        <x:v>日本</x:v>
      </x:c>
      <x:c r="F738" s="3" t="str">
        <x:v>Hilux Revo</x:v>
      </x:c>
      <x:c r="G738" s="3" t="str">
        <x:v>ICE</x:v>
      </x:c>
      <x:c r="H738" s="3" t="str">
        <x:v>Pickup</x:v>
      </x:c>
      <x:c r="I738" s="3" t="str">
        <x:v>Smart cab</x:v>
      </x:c>
      <x:c r="J738" s="3" t="n">
        <x:v>2021</x:v>
      </x:c>
      <x:c r="K738" s="3" t="str">
        <x:v>2.4 ENTRY Z EDITION SMART CAB</x:v>
      </x:c>
      <x:c r="L738" s="3" t="str">
        <x:v>2.4 ENTRY Z EDITION SMART CAB</x:v>
      </x:c>
      <x:c r="M738" s="22"/>
      <x:c r="N738" s="22"/>
      <x:c r="O738" s="22"/>
      <x:c r="P738" s="3" t="str">
        <x:v>未掲載</x:v>
      </x:c>
      <x:c r="Q738" s="3" t="str">
        <x:v>未取得</x:v>
      </x:c>
      <x:c r="R738" s="3" t="str">
        <x:v>Unknown</x:v>
      </x:c>
      <x:c r="S738" s="3" t="str">
        <x:v>不明</x:v>
      </x:c>
      <x:c r="T738" s="3" t="str">
        <x:v>世代不明</x:v>
      </x:c>
      <x:c r="U738" s="28" t="n">
        <x:v>439000</x:v>
      </x:c>
      <x:c r="V738" s="28"/>
      <x:c r="W738" s="3" t="str">
        <x:v>事故・水没・SOH・保証残は未確認</x:v>
      </x:c>
      <x:c r="X738" s="3" t="str">
        <x:v>掲載中・在庫未確認</x:v>
      </x:c>
      <x:c r="Y738" s="3" t="str"/>
      <x:c r="Z738" s="27" t="str">
        <x:v>https://www.taladrod.com/w40/icar/cardet.aspx?cid=2924027</x:v>
      </x:c>
      <x:c r="AA738" s="3" t="str">
        <x:v>Taladrod個別広告ID／Carsome在庫ID</x:v>
      </x:c>
      <x:c r="AB738" s="3" t="str">
        <x:v>車台番号未取得／サイト間重複は未判定</x:v>
      </x:c>
      <x:c r="AC738" s="3" t="str">
        <x:v>税込区分未確認（一覧表示額）</x:v>
      </x:c>
      <x:c r="AD738" s="3" t="str"/>
      <x:c r="AE738" s="29" t="str">
        <x:f>""</x:f>
      </x:c>
      <x:c r="AF738" s="30" t="str">
        <x:f>IF(ISNUMBER(AE738),U738/AE738,"")</x:f>
      </x:c>
      <x:c r="AG738" s="29" t="str">
        <x:f>""</x:f>
      </x:c>
      <x:c r="AH738" s="30" t="str">
        <x:f>IF(ISNUMBER(AG738),U738/AG738,"")</x:f>
      </x:c>
      <x:c r="AI738" s="3" t="str">
        <x:v>同年式・グレードの検証済み当時価格なし／登録年混在</x:v>
      </x:c>
      <x:c r="AJ738" s="3" t="str">
        <x:v>一覧価格/年式のみ</x:v>
      </x:c>
      <x:c r="AK738" s="3" t="str">
        <x:v>一覧の表示価格。年式は掲載年式。</x:v>
      </x:c>
      <x:c r="AL738" s="31" t="n">
        <x:f>IF(AND(J738&lt;='分析方法'!$B$7,OR(ISBLANK(O738),O738&gt;='分析方法'!$B$8),X738&lt;&gt;"売却済み表示"),1,0)</x:f>
        <x:v>1</x:v>
      </x:c>
      <x:c r="AM738" s="32" t="n">
        <x:f>IF(AL738=1,U738,"")</x:f>
        <x:v>439000</x:v>
      </x:c>
      <x:c r="AN738" s="33" t="str">
        <x:f>IF(AL738=1,AF738,"")</x:f>
      </x:c>
      <x:c r="AO738" s="31" t="n">
        <x:f>'分析方法'!$B$6-J738</x:f>
        <x:v>5</x:v>
      </x:c>
      <x:c r="AP738" s="3"/>
    </x:row>
    <x:row r="739" ht="22" customHeight="1">
      <x:c r="A739" s="3" t="str">
        <x:v>T2925980</x:v>
      </x:c>
      <x:c r="B739" s="7" t="d">
        <x:v>2026-10-08T00:00:00.000Z</x:v>
      </x:c>
      <x:c r="C739" s="3" t="str">
        <x:v>Taladrod</x:v>
      </x:c>
      <x:c r="D739" s="3" t="str">
        <x:v>Toyota</x:v>
      </x:c>
      <x:c r="E739" s="3" t="str">
        <x:v>日本</x:v>
      </x:c>
      <x:c r="F739" s="3" t="str">
        <x:v>Hilux Revo</x:v>
      </x:c>
      <x:c r="G739" s="3" t="str">
        <x:v>ICE</x:v>
      </x:c>
      <x:c r="H739" s="3" t="str">
        <x:v>Pickup</x:v>
      </x:c>
      <x:c r="I739" s="3" t="str">
        <x:v>Smart cab</x:v>
      </x:c>
      <x:c r="J739" s="3" t="n">
        <x:v>2021</x:v>
      </x:c>
      <x:c r="K739" s="3" t="str">
        <x:v>2.4 ENTRY Z EDITION SMART CAB</x:v>
      </x:c>
      <x:c r="L739" s="3" t="str">
        <x:v>2.4 ENTRY Z EDITION SMART CAB</x:v>
      </x:c>
      <x:c r="M739" s="22"/>
      <x:c r="N739" s="22"/>
      <x:c r="O739" s="22"/>
      <x:c r="P739" s="3" t="str">
        <x:v>未掲載</x:v>
      </x:c>
      <x:c r="Q739" s="3" t="str">
        <x:v>未取得</x:v>
      </x:c>
      <x:c r="R739" s="3" t="str">
        <x:v>Unknown</x:v>
      </x:c>
      <x:c r="S739" s="3" t="str">
        <x:v>不明</x:v>
      </x:c>
      <x:c r="T739" s="3" t="str">
        <x:v>世代不明</x:v>
      </x:c>
      <x:c r="U739" s="28" t="n">
        <x:v>409000</x:v>
      </x:c>
      <x:c r="V739" s="28"/>
      <x:c r="W739" s="3" t="str">
        <x:v>事故・水没・SOH・保証残は未確認</x:v>
      </x:c>
      <x:c r="X739" s="3" t="str">
        <x:v>掲載中・在庫未確認</x:v>
      </x:c>
      <x:c r="Y739" s="3" t="str"/>
      <x:c r="Z739" s="27" t="str">
        <x:v>https://www.taladrod.com/w40/icar/cardet.aspx?cid=2925980</x:v>
      </x:c>
      <x:c r="AA739" s="3" t="str">
        <x:v>Taladrod個別広告ID／Carsome在庫ID</x:v>
      </x:c>
      <x:c r="AB739" s="3" t="str">
        <x:v>車台番号未取得／サイト間重複は未判定</x:v>
      </x:c>
      <x:c r="AC739" s="3" t="str">
        <x:v>税込区分未確認（一覧表示額）</x:v>
      </x:c>
      <x:c r="AD739" s="3" t="str"/>
      <x:c r="AE739" s="29" t="str">
        <x:f>""</x:f>
      </x:c>
      <x:c r="AF739" s="30" t="str">
        <x:f>IF(ISNUMBER(AE739),U739/AE739,"")</x:f>
      </x:c>
      <x:c r="AG739" s="29" t="str">
        <x:f>""</x:f>
      </x:c>
      <x:c r="AH739" s="30" t="str">
        <x:f>IF(ISNUMBER(AG739),U739/AG739,"")</x:f>
      </x:c>
      <x:c r="AI739" s="3" t="str">
        <x:v>同年式・グレードの検証済み当時価格なし／登録年混在</x:v>
      </x:c>
      <x:c r="AJ739" s="3" t="str">
        <x:v>一覧価格/年式のみ</x:v>
      </x:c>
      <x:c r="AK739" s="3" t="str">
        <x:v>一覧の表示価格。年式は掲載年式。</x:v>
      </x:c>
      <x:c r="AL739" s="31" t="n">
        <x:f>IF(AND(J739&lt;='分析方法'!$B$7,OR(ISBLANK(O739),O739&gt;='分析方法'!$B$8),X739&lt;&gt;"売却済み表示"),1,0)</x:f>
        <x:v>1</x:v>
      </x:c>
      <x:c r="AM739" s="32" t="n">
        <x:f>IF(AL739=1,U739,"")</x:f>
        <x:v>409000</x:v>
      </x:c>
      <x:c r="AN739" s="33" t="str">
        <x:f>IF(AL739=1,AF739,"")</x:f>
      </x:c>
      <x:c r="AO739" s="31" t="n">
        <x:f>'分析方法'!$B$6-J739</x:f>
        <x:v>5</x:v>
      </x:c>
      <x:c r="AP739" s="3"/>
    </x:row>
    <x:row r="740" ht="22" customHeight="1">
      <x:c r="A740" s="3" t="str">
        <x:v>T2905711</x:v>
      </x:c>
      <x:c r="B740" s="7" t="d">
        <x:v>2026-10-08T00:00:00.000Z</x:v>
      </x:c>
      <x:c r="C740" s="3" t="str">
        <x:v>Taladrod</x:v>
      </x:c>
      <x:c r="D740" s="3" t="str">
        <x:v>Toyota</x:v>
      </x:c>
      <x:c r="E740" s="3" t="str">
        <x:v>日本</x:v>
      </x:c>
      <x:c r="F740" s="3" t="str">
        <x:v>Hilux Revo</x:v>
      </x:c>
      <x:c r="G740" s="3" t="str">
        <x:v>ICE</x:v>
      </x:c>
      <x:c r="H740" s="3" t="str">
        <x:v>Pickup</x:v>
      </x:c>
      <x:c r="I740" s="3" t="str">
        <x:v>Smart cab</x:v>
      </x:c>
      <x:c r="J740" s="3" t="n">
        <x:v>2021</x:v>
      </x:c>
      <x:c r="K740" s="3" t="str">
        <x:v>2.4 J PLUS SMART CAB</x:v>
      </x:c>
      <x:c r="L740" s="3" t="str">
        <x:v>2.4 J PLUS SMART CAB</x:v>
      </x:c>
      <x:c r="M740" s="22"/>
      <x:c r="N740" s="22"/>
      <x:c r="O740" s="22"/>
      <x:c r="P740" s="3" t="str">
        <x:v>未掲載</x:v>
      </x:c>
      <x:c r="Q740" s="3" t="str">
        <x:v>未取得</x:v>
      </x:c>
      <x:c r="R740" s="3" t="str">
        <x:v>Unknown</x:v>
      </x:c>
      <x:c r="S740" s="3" t="str">
        <x:v>不明</x:v>
      </x:c>
      <x:c r="T740" s="3" t="str">
        <x:v>世代不明</x:v>
      </x:c>
      <x:c r="U740" s="28" t="n">
        <x:v>408000</x:v>
      </x:c>
      <x:c r="V740" s="28" t="n">
        <x:v>679000</x:v>
      </x:c>
      <x:c r="W740" s="3" t="str">
        <x:v>事故・水没・SOH・保証残は未確認</x:v>
      </x:c>
      <x:c r="X740" s="3" t="str">
        <x:v>掲載中・在庫未確認</x:v>
      </x:c>
      <x:c r="Y740" s="3" t="str"/>
      <x:c r="Z740" s="27" t="str">
        <x:v>https://www.taladrod.com/w40/icar/cardet.aspx?cid=2905711</x:v>
      </x:c>
      <x:c r="AA740" s="3" t="str">
        <x:v>Taladrod個別広告ID／Carsome在庫ID</x:v>
      </x:c>
      <x:c r="AB740" s="3" t="str">
        <x:v>車台番号未取得／サイト間重複は未判定</x:v>
      </x:c>
      <x:c r="AC740" s="3" t="str">
        <x:v>税込区分未確認（一覧表示額）</x:v>
      </x:c>
      <x:c r="AD740" s="3" t="str"/>
      <x:c r="AE740" s="29" t="str">
        <x:f>""</x:f>
      </x:c>
      <x:c r="AF740" s="30" t="str">
        <x:f>IF(ISNUMBER(AE740),U740/AE740,"")</x:f>
      </x:c>
      <x:c r="AG740" s="29" t="str">
        <x:f>""</x:f>
      </x:c>
      <x:c r="AH740" s="30" t="str">
        <x:f>IF(ISNUMBER(AG740),U740/AG740,"")</x:f>
      </x:c>
      <x:c r="AI740" s="3" t="str">
        <x:v>同年式・グレードの検証済み当時価格なし／登録年混在</x:v>
      </x:c>
      <x:c r="AJ740" s="3" t="str">
        <x:v>一覧価格/年式のみ</x:v>
      </x:c>
      <x:c r="AK740" s="3" t="str">
        <x:v>一覧の表示価格。年式は掲載年式。</x:v>
      </x:c>
      <x:c r="AL740" s="31" t="n">
        <x:f>IF(AND(J740&lt;='分析方法'!$B$7,OR(ISBLANK(O740),O740&gt;='分析方法'!$B$8),X740&lt;&gt;"売却済み表示"),1,0)</x:f>
        <x:v>1</x:v>
      </x:c>
      <x:c r="AM740" s="32" t="n">
        <x:f>IF(AL740=1,U740,"")</x:f>
        <x:v>408000</x:v>
      </x:c>
      <x:c r="AN740" s="33" t="str">
        <x:f>IF(AL740=1,AF740,"")</x:f>
      </x:c>
      <x:c r="AO740" s="31" t="n">
        <x:f>'分析方法'!$B$6-J740</x:f>
        <x:v>5</x:v>
      </x:c>
      <x:c r="AP740" s="3"/>
    </x:row>
    <x:row r="741" ht="22" customHeight="1">
      <x:c r="A741" s="3" t="str">
        <x:v>T2885933</x:v>
      </x:c>
      <x:c r="B741" s="7" t="d">
        <x:v>2026-10-08T00:00:00.000Z</x:v>
      </x:c>
      <x:c r="C741" s="3" t="str">
        <x:v>Taladrod</x:v>
      </x:c>
      <x:c r="D741" s="3" t="str">
        <x:v>Toyota</x:v>
      </x:c>
      <x:c r="E741" s="3" t="str">
        <x:v>日本</x:v>
      </x:c>
      <x:c r="F741" s="3" t="str">
        <x:v>Hilux Revo</x:v>
      </x:c>
      <x:c r="G741" s="3" t="str">
        <x:v>ICE</x:v>
      </x:c>
      <x:c r="H741" s="3" t="str">
        <x:v>Pickup</x:v>
      </x:c>
      <x:c r="I741" s="3" t="str">
        <x:v>Double cab</x:v>
      </x:c>
      <x:c r="J741" s="3" t="n">
        <x:v>2021</x:v>
      </x:c>
      <x:c r="K741" s="3" t="str">
        <x:v>2.4 MID PRERUNNER DOUBLE CAB</x:v>
      </x:c>
      <x:c r="L741" s="3" t="str">
        <x:v>2.4 MID PRERUNNER DOUBLE CAB</x:v>
      </x:c>
      <x:c r="M741" s="22"/>
      <x:c r="N741" s="22"/>
      <x:c r="O741" s="22"/>
      <x:c r="P741" s="3" t="str">
        <x:v>未掲載</x:v>
      </x:c>
      <x:c r="Q741" s="3" t="str">
        <x:v>未取得</x:v>
      </x:c>
      <x:c r="R741" s="3" t="str">
        <x:v>Unknown</x:v>
      </x:c>
      <x:c r="S741" s="3" t="str">
        <x:v>不明</x:v>
      </x:c>
      <x:c r="T741" s="3" t="str">
        <x:v>世代不明</x:v>
      </x:c>
      <x:c r="U741" s="28" t="n">
        <x:v>550000</x:v>
      </x:c>
      <x:c r="V741" s="28"/>
      <x:c r="W741" s="3" t="str">
        <x:v>事故・水没・SOH・保証残は未確認</x:v>
      </x:c>
      <x:c r="X741" s="3" t="str">
        <x:v>掲載中・在庫未確認</x:v>
      </x:c>
      <x:c r="Y741" s="3" t="str"/>
      <x:c r="Z741" s="27" t="str">
        <x:v>https://www.taladrod.com/w40/icar/cardet.aspx?cid=2885933</x:v>
      </x:c>
      <x:c r="AA741" s="3" t="str">
        <x:v>Taladrod個別広告ID／Carsome在庫ID</x:v>
      </x:c>
      <x:c r="AB741" s="3" t="str">
        <x:v>車台番号未取得／サイト間重複は未判定</x:v>
      </x:c>
      <x:c r="AC741" s="3" t="str">
        <x:v>税込区分未確認（一覧表示額）</x:v>
      </x:c>
      <x:c r="AD741" s="3" t="str"/>
      <x:c r="AE741" s="29" t="str">
        <x:f>""</x:f>
      </x:c>
      <x:c r="AF741" s="30" t="str">
        <x:f>IF(ISNUMBER(AE741),U741/AE741,"")</x:f>
      </x:c>
      <x:c r="AG741" s="29" t="str">
        <x:f>""</x:f>
      </x:c>
      <x:c r="AH741" s="30" t="str">
        <x:f>IF(ISNUMBER(AG741),U741/AG741,"")</x:f>
      </x:c>
      <x:c r="AI741" s="3" t="str">
        <x:v>同年式・グレードの検証済み当時価格なし／登録年混在</x:v>
      </x:c>
      <x:c r="AJ741" s="3" t="str">
        <x:v>一覧価格/年式のみ</x:v>
      </x:c>
      <x:c r="AK741" s="3" t="str">
        <x:v>一覧の表示価格。年式は掲載年式。</x:v>
      </x:c>
      <x:c r="AL741" s="31" t="n">
        <x:f>IF(AND(J741&lt;='分析方法'!$B$7,OR(ISBLANK(O741),O741&gt;='分析方法'!$B$8),X741&lt;&gt;"売却済み表示"),1,0)</x:f>
        <x:v>1</x:v>
      </x:c>
      <x:c r="AM741" s="32" t="n">
        <x:f>IF(AL741=1,U741,"")</x:f>
        <x:v>550000</x:v>
      </x:c>
      <x:c r="AN741" s="33" t="str">
        <x:f>IF(AL741=1,AF741,"")</x:f>
      </x:c>
      <x:c r="AO741" s="31" t="n">
        <x:f>'分析方法'!$B$6-J741</x:f>
        <x:v>5</x:v>
      </x:c>
      <x:c r="AP741" s="3"/>
    </x:row>
    <x:row r="742" ht="22" customHeight="1">
      <x:c r="A742" s="3" t="str">
        <x:v>T2907264</x:v>
      </x:c>
      <x:c r="B742" s="7" t="d">
        <x:v>2026-10-08T00:00:00.000Z</x:v>
      </x:c>
      <x:c r="C742" s="3" t="str">
        <x:v>Taladrod</x:v>
      </x:c>
      <x:c r="D742" s="3" t="str">
        <x:v>Toyota</x:v>
      </x:c>
      <x:c r="E742" s="3" t="str">
        <x:v>日本</x:v>
      </x:c>
      <x:c r="F742" s="3" t="str">
        <x:v>Hilux Revo</x:v>
      </x:c>
      <x:c r="G742" s="3" t="str">
        <x:v>ICE</x:v>
      </x:c>
      <x:c r="H742" s="3" t="str">
        <x:v>Pickup</x:v>
      </x:c>
      <x:c r="I742" s="3" t="str">
        <x:v>Double cab</x:v>
      </x:c>
      <x:c r="J742" s="3" t="n">
        <x:v>2021</x:v>
      </x:c>
      <x:c r="K742" s="3" t="str">
        <x:v>2.4 MID PRERUNNER DOUBLE CAB</x:v>
      </x:c>
      <x:c r="L742" s="3" t="str">
        <x:v>2.4 MID PRERUNNER DOUBLE CAB</x:v>
      </x:c>
      <x:c r="M742" s="22"/>
      <x:c r="N742" s="22"/>
      <x:c r="O742" s="22"/>
      <x:c r="P742" s="3" t="str">
        <x:v>未掲載</x:v>
      </x:c>
      <x:c r="Q742" s="3" t="str">
        <x:v>未取得</x:v>
      </x:c>
      <x:c r="R742" s="3" t="str">
        <x:v>Unknown</x:v>
      </x:c>
      <x:c r="S742" s="3" t="str">
        <x:v>不明</x:v>
      </x:c>
      <x:c r="T742" s="3" t="str">
        <x:v>世代不明</x:v>
      </x:c>
      <x:c r="U742" s="28" t="n">
        <x:v>579000</x:v>
      </x:c>
      <x:c r="V742" s="28"/>
      <x:c r="W742" s="3" t="str">
        <x:v>事故・水没・SOH・保証残は未確認</x:v>
      </x:c>
      <x:c r="X742" s="3" t="str">
        <x:v>掲載中・在庫未確認</x:v>
      </x:c>
      <x:c r="Y742" s="3" t="str"/>
      <x:c r="Z742" s="27" t="str">
        <x:v>https://www.taladrod.com/w40/icar/cardet.aspx?cid=2907264</x:v>
      </x:c>
      <x:c r="AA742" s="3" t="str">
        <x:v>Taladrod個別広告ID／Carsome在庫ID</x:v>
      </x:c>
      <x:c r="AB742" s="3" t="str">
        <x:v>車台番号未取得／サイト間重複は未判定</x:v>
      </x:c>
      <x:c r="AC742" s="3" t="str">
        <x:v>税込区分未確認（一覧表示額）</x:v>
      </x:c>
      <x:c r="AD742" s="3" t="str"/>
      <x:c r="AE742" s="29" t="str">
        <x:f>""</x:f>
      </x:c>
      <x:c r="AF742" s="30" t="str">
        <x:f>IF(ISNUMBER(AE742),U742/AE742,"")</x:f>
      </x:c>
      <x:c r="AG742" s="29" t="str">
        <x:f>""</x:f>
      </x:c>
      <x:c r="AH742" s="30" t="str">
        <x:f>IF(ISNUMBER(AG742),U742/AG742,"")</x:f>
      </x:c>
      <x:c r="AI742" s="3" t="str">
        <x:v>同年式・グレードの検証済み当時価格なし／登録年混在</x:v>
      </x:c>
      <x:c r="AJ742" s="3" t="str">
        <x:v>一覧価格/年式のみ</x:v>
      </x:c>
      <x:c r="AK742" s="3" t="str">
        <x:v>一覧の表示価格。年式は掲載年式。</x:v>
      </x:c>
      <x:c r="AL742" s="31" t="n">
        <x:f>IF(AND(J742&lt;='分析方法'!$B$7,OR(ISBLANK(O742),O742&gt;='分析方法'!$B$8),X742&lt;&gt;"売却済み表示"),1,0)</x:f>
        <x:v>1</x:v>
      </x:c>
      <x:c r="AM742" s="32" t="n">
        <x:f>IF(AL742=1,U742,"")</x:f>
        <x:v>579000</x:v>
      </x:c>
      <x:c r="AN742" s="33" t="str">
        <x:f>IF(AL742=1,AF742,"")</x:f>
      </x:c>
      <x:c r="AO742" s="31" t="n">
        <x:f>'分析方法'!$B$6-J742</x:f>
        <x:v>5</x:v>
      </x:c>
      <x:c r="AP742" s="3"/>
    </x:row>
    <x:row r="743" ht="22" customHeight="1">
      <x:c r="A743" s="3" t="str">
        <x:v>T2923676</x:v>
      </x:c>
      <x:c r="B743" s="7" t="d">
        <x:v>2026-10-08T00:00:00.000Z</x:v>
      </x:c>
      <x:c r="C743" s="3" t="str">
        <x:v>Taladrod</x:v>
      </x:c>
      <x:c r="D743" s="3" t="str">
        <x:v>Toyota</x:v>
      </x:c>
      <x:c r="E743" s="3" t="str">
        <x:v>日本</x:v>
      </x:c>
      <x:c r="F743" s="3" t="str">
        <x:v>Hilux Revo</x:v>
      </x:c>
      <x:c r="G743" s="3" t="str">
        <x:v>ICE</x:v>
      </x:c>
      <x:c r="H743" s="3" t="str">
        <x:v>Pickup</x:v>
      </x:c>
      <x:c r="I743" s="3" t="str">
        <x:v>Double cab</x:v>
      </x:c>
      <x:c r="J743" s="3" t="n">
        <x:v>2021</x:v>
      </x:c>
      <x:c r="K743" s="3" t="str">
        <x:v>2.4 MID PRERUNNER DOUBLE CAB</x:v>
      </x:c>
      <x:c r="L743" s="3" t="str">
        <x:v>2.4 MID PRERUNNER DOUBLE CAB</x:v>
      </x:c>
      <x:c r="M743" s="22"/>
      <x:c r="N743" s="22"/>
      <x:c r="O743" s="22"/>
      <x:c r="P743" s="3" t="str">
        <x:v>未掲載</x:v>
      </x:c>
      <x:c r="Q743" s="3" t="str">
        <x:v>未取得</x:v>
      </x:c>
      <x:c r="R743" s="3" t="str">
        <x:v>Unknown</x:v>
      </x:c>
      <x:c r="S743" s="3" t="str">
        <x:v>不明</x:v>
      </x:c>
      <x:c r="T743" s="3" t="str">
        <x:v>世代不明</x:v>
      </x:c>
      <x:c r="U743" s="28" t="n">
        <x:v>589000</x:v>
      </x:c>
      <x:c r="V743" s="28"/>
      <x:c r="W743" s="3" t="str">
        <x:v>事故・水没・SOH・保証残は未確認</x:v>
      </x:c>
      <x:c r="X743" s="3" t="str">
        <x:v>掲載中・在庫未確認</x:v>
      </x:c>
      <x:c r="Y743" s="3" t="str"/>
      <x:c r="Z743" s="27" t="str">
        <x:v>https://www.taladrod.com/w40/icar/cardet.aspx?cid=2923676</x:v>
      </x:c>
      <x:c r="AA743" s="3" t="str">
        <x:v>Taladrod個別広告ID／Carsome在庫ID</x:v>
      </x:c>
      <x:c r="AB743" s="3" t="str">
        <x:v>車台番号未取得／サイト間重複は未判定</x:v>
      </x:c>
      <x:c r="AC743" s="3" t="str">
        <x:v>税込区分未確認（一覧表示額）</x:v>
      </x:c>
      <x:c r="AD743" s="3" t="str"/>
      <x:c r="AE743" s="29" t="str">
        <x:f>""</x:f>
      </x:c>
      <x:c r="AF743" s="30" t="str">
        <x:f>IF(ISNUMBER(AE743),U743/AE743,"")</x:f>
      </x:c>
      <x:c r="AG743" s="29" t="str">
        <x:f>""</x:f>
      </x:c>
      <x:c r="AH743" s="30" t="str">
        <x:f>IF(ISNUMBER(AG743),U743/AG743,"")</x:f>
      </x:c>
      <x:c r="AI743" s="3" t="str">
        <x:v>同年式・グレードの検証済み当時価格なし／登録年混在</x:v>
      </x:c>
      <x:c r="AJ743" s="3" t="str">
        <x:v>一覧価格/年式のみ</x:v>
      </x:c>
      <x:c r="AK743" s="3" t="str">
        <x:v>一覧の表示価格。年式は掲載年式。</x:v>
      </x:c>
      <x:c r="AL743" s="31" t="n">
        <x:f>IF(AND(J743&lt;='分析方法'!$B$7,OR(ISBLANK(O743),O743&gt;='分析方法'!$B$8),X743&lt;&gt;"売却済み表示"),1,0)</x:f>
        <x:v>1</x:v>
      </x:c>
      <x:c r="AM743" s="32" t="n">
        <x:f>IF(AL743=1,U743,"")</x:f>
        <x:v>589000</x:v>
      </x:c>
      <x:c r="AN743" s="33" t="str">
        <x:f>IF(AL743=1,AF743,"")</x:f>
      </x:c>
      <x:c r="AO743" s="31" t="n">
        <x:f>'分析方法'!$B$6-J743</x:f>
        <x:v>5</x:v>
      </x:c>
      <x:c r="AP743" s="3"/>
    </x:row>
    <x:row r="744" ht="22" customHeight="1">
      <x:c r="A744" s="3" t="str">
        <x:v>T2926383</x:v>
      </x:c>
      <x:c r="B744" s="7" t="d">
        <x:v>2026-10-08T00:00:00.000Z</x:v>
      </x:c>
      <x:c r="C744" s="3" t="str">
        <x:v>Taladrod</x:v>
      </x:c>
      <x:c r="D744" s="3" t="str">
        <x:v>Toyota</x:v>
      </x:c>
      <x:c r="E744" s="3" t="str">
        <x:v>日本</x:v>
      </x:c>
      <x:c r="F744" s="3" t="str">
        <x:v>Hilux Revo</x:v>
      </x:c>
      <x:c r="G744" s="3" t="str">
        <x:v>ICE</x:v>
      </x:c>
      <x:c r="H744" s="3" t="str">
        <x:v>Pickup</x:v>
      </x:c>
      <x:c r="I744" s="3" t="str">
        <x:v>Double cab</x:v>
      </x:c>
      <x:c r="J744" s="3" t="n">
        <x:v>2021</x:v>
      </x:c>
      <x:c r="K744" s="3" t="str">
        <x:v>2.4 MID PRERUNNER DOUBLE CAB</x:v>
      </x:c>
      <x:c r="L744" s="3" t="str">
        <x:v>2.4 MID PRERUNNER DOUBLE CAB</x:v>
      </x:c>
      <x:c r="M744" s="22"/>
      <x:c r="N744" s="22"/>
      <x:c r="O744" s="22"/>
      <x:c r="P744" s="3" t="str">
        <x:v>未掲載</x:v>
      </x:c>
      <x:c r="Q744" s="3" t="str">
        <x:v>未取得</x:v>
      </x:c>
      <x:c r="R744" s="3" t="str">
        <x:v>Unknown</x:v>
      </x:c>
      <x:c r="S744" s="3" t="str">
        <x:v>不明</x:v>
      </x:c>
      <x:c r="T744" s="3" t="str">
        <x:v>世代不明</x:v>
      </x:c>
      <x:c r="U744" s="28" t="n">
        <x:v>609000</x:v>
      </x:c>
      <x:c r="V744" s="28"/>
      <x:c r="W744" s="3" t="str">
        <x:v>事故・水没・SOH・保証残は未確認</x:v>
      </x:c>
      <x:c r="X744" s="3" t="str">
        <x:v>掲載中・在庫未確認</x:v>
      </x:c>
      <x:c r="Y744" s="3" t="str"/>
      <x:c r="Z744" s="27" t="str">
        <x:v>https://www.taladrod.com/w40/icar/cardet.aspx?cid=2926383</x:v>
      </x:c>
      <x:c r="AA744" s="3" t="str">
        <x:v>Taladrod個別広告ID／Carsome在庫ID</x:v>
      </x:c>
      <x:c r="AB744" s="3" t="str">
        <x:v>車台番号未取得／サイト間重複は未判定</x:v>
      </x:c>
      <x:c r="AC744" s="3" t="str">
        <x:v>税込区分未確認（一覧表示額）</x:v>
      </x:c>
      <x:c r="AD744" s="3" t="str"/>
      <x:c r="AE744" s="29" t="str">
        <x:f>""</x:f>
      </x:c>
      <x:c r="AF744" s="30" t="str">
        <x:f>IF(ISNUMBER(AE744),U744/AE744,"")</x:f>
      </x:c>
      <x:c r="AG744" s="29" t="str">
        <x:f>""</x:f>
      </x:c>
      <x:c r="AH744" s="30" t="str">
        <x:f>IF(ISNUMBER(AG744),U744/AG744,"")</x:f>
      </x:c>
      <x:c r="AI744" s="3" t="str">
        <x:v>同年式・グレードの検証済み当時価格なし／登録年混在</x:v>
      </x:c>
      <x:c r="AJ744" s="3" t="str">
        <x:v>一覧価格/年式のみ</x:v>
      </x:c>
      <x:c r="AK744" s="3" t="str">
        <x:v>一覧の表示価格。年式は掲載年式。</x:v>
      </x:c>
      <x:c r="AL744" s="31" t="n">
        <x:f>IF(AND(J744&lt;='分析方法'!$B$7,OR(ISBLANK(O744),O744&gt;='分析方法'!$B$8),X744&lt;&gt;"売却済み表示"),1,0)</x:f>
        <x:v>1</x:v>
      </x:c>
      <x:c r="AM744" s="32" t="n">
        <x:f>IF(AL744=1,U744,"")</x:f>
        <x:v>609000</x:v>
      </x:c>
      <x:c r="AN744" s="33" t="str">
        <x:f>IF(AL744=1,AF744,"")</x:f>
      </x:c>
      <x:c r="AO744" s="31" t="n">
        <x:f>'分析方法'!$B$6-J744</x:f>
        <x:v>5</x:v>
      </x:c>
      <x:c r="AP744" s="3"/>
    </x:row>
    <x:row r="745" ht="22" customHeight="1">
      <x:c r="A745" s="3" t="str">
        <x:v>T2882723</x:v>
      </x:c>
      <x:c r="B745" s="7" t="d">
        <x:v>2026-10-08T00:00:00.000Z</x:v>
      </x:c>
      <x:c r="C745" s="3" t="str">
        <x:v>Taladrod</x:v>
      </x:c>
      <x:c r="D745" s="3" t="str">
        <x:v>Toyota</x:v>
      </x:c>
      <x:c r="E745" s="3" t="str">
        <x:v>日本</x:v>
      </x:c>
      <x:c r="F745" s="3" t="str">
        <x:v>Hilux Revo</x:v>
      </x:c>
      <x:c r="G745" s="3" t="str">
        <x:v>ICE</x:v>
      </x:c>
      <x:c r="H745" s="3" t="str">
        <x:v>Pickup</x:v>
      </x:c>
      <x:c r="I745" s="3" t="str">
        <x:v>Smart cab</x:v>
      </x:c>
      <x:c r="J745" s="3" t="n">
        <x:v>2021</x:v>
      </x:c>
      <x:c r="K745" s="3" t="str">
        <x:v>2.4 MID PRERUNNER SMART CAB</x:v>
      </x:c>
      <x:c r="L745" s="3" t="str">
        <x:v>2.4 MID PRERUNNER SMART CAB</x:v>
      </x:c>
      <x:c r="M745" s="22"/>
      <x:c r="N745" s="22"/>
      <x:c r="O745" s="22"/>
      <x:c r="P745" s="3" t="str">
        <x:v>未掲載</x:v>
      </x:c>
      <x:c r="Q745" s="3" t="str">
        <x:v>未取得</x:v>
      </x:c>
      <x:c r="R745" s="3" t="str">
        <x:v>Unknown</x:v>
      </x:c>
      <x:c r="S745" s="3" t="str">
        <x:v>不明</x:v>
      </x:c>
      <x:c r="T745" s="3" t="str">
        <x:v>世代不明</x:v>
      </x:c>
      <x:c r="U745" s="28" t="n">
        <x:v>439000</x:v>
      </x:c>
      <x:c r="V745" s="28"/>
      <x:c r="W745" s="3" t="str">
        <x:v>事故・水没・SOH・保証残は未確認</x:v>
      </x:c>
      <x:c r="X745" s="3" t="str">
        <x:v>掲載中・在庫未確認</x:v>
      </x:c>
      <x:c r="Y745" s="3" t="str"/>
      <x:c r="Z745" s="27" t="str">
        <x:v>https://www.taladrod.com/w40/icar/cardet.aspx?cid=2882723</x:v>
      </x:c>
      <x:c r="AA745" s="3" t="str">
        <x:v>Taladrod個別広告ID／Carsome在庫ID</x:v>
      </x:c>
      <x:c r="AB745" s="3" t="str">
        <x:v>車台番号未取得／サイト間重複は未判定</x:v>
      </x:c>
      <x:c r="AC745" s="3" t="str">
        <x:v>税込区分未確認（一覧表示額）</x:v>
      </x:c>
      <x:c r="AD745" s="3" t="str"/>
      <x:c r="AE745" s="29" t="str">
        <x:f>""</x:f>
      </x:c>
      <x:c r="AF745" s="30" t="str">
        <x:f>IF(ISNUMBER(AE745),U745/AE745,"")</x:f>
      </x:c>
      <x:c r="AG745" s="29" t="str">
        <x:f>""</x:f>
      </x:c>
      <x:c r="AH745" s="30" t="str">
        <x:f>IF(ISNUMBER(AG745),U745/AG745,"")</x:f>
      </x:c>
      <x:c r="AI745" s="3" t="str">
        <x:v>同年式・グレードの検証済み当時価格なし／登録年混在</x:v>
      </x:c>
      <x:c r="AJ745" s="3" t="str">
        <x:v>一覧価格/年式のみ</x:v>
      </x:c>
      <x:c r="AK745" s="3" t="str">
        <x:v>一覧の表示価格。年式は掲載年式。</x:v>
      </x:c>
      <x:c r="AL745" s="31" t="n">
        <x:f>IF(AND(J745&lt;='分析方法'!$B$7,OR(ISBLANK(O745),O745&gt;='分析方法'!$B$8),X745&lt;&gt;"売却済み表示"),1,0)</x:f>
        <x:v>1</x:v>
      </x:c>
      <x:c r="AM745" s="32" t="n">
        <x:f>IF(AL745=1,U745,"")</x:f>
        <x:v>439000</x:v>
      </x:c>
      <x:c r="AN745" s="33" t="str">
        <x:f>IF(AL745=1,AF745,"")</x:f>
      </x:c>
      <x:c r="AO745" s="31" t="n">
        <x:f>'分析方法'!$B$6-J745</x:f>
        <x:v>5</x:v>
      </x:c>
      <x:c r="AP745" s="3"/>
    </x:row>
    <x:row r="746" ht="22" customHeight="1">
      <x:c r="A746" s="3" t="str">
        <x:v>T2897212</x:v>
      </x:c>
      <x:c r="B746" s="7" t="d">
        <x:v>2026-10-08T00:00:00.000Z</x:v>
      </x:c>
      <x:c r="C746" s="3" t="str">
        <x:v>Taladrod</x:v>
      </x:c>
      <x:c r="D746" s="3" t="str">
        <x:v>Toyota</x:v>
      </x:c>
      <x:c r="E746" s="3" t="str">
        <x:v>日本</x:v>
      </x:c>
      <x:c r="F746" s="3" t="str">
        <x:v>Hilux Revo</x:v>
      </x:c>
      <x:c r="G746" s="3" t="str">
        <x:v>ICE</x:v>
      </x:c>
      <x:c r="H746" s="3" t="str">
        <x:v>Pickup</x:v>
      </x:c>
      <x:c r="I746" s="3" t="str">
        <x:v>Smart cab</x:v>
      </x:c>
      <x:c r="J746" s="3" t="n">
        <x:v>2021</x:v>
      </x:c>
      <x:c r="K746" s="3" t="str">
        <x:v>2.4 MID PRERUNNER SMART CAB</x:v>
      </x:c>
      <x:c r="L746" s="3" t="str">
        <x:v>2.4 MID PRERUNNER SMART CAB</x:v>
      </x:c>
      <x:c r="M746" s="22"/>
      <x:c r="N746" s="22"/>
      <x:c r="O746" s="22"/>
      <x:c r="P746" s="3" t="str">
        <x:v>未掲載</x:v>
      </x:c>
      <x:c r="Q746" s="3" t="str">
        <x:v>未取得</x:v>
      </x:c>
      <x:c r="R746" s="3" t="str">
        <x:v>Unknown</x:v>
      </x:c>
      <x:c r="S746" s="3" t="str">
        <x:v>不明</x:v>
      </x:c>
      <x:c r="T746" s="3" t="str">
        <x:v>世代不明</x:v>
      </x:c>
      <x:c r="U746" s="28" t="n">
        <x:v>489000</x:v>
      </x:c>
      <x:c r="V746" s="28"/>
      <x:c r="W746" s="3" t="str">
        <x:v>事故・水没・SOH・保証残は未確認</x:v>
      </x:c>
      <x:c r="X746" s="3" t="str">
        <x:v>掲載中・在庫未確認</x:v>
      </x:c>
      <x:c r="Y746" s="3" t="str"/>
      <x:c r="Z746" s="27" t="str">
        <x:v>https://www.taladrod.com/w40/icar/cardet.aspx?cid=2897212</x:v>
      </x:c>
      <x:c r="AA746" s="3" t="str">
        <x:v>Taladrod個別広告ID／Carsome在庫ID</x:v>
      </x:c>
      <x:c r="AB746" s="3" t="str">
        <x:v>車台番号未取得／サイト間重複は未判定</x:v>
      </x:c>
      <x:c r="AC746" s="3" t="str">
        <x:v>税込区分未確認（一覧表示額）</x:v>
      </x:c>
      <x:c r="AD746" s="3" t="str"/>
      <x:c r="AE746" s="29" t="str">
        <x:f>""</x:f>
      </x:c>
      <x:c r="AF746" s="30" t="str">
        <x:f>IF(ISNUMBER(AE746),U746/AE746,"")</x:f>
      </x:c>
      <x:c r="AG746" s="29" t="str">
        <x:f>""</x:f>
      </x:c>
      <x:c r="AH746" s="30" t="str">
        <x:f>IF(ISNUMBER(AG746),U746/AG746,"")</x:f>
      </x:c>
      <x:c r="AI746" s="3" t="str">
        <x:v>同年式・グレードの検証済み当時価格なし／登録年混在</x:v>
      </x:c>
      <x:c r="AJ746" s="3" t="str">
        <x:v>一覧価格/年式のみ</x:v>
      </x:c>
      <x:c r="AK746" s="3" t="str">
        <x:v>一覧の表示価格。年式は掲載年式。</x:v>
      </x:c>
      <x:c r="AL746" s="31" t="n">
        <x:f>IF(AND(J746&lt;='分析方法'!$B$7,OR(ISBLANK(O746),O746&gt;='分析方法'!$B$8),X746&lt;&gt;"売却済み表示"),1,0)</x:f>
        <x:v>1</x:v>
      </x:c>
      <x:c r="AM746" s="32" t="n">
        <x:f>IF(AL746=1,U746,"")</x:f>
        <x:v>489000</x:v>
      </x:c>
      <x:c r="AN746" s="33" t="str">
        <x:f>IF(AL746=1,AF746,"")</x:f>
      </x:c>
      <x:c r="AO746" s="31" t="n">
        <x:f>'分析方法'!$B$6-J746</x:f>
        <x:v>5</x:v>
      </x:c>
      <x:c r="AP746" s="3"/>
    </x:row>
    <x:row r="747" ht="22" customHeight="1">
      <x:c r="A747" s="3" t="str">
        <x:v>T2914846</x:v>
      </x:c>
      <x:c r="B747" s="7" t="d">
        <x:v>2026-10-08T00:00:00.000Z</x:v>
      </x:c>
      <x:c r="C747" s="3" t="str">
        <x:v>Taladrod</x:v>
      </x:c>
      <x:c r="D747" s="3" t="str">
        <x:v>Toyota</x:v>
      </x:c>
      <x:c r="E747" s="3" t="str">
        <x:v>日本</x:v>
      </x:c>
      <x:c r="F747" s="3" t="str">
        <x:v>Hilux Revo</x:v>
      </x:c>
      <x:c r="G747" s="3" t="str">
        <x:v>ICE</x:v>
      </x:c>
      <x:c r="H747" s="3" t="str">
        <x:v>Pickup</x:v>
      </x:c>
      <x:c r="I747" s="3" t="str">
        <x:v>Smart cab</x:v>
      </x:c>
      <x:c r="J747" s="3" t="n">
        <x:v>2021</x:v>
      </x:c>
      <x:c r="K747" s="3" t="str">
        <x:v>2.4 MID PRERUNNER SMART CAB</x:v>
      </x:c>
      <x:c r="L747" s="3" t="str">
        <x:v>2.4 MID PRERUNNER SMART CAB</x:v>
      </x:c>
      <x:c r="M747" s="22"/>
      <x:c r="N747" s="22"/>
      <x:c r="O747" s="22"/>
      <x:c r="P747" s="3" t="str">
        <x:v>未掲載</x:v>
      </x:c>
      <x:c r="Q747" s="3" t="str">
        <x:v>未取得</x:v>
      </x:c>
      <x:c r="R747" s="3" t="str">
        <x:v>Unknown</x:v>
      </x:c>
      <x:c r="S747" s="3" t="str">
        <x:v>不明</x:v>
      </x:c>
      <x:c r="T747" s="3" t="str">
        <x:v>世代不明</x:v>
      </x:c>
      <x:c r="U747" s="28" t="n">
        <x:v>589000</x:v>
      </x:c>
      <x:c r="V747" s="28"/>
      <x:c r="W747" s="3" t="str">
        <x:v>事故・水没・SOH・保証残は未確認</x:v>
      </x:c>
      <x:c r="X747" s="3" t="str">
        <x:v>掲載中・在庫未確認</x:v>
      </x:c>
      <x:c r="Y747" s="3" t="str"/>
      <x:c r="Z747" s="27" t="str">
        <x:v>https://www.taladrod.com/w40/icar/cardet.aspx?cid=2914846</x:v>
      </x:c>
      <x:c r="AA747" s="3" t="str">
        <x:v>Taladrod個別広告ID／Carsome在庫ID</x:v>
      </x:c>
      <x:c r="AB747" s="3" t="str">
        <x:v>車台番号未取得／サイト間重複は未判定</x:v>
      </x:c>
      <x:c r="AC747" s="3" t="str">
        <x:v>税込区分未確認（一覧表示額）</x:v>
      </x:c>
      <x:c r="AD747" s="3" t="str"/>
      <x:c r="AE747" s="29" t="str">
        <x:f>""</x:f>
      </x:c>
      <x:c r="AF747" s="30" t="str">
        <x:f>IF(ISNUMBER(AE747),U747/AE747,"")</x:f>
      </x:c>
      <x:c r="AG747" s="29" t="str">
        <x:f>""</x:f>
      </x:c>
      <x:c r="AH747" s="30" t="str">
        <x:f>IF(ISNUMBER(AG747),U747/AG747,"")</x:f>
      </x:c>
      <x:c r="AI747" s="3" t="str">
        <x:v>同年式・グレードの検証済み当時価格なし／登録年混在</x:v>
      </x:c>
      <x:c r="AJ747" s="3" t="str">
        <x:v>一覧価格/年式のみ</x:v>
      </x:c>
      <x:c r="AK747" s="3" t="str">
        <x:v>一覧の表示価格。年式は掲載年式。</x:v>
      </x:c>
      <x:c r="AL747" s="31" t="n">
        <x:f>IF(AND(J747&lt;='分析方法'!$B$7,OR(ISBLANK(O747),O747&gt;='分析方法'!$B$8),X747&lt;&gt;"売却済み表示"),1,0)</x:f>
        <x:v>1</x:v>
      </x:c>
      <x:c r="AM747" s="32" t="n">
        <x:f>IF(AL747=1,U747,"")</x:f>
        <x:v>589000</x:v>
      </x:c>
      <x:c r="AN747" s="33" t="str">
        <x:f>IF(AL747=1,AF747,"")</x:f>
      </x:c>
      <x:c r="AO747" s="31" t="n">
        <x:f>'分析方法'!$B$6-J747</x:f>
        <x:v>5</x:v>
      </x:c>
      <x:c r="AP747" s="3"/>
    </x:row>
    <x:row r="748" ht="22" customHeight="1">
      <x:c r="A748" s="3" t="str">
        <x:v>T2911631</x:v>
      </x:c>
      <x:c r="B748" s="7" t="d">
        <x:v>2026-10-08T00:00:00.000Z</x:v>
      </x:c>
      <x:c r="C748" s="3" t="str">
        <x:v>Taladrod</x:v>
      </x:c>
      <x:c r="D748" s="3" t="str">
        <x:v>Toyota</x:v>
      </x:c>
      <x:c r="E748" s="3" t="str">
        <x:v>日本</x:v>
      </x:c>
      <x:c r="F748" s="3" t="str">
        <x:v>Hilux Revo</x:v>
      </x:c>
      <x:c r="G748" s="3" t="str">
        <x:v>ICE</x:v>
      </x:c>
      <x:c r="H748" s="3" t="str">
        <x:v>Pickup</x:v>
      </x:c>
      <x:c r="I748" s="3" t="str">
        <x:v>Double cab</x:v>
      </x:c>
      <x:c r="J748" s="3" t="n">
        <x:v>2021</x:v>
      </x:c>
      <x:c r="K748" s="3" t="str">
        <x:v>2.4 MID Z EDITION DOUBLE CAB</x:v>
      </x:c>
      <x:c r="L748" s="3" t="str">
        <x:v>2.4 MID Z EDITION DOUBLE CAB</x:v>
      </x:c>
      <x:c r="M748" s="22"/>
      <x:c r="N748" s="22"/>
      <x:c r="O748" s="22"/>
      <x:c r="P748" s="3" t="str">
        <x:v>未掲載</x:v>
      </x:c>
      <x:c r="Q748" s="3" t="str">
        <x:v>未取得</x:v>
      </x:c>
      <x:c r="R748" s="3" t="str">
        <x:v>Unknown</x:v>
      </x:c>
      <x:c r="S748" s="3" t="str">
        <x:v>不明</x:v>
      </x:c>
      <x:c r="T748" s="3" t="str">
        <x:v>世代不明</x:v>
      </x:c>
      <x:c r="U748" s="28" t="n">
        <x:v>489000</x:v>
      </x:c>
      <x:c r="V748" s="28"/>
      <x:c r="W748" s="3" t="str">
        <x:v>事故・水没・SOH・保証残は未確認</x:v>
      </x:c>
      <x:c r="X748" s="3" t="str">
        <x:v>掲載中・在庫未確認</x:v>
      </x:c>
      <x:c r="Y748" s="3" t="str"/>
      <x:c r="Z748" s="27" t="str">
        <x:v>https://www.taladrod.com/w40/icar/cardet.aspx?cid=2911631</x:v>
      </x:c>
      <x:c r="AA748" s="3" t="str">
        <x:v>Taladrod個別広告ID／Carsome在庫ID</x:v>
      </x:c>
      <x:c r="AB748" s="3" t="str">
        <x:v>車台番号未取得／サイト間重複は未判定</x:v>
      </x:c>
      <x:c r="AC748" s="3" t="str">
        <x:v>税込区分未確認（一覧表示額）</x:v>
      </x:c>
      <x:c r="AD748" s="3" t="str"/>
      <x:c r="AE748" s="29" t="str">
        <x:f>""</x:f>
      </x:c>
      <x:c r="AF748" s="30" t="str">
        <x:f>IF(ISNUMBER(AE748),U748/AE748,"")</x:f>
      </x:c>
      <x:c r="AG748" s="29" t="str">
        <x:f>""</x:f>
      </x:c>
      <x:c r="AH748" s="30" t="str">
        <x:f>IF(ISNUMBER(AG748),U748/AG748,"")</x:f>
      </x:c>
      <x:c r="AI748" s="3" t="str">
        <x:v>同年式・グレードの検証済み当時価格なし／登録年混在</x:v>
      </x:c>
      <x:c r="AJ748" s="3" t="str">
        <x:v>一覧価格/年式のみ</x:v>
      </x:c>
      <x:c r="AK748" s="3" t="str">
        <x:v>一覧の表示価格。年式は掲載年式。</x:v>
      </x:c>
      <x:c r="AL748" s="31" t="n">
        <x:f>IF(AND(J748&lt;='分析方法'!$B$7,OR(ISBLANK(O748),O748&gt;='分析方法'!$B$8),X748&lt;&gt;"売却済み表示"),1,0)</x:f>
        <x:v>1</x:v>
      </x:c>
      <x:c r="AM748" s="32" t="n">
        <x:f>IF(AL748=1,U748,"")</x:f>
        <x:v>489000</x:v>
      </x:c>
      <x:c r="AN748" s="33" t="str">
        <x:f>IF(AL748=1,AF748,"")</x:f>
      </x:c>
      <x:c r="AO748" s="31" t="n">
        <x:f>'分析方法'!$B$6-J748</x:f>
        <x:v>5</x:v>
      </x:c>
      <x:c r="AP748" s="3"/>
    </x:row>
    <x:row r="749" ht="22" customHeight="1">
      <x:c r="A749" s="3" t="str">
        <x:v>T2915499</x:v>
      </x:c>
      <x:c r="B749" s="7" t="d">
        <x:v>2026-10-08T00:00:00.000Z</x:v>
      </x:c>
      <x:c r="C749" s="3" t="str">
        <x:v>Taladrod</x:v>
      </x:c>
      <x:c r="D749" s="3" t="str">
        <x:v>Toyota</x:v>
      </x:c>
      <x:c r="E749" s="3" t="str">
        <x:v>日本</x:v>
      </x:c>
      <x:c r="F749" s="3" t="str">
        <x:v>Hilux Revo</x:v>
      </x:c>
      <x:c r="G749" s="3" t="str">
        <x:v>ICE</x:v>
      </x:c>
      <x:c r="H749" s="3" t="str">
        <x:v>Pickup</x:v>
      </x:c>
      <x:c r="I749" s="3" t="str">
        <x:v>Double cab</x:v>
      </x:c>
      <x:c r="J749" s="3" t="n">
        <x:v>2021</x:v>
      </x:c>
      <x:c r="K749" s="3" t="str">
        <x:v>2.4 MID Z EDITION DOUBLE CAB</x:v>
      </x:c>
      <x:c r="L749" s="3" t="str">
        <x:v>2.4 MID Z EDITION DOUBLE CAB</x:v>
      </x:c>
      <x:c r="M749" s="22"/>
      <x:c r="N749" s="22"/>
      <x:c r="O749" s="22"/>
      <x:c r="P749" s="3" t="str">
        <x:v>未掲載</x:v>
      </x:c>
      <x:c r="Q749" s="3" t="str">
        <x:v>未取得</x:v>
      </x:c>
      <x:c r="R749" s="3" t="str">
        <x:v>Unknown</x:v>
      </x:c>
      <x:c r="S749" s="3" t="str">
        <x:v>不明</x:v>
      </x:c>
      <x:c r="T749" s="3" t="str">
        <x:v>世代不明</x:v>
      </x:c>
      <x:c r="U749" s="28" t="n">
        <x:v>459000</x:v>
      </x:c>
      <x:c r="V749" s="28"/>
      <x:c r="W749" s="3" t="str">
        <x:v>事故・水没・SOH・保証残は未確認</x:v>
      </x:c>
      <x:c r="X749" s="3" t="str">
        <x:v>掲載中・在庫未確認</x:v>
      </x:c>
      <x:c r="Y749" s="3" t="str"/>
      <x:c r="Z749" s="27" t="str">
        <x:v>https://www.taladrod.com/w40/icar/cardet.aspx?cid=2915499</x:v>
      </x:c>
      <x:c r="AA749" s="3" t="str">
        <x:v>Taladrod個別広告ID／Carsome在庫ID</x:v>
      </x:c>
      <x:c r="AB749" s="3" t="str">
        <x:v>車台番号未取得／サイト間重複は未判定</x:v>
      </x:c>
      <x:c r="AC749" s="3" t="str">
        <x:v>税込区分未確認（一覧表示額）</x:v>
      </x:c>
      <x:c r="AD749" s="3" t="str"/>
      <x:c r="AE749" s="29" t="str">
        <x:f>""</x:f>
      </x:c>
      <x:c r="AF749" s="30" t="str">
        <x:f>IF(ISNUMBER(AE749),U749/AE749,"")</x:f>
      </x:c>
      <x:c r="AG749" s="29" t="str">
        <x:f>""</x:f>
      </x:c>
      <x:c r="AH749" s="30" t="str">
        <x:f>IF(ISNUMBER(AG749),U749/AG749,"")</x:f>
      </x:c>
      <x:c r="AI749" s="3" t="str">
        <x:v>同年式・グレードの検証済み当時価格なし／登録年混在</x:v>
      </x:c>
      <x:c r="AJ749" s="3" t="str">
        <x:v>一覧価格/年式のみ</x:v>
      </x:c>
      <x:c r="AK749" s="3" t="str">
        <x:v>一覧の表示価格。年式は掲載年式。</x:v>
      </x:c>
      <x:c r="AL749" s="31" t="n">
        <x:f>IF(AND(J749&lt;='分析方法'!$B$7,OR(ISBLANK(O749),O749&gt;='分析方法'!$B$8),X749&lt;&gt;"売却済み表示"),1,0)</x:f>
        <x:v>1</x:v>
      </x:c>
      <x:c r="AM749" s="32" t="n">
        <x:f>IF(AL749=1,U749,"")</x:f>
        <x:v>459000</x:v>
      </x:c>
      <x:c r="AN749" s="33" t="str">
        <x:f>IF(AL749=1,AF749,"")</x:f>
      </x:c>
      <x:c r="AO749" s="31" t="n">
        <x:f>'分析方法'!$B$6-J749</x:f>
        <x:v>5</x:v>
      </x:c>
      <x:c r="AP749" s="3"/>
    </x:row>
    <x:row r="750" ht="22" customHeight="1">
      <x:c r="A750" s="3" t="str">
        <x:v>T2918057</x:v>
      </x:c>
      <x:c r="B750" s="7" t="d">
        <x:v>2026-10-08T00:00:00.000Z</x:v>
      </x:c>
      <x:c r="C750" s="3" t="str">
        <x:v>Taladrod</x:v>
      </x:c>
      <x:c r="D750" s="3" t="str">
        <x:v>Toyota</x:v>
      </x:c>
      <x:c r="E750" s="3" t="str">
        <x:v>日本</x:v>
      </x:c>
      <x:c r="F750" s="3" t="str">
        <x:v>Hilux Revo</x:v>
      </x:c>
      <x:c r="G750" s="3" t="str">
        <x:v>ICE</x:v>
      </x:c>
      <x:c r="H750" s="3" t="str">
        <x:v>Pickup</x:v>
      </x:c>
      <x:c r="I750" s="3" t="str">
        <x:v>Double cab</x:v>
      </x:c>
      <x:c r="J750" s="3" t="n">
        <x:v>2021</x:v>
      </x:c>
      <x:c r="K750" s="3" t="str">
        <x:v>2.4 MID Z EDITION DOUBLE CAB</x:v>
      </x:c>
      <x:c r="L750" s="3" t="str">
        <x:v>2.4 MID Z EDITION DOUBLE CAB</x:v>
      </x:c>
      <x:c r="M750" s="22"/>
      <x:c r="N750" s="22"/>
      <x:c r="O750" s="22"/>
      <x:c r="P750" s="3" t="str">
        <x:v>未掲載</x:v>
      </x:c>
      <x:c r="Q750" s="3" t="str">
        <x:v>未取得</x:v>
      </x:c>
      <x:c r="R750" s="3" t="str">
        <x:v>Unknown</x:v>
      </x:c>
      <x:c r="S750" s="3" t="str">
        <x:v>不明</x:v>
      </x:c>
      <x:c r="T750" s="3" t="str">
        <x:v>世代不明</x:v>
      </x:c>
      <x:c r="U750" s="28" t="n">
        <x:v>459000</x:v>
      </x:c>
      <x:c r="V750" s="28"/>
      <x:c r="W750" s="3" t="str">
        <x:v>事故・水没・SOH・保証残は未確認</x:v>
      </x:c>
      <x:c r="X750" s="3" t="str">
        <x:v>掲載中・在庫未確認</x:v>
      </x:c>
      <x:c r="Y750" s="3" t="str"/>
      <x:c r="Z750" s="27" t="str">
        <x:v>https://www.taladrod.com/w40/icar/cardet.aspx?cid=2918057</x:v>
      </x:c>
      <x:c r="AA750" s="3" t="str">
        <x:v>Taladrod個別広告ID／Carsome在庫ID</x:v>
      </x:c>
      <x:c r="AB750" s="3" t="str">
        <x:v>車台番号未取得／サイト間重複は未判定</x:v>
      </x:c>
      <x:c r="AC750" s="3" t="str">
        <x:v>税込区分未確認（一覧表示額）</x:v>
      </x:c>
      <x:c r="AD750" s="3" t="str"/>
      <x:c r="AE750" s="29" t="str">
        <x:f>""</x:f>
      </x:c>
      <x:c r="AF750" s="30" t="str">
        <x:f>IF(ISNUMBER(AE750),U750/AE750,"")</x:f>
      </x:c>
      <x:c r="AG750" s="29" t="str">
        <x:f>""</x:f>
      </x:c>
      <x:c r="AH750" s="30" t="str">
        <x:f>IF(ISNUMBER(AG750),U750/AG750,"")</x:f>
      </x:c>
      <x:c r="AI750" s="3" t="str">
        <x:v>同年式・グレードの検証済み当時価格なし／登録年混在</x:v>
      </x:c>
      <x:c r="AJ750" s="3" t="str">
        <x:v>一覧価格/年式のみ</x:v>
      </x:c>
      <x:c r="AK750" s="3" t="str">
        <x:v>一覧の表示価格。年式は掲載年式。</x:v>
      </x:c>
      <x:c r="AL750" s="31" t="n">
        <x:f>IF(AND(J750&lt;='分析方法'!$B$7,OR(ISBLANK(O750),O750&gt;='分析方法'!$B$8),X750&lt;&gt;"売却済み表示"),1,0)</x:f>
        <x:v>1</x:v>
      </x:c>
      <x:c r="AM750" s="32" t="n">
        <x:f>IF(AL750=1,U750,"")</x:f>
        <x:v>459000</x:v>
      </x:c>
      <x:c r="AN750" s="33" t="str">
        <x:f>IF(AL750=1,AF750,"")</x:f>
      </x:c>
      <x:c r="AO750" s="31" t="n">
        <x:f>'分析方法'!$B$6-J750</x:f>
        <x:v>5</x:v>
      </x:c>
      <x:c r="AP750" s="3"/>
    </x:row>
    <x:row r="751" ht="22" customHeight="1">
      <x:c r="A751" s="3" t="str">
        <x:v>T2920916</x:v>
      </x:c>
      <x:c r="B751" s="7" t="d">
        <x:v>2026-10-08T00:00:00.000Z</x:v>
      </x:c>
      <x:c r="C751" s="3" t="str">
        <x:v>Taladrod</x:v>
      </x:c>
      <x:c r="D751" s="3" t="str">
        <x:v>Toyota</x:v>
      </x:c>
      <x:c r="E751" s="3" t="str">
        <x:v>日本</x:v>
      </x:c>
      <x:c r="F751" s="3" t="str">
        <x:v>Hilux Revo</x:v>
      </x:c>
      <x:c r="G751" s="3" t="str">
        <x:v>ICE</x:v>
      </x:c>
      <x:c r="H751" s="3" t="str">
        <x:v>Pickup</x:v>
      </x:c>
      <x:c r="I751" s="3" t="str">
        <x:v>Double cab</x:v>
      </x:c>
      <x:c r="J751" s="3" t="n">
        <x:v>2021</x:v>
      </x:c>
      <x:c r="K751" s="3" t="str">
        <x:v>2.4 MID Z EDITION DOUBLE CAB</x:v>
      </x:c>
      <x:c r="L751" s="3" t="str">
        <x:v>2.4 MID Z EDITION DOUBLE CAB</x:v>
      </x:c>
      <x:c r="M751" s="22"/>
      <x:c r="N751" s="22"/>
      <x:c r="O751" s="22"/>
      <x:c r="P751" s="3" t="str">
        <x:v>未掲載</x:v>
      </x:c>
      <x:c r="Q751" s="3" t="str">
        <x:v>未取得</x:v>
      </x:c>
      <x:c r="R751" s="3" t="str">
        <x:v>Unknown</x:v>
      </x:c>
      <x:c r="S751" s="3" t="str">
        <x:v>不明</x:v>
      </x:c>
      <x:c r="T751" s="3" t="str">
        <x:v>世代不明</x:v>
      </x:c>
      <x:c r="U751" s="28" t="n">
        <x:v>449000</x:v>
      </x:c>
      <x:c r="V751" s="28"/>
      <x:c r="W751" s="3" t="str">
        <x:v>事故・水没・SOH・保証残は未確認</x:v>
      </x:c>
      <x:c r="X751" s="3" t="str">
        <x:v>掲載中・在庫未確認</x:v>
      </x:c>
      <x:c r="Y751" s="3" t="str"/>
      <x:c r="Z751" s="27" t="str">
        <x:v>https://www.taladrod.com/w40/icar/cardet.aspx?cid=2920916</x:v>
      </x:c>
      <x:c r="AA751" s="3" t="str">
        <x:v>Taladrod個別広告ID／Carsome在庫ID</x:v>
      </x:c>
      <x:c r="AB751" s="3" t="str">
        <x:v>車台番号未取得／サイト間重複は未判定</x:v>
      </x:c>
      <x:c r="AC751" s="3" t="str">
        <x:v>税込区分未確認（一覧表示額）</x:v>
      </x:c>
      <x:c r="AD751" s="3" t="str"/>
      <x:c r="AE751" s="29" t="str">
        <x:f>""</x:f>
      </x:c>
      <x:c r="AF751" s="30" t="str">
        <x:f>IF(ISNUMBER(AE751),U751/AE751,"")</x:f>
      </x:c>
      <x:c r="AG751" s="29" t="str">
        <x:f>""</x:f>
      </x:c>
      <x:c r="AH751" s="30" t="str">
        <x:f>IF(ISNUMBER(AG751),U751/AG751,"")</x:f>
      </x:c>
      <x:c r="AI751" s="3" t="str">
        <x:v>同年式・グレードの検証済み当時価格なし／登録年混在</x:v>
      </x:c>
      <x:c r="AJ751" s="3" t="str">
        <x:v>一覧価格/年式のみ</x:v>
      </x:c>
      <x:c r="AK751" s="3" t="str">
        <x:v>一覧の表示価格。年式は掲載年式。</x:v>
      </x:c>
      <x:c r="AL751" s="31" t="n">
        <x:f>IF(AND(J751&lt;='分析方法'!$B$7,OR(ISBLANK(O751),O751&gt;='分析方法'!$B$8),X751&lt;&gt;"売却済み表示"),1,0)</x:f>
        <x:v>1</x:v>
      </x:c>
      <x:c r="AM751" s="32" t="n">
        <x:f>IF(AL751=1,U751,"")</x:f>
        <x:v>449000</x:v>
      </x:c>
      <x:c r="AN751" s="33" t="str">
        <x:f>IF(AL751=1,AF751,"")</x:f>
      </x:c>
      <x:c r="AO751" s="31" t="n">
        <x:f>'分析方法'!$B$6-J751</x:f>
        <x:v>5</x:v>
      </x:c>
      <x:c r="AP751" s="3"/>
    </x:row>
    <x:row r="752" ht="22" customHeight="1">
      <x:c r="A752" s="3" t="str">
        <x:v>T2921473</x:v>
      </x:c>
      <x:c r="B752" s="7" t="d">
        <x:v>2026-10-08T00:00:00.000Z</x:v>
      </x:c>
      <x:c r="C752" s="3" t="str">
        <x:v>Taladrod</x:v>
      </x:c>
      <x:c r="D752" s="3" t="str">
        <x:v>Toyota</x:v>
      </x:c>
      <x:c r="E752" s="3" t="str">
        <x:v>日本</x:v>
      </x:c>
      <x:c r="F752" s="3" t="str">
        <x:v>Hilux Revo</x:v>
      </x:c>
      <x:c r="G752" s="3" t="str">
        <x:v>ICE</x:v>
      </x:c>
      <x:c r="H752" s="3" t="str">
        <x:v>Pickup</x:v>
      </x:c>
      <x:c r="I752" s="3" t="str">
        <x:v>Double cab</x:v>
      </x:c>
      <x:c r="J752" s="3" t="n">
        <x:v>2021</x:v>
      </x:c>
      <x:c r="K752" s="3" t="str">
        <x:v>2.4 MID Z EDITION DOUBLE CAB</x:v>
      </x:c>
      <x:c r="L752" s="3" t="str">
        <x:v>2.4 MID Z EDITION DOUBLE CAB</x:v>
      </x:c>
      <x:c r="M752" s="22"/>
      <x:c r="N752" s="22"/>
      <x:c r="O752" s="22"/>
      <x:c r="P752" s="3" t="str">
        <x:v>未掲載</x:v>
      </x:c>
      <x:c r="Q752" s="3" t="str">
        <x:v>未取得</x:v>
      </x:c>
      <x:c r="R752" s="3" t="str">
        <x:v>Unknown</x:v>
      </x:c>
      <x:c r="S752" s="3" t="str">
        <x:v>不明</x:v>
      </x:c>
      <x:c r="T752" s="3" t="str">
        <x:v>世代不明</x:v>
      </x:c>
      <x:c r="U752" s="28" t="n">
        <x:v>485000</x:v>
      </x:c>
      <x:c r="V752" s="28"/>
      <x:c r="W752" s="3" t="str">
        <x:v>事故・水没・SOH・保証残は未確認</x:v>
      </x:c>
      <x:c r="X752" s="3" t="str">
        <x:v>掲載中・在庫未確認</x:v>
      </x:c>
      <x:c r="Y752" s="3" t="str"/>
      <x:c r="Z752" s="27" t="str">
        <x:v>https://www.taladrod.com/w40/icar/cardet.aspx?cid=2921473</x:v>
      </x:c>
      <x:c r="AA752" s="3" t="str">
        <x:v>Taladrod個別広告ID／Carsome在庫ID</x:v>
      </x:c>
      <x:c r="AB752" s="3" t="str">
        <x:v>車台番号未取得／サイト間重複は未判定</x:v>
      </x:c>
      <x:c r="AC752" s="3" t="str">
        <x:v>税込区分未確認（一覧表示額）</x:v>
      </x:c>
      <x:c r="AD752" s="3" t="str"/>
      <x:c r="AE752" s="29" t="str">
        <x:f>""</x:f>
      </x:c>
      <x:c r="AF752" s="30" t="str">
        <x:f>IF(ISNUMBER(AE752),U752/AE752,"")</x:f>
      </x:c>
      <x:c r="AG752" s="29" t="str">
        <x:f>""</x:f>
      </x:c>
      <x:c r="AH752" s="30" t="str">
        <x:f>IF(ISNUMBER(AG752),U752/AG752,"")</x:f>
      </x:c>
      <x:c r="AI752" s="3" t="str">
        <x:v>同年式・グレードの検証済み当時価格なし／登録年混在</x:v>
      </x:c>
      <x:c r="AJ752" s="3" t="str">
        <x:v>一覧価格/年式のみ</x:v>
      </x:c>
      <x:c r="AK752" s="3" t="str">
        <x:v>一覧の表示価格。年式は掲載年式。</x:v>
      </x:c>
      <x:c r="AL752" s="31" t="n">
        <x:f>IF(AND(J752&lt;='分析方法'!$B$7,OR(ISBLANK(O752),O752&gt;='分析方法'!$B$8),X752&lt;&gt;"売却済み表示"),1,0)</x:f>
        <x:v>1</x:v>
      </x:c>
      <x:c r="AM752" s="32" t="n">
        <x:f>IF(AL752=1,U752,"")</x:f>
        <x:v>485000</x:v>
      </x:c>
      <x:c r="AN752" s="33" t="str">
        <x:f>IF(AL752=1,AF752,"")</x:f>
      </x:c>
      <x:c r="AO752" s="31" t="n">
        <x:f>'分析方法'!$B$6-J752</x:f>
        <x:v>5</x:v>
      </x:c>
      <x:c r="AP752" s="3"/>
    </x:row>
    <x:row r="753" ht="22" customHeight="1">
      <x:c r="A753" s="3" t="str">
        <x:v>T2921667</x:v>
      </x:c>
      <x:c r="B753" s="7" t="d">
        <x:v>2026-10-08T00:00:00.000Z</x:v>
      </x:c>
      <x:c r="C753" s="3" t="str">
        <x:v>Taladrod</x:v>
      </x:c>
      <x:c r="D753" s="3" t="str">
        <x:v>Toyota</x:v>
      </x:c>
      <x:c r="E753" s="3" t="str">
        <x:v>日本</x:v>
      </x:c>
      <x:c r="F753" s="3" t="str">
        <x:v>Hilux Revo</x:v>
      </x:c>
      <x:c r="G753" s="3" t="str">
        <x:v>ICE</x:v>
      </x:c>
      <x:c r="H753" s="3" t="str">
        <x:v>Pickup</x:v>
      </x:c>
      <x:c r="I753" s="3" t="str">
        <x:v>Double cab</x:v>
      </x:c>
      <x:c r="J753" s="3" t="n">
        <x:v>2021</x:v>
      </x:c>
      <x:c r="K753" s="3" t="str">
        <x:v>2.4 MID Z EDITION DOUBLE CAB</x:v>
      </x:c>
      <x:c r="L753" s="3" t="str">
        <x:v>2.4 MID Z EDITION DOUBLE CAB</x:v>
      </x:c>
      <x:c r="M753" s="22"/>
      <x:c r="N753" s="22"/>
      <x:c r="O753" s="22"/>
      <x:c r="P753" s="3" t="str">
        <x:v>未掲載</x:v>
      </x:c>
      <x:c r="Q753" s="3" t="str">
        <x:v>未取得</x:v>
      </x:c>
      <x:c r="R753" s="3" t="str">
        <x:v>Unknown</x:v>
      </x:c>
      <x:c r="S753" s="3" t="str">
        <x:v>不明</x:v>
      </x:c>
      <x:c r="T753" s="3" t="str">
        <x:v>世代不明</x:v>
      </x:c>
      <x:c r="U753" s="28" t="n">
        <x:v>489000</x:v>
      </x:c>
      <x:c r="V753" s="28"/>
      <x:c r="W753" s="3" t="str">
        <x:v>事故・水没・SOH・保証残は未確認</x:v>
      </x:c>
      <x:c r="X753" s="3" t="str">
        <x:v>掲載中・在庫未確認</x:v>
      </x:c>
      <x:c r="Y753" s="3" t="str"/>
      <x:c r="Z753" s="27" t="str">
        <x:v>https://www.taladrod.com/w40/icar/cardet.aspx?cid=2921667</x:v>
      </x:c>
      <x:c r="AA753" s="3" t="str">
        <x:v>Taladrod個別広告ID／Carsome在庫ID</x:v>
      </x:c>
      <x:c r="AB753" s="3" t="str">
        <x:v>車台番号未取得／サイト間重複は未判定</x:v>
      </x:c>
      <x:c r="AC753" s="3" t="str">
        <x:v>税込区分未確認（一覧表示額）</x:v>
      </x:c>
      <x:c r="AD753" s="3" t="str"/>
      <x:c r="AE753" s="29" t="str">
        <x:f>""</x:f>
      </x:c>
      <x:c r="AF753" s="30" t="str">
        <x:f>IF(ISNUMBER(AE753),U753/AE753,"")</x:f>
      </x:c>
      <x:c r="AG753" s="29" t="str">
        <x:f>""</x:f>
      </x:c>
      <x:c r="AH753" s="30" t="str">
        <x:f>IF(ISNUMBER(AG753),U753/AG753,"")</x:f>
      </x:c>
      <x:c r="AI753" s="3" t="str">
        <x:v>同年式・グレードの検証済み当時価格なし／登録年混在</x:v>
      </x:c>
      <x:c r="AJ753" s="3" t="str">
        <x:v>一覧価格/年式のみ</x:v>
      </x:c>
      <x:c r="AK753" s="3" t="str">
        <x:v>一覧の表示価格。年式は掲載年式。</x:v>
      </x:c>
      <x:c r="AL753" s="31" t="n">
        <x:f>IF(AND(J753&lt;='分析方法'!$B$7,OR(ISBLANK(O753),O753&gt;='分析方法'!$B$8),X753&lt;&gt;"売却済み表示"),1,0)</x:f>
        <x:v>1</x:v>
      </x:c>
      <x:c r="AM753" s="32" t="n">
        <x:f>IF(AL753=1,U753,"")</x:f>
        <x:v>489000</x:v>
      </x:c>
      <x:c r="AN753" s="33" t="str">
        <x:f>IF(AL753=1,AF753,"")</x:f>
      </x:c>
      <x:c r="AO753" s="31" t="n">
        <x:f>'分析方法'!$B$6-J753</x:f>
        <x:v>5</x:v>
      </x:c>
      <x:c r="AP753" s="3"/>
    </x:row>
    <x:row r="754" ht="22" customHeight="1">
      <x:c r="A754" s="3" t="str">
        <x:v>T2921668</x:v>
      </x:c>
      <x:c r="B754" s="7" t="d">
        <x:v>2026-10-08T00:00:00.000Z</x:v>
      </x:c>
      <x:c r="C754" s="3" t="str">
        <x:v>Taladrod</x:v>
      </x:c>
      <x:c r="D754" s="3" t="str">
        <x:v>Toyota</x:v>
      </x:c>
      <x:c r="E754" s="3" t="str">
        <x:v>日本</x:v>
      </x:c>
      <x:c r="F754" s="3" t="str">
        <x:v>Hilux Revo</x:v>
      </x:c>
      <x:c r="G754" s="3" t="str">
        <x:v>ICE</x:v>
      </x:c>
      <x:c r="H754" s="3" t="str">
        <x:v>Pickup</x:v>
      </x:c>
      <x:c r="I754" s="3" t="str">
        <x:v>Double cab</x:v>
      </x:c>
      <x:c r="J754" s="3" t="n">
        <x:v>2021</x:v>
      </x:c>
      <x:c r="K754" s="3" t="str">
        <x:v>2.4 MID Z EDITION DOUBLE CAB</x:v>
      </x:c>
      <x:c r="L754" s="3" t="str">
        <x:v>2.4 MID Z EDITION DOUBLE CAB</x:v>
      </x:c>
      <x:c r="M754" s="22"/>
      <x:c r="N754" s="22"/>
      <x:c r="O754" s="22"/>
      <x:c r="P754" s="3" t="str">
        <x:v>未掲載</x:v>
      </x:c>
      <x:c r="Q754" s="3" t="str">
        <x:v>未取得</x:v>
      </x:c>
      <x:c r="R754" s="3" t="str">
        <x:v>Unknown</x:v>
      </x:c>
      <x:c r="S754" s="3" t="str">
        <x:v>不明</x:v>
      </x:c>
      <x:c r="T754" s="3" t="str">
        <x:v>世代不明</x:v>
      </x:c>
      <x:c r="U754" s="28" t="n">
        <x:v>469000</x:v>
      </x:c>
      <x:c r="V754" s="28"/>
      <x:c r="W754" s="3" t="str">
        <x:v>事故・水没・SOH・保証残は未確認</x:v>
      </x:c>
      <x:c r="X754" s="3" t="str">
        <x:v>掲載中・在庫未確認</x:v>
      </x:c>
      <x:c r="Y754" s="3" t="str"/>
      <x:c r="Z754" s="27" t="str">
        <x:v>https://www.taladrod.com/w40/icar/cardet.aspx?cid=2921668</x:v>
      </x:c>
      <x:c r="AA754" s="3" t="str">
        <x:v>Taladrod個別広告ID／Carsome在庫ID</x:v>
      </x:c>
      <x:c r="AB754" s="3" t="str">
        <x:v>車台番号未取得／サイト間重複は未判定</x:v>
      </x:c>
      <x:c r="AC754" s="3" t="str">
        <x:v>税込区分未確認（一覧表示額）</x:v>
      </x:c>
      <x:c r="AD754" s="3" t="str"/>
      <x:c r="AE754" s="29" t="str">
        <x:f>""</x:f>
      </x:c>
      <x:c r="AF754" s="30" t="str">
        <x:f>IF(ISNUMBER(AE754),U754/AE754,"")</x:f>
      </x:c>
      <x:c r="AG754" s="29" t="str">
        <x:f>""</x:f>
      </x:c>
      <x:c r="AH754" s="30" t="str">
        <x:f>IF(ISNUMBER(AG754),U754/AG754,"")</x:f>
      </x:c>
      <x:c r="AI754" s="3" t="str">
        <x:v>同年式・グレードの検証済み当時価格なし／登録年混在</x:v>
      </x:c>
      <x:c r="AJ754" s="3" t="str">
        <x:v>一覧価格/年式のみ</x:v>
      </x:c>
      <x:c r="AK754" s="3" t="str">
        <x:v>一覧の表示価格。年式は掲載年式。</x:v>
      </x:c>
      <x:c r="AL754" s="31" t="n">
        <x:f>IF(AND(J754&lt;='分析方法'!$B$7,OR(ISBLANK(O754),O754&gt;='分析方法'!$B$8),X754&lt;&gt;"売却済み表示"),1,0)</x:f>
        <x:v>1</x:v>
      </x:c>
      <x:c r="AM754" s="32" t="n">
        <x:f>IF(AL754=1,U754,"")</x:f>
        <x:v>469000</x:v>
      </x:c>
      <x:c r="AN754" s="33" t="str">
        <x:f>IF(AL754=1,AF754,"")</x:f>
      </x:c>
      <x:c r="AO754" s="31" t="n">
        <x:f>'分析方法'!$B$6-J754</x:f>
        <x:v>5</x:v>
      </x:c>
      <x:c r="AP754" s="3"/>
    </x:row>
    <x:row r="755" ht="22" customHeight="1">
      <x:c r="A755" s="3" t="str">
        <x:v>T2899887</x:v>
      </x:c>
      <x:c r="B755" s="7" t="d">
        <x:v>2026-10-08T00:00:00.000Z</x:v>
      </x:c>
      <x:c r="C755" s="3" t="str">
        <x:v>Taladrod</x:v>
      </x:c>
      <x:c r="D755" s="3" t="str">
        <x:v>Toyota</x:v>
      </x:c>
      <x:c r="E755" s="3" t="str">
        <x:v>日本</x:v>
      </x:c>
      <x:c r="F755" s="3" t="str">
        <x:v>Hilux Revo</x:v>
      </x:c>
      <x:c r="G755" s="3" t="str">
        <x:v>ICE</x:v>
      </x:c>
      <x:c r="H755" s="3" t="str">
        <x:v>Pickup</x:v>
      </x:c>
      <x:c r="I755" s="3" t="str">
        <x:v>Smart cab</x:v>
      </x:c>
      <x:c r="J755" s="3" t="n">
        <x:v>2021</x:v>
      </x:c>
      <x:c r="K755" s="3" t="str">
        <x:v>2.4 MID Z EDITION SMART CAB</x:v>
      </x:c>
      <x:c r="L755" s="3" t="str">
        <x:v>2.4 MID Z EDITION SMART CAB</x:v>
      </x:c>
      <x:c r="M755" s="22"/>
      <x:c r="N755" s="22"/>
      <x:c r="O755" s="22"/>
      <x:c r="P755" s="3" t="str">
        <x:v>未掲載</x:v>
      </x:c>
      <x:c r="Q755" s="3" t="str">
        <x:v>未取得</x:v>
      </x:c>
      <x:c r="R755" s="3" t="str">
        <x:v>Unknown</x:v>
      </x:c>
      <x:c r="S755" s="3" t="str">
        <x:v>不明</x:v>
      </x:c>
      <x:c r="T755" s="3" t="str">
        <x:v>世代不明</x:v>
      </x:c>
      <x:c r="U755" s="28" t="n">
        <x:v>379000</x:v>
      </x:c>
      <x:c r="V755" s="28"/>
      <x:c r="W755" s="3" t="str">
        <x:v>事故・水没・SOH・保証残は未確認</x:v>
      </x:c>
      <x:c r="X755" s="3" t="str">
        <x:v>掲載中・在庫未確認</x:v>
      </x:c>
      <x:c r="Y755" s="3" t="str"/>
      <x:c r="Z755" s="27" t="str">
        <x:v>https://www.taladrod.com/w40/icar/cardet.aspx?cid=2899887</x:v>
      </x:c>
      <x:c r="AA755" s="3" t="str">
        <x:v>Taladrod個別広告ID／Carsome在庫ID</x:v>
      </x:c>
      <x:c r="AB755" s="3" t="str">
        <x:v>車台番号未取得／サイト間重複は未判定</x:v>
      </x:c>
      <x:c r="AC755" s="3" t="str">
        <x:v>税込区分未確認（一覧表示額）</x:v>
      </x:c>
      <x:c r="AD755" s="3" t="str"/>
      <x:c r="AE755" s="29" t="str">
        <x:f>""</x:f>
      </x:c>
      <x:c r="AF755" s="30" t="str">
        <x:f>IF(ISNUMBER(AE755),U755/AE755,"")</x:f>
      </x:c>
      <x:c r="AG755" s="29" t="str">
        <x:f>""</x:f>
      </x:c>
      <x:c r="AH755" s="30" t="str">
        <x:f>IF(ISNUMBER(AG755),U755/AG755,"")</x:f>
      </x:c>
      <x:c r="AI755" s="3" t="str">
        <x:v>同年式・グレードの検証済み当時価格なし／登録年混在</x:v>
      </x:c>
      <x:c r="AJ755" s="3" t="str">
        <x:v>一覧価格/年式のみ</x:v>
      </x:c>
      <x:c r="AK755" s="3" t="str">
        <x:v>一覧の表示価格。年式は掲載年式。</x:v>
      </x:c>
      <x:c r="AL755" s="31" t="n">
        <x:f>IF(AND(J755&lt;='分析方法'!$B$7,OR(ISBLANK(O755),O755&gt;='分析方法'!$B$8),X755&lt;&gt;"売却済み表示"),1,0)</x:f>
        <x:v>1</x:v>
      </x:c>
      <x:c r="AM755" s="32" t="n">
        <x:f>IF(AL755=1,U755,"")</x:f>
        <x:v>379000</x:v>
      </x:c>
      <x:c r="AN755" s="33" t="str">
        <x:f>IF(AL755=1,AF755,"")</x:f>
      </x:c>
      <x:c r="AO755" s="31" t="n">
        <x:f>'分析方法'!$B$6-J755</x:f>
        <x:v>5</x:v>
      </x:c>
      <x:c r="AP755" s="3"/>
    </x:row>
    <x:row r="756" ht="22" customHeight="1">
      <x:c r="A756" s="3" t="str">
        <x:v>T2899978</x:v>
      </x:c>
      <x:c r="B756" s="7" t="d">
        <x:v>2026-10-08T00:00:00.000Z</x:v>
      </x:c>
      <x:c r="C756" s="3" t="str">
        <x:v>Taladrod</x:v>
      </x:c>
      <x:c r="D756" s="3" t="str">
        <x:v>Toyota</x:v>
      </x:c>
      <x:c r="E756" s="3" t="str">
        <x:v>日本</x:v>
      </x:c>
      <x:c r="F756" s="3" t="str">
        <x:v>Hilux Revo</x:v>
      </x:c>
      <x:c r="G756" s="3" t="str">
        <x:v>ICE</x:v>
      </x:c>
      <x:c r="H756" s="3" t="str">
        <x:v>Pickup</x:v>
      </x:c>
      <x:c r="I756" s="3" t="str">
        <x:v>Smart cab</x:v>
      </x:c>
      <x:c r="J756" s="3" t="n">
        <x:v>2021</x:v>
      </x:c>
      <x:c r="K756" s="3" t="str">
        <x:v>2.4 MID Z EDITION SMART CAB</x:v>
      </x:c>
      <x:c r="L756" s="3" t="str">
        <x:v>2.4 MID Z EDITION SMART CAB</x:v>
      </x:c>
      <x:c r="M756" s="22"/>
      <x:c r="N756" s="22"/>
      <x:c r="O756" s="22"/>
      <x:c r="P756" s="3" t="str">
        <x:v>未掲載</x:v>
      </x:c>
      <x:c r="Q756" s="3" t="str">
        <x:v>未取得</x:v>
      </x:c>
      <x:c r="R756" s="3" t="str">
        <x:v>Unknown</x:v>
      </x:c>
      <x:c r="S756" s="3" t="str">
        <x:v>不明</x:v>
      </x:c>
      <x:c r="T756" s="3" t="str">
        <x:v>世代不明</x:v>
      </x:c>
      <x:c r="U756" s="28" t="n">
        <x:v>399000</x:v>
      </x:c>
      <x:c r="V756" s="28"/>
      <x:c r="W756" s="3" t="str">
        <x:v>事故・水没・SOH・保証残は未確認</x:v>
      </x:c>
      <x:c r="X756" s="3" t="str">
        <x:v>掲載中・在庫未確認</x:v>
      </x:c>
      <x:c r="Y756" s="3" t="str"/>
      <x:c r="Z756" s="27" t="str">
        <x:v>https://www.taladrod.com/w40/icar/cardet.aspx?cid=2899978</x:v>
      </x:c>
      <x:c r="AA756" s="3" t="str">
        <x:v>Taladrod個別広告ID／Carsome在庫ID</x:v>
      </x:c>
      <x:c r="AB756" s="3" t="str">
        <x:v>車台番号未取得／サイト間重複は未判定</x:v>
      </x:c>
      <x:c r="AC756" s="3" t="str">
        <x:v>税込区分未確認（一覧表示額）</x:v>
      </x:c>
      <x:c r="AD756" s="3" t="str"/>
      <x:c r="AE756" s="29" t="str">
        <x:f>""</x:f>
      </x:c>
      <x:c r="AF756" s="30" t="str">
        <x:f>IF(ISNUMBER(AE756),U756/AE756,"")</x:f>
      </x:c>
      <x:c r="AG756" s="29" t="str">
        <x:f>""</x:f>
      </x:c>
      <x:c r="AH756" s="30" t="str">
        <x:f>IF(ISNUMBER(AG756),U756/AG756,"")</x:f>
      </x:c>
      <x:c r="AI756" s="3" t="str">
        <x:v>同年式・グレードの検証済み当時価格なし／登録年混在</x:v>
      </x:c>
      <x:c r="AJ756" s="3" t="str">
        <x:v>一覧価格/年式のみ</x:v>
      </x:c>
      <x:c r="AK756" s="3" t="str">
        <x:v>一覧の表示価格。年式は掲載年式。</x:v>
      </x:c>
      <x:c r="AL756" s="31" t="n">
        <x:f>IF(AND(J756&lt;='分析方法'!$B$7,OR(ISBLANK(O756),O756&gt;='分析方法'!$B$8),X756&lt;&gt;"売却済み表示"),1,0)</x:f>
        <x:v>1</x:v>
      </x:c>
      <x:c r="AM756" s="32" t="n">
        <x:f>IF(AL756=1,U756,"")</x:f>
        <x:v>399000</x:v>
      </x:c>
      <x:c r="AN756" s="33" t="str">
        <x:f>IF(AL756=1,AF756,"")</x:f>
      </x:c>
      <x:c r="AO756" s="31" t="n">
        <x:f>'分析方法'!$B$6-J756</x:f>
        <x:v>5</x:v>
      </x:c>
      <x:c r="AP756" s="3"/>
    </x:row>
    <x:row r="757" ht="22" customHeight="1">
      <x:c r="A757" s="3" t="str">
        <x:v>T2903972</x:v>
      </x:c>
      <x:c r="B757" s="7" t="d">
        <x:v>2026-10-08T00:00:00.000Z</x:v>
      </x:c>
      <x:c r="C757" s="3" t="str">
        <x:v>Taladrod</x:v>
      </x:c>
      <x:c r="D757" s="3" t="str">
        <x:v>Toyota</x:v>
      </x:c>
      <x:c r="E757" s="3" t="str">
        <x:v>日本</x:v>
      </x:c>
      <x:c r="F757" s="3" t="str">
        <x:v>Hilux Revo</x:v>
      </x:c>
      <x:c r="G757" s="3" t="str">
        <x:v>ICE</x:v>
      </x:c>
      <x:c r="H757" s="3" t="str">
        <x:v>Pickup</x:v>
      </x:c>
      <x:c r="I757" s="3" t="str">
        <x:v>Smart cab</x:v>
      </x:c>
      <x:c r="J757" s="3" t="n">
        <x:v>2021</x:v>
      </x:c>
      <x:c r="K757" s="3" t="str">
        <x:v>2.4 MID Z EDITION SMART CAB</x:v>
      </x:c>
      <x:c r="L757" s="3" t="str">
        <x:v>2.4 MID Z EDITION SMART CAB</x:v>
      </x:c>
      <x:c r="M757" s="22"/>
      <x:c r="N757" s="22"/>
      <x:c r="O757" s="22"/>
      <x:c r="P757" s="3" t="str">
        <x:v>未掲載</x:v>
      </x:c>
      <x:c r="Q757" s="3" t="str">
        <x:v>未取得</x:v>
      </x:c>
      <x:c r="R757" s="3" t="str">
        <x:v>Unknown</x:v>
      </x:c>
      <x:c r="S757" s="3" t="str">
        <x:v>不明</x:v>
      </x:c>
      <x:c r="T757" s="3" t="str">
        <x:v>世代不明</x:v>
      </x:c>
      <x:c r="U757" s="28" t="n">
        <x:v>429000</x:v>
      </x:c>
      <x:c r="V757" s="28"/>
      <x:c r="W757" s="3" t="str">
        <x:v>事故・水没・SOH・保証残は未確認</x:v>
      </x:c>
      <x:c r="X757" s="3" t="str">
        <x:v>掲載中・在庫未確認</x:v>
      </x:c>
      <x:c r="Y757" s="3" t="str"/>
      <x:c r="Z757" s="27" t="str">
        <x:v>https://www.taladrod.com/w40/icar/cardet.aspx?cid=2903972</x:v>
      </x:c>
      <x:c r="AA757" s="3" t="str">
        <x:v>Taladrod個別広告ID／Carsome在庫ID</x:v>
      </x:c>
      <x:c r="AB757" s="3" t="str">
        <x:v>車台番号未取得／サイト間重複は未判定</x:v>
      </x:c>
      <x:c r="AC757" s="3" t="str">
        <x:v>税込区分未確認（一覧表示額）</x:v>
      </x:c>
      <x:c r="AD757" s="3" t="str"/>
      <x:c r="AE757" s="29" t="str">
        <x:f>""</x:f>
      </x:c>
      <x:c r="AF757" s="30" t="str">
        <x:f>IF(ISNUMBER(AE757),U757/AE757,"")</x:f>
      </x:c>
      <x:c r="AG757" s="29" t="str">
        <x:f>""</x:f>
      </x:c>
      <x:c r="AH757" s="30" t="str">
        <x:f>IF(ISNUMBER(AG757),U757/AG757,"")</x:f>
      </x:c>
      <x:c r="AI757" s="3" t="str">
        <x:v>同年式・グレードの検証済み当時価格なし／登録年混在</x:v>
      </x:c>
      <x:c r="AJ757" s="3" t="str">
        <x:v>一覧価格/年式のみ</x:v>
      </x:c>
      <x:c r="AK757" s="3" t="str">
        <x:v>一覧の表示価格。年式は掲載年式。</x:v>
      </x:c>
      <x:c r="AL757" s="31" t="n">
        <x:f>IF(AND(J757&lt;='分析方法'!$B$7,OR(ISBLANK(O757),O757&gt;='分析方法'!$B$8),X757&lt;&gt;"売却済み表示"),1,0)</x:f>
        <x:v>1</x:v>
      </x:c>
      <x:c r="AM757" s="32" t="n">
        <x:f>IF(AL757=1,U757,"")</x:f>
        <x:v>429000</x:v>
      </x:c>
      <x:c r="AN757" s="33" t="str">
        <x:f>IF(AL757=1,AF757,"")</x:f>
      </x:c>
      <x:c r="AO757" s="31" t="n">
        <x:f>'分析方法'!$B$6-J757</x:f>
        <x:v>5</x:v>
      </x:c>
      <x:c r="AP757" s="3"/>
    </x:row>
    <x:row r="758" ht="22" customHeight="1">
      <x:c r="A758" s="3" t="str">
        <x:v>T2904803</x:v>
      </x:c>
      <x:c r="B758" s="7" t="d">
        <x:v>2026-10-08T00:00:00.000Z</x:v>
      </x:c>
      <x:c r="C758" s="3" t="str">
        <x:v>Taladrod</x:v>
      </x:c>
      <x:c r="D758" s="3" t="str">
        <x:v>Toyota</x:v>
      </x:c>
      <x:c r="E758" s="3" t="str">
        <x:v>日本</x:v>
      </x:c>
      <x:c r="F758" s="3" t="str">
        <x:v>Hilux Revo</x:v>
      </x:c>
      <x:c r="G758" s="3" t="str">
        <x:v>ICE</x:v>
      </x:c>
      <x:c r="H758" s="3" t="str">
        <x:v>Pickup</x:v>
      </x:c>
      <x:c r="I758" s="3" t="str">
        <x:v>Smart cab</x:v>
      </x:c>
      <x:c r="J758" s="3" t="n">
        <x:v>2021</x:v>
      </x:c>
      <x:c r="K758" s="3" t="str">
        <x:v>2.4 MID Z EDITION SMART CAB</x:v>
      </x:c>
      <x:c r="L758" s="3" t="str">
        <x:v>2.4 MID Z EDITION SMART CAB</x:v>
      </x:c>
      <x:c r="M758" s="22"/>
      <x:c r="N758" s="22"/>
      <x:c r="O758" s="22"/>
      <x:c r="P758" s="3" t="str">
        <x:v>未掲載</x:v>
      </x:c>
      <x:c r="Q758" s="3" t="str">
        <x:v>未取得</x:v>
      </x:c>
      <x:c r="R758" s="3" t="str">
        <x:v>Unknown</x:v>
      </x:c>
      <x:c r="S758" s="3" t="str">
        <x:v>不明</x:v>
      </x:c>
      <x:c r="T758" s="3" t="str">
        <x:v>世代不明</x:v>
      </x:c>
      <x:c r="U758" s="28" t="n">
        <x:v>429000</x:v>
      </x:c>
      <x:c r="V758" s="28"/>
      <x:c r="W758" s="3" t="str">
        <x:v>事故・水没・SOH・保証残は未確認</x:v>
      </x:c>
      <x:c r="X758" s="3" t="str">
        <x:v>掲載中・在庫未確認</x:v>
      </x:c>
      <x:c r="Y758" s="3" t="str"/>
      <x:c r="Z758" s="27" t="str">
        <x:v>https://www.taladrod.com/w40/icar/cardet.aspx?cid=2904803</x:v>
      </x:c>
      <x:c r="AA758" s="3" t="str">
        <x:v>Taladrod個別広告ID／Carsome在庫ID</x:v>
      </x:c>
      <x:c r="AB758" s="3" t="str">
        <x:v>車台番号未取得／サイト間重複は未判定</x:v>
      </x:c>
      <x:c r="AC758" s="3" t="str">
        <x:v>税込区分未確認（一覧表示額）</x:v>
      </x:c>
      <x:c r="AD758" s="3" t="str"/>
      <x:c r="AE758" s="29" t="str">
        <x:f>""</x:f>
      </x:c>
      <x:c r="AF758" s="30" t="str">
        <x:f>IF(ISNUMBER(AE758),U758/AE758,"")</x:f>
      </x:c>
      <x:c r="AG758" s="29" t="str">
        <x:f>""</x:f>
      </x:c>
      <x:c r="AH758" s="30" t="str">
        <x:f>IF(ISNUMBER(AG758),U758/AG758,"")</x:f>
      </x:c>
      <x:c r="AI758" s="3" t="str">
        <x:v>同年式・グレードの検証済み当時価格なし／登録年混在</x:v>
      </x:c>
      <x:c r="AJ758" s="3" t="str">
        <x:v>一覧価格/年式のみ</x:v>
      </x:c>
      <x:c r="AK758" s="3" t="str">
        <x:v>一覧の表示価格。年式は掲載年式。</x:v>
      </x:c>
      <x:c r="AL758" s="31" t="n">
        <x:f>IF(AND(J758&lt;='分析方法'!$B$7,OR(ISBLANK(O758),O758&gt;='分析方法'!$B$8),X758&lt;&gt;"売却済み表示"),1,0)</x:f>
        <x:v>1</x:v>
      </x:c>
      <x:c r="AM758" s="32" t="n">
        <x:f>IF(AL758=1,U758,"")</x:f>
        <x:v>429000</x:v>
      </x:c>
      <x:c r="AN758" s="33" t="str">
        <x:f>IF(AL758=1,AF758,"")</x:f>
      </x:c>
      <x:c r="AO758" s="31" t="n">
        <x:f>'分析方法'!$B$6-J758</x:f>
        <x:v>5</x:v>
      </x:c>
      <x:c r="AP758" s="3"/>
    </x:row>
    <x:row r="759" ht="22" customHeight="1">
      <x:c r="A759" s="3" t="str">
        <x:v>T2906209</x:v>
      </x:c>
      <x:c r="B759" s="7" t="d">
        <x:v>2026-10-08T00:00:00.000Z</x:v>
      </x:c>
      <x:c r="C759" s="3" t="str">
        <x:v>Taladrod</x:v>
      </x:c>
      <x:c r="D759" s="3" t="str">
        <x:v>Toyota</x:v>
      </x:c>
      <x:c r="E759" s="3" t="str">
        <x:v>日本</x:v>
      </x:c>
      <x:c r="F759" s="3" t="str">
        <x:v>Hilux Revo</x:v>
      </x:c>
      <x:c r="G759" s="3" t="str">
        <x:v>ICE</x:v>
      </x:c>
      <x:c r="H759" s="3" t="str">
        <x:v>Pickup</x:v>
      </x:c>
      <x:c r="I759" s="3" t="str">
        <x:v>Smart cab</x:v>
      </x:c>
      <x:c r="J759" s="3" t="n">
        <x:v>2021</x:v>
      </x:c>
      <x:c r="K759" s="3" t="str">
        <x:v>2.4 MID Z EDITION SMART CAB</x:v>
      </x:c>
      <x:c r="L759" s="3" t="str">
        <x:v>2.4 MID Z EDITION SMART CAB</x:v>
      </x:c>
      <x:c r="M759" s="22"/>
      <x:c r="N759" s="22"/>
      <x:c r="O759" s="22"/>
      <x:c r="P759" s="3" t="str">
        <x:v>未掲載</x:v>
      </x:c>
      <x:c r="Q759" s="3" t="str">
        <x:v>未取得</x:v>
      </x:c>
      <x:c r="R759" s="3" t="str">
        <x:v>Unknown</x:v>
      </x:c>
      <x:c r="S759" s="3" t="str">
        <x:v>不明</x:v>
      </x:c>
      <x:c r="T759" s="3" t="str">
        <x:v>世代不明</x:v>
      </x:c>
      <x:c r="U759" s="28" t="n">
        <x:v>355000</x:v>
      </x:c>
      <x:c r="V759" s="28"/>
      <x:c r="W759" s="3" t="str">
        <x:v>事故・水没・SOH・保証残は未確認</x:v>
      </x:c>
      <x:c r="X759" s="3" t="str">
        <x:v>掲載中・在庫未確認</x:v>
      </x:c>
      <x:c r="Y759" s="3" t="str"/>
      <x:c r="Z759" s="27" t="str">
        <x:v>https://www.taladrod.com/w40/icar/cardet.aspx?cid=2906209</x:v>
      </x:c>
      <x:c r="AA759" s="3" t="str">
        <x:v>Taladrod個別広告ID／Carsome在庫ID</x:v>
      </x:c>
      <x:c r="AB759" s="3" t="str">
        <x:v>車台番号未取得／サイト間重複は未判定</x:v>
      </x:c>
      <x:c r="AC759" s="3" t="str">
        <x:v>税込区分未確認（一覧表示額）</x:v>
      </x:c>
      <x:c r="AD759" s="3" t="str"/>
      <x:c r="AE759" s="29" t="str">
        <x:f>""</x:f>
      </x:c>
      <x:c r="AF759" s="30" t="str">
        <x:f>IF(ISNUMBER(AE759),U759/AE759,"")</x:f>
      </x:c>
      <x:c r="AG759" s="29" t="str">
        <x:f>""</x:f>
      </x:c>
      <x:c r="AH759" s="30" t="str">
        <x:f>IF(ISNUMBER(AG759),U759/AG759,"")</x:f>
      </x:c>
      <x:c r="AI759" s="3" t="str">
        <x:v>同年式・グレードの検証済み当時価格なし／登録年混在</x:v>
      </x:c>
      <x:c r="AJ759" s="3" t="str">
        <x:v>一覧価格/年式のみ</x:v>
      </x:c>
      <x:c r="AK759" s="3" t="str">
        <x:v>一覧の表示価格。年式は掲載年式。</x:v>
      </x:c>
      <x:c r="AL759" s="31" t="n">
        <x:f>IF(AND(J759&lt;='分析方法'!$B$7,OR(ISBLANK(O759),O759&gt;='分析方法'!$B$8),X759&lt;&gt;"売却済み表示"),1,0)</x:f>
        <x:v>1</x:v>
      </x:c>
      <x:c r="AM759" s="32" t="n">
        <x:f>IF(AL759=1,U759,"")</x:f>
        <x:v>355000</x:v>
      </x:c>
      <x:c r="AN759" s="33" t="str">
        <x:f>IF(AL759=1,AF759,"")</x:f>
      </x:c>
      <x:c r="AO759" s="31" t="n">
        <x:f>'分析方法'!$B$6-J759</x:f>
        <x:v>5</x:v>
      </x:c>
      <x:c r="AP759" s="3"/>
    </x:row>
    <x:row r="760" ht="22" customHeight="1">
      <x:c r="A760" s="3" t="str">
        <x:v>T2914285</x:v>
      </x:c>
      <x:c r="B760" s="7" t="d">
        <x:v>2026-10-08T00:00:00.000Z</x:v>
      </x:c>
      <x:c r="C760" s="3" t="str">
        <x:v>Taladrod</x:v>
      </x:c>
      <x:c r="D760" s="3" t="str">
        <x:v>Toyota</x:v>
      </x:c>
      <x:c r="E760" s="3" t="str">
        <x:v>日本</x:v>
      </x:c>
      <x:c r="F760" s="3" t="str">
        <x:v>Hilux Revo</x:v>
      </x:c>
      <x:c r="G760" s="3" t="str">
        <x:v>ICE</x:v>
      </x:c>
      <x:c r="H760" s="3" t="str">
        <x:v>Pickup</x:v>
      </x:c>
      <x:c r="I760" s="3" t="str">
        <x:v>Smart cab</x:v>
      </x:c>
      <x:c r="J760" s="3" t="n">
        <x:v>2021</x:v>
      </x:c>
      <x:c r="K760" s="3" t="str">
        <x:v>2.4 MID Z EDITION SMART CAB</x:v>
      </x:c>
      <x:c r="L760" s="3" t="str">
        <x:v>2.4 MID Z EDITION SMART CAB</x:v>
      </x:c>
      <x:c r="M760" s="22"/>
      <x:c r="N760" s="22"/>
      <x:c r="O760" s="22"/>
      <x:c r="P760" s="3" t="str">
        <x:v>未掲載</x:v>
      </x:c>
      <x:c r="Q760" s="3" t="str">
        <x:v>未取得</x:v>
      </x:c>
      <x:c r="R760" s="3" t="str">
        <x:v>Unknown</x:v>
      </x:c>
      <x:c r="S760" s="3" t="str">
        <x:v>不明</x:v>
      </x:c>
      <x:c r="T760" s="3" t="str">
        <x:v>世代不明</x:v>
      </x:c>
      <x:c r="U760" s="28" t="n">
        <x:v>368000</x:v>
      </x:c>
      <x:c r="V760" s="28"/>
      <x:c r="W760" s="3" t="str">
        <x:v>事故・水没・SOH・保証残は未確認</x:v>
      </x:c>
      <x:c r="X760" s="3" t="str">
        <x:v>掲載中・在庫未確認</x:v>
      </x:c>
      <x:c r="Y760" s="3" t="str"/>
      <x:c r="Z760" s="27" t="str">
        <x:v>https://www.taladrod.com/w40/icar/cardet.aspx?cid=2914285</x:v>
      </x:c>
      <x:c r="AA760" s="3" t="str">
        <x:v>Taladrod個別広告ID／Carsome在庫ID</x:v>
      </x:c>
      <x:c r="AB760" s="3" t="str">
        <x:v>車台番号未取得／サイト間重複は未判定</x:v>
      </x:c>
      <x:c r="AC760" s="3" t="str">
        <x:v>税込区分未確認（一覧表示額）</x:v>
      </x:c>
      <x:c r="AD760" s="3" t="str"/>
      <x:c r="AE760" s="29" t="str">
        <x:f>""</x:f>
      </x:c>
      <x:c r="AF760" s="30" t="str">
        <x:f>IF(ISNUMBER(AE760),U760/AE760,"")</x:f>
      </x:c>
      <x:c r="AG760" s="29" t="str">
        <x:f>""</x:f>
      </x:c>
      <x:c r="AH760" s="30" t="str">
        <x:f>IF(ISNUMBER(AG760),U760/AG760,"")</x:f>
      </x:c>
      <x:c r="AI760" s="3" t="str">
        <x:v>同年式・グレードの検証済み当時価格なし／登録年混在</x:v>
      </x:c>
      <x:c r="AJ760" s="3" t="str">
        <x:v>一覧価格/年式のみ</x:v>
      </x:c>
      <x:c r="AK760" s="3" t="str">
        <x:v>一覧の表示価格。年式は掲載年式。</x:v>
      </x:c>
      <x:c r="AL760" s="31" t="n">
        <x:f>IF(AND(J760&lt;='分析方法'!$B$7,OR(ISBLANK(O760),O760&gt;='分析方法'!$B$8),X760&lt;&gt;"売却済み表示"),1,0)</x:f>
        <x:v>1</x:v>
      </x:c>
      <x:c r="AM760" s="32" t="n">
        <x:f>IF(AL760=1,U760,"")</x:f>
        <x:v>368000</x:v>
      </x:c>
      <x:c r="AN760" s="33" t="str">
        <x:f>IF(AL760=1,AF760,"")</x:f>
      </x:c>
      <x:c r="AO760" s="31" t="n">
        <x:f>'分析方法'!$B$6-J760</x:f>
        <x:v>5</x:v>
      </x:c>
      <x:c r="AP760" s="3"/>
    </x:row>
    <x:row r="761" ht="22" customHeight="1">
      <x:c r="A761" s="3" t="str">
        <x:v>T2925684</x:v>
      </x:c>
      <x:c r="B761" s="7" t="d">
        <x:v>2026-10-08T00:00:00.000Z</x:v>
      </x:c>
      <x:c r="C761" s="3" t="str">
        <x:v>Taladrod</x:v>
      </x:c>
      <x:c r="D761" s="3" t="str">
        <x:v>Toyota</x:v>
      </x:c>
      <x:c r="E761" s="3" t="str">
        <x:v>日本</x:v>
      </x:c>
      <x:c r="F761" s="3" t="str">
        <x:v>Hilux Revo</x:v>
      </x:c>
      <x:c r="G761" s="3" t="str">
        <x:v>ICE</x:v>
      </x:c>
      <x:c r="H761" s="3" t="str">
        <x:v>Pickup</x:v>
      </x:c>
      <x:c r="I761" s="3" t="str">
        <x:v>Smart cab</x:v>
      </x:c>
      <x:c r="J761" s="3" t="n">
        <x:v>2021</x:v>
      </x:c>
      <x:c r="K761" s="3" t="str">
        <x:v>2.4 MID Z EDITION SMART CAB</x:v>
      </x:c>
      <x:c r="L761" s="3" t="str">
        <x:v>2.4 MID Z EDITION SMART CAB</x:v>
      </x:c>
      <x:c r="M761" s="22"/>
      <x:c r="N761" s="22"/>
      <x:c r="O761" s="22"/>
      <x:c r="P761" s="3" t="str">
        <x:v>未掲載</x:v>
      </x:c>
      <x:c r="Q761" s="3" t="str">
        <x:v>未取得</x:v>
      </x:c>
      <x:c r="R761" s="3" t="str">
        <x:v>Unknown</x:v>
      </x:c>
      <x:c r="S761" s="3" t="str">
        <x:v>不明</x:v>
      </x:c>
      <x:c r="T761" s="3" t="str">
        <x:v>世代不明</x:v>
      </x:c>
      <x:c r="U761" s="28" t="n">
        <x:v>369000</x:v>
      </x:c>
      <x:c r="V761" s="28"/>
      <x:c r="W761" s="3" t="str">
        <x:v>事故・水没・SOH・保証残は未確認</x:v>
      </x:c>
      <x:c r="X761" s="3" t="str">
        <x:v>掲載中・在庫未確認</x:v>
      </x:c>
      <x:c r="Y761" s="3" t="str"/>
      <x:c r="Z761" s="27" t="str">
        <x:v>https://www.taladrod.com/w40/icar/cardet.aspx?cid=2925684</x:v>
      </x:c>
      <x:c r="AA761" s="3" t="str">
        <x:v>Taladrod個別広告ID／Carsome在庫ID</x:v>
      </x:c>
      <x:c r="AB761" s="3" t="str">
        <x:v>車台番号未取得／サイト間重複は未判定</x:v>
      </x:c>
      <x:c r="AC761" s="3" t="str">
        <x:v>税込区分未確認（一覧表示額）</x:v>
      </x:c>
      <x:c r="AD761" s="3" t="str"/>
      <x:c r="AE761" s="29" t="str">
        <x:f>""</x:f>
      </x:c>
      <x:c r="AF761" s="30" t="str">
        <x:f>IF(ISNUMBER(AE761),U761/AE761,"")</x:f>
      </x:c>
      <x:c r="AG761" s="29" t="str">
        <x:f>""</x:f>
      </x:c>
      <x:c r="AH761" s="30" t="str">
        <x:f>IF(ISNUMBER(AG761),U761/AG761,"")</x:f>
      </x:c>
      <x:c r="AI761" s="3" t="str">
        <x:v>同年式・グレードの検証済み当時価格なし／登録年混在</x:v>
      </x:c>
      <x:c r="AJ761" s="3" t="str">
        <x:v>一覧価格/年式のみ</x:v>
      </x:c>
      <x:c r="AK761" s="3" t="str">
        <x:v>一覧の表示価格。年式は掲載年式。</x:v>
      </x:c>
      <x:c r="AL761" s="31" t="n">
        <x:f>IF(AND(J761&lt;='分析方法'!$B$7,OR(ISBLANK(O761),O761&gt;='分析方法'!$B$8),X761&lt;&gt;"売却済み表示"),1,0)</x:f>
        <x:v>1</x:v>
      </x:c>
      <x:c r="AM761" s="32" t="n">
        <x:f>IF(AL761=1,U761,"")</x:f>
        <x:v>369000</x:v>
      </x:c>
      <x:c r="AN761" s="33" t="str">
        <x:f>IF(AL761=1,AF761,"")</x:f>
      </x:c>
      <x:c r="AO761" s="31" t="n">
        <x:f>'分析方法'!$B$6-J761</x:f>
        <x:v>5</x:v>
      </x:c>
      <x:c r="AP761" s="3"/>
    </x:row>
    <x:row r="762" ht="22" customHeight="1">
      <x:c r="A762" s="3" t="str">
        <x:v>T2895818</x:v>
      </x:c>
      <x:c r="B762" s="7" t="d">
        <x:v>2026-10-08T00:00:00.000Z</x:v>
      </x:c>
      <x:c r="C762" s="3" t="str">
        <x:v>Taladrod</x:v>
      </x:c>
      <x:c r="D762" s="3" t="str">
        <x:v>Toyota</x:v>
      </x:c>
      <x:c r="E762" s="3" t="str">
        <x:v>日本</x:v>
      </x:c>
      <x:c r="F762" s="3" t="str">
        <x:v>Hilux Revo</x:v>
      </x:c>
      <x:c r="G762" s="3" t="str">
        <x:v>ICE</x:v>
      </x:c>
      <x:c r="H762" s="3" t="str">
        <x:v>Pickup</x:v>
      </x:c>
      <x:c r="I762" s="3" t="str">
        <x:v>Double cab</x:v>
      </x:c>
      <x:c r="J762" s="3" t="n">
        <x:v>2021</x:v>
      </x:c>
      <x:c r="K762" s="3" t="str">
        <x:v>2.4 PRERUNNER DOUBLE CAB</x:v>
      </x:c>
      <x:c r="L762" s="3" t="str">
        <x:v>2.4 PRERUNNER DOUBLE CAB</x:v>
      </x:c>
      <x:c r="M762" s="22"/>
      <x:c r="N762" s="22"/>
      <x:c r="O762" s="22"/>
      <x:c r="P762" s="3" t="str">
        <x:v>未掲載</x:v>
      </x:c>
      <x:c r="Q762" s="3" t="str">
        <x:v>未取得</x:v>
      </x:c>
      <x:c r="R762" s="3" t="str">
        <x:v>Unknown</x:v>
      </x:c>
      <x:c r="S762" s="3" t="str">
        <x:v>不明</x:v>
      </x:c>
      <x:c r="T762" s="3" t="str">
        <x:v>世代不明</x:v>
      </x:c>
      <x:c r="U762" s="28" t="n">
        <x:v>760000</x:v>
      </x:c>
      <x:c r="V762" s="28"/>
      <x:c r="W762" s="3" t="str">
        <x:v>事故・水没・SOH・保証残は未確認</x:v>
      </x:c>
      <x:c r="X762" s="3" t="str">
        <x:v>掲載中・在庫未確認</x:v>
      </x:c>
      <x:c r="Y762" s="3" t="str"/>
      <x:c r="Z762" s="27" t="str">
        <x:v>https://www.taladrod.com/w40/icar/cardet.aspx?cid=2895818</x:v>
      </x:c>
      <x:c r="AA762" s="3" t="str">
        <x:v>Taladrod個別広告ID／Carsome在庫ID</x:v>
      </x:c>
      <x:c r="AB762" s="3" t="str">
        <x:v>車台番号未取得／サイト間重複は未判定</x:v>
      </x:c>
      <x:c r="AC762" s="3" t="str">
        <x:v>税込区分未確認（一覧表示額）</x:v>
      </x:c>
      <x:c r="AD762" s="3" t="str"/>
      <x:c r="AE762" s="29" t="str">
        <x:f>""</x:f>
      </x:c>
      <x:c r="AF762" s="30" t="str">
        <x:f>IF(ISNUMBER(AE762),U762/AE762,"")</x:f>
      </x:c>
      <x:c r="AG762" s="29" t="str">
        <x:f>""</x:f>
      </x:c>
      <x:c r="AH762" s="30" t="str">
        <x:f>IF(ISNUMBER(AG762),U762/AG762,"")</x:f>
      </x:c>
      <x:c r="AI762" s="3" t="str">
        <x:v>同年式・グレードの検証済み当時価格なし／登録年混在</x:v>
      </x:c>
      <x:c r="AJ762" s="3" t="str">
        <x:v>一覧価格/年式のみ</x:v>
      </x:c>
      <x:c r="AK762" s="3" t="str">
        <x:v>一覧の表示価格。年式は掲載年式。</x:v>
      </x:c>
      <x:c r="AL762" s="31" t="n">
        <x:f>IF(AND(J762&lt;='分析方法'!$B$7,OR(ISBLANK(O762),O762&gt;='分析方法'!$B$8),X762&lt;&gt;"売却済み表示"),1,0)</x:f>
        <x:v>1</x:v>
      </x:c>
      <x:c r="AM762" s="32" t="n">
        <x:f>IF(AL762=1,U762,"")</x:f>
        <x:v>760000</x:v>
      </x:c>
      <x:c r="AN762" s="33" t="str">
        <x:f>IF(AL762=1,AF762,"")</x:f>
      </x:c>
      <x:c r="AO762" s="31" t="n">
        <x:f>'分析方法'!$B$6-J762</x:f>
        <x:v>5</x:v>
      </x:c>
      <x:c r="AP762" s="3"/>
    </x:row>
    <x:row r="763" ht="22" customHeight="1">
      <x:c r="A763" s="3" t="str">
        <x:v>T2923294</x:v>
      </x:c>
      <x:c r="B763" s="7" t="d">
        <x:v>2026-10-08T00:00:00.000Z</x:v>
      </x:c>
      <x:c r="C763" s="3" t="str">
        <x:v>Taladrod</x:v>
      </x:c>
      <x:c r="D763" s="3" t="str">
        <x:v>Toyota</x:v>
      </x:c>
      <x:c r="E763" s="3" t="str">
        <x:v>日本</x:v>
      </x:c>
      <x:c r="F763" s="3" t="str">
        <x:v>Hilux Revo</x:v>
      </x:c>
      <x:c r="G763" s="3" t="str">
        <x:v>ICE</x:v>
      </x:c>
      <x:c r="H763" s="3" t="str">
        <x:v>Pickup</x:v>
      </x:c>
      <x:c r="I763" s="3" t="str">
        <x:v>Double cab</x:v>
      </x:c>
      <x:c r="J763" s="3" t="n">
        <x:v>2021</x:v>
      </x:c>
      <x:c r="K763" s="3" t="str">
        <x:v>2.4 PRERUNNER DOUBLE CAB</x:v>
      </x:c>
      <x:c r="L763" s="3" t="str">
        <x:v>2.4 PRERUNNER DOUBLE CAB</x:v>
      </x:c>
      <x:c r="M763" s="22"/>
      <x:c r="N763" s="22"/>
      <x:c r="O763" s="22"/>
      <x:c r="P763" s="3" t="str">
        <x:v>未掲載</x:v>
      </x:c>
      <x:c r="Q763" s="3" t="str">
        <x:v>未取得</x:v>
      </x:c>
      <x:c r="R763" s="3" t="str">
        <x:v>Unknown</x:v>
      </x:c>
      <x:c r="S763" s="3" t="str">
        <x:v>不明</x:v>
      </x:c>
      <x:c r="T763" s="3" t="str">
        <x:v>世代不明</x:v>
      </x:c>
      <x:c r="U763" s="28" t="n">
        <x:v>750000</x:v>
      </x:c>
      <x:c r="V763" s="28"/>
      <x:c r="W763" s="3" t="str">
        <x:v>事故・水没・SOH・保証残は未確認</x:v>
      </x:c>
      <x:c r="X763" s="3" t="str">
        <x:v>掲載中・在庫未確認</x:v>
      </x:c>
      <x:c r="Y763" s="3" t="str"/>
      <x:c r="Z763" s="27" t="str">
        <x:v>https://www.taladrod.com/w40/icar/cardet.aspx?cid=2923294</x:v>
      </x:c>
      <x:c r="AA763" s="3" t="str">
        <x:v>Taladrod個別広告ID／Carsome在庫ID</x:v>
      </x:c>
      <x:c r="AB763" s="3" t="str">
        <x:v>車台番号未取得／サイト間重複は未判定</x:v>
      </x:c>
      <x:c r="AC763" s="3" t="str">
        <x:v>税込区分未確認（一覧表示額）</x:v>
      </x:c>
      <x:c r="AD763" s="3" t="str"/>
      <x:c r="AE763" s="29" t="str">
        <x:f>""</x:f>
      </x:c>
      <x:c r="AF763" s="30" t="str">
        <x:f>IF(ISNUMBER(AE763),U763/AE763,"")</x:f>
      </x:c>
      <x:c r="AG763" s="29" t="str">
        <x:f>""</x:f>
      </x:c>
      <x:c r="AH763" s="30" t="str">
        <x:f>IF(ISNUMBER(AG763),U763/AG763,"")</x:f>
      </x:c>
      <x:c r="AI763" s="3" t="str">
        <x:v>同年式・グレードの検証済み当時価格なし／登録年混在</x:v>
      </x:c>
      <x:c r="AJ763" s="3" t="str">
        <x:v>一覧価格/年式のみ</x:v>
      </x:c>
      <x:c r="AK763" s="3" t="str">
        <x:v>一覧の表示価格。年式は掲載年式。</x:v>
      </x:c>
      <x:c r="AL763" s="31" t="n">
        <x:f>IF(AND(J763&lt;='分析方法'!$B$7,OR(ISBLANK(O763),O763&gt;='分析方法'!$B$8),X763&lt;&gt;"売却済み表示"),1,0)</x:f>
        <x:v>1</x:v>
      </x:c>
      <x:c r="AM763" s="32" t="n">
        <x:f>IF(AL763=1,U763,"")</x:f>
        <x:v>750000</x:v>
      </x:c>
      <x:c r="AN763" s="33" t="str">
        <x:f>IF(AL763=1,AF763,"")</x:f>
      </x:c>
      <x:c r="AO763" s="31" t="n">
        <x:f>'分析方法'!$B$6-J763</x:f>
        <x:v>5</x:v>
      </x:c>
      <x:c r="AP763" s="3"/>
    </x:row>
    <x:row r="764" ht="22" customHeight="1">
      <x:c r="A764" s="3" t="str">
        <x:v>T2924089</x:v>
      </x:c>
      <x:c r="B764" s="7" t="d">
        <x:v>2026-10-08T00:00:00.000Z</x:v>
      </x:c>
      <x:c r="C764" s="3" t="str">
        <x:v>Taladrod</x:v>
      </x:c>
      <x:c r="D764" s="3" t="str">
        <x:v>Toyota</x:v>
      </x:c>
      <x:c r="E764" s="3" t="str">
        <x:v>日本</x:v>
      </x:c>
      <x:c r="F764" s="3" t="str">
        <x:v>Hilux Revo</x:v>
      </x:c>
      <x:c r="G764" s="3" t="str">
        <x:v>ICE</x:v>
      </x:c>
      <x:c r="H764" s="3" t="str">
        <x:v>Pickup</x:v>
      </x:c>
      <x:c r="I764" s="3" t="str">
        <x:v>Single cab</x:v>
      </x:c>
      <x:c r="J764" s="3" t="n">
        <x:v>2021</x:v>
      </x:c>
      <x:c r="K764" s="3" t="str">
        <x:v>2.8 ENTRY STANDARD CAB</x:v>
      </x:c>
      <x:c r="L764" s="3" t="str">
        <x:v>2.8 ENTRY STANDARD CAB</x:v>
      </x:c>
      <x:c r="M764" s="22"/>
      <x:c r="N764" s="22"/>
      <x:c r="O764" s="22"/>
      <x:c r="P764" s="3" t="str">
        <x:v>未掲載</x:v>
      </x:c>
      <x:c r="Q764" s="3" t="str">
        <x:v>未取得</x:v>
      </x:c>
      <x:c r="R764" s="3" t="str">
        <x:v>Unknown</x:v>
      </x:c>
      <x:c r="S764" s="3" t="str">
        <x:v>不明</x:v>
      </x:c>
      <x:c r="T764" s="3" t="str">
        <x:v>世代不明</x:v>
      </x:c>
      <x:c r="U764" s="28" t="n">
        <x:v>364000</x:v>
      </x:c>
      <x:c r="V764" s="28"/>
      <x:c r="W764" s="3" t="str">
        <x:v>事故・水没・SOH・保証残は未確認</x:v>
      </x:c>
      <x:c r="X764" s="3" t="str">
        <x:v>掲載中・在庫未確認</x:v>
      </x:c>
      <x:c r="Y764" s="3" t="str"/>
      <x:c r="Z764" s="27" t="str">
        <x:v>https://www.taladrod.com/w40/icar/cardet.aspx?cid=2924089</x:v>
      </x:c>
      <x:c r="AA764" s="3" t="str">
        <x:v>Taladrod個別広告ID／Carsome在庫ID</x:v>
      </x:c>
      <x:c r="AB764" s="3" t="str">
        <x:v>車台番号未取得／サイト間重複は未判定</x:v>
      </x:c>
      <x:c r="AC764" s="3" t="str">
        <x:v>税込区分未確認（一覧表示額）</x:v>
      </x:c>
      <x:c r="AD764" s="3" t="str"/>
      <x:c r="AE764" s="29" t="str">
        <x:f>""</x:f>
      </x:c>
      <x:c r="AF764" s="30" t="str">
        <x:f>IF(ISNUMBER(AE764),U764/AE764,"")</x:f>
      </x:c>
      <x:c r="AG764" s="29" t="str">
        <x:f>""</x:f>
      </x:c>
      <x:c r="AH764" s="30" t="str">
        <x:f>IF(ISNUMBER(AG764),U764/AG764,"")</x:f>
      </x:c>
      <x:c r="AI764" s="3" t="str">
        <x:v>同年式・グレードの検証済み当時価格なし／登録年混在</x:v>
      </x:c>
      <x:c r="AJ764" s="3" t="str">
        <x:v>一覧価格/年式のみ</x:v>
      </x:c>
      <x:c r="AK764" s="3" t="str">
        <x:v>一覧の表示価格。年式は掲載年式。</x:v>
      </x:c>
      <x:c r="AL764" s="31" t="n">
        <x:f>IF(AND(J764&lt;='分析方法'!$B$7,OR(ISBLANK(O764),O764&gt;='分析方法'!$B$8),X764&lt;&gt;"売却済み表示"),1,0)</x:f>
        <x:v>1</x:v>
      </x:c>
      <x:c r="AM764" s="32" t="n">
        <x:f>IF(AL764=1,U764,"")</x:f>
        <x:v>364000</x:v>
      </x:c>
      <x:c r="AN764" s="33" t="str">
        <x:f>IF(AL764=1,AF764,"")</x:f>
      </x:c>
      <x:c r="AO764" s="31" t="n">
        <x:f>'分析方法'!$B$6-J764</x:f>
        <x:v>5</x:v>
      </x:c>
      <x:c r="AP764" s="3"/>
    </x:row>
    <x:row r="765" ht="22" customHeight="1">
      <x:c r="A765" s="3" t="str">
        <x:v>T2890606</x:v>
      </x:c>
      <x:c r="B765" s="7" t="d">
        <x:v>2026-10-08T00:00:00.000Z</x:v>
      </x:c>
      <x:c r="C765" s="3" t="str">
        <x:v>Taladrod</x:v>
      </x:c>
      <x:c r="D765" s="3" t="str">
        <x:v>Toyota</x:v>
      </x:c>
      <x:c r="E765" s="3" t="str">
        <x:v>日本</x:v>
      </x:c>
      <x:c r="F765" s="3" t="str">
        <x:v>Hilux Revo</x:v>
      </x:c>
      <x:c r="G765" s="3" t="str">
        <x:v>ICE</x:v>
      </x:c>
      <x:c r="H765" s="3" t="str">
        <x:v>Pickup</x:v>
      </x:c>
      <x:c r="I765" s="3" t="str">
        <x:v>Double cab</x:v>
      </x:c>
      <x:c r="J765" s="3" t="n">
        <x:v>2021</x:v>
      </x:c>
      <x:c r="K765" s="3" t="str">
        <x:v>2.8 GR SPORT DOUBLE CAB</x:v>
      </x:c>
      <x:c r="L765" s="3" t="str">
        <x:v>2.8 GR SPORT DOUBLE CAB</x:v>
      </x:c>
      <x:c r="M765" s="22"/>
      <x:c r="N765" s="22"/>
      <x:c r="O765" s="22"/>
      <x:c r="P765" s="3" t="str">
        <x:v>未掲載</x:v>
      </x:c>
      <x:c r="Q765" s="3" t="str">
        <x:v>未取得</x:v>
      </x:c>
      <x:c r="R765" s="3" t="str">
        <x:v>Unknown</x:v>
      </x:c>
      <x:c r="S765" s="3" t="str">
        <x:v>不明</x:v>
      </x:c>
      <x:c r="T765" s="3" t="str">
        <x:v>世代不明</x:v>
      </x:c>
      <x:c r="U765" s="28" t="n">
        <x:v>655000</x:v>
      </x:c>
      <x:c r="V765" s="28"/>
      <x:c r="W765" s="3" t="str">
        <x:v>事故・水没・SOH・保証残は未確認</x:v>
      </x:c>
      <x:c r="X765" s="3" t="str">
        <x:v>掲載中・在庫未確認</x:v>
      </x:c>
      <x:c r="Y765" s="3" t="str"/>
      <x:c r="Z765" s="27" t="str">
        <x:v>https://www.taladrod.com/w40/icar/cardet.aspx?cid=2890606</x:v>
      </x:c>
      <x:c r="AA765" s="3" t="str">
        <x:v>Taladrod個別広告ID／Carsome在庫ID</x:v>
      </x:c>
      <x:c r="AB765" s="3" t="str">
        <x:v>車台番号未取得／サイト間重複は未判定</x:v>
      </x:c>
      <x:c r="AC765" s="3" t="str">
        <x:v>税込区分未確認（一覧表示額）</x:v>
      </x:c>
      <x:c r="AD765" s="3" t="str"/>
      <x:c r="AE765" s="29" t="str">
        <x:f>""</x:f>
      </x:c>
      <x:c r="AF765" s="30" t="str">
        <x:f>IF(ISNUMBER(AE765),U765/AE765,"")</x:f>
      </x:c>
      <x:c r="AG765" s="29" t="str">
        <x:f>""</x:f>
      </x:c>
      <x:c r="AH765" s="30" t="str">
        <x:f>IF(ISNUMBER(AG765),U765/AG765,"")</x:f>
      </x:c>
      <x:c r="AI765" s="3" t="str">
        <x:v>同年式・グレードの検証済み当時価格なし／登録年混在</x:v>
      </x:c>
      <x:c r="AJ765" s="3" t="str">
        <x:v>一覧価格/年式のみ</x:v>
      </x:c>
      <x:c r="AK765" s="3" t="str">
        <x:v>一覧の表示価格。年式は掲載年式。</x:v>
      </x:c>
      <x:c r="AL765" s="31" t="n">
        <x:f>IF(AND(J765&lt;='分析方法'!$B$7,OR(ISBLANK(O765),O765&gt;='分析方法'!$B$8),X765&lt;&gt;"売却済み表示"),1,0)</x:f>
        <x:v>1</x:v>
      </x:c>
      <x:c r="AM765" s="32" t="n">
        <x:f>IF(AL765=1,U765,"")</x:f>
        <x:v>655000</x:v>
      </x:c>
      <x:c r="AN765" s="33" t="str">
        <x:f>IF(AL765=1,AF765,"")</x:f>
      </x:c>
      <x:c r="AO765" s="31" t="n">
        <x:f>'分析方法'!$B$6-J765</x:f>
        <x:v>5</x:v>
      </x:c>
      <x:c r="AP765" s="3"/>
    </x:row>
    <x:row r="766" ht="22" customHeight="1">
      <x:c r="A766" s="3" t="str">
        <x:v>T2892003</x:v>
      </x:c>
      <x:c r="B766" s="7" t="d">
        <x:v>2026-10-08T00:00:00.000Z</x:v>
      </x:c>
      <x:c r="C766" s="3" t="str">
        <x:v>Taladrod</x:v>
      </x:c>
      <x:c r="D766" s="3" t="str">
        <x:v>Toyota</x:v>
      </x:c>
      <x:c r="E766" s="3" t="str">
        <x:v>日本</x:v>
      </x:c>
      <x:c r="F766" s="3" t="str">
        <x:v>Hilux Revo</x:v>
      </x:c>
      <x:c r="G766" s="3" t="str">
        <x:v>ICE</x:v>
      </x:c>
      <x:c r="H766" s="3" t="str">
        <x:v>Pickup</x:v>
      </x:c>
      <x:c r="I766" s="3" t="str">
        <x:v>Double cab</x:v>
      </x:c>
      <x:c r="J766" s="3" t="n">
        <x:v>2021</x:v>
      </x:c>
      <x:c r="K766" s="3" t="str">
        <x:v>2.8 HIGH 4WD DOUBLE CAB</x:v>
      </x:c>
      <x:c r="L766" s="3" t="str">
        <x:v>2.8 HIGH 4WD DOUBLE CAB</x:v>
      </x:c>
      <x:c r="M766" s="22"/>
      <x:c r="N766" s="22"/>
      <x:c r="O766" s="22"/>
      <x:c r="P766" s="3" t="str">
        <x:v>未掲載</x:v>
      </x:c>
      <x:c r="Q766" s="3" t="str">
        <x:v>未取得</x:v>
      </x:c>
      <x:c r="R766" s="3" t="str">
        <x:v>Unknown</x:v>
      </x:c>
      <x:c r="S766" s="3" t="str">
        <x:v>不明</x:v>
      </x:c>
      <x:c r="T766" s="3" t="str">
        <x:v>世代不明</x:v>
      </x:c>
      <x:c r="U766" s="28" t="n">
        <x:v>949000</x:v>
      </x:c>
      <x:c r="V766" s="28"/>
      <x:c r="W766" s="3" t="str">
        <x:v>事故・水没・SOH・保証残は未確認</x:v>
      </x:c>
      <x:c r="X766" s="3" t="str">
        <x:v>掲載中・在庫未確認</x:v>
      </x:c>
      <x:c r="Y766" s="3" t="str"/>
      <x:c r="Z766" s="27" t="str">
        <x:v>https://www.taladrod.com/w40/icar/cardet.aspx?cid=2892003</x:v>
      </x:c>
      <x:c r="AA766" s="3" t="str">
        <x:v>Taladrod個別広告ID／Carsome在庫ID</x:v>
      </x:c>
      <x:c r="AB766" s="3" t="str">
        <x:v>車台番号未取得／サイト間重複は未判定</x:v>
      </x:c>
      <x:c r="AC766" s="3" t="str">
        <x:v>税込区分未確認（一覧表示額）</x:v>
      </x:c>
      <x:c r="AD766" s="3" t="str"/>
      <x:c r="AE766" s="29" t="str">
        <x:f>""</x:f>
      </x:c>
      <x:c r="AF766" s="30" t="str">
        <x:f>IF(ISNUMBER(AE766),U766/AE766,"")</x:f>
      </x:c>
      <x:c r="AG766" s="29" t="str">
        <x:f>""</x:f>
      </x:c>
      <x:c r="AH766" s="30" t="str">
        <x:f>IF(ISNUMBER(AG766),U766/AG766,"")</x:f>
      </x:c>
      <x:c r="AI766" s="3" t="str">
        <x:v>同年式・グレードの検証済み当時価格なし／登録年混在</x:v>
      </x:c>
      <x:c r="AJ766" s="3" t="str">
        <x:v>一覧価格/年式のみ</x:v>
      </x:c>
      <x:c r="AK766" s="3" t="str">
        <x:v>一覧の表示価格。年式は掲載年式。</x:v>
      </x:c>
      <x:c r="AL766" s="31" t="n">
        <x:f>IF(AND(J766&lt;='分析方法'!$B$7,OR(ISBLANK(O766),O766&gt;='分析方法'!$B$8),X766&lt;&gt;"売却済み表示"),1,0)</x:f>
        <x:v>1</x:v>
      </x:c>
      <x:c r="AM766" s="32" t="n">
        <x:f>IF(AL766=1,U766,"")</x:f>
        <x:v>949000</x:v>
      </x:c>
      <x:c r="AN766" s="33" t="str">
        <x:f>IF(AL766=1,AF766,"")</x:f>
      </x:c>
      <x:c r="AO766" s="31" t="n">
        <x:f>'分析方法'!$B$6-J766</x:f>
        <x:v>5</x:v>
      </x:c>
      <x:c r="AP766" s="3"/>
    </x:row>
    <x:row r="767" ht="22" customHeight="1">
      <x:c r="A767" s="3" t="str">
        <x:v>T2915539</x:v>
      </x:c>
      <x:c r="B767" s="7" t="d">
        <x:v>2026-10-08T00:00:00.000Z</x:v>
      </x:c>
      <x:c r="C767" s="3" t="str">
        <x:v>Taladrod</x:v>
      </x:c>
      <x:c r="D767" s="3" t="str">
        <x:v>Toyota</x:v>
      </x:c>
      <x:c r="E767" s="3" t="str">
        <x:v>日本</x:v>
      </x:c>
      <x:c r="F767" s="3" t="str">
        <x:v>Hilux Revo</x:v>
      </x:c>
      <x:c r="G767" s="3" t="str">
        <x:v>ICE</x:v>
      </x:c>
      <x:c r="H767" s="3" t="str">
        <x:v>Pickup</x:v>
      </x:c>
      <x:c r="I767" s="3" t="str">
        <x:v>Double cab</x:v>
      </x:c>
      <x:c r="J767" s="3" t="n">
        <x:v>2022</x:v>
      </x:c>
      <x:c r="K767" s="3" t="str">
        <x:v>2.4 E PRERUNNER DOUBLE CAB</x:v>
      </x:c>
      <x:c r="L767" s="3" t="str">
        <x:v>2.4 E PRERUNNER DOUBLE CAB</x:v>
      </x:c>
      <x:c r="M767" s="22"/>
      <x:c r="N767" s="22"/>
      <x:c r="O767" s="22"/>
      <x:c r="P767" s="3" t="str">
        <x:v>未掲載</x:v>
      </x:c>
      <x:c r="Q767" s="3" t="str">
        <x:v>未取得</x:v>
      </x:c>
      <x:c r="R767" s="3" t="str">
        <x:v>Unknown</x:v>
      </x:c>
      <x:c r="S767" s="3" t="str">
        <x:v>不明</x:v>
      </x:c>
      <x:c r="T767" s="3" t="str">
        <x:v>世代不明</x:v>
      </x:c>
      <x:c r="U767" s="28" t="n">
        <x:v>570000</x:v>
      </x:c>
      <x:c r="V767" s="28"/>
      <x:c r="W767" s="3" t="str">
        <x:v>事故・水没・SOH・保証残は未確認</x:v>
      </x:c>
      <x:c r="X767" s="3" t="str">
        <x:v>掲載中・在庫未確認</x:v>
      </x:c>
      <x:c r="Y767" s="3" t="str"/>
      <x:c r="Z767" s="27" t="str">
        <x:v>https://www.taladrod.com/w40/icar/cardet.aspx?cid=2915539</x:v>
      </x:c>
      <x:c r="AA767" s="3" t="str">
        <x:v>Taladrod個別広告ID／Carsome在庫ID</x:v>
      </x:c>
      <x:c r="AB767" s="3" t="str">
        <x:v>車台番号未取得／サイト間重複は未判定</x:v>
      </x:c>
      <x:c r="AC767" s="3" t="str">
        <x:v>税込区分未確認（一覧表示額）</x:v>
      </x:c>
      <x:c r="AD767" s="3" t="str"/>
      <x:c r="AE767" s="29" t="str">
        <x:f>""</x:f>
      </x:c>
      <x:c r="AF767" s="30" t="str">
        <x:f>IF(ISNUMBER(AE767),U767/AE767,"")</x:f>
      </x:c>
      <x:c r="AG767" s="29" t="str">
        <x:f>""</x:f>
      </x:c>
      <x:c r="AH767" s="30" t="str">
        <x:f>IF(ISNUMBER(AG767),U767/AG767,"")</x:f>
      </x:c>
      <x:c r="AI767" s="3" t="str">
        <x:v>同年式・グレードの検証済み当時価格なし／登録年混在</x:v>
      </x:c>
      <x:c r="AJ767" s="3" t="str">
        <x:v>一覧価格/年式のみ</x:v>
      </x:c>
      <x:c r="AK767" s="3" t="str">
        <x:v>一覧の表示価格。年式は掲載年式。</x:v>
      </x:c>
      <x:c r="AL767" s="31" t="n">
        <x:f>IF(AND(J767&lt;='分析方法'!$B$7,OR(ISBLANK(O767),O767&gt;='分析方法'!$B$8),X767&lt;&gt;"売却済み表示"),1,0)</x:f>
        <x:v>1</x:v>
      </x:c>
      <x:c r="AM767" s="32" t="n">
        <x:f>IF(AL767=1,U767,"")</x:f>
        <x:v>570000</x:v>
      </x:c>
      <x:c r="AN767" s="33" t="str">
        <x:f>IF(AL767=1,AF767,"")</x:f>
      </x:c>
      <x:c r="AO767" s="31" t="n">
        <x:f>'分析方法'!$B$6-J767</x:f>
        <x:v>4</x:v>
      </x:c>
      <x:c r="AP767" s="3"/>
    </x:row>
    <x:row r="768" ht="22" customHeight="1">
      <x:c r="A768" s="3" t="str">
        <x:v>T2902877</x:v>
      </x:c>
      <x:c r="B768" s="7" t="d">
        <x:v>2026-10-08T00:00:00.000Z</x:v>
      </x:c>
      <x:c r="C768" s="3" t="str">
        <x:v>Taladrod</x:v>
      </x:c>
      <x:c r="D768" s="3" t="str">
        <x:v>Toyota</x:v>
      </x:c>
      <x:c r="E768" s="3" t="str">
        <x:v>日本</x:v>
      </x:c>
      <x:c r="F768" s="3" t="str">
        <x:v>Hilux Revo</x:v>
      </x:c>
      <x:c r="G768" s="3" t="str">
        <x:v>ICE</x:v>
      </x:c>
      <x:c r="H768" s="3" t="str">
        <x:v>Pickup</x:v>
      </x:c>
      <x:c r="I768" s="3" t="str">
        <x:v>Smart cab</x:v>
      </x:c>
      <x:c r="J768" s="3" t="n">
        <x:v>2022</x:v>
      </x:c>
      <x:c r="K768" s="3" t="str">
        <x:v>2.4 E SMART CAB</x:v>
      </x:c>
      <x:c r="L768" s="3" t="str">
        <x:v>2.4 E SMART CAB</x:v>
      </x:c>
      <x:c r="M768" s="22"/>
      <x:c r="N768" s="22"/>
      <x:c r="O768" s="22"/>
      <x:c r="P768" s="3" t="str">
        <x:v>未掲載</x:v>
      </x:c>
      <x:c r="Q768" s="3" t="str">
        <x:v>未取得</x:v>
      </x:c>
      <x:c r="R768" s="3" t="str">
        <x:v>Unknown</x:v>
      </x:c>
      <x:c r="S768" s="3" t="str">
        <x:v>不明</x:v>
      </x:c>
      <x:c r="T768" s="3" t="str">
        <x:v>世代不明</x:v>
      </x:c>
      <x:c r="U768" s="28" t="n">
        <x:v>389000</x:v>
      </x:c>
      <x:c r="V768" s="28"/>
      <x:c r="W768" s="3" t="str">
        <x:v>事故・水没・SOH・保証残は未確認</x:v>
      </x:c>
      <x:c r="X768" s="3" t="str">
        <x:v>掲載中・在庫未確認</x:v>
      </x:c>
      <x:c r="Y768" s="3" t="str"/>
      <x:c r="Z768" s="27" t="str">
        <x:v>https://www.taladrod.com/w40/icar/cardet.aspx?cid=2902877</x:v>
      </x:c>
      <x:c r="AA768" s="3" t="str">
        <x:v>Taladrod個別広告ID／Carsome在庫ID</x:v>
      </x:c>
      <x:c r="AB768" s="3" t="str">
        <x:v>車台番号未取得／サイト間重複は未判定</x:v>
      </x:c>
      <x:c r="AC768" s="3" t="str">
        <x:v>税込区分未確認（一覧表示額）</x:v>
      </x:c>
      <x:c r="AD768" s="3" t="str"/>
      <x:c r="AE768" s="29" t="str">
        <x:f>""</x:f>
      </x:c>
      <x:c r="AF768" s="30" t="str">
        <x:f>IF(ISNUMBER(AE768),U768/AE768,"")</x:f>
      </x:c>
      <x:c r="AG768" s="29" t="str">
        <x:f>""</x:f>
      </x:c>
      <x:c r="AH768" s="30" t="str">
        <x:f>IF(ISNUMBER(AG768),U768/AG768,"")</x:f>
      </x:c>
      <x:c r="AI768" s="3" t="str">
        <x:v>同年式・グレードの検証済み当時価格なし／登録年混在</x:v>
      </x:c>
      <x:c r="AJ768" s="3" t="str">
        <x:v>一覧価格/年式のみ</x:v>
      </x:c>
      <x:c r="AK768" s="3" t="str">
        <x:v>一覧の表示価格。年式は掲載年式。</x:v>
      </x:c>
      <x:c r="AL768" s="31" t="n">
        <x:f>IF(AND(J768&lt;='分析方法'!$B$7,OR(ISBLANK(O768),O768&gt;='分析方法'!$B$8),X768&lt;&gt;"売却済み表示"),1,0)</x:f>
        <x:v>1</x:v>
      </x:c>
      <x:c r="AM768" s="32" t="n">
        <x:f>IF(AL768=1,U768,"")</x:f>
        <x:v>389000</x:v>
      </x:c>
      <x:c r="AN768" s="33" t="str">
        <x:f>IF(AL768=1,AF768,"")</x:f>
      </x:c>
      <x:c r="AO768" s="31" t="n">
        <x:f>'分析方法'!$B$6-J768</x:f>
        <x:v>4</x:v>
      </x:c>
      <x:c r="AP768" s="3"/>
    </x:row>
    <x:row r="769" ht="22" customHeight="1">
      <x:c r="A769" s="3" t="str">
        <x:v>T2906143</x:v>
      </x:c>
      <x:c r="B769" s="7" t="d">
        <x:v>2026-10-08T00:00:00.000Z</x:v>
      </x:c>
      <x:c r="C769" s="3" t="str">
        <x:v>Taladrod</x:v>
      </x:c>
      <x:c r="D769" s="3" t="str">
        <x:v>Toyota</x:v>
      </x:c>
      <x:c r="E769" s="3" t="str">
        <x:v>日本</x:v>
      </x:c>
      <x:c r="F769" s="3" t="str">
        <x:v>Hilux Revo</x:v>
      </x:c>
      <x:c r="G769" s="3" t="str">
        <x:v>ICE</x:v>
      </x:c>
      <x:c r="H769" s="3" t="str">
        <x:v>Pickup</x:v>
      </x:c>
      <x:c r="I769" s="3" t="str">
        <x:v>Smart cab</x:v>
      </x:c>
      <x:c r="J769" s="3" t="n">
        <x:v>2022</x:v>
      </x:c>
      <x:c r="K769" s="3" t="str">
        <x:v>2.4 E Z EDITION SMART CAB</x:v>
      </x:c>
      <x:c r="L769" s="3" t="str">
        <x:v>2.4 E Z EDITION SMART CAB</x:v>
      </x:c>
      <x:c r="M769" s="22"/>
      <x:c r="N769" s="22"/>
      <x:c r="O769" s="22"/>
      <x:c r="P769" s="3" t="str">
        <x:v>未掲載</x:v>
      </x:c>
      <x:c r="Q769" s="3" t="str">
        <x:v>未取得</x:v>
      </x:c>
      <x:c r="R769" s="3" t="str">
        <x:v>Unknown</x:v>
      </x:c>
      <x:c r="S769" s="3" t="str">
        <x:v>不明</x:v>
      </x:c>
      <x:c r="T769" s="3" t="str">
        <x:v>世代不明</x:v>
      </x:c>
      <x:c r="U769" s="28" t="n">
        <x:v>368000</x:v>
      </x:c>
      <x:c r="V769" s="28"/>
      <x:c r="W769" s="3" t="str">
        <x:v>事故・水没・SOH・保証残は未確認</x:v>
      </x:c>
      <x:c r="X769" s="3" t="str">
        <x:v>掲載中・在庫未確認</x:v>
      </x:c>
      <x:c r="Y769" s="3" t="str"/>
      <x:c r="Z769" s="27" t="str">
        <x:v>https://www.taladrod.com/w40/icar/cardet.aspx?cid=2906143</x:v>
      </x:c>
      <x:c r="AA769" s="3" t="str">
        <x:v>Taladrod個別広告ID／Carsome在庫ID</x:v>
      </x:c>
      <x:c r="AB769" s="3" t="str">
        <x:v>車台番号未取得／サイト間重複は未判定</x:v>
      </x:c>
      <x:c r="AC769" s="3" t="str">
        <x:v>税込区分未確認（一覧表示額）</x:v>
      </x:c>
      <x:c r="AD769" s="3" t="str"/>
      <x:c r="AE769" s="29" t="str">
        <x:f>""</x:f>
      </x:c>
      <x:c r="AF769" s="30" t="str">
        <x:f>IF(ISNUMBER(AE769),U769/AE769,"")</x:f>
      </x:c>
      <x:c r="AG769" s="29" t="str">
        <x:f>""</x:f>
      </x:c>
      <x:c r="AH769" s="30" t="str">
        <x:f>IF(ISNUMBER(AG769),U769/AG769,"")</x:f>
      </x:c>
      <x:c r="AI769" s="3" t="str">
        <x:v>同年式・グレードの検証済み当時価格なし／登録年混在</x:v>
      </x:c>
      <x:c r="AJ769" s="3" t="str">
        <x:v>一覧価格/年式のみ</x:v>
      </x:c>
      <x:c r="AK769" s="3" t="str">
        <x:v>一覧の表示価格。年式は掲載年式。</x:v>
      </x:c>
      <x:c r="AL769" s="31" t="n">
        <x:f>IF(AND(J769&lt;='分析方法'!$B$7,OR(ISBLANK(O769),O769&gt;='分析方法'!$B$8),X769&lt;&gt;"売却済み表示"),1,0)</x:f>
        <x:v>1</x:v>
      </x:c>
      <x:c r="AM769" s="32" t="n">
        <x:f>IF(AL769=1,U769,"")</x:f>
        <x:v>368000</x:v>
      </x:c>
      <x:c r="AN769" s="33" t="str">
        <x:f>IF(AL769=1,AF769,"")</x:f>
      </x:c>
      <x:c r="AO769" s="31" t="n">
        <x:f>'分析方法'!$B$6-J769</x:f>
        <x:v>4</x:v>
      </x:c>
      <x:c r="AP769" s="3"/>
    </x:row>
    <x:row r="770" ht="22" customHeight="1">
      <x:c r="A770" s="3" t="str">
        <x:v>T2925186</x:v>
      </x:c>
      <x:c r="B770" s="7" t="d">
        <x:v>2026-10-08T00:00:00.000Z</x:v>
      </x:c>
      <x:c r="C770" s="3" t="str">
        <x:v>Taladrod</x:v>
      </x:c>
      <x:c r="D770" s="3" t="str">
        <x:v>Toyota</x:v>
      </x:c>
      <x:c r="E770" s="3" t="str">
        <x:v>日本</x:v>
      </x:c>
      <x:c r="F770" s="3" t="str">
        <x:v>Hilux Revo</x:v>
      </x:c>
      <x:c r="G770" s="3" t="str">
        <x:v>ICE</x:v>
      </x:c>
      <x:c r="H770" s="3" t="str">
        <x:v>Pickup</x:v>
      </x:c>
      <x:c r="I770" s="3" t="str">
        <x:v>Smart cab</x:v>
      </x:c>
      <x:c r="J770" s="3" t="n">
        <x:v>2022</x:v>
      </x:c>
      <x:c r="K770" s="3" t="str">
        <x:v>2.4 E Z EDITION SMART CAB</x:v>
      </x:c>
      <x:c r="L770" s="3" t="str">
        <x:v>2.4 E Z EDITION SMART CAB</x:v>
      </x:c>
      <x:c r="M770" s="22"/>
      <x:c r="N770" s="22"/>
      <x:c r="O770" s="22"/>
      <x:c r="P770" s="3" t="str">
        <x:v>未掲載</x:v>
      </x:c>
      <x:c r="Q770" s="3" t="str">
        <x:v>未取得</x:v>
      </x:c>
      <x:c r="R770" s="3" t="str">
        <x:v>Unknown</x:v>
      </x:c>
      <x:c r="S770" s="3" t="str">
        <x:v>不明</x:v>
      </x:c>
      <x:c r="T770" s="3" t="str">
        <x:v>世代不明</x:v>
      </x:c>
      <x:c r="U770" s="28" t="n">
        <x:v>399000</x:v>
      </x:c>
      <x:c r="V770" s="28"/>
      <x:c r="W770" s="3" t="str">
        <x:v>事故・水没・SOH・保証残は未確認</x:v>
      </x:c>
      <x:c r="X770" s="3" t="str">
        <x:v>掲載中・在庫未確認</x:v>
      </x:c>
      <x:c r="Y770" s="3" t="str"/>
      <x:c r="Z770" s="27" t="str">
        <x:v>https://www.taladrod.com/w40/icar/cardet.aspx?cid=2925186</x:v>
      </x:c>
      <x:c r="AA770" s="3" t="str">
        <x:v>Taladrod個別広告ID／Carsome在庫ID</x:v>
      </x:c>
      <x:c r="AB770" s="3" t="str">
        <x:v>車台番号未取得／サイト間重複は未判定</x:v>
      </x:c>
      <x:c r="AC770" s="3" t="str">
        <x:v>税込区分未確認（一覧表示額）</x:v>
      </x:c>
      <x:c r="AD770" s="3" t="str"/>
      <x:c r="AE770" s="29" t="str">
        <x:f>""</x:f>
      </x:c>
      <x:c r="AF770" s="30" t="str">
        <x:f>IF(ISNUMBER(AE770),U770/AE770,"")</x:f>
      </x:c>
      <x:c r="AG770" s="29" t="str">
        <x:f>""</x:f>
      </x:c>
      <x:c r="AH770" s="30" t="str">
        <x:f>IF(ISNUMBER(AG770),U770/AG770,"")</x:f>
      </x:c>
      <x:c r="AI770" s="3" t="str">
        <x:v>同年式・グレードの検証済み当時価格なし／登録年混在</x:v>
      </x:c>
      <x:c r="AJ770" s="3" t="str">
        <x:v>一覧価格/年式のみ</x:v>
      </x:c>
      <x:c r="AK770" s="3" t="str">
        <x:v>一覧の表示価格。年式は掲載年式。</x:v>
      </x:c>
      <x:c r="AL770" s="31" t="n">
        <x:f>IF(AND(J770&lt;='分析方法'!$B$7,OR(ISBLANK(O770),O770&gt;='分析方法'!$B$8),X770&lt;&gt;"売却済み表示"),1,0)</x:f>
        <x:v>1</x:v>
      </x:c>
      <x:c r="AM770" s="32" t="n">
        <x:f>IF(AL770=1,U770,"")</x:f>
        <x:v>399000</x:v>
      </x:c>
      <x:c r="AN770" s="33" t="str">
        <x:f>IF(AL770=1,AF770,"")</x:f>
      </x:c>
      <x:c r="AO770" s="31" t="n">
        <x:f>'分析方法'!$B$6-J770</x:f>
        <x:v>4</x:v>
      </x:c>
      <x:c r="AP770" s="3"/>
    </x:row>
    <x:row r="771" ht="22" customHeight="1">
      <x:c r="A771" s="3" t="str">
        <x:v>T2909073</x:v>
      </x:c>
      <x:c r="B771" s="7" t="d">
        <x:v>2026-10-08T00:00:00.000Z</x:v>
      </x:c>
      <x:c r="C771" s="3" t="str">
        <x:v>Taladrod</x:v>
      </x:c>
      <x:c r="D771" s="3" t="str">
        <x:v>Toyota</x:v>
      </x:c>
      <x:c r="E771" s="3" t="str">
        <x:v>日本</x:v>
      </x:c>
      <x:c r="F771" s="3" t="str">
        <x:v>Hilux Revo</x:v>
      </x:c>
      <x:c r="G771" s="3" t="str">
        <x:v>ICE</x:v>
      </x:c>
      <x:c r="H771" s="3" t="str">
        <x:v>Pickup</x:v>
      </x:c>
      <x:c r="I771" s="3" t="str">
        <x:v>Double cab</x:v>
      </x:c>
      <x:c r="J771" s="3" t="n">
        <x:v>2022</x:v>
      </x:c>
      <x:c r="K771" s="3" t="str">
        <x:v>2.4 ENTRY PRERUNNER DOUBLE CAB</x:v>
      </x:c>
      <x:c r="L771" s="3" t="str">
        <x:v>2.4 ENTRY PRERUNNER DOUBLE CAB</x:v>
      </x:c>
      <x:c r="M771" s="22"/>
      <x:c r="N771" s="22"/>
      <x:c r="O771" s="22"/>
      <x:c r="P771" s="3" t="str">
        <x:v>未掲載</x:v>
      </x:c>
      <x:c r="Q771" s="3" t="str">
        <x:v>未取得</x:v>
      </x:c>
      <x:c r="R771" s="3" t="str">
        <x:v>Unknown</x:v>
      </x:c>
      <x:c r="S771" s="3" t="str">
        <x:v>不明</x:v>
      </x:c>
      <x:c r="T771" s="3" t="str">
        <x:v>世代不明</x:v>
      </x:c>
      <x:c r="U771" s="28" t="n">
        <x:v>699000</x:v>
      </x:c>
      <x:c r="V771" s="28"/>
      <x:c r="W771" s="3" t="str">
        <x:v>事故・水没・SOH・保証残は未確認</x:v>
      </x:c>
      <x:c r="X771" s="3" t="str">
        <x:v>掲載中・在庫未確認</x:v>
      </x:c>
      <x:c r="Y771" s="3" t="str"/>
      <x:c r="Z771" s="27" t="str">
        <x:v>https://www.taladrod.com/w40/icar/cardet.aspx?cid=2909073</x:v>
      </x:c>
      <x:c r="AA771" s="3" t="str">
        <x:v>Taladrod個別広告ID／Carsome在庫ID</x:v>
      </x:c>
      <x:c r="AB771" s="3" t="str">
        <x:v>車台番号未取得／サイト間重複は未判定</x:v>
      </x:c>
      <x:c r="AC771" s="3" t="str">
        <x:v>税込区分未確認（一覧表示額）</x:v>
      </x:c>
      <x:c r="AD771" s="3" t="str"/>
      <x:c r="AE771" s="29" t="str">
        <x:f>""</x:f>
      </x:c>
      <x:c r="AF771" s="30" t="str">
        <x:f>IF(ISNUMBER(AE771),U771/AE771,"")</x:f>
      </x:c>
      <x:c r="AG771" s="29" t="str">
        <x:f>""</x:f>
      </x:c>
      <x:c r="AH771" s="30" t="str">
        <x:f>IF(ISNUMBER(AG771),U771/AG771,"")</x:f>
      </x:c>
      <x:c r="AI771" s="3" t="str">
        <x:v>同年式・グレードの検証済み当時価格なし／登録年混在</x:v>
      </x:c>
      <x:c r="AJ771" s="3" t="str">
        <x:v>一覧価格/年式のみ</x:v>
      </x:c>
      <x:c r="AK771" s="3" t="str">
        <x:v>一覧の表示価格。年式は掲載年式。</x:v>
      </x:c>
      <x:c r="AL771" s="31" t="n">
        <x:f>IF(AND(J771&lt;='分析方法'!$B$7,OR(ISBLANK(O771),O771&gt;='分析方法'!$B$8),X771&lt;&gt;"売却済み表示"),1,0)</x:f>
        <x:v>1</x:v>
      </x:c>
      <x:c r="AM771" s="32" t="n">
        <x:f>IF(AL771=1,U771,"")</x:f>
        <x:v>699000</x:v>
      </x:c>
      <x:c r="AN771" s="33" t="str">
        <x:f>IF(AL771=1,AF771,"")</x:f>
      </x:c>
      <x:c r="AO771" s="31" t="n">
        <x:f>'分析方法'!$B$6-J771</x:f>
        <x:v>4</x:v>
      </x:c>
      <x:c r="AP771" s="3"/>
    </x:row>
    <x:row r="772" ht="22" customHeight="1">
      <x:c r="A772" s="3" t="str">
        <x:v>T2922831</x:v>
      </x:c>
      <x:c r="B772" s="7" t="d">
        <x:v>2026-10-08T00:00:00.000Z</x:v>
      </x:c>
      <x:c r="C772" s="3" t="str">
        <x:v>Taladrod</x:v>
      </x:c>
      <x:c r="D772" s="3" t="str">
        <x:v>Toyota</x:v>
      </x:c>
      <x:c r="E772" s="3" t="str">
        <x:v>日本</x:v>
      </x:c>
      <x:c r="F772" s="3" t="str">
        <x:v>Hilux Revo</x:v>
      </x:c>
      <x:c r="G772" s="3" t="str">
        <x:v>ICE</x:v>
      </x:c>
      <x:c r="H772" s="3" t="str">
        <x:v>Pickup</x:v>
      </x:c>
      <x:c r="I772" s="3" t="str">
        <x:v>Double cab</x:v>
      </x:c>
      <x:c r="J772" s="3" t="n">
        <x:v>2022</x:v>
      </x:c>
      <x:c r="K772" s="3" t="str">
        <x:v>2.4 ENTRY PRERUNNER DOUBLE CAB</x:v>
      </x:c>
      <x:c r="L772" s="3" t="str">
        <x:v>2.4 ENTRY PRERUNNER DOUBLE CAB</x:v>
      </x:c>
      <x:c r="M772" s="22"/>
      <x:c r="N772" s="22"/>
      <x:c r="O772" s="22"/>
      <x:c r="P772" s="3" t="str">
        <x:v>未掲載</x:v>
      </x:c>
      <x:c r="Q772" s="3" t="str">
        <x:v>未取得</x:v>
      </x:c>
      <x:c r="R772" s="3" t="str">
        <x:v>Unknown</x:v>
      </x:c>
      <x:c r="S772" s="3" t="str">
        <x:v>不明</x:v>
      </x:c>
      <x:c r="T772" s="3" t="str">
        <x:v>世代不明</x:v>
      </x:c>
      <x:c r="U772" s="28" t="n">
        <x:v>588000</x:v>
      </x:c>
      <x:c r="V772" s="28"/>
      <x:c r="W772" s="3" t="str">
        <x:v>事故・水没・SOH・保証残は未確認</x:v>
      </x:c>
      <x:c r="X772" s="3" t="str">
        <x:v>掲載中・在庫未確認</x:v>
      </x:c>
      <x:c r="Y772" s="3" t="str"/>
      <x:c r="Z772" s="27" t="str">
        <x:v>https://www.taladrod.com/w40/icar/cardet.aspx?cid=2922831</x:v>
      </x:c>
      <x:c r="AA772" s="3" t="str">
        <x:v>Taladrod個別広告ID／Carsome在庫ID</x:v>
      </x:c>
      <x:c r="AB772" s="3" t="str">
        <x:v>車台番号未取得／サイト間重複は未判定</x:v>
      </x:c>
      <x:c r="AC772" s="3" t="str">
        <x:v>税込区分未確認（一覧表示額）</x:v>
      </x:c>
      <x:c r="AD772" s="3" t="str"/>
      <x:c r="AE772" s="29" t="str">
        <x:f>""</x:f>
      </x:c>
      <x:c r="AF772" s="30" t="str">
        <x:f>IF(ISNUMBER(AE772),U772/AE772,"")</x:f>
      </x:c>
      <x:c r="AG772" s="29" t="str">
        <x:f>""</x:f>
      </x:c>
      <x:c r="AH772" s="30" t="str">
        <x:f>IF(ISNUMBER(AG772),U772/AG772,"")</x:f>
      </x:c>
      <x:c r="AI772" s="3" t="str">
        <x:v>同年式・グレードの検証済み当時価格なし／登録年混在</x:v>
      </x:c>
      <x:c r="AJ772" s="3" t="str">
        <x:v>一覧価格/年式のみ</x:v>
      </x:c>
      <x:c r="AK772" s="3" t="str">
        <x:v>一覧の表示価格。年式は掲載年式。</x:v>
      </x:c>
      <x:c r="AL772" s="31" t="n">
        <x:f>IF(AND(J772&lt;='分析方法'!$B$7,OR(ISBLANK(O772),O772&gt;='分析方法'!$B$8),X772&lt;&gt;"売却済み表示"),1,0)</x:f>
        <x:v>1</x:v>
      </x:c>
      <x:c r="AM772" s="32" t="n">
        <x:f>IF(AL772=1,U772,"")</x:f>
        <x:v>588000</x:v>
      </x:c>
      <x:c r="AN772" s="33" t="str">
        <x:f>IF(AL772=1,AF772,"")</x:f>
      </x:c>
      <x:c r="AO772" s="31" t="n">
        <x:f>'分析方法'!$B$6-J772</x:f>
        <x:v>4</x:v>
      </x:c>
      <x:c r="AP772" s="3"/>
    </x:row>
    <x:row r="773" ht="22" customHeight="1">
      <x:c r="A773" s="3" t="str">
        <x:v>T2925006</x:v>
      </x:c>
      <x:c r="B773" s="7" t="d">
        <x:v>2026-10-08T00:00:00.000Z</x:v>
      </x:c>
      <x:c r="C773" s="3" t="str">
        <x:v>Taladrod</x:v>
      </x:c>
      <x:c r="D773" s="3" t="str">
        <x:v>Toyota</x:v>
      </x:c>
      <x:c r="E773" s="3" t="str">
        <x:v>日本</x:v>
      </x:c>
      <x:c r="F773" s="3" t="str">
        <x:v>Hilux Revo</x:v>
      </x:c>
      <x:c r="G773" s="3" t="str">
        <x:v>ICE</x:v>
      </x:c>
      <x:c r="H773" s="3" t="str">
        <x:v>Pickup</x:v>
      </x:c>
      <x:c r="I773" s="3" t="str">
        <x:v>Double cab</x:v>
      </x:c>
      <x:c r="J773" s="3" t="n">
        <x:v>2022</x:v>
      </x:c>
      <x:c r="K773" s="3" t="str">
        <x:v>2.4 ENTRY PRERUNNER DOUBLE CAB</x:v>
      </x:c>
      <x:c r="L773" s="3" t="str">
        <x:v>2.4 ENTRY PRERUNNER DOUBLE CAB</x:v>
      </x:c>
      <x:c r="M773" s="22"/>
      <x:c r="N773" s="22"/>
      <x:c r="O773" s="22"/>
      <x:c r="P773" s="3" t="str">
        <x:v>未掲載</x:v>
      </x:c>
      <x:c r="Q773" s="3" t="str">
        <x:v>未取得</x:v>
      </x:c>
      <x:c r="R773" s="3" t="str">
        <x:v>Unknown</x:v>
      </x:c>
      <x:c r="S773" s="3" t="str">
        <x:v>不明</x:v>
      </x:c>
      <x:c r="T773" s="3" t="str">
        <x:v>世代不明</x:v>
      </x:c>
      <x:c r="U773" s="28" t="n">
        <x:v>629000</x:v>
      </x:c>
      <x:c r="V773" s="28"/>
      <x:c r="W773" s="3" t="str">
        <x:v>事故・水没・SOH・保証残は未確認</x:v>
      </x:c>
      <x:c r="X773" s="3" t="str">
        <x:v>掲載中・在庫未確認</x:v>
      </x:c>
      <x:c r="Y773" s="3" t="str"/>
      <x:c r="Z773" s="27" t="str">
        <x:v>https://www.taladrod.com/w40/icar/cardet.aspx?cid=2925006</x:v>
      </x:c>
      <x:c r="AA773" s="3" t="str">
        <x:v>Taladrod個別広告ID／Carsome在庫ID</x:v>
      </x:c>
      <x:c r="AB773" s="3" t="str">
        <x:v>車台番号未取得／サイト間重複は未判定</x:v>
      </x:c>
      <x:c r="AC773" s="3" t="str">
        <x:v>税込区分未確認（一覧表示額）</x:v>
      </x:c>
      <x:c r="AD773" s="3" t="str"/>
      <x:c r="AE773" s="29" t="str">
        <x:f>""</x:f>
      </x:c>
      <x:c r="AF773" s="30" t="str">
        <x:f>IF(ISNUMBER(AE773),U773/AE773,"")</x:f>
      </x:c>
      <x:c r="AG773" s="29" t="str">
        <x:f>""</x:f>
      </x:c>
      <x:c r="AH773" s="30" t="str">
        <x:f>IF(ISNUMBER(AG773),U773/AG773,"")</x:f>
      </x:c>
      <x:c r="AI773" s="3" t="str">
        <x:v>同年式・グレードの検証済み当時価格なし／登録年混在</x:v>
      </x:c>
      <x:c r="AJ773" s="3" t="str">
        <x:v>一覧価格/年式のみ</x:v>
      </x:c>
      <x:c r="AK773" s="3" t="str">
        <x:v>一覧の表示価格。年式は掲載年式。</x:v>
      </x:c>
      <x:c r="AL773" s="31" t="n">
        <x:f>IF(AND(J773&lt;='分析方法'!$B$7,OR(ISBLANK(O773),O773&gt;='分析方法'!$B$8),X773&lt;&gt;"売却済み表示"),1,0)</x:f>
        <x:v>1</x:v>
      </x:c>
      <x:c r="AM773" s="32" t="n">
        <x:f>IF(AL773=1,U773,"")</x:f>
        <x:v>629000</x:v>
      </x:c>
      <x:c r="AN773" s="33" t="str">
        <x:f>IF(AL773=1,AF773,"")</x:f>
      </x:c>
      <x:c r="AO773" s="31" t="n">
        <x:f>'分析方法'!$B$6-J773</x:f>
        <x:v>4</x:v>
      </x:c>
      <x:c r="AP773" s="3"/>
    </x:row>
    <x:row r="774" ht="22" customHeight="1">
      <x:c r="A774" s="3" t="str">
        <x:v>T2914405</x:v>
      </x:c>
      <x:c r="B774" s="7" t="d">
        <x:v>2026-10-08T00:00:00.000Z</x:v>
      </x:c>
      <x:c r="C774" s="3" t="str">
        <x:v>Taladrod</x:v>
      </x:c>
      <x:c r="D774" s="3" t="str">
        <x:v>Toyota</x:v>
      </x:c>
      <x:c r="E774" s="3" t="str">
        <x:v>日本</x:v>
      </x:c>
      <x:c r="F774" s="3" t="str">
        <x:v>Hilux Revo</x:v>
      </x:c>
      <x:c r="G774" s="3" t="str">
        <x:v>ICE</x:v>
      </x:c>
      <x:c r="H774" s="3" t="str">
        <x:v>Pickup</x:v>
      </x:c>
      <x:c r="I774" s="3" t="str">
        <x:v>Smart cab</x:v>
      </x:c>
      <x:c r="J774" s="3" t="n">
        <x:v>2022</x:v>
      </x:c>
      <x:c r="K774" s="3" t="str">
        <x:v>2.4 ENTRY PRERUNNER SMART CAB</x:v>
      </x:c>
      <x:c r="L774" s="3" t="str">
        <x:v>2.4 ENTRY PRERUNNER SMART CAB</x:v>
      </x:c>
      <x:c r="M774" s="22"/>
      <x:c r="N774" s="22"/>
      <x:c r="O774" s="22"/>
      <x:c r="P774" s="3" t="str">
        <x:v>未掲載</x:v>
      </x:c>
      <x:c r="Q774" s="3" t="str">
        <x:v>未取得</x:v>
      </x:c>
      <x:c r="R774" s="3" t="str">
        <x:v>Unknown</x:v>
      </x:c>
      <x:c r="S774" s="3" t="str">
        <x:v>不明</x:v>
      </x:c>
      <x:c r="T774" s="3" t="str">
        <x:v>世代不明</x:v>
      </x:c>
      <x:c r="U774" s="28" t="n">
        <x:v>479000</x:v>
      </x:c>
      <x:c r="V774" s="28"/>
      <x:c r="W774" s="3" t="str">
        <x:v>事故・水没・SOH・保証残は未確認</x:v>
      </x:c>
      <x:c r="X774" s="3" t="str">
        <x:v>掲載中・在庫未確認</x:v>
      </x:c>
      <x:c r="Y774" s="3" t="str"/>
      <x:c r="Z774" s="27" t="str">
        <x:v>https://www.taladrod.com/w40/icar/cardet.aspx?cid=2914405</x:v>
      </x:c>
      <x:c r="AA774" s="3" t="str">
        <x:v>Taladrod個別広告ID／Carsome在庫ID</x:v>
      </x:c>
      <x:c r="AB774" s="3" t="str">
        <x:v>車台番号未取得／サイト間重複は未判定</x:v>
      </x:c>
      <x:c r="AC774" s="3" t="str">
        <x:v>税込区分未確認（一覧表示額）</x:v>
      </x:c>
      <x:c r="AD774" s="3" t="str"/>
      <x:c r="AE774" s="29" t="str">
        <x:f>""</x:f>
      </x:c>
      <x:c r="AF774" s="30" t="str">
        <x:f>IF(ISNUMBER(AE774),U774/AE774,"")</x:f>
      </x:c>
      <x:c r="AG774" s="29" t="str">
        <x:f>""</x:f>
      </x:c>
      <x:c r="AH774" s="30" t="str">
        <x:f>IF(ISNUMBER(AG774),U774/AG774,"")</x:f>
      </x:c>
      <x:c r="AI774" s="3" t="str">
        <x:v>同年式・グレードの検証済み当時価格なし／登録年混在</x:v>
      </x:c>
      <x:c r="AJ774" s="3" t="str">
        <x:v>一覧価格/年式のみ</x:v>
      </x:c>
      <x:c r="AK774" s="3" t="str">
        <x:v>一覧の表示価格。年式は掲載年式。</x:v>
      </x:c>
      <x:c r="AL774" s="31" t="n">
        <x:f>IF(AND(J774&lt;='分析方法'!$B$7,OR(ISBLANK(O774),O774&gt;='分析方法'!$B$8),X774&lt;&gt;"売却済み表示"),1,0)</x:f>
        <x:v>1</x:v>
      </x:c>
      <x:c r="AM774" s="32" t="n">
        <x:f>IF(AL774=1,U774,"")</x:f>
        <x:v>479000</x:v>
      </x:c>
      <x:c r="AN774" s="33" t="str">
        <x:f>IF(AL774=1,AF774,"")</x:f>
      </x:c>
      <x:c r="AO774" s="31" t="n">
        <x:f>'分析方法'!$B$6-J774</x:f>
        <x:v>4</x:v>
      </x:c>
      <x:c r="AP774" s="3"/>
    </x:row>
    <x:row r="775" ht="22" customHeight="1">
      <x:c r="A775" s="3" t="str">
        <x:v>T2891784</x:v>
      </x:c>
      <x:c r="B775" s="7" t="d">
        <x:v>2026-10-08T00:00:00.000Z</x:v>
      </x:c>
      <x:c r="C775" s="3" t="str">
        <x:v>Taladrod</x:v>
      </x:c>
      <x:c r="D775" s="3" t="str">
        <x:v>Toyota</x:v>
      </x:c>
      <x:c r="E775" s="3" t="str">
        <x:v>日本</x:v>
      </x:c>
      <x:c r="F775" s="3" t="str">
        <x:v>Hilux Revo</x:v>
      </x:c>
      <x:c r="G775" s="3" t="str">
        <x:v>ICE</x:v>
      </x:c>
      <x:c r="H775" s="3" t="str">
        <x:v>Pickup</x:v>
      </x:c>
      <x:c r="I775" s="3" t="str">
        <x:v>Single cab</x:v>
      </x:c>
      <x:c r="J775" s="3" t="n">
        <x:v>2022</x:v>
      </x:c>
      <x:c r="K775" s="3" t="str">
        <x:v>2.4 ENTRY STANDARD CAB</x:v>
      </x:c>
      <x:c r="L775" s="3" t="str">
        <x:v>2.4 ENTRY STANDARD CAB</x:v>
      </x:c>
      <x:c r="M775" s="22"/>
      <x:c r="N775" s="22"/>
      <x:c r="O775" s="22"/>
      <x:c r="P775" s="3" t="str">
        <x:v>未掲載</x:v>
      </x:c>
      <x:c r="Q775" s="3" t="str">
        <x:v>未取得</x:v>
      </x:c>
      <x:c r="R775" s="3" t="str">
        <x:v>Unknown</x:v>
      </x:c>
      <x:c r="S775" s="3" t="str">
        <x:v>不明</x:v>
      </x:c>
      <x:c r="T775" s="3" t="str">
        <x:v>世代不明</x:v>
      </x:c>
      <x:c r="U775" s="28" t="n">
        <x:v>599000</x:v>
      </x:c>
      <x:c r="V775" s="28"/>
      <x:c r="W775" s="3" t="str">
        <x:v>事故・水没・SOH・保証残は未確認</x:v>
      </x:c>
      <x:c r="X775" s="3" t="str">
        <x:v>掲載中・在庫未確認</x:v>
      </x:c>
      <x:c r="Y775" s="3" t="str"/>
      <x:c r="Z775" s="27" t="str">
        <x:v>https://www.taladrod.com/w40/icar/cardet.aspx?cid=2891784</x:v>
      </x:c>
      <x:c r="AA775" s="3" t="str">
        <x:v>Taladrod個別広告ID／Carsome在庫ID</x:v>
      </x:c>
      <x:c r="AB775" s="3" t="str">
        <x:v>車台番号未取得／サイト間重複は未判定</x:v>
      </x:c>
      <x:c r="AC775" s="3" t="str">
        <x:v>税込区分未確認（一覧表示額）</x:v>
      </x:c>
      <x:c r="AD775" s="3" t="str"/>
      <x:c r="AE775" s="29" t="str">
        <x:f>""</x:f>
      </x:c>
      <x:c r="AF775" s="30" t="str">
        <x:f>IF(ISNUMBER(AE775),U775/AE775,"")</x:f>
      </x:c>
      <x:c r="AG775" s="29" t="str">
        <x:f>""</x:f>
      </x:c>
      <x:c r="AH775" s="30" t="str">
        <x:f>IF(ISNUMBER(AG775),U775/AG775,"")</x:f>
      </x:c>
      <x:c r="AI775" s="3" t="str">
        <x:v>同年式・グレードの検証済み当時価格なし／登録年混在</x:v>
      </x:c>
      <x:c r="AJ775" s="3" t="str">
        <x:v>一覧価格/年式のみ</x:v>
      </x:c>
      <x:c r="AK775" s="3" t="str">
        <x:v>一覧の表示価格。年式は掲載年式。</x:v>
      </x:c>
      <x:c r="AL775" s="31" t="n">
        <x:f>IF(AND(J775&lt;='分析方法'!$B$7,OR(ISBLANK(O775),O775&gt;='分析方法'!$B$8),X775&lt;&gt;"売却済み表示"),1,0)</x:f>
        <x:v>1</x:v>
      </x:c>
      <x:c r="AM775" s="32" t="n">
        <x:f>IF(AL775=1,U775,"")</x:f>
        <x:v>599000</x:v>
      </x:c>
      <x:c r="AN775" s="33" t="str">
        <x:f>IF(AL775=1,AF775,"")</x:f>
      </x:c>
      <x:c r="AO775" s="31" t="n">
        <x:f>'分析方法'!$B$6-J775</x:f>
        <x:v>4</x:v>
      </x:c>
      <x:c r="AP775" s="3"/>
    </x:row>
    <x:row r="776" ht="22" customHeight="1">
      <x:c r="A776" s="3" t="str">
        <x:v>T2898165</x:v>
      </x:c>
      <x:c r="B776" s="7" t="d">
        <x:v>2026-10-08T00:00:00.000Z</x:v>
      </x:c>
      <x:c r="C776" s="3" t="str">
        <x:v>Taladrod</x:v>
      </x:c>
      <x:c r="D776" s="3" t="str">
        <x:v>Toyota</x:v>
      </x:c>
      <x:c r="E776" s="3" t="str">
        <x:v>日本</x:v>
      </x:c>
      <x:c r="F776" s="3" t="str">
        <x:v>Hilux Revo</x:v>
      </x:c>
      <x:c r="G776" s="3" t="str">
        <x:v>ICE</x:v>
      </x:c>
      <x:c r="H776" s="3" t="str">
        <x:v>Pickup</x:v>
      </x:c>
      <x:c r="I776" s="3" t="str">
        <x:v>Single cab</x:v>
      </x:c>
      <x:c r="J776" s="3" t="n">
        <x:v>2022</x:v>
      </x:c>
      <x:c r="K776" s="3" t="str">
        <x:v>2.4 ENTRY STANDARD CAB</x:v>
      </x:c>
      <x:c r="L776" s="3" t="str">
        <x:v>2.4 ENTRY STANDARD CAB</x:v>
      </x:c>
      <x:c r="M776" s="22"/>
      <x:c r="N776" s="22"/>
      <x:c r="O776" s="22"/>
      <x:c r="P776" s="3" t="str">
        <x:v>未掲載</x:v>
      </x:c>
      <x:c r="Q776" s="3" t="str">
        <x:v>未取得</x:v>
      </x:c>
      <x:c r="R776" s="3" t="str">
        <x:v>Unknown</x:v>
      </x:c>
      <x:c r="S776" s="3" t="str">
        <x:v>不明</x:v>
      </x:c>
      <x:c r="T776" s="3" t="str">
        <x:v>世代不明</x:v>
      </x:c>
      <x:c r="U776" s="28" t="n">
        <x:v>375000</x:v>
      </x:c>
      <x:c r="V776" s="28"/>
      <x:c r="W776" s="3" t="str">
        <x:v>事故・水没・SOH・保証残は未確認</x:v>
      </x:c>
      <x:c r="X776" s="3" t="str">
        <x:v>掲載中・在庫未確認</x:v>
      </x:c>
      <x:c r="Y776" s="3" t="str"/>
      <x:c r="Z776" s="27" t="str">
        <x:v>https://www.taladrod.com/w40/icar/cardet.aspx?cid=2898165</x:v>
      </x:c>
      <x:c r="AA776" s="3" t="str">
        <x:v>Taladrod個別広告ID／Carsome在庫ID</x:v>
      </x:c>
      <x:c r="AB776" s="3" t="str">
        <x:v>車台番号未取得／サイト間重複は未判定</x:v>
      </x:c>
      <x:c r="AC776" s="3" t="str">
        <x:v>税込区分未確認（一覧表示額）</x:v>
      </x:c>
      <x:c r="AD776" s="3" t="str"/>
      <x:c r="AE776" s="29" t="str">
        <x:f>""</x:f>
      </x:c>
      <x:c r="AF776" s="30" t="str">
        <x:f>IF(ISNUMBER(AE776),U776/AE776,"")</x:f>
      </x:c>
      <x:c r="AG776" s="29" t="str">
        <x:f>""</x:f>
      </x:c>
      <x:c r="AH776" s="30" t="str">
        <x:f>IF(ISNUMBER(AG776),U776/AG776,"")</x:f>
      </x:c>
      <x:c r="AI776" s="3" t="str">
        <x:v>同年式・グレードの検証済み当時価格なし／登録年混在</x:v>
      </x:c>
      <x:c r="AJ776" s="3" t="str">
        <x:v>一覧価格/年式のみ</x:v>
      </x:c>
      <x:c r="AK776" s="3" t="str">
        <x:v>一覧の表示価格。年式は掲載年式。</x:v>
      </x:c>
      <x:c r="AL776" s="31" t="n">
        <x:f>IF(AND(J776&lt;='分析方法'!$B$7,OR(ISBLANK(O776),O776&gt;='分析方法'!$B$8),X776&lt;&gt;"売却済み表示"),1,0)</x:f>
        <x:v>1</x:v>
      </x:c>
      <x:c r="AM776" s="32" t="n">
        <x:f>IF(AL776=1,U776,"")</x:f>
        <x:v>375000</x:v>
      </x:c>
      <x:c r="AN776" s="33" t="str">
        <x:f>IF(AL776=1,AF776,"")</x:f>
      </x:c>
      <x:c r="AO776" s="31" t="n">
        <x:f>'分析方法'!$B$6-J776</x:f>
        <x:v>4</x:v>
      </x:c>
      <x:c r="AP776" s="3"/>
    </x:row>
    <x:row r="777" ht="22" customHeight="1">
      <x:c r="A777" s="3" t="str">
        <x:v>T2901013</x:v>
      </x:c>
      <x:c r="B777" s="7" t="d">
        <x:v>2026-10-08T00:00:00.000Z</x:v>
      </x:c>
      <x:c r="C777" s="3" t="str">
        <x:v>Taladrod</x:v>
      </x:c>
      <x:c r="D777" s="3" t="str">
        <x:v>Toyota</x:v>
      </x:c>
      <x:c r="E777" s="3" t="str">
        <x:v>日本</x:v>
      </x:c>
      <x:c r="F777" s="3" t="str">
        <x:v>Hilux Revo</x:v>
      </x:c>
      <x:c r="G777" s="3" t="str">
        <x:v>ICE</x:v>
      </x:c>
      <x:c r="H777" s="3" t="str">
        <x:v>Pickup</x:v>
      </x:c>
      <x:c r="I777" s="3" t="str">
        <x:v>Single cab</x:v>
      </x:c>
      <x:c r="J777" s="3" t="n">
        <x:v>2022</x:v>
      </x:c>
      <x:c r="K777" s="3" t="str">
        <x:v>2.4 ENTRY STANDARD CAB</x:v>
      </x:c>
      <x:c r="L777" s="3" t="str">
        <x:v>2.4 ENTRY STANDARD CAB</x:v>
      </x:c>
      <x:c r="M777" s="22"/>
      <x:c r="N777" s="22"/>
      <x:c r="O777" s="22"/>
      <x:c r="P777" s="3" t="str">
        <x:v>未掲載</x:v>
      </x:c>
      <x:c r="Q777" s="3" t="str">
        <x:v>未取得</x:v>
      </x:c>
      <x:c r="R777" s="3" t="str">
        <x:v>Unknown</x:v>
      </x:c>
      <x:c r="S777" s="3" t="str">
        <x:v>不明</x:v>
      </x:c>
      <x:c r="T777" s="3" t="str">
        <x:v>世代不明</x:v>
      </x:c>
      <x:c r="U777" s="28" t="n">
        <x:v>415000</x:v>
      </x:c>
      <x:c r="V777" s="28"/>
      <x:c r="W777" s="3" t="str">
        <x:v>事故・水没・SOH・保証残は未確認</x:v>
      </x:c>
      <x:c r="X777" s="3" t="str">
        <x:v>掲載中・在庫未確認</x:v>
      </x:c>
      <x:c r="Y777" s="3" t="str"/>
      <x:c r="Z777" s="27" t="str">
        <x:v>https://www.taladrod.com/w40/icar/cardet.aspx?cid=2901013</x:v>
      </x:c>
      <x:c r="AA777" s="3" t="str">
        <x:v>Taladrod個別広告ID／Carsome在庫ID</x:v>
      </x:c>
      <x:c r="AB777" s="3" t="str">
        <x:v>車台番号未取得／サイト間重複は未判定</x:v>
      </x:c>
      <x:c r="AC777" s="3" t="str">
        <x:v>税込区分未確認（一覧表示額）</x:v>
      </x:c>
      <x:c r="AD777" s="3" t="str"/>
      <x:c r="AE777" s="29" t="str">
        <x:f>""</x:f>
      </x:c>
      <x:c r="AF777" s="30" t="str">
        <x:f>IF(ISNUMBER(AE777),U777/AE777,"")</x:f>
      </x:c>
      <x:c r="AG777" s="29" t="str">
        <x:f>""</x:f>
      </x:c>
      <x:c r="AH777" s="30" t="str">
        <x:f>IF(ISNUMBER(AG777),U777/AG777,"")</x:f>
      </x:c>
      <x:c r="AI777" s="3" t="str">
        <x:v>同年式・グレードの検証済み当時価格なし／登録年混在</x:v>
      </x:c>
      <x:c r="AJ777" s="3" t="str">
        <x:v>一覧価格/年式のみ</x:v>
      </x:c>
      <x:c r="AK777" s="3" t="str">
        <x:v>一覧の表示価格。年式は掲載年式。</x:v>
      </x:c>
      <x:c r="AL777" s="31" t="n">
        <x:f>IF(AND(J777&lt;='分析方法'!$B$7,OR(ISBLANK(O777),O777&gt;='分析方法'!$B$8),X777&lt;&gt;"売却済み表示"),1,0)</x:f>
        <x:v>1</x:v>
      </x:c>
      <x:c r="AM777" s="32" t="n">
        <x:f>IF(AL777=1,U777,"")</x:f>
        <x:v>415000</x:v>
      </x:c>
      <x:c r="AN777" s="33" t="str">
        <x:f>IF(AL777=1,AF777,"")</x:f>
      </x:c>
      <x:c r="AO777" s="31" t="n">
        <x:f>'分析方法'!$B$6-J777</x:f>
        <x:v>4</x:v>
      </x:c>
      <x:c r="AP777" s="3"/>
    </x:row>
    <x:row r="778" ht="22" customHeight="1">
      <x:c r="A778" s="3" t="str">
        <x:v>T2908020</x:v>
      </x:c>
      <x:c r="B778" s="7" t="d">
        <x:v>2026-10-08T00:00:00.000Z</x:v>
      </x:c>
      <x:c r="C778" s="3" t="str">
        <x:v>Taladrod</x:v>
      </x:c>
      <x:c r="D778" s="3" t="str">
        <x:v>Toyota</x:v>
      </x:c>
      <x:c r="E778" s="3" t="str">
        <x:v>日本</x:v>
      </x:c>
      <x:c r="F778" s="3" t="str">
        <x:v>Hilux Revo</x:v>
      </x:c>
      <x:c r="G778" s="3" t="str">
        <x:v>ICE</x:v>
      </x:c>
      <x:c r="H778" s="3" t="str">
        <x:v>Pickup</x:v>
      </x:c>
      <x:c r="I778" s="3" t="str">
        <x:v>Single cab</x:v>
      </x:c>
      <x:c r="J778" s="3" t="n">
        <x:v>2022</x:v>
      </x:c>
      <x:c r="K778" s="3" t="str">
        <x:v>2.4 ENTRY STANDARD CAB</x:v>
      </x:c>
      <x:c r="L778" s="3" t="str">
        <x:v>2.4 ENTRY STANDARD CAB</x:v>
      </x:c>
      <x:c r="M778" s="22"/>
      <x:c r="N778" s="22"/>
      <x:c r="O778" s="22"/>
      <x:c r="P778" s="3" t="str">
        <x:v>未掲載</x:v>
      </x:c>
      <x:c r="Q778" s="3" t="str">
        <x:v>未取得</x:v>
      </x:c>
      <x:c r="R778" s="3" t="str">
        <x:v>Unknown</x:v>
      </x:c>
      <x:c r="S778" s="3" t="str">
        <x:v>不明</x:v>
      </x:c>
      <x:c r="T778" s="3" t="str">
        <x:v>世代不明</x:v>
      </x:c>
      <x:c r="U778" s="28" t="n">
        <x:v>399000</x:v>
      </x:c>
      <x:c r="V778" s="28"/>
      <x:c r="W778" s="3" t="str">
        <x:v>事故・水没・SOH・保証残は未確認</x:v>
      </x:c>
      <x:c r="X778" s="3" t="str">
        <x:v>掲載中・在庫未確認</x:v>
      </x:c>
      <x:c r="Y778" s="3" t="str"/>
      <x:c r="Z778" s="27" t="str">
        <x:v>https://www.taladrod.com/w40/icar/cardet.aspx?cid=2908020</x:v>
      </x:c>
      <x:c r="AA778" s="3" t="str">
        <x:v>Taladrod個別広告ID／Carsome在庫ID</x:v>
      </x:c>
      <x:c r="AB778" s="3" t="str">
        <x:v>車台番号未取得／サイト間重複は未判定</x:v>
      </x:c>
      <x:c r="AC778" s="3" t="str">
        <x:v>税込区分未確認（一覧表示額）</x:v>
      </x:c>
      <x:c r="AD778" s="3" t="str"/>
      <x:c r="AE778" s="29" t="str">
        <x:f>""</x:f>
      </x:c>
      <x:c r="AF778" s="30" t="str">
        <x:f>IF(ISNUMBER(AE778),U778/AE778,"")</x:f>
      </x:c>
      <x:c r="AG778" s="29" t="str">
        <x:f>""</x:f>
      </x:c>
      <x:c r="AH778" s="30" t="str">
        <x:f>IF(ISNUMBER(AG778),U778/AG778,"")</x:f>
      </x:c>
      <x:c r="AI778" s="3" t="str">
        <x:v>同年式・グレードの検証済み当時価格なし／登録年混在</x:v>
      </x:c>
      <x:c r="AJ778" s="3" t="str">
        <x:v>一覧価格/年式のみ</x:v>
      </x:c>
      <x:c r="AK778" s="3" t="str">
        <x:v>一覧の表示価格。年式は掲載年式。</x:v>
      </x:c>
      <x:c r="AL778" s="31" t="n">
        <x:f>IF(AND(J778&lt;='分析方法'!$B$7,OR(ISBLANK(O778),O778&gt;='分析方法'!$B$8),X778&lt;&gt;"売却済み表示"),1,0)</x:f>
        <x:v>1</x:v>
      </x:c>
      <x:c r="AM778" s="32" t="n">
        <x:f>IF(AL778=1,U778,"")</x:f>
        <x:v>399000</x:v>
      </x:c>
      <x:c r="AN778" s="33" t="str">
        <x:f>IF(AL778=1,AF778,"")</x:f>
      </x:c>
      <x:c r="AO778" s="31" t="n">
        <x:f>'分析方法'!$B$6-J778</x:f>
        <x:v>4</x:v>
      </x:c>
      <x:c r="AP778" s="3"/>
    </x:row>
    <x:row r="779" ht="22" customHeight="1">
      <x:c r="A779" s="3" t="str">
        <x:v>T2908073</x:v>
      </x:c>
      <x:c r="B779" s="7" t="d">
        <x:v>2026-10-08T00:00:00.000Z</x:v>
      </x:c>
      <x:c r="C779" s="3" t="str">
        <x:v>Taladrod</x:v>
      </x:c>
      <x:c r="D779" s="3" t="str">
        <x:v>Toyota</x:v>
      </x:c>
      <x:c r="E779" s="3" t="str">
        <x:v>日本</x:v>
      </x:c>
      <x:c r="F779" s="3" t="str">
        <x:v>Hilux Revo</x:v>
      </x:c>
      <x:c r="G779" s="3" t="str">
        <x:v>ICE</x:v>
      </x:c>
      <x:c r="H779" s="3" t="str">
        <x:v>Pickup</x:v>
      </x:c>
      <x:c r="I779" s="3" t="str">
        <x:v>Single cab</x:v>
      </x:c>
      <x:c r="J779" s="3" t="n">
        <x:v>2022</x:v>
      </x:c>
      <x:c r="K779" s="3" t="str">
        <x:v>2.4 ENTRY STANDARD CAB</x:v>
      </x:c>
      <x:c r="L779" s="3" t="str">
        <x:v>2.4 ENTRY STANDARD CAB</x:v>
      </x:c>
      <x:c r="M779" s="22"/>
      <x:c r="N779" s="22"/>
      <x:c r="O779" s="22"/>
      <x:c r="P779" s="3" t="str">
        <x:v>未掲載</x:v>
      </x:c>
      <x:c r="Q779" s="3" t="str">
        <x:v>未取得</x:v>
      </x:c>
      <x:c r="R779" s="3" t="str">
        <x:v>Unknown</x:v>
      </x:c>
      <x:c r="S779" s="3" t="str">
        <x:v>不明</x:v>
      </x:c>
      <x:c r="T779" s="3" t="str">
        <x:v>世代不明</x:v>
      </x:c>
      <x:c r="U779" s="28" t="n">
        <x:v>369000</x:v>
      </x:c>
      <x:c r="V779" s="28"/>
      <x:c r="W779" s="3" t="str">
        <x:v>事故・水没・SOH・保証残は未確認</x:v>
      </x:c>
      <x:c r="X779" s="3" t="str">
        <x:v>掲載中・在庫未確認</x:v>
      </x:c>
      <x:c r="Y779" s="3" t="str"/>
      <x:c r="Z779" s="27" t="str">
        <x:v>https://www.taladrod.com/w40/icar/cardet.aspx?cid=2908073</x:v>
      </x:c>
      <x:c r="AA779" s="3" t="str">
        <x:v>Taladrod個別広告ID／Carsome在庫ID</x:v>
      </x:c>
      <x:c r="AB779" s="3" t="str">
        <x:v>車台番号未取得／サイト間重複は未判定</x:v>
      </x:c>
      <x:c r="AC779" s="3" t="str">
        <x:v>税込区分未確認（一覧表示額）</x:v>
      </x:c>
      <x:c r="AD779" s="3" t="str"/>
      <x:c r="AE779" s="29" t="str">
        <x:f>""</x:f>
      </x:c>
      <x:c r="AF779" s="30" t="str">
        <x:f>IF(ISNUMBER(AE779),U779/AE779,"")</x:f>
      </x:c>
      <x:c r="AG779" s="29" t="str">
        <x:f>""</x:f>
      </x:c>
      <x:c r="AH779" s="30" t="str">
        <x:f>IF(ISNUMBER(AG779),U779/AG779,"")</x:f>
      </x:c>
      <x:c r="AI779" s="3" t="str">
        <x:v>同年式・グレードの検証済み当時価格なし／登録年混在</x:v>
      </x:c>
      <x:c r="AJ779" s="3" t="str">
        <x:v>一覧価格/年式のみ</x:v>
      </x:c>
      <x:c r="AK779" s="3" t="str">
        <x:v>一覧の表示価格。年式は掲載年式。</x:v>
      </x:c>
      <x:c r="AL779" s="31" t="n">
        <x:f>IF(AND(J779&lt;='分析方法'!$B$7,OR(ISBLANK(O779),O779&gt;='分析方法'!$B$8),X779&lt;&gt;"売却済み表示"),1,0)</x:f>
        <x:v>1</x:v>
      </x:c>
      <x:c r="AM779" s="32" t="n">
        <x:f>IF(AL779=1,U779,"")</x:f>
        <x:v>369000</x:v>
      </x:c>
      <x:c r="AN779" s="33" t="str">
        <x:f>IF(AL779=1,AF779,"")</x:f>
      </x:c>
      <x:c r="AO779" s="31" t="n">
        <x:f>'分析方法'!$B$6-J779</x:f>
        <x:v>4</x:v>
      </x:c>
      <x:c r="AP779" s="3"/>
    </x:row>
    <x:row r="780" ht="22" customHeight="1">
      <x:c r="A780" s="3" t="str">
        <x:v>T2908579</x:v>
      </x:c>
      <x:c r="B780" s="7" t="d">
        <x:v>2026-10-08T00:00:00.000Z</x:v>
      </x:c>
      <x:c r="C780" s="3" t="str">
        <x:v>Taladrod</x:v>
      </x:c>
      <x:c r="D780" s="3" t="str">
        <x:v>Toyota</x:v>
      </x:c>
      <x:c r="E780" s="3" t="str">
        <x:v>日本</x:v>
      </x:c>
      <x:c r="F780" s="3" t="str">
        <x:v>Hilux Revo</x:v>
      </x:c>
      <x:c r="G780" s="3" t="str">
        <x:v>ICE</x:v>
      </x:c>
      <x:c r="H780" s="3" t="str">
        <x:v>Pickup</x:v>
      </x:c>
      <x:c r="I780" s="3" t="str">
        <x:v>Single cab</x:v>
      </x:c>
      <x:c r="J780" s="3" t="n">
        <x:v>2022</x:v>
      </x:c>
      <x:c r="K780" s="3" t="str">
        <x:v>2.4 ENTRY STANDARD CAB</x:v>
      </x:c>
      <x:c r="L780" s="3" t="str">
        <x:v>2.4 ENTRY STANDARD CAB</x:v>
      </x:c>
      <x:c r="M780" s="22"/>
      <x:c r="N780" s="22"/>
      <x:c r="O780" s="22"/>
      <x:c r="P780" s="3" t="str">
        <x:v>未掲載</x:v>
      </x:c>
      <x:c r="Q780" s="3" t="str">
        <x:v>未取得</x:v>
      </x:c>
      <x:c r="R780" s="3" t="str">
        <x:v>Unknown</x:v>
      </x:c>
      <x:c r="S780" s="3" t="str">
        <x:v>不明</x:v>
      </x:c>
      <x:c r="T780" s="3" t="str">
        <x:v>世代不明</x:v>
      </x:c>
      <x:c r="U780" s="28" t="n">
        <x:v>379000</x:v>
      </x:c>
      <x:c r="V780" s="28"/>
      <x:c r="W780" s="3" t="str">
        <x:v>事故・水没・SOH・保証残は未確認</x:v>
      </x:c>
      <x:c r="X780" s="3" t="str">
        <x:v>掲載中・在庫未確認</x:v>
      </x:c>
      <x:c r="Y780" s="3" t="str"/>
      <x:c r="Z780" s="27" t="str">
        <x:v>https://www.taladrod.com/w40/icar/cardet.aspx?cid=2908579</x:v>
      </x:c>
      <x:c r="AA780" s="3" t="str">
        <x:v>Taladrod個別広告ID／Carsome在庫ID</x:v>
      </x:c>
      <x:c r="AB780" s="3" t="str">
        <x:v>車台番号未取得／サイト間重複は未判定</x:v>
      </x:c>
      <x:c r="AC780" s="3" t="str">
        <x:v>税込区分未確認（一覧表示額）</x:v>
      </x:c>
      <x:c r="AD780" s="3" t="str"/>
      <x:c r="AE780" s="29" t="str">
        <x:f>""</x:f>
      </x:c>
      <x:c r="AF780" s="30" t="str">
        <x:f>IF(ISNUMBER(AE780),U780/AE780,"")</x:f>
      </x:c>
      <x:c r="AG780" s="29" t="str">
        <x:f>""</x:f>
      </x:c>
      <x:c r="AH780" s="30" t="str">
        <x:f>IF(ISNUMBER(AG780),U780/AG780,"")</x:f>
      </x:c>
      <x:c r="AI780" s="3" t="str">
        <x:v>同年式・グレードの検証済み当時価格なし／登録年混在</x:v>
      </x:c>
      <x:c r="AJ780" s="3" t="str">
        <x:v>一覧価格/年式のみ</x:v>
      </x:c>
      <x:c r="AK780" s="3" t="str">
        <x:v>一覧の表示価格。年式は掲載年式。</x:v>
      </x:c>
      <x:c r="AL780" s="31" t="n">
        <x:f>IF(AND(J780&lt;='分析方法'!$B$7,OR(ISBLANK(O780),O780&gt;='分析方法'!$B$8),X780&lt;&gt;"売却済み表示"),1,0)</x:f>
        <x:v>1</x:v>
      </x:c>
      <x:c r="AM780" s="32" t="n">
        <x:f>IF(AL780=1,U780,"")</x:f>
        <x:v>379000</x:v>
      </x:c>
      <x:c r="AN780" s="33" t="str">
        <x:f>IF(AL780=1,AF780,"")</x:f>
      </x:c>
      <x:c r="AO780" s="31" t="n">
        <x:f>'分析方法'!$B$6-J780</x:f>
        <x:v>4</x:v>
      </x:c>
      <x:c r="AP780" s="3"/>
    </x:row>
    <x:row r="781" ht="22" customHeight="1">
      <x:c r="A781" s="3" t="str">
        <x:v>T2910042</x:v>
      </x:c>
      <x:c r="B781" s="7" t="d">
        <x:v>2026-10-08T00:00:00.000Z</x:v>
      </x:c>
      <x:c r="C781" s="3" t="str">
        <x:v>Taladrod</x:v>
      </x:c>
      <x:c r="D781" s="3" t="str">
        <x:v>Toyota</x:v>
      </x:c>
      <x:c r="E781" s="3" t="str">
        <x:v>日本</x:v>
      </x:c>
      <x:c r="F781" s="3" t="str">
        <x:v>Hilux Revo</x:v>
      </x:c>
      <x:c r="G781" s="3" t="str">
        <x:v>ICE</x:v>
      </x:c>
      <x:c r="H781" s="3" t="str">
        <x:v>Pickup</x:v>
      </x:c>
      <x:c r="I781" s="3" t="str">
        <x:v>Single cab</x:v>
      </x:c>
      <x:c r="J781" s="3" t="n">
        <x:v>2022</x:v>
      </x:c>
      <x:c r="K781" s="3" t="str">
        <x:v>2.4 ENTRY STANDARD CAB</x:v>
      </x:c>
      <x:c r="L781" s="3" t="str">
        <x:v>2.4 ENTRY STANDARD CAB</x:v>
      </x:c>
      <x:c r="M781" s="22"/>
      <x:c r="N781" s="22"/>
      <x:c r="O781" s="22"/>
      <x:c r="P781" s="3" t="str">
        <x:v>未掲載</x:v>
      </x:c>
      <x:c r="Q781" s="3" t="str">
        <x:v>未取得</x:v>
      </x:c>
      <x:c r="R781" s="3" t="str">
        <x:v>Unknown</x:v>
      </x:c>
      <x:c r="S781" s="3" t="str">
        <x:v>不明</x:v>
      </x:c>
      <x:c r="T781" s="3" t="str">
        <x:v>世代不明</x:v>
      </x:c>
      <x:c r="U781" s="28" t="n">
        <x:v>399000</x:v>
      </x:c>
      <x:c r="V781" s="28"/>
      <x:c r="W781" s="3" t="str">
        <x:v>事故・水没・SOH・保証残は未確認</x:v>
      </x:c>
      <x:c r="X781" s="3" t="str">
        <x:v>掲載中・在庫未確認</x:v>
      </x:c>
      <x:c r="Y781" s="3" t="str"/>
      <x:c r="Z781" s="27" t="str">
        <x:v>https://www.taladrod.com/w40/icar/cardet.aspx?cid=2910042</x:v>
      </x:c>
      <x:c r="AA781" s="3" t="str">
        <x:v>Taladrod個別広告ID／Carsome在庫ID</x:v>
      </x:c>
      <x:c r="AB781" s="3" t="str">
        <x:v>車台番号未取得／サイト間重複は未判定</x:v>
      </x:c>
      <x:c r="AC781" s="3" t="str">
        <x:v>税込区分未確認（一覧表示額）</x:v>
      </x:c>
      <x:c r="AD781" s="3" t="str"/>
      <x:c r="AE781" s="29" t="str">
        <x:f>""</x:f>
      </x:c>
      <x:c r="AF781" s="30" t="str">
        <x:f>IF(ISNUMBER(AE781),U781/AE781,"")</x:f>
      </x:c>
      <x:c r="AG781" s="29" t="str">
        <x:f>""</x:f>
      </x:c>
      <x:c r="AH781" s="30" t="str">
        <x:f>IF(ISNUMBER(AG781),U781/AG781,"")</x:f>
      </x:c>
      <x:c r="AI781" s="3" t="str">
        <x:v>同年式・グレードの検証済み当時価格なし／登録年混在</x:v>
      </x:c>
      <x:c r="AJ781" s="3" t="str">
        <x:v>一覧価格/年式のみ</x:v>
      </x:c>
      <x:c r="AK781" s="3" t="str">
        <x:v>一覧の表示価格。年式は掲載年式。</x:v>
      </x:c>
      <x:c r="AL781" s="31" t="n">
        <x:f>IF(AND(J781&lt;='分析方法'!$B$7,OR(ISBLANK(O781),O781&gt;='分析方法'!$B$8),X781&lt;&gt;"売却済み表示"),1,0)</x:f>
        <x:v>1</x:v>
      </x:c>
      <x:c r="AM781" s="32" t="n">
        <x:f>IF(AL781=1,U781,"")</x:f>
        <x:v>399000</x:v>
      </x:c>
      <x:c r="AN781" s="33" t="str">
        <x:f>IF(AL781=1,AF781,"")</x:f>
      </x:c>
      <x:c r="AO781" s="31" t="n">
        <x:f>'分析方法'!$B$6-J781</x:f>
        <x:v>4</x:v>
      </x:c>
      <x:c r="AP781" s="3"/>
    </x:row>
    <x:row r="782" ht="22" customHeight="1">
      <x:c r="A782" s="3" t="str">
        <x:v>T2910832</x:v>
      </x:c>
      <x:c r="B782" s="7" t="d">
        <x:v>2026-10-08T00:00:00.000Z</x:v>
      </x:c>
      <x:c r="C782" s="3" t="str">
        <x:v>Taladrod</x:v>
      </x:c>
      <x:c r="D782" s="3" t="str">
        <x:v>Toyota</x:v>
      </x:c>
      <x:c r="E782" s="3" t="str">
        <x:v>日本</x:v>
      </x:c>
      <x:c r="F782" s="3" t="str">
        <x:v>Hilux Revo</x:v>
      </x:c>
      <x:c r="G782" s="3" t="str">
        <x:v>ICE</x:v>
      </x:c>
      <x:c r="H782" s="3" t="str">
        <x:v>Pickup</x:v>
      </x:c>
      <x:c r="I782" s="3" t="str">
        <x:v>Single cab</x:v>
      </x:c>
      <x:c r="J782" s="3" t="n">
        <x:v>2022</x:v>
      </x:c>
      <x:c r="K782" s="3" t="str">
        <x:v>2.4 ENTRY STANDARD CAB</x:v>
      </x:c>
      <x:c r="L782" s="3" t="str">
        <x:v>2.4 ENTRY STANDARD CAB</x:v>
      </x:c>
      <x:c r="M782" s="22"/>
      <x:c r="N782" s="22"/>
      <x:c r="O782" s="22"/>
      <x:c r="P782" s="3" t="str">
        <x:v>未掲載</x:v>
      </x:c>
      <x:c r="Q782" s="3" t="str">
        <x:v>未取得</x:v>
      </x:c>
      <x:c r="R782" s="3" t="str">
        <x:v>Unknown</x:v>
      </x:c>
      <x:c r="S782" s="3" t="str">
        <x:v>不明</x:v>
      </x:c>
      <x:c r="T782" s="3" t="str">
        <x:v>世代不明</x:v>
      </x:c>
      <x:c r="U782" s="28" t="n">
        <x:v>399000</x:v>
      </x:c>
      <x:c r="V782" s="28"/>
      <x:c r="W782" s="3" t="str">
        <x:v>事故・水没・SOH・保証残は未確認</x:v>
      </x:c>
      <x:c r="X782" s="3" t="str">
        <x:v>掲載中・在庫未確認</x:v>
      </x:c>
      <x:c r="Y782" s="3" t="str"/>
      <x:c r="Z782" s="27" t="str">
        <x:v>https://www.taladrod.com/w40/icar/cardet.aspx?cid=2910832</x:v>
      </x:c>
      <x:c r="AA782" s="3" t="str">
        <x:v>Taladrod個別広告ID／Carsome在庫ID</x:v>
      </x:c>
      <x:c r="AB782" s="3" t="str">
        <x:v>車台番号未取得／サイト間重複は未判定</x:v>
      </x:c>
      <x:c r="AC782" s="3" t="str">
        <x:v>税込区分未確認（一覧表示額）</x:v>
      </x:c>
      <x:c r="AD782" s="3" t="str"/>
      <x:c r="AE782" s="29" t="str">
        <x:f>""</x:f>
      </x:c>
      <x:c r="AF782" s="30" t="str">
        <x:f>IF(ISNUMBER(AE782),U782/AE782,"")</x:f>
      </x:c>
      <x:c r="AG782" s="29" t="str">
        <x:f>""</x:f>
      </x:c>
      <x:c r="AH782" s="30" t="str">
        <x:f>IF(ISNUMBER(AG782),U782/AG782,"")</x:f>
      </x:c>
      <x:c r="AI782" s="3" t="str">
        <x:v>同年式・グレードの検証済み当時価格なし／登録年混在</x:v>
      </x:c>
      <x:c r="AJ782" s="3" t="str">
        <x:v>一覧価格/年式のみ</x:v>
      </x:c>
      <x:c r="AK782" s="3" t="str">
        <x:v>一覧の表示価格。年式は掲載年式。</x:v>
      </x:c>
      <x:c r="AL782" s="31" t="n">
        <x:f>IF(AND(J782&lt;='分析方法'!$B$7,OR(ISBLANK(O782),O782&gt;='分析方法'!$B$8),X782&lt;&gt;"売却済み表示"),1,0)</x:f>
        <x:v>1</x:v>
      </x:c>
      <x:c r="AM782" s="32" t="n">
        <x:f>IF(AL782=1,U782,"")</x:f>
        <x:v>399000</x:v>
      </x:c>
      <x:c r="AN782" s="33" t="str">
        <x:f>IF(AL782=1,AF782,"")</x:f>
      </x:c>
      <x:c r="AO782" s="31" t="n">
        <x:f>'分析方法'!$B$6-J782</x:f>
        <x:v>4</x:v>
      </x:c>
      <x:c r="AP782" s="3"/>
    </x:row>
    <x:row r="783" ht="22" customHeight="1">
      <x:c r="A783" s="3" t="str">
        <x:v>T2914480</x:v>
      </x:c>
      <x:c r="B783" s="7" t="d">
        <x:v>2026-10-08T00:00:00.000Z</x:v>
      </x:c>
      <x:c r="C783" s="3" t="str">
        <x:v>Taladrod</x:v>
      </x:c>
      <x:c r="D783" s="3" t="str">
        <x:v>Toyota</x:v>
      </x:c>
      <x:c r="E783" s="3" t="str">
        <x:v>日本</x:v>
      </x:c>
      <x:c r="F783" s="3" t="str">
        <x:v>Hilux Revo</x:v>
      </x:c>
      <x:c r="G783" s="3" t="str">
        <x:v>ICE</x:v>
      </x:c>
      <x:c r="H783" s="3" t="str">
        <x:v>Pickup</x:v>
      </x:c>
      <x:c r="I783" s="3" t="str">
        <x:v>Single cab</x:v>
      </x:c>
      <x:c r="J783" s="3" t="n">
        <x:v>2022</x:v>
      </x:c>
      <x:c r="K783" s="3" t="str">
        <x:v>2.4 ENTRY STANDARD CAB</x:v>
      </x:c>
      <x:c r="L783" s="3" t="str">
        <x:v>2.4 ENTRY STANDARD CAB</x:v>
      </x:c>
      <x:c r="M783" s="22"/>
      <x:c r="N783" s="22"/>
      <x:c r="O783" s="22"/>
      <x:c r="P783" s="3" t="str">
        <x:v>未掲載</x:v>
      </x:c>
      <x:c r="Q783" s="3" t="str">
        <x:v>未取得</x:v>
      </x:c>
      <x:c r="R783" s="3" t="str">
        <x:v>Unknown</x:v>
      </x:c>
      <x:c r="S783" s="3" t="str">
        <x:v>不明</x:v>
      </x:c>
      <x:c r="T783" s="3" t="str">
        <x:v>世代不明</x:v>
      </x:c>
      <x:c r="U783" s="28" t="n">
        <x:v>429000</x:v>
      </x:c>
      <x:c r="V783" s="28"/>
      <x:c r="W783" s="3" t="str">
        <x:v>事故・水没・SOH・保証残は未確認</x:v>
      </x:c>
      <x:c r="X783" s="3" t="str">
        <x:v>掲載中・在庫未確認</x:v>
      </x:c>
      <x:c r="Y783" s="3" t="str"/>
      <x:c r="Z783" s="27" t="str">
        <x:v>https://www.taladrod.com/w40/icar/cardet.aspx?cid=2914480</x:v>
      </x:c>
      <x:c r="AA783" s="3" t="str">
        <x:v>Taladrod個別広告ID／Carsome在庫ID</x:v>
      </x:c>
      <x:c r="AB783" s="3" t="str">
        <x:v>車台番号未取得／サイト間重複は未判定</x:v>
      </x:c>
      <x:c r="AC783" s="3" t="str">
        <x:v>税込区分未確認（一覧表示額）</x:v>
      </x:c>
      <x:c r="AD783" s="3" t="str"/>
      <x:c r="AE783" s="29" t="str">
        <x:f>""</x:f>
      </x:c>
      <x:c r="AF783" s="30" t="str">
        <x:f>IF(ISNUMBER(AE783),U783/AE783,"")</x:f>
      </x:c>
      <x:c r="AG783" s="29" t="str">
        <x:f>""</x:f>
      </x:c>
      <x:c r="AH783" s="30" t="str">
        <x:f>IF(ISNUMBER(AG783),U783/AG783,"")</x:f>
      </x:c>
      <x:c r="AI783" s="3" t="str">
        <x:v>同年式・グレードの検証済み当時価格なし／登録年混在</x:v>
      </x:c>
      <x:c r="AJ783" s="3" t="str">
        <x:v>一覧価格/年式のみ</x:v>
      </x:c>
      <x:c r="AK783" s="3" t="str">
        <x:v>一覧の表示価格。年式は掲載年式。</x:v>
      </x:c>
      <x:c r="AL783" s="31" t="n">
        <x:f>IF(AND(J783&lt;='分析方法'!$B$7,OR(ISBLANK(O783),O783&gt;='分析方法'!$B$8),X783&lt;&gt;"売却済み表示"),1,0)</x:f>
        <x:v>1</x:v>
      </x:c>
      <x:c r="AM783" s="32" t="n">
        <x:f>IF(AL783=1,U783,"")</x:f>
        <x:v>429000</x:v>
      </x:c>
      <x:c r="AN783" s="33" t="str">
        <x:f>IF(AL783=1,AF783,"")</x:f>
      </x:c>
      <x:c r="AO783" s="31" t="n">
        <x:f>'分析方法'!$B$6-J783</x:f>
        <x:v>4</x:v>
      </x:c>
      <x:c r="AP783" s="3"/>
    </x:row>
    <x:row r="784" ht="22" customHeight="1">
      <x:c r="A784" s="3" t="str">
        <x:v>T2914840</x:v>
      </x:c>
      <x:c r="B784" s="7" t="d">
        <x:v>2026-10-08T00:00:00.000Z</x:v>
      </x:c>
      <x:c r="C784" s="3" t="str">
        <x:v>Taladrod</x:v>
      </x:c>
      <x:c r="D784" s="3" t="str">
        <x:v>Toyota</x:v>
      </x:c>
      <x:c r="E784" s="3" t="str">
        <x:v>日本</x:v>
      </x:c>
      <x:c r="F784" s="3" t="str">
        <x:v>Hilux Revo</x:v>
      </x:c>
      <x:c r="G784" s="3" t="str">
        <x:v>ICE</x:v>
      </x:c>
      <x:c r="H784" s="3" t="str">
        <x:v>Pickup</x:v>
      </x:c>
      <x:c r="I784" s="3" t="str">
        <x:v>Single cab</x:v>
      </x:c>
      <x:c r="J784" s="3" t="n">
        <x:v>2022</x:v>
      </x:c>
      <x:c r="K784" s="3" t="str">
        <x:v>2.4 ENTRY STANDARD CAB</x:v>
      </x:c>
      <x:c r="L784" s="3" t="str">
        <x:v>2.4 ENTRY STANDARD CAB</x:v>
      </x:c>
      <x:c r="M784" s="22"/>
      <x:c r="N784" s="22"/>
      <x:c r="O784" s="22"/>
      <x:c r="P784" s="3" t="str">
        <x:v>未掲載</x:v>
      </x:c>
      <x:c r="Q784" s="3" t="str">
        <x:v>未取得</x:v>
      </x:c>
      <x:c r="R784" s="3" t="str">
        <x:v>Unknown</x:v>
      </x:c>
      <x:c r="S784" s="3" t="str">
        <x:v>不明</x:v>
      </x:c>
      <x:c r="T784" s="3" t="str">
        <x:v>世代不明</x:v>
      </x:c>
      <x:c r="U784" s="28" t="n">
        <x:v>339000</x:v>
      </x:c>
      <x:c r="V784" s="28"/>
      <x:c r="W784" s="3" t="str">
        <x:v>事故・水没・SOH・保証残は未確認</x:v>
      </x:c>
      <x:c r="X784" s="3" t="str">
        <x:v>掲載中・在庫未確認</x:v>
      </x:c>
      <x:c r="Y784" s="3" t="str"/>
      <x:c r="Z784" s="27" t="str">
        <x:v>https://www.taladrod.com/w40/icar/cardet.aspx?cid=2914840</x:v>
      </x:c>
      <x:c r="AA784" s="3" t="str">
        <x:v>Taladrod個別広告ID／Carsome在庫ID</x:v>
      </x:c>
      <x:c r="AB784" s="3" t="str">
        <x:v>車台番号未取得／サイト間重複は未判定</x:v>
      </x:c>
      <x:c r="AC784" s="3" t="str">
        <x:v>税込区分未確認（一覧表示額）</x:v>
      </x:c>
      <x:c r="AD784" s="3" t="str"/>
      <x:c r="AE784" s="29" t="str">
        <x:f>""</x:f>
      </x:c>
      <x:c r="AF784" s="30" t="str">
        <x:f>IF(ISNUMBER(AE784),U784/AE784,"")</x:f>
      </x:c>
      <x:c r="AG784" s="29" t="str">
        <x:f>""</x:f>
      </x:c>
      <x:c r="AH784" s="30" t="str">
        <x:f>IF(ISNUMBER(AG784),U784/AG784,"")</x:f>
      </x:c>
      <x:c r="AI784" s="3" t="str">
        <x:v>同年式・グレードの検証済み当時価格なし／登録年混在</x:v>
      </x:c>
      <x:c r="AJ784" s="3" t="str">
        <x:v>一覧価格/年式のみ</x:v>
      </x:c>
      <x:c r="AK784" s="3" t="str">
        <x:v>一覧の表示価格。年式は掲載年式。</x:v>
      </x:c>
      <x:c r="AL784" s="31" t="n">
        <x:f>IF(AND(J784&lt;='分析方法'!$B$7,OR(ISBLANK(O784),O784&gt;='分析方法'!$B$8),X784&lt;&gt;"売却済み表示"),1,0)</x:f>
        <x:v>1</x:v>
      </x:c>
      <x:c r="AM784" s="32" t="n">
        <x:f>IF(AL784=1,U784,"")</x:f>
        <x:v>339000</x:v>
      </x:c>
      <x:c r="AN784" s="33" t="str">
        <x:f>IF(AL784=1,AF784,"")</x:f>
      </x:c>
      <x:c r="AO784" s="31" t="n">
        <x:f>'分析方法'!$B$6-J784</x:f>
        <x:v>4</x:v>
      </x:c>
      <x:c r="AP784" s="3"/>
    </x:row>
    <x:row r="785" ht="22" customHeight="1">
      <x:c r="A785" s="3" t="str">
        <x:v>T2915019</x:v>
      </x:c>
      <x:c r="B785" s="7" t="d">
        <x:v>2026-10-08T00:00:00.000Z</x:v>
      </x:c>
      <x:c r="C785" s="3" t="str">
        <x:v>Taladrod</x:v>
      </x:c>
      <x:c r="D785" s="3" t="str">
        <x:v>Toyota</x:v>
      </x:c>
      <x:c r="E785" s="3" t="str">
        <x:v>日本</x:v>
      </x:c>
      <x:c r="F785" s="3" t="str">
        <x:v>Hilux Revo</x:v>
      </x:c>
      <x:c r="G785" s="3" t="str">
        <x:v>ICE</x:v>
      </x:c>
      <x:c r="H785" s="3" t="str">
        <x:v>Pickup</x:v>
      </x:c>
      <x:c r="I785" s="3" t="str">
        <x:v>Single cab</x:v>
      </x:c>
      <x:c r="J785" s="3" t="n">
        <x:v>2022</x:v>
      </x:c>
      <x:c r="K785" s="3" t="str">
        <x:v>2.4 ENTRY STANDARD CAB</x:v>
      </x:c>
      <x:c r="L785" s="3" t="str">
        <x:v>2.4 ENTRY STANDARD CAB</x:v>
      </x:c>
      <x:c r="M785" s="22"/>
      <x:c r="N785" s="22"/>
      <x:c r="O785" s="22"/>
      <x:c r="P785" s="3" t="str">
        <x:v>未掲載</x:v>
      </x:c>
      <x:c r="Q785" s="3" t="str">
        <x:v>未取得</x:v>
      </x:c>
      <x:c r="R785" s="3" t="str">
        <x:v>Unknown</x:v>
      </x:c>
      <x:c r="S785" s="3" t="str">
        <x:v>不明</x:v>
      </x:c>
      <x:c r="T785" s="3" t="str">
        <x:v>世代不明</x:v>
      </x:c>
      <x:c r="U785" s="28" t="n">
        <x:v>459000</x:v>
      </x:c>
      <x:c r="V785" s="28"/>
      <x:c r="W785" s="3" t="str">
        <x:v>事故・水没・SOH・保証残は未確認</x:v>
      </x:c>
      <x:c r="X785" s="3" t="str">
        <x:v>掲載中・在庫未確認</x:v>
      </x:c>
      <x:c r="Y785" s="3" t="str"/>
      <x:c r="Z785" s="27" t="str">
        <x:v>https://www.taladrod.com/w40/icar/cardet.aspx?cid=2915019</x:v>
      </x:c>
      <x:c r="AA785" s="3" t="str">
        <x:v>Taladrod個別広告ID／Carsome在庫ID</x:v>
      </x:c>
      <x:c r="AB785" s="3" t="str">
        <x:v>車台番号未取得／サイト間重複は未判定</x:v>
      </x:c>
      <x:c r="AC785" s="3" t="str">
        <x:v>税込区分未確認（一覧表示額）</x:v>
      </x:c>
      <x:c r="AD785" s="3" t="str"/>
      <x:c r="AE785" s="29" t="str">
        <x:f>""</x:f>
      </x:c>
      <x:c r="AF785" s="30" t="str">
        <x:f>IF(ISNUMBER(AE785),U785/AE785,"")</x:f>
      </x:c>
      <x:c r="AG785" s="29" t="str">
        <x:f>""</x:f>
      </x:c>
      <x:c r="AH785" s="30" t="str">
        <x:f>IF(ISNUMBER(AG785),U785/AG785,"")</x:f>
      </x:c>
      <x:c r="AI785" s="3" t="str">
        <x:v>同年式・グレードの検証済み当時価格なし／登録年混在</x:v>
      </x:c>
      <x:c r="AJ785" s="3" t="str">
        <x:v>一覧価格/年式のみ</x:v>
      </x:c>
      <x:c r="AK785" s="3" t="str">
        <x:v>一覧の表示価格。年式は掲載年式。</x:v>
      </x:c>
      <x:c r="AL785" s="31" t="n">
        <x:f>IF(AND(J785&lt;='分析方法'!$B$7,OR(ISBLANK(O785),O785&gt;='分析方法'!$B$8),X785&lt;&gt;"売却済み表示"),1,0)</x:f>
        <x:v>1</x:v>
      </x:c>
      <x:c r="AM785" s="32" t="n">
        <x:f>IF(AL785=1,U785,"")</x:f>
        <x:v>459000</x:v>
      </x:c>
      <x:c r="AN785" s="33" t="str">
        <x:f>IF(AL785=1,AF785,"")</x:f>
      </x:c>
      <x:c r="AO785" s="31" t="n">
        <x:f>'分析方法'!$B$6-J785</x:f>
        <x:v>4</x:v>
      </x:c>
      <x:c r="AP785" s="3"/>
    </x:row>
    <x:row r="786" ht="22" customHeight="1">
      <x:c r="A786" s="3" t="str">
        <x:v>T2922975</x:v>
      </x:c>
      <x:c r="B786" s="7" t="d">
        <x:v>2026-10-08T00:00:00.000Z</x:v>
      </x:c>
      <x:c r="C786" s="3" t="str">
        <x:v>Taladrod</x:v>
      </x:c>
      <x:c r="D786" s="3" t="str">
        <x:v>Toyota</x:v>
      </x:c>
      <x:c r="E786" s="3" t="str">
        <x:v>日本</x:v>
      </x:c>
      <x:c r="F786" s="3" t="str">
        <x:v>Hilux Revo</x:v>
      </x:c>
      <x:c r="G786" s="3" t="str">
        <x:v>ICE</x:v>
      </x:c>
      <x:c r="H786" s="3" t="str">
        <x:v>Pickup</x:v>
      </x:c>
      <x:c r="I786" s="3" t="str">
        <x:v>Single cab</x:v>
      </x:c>
      <x:c r="J786" s="3" t="n">
        <x:v>2022</x:v>
      </x:c>
      <x:c r="K786" s="3" t="str">
        <x:v>2.4 ENTRY STANDARD CAB</x:v>
      </x:c>
      <x:c r="L786" s="3" t="str">
        <x:v>2.4 ENTRY STANDARD CAB</x:v>
      </x:c>
      <x:c r="M786" s="22"/>
      <x:c r="N786" s="22"/>
      <x:c r="O786" s="22"/>
      <x:c r="P786" s="3" t="str">
        <x:v>未掲載</x:v>
      </x:c>
      <x:c r="Q786" s="3" t="str">
        <x:v>未取得</x:v>
      </x:c>
      <x:c r="R786" s="3" t="str">
        <x:v>Unknown</x:v>
      </x:c>
      <x:c r="S786" s="3" t="str">
        <x:v>不明</x:v>
      </x:c>
      <x:c r="T786" s="3" t="str">
        <x:v>世代不明</x:v>
      </x:c>
      <x:c r="U786" s="28" t="n">
        <x:v>400000</x:v>
      </x:c>
      <x:c r="V786" s="28"/>
      <x:c r="W786" s="3" t="str">
        <x:v>事故・水没・SOH・保証残は未確認</x:v>
      </x:c>
      <x:c r="X786" s="3" t="str">
        <x:v>掲載中・在庫未確認</x:v>
      </x:c>
      <x:c r="Y786" s="3" t="str"/>
      <x:c r="Z786" s="27" t="str">
        <x:v>https://www.taladrod.com/w40/icar/cardet.aspx?cid=2922975</x:v>
      </x:c>
      <x:c r="AA786" s="3" t="str">
        <x:v>Taladrod個別広告ID／Carsome在庫ID</x:v>
      </x:c>
      <x:c r="AB786" s="3" t="str">
        <x:v>車台番号未取得／サイト間重複は未判定</x:v>
      </x:c>
      <x:c r="AC786" s="3" t="str">
        <x:v>税込区分未確認（一覧表示額）</x:v>
      </x:c>
      <x:c r="AD786" s="3" t="str"/>
      <x:c r="AE786" s="29" t="str">
        <x:f>""</x:f>
      </x:c>
      <x:c r="AF786" s="30" t="str">
        <x:f>IF(ISNUMBER(AE786),U786/AE786,"")</x:f>
      </x:c>
      <x:c r="AG786" s="29" t="str">
        <x:f>""</x:f>
      </x:c>
      <x:c r="AH786" s="30" t="str">
        <x:f>IF(ISNUMBER(AG786),U786/AG786,"")</x:f>
      </x:c>
      <x:c r="AI786" s="3" t="str">
        <x:v>同年式・グレードの検証済み当時価格なし／登録年混在</x:v>
      </x:c>
      <x:c r="AJ786" s="3" t="str">
        <x:v>一覧価格/年式のみ</x:v>
      </x:c>
      <x:c r="AK786" s="3" t="str">
        <x:v>一覧の表示価格。年式は掲載年式。</x:v>
      </x:c>
      <x:c r="AL786" s="31" t="n">
        <x:f>IF(AND(J786&lt;='分析方法'!$B$7,OR(ISBLANK(O786),O786&gt;='分析方法'!$B$8),X786&lt;&gt;"売却済み表示"),1,0)</x:f>
        <x:v>1</x:v>
      </x:c>
      <x:c r="AM786" s="32" t="n">
        <x:f>IF(AL786=1,U786,"")</x:f>
        <x:v>400000</x:v>
      </x:c>
      <x:c r="AN786" s="33" t="str">
        <x:f>IF(AL786=1,AF786,"")</x:f>
      </x:c>
      <x:c r="AO786" s="31" t="n">
        <x:f>'分析方法'!$B$6-J786</x:f>
        <x:v>4</x:v>
      </x:c>
      <x:c r="AP786" s="3"/>
    </x:row>
    <x:row r="787" ht="22" customHeight="1">
      <x:c r="A787" s="3" t="str">
        <x:v>T2903650</x:v>
      </x:c>
      <x:c r="B787" s="7" t="d">
        <x:v>2026-10-08T00:00:00.000Z</x:v>
      </x:c>
      <x:c r="C787" s="3" t="str">
        <x:v>Taladrod</x:v>
      </x:c>
      <x:c r="D787" s="3" t="str">
        <x:v>Toyota</x:v>
      </x:c>
      <x:c r="E787" s="3" t="str">
        <x:v>日本</x:v>
      </x:c>
      <x:c r="F787" s="3" t="str">
        <x:v>Hilux Revo</x:v>
      </x:c>
      <x:c r="G787" s="3" t="str">
        <x:v>ICE</x:v>
      </x:c>
      <x:c r="H787" s="3" t="str">
        <x:v>Pickup</x:v>
      </x:c>
      <x:c r="I787" s="3" t="str">
        <x:v>Double cab</x:v>
      </x:c>
      <x:c r="J787" s="3" t="n">
        <x:v>2022</x:v>
      </x:c>
      <x:c r="K787" s="3" t="str">
        <x:v>2.4 ENTRY Z EDITION DOUBLE CAB</x:v>
      </x:c>
      <x:c r="L787" s="3" t="str">
        <x:v>2.4 ENTRY Z EDITION DOUBLE CAB</x:v>
      </x:c>
      <x:c r="M787" s="22"/>
      <x:c r="N787" s="22"/>
      <x:c r="O787" s="22"/>
      <x:c r="P787" s="3" t="str">
        <x:v>未掲載</x:v>
      </x:c>
      <x:c r="Q787" s="3" t="str">
        <x:v>未取得</x:v>
      </x:c>
      <x:c r="R787" s="3" t="str">
        <x:v>Unknown</x:v>
      </x:c>
      <x:c r="S787" s="3" t="str">
        <x:v>不明</x:v>
      </x:c>
      <x:c r="T787" s="3" t="str">
        <x:v>世代不明</x:v>
      </x:c>
      <x:c r="U787" s="28" t="n">
        <x:v>449000</x:v>
      </x:c>
      <x:c r="V787" s="28"/>
      <x:c r="W787" s="3" t="str">
        <x:v>事故・水没・SOH・保証残は未確認</x:v>
      </x:c>
      <x:c r="X787" s="3" t="str">
        <x:v>掲載中・在庫未確認</x:v>
      </x:c>
      <x:c r="Y787" s="3" t="str"/>
      <x:c r="Z787" s="27" t="str">
        <x:v>https://www.taladrod.com/w40/icar/cardet.aspx?cid=2903650</x:v>
      </x:c>
      <x:c r="AA787" s="3" t="str">
        <x:v>Taladrod個別広告ID／Carsome在庫ID</x:v>
      </x:c>
      <x:c r="AB787" s="3" t="str">
        <x:v>車台番号未取得／サイト間重複は未判定</x:v>
      </x:c>
      <x:c r="AC787" s="3" t="str">
        <x:v>税込区分未確認（一覧表示額）</x:v>
      </x:c>
      <x:c r="AD787" s="3" t="str"/>
      <x:c r="AE787" s="29" t="str">
        <x:f>""</x:f>
      </x:c>
      <x:c r="AF787" s="30" t="str">
        <x:f>IF(ISNUMBER(AE787),U787/AE787,"")</x:f>
      </x:c>
      <x:c r="AG787" s="29" t="str">
        <x:f>""</x:f>
      </x:c>
      <x:c r="AH787" s="30" t="str">
        <x:f>IF(ISNUMBER(AG787),U787/AG787,"")</x:f>
      </x:c>
      <x:c r="AI787" s="3" t="str">
        <x:v>同年式・グレードの検証済み当時価格なし／登録年混在</x:v>
      </x:c>
      <x:c r="AJ787" s="3" t="str">
        <x:v>一覧価格/年式のみ</x:v>
      </x:c>
      <x:c r="AK787" s="3" t="str">
        <x:v>一覧の表示価格。年式は掲載年式。</x:v>
      </x:c>
      <x:c r="AL787" s="31" t="n">
        <x:f>IF(AND(J787&lt;='分析方法'!$B$7,OR(ISBLANK(O787),O787&gt;='分析方法'!$B$8),X787&lt;&gt;"売却済み表示"),1,0)</x:f>
        <x:v>1</x:v>
      </x:c>
      <x:c r="AM787" s="32" t="n">
        <x:f>IF(AL787=1,U787,"")</x:f>
        <x:v>449000</x:v>
      </x:c>
      <x:c r="AN787" s="33" t="str">
        <x:f>IF(AL787=1,AF787,"")</x:f>
      </x:c>
      <x:c r="AO787" s="31" t="n">
        <x:f>'分析方法'!$B$6-J787</x:f>
        <x:v>4</x:v>
      </x:c>
      <x:c r="AP787" s="3"/>
    </x:row>
    <x:row r="788" ht="22" customHeight="1">
      <x:c r="A788" s="3" t="str">
        <x:v>T2922457</x:v>
      </x:c>
      <x:c r="B788" s="7" t="d">
        <x:v>2026-10-08T00:00:00.000Z</x:v>
      </x:c>
      <x:c r="C788" s="3" t="str">
        <x:v>Taladrod</x:v>
      </x:c>
      <x:c r="D788" s="3" t="str">
        <x:v>Toyota</x:v>
      </x:c>
      <x:c r="E788" s="3" t="str">
        <x:v>日本</x:v>
      </x:c>
      <x:c r="F788" s="3" t="str">
        <x:v>Hilux Revo</x:v>
      </x:c>
      <x:c r="G788" s="3" t="str">
        <x:v>ICE</x:v>
      </x:c>
      <x:c r="H788" s="3" t="str">
        <x:v>Pickup</x:v>
      </x:c>
      <x:c r="I788" s="3" t="str">
        <x:v>Double cab</x:v>
      </x:c>
      <x:c r="J788" s="3" t="n">
        <x:v>2022</x:v>
      </x:c>
      <x:c r="K788" s="3" t="str">
        <x:v>2.4 ENTRY Z EDITION DOUBLE CAB</x:v>
      </x:c>
      <x:c r="L788" s="3" t="str">
        <x:v>2.4 ENTRY Z EDITION DOUBLE CAB</x:v>
      </x:c>
      <x:c r="M788" s="22"/>
      <x:c r="N788" s="22"/>
      <x:c r="O788" s="22"/>
      <x:c r="P788" s="3" t="str">
        <x:v>未掲載</x:v>
      </x:c>
      <x:c r="Q788" s="3" t="str">
        <x:v>未取得</x:v>
      </x:c>
      <x:c r="R788" s="3" t="str">
        <x:v>Unknown</x:v>
      </x:c>
      <x:c r="S788" s="3" t="str">
        <x:v>不明</x:v>
      </x:c>
      <x:c r="T788" s="3" t="str">
        <x:v>世代不明</x:v>
      </x:c>
      <x:c r="U788" s="28" t="n">
        <x:v>399000</x:v>
      </x:c>
      <x:c r="V788" s="28"/>
      <x:c r="W788" s="3" t="str">
        <x:v>事故・水没・SOH・保証残は未確認</x:v>
      </x:c>
      <x:c r="X788" s="3" t="str">
        <x:v>掲載中・在庫未確認</x:v>
      </x:c>
      <x:c r="Y788" s="3" t="str"/>
      <x:c r="Z788" s="27" t="str">
        <x:v>https://www.taladrod.com/w40/icar/cardet.aspx?cid=2922457</x:v>
      </x:c>
      <x:c r="AA788" s="3" t="str">
        <x:v>Taladrod個別広告ID／Carsome在庫ID</x:v>
      </x:c>
      <x:c r="AB788" s="3" t="str">
        <x:v>車台番号未取得／サイト間重複は未判定</x:v>
      </x:c>
      <x:c r="AC788" s="3" t="str">
        <x:v>税込区分未確認（一覧表示額）</x:v>
      </x:c>
      <x:c r="AD788" s="3" t="str"/>
      <x:c r="AE788" s="29" t="str">
        <x:f>""</x:f>
      </x:c>
      <x:c r="AF788" s="30" t="str">
        <x:f>IF(ISNUMBER(AE788),U788/AE788,"")</x:f>
      </x:c>
      <x:c r="AG788" s="29" t="str">
        <x:f>""</x:f>
      </x:c>
      <x:c r="AH788" s="30" t="str">
        <x:f>IF(ISNUMBER(AG788),U788/AG788,"")</x:f>
      </x:c>
      <x:c r="AI788" s="3" t="str">
        <x:v>同年式・グレードの検証済み当時価格なし／登録年混在</x:v>
      </x:c>
      <x:c r="AJ788" s="3" t="str">
        <x:v>一覧価格/年式のみ</x:v>
      </x:c>
      <x:c r="AK788" s="3" t="str">
        <x:v>一覧の表示価格。年式は掲載年式。</x:v>
      </x:c>
      <x:c r="AL788" s="31" t="n">
        <x:f>IF(AND(J788&lt;='分析方法'!$B$7,OR(ISBLANK(O788),O788&gt;='分析方法'!$B$8),X788&lt;&gt;"売却済み表示"),1,0)</x:f>
        <x:v>1</x:v>
      </x:c>
      <x:c r="AM788" s="32" t="n">
        <x:f>IF(AL788=1,U788,"")</x:f>
        <x:v>399000</x:v>
      </x:c>
      <x:c r="AN788" s="33" t="str">
        <x:f>IF(AL788=1,AF788,"")</x:f>
      </x:c>
      <x:c r="AO788" s="31" t="n">
        <x:f>'分析方法'!$B$6-J788</x:f>
        <x:v>4</x:v>
      </x:c>
      <x:c r="AP788" s="3"/>
    </x:row>
    <x:row r="789" ht="22" customHeight="1">
      <x:c r="A789" s="3" t="str">
        <x:v>T2922459</x:v>
      </x:c>
      <x:c r="B789" s="7" t="d">
        <x:v>2026-10-08T00:00:00.000Z</x:v>
      </x:c>
      <x:c r="C789" s="3" t="str">
        <x:v>Taladrod</x:v>
      </x:c>
      <x:c r="D789" s="3" t="str">
        <x:v>Toyota</x:v>
      </x:c>
      <x:c r="E789" s="3" t="str">
        <x:v>日本</x:v>
      </x:c>
      <x:c r="F789" s="3" t="str">
        <x:v>Hilux Revo</x:v>
      </x:c>
      <x:c r="G789" s="3" t="str">
        <x:v>ICE</x:v>
      </x:c>
      <x:c r="H789" s="3" t="str">
        <x:v>Pickup</x:v>
      </x:c>
      <x:c r="I789" s="3" t="str">
        <x:v>Double cab</x:v>
      </x:c>
      <x:c r="J789" s="3" t="n">
        <x:v>2022</x:v>
      </x:c>
      <x:c r="K789" s="3" t="str">
        <x:v>2.4 ENTRY Z EDITION DOUBLE CAB</x:v>
      </x:c>
      <x:c r="L789" s="3" t="str">
        <x:v>2.4 ENTRY Z EDITION DOUBLE CAB</x:v>
      </x:c>
      <x:c r="M789" s="22"/>
      <x:c r="N789" s="22"/>
      <x:c r="O789" s="22"/>
      <x:c r="P789" s="3" t="str">
        <x:v>未掲載</x:v>
      </x:c>
      <x:c r="Q789" s="3" t="str">
        <x:v>未取得</x:v>
      </x:c>
      <x:c r="R789" s="3" t="str">
        <x:v>Unknown</x:v>
      </x:c>
      <x:c r="S789" s="3" t="str">
        <x:v>不明</x:v>
      </x:c>
      <x:c r="T789" s="3" t="str">
        <x:v>世代不明</x:v>
      </x:c>
      <x:c r="U789" s="28" t="n">
        <x:v>399000</x:v>
      </x:c>
      <x:c r="V789" s="28"/>
      <x:c r="W789" s="3" t="str">
        <x:v>事故・水没・SOH・保証残は未確認</x:v>
      </x:c>
      <x:c r="X789" s="3" t="str">
        <x:v>掲載中・在庫未確認</x:v>
      </x:c>
      <x:c r="Y789" s="3" t="str"/>
      <x:c r="Z789" s="27" t="str">
        <x:v>https://www.taladrod.com/w40/icar/cardet.aspx?cid=2922459</x:v>
      </x:c>
      <x:c r="AA789" s="3" t="str">
        <x:v>Taladrod個別広告ID／Carsome在庫ID</x:v>
      </x:c>
      <x:c r="AB789" s="3" t="str">
        <x:v>車台番号未取得／サイト間重複は未判定</x:v>
      </x:c>
      <x:c r="AC789" s="3" t="str">
        <x:v>税込区分未確認（一覧表示額）</x:v>
      </x:c>
      <x:c r="AD789" s="3" t="str"/>
      <x:c r="AE789" s="29" t="str">
        <x:f>""</x:f>
      </x:c>
      <x:c r="AF789" s="30" t="str">
        <x:f>IF(ISNUMBER(AE789),U789/AE789,"")</x:f>
      </x:c>
      <x:c r="AG789" s="29" t="str">
        <x:f>""</x:f>
      </x:c>
      <x:c r="AH789" s="30" t="str">
        <x:f>IF(ISNUMBER(AG789),U789/AG789,"")</x:f>
      </x:c>
      <x:c r="AI789" s="3" t="str">
        <x:v>同年式・グレードの検証済み当時価格なし／登録年混在</x:v>
      </x:c>
      <x:c r="AJ789" s="3" t="str">
        <x:v>一覧価格/年式のみ</x:v>
      </x:c>
      <x:c r="AK789" s="3" t="str">
        <x:v>一覧の表示価格。年式は掲載年式。</x:v>
      </x:c>
      <x:c r="AL789" s="31" t="n">
        <x:f>IF(AND(J789&lt;='分析方法'!$B$7,OR(ISBLANK(O789),O789&gt;='分析方法'!$B$8),X789&lt;&gt;"売却済み表示"),1,0)</x:f>
        <x:v>1</x:v>
      </x:c>
      <x:c r="AM789" s="32" t="n">
        <x:f>IF(AL789=1,U789,"")</x:f>
        <x:v>399000</x:v>
      </x:c>
      <x:c r="AN789" s="33" t="str">
        <x:f>IF(AL789=1,AF789,"")</x:f>
      </x:c>
      <x:c r="AO789" s="31" t="n">
        <x:f>'分析方法'!$B$6-J789</x:f>
        <x:v>4</x:v>
      </x:c>
      <x:c r="AP789" s="3"/>
    </x:row>
    <x:row r="790" ht="22" customHeight="1">
      <x:c r="A790" s="3" t="str">
        <x:v>T2924362</x:v>
      </x:c>
      <x:c r="B790" s="7" t="d">
        <x:v>2026-10-08T00:00:00.000Z</x:v>
      </x:c>
      <x:c r="C790" s="3" t="str">
        <x:v>Taladrod</x:v>
      </x:c>
      <x:c r="D790" s="3" t="str">
        <x:v>Toyota</x:v>
      </x:c>
      <x:c r="E790" s="3" t="str">
        <x:v>日本</x:v>
      </x:c>
      <x:c r="F790" s="3" t="str">
        <x:v>Hilux Revo</x:v>
      </x:c>
      <x:c r="G790" s="3" t="str">
        <x:v>ICE</x:v>
      </x:c>
      <x:c r="H790" s="3" t="str">
        <x:v>Pickup</x:v>
      </x:c>
      <x:c r="I790" s="3" t="str">
        <x:v>Double cab</x:v>
      </x:c>
      <x:c r="J790" s="3" t="n">
        <x:v>2022</x:v>
      </x:c>
      <x:c r="K790" s="3" t="str">
        <x:v>2.4 ENTRY Z EDITION DOUBLE CAB</x:v>
      </x:c>
      <x:c r="L790" s="3" t="str">
        <x:v>2.4 ENTRY Z EDITION DOUBLE CAB</x:v>
      </x:c>
      <x:c r="M790" s="22"/>
      <x:c r="N790" s="22"/>
      <x:c r="O790" s="22"/>
      <x:c r="P790" s="3" t="str">
        <x:v>未掲載</x:v>
      </x:c>
      <x:c r="Q790" s="3" t="str">
        <x:v>未取得</x:v>
      </x:c>
      <x:c r="R790" s="3" t="str">
        <x:v>Unknown</x:v>
      </x:c>
      <x:c r="S790" s="3" t="str">
        <x:v>不明</x:v>
      </x:c>
      <x:c r="T790" s="3" t="str">
        <x:v>世代不明</x:v>
      </x:c>
      <x:c r="U790" s="28" t="n">
        <x:v>485000</x:v>
      </x:c>
      <x:c r="V790" s="28"/>
      <x:c r="W790" s="3" t="str">
        <x:v>事故・水没・SOH・保証残は未確認</x:v>
      </x:c>
      <x:c r="X790" s="3" t="str">
        <x:v>掲載中・在庫未確認</x:v>
      </x:c>
      <x:c r="Y790" s="3" t="str"/>
      <x:c r="Z790" s="27" t="str">
        <x:v>https://www.taladrod.com/w40/icar/cardet.aspx?cid=2924362</x:v>
      </x:c>
      <x:c r="AA790" s="3" t="str">
        <x:v>Taladrod個別広告ID／Carsome在庫ID</x:v>
      </x:c>
      <x:c r="AB790" s="3" t="str">
        <x:v>車台番号未取得／サイト間重複は未判定</x:v>
      </x:c>
      <x:c r="AC790" s="3" t="str">
        <x:v>税込区分未確認（一覧表示額）</x:v>
      </x:c>
      <x:c r="AD790" s="3" t="str"/>
      <x:c r="AE790" s="29" t="str">
        <x:f>""</x:f>
      </x:c>
      <x:c r="AF790" s="30" t="str">
        <x:f>IF(ISNUMBER(AE790),U790/AE790,"")</x:f>
      </x:c>
      <x:c r="AG790" s="29" t="str">
        <x:f>""</x:f>
      </x:c>
      <x:c r="AH790" s="30" t="str">
        <x:f>IF(ISNUMBER(AG790),U790/AG790,"")</x:f>
      </x:c>
      <x:c r="AI790" s="3" t="str">
        <x:v>同年式・グレードの検証済み当時価格なし／登録年混在</x:v>
      </x:c>
      <x:c r="AJ790" s="3" t="str">
        <x:v>一覧価格/年式のみ</x:v>
      </x:c>
      <x:c r="AK790" s="3" t="str">
        <x:v>一覧の表示価格。年式は掲載年式。</x:v>
      </x:c>
      <x:c r="AL790" s="31" t="n">
        <x:f>IF(AND(J790&lt;='分析方法'!$B$7,OR(ISBLANK(O790),O790&gt;='分析方法'!$B$8),X790&lt;&gt;"売却済み表示"),1,0)</x:f>
        <x:v>1</x:v>
      </x:c>
      <x:c r="AM790" s="32" t="n">
        <x:f>IF(AL790=1,U790,"")</x:f>
        <x:v>485000</x:v>
      </x:c>
      <x:c r="AN790" s="33" t="str">
        <x:f>IF(AL790=1,AF790,"")</x:f>
      </x:c>
      <x:c r="AO790" s="31" t="n">
        <x:f>'分析方法'!$B$6-J790</x:f>
        <x:v>4</x:v>
      </x:c>
      <x:c r="AP790" s="3"/>
    </x:row>
    <x:row r="791" ht="22" customHeight="1">
      <x:c r="A791" s="3" t="str">
        <x:v>T2888893</x:v>
      </x:c>
      <x:c r="B791" s="7" t="d">
        <x:v>2026-10-08T00:00:00.000Z</x:v>
      </x:c>
      <x:c r="C791" s="3" t="str">
        <x:v>Taladrod</x:v>
      </x:c>
      <x:c r="D791" s="3" t="str">
        <x:v>Toyota</x:v>
      </x:c>
      <x:c r="E791" s="3" t="str">
        <x:v>日本</x:v>
      </x:c>
      <x:c r="F791" s="3" t="str">
        <x:v>Hilux Revo</x:v>
      </x:c>
      <x:c r="G791" s="3" t="str">
        <x:v>ICE</x:v>
      </x:c>
      <x:c r="H791" s="3" t="str">
        <x:v>Pickup</x:v>
      </x:c>
      <x:c r="I791" s="3" t="str">
        <x:v>Smart cab</x:v>
      </x:c>
      <x:c r="J791" s="3" t="n">
        <x:v>2022</x:v>
      </x:c>
      <x:c r="K791" s="3" t="str">
        <x:v>2.4 ENTRY Z EDITION SMART CAB</x:v>
      </x:c>
      <x:c r="L791" s="3" t="str">
        <x:v>2.4 ENTRY Z EDITION SMART CAB</x:v>
      </x:c>
      <x:c r="M791" s="22"/>
      <x:c r="N791" s="22"/>
      <x:c r="O791" s="22"/>
      <x:c r="P791" s="3" t="str">
        <x:v>未掲載</x:v>
      </x:c>
      <x:c r="Q791" s="3" t="str">
        <x:v>未取得</x:v>
      </x:c>
      <x:c r="R791" s="3" t="str">
        <x:v>Unknown</x:v>
      </x:c>
      <x:c r="S791" s="3" t="str">
        <x:v>不明</x:v>
      </x:c>
      <x:c r="T791" s="3" t="str">
        <x:v>世代不明</x:v>
      </x:c>
      <x:c r="U791" s="28" t="n">
        <x:v>374000</x:v>
      </x:c>
      <x:c r="V791" s="28"/>
      <x:c r="W791" s="3" t="str">
        <x:v>事故・水没・SOH・保証残は未確認</x:v>
      </x:c>
      <x:c r="X791" s="3" t="str">
        <x:v>掲載中・在庫未確認</x:v>
      </x:c>
      <x:c r="Y791" s="3" t="str"/>
      <x:c r="Z791" s="27" t="str">
        <x:v>https://www.taladrod.com/w40/icar/cardet.aspx?cid=2888893</x:v>
      </x:c>
      <x:c r="AA791" s="3" t="str">
        <x:v>Taladrod個別広告ID／Carsome在庫ID</x:v>
      </x:c>
      <x:c r="AB791" s="3" t="str">
        <x:v>車台番号未取得／サイト間重複は未判定</x:v>
      </x:c>
      <x:c r="AC791" s="3" t="str">
        <x:v>税込区分未確認（一覧表示額）</x:v>
      </x:c>
      <x:c r="AD791" s="3" t="str"/>
      <x:c r="AE791" s="29" t="str">
        <x:f>""</x:f>
      </x:c>
      <x:c r="AF791" s="30" t="str">
        <x:f>IF(ISNUMBER(AE791),U791/AE791,"")</x:f>
      </x:c>
      <x:c r="AG791" s="29" t="str">
        <x:f>""</x:f>
      </x:c>
      <x:c r="AH791" s="30" t="str">
        <x:f>IF(ISNUMBER(AG791),U791/AG791,"")</x:f>
      </x:c>
      <x:c r="AI791" s="3" t="str">
        <x:v>同年式・グレードの検証済み当時価格なし／登録年混在</x:v>
      </x:c>
      <x:c r="AJ791" s="3" t="str">
        <x:v>一覧価格/年式のみ</x:v>
      </x:c>
      <x:c r="AK791" s="3" t="str">
        <x:v>一覧の表示価格。年式は掲載年式。</x:v>
      </x:c>
      <x:c r="AL791" s="31" t="n">
        <x:f>IF(AND(J791&lt;='分析方法'!$B$7,OR(ISBLANK(O791),O791&gt;='分析方法'!$B$8),X791&lt;&gt;"売却済み表示"),1,0)</x:f>
        <x:v>1</x:v>
      </x:c>
      <x:c r="AM791" s="32" t="n">
        <x:f>IF(AL791=1,U791,"")</x:f>
        <x:v>374000</x:v>
      </x:c>
      <x:c r="AN791" s="33" t="str">
        <x:f>IF(AL791=1,AF791,"")</x:f>
      </x:c>
      <x:c r="AO791" s="31" t="n">
        <x:f>'分析方法'!$B$6-J791</x:f>
        <x:v>4</x:v>
      </x:c>
      <x:c r="AP791" s="3"/>
    </x:row>
    <x:row r="792" ht="22" customHeight="1">
      <x:c r="A792" s="3" t="str">
        <x:v>T2890794</x:v>
      </x:c>
      <x:c r="B792" s="7" t="d">
        <x:v>2026-10-08T00:00:00.000Z</x:v>
      </x:c>
      <x:c r="C792" s="3" t="str">
        <x:v>Taladrod</x:v>
      </x:c>
      <x:c r="D792" s="3" t="str">
        <x:v>Toyota</x:v>
      </x:c>
      <x:c r="E792" s="3" t="str">
        <x:v>日本</x:v>
      </x:c>
      <x:c r="F792" s="3" t="str">
        <x:v>Hilux Revo</x:v>
      </x:c>
      <x:c r="G792" s="3" t="str">
        <x:v>ICE</x:v>
      </x:c>
      <x:c r="H792" s="3" t="str">
        <x:v>Pickup</x:v>
      </x:c>
      <x:c r="I792" s="3" t="str">
        <x:v>Smart cab</x:v>
      </x:c>
      <x:c r="J792" s="3" t="n">
        <x:v>2022</x:v>
      </x:c>
      <x:c r="K792" s="3" t="str">
        <x:v>2.4 ENTRY Z EDITION SMART CAB</x:v>
      </x:c>
      <x:c r="L792" s="3" t="str">
        <x:v>2.4 ENTRY Z EDITION SMART CAB</x:v>
      </x:c>
      <x:c r="M792" s="22"/>
      <x:c r="N792" s="22"/>
      <x:c r="O792" s="22"/>
      <x:c r="P792" s="3" t="str">
        <x:v>未掲載</x:v>
      </x:c>
      <x:c r="Q792" s="3" t="str">
        <x:v>未取得</x:v>
      </x:c>
      <x:c r="R792" s="3" t="str">
        <x:v>Unknown</x:v>
      </x:c>
      <x:c r="S792" s="3" t="str">
        <x:v>不明</x:v>
      </x:c>
      <x:c r="T792" s="3" t="str">
        <x:v>世代不明</x:v>
      </x:c>
      <x:c r="U792" s="28" t="n">
        <x:v>379000</x:v>
      </x:c>
      <x:c r="V792" s="28"/>
      <x:c r="W792" s="3" t="str">
        <x:v>事故・水没・SOH・保証残は未確認</x:v>
      </x:c>
      <x:c r="X792" s="3" t="str">
        <x:v>掲載中・在庫未確認</x:v>
      </x:c>
      <x:c r="Y792" s="3" t="str"/>
      <x:c r="Z792" s="27" t="str">
        <x:v>https://www.taladrod.com/w40/icar/cardet.aspx?cid=2890794</x:v>
      </x:c>
      <x:c r="AA792" s="3" t="str">
        <x:v>Taladrod個別広告ID／Carsome在庫ID</x:v>
      </x:c>
      <x:c r="AB792" s="3" t="str">
        <x:v>車台番号未取得／サイト間重複は未判定</x:v>
      </x:c>
      <x:c r="AC792" s="3" t="str">
        <x:v>税込区分未確認（一覧表示額）</x:v>
      </x:c>
      <x:c r="AD792" s="3" t="str"/>
      <x:c r="AE792" s="29" t="str">
        <x:f>""</x:f>
      </x:c>
      <x:c r="AF792" s="30" t="str">
        <x:f>IF(ISNUMBER(AE792),U792/AE792,"")</x:f>
      </x:c>
      <x:c r="AG792" s="29" t="str">
        <x:f>""</x:f>
      </x:c>
      <x:c r="AH792" s="30" t="str">
        <x:f>IF(ISNUMBER(AG792),U792/AG792,"")</x:f>
      </x:c>
      <x:c r="AI792" s="3" t="str">
        <x:v>同年式・グレードの検証済み当時価格なし／登録年混在</x:v>
      </x:c>
      <x:c r="AJ792" s="3" t="str">
        <x:v>一覧価格/年式のみ</x:v>
      </x:c>
      <x:c r="AK792" s="3" t="str">
        <x:v>一覧の表示価格。年式は掲載年式。</x:v>
      </x:c>
      <x:c r="AL792" s="31" t="n">
        <x:f>IF(AND(J792&lt;='分析方法'!$B$7,OR(ISBLANK(O792),O792&gt;='分析方法'!$B$8),X792&lt;&gt;"売却済み表示"),1,0)</x:f>
        <x:v>1</x:v>
      </x:c>
      <x:c r="AM792" s="32" t="n">
        <x:f>IF(AL792=1,U792,"")</x:f>
        <x:v>379000</x:v>
      </x:c>
      <x:c r="AN792" s="33" t="str">
        <x:f>IF(AL792=1,AF792,"")</x:f>
      </x:c>
      <x:c r="AO792" s="31" t="n">
        <x:f>'分析方法'!$B$6-J792</x:f>
        <x:v>4</x:v>
      </x:c>
      <x:c r="AP792" s="3"/>
    </x:row>
    <x:row r="793" ht="22" customHeight="1">
      <x:c r="A793" s="3" t="str">
        <x:v>T2898898</x:v>
      </x:c>
      <x:c r="B793" s="7" t="d">
        <x:v>2026-10-08T00:00:00.000Z</x:v>
      </x:c>
      <x:c r="C793" s="3" t="str">
        <x:v>Taladrod</x:v>
      </x:c>
      <x:c r="D793" s="3" t="str">
        <x:v>Toyota</x:v>
      </x:c>
      <x:c r="E793" s="3" t="str">
        <x:v>日本</x:v>
      </x:c>
      <x:c r="F793" s="3" t="str">
        <x:v>Hilux Revo</x:v>
      </x:c>
      <x:c r="G793" s="3" t="str">
        <x:v>ICE</x:v>
      </x:c>
      <x:c r="H793" s="3" t="str">
        <x:v>Pickup</x:v>
      </x:c>
      <x:c r="I793" s="3" t="str">
        <x:v>Smart cab</x:v>
      </x:c>
      <x:c r="J793" s="3" t="n">
        <x:v>2022</x:v>
      </x:c>
      <x:c r="K793" s="3" t="str">
        <x:v>2.4 ENTRY Z EDITION SMART CAB</x:v>
      </x:c>
      <x:c r="L793" s="3" t="str">
        <x:v>2.4 ENTRY Z EDITION SMART CAB</x:v>
      </x:c>
      <x:c r="M793" s="22"/>
      <x:c r="N793" s="22"/>
      <x:c r="O793" s="22"/>
      <x:c r="P793" s="3" t="str">
        <x:v>未掲載</x:v>
      </x:c>
      <x:c r="Q793" s="3" t="str">
        <x:v>未取得</x:v>
      </x:c>
      <x:c r="R793" s="3" t="str">
        <x:v>Unknown</x:v>
      </x:c>
      <x:c r="S793" s="3" t="str">
        <x:v>不明</x:v>
      </x:c>
      <x:c r="T793" s="3" t="str">
        <x:v>世代不明</x:v>
      </x:c>
      <x:c r="U793" s="28" t="n">
        <x:v>409000</x:v>
      </x:c>
      <x:c r="V793" s="28"/>
      <x:c r="W793" s="3" t="str">
        <x:v>事故・水没・SOH・保証残は未確認</x:v>
      </x:c>
      <x:c r="X793" s="3" t="str">
        <x:v>掲載中・在庫未確認</x:v>
      </x:c>
      <x:c r="Y793" s="3" t="str"/>
      <x:c r="Z793" s="27" t="str">
        <x:v>https://www.taladrod.com/w40/icar/cardet.aspx?cid=2898898</x:v>
      </x:c>
      <x:c r="AA793" s="3" t="str">
        <x:v>Taladrod個別広告ID／Carsome在庫ID</x:v>
      </x:c>
      <x:c r="AB793" s="3" t="str">
        <x:v>車台番号未取得／サイト間重複は未判定</x:v>
      </x:c>
      <x:c r="AC793" s="3" t="str">
        <x:v>税込区分未確認（一覧表示額）</x:v>
      </x:c>
      <x:c r="AD793" s="3" t="str"/>
      <x:c r="AE793" s="29" t="str">
        <x:f>""</x:f>
      </x:c>
      <x:c r="AF793" s="30" t="str">
        <x:f>IF(ISNUMBER(AE793),U793/AE793,"")</x:f>
      </x:c>
      <x:c r="AG793" s="29" t="str">
        <x:f>""</x:f>
      </x:c>
      <x:c r="AH793" s="30" t="str">
        <x:f>IF(ISNUMBER(AG793),U793/AG793,"")</x:f>
      </x:c>
      <x:c r="AI793" s="3" t="str">
        <x:v>同年式・グレードの検証済み当時価格なし／登録年混在</x:v>
      </x:c>
      <x:c r="AJ793" s="3" t="str">
        <x:v>一覧価格/年式のみ</x:v>
      </x:c>
      <x:c r="AK793" s="3" t="str">
        <x:v>一覧の表示価格。年式は掲載年式。</x:v>
      </x:c>
      <x:c r="AL793" s="31" t="n">
        <x:f>IF(AND(J793&lt;='分析方法'!$B$7,OR(ISBLANK(O793),O793&gt;='分析方法'!$B$8),X793&lt;&gt;"売却済み表示"),1,0)</x:f>
        <x:v>1</x:v>
      </x:c>
      <x:c r="AM793" s="32" t="n">
        <x:f>IF(AL793=1,U793,"")</x:f>
        <x:v>409000</x:v>
      </x:c>
      <x:c r="AN793" s="33" t="str">
        <x:f>IF(AL793=1,AF793,"")</x:f>
      </x:c>
      <x:c r="AO793" s="31" t="n">
        <x:f>'分析方法'!$B$6-J793</x:f>
        <x:v>4</x:v>
      </x:c>
      <x:c r="AP793" s="3"/>
    </x:row>
    <x:row r="794" ht="22" customHeight="1">
      <x:c r="A794" s="3" t="str">
        <x:v>T2901110</x:v>
      </x:c>
      <x:c r="B794" s="7" t="d">
        <x:v>2026-10-08T00:00:00.000Z</x:v>
      </x:c>
      <x:c r="C794" s="3" t="str">
        <x:v>Taladrod</x:v>
      </x:c>
      <x:c r="D794" s="3" t="str">
        <x:v>Toyota</x:v>
      </x:c>
      <x:c r="E794" s="3" t="str">
        <x:v>日本</x:v>
      </x:c>
      <x:c r="F794" s="3" t="str">
        <x:v>Hilux Revo</x:v>
      </x:c>
      <x:c r="G794" s="3" t="str">
        <x:v>ICE</x:v>
      </x:c>
      <x:c r="H794" s="3" t="str">
        <x:v>Pickup</x:v>
      </x:c>
      <x:c r="I794" s="3" t="str">
        <x:v>Smart cab</x:v>
      </x:c>
      <x:c r="J794" s="3" t="n">
        <x:v>2022</x:v>
      </x:c>
      <x:c r="K794" s="3" t="str">
        <x:v>2.4 ENTRY Z EDITION SMART CAB</x:v>
      </x:c>
      <x:c r="L794" s="3" t="str">
        <x:v>2.4 ENTRY Z EDITION SMART CAB</x:v>
      </x:c>
      <x:c r="M794" s="22"/>
      <x:c r="N794" s="22"/>
      <x:c r="O794" s="22"/>
      <x:c r="P794" s="3" t="str">
        <x:v>未掲載</x:v>
      </x:c>
      <x:c r="Q794" s="3" t="str">
        <x:v>未取得</x:v>
      </x:c>
      <x:c r="R794" s="3" t="str">
        <x:v>Unknown</x:v>
      </x:c>
      <x:c r="S794" s="3" t="str">
        <x:v>不明</x:v>
      </x:c>
      <x:c r="T794" s="3" t="str">
        <x:v>世代不明</x:v>
      </x:c>
      <x:c r="U794" s="28" t="n">
        <x:v>379000</x:v>
      </x:c>
      <x:c r="V794" s="28"/>
      <x:c r="W794" s="3" t="str">
        <x:v>事故・水没・SOH・保証残は未確認</x:v>
      </x:c>
      <x:c r="X794" s="3" t="str">
        <x:v>掲載中・在庫未確認</x:v>
      </x:c>
      <x:c r="Y794" s="3" t="str"/>
      <x:c r="Z794" s="27" t="str">
        <x:v>https://www.taladrod.com/w40/icar/cardet.aspx?cid=2901110</x:v>
      </x:c>
      <x:c r="AA794" s="3" t="str">
        <x:v>Taladrod個別広告ID／Carsome在庫ID</x:v>
      </x:c>
      <x:c r="AB794" s="3" t="str">
        <x:v>車台番号未取得／サイト間重複は未判定</x:v>
      </x:c>
      <x:c r="AC794" s="3" t="str">
        <x:v>税込区分未確認（一覧表示額）</x:v>
      </x:c>
      <x:c r="AD794" s="3" t="str"/>
      <x:c r="AE794" s="29" t="str">
        <x:f>""</x:f>
      </x:c>
      <x:c r="AF794" s="30" t="str">
        <x:f>IF(ISNUMBER(AE794),U794/AE794,"")</x:f>
      </x:c>
      <x:c r="AG794" s="29" t="str">
        <x:f>""</x:f>
      </x:c>
      <x:c r="AH794" s="30" t="str">
        <x:f>IF(ISNUMBER(AG794),U794/AG794,"")</x:f>
      </x:c>
      <x:c r="AI794" s="3" t="str">
        <x:v>同年式・グレードの検証済み当時価格なし／登録年混在</x:v>
      </x:c>
      <x:c r="AJ794" s="3" t="str">
        <x:v>一覧価格/年式のみ</x:v>
      </x:c>
      <x:c r="AK794" s="3" t="str">
        <x:v>一覧の表示価格。年式は掲載年式。</x:v>
      </x:c>
      <x:c r="AL794" s="31" t="n">
        <x:f>IF(AND(J794&lt;='分析方法'!$B$7,OR(ISBLANK(O794),O794&gt;='分析方法'!$B$8),X794&lt;&gt;"売却済み表示"),1,0)</x:f>
        <x:v>1</x:v>
      </x:c>
      <x:c r="AM794" s="32" t="n">
        <x:f>IF(AL794=1,U794,"")</x:f>
        <x:v>379000</x:v>
      </x:c>
      <x:c r="AN794" s="33" t="str">
        <x:f>IF(AL794=1,AF794,"")</x:f>
      </x:c>
      <x:c r="AO794" s="31" t="n">
        <x:f>'分析方法'!$B$6-J794</x:f>
        <x:v>4</x:v>
      </x:c>
      <x:c r="AP794" s="3"/>
    </x:row>
    <x:row r="795" ht="22" customHeight="1">
      <x:c r="A795" s="3" t="str">
        <x:v>T2902284</x:v>
      </x:c>
      <x:c r="B795" s="7" t="d">
        <x:v>2026-10-08T00:00:00.000Z</x:v>
      </x:c>
      <x:c r="C795" s="3" t="str">
        <x:v>Taladrod</x:v>
      </x:c>
      <x:c r="D795" s="3" t="str">
        <x:v>Toyota</x:v>
      </x:c>
      <x:c r="E795" s="3" t="str">
        <x:v>日本</x:v>
      </x:c>
      <x:c r="F795" s="3" t="str">
        <x:v>Hilux Revo</x:v>
      </x:c>
      <x:c r="G795" s="3" t="str">
        <x:v>ICE</x:v>
      </x:c>
      <x:c r="H795" s="3" t="str">
        <x:v>Pickup</x:v>
      </x:c>
      <x:c r="I795" s="3" t="str">
        <x:v>Smart cab</x:v>
      </x:c>
      <x:c r="J795" s="3" t="n">
        <x:v>2022</x:v>
      </x:c>
      <x:c r="K795" s="3" t="str">
        <x:v>2.4 ENTRY Z EDITION SMART CAB</x:v>
      </x:c>
      <x:c r="L795" s="3" t="str">
        <x:v>2.4 ENTRY Z EDITION SMART CAB</x:v>
      </x:c>
      <x:c r="M795" s="22"/>
      <x:c r="N795" s="22"/>
      <x:c r="O795" s="22"/>
      <x:c r="P795" s="3" t="str">
        <x:v>未掲載</x:v>
      </x:c>
      <x:c r="Q795" s="3" t="str">
        <x:v>未取得</x:v>
      </x:c>
      <x:c r="R795" s="3" t="str">
        <x:v>Unknown</x:v>
      </x:c>
      <x:c r="S795" s="3" t="str">
        <x:v>不明</x:v>
      </x:c>
      <x:c r="T795" s="3" t="str">
        <x:v>世代不明</x:v>
      </x:c>
      <x:c r="U795" s="28" t="n">
        <x:v>389000</x:v>
      </x:c>
      <x:c r="V795" s="28"/>
      <x:c r="W795" s="3" t="str">
        <x:v>事故・水没・SOH・保証残は未確認</x:v>
      </x:c>
      <x:c r="X795" s="3" t="str">
        <x:v>掲載中・在庫未確認</x:v>
      </x:c>
      <x:c r="Y795" s="3" t="str"/>
      <x:c r="Z795" s="27" t="str">
        <x:v>https://www.taladrod.com/w40/icar/cardet.aspx?cid=2902284</x:v>
      </x:c>
      <x:c r="AA795" s="3" t="str">
        <x:v>Taladrod個別広告ID／Carsome在庫ID</x:v>
      </x:c>
      <x:c r="AB795" s="3" t="str">
        <x:v>車台番号未取得／サイト間重複は未判定</x:v>
      </x:c>
      <x:c r="AC795" s="3" t="str">
        <x:v>税込区分未確認（一覧表示額）</x:v>
      </x:c>
      <x:c r="AD795" s="3" t="str"/>
      <x:c r="AE795" s="29" t="str">
        <x:f>""</x:f>
      </x:c>
      <x:c r="AF795" s="30" t="str">
        <x:f>IF(ISNUMBER(AE795),U795/AE795,"")</x:f>
      </x:c>
      <x:c r="AG795" s="29" t="str">
        <x:f>""</x:f>
      </x:c>
      <x:c r="AH795" s="30" t="str">
        <x:f>IF(ISNUMBER(AG795),U795/AG795,"")</x:f>
      </x:c>
      <x:c r="AI795" s="3" t="str">
        <x:v>同年式・グレードの検証済み当時価格なし／登録年混在</x:v>
      </x:c>
      <x:c r="AJ795" s="3" t="str">
        <x:v>一覧価格/年式のみ</x:v>
      </x:c>
      <x:c r="AK795" s="3" t="str">
        <x:v>一覧の表示価格。年式は掲載年式。</x:v>
      </x:c>
      <x:c r="AL795" s="31" t="n">
        <x:f>IF(AND(J795&lt;='分析方法'!$B$7,OR(ISBLANK(O795),O795&gt;='分析方法'!$B$8),X795&lt;&gt;"売却済み表示"),1,0)</x:f>
        <x:v>1</x:v>
      </x:c>
      <x:c r="AM795" s="32" t="n">
        <x:f>IF(AL795=1,U795,"")</x:f>
        <x:v>389000</x:v>
      </x:c>
      <x:c r="AN795" s="33" t="str">
        <x:f>IF(AL795=1,AF795,"")</x:f>
      </x:c>
      <x:c r="AO795" s="31" t="n">
        <x:f>'分析方法'!$B$6-J795</x:f>
        <x:v>4</x:v>
      </x:c>
      <x:c r="AP795" s="3"/>
    </x:row>
    <x:row r="796" ht="22" customHeight="1">
      <x:c r="A796" s="3" t="str">
        <x:v>T2906951</x:v>
      </x:c>
      <x:c r="B796" s="7" t="d">
        <x:v>2026-10-08T00:00:00.000Z</x:v>
      </x:c>
      <x:c r="C796" s="3" t="str">
        <x:v>Taladrod</x:v>
      </x:c>
      <x:c r="D796" s="3" t="str">
        <x:v>Toyota</x:v>
      </x:c>
      <x:c r="E796" s="3" t="str">
        <x:v>日本</x:v>
      </x:c>
      <x:c r="F796" s="3" t="str">
        <x:v>Hilux Revo</x:v>
      </x:c>
      <x:c r="G796" s="3" t="str">
        <x:v>ICE</x:v>
      </x:c>
      <x:c r="H796" s="3" t="str">
        <x:v>Pickup</x:v>
      </x:c>
      <x:c r="I796" s="3" t="str">
        <x:v>Smart cab</x:v>
      </x:c>
      <x:c r="J796" s="3" t="n">
        <x:v>2022</x:v>
      </x:c>
      <x:c r="K796" s="3" t="str">
        <x:v>2.4 ENTRY Z EDITION SMART CAB</x:v>
      </x:c>
      <x:c r="L796" s="3" t="str">
        <x:v>2.4 ENTRY Z EDITION SMART CAB</x:v>
      </x:c>
      <x:c r="M796" s="22"/>
      <x:c r="N796" s="22"/>
      <x:c r="O796" s="22"/>
      <x:c r="P796" s="3" t="str">
        <x:v>未掲載</x:v>
      </x:c>
      <x:c r="Q796" s="3" t="str">
        <x:v>未取得</x:v>
      </x:c>
      <x:c r="R796" s="3" t="str">
        <x:v>Unknown</x:v>
      </x:c>
      <x:c r="S796" s="3" t="str">
        <x:v>不明</x:v>
      </x:c>
      <x:c r="T796" s="3" t="str">
        <x:v>世代不明</x:v>
      </x:c>
      <x:c r="U796" s="28" t="n">
        <x:v>399000</x:v>
      </x:c>
      <x:c r="V796" s="28"/>
      <x:c r="W796" s="3" t="str">
        <x:v>事故・水没・SOH・保証残は未確認</x:v>
      </x:c>
      <x:c r="X796" s="3" t="str">
        <x:v>掲載中・在庫未確認</x:v>
      </x:c>
      <x:c r="Y796" s="3" t="str"/>
      <x:c r="Z796" s="27" t="str">
        <x:v>https://www.taladrod.com/w40/icar/cardet.aspx?cid=2906951</x:v>
      </x:c>
      <x:c r="AA796" s="3" t="str">
        <x:v>Taladrod個別広告ID／Carsome在庫ID</x:v>
      </x:c>
      <x:c r="AB796" s="3" t="str">
        <x:v>車台番号未取得／サイト間重複は未判定</x:v>
      </x:c>
      <x:c r="AC796" s="3" t="str">
        <x:v>税込区分未確認（一覧表示額）</x:v>
      </x:c>
      <x:c r="AD796" s="3" t="str"/>
      <x:c r="AE796" s="29" t="str">
        <x:f>""</x:f>
      </x:c>
      <x:c r="AF796" s="30" t="str">
        <x:f>IF(ISNUMBER(AE796),U796/AE796,"")</x:f>
      </x:c>
      <x:c r="AG796" s="29" t="str">
        <x:f>""</x:f>
      </x:c>
      <x:c r="AH796" s="30" t="str">
        <x:f>IF(ISNUMBER(AG796),U796/AG796,"")</x:f>
      </x:c>
      <x:c r="AI796" s="3" t="str">
        <x:v>同年式・グレードの検証済み当時価格なし／登録年混在</x:v>
      </x:c>
      <x:c r="AJ796" s="3" t="str">
        <x:v>一覧価格/年式のみ</x:v>
      </x:c>
      <x:c r="AK796" s="3" t="str">
        <x:v>一覧の表示価格。年式は掲載年式。</x:v>
      </x:c>
      <x:c r="AL796" s="31" t="n">
        <x:f>IF(AND(J796&lt;='分析方法'!$B$7,OR(ISBLANK(O796),O796&gt;='分析方法'!$B$8),X796&lt;&gt;"売却済み表示"),1,0)</x:f>
        <x:v>1</x:v>
      </x:c>
      <x:c r="AM796" s="32" t="n">
        <x:f>IF(AL796=1,U796,"")</x:f>
        <x:v>399000</x:v>
      </x:c>
      <x:c r="AN796" s="33" t="str">
        <x:f>IF(AL796=1,AF796,"")</x:f>
      </x:c>
      <x:c r="AO796" s="31" t="n">
        <x:f>'分析方法'!$B$6-J796</x:f>
        <x:v>4</x:v>
      </x:c>
      <x:c r="AP796" s="3"/>
    </x:row>
    <x:row r="797" ht="22" customHeight="1">
      <x:c r="A797" s="3" t="str">
        <x:v>T2910028</x:v>
      </x:c>
      <x:c r="B797" s="7" t="d">
        <x:v>2026-10-08T00:00:00.000Z</x:v>
      </x:c>
      <x:c r="C797" s="3" t="str">
        <x:v>Taladrod</x:v>
      </x:c>
      <x:c r="D797" s="3" t="str">
        <x:v>Toyota</x:v>
      </x:c>
      <x:c r="E797" s="3" t="str">
        <x:v>日本</x:v>
      </x:c>
      <x:c r="F797" s="3" t="str">
        <x:v>Hilux Revo</x:v>
      </x:c>
      <x:c r="G797" s="3" t="str">
        <x:v>ICE</x:v>
      </x:c>
      <x:c r="H797" s="3" t="str">
        <x:v>Pickup</x:v>
      </x:c>
      <x:c r="I797" s="3" t="str">
        <x:v>Smart cab</x:v>
      </x:c>
      <x:c r="J797" s="3" t="n">
        <x:v>2022</x:v>
      </x:c>
      <x:c r="K797" s="3" t="str">
        <x:v>2.4 ENTRY Z EDITION SMART CAB</x:v>
      </x:c>
      <x:c r="L797" s="3" t="str">
        <x:v>2.4 ENTRY Z EDITION SMART CAB</x:v>
      </x:c>
      <x:c r="M797" s="22"/>
      <x:c r="N797" s="22"/>
      <x:c r="O797" s="22"/>
      <x:c r="P797" s="3" t="str">
        <x:v>未掲載</x:v>
      </x:c>
      <x:c r="Q797" s="3" t="str">
        <x:v>未取得</x:v>
      </x:c>
      <x:c r="R797" s="3" t="str">
        <x:v>Unknown</x:v>
      </x:c>
      <x:c r="S797" s="3" t="str">
        <x:v>不明</x:v>
      </x:c>
      <x:c r="T797" s="3" t="str">
        <x:v>世代不明</x:v>
      </x:c>
      <x:c r="U797" s="28" t="n">
        <x:v>349000</x:v>
      </x:c>
      <x:c r="V797" s="28"/>
      <x:c r="W797" s="3" t="str">
        <x:v>事故・水没・SOH・保証残は未確認</x:v>
      </x:c>
      <x:c r="X797" s="3" t="str">
        <x:v>掲載中・在庫未確認</x:v>
      </x:c>
      <x:c r="Y797" s="3" t="str"/>
      <x:c r="Z797" s="27" t="str">
        <x:v>https://www.taladrod.com/w40/icar/cardet.aspx?cid=2910028</x:v>
      </x:c>
      <x:c r="AA797" s="3" t="str">
        <x:v>Taladrod個別広告ID／Carsome在庫ID</x:v>
      </x:c>
      <x:c r="AB797" s="3" t="str">
        <x:v>車台番号未取得／サイト間重複は未判定</x:v>
      </x:c>
      <x:c r="AC797" s="3" t="str">
        <x:v>税込区分未確認（一覧表示額）</x:v>
      </x:c>
      <x:c r="AD797" s="3" t="str"/>
      <x:c r="AE797" s="29" t="str">
        <x:f>""</x:f>
      </x:c>
      <x:c r="AF797" s="30" t="str">
        <x:f>IF(ISNUMBER(AE797),U797/AE797,"")</x:f>
      </x:c>
      <x:c r="AG797" s="29" t="str">
        <x:f>""</x:f>
      </x:c>
      <x:c r="AH797" s="30" t="str">
        <x:f>IF(ISNUMBER(AG797),U797/AG797,"")</x:f>
      </x:c>
      <x:c r="AI797" s="3" t="str">
        <x:v>同年式・グレードの検証済み当時価格なし／登録年混在</x:v>
      </x:c>
      <x:c r="AJ797" s="3" t="str">
        <x:v>一覧価格/年式のみ</x:v>
      </x:c>
      <x:c r="AK797" s="3" t="str">
        <x:v>一覧の表示価格。年式は掲載年式。</x:v>
      </x:c>
      <x:c r="AL797" s="31" t="n">
        <x:f>IF(AND(J797&lt;='分析方法'!$B$7,OR(ISBLANK(O797),O797&gt;='分析方法'!$B$8),X797&lt;&gt;"売却済み表示"),1,0)</x:f>
        <x:v>1</x:v>
      </x:c>
      <x:c r="AM797" s="32" t="n">
        <x:f>IF(AL797=1,U797,"")</x:f>
        <x:v>349000</x:v>
      </x:c>
      <x:c r="AN797" s="33" t="str">
        <x:f>IF(AL797=1,AF797,"")</x:f>
      </x:c>
      <x:c r="AO797" s="31" t="n">
        <x:f>'分析方法'!$B$6-J797</x:f>
        <x:v>4</x:v>
      </x:c>
      <x:c r="AP797" s="3"/>
    </x:row>
    <x:row r="798" ht="22" customHeight="1">
      <x:c r="A798" s="3" t="str">
        <x:v>T2911231</x:v>
      </x:c>
      <x:c r="B798" s="7" t="d">
        <x:v>2026-10-08T00:00:00.000Z</x:v>
      </x:c>
      <x:c r="C798" s="3" t="str">
        <x:v>Taladrod</x:v>
      </x:c>
      <x:c r="D798" s="3" t="str">
        <x:v>Toyota</x:v>
      </x:c>
      <x:c r="E798" s="3" t="str">
        <x:v>日本</x:v>
      </x:c>
      <x:c r="F798" s="3" t="str">
        <x:v>Hilux Revo</x:v>
      </x:c>
      <x:c r="G798" s="3" t="str">
        <x:v>ICE</x:v>
      </x:c>
      <x:c r="H798" s="3" t="str">
        <x:v>Pickup</x:v>
      </x:c>
      <x:c r="I798" s="3" t="str">
        <x:v>Smart cab</x:v>
      </x:c>
      <x:c r="J798" s="3" t="n">
        <x:v>2022</x:v>
      </x:c>
      <x:c r="K798" s="3" t="str">
        <x:v>2.4 ENTRY Z EDITION SMART CAB</x:v>
      </x:c>
      <x:c r="L798" s="3" t="str">
        <x:v>2.4 ENTRY Z EDITION SMART CAB</x:v>
      </x:c>
      <x:c r="M798" s="22"/>
      <x:c r="N798" s="22"/>
      <x:c r="O798" s="22"/>
      <x:c r="P798" s="3" t="str">
        <x:v>未掲載</x:v>
      </x:c>
      <x:c r="Q798" s="3" t="str">
        <x:v>未取得</x:v>
      </x:c>
      <x:c r="R798" s="3" t="str">
        <x:v>Unknown</x:v>
      </x:c>
      <x:c r="S798" s="3" t="str">
        <x:v>不明</x:v>
      </x:c>
      <x:c r="T798" s="3" t="str">
        <x:v>世代不明</x:v>
      </x:c>
      <x:c r="U798" s="28" t="n">
        <x:v>469000</x:v>
      </x:c>
      <x:c r="V798" s="28"/>
      <x:c r="W798" s="3" t="str">
        <x:v>事故・水没・SOH・保証残は未確認</x:v>
      </x:c>
      <x:c r="X798" s="3" t="str">
        <x:v>掲載中・在庫未確認</x:v>
      </x:c>
      <x:c r="Y798" s="3" t="str"/>
      <x:c r="Z798" s="27" t="str">
        <x:v>https://www.taladrod.com/w40/icar/cardet.aspx?cid=2911231</x:v>
      </x:c>
      <x:c r="AA798" s="3" t="str">
        <x:v>Taladrod個別広告ID／Carsome在庫ID</x:v>
      </x:c>
      <x:c r="AB798" s="3" t="str">
        <x:v>車台番号未取得／サイト間重複は未判定</x:v>
      </x:c>
      <x:c r="AC798" s="3" t="str">
        <x:v>税込区分未確認（一覧表示額）</x:v>
      </x:c>
      <x:c r="AD798" s="3" t="str"/>
      <x:c r="AE798" s="29" t="str">
        <x:f>""</x:f>
      </x:c>
      <x:c r="AF798" s="30" t="str">
        <x:f>IF(ISNUMBER(AE798),U798/AE798,"")</x:f>
      </x:c>
      <x:c r="AG798" s="29" t="str">
        <x:f>""</x:f>
      </x:c>
      <x:c r="AH798" s="30" t="str">
        <x:f>IF(ISNUMBER(AG798),U798/AG798,"")</x:f>
      </x:c>
      <x:c r="AI798" s="3" t="str">
        <x:v>同年式・グレードの検証済み当時価格なし／登録年混在</x:v>
      </x:c>
      <x:c r="AJ798" s="3" t="str">
        <x:v>一覧価格/年式のみ</x:v>
      </x:c>
      <x:c r="AK798" s="3" t="str">
        <x:v>一覧の表示価格。年式は掲載年式。</x:v>
      </x:c>
      <x:c r="AL798" s="31" t="n">
        <x:f>IF(AND(J798&lt;='分析方法'!$B$7,OR(ISBLANK(O798),O798&gt;='分析方法'!$B$8),X798&lt;&gt;"売却済み表示"),1,0)</x:f>
        <x:v>1</x:v>
      </x:c>
      <x:c r="AM798" s="32" t="n">
        <x:f>IF(AL798=1,U798,"")</x:f>
        <x:v>469000</x:v>
      </x:c>
      <x:c r="AN798" s="33" t="str">
        <x:f>IF(AL798=1,AF798,"")</x:f>
      </x:c>
      <x:c r="AO798" s="31" t="n">
        <x:f>'分析方法'!$B$6-J798</x:f>
        <x:v>4</x:v>
      </x:c>
      <x:c r="AP798" s="3"/>
    </x:row>
    <x:row r="799" ht="22" customHeight="1">
      <x:c r="A799" s="3" t="str">
        <x:v>T2911934</x:v>
      </x:c>
      <x:c r="B799" s="7" t="d">
        <x:v>2026-10-08T00:00:00.000Z</x:v>
      </x:c>
      <x:c r="C799" s="3" t="str">
        <x:v>Taladrod</x:v>
      </x:c>
      <x:c r="D799" s="3" t="str">
        <x:v>Toyota</x:v>
      </x:c>
      <x:c r="E799" s="3" t="str">
        <x:v>日本</x:v>
      </x:c>
      <x:c r="F799" s="3" t="str">
        <x:v>Hilux Revo</x:v>
      </x:c>
      <x:c r="G799" s="3" t="str">
        <x:v>ICE</x:v>
      </x:c>
      <x:c r="H799" s="3" t="str">
        <x:v>Pickup</x:v>
      </x:c>
      <x:c r="I799" s="3" t="str">
        <x:v>Smart cab</x:v>
      </x:c>
      <x:c r="J799" s="3" t="n">
        <x:v>2022</x:v>
      </x:c>
      <x:c r="K799" s="3" t="str">
        <x:v>2.4 ENTRY Z EDITION SMART CAB</x:v>
      </x:c>
      <x:c r="L799" s="3" t="str">
        <x:v>2.4 ENTRY Z EDITION SMART CAB</x:v>
      </x:c>
      <x:c r="M799" s="22"/>
      <x:c r="N799" s="22"/>
      <x:c r="O799" s="22"/>
      <x:c r="P799" s="3" t="str">
        <x:v>未掲載</x:v>
      </x:c>
      <x:c r="Q799" s="3" t="str">
        <x:v>未取得</x:v>
      </x:c>
      <x:c r="R799" s="3" t="str">
        <x:v>Unknown</x:v>
      </x:c>
      <x:c r="S799" s="3" t="str">
        <x:v>不明</x:v>
      </x:c>
      <x:c r="T799" s="3" t="str">
        <x:v>世代不明</x:v>
      </x:c>
      <x:c r="U799" s="28" t="n">
        <x:v>458000</x:v>
      </x:c>
      <x:c r="V799" s="28"/>
      <x:c r="W799" s="3" t="str">
        <x:v>事故・水没・SOH・保証残は未確認</x:v>
      </x:c>
      <x:c r="X799" s="3" t="str">
        <x:v>掲載中・在庫未確認</x:v>
      </x:c>
      <x:c r="Y799" s="3" t="str"/>
      <x:c r="Z799" s="27" t="str">
        <x:v>https://www.taladrod.com/w40/icar/cardet.aspx?cid=2911934</x:v>
      </x:c>
      <x:c r="AA799" s="3" t="str">
        <x:v>Taladrod個別広告ID／Carsome在庫ID</x:v>
      </x:c>
      <x:c r="AB799" s="3" t="str">
        <x:v>車台番号未取得／サイト間重複は未判定</x:v>
      </x:c>
      <x:c r="AC799" s="3" t="str">
        <x:v>税込区分未確認（一覧表示額）</x:v>
      </x:c>
      <x:c r="AD799" s="3" t="str"/>
      <x:c r="AE799" s="29" t="str">
        <x:f>""</x:f>
      </x:c>
      <x:c r="AF799" s="30" t="str">
        <x:f>IF(ISNUMBER(AE799),U799/AE799,"")</x:f>
      </x:c>
      <x:c r="AG799" s="29" t="str">
        <x:f>""</x:f>
      </x:c>
      <x:c r="AH799" s="30" t="str">
        <x:f>IF(ISNUMBER(AG799),U799/AG799,"")</x:f>
      </x:c>
      <x:c r="AI799" s="3" t="str">
        <x:v>同年式・グレードの検証済み当時価格なし／登録年混在</x:v>
      </x:c>
      <x:c r="AJ799" s="3" t="str">
        <x:v>一覧価格/年式のみ</x:v>
      </x:c>
      <x:c r="AK799" s="3" t="str">
        <x:v>一覧の表示価格。年式は掲載年式。</x:v>
      </x:c>
      <x:c r="AL799" s="31" t="n">
        <x:f>IF(AND(J799&lt;='分析方法'!$B$7,OR(ISBLANK(O799),O799&gt;='分析方法'!$B$8),X799&lt;&gt;"売却済み表示"),1,0)</x:f>
        <x:v>1</x:v>
      </x:c>
      <x:c r="AM799" s="32" t="n">
        <x:f>IF(AL799=1,U799,"")</x:f>
        <x:v>458000</x:v>
      </x:c>
      <x:c r="AN799" s="33" t="str">
        <x:f>IF(AL799=1,AF799,"")</x:f>
      </x:c>
      <x:c r="AO799" s="31" t="n">
        <x:f>'分析方法'!$B$6-J799</x:f>
        <x:v>4</x:v>
      </x:c>
      <x:c r="AP799" s="3"/>
    </x:row>
    <x:row r="800" ht="22" customHeight="1">
      <x:c r="A800" s="3" t="str">
        <x:v>T2920835</x:v>
      </x:c>
      <x:c r="B800" s="7" t="d">
        <x:v>2026-10-08T00:00:00.000Z</x:v>
      </x:c>
      <x:c r="C800" s="3" t="str">
        <x:v>Taladrod</x:v>
      </x:c>
      <x:c r="D800" s="3" t="str">
        <x:v>Toyota</x:v>
      </x:c>
      <x:c r="E800" s="3" t="str">
        <x:v>日本</x:v>
      </x:c>
      <x:c r="F800" s="3" t="str">
        <x:v>Hilux Revo</x:v>
      </x:c>
      <x:c r="G800" s="3" t="str">
        <x:v>ICE</x:v>
      </x:c>
      <x:c r="H800" s="3" t="str">
        <x:v>Pickup</x:v>
      </x:c>
      <x:c r="I800" s="3" t="str">
        <x:v>Smart cab</x:v>
      </x:c>
      <x:c r="J800" s="3" t="n">
        <x:v>2022</x:v>
      </x:c>
      <x:c r="K800" s="3" t="str">
        <x:v>2.4 ENTRY Z EDITION SMART CAB</x:v>
      </x:c>
      <x:c r="L800" s="3" t="str">
        <x:v>2.4 ENTRY Z EDITION SMART CAB</x:v>
      </x:c>
      <x:c r="M800" s="22"/>
      <x:c r="N800" s="22"/>
      <x:c r="O800" s="22"/>
      <x:c r="P800" s="3" t="str">
        <x:v>未掲載</x:v>
      </x:c>
      <x:c r="Q800" s="3" t="str">
        <x:v>未取得</x:v>
      </x:c>
      <x:c r="R800" s="3" t="str">
        <x:v>Unknown</x:v>
      </x:c>
      <x:c r="S800" s="3" t="str">
        <x:v>不明</x:v>
      </x:c>
      <x:c r="T800" s="3" t="str">
        <x:v>世代不明</x:v>
      </x:c>
      <x:c r="U800" s="28" t="n">
        <x:v>359000</x:v>
      </x:c>
      <x:c r="V800" s="28"/>
      <x:c r="W800" s="3" t="str">
        <x:v>事故・水没・SOH・保証残は未確認</x:v>
      </x:c>
      <x:c r="X800" s="3" t="str">
        <x:v>掲載中・在庫未確認</x:v>
      </x:c>
      <x:c r="Y800" s="3" t="str"/>
      <x:c r="Z800" s="27" t="str">
        <x:v>https://www.taladrod.com/w40/icar/cardet.aspx?cid=2920835</x:v>
      </x:c>
      <x:c r="AA800" s="3" t="str">
        <x:v>Taladrod個別広告ID／Carsome在庫ID</x:v>
      </x:c>
      <x:c r="AB800" s="3" t="str">
        <x:v>車台番号未取得／サイト間重複は未判定</x:v>
      </x:c>
      <x:c r="AC800" s="3" t="str">
        <x:v>税込区分未確認（一覧表示額）</x:v>
      </x:c>
      <x:c r="AD800" s="3" t="str"/>
      <x:c r="AE800" s="29" t="str">
        <x:f>""</x:f>
      </x:c>
      <x:c r="AF800" s="30" t="str">
        <x:f>IF(ISNUMBER(AE800),U800/AE800,"")</x:f>
      </x:c>
      <x:c r="AG800" s="29" t="str">
        <x:f>""</x:f>
      </x:c>
      <x:c r="AH800" s="30" t="str">
        <x:f>IF(ISNUMBER(AG800),U800/AG800,"")</x:f>
      </x:c>
      <x:c r="AI800" s="3" t="str">
        <x:v>同年式・グレードの検証済み当時価格なし／登録年混在</x:v>
      </x:c>
      <x:c r="AJ800" s="3" t="str">
        <x:v>一覧価格/年式のみ</x:v>
      </x:c>
      <x:c r="AK800" s="3" t="str">
        <x:v>一覧の表示価格。年式は掲載年式。</x:v>
      </x:c>
      <x:c r="AL800" s="31" t="n">
        <x:f>IF(AND(J800&lt;='分析方法'!$B$7,OR(ISBLANK(O800),O800&gt;='分析方法'!$B$8),X800&lt;&gt;"売却済み表示"),1,0)</x:f>
        <x:v>1</x:v>
      </x:c>
      <x:c r="AM800" s="32" t="n">
        <x:f>IF(AL800=1,U800,"")</x:f>
        <x:v>359000</x:v>
      </x:c>
      <x:c r="AN800" s="33" t="str">
        <x:f>IF(AL800=1,AF800,"")</x:f>
      </x:c>
      <x:c r="AO800" s="31" t="n">
        <x:f>'分析方法'!$B$6-J800</x:f>
        <x:v>4</x:v>
      </x:c>
      <x:c r="AP800" s="3"/>
    </x:row>
    <x:row r="801" ht="22" customHeight="1">
      <x:c r="A801" s="3" t="str">
        <x:v>T2908630</x:v>
      </x:c>
      <x:c r="B801" s="7" t="d">
        <x:v>2026-10-08T00:00:00.000Z</x:v>
      </x:c>
      <x:c r="C801" s="3" t="str">
        <x:v>Taladrod</x:v>
      </x:c>
      <x:c r="D801" s="3" t="str">
        <x:v>Toyota</x:v>
      </x:c>
      <x:c r="E801" s="3" t="str">
        <x:v>日本</x:v>
      </x:c>
      <x:c r="F801" s="3" t="str">
        <x:v>Hilux Revo</x:v>
      </x:c>
      <x:c r="G801" s="3" t="str">
        <x:v>ICE</x:v>
      </x:c>
      <x:c r="H801" s="3" t="str">
        <x:v>Pickup</x:v>
      </x:c>
      <x:c r="I801" s="3" t="str">
        <x:v>Double cab</x:v>
      </x:c>
      <x:c r="J801" s="3" t="n">
        <x:v>2022</x:v>
      </x:c>
      <x:c r="K801" s="3" t="str">
        <x:v>2.4 HIGH PRERUNNER DOUBLE CAB</x:v>
      </x:c>
      <x:c r="L801" s="3" t="str">
        <x:v>2.4 HIGH PRERUNNER DOUBLE CAB</x:v>
      </x:c>
      <x:c r="M801" s="22"/>
      <x:c r="N801" s="22"/>
      <x:c r="O801" s="22"/>
      <x:c r="P801" s="3" t="str">
        <x:v>未掲載</x:v>
      </x:c>
      <x:c r="Q801" s="3" t="str">
        <x:v>未取得</x:v>
      </x:c>
      <x:c r="R801" s="3" t="str">
        <x:v>Unknown</x:v>
      </x:c>
      <x:c r="S801" s="3" t="str">
        <x:v>不明</x:v>
      </x:c>
      <x:c r="T801" s="3" t="str">
        <x:v>世代不明</x:v>
      </x:c>
      <x:c r="U801" s="28" t="n">
        <x:v>599000</x:v>
      </x:c>
      <x:c r="V801" s="28"/>
      <x:c r="W801" s="3" t="str">
        <x:v>事故・水没・SOH・保証残は未確認</x:v>
      </x:c>
      <x:c r="X801" s="3" t="str">
        <x:v>掲載中・在庫未確認</x:v>
      </x:c>
      <x:c r="Y801" s="3" t="str"/>
      <x:c r="Z801" s="27" t="str">
        <x:v>https://www.taladrod.com/w40/icar/cardet.aspx?cid=2908630</x:v>
      </x:c>
      <x:c r="AA801" s="3" t="str">
        <x:v>Taladrod個別広告ID／Carsome在庫ID</x:v>
      </x:c>
      <x:c r="AB801" s="3" t="str">
        <x:v>車台番号未取得／サイト間重複は未判定</x:v>
      </x:c>
      <x:c r="AC801" s="3" t="str">
        <x:v>税込区分未確認（一覧表示額）</x:v>
      </x:c>
      <x:c r="AD801" s="3" t="str"/>
      <x:c r="AE801" s="29" t="str">
        <x:f>""</x:f>
      </x:c>
      <x:c r="AF801" s="30" t="str">
        <x:f>IF(ISNUMBER(AE801),U801/AE801,"")</x:f>
      </x:c>
      <x:c r="AG801" s="29" t="str">
        <x:f>""</x:f>
      </x:c>
      <x:c r="AH801" s="30" t="str">
        <x:f>IF(ISNUMBER(AG801),U801/AG801,"")</x:f>
      </x:c>
      <x:c r="AI801" s="3" t="str">
        <x:v>同年式・グレードの検証済み当時価格なし／登録年混在</x:v>
      </x:c>
      <x:c r="AJ801" s="3" t="str">
        <x:v>一覧価格/年式のみ</x:v>
      </x:c>
      <x:c r="AK801" s="3" t="str">
        <x:v>一覧の表示価格。年式は掲載年式。</x:v>
      </x:c>
      <x:c r="AL801" s="31" t="n">
        <x:f>IF(AND(J801&lt;='分析方法'!$B$7,OR(ISBLANK(O801),O801&gt;='分析方法'!$B$8),X801&lt;&gt;"売却済み表示"),1,0)</x:f>
        <x:v>1</x:v>
      </x:c>
      <x:c r="AM801" s="32" t="n">
        <x:f>IF(AL801=1,U801,"")</x:f>
        <x:v>599000</x:v>
      </x:c>
      <x:c r="AN801" s="33" t="str">
        <x:f>IF(AL801=1,AF801,"")</x:f>
      </x:c>
      <x:c r="AO801" s="31" t="n">
        <x:f>'分析方法'!$B$6-J801</x:f>
        <x:v>4</x:v>
      </x:c>
      <x:c r="AP801" s="3"/>
    </x:row>
    <x:row r="802" ht="22" customHeight="1">
      <x:c r="A802" s="3" t="str">
        <x:v>T2916024</x:v>
      </x:c>
      <x:c r="B802" s="7" t="d">
        <x:v>2026-10-08T00:00:00.000Z</x:v>
      </x:c>
      <x:c r="C802" s="3" t="str">
        <x:v>Taladrod</x:v>
      </x:c>
      <x:c r="D802" s="3" t="str">
        <x:v>Toyota</x:v>
      </x:c>
      <x:c r="E802" s="3" t="str">
        <x:v>日本</x:v>
      </x:c>
      <x:c r="F802" s="3" t="str">
        <x:v>Hilux Revo</x:v>
      </x:c>
      <x:c r="G802" s="3" t="str">
        <x:v>ICE</x:v>
      </x:c>
      <x:c r="H802" s="3" t="str">
        <x:v>Pickup</x:v>
      </x:c>
      <x:c r="I802" s="3" t="str">
        <x:v>Double cab</x:v>
      </x:c>
      <x:c r="J802" s="3" t="n">
        <x:v>2022</x:v>
      </x:c>
      <x:c r="K802" s="3" t="str">
        <x:v>2.4 MID 4WD DOUBLE CAB</x:v>
      </x:c>
      <x:c r="L802" s="3" t="str">
        <x:v>2.4 MID 4WD DOUBLE CAB</x:v>
      </x:c>
      <x:c r="M802" s="22"/>
      <x:c r="N802" s="22"/>
      <x:c r="O802" s="22"/>
      <x:c r="P802" s="3" t="str">
        <x:v>未掲載</x:v>
      </x:c>
      <x:c r="Q802" s="3" t="str">
        <x:v>未取得</x:v>
      </x:c>
      <x:c r="R802" s="3" t="str">
        <x:v>Unknown</x:v>
      </x:c>
      <x:c r="S802" s="3" t="str">
        <x:v>不明</x:v>
      </x:c>
      <x:c r="T802" s="3" t="str">
        <x:v>世代不明</x:v>
      </x:c>
      <x:c r="U802" s="28" t="n">
        <x:v>739000</x:v>
      </x:c>
      <x:c r="V802" s="28"/>
      <x:c r="W802" s="3" t="str">
        <x:v>事故・水没・SOH・保証残は未確認</x:v>
      </x:c>
      <x:c r="X802" s="3" t="str">
        <x:v>掲載中・在庫未確認</x:v>
      </x:c>
      <x:c r="Y802" s="3" t="str"/>
      <x:c r="Z802" s="27" t="str">
        <x:v>https://www.taladrod.com/w40/icar/cardet.aspx?cid=2916024</x:v>
      </x:c>
      <x:c r="AA802" s="3" t="str">
        <x:v>Taladrod個別広告ID／Carsome在庫ID</x:v>
      </x:c>
      <x:c r="AB802" s="3" t="str">
        <x:v>車台番号未取得／サイト間重複は未判定</x:v>
      </x:c>
      <x:c r="AC802" s="3" t="str">
        <x:v>税込区分未確認（一覧表示額）</x:v>
      </x:c>
      <x:c r="AD802" s="3" t="str"/>
      <x:c r="AE802" s="29" t="str">
        <x:f>""</x:f>
      </x:c>
      <x:c r="AF802" s="30" t="str">
        <x:f>IF(ISNUMBER(AE802),U802/AE802,"")</x:f>
      </x:c>
      <x:c r="AG802" s="29" t="str">
        <x:f>""</x:f>
      </x:c>
      <x:c r="AH802" s="30" t="str">
        <x:f>IF(ISNUMBER(AG802),U802/AG802,"")</x:f>
      </x:c>
      <x:c r="AI802" s="3" t="str">
        <x:v>同年式・グレードの検証済み当時価格なし／登録年混在</x:v>
      </x:c>
      <x:c r="AJ802" s="3" t="str">
        <x:v>一覧価格/年式のみ</x:v>
      </x:c>
      <x:c r="AK802" s="3" t="str">
        <x:v>一覧の表示価格。年式は掲載年式。</x:v>
      </x:c>
      <x:c r="AL802" s="31" t="n">
        <x:f>IF(AND(J802&lt;='分析方法'!$B$7,OR(ISBLANK(O802),O802&gt;='分析方法'!$B$8),X802&lt;&gt;"売却済み表示"),1,0)</x:f>
        <x:v>1</x:v>
      </x:c>
      <x:c r="AM802" s="32" t="n">
        <x:f>IF(AL802=1,U802,"")</x:f>
        <x:v>739000</x:v>
      </x:c>
      <x:c r="AN802" s="33" t="str">
        <x:f>IF(AL802=1,AF802,"")</x:f>
      </x:c>
      <x:c r="AO802" s="31" t="n">
        <x:f>'分析方法'!$B$6-J802</x:f>
        <x:v>4</x:v>
      </x:c>
      <x:c r="AP802" s="3"/>
    </x:row>
    <x:row r="803" ht="22" customHeight="1">
      <x:c r="A803" s="3" t="str">
        <x:v>T2892149</x:v>
      </x:c>
      <x:c r="B803" s="7" t="d">
        <x:v>2026-10-08T00:00:00.000Z</x:v>
      </x:c>
      <x:c r="C803" s="3" t="str">
        <x:v>Taladrod</x:v>
      </x:c>
      <x:c r="D803" s="3" t="str">
        <x:v>Toyota</x:v>
      </x:c>
      <x:c r="E803" s="3" t="str">
        <x:v>日本</x:v>
      </x:c>
      <x:c r="F803" s="3" t="str">
        <x:v>Hilux Revo</x:v>
      </x:c>
      <x:c r="G803" s="3" t="str">
        <x:v>ICE</x:v>
      </x:c>
      <x:c r="H803" s="3" t="str">
        <x:v>Pickup</x:v>
      </x:c>
      <x:c r="I803" s="3" t="str">
        <x:v>Smart cab</x:v>
      </x:c>
      <x:c r="J803" s="3" t="n">
        <x:v>2022</x:v>
      </x:c>
      <x:c r="K803" s="3" t="str">
        <x:v>2.4 MID 4WD SMART CAB</x:v>
      </x:c>
      <x:c r="L803" s="3" t="str">
        <x:v>2.4 MID 4WD SMART CAB</x:v>
      </x:c>
      <x:c r="M803" s="22"/>
      <x:c r="N803" s="22"/>
      <x:c r="O803" s="22"/>
      <x:c r="P803" s="3" t="str">
        <x:v>未掲載</x:v>
      </x:c>
      <x:c r="Q803" s="3" t="str">
        <x:v>未取得</x:v>
      </x:c>
      <x:c r="R803" s="3" t="str">
        <x:v>Unknown</x:v>
      </x:c>
      <x:c r="S803" s="3" t="str">
        <x:v>不明</x:v>
      </x:c>
      <x:c r="T803" s="3" t="str">
        <x:v>世代不明</x:v>
      </x:c>
      <x:c r="U803" s="28" t="n">
        <x:v>579000</x:v>
      </x:c>
      <x:c r="V803" s="28"/>
      <x:c r="W803" s="3" t="str">
        <x:v>事故・水没・SOH・保証残は未確認</x:v>
      </x:c>
      <x:c r="X803" s="3" t="str">
        <x:v>掲載中・在庫未確認</x:v>
      </x:c>
      <x:c r="Y803" s="3" t="str"/>
      <x:c r="Z803" s="27" t="str">
        <x:v>https://www.taladrod.com/w40/icar/cardet.aspx?cid=2892149</x:v>
      </x:c>
      <x:c r="AA803" s="3" t="str">
        <x:v>Taladrod個別広告ID／Carsome在庫ID</x:v>
      </x:c>
      <x:c r="AB803" s="3" t="str">
        <x:v>車台番号未取得／サイト間重複は未判定</x:v>
      </x:c>
      <x:c r="AC803" s="3" t="str">
        <x:v>税込区分未確認（一覧表示額）</x:v>
      </x:c>
      <x:c r="AD803" s="3" t="str"/>
      <x:c r="AE803" s="29" t="str">
        <x:f>""</x:f>
      </x:c>
      <x:c r="AF803" s="30" t="str">
        <x:f>IF(ISNUMBER(AE803),U803/AE803,"")</x:f>
      </x:c>
      <x:c r="AG803" s="29" t="str">
        <x:f>""</x:f>
      </x:c>
      <x:c r="AH803" s="30" t="str">
        <x:f>IF(ISNUMBER(AG803),U803/AG803,"")</x:f>
      </x:c>
      <x:c r="AI803" s="3" t="str">
        <x:v>同年式・グレードの検証済み当時価格なし／登録年混在</x:v>
      </x:c>
      <x:c r="AJ803" s="3" t="str">
        <x:v>一覧価格/年式のみ</x:v>
      </x:c>
      <x:c r="AK803" s="3" t="str">
        <x:v>一覧の表示価格。年式は掲載年式。</x:v>
      </x:c>
      <x:c r="AL803" s="31" t="n">
        <x:f>IF(AND(J803&lt;='分析方法'!$B$7,OR(ISBLANK(O803),O803&gt;='分析方法'!$B$8),X803&lt;&gt;"売却済み表示"),1,0)</x:f>
        <x:v>1</x:v>
      </x:c>
      <x:c r="AM803" s="32" t="n">
        <x:f>IF(AL803=1,U803,"")</x:f>
        <x:v>579000</x:v>
      </x:c>
      <x:c r="AN803" s="33" t="str">
        <x:f>IF(AL803=1,AF803,"")</x:f>
      </x:c>
      <x:c r="AO803" s="31" t="n">
        <x:f>'分析方法'!$B$6-J803</x:f>
        <x:v>4</x:v>
      </x:c>
      <x:c r="AP803" s="3"/>
    </x:row>
    <x:row r="804" ht="22" customHeight="1">
      <x:c r="A804" s="3" t="str">
        <x:v>T2892651</x:v>
      </x:c>
      <x:c r="B804" s="7" t="d">
        <x:v>2026-10-08T00:00:00.000Z</x:v>
      </x:c>
      <x:c r="C804" s="3" t="str">
        <x:v>Taladrod</x:v>
      </x:c>
      <x:c r="D804" s="3" t="str">
        <x:v>Toyota</x:v>
      </x:c>
      <x:c r="E804" s="3" t="str">
        <x:v>日本</x:v>
      </x:c>
      <x:c r="F804" s="3" t="str">
        <x:v>Hilux Revo</x:v>
      </x:c>
      <x:c r="G804" s="3" t="str">
        <x:v>ICE</x:v>
      </x:c>
      <x:c r="H804" s="3" t="str">
        <x:v>Pickup</x:v>
      </x:c>
      <x:c r="I804" s="3" t="str">
        <x:v>Double cab</x:v>
      </x:c>
      <x:c r="J804" s="3" t="n">
        <x:v>2022</x:v>
      </x:c>
      <x:c r="K804" s="3" t="str">
        <x:v>2.4 MID PRERUNNER DOUBLE CAB</x:v>
      </x:c>
      <x:c r="L804" s="3" t="str">
        <x:v>2.4 MID PRERUNNER DOUBLE CAB</x:v>
      </x:c>
      <x:c r="M804" s="22"/>
      <x:c r="N804" s="22"/>
      <x:c r="O804" s="22"/>
      <x:c r="P804" s="3" t="str">
        <x:v>未掲載</x:v>
      </x:c>
      <x:c r="Q804" s="3" t="str">
        <x:v>未取得</x:v>
      </x:c>
      <x:c r="R804" s="3" t="str">
        <x:v>Unknown</x:v>
      </x:c>
      <x:c r="S804" s="3" t="str">
        <x:v>不明</x:v>
      </x:c>
      <x:c r="T804" s="3" t="str">
        <x:v>世代不明</x:v>
      </x:c>
      <x:c r="U804" s="28" t="n">
        <x:v>599000</x:v>
      </x:c>
      <x:c r="V804" s="28"/>
      <x:c r="W804" s="3" t="str">
        <x:v>事故・水没・SOH・保証残は未確認</x:v>
      </x:c>
      <x:c r="X804" s="3" t="str">
        <x:v>掲載中・在庫未確認</x:v>
      </x:c>
      <x:c r="Y804" s="3" t="str"/>
      <x:c r="Z804" s="27" t="str">
        <x:v>https://www.taladrod.com/w40/icar/cardet.aspx?cid=2892651</x:v>
      </x:c>
      <x:c r="AA804" s="3" t="str">
        <x:v>Taladrod個別広告ID／Carsome在庫ID</x:v>
      </x:c>
      <x:c r="AB804" s="3" t="str">
        <x:v>車台番号未取得／サイト間重複は未判定</x:v>
      </x:c>
      <x:c r="AC804" s="3" t="str">
        <x:v>税込区分未確認（一覧表示額）</x:v>
      </x:c>
      <x:c r="AD804" s="3" t="str"/>
      <x:c r="AE804" s="29" t="str">
        <x:f>""</x:f>
      </x:c>
      <x:c r="AF804" s="30" t="str">
        <x:f>IF(ISNUMBER(AE804),U804/AE804,"")</x:f>
      </x:c>
      <x:c r="AG804" s="29" t="str">
        <x:f>""</x:f>
      </x:c>
      <x:c r="AH804" s="30" t="str">
        <x:f>IF(ISNUMBER(AG804),U804/AG804,"")</x:f>
      </x:c>
      <x:c r="AI804" s="3" t="str">
        <x:v>同年式・グレードの検証済み当時価格なし／登録年混在</x:v>
      </x:c>
      <x:c r="AJ804" s="3" t="str">
        <x:v>一覧価格/年式のみ</x:v>
      </x:c>
      <x:c r="AK804" s="3" t="str">
        <x:v>一覧の表示価格。年式は掲載年式。</x:v>
      </x:c>
      <x:c r="AL804" s="31" t="n">
        <x:f>IF(AND(J804&lt;='分析方法'!$B$7,OR(ISBLANK(O804),O804&gt;='分析方法'!$B$8),X804&lt;&gt;"売却済み表示"),1,0)</x:f>
        <x:v>1</x:v>
      </x:c>
      <x:c r="AM804" s="32" t="n">
        <x:f>IF(AL804=1,U804,"")</x:f>
        <x:v>599000</x:v>
      </x:c>
      <x:c r="AN804" s="33" t="str">
        <x:f>IF(AL804=1,AF804,"")</x:f>
      </x:c>
      <x:c r="AO804" s="31" t="n">
        <x:f>'分析方法'!$B$6-J804</x:f>
        <x:v>4</x:v>
      </x:c>
      <x:c r="AP804" s="3"/>
    </x:row>
    <x:row r="805" ht="22" customHeight="1">
      <x:c r="A805" s="3" t="str">
        <x:v>T2906423</x:v>
      </x:c>
      <x:c r="B805" s="7" t="d">
        <x:v>2026-10-08T00:00:00.000Z</x:v>
      </x:c>
      <x:c r="C805" s="3" t="str">
        <x:v>Taladrod</x:v>
      </x:c>
      <x:c r="D805" s="3" t="str">
        <x:v>Toyota</x:v>
      </x:c>
      <x:c r="E805" s="3" t="str">
        <x:v>日本</x:v>
      </x:c>
      <x:c r="F805" s="3" t="str">
        <x:v>Hilux Revo</x:v>
      </x:c>
      <x:c r="G805" s="3" t="str">
        <x:v>ICE</x:v>
      </x:c>
      <x:c r="H805" s="3" t="str">
        <x:v>Pickup</x:v>
      </x:c>
      <x:c r="I805" s="3" t="str">
        <x:v>Double cab</x:v>
      </x:c>
      <x:c r="J805" s="3" t="n">
        <x:v>2022</x:v>
      </x:c>
      <x:c r="K805" s="3" t="str">
        <x:v>2.4 MID PRERUNNER DOUBLE CAB</x:v>
      </x:c>
      <x:c r="L805" s="3" t="str">
        <x:v>2.4 MID PRERUNNER DOUBLE CAB</x:v>
      </x:c>
      <x:c r="M805" s="22"/>
      <x:c r="N805" s="22"/>
      <x:c r="O805" s="22"/>
      <x:c r="P805" s="3" t="str">
        <x:v>未掲載</x:v>
      </x:c>
      <x:c r="Q805" s="3" t="str">
        <x:v>未取得</x:v>
      </x:c>
      <x:c r="R805" s="3" t="str">
        <x:v>Unknown</x:v>
      </x:c>
      <x:c r="S805" s="3" t="str">
        <x:v>不明</x:v>
      </x:c>
      <x:c r="T805" s="3" t="str">
        <x:v>世代不明</x:v>
      </x:c>
      <x:c r="U805" s="28" t="n">
        <x:v>649000</x:v>
      </x:c>
      <x:c r="V805" s="28"/>
      <x:c r="W805" s="3" t="str">
        <x:v>事故・水没・SOH・保証残は未確認</x:v>
      </x:c>
      <x:c r="X805" s="3" t="str">
        <x:v>掲載中・在庫未確認</x:v>
      </x:c>
      <x:c r="Y805" s="3" t="str"/>
      <x:c r="Z805" s="27" t="str">
        <x:v>https://www.taladrod.com/w40/icar/cardet.aspx?cid=2906423</x:v>
      </x:c>
      <x:c r="AA805" s="3" t="str">
        <x:v>Taladrod個別広告ID／Carsome在庫ID</x:v>
      </x:c>
      <x:c r="AB805" s="3" t="str">
        <x:v>車台番号未取得／サイト間重複は未判定</x:v>
      </x:c>
      <x:c r="AC805" s="3" t="str">
        <x:v>税込区分未確認（一覧表示額）</x:v>
      </x:c>
      <x:c r="AD805" s="3" t="str"/>
      <x:c r="AE805" s="29" t="str">
        <x:f>""</x:f>
      </x:c>
      <x:c r="AF805" s="30" t="str">
        <x:f>IF(ISNUMBER(AE805),U805/AE805,"")</x:f>
      </x:c>
      <x:c r="AG805" s="29" t="str">
        <x:f>""</x:f>
      </x:c>
      <x:c r="AH805" s="30" t="str">
        <x:f>IF(ISNUMBER(AG805),U805/AG805,"")</x:f>
      </x:c>
      <x:c r="AI805" s="3" t="str">
        <x:v>同年式・グレードの検証済み当時価格なし／登録年混在</x:v>
      </x:c>
      <x:c r="AJ805" s="3" t="str">
        <x:v>一覧価格/年式のみ</x:v>
      </x:c>
      <x:c r="AK805" s="3" t="str">
        <x:v>一覧の表示価格。年式は掲載年式。</x:v>
      </x:c>
      <x:c r="AL805" s="31" t="n">
        <x:f>IF(AND(J805&lt;='分析方法'!$B$7,OR(ISBLANK(O805),O805&gt;='分析方法'!$B$8),X805&lt;&gt;"売却済み表示"),1,0)</x:f>
        <x:v>1</x:v>
      </x:c>
      <x:c r="AM805" s="32" t="n">
        <x:f>IF(AL805=1,U805,"")</x:f>
        <x:v>649000</x:v>
      </x:c>
      <x:c r="AN805" s="33" t="str">
        <x:f>IF(AL805=1,AF805,"")</x:f>
      </x:c>
      <x:c r="AO805" s="31" t="n">
        <x:f>'分析方法'!$B$6-J805</x:f>
        <x:v>4</x:v>
      </x:c>
      <x:c r="AP805" s="3"/>
    </x:row>
    <x:row r="806" ht="22" customHeight="1">
      <x:c r="A806" s="3" t="str">
        <x:v>T2915314</x:v>
      </x:c>
      <x:c r="B806" s="7" t="d">
        <x:v>2026-10-08T00:00:00.000Z</x:v>
      </x:c>
      <x:c r="C806" s="3" t="str">
        <x:v>Taladrod</x:v>
      </x:c>
      <x:c r="D806" s="3" t="str">
        <x:v>Toyota</x:v>
      </x:c>
      <x:c r="E806" s="3" t="str">
        <x:v>日本</x:v>
      </x:c>
      <x:c r="F806" s="3" t="str">
        <x:v>Hilux Revo</x:v>
      </x:c>
      <x:c r="G806" s="3" t="str">
        <x:v>ICE</x:v>
      </x:c>
      <x:c r="H806" s="3" t="str">
        <x:v>Pickup</x:v>
      </x:c>
      <x:c r="I806" s="3" t="str">
        <x:v>Double cab</x:v>
      </x:c>
      <x:c r="J806" s="3" t="n">
        <x:v>2022</x:v>
      </x:c>
      <x:c r="K806" s="3" t="str">
        <x:v>2.4 MID PRERUNNER DOUBLE CAB</x:v>
      </x:c>
      <x:c r="L806" s="3" t="str">
        <x:v>2.4 MID PRERUNNER DOUBLE CAB</x:v>
      </x:c>
      <x:c r="M806" s="22"/>
      <x:c r="N806" s="22"/>
      <x:c r="O806" s="22"/>
      <x:c r="P806" s="3" t="str">
        <x:v>未掲載</x:v>
      </x:c>
      <x:c r="Q806" s="3" t="str">
        <x:v>未取得</x:v>
      </x:c>
      <x:c r="R806" s="3" t="str">
        <x:v>Unknown</x:v>
      </x:c>
      <x:c r="S806" s="3" t="str">
        <x:v>不明</x:v>
      </x:c>
      <x:c r="T806" s="3" t="str">
        <x:v>世代不明</x:v>
      </x:c>
      <x:c r="U806" s="28" t="n">
        <x:v>639000</x:v>
      </x:c>
      <x:c r="V806" s="28"/>
      <x:c r="W806" s="3" t="str">
        <x:v>事故・水没・SOH・保証残は未確認</x:v>
      </x:c>
      <x:c r="X806" s="3" t="str">
        <x:v>掲載中・在庫未確認</x:v>
      </x:c>
      <x:c r="Y806" s="3" t="str"/>
      <x:c r="Z806" s="27" t="str">
        <x:v>https://www.taladrod.com/w40/icar/cardet.aspx?cid=2915314</x:v>
      </x:c>
      <x:c r="AA806" s="3" t="str">
        <x:v>Taladrod個別広告ID／Carsome在庫ID</x:v>
      </x:c>
      <x:c r="AB806" s="3" t="str">
        <x:v>車台番号未取得／サイト間重複は未判定</x:v>
      </x:c>
      <x:c r="AC806" s="3" t="str">
        <x:v>税込区分未確認（一覧表示額）</x:v>
      </x:c>
      <x:c r="AD806" s="3" t="str"/>
      <x:c r="AE806" s="29" t="str">
        <x:f>""</x:f>
      </x:c>
      <x:c r="AF806" s="30" t="str">
        <x:f>IF(ISNUMBER(AE806),U806/AE806,"")</x:f>
      </x:c>
      <x:c r="AG806" s="29" t="str">
        <x:f>""</x:f>
      </x:c>
      <x:c r="AH806" s="30" t="str">
        <x:f>IF(ISNUMBER(AG806),U806/AG806,"")</x:f>
      </x:c>
      <x:c r="AI806" s="3" t="str">
        <x:v>同年式・グレードの検証済み当時価格なし／登録年混在</x:v>
      </x:c>
      <x:c r="AJ806" s="3" t="str">
        <x:v>一覧価格/年式のみ</x:v>
      </x:c>
      <x:c r="AK806" s="3" t="str">
        <x:v>一覧の表示価格。年式は掲載年式。</x:v>
      </x:c>
      <x:c r="AL806" s="31" t="n">
        <x:f>IF(AND(J806&lt;='分析方法'!$B$7,OR(ISBLANK(O806),O806&gt;='分析方法'!$B$8),X806&lt;&gt;"売却済み表示"),1,0)</x:f>
        <x:v>1</x:v>
      </x:c>
      <x:c r="AM806" s="32" t="n">
        <x:f>IF(AL806=1,U806,"")</x:f>
        <x:v>639000</x:v>
      </x:c>
      <x:c r="AN806" s="33" t="str">
        <x:f>IF(AL806=1,AF806,"")</x:f>
      </x:c>
      <x:c r="AO806" s="31" t="n">
        <x:f>'分析方法'!$B$6-J806</x:f>
        <x:v>4</x:v>
      </x:c>
      <x:c r="AP806" s="3"/>
    </x:row>
    <x:row r="807" ht="22" customHeight="1">
      <x:c r="A807" s="3" t="str">
        <x:v>T2921079</x:v>
      </x:c>
      <x:c r="B807" s="7" t="d">
        <x:v>2026-10-08T00:00:00.000Z</x:v>
      </x:c>
      <x:c r="C807" s="3" t="str">
        <x:v>Taladrod</x:v>
      </x:c>
      <x:c r="D807" s="3" t="str">
        <x:v>Toyota</x:v>
      </x:c>
      <x:c r="E807" s="3" t="str">
        <x:v>日本</x:v>
      </x:c>
      <x:c r="F807" s="3" t="str">
        <x:v>Hilux Revo</x:v>
      </x:c>
      <x:c r="G807" s="3" t="str">
        <x:v>ICE</x:v>
      </x:c>
      <x:c r="H807" s="3" t="str">
        <x:v>Pickup</x:v>
      </x:c>
      <x:c r="I807" s="3" t="str">
        <x:v>Double cab</x:v>
      </x:c>
      <x:c r="J807" s="3" t="n">
        <x:v>2022</x:v>
      </x:c>
      <x:c r="K807" s="3" t="str">
        <x:v>2.4 MID PRERUNNER DOUBLE CAB</x:v>
      </x:c>
      <x:c r="L807" s="3" t="str">
        <x:v>2.4 MID PRERUNNER DOUBLE CAB</x:v>
      </x:c>
      <x:c r="M807" s="22"/>
      <x:c r="N807" s="22"/>
      <x:c r="O807" s="22"/>
      <x:c r="P807" s="3" t="str">
        <x:v>未掲載</x:v>
      </x:c>
      <x:c r="Q807" s="3" t="str">
        <x:v>未取得</x:v>
      </x:c>
      <x:c r="R807" s="3" t="str">
        <x:v>Unknown</x:v>
      </x:c>
      <x:c r="S807" s="3" t="str">
        <x:v>不明</x:v>
      </x:c>
      <x:c r="T807" s="3" t="str">
        <x:v>世代不明</x:v>
      </x:c>
      <x:c r="U807" s="28" t="n">
        <x:v>710000</x:v>
      </x:c>
      <x:c r="V807" s="28"/>
      <x:c r="W807" s="3" t="str">
        <x:v>事故・水没・SOH・保証残は未確認</x:v>
      </x:c>
      <x:c r="X807" s="3" t="str">
        <x:v>掲載中・在庫未確認</x:v>
      </x:c>
      <x:c r="Y807" s="3" t="str"/>
      <x:c r="Z807" s="27" t="str">
        <x:v>https://www.taladrod.com/w40/icar/cardet.aspx?cid=2921079</x:v>
      </x:c>
      <x:c r="AA807" s="3" t="str">
        <x:v>Taladrod個別広告ID／Carsome在庫ID</x:v>
      </x:c>
      <x:c r="AB807" s="3" t="str">
        <x:v>車台番号未取得／サイト間重複は未判定</x:v>
      </x:c>
      <x:c r="AC807" s="3" t="str">
        <x:v>税込区分未確認（一覧表示額）</x:v>
      </x:c>
      <x:c r="AD807" s="3" t="str"/>
      <x:c r="AE807" s="29" t="str">
        <x:f>""</x:f>
      </x:c>
      <x:c r="AF807" s="30" t="str">
        <x:f>IF(ISNUMBER(AE807),U807/AE807,"")</x:f>
      </x:c>
      <x:c r="AG807" s="29" t="str">
        <x:f>""</x:f>
      </x:c>
      <x:c r="AH807" s="30" t="str">
        <x:f>IF(ISNUMBER(AG807),U807/AG807,"")</x:f>
      </x:c>
      <x:c r="AI807" s="3" t="str">
        <x:v>同年式・グレードの検証済み当時価格なし／登録年混在</x:v>
      </x:c>
      <x:c r="AJ807" s="3" t="str">
        <x:v>一覧価格/年式のみ</x:v>
      </x:c>
      <x:c r="AK807" s="3" t="str">
        <x:v>一覧の表示価格。年式は掲載年式。</x:v>
      </x:c>
      <x:c r="AL807" s="31" t="n">
        <x:f>IF(AND(J807&lt;='分析方法'!$B$7,OR(ISBLANK(O807),O807&gt;='分析方法'!$B$8),X807&lt;&gt;"売却済み表示"),1,0)</x:f>
        <x:v>1</x:v>
      </x:c>
      <x:c r="AM807" s="32" t="n">
        <x:f>IF(AL807=1,U807,"")</x:f>
        <x:v>710000</x:v>
      </x:c>
      <x:c r="AN807" s="33" t="str">
        <x:f>IF(AL807=1,AF807,"")</x:f>
      </x:c>
      <x:c r="AO807" s="31" t="n">
        <x:f>'分析方法'!$B$6-J807</x:f>
        <x:v>4</x:v>
      </x:c>
      <x:c r="AP807" s="3"/>
    </x:row>
    <x:row r="808" ht="22" customHeight="1">
      <x:c r="A808" s="3" t="str">
        <x:v>T2925776</x:v>
      </x:c>
      <x:c r="B808" s="7" t="d">
        <x:v>2026-10-08T00:00:00.000Z</x:v>
      </x:c>
      <x:c r="C808" s="3" t="str">
        <x:v>Taladrod</x:v>
      </x:c>
      <x:c r="D808" s="3" t="str">
        <x:v>Toyota</x:v>
      </x:c>
      <x:c r="E808" s="3" t="str">
        <x:v>日本</x:v>
      </x:c>
      <x:c r="F808" s="3" t="str">
        <x:v>Hilux Revo</x:v>
      </x:c>
      <x:c r="G808" s="3" t="str">
        <x:v>ICE</x:v>
      </x:c>
      <x:c r="H808" s="3" t="str">
        <x:v>Pickup</x:v>
      </x:c>
      <x:c r="I808" s="3" t="str">
        <x:v>Double cab</x:v>
      </x:c>
      <x:c r="J808" s="3" t="n">
        <x:v>2022</x:v>
      </x:c>
      <x:c r="K808" s="3" t="str">
        <x:v>2.4 MID PRERUNNER DOUBLE CAB</x:v>
      </x:c>
      <x:c r="L808" s="3" t="str">
        <x:v>2.4 MID PRERUNNER DOUBLE CAB</x:v>
      </x:c>
      <x:c r="M808" s="22"/>
      <x:c r="N808" s="22"/>
      <x:c r="O808" s="22"/>
      <x:c r="P808" s="3" t="str">
        <x:v>未掲載</x:v>
      </x:c>
      <x:c r="Q808" s="3" t="str">
        <x:v>未取得</x:v>
      </x:c>
      <x:c r="R808" s="3" t="str">
        <x:v>Unknown</x:v>
      </x:c>
      <x:c r="S808" s="3" t="str">
        <x:v>不明</x:v>
      </x:c>
      <x:c r="T808" s="3" t="str">
        <x:v>世代不明</x:v>
      </x:c>
      <x:c r="U808" s="28" t="n">
        <x:v>659000</x:v>
      </x:c>
      <x:c r="V808" s="28"/>
      <x:c r="W808" s="3" t="str">
        <x:v>事故・水没・SOH・保証残は未確認</x:v>
      </x:c>
      <x:c r="X808" s="3" t="str">
        <x:v>掲載中・在庫未確認</x:v>
      </x:c>
      <x:c r="Y808" s="3" t="str"/>
      <x:c r="Z808" s="27" t="str">
        <x:v>https://www.taladrod.com/w40/icar/cardet.aspx?cid=2925776</x:v>
      </x:c>
      <x:c r="AA808" s="3" t="str">
        <x:v>Taladrod個別広告ID／Carsome在庫ID</x:v>
      </x:c>
      <x:c r="AB808" s="3" t="str">
        <x:v>車台番号未取得／サイト間重複は未判定</x:v>
      </x:c>
      <x:c r="AC808" s="3" t="str">
        <x:v>税込区分未確認（一覧表示額）</x:v>
      </x:c>
      <x:c r="AD808" s="3" t="str"/>
      <x:c r="AE808" s="29" t="str">
        <x:f>""</x:f>
      </x:c>
      <x:c r="AF808" s="30" t="str">
        <x:f>IF(ISNUMBER(AE808),U808/AE808,"")</x:f>
      </x:c>
      <x:c r="AG808" s="29" t="str">
        <x:f>""</x:f>
      </x:c>
      <x:c r="AH808" s="30" t="str">
        <x:f>IF(ISNUMBER(AG808),U808/AG808,"")</x:f>
      </x:c>
      <x:c r="AI808" s="3" t="str">
        <x:v>同年式・グレードの検証済み当時価格なし／登録年混在</x:v>
      </x:c>
      <x:c r="AJ808" s="3" t="str">
        <x:v>一覧価格/年式のみ</x:v>
      </x:c>
      <x:c r="AK808" s="3" t="str">
        <x:v>一覧の表示価格。年式は掲載年式。</x:v>
      </x:c>
      <x:c r="AL808" s="31" t="n">
        <x:f>IF(AND(J808&lt;='分析方法'!$B$7,OR(ISBLANK(O808),O808&gt;='分析方法'!$B$8),X808&lt;&gt;"売却済み表示"),1,0)</x:f>
        <x:v>1</x:v>
      </x:c>
      <x:c r="AM808" s="32" t="n">
        <x:f>IF(AL808=1,U808,"")</x:f>
        <x:v>659000</x:v>
      </x:c>
      <x:c r="AN808" s="33" t="str">
        <x:f>IF(AL808=1,AF808,"")</x:f>
      </x:c>
      <x:c r="AO808" s="31" t="n">
        <x:f>'分析方法'!$B$6-J808</x:f>
        <x:v>4</x:v>
      </x:c>
      <x:c r="AP808" s="3"/>
    </x:row>
    <x:row r="809" ht="22" customHeight="1">
      <x:c r="A809" s="3" t="str">
        <x:v>T2895805</x:v>
      </x:c>
      <x:c r="B809" s="7" t="d">
        <x:v>2026-10-08T00:00:00.000Z</x:v>
      </x:c>
      <x:c r="C809" s="3" t="str">
        <x:v>Taladrod</x:v>
      </x:c>
      <x:c r="D809" s="3" t="str">
        <x:v>Toyota</x:v>
      </x:c>
      <x:c r="E809" s="3" t="str">
        <x:v>日本</x:v>
      </x:c>
      <x:c r="F809" s="3" t="str">
        <x:v>Hilux Revo</x:v>
      </x:c>
      <x:c r="G809" s="3" t="str">
        <x:v>ICE</x:v>
      </x:c>
      <x:c r="H809" s="3" t="str">
        <x:v>Pickup</x:v>
      </x:c>
      <x:c r="I809" s="3" t="str">
        <x:v>Smart cab</x:v>
      </x:c>
      <x:c r="J809" s="3" t="n">
        <x:v>2022</x:v>
      </x:c>
      <x:c r="K809" s="3" t="str">
        <x:v>2.4 MID PRERUNNER SMART CAB</x:v>
      </x:c>
      <x:c r="L809" s="3" t="str">
        <x:v>2.4 MID PRERUNNER SMART CAB</x:v>
      </x:c>
      <x:c r="M809" s="22"/>
      <x:c r="N809" s="22"/>
      <x:c r="O809" s="22"/>
      <x:c r="P809" s="3" t="str">
        <x:v>未掲載</x:v>
      </x:c>
      <x:c r="Q809" s="3" t="str">
        <x:v>未取得</x:v>
      </x:c>
      <x:c r="R809" s="3" t="str">
        <x:v>Unknown</x:v>
      </x:c>
      <x:c r="S809" s="3" t="str">
        <x:v>不明</x:v>
      </x:c>
      <x:c r="T809" s="3" t="str">
        <x:v>世代不明</x:v>
      </x:c>
      <x:c r="U809" s="28" t="n">
        <x:v>494000</x:v>
      </x:c>
      <x:c r="V809" s="28"/>
      <x:c r="W809" s="3" t="str">
        <x:v>事故・水没・SOH・保証残は未確認</x:v>
      </x:c>
      <x:c r="X809" s="3" t="str">
        <x:v>掲載中・在庫未確認</x:v>
      </x:c>
      <x:c r="Y809" s="3" t="str"/>
      <x:c r="Z809" s="27" t="str">
        <x:v>https://www.taladrod.com/w40/icar/cardet.aspx?cid=2895805</x:v>
      </x:c>
      <x:c r="AA809" s="3" t="str">
        <x:v>Taladrod個別広告ID／Carsome在庫ID</x:v>
      </x:c>
      <x:c r="AB809" s="3" t="str">
        <x:v>車台番号未取得／サイト間重複は未判定</x:v>
      </x:c>
      <x:c r="AC809" s="3" t="str">
        <x:v>税込区分未確認（一覧表示額）</x:v>
      </x:c>
      <x:c r="AD809" s="3" t="str"/>
      <x:c r="AE809" s="29" t="str">
        <x:f>""</x:f>
      </x:c>
      <x:c r="AF809" s="30" t="str">
        <x:f>IF(ISNUMBER(AE809),U809/AE809,"")</x:f>
      </x:c>
      <x:c r="AG809" s="29" t="str">
        <x:f>""</x:f>
      </x:c>
      <x:c r="AH809" s="30" t="str">
        <x:f>IF(ISNUMBER(AG809),U809/AG809,"")</x:f>
      </x:c>
      <x:c r="AI809" s="3" t="str">
        <x:v>同年式・グレードの検証済み当時価格なし／登録年混在</x:v>
      </x:c>
      <x:c r="AJ809" s="3" t="str">
        <x:v>一覧価格/年式のみ</x:v>
      </x:c>
      <x:c r="AK809" s="3" t="str">
        <x:v>一覧の表示価格。年式は掲載年式。</x:v>
      </x:c>
      <x:c r="AL809" s="31" t="n">
        <x:f>IF(AND(J809&lt;='分析方法'!$B$7,OR(ISBLANK(O809),O809&gt;='分析方法'!$B$8),X809&lt;&gt;"売却済み表示"),1,0)</x:f>
        <x:v>1</x:v>
      </x:c>
      <x:c r="AM809" s="32" t="n">
        <x:f>IF(AL809=1,U809,"")</x:f>
        <x:v>494000</x:v>
      </x:c>
      <x:c r="AN809" s="33" t="str">
        <x:f>IF(AL809=1,AF809,"")</x:f>
      </x:c>
      <x:c r="AO809" s="31" t="n">
        <x:f>'分析方法'!$B$6-J809</x:f>
        <x:v>4</x:v>
      </x:c>
      <x:c r="AP809" s="3"/>
    </x:row>
    <x:row r="810" ht="22" customHeight="1">
      <x:c r="A810" s="3" t="str">
        <x:v>T2906079</x:v>
      </x:c>
      <x:c r="B810" s="7" t="d">
        <x:v>2026-10-08T00:00:00.000Z</x:v>
      </x:c>
      <x:c r="C810" s="3" t="str">
        <x:v>Taladrod</x:v>
      </x:c>
      <x:c r="D810" s="3" t="str">
        <x:v>Toyota</x:v>
      </x:c>
      <x:c r="E810" s="3" t="str">
        <x:v>日本</x:v>
      </x:c>
      <x:c r="F810" s="3" t="str">
        <x:v>Hilux Revo</x:v>
      </x:c>
      <x:c r="G810" s="3" t="str">
        <x:v>ICE</x:v>
      </x:c>
      <x:c r="H810" s="3" t="str">
        <x:v>Pickup</x:v>
      </x:c>
      <x:c r="I810" s="3" t="str">
        <x:v>Smart cab</x:v>
      </x:c>
      <x:c r="J810" s="3" t="n">
        <x:v>2022</x:v>
      </x:c>
      <x:c r="K810" s="3" t="str">
        <x:v>2.4 MID PRERUNNER SMART CAB</x:v>
      </x:c>
      <x:c r="L810" s="3" t="str">
        <x:v>2.4 MID PRERUNNER SMART CAB</x:v>
      </x:c>
      <x:c r="M810" s="22"/>
      <x:c r="N810" s="22"/>
      <x:c r="O810" s="22"/>
      <x:c r="P810" s="3" t="str">
        <x:v>未掲載</x:v>
      </x:c>
      <x:c r="Q810" s="3" t="str">
        <x:v>未取得</x:v>
      </x:c>
      <x:c r="R810" s="3" t="str">
        <x:v>Unknown</x:v>
      </x:c>
      <x:c r="S810" s="3" t="str">
        <x:v>不明</x:v>
      </x:c>
      <x:c r="T810" s="3" t="str">
        <x:v>世代不明</x:v>
      </x:c>
      <x:c r="U810" s="28" t="n">
        <x:v>600000</x:v>
      </x:c>
      <x:c r="V810" s="28"/>
      <x:c r="W810" s="3" t="str">
        <x:v>事故・水没・SOH・保証残は未確認</x:v>
      </x:c>
      <x:c r="X810" s="3" t="str">
        <x:v>掲載中・在庫未確認</x:v>
      </x:c>
      <x:c r="Y810" s="3" t="str"/>
      <x:c r="Z810" s="27" t="str">
        <x:v>https://www.taladrod.com/w40/icar/cardet.aspx?cid=2906079</x:v>
      </x:c>
      <x:c r="AA810" s="3" t="str">
        <x:v>Taladrod個別広告ID／Carsome在庫ID</x:v>
      </x:c>
      <x:c r="AB810" s="3" t="str">
        <x:v>車台番号未取得／サイト間重複は未判定</x:v>
      </x:c>
      <x:c r="AC810" s="3" t="str">
        <x:v>税込区分未確認（一覧表示額）</x:v>
      </x:c>
      <x:c r="AD810" s="3" t="str"/>
      <x:c r="AE810" s="29" t="str">
        <x:f>""</x:f>
      </x:c>
      <x:c r="AF810" s="30" t="str">
        <x:f>IF(ISNUMBER(AE810),U810/AE810,"")</x:f>
      </x:c>
      <x:c r="AG810" s="29" t="str">
        <x:f>""</x:f>
      </x:c>
      <x:c r="AH810" s="30" t="str">
        <x:f>IF(ISNUMBER(AG810),U810/AG810,"")</x:f>
      </x:c>
      <x:c r="AI810" s="3" t="str">
        <x:v>同年式・グレードの検証済み当時価格なし／登録年混在</x:v>
      </x:c>
      <x:c r="AJ810" s="3" t="str">
        <x:v>一覧価格/年式のみ</x:v>
      </x:c>
      <x:c r="AK810" s="3" t="str">
        <x:v>一覧の表示価格。年式は掲載年式。</x:v>
      </x:c>
      <x:c r="AL810" s="31" t="n">
        <x:f>IF(AND(J810&lt;='分析方法'!$B$7,OR(ISBLANK(O810),O810&gt;='分析方法'!$B$8),X810&lt;&gt;"売却済み表示"),1,0)</x:f>
        <x:v>1</x:v>
      </x:c>
      <x:c r="AM810" s="32" t="n">
        <x:f>IF(AL810=1,U810,"")</x:f>
        <x:v>600000</x:v>
      </x:c>
      <x:c r="AN810" s="33" t="str">
        <x:f>IF(AL810=1,AF810,"")</x:f>
      </x:c>
      <x:c r="AO810" s="31" t="n">
        <x:f>'分析方法'!$B$6-J810</x:f>
        <x:v>4</x:v>
      </x:c>
      <x:c r="AP810" s="3"/>
    </x:row>
    <x:row r="811" ht="22" customHeight="1">
      <x:c r="A811" s="3" t="str">
        <x:v>T2908561</x:v>
      </x:c>
      <x:c r="B811" s="7" t="d">
        <x:v>2026-10-08T00:00:00.000Z</x:v>
      </x:c>
      <x:c r="C811" s="3" t="str">
        <x:v>Taladrod</x:v>
      </x:c>
      <x:c r="D811" s="3" t="str">
        <x:v>Toyota</x:v>
      </x:c>
      <x:c r="E811" s="3" t="str">
        <x:v>日本</x:v>
      </x:c>
      <x:c r="F811" s="3" t="str">
        <x:v>Hilux Revo</x:v>
      </x:c>
      <x:c r="G811" s="3" t="str">
        <x:v>ICE</x:v>
      </x:c>
      <x:c r="H811" s="3" t="str">
        <x:v>Pickup</x:v>
      </x:c>
      <x:c r="I811" s="3" t="str">
        <x:v>Smart cab</x:v>
      </x:c>
      <x:c r="J811" s="3" t="n">
        <x:v>2022</x:v>
      </x:c>
      <x:c r="K811" s="3" t="str">
        <x:v>2.4 MID PRERUNNER SMART CAB</x:v>
      </x:c>
      <x:c r="L811" s="3" t="str">
        <x:v>2.4 MID PRERUNNER SMART CAB</x:v>
      </x:c>
      <x:c r="M811" s="22"/>
      <x:c r="N811" s="22"/>
      <x:c r="O811" s="22"/>
      <x:c r="P811" s="3" t="str">
        <x:v>未掲載</x:v>
      </x:c>
      <x:c r="Q811" s="3" t="str">
        <x:v>未取得</x:v>
      </x:c>
      <x:c r="R811" s="3" t="str">
        <x:v>Unknown</x:v>
      </x:c>
      <x:c r="S811" s="3" t="str">
        <x:v>不明</x:v>
      </x:c>
      <x:c r="T811" s="3" t="str">
        <x:v>世代不明</x:v>
      </x:c>
      <x:c r="U811" s="28" t="n">
        <x:v>499000</x:v>
      </x:c>
      <x:c r="V811" s="28"/>
      <x:c r="W811" s="3" t="str">
        <x:v>事故・水没・SOH・保証残は未確認</x:v>
      </x:c>
      <x:c r="X811" s="3" t="str">
        <x:v>掲載中・在庫未確認</x:v>
      </x:c>
      <x:c r="Y811" s="3" t="str"/>
      <x:c r="Z811" s="27" t="str">
        <x:v>https://www.taladrod.com/w40/icar/cardet.aspx?cid=2908561</x:v>
      </x:c>
      <x:c r="AA811" s="3" t="str">
        <x:v>Taladrod個別広告ID／Carsome在庫ID</x:v>
      </x:c>
      <x:c r="AB811" s="3" t="str">
        <x:v>車台番号未取得／サイト間重複は未判定</x:v>
      </x:c>
      <x:c r="AC811" s="3" t="str">
        <x:v>税込区分未確認（一覧表示額）</x:v>
      </x:c>
      <x:c r="AD811" s="3" t="str"/>
      <x:c r="AE811" s="29" t="str">
        <x:f>""</x:f>
      </x:c>
      <x:c r="AF811" s="30" t="str">
        <x:f>IF(ISNUMBER(AE811),U811/AE811,"")</x:f>
      </x:c>
      <x:c r="AG811" s="29" t="str">
        <x:f>""</x:f>
      </x:c>
      <x:c r="AH811" s="30" t="str">
        <x:f>IF(ISNUMBER(AG811),U811/AG811,"")</x:f>
      </x:c>
      <x:c r="AI811" s="3" t="str">
        <x:v>同年式・グレードの検証済み当時価格なし／登録年混在</x:v>
      </x:c>
      <x:c r="AJ811" s="3" t="str">
        <x:v>一覧価格/年式のみ</x:v>
      </x:c>
      <x:c r="AK811" s="3" t="str">
        <x:v>一覧の表示価格。年式は掲載年式。</x:v>
      </x:c>
      <x:c r="AL811" s="31" t="n">
        <x:f>IF(AND(J811&lt;='分析方法'!$B$7,OR(ISBLANK(O811),O811&gt;='分析方法'!$B$8),X811&lt;&gt;"売却済み表示"),1,0)</x:f>
        <x:v>1</x:v>
      </x:c>
      <x:c r="AM811" s="32" t="n">
        <x:f>IF(AL811=1,U811,"")</x:f>
        <x:v>499000</x:v>
      </x:c>
      <x:c r="AN811" s="33" t="str">
        <x:f>IF(AL811=1,AF811,"")</x:f>
      </x:c>
      <x:c r="AO811" s="31" t="n">
        <x:f>'分析方法'!$B$6-J811</x:f>
        <x:v>4</x:v>
      </x:c>
      <x:c r="AP811" s="3"/>
    </x:row>
    <x:row r="812" ht="22" customHeight="1">
      <x:c r="A812" s="3" t="str">
        <x:v>T2911479</x:v>
      </x:c>
      <x:c r="B812" s="7" t="d">
        <x:v>2026-10-08T00:00:00.000Z</x:v>
      </x:c>
      <x:c r="C812" s="3" t="str">
        <x:v>Taladrod</x:v>
      </x:c>
      <x:c r="D812" s="3" t="str">
        <x:v>Toyota</x:v>
      </x:c>
      <x:c r="E812" s="3" t="str">
        <x:v>日本</x:v>
      </x:c>
      <x:c r="F812" s="3" t="str">
        <x:v>Hilux Revo</x:v>
      </x:c>
      <x:c r="G812" s="3" t="str">
        <x:v>ICE</x:v>
      </x:c>
      <x:c r="H812" s="3" t="str">
        <x:v>Pickup</x:v>
      </x:c>
      <x:c r="I812" s="3" t="str">
        <x:v>Smart cab</x:v>
      </x:c>
      <x:c r="J812" s="3" t="n">
        <x:v>2022</x:v>
      </x:c>
      <x:c r="K812" s="3" t="str">
        <x:v>2.4 MID PRERUNNER SMART CAB</x:v>
      </x:c>
      <x:c r="L812" s="3" t="str">
        <x:v>2.4 MID PRERUNNER SMART CAB</x:v>
      </x:c>
      <x:c r="M812" s="22"/>
      <x:c r="N812" s="22"/>
      <x:c r="O812" s="22"/>
      <x:c r="P812" s="3" t="str">
        <x:v>未掲載</x:v>
      </x:c>
      <x:c r="Q812" s="3" t="str">
        <x:v>未取得</x:v>
      </x:c>
      <x:c r="R812" s="3" t="str">
        <x:v>Unknown</x:v>
      </x:c>
      <x:c r="S812" s="3" t="str">
        <x:v>不明</x:v>
      </x:c>
      <x:c r="T812" s="3" t="str">
        <x:v>世代不明</x:v>
      </x:c>
      <x:c r="U812" s="28" t="n">
        <x:v>479000</x:v>
      </x:c>
      <x:c r="V812" s="28"/>
      <x:c r="W812" s="3" t="str">
        <x:v>事故・水没・SOH・保証残は未確認</x:v>
      </x:c>
      <x:c r="X812" s="3" t="str">
        <x:v>掲載中・在庫未確認</x:v>
      </x:c>
      <x:c r="Y812" s="3" t="str"/>
      <x:c r="Z812" s="27" t="str">
        <x:v>https://www.taladrod.com/w40/icar/cardet.aspx?cid=2911479</x:v>
      </x:c>
      <x:c r="AA812" s="3" t="str">
        <x:v>Taladrod個別広告ID／Carsome在庫ID</x:v>
      </x:c>
      <x:c r="AB812" s="3" t="str">
        <x:v>車台番号未取得／サイト間重複は未判定</x:v>
      </x:c>
      <x:c r="AC812" s="3" t="str">
        <x:v>税込区分未確認（一覧表示額）</x:v>
      </x:c>
      <x:c r="AD812" s="3" t="str"/>
      <x:c r="AE812" s="29" t="str">
        <x:f>""</x:f>
      </x:c>
      <x:c r="AF812" s="30" t="str">
        <x:f>IF(ISNUMBER(AE812),U812/AE812,"")</x:f>
      </x:c>
      <x:c r="AG812" s="29" t="str">
        <x:f>""</x:f>
      </x:c>
      <x:c r="AH812" s="30" t="str">
        <x:f>IF(ISNUMBER(AG812),U812/AG812,"")</x:f>
      </x:c>
      <x:c r="AI812" s="3" t="str">
        <x:v>同年式・グレードの検証済み当時価格なし／登録年混在</x:v>
      </x:c>
      <x:c r="AJ812" s="3" t="str">
        <x:v>一覧価格/年式のみ</x:v>
      </x:c>
      <x:c r="AK812" s="3" t="str">
        <x:v>一覧の表示価格。年式は掲載年式。</x:v>
      </x:c>
      <x:c r="AL812" s="31" t="n">
        <x:f>IF(AND(J812&lt;='分析方法'!$B$7,OR(ISBLANK(O812),O812&gt;='分析方法'!$B$8),X812&lt;&gt;"売却済み表示"),1,0)</x:f>
        <x:v>1</x:v>
      </x:c>
      <x:c r="AM812" s="32" t="n">
        <x:f>IF(AL812=1,U812,"")</x:f>
        <x:v>479000</x:v>
      </x:c>
      <x:c r="AN812" s="33" t="str">
        <x:f>IF(AL812=1,AF812,"")</x:f>
      </x:c>
      <x:c r="AO812" s="31" t="n">
        <x:f>'分析方法'!$B$6-J812</x:f>
        <x:v>4</x:v>
      </x:c>
      <x:c r="AP812" s="3"/>
    </x:row>
    <x:row r="813" ht="22" customHeight="1">
      <x:c r="A813" s="3" t="str">
        <x:v>T2915853</x:v>
      </x:c>
      <x:c r="B813" s="7" t="d">
        <x:v>2026-10-08T00:00:00.000Z</x:v>
      </x:c>
      <x:c r="C813" s="3" t="str">
        <x:v>Taladrod</x:v>
      </x:c>
      <x:c r="D813" s="3" t="str">
        <x:v>Toyota</x:v>
      </x:c>
      <x:c r="E813" s="3" t="str">
        <x:v>日本</x:v>
      </x:c>
      <x:c r="F813" s="3" t="str">
        <x:v>Hilux Revo</x:v>
      </x:c>
      <x:c r="G813" s="3" t="str">
        <x:v>ICE</x:v>
      </x:c>
      <x:c r="H813" s="3" t="str">
        <x:v>Pickup</x:v>
      </x:c>
      <x:c r="I813" s="3" t="str">
        <x:v>Smart cab</x:v>
      </x:c>
      <x:c r="J813" s="3" t="n">
        <x:v>2022</x:v>
      </x:c>
      <x:c r="K813" s="3" t="str">
        <x:v>2.4 MID PRERUNNER SMART CAB</x:v>
      </x:c>
      <x:c r="L813" s="3" t="str">
        <x:v>2.4 MID PRERUNNER SMART CAB</x:v>
      </x:c>
      <x:c r="M813" s="22"/>
      <x:c r="N813" s="22"/>
      <x:c r="O813" s="22"/>
      <x:c r="P813" s="3" t="str">
        <x:v>未掲載</x:v>
      </x:c>
      <x:c r="Q813" s="3" t="str">
        <x:v>未取得</x:v>
      </x:c>
      <x:c r="R813" s="3" t="str">
        <x:v>Unknown</x:v>
      </x:c>
      <x:c r="S813" s="3" t="str">
        <x:v>不明</x:v>
      </x:c>
      <x:c r="T813" s="3" t="str">
        <x:v>世代不明</x:v>
      </x:c>
      <x:c r="U813" s="28" t="n">
        <x:v>569000</x:v>
      </x:c>
      <x:c r="V813" s="28"/>
      <x:c r="W813" s="3" t="str">
        <x:v>事故・水没・SOH・保証残は未確認</x:v>
      </x:c>
      <x:c r="X813" s="3" t="str">
        <x:v>掲載中・在庫未確認</x:v>
      </x:c>
      <x:c r="Y813" s="3" t="str"/>
      <x:c r="Z813" s="27" t="str">
        <x:v>https://www.taladrod.com/w40/icar/cardet.aspx?cid=2915853</x:v>
      </x:c>
      <x:c r="AA813" s="3" t="str">
        <x:v>Taladrod個別広告ID／Carsome在庫ID</x:v>
      </x:c>
      <x:c r="AB813" s="3" t="str">
        <x:v>車台番号未取得／サイト間重複は未判定</x:v>
      </x:c>
      <x:c r="AC813" s="3" t="str">
        <x:v>税込区分未確認（一覧表示額）</x:v>
      </x:c>
      <x:c r="AD813" s="3" t="str"/>
      <x:c r="AE813" s="29" t="str">
        <x:f>""</x:f>
      </x:c>
      <x:c r="AF813" s="30" t="str">
        <x:f>IF(ISNUMBER(AE813),U813/AE813,"")</x:f>
      </x:c>
      <x:c r="AG813" s="29" t="str">
        <x:f>""</x:f>
      </x:c>
      <x:c r="AH813" s="30" t="str">
        <x:f>IF(ISNUMBER(AG813),U813/AG813,"")</x:f>
      </x:c>
      <x:c r="AI813" s="3" t="str">
        <x:v>同年式・グレードの検証済み当時価格なし／登録年混在</x:v>
      </x:c>
      <x:c r="AJ813" s="3" t="str">
        <x:v>一覧価格/年式のみ</x:v>
      </x:c>
      <x:c r="AK813" s="3" t="str">
        <x:v>一覧の表示価格。年式は掲載年式。</x:v>
      </x:c>
      <x:c r="AL813" s="31" t="n">
        <x:f>IF(AND(J813&lt;='分析方法'!$B$7,OR(ISBLANK(O813),O813&gt;='分析方法'!$B$8),X813&lt;&gt;"売却済み表示"),1,0)</x:f>
        <x:v>1</x:v>
      </x:c>
      <x:c r="AM813" s="32" t="n">
        <x:f>IF(AL813=1,U813,"")</x:f>
        <x:v>569000</x:v>
      </x:c>
      <x:c r="AN813" s="33" t="str">
        <x:f>IF(AL813=1,AF813,"")</x:f>
      </x:c>
      <x:c r="AO813" s="31" t="n">
        <x:f>'分析方法'!$B$6-J813</x:f>
        <x:v>4</x:v>
      </x:c>
      <x:c r="AP813" s="3"/>
    </x:row>
    <x:row r="814" ht="22" customHeight="1">
      <x:c r="A814" s="3" t="str">
        <x:v>T2889043</x:v>
      </x:c>
      <x:c r="B814" s="7" t="d">
        <x:v>2026-10-08T00:00:00.000Z</x:v>
      </x:c>
      <x:c r="C814" s="3" t="str">
        <x:v>Taladrod</x:v>
      </x:c>
      <x:c r="D814" s="3" t="str">
        <x:v>Toyota</x:v>
      </x:c>
      <x:c r="E814" s="3" t="str">
        <x:v>日本</x:v>
      </x:c>
      <x:c r="F814" s="3" t="str">
        <x:v>Hilux Revo</x:v>
      </x:c>
      <x:c r="G814" s="3" t="str">
        <x:v>ICE</x:v>
      </x:c>
      <x:c r="H814" s="3" t="str">
        <x:v>Pickup</x:v>
      </x:c>
      <x:c r="I814" s="3" t="str">
        <x:v>Double cab</x:v>
      </x:c>
      <x:c r="J814" s="3" t="n">
        <x:v>2022</x:v>
      </x:c>
      <x:c r="K814" s="3" t="str">
        <x:v>2.4 MID Z EDITION DOUBLE CAB</x:v>
      </x:c>
      <x:c r="L814" s="3" t="str">
        <x:v>2.4 MID Z EDITION DOUBLE CAB</x:v>
      </x:c>
      <x:c r="M814" s="22"/>
      <x:c r="N814" s="22"/>
      <x:c r="O814" s="22"/>
      <x:c r="P814" s="3" t="str">
        <x:v>未掲載</x:v>
      </x:c>
      <x:c r="Q814" s="3" t="str">
        <x:v>未取得</x:v>
      </x:c>
      <x:c r="R814" s="3" t="str">
        <x:v>Unknown</x:v>
      </x:c>
      <x:c r="S814" s="3" t="str">
        <x:v>不明</x:v>
      </x:c>
      <x:c r="T814" s="3" t="str">
        <x:v>世代不明</x:v>
      </x:c>
      <x:c r="U814" s="28" t="n">
        <x:v>459000</x:v>
      </x:c>
      <x:c r="V814" s="28"/>
      <x:c r="W814" s="3" t="str">
        <x:v>事故・水没・SOH・保証残は未確認</x:v>
      </x:c>
      <x:c r="X814" s="3" t="str">
        <x:v>掲載中・在庫未確認</x:v>
      </x:c>
      <x:c r="Y814" s="3" t="str"/>
      <x:c r="Z814" s="27" t="str">
        <x:v>https://www.taladrod.com/w40/icar/cardet.aspx?cid=2889043</x:v>
      </x:c>
      <x:c r="AA814" s="3" t="str">
        <x:v>Taladrod個別広告ID／Carsome在庫ID</x:v>
      </x:c>
      <x:c r="AB814" s="3" t="str">
        <x:v>車台番号未取得／サイト間重複は未判定</x:v>
      </x:c>
      <x:c r="AC814" s="3" t="str">
        <x:v>税込区分未確認（一覧表示額）</x:v>
      </x:c>
      <x:c r="AD814" s="3" t="str"/>
      <x:c r="AE814" s="29" t="str">
        <x:f>""</x:f>
      </x:c>
      <x:c r="AF814" s="30" t="str">
        <x:f>IF(ISNUMBER(AE814),U814/AE814,"")</x:f>
      </x:c>
      <x:c r="AG814" s="29" t="str">
        <x:f>""</x:f>
      </x:c>
      <x:c r="AH814" s="30" t="str">
        <x:f>IF(ISNUMBER(AG814),U814/AG814,"")</x:f>
      </x:c>
      <x:c r="AI814" s="3" t="str">
        <x:v>同年式・グレードの検証済み当時価格なし／登録年混在</x:v>
      </x:c>
      <x:c r="AJ814" s="3" t="str">
        <x:v>一覧価格/年式のみ</x:v>
      </x:c>
      <x:c r="AK814" s="3" t="str">
        <x:v>一覧の表示価格。年式は掲載年式。</x:v>
      </x:c>
      <x:c r="AL814" s="31" t="n">
        <x:f>IF(AND(J814&lt;='分析方法'!$B$7,OR(ISBLANK(O814),O814&gt;='分析方法'!$B$8),X814&lt;&gt;"売却済み表示"),1,0)</x:f>
        <x:v>1</x:v>
      </x:c>
      <x:c r="AM814" s="32" t="n">
        <x:f>IF(AL814=1,U814,"")</x:f>
        <x:v>459000</x:v>
      </x:c>
      <x:c r="AN814" s="33" t="str">
        <x:f>IF(AL814=1,AF814,"")</x:f>
      </x:c>
      <x:c r="AO814" s="31" t="n">
        <x:f>'分析方法'!$B$6-J814</x:f>
        <x:v>4</x:v>
      </x:c>
      <x:c r="AP814" s="3"/>
    </x:row>
    <x:row r="815" ht="22" customHeight="1">
      <x:c r="A815" s="3" t="str">
        <x:v>T2893699</x:v>
      </x:c>
      <x:c r="B815" s="7" t="d">
        <x:v>2026-10-08T00:00:00.000Z</x:v>
      </x:c>
      <x:c r="C815" s="3" t="str">
        <x:v>Taladrod</x:v>
      </x:c>
      <x:c r="D815" s="3" t="str">
        <x:v>Toyota</x:v>
      </x:c>
      <x:c r="E815" s="3" t="str">
        <x:v>日本</x:v>
      </x:c>
      <x:c r="F815" s="3" t="str">
        <x:v>Hilux Revo</x:v>
      </x:c>
      <x:c r="G815" s="3" t="str">
        <x:v>ICE</x:v>
      </x:c>
      <x:c r="H815" s="3" t="str">
        <x:v>Pickup</x:v>
      </x:c>
      <x:c r="I815" s="3" t="str">
        <x:v>Double cab</x:v>
      </x:c>
      <x:c r="J815" s="3" t="n">
        <x:v>2022</x:v>
      </x:c>
      <x:c r="K815" s="3" t="str">
        <x:v>2.4 MID Z EDITION DOUBLE CAB</x:v>
      </x:c>
      <x:c r="L815" s="3" t="str">
        <x:v>2.4 MID Z EDITION DOUBLE CAB</x:v>
      </x:c>
      <x:c r="M815" s="22"/>
      <x:c r="N815" s="22"/>
      <x:c r="O815" s="22"/>
      <x:c r="P815" s="3" t="str">
        <x:v>未掲載</x:v>
      </x:c>
      <x:c r="Q815" s="3" t="str">
        <x:v>未取得</x:v>
      </x:c>
      <x:c r="R815" s="3" t="str">
        <x:v>Unknown</x:v>
      </x:c>
      <x:c r="S815" s="3" t="str">
        <x:v>不明</x:v>
      </x:c>
      <x:c r="T815" s="3" t="str">
        <x:v>世代不明</x:v>
      </x:c>
      <x:c r="U815" s="28" t="n">
        <x:v>465000</x:v>
      </x:c>
      <x:c r="V815" s="28"/>
      <x:c r="W815" s="3" t="str">
        <x:v>事故・水没・SOH・保証残は未確認</x:v>
      </x:c>
      <x:c r="X815" s="3" t="str">
        <x:v>掲載中・在庫未確認</x:v>
      </x:c>
      <x:c r="Y815" s="3" t="str"/>
      <x:c r="Z815" s="27" t="str">
        <x:v>https://www.taladrod.com/w40/icar/cardet.aspx?cid=2893699</x:v>
      </x:c>
      <x:c r="AA815" s="3" t="str">
        <x:v>Taladrod個別広告ID／Carsome在庫ID</x:v>
      </x:c>
      <x:c r="AB815" s="3" t="str">
        <x:v>車台番号未取得／サイト間重複は未判定</x:v>
      </x:c>
      <x:c r="AC815" s="3" t="str">
        <x:v>税込区分未確認（一覧表示額）</x:v>
      </x:c>
      <x:c r="AD815" s="3" t="str"/>
      <x:c r="AE815" s="29" t="str">
        <x:f>""</x:f>
      </x:c>
      <x:c r="AF815" s="30" t="str">
        <x:f>IF(ISNUMBER(AE815),U815/AE815,"")</x:f>
      </x:c>
      <x:c r="AG815" s="29" t="str">
        <x:f>""</x:f>
      </x:c>
      <x:c r="AH815" s="30" t="str">
        <x:f>IF(ISNUMBER(AG815),U815/AG815,"")</x:f>
      </x:c>
      <x:c r="AI815" s="3" t="str">
        <x:v>同年式・グレードの検証済み当時価格なし／登録年混在</x:v>
      </x:c>
      <x:c r="AJ815" s="3" t="str">
        <x:v>一覧価格/年式のみ</x:v>
      </x:c>
      <x:c r="AK815" s="3" t="str">
        <x:v>一覧の表示価格。年式は掲載年式。</x:v>
      </x:c>
      <x:c r="AL815" s="31" t="n">
        <x:f>IF(AND(J815&lt;='分析方法'!$B$7,OR(ISBLANK(O815),O815&gt;='分析方法'!$B$8),X815&lt;&gt;"売却済み表示"),1,0)</x:f>
        <x:v>1</x:v>
      </x:c>
      <x:c r="AM815" s="32" t="n">
        <x:f>IF(AL815=1,U815,"")</x:f>
        <x:v>465000</x:v>
      </x:c>
      <x:c r="AN815" s="33" t="str">
        <x:f>IF(AL815=1,AF815,"")</x:f>
      </x:c>
      <x:c r="AO815" s="31" t="n">
        <x:f>'分析方法'!$B$6-J815</x:f>
        <x:v>4</x:v>
      </x:c>
      <x:c r="AP815" s="3"/>
    </x:row>
    <x:row r="816" ht="22" customHeight="1">
      <x:c r="A816" s="3" t="str">
        <x:v>T2907146</x:v>
      </x:c>
      <x:c r="B816" s="7" t="d">
        <x:v>2026-10-08T00:00:00.000Z</x:v>
      </x:c>
      <x:c r="C816" s="3" t="str">
        <x:v>Taladrod</x:v>
      </x:c>
      <x:c r="D816" s="3" t="str">
        <x:v>Toyota</x:v>
      </x:c>
      <x:c r="E816" s="3" t="str">
        <x:v>日本</x:v>
      </x:c>
      <x:c r="F816" s="3" t="str">
        <x:v>Hilux Revo</x:v>
      </x:c>
      <x:c r="G816" s="3" t="str">
        <x:v>ICE</x:v>
      </x:c>
      <x:c r="H816" s="3" t="str">
        <x:v>Pickup</x:v>
      </x:c>
      <x:c r="I816" s="3" t="str">
        <x:v>Double cab</x:v>
      </x:c>
      <x:c r="J816" s="3" t="n">
        <x:v>2022</x:v>
      </x:c>
      <x:c r="K816" s="3" t="str">
        <x:v>2.4 MID Z EDITION DOUBLE CAB</x:v>
      </x:c>
      <x:c r="L816" s="3" t="str">
        <x:v>2.4 MID Z EDITION DOUBLE CAB</x:v>
      </x:c>
      <x:c r="M816" s="22"/>
      <x:c r="N816" s="22"/>
      <x:c r="O816" s="22"/>
      <x:c r="P816" s="3" t="str">
        <x:v>未掲載</x:v>
      </x:c>
      <x:c r="Q816" s="3" t="str">
        <x:v>未取得</x:v>
      </x:c>
      <x:c r="R816" s="3" t="str">
        <x:v>Unknown</x:v>
      </x:c>
      <x:c r="S816" s="3" t="str">
        <x:v>不明</x:v>
      </x:c>
      <x:c r="T816" s="3" t="str">
        <x:v>世代不明</x:v>
      </x:c>
      <x:c r="U816" s="28" t="n">
        <x:v>475000</x:v>
      </x:c>
      <x:c r="V816" s="28"/>
      <x:c r="W816" s="3" t="str">
        <x:v>事故・水没・SOH・保証残は未確認</x:v>
      </x:c>
      <x:c r="X816" s="3" t="str">
        <x:v>掲載中・在庫未確認</x:v>
      </x:c>
      <x:c r="Y816" s="3" t="str"/>
      <x:c r="Z816" s="27" t="str">
        <x:v>https://www.taladrod.com/w40/icar/cardet.aspx?cid=2907146</x:v>
      </x:c>
      <x:c r="AA816" s="3" t="str">
        <x:v>Taladrod個別広告ID／Carsome在庫ID</x:v>
      </x:c>
      <x:c r="AB816" s="3" t="str">
        <x:v>車台番号未取得／サイト間重複は未判定</x:v>
      </x:c>
      <x:c r="AC816" s="3" t="str">
        <x:v>税込区分未確認（一覧表示額）</x:v>
      </x:c>
      <x:c r="AD816" s="3" t="str"/>
      <x:c r="AE816" s="29" t="str">
        <x:f>""</x:f>
      </x:c>
      <x:c r="AF816" s="30" t="str">
        <x:f>IF(ISNUMBER(AE816),U816/AE816,"")</x:f>
      </x:c>
      <x:c r="AG816" s="29" t="str">
        <x:f>""</x:f>
      </x:c>
      <x:c r="AH816" s="30" t="str">
        <x:f>IF(ISNUMBER(AG816),U816/AG816,"")</x:f>
      </x:c>
      <x:c r="AI816" s="3" t="str">
        <x:v>同年式・グレードの検証済み当時価格なし／登録年混在</x:v>
      </x:c>
      <x:c r="AJ816" s="3" t="str">
        <x:v>一覧価格/年式のみ</x:v>
      </x:c>
      <x:c r="AK816" s="3" t="str">
        <x:v>一覧の表示価格。年式は掲載年式。</x:v>
      </x:c>
      <x:c r="AL816" s="31" t="n">
        <x:f>IF(AND(J816&lt;='分析方法'!$B$7,OR(ISBLANK(O816),O816&gt;='分析方法'!$B$8),X816&lt;&gt;"売却済み表示"),1,0)</x:f>
        <x:v>1</x:v>
      </x:c>
      <x:c r="AM816" s="32" t="n">
        <x:f>IF(AL816=1,U816,"")</x:f>
        <x:v>475000</x:v>
      </x:c>
      <x:c r="AN816" s="33" t="str">
        <x:f>IF(AL816=1,AF816,"")</x:f>
      </x:c>
      <x:c r="AO816" s="31" t="n">
        <x:f>'分析方法'!$B$6-J816</x:f>
        <x:v>4</x:v>
      </x:c>
      <x:c r="AP816" s="3"/>
    </x:row>
    <x:row r="817" ht="22" customHeight="1">
      <x:c r="A817" s="3" t="str">
        <x:v>T2923093</x:v>
      </x:c>
      <x:c r="B817" s="7" t="d">
        <x:v>2026-10-08T00:00:00.000Z</x:v>
      </x:c>
      <x:c r="C817" s="3" t="str">
        <x:v>Taladrod</x:v>
      </x:c>
      <x:c r="D817" s="3" t="str">
        <x:v>Toyota</x:v>
      </x:c>
      <x:c r="E817" s="3" t="str">
        <x:v>日本</x:v>
      </x:c>
      <x:c r="F817" s="3" t="str">
        <x:v>Hilux Revo</x:v>
      </x:c>
      <x:c r="G817" s="3" t="str">
        <x:v>ICE</x:v>
      </x:c>
      <x:c r="H817" s="3" t="str">
        <x:v>Pickup</x:v>
      </x:c>
      <x:c r="I817" s="3" t="str">
        <x:v>Double cab</x:v>
      </x:c>
      <x:c r="J817" s="3" t="n">
        <x:v>2022</x:v>
      </x:c>
      <x:c r="K817" s="3" t="str">
        <x:v>2.4 MID Z EDITION DOUBLE CAB</x:v>
      </x:c>
      <x:c r="L817" s="3" t="str">
        <x:v>2.4 MID Z EDITION DOUBLE CAB</x:v>
      </x:c>
      <x:c r="M817" s="22"/>
      <x:c r="N817" s="22"/>
      <x:c r="O817" s="22"/>
      <x:c r="P817" s="3" t="str">
        <x:v>未掲載</x:v>
      </x:c>
      <x:c r="Q817" s="3" t="str">
        <x:v>未取得</x:v>
      </x:c>
      <x:c r="R817" s="3" t="str">
        <x:v>Unknown</x:v>
      </x:c>
      <x:c r="S817" s="3" t="str">
        <x:v>不明</x:v>
      </x:c>
      <x:c r="T817" s="3" t="str">
        <x:v>世代不明</x:v>
      </x:c>
      <x:c r="U817" s="28" t="n">
        <x:v>448000</x:v>
      </x:c>
      <x:c r="V817" s="28"/>
      <x:c r="W817" s="3" t="str">
        <x:v>事故・水没・SOH・保証残は未確認</x:v>
      </x:c>
      <x:c r="X817" s="3" t="str">
        <x:v>掲載中・在庫未確認</x:v>
      </x:c>
      <x:c r="Y817" s="3" t="str"/>
      <x:c r="Z817" s="27" t="str">
        <x:v>https://www.taladrod.com/w40/icar/cardet.aspx?cid=2923093</x:v>
      </x:c>
      <x:c r="AA817" s="3" t="str">
        <x:v>Taladrod個別広告ID／Carsome在庫ID</x:v>
      </x:c>
      <x:c r="AB817" s="3" t="str">
        <x:v>車台番号未取得／サイト間重複は未判定</x:v>
      </x:c>
      <x:c r="AC817" s="3" t="str">
        <x:v>税込区分未確認（一覧表示額）</x:v>
      </x:c>
      <x:c r="AD817" s="3" t="str"/>
      <x:c r="AE817" s="29" t="str">
        <x:f>""</x:f>
      </x:c>
      <x:c r="AF817" s="30" t="str">
        <x:f>IF(ISNUMBER(AE817),U817/AE817,"")</x:f>
      </x:c>
      <x:c r="AG817" s="29" t="str">
        <x:f>""</x:f>
      </x:c>
      <x:c r="AH817" s="30" t="str">
        <x:f>IF(ISNUMBER(AG817),U817/AG817,"")</x:f>
      </x:c>
      <x:c r="AI817" s="3" t="str">
        <x:v>同年式・グレードの検証済み当時価格なし／登録年混在</x:v>
      </x:c>
      <x:c r="AJ817" s="3" t="str">
        <x:v>一覧価格/年式のみ</x:v>
      </x:c>
      <x:c r="AK817" s="3" t="str">
        <x:v>一覧の表示価格。年式は掲載年式。</x:v>
      </x:c>
      <x:c r="AL817" s="31" t="n">
        <x:f>IF(AND(J817&lt;='分析方法'!$B$7,OR(ISBLANK(O817),O817&gt;='分析方法'!$B$8),X817&lt;&gt;"売却済み表示"),1,0)</x:f>
        <x:v>1</x:v>
      </x:c>
      <x:c r="AM817" s="32" t="n">
        <x:f>IF(AL817=1,U817,"")</x:f>
        <x:v>448000</x:v>
      </x:c>
      <x:c r="AN817" s="33" t="str">
        <x:f>IF(AL817=1,AF817,"")</x:f>
      </x:c>
      <x:c r="AO817" s="31" t="n">
        <x:f>'分析方法'!$B$6-J817</x:f>
        <x:v>4</x:v>
      </x:c>
      <x:c r="AP817" s="3"/>
    </x:row>
    <x:row r="818" ht="22" customHeight="1">
      <x:c r="A818" s="3" t="str">
        <x:v>T2894802</x:v>
      </x:c>
      <x:c r="B818" s="7" t="d">
        <x:v>2026-10-08T00:00:00.000Z</x:v>
      </x:c>
      <x:c r="C818" s="3" t="str">
        <x:v>Taladrod</x:v>
      </x:c>
      <x:c r="D818" s="3" t="str">
        <x:v>Toyota</x:v>
      </x:c>
      <x:c r="E818" s="3" t="str">
        <x:v>日本</x:v>
      </x:c>
      <x:c r="F818" s="3" t="str">
        <x:v>Hilux Revo</x:v>
      </x:c>
      <x:c r="G818" s="3" t="str">
        <x:v>ICE</x:v>
      </x:c>
      <x:c r="H818" s="3" t="str">
        <x:v>Pickup</x:v>
      </x:c>
      <x:c r="I818" s="3" t="str">
        <x:v>Smart cab</x:v>
      </x:c>
      <x:c r="J818" s="3" t="n">
        <x:v>2022</x:v>
      </x:c>
      <x:c r="K818" s="3" t="str">
        <x:v>2.4 MID Z EDITION SMART CAB</x:v>
      </x:c>
      <x:c r="L818" s="3" t="str">
        <x:v>2.4 MID Z EDITION SMART CAB</x:v>
      </x:c>
      <x:c r="M818" s="22"/>
      <x:c r="N818" s="22"/>
      <x:c r="O818" s="22"/>
      <x:c r="P818" s="3" t="str">
        <x:v>未掲載</x:v>
      </x:c>
      <x:c r="Q818" s="3" t="str">
        <x:v>未取得</x:v>
      </x:c>
      <x:c r="R818" s="3" t="str">
        <x:v>Unknown</x:v>
      </x:c>
      <x:c r="S818" s="3" t="str">
        <x:v>不明</x:v>
      </x:c>
      <x:c r="T818" s="3" t="str">
        <x:v>世代不明</x:v>
      </x:c>
      <x:c r="U818" s="28" t="n">
        <x:v>379000</x:v>
      </x:c>
      <x:c r="V818" s="28"/>
      <x:c r="W818" s="3" t="str">
        <x:v>事故・水没・SOH・保証残は未確認</x:v>
      </x:c>
      <x:c r="X818" s="3" t="str">
        <x:v>掲載中・在庫未確認</x:v>
      </x:c>
      <x:c r="Y818" s="3" t="str"/>
      <x:c r="Z818" s="27" t="str">
        <x:v>https://www.taladrod.com/w40/icar/cardet.aspx?cid=2894802</x:v>
      </x:c>
      <x:c r="AA818" s="3" t="str">
        <x:v>Taladrod個別広告ID／Carsome在庫ID</x:v>
      </x:c>
      <x:c r="AB818" s="3" t="str">
        <x:v>車台番号未取得／サイト間重複は未判定</x:v>
      </x:c>
      <x:c r="AC818" s="3" t="str">
        <x:v>税込区分未確認（一覧表示額）</x:v>
      </x:c>
      <x:c r="AD818" s="3" t="str"/>
      <x:c r="AE818" s="29" t="str">
        <x:f>""</x:f>
      </x:c>
      <x:c r="AF818" s="30" t="str">
        <x:f>IF(ISNUMBER(AE818),U818/AE818,"")</x:f>
      </x:c>
      <x:c r="AG818" s="29" t="str">
        <x:f>""</x:f>
      </x:c>
      <x:c r="AH818" s="30" t="str">
        <x:f>IF(ISNUMBER(AG818),U818/AG818,"")</x:f>
      </x:c>
      <x:c r="AI818" s="3" t="str">
        <x:v>同年式・グレードの検証済み当時価格なし／登録年混在</x:v>
      </x:c>
      <x:c r="AJ818" s="3" t="str">
        <x:v>一覧価格/年式のみ</x:v>
      </x:c>
      <x:c r="AK818" s="3" t="str">
        <x:v>一覧の表示価格。年式は掲載年式。</x:v>
      </x:c>
      <x:c r="AL818" s="31" t="n">
        <x:f>IF(AND(J818&lt;='分析方法'!$B$7,OR(ISBLANK(O818),O818&gt;='分析方法'!$B$8),X818&lt;&gt;"売却済み表示"),1,0)</x:f>
        <x:v>1</x:v>
      </x:c>
      <x:c r="AM818" s="32" t="n">
        <x:f>IF(AL818=1,U818,"")</x:f>
        <x:v>379000</x:v>
      </x:c>
      <x:c r="AN818" s="33" t="str">
        <x:f>IF(AL818=1,AF818,"")</x:f>
      </x:c>
      <x:c r="AO818" s="31" t="n">
        <x:f>'分析方法'!$B$6-J818</x:f>
        <x:v>4</x:v>
      </x:c>
      <x:c r="AP818" s="3"/>
    </x:row>
    <x:row r="819" ht="22" customHeight="1">
      <x:c r="A819" s="3" t="str">
        <x:v>T2919597</x:v>
      </x:c>
      <x:c r="B819" s="7" t="d">
        <x:v>2026-10-08T00:00:00.000Z</x:v>
      </x:c>
      <x:c r="C819" s="3" t="str">
        <x:v>Taladrod</x:v>
      </x:c>
      <x:c r="D819" s="3" t="str">
        <x:v>Toyota</x:v>
      </x:c>
      <x:c r="E819" s="3" t="str">
        <x:v>日本</x:v>
      </x:c>
      <x:c r="F819" s="3" t="str">
        <x:v>Hilux Revo</x:v>
      </x:c>
      <x:c r="G819" s="3" t="str">
        <x:v>ICE</x:v>
      </x:c>
      <x:c r="H819" s="3" t="str">
        <x:v>Pickup</x:v>
      </x:c>
      <x:c r="I819" s="3" t="str">
        <x:v>Smart cab</x:v>
      </x:c>
      <x:c r="J819" s="3" t="n">
        <x:v>2022</x:v>
      </x:c>
      <x:c r="K819" s="3" t="str">
        <x:v>2.4 MID Z EDITION SMART CAB</x:v>
      </x:c>
      <x:c r="L819" s="3" t="str">
        <x:v>2.4 MID Z EDITION SMART CAB</x:v>
      </x:c>
      <x:c r="M819" s="22"/>
      <x:c r="N819" s="22"/>
      <x:c r="O819" s="22"/>
      <x:c r="P819" s="3" t="str">
        <x:v>未掲載</x:v>
      </x:c>
      <x:c r="Q819" s="3" t="str">
        <x:v>未取得</x:v>
      </x:c>
      <x:c r="R819" s="3" t="str">
        <x:v>Unknown</x:v>
      </x:c>
      <x:c r="S819" s="3" t="str">
        <x:v>不明</x:v>
      </x:c>
      <x:c r="T819" s="3" t="str">
        <x:v>世代不明</x:v>
      </x:c>
      <x:c r="U819" s="28" t="n">
        <x:v>394000</x:v>
      </x:c>
      <x:c r="V819" s="28"/>
      <x:c r="W819" s="3" t="str">
        <x:v>事故・水没・SOH・保証残は未確認</x:v>
      </x:c>
      <x:c r="X819" s="3" t="str">
        <x:v>掲載中・在庫未確認</x:v>
      </x:c>
      <x:c r="Y819" s="3" t="str"/>
      <x:c r="Z819" s="27" t="str">
        <x:v>https://www.taladrod.com/w40/icar/cardet.aspx?cid=2919597</x:v>
      </x:c>
      <x:c r="AA819" s="3" t="str">
        <x:v>Taladrod個別広告ID／Carsome在庫ID</x:v>
      </x:c>
      <x:c r="AB819" s="3" t="str">
        <x:v>車台番号未取得／サイト間重複は未判定</x:v>
      </x:c>
      <x:c r="AC819" s="3" t="str">
        <x:v>税込区分未確認（一覧表示額）</x:v>
      </x:c>
      <x:c r="AD819" s="3" t="str"/>
      <x:c r="AE819" s="29" t="str">
        <x:f>""</x:f>
      </x:c>
      <x:c r="AF819" s="30" t="str">
        <x:f>IF(ISNUMBER(AE819),U819/AE819,"")</x:f>
      </x:c>
      <x:c r="AG819" s="29" t="str">
        <x:f>""</x:f>
      </x:c>
      <x:c r="AH819" s="30" t="str">
        <x:f>IF(ISNUMBER(AG819),U819/AG819,"")</x:f>
      </x:c>
      <x:c r="AI819" s="3" t="str">
        <x:v>同年式・グレードの検証済み当時価格なし／登録年混在</x:v>
      </x:c>
      <x:c r="AJ819" s="3" t="str">
        <x:v>一覧価格/年式のみ</x:v>
      </x:c>
      <x:c r="AK819" s="3" t="str">
        <x:v>一覧の表示価格。年式は掲載年式。</x:v>
      </x:c>
      <x:c r="AL819" s="31" t="n">
        <x:f>IF(AND(J819&lt;='分析方法'!$B$7,OR(ISBLANK(O819),O819&gt;='分析方法'!$B$8),X819&lt;&gt;"売却済み表示"),1,0)</x:f>
        <x:v>1</x:v>
      </x:c>
      <x:c r="AM819" s="32" t="n">
        <x:f>IF(AL819=1,U819,"")</x:f>
        <x:v>394000</x:v>
      </x:c>
      <x:c r="AN819" s="33" t="str">
        <x:f>IF(AL819=1,AF819,"")</x:f>
      </x:c>
      <x:c r="AO819" s="31" t="n">
        <x:f>'分析方法'!$B$6-J819</x:f>
        <x:v>4</x:v>
      </x:c>
      <x:c r="AP819" s="3"/>
    </x:row>
    <x:row r="820" ht="22" customHeight="1">
      <x:c r="A820" s="3" t="str">
        <x:v>T2920528</x:v>
      </x:c>
      <x:c r="B820" s="7" t="d">
        <x:v>2026-10-08T00:00:00.000Z</x:v>
      </x:c>
      <x:c r="C820" s="3" t="str">
        <x:v>Taladrod</x:v>
      </x:c>
      <x:c r="D820" s="3" t="str">
        <x:v>Toyota</x:v>
      </x:c>
      <x:c r="E820" s="3" t="str">
        <x:v>日本</x:v>
      </x:c>
      <x:c r="F820" s="3" t="str">
        <x:v>Hilux Revo</x:v>
      </x:c>
      <x:c r="G820" s="3" t="str">
        <x:v>ICE</x:v>
      </x:c>
      <x:c r="H820" s="3" t="str">
        <x:v>Pickup</x:v>
      </x:c>
      <x:c r="I820" s="3" t="str">
        <x:v>Smart cab</x:v>
      </x:c>
      <x:c r="J820" s="3" t="n">
        <x:v>2022</x:v>
      </x:c>
      <x:c r="K820" s="3" t="str">
        <x:v>2.4 MID Z EDITION SMART CAB</x:v>
      </x:c>
      <x:c r="L820" s="3" t="str">
        <x:v>2.4 MID Z EDITION SMART CAB</x:v>
      </x:c>
      <x:c r="M820" s="22"/>
      <x:c r="N820" s="22"/>
      <x:c r="O820" s="22"/>
      <x:c r="P820" s="3" t="str">
        <x:v>未掲載</x:v>
      </x:c>
      <x:c r="Q820" s="3" t="str">
        <x:v>未取得</x:v>
      </x:c>
      <x:c r="R820" s="3" t="str">
        <x:v>Unknown</x:v>
      </x:c>
      <x:c r="S820" s="3" t="str">
        <x:v>不明</x:v>
      </x:c>
      <x:c r="T820" s="3" t="str">
        <x:v>世代不明</x:v>
      </x:c>
      <x:c r="U820" s="28" t="n">
        <x:v>500000</x:v>
      </x:c>
      <x:c r="V820" s="28"/>
      <x:c r="W820" s="3" t="str">
        <x:v>事故・水没・SOH・保証残は未確認</x:v>
      </x:c>
      <x:c r="X820" s="3" t="str">
        <x:v>掲載中・在庫未確認</x:v>
      </x:c>
      <x:c r="Y820" s="3" t="str"/>
      <x:c r="Z820" s="27" t="str">
        <x:v>https://www.taladrod.com/w40/icar/cardet.aspx?cid=2920528</x:v>
      </x:c>
      <x:c r="AA820" s="3" t="str">
        <x:v>Taladrod個別広告ID／Carsome在庫ID</x:v>
      </x:c>
      <x:c r="AB820" s="3" t="str">
        <x:v>車台番号未取得／サイト間重複は未判定</x:v>
      </x:c>
      <x:c r="AC820" s="3" t="str">
        <x:v>税込区分未確認（一覧表示額）</x:v>
      </x:c>
      <x:c r="AD820" s="3" t="str"/>
      <x:c r="AE820" s="29" t="str">
        <x:f>""</x:f>
      </x:c>
      <x:c r="AF820" s="30" t="str">
        <x:f>IF(ISNUMBER(AE820),U820/AE820,"")</x:f>
      </x:c>
      <x:c r="AG820" s="29" t="str">
        <x:f>""</x:f>
      </x:c>
      <x:c r="AH820" s="30" t="str">
        <x:f>IF(ISNUMBER(AG820),U820/AG820,"")</x:f>
      </x:c>
      <x:c r="AI820" s="3" t="str">
        <x:v>同年式・グレードの検証済み当時価格なし／登録年混在</x:v>
      </x:c>
      <x:c r="AJ820" s="3" t="str">
        <x:v>一覧価格/年式のみ</x:v>
      </x:c>
      <x:c r="AK820" s="3" t="str">
        <x:v>一覧の表示価格。年式は掲載年式。</x:v>
      </x:c>
      <x:c r="AL820" s="31" t="n">
        <x:f>IF(AND(J820&lt;='分析方法'!$B$7,OR(ISBLANK(O820),O820&gt;='分析方法'!$B$8),X820&lt;&gt;"売却済み表示"),1,0)</x:f>
        <x:v>1</x:v>
      </x:c>
      <x:c r="AM820" s="32" t="n">
        <x:f>IF(AL820=1,U820,"")</x:f>
        <x:v>500000</x:v>
      </x:c>
      <x:c r="AN820" s="33" t="str">
        <x:f>IF(AL820=1,AF820,"")</x:f>
      </x:c>
      <x:c r="AO820" s="31" t="n">
        <x:f>'分析方法'!$B$6-J820</x:f>
        <x:v>4</x:v>
      </x:c>
      <x:c r="AP820" s="3"/>
    </x:row>
    <x:row r="821" ht="22" customHeight="1">
      <x:c r="A821" s="3" t="str">
        <x:v>T2925092</x:v>
      </x:c>
      <x:c r="B821" s="7" t="d">
        <x:v>2026-10-08T00:00:00.000Z</x:v>
      </x:c>
      <x:c r="C821" s="3" t="str">
        <x:v>Taladrod</x:v>
      </x:c>
      <x:c r="D821" s="3" t="str">
        <x:v>Toyota</x:v>
      </x:c>
      <x:c r="E821" s="3" t="str">
        <x:v>日本</x:v>
      </x:c>
      <x:c r="F821" s="3" t="str">
        <x:v>Hilux Revo</x:v>
      </x:c>
      <x:c r="G821" s="3" t="str">
        <x:v>ICE</x:v>
      </x:c>
      <x:c r="H821" s="3" t="str">
        <x:v>Pickup</x:v>
      </x:c>
      <x:c r="I821" s="3" t="str">
        <x:v>Smart cab</x:v>
      </x:c>
      <x:c r="J821" s="3" t="n">
        <x:v>2022</x:v>
      </x:c>
      <x:c r="K821" s="3" t="str">
        <x:v>2.4 MID Z EDITION SMART CAB</x:v>
      </x:c>
      <x:c r="L821" s="3" t="str">
        <x:v>2.4 MID Z EDITION SMART CAB</x:v>
      </x:c>
      <x:c r="M821" s="22"/>
      <x:c r="N821" s="22"/>
      <x:c r="O821" s="22"/>
      <x:c r="P821" s="3" t="str">
        <x:v>未掲載</x:v>
      </x:c>
      <x:c r="Q821" s="3" t="str">
        <x:v>未取得</x:v>
      </x:c>
      <x:c r="R821" s="3" t="str">
        <x:v>Unknown</x:v>
      </x:c>
      <x:c r="S821" s="3" t="str">
        <x:v>不明</x:v>
      </x:c>
      <x:c r="T821" s="3" t="str">
        <x:v>世代不明</x:v>
      </x:c>
      <x:c r="U821" s="28" t="n">
        <x:v>395000</x:v>
      </x:c>
      <x:c r="V821" s="28"/>
      <x:c r="W821" s="3" t="str">
        <x:v>事故・水没・SOH・保証残は未確認</x:v>
      </x:c>
      <x:c r="X821" s="3" t="str">
        <x:v>掲載中・在庫未確認</x:v>
      </x:c>
      <x:c r="Y821" s="3" t="str"/>
      <x:c r="Z821" s="27" t="str">
        <x:v>https://www.taladrod.com/w40/icar/cardet.aspx?cid=2925092</x:v>
      </x:c>
      <x:c r="AA821" s="3" t="str">
        <x:v>Taladrod個別広告ID／Carsome在庫ID</x:v>
      </x:c>
      <x:c r="AB821" s="3" t="str">
        <x:v>車台番号未取得／サイト間重複は未判定</x:v>
      </x:c>
      <x:c r="AC821" s="3" t="str">
        <x:v>税込区分未確認（一覧表示額）</x:v>
      </x:c>
      <x:c r="AD821" s="3" t="str"/>
      <x:c r="AE821" s="29" t="str">
        <x:f>""</x:f>
      </x:c>
      <x:c r="AF821" s="30" t="str">
        <x:f>IF(ISNUMBER(AE821),U821/AE821,"")</x:f>
      </x:c>
      <x:c r="AG821" s="29" t="str">
        <x:f>""</x:f>
      </x:c>
      <x:c r="AH821" s="30" t="str">
        <x:f>IF(ISNUMBER(AG821),U821/AG821,"")</x:f>
      </x:c>
      <x:c r="AI821" s="3" t="str">
        <x:v>同年式・グレードの検証済み当時価格なし／登録年混在</x:v>
      </x:c>
      <x:c r="AJ821" s="3" t="str">
        <x:v>一覧価格/年式のみ</x:v>
      </x:c>
      <x:c r="AK821" s="3" t="str">
        <x:v>一覧の表示価格。年式は掲載年式。</x:v>
      </x:c>
      <x:c r="AL821" s="31" t="n">
        <x:f>IF(AND(J821&lt;='分析方法'!$B$7,OR(ISBLANK(O821),O821&gt;='分析方法'!$B$8),X821&lt;&gt;"売却済み表示"),1,0)</x:f>
        <x:v>1</x:v>
      </x:c>
      <x:c r="AM821" s="32" t="n">
        <x:f>IF(AL821=1,U821,"")</x:f>
        <x:v>395000</x:v>
      </x:c>
      <x:c r="AN821" s="33" t="str">
        <x:f>IF(AL821=1,AF821,"")</x:f>
      </x:c>
      <x:c r="AO821" s="31" t="n">
        <x:f>'分析方法'!$B$6-J821</x:f>
        <x:v>4</x:v>
      </x:c>
      <x:c r="AP821" s="3"/>
    </x:row>
    <x:row r="822" ht="22" customHeight="1">
      <x:c r="A822" s="3" t="str">
        <x:v>T2898834</x:v>
      </x:c>
      <x:c r="B822" s="7" t="d">
        <x:v>2026-10-08T00:00:00.000Z</x:v>
      </x:c>
      <x:c r="C822" s="3" t="str">
        <x:v>Taladrod</x:v>
      </x:c>
      <x:c r="D822" s="3" t="str">
        <x:v>Toyota</x:v>
      </x:c>
      <x:c r="E822" s="3" t="str">
        <x:v>日本</x:v>
      </x:c>
      <x:c r="F822" s="3" t="str">
        <x:v>Hilux Revo</x:v>
      </x:c>
      <x:c r="G822" s="3" t="str">
        <x:v>ICE</x:v>
      </x:c>
      <x:c r="H822" s="3" t="str">
        <x:v>Pickup</x:v>
      </x:c>
      <x:c r="I822" s="3" t="str">
        <x:v>Double cab</x:v>
      </x:c>
      <x:c r="J822" s="3" t="n">
        <x:v>2022</x:v>
      </x:c>
      <x:c r="K822" s="3" t="str">
        <x:v>2.4 PRERUNNER DOUBLE CAB</x:v>
      </x:c>
      <x:c r="L822" s="3" t="str">
        <x:v>2.4 PRERUNNER DOUBLE CAB</x:v>
      </x:c>
      <x:c r="M822" s="22"/>
      <x:c r="N822" s="22"/>
      <x:c r="O822" s="22"/>
      <x:c r="P822" s="3" t="str">
        <x:v>未掲載</x:v>
      </x:c>
      <x:c r="Q822" s="3" t="str">
        <x:v>未取得</x:v>
      </x:c>
      <x:c r="R822" s="3" t="str">
        <x:v>Unknown</x:v>
      </x:c>
      <x:c r="S822" s="3" t="str">
        <x:v>不明</x:v>
      </x:c>
      <x:c r="T822" s="3" t="str">
        <x:v>世代不明</x:v>
      </x:c>
      <x:c r="U822" s="28" t="n">
        <x:v>771000</x:v>
      </x:c>
      <x:c r="V822" s="28"/>
      <x:c r="W822" s="3" t="str">
        <x:v>事故・水没・SOH・保証残は未確認</x:v>
      </x:c>
      <x:c r="X822" s="3" t="str">
        <x:v>掲載中・在庫未確認</x:v>
      </x:c>
      <x:c r="Y822" s="3" t="str"/>
      <x:c r="Z822" s="27" t="str">
        <x:v>https://www.taladrod.com/w40/icar/cardet.aspx?cid=2898834</x:v>
      </x:c>
      <x:c r="AA822" s="3" t="str">
        <x:v>Taladrod個別広告ID／Carsome在庫ID</x:v>
      </x:c>
      <x:c r="AB822" s="3" t="str">
        <x:v>車台番号未取得／サイト間重複は未判定</x:v>
      </x:c>
      <x:c r="AC822" s="3" t="str">
        <x:v>税込区分未確認（一覧表示額）</x:v>
      </x:c>
      <x:c r="AD822" s="3" t="str"/>
      <x:c r="AE822" s="29" t="str">
        <x:f>""</x:f>
      </x:c>
      <x:c r="AF822" s="30" t="str">
        <x:f>IF(ISNUMBER(AE822),U822/AE822,"")</x:f>
      </x:c>
      <x:c r="AG822" s="29" t="str">
        <x:f>""</x:f>
      </x:c>
      <x:c r="AH822" s="30" t="str">
        <x:f>IF(ISNUMBER(AG822),U822/AG822,"")</x:f>
      </x:c>
      <x:c r="AI822" s="3" t="str">
        <x:v>同年式・グレードの検証済み当時価格なし／登録年混在</x:v>
      </x:c>
      <x:c r="AJ822" s="3" t="str">
        <x:v>一覧価格/年式のみ</x:v>
      </x:c>
      <x:c r="AK822" s="3" t="str">
        <x:v>一覧の表示価格。年式は掲載年式。</x:v>
      </x:c>
      <x:c r="AL822" s="31" t="n">
        <x:f>IF(AND(J822&lt;='分析方法'!$B$7,OR(ISBLANK(O822),O822&gt;='分析方法'!$B$8),X822&lt;&gt;"売却済み表示"),1,0)</x:f>
        <x:v>1</x:v>
      </x:c>
      <x:c r="AM822" s="32" t="n">
        <x:f>IF(AL822=1,U822,"")</x:f>
        <x:v>771000</x:v>
      </x:c>
      <x:c r="AN822" s="33" t="str">
        <x:f>IF(AL822=1,AF822,"")</x:f>
      </x:c>
      <x:c r="AO822" s="31" t="n">
        <x:f>'分析方法'!$B$6-J822</x:f>
        <x:v>4</x:v>
      </x:c>
      <x:c r="AP822" s="3"/>
    </x:row>
    <x:row r="823" ht="22" customHeight="1">
      <x:c r="A823" s="3" t="str">
        <x:v>T2923982</x:v>
      </x:c>
      <x:c r="B823" s="7" t="d">
        <x:v>2026-10-08T00:00:00.000Z</x:v>
      </x:c>
      <x:c r="C823" s="3" t="str">
        <x:v>Taladrod</x:v>
      </x:c>
      <x:c r="D823" s="3" t="str">
        <x:v>Toyota</x:v>
      </x:c>
      <x:c r="E823" s="3" t="str">
        <x:v>日本</x:v>
      </x:c>
      <x:c r="F823" s="3" t="str">
        <x:v>Hilux Revo</x:v>
      </x:c>
      <x:c r="G823" s="3" t="str">
        <x:v>ICE</x:v>
      </x:c>
      <x:c r="H823" s="3" t="str">
        <x:v>Pickup</x:v>
      </x:c>
      <x:c r="I823" s="3" t="str">
        <x:v>Double cab</x:v>
      </x:c>
      <x:c r="J823" s="3" t="n">
        <x:v>2022</x:v>
      </x:c>
      <x:c r="K823" s="3" t="str">
        <x:v>2.4 PRERUNNER DOUBLE CAB</x:v>
      </x:c>
      <x:c r="L823" s="3" t="str">
        <x:v>2.4 PRERUNNER DOUBLE CAB</x:v>
      </x:c>
      <x:c r="M823" s="22"/>
      <x:c r="N823" s="22"/>
      <x:c r="O823" s="22"/>
      <x:c r="P823" s="3" t="str">
        <x:v>未掲載</x:v>
      </x:c>
      <x:c r="Q823" s="3" t="str">
        <x:v>未取得</x:v>
      </x:c>
      <x:c r="R823" s="3" t="str">
        <x:v>Unknown</x:v>
      </x:c>
      <x:c r="S823" s="3" t="str">
        <x:v>不明</x:v>
      </x:c>
      <x:c r="T823" s="3" t="str">
        <x:v>世代不明</x:v>
      </x:c>
      <x:c r="U823" s="28" t="n">
        <x:v>749000</x:v>
      </x:c>
      <x:c r="V823" s="28"/>
      <x:c r="W823" s="3" t="str">
        <x:v>事故・水没・SOH・保証残は未確認</x:v>
      </x:c>
      <x:c r="X823" s="3" t="str">
        <x:v>掲載中・在庫未確認</x:v>
      </x:c>
      <x:c r="Y823" s="3" t="str"/>
      <x:c r="Z823" s="27" t="str">
        <x:v>https://www.taladrod.com/w40/icar/cardet.aspx?cid=2923982</x:v>
      </x:c>
      <x:c r="AA823" s="3" t="str">
        <x:v>Taladrod個別広告ID／Carsome在庫ID</x:v>
      </x:c>
      <x:c r="AB823" s="3" t="str">
        <x:v>車台番号未取得／サイト間重複は未判定</x:v>
      </x:c>
      <x:c r="AC823" s="3" t="str">
        <x:v>税込区分未確認（一覧表示額）</x:v>
      </x:c>
      <x:c r="AD823" s="3" t="str"/>
      <x:c r="AE823" s="29" t="str">
        <x:f>""</x:f>
      </x:c>
      <x:c r="AF823" s="30" t="str">
        <x:f>IF(ISNUMBER(AE823),U823/AE823,"")</x:f>
      </x:c>
      <x:c r="AG823" s="29" t="str">
        <x:f>""</x:f>
      </x:c>
      <x:c r="AH823" s="30" t="str">
        <x:f>IF(ISNUMBER(AG823),U823/AG823,"")</x:f>
      </x:c>
      <x:c r="AI823" s="3" t="str">
        <x:v>同年式・グレードの検証済み当時価格なし／登録年混在</x:v>
      </x:c>
      <x:c r="AJ823" s="3" t="str">
        <x:v>一覧価格/年式のみ</x:v>
      </x:c>
      <x:c r="AK823" s="3" t="str">
        <x:v>一覧の表示価格。年式は掲載年式。</x:v>
      </x:c>
      <x:c r="AL823" s="31" t="n">
        <x:f>IF(AND(J823&lt;='分析方法'!$B$7,OR(ISBLANK(O823),O823&gt;='分析方法'!$B$8),X823&lt;&gt;"売却済み表示"),1,0)</x:f>
        <x:v>1</x:v>
      </x:c>
      <x:c r="AM823" s="32" t="n">
        <x:f>IF(AL823=1,U823,"")</x:f>
        <x:v>749000</x:v>
      </x:c>
      <x:c r="AN823" s="33" t="str">
        <x:f>IF(AL823=1,AF823,"")</x:f>
      </x:c>
      <x:c r="AO823" s="31" t="n">
        <x:f>'分析方法'!$B$6-J823</x:f>
        <x:v>4</x:v>
      </x:c>
      <x:c r="AP823" s="3"/>
    </x:row>
    <x:row r="824" ht="22" customHeight="1">
      <x:c r="A824" s="3" t="str">
        <x:v>T2924770</x:v>
      </x:c>
      <x:c r="B824" s="7" t="d">
        <x:v>2026-10-08T00:00:00.000Z</x:v>
      </x:c>
      <x:c r="C824" s="3" t="str">
        <x:v>Taladrod</x:v>
      </x:c>
      <x:c r="D824" s="3" t="str">
        <x:v>Toyota</x:v>
      </x:c>
      <x:c r="E824" s="3" t="str">
        <x:v>日本</x:v>
      </x:c>
      <x:c r="F824" s="3" t="str">
        <x:v>Hilux Revo</x:v>
      </x:c>
      <x:c r="G824" s="3" t="str">
        <x:v>ICE</x:v>
      </x:c>
      <x:c r="H824" s="3" t="str">
        <x:v>Pickup</x:v>
      </x:c>
      <x:c r="I824" s="3" t="str">
        <x:v>Double cab</x:v>
      </x:c>
      <x:c r="J824" s="3" t="n">
        <x:v>2022</x:v>
      </x:c>
      <x:c r="K824" s="3" t="str">
        <x:v>2.4 PRERUNNER DOUBLE CAB</x:v>
      </x:c>
      <x:c r="L824" s="3" t="str">
        <x:v>2.4 PRERUNNER DOUBLE CAB</x:v>
      </x:c>
      <x:c r="M824" s="22"/>
      <x:c r="N824" s="22"/>
      <x:c r="O824" s="22"/>
      <x:c r="P824" s="3" t="str">
        <x:v>未掲載</x:v>
      </x:c>
      <x:c r="Q824" s="3" t="str">
        <x:v>未取得</x:v>
      </x:c>
      <x:c r="R824" s="3" t="str">
        <x:v>Unknown</x:v>
      </x:c>
      <x:c r="S824" s="3" t="str">
        <x:v>不明</x:v>
      </x:c>
      <x:c r="T824" s="3" t="str">
        <x:v>世代不明</x:v>
      </x:c>
      <x:c r="U824" s="28" t="n">
        <x:v>749000</x:v>
      </x:c>
      <x:c r="V824" s="28"/>
      <x:c r="W824" s="3" t="str">
        <x:v>事故・水没・SOH・保証残は未確認</x:v>
      </x:c>
      <x:c r="X824" s="3" t="str">
        <x:v>掲載中・在庫未確認</x:v>
      </x:c>
      <x:c r="Y824" s="3" t="str"/>
      <x:c r="Z824" s="27" t="str">
        <x:v>https://www.taladrod.com/w40/icar/cardet.aspx?cid=2924770</x:v>
      </x:c>
      <x:c r="AA824" s="3" t="str">
        <x:v>Taladrod個別広告ID／Carsome在庫ID</x:v>
      </x:c>
      <x:c r="AB824" s="3" t="str">
        <x:v>車台番号未取得／サイト間重複は未判定</x:v>
      </x:c>
      <x:c r="AC824" s="3" t="str">
        <x:v>税込区分未確認（一覧表示額）</x:v>
      </x:c>
      <x:c r="AD824" s="3" t="str"/>
      <x:c r="AE824" s="29" t="str">
        <x:f>""</x:f>
      </x:c>
      <x:c r="AF824" s="30" t="str">
        <x:f>IF(ISNUMBER(AE824),U824/AE824,"")</x:f>
      </x:c>
      <x:c r="AG824" s="29" t="str">
        <x:f>""</x:f>
      </x:c>
      <x:c r="AH824" s="30" t="str">
        <x:f>IF(ISNUMBER(AG824),U824/AG824,"")</x:f>
      </x:c>
      <x:c r="AI824" s="3" t="str">
        <x:v>同年式・グレードの検証済み当時価格なし／登録年混在</x:v>
      </x:c>
      <x:c r="AJ824" s="3" t="str">
        <x:v>一覧価格/年式のみ</x:v>
      </x:c>
      <x:c r="AK824" s="3" t="str">
        <x:v>一覧の表示価格。年式は掲載年式。</x:v>
      </x:c>
      <x:c r="AL824" s="31" t="n">
        <x:f>IF(AND(J824&lt;='分析方法'!$B$7,OR(ISBLANK(O824),O824&gt;='分析方法'!$B$8),X824&lt;&gt;"売却済み表示"),1,0)</x:f>
        <x:v>1</x:v>
      </x:c>
      <x:c r="AM824" s="32" t="n">
        <x:f>IF(AL824=1,U824,"")</x:f>
        <x:v>749000</x:v>
      </x:c>
      <x:c r="AN824" s="33" t="str">
        <x:f>IF(AL824=1,AF824,"")</x:f>
      </x:c>
      <x:c r="AO824" s="31" t="n">
        <x:f>'分析方法'!$B$6-J824</x:f>
        <x:v>4</x:v>
      </x:c>
      <x:c r="AP824" s="3"/>
    </x:row>
    <x:row r="825" ht="22" customHeight="1">
      <x:c r="A825" s="3" t="str">
        <x:v>T2898177</x:v>
      </x:c>
      <x:c r="B825" s="7" t="d">
        <x:v>2026-10-08T00:00:00.000Z</x:v>
      </x:c>
      <x:c r="C825" s="3" t="str">
        <x:v>Taladrod</x:v>
      </x:c>
      <x:c r="D825" s="3" t="str">
        <x:v>Toyota</x:v>
      </x:c>
      <x:c r="E825" s="3" t="str">
        <x:v>日本</x:v>
      </x:c>
      <x:c r="F825" s="3" t="str">
        <x:v>Hilux Revo</x:v>
      </x:c>
      <x:c r="G825" s="3" t="str">
        <x:v>ICE</x:v>
      </x:c>
      <x:c r="H825" s="3" t="str">
        <x:v>Pickup</x:v>
      </x:c>
      <x:c r="I825" s="3" t="str">
        <x:v>Smart cab</x:v>
      </x:c>
      <x:c r="J825" s="3" t="n">
        <x:v>2022</x:v>
      </x:c>
      <x:c r="K825" s="3" t="str">
        <x:v>2.4 PRERUNNER SMART CAB</x:v>
      </x:c>
      <x:c r="L825" s="3" t="str">
        <x:v>2.4 PRERUNNER SMART CAB</x:v>
      </x:c>
      <x:c r="M825" s="22"/>
      <x:c r="N825" s="22"/>
      <x:c r="O825" s="22"/>
      <x:c r="P825" s="3" t="str">
        <x:v>未掲載</x:v>
      </x:c>
      <x:c r="Q825" s="3" t="str">
        <x:v>未取得</x:v>
      </x:c>
      <x:c r="R825" s="3" t="str">
        <x:v>Unknown</x:v>
      </x:c>
      <x:c r="S825" s="3" t="str">
        <x:v>不明</x:v>
      </x:c>
      <x:c r="T825" s="3" t="str">
        <x:v>世代不明</x:v>
      </x:c>
      <x:c r="U825" s="28" t="n">
        <x:v>619000</x:v>
      </x:c>
      <x:c r="V825" s="28" t="n">
        <x:v>949000</x:v>
      </x:c>
      <x:c r="W825" s="3" t="str">
        <x:v>事故・水没・SOH・保証残は未確認</x:v>
      </x:c>
      <x:c r="X825" s="3" t="str">
        <x:v>掲載中・在庫未確認</x:v>
      </x:c>
      <x:c r="Y825" s="3" t="str"/>
      <x:c r="Z825" s="27" t="str">
        <x:v>https://www.taladrod.com/w40/icar/cardet.aspx?cid=2898177</x:v>
      </x:c>
      <x:c r="AA825" s="3" t="str">
        <x:v>Taladrod個別広告ID／Carsome在庫ID</x:v>
      </x:c>
      <x:c r="AB825" s="3" t="str">
        <x:v>車台番号未取得／サイト間重複は未判定</x:v>
      </x:c>
      <x:c r="AC825" s="3" t="str">
        <x:v>税込区分未確認（一覧表示額）</x:v>
      </x:c>
      <x:c r="AD825" s="3" t="str"/>
      <x:c r="AE825" s="29" t="str">
        <x:f>""</x:f>
      </x:c>
      <x:c r="AF825" s="30" t="str">
        <x:f>IF(ISNUMBER(AE825),U825/AE825,"")</x:f>
      </x:c>
      <x:c r="AG825" s="29" t="str">
        <x:f>""</x:f>
      </x:c>
      <x:c r="AH825" s="30" t="str">
        <x:f>IF(ISNUMBER(AG825),U825/AG825,"")</x:f>
      </x:c>
      <x:c r="AI825" s="3" t="str">
        <x:v>同年式・グレードの検証済み当時価格なし／登録年混在</x:v>
      </x:c>
      <x:c r="AJ825" s="3" t="str">
        <x:v>一覧価格/年式のみ</x:v>
      </x:c>
      <x:c r="AK825" s="3" t="str">
        <x:v>一覧の表示価格。年式は掲載年式。</x:v>
      </x:c>
      <x:c r="AL825" s="31" t="n">
        <x:f>IF(AND(J825&lt;='分析方法'!$B$7,OR(ISBLANK(O825),O825&gt;='分析方法'!$B$8),X825&lt;&gt;"売却済み表示"),1,0)</x:f>
        <x:v>1</x:v>
      </x:c>
      <x:c r="AM825" s="32" t="n">
        <x:f>IF(AL825=1,U825,"")</x:f>
        <x:v>619000</x:v>
      </x:c>
      <x:c r="AN825" s="33" t="str">
        <x:f>IF(AL825=1,AF825,"")</x:f>
      </x:c>
      <x:c r="AO825" s="31" t="n">
        <x:f>'分析方法'!$B$6-J825</x:f>
        <x:v>4</x:v>
      </x:c>
      <x:c r="AP825" s="3"/>
    </x:row>
    <x:row r="826" ht="22" customHeight="1">
      <x:c r="A826" s="3" t="str">
        <x:v>T2919632</x:v>
      </x:c>
      <x:c r="B826" s="7" t="d">
        <x:v>2026-10-08T00:00:00.000Z</x:v>
      </x:c>
      <x:c r="C826" s="3" t="str">
        <x:v>Taladrod</x:v>
      </x:c>
      <x:c r="D826" s="3" t="str">
        <x:v>Toyota</x:v>
      </x:c>
      <x:c r="E826" s="3" t="str">
        <x:v>日本</x:v>
      </x:c>
      <x:c r="F826" s="3" t="str">
        <x:v>Hilux Revo</x:v>
      </x:c>
      <x:c r="G826" s="3" t="str">
        <x:v>ICE</x:v>
      </x:c>
      <x:c r="H826" s="3" t="str">
        <x:v>Pickup</x:v>
      </x:c>
      <x:c r="I826" s="3" t="str">
        <x:v>Single cab</x:v>
      </x:c>
      <x:c r="J826" s="3" t="n">
        <x:v>2022</x:v>
      </x:c>
      <x:c r="K826" s="3" t="str">
        <x:v>2.8 ENTRY 4WD STANDARD CAB</x:v>
      </x:c>
      <x:c r="L826" s="3" t="str">
        <x:v>2.8 ENTRY 4WD STANDARD CAB</x:v>
      </x:c>
      <x:c r="M826" s="22"/>
      <x:c r="N826" s="22"/>
      <x:c r="O826" s="22"/>
      <x:c r="P826" s="3" t="str">
        <x:v>未掲載</x:v>
      </x:c>
      <x:c r="Q826" s="3" t="str">
        <x:v>未取得</x:v>
      </x:c>
      <x:c r="R826" s="3" t="str">
        <x:v>Unknown</x:v>
      </x:c>
      <x:c r="S826" s="3" t="str">
        <x:v>不明</x:v>
      </x:c>
      <x:c r="T826" s="3" t="str">
        <x:v>世代不明</x:v>
      </x:c>
      <x:c r="U826" s="28" t="n">
        <x:v>585000</x:v>
      </x:c>
      <x:c r="V826" s="28"/>
      <x:c r="W826" s="3" t="str">
        <x:v>事故・水没・SOH・保証残は未確認</x:v>
      </x:c>
      <x:c r="X826" s="3" t="str">
        <x:v>掲載中・在庫未確認</x:v>
      </x:c>
      <x:c r="Y826" s="3" t="str"/>
      <x:c r="Z826" s="27" t="str">
        <x:v>https://www.taladrod.com/w40/icar/cardet.aspx?cid=2919632</x:v>
      </x:c>
      <x:c r="AA826" s="3" t="str">
        <x:v>Taladrod個別広告ID／Carsome在庫ID</x:v>
      </x:c>
      <x:c r="AB826" s="3" t="str">
        <x:v>車台番号未取得／サイト間重複は未判定</x:v>
      </x:c>
      <x:c r="AC826" s="3" t="str">
        <x:v>税込区分未確認（一覧表示額）</x:v>
      </x:c>
      <x:c r="AD826" s="3" t="str"/>
      <x:c r="AE826" s="29" t="str">
        <x:f>""</x:f>
      </x:c>
      <x:c r="AF826" s="30" t="str">
        <x:f>IF(ISNUMBER(AE826),U826/AE826,"")</x:f>
      </x:c>
      <x:c r="AG826" s="29" t="str">
        <x:f>""</x:f>
      </x:c>
      <x:c r="AH826" s="30" t="str">
        <x:f>IF(ISNUMBER(AG826),U826/AG826,"")</x:f>
      </x:c>
      <x:c r="AI826" s="3" t="str">
        <x:v>同年式・グレードの検証済み当時価格なし／登録年混在</x:v>
      </x:c>
      <x:c r="AJ826" s="3" t="str">
        <x:v>一覧価格/年式のみ</x:v>
      </x:c>
      <x:c r="AK826" s="3" t="str">
        <x:v>一覧の表示価格。年式は掲載年式。</x:v>
      </x:c>
      <x:c r="AL826" s="31" t="n">
        <x:f>IF(AND(J826&lt;='分析方法'!$B$7,OR(ISBLANK(O826),O826&gt;='分析方法'!$B$8),X826&lt;&gt;"売却済み表示"),1,0)</x:f>
        <x:v>1</x:v>
      </x:c>
      <x:c r="AM826" s="32" t="n">
        <x:f>IF(AL826=1,U826,"")</x:f>
        <x:v>585000</x:v>
      </x:c>
      <x:c r="AN826" s="33" t="str">
        <x:f>IF(AL826=1,AF826,"")</x:f>
      </x:c>
      <x:c r="AO826" s="31" t="n">
        <x:f>'分析方法'!$B$6-J826</x:f>
        <x:v>4</x:v>
      </x:c>
      <x:c r="AP826" s="3"/>
    </x:row>
    <x:row r="827" ht="22" customHeight="1">
      <x:c r="A827" s="3" t="str">
        <x:v>T2919054</x:v>
      </x:c>
      <x:c r="B827" s="7" t="d">
        <x:v>2026-10-08T00:00:00.000Z</x:v>
      </x:c>
      <x:c r="C827" s="3" t="str">
        <x:v>Taladrod</x:v>
      </x:c>
      <x:c r="D827" s="3" t="str">
        <x:v>Toyota</x:v>
      </x:c>
      <x:c r="E827" s="3" t="str">
        <x:v>日本</x:v>
      </x:c>
      <x:c r="F827" s="3" t="str">
        <x:v>Hilux Revo</x:v>
      </x:c>
      <x:c r="G827" s="3" t="str">
        <x:v>ICE</x:v>
      </x:c>
      <x:c r="H827" s="3" t="str">
        <x:v>Pickup</x:v>
      </x:c>
      <x:c r="I827" s="3" t="str">
        <x:v>Double cab</x:v>
      </x:c>
      <x:c r="J827" s="3" t="n">
        <x:v>2022</x:v>
      </x:c>
      <x:c r="K827" s="3" t="str">
        <x:v>2.8 GR SPORT DOUBLE CAB</x:v>
      </x:c>
      <x:c r="L827" s="3" t="str">
        <x:v>2.8 GR SPORT DOUBLE CAB</x:v>
      </x:c>
      <x:c r="M827" s="22"/>
      <x:c r="N827" s="22"/>
      <x:c r="O827" s="22"/>
      <x:c r="P827" s="3" t="str">
        <x:v>未掲載</x:v>
      </x:c>
      <x:c r="Q827" s="3" t="str">
        <x:v>未取得</x:v>
      </x:c>
      <x:c r="R827" s="3" t="str">
        <x:v>Unknown</x:v>
      </x:c>
      <x:c r="S827" s="3" t="str">
        <x:v>不明</x:v>
      </x:c>
      <x:c r="T827" s="3" t="str">
        <x:v>世代不明</x:v>
      </x:c>
      <x:c r="U827" s="28" t="n">
        <x:v>599000</x:v>
      </x:c>
      <x:c r="V827" s="28"/>
      <x:c r="W827" s="3" t="str">
        <x:v>事故・水没・SOH・保証残は未確認</x:v>
      </x:c>
      <x:c r="X827" s="3" t="str">
        <x:v>掲載中・在庫未確認</x:v>
      </x:c>
      <x:c r="Y827" s="3" t="str"/>
      <x:c r="Z827" s="27" t="str">
        <x:v>https://www.taladrod.com/w40/icar/cardet.aspx?cid=2919054</x:v>
      </x:c>
      <x:c r="AA827" s="3" t="str">
        <x:v>Taladrod個別広告ID／Carsome在庫ID</x:v>
      </x:c>
      <x:c r="AB827" s="3" t="str">
        <x:v>車台番号未取得／サイト間重複は未判定</x:v>
      </x:c>
      <x:c r="AC827" s="3" t="str">
        <x:v>税込区分未確認（一覧表示額）</x:v>
      </x:c>
      <x:c r="AD827" s="3" t="str"/>
      <x:c r="AE827" s="29" t="str">
        <x:f>""</x:f>
      </x:c>
      <x:c r="AF827" s="30" t="str">
        <x:f>IF(ISNUMBER(AE827),U827/AE827,"")</x:f>
      </x:c>
      <x:c r="AG827" s="29" t="str">
        <x:f>""</x:f>
      </x:c>
      <x:c r="AH827" s="30" t="str">
        <x:f>IF(ISNUMBER(AG827),U827/AG827,"")</x:f>
      </x:c>
      <x:c r="AI827" s="3" t="str">
        <x:v>同年式・グレードの検証済み当時価格なし／登録年混在</x:v>
      </x:c>
      <x:c r="AJ827" s="3" t="str">
        <x:v>一覧価格/年式のみ</x:v>
      </x:c>
      <x:c r="AK827" s="3" t="str">
        <x:v>一覧の表示価格。年式は掲載年式。</x:v>
      </x:c>
      <x:c r="AL827" s="31" t="n">
        <x:f>IF(AND(J827&lt;='分析方法'!$B$7,OR(ISBLANK(O827),O827&gt;='分析方法'!$B$8),X827&lt;&gt;"売却済み表示"),1,0)</x:f>
        <x:v>1</x:v>
      </x:c>
      <x:c r="AM827" s="32" t="n">
        <x:f>IF(AL827=1,U827,"")</x:f>
        <x:v>599000</x:v>
      </x:c>
      <x:c r="AN827" s="33" t="str">
        <x:f>IF(AL827=1,AF827,"")</x:f>
      </x:c>
      <x:c r="AO827" s="31" t="n">
        <x:f>'分析方法'!$B$6-J827</x:f>
        <x:v>4</x:v>
      </x:c>
      <x:c r="AP827" s="3"/>
    </x:row>
    <x:row r="828" ht="22" customHeight="1">
      <x:c r="A828" s="3" t="str">
        <x:v>T2922768</x:v>
      </x:c>
      <x:c r="B828" s="7" t="d">
        <x:v>2026-10-08T00:00:00.000Z</x:v>
      </x:c>
      <x:c r="C828" s="3" t="str">
        <x:v>Taladrod</x:v>
      </x:c>
      <x:c r="D828" s="3" t="str">
        <x:v>Toyota</x:v>
      </x:c>
      <x:c r="E828" s="3" t="str">
        <x:v>日本</x:v>
      </x:c>
      <x:c r="F828" s="3" t="str">
        <x:v>Hilux Revo</x:v>
      </x:c>
      <x:c r="G828" s="3" t="str">
        <x:v>ICE</x:v>
      </x:c>
      <x:c r="H828" s="3" t="str">
        <x:v>Pickup</x:v>
      </x:c>
      <x:c r="I828" s="3" t="str">
        <x:v>Double cab</x:v>
      </x:c>
      <x:c r="J828" s="3" t="n">
        <x:v>2022</x:v>
      </x:c>
      <x:c r="K828" s="3" t="str">
        <x:v>2.8 GR SPORT DOUBLE CAB</x:v>
      </x:c>
      <x:c r="L828" s="3" t="str">
        <x:v>2.8 GR SPORT DOUBLE CAB</x:v>
      </x:c>
      <x:c r="M828" s="22"/>
      <x:c r="N828" s="22"/>
      <x:c r="O828" s="22"/>
      <x:c r="P828" s="3" t="str">
        <x:v>未掲載</x:v>
      </x:c>
      <x:c r="Q828" s="3" t="str">
        <x:v>未取得</x:v>
      </x:c>
      <x:c r="R828" s="3" t="str">
        <x:v>Unknown</x:v>
      </x:c>
      <x:c r="S828" s="3" t="str">
        <x:v>不明</x:v>
      </x:c>
      <x:c r="T828" s="3" t="str">
        <x:v>世代不明</x:v>
      </x:c>
      <x:c r="U828" s="28" t="n">
        <x:v>579000</x:v>
      </x:c>
      <x:c r="V828" s="28"/>
      <x:c r="W828" s="3" t="str">
        <x:v>事故・水没・SOH・保証残は未確認</x:v>
      </x:c>
      <x:c r="X828" s="3" t="str">
        <x:v>掲載中・在庫未確認</x:v>
      </x:c>
      <x:c r="Y828" s="3" t="str"/>
      <x:c r="Z828" s="27" t="str">
        <x:v>https://www.taladrod.com/w40/icar/cardet.aspx?cid=2922768</x:v>
      </x:c>
      <x:c r="AA828" s="3" t="str">
        <x:v>Taladrod個別広告ID／Carsome在庫ID</x:v>
      </x:c>
      <x:c r="AB828" s="3" t="str">
        <x:v>車台番号未取得／サイト間重複は未判定</x:v>
      </x:c>
      <x:c r="AC828" s="3" t="str">
        <x:v>税込区分未確認（一覧表示額）</x:v>
      </x:c>
      <x:c r="AD828" s="3" t="str"/>
      <x:c r="AE828" s="29" t="str">
        <x:f>""</x:f>
      </x:c>
      <x:c r="AF828" s="30" t="str">
        <x:f>IF(ISNUMBER(AE828),U828/AE828,"")</x:f>
      </x:c>
      <x:c r="AG828" s="29" t="str">
        <x:f>""</x:f>
      </x:c>
      <x:c r="AH828" s="30" t="str">
        <x:f>IF(ISNUMBER(AG828),U828/AG828,"")</x:f>
      </x:c>
      <x:c r="AI828" s="3" t="str">
        <x:v>同年式・グレードの検証済み当時価格なし／登録年混在</x:v>
      </x:c>
      <x:c r="AJ828" s="3" t="str">
        <x:v>一覧価格/年式のみ</x:v>
      </x:c>
      <x:c r="AK828" s="3" t="str">
        <x:v>一覧の表示価格。年式は掲載年式。</x:v>
      </x:c>
      <x:c r="AL828" s="31" t="n">
        <x:f>IF(AND(J828&lt;='分析方法'!$B$7,OR(ISBLANK(O828),O828&gt;='分析方法'!$B$8),X828&lt;&gt;"売却済み表示"),1,0)</x:f>
        <x:v>1</x:v>
      </x:c>
      <x:c r="AM828" s="32" t="n">
        <x:f>IF(AL828=1,U828,"")</x:f>
        <x:v>579000</x:v>
      </x:c>
      <x:c r="AN828" s="33" t="str">
        <x:f>IF(AL828=1,AF828,"")</x:f>
      </x:c>
      <x:c r="AO828" s="31" t="n">
        <x:f>'分析方法'!$B$6-J828</x:f>
        <x:v>4</x:v>
      </x:c>
      <x:c r="AP828" s="3"/>
    </x:row>
    <x:row r="829" ht="22" customHeight="1">
      <x:c r="A829" s="3" t="str">
        <x:v>T2899183</x:v>
      </x:c>
      <x:c r="B829" s="7" t="d">
        <x:v>2026-10-08T00:00:00.000Z</x:v>
      </x:c>
      <x:c r="C829" s="3" t="str">
        <x:v>Taladrod</x:v>
      </x:c>
      <x:c r="D829" s="3" t="str">
        <x:v>Toyota</x:v>
      </x:c>
      <x:c r="E829" s="3" t="str">
        <x:v>日本</x:v>
      </x:c>
      <x:c r="F829" s="3" t="str">
        <x:v>Hilux Revo</x:v>
      </x:c>
      <x:c r="G829" s="3" t="str">
        <x:v>ICE</x:v>
      </x:c>
      <x:c r="H829" s="3" t="str">
        <x:v>Pickup</x:v>
      </x:c>
      <x:c r="I829" s="3" t="str">
        <x:v>Double cab</x:v>
      </x:c>
      <x:c r="J829" s="3" t="n">
        <x:v>2022</x:v>
      </x:c>
      <x:c r="K829" s="3" t="str">
        <x:v>2.8 HIGH 4WD DOUBLE CAB</x:v>
      </x:c>
      <x:c r="L829" s="3" t="str">
        <x:v>2.8 HIGH 4WD DOUBLE CAB</x:v>
      </x:c>
      <x:c r="M829" s="22"/>
      <x:c r="N829" s="22"/>
      <x:c r="O829" s="22"/>
      <x:c r="P829" s="3" t="str">
        <x:v>未掲載</x:v>
      </x:c>
      <x:c r="Q829" s="3" t="str">
        <x:v>未取得</x:v>
      </x:c>
      <x:c r="R829" s="3" t="str">
        <x:v>Unknown</x:v>
      </x:c>
      <x:c r="S829" s="3" t="str">
        <x:v>不明</x:v>
      </x:c>
      <x:c r="T829" s="3" t="str">
        <x:v>世代不明</x:v>
      </x:c>
      <x:c r="U829" s="28" t="n">
        <x:v>899000</x:v>
      </x:c>
      <x:c r="V829" s="28"/>
      <x:c r="W829" s="3" t="str">
        <x:v>事故・水没・SOH・保証残は未確認</x:v>
      </x:c>
      <x:c r="X829" s="3" t="str">
        <x:v>掲載中・在庫未確認</x:v>
      </x:c>
      <x:c r="Y829" s="3" t="str"/>
      <x:c r="Z829" s="27" t="str">
        <x:v>https://www.taladrod.com/w40/icar/cardet.aspx?cid=2899183</x:v>
      </x:c>
      <x:c r="AA829" s="3" t="str">
        <x:v>Taladrod個別広告ID／Carsome在庫ID</x:v>
      </x:c>
      <x:c r="AB829" s="3" t="str">
        <x:v>車台番号未取得／サイト間重複は未判定</x:v>
      </x:c>
      <x:c r="AC829" s="3" t="str">
        <x:v>税込区分未確認（一覧表示額）</x:v>
      </x:c>
      <x:c r="AD829" s="3" t="str"/>
      <x:c r="AE829" s="29" t="str">
        <x:f>""</x:f>
      </x:c>
      <x:c r="AF829" s="30" t="str">
        <x:f>IF(ISNUMBER(AE829),U829/AE829,"")</x:f>
      </x:c>
      <x:c r="AG829" s="29" t="str">
        <x:f>""</x:f>
      </x:c>
      <x:c r="AH829" s="30" t="str">
        <x:f>IF(ISNUMBER(AG829),U829/AG829,"")</x:f>
      </x:c>
      <x:c r="AI829" s="3" t="str">
        <x:v>同年式・グレードの検証済み当時価格なし／登録年混在</x:v>
      </x:c>
      <x:c r="AJ829" s="3" t="str">
        <x:v>一覧価格/年式のみ</x:v>
      </x:c>
      <x:c r="AK829" s="3" t="str">
        <x:v>一覧の表示価格。年式は掲載年式。</x:v>
      </x:c>
      <x:c r="AL829" s="31" t="n">
        <x:f>IF(AND(J829&lt;='分析方法'!$B$7,OR(ISBLANK(O829),O829&gt;='分析方法'!$B$8),X829&lt;&gt;"売却済み表示"),1,0)</x:f>
        <x:v>1</x:v>
      </x:c>
      <x:c r="AM829" s="32" t="n">
        <x:f>IF(AL829=1,U829,"")</x:f>
        <x:v>899000</x:v>
      </x:c>
      <x:c r="AN829" s="33" t="str">
        <x:f>IF(AL829=1,AF829,"")</x:f>
      </x:c>
      <x:c r="AO829" s="31" t="n">
        <x:f>'分析方法'!$B$6-J829</x:f>
        <x:v>4</x:v>
      </x:c>
      <x:c r="AP829" s="3"/>
    </x:row>
    <x:row r="830" ht="22" customHeight="1">
      <x:c r="A830" s="3" t="str">
        <x:v>T2923901</x:v>
      </x:c>
      <x:c r="B830" s="7" t="d">
        <x:v>2026-10-08T00:00:00.000Z</x:v>
      </x:c>
      <x:c r="C830" s="3" t="str">
        <x:v>Taladrod</x:v>
      </x:c>
      <x:c r="D830" s="3" t="str">
        <x:v>Toyota</x:v>
      </x:c>
      <x:c r="E830" s="3" t="str">
        <x:v>日本</x:v>
      </x:c>
      <x:c r="F830" s="3" t="str">
        <x:v>Hilux Revo</x:v>
      </x:c>
      <x:c r="G830" s="3" t="str">
        <x:v>ICE</x:v>
      </x:c>
      <x:c r="H830" s="3" t="str">
        <x:v>Pickup</x:v>
      </x:c>
      <x:c r="I830" s="3" t="str">
        <x:v>Smart cab</x:v>
      </x:c>
      <x:c r="J830" s="3" t="n">
        <x:v>2023</x:v>
      </x:c>
      <x:c r="K830" s="3" t="str">
        <x:v>2.4 E Z EDITION SMART CAB</x:v>
      </x:c>
      <x:c r="L830" s="3" t="str">
        <x:v>2.4 E Z EDITION SMART CAB</x:v>
      </x:c>
      <x:c r="M830" s="22"/>
      <x:c r="N830" s="22"/>
      <x:c r="O830" s="22"/>
      <x:c r="P830" s="3" t="str">
        <x:v>未掲載</x:v>
      </x:c>
      <x:c r="Q830" s="3" t="str">
        <x:v>未取得</x:v>
      </x:c>
      <x:c r="R830" s="3" t="str">
        <x:v>Unknown</x:v>
      </x:c>
      <x:c r="S830" s="3" t="str">
        <x:v>不明</x:v>
      </x:c>
      <x:c r="T830" s="3" t="str">
        <x:v>世代不明</x:v>
      </x:c>
      <x:c r="U830" s="28" t="n">
        <x:v>499000</x:v>
      </x:c>
      <x:c r="V830" s="28"/>
      <x:c r="W830" s="3" t="str">
        <x:v>事故・水没・SOH・保証残は未確認</x:v>
      </x:c>
      <x:c r="X830" s="3" t="str">
        <x:v>掲載中・在庫未確認</x:v>
      </x:c>
      <x:c r="Y830" s="3" t="str"/>
      <x:c r="Z830" s="27" t="str">
        <x:v>https://www.taladrod.com/w40/icar/cardet.aspx?cid=2923901</x:v>
      </x:c>
      <x:c r="AA830" s="3" t="str">
        <x:v>Taladrod個別広告ID／Carsome在庫ID</x:v>
      </x:c>
      <x:c r="AB830" s="3" t="str">
        <x:v>車台番号未取得／サイト間重複は未判定</x:v>
      </x:c>
      <x:c r="AC830" s="3" t="str">
        <x:v>税込区分未確認（一覧表示額）</x:v>
      </x:c>
      <x:c r="AD830" s="3" t="str"/>
      <x:c r="AE830" s="29" t="str">
        <x:f>""</x:f>
      </x:c>
      <x:c r="AF830" s="30" t="str">
        <x:f>IF(ISNUMBER(AE830),U830/AE830,"")</x:f>
      </x:c>
      <x:c r="AG830" s="29" t="str">
        <x:f>""</x:f>
      </x:c>
      <x:c r="AH830" s="30" t="str">
        <x:f>IF(ISNUMBER(AG830),U830/AG830,"")</x:f>
      </x:c>
      <x:c r="AI830" s="3" t="str">
        <x:v>同年式・グレードの検証済み当時価格なし／登録年混在</x:v>
      </x:c>
      <x:c r="AJ830" s="3" t="str">
        <x:v>一覧価格/年式のみ</x:v>
      </x:c>
      <x:c r="AK830" s="3" t="str">
        <x:v>一覧の表示価格。年式は掲載年式。</x:v>
      </x:c>
      <x:c r="AL830" s="31" t="n">
        <x:f>IF(AND(J830&lt;='分析方法'!$B$7,OR(ISBLANK(O830),O830&gt;='分析方法'!$B$8),X830&lt;&gt;"売却済み表示"),1,0)</x:f>
        <x:v>1</x:v>
      </x:c>
      <x:c r="AM830" s="32" t="n">
        <x:f>IF(AL830=1,U830,"")</x:f>
        <x:v>499000</x:v>
      </x:c>
      <x:c r="AN830" s="33" t="str">
        <x:f>IF(AL830=1,AF830,"")</x:f>
      </x:c>
      <x:c r="AO830" s="31" t="n">
        <x:f>'分析方法'!$B$6-J830</x:f>
        <x:v>3</x:v>
      </x:c>
      <x:c r="AP830" s="3"/>
    </x:row>
    <x:row r="831" ht="22" customHeight="1">
      <x:c r="A831" s="3" t="str">
        <x:v>T2896396</x:v>
      </x:c>
      <x:c r="B831" s="7" t="d">
        <x:v>2026-10-08T00:00:00.000Z</x:v>
      </x:c>
      <x:c r="C831" s="3" t="str">
        <x:v>Taladrod</x:v>
      </x:c>
      <x:c r="D831" s="3" t="str">
        <x:v>Toyota</x:v>
      </x:c>
      <x:c r="E831" s="3" t="str">
        <x:v>日本</x:v>
      </x:c>
      <x:c r="F831" s="3" t="str">
        <x:v>Hilux Revo</x:v>
      </x:c>
      <x:c r="G831" s="3" t="str">
        <x:v>ICE</x:v>
      </x:c>
      <x:c r="H831" s="3" t="str">
        <x:v>Pickup</x:v>
      </x:c>
      <x:c r="I831" s="3" t="str">
        <x:v>Double cab</x:v>
      </x:c>
      <x:c r="J831" s="3" t="n">
        <x:v>2023</x:v>
      </x:c>
      <x:c r="K831" s="3" t="str">
        <x:v>2.4 ENTRY PRERUNNER DOUBLE CAB</x:v>
      </x:c>
      <x:c r="L831" s="3" t="str">
        <x:v>2.4 ENTRY PRERUNNER DOUBLE CAB</x:v>
      </x:c>
      <x:c r="M831" s="22"/>
      <x:c r="N831" s="22"/>
      <x:c r="O831" s="22"/>
      <x:c r="P831" s="3" t="str">
        <x:v>未掲載</x:v>
      </x:c>
      <x:c r="Q831" s="3" t="str">
        <x:v>未取得</x:v>
      </x:c>
      <x:c r="R831" s="3" t="str">
        <x:v>Unknown</x:v>
      </x:c>
      <x:c r="S831" s="3" t="str">
        <x:v>不明</x:v>
      </x:c>
      <x:c r="T831" s="3" t="str">
        <x:v>世代不明</x:v>
      </x:c>
      <x:c r="U831" s="28" t="n">
        <x:v>639000</x:v>
      </x:c>
      <x:c r="V831" s="28"/>
      <x:c r="W831" s="3" t="str">
        <x:v>事故・水没・SOH・保証残は未確認</x:v>
      </x:c>
      <x:c r="X831" s="3" t="str">
        <x:v>掲載中・在庫未確認</x:v>
      </x:c>
      <x:c r="Y831" s="3" t="str"/>
      <x:c r="Z831" s="27" t="str">
        <x:v>https://www.taladrod.com/w40/icar/cardet.aspx?cid=2896396</x:v>
      </x:c>
      <x:c r="AA831" s="3" t="str">
        <x:v>Taladrod個別広告ID／Carsome在庫ID</x:v>
      </x:c>
      <x:c r="AB831" s="3" t="str">
        <x:v>車台番号未取得／サイト間重複は未判定</x:v>
      </x:c>
      <x:c r="AC831" s="3" t="str">
        <x:v>税込区分未確認（一覧表示額）</x:v>
      </x:c>
      <x:c r="AD831" s="3" t="str"/>
      <x:c r="AE831" s="29" t="str">
        <x:f>""</x:f>
      </x:c>
      <x:c r="AF831" s="30" t="str">
        <x:f>IF(ISNUMBER(AE831),U831/AE831,"")</x:f>
      </x:c>
      <x:c r="AG831" s="29" t="str">
        <x:f>""</x:f>
      </x:c>
      <x:c r="AH831" s="30" t="str">
        <x:f>IF(ISNUMBER(AG831),U831/AG831,"")</x:f>
      </x:c>
      <x:c r="AI831" s="3" t="str">
        <x:v>同年式・グレードの検証済み当時価格なし／登録年混在</x:v>
      </x:c>
      <x:c r="AJ831" s="3" t="str">
        <x:v>一覧価格/年式のみ</x:v>
      </x:c>
      <x:c r="AK831" s="3" t="str">
        <x:v>一覧の表示価格。年式は掲載年式。</x:v>
      </x:c>
      <x:c r="AL831" s="31" t="n">
        <x:f>IF(AND(J831&lt;='分析方法'!$B$7,OR(ISBLANK(O831),O831&gt;='分析方法'!$B$8),X831&lt;&gt;"売却済み表示"),1,0)</x:f>
        <x:v>1</x:v>
      </x:c>
      <x:c r="AM831" s="32" t="n">
        <x:f>IF(AL831=1,U831,"")</x:f>
        <x:v>639000</x:v>
      </x:c>
      <x:c r="AN831" s="33" t="str">
        <x:f>IF(AL831=1,AF831,"")</x:f>
      </x:c>
      <x:c r="AO831" s="31" t="n">
        <x:f>'分析方法'!$B$6-J831</x:f>
        <x:v>3</x:v>
      </x:c>
      <x:c r="AP831" s="3"/>
    </x:row>
    <x:row r="832" ht="22" customHeight="1">
      <x:c r="A832" s="3" t="str">
        <x:v>T2921535</x:v>
      </x:c>
      <x:c r="B832" s="7" t="d">
        <x:v>2026-10-08T00:00:00.000Z</x:v>
      </x:c>
      <x:c r="C832" s="3" t="str">
        <x:v>Taladrod</x:v>
      </x:c>
      <x:c r="D832" s="3" t="str">
        <x:v>Toyota</x:v>
      </x:c>
      <x:c r="E832" s="3" t="str">
        <x:v>日本</x:v>
      </x:c>
      <x:c r="F832" s="3" t="str">
        <x:v>Hilux Revo</x:v>
      </x:c>
      <x:c r="G832" s="3" t="str">
        <x:v>ICE</x:v>
      </x:c>
      <x:c r="H832" s="3" t="str">
        <x:v>Pickup</x:v>
      </x:c>
      <x:c r="I832" s="3" t="str">
        <x:v>Double cab</x:v>
      </x:c>
      <x:c r="J832" s="3" t="n">
        <x:v>2023</x:v>
      </x:c>
      <x:c r="K832" s="3" t="str">
        <x:v>2.4 ENTRY PRERUNNER DOUBLE CAB</x:v>
      </x:c>
      <x:c r="L832" s="3" t="str">
        <x:v>2.4 ENTRY PRERUNNER DOUBLE CAB</x:v>
      </x:c>
      <x:c r="M832" s="22"/>
      <x:c r="N832" s="22"/>
      <x:c r="O832" s="22"/>
      <x:c r="P832" s="3" t="str">
        <x:v>未掲載</x:v>
      </x:c>
      <x:c r="Q832" s="3" t="str">
        <x:v>未取得</x:v>
      </x:c>
      <x:c r="R832" s="3" t="str">
        <x:v>Unknown</x:v>
      </x:c>
      <x:c r="S832" s="3" t="str">
        <x:v>不明</x:v>
      </x:c>
      <x:c r="T832" s="3" t="str">
        <x:v>世代不明</x:v>
      </x:c>
      <x:c r="U832" s="28" t="n">
        <x:v>628000</x:v>
      </x:c>
      <x:c r="V832" s="28"/>
      <x:c r="W832" s="3" t="str">
        <x:v>事故・水没・SOH・保証残は未確認</x:v>
      </x:c>
      <x:c r="X832" s="3" t="str">
        <x:v>掲載中・在庫未確認</x:v>
      </x:c>
      <x:c r="Y832" s="3" t="str"/>
      <x:c r="Z832" s="27" t="str">
        <x:v>https://www.taladrod.com/w40/icar/cardet.aspx?cid=2921535</x:v>
      </x:c>
      <x:c r="AA832" s="3" t="str">
        <x:v>Taladrod個別広告ID／Carsome在庫ID</x:v>
      </x:c>
      <x:c r="AB832" s="3" t="str">
        <x:v>車台番号未取得／サイト間重複は未判定</x:v>
      </x:c>
      <x:c r="AC832" s="3" t="str">
        <x:v>税込区分未確認（一覧表示額）</x:v>
      </x:c>
      <x:c r="AD832" s="3" t="str"/>
      <x:c r="AE832" s="29" t="str">
        <x:f>""</x:f>
      </x:c>
      <x:c r="AF832" s="30" t="str">
        <x:f>IF(ISNUMBER(AE832),U832/AE832,"")</x:f>
      </x:c>
      <x:c r="AG832" s="29" t="str">
        <x:f>""</x:f>
      </x:c>
      <x:c r="AH832" s="30" t="str">
        <x:f>IF(ISNUMBER(AG832),U832/AG832,"")</x:f>
      </x:c>
      <x:c r="AI832" s="3" t="str">
        <x:v>同年式・グレードの検証済み当時価格なし／登録年混在</x:v>
      </x:c>
      <x:c r="AJ832" s="3" t="str">
        <x:v>一覧価格/年式のみ</x:v>
      </x:c>
      <x:c r="AK832" s="3" t="str">
        <x:v>一覧の表示価格。年式は掲載年式。</x:v>
      </x:c>
      <x:c r="AL832" s="31" t="n">
        <x:f>IF(AND(J832&lt;='分析方法'!$B$7,OR(ISBLANK(O832),O832&gt;='分析方法'!$B$8),X832&lt;&gt;"売却済み表示"),1,0)</x:f>
        <x:v>1</x:v>
      </x:c>
      <x:c r="AM832" s="32" t="n">
        <x:f>IF(AL832=1,U832,"")</x:f>
        <x:v>628000</x:v>
      </x:c>
      <x:c r="AN832" s="33" t="str">
        <x:f>IF(AL832=1,AF832,"")</x:f>
      </x:c>
      <x:c r="AO832" s="31" t="n">
        <x:f>'分析方法'!$B$6-J832</x:f>
        <x:v>3</x:v>
      </x:c>
      <x:c r="AP832" s="3"/>
    </x:row>
    <x:row r="833" ht="22" customHeight="1">
      <x:c r="A833" s="3" t="str">
        <x:v>T2907072</x:v>
      </x:c>
      <x:c r="B833" s="7" t="d">
        <x:v>2026-10-08T00:00:00.000Z</x:v>
      </x:c>
      <x:c r="C833" s="3" t="str">
        <x:v>Taladrod</x:v>
      </x:c>
      <x:c r="D833" s="3" t="str">
        <x:v>Toyota</x:v>
      </x:c>
      <x:c r="E833" s="3" t="str">
        <x:v>日本</x:v>
      </x:c>
      <x:c r="F833" s="3" t="str">
        <x:v>Hilux Revo</x:v>
      </x:c>
      <x:c r="G833" s="3" t="str">
        <x:v>ICE</x:v>
      </x:c>
      <x:c r="H833" s="3" t="str">
        <x:v>Pickup</x:v>
      </x:c>
      <x:c r="I833" s="3" t="str">
        <x:v>Smart cab</x:v>
      </x:c>
      <x:c r="J833" s="3" t="n">
        <x:v>2023</x:v>
      </x:c>
      <x:c r="K833" s="3" t="str">
        <x:v>2.4 ENTRY PRERUNNER SMART CAB</x:v>
      </x:c>
      <x:c r="L833" s="3" t="str">
        <x:v>2.4 ENTRY PRERUNNER SMART CAB</x:v>
      </x:c>
      <x:c r="M833" s="22"/>
      <x:c r="N833" s="22"/>
      <x:c r="O833" s="22"/>
      <x:c r="P833" s="3" t="str">
        <x:v>未掲載</x:v>
      </x:c>
      <x:c r="Q833" s="3" t="str">
        <x:v>未取得</x:v>
      </x:c>
      <x:c r="R833" s="3" t="str">
        <x:v>Unknown</x:v>
      </x:c>
      <x:c r="S833" s="3" t="str">
        <x:v>不明</x:v>
      </x:c>
      <x:c r="T833" s="3" t="str">
        <x:v>世代不明</x:v>
      </x:c>
      <x:c r="U833" s="28" t="n">
        <x:v>504000</x:v>
      </x:c>
      <x:c r="V833" s="28"/>
      <x:c r="W833" s="3" t="str">
        <x:v>事故・水没・SOH・保証残は未確認</x:v>
      </x:c>
      <x:c r="X833" s="3" t="str">
        <x:v>掲載中・在庫未確認</x:v>
      </x:c>
      <x:c r="Y833" s="3" t="str"/>
      <x:c r="Z833" s="27" t="str">
        <x:v>https://www.taladrod.com/w40/icar/cardet.aspx?cid=2907072</x:v>
      </x:c>
      <x:c r="AA833" s="3" t="str">
        <x:v>Taladrod個別広告ID／Carsome在庫ID</x:v>
      </x:c>
      <x:c r="AB833" s="3" t="str">
        <x:v>車台番号未取得／サイト間重複は未判定</x:v>
      </x:c>
      <x:c r="AC833" s="3" t="str">
        <x:v>税込区分未確認（一覧表示額）</x:v>
      </x:c>
      <x:c r="AD833" s="3" t="str"/>
      <x:c r="AE833" s="29" t="str">
        <x:f>""</x:f>
      </x:c>
      <x:c r="AF833" s="30" t="str">
        <x:f>IF(ISNUMBER(AE833),U833/AE833,"")</x:f>
      </x:c>
      <x:c r="AG833" s="29" t="str">
        <x:f>""</x:f>
      </x:c>
      <x:c r="AH833" s="30" t="str">
        <x:f>IF(ISNUMBER(AG833),U833/AG833,"")</x:f>
      </x:c>
      <x:c r="AI833" s="3" t="str">
        <x:v>同年式・グレードの検証済み当時価格なし／登録年混在</x:v>
      </x:c>
      <x:c r="AJ833" s="3" t="str">
        <x:v>一覧価格/年式のみ</x:v>
      </x:c>
      <x:c r="AK833" s="3" t="str">
        <x:v>一覧の表示価格。年式は掲載年式。</x:v>
      </x:c>
      <x:c r="AL833" s="31" t="n">
        <x:f>IF(AND(J833&lt;='分析方法'!$B$7,OR(ISBLANK(O833),O833&gt;='分析方法'!$B$8),X833&lt;&gt;"売却済み表示"),1,0)</x:f>
        <x:v>1</x:v>
      </x:c>
      <x:c r="AM833" s="32" t="n">
        <x:f>IF(AL833=1,U833,"")</x:f>
        <x:v>504000</x:v>
      </x:c>
      <x:c r="AN833" s="33" t="str">
        <x:f>IF(AL833=1,AF833,"")</x:f>
      </x:c>
      <x:c r="AO833" s="31" t="n">
        <x:f>'分析方法'!$B$6-J833</x:f>
        <x:v>3</x:v>
      </x:c>
      <x:c r="AP833" s="3"/>
    </x:row>
    <x:row r="834" ht="22" customHeight="1">
      <x:c r="A834" s="3" t="str">
        <x:v>T2895445</x:v>
      </x:c>
      <x:c r="B834" s="7" t="d">
        <x:v>2026-10-08T00:00:00.000Z</x:v>
      </x:c>
      <x:c r="C834" s="3" t="str">
        <x:v>Taladrod</x:v>
      </x:c>
      <x:c r="D834" s="3" t="str">
        <x:v>Toyota</x:v>
      </x:c>
      <x:c r="E834" s="3" t="str">
        <x:v>日本</x:v>
      </x:c>
      <x:c r="F834" s="3" t="str">
        <x:v>Hilux Revo</x:v>
      </x:c>
      <x:c r="G834" s="3" t="str">
        <x:v>ICE</x:v>
      </x:c>
      <x:c r="H834" s="3" t="str">
        <x:v>Pickup</x:v>
      </x:c>
      <x:c r="I834" s="3" t="str">
        <x:v>Single cab</x:v>
      </x:c>
      <x:c r="J834" s="3" t="n">
        <x:v>2023</x:v>
      </x:c>
      <x:c r="K834" s="3" t="str">
        <x:v>2.4 ENTRY STANDARD CAB</x:v>
      </x:c>
      <x:c r="L834" s="3" t="str">
        <x:v>2.4 ENTRY STANDARD CAB</x:v>
      </x:c>
      <x:c r="M834" s="22"/>
      <x:c r="N834" s="22"/>
      <x:c r="O834" s="22"/>
      <x:c r="P834" s="3" t="str">
        <x:v>未掲載</x:v>
      </x:c>
      <x:c r="Q834" s="3" t="str">
        <x:v>未取得</x:v>
      </x:c>
      <x:c r="R834" s="3" t="str">
        <x:v>Unknown</x:v>
      </x:c>
      <x:c r="S834" s="3" t="str">
        <x:v>不明</x:v>
      </x:c>
      <x:c r="T834" s="3" t="str">
        <x:v>世代不明</x:v>
      </x:c>
      <x:c r="U834" s="28" t="n">
        <x:v>429000</x:v>
      </x:c>
      <x:c r="V834" s="28"/>
      <x:c r="W834" s="3" t="str">
        <x:v>事故・水没・SOH・保証残は未確認</x:v>
      </x:c>
      <x:c r="X834" s="3" t="str">
        <x:v>掲載中・在庫未確認</x:v>
      </x:c>
      <x:c r="Y834" s="3" t="str"/>
      <x:c r="Z834" s="27" t="str">
        <x:v>https://www.taladrod.com/w40/icar/cardet.aspx?cid=2895445</x:v>
      </x:c>
      <x:c r="AA834" s="3" t="str">
        <x:v>Taladrod個別広告ID／Carsome在庫ID</x:v>
      </x:c>
      <x:c r="AB834" s="3" t="str">
        <x:v>車台番号未取得／サイト間重複は未判定</x:v>
      </x:c>
      <x:c r="AC834" s="3" t="str">
        <x:v>税込区分未確認（一覧表示額）</x:v>
      </x:c>
      <x:c r="AD834" s="3" t="str"/>
      <x:c r="AE834" s="29" t="str">
        <x:f>""</x:f>
      </x:c>
      <x:c r="AF834" s="30" t="str">
        <x:f>IF(ISNUMBER(AE834),U834/AE834,"")</x:f>
      </x:c>
      <x:c r="AG834" s="29" t="str">
        <x:f>""</x:f>
      </x:c>
      <x:c r="AH834" s="30" t="str">
        <x:f>IF(ISNUMBER(AG834),U834/AG834,"")</x:f>
      </x:c>
      <x:c r="AI834" s="3" t="str">
        <x:v>同年式・グレードの検証済み当時価格なし／登録年混在</x:v>
      </x:c>
      <x:c r="AJ834" s="3" t="str">
        <x:v>一覧価格/年式のみ</x:v>
      </x:c>
      <x:c r="AK834" s="3" t="str">
        <x:v>一覧の表示価格。年式は掲載年式。</x:v>
      </x:c>
      <x:c r="AL834" s="31" t="n">
        <x:f>IF(AND(J834&lt;='分析方法'!$B$7,OR(ISBLANK(O834),O834&gt;='分析方法'!$B$8),X834&lt;&gt;"売却済み表示"),1,0)</x:f>
        <x:v>1</x:v>
      </x:c>
      <x:c r="AM834" s="32" t="n">
        <x:f>IF(AL834=1,U834,"")</x:f>
        <x:v>429000</x:v>
      </x:c>
      <x:c r="AN834" s="33" t="str">
        <x:f>IF(AL834=1,AF834,"")</x:f>
      </x:c>
      <x:c r="AO834" s="31" t="n">
        <x:f>'分析方法'!$B$6-J834</x:f>
        <x:v>3</x:v>
      </x:c>
      <x:c r="AP834" s="3"/>
    </x:row>
    <x:row r="835" ht="22" customHeight="1">
      <x:c r="A835" s="3" t="str">
        <x:v>T2908635</x:v>
      </x:c>
      <x:c r="B835" s="7" t="d">
        <x:v>2026-10-08T00:00:00.000Z</x:v>
      </x:c>
      <x:c r="C835" s="3" t="str">
        <x:v>Taladrod</x:v>
      </x:c>
      <x:c r="D835" s="3" t="str">
        <x:v>Toyota</x:v>
      </x:c>
      <x:c r="E835" s="3" t="str">
        <x:v>日本</x:v>
      </x:c>
      <x:c r="F835" s="3" t="str">
        <x:v>Hilux Revo</x:v>
      </x:c>
      <x:c r="G835" s="3" t="str">
        <x:v>ICE</x:v>
      </x:c>
      <x:c r="H835" s="3" t="str">
        <x:v>Pickup</x:v>
      </x:c>
      <x:c r="I835" s="3" t="str">
        <x:v>Single cab</x:v>
      </x:c>
      <x:c r="J835" s="3" t="n">
        <x:v>2023</x:v>
      </x:c>
      <x:c r="K835" s="3" t="str">
        <x:v>2.4 ENTRY STANDARD CAB</x:v>
      </x:c>
      <x:c r="L835" s="3" t="str">
        <x:v>2.4 ENTRY STANDARD CAB</x:v>
      </x:c>
      <x:c r="M835" s="22"/>
      <x:c r="N835" s="22"/>
      <x:c r="O835" s="22"/>
      <x:c r="P835" s="3" t="str">
        <x:v>未掲載</x:v>
      </x:c>
      <x:c r="Q835" s="3" t="str">
        <x:v>未取得</x:v>
      </x:c>
      <x:c r="R835" s="3" t="str">
        <x:v>Unknown</x:v>
      </x:c>
      <x:c r="S835" s="3" t="str">
        <x:v>不明</x:v>
      </x:c>
      <x:c r="T835" s="3" t="str">
        <x:v>世代不明</x:v>
      </x:c>
      <x:c r="U835" s="28" t="n">
        <x:v>479000</x:v>
      </x:c>
      <x:c r="V835" s="28"/>
      <x:c r="W835" s="3" t="str">
        <x:v>事故・水没・SOH・保証残は未確認</x:v>
      </x:c>
      <x:c r="X835" s="3" t="str">
        <x:v>掲載中・在庫未確認</x:v>
      </x:c>
      <x:c r="Y835" s="3" t="str"/>
      <x:c r="Z835" s="27" t="str">
        <x:v>https://www.taladrod.com/w40/icar/cardet.aspx?cid=2908635</x:v>
      </x:c>
      <x:c r="AA835" s="3" t="str">
        <x:v>Taladrod個別広告ID／Carsome在庫ID</x:v>
      </x:c>
      <x:c r="AB835" s="3" t="str">
        <x:v>車台番号未取得／サイト間重複は未判定</x:v>
      </x:c>
      <x:c r="AC835" s="3" t="str">
        <x:v>税込区分未確認（一覧表示額）</x:v>
      </x:c>
      <x:c r="AD835" s="3" t="str"/>
      <x:c r="AE835" s="29" t="str">
        <x:f>""</x:f>
      </x:c>
      <x:c r="AF835" s="30" t="str">
        <x:f>IF(ISNUMBER(AE835),U835/AE835,"")</x:f>
      </x:c>
      <x:c r="AG835" s="29" t="str">
        <x:f>""</x:f>
      </x:c>
      <x:c r="AH835" s="30" t="str">
        <x:f>IF(ISNUMBER(AG835),U835/AG835,"")</x:f>
      </x:c>
      <x:c r="AI835" s="3" t="str">
        <x:v>同年式・グレードの検証済み当時価格なし／登録年混在</x:v>
      </x:c>
      <x:c r="AJ835" s="3" t="str">
        <x:v>一覧価格/年式のみ</x:v>
      </x:c>
      <x:c r="AK835" s="3" t="str">
        <x:v>一覧の表示価格。年式は掲載年式。</x:v>
      </x:c>
      <x:c r="AL835" s="31" t="n">
        <x:f>IF(AND(J835&lt;='分析方法'!$B$7,OR(ISBLANK(O835),O835&gt;='分析方法'!$B$8),X835&lt;&gt;"売却済み表示"),1,0)</x:f>
        <x:v>1</x:v>
      </x:c>
      <x:c r="AM835" s="32" t="n">
        <x:f>IF(AL835=1,U835,"")</x:f>
        <x:v>479000</x:v>
      </x:c>
      <x:c r="AN835" s="33" t="str">
        <x:f>IF(AL835=1,AF835,"")</x:f>
      </x:c>
      <x:c r="AO835" s="31" t="n">
        <x:f>'分析方法'!$B$6-J835</x:f>
        <x:v>3</x:v>
      </x:c>
      <x:c r="AP835" s="3"/>
    </x:row>
    <x:row r="836" ht="22" customHeight="1">
      <x:c r="A836" s="3" t="str">
        <x:v>T2924025</x:v>
      </x:c>
      <x:c r="B836" s="7" t="d">
        <x:v>2026-10-08T00:00:00.000Z</x:v>
      </x:c>
      <x:c r="C836" s="3" t="str">
        <x:v>Taladrod</x:v>
      </x:c>
      <x:c r="D836" s="3" t="str">
        <x:v>Toyota</x:v>
      </x:c>
      <x:c r="E836" s="3" t="str">
        <x:v>日本</x:v>
      </x:c>
      <x:c r="F836" s="3" t="str">
        <x:v>Hilux Revo</x:v>
      </x:c>
      <x:c r="G836" s="3" t="str">
        <x:v>ICE</x:v>
      </x:c>
      <x:c r="H836" s="3" t="str">
        <x:v>Pickup</x:v>
      </x:c>
      <x:c r="I836" s="3" t="str">
        <x:v>Single cab</x:v>
      </x:c>
      <x:c r="J836" s="3" t="n">
        <x:v>2023</x:v>
      </x:c>
      <x:c r="K836" s="3" t="str">
        <x:v>2.4 ENTRY STANDARD CAB</x:v>
      </x:c>
      <x:c r="L836" s="3" t="str">
        <x:v>2.4 ENTRY STANDARD CAB</x:v>
      </x:c>
      <x:c r="M836" s="22"/>
      <x:c r="N836" s="22"/>
      <x:c r="O836" s="22"/>
      <x:c r="P836" s="3" t="str">
        <x:v>未掲載</x:v>
      </x:c>
      <x:c r="Q836" s="3" t="str">
        <x:v>未取得</x:v>
      </x:c>
      <x:c r="R836" s="3" t="str">
        <x:v>Unknown</x:v>
      </x:c>
      <x:c r="S836" s="3" t="str">
        <x:v>不明</x:v>
      </x:c>
      <x:c r="T836" s="3" t="str">
        <x:v>世代不明</x:v>
      </x:c>
      <x:c r="U836" s="28" t="n">
        <x:v>599000</x:v>
      </x:c>
      <x:c r="V836" s="28"/>
      <x:c r="W836" s="3" t="str">
        <x:v>事故・水没・SOH・保証残は未確認</x:v>
      </x:c>
      <x:c r="X836" s="3" t="str">
        <x:v>掲載中・在庫未確認</x:v>
      </x:c>
      <x:c r="Y836" s="3" t="str"/>
      <x:c r="Z836" s="27" t="str">
        <x:v>https://www.taladrod.com/w40/icar/cardet.aspx?cid=2924025</x:v>
      </x:c>
      <x:c r="AA836" s="3" t="str">
        <x:v>Taladrod個別広告ID／Carsome在庫ID</x:v>
      </x:c>
      <x:c r="AB836" s="3" t="str">
        <x:v>車台番号未取得／サイト間重複は未判定</x:v>
      </x:c>
      <x:c r="AC836" s="3" t="str">
        <x:v>税込区分未確認（一覧表示額）</x:v>
      </x:c>
      <x:c r="AD836" s="3" t="str"/>
      <x:c r="AE836" s="29" t="str">
        <x:f>""</x:f>
      </x:c>
      <x:c r="AF836" s="30" t="str">
        <x:f>IF(ISNUMBER(AE836),U836/AE836,"")</x:f>
      </x:c>
      <x:c r="AG836" s="29" t="str">
        <x:f>""</x:f>
      </x:c>
      <x:c r="AH836" s="30" t="str">
        <x:f>IF(ISNUMBER(AG836),U836/AG836,"")</x:f>
      </x:c>
      <x:c r="AI836" s="3" t="str">
        <x:v>同年式・グレードの検証済み当時価格なし／登録年混在</x:v>
      </x:c>
      <x:c r="AJ836" s="3" t="str">
        <x:v>一覧価格/年式のみ</x:v>
      </x:c>
      <x:c r="AK836" s="3" t="str">
        <x:v>一覧の表示価格。年式は掲載年式。</x:v>
      </x:c>
      <x:c r="AL836" s="31" t="n">
        <x:f>IF(AND(J836&lt;='分析方法'!$B$7,OR(ISBLANK(O836),O836&gt;='分析方法'!$B$8),X836&lt;&gt;"売却済み表示"),1,0)</x:f>
        <x:v>1</x:v>
      </x:c>
      <x:c r="AM836" s="32" t="n">
        <x:f>IF(AL836=1,U836,"")</x:f>
        <x:v>599000</x:v>
      </x:c>
      <x:c r="AN836" s="33" t="str">
        <x:f>IF(AL836=1,AF836,"")</x:f>
      </x:c>
      <x:c r="AO836" s="31" t="n">
        <x:f>'分析方法'!$B$6-J836</x:f>
        <x:v>3</x:v>
      </x:c>
      <x:c r="AP836" s="3"/>
    </x:row>
    <x:row r="837" ht="22" customHeight="1">
      <x:c r="A837" s="3" t="str">
        <x:v>T2924026</x:v>
      </x:c>
      <x:c r="B837" s="7" t="d">
        <x:v>2026-10-08T00:00:00.000Z</x:v>
      </x:c>
      <x:c r="C837" s="3" t="str">
        <x:v>Taladrod</x:v>
      </x:c>
      <x:c r="D837" s="3" t="str">
        <x:v>Toyota</x:v>
      </x:c>
      <x:c r="E837" s="3" t="str">
        <x:v>日本</x:v>
      </x:c>
      <x:c r="F837" s="3" t="str">
        <x:v>Hilux Revo</x:v>
      </x:c>
      <x:c r="G837" s="3" t="str">
        <x:v>ICE</x:v>
      </x:c>
      <x:c r="H837" s="3" t="str">
        <x:v>Pickup</x:v>
      </x:c>
      <x:c r="I837" s="3" t="str">
        <x:v>Single cab</x:v>
      </x:c>
      <x:c r="J837" s="3" t="n">
        <x:v>2023</x:v>
      </x:c>
      <x:c r="K837" s="3" t="str">
        <x:v>2.4 ENTRY STANDARD CAB</x:v>
      </x:c>
      <x:c r="L837" s="3" t="str">
        <x:v>2.4 ENTRY STANDARD CAB</x:v>
      </x:c>
      <x:c r="M837" s="22"/>
      <x:c r="N837" s="22"/>
      <x:c r="O837" s="22"/>
      <x:c r="P837" s="3" t="str">
        <x:v>未掲載</x:v>
      </x:c>
      <x:c r="Q837" s="3" t="str">
        <x:v>未取得</x:v>
      </x:c>
      <x:c r="R837" s="3" t="str">
        <x:v>Unknown</x:v>
      </x:c>
      <x:c r="S837" s="3" t="str">
        <x:v>不明</x:v>
      </x:c>
      <x:c r="T837" s="3" t="str">
        <x:v>世代不明</x:v>
      </x:c>
      <x:c r="U837" s="28" t="n">
        <x:v>479000</x:v>
      </x:c>
      <x:c r="V837" s="28"/>
      <x:c r="W837" s="3" t="str">
        <x:v>事故・水没・SOH・保証残は未確認</x:v>
      </x:c>
      <x:c r="X837" s="3" t="str">
        <x:v>掲載中・在庫未確認</x:v>
      </x:c>
      <x:c r="Y837" s="3" t="str"/>
      <x:c r="Z837" s="27" t="str">
        <x:v>https://www.taladrod.com/w40/icar/cardet.aspx?cid=2924026</x:v>
      </x:c>
      <x:c r="AA837" s="3" t="str">
        <x:v>Taladrod個別広告ID／Carsome在庫ID</x:v>
      </x:c>
      <x:c r="AB837" s="3" t="str">
        <x:v>車台番号未取得／サイト間重複は未判定</x:v>
      </x:c>
      <x:c r="AC837" s="3" t="str">
        <x:v>税込区分未確認（一覧表示額）</x:v>
      </x:c>
      <x:c r="AD837" s="3" t="str"/>
      <x:c r="AE837" s="29" t="str">
        <x:f>""</x:f>
      </x:c>
      <x:c r="AF837" s="30" t="str">
        <x:f>IF(ISNUMBER(AE837),U837/AE837,"")</x:f>
      </x:c>
      <x:c r="AG837" s="29" t="str">
        <x:f>""</x:f>
      </x:c>
      <x:c r="AH837" s="30" t="str">
        <x:f>IF(ISNUMBER(AG837),U837/AG837,"")</x:f>
      </x:c>
      <x:c r="AI837" s="3" t="str">
        <x:v>同年式・グレードの検証済み当時価格なし／登録年混在</x:v>
      </x:c>
      <x:c r="AJ837" s="3" t="str">
        <x:v>一覧価格/年式のみ</x:v>
      </x:c>
      <x:c r="AK837" s="3" t="str">
        <x:v>一覧の表示価格。年式は掲載年式。</x:v>
      </x:c>
      <x:c r="AL837" s="31" t="n">
        <x:f>IF(AND(J837&lt;='分析方法'!$B$7,OR(ISBLANK(O837),O837&gt;='分析方法'!$B$8),X837&lt;&gt;"売却済み表示"),1,0)</x:f>
        <x:v>1</x:v>
      </x:c>
      <x:c r="AM837" s="32" t="n">
        <x:f>IF(AL837=1,U837,"")</x:f>
        <x:v>479000</x:v>
      </x:c>
      <x:c r="AN837" s="33" t="str">
        <x:f>IF(AL837=1,AF837,"")</x:f>
      </x:c>
      <x:c r="AO837" s="31" t="n">
        <x:f>'分析方法'!$B$6-J837</x:f>
        <x:v>3</x:v>
      </x:c>
      <x:c r="AP837" s="3"/>
    </x:row>
    <x:row r="838" ht="22" customHeight="1">
      <x:c r="A838" s="3" t="str">
        <x:v>T2926419</x:v>
      </x:c>
      <x:c r="B838" s="7" t="d">
        <x:v>2026-10-08T00:00:00.000Z</x:v>
      </x:c>
      <x:c r="C838" s="3" t="str">
        <x:v>Taladrod</x:v>
      </x:c>
      <x:c r="D838" s="3" t="str">
        <x:v>Toyota</x:v>
      </x:c>
      <x:c r="E838" s="3" t="str">
        <x:v>日本</x:v>
      </x:c>
      <x:c r="F838" s="3" t="str">
        <x:v>Hilux Revo</x:v>
      </x:c>
      <x:c r="G838" s="3" t="str">
        <x:v>ICE</x:v>
      </x:c>
      <x:c r="H838" s="3" t="str">
        <x:v>Pickup</x:v>
      </x:c>
      <x:c r="I838" s="3" t="str">
        <x:v>Single cab</x:v>
      </x:c>
      <x:c r="J838" s="3" t="n">
        <x:v>2023</x:v>
      </x:c>
      <x:c r="K838" s="3" t="str">
        <x:v>2.4 ENTRY STANDARD CAB</x:v>
      </x:c>
      <x:c r="L838" s="3" t="str">
        <x:v>2.4 ENTRY STANDARD CAB</x:v>
      </x:c>
      <x:c r="M838" s="22"/>
      <x:c r="N838" s="22"/>
      <x:c r="O838" s="22"/>
      <x:c r="P838" s="3" t="str">
        <x:v>未掲載</x:v>
      </x:c>
      <x:c r="Q838" s="3" t="str">
        <x:v>未取得</x:v>
      </x:c>
      <x:c r="R838" s="3" t="str">
        <x:v>Unknown</x:v>
      </x:c>
      <x:c r="S838" s="3" t="str">
        <x:v>不明</x:v>
      </x:c>
      <x:c r="T838" s="3" t="str">
        <x:v>世代不明</x:v>
      </x:c>
      <x:c r="U838" s="28" t="n">
        <x:v>429000</x:v>
      </x:c>
      <x:c r="V838" s="28"/>
      <x:c r="W838" s="3" t="str">
        <x:v>事故・水没・SOH・保証残は未確認</x:v>
      </x:c>
      <x:c r="X838" s="3" t="str">
        <x:v>掲載中・在庫未確認</x:v>
      </x:c>
      <x:c r="Y838" s="3" t="str"/>
      <x:c r="Z838" s="27" t="str">
        <x:v>https://www.taladrod.com/w40/icar/cardet.aspx?cid=2926419</x:v>
      </x:c>
      <x:c r="AA838" s="3" t="str">
        <x:v>Taladrod個別広告ID／Carsome在庫ID</x:v>
      </x:c>
      <x:c r="AB838" s="3" t="str">
        <x:v>車台番号未取得／サイト間重複は未判定</x:v>
      </x:c>
      <x:c r="AC838" s="3" t="str">
        <x:v>税込区分未確認（一覧表示額）</x:v>
      </x:c>
      <x:c r="AD838" s="3" t="str"/>
      <x:c r="AE838" s="29" t="str">
        <x:f>""</x:f>
      </x:c>
      <x:c r="AF838" s="30" t="str">
        <x:f>IF(ISNUMBER(AE838),U838/AE838,"")</x:f>
      </x:c>
      <x:c r="AG838" s="29" t="str">
        <x:f>""</x:f>
      </x:c>
      <x:c r="AH838" s="30" t="str">
        <x:f>IF(ISNUMBER(AG838),U838/AG838,"")</x:f>
      </x:c>
      <x:c r="AI838" s="3" t="str">
        <x:v>同年式・グレードの検証済み当時価格なし／登録年混在</x:v>
      </x:c>
      <x:c r="AJ838" s="3" t="str">
        <x:v>一覧価格/年式のみ</x:v>
      </x:c>
      <x:c r="AK838" s="3" t="str">
        <x:v>一覧の表示価格。年式は掲載年式。</x:v>
      </x:c>
      <x:c r="AL838" s="31" t="n">
        <x:f>IF(AND(J838&lt;='分析方法'!$B$7,OR(ISBLANK(O838),O838&gt;='分析方法'!$B$8),X838&lt;&gt;"売却済み表示"),1,0)</x:f>
        <x:v>1</x:v>
      </x:c>
      <x:c r="AM838" s="32" t="n">
        <x:f>IF(AL838=1,U838,"")</x:f>
        <x:v>429000</x:v>
      </x:c>
      <x:c r="AN838" s="33" t="str">
        <x:f>IF(AL838=1,AF838,"")</x:f>
      </x:c>
      <x:c r="AO838" s="31" t="n">
        <x:f>'分析方法'!$B$6-J838</x:f>
        <x:v>3</x:v>
      </x:c>
      <x:c r="AP838" s="3"/>
    </x:row>
    <x:row r="839" ht="22" customHeight="1">
      <x:c r="A839" s="3" t="str">
        <x:v>T2890609</x:v>
      </x:c>
      <x:c r="B839" s="7" t="d">
        <x:v>2026-10-08T00:00:00.000Z</x:v>
      </x:c>
      <x:c r="C839" s="3" t="str">
        <x:v>Taladrod</x:v>
      </x:c>
      <x:c r="D839" s="3" t="str">
        <x:v>Toyota</x:v>
      </x:c>
      <x:c r="E839" s="3" t="str">
        <x:v>日本</x:v>
      </x:c>
      <x:c r="F839" s="3" t="str">
        <x:v>Hilux Revo</x:v>
      </x:c>
      <x:c r="G839" s="3" t="str">
        <x:v>ICE</x:v>
      </x:c>
      <x:c r="H839" s="3" t="str">
        <x:v>Pickup</x:v>
      </x:c>
      <x:c r="I839" s="3" t="str">
        <x:v>Single cab</x:v>
      </x:c>
      <x:c r="J839" s="3" t="n">
        <x:v>2023</x:v>
      </x:c>
      <x:c r="K839" s="3" t="str">
        <x:v>2.4 ENTRY SWB STANDARD CAB</x:v>
      </x:c>
      <x:c r="L839" s="3" t="str">
        <x:v>2.4 ENTRY SWB STANDARD CAB</x:v>
      </x:c>
      <x:c r="M839" s="22"/>
      <x:c r="N839" s="22"/>
      <x:c r="O839" s="22"/>
      <x:c r="P839" s="3" t="str">
        <x:v>未掲載</x:v>
      </x:c>
      <x:c r="Q839" s="3" t="str">
        <x:v>未取得</x:v>
      </x:c>
      <x:c r="R839" s="3" t="str">
        <x:v>Unknown</x:v>
      </x:c>
      <x:c r="S839" s="3" t="str">
        <x:v>不明</x:v>
      </x:c>
      <x:c r="T839" s="3" t="str">
        <x:v>世代不明</x:v>
      </x:c>
      <x:c r="U839" s="28" t="n">
        <x:v>459000</x:v>
      </x:c>
      <x:c r="V839" s="28"/>
      <x:c r="W839" s="3" t="str">
        <x:v>事故・水没・SOH・保証残は未確認</x:v>
      </x:c>
      <x:c r="X839" s="3" t="str">
        <x:v>掲載中・在庫未確認</x:v>
      </x:c>
      <x:c r="Y839" s="3" t="str"/>
      <x:c r="Z839" s="27" t="str">
        <x:v>https://www.taladrod.com/w40/icar/cardet.aspx?cid=2890609</x:v>
      </x:c>
      <x:c r="AA839" s="3" t="str">
        <x:v>Taladrod個別広告ID／Carsome在庫ID</x:v>
      </x:c>
      <x:c r="AB839" s="3" t="str">
        <x:v>車台番号未取得／サイト間重複は未判定</x:v>
      </x:c>
      <x:c r="AC839" s="3" t="str">
        <x:v>税込区分未確認（一覧表示額）</x:v>
      </x:c>
      <x:c r="AD839" s="3" t="str"/>
      <x:c r="AE839" s="29" t="str">
        <x:f>""</x:f>
      </x:c>
      <x:c r="AF839" s="30" t="str">
        <x:f>IF(ISNUMBER(AE839),U839/AE839,"")</x:f>
      </x:c>
      <x:c r="AG839" s="29" t="str">
        <x:f>""</x:f>
      </x:c>
      <x:c r="AH839" s="30" t="str">
        <x:f>IF(ISNUMBER(AG839),U839/AG839,"")</x:f>
      </x:c>
      <x:c r="AI839" s="3" t="str">
        <x:v>同年式・グレードの検証済み当時価格なし／登録年混在</x:v>
      </x:c>
      <x:c r="AJ839" s="3" t="str">
        <x:v>一覧価格/年式のみ</x:v>
      </x:c>
      <x:c r="AK839" s="3" t="str">
        <x:v>一覧の表示価格。年式は掲載年式。</x:v>
      </x:c>
      <x:c r="AL839" s="31" t="n">
        <x:f>IF(AND(J839&lt;='分析方法'!$B$7,OR(ISBLANK(O839),O839&gt;='分析方法'!$B$8),X839&lt;&gt;"売却済み表示"),1,0)</x:f>
        <x:v>1</x:v>
      </x:c>
      <x:c r="AM839" s="32" t="n">
        <x:f>IF(AL839=1,U839,"")</x:f>
        <x:v>459000</x:v>
      </x:c>
      <x:c r="AN839" s="33" t="str">
        <x:f>IF(AL839=1,AF839,"")</x:f>
      </x:c>
      <x:c r="AO839" s="31" t="n">
        <x:f>'分析方法'!$B$6-J839</x:f>
        <x:v>3</x:v>
      </x:c>
      <x:c r="AP839" s="3"/>
    </x:row>
    <x:row r="840" ht="22" customHeight="1">
      <x:c r="A840" s="3" t="str">
        <x:v>T2890725</x:v>
      </x:c>
      <x:c r="B840" s="7" t="d">
        <x:v>2026-10-08T00:00:00.000Z</x:v>
      </x:c>
      <x:c r="C840" s="3" t="str">
        <x:v>Taladrod</x:v>
      </x:c>
      <x:c r="D840" s="3" t="str">
        <x:v>Toyota</x:v>
      </x:c>
      <x:c r="E840" s="3" t="str">
        <x:v>日本</x:v>
      </x:c>
      <x:c r="F840" s="3" t="str">
        <x:v>Hilux Revo</x:v>
      </x:c>
      <x:c r="G840" s="3" t="str">
        <x:v>ICE</x:v>
      </x:c>
      <x:c r="H840" s="3" t="str">
        <x:v>Pickup</x:v>
      </x:c>
      <x:c r="I840" s="3" t="str">
        <x:v>Double cab</x:v>
      </x:c>
      <x:c r="J840" s="3" t="n">
        <x:v>2023</x:v>
      </x:c>
      <x:c r="K840" s="3" t="str">
        <x:v>2.4 ENTRY Z EDITION DOUBLE CAB</x:v>
      </x:c>
      <x:c r="L840" s="3" t="str">
        <x:v>2.4 ENTRY Z EDITION DOUBLE CAB</x:v>
      </x:c>
      <x:c r="M840" s="22"/>
      <x:c r="N840" s="22"/>
      <x:c r="O840" s="22"/>
      <x:c r="P840" s="3" t="str">
        <x:v>未掲載</x:v>
      </x:c>
      <x:c r="Q840" s="3" t="str">
        <x:v>未取得</x:v>
      </x:c>
      <x:c r="R840" s="3" t="str">
        <x:v>Unknown</x:v>
      </x:c>
      <x:c r="S840" s="3" t="str">
        <x:v>不明</x:v>
      </x:c>
      <x:c r="T840" s="3" t="str">
        <x:v>世代不明</x:v>
      </x:c>
      <x:c r="U840" s="28" t="n">
        <x:v>515000</x:v>
      </x:c>
      <x:c r="V840" s="28"/>
      <x:c r="W840" s="3" t="str">
        <x:v>事故・水没・SOH・保証残は未確認</x:v>
      </x:c>
      <x:c r="X840" s="3" t="str">
        <x:v>掲載中・在庫未確認</x:v>
      </x:c>
      <x:c r="Y840" s="3" t="str"/>
      <x:c r="Z840" s="27" t="str">
        <x:v>https://www.taladrod.com/w40/icar/cardet.aspx?cid=2890725</x:v>
      </x:c>
      <x:c r="AA840" s="3" t="str">
        <x:v>Taladrod個別広告ID／Carsome在庫ID</x:v>
      </x:c>
      <x:c r="AB840" s="3" t="str">
        <x:v>車台番号未取得／サイト間重複は未判定</x:v>
      </x:c>
      <x:c r="AC840" s="3" t="str">
        <x:v>税込区分未確認（一覧表示額）</x:v>
      </x:c>
      <x:c r="AD840" s="3" t="str"/>
      <x:c r="AE840" s="29" t="str">
        <x:f>""</x:f>
      </x:c>
      <x:c r="AF840" s="30" t="str">
        <x:f>IF(ISNUMBER(AE840),U840/AE840,"")</x:f>
      </x:c>
      <x:c r="AG840" s="29" t="str">
        <x:f>""</x:f>
      </x:c>
      <x:c r="AH840" s="30" t="str">
        <x:f>IF(ISNUMBER(AG840),U840/AG840,"")</x:f>
      </x:c>
      <x:c r="AI840" s="3" t="str">
        <x:v>同年式・グレードの検証済み当時価格なし／登録年混在</x:v>
      </x:c>
      <x:c r="AJ840" s="3" t="str">
        <x:v>一覧価格/年式のみ</x:v>
      </x:c>
      <x:c r="AK840" s="3" t="str">
        <x:v>一覧の表示価格。年式は掲載年式。</x:v>
      </x:c>
      <x:c r="AL840" s="31" t="n">
        <x:f>IF(AND(J840&lt;='分析方法'!$B$7,OR(ISBLANK(O840),O840&gt;='分析方法'!$B$8),X840&lt;&gt;"売却済み表示"),1,0)</x:f>
        <x:v>1</x:v>
      </x:c>
      <x:c r="AM840" s="32" t="n">
        <x:f>IF(AL840=1,U840,"")</x:f>
        <x:v>515000</x:v>
      </x:c>
      <x:c r="AN840" s="33" t="str">
        <x:f>IF(AL840=1,AF840,"")</x:f>
      </x:c>
      <x:c r="AO840" s="31" t="n">
        <x:f>'分析方法'!$B$6-J840</x:f>
        <x:v>3</x:v>
      </x:c>
      <x:c r="AP840" s="3"/>
    </x:row>
    <x:row r="841" ht="22" customHeight="1">
      <x:c r="A841" s="3" t="str">
        <x:v>T2905260</x:v>
      </x:c>
      <x:c r="B841" s="7" t="d">
        <x:v>2026-10-08T00:00:00.000Z</x:v>
      </x:c>
      <x:c r="C841" s="3" t="str">
        <x:v>Taladrod</x:v>
      </x:c>
      <x:c r="D841" s="3" t="str">
        <x:v>Toyota</x:v>
      </x:c>
      <x:c r="E841" s="3" t="str">
        <x:v>日本</x:v>
      </x:c>
      <x:c r="F841" s="3" t="str">
        <x:v>Hilux Revo</x:v>
      </x:c>
      <x:c r="G841" s="3" t="str">
        <x:v>ICE</x:v>
      </x:c>
      <x:c r="H841" s="3" t="str">
        <x:v>Pickup</x:v>
      </x:c>
      <x:c r="I841" s="3" t="str">
        <x:v>Double cab</x:v>
      </x:c>
      <x:c r="J841" s="3" t="n">
        <x:v>2023</x:v>
      </x:c>
      <x:c r="K841" s="3" t="str">
        <x:v>2.4 ENTRY Z EDITION DOUBLE CAB</x:v>
      </x:c>
      <x:c r="L841" s="3" t="str">
        <x:v>2.4 ENTRY Z EDITION DOUBLE CAB</x:v>
      </x:c>
      <x:c r="M841" s="22"/>
      <x:c r="N841" s="22"/>
      <x:c r="O841" s="22"/>
      <x:c r="P841" s="3" t="str">
        <x:v>未掲載</x:v>
      </x:c>
      <x:c r="Q841" s="3" t="str">
        <x:v>未取得</x:v>
      </x:c>
      <x:c r="R841" s="3" t="str">
        <x:v>Unknown</x:v>
      </x:c>
      <x:c r="S841" s="3" t="str">
        <x:v>不明</x:v>
      </x:c>
      <x:c r="T841" s="3" t="str">
        <x:v>世代不明</x:v>
      </x:c>
      <x:c r="U841" s="28" t="n">
        <x:v>495000</x:v>
      </x:c>
      <x:c r="V841" s="28"/>
      <x:c r="W841" s="3" t="str">
        <x:v>事故・水没・SOH・保証残は未確認</x:v>
      </x:c>
      <x:c r="X841" s="3" t="str">
        <x:v>掲載中・在庫未確認</x:v>
      </x:c>
      <x:c r="Y841" s="3" t="str"/>
      <x:c r="Z841" s="27" t="str">
        <x:v>https://www.taladrod.com/w40/icar/cardet.aspx?cid=2905260</x:v>
      </x:c>
      <x:c r="AA841" s="3" t="str">
        <x:v>Taladrod個別広告ID／Carsome在庫ID</x:v>
      </x:c>
      <x:c r="AB841" s="3" t="str">
        <x:v>車台番号未取得／サイト間重複は未判定</x:v>
      </x:c>
      <x:c r="AC841" s="3" t="str">
        <x:v>税込区分未確認（一覧表示額）</x:v>
      </x:c>
      <x:c r="AD841" s="3" t="str"/>
      <x:c r="AE841" s="29" t="str">
        <x:f>""</x:f>
      </x:c>
      <x:c r="AF841" s="30" t="str">
        <x:f>IF(ISNUMBER(AE841),U841/AE841,"")</x:f>
      </x:c>
      <x:c r="AG841" s="29" t="str">
        <x:f>""</x:f>
      </x:c>
      <x:c r="AH841" s="30" t="str">
        <x:f>IF(ISNUMBER(AG841),U841/AG841,"")</x:f>
      </x:c>
      <x:c r="AI841" s="3" t="str">
        <x:v>同年式・グレードの検証済み当時価格なし／登録年混在</x:v>
      </x:c>
      <x:c r="AJ841" s="3" t="str">
        <x:v>一覧価格/年式のみ</x:v>
      </x:c>
      <x:c r="AK841" s="3" t="str">
        <x:v>一覧の表示価格。年式は掲載年式。</x:v>
      </x:c>
      <x:c r="AL841" s="31" t="n">
        <x:f>IF(AND(J841&lt;='分析方法'!$B$7,OR(ISBLANK(O841),O841&gt;='分析方法'!$B$8),X841&lt;&gt;"売却済み表示"),1,0)</x:f>
        <x:v>1</x:v>
      </x:c>
      <x:c r="AM841" s="32" t="n">
        <x:f>IF(AL841=1,U841,"")</x:f>
        <x:v>495000</x:v>
      </x:c>
      <x:c r="AN841" s="33" t="str">
        <x:f>IF(AL841=1,AF841,"")</x:f>
      </x:c>
      <x:c r="AO841" s="31" t="n">
        <x:f>'分析方法'!$B$6-J841</x:f>
        <x:v>3</x:v>
      </x:c>
      <x:c r="AP841" s="3"/>
    </x:row>
    <x:row r="842" ht="22" customHeight="1">
      <x:c r="A842" s="3" t="str">
        <x:v>T2924356</x:v>
      </x:c>
      <x:c r="B842" s="7" t="d">
        <x:v>2026-10-08T00:00:00.000Z</x:v>
      </x:c>
      <x:c r="C842" s="3" t="str">
        <x:v>Taladrod</x:v>
      </x:c>
      <x:c r="D842" s="3" t="str">
        <x:v>Toyota</x:v>
      </x:c>
      <x:c r="E842" s="3" t="str">
        <x:v>日本</x:v>
      </x:c>
      <x:c r="F842" s="3" t="str">
        <x:v>Hilux Revo</x:v>
      </x:c>
      <x:c r="G842" s="3" t="str">
        <x:v>ICE</x:v>
      </x:c>
      <x:c r="H842" s="3" t="str">
        <x:v>Pickup</x:v>
      </x:c>
      <x:c r="I842" s="3" t="str">
        <x:v>Double cab</x:v>
      </x:c>
      <x:c r="J842" s="3" t="n">
        <x:v>2023</x:v>
      </x:c>
      <x:c r="K842" s="3" t="str">
        <x:v>2.4 ENTRY Z EDITION DOUBLE CAB</x:v>
      </x:c>
      <x:c r="L842" s="3" t="str">
        <x:v>2.4 ENTRY Z EDITION DOUBLE CAB</x:v>
      </x:c>
      <x:c r="M842" s="22"/>
      <x:c r="N842" s="22"/>
      <x:c r="O842" s="22"/>
      <x:c r="P842" s="3" t="str">
        <x:v>未掲載</x:v>
      </x:c>
      <x:c r="Q842" s="3" t="str">
        <x:v>未取得</x:v>
      </x:c>
      <x:c r="R842" s="3" t="str">
        <x:v>Unknown</x:v>
      </x:c>
      <x:c r="S842" s="3" t="str">
        <x:v>不明</x:v>
      </x:c>
      <x:c r="T842" s="3" t="str">
        <x:v>世代不明</x:v>
      </x:c>
      <x:c r="U842" s="28" t="n">
        <x:v>568000</x:v>
      </x:c>
      <x:c r="V842" s="28"/>
      <x:c r="W842" s="3" t="str">
        <x:v>事故・水没・SOH・保証残は未確認</x:v>
      </x:c>
      <x:c r="X842" s="3" t="str">
        <x:v>掲載中・在庫未確認</x:v>
      </x:c>
      <x:c r="Y842" s="3" t="str"/>
      <x:c r="Z842" s="27" t="str">
        <x:v>https://www.taladrod.com/w40/icar/cardet.aspx?cid=2924356</x:v>
      </x:c>
      <x:c r="AA842" s="3" t="str">
        <x:v>Taladrod個別広告ID／Carsome在庫ID</x:v>
      </x:c>
      <x:c r="AB842" s="3" t="str">
        <x:v>車台番号未取得／サイト間重複は未判定</x:v>
      </x:c>
      <x:c r="AC842" s="3" t="str">
        <x:v>税込区分未確認（一覧表示額）</x:v>
      </x:c>
      <x:c r="AD842" s="3" t="str"/>
      <x:c r="AE842" s="29" t="str">
        <x:f>""</x:f>
      </x:c>
      <x:c r="AF842" s="30" t="str">
        <x:f>IF(ISNUMBER(AE842),U842/AE842,"")</x:f>
      </x:c>
      <x:c r="AG842" s="29" t="str">
        <x:f>""</x:f>
      </x:c>
      <x:c r="AH842" s="30" t="str">
        <x:f>IF(ISNUMBER(AG842),U842/AG842,"")</x:f>
      </x:c>
      <x:c r="AI842" s="3" t="str">
        <x:v>同年式・グレードの検証済み当時価格なし／登録年混在</x:v>
      </x:c>
      <x:c r="AJ842" s="3" t="str">
        <x:v>一覧価格/年式のみ</x:v>
      </x:c>
      <x:c r="AK842" s="3" t="str">
        <x:v>一覧の表示価格。年式は掲載年式。</x:v>
      </x:c>
      <x:c r="AL842" s="31" t="n">
        <x:f>IF(AND(J842&lt;='分析方法'!$B$7,OR(ISBLANK(O842),O842&gt;='分析方法'!$B$8),X842&lt;&gt;"売却済み表示"),1,0)</x:f>
        <x:v>1</x:v>
      </x:c>
      <x:c r="AM842" s="32" t="n">
        <x:f>IF(AL842=1,U842,"")</x:f>
        <x:v>568000</x:v>
      </x:c>
      <x:c r="AN842" s="33" t="str">
        <x:f>IF(AL842=1,AF842,"")</x:f>
      </x:c>
      <x:c r="AO842" s="31" t="n">
        <x:f>'分析方法'!$B$6-J842</x:f>
        <x:v>3</x:v>
      </x:c>
      <x:c r="AP842" s="3"/>
    </x:row>
    <x:row r="843" ht="22" customHeight="1">
      <x:c r="A843" s="3" t="str">
        <x:v>T2890611</x:v>
      </x:c>
      <x:c r="B843" s="7" t="d">
        <x:v>2026-10-08T00:00:00.000Z</x:v>
      </x:c>
      <x:c r="C843" s="3" t="str">
        <x:v>Taladrod</x:v>
      </x:c>
      <x:c r="D843" s="3" t="str">
        <x:v>Toyota</x:v>
      </x:c>
      <x:c r="E843" s="3" t="str">
        <x:v>日本</x:v>
      </x:c>
      <x:c r="F843" s="3" t="str">
        <x:v>Hilux Revo</x:v>
      </x:c>
      <x:c r="G843" s="3" t="str">
        <x:v>ICE</x:v>
      </x:c>
      <x:c r="H843" s="3" t="str">
        <x:v>Pickup</x:v>
      </x:c>
      <x:c r="I843" s="3" t="str">
        <x:v>Smart cab</x:v>
      </x:c>
      <x:c r="J843" s="3" t="n">
        <x:v>2023</x:v>
      </x:c>
      <x:c r="K843" s="3" t="str">
        <x:v>2.4 ENTRY Z EDITION SMART CAB</x:v>
      </x:c>
      <x:c r="L843" s="3" t="str">
        <x:v>2.4 ENTRY Z EDITION SMART CAB</x:v>
      </x:c>
      <x:c r="M843" s="22"/>
      <x:c r="N843" s="22"/>
      <x:c r="O843" s="22"/>
      <x:c r="P843" s="3" t="str">
        <x:v>未掲載</x:v>
      </x:c>
      <x:c r="Q843" s="3" t="str">
        <x:v>未取得</x:v>
      </x:c>
      <x:c r="R843" s="3" t="str">
        <x:v>Unknown</x:v>
      </x:c>
      <x:c r="S843" s="3" t="str">
        <x:v>不明</x:v>
      </x:c>
      <x:c r="T843" s="3" t="str">
        <x:v>世代不明</x:v>
      </x:c>
      <x:c r="U843" s="28" t="n">
        <x:v>465000</x:v>
      </x:c>
      <x:c r="V843" s="28"/>
      <x:c r="W843" s="3" t="str">
        <x:v>事故・水没・SOH・保証残は未確認</x:v>
      </x:c>
      <x:c r="X843" s="3" t="str">
        <x:v>掲載中・在庫未確認</x:v>
      </x:c>
      <x:c r="Y843" s="3" t="str"/>
      <x:c r="Z843" s="27" t="str">
        <x:v>https://www.taladrod.com/w40/icar/cardet.aspx?cid=2890611</x:v>
      </x:c>
      <x:c r="AA843" s="3" t="str">
        <x:v>Taladrod個別広告ID／Carsome在庫ID</x:v>
      </x:c>
      <x:c r="AB843" s="3" t="str">
        <x:v>車台番号未取得／サイト間重複は未判定</x:v>
      </x:c>
      <x:c r="AC843" s="3" t="str">
        <x:v>税込区分未確認（一覧表示額）</x:v>
      </x:c>
      <x:c r="AD843" s="3" t="str"/>
      <x:c r="AE843" s="29" t="str">
        <x:f>""</x:f>
      </x:c>
      <x:c r="AF843" s="30" t="str">
        <x:f>IF(ISNUMBER(AE843),U843/AE843,"")</x:f>
      </x:c>
      <x:c r="AG843" s="29" t="str">
        <x:f>""</x:f>
      </x:c>
      <x:c r="AH843" s="30" t="str">
        <x:f>IF(ISNUMBER(AG843),U843/AG843,"")</x:f>
      </x:c>
      <x:c r="AI843" s="3" t="str">
        <x:v>同年式・グレードの検証済み当時価格なし／登録年混在</x:v>
      </x:c>
      <x:c r="AJ843" s="3" t="str">
        <x:v>一覧価格/年式のみ</x:v>
      </x:c>
      <x:c r="AK843" s="3" t="str">
        <x:v>一覧の表示価格。年式は掲載年式。</x:v>
      </x:c>
      <x:c r="AL843" s="31" t="n">
        <x:f>IF(AND(J843&lt;='分析方法'!$B$7,OR(ISBLANK(O843),O843&gt;='分析方法'!$B$8),X843&lt;&gt;"売却済み表示"),1,0)</x:f>
        <x:v>1</x:v>
      </x:c>
      <x:c r="AM843" s="32" t="n">
        <x:f>IF(AL843=1,U843,"")</x:f>
        <x:v>465000</x:v>
      </x:c>
      <x:c r="AN843" s="33" t="str">
        <x:f>IF(AL843=1,AF843,"")</x:f>
      </x:c>
      <x:c r="AO843" s="31" t="n">
        <x:f>'分析方法'!$B$6-J843</x:f>
        <x:v>3</x:v>
      </x:c>
      <x:c r="AP843" s="3"/>
    </x:row>
    <x:row r="844" ht="22" customHeight="1">
      <x:c r="A844" s="3" t="str">
        <x:v>T2893079</x:v>
      </x:c>
      <x:c r="B844" s="7" t="d">
        <x:v>2026-10-08T00:00:00.000Z</x:v>
      </x:c>
      <x:c r="C844" s="3" t="str">
        <x:v>Taladrod</x:v>
      </x:c>
      <x:c r="D844" s="3" t="str">
        <x:v>Toyota</x:v>
      </x:c>
      <x:c r="E844" s="3" t="str">
        <x:v>日本</x:v>
      </x:c>
      <x:c r="F844" s="3" t="str">
        <x:v>Hilux Revo</x:v>
      </x:c>
      <x:c r="G844" s="3" t="str">
        <x:v>ICE</x:v>
      </x:c>
      <x:c r="H844" s="3" t="str">
        <x:v>Pickup</x:v>
      </x:c>
      <x:c r="I844" s="3" t="str">
        <x:v>Smart cab</x:v>
      </x:c>
      <x:c r="J844" s="3" t="n">
        <x:v>2023</x:v>
      </x:c>
      <x:c r="K844" s="3" t="str">
        <x:v>2.4 ENTRY Z EDITION SMART CAB</x:v>
      </x:c>
      <x:c r="L844" s="3" t="str">
        <x:v>2.4 ENTRY Z EDITION SMART CAB</x:v>
      </x:c>
      <x:c r="M844" s="22"/>
      <x:c r="N844" s="22"/>
      <x:c r="O844" s="22"/>
      <x:c r="P844" s="3" t="str">
        <x:v>未掲載</x:v>
      </x:c>
      <x:c r="Q844" s="3" t="str">
        <x:v>未取得</x:v>
      </x:c>
      <x:c r="R844" s="3" t="str">
        <x:v>Unknown</x:v>
      </x:c>
      <x:c r="S844" s="3" t="str">
        <x:v>不明</x:v>
      </x:c>
      <x:c r="T844" s="3" t="str">
        <x:v>世代不明</x:v>
      </x:c>
      <x:c r="U844" s="28" t="n">
        <x:v>379000</x:v>
      </x:c>
      <x:c r="V844" s="28"/>
      <x:c r="W844" s="3" t="str">
        <x:v>事故・水没・SOH・保証残は未確認</x:v>
      </x:c>
      <x:c r="X844" s="3" t="str">
        <x:v>掲載中・在庫未確認</x:v>
      </x:c>
      <x:c r="Y844" s="3" t="str"/>
      <x:c r="Z844" s="27" t="str">
        <x:v>https://www.taladrod.com/w40/icar/cardet.aspx?cid=2893079</x:v>
      </x:c>
      <x:c r="AA844" s="3" t="str">
        <x:v>Taladrod個別広告ID／Carsome在庫ID</x:v>
      </x:c>
      <x:c r="AB844" s="3" t="str">
        <x:v>車台番号未取得／サイト間重複は未判定</x:v>
      </x:c>
      <x:c r="AC844" s="3" t="str">
        <x:v>税込区分未確認（一覧表示額）</x:v>
      </x:c>
      <x:c r="AD844" s="3" t="str"/>
      <x:c r="AE844" s="29" t="str">
        <x:f>""</x:f>
      </x:c>
      <x:c r="AF844" s="30" t="str">
        <x:f>IF(ISNUMBER(AE844),U844/AE844,"")</x:f>
      </x:c>
      <x:c r="AG844" s="29" t="str">
        <x:f>""</x:f>
      </x:c>
      <x:c r="AH844" s="30" t="str">
        <x:f>IF(ISNUMBER(AG844),U844/AG844,"")</x:f>
      </x:c>
      <x:c r="AI844" s="3" t="str">
        <x:v>同年式・グレードの検証済み当時価格なし／登録年混在</x:v>
      </x:c>
      <x:c r="AJ844" s="3" t="str">
        <x:v>一覧価格/年式のみ</x:v>
      </x:c>
      <x:c r="AK844" s="3" t="str">
        <x:v>一覧の表示価格。年式は掲載年式。</x:v>
      </x:c>
      <x:c r="AL844" s="31" t="n">
        <x:f>IF(AND(J844&lt;='分析方法'!$B$7,OR(ISBLANK(O844),O844&gt;='分析方法'!$B$8),X844&lt;&gt;"売却済み表示"),1,0)</x:f>
        <x:v>1</x:v>
      </x:c>
      <x:c r="AM844" s="32" t="n">
        <x:f>IF(AL844=1,U844,"")</x:f>
        <x:v>379000</x:v>
      </x:c>
      <x:c r="AN844" s="33" t="str">
        <x:f>IF(AL844=1,AF844,"")</x:f>
      </x:c>
      <x:c r="AO844" s="31" t="n">
        <x:f>'分析方法'!$B$6-J844</x:f>
        <x:v>3</x:v>
      </x:c>
      <x:c r="AP844" s="3"/>
    </x:row>
    <x:row r="845" ht="22" customHeight="1">
      <x:c r="A845" s="3" t="str">
        <x:v>T2894682</x:v>
      </x:c>
      <x:c r="B845" s="7" t="d">
        <x:v>2026-10-08T00:00:00.000Z</x:v>
      </x:c>
      <x:c r="C845" s="3" t="str">
        <x:v>Taladrod</x:v>
      </x:c>
      <x:c r="D845" s="3" t="str">
        <x:v>Toyota</x:v>
      </x:c>
      <x:c r="E845" s="3" t="str">
        <x:v>日本</x:v>
      </x:c>
      <x:c r="F845" s="3" t="str">
        <x:v>Hilux Revo</x:v>
      </x:c>
      <x:c r="G845" s="3" t="str">
        <x:v>ICE</x:v>
      </x:c>
      <x:c r="H845" s="3" t="str">
        <x:v>Pickup</x:v>
      </x:c>
      <x:c r="I845" s="3" t="str">
        <x:v>Smart cab</x:v>
      </x:c>
      <x:c r="J845" s="3" t="n">
        <x:v>2023</x:v>
      </x:c>
      <x:c r="K845" s="3" t="str">
        <x:v>2.4 ENTRY Z EDITION SMART CAB</x:v>
      </x:c>
      <x:c r="L845" s="3" t="str">
        <x:v>2.4 ENTRY Z EDITION SMART CAB</x:v>
      </x:c>
      <x:c r="M845" s="22"/>
      <x:c r="N845" s="22"/>
      <x:c r="O845" s="22"/>
      <x:c r="P845" s="3" t="str">
        <x:v>未掲載</x:v>
      </x:c>
      <x:c r="Q845" s="3" t="str">
        <x:v>未取得</x:v>
      </x:c>
      <x:c r="R845" s="3" t="str">
        <x:v>Unknown</x:v>
      </x:c>
      <x:c r="S845" s="3" t="str">
        <x:v>不明</x:v>
      </x:c>
      <x:c r="T845" s="3" t="str">
        <x:v>世代不明</x:v>
      </x:c>
      <x:c r="U845" s="28" t="n">
        <x:v>398000</x:v>
      </x:c>
      <x:c r="V845" s="28"/>
      <x:c r="W845" s="3" t="str">
        <x:v>事故・水没・SOH・保証残は未確認</x:v>
      </x:c>
      <x:c r="X845" s="3" t="str">
        <x:v>掲載中・在庫未確認</x:v>
      </x:c>
      <x:c r="Y845" s="3" t="str"/>
      <x:c r="Z845" s="27" t="str">
        <x:v>https://www.taladrod.com/w40/icar/cardet.aspx?cid=2894682</x:v>
      </x:c>
      <x:c r="AA845" s="3" t="str">
        <x:v>Taladrod個別広告ID／Carsome在庫ID</x:v>
      </x:c>
      <x:c r="AB845" s="3" t="str">
        <x:v>車台番号未取得／サイト間重複は未判定</x:v>
      </x:c>
      <x:c r="AC845" s="3" t="str">
        <x:v>税込区分未確認（一覧表示額）</x:v>
      </x:c>
      <x:c r="AD845" s="3" t="str"/>
      <x:c r="AE845" s="29" t="str">
        <x:f>""</x:f>
      </x:c>
      <x:c r="AF845" s="30" t="str">
        <x:f>IF(ISNUMBER(AE845),U845/AE845,"")</x:f>
      </x:c>
      <x:c r="AG845" s="29" t="str">
        <x:f>""</x:f>
      </x:c>
      <x:c r="AH845" s="30" t="str">
        <x:f>IF(ISNUMBER(AG845),U845/AG845,"")</x:f>
      </x:c>
      <x:c r="AI845" s="3" t="str">
        <x:v>同年式・グレードの検証済み当時価格なし／登録年混在</x:v>
      </x:c>
      <x:c r="AJ845" s="3" t="str">
        <x:v>一覧価格/年式のみ</x:v>
      </x:c>
      <x:c r="AK845" s="3" t="str">
        <x:v>一覧の表示価格。年式は掲載年式。</x:v>
      </x:c>
      <x:c r="AL845" s="31" t="n">
        <x:f>IF(AND(J845&lt;='分析方法'!$B$7,OR(ISBLANK(O845),O845&gt;='分析方法'!$B$8),X845&lt;&gt;"売却済み表示"),1,0)</x:f>
        <x:v>1</x:v>
      </x:c>
      <x:c r="AM845" s="32" t="n">
        <x:f>IF(AL845=1,U845,"")</x:f>
        <x:v>398000</x:v>
      </x:c>
      <x:c r="AN845" s="33" t="str">
        <x:f>IF(AL845=1,AF845,"")</x:f>
      </x:c>
      <x:c r="AO845" s="31" t="n">
        <x:f>'分析方法'!$B$6-J845</x:f>
        <x:v>3</x:v>
      </x:c>
      <x:c r="AP845" s="3"/>
    </x:row>
    <x:row r="846" ht="22" customHeight="1">
      <x:c r="A846" s="3" t="str">
        <x:v>T2896506</x:v>
      </x:c>
      <x:c r="B846" s="7" t="d">
        <x:v>2026-10-08T00:00:00.000Z</x:v>
      </x:c>
      <x:c r="C846" s="3" t="str">
        <x:v>Taladrod</x:v>
      </x:c>
      <x:c r="D846" s="3" t="str">
        <x:v>Toyota</x:v>
      </x:c>
      <x:c r="E846" s="3" t="str">
        <x:v>日本</x:v>
      </x:c>
      <x:c r="F846" s="3" t="str">
        <x:v>Hilux Revo</x:v>
      </x:c>
      <x:c r="G846" s="3" t="str">
        <x:v>ICE</x:v>
      </x:c>
      <x:c r="H846" s="3" t="str">
        <x:v>Pickup</x:v>
      </x:c>
      <x:c r="I846" s="3" t="str">
        <x:v>Smart cab</x:v>
      </x:c>
      <x:c r="J846" s="3" t="n">
        <x:v>2023</x:v>
      </x:c>
      <x:c r="K846" s="3" t="str">
        <x:v>2.4 ENTRY Z EDITION SMART CAB</x:v>
      </x:c>
      <x:c r="L846" s="3" t="str">
        <x:v>2.4 ENTRY Z EDITION SMART CAB</x:v>
      </x:c>
      <x:c r="M846" s="22"/>
      <x:c r="N846" s="22"/>
      <x:c r="O846" s="22"/>
      <x:c r="P846" s="3" t="str">
        <x:v>未掲載</x:v>
      </x:c>
      <x:c r="Q846" s="3" t="str">
        <x:v>未取得</x:v>
      </x:c>
      <x:c r="R846" s="3" t="str">
        <x:v>Unknown</x:v>
      </x:c>
      <x:c r="S846" s="3" t="str">
        <x:v>不明</x:v>
      </x:c>
      <x:c r="T846" s="3" t="str">
        <x:v>世代不明</x:v>
      </x:c>
      <x:c r="U846" s="28" t="n">
        <x:v>478000</x:v>
      </x:c>
      <x:c r="V846" s="28"/>
      <x:c r="W846" s="3" t="str">
        <x:v>事故・水没・SOH・保証残は未確認</x:v>
      </x:c>
      <x:c r="X846" s="3" t="str">
        <x:v>掲載中・在庫未確認</x:v>
      </x:c>
      <x:c r="Y846" s="3" t="str"/>
      <x:c r="Z846" s="27" t="str">
        <x:v>https://www.taladrod.com/w40/icar/cardet.aspx?cid=2896506</x:v>
      </x:c>
      <x:c r="AA846" s="3" t="str">
        <x:v>Taladrod個別広告ID／Carsome在庫ID</x:v>
      </x:c>
      <x:c r="AB846" s="3" t="str">
        <x:v>車台番号未取得／サイト間重複は未判定</x:v>
      </x:c>
      <x:c r="AC846" s="3" t="str">
        <x:v>税込区分未確認（一覧表示額）</x:v>
      </x:c>
      <x:c r="AD846" s="3" t="str"/>
      <x:c r="AE846" s="29" t="str">
        <x:f>""</x:f>
      </x:c>
      <x:c r="AF846" s="30" t="str">
        <x:f>IF(ISNUMBER(AE846),U846/AE846,"")</x:f>
      </x:c>
      <x:c r="AG846" s="29" t="str">
        <x:f>""</x:f>
      </x:c>
      <x:c r="AH846" s="30" t="str">
        <x:f>IF(ISNUMBER(AG846),U846/AG846,"")</x:f>
      </x:c>
      <x:c r="AI846" s="3" t="str">
        <x:v>同年式・グレードの検証済み当時価格なし／登録年混在</x:v>
      </x:c>
      <x:c r="AJ846" s="3" t="str">
        <x:v>一覧価格/年式のみ</x:v>
      </x:c>
      <x:c r="AK846" s="3" t="str">
        <x:v>一覧の表示価格。年式は掲載年式。</x:v>
      </x:c>
      <x:c r="AL846" s="31" t="n">
        <x:f>IF(AND(J846&lt;='分析方法'!$B$7,OR(ISBLANK(O846),O846&gt;='分析方法'!$B$8),X846&lt;&gt;"売却済み表示"),1,0)</x:f>
        <x:v>1</x:v>
      </x:c>
      <x:c r="AM846" s="32" t="n">
        <x:f>IF(AL846=1,U846,"")</x:f>
        <x:v>478000</x:v>
      </x:c>
      <x:c r="AN846" s="33" t="str">
        <x:f>IF(AL846=1,AF846,"")</x:f>
      </x:c>
      <x:c r="AO846" s="31" t="n">
        <x:f>'分析方法'!$B$6-J846</x:f>
        <x:v>3</x:v>
      </x:c>
      <x:c r="AP846" s="3"/>
    </x:row>
    <x:row r="847" ht="22" customHeight="1">
      <x:c r="A847" s="3" t="str">
        <x:v>T2905665</x:v>
      </x:c>
      <x:c r="B847" s="7" t="d">
        <x:v>2026-10-08T00:00:00.000Z</x:v>
      </x:c>
      <x:c r="C847" s="3" t="str">
        <x:v>Taladrod</x:v>
      </x:c>
      <x:c r="D847" s="3" t="str">
        <x:v>Toyota</x:v>
      </x:c>
      <x:c r="E847" s="3" t="str">
        <x:v>日本</x:v>
      </x:c>
      <x:c r="F847" s="3" t="str">
        <x:v>Hilux Revo</x:v>
      </x:c>
      <x:c r="G847" s="3" t="str">
        <x:v>ICE</x:v>
      </x:c>
      <x:c r="H847" s="3" t="str">
        <x:v>Pickup</x:v>
      </x:c>
      <x:c r="I847" s="3" t="str">
        <x:v>Smart cab</x:v>
      </x:c>
      <x:c r="J847" s="3" t="n">
        <x:v>2023</x:v>
      </x:c>
      <x:c r="K847" s="3" t="str">
        <x:v>2.4 ENTRY Z EDITION SMART CAB</x:v>
      </x:c>
      <x:c r="L847" s="3" t="str">
        <x:v>2.4 ENTRY Z EDITION SMART CAB</x:v>
      </x:c>
      <x:c r="M847" s="22"/>
      <x:c r="N847" s="22"/>
      <x:c r="O847" s="22"/>
      <x:c r="P847" s="3" t="str">
        <x:v>未掲載</x:v>
      </x:c>
      <x:c r="Q847" s="3" t="str">
        <x:v>未取得</x:v>
      </x:c>
      <x:c r="R847" s="3" t="str">
        <x:v>Unknown</x:v>
      </x:c>
      <x:c r="S847" s="3" t="str">
        <x:v>不明</x:v>
      </x:c>
      <x:c r="T847" s="3" t="str">
        <x:v>世代不明</x:v>
      </x:c>
      <x:c r="U847" s="28" t="n">
        <x:v>439000</x:v>
      </x:c>
      <x:c r="V847" s="28"/>
      <x:c r="W847" s="3" t="str">
        <x:v>事故・水没・SOH・保証残は未確認</x:v>
      </x:c>
      <x:c r="X847" s="3" t="str">
        <x:v>掲載中・在庫未確認</x:v>
      </x:c>
      <x:c r="Y847" s="3" t="str"/>
      <x:c r="Z847" s="27" t="str">
        <x:v>https://www.taladrod.com/w40/icar/cardet.aspx?cid=2905665</x:v>
      </x:c>
      <x:c r="AA847" s="3" t="str">
        <x:v>Taladrod個別広告ID／Carsome在庫ID</x:v>
      </x:c>
      <x:c r="AB847" s="3" t="str">
        <x:v>車台番号未取得／サイト間重複は未判定</x:v>
      </x:c>
      <x:c r="AC847" s="3" t="str">
        <x:v>税込区分未確認（一覧表示額）</x:v>
      </x:c>
      <x:c r="AD847" s="3" t="str"/>
      <x:c r="AE847" s="29" t="str">
        <x:f>""</x:f>
      </x:c>
      <x:c r="AF847" s="30" t="str">
        <x:f>IF(ISNUMBER(AE847),U847/AE847,"")</x:f>
      </x:c>
      <x:c r="AG847" s="29" t="str">
        <x:f>""</x:f>
      </x:c>
      <x:c r="AH847" s="30" t="str">
        <x:f>IF(ISNUMBER(AG847),U847/AG847,"")</x:f>
      </x:c>
      <x:c r="AI847" s="3" t="str">
        <x:v>同年式・グレードの検証済み当時価格なし／登録年混在</x:v>
      </x:c>
      <x:c r="AJ847" s="3" t="str">
        <x:v>一覧価格/年式のみ</x:v>
      </x:c>
      <x:c r="AK847" s="3" t="str">
        <x:v>一覧の表示価格。年式は掲載年式。</x:v>
      </x:c>
      <x:c r="AL847" s="31" t="n">
        <x:f>IF(AND(J847&lt;='分析方法'!$B$7,OR(ISBLANK(O847),O847&gt;='分析方法'!$B$8),X847&lt;&gt;"売却済み表示"),1,0)</x:f>
        <x:v>1</x:v>
      </x:c>
      <x:c r="AM847" s="32" t="n">
        <x:f>IF(AL847=1,U847,"")</x:f>
        <x:v>439000</x:v>
      </x:c>
      <x:c r="AN847" s="33" t="str">
        <x:f>IF(AL847=1,AF847,"")</x:f>
      </x:c>
      <x:c r="AO847" s="31" t="n">
        <x:f>'分析方法'!$B$6-J847</x:f>
        <x:v>3</x:v>
      </x:c>
      <x:c r="AP847" s="3"/>
    </x:row>
    <x:row r="848" ht="22" customHeight="1">
      <x:c r="A848" s="3" t="str">
        <x:v>T2923547</x:v>
      </x:c>
      <x:c r="B848" s="7" t="d">
        <x:v>2026-10-08T00:00:00.000Z</x:v>
      </x:c>
      <x:c r="C848" s="3" t="str">
        <x:v>Taladrod</x:v>
      </x:c>
      <x:c r="D848" s="3" t="str">
        <x:v>Toyota</x:v>
      </x:c>
      <x:c r="E848" s="3" t="str">
        <x:v>日本</x:v>
      </x:c>
      <x:c r="F848" s="3" t="str">
        <x:v>Hilux Revo</x:v>
      </x:c>
      <x:c r="G848" s="3" t="str">
        <x:v>ICE</x:v>
      </x:c>
      <x:c r="H848" s="3" t="str">
        <x:v>Pickup</x:v>
      </x:c>
      <x:c r="I848" s="3" t="str">
        <x:v>Smart cab</x:v>
      </x:c>
      <x:c r="J848" s="3" t="n">
        <x:v>2023</x:v>
      </x:c>
      <x:c r="K848" s="3" t="str">
        <x:v>2.4 ENTRY Z EDITION SMART CAB</x:v>
      </x:c>
      <x:c r="L848" s="3" t="str">
        <x:v>2.4 ENTRY Z EDITION SMART CAB</x:v>
      </x:c>
      <x:c r="M848" s="22"/>
      <x:c r="N848" s="22"/>
      <x:c r="O848" s="22"/>
      <x:c r="P848" s="3" t="str">
        <x:v>未掲載</x:v>
      </x:c>
      <x:c r="Q848" s="3" t="str">
        <x:v>未取得</x:v>
      </x:c>
      <x:c r="R848" s="3" t="str">
        <x:v>Unknown</x:v>
      </x:c>
      <x:c r="S848" s="3" t="str">
        <x:v>不明</x:v>
      </x:c>
      <x:c r="T848" s="3" t="str">
        <x:v>世代不明</x:v>
      </x:c>
      <x:c r="U848" s="28" t="n">
        <x:v>429000</x:v>
      </x:c>
      <x:c r="V848" s="28"/>
      <x:c r="W848" s="3" t="str">
        <x:v>事故・水没・SOH・保証残は未確認</x:v>
      </x:c>
      <x:c r="X848" s="3" t="str">
        <x:v>掲載中・在庫未確認</x:v>
      </x:c>
      <x:c r="Y848" s="3" t="str"/>
      <x:c r="Z848" s="27" t="str">
        <x:v>https://www.taladrod.com/w40/icar/cardet.aspx?cid=2923547</x:v>
      </x:c>
      <x:c r="AA848" s="3" t="str">
        <x:v>Taladrod個別広告ID／Carsome在庫ID</x:v>
      </x:c>
      <x:c r="AB848" s="3" t="str">
        <x:v>車台番号未取得／サイト間重複は未判定</x:v>
      </x:c>
      <x:c r="AC848" s="3" t="str">
        <x:v>税込区分未確認（一覧表示額）</x:v>
      </x:c>
      <x:c r="AD848" s="3" t="str"/>
      <x:c r="AE848" s="29" t="str">
        <x:f>""</x:f>
      </x:c>
      <x:c r="AF848" s="30" t="str">
        <x:f>IF(ISNUMBER(AE848),U848/AE848,"")</x:f>
      </x:c>
      <x:c r="AG848" s="29" t="str">
        <x:f>""</x:f>
      </x:c>
      <x:c r="AH848" s="30" t="str">
        <x:f>IF(ISNUMBER(AG848),U848/AG848,"")</x:f>
      </x:c>
      <x:c r="AI848" s="3" t="str">
        <x:v>同年式・グレードの検証済み当時価格なし／登録年混在</x:v>
      </x:c>
      <x:c r="AJ848" s="3" t="str">
        <x:v>一覧価格/年式のみ</x:v>
      </x:c>
      <x:c r="AK848" s="3" t="str">
        <x:v>一覧の表示価格。年式は掲載年式。</x:v>
      </x:c>
      <x:c r="AL848" s="31" t="n">
        <x:f>IF(AND(J848&lt;='分析方法'!$B$7,OR(ISBLANK(O848),O848&gt;='分析方法'!$B$8),X848&lt;&gt;"売却済み表示"),1,0)</x:f>
        <x:v>1</x:v>
      </x:c>
      <x:c r="AM848" s="32" t="n">
        <x:f>IF(AL848=1,U848,"")</x:f>
        <x:v>429000</x:v>
      </x:c>
      <x:c r="AN848" s="33" t="str">
        <x:f>IF(AL848=1,AF848,"")</x:f>
      </x:c>
      <x:c r="AO848" s="31" t="n">
        <x:f>'分析方法'!$B$6-J848</x:f>
        <x:v>3</x:v>
      </x:c>
      <x:c r="AP848" s="3"/>
    </x:row>
    <x:row r="849" ht="22" customHeight="1">
      <x:c r="A849" s="3" t="str">
        <x:v>T2925430</x:v>
      </x:c>
      <x:c r="B849" s="7" t="d">
        <x:v>2026-10-08T00:00:00.000Z</x:v>
      </x:c>
      <x:c r="C849" s="3" t="str">
        <x:v>Taladrod</x:v>
      </x:c>
      <x:c r="D849" s="3" t="str">
        <x:v>Toyota</x:v>
      </x:c>
      <x:c r="E849" s="3" t="str">
        <x:v>日本</x:v>
      </x:c>
      <x:c r="F849" s="3" t="str">
        <x:v>Hilux Revo</x:v>
      </x:c>
      <x:c r="G849" s="3" t="str">
        <x:v>ICE</x:v>
      </x:c>
      <x:c r="H849" s="3" t="str">
        <x:v>Pickup</x:v>
      </x:c>
      <x:c r="I849" s="3" t="str">
        <x:v>Smart cab</x:v>
      </x:c>
      <x:c r="J849" s="3" t="n">
        <x:v>2023</x:v>
      </x:c>
      <x:c r="K849" s="3" t="str">
        <x:v>2.4 ENTRY Z EDITION SMART CAB</x:v>
      </x:c>
      <x:c r="L849" s="3" t="str">
        <x:v>2.4 ENTRY Z EDITION SMART CAB</x:v>
      </x:c>
      <x:c r="M849" s="22"/>
      <x:c r="N849" s="22"/>
      <x:c r="O849" s="22"/>
      <x:c r="P849" s="3" t="str">
        <x:v>未掲載</x:v>
      </x:c>
      <x:c r="Q849" s="3" t="str">
        <x:v>未取得</x:v>
      </x:c>
      <x:c r="R849" s="3" t="str">
        <x:v>Unknown</x:v>
      </x:c>
      <x:c r="S849" s="3" t="str">
        <x:v>不明</x:v>
      </x:c>
      <x:c r="T849" s="3" t="str">
        <x:v>世代不明</x:v>
      </x:c>
      <x:c r="U849" s="28" t="n">
        <x:v>569000</x:v>
      </x:c>
      <x:c r="V849" s="28"/>
      <x:c r="W849" s="3" t="str">
        <x:v>事故・水没・SOH・保証残は未確認</x:v>
      </x:c>
      <x:c r="X849" s="3" t="str">
        <x:v>掲載中・在庫未確認</x:v>
      </x:c>
      <x:c r="Y849" s="3" t="str"/>
      <x:c r="Z849" s="27" t="str">
        <x:v>https://www.taladrod.com/w40/icar/cardet.aspx?cid=2925430</x:v>
      </x:c>
      <x:c r="AA849" s="3" t="str">
        <x:v>Taladrod個別広告ID／Carsome在庫ID</x:v>
      </x:c>
      <x:c r="AB849" s="3" t="str">
        <x:v>車台番号未取得／サイト間重複は未判定</x:v>
      </x:c>
      <x:c r="AC849" s="3" t="str">
        <x:v>税込区分未確認（一覧表示額）</x:v>
      </x:c>
      <x:c r="AD849" s="3" t="str"/>
      <x:c r="AE849" s="29" t="str">
        <x:f>""</x:f>
      </x:c>
      <x:c r="AF849" s="30" t="str">
        <x:f>IF(ISNUMBER(AE849),U849/AE849,"")</x:f>
      </x:c>
      <x:c r="AG849" s="29" t="str">
        <x:f>""</x:f>
      </x:c>
      <x:c r="AH849" s="30" t="str">
        <x:f>IF(ISNUMBER(AG849),U849/AG849,"")</x:f>
      </x:c>
      <x:c r="AI849" s="3" t="str">
        <x:v>同年式・グレードの検証済み当時価格なし／登録年混在</x:v>
      </x:c>
      <x:c r="AJ849" s="3" t="str">
        <x:v>一覧価格/年式のみ</x:v>
      </x:c>
      <x:c r="AK849" s="3" t="str">
        <x:v>一覧の表示価格。年式は掲載年式。</x:v>
      </x:c>
      <x:c r="AL849" s="31" t="n">
        <x:f>IF(AND(J849&lt;='分析方法'!$B$7,OR(ISBLANK(O849),O849&gt;='分析方法'!$B$8),X849&lt;&gt;"売却済み表示"),1,0)</x:f>
        <x:v>1</x:v>
      </x:c>
      <x:c r="AM849" s="32" t="n">
        <x:f>IF(AL849=1,U849,"")</x:f>
        <x:v>569000</x:v>
      </x:c>
      <x:c r="AN849" s="33" t="str">
        <x:f>IF(AL849=1,AF849,"")</x:f>
      </x:c>
      <x:c r="AO849" s="31" t="n">
        <x:f>'分析方法'!$B$6-J849</x:f>
        <x:v>3</x:v>
      </x:c>
      <x:c r="AP849" s="3"/>
    </x:row>
    <x:row r="850" ht="22" customHeight="1">
      <x:c r="A850" s="3" t="str">
        <x:v>T2883988</x:v>
      </x:c>
      <x:c r="B850" s="7" t="d">
        <x:v>2026-10-08T00:00:00.000Z</x:v>
      </x:c>
      <x:c r="C850" s="3" t="str">
        <x:v>Taladrod</x:v>
      </x:c>
      <x:c r="D850" s="3" t="str">
        <x:v>Toyota</x:v>
      </x:c>
      <x:c r="E850" s="3" t="str">
        <x:v>日本</x:v>
      </x:c>
      <x:c r="F850" s="3" t="str">
        <x:v>Hilux Revo</x:v>
      </x:c>
      <x:c r="G850" s="3" t="str">
        <x:v>ICE</x:v>
      </x:c>
      <x:c r="H850" s="3" t="str">
        <x:v>Pickup</x:v>
      </x:c>
      <x:c r="I850" s="3" t="str">
        <x:v>Double cab</x:v>
      </x:c>
      <x:c r="J850" s="3" t="n">
        <x:v>2023</x:v>
      </x:c>
      <x:c r="K850" s="3" t="str">
        <x:v>2.4 MID PRERUNNER DOUBLE CAB</x:v>
      </x:c>
      <x:c r="L850" s="3" t="str">
        <x:v>2.4 MID PRERUNNER DOUBLE CAB</x:v>
      </x:c>
      <x:c r="M850" s="22"/>
      <x:c r="N850" s="22"/>
      <x:c r="O850" s="22"/>
      <x:c r="P850" s="3" t="str">
        <x:v>未掲載</x:v>
      </x:c>
      <x:c r="Q850" s="3" t="str">
        <x:v>未取得</x:v>
      </x:c>
      <x:c r="R850" s="3" t="str">
        <x:v>Unknown</x:v>
      </x:c>
      <x:c r="S850" s="3" t="str">
        <x:v>不明</x:v>
      </x:c>
      <x:c r="T850" s="3" t="str">
        <x:v>世代不明</x:v>
      </x:c>
      <x:c r="U850" s="28" t="n">
        <x:v>719000</x:v>
      </x:c>
      <x:c r="V850" s="28"/>
      <x:c r="W850" s="3" t="str">
        <x:v>事故・水没・SOH・保証残は未確認</x:v>
      </x:c>
      <x:c r="X850" s="3" t="str">
        <x:v>掲載中・在庫未確認</x:v>
      </x:c>
      <x:c r="Y850" s="3" t="str"/>
      <x:c r="Z850" s="27" t="str">
        <x:v>https://www.taladrod.com/w40/icar/cardet.aspx?cid=2883988</x:v>
      </x:c>
      <x:c r="AA850" s="3" t="str">
        <x:v>Taladrod個別広告ID／Carsome在庫ID</x:v>
      </x:c>
      <x:c r="AB850" s="3" t="str">
        <x:v>車台番号未取得／サイト間重複は未判定</x:v>
      </x:c>
      <x:c r="AC850" s="3" t="str">
        <x:v>税込区分未確認（一覧表示額）</x:v>
      </x:c>
      <x:c r="AD850" s="3" t="str"/>
      <x:c r="AE850" s="29" t="str">
        <x:f>""</x:f>
      </x:c>
      <x:c r="AF850" s="30" t="str">
        <x:f>IF(ISNUMBER(AE850),U850/AE850,"")</x:f>
      </x:c>
      <x:c r="AG850" s="29" t="str">
        <x:f>""</x:f>
      </x:c>
      <x:c r="AH850" s="30" t="str">
        <x:f>IF(ISNUMBER(AG850),U850/AG850,"")</x:f>
      </x:c>
      <x:c r="AI850" s="3" t="str">
        <x:v>同年式・グレードの検証済み当時価格なし／登録年混在</x:v>
      </x:c>
      <x:c r="AJ850" s="3" t="str">
        <x:v>一覧価格/年式のみ</x:v>
      </x:c>
      <x:c r="AK850" s="3" t="str">
        <x:v>一覧の表示価格。年式は掲載年式。</x:v>
      </x:c>
      <x:c r="AL850" s="31" t="n">
        <x:f>IF(AND(J850&lt;='分析方法'!$B$7,OR(ISBLANK(O850),O850&gt;='分析方法'!$B$8),X850&lt;&gt;"売却済み表示"),1,0)</x:f>
        <x:v>1</x:v>
      </x:c>
      <x:c r="AM850" s="32" t="n">
        <x:f>IF(AL850=1,U850,"")</x:f>
        <x:v>719000</x:v>
      </x:c>
      <x:c r="AN850" s="33" t="str">
        <x:f>IF(AL850=1,AF850,"")</x:f>
      </x:c>
      <x:c r="AO850" s="31" t="n">
        <x:f>'分析方法'!$B$6-J850</x:f>
        <x:v>3</x:v>
      </x:c>
      <x:c r="AP850" s="3"/>
    </x:row>
    <x:row r="851" ht="22" customHeight="1">
      <x:c r="A851" s="3" t="str">
        <x:v>T2896841</x:v>
      </x:c>
      <x:c r="B851" s="7" t="d">
        <x:v>2026-10-08T00:00:00.000Z</x:v>
      </x:c>
      <x:c r="C851" s="3" t="str">
        <x:v>Taladrod</x:v>
      </x:c>
      <x:c r="D851" s="3" t="str">
        <x:v>Toyota</x:v>
      </x:c>
      <x:c r="E851" s="3" t="str">
        <x:v>日本</x:v>
      </x:c>
      <x:c r="F851" s="3" t="str">
        <x:v>Hilux Revo</x:v>
      </x:c>
      <x:c r="G851" s="3" t="str">
        <x:v>ICE</x:v>
      </x:c>
      <x:c r="H851" s="3" t="str">
        <x:v>Pickup</x:v>
      </x:c>
      <x:c r="I851" s="3" t="str">
        <x:v>Double cab</x:v>
      </x:c>
      <x:c r="J851" s="3" t="n">
        <x:v>2023</x:v>
      </x:c>
      <x:c r="K851" s="3" t="str">
        <x:v>2.4 MID PRERUNNER DOUBLE CAB</x:v>
      </x:c>
      <x:c r="L851" s="3" t="str">
        <x:v>2.4 MID PRERUNNER DOUBLE CAB</x:v>
      </x:c>
      <x:c r="M851" s="22"/>
      <x:c r="N851" s="22"/>
      <x:c r="O851" s="22"/>
      <x:c r="P851" s="3" t="str">
        <x:v>未掲載</x:v>
      </x:c>
      <x:c r="Q851" s="3" t="str">
        <x:v>未取得</x:v>
      </x:c>
      <x:c r="R851" s="3" t="str">
        <x:v>Unknown</x:v>
      </x:c>
      <x:c r="S851" s="3" t="str">
        <x:v>不明</x:v>
      </x:c>
      <x:c r="T851" s="3" t="str">
        <x:v>世代不明</x:v>
      </x:c>
      <x:c r="U851" s="28" t="n">
        <x:v>679000</x:v>
      </x:c>
      <x:c r="V851" s="28"/>
      <x:c r="W851" s="3" t="str">
        <x:v>事故・水没・SOH・保証残は未確認</x:v>
      </x:c>
      <x:c r="X851" s="3" t="str">
        <x:v>掲載中・在庫未確認</x:v>
      </x:c>
      <x:c r="Y851" s="3" t="str"/>
      <x:c r="Z851" s="27" t="str">
        <x:v>https://www.taladrod.com/w40/icar/cardet.aspx?cid=2896841</x:v>
      </x:c>
      <x:c r="AA851" s="3" t="str">
        <x:v>Taladrod個別広告ID／Carsome在庫ID</x:v>
      </x:c>
      <x:c r="AB851" s="3" t="str">
        <x:v>車台番号未取得／サイト間重複は未判定</x:v>
      </x:c>
      <x:c r="AC851" s="3" t="str">
        <x:v>税込区分未確認（一覧表示額）</x:v>
      </x:c>
      <x:c r="AD851" s="3" t="str"/>
      <x:c r="AE851" s="29" t="str">
        <x:f>""</x:f>
      </x:c>
      <x:c r="AF851" s="30" t="str">
        <x:f>IF(ISNUMBER(AE851),U851/AE851,"")</x:f>
      </x:c>
      <x:c r="AG851" s="29" t="str">
        <x:f>""</x:f>
      </x:c>
      <x:c r="AH851" s="30" t="str">
        <x:f>IF(ISNUMBER(AG851),U851/AG851,"")</x:f>
      </x:c>
      <x:c r="AI851" s="3" t="str">
        <x:v>同年式・グレードの検証済み当時価格なし／登録年混在</x:v>
      </x:c>
      <x:c r="AJ851" s="3" t="str">
        <x:v>一覧価格/年式のみ</x:v>
      </x:c>
      <x:c r="AK851" s="3" t="str">
        <x:v>一覧の表示価格。年式は掲載年式。</x:v>
      </x:c>
      <x:c r="AL851" s="31" t="n">
        <x:f>IF(AND(J851&lt;='分析方法'!$B$7,OR(ISBLANK(O851),O851&gt;='分析方法'!$B$8),X851&lt;&gt;"売却済み表示"),1,0)</x:f>
        <x:v>1</x:v>
      </x:c>
      <x:c r="AM851" s="32" t="n">
        <x:f>IF(AL851=1,U851,"")</x:f>
        <x:v>679000</x:v>
      </x:c>
      <x:c r="AN851" s="33" t="str">
        <x:f>IF(AL851=1,AF851,"")</x:f>
      </x:c>
      <x:c r="AO851" s="31" t="n">
        <x:f>'分析方法'!$B$6-J851</x:f>
        <x:v>3</x:v>
      </x:c>
      <x:c r="AP851" s="3"/>
    </x:row>
    <x:row r="852" ht="22" customHeight="1">
      <x:c r="A852" s="3" t="str">
        <x:v>T2907389</x:v>
      </x:c>
      <x:c r="B852" s="7" t="d">
        <x:v>2026-10-08T00:00:00.000Z</x:v>
      </x:c>
      <x:c r="C852" s="3" t="str">
        <x:v>Taladrod</x:v>
      </x:c>
      <x:c r="D852" s="3" t="str">
        <x:v>Toyota</x:v>
      </x:c>
      <x:c r="E852" s="3" t="str">
        <x:v>日本</x:v>
      </x:c>
      <x:c r="F852" s="3" t="str">
        <x:v>Hilux Revo</x:v>
      </x:c>
      <x:c r="G852" s="3" t="str">
        <x:v>ICE</x:v>
      </x:c>
      <x:c r="H852" s="3" t="str">
        <x:v>Pickup</x:v>
      </x:c>
      <x:c r="I852" s="3" t="str">
        <x:v>Double cab</x:v>
      </x:c>
      <x:c r="J852" s="3" t="n">
        <x:v>2023</x:v>
      </x:c>
      <x:c r="K852" s="3" t="str">
        <x:v>2.4 MID PRERUNNER DOUBLE CAB</x:v>
      </x:c>
      <x:c r="L852" s="3" t="str">
        <x:v>2.4 MID PRERUNNER DOUBLE CAB</x:v>
      </x:c>
      <x:c r="M852" s="22"/>
      <x:c r="N852" s="22"/>
      <x:c r="O852" s="22"/>
      <x:c r="P852" s="3" t="str">
        <x:v>未掲載</x:v>
      </x:c>
      <x:c r="Q852" s="3" t="str">
        <x:v>未取得</x:v>
      </x:c>
      <x:c r="R852" s="3" t="str">
        <x:v>Unknown</x:v>
      </x:c>
      <x:c r="S852" s="3" t="str">
        <x:v>不明</x:v>
      </x:c>
      <x:c r="T852" s="3" t="str">
        <x:v>世代不明</x:v>
      </x:c>
      <x:c r="U852" s="28" t="n">
        <x:v>699000</x:v>
      </x:c>
      <x:c r="V852" s="28"/>
      <x:c r="W852" s="3" t="str">
        <x:v>事故・水没・SOH・保証残は未確認</x:v>
      </x:c>
      <x:c r="X852" s="3" t="str">
        <x:v>掲載中・在庫未確認</x:v>
      </x:c>
      <x:c r="Y852" s="3" t="str"/>
      <x:c r="Z852" s="27" t="str">
        <x:v>https://www.taladrod.com/w40/icar/cardet.aspx?cid=2907389</x:v>
      </x:c>
      <x:c r="AA852" s="3" t="str">
        <x:v>Taladrod個別広告ID／Carsome在庫ID</x:v>
      </x:c>
      <x:c r="AB852" s="3" t="str">
        <x:v>車台番号未取得／サイト間重複は未判定</x:v>
      </x:c>
      <x:c r="AC852" s="3" t="str">
        <x:v>税込区分未確認（一覧表示額）</x:v>
      </x:c>
      <x:c r="AD852" s="3" t="str"/>
      <x:c r="AE852" s="29" t="str">
        <x:f>""</x:f>
      </x:c>
      <x:c r="AF852" s="30" t="str">
        <x:f>IF(ISNUMBER(AE852),U852/AE852,"")</x:f>
      </x:c>
      <x:c r="AG852" s="29" t="str">
        <x:f>""</x:f>
      </x:c>
      <x:c r="AH852" s="30" t="str">
        <x:f>IF(ISNUMBER(AG852),U852/AG852,"")</x:f>
      </x:c>
      <x:c r="AI852" s="3" t="str">
        <x:v>同年式・グレードの検証済み当時価格なし／登録年混在</x:v>
      </x:c>
      <x:c r="AJ852" s="3" t="str">
        <x:v>一覧価格/年式のみ</x:v>
      </x:c>
      <x:c r="AK852" s="3" t="str">
        <x:v>一覧の表示価格。年式は掲載年式。</x:v>
      </x:c>
      <x:c r="AL852" s="31" t="n">
        <x:f>IF(AND(J852&lt;='分析方法'!$B$7,OR(ISBLANK(O852),O852&gt;='分析方法'!$B$8),X852&lt;&gt;"売却済み表示"),1,0)</x:f>
        <x:v>1</x:v>
      </x:c>
      <x:c r="AM852" s="32" t="n">
        <x:f>IF(AL852=1,U852,"")</x:f>
        <x:v>699000</x:v>
      </x:c>
      <x:c r="AN852" s="33" t="str">
        <x:f>IF(AL852=1,AF852,"")</x:f>
      </x:c>
      <x:c r="AO852" s="31" t="n">
        <x:f>'分析方法'!$B$6-J852</x:f>
        <x:v>3</x:v>
      </x:c>
      <x:c r="AP852" s="3"/>
    </x:row>
    <x:row r="853" ht="22" customHeight="1">
      <x:c r="A853" s="3" t="str">
        <x:v>T2919687</x:v>
      </x:c>
      <x:c r="B853" s="7" t="d">
        <x:v>2026-10-08T00:00:00.000Z</x:v>
      </x:c>
      <x:c r="C853" s="3" t="str">
        <x:v>Taladrod</x:v>
      </x:c>
      <x:c r="D853" s="3" t="str">
        <x:v>Toyota</x:v>
      </x:c>
      <x:c r="E853" s="3" t="str">
        <x:v>日本</x:v>
      </x:c>
      <x:c r="F853" s="3" t="str">
        <x:v>Hilux Revo</x:v>
      </x:c>
      <x:c r="G853" s="3" t="str">
        <x:v>ICE</x:v>
      </x:c>
      <x:c r="H853" s="3" t="str">
        <x:v>Pickup</x:v>
      </x:c>
      <x:c r="I853" s="3" t="str">
        <x:v>Double cab</x:v>
      </x:c>
      <x:c r="J853" s="3" t="n">
        <x:v>2023</x:v>
      </x:c>
      <x:c r="K853" s="3" t="str">
        <x:v>2.4 MID PRERUNNER DOUBLE CAB</x:v>
      </x:c>
      <x:c r="L853" s="3" t="str">
        <x:v>2.4 MID PRERUNNER DOUBLE CAB</x:v>
      </x:c>
      <x:c r="M853" s="22"/>
      <x:c r="N853" s="22"/>
      <x:c r="O853" s="22"/>
      <x:c r="P853" s="3" t="str">
        <x:v>未掲載</x:v>
      </x:c>
      <x:c r="Q853" s="3" t="str">
        <x:v>未取得</x:v>
      </x:c>
      <x:c r="R853" s="3" t="str">
        <x:v>Unknown</x:v>
      </x:c>
      <x:c r="S853" s="3" t="str">
        <x:v>不明</x:v>
      </x:c>
      <x:c r="T853" s="3" t="str">
        <x:v>世代不明</x:v>
      </x:c>
      <x:c r="U853" s="28" t="n">
        <x:v>649000</x:v>
      </x:c>
      <x:c r="V853" s="28"/>
      <x:c r="W853" s="3" t="str">
        <x:v>事故・水没・SOH・保証残は未確認</x:v>
      </x:c>
      <x:c r="X853" s="3" t="str">
        <x:v>掲載中・在庫未確認</x:v>
      </x:c>
      <x:c r="Y853" s="3" t="str"/>
      <x:c r="Z853" s="27" t="str">
        <x:v>https://www.taladrod.com/w40/icar/cardet.aspx?cid=2919687</x:v>
      </x:c>
      <x:c r="AA853" s="3" t="str">
        <x:v>Taladrod個別広告ID／Carsome在庫ID</x:v>
      </x:c>
      <x:c r="AB853" s="3" t="str">
        <x:v>車台番号未取得／サイト間重複は未判定</x:v>
      </x:c>
      <x:c r="AC853" s="3" t="str">
        <x:v>税込区分未確認（一覧表示額）</x:v>
      </x:c>
      <x:c r="AD853" s="3" t="str"/>
      <x:c r="AE853" s="29" t="str">
        <x:f>""</x:f>
      </x:c>
      <x:c r="AF853" s="30" t="str">
        <x:f>IF(ISNUMBER(AE853),U853/AE853,"")</x:f>
      </x:c>
      <x:c r="AG853" s="29" t="str">
        <x:f>""</x:f>
      </x:c>
      <x:c r="AH853" s="30" t="str">
        <x:f>IF(ISNUMBER(AG853),U853/AG853,"")</x:f>
      </x:c>
      <x:c r="AI853" s="3" t="str">
        <x:v>同年式・グレードの検証済み当時価格なし／登録年混在</x:v>
      </x:c>
      <x:c r="AJ853" s="3" t="str">
        <x:v>一覧価格/年式のみ</x:v>
      </x:c>
      <x:c r="AK853" s="3" t="str">
        <x:v>一覧の表示価格。年式は掲載年式。</x:v>
      </x:c>
      <x:c r="AL853" s="31" t="n">
        <x:f>IF(AND(J853&lt;='分析方法'!$B$7,OR(ISBLANK(O853),O853&gt;='分析方法'!$B$8),X853&lt;&gt;"売却済み表示"),1,0)</x:f>
        <x:v>1</x:v>
      </x:c>
      <x:c r="AM853" s="32" t="n">
        <x:f>IF(AL853=1,U853,"")</x:f>
        <x:v>649000</x:v>
      </x:c>
      <x:c r="AN853" s="33" t="str">
        <x:f>IF(AL853=1,AF853,"")</x:f>
      </x:c>
      <x:c r="AO853" s="31" t="n">
        <x:f>'分析方法'!$B$6-J853</x:f>
        <x:v>3</x:v>
      </x:c>
      <x:c r="AP853" s="3"/>
    </x:row>
    <x:row r="854" ht="22" customHeight="1">
      <x:c r="A854" s="3" t="str">
        <x:v>T2922595</x:v>
      </x:c>
      <x:c r="B854" s="7" t="d">
        <x:v>2026-10-08T00:00:00.000Z</x:v>
      </x:c>
      <x:c r="C854" s="3" t="str">
        <x:v>Taladrod</x:v>
      </x:c>
      <x:c r="D854" s="3" t="str">
        <x:v>Toyota</x:v>
      </x:c>
      <x:c r="E854" s="3" t="str">
        <x:v>日本</x:v>
      </x:c>
      <x:c r="F854" s="3" t="str">
        <x:v>Hilux Revo</x:v>
      </x:c>
      <x:c r="G854" s="3" t="str">
        <x:v>ICE</x:v>
      </x:c>
      <x:c r="H854" s="3" t="str">
        <x:v>Pickup</x:v>
      </x:c>
      <x:c r="I854" s="3" t="str">
        <x:v>Double cab</x:v>
      </x:c>
      <x:c r="J854" s="3" t="n">
        <x:v>2023</x:v>
      </x:c>
      <x:c r="K854" s="3" t="str">
        <x:v>2.4 MID PRERUNNER DOUBLE CAB</x:v>
      </x:c>
      <x:c r="L854" s="3" t="str">
        <x:v>2.4 MID PRERUNNER DOUBLE CAB</x:v>
      </x:c>
      <x:c r="M854" s="22"/>
      <x:c r="N854" s="22"/>
      <x:c r="O854" s="22"/>
      <x:c r="P854" s="3" t="str">
        <x:v>未掲載</x:v>
      </x:c>
      <x:c r="Q854" s="3" t="str">
        <x:v>未取得</x:v>
      </x:c>
      <x:c r="R854" s="3" t="str">
        <x:v>Unknown</x:v>
      </x:c>
      <x:c r="S854" s="3" t="str">
        <x:v>不明</x:v>
      </x:c>
      <x:c r="T854" s="3" t="str">
        <x:v>世代不明</x:v>
      </x:c>
      <x:c r="U854" s="28" t="n">
        <x:v>650000</x:v>
      </x:c>
      <x:c r="V854" s="28"/>
      <x:c r="W854" s="3" t="str">
        <x:v>事故・水没・SOH・保証残は未確認</x:v>
      </x:c>
      <x:c r="X854" s="3" t="str">
        <x:v>掲載中・在庫未確認</x:v>
      </x:c>
      <x:c r="Y854" s="3" t="str"/>
      <x:c r="Z854" s="27" t="str">
        <x:v>https://www.taladrod.com/w40/icar/cardet.aspx?cid=2922595</x:v>
      </x:c>
      <x:c r="AA854" s="3" t="str">
        <x:v>Taladrod個別広告ID／Carsome在庫ID</x:v>
      </x:c>
      <x:c r="AB854" s="3" t="str">
        <x:v>車台番号未取得／サイト間重複は未判定</x:v>
      </x:c>
      <x:c r="AC854" s="3" t="str">
        <x:v>税込区分未確認（一覧表示額）</x:v>
      </x:c>
      <x:c r="AD854" s="3" t="str"/>
      <x:c r="AE854" s="29" t="str">
        <x:f>""</x:f>
      </x:c>
      <x:c r="AF854" s="30" t="str">
        <x:f>IF(ISNUMBER(AE854),U854/AE854,"")</x:f>
      </x:c>
      <x:c r="AG854" s="29" t="str">
        <x:f>""</x:f>
      </x:c>
      <x:c r="AH854" s="30" t="str">
        <x:f>IF(ISNUMBER(AG854),U854/AG854,"")</x:f>
      </x:c>
      <x:c r="AI854" s="3" t="str">
        <x:v>同年式・グレードの検証済み当時価格なし／登録年混在</x:v>
      </x:c>
      <x:c r="AJ854" s="3" t="str">
        <x:v>一覧価格/年式のみ</x:v>
      </x:c>
      <x:c r="AK854" s="3" t="str">
        <x:v>一覧の表示価格。年式は掲載年式。</x:v>
      </x:c>
      <x:c r="AL854" s="31" t="n">
        <x:f>IF(AND(J854&lt;='分析方法'!$B$7,OR(ISBLANK(O854),O854&gt;='分析方法'!$B$8),X854&lt;&gt;"売却済み表示"),1,0)</x:f>
        <x:v>1</x:v>
      </x:c>
      <x:c r="AM854" s="32" t="n">
        <x:f>IF(AL854=1,U854,"")</x:f>
        <x:v>650000</x:v>
      </x:c>
      <x:c r="AN854" s="33" t="str">
        <x:f>IF(AL854=1,AF854,"")</x:f>
      </x:c>
      <x:c r="AO854" s="31" t="n">
        <x:f>'分析方法'!$B$6-J854</x:f>
        <x:v>3</x:v>
      </x:c>
      <x:c r="AP854" s="3"/>
    </x:row>
    <x:row r="855" ht="22" customHeight="1">
      <x:c r="A855" s="3" t="str">
        <x:v>T2922612</x:v>
      </x:c>
      <x:c r="B855" s="7" t="d">
        <x:v>2026-10-08T00:00:00.000Z</x:v>
      </x:c>
      <x:c r="C855" s="3" t="str">
        <x:v>Taladrod</x:v>
      </x:c>
      <x:c r="D855" s="3" t="str">
        <x:v>Toyota</x:v>
      </x:c>
      <x:c r="E855" s="3" t="str">
        <x:v>日本</x:v>
      </x:c>
      <x:c r="F855" s="3" t="str">
        <x:v>Hilux Revo</x:v>
      </x:c>
      <x:c r="G855" s="3" t="str">
        <x:v>ICE</x:v>
      </x:c>
      <x:c r="H855" s="3" t="str">
        <x:v>Pickup</x:v>
      </x:c>
      <x:c r="I855" s="3" t="str">
        <x:v>Double cab</x:v>
      </x:c>
      <x:c r="J855" s="3" t="n">
        <x:v>2023</x:v>
      </x:c>
      <x:c r="K855" s="3" t="str">
        <x:v>2.4 MID PRERUNNER DOUBLE CAB</x:v>
      </x:c>
      <x:c r="L855" s="3" t="str">
        <x:v>2.4 MID PRERUNNER DOUBLE CAB</x:v>
      </x:c>
      <x:c r="M855" s="22"/>
      <x:c r="N855" s="22"/>
      <x:c r="O855" s="22"/>
      <x:c r="P855" s="3" t="str">
        <x:v>未掲載</x:v>
      </x:c>
      <x:c r="Q855" s="3" t="str">
        <x:v>未取得</x:v>
      </x:c>
      <x:c r="R855" s="3" t="str">
        <x:v>Unknown</x:v>
      </x:c>
      <x:c r="S855" s="3" t="str">
        <x:v>不明</x:v>
      </x:c>
      <x:c r="T855" s="3" t="str">
        <x:v>世代不明</x:v>
      </x:c>
      <x:c r="U855" s="28" t="n">
        <x:v>779000</x:v>
      </x:c>
      <x:c r="V855" s="28"/>
      <x:c r="W855" s="3" t="str">
        <x:v>事故・水没・SOH・保証残は未確認</x:v>
      </x:c>
      <x:c r="X855" s="3" t="str">
        <x:v>掲載中・在庫未確認</x:v>
      </x:c>
      <x:c r="Y855" s="3" t="str"/>
      <x:c r="Z855" s="27" t="str">
        <x:v>https://www.taladrod.com/w40/icar/cardet.aspx?cid=2922612</x:v>
      </x:c>
      <x:c r="AA855" s="3" t="str">
        <x:v>Taladrod個別広告ID／Carsome在庫ID</x:v>
      </x:c>
      <x:c r="AB855" s="3" t="str">
        <x:v>車台番号未取得／サイト間重複は未判定</x:v>
      </x:c>
      <x:c r="AC855" s="3" t="str">
        <x:v>税込区分未確認（一覧表示額）</x:v>
      </x:c>
      <x:c r="AD855" s="3" t="str"/>
      <x:c r="AE855" s="29" t="str">
        <x:f>""</x:f>
      </x:c>
      <x:c r="AF855" s="30" t="str">
        <x:f>IF(ISNUMBER(AE855),U855/AE855,"")</x:f>
      </x:c>
      <x:c r="AG855" s="29" t="str">
        <x:f>""</x:f>
      </x:c>
      <x:c r="AH855" s="30" t="str">
        <x:f>IF(ISNUMBER(AG855),U855/AG855,"")</x:f>
      </x:c>
      <x:c r="AI855" s="3" t="str">
        <x:v>同年式・グレードの検証済み当時価格なし／登録年混在</x:v>
      </x:c>
      <x:c r="AJ855" s="3" t="str">
        <x:v>一覧価格/年式のみ</x:v>
      </x:c>
      <x:c r="AK855" s="3" t="str">
        <x:v>一覧の表示価格。年式は掲載年式。</x:v>
      </x:c>
      <x:c r="AL855" s="31" t="n">
        <x:f>IF(AND(J855&lt;='分析方法'!$B$7,OR(ISBLANK(O855),O855&gt;='分析方法'!$B$8),X855&lt;&gt;"売却済み表示"),1,0)</x:f>
        <x:v>1</x:v>
      </x:c>
      <x:c r="AM855" s="32" t="n">
        <x:f>IF(AL855=1,U855,"")</x:f>
        <x:v>779000</x:v>
      </x:c>
      <x:c r="AN855" s="33" t="str">
        <x:f>IF(AL855=1,AF855,"")</x:f>
      </x:c>
      <x:c r="AO855" s="31" t="n">
        <x:f>'分析方法'!$B$6-J855</x:f>
        <x:v>3</x:v>
      </x:c>
      <x:c r="AP855" s="3"/>
    </x:row>
    <x:row r="856" ht="22" customHeight="1">
      <x:c r="A856" s="3" t="str">
        <x:v>T2923926</x:v>
      </x:c>
      <x:c r="B856" s="7" t="d">
        <x:v>2026-10-08T00:00:00.000Z</x:v>
      </x:c>
      <x:c r="C856" s="3" t="str">
        <x:v>Taladrod</x:v>
      </x:c>
      <x:c r="D856" s="3" t="str">
        <x:v>Toyota</x:v>
      </x:c>
      <x:c r="E856" s="3" t="str">
        <x:v>日本</x:v>
      </x:c>
      <x:c r="F856" s="3" t="str">
        <x:v>Hilux Revo</x:v>
      </x:c>
      <x:c r="G856" s="3" t="str">
        <x:v>ICE</x:v>
      </x:c>
      <x:c r="H856" s="3" t="str">
        <x:v>Pickup</x:v>
      </x:c>
      <x:c r="I856" s="3" t="str">
        <x:v>Double cab</x:v>
      </x:c>
      <x:c r="J856" s="3" t="n">
        <x:v>2023</x:v>
      </x:c>
      <x:c r="K856" s="3" t="str">
        <x:v>2.4 MID PRERUNNER DOUBLE CAB</x:v>
      </x:c>
      <x:c r="L856" s="3" t="str">
        <x:v>2.4 MID PRERUNNER DOUBLE CAB</x:v>
      </x:c>
      <x:c r="M856" s="22"/>
      <x:c r="N856" s="22"/>
      <x:c r="O856" s="22"/>
      <x:c r="P856" s="3" t="str">
        <x:v>未掲載</x:v>
      </x:c>
      <x:c r="Q856" s="3" t="str">
        <x:v>未取得</x:v>
      </x:c>
      <x:c r="R856" s="3" t="str">
        <x:v>Unknown</x:v>
      </x:c>
      <x:c r="S856" s="3" t="str">
        <x:v>不明</x:v>
      </x:c>
      <x:c r="T856" s="3" t="str">
        <x:v>世代不明</x:v>
      </x:c>
      <x:c r="U856" s="28" t="n">
        <x:v>729000</x:v>
      </x:c>
      <x:c r="V856" s="28"/>
      <x:c r="W856" s="3" t="str">
        <x:v>事故・水没・SOH・保証残は未確認</x:v>
      </x:c>
      <x:c r="X856" s="3" t="str">
        <x:v>掲載中・在庫未確認</x:v>
      </x:c>
      <x:c r="Y856" s="3" t="str"/>
      <x:c r="Z856" s="27" t="str">
        <x:v>https://www.taladrod.com/w40/icar/cardet.aspx?cid=2923926</x:v>
      </x:c>
      <x:c r="AA856" s="3" t="str">
        <x:v>Taladrod個別広告ID／Carsome在庫ID</x:v>
      </x:c>
      <x:c r="AB856" s="3" t="str">
        <x:v>車台番号未取得／サイト間重複は未判定</x:v>
      </x:c>
      <x:c r="AC856" s="3" t="str">
        <x:v>税込区分未確認（一覧表示額）</x:v>
      </x:c>
      <x:c r="AD856" s="3" t="str"/>
      <x:c r="AE856" s="29" t="str">
        <x:f>""</x:f>
      </x:c>
      <x:c r="AF856" s="30" t="str">
        <x:f>IF(ISNUMBER(AE856),U856/AE856,"")</x:f>
      </x:c>
      <x:c r="AG856" s="29" t="str">
        <x:f>""</x:f>
      </x:c>
      <x:c r="AH856" s="30" t="str">
        <x:f>IF(ISNUMBER(AG856),U856/AG856,"")</x:f>
      </x:c>
      <x:c r="AI856" s="3" t="str">
        <x:v>同年式・グレードの検証済み当時価格なし／登録年混在</x:v>
      </x:c>
      <x:c r="AJ856" s="3" t="str">
        <x:v>一覧価格/年式のみ</x:v>
      </x:c>
      <x:c r="AK856" s="3" t="str">
        <x:v>一覧の表示価格。年式は掲載年式。</x:v>
      </x:c>
      <x:c r="AL856" s="31" t="n">
        <x:f>IF(AND(J856&lt;='分析方法'!$B$7,OR(ISBLANK(O856),O856&gt;='分析方法'!$B$8),X856&lt;&gt;"売却済み表示"),1,0)</x:f>
        <x:v>1</x:v>
      </x:c>
      <x:c r="AM856" s="32" t="n">
        <x:f>IF(AL856=1,U856,"")</x:f>
        <x:v>729000</x:v>
      </x:c>
      <x:c r="AN856" s="33" t="str">
        <x:f>IF(AL856=1,AF856,"")</x:f>
      </x:c>
      <x:c r="AO856" s="31" t="n">
        <x:f>'分析方法'!$B$6-J856</x:f>
        <x:v>3</x:v>
      </x:c>
      <x:c r="AP856" s="3"/>
    </x:row>
    <x:row r="857" ht="22" customHeight="1">
      <x:c r="A857" s="3" t="str">
        <x:v>T2924296</x:v>
      </x:c>
      <x:c r="B857" s="7" t="d">
        <x:v>2026-10-08T00:00:00.000Z</x:v>
      </x:c>
      <x:c r="C857" s="3" t="str">
        <x:v>Taladrod</x:v>
      </x:c>
      <x:c r="D857" s="3" t="str">
        <x:v>Toyota</x:v>
      </x:c>
      <x:c r="E857" s="3" t="str">
        <x:v>日本</x:v>
      </x:c>
      <x:c r="F857" s="3" t="str">
        <x:v>Hilux Revo</x:v>
      </x:c>
      <x:c r="G857" s="3" t="str">
        <x:v>ICE</x:v>
      </x:c>
      <x:c r="H857" s="3" t="str">
        <x:v>Pickup</x:v>
      </x:c>
      <x:c r="I857" s="3" t="str">
        <x:v>Smart cab</x:v>
      </x:c>
      <x:c r="J857" s="3" t="n">
        <x:v>2023</x:v>
      </x:c>
      <x:c r="K857" s="3" t="str">
        <x:v>2.4 MID PRERUNNER SMART CAB</x:v>
      </x:c>
      <x:c r="L857" s="3" t="str">
        <x:v>2.4 MID PRERUNNER SMART CAB</x:v>
      </x:c>
      <x:c r="M857" s="22"/>
      <x:c r="N857" s="22"/>
      <x:c r="O857" s="22"/>
      <x:c r="P857" s="3" t="str">
        <x:v>未掲載</x:v>
      </x:c>
      <x:c r="Q857" s="3" t="str">
        <x:v>未取得</x:v>
      </x:c>
      <x:c r="R857" s="3" t="str">
        <x:v>Unknown</x:v>
      </x:c>
      <x:c r="S857" s="3" t="str">
        <x:v>不明</x:v>
      </x:c>
      <x:c r="T857" s="3" t="str">
        <x:v>世代不明</x:v>
      </x:c>
      <x:c r="U857" s="28" t="n">
        <x:v>599000</x:v>
      </x:c>
      <x:c r="V857" s="28"/>
      <x:c r="W857" s="3" t="str">
        <x:v>事故・水没・SOH・保証残は未確認</x:v>
      </x:c>
      <x:c r="X857" s="3" t="str">
        <x:v>掲載中・在庫未確認</x:v>
      </x:c>
      <x:c r="Y857" s="3" t="str"/>
      <x:c r="Z857" s="27" t="str">
        <x:v>https://www.taladrod.com/w40/icar/cardet.aspx?cid=2924296</x:v>
      </x:c>
      <x:c r="AA857" s="3" t="str">
        <x:v>Taladrod個別広告ID／Carsome在庫ID</x:v>
      </x:c>
      <x:c r="AB857" s="3" t="str">
        <x:v>車台番号未取得／サイト間重複は未判定</x:v>
      </x:c>
      <x:c r="AC857" s="3" t="str">
        <x:v>税込区分未確認（一覧表示額）</x:v>
      </x:c>
      <x:c r="AD857" s="3" t="str"/>
      <x:c r="AE857" s="29" t="str">
        <x:f>""</x:f>
      </x:c>
      <x:c r="AF857" s="30" t="str">
        <x:f>IF(ISNUMBER(AE857),U857/AE857,"")</x:f>
      </x:c>
      <x:c r="AG857" s="29" t="str">
        <x:f>""</x:f>
      </x:c>
      <x:c r="AH857" s="30" t="str">
        <x:f>IF(ISNUMBER(AG857),U857/AG857,"")</x:f>
      </x:c>
      <x:c r="AI857" s="3" t="str">
        <x:v>同年式・グレードの検証済み当時価格なし／登録年混在</x:v>
      </x:c>
      <x:c r="AJ857" s="3" t="str">
        <x:v>一覧価格/年式のみ</x:v>
      </x:c>
      <x:c r="AK857" s="3" t="str">
        <x:v>一覧の表示価格。年式は掲載年式。</x:v>
      </x:c>
      <x:c r="AL857" s="31" t="n">
        <x:f>IF(AND(J857&lt;='分析方法'!$B$7,OR(ISBLANK(O857),O857&gt;='分析方法'!$B$8),X857&lt;&gt;"売却済み表示"),1,0)</x:f>
        <x:v>1</x:v>
      </x:c>
      <x:c r="AM857" s="32" t="n">
        <x:f>IF(AL857=1,U857,"")</x:f>
        <x:v>599000</x:v>
      </x:c>
      <x:c r="AN857" s="33" t="str">
        <x:f>IF(AL857=1,AF857,"")</x:f>
      </x:c>
      <x:c r="AO857" s="31" t="n">
        <x:f>'分析方法'!$B$6-J857</x:f>
        <x:v>3</x:v>
      </x:c>
      <x:c r="AP857" s="3"/>
    </x:row>
    <x:row r="858" ht="22" customHeight="1">
      <x:c r="A858" s="3" t="str">
        <x:v>T2924748</x:v>
      </x:c>
      <x:c r="B858" s="7" t="d">
        <x:v>2026-10-08T00:00:00.000Z</x:v>
      </x:c>
      <x:c r="C858" s="3" t="str">
        <x:v>Taladrod</x:v>
      </x:c>
      <x:c r="D858" s="3" t="str">
        <x:v>Toyota</x:v>
      </x:c>
      <x:c r="E858" s="3" t="str">
        <x:v>日本</x:v>
      </x:c>
      <x:c r="F858" s="3" t="str">
        <x:v>Hilux Revo</x:v>
      </x:c>
      <x:c r="G858" s="3" t="str">
        <x:v>ICE</x:v>
      </x:c>
      <x:c r="H858" s="3" t="str">
        <x:v>Pickup</x:v>
      </x:c>
      <x:c r="I858" s="3" t="str">
        <x:v>Smart cab</x:v>
      </x:c>
      <x:c r="J858" s="3" t="n">
        <x:v>2023</x:v>
      </x:c>
      <x:c r="K858" s="3" t="str">
        <x:v>2.4 MID PRERUNNER SMART CAB</x:v>
      </x:c>
      <x:c r="L858" s="3" t="str">
        <x:v>2.4 MID PRERUNNER SMART CAB</x:v>
      </x:c>
      <x:c r="M858" s="22"/>
      <x:c r="N858" s="22"/>
      <x:c r="O858" s="22"/>
      <x:c r="P858" s="3" t="str">
        <x:v>未掲載</x:v>
      </x:c>
      <x:c r="Q858" s="3" t="str">
        <x:v>未取得</x:v>
      </x:c>
      <x:c r="R858" s="3" t="str">
        <x:v>Unknown</x:v>
      </x:c>
      <x:c r="S858" s="3" t="str">
        <x:v>不明</x:v>
      </x:c>
      <x:c r="T858" s="3" t="str">
        <x:v>世代不明</x:v>
      </x:c>
      <x:c r="U858" s="28" t="n">
        <x:v>599000</x:v>
      </x:c>
      <x:c r="V858" s="28"/>
      <x:c r="W858" s="3" t="str">
        <x:v>事故・水没・SOH・保証残は未確認</x:v>
      </x:c>
      <x:c r="X858" s="3" t="str">
        <x:v>掲載中・在庫未確認</x:v>
      </x:c>
      <x:c r="Y858" s="3" t="str"/>
      <x:c r="Z858" s="27" t="str">
        <x:v>https://www.taladrod.com/w40/icar/cardet.aspx?cid=2924748</x:v>
      </x:c>
      <x:c r="AA858" s="3" t="str">
        <x:v>Taladrod個別広告ID／Carsome在庫ID</x:v>
      </x:c>
      <x:c r="AB858" s="3" t="str">
        <x:v>車台番号未取得／サイト間重複は未判定</x:v>
      </x:c>
      <x:c r="AC858" s="3" t="str">
        <x:v>税込区分未確認（一覧表示額）</x:v>
      </x:c>
      <x:c r="AD858" s="3" t="str"/>
      <x:c r="AE858" s="29" t="str">
        <x:f>""</x:f>
      </x:c>
      <x:c r="AF858" s="30" t="str">
        <x:f>IF(ISNUMBER(AE858),U858/AE858,"")</x:f>
      </x:c>
      <x:c r="AG858" s="29" t="str">
        <x:f>""</x:f>
      </x:c>
      <x:c r="AH858" s="30" t="str">
        <x:f>IF(ISNUMBER(AG858),U858/AG858,"")</x:f>
      </x:c>
      <x:c r="AI858" s="3" t="str">
        <x:v>同年式・グレードの検証済み当時価格なし／登録年混在</x:v>
      </x:c>
      <x:c r="AJ858" s="3" t="str">
        <x:v>一覧価格/年式のみ</x:v>
      </x:c>
      <x:c r="AK858" s="3" t="str">
        <x:v>一覧の表示価格。年式は掲載年式。</x:v>
      </x:c>
      <x:c r="AL858" s="31" t="n">
        <x:f>IF(AND(J858&lt;='分析方法'!$B$7,OR(ISBLANK(O858),O858&gt;='分析方法'!$B$8),X858&lt;&gt;"売却済み表示"),1,0)</x:f>
        <x:v>1</x:v>
      </x:c>
      <x:c r="AM858" s="32" t="n">
        <x:f>IF(AL858=1,U858,"")</x:f>
        <x:v>599000</x:v>
      </x:c>
      <x:c r="AN858" s="33" t="str">
        <x:f>IF(AL858=1,AF858,"")</x:f>
      </x:c>
      <x:c r="AO858" s="31" t="n">
        <x:f>'分析方法'!$B$6-J858</x:f>
        <x:v>3</x:v>
      </x:c>
      <x:c r="AP858" s="3"/>
    </x:row>
    <x:row r="859" ht="22" customHeight="1">
      <x:c r="A859" s="3" t="str">
        <x:v>T2921198</x:v>
      </x:c>
      <x:c r="B859" s="7" t="d">
        <x:v>2026-10-08T00:00:00.000Z</x:v>
      </x:c>
      <x:c r="C859" s="3" t="str">
        <x:v>Taladrod</x:v>
      </x:c>
      <x:c r="D859" s="3" t="str">
        <x:v>Toyota</x:v>
      </x:c>
      <x:c r="E859" s="3" t="str">
        <x:v>日本</x:v>
      </x:c>
      <x:c r="F859" s="3" t="str">
        <x:v>Hilux Revo</x:v>
      </x:c>
      <x:c r="G859" s="3" t="str">
        <x:v>ICE</x:v>
      </x:c>
      <x:c r="H859" s="3" t="str">
        <x:v>Pickup</x:v>
      </x:c>
      <x:c r="I859" s="3" t="str">
        <x:v>Double cab</x:v>
      </x:c>
      <x:c r="J859" s="3" t="n">
        <x:v>2023</x:v>
      </x:c>
      <x:c r="K859" s="3" t="str">
        <x:v>2.4 MID Z EDITION DOUBLE CAB</x:v>
      </x:c>
      <x:c r="L859" s="3" t="str">
        <x:v>2.4 MID Z EDITION DOUBLE CAB</x:v>
      </x:c>
      <x:c r="M859" s="22"/>
      <x:c r="N859" s="22"/>
      <x:c r="O859" s="22"/>
      <x:c r="P859" s="3" t="str">
        <x:v>未掲載</x:v>
      </x:c>
      <x:c r="Q859" s="3" t="str">
        <x:v>未取得</x:v>
      </x:c>
      <x:c r="R859" s="3" t="str">
        <x:v>Unknown</x:v>
      </x:c>
      <x:c r="S859" s="3" t="str">
        <x:v>不明</x:v>
      </x:c>
      <x:c r="T859" s="3" t="str">
        <x:v>世代不明</x:v>
      </x:c>
      <x:c r="U859" s="28" t="n">
        <x:v>620000</x:v>
      </x:c>
      <x:c r="V859" s="28"/>
      <x:c r="W859" s="3" t="str">
        <x:v>事故・水没・SOH・保証残は未確認</x:v>
      </x:c>
      <x:c r="X859" s="3" t="str">
        <x:v>掲載中・在庫未確認</x:v>
      </x:c>
      <x:c r="Y859" s="3" t="str"/>
      <x:c r="Z859" s="27" t="str">
        <x:v>https://www.taladrod.com/w40/icar/cardet.aspx?cid=2921198</x:v>
      </x:c>
      <x:c r="AA859" s="3" t="str">
        <x:v>Taladrod個別広告ID／Carsome在庫ID</x:v>
      </x:c>
      <x:c r="AB859" s="3" t="str">
        <x:v>車台番号未取得／サイト間重複は未判定</x:v>
      </x:c>
      <x:c r="AC859" s="3" t="str">
        <x:v>税込区分未確認（一覧表示額）</x:v>
      </x:c>
      <x:c r="AD859" s="3" t="str"/>
      <x:c r="AE859" s="29" t="str">
        <x:f>""</x:f>
      </x:c>
      <x:c r="AF859" s="30" t="str">
        <x:f>IF(ISNUMBER(AE859),U859/AE859,"")</x:f>
      </x:c>
      <x:c r="AG859" s="29" t="str">
        <x:f>""</x:f>
      </x:c>
      <x:c r="AH859" s="30" t="str">
        <x:f>IF(ISNUMBER(AG859),U859/AG859,"")</x:f>
      </x:c>
      <x:c r="AI859" s="3" t="str">
        <x:v>同年式・グレードの検証済み当時価格なし／登録年混在</x:v>
      </x:c>
      <x:c r="AJ859" s="3" t="str">
        <x:v>一覧価格/年式のみ</x:v>
      </x:c>
      <x:c r="AK859" s="3" t="str">
        <x:v>一覧の表示価格。年式は掲載年式。</x:v>
      </x:c>
      <x:c r="AL859" s="31" t="n">
        <x:f>IF(AND(J859&lt;='分析方法'!$B$7,OR(ISBLANK(O859),O859&gt;='分析方法'!$B$8),X859&lt;&gt;"売却済み表示"),1,0)</x:f>
        <x:v>1</x:v>
      </x:c>
      <x:c r="AM859" s="32" t="n">
        <x:f>IF(AL859=1,U859,"")</x:f>
        <x:v>620000</x:v>
      </x:c>
      <x:c r="AN859" s="33" t="str">
        <x:f>IF(AL859=1,AF859,"")</x:f>
      </x:c>
      <x:c r="AO859" s="31" t="n">
        <x:f>'分析方法'!$B$6-J859</x:f>
        <x:v>3</x:v>
      </x:c>
      <x:c r="AP859" s="3"/>
    </x:row>
    <x:row r="860" ht="22" customHeight="1">
      <x:c r="A860" s="3" t="str">
        <x:v>T2922594</x:v>
      </x:c>
      <x:c r="B860" s="7" t="d">
        <x:v>2026-10-08T00:00:00.000Z</x:v>
      </x:c>
      <x:c r="C860" s="3" t="str">
        <x:v>Taladrod</x:v>
      </x:c>
      <x:c r="D860" s="3" t="str">
        <x:v>Toyota</x:v>
      </x:c>
      <x:c r="E860" s="3" t="str">
        <x:v>日本</x:v>
      </x:c>
      <x:c r="F860" s="3" t="str">
        <x:v>Hilux Revo</x:v>
      </x:c>
      <x:c r="G860" s="3" t="str">
        <x:v>ICE</x:v>
      </x:c>
      <x:c r="H860" s="3" t="str">
        <x:v>Pickup</x:v>
      </x:c>
      <x:c r="I860" s="3" t="str">
        <x:v>Double cab</x:v>
      </x:c>
      <x:c r="J860" s="3" t="n">
        <x:v>2023</x:v>
      </x:c>
      <x:c r="K860" s="3" t="str">
        <x:v>2.4 MID Z EDITION DOUBLE CAB</x:v>
      </x:c>
      <x:c r="L860" s="3" t="str">
        <x:v>2.4 MID Z EDITION DOUBLE CAB</x:v>
      </x:c>
      <x:c r="M860" s="22"/>
      <x:c r="N860" s="22"/>
      <x:c r="O860" s="22"/>
      <x:c r="P860" s="3" t="str">
        <x:v>未掲載</x:v>
      </x:c>
      <x:c r="Q860" s="3" t="str">
        <x:v>未取得</x:v>
      </x:c>
      <x:c r="R860" s="3" t="str">
        <x:v>Unknown</x:v>
      </x:c>
      <x:c r="S860" s="3" t="str">
        <x:v>不明</x:v>
      </x:c>
      <x:c r="T860" s="3" t="str">
        <x:v>世代不明</x:v>
      </x:c>
      <x:c r="U860" s="28" t="n">
        <x:v>460000</x:v>
      </x:c>
      <x:c r="V860" s="28"/>
      <x:c r="W860" s="3" t="str">
        <x:v>事故・水没・SOH・保証残は未確認</x:v>
      </x:c>
      <x:c r="X860" s="3" t="str">
        <x:v>掲載中・在庫未確認</x:v>
      </x:c>
      <x:c r="Y860" s="3" t="str"/>
      <x:c r="Z860" s="27" t="str">
        <x:v>https://www.taladrod.com/w40/icar/cardet.aspx?cid=2922594</x:v>
      </x:c>
      <x:c r="AA860" s="3" t="str">
        <x:v>Taladrod個別広告ID／Carsome在庫ID</x:v>
      </x:c>
      <x:c r="AB860" s="3" t="str">
        <x:v>車台番号未取得／サイト間重複は未判定</x:v>
      </x:c>
      <x:c r="AC860" s="3" t="str">
        <x:v>税込区分未確認（一覧表示額）</x:v>
      </x:c>
      <x:c r="AD860" s="3" t="str"/>
      <x:c r="AE860" s="29" t="str">
        <x:f>""</x:f>
      </x:c>
      <x:c r="AF860" s="30" t="str">
        <x:f>IF(ISNUMBER(AE860),U860/AE860,"")</x:f>
      </x:c>
      <x:c r="AG860" s="29" t="str">
        <x:f>""</x:f>
      </x:c>
      <x:c r="AH860" s="30" t="str">
        <x:f>IF(ISNUMBER(AG860),U860/AG860,"")</x:f>
      </x:c>
      <x:c r="AI860" s="3" t="str">
        <x:v>同年式・グレードの検証済み当時価格なし／登録年混在</x:v>
      </x:c>
      <x:c r="AJ860" s="3" t="str">
        <x:v>一覧価格/年式のみ</x:v>
      </x:c>
      <x:c r="AK860" s="3" t="str">
        <x:v>一覧の表示価格。年式は掲載年式。</x:v>
      </x:c>
      <x:c r="AL860" s="31" t="n">
        <x:f>IF(AND(J860&lt;='分析方法'!$B$7,OR(ISBLANK(O860),O860&gt;='分析方法'!$B$8),X860&lt;&gt;"売却済み表示"),1,0)</x:f>
        <x:v>1</x:v>
      </x:c>
      <x:c r="AM860" s="32" t="n">
        <x:f>IF(AL860=1,U860,"")</x:f>
        <x:v>460000</x:v>
      </x:c>
      <x:c r="AN860" s="33" t="str">
        <x:f>IF(AL860=1,AF860,"")</x:f>
      </x:c>
      <x:c r="AO860" s="31" t="n">
        <x:f>'分析方法'!$B$6-J860</x:f>
        <x:v>3</x:v>
      </x:c>
      <x:c r="AP860" s="3"/>
    </x:row>
    <x:row r="861" ht="22" customHeight="1">
      <x:c r="A861" s="3" t="str">
        <x:v>T2912683</x:v>
      </x:c>
      <x:c r="B861" s="7" t="d">
        <x:v>2026-10-08T00:00:00.000Z</x:v>
      </x:c>
      <x:c r="C861" s="3" t="str">
        <x:v>Taladrod</x:v>
      </x:c>
      <x:c r="D861" s="3" t="str">
        <x:v>Toyota</x:v>
      </x:c>
      <x:c r="E861" s="3" t="str">
        <x:v>日本</x:v>
      </x:c>
      <x:c r="F861" s="3" t="str">
        <x:v>Hilux Revo</x:v>
      </x:c>
      <x:c r="G861" s="3" t="str">
        <x:v>ICE</x:v>
      </x:c>
      <x:c r="H861" s="3" t="str">
        <x:v>Pickup</x:v>
      </x:c>
      <x:c r="I861" s="3" t="str">
        <x:v>Double cab</x:v>
      </x:c>
      <x:c r="J861" s="3" t="n">
        <x:v>2023</x:v>
      </x:c>
      <x:c r="K861" s="3" t="str">
        <x:v>2.4 PRERUNNER DOUBLE CAB</x:v>
      </x:c>
      <x:c r="L861" s="3" t="str">
        <x:v>2.4 PRERUNNER DOUBLE CAB</x:v>
      </x:c>
      <x:c r="M861" s="22"/>
      <x:c r="N861" s="22"/>
      <x:c r="O861" s="22"/>
      <x:c r="P861" s="3" t="str">
        <x:v>未掲載</x:v>
      </x:c>
      <x:c r="Q861" s="3" t="str">
        <x:v>未取得</x:v>
      </x:c>
      <x:c r="R861" s="3" t="str">
        <x:v>Unknown</x:v>
      </x:c>
      <x:c r="S861" s="3" t="str">
        <x:v>不明</x:v>
      </x:c>
      <x:c r="T861" s="3" t="str">
        <x:v>世代不明</x:v>
      </x:c>
      <x:c r="U861" s="28" t="n">
        <x:v>799000</x:v>
      </x:c>
      <x:c r="V861" s="28"/>
      <x:c r="W861" s="3" t="str">
        <x:v>事故・水没・SOH・保証残は未確認</x:v>
      </x:c>
      <x:c r="X861" s="3" t="str">
        <x:v>掲載中・在庫未確認</x:v>
      </x:c>
      <x:c r="Y861" s="3" t="str"/>
      <x:c r="Z861" s="27" t="str">
        <x:v>https://www.taladrod.com/w40/icar/cardet.aspx?cid=2912683</x:v>
      </x:c>
      <x:c r="AA861" s="3" t="str">
        <x:v>Taladrod個別広告ID／Carsome在庫ID</x:v>
      </x:c>
      <x:c r="AB861" s="3" t="str">
        <x:v>車台番号未取得／サイト間重複は未判定</x:v>
      </x:c>
      <x:c r="AC861" s="3" t="str">
        <x:v>税込区分未確認（一覧表示額）</x:v>
      </x:c>
      <x:c r="AD861" s="3" t="str"/>
      <x:c r="AE861" s="29" t="str">
        <x:f>""</x:f>
      </x:c>
      <x:c r="AF861" s="30" t="str">
        <x:f>IF(ISNUMBER(AE861),U861/AE861,"")</x:f>
      </x:c>
      <x:c r="AG861" s="29" t="str">
        <x:f>""</x:f>
      </x:c>
      <x:c r="AH861" s="30" t="str">
        <x:f>IF(ISNUMBER(AG861),U861/AG861,"")</x:f>
      </x:c>
      <x:c r="AI861" s="3" t="str">
        <x:v>同年式・グレードの検証済み当時価格なし／登録年混在</x:v>
      </x:c>
      <x:c r="AJ861" s="3" t="str">
        <x:v>一覧価格/年式のみ</x:v>
      </x:c>
      <x:c r="AK861" s="3" t="str">
        <x:v>一覧の表示価格。年式は掲載年式。</x:v>
      </x:c>
      <x:c r="AL861" s="31" t="n">
        <x:f>IF(AND(J861&lt;='分析方法'!$B$7,OR(ISBLANK(O861),O861&gt;='分析方法'!$B$8),X861&lt;&gt;"売却済み表示"),1,0)</x:f>
        <x:v>1</x:v>
      </x:c>
      <x:c r="AM861" s="32" t="n">
        <x:f>IF(AL861=1,U861,"")</x:f>
        <x:v>799000</x:v>
      </x:c>
      <x:c r="AN861" s="33" t="str">
        <x:f>IF(AL861=1,AF861,"")</x:f>
      </x:c>
      <x:c r="AO861" s="31" t="n">
        <x:f>'分析方法'!$B$6-J861</x:f>
        <x:v>3</x:v>
      </x:c>
      <x:c r="AP861" s="3"/>
    </x:row>
    <x:row r="862" ht="22" customHeight="1">
      <x:c r="A862" s="3" t="str">
        <x:v>T2924561</x:v>
      </x:c>
      <x:c r="B862" s="7" t="d">
        <x:v>2026-10-08T00:00:00.000Z</x:v>
      </x:c>
      <x:c r="C862" s="3" t="str">
        <x:v>Taladrod</x:v>
      </x:c>
      <x:c r="D862" s="3" t="str">
        <x:v>Toyota</x:v>
      </x:c>
      <x:c r="E862" s="3" t="str">
        <x:v>日本</x:v>
      </x:c>
      <x:c r="F862" s="3" t="str">
        <x:v>Hilux Revo</x:v>
      </x:c>
      <x:c r="G862" s="3" t="str">
        <x:v>ICE</x:v>
      </x:c>
      <x:c r="H862" s="3" t="str">
        <x:v>Pickup</x:v>
      </x:c>
      <x:c r="I862" s="3" t="str">
        <x:v>Double cab</x:v>
      </x:c>
      <x:c r="J862" s="3" t="n">
        <x:v>2023</x:v>
      </x:c>
      <x:c r="K862" s="3" t="str">
        <x:v>2.4 PRERUNNER DOUBLE CAB</x:v>
      </x:c>
      <x:c r="L862" s="3" t="str">
        <x:v>2.4 PRERUNNER DOUBLE CAB</x:v>
      </x:c>
      <x:c r="M862" s="22"/>
      <x:c r="N862" s="22"/>
      <x:c r="O862" s="22"/>
      <x:c r="P862" s="3" t="str">
        <x:v>未掲載</x:v>
      </x:c>
      <x:c r="Q862" s="3" t="str">
        <x:v>未取得</x:v>
      </x:c>
      <x:c r="R862" s="3" t="str">
        <x:v>Unknown</x:v>
      </x:c>
      <x:c r="S862" s="3" t="str">
        <x:v>不明</x:v>
      </x:c>
      <x:c r="T862" s="3" t="str">
        <x:v>世代不明</x:v>
      </x:c>
      <x:c r="U862" s="28" t="n">
        <x:v>760000</x:v>
      </x:c>
      <x:c r="V862" s="28"/>
      <x:c r="W862" s="3" t="str">
        <x:v>事故・水没・SOH・保証残は未確認</x:v>
      </x:c>
      <x:c r="X862" s="3" t="str">
        <x:v>掲載中・在庫未確認</x:v>
      </x:c>
      <x:c r="Y862" s="3" t="str"/>
      <x:c r="Z862" s="27" t="str">
        <x:v>https://www.taladrod.com/w40/icar/cardet.aspx?cid=2924561</x:v>
      </x:c>
      <x:c r="AA862" s="3" t="str">
        <x:v>Taladrod個別広告ID／Carsome在庫ID</x:v>
      </x:c>
      <x:c r="AB862" s="3" t="str">
        <x:v>車台番号未取得／サイト間重複は未判定</x:v>
      </x:c>
      <x:c r="AC862" s="3" t="str">
        <x:v>税込区分未確認（一覧表示額）</x:v>
      </x:c>
      <x:c r="AD862" s="3" t="str"/>
      <x:c r="AE862" s="29" t="str">
        <x:f>""</x:f>
      </x:c>
      <x:c r="AF862" s="30" t="str">
        <x:f>IF(ISNUMBER(AE862),U862/AE862,"")</x:f>
      </x:c>
      <x:c r="AG862" s="29" t="str">
        <x:f>""</x:f>
      </x:c>
      <x:c r="AH862" s="30" t="str">
        <x:f>IF(ISNUMBER(AG862),U862/AG862,"")</x:f>
      </x:c>
      <x:c r="AI862" s="3" t="str">
        <x:v>同年式・グレードの検証済み当時価格なし／登録年混在</x:v>
      </x:c>
      <x:c r="AJ862" s="3" t="str">
        <x:v>一覧価格/年式のみ</x:v>
      </x:c>
      <x:c r="AK862" s="3" t="str">
        <x:v>一覧の表示価格。年式は掲載年式。</x:v>
      </x:c>
      <x:c r="AL862" s="31" t="n">
        <x:f>IF(AND(J862&lt;='分析方法'!$B$7,OR(ISBLANK(O862),O862&gt;='分析方法'!$B$8),X862&lt;&gt;"売却済み表示"),1,0)</x:f>
        <x:v>1</x:v>
      </x:c>
      <x:c r="AM862" s="32" t="n">
        <x:f>IF(AL862=1,U862,"")</x:f>
        <x:v>760000</x:v>
      </x:c>
      <x:c r="AN862" s="33" t="str">
        <x:f>IF(AL862=1,AF862,"")</x:f>
      </x:c>
      <x:c r="AO862" s="31" t="n">
        <x:f>'分析方法'!$B$6-J862</x:f>
        <x:v>3</x:v>
      </x:c>
      <x:c r="AP862" s="3"/>
    </x:row>
    <x:row r="863" ht="22" customHeight="1">
      <x:c r="A863" s="3" t="str">
        <x:v>T2893495</x:v>
      </x:c>
      <x:c r="B863" s="7" t="d">
        <x:v>2026-10-08T00:00:00.000Z</x:v>
      </x:c>
      <x:c r="C863" s="3" t="str">
        <x:v>Taladrod</x:v>
      </x:c>
      <x:c r="D863" s="3" t="str">
        <x:v>Toyota</x:v>
      </x:c>
      <x:c r="E863" s="3" t="str">
        <x:v>日本</x:v>
      </x:c>
      <x:c r="F863" s="3" t="str">
        <x:v>Hilux Revo</x:v>
      </x:c>
      <x:c r="G863" s="3" t="str">
        <x:v>ICE</x:v>
      </x:c>
      <x:c r="H863" s="3" t="str">
        <x:v>Pickup</x:v>
      </x:c>
      <x:c r="I863" s="3" t="str">
        <x:v>Single cab</x:v>
      </x:c>
      <x:c r="J863" s="3" t="n">
        <x:v>2023</x:v>
      </x:c>
      <x:c r="K863" s="3" t="str">
        <x:v>2.8 ENTRY 4WD STANDARD CAB</x:v>
      </x:c>
      <x:c r="L863" s="3" t="str">
        <x:v>2.8 ENTRY 4WD STANDARD CAB</x:v>
      </x:c>
      <x:c r="M863" s="22"/>
      <x:c r="N863" s="22"/>
      <x:c r="O863" s="22"/>
      <x:c r="P863" s="3" t="str">
        <x:v>未掲載</x:v>
      </x:c>
      <x:c r="Q863" s="3" t="str">
        <x:v>未取得</x:v>
      </x:c>
      <x:c r="R863" s="3" t="str">
        <x:v>Unknown</x:v>
      </x:c>
      <x:c r="S863" s="3" t="str">
        <x:v>不明</x:v>
      </x:c>
      <x:c r="T863" s="3" t="str">
        <x:v>世代不明</x:v>
      </x:c>
      <x:c r="U863" s="28" t="n">
        <x:v>569000</x:v>
      </x:c>
      <x:c r="V863" s="28"/>
      <x:c r="W863" s="3" t="str">
        <x:v>事故・水没・SOH・保証残は未確認</x:v>
      </x:c>
      <x:c r="X863" s="3" t="str">
        <x:v>掲載中・在庫未確認</x:v>
      </x:c>
      <x:c r="Y863" s="3" t="str"/>
      <x:c r="Z863" s="27" t="str">
        <x:v>https://www.taladrod.com/w40/icar/cardet.aspx?cid=2893495</x:v>
      </x:c>
      <x:c r="AA863" s="3" t="str">
        <x:v>Taladrod個別広告ID／Carsome在庫ID</x:v>
      </x:c>
      <x:c r="AB863" s="3" t="str">
        <x:v>車台番号未取得／サイト間重複は未判定</x:v>
      </x:c>
      <x:c r="AC863" s="3" t="str">
        <x:v>税込区分未確認（一覧表示額）</x:v>
      </x:c>
      <x:c r="AD863" s="3" t="str"/>
      <x:c r="AE863" s="29" t="str">
        <x:f>""</x:f>
      </x:c>
      <x:c r="AF863" s="30" t="str">
        <x:f>IF(ISNUMBER(AE863),U863/AE863,"")</x:f>
      </x:c>
      <x:c r="AG863" s="29" t="str">
        <x:f>""</x:f>
      </x:c>
      <x:c r="AH863" s="30" t="str">
        <x:f>IF(ISNUMBER(AG863),U863/AG863,"")</x:f>
      </x:c>
      <x:c r="AI863" s="3" t="str">
        <x:v>同年式・グレードの検証済み当時価格なし／登録年混在</x:v>
      </x:c>
      <x:c r="AJ863" s="3" t="str">
        <x:v>一覧価格/年式のみ</x:v>
      </x:c>
      <x:c r="AK863" s="3" t="str">
        <x:v>一覧の表示価格。年式は掲載年式。</x:v>
      </x:c>
      <x:c r="AL863" s="31" t="n">
        <x:f>IF(AND(J863&lt;='分析方法'!$B$7,OR(ISBLANK(O863),O863&gt;='分析方法'!$B$8),X863&lt;&gt;"売却済み表示"),1,0)</x:f>
        <x:v>1</x:v>
      </x:c>
      <x:c r="AM863" s="32" t="n">
        <x:f>IF(AL863=1,U863,"")</x:f>
        <x:v>569000</x:v>
      </x:c>
      <x:c r="AN863" s="33" t="str">
        <x:f>IF(AL863=1,AF863,"")</x:f>
      </x:c>
      <x:c r="AO863" s="31" t="n">
        <x:f>'分析方法'!$B$6-J863</x:f>
        <x:v>3</x:v>
      </x:c>
      <x:c r="AP863" s="3"/>
    </x:row>
    <x:row r="864" ht="22" customHeight="1">
      <x:c r="A864" s="3" t="str">
        <x:v>T2894124</x:v>
      </x:c>
      <x:c r="B864" s="7" t="d">
        <x:v>2026-10-08T00:00:00.000Z</x:v>
      </x:c>
      <x:c r="C864" s="3" t="str">
        <x:v>Taladrod</x:v>
      </x:c>
      <x:c r="D864" s="3" t="str">
        <x:v>Toyota</x:v>
      </x:c>
      <x:c r="E864" s="3" t="str">
        <x:v>日本</x:v>
      </x:c>
      <x:c r="F864" s="3" t="str">
        <x:v>Hilux Revo</x:v>
      </x:c>
      <x:c r="G864" s="3" t="str">
        <x:v>ICE</x:v>
      </x:c>
      <x:c r="H864" s="3" t="str">
        <x:v>Pickup</x:v>
      </x:c>
      <x:c r="I864" s="3" t="str">
        <x:v>Single cab</x:v>
      </x:c>
      <x:c r="J864" s="3" t="n">
        <x:v>2023</x:v>
      </x:c>
      <x:c r="K864" s="3" t="str">
        <x:v>2.8 ENTRY 4WD STANDARD CAB</x:v>
      </x:c>
      <x:c r="L864" s="3" t="str">
        <x:v>2.8 ENTRY 4WD STANDARD CAB</x:v>
      </x:c>
      <x:c r="M864" s="22"/>
      <x:c r="N864" s="22"/>
      <x:c r="O864" s="22"/>
      <x:c r="P864" s="3" t="str">
        <x:v>未掲載</x:v>
      </x:c>
      <x:c r="Q864" s="3" t="str">
        <x:v>未取得</x:v>
      </x:c>
      <x:c r="R864" s="3" t="str">
        <x:v>Unknown</x:v>
      </x:c>
      <x:c r="S864" s="3" t="str">
        <x:v>不明</x:v>
      </x:c>
      <x:c r="T864" s="3" t="str">
        <x:v>世代不明</x:v>
      </x:c>
      <x:c r="U864" s="28" t="n">
        <x:v>595000</x:v>
      </x:c>
      <x:c r="V864" s="28"/>
      <x:c r="W864" s="3" t="str">
        <x:v>事故・水没・SOH・保証残は未確認</x:v>
      </x:c>
      <x:c r="X864" s="3" t="str">
        <x:v>掲載中・在庫未確認</x:v>
      </x:c>
      <x:c r="Y864" s="3" t="str"/>
      <x:c r="Z864" s="27" t="str">
        <x:v>https://www.taladrod.com/w40/icar/cardet.aspx?cid=2894124</x:v>
      </x:c>
      <x:c r="AA864" s="3" t="str">
        <x:v>Taladrod個別広告ID／Carsome在庫ID</x:v>
      </x:c>
      <x:c r="AB864" s="3" t="str">
        <x:v>車台番号未取得／サイト間重複は未判定</x:v>
      </x:c>
      <x:c r="AC864" s="3" t="str">
        <x:v>税込区分未確認（一覧表示額）</x:v>
      </x:c>
      <x:c r="AD864" s="3" t="str"/>
      <x:c r="AE864" s="29" t="str">
        <x:f>""</x:f>
      </x:c>
      <x:c r="AF864" s="30" t="str">
        <x:f>IF(ISNUMBER(AE864),U864/AE864,"")</x:f>
      </x:c>
      <x:c r="AG864" s="29" t="str">
        <x:f>""</x:f>
      </x:c>
      <x:c r="AH864" s="30" t="str">
        <x:f>IF(ISNUMBER(AG864),U864/AG864,"")</x:f>
      </x:c>
      <x:c r="AI864" s="3" t="str">
        <x:v>同年式・グレードの検証済み当時価格なし／登録年混在</x:v>
      </x:c>
      <x:c r="AJ864" s="3" t="str">
        <x:v>一覧価格/年式のみ</x:v>
      </x:c>
      <x:c r="AK864" s="3" t="str">
        <x:v>一覧の表示価格。年式は掲載年式。</x:v>
      </x:c>
      <x:c r="AL864" s="31" t="n">
        <x:f>IF(AND(J864&lt;='分析方法'!$B$7,OR(ISBLANK(O864),O864&gt;='分析方法'!$B$8),X864&lt;&gt;"売却済み表示"),1,0)</x:f>
        <x:v>1</x:v>
      </x:c>
      <x:c r="AM864" s="32" t="n">
        <x:f>IF(AL864=1,U864,"")</x:f>
        <x:v>595000</x:v>
      </x:c>
      <x:c r="AN864" s="33" t="str">
        <x:f>IF(AL864=1,AF864,"")</x:f>
      </x:c>
      <x:c r="AO864" s="31" t="n">
        <x:f>'分析方法'!$B$6-J864</x:f>
        <x:v>3</x:v>
      </x:c>
      <x:c r="AP864" s="3"/>
    </x:row>
    <x:row r="865" ht="22" customHeight="1">
      <x:c r="A865" s="3" t="str">
        <x:v>T2900698</x:v>
      </x:c>
      <x:c r="B865" s="7" t="d">
        <x:v>2026-10-08T00:00:00.000Z</x:v>
      </x:c>
      <x:c r="C865" s="3" t="str">
        <x:v>Taladrod</x:v>
      </x:c>
      <x:c r="D865" s="3" t="str">
        <x:v>Toyota</x:v>
      </x:c>
      <x:c r="E865" s="3" t="str">
        <x:v>日本</x:v>
      </x:c>
      <x:c r="F865" s="3" t="str">
        <x:v>Hilux Revo</x:v>
      </x:c>
      <x:c r="G865" s="3" t="str">
        <x:v>ICE</x:v>
      </x:c>
      <x:c r="H865" s="3" t="str">
        <x:v>Pickup</x:v>
      </x:c>
      <x:c r="I865" s="3" t="str">
        <x:v>Single cab</x:v>
      </x:c>
      <x:c r="J865" s="3" t="n">
        <x:v>2023</x:v>
      </x:c>
      <x:c r="K865" s="3" t="str">
        <x:v>2.8 ENTRY STANDARD CAB</x:v>
      </x:c>
      <x:c r="L865" s="3" t="str">
        <x:v>2.8 ENTRY STANDARD CAB</x:v>
      </x:c>
      <x:c r="M865" s="22"/>
      <x:c r="N865" s="22"/>
      <x:c r="O865" s="22"/>
      <x:c r="P865" s="3" t="str">
        <x:v>未掲載</x:v>
      </x:c>
      <x:c r="Q865" s="3" t="str">
        <x:v>未取得</x:v>
      </x:c>
      <x:c r="R865" s="3" t="str">
        <x:v>Unknown</x:v>
      </x:c>
      <x:c r="S865" s="3" t="str">
        <x:v>不明</x:v>
      </x:c>
      <x:c r="T865" s="3" t="str">
        <x:v>世代不明</x:v>
      </x:c>
      <x:c r="U865" s="28" t="n">
        <x:v>450000</x:v>
      </x:c>
      <x:c r="V865" s="28"/>
      <x:c r="W865" s="3" t="str">
        <x:v>事故・水没・SOH・保証残は未確認</x:v>
      </x:c>
      <x:c r="X865" s="3" t="str">
        <x:v>掲載中・在庫未確認</x:v>
      </x:c>
      <x:c r="Y865" s="3" t="str"/>
      <x:c r="Z865" s="27" t="str">
        <x:v>https://www.taladrod.com/w40/icar/cardet.aspx?cid=2900698</x:v>
      </x:c>
      <x:c r="AA865" s="3" t="str">
        <x:v>Taladrod個別広告ID／Carsome在庫ID</x:v>
      </x:c>
      <x:c r="AB865" s="3" t="str">
        <x:v>車台番号未取得／サイト間重複は未判定</x:v>
      </x:c>
      <x:c r="AC865" s="3" t="str">
        <x:v>税込区分未確認（一覧表示額）</x:v>
      </x:c>
      <x:c r="AD865" s="3" t="str"/>
      <x:c r="AE865" s="29" t="str">
        <x:f>""</x:f>
      </x:c>
      <x:c r="AF865" s="30" t="str">
        <x:f>IF(ISNUMBER(AE865),U865/AE865,"")</x:f>
      </x:c>
      <x:c r="AG865" s="29" t="str">
        <x:f>""</x:f>
      </x:c>
      <x:c r="AH865" s="30" t="str">
        <x:f>IF(ISNUMBER(AG865),U865/AG865,"")</x:f>
      </x:c>
      <x:c r="AI865" s="3" t="str">
        <x:v>同年式・グレードの検証済み当時価格なし／登録年混在</x:v>
      </x:c>
      <x:c r="AJ865" s="3" t="str">
        <x:v>一覧価格/年式のみ</x:v>
      </x:c>
      <x:c r="AK865" s="3" t="str">
        <x:v>一覧の表示価格。年式は掲載年式。</x:v>
      </x:c>
      <x:c r="AL865" s="31" t="n">
        <x:f>IF(AND(J865&lt;='分析方法'!$B$7,OR(ISBLANK(O865),O865&gt;='分析方法'!$B$8),X865&lt;&gt;"売却済み表示"),1,0)</x:f>
        <x:v>1</x:v>
      </x:c>
      <x:c r="AM865" s="32" t="n">
        <x:f>IF(AL865=1,U865,"")</x:f>
        <x:v>450000</x:v>
      </x:c>
      <x:c r="AN865" s="33" t="str">
        <x:f>IF(AL865=1,AF865,"")</x:f>
      </x:c>
      <x:c r="AO865" s="31" t="n">
        <x:f>'分析方法'!$B$6-J865</x:f>
        <x:v>3</x:v>
      </x:c>
      <x:c r="AP865" s="3"/>
    </x:row>
    <x:row r="866" ht="22" customHeight="1">
      <x:c r="A866" s="3" t="str">
        <x:v>T2913267</x:v>
      </x:c>
      <x:c r="B866" s="7" t="d">
        <x:v>2026-10-08T00:00:00.000Z</x:v>
      </x:c>
      <x:c r="C866" s="3" t="str">
        <x:v>Taladrod</x:v>
      </x:c>
      <x:c r="D866" s="3" t="str">
        <x:v>Toyota</x:v>
      </x:c>
      <x:c r="E866" s="3" t="str">
        <x:v>日本</x:v>
      </x:c>
      <x:c r="F866" s="3" t="str">
        <x:v>Hilux Revo</x:v>
      </x:c>
      <x:c r="G866" s="3" t="str">
        <x:v>ICE</x:v>
      </x:c>
      <x:c r="H866" s="3" t="str">
        <x:v>Pickup</x:v>
      </x:c>
      <x:c r="I866" s="3" t="str">
        <x:v>Double cab</x:v>
      </x:c>
      <x:c r="J866" s="3" t="n">
        <x:v>2023</x:v>
      </x:c>
      <x:c r="K866" s="3" t="str">
        <x:v>2.8 HIGH 4WD DOUBLE CAB</x:v>
      </x:c>
      <x:c r="L866" s="3" t="str">
        <x:v>2.8 HIGH 4WD DOUBLE CAB</x:v>
      </x:c>
      <x:c r="M866" s="22"/>
      <x:c r="N866" s="22"/>
      <x:c r="O866" s="22"/>
      <x:c r="P866" s="3" t="str">
        <x:v>未掲載</x:v>
      </x:c>
      <x:c r="Q866" s="3" t="str">
        <x:v>未取得</x:v>
      </x:c>
      <x:c r="R866" s="3" t="str">
        <x:v>Unknown</x:v>
      </x:c>
      <x:c r="S866" s="3" t="str">
        <x:v>不明</x:v>
      </x:c>
      <x:c r="T866" s="3" t="str">
        <x:v>世代不明</x:v>
      </x:c>
      <x:c r="U866" s="28" t="n">
        <x:v>899000</x:v>
      </x:c>
      <x:c r="V866" s="28"/>
      <x:c r="W866" s="3" t="str">
        <x:v>事故・水没・SOH・保証残は未確認</x:v>
      </x:c>
      <x:c r="X866" s="3" t="str">
        <x:v>掲載中・在庫未確認</x:v>
      </x:c>
      <x:c r="Y866" s="3" t="str"/>
      <x:c r="Z866" s="27" t="str">
        <x:v>https://www.taladrod.com/w40/icar/cardet.aspx?cid=2913267</x:v>
      </x:c>
      <x:c r="AA866" s="3" t="str">
        <x:v>Taladrod個別広告ID／Carsome在庫ID</x:v>
      </x:c>
      <x:c r="AB866" s="3" t="str">
        <x:v>車台番号未取得／サイト間重複は未判定</x:v>
      </x:c>
      <x:c r="AC866" s="3" t="str">
        <x:v>税込区分未確認（一覧表示額）</x:v>
      </x:c>
      <x:c r="AD866" s="3" t="str"/>
      <x:c r="AE866" s="29" t="str">
        <x:f>""</x:f>
      </x:c>
      <x:c r="AF866" s="30" t="str">
        <x:f>IF(ISNUMBER(AE866),U866/AE866,"")</x:f>
      </x:c>
      <x:c r="AG866" s="29" t="str">
        <x:f>""</x:f>
      </x:c>
      <x:c r="AH866" s="30" t="str">
        <x:f>IF(ISNUMBER(AG866),U866/AG866,"")</x:f>
      </x:c>
      <x:c r="AI866" s="3" t="str">
        <x:v>同年式・グレードの検証済み当時価格なし／登録年混在</x:v>
      </x:c>
      <x:c r="AJ866" s="3" t="str">
        <x:v>一覧価格/年式のみ</x:v>
      </x:c>
      <x:c r="AK866" s="3" t="str">
        <x:v>一覧の表示価格。年式は掲載年式。</x:v>
      </x:c>
      <x:c r="AL866" s="31" t="n">
        <x:f>IF(AND(J866&lt;='分析方法'!$B$7,OR(ISBLANK(O866),O866&gt;='分析方法'!$B$8),X866&lt;&gt;"売却済み表示"),1,0)</x:f>
        <x:v>1</x:v>
      </x:c>
      <x:c r="AM866" s="32" t="n">
        <x:f>IF(AL866=1,U866,"")</x:f>
        <x:v>899000</x:v>
      </x:c>
      <x:c r="AN866" s="33" t="str">
        <x:f>IF(AL866=1,AF866,"")</x:f>
      </x:c>
      <x:c r="AO866" s="31" t="n">
        <x:f>'分析方法'!$B$6-J866</x:f>
        <x:v>3</x:v>
      </x:c>
      <x:c r="AP866" s="3"/>
    </x:row>
    <x:row r="867" ht="22" customHeight="1">
      <x:c r="A867" s="3" t="str">
        <x:v>T2899869</x:v>
      </x:c>
      <x:c r="B867" s="7" t="d">
        <x:v>2026-10-08T00:00:00.000Z</x:v>
      </x:c>
      <x:c r="C867" s="3" t="str">
        <x:v>Taladrod</x:v>
      </x:c>
      <x:c r="D867" s="3" t="str">
        <x:v>Toyota</x:v>
      </x:c>
      <x:c r="E867" s="3" t="str">
        <x:v>日本</x:v>
      </x:c>
      <x:c r="F867" s="3" t="str">
        <x:v>Hilux Revo</x:v>
      </x:c>
      <x:c r="G867" s="3" t="str">
        <x:v>ICE</x:v>
      </x:c>
      <x:c r="H867" s="3" t="str">
        <x:v>Pickup</x:v>
      </x:c>
      <x:c r="I867" s="3" t="str">
        <x:v>Smart cab</x:v>
      </x:c>
      <x:c r="J867" s="3" t="n">
        <x:v>2023</x:v>
      </x:c>
      <x:c r="K867" s="3" t="str">
        <x:v>2.8 HIGH 4WD SMART CAB</x:v>
      </x:c>
      <x:c r="L867" s="3" t="str">
        <x:v>2.8 HIGH 4WD SMART CAB</x:v>
      </x:c>
      <x:c r="M867" s="22"/>
      <x:c r="N867" s="22"/>
      <x:c r="O867" s="22"/>
      <x:c r="P867" s="3" t="str">
        <x:v>未掲載</x:v>
      </x:c>
      <x:c r="Q867" s="3" t="str">
        <x:v>未取得</x:v>
      </x:c>
      <x:c r="R867" s="3" t="str">
        <x:v>Unknown</x:v>
      </x:c>
      <x:c r="S867" s="3" t="str">
        <x:v>不明</x:v>
      </x:c>
      <x:c r="T867" s="3" t="str">
        <x:v>世代不明</x:v>
      </x:c>
      <x:c r="U867" s="28" t="n">
        <x:v>834000</x:v>
      </x:c>
      <x:c r="V867" s="28"/>
      <x:c r="W867" s="3" t="str">
        <x:v>事故・水没・SOH・保証残は未確認</x:v>
      </x:c>
      <x:c r="X867" s="3" t="str">
        <x:v>掲載中・在庫未確認</x:v>
      </x:c>
      <x:c r="Y867" s="3" t="str"/>
      <x:c r="Z867" s="27" t="str">
        <x:v>https://www.taladrod.com/w40/icar/cardet.aspx?cid=2899869</x:v>
      </x:c>
      <x:c r="AA867" s="3" t="str">
        <x:v>Taladrod個別広告ID／Carsome在庫ID</x:v>
      </x:c>
      <x:c r="AB867" s="3" t="str">
        <x:v>車台番号未取得／サイト間重複は未判定</x:v>
      </x:c>
      <x:c r="AC867" s="3" t="str">
        <x:v>税込区分未確認（一覧表示額）</x:v>
      </x:c>
      <x:c r="AD867" s="3" t="str"/>
      <x:c r="AE867" s="29" t="str">
        <x:f>""</x:f>
      </x:c>
      <x:c r="AF867" s="30" t="str">
        <x:f>IF(ISNUMBER(AE867),U867/AE867,"")</x:f>
      </x:c>
      <x:c r="AG867" s="29" t="str">
        <x:f>""</x:f>
      </x:c>
      <x:c r="AH867" s="30" t="str">
        <x:f>IF(ISNUMBER(AG867),U867/AG867,"")</x:f>
      </x:c>
      <x:c r="AI867" s="3" t="str">
        <x:v>同年式・グレードの検証済み当時価格なし／登録年混在</x:v>
      </x:c>
      <x:c r="AJ867" s="3" t="str">
        <x:v>一覧価格/年式のみ</x:v>
      </x:c>
      <x:c r="AK867" s="3" t="str">
        <x:v>一覧の表示価格。年式は掲載年式。</x:v>
      </x:c>
      <x:c r="AL867" s="31" t="n">
        <x:f>IF(AND(J867&lt;='分析方法'!$B$7,OR(ISBLANK(O867),O867&gt;='分析方法'!$B$8),X867&lt;&gt;"売却済み表示"),1,0)</x:f>
        <x:v>1</x:v>
      </x:c>
      <x:c r="AM867" s="32" t="n">
        <x:f>IF(AL867=1,U867,"")</x:f>
        <x:v>834000</x:v>
      </x:c>
      <x:c r="AN867" s="33" t="str">
        <x:f>IF(AL867=1,AF867,"")</x:f>
      </x:c>
      <x:c r="AO867" s="31" t="n">
        <x:f>'分析方法'!$B$6-J867</x:f>
        <x:v>3</x:v>
      </x:c>
      <x:c r="AP867" s="3"/>
    </x:row>
    <x:row r="868" ht="22" customHeight="1">
      <x:c r="A868" s="3" t="str">
        <x:v>T2920011</x:v>
      </x:c>
      <x:c r="B868" s="7" t="d">
        <x:v>2026-10-08T00:00:00.000Z</x:v>
      </x:c>
      <x:c r="C868" s="3" t="str">
        <x:v>Taladrod</x:v>
      </x:c>
      <x:c r="D868" s="3" t="str">
        <x:v>Toyota</x:v>
      </x:c>
      <x:c r="E868" s="3" t="str">
        <x:v>日本</x:v>
      </x:c>
      <x:c r="F868" s="3" t="str">
        <x:v>Hilux Revo</x:v>
      </x:c>
      <x:c r="G868" s="3" t="str">
        <x:v>ICE</x:v>
      </x:c>
      <x:c r="H868" s="3" t="str">
        <x:v>Pickup</x:v>
      </x:c>
      <x:c r="I868" s="3" t="str">
        <x:v>Double cab</x:v>
      </x:c>
      <x:c r="J868" s="3" t="n">
        <x:v>2024</x:v>
      </x:c>
      <x:c r="K868" s="3" t="str">
        <x:v>2.4 ENTRY PRERUNNER DOUBLE CAB</x:v>
      </x:c>
      <x:c r="L868" s="3" t="str">
        <x:v>2.4 ENTRY PRERUNNER DOUBLE CAB</x:v>
      </x:c>
      <x:c r="M868" s="22"/>
      <x:c r="N868" s="22"/>
      <x:c r="O868" s="22"/>
      <x:c r="P868" s="3" t="str">
        <x:v>未掲載</x:v>
      </x:c>
      <x:c r="Q868" s="3" t="str">
        <x:v>未取得</x:v>
      </x:c>
      <x:c r="R868" s="3" t="str">
        <x:v>Unknown</x:v>
      </x:c>
      <x:c r="S868" s="3" t="str">
        <x:v>不明</x:v>
      </x:c>
      <x:c r="T868" s="3" t="str">
        <x:v>世代不明</x:v>
      </x:c>
      <x:c r="U868" s="28" t="n">
        <x:v>699000</x:v>
      </x:c>
      <x:c r="V868" s="28"/>
      <x:c r="W868" s="3" t="str">
        <x:v>事故・水没・SOH・保証残は未確認</x:v>
      </x:c>
      <x:c r="X868" s="3" t="str">
        <x:v>掲載中・在庫未確認</x:v>
      </x:c>
      <x:c r="Y868" s="3" t="str"/>
      <x:c r="Z868" s="27" t="str">
        <x:v>https://www.taladrod.com/w40/icar/cardet.aspx?cid=2920011</x:v>
      </x:c>
      <x:c r="AA868" s="3" t="str">
        <x:v>Taladrod個別広告ID／Carsome在庫ID</x:v>
      </x:c>
      <x:c r="AB868" s="3" t="str">
        <x:v>車台番号未取得／サイト間重複は未判定</x:v>
      </x:c>
      <x:c r="AC868" s="3" t="str">
        <x:v>税込区分未確認（一覧表示額）</x:v>
      </x:c>
      <x:c r="AD868" s="3" t="str"/>
      <x:c r="AE868" s="29" t="str">
        <x:f>""</x:f>
      </x:c>
      <x:c r="AF868" s="30" t="str">
        <x:f>IF(ISNUMBER(AE868),U868/AE868,"")</x:f>
      </x:c>
      <x:c r="AG868" s="29" t="str">
        <x:f>""</x:f>
      </x:c>
      <x:c r="AH868" s="30" t="str">
        <x:f>IF(ISNUMBER(AG868),U868/AG868,"")</x:f>
      </x:c>
      <x:c r="AI868" s="3" t="str">
        <x:v>同年式・グレードの検証済み当時価格なし／登録年混在</x:v>
      </x:c>
      <x:c r="AJ868" s="3" t="str">
        <x:v>一覧価格/年式のみ</x:v>
      </x:c>
      <x:c r="AK868" s="3" t="str">
        <x:v>一覧の表示価格。年式は掲載年式。</x:v>
      </x:c>
      <x:c r="AL868" s="31" t="n">
        <x:f>IF(AND(J868&lt;='分析方法'!$B$7,OR(ISBLANK(O868),O868&gt;='分析方法'!$B$8),X868&lt;&gt;"売却済み表示"),1,0)</x:f>
        <x:v>1</x:v>
      </x:c>
      <x:c r="AM868" s="32" t="n">
        <x:f>IF(AL868=1,U868,"")</x:f>
        <x:v>699000</x:v>
      </x:c>
      <x:c r="AN868" s="33" t="str">
        <x:f>IF(AL868=1,AF868,"")</x:f>
      </x:c>
      <x:c r="AO868" s="31" t="n">
        <x:f>'分析方法'!$B$6-J868</x:f>
        <x:v>2</x:v>
      </x:c>
      <x:c r="AP868" s="3"/>
    </x:row>
    <x:row r="869" ht="22" customHeight="1">
      <x:c r="A869" s="3" t="str">
        <x:v>T2886178</x:v>
      </x:c>
      <x:c r="B869" s="7" t="d">
        <x:v>2026-10-08T00:00:00.000Z</x:v>
      </x:c>
      <x:c r="C869" s="3" t="str">
        <x:v>Taladrod</x:v>
      </x:c>
      <x:c r="D869" s="3" t="str">
        <x:v>Toyota</x:v>
      </x:c>
      <x:c r="E869" s="3" t="str">
        <x:v>日本</x:v>
      </x:c>
      <x:c r="F869" s="3" t="str">
        <x:v>Hilux Revo</x:v>
      </x:c>
      <x:c r="G869" s="3" t="str">
        <x:v>ICE</x:v>
      </x:c>
      <x:c r="H869" s="3" t="str">
        <x:v>Pickup</x:v>
      </x:c>
      <x:c r="I869" s="3" t="str">
        <x:v>Smart cab</x:v>
      </x:c>
      <x:c r="J869" s="3" t="n">
        <x:v>2024</x:v>
      </x:c>
      <x:c r="K869" s="3" t="str">
        <x:v>2.4 ENTRY PRERUNNER SMART CAB</x:v>
      </x:c>
      <x:c r="L869" s="3" t="str">
        <x:v>2.4 ENTRY PRERUNNER SMART CAB</x:v>
      </x:c>
      <x:c r="M869" s="22"/>
      <x:c r="N869" s="22"/>
      <x:c r="O869" s="22"/>
      <x:c r="P869" s="3" t="str">
        <x:v>未掲載</x:v>
      </x:c>
      <x:c r="Q869" s="3" t="str">
        <x:v>未取得</x:v>
      </x:c>
      <x:c r="R869" s="3" t="str">
        <x:v>Unknown</x:v>
      </x:c>
      <x:c r="S869" s="3" t="str">
        <x:v>不明</x:v>
      </x:c>
      <x:c r="T869" s="3" t="str">
        <x:v>世代不明</x:v>
      </x:c>
      <x:c r="U869" s="28" t="n">
        <x:v>519000</x:v>
      </x:c>
      <x:c r="V869" s="28"/>
      <x:c r="W869" s="3" t="str">
        <x:v>事故・水没・SOH・保証残は未確認</x:v>
      </x:c>
      <x:c r="X869" s="3" t="str">
        <x:v>掲載中・在庫未確認</x:v>
      </x:c>
      <x:c r="Y869" s="3" t="str"/>
      <x:c r="Z869" s="27" t="str">
        <x:v>https://www.taladrod.com/w40/icar/cardet.aspx?cid=2886178</x:v>
      </x:c>
      <x:c r="AA869" s="3" t="str">
        <x:v>Taladrod個別広告ID／Carsome在庫ID</x:v>
      </x:c>
      <x:c r="AB869" s="3" t="str">
        <x:v>車台番号未取得／サイト間重複は未判定</x:v>
      </x:c>
      <x:c r="AC869" s="3" t="str">
        <x:v>税込区分未確認（一覧表示額）</x:v>
      </x:c>
      <x:c r="AD869" s="3" t="str"/>
      <x:c r="AE869" s="29" t="str">
        <x:f>""</x:f>
      </x:c>
      <x:c r="AF869" s="30" t="str">
        <x:f>IF(ISNUMBER(AE869),U869/AE869,"")</x:f>
      </x:c>
      <x:c r="AG869" s="29" t="str">
        <x:f>""</x:f>
      </x:c>
      <x:c r="AH869" s="30" t="str">
        <x:f>IF(ISNUMBER(AG869),U869/AG869,"")</x:f>
      </x:c>
      <x:c r="AI869" s="3" t="str">
        <x:v>同年式・グレードの検証済み当時価格なし／登録年混在</x:v>
      </x:c>
      <x:c r="AJ869" s="3" t="str">
        <x:v>一覧価格/年式のみ</x:v>
      </x:c>
      <x:c r="AK869" s="3" t="str">
        <x:v>一覧の表示価格。年式は掲載年式。</x:v>
      </x:c>
      <x:c r="AL869" s="31" t="n">
        <x:f>IF(AND(J869&lt;='分析方法'!$B$7,OR(ISBLANK(O869),O869&gt;='分析方法'!$B$8),X869&lt;&gt;"売却済み表示"),1,0)</x:f>
        <x:v>1</x:v>
      </x:c>
      <x:c r="AM869" s="32" t="n">
        <x:f>IF(AL869=1,U869,"")</x:f>
        <x:v>519000</x:v>
      </x:c>
      <x:c r="AN869" s="33" t="str">
        <x:f>IF(AL869=1,AF869,"")</x:f>
      </x:c>
      <x:c r="AO869" s="31" t="n">
        <x:f>'分析方法'!$B$6-J869</x:f>
        <x:v>2</x:v>
      </x:c>
      <x:c r="AP869" s="3"/>
    </x:row>
    <x:row r="870" ht="22" customHeight="1">
      <x:c r="A870" s="3" t="str">
        <x:v>T2890608</x:v>
      </x:c>
      <x:c r="B870" s="7" t="d">
        <x:v>2026-10-08T00:00:00.000Z</x:v>
      </x:c>
      <x:c r="C870" s="3" t="str">
        <x:v>Taladrod</x:v>
      </x:c>
      <x:c r="D870" s="3" t="str">
        <x:v>Toyota</x:v>
      </x:c>
      <x:c r="E870" s="3" t="str">
        <x:v>日本</x:v>
      </x:c>
      <x:c r="F870" s="3" t="str">
        <x:v>Hilux Revo</x:v>
      </x:c>
      <x:c r="G870" s="3" t="str">
        <x:v>ICE</x:v>
      </x:c>
      <x:c r="H870" s="3" t="str">
        <x:v>Pickup</x:v>
      </x:c>
      <x:c r="I870" s="3" t="str">
        <x:v>Smart cab</x:v>
      </x:c>
      <x:c r="J870" s="3" t="n">
        <x:v>2024</x:v>
      </x:c>
      <x:c r="K870" s="3" t="str">
        <x:v>2.4 ENTRY PRERUNNER SMART CAB</x:v>
      </x:c>
      <x:c r="L870" s="3" t="str">
        <x:v>2.4 ENTRY PRERUNNER SMART CAB</x:v>
      </x:c>
      <x:c r="M870" s="22"/>
      <x:c r="N870" s="22"/>
      <x:c r="O870" s="22"/>
      <x:c r="P870" s="3" t="str">
        <x:v>未掲載</x:v>
      </x:c>
      <x:c r="Q870" s="3" t="str">
        <x:v>未取得</x:v>
      </x:c>
      <x:c r="R870" s="3" t="str">
        <x:v>Unknown</x:v>
      </x:c>
      <x:c r="S870" s="3" t="str">
        <x:v>不明</x:v>
      </x:c>
      <x:c r="T870" s="3" t="str">
        <x:v>世代不明</x:v>
      </x:c>
      <x:c r="U870" s="28" t="n">
        <x:v>565000</x:v>
      </x:c>
      <x:c r="V870" s="28"/>
      <x:c r="W870" s="3" t="str">
        <x:v>事故・水没・SOH・保証残は未確認</x:v>
      </x:c>
      <x:c r="X870" s="3" t="str">
        <x:v>掲載中・在庫未確認</x:v>
      </x:c>
      <x:c r="Y870" s="3" t="str"/>
      <x:c r="Z870" s="27" t="str">
        <x:v>https://www.taladrod.com/w40/icar/cardet.aspx?cid=2890608</x:v>
      </x:c>
      <x:c r="AA870" s="3" t="str">
        <x:v>Taladrod個別広告ID／Carsome在庫ID</x:v>
      </x:c>
      <x:c r="AB870" s="3" t="str">
        <x:v>車台番号未取得／サイト間重複は未判定</x:v>
      </x:c>
      <x:c r="AC870" s="3" t="str">
        <x:v>税込区分未確認（一覧表示額）</x:v>
      </x:c>
      <x:c r="AD870" s="3" t="str"/>
      <x:c r="AE870" s="29" t="str">
        <x:f>""</x:f>
      </x:c>
      <x:c r="AF870" s="30" t="str">
        <x:f>IF(ISNUMBER(AE870),U870/AE870,"")</x:f>
      </x:c>
      <x:c r="AG870" s="29" t="str">
        <x:f>""</x:f>
      </x:c>
      <x:c r="AH870" s="30" t="str">
        <x:f>IF(ISNUMBER(AG870),U870/AG870,"")</x:f>
      </x:c>
      <x:c r="AI870" s="3" t="str">
        <x:v>同年式・グレードの検証済み当時価格なし／登録年混在</x:v>
      </x:c>
      <x:c r="AJ870" s="3" t="str">
        <x:v>一覧価格/年式のみ</x:v>
      </x:c>
      <x:c r="AK870" s="3" t="str">
        <x:v>一覧の表示価格。年式は掲載年式。</x:v>
      </x:c>
      <x:c r="AL870" s="31" t="n">
        <x:f>IF(AND(J870&lt;='分析方法'!$B$7,OR(ISBLANK(O870),O870&gt;='分析方法'!$B$8),X870&lt;&gt;"売却済み表示"),1,0)</x:f>
        <x:v>1</x:v>
      </x:c>
      <x:c r="AM870" s="32" t="n">
        <x:f>IF(AL870=1,U870,"")</x:f>
        <x:v>565000</x:v>
      </x:c>
      <x:c r="AN870" s="33" t="str">
        <x:f>IF(AL870=1,AF870,"")</x:f>
      </x:c>
      <x:c r="AO870" s="31" t="n">
        <x:f>'分析方法'!$B$6-J870</x:f>
        <x:v>2</x:v>
      </x:c>
      <x:c r="AP870" s="3"/>
    </x:row>
    <x:row r="871" ht="22" customHeight="1">
      <x:c r="A871" s="3" t="str">
        <x:v>T2921220</x:v>
      </x:c>
      <x:c r="B871" s="7" t="d">
        <x:v>2026-10-08T00:00:00.000Z</x:v>
      </x:c>
      <x:c r="C871" s="3" t="str">
        <x:v>Taladrod</x:v>
      </x:c>
      <x:c r="D871" s="3" t="str">
        <x:v>Toyota</x:v>
      </x:c>
      <x:c r="E871" s="3" t="str">
        <x:v>日本</x:v>
      </x:c>
      <x:c r="F871" s="3" t="str">
        <x:v>Hilux Revo</x:v>
      </x:c>
      <x:c r="G871" s="3" t="str">
        <x:v>ICE</x:v>
      </x:c>
      <x:c r="H871" s="3" t="str">
        <x:v>Pickup</x:v>
      </x:c>
      <x:c r="I871" s="3" t="str">
        <x:v>Smart cab</x:v>
      </x:c>
      <x:c r="J871" s="3" t="n">
        <x:v>2024</x:v>
      </x:c>
      <x:c r="K871" s="3" t="str">
        <x:v>2.4 ENTRY PRERUNNER SMART CAB</x:v>
      </x:c>
      <x:c r="L871" s="3" t="str">
        <x:v>2.4 ENTRY PRERUNNER SMART CAB</x:v>
      </x:c>
      <x:c r="M871" s="22"/>
      <x:c r="N871" s="22"/>
      <x:c r="O871" s="22"/>
      <x:c r="P871" s="3" t="str">
        <x:v>未掲載</x:v>
      </x:c>
      <x:c r="Q871" s="3" t="str">
        <x:v>未取得</x:v>
      </x:c>
      <x:c r="R871" s="3" t="str">
        <x:v>Unknown</x:v>
      </x:c>
      <x:c r="S871" s="3" t="str">
        <x:v>不明</x:v>
      </x:c>
      <x:c r="T871" s="3" t="str">
        <x:v>世代不明</x:v>
      </x:c>
      <x:c r="U871" s="28" t="n">
        <x:v>565000</x:v>
      </x:c>
      <x:c r="V871" s="28"/>
      <x:c r="W871" s="3" t="str">
        <x:v>事故・水没・SOH・保証残は未確認</x:v>
      </x:c>
      <x:c r="X871" s="3" t="str">
        <x:v>掲載中・在庫未確認</x:v>
      </x:c>
      <x:c r="Y871" s="3" t="str"/>
      <x:c r="Z871" s="27" t="str">
        <x:v>https://www.taladrod.com/w40/icar/cardet.aspx?cid=2921220</x:v>
      </x:c>
      <x:c r="AA871" s="3" t="str">
        <x:v>Taladrod個別広告ID／Carsome在庫ID</x:v>
      </x:c>
      <x:c r="AB871" s="3" t="str">
        <x:v>車台番号未取得／サイト間重複は未判定</x:v>
      </x:c>
      <x:c r="AC871" s="3" t="str">
        <x:v>税込区分未確認（一覧表示額）</x:v>
      </x:c>
      <x:c r="AD871" s="3" t="str"/>
      <x:c r="AE871" s="29" t="str">
        <x:f>""</x:f>
      </x:c>
      <x:c r="AF871" s="30" t="str">
        <x:f>IF(ISNUMBER(AE871),U871/AE871,"")</x:f>
      </x:c>
      <x:c r="AG871" s="29" t="str">
        <x:f>""</x:f>
      </x:c>
      <x:c r="AH871" s="30" t="str">
        <x:f>IF(ISNUMBER(AG871),U871/AG871,"")</x:f>
      </x:c>
      <x:c r="AI871" s="3" t="str">
        <x:v>同年式・グレードの検証済み当時価格なし／登録年混在</x:v>
      </x:c>
      <x:c r="AJ871" s="3" t="str">
        <x:v>一覧価格/年式のみ</x:v>
      </x:c>
      <x:c r="AK871" s="3" t="str">
        <x:v>一覧の表示価格。年式は掲載年式。</x:v>
      </x:c>
      <x:c r="AL871" s="31" t="n">
        <x:f>IF(AND(J871&lt;='分析方法'!$B$7,OR(ISBLANK(O871),O871&gt;='分析方法'!$B$8),X871&lt;&gt;"売却済み表示"),1,0)</x:f>
        <x:v>1</x:v>
      </x:c>
      <x:c r="AM871" s="32" t="n">
        <x:f>IF(AL871=1,U871,"")</x:f>
        <x:v>565000</x:v>
      </x:c>
      <x:c r="AN871" s="33" t="str">
        <x:f>IF(AL871=1,AF871,"")</x:f>
      </x:c>
      <x:c r="AO871" s="31" t="n">
        <x:f>'分析方法'!$B$6-J871</x:f>
        <x:v>2</x:v>
      </x:c>
      <x:c r="AP871" s="3"/>
    </x:row>
    <x:row r="872" ht="22" customHeight="1">
      <x:c r="A872" s="3" t="str">
        <x:v>T2892350</x:v>
      </x:c>
      <x:c r="B872" s="7" t="d">
        <x:v>2026-10-08T00:00:00.000Z</x:v>
      </x:c>
      <x:c r="C872" s="3" t="str">
        <x:v>Taladrod</x:v>
      </x:c>
      <x:c r="D872" s="3" t="str">
        <x:v>Toyota</x:v>
      </x:c>
      <x:c r="E872" s="3" t="str">
        <x:v>日本</x:v>
      </x:c>
      <x:c r="F872" s="3" t="str">
        <x:v>Hilux Revo</x:v>
      </x:c>
      <x:c r="G872" s="3" t="str">
        <x:v>ICE</x:v>
      </x:c>
      <x:c r="H872" s="3" t="str">
        <x:v>Pickup</x:v>
      </x:c>
      <x:c r="I872" s="3" t="str">
        <x:v>Single cab</x:v>
      </x:c>
      <x:c r="J872" s="3" t="n">
        <x:v>2024</x:v>
      </x:c>
      <x:c r="K872" s="3" t="str">
        <x:v>2.4 ENTRY STANDARD CAB</x:v>
      </x:c>
      <x:c r="L872" s="3" t="str">
        <x:v>2.4 ENTRY STANDARD CAB</x:v>
      </x:c>
      <x:c r="M872" s="22"/>
      <x:c r="N872" s="22"/>
      <x:c r="O872" s="22"/>
      <x:c r="P872" s="3" t="str">
        <x:v>未掲載</x:v>
      </x:c>
      <x:c r="Q872" s="3" t="str">
        <x:v>未取得</x:v>
      </x:c>
      <x:c r="R872" s="3" t="str">
        <x:v>Unknown</x:v>
      </x:c>
      <x:c r="S872" s="3" t="str">
        <x:v>不明</x:v>
      </x:c>
      <x:c r="T872" s="3" t="str">
        <x:v>世代不明</x:v>
      </x:c>
      <x:c r="U872" s="28" t="n">
        <x:v>479000</x:v>
      </x:c>
      <x:c r="V872" s="28"/>
      <x:c r="W872" s="3" t="str">
        <x:v>事故・水没・SOH・保証残は未確認</x:v>
      </x:c>
      <x:c r="X872" s="3" t="str">
        <x:v>掲載中・在庫未確認</x:v>
      </x:c>
      <x:c r="Y872" s="3" t="str"/>
      <x:c r="Z872" s="27" t="str">
        <x:v>https://www.taladrod.com/w40/icar/cardet.aspx?cid=2892350</x:v>
      </x:c>
      <x:c r="AA872" s="3" t="str">
        <x:v>Taladrod個別広告ID／Carsome在庫ID</x:v>
      </x:c>
      <x:c r="AB872" s="3" t="str">
        <x:v>車台番号未取得／サイト間重複は未判定</x:v>
      </x:c>
      <x:c r="AC872" s="3" t="str">
        <x:v>税込区分未確認（一覧表示額）</x:v>
      </x:c>
      <x:c r="AD872" s="3" t="str"/>
      <x:c r="AE872" s="29" t="str">
        <x:f>""</x:f>
      </x:c>
      <x:c r="AF872" s="30" t="str">
        <x:f>IF(ISNUMBER(AE872),U872/AE872,"")</x:f>
      </x:c>
      <x:c r="AG872" s="29" t="str">
        <x:f>""</x:f>
      </x:c>
      <x:c r="AH872" s="30" t="str">
        <x:f>IF(ISNUMBER(AG872),U872/AG872,"")</x:f>
      </x:c>
      <x:c r="AI872" s="3" t="str">
        <x:v>同年式・グレードの検証済み当時価格なし／登録年混在</x:v>
      </x:c>
      <x:c r="AJ872" s="3" t="str">
        <x:v>一覧価格/年式のみ</x:v>
      </x:c>
      <x:c r="AK872" s="3" t="str">
        <x:v>一覧の表示価格。年式は掲載年式。</x:v>
      </x:c>
      <x:c r="AL872" s="31" t="n">
        <x:f>IF(AND(J872&lt;='分析方法'!$B$7,OR(ISBLANK(O872),O872&gt;='分析方法'!$B$8),X872&lt;&gt;"売却済み表示"),1,0)</x:f>
        <x:v>1</x:v>
      </x:c>
      <x:c r="AM872" s="32" t="n">
        <x:f>IF(AL872=1,U872,"")</x:f>
        <x:v>479000</x:v>
      </x:c>
      <x:c r="AN872" s="33" t="str">
        <x:f>IF(AL872=1,AF872,"")</x:f>
      </x:c>
      <x:c r="AO872" s="31" t="n">
        <x:f>'分析方法'!$B$6-J872</x:f>
        <x:v>2</x:v>
      </x:c>
      <x:c r="AP872" s="3"/>
    </x:row>
    <x:row r="873" ht="22" customHeight="1">
      <x:c r="A873" s="3" t="str">
        <x:v>T2894069</x:v>
      </x:c>
      <x:c r="B873" s="7" t="d">
        <x:v>2026-10-08T00:00:00.000Z</x:v>
      </x:c>
      <x:c r="C873" s="3" t="str">
        <x:v>Taladrod</x:v>
      </x:c>
      <x:c r="D873" s="3" t="str">
        <x:v>Toyota</x:v>
      </x:c>
      <x:c r="E873" s="3" t="str">
        <x:v>日本</x:v>
      </x:c>
      <x:c r="F873" s="3" t="str">
        <x:v>Hilux Revo</x:v>
      </x:c>
      <x:c r="G873" s="3" t="str">
        <x:v>ICE</x:v>
      </x:c>
      <x:c r="H873" s="3" t="str">
        <x:v>Pickup</x:v>
      </x:c>
      <x:c r="I873" s="3" t="str">
        <x:v>Single cab</x:v>
      </x:c>
      <x:c r="J873" s="3" t="n">
        <x:v>2024</x:v>
      </x:c>
      <x:c r="K873" s="3" t="str">
        <x:v>2.4 ENTRY STANDARD CAB</x:v>
      </x:c>
      <x:c r="L873" s="3" t="str">
        <x:v>2.4 ENTRY STANDARD CAB</x:v>
      </x:c>
      <x:c r="M873" s="22"/>
      <x:c r="N873" s="22"/>
      <x:c r="O873" s="22"/>
      <x:c r="P873" s="3" t="str">
        <x:v>未掲載</x:v>
      </x:c>
      <x:c r="Q873" s="3" t="str">
        <x:v>未取得</x:v>
      </x:c>
      <x:c r="R873" s="3" t="str">
        <x:v>Unknown</x:v>
      </x:c>
      <x:c r="S873" s="3" t="str">
        <x:v>不明</x:v>
      </x:c>
      <x:c r="T873" s="3" t="str">
        <x:v>世代不明</x:v>
      </x:c>
      <x:c r="U873" s="28" t="n">
        <x:v>399000</x:v>
      </x:c>
      <x:c r="V873" s="28"/>
      <x:c r="W873" s="3" t="str">
        <x:v>事故・水没・SOH・保証残は未確認</x:v>
      </x:c>
      <x:c r="X873" s="3" t="str">
        <x:v>掲載中・在庫未確認</x:v>
      </x:c>
      <x:c r="Y873" s="3" t="str"/>
      <x:c r="Z873" s="27" t="str">
        <x:v>https://www.taladrod.com/w40/icar/cardet.aspx?cid=2894069</x:v>
      </x:c>
      <x:c r="AA873" s="3" t="str">
        <x:v>Taladrod個別広告ID／Carsome在庫ID</x:v>
      </x:c>
      <x:c r="AB873" s="3" t="str">
        <x:v>車台番号未取得／サイト間重複は未判定</x:v>
      </x:c>
      <x:c r="AC873" s="3" t="str">
        <x:v>税込区分未確認（一覧表示額）</x:v>
      </x:c>
      <x:c r="AD873" s="3" t="str"/>
      <x:c r="AE873" s="29" t="str">
        <x:f>""</x:f>
      </x:c>
      <x:c r="AF873" s="30" t="str">
        <x:f>IF(ISNUMBER(AE873),U873/AE873,"")</x:f>
      </x:c>
      <x:c r="AG873" s="29" t="str">
        <x:f>""</x:f>
      </x:c>
      <x:c r="AH873" s="30" t="str">
        <x:f>IF(ISNUMBER(AG873),U873/AG873,"")</x:f>
      </x:c>
      <x:c r="AI873" s="3" t="str">
        <x:v>同年式・グレードの検証済み当時価格なし／登録年混在</x:v>
      </x:c>
      <x:c r="AJ873" s="3" t="str">
        <x:v>一覧価格/年式のみ</x:v>
      </x:c>
      <x:c r="AK873" s="3" t="str">
        <x:v>一覧の表示価格。年式は掲載年式。</x:v>
      </x:c>
      <x:c r="AL873" s="31" t="n">
        <x:f>IF(AND(J873&lt;='分析方法'!$B$7,OR(ISBLANK(O873),O873&gt;='分析方法'!$B$8),X873&lt;&gt;"売却済み表示"),1,0)</x:f>
        <x:v>1</x:v>
      </x:c>
      <x:c r="AM873" s="32" t="n">
        <x:f>IF(AL873=1,U873,"")</x:f>
        <x:v>399000</x:v>
      </x:c>
      <x:c r="AN873" s="33" t="str">
        <x:f>IF(AL873=1,AF873,"")</x:f>
      </x:c>
      <x:c r="AO873" s="31" t="n">
        <x:f>'分析方法'!$B$6-J873</x:f>
        <x:v>2</x:v>
      </x:c>
      <x:c r="AP873" s="3"/>
    </x:row>
    <x:row r="874" ht="22" customHeight="1">
      <x:c r="A874" s="3" t="str">
        <x:v>T2899538</x:v>
      </x:c>
      <x:c r="B874" s="7" t="d">
        <x:v>2026-10-08T00:00:00.000Z</x:v>
      </x:c>
      <x:c r="C874" s="3" t="str">
        <x:v>Taladrod</x:v>
      </x:c>
      <x:c r="D874" s="3" t="str">
        <x:v>Toyota</x:v>
      </x:c>
      <x:c r="E874" s="3" t="str">
        <x:v>日本</x:v>
      </x:c>
      <x:c r="F874" s="3" t="str">
        <x:v>Hilux Revo</x:v>
      </x:c>
      <x:c r="G874" s="3" t="str">
        <x:v>ICE</x:v>
      </x:c>
      <x:c r="H874" s="3" t="str">
        <x:v>Pickup</x:v>
      </x:c>
      <x:c r="I874" s="3" t="str">
        <x:v>Single cab</x:v>
      </x:c>
      <x:c r="J874" s="3" t="n">
        <x:v>2024</x:v>
      </x:c>
      <x:c r="K874" s="3" t="str">
        <x:v>2.4 ENTRY STANDARD CAB</x:v>
      </x:c>
      <x:c r="L874" s="3" t="str">
        <x:v>2.4 ENTRY STANDARD CAB</x:v>
      </x:c>
      <x:c r="M874" s="22"/>
      <x:c r="N874" s="22"/>
      <x:c r="O874" s="22"/>
      <x:c r="P874" s="3" t="str">
        <x:v>未掲載</x:v>
      </x:c>
      <x:c r="Q874" s="3" t="str">
        <x:v>未取得</x:v>
      </x:c>
      <x:c r="R874" s="3" t="str">
        <x:v>Unknown</x:v>
      </x:c>
      <x:c r="S874" s="3" t="str">
        <x:v>不明</x:v>
      </x:c>
      <x:c r="T874" s="3" t="str">
        <x:v>世代不明</x:v>
      </x:c>
      <x:c r="U874" s="28" t="n">
        <x:v>375000</x:v>
      </x:c>
      <x:c r="V874" s="28"/>
      <x:c r="W874" s="3" t="str">
        <x:v>事故・水没・SOH・保証残は未確認</x:v>
      </x:c>
      <x:c r="X874" s="3" t="str">
        <x:v>掲載中・在庫未確認</x:v>
      </x:c>
      <x:c r="Y874" s="3" t="str"/>
      <x:c r="Z874" s="27" t="str">
        <x:v>https://www.taladrod.com/w40/icar/cardet.aspx?cid=2899538</x:v>
      </x:c>
      <x:c r="AA874" s="3" t="str">
        <x:v>Taladrod個別広告ID／Carsome在庫ID</x:v>
      </x:c>
      <x:c r="AB874" s="3" t="str">
        <x:v>車台番号未取得／サイト間重複は未判定</x:v>
      </x:c>
      <x:c r="AC874" s="3" t="str">
        <x:v>税込区分未確認（一覧表示額）</x:v>
      </x:c>
      <x:c r="AD874" s="3" t="str"/>
      <x:c r="AE874" s="29" t="str">
        <x:f>""</x:f>
      </x:c>
      <x:c r="AF874" s="30" t="str">
        <x:f>IF(ISNUMBER(AE874),U874/AE874,"")</x:f>
      </x:c>
      <x:c r="AG874" s="29" t="str">
        <x:f>""</x:f>
      </x:c>
      <x:c r="AH874" s="30" t="str">
        <x:f>IF(ISNUMBER(AG874),U874/AG874,"")</x:f>
      </x:c>
      <x:c r="AI874" s="3" t="str">
        <x:v>同年式・グレードの検証済み当時価格なし／登録年混在</x:v>
      </x:c>
      <x:c r="AJ874" s="3" t="str">
        <x:v>一覧価格/年式のみ</x:v>
      </x:c>
      <x:c r="AK874" s="3" t="str">
        <x:v>一覧の表示価格。年式は掲載年式。</x:v>
      </x:c>
      <x:c r="AL874" s="31" t="n">
        <x:f>IF(AND(J874&lt;='分析方法'!$B$7,OR(ISBLANK(O874),O874&gt;='分析方法'!$B$8),X874&lt;&gt;"売却済み表示"),1,0)</x:f>
        <x:v>1</x:v>
      </x:c>
      <x:c r="AM874" s="32" t="n">
        <x:f>IF(AL874=1,U874,"")</x:f>
        <x:v>375000</x:v>
      </x:c>
      <x:c r="AN874" s="33" t="str">
        <x:f>IF(AL874=1,AF874,"")</x:f>
      </x:c>
      <x:c r="AO874" s="31" t="n">
        <x:f>'分析方法'!$B$6-J874</x:f>
        <x:v>2</x:v>
      </x:c>
      <x:c r="AP874" s="3"/>
    </x:row>
    <x:row r="875" ht="22" customHeight="1">
      <x:c r="A875" s="3" t="str">
        <x:v>T2907408</x:v>
      </x:c>
      <x:c r="B875" s="7" t="d">
        <x:v>2026-10-08T00:00:00.000Z</x:v>
      </x:c>
      <x:c r="C875" s="3" t="str">
        <x:v>Taladrod</x:v>
      </x:c>
      <x:c r="D875" s="3" t="str">
        <x:v>Toyota</x:v>
      </x:c>
      <x:c r="E875" s="3" t="str">
        <x:v>日本</x:v>
      </x:c>
      <x:c r="F875" s="3" t="str">
        <x:v>Hilux Revo</x:v>
      </x:c>
      <x:c r="G875" s="3" t="str">
        <x:v>ICE</x:v>
      </x:c>
      <x:c r="H875" s="3" t="str">
        <x:v>Pickup</x:v>
      </x:c>
      <x:c r="I875" s="3" t="str">
        <x:v>Single cab</x:v>
      </x:c>
      <x:c r="J875" s="3" t="n">
        <x:v>2024</x:v>
      </x:c>
      <x:c r="K875" s="3" t="str">
        <x:v>2.4 ENTRY STANDARD CAB</x:v>
      </x:c>
      <x:c r="L875" s="3" t="str">
        <x:v>2.4 ENTRY STANDARD CAB</x:v>
      </x:c>
      <x:c r="M875" s="22"/>
      <x:c r="N875" s="22"/>
      <x:c r="O875" s="22"/>
      <x:c r="P875" s="3" t="str">
        <x:v>未掲載</x:v>
      </x:c>
      <x:c r="Q875" s="3" t="str">
        <x:v>未取得</x:v>
      </x:c>
      <x:c r="R875" s="3" t="str">
        <x:v>Unknown</x:v>
      </x:c>
      <x:c r="S875" s="3" t="str">
        <x:v>不明</x:v>
      </x:c>
      <x:c r="T875" s="3" t="str">
        <x:v>世代不明</x:v>
      </x:c>
      <x:c r="U875" s="28" t="n">
        <x:v>419000</x:v>
      </x:c>
      <x:c r="V875" s="28"/>
      <x:c r="W875" s="3" t="str">
        <x:v>事故・水没・SOH・保証残は未確認</x:v>
      </x:c>
      <x:c r="X875" s="3" t="str">
        <x:v>掲載中・在庫未確認</x:v>
      </x:c>
      <x:c r="Y875" s="3" t="str"/>
      <x:c r="Z875" s="27" t="str">
        <x:v>https://www.taladrod.com/w40/icar/cardet.aspx?cid=2907408</x:v>
      </x:c>
      <x:c r="AA875" s="3" t="str">
        <x:v>Taladrod個別広告ID／Carsome在庫ID</x:v>
      </x:c>
      <x:c r="AB875" s="3" t="str">
        <x:v>車台番号未取得／サイト間重複は未判定</x:v>
      </x:c>
      <x:c r="AC875" s="3" t="str">
        <x:v>税込区分未確認（一覧表示額）</x:v>
      </x:c>
      <x:c r="AD875" s="3" t="str"/>
      <x:c r="AE875" s="29" t="str">
        <x:f>""</x:f>
      </x:c>
      <x:c r="AF875" s="30" t="str">
        <x:f>IF(ISNUMBER(AE875),U875/AE875,"")</x:f>
      </x:c>
      <x:c r="AG875" s="29" t="str">
        <x:f>""</x:f>
      </x:c>
      <x:c r="AH875" s="30" t="str">
        <x:f>IF(ISNUMBER(AG875),U875/AG875,"")</x:f>
      </x:c>
      <x:c r="AI875" s="3" t="str">
        <x:v>同年式・グレードの検証済み当時価格なし／登録年混在</x:v>
      </x:c>
      <x:c r="AJ875" s="3" t="str">
        <x:v>一覧価格/年式のみ</x:v>
      </x:c>
      <x:c r="AK875" s="3" t="str">
        <x:v>一覧の表示価格。年式は掲載年式。</x:v>
      </x:c>
      <x:c r="AL875" s="31" t="n">
        <x:f>IF(AND(J875&lt;='分析方法'!$B$7,OR(ISBLANK(O875),O875&gt;='分析方法'!$B$8),X875&lt;&gt;"売却済み表示"),1,0)</x:f>
        <x:v>1</x:v>
      </x:c>
      <x:c r="AM875" s="32" t="n">
        <x:f>IF(AL875=1,U875,"")</x:f>
        <x:v>419000</x:v>
      </x:c>
      <x:c r="AN875" s="33" t="str">
        <x:f>IF(AL875=1,AF875,"")</x:f>
      </x:c>
      <x:c r="AO875" s="31" t="n">
        <x:f>'分析方法'!$B$6-J875</x:f>
        <x:v>2</x:v>
      </x:c>
      <x:c r="AP875" s="3"/>
    </x:row>
    <x:row r="876" ht="22" customHeight="1">
      <x:c r="A876" s="3" t="str">
        <x:v>T2908574</x:v>
      </x:c>
      <x:c r="B876" s="7" t="d">
        <x:v>2026-10-08T00:00:00.000Z</x:v>
      </x:c>
      <x:c r="C876" s="3" t="str">
        <x:v>Taladrod</x:v>
      </x:c>
      <x:c r="D876" s="3" t="str">
        <x:v>Toyota</x:v>
      </x:c>
      <x:c r="E876" s="3" t="str">
        <x:v>日本</x:v>
      </x:c>
      <x:c r="F876" s="3" t="str">
        <x:v>Hilux Revo</x:v>
      </x:c>
      <x:c r="G876" s="3" t="str">
        <x:v>ICE</x:v>
      </x:c>
      <x:c r="H876" s="3" t="str">
        <x:v>Pickup</x:v>
      </x:c>
      <x:c r="I876" s="3" t="str">
        <x:v>Single cab</x:v>
      </x:c>
      <x:c r="J876" s="3" t="n">
        <x:v>2024</x:v>
      </x:c>
      <x:c r="K876" s="3" t="str">
        <x:v>2.4 ENTRY STANDARD CAB</x:v>
      </x:c>
      <x:c r="L876" s="3" t="str">
        <x:v>2.4 ENTRY STANDARD CAB</x:v>
      </x:c>
      <x:c r="M876" s="22"/>
      <x:c r="N876" s="22"/>
      <x:c r="O876" s="22"/>
      <x:c r="P876" s="3" t="str">
        <x:v>未掲載</x:v>
      </x:c>
      <x:c r="Q876" s="3" t="str">
        <x:v>未取得</x:v>
      </x:c>
      <x:c r="R876" s="3" t="str">
        <x:v>Unknown</x:v>
      </x:c>
      <x:c r="S876" s="3" t="str">
        <x:v>不明</x:v>
      </x:c>
      <x:c r="T876" s="3" t="str">
        <x:v>世代不明</x:v>
      </x:c>
      <x:c r="U876" s="28" t="n">
        <x:v>479000</x:v>
      </x:c>
      <x:c r="V876" s="28"/>
      <x:c r="W876" s="3" t="str">
        <x:v>事故・水没・SOH・保証残は未確認</x:v>
      </x:c>
      <x:c r="X876" s="3" t="str">
        <x:v>掲載中・在庫未確認</x:v>
      </x:c>
      <x:c r="Y876" s="3" t="str"/>
      <x:c r="Z876" s="27" t="str">
        <x:v>https://www.taladrod.com/w40/icar/cardet.aspx?cid=2908574</x:v>
      </x:c>
      <x:c r="AA876" s="3" t="str">
        <x:v>Taladrod個別広告ID／Carsome在庫ID</x:v>
      </x:c>
      <x:c r="AB876" s="3" t="str">
        <x:v>車台番号未取得／サイト間重複は未判定</x:v>
      </x:c>
      <x:c r="AC876" s="3" t="str">
        <x:v>税込区分未確認（一覧表示額）</x:v>
      </x:c>
      <x:c r="AD876" s="3" t="str"/>
      <x:c r="AE876" s="29" t="str">
        <x:f>""</x:f>
      </x:c>
      <x:c r="AF876" s="30" t="str">
        <x:f>IF(ISNUMBER(AE876),U876/AE876,"")</x:f>
      </x:c>
      <x:c r="AG876" s="29" t="str">
        <x:f>""</x:f>
      </x:c>
      <x:c r="AH876" s="30" t="str">
        <x:f>IF(ISNUMBER(AG876),U876/AG876,"")</x:f>
      </x:c>
      <x:c r="AI876" s="3" t="str">
        <x:v>同年式・グレードの検証済み当時価格なし／登録年混在</x:v>
      </x:c>
      <x:c r="AJ876" s="3" t="str">
        <x:v>一覧価格/年式のみ</x:v>
      </x:c>
      <x:c r="AK876" s="3" t="str">
        <x:v>一覧の表示価格。年式は掲載年式。</x:v>
      </x:c>
      <x:c r="AL876" s="31" t="n">
        <x:f>IF(AND(J876&lt;='分析方法'!$B$7,OR(ISBLANK(O876),O876&gt;='分析方法'!$B$8),X876&lt;&gt;"売却済み表示"),1,0)</x:f>
        <x:v>1</x:v>
      </x:c>
      <x:c r="AM876" s="32" t="n">
        <x:f>IF(AL876=1,U876,"")</x:f>
        <x:v>479000</x:v>
      </x:c>
      <x:c r="AN876" s="33" t="str">
        <x:f>IF(AL876=1,AF876,"")</x:f>
      </x:c>
      <x:c r="AO876" s="31" t="n">
        <x:f>'分析方法'!$B$6-J876</x:f>
        <x:v>2</x:v>
      </x:c>
      <x:c r="AP876" s="3"/>
    </x:row>
    <x:row r="877" ht="22" customHeight="1">
      <x:c r="A877" s="3" t="str">
        <x:v>T2919237</x:v>
      </x:c>
      <x:c r="B877" s="7" t="d">
        <x:v>2026-10-08T00:00:00.000Z</x:v>
      </x:c>
      <x:c r="C877" s="3" t="str">
        <x:v>Taladrod</x:v>
      </x:c>
      <x:c r="D877" s="3" t="str">
        <x:v>Toyota</x:v>
      </x:c>
      <x:c r="E877" s="3" t="str">
        <x:v>日本</x:v>
      </x:c>
      <x:c r="F877" s="3" t="str">
        <x:v>Hilux Revo</x:v>
      </x:c>
      <x:c r="G877" s="3" t="str">
        <x:v>ICE</x:v>
      </x:c>
      <x:c r="H877" s="3" t="str">
        <x:v>Pickup</x:v>
      </x:c>
      <x:c r="I877" s="3" t="str">
        <x:v>Double cab</x:v>
      </x:c>
      <x:c r="J877" s="3" t="n">
        <x:v>2024</x:v>
      </x:c>
      <x:c r="K877" s="3" t="str">
        <x:v>2.4 ENTRY Z EDITION DOUBLE CAB</x:v>
      </x:c>
      <x:c r="L877" s="3" t="str">
        <x:v>2.4 ENTRY Z EDITION DOUBLE CAB</x:v>
      </x:c>
      <x:c r="M877" s="22"/>
      <x:c r="N877" s="22"/>
      <x:c r="O877" s="22"/>
      <x:c r="P877" s="3" t="str">
        <x:v>未掲載</x:v>
      </x:c>
      <x:c r="Q877" s="3" t="str">
        <x:v>未取得</x:v>
      </x:c>
      <x:c r="R877" s="3" t="str">
        <x:v>Unknown</x:v>
      </x:c>
      <x:c r="S877" s="3" t="str">
        <x:v>不明</x:v>
      </x:c>
      <x:c r="T877" s="3" t="str">
        <x:v>世代不明</x:v>
      </x:c>
      <x:c r="U877" s="28" t="n">
        <x:v>529000</x:v>
      </x:c>
      <x:c r="V877" s="28"/>
      <x:c r="W877" s="3" t="str">
        <x:v>事故・水没・SOH・保証残は未確認</x:v>
      </x:c>
      <x:c r="X877" s="3" t="str">
        <x:v>掲載中・在庫未確認</x:v>
      </x:c>
      <x:c r="Y877" s="3" t="str"/>
      <x:c r="Z877" s="27" t="str">
        <x:v>https://www.taladrod.com/w40/icar/cardet.aspx?cid=2919237</x:v>
      </x:c>
      <x:c r="AA877" s="3" t="str">
        <x:v>Taladrod個別広告ID／Carsome在庫ID</x:v>
      </x:c>
      <x:c r="AB877" s="3" t="str">
        <x:v>車台番号未取得／サイト間重複は未判定</x:v>
      </x:c>
      <x:c r="AC877" s="3" t="str">
        <x:v>税込区分未確認（一覧表示額）</x:v>
      </x:c>
      <x:c r="AD877" s="3" t="str"/>
      <x:c r="AE877" s="29" t="str">
        <x:f>""</x:f>
      </x:c>
      <x:c r="AF877" s="30" t="str">
        <x:f>IF(ISNUMBER(AE877),U877/AE877,"")</x:f>
      </x:c>
      <x:c r="AG877" s="29" t="str">
        <x:f>""</x:f>
      </x:c>
      <x:c r="AH877" s="30" t="str">
        <x:f>IF(ISNUMBER(AG877),U877/AG877,"")</x:f>
      </x:c>
      <x:c r="AI877" s="3" t="str">
        <x:v>同年式・グレードの検証済み当時価格なし／登録年混在</x:v>
      </x:c>
      <x:c r="AJ877" s="3" t="str">
        <x:v>一覧価格/年式のみ</x:v>
      </x:c>
      <x:c r="AK877" s="3" t="str">
        <x:v>一覧の表示価格。年式は掲載年式。</x:v>
      </x:c>
      <x:c r="AL877" s="31" t="n">
        <x:f>IF(AND(J877&lt;='分析方法'!$B$7,OR(ISBLANK(O877),O877&gt;='分析方法'!$B$8),X877&lt;&gt;"売却済み表示"),1,0)</x:f>
        <x:v>1</x:v>
      </x:c>
      <x:c r="AM877" s="32" t="n">
        <x:f>IF(AL877=1,U877,"")</x:f>
        <x:v>529000</x:v>
      </x:c>
      <x:c r="AN877" s="33" t="str">
        <x:f>IF(AL877=1,AF877,"")</x:f>
      </x:c>
      <x:c r="AO877" s="31" t="n">
        <x:f>'分析方法'!$B$6-J877</x:f>
        <x:v>2</x:v>
      </x:c>
      <x:c r="AP877" s="3"/>
    </x:row>
    <x:row r="878" ht="22" customHeight="1">
      <x:c r="A878" s="3" t="str">
        <x:v>T2919239</x:v>
      </x:c>
      <x:c r="B878" s="7" t="d">
        <x:v>2026-10-08T00:00:00.000Z</x:v>
      </x:c>
      <x:c r="C878" s="3" t="str">
        <x:v>Taladrod</x:v>
      </x:c>
      <x:c r="D878" s="3" t="str">
        <x:v>Toyota</x:v>
      </x:c>
      <x:c r="E878" s="3" t="str">
        <x:v>日本</x:v>
      </x:c>
      <x:c r="F878" s="3" t="str">
        <x:v>Hilux Revo</x:v>
      </x:c>
      <x:c r="G878" s="3" t="str">
        <x:v>ICE</x:v>
      </x:c>
      <x:c r="H878" s="3" t="str">
        <x:v>Pickup</x:v>
      </x:c>
      <x:c r="I878" s="3" t="str">
        <x:v>Double cab</x:v>
      </x:c>
      <x:c r="J878" s="3" t="n">
        <x:v>2024</x:v>
      </x:c>
      <x:c r="K878" s="3" t="str">
        <x:v>2.4 ENTRY Z EDITION DOUBLE CAB</x:v>
      </x:c>
      <x:c r="L878" s="3" t="str">
        <x:v>2.4 ENTRY Z EDITION DOUBLE CAB</x:v>
      </x:c>
      <x:c r="M878" s="22"/>
      <x:c r="N878" s="22"/>
      <x:c r="O878" s="22"/>
      <x:c r="P878" s="3" t="str">
        <x:v>未掲載</x:v>
      </x:c>
      <x:c r="Q878" s="3" t="str">
        <x:v>未取得</x:v>
      </x:c>
      <x:c r="R878" s="3" t="str">
        <x:v>Unknown</x:v>
      </x:c>
      <x:c r="S878" s="3" t="str">
        <x:v>不明</x:v>
      </x:c>
      <x:c r="T878" s="3" t="str">
        <x:v>世代不明</x:v>
      </x:c>
      <x:c r="U878" s="28" t="n">
        <x:v>589000</x:v>
      </x:c>
      <x:c r="V878" s="28"/>
      <x:c r="W878" s="3" t="str">
        <x:v>事故・水没・SOH・保証残は未確認</x:v>
      </x:c>
      <x:c r="X878" s="3" t="str">
        <x:v>掲載中・在庫未確認</x:v>
      </x:c>
      <x:c r="Y878" s="3" t="str"/>
      <x:c r="Z878" s="27" t="str">
        <x:v>https://www.taladrod.com/w40/icar/cardet.aspx?cid=2919239</x:v>
      </x:c>
      <x:c r="AA878" s="3" t="str">
        <x:v>Taladrod個別広告ID／Carsome在庫ID</x:v>
      </x:c>
      <x:c r="AB878" s="3" t="str">
        <x:v>車台番号未取得／サイト間重複は未判定</x:v>
      </x:c>
      <x:c r="AC878" s="3" t="str">
        <x:v>税込区分未確認（一覧表示額）</x:v>
      </x:c>
      <x:c r="AD878" s="3" t="str"/>
      <x:c r="AE878" s="29" t="str">
        <x:f>""</x:f>
      </x:c>
      <x:c r="AF878" s="30" t="str">
        <x:f>IF(ISNUMBER(AE878),U878/AE878,"")</x:f>
      </x:c>
      <x:c r="AG878" s="29" t="str">
        <x:f>""</x:f>
      </x:c>
      <x:c r="AH878" s="30" t="str">
        <x:f>IF(ISNUMBER(AG878),U878/AG878,"")</x:f>
      </x:c>
      <x:c r="AI878" s="3" t="str">
        <x:v>同年式・グレードの検証済み当時価格なし／登録年混在</x:v>
      </x:c>
      <x:c r="AJ878" s="3" t="str">
        <x:v>一覧価格/年式のみ</x:v>
      </x:c>
      <x:c r="AK878" s="3" t="str">
        <x:v>一覧の表示価格。年式は掲載年式。</x:v>
      </x:c>
      <x:c r="AL878" s="31" t="n">
        <x:f>IF(AND(J878&lt;='分析方法'!$B$7,OR(ISBLANK(O878),O878&gt;='分析方法'!$B$8),X878&lt;&gt;"売却済み表示"),1,0)</x:f>
        <x:v>1</x:v>
      </x:c>
      <x:c r="AM878" s="32" t="n">
        <x:f>IF(AL878=1,U878,"")</x:f>
        <x:v>589000</x:v>
      </x:c>
      <x:c r="AN878" s="33" t="str">
        <x:f>IF(AL878=1,AF878,"")</x:f>
      </x:c>
      <x:c r="AO878" s="31" t="n">
        <x:f>'分析方法'!$B$6-J878</x:f>
        <x:v>2</x:v>
      </x:c>
      <x:c r="AP878" s="3"/>
    </x:row>
    <x:row r="879" ht="22" customHeight="1">
      <x:c r="A879" s="3" t="str">
        <x:v>T2920679</x:v>
      </x:c>
      <x:c r="B879" s="7" t="d">
        <x:v>2026-10-08T00:00:00.000Z</x:v>
      </x:c>
      <x:c r="C879" s="3" t="str">
        <x:v>Taladrod</x:v>
      </x:c>
      <x:c r="D879" s="3" t="str">
        <x:v>Toyota</x:v>
      </x:c>
      <x:c r="E879" s="3" t="str">
        <x:v>日本</x:v>
      </x:c>
      <x:c r="F879" s="3" t="str">
        <x:v>Hilux Revo</x:v>
      </x:c>
      <x:c r="G879" s="3" t="str">
        <x:v>ICE</x:v>
      </x:c>
      <x:c r="H879" s="3" t="str">
        <x:v>Pickup</x:v>
      </x:c>
      <x:c r="I879" s="3" t="str">
        <x:v>Double cab</x:v>
      </x:c>
      <x:c r="J879" s="3" t="n">
        <x:v>2024</x:v>
      </x:c>
      <x:c r="K879" s="3" t="str">
        <x:v>2.4 ENTRY Z EDITION DOUBLE CAB</x:v>
      </x:c>
      <x:c r="L879" s="3" t="str">
        <x:v>2.4 ENTRY Z EDITION DOUBLE CAB</x:v>
      </x:c>
      <x:c r="M879" s="22"/>
      <x:c r="N879" s="22"/>
      <x:c r="O879" s="22"/>
      <x:c r="P879" s="3" t="str">
        <x:v>未掲載</x:v>
      </x:c>
      <x:c r="Q879" s="3" t="str">
        <x:v>未取得</x:v>
      </x:c>
      <x:c r="R879" s="3" t="str">
        <x:v>Unknown</x:v>
      </x:c>
      <x:c r="S879" s="3" t="str">
        <x:v>不明</x:v>
      </x:c>
      <x:c r="T879" s="3" t="str">
        <x:v>世代不明</x:v>
      </x:c>
      <x:c r="U879" s="28" t="n">
        <x:v>468000</x:v>
      </x:c>
      <x:c r="V879" s="28"/>
      <x:c r="W879" s="3" t="str">
        <x:v>事故・水没・SOH・保証残は未確認</x:v>
      </x:c>
      <x:c r="X879" s="3" t="str">
        <x:v>掲載中・在庫未確認</x:v>
      </x:c>
      <x:c r="Y879" s="3" t="str"/>
      <x:c r="Z879" s="27" t="str">
        <x:v>https://www.taladrod.com/w40/icar/cardet.aspx?cid=2920679</x:v>
      </x:c>
      <x:c r="AA879" s="3" t="str">
        <x:v>Taladrod個別広告ID／Carsome在庫ID</x:v>
      </x:c>
      <x:c r="AB879" s="3" t="str">
        <x:v>車台番号未取得／サイト間重複は未判定</x:v>
      </x:c>
      <x:c r="AC879" s="3" t="str">
        <x:v>税込区分未確認（一覧表示額）</x:v>
      </x:c>
      <x:c r="AD879" s="3" t="str"/>
      <x:c r="AE879" s="29" t="str">
        <x:f>""</x:f>
      </x:c>
      <x:c r="AF879" s="30" t="str">
        <x:f>IF(ISNUMBER(AE879),U879/AE879,"")</x:f>
      </x:c>
      <x:c r="AG879" s="29" t="str">
        <x:f>""</x:f>
      </x:c>
      <x:c r="AH879" s="30" t="str">
        <x:f>IF(ISNUMBER(AG879),U879/AG879,"")</x:f>
      </x:c>
      <x:c r="AI879" s="3" t="str">
        <x:v>同年式・グレードの検証済み当時価格なし／登録年混在</x:v>
      </x:c>
      <x:c r="AJ879" s="3" t="str">
        <x:v>一覧価格/年式のみ</x:v>
      </x:c>
      <x:c r="AK879" s="3" t="str">
        <x:v>一覧の表示価格。年式は掲載年式。</x:v>
      </x:c>
      <x:c r="AL879" s="31" t="n">
        <x:f>IF(AND(J879&lt;='分析方法'!$B$7,OR(ISBLANK(O879),O879&gt;='分析方法'!$B$8),X879&lt;&gt;"売却済み表示"),1,0)</x:f>
        <x:v>1</x:v>
      </x:c>
      <x:c r="AM879" s="32" t="n">
        <x:f>IF(AL879=1,U879,"")</x:f>
        <x:v>468000</x:v>
      </x:c>
      <x:c r="AN879" s="33" t="str">
        <x:f>IF(AL879=1,AF879,"")</x:f>
      </x:c>
      <x:c r="AO879" s="31" t="n">
        <x:f>'分析方法'!$B$6-J879</x:f>
        <x:v>2</x:v>
      </x:c>
      <x:c r="AP879" s="3"/>
    </x:row>
    <x:row r="880" ht="22" customHeight="1">
      <x:c r="A880" s="3" t="str">
        <x:v>T2887574</x:v>
      </x:c>
      <x:c r="B880" s="7" t="d">
        <x:v>2026-10-08T00:00:00.000Z</x:v>
      </x:c>
      <x:c r="C880" s="3" t="str">
        <x:v>Taladrod</x:v>
      </x:c>
      <x:c r="D880" s="3" t="str">
        <x:v>Toyota</x:v>
      </x:c>
      <x:c r="E880" s="3" t="str">
        <x:v>日本</x:v>
      </x:c>
      <x:c r="F880" s="3" t="str">
        <x:v>Hilux Revo</x:v>
      </x:c>
      <x:c r="G880" s="3" t="str">
        <x:v>ICE</x:v>
      </x:c>
      <x:c r="H880" s="3" t="str">
        <x:v>Pickup</x:v>
      </x:c>
      <x:c r="I880" s="3" t="str">
        <x:v>Smart cab</x:v>
      </x:c>
      <x:c r="J880" s="3" t="n">
        <x:v>2024</x:v>
      </x:c>
      <x:c r="K880" s="3" t="str">
        <x:v>2.4 ENTRY Z EDITION SMART CAB</x:v>
      </x:c>
      <x:c r="L880" s="3" t="str">
        <x:v>2.4 ENTRY Z EDITION SMART CAB</x:v>
      </x:c>
      <x:c r="M880" s="22"/>
      <x:c r="N880" s="22"/>
      <x:c r="O880" s="22"/>
      <x:c r="P880" s="3" t="str">
        <x:v>未掲載</x:v>
      </x:c>
      <x:c r="Q880" s="3" t="str">
        <x:v>未取得</x:v>
      </x:c>
      <x:c r="R880" s="3" t="str">
        <x:v>Unknown</x:v>
      </x:c>
      <x:c r="S880" s="3" t="str">
        <x:v>不明</x:v>
      </x:c>
      <x:c r="T880" s="3" t="str">
        <x:v>世代不明</x:v>
      </x:c>
      <x:c r="U880" s="28" t="n">
        <x:v>364000</x:v>
      </x:c>
      <x:c r="V880" s="28"/>
      <x:c r="W880" s="3" t="str">
        <x:v>事故・水没・SOH・保証残は未確認</x:v>
      </x:c>
      <x:c r="X880" s="3" t="str">
        <x:v>掲載中・在庫未確認</x:v>
      </x:c>
      <x:c r="Y880" s="3" t="str"/>
      <x:c r="Z880" s="27" t="str">
        <x:v>https://www.taladrod.com/w40/icar/cardet.aspx?cid=2887574</x:v>
      </x:c>
      <x:c r="AA880" s="3" t="str">
        <x:v>Taladrod個別広告ID／Carsome在庫ID</x:v>
      </x:c>
      <x:c r="AB880" s="3" t="str">
        <x:v>車台番号未取得／サイト間重複は未判定</x:v>
      </x:c>
      <x:c r="AC880" s="3" t="str">
        <x:v>税込区分未確認（一覧表示額）</x:v>
      </x:c>
      <x:c r="AD880" s="3" t="str"/>
      <x:c r="AE880" s="29" t="str">
        <x:f>""</x:f>
      </x:c>
      <x:c r="AF880" s="30" t="str">
        <x:f>IF(ISNUMBER(AE880),U880/AE880,"")</x:f>
      </x:c>
      <x:c r="AG880" s="29" t="str">
        <x:f>""</x:f>
      </x:c>
      <x:c r="AH880" s="30" t="str">
        <x:f>IF(ISNUMBER(AG880),U880/AG880,"")</x:f>
      </x:c>
      <x:c r="AI880" s="3" t="str">
        <x:v>同年式・グレードの検証済み当時価格なし／登録年混在</x:v>
      </x:c>
      <x:c r="AJ880" s="3" t="str">
        <x:v>一覧価格/年式のみ</x:v>
      </x:c>
      <x:c r="AK880" s="3" t="str">
        <x:v>一覧の表示価格。年式は掲載年式。</x:v>
      </x:c>
      <x:c r="AL880" s="31" t="n">
        <x:f>IF(AND(J880&lt;='分析方法'!$B$7,OR(ISBLANK(O880),O880&gt;='分析方法'!$B$8),X880&lt;&gt;"売却済み表示"),1,0)</x:f>
        <x:v>1</x:v>
      </x:c>
      <x:c r="AM880" s="32" t="n">
        <x:f>IF(AL880=1,U880,"")</x:f>
        <x:v>364000</x:v>
      </x:c>
      <x:c r="AN880" s="33" t="str">
        <x:f>IF(AL880=1,AF880,"")</x:f>
      </x:c>
      <x:c r="AO880" s="31" t="n">
        <x:f>'分析方法'!$B$6-J880</x:f>
        <x:v>2</x:v>
      </x:c>
      <x:c r="AP880" s="3"/>
    </x:row>
    <x:row r="881" ht="22" customHeight="1">
      <x:c r="A881" s="3" t="str">
        <x:v>T2894274</x:v>
      </x:c>
      <x:c r="B881" s="7" t="d">
        <x:v>2026-10-08T00:00:00.000Z</x:v>
      </x:c>
      <x:c r="C881" s="3" t="str">
        <x:v>Taladrod</x:v>
      </x:c>
      <x:c r="D881" s="3" t="str">
        <x:v>Toyota</x:v>
      </x:c>
      <x:c r="E881" s="3" t="str">
        <x:v>日本</x:v>
      </x:c>
      <x:c r="F881" s="3" t="str">
        <x:v>Hilux Revo</x:v>
      </x:c>
      <x:c r="G881" s="3" t="str">
        <x:v>ICE</x:v>
      </x:c>
      <x:c r="H881" s="3" t="str">
        <x:v>Pickup</x:v>
      </x:c>
      <x:c r="I881" s="3" t="str">
        <x:v>Smart cab</x:v>
      </x:c>
      <x:c r="J881" s="3" t="n">
        <x:v>2024</x:v>
      </x:c>
      <x:c r="K881" s="3" t="str">
        <x:v>2.4 ENTRY Z EDITION SMART CAB</x:v>
      </x:c>
      <x:c r="L881" s="3" t="str">
        <x:v>2.4 ENTRY Z EDITION SMART CAB</x:v>
      </x:c>
      <x:c r="M881" s="22"/>
      <x:c r="N881" s="22"/>
      <x:c r="O881" s="22"/>
      <x:c r="P881" s="3" t="str">
        <x:v>未掲載</x:v>
      </x:c>
      <x:c r="Q881" s="3" t="str">
        <x:v>未取得</x:v>
      </x:c>
      <x:c r="R881" s="3" t="str">
        <x:v>Unknown</x:v>
      </x:c>
      <x:c r="S881" s="3" t="str">
        <x:v>不明</x:v>
      </x:c>
      <x:c r="T881" s="3" t="str">
        <x:v>世代不明</x:v>
      </x:c>
      <x:c r="U881" s="28" t="n">
        <x:v>399000</x:v>
      </x:c>
      <x:c r="V881" s="28"/>
      <x:c r="W881" s="3" t="str">
        <x:v>事故・水没・SOH・保証残は未確認</x:v>
      </x:c>
      <x:c r="X881" s="3" t="str">
        <x:v>掲載中・在庫未確認</x:v>
      </x:c>
      <x:c r="Y881" s="3" t="str"/>
      <x:c r="Z881" s="27" t="str">
        <x:v>https://www.taladrod.com/w40/icar/cardet.aspx?cid=2894274</x:v>
      </x:c>
      <x:c r="AA881" s="3" t="str">
        <x:v>Taladrod個別広告ID／Carsome在庫ID</x:v>
      </x:c>
      <x:c r="AB881" s="3" t="str">
        <x:v>車台番号未取得／サイト間重複は未判定</x:v>
      </x:c>
      <x:c r="AC881" s="3" t="str">
        <x:v>税込区分未確認（一覧表示額）</x:v>
      </x:c>
      <x:c r="AD881" s="3" t="str"/>
      <x:c r="AE881" s="29" t="str">
        <x:f>""</x:f>
      </x:c>
      <x:c r="AF881" s="30" t="str">
        <x:f>IF(ISNUMBER(AE881),U881/AE881,"")</x:f>
      </x:c>
      <x:c r="AG881" s="29" t="str">
        <x:f>""</x:f>
      </x:c>
      <x:c r="AH881" s="30" t="str">
        <x:f>IF(ISNUMBER(AG881),U881/AG881,"")</x:f>
      </x:c>
      <x:c r="AI881" s="3" t="str">
        <x:v>同年式・グレードの検証済み当時価格なし／登録年混在</x:v>
      </x:c>
      <x:c r="AJ881" s="3" t="str">
        <x:v>一覧価格/年式のみ</x:v>
      </x:c>
      <x:c r="AK881" s="3" t="str">
        <x:v>一覧の表示価格。年式は掲載年式。</x:v>
      </x:c>
      <x:c r="AL881" s="31" t="n">
        <x:f>IF(AND(J881&lt;='分析方法'!$B$7,OR(ISBLANK(O881),O881&gt;='分析方法'!$B$8),X881&lt;&gt;"売却済み表示"),1,0)</x:f>
        <x:v>1</x:v>
      </x:c>
      <x:c r="AM881" s="32" t="n">
        <x:f>IF(AL881=1,U881,"")</x:f>
        <x:v>399000</x:v>
      </x:c>
      <x:c r="AN881" s="33" t="str">
        <x:f>IF(AL881=1,AF881,"")</x:f>
      </x:c>
      <x:c r="AO881" s="31" t="n">
        <x:f>'分析方法'!$B$6-J881</x:f>
        <x:v>2</x:v>
      </x:c>
      <x:c r="AP881" s="3"/>
    </x:row>
    <x:row r="882" ht="22" customHeight="1">
      <x:c r="A882" s="3" t="str">
        <x:v>T2922562</x:v>
      </x:c>
      <x:c r="B882" s="7" t="d">
        <x:v>2026-10-08T00:00:00.000Z</x:v>
      </x:c>
      <x:c r="C882" s="3" t="str">
        <x:v>Taladrod</x:v>
      </x:c>
      <x:c r="D882" s="3" t="str">
        <x:v>Toyota</x:v>
      </x:c>
      <x:c r="E882" s="3" t="str">
        <x:v>日本</x:v>
      </x:c>
      <x:c r="F882" s="3" t="str">
        <x:v>Hilux Revo</x:v>
      </x:c>
      <x:c r="G882" s="3" t="str">
        <x:v>ICE</x:v>
      </x:c>
      <x:c r="H882" s="3" t="str">
        <x:v>Pickup</x:v>
      </x:c>
      <x:c r="I882" s="3" t="str">
        <x:v>Double cab</x:v>
      </x:c>
      <x:c r="J882" s="3" t="n">
        <x:v>2024</x:v>
      </x:c>
      <x:c r="K882" s="3" t="str">
        <x:v>2.4 HIGH PRERUNNER DOUBLE CAB</x:v>
      </x:c>
      <x:c r="L882" s="3" t="str">
        <x:v>2.4 HIGH PRERUNNER DOUBLE CAB</x:v>
      </x:c>
      <x:c r="M882" s="22"/>
      <x:c r="N882" s="22"/>
      <x:c r="O882" s="22"/>
      <x:c r="P882" s="3" t="str">
        <x:v>未掲載</x:v>
      </x:c>
      <x:c r="Q882" s="3" t="str">
        <x:v>未取得</x:v>
      </x:c>
      <x:c r="R882" s="3" t="str">
        <x:v>Unknown</x:v>
      </x:c>
      <x:c r="S882" s="3" t="str">
        <x:v>不明</x:v>
      </x:c>
      <x:c r="T882" s="3" t="str">
        <x:v>世代不明</x:v>
      </x:c>
      <x:c r="U882" s="28" t="n">
        <x:v>799000</x:v>
      </x:c>
      <x:c r="V882" s="28"/>
      <x:c r="W882" s="3" t="str">
        <x:v>事故・水没・SOH・保証残は未確認</x:v>
      </x:c>
      <x:c r="X882" s="3" t="str">
        <x:v>掲載中・在庫未確認</x:v>
      </x:c>
      <x:c r="Y882" s="3" t="str"/>
      <x:c r="Z882" s="27" t="str">
        <x:v>https://www.taladrod.com/w40/icar/cardet.aspx?cid=2922562</x:v>
      </x:c>
      <x:c r="AA882" s="3" t="str">
        <x:v>Taladrod個別広告ID／Carsome在庫ID</x:v>
      </x:c>
      <x:c r="AB882" s="3" t="str">
        <x:v>車台番号未取得／サイト間重複は未判定</x:v>
      </x:c>
      <x:c r="AC882" s="3" t="str">
        <x:v>税込区分未確認（一覧表示額）</x:v>
      </x:c>
      <x:c r="AD882" s="3" t="str"/>
      <x:c r="AE882" s="29" t="str">
        <x:f>""</x:f>
      </x:c>
      <x:c r="AF882" s="30" t="str">
        <x:f>IF(ISNUMBER(AE882),U882/AE882,"")</x:f>
      </x:c>
      <x:c r="AG882" s="29" t="str">
        <x:f>""</x:f>
      </x:c>
      <x:c r="AH882" s="30" t="str">
        <x:f>IF(ISNUMBER(AG882),U882/AG882,"")</x:f>
      </x:c>
      <x:c r="AI882" s="3" t="str">
        <x:v>同年式・グレードの検証済み当時価格なし／登録年混在</x:v>
      </x:c>
      <x:c r="AJ882" s="3" t="str">
        <x:v>一覧価格/年式のみ</x:v>
      </x:c>
      <x:c r="AK882" s="3" t="str">
        <x:v>一覧の表示価格。年式は掲載年式。</x:v>
      </x:c>
      <x:c r="AL882" s="31" t="n">
        <x:f>IF(AND(J882&lt;='分析方法'!$B$7,OR(ISBLANK(O882),O882&gt;='分析方法'!$B$8),X882&lt;&gt;"売却済み表示"),1,0)</x:f>
        <x:v>1</x:v>
      </x:c>
      <x:c r="AM882" s="32" t="n">
        <x:f>IF(AL882=1,U882,"")</x:f>
        <x:v>799000</x:v>
      </x:c>
      <x:c r="AN882" s="33" t="str">
        <x:f>IF(AL882=1,AF882,"")</x:f>
      </x:c>
      <x:c r="AO882" s="31" t="n">
        <x:f>'分析方法'!$B$6-J882</x:f>
        <x:v>2</x:v>
      </x:c>
      <x:c r="AP882" s="3"/>
    </x:row>
    <x:row r="883" ht="22" customHeight="1">
      <x:c r="A883" s="3" t="str">
        <x:v>T2894462</x:v>
      </x:c>
      <x:c r="B883" s="7" t="d">
        <x:v>2026-10-08T00:00:00.000Z</x:v>
      </x:c>
      <x:c r="C883" s="3" t="str">
        <x:v>Taladrod</x:v>
      </x:c>
      <x:c r="D883" s="3" t="str">
        <x:v>Toyota</x:v>
      </x:c>
      <x:c r="E883" s="3" t="str">
        <x:v>日本</x:v>
      </x:c>
      <x:c r="F883" s="3" t="str">
        <x:v>Hilux Revo</x:v>
      </x:c>
      <x:c r="G883" s="3" t="str">
        <x:v>ICE</x:v>
      </x:c>
      <x:c r="H883" s="3" t="str">
        <x:v>Pickup</x:v>
      </x:c>
      <x:c r="I883" s="3" t="str">
        <x:v>Double cab</x:v>
      </x:c>
      <x:c r="J883" s="3" t="n">
        <x:v>2024</x:v>
      </x:c>
      <x:c r="K883" s="3" t="str">
        <x:v>2.4 MID PRERUNNER DOUBLE CAB</x:v>
      </x:c>
      <x:c r="L883" s="3" t="str">
        <x:v>2.4 MID PRERUNNER DOUBLE CAB</x:v>
      </x:c>
      <x:c r="M883" s="22"/>
      <x:c r="N883" s="22"/>
      <x:c r="O883" s="22"/>
      <x:c r="P883" s="3" t="str">
        <x:v>未掲載</x:v>
      </x:c>
      <x:c r="Q883" s="3" t="str">
        <x:v>未取得</x:v>
      </x:c>
      <x:c r="R883" s="3" t="str">
        <x:v>Unknown</x:v>
      </x:c>
      <x:c r="S883" s="3" t="str">
        <x:v>不明</x:v>
      </x:c>
      <x:c r="T883" s="3" t="str">
        <x:v>世代不明</x:v>
      </x:c>
      <x:c r="U883" s="28" t="n">
        <x:v>719000</x:v>
      </x:c>
      <x:c r="V883" s="28"/>
      <x:c r="W883" s="3" t="str">
        <x:v>事故・水没・SOH・保証残は未確認</x:v>
      </x:c>
      <x:c r="X883" s="3" t="str">
        <x:v>掲載中・在庫未確認</x:v>
      </x:c>
      <x:c r="Y883" s="3" t="str"/>
      <x:c r="Z883" s="27" t="str">
        <x:v>https://www.taladrod.com/w40/icar/cardet.aspx?cid=2894462</x:v>
      </x:c>
      <x:c r="AA883" s="3" t="str">
        <x:v>Taladrod個別広告ID／Carsome在庫ID</x:v>
      </x:c>
      <x:c r="AB883" s="3" t="str">
        <x:v>車台番号未取得／サイト間重複は未判定</x:v>
      </x:c>
      <x:c r="AC883" s="3" t="str">
        <x:v>税込区分未確認（一覧表示額）</x:v>
      </x:c>
      <x:c r="AD883" s="3" t="str"/>
      <x:c r="AE883" s="29" t="str">
        <x:f>""</x:f>
      </x:c>
      <x:c r="AF883" s="30" t="str">
        <x:f>IF(ISNUMBER(AE883),U883/AE883,"")</x:f>
      </x:c>
      <x:c r="AG883" s="29" t="str">
        <x:f>""</x:f>
      </x:c>
      <x:c r="AH883" s="30" t="str">
        <x:f>IF(ISNUMBER(AG883),U883/AG883,"")</x:f>
      </x:c>
      <x:c r="AI883" s="3" t="str">
        <x:v>同年式・グレードの検証済み当時価格なし／登録年混在</x:v>
      </x:c>
      <x:c r="AJ883" s="3" t="str">
        <x:v>一覧価格/年式のみ</x:v>
      </x:c>
      <x:c r="AK883" s="3" t="str">
        <x:v>一覧の表示価格。年式は掲載年式。</x:v>
      </x:c>
      <x:c r="AL883" s="31" t="n">
        <x:f>IF(AND(J883&lt;='分析方法'!$B$7,OR(ISBLANK(O883),O883&gt;='分析方法'!$B$8),X883&lt;&gt;"売却済み表示"),1,0)</x:f>
        <x:v>1</x:v>
      </x:c>
      <x:c r="AM883" s="32" t="n">
        <x:f>IF(AL883=1,U883,"")</x:f>
        <x:v>719000</x:v>
      </x:c>
      <x:c r="AN883" s="33" t="str">
        <x:f>IF(AL883=1,AF883,"")</x:f>
      </x:c>
      <x:c r="AO883" s="31" t="n">
        <x:f>'分析方法'!$B$6-J883</x:f>
        <x:v>2</x:v>
      </x:c>
      <x:c r="AP883" s="3"/>
    </x:row>
    <x:row r="884" ht="22" customHeight="1">
      <x:c r="A884" s="3" t="str">
        <x:v>T2894722</x:v>
      </x:c>
      <x:c r="B884" s="7" t="d">
        <x:v>2026-10-08T00:00:00.000Z</x:v>
      </x:c>
      <x:c r="C884" s="3" t="str">
        <x:v>Taladrod</x:v>
      </x:c>
      <x:c r="D884" s="3" t="str">
        <x:v>Toyota</x:v>
      </x:c>
      <x:c r="E884" s="3" t="str">
        <x:v>日本</x:v>
      </x:c>
      <x:c r="F884" s="3" t="str">
        <x:v>Hilux Revo</x:v>
      </x:c>
      <x:c r="G884" s="3" t="str">
        <x:v>ICE</x:v>
      </x:c>
      <x:c r="H884" s="3" t="str">
        <x:v>Pickup</x:v>
      </x:c>
      <x:c r="I884" s="3" t="str">
        <x:v>Double cab</x:v>
      </x:c>
      <x:c r="J884" s="3" t="n">
        <x:v>2024</x:v>
      </x:c>
      <x:c r="K884" s="3" t="str">
        <x:v>2.4 MID PRERUNNER DOUBLE CAB</x:v>
      </x:c>
      <x:c r="L884" s="3" t="str">
        <x:v>2.4 MID PRERUNNER DOUBLE CAB</x:v>
      </x:c>
      <x:c r="M884" s="22"/>
      <x:c r="N884" s="22"/>
      <x:c r="O884" s="22"/>
      <x:c r="P884" s="3" t="str">
        <x:v>未掲載</x:v>
      </x:c>
      <x:c r="Q884" s="3" t="str">
        <x:v>未取得</x:v>
      </x:c>
      <x:c r="R884" s="3" t="str">
        <x:v>Unknown</x:v>
      </x:c>
      <x:c r="S884" s="3" t="str">
        <x:v>不明</x:v>
      </x:c>
      <x:c r="T884" s="3" t="str">
        <x:v>世代不明</x:v>
      </x:c>
      <x:c r="U884" s="28" t="n">
        <x:v>755000</x:v>
      </x:c>
      <x:c r="V884" s="28"/>
      <x:c r="W884" s="3" t="str">
        <x:v>事故・水没・SOH・保証残は未確認</x:v>
      </x:c>
      <x:c r="X884" s="3" t="str">
        <x:v>掲載中・在庫未確認</x:v>
      </x:c>
      <x:c r="Y884" s="3" t="str"/>
      <x:c r="Z884" s="27" t="str">
        <x:v>https://www.taladrod.com/w40/icar/cardet.aspx?cid=2894722</x:v>
      </x:c>
      <x:c r="AA884" s="3" t="str">
        <x:v>Taladrod個別広告ID／Carsome在庫ID</x:v>
      </x:c>
      <x:c r="AB884" s="3" t="str">
        <x:v>車台番号未取得／サイト間重複は未判定</x:v>
      </x:c>
      <x:c r="AC884" s="3" t="str">
        <x:v>税込区分未確認（一覧表示額）</x:v>
      </x:c>
      <x:c r="AD884" s="3" t="str"/>
      <x:c r="AE884" s="29" t="str">
        <x:f>""</x:f>
      </x:c>
      <x:c r="AF884" s="30" t="str">
        <x:f>IF(ISNUMBER(AE884),U884/AE884,"")</x:f>
      </x:c>
      <x:c r="AG884" s="29" t="str">
        <x:f>""</x:f>
      </x:c>
      <x:c r="AH884" s="30" t="str">
        <x:f>IF(ISNUMBER(AG884),U884/AG884,"")</x:f>
      </x:c>
      <x:c r="AI884" s="3" t="str">
        <x:v>同年式・グレードの検証済み当時価格なし／登録年混在</x:v>
      </x:c>
      <x:c r="AJ884" s="3" t="str">
        <x:v>一覧価格/年式のみ</x:v>
      </x:c>
      <x:c r="AK884" s="3" t="str">
        <x:v>一覧の表示価格。年式は掲載年式。</x:v>
      </x:c>
      <x:c r="AL884" s="31" t="n">
        <x:f>IF(AND(J884&lt;='分析方法'!$B$7,OR(ISBLANK(O884),O884&gt;='分析方法'!$B$8),X884&lt;&gt;"売却済み表示"),1,0)</x:f>
        <x:v>1</x:v>
      </x:c>
      <x:c r="AM884" s="32" t="n">
        <x:f>IF(AL884=1,U884,"")</x:f>
        <x:v>755000</x:v>
      </x:c>
      <x:c r="AN884" s="33" t="str">
        <x:f>IF(AL884=1,AF884,"")</x:f>
      </x:c>
      <x:c r="AO884" s="31" t="n">
        <x:f>'分析方法'!$B$6-J884</x:f>
        <x:v>2</x:v>
      </x:c>
      <x:c r="AP884" s="3"/>
    </x:row>
    <x:row r="885" ht="22" customHeight="1">
      <x:c r="A885" s="3" t="str">
        <x:v>T2896522</x:v>
      </x:c>
      <x:c r="B885" s="7" t="d">
        <x:v>2026-10-08T00:00:00.000Z</x:v>
      </x:c>
      <x:c r="C885" s="3" t="str">
        <x:v>Taladrod</x:v>
      </x:c>
      <x:c r="D885" s="3" t="str">
        <x:v>Toyota</x:v>
      </x:c>
      <x:c r="E885" s="3" t="str">
        <x:v>日本</x:v>
      </x:c>
      <x:c r="F885" s="3" t="str">
        <x:v>Hilux Revo</x:v>
      </x:c>
      <x:c r="G885" s="3" t="str">
        <x:v>ICE</x:v>
      </x:c>
      <x:c r="H885" s="3" t="str">
        <x:v>Pickup</x:v>
      </x:c>
      <x:c r="I885" s="3" t="str">
        <x:v>Double cab</x:v>
      </x:c>
      <x:c r="J885" s="3" t="n">
        <x:v>2024</x:v>
      </x:c>
      <x:c r="K885" s="3" t="str">
        <x:v>2.4 MID PRERUNNER DOUBLE CAB</x:v>
      </x:c>
      <x:c r="L885" s="3" t="str">
        <x:v>2.4 MID PRERUNNER DOUBLE CAB</x:v>
      </x:c>
      <x:c r="M885" s="22"/>
      <x:c r="N885" s="22"/>
      <x:c r="O885" s="22"/>
      <x:c r="P885" s="3" t="str">
        <x:v>未掲載</x:v>
      </x:c>
      <x:c r="Q885" s="3" t="str">
        <x:v>未取得</x:v>
      </x:c>
      <x:c r="R885" s="3" t="str">
        <x:v>Unknown</x:v>
      </x:c>
      <x:c r="S885" s="3" t="str">
        <x:v>不明</x:v>
      </x:c>
      <x:c r="T885" s="3" t="str">
        <x:v>世代不明</x:v>
      </x:c>
      <x:c r="U885" s="28" t="n">
        <x:v>739000</x:v>
      </x:c>
      <x:c r="V885" s="28"/>
      <x:c r="W885" s="3" t="str">
        <x:v>事故・水没・SOH・保証残は未確認</x:v>
      </x:c>
      <x:c r="X885" s="3" t="str">
        <x:v>掲載中・在庫未確認</x:v>
      </x:c>
      <x:c r="Y885" s="3" t="str"/>
      <x:c r="Z885" s="27" t="str">
        <x:v>https://www.taladrod.com/w40/icar/cardet.aspx?cid=2896522</x:v>
      </x:c>
      <x:c r="AA885" s="3" t="str">
        <x:v>Taladrod個別広告ID／Carsome在庫ID</x:v>
      </x:c>
      <x:c r="AB885" s="3" t="str">
        <x:v>車台番号未取得／サイト間重複は未判定</x:v>
      </x:c>
      <x:c r="AC885" s="3" t="str">
        <x:v>税込区分未確認（一覧表示額）</x:v>
      </x:c>
      <x:c r="AD885" s="3" t="str"/>
      <x:c r="AE885" s="29" t="str">
        <x:f>""</x:f>
      </x:c>
      <x:c r="AF885" s="30" t="str">
        <x:f>IF(ISNUMBER(AE885),U885/AE885,"")</x:f>
      </x:c>
      <x:c r="AG885" s="29" t="str">
        <x:f>""</x:f>
      </x:c>
      <x:c r="AH885" s="30" t="str">
        <x:f>IF(ISNUMBER(AG885),U885/AG885,"")</x:f>
      </x:c>
      <x:c r="AI885" s="3" t="str">
        <x:v>同年式・グレードの検証済み当時価格なし／登録年混在</x:v>
      </x:c>
      <x:c r="AJ885" s="3" t="str">
        <x:v>一覧価格/年式のみ</x:v>
      </x:c>
      <x:c r="AK885" s="3" t="str">
        <x:v>一覧の表示価格。年式は掲載年式。</x:v>
      </x:c>
      <x:c r="AL885" s="31" t="n">
        <x:f>IF(AND(J885&lt;='分析方法'!$B$7,OR(ISBLANK(O885),O885&gt;='分析方法'!$B$8),X885&lt;&gt;"売却済み表示"),1,0)</x:f>
        <x:v>1</x:v>
      </x:c>
      <x:c r="AM885" s="32" t="n">
        <x:f>IF(AL885=1,U885,"")</x:f>
        <x:v>739000</x:v>
      </x:c>
      <x:c r="AN885" s="33" t="str">
        <x:f>IF(AL885=1,AF885,"")</x:f>
      </x:c>
      <x:c r="AO885" s="31" t="n">
        <x:f>'分析方法'!$B$6-J885</x:f>
        <x:v>2</x:v>
      </x:c>
      <x:c r="AP885" s="3"/>
    </x:row>
    <x:row r="886" ht="22" customHeight="1">
      <x:c r="A886" s="3" t="str">
        <x:v>T2924961</x:v>
      </x:c>
      <x:c r="B886" s="7" t="d">
        <x:v>2026-10-08T00:00:00.000Z</x:v>
      </x:c>
      <x:c r="C886" s="3" t="str">
        <x:v>Taladrod</x:v>
      </x:c>
      <x:c r="D886" s="3" t="str">
        <x:v>Toyota</x:v>
      </x:c>
      <x:c r="E886" s="3" t="str">
        <x:v>日本</x:v>
      </x:c>
      <x:c r="F886" s="3" t="str">
        <x:v>Hilux Revo</x:v>
      </x:c>
      <x:c r="G886" s="3" t="str">
        <x:v>ICE</x:v>
      </x:c>
      <x:c r="H886" s="3" t="str">
        <x:v>Pickup</x:v>
      </x:c>
      <x:c r="I886" s="3" t="str">
        <x:v>Double cab</x:v>
      </x:c>
      <x:c r="J886" s="3" t="n">
        <x:v>2024</x:v>
      </x:c>
      <x:c r="K886" s="3" t="str">
        <x:v>2.4 MID PRERUNNER DOUBLE CAB</x:v>
      </x:c>
      <x:c r="L886" s="3" t="str">
        <x:v>2.4 MID PRERUNNER DOUBLE CAB</x:v>
      </x:c>
      <x:c r="M886" s="22"/>
      <x:c r="N886" s="22"/>
      <x:c r="O886" s="22"/>
      <x:c r="P886" s="3" t="str">
        <x:v>未掲載</x:v>
      </x:c>
      <x:c r="Q886" s="3" t="str">
        <x:v>未取得</x:v>
      </x:c>
      <x:c r="R886" s="3" t="str">
        <x:v>Unknown</x:v>
      </x:c>
      <x:c r="S886" s="3" t="str">
        <x:v>不明</x:v>
      </x:c>
      <x:c r="T886" s="3" t="str">
        <x:v>世代不明</x:v>
      </x:c>
      <x:c r="U886" s="28" t="n">
        <x:v>659000</x:v>
      </x:c>
      <x:c r="V886" s="28"/>
      <x:c r="W886" s="3" t="str">
        <x:v>事故・水没・SOH・保証残は未確認</x:v>
      </x:c>
      <x:c r="X886" s="3" t="str">
        <x:v>掲載中・在庫未確認</x:v>
      </x:c>
      <x:c r="Y886" s="3" t="str"/>
      <x:c r="Z886" s="27" t="str">
        <x:v>https://www.taladrod.com/w40/icar/cardet.aspx?cid=2924961</x:v>
      </x:c>
      <x:c r="AA886" s="3" t="str">
        <x:v>Taladrod個別広告ID／Carsome在庫ID</x:v>
      </x:c>
      <x:c r="AB886" s="3" t="str">
        <x:v>車台番号未取得／サイト間重複は未判定</x:v>
      </x:c>
      <x:c r="AC886" s="3" t="str">
        <x:v>税込区分未確認（一覧表示額）</x:v>
      </x:c>
      <x:c r="AD886" s="3" t="str"/>
      <x:c r="AE886" s="29" t="str">
        <x:f>""</x:f>
      </x:c>
      <x:c r="AF886" s="30" t="str">
        <x:f>IF(ISNUMBER(AE886),U886/AE886,"")</x:f>
      </x:c>
      <x:c r="AG886" s="29" t="str">
        <x:f>""</x:f>
      </x:c>
      <x:c r="AH886" s="30" t="str">
        <x:f>IF(ISNUMBER(AG886),U886/AG886,"")</x:f>
      </x:c>
      <x:c r="AI886" s="3" t="str">
        <x:v>同年式・グレードの検証済み当時価格なし／登録年混在</x:v>
      </x:c>
      <x:c r="AJ886" s="3" t="str">
        <x:v>一覧価格/年式のみ</x:v>
      </x:c>
      <x:c r="AK886" s="3" t="str">
        <x:v>一覧の表示価格。年式は掲載年式。</x:v>
      </x:c>
      <x:c r="AL886" s="31" t="n">
        <x:f>IF(AND(J886&lt;='分析方法'!$B$7,OR(ISBLANK(O886),O886&gt;='分析方法'!$B$8),X886&lt;&gt;"売却済み表示"),1,0)</x:f>
        <x:v>1</x:v>
      </x:c>
      <x:c r="AM886" s="32" t="n">
        <x:f>IF(AL886=1,U886,"")</x:f>
        <x:v>659000</x:v>
      </x:c>
      <x:c r="AN886" s="33" t="str">
        <x:f>IF(AL886=1,AF886,"")</x:f>
      </x:c>
      <x:c r="AO886" s="31" t="n">
        <x:f>'分析方法'!$B$6-J886</x:f>
        <x:v>2</x:v>
      </x:c>
      <x:c r="AP886" s="3"/>
    </x:row>
    <x:row r="887" ht="22" customHeight="1">
      <x:c r="A887" s="3" t="str">
        <x:v>T2925007</x:v>
      </x:c>
      <x:c r="B887" s="7" t="d">
        <x:v>2026-10-08T00:00:00.000Z</x:v>
      </x:c>
      <x:c r="C887" s="3" t="str">
        <x:v>Taladrod</x:v>
      </x:c>
      <x:c r="D887" s="3" t="str">
        <x:v>Toyota</x:v>
      </x:c>
      <x:c r="E887" s="3" t="str">
        <x:v>日本</x:v>
      </x:c>
      <x:c r="F887" s="3" t="str">
        <x:v>Hilux Revo</x:v>
      </x:c>
      <x:c r="G887" s="3" t="str">
        <x:v>ICE</x:v>
      </x:c>
      <x:c r="H887" s="3" t="str">
        <x:v>Pickup</x:v>
      </x:c>
      <x:c r="I887" s="3" t="str">
        <x:v>Double cab</x:v>
      </x:c>
      <x:c r="J887" s="3" t="n">
        <x:v>2024</x:v>
      </x:c>
      <x:c r="K887" s="3" t="str">
        <x:v>2.4 MID PRERUNNER DOUBLE CAB</x:v>
      </x:c>
      <x:c r="L887" s="3" t="str">
        <x:v>2.4 MID PRERUNNER DOUBLE CAB</x:v>
      </x:c>
      <x:c r="M887" s="22"/>
      <x:c r="N887" s="22"/>
      <x:c r="O887" s="22"/>
      <x:c r="P887" s="3" t="str">
        <x:v>未掲載</x:v>
      </x:c>
      <x:c r="Q887" s="3" t="str">
        <x:v>未取得</x:v>
      </x:c>
      <x:c r="R887" s="3" t="str">
        <x:v>Unknown</x:v>
      </x:c>
      <x:c r="S887" s="3" t="str">
        <x:v>不明</x:v>
      </x:c>
      <x:c r="T887" s="3" t="str">
        <x:v>世代不明</x:v>
      </x:c>
      <x:c r="U887" s="28" t="n">
        <x:v>699000</x:v>
      </x:c>
      <x:c r="V887" s="28"/>
      <x:c r="W887" s="3" t="str">
        <x:v>事故・水没・SOH・保証残は未確認</x:v>
      </x:c>
      <x:c r="X887" s="3" t="str">
        <x:v>掲載中・在庫未確認</x:v>
      </x:c>
      <x:c r="Y887" s="3" t="str"/>
      <x:c r="Z887" s="27" t="str">
        <x:v>https://www.taladrod.com/w40/icar/cardet.aspx?cid=2925007</x:v>
      </x:c>
      <x:c r="AA887" s="3" t="str">
        <x:v>Taladrod個別広告ID／Carsome在庫ID</x:v>
      </x:c>
      <x:c r="AB887" s="3" t="str">
        <x:v>車台番号未取得／サイト間重複は未判定</x:v>
      </x:c>
      <x:c r="AC887" s="3" t="str">
        <x:v>税込区分未確認（一覧表示額）</x:v>
      </x:c>
      <x:c r="AD887" s="3" t="str"/>
      <x:c r="AE887" s="29" t="str">
        <x:f>""</x:f>
      </x:c>
      <x:c r="AF887" s="30" t="str">
        <x:f>IF(ISNUMBER(AE887),U887/AE887,"")</x:f>
      </x:c>
      <x:c r="AG887" s="29" t="str">
        <x:f>""</x:f>
      </x:c>
      <x:c r="AH887" s="30" t="str">
        <x:f>IF(ISNUMBER(AG887),U887/AG887,"")</x:f>
      </x:c>
      <x:c r="AI887" s="3" t="str">
        <x:v>同年式・グレードの検証済み当時価格なし／登録年混在</x:v>
      </x:c>
      <x:c r="AJ887" s="3" t="str">
        <x:v>一覧価格/年式のみ</x:v>
      </x:c>
      <x:c r="AK887" s="3" t="str">
        <x:v>一覧の表示価格。年式は掲載年式。</x:v>
      </x:c>
      <x:c r="AL887" s="31" t="n">
        <x:f>IF(AND(J887&lt;='分析方法'!$B$7,OR(ISBLANK(O887),O887&gt;='分析方法'!$B$8),X887&lt;&gt;"売却済み表示"),1,0)</x:f>
        <x:v>1</x:v>
      </x:c>
      <x:c r="AM887" s="32" t="n">
        <x:f>IF(AL887=1,U887,"")</x:f>
        <x:v>699000</x:v>
      </x:c>
      <x:c r="AN887" s="33" t="str">
        <x:f>IF(AL887=1,AF887,"")</x:f>
      </x:c>
      <x:c r="AO887" s="31" t="n">
        <x:f>'分析方法'!$B$6-J887</x:f>
        <x:v>2</x:v>
      </x:c>
      <x:c r="AP887" s="3"/>
    </x:row>
    <x:row r="888" ht="22" customHeight="1">
      <x:c r="A888" s="3" t="str">
        <x:v>T2918540</x:v>
      </x:c>
      <x:c r="B888" s="7" t="d">
        <x:v>2026-10-08T00:00:00.000Z</x:v>
      </x:c>
      <x:c r="C888" s="3" t="str">
        <x:v>Taladrod</x:v>
      </x:c>
      <x:c r="D888" s="3" t="str">
        <x:v>Toyota</x:v>
      </x:c>
      <x:c r="E888" s="3" t="str">
        <x:v>日本</x:v>
      </x:c>
      <x:c r="F888" s="3" t="str">
        <x:v>Hilux Revo</x:v>
      </x:c>
      <x:c r="G888" s="3" t="str">
        <x:v>ICE</x:v>
      </x:c>
      <x:c r="H888" s="3" t="str">
        <x:v>Pickup</x:v>
      </x:c>
      <x:c r="I888" s="3" t="str">
        <x:v>Smart cab</x:v>
      </x:c>
      <x:c r="J888" s="3" t="n">
        <x:v>2024</x:v>
      </x:c>
      <x:c r="K888" s="3" t="str">
        <x:v>2.4 MID PRERUNNER SMART CAB</x:v>
      </x:c>
      <x:c r="L888" s="3" t="str">
        <x:v>2.4 MID PRERUNNER SMART CAB</x:v>
      </x:c>
      <x:c r="M888" s="22"/>
      <x:c r="N888" s="22"/>
      <x:c r="O888" s="22"/>
      <x:c r="P888" s="3" t="str">
        <x:v>未掲載</x:v>
      </x:c>
      <x:c r="Q888" s="3" t="str">
        <x:v>未取得</x:v>
      </x:c>
      <x:c r="R888" s="3" t="str">
        <x:v>Unknown</x:v>
      </x:c>
      <x:c r="S888" s="3" t="str">
        <x:v>不明</x:v>
      </x:c>
      <x:c r="T888" s="3" t="str">
        <x:v>世代不明</x:v>
      </x:c>
      <x:c r="U888" s="28" t="n">
        <x:v>679000</x:v>
      </x:c>
      <x:c r="V888" s="28"/>
      <x:c r="W888" s="3" t="str">
        <x:v>事故・水没・SOH・保証残は未確認</x:v>
      </x:c>
      <x:c r="X888" s="3" t="str">
        <x:v>掲載中・在庫未確認</x:v>
      </x:c>
      <x:c r="Y888" s="3" t="str"/>
      <x:c r="Z888" s="27" t="str">
        <x:v>https://www.taladrod.com/w40/icar/cardet.aspx?cid=2918540</x:v>
      </x:c>
      <x:c r="AA888" s="3" t="str">
        <x:v>Taladrod個別広告ID／Carsome在庫ID</x:v>
      </x:c>
      <x:c r="AB888" s="3" t="str">
        <x:v>車台番号未取得／サイト間重複は未判定</x:v>
      </x:c>
      <x:c r="AC888" s="3" t="str">
        <x:v>税込区分未確認（一覧表示額）</x:v>
      </x:c>
      <x:c r="AD888" s="3" t="str"/>
      <x:c r="AE888" s="29" t="str">
        <x:f>""</x:f>
      </x:c>
      <x:c r="AF888" s="30" t="str">
        <x:f>IF(ISNUMBER(AE888),U888/AE888,"")</x:f>
      </x:c>
      <x:c r="AG888" s="29" t="str">
        <x:f>""</x:f>
      </x:c>
      <x:c r="AH888" s="30" t="str">
        <x:f>IF(ISNUMBER(AG888),U888/AG888,"")</x:f>
      </x:c>
      <x:c r="AI888" s="3" t="str">
        <x:v>同年式・グレードの検証済み当時価格なし／登録年混在</x:v>
      </x:c>
      <x:c r="AJ888" s="3" t="str">
        <x:v>一覧価格/年式のみ</x:v>
      </x:c>
      <x:c r="AK888" s="3" t="str">
        <x:v>一覧の表示価格。年式は掲載年式。</x:v>
      </x:c>
      <x:c r="AL888" s="31" t="n">
        <x:f>IF(AND(J888&lt;='分析方法'!$B$7,OR(ISBLANK(O888),O888&gt;='分析方法'!$B$8),X888&lt;&gt;"売却済み表示"),1,0)</x:f>
        <x:v>1</x:v>
      </x:c>
      <x:c r="AM888" s="32" t="n">
        <x:f>IF(AL888=1,U888,"")</x:f>
        <x:v>679000</x:v>
      </x:c>
      <x:c r="AN888" s="33" t="str">
        <x:f>IF(AL888=1,AF888,"")</x:f>
      </x:c>
      <x:c r="AO888" s="31" t="n">
        <x:f>'分析方法'!$B$6-J888</x:f>
        <x:v>2</x:v>
      </x:c>
      <x:c r="AP888" s="3"/>
    </x:row>
    <x:row r="889" ht="22" customHeight="1">
      <x:c r="A889" s="3" t="str">
        <x:v>T2918163</x:v>
      </x:c>
      <x:c r="B889" s="7" t="d">
        <x:v>2026-10-08T00:00:00.000Z</x:v>
      </x:c>
      <x:c r="C889" s="3" t="str">
        <x:v>Taladrod</x:v>
      </x:c>
      <x:c r="D889" s="3" t="str">
        <x:v>Toyota</x:v>
      </x:c>
      <x:c r="E889" s="3" t="str">
        <x:v>日本</x:v>
      </x:c>
      <x:c r="F889" s="3" t="str">
        <x:v>Hilux Revo</x:v>
      </x:c>
      <x:c r="G889" s="3" t="str">
        <x:v>ICE</x:v>
      </x:c>
      <x:c r="H889" s="3" t="str">
        <x:v>Pickup</x:v>
      </x:c>
      <x:c r="I889" s="3" t="str">
        <x:v>Double cab</x:v>
      </x:c>
      <x:c r="J889" s="3" t="n">
        <x:v>2024</x:v>
      </x:c>
      <x:c r="K889" s="3" t="str">
        <x:v>2.4 PRERUNNER DOUBLE CAB</x:v>
      </x:c>
      <x:c r="L889" s="3" t="str">
        <x:v>2.4 PRERUNNER DOUBLE CAB</x:v>
      </x:c>
      <x:c r="M889" s="22"/>
      <x:c r="N889" s="22"/>
      <x:c r="O889" s="22"/>
      <x:c r="P889" s="3" t="str">
        <x:v>未掲載</x:v>
      </x:c>
      <x:c r="Q889" s="3" t="str">
        <x:v>未取得</x:v>
      </x:c>
      <x:c r="R889" s="3" t="str">
        <x:v>Unknown</x:v>
      </x:c>
      <x:c r="S889" s="3" t="str">
        <x:v>不明</x:v>
      </x:c>
      <x:c r="T889" s="3" t="str">
        <x:v>世代不明</x:v>
      </x:c>
      <x:c r="U889" s="28" t="n">
        <x:v>829000</x:v>
      </x:c>
      <x:c r="V889" s="28"/>
      <x:c r="W889" s="3" t="str">
        <x:v>事故・水没・SOH・保証残は未確認</x:v>
      </x:c>
      <x:c r="X889" s="3" t="str">
        <x:v>掲載中・在庫未確認</x:v>
      </x:c>
      <x:c r="Y889" s="3" t="str"/>
      <x:c r="Z889" s="27" t="str">
        <x:v>https://www.taladrod.com/w40/icar/cardet.aspx?cid=2918163</x:v>
      </x:c>
      <x:c r="AA889" s="3" t="str">
        <x:v>Taladrod個別広告ID／Carsome在庫ID</x:v>
      </x:c>
      <x:c r="AB889" s="3" t="str">
        <x:v>車台番号未取得／サイト間重複は未判定</x:v>
      </x:c>
      <x:c r="AC889" s="3" t="str">
        <x:v>税込区分未確認（一覧表示額）</x:v>
      </x:c>
      <x:c r="AD889" s="3" t="str"/>
      <x:c r="AE889" s="29" t="str">
        <x:f>""</x:f>
      </x:c>
      <x:c r="AF889" s="30" t="str">
        <x:f>IF(ISNUMBER(AE889),U889/AE889,"")</x:f>
      </x:c>
      <x:c r="AG889" s="29" t="str">
        <x:f>""</x:f>
      </x:c>
      <x:c r="AH889" s="30" t="str">
        <x:f>IF(ISNUMBER(AG889),U889/AG889,"")</x:f>
      </x:c>
      <x:c r="AI889" s="3" t="str">
        <x:v>同年式・グレードの検証済み当時価格なし／登録年混在</x:v>
      </x:c>
      <x:c r="AJ889" s="3" t="str">
        <x:v>一覧価格/年式のみ</x:v>
      </x:c>
      <x:c r="AK889" s="3" t="str">
        <x:v>一覧の表示価格。年式は掲載年式。</x:v>
      </x:c>
      <x:c r="AL889" s="31" t="n">
        <x:f>IF(AND(J889&lt;='分析方法'!$B$7,OR(ISBLANK(O889),O889&gt;='分析方法'!$B$8),X889&lt;&gt;"売却済み表示"),1,0)</x:f>
        <x:v>1</x:v>
      </x:c>
      <x:c r="AM889" s="32" t="n">
        <x:f>IF(AL889=1,U889,"")</x:f>
        <x:v>829000</x:v>
      </x:c>
      <x:c r="AN889" s="33" t="str">
        <x:f>IF(AL889=1,AF889,"")</x:f>
      </x:c>
      <x:c r="AO889" s="31" t="n">
        <x:f>'分析方法'!$B$6-J889</x:f>
        <x:v>2</x:v>
      </x:c>
      <x:c r="AP889" s="3"/>
    </x:row>
    <x:row r="890" ht="22" customHeight="1">
      <x:c r="A890" s="3" t="str">
        <x:v>T2897713</x:v>
      </x:c>
      <x:c r="B890" s="7" t="d">
        <x:v>2026-10-08T00:00:00.000Z</x:v>
      </x:c>
      <x:c r="C890" s="3" t="str">
        <x:v>Taladrod</x:v>
      </x:c>
      <x:c r="D890" s="3" t="str">
        <x:v>Toyota</x:v>
      </x:c>
      <x:c r="E890" s="3" t="str">
        <x:v>日本</x:v>
      </x:c>
      <x:c r="F890" s="3" t="str">
        <x:v>Hilux Revo</x:v>
      </x:c>
      <x:c r="G890" s="3" t="str">
        <x:v>ICE</x:v>
      </x:c>
      <x:c r="H890" s="3" t="str">
        <x:v>Pickup</x:v>
      </x:c>
      <x:c r="I890" s="3" t="str">
        <x:v>Single cab</x:v>
      </x:c>
      <x:c r="J890" s="3" t="n">
        <x:v>2024</x:v>
      </x:c>
      <x:c r="K890" s="3" t="str">
        <x:v>2.8 ENTRY 4WD STANDARD CAB</x:v>
      </x:c>
      <x:c r="L890" s="3" t="str">
        <x:v>2.8 ENTRY 4WD STANDARD CAB</x:v>
      </x:c>
      <x:c r="M890" s="22"/>
      <x:c r="N890" s="22"/>
      <x:c r="O890" s="22"/>
      <x:c r="P890" s="3" t="str">
        <x:v>未掲載</x:v>
      </x:c>
      <x:c r="Q890" s="3" t="str">
        <x:v>未取得</x:v>
      </x:c>
      <x:c r="R890" s="3" t="str">
        <x:v>Unknown</x:v>
      </x:c>
      <x:c r="S890" s="3" t="str">
        <x:v>不明</x:v>
      </x:c>
      <x:c r="T890" s="3" t="str">
        <x:v>世代不明</x:v>
      </x:c>
      <x:c r="U890" s="28" t="n">
        <x:v>589000</x:v>
      </x:c>
      <x:c r="V890" s="28"/>
      <x:c r="W890" s="3" t="str">
        <x:v>事故・水没・SOH・保証残は未確認</x:v>
      </x:c>
      <x:c r="X890" s="3" t="str">
        <x:v>掲載中・在庫未確認</x:v>
      </x:c>
      <x:c r="Y890" s="3" t="str"/>
      <x:c r="Z890" s="27" t="str">
        <x:v>https://www.taladrod.com/w40/icar/cardet.aspx?cid=2897713</x:v>
      </x:c>
      <x:c r="AA890" s="3" t="str">
        <x:v>Taladrod個別広告ID／Carsome在庫ID</x:v>
      </x:c>
      <x:c r="AB890" s="3" t="str">
        <x:v>車台番号未取得／サイト間重複は未判定</x:v>
      </x:c>
      <x:c r="AC890" s="3" t="str">
        <x:v>税込区分未確認（一覧表示額）</x:v>
      </x:c>
      <x:c r="AD890" s="3" t="str"/>
      <x:c r="AE890" s="29" t="str">
        <x:f>""</x:f>
      </x:c>
      <x:c r="AF890" s="30" t="str">
        <x:f>IF(ISNUMBER(AE890),U890/AE890,"")</x:f>
      </x:c>
      <x:c r="AG890" s="29" t="str">
        <x:f>""</x:f>
      </x:c>
      <x:c r="AH890" s="30" t="str">
        <x:f>IF(ISNUMBER(AG890),U890/AG890,"")</x:f>
      </x:c>
      <x:c r="AI890" s="3" t="str">
        <x:v>同年式・グレードの検証済み当時価格なし／登録年混在</x:v>
      </x:c>
      <x:c r="AJ890" s="3" t="str">
        <x:v>一覧価格/年式のみ</x:v>
      </x:c>
      <x:c r="AK890" s="3" t="str">
        <x:v>一覧の表示価格。年式は掲載年式。</x:v>
      </x:c>
      <x:c r="AL890" s="31" t="n">
        <x:f>IF(AND(J890&lt;='分析方法'!$B$7,OR(ISBLANK(O890),O890&gt;='分析方法'!$B$8),X890&lt;&gt;"売却済み表示"),1,0)</x:f>
        <x:v>1</x:v>
      </x:c>
      <x:c r="AM890" s="32" t="n">
        <x:f>IF(AL890=1,U890,"")</x:f>
        <x:v>589000</x:v>
      </x:c>
      <x:c r="AN890" s="33" t="str">
        <x:f>IF(AL890=1,AF890,"")</x:f>
      </x:c>
      <x:c r="AO890" s="31" t="n">
        <x:f>'分析方法'!$B$6-J890</x:f>
        <x:v>2</x:v>
      </x:c>
      <x:c r="AP890" s="3"/>
    </x:row>
    <x:row r="891" ht="22" customHeight="1">
      <x:c r="A891" s="3" t="str">
        <x:v>T2897979</x:v>
      </x:c>
      <x:c r="B891" s="7" t="d">
        <x:v>2026-10-08T00:00:00.000Z</x:v>
      </x:c>
      <x:c r="C891" s="3" t="str">
        <x:v>Taladrod</x:v>
      </x:c>
      <x:c r="D891" s="3" t="str">
        <x:v>Toyota</x:v>
      </x:c>
      <x:c r="E891" s="3" t="str">
        <x:v>日本</x:v>
      </x:c>
      <x:c r="F891" s="3" t="str">
        <x:v>Hilux Revo</x:v>
      </x:c>
      <x:c r="G891" s="3" t="str">
        <x:v>ICE</x:v>
      </x:c>
      <x:c r="H891" s="3" t="str">
        <x:v>Pickup</x:v>
      </x:c>
      <x:c r="I891" s="3" t="str">
        <x:v>Single cab</x:v>
      </x:c>
      <x:c r="J891" s="3" t="n">
        <x:v>2024</x:v>
      </x:c>
      <x:c r="K891" s="3" t="str">
        <x:v>2.8 ENTRY 4WD STANDARD CAB</x:v>
      </x:c>
      <x:c r="L891" s="3" t="str">
        <x:v>2.8 ENTRY 4WD STANDARD CAB</x:v>
      </x:c>
      <x:c r="M891" s="22"/>
      <x:c r="N891" s="22"/>
      <x:c r="O891" s="22"/>
      <x:c r="P891" s="3" t="str">
        <x:v>未掲載</x:v>
      </x:c>
      <x:c r="Q891" s="3" t="str">
        <x:v>未取得</x:v>
      </x:c>
      <x:c r="R891" s="3" t="str">
        <x:v>Unknown</x:v>
      </x:c>
      <x:c r="S891" s="3" t="str">
        <x:v>不明</x:v>
      </x:c>
      <x:c r="T891" s="3" t="str">
        <x:v>世代不明</x:v>
      </x:c>
      <x:c r="U891" s="28" t="n">
        <x:v>589000</x:v>
      </x:c>
      <x:c r="V891" s="28"/>
      <x:c r="W891" s="3" t="str">
        <x:v>事故・水没・SOH・保証残は未確認</x:v>
      </x:c>
      <x:c r="X891" s="3" t="str">
        <x:v>掲載中・在庫未確認</x:v>
      </x:c>
      <x:c r="Y891" s="3" t="str"/>
      <x:c r="Z891" s="27" t="str">
        <x:v>https://www.taladrod.com/w40/icar/cardet.aspx?cid=2897979</x:v>
      </x:c>
      <x:c r="AA891" s="3" t="str">
        <x:v>Taladrod個別広告ID／Carsome在庫ID</x:v>
      </x:c>
      <x:c r="AB891" s="3" t="str">
        <x:v>車台番号未取得／サイト間重複は未判定</x:v>
      </x:c>
      <x:c r="AC891" s="3" t="str">
        <x:v>税込区分未確認（一覧表示額）</x:v>
      </x:c>
      <x:c r="AD891" s="3" t="str"/>
      <x:c r="AE891" s="29" t="str">
        <x:f>""</x:f>
      </x:c>
      <x:c r="AF891" s="30" t="str">
        <x:f>IF(ISNUMBER(AE891),U891/AE891,"")</x:f>
      </x:c>
      <x:c r="AG891" s="29" t="str">
        <x:f>""</x:f>
      </x:c>
      <x:c r="AH891" s="30" t="str">
        <x:f>IF(ISNUMBER(AG891),U891/AG891,"")</x:f>
      </x:c>
      <x:c r="AI891" s="3" t="str">
        <x:v>同年式・グレードの検証済み当時価格なし／登録年混在</x:v>
      </x:c>
      <x:c r="AJ891" s="3" t="str">
        <x:v>一覧価格/年式のみ</x:v>
      </x:c>
      <x:c r="AK891" s="3" t="str">
        <x:v>一覧の表示価格。年式は掲載年式。</x:v>
      </x:c>
      <x:c r="AL891" s="31" t="n">
        <x:f>IF(AND(J891&lt;='分析方法'!$B$7,OR(ISBLANK(O891),O891&gt;='分析方法'!$B$8),X891&lt;&gt;"売却済み表示"),1,0)</x:f>
        <x:v>1</x:v>
      </x:c>
      <x:c r="AM891" s="32" t="n">
        <x:f>IF(AL891=1,U891,"")</x:f>
        <x:v>589000</x:v>
      </x:c>
      <x:c r="AN891" s="33" t="str">
        <x:f>IF(AL891=1,AF891,"")</x:f>
      </x:c>
      <x:c r="AO891" s="31" t="n">
        <x:f>'分析方法'!$B$6-J891</x:f>
        <x:v>2</x:v>
      </x:c>
      <x:c r="AP891" s="3"/>
    </x:row>
    <x:row r="892" ht="22" customHeight="1">
      <x:c r="A892" s="3" t="str">
        <x:v>T2925220</x:v>
      </x:c>
      <x:c r="B892" s="7" t="d">
        <x:v>2026-10-08T00:00:00.000Z</x:v>
      </x:c>
      <x:c r="C892" s="3" t="str">
        <x:v>Taladrod</x:v>
      </x:c>
      <x:c r="D892" s="3" t="str">
        <x:v>Toyota</x:v>
      </x:c>
      <x:c r="E892" s="3" t="str">
        <x:v>日本</x:v>
      </x:c>
      <x:c r="F892" s="3" t="str">
        <x:v>Hilux Revo</x:v>
      </x:c>
      <x:c r="G892" s="3" t="str">
        <x:v>ICE</x:v>
      </x:c>
      <x:c r="H892" s="3" t="str">
        <x:v>Pickup</x:v>
      </x:c>
      <x:c r="I892" s="3" t="str">
        <x:v>Single cab</x:v>
      </x:c>
      <x:c r="J892" s="3" t="n">
        <x:v>2024</x:v>
      </x:c>
      <x:c r="K892" s="3" t="str">
        <x:v>2.8 ENTRY STANDARD CAB</x:v>
      </x:c>
      <x:c r="L892" s="3" t="str">
        <x:v>2.8 ENTRY STANDARD CAB</x:v>
      </x:c>
      <x:c r="M892" s="22"/>
      <x:c r="N892" s="22"/>
      <x:c r="O892" s="22"/>
      <x:c r="P892" s="3" t="str">
        <x:v>未掲載</x:v>
      </x:c>
      <x:c r="Q892" s="3" t="str">
        <x:v>未取得</x:v>
      </x:c>
      <x:c r="R892" s="3" t="str">
        <x:v>Unknown</x:v>
      </x:c>
      <x:c r="S892" s="3" t="str">
        <x:v>不明</x:v>
      </x:c>
      <x:c r="T892" s="3" t="str">
        <x:v>世代不明</x:v>
      </x:c>
      <x:c r="U892" s="28" t="n">
        <x:v>659000</x:v>
      </x:c>
      <x:c r="V892" s="28"/>
      <x:c r="W892" s="3" t="str">
        <x:v>事故・水没・SOH・保証残は未確認</x:v>
      </x:c>
      <x:c r="X892" s="3" t="str">
        <x:v>掲載中・在庫未確認</x:v>
      </x:c>
      <x:c r="Y892" s="3" t="str"/>
      <x:c r="Z892" s="27" t="str">
        <x:v>https://www.taladrod.com/w40/icar/cardet.aspx?cid=2925220</x:v>
      </x:c>
      <x:c r="AA892" s="3" t="str">
        <x:v>Taladrod個別広告ID／Carsome在庫ID</x:v>
      </x:c>
      <x:c r="AB892" s="3" t="str">
        <x:v>車台番号未取得／サイト間重複は未判定</x:v>
      </x:c>
      <x:c r="AC892" s="3" t="str">
        <x:v>税込区分未確認（一覧表示額）</x:v>
      </x:c>
      <x:c r="AD892" s="3" t="str"/>
      <x:c r="AE892" s="29" t="str">
        <x:f>""</x:f>
      </x:c>
      <x:c r="AF892" s="30" t="str">
        <x:f>IF(ISNUMBER(AE892),U892/AE892,"")</x:f>
      </x:c>
      <x:c r="AG892" s="29" t="str">
        <x:f>""</x:f>
      </x:c>
      <x:c r="AH892" s="30" t="str">
        <x:f>IF(ISNUMBER(AG892),U892/AG892,"")</x:f>
      </x:c>
      <x:c r="AI892" s="3" t="str">
        <x:v>同年式・グレードの検証済み当時価格なし／登録年混在</x:v>
      </x:c>
      <x:c r="AJ892" s="3" t="str">
        <x:v>一覧価格/年式のみ</x:v>
      </x:c>
      <x:c r="AK892" s="3" t="str">
        <x:v>一覧の表示価格。年式は掲載年式。</x:v>
      </x:c>
      <x:c r="AL892" s="31" t="n">
        <x:f>IF(AND(J892&lt;='分析方法'!$B$7,OR(ISBLANK(O892),O892&gt;='分析方法'!$B$8),X892&lt;&gt;"売却済み表示"),1,0)</x:f>
        <x:v>1</x:v>
      </x:c>
      <x:c r="AM892" s="32" t="n">
        <x:f>IF(AL892=1,U892,"")</x:f>
        <x:v>659000</x:v>
      </x:c>
      <x:c r="AN892" s="33" t="str">
        <x:f>IF(AL892=1,AF892,"")</x:f>
      </x:c>
      <x:c r="AO892" s="31" t="n">
        <x:f>'分析方法'!$B$6-J892</x:f>
        <x:v>2</x:v>
      </x:c>
      <x:c r="AP892" s="3"/>
    </x:row>
    <x:row r="893" ht="22" customHeight="1">
      <x:c r="A893" s="3" t="str">
        <x:v>T2895891</x:v>
      </x:c>
      <x:c r="B893" s="7" t="d">
        <x:v>2026-10-08T00:00:00.000Z</x:v>
      </x:c>
      <x:c r="C893" s="3" t="str">
        <x:v>Taladrod</x:v>
      </x:c>
      <x:c r="D893" s="3" t="str">
        <x:v>Toyota</x:v>
      </x:c>
      <x:c r="E893" s="3" t="str">
        <x:v>日本</x:v>
      </x:c>
      <x:c r="F893" s="3" t="str">
        <x:v>Hilux Revo</x:v>
      </x:c>
      <x:c r="G893" s="3" t="str">
        <x:v>ICE</x:v>
      </x:c>
      <x:c r="H893" s="3" t="str">
        <x:v>Pickup</x:v>
      </x:c>
      <x:c r="I893" s="3" t="str">
        <x:v>Double cab</x:v>
      </x:c>
      <x:c r="J893" s="3" t="n">
        <x:v>2024</x:v>
      </x:c>
      <x:c r="K893" s="3" t="str">
        <x:v>2.8 GR SPORT DOUBLE CAB</x:v>
      </x:c>
      <x:c r="L893" s="3" t="str">
        <x:v>2.8 GR SPORT DOUBLE CAB</x:v>
      </x:c>
      <x:c r="M893" s="22"/>
      <x:c r="N893" s="22"/>
      <x:c r="O893" s="22"/>
      <x:c r="P893" s="3" t="str">
        <x:v>未掲載</x:v>
      </x:c>
      <x:c r="Q893" s="3" t="str">
        <x:v>未取得</x:v>
      </x:c>
      <x:c r="R893" s="3" t="str">
        <x:v>Unknown</x:v>
      </x:c>
      <x:c r="S893" s="3" t="str">
        <x:v>不明</x:v>
      </x:c>
      <x:c r="T893" s="3" t="str">
        <x:v>世代不明</x:v>
      </x:c>
      <x:c r="U893" s="28" t="n">
        <x:v>678000</x:v>
      </x:c>
      <x:c r="V893" s="28"/>
      <x:c r="W893" s="3" t="str">
        <x:v>事故・水没・SOH・保証残は未確認</x:v>
      </x:c>
      <x:c r="X893" s="3" t="str">
        <x:v>掲載中・在庫未確認</x:v>
      </x:c>
      <x:c r="Y893" s="3" t="str"/>
      <x:c r="Z893" s="27" t="str">
        <x:v>https://www.taladrod.com/w40/icar/cardet.aspx?cid=2895891</x:v>
      </x:c>
      <x:c r="AA893" s="3" t="str">
        <x:v>Taladrod個別広告ID／Carsome在庫ID</x:v>
      </x:c>
      <x:c r="AB893" s="3" t="str">
        <x:v>車台番号未取得／サイト間重複は未判定</x:v>
      </x:c>
      <x:c r="AC893" s="3" t="str">
        <x:v>税込区分未確認（一覧表示額）</x:v>
      </x:c>
      <x:c r="AD893" s="3" t="str"/>
      <x:c r="AE893" s="29" t="str">
        <x:f>""</x:f>
      </x:c>
      <x:c r="AF893" s="30" t="str">
        <x:f>IF(ISNUMBER(AE893),U893/AE893,"")</x:f>
      </x:c>
      <x:c r="AG893" s="29" t="str">
        <x:f>""</x:f>
      </x:c>
      <x:c r="AH893" s="30" t="str">
        <x:f>IF(ISNUMBER(AG893),U893/AG893,"")</x:f>
      </x:c>
      <x:c r="AI893" s="3" t="str">
        <x:v>同年式・グレードの検証済み当時価格なし／登録年混在</x:v>
      </x:c>
      <x:c r="AJ893" s="3" t="str">
        <x:v>一覧価格/年式のみ</x:v>
      </x:c>
      <x:c r="AK893" s="3" t="str">
        <x:v>一覧の表示価格。年式は掲載年式。</x:v>
      </x:c>
      <x:c r="AL893" s="31" t="n">
        <x:f>IF(AND(J893&lt;='分析方法'!$B$7,OR(ISBLANK(O893),O893&gt;='分析方法'!$B$8),X893&lt;&gt;"売却済み表示"),1,0)</x:f>
        <x:v>1</x:v>
      </x:c>
      <x:c r="AM893" s="32" t="n">
        <x:f>IF(AL893=1,U893,"")</x:f>
        <x:v>678000</x:v>
      </x:c>
      <x:c r="AN893" s="33" t="str">
        <x:f>IF(AL893=1,AF893,"")</x:f>
      </x:c>
      <x:c r="AO893" s="31" t="n">
        <x:f>'分析方法'!$B$6-J893</x:f>
        <x:v>2</x:v>
      </x:c>
      <x:c r="AP893" s="3"/>
    </x:row>
    <x:row r="894" ht="22" customHeight="1">
      <x:c r="A894" s="3" t="str">
        <x:v>T2918041</x:v>
      </x:c>
      <x:c r="B894" s="7" t="d">
        <x:v>2026-10-08T00:00:00.000Z</x:v>
      </x:c>
      <x:c r="C894" s="3" t="str">
        <x:v>Taladrod</x:v>
      </x:c>
      <x:c r="D894" s="3" t="str">
        <x:v>Toyota</x:v>
      </x:c>
      <x:c r="E894" s="3" t="str">
        <x:v>日本</x:v>
      </x:c>
      <x:c r="F894" s="3" t="str">
        <x:v>Hilux Revo</x:v>
      </x:c>
      <x:c r="G894" s="3" t="str">
        <x:v>ICE</x:v>
      </x:c>
      <x:c r="H894" s="3" t="str">
        <x:v>Pickup</x:v>
      </x:c>
      <x:c r="I894" s="3" t="str">
        <x:v>Double cab</x:v>
      </x:c>
      <x:c r="J894" s="3" t="n">
        <x:v>2025</x:v>
      </x:c>
      <x:c r="K894" s="3" t="str">
        <x:v>2.4 ENTRY PRERUNNER DOUBLE CAB</x:v>
      </x:c>
      <x:c r="L894" s="3" t="str">
        <x:v>2.4 ENTRY PRERUNNER DOUBLE CAB</x:v>
      </x:c>
      <x:c r="M894" s="22"/>
      <x:c r="N894" s="22"/>
      <x:c r="O894" s="22"/>
      <x:c r="P894" s="3" t="str">
        <x:v>未掲載</x:v>
      </x:c>
      <x:c r="Q894" s="3" t="str">
        <x:v>未取得</x:v>
      </x:c>
      <x:c r="R894" s="3" t="str">
        <x:v>Unknown</x:v>
      </x:c>
      <x:c r="S894" s="3" t="str">
        <x:v>不明</x:v>
      </x:c>
      <x:c r="T894" s="3" t="str">
        <x:v>世代不明</x:v>
      </x:c>
      <x:c r="U894" s="28" t="n">
        <x:v>699000</x:v>
      </x:c>
      <x:c r="V894" s="28"/>
      <x:c r="W894" s="3" t="str">
        <x:v>事故・水没・SOH・保証残は未確認</x:v>
      </x:c>
      <x:c r="X894" s="3" t="str">
        <x:v>掲載中・在庫未確認</x:v>
      </x:c>
      <x:c r="Y894" s="3" t="str"/>
      <x:c r="Z894" s="27" t="str">
        <x:v>https://www.taladrod.com/w40/icar/cardet.aspx?cid=2918041</x:v>
      </x:c>
      <x:c r="AA894" s="3" t="str">
        <x:v>Taladrod個別広告ID／Carsome在庫ID</x:v>
      </x:c>
      <x:c r="AB894" s="3" t="str">
        <x:v>車台番号未取得／サイト間重複は未判定</x:v>
      </x:c>
      <x:c r="AC894" s="3" t="str">
        <x:v>税込区分未確認（一覧表示額）</x:v>
      </x:c>
      <x:c r="AD894" s="3" t="str"/>
      <x:c r="AE894" s="29" t="str">
        <x:f>""</x:f>
      </x:c>
      <x:c r="AF894" s="30" t="str">
        <x:f>IF(ISNUMBER(AE894),U894/AE894,"")</x:f>
      </x:c>
      <x:c r="AG894" s="29" t="str">
        <x:f>""</x:f>
      </x:c>
      <x:c r="AH894" s="30" t="str">
        <x:f>IF(ISNUMBER(AG894),U894/AG894,"")</x:f>
      </x:c>
      <x:c r="AI894" s="3" t="str">
        <x:v>同年式・グレードの検証済み当時価格なし／登録年混在</x:v>
      </x:c>
      <x:c r="AJ894" s="3" t="str">
        <x:v>一覧価格/年式のみ</x:v>
      </x:c>
      <x:c r="AK894" s="3" t="str">
        <x:v>一覧の表示価格。年式は掲載年式。</x:v>
      </x:c>
      <x:c r="AL894" s="31" t="n">
        <x:f>IF(AND(J894&lt;='分析方法'!$B$7,OR(ISBLANK(O894),O894&gt;='分析方法'!$B$8),X894&lt;&gt;"売却済み表示"),1,0)</x:f>
        <x:v>1</x:v>
      </x:c>
      <x:c r="AM894" s="32" t="n">
        <x:f>IF(AL894=1,U894,"")</x:f>
        <x:v>699000</x:v>
      </x:c>
      <x:c r="AN894" s="33" t="str">
        <x:f>IF(AL894=1,AF894,"")</x:f>
      </x:c>
      <x:c r="AO894" s="31" t="n">
        <x:f>'分析方法'!$B$6-J894</x:f>
        <x:v>1</x:v>
      </x:c>
      <x:c r="AP894" s="3"/>
    </x:row>
    <x:row r="895" ht="22" customHeight="1">
      <x:c r="A895" s="3" t="str">
        <x:v>T2918816</x:v>
      </x:c>
      <x:c r="B895" s="7" t="d">
        <x:v>2026-10-08T00:00:00.000Z</x:v>
      </x:c>
      <x:c r="C895" s="3" t="str">
        <x:v>Taladrod</x:v>
      </x:c>
      <x:c r="D895" s="3" t="str">
        <x:v>Toyota</x:v>
      </x:c>
      <x:c r="E895" s="3" t="str">
        <x:v>日本</x:v>
      </x:c>
      <x:c r="F895" s="3" t="str">
        <x:v>Hilux Revo</x:v>
      </x:c>
      <x:c r="G895" s="3" t="str">
        <x:v>ICE</x:v>
      </x:c>
      <x:c r="H895" s="3" t="str">
        <x:v>Pickup</x:v>
      </x:c>
      <x:c r="I895" s="3" t="str">
        <x:v>Double cab</x:v>
      </x:c>
      <x:c r="J895" s="3" t="n">
        <x:v>2025</x:v>
      </x:c>
      <x:c r="K895" s="3" t="str">
        <x:v>2.4 ENTRY PRERUNNER DOUBLE CAB</x:v>
      </x:c>
      <x:c r="L895" s="3" t="str">
        <x:v>2.4 ENTRY PRERUNNER DOUBLE CAB</x:v>
      </x:c>
      <x:c r="M895" s="22"/>
      <x:c r="N895" s="22"/>
      <x:c r="O895" s="22"/>
      <x:c r="P895" s="3" t="str">
        <x:v>未掲載</x:v>
      </x:c>
      <x:c r="Q895" s="3" t="str">
        <x:v>未取得</x:v>
      </x:c>
      <x:c r="R895" s="3" t="str">
        <x:v>Unknown</x:v>
      </x:c>
      <x:c r="S895" s="3" t="str">
        <x:v>不明</x:v>
      </x:c>
      <x:c r="T895" s="3" t="str">
        <x:v>世代不明</x:v>
      </x:c>
      <x:c r="U895" s="28" t="n">
        <x:v>679000</x:v>
      </x:c>
      <x:c r="V895" s="28"/>
      <x:c r="W895" s="3" t="str">
        <x:v>事故・水没・SOH・保証残は未確認</x:v>
      </x:c>
      <x:c r="X895" s="3" t="str">
        <x:v>掲載中・在庫未確認</x:v>
      </x:c>
      <x:c r="Y895" s="3" t="str"/>
      <x:c r="Z895" s="27" t="str">
        <x:v>https://www.taladrod.com/w40/icar/cardet.aspx?cid=2918816</x:v>
      </x:c>
      <x:c r="AA895" s="3" t="str">
        <x:v>Taladrod個別広告ID／Carsome在庫ID</x:v>
      </x:c>
      <x:c r="AB895" s="3" t="str">
        <x:v>車台番号未取得／サイト間重複は未判定</x:v>
      </x:c>
      <x:c r="AC895" s="3" t="str">
        <x:v>税込区分未確認（一覧表示額）</x:v>
      </x:c>
      <x:c r="AD895" s="3" t="str"/>
      <x:c r="AE895" s="29" t="str">
        <x:f>""</x:f>
      </x:c>
      <x:c r="AF895" s="30" t="str">
        <x:f>IF(ISNUMBER(AE895),U895/AE895,"")</x:f>
      </x:c>
      <x:c r="AG895" s="29" t="str">
        <x:f>""</x:f>
      </x:c>
      <x:c r="AH895" s="30" t="str">
        <x:f>IF(ISNUMBER(AG895),U895/AG895,"")</x:f>
      </x:c>
      <x:c r="AI895" s="3" t="str">
        <x:v>同年式・グレードの検証済み当時価格なし／登録年混在</x:v>
      </x:c>
      <x:c r="AJ895" s="3" t="str">
        <x:v>一覧価格/年式のみ</x:v>
      </x:c>
      <x:c r="AK895" s="3" t="str">
        <x:v>一覧の表示価格。年式は掲載年式。</x:v>
      </x:c>
      <x:c r="AL895" s="31" t="n">
        <x:f>IF(AND(J895&lt;='分析方法'!$B$7,OR(ISBLANK(O895),O895&gt;='分析方法'!$B$8),X895&lt;&gt;"売却済み表示"),1,0)</x:f>
        <x:v>1</x:v>
      </x:c>
      <x:c r="AM895" s="32" t="n">
        <x:f>IF(AL895=1,U895,"")</x:f>
        <x:v>679000</x:v>
      </x:c>
      <x:c r="AN895" s="33" t="str">
        <x:f>IF(AL895=1,AF895,"")</x:f>
      </x:c>
      <x:c r="AO895" s="31" t="n">
        <x:f>'分析方法'!$B$6-J895</x:f>
        <x:v>1</x:v>
      </x:c>
      <x:c r="AP895" s="3"/>
    </x:row>
    <x:row r="896" ht="22" customHeight="1">
      <x:c r="A896" s="3" t="str">
        <x:v>T2923740</x:v>
      </x:c>
      <x:c r="B896" s="7" t="d">
        <x:v>2026-10-08T00:00:00.000Z</x:v>
      </x:c>
      <x:c r="C896" s="3" t="str">
        <x:v>Taladrod</x:v>
      </x:c>
      <x:c r="D896" s="3" t="str">
        <x:v>Toyota</x:v>
      </x:c>
      <x:c r="E896" s="3" t="str">
        <x:v>日本</x:v>
      </x:c>
      <x:c r="F896" s="3" t="str">
        <x:v>Hilux Revo</x:v>
      </x:c>
      <x:c r="G896" s="3" t="str">
        <x:v>ICE</x:v>
      </x:c>
      <x:c r="H896" s="3" t="str">
        <x:v>Pickup</x:v>
      </x:c>
      <x:c r="I896" s="3" t="str">
        <x:v>Double cab</x:v>
      </x:c>
      <x:c r="J896" s="3" t="n">
        <x:v>2025</x:v>
      </x:c>
      <x:c r="K896" s="3" t="str">
        <x:v>2.4 ENTRY PRERUNNER DOUBLE CAB</x:v>
      </x:c>
      <x:c r="L896" s="3" t="str">
        <x:v>2.4 ENTRY PRERUNNER DOUBLE CAB</x:v>
      </x:c>
      <x:c r="M896" s="22"/>
      <x:c r="N896" s="22"/>
      <x:c r="O896" s="22"/>
      <x:c r="P896" s="3" t="str">
        <x:v>未掲載</x:v>
      </x:c>
      <x:c r="Q896" s="3" t="str">
        <x:v>未取得</x:v>
      </x:c>
      <x:c r="R896" s="3" t="str">
        <x:v>Unknown</x:v>
      </x:c>
      <x:c r="S896" s="3" t="str">
        <x:v>不明</x:v>
      </x:c>
      <x:c r="T896" s="3" t="str">
        <x:v>世代不明</x:v>
      </x:c>
      <x:c r="U896" s="28" t="n">
        <x:v>699000</x:v>
      </x:c>
      <x:c r="V896" s="28"/>
      <x:c r="W896" s="3" t="str">
        <x:v>事故・水没・SOH・保証残は未確認</x:v>
      </x:c>
      <x:c r="X896" s="3" t="str">
        <x:v>掲載中・在庫未確認</x:v>
      </x:c>
      <x:c r="Y896" s="3" t="str"/>
      <x:c r="Z896" s="27" t="str">
        <x:v>https://www.taladrod.com/w40/icar/cardet.aspx?cid=2923740</x:v>
      </x:c>
      <x:c r="AA896" s="3" t="str">
        <x:v>Taladrod個別広告ID／Carsome在庫ID</x:v>
      </x:c>
      <x:c r="AB896" s="3" t="str">
        <x:v>車台番号未取得／サイト間重複は未判定</x:v>
      </x:c>
      <x:c r="AC896" s="3" t="str">
        <x:v>税込区分未確認（一覧表示額）</x:v>
      </x:c>
      <x:c r="AD896" s="3" t="str"/>
      <x:c r="AE896" s="29" t="str">
        <x:f>""</x:f>
      </x:c>
      <x:c r="AF896" s="30" t="str">
        <x:f>IF(ISNUMBER(AE896),U896/AE896,"")</x:f>
      </x:c>
      <x:c r="AG896" s="29" t="str">
        <x:f>""</x:f>
      </x:c>
      <x:c r="AH896" s="30" t="str">
        <x:f>IF(ISNUMBER(AG896),U896/AG896,"")</x:f>
      </x:c>
      <x:c r="AI896" s="3" t="str">
        <x:v>同年式・グレードの検証済み当時価格なし／登録年混在</x:v>
      </x:c>
      <x:c r="AJ896" s="3" t="str">
        <x:v>一覧価格/年式のみ</x:v>
      </x:c>
      <x:c r="AK896" s="3" t="str">
        <x:v>一覧の表示価格。年式は掲載年式。</x:v>
      </x:c>
      <x:c r="AL896" s="31" t="n">
        <x:f>IF(AND(J896&lt;='分析方法'!$B$7,OR(ISBLANK(O896),O896&gt;='分析方法'!$B$8),X896&lt;&gt;"売却済み表示"),1,0)</x:f>
        <x:v>1</x:v>
      </x:c>
      <x:c r="AM896" s="32" t="n">
        <x:f>IF(AL896=1,U896,"")</x:f>
        <x:v>699000</x:v>
      </x:c>
      <x:c r="AN896" s="33" t="str">
        <x:f>IF(AL896=1,AF896,"")</x:f>
      </x:c>
      <x:c r="AO896" s="31" t="n">
        <x:f>'分析方法'!$B$6-J896</x:f>
        <x:v>1</x:v>
      </x:c>
      <x:c r="AP896" s="3"/>
    </x:row>
    <x:row r="897" ht="22" customHeight="1">
      <x:c r="A897" s="3" t="str">
        <x:v>T2924521</x:v>
      </x:c>
      <x:c r="B897" s="7" t="d">
        <x:v>2026-10-08T00:00:00.000Z</x:v>
      </x:c>
      <x:c r="C897" s="3" t="str">
        <x:v>Taladrod</x:v>
      </x:c>
      <x:c r="D897" s="3" t="str">
        <x:v>Toyota</x:v>
      </x:c>
      <x:c r="E897" s="3" t="str">
        <x:v>日本</x:v>
      </x:c>
      <x:c r="F897" s="3" t="str">
        <x:v>Hilux Revo</x:v>
      </x:c>
      <x:c r="G897" s="3" t="str">
        <x:v>ICE</x:v>
      </x:c>
      <x:c r="H897" s="3" t="str">
        <x:v>Pickup</x:v>
      </x:c>
      <x:c r="I897" s="3" t="str">
        <x:v>Double cab</x:v>
      </x:c>
      <x:c r="J897" s="3" t="n">
        <x:v>2025</x:v>
      </x:c>
      <x:c r="K897" s="3" t="str">
        <x:v>2.4 ENTRY PRERUNNER DOUBLE CAB</x:v>
      </x:c>
      <x:c r="L897" s="3" t="str">
        <x:v>2.4 ENTRY PRERUNNER DOUBLE CAB</x:v>
      </x:c>
      <x:c r="M897" s="22"/>
      <x:c r="N897" s="22"/>
      <x:c r="O897" s="22"/>
      <x:c r="P897" s="3" t="str">
        <x:v>未掲載</x:v>
      </x:c>
      <x:c r="Q897" s="3" t="str">
        <x:v>未取得</x:v>
      </x:c>
      <x:c r="R897" s="3" t="str">
        <x:v>Unknown</x:v>
      </x:c>
      <x:c r="S897" s="3" t="str">
        <x:v>不明</x:v>
      </x:c>
      <x:c r="T897" s="3" t="str">
        <x:v>世代不明</x:v>
      </x:c>
      <x:c r="U897" s="28" t="n">
        <x:v>699000</x:v>
      </x:c>
      <x:c r="V897" s="28"/>
      <x:c r="W897" s="3" t="str">
        <x:v>事故・水没・SOH・保証残は未確認</x:v>
      </x:c>
      <x:c r="X897" s="3" t="str">
        <x:v>掲載中・在庫未確認</x:v>
      </x:c>
      <x:c r="Y897" s="3" t="str"/>
      <x:c r="Z897" s="27" t="str">
        <x:v>https://www.taladrod.com/w40/icar/cardet.aspx?cid=2924521</x:v>
      </x:c>
      <x:c r="AA897" s="3" t="str">
        <x:v>Taladrod個別広告ID／Carsome在庫ID</x:v>
      </x:c>
      <x:c r="AB897" s="3" t="str">
        <x:v>車台番号未取得／サイト間重複は未判定</x:v>
      </x:c>
      <x:c r="AC897" s="3" t="str">
        <x:v>税込区分未確認（一覧表示額）</x:v>
      </x:c>
      <x:c r="AD897" s="3" t="str"/>
      <x:c r="AE897" s="29" t="str">
        <x:f>""</x:f>
      </x:c>
      <x:c r="AF897" s="30" t="str">
        <x:f>IF(ISNUMBER(AE897),U897/AE897,"")</x:f>
      </x:c>
      <x:c r="AG897" s="29" t="str">
        <x:f>""</x:f>
      </x:c>
      <x:c r="AH897" s="30" t="str">
        <x:f>IF(ISNUMBER(AG897),U897/AG897,"")</x:f>
      </x:c>
      <x:c r="AI897" s="3" t="str">
        <x:v>同年式・グレードの検証済み当時価格なし／登録年混在</x:v>
      </x:c>
      <x:c r="AJ897" s="3" t="str">
        <x:v>一覧価格/年式のみ</x:v>
      </x:c>
      <x:c r="AK897" s="3" t="str">
        <x:v>一覧の表示価格。年式は掲載年式。</x:v>
      </x:c>
      <x:c r="AL897" s="31" t="n">
        <x:f>IF(AND(J897&lt;='分析方法'!$B$7,OR(ISBLANK(O897),O897&gt;='分析方法'!$B$8),X897&lt;&gt;"売却済み表示"),1,0)</x:f>
        <x:v>1</x:v>
      </x:c>
      <x:c r="AM897" s="32" t="n">
        <x:f>IF(AL897=1,U897,"")</x:f>
        <x:v>699000</x:v>
      </x:c>
      <x:c r="AN897" s="33" t="str">
        <x:f>IF(AL897=1,AF897,"")</x:f>
      </x:c>
      <x:c r="AO897" s="31" t="n">
        <x:f>'分析方法'!$B$6-J897</x:f>
        <x:v>1</x:v>
      </x:c>
      <x:c r="AP897" s="3"/>
    </x:row>
    <x:row r="898" ht="22" customHeight="1">
      <x:c r="A898" s="3" t="str">
        <x:v>T2911344</x:v>
      </x:c>
      <x:c r="B898" s="7" t="d">
        <x:v>2026-10-08T00:00:00.000Z</x:v>
      </x:c>
      <x:c r="C898" s="3" t="str">
        <x:v>Taladrod</x:v>
      </x:c>
      <x:c r="D898" s="3" t="str">
        <x:v>Toyota</x:v>
      </x:c>
      <x:c r="E898" s="3" t="str">
        <x:v>日本</x:v>
      </x:c>
      <x:c r="F898" s="3" t="str">
        <x:v>Hilux Revo</x:v>
      </x:c>
      <x:c r="G898" s="3" t="str">
        <x:v>ICE</x:v>
      </x:c>
      <x:c r="H898" s="3" t="str">
        <x:v>Pickup</x:v>
      </x:c>
      <x:c r="I898" s="3" t="str">
        <x:v>Smart cab</x:v>
      </x:c>
      <x:c r="J898" s="3" t="n">
        <x:v>2025</x:v>
      </x:c>
      <x:c r="K898" s="3" t="str">
        <x:v>2.4 ENTRY PRERUNNER SMART CAB</x:v>
      </x:c>
      <x:c r="L898" s="3" t="str">
        <x:v>2.4 ENTRY PRERUNNER SMART CAB</x:v>
      </x:c>
      <x:c r="M898" s="22"/>
      <x:c r="N898" s="22"/>
      <x:c r="O898" s="22"/>
      <x:c r="P898" s="3" t="str">
        <x:v>未掲載</x:v>
      </x:c>
      <x:c r="Q898" s="3" t="str">
        <x:v>未取得</x:v>
      </x:c>
      <x:c r="R898" s="3" t="str">
        <x:v>Unknown</x:v>
      </x:c>
      <x:c r="S898" s="3" t="str">
        <x:v>不明</x:v>
      </x:c>
      <x:c r="T898" s="3" t="str">
        <x:v>世代不明</x:v>
      </x:c>
      <x:c r="U898" s="28" t="n">
        <x:v>569000</x:v>
      </x:c>
      <x:c r="V898" s="28"/>
      <x:c r="W898" s="3" t="str">
        <x:v>事故・水没・SOH・保証残は未確認</x:v>
      </x:c>
      <x:c r="X898" s="3" t="str">
        <x:v>掲載中・在庫未確認</x:v>
      </x:c>
      <x:c r="Y898" s="3" t="str"/>
      <x:c r="Z898" s="27" t="str">
        <x:v>https://www.taladrod.com/w40/icar/cardet.aspx?cid=2911344</x:v>
      </x:c>
      <x:c r="AA898" s="3" t="str">
        <x:v>Taladrod個別広告ID／Carsome在庫ID</x:v>
      </x:c>
      <x:c r="AB898" s="3" t="str">
        <x:v>車台番号未取得／サイト間重複は未判定</x:v>
      </x:c>
      <x:c r="AC898" s="3" t="str">
        <x:v>税込区分未確認（一覧表示額）</x:v>
      </x:c>
      <x:c r="AD898" s="3" t="str"/>
      <x:c r="AE898" s="29" t="str">
        <x:f>""</x:f>
      </x:c>
      <x:c r="AF898" s="30" t="str">
        <x:f>IF(ISNUMBER(AE898),U898/AE898,"")</x:f>
      </x:c>
      <x:c r="AG898" s="29" t="str">
        <x:f>""</x:f>
      </x:c>
      <x:c r="AH898" s="30" t="str">
        <x:f>IF(ISNUMBER(AG898),U898/AG898,"")</x:f>
      </x:c>
      <x:c r="AI898" s="3" t="str">
        <x:v>同年式・グレードの検証済み当時価格なし／登録年混在</x:v>
      </x:c>
      <x:c r="AJ898" s="3" t="str">
        <x:v>一覧価格/年式のみ</x:v>
      </x:c>
      <x:c r="AK898" s="3" t="str">
        <x:v>一覧の表示価格。年式は掲載年式。</x:v>
      </x:c>
      <x:c r="AL898" s="31" t="n">
        <x:f>IF(AND(J898&lt;='分析方法'!$B$7,OR(ISBLANK(O898),O898&gt;='分析方法'!$B$8),X898&lt;&gt;"売却済み表示"),1,0)</x:f>
        <x:v>1</x:v>
      </x:c>
      <x:c r="AM898" s="32" t="n">
        <x:f>IF(AL898=1,U898,"")</x:f>
        <x:v>569000</x:v>
      </x:c>
      <x:c r="AN898" s="33" t="str">
        <x:f>IF(AL898=1,AF898,"")</x:f>
      </x:c>
      <x:c r="AO898" s="31" t="n">
        <x:f>'分析方法'!$B$6-J898</x:f>
        <x:v>1</x:v>
      </x:c>
      <x:c r="AP898" s="3"/>
    </x:row>
    <x:row r="899" ht="22" customHeight="1">
      <x:c r="A899" s="3" t="str">
        <x:v>T2920096</x:v>
      </x:c>
      <x:c r="B899" s="7" t="d">
        <x:v>2026-10-08T00:00:00.000Z</x:v>
      </x:c>
      <x:c r="C899" s="3" t="str">
        <x:v>Taladrod</x:v>
      </x:c>
      <x:c r="D899" s="3" t="str">
        <x:v>Toyota</x:v>
      </x:c>
      <x:c r="E899" s="3" t="str">
        <x:v>日本</x:v>
      </x:c>
      <x:c r="F899" s="3" t="str">
        <x:v>Hilux Revo</x:v>
      </x:c>
      <x:c r="G899" s="3" t="str">
        <x:v>ICE</x:v>
      </x:c>
      <x:c r="H899" s="3" t="str">
        <x:v>Pickup</x:v>
      </x:c>
      <x:c r="I899" s="3" t="str">
        <x:v>Smart cab</x:v>
      </x:c>
      <x:c r="J899" s="3" t="n">
        <x:v>2025</x:v>
      </x:c>
      <x:c r="K899" s="3" t="str">
        <x:v>2.4 ENTRY PRERUNNER SMART CAB</x:v>
      </x:c>
      <x:c r="L899" s="3" t="str">
        <x:v>2.4 ENTRY PRERUNNER SMART CAB</x:v>
      </x:c>
      <x:c r="M899" s="22"/>
      <x:c r="N899" s="22"/>
      <x:c r="O899" s="22"/>
      <x:c r="P899" s="3" t="str">
        <x:v>未掲載</x:v>
      </x:c>
      <x:c r="Q899" s="3" t="str">
        <x:v>未取得</x:v>
      </x:c>
      <x:c r="R899" s="3" t="str">
        <x:v>Unknown</x:v>
      </x:c>
      <x:c r="S899" s="3" t="str">
        <x:v>不明</x:v>
      </x:c>
      <x:c r="T899" s="3" t="str">
        <x:v>世代不明</x:v>
      </x:c>
      <x:c r="U899" s="28" t="n">
        <x:v>579000</x:v>
      </x:c>
      <x:c r="V899" s="28"/>
      <x:c r="W899" s="3" t="str">
        <x:v>事故・水没・SOH・保証残は未確認</x:v>
      </x:c>
      <x:c r="X899" s="3" t="str">
        <x:v>掲載中・在庫未確認</x:v>
      </x:c>
      <x:c r="Y899" s="3" t="str"/>
      <x:c r="Z899" s="27" t="str">
        <x:v>https://www.taladrod.com/w40/icar/cardet.aspx?cid=2920096</x:v>
      </x:c>
      <x:c r="AA899" s="3" t="str">
        <x:v>Taladrod個別広告ID／Carsome在庫ID</x:v>
      </x:c>
      <x:c r="AB899" s="3" t="str">
        <x:v>車台番号未取得／サイト間重複は未判定</x:v>
      </x:c>
      <x:c r="AC899" s="3" t="str">
        <x:v>税込区分未確認（一覧表示額）</x:v>
      </x:c>
      <x:c r="AD899" s="3" t="str"/>
      <x:c r="AE899" s="29" t="str">
        <x:f>""</x:f>
      </x:c>
      <x:c r="AF899" s="30" t="str">
        <x:f>IF(ISNUMBER(AE899),U899/AE899,"")</x:f>
      </x:c>
      <x:c r="AG899" s="29" t="str">
        <x:f>""</x:f>
      </x:c>
      <x:c r="AH899" s="30" t="str">
        <x:f>IF(ISNUMBER(AG899),U899/AG899,"")</x:f>
      </x:c>
      <x:c r="AI899" s="3" t="str">
        <x:v>同年式・グレードの検証済み当時価格なし／登録年混在</x:v>
      </x:c>
      <x:c r="AJ899" s="3" t="str">
        <x:v>一覧価格/年式のみ</x:v>
      </x:c>
      <x:c r="AK899" s="3" t="str">
        <x:v>一覧の表示価格。年式は掲載年式。</x:v>
      </x:c>
      <x:c r="AL899" s="31" t="n">
        <x:f>IF(AND(J899&lt;='分析方法'!$B$7,OR(ISBLANK(O899),O899&gt;='分析方法'!$B$8),X899&lt;&gt;"売却済み表示"),1,0)</x:f>
        <x:v>1</x:v>
      </x:c>
      <x:c r="AM899" s="32" t="n">
        <x:f>IF(AL899=1,U899,"")</x:f>
        <x:v>579000</x:v>
      </x:c>
      <x:c r="AN899" s="33" t="str">
        <x:f>IF(AL899=1,AF899,"")</x:f>
      </x:c>
      <x:c r="AO899" s="31" t="n">
        <x:f>'分析方法'!$B$6-J899</x:f>
        <x:v>1</x:v>
      </x:c>
      <x:c r="AP899" s="3"/>
    </x:row>
    <x:row r="900" ht="22" customHeight="1">
      <x:c r="A900" s="3" t="str">
        <x:v>T2924334</x:v>
      </x:c>
      <x:c r="B900" s="7" t="d">
        <x:v>2026-10-08T00:00:00.000Z</x:v>
      </x:c>
      <x:c r="C900" s="3" t="str">
        <x:v>Taladrod</x:v>
      </x:c>
      <x:c r="D900" s="3" t="str">
        <x:v>Toyota</x:v>
      </x:c>
      <x:c r="E900" s="3" t="str">
        <x:v>日本</x:v>
      </x:c>
      <x:c r="F900" s="3" t="str">
        <x:v>Hilux Revo</x:v>
      </x:c>
      <x:c r="G900" s="3" t="str">
        <x:v>ICE</x:v>
      </x:c>
      <x:c r="H900" s="3" t="str">
        <x:v>Pickup</x:v>
      </x:c>
      <x:c r="I900" s="3" t="str">
        <x:v>Smart cab</x:v>
      </x:c>
      <x:c r="J900" s="3" t="n">
        <x:v>2025</x:v>
      </x:c>
      <x:c r="K900" s="3" t="str">
        <x:v>2.4 ENTRY PRERUNNER SMART CAB</x:v>
      </x:c>
      <x:c r="L900" s="3" t="str">
        <x:v>2.4 ENTRY PRERUNNER SMART CAB</x:v>
      </x:c>
      <x:c r="M900" s="22"/>
      <x:c r="N900" s="22"/>
      <x:c r="O900" s="22"/>
      <x:c r="P900" s="3" t="str">
        <x:v>未掲載</x:v>
      </x:c>
      <x:c r="Q900" s="3" t="str">
        <x:v>未取得</x:v>
      </x:c>
      <x:c r="R900" s="3" t="str">
        <x:v>Unknown</x:v>
      </x:c>
      <x:c r="S900" s="3" t="str">
        <x:v>不明</x:v>
      </x:c>
      <x:c r="T900" s="3" t="str">
        <x:v>世代不明</x:v>
      </x:c>
      <x:c r="U900" s="28" t="n">
        <x:v>579000</x:v>
      </x:c>
      <x:c r="V900" s="28"/>
      <x:c r="W900" s="3" t="str">
        <x:v>事故・水没・SOH・保証残は未確認</x:v>
      </x:c>
      <x:c r="X900" s="3" t="str">
        <x:v>掲載中・在庫未確認</x:v>
      </x:c>
      <x:c r="Y900" s="3" t="str"/>
      <x:c r="Z900" s="27" t="str">
        <x:v>https://www.taladrod.com/w40/icar/cardet.aspx?cid=2924334</x:v>
      </x:c>
      <x:c r="AA900" s="3" t="str">
        <x:v>Taladrod個別広告ID／Carsome在庫ID</x:v>
      </x:c>
      <x:c r="AB900" s="3" t="str">
        <x:v>車台番号未取得／サイト間重複は未判定</x:v>
      </x:c>
      <x:c r="AC900" s="3" t="str">
        <x:v>税込区分未確認（一覧表示額）</x:v>
      </x:c>
      <x:c r="AD900" s="3" t="str"/>
      <x:c r="AE900" s="29" t="str">
        <x:f>""</x:f>
      </x:c>
      <x:c r="AF900" s="30" t="str">
        <x:f>IF(ISNUMBER(AE900),U900/AE900,"")</x:f>
      </x:c>
      <x:c r="AG900" s="29" t="str">
        <x:f>""</x:f>
      </x:c>
      <x:c r="AH900" s="30" t="str">
        <x:f>IF(ISNUMBER(AG900),U900/AG900,"")</x:f>
      </x:c>
      <x:c r="AI900" s="3" t="str">
        <x:v>同年式・グレードの検証済み当時価格なし／登録年混在</x:v>
      </x:c>
      <x:c r="AJ900" s="3" t="str">
        <x:v>一覧価格/年式のみ</x:v>
      </x:c>
      <x:c r="AK900" s="3" t="str">
        <x:v>一覧の表示価格。年式は掲載年式。</x:v>
      </x:c>
      <x:c r="AL900" s="31" t="n">
        <x:f>IF(AND(J900&lt;='分析方法'!$B$7,OR(ISBLANK(O900),O900&gt;='分析方法'!$B$8),X900&lt;&gt;"売却済み表示"),1,0)</x:f>
        <x:v>1</x:v>
      </x:c>
      <x:c r="AM900" s="32" t="n">
        <x:f>IF(AL900=1,U900,"")</x:f>
        <x:v>579000</x:v>
      </x:c>
      <x:c r="AN900" s="33" t="str">
        <x:f>IF(AL900=1,AF900,"")</x:f>
      </x:c>
      <x:c r="AO900" s="31" t="n">
        <x:f>'分析方法'!$B$6-J900</x:f>
        <x:v>1</x:v>
      </x:c>
      <x:c r="AP900" s="3"/>
    </x:row>
    <x:row r="901" ht="22" customHeight="1">
      <x:c r="A901" s="3" t="str">
        <x:v>T2891772</x:v>
      </x:c>
      <x:c r="B901" s="7" t="d">
        <x:v>2026-10-08T00:00:00.000Z</x:v>
      </x:c>
      <x:c r="C901" s="3" t="str">
        <x:v>Taladrod</x:v>
      </x:c>
      <x:c r="D901" s="3" t="str">
        <x:v>Toyota</x:v>
      </x:c>
      <x:c r="E901" s="3" t="str">
        <x:v>日本</x:v>
      </x:c>
      <x:c r="F901" s="3" t="str">
        <x:v>Hilux Revo</x:v>
      </x:c>
      <x:c r="G901" s="3" t="str">
        <x:v>ICE</x:v>
      </x:c>
      <x:c r="H901" s="3" t="str">
        <x:v>Pickup</x:v>
      </x:c>
      <x:c r="I901" s="3" t="str">
        <x:v>Single cab</x:v>
      </x:c>
      <x:c r="J901" s="3" t="n">
        <x:v>2025</x:v>
      </x:c>
      <x:c r="K901" s="3" t="str">
        <x:v>2.4 ENTRY STANDARD CAB</x:v>
      </x:c>
      <x:c r="L901" s="3" t="str">
        <x:v>2.4 ENTRY STANDARD CAB</x:v>
      </x:c>
      <x:c r="M901" s="22"/>
      <x:c r="N901" s="22"/>
      <x:c r="O901" s="22"/>
      <x:c r="P901" s="3" t="str">
        <x:v>未掲載</x:v>
      </x:c>
      <x:c r="Q901" s="3" t="str">
        <x:v>未取得</x:v>
      </x:c>
      <x:c r="R901" s="3" t="str">
        <x:v>Unknown</x:v>
      </x:c>
      <x:c r="S901" s="3" t="str">
        <x:v>不明</x:v>
      </x:c>
      <x:c r="T901" s="3" t="str">
        <x:v>世代不明</x:v>
      </x:c>
      <x:c r="U901" s="28" t="n">
        <x:v>679000</x:v>
      </x:c>
      <x:c r="V901" s="28"/>
      <x:c r="W901" s="3" t="str">
        <x:v>事故・水没・SOH・保証残は未確認</x:v>
      </x:c>
      <x:c r="X901" s="3" t="str">
        <x:v>掲載中・在庫未確認</x:v>
      </x:c>
      <x:c r="Y901" s="3" t="str"/>
      <x:c r="Z901" s="27" t="str">
        <x:v>https://www.taladrod.com/w40/icar/cardet.aspx?cid=2891772</x:v>
      </x:c>
      <x:c r="AA901" s="3" t="str">
        <x:v>Taladrod個別広告ID／Carsome在庫ID</x:v>
      </x:c>
      <x:c r="AB901" s="3" t="str">
        <x:v>車台番号未取得／サイト間重複は未判定</x:v>
      </x:c>
      <x:c r="AC901" s="3" t="str">
        <x:v>税込区分未確認（一覧表示額）</x:v>
      </x:c>
      <x:c r="AD901" s="3" t="str"/>
      <x:c r="AE901" s="29" t="str">
        <x:f>""</x:f>
      </x:c>
      <x:c r="AF901" s="30" t="str">
        <x:f>IF(ISNUMBER(AE901),U901/AE901,"")</x:f>
      </x:c>
      <x:c r="AG901" s="29" t="str">
        <x:f>""</x:f>
      </x:c>
      <x:c r="AH901" s="30" t="str">
        <x:f>IF(ISNUMBER(AG901),U901/AG901,"")</x:f>
      </x:c>
      <x:c r="AI901" s="3" t="str">
        <x:v>同年式・グレードの検証済み当時価格なし／登録年混在</x:v>
      </x:c>
      <x:c r="AJ901" s="3" t="str">
        <x:v>一覧価格/年式のみ</x:v>
      </x:c>
      <x:c r="AK901" s="3" t="str">
        <x:v>一覧の表示価格。年式は掲載年式。</x:v>
      </x:c>
      <x:c r="AL901" s="31" t="n">
        <x:f>IF(AND(J901&lt;='分析方法'!$B$7,OR(ISBLANK(O901),O901&gt;='分析方法'!$B$8),X901&lt;&gt;"売却済み表示"),1,0)</x:f>
        <x:v>1</x:v>
      </x:c>
      <x:c r="AM901" s="32" t="n">
        <x:f>IF(AL901=1,U901,"")</x:f>
        <x:v>679000</x:v>
      </x:c>
      <x:c r="AN901" s="33" t="str">
        <x:f>IF(AL901=1,AF901,"")</x:f>
      </x:c>
      <x:c r="AO901" s="31" t="n">
        <x:f>'分析方法'!$B$6-J901</x:f>
        <x:v>1</x:v>
      </x:c>
      <x:c r="AP901" s="3"/>
    </x:row>
    <x:row r="902" ht="22" customHeight="1">
      <x:c r="A902" s="3" t="str">
        <x:v>T2895687</x:v>
      </x:c>
      <x:c r="B902" s="7" t="d">
        <x:v>2026-10-08T00:00:00.000Z</x:v>
      </x:c>
      <x:c r="C902" s="3" t="str">
        <x:v>Taladrod</x:v>
      </x:c>
      <x:c r="D902" s="3" t="str">
        <x:v>Toyota</x:v>
      </x:c>
      <x:c r="E902" s="3" t="str">
        <x:v>日本</x:v>
      </x:c>
      <x:c r="F902" s="3" t="str">
        <x:v>Hilux Revo</x:v>
      </x:c>
      <x:c r="G902" s="3" t="str">
        <x:v>ICE</x:v>
      </x:c>
      <x:c r="H902" s="3" t="str">
        <x:v>Pickup</x:v>
      </x:c>
      <x:c r="I902" s="3" t="str">
        <x:v>Single cab</x:v>
      </x:c>
      <x:c r="J902" s="3" t="n">
        <x:v>2025</x:v>
      </x:c>
      <x:c r="K902" s="3" t="str">
        <x:v>2.4 ENTRY STANDARD CAB</x:v>
      </x:c>
      <x:c r="L902" s="3" t="str">
        <x:v>2.4 ENTRY STANDARD CAB</x:v>
      </x:c>
      <x:c r="M902" s="22"/>
      <x:c r="N902" s="22"/>
      <x:c r="O902" s="22"/>
      <x:c r="P902" s="3" t="str">
        <x:v>未掲載</x:v>
      </x:c>
      <x:c r="Q902" s="3" t="str">
        <x:v>未取得</x:v>
      </x:c>
      <x:c r="R902" s="3" t="str">
        <x:v>Unknown</x:v>
      </x:c>
      <x:c r="S902" s="3" t="str">
        <x:v>不明</x:v>
      </x:c>
      <x:c r="T902" s="3" t="str">
        <x:v>世代不明</x:v>
      </x:c>
      <x:c r="U902" s="28" t="n">
        <x:v>599000</x:v>
      </x:c>
      <x:c r="V902" s="28"/>
      <x:c r="W902" s="3" t="str">
        <x:v>事故・水没・SOH・保証残は未確認</x:v>
      </x:c>
      <x:c r="X902" s="3" t="str">
        <x:v>掲載中・在庫未確認</x:v>
      </x:c>
      <x:c r="Y902" s="3" t="str"/>
      <x:c r="Z902" s="27" t="str">
        <x:v>https://www.taladrod.com/w40/icar/cardet.aspx?cid=2895687</x:v>
      </x:c>
      <x:c r="AA902" s="3" t="str">
        <x:v>Taladrod個別広告ID／Carsome在庫ID</x:v>
      </x:c>
      <x:c r="AB902" s="3" t="str">
        <x:v>車台番号未取得／サイト間重複は未判定</x:v>
      </x:c>
      <x:c r="AC902" s="3" t="str">
        <x:v>税込区分未確認（一覧表示額）</x:v>
      </x:c>
      <x:c r="AD902" s="3" t="str"/>
      <x:c r="AE902" s="29" t="str">
        <x:f>""</x:f>
      </x:c>
      <x:c r="AF902" s="30" t="str">
        <x:f>IF(ISNUMBER(AE902),U902/AE902,"")</x:f>
      </x:c>
      <x:c r="AG902" s="29" t="str">
        <x:f>""</x:f>
      </x:c>
      <x:c r="AH902" s="30" t="str">
        <x:f>IF(ISNUMBER(AG902),U902/AG902,"")</x:f>
      </x:c>
      <x:c r="AI902" s="3" t="str">
        <x:v>同年式・グレードの検証済み当時価格なし／登録年混在</x:v>
      </x:c>
      <x:c r="AJ902" s="3" t="str">
        <x:v>一覧価格/年式のみ</x:v>
      </x:c>
      <x:c r="AK902" s="3" t="str">
        <x:v>一覧の表示価格。年式は掲載年式。</x:v>
      </x:c>
      <x:c r="AL902" s="31" t="n">
        <x:f>IF(AND(J902&lt;='分析方法'!$B$7,OR(ISBLANK(O902),O902&gt;='分析方法'!$B$8),X902&lt;&gt;"売却済み表示"),1,0)</x:f>
        <x:v>1</x:v>
      </x:c>
      <x:c r="AM902" s="32" t="n">
        <x:f>IF(AL902=1,U902,"")</x:f>
        <x:v>599000</x:v>
      </x:c>
      <x:c r="AN902" s="33" t="str">
        <x:f>IF(AL902=1,AF902,"")</x:f>
      </x:c>
      <x:c r="AO902" s="31" t="n">
        <x:f>'分析方法'!$B$6-J902</x:f>
        <x:v>1</x:v>
      </x:c>
      <x:c r="AP902" s="3"/>
    </x:row>
    <x:row r="903" ht="22" customHeight="1">
      <x:c r="A903" s="3" t="str">
        <x:v>T2905123</x:v>
      </x:c>
      <x:c r="B903" s="7" t="d">
        <x:v>2026-10-08T00:00:00.000Z</x:v>
      </x:c>
      <x:c r="C903" s="3" t="str">
        <x:v>Taladrod</x:v>
      </x:c>
      <x:c r="D903" s="3" t="str">
        <x:v>Toyota</x:v>
      </x:c>
      <x:c r="E903" s="3" t="str">
        <x:v>日本</x:v>
      </x:c>
      <x:c r="F903" s="3" t="str">
        <x:v>Hilux Revo</x:v>
      </x:c>
      <x:c r="G903" s="3" t="str">
        <x:v>ICE</x:v>
      </x:c>
      <x:c r="H903" s="3" t="str">
        <x:v>Pickup</x:v>
      </x:c>
      <x:c r="I903" s="3" t="str">
        <x:v>Single cab</x:v>
      </x:c>
      <x:c r="J903" s="3" t="n">
        <x:v>2025</x:v>
      </x:c>
      <x:c r="K903" s="3" t="str">
        <x:v>2.4 ENTRY STANDARD CAB</x:v>
      </x:c>
      <x:c r="L903" s="3" t="str">
        <x:v>2.4 ENTRY STANDARD CAB</x:v>
      </x:c>
      <x:c r="M903" s="22"/>
      <x:c r="N903" s="22"/>
      <x:c r="O903" s="22"/>
      <x:c r="P903" s="3" t="str">
        <x:v>未掲載</x:v>
      </x:c>
      <x:c r="Q903" s="3" t="str">
        <x:v>未取得</x:v>
      </x:c>
      <x:c r="R903" s="3" t="str">
        <x:v>Unknown</x:v>
      </x:c>
      <x:c r="S903" s="3" t="str">
        <x:v>不明</x:v>
      </x:c>
      <x:c r="T903" s="3" t="str">
        <x:v>世代不明</x:v>
      </x:c>
      <x:c r="U903" s="28" t="n">
        <x:v>499000</x:v>
      </x:c>
      <x:c r="V903" s="28"/>
      <x:c r="W903" s="3" t="str">
        <x:v>事故・水没・SOH・保証残は未確認</x:v>
      </x:c>
      <x:c r="X903" s="3" t="str">
        <x:v>掲載中・在庫未確認</x:v>
      </x:c>
      <x:c r="Y903" s="3" t="str"/>
      <x:c r="Z903" s="27" t="str">
        <x:v>https://www.taladrod.com/w40/icar/cardet.aspx?cid=2905123</x:v>
      </x:c>
      <x:c r="AA903" s="3" t="str">
        <x:v>Taladrod個別広告ID／Carsome在庫ID</x:v>
      </x:c>
      <x:c r="AB903" s="3" t="str">
        <x:v>車台番号未取得／サイト間重複は未判定</x:v>
      </x:c>
      <x:c r="AC903" s="3" t="str">
        <x:v>税込区分未確認（一覧表示額）</x:v>
      </x:c>
      <x:c r="AD903" s="3" t="str"/>
      <x:c r="AE903" s="29" t="str">
        <x:f>""</x:f>
      </x:c>
      <x:c r="AF903" s="30" t="str">
        <x:f>IF(ISNUMBER(AE903),U903/AE903,"")</x:f>
      </x:c>
      <x:c r="AG903" s="29" t="str">
        <x:f>""</x:f>
      </x:c>
      <x:c r="AH903" s="30" t="str">
        <x:f>IF(ISNUMBER(AG903),U903/AG903,"")</x:f>
      </x:c>
      <x:c r="AI903" s="3" t="str">
        <x:v>同年式・グレードの検証済み当時価格なし／登録年混在</x:v>
      </x:c>
      <x:c r="AJ903" s="3" t="str">
        <x:v>一覧価格/年式のみ</x:v>
      </x:c>
      <x:c r="AK903" s="3" t="str">
        <x:v>一覧の表示価格。年式は掲載年式。</x:v>
      </x:c>
      <x:c r="AL903" s="31" t="n">
        <x:f>IF(AND(J903&lt;='分析方法'!$B$7,OR(ISBLANK(O903),O903&gt;='分析方法'!$B$8),X903&lt;&gt;"売却済み表示"),1,0)</x:f>
        <x:v>1</x:v>
      </x:c>
      <x:c r="AM903" s="32" t="n">
        <x:f>IF(AL903=1,U903,"")</x:f>
        <x:v>499000</x:v>
      </x:c>
      <x:c r="AN903" s="33" t="str">
        <x:f>IF(AL903=1,AF903,"")</x:f>
      </x:c>
      <x:c r="AO903" s="31" t="n">
        <x:f>'分析方法'!$B$6-J903</x:f>
        <x:v>1</x:v>
      </x:c>
      <x:c r="AP903" s="3"/>
    </x:row>
    <x:row r="904" ht="22" customHeight="1">
      <x:c r="A904" s="3" t="str">
        <x:v>T2907343</x:v>
      </x:c>
      <x:c r="B904" s="7" t="d">
        <x:v>2026-10-08T00:00:00.000Z</x:v>
      </x:c>
      <x:c r="C904" s="3" t="str">
        <x:v>Taladrod</x:v>
      </x:c>
      <x:c r="D904" s="3" t="str">
        <x:v>Toyota</x:v>
      </x:c>
      <x:c r="E904" s="3" t="str">
        <x:v>日本</x:v>
      </x:c>
      <x:c r="F904" s="3" t="str">
        <x:v>Hilux Revo</x:v>
      </x:c>
      <x:c r="G904" s="3" t="str">
        <x:v>ICE</x:v>
      </x:c>
      <x:c r="H904" s="3" t="str">
        <x:v>Pickup</x:v>
      </x:c>
      <x:c r="I904" s="3" t="str">
        <x:v>Single cab</x:v>
      </x:c>
      <x:c r="J904" s="3" t="n">
        <x:v>2025</x:v>
      </x:c>
      <x:c r="K904" s="3" t="str">
        <x:v>2.4 ENTRY STANDARD CAB</x:v>
      </x:c>
      <x:c r="L904" s="3" t="str">
        <x:v>2.4 ENTRY STANDARD CAB</x:v>
      </x:c>
      <x:c r="M904" s="22"/>
      <x:c r="N904" s="22"/>
      <x:c r="O904" s="22"/>
      <x:c r="P904" s="3" t="str">
        <x:v>未掲載</x:v>
      </x:c>
      <x:c r="Q904" s="3" t="str">
        <x:v>未取得</x:v>
      </x:c>
      <x:c r="R904" s="3" t="str">
        <x:v>Unknown</x:v>
      </x:c>
      <x:c r="S904" s="3" t="str">
        <x:v>不明</x:v>
      </x:c>
      <x:c r="T904" s="3" t="str">
        <x:v>世代不明</x:v>
      </x:c>
      <x:c r="U904" s="28" t="n">
        <x:v>549000</x:v>
      </x:c>
      <x:c r="V904" s="28"/>
      <x:c r="W904" s="3" t="str">
        <x:v>事故・水没・SOH・保証残は未確認</x:v>
      </x:c>
      <x:c r="X904" s="3" t="str">
        <x:v>掲載中・在庫未確認</x:v>
      </x:c>
      <x:c r="Y904" s="3" t="str"/>
      <x:c r="Z904" s="27" t="str">
        <x:v>https://www.taladrod.com/w40/icar/cardet.aspx?cid=2907343</x:v>
      </x:c>
      <x:c r="AA904" s="3" t="str">
        <x:v>Taladrod個別広告ID／Carsome在庫ID</x:v>
      </x:c>
      <x:c r="AB904" s="3" t="str">
        <x:v>車台番号未取得／サイト間重複は未判定</x:v>
      </x:c>
      <x:c r="AC904" s="3" t="str">
        <x:v>税込区分未確認（一覧表示額）</x:v>
      </x:c>
      <x:c r="AD904" s="3" t="str"/>
      <x:c r="AE904" s="29" t="str">
        <x:f>""</x:f>
      </x:c>
      <x:c r="AF904" s="30" t="str">
        <x:f>IF(ISNUMBER(AE904),U904/AE904,"")</x:f>
      </x:c>
      <x:c r="AG904" s="29" t="str">
        <x:f>""</x:f>
      </x:c>
      <x:c r="AH904" s="30" t="str">
        <x:f>IF(ISNUMBER(AG904),U904/AG904,"")</x:f>
      </x:c>
      <x:c r="AI904" s="3" t="str">
        <x:v>同年式・グレードの検証済み当時価格なし／登録年混在</x:v>
      </x:c>
      <x:c r="AJ904" s="3" t="str">
        <x:v>一覧価格/年式のみ</x:v>
      </x:c>
      <x:c r="AK904" s="3" t="str">
        <x:v>一覧の表示価格。年式は掲載年式。</x:v>
      </x:c>
      <x:c r="AL904" s="31" t="n">
        <x:f>IF(AND(J904&lt;='分析方法'!$B$7,OR(ISBLANK(O904),O904&gt;='分析方法'!$B$8),X904&lt;&gt;"売却済み表示"),1,0)</x:f>
        <x:v>1</x:v>
      </x:c>
      <x:c r="AM904" s="32" t="n">
        <x:f>IF(AL904=1,U904,"")</x:f>
        <x:v>549000</x:v>
      </x:c>
      <x:c r="AN904" s="33" t="str">
        <x:f>IF(AL904=1,AF904,"")</x:f>
      </x:c>
      <x:c r="AO904" s="31" t="n">
        <x:f>'分析方法'!$B$6-J904</x:f>
        <x:v>1</x:v>
      </x:c>
      <x:c r="AP904" s="3"/>
    </x:row>
    <x:row r="905" ht="22" customHeight="1">
      <x:c r="A905" s="3" t="str">
        <x:v>T2912745</x:v>
      </x:c>
      <x:c r="B905" s="7" t="d">
        <x:v>2026-10-08T00:00:00.000Z</x:v>
      </x:c>
      <x:c r="C905" s="3" t="str">
        <x:v>Taladrod</x:v>
      </x:c>
      <x:c r="D905" s="3" t="str">
        <x:v>Toyota</x:v>
      </x:c>
      <x:c r="E905" s="3" t="str">
        <x:v>日本</x:v>
      </x:c>
      <x:c r="F905" s="3" t="str">
        <x:v>Hilux Revo</x:v>
      </x:c>
      <x:c r="G905" s="3" t="str">
        <x:v>ICE</x:v>
      </x:c>
      <x:c r="H905" s="3" t="str">
        <x:v>Pickup</x:v>
      </x:c>
      <x:c r="I905" s="3" t="str">
        <x:v>Single cab</x:v>
      </x:c>
      <x:c r="J905" s="3" t="n">
        <x:v>2025</x:v>
      </x:c>
      <x:c r="K905" s="3" t="str">
        <x:v>2.4 ENTRY STANDARD CAB</x:v>
      </x:c>
      <x:c r="L905" s="3" t="str">
        <x:v>2.4 ENTRY STANDARD CAB</x:v>
      </x:c>
      <x:c r="M905" s="22"/>
      <x:c r="N905" s="22"/>
      <x:c r="O905" s="22"/>
      <x:c r="P905" s="3" t="str">
        <x:v>未掲載</x:v>
      </x:c>
      <x:c r="Q905" s="3" t="str">
        <x:v>未取得</x:v>
      </x:c>
      <x:c r="R905" s="3" t="str">
        <x:v>Unknown</x:v>
      </x:c>
      <x:c r="S905" s="3" t="str">
        <x:v>不明</x:v>
      </x:c>
      <x:c r="T905" s="3" t="str">
        <x:v>世代不明</x:v>
      </x:c>
      <x:c r="U905" s="28" t="n">
        <x:v>455000</x:v>
      </x:c>
      <x:c r="V905" s="28"/>
      <x:c r="W905" s="3" t="str">
        <x:v>事故・水没・SOH・保証残は未確認</x:v>
      </x:c>
      <x:c r="X905" s="3" t="str">
        <x:v>掲載中・在庫未確認</x:v>
      </x:c>
      <x:c r="Y905" s="3" t="str"/>
      <x:c r="Z905" s="27" t="str">
        <x:v>https://www.taladrod.com/w40/icar/cardet.aspx?cid=2912745</x:v>
      </x:c>
      <x:c r="AA905" s="3" t="str">
        <x:v>Taladrod個別広告ID／Carsome在庫ID</x:v>
      </x:c>
      <x:c r="AB905" s="3" t="str">
        <x:v>車台番号未取得／サイト間重複は未判定</x:v>
      </x:c>
      <x:c r="AC905" s="3" t="str">
        <x:v>税込区分未確認（一覧表示額）</x:v>
      </x:c>
      <x:c r="AD905" s="3" t="str"/>
      <x:c r="AE905" s="29" t="str">
        <x:f>""</x:f>
      </x:c>
      <x:c r="AF905" s="30" t="str">
        <x:f>IF(ISNUMBER(AE905),U905/AE905,"")</x:f>
      </x:c>
      <x:c r="AG905" s="29" t="str">
        <x:f>""</x:f>
      </x:c>
      <x:c r="AH905" s="30" t="str">
        <x:f>IF(ISNUMBER(AG905),U905/AG905,"")</x:f>
      </x:c>
      <x:c r="AI905" s="3" t="str">
        <x:v>同年式・グレードの検証済み当時価格なし／登録年混在</x:v>
      </x:c>
      <x:c r="AJ905" s="3" t="str">
        <x:v>一覧価格/年式のみ</x:v>
      </x:c>
      <x:c r="AK905" s="3" t="str">
        <x:v>一覧の表示価格。年式は掲載年式。</x:v>
      </x:c>
      <x:c r="AL905" s="31" t="n">
        <x:f>IF(AND(J905&lt;='分析方法'!$B$7,OR(ISBLANK(O905),O905&gt;='分析方法'!$B$8),X905&lt;&gt;"売却済み表示"),1,0)</x:f>
        <x:v>1</x:v>
      </x:c>
      <x:c r="AM905" s="32" t="n">
        <x:f>IF(AL905=1,U905,"")</x:f>
        <x:v>455000</x:v>
      </x:c>
      <x:c r="AN905" s="33" t="str">
        <x:f>IF(AL905=1,AF905,"")</x:f>
      </x:c>
      <x:c r="AO905" s="31" t="n">
        <x:f>'分析方法'!$B$6-J905</x:f>
        <x:v>1</x:v>
      </x:c>
      <x:c r="AP905" s="3"/>
    </x:row>
    <x:row r="906" ht="22" customHeight="1">
      <x:c r="A906" s="3" t="str">
        <x:v>T2914321</x:v>
      </x:c>
      <x:c r="B906" s="7" t="d">
        <x:v>2026-10-08T00:00:00.000Z</x:v>
      </x:c>
      <x:c r="C906" s="3" t="str">
        <x:v>Taladrod</x:v>
      </x:c>
      <x:c r="D906" s="3" t="str">
        <x:v>Toyota</x:v>
      </x:c>
      <x:c r="E906" s="3" t="str">
        <x:v>日本</x:v>
      </x:c>
      <x:c r="F906" s="3" t="str">
        <x:v>Hilux Revo</x:v>
      </x:c>
      <x:c r="G906" s="3" t="str">
        <x:v>ICE</x:v>
      </x:c>
      <x:c r="H906" s="3" t="str">
        <x:v>Pickup</x:v>
      </x:c>
      <x:c r="I906" s="3" t="str">
        <x:v>Single cab</x:v>
      </x:c>
      <x:c r="J906" s="3" t="n">
        <x:v>2025</x:v>
      </x:c>
      <x:c r="K906" s="3" t="str">
        <x:v>2.4 ENTRY STANDARD CAB</x:v>
      </x:c>
      <x:c r="L906" s="3" t="str">
        <x:v>2.4 ENTRY STANDARD CAB</x:v>
      </x:c>
      <x:c r="M906" s="22"/>
      <x:c r="N906" s="22"/>
      <x:c r="O906" s="22"/>
      <x:c r="P906" s="3" t="str">
        <x:v>未掲載</x:v>
      </x:c>
      <x:c r="Q906" s="3" t="str">
        <x:v>未取得</x:v>
      </x:c>
      <x:c r="R906" s="3" t="str">
        <x:v>Unknown</x:v>
      </x:c>
      <x:c r="S906" s="3" t="str">
        <x:v>不明</x:v>
      </x:c>
      <x:c r="T906" s="3" t="str">
        <x:v>世代不明</x:v>
      </x:c>
      <x:c r="U906" s="28" t="n">
        <x:v>519000</x:v>
      </x:c>
      <x:c r="V906" s="28"/>
      <x:c r="W906" s="3" t="str">
        <x:v>事故・水没・SOH・保証残は未確認</x:v>
      </x:c>
      <x:c r="X906" s="3" t="str">
        <x:v>掲載中・在庫未確認</x:v>
      </x:c>
      <x:c r="Y906" s="3" t="str"/>
      <x:c r="Z906" s="27" t="str">
        <x:v>https://www.taladrod.com/w40/icar/cardet.aspx?cid=2914321</x:v>
      </x:c>
      <x:c r="AA906" s="3" t="str">
        <x:v>Taladrod個別広告ID／Carsome在庫ID</x:v>
      </x:c>
      <x:c r="AB906" s="3" t="str">
        <x:v>車台番号未取得／サイト間重複は未判定</x:v>
      </x:c>
      <x:c r="AC906" s="3" t="str">
        <x:v>税込区分未確認（一覧表示額）</x:v>
      </x:c>
      <x:c r="AD906" s="3" t="str"/>
      <x:c r="AE906" s="29" t="str">
        <x:f>""</x:f>
      </x:c>
      <x:c r="AF906" s="30" t="str">
        <x:f>IF(ISNUMBER(AE906),U906/AE906,"")</x:f>
      </x:c>
      <x:c r="AG906" s="29" t="str">
        <x:f>""</x:f>
      </x:c>
      <x:c r="AH906" s="30" t="str">
        <x:f>IF(ISNUMBER(AG906),U906/AG906,"")</x:f>
      </x:c>
      <x:c r="AI906" s="3" t="str">
        <x:v>同年式・グレードの検証済み当時価格なし／登録年混在</x:v>
      </x:c>
      <x:c r="AJ906" s="3" t="str">
        <x:v>一覧価格/年式のみ</x:v>
      </x:c>
      <x:c r="AK906" s="3" t="str">
        <x:v>一覧の表示価格。年式は掲載年式。</x:v>
      </x:c>
      <x:c r="AL906" s="31" t="n">
        <x:f>IF(AND(J906&lt;='分析方法'!$B$7,OR(ISBLANK(O906),O906&gt;='分析方法'!$B$8),X906&lt;&gt;"売却済み表示"),1,0)</x:f>
        <x:v>1</x:v>
      </x:c>
      <x:c r="AM906" s="32" t="n">
        <x:f>IF(AL906=1,U906,"")</x:f>
        <x:v>519000</x:v>
      </x:c>
      <x:c r="AN906" s="33" t="str">
        <x:f>IF(AL906=1,AF906,"")</x:f>
      </x:c>
      <x:c r="AO906" s="31" t="n">
        <x:f>'分析方法'!$B$6-J906</x:f>
        <x:v>1</x:v>
      </x:c>
      <x:c r="AP906" s="3"/>
    </x:row>
    <x:row r="907" ht="22" customHeight="1">
      <x:c r="A907" s="3" t="str">
        <x:v>T2888572</x:v>
      </x:c>
      <x:c r="B907" s="7" t="d">
        <x:v>2026-10-08T00:00:00.000Z</x:v>
      </x:c>
      <x:c r="C907" s="3" t="str">
        <x:v>Taladrod</x:v>
      </x:c>
      <x:c r="D907" s="3" t="str">
        <x:v>Toyota</x:v>
      </x:c>
      <x:c r="E907" s="3" t="str">
        <x:v>日本</x:v>
      </x:c>
      <x:c r="F907" s="3" t="str">
        <x:v>Hilux Revo</x:v>
      </x:c>
      <x:c r="G907" s="3" t="str">
        <x:v>ICE</x:v>
      </x:c>
      <x:c r="H907" s="3" t="str">
        <x:v>Pickup</x:v>
      </x:c>
      <x:c r="I907" s="3" t="str">
        <x:v>Double cab</x:v>
      </x:c>
      <x:c r="J907" s="3" t="n">
        <x:v>2025</x:v>
      </x:c>
      <x:c r="K907" s="3" t="str">
        <x:v>2.4 ENTRY Z EDITION DOUBLE CAB</x:v>
      </x:c>
      <x:c r="L907" s="3" t="str">
        <x:v>2.4 ENTRY Z EDITION DOUBLE CAB</x:v>
      </x:c>
      <x:c r="M907" s="22"/>
      <x:c r="N907" s="22"/>
      <x:c r="O907" s="22"/>
      <x:c r="P907" s="3" t="str">
        <x:v>未掲載</x:v>
      </x:c>
      <x:c r="Q907" s="3" t="str">
        <x:v>未取得</x:v>
      </x:c>
      <x:c r="R907" s="3" t="str">
        <x:v>Unknown</x:v>
      </x:c>
      <x:c r="S907" s="3" t="str">
        <x:v>不明</x:v>
      </x:c>
      <x:c r="T907" s="3" t="str">
        <x:v>世代不明</x:v>
      </x:c>
      <x:c r="U907" s="28" t="n">
        <x:v>519000</x:v>
      </x:c>
      <x:c r="V907" s="28"/>
      <x:c r="W907" s="3" t="str">
        <x:v>事故・水没・SOH・保証残は未確認</x:v>
      </x:c>
      <x:c r="X907" s="3" t="str">
        <x:v>掲載中・在庫未確認</x:v>
      </x:c>
      <x:c r="Y907" s="3" t="str"/>
      <x:c r="Z907" s="27" t="str">
        <x:v>https://www.taladrod.com/w40/icar/cardet.aspx?cid=2888572</x:v>
      </x:c>
      <x:c r="AA907" s="3" t="str">
        <x:v>Taladrod個別広告ID／Carsome在庫ID</x:v>
      </x:c>
      <x:c r="AB907" s="3" t="str">
        <x:v>車台番号未取得／サイト間重複は未判定</x:v>
      </x:c>
      <x:c r="AC907" s="3" t="str">
        <x:v>税込区分未確認（一覧表示額）</x:v>
      </x:c>
      <x:c r="AD907" s="3" t="str"/>
      <x:c r="AE907" s="29" t="str">
        <x:f>""</x:f>
      </x:c>
      <x:c r="AF907" s="30" t="str">
        <x:f>IF(ISNUMBER(AE907),U907/AE907,"")</x:f>
      </x:c>
      <x:c r="AG907" s="29" t="str">
        <x:f>""</x:f>
      </x:c>
      <x:c r="AH907" s="30" t="str">
        <x:f>IF(ISNUMBER(AG907),U907/AG907,"")</x:f>
      </x:c>
      <x:c r="AI907" s="3" t="str">
        <x:v>同年式・グレードの検証済み当時価格なし／登録年混在</x:v>
      </x:c>
      <x:c r="AJ907" s="3" t="str">
        <x:v>一覧価格/年式のみ</x:v>
      </x:c>
      <x:c r="AK907" s="3" t="str">
        <x:v>一覧の表示価格。年式は掲載年式。</x:v>
      </x:c>
      <x:c r="AL907" s="31" t="n">
        <x:f>IF(AND(J907&lt;='分析方法'!$B$7,OR(ISBLANK(O907),O907&gt;='分析方法'!$B$8),X907&lt;&gt;"売却済み表示"),1,0)</x:f>
        <x:v>1</x:v>
      </x:c>
      <x:c r="AM907" s="32" t="n">
        <x:f>IF(AL907=1,U907,"")</x:f>
        <x:v>519000</x:v>
      </x:c>
      <x:c r="AN907" s="33" t="str">
        <x:f>IF(AL907=1,AF907,"")</x:f>
      </x:c>
      <x:c r="AO907" s="31" t="n">
        <x:f>'分析方法'!$B$6-J907</x:f>
        <x:v>1</x:v>
      </x:c>
      <x:c r="AP907" s="3"/>
    </x:row>
    <x:row r="908" ht="22" customHeight="1">
      <x:c r="A908" s="3" t="str">
        <x:v>T2905391</x:v>
      </x:c>
      <x:c r="B908" s="7" t="d">
        <x:v>2026-10-08T00:00:00.000Z</x:v>
      </x:c>
      <x:c r="C908" s="3" t="str">
        <x:v>Taladrod</x:v>
      </x:c>
      <x:c r="D908" s="3" t="str">
        <x:v>Toyota</x:v>
      </x:c>
      <x:c r="E908" s="3" t="str">
        <x:v>日本</x:v>
      </x:c>
      <x:c r="F908" s="3" t="str">
        <x:v>Hilux Revo</x:v>
      </x:c>
      <x:c r="G908" s="3" t="str">
        <x:v>ICE</x:v>
      </x:c>
      <x:c r="H908" s="3" t="str">
        <x:v>Pickup</x:v>
      </x:c>
      <x:c r="I908" s="3" t="str">
        <x:v>Double cab</x:v>
      </x:c>
      <x:c r="J908" s="3" t="n">
        <x:v>2025</x:v>
      </x:c>
      <x:c r="K908" s="3" t="str">
        <x:v>2.4 ENTRY Z EDITION DOUBLE CAB</x:v>
      </x:c>
      <x:c r="L908" s="3" t="str">
        <x:v>2.4 ENTRY Z EDITION DOUBLE CAB</x:v>
      </x:c>
      <x:c r="M908" s="22"/>
      <x:c r="N908" s="22"/>
      <x:c r="O908" s="22"/>
      <x:c r="P908" s="3" t="str">
        <x:v>未掲載</x:v>
      </x:c>
      <x:c r="Q908" s="3" t="str">
        <x:v>未取得</x:v>
      </x:c>
      <x:c r="R908" s="3" t="str">
        <x:v>Unknown</x:v>
      </x:c>
      <x:c r="S908" s="3" t="str">
        <x:v>不明</x:v>
      </x:c>
      <x:c r="T908" s="3" t="str">
        <x:v>世代不明</x:v>
      </x:c>
      <x:c r="U908" s="28" t="n">
        <x:v>589000</x:v>
      </x:c>
      <x:c r="V908" s="28"/>
      <x:c r="W908" s="3" t="str">
        <x:v>事故・水没・SOH・保証残は未確認</x:v>
      </x:c>
      <x:c r="X908" s="3" t="str">
        <x:v>掲載中・在庫未確認</x:v>
      </x:c>
      <x:c r="Y908" s="3" t="str"/>
      <x:c r="Z908" s="27" t="str">
        <x:v>https://www.taladrod.com/w40/icar/cardet.aspx?cid=2905391</x:v>
      </x:c>
      <x:c r="AA908" s="3" t="str">
        <x:v>Taladrod個別広告ID／Carsome在庫ID</x:v>
      </x:c>
      <x:c r="AB908" s="3" t="str">
        <x:v>車台番号未取得／サイト間重複は未判定</x:v>
      </x:c>
      <x:c r="AC908" s="3" t="str">
        <x:v>税込区分未確認（一覧表示額）</x:v>
      </x:c>
      <x:c r="AD908" s="3" t="str"/>
      <x:c r="AE908" s="29" t="str">
        <x:f>""</x:f>
      </x:c>
      <x:c r="AF908" s="30" t="str">
        <x:f>IF(ISNUMBER(AE908),U908/AE908,"")</x:f>
      </x:c>
      <x:c r="AG908" s="29" t="str">
        <x:f>""</x:f>
      </x:c>
      <x:c r="AH908" s="30" t="str">
        <x:f>IF(ISNUMBER(AG908),U908/AG908,"")</x:f>
      </x:c>
      <x:c r="AI908" s="3" t="str">
        <x:v>同年式・グレードの検証済み当時価格なし／登録年混在</x:v>
      </x:c>
      <x:c r="AJ908" s="3" t="str">
        <x:v>一覧価格/年式のみ</x:v>
      </x:c>
      <x:c r="AK908" s="3" t="str">
        <x:v>一覧の表示価格。年式は掲載年式。</x:v>
      </x:c>
      <x:c r="AL908" s="31" t="n">
        <x:f>IF(AND(J908&lt;='分析方法'!$B$7,OR(ISBLANK(O908),O908&gt;='分析方法'!$B$8),X908&lt;&gt;"売却済み表示"),1,0)</x:f>
        <x:v>1</x:v>
      </x:c>
      <x:c r="AM908" s="32" t="n">
        <x:f>IF(AL908=1,U908,"")</x:f>
        <x:v>589000</x:v>
      </x:c>
      <x:c r="AN908" s="33" t="str">
        <x:f>IF(AL908=1,AF908,"")</x:f>
      </x:c>
      <x:c r="AO908" s="31" t="n">
        <x:f>'分析方法'!$B$6-J908</x:f>
        <x:v>1</x:v>
      </x:c>
      <x:c r="AP908" s="3"/>
    </x:row>
    <x:row r="909" ht="22" customHeight="1">
      <x:c r="A909" s="3" t="str">
        <x:v>T2923681</x:v>
      </x:c>
      <x:c r="B909" s="7" t="d">
        <x:v>2026-10-08T00:00:00.000Z</x:v>
      </x:c>
      <x:c r="C909" s="3" t="str">
        <x:v>Taladrod</x:v>
      </x:c>
      <x:c r="D909" s="3" t="str">
        <x:v>Toyota</x:v>
      </x:c>
      <x:c r="E909" s="3" t="str">
        <x:v>日本</x:v>
      </x:c>
      <x:c r="F909" s="3" t="str">
        <x:v>Hilux Revo</x:v>
      </x:c>
      <x:c r="G909" s="3" t="str">
        <x:v>ICE</x:v>
      </x:c>
      <x:c r="H909" s="3" t="str">
        <x:v>Pickup</x:v>
      </x:c>
      <x:c r="I909" s="3" t="str">
        <x:v>Double cab</x:v>
      </x:c>
      <x:c r="J909" s="3" t="n">
        <x:v>2025</x:v>
      </x:c>
      <x:c r="K909" s="3" t="str">
        <x:v>2.4 ENTRY Z EDITION DOUBLE CAB</x:v>
      </x:c>
      <x:c r="L909" s="3" t="str">
        <x:v>2.4 ENTRY Z EDITION DOUBLE CAB</x:v>
      </x:c>
      <x:c r="M909" s="22"/>
      <x:c r="N909" s="22"/>
      <x:c r="O909" s="22"/>
      <x:c r="P909" s="3" t="str">
        <x:v>未掲載</x:v>
      </x:c>
      <x:c r="Q909" s="3" t="str">
        <x:v>未取得</x:v>
      </x:c>
      <x:c r="R909" s="3" t="str">
        <x:v>Unknown</x:v>
      </x:c>
      <x:c r="S909" s="3" t="str">
        <x:v>不明</x:v>
      </x:c>
      <x:c r="T909" s="3" t="str">
        <x:v>世代不明</x:v>
      </x:c>
      <x:c r="U909" s="28" t="n">
        <x:v>599000</x:v>
      </x:c>
      <x:c r="V909" s="28"/>
      <x:c r="W909" s="3" t="str">
        <x:v>事故・水没・SOH・保証残は未確認</x:v>
      </x:c>
      <x:c r="X909" s="3" t="str">
        <x:v>掲載中・在庫未確認</x:v>
      </x:c>
      <x:c r="Y909" s="3" t="str"/>
      <x:c r="Z909" s="27" t="str">
        <x:v>https://www.taladrod.com/w40/icar/cardet.aspx?cid=2923681</x:v>
      </x:c>
      <x:c r="AA909" s="3" t="str">
        <x:v>Taladrod個別広告ID／Carsome在庫ID</x:v>
      </x:c>
      <x:c r="AB909" s="3" t="str">
        <x:v>車台番号未取得／サイト間重複は未判定</x:v>
      </x:c>
      <x:c r="AC909" s="3" t="str">
        <x:v>税込区分未確認（一覧表示額）</x:v>
      </x:c>
      <x:c r="AD909" s="3" t="str"/>
      <x:c r="AE909" s="29" t="str">
        <x:f>""</x:f>
      </x:c>
      <x:c r="AF909" s="30" t="str">
        <x:f>IF(ISNUMBER(AE909),U909/AE909,"")</x:f>
      </x:c>
      <x:c r="AG909" s="29" t="str">
        <x:f>""</x:f>
      </x:c>
      <x:c r="AH909" s="30" t="str">
        <x:f>IF(ISNUMBER(AG909),U909/AG909,"")</x:f>
      </x:c>
      <x:c r="AI909" s="3" t="str">
        <x:v>同年式・グレードの検証済み当時価格なし／登録年混在</x:v>
      </x:c>
      <x:c r="AJ909" s="3" t="str">
        <x:v>一覧価格/年式のみ</x:v>
      </x:c>
      <x:c r="AK909" s="3" t="str">
        <x:v>一覧の表示価格。年式は掲載年式。</x:v>
      </x:c>
      <x:c r="AL909" s="31" t="n">
        <x:f>IF(AND(J909&lt;='分析方法'!$B$7,OR(ISBLANK(O909),O909&gt;='分析方法'!$B$8),X909&lt;&gt;"売却済み表示"),1,0)</x:f>
        <x:v>1</x:v>
      </x:c>
      <x:c r="AM909" s="32" t="n">
        <x:f>IF(AL909=1,U909,"")</x:f>
        <x:v>599000</x:v>
      </x:c>
      <x:c r="AN909" s="33" t="str">
        <x:f>IF(AL909=1,AF909,"")</x:f>
      </x:c>
      <x:c r="AO909" s="31" t="n">
        <x:f>'分析方法'!$B$6-J909</x:f>
        <x:v>1</x:v>
      </x:c>
      <x:c r="AP909" s="3"/>
    </x:row>
    <x:row r="910" ht="22" customHeight="1">
      <x:c r="A910" s="3" t="str">
        <x:v>T2891481</x:v>
      </x:c>
      <x:c r="B910" s="7" t="d">
        <x:v>2026-10-08T00:00:00.000Z</x:v>
      </x:c>
      <x:c r="C910" s="3" t="str">
        <x:v>Taladrod</x:v>
      </x:c>
      <x:c r="D910" s="3" t="str">
        <x:v>Toyota</x:v>
      </x:c>
      <x:c r="E910" s="3" t="str">
        <x:v>日本</x:v>
      </x:c>
      <x:c r="F910" s="3" t="str">
        <x:v>Hilux Revo</x:v>
      </x:c>
      <x:c r="G910" s="3" t="str">
        <x:v>ICE</x:v>
      </x:c>
      <x:c r="H910" s="3" t="str">
        <x:v>Pickup</x:v>
      </x:c>
      <x:c r="I910" s="3" t="str">
        <x:v>Double cab</x:v>
      </x:c>
      <x:c r="J910" s="3" t="n">
        <x:v>2025</x:v>
      </x:c>
      <x:c r="K910" s="3" t="str">
        <x:v>2.4 MID PRERUNNER DOUBLE CAB</x:v>
      </x:c>
      <x:c r="L910" s="3" t="str">
        <x:v>2.4 MID PRERUNNER DOUBLE CAB</x:v>
      </x:c>
      <x:c r="M910" s="22"/>
      <x:c r="N910" s="22"/>
      <x:c r="O910" s="22"/>
      <x:c r="P910" s="3" t="str">
        <x:v>未掲載</x:v>
      </x:c>
      <x:c r="Q910" s="3" t="str">
        <x:v>未取得</x:v>
      </x:c>
      <x:c r="R910" s="3" t="str">
        <x:v>Unknown</x:v>
      </x:c>
      <x:c r="S910" s="3" t="str">
        <x:v>不明</x:v>
      </x:c>
      <x:c r="T910" s="3" t="str">
        <x:v>世代不明</x:v>
      </x:c>
      <x:c r="U910" s="28" t="n">
        <x:v>779000</x:v>
      </x:c>
      <x:c r="V910" s="28"/>
      <x:c r="W910" s="3" t="str">
        <x:v>事故・水没・SOH・保証残は未確認</x:v>
      </x:c>
      <x:c r="X910" s="3" t="str">
        <x:v>掲載中・在庫未確認</x:v>
      </x:c>
      <x:c r="Y910" s="3" t="str"/>
      <x:c r="Z910" s="27" t="str">
        <x:v>https://www.taladrod.com/w40/icar/cardet.aspx?cid=2891481</x:v>
      </x:c>
      <x:c r="AA910" s="3" t="str">
        <x:v>Taladrod個別広告ID／Carsome在庫ID</x:v>
      </x:c>
      <x:c r="AB910" s="3" t="str">
        <x:v>車台番号未取得／サイト間重複は未判定</x:v>
      </x:c>
      <x:c r="AC910" s="3" t="str">
        <x:v>税込区分未確認（一覧表示額）</x:v>
      </x:c>
      <x:c r="AD910" s="3" t="str"/>
      <x:c r="AE910" s="29" t="str">
        <x:f>""</x:f>
      </x:c>
      <x:c r="AF910" s="30" t="str">
        <x:f>IF(ISNUMBER(AE910),U910/AE910,"")</x:f>
      </x:c>
      <x:c r="AG910" s="29" t="str">
        <x:f>""</x:f>
      </x:c>
      <x:c r="AH910" s="30" t="str">
        <x:f>IF(ISNUMBER(AG910),U910/AG910,"")</x:f>
      </x:c>
      <x:c r="AI910" s="3" t="str">
        <x:v>同年式・グレードの検証済み当時価格なし／登録年混在</x:v>
      </x:c>
      <x:c r="AJ910" s="3" t="str">
        <x:v>一覧価格/年式のみ</x:v>
      </x:c>
      <x:c r="AK910" s="3" t="str">
        <x:v>一覧の表示価格。年式は掲載年式。</x:v>
      </x:c>
      <x:c r="AL910" s="31" t="n">
        <x:f>IF(AND(J910&lt;='分析方法'!$B$7,OR(ISBLANK(O910),O910&gt;='分析方法'!$B$8),X910&lt;&gt;"売却済み表示"),1,0)</x:f>
        <x:v>1</x:v>
      </x:c>
      <x:c r="AM910" s="32" t="n">
        <x:f>IF(AL910=1,U910,"")</x:f>
        <x:v>779000</x:v>
      </x:c>
      <x:c r="AN910" s="33" t="str">
        <x:f>IF(AL910=1,AF910,"")</x:f>
      </x:c>
      <x:c r="AO910" s="31" t="n">
        <x:f>'分析方法'!$B$6-J910</x:f>
        <x:v>1</x:v>
      </x:c>
      <x:c r="AP910" s="3"/>
    </x:row>
    <x:row r="911" ht="22" customHeight="1">
      <x:c r="A911" s="3" t="str">
        <x:v>T2915836</x:v>
      </x:c>
      <x:c r="B911" s="7" t="d">
        <x:v>2026-10-08T00:00:00.000Z</x:v>
      </x:c>
      <x:c r="C911" s="3" t="str">
        <x:v>Taladrod</x:v>
      </x:c>
      <x:c r="D911" s="3" t="str">
        <x:v>Toyota</x:v>
      </x:c>
      <x:c r="E911" s="3" t="str">
        <x:v>日本</x:v>
      </x:c>
      <x:c r="F911" s="3" t="str">
        <x:v>Hilux Revo</x:v>
      </x:c>
      <x:c r="G911" s="3" t="str">
        <x:v>ICE</x:v>
      </x:c>
      <x:c r="H911" s="3" t="str">
        <x:v>Pickup</x:v>
      </x:c>
      <x:c r="I911" s="3" t="str">
        <x:v>Double cab</x:v>
      </x:c>
      <x:c r="J911" s="3" t="n">
        <x:v>2025</x:v>
      </x:c>
      <x:c r="K911" s="3" t="str">
        <x:v>2.4 MID PRERUNNER DOUBLE CAB</x:v>
      </x:c>
      <x:c r="L911" s="3" t="str">
        <x:v>2.4 MID PRERUNNER DOUBLE CAB</x:v>
      </x:c>
      <x:c r="M911" s="22"/>
      <x:c r="N911" s="22"/>
      <x:c r="O911" s="22"/>
      <x:c r="P911" s="3" t="str">
        <x:v>未掲載</x:v>
      </x:c>
      <x:c r="Q911" s="3" t="str">
        <x:v>未取得</x:v>
      </x:c>
      <x:c r="R911" s="3" t="str">
        <x:v>Unknown</x:v>
      </x:c>
      <x:c r="S911" s="3" t="str">
        <x:v>不明</x:v>
      </x:c>
      <x:c r="T911" s="3" t="str">
        <x:v>世代不明</x:v>
      </x:c>
      <x:c r="U911" s="28" t="n">
        <x:v>769000</x:v>
      </x:c>
      <x:c r="V911" s="28"/>
      <x:c r="W911" s="3" t="str">
        <x:v>事故・水没・SOH・保証残は未確認</x:v>
      </x:c>
      <x:c r="X911" s="3" t="str">
        <x:v>掲載中・在庫未確認</x:v>
      </x:c>
      <x:c r="Y911" s="3" t="str"/>
      <x:c r="Z911" s="27" t="str">
        <x:v>https://www.taladrod.com/w40/icar/cardet.aspx?cid=2915836</x:v>
      </x:c>
      <x:c r="AA911" s="3" t="str">
        <x:v>Taladrod個別広告ID／Carsome在庫ID</x:v>
      </x:c>
      <x:c r="AB911" s="3" t="str">
        <x:v>車台番号未取得／サイト間重複は未判定</x:v>
      </x:c>
      <x:c r="AC911" s="3" t="str">
        <x:v>税込区分未確認（一覧表示額）</x:v>
      </x:c>
      <x:c r="AD911" s="3" t="str"/>
      <x:c r="AE911" s="29" t="str">
        <x:f>""</x:f>
      </x:c>
      <x:c r="AF911" s="30" t="str">
        <x:f>IF(ISNUMBER(AE911),U911/AE911,"")</x:f>
      </x:c>
      <x:c r="AG911" s="29" t="str">
        <x:f>""</x:f>
      </x:c>
      <x:c r="AH911" s="30" t="str">
        <x:f>IF(ISNUMBER(AG911),U911/AG911,"")</x:f>
      </x:c>
      <x:c r="AI911" s="3" t="str">
        <x:v>同年式・グレードの検証済み当時価格なし／登録年混在</x:v>
      </x:c>
      <x:c r="AJ911" s="3" t="str">
        <x:v>一覧価格/年式のみ</x:v>
      </x:c>
      <x:c r="AK911" s="3" t="str">
        <x:v>一覧の表示価格。年式は掲載年式。</x:v>
      </x:c>
      <x:c r="AL911" s="31" t="n">
        <x:f>IF(AND(J911&lt;='分析方法'!$B$7,OR(ISBLANK(O911),O911&gt;='分析方法'!$B$8),X911&lt;&gt;"売却済み表示"),1,0)</x:f>
        <x:v>1</x:v>
      </x:c>
      <x:c r="AM911" s="32" t="n">
        <x:f>IF(AL911=1,U911,"")</x:f>
        <x:v>769000</x:v>
      </x:c>
      <x:c r="AN911" s="33" t="str">
        <x:f>IF(AL911=1,AF911,"")</x:f>
      </x:c>
      <x:c r="AO911" s="31" t="n">
        <x:f>'分析方法'!$B$6-J911</x:f>
        <x:v>1</x:v>
      </x:c>
      <x:c r="AP911" s="3"/>
    </x:row>
    <x:row r="912" ht="22" customHeight="1">
      <x:c r="A912" s="3" t="str">
        <x:v>T2918819</x:v>
      </x:c>
      <x:c r="B912" s="7" t="d">
        <x:v>2026-10-08T00:00:00.000Z</x:v>
      </x:c>
      <x:c r="C912" s="3" t="str">
        <x:v>Taladrod</x:v>
      </x:c>
      <x:c r="D912" s="3" t="str">
        <x:v>Toyota</x:v>
      </x:c>
      <x:c r="E912" s="3" t="str">
        <x:v>日本</x:v>
      </x:c>
      <x:c r="F912" s="3" t="str">
        <x:v>Hilux Revo</x:v>
      </x:c>
      <x:c r="G912" s="3" t="str">
        <x:v>ICE</x:v>
      </x:c>
      <x:c r="H912" s="3" t="str">
        <x:v>Pickup</x:v>
      </x:c>
      <x:c r="I912" s="3" t="str">
        <x:v>Double cab</x:v>
      </x:c>
      <x:c r="J912" s="3" t="n">
        <x:v>2025</x:v>
      </x:c>
      <x:c r="K912" s="3" t="str">
        <x:v>2.4 MID PRERUNNER DOUBLE CAB</x:v>
      </x:c>
      <x:c r="L912" s="3" t="str">
        <x:v>2.4 MID PRERUNNER DOUBLE CAB</x:v>
      </x:c>
      <x:c r="M912" s="22"/>
      <x:c r="N912" s="22"/>
      <x:c r="O912" s="22"/>
      <x:c r="P912" s="3" t="str">
        <x:v>未掲載</x:v>
      </x:c>
      <x:c r="Q912" s="3" t="str">
        <x:v>未取得</x:v>
      </x:c>
      <x:c r="R912" s="3" t="str">
        <x:v>Unknown</x:v>
      </x:c>
      <x:c r="S912" s="3" t="str">
        <x:v>不明</x:v>
      </x:c>
      <x:c r="T912" s="3" t="str">
        <x:v>世代不明</x:v>
      </x:c>
      <x:c r="U912" s="28" t="n">
        <x:v>719000</x:v>
      </x:c>
      <x:c r="V912" s="28"/>
      <x:c r="W912" s="3" t="str">
        <x:v>事故・水没・SOH・保証残は未確認</x:v>
      </x:c>
      <x:c r="X912" s="3" t="str">
        <x:v>掲載中・在庫未確認</x:v>
      </x:c>
      <x:c r="Y912" s="3" t="str"/>
      <x:c r="Z912" s="27" t="str">
        <x:v>https://www.taladrod.com/w40/icar/cardet.aspx?cid=2918819</x:v>
      </x:c>
      <x:c r="AA912" s="3" t="str">
        <x:v>Taladrod個別広告ID／Carsome在庫ID</x:v>
      </x:c>
      <x:c r="AB912" s="3" t="str">
        <x:v>車台番号未取得／サイト間重複は未判定</x:v>
      </x:c>
      <x:c r="AC912" s="3" t="str">
        <x:v>税込区分未確認（一覧表示額）</x:v>
      </x:c>
      <x:c r="AD912" s="3" t="str"/>
      <x:c r="AE912" s="29" t="str">
        <x:f>""</x:f>
      </x:c>
      <x:c r="AF912" s="30" t="str">
        <x:f>IF(ISNUMBER(AE912),U912/AE912,"")</x:f>
      </x:c>
      <x:c r="AG912" s="29" t="str">
        <x:f>""</x:f>
      </x:c>
      <x:c r="AH912" s="30" t="str">
        <x:f>IF(ISNUMBER(AG912),U912/AG912,"")</x:f>
      </x:c>
      <x:c r="AI912" s="3" t="str">
        <x:v>同年式・グレードの検証済み当時価格なし／登録年混在</x:v>
      </x:c>
      <x:c r="AJ912" s="3" t="str">
        <x:v>一覧価格/年式のみ</x:v>
      </x:c>
      <x:c r="AK912" s="3" t="str">
        <x:v>一覧の表示価格。年式は掲載年式。</x:v>
      </x:c>
      <x:c r="AL912" s="31" t="n">
        <x:f>IF(AND(J912&lt;='分析方法'!$B$7,OR(ISBLANK(O912),O912&gt;='分析方法'!$B$8),X912&lt;&gt;"売却済み表示"),1,0)</x:f>
        <x:v>1</x:v>
      </x:c>
      <x:c r="AM912" s="32" t="n">
        <x:f>IF(AL912=1,U912,"")</x:f>
        <x:v>719000</x:v>
      </x:c>
      <x:c r="AN912" s="33" t="str">
        <x:f>IF(AL912=1,AF912,"")</x:f>
      </x:c>
      <x:c r="AO912" s="31" t="n">
        <x:f>'分析方法'!$B$6-J912</x:f>
        <x:v>1</x:v>
      </x:c>
      <x:c r="AP912" s="3"/>
    </x:row>
    <x:row r="913" ht="22" customHeight="1">
      <x:c r="A913" s="3" t="str">
        <x:v>T2925699</x:v>
      </x:c>
      <x:c r="B913" s="7" t="d">
        <x:v>2026-10-08T00:00:00.000Z</x:v>
      </x:c>
      <x:c r="C913" s="3" t="str">
        <x:v>Taladrod</x:v>
      </x:c>
      <x:c r="D913" s="3" t="str">
        <x:v>Toyota</x:v>
      </x:c>
      <x:c r="E913" s="3" t="str">
        <x:v>日本</x:v>
      </x:c>
      <x:c r="F913" s="3" t="str">
        <x:v>Hilux Revo</x:v>
      </x:c>
      <x:c r="G913" s="3" t="str">
        <x:v>ICE</x:v>
      </x:c>
      <x:c r="H913" s="3" t="str">
        <x:v>Pickup</x:v>
      </x:c>
      <x:c r="I913" s="3" t="str">
        <x:v>Double cab</x:v>
      </x:c>
      <x:c r="J913" s="3" t="n">
        <x:v>2025</x:v>
      </x:c>
      <x:c r="K913" s="3" t="str">
        <x:v>2.4 MID PRERUNNER DOUBLE CAB</x:v>
      </x:c>
      <x:c r="L913" s="3" t="str">
        <x:v>2.4 MID PRERUNNER DOUBLE CAB</x:v>
      </x:c>
      <x:c r="M913" s="22"/>
      <x:c r="N913" s="22"/>
      <x:c r="O913" s="22"/>
      <x:c r="P913" s="3" t="str">
        <x:v>未掲載</x:v>
      </x:c>
      <x:c r="Q913" s="3" t="str">
        <x:v>未取得</x:v>
      </x:c>
      <x:c r="R913" s="3" t="str">
        <x:v>Unknown</x:v>
      </x:c>
      <x:c r="S913" s="3" t="str">
        <x:v>不明</x:v>
      </x:c>
      <x:c r="T913" s="3" t="str">
        <x:v>世代不明</x:v>
      </x:c>
      <x:c r="U913" s="28" t="n">
        <x:v>729000</x:v>
      </x:c>
      <x:c r="V913" s="28"/>
      <x:c r="W913" s="3" t="str">
        <x:v>事故・水没・SOH・保証残は未確認</x:v>
      </x:c>
      <x:c r="X913" s="3" t="str">
        <x:v>掲載中・在庫未確認</x:v>
      </x:c>
      <x:c r="Y913" s="3" t="str"/>
      <x:c r="Z913" s="27" t="str">
        <x:v>https://www.taladrod.com/w40/icar/cardet.aspx?cid=2925699</x:v>
      </x:c>
      <x:c r="AA913" s="3" t="str">
        <x:v>Taladrod個別広告ID／Carsome在庫ID</x:v>
      </x:c>
      <x:c r="AB913" s="3" t="str">
        <x:v>車台番号未取得／サイト間重複は未判定</x:v>
      </x:c>
      <x:c r="AC913" s="3" t="str">
        <x:v>税込区分未確認（一覧表示額）</x:v>
      </x:c>
      <x:c r="AD913" s="3" t="str"/>
      <x:c r="AE913" s="29" t="str">
        <x:f>""</x:f>
      </x:c>
      <x:c r="AF913" s="30" t="str">
        <x:f>IF(ISNUMBER(AE913),U913/AE913,"")</x:f>
      </x:c>
      <x:c r="AG913" s="29" t="str">
        <x:f>""</x:f>
      </x:c>
      <x:c r="AH913" s="30" t="str">
        <x:f>IF(ISNUMBER(AG913),U913/AG913,"")</x:f>
      </x:c>
      <x:c r="AI913" s="3" t="str">
        <x:v>同年式・グレードの検証済み当時価格なし／登録年混在</x:v>
      </x:c>
      <x:c r="AJ913" s="3" t="str">
        <x:v>一覧価格/年式のみ</x:v>
      </x:c>
      <x:c r="AK913" s="3" t="str">
        <x:v>一覧の表示価格。年式は掲載年式。</x:v>
      </x:c>
      <x:c r="AL913" s="31" t="n">
        <x:f>IF(AND(J913&lt;='分析方法'!$B$7,OR(ISBLANK(O913),O913&gt;='分析方法'!$B$8),X913&lt;&gt;"売却済み表示"),1,0)</x:f>
        <x:v>1</x:v>
      </x:c>
      <x:c r="AM913" s="32" t="n">
        <x:f>IF(AL913=1,U913,"")</x:f>
        <x:v>729000</x:v>
      </x:c>
      <x:c r="AN913" s="33" t="str">
        <x:f>IF(AL913=1,AF913,"")</x:f>
      </x:c>
      <x:c r="AO913" s="31" t="n">
        <x:f>'分析方法'!$B$6-J913</x:f>
        <x:v>1</x:v>
      </x:c>
      <x:c r="AP913" s="3"/>
    </x:row>
    <x:row r="914" ht="22" customHeight="1">
      <x:c r="A914" s="3" t="str">
        <x:v>T2903068</x:v>
      </x:c>
      <x:c r="B914" s="7" t="d">
        <x:v>2026-10-08T00:00:00.000Z</x:v>
      </x:c>
      <x:c r="C914" s="3" t="str">
        <x:v>Taladrod</x:v>
      </x:c>
      <x:c r="D914" s="3" t="str">
        <x:v>Toyota</x:v>
      </x:c>
      <x:c r="E914" s="3" t="str">
        <x:v>日本</x:v>
      </x:c>
      <x:c r="F914" s="3" t="str">
        <x:v>Hilux Revo</x:v>
      </x:c>
      <x:c r="G914" s="3" t="str">
        <x:v>ICE</x:v>
      </x:c>
      <x:c r="H914" s="3" t="str">
        <x:v>Pickup</x:v>
      </x:c>
      <x:c r="I914" s="3" t="str">
        <x:v>Smart cab</x:v>
      </x:c>
      <x:c r="J914" s="3" t="n">
        <x:v>2025</x:v>
      </x:c>
      <x:c r="K914" s="3" t="str">
        <x:v>2.4 MID PRERUNNER SMART CAB</x:v>
      </x:c>
      <x:c r="L914" s="3" t="str">
        <x:v>2.4 MID PRERUNNER SMART CAB</x:v>
      </x:c>
      <x:c r="M914" s="22"/>
      <x:c r="N914" s="22"/>
      <x:c r="O914" s="22"/>
      <x:c r="P914" s="3" t="str">
        <x:v>未掲載</x:v>
      </x:c>
      <x:c r="Q914" s="3" t="str">
        <x:v>未取得</x:v>
      </x:c>
      <x:c r="R914" s="3" t="str">
        <x:v>Unknown</x:v>
      </x:c>
      <x:c r="S914" s="3" t="str">
        <x:v>不明</x:v>
      </x:c>
      <x:c r="T914" s="3" t="str">
        <x:v>世代不明</x:v>
      </x:c>
      <x:c r="U914" s="28" t="n">
        <x:v>679000</x:v>
      </x:c>
      <x:c r="V914" s="28"/>
      <x:c r="W914" s="3" t="str">
        <x:v>事故・水没・SOH・保証残は未確認</x:v>
      </x:c>
      <x:c r="X914" s="3" t="str">
        <x:v>掲載中・在庫未確認</x:v>
      </x:c>
      <x:c r="Y914" s="3" t="str"/>
      <x:c r="Z914" s="27" t="str">
        <x:v>https://www.taladrod.com/w40/icar/cardet.aspx?cid=2903068</x:v>
      </x:c>
      <x:c r="AA914" s="3" t="str">
        <x:v>Taladrod個別広告ID／Carsome在庫ID</x:v>
      </x:c>
      <x:c r="AB914" s="3" t="str">
        <x:v>車台番号未取得／サイト間重複は未判定</x:v>
      </x:c>
      <x:c r="AC914" s="3" t="str">
        <x:v>税込区分未確認（一覧表示額）</x:v>
      </x:c>
      <x:c r="AD914" s="3" t="str"/>
      <x:c r="AE914" s="29" t="str">
        <x:f>""</x:f>
      </x:c>
      <x:c r="AF914" s="30" t="str">
        <x:f>IF(ISNUMBER(AE914),U914/AE914,"")</x:f>
      </x:c>
      <x:c r="AG914" s="29" t="str">
        <x:f>""</x:f>
      </x:c>
      <x:c r="AH914" s="30" t="str">
        <x:f>IF(ISNUMBER(AG914),U914/AG914,"")</x:f>
      </x:c>
      <x:c r="AI914" s="3" t="str">
        <x:v>同年式・グレードの検証済み当時価格なし／登録年混在</x:v>
      </x:c>
      <x:c r="AJ914" s="3" t="str">
        <x:v>一覧価格/年式のみ</x:v>
      </x:c>
      <x:c r="AK914" s="3" t="str">
        <x:v>一覧の表示価格。年式は掲載年式。</x:v>
      </x:c>
      <x:c r="AL914" s="31" t="n">
        <x:f>IF(AND(J914&lt;='分析方法'!$B$7,OR(ISBLANK(O914),O914&gt;='分析方法'!$B$8),X914&lt;&gt;"売却済み表示"),1,0)</x:f>
        <x:v>1</x:v>
      </x:c>
      <x:c r="AM914" s="32" t="n">
        <x:f>IF(AL914=1,U914,"")</x:f>
        <x:v>679000</x:v>
      </x:c>
      <x:c r="AN914" s="33" t="str">
        <x:f>IF(AL914=1,AF914,"")</x:f>
      </x:c>
      <x:c r="AO914" s="31" t="n">
        <x:f>'分析方法'!$B$6-J914</x:f>
        <x:v>1</x:v>
      </x:c>
      <x:c r="AP914" s="3"/>
    </x:row>
    <x:row r="915" ht="22" customHeight="1">
      <x:c r="A915" s="3" t="str">
        <x:v>T2922758</x:v>
      </x:c>
      <x:c r="B915" s="7" t="d">
        <x:v>2026-10-08T00:00:00.000Z</x:v>
      </x:c>
      <x:c r="C915" s="3" t="str">
        <x:v>Taladrod</x:v>
      </x:c>
      <x:c r="D915" s="3" t="str">
        <x:v>Toyota</x:v>
      </x:c>
      <x:c r="E915" s="3" t="str">
        <x:v>日本</x:v>
      </x:c>
      <x:c r="F915" s="3" t="str">
        <x:v>Hilux Revo</x:v>
      </x:c>
      <x:c r="G915" s="3" t="str">
        <x:v>ICE</x:v>
      </x:c>
      <x:c r="H915" s="3" t="str">
        <x:v>Pickup</x:v>
      </x:c>
      <x:c r="I915" s="3" t="str">
        <x:v>Smart cab</x:v>
      </x:c>
      <x:c r="J915" s="3" t="n">
        <x:v>2025</x:v>
      </x:c>
      <x:c r="K915" s="3" t="str">
        <x:v>2.4 MID PRERUNNER SMART CAB</x:v>
      </x:c>
      <x:c r="L915" s="3" t="str">
        <x:v>2.4 MID PRERUNNER SMART CAB</x:v>
      </x:c>
      <x:c r="M915" s="22"/>
      <x:c r="N915" s="22"/>
      <x:c r="O915" s="22"/>
      <x:c r="P915" s="3" t="str">
        <x:v>未掲載</x:v>
      </x:c>
      <x:c r="Q915" s="3" t="str">
        <x:v>未取得</x:v>
      </x:c>
      <x:c r="R915" s="3" t="str">
        <x:v>Unknown</x:v>
      </x:c>
      <x:c r="S915" s="3" t="str">
        <x:v>不明</x:v>
      </x:c>
      <x:c r="T915" s="3" t="str">
        <x:v>世代不明</x:v>
      </x:c>
      <x:c r="U915" s="28" t="n">
        <x:v>599000</x:v>
      </x:c>
      <x:c r="V915" s="28"/>
      <x:c r="W915" s="3" t="str">
        <x:v>事故・水没・SOH・保証残は未確認</x:v>
      </x:c>
      <x:c r="X915" s="3" t="str">
        <x:v>掲載中・在庫未確認</x:v>
      </x:c>
      <x:c r="Y915" s="3" t="str"/>
      <x:c r="Z915" s="27" t="str">
        <x:v>https://www.taladrod.com/w40/icar/cardet.aspx?cid=2922758</x:v>
      </x:c>
      <x:c r="AA915" s="3" t="str">
        <x:v>Taladrod個別広告ID／Carsome在庫ID</x:v>
      </x:c>
      <x:c r="AB915" s="3" t="str">
        <x:v>車台番号未取得／サイト間重複は未判定</x:v>
      </x:c>
      <x:c r="AC915" s="3" t="str">
        <x:v>税込区分未確認（一覧表示額）</x:v>
      </x:c>
      <x:c r="AD915" s="3" t="str"/>
      <x:c r="AE915" s="29" t="str">
        <x:f>""</x:f>
      </x:c>
      <x:c r="AF915" s="30" t="str">
        <x:f>IF(ISNUMBER(AE915),U915/AE915,"")</x:f>
      </x:c>
      <x:c r="AG915" s="29" t="str">
        <x:f>""</x:f>
      </x:c>
      <x:c r="AH915" s="30" t="str">
        <x:f>IF(ISNUMBER(AG915),U915/AG915,"")</x:f>
      </x:c>
      <x:c r="AI915" s="3" t="str">
        <x:v>同年式・グレードの検証済み当時価格なし／登録年混在</x:v>
      </x:c>
      <x:c r="AJ915" s="3" t="str">
        <x:v>一覧価格/年式のみ</x:v>
      </x:c>
      <x:c r="AK915" s="3" t="str">
        <x:v>一覧の表示価格。年式は掲載年式。</x:v>
      </x:c>
      <x:c r="AL915" s="31" t="n">
        <x:f>IF(AND(J915&lt;='分析方法'!$B$7,OR(ISBLANK(O915),O915&gt;='分析方法'!$B$8),X915&lt;&gt;"売却済み表示"),1,0)</x:f>
        <x:v>1</x:v>
      </x:c>
      <x:c r="AM915" s="32" t="n">
        <x:f>IF(AL915=1,U915,"")</x:f>
        <x:v>599000</x:v>
      </x:c>
      <x:c r="AN915" s="33" t="str">
        <x:f>IF(AL915=1,AF915,"")</x:f>
      </x:c>
      <x:c r="AO915" s="31" t="n">
        <x:f>'分析方法'!$B$6-J915</x:f>
        <x:v>1</x:v>
      </x:c>
      <x:c r="AP915" s="3"/>
    </x:row>
    <x:row r="916" ht="22" customHeight="1">
      <x:c r="A916" s="3" t="str">
        <x:v>T2923935</x:v>
      </x:c>
      <x:c r="B916" s="7" t="d">
        <x:v>2026-10-08T00:00:00.000Z</x:v>
      </x:c>
      <x:c r="C916" s="3" t="str">
        <x:v>Taladrod</x:v>
      </x:c>
      <x:c r="D916" s="3" t="str">
        <x:v>Toyota</x:v>
      </x:c>
      <x:c r="E916" s="3" t="str">
        <x:v>日本</x:v>
      </x:c>
      <x:c r="F916" s="3" t="str">
        <x:v>Hilux Revo</x:v>
      </x:c>
      <x:c r="G916" s="3" t="str">
        <x:v>ICE</x:v>
      </x:c>
      <x:c r="H916" s="3" t="str">
        <x:v>Pickup</x:v>
      </x:c>
      <x:c r="I916" s="3" t="str">
        <x:v>Smart cab</x:v>
      </x:c>
      <x:c r="J916" s="3" t="n">
        <x:v>2025</x:v>
      </x:c>
      <x:c r="K916" s="3" t="str">
        <x:v>2.4 MID PRERUNNER SMART CAB</x:v>
      </x:c>
      <x:c r="L916" s="3" t="str">
        <x:v>2.4 MID PRERUNNER SMART CAB</x:v>
      </x:c>
      <x:c r="M916" s="22"/>
      <x:c r="N916" s="22"/>
      <x:c r="O916" s="22"/>
      <x:c r="P916" s="3" t="str">
        <x:v>未掲載</x:v>
      </x:c>
      <x:c r="Q916" s="3" t="str">
        <x:v>未取得</x:v>
      </x:c>
      <x:c r="R916" s="3" t="str">
        <x:v>Unknown</x:v>
      </x:c>
      <x:c r="S916" s="3" t="str">
        <x:v>不明</x:v>
      </x:c>
      <x:c r="T916" s="3" t="str">
        <x:v>世代不明</x:v>
      </x:c>
      <x:c r="U916" s="28" t="n">
        <x:v>699000</x:v>
      </x:c>
      <x:c r="V916" s="28"/>
      <x:c r="W916" s="3" t="str">
        <x:v>事故・水没・SOH・保証残は未確認</x:v>
      </x:c>
      <x:c r="X916" s="3" t="str">
        <x:v>掲載中・在庫未確認</x:v>
      </x:c>
      <x:c r="Y916" s="3" t="str"/>
      <x:c r="Z916" s="27" t="str">
        <x:v>https://www.taladrod.com/w40/icar/cardet.aspx?cid=2923935</x:v>
      </x:c>
      <x:c r="AA916" s="3" t="str">
        <x:v>Taladrod個別広告ID／Carsome在庫ID</x:v>
      </x:c>
      <x:c r="AB916" s="3" t="str">
        <x:v>車台番号未取得／サイト間重複は未判定</x:v>
      </x:c>
      <x:c r="AC916" s="3" t="str">
        <x:v>税込区分未確認（一覧表示額）</x:v>
      </x:c>
      <x:c r="AD916" s="3" t="str"/>
      <x:c r="AE916" s="29" t="str">
        <x:f>""</x:f>
      </x:c>
      <x:c r="AF916" s="30" t="str">
        <x:f>IF(ISNUMBER(AE916),U916/AE916,"")</x:f>
      </x:c>
      <x:c r="AG916" s="29" t="str">
        <x:f>""</x:f>
      </x:c>
      <x:c r="AH916" s="30" t="str">
        <x:f>IF(ISNUMBER(AG916),U916/AG916,"")</x:f>
      </x:c>
      <x:c r="AI916" s="3" t="str">
        <x:v>同年式・グレードの検証済み当時価格なし／登録年混在</x:v>
      </x:c>
      <x:c r="AJ916" s="3" t="str">
        <x:v>一覧価格/年式のみ</x:v>
      </x:c>
      <x:c r="AK916" s="3" t="str">
        <x:v>一覧の表示価格。年式は掲載年式。</x:v>
      </x:c>
      <x:c r="AL916" s="31" t="n">
        <x:f>IF(AND(J916&lt;='分析方法'!$B$7,OR(ISBLANK(O916),O916&gt;='分析方法'!$B$8),X916&lt;&gt;"売却済み表示"),1,0)</x:f>
        <x:v>1</x:v>
      </x:c>
      <x:c r="AM916" s="32" t="n">
        <x:f>IF(AL916=1,U916,"")</x:f>
        <x:v>699000</x:v>
      </x:c>
      <x:c r="AN916" s="33" t="str">
        <x:f>IF(AL916=1,AF916,"")</x:f>
      </x:c>
      <x:c r="AO916" s="31" t="n">
        <x:f>'分析方法'!$B$6-J916</x:f>
        <x:v>1</x:v>
      </x:c>
      <x:c r="AP916" s="3"/>
    </x:row>
    <x:row r="917" ht="22" customHeight="1">
      <x:c r="A917" s="3" t="str">
        <x:v>T2920777</x:v>
      </x:c>
      <x:c r="B917" s="7" t="d">
        <x:v>2026-10-08T00:00:00.000Z</x:v>
      </x:c>
      <x:c r="C917" s="3" t="str">
        <x:v>Taladrod</x:v>
      </x:c>
      <x:c r="D917" s="3" t="str">
        <x:v>Toyota</x:v>
      </x:c>
      <x:c r="E917" s="3" t="str">
        <x:v>日本</x:v>
      </x:c>
      <x:c r="F917" s="3" t="str">
        <x:v>Hilux Revo</x:v>
      </x:c>
      <x:c r="G917" s="3" t="str">
        <x:v>ICE</x:v>
      </x:c>
      <x:c r="H917" s="3" t="str">
        <x:v>Pickup</x:v>
      </x:c>
      <x:c r="I917" s="3" t="str">
        <x:v>Double cab</x:v>
      </x:c>
      <x:c r="J917" s="3" t="n">
        <x:v>2025</x:v>
      </x:c>
      <x:c r="K917" s="3" t="str">
        <x:v>2.4 MID Z EDITION DOUBLE CAB</x:v>
      </x:c>
      <x:c r="L917" s="3" t="str">
        <x:v>2.4 MID Z EDITION DOUBLE CAB</x:v>
      </x:c>
      <x:c r="M917" s="22"/>
      <x:c r="N917" s="22"/>
      <x:c r="O917" s="22"/>
      <x:c r="P917" s="3" t="str">
        <x:v>未掲載</x:v>
      </x:c>
      <x:c r="Q917" s="3" t="str">
        <x:v>未取得</x:v>
      </x:c>
      <x:c r="R917" s="3" t="str">
        <x:v>Unknown</x:v>
      </x:c>
      <x:c r="S917" s="3" t="str">
        <x:v>不明</x:v>
      </x:c>
      <x:c r="T917" s="3" t="str">
        <x:v>世代不明</x:v>
      </x:c>
      <x:c r="U917" s="28" t="n">
        <x:v>649000</x:v>
      </x:c>
      <x:c r="V917" s="28"/>
      <x:c r="W917" s="3" t="str">
        <x:v>事故・水没・SOH・保証残は未確認</x:v>
      </x:c>
      <x:c r="X917" s="3" t="str">
        <x:v>掲載中・在庫未確認</x:v>
      </x:c>
      <x:c r="Y917" s="3" t="str"/>
      <x:c r="Z917" s="27" t="str">
        <x:v>https://www.taladrod.com/w40/icar/cardet.aspx?cid=2920777</x:v>
      </x:c>
      <x:c r="AA917" s="3" t="str">
        <x:v>Taladrod個別広告ID／Carsome在庫ID</x:v>
      </x:c>
      <x:c r="AB917" s="3" t="str">
        <x:v>車台番号未取得／サイト間重複は未判定</x:v>
      </x:c>
      <x:c r="AC917" s="3" t="str">
        <x:v>税込区分未確認（一覧表示額）</x:v>
      </x:c>
      <x:c r="AD917" s="3" t="str"/>
      <x:c r="AE917" s="29" t="str">
        <x:f>""</x:f>
      </x:c>
      <x:c r="AF917" s="30" t="str">
        <x:f>IF(ISNUMBER(AE917),U917/AE917,"")</x:f>
      </x:c>
      <x:c r="AG917" s="29" t="str">
        <x:f>""</x:f>
      </x:c>
      <x:c r="AH917" s="30" t="str">
        <x:f>IF(ISNUMBER(AG917),U917/AG917,"")</x:f>
      </x:c>
      <x:c r="AI917" s="3" t="str">
        <x:v>同年式・グレードの検証済み当時価格なし／登録年混在</x:v>
      </x:c>
      <x:c r="AJ917" s="3" t="str">
        <x:v>一覧価格/年式のみ</x:v>
      </x:c>
      <x:c r="AK917" s="3" t="str">
        <x:v>一覧の表示価格。年式は掲載年式。</x:v>
      </x:c>
      <x:c r="AL917" s="31" t="n">
        <x:f>IF(AND(J917&lt;='分析方法'!$B$7,OR(ISBLANK(O917),O917&gt;='分析方法'!$B$8),X917&lt;&gt;"売却済み表示"),1,0)</x:f>
        <x:v>1</x:v>
      </x:c>
      <x:c r="AM917" s="32" t="n">
        <x:f>IF(AL917=1,U917,"")</x:f>
        <x:v>649000</x:v>
      </x:c>
      <x:c r="AN917" s="33" t="str">
        <x:f>IF(AL917=1,AF917,"")</x:f>
      </x:c>
      <x:c r="AO917" s="31" t="n">
        <x:f>'分析方法'!$B$6-J917</x:f>
        <x:v>1</x:v>
      </x:c>
      <x:c r="AP917" s="3"/>
    </x:row>
    <x:row r="918" ht="22" customHeight="1">
      <x:c r="A918" s="3" t="str">
        <x:v>T2922763</x:v>
      </x:c>
      <x:c r="B918" s="7" t="d">
        <x:v>2026-10-08T00:00:00.000Z</x:v>
      </x:c>
      <x:c r="C918" s="3" t="str">
        <x:v>Taladrod</x:v>
      </x:c>
      <x:c r="D918" s="3" t="str">
        <x:v>Toyota</x:v>
      </x:c>
      <x:c r="E918" s="3" t="str">
        <x:v>日本</x:v>
      </x:c>
      <x:c r="F918" s="3" t="str">
        <x:v>Hilux Revo</x:v>
      </x:c>
      <x:c r="G918" s="3" t="str">
        <x:v>ICE</x:v>
      </x:c>
      <x:c r="H918" s="3" t="str">
        <x:v>Pickup</x:v>
      </x:c>
      <x:c r="I918" s="3" t="str">
        <x:v>Single cab</x:v>
      </x:c>
      <x:c r="J918" s="3" t="n">
        <x:v>2026</x:v>
      </x:c>
      <x:c r="K918" s="3" t="str">
        <x:v>2.4 ENTRY STANDARD CAB</x:v>
      </x:c>
      <x:c r="L918" s="3" t="str">
        <x:v>2.4 ENTRY STANDARD CAB</x:v>
      </x:c>
      <x:c r="M918" s="22"/>
      <x:c r="N918" s="22"/>
      <x:c r="O918" s="22"/>
      <x:c r="P918" s="3" t="str">
        <x:v>未掲載</x:v>
      </x:c>
      <x:c r="Q918" s="3" t="str">
        <x:v>未取得</x:v>
      </x:c>
      <x:c r="R918" s="3" t="str">
        <x:v>Unknown</x:v>
      </x:c>
      <x:c r="S918" s="3" t="str">
        <x:v>不明</x:v>
      </x:c>
      <x:c r="T918" s="3" t="str">
        <x:v>世代不明</x:v>
      </x:c>
      <x:c r="U918" s="28" t="n">
        <x:v>519000</x:v>
      </x:c>
      <x:c r="V918" s="28"/>
      <x:c r="W918" s="3" t="str">
        <x:v>事故・水没・SOH・保証残は未確認</x:v>
      </x:c>
      <x:c r="X918" s="3" t="str">
        <x:v>掲載中・在庫未確認</x:v>
      </x:c>
      <x:c r="Y918" s="3" t="str"/>
      <x:c r="Z918" s="27" t="str">
        <x:v>https://www.taladrod.com/w40/icar/cardet.aspx?cid=2922763</x:v>
      </x:c>
      <x:c r="AA918" s="3" t="str">
        <x:v>Taladrod個別広告ID／Carsome在庫ID</x:v>
      </x:c>
      <x:c r="AB918" s="3" t="str">
        <x:v>車台番号未取得／サイト間重複は未判定</x:v>
      </x:c>
      <x:c r="AC918" s="3" t="str">
        <x:v>税込区分未確認（一覧表示額）</x:v>
      </x:c>
      <x:c r="AD918" s="3" t="str"/>
      <x:c r="AE918" s="29" t="str">
        <x:f>""</x:f>
      </x:c>
      <x:c r="AF918" s="30" t="str">
        <x:f>IF(ISNUMBER(AE918),U918/AE918,"")</x:f>
      </x:c>
      <x:c r="AG918" s="29" t="str">
        <x:f>""</x:f>
      </x:c>
      <x:c r="AH918" s="30" t="str">
        <x:f>IF(ISNUMBER(AG918),U918/AG918,"")</x:f>
      </x:c>
      <x:c r="AI918" s="3" t="str">
        <x:v>同年式・グレードの検証済み当時価格なし／登録年混在</x:v>
      </x:c>
      <x:c r="AJ918" s="3" t="str">
        <x:v>一覧価格/年式のみ</x:v>
      </x:c>
      <x:c r="AK918" s="3" t="str">
        <x:v>一覧の表示価格。年式は掲載年式。</x:v>
      </x:c>
      <x:c r="AL918" s="31" t="n">
        <x:f>IF(AND(J918&lt;='分析方法'!$B$7,OR(ISBLANK(O918),O918&gt;='分析方法'!$B$8),X918&lt;&gt;"売却済み表示"),1,0)</x:f>
        <x:v>0</x:v>
      </x:c>
      <x:c r="AM918" s="32" t="str">
        <x:f>IF(AL918=1,U918,"")</x:f>
      </x:c>
      <x:c r="AN918" s="33" t="str">
        <x:f>IF(AL918=1,AF918,"")</x:f>
      </x:c>
      <x:c r="AO918" s="31" t="n">
        <x:f>'分析方法'!$B$6-J918</x:f>
        <x:v>0</x:v>
      </x:c>
      <x:c r="AP918" s="3"/>
    </x:row>
    <x:row r="919" ht="22" customHeight="1">
      <x:c r="A919" s="3" t="str">
        <x:v>T2922476</x:v>
      </x:c>
      <x:c r="B919" s="7" t="d">
        <x:v>2026-10-08T00:00:00.000Z</x:v>
      </x:c>
      <x:c r="C919" s="3" t="str">
        <x:v>Taladrod</x:v>
      </x:c>
      <x:c r="D919" s="3" t="str">
        <x:v>Toyota</x:v>
      </x:c>
      <x:c r="E919" s="3" t="str">
        <x:v>日本</x:v>
      </x:c>
      <x:c r="F919" s="3" t="str">
        <x:v>Hilux Revo</x:v>
      </x:c>
      <x:c r="G919" s="3" t="str">
        <x:v>ICE</x:v>
      </x:c>
      <x:c r="H919" s="3" t="str">
        <x:v>Pickup</x:v>
      </x:c>
      <x:c r="I919" s="3" t="str">
        <x:v>Smart cab</x:v>
      </x:c>
      <x:c r="J919" s="3" t="n">
        <x:v>2026</x:v>
      </x:c>
      <x:c r="K919" s="3" t="str">
        <x:v>2.4 ENTRY Z EDITION SMART CAB</x:v>
      </x:c>
      <x:c r="L919" s="3" t="str">
        <x:v>2.4 ENTRY Z EDITION SMART CAB</x:v>
      </x:c>
      <x:c r="M919" s="22"/>
      <x:c r="N919" s="22"/>
      <x:c r="O919" s="22"/>
      <x:c r="P919" s="3" t="str">
        <x:v>未掲載</x:v>
      </x:c>
      <x:c r="Q919" s="3" t="str">
        <x:v>未取得</x:v>
      </x:c>
      <x:c r="R919" s="3" t="str">
        <x:v>Unknown</x:v>
      </x:c>
      <x:c r="S919" s="3" t="str">
        <x:v>不明</x:v>
      </x:c>
      <x:c r="T919" s="3" t="str">
        <x:v>世代不明</x:v>
      </x:c>
      <x:c r="U919" s="28" t="n">
        <x:v>589000</x:v>
      </x:c>
      <x:c r="V919" s="28"/>
      <x:c r="W919" s="3" t="str">
        <x:v>事故・水没・SOH・保証残は未確認</x:v>
      </x:c>
      <x:c r="X919" s="3" t="str">
        <x:v>掲載中・在庫未確認</x:v>
      </x:c>
      <x:c r="Y919" s="3" t="str"/>
      <x:c r="Z919" s="27" t="str">
        <x:v>https://www.taladrod.com/w40/icar/cardet.aspx?cid=2922476</x:v>
      </x:c>
      <x:c r="AA919" s="3" t="str">
        <x:v>Taladrod個別広告ID／Carsome在庫ID</x:v>
      </x:c>
      <x:c r="AB919" s="3" t="str">
        <x:v>車台番号未取得／サイト間重複は未判定</x:v>
      </x:c>
      <x:c r="AC919" s="3" t="str">
        <x:v>税込区分未確認（一覧表示額）</x:v>
      </x:c>
      <x:c r="AD919" s="3" t="str"/>
      <x:c r="AE919" s="29" t="str">
        <x:f>""</x:f>
      </x:c>
      <x:c r="AF919" s="30" t="str">
        <x:f>IF(ISNUMBER(AE919),U919/AE919,"")</x:f>
      </x:c>
      <x:c r="AG919" s="29" t="str">
        <x:f>""</x:f>
      </x:c>
      <x:c r="AH919" s="30" t="str">
        <x:f>IF(ISNUMBER(AG919),U919/AG919,"")</x:f>
      </x:c>
      <x:c r="AI919" s="3" t="str">
        <x:v>同年式・グレードの検証済み当時価格なし／登録年混在</x:v>
      </x:c>
      <x:c r="AJ919" s="3" t="str">
        <x:v>一覧価格/年式のみ</x:v>
      </x:c>
      <x:c r="AK919" s="3" t="str">
        <x:v>一覧の表示価格。年式は掲載年式。</x:v>
      </x:c>
      <x:c r="AL919" s="31" t="n">
        <x:f>IF(AND(J919&lt;='分析方法'!$B$7,OR(ISBLANK(O919),O919&gt;='分析方法'!$B$8),X919&lt;&gt;"売却済み表示"),1,0)</x:f>
        <x:v>0</x:v>
      </x:c>
      <x:c r="AM919" s="32" t="str">
        <x:f>IF(AL919=1,U919,"")</x:f>
      </x:c>
      <x:c r="AN919" s="33" t="str">
        <x:f>IF(AL919=1,AF919,"")</x:f>
      </x:c>
      <x:c r="AO919" s="31" t="n">
        <x:f>'分析方法'!$B$6-J919</x:f>
        <x:v>0</x:v>
      </x:c>
      <x:c r="AP919" s="3"/>
    </x:row>
    <x:row r="920" ht="22" customHeight="1">
      <x:c r="A920" s="3" t="str">
        <x:v>T2920867</x:v>
      </x:c>
      <x:c r="B920" s="7" t="d">
        <x:v>2026-10-08T00:00:00.000Z</x:v>
      </x:c>
      <x:c r="C920" s="3" t="str">
        <x:v>Taladrod</x:v>
      </x:c>
      <x:c r="D920" s="3" t="str">
        <x:v>Toyota</x:v>
      </x:c>
      <x:c r="E920" s="3" t="str">
        <x:v>日本</x:v>
      </x:c>
      <x:c r="F920" s="3" t="str">
        <x:v>Hilux Revo</x:v>
      </x:c>
      <x:c r="G920" s="3" t="str">
        <x:v>不明</x:v>
      </x:c>
      <x:c r="H920" s="3" t="str">
        <x:v>Pickup</x:v>
      </x:c>
      <x:c r="I920" s="3" t="str">
        <x:v>キャブ不明</x:v>
      </x:c>
      <x:c r="J920" s="3" t="n">
        <x:v>2020</x:v>
      </x:c>
      <x:c r="K920" s="3" t="str">
        <x:v></x:v>
      </x:c>
      <x:c r="L920" s="3" t="str">
        <x:v>グレード不明</x:v>
      </x:c>
      <x:c r="M920" s="22"/>
      <x:c r="N920" s="22"/>
      <x:c r="O920" s="22"/>
      <x:c r="P920" s="3" t="str">
        <x:v>未掲載</x:v>
      </x:c>
      <x:c r="Q920" s="3" t="str">
        <x:v>未取得</x:v>
      </x:c>
      <x:c r="R920" s="3" t="str">
        <x:v>Unknown</x:v>
      </x:c>
      <x:c r="S920" s="3" t="str">
        <x:v>不明</x:v>
      </x:c>
      <x:c r="T920" s="3" t="str">
        <x:v>世代不明</x:v>
      </x:c>
      <x:c r="U920" s="28" t="n">
        <x:v>550000</x:v>
      </x:c>
      <x:c r="V920" s="28"/>
      <x:c r="W920" s="3" t="str">
        <x:v>事故・水没・SOH・保証残は未確認</x:v>
      </x:c>
      <x:c r="X920" s="3" t="str">
        <x:v>掲載中・在庫未確認</x:v>
      </x:c>
      <x:c r="Y920" s="3" t="str"/>
      <x:c r="Z920" s="27" t="str">
        <x:v>https://www.taladrod.com/w40/icar/cardet.aspx?cid=2920867</x:v>
      </x:c>
      <x:c r="AA920" s="3" t="str">
        <x:v>Taladrod個別広告ID／Carsome在庫ID</x:v>
      </x:c>
      <x:c r="AB920" s="3" t="str">
        <x:v>車台番号未取得／サイト間重複は未判定</x:v>
      </x:c>
      <x:c r="AC920" s="3" t="str">
        <x:v>税込区分未確認（一覧表示額）</x:v>
      </x:c>
      <x:c r="AD920" s="3" t="str"/>
      <x:c r="AE920" s="29" t="str">
        <x:f>""</x:f>
      </x:c>
      <x:c r="AF920" s="30" t="str">
        <x:f>IF(ISNUMBER(AE920),U920/AE920,"")</x:f>
      </x:c>
      <x:c r="AG920" s="29" t="str">
        <x:f>""</x:f>
      </x:c>
      <x:c r="AH920" s="30" t="str">
        <x:f>IF(ISNUMBER(AG920),U920/AG920,"")</x:f>
      </x:c>
      <x:c r="AI920" s="3" t="str">
        <x:v>同年式・グレードの検証済み当時価格なし／登録年混在</x:v>
      </x:c>
      <x:c r="AJ920" s="3" t="str">
        <x:v>一覧価格/年式のみ</x:v>
      </x:c>
      <x:c r="AK920" s="3" t="str">
        <x:v>一覧の表示価格。年式は掲載年式。</x:v>
      </x:c>
      <x:c r="AL920" s="31" t="n">
        <x:f>IF(AND(J920&lt;='分析方法'!$B$7,OR(ISBLANK(O920),O920&gt;='分析方法'!$B$8),X920&lt;&gt;"売却済み表示"),1,0)</x:f>
        <x:v>1</x:v>
      </x:c>
      <x:c r="AM920" s="32" t="n">
        <x:f>IF(AL920=1,U920,"")</x:f>
        <x:v>550000</x:v>
      </x:c>
      <x:c r="AN920" s="33" t="str">
        <x:f>IF(AL920=1,AF920,"")</x:f>
      </x:c>
      <x:c r="AO920" s="31" t="n">
        <x:f>'分析方法'!$B$6-J920</x:f>
        <x:v>6</x:v>
      </x:c>
      <x:c r="AP920" s="3"/>
    </x:row>
    <x:row r="921" ht="22" customHeight="1">
      <x:c r="A921" s="3" t="str">
        <x:v>T2925792</x:v>
      </x:c>
      <x:c r="B921" s="7" t="d">
        <x:v>2026-10-08T00:00:00.000Z</x:v>
      </x:c>
      <x:c r="C921" s="3" t="str">
        <x:v>Taladrod</x:v>
      </x:c>
      <x:c r="D921" s="3" t="str">
        <x:v>Toyota</x:v>
      </x:c>
      <x:c r="E921" s="3" t="str">
        <x:v>日本</x:v>
      </x:c>
      <x:c r="F921" s="3" t="str">
        <x:v>Hilux Revo</x:v>
      </x:c>
      <x:c r="G921" s="3" t="str">
        <x:v>不明</x:v>
      </x:c>
      <x:c r="H921" s="3" t="str">
        <x:v>Pickup</x:v>
      </x:c>
      <x:c r="I921" s="3" t="str">
        <x:v>キャブ不明</x:v>
      </x:c>
      <x:c r="J921" s="3" t="n">
        <x:v>2021</x:v>
      </x:c>
      <x:c r="K921" s="3" t="str">
        <x:v></x:v>
      </x:c>
      <x:c r="L921" s="3" t="str">
        <x:v>グレード不明</x:v>
      </x:c>
      <x:c r="M921" s="22"/>
      <x:c r="N921" s="22"/>
      <x:c r="O921" s="22"/>
      <x:c r="P921" s="3" t="str">
        <x:v>未掲載</x:v>
      </x:c>
      <x:c r="Q921" s="3" t="str">
        <x:v>未取得</x:v>
      </x:c>
      <x:c r="R921" s="3" t="str">
        <x:v>Unknown</x:v>
      </x:c>
      <x:c r="S921" s="3" t="str">
        <x:v>不明</x:v>
      </x:c>
      <x:c r="T921" s="3" t="str">
        <x:v>世代不明</x:v>
      </x:c>
      <x:c r="U921" s="28" t="n">
        <x:v>360000</x:v>
      </x:c>
      <x:c r="V921" s="28"/>
      <x:c r="W921" s="3" t="str">
        <x:v>事故・水没・SOH・保証残は未確認</x:v>
      </x:c>
      <x:c r="X921" s="3" t="str">
        <x:v>掲載中・在庫未確認</x:v>
      </x:c>
      <x:c r="Y921" s="3" t="str"/>
      <x:c r="Z921" s="27" t="str">
        <x:v>https://www.taladrod.com/w40/icar/cardet.aspx?cid=2925792</x:v>
      </x:c>
      <x:c r="AA921" s="3" t="str">
        <x:v>Taladrod個別広告ID／Carsome在庫ID</x:v>
      </x:c>
      <x:c r="AB921" s="3" t="str">
        <x:v>車台番号未取得／サイト間重複は未判定</x:v>
      </x:c>
      <x:c r="AC921" s="3" t="str">
        <x:v>税込区分未確認（一覧表示額）</x:v>
      </x:c>
      <x:c r="AD921" s="3" t="str"/>
      <x:c r="AE921" s="29" t="str">
        <x:f>""</x:f>
      </x:c>
      <x:c r="AF921" s="30" t="str">
        <x:f>IF(ISNUMBER(AE921),U921/AE921,"")</x:f>
      </x:c>
      <x:c r="AG921" s="29" t="str">
        <x:f>""</x:f>
      </x:c>
      <x:c r="AH921" s="30" t="str">
        <x:f>IF(ISNUMBER(AG921),U921/AG921,"")</x:f>
      </x:c>
      <x:c r="AI921" s="3" t="str">
        <x:v>同年式・グレードの検証済み当時価格なし／登録年混在</x:v>
      </x:c>
      <x:c r="AJ921" s="3" t="str">
        <x:v>一覧価格/年式のみ</x:v>
      </x:c>
      <x:c r="AK921" s="3" t="str">
        <x:v>一覧の表示価格。年式は掲載年式。</x:v>
      </x:c>
      <x:c r="AL921" s="31" t="n">
        <x:f>IF(AND(J921&lt;='分析方法'!$B$7,OR(ISBLANK(O921),O921&gt;='分析方法'!$B$8),X921&lt;&gt;"売却済み表示"),1,0)</x:f>
        <x:v>1</x:v>
      </x:c>
      <x:c r="AM921" s="32" t="n">
        <x:f>IF(AL921=1,U921,"")</x:f>
        <x:v>360000</x:v>
      </x:c>
      <x:c r="AN921" s="33" t="str">
        <x:f>IF(AL921=1,AF921,"")</x:f>
      </x:c>
      <x:c r="AO921" s="31" t="n">
        <x:f>'分析方法'!$B$6-J921</x:f>
        <x:v>5</x:v>
      </x:c>
      <x:c r="AP921" s="3"/>
    </x:row>
    <x:row r="922" ht="22" customHeight="1">
      <x:c r="A922" s="3" t="str">
        <x:v>T2907473</x:v>
      </x:c>
      <x:c r="B922" s="7" t="d">
        <x:v>2026-10-08T00:00:00.000Z</x:v>
      </x:c>
      <x:c r="C922" s="3" t="str">
        <x:v>Taladrod</x:v>
      </x:c>
      <x:c r="D922" s="3" t="str">
        <x:v>BYD</x:v>
      </x:c>
      <x:c r="E922" s="3" t="str">
        <x:v>中国</x:v>
      </x:c>
      <x:c r="F922" s="3" t="str">
        <x:v>M6</x:v>
      </x:c>
      <x:c r="G922" s="3" t="str">
        <x:v>BEV</x:v>
      </x:c>
      <x:c r="H922" s="3" t="str">
        <x:v>MPV</x:v>
      </x:c>
      <x:c r="I922" s="3" t="str"/>
      <x:c r="J922" s="3" t="n">
        <x:v>2024</x:v>
      </x:c>
      <x:c r="K922" s="3" t="str">
        <x:v>EXTENDED</x:v>
      </x:c>
      <x:c r="L922" s="3" t="str">
        <x:v>EXTENDED</x:v>
      </x:c>
      <x:c r="M922" s="22"/>
      <x:c r="N922" s="22"/>
      <x:c r="O922" s="22"/>
      <x:c r="P922" s="3" t="str">
        <x:v>未掲載</x:v>
      </x:c>
      <x:c r="Q922" s="3" t="str">
        <x:v>未取得</x:v>
      </x:c>
      <x:c r="R922" s="3" t="str">
        <x:v>Unknown</x:v>
      </x:c>
      <x:c r="S922" s="3" t="str">
        <x:v>不明</x:v>
      </x:c>
      <x:c r="T922" s="3" t="str">
        <x:v>24-ปัจจุบัน</x:v>
      </x:c>
      <x:c r="U922" s="28" t="n">
        <x:v>699000</x:v>
      </x:c>
      <x:c r="V922" s="28" t="n">
        <x:v>829900</x:v>
      </x:c>
      <x:c r="W922" s="3" t="str">
        <x:v>事故・水没・SOH・保証残は未確認</x:v>
      </x:c>
      <x:c r="X922" s="3" t="str">
        <x:v>掲載中・在庫未確認</x:v>
      </x:c>
      <x:c r="Y922" s="3" t="str"/>
      <x:c r="Z922" s="27" t="str">
        <x:v>https://www.taladrod.com/w40/icar/cardet.aspx?cid=2907473</x:v>
      </x:c>
      <x:c r="AA922" s="3" t="str">
        <x:v>Taladrod個別広告ID／Carsome在庫ID</x:v>
      </x:c>
      <x:c r="AB922" s="3" t="str">
        <x:v>車台番号未取得／サイト間重複は未判定</x:v>
      </x:c>
      <x:c r="AC922" s="3" t="str">
        <x:v>税込区分未確認（一覧表示額）</x:v>
      </x:c>
      <x:c r="AD922" s="3" t="str"/>
      <x:c r="AE922" s="29" t="str">
        <x:f>""</x:f>
      </x:c>
      <x:c r="AF922" s="30" t="str">
        <x:f>IF(ISNUMBER(AE922),U922/AE922,"")</x:f>
      </x:c>
      <x:c r="AG922" s="29" t="str">
        <x:f>""</x:f>
      </x:c>
      <x:c r="AH922" s="30" t="str">
        <x:f>IF(ISNUMBER(AG922),U922/AG922,"")</x:f>
      </x:c>
      <x:c r="AI922" s="3" t="str">
        <x:v>同年式・グレードの検証済み当時価格なし／登録年混在</x:v>
      </x:c>
      <x:c r="AJ922" s="3" t="str">
        <x:v>一覧価格/年式のみ</x:v>
      </x:c>
      <x:c r="AK922" s="3" t="str">
        <x:v>一覧の表示価格。年式は掲載年式。</x:v>
      </x:c>
      <x:c r="AL922" s="31" t="n">
        <x:f>IF(AND(J922&lt;='分析方法'!$B$7,OR(ISBLANK(O922),O922&gt;='分析方法'!$B$8),X922&lt;&gt;"売却済み表示"),1,0)</x:f>
        <x:v>1</x:v>
      </x:c>
      <x:c r="AM922" s="32" t="n">
        <x:f>IF(AL922=1,U922,"")</x:f>
        <x:v>699000</x:v>
      </x:c>
      <x:c r="AN922" s="33" t="str">
        <x:f>IF(AL922=1,AF922,"")</x:f>
      </x:c>
      <x:c r="AO922" s="31" t="n">
        <x:f>'分析方法'!$B$6-J922</x:f>
        <x:v>2</x:v>
      </x:c>
      <x:c r="AP922" s="3"/>
    </x:row>
    <x:row r="923" ht="22" customHeight="1">
      <x:c r="A923" s="3" t="str">
        <x:v>T2921139</x:v>
      </x:c>
      <x:c r="B923" s="7" t="d">
        <x:v>2026-10-08T00:00:00.000Z</x:v>
      </x:c>
      <x:c r="C923" s="3" t="str">
        <x:v>Taladrod</x:v>
      </x:c>
      <x:c r="D923" s="3" t="str">
        <x:v>BYD</x:v>
      </x:c>
      <x:c r="E923" s="3" t="str">
        <x:v>中国</x:v>
      </x:c>
      <x:c r="F923" s="3" t="str">
        <x:v>M6</x:v>
      </x:c>
      <x:c r="G923" s="3" t="str">
        <x:v>BEV</x:v>
      </x:c>
      <x:c r="H923" s="3" t="str">
        <x:v>MPV</x:v>
      </x:c>
      <x:c r="I923" s="3" t="str"/>
      <x:c r="J923" s="3" t="n">
        <x:v>2025</x:v>
      </x:c>
      <x:c r="K923" s="3" t="str">
        <x:v>DYNAMIC</x:v>
      </x:c>
      <x:c r="L923" s="3" t="str">
        <x:v>DYNAMIC</x:v>
      </x:c>
      <x:c r="M923" s="22"/>
      <x:c r="N923" s="22"/>
      <x:c r="O923" s="22"/>
      <x:c r="P923" s="3" t="str">
        <x:v>未掲載</x:v>
      </x:c>
      <x:c r="Q923" s="3" t="str">
        <x:v>未取得</x:v>
      </x:c>
      <x:c r="R923" s="3" t="str">
        <x:v>Unknown</x:v>
      </x:c>
      <x:c r="S923" s="3" t="str">
        <x:v>不明</x:v>
      </x:c>
      <x:c r="T923" s="3" t="str">
        <x:v>24-ปัจจุบัน</x:v>
      </x:c>
      <x:c r="U923" s="28" t="n">
        <x:v>599000</x:v>
      </x:c>
      <x:c r="V923" s="28" t="n">
        <x:v>929900</x:v>
      </x:c>
      <x:c r="W923" s="3" t="str">
        <x:v>事故・水没・SOH・保証残は未確認</x:v>
      </x:c>
      <x:c r="X923" s="3" t="str">
        <x:v>掲載中・在庫未確認</x:v>
      </x:c>
      <x:c r="Y923" s="3" t="str"/>
      <x:c r="Z923" s="27" t="str">
        <x:v>https://www.taladrod.com/w40/icar/cardet.aspx?cid=2921139</x:v>
      </x:c>
      <x:c r="AA923" s="3" t="str">
        <x:v>Taladrod個別広告ID／Carsome在庫ID</x:v>
      </x:c>
      <x:c r="AB923" s="3" t="str">
        <x:v>車台番号未取得／サイト間重複は未判定</x:v>
      </x:c>
      <x:c r="AC923" s="3" t="str">
        <x:v>税込区分未確認（一覧表示額）</x:v>
      </x:c>
      <x:c r="AD923" s="3" t="str">
        <x:v>WC25_2_1</x:v>
      </x:c>
      <x:c r="AE923" s="29" t="n">
        <x:f>'新車価格・特価'!K23</x:f>
        <x:v>829900</x:v>
      </x:c>
      <x:c r="AF923" s="30" t="n">
        <x:f>IF(ISNUMBER(AE923),U923/AE923,"")</x:f>
        <x:v>0.7217737076756235</x:v>
      </x:c>
      <x:c r="AG923" s="29" t="str">
        <x:f>""</x:f>
      </x:c>
      <x:c r="AH923" s="30" t="str">
        <x:f>IF(ISNUMBER(AG923),U923/AG923,"")</x:f>
      </x:c>
      <x:c r="AI923" s="3" t="str">
        <x:v>当時公表小売価格の参考残価率。実購入額ではない。年式/登録年・仕様差に注意。</x:v>
      </x:c>
      <x:c r="AJ923" s="3" t="str">
        <x:v>一覧価格/年式のみ</x:v>
      </x:c>
      <x:c r="AK923" s="3" t="str">
        <x:v>一覧の表示価格。年式は掲載年式。</x:v>
      </x:c>
      <x:c r="AL923" s="31" t="n">
        <x:f>IF(AND(J923&lt;='分析方法'!$B$7,OR(ISBLANK(O923),O923&gt;='分析方法'!$B$8),X923&lt;&gt;"売却済み表示"),1,0)</x:f>
        <x:v>1</x:v>
      </x:c>
      <x:c r="AM923" s="32" t="n">
        <x:f>IF(AL923=1,U923,"")</x:f>
        <x:v>599000</x:v>
      </x:c>
      <x:c r="AN923" s="33" t="n">
        <x:f>IF(AL923=1,AF923,"")</x:f>
        <x:v>0.7217737076756235</x:v>
      </x:c>
      <x:c r="AO923" s="31" t="n">
        <x:f>'分析方法'!$B$6-J923</x:f>
        <x:v>1</x:v>
      </x:c>
      <x:c r="AP923" s="3"/>
    </x:row>
    <x:row r="924" ht="22" customHeight="1">
      <x:c r="A924" s="3" t="str">
        <x:v>T2925334</x:v>
      </x:c>
      <x:c r="B924" s="7" t="d">
        <x:v>2026-10-08T00:00:00.000Z</x:v>
      </x:c>
      <x:c r="C924" s="3" t="str">
        <x:v>Taladrod</x:v>
      </x:c>
      <x:c r="D924" s="3" t="str">
        <x:v>BYD</x:v>
      </x:c>
      <x:c r="E924" s="3" t="str">
        <x:v>中国</x:v>
      </x:c>
      <x:c r="F924" s="3" t="str">
        <x:v>SEAL</x:v>
      </x:c>
      <x:c r="G924" s="3" t="str">
        <x:v>BEV</x:v>
      </x:c>
      <x:c r="H924" s="3" t="str">
        <x:v>Sedan</x:v>
      </x:c>
      <x:c r="I924" s="3" t="str"/>
      <x:c r="J924" s="3" t="n">
        <x:v>2023</x:v>
      </x:c>
      <x:c r="K924" s="3" t="str">
        <x:v>PREMIUM RWD</x:v>
      </x:c>
      <x:c r="L924" s="3" t="str">
        <x:v>PREMIUM</x:v>
      </x:c>
      <x:c r="M924" s="22"/>
      <x:c r="N924" s="22"/>
      <x:c r="O924" s="22"/>
      <x:c r="P924" s="3" t="str">
        <x:v>未掲載</x:v>
      </x:c>
      <x:c r="Q924" s="3" t="str">
        <x:v>未取得</x:v>
      </x:c>
      <x:c r="R924" s="3" t="str">
        <x:v>Unknown</x:v>
      </x:c>
      <x:c r="S924" s="3" t="str">
        <x:v>不明</x:v>
      </x:c>
      <x:c r="T924" s="3" t="str">
        <x:v>23-ปัจจุบัน</x:v>
      </x:c>
      <x:c r="U924" s="28" t="n">
        <x:v>699000</x:v>
      </x:c>
      <x:c r="V924" s="28" t="n">
        <x:v>1449000</x:v>
      </x:c>
      <x:c r="W924" s="3" t="str">
        <x:v>事故・水没・SOH・保証残は未確認</x:v>
      </x:c>
      <x:c r="X924" s="3" t="str">
        <x:v>掲載中・在庫未確認</x:v>
      </x:c>
      <x:c r="Y924" s="3" t="str"/>
      <x:c r="Z924" s="27" t="str">
        <x:v>https://www.taladrod.com/w40/icar/cardet.aspx?cid=2925334</x:v>
      </x:c>
      <x:c r="AA924" s="3" t="str">
        <x:v>Taladrod個別広告ID／Carsome在庫ID</x:v>
      </x:c>
      <x:c r="AB924" s="3" t="str">
        <x:v>車台番号未取得／サイト間重複は未判定</x:v>
      </x:c>
      <x:c r="AC924" s="3" t="str">
        <x:v>税込区分未確認（一覧表示額）</x:v>
      </x:c>
      <x:c r="AD924" s="3" t="str">
        <x:v>SEAL23_PREMIUM</x:v>
      </x:c>
      <x:c r="AE924" s="29" t="n">
        <x:f>'新車価格・特価'!K12</x:f>
        <x:v>1449000</x:v>
      </x:c>
      <x:c r="AF924" s="30" t="n">
        <x:f>IF(ISNUMBER(AE924),U924/AE924,"")</x:f>
        <x:v>0.4824016563146998</x:v>
      </x:c>
      <x:c r="AG924" s="29" t="str">
        <x:f>""</x:f>
      </x:c>
      <x:c r="AH924" s="30" t="str">
        <x:f>IF(ISNUMBER(AG924),U924/AG924,"")</x:f>
      </x:c>
      <x:c r="AI924" s="3" t="str">
        <x:v>当時公表小売価格の参考残価率。実購入額ではない。年式/登録年・仕様差に注意。</x:v>
      </x:c>
      <x:c r="AJ924" s="3" t="str">
        <x:v>一覧価格/年式のみ</x:v>
      </x:c>
      <x:c r="AK924" s="3" t="str">
        <x:v>一覧の表示価格。年式は掲載年式。</x:v>
      </x:c>
      <x:c r="AL924" s="31" t="n">
        <x:f>IF(AND(J924&lt;='分析方法'!$B$7,OR(ISBLANK(O924),O924&gt;='分析方法'!$B$8),X924&lt;&gt;"売却済み表示"),1,0)</x:f>
        <x:v>1</x:v>
      </x:c>
      <x:c r="AM924" s="32" t="n">
        <x:f>IF(AL924=1,U924,"")</x:f>
        <x:v>699000</x:v>
      </x:c>
      <x:c r="AN924" s="33" t="n">
        <x:f>IF(AL924=1,AF924,"")</x:f>
        <x:v>0.4824016563146998</x:v>
      </x:c>
      <x:c r="AO924" s="31" t="n">
        <x:f>'分析方法'!$B$6-J924</x:f>
        <x:v>3</x:v>
      </x:c>
      <x:c r="AP924" s="3"/>
    </x:row>
    <x:row r="925" ht="22" customHeight="1">
      <x:c r="A925" s="3" t="str">
        <x:v>T2904153</x:v>
      </x:c>
      <x:c r="B925" s="7" t="d">
        <x:v>2026-10-08T00:00:00.000Z</x:v>
      </x:c>
      <x:c r="C925" s="3" t="str">
        <x:v>Taladrod</x:v>
      </x:c>
      <x:c r="D925" s="3" t="str">
        <x:v>BYD</x:v>
      </x:c>
      <x:c r="E925" s="3" t="str">
        <x:v>中国</x:v>
      </x:c>
      <x:c r="F925" s="3" t="str">
        <x:v>SEAL</x:v>
      </x:c>
      <x:c r="G925" s="3" t="str">
        <x:v>BEV</x:v>
      </x:c>
      <x:c r="H925" s="3" t="str">
        <x:v>Sedan</x:v>
      </x:c>
      <x:c r="I925" s="3" t="str"/>
      <x:c r="J925" s="3" t="n">
        <x:v>2024</x:v>
      </x:c>
      <x:c r="K925" s="3" t="str">
        <x:v>PERFORMANCE AWD</x:v>
      </x:c>
      <x:c r="L925" s="3" t="str">
        <x:v>AWD PERFORMANCE</x:v>
      </x:c>
      <x:c r="M925" s="22"/>
      <x:c r="N925" s="22"/>
      <x:c r="O925" s="22"/>
      <x:c r="P925" s="3" t="str">
        <x:v>未掲載</x:v>
      </x:c>
      <x:c r="Q925" s="3" t="str">
        <x:v>未取得</x:v>
      </x:c>
      <x:c r="R925" s="3" t="str">
        <x:v>Unknown</x:v>
      </x:c>
      <x:c r="S925" s="3" t="str">
        <x:v>不明</x:v>
      </x:c>
      <x:c r="T925" s="3" t="str">
        <x:v>23-ปัจจุบัน</x:v>
      </x:c>
      <x:c r="U925" s="28" t="n">
        <x:v>799000</x:v>
      </x:c>
      <x:c r="V925" s="28" t="n">
        <x:v>1559000</x:v>
      </x:c>
      <x:c r="W925" s="3" t="str">
        <x:v>事故・水没・SOH・保証残は未確認</x:v>
      </x:c>
      <x:c r="X925" s="3" t="str">
        <x:v>掲載中・在庫未確認</x:v>
      </x:c>
      <x:c r="Y925" s="3" t="str"/>
      <x:c r="Z925" s="27" t="str">
        <x:v>https://www.taladrod.com/w40/icar/cardet.aspx?cid=2904153</x:v>
      </x:c>
      <x:c r="AA925" s="3" t="str">
        <x:v>Taladrod個別広告ID／Carsome在庫ID</x:v>
      </x:c>
      <x:c r="AB925" s="3" t="str">
        <x:v>車台番号未取得／サイト間重複は未判定</x:v>
      </x:c>
      <x:c r="AC925" s="3" t="str">
        <x:v>税込区分未確認（一覧表示額）</x:v>
      </x:c>
      <x:c r="AD925" s="3" t="str">
        <x:v>SEAL23_AWD PERFORMANCE</x:v>
      </x:c>
      <x:c r="AE925" s="29" t="n">
        <x:f>'新車価格・特価'!K13</x:f>
        <x:v>1599000</x:v>
      </x:c>
      <x:c r="AF925" s="30" t="n">
        <x:f>IF(ISNUMBER(AE925),U925/AE925,"")</x:f>
        <x:v>0.4996873045653533</x:v>
      </x:c>
      <x:c r="AG925" s="29" t="str">
        <x:f>""</x:f>
      </x:c>
      <x:c r="AH925" s="30" t="str">
        <x:f>IF(ISNUMBER(AG925),U925/AG925,"")</x:f>
      </x:c>
      <x:c r="AI925" s="3" t="str">
        <x:v>当時公表小売価格の参考残価率。実購入額ではない。年式/登録年・仕様差に注意。</x:v>
      </x:c>
      <x:c r="AJ925" s="3" t="str">
        <x:v>一覧価格/年式のみ</x:v>
      </x:c>
      <x:c r="AK925" s="3" t="str">
        <x:v>一覧の表示価格。年式は掲載年式。</x:v>
      </x:c>
      <x:c r="AL925" s="31" t="n">
        <x:f>IF(AND(J925&lt;='分析方法'!$B$7,OR(ISBLANK(O925),O925&gt;='分析方法'!$B$8),X925&lt;&gt;"売却済み表示"),1,0)</x:f>
        <x:v>1</x:v>
      </x:c>
      <x:c r="AM925" s="32" t="n">
        <x:f>IF(AL925=1,U925,"")</x:f>
        <x:v>799000</x:v>
      </x:c>
      <x:c r="AN925" s="33" t="n">
        <x:f>IF(AL925=1,AF925,"")</x:f>
        <x:v>0.4996873045653533</x:v>
      </x:c>
      <x:c r="AO925" s="31" t="n">
        <x:f>'分析方法'!$B$6-J925</x:f>
        <x:v>2</x:v>
      </x:c>
      <x:c r="AP925" s="3"/>
    </x:row>
    <x:row r="926" ht="22" customHeight="1">
      <x:c r="A926" s="3" t="str">
        <x:v>T2924472</x:v>
      </x:c>
      <x:c r="B926" s="7" t="d">
        <x:v>2026-10-08T00:00:00.000Z</x:v>
      </x:c>
      <x:c r="C926" s="3" t="str">
        <x:v>Taladrod</x:v>
      </x:c>
      <x:c r="D926" s="3" t="str">
        <x:v>BYD</x:v>
      </x:c>
      <x:c r="E926" s="3" t="str">
        <x:v>中国</x:v>
      </x:c>
      <x:c r="F926" s="3" t="str">
        <x:v>SEAL</x:v>
      </x:c>
      <x:c r="G926" s="3" t="str">
        <x:v>BEV</x:v>
      </x:c>
      <x:c r="H926" s="3" t="str">
        <x:v>Sedan</x:v>
      </x:c>
      <x:c r="I926" s="3" t="str"/>
      <x:c r="J926" s="3" t="n">
        <x:v>2024</x:v>
      </x:c>
      <x:c r="K926" s="3" t="str">
        <x:v>DYNAMIC RWD</x:v>
      </x:c>
      <x:c r="L926" s="3" t="str">
        <x:v>DYNAMIC</x:v>
      </x:c>
      <x:c r="M926" s="22"/>
      <x:c r="N926" s="22"/>
      <x:c r="O926" s="22"/>
      <x:c r="P926" s="3" t="str">
        <x:v>未掲載</x:v>
      </x:c>
      <x:c r="Q926" s="3" t="str">
        <x:v>未取得</x:v>
      </x:c>
      <x:c r="R926" s="3" t="str">
        <x:v>Unknown</x:v>
      </x:c>
      <x:c r="S926" s="3" t="str">
        <x:v>不明</x:v>
      </x:c>
      <x:c r="T926" s="3" t="str">
        <x:v>23-ปัจจุบัน</x:v>
      </x:c>
      <x:c r="U926" s="28" t="n">
        <x:v>659000</x:v>
      </x:c>
      <x:c r="V926" s="28" t="n">
        <x:v>1325000</x:v>
      </x:c>
      <x:c r="W926" s="3" t="str">
        <x:v>事故・水没・SOH・保証残は未確認</x:v>
      </x:c>
      <x:c r="X926" s="3" t="str">
        <x:v>掲載中・在庫未確認</x:v>
      </x:c>
      <x:c r="Y926" s="3" t="str"/>
      <x:c r="Z926" s="27" t="str">
        <x:v>https://www.taladrod.com/w40/icar/cardet.aspx?cid=2924472</x:v>
      </x:c>
      <x:c r="AA926" s="3" t="str">
        <x:v>Taladrod個別広告ID／Carsome在庫ID</x:v>
      </x:c>
      <x:c r="AB926" s="3" t="str">
        <x:v>車台番号未取得／サイト間重複は未判定</x:v>
      </x:c>
      <x:c r="AC926" s="3" t="str">
        <x:v>税込区分未確認（一覧表示額）</x:v>
      </x:c>
      <x:c r="AD926" s="3" t="str">
        <x:v>SEAL23_DYNAMIC</x:v>
      </x:c>
      <x:c r="AE926" s="29" t="n">
        <x:f>'新車価格・特価'!K11</x:f>
        <x:v>1325000</x:v>
      </x:c>
      <x:c r="AF926" s="30" t="n">
        <x:f>IF(ISNUMBER(AE926),U926/AE926,"")</x:f>
        <x:v>0.49735849056603776</x:v>
      </x:c>
      <x:c r="AG926" s="29" t="str">
        <x:f>""</x:f>
      </x:c>
      <x:c r="AH926" s="30" t="str">
        <x:f>IF(ISNUMBER(AG926),U926/AG926,"")</x:f>
      </x:c>
      <x:c r="AI926" s="3" t="str">
        <x:v>当時公表小売価格の参考残価率。実購入額ではない。年式/登録年・仕様差に注意。</x:v>
      </x:c>
      <x:c r="AJ926" s="3" t="str">
        <x:v>一覧価格/年式のみ</x:v>
      </x:c>
      <x:c r="AK926" s="3" t="str">
        <x:v>一覧の表示価格。年式は掲載年式。</x:v>
      </x:c>
      <x:c r="AL926" s="31" t="n">
        <x:f>IF(AND(J926&lt;='分析方法'!$B$7,OR(ISBLANK(O926),O926&gt;='分析方法'!$B$8),X926&lt;&gt;"売却済み表示"),1,0)</x:f>
        <x:v>1</x:v>
      </x:c>
      <x:c r="AM926" s="32" t="n">
        <x:f>IF(AL926=1,U926,"")</x:f>
        <x:v>659000</x:v>
      </x:c>
      <x:c r="AN926" s="33" t="n">
        <x:f>IF(AL926=1,AF926,"")</x:f>
        <x:v>0.49735849056603776</x:v>
      </x:c>
      <x:c r="AO926" s="31" t="n">
        <x:f>'分析方法'!$B$6-J926</x:f>
        <x:v>2</x:v>
      </x:c>
      <x:c r="AP926" s="3"/>
    </x:row>
    <x:row r="927" ht="22" customHeight="1">
      <x:c r="A927" s="3" t="str">
        <x:v>T2919141</x:v>
      </x:c>
      <x:c r="B927" s="7" t="d">
        <x:v>2026-10-08T00:00:00.000Z</x:v>
      </x:c>
      <x:c r="C927" s="3" t="str">
        <x:v>Taladrod</x:v>
      </x:c>
      <x:c r="D927" s="3" t="str">
        <x:v>BYD</x:v>
      </x:c>
      <x:c r="E927" s="3" t="str">
        <x:v>中国</x:v>
      </x:c>
      <x:c r="F927" s="3" t="str">
        <x:v>SEAL 5</x:v>
      </x:c>
      <x:c r="G927" s="3" t="str">
        <x:v>PHEV</x:v>
      </x:c>
      <x:c r="H927" s="3" t="str">
        <x:v>Sedan</x:v>
      </x:c>
      <x:c r="I927" s="3" t="str"/>
      <x:c r="J927" s="3" t="n">
        <x:v>2026</x:v>
      </x:c>
      <x:c r="K927" s="3" t="str">
        <x:v>1.5 PREMIUM</x:v>
      </x:c>
      <x:c r="L927" s="3" t="str">
        <x:v>1.5 PREMIUM</x:v>
      </x:c>
      <x:c r="M927" s="22"/>
      <x:c r="N927" s="22"/>
      <x:c r="O927" s="22"/>
      <x:c r="P927" s="3" t="str">
        <x:v>未掲載</x:v>
      </x:c>
      <x:c r="Q927" s="3" t="str">
        <x:v>未取得</x:v>
      </x:c>
      <x:c r="R927" s="3" t="str">
        <x:v>Unknown</x:v>
      </x:c>
      <x:c r="S927" s="3" t="str">
        <x:v>不明</x:v>
      </x:c>
      <x:c r="T927" s="3" t="str">
        <x:v>26-ปัจจุบัน</x:v>
      </x:c>
      <x:c r="U927" s="28" t="n">
        <x:v>568000</x:v>
      </x:c>
      <x:c r="V927" s="28" t="n">
        <x:v>699900</x:v>
      </x:c>
      <x:c r="W927" s="3" t="str">
        <x:v>事故・水没・SOH・保証残は未確認</x:v>
      </x:c>
      <x:c r="X927" s="3" t="str">
        <x:v>掲載中・在庫未確認</x:v>
      </x:c>
      <x:c r="Y927" s="3" t="str"/>
      <x:c r="Z927" s="27" t="str">
        <x:v>https://www.taladrod.com/w40/icar/cardet.aspx?cid=2919141</x:v>
      </x:c>
      <x:c r="AA927" s="3" t="str">
        <x:v>Taladrod個別広告ID／Carsome在庫ID</x:v>
      </x:c>
      <x:c r="AB927" s="3" t="str">
        <x:v>車台番号未取得／サイト間重複は未判定</x:v>
      </x:c>
      <x:c r="AC927" s="3" t="str">
        <x:v>税込区分未確認（一覧表示額）</x:v>
      </x:c>
      <x:c r="AD927" s="3" t="str"/>
      <x:c r="AE927" s="29" t="str">
        <x:f>""</x:f>
      </x:c>
      <x:c r="AF927" s="30" t="str">
        <x:f>IF(ISNUMBER(AE927),U927/AE927,"")</x:f>
      </x:c>
      <x:c r="AG927" s="29" t="str">
        <x:f>""</x:f>
      </x:c>
      <x:c r="AH927" s="30" t="str">
        <x:f>IF(ISNUMBER(AG927),U927/AG927,"")</x:f>
      </x:c>
      <x:c r="AI927" s="3" t="str">
        <x:v>同年式・グレードの検証済み当時価格なし／登録年混在</x:v>
      </x:c>
      <x:c r="AJ927" s="3" t="str">
        <x:v>一覧価格/年式のみ</x:v>
      </x:c>
      <x:c r="AK927" s="3" t="str">
        <x:v>一覧の表示価格。年式は掲載年式。</x:v>
      </x:c>
      <x:c r="AL927" s="31" t="n">
        <x:f>IF(AND(J927&lt;='分析方法'!$B$7,OR(ISBLANK(O927),O927&gt;='分析方法'!$B$8),X927&lt;&gt;"売却済み表示"),1,0)</x:f>
        <x:v>0</x:v>
      </x:c>
      <x:c r="AM927" s="32" t="str">
        <x:f>IF(AL927=1,U927,"")</x:f>
      </x:c>
      <x:c r="AN927" s="33" t="str">
        <x:f>IF(AL927=1,AF927,"")</x:f>
      </x:c>
      <x:c r="AO927" s="31" t="n">
        <x:f>'分析方法'!$B$6-J927</x:f>
        <x:v>0</x:v>
      </x:c>
      <x:c r="AP927" s="3"/>
    </x:row>
    <x:row r="928" ht="22" customHeight="1">
      <x:c r="A928" s="3" t="str">
        <x:v>T2921980</x:v>
      </x:c>
      <x:c r="B928" s="7" t="d">
        <x:v>2026-10-08T00:00:00.000Z</x:v>
      </x:c>
      <x:c r="C928" s="3" t="str">
        <x:v>Taladrod</x:v>
      </x:c>
      <x:c r="D928" s="3" t="str">
        <x:v>BYD</x:v>
      </x:c>
      <x:c r="E928" s="3" t="str">
        <x:v>中国</x:v>
      </x:c>
      <x:c r="F928" s="3" t="str">
        <x:v>SEAL 5</x:v>
      </x:c>
      <x:c r="G928" s="3" t="str">
        <x:v>PHEV</x:v>
      </x:c>
      <x:c r="H928" s="3" t="str">
        <x:v>Sedan</x:v>
      </x:c>
      <x:c r="I928" s="3" t="str"/>
      <x:c r="J928" s="3" t="n">
        <x:v>2026</x:v>
      </x:c>
      <x:c r="K928" s="3" t="str">
        <x:v>1.5 PREMIUM</x:v>
      </x:c>
      <x:c r="L928" s="3" t="str">
        <x:v>1.5 PREMIUM</x:v>
      </x:c>
      <x:c r="M928" s="22"/>
      <x:c r="N928" s="22"/>
      <x:c r="O928" s="22"/>
      <x:c r="P928" s="3" t="str">
        <x:v>未掲載</x:v>
      </x:c>
      <x:c r="Q928" s="3" t="str">
        <x:v>未取得</x:v>
      </x:c>
      <x:c r="R928" s="3" t="str">
        <x:v>Unknown</x:v>
      </x:c>
      <x:c r="S928" s="3" t="str">
        <x:v>不明</x:v>
      </x:c>
      <x:c r="T928" s="3" t="str">
        <x:v>26-ปัจจุบัน</x:v>
      </x:c>
      <x:c r="U928" s="28" t="n">
        <x:v>569000</x:v>
      </x:c>
      <x:c r="V928" s="28" t="n">
        <x:v>699900</x:v>
      </x:c>
      <x:c r="W928" s="3" t="str">
        <x:v>事故・水没・SOH・保証残は未確認</x:v>
      </x:c>
      <x:c r="X928" s="3" t="str">
        <x:v>掲載中・在庫未確認</x:v>
      </x:c>
      <x:c r="Y928" s="3" t="str"/>
      <x:c r="Z928" s="27" t="str">
        <x:v>https://www.taladrod.com/w40/icar/cardet.aspx?cid=2921980</x:v>
      </x:c>
      <x:c r="AA928" s="3" t="str">
        <x:v>Taladrod個別広告ID／Carsome在庫ID</x:v>
      </x:c>
      <x:c r="AB928" s="3" t="str">
        <x:v>車台番号未取得／サイト間重複は未判定</x:v>
      </x:c>
      <x:c r="AC928" s="3" t="str">
        <x:v>税込区分未確認（一覧表示額）</x:v>
      </x:c>
      <x:c r="AD928" s="3" t="str"/>
      <x:c r="AE928" s="29" t="str">
        <x:f>""</x:f>
      </x:c>
      <x:c r="AF928" s="30" t="str">
        <x:f>IF(ISNUMBER(AE928),U928/AE928,"")</x:f>
      </x:c>
      <x:c r="AG928" s="29" t="str">
        <x:f>""</x:f>
      </x:c>
      <x:c r="AH928" s="30" t="str">
        <x:f>IF(ISNUMBER(AG928),U928/AG928,"")</x:f>
      </x:c>
      <x:c r="AI928" s="3" t="str">
        <x:v>同年式・グレードの検証済み当時価格なし／登録年混在</x:v>
      </x:c>
      <x:c r="AJ928" s="3" t="str">
        <x:v>一覧価格/年式のみ</x:v>
      </x:c>
      <x:c r="AK928" s="3" t="str">
        <x:v>一覧の表示価格。年式は掲載年式。</x:v>
      </x:c>
      <x:c r="AL928" s="31" t="n">
        <x:f>IF(AND(J928&lt;='分析方法'!$B$7,OR(ISBLANK(O928),O928&gt;='分析方法'!$B$8),X928&lt;&gt;"売却済み表示"),1,0)</x:f>
        <x:v>0</x:v>
      </x:c>
      <x:c r="AM928" s="32" t="str">
        <x:f>IF(AL928=1,U928,"")</x:f>
      </x:c>
      <x:c r="AN928" s="33" t="str">
        <x:f>IF(AL928=1,AF928,"")</x:f>
      </x:c>
      <x:c r="AO928" s="31" t="n">
        <x:f>'分析方法'!$B$6-J928</x:f>
        <x:v>0</x:v>
      </x:c>
      <x:c r="AP928" s="3"/>
    </x:row>
    <x:row r="929" ht="22" customHeight="1">
      <x:c r="A929" s="3" t="str">
        <x:v>T2925586</x:v>
      </x:c>
      <x:c r="B929" s="7" t="d">
        <x:v>2026-10-08T00:00:00.000Z</x:v>
      </x:c>
      <x:c r="C929" s="3" t="str">
        <x:v>Taladrod</x:v>
      </x:c>
      <x:c r="D929" s="3" t="str">
        <x:v>BYD</x:v>
      </x:c>
      <x:c r="E929" s="3" t="str">
        <x:v>中国</x:v>
      </x:c>
      <x:c r="F929" s="3" t="str">
        <x:v>SEALION 6</x:v>
      </x:c>
      <x:c r="G929" s="3" t="str">
        <x:v>PHEV</x:v>
      </x:c>
      <x:c r="H929" s="3" t="str">
        <x:v>SUV</x:v>
      </x:c>
      <x:c r="I929" s="3" t="str"/>
      <x:c r="J929" s="3" t="n">
        <x:v>2024</x:v>
      </x:c>
      <x:c r="K929" s="3" t="str">
        <x:v>1.5 PREMIUM DM-i PLUG IN HYBRID</x:v>
      </x:c>
      <x:c r="L929" s="3" t="str">
        <x:v>PREMIUM</x:v>
      </x:c>
      <x:c r="M929" s="22"/>
      <x:c r="N929" s="22"/>
      <x:c r="O929" s="22"/>
      <x:c r="P929" s="3" t="str">
        <x:v>未掲載</x:v>
      </x:c>
      <x:c r="Q929" s="3" t="str">
        <x:v>未取得</x:v>
      </x:c>
      <x:c r="R929" s="3" t="str">
        <x:v>Unknown</x:v>
      </x:c>
      <x:c r="S929" s="3" t="str">
        <x:v>不明</x:v>
      </x:c>
      <x:c r="T929" s="3" t="str">
        <x:v>24-ปัจจุบัน</x:v>
      </x:c>
      <x:c r="U929" s="28" t="n">
        <x:v>790000</x:v>
      </x:c>
      <x:c r="V929" s="28" t="n">
        <x:v>1099900</x:v>
      </x:c>
      <x:c r="W929" s="3" t="str">
        <x:v>事故・水没・SOH・保証残は未確認</x:v>
      </x:c>
      <x:c r="X929" s="3" t="str">
        <x:v>掲載中・在庫未確認</x:v>
      </x:c>
      <x:c r="Y929" s="3" t="str"/>
      <x:c r="Z929" s="27" t="str">
        <x:v>https://www.taladrod.com/w40/icar/cardet.aspx?cid=2925586</x:v>
      </x:c>
      <x:c r="AA929" s="3" t="str">
        <x:v>Taladrod個別広告ID／Carsome在庫ID</x:v>
      </x:c>
      <x:c r="AB929" s="3" t="str">
        <x:v>車台番号未取得／サイト間重複は未判定</x:v>
      </x:c>
      <x:c r="AC929" s="3" t="str">
        <x:v>税込区分未確認（一覧表示額）</x:v>
      </x:c>
      <x:c r="AD929" s="3" t="str"/>
      <x:c r="AE929" s="29" t="str">
        <x:f>""</x:f>
      </x:c>
      <x:c r="AF929" s="30" t="str">
        <x:f>IF(ISNUMBER(AE929),U929/AE929,"")</x:f>
      </x:c>
      <x:c r="AG929" s="29" t="n">
        <x:f>'新車価格・特価'!N39</x:f>
        <x:v>899900</x:v>
      </x:c>
      <x:c r="AH929" s="30" t="n">
        <x:f>IF(ISNUMBER(AG929),U929/AG929,"")</x:f>
        <x:v>0.8778753194799422</x:v>
      </x:c>
      <x:c r="AI929" s="3" t="str">
        <x:v>同年式・グレードの検証済み当時価格なし／登録年混在</x:v>
      </x:c>
      <x:c r="AJ929" s="3" t="str">
        <x:v>一覧価格/年式のみ</x:v>
      </x:c>
      <x:c r="AK929" s="3" t="str">
        <x:v>一覧の表示価格。年式は掲載年式。</x:v>
      </x:c>
      <x:c r="AL929" s="31" t="n">
        <x:f>IF(AND(J929&lt;='分析方法'!$B$7,OR(ISBLANK(O929),O929&gt;='分析方法'!$B$8),X929&lt;&gt;"売却済み表示"),1,0)</x:f>
        <x:v>1</x:v>
      </x:c>
      <x:c r="AM929" s="32" t="n">
        <x:f>IF(AL929=1,U929,"")</x:f>
        <x:v>790000</x:v>
      </x:c>
      <x:c r="AN929" s="33" t="str">
        <x:f>IF(AL929=1,AF929,"")</x:f>
      </x:c>
      <x:c r="AO929" s="31" t="n">
        <x:f>'分析方法'!$B$6-J929</x:f>
        <x:v>2</x:v>
      </x:c>
      <x:c r="AP929" s="3"/>
    </x:row>
    <x:row r="930" ht="22" customHeight="1">
      <x:c r="A930" s="3" t="str">
        <x:v>T2881589</x:v>
      </x:c>
      <x:c r="B930" s="7" t="d">
        <x:v>2026-10-08T00:00:00.000Z</x:v>
      </x:c>
      <x:c r="C930" s="3" t="str">
        <x:v>Taladrod</x:v>
      </x:c>
      <x:c r="D930" s="3" t="str">
        <x:v>BYD</x:v>
      </x:c>
      <x:c r="E930" s="3" t="str">
        <x:v>中国</x:v>
      </x:c>
      <x:c r="F930" s="3" t="str">
        <x:v>SEALION 6</x:v>
      </x:c>
      <x:c r="G930" s="3" t="str">
        <x:v>PHEV</x:v>
      </x:c>
      <x:c r="H930" s="3" t="str">
        <x:v>SUV</x:v>
      </x:c>
      <x:c r="I930" s="3" t="str"/>
      <x:c r="J930" s="3" t="n">
        <x:v>2025</x:v>
      </x:c>
      <x:c r="K930" s="3" t="str">
        <x:v>1.5 PREMIUM DM-i PLUG IN HYBRID</x:v>
      </x:c>
      <x:c r="L930" s="3" t="str">
        <x:v>PREMIUM</x:v>
      </x:c>
      <x:c r="M930" s="22"/>
      <x:c r="N930" s="22"/>
      <x:c r="O930" s="22"/>
      <x:c r="P930" s="3" t="str">
        <x:v>未掲載</x:v>
      </x:c>
      <x:c r="Q930" s="3" t="str">
        <x:v>未取得</x:v>
      </x:c>
      <x:c r="R930" s="3" t="str">
        <x:v>Unknown</x:v>
      </x:c>
      <x:c r="S930" s="3" t="str">
        <x:v>不明</x:v>
      </x:c>
      <x:c r="T930" s="3" t="str">
        <x:v>24-ปัจจุบัน</x:v>
      </x:c>
      <x:c r="U930" s="28" t="n">
        <x:v>810000</x:v>
      </x:c>
      <x:c r="V930" s="28" t="n">
        <x:v>1099900</x:v>
      </x:c>
      <x:c r="W930" s="3" t="str">
        <x:v>事故・水没・SOH・保証残は未確認</x:v>
      </x:c>
      <x:c r="X930" s="3" t="str">
        <x:v>掲載中・在庫未確認</x:v>
      </x:c>
      <x:c r="Y930" s="3" t="str"/>
      <x:c r="Z930" s="27" t="str">
        <x:v>https://www.taladrod.com/w40/icar/cardet.aspx?cid=2881589</x:v>
      </x:c>
      <x:c r="AA930" s="3" t="str">
        <x:v>Taladrod個別広告ID／Carsome在庫ID</x:v>
      </x:c>
      <x:c r="AB930" s="3" t="str">
        <x:v>車台番号未取得／サイト間重複は未判定</x:v>
      </x:c>
      <x:c r="AC930" s="3" t="str">
        <x:v>税込区分未確認（一覧表示額）</x:v>
      </x:c>
      <x:c r="AD930" s="3" t="str">
        <x:v>WC25_4_2</x:v>
      </x:c>
      <x:c r="AE930" s="29" t="n">
        <x:f>'新車価格・特価'!K30</x:f>
        <x:v>1099900</x:v>
      </x:c>
      <x:c r="AF930" s="30" t="n">
        <x:f>IF(ISNUMBER(AE930),U930/AE930,"")</x:f>
        <x:v>0.7364305845985999</x:v>
      </x:c>
      <x:c r="AG930" s="29" t="n">
        <x:f>'新車価格・特価'!N39</x:f>
        <x:v>899900</x:v>
      </x:c>
      <x:c r="AH930" s="30" t="n">
        <x:f>IF(ISNUMBER(AG930),U930/AG930,"")</x:f>
        <x:v>0.9001000111123458</x:v>
      </x:c>
      <x:c r="AI930" s="3" t="str">
        <x:v>当時公表小売価格の参考残価率。実購入額ではない。年式/登録年・仕様差に注意。</x:v>
      </x:c>
      <x:c r="AJ930" s="3" t="str">
        <x:v>一覧価格/年式のみ</x:v>
      </x:c>
      <x:c r="AK930" s="3" t="str">
        <x:v>一覧の表示価格。年式は掲載年式。</x:v>
      </x:c>
      <x:c r="AL930" s="31" t="n">
        <x:f>IF(AND(J930&lt;='分析方法'!$B$7,OR(ISBLANK(O930),O930&gt;='分析方法'!$B$8),X930&lt;&gt;"売却済み表示"),1,0)</x:f>
        <x:v>1</x:v>
      </x:c>
      <x:c r="AM930" s="32" t="n">
        <x:f>IF(AL930=1,U930,"")</x:f>
        <x:v>810000</x:v>
      </x:c>
      <x:c r="AN930" s="33" t="n">
        <x:f>IF(AL930=1,AF930,"")</x:f>
        <x:v>0.7364305845985999</x:v>
      </x:c>
      <x:c r="AO930" s="31" t="n">
        <x:f>'分析方法'!$B$6-J930</x:f>
        <x:v>1</x:v>
      </x:c>
      <x:c r="AP930" s="3"/>
    </x:row>
    <x:row r="931" ht="22" customHeight="1">
      <x:c r="A931" s="3" t="str">
        <x:v>T2914923</x:v>
      </x:c>
      <x:c r="B931" s="7" t="d">
        <x:v>2026-10-08T00:00:00.000Z</x:v>
      </x:c>
      <x:c r="C931" s="3" t="str">
        <x:v>Taladrod</x:v>
      </x:c>
      <x:c r="D931" s="3" t="str">
        <x:v>BYD</x:v>
      </x:c>
      <x:c r="E931" s="3" t="str">
        <x:v>中国</x:v>
      </x:c>
      <x:c r="F931" s="3" t="str">
        <x:v>SEALION 6</x:v>
      </x:c>
      <x:c r="G931" s="3" t="str">
        <x:v>PHEV</x:v>
      </x:c>
      <x:c r="H931" s="3" t="str">
        <x:v>SUV</x:v>
      </x:c>
      <x:c r="I931" s="3" t="str"/>
      <x:c r="J931" s="3" t="n">
        <x:v>2025</x:v>
      </x:c>
      <x:c r="K931" s="3" t="str">
        <x:v>1.5 PREMIUM DM-i PLUG IN HYBRID</x:v>
      </x:c>
      <x:c r="L931" s="3" t="str">
        <x:v>PREMIUM</x:v>
      </x:c>
      <x:c r="M931" s="22"/>
      <x:c r="N931" s="22"/>
      <x:c r="O931" s="22"/>
      <x:c r="P931" s="3" t="str">
        <x:v>未掲載</x:v>
      </x:c>
      <x:c r="Q931" s="3" t="str">
        <x:v>未取得</x:v>
      </x:c>
      <x:c r="R931" s="3" t="str">
        <x:v>Unknown</x:v>
      </x:c>
      <x:c r="S931" s="3" t="str">
        <x:v>不明</x:v>
      </x:c>
      <x:c r="T931" s="3" t="str">
        <x:v>24-ปัจจุบัน</x:v>
      </x:c>
      <x:c r="U931" s="28" t="n">
        <x:v>729000</x:v>
      </x:c>
      <x:c r="V931" s="28" t="n">
        <x:v>1099900</x:v>
      </x:c>
      <x:c r="W931" s="3" t="str">
        <x:v>事故・水没・SOH・保証残は未確認</x:v>
      </x:c>
      <x:c r="X931" s="3" t="str">
        <x:v>掲載中・在庫未確認</x:v>
      </x:c>
      <x:c r="Y931" s="3" t="str"/>
      <x:c r="Z931" s="27" t="str">
        <x:v>https://www.taladrod.com/w40/icar/cardet.aspx?cid=2914923</x:v>
      </x:c>
      <x:c r="AA931" s="3" t="str">
        <x:v>Taladrod個別広告ID／Carsome在庫ID</x:v>
      </x:c>
      <x:c r="AB931" s="3" t="str">
        <x:v>車台番号未取得／サイト間重複は未判定</x:v>
      </x:c>
      <x:c r="AC931" s="3" t="str">
        <x:v>税込区分未確認（一覧表示額）</x:v>
      </x:c>
      <x:c r="AD931" s="3" t="str">
        <x:v>WC25_4_2</x:v>
      </x:c>
      <x:c r="AE931" s="29" t="n">
        <x:f>'新車価格・特価'!K30</x:f>
        <x:v>1099900</x:v>
      </x:c>
      <x:c r="AF931" s="30" t="n">
        <x:f>IF(ISNUMBER(AE931),U931/AE931,"")</x:f>
        <x:v>0.6627875261387399</x:v>
      </x:c>
      <x:c r="AG931" s="29" t="n">
        <x:f>'新車価格・特価'!N39</x:f>
        <x:v>899900</x:v>
      </x:c>
      <x:c r="AH931" s="30" t="n">
        <x:f>IF(ISNUMBER(AG931),U931/AG931,"")</x:f>
        <x:v>0.8100900100011112</x:v>
      </x:c>
      <x:c r="AI931" s="3" t="str">
        <x:v>当時公表小売価格の参考残価率。実購入額ではない。年式/登録年・仕様差に注意。</x:v>
      </x:c>
      <x:c r="AJ931" s="3" t="str">
        <x:v>一覧価格/年式のみ</x:v>
      </x:c>
      <x:c r="AK931" s="3" t="str">
        <x:v>一覧の表示価格。年式は掲載年式。</x:v>
      </x:c>
      <x:c r="AL931" s="31" t="n">
        <x:f>IF(AND(J931&lt;='分析方法'!$B$7,OR(ISBLANK(O931),O931&gt;='分析方法'!$B$8),X931&lt;&gt;"売却済み表示"),1,0)</x:f>
        <x:v>1</x:v>
      </x:c>
      <x:c r="AM931" s="32" t="n">
        <x:f>IF(AL931=1,U931,"")</x:f>
        <x:v>729000</x:v>
      </x:c>
      <x:c r="AN931" s="33" t="n">
        <x:f>IF(AL931=1,AF931,"")</x:f>
        <x:v>0.6627875261387399</x:v>
      </x:c>
      <x:c r="AO931" s="31" t="n">
        <x:f>'分析方法'!$B$6-J931</x:f>
        <x:v>1</x:v>
      </x:c>
      <x:c r="AP931" s="3"/>
    </x:row>
    <x:row r="932" ht="22" customHeight="1">
      <x:c r="A932" s="3" t="str">
        <x:v>T2921384</x:v>
      </x:c>
      <x:c r="B932" s="7" t="d">
        <x:v>2026-10-08T00:00:00.000Z</x:v>
      </x:c>
      <x:c r="C932" s="3" t="str">
        <x:v>Taladrod</x:v>
      </x:c>
      <x:c r="D932" s="3" t="str">
        <x:v>BYD</x:v>
      </x:c>
      <x:c r="E932" s="3" t="str">
        <x:v>中国</x:v>
      </x:c>
      <x:c r="F932" s="3" t="str">
        <x:v>SEALION 6</x:v>
      </x:c>
      <x:c r="G932" s="3" t="str">
        <x:v>PHEV</x:v>
      </x:c>
      <x:c r="H932" s="3" t="str">
        <x:v>SUV</x:v>
      </x:c>
      <x:c r="I932" s="3" t="str"/>
      <x:c r="J932" s="3" t="n">
        <x:v>2025</x:v>
      </x:c>
      <x:c r="K932" s="3" t="str">
        <x:v>1.5 PREMIUM DM-i PLUG IN HYBRID</x:v>
      </x:c>
      <x:c r="L932" s="3" t="str">
        <x:v>PREMIUM</x:v>
      </x:c>
      <x:c r="M932" s="22"/>
      <x:c r="N932" s="22"/>
      <x:c r="O932" s="22"/>
      <x:c r="P932" s="3" t="str">
        <x:v>未掲載</x:v>
      </x:c>
      <x:c r="Q932" s="3" t="str">
        <x:v>未取得</x:v>
      </x:c>
      <x:c r="R932" s="3" t="str">
        <x:v>Unknown</x:v>
      </x:c>
      <x:c r="S932" s="3" t="str">
        <x:v>不明</x:v>
      </x:c>
      <x:c r="T932" s="3" t="str">
        <x:v>24-ปัจจุบัน</x:v>
      </x:c>
      <x:c r="U932" s="28" t="n">
        <x:v>799000</x:v>
      </x:c>
      <x:c r="V932" s="28" t="n">
        <x:v>1099900</x:v>
      </x:c>
      <x:c r="W932" s="3" t="str">
        <x:v>事故・水没・SOH・保証残は未確認</x:v>
      </x:c>
      <x:c r="X932" s="3" t="str">
        <x:v>掲載中・在庫未確認</x:v>
      </x:c>
      <x:c r="Y932" s="3" t="str"/>
      <x:c r="Z932" s="27" t="str">
        <x:v>https://www.taladrod.com/w40/icar/cardet.aspx?cid=2921384</x:v>
      </x:c>
      <x:c r="AA932" s="3" t="str">
        <x:v>Taladrod個別広告ID／Carsome在庫ID</x:v>
      </x:c>
      <x:c r="AB932" s="3" t="str">
        <x:v>車台番号未取得／サイト間重複は未判定</x:v>
      </x:c>
      <x:c r="AC932" s="3" t="str">
        <x:v>税込区分未確認（一覧表示額）</x:v>
      </x:c>
      <x:c r="AD932" s="3" t="str">
        <x:v>WC25_4_2</x:v>
      </x:c>
      <x:c r="AE932" s="29" t="n">
        <x:f>'新車価格・特価'!K30</x:f>
        <x:v>1099900</x:v>
      </x:c>
      <x:c r="AF932" s="30" t="n">
        <x:f>IF(ISNUMBER(AE932),U932/AE932,"")</x:f>
        <x:v>0.7264296754250387</x:v>
      </x:c>
      <x:c r="AG932" s="29" t="n">
        <x:f>'新車価格・特価'!N39</x:f>
        <x:v>899900</x:v>
      </x:c>
      <x:c r="AH932" s="30" t="n">
        <x:f>IF(ISNUMBER(AG932),U932/AG932,"")</x:f>
        <x:v>0.8878764307145238</x:v>
      </x:c>
      <x:c r="AI932" s="3" t="str">
        <x:v>当時公表小売価格の参考残価率。実購入額ではない。年式/登録年・仕様差に注意。</x:v>
      </x:c>
      <x:c r="AJ932" s="3" t="str">
        <x:v>一覧価格/年式のみ</x:v>
      </x:c>
      <x:c r="AK932" s="3" t="str">
        <x:v>一覧の表示価格。年式は掲載年式。</x:v>
      </x:c>
      <x:c r="AL932" s="31" t="n">
        <x:f>IF(AND(J932&lt;='分析方法'!$B$7,OR(ISBLANK(O932),O932&gt;='分析方法'!$B$8),X932&lt;&gt;"売却済み表示"),1,0)</x:f>
        <x:v>1</x:v>
      </x:c>
      <x:c r="AM932" s="32" t="n">
        <x:f>IF(AL932=1,U932,"")</x:f>
        <x:v>799000</x:v>
      </x:c>
      <x:c r="AN932" s="33" t="n">
        <x:f>IF(AL932=1,AF932,"")</x:f>
        <x:v>0.7264296754250387</x:v>
      </x:c>
      <x:c r="AO932" s="31" t="n">
        <x:f>'分析方法'!$B$6-J932</x:f>
        <x:v>1</x:v>
      </x:c>
      <x:c r="AP932" s="3"/>
    </x:row>
    <x:row r="933" ht="22" customHeight="1">
      <x:c r="A933" s="3" t="str">
        <x:v>T2924633</x:v>
      </x:c>
      <x:c r="B933" s="7" t="d">
        <x:v>2026-10-08T00:00:00.000Z</x:v>
      </x:c>
      <x:c r="C933" s="3" t="str">
        <x:v>Taladrod</x:v>
      </x:c>
      <x:c r="D933" s="3" t="str">
        <x:v>BYD</x:v>
      </x:c>
      <x:c r="E933" s="3" t="str">
        <x:v>中国</x:v>
      </x:c>
      <x:c r="F933" s="3" t="str">
        <x:v>SEALION 6</x:v>
      </x:c>
      <x:c r="G933" s="3" t="str">
        <x:v>PHEV</x:v>
      </x:c>
      <x:c r="H933" s="3" t="str">
        <x:v>SUV</x:v>
      </x:c>
      <x:c r="I933" s="3" t="str"/>
      <x:c r="J933" s="3" t="n">
        <x:v>2025</x:v>
      </x:c>
      <x:c r="K933" s="3" t="str">
        <x:v>1.5 PREMIUM DM-i PLUG IN HYBRID</x:v>
      </x:c>
      <x:c r="L933" s="3" t="str">
        <x:v>PREMIUM</x:v>
      </x:c>
      <x:c r="M933" s="22"/>
      <x:c r="N933" s="22"/>
      <x:c r="O933" s="22"/>
      <x:c r="P933" s="3" t="str">
        <x:v>未掲載</x:v>
      </x:c>
      <x:c r="Q933" s="3" t="str">
        <x:v>未取得</x:v>
      </x:c>
      <x:c r="R933" s="3" t="str">
        <x:v>Unknown</x:v>
      </x:c>
      <x:c r="S933" s="3" t="str">
        <x:v>不明</x:v>
      </x:c>
      <x:c r="T933" s="3" t="str">
        <x:v>24-ปัจจุบัน</x:v>
      </x:c>
      <x:c r="U933" s="28" t="n">
        <x:v>679000</x:v>
      </x:c>
      <x:c r="V933" s="28" t="n">
        <x:v>1099900</x:v>
      </x:c>
      <x:c r="W933" s="3" t="str">
        <x:v>事故・水没・SOH・保証残は未確認</x:v>
      </x:c>
      <x:c r="X933" s="3" t="str">
        <x:v>掲載中・在庫未確認</x:v>
      </x:c>
      <x:c r="Y933" s="3" t="str"/>
      <x:c r="Z933" s="27" t="str">
        <x:v>https://www.taladrod.com/w40/icar/cardet.aspx?cid=2924633</x:v>
      </x:c>
      <x:c r="AA933" s="3" t="str">
        <x:v>Taladrod個別広告ID／Carsome在庫ID</x:v>
      </x:c>
      <x:c r="AB933" s="3" t="str">
        <x:v>車台番号未取得／サイト間重複は未判定</x:v>
      </x:c>
      <x:c r="AC933" s="3" t="str">
        <x:v>税込区分未確認（一覧表示額）</x:v>
      </x:c>
      <x:c r="AD933" s="3" t="str">
        <x:v>WC25_4_2</x:v>
      </x:c>
      <x:c r="AE933" s="29" t="n">
        <x:f>'新車価格・特価'!K30</x:f>
        <x:v>1099900</x:v>
      </x:c>
      <x:c r="AF933" s="30" t="n">
        <x:f>IF(ISNUMBER(AE933),U933/AE933,"")</x:f>
        <x:v>0.6173288480770979</x:v>
      </x:c>
      <x:c r="AG933" s="29" t="n">
        <x:f>'新車価格・特価'!N39</x:f>
        <x:v>899900</x:v>
      </x:c>
      <x:c r="AH933" s="30" t="n">
        <x:f>IF(ISNUMBER(AG933),U933/AG933,"")</x:f>
        <x:v>0.7545282809201023</x:v>
      </x:c>
      <x:c r="AI933" s="3" t="str">
        <x:v>当時公表小売価格の参考残価率。実購入額ではない。年式/登録年・仕様差に注意。</x:v>
      </x:c>
      <x:c r="AJ933" s="3" t="str">
        <x:v>一覧価格/年式のみ</x:v>
      </x:c>
      <x:c r="AK933" s="3" t="str">
        <x:v>一覧の表示価格。年式は掲載年式。</x:v>
      </x:c>
      <x:c r="AL933" s="31" t="n">
        <x:f>IF(AND(J933&lt;='分析方法'!$B$7,OR(ISBLANK(O933),O933&gt;='分析方法'!$B$8),X933&lt;&gt;"売却済み表示"),1,0)</x:f>
        <x:v>1</x:v>
      </x:c>
      <x:c r="AM933" s="32" t="n">
        <x:f>IF(AL933=1,U933,"")</x:f>
        <x:v>679000</x:v>
      </x:c>
      <x:c r="AN933" s="33" t="n">
        <x:f>IF(AL933=1,AF933,"")</x:f>
        <x:v>0.6173288480770979</x:v>
      </x:c>
      <x:c r="AO933" s="31" t="n">
        <x:f>'分析方法'!$B$6-J933</x:f>
        <x:v>1</x:v>
      </x:c>
      <x:c r="AP933" s="3"/>
    </x:row>
    <x:row r="934" ht="22" customHeight="1">
      <x:c r="A934" s="3" t="str">
        <x:v>T2913012</x:v>
      </x:c>
      <x:c r="B934" s="7" t="d">
        <x:v>2026-10-08T00:00:00.000Z</x:v>
      </x:c>
      <x:c r="C934" s="3" t="str">
        <x:v>Taladrod</x:v>
      </x:c>
      <x:c r="D934" s="3" t="str">
        <x:v>BYD</x:v>
      </x:c>
      <x:c r="E934" s="3" t="str">
        <x:v>中国</x:v>
      </x:c>
      <x:c r="F934" s="3" t="str">
        <x:v>SEALION 7</x:v>
      </x:c>
      <x:c r="G934" s="3" t="str">
        <x:v>BEV</x:v>
      </x:c>
      <x:c r="H934" s="3" t="str">
        <x:v>SUV</x:v>
      </x:c>
      <x:c r="I934" s="3" t="str"/>
      <x:c r="J934" s="3" t="n">
        <x:v>2025</x:v>
      </x:c>
      <x:c r="K934" s="3" t="str">
        <x:v>PERFORMANCE AWD</x:v>
      </x:c>
      <x:c r="L934" s="3" t="str">
        <x:v>AWD PERFORMANCE</x:v>
      </x:c>
      <x:c r="M934" s="22"/>
      <x:c r="N934" s="22"/>
      <x:c r="O934" s="22"/>
      <x:c r="P934" s="3" t="str">
        <x:v>未掲載</x:v>
      </x:c>
      <x:c r="Q934" s="3" t="str">
        <x:v>未取得</x:v>
      </x:c>
      <x:c r="R934" s="3" t="str">
        <x:v>Unknown</x:v>
      </x:c>
      <x:c r="S934" s="3" t="str">
        <x:v>不明</x:v>
      </x:c>
      <x:c r="T934" s="3" t="str">
        <x:v>24-ปัจจุบัน</x:v>
      </x:c>
      <x:c r="U934" s="28" t="n">
        <x:v>999000</x:v>
      </x:c>
      <x:c r="V934" s="28" t="n">
        <x:v>1399900</x:v>
      </x:c>
      <x:c r="W934" s="3" t="str">
        <x:v>事故・水没・SOH・保証残は未確認</x:v>
      </x:c>
      <x:c r="X934" s="3" t="str">
        <x:v>掲載中・在庫未確認</x:v>
      </x:c>
      <x:c r="Y934" s="3" t="str"/>
      <x:c r="Z934" s="27" t="str">
        <x:v>https://www.taladrod.com/w40/icar/cardet.aspx?cid=2913012</x:v>
      </x:c>
      <x:c r="AA934" s="3" t="str">
        <x:v>Taladrod個別広告ID／Carsome在庫ID</x:v>
      </x:c>
      <x:c r="AB934" s="3" t="str">
        <x:v>車台番号未取得／サイト間重複は未判定</x:v>
      </x:c>
      <x:c r="AC934" s="3" t="str">
        <x:v>税込区分未確認（一覧表示額）</x:v>
      </x:c>
      <x:c r="AD934" s="3" t="str">
        <x:v>WC25_5_2</x:v>
      </x:c>
      <x:c r="AE934" s="29" t="n">
        <x:f>'新車価格・特価'!K32</x:f>
        <x:v>1399900</x:v>
      </x:c>
      <x:c r="AF934" s="30" t="n">
        <x:f>IF(ISNUMBER(AE934),U934/AE934,"")</x:f>
        <x:v>0.7136224016001143</x:v>
      </x:c>
      <x:c r="AG934" s="29" t="n">
        <x:f>'新車価格・特価'!N42</x:f>
        <x:v>1299900</x:v>
      </x:c>
      <x:c r="AH934" s="30" t="n">
        <x:f>IF(ISNUMBER(AG934),U934/AG934,"")</x:f>
        <x:v>0.7685206554350335</x:v>
      </x:c>
      <x:c r="AI934" s="3" t="str">
        <x:v>当時公表小売価格の参考残価率。実購入額ではない。年式/登録年・仕様差に注意。</x:v>
      </x:c>
      <x:c r="AJ934" s="3" t="str">
        <x:v>一覧価格/年式のみ</x:v>
      </x:c>
      <x:c r="AK934" s="3" t="str">
        <x:v>一覧の表示価格。年式は掲載年式。</x:v>
      </x:c>
      <x:c r="AL934" s="31" t="n">
        <x:f>IF(AND(J934&lt;='分析方法'!$B$7,OR(ISBLANK(O934),O934&gt;='分析方法'!$B$8),X934&lt;&gt;"売却済み表示"),1,0)</x:f>
        <x:v>1</x:v>
      </x:c>
      <x:c r="AM934" s="32" t="n">
        <x:f>IF(AL934=1,U934,"")</x:f>
        <x:v>999000</x:v>
      </x:c>
      <x:c r="AN934" s="33" t="n">
        <x:f>IF(AL934=1,AF934,"")</x:f>
        <x:v>0.7136224016001143</x:v>
      </x:c>
      <x:c r="AO934" s="31" t="n">
        <x:f>'分析方法'!$B$6-J934</x:f>
        <x:v>1</x:v>
      </x:c>
      <x:c r="AP934" s="3"/>
    </x:row>
    <x:row r="935" ht="22" customHeight="1">
      <x:c r="A935" s="3" t="str">
        <x:v>T2925753</x:v>
      </x:c>
      <x:c r="B935" s="7" t="d">
        <x:v>2026-10-08T00:00:00.000Z</x:v>
      </x:c>
      <x:c r="C935" s="3" t="str">
        <x:v>Taladrod</x:v>
      </x:c>
      <x:c r="D935" s="3" t="str">
        <x:v>BYD</x:v>
      </x:c>
      <x:c r="E935" s="3" t="str">
        <x:v>中国</x:v>
      </x:c>
      <x:c r="F935" s="3" t="str">
        <x:v>SEALION 7</x:v>
      </x:c>
      <x:c r="G935" s="3" t="str">
        <x:v>BEV</x:v>
      </x:c>
      <x:c r="H935" s="3" t="str">
        <x:v>SUV</x:v>
      </x:c>
      <x:c r="I935" s="3" t="str"/>
      <x:c r="J935" s="3" t="n">
        <x:v>2025</x:v>
      </x:c>
      <x:c r="K935" s="3" t="str">
        <x:v>PERFORMANCE AWD</x:v>
      </x:c>
      <x:c r="L935" s="3" t="str">
        <x:v>AWD PERFORMANCE</x:v>
      </x:c>
      <x:c r="M935" s="22"/>
      <x:c r="N935" s="22"/>
      <x:c r="O935" s="22"/>
      <x:c r="P935" s="3" t="str">
        <x:v>未掲載</x:v>
      </x:c>
      <x:c r="Q935" s="3" t="str">
        <x:v>未取得</x:v>
      </x:c>
      <x:c r="R935" s="3" t="str">
        <x:v>Unknown</x:v>
      </x:c>
      <x:c r="S935" s="3" t="str">
        <x:v>不明</x:v>
      </x:c>
      <x:c r="T935" s="3" t="str">
        <x:v>24-ปัจจุบัน</x:v>
      </x:c>
      <x:c r="U935" s="28" t="n">
        <x:v>938000</x:v>
      </x:c>
      <x:c r="V935" s="28" t="n">
        <x:v>1399900</x:v>
      </x:c>
      <x:c r="W935" s="3" t="str">
        <x:v>事故・水没・SOH・保証残は未確認</x:v>
      </x:c>
      <x:c r="X935" s="3" t="str">
        <x:v>掲載中・在庫未確認</x:v>
      </x:c>
      <x:c r="Y935" s="3" t="str"/>
      <x:c r="Z935" s="27" t="str">
        <x:v>https://www.taladrod.com/w40/icar/cardet.aspx?cid=2925753</x:v>
      </x:c>
      <x:c r="AA935" s="3" t="str">
        <x:v>Taladrod個別広告ID／Carsome在庫ID</x:v>
      </x:c>
      <x:c r="AB935" s="3" t="str">
        <x:v>車台番号未取得／サイト間重複は未判定</x:v>
      </x:c>
      <x:c r="AC935" s="3" t="str">
        <x:v>税込区分未確認（一覧表示額）</x:v>
      </x:c>
      <x:c r="AD935" s="3" t="str">
        <x:v>WC25_5_2</x:v>
      </x:c>
      <x:c r="AE935" s="29" t="n">
        <x:f>'新車価格・特価'!K32</x:f>
        <x:v>1399900</x:v>
      </x:c>
      <x:c r="AF935" s="30" t="n">
        <x:f>IF(ISNUMBER(AE935),U935/AE935,"")</x:f>
        <x:v>0.6700478605614687</x:v>
      </x:c>
      <x:c r="AG935" s="29" t="n">
        <x:f>'新車価格・特価'!N42</x:f>
        <x:v>1299900</x:v>
      </x:c>
      <x:c r="AH935" s="30" t="n">
        <x:f>IF(ISNUMBER(AG935),U935/AG935,"")</x:f>
        <x:v>0.7215939687668282</x:v>
      </x:c>
      <x:c r="AI935" s="3" t="str">
        <x:v>当時公表小売価格の参考残価率。実購入額ではない。年式/登録年・仕様差に注意。</x:v>
      </x:c>
      <x:c r="AJ935" s="3" t="str">
        <x:v>一覧価格/年式のみ</x:v>
      </x:c>
      <x:c r="AK935" s="3" t="str">
        <x:v>一覧の表示価格。年式は掲載年式。</x:v>
      </x:c>
      <x:c r="AL935" s="31" t="n">
        <x:f>IF(AND(J935&lt;='分析方法'!$B$7,OR(ISBLANK(O935),O935&gt;='分析方法'!$B$8),X935&lt;&gt;"売却済み表示"),1,0)</x:f>
        <x:v>1</x:v>
      </x:c>
      <x:c r="AM935" s="32" t="n">
        <x:f>IF(AL935=1,U935,"")</x:f>
        <x:v>938000</x:v>
      </x:c>
      <x:c r="AN935" s="33" t="n">
        <x:f>IF(AL935=1,AF935,"")</x:f>
        <x:v>0.6700478605614687</x:v>
      </x:c>
      <x:c r="AO935" s="31" t="n">
        <x:f>'分析方法'!$B$6-J935</x:f>
        <x:v>1</x:v>
      </x:c>
      <x:c r="AP935" s="3"/>
    </x:row>
    <x:row r="936" ht="22" customHeight="1">
      <x:c r="A936" s="3" t="str">
        <x:v>T2926479</x:v>
      </x:c>
      <x:c r="B936" s="7" t="d">
        <x:v>2026-10-08T00:00:00.000Z</x:v>
      </x:c>
      <x:c r="C936" s="3" t="str">
        <x:v>Taladrod</x:v>
      </x:c>
      <x:c r="D936" s="3" t="str">
        <x:v>BYD</x:v>
      </x:c>
      <x:c r="E936" s="3" t="str">
        <x:v>中国</x:v>
      </x:c>
      <x:c r="F936" s="3" t="str">
        <x:v>SEALION 7</x:v>
      </x:c>
      <x:c r="G936" s="3" t="str">
        <x:v>BEV</x:v>
      </x:c>
      <x:c r="H936" s="3" t="str">
        <x:v>SUV</x:v>
      </x:c>
      <x:c r="I936" s="3" t="str"/>
      <x:c r="J936" s="3" t="n">
        <x:v>2025</x:v>
      </x:c>
      <x:c r="K936" s="3" t="str">
        <x:v>PERFORMANCE AWD</x:v>
      </x:c>
      <x:c r="L936" s="3" t="str">
        <x:v>AWD PERFORMANCE</x:v>
      </x:c>
      <x:c r="M936" s="22"/>
      <x:c r="N936" s="22"/>
      <x:c r="O936" s="22"/>
      <x:c r="P936" s="3" t="str">
        <x:v>未掲載</x:v>
      </x:c>
      <x:c r="Q936" s="3" t="str">
        <x:v>未取得</x:v>
      </x:c>
      <x:c r="R936" s="3" t="str">
        <x:v>Unknown</x:v>
      </x:c>
      <x:c r="S936" s="3" t="str">
        <x:v>不明</x:v>
      </x:c>
      <x:c r="T936" s="3" t="str">
        <x:v>24-ปัจจุบัน</x:v>
      </x:c>
      <x:c r="U936" s="28" t="n">
        <x:v>939000</x:v>
      </x:c>
      <x:c r="V936" s="28" t="n">
        <x:v>1399900</x:v>
      </x:c>
      <x:c r="W936" s="3" t="str">
        <x:v>事故・水没・SOH・保証残は未確認</x:v>
      </x:c>
      <x:c r="X936" s="3" t="str">
        <x:v>掲載中・在庫未確認</x:v>
      </x:c>
      <x:c r="Y936" s="3" t="str"/>
      <x:c r="Z936" s="27" t="str">
        <x:v>https://www.taladrod.com/w40/icar/cardet.aspx?cid=2926479</x:v>
      </x:c>
      <x:c r="AA936" s="3" t="str">
        <x:v>Taladrod個別広告ID／Carsome在庫ID</x:v>
      </x:c>
      <x:c r="AB936" s="3" t="str">
        <x:v>車台番号未取得／サイト間重複は未判定</x:v>
      </x:c>
      <x:c r="AC936" s="3" t="str">
        <x:v>税込区分未確認（一覧表示額）</x:v>
      </x:c>
      <x:c r="AD936" s="3" t="str">
        <x:v>WC25_5_2</x:v>
      </x:c>
      <x:c r="AE936" s="29" t="n">
        <x:f>'新車価格・特価'!K32</x:f>
        <x:v>1399900</x:v>
      </x:c>
      <x:c r="AF936" s="30" t="n">
        <x:f>IF(ISNUMBER(AE936),U936/AE936,"")</x:f>
        <x:v>0.6707621972998071</x:v>
      </x:c>
      <x:c r="AG936" s="29" t="n">
        <x:f>'新車価格・特価'!N42</x:f>
        <x:v>1299900</x:v>
      </x:c>
      <x:c r="AH936" s="30" t="n">
        <x:f>IF(ISNUMBER(AG936),U936/AG936,"")</x:f>
        <x:v>0.7223632587122086</x:v>
      </x:c>
      <x:c r="AI936" s="3" t="str">
        <x:v>当時公表小売価格の参考残価率。実購入額ではない。年式/登録年・仕様差に注意。</x:v>
      </x:c>
      <x:c r="AJ936" s="3" t="str">
        <x:v>一覧価格/年式のみ</x:v>
      </x:c>
      <x:c r="AK936" s="3" t="str">
        <x:v>一覧の表示価格。年式は掲載年式。</x:v>
      </x:c>
      <x:c r="AL936" s="31" t="n">
        <x:f>IF(AND(J936&lt;='分析方法'!$B$7,OR(ISBLANK(O936),O936&gt;='分析方法'!$B$8),X936&lt;&gt;"売却済み表示"),1,0)</x:f>
        <x:v>1</x:v>
      </x:c>
      <x:c r="AM936" s="32" t="n">
        <x:f>IF(AL936=1,U936,"")</x:f>
        <x:v>939000</x:v>
      </x:c>
      <x:c r="AN936" s="33" t="n">
        <x:f>IF(AL936=1,AF936,"")</x:f>
        <x:v>0.6707621972998071</x:v>
      </x:c>
      <x:c r="AO936" s="31" t="n">
        <x:f>'分析方法'!$B$6-J936</x:f>
        <x:v>1</x:v>
      </x:c>
      <x:c r="AP936" s="3"/>
    </x:row>
    <x:row r="937" ht="22" customHeight="1">
      <x:c r="A937" s="3" t="str">
        <x:v>T2925523</x:v>
      </x:c>
      <x:c r="B937" s="7" t="d">
        <x:v>2026-10-08T00:00:00.000Z</x:v>
      </x:c>
      <x:c r="C937" s="3" t="str">
        <x:v>Taladrod</x:v>
      </x:c>
      <x:c r="D937" s="3" t="str">
        <x:v>BYD</x:v>
      </x:c>
      <x:c r="E937" s="3" t="str">
        <x:v>中国</x:v>
      </x:c>
      <x:c r="F937" s="3" t="str">
        <x:v>SEALION 7</x:v>
      </x:c>
      <x:c r="G937" s="3" t="str">
        <x:v>BEV</x:v>
      </x:c>
      <x:c r="H937" s="3" t="str">
        <x:v>SUV</x:v>
      </x:c>
      <x:c r="I937" s="3" t="str"/>
      <x:c r="J937" s="3" t="n">
        <x:v>2026</x:v>
      </x:c>
      <x:c r="K937" s="3" t="str">
        <x:v>PREMIUM RWD</x:v>
      </x:c>
      <x:c r="L937" s="3" t="str">
        <x:v>PREMIUM</x:v>
      </x:c>
      <x:c r="M937" s="22"/>
      <x:c r="N937" s="22"/>
      <x:c r="O937" s="22"/>
      <x:c r="P937" s="3" t="str">
        <x:v>未掲載</x:v>
      </x:c>
      <x:c r="Q937" s="3" t="str">
        <x:v>未取得</x:v>
      </x:c>
      <x:c r="R937" s="3" t="str">
        <x:v>Unknown</x:v>
      </x:c>
      <x:c r="S937" s="3" t="str">
        <x:v>不明</x:v>
      </x:c>
      <x:c r="T937" s="3" t="str">
        <x:v>24-ปัจจุบัน</x:v>
      </x:c>
      <x:c r="U937" s="28" t="n">
        <x:v>899000</x:v>
      </x:c>
      <x:c r="V937" s="28" t="n">
        <x:v>1249900</x:v>
      </x:c>
      <x:c r="W937" s="3" t="str">
        <x:v>事故・水没・SOH・保証残は未確認</x:v>
      </x:c>
      <x:c r="X937" s="3" t="str">
        <x:v>掲載中・在庫未確認</x:v>
      </x:c>
      <x:c r="Y937" s="3" t="str"/>
      <x:c r="Z937" s="27" t="str">
        <x:v>https://www.taladrod.com/w40/icar/cardet.aspx?cid=2925523</x:v>
      </x:c>
      <x:c r="AA937" s="3" t="str">
        <x:v>Taladrod個別広告ID／Carsome在庫ID</x:v>
      </x:c>
      <x:c r="AB937" s="3" t="str">
        <x:v>車台番号未取得／サイト間重複は未判定</x:v>
      </x:c>
      <x:c r="AC937" s="3" t="str">
        <x:v>税込区分未確認（一覧表示額）</x:v>
      </x:c>
      <x:c r="AD937" s="3" t="str"/>
      <x:c r="AE937" s="29" t="str">
        <x:f>""</x:f>
      </x:c>
      <x:c r="AF937" s="30" t="str">
        <x:f>IF(ISNUMBER(AE937),U937/AE937,"")</x:f>
      </x:c>
      <x:c r="AG937" s="29" t="n">
        <x:f>'新車価格・特価'!N41</x:f>
        <x:v>1199900</x:v>
      </x:c>
      <x:c r="AH937" s="30" t="n">
        <x:f>IF(ISNUMBER(AG937),U937/AG937,"")</x:f>
        <x:v>0.7492291024252021</x:v>
      </x:c>
      <x:c r="AI937" s="3" t="str">
        <x:v>同年式・グレードの検証済み当時価格なし／登録年混在</x:v>
      </x:c>
      <x:c r="AJ937" s="3" t="str">
        <x:v>一覧価格/年式のみ</x:v>
      </x:c>
      <x:c r="AK937" s="3" t="str">
        <x:v>一覧の表示価格。年式は掲載年式。</x:v>
      </x:c>
      <x:c r="AL937" s="31" t="n">
        <x:f>IF(AND(J937&lt;='分析方法'!$B$7,OR(ISBLANK(O937),O937&gt;='分析方法'!$B$8),X937&lt;&gt;"売却済み表示"),1,0)</x:f>
        <x:v>0</x:v>
      </x:c>
      <x:c r="AM937" s="32" t="str">
        <x:f>IF(AL937=1,U937,"")</x:f>
      </x:c>
      <x:c r="AN937" s="33" t="str">
        <x:f>IF(AL937=1,AF937,"")</x:f>
      </x:c>
      <x:c r="AO937" s="31" t="n">
        <x:f>'分析方法'!$B$6-J937</x:f>
        <x:v>0</x:v>
      </x:c>
      <x:c r="AP937" s="3"/>
    </x:row>
    <x:row r="938" ht="22" customHeight="1">
      <x:c r="A938" s="3" t="str">
        <x:v>T2894957</x:v>
      </x:c>
      <x:c r="B938" s="7" t="d">
        <x:v>2026-10-08T00:00:00.000Z</x:v>
      </x:c>
      <x:c r="C938" s="3" t="str">
        <x:v>Taladrod</x:v>
      </x:c>
      <x:c r="D938" s="3" t="str">
        <x:v>Toyota</x:v>
      </x:c>
      <x:c r="E938" s="3" t="str">
        <x:v>日本</x:v>
      </x:c>
      <x:c r="F938" s="3" t="str">
        <x:v>Yaris Ativ</x:v>
      </x:c>
      <x:c r="G938" s="3" t="str">
        <x:v>HEV</x:v>
      </x:c>
      <x:c r="H938" s="3" t="str">
        <x:v>Sedan</x:v>
      </x:c>
      <x:c r="I938" s="3" t="str"/>
      <x:c r="J938" s="3" t="n">
        <x:v>2025</x:v>
      </x:c>
      <x:c r="K938" s="3" t="str">
        <x:v>1.5 HEV GR SPORT</x:v>
      </x:c>
      <x:c r="L938" s="3" t="str">
        <x:v>1.5 HEV GR SPORT</x:v>
      </x:c>
      <x:c r="M938" s="22"/>
      <x:c r="N938" s="22"/>
      <x:c r="O938" s="22"/>
      <x:c r="P938" s="3" t="str">
        <x:v>未掲載</x:v>
      </x:c>
      <x:c r="Q938" s="3" t="str">
        <x:v>未取得</x:v>
      </x:c>
      <x:c r="R938" s="3" t="str">
        <x:v>Unknown</x:v>
      </x:c>
      <x:c r="S938" s="3" t="str">
        <x:v>不明</x:v>
      </x:c>
      <x:c r="T938" s="3" t="str">
        <x:v>22-ปัจจุบัน</x:v>
      </x:c>
      <x:c r="U938" s="28" t="n">
        <x:v>624000</x:v>
      </x:c>
      <x:c r="V938" s="28" t="n">
        <x:v>769000</x:v>
      </x:c>
      <x:c r="W938" s="3" t="str">
        <x:v>事故・水没・SOH・保証残は未確認</x:v>
      </x:c>
      <x:c r="X938" s="3" t="str">
        <x:v>掲載中・在庫未確認</x:v>
      </x:c>
      <x:c r="Y938" s="3" t="str"/>
      <x:c r="Z938" s="27" t="str">
        <x:v>https://www.taladrod.com/w40/icar/cardet.aspx?cid=2894957</x:v>
      </x:c>
      <x:c r="AA938" s="3" t="str">
        <x:v>Taladrod個別広告ID／Carsome在庫ID</x:v>
      </x:c>
      <x:c r="AB938" s="3" t="str">
        <x:v>車台番号未取得／サイト間重複は未判定</x:v>
      </x:c>
      <x:c r="AC938" s="3" t="str">
        <x:v>税込区分未確認（一覧表示額）</x:v>
      </x:c>
      <x:c r="AD938" s="3" t="str"/>
      <x:c r="AE938" s="29" t="str">
        <x:f>""</x:f>
      </x:c>
      <x:c r="AF938" s="30" t="str">
        <x:f>IF(ISNUMBER(AE938),U938/AE938,"")</x:f>
      </x:c>
      <x:c r="AG938" s="29" t="str">
        <x:f>""</x:f>
      </x:c>
      <x:c r="AH938" s="30" t="str">
        <x:f>IF(ISNUMBER(AG938),U938/AG938,"")</x:f>
      </x:c>
      <x:c r="AI938" s="3" t="str">
        <x:v>同年式・グレードの検証済み当時価格なし／登録年混在</x:v>
      </x:c>
      <x:c r="AJ938" s="3" t="str">
        <x:v>一覧価格/年式のみ</x:v>
      </x:c>
      <x:c r="AK938" s="3" t="str">
        <x:v>一覧の表示価格。年式は掲載年式。</x:v>
      </x:c>
      <x:c r="AL938" s="31" t="n">
        <x:f>IF(AND(J938&lt;='分析方法'!$B$7,OR(ISBLANK(O938),O938&gt;='分析方法'!$B$8),X938&lt;&gt;"売却済み表示"),1,0)</x:f>
        <x:v>1</x:v>
      </x:c>
      <x:c r="AM938" s="32" t="n">
        <x:f>IF(AL938=1,U938,"")</x:f>
        <x:v>624000</x:v>
      </x:c>
      <x:c r="AN938" s="33" t="str">
        <x:f>IF(AL938=1,AF938,"")</x:f>
      </x:c>
      <x:c r="AO938" s="31" t="n">
        <x:f>'分析方法'!$B$6-J938</x:f>
        <x:v>1</x:v>
      </x:c>
      <x:c r="AP938" s="3"/>
    </x:row>
    <x:row r="939" ht="22" customHeight="1">
      <x:c r="A939" s="3" t="str">
        <x:v>T2915933</x:v>
      </x:c>
      <x:c r="B939" s="7" t="d">
        <x:v>2026-10-08T00:00:00.000Z</x:v>
      </x:c>
      <x:c r="C939" s="3" t="str">
        <x:v>Taladrod</x:v>
      </x:c>
      <x:c r="D939" s="3" t="str">
        <x:v>Toyota</x:v>
      </x:c>
      <x:c r="E939" s="3" t="str">
        <x:v>日本</x:v>
      </x:c>
      <x:c r="F939" s="3" t="str">
        <x:v>Yaris Ativ</x:v>
      </x:c>
      <x:c r="G939" s="3" t="str">
        <x:v>HEV</x:v>
      </x:c>
      <x:c r="H939" s="3" t="str">
        <x:v>Sedan</x:v>
      </x:c>
      <x:c r="I939" s="3" t="str"/>
      <x:c r="J939" s="3" t="n">
        <x:v>2025</x:v>
      </x:c>
      <x:c r="K939" s="3" t="str">
        <x:v>1.5 HEV GR SPORT</x:v>
      </x:c>
      <x:c r="L939" s="3" t="str">
        <x:v>1.5 HEV GR SPORT</x:v>
      </x:c>
      <x:c r="M939" s="22"/>
      <x:c r="N939" s="22"/>
      <x:c r="O939" s="22"/>
      <x:c r="P939" s="3" t="str">
        <x:v>未掲載</x:v>
      </x:c>
      <x:c r="Q939" s="3" t="str">
        <x:v>未取得</x:v>
      </x:c>
      <x:c r="R939" s="3" t="str">
        <x:v>Unknown</x:v>
      </x:c>
      <x:c r="S939" s="3" t="str">
        <x:v>不明</x:v>
      </x:c>
      <x:c r="T939" s="3" t="str">
        <x:v>22-ปัจจุบัน</x:v>
      </x:c>
      <x:c r="U939" s="28" t="n">
        <x:v>690000</x:v>
      </x:c>
      <x:c r="V939" s="28" t="n">
        <x:v>769000</x:v>
      </x:c>
      <x:c r="W939" s="3" t="str">
        <x:v>事故・水没・SOH・保証残は未確認</x:v>
      </x:c>
      <x:c r="X939" s="3" t="str">
        <x:v>掲載中・在庫未確認</x:v>
      </x:c>
      <x:c r="Y939" s="3" t="str"/>
      <x:c r="Z939" s="27" t="str">
        <x:v>https://www.taladrod.com/w40/icar/cardet.aspx?cid=2915933</x:v>
      </x:c>
      <x:c r="AA939" s="3" t="str">
        <x:v>Taladrod個別広告ID／Carsome在庫ID</x:v>
      </x:c>
      <x:c r="AB939" s="3" t="str">
        <x:v>車台番号未取得／サイト間重複は未判定</x:v>
      </x:c>
      <x:c r="AC939" s="3" t="str">
        <x:v>税込区分未確認（一覧表示額）</x:v>
      </x:c>
      <x:c r="AD939" s="3" t="str"/>
      <x:c r="AE939" s="29" t="str">
        <x:f>""</x:f>
      </x:c>
      <x:c r="AF939" s="30" t="str">
        <x:f>IF(ISNUMBER(AE939),U939/AE939,"")</x:f>
      </x:c>
      <x:c r="AG939" s="29" t="str">
        <x:f>""</x:f>
      </x:c>
      <x:c r="AH939" s="30" t="str">
        <x:f>IF(ISNUMBER(AG939),U939/AG939,"")</x:f>
      </x:c>
      <x:c r="AI939" s="3" t="str">
        <x:v>同年式・グレードの検証済み当時価格なし／登録年混在</x:v>
      </x:c>
      <x:c r="AJ939" s="3" t="str">
        <x:v>一覧価格/年式のみ</x:v>
      </x:c>
      <x:c r="AK939" s="3" t="str">
        <x:v>一覧の表示価格。年式は掲載年式。</x:v>
      </x:c>
      <x:c r="AL939" s="31" t="n">
        <x:f>IF(AND(J939&lt;='分析方法'!$B$7,OR(ISBLANK(O939),O939&gt;='分析方法'!$B$8),X939&lt;&gt;"売却済み表示"),1,0)</x:f>
        <x:v>1</x:v>
      </x:c>
      <x:c r="AM939" s="32" t="n">
        <x:f>IF(AL939=1,U939,"")</x:f>
        <x:v>690000</x:v>
      </x:c>
      <x:c r="AN939" s="33" t="str">
        <x:f>IF(AL939=1,AF939,"")</x:f>
      </x:c>
      <x:c r="AO939" s="31" t="n">
        <x:f>'分析方法'!$B$6-J939</x:f>
        <x:v>1</x:v>
      </x:c>
      <x:c r="AP939" s="3"/>
    </x:row>
    <x:row r="940" ht="22" customHeight="1">
      <x:c r="A940" s="3" t="str">
        <x:v>T2916115</x:v>
      </x:c>
      <x:c r="B940" s="7" t="d">
        <x:v>2026-10-08T00:00:00.000Z</x:v>
      </x:c>
      <x:c r="C940" s="3" t="str">
        <x:v>Taladrod</x:v>
      </x:c>
      <x:c r="D940" s="3" t="str">
        <x:v>Toyota</x:v>
      </x:c>
      <x:c r="E940" s="3" t="str">
        <x:v>日本</x:v>
      </x:c>
      <x:c r="F940" s="3" t="str">
        <x:v>Yaris Ativ</x:v>
      </x:c>
      <x:c r="G940" s="3" t="str">
        <x:v>HEV</x:v>
      </x:c>
      <x:c r="H940" s="3" t="str">
        <x:v>Sedan</x:v>
      </x:c>
      <x:c r="I940" s="3" t="str"/>
      <x:c r="J940" s="3" t="n">
        <x:v>2025</x:v>
      </x:c>
      <x:c r="K940" s="3" t="str">
        <x:v>1.5 HEV GR SPORT</x:v>
      </x:c>
      <x:c r="L940" s="3" t="str">
        <x:v>1.5 HEV GR SPORT</x:v>
      </x:c>
      <x:c r="M940" s="22"/>
      <x:c r="N940" s="22"/>
      <x:c r="O940" s="22"/>
      <x:c r="P940" s="3" t="str">
        <x:v>未掲載</x:v>
      </x:c>
      <x:c r="Q940" s="3" t="str">
        <x:v>未取得</x:v>
      </x:c>
      <x:c r="R940" s="3" t="str">
        <x:v>Unknown</x:v>
      </x:c>
      <x:c r="S940" s="3" t="str">
        <x:v>不明</x:v>
      </x:c>
      <x:c r="T940" s="3" t="str">
        <x:v>22-ปัจจุบัน</x:v>
      </x:c>
      <x:c r="U940" s="28" t="n">
        <x:v>690000</x:v>
      </x:c>
      <x:c r="V940" s="28" t="n">
        <x:v>769000</x:v>
      </x:c>
      <x:c r="W940" s="3" t="str">
        <x:v>事故・水没・SOH・保証残は未確認</x:v>
      </x:c>
      <x:c r="X940" s="3" t="str">
        <x:v>掲載中・在庫未確認</x:v>
      </x:c>
      <x:c r="Y940" s="3" t="str"/>
      <x:c r="Z940" s="27" t="str">
        <x:v>https://www.taladrod.com/w40/icar/cardet.aspx?cid=2916115</x:v>
      </x:c>
      <x:c r="AA940" s="3" t="str">
        <x:v>Taladrod個別広告ID／Carsome在庫ID</x:v>
      </x:c>
      <x:c r="AB940" s="3" t="str">
        <x:v>車台番号未取得／サイト間重複は未判定</x:v>
      </x:c>
      <x:c r="AC940" s="3" t="str">
        <x:v>税込区分未確認（一覧表示額）</x:v>
      </x:c>
      <x:c r="AD940" s="3" t="str"/>
      <x:c r="AE940" s="29" t="str">
        <x:f>""</x:f>
      </x:c>
      <x:c r="AF940" s="30" t="str">
        <x:f>IF(ISNUMBER(AE940),U940/AE940,"")</x:f>
      </x:c>
      <x:c r="AG940" s="29" t="str">
        <x:f>""</x:f>
      </x:c>
      <x:c r="AH940" s="30" t="str">
        <x:f>IF(ISNUMBER(AG940),U940/AG940,"")</x:f>
      </x:c>
      <x:c r="AI940" s="3" t="str">
        <x:v>同年式・グレードの検証済み当時価格なし／登録年混在</x:v>
      </x:c>
      <x:c r="AJ940" s="3" t="str">
        <x:v>一覧価格/年式のみ</x:v>
      </x:c>
      <x:c r="AK940" s="3" t="str">
        <x:v>一覧の表示価格。年式は掲載年式。</x:v>
      </x:c>
      <x:c r="AL940" s="31" t="n">
        <x:f>IF(AND(J940&lt;='分析方法'!$B$7,OR(ISBLANK(O940),O940&gt;='分析方法'!$B$8),X940&lt;&gt;"売却済み表示"),1,0)</x:f>
        <x:v>1</x:v>
      </x:c>
      <x:c r="AM940" s="32" t="n">
        <x:f>IF(AL940=1,U940,"")</x:f>
        <x:v>690000</x:v>
      </x:c>
      <x:c r="AN940" s="33" t="str">
        <x:f>IF(AL940=1,AF940,"")</x:f>
      </x:c>
      <x:c r="AO940" s="31" t="n">
        <x:f>'分析方法'!$B$6-J940</x:f>
        <x:v>1</x:v>
      </x:c>
      <x:c r="AP940" s="3"/>
    </x:row>
    <x:row r="941" ht="22" customHeight="1">
      <x:c r="A941" s="3" t="str">
        <x:v>T2924332</x:v>
      </x:c>
      <x:c r="B941" s="7" t="d">
        <x:v>2026-10-08T00:00:00.000Z</x:v>
      </x:c>
      <x:c r="C941" s="3" t="str">
        <x:v>Taladrod</x:v>
      </x:c>
      <x:c r="D941" s="3" t="str">
        <x:v>Toyota</x:v>
      </x:c>
      <x:c r="E941" s="3" t="str">
        <x:v>日本</x:v>
      </x:c>
      <x:c r="F941" s="3" t="str">
        <x:v>Yaris Ativ</x:v>
      </x:c>
      <x:c r="G941" s="3" t="str">
        <x:v>HEV</x:v>
      </x:c>
      <x:c r="H941" s="3" t="str">
        <x:v>Sedan</x:v>
      </x:c>
      <x:c r="I941" s="3" t="str"/>
      <x:c r="J941" s="3" t="n">
        <x:v>2026</x:v>
      </x:c>
      <x:c r="K941" s="3" t="str">
        <x:v>1.5 HEV GR SPORT</x:v>
      </x:c>
      <x:c r="L941" s="3" t="str">
        <x:v>1.5 HEV GR SPORT</x:v>
      </x:c>
      <x:c r="M941" s="22"/>
      <x:c r="N941" s="22"/>
      <x:c r="O941" s="22"/>
      <x:c r="P941" s="3" t="str">
        <x:v>未掲載</x:v>
      </x:c>
      <x:c r="Q941" s="3" t="str">
        <x:v>未取得</x:v>
      </x:c>
      <x:c r="R941" s="3" t="str">
        <x:v>Unknown</x:v>
      </x:c>
      <x:c r="S941" s="3" t="str">
        <x:v>不明</x:v>
      </x:c>
      <x:c r="T941" s="3" t="str">
        <x:v>22-ปัจจุบัน</x:v>
      </x:c>
      <x:c r="U941" s="28" t="n">
        <x:v>659000</x:v>
      </x:c>
      <x:c r="V941" s="28" t="n">
        <x:v>769000</x:v>
      </x:c>
      <x:c r="W941" s="3" t="str">
        <x:v>事故・水没・SOH・保証残は未確認</x:v>
      </x:c>
      <x:c r="X941" s="3" t="str">
        <x:v>掲載中・在庫未確認</x:v>
      </x:c>
      <x:c r="Y941" s="3" t="str"/>
      <x:c r="Z941" s="27" t="str">
        <x:v>https://www.taladrod.com/w40/icar/cardet.aspx?cid=2924332</x:v>
      </x:c>
      <x:c r="AA941" s="3" t="str">
        <x:v>Taladrod個別広告ID／Carsome在庫ID</x:v>
      </x:c>
      <x:c r="AB941" s="3" t="str">
        <x:v>車台番号未取得／サイト間重複は未判定</x:v>
      </x:c>
      <x:c r="AC941" s="3" t="str">
        <x:v>税込区分未確認（一覧表示額）</x:v>
      </x:c>
      <x:c r="AD941" s="3" t="str"/>
      <x:c r="AE941" s="29" t="str">
        <x:f>""</x:f>
      </x:c>
      <x:c r="AF941" s="30" t="str">
        <x:f>IF(ISNUMBER(AE941),U941/AE941,"")</x:f>
      </x:c>
      <x:c r="AG941" s="29" t="str">
        <x:f>""</x:f>
      </x:c>
      <x:c r="AH941" s="30" t="str">
        <x:f>IF(ISNUMBER(AG941),U941/AG941,"")</x:f>
      </x:c>
      <x:c r="AI941" s="3" t="str">
        <x:v>同年式・グレードの検証済み当時価格なし／登録年混在</x:v>
      </x:c>
      <x:c r="AJ941" s="3" t="str">
        <x:v>一覧価格/年式のみ</x:v>
      </x:c>
      <x:c r="AK941" s="3" t="str">
        <x:v>一覧の表示価格。年式は掲載年式。</x:v>
      </x:c>
      <x:c r="AL941" s="31" t="n">
        <x:f>IF(AND(J941&lt;='分析方法'!$B$7,OR(ISBLANK(O941),O941&gt;='分析方法'!$B$8),X941&lt;&gt;"売却済み表示"),1,0)</x:f>
        <x:v>0</x:v>
      </x:c>
      <x:c r="AM941" s="32" t="str">
        <x:f>IF(AL941=1,U941,"")</x:f>
      </x:c>
      <x:c r="AN941" s="33" t="str">
        <x:f>IF(AL941=1,AF941,"")</x:f>
      </x:c>
      <x:c r="AO941" s="31" t="n">
        <x:f>'分析方法'!$B$6-J941</x:f>
        <x:v>0</x:v>
      </x:c>
      <x:c r="AP941" s="3"/>
    </x:row>
    <x:row r="942" ht="22" customHeight="1">
      <x:c r="A942" s="3" t="str">
        <x:v>T2908972</x:v>
      </x:c>
      <x:c r="B942" s="7" t="d">
        <x:v>2026-10-08T00:00:00.000Z</x:v>
      </x:c>
      <x:c r="C942" s="3" t="str">
        <x:v>Taladrod</x:v>
      </x:c>
      <x:c r="D942" s="3" t="str">
        <x:v>Toyota</x:v>
      </x:c>
      <x:c r="E942" s="3" t="str">
        <x:v>日本</x:v>
      </x:c>
      <x:c r="F942" s="3" t="str">
        <x:v>Yaris Ativ</x:v>
      </x:c>
      <x:c r="G942" s="3" t="str">
        <x:v>ICE</x:v>
      </x:c>
      <x:c r="H942" s="3" t="str">
        <x:v>Sedan</x:v>
      </x:c>
      <x:c r="I942" s="3" t="str"/>
      <x:c r="J942" s="3" t="n">
        <x:v>2020</x:v>
      </x:c>
      <x:c r="K942" s="3" t="str">
        <x:v>1.2 ENTRY</x:v>
      </x:c>
      <x:c r="L942" s="3" t="str">
        <x:v>ENTRY</x:v>
      </x:c>
      <x:c r="M942" s="22"/>
      <x:c r="N942" s="22"/>
      <x:c r="O942" s="22"/>
      <x:c r="P942" s="3" t="str">
        <x:v>未掲載</x:v>
      </x:c>
      <x:c r="Q942" s="3" t="str">
        <x:v>未取得</x:v>
      </x:c>
      <x:c r="R942" s="3" t="str">
        <x:v>Unknown</x:v>
      </x:c>
      <x:c r="S942" s="3" t="str">
        <x:v>不明</x:v>
      </x:c>
      <x:c r="T942" s="3" t="str">
        <x:v>17-22</x:v>
      </x:c>
      <x:c r="U942" s="28" t="n">
        <x:v>329000</x:v>
      </x:c>
      <x:c r="V942" s="28" t="n">
        <x:v>539000</x:v>
      </x:c>
      <x:c r="W942" s="3" t="str">
        <x:v>事故・水没・SOH・保証残は未確認</x:v>
      </x:c>
      <x:c r="X942" s="3" t="str">
        <x:v>掲載中・在庫未確認</x:v>
      </x:c>
      <x:c r="Y942" s="3" t="str"/>
      <x:c r="Z942" s="27" t="str">
        <x:v>https://www.taladrod.com/w40/icar/cardet.aspx?cid=2908972</x:v>
      </x:c>
      <x:c r="AA942" s="3" t="str">
        <x:v>Taladrod個別広告ID／Carsome在庫ID</x:v>
      </x:c>
      <x:c r="AB942" s="3" t="str">
        <x:v>車台番号未取得／サイト間重複は未判定</x:v>
      </x:c>
      <x:c r="AC942" s="3" t="str">
        <x:v>税込区分未確認（一覧表示額）</x:v>
      </x:c>
      <x:c r="AD942" s="3" t="str"/>
      <x:c r="AE942" s="29" t="str">
        <x:f>""</x:f>
      </x:c>
      <x:c r="AF942" s="30" t="str">
        <x:f>IF(ISNUMBER(AE942),U942/AE942,"")</x:f>
      </x:c>
      <x:c r="AG942" s="29" t="str">
        <x:f>""</x:f>
      </x:c>
      <x:c r="AH942" s="30" t="str">
        <x:f>IF(ISNUMBER(AG942),U942/AG942,"")</x:f>
      </x:c>
      <x:c r="AI942" s="3" t="str">
        <x:v>同年式・グレードの検証済み当時価格なし／登録年混在</x:v>
      </x:c>
      <x:c r="AJ942" s="3" t="str">
        <x:v>一覧価格/年式のみ</x:v>
      </x:c>
      <x:c r="AK942" s="3" t="str">
        <x:v>一覧の表示価格。年式は掲載年式。</x:v>
      </x:c>
      <x:c r="AL942" s="31" t="n">
        <x:f>IF(AND(J942&lt;='分析方法'!$B$7,OR(ISBLANK(O942),O942&gt;='分析方法'!$B$8),X942&lt;&gt;"売却済み表示"),1,0)</x:f>
        <x:v>1</x:v>
      </x:c>
      <x:c r="AM942" s="32" t="n">
        <x:f>IF(AL942=1,U942,"")</x:f>
        <x:v>329000</x:v>
      </x:c>
      <x:c r="AN942" s="33" t="str">
        <x:f>IF(AL942=1,AF942,"")</x:f>
      </x:c>
      <x:c r="AO942" s="31" t="n">
        <x:f>'分析方法'!$B$6-J942</x:f>
        <x:v>6</x:v>
      </x:c>
      <x:c r="AP942" s="3"/>
    </x:row>
    <x:row r="943" ht="22" customHeight="1">
      <x:c r="A943" s="3" t="str">
        <x:v>T2922164</x:v>
      </x:c>
      <x:c r="B943" s="7" t="d">
        <x:v>2026-10-08T00:00:00.000Z</x:v>
      </x:c>
      <x:c r="C943" s="3" t="str">
        <x:v>Taladrod</x:v>
      </x:c>
      <x:c r="D943" s="3" t="str">
        <x:v>Toyota</x:v>
      </x:c>
      <x:c r="E943" s="3" t="str">
        <x:v>日本</x:v>
      </x:c>
      <x:c r="F943" s="3" t="str">
        <x:v>Yaris Ativ</x:v>
      </x:c>
      <x:c r="G943" s="3" t="str">
        <x:v>ICE</x:v>
      </x:c>
      <x:c r="H943" s="3" t="str">
        <x:v>Sedan</x:v>
      </x:c>
      <x:c r="I943" s="3" t="str"/>
      <x:c r="J943" s="3" t="n">
        <x:v>2020</x:v>
      </x:c>
      <x:c r="K943" s="3" t="str">
        <x:v>1.2 ENTRY</x:v>
      </x:c>
      <x:c r="L943" s="3" t="str">
        <x:v>ENTRY</x:v>
      </x:c>
      <x:c r="M943" s="22"/>
      <x:c r="N943" s="22"/>
      <x:c r="O943" s="22"/>
      <x:c r="P943" s="3" t="str">
        <x:v>未掲載</x:v>
      </x:c>
      <x:c r="Q943" s="3" t="str">
        <x:v>未取得</x:v>
      </x:c>
      <x:c r="R943" s="3" t="str">
        <x:v>Unknown</x:v>
      </x:c>
      <x:c r="S943" s="3" t="str">
        <x:v>不明</x:v>
      </x:c>
      <x:c r="T943" s="3" t="str">
        <x:v>17-22</x:v>
      </x:c>
      <x:c r="U943" s="28" t="n">
        <x:v>309000</x:v>
      </x:c>
      <x:c r="V943" s="28" t="n">
        <x:v>539000</x:v>
      </x:c>
      <x:c r="W943" s="3" t="str">
        <x:v>事故・水没・SOH・保証残は未確認</x:v>
      </x:c>
      <x:c r="X943" s="3" t="str">
        <x:v>掲載中・在庫未確認</x:v>
      </x:c>
      <x:c r="Y943" s="3" t="str"/>
      <x:c r="Z943" s="27" t="str">
        <x:v>https://www.taladrod.com/w40/icar/cardet.aspx?cid=2922164</x:v>
      </x:c>
      <x:c r="AA943" s="3" t="str">
        <x:v>Taladrod個別広告ID／Carsome在庫ID</x:v>
      </x:c>
      <x:c r="AB943" s="3" t="str">
        <x:v>車台番号未取得／サイト間重複は未判定</x:v>
      </x:c>
      <x:c r="AC943" s="3" t="str">
        <x:v>税込区分未確認（一覧表示額）</x:v>
      </x:c>
      <x:c r="AD943" s="3" t="str"/>
      <x:c r="AE943" s="29" t="str">
        <x:f>""</x:f>
      </x:c>
      <x:c r="AF943" s="30" t="str">
        <x:f>IF(ISNUMBER(AE943),U943/AE943,"")</x:f>
      </x:c>
      <x:c r="AG943" s="29" t="str">
        <x:f>""</x:f>
      </x:c>
      <x:c r="AH943" s="30" t="str">
        <x:f>IF(ISNUMBER(AG943),U943/AG943,"")</x:f>
      </x:c>
      <x:c r="AI943" s="3" t="str">
        <x:v>同年式・グレードの検証済み当時価格なし／登録年混在</x:v>
      </x:c>
      <x:c r="AJ943" s="3" t="str">
        <x:v>一覧価格/年式のみ</x:v>
      </x:c>
      <x:c r="AK943" s="3" t="str">
        <x:v>一覧の表示価格。年式は掲載年式。</x:v>
      </x:c>
      <x:c r="AL943" s="31" t="n">
        <x:f>IF(AND(J943&lt;='分析方法'!$B$7,OR(ISBLANK(O943),O943&gt;='分析方法'!$B$8),X943&lt;&gt;"売却済み表示"),1,0)</x:f>
        <x:v>1</x:v>
      </x:c>
      <x:c r="AM943" s="32" t="n">
        <x:f>IF(AL943=1,U943,"")</x:f>
        <x:v>309000</x:v>
      </x:c>
      <x:c r="AN943" s="33" t="str">
        <x:f>IF(AL943=1,AF943,"")</x:f>
      </x:c>
      <x:c r="AO943" s="31" t="n">
        <x:f>'分析方法'!$B$6-J943</x:f>
        <x:v>6</x:v>
      </x:c>
      <x:c r="AP943" s="3"/>
    </x:row>
    <x:row r="944" ht="22" customHeight="1">
      <x:c r="A944" s="3" t="str">
        <x:v>T2921317</x:v>
      </x:c>
      <x:c r="B944" s="7" t="d">
        <x:v>2026-10-08T00:00:00.000Z</x:v>
      </x:c>
      <x:c r="C944" s="3" t="str">
        <x:v>Taladrod</x:v>
      </x:c>
      <x:c r="D944" s="3" t="str">
        <x:v>Toyota</x:v>
      </x:c>
      <x:c r="E944" s="3" t="str">
        <x:v>日本</x:v>
      </x:c>
      <x:c r="F944" s="3" t="str">
        <x:v>Yaris Ativ</x:v>
      </x:c>
      <x:c r="G944" s="3" t="str">
        <x:v>ICE</x:v>
      </x:c>
      <x:c r="H944" s="3" t="str">
        <x:v>Sedan</x:v>
      </x:c>
      <x:c r="I944" s="3" t="str"/>
      <x:c r="J944" s="3" t="n">
        <x:v>2020</x:v>
      </x:c>
      <x:c r="K944" s="3" t="str">
        <x:v>1.2 HIGH</x:v>
      </x:c>
      <x:c r="L944" s="3" t="str">
        <x:v>HIGH</x:v>
      </x:c>
      <x:c r="M944" s="22"/>
      <x:c r="N944" s="22"/>
      <x:c r="O944" s="22"/>
      <x:c r="P944" s="3" t="str">
        <x:v>未掲載</x:v>
      </x:c>
      <x:c r="Q944" s="3" t="str">
        <x:v>未取得</x:v>
      </x:c>
      <x:c r="R944" s="3" t="str">
        <x:v>Unknown</x:v>
      </x:c>
      <x:c r="S944" s="3" t="str">
        <x:v>不明</x:v>
      </x:c>
      <x:c r="T944" s="3" t="str">
        <x:v>17-22</x:v>
      </x:c>
      <x:c r="U944" s="28" t="n">
        <x:v>389000</x:v>
      </x:c>
      <x:c r="V944" s="28" t="n">
        <x:v>649000</x:v>
      </x:c>
      <x:c r="W944" s="3" t="str">
        <x:v>事故・水没・SOH・保証残は未確認</x:v>
      </x:c>
      <x:c r="X944" s="3" t="str">
        <x:v>掲載中・在庫未確認</x:v>
      </x:c>
      <x:c r="Y944" s="3" t="str"/>
      <x:c r="Z944" s="27" t="str">
        <x:v>https://www.taladrod.com/w40/icar/cardet.aspx?cid=2921317</x:v>
      </x:c>
      <x:c r="AA944" s="3" t="str">
        <x:v>Taladrod個別広告ID／Carsome在庫ID</x:v>
      </x:c>
      <x:c r="AB944" s="3" t="str">
        <x:v>車台番号未取得／サイト間重複は未判定</x:v>
      </x:c>
      <x:c r="AC944" s="3" t="str">
        <x:v>税込区分未確認（一覧表示額）</x:v>
      </x:c>
      <x:c r="AD944" s="3" t="str"/>
      <x:c r="AE944" s="29" t="str">
        <x:f>""</x:f>
      </x:c>
      <x:c r="AF944" s="30" t="str">
        <x:f>IF(ISNUMBER(AE944),U944/AE944,"")</x:f>
      </x:c>
      <x:c r="AG944" s="29" t="str">
        <x:f>""</x:f>
      </x:c>
      <x:c r="AH944" s="30" t="str">
        <x:f>IF(ISNUMBER(AG944),U944/AG944,"")</x:f>
      </x:c>
      <x:c r="AI944" s="3" t="str">
        <x:v>同年式・グレードの検証済み当時価格なし／登録年混在</x:v>
      </x:c>
      <x:c r="AJ944" s="3" t="str">
        <x:v>一覧価格/年式のみ</x:v>
      </x:c>
      <x:c r="AK944" s="3" t="str">
        <x:v>一覧の表示価格。年式は掲載年式。</x:v>
      </x:c>
      <x:c r="AL944" s="31" t="n">
        <x:f>IF(AND(J944&lt;='分析方法'!$B$7,OR(ISBLANK(O944),O944&gt;='分析方法'!$B$8),X944&lt;&gt;"売却済み表示"),1,0)</x:f>
        <x:v>1</x:v>
      </x:c>
      <x:c r="AM944" s="32" t="n">
        <x:f>IF(AL944=1,U944,"")</x:f>
        <x:v>389000</x:v>
      </x:c>
      <x:c r="AN944" s="33" t="str">
        <x:f>IF(AL944=1,AF944,"")</x:f>
      </x:c>
      <x:c r="AO944" s="31" t="n">
        <x:f>'分析方法'!$B$6-J944</x:f>
        <x:v>6</x:v>
      </x:c>
      <x:c r="AP944" s="3"/>
    </x:row>
    <x:row r="945" ht="22" customHeight="1">
      <x:c r="A945" s="3" t="str">
        <x:v>T2883369</x:v>
      </x:c>
      <x:c r="B945" s="7" t="d">
        <x:v>2026-10-08T00:00:00.000Z</x:v>
      </x:c>
      <x:c r="C945" s="3" t="str">
        <x:v>Taladrod</x:v>
      </x:c>
      <x:c r="D945" s="3" t="str">
        <x:v>Toyota</x:v>
      </x:c>
      <x:c r="E945" s="3" t="str">
        <x:v>日本</x:v>
      </x:c>
      <x:c r="F945" s="3" t="str">
        <x:v>Yaris Ativ</x:v>
      </x:c>
      <x:c r="G945" s="3" t="str">
        <x:v>ICE</x:v>
      </x:c>
      <x:c r="H945" s="3" t="str">
        <x:v>Sedan</x:v>
      </x:c>
      <x:c r="I945" s="3" t="str"/>
      <x:c r="J945" s="3" t="n">
        <x:v>2020</x:v>
      </x:c>
      <x:c r="K945" s="3" t="str">
        <x:v>1.2 J ECO</x:v>
      </x:c>
      <x:c r="L945" s="3" t="str">
        <x:v>J ECO</x:v>
      </x:c>
      <x:c r="M945" s="22"/>
      <x:c r="N945" s="22"/>
      <x:c r="O945" s="22"/>
      <x:c r="P945" s="3" t="str">
        <x:v>未掲載</x:v>
      </x:c>
      <x:c r="Q945" s="3" t="str">
        <x:v>未取得</x:v>
      </x:c>
      <x:c r="R945" s="3" t="str">
        <x:v>Unknown</x:v>
      </x:c>
      <x:c r="S945" s="3" t="str">
        <x:v>不明</x:v>
      </x:c>
      <x:c r="T945" s="3" t="str">
        <x:v>17-22</x:v>
      </x:c>
      <x:c r="U945" s="28" t="n">
        <x:v>295000</x:v>
      </x:c>
      <x:c r="V945" s="28" t="n">
        <x:v>469000</x:v>
      </x:c>
      <x:c r="W945" s="3" t="str">
        <x:v>事故・水没・SOH・保証残は未確認</x:v>
      </x:c>
      <x:c r="X945" s="3" t="str">
        <x:v>掲載中・在庫未確認</x:v>
      </x:c>
      <x:c r="Y945" s="3" t="str"/>
      <x:c r="Z945" s="27" t="str">
        <x:v>https://www.taladrod.com/w40/icar/cardet.aspx?cid=2883369</x:v>
      </x:c>
      <x:c r="AA945" s="3" t="str">
        <x:v>Taladrod個別広告ID／Carsome在庫ID</x:v>
      </x:c>
      <x:c r="AB945" s="3" t="str">
        <x:v>車台番号未取得／サイト間重複は未判定</x:v>
      </x:c>
      <x:c r="AC945" s="3" t="str">
        <x:v>税込区分未確認（一覧表示額）</x:v>
      </x:c>
      <x:c r="AD945" s="3" t="str"/>
      <x:c r="AE945" s="29" t="str">
        <x:f>""</x:f>
      </x:c>
      <x:c r="AF945" s="30" t="str">
        <x:f>IF(ISNUMBER(AE945),U945/AE945,"")</x:f>
      </x:c>
      <x:c r="AG945" s="29" t="str">
        <x:f>""</x:f>
      </x:c>
      <x:c r="AH945" s="30" t="str">
        <x:f>IF(ISNUMBER(AG945),U945/AG945,"")</x:f>
      </x:c>
      <x:c r="AI945" s="3" t="str">
        <x:v>同年式・グレードの検証済み当時価格なし／登録年混在</x:v>
      </x:c>
      <x:c r="AJ945" s="3" t="str">
        <x:v>一覧価格/年式のみ</x:v>
      </x:c>
      <x:c r="AK945" s="3" t="str">
        <x:v>一覧の表示価格。年式は掲載年式。</x:v>
      </x:c>
      <x:c r="AL945" s="31" t="n">
        <x:f>IF(AND(J945&lt;='分析方法'!$B$7,OR(ISBLANK(O945),O945&gt;='分析方法'!$B$8),X945&lt;&gt;"売却済み表示"),1,0)</x:f>
        <x:v>1</x:v>
      </x:c>
      <x:c r="AM945" s="32" t="n">
        <x:f>IF(AL945=1,U945,"")</x:f>
        <x:v>295000</x:v>
      </x:c>
      <x:c r="AN945" s="33" t="str">
        <x:f>IF(AL945=1,AF945,"")</x:f>
      </x:c>
      <x:c r="AO945" s="31" t="n">
        <x:f>'分析方法'!$B$6-J945</x:f>
        <x:v>6</x:v>
      </x:c>
      <x:c r="AP945" s="3"/>
    </x:row>
    <x:row r="946" ht="22" customHeight="1">
      <x:c r="A946" s="3" t="str">
        <x:v>T2890289</x:v>
      </x:c>
      <x:c r="B946" s="7" t="d">
        <x:v>2026-10-08T00:00:00.000Z</x:v>
      </x:c>
      <x:c r="C946" s="3" t="str">
        <x:v>Taladrod</x:v>
      </x:c>
      <x:c r="D946" s="3" t="str">
        <x:v>Toyota</x:v>
      </x:c>
      <x:c r="E946" s="3" t="str">
        <x:v>日本</x:v>
      </x:c>
      <x:c r="F946" s="3" t="str">
        <x:v>Yaris Ativ</x:v>
      </x:c>
      <x:c r="G946" s="3" t="str">
        <x:v>ICE</x:v>
      </x:c>
      <x:c r="H946" s="3" t="str">
        <x:v>Sedan</x:v>
      </x:c>
      <x:c r="I946" s="3" t="str"/>
      <x:c r="J946" s="3" t="n">
        <x:v>2020</x:v>
      </x:c>
      <x:c r="K946" s="3" t="str">
        <x:v>1.2 MID</x:v>
      </x:c>
      <x:c r="L946" s="3" t="str">
        <x:v>MID</x:v>
      </x:c>
      <x:c r="M946" s="22"/>
      <x:c r="N946" s="22"/>
      <x:c r="O946" s="22"/>
      <x:c r="P946" s="3" t="str">
        <x:v>未掲載</x:v>
      </x:c>
      <x:c r="Q946" s="3" t="str">
        <x:v>未取得</x:v>
      </x:c>
      <x:c r="R946" s="3" t="str">
        <x:v>Unknown</x:v>
      </x:c>
      <x:c r="S946" s="3" t="str">
        <x:v>不明</x:v>
      </x:c>
      <x:c r="T946" s="3" t="str">
        <x:v>17-22</x:v>
      </x:c>
      <x:c r="U946" s="28" t="n">
        <x:v>297000</x:v>
      </x:c>
      <x:c r="V946" s="28" t="n">
        <x:v>579000</x:v>
      </x:c>
      <x:c r="W946" s="3" t="str">
        <x:v>事故・水没・SOH・保証残は未確認</x:v>
      </x:c>
      <x:c r="X946" s="3" t="str">
        <x:v>掲載中・在庫未確認</x:v>
      </x:c>
      <x:c r="Y946" s="3" t="str"/>
      <x:c r="Z946" s="27" t="str">
        <x:v>https://www.taladrod.com/w40/icar/cardet.aspx?cid=2890289</x:v>
      </x:c>
      <x:c r="AA946" s="3" t="str">
        <x:v>Taladrod個別広告ID／Carsome在庫ID</x:v>
      </x:c>
      <x:c r="AB946" s="3" t="str">
        <x:v>車台番号未取得／サイト間重複は未判定</x:v>
      </x:c>
      <x:c r="AC946" s="3" t="str">
        <x:v>税込区分未確認（一覧表示額）</x:v>
      </x:c>
      <x:c r="AD946" s="3" t="str"/>
      <x:c r="AE946" s="29" t="str">
        <x:f>""</x:f>
      </x:c>
      <x:c r="AF946" s="30" t="str">
        <x:f>IF(ISNUMBER(AE946),U946/AE946,"")</x:f>
      </x:c>
      <x:c r="AG946" s="29" t="str">
        <x:f>""</x:f>
      </x:c>
      <x:c r="AH946" s="30" t="str">
        <x:f>IF(ISNUMBER(AG946),U946/AG946,"")</x:f>
      </x:c>
      <x:c r="AI946" s="3" t="str">
        <x:v>同年式・グレードの検証済み当時価格なし／登録年混在</x:v>
      </x:c>
      <x:c r="AJ946" s="3" t="str">
        <x:v>一覧価格/年式のみ</x:v>
      </x:c>
      <x:c r="AK946" s="3" t="str">
        <x:v>一覧の表示価格。年式は掲載年式。</x:v>
      </x:c>
      <x:c r="AL946" s="31" t="n">
        <x:f>IF(AND(J946&lt;='分析方法'!$B$7,OR(ISBLANK(O946),O946&gt;='分析方法'!$B$8),X946&lt;&gt;"売却済み表示"),1,0)</x:f>
        <x:v>1</x:v>
      </x:c>
      <x:c r="AM946" s="32" t="n">
        <x:f>IF(AL946=1,U946,"")</x:f>
        <x:v>297000</x:v>
      </x:c>
      <x:c r="AN946" s="33" t="str">
        <x:f>IF(AL946=1,AF946,"")</x:f>
      </x:c>
      <x:c r="AO946" s="31" t="n">
        <x:f>'分析方法'!$B$6-J946</x:f>
        <x:v>6</x:v>
      </x:c>
      <x:c r="AP946" s="3"/>
    </x:row>
    <x:row r="947" ht="22" customHeight="1">
      <x:c r="A947" s="3" t="str">
        <x:v>T2916232</x:v>
      </x:c>
      <x:c r="B947" s="7" t="d">
        <x:v>2026-10-08T00:00:00.000Z</x:v>
      </x:c>
      <x:c r="C947" s="3" t="str">
        <x:v>Taladrod</x:v>
      </x:c>
      <x:c r="D947" s="3" t="str">
        <x:v>Toyota</x:v>
      </x:c>
      <x:c r="E947" s="3" t="str">
        <x:v>日本</x:v>
      </x:c>
      <x:c r="F947" s="3" t="str">
        <x:v>Yaris Ativ</x:v>
      </x:c>
      <x:c r="G947" s="3" t="str">
        <x:v>ICE</x:v>
      </x:c>
      <x:c r="H947" s="3" t="str">
        <x:v>Sedan</x:v>
      </x:c>
      <x:c r="I947" s="3" t="str"/>
      <x:c r="J947" s="3" t="n">
        <x:v>2020</x:v>
      </x:c>
      <x:c r="K947" s="3" t="str">
        <x:v>1.2 MID</x:v>
      </x:c>
      <x:c r="L947" s="3" t="str">
        <x:v>MID</x:v>
      </x:c>
      <x:c r="M947" s="22"/>
      <x:c r="N947" s="22"/>
      <x:c r="O947" s="22"/>
      <x:c r="P947" s="3" t="str">
        <x:v>未掲載</x:v>
      </x:c>
      <x:c r="Q947" s="3" t="str">
        <x:v>未取得</x:v>
      </x:c>
      <x:c r="R947" s="3" t="str">
        <x:v>Unknown</x:v>
      </x:c>
      <x:c r="S947" s="3" t="str">
        <x:v>不明</x:v>
      </x:c>
      <x:c r="T947" s="3" t="str">
        <x:v>17-22</x:v>
      </x:c>
      <x:c r="U947" s="28" t="n">
        <x:v>359000</x:v>
      </x:c>
      <x:c r="V947" s="28" t="n">
        <x:v>579000</x:v>
      </x:c>
      <x:c r="W947" s="3" t="str">
        <x:v>事故・水没・SOH・保証残は未確認</x:v>
      </x:c>
      <x:c r="X947" s="3" t="str">
        <x:v>掲載中・在庫未確認</x:v>
      </x:c>
      <x:c r="Y947" s="3" t="str"/>
      <x:c r="Z947" s="27" t="str">
        <x:v>https://www.taladrod.com/w40/icar/cardet.aspx?cid=2916232</x:v>
      </x:c>
      <x:c r="AA947" s="3" t="str">
        <x:v>Taladrod個別広告ID／Carsome在庫ID</x:v>
      </x:c>
      <x:c r="AB947" s="3" t="str">
        <x:v>車台番号未取得／サイト間重複は未判定</x:v>
      </x:c>
      <x:c r="AC947" s="3" t="str">
        <x:v>税込区分未確認（一覧表示額）</x:v>
      </x:c>
      <x:c r="AD947" s="3" t="str"/>
      <x:c r="AE947" s="29" t="str">
        <x:f>""</x:f>
      </x:c>
      <x:c r="AF947" s="30" t="str">
        <x:f>IF(ISNUMBER(AE947),U947/AE947,"")</x:f>
      </x:c>
      <x:c r="AG947" s="29" t="str">
        <x:f>""</x:f>
      </x:c>
      <x:c r="AH947" s="30" t="str">
        <x:f>IF(ISNUMBER(AG947),U947/AG947,"")</x:f>
      </x:c>
      <x:c r="AI947" s="3" t="str">
        <x:v>同年式・グレードの検証済み当時価格なし／登録年混在</x:v>
      </x:c>
      <x:c r="AJ947" s="3" t="str">
        <x:v>一覧価格/年式のみ</x:v>
      </x:c>
      <x:c r="AK947" s="3" t="str">
        <x:v>一覧の表示価格。年式は掲載年式。</x:v>
      </x:c>
      <x:c r="AL947" s="31" t="n">
        <x:f>IF(AND(J947&lt;='分析方法'!$B$7,OR(ISBLANK(O947),O947&gt;='分析方法'!$B$8),X947&lt;&gt;"売却済み表示"),1,0)</x:f>
        <x:v>1</x:v>
      </x:c>
      <x:c r="AM947" s="32" t="n">
        <x:f>IF(AL947=1,U947,"")</x:f>
        <x:v>359000</x:v>
      </x:c>
      <x:c r="AN947" s="33" t="str">
        <x:f>IF(AL947=1,AF947,"")</x:f>
      </x:c>
      <x:c r="AO947" s="31" t="n">
        <x:f>'分析方法'!$B$6-J947</x:f>
        <x:v>6</x:v>
      </x:c>
      <x:c r="AP947" s="3"/>
    </x:row>
    <x:row r="948" ht="22" customHeight="1">
      <x:c r="A948" s="3" t="str">
        <x:v>T2914194</x:v>
      </x:c>
      <x:c r="B948" s="7" t="d">
        <x:v>2026-10-08T00:00:00.000Z</x:v>
      </x:c>
      <x:c r="C948" s="3" t="str">
        <x:v>Taladrod</x:v>
      </x:c>
      <x:c r="D948" s="3" t="str">
        <x:v>Toyota</x:v>
      </x:c>
      <x:c r="E948" s="3" t="str">
        <x:v>日本</x:v>
      </x:c>
      <x:c r="F948" s="3" t="str">
        <x:v>Yaris Ativ</x:v>
      </x:c>
      <x:c r="G948" s="3" t="str">
        <x:v>ICE</x:v>
      </x:c>
      <x:c r="H948" s="3" t="str">
        <x:v>Sedan</x:v>
      </x:c>
      <x:c r="I948" s="3" t="str"/>
      <x:c r="J948" s="3" t="n">
        <x:v>2020</x:v>
      </x:c>
      <x:c r="K948" s="3" t="str">
        <x:v>1.2 S</x:v>
      </x:c>
      <x:c r="L948" s="3" t="str">
        <x:v>S</x:v>
      </x:c>
      <x:c r="M948" s="22"/>
      <x:c r="N948" s="22"/>
      <x:c r="O948" s="22"/>
      <x:c r="P948" s="3" t="str">
        <x:v>未掲載</x:v>
      </x:c>
      <x:c r="Q948" s="3" t="str">
        <x:v>未取得</x:v>
      </x:c>
      <x:c r="R948" s="3" t="str">
        <x:v>Unknown</x:v>
      </x:c>
      <x:c r="S948" s="3" t="str">
        <x:v>不明</x:v>
      </x:c>
      <x:c r="T948" s="3" t="str">
        <x:v>17-22</x:v>
      </x:c>
      <x:c r="U948" s="28" t="n">
        <x:v>359000</x:v>
      </x:c>
      <x:c r="V948" s="28" t="n">
        <x:v>619000</x:v>
      </x:c>
      <x:c r="W948" s="3" t="str">
        <x:v>事故・水没・SOH・保証残は未確認</x:v>
      </x:c>
      <x:c r="X948" s="3" t="str">
        <x:v>掲載中・在庫未確認</x:v>
      </x:c>
      <x:c r="Y948" s="3" t="str"/>
      <x:c r="Z948" s="27" t="str">
        <x:v>https://www.taladrod.com/w40/icar/cardet.aspx?cid=2914194</x:v>
      </x:c>
      <x:c r="AA948" s="3" t="str">
        <x:v>Taladrod個別広告ID／Carsome在庫ID</x:v>
      </x:c>
      <x:c r="AB948" s="3" t="str">
        <x:v>車台番号未取得／サイト間重複は未判定</x:v>
      </x:c>
      <x:c r="AC948" s="3" t="str">
        <x:v>税込区分未確認（一覧表示額）</x:v>
      </x:c>
      <x:c r="AD948" s="3" t="str"/>
      <x:c r="AE948" s="29" t="str">
        <x:f>""</x:f>
      </x:c>
      <x:c r="AF948" s="30" t="str">
        <x:f>IF(ISNUMBER(AE948),U948/AE948,"")</x:f>
      </x:c>
      <x:c r="AG948" s="29" t="str">
        <x:f>""</x:f>
      </x:c>
      <x:c r="AH948" s="30" t="str">
        <x:f>IF(ISNUMBER(AG948),U948/AG948,"")</x:f>
      </x:c>
      <x:c r="AI948" s="3" t="str">
        <x:v>同年式・グレードの検証済み当時価格なし／登録年混在</x:v>
      </x:c>
      <x:c r="AJ948" s="3" t="str">
        <x:v>一覧価格/年式のみ</x:v>
      </x:c>
      <x:c r="AK948" s="3" t="str">
        <x:v>一覧の表示価格。年式は掲載年式。</x:v>
      </x:c>
      <x:c r="AL948" s="31" t="n">
        <x:f>IF(AND(J948&lt;='分析方法'!$B$7,OR(ISBLANK(O948),O948&gt;='分析方法'!$B$8),X948&lt;&gt;"売却済み表示"),1,0)</x:f>
        <x:v>1</x:v>
      </x:c>
      <x:c r="AM948" s="32" t="n">
        <x:f>IF(AL948=1,U948,"")</x:f>
        <x:v>359000</x:v>
      </x:c>
      <x:c r="AN948" s="33" t="str">
        <x:f>IF(AL948=1,AF948,"")</x:f>
      </x:c>
      <x:c r="AO948" s="31" t="n">
        <x:f>'分析方法'!$B$6-J948</x:f>
        <x:v>6</x:v>
      </x:c>
      <x:c r="AP948" s="3"/>
    </x:row>
    <x:row r="949" ht="22" customHeight="1">
      <x:c r="A949" s="3" t="str">
        <x:v>T2923671</x:v>
      </x:c>
      <x:c r="B949" s="7" t="d">
        <x:v>2026-10-08T00:00:00.000Z</x:v>
      </x:c>
      <x:c r="C949" s="3" t="str">
        <x:v>Taladrod</x:v>
      </x:c>
      <x:c r="D949" s="3" t="str">
        <x:v>Toyota</x:v>
      </x:c>
      <x:c r="E949" s="3" t="str">
        <x:v>日本</x:v>
      </x:c>
      <x:c r="F949" s="3" t="str">
        <x:v>Yaris Ativ</x:v>
      </x:c>
      <x:c r="G949" s="3" t="str">
        <x:v>ICE</x:v>
      </x:c>
      <x:c r="H949" s="3" t="str">
        <x:v>Sedan</x:v>
      </x:c>
      <x:c r="I949" s="3" t="str"/>
      <x:c r="J949" s="3" t="n">
        <x:v>2020</x:v>
      </x:c>
      <x:c r="K949" s="3" t="str">
        <x:v>1.2 S</x:v>
      </x:c>
      <x:c r="L949" s="3" t="str">
        <x:v>S</x:v>
      </x:c>
      <x:c r="M949" s="22"/>
      <x:c r="N949" s="22"/>
      <x:c r="O949" s="22"/>
      <x:c r="P949" s="3" t="str">
        <x:v>未掲載</x:v>
      </x:c>
      <x:c r="Q949" s="3" t="str">
        <x:v>未取得</x:v>
      </x:c>
      <x:c r="R949" s="3" t="str">
        <x:v>Unknown</x:v>
      </x:c>
      <x:c r="S949" s="3" t="str">
        <x:v>不明</x:v>
      </x:c>
      <x:c r="T949" s="3" t="str">
        <x:v>17-22</x:v>
      </x:c>
      <x:c r="U949" s="28" t="n">
        <x:v>259000</x:v>
      </x:c>
      <x:c r="V949" s="28" t="n">
        <x:v>619000</x:v>
      </x:c>
      <x:c r="W949" s="3" t="str">
        <x:v>事故・水没・SOH・保証残は未確認</x:v>
      </x:c>
      <x:c r="X949" s="3" t="str">
        <x:v>掲載中・在庫未確認</x:v>
      </x:c>
      <x:c r="Y949" s="3" t="str"/>
      <x:c r="Z949" s="27" t="str">
        <x:v>https://www.taladrod.com/w40/icar/cardet.aspx?cid=2923671</x:v>
      </x:c>
      <x:c r="AA949" s="3" t="str">
        <x:v>Taladrod個別広告ID／Carsome在庫ID</x:v>
      </x:c>
      <x:c r="AB949" s="3" t="str">
        <x:v>車台番号未取得／サイト間重複は未判定</x:v>
      </x:c>
      <x:c r="AC949" s="3" t="str">
        <x:v>税込区分未確認（一覧表示額）</x:v>
      </x:c>
      <x:c r="AD949" s="3" t="str"/>
      <x:c r="AE949" s="29" t="str">
        <x:f>""</x:f>
      </x:c>
      <x:c r="AF949" s="30" t="str">
        <x:f>IF(ISNUMBER(AE949),U949/AE949,"")</x:f>
      </x:c>
      <x:c r="AG949" s="29" t="str">
        <x:f>""</x:f>
      </x:c>
      <x:c r="AH949" s="30" t="str">
        <x:f>IF(ISNUMBER(AG949),U949/AG949,"")</x:f>
      </x:c>
      <x:c r="AI949" s="3" t="str">
        <x:v>同年式・グレードの検証済み当時価格なし／登録年混在</x:v>
      </x:c>
      <x:c r="AJ949" s="3" t="str">
        <x:v>一覧価格/年式のみ</x:v>
      </x:c>
      <x:c r="AK949" s="3" t="str">
        <x:v>一覧の表示価格。年式は掲載年式。</x:v>
      </x:c>
      <x:c r="AL949" s="31" t="n">
        <x:f>IF(AND(J949&lt;='分析方法'!$B$7,OR(ISBLANK(O949),O949&gt;='分析方法'!$B$8),X949&lt;&gt;"売却済み表示"),1,0)</x:f>
        <x:v>1</x:v>
      </x:c>
      <x:c r="AM949" s="32" t="n">
        <x:f>IF(AL949=1,U949,"")</x:f>
        <x:v>259000</x:v>
      </x:c>
      <x:c r="AN949" s="33" t="str">
        <x:f>IF(AL949=1,AF949,"")</x:f>
      </x:c>
      <x:c r="AO949" s="31" t="n">
        <x:f>'分析方法'!$B$6-J949</x:f>
        <x:v>6</x:v>
      </x:c>
      <x:c r="AP949" s="3"/>
    </x:row>
    <x:row r="950" ht="22" customHeight="1">
      <x:c r="A950" s="3" t="str">
        <x:v>T2898440</x:v>
      </x:c>
      <x:c r="B950" s="7" t="d">
        <x:v>2026-10-08T00:00:00.000Z</x:v>
      </x:c>
      <x:c r="C950" s="3" t="str">
        <x:v>Taladrod</x:v>
      </x:c>
      <x:c r="D950" s="3" t="str">
        <x:v>Toyota</x:v>
      </x:c>
      <x:c r="E950" s="3" t="str">
        <x:v>日本</x:v>
      </x:c>
      <x:c r="F950" s="3" t="str">
        <x:v>Yaris Ativ</x:v>
      </x:c>
      <x:c r="G950" s="3" t="str">
        <x:v>ICE</x:v>
      </x:c>
      <x:c r="H950" s="3" t="str">
        <x:v>Sedan</x:v>
      </x:c>
      <x:c r="I950" s="3" t="str"/>
      <x:c r="J950" s="3" t="n">
        <x:v>2020</x:v>
      </x:c>
      <x:c r="K950" s="3" t="str">
        <x:v>1.2 S+</x:v>
      </x:c>
      <x:c r="L950" s="3" t="str">
        <x:v>S+</x:v>
      </x:c>
      <x:c r="M950" s="22"/>
      <x:c r="N950" s="22"/>
      <x:c r="O950" s="22"/>
      <x:c r="P950" s="3" t="str">
        <x:v>未掲載</x:v>
      </x:c>
      <x:c r="Q950" s="3" t="str">
        <x:v>未取得</x:v>
      </x:c>
      <x:c r="R950" s="3" t="str">
        <x:v>Unknown</x:v>
      </x:c>
      <x:c r="S950" s="3" t="str">
        <x:v>不明</x:v>
      </x:c>
      <x:c r="T950" s="3" t="str">
        <x:v>17-22</x:v>
      </x:c>
      <x:c r="U950" s="28" t="n">
        <x:v>359000</x:v>
      </x:c>
      <x:c r="V950" s="28" t="n">
        <x:v>639000</x:v>
      </x:c>
      <x:c r="W950" s="3" t="str">
        <x:v>事故・水没・SOH・保証残は未確認</x:v>
      </x:c>
      <x:c r="X950" s="3" t="str">
        <x:v>掲載中・在庫未確認</x:v>
      </x:c>
      <x:c r="Y950" s="3" t="str"/>
      <x:c r="Z950" s="27" t="str">
        <x:v>https://www.taladrod.com/w40/icar/cardet.aspx?cid=2898440</x:v>
      </x:c>
      <x:c r="AA950" s="3" t="str">
        <x:v>Taladrod個別広告ID／Carsome在庫ID</x:v>
      </x:c>
      <x:c r="AB950" s="3" t="str">
        <x:v>車台番号未取得／サイト間重複は未判定</x:v>
      </x:c>
      <x:c r="AC950" s="3" t="str">
        <x:v>税込区分未確認（一覧表示額）</x:v>
      </x:c>
      <x:c r="AD950" s="3" t="str"/>
      <x:c r="AE950" s="29" t="str">
        <x:f>""</x:f>
      </x:c>
      <x:c r="AF950" s="30" t="str">
        <x:f>IF(ISNUMBER(AE950),U950/AE950,"")</x:f>
      </x:c>
      <x:c r="AG950" s="29" t="str">
        <x:f>""</x:f>
      </x:c>
      <x:c r="AH950" s="30" t="str">
        <x:f>IF(ISNUMBER(AG950),U950/AG950,"")</x:f>
      </x:c>
      <x:c r="AI950" s="3" t="str">
        <x:v>同年式・グレードの検証済み当時価格なし／登録年混在</x:v>
      </x:c>
      <x:c r="AJ950" s="3" t="str">
        <x:v>一覧価格/年式のみ</x:v>
      </x:c>
      <x:c r="AK950" s="3" t="str">
        <x:v>一覧の表示価格。年式は掲載年式。</x:v>
      </x:c>
      <x:c r="AL950" s="31" t="n">
        <x:f>IF(AND(J950&lt;='分析方法'!$B$7,OR(ISBLANK(O950),O950&gt;='分析方法'!$B$8),X950&lt;&gt;"売却済み表示"),1,0)</x:f>
        <x:v>1</x:v>
      </x:c>
      <x:c r="AM950" s="32" t="n">
        <x:f>IF(AL950=1,U950,"")</x:f>
        <x:v>359000</x:v>
      </x:c>
      <x:c r="AN950" s="33" t="str">
        <x:f>IF(AL950=1,AF950,"")</x:f>
      </x:c>
      <x:c r="AO950" s="31" t="n">
        <x:f>'分析方法'!$B$6-J950</x:f>
        <x:v>6</x:v>
      </x:c>
      <x:c r="AP950" s="3"/>
    </x:row>
    <x:row r="951" ht="22" customHeight="1">
      <x:c r="A951" s="3" t="str">
        <x:v>T2916402</x:v>
      </x:c>
      <x:c r="B951" s="7" t="d">
        <x:v>2026-10-08T00:00:00.000Z</x:v>
      </x:c>
      <x:c r="C951" s="3" t="str">
        <x:v>Taladrod</x:v>
      </x:c>
      <x:c r="D951" s="3" t="str">
        <x:v>Toyota</x:v>
      </x:c>
      <x:c r="E951" s="3" t="str">
        <x:v>日本</x:v>
      </x:c>
      <x:c r="F951" s="3" t="str">
        <x:v>Yaris Ativ</x:v>
      </x:c>
      <x:c r="G951" s="3" t="str">
        <x:v>ICE</x:v>
      </x:c>
      <x:c r="H951" s="3" t="str">
        <x:v>Sedan</x:v>
      </x:c>
      <x:c r="I951" s="3" t="str"/>
      <x:c r="J951" s="3" t="n">
        <x:v>2020</x:v>
      </x:c>
      <x:c r="K951" s="3" t="str">
        <x:v>1.2 SPORT</x:v>
      </x:c>
      <x:c r="L951" s="3" t="str">
        <x:v>SPORT</x:v>
      </x:c>
      <x:c r="M951" s="22"/>
      <x:c r="N951" s="22"/>
      <x:c r="O951" s="22"/>
      <x:c r="P951" s="3" t="str">
        <x:v>未掲載</x:v>
      </x:c>
      <x:c r="Q951" s="3" t="str">
        <x:v>未取得</x:v>
      </x:c>
      <x:c r="R951" s="3" t="str">
        <x:v>Unknown</x:v>
      </x:c>
      <x:c r="S951" s="3" t="str">
        <x:v>不明</x:v>
      </x:c>
      <x:c r="T951" s="3" t="str">
        <x:v>17-22</x:v>
      </x:c>
      <x:c r="U951" s="28" t="n">
        <x:v>359000</x:v>
      </x:c>
      <x:c r="V951" s="28" t="n">
        <x:v>599000</x:v>
      </x:c>
      <x:c r="W951" s="3" t="str">
        <x:v>事故・水没・SOH・保証残は未確認</x:v>
      </x:c>
      <x:c r="X951" s="3" t="str">
        <x:v>掲載中・在庫未確認</x:v>
      </x:c>
      <x:c r="Y951" s="3" t="str"/>
      <x:c r="Z951" s="27" t="str">
        <x:v>https://www.taladrod.com/w40/icar/cardet.aspx?cid=2916402</x:v>
      </x:c>
      <x:c r="AA951" s="3" t="str">
        <x:v>Taladrod個別広告ID／Carsome在庫ID</x:v>
      </x:c>
      <x:c r="AB951" s="3" t="str">
        <x:v>車台番号未取得／サイト間重複は未判定</x:v>
      </x:c>
      <x:c r="AC951" s="3" t="str">
        <x:v>税込区分未確認（一覧表示額）</x:v>
      </x:c>
      <x:c r="AD951" s="3" t="str"/>
      <x:c r="AE951" s="29" t="str">
        <x:f>""</x:f>
      </x:c>
      <x:c r="AF951" s="30" t="str">
        <x:f>IF(ISNUMBER(AE951),U951/AE951,"")</x:f>
      </x:c>
      <x:c r="AG951" s="29" t="str">
        <x:f>""</x:f>
      </x:c>
      <x:c r="AH951" s="30" t="str">
        <x:f>IF(ISNUMBER(AG951),U951/AG951,"")</x:f>
      </x:c>
      <x:c r="AI951" s="3" t="str">
        <x:v>同年式・グレードの検証済み当時価格なし／登録年混在</x:v>
      </x:c>
      <x:c r="AJ951" s="3" t="str">
        <x:v>一覧価格/年式のみ</x:v>
      </x:c>
      <x:c r="AK951" s="3" t="str">
        <x:v>一覧の表示価格。年式は掲載年式。</x:v>
      </x:c>
      <x:c r="AL951" s="31" t="n">
        <x:f>IF(AND(J951&lt;='分析方法'!$B$7,OR(ISBLANK(O951),O951&gt;='分析方法'!$B$8),X951&lt;&gt;"売却済み表示"),1,0)</x:f>
        <x:v>1</x:v>
      </x:c>
      <x:c r="AM951" s="32" t="n">
        <x:f>IF(AL951=1,U951,"")</x:f>
        <x:v>359000</x:v>
      </x:c>
      <x:c r="AN951" s="33" t="str">
        <x:f>IF(AL951=1,AF951,"")</x:f>
      </x:c>
      <x:c r="AO951" s="31" t="n">
        <x:f>'分析方法'!$B$6-J951</x:f>
        <x:v>6</x:v>
      </x:c>
      <x:c r="AP951" s="3"/>
    </x:row>
    <x:row r="952" ht="22" customHeight="1">
      <x:c r="A952" s="3" t="str">
        <x:v>T2917922</x:v>
      </x:c>
      <x:c r="B952" s="7" t="d">
        <x:v>2026-10-08T00:00:00.000Z</x:v>
      </x:c>
      <x:c r="C952" s="3" t="str">
        <x:v>Taladrod</x:v>
      </x:c>
      <x:c r="D952" s="3" t="str">
        <x:v>Toyota</x:v>
      </x:c>
      <x:c r="E952" s="3" t="str">
        <x:v>日本</x:v>
      </x:c>
      <x:c r="F952" s="3" t="str">
        <x:v>Yaris Ativ</x:v>
      </x:c>
      <x:c r="G952" s="3" t="str">
        <x:v>ICE</x:v>
      </x:c>
      <x:c r="H952" s="3" t="str">
        <x:v>Sedan</x:v>
      </x:c>
      <x:c r="I952" s="3" t="str"/>
      <x:c r="J952" s="3" t="n">
        <x:v>2020</x:v>
      </x:c>
      <x:c r="K952" s="3" t="str">
        <x:v>1.2 SPORT</x:v>
      </x:c>
      <x:c r="L952" s="3" t="str">
        <x:v>SPORT</x:v>
      </x:c>
      <x:c r="M952" s="22"/>
      <x:c r="N952" s="22"/>
      <x:c r="O952" s="22"/>
      <x:c r="P952" s="3" t="str">
        <x:v>未掲載</x:v>
      </x:c>
      <x:c r="Q952" s="3" t="str">
        <x:v>未取得</x:v>
      </x:c>
      <x:c r="R952" s="3" t="str">
        <x:v>Unknown</x:v>
      </x:c>
      <x:c r="S952" s="3" t="str">
        <x:v>不明</x:v>
      </x:c>
      <x:c r="T952" s="3" t="str">
        <x:v>17-22</x:v>
      </x:c>
      <x:c r="U952" s="28" t="n">
        <x:v>339000</x:v>
      </x:c>
      <x:c r="V952" s="28" t="n">
        <x:v>599000</x:v>
      </x:c>
      <x:c r="W952" s="3" t="str">
        <x:v>事故・水没・SOH・保証残は未確認</x:v>
      </x:c>
      <x:c r="X952" s="3" t="str">
        <x:v>掲載中・在庫未確認</x:v>
      </x:c>
      <x:c r="Y952" s="3" t="str"/>
      <x:c r="Z952" s="27" t="str">
        <x:v>https://www.taladrod.com/w40/icar/cardet.aspx?cid=2917922</x:v>
      </x:c>
      <x:c r="AA952" s="3" t="str">
        <x:v>Taladrod個別広告ID／Carsome在庫ID</x:v>
      </x:c>
      <x:c r="AB952" s="3" t="str">
        <x:v>車台番号未取得／サイト間重複は未判定</x:v>
      </x:c>
      <x:c r="AC952" s="3" t="str">
        <x:v>税込区分未確認（一覧表示額）</x:v>
      </x:c>
      <x:c r="AD952" s="3" t="str"/>
      <x:c r="AE952" s="29" t="str">
        <x:f>""</x:f>
      </x:c>
      <x:c r="AF952" s="30" t="str">
        <x:f>IF(ISNUMBER(AE952),U952/AE952,"")</x:f>
      </x:c>
      <x:c r="AG952" s="29" t="str">
        <x:f>""</x:f>
      </x:c>
      <x:c r="AH952" s="30" t="str">
        <x:f>IF(ISNUMBER(AG952),U952/AG952,"")</x:f>
      </x:c>
      <x:c r="AI952" s="3" t="str">
        <x:v>同年式・グレードの検証済み当時価格なし／登録年混在</x:v>
      </x:c>
      <x:c r="AJ952" s="3" t="str">
        <x:v>一覧価格/年式のみ</x:v>
      </x:c>
      <x:c r="AK952" s="3" t="str">
        <x:v>一覧の表示価格。年式は掲載年式。</x:v>
      </x:c>
      <x:c r="AL952" s="31" t="n">
        <x:f>IF(AND(J952&lt;='分析方法'!$B$7,OR(ISBLANK(O952),O952&gt;='分析方法'!$B$8),X952&lt;&gt;"売却済み表示"),1,0)</x:f>
        <x:v>1</x:v>
      </x:c>
      <x:c r="AM952" s="32" t="n">
        <x:f>IF(AL952=1,U952,"")</x:f>
        <x:v>339000</x:v>
      </x:c>
      <x:c r="AN952" s="33" t="str">
        <x:f>IF(AL952=1,AF952,"")</x:f>
      </x:c>
      <x:c r="AO952" s="31" t="n">
        <x:f>'分析方法'!$B$6-J952</x:f>
        <x:v>6</x:v>
      </x:c>
      <x:c r="AP952" s="3"/>
    </x:row>
    <x:row r="953" ht="22" customHeight="1">
      <x:c r="A953" s="3" t="str">
        <x:v>T2920824</x:v>
      </x:c>
      <x:c r="B953" s="7" t="d">
        <x:v>2026-10-08T00:00:00.000Z</x:v>
      </x:c>
      <x:c r="C953" s="3" t="str">
        <x:v>Taladrod</x:v>
      </x:c>
      <x:c r="D953" s="3" t="str">
        <x:v>Toyota</x:v>
      </x:c>
      <x:c r="E953" s="3" t="str">
        <x:v>日本</x:v>
      </x:c>
      <x:c r="F953" s="3" t="str">
        <x:v>Yaris Ativ</x:v>
      </x:c>
      <x:c r="G953" s="3" t="str">
        <x:v>ICE</x:v>
      </x:c>
      <x:c r="H953" s="3" t="str">
        <x:v>Sedan</x:v>
      </x:c>
      <x:c r="I953" s="3" t="str"/>
      <x:c r="J953" s="3" t="n">
        <x:v>2020</x:v>
      </x:c>
      <x:c r="K953" s="3" t="str">
        <x:v>1.2 SPORT</x:v>
      </x:c>
      <x:c r="L953" s="3" t="str">
        <x:v>SPORT</x:v>
      </x:c>
      <x:c r="M953" s="22"/>
      <x:c r="N953" s="22"/>
      <x:c r="O953" s="22"/>
      <x:c r="P953" s="3" t="str">
        <x:v>未掲載</x:v>
      </x:c>
      <x:c r="Q953" s="3" t="str">
        <x:v>未取得</x:v>
      </x:c>
      <x:c r="R953" s="3" t="str">
        <x:v>Unknown</x:v>
      </x:c>
      <x:c r="S953" s="3" t="str">
        <x:v>不明</x:v>
      </x:c>
      <x:c r="T953" s="3" t="str">
        <x:v>17-22</x:v>
      </x:c>
      <x:c r="U953" s="28" t="n">
        <x:v>319000</x:v>
      </x:c>
      <x:c r="V953" s="28" t="n">
        <x:v>599000</x:v>
      </x:c>
      <x:c r="W953" s="3" t="str">
        <x:v>事故・水没・SOH・保証残は未確認</x:v>
      </x:c>
      <x:c r="X953" s="3" t="str">
        <x:v>掲載中・在庫未確認</x:v>
      </x:c>
      <x:c r="Y953" s="3" t="str"/>
      <x:c r="Z953" s="27" t="str">
        <x:v>https://www.taladrod.com/w40/icar/cardet.aspx?cid=2920824</x:v>
      </x:c>
      <x:c r="AA953" s="3" t="str">
        <x:v>Taladrod個別広告ID／Carsome在庫ID</x:v>
      </x:c>
      <x:c r="AB953" s="3" t="str">
        <x:v>車台番号未取得／サイト間重複は未判定</x:v>
      </x:c>
      <x:c r="AC953" s="3" t="str">
        <x:v>税込区分未確認（一覧表示額）</x:v>
      </x:c>
      <x:c r="AD953" s="3" t="str"/>
      <x:c r="AE953" s="29" t="str">
        <x:f>""</x:f>
      </x:c>
      <x:c r="AF953" s="30" t="str">
        <x:f>IF(ISNUMBER(AE953),U953/AE953,"")</x:f>
      </x:c>
      <x:c r="AG953" s="29" t="str">
        <x:f>""</x:f>
      </x:c>
      <x:c r="AH953" s="30" t="str">
        <x:f>IF(ISNUMBER(AG953),U953/AG953,"")</x:f>
      </x:c>
      <x:c r="AI953" s="3" t="str">
        <x:v>同年式・グレードの検証済み当時価格なし／登録年混在</x:v>
      </x:c>
      <x:c r="AJ953" s="3" t="str">
        <x:v>一覧価格/年式のみ</x:v>
      </x:c>
      <x:c r="AK953" s="3" t="str">
        <x:v>一覧の表示価格。年式は掲載年式。</x:v>
      </x:c>
      <x:c r="AL953" s="31" t="n">
        <x:f>IF(AND(J953&lt;='分析方法'!$B$7,OR(ISBLANK(O953),O953&gt;='分析方法'!$B$8),X953&lt;&gt;"売却済み表示"),1,0)</x:f>
        <x:v>1</x:v>
      </x:c>
      <x:c r="AM953" s="32" t="n">
        <x:f>IF(AL953=1,U953,"")</x:f>
        <x:v>319000</x:v>
      </x:c>
      <x:c r="AN953" s="33" t="str">
        <x:f>IF(AL953=1,AF953,"")</x:f>
      </x:c>
      <x:c r="AO953" s="31" t="n">
        <x:f>'分析方法'!$B$6-J953</x:f>
        <x:v>6</x:v>
      </x:c>
      <x:c r="AP953" s="3"/>
    </x:row>
    <x:row r="954" ht="22" customHeight="1">
      <x:c r="A954" s="3" t="str">
        <x:v>T2881105</x:v>
      </x:c>
      <x:c r="B954" s="7" t="d">
        <x:v>2026-10-08T00:00:00.000Z</x:v>
      </x:c>
      <x:c r="C954" s="3" t="str">
        <x:v>Taladrod</x:v>
      </x:c>
      <x:c r="D954" s="3" t="str">
        <x:v>Toyota</x:v>
      </x:c>
      <x:c r="E954" s="3" t="str">
        <x:v>日本</x:v>
      </x:c>
      <x:c r="F954" s="3" t="str">
        <x:v>Yaris Ativ</x:v>
      </x:c>
      <x:c r="G954" s="3" t="str">
        <x:v>ICE</x:v>
      </x:c>
      <x:c r="H954" s="3" t="str">
        <x:v>Sedan</x:v>
      </x:c>
      <x:c r="I954" s="3" t="str"/>
      <x:c r="J954" s="3" t="n">
        <x:v>2020</x:v>
      </x:c>
      <x:c r="K954" s="3" t="str">
        <x:v>1.2 SPORT PREMIUM</x:v>
      </x:c>
      <x:c r="L954" s="3" t="str">
        <x:v>SPORT PREMIUM</x:v>
      </x:c>
      <x:c r="M954" s="22"/>
      <x:c r="N954" s="22"/>
      <x:c r="O954" s="22"/>
      <x:c r="P954" s="3" t="str">
        <x:v>未掲載</x:v>
      </x:c>
      <x:c r="Q954" s="3" t="str">
        <x:v>未取得</x:v>
      </x:c>
      <x:c r="R954" s="3" t="str">
        <x:v>Unknown</x:v>
      </x:c>
      <x:c r="S954" s="3" t="str">
        <x:v>不明</x:v>
      </x:c>
      <x:c r="T954" s="3" t="str">
        <x:v>17-22</x:v>
      </x:c>
      <x:c r="U954" s="28" t="n">
        <x:v>365000</x:v>
      </x:c>
      <x:c r="V954" s="28" t="n">
        <x:v>674000</x:v>
      </x:c>
      <x:c r="W954" s="3" t="str">
        <x:v>事故・水没・SOH・保証残は未確認</x:v>
      </x:c>
      <x:c r="X954" s="3" t="str">
        <x:v>掲載中・在庫未確認</x:v>
      </x:c>
      <x:c r="Y954" s="3" t="str"/>
      <x:c r="Z954" s="27" t="str">
        <x:v>https://www.taladrod.com/w40/icar/cardet.aspx?cid=2881105</x:v>
      </x:c>
      <x:c r="AA954" s="3" t="str">
        <x:v>Taladrod個別広告ID／Carsome在庫ID</x:v>
      </x:c>
      <x:c r="AB954" s="3" t="str">
        <x:v>車台番号未取得／サイト間重複は未判定</x:v>
      </x:c>
      <x:c r="AC954" s="3" t="str">
        <x:v>税込区分未確認（一覧表示額）</x:v>
      </x:c>
      <x:c r="AD954" s="3" t="str"/>
      <x:c r="AE954" s="29" t="str">
        <x:f>""</x:f>
      </x:c>
      <x:c r="AF954" s="30" t="str">
        <x:f>IF(ISNUMBER(AE954),U954/AE954,"")</x:f>
      </x:c>
      <x:c r="AG954" s="29" t="str">
        <x:f>""</x:f>
      </x:c>
      <x:c r="AH954" s="30" t="str">
        <x:f>IF(ISNUMBER(AG954),U954/AG954,"")</x:f>
      </x:c>
      <x:c r="AI954" s="3" t="str">
        <x:v>同年式・グレードの検証済み当時価格なし／登録年混在</x:v>
      </x:c>
      <x:c r="AJ954" s="3" t="str">
        <x:v>一覧価格/年式のみ</x:v>
      </x:c>
      <x:c r="AK954" s="3" t="str">
        <x:v>一覧の表示価格。年式は掲載年式。</x:v>
      </x:c>
      <x:c r="AL954" s="31" t="n">
        <x:f>IF(AND(J954&lt;='分析方法'!$B$7,OR(ISBLANK(O954),O954&gt;='分析方法'!$B$8),X954&lt;&gt;"売却済み表示"),1,0)</x:f>
        <x:v>1</x:v>
      </x:c>
      <x:c r="AM954" s="32" t="n">
        <x:f>IF(AL954=1,U954,"")</x:f>
        <x:v>365000</x:v>
      </x:c>
      <x:c r="AN954" s="33" t="str">
        <x:f>IF(AL954=1,AF954,"")</x:f>
      </x:c>
      <x:c r="AO954" s="31" t="n">
        <x:f>'分析方法'!$B$6-J954</x:f>
        <x:v>6</x:v>
      </x:c>
      <x:c r="AP954" s="3"/>
    </x:row>
    <x:row r="955" ht="22" customHeight="1">
      <x:c r="A955" s="3" t="str">
        <x:v>T2921558</x:v>
      </x:c>
      <x:c r="B955" s="7" t="d">
        <x:v>2026-10-08T00:00:00.000Z</x:v>
      </x:c>
      <x:c r="C955" s="3" t="str">
        <x:v>Taladrod</x:v>
      </x:c>
      <x:c r="D955" s="3" t="str">
        <x:v>Toyota</x:v>
      </x:c>
      <x:c r="E955" s="3" t="str">
        <x:v>日本</x:v>
      </x:c>
      <x:c r="F955" s="3" t="str">
        <x:v>Yaris Ativ</x:v>
      </x:c>
      <x:c r="G955" s="3" t="str">
        <x:v>ICE</x:v>
      </x:c>
      <x:c r="H955" s="3" t="str">
        <x:v>Sedan</x:v>
      </x:c>
      <x:c r="I955" s="3" t="str"/>
      <x:c r="J955" s="3" t="n">
        <x:v>2020</x:v>
      </x:c>
      <x:c r="K955" s="3" t="str">
        <x:v>1.2 SPORT PREMIUM</x:v>
      </x:c>
      <x:c r="L955" s="3" t="str">
        <x:v>SPORT PREMIUM</x:v>
      </x:c>
      <x:c r="M955" s="22"/>
      <x:c r="N955" s="22"/>
      <x:c r="O955" s="22"/>
      <x:c r="P955" s="3" t="str">
        <x:v>未掲載</x:v>
      </x:c>
      <x:c r="Q955" s="3" t="str">
        <x:v>未取得</x:v>
      </x:c>
      <x:c r="R955" s="3" t="str">
        <x:v>Unknown</x:v>
      </x:c>
      <x:c r="S955" s="3" t="str">
        <x:v>不明</x:v>
      </x:c>
      <x:c r="T955" s="3" t="str">
        <x:v>17-22</x:v>
      </x:c>
      <x:c r="U955" s="28" t="n">
        <x:v>410000</x:v>
      </x:c>
      <x:c r="V955" s="28" t="n">
        <x:v>674000</x:v>
      </x:c>
      <x:c r="W955" s="3" t="str">
        <x:v>事故・水没・SOH・保証残は未確認</x:v>
      </x:c>
      <x:c r="X955" s="3" t="str">
        <x:v>掲載中・在庫未確認</x:v>
      </x:c>
      <x:c r="Y955" s="3" t="str"/>
      <x:c r="Z955" s="27" t="str">
        <x:v>https://www.taladrod.com/w40/icar/cardet.aspx?cid=2921558</x:v>
      </x:c>
      <x:c r="AA955" s="3" t="str">
        <x:v>Taladrod個別広告ID／Carsome在庫ID</x:v>
      </x:c>
      <x:c r="AB955" s="3" t="str">
        <x:v>車台番号未取得／サイト間重複は未判定</x:v>
      </x:c>
      <x:c r="AC955" s="3" t="str">
        <x:v>税込区分未確認（一覧表示額）</x:v>
      </x:c>
      <x:c r="AD955" s="3" t="str"/>
      <x:c r="AE955" s="29" t="str">
        <x:f>""</x:f>
      </x:c>
      <x:c r="AF955" s="30" t="str">
        <x:f>IF(ISNUMBER(AE955),U955/AE955,"")</x:f>
      </x:c>
      <x:c r="AG955" s="29" t="str">
        <x:f>""</x:f>
      </x:c>
      <x:c r="AH955" s="30" t="str">
        <x:f>IF(ISNUMBER(AG955),U955/AG955,"")</x:f>
      </x:c>
      <x:c r="AI955" s="3" t="str">
        <x:v>同年式・グレードの検証済み当時価格なし／登録年混在</x:v>
      </x:c>
      <x:c r="AJ955" s="3" t="str">
        <x:v>一覧価格/年式のみ</x:v>
      </x:c>
      <x:c r="AK955" s="3" t="str">
        <x:v>一覧の表示価格。年式は掲載年式。</x:v>
      </x:c>
      <x:c r="AL955" s="31" t="n">
        <x:f>IF(AND(J955&lt;='分析方法'!$B$7,OR(ISBLANK(O955),O955&gt;='分析方法'!$B$8),X955&lt;&gt;"売却済み表示"),1,0)</x:f>
        <x:v>1</x:v>
      </x:c>
      <x:c r="AM955" s="32" t="n">
        <x:f>IF(AL955=1,U955,"")</x:f>
        <x:v>410000</x:v>
      </x:c>
      <x:c r="AN955" s="33" t="str">
        <x:f>IF(AL955=1,AF955,"")</x:f>
      </x:c>
      <x:c r="AO955" s="31" t="n">
        <x:f>'分析方法'!$B$6-J955</x:f>
        <x:v>6</x:v>
      </x:c>
      <x:c r="AP955" s="3"/>
    </x:row>
    <x:row r="956" ht="22" customHeight="1">
      <x:c r="A956" s="3" t="str">
        <x:v>T2925210</x:v>
      </x:c>
      <x:c r="B956" s="7" t="d">
        <x:v>2026-10-08T00:00:00.000Z</x:v>
      </x:c>
      <x:c r="C956" s="3" t="str">
        <x:v>Taladrod</x:v>
      </x:c>
      <x:c r="D956" s="3" t="str">
        <x:v>Toyota</x:v>
      </x:c>
      <x:c r="E956" s="3" t="str">
        <x:v>日本</x:v>
      </x:c>
      <x:c r="F956" s="3" t="str">
        <x:v>Yaris Ativ</x:v>
      </x:c>
      <x:c r="G956" s="3" t="str">
        <x:v>ICE</x:v>
      </x:c>
      <x:c r="H956" s="3" t="str">
        <x:v>Sedan</x:v>
      </x:c>
      <x:c r="I956" s="3" t="str"/>
      <x:c r="J956" s="3" t="n">
        <x:v>2020</x:v>
      </x:c>
      <x:c r="K956" s="3" t="str">
        <x:v>1.2 SPORT PREMIUM</x:v>
      </x:c>
      <x:c r="L956" s="3" t="str">
        <x:v>SPORT PREMIUM</x:v>
      </x:c>
      <x:c r="M956" s="22"/>
      <x:c r="N956" s="22"/>
      <x:c r="O956" s="22"/>
      <x:c r="P956" s="3" t="str">
        <x:v>未掲載</x:v>
      </x:c>
      <x:c r="Q956" s="3" t="str">
        <x:v>未取得</x:v>
      </x:c>
      <x:c r="R956" s="3" t="str">
        <x:v>Unknown</x:v>
      </x:c>
      <x:c r="S956" s="3" t="str">
        <x:v>不明</x:v>
      </x:c>
      <x:c r="T956" s="3" t="str">
        <x:v>17-22</x:v>
      </x:c>
      <x:c r="U956" s="28" t="n">
        <x:v>350000</x:v>
      </x:c>
      <x:c r="V956" s="28" t="n">
        <x:v>674000</x:v>
      </x:c>
      <x:c r="W956" s="3" t="str">
        <x:v>事故・水没・SOH・保証残は未確認</x:v>
      </x:c>
      <x:c r="X956" s="3" t="str">
        <x:v>掲載中・在庫未確認</x:v>
      </x:c>
      <x:c r="Y956" s="3" t="str"/>
      <x:c r="Z956" s="27" t="str">
        <x:v>https://www.taladrod.com/w40/icar/cardet.aspx?cid=2925210</x:v>
      </x:c>
      <x:c r="AA956" s="3" t="str">
        <x:v>Taladrod個別広告ID／Carsome在庫ID</x:v>
      </x:c>
      <x:c r="AB956" s="3" t="str">
        <x:v>車台番号未取得／サイト間重複は未判定</x:v>
      </x:c>
      <x:c r="AC956" s="3" t="str">
        <x:v>税込区分未確認（一覧表示額）</x:v>
      </x:c>
      <x:c r="AD956" s="3" t="str"/>
      <x:c r="AE956" s="29" t="str">
        <x:f>""</x:f>
      </x:c>
      <x:c r="AF956" s="30" t="str">
        <x:f>IF(ISNUMBER(AE956),U956/AE956,"")</x:f>
      </x:c>
      <x:c r="AG956" s="29" t="str">
        <x:f>""</x:f>
      </x:c>
      <x:c r="AH956" s="30" t="str">
        <x:f>IF(ISNUMBER(AG956),U956/AG956,"")</x:f>
      </x:c>
      <x:c r="AI956" s="3" t="str">
        <x:v>同年式・グレードの検証済み当時価格なし／登録年混在</x:v>
      </x:c>
      <x:c r="AJ956" s="3" t="str">
        <x:v>一覧価格/年式のみ</x:v>
      </x:c>
      <x:c r="AK956" s="3" t="str">
        <x:v>一覧の表示価格。年式は掲載年式。</x:v>
      </x:c>
      <x:c r="AL956" s="31" t="n">
        <x:f>IF(AND(J956&lt;='分析方法'!$B$7,OR(ISBLANK(O956),O956&gt;='分析方法'!$B$8),X956&lt;&gt;"売却済み表示"),1,0)</x:f>
        <x:v>1</x:v>
      </x:c>
      <x:c r="AM956" s="32" t="n">
        <x:f>IF(AL956=1,U956,"")</x:f>
        <x:v>350000</x:v>
      </x:c>
      <x:c r="AN956" s="33" t="str">
        <x:f>IF(AL956=1,AF956,"")</x:f>
      </x:c>
      <x:c r="AO956" s="31" t="n">
        <x:f>'分析方法'!$B$6-J956</x:f>
        <x:v>6</x:v>
      </x:c>
      <x:c r="AP956" s="3"/>
    </x:row>
    <x:row r="957" ht="22" customHeight="1">
      <x:c r="A957" s="3" t="str">
        <x:v>T2885974</x:v>
      </x:c>
      <x:c r="B957" s="7" t="d">
        <x:v>2026-10-08T00:00:00.000Z</x:v>
      </x:c>
      <x:c r="C957" s="3" t="str">
        <x:v>Taladrod</x:v>
      </x:c>
      <x:c r="D957" s="3" t="str">
        <x:v>Toyota</x:v>
      </x:c>
      <x:c r="E957" s="3" t="str">
        <x:v>日本</x:v>
      </x:c>
      <x:c r="F957" s="3" t="str">
        <x:v>Yaris Ativ</x:v>
      </x:c>
      <x:c r="G957" s="3" t="str">
        <x:v>ICE</x:v>
      </x:c>
      <x:c r="H957" s="3" t="str">
        <x:v>Sedan</x:v>
      </x:c>
      <x:c r="I957" s="3" t="str"/>
      <x:c r="J957" s="3" t="n">
        <x:v>2021</x:v>
      </x:c>
      <x:c r="K957" s="3" t="str">
        <x:v>1.2 E</x:v>
      </x:c>
      <x:c r="L957" s="3" t="str">
        <x:v>E</x:v>
      </x:c>
      <x:c r="M957" s="22"/>
      <x:c r="N957" s="22"/>
      <x:c r="O957" s="22"/>
      <x:c r="P957" s="3" t="str">
        <x:v>未掲載</x:v>
      </x:c>
      <x:c r="Q957" s="3" t="str">
        <x:v>未取得</x:v>
      </x:c>
      <x:c r="R957" s="3" t="str">
        <x:v>Unknown</x:v>
      </x:c>
      <x:c r="S957" s="3" t="str">
        <x:v>不明</x:v>
      </x:c>
      <x:c r="T957" s="3" t="str">
        <x:v>17-22</x:v>
      </x:c>
      <x:c r="U957" s="28" t="n">
        <x:v>339000</x:v>
      </x:c>
      <x:c r="V957" s="28" t="n">
        <x:v>549000</x:v>
      </x:c>
      <x:c r="W957" s="3" t="str">
        <x:v>事故・水没・SOH・保証残は未確認</x:v>
      </x:c>
      <x:c r="X957" s="3" t="str">
        <x:v>掲載中・在庫未確認</x:v>
      </x:c>
      <x:c r="Y957" s="3" t="str"/>
      <x:c r="Z957" s="27" t="str">
        <x:v>https://www.taladrod.com/w40/icar/cardet.aspx?cid=2885974</x:v>
      </x:c>
      <x:c r="AA957" s="3" t="str">
        <x:v>Taladrod個別広告ID／Carsome在庫ID</x:v>
      </x:c>
      <x:c r="AB957" s="3" t="str">
        <x:v>車台番号未取得／サイト間重複は未判定</x:v>
      </x:c>
      <x:c r="AC957" s="3" t="str">
        <x:v>税込区分未確認（一覧表示額）</x:v>
      </x:c>
      <x:c r="AD957" s="3" t="str"/>
      <x:c r="AE957" s="29" t="str">
        <x:f>""</x:f>
      </x:c>
      <x:c r="AF957" s="30" t="str">
        <x:f>IF(ISNUMBER(AE957),U957/AE957,"")</x:f>
      </x:c>
      <x:c r="AG957" s="29" t="str">
        <x:f>""</x:f>
      </x:c>
      <x:c r="AH957" s="30" t="str">
        <x:f>IF(ISNUMBER(AG957),U957/AG957,"")</x:f>
      </x:c>
      <x:c r="AI957" s="3" t="str">
        <x:v>同年式・グレードの検証済み当時価格なし／登録年混在</x:v>
      </x:c>
      <x:c r="AJ957" s="3" t="str">
        <x:v>一覧価格/年式のみ</x:v>
      </x:c>
      <x:c r="AK957" s="3" t="str">
        <x:v>一覧の表示価格。年式は掲載年式。</x:v>
      </x:c>
      <x:c r="AL957" s="31" t="n">
        <x:f>IF(AND(J957&lt;='分析方法'!$B$7,OR(ISBLANK(O957),O957&gt;='分析方法'!$B$8),X957&lt;&gt;"売却済み表示"),1,0)</x:f>
        <x:v>1</x:v>
      </x:c>
      <x:c r="AM957" s="32" t="n">
        <x:f>IF(AL957=1,U957,"")</x:f>
        <x:v>339000</x:v>
      </x:c>
      <x:c r="AN957" s="33" t="str">
        <x:f>IF(AL957=1,AF957,"")</x:f>
      </x:c>
      <x:c r="AO957" s="31" t="n">
        <x:f>'分析方法'!$B$6-J957</x:f>
        <x:v>5</x:v>
      </x:c>
      <x:c r="AP957" s="3"/>
    </x:row>
    <x:row r="958" ht="22" customHeight="1">
      <x:c r="A958" s="3" t="str">
        <x:v>T2888060</x:v>
      </x:c>
      <x:c r="B958" s="7" t="d">
        <x:v>2026-10-08T00:00:00.000Z</x:v>
      </x:c>
      <x:c r="C958" s="3" t="str">
        <x:v>Taladrod</x:v>
      </x:c>
      <x:c r="D958" s="3" t="str">
        <x:v>Toyota</x:v>
      </x:c>
      <x:c r="E958" s="3" t="str">
        <x:v>日本</x:v>
      </x:c>
      <x:c r="F958" s="3" t="str">
        <x:v>Yaris Ativ</x:v>
      </x:c>
      <x:c r="G958" s="3" t="str">
        <x:v>ICE</x:v>
      </x:c>
      <x:c r="H958" s="3" t="str">
        <x:v>Sedan</x:v>
      </x:c>
      <x:c r="I958" s="3" t="str"/>
      <x:c r="J958" s="3" t="n">
        <x:v>2021</x:v>
      </x:c>
      <x:c r="K958" s="3" t="str">
        <x:v>1.2 ENTRY</x:v>
      </x:c>
      <x:c r="L958" s="3" t="str">
        <x:v>ENTRY</x:v>
      </x:c>
      <x:c r="M958" s="22"/>
      <x:c r="N958" s="22"/>
      <x:c r="O958" s="22"/>
      <x:c r="P958" s="3" t="str">
        <x:v>未掲載</x:v>
      </x:c>
      <x:c r="Q958" s="3" t="str">
        <x:v>未取得</x:v>
      </x:c>
      <x:c r="R958" s="3" t="str">
        <x:v>Unknown</x:v>
      </x:c>
      <x:c r="S958" s="3" t="str">
        <x:v>不明</x:v>
      </x:c>
      <x:c r="T958" s="3" t="str">
        <x:v>17-22</x:v>
      </x:c>
      <x:c r="U958" s="28" t="n">
        <x:v>375000</x:v>
      </x:c>
      <x:c r="V958" s="28" t="n">
        <x:v>539000</x:v>
      </x:c>
      <x:c r="W958" s="3" t="str">
        <x:v>事故・水没・SOH・保証残は未確認</x:v>
      </x:c>
      <x:c r="X958" s="3" t="str">
        <x:v>掲載中・在庫未確認</x:v>
      </x:c>
      <x:c r="Y958" s="3" t="str"/>
      <x:c r="Z958" s="27" t="str">
        <x:v>https://www.taladrod.com/w40/icar/cardet.aspx?cid=2888060</x:v>
      </x:c>
      <x:c r="AA958" s="3" t="str">
        <x:v>Taladrod個別広告ID／Carsome在庫ID</x:v>
      </x:c>
      <x:c r="AB958" s="3" t="str">
        <x:v>車台番号未取得／サイト間重複は未判定</x:v>
      </x:c>
      <x:c r="AC958" s="3" t="str">
        <x:v>税込区分未確認（一覧表示額）</x:v>
      </x:c>
      <x:c r="AD958" s="3" t="str"/>
      <x:c r="AE958" s="29" t="str">
        <x:f>""</x:f>
      </x:c>
      <x:c r="AF958" s="30" t="str">
        <x:f>IF(ISNUMBER(AE958),U958/AE958,"")</x:f>
      </x:c>
      <x:c r="AG958" s="29" t="str">
        <x:f>""</x:f>
      </x:c>
      <x:c r="AH958" s="30" t="str">
        <x:f>IF(ISNUMBER(AG958),U958/AG958,"")</x:f>
      </x:c>
      <x:c r="AI958" s="3" t="str">
        <x:v>同年式・グレードの検証済み当時価格なし／登録年混在</x:v>
      </x:c>
      <x:c r="AJ958" s="3" t="str">
        <x:v>一覧価格/年式のみ</x:v>
      </x:c>
      <x:c r="AK958" s="3" t="str">
        <x:v>一覧の表示価格。年式は掲載年式。</x:v>
      </x:c>
      <x:c r="AL958" s="31" t="n">
        <x:f>IF(AND(J958&lt;='分析方法'!$B$7,OR(ISBLANK(O958),O958&gt;='分析方法'!$B$8),X958&lt;&gt;"売却済み表示"),1,0)</x:f>
        <x:v>1</x:v>
      </x:c>
      <x:c r="AM958" s="32" t="n">
        <x:f>IF(AL958=1,U958,"")</x:f>
        <x:v>375000</x:v>
      </x:c>
      <x:c r="AN958" s="33" t="str">
        <x:f>IF(AL958=1,AF958,"")</x:f>
      </x:c>
      <x:c r="AO958" s="31" t="n">
        <x:f>'分析方法'!$B$6-J958</x:f>
        <x:v>5</x:v>
      </x:c>
      <x:c r="AP958" s="3"/>
    </x:row>
    <x:row r="959" ht="22" customHeight="1">
      <x:c r="A959" s="3" t="str">
        <x:v>T2908959</x:v>
      </x:c>
      <x:c r="B959" s="7" t="d">
        <x:v>2026-10-08T00:00:00.000Z</x:v>
      </x:c>
      <x:c r="C959" s="3" t="str">
        <x:v>Taladrod</x:v>
      </x:c>
      <x:c r="D959" s="3" t="str">
        <x:v>Toyota</x:v>
      </x:c>
      <x:c r="E959" s="3" t="str">
        <x:v>日本</x:v>
      </x:c>
      <x:c r="F959" s="3" t="str">
        <x:v>Yaris Ativ</x:v>
      </x:c>
      <x:c r="G959" s="3" t="str">
        <x:v>ICE</x:v>
      </x:c>
      <x:c r="H959" s="3" t="str">
        <x:v>Sedan</x:v>
      </x:c>
      <x:c r="I959" s="3" t="str"/>
      <x:c r="J959" s="3" t="n">
        <x:v>2021</x:v>
      </x:c>
      <x:c r="K959" s="3" t="str">
        <x:v>1.2 ENTRY</x:v>
      </x:c>
      <x:c r="L959" s="3" t="str">
        <x:v>ENTRY</x:v>
      </x:c>
      <x:c r="M959" s="22"/>
      <x:c r="N959" s="22"/>
      <x:c r="O959" s="22"/>
      <x:c r="P959" s="3" t="str">
        <x:v>未掲載</x:v>
      </x:c>
      <x:c r="Q959" s="3" t="str">
        <x:v>未取得</x:v>
      </x:c>
      <x:c r="R959" s="3" t="str">
        <x:v>Unknown</x:v>
      </x:c>
      <x:c r="S959" s="3" t="str">
        <x:v>不明</x:v>
      </x:c>
      <x:c r="T959" s="3" t="str">
        <x:v>17-22</x:v>
      </x:c>
      <x:c r="U959" s="28" t="n">
        <x:v>349000</x:v>
      </x:c>
      <x:c r="V959" s="28" t="n">
        <x:v>539000</x:v>
      </x:c>
      <x:c r="W959" s="3" t="str">
        <x:v>事故・水没・SOH・保証残は未確認</x:v>
      </x:c>
      <x:c r="X959" s="3" t="str">
        <x:v>掲載中・在庫未確認</x:v>
      </x:c>
      <x:c r="Y959" s="3" t="str"/>
      <x:c r="Z959" s="27" t="str">
        <x:v>https://www.taladrod.com/w40/icar/cardet.aspx?cid=2908959</x:v>
      </x:c>
      <x:c r="AA959" s="3" t="str">
        <x:v>Taladrod個別広告ID／Carsome在庫ID</x:v>
      </x:c>
      <x:c r="AB959" s="3" t="str">
        <x:v>車台番号未取得／サイト間重複は未判定</x:v>
      </x:c>
      <x:c r="AC959" s="3" t="str">
        <x:v>税込区分未確認（一覧表示額）</x:v>
      </x:c>
      <x:c r="AD959" s="3" t="str"/>
      <x:c r="AE959" s="29" t="str">
        <x:f>""</x:f>
      </x:c>
      <x:c r="AF959" s="30" t="str">
        <x:f>IF(ISNUMBER(AE959),U959/AE959,"")</x:f>
      </x:c>
      <x:c r="AG959" s="29" t="str">
        <x:f>""</x:f>
      </x:c>
      <x:c r="AH959" s="30" t="str">
        <x:f>IF(ISNUMBER(AG959),U959/AG959,"")</x:f>
      </x:c>
      <x:c r="AI959" s="3" t="str">
        <x:v>同年式・グレードの検証済み当時価格なし／登録年混在</x:v>
      </x:c>
      <x:c r="AJ959" s="3" t="str">
        <x:v>一覧価格/年式のみ</x:v>
      </x:c>
      <x:c r="AK959" s="3" t="str">
        <x:v>一覧の表示価格。年式は掲載年式。</x:v>
      </x:c>
      <x:c r="AL959" s="31" t="n">
        <x:f>IF(AND(J959&lt;='分析方法'!$B$7,OR(ISBLANK(O959),O959&gt;='分析方法'!$B$8),X959&lt;&gt;"売却済み表示"),1,0)</x:f>
        <x:v>1</x:v>
      </x:c>
      <x:c r="AM959" s="32" t="n">
        <x:f>IF(AL959=1,U959,"")</x:f>
        <x:v>349000</x:v>
      </x:c>
      <x:c r="AN959" s="33" t="str">
        <x:f>IF(AL959=1,AF959,"")</x:f>
      </x:c>
      <x:c r="AO959" s="31" t="n">
        <x:f>'分析方法'!$B$6-J959</x:f>
        <x:v>5</x:v>
      </x:c>
      <x:c r="AP959" s="3"/>
    </x:row>
    <x:row r="960" ht="22" customHeight="1">
      <x:c r="A960" s="3" t="str">
        <x:v>T2920073</x:v>
      </x:c>
      <x:c r="B960" s="7" t="d">
        <x:v>2026-10-08T00:00:00.000Z</x:v>
      </x:c>
      <x:c r="C960" s="3" t="str">
        <x:v>Taladrod</x:v>
      </x:c>
      <x:c r="D960" s="3" t="str">
        <x:v>Toyota</x:v>
      </x:c>
      <x:c r="E960" s="3" t="str">
        <x:v>日本</x:v>
      </x:c>
      <x:c r="F960" s="3" t="str">
        <x:v>Yaris Ativ</x:v>
      </x:c>
      <x:c r="G960" s="3" t="str">
        <x:v>ICE</x:v>
      </x:c>
      <x:c r="H960" s="3" t="str">
        <x:v>Sedan</x:v>
      </x:c>
      <x:c r="I960" s="3" t="str"/>
      <x:c r="J960" s="3" t="n">
        <x:v>2021</x:v>
      </x:c>
      <x:c r="K960" s="3" t="str">
        <x:v>1.2 ENTRY</x:v>
      </x:c>
      <x:c r="L960" s="3" t="str">
        <x:v>ENTRY</x:v>
      </x:c>
      <x:c r="M960" s="22"/>
      <x:c r="N960" s="22"/>
      <x:c r="O960" s="22"/>
      <x:c r="P960" s="3" t="str">
        <x:v>未掲載</x:v>
      </x:c>
      <x:c r="Q960" s="3" t="str">
        <x:v>未取得</x:v>
      </x:c>
      <x:c r="R960" s="3" t="str">
        <x:v>Unknown</x:v>
      </x:c>
      <x:c r="S960" s="3" t="str">
        <x:v>不明</x:v>
      </x:c>
      <x:c r="T960" s="3" t="str">
        <x:v>17-22</x:v>
      </x:c>
      <x:c r="U960" s="28" t="n">
        <x:v>339000</x:v>
      </x:c>
      <x:c r="V960" s="28" t="n">
        <x:v>539000</x:v>
      </x:c>
      <x:c r="W960" s="3" t="str">
        <x:v>事故・水没・SOH・保証残は未確認</x:v>
      </x:c>
      <x:c r="X960" s="3" t="str">
        <x:v>掲載中・在庫未確認</x:v>
      </x:c>
      <x:c r="Y960" s="3" t="str"/>
      <x:c r="Z960" s="27" t="str">
        <x:v>https://www.taladrod.com/w40/icar/cardet.aspx?cid=2920073</x:v>
      </x:c>
      <x:c r="AA960" s="3" t="str">
        <x:v>Taladrod個別広告ID／Carsome在庫ID</x:v>
      </x:c>
      <x:c r="AB960" s="3" t="str">
        <x:v>車台番号未取得／サイト間重複は未判定</x:v>
      </x:c>
      <x:c r="AC960" s="3" t="str">
        <x:v>税込区分未確認（一覧表示額）</x:v>
      </x:c>
      <x:c r="AD960" s="3" t="str"/>
      <x:c r="AE960" s="29" t="str">
        <x:f>""</x:f>
      </x:c>
      <x:c r="AF960" s="30" t="str">
        <x:f>IF(ISNUMBER(AE960),U960/AE960,"")</x:f>
      </x:c>
      <x:c r="AG960" s="29" t="str">
        <x:f>""</x:f>
      </x:c>
      <x:c r="AH960" s="30" t="str">
        <x:f>IF(ISNUMBER(AG960),U960/AG960,"")</x:f>
      </x:c>
      <x:c r="AI960" s="3" t="str">
        <x:v>同年式・グレードの検証済み当時価格なし／登録年混在</x:v>
      </x:c>
      <x:c r="AJ960" s="3" t="str">
        <x:v>一覧価格/年式のみ</x:v>
      </x:c>
      <x:c r="AK960" s="3" t="str">
        <x:v>一覧の表示価格。年式は掲載年式。</x:v>
      </x:c>
      <x:c r="AL960" s="31" t="n">
        <x:f>IF(AND(J960&lt;='分析方法'!$B$7,OR(ISBLANK(O960),O960&gt;='分析方法'!$B$8),X960&lt;&gt;"売却済み表示"),1,0)</x:f>
        <x:v>1</x:v>
      </x:c>
      <x:c r="AM960" s="32" t="n">
        <x:f>IF(AL960=1,U960,"")</x:f>
        <x:v>339000</x:v>
      </x:c>
      <x:c r="AN960" s="33" t="str">
        <x:f>IF(AL960=1,AF960,"")</x:f>
      </x:c>
      <x:c r="AO960" s="31" t="n">
        <x:f>'分析方法'!$B$6-J960</x:f>
        <x:v>5</x:v>
      </x:c>
      <x:c r="AP960" s="3"/>
    </x:row>
    <x:row r="961" ht="22" customHeight="1">
      <x:c r="A961" s="3" t="str">
        <x:v>T2921694</x:v>
      </x:c>
      <x:c r="B961" s="7" t="d">
        <x:v>2026-10-08T00:00:00.000Z</x:v>
      </x:c>
      <x:c r="C961" s="3" t="str">
        <x:v>Taladrod</x:v>
      </x:c>
      <x:c r="D961" s="3" t="str">
        <x:v>Toyota</x:v>
      </x:c>
      <x:c r="E961" s="3" t="str">
        <x:v>日本</x:v>
      </x:c>
      <x:c r="F961" s="3" t="str">
        <x:v>Yaris Ativ</x:v>
      </x:c>
      <x:c r="G961" s="3" t="str">
        <x:v>ICE</x:v>
      </x:c>
      <x:c r="H961" s="3" t="str">
        <x:v>Sedan</x:v>
      </x:c>
      <x:c r="I961" s="3" t="str"/>
      <x:c r="J961" s="3" t="n">
        <x:v>2021</x:v>
      </x:c>
      <x:c r="K961" s="3" t="str">
        <x:v>1.2 ENTRY</x:v>
      </x:c>
      <x:c r="L961" s="3" t="str">
        <x:v>ENTRY</x:v>
      </x:c>
      <x:c r="M961" s="22"/>
      <x:c r="N961" s="22"/>
      <x:c r="O961" s="22"/>
      <x:c r="P961" s="3" t="str">
        <x:v>未掲載</x:v>
      </x:c>
      <x:c r="Q961" s="3" t="str">
        <x:v>未取得</x:v>
      </x:c>
      <x:c r="R961" s="3" t="str">
        <x:v>Unknown</x:v>
      </x:c>
      <x:c r="S961" s="3" t="str">
        <x:v>不明</x:v>
      </x:c>
      <x:c r="T961" s="3" t="str">
        <x:v>17-22</x:v>
      </x:c>
      <x:c r="U961" s="28" t="n">
        <x:v>295000</x:v>
      </x:c>
      <x:c r="V961" s="28" t="n">
        <x:v>539000</x:v>
      </x:c>
      <x:c r="W961" s="3" t="str">
        <x:v>事故・水没・SOH・保証残は未確認</x:v>
      </x:c>
      <x:c r="X961" s="3" t="str">
        <x:v>掲載中・在庫未確認</x:v>
      </x:c>
      <x:c r="Y961" s="3" t="str"/>
      <x:c r="Z961" s="27" t="str">
        <x:v>https://www.taladrod.com/w40/icar/cardet.aspx?cid=2921694</x:v>
      </x:c>
      <x:c r="AA961" s="3" t="str">
        <x:v>Taladrod個別広告ID／Carsome在庫ID</x:v>
      </x:c>
      <x:c r="AB961" s="3" t="str">
        <x:v>車台番号未取得／サイト間重複は未判定</x:v>
      </x:c>
      <x:c r="AC961" s="3" t="str">
        <x:v>税込区分未確認（一覧表示額）</x:v>
      </x:c>
      <x:c r="AD961" s="3" t="str"/>
      <x:c r="AE961" s="29" t="str">
        <x:f>""</x:f>
      </x:c>
      <x:c r="AF961" s="30" t="str">
        <x:f>IF(ISNUMBER(AE961),U961/AE961,"")</x:f>
      </x:c>
      <x:c r="AG961" s="29" t="str">
        <x:f>""</x:f>
      </x:c>
      <x:c r="AH961" s="30" t="str">
        <x:f>IF(ISNUMBER(AG961),U961/AG961,"")</x:f>
      </x:c>
      <x:c r="AI961" s="3" t="str">
        <x:v>同年式・グレードの検証済み当時価格なし／登録年混在</x:v>
      </x:c>
      <x:c r="AJ961" s="3" t="str">
        <x:v>一覧価格/年式のみ</x:v>
      </x:c>
      <x:c r="AK961" s="3" t="str">
        <x:v>一覧の表示価格。年式は掲載年式。</x:v>
      </x:c>
      <x:c r="AL961" s="31" t="n">
        <x:f>IF(AND(J961&lt;='分析方法'!$B$7,OR(ISBLANK(O961),O961&gt;='分析方法'!$B$8),X961&lt;&gt;"売却済み表示"),1,0)</x:f>
        <x:v>1</x:v>
      </x:c>
      <x:c r="AM961" s="32" t="n">
        <x:f>IF(AL961=1,U961,"")</x:f>
        <x:v>295000</x:v>
      </x:c>
      <x:c r="AN961" s="33" t="str">
        <x:f>IF(AL961=1,AF961,"")</x:f>
      </x:c>
      <x:c r="AO961" s="31" t="n">
        <x:f>'分析方法'!$B$6-J961</x:f>
        <x:v>5</x:v>
      </x:c>
      <x:c r="AP961" s="3"/>
    </x:row>
    <x:row r="962" ht="22" customHeight="1">
      <x:c r="A962" s="3" t="str">
        <x:v>T2923845</x:v>
      </x:c>
      <x:c r="B962" s="7" t="d">
        <x:v>2026-10-08T00:00:00.000Z</x:v>
      </x:c>
      <x:c r="C962" s="3" t="str">
        <x:v>Taladrod</x:v>
      </x:c>
      <x:c r="D962" s="3" t="str">
        <x:v>Toyota</x:v>
      </x:c>
      <x:c r="E962" s="3" t="str">
        <x:v>日本</x:v>
      </x:c>
      <x:c r="F962" s="3" t="str">
        <x:v>Yaris Ativ</x:v>
      </x:c>
      <x:c r="G962" s="3" t="str">
        <x:v>ICE</x:v>
      </x:c>
      <x:c r="H962" s="3" t="str">
        <x:v>Sedan</x:v>
      </x:c>
      <x:c r="I962" s="3" t="str"/>
      <x:c r="J962" s="3" t="n">
        <x:v>2021</x:v>
      </x:c>
      <x:c r="K962" s="3" t="str">
        <x:v>1.2 ENTRY</x:v>
      </x:c>
      <x:c r="L962" s="3" t="str">
        <x:v>ENTRY</x:v>
      </x:c>
      <x:c r="M962" s="22"/>
      <x:c r="N962" s="22"/>
      <x:c r="O962" s="22"/>
      <x:c r="P962" s="3" t="str">
        <x:v>未掲載</x:v>
      </x:c>
      <x:c r="Q962" s="3" t="str">
        <x:v>未取得</x:v>
      </x:c>
      <x:c r="R962" s="3" t="str">
        <x:v>Unknown</x:v>
      </x:c>
      <x:c r="S962" s="3" t="str">
        <x:v>不明</x:v>
      </x:c>
      <x:c r="T962" s="3" t="str">
        <x:v>17-22</x:v>
      </x:c>
      <x:c r="U962" s="28" t="n">
        <x:v>324000</x:v>
      </x:c>
      <x:c r="V962" s="28" t="n">
        <x:v>539000</x:v>
      </x:c>
      <x:c r="W962" s="3" t="str">
        <x:v>事故・水没・SOH・保証残は未確認</x:v>
      </x:c>
      <x:c r="X962" s="3" t="str">
        <x:v>掲載中・在庫未確認</x:v>
      </x:c>
      <x:c r="Y962" s="3" t="str"/>
      <x:c r="Z962" s="27" t="str">
        <x:v>https://www.taladrod.com/w40/icar/cardet.aspx?cid=2923845</x:v>
      </x:c>
      <x:c r="AA962" s="3" t="str">
        <x:v>Taladrod個別広告ID／Carsome在庫ID</x:v>
      </x:c>
      <x:c r="AB962" s="3" t="str">
        <x:v>車台番号未取得／サイト間重複は未判定</x:v>
      </x:c>
      <x:c r="AC962" s="3" t="str">
        <x:v>税込区分未確認（一覧表示額）</x:v>
      </x:c>
      <x:c r="AD962" s="3" t="str"/>
      <x:c r="AE962" s="29" t="str">
        <x:f>""</x:f>
      </x:c>
      <x:c r="AF962" s="30" t="str">
        <x:f>IF(ISNUMBER(AE962),U962/AE962,"")</x:f>
      </x:c>
      <x:c r="AG962" s="29" t="str">
        <x:f>""</x:f>
      </x:c>
      <x:c r="AH962" s="30" t="str">
        <x:f>IF(ISNUMBER(AG962),U962/AG962,"")</x:f>
      </x:c>
      <x:c r="AI962" s="3" t="str">
        <x:v>同年式・グレードの検証済み当時価格なし／登録年混在</x:v>
      </x:c>
      <x:c r="AJ962" s="3" t="str">
        <x:v>一覧価格/年式のみ</x:v>
      </x:c>
      <x:c r="AK962" s="3" t="str">
        <x:v>一覧の表示価格。年式は掲載年式。</x:v>
      </x:c>
      <x:c r="AL962" s="31" t="n">
        <x:f>IF(AND(J962&lt;='分析方法'!$B$7,OR(ISBLANK(O962),O962&gt;='分析方法'!$B$8),X962&lt;&gt;"売却済み表示"),1,0)</x:f>
        <x:v>1</x:v>
      </x:c>
      <x:c r="AM962" s="32" t="n">
        <x:f>IF(AL962=1,U962,"")</x:f>
        <x:v>324000</x:v>
      </x:c>
      <x:c r="AN962" s="33" t="str">
        <x:f>IF(AL962=1,AF962,"")</x:f>
      </x:c>
      <x:c r="AO962" s="31" t="n">
        <x:f>'分析方法'!$B$6-J962</x:f>
        <x:v>5</x:v>
      </x:c>
      <x:c r="AP962" s="3"/>
    </x:row>
    <x:row r="963" ht="22" customHeight="1">
      <x:c r="A963" s="3" t="str">
        <x:v>T2914368</x:v>
      </x:c>
      <x:c r="B963" s="7" t="d">
        <x:v>2026-10-08T00:00:00.000Z</x:v>
      </x:c>
      <x:c r="C963" s="3" t="str">
        <x:v>Taladrod</x:v>
      </x:c>
      <x:c r="D963" s="3" t="str">
        <x:v>Toyota</x:v>
      </x:c>
      <x:c r="E963" s="3" t="str">
        <x:v>日本</x:v>
      </x:c>
      <x:c r="F963" s="3" t="str">
        <x:v>Yaris Ativ</x:v>
      </x:c>
      <x:c r="G963" s="3" t="str">
        <x:v>ICE</x:v>
      </x:c>
      <x:c r="H963" s="3" t="str">
        <x:v>Sedan</x:v>
      </x:c>
      <x:c r="I963" s="3" t="str"/>
      <x:c r="J963" s="3" t="n">
        <x:v>2021</x:v>
      </x:c>
      <x:c r="K963" s="3" t="str">
        <x:v>1.2 SPORT</x:v>
      </x:c>
      <x:c r="L963" s="3" t="str">
        <x:v>SPORT</x:v>
      </x:c>
      <x:c r="M963" s="22"/>
      <x:c r="N963" s="22"/>
      <x:c r="O963" s="22"/>
      <x:c r="P963" s="3" t="str">
        <x:v>未掲載</x:v>
      </x:c>
      <x:c r="Q963" s="3" t="str">
        <x:v>未取得</x:v>
      </x:c>
      <x:c r="R963" s="3" t="str">
        <x:v>Unknown</x:v>
      </x:c>
      <x:c r="S963" s="3" t="str">
        <x:v>不明</x:v>
      </x:c>
      <x:c r="T963" s="3" t="str">
        <x:v>17-22</x:v>
      </x:c>
      <x:c r="U963" s="28" t="n">
        <x:v>324000</x:v>
      </x:c>
      <x:c r="V963" s="28" t="n">
        <x:v>599000</x:v>
      </x:c>
      <x:c r="W963" s="3" t="str">
        <x:v>事故・水没・SOH・保証残は未確認</x:v>
      </x:c>
      <x:c r="X963" s="3" t="str">
        <x:v>掲載中・在庫未確認</x:v>
      </x:c>
      <x:c r="Y963" s="3" t="str"/>
      <x:c r="Z963" s="27" t="str">
        <x:v>https://www.taladrod.com/w40/icar/cardet.aspx?cid=2914368</x:v>
      </x:c>
      <x:c r="AA963" s="3" t="str">
        <x:v>Taladrod個別広告ID／Carsome在庫ID</x:v>
      </x:c>
      <x:c r="AB963" s="3" t="str">
        <x:v>車台番号未取得／サイト間重複は未判定</x:v>
      </x:c>
      <x:c r="AC963" s="3" t="str">
        <x:v>税込区分未確認（一覧表示額）</x:v>
      </x:c>
      <x:c r="AD963" s="3" t="str"/>
      <x:c r="AE963" s="29" t="str">
        <x:f>""</x:f>
      </x:c>
      <x:c r="AF963" s="30" t="str">
        <x:f>IF(ISNUMBER(AE963),U963/AE963,"")</x:f>
      </x:c>
      <x:c r="AG963" s="29" t="str">
        <x:f>""</x:f>
      </x:c>
      <x:c r="AH963" s="30" t="str">
        <x:f>IF(ISNUMBER(AG963),U963/AG963,"")</x:f>
      </x:c>
      <x:c r="AI963" s="3" t="str">
        <x:v>同年式・グレードの検証済み当時価格なし／登録年混在</x:v>
      </x:c>
      <x:c r="AJ963" s="3" t="str">
        <x:v>一覧価格/年式のみ</x:v>
      </x:c>
      <x:c r="AK963" s="3" t="str">
        <x:v>一覧の表示価格。年式は掲載年式。</x:v>
      </x:c>
      <x:c r="AL963" s="31" t="n">
        <x:f>IF(AND(J963&lt;='分析方法'!$B$7,OR(ISBLANK(O963),O963&gt;='分析方法'!$B$8),X963&lt;&gt;"売却済み表示"),1,0)</x:f>
        <x:v>1</x:v>
      </x:c>
      <x:c r="AM963" s="32" t="n">
        <x:f>IF(AL963=1,U963,"")</x:f>
        <x:v>324000</x:v>
      </x:c>
      <x:c r="AN963" s="33" t="str">
        <x:f>IF(AL963=1,AF963,"")</x:f>
      </x:c>
      <x:c r="AO963" s="31" t="n">
        <x:f>'分析方法'!$B$6-J963</x:f>
        <x:v>5</x:v>
      </x:c>
      <x:c r="AP963" s="3"/>
    </x:row>
    <x:row r="964" ht="22" customHeight="1">
      <x:c r="A964" s="3" t="str">
        <x:v>T2919101</x:v>
      </x:c>
      <x:c r="B964" s="7" t="d">
        <x:v>2026-10-08T00:00:00.000Z</x:v>
      </x:c>
      <x:c r="C964" s="3" t="str">
        <x:v>Taladrod</x:v>
      </x:c>
      <x:c r="D964" s="3" t="str">
        <x:v>Toyota</x:v>
      </x:c>
      <x:c r="E964" s="3" t="str">
        <x:v>日本</x:v>
      </x:c>
      <x:c r="F964" s="3" t="str">
        <x:v>Yaris Ativ</x:v>
      </x:c>
      <x:c r="G964" s="3" t="str">
        <x:v>ICE</x:v>
      </x:c>
      <x:c r="H964" s="3" t="str">
        <x:v>Sedan</x:v>
      </x:c>
      <x:c r="I964" s="3" t="str"/>
      <x:c r="J964" s="3" t="n">
        <x:v>2021</x:v>
      </x:c>
      <x:c r="K964" s="3" t="str">
        <x:v>1.2 SPORT</x:v>
      </x:c>
      <x:c r="L964" s="3" t="str">
        <x:v>SPORT</x:v>
      </x:c>
      <x:c r="M964" s="22"/>
      <x:c r="N964" s="22"/>
      <x:c r="O964" s="22"/>
      <x:c r="P964" s="3" t="str">
        <x:v>未掲載</x:v>
      </x:c>
      <x:c r="Q964" s="3" t="str">
        <x:v>未取得</x:v>
      </x:c>
      <x:c r="R964" s="3" t="str">
        <x:v>Unknown</x:v>
      </x:c>
      <x:c r="S964" s="3" t="str">
        <x:v>不明</x:v>
      </x:c>
      <x:c r="T964" s="3" t="str">
        <x:v>17-22</x:v>
      </x:c>
      <x:c r="U964" s="28" t="n">
        <x:v>310000</x:v>
      </x:c>
      <x:c r="V964" s="28" t="n">
        <x:v>599000</x:v>
      </x:c>
      <x:c r="W964" s="3" t="str">
        <x:v>事故・水没・SOH・保証残は未確認</x:v>
      </x:c>
      <x:c r="X964" s="3" t="str">
        <x:v>掲載中・在庫未確認</x:v>
      </x:c>
      <x:c r="Y964" s="3" t="str"/>
      <x:c r="Z964" s="27" t="str">
        <x:v>https://www.taladrod.com/w40/icar/cardet.aspx?cid=2919101</x:v>
      </x:c>
      <x:c r="AA964" s="3" t="str">
        <x:v>Taladrod個別広告ID／Carsome在庫ID</x:v>
      </x:c>
      <x:c r="AB964" s="3" t="str">
        <x:v>車台番号未取得／サイト間重複は未判定</x:v>
      </x:c>
      <x:c r="AC964" s="3" t="str">
        <x:v>税込区分未確認（一覧表示額）</x:v>
      </x:c>
      <x:c r="AD964" s="3" t="str"/>
      <x:c r="AE964" s="29" t="str">
        <x:f>""</x:f>
      </x:c>
      <x:c r="AF964" s="30" t="str">
        <x:f>IF(ISNUMBER(AE964),U964/AE964,"")</x:f>
      </x:c>
      <x:c r="AG964" s="29" t="str">
        <x:f>""</x:f>
      </x:c>
      <x:c r="AH964" s="30" t="str">
        <x:f>IF(ISNUMBER(AG964),U964/AG964,"")</x:f>
      </x:c>
      <x:c r="AI964" s="3" t="str">
        <x:v>同年式・グレードの検証済み当時価格なし／登録年混在</x:v>
      </x:c>
      <x:c r="AJ964" s="3" t="str">
        <x:v>一覧価格/年式のみ</x:v>
      </x:c>
      <x:c r="AK964" s="3" t="str">
        <x:v>一覧の表示価格。年式は掲載年式。</x:v>
      </x:c>
      <x:c r="AL964" s="31" t="n">
        <x:f>IF(AND(J964&lt;='分析方法'!$B$7,OR(ISBLANK(O964),O964&gt;='分析方法'!$B$8),X964&lt;&gt;"売却済み表示"),1,0)</x:f>
        <x:v>1</x:v>
      </x:c>
      <x:c r="AM964" s="32" t="n">
        <x:f>IF(AL964=1,U964,"")</x:f>
        <x:v>310000</x:v>
      </x:c>
      <x:c r="AN964" s="33" t="str">
        <x:f>IF(AL964=1,AF964,"")</x:f>
      </x:c>
      <x:c r="AO964" s="31" t="n">
        <x:f>'分析方法'!$B$6-J964</x:f>
        <x:v>5</x:v>
      </x:c>
      <x:c r="AP964" s="3"/>
    </x:row>
    <x:row r="965" ht="22" customHeight="1">
      <x:c r="A965" s="3" t="str">
        <x:v>T2922707</x:v>
      </x:c>
      <x:c r="B965" s="7" t="d">
        <x:v>2026-10-08T00:00:00.000Z</x:v>
      </x:c>
      <x:c r="C965" s="3" t="str">
        <x:v>Taladrod</x:v>
      </x:c>
      <x:c r="D965" s="3" t="str">
        <x:v>Toyota</x:v>
      </x:c>
      <x:c r="E965" s="3" t="str">
        <x:v>日本</x:v>
      </x:c>
      <x:c r="F965" s="3" t="str">
        <x:v>Yaris Ativ</x:v>
      </x:c>
      <x:c r="G965" s="3" t="str">
        <x:v>ICE</x:v>
      </x:c>
      <x:c r="H965" s="3" t="str">
        <x:v>Sedan</x:v>
      </x:c>
      <x:c r="I965" s="3" t="str"/>
      <x:c r="J965" s="3" t="n">
        <x:v>2021</x:v>
      </x:c>
      <x:c r="K965" s="3" t="str">
        <x:v>1.2 SPORT</x:v>
      </x:c>
      <x:c r="L965" s="3" t="str">
        <x:v>SPORT</x:v>
      </x:c>
      <x:c r="M965" s="22"/>
      <x:c r="N965" s="22"/>
      <x:c r="O965" s="22"/>
      <x:c r="P965" s="3" t="str">
        <x:v>未掲載</x:v>
      </x:c>
      <x:c r="Q965" s="3" t="str">
        <x:v>未取得</x:v>
      </x:c>
      <x:c r="R965" s="3" t="str">
        <x:v>Unknown</x:v>
      </x:c>
      <x:c r="S965" s="3" t="str">
        <x:v>不明</x:v>
      </x:c>
      <x:c r="T965" s="3" t="str">
        <x:v>17-22</x:v>
      </x:c>
      <x:c r="U965" s="28" t="n">
        <x:v>389000</x:v>
      </x:c>
      <x:c r="V965" s="28" t="n">
        <x:v>599000</x:v>
      </x:c>
      <x:c r="W965" s="3" t="str">
        <x:v>事故・水没・SOH・保証残は未確認</x:v>
      </x:c>
      <x:c r="X965" s="3" t="str">
        <x:v>掲載中・在庫未確認</x:v>
      </x:c>
      <x:c r="Y965" s="3" t="str"/>
      <x:c r="Z965" s="27" t="str">
        <x:v>https://www.taladrod.com/w40/icar/cardet.aspx?cid=2922707</x:v>
      </x:c>
      <x:c r="AA965" s="3" t="str">
        <x:v>Taladrod個別広告ID／Carsome在庫ID</x:v>
      </x:c>
      <x:c r="AB965" s="3" t="str">
        <x:v>車台番号未取得／サイト間重複は未判定</x:v>
      </x:c>
      <x:c r="AC965" s="3" t="str">
        <x:v>税込区分未確認（一覧表示額）</x:v>
      </x:c>
      <x:c r="AD965" s="3" t="str"/>
      <x:c r="AE965" s="29" t="str">
        <x:f>""</x:f>
      </x:c>
      <x:c r="AF965" s="30" t="str">
        <x:f>IF(ISNUMBER(AE965),U965/AE965,"")</x:f>
      </x:c>
      <x:c r="AG965" s="29" t="str">
        <x:f>""</x:f>
      </x:c>
      <x:c r="AH965" s="30" t="str">
        <x:f>IF(ISNUMBER(AG965),U965/AG965,"")</x:f>
      </x:c>
      <x:c r="AI965" s="3" t="str">
        <x:v>同年式・グレードの検証済み当時価格なし／登録年混在</x:v>
      </x:c>
      <x:c r="AJ965" s="3" t="str">
        <x:v>一覧価格/年式のみ</x:v>
      </x:c>
      <x:c r="AK965" s="3" t="str">
        <x:v>一覧の表示価格。年式は掲載年式。</x:v>
      </x:c>
      <x:c r="AL965" s="31" t="n">
        <x:f>IF(AND(J965&lt;='分析方法'!$B$7,OR(ISBLANK(O965),O965&gt;='分析方法'!$B$8),X965&lt;&gt;"売却済み表示"),1,0)</x:f>
        <x:v>1</x:v>
      </x:c>
      <x:c r="AM965" s="32" t="n">
        <x:f>IF(AL965=1,U965,"")</x:f>
        <x:v>389000</x:v>
      </x:c>
      <x:c r="AN965" s="33" t="str">
        <x:f>IF(AL965=1,AF965,"")</x:f>
      </x:c>
      <x:c r="AO965" s="31" t="n">
        <x:f>'分析方法'!$B$6-J965</x:f>
        <x:v>5</x:v>
      </x:c>
      <x:c r="AP965" s="3"/>
    </x:row>
    <x:row r="966" ht="22" customHeight="1">
      <x:c r="A966" s="3" t="str">
        <x:v>T2925576</x:v>
      </x:c>
      <x:c r="B966" s="7" t="d">
        <x:v>2026-10-08T00:00:00.000Z</x:v>
      </x:c>
      <x:c r="C966" s="3" t="str">
        <x:v>Taladrod</x:v>
      </x:c>
      <x:c r="D966" s="3" t="str">
        <x:v>Toyota</x:v>
      </x:c>
      <x:c r="E966" s="3" t="str">
        <x:v>日本</x:v>
      </x:c>
      <x:c r="F966" s="3" t="str">
        <x:v>Yaris Ativ</x:v>
      </x:c>
      <x:c r="G966" s="3" t="str">
        <x:v>ICE</x:v>
      </x:c>
      <x:c r="H966" s="3" t="str">
        <x:v>Sedan</x:v>
      </x:c>
      <x:c r="I966" s="3" t="str"/>
      <x:c r="J966" s="3" t="n">
        <x:v>2021</x:v>
      </x:c>
      <x:c r="K966" s="3" t="str">
        <x:v>1.2 SPORT</x:v>
      </x:c>
      <x:c r="L966" s="3" t="str">
        <x:v>SPORT</x:v>
      </x:c>
      <x:c r="M966" s="22"/>
      <x:c r="N966" s="22"/>
      <x:c r="O966" s="22"/>
      <x:c r="P966" s="3" t="str">
        <x:v>未掲載</x:v>
      </x:c>
      <x:c r="Q966" s="3" t="str">
        <x:v>未取得</x:v>
      </x:c>
      <x:c r="R966" s="3" t="str">
        <x:v>Unknown</x:v>
      </x:c>
      <x:c r="S966" s="3" t="str">
        <x:v>不明</x:v>
      </x:c>
      <x:c r="T966" s="3" t="str">
        <x:v>17-22</x:v>
      </x:c>
      <x:c r="U966" s="28" t="n">
        <x:v>300000</x:v>
      </x:c>
      <x:c r="V966" s="28" t="n">
        <x:v>599000</x:v>
      </x:c>
      <x:c r="W966" s="3" t="str">
        <x:v>事故・水没・SOH・保証残は未確認</x:v>
      </x:c>
      <x:c r="X966" s="3" t="str">
        <x:v>掲載中・在庫未確認</x:v>
      </x:c>
      <x:c r="Y966" s="3" t="str"/>
      <x:c r="Z966" s="27" t="str">
        <x:v>https://www.taladrod.com/w40/icar/cardet.aspx?cid=2925576</x:v>
      </x:c>
      <x:c r="AA966" s="3" t="str">
        <x:v>Taladrod個別広告ID／Carsome在庫ID</x:v>
      </x:c>
      <x:c r="AB966" s="3" t="str">
        <x:v>車台番号未取得／サイト間重複は未判定</x:v>
      </x:c>
      <x:c r="AC966" s="3" t="str">
        <x:v>税込区分未確認（一覧表示額）</x:v>
      </x:c>
      <x:c r="AD966" s="3" t="str"/>
      <x:c r="AE966" s="29" t="str">
        <x:f>""</x:f>
      </x:c>
      <x:c r="AF966" s="30" t="str">
        <x:f>IF(ISNUMBER(AE966),U966/AE966,"")</x:f>
      </x:c>
      <x:c r="AG966" s="29" t="str">
        <x:f>""</x:f>
      </x:c>
      <x:c r="AH966" s="30" t="str">
        <x:f>IF(ISNUMBER(AG966),U966/AG966,"")</x:f>
      </x:c>
      <x:c r="AI966" s="3" t="str">
        <x:v>同年式・グレードの検証済み当時価格なし／登録年混在</x:v>
      </x:c>
      <x:c r="AJ966" s="3" t="str">
        <x:v>一覧価格/年式のみ</x:v>
      </x:c>
      <x:c r="AK966" s="3" t="str">
        <x:v>一覧の表示価格。年式は掲載年式。</x:v>
      </x:c>
      <x:c r="AL966" s="31" t="n">
        <x:f>IF(AND(J966&lt;='分析方法'!$B$7,OR(ISBLANK(O966),O966&gt;='分析方法'!$B$8),X966&lt;&gt;"売却済み表示"),1,0)</x:f>
        <x:v>1</x:v>
      </x:c>
      <x:c r="AM966" s="32" t="n">
        <x:f>IF(AL966=1,U966,"")</x:f>
        <x:v>300000</x:v>
      </x:c>
      <x:c r="AN966" s="33" t="str">
        <x:f>IF(AL966=1,AF966,"")</x:f>
      </x:c>
      <x:c r="AO966" s="31" t="n">
        <x:f>'分析方法'!$B$6-J966</x:f>
        <x:v>5</x:v>
      </x:c>
      <x:c r="AP966" s="3"/>
    </x:row>
    <x:row r="967" ht="22" customHeight="1">
      <x:c r="A967" s="3" t="str">
        <x:v>T2901699</x:v>
      </x:c>
      <x:c r="B967" s="7" t="d">
        <x:v>2026-10-08T00:00:00.000Z</x:v>
      </x:c>
      <x:c r="C967" s="3" t="str">
        <x:v>Taladrod</x:v>
      </x:c>
      <x:c r="D967" s="3" t="str">
        <x:v>Toyota</x:v>
      </x:c>
      <x:c r="E967" s="3" t="str">
        <x:v>日本</x:v>
      </x:c>
      <x:c r="F967" s="3" t="str">
        <x:v>Yaris Ativ</x:v>
      </x:c>
      <x:c r="G967" s="3" t="str">
        <x:v>ICE</x:v>
      </x:c>
      <x:c r="H967" s="3" t="str">
        <x:v>Sedan</x:v>
      </x:c>
      <x:c r="I967" s="3" t="str"/>
      <x:c r="J967" s="3" t="n">
        <x:v>2021</x:v>
      </x:c>
      <x:c r="K967" s="3" t="str">
        <x:v>1.2 SPORT PREMIUM</x:v>
      </x:c>
      <x:c r="L967" s="3" t="str">
        <x:v>SPORT PREMIUM</x:v>
      </x:c>
      <x:c r="M967" s="22"/>
      <x:c r="N967" s="22"/>
      <x:c r="O967" s="22"/>
      <x:c r="P967" s="3" t="str">
        <x:v>未掲載</x:v>
      </x:c>
      <x:c r="Q967" s="3" t="str">
        <x:v>未取得</x:v>
      </x:c>
      <x:c r="R967" s="3" t="str">
        <x:v>Unknown</x:v>
      </x:c>
      <x:c r="S967" s="3" t="str">
        <x:v>不明</x:v>
      </x:c>
      <x:c r="T967" s="3" t="str">
        <x:v>17-22</x:v>
      </x:c>
      <x:c r="U967" s="28" t="n">
        <x:v>324000</x:v>
      </x:c>
      <x:c r="V967" s="28" t="n">
        <x:v>674000</x:v>
      </x:c>
      <x:c r="W967" s="3" t="str">
        <x:v>事故・水没・SOH・保証残は未確認</x:v>
      </x:c>
      <x:c r="X967" s="3" t="str">
        <x:v>掲載中・在庫未確認</x:v>
      </x:c>
      <x:c r="Y967" s="3" t="str"/>
      <x:c r="Z967" s="27" t="str">
        <x:v>https://www.taladrod.com/w40/icar/cardet.aspx?cid=2901699</x:v>
      </x:c>
      <x:c r="AA967" s="3" t="str">
        <x:v>Taladrod個別広告ID／Carsome在庫ID</x:v>
      </x:c>
      <x:c r="AB967" s="3" t="str">
        <x:v>車台番号未取得／サイト間重複は未判定</x:v>
      </x:c>
      <x:c r="AC967" s="3" t="str">
        <x:v>税込区分未確認（一覧表示額）</x:v>
      </x:c>
      <x:c r="AD967" s="3" t="str"/>
      <x:c r="AE967" s="29" t="str">
        <x:f>""</x:f>
      </x:c>
      <x:c r="AF967" s="30" t="str">
        <x:f>IF(ISNUMBER(AE967),U967/AE967,"")</x:f>
      </x:c>
      <x:c r="AG967" s="29" t="str">
        <x:f>""</x:f>
      </x:c>
      <x:c r="AH967" s="30" t="str">
        <x:f>IF(ISNUMBER(AG967),U967/AG967,"")</x:f>
      </x:c>
      <x:c r="AI967" s="3" t="str">
        <x:v>同年式・グレードの検証済み当時価格なし／登録年混在</x:v>
      </x:c>
      <x:c r="AJ967" s="3" t="str">
        <x:v>一覧価格/年式のみ</x:v>
      </x:c>
      <x:c r="AK967" s="3" t="str">
        <x:v>一覧の表示価格。年式は掲載年式。</x:v>
      </x:c>
      <x:c r="AL967" s="31" t="n">
        <x:f>IF(AND(J967&lt;='分析方法'!$B$7,OR(ISBLANK(O967),O967&gt;='分析方法'!$B$8),X967&lt;&gt;"売却済み表示"),1,0)</x:f>
        <x:v>1</x:v>
      </x:c>
      <x:c r="AM967" s="32" t="n">
        <x:f>IF(AL967=1,U967,"")</x:f>
        <x:v>324000</x:v>
      </x:c>
      <x:c r="AN967" s="33" t="str">
        <x:f>IF(AL967=1,AF967,"")</x:f>
      </x:c>
      <x:c r="AO967" s="31" t="n">
        <x:f>'分析方法'!$B$6-J967</x:f>
        <x:v>5</x:v>
      </x:c>
      <x:c r="AP967" s="3"/>
    </x:row>
    <x:row r="968" ht="22" customHeight="1">
      <x:c r="A968" s="3" t="str">
        <x:v>T2923166</x:v>
      </x:c>
      <x:c r="B968" s="7" t="d">
        <x:v>2026-10-08T00:00:00.000Z</x:v>
      </x:c>
      <x:c r="C968" s="3" t="str">
        <x:v>Taladrod</x:v>
      </x:c>
      <x:c r="D968" s="3" t="str">
        <x:v>Toyota</x:v>
      </x:c>
      <x:c r="E968" s="3" t="str">
        <x:v>日本</x:v>
      </x:c>
      <x:c r="F968" s="3" t="str">
        <x:v>Yaris Ativ</x:v>
      </x:c>
      <x:c r="G968" s="3" t="str">
        <x:v>ICE</x:v>
      </x:c>
      <x:c r="H968" s="3" t="str">
        <x:v>Sedan</x:v>
      </x:c>
      <x:c r="I968" s="3" t="str"/>
      <x:c r="J968" s="3" t="n">
        <x:v>2021</x:v>
      </x:c>
      <x:c r="K968" s="3" t="str">
        <x:v>1.2 SPORT PREMIUM</x:v>
      </x:c>
      <x:c r="L968" s="3" t="str">
        <x:v>SPORT PREMIUM</x:v>
      </x:c>
      <x:c r="M968" s="22"/>
      <x:c r="N968" s="22"/>
      <x:c r="O968" s="22"/>
      <x:c r="P968" s="3" t="str">
        <x:v>未掲載</x:v>
      </x:c>
      <x:c r="Q968" s="3" t="str">
        <x:v>未取得</x:v>
      </x:c>
      <x:c r="R968" s="3" t="str">
        <x:v>Unknown</x:v>
      </x:c>
      <x:c r="S968" s="3" t="str">
        <x:v>不明</x:v>
      </x:c>
      <x:c r="T968" s="3" t="str">
        <x:v>17-22</x:v>
      </x:c>
      <x:c r="U968" s="28" t="n">
        <x:v>349000</x:v>
      </x:c>
      <x:c r="V968" s="28" t="n">
        <x:v>674000</x:v>
      </x:c>
      <x:c r="W968" s="3" t="str">
        <x:v>事故・水没・SOH・保証残は未確認</x:v>
      </x:c>
      <x:c r="X968" s="3" t="str">
        <x:v>掲載中・在庫未確認</x:v>
      </x:c>
      <x:c r="Y968" s="3" t="str"/>
      <x:c r="Z968" s="27" t="str">
        <x:v>https://www.taladrod.com/w40/icar/cardet.aspx?cid=2923166</x:v>
      </x:c>
      <x:c r="AA968" s="3" t="str">
        <x:v>Taladrod個別広告ID／Carsome在庫ID</x:v>
      </x:c>
      <x:c r="AB968" s="3" t="str">
        <x:v>車台番号未取得／サイト間重複は未判定</x:v>
      </x:c>
      <x:c r="AC968" s="3" t="str">
        <x:v>税込区分未確認（一覧表示額）</x:v>
      </x:c>
      <x:c r="AD968" s="3" t="str"/>
      <x:c r="AE968" s="29" t="str">
        <x:f>""</x:f>
      </x:c>
      <x:c r="AF968" s="30" t="str">
        <x:f>IF(ISNUMBER(AE968),U968/AE968,"")</x:f>
      </x:c>
      <x:c r="AG968" s="29" t="str">
        <x:f>""</x:f>
      </x:c>
      <x:c r="AH968" s="30" t="str">
        <x:f>IF(ISNUMBER(AG968),U968/AG968,"")</x:f>
      </x:c>
      <x:c r="AI968" s="3" t="str">
        <x:v>同年式・グレードの検証済み当時価格なし／登録年混在</x:v>
      </x:c>
      <x:c r="AJ968" s="3" t="str">
        <x:v>一覧価格/年式のみ</x:v>
      </x:c>
      <x:c r="AK968" s="3" t="str">
        <x:v>一覧の表示価格。年式は掲載年式。</x:v>
      </x:c>
      <x:c r="AL968" s="31" t="n">
        <x:f>IF(AND(J968&lt;='分析方法'!$B$7,OR(ISBLANK(O968),O968&gt;='分析方法'!$B$8),X968&lt;&gt;"売却済み表示"),1,0)</x:f>
        <x:v>1</x:v>
      </x:c>
      <x:c r="AM968" s="32" t="n">
        <x:f>IF(AL968=1,U968,"")</x:f>
        <x:v>349000</x:v>
      </x:c>
      <x:c r="AN968" s="33" t="str">
        <x:f>IF(AL968=1,AF968,"")</x:f>
      </x:c>
      <x:c r="AO968" s="31" t="n">
        <x:f>'分析方法'!$B$6-J968</x:f>
        <x:v>5</x:v>
      </x:c>
      <x:c r="AP968" s="3"/>
    </x:row>
    <x:row r="969" ht="22" customHeight="1">
      <x:c r="A969" s="3" t="str">
        <x:v>T2923919</x:v>
      </x:c>
      <x:c r="B969" s="7" t="d">
        <x:v>2026-10-08T00:00:00.000Z</x:v>
      </x:c>
      <x:c r="C969" s="3" t="str">
        <x:v>Taladrod</x:v>
      </x:c>
      <x:c r="D969" s="3" t="str">
        <x:v>Toyota</x:v>
      </x:c>
      <x:c r="E969" s="3" t="str">
        <x:v>日本</x:v>
      </x:c>
      <x:c r="F969" s="3" t="str">
        <x:v>Yaris Ativ</x:v>
      </x:c>
      <x:c r="G969" s="3" t="str">
        <x:v>ICE</x:v>
      </x:c>
      <x:c r="H969" s="3" t="str">
        <x:v>Sedan</x:v>
      </x:c>
      <x:c r="I969" s="3" t="str"/>
      <x:c r="J969" s="3" t="n">
        <x:v>2021</x:v>
      </x:c>
      <x:c r="K969" s="3" t="str">
        <x:v>1.2 SPORT PREMIUM</x:v>
      </x:c>
      <x:c r="L969" s="3" t="str">
        <x:v>SPORT PREMIUM</x:v>
      </x:c>
      <x:c r="M969" s="22"/>
      <x:c r="N969" s="22"/>
      <x:c r="O969" s="22"/>
      <x:c r="P969" s="3" t="str">
        <x:v>未掲載</x:v>
      </x:c>
      <x:c r="Q969" s="3" t="str">
        <x:v>未取得</x:v>
      </x:c>
      <x:c r="R969" s="3" t="str">
        <x:v>Unknown</x:v>
      </x:c>
      <x:c r="S969" s="3" t="str">
        <x:v>不明</x:v>
      </x:c>
      <x:c r="T969" s="3" t="str">
        <x:v>17-22</x:v>
      </x:c>
      <x:c r="U969" s="28" t="n">
        <x:v>419000</x:v>
      </x:c>
      <x:c r="V969" s="28" t="n">
        <x:v>674000</x:v>
      </x:c>
      <x:c r="W969" s="3" t="str">
        <x:v>事故・水没・SOH・保証残は未確認</x:v>
      </x:c>
      <x:c r="X969" s="3" t="str">
        <x:v>掲載中・在庫未確認</x:v>
      </x:c>
      <x:c r="Y969" s="3" t="str"/>
      <x:c r="Z969" s="27" t="str">
        <x:v>https://www.taladrod.com/w40/icar/cardet.aspx?cid=2923919</x:v>
      </x:c>
      <x:c r="AA969" s="3" t="str">
        <x:v>Taladrod個別広告ID／Carsome在庫ID</x:v>
      </x:c>
      <x:c r="AB969" s="3" t="str">
        <x:v>車台番号未取得／サイト間重複は未判定</x:v>
      </x:c>
      <x:c r="AC969" s="3" t="str">
        <x:v>税込区分未確認（一覧表示額）</x:v>
      </x:c>
      <x:c r="AD969" s="3" t="str"/>
      <x:c r="AE969" s="29" t="str">
        <x:f>""</x:f>
      </x:c>
      <x:c r="AF969" s="30" t="str">
        <x:f>IF(ISNUMBER(AE969),U969/AE969,"")</x:f>
      </x:c>
      <x:c r="AG969" s="29" t="str">
        <x:f>""</x:f>
      </x:c>
      <x:c r="AH969" s="30" t="str">
        <x:f>IF(ISNUMBER(AG969),U969/AG969,"")</x:f>
      </x:c>
      <x:c r="AI969" s="3" t="str">
        <x:v>同年式・グレードの検証済み当時価格なし／登録年混在</x:v>
      </x:c>
      <x:c r="AJ969" s="3" t="str">
        <x:v>一覧価格/年式のみ</x:v>
      </x:c>
      <x:c r="AK969" s="3" t="str">
        <x:v>一覧の表示価格。年式は掲載年式。</x:v>
      </x:c>
      <x:c r="AL969" s="31" t="n">
        <x:f>IF(AND(J969&lt;='分析方法'!$B$7,OR(ISBLANK(O969),O969&gt;='分析方法'!$B$8),X969&lt;&gt;"売却済み表示"),1,0)</x:f>
        <x:v>1</x:v>
      </x:c>
      <x:c r="AM969" s="32" t="n">
        <x:f>IF(AL969=1,U969,"")</x:f>
        <x:v>419000</x:v>
      </x:c>
      <x:c r="AN969" s="33" t="str">
        <x:f>IF(AL969=1,AF969,"")</x:f>
      </x:c>
      <x:c r="AO969" s="31" t="n">
        <x:f>'分析方法'!$B$6-J969</x:f>
        <x:v>5</x:v>
      </x:c>
      <x:c r="AP969" s="3"/>
    </x:row>
    <x:row r="970" ht="22" customHeight="1">
      <x:c r="A970" s="3" t="str">
        <x:v>T2896843</x:v>
      </x:c>
      <x:c r="B970" s="7" t="d">
        <x:v>2026-10-08T00:00:00.000Z</x:v>
      </x:c>
      <x:c r="C970" s="3" t="str">
        <x:v>Taladrod</x:v>
      </x:c>
      <x:c r="D970" s="3" t="str">
        <x:v>Toyota</x:v>
      </x:c>
      <x:c r="E970" s="3" t="str">
        <x:v>日本</x:v>
      </x:c>
      <x:c r="F970" s="3" t="str">
        <x:v>Yaris Ativ</x:v>
      </x:c>
      <x:c r="G970" s="3" t="str">
        <x:v>ICE</x:v>
      </x:c>
      <x:c r="H970" s="3" t="str">
        <x:v>Sedan</x:v>
      </x:c>
      <x:c r="I970" s="3" t="str"/>
      <x:c r="J970" s="3" t="n">
        <x:v>2022</x:v>
      </x:c>
      <x:c r="K970" s="3" t="str">
        <x:v>1.2 ENTRY</x:v>
      </x:c>
      <x:c r="L970" s="3" t="str">
        <x:v>ENTRY</x:v>
      </x:c>
      <x:c r="M970" s="22"/>
      <x:c r="N970" s="22"/>
      <x:c r="O970" s="22"/>
      <x:c r="P970" s="3" t="str">
        <x:v>未掲載</x:v>
      </x:c>
      <x:c r="Q970" s="3" t="str">
        <x:v>未取得</x:v>
      </x:c>
      <x:c r="R970" s="3" t="str">
        <x:v>Unknown</x:v>
      </x:c>
      <x:c r="S970" s="3" t="str">
        <x:v>不明</x:v>
      </x:c>
      <x:c r="T970" s="3" t="str">
        <x:v>17-22</x:v>
      </x:c>
      <x:c r="U970" s="28" t="n">
        <x:v>367000</x:v>
      </x:c>
      <x:c r="V970" s="28" t="n">
        <x:v>539000</x:v>
      </x:c>
      <x:c r="W970" s="3" t="str">
        <x:v>事故・水没・SOH・保証残は未確認</x:v>
      </x:c>
      <x:c r="X970" s="3" t="str">
        <x:v>掲載中・在庫未確認</x:v>
      </x:c>
      <x:c r="Y970" s="3" t="str"/>
      <x:c r="Z970" s="27" t="str">
        <x:v>https://www.taladrod.com/w40/icar/cardet.aspx?cid=2896843</x:v>
      </x:c>
      <x:c r="AA970" s="3" t="str">
        <x:v>Taladrod個別広告ID／Carsome在庫ID</x:v>
      </x:c>
      <x:c r="AB970" s="3" t="str">
        <x:v>車台番号未取得／サイト間重複は未判定</x:v>
      </x:c>
      <x:c r="AC970" s="3" t="str">
        <x:v>税込区分未確認（一覧表示額）</x:v>
      </x:c>
      <x:c r="AD970" s="3" t="str"/>
      <x:c r="AE970" s="29" t="str">
        <x:f>""</x:f>
      </x:c>
      <x:c r="AF970" s="30" t="str">
        <x:f>IF(ISNUMBER(AE970),U970/AE970,"")</x:f>
      </x:c>
      <x:c r="AG970" s="29" t="str">
        <x:f>""</x:f>
      </x:c>
      <x:c r="AH970" s="30" t="str">
        <x:f>IF(ISNUMBER(AG970),U970/AG970,"")</x:f>
      </x:c>
      <x:c r="AI970" s="3" t="str">
        <x:v>同年式・グレードの検証済み当時価格なし／登録年混在</x:v>
      </x:c>
      <x:c r="AJ970" s="3" t="str">
        <x:v>一覧価格/年式のみ</x:v>
      </x:c>
      <x:c r="AK970" s="3" t="str">
        <x:v>一覧の表示価格。年式は掲載年式。</x:v>
      </x:c>
      <x:c r="AL970" s="31" t="n">
        <x:f>IF(AND(J970&lt;='分析方法'!$B$7,OR(ISBLANK(O970),O970&gt;='分析方法'!$B$8),X970&lt;&gt;"売却済み表示"),1,0)</x:f>
        <x:v>1</x:v>
      </x:c>
      <x:c r="AM970" s="32" t="n">
        <x:f>IF(AL970=1,U970,"")</x:f>
        <x:v>367000</x:v>
      </x:c>
      <x:c r="AN970" s="33" t="str">
        <x:f>IF(AL970=1,AF970,"")</x:f>
      </x:c>
      <x:c r="AO970" s="31" t="n">
        <x:f>'分析方法'!$B$6-J970</x:f>
        <x:v>4</x:v>
      </x:c>
      <x:c r="AP970" s="3"/>
    </x:row>
    <x:row r="971" ht="22" customHeight="1">
      <x:c r="A971" s="3" t="str">
        <x:v>T2910494</x:v>
      </x:c>
      <x:c r="B971" s="7" t="d">
        <x:v>2026-10-08T00:00:00.000Z</x:v>
      </x:c>
      <x:c r="C971" s="3" t="str">
        <x:v>Taladrod</x:v>
      </x:c>
      <x:c r="D971" s="3" t="str">
        <x:v>Toyota</x:v>
      </x:c>
      <x:c r="E971" s="3" t="str">
        <x:v>日本</x:v>
      </x:c>
      <x:c r="F971" s="3" t="str">
        <x:v>Yaris Ativ</x:v>
      </x:c>
      <x:c r="G971" s="3" t="str">
        <x:v>ICE</x:v>
      </x:c>
      <x:c r="H971" s="3" t="str">
        <x:v>Sedan</x:v>
      </x:c>
      <x:c r="I971" s="3" t="str"/>
      <x:c r="J971" s="3" t="n">
        <x:v>2022</x:v>
      </x:c>
      <x:c r="K971" s="3" t="str">
        <x:v>1.2 ENTRY</x:v>
      </x:c>
      <x:c r="L971" s="3" t="str">
        <x:v>ENTRY</x:v>
      </x:c>
      <x:c r="M971" s="22"/>
      <x:c r="N971" s="22"/>
      <x:c r="O971" s="22"/>
      <x:c r="P971" s="3" t="str">
        <x:v>未掲載</x:v>
      </x:c>
      <x:c r="Q971" s="3" t="str">
        <x:v>未取得</x:v>
      </x:c>
      <x:c r="R971" s="3" t="str">
        <x:v>Unknown</x:v>
      </x:c>
      <x:c r="S971" s="3" t="str">
        <x:v>不明</x:v>
      </x:c>
      <x:c r="T971" s="3" t="str">
        <x:v>17-22</x:v>
      </x:c>
      <x:c r="U971" s="28" t="n">
        <x:v>324000</x:v>
      </x:c>
      <x:c r="V971" s="28" t="n">
        <x:v>539000</x:v>
      </x:c>
      <x:c r="W971" s="3" t="str">
        <x:v>事故・水没・SOH・保証残は未確認</x:v>
      </x:c>
      <x:c r="X971" s="3" t="str">
        <x:v>掲載中・在庫未確認</x:v>
      </x:c>
      <x:c r="Y971" s="3" t="str"/>
      <x:c r="Z971" s="27" t="str">
        <x:v>https://www.taladrod.com/w40/icar/cardet.aspx?cid=2910494</x:v>
      </x:c>
      <x:c r="AA971" s="3" t="str">
        <x:v>Taladrod個別広告ID／Carsome在庫ID</x:v>
      </x:c>
      <x:c r="AB971" s="3" t="str">
        <x:v>車台番号未取得／サイト間重複は未判定</x:v>
      </x:c>
      <x:c r="AC971" s="3" t="str">
        <x:v>税込区分未確認（一覧表示額）</x:v>
      </x:c>
      <x:c r="AD971" s="3" t="str"/>
      <x:c r="AE971" s="29" t="str">
        <x:f>""</x:f>
      </x:c>
      <x:c r="AF971" s="30" t="str">
        <x:f>IF(ISNUMBER(AE971),U971/AE971,"")</x:f>
      </x:c>
      <x:c r="AG971" s="29" t="str">
        <x:f>""</x:f>
      </x:c>
      <x:c r="AH971" s="30" t="str">
        <x:f>IF(ISNUMBER(AG971),U971/AG971,"")</x:f>
      </x:c>
      <x:c r="AI971" s="3" t="str">
        <x:v>同年式・グレードの検証済み当時価格なし／登録年混在</x:v>
      </x:c>
      <x:c r="AJ971" s="3" t="str">
        <x:v>一覧価格/年式のみ</x:v>
      </x:c>
      <x:c r="AK971" s="3" t="str">
        <x:v>一覧の表示価格。年式は掲載年式。</x:v>
      </x:c>
      <x:c r="AL971" s="31" t="n">
        <x:f>IF(AND(J971&lt;='分析方法'!$B$7,OR(ISBLANK(O971),O971&gt;='分析方法'!$B$8),X971&lt;&gt;"売却済み表示"),1,0)</x:f>
        <x:v>1</x:v>
      </x:c>
      <x:c r="AM971" s="32" t="n">
        <x:f>IF(AL971=1,U971,"")</x:f>
        <x:v>324000</x:v>
      </x:c>
      <x:c r="AN971" s="33" t="str">
        <x:f>IF(AL971=1,AF971,"")</x:f>
      </x:c>
      <x:c r="AO971" s="31" t="n">
        <x:f>'分析方法'!$B$6-J971</x:f>
        <x:v>4</x:v>
      </x:c>
      <x:c r="AP971" s="3"/>
    </x:row>
    <x:row r="972" ht="22" customHeight="1">
      <x:c r="A972" s="3" t="str">
        <x:v>T2918434</x:v>
      </x:c>
      <x:c r="B972" s="7" t="d">
        <x:v>2026-10-08T00:00:00.000Z</x:v>
      </x:c>
      <x:c r="C972" s="3" t="str">
        <x:v>Taladrod</x:v>
      </x:c>
      <x:c r="D972" s="3" t="str">
        <x:v>Toyota</x:v>
      </x:c>
      <x:c r="E972" s="3" t="str">
        <x:v>日本</x:v>
      </x:c>
      <x:c r="F972" s="3" t="str">
        <x:v>Yaris Ativ</x:v>
      </x:c>
      <x:c r="G972" s="3" t="str">
        <x:v>ICE</x:v>
      </x:c>
      <x:c r="H972" s="3" t="str">
        <x:v>Sedan</x:v>
      </x:c>
      <x:c r="I972" s="3" t="str"/>
      <x:c r="J972" s="3" t="n">
        <x:v>2022</x:v>
      </x:c>
      <x:c r="K972" s="3" t="str">
        <x:v>1.2 PREMIUM</x:v>
      </x:c>
      <x:c r="L972" s="3" t="str">
        <x:v>PREMIUM</x:v>
      </x:c>
      <x:c r="M972" s="22"/>
      <x:c r="N972" s="22"/>
      <x:c r="O972" s="22"/>
      <x:c r="P972" s="3" t="str">
        <x:v>未掲載</x:v>
      </x:c>
      <x:c r="Q972" s="3" t="str">
        <x:v>未取得</x:v>
      </x:c>
      <x:c r="R972" s="3" t="str">
        <x:v>Unknown</x:v>
      </x:c>
      <x:c r="S972" s="3" t="str">
        <x:v>不明</x:v>
      </x:c>
      <x:c r="T972" s="3" t="str">
        <x:v>22-ปัจจุบัน</x:v>
      </x:c>
      <x:c r="U972" s="28" t="n">
        <x:v>439000</x:v>
      </x:c>
      <x:c r="V972" s="28" t="n">
        <x:v>659000</x:v>
      </x:c>
      <x:c r="W972" s="3" t="str">
        <x:v>事故・水没・SOH・保証残は未確認</x:v>
      </x:c>
      <x:c r="X972" s="3" t="str">
        <x:v>掲載中・在庫未確認</x:v>
      </x:c>
      <x:c r="Y972" s="3" t="str"/>
      <x:c r="Z972" s="27" t="str">
        <x:v>https://www.taladrod.com/w40/icar/cardet.aspx?cid=2918434</x:v>
      </x:c>
      <x:c r="AA972" s="3" t="str">
        <x:v>Taladrod個別広告ID／Carsome在庫ID</x:v>
      </x:c>
      <x:c r="AB972" s="3" t="str">
        <x:v>車台番号未取得／サイト間重複は未判定</x:v>
      </x:c>
      <x:c r="AC972" s="3" t="str">
        <x:v>税込区分未確認（一覧表示額）</x:v>
      </x:c>
      <x:c r="AD972" s="3" t="str"/>
      <x:c r="AE972" s="29" t="str">
        <x:f>""</x:f>
      </x:c>
      <x:c r="AF972" s="30" t="str">
        <x:f>IF(ISNUMBER(AE972),U972/AE972,"")</x:f>
      </x:c>
      <x:c r="AG972" s="29" t="str">
        <x:f>""</x:f>
      </x:c>
      <x:c r="AH972" s="30" t="str">
        <x:f>IF(ISNUMBER(AG972),U972/AG972,"")</x:f>
      </x:c>
      <x:c r="AI972" s="3" t="str">
        <x:v>同年式・グレードの検証済み当時価格なし／登録年混在</x:v>
      </x:c>
      <x:c r="AJ972" s="3" t="str">
        <x:v>一覧価格/年式のみ</x:v>
      </x:c>
      <x:c r="AK972" s="3" t="str">
        <x:v>一覧の表示価格。年式は掲載年式。</x:v>
      </x:c>
      <x:c r="AL972" s="31" t="n">
        <x:f>IF(AND(J972&lt;='分析方法'!$B$7,OR(ISBLANK(O972),O972&gt;='分析方法'!$B$8),X972&lt;&gt;"売却済み表示"),1,0)</x:f>
        <x:v>1</x:v>
      </x:c>
      <x:c r="AM972" s="32" t="n">
        <x:f>IF(AL972=1,U972,"")</x:f>
        <x:v>439000</x:v>
      </x:c>
      <x:c r="AN972" s="33" t="str">
        <x:f>IF(AL972=1,AF972,"")</x:f>
      </x:c>
      <x:c r="AO972" s="31" t="n">
        <x:f>'分析方法'!$B$6-J972</x:f>
        <x:v>4</x:v>
      </x:c>
      <x:c r="AP972" s="3"/>
    </x:row>
    <x:row r="973" ht="22" customHeight="1">
      <x:c r="A973" s="3" t="str">
        <x:v>T2919037</x:v>
      </x:c>
      <x:c r="B973" s="7" t="d">
        <x:v>2026-10-08T00:00:00.000Z</x:v>
      </x:c>
      <x:c r="C973" s="3" t="str">
        <x:v>Taladrod</x:v>
      </x:c>
      <x:c r="D973" s="3" t="str">
        <x:v>Toyota</x:v>
      </x:c>
      <x:c r="E973" s="3" t="str">
        <x:v>日本</x:v>
      </x:c>
      <x:c r="F973" s="3" t="str">
        <x:v>Yaris Ativ</x:v>
      </x:c>
      <x:c r="G973" s="3" t="str">
        <x:v>ICE</x:v>
      </x:c>
      <x:c r="H973" s="3" t="str">
        <x:v>Sedan</x:v>
      </x:c>
      <x:c r="I973" s="3" t="str"/>
      <x:c r="J973" s="3" t="n">
        <x:v>2022</x:v>
      </x:c>
      <x:c r="K973" s="3" t="str">
        <x:v>1.2 PREMIUM</x:v>
      </x:c>
      <x:c r="L973" s="3" t="str">
        <x:v>PREMIUM</x:v>
      </x:c>
      <x:c r="M973" s="22"/>
      <x:c r="N973" s="22"/>
      <x:c r="O973" s="22"/>
      <x:c r="P973" s="3" t="str">
        <x:v>未掲載</x:v>
      </x:c>
      <x:c r="Q973" s="3" t="str">
        <x:v>未取得</x:v>
      </x:c>
      <x:c r="R973" s="3" t="str">
        <x:v>Unknown</x:v>
      </x:c>
      <x:c r="S973" s="3" t="str">
        <x:v>不明</x:v>
      </x:c>
      <x:c r="T973" s="3" t="str">
        <x:v>22-ปัจจุบัน</x:v>
      </x:c>
      <x:c r="U973" s="28" t="n">
        <x:v>486000</x:v>
      </x:c>
      <x:c r="V973" s="28" t="n">
        <x:v>659000</x:v>
      </x:c>
      <x:c r="W973" s="3" t="str">
        <x:v>事故・水没・SOH・保証残は未確認</x:v>
      </x:c>
      <x:c r="X973" s="3" t="str">
        <x:v>掲載中・在庫未確認</x:v>
      </x:c>
      <x:c r="Y973" s="3" t="str"/>
      <x:c r="Z973" s="27" t="str">
        <x:v>https://www.taladrod.com/w40/icar/cardet.aspx?cid=2919037</x:v>
      </x:c>
      <x:c r="AA973" s="3" t="str">
        <x:v>Taladrod個別広告ID／Carsome在庫ID</x:v>
      </x:c>
      <x:c r="AB973" s="3" t="str">
        <x:v>車台番号未取得／サイト間重複は未判定</x:v>
      </x:c>
      <x:c r="AC973" s="3" t="str">
        <x:v>税込区分未確認（一覧表示額）</x:v>
      </x:c>
      <x:c r="AD973" s="3" t="str"/>
      <x:c r="AE973" s="29" t="str">
        <x:f>""</x:f>
      </x:c>
      <x:c r="AF973" s="30" t="str">
        <x:f>IF(ISNUMBER(AE973),U973/AE973,"")</x:f>
      </x:c>
      <x:c r="AG973" s="29" t="str">
        <x:f>""</x:f>
      </x:c>
      <x:c r="AH973" s="30" t="str">
        <x:f>IF(ISNUMBER(AG973),U973/AG973,"")</x:f>
      </x:c>
      <x:c r="AI973" s="3" t="str">
        <x:v>同年式・グレードの検証済み当時価格なし／登録年混在</x:v>
      </x:c>
      <x:c r="AJ973" s="3" t="str">
        <x:v>一覧価格/年式のみ</x:v>
      </x:c>
      <x:c r="AK973" s="3" t="str">
        <x:v>一覧の表示価格。年式は掲載年式。</x:v>
      </x:c>
      <x:c r="AL973" s="31" t="n">
        <x:f>IF(AND(J973&lt;='分析方法'!$B$7,OR(ISBLANK(O973),O973&gt;='分析方法'!$B$8),X973&lt;&gt;"売却済み表示"),1,0)</x:f>
        <x:v>1</x:v>
      </x:c>
      <x:c r="AM973" s="32" t="n">
        <x:f>IF(AL973=1,U973,"")</x:f>
        <x:v>486000</x:v>
      </x:c>
      <x:c r="AN973" s="33" t="str">
        <x:f>IF(AL973=1,AF973,"")</x:f>
      </x:c>
      <x:c r="AO973" s="31" t="n">
        <x:f>'分析方法'!$B$6-J973</x:f>
        <x:v>4</x:v>
      </x:c>
      <x:c r="AP973" s="3"/>
    </x:row>
    <x:row r="974" ht="22" customHeight="1">
      <x:c r="A974" s="3" t="str">
        <x:v>T2923814</x:v>
      </x:c>
      <x:c r="B974" s="7" t="d">
        <x:v>2026-10-08T00:00:00.000Z</x:v>
      </x:c>
      <x:c r="C974" s="3" t="str">
        <x:v>Taladrod</x:v>
      </x:c>
      <x:c r="D974" s="3" t="str">
        <x:v>Toyota</x:v>
      </x:c>
      <x:c r="E974" s="3" t="str">
        <x:v>日本</x:v>
      </x:c>
      <x:c r="F974" s="3" t="str">
        <x:v>Yaris Ativ</x:v>
      </x:c>
      <x:c r="G974" s="3" t="str">
        <x:v>ICE</x:v>
      </x:c>
      <x:c r="H974" s="3" t="str">
        <x:v>Sedan</x:v>
      </x:c>
      <x:c r="I974" s="3" t="str"/>
      <x:c r="J974" s="3" t="n">
        <x:v>2022</x:v>
      </x:c>
      <x:c r="K974" s="3" t="str">
        <x:v>1.2 PREMIUM</x:v>
      </x:c>
      <x:c r="L974" s="3" t="str">
        <x:v>PREMIUM</x:v>
      </x:c>
      <x:c r="M974" s="22"/>
      <x:c r="N974" s="22"/>
      <x:c r="O974" s="22"/>
      <x:c r="P974" s="3" t="str">
        <x:v>未掲載</x:v>
      </x:c>
      <x:c r="Q974" s="3" t="str">
        <x:v>未取得</x:v>
      </x:c>
      <x:c r="R974" s="3" t="str">
        <x:v>Unknown</x:v>
      </x:c>
      <x:c r="S974" s="3" t="str">
        <x:v>不明</x:v>
      </x:c>
      <x:c r="T974" s="3" t="str">
        <x:v>22-ปัจจุบัน</x:v>
      </x:c>
      <x:c r="U974" s="28" t="n">
        <x:v>385000</x:v>
      </x:c>
      <x:c r="V974" s="28" t="n">
        <x:v>659000</x:v>
      </x:c>
      <x:c r="W974" s="3" t="str">
        <x:v>事故・水没・SOH・保証残は未確認</x:v>
      </x:c>
      <x:c r="X974" s="3" t="str">
        <x:v>掲載中・在庫未確認</x:v>
      </x:c>
      <x:c r="Y974" s="3" t="str"/>
      <x:c r="Z974" s="27" t="str">
        <x:v>https://www.taladrod.com/w40/icar/cardet.aspx?cid=2923814</x:v>
      </x:c>
      <x:c r="AA974" s="3" t="str">
        <x:v>Taladrod個別広告ID／Carsome在庫ID</x:v>
      </x:c>
      <x:c r="AB974" s="3" t="str">
        <x:v>車台番号未取得／サイト間重複は未判定</x:v>
      </x:c>
      <x:c r="AC974" s="3" t="str">
        <x:v>税込区分未確認（一覧表示額）</x:v>
      </x:c>
      <x:c r="AD974" s="3" t="str"/>
      <x:c r="AE974" s="29" t="str">
        <x:f>""</x:f>
      </x:c>
      <x:c r="AF974" s="30" t="str">
        <x:f>IF(ISNUMBER(AE974),U974/AE974,"")</x:f>
      </x:c>
      <x:c r="AG974" s="29" t="str">
        <x:f>""</x:f>
      </x:c>
      <x:c r="AH974" s="30" t="str">
        <x:f>IF(ISNUMBER(AG974),U974/AG974,"")</x:f>
      </x:c>
      <x:c r="AI974" s="3" t="str">
        <x:v>同年式・グレードの検証済み当時価格なし／登録年混在</x:v>
      </x:c>
      <x:c r="AJ974" s="3" t="str">
        <x:v>一覧価格/年式のみ</x:v>
      </x:c>
      <x:c r="AK974" s="3" t="str">
        <x:v>一覧の表示価格。年式は掲載年式。</x:v>
      </x:c>
      <x:c r="AL974" s="31" t="n">
        <x:f>IF(AND(J974&lt;='分析方法'!$B$7,OR(ISBLANK(O974),O974&gt;='分析方法'!$B$8),X974&lt;&gt;"売却済み表示"),1,0)</x:f>
        <x:v>1</x:v>
      </x:c>
      <x:c r="AM974" s="32" t="n">
        <x:f>IF(AL974=1,U974,"")</x:f>
        <x:v>385000</x:v>
      </x:c>
      <x:c r="AN974" s="33" t="str">
        <x:f>IF(AL974=1,AF974,"")</x:f>
      </x:c>
      <x:c r="AO974" s="31" t="n">
        <x:f>'分析方法'!$B$6-J974</x:f>
        <x:v>4</x:v>
      </x:c>
      <x:c r="AP974" s="3"/>
    </x:row>
    <x:row r="975" ht="22" customHeight="1">
      <x:c r="A975" s="3" t="str">
        <x:v>T2894980</x:v>
      </x:c>
      <x:c r="B975" s="7" t="d">
        <x:v>2026-10-08T00:00:00.000Z</x:v>
      </x:c>
      <x:c r="C975" s="3" t="str">
        <x:v>Taladrod</x:v>
      </x:c>
      <x:c r="D975" s="3" t="str">
        <x:v>Toyota</x:v>
      </x:c>
      <x:c r="E975" s="3" t="str">
        <x:v>日本</x:v>
      </x:c>
      <x:c r="F975" s="3" t="str">
        <x:v>Yaris Ativ</x:v>
      </x:c>
      <x:c r="G975" s="3" t="str">
        <x:v>ICE</x:v>
      </x:c>
      <x:c r="H975" s="3" t="str">
        <x:v>Sedan</x:v>
      </x:c>
      <x:c r="I975" s="3" t="str"/>
      <x:c r="J975" s="3" t="n">
        <x:v>2022</x:v>
      </x:c>
      <x:c r="K975" s="3" t="str">
        <x:v>1.2 PREMIUM LUXURY</x:v>
      </x:c>
      <x:c r="L975" s="3" t="str">
        <x:v>PREMIUM LUXURY</x:v>
      </x:c>
      <x:c r="M975" s="22"/>
      <x:c r="N975" s="22"/>
      <x:c r="O975" s="22"/>
      <x:c r="P975" s="3" t="str">
        <x:v>未掲載</x:v>
      </x:c>
      <x:c r="Q975" s="3" t="str">
        <x:v>未取得</x:v>
      </x:c>
      <x:c r="R975" s="3" t="str">
        <x:v>Unknown</x:v>
      </x:c>
      <x:c r="S975" s="3" t="str">
        <x:v>不明</x:v>
      </x:c>
      <x:c r="T975" s="3" t="str">
        <x:v>22-ปัจจุบัน</x:v>
      </x:c>
      <x:c r="U975" s="28" t="n">
        <x:v>454000</x:v>
      </x:c>
      <x:c r="V975" s="28" t="n">
        <x:v>689000</x:v>
      </x:c>
      <x:c r="W975" s="3" t="str">
        <x:v>事故・水没・SOH・保証残は未確認</x:v>
      </x:c>
      <x:c r="X975" s="3" t="str">
        <x:v>掲載中・在庫未確認</x:v>
      </x:c>
      <x:c r="Y975" s="3" t="str"/>
      <x:c r="Z975" s="27" t="str">
        <x:v>https://www.taladrod.com/w40/icar/cardet.aspx?cid=2894980</x:v>
      </x:c>
      <x:c r="AA975" s="3" t="str">
        <x:v>Taladrod個別広告ID／Carsome在庫ID</x:v>
      </x:c>
      <x:c r="AB975" s="3" t="str">
        <x:v>車台番号未取得／サイト間重複は未判定</x:v>
      </x:c>
      <x:c r="AC975" s="3" t="str">
        <x:v>税込区分未確認（一覧表示額）</x:v>
      </x:c>
      <x:c r="AD975" s="3" t="str"/>
      <x:c r="AE975" s="29" t="str">
        <x:f>""</x:f>
      </x:c>
      <x:c r="AF975" s="30" t="str">
        <x:f>IF(ISNUMBER(AE975),U975/AE975,"")</x:f>
      </x:c>
      <x:c r="AG975" s="29" t="str">
        <x:f>""</x:f>
      </x:c>
      <x:c r="AH975" s="30" t="str">
        <x:f>IF(ISNUMBER(AG975),U975/AG975,"")</x:f>
      </x:c>
      <x:c r="AI975" s="3" t="str">
        <x:v>同年式・グレードの検証済み当時価格なし／登録年混在</x:v>
      </x:c>
      <x:c r="AJ975" s="3" t="str">
        <x:v>一覧価格/年式のみ</x:v>
      </x:c>
      <x:c r="AK975" s="3" t="str">
        <x:v>一覧の表示価格。年式は掲載年式。</x:v>
      </x:c>
      <x:c r="AL975" s="31" t="n">
        <x:f>IF(AND(J975&lt;='分析方法'!$B$7,OR(ISBLANK(O975),O975&gt;='分析方法'!$B$8),X975&lt;&gt;"売却済み表示"),1,0)</x:f>
        <x:v>1</x:v>
      </x:c>
      <x:c r="AM975" s="32" t="n">
        <x:f>IF(AL975=1,U975,"")</x:f>
        <x:v>454000</x:v>
      </x:c>
      <x:c r="AN975" s="33" t="str">
        <x:f>IF(AL975=1,AF975,"")</x:f>
      </x:c>
      <x:c r="AO975" s="31" t="n">
        <x:f>'分析方法'!$B$6-J975</x:f>
        <x:v>4</x:v>
      </x:c>
      <x:c r="AP975" s="3"/>
    </x:row>
    <x:row r="976" ht="22" customHeight="1">
      <x:c r="A976" s="3" t="str">
        <x:v>T2909934</x:v>
      </x:c>
      <x:c r="B976" s="7" t="d">
        <x:v>2026-10-08T00:00:00.000Z</x:v>
      </x:c>
      <x:c r="C976" s="3" t="str">
        <x:v>Taladrod</x:v>
      </x:c>
      <x:c r="D976" s="3" t="str">
        <x:v>Toyota</x:v>
      </x:c>
      <x:c r="E976" s="3" t="str">
        <x:v>日本</x:v>
      </x:c>
      <x:c r="F976" s="3" t="str">
        <x:v>Yaris Ativ</x:v>
      </x:c>
      <x:c r="G976" s="3" t="str">
        <x:v>ICE</x:v>
      </x:c>
      <x:c r="H976" s="3" t="str">
        <x:v>Sedan</x:v>
      </x:c>
      <x:c r="I976" s="3" t="str"/>
      <x:c r="J976" s="3" t="n">
        <x:v>2022</x:v>
      </x:c>
      <x:c r="K976" s="3" t="str">
        <x:v>1.2 PREMIUM LUXURY</x:v>
      </x:c>
      <x:c r="L976" s="3" t="str">
        <x:v>PREMIUM LUXURY</x:v>
      </x:c>
      <x:c r="M976" s="22"/>
      <x:c r="N976" s="22"/>
      <x:c r="O976" s="22"/>
      <x:c r="P976" s="3" t="str">
        <x:v>未掲載</x:v>
      </x:c>
      <x:c r="Q976" s="3" t="str">
        <x:v>未取得</x:v>
      </x:c>
      <x:c r="R976" s="3" t="str">
        <x:v>Unknown</x:v>
      </x:c>
      <x:c r="S976" s="3" t="str">
        <x:v>不明</x:v>
      </x:c>
      <x:c r="T976" s="3" t="str">
        <x:v>22-ปัจจุบัน</x:v>
      </x:c>
      <x:c r="U976" s="28" t="n">
        <x:v>464000</x:v>
      </x:c>
      <x:c r="V976" s="28" t="n">
        <x:v>689000</x:v>
      </x:c>
      <x:c r="W976" s="3" t="str">
        <x:v>事故・水没・SOH・保証残は未確認</x:v>
      </x:c>
      <x:c r="X976" s="3" t="str">
        <x:v>掲載中・在庫未確認</x:v>
      </x:c>
      <x:c r="Y976" s="3" t="str"/>
      <x:c r="Z976" s="27" t="str">
        <x:v>https://www.taladrod.com/w40/icar/cardet.aspx?cid=2909934</x:v>
      </x:c>
      <x:c r="AA976" s="3" t="str">
        <x:v>Taladrod個別広告ID／Carsome在庫ID</x:v>
      </x:c>
      <x:c r="AB976" s="3" t="str">
        <x:v>車台番号未取得／サイト間重複は未判定</x:v>
      </x:c>
      <x:c r="AC976" s="3" t="str">
        <x:v>税込区分未確認（一覧表示額）</x:v>
      </x:c>
      <x:c r="AD976" s="3" t="str"/>
      <x:c r="AE976" s="29" t="str">
        <x:f>""</x:f>
      </x:c>
      <x:c r="AF976" s="30" t="str">
        <x:f>IF(ISNUMBER(AE976),U976/AE976,"")</x:f>
      </x:c>
      <x:c r="AG976" s="29" t="str">
        <x:f>""</x:f>
      </x:c>
      <x:c r="AH976" s="30" t="str">
        <x:f>IF(ISNUMBER(AG976),U976/AG976,"")</x:f>
      </x:c>
      <x:c r="AI976" s="3" t="str">
        <x:v>同年式・グレードの検証済み当時価格なし／登録年混在</x:v>
      </x:c>
      <x:c r="AJ976" s="3" t="str">
        <x:v>一覧価格/年式のみ</x:v>
      </x:c>
      <x:c r="AK976" s="3" t="str">
        <x:v>一覧の表示価格。年式は掲載年式。</x:v>
      </x:c>
      <x:c r="AL976" s="31" t="n">
        <x:f>IF(AND(J976&lt;='分析方法'!$B$7,OR(ISBLANK(O976),O976&gt;='分析方法'!$B$8),X976&lt;&gt;"売却済み表示"),1,0)</x:f>
        <x:v>1</x:v>
      </x:c>
      <x:c r="AM976" s="32" t="n">
        <x:f>IF(AL976=1,U976,"")</x:f>
        <x:v>464000</x:v>
      </x:c>
      <x:c r="AN976" s="33" t="str">
        <x:f>IF(AL976=1,AF976,"")</x:f>
      </x:c>
      <x:c r="AO976" s="31" t="n">
        <x:f>'分析方法'!$B$6-J976</x:f>
        <x:v>4</x:v>
      </x:c>
      <x:c r="AP976" s="3"/>
    </x:row>
    <x:row r="977" ht="22" customHeight="1">
      <x:c r="A977" s="3" t="str">
        <x:v>T2896304</x:v>
      </x:c>
      <x:c r="B977" s="7" t="d">
        <x:v>2026-10-08T00:00:00.000Z</x:v>
      </x:c>
      <x:c r="C977" s="3" t="str">
        <x:v>Taladrod</x:v>
      </x:c>
      <x:c r="D977" s="3" t="str">
        <x:v>Toyota</x:v>
      </x:c>
      <x:c r="E977" s="3" t="str">
        <x:v>日本</x:v>
      </x:c>
      <x:c r="F977" s="3" t="str">
        <x:v>Yaris Ativ</x:v>
      </x:c>
      <x:c r="G977" s="3" t="str">
        <x:v>ICE</x:v>
      </x:c>
      <x:c r="H977" s="3" t="str">
        <x:v>Sedan</x:v>
      </x:c>
      <x:c r="I977" s="3" t="str"/>
      <x:c r="J977" s="3" t="n">
        <x:v>2022</x:v>
      </x:c>
      <x:c r="K977" s="3" t="str">
        <x:v>1.2 SMART</x:v>
      </x:c>
      <x:c r="L977" s="3" t="str">
        <x:v>SMART</x:v>
      </x:c>
      <x:c r="M977" s="22"/>
      <x:c r="N977" s="22"/>
      <x:c r="O977" s="22"/>
      <x:c r="P977" s="3" t="str">
        <x:v>未掲載</x:v>
      </x:c>
      <x:c r="Q977" s="3" t="str">
        <x:v>未取得</x:v>
      </x:c>
      <x:c r="R977" s="3" t="str">
        <x:v>Unknown</x:v>
      </x:c>
      <x:c r="S977" s="3" t="str">
        <x:v>不明</x:v>
      </x:c>
      <x:c r="T977" s="3" t="str">
        <x:v>22-ปัจจุบัน</x:v>
      </x:c>
      <x:c r="U977" s="28" t="n">
        <x:v>429000</x:v>
      </x:c>
      <x:c r="V977" s="28" t="n">
        <x:v>584000</x:v>
      </x:c>
      <x:c r="W977" s="3" t="str">
        <x:v>事故・水没・SOH・保証残は未確認</x:v>
      </x:c>
      <x:c r="X977" s="3" t="str">
        <x:v>掲載中・在庫未確認</x:v>
      </x:c>
      <x:c r="Y977" s="3" t="str"/>
      <x:c r="Z977" s="27" t="str">
        <x:v>https://www.taladrod.com/w40/icar/cardet.aspx?cid=2896304</x:v>
      </x:c>
      <x:c r="AA977" s="3" t="str">
        <x:v>Taladrod個別広告ID／Carsome在庫ID</x:v>
      </x:c>
      <x:c r="AB977" s="3" t="str">
        <x:v>車台番号未取得／サイト間重複は未判定</x:v>
      </x:c>
      <x:c r="AC977" s="3" t="str">
        <x:v>税込区分未確認（一覧表示額）</x:v>
      </x:c>
      <x:c r="AD977" s="3" t="str"/>
      <x:c r="AE977" s="29" t="str">
        <x:f>""</x:f>
      </x:c>
      <x:c r="AF977" s="30" t="str">
        <x:f>IF(ISNUMBER(AE977),U977/AE977,"")</x:f>
      </x:c>
      <x:c r="AG977" s="29" t="str">
        <x:f>""</x:f>
      </x:c>
      <x:c r="AH977" s="30" t="str">
        <x:f>IF(ISNUMBER(AG977),U977/AG977,"")</x:f>
      </x:c>
      <x:c r="AI977" s="3" t="str">
        <x:v>同年式・グレードの検証済み当時価格なし／登録年混在</x:v>
      </x:c>
      <x:c r="AJ977" s="3" t="str">
        <x:v>一覧価格/年式のみ</x:v>
      </x:c>
      <x:c r="AK977" s="3" t="str">
        <x:v>一覧の表示価格。年式は掲載年式。</x:v>
      </x:c>
      <x:c r="AL977" s="31" t="n">
        <x:f>IF(AND(J977&lt;='分析方法'!$B$7,OR(ISBLANK(O977),O977&gt;='分析方法'!$B$8),X977&lt;&gt;"売却済み表示"),1,0)</x:f>
        <x:v>1</x:v>
      </x:c>
      <x:c r="AM977" s="32" t="n">
        <x:f>IF(AL977=1,U977,"")</x:f>
        <x:v>429000</x:v>
      </x:c>
      <x:c r="AN977" s="33" t="str">
        <x:f>IF(AL977=1,AF977,"")</x:f>
      </x:c>
      <x:c r="AO977" s="31" t="n">
        <x:f>'分析方法'!$B$6-J977</x:f>
        <x:v>4</x:v>
      </x:c>
      <x:c r="AP977" s="3"/>
    </x:row>
    <x:row r="978" ht="22" customHeight="1">
      <x:c r="A978" s="3" t="str">
        <x:v>T2922368</x:v>
      </x:c>
      <x:c r="B978" s="7" t="d">
        <x:v>2026-10-08T00:00:00.000Z</x:v>
      </x:c>
      <x:c r="C978" s="3" t="str">
        <x:v>Taladrod</x:v>
      </x:c>
      <x:c r="D978" s="3" t="str">
        <x:v>Toyota</x:v>
      </x:c>
      <x:c r="E978" s="3" t="str">
        <x:v>日本</x:v>
      </x:c>
      <x:c r="F978" s="3" t="str">
        <x:v>Yaris Ativ</x:v>
      </x:c>
      <x:c r="G978" s="3" t="str">
        <x:v>ICE</x:v>
      </x:c>
      <x:c r="H978" s="3" t="str">
        <x:v>Sedan</x:v>
      </x:c>
      <x:c r="I978" s="3" t="str"/>
      <x:c r="J978" s="3" t="n">
        <x:v>2022</x:v>
      </x:c>
      <x:c r="K978" s="3" t="str">
        <x:v>1.2 SMART</x:v>
      </x:c>
      <x:c r="L978" s="3" t="str">
        <x:v>SMART</x:v>
      </x:c>
      <x:c r="M978" s="22"/>
      <x:c r="N978" s="22"/>
      <x:c r="O978" s="22"/>
      <x:c r="P978" s="3" t="str">
        <x:v>未掲載</x:v>
      </x:c>
      <x:c r="Q978" s="3" t="str">
        <x:v>未取得</x:v>
      </x:c>
      <x:c r="R978" s="3" t="str">
        <x:v>Unknown</x:v>
      </x:c>
      <x:c r="S978" s="3" t="str">
        <x:v>不明</x:v>
      </x:c>
      <x:c r="T978" s="3" t="str">
        <x:v>22-ปัจจุบัน</x:v>
      </x:c>
      <x:c r="U978" s="28" t="n">
        <x:v>395000</x:v>
      </x:c>
      <x:c r="V978" s="28" t="n">
        <x:v>584000</x:v>
      </x:c>
      <x:c r="W978" s="3" t="str">
        <x:v>事故・水没・SOH・保証残は未確認</x:v>
      </x:c>
      <x:c r="X978" s="3" t="str">
        <x:v>掲載中・在庫未確認</x:v>
      </x:c>
      <x:c r="Y978" s="3" t="str"/>
      <x:c r="Z978" s="27" t="str">
        <x:v>https://www.taladrod.com/w40/icar/cardet.aspx?cid=2922368</x:v>
      </x:c>
      <x:c r="AA978" s="3" t="str">
        <x:v>Taladrod個別広告ID／Carsome在庫ID</x:v>
      </x:c>
      <x:c r="AB978" s="3" t="str">
        <x:v>車台番号未取得／サイト間重複は未判定</x:v>
      </x:c>
      <x:c r="AC978" s="3" t="str">
        <x:v>税込区分未確認（一覧表示額）</x:v>
      </x:c>
      <x:c r="AD978" s="3" t="str"/>
      <x:c r="AE978" s="29" t="str">
        <x:f>""</x:f>
      </x:c>
      <x:c r="AF978" s="30" t="str">
        <x:f>IF(ISNUMBER(AE978),U978/AE978,"")</x:f>
      </x:c>
      <x:c r="AG978" s="29" t="str">
        <x:f>""</x:f>
      </x:c>
      <x:c r="AH978" s="30" t="str">
        <x:f>IF(ISNUMBER(AG978),U978/AG978,"")</x:f>
      </x:c>
      <x:c r="AI978" s="3" t="str">
        <x:v>同年式・グレードの検証済み当時価格なし／登録年混在</x:v>
      </x:c>
      <x:c r="AJ978" s="3" t="str">
        <x:v>一覧価格/年式のみ</x:v>
      </x:c>
      <x:c r="AK978" s="3" t="str">
        <x:v>一覧の表示価格。年式は掲載年式。</x:v>
      </x:c>
      <x:c r="AL978" s="31" t="n">
        <x:f>IF(AND(J978&lt;='分析方法'!$B$7,OR(ISBLANK(O978),O978&gt;='分析方法'!$B$8),X978&lt;&gt;"売却済み表示"),1,0)</x:f>
        <x:v>1</x:v>
      </x:c>
      <x:c r="AM978" s="32" t="n">
        <x:f>IF(AL978=1,U978,"")</x:f>
        <x:v>395000</x:v>
      </x:c>
      <x:c r="AN978" s="33" t="str">
        <x:f>IF(AL978=1,AF978,"")</x:f>
      </x:c>
      <x:c r="AO978" s="31" t="n">
        <x:f>'分析方法'!$B$6-J978</x:f>
        <x:v>4</x:v>
      </x:c>
      <x:c r="AP978" s="3"/>
    </x:row>
    <x:row r="979" ht="22" customHeight="1">
      <x:c r="A979" s="3" t="str">
        <x:v>T2925260</x:v>
      </x:c>
      <x:c r="B979" s="7" t="d">
        <x:v>2026-10-08T00:00:00.000Z</x:v>
      </x:c>
      <x:c r="C979" s="3" t="str">
        <x:v>Taladrod</x:v>
      </x:c>
      <x:c r="D979" s="3" t="str">
        <x:v>Toyota</x:v>
      </x:c>
      <x:c r="E979" s="3" t="str">
        <x:v>日本</x:v>
      </x:c>
      <x:c r="F979" s="3" t="str">
        <x:v>Yaris Ativ</x:v>
      </x:c>
      <x:c r="G979" s="3" t="str">
        <x:v>ICE</x:v>
      </x:c>
      <x:c r="H979" s="3" t="str">
        <x:v>Sedan</x:v>
      </x:c>
      <x:c r="I979" s="3" t="str"/>
      <x:c r="J979" s="3" t="n">
        <x:v>2022</x:v>
      </x:c>
      <x:c r="K979" s="3" t="str">
        <x:v>1.2 SMART</x:v>
      </x:c>
      <x:c r="L979" s="3" t="str">
        <x:v>SMART</x:v>
      </x:c>
      <x:c r="M979" s="22"/>
      <x:c r="N979" s="22"/>
      <x:c r="O979" s="22"/>
      <x:c r="P979" s="3" t="str">
        <x:v>未掲載</x:v>
      </x:c>
      <x:c r="Q979" s="3" t="str">
        <x:v>未取得</x:v>
      </x:c>
      <x:c r="R979" s="3" t="str">
        <x:v>Unknown</x:v>
      </x:c>
      <x:c r="S979" s="3" t="str">
        <x:v>不明</x:v>
      </x:c>
      <x:c r="T979" s="3" t="str">
        <x:v>22-ปัจจุบัน</x:v>
      </x:c>
      <x:c r="U979" s="28" t="n">
        <x:v>409000</x:v>
      </x:c>
      <x:c r="V979" s="28" t="n">
        <x:v>584000</x:v>
      </x:c>
      <x:c r="W979" s="3" t="str">
        <x:v>事故・水没・SOH・保証残は未確認</x:v>
      </x:c>
      <x:c r="X979" s="3" t="str">
        <x:v>掲載中・在庫未確認</x:v>
      </x:c>
      <x:c r="Y979" s="3" t="str"/>
      <x:c r="Z979" s="27" t="str">
        <x:v>https://www.taladrod.com/w40/icar/cardet.aspx?cid=2925260</x:v>
      </x:c>
      <x:c r="AA979" s="3" t="str">
        <x:v>Taladrod個別広告ID／Carsome在庫ID</x:v>
      </x:c>
      <x:c r="AB979" s="3" t="str">
        <x:v>車台番号未取得／サイト間重複は未判定</x:v>
      </x:c>
      <x:c r="AC979" s="3" t="str">
        <x:v>税込区分未確認（一覧表示額）</x:v>
      </x:c>
      <x:c r="AD979" s="3" t="str"/>
      <x:c r="AE979" s="29" t="str">
        <x:f>""</x:f>
      </x:c>
      <x:c r="AF979" s="30" t="str">
        <x:f>IF(ISNUMBER(AE979),U979/AE979,"")</x:f>
      </x:c>
      <x:c r="AG979" s="29" t="str">
        <x:f>""</x:f>
      </x:c>
      <x:c r="AH979" s="30" t="str">
        <x:f>IF(ISNUMBER(AG979),U979/AG979,"")</x:f>
      </x:c>
      <x:c r="AI979" s="3" t="str">
        <x:v>同年式・グレードの検証済み当時価格なし／登録年混在</x:v>
      </x:c>
      <x:c r="AJ979" s="3" t="str">
        <x:v>一覧価格/年式のみ</x:v>
      </x:c>
      <x:c r="AK979" s="3" t="str">
        <x:v>一覧の表示価格。年式は掲載年式。</x:v>
      </x:c>
      <x:c r="AL979" s="31" t="n">
        <x:f>IF(AND(J979&lt;='分析方法'!$B$7,OR(ISBLANK(O979),O979&gt;='分析方法'!$B$8),X979&lt;&gt;"売却済み表示"),1,0)</x:f>
        <x:v>1</x:v>
      </x:c>
      <x:c r="AM979" s="32" t="n">
        <x:f>IF(AL979=1,U979,"")</x:f>
        <x:v>409000</x:v>
      </x:c>
      <x:c r="AN979" s="33" t="str">
        <x:f>IF(AL979=1,AF979,"")</x:f>
      </x:c>
      <x:c r="AO979" s="31" t="n">
        <x:f>'分析方法'!$B$6-J979</x:f>
        <x:v>4</x:v>
      </x:c>
      <x:c r="AP979" s="3"/>
    </x:row>
    <x:row r="980" ht="22" customHeight="1">
      <x:c r="A980" s="3" t="str">
        <x:v>T2885264</x:v>
      </x:c>
      <x:c r="B980" s="7" t="d">
        <x:v>2026-10-08T00:00:00.000Z</x:v>
      </x:c>
      <x:c r="C980" s="3" t="str">
        <x:v>Taladrod</x:v>
      </x:c>
      <x:c r="D980" s="3" t="str">
        <x:v>Toyota</x:v>
      </x:c>
      <x:c r="E980" s="3" t="str">
        <x:v>日本</x:v>
      </x:c>
      <x:c r="F980" s="3" t="str">
        <x:v>Yaris Ativ</x:v>
      </x:c>
      <x:c r="G980" s="3" t="str">
        <x:v>ICE</x:v>
      </x:c>
      <x:c r="H980" s="3" t="str">
        <x:v>Sedan</x:v>
      </x:c>
      <x:c r="I980" s="3" t="str"/>
      <x:c r="J980" s="3" t="n">
        <x:v>2022</x:v>
      </x:c>
      <x:c r="K980" s="3" t="str">
        <x:v>1.2 SPORT</x:v>
      </x:c>
      <x:c r="L980" s="3" t="str">
        <x:v>SPORT</x:v>
      </x:c>
      <x:c r="M980" s="22"/>
      <x:c r="N980" s="22"/>
      <x:c r="O980" s="22"/>
      <x:c r="P980" s="3" t="str">
        <x:v>未掲載</x:v>
      </x:c>
      <x:c r="Q980" s="3" t="str">
        <x:v>未取得</x:v>
      </x:c>
      <x:c r="R980" s="3" t="str">
        <x:v>Unknown</x:v>
      </x:c>
      <x:c r="S980" s="3" t="str">
        <x:v>不明</x:v>
      </x:c>
      <x:c r="T980" s="3" t="str">
        <x:v>17-22</x:v>
      </x:c>
      <x:c r="U980" s="28" t="n">
        <x:v>354000</x:v>
      </x:c>
      <x:c r="V980" s="28" t="n">
        <x:v>599000</x:v>
      </x:c>
      <x:c r="W980" s="3" t="str">
        <x:v>事故・水没・SOH・保証残は未確認</x:v>
      </x:c>
      <x:c r="X980" s="3" t="str">
        <x:v>掲載中・在庫未確認</x:v>
      </x:c>
      <x:c r="Y980" s="3" t="str"/>
      <x:c r="Z980" s="27" t="str">
        <x:v>https://www.taladrod.com/w40/icar/cardet.aspx?cid=2885264</x:v>
      </x:c>
      <x:c r="AA980" s="3" t="str">
        <x:v>Taladrod個別広告ID／Carsome在庫ID</x:v>
      </x:c>
      <x:c r="AB980" s="3" t="str">
        <x:v>車台番号未取得／サイト間重複は未判定</x:v>
      </x:c>
      <x:c r="AC980" s="3" t="str">
        <x:v>税込区分未確認（一覧表示額）</x:v>
      </x:c>
      <x:c r="AD980" s="3" t="str"/>
      <x:c r="AE980" s="29" t="str">
        <x:f>""</x:f>
      </x:c>
      <x:c r="AF980" s="30" t="str">
        <x:f>IF(ISNUMBER(AE980),U980/AE980,"")</x:f>
      </x:c>
      <x:c r="AG980" s="29" t="str">
        <x:f>""</x:f>
      </x:c>
      <x:c r="AH980" s="30" t="str">
        <x:f>IF(ISNUMBER(AG980),U980/AG980,"")</x:f>
      </x:c>
      <x:c r="AI980" s="3" t="str">
        <x:v>同年式・グレードの検証済み当時価格なし／登録年混在</x:v>
      </x:c>
      <x:c r="AJ980" s="3" t="str">
        <x:v>一覧価格/年式のみ</x:v>
      </x:c>
      <x:c r="AK980" s="3" t="str">
        <x:v>一覧の表示価格。年式は掲載年式。</x:v>
      </x:c>
      <x:c r="AL980" s="31" t="n">
        <x:f>IF(AND(J980&lt;='分析方法'!$B$7,OR(ISBLANK(O980),O980&gt;='分析方法'!$B$8),X980&lt;&gt;"売却済み表示"),1,0)</x:f>
        <x:v>1</x:v>
      </x:c>
      <x:c r="AM980" s="32" t="n">
        <x:f>IF(AL980=1,U980,"")</x:f>
        <x:v>354000</x:v>
      </x:c>
      <x:c r="AN980" s="33" t="str">
        <x:f>IF(AL980=1,AF980,"")</x:f>
      </x:c>
      <x:c r="AO980" s="31" t="n">
        <x:f>'分析方法'!$B$6-J980</x:f>
        <x:v>4</x:v>
      </x:c>
      <x:c r="AP980" s="3"/>
    </x:row>
    <x:row r="981" ht="22" customHeight="1">
      <x:c r="A981" s="3" t="str">
        <x:v>T2886479</x:v>
      </x:c>
      <x:c r="B981" s="7" t="d">
        <x:v>2026-10-08T00:00:00.000Z</x:v>
      </x:c>
      <x:c r="C981" s="3" t="str">
        <x:v>Taladrod</x:v>
      </x:c>
      <x:c r="D981" s="3" t="str">
        <x:v>Toyota</x:v>
      </x:c>
      <x:c r="E981" s="3" t="str">
        <x:v>日本</x:v>
      </x:c>
      <x:c r="F981" s="3" t="str">
        <x:v>Yaris Ativ</x:v>
      </x:c>
      <x:c r="G981" s="3" t="str">
        <x:v>ICE</x:v>
      </x:c>
      <x:c r="H981" s="3" t="str">
        <x:v>Sedan</x:v>
      </x:c>
      <x:c r="I981" s="3" t="str"/>
      <x:c r="J981" s="3" t="n">
        <x:v>2022</x:v>
      </x:c>
      <x:c r="K981" s="3" t="str">
        <x:v>1.2 SPORT</x:v>
      </x:c>
      <x:c r="L981" s="3" t="str">
        <x:v>SPORT</x:v>
      </x:c>
      <x:c r="M981" s="22"/>
      <x:c r="N981" s="22"/>
      <x:c r="O981" s="22"/>
      <x:c r="P981" s="3" t="str">
        <x:v>未掲載</x:v>
      </x:c>
      <x:c r="Q981" s="3" t="str">
        <x:v>未取得</x:v>
      </x:c>
      <x:c r="R981" s="3" t="str">
        <x:v>Unknown</x:v>
      </x:c>
      <x:c r="S981" s="3" t="str">
        <x:v>不明</x:v>
      </x:c>
      <x:c r="T981" s="3" t="str">
        <x:v>17-22</x:v>
      </x:c>
      <x:c r="U981" s="28" t="n">
        <x:v>359000</x:v>
      </x:c>
      <x:c r="V981" s="28" t="n">
        <x:v>599000</x:v>
      </x:c>
      <x:c r="W981" s="3" t="str">
        <x:v>事故・水没・SOH・保証残は未確認</x:v>
      </x:c>
      <x:c r="X981" s="3" t="str">
        <x:v>掲載中・在庫未確認</x:v>
      </x:c>
      <x:c r="Y981" s="3" t="str"/>
      <x:c r="Z981" s="27" t="str">
        <x:v>https://www.taladrod.com/w40/icar/cardet.aspx?cid=2886479</x:v>
      </x:c>
      <x:c r="AA981" s="3" t="str">
        <x:v>Taladrod個別広告ID／Carsome在庫ID</x:v>
      </x:c>
      <x:c r="AB981" s="3" t="str">
        <x:v>車台番号未取得／サイト間重複は未判定</x:v>
      </x:c>
      <x:c r="AC981" s="3" t="str">
        <x:v>税込区分未確認（一覧表示額）</x:v>
      </x:c>
      <x:c r="AD981" s="3" t="str"/>
      <x:c r="AE981" s="29" t="str">
        <x:f>""</x:f>
      </x:c>
      <x:c r="AF981" s="30" t="str">
        <x:f>IF(ISNUMBER(AE981),U981/AE981,"")</x:f>
      </x:c>
      <x:c r="AG981" s="29" t="str">
        <x:f>""</x:f>
      </x:c>
      <x:c r="AH981" s="30" t="str">
        <x:f>IF(ISNUMBER(AG981),U981/AG981,"")</x:f>
      </x:c>
      <x:c r="AI981" s="3" t="str">
        <x:v>同年式・グレードの検証済み当時価格なし／登録年混在</x:v>
      </x:c>
      <x:c r="AJ981" s="3" t="str">
        <x:v>一覧価格/年式のみ</x:v>
      </x:c>
      <x:c r="AK981" s="3" t="str">
        <x:v>一覧の表示価格。年式は掲載年式。</x:v>
      </x:c>
      <x:c r="AL981" s="31" t="n">
        <x:f>IF(AND(J981&lt;='分析方法'!$B$7,OR(ISBLANK(O981),O981&gt;='分析方法'!$B$8),X981&lt;&gt;"売却済み表示"),1,0)</x:f>
        <x:v>1</x:v>
      </x:c>
      <x:c r="AM981" s="32" t="n">
        <x:f>IF(AL981=1,U981,"")</x:f>
        <x:v>359000</x:v>
      </x:c>
      <x:c r="AN981" s="33" t="str">
        <x:f>IF(AL981=1,AF981,"")</x:f>
      </x:c>
      <x:c r="AO981" s="31" t="n">
        <x:f>'分析方法'!$B$6-J981</x:f>
        <x:v>4</x:v>
      </x:c>
      <x:c r="AP981" s="3"/>
    </x:row>
    <x:row r="982" ht="22" customHeight="1">
      <x:c r="A982" s="3" t="str">
        <x:v>T2886856</x:v>
      </x:c>
      <x:c r="B982" s="7" t="d">
        <x:v>2026-10-08T00:00:00.000Z</x:v>
      </x:c>
      <x:c r="C982" s="3" t="str">
        <x:v>Taladrod</x:v>
      </x:c>
      <x:c r="D982" s="3" t="str">
        <x:v>Toyota</x:v>
      </x:c>
      <x:c r="E982" s="3" t="str">
        <x:v>日本</x:v>
      </x:c>
      <x:c r="F982" s="3" t="str">
        <x:v>Yaris Ativ</x:v>
      </x:c>
      <x:c r="G982" s="3" t="str">
        <x:v>ICE</x:v>
      </x:c>
      <x:c r="H982" s="3" t="str">
        <x:v>Sedan</x:v>
      </x:c>
      <x:c r="I982" s="3" t="str"/>
      <x:c r="J982" s="3" t="n">
        <x:v>2022</x:v>
      </x:c>
      <x:c r="K982" s="3" t="str">
        <x:v>1.2 SPORT</x:v>
      </x:c>
      <x:c r="L982" s="3" t="str">
        <x:v>SPORT</x:v>
      </x:c>
      <x:c r="M982" s="22"/>
      <x:c r="N982" s="22"/>
      <x:c r="O982" s="22"/>
      <x:c r="P982" s="3" t="str">
        <x:v>未掲載</x:v>
      </x:c>
      <x:c r="Q982" s="3" t="str">
        <x:v>未取得</x:v>
      </x:c>
      <x:c r="R982" s="3" t="str">
        <x:v>Unknown</x:v>
      </x:c>
      <x:c r="S982" s="3" t="str">
        <x:v>不明</x:v>
      </x:c>
      <x:c r="T982" s="3" t="str">
        <x:v>17-22</x:v>
      </x:c>
      <x:c r="U982" s="28" t="n">
        <x:v>369000</x:v>
      </x:c>
      <x:c r="V982" s="28" t="n">
        <x:v>599000</x:v>
      </x:c>
      <x:c r="W982" s="3" t="str">
        <x:v>事故・水没・SOH・保証残は未確認</x:v>
      </x:c>
      <x:c r="X982" s="3" t="str">
        <x:v>掲載中・在庫未確認</x:v>
      </x:c>
      <x:c r="Y982" s="3" t="str"/>
      <x:c r="Z982" s="27" t="str">
        <x:v>https://www.taladrod.com/w40/icar/cardet.aspx?cid=2886856</x:v>
      </x:c>
      <x:c r="AA982" s="3" t="str">
        <x:v>Taladrod個別広告ID／Carsome在庫ID</x:v>
      </x:c>
      <x:c r="AB982" s="3" t="str">
        <x:v>車台番号未取得／サイト間重複は未判定</x:v>
      </x:c>
      <x:c r="AC982" s="3" t="str">
        <x:v>税込区分未確認（一覧表示額）</x:v>
      </x:c>
      <x:c r="AD982" s="3" t="str"/>
      <x:c r="AE982" s="29" t="str">
        <x:f>""</x:f>
      </x:c>
      <x:c r="AF982" s="30" t="str">
        <x:f>IF(ISNUMBER(AE982),U982/AE982,"")</x:f>
      </x:c>
      <x:c r="AG982" s="29" t="str">
        <x:f>""</x:f>
      </x:c>
      <x:c r="AH982" s="30" t="str">
        <x:f>IF(ISNUMBER(AG982),U982/AG982,"")</x:f>
      </x:c>
      <x:c r="AI982" s="3" t="str">
        <x:v>同年式・グレードの検証済み当時価格なし／登録年混在</x:v>
      </x:c>
      <x:c r="AJ982" s="3" t="str">
        <x:v>一覧価格/年式のみ</x:v>
      </x:c>
      <x:c r="AK982" s="3" t="str">
        <x:v>一覧の表示価格。年式は掲載年式。</x:v>
      </x:c>
      <x:c r="AL982" s="31" t="n">
        <x:f>IF(AND(J982&lt;='分析方法'!$B$7,OR(ISBLANK(O982),O982&gt;='分析方法'!$B$8),X982&lt;&gt;"売却済み表示"),1,0)</x:f>
        <x:v>1</x:v>
      </x:c>
      <x:c r="AM982" s="32" t="n">
        <x:f>IF(AL982=1,U982,"")</x:f>
        <x:v>369000</x:v>
      </x:c>
      <x:c r="AN982" s="33" t="str">
        <x:f>IF(AL982=1,AF982,"")</x:f>
      </x:c>
      <x:c r="AO982" s="31" t="n">
        <x:f>'分析方法'!$B$6-J982</x:f>
        <x:v>4</x:v>
      </x:c>
      <x:c r="AP982" s="3"/>
    </x:row>
    <x:row r="983" ht="22" customHeight="1">
      <x:c r="A983" s="3" t="str">
        <x:v>T2904447</x:v>
      </x:c>
      <x:c r="B983" s="7" t="d">
        <x:v>2026-10-08T00:00:00.000Z</x:v>
      </x:c>
      <x:c r="C983" s="3" t="str">
        <x:v>Taladrod</x:v>
      </x:c>
      <x:c r="D983" s="3" t="str">
        <x:v>Toyota</x:v>
      </x:c>
      <x:c r="E983" s="3" t="str">
        <x:v>日本</x:v>
      </x:c>
      <x:c r="F983" s="3" t="str">
        <x:v>Yaris Ativ</x:v>
      </x:c>
      <x:c r="G983" s="3" t="str">
        <x:v>ICE</x:v>
      </x:c>
      <x:c r="H983" s="3" t="str">
        <x:v>Sedan</x:v>
      </x:c>
      <x:c r="I983" s="3" t="str"/>
      <x:c r="J983" s="3" t="n">
        <x:v>2022</x:v>
      </x:c>
      <x:c r="K983" s="3" t="str">
        <x:v>1.2 SPORT</x:v>
      </x:c>
      <x:c r="L983" s="3" t="str">
        <x:v>SPORT</x:v>
      </x:c>
      <x:c r="M983" s="22"/>
      <x:c r="N983" s="22"/>
      <x:c r="O983" s="22"/>
      <x:c r="P983" s="3" t="str">
        <x:v>未掲載</x:v>
      </x:c>
      <x:c r="Q983" s="3" t="str">
        <x:v>未取得</x:v>
      </x:c>
      <x:c r="R983" s="3" t="str">
        <x:v>Unknown</x:v>
      </x:c>
      <x:c r="S983" s="3" t="str">
        <x:v>不明</x:v>
      </x:c>
      <x:c r="T983" s="3" t="str">
        <x:v>17-22</x:v>
      </x:c>
      <x:c r="U983" s="28" t="n">
        <x:v>349000</x:v>
      </x:c>
      <x:c r="V983" s="28" t="n">
        <x:v>599000</x:v>
      </x:c>
      <x:c r="W983" s="3" t="str">
        <x:v>事故・水没・SOH・保証残は未確認</x:v>
      </x:c>
      <x:c r="X983" s="3" t="str">
        <x:v>掲載中・在庫未確認</x:v>
      </x:c>
      <x:c r="Y983" s="3" t="str"/>
      <x:c r="Z983" s="27" t="str">
        <x:v>https://www.taladrod.com/w40/icar/cardet.aspx?cid=2904447</x:v>
      </x:c>
      <x:c r="AA983" s="3" t="str">
        <x:v>Taladrod個別広告ID／Carsome在庫ID</x:v>
      </x:c>
      <x:c r="AB983" s="3" t="str">
        <x:v>車台番号未取得／サイト間重複は未判定</x:v>
      </x:c>
      <x:c r="AC983" s="3" t="str">
        <x:v>税込区分未確認（一覧表示額）</x:v>
      </x:c>
      <x:c r="AD983" s="3" t="str"/>
      <x:c r="AE983" s="29" t="str">
        <x:f>""</x:f>
      </x:c>
      <x:c r="AF983" s="30" t="str">
        <x:f>IF(ISNUMBER(AE983),U983/AE983,"")</x:f>
      </x:c>
      <x:c r="AG983" s="29" t="str">
        <x:f>""</x:f>
      </x:c>
      <x:c r="AH983" s="30" t="str">
        <x:f>IF(ISNUMBER(AG983),U983/AG983,"")</x:f>
      </x:c>
      <x:c r="AI983" s="3" t="str">
        <x:v>同年式・グレードの検証済み当時価格なし／登録年混在</x:v>
      </x:c>
      <x:c r="AJ983" s="3" t="str">
        <x:v>一覧価格/年式のみ</x:v>
      </x:c>
      <x:c r="AK983" s="3" t="str">
        <x:v>一覧の表示価格。年式は掲載年式。</x:v>
      </x:c>
      <x:c r="AL983" s="31" t="n">
        <x:f>IF(AND(J983&lt;='分析方法'!$B$7,OR(ISBLANK(O983),O983&gt;='分析方法'!$B$8),X983&lt;&gt;"売却済み表示"),1,0)</x:f>
        <x:v>1</x:v>
      </x:c>
      <x:c r="AM983" s="32" t="n">
        <x:f>IF(AL983=1,U983,"")</x:f>
        <x:v>349000</x:v>
      </x:c>
      <x:c r="AN983" s="33" t="str">
        <x:f>IF(AL983=1,AF983,"")</x:f>
      </x:c>
      <x:c r="AO983" s="31" t="n">
        <x:f>'分析方法'!$B$6-J983</x:f>
        <x:v>4</x:v>
      </x:c>
      <x:c r="AP983" s="3"/>
    </x:row>
    <x:row r="984" ht="22" customHeight="1">
      <x:c r="A984" s="3" t="str">
        <x:v>T2907337</x:v>
      </x:c>
      <x:c r="B984" s="7" t="d">
        <x:v>2026-10-08T00:00:00.000Z</x:v>
      </x:c>
      <x:c r="C984" s="3" t="str">
        <x:v>Taladrod</x:v>
      </x:c>
      <x:c r="D984" s="3" t="str">
        <x:v>Toyota</x:v>
      </x:c>
      <x:c r="E984" s="3" t="str">
        <x:v>日本</x:v>
      </x:c>
      <x:c r="F984" s="3" t="str">
        <x:v>Yaris Ativ</x:v>
      </x:c>
      <x:c r="G984" s="3" t="str">
        <x:v>ICE</x:v>
      </x:c>
      <x:c r="H984" s="3" t="str">
        <x:v>Sedan</x:v>
      </x:c>
      <x:c r="I984" s="3" t="str"/>
      <x:c r="J984" s="3" t="n">
        <x:v>2022</x:v>
      </x:c>
      <x:c r="K984" s="3" t="str">
        <x:v>1.2 SPORT</x:v>
      </x:c>
      <x:c r="L984" s="3" t="str">
        <x:v>SPORT</x:v>
      </x:c>
      <x:c r="M984" s="22"/>
      <x:c r="N984" s="22"/>
      <x:c r="O984" s="22"/>
      <x:c r="P984" s="3" t="str">
        <x:v>未掲載</x:v>
      </x:c>
      <x:c r="Q984" s="3" t="str">
        <x:v>未取得</x:v>
      </x:c>
      <x:c r="R984" s="3" t="str">
        <x:v>Unknown</x:v>
      </x:c>
      <x:c r="S984" s="3" t="str">
        <x:v>不明</x:v>
      </x:c>
      <x:c r="T984" s="3" t="str">
        <x:v>17-22</x:v>
      </x:c>
      <x:c r="U984" s="28" t="n">
        <x:v>329000</x:v>
      </x:c>
      <x:c r="V984" s="28" t="n">
        <x:v>599000</x:v>
      </x:c>
      <x:c r="W984" s="3" t="str">
        <x:v>事故・水没・SOH・保証残は未確認</x:v>
      </x:c>
      <x:c r="X984" s="3" t="str">
        <x:v>掲載中・在庫未確認</x:v>
      </x:c>
      <x:c r="Y984" s="3" t="str"/>
      <x:c r="Z984" s="27" t="str">
        <x:v>https://www.taladrod.com/w40/icar/cardet.aspx?cid=2907337</x:v>
      </x:c>
      <x:c r="AA984" s="3" t="str">
        <x:v>Taladrod個別広告ID／Carsome在庫ID</x:v>
      </x:c>
      <x:c r="AB984" s="3" t="str">
        <x:v>車台番号未取得／サイト間重複は未判定</x:v>
      </x:c>
      <x:c r="AC984" s="3" t="str">
        <x:v>税込区分未確認（一覧表示額）</x:v>
      </x:c>
      <x:c r="AD984" s="3" t="str"/>
      <x:c r="AE984" s="29" t="str">
        <x:f>""</x:f>
      </x:c>
      <x:c r="AF984" s="30" t="str">
        <x:f>IF(ISNUMBER(AE984),U984/AE984,"")</x:f>
      </x:c>
      <x:c r="AG984" s="29" t="str">
        <x:f>""</x:f>
      </x:c>
      <x:c r="AH984" s="30" t="str">
        <x:f>IF(ISNUMBER(AG984),U984/AG984,"")</x:f>
      </x:c>
      <x:c r="AI984" s="3" t="str">
        <x:v>同年式・グレードの検証済み当時価格なし／登録年混在</x:v>
      </x:c>
      <x:c r="AJ984" s="3" t="str">
        <x:v>一覧価格/年式のみ</x:v>
      </x:c>
      <x:c r="AK984" s="3" t="str">
        <x:v>一覧の表示価格。年式は掲載年式。</x:v>
      </x:c>
      <x:c r="AL984" s="31" t="n">
        <x:f>IF(AND(J984&lt;='分析方法'!$B$7,OR(ISBLANK(O984),O984&gt;='分析方法'!$B$8),X984&lt;&gt;"売却済み表示"),1,0)</x:f>
        <x:v>1</x:v>
      </x:c>
      <x:c r="AM984" s="32" t="n">
        <x:f>IF(AL984=1,U984,"")</x:f>
        <x:v>329000</x:v>
      </x:c>
      <x:c r="AN984" s="33" t="str">
        <x:f>IF(AL984=1,AF984,"")</x:f>
      </x:c>
      <x:c r="AO984" s="31" t="n">
        <x:f>'分析方法'!$B$6-J984</x:f>
        <x:v>4</x:v>
      </x:c>
      <x:c r="AP984" s="3"/>
    </x:row>
    <x:row r="985" ht="22" customHeight="1">
      <x:c r="A985" s="3" t="str">
        <x:v>T2921875</x:v>
      </x:c>
      <x:c r="B985" s="7" t="d">
        <x:v>2026-10-08T00:00:00.000Z</x:v>
      </x:c>
      <x:c r="C985" s="3" t="str">
        <x:v>Taladrod</x:v>
      </x:c>
      <x:c r="D985" s="3" t="str">
        <x:v>Toyota</x:v>
      </x:c>
      <x:c r="E985" s="3" t="str">
        <x:v>日本</x:v>
      </x:c>
      <x:c r="F985" s="3" t="str">
        <x:v>Yaris Ativ</x:v>
      </x:c>
      <x:c r="G985" s="3" t="str">
        <x:v>ICE</x:v>
      </x:c>
      <x:c r="H985" s="3" t="str">
        <x:v>Sedan</x:v>
      </x:c>
      <x:c r="I985" s="3" t="str"/>
      <x:c r="J985" s="3" t="n">
        <x:v>2022</x:v>
      </x:c>
      <x:c r="K985" s="3" t="str">
        <x:v>1.2 SPORT</x:v>
      </x:c>
      <x:c r="L985" s="3" t="str">
        <x:v>SPORT</x:v>
      </x:c>
      <x:c r="M985" s="22"/>
      <x:c r="N985" s="22"/>
      <x:c r="O985" s="22"/>
      <x:c r="P985" s="3" t="str">
        <x:v>未掲載</x:v>
      </x:c>
      <x:c r="Q985" s="3" t="str">
        <x:v>未取得</x:v>
      </x:c>
      <x:c r="R985" s="3" t="str">
        <x:v>Unknown</x:v>
      </x:c>
      <x:c r="S985" s="3" t="str">
        <x:v>不明</x:v>
      </x:c>
      <x:c r="T985" s="3" t="str">
        <x:v>17-22</x:v>
      </x:c>
      <x:c r="U985" s="28" t="n">
        <x:v>379000</x:v>
      </x:c>
      <x:c r="V985" s="28" t="n">
        <x:v>599000</x:v>
      </x:c>
      <x:c r="W985" s="3" t="str">
        <x:v>事故・水没・SOH・保証残は未確認</x:v>
      </x:c>
      <x:c r="X985" s="3" t="str">
        <x:v>掲載中・在庫未確認</x:v>
      </x:c>
      <x:c r="Y985" s="3" t="str"/>
      <x:c r="Z985" s="27" t="str">
        <x:v>https://www.taladrod.com/w40/icar/cardet.aspx?cid=2921875</x:v>
      </x:c>
      <x:c r="AA985" s="3" t="str">
        <x:v>Taladrod個別広告ID／Carsome在庫ID</x:v>
      </x:c>
      <x:c r="AB985" s="3" t="str">
        <x:v>車台番号未取得／サイト間重複は未判定</x:v>
      </x:c>
      <x:c r="AC985" s="3" t="str">
        <x:v>税込区分未確認（一覧表示額）</x:v>
      </x:c>
      <x:c r="AD985" s="3" t="str"/>
      <x:c r="AE985" s="29" t="str">
        <x:f>""</x:f>
      </x:c>
      <x:c r="AF985" s="30" t="str">
        <x:f>IF(ISNUMBER(AE985),U985/AE985,"")</x:f>
      </x:c>
      <x:c r="AG985" s="29" t="str">
        <x:f>""</x:f>
      </x:c>
      <x:c r="AH985" s="30" t="str">
        <x:f>IF(ISNUMBER(AG985),U985/AG985,"")</x:f>
      </x:c>
      <x:c r="AI985" s="3" t="str">
        <x:v>同年式・グレードの検証済み当時価格なし／登録年混在</x:v>
      </x:c>
      <x:c r="AJ985" s="3" t="str">
        <x:v>一覧価格/年式のみ</x:v>
      </x:c>
      <x:c r="AK985" s="3" t="str">
        <x:v>一覧の表示価格。年式は掲載年式。</x:v>
      </x:c>
      <x:c r="AL985" s="31" t="n">
        <x:f>IF(AND(J985&lt;='分析方法'!$B$7,OR(ISBLANK(O985),O985&gt;='分析方法'!$B$8),X985&lt;&gt;"売却済み表示"),1,0)</x:f>
        <x:v>1</x:v>
      </x:c>
      <x:c r="AM985" s="32" t="n">
        <x:f>IF(AL985=1,U985,"")</x:f>
        <x:v>379000</x:v>
      </x:c>
      <x:c r="AN985" s="33" t="str">
        <x:f>IF(AL985=1,AF985,"")</x:f>
      </x:c>
      <x:c r="AO985" s="31" t="n">
        <x:f>'分析方法'!$B$6-J985</x:f>
        <x:v>4</x:v>
      </x:c>
      <x:c r="AP985" s="3"/>
    </x:row>
    <x:row r="986" ht="22" customHeight="1">
      <x:c r="A986" s="3" t="str">
        <x:v>T2925872</x:v>
      </x:c>
      <x:c r="B986" s="7" t="d">
        <x:v>2026-10-08T00:00:00.000Z</x:v>
      </x:c>
      <x:c r="C986" s="3" t="str">
        <x:v>Taladrod</x:v>
      </x:c>
      <x:c r="D986" s="3" t="str">
        <x:v>Toyota</x:v>
      </x:c>
      <x:c r="E986" s="3" t="str">
        <x:v>日本</x:v>
      </x:c>
      <x:c r="F986" s="3" t="str">
        <x:v>Yaris Ativ</x:v>
      </x:c>
      <x:c r="G986" s="3" t="str">
        <x:v>ICE</x:v>
      </x:c>
      <x:c r="H986" s="3" t="str">
        <x:v>Sedan</x:v>
      </x:c>
      <x:c r="I986" s="3" t="str"/>
      <x:c r="J986" s="3" t="n">
        <x:v>2022</x:v>
      </x:c>
      <x:c r="K986" s="3" t="str">
        <x:v>1.2 SPORT</x:v>
      </x:c>
      <x:c r="L986" s="3" t="str">
        <x:v>SPORT</x:v>
      </x:c>
      <x:c r="M986" s="22"/>
      <x:c r="N986" s="22"/>
      <x:c r="O986" s="22"/>
      <x:c r="P986" s="3" t="str">
        <x:v>未掲載</x:v>
      </x:c>
      <x:c r="Q986" s="3" t="str">
        <x:v>未取得</x:v>
      </x:c>
      <x:c r="R986" s="3" t="str">
        <x:v>Unknown</x:v>
      </x:c>
      <x:c r="S986" s="3" t="str">
        <x:v>不明</x:v>
      </x:c>
      <x:c r="T986" s="3" t="str">
        <x:v>17-22</x:v>
      </x:c>
      <x:c r="U986" s="28" t="n">
        <x:v>349000</x:v>
      </x:c>
      <x:c r="V986" s="28" t="n">
        <x:v>599000</x:v>
      </x:c>
      <x:c r="W986" s="3" t="str">
        <x:v>事故・水没・SOH・保証残は未確認</x:v>
      </x:c>
      <x:c r="X986" s="3" t="str">
        <x:v>掲載中・在庫未確認</x:v>
      </x:c>
      <x:c r="Y986" s="3" t="str"/>
      <x:c r="Z986" s="27" t="str">
        <x:v>https://www.taladrod.com/w40/icar/cardet.aspx?cid=2925872</x:v>
      </x:c>
      <x:c r="AA986" s="3" t="str">
        <x:v>Taladrod個別広告ID／Carsome在庫ID</x:v>
      </x:c>
      <x:c r="AB986" s="3" t="str">
        <x:v>車台番号未取得／サイト間重複は未判定</x:v>
      </x:c>
      <x:c r="AC986" s="3" t="str">
        <x:v>税込区分未確認（一覧表示額）</x:v>
      </x:c>
      <x:c r="AD986" s="3" t="str"/>
      <x:c r="AE986" s="29" t="str">
        <x:f>""</x:f>
      </x:c>
      <x:c r="AF986" s="30" t="str">
        <x:f>IF(ISNUMBER(AE986),U986/AE986,"")</x:f>
      </x:c>
      <x:c r="AG986" s="29" t="str">
        <x:f>""</x:f>
      </x:c>
      <x:c r="AH986" s="30" t="str">
        <x:f>IF(ISNUMBER(AG986),U986/AG986,"")</x:f>
      </x:c>
      <x:c r="AI986" s="3" t="str">
        <x:v>同年式・グレードの検証済み当時価格なし／登録年混在</x:v>
      </x:c>
      <x:c r="AJ986" s="3" t="str">
        <x:v>一覧価格/年式のみ</x:v>
      </x:c>
      <x:c r="AK986" s="3" t="str">
        <x:v>一覧の表示価格。年式は掲載年式。</x:v>
      </x:c>
      <x:c r="AL986" s="31" t="n">
        <x:f>IF(AND(J986&lt;='分析方法'!$B$7,OR(ISBLANK(O986),O986&gt;='分析方法'!$B$8),X986&lt;&gt;"売却済み表示"),1,0)</x:f>
        <x:v>1</x:v>
      </x:c>
      <x:c r="AM986" s="32" t="n">
        <x:f>IF(AL986=1,U986,"")</x:f>
        <x:v>349000</x:v>
      </x:c>
      <x:c r="AN986" s="33" t="str">
        <x:f>IF(AL986=1,AF986,"")</x:f>
      </x:c>
      <x:c r="AO986" s="31" t="n">
        <x:f>'分析方法'!$B$6-J986</x:f>
        <x:v>4</x:v>
      </x:c>
      <x:c r="AP986" s="3"/>
    </x:row>
    <x:row r="987" ht="22" customHeight="1">
      <x:c r="A987" s="3" t="str">
        <x:v>T2926212</x:v>
      </x:c>
      <x:c r="B987" s="7" t="d">
        <x:v>2026-10-08T00:00:00.000Z</x:v>
      </x:c>
      <x:c r="C987" s="3" t="str">
        <x:v>Taladrod</x:v>
      </x:c>
      <x:c r="D987" s="3" t="str">
        <x:v>Toyota</x:v>
      </x:c>
      <x:c r="E987" s="3" t="str">
        <x:v>日本</x:v>
      </x:c>
      <x:c r="F987" s="3" t="str">
        <x:v>Yaris Ativ</x:v>
      </x:c>
      <x:c r="G987" s="3" t="str">
        <x:v>ICE</x:v>
      </x:c>
      <x:c r="H987" s="3" t="str">
        <x:v>Sedan</x:v>
      </x:c>
      <x:c r="I987" s="3" t="str"/>
      <x:c r="J987" s="3" t="n">
        <x:v>2022</x:v>
      </x:c>
      <x:c r="K987" s="3" t="str">
        <x:v>1.2 SPORT</x:v>
      </x:c>
      <x:c r="L987" s="3" t="str">
        <x:v>SPORT</x:v>
      </x:c>
      <x:c r="M987" s="22"/>
      <x:c r="N987" s="22"/>
      <x:c r="O987" s="22"/>
      <x:c r="P987" s="3" t="str">
        <x:v>未掲載</x:v>
      </x:c>
      <x:c r="Q987" s="3" t="str">
        <x:v>未取得</x:v>
      </x:c>
      <x:c r="R987" s="3" t="str">
        <x:v>Unknown</x:v>
      </x:c>
      <x:c r="S987" s="3" t="str">
        <x:v>不明</x:v>
      </x:c>
      <x:c r="T987" s="3" t="str">
        <x:v>17-22</x:v>
      </x:c>
      <x:c r="U987" s="28" t="n">
        <x:v>360000</x:v>
      </x:c>
      <x:c r="V987" s="28" t="n">
        <x:v>599000</x:v>
      </x:c>
      <x:c r="W987" s="3" t="str">
        <x:v>事故・水没・SOH・保証残は未確認</x:v>
      </x:c>
      <x:c r="X987" s="3" t="str">
        <x:v>掲載中・在庫未確認</x:v>
      </x:c>
      <x:c r="Y987" s="3" t="str"/>
      <x:c r="Z987" s="27" t="str">
        <x:v>https://www.taladrod.com/w40/icar/cardet.aspx?cid=2926212</x:v>
      </x:c>
      <x:c r="AA987" s="3" t="str">
        <x:v>Taladrod個別広告ID／Carsome在庫ID</x:v>
      </x:c>
      <x:c r="AB987" s="3" t="str">
        <x:v>車台番号未取得／サイト間重複は未判定</x:v>
      </x:c>
      <x:c r="AC987" s="3" t="str">
        <x:v>税込区分未確認（一覧表示額）</x:v>
      </x:c>
      <x:c r="AD987" s="3" t="str"/>
      <x:c r="AE987" s="29" t="str">
        <x:f>""</x:f>
      </x:c>
      <x:c r="AF987" s="30" t="str">
        <x:f>IF(ISNUMBER(AE987),U987/AE987,"")</x:f>
      </x:c>
      <x:c r="AG987" s="29" t="str">
        <x:f>""</x:f>
      </x:c>
      <x:c r="AH987" s="30" t="str">
        <x:f>IF(ISNUMBER(AG987),U987/AG987,"")</x:f>
      </x:c>
      <x:c r="AI987" s="3" t="str">
        <x:v>同年式・グレードの検証済み当時価格なし／登録年混在</x:v>
      </x:c>
      <x:c r="AJ987" s="3" t="str">
        <x:v>一覧価格/年式のみ</x:v>
      </x:c>
      <x:c r="AK987" s="3" t="str">
        <x:v>一覧の表示価格。年式は掲載年式。</x:v>
      </x:c>
      <x:c r="AL987" s="31" t="n">
        <x:f>IF(AND(J987&lt;='分析方法'!$B$7,OR(ISBLANK(O987),O987&gt;='分析方法'!$B$8),X987&lt;&gt;"売却済み表示"),1,0)</x:f>
        <x:v>1</x:v>
      </x:c>
      <x:c r="AM987" s="32" t="n">
        <x:f>IF(AL987=1,U987,"")</x:f>
        <x:v>360000</x:v>
      </x:c>
      <x:c r="AN987" s="33" t="str">
        <x:f>IF(AL987=1,AF987,"")</x:f>
      </x:c>
      <x:c r="AO987" s="31" t="n">
        <x:f>'分析方法'!$B$6-J987</x:f>
        <x:v>4</x:v>
      </x:c>
      <x:c r="AP987" s="3"/>
    </x:row>
    <x:row r="988" ht="22" customHeight="1">
      <x:c r="A988" s="3" t="str">
        <x:v>T2895462</x:v>
      </x:c>
      <x:c r="B988" s="7" t="d">
        <x:v>2026-10-08T00:00:00.000Z</x:v>
      </x:c>
      <x:c r="C988" s="3" t="str">
        <x:v>Taladrod</x:v>
      </x:c>
      <x:c r="D988" s="3" t="str">
        <x:v>Toyota</x:v>
      </x:c>
      <x:c r="E988" s="3" t="str">
        <x:v>日本</x:v>
      </x:c>
      <x:c r="F988" s="3" t="str">
        <x:v>Yaris Ativ</x:v>
      </x:c>
      <x:c r="G988" s="3" t="str">
        <x:v>ICE</x:v>
      </x:c>
      <x:c r="H988" s="3" t="str">
        <x:v>Sedan</x:v>
      </x:c>
      <x:c r="I988" s="3" t="str"/>
      <x:c r="J988" s="3" t="n">
        <x:v>2022</x:v>
      </x:c>
      <x:c r="K988" s="3" t="str">
        <x:v>1.2 SPORT</x:v>
      </x:c>
      <x:c r="L988" s="3" t="str">
        <x:v>SPORT</x:v>
      </x:c>
      <x:c r="M988" s="22"/>
      <x:c r="N988" s="22"/>
      <x:c r="O988" s="22"/>
      <x:c r="P988" s="3" t="str">
        <x:v>未掲載</x:v>
      </x:c>
      <x:c r="Q988" s="3" t="str">
        <x:v>未取得</x:v>
      </x:c>
      <x:c r="R988" s="3" t="str">
        <x:v>Unknown</x:v>
      </x:c>
      <x:c r="S988" s="3" t="str">
        <x:v>不明</x:v>
      </x:c>
      <x:c r="T988" s="3" t="str">
        <x:v>22-ปัจจุบัน</x:v>
      </x:c>
      <x:c r="U988" s="28" t="n">
        <x:v>374000</x:v>
      </x:c>
      <x:c r="V988" s="28" t="n">
        <x:v>539000</x:v>
      </x:c>
      <x:c r="W988" s="3" t="str">
        <x:v>事故・水没・SOH・保証残は未確認</x:v>
      </x:c>
      <x:c r="X988" s="3" t="str">
        <x:v>掲載中・在庫未確認</x:v>
      </x:c>
      <x:c r="Y988" s="3" t="str"/>
      <x:c r="Z988" s="27" t="str">
        <x:v>https://www.taladrod.com/w40/icar/cardet.aspx?cid=2895462</x:v>
      </x:c>
      <x:c r="AA988" s="3" t="str">
        <x:v>Taladrod個別広告ID／Carsome在庫ID</x:v>
      </x:c>
      <x:c r="AB988" s="3" t="str">
        <x:v>車台番号未取得／サイト間重複は未判定</x:v>
      </x:c>
      <x:c r="AC988" s="3" t="str">
        <x:v>税込区分未確認（一覧表示額）</x:v>
      </x:c>
      <x:c r="AD988" s="3" t="str"/>
      <x:c r="AE988" s="29" t="str">
        <x:f>""</x:f>
      </x:c>
      <x:c r="AF988" s="30" t="str">
        <x:f>IF(ISNUMBER(AE988),U988/AE988,"")</x:f>
      </x:c>
      <x:c r="AG988" s="29" t="str">
        <x:f>""</x:f>
      </x:c>
      <x:c r="AH988" s="30" t="str">
        <x:f>IF(ISNUMBER(AG988),U988/AG988,"")</x:f>
      </x:c>
      <x:c r="AI988" s="3" t="str">
        <x:v>同年式・グレードの検証済み当時価格なし／登録年混在</x:v>
      </x:c>
      <x:c r="AJ988" s="3" t="str">
        <x:v>一覧価格/年式のみ</x:v>
      </x:c>
      <x:c r="AK988" s="3" t="str">
        <x:v>一覧の表示価格。年式は掲載年式。</x:v>
      </x:c>
      <x:c r="AL988" s="31" t="n">
        <x:f>IF(AND(J988&lt;='分析方法'!$B$7,OR(ISBLANK(O988),O988&gt;='分析方法'!$B$8),X988&lt;&gt;"売却済み表示"),1,0)</x:f>
        <x:v>1</x:v>
      </x:c>
      <x:c r="AM988" s="32" t="n">
        <x:f>IF(AL988=1,U988,"")</x:f>
        <x:v>374000</x:v>
      </x:c>
      <x:c r="AN988" s="33" t="str">
        <x:f>IF(AL988=1,AF988,"")</x:f>
      </x:c>
      <x:c r="AO988" s="31" t="n">
        <x:f>'分析方法'!$B$6-J988</x:f>
        <x:v>4</x:v>
      </x:c>
      <x:c r="AP988" s="3"/>
    </x:row>
    <x:row r="989" ht="22" customHeight="1">
      <x:c r="A989" s="3" t="str">
        <x:v>T2902549</x:v>
      </x:c>
      <x:c r="B989" s="7" t="d">
        <x:v>2026-10-08T00:00:00.000Z</x:v>
      </x:c>
      <x:c r="C989" s="3" t="str">
        <x:v>Taladrod</x:v>
      </x:c>
      <x:c r="D989" s="3" t="str">
        <x:v>Toyota</x:v>
      </x:c>
      <x:c r="E989" s="3" t="str">
        <x:v>日本</x:v>
      </x:c>
      <x:c r="F989" s="3" t="str">
        <x:v>Yaris Ativ</x:v>
      </x:c>
      <x:c r="G989" s="3" t="str">
        <x:v>ICE</x:v>
      </x:c>
      <x:c r="H989" s="3" t="str">
        <x:v>Sedan</x:v>
      </x:c>
      <x:c r="I989" s="3" t="str"/>
      <x:c r="J989" s="3" t="n">
        <x:v>2022</x:v>
      </x:c>
      <x:c r="K989" s="3" t="str">
        <x:v>1.2 SPORT</x:v>
      </x:c>
      <x:c r="L989" s="3" t="str">
        <x:v>SPORT</x:v>
      </x:c>
      <x:c r="M989" s="22"/>
      <x:c r="N989" s="22"/>
      <x:c r="O989" s="22"/>
      <x:c r="P989" s="3" t="str">
        <x:v>未掲載</x:v>
      </x:c>
      <x:c r="Q989" s="3" t="str">
        <x:v>未取得</x:v>
      </x:c>
      <x:c r="R989" s="3" t="str">
        <x:v>Unknown</x:v>
      </x:c>
      <x:c r="S989" s="3" t="str">
        <x:v>不明</x:v>
      </x:c>
      <x:c r="T989" s="3" t="str">
        <x:v>22-ปัจจุบัน</x:v>
      </x:c>
      <x:c r="U989" s="28" t="n">
        <x:v>419000</x:v>
      </x:c>
      <x:c r="V989" s="28" t="n">
        <x:v>539000</x:v>
      </x:c>
      <x:c r="W989" s="3" t="str">
        <x:v>事故・水没・SOH・保証残は未確認</x:v>
      </x:c>
      <x:c r="X989" s="3" t="str">
        <x:v>掲載中・在庫未確認</x:v>
      </x:c>
      <x:c r="Y989" s="3" t="str"/>
      <x:c r="Z989" s="27" t="str">
        <x:v>https://www.taladrod.com/w40/icar/cardet.aspx?cid=2902549</x:v>
      </x:c>
      <x:c r="AA989" s="3" t="str">
        <x:v>Taladrod個別広告ID／Carsome在庫ID</x:v>
      </x:c>
      <x:c r="AB989" s="3" t="str">
        <x:v>車台番号未取得／サイト間重複は未判定</x:v>
      </x:c>
      <x:c r="AC989" s="3" t="str">
        <x:v>税込区分未確認（一覧表示額）</x:v>
      </x:c>
      <x:c r="AD989" s="3" t="str"/>
      <x:c r="AE989" s="29" t="str">
        <x:f>""</x:f>
      </x:c>
      <x:c r="AF989" s="30" t="str">
        <x:f>IF(ISNUMBER(AE989),U989/AE989,"")</x:f>
      </x:c>
      <x:c r="AG989" s="29" t="str">
        <x:f>""</x:f>
      </x:c>
      <x:c r="AH989" s="30" t="str">
        <x:f>IF(ISNUMBER(AG989),U989/AG989,"")</x:f>
      </x:c>
      <x:c r="AI989" s="3" t="str">
        <x:v>同年式・グレードの検証済み当時価格なし／登録年混在</x:v>
      </x:c>
      <x:c r="AJ989" s="3" t="str">
        <x:v>一覧価格/年式のみ</x:v>
      </x:c>
      <x:c r="AK989" s="3" t="str">
        <x:v>一覧の表示価格。年式は掲載年式。</x:v>
      </x:c>
      <x:c r="AL989" s="31" t="n">
        <x:f>IF(AND(J989&lt;='分析方法'!$B$7,OR(ISBLANK(O989),O989&gt;='分析方法'!$B$8),X989&lt;&gt;"売却済み表示"),1,0)</x:f>
        <x:v>1</x:v>
      </x:c>
      <x:c r="AM989" s="32" t="n">
        <x:f>IF(AL989=1,U989,"")</x:f>
        <x:v>419000</x:v>
      </x:c>
      <x:c r="AN989" s="33" t="str">
        <x:f>IF(AL989=1,AF989,"")</x:f>
      </x:c>
      <x:c r="AO989" s="31" t="n">
        <x:f>'分析方法'!$B$6-J989</x:f>
        <x:v>4</x:v>
      </x:c>
      <x:c r="AP989" s="3"/>
    </x:row>
    <x:row r="990" ht="22" customHeight="1">
      <x:c r="A990" s="3" t="str">
        <x:v>T2909724</x:v>
      </x:c>
      <x:c r="B990" s="7" t="d">
        <x:v>2026-10-08T00:00:00.000Z</x:v>
      </x:c>
      <x:c r="C990" s="3" t="str">
        <x:v>Taladrod</x:v>
      </x:c>
      <x:c r="D990" s="3" t="str">
        <x:v>Toyota</x:v>
      </x:c>
      <x:c r="E990" s="3" t="str">
        <x:v>日本</x:v>
      </x:c>
      <x:c r="F990" s="3" t="str">
        <x:v>Yaris Ativ</x:v>
      </x:c>
      <x:c r="G990" s="3" t="str">
        <x:v>ICE</x:v>
      </x:c>
      <x:c r="H990" s="3" t="str">
        <x:v>Sedan</x:v>
      </x:c>
      <x:c r="I990" s="3" t="str"/>
      <x:c r="J990" s="3" t="n">
        <x:v>2022</x:v>
      </x:c>
      <x:c r="K990" s="3" t="str">
        <x:v>1.2 SPORT</x:v>
      </x:c>
      <x:c r="L990" s="3" t="str">
        <x:v>SPORT</x:v>
      </x:c>
      <x:c r="M990" s="22"/>
      <x:c r="N990" s="22"/>
      <x:c r="O990" s="22"/>
      <x:c r="P990" s="3" t="str">
        <x:v>未掲載</x:v>
      </x:c>
      <x:c r="Q990" s="3" t="str">
        <x:v>未取得</x:v>
      </x:c>
      <x:c r="R990" s="3" t="str">
        <x:v>Unknown</x:v>
      </x:c>
      <x:c r="S990" s="3" t="str">
        <x:v>不明</x:v>
      </x:c>
      <x:c r="T990" s="3" t="str">
        <x:v>22-ปัจจุบัน</x:v>
      </x:c>
      <x:c r="U990" s="28" t="n">
        <x:v>485000</x:v>
      </x:c>
      <x:c r="V990" s="28" t="n">
        <x:v>539000</x:v>
      </x:c>
      <x:c r="W990" s="3" t="str">
        <x:v>事故・水没・SOH・保証残は未確認</x:v>
      </x:c>
      <x:c r="X990" s="3" t="str">
        <x:v>掲載中・在庫未確認</x:v>
      </x:c>
      <x:c r="Y990" s="3" t="str"/>
      <x:c r="Z990" s="27" t="str">
        <x:v>https://www.taladrod.com/w40/icar/cardet.aspx?cid=2909724</x:v>
      </x:c>
      <x:c r="AA990" s="3" t="str">
        <x:v>Taladrod個別広告ID／Carsome在庫ID</x:v>
      </x:c>
      <x:c r="AB990" s="3" t="str">
        <x:v>車台番号未取得／サイト間重複は未判定</x:v>
      </x:c>
      <x:c r="AC990" s="3" t="str">
        <x:v>税込区分未確認（一覧表示額）</x:v>
      </x:c>
      <x:c r="AD990" s="3" t="str"/>
      <x:c r="AE990" s="29" t="str">
        <x:f>""</x:f>
      </x:c>
      <x:c r="AF990" s="30" t="str">
        <x:f>IF(ISNUMBER(AE990),U990/AE990,"")</x:f>
      </x:c>
      <x:c r="AG990" s="29" t="str">
        <x:f>""</x:f>
      </x:c>
      <x:c r="AH990" s="30" t="str">
        <x:f>IF(ISNUMBER(AG990),U990/AG990,"")</x:f>
      </x:c>
      <x:c r="AI990" s="3" t="str">
        <x:v>同年式・グレードの検証済み当時価格なし／登録年混在</x:v>
      </x:c>
      <x:c r="AJ990" s="3" t="str">
        <x:v>一覧価格/年式のみ</x:v>
      </x:c>
      <x:c r="AK990" s="3" t="str">
        <x:v>一覧の表示価格。年式は掲載年式。</x:v>
      </x:c>
      <x:c r="AL990" s="31" t="n">
        <x:f>IF(AND(J990&lt;='分析方法'!$B$7,OR(ISBLANK(O990),O990&gt;='分析方法'!$B$8),X990&lt;&gt;"売却済み表示"),1,0)</x:f>
        <x:v>1</x:v>
      </x:c>
      <x:c r="AM990" s="32" t="n">
        <x:f>IF(AL990=1,U990,"")</x:f>
        <x:v>485000</x:v>
      </x:c>
      <x:c r="AN990" s="33" t="str">
        <x:f>IF(AL990=1,AF990,"")</x:f>
      </x:c>
      <x:c r="AO990" s="31" t="n">
        <x:f>'分析方法'!$B$6-J990</x:f>
        <x:v>4</x:v>
      </x:c>
      <x:c r="AP990" s="3"/>
    </x:row>
    <x:row r="991" ht="22" customHeight="1">
      <x:c r="A991" s="3" t="str">
        <x:v>T2918921</x:v>
      </x:c>
      <x:c r="B991" s="7" t="d">
        <x:v>2026-10-08T00:00:00.000Z</x:v>
      </x:c>
      <x:c r="C991" s="3" t="str">
        <x:v>Taladrod</x:v>
      </x:c>
      <x:c r="D991" s="3" t="str">
        <x:v>Toyota</x:v>
      </x:c>
      <x:c r="E991" s="3" t="str">
        <x:v>日本</x:v>
      </x:c>
      <x:c r="F991" s="3" t="str">
        <x:v>Yaris Ativ</x:v>
      </x:c>
      <x:c r="G991" s="3" t="str">
        <x:v>ICE</x:v>
      </x:c>
      <x:c r="H991" s="3" t="str">
        <x:v>Sedan</x:v>
      </x:c>
      <x:c r="I991" s="3" t="str"/>
      <x:c r="J991" s="3" t="n">
        <x:v>2022</x:v>
      </x:c>
      <x:c r="K991" s="3" t="str">
        <x:v>1.2 SPORT</x:v>
      </x:c>
      <x:c r="L991" s="3" t="str">
        <x:v>SPORT</x:v>
      </x:c>
      <x:c r="M991" s="22"/>
      <x:c r="N991" s="22"/>
      <x:c r="O991" s="22"/>
      <x:c r="P991" s="3" t="str">
        <x:v>未掲載</x:v>
      </x:c>
      <x:c r="Q991" s="3" t="str">
        <x:v>未取得</x:v>
      </x:c>
      <x:c r="R991" s="3" t="str">
        <x:v>Unknown</x:v>
      </x:c>
      <x:c r="S991" s="3" t="str">
        <x:v>不明</x:v>
      </x:c>
      <x:c r="T991" s="3" t="str">
        <x:v>22-ปัจจุบัน</x:v>
      </x:c>
      <x:c r="U991" s="28" t="n">
        <x:v>374000</x:v>
      </x:c>
      <x:c r="V991" s="28" t="n">
        <x:v>539000</x:v>
      </x:c>
      <x:c r="W991" s="3" t="str">
        <x:v>事故・水没・SOH・保証残は未確認</x:v>
      </x:c>
      <x:c r="X991" s="3" t="str">
        <x:v>掲載中・在庫未確認</x:v>
      </x:c>
      <x:c r="Y991" s="3" t="str"/>
      <x:c r="Z991" s="27" t="str">
        <x:v>https://www.taladrod.com/w40/icar/cardet.aspx?cid=2918921</x:v>
      </x:c>
      <x:c r="AA991" s="3" t="str">
        <x:v>Taladrod個別広告ID／Carsome在庫ID</x:v>
      </x:c>
      <x:c r="AB991" s="3" t="str">
        <x:v>車台番号未取得／サイト間重複は未判定</x:v>
      </x:c>
      <x:c r="AC991" s="3" t="str">
        <x:v>税込区分未確認（一覧表示額）</x:v>
      </x:c>
      <x:c r="AD991" s="3" t="str"/>
      <x:c r="AE991" s="29" t="str">
        <x:f>""</x:f>
      </x:c>
      <x:c r="AF991" s="30" t="str">
        <x:f>IF(ISNUMBER(AE991),U991/AE991,"")</x:f>
      </x:c>
      <x:c r="AG991" s="29" t="str">
        <x:f>""</x:f>
      </x:c>
      <x:c r="AH991" s="30" t="str">
        <x:f>IF(ISNUMBER(AG991),U991/AG991,"")</x:f>
      </x:c>
      <x:c r="AI991" s="3" t="str">
        <x:v>同年式・グレードの検証済み当時価格なし／登録年混在</x:v>
      </x:c>
      <x:c r="AJ991" s="3" t="str">
        <x:v>一覧価格/年式のみ</x:v>
      </x:c>
      <x:c r="AK991" s="3" t="str">
        <x:v>一覧の表示価格。年式は掲載年式。</x:v>
      </x:c>
      <x:c r="AL991" s="31" t="n">
        <x:f>IF(AND(J991&lt;='分析方法'!$B$7,OR(ISBLANK(O991),O991&gt;='分析方法'!$B$8),X991&lt;&gt;"売却済み表示"),1,0)</x:f>
        <x:v>1</x:v>
      </x:c>
      <x:c r="AM991" s="32" t="n">
        <x:f>IF(AL991=1,U991,"")</x:f>
        <x:v>374000</x:v>
      </x:c>
      <x:c r="AN991" s="33" t="str">
        <x:f>IF(AL991=1,AF991,"")</x:f>
      </x:c>
      <x:c r="AO991" s="31" t="n">
        <x:f>'分析方法'!$B$6-J991</x:f>
        <x:v>4</x:v>
      </x:c>
      <x:c r="AP991" s="3"/>
    </x:row>
    <x:row r="992" ht="22" customHeight="1">
      <x:c r="A992" s="3" t="str">
        <x:v>T2921211</x:v>
      </x:c>
      <x:c r="B992" s="7" t="d">
        <x:v>2026-10-08T00:00:00.000Z</x:v>
      </x:c>
      <x:c r="C992" s="3" t="str">
        <x:v>Taladrod</x:v>
      </x:c>
      <x:c r="D992" s="3" t="str">
        <x:v>Toyota</x:v>
      </x:c>
      <x:c r="E992" s="3" t="str">
        <x:v>日本</x:v>
      </x:c>
      <x:c r="F992" s="3" t="str">
        <x:v>Yaris Ativ</x:v>
      </x:c>
      <x:c r="G992" s="3" t="str">
        <x:v>ICE</x:v>
      </x:c>
      <x:c r="H992" s="3" t="str">
        <x:v>Sedan</x:v>
      </x:c>
      <x:c r="I992" s="3" t="str"/>
      <x:c r="J992" s="3" t="n">
        <x:v>2022</x:v>
      </x:c>
      <x:c r="K992" s="3" t="str">
        <x:v>1.2 SPORT</x:v>
      </x:c>
      <x:c r="L992" s="3" t="str">
        <x:v>SPORT</x:v>
      </x:c>
      <x:c r="M992" s="22"/>
      <x:c r="N992" s="22"/>
      <x:c r="O992" s="22"/>
      <x:c r="P992" s="3" t="str">
        <x:v>未掲載</x:v>
      </x:c>
      <x:c r="Q992" s="3" t="str">
        <x:v>未取得</x:v>
      </x:c>
      <x:c r="R992" s="3" t="str">
        <x:v>Unknown</x:v>
      </x:c>
      <x:c r="S992" s="3" t="str">
        <x:v>不明</x:v>
      </x:c>
      <x:c r="T992" s="3" t="str">
        <x:v>22-ปัจจุบัน</x:v>
      </x:c>
      <x:c r="U992" s="28" t="n">
        <x:v>425000</x:v>
      </x:c>
      <x:c r="V992" s="28" t="n">
        <x:v>539000</x:v>
      </x:c>
      <x:c r="W992" s="3" t="str">
        <x:v>事故・水没・SOH・保証残は未確認</x:v>
      </x:c>
      <x:c r="X992" s="3" t="str">
        <x:v>掲載中・在庫未確認</x:v>
      </x:c>
      <x:c r="Y992" s="3" t="str"/>
      <x:c r="Z992" s="27" t="str">
        <x:v>https://www.taladrod.com/w40/icar/cardet.aspx?cid=2921211</x:v>
      </x:c>
      <x:c r="AA992" s="3" t="str">
        <x:v>Taladrod個別広告ID／Carsome在庫ID</x:v>
      </x:c>
      <x:c r="AB992" s="3" t="str">
        <x:v>車台番号未取得／サイト間重複は未判定</x:v>
      </x:c>
      <x:c r="AC992" s="3" t="str">
        <x:v>税込区分未確認（一覧表示額）</x:v>
      </x:c>
      <x:c r="AD992" s="3" t="str"/>
      <x:c r="AE992" s="29" t="str">
        <x:f>""</x:f>
      </x:c>
      <x:c r="AF992" s="30" t="str">
        <x:f>IF(ISNUMBER(AE992),U992/AE992,"")</x:f>
      </x:c>
      <x:c r="AG992" s="29" t="str">
        <x:f>""</x:f>
      </x:c>
      <x:c r="AH992" s="30" t="str">
        <x:f>IF(ISNUMBER(AG992),U992/AG992,"")</x:f>
      </x:c>
      <x:c r="AI992" s="3" t="str">
        <x:v>同年式・グレードの検証済み当時価格なし／登録年混在</x:v>
      </x:c>
      <x:c r="AJ992" s="3" t="str">
        <x:v>一覧価格/年式のみ</x:v>
      </x:c>
      <x:c r="AK992" s="3" t="str">
        <x:v>一覧の表示価格。年式は掲載年式。</x:v>
      </x:c>
      <x:c r="AL992" s="31" t="n">
        <x:f>IF(AND(J992&lt;='分析方法'!$B$7,OR(ISBLANK(O992),O992&gt;='分析方法'!$B$8),X992&lt;&gt;"売却済み表示"),1,0)</x:f>
        <x:v>1</x:v>
      </x:c>
      <x:c r="AM992" s="32" t="n">
        <x:f>IF(AL992=1,U992,"")</x:f>
        <x:v>425000</x:v>
      </x:c>
      <x:c r="AN992" s="33" t="str">
        <x:f>IF(AL992=1,AF992,"")</x:f>
      </x:c>
      <x:c r="AO992" s="31" t="n">
        <x:f>'分析方法'!$B$6-J992</x:f>
        <x:v>4</x:v>
      </x:c>
      <x:c r="AP992" s="3"/>
    </x:row>
    <x:row r="993" ht="22" customHeight="1">
      <x:c r="A993" s="3" t="str">
        <x:v>T2891968</x:v>
      </x:c>
      <x:c r="B993" s="7" t="d">
        <x:v>2026-10-08T00:00:00.000Z</x:v>
      </x:c>
      <x:c r="C993" s="3" t="str">
        <x:v>Taladrod</x:v>
      </x:c>
      <x:c r="D993" s="3" t="str">
        <x:v>Toyota</x:v>
      </x:c>
      <x:c r="E993" s="3" t="str">
        <x:v>日本</x:v>
      </x:c>
      <x:c r="F993" s="3" t="str">
        <x:v>Yaris Ativ</x:v>
      </x:c>
      <x:c r="G993" s="3" t="str">
        <x:v>ICE</x:v>
      </x:c>
      <x:c r="H993" s="3" t="str">
        <x:v>Sedan</x:v>
      </x:c>
      <x:c r="I993" s="3" t="str"/>
      <x:c r="J993" s="3" t="n">
        <x:v>2023</x:v>
      </x:c>
      <x:c r="K993" s="3" t="str">
        <x:v>1.2 PREMIUM</x:v>
      </x:c>
      <x:c r="L993" s="3" t="str">
        <x:v>PREMIUM</x:v>
      </x:c>
      <x:c r="M993" s="22"/>
      <x:c r="N993" s="22"/>
      <x:c r="O993" s="22"/>
      <x:c r="P993" s="3" t="str">
        <x:v>未掲載</x:v>
      </x:c>
      <x:c r="Q993" s="3" t="str">
        <x:v>未取得</x:v>
      </x:c>
      <x:c r="R993" s="3" t="str">
        <x:v>Unknown</x:v>
      </x:c>
      <x:c r="S993" s="3" t="str">
        <x:v>不明</x:v>
      </x:c>
      <x:c r="T993" s="3" t="str">
        <x:v>22-ปัจจุบัน</x:v>
      </x:c>
      <x:c r="U993" s="28" t="n">
        <x:v>479000</x:v>
      </x:c>
      <x:c r="V993" s="28" t="n">
        <x:v>659000</x:v>
      </x:c>
      <x:c r="W993" s="3" t="str">
        <x:v>事故・水没・SOH・保証残は未確認</x:v>
      </x:c>
      <x:c r="X993" s="3" t="str">
        <x:v>掲載中・在庫未確認</x:v>
      </x:c>
      <x:c r="Y993" s="3" t="str"/>
      <x:c r="Z993" s="27" t="str">
        <x:v>https://www.taladrod.com/w40/icar/cardet.aspx?cid=2891968</x:v>
      </x:c>
      <x:c r="AA993" s="3" t="str">
        <x:v>Taladrod個別広告ID／Carsome在庫ID</x:v>
      </x:c>
      <x:c r="AB993" s="3" t="str">
        <x:v>車台番号未取得／サイト間重複は未判定</x:v>
      </x:c>
      <x:c r="AC993" s="3" t="str">
        <x:v>税込区分未確認（一覧表示額）</x:v>
      </x:c>
      <x:c r="AD993" s="3" t="str"/>
      <x:c r="AE993" s="29" t="str">
        <x:f>""</x:f>
      </x:c>
      <x:c r="AF993" s="30" t="str">
        <x:f>IF(ISNUMBER(AE993),U993/AE993,"")</x:f>
      </x:c>
      <x:c r="AG993" s="29" t="str">
        <x:f>""</x:f>
      </x:c>
      <x:c r="AH993" s="30" t="str">
        <x:f>IF(ISNUMBER(AG993),U993/AG993,"")</x:f>
      </x:c>
      <x:c r="AI993" s="3" t="str">
        <x:v>同年式・グレードの検証済み当時価格なし／登録年混在</x:v>
      </x:c>
      <x:c r="AJ993" s="3" t="str">
        <x:v>一覧価格/年式のみ</x:v>
      </x:c>
      <x:c r="AK993" s="3" t="str">
        <x:v>一覧の表示価格。年式は掲載年式。</x:v>
      </x:c>
      <x:c r="AL993" s="31" t="n">
        <x:f>IF(AND(J993&lt;='分析方法'!$B$7,OR(ISBLANK(O993),O993&gt;='分析方法'!$B$8),X993&lt;&gt;"売却済み表示"),1,0)</x:f>
        <x:v>1</x:v>
      </x:c>
      <x:c r="AM993" s="32" t="n">
        <x:f>IF(AL993=1,U993,"")</x:f>
        <x:v>479000</x:v>
      </x:c>
      <x:c r="AN993" s="33" t="str">
        <x:f>IF(AL993=1,AF993,"")</x:f>
      </x:c>
      <x:c r="AO993" s="31" t="n">
        <x:f>'分析方法'!$B$6-J993</x:f>
        <x:v>3</x:v>
      </x:c>
      <x:c r="AP993" s="3"/>
    </x:row>
    <x:row r="994" ht="22" customHeight="1">
      <x:c r="A994" s="3" t="str">
        <x:v>T2903260</x:v>
      </x:c>
      <x:c r="B994" s="7" t="d">
        <x:v>2026-10-08T00:00:00.000Z</x:v>
      </x:c>
      <x:c r="C994" s="3" t="str">
        <x:v>Taladrod</x:v>
      </x:c>
      <x:c r="D994" s="3" t="str">
        <x:v>Toyota</x:v>
      </x:c>
      <x:c r="E994" s="3" t="str">
        <x:v>日本</x:v>
      </x:c>
      <x:c r="F994" s="3" t="str">
        <x:v>Yaris Ativ</x:v>
      </x:c>
      <x:c r="G994" s="3" t="str">
        <x:v>ICE</x:v>
      </x:c>
      <x:c r="H994" s="3" t="str">
        <x:v>Sedan</x:v>
      </x:c>
      <x:c r="I994" s="3" t="str"/>
      <x:c r="J994" s="3" t="n">
        <x:v>2023</x:v>
      </x:c>
      <x:c r="K994" s="3" t="str">
        <x:v>1.2 PREMIUM</x:v>
      </x:c>
      <x:c r="L994" s="3" t="str">
        <x:v>PREMIUM</x:v>
      </x:c>
      <x:c r="M994" s="22"/>
      <x:c r="N994" s="22"/>
      <x:c r="O994" s="22"/>
      <x:c r="P994" s="3" t="str">
        <x:v>未掲載</x:v>
      </x:c>
      <x:c r="Q994" s="3" t="str">
        <x:v>未取得</x:v>
      </x:c>
      <x:c r="R994" s="3" t="str">
        <x:v>Unknown</x:v>
      </x:c>
      <x:c r="S994" s="3" t="str">
        <x:v>不明</x:v>
      </x:c>
      <x:c r="T994" s="3" t="str">
        <x:v>22-ปัจจุบัน</x:v>
      </x:c>
      <x:c r="U994" s="28" t="n">
        <x:v>434000</x:v>
      </x:c>
      <x:c r="V994" s="28" t="n">
        <x:v>659000</x:v>
      </x:c>
      <x:c r="W994" s="3" t="str">
        <x:v>事故・水没・SOH・保証残は未確認</x:v>
      </x:c>
      <x:c r="X994" s="3" t="str">
        <x:v>掲載中・在庫未確認</x:v>
      </x:c>
      <x:c r="Y994" s="3" t="str"/>
      <x:c r="Z994" s="27" t="str">
        <x:v>https://www.taladrod.com/w40/icar/cardet.aspx?cid=2903260</x:v>
      </x:c>
      <x:c r="AA994" s="3" t="str">
        <x:v>Taladrod個別広告ID／Carsome在庫ID</x:v>
      </x:c>
      <x:c r="AB994" s="3" t="str">
        <x:v>車台番号未取得／サイト間重複は未判定</x:v>
      </x:c>
      <x:c r="AC994" s="3" t="str">
        <x:v>税込区分未確認（一覧表示額）</x:v>
      </x:c>
      <x:c r="AD994" s="3" t="str"/>
      <x:c r="AE994" s="29" t="str">
        <x:f>""</x:f>
      </x:c>
      <x:c r="AF994" s="30" t="str">
        <x:f>IF(ISNUMBER(AE994),U994/AE994,"")</x:f>
      </x:c>
      <x:c r="AG994" s="29" t="str">
        <x:f>""</x:f>
      </x:c>
      <x:c r="AH994" s="30" t="str">
        <x:f>IF(ISNUMBER(AG994),U994/AG994,"")</x:f>
      </x:c>
      <x:c r="AI994" s="3" t="str">
        <x:v>同年式・グレードの検証済み当時価格なし／登録年混在</x:v>
      </x:c>
      <x:c r="AJ994" s="3" t="str">
        <x:v>一覧価格/年式のみ</x:v>
      </x:c>
      <x:c r="AK994" s="3" t="str">
        <x:v>一覧の表示価格。年式は掲載年式。</x:v>
      </x:c>
      <x:c r="AL994" s="31" t="n">
        <x:f>IF(AND(J994&lt;='分析方法'!$B$7,OR(ISBLANK(O994),O994&gt;='分析方法'!$B$8),X994&lt;&gt;"売却済み表示"),1,0)</x:f>
        <x:v>1</x:v>
      </x:c>
      <x:c r="AM994" s="32" t="n">
        <x:f>IF(AL994=1,U994,"")</x:f>
        <x:v>434000</x:v>
      </x:c>
      <x:c r="AN994" s="33" t="str">
        <x:f>IF(AL994=1,AF994,"")</x:f>
      </x:c>
      <x:c r="AO994" s="31" t="n">
        <x:f>'分析方法'!$B$6-J994</x:f>
        <x:v>3</x:v>
      </x:c>
      <x:c r="AP994" s="3"/>
    </x:row>
    <x:row r="995" ht="22" customHeight="1">
      <x:c r="A995" s="3" t="str">
        <x:v>T2910303</x:v>
      </x:c>
      <x:c r="B995" s="7" t="d">
        <x:v>2026-10-08T00:00:00.000Z</x:v>
      </x:c>
      <x:c r="C995" s="3" t="str">
        <x:v>Taladrod</x:v>
      </x:c>
      <x:c r="D995" s="3" t="str">
        <x:v>Toyota</x:v>
      </x:c>
      <x:c r="E995" s="3" t="str">
        <x:v>日本</x:v>
      </x:c>
      <x:c r="F995" s="3" t="str">
        <x:v>Yaris Ativ</x:v>
      </x:c>
      <x:c r="G995" s="3" t="str">
        <x:v>ICE</x:v>
      </x:c>
      <x:c r="H995" s="3" t="str">
        <x:v>Sedan</x:v>
      </x:c>
      <x:c r="I995" s="3" t="str"/>
      <x:c r="J995" s="3" t="n">
        <x:v>2023</x:v>
      </x:c>
      <x:c r="K995" s="3" t="str">
        <x:v>1.2 PREMIUM</x:v>
      </x:c>
      <x:c r="L995" s="3" t="str">
        <x:v>PREMIUM</x:v>
      </x:c>
      <x:c r="M995" s="22"/>
      <x:c r="N995" s="22"/>
      <x:c r="O995" s="22"/>
      <x:c r="P995" s="3" t="str">
        <x:v>未掲載</x:v>
      </x:c>
      <x:c r="Q995" s="3" t="str">
        <x:v>未取得</x:v>
      </x:c>
      <x:c r="R995" s="3" t="str">
        <x:v>Unknown</x:v>
      </x:c>
      <x:c r="S995" s="3" t="str">
        <x:v>不明</x:v>
      </x:c>
      <x:c r="T995" s="3" t="str">
        <x:v>22-ปัจจุบัน</x:v>
      </x:c>
      <x:c r="U995" s="28" t="n">
        <x:v>469000</x:v>
      </x:c>
      <x:c r="V995" s="28" t="n">
        <x:v>659000</x:v>
      </x:c>
      <x:c r="W995" s="3" t="str">
        <x:v>事故・水没・SOH・保証残は未確認</x:v>
      </x:c>
      <x:c r="X995" s="3" t="str">
        <x:v>掲載中・在庫未確認</x:v>
      </x:c>
      <x:c r="Y995" s="3" t="str"/>
      <x:c r="Z995" s="27" t="str">
        <x:v>https://www.taladrod.com/w40/icar/cardet.aspx?cid=2910303</x:v>
      </x:c>
      <x:c r="AA995" s="3" t="str">
        <x:v>Taladrod個別広告ID／Carsome在庫ID</x:v>
      </x:c>
      <x:c r="AB995" s="3" t="str">
        <x:v>車台番号未取得／サイト間重複は未判定</x:v>
      </x:c>
      <x:c r="AC995" s="3" t="str">
        <x:v>税込区分未確認（一覧表示額）</x:v>
      </x:c>
      <x:c r="AD995" s="3" t="str"/>
      <x:c r="AE995" s="29" t="str">
        <x:f>""</x:f>
      </x:c>
      <x:c r="AF995" s="30" t="str">
        <x:f>IF(ISNUMBER(AE995),U995/AE995,"")</x:f>
      </x:c>
      <x:c r="AG995" s="29" t="str">
        <x:f>""</x:f>
      </x:c>
      <x:c r="AH995" s="30" t="str">
        <x:f>IF(ISNUMBER(AG995),U995/AG995,"")</x:f>
      </x:c>
      <x:c r="AI995" s="3" t="str">
        <x:v>同年式・グレードの検証済み当時価格なし／登録年混在</x:v>
      </x:c>
      <x:c r="AJ995" s="3" t="str">
        <x:v>一覧価格/年式のみ</x:v>
      </x:c>
      <x:c r="AK995" s="3" t="str">
        <x:v>一覧の表示価格。年式は掲載年式。</x:v>
      </x:c>
      <x:c r="AL995" s="31" t="n">
        <x:f>IF(AND(J995&lt;='分析方法'!$B$7,OR(ISBLANK(O995),O995&gt;='分析方法'!$B$8),X995&lt;&gt;"売却済み表示"),1,0)</x:f>
        <x:v>1</x:v>
      </x:c>
      <x:c r="AM995" s="32" t="n">
        <x:f>IF(AL995=1,U995,"")</x:f>
        <x:v>469000</x:v>
      </x:c>
      <x:c r="AN995" s="33" t="str">
        <x:f>IF(AL995=1,AF995,"")</x:f>
      </x:c>
      <x:c r="AO995" s="31" t="n">
        <x:f>'分析方法'!$B$6-J995</x:f>
        <x:v>3</x:v>
      </x:c>
      <x:c r="AP995" s="3"/>
    </x:row>
    <x:row r="996" ht="22" customHeight="1">
      <x:c r="A996" s="3" t="str">
        <x:v>T2913218</x:v>
      </x:c>
      <x:c r="B996" s="7" t="d">
        <x:v>2026-10-08T00:00:00.000Z</x:v>
      </x:c>
      <x:c r="C996" s="3" t="str">
        <x:v>Taladrod</x:v>
      </x:c>
      <x:c r="D996" s="3" t="str">
        <x:v>Toyota</x:v>
      </x:c>
      <x:c r="E996" s="3" t="str">
        <x:v>日本</x:v>
      </x:c>
      <x:c r="F996" s="3" t="str">
        <x:v>Yaris Ativ</x:v>
      </x:c>
      <x:c r="G996" s="3" t="str">
        <x:v>ICE</x:v>
      </x:c>
      <x:c r="H996" s="3" t="str">
        <x:v>Sedan</x:v>
      </x:c>
      <x:c r="I996" s="3" t="str"/>
      <x:c r="J996" s="3" t="n">
        <x:v>2023</x:v>
      </x:c>
      <x:c r="K996" s="3" t="str">
        <x:v>1.2 PREMIUM</x:v>
      </x:c>
      <x:c r="L996" s="3" t="str">
        <x:v>PREMIUM</x:v>
      </x:c>
      <x:c r="M996" s="22"/>
      <x:c r="N996" s="22"/>
      <x:c r="O996" s="22"/>
      <x:c r="P996" s="3" t="str">
        <x:v>未掲載</x:v>
      </x:c>
      <x:c r="Q996" s="3" t="str">
        <x:v>未取得</x:v>
      </x:c>
      <x:c r="R996" s="3" t="str">
        <x:v>Unknown</x:v>
      </x:c>
      <x:c r="S996" s="3" t="str">
        <x:v>不明</x:v>
      </x:c>
      <x:c r="T996" s="3" t="str">
        <x:v>22-ปัจจุบัน</x:v>
      </x:c>
      <x:c r="U996" s="28" t="n">
        <x:v>459000</x:v>
      </x:c>
      <x:c r="V996" s="28" t="n">
        <x:v>659000</x:v>
      </x:c>
      <x:c r="W996" s="3" t="str">
        <x:v>事故・水没・SOH・保証残は未確認</x:v>
      </x:c>
      <x:c r="X996" s="3" t="str">
        <x:v>掲載中・在庫未確認</x:v>
      </x:c>
      <x:c r="Y996" s="3" t="str"/>
      <x:c r="Z996" s="27" t="str">
        <x:v>https://www.taladrod.com/w40/icar/cardet.aspx?cid=2913218</x:v>
      </x:c>
      <x:c r="AA996" s="3" t="str">
        <x:v>Taladrod個別広告ID／Carsome在庫ID</x:v>
      </x:c>
      <x:c r="AB996" s="3" t="str">
        <x:v>車台番号未取得／サイト間重複は未判定</x:v>
      </x:c>
      <x:c r="AC996" s="3" t="str">
        <x:v>税込区分未確認（一覧表示額）</x:v>
      </x:c>
      <x:c r="AD996" s="3" t="str"/>
      <x:c r="AE996" s="29" t="str">
        <x:f>""</x:f>
      </x:c>
      <x:c r="AF996" s="30" t="str">
        <x:f>IF(ISNUMBER(AE996),U996/AE996,"")</x:f>
      </x:c>
      <x:c r="AG996" s="29" t="str">
        <x:f>""</x:f>
      </x:c>
      <x:c r="AH996" s="30" t="str">
        <x:f>IF(ISNUMBER(AG996),U996/AG996,"")</x:f>
      </x:c>
      <x:c r="AI996" s="3" t="str">
        <x:v>同年式・グレードの検証済み当時価格なし／登録年混在</x:v>
      </x:c>
      <x:c r="AJ996" s="3" t="str">
        <x:v>一覧価格/年式のみ</x:v>
      </x:c>
      <x:c r="AK996" s="3" t="str">
        <x:v>一覧の表示価格。年式は掲載年式。</x:v>
      </x:c>
      <x:c r="AL996" s="31" t="n">
        <x:f>IF(AND(J996&lt;='分析方法'!$B$7,OR(ISBLANK(O996),O996&gt;='分析方法'!$B$8),X996&lt;&gt;"売却済み表示"),1,0)</x:f>
        <x:v>1</x:v>
      </x:c>
      <x:c r="AM996" s="32" t="n">
        <x:f>IF(AL996=1,U996,"")</x:f>
        <x:v>459000</x:v>
      </x:c>
      <x:c r="AN996" s="33" t="str">
        <x:f>IF(AL996=1,AF996,"")</x:f>
      </x:c>
      <x:c r="AO996" s="31" t="n">
        <x:f>'分析方法'!$B$6-J996</x:f>
        <x:v>3</x:v>
      </x:c>
      <x:c r="AP996" s="3"/>
    </x:row>
    <x:row r="997" ht="22" customHeight="1">
      <x:c r="A997" s="3" t="str">
        <x:v>T2916555</x:v>
      </x:c>
      <x:c r="B997" s="7" t="d">
        <x:v>2026-10-08T00:00:00.000Z</x:v>
      </x:c>
      <x:c r="C997" s="3" t="str">
        <x:v>Taladrod</x:v>
      </x:c>
      <x:c r="D997" s="3" t="str">
        <x:v>Toyota</x:v>
      </x:c>
      <x:c r="E997" s="3" t="str">
        <x:v>日本</x:v>
      </x:c>
      <x:c r="F997" s="3" t="str">
        <x:v>Yaris Ativ</x:v>
      </x:c>
      <x:c r="G997" s="3" t="str">
        <x:v>ICE</x:v>
      </x:c>
      <x:c r="H997" s="3" t="str">
        <x:v>Sedan</x:v>
      </x:c>
      <x:c r="I997" s="3" t="str"/>
      <x:c r="J997" s="3" t="n">
        <x:v>2023</x:v>
      </x:c>
      <x:c r="K997" s="3" t="str">
        <x:v>1.2 PREMIUM</x:v>
      </x:c>
      <x:c r="L997" s="3" t="str">
        <x:v>PREMIUM</x:v>
      </x:c>
      <x:c r="M997" s="22"/>
      <x:c r="N997" s="22"/>
      <x:c r="O997" s="22"/>
      <x:c r="P997" s="3" t="str">
        <x:v>未掲載</x:v>
      </x:c>
      <x:c r="Q997" s="3" t="str">
        <x:v>未取得</x:v>
      </x:c>
      <x:c r="R997" s="3" t="str">
        <x:v>Unknown</x:v>
      </x:c>
      <x:c r="S997" s="3" t="str">
        <x:v>不明</x:v>
      </x:c>
      <x:c r="T997" s="3" t="str">
        <x:v>22-ปัจจุบัน</x:v>
      </x:c>
      <x:c r="U997" s="28" t="n">
        <x:v>454000</x:v>
      </x:c>
      <x:c r="V997" s="28" t="n">
        <x:v>659000</x:v>
      </x:c>
      <x:c r="W997" s="3" t="str">
        <x:v>事故・水没・SOH・保証残は未確認</x:v>
      </x:c>
      <x:c r="X997" s="3" t="str">
        <x:v>掲載中・在庫未確認</x:v>
      </x:c>
      <x:c r="Y997" s="3" t="str"/>
      <x:c r="Z997" s="27" t="str">
        <x:v>https://www.taladrod.com/w40/icar/cardet.aspx?cid=2916555</x:v>
      </x:c>
      <x:c r="AA997" s="3" t="str">
        <x:v>Taladrod個別広告ID／Carsome在庫ID</x:v>
      </x:c>
      <x:c r="AB997" s="3" t="str">
        <x:v>車台番号未取得／サイト間重複は未判定</x:v>
      </x:c>
      <x:c r="AC997" s="3" t="str">
        <x:v>税込区分未確認（一覧表示額）</x:v>
      </x:c>
      <x:c r="AD997" s="3" t="str"/>
      <x:c r="AE997" s="29" t="str">
        <x:f>""</x:f>
      </x:c>
      <x:c r="AF997" s="30" t="str">
        <x:f>IF(ISNUMBER(AE997),U997/AE997,"")</x:f>
      </x:c>
      <x:c r="AG997" s="29" t="str">
        <x:f>""</x:f>
      </x:c>
      <x:c r="AH997" s="30" t="str">
        <x:f>IF(ISNUMBER(AG997),U997/AG997,"")</x:f>
      </x:c>
      <x:c r="AI997" s="3" t="str">
        <x:v>同年式・グレードの検証済み当時価格なし／登録年混在</x:v>
      </x:c>
      <x:c r="AJ997" s="3" t="str">
        <x:v>一覧価格/年式のみ</x:v>
      </x:c>
      <x:c r="AK997" s="3" t="str">
        <x:v>一覧の表示価格。年式は掲載年式。</x:v>
      </x:c>
      <x:c r="AL997" s="31" t="n">
        <x:f>IF(AND(J997&lt;='分析方法'!$B$7,OR(ISBLANK(O997),O997&gt;='分析方法'!$B$8),X997&lt;&gt;"売却済み表示"),1,0)</x:f>
        <x:v>1</x:v>
      </x:c>
      <x:c r="AM997" s="32" t="n">
        <x:f>IF(AL997=1,U997,"")</x:f>
        <x:v>454000</x:v>
      </x:c>
      <x:c r="AN997" s="33" t="str">
        <x:f>IF(AL997=1,AF997,"")</x:f>
      </x:c>
      <x:c r="AO997" s="31" t="n">
        <x:f>'分析方法'!$B$6-J997</x:f>
        <x:v>3</x:v>
      </x:c>
      <x:c r="AP997" s="3"/>
    </x:row>
    <x:row r="998" ht="22" customHeight="1">
      <x:c r="A998" s="3" t="str">
        <x:v>T2916751</x:v>
      </x:c>
      <x:c r="B998" s="7" t="d">
        <x:v>2026-10-08T00:00:00.000Z</x:v>
      </x:c>
      <x:c r="C998" s="3" t="str">
        <x:v>Taladrod</x:v>
      </x:c>
      <x:c r="D998" s="3" t="str">
        <x:v>Toyota</x:v>
      </x:c>
      <x:c r="E998" s="3" t="str">
        <x:v>日本</x:v>
      </x:c>
      <x:c r="F998" s="3" t="str">
        <x:v>Yaris Ativ</x:v>
      </x:c>
      <x:c r="G998" s="3" t="str">
        <x:v>ICE</x:v>
      </x:c>
      <x:c r="H998" s="3" t="str">
        <x:v>Sedan</x:v>
      </x:c>
      <x:c r="I998" s="3" t="str"/>
      <x:c r="J998" s="3" t="n">
        <x:v>2023</x:v>
      </x:c>
      <x:c r="K998" s="3" t="str">
        <x:v>1.2 PREMIUM</x:v>
      </x:c>
      <x:c r="L998" s="3" t="str">
        <x:v>PREMIUM</x:v>
      </x:c>
      <x:c r="M998" s="22"/>
      <x:c r="N998" s="22"/>
      <x:c r="O998" s="22"/>
      <x:c r="P998" s="3" t="str">
        <x:v>未掲載</x:v>
      </x:c>
      <x:c r="Q998" s="3" t="str">
        <x:v>未取得</x:v>
      </x:c>
      <x:c r="R998" s="3" t="str">
        <x:v>Unknown</x:v>
      </x:c>
      <x:c r="S998" s="3" t="str">
        <x:v>不明</x:v>
      </x:c>
      <x:c r="T998" s="3" t="str">
        <x:v>22-ปัจจุบัน</x:v>
      </x:c>
      <x:c r="U998" s="28" t="n">
        <x:v>459000</x:v>
      </x:c>
      <x:c r="V998" s="28" t="n">
        <x:v>659000</x:v>
      </x:c>
      <x:c r="W998" s="3" t="str">
        <x:v>事故・水没・SOH・保証残は未確認</x:v>
      </x:c>
      <x:c r="X998" s="3" t="str">
        <x:v>掲載中・在庫未確認</x:v>
      </x:c>
      <x:c r="Y998" s="3" t="str"/>
      <x:c r="Z998" s="27" t="str">
        <x:v>https://www.taladrod.com/w40/icar/cardet.aspx?cid=2916751</x:v>
      </x:c>
      <x:c r="AA998" s="3" t="str">
        <x:v>Taladrod個別広告ID／Carsome在庫ID</x:v>
      </x:c>
      <x:c r="AB998" s="3" t="str">
        <x:v>車台番号未取得／サイト間重複は未判定</x:v>
      </x:c>
      <x:c r="AC998" s="3" t="str">
        <x:v>税込区分未確認（一覧表示額）</x:v>
      </x:c>
      <x:c r="AD998" s="3" t="str"/>
      <x:c r="AE998" s="29" t="str">
        <x:f>""</x:f>
      </x:c>
      <x:c r="AF998" s="30" t="str">
        <x:f>IF(ISNUMBER(AE998),U998/AE998,"")</x:f>
      </x:c>
      <x:c r="AG998" s="29" t="str">
        <x:f>""</x:f>
      </x:c>
      <x:c r="AH998" s="30" t="str">
        <x:f>IF(ISNUMBER(AG998),U998/AG998,"")</x:f>
      </x:c>
      <x:c r="AI998" s="3" t="str">
        <x:v>同年式・グレードの検証済み当時価格なし／登録年混在</x:v>
      </x:c>
      <x:c r="AJ998" s="3" t="str">
        <x:v>一覧価格/年式のみ</x:v>
      </x:c>
      <x:c r="AK998" s="3" t="str">
        <x:v>一覧の表示価格。年式は掲載年式。</x:v>
      </x:c>
      <x:c r="AL998" s="31" t="n">
        <x:f>IF(AND(J998&lt;='分析方法'!$B$7,OR(ISBLANK(O998),O998&gt;='分析方法'!$B$8),X998&lt;&gt;"売却済み表示"),1,0)</x:f>
        <x:v>1</x:v>
      </x:c>
      <x:c r="AM998" s="32" t="n">
        <x:f>IF(AL998=1,U998,"")</x:f>
        <x:v>459000</x:v>
      </x:c>
      <x:c r="AN998" s="33" t="str">
        <x:f>IF(AL998=1,AF998,"")</x:f>
      </x:c>
      <x:c r="AO998" s="31" t="n">
        <x:f>'分析方法'!$B$6-J998</x:f>
        <x:v>3</x:v>
      </x:c>
      <x:c r="AP998" s="3"/>
    </x:row>
    <x:row r="999" ht="22" customHeight="1">
      <x:c r="A999" s="3" t="str">
        <x:v>T2917484</x:v>
      </x:c>
      <x:c r="B999" s="7" t="d">
        <x:v>2026-10-08T00:00:00.000Z</x:v>
      </x:c>
      <x:c r="C999" s="3" t="str">
        <x:v>Taladrod</x:v>
      </x:c>
      <x:c r="D999" s="3" t="str">
        <x:v>Toyota</x:v>
      </x:c>
      <x:c r="E999" s="3" t="str">
        <x:v>日本</x:v>
      </x:c>
      <x:c r="F999" s="3" t="str">
        <x:v>Yaris Ativ</x:v>
      </x:c>
      <x:c r="G999" s="3" t="str">
        <x:v>ICE</x:v>
      </x:c>
      <x:c r="H999" s="3" t="str">
        <x:v>Sedan</x:v>
      </x:c>
      <x:c r="I999" s="3" t="str"/>
      <x:c r="J999" s="3" t="n">
        <x:v>2023</x:v>
      </x:c>
      <x:c r="K999" s="3" t="str">
        <x:v>1.2 PREMIUM</x:v>
      </x:c>
      <x:c r="L999" s="3" t="str">
        <x:v>PREMIUM</x:v>
      </x:c>
      <x:c r="M999" s="22"/>
      <x:c r="N999" s="22"/>
      <x:c r="O999" s="22"/>
      <x:c r="P999" s="3" t="str">
        <x:v>未掲載</x:v>
      </x:c>
      <x:c r="Q999" s="3" t="str">
        <x:v>未取得</x:v>
      </x:c>
      <x:c r="R999" s="3" t="str">
        <x:v>Unknown</x:v>
      </x:c>
      <x:c r="S999" s="3" t="str">
        <x:v>不明</x:v>
      </x:c>
      <x:c r="T999" s="3" t="str">
        <x:v>22-ปัจจุบัน</x:v>
      </x:c>
      <x:c r="U999" s="28" t="n">
        <x:v>459000</x:v>
      </x:c>
      <x:c r="V999" s="28" t="n">
        <x:v>659000</x:v>
      </x:c>
      <x:c r="W999" s="3" t="str">
        <x:v>事故・水没・SOH・保証残は未確認</x:v>
      </x:c>
      <x:c r="X999" s="3" t="str">
        <x:v>掲載中・在庫未確認</x:v>
      </x:c>
      <x:c r="Y999" s="3" t="str"/>
      <x:c r="Z999" s="27" t="str">
        <x:v>https://www.taladrod.com/w40/icar/cardet.aspx?cid=2917484</x:v>
      </x:c>
      <x:c r="AA999" s="3" t="str">
        <x:v>Taladrod個別広告ID／Carsome在庫ID</x:v>
      </x:c>
      <x:c r="AB999" s="3" t="str">
        <x:v>車台番号未取得／サイト間重複は未判定</x:v>
      </x:c>
      <x:c r="AC999" s="3" t="str">
        <x:v>税込区分未確認（一覧表示額）</x:v>
      </x:c>
      <x:c r="AD999" s="3" t="str"/>
      <x:c r="AE999" s="29" t="str">
        <x:f>""</x:f>
      </x:c>
      <x:c r="AF999" s="30" t="str">
        <x:f>IF(ISNUMBER(AE999),U999/AE999,"")</x:f>
      </x:c>
      <x:c r="AG999" s="29" t="str">
        <x:f>""</x:f>
      </x:c>
      <x:c r="AH999" s="30" t="str">
        <x:f>IF(ISNUMBER(AG999),U999/AG999,"")</x:f>
      </x:c>
      <x:c r="AI999" s="3" t="str">
        <x:v>同年式・グレードの検証済み当時価格なし／登録年混在</x:v>
      </x:c>
      <x:c r="AJ999" s="3" t="str">
        <x:v>一覧価格/年式のみ</x:v>
      </x:c>
      <x:c r="AK999" s="3" t="str">
        <x:v>一覧の表示価格。年式は掲載年式。</x:v>
      </x:c>
      <x:c r="AL999" s="31" t="n">
        <x:f>IF(AND(J999&lt;='分析方法'!$B$7,OR(ISBLANK(O999),O999&gt;='分析方法'!$B$8),X999&lt;&gt;"売却済み表示"),1,0)</x:f>
        <x:v>1</x:v>
      </x:c>
      <x:c r="AM999" s="32" t="n">
        <x:f>IF(AL999=1,U999,"")</x:f>
        <x:v>459000</x:v>
      </x:c>
      <x:c r="AN999" s="33" t="str">
        <x:f>IF(AL999=1,AF999,"")</x:f>
      </x:c>
      <x:c r="AO999" s="31" t="n">
        <x:f>'分析方法'!$B$6-J999</x:f>
        <x:v>3</x:v>
      </x:c>
      <x:c r="AP999" s="3"/>
    </x:row>
    <x:row r="1000" ht="22" customHeight="1">
      <x:c r="A1000" s="3" t="str">
        <x:v>T2917511</x:v>
      </x:c>
      <x:c r="B1000" s="7" t="d">
        <x:v>2026-10-08T00:00:00.000Z</x:v>
      </x:c>
      <x:c r="C1000" s="3" t="str">
        <x:v>Taladrod</x:v>
      </x:c>
      <x:c r="D1000" s="3" t="str">
        <x:v>Toyota</x:v>
      </x:c>
      <x:c r="E1000" s="3" t="str">
        <x:v>日本</x:v>
      </x:c>
      <x:c r="F1000" s="3" t="str">
        <x:v>Yaris Ativ</x:v>
      </x:c>
      <x:c r="G1000" s="3" t="str">
        <x:v>ICE</x:v>
      </x:c>
      <x:c r="H1000" s="3" t="str">
        <x:v>Sedan</x:v>
      </x:c>
      <x:c r="I1000" s="3" t="str"/>
      <x:c r="J1000" s="3" t="n">
        <x:v>2023</x:v>
      </x:c>
      <x:c r="K1000" s="3" t="str">
        <x:v>1.2 PREMIUM</x:v>
      </x:c>
      <x:c r="L1000" s="3" t="str">
        <x:v>PREMIUM</x:v>
      </x:c>
      <x:c r="M1000" s="22"/>
      <x:c r="N1000" s="22"/>
      <x:c r="O1000" s="22"/>
      <x:c r="P1000" s="3" t="str">
        <x:v>未掲載</x:v>
      </x:c>
      <x:c r="Q1000" s="3" t="str">
        <x:v>未取得</x:v>
      </x:c>
      <x:c r="R1000" s="3" t="str">
        <x:v>Unknown</x:v>
      </x:c>
      <x:c r="S1000" s="3" t="str">
        <x:v>不明</x:v>
      </x:c>
      <x:c r="T1000" s="3" t="str">
        <x:v>22-ปัจจุบัน</x:v>
      </x:c>
      <x:c r="U1000" s="28" t="n">
        <x:v>479000</x:v>
      </x:c>
      <x:c r="V1000" s="28" t="n">
        <x:v>659000</x:v>
      </x:c>
      <x:c r="W1000" s="3" t="str">
        <x:v>事故・水没・SOH・保証残は未確認</x:v>
      </x:c>
      <x:c r="X1000" s="3" t="str">
        <x:v>掲載中・在庫未確認</x:v>
      </x:c>
      <x:c r="Y1000" s="3" t="str"/>
      <x:c r="Z1000" s="27" t="str">
        <x:v>https://www.taladrod.com/w40/icar/cardet.aspx?cid=2917511</x:v>
      </x:c>
      <x:c r="AA1000" s="3" t="str">
        <x:v>Taladrod個別広告ID／Carsome在庫ID</x:v>
      </x:c>
      <x:c r="AB1000" s="3" t="str">
        <x:v>車台番号未取得／サイト間重複は未判定</x:v>
      </x:c>
      <x:c r="AC1000" s="3" t="str">
        <x:v>税込区分未確認（一覧表示額）</x:v>
      </x:c>
      <x:c r="AD1000" s="3" t="str"/>
      <x:c r="AE1000" s="29" t="str">
        <x:f>""</x:f>
      </x:c>
      <x:c r="AF1000" s="30" t="str">
        <x:f>IF(ISNUMBER(AE1000),U1000/AE1000,"")</x:f>
      </x:c>
      <x:c r="AG1000" s="29" t="str">
        <x:f>""</x:f>
      </x:c>
      <x:c r="AH1000" s="30" t="str">
        <x:f>IF(ISNUMBER(AG1000),U1000/AG1000,"")</x:f>
      </x:c>
      <x:c r="AI1000" s="3" t="str">
        <x:v>同年式・グレードの検証済み当時価格なし／登録年混在</x:v>
      </x:c>
      <x:c r="AJ1000" s="3" t="str">
        <x:v>一覧価格/年式のみ</x:v>
      </x:c>
      <x:c r="AK1000" s="3" t="str">
        <x:v>一覧の表示価格。年式は掲載年式。</x:v>
      </x:c>
      <x:c r="AL1000" s="31" t="n">
        <x:f>IF(AND(J1000&lt;='分析方法'!$B$7,OR(ISBLANK(O1000),O1000&gt;='分析方法'!$B$8),X1000&lt;&gt;"売却済み表示"),1,0)</x:f>
        <x:v>1</x:v>
      </x:c>
      <x:c r="AM1000" s="32" t="n">
        <x:f>IF(AL1000=1,U1000,"")</x:f>
        <x:v>479000</x:v>
      </x:c>
      <x:c r="AN1000" s="33" t="str">
        <x:f>IF(AL1000=1,AF1000,"")</x:f>
      </x:c>
      <x:c r="AO1000" s="31" t="n">
        <x:f>'分析方法'!$B$6-J1000</x:f>
        <x:v>3</x:v>
      </x:c>
      <x:c r="AP1000" s="3"/>
    </x:row>
    <x:row r="1001" ht="22" customHeight="1">
      <x:c r="A1001" s="3" t="str">
        <x:v>T2920818</x:v>
      </x:c>
      <x:c r="B1001" s="7" t="d">
        <x:v>2026-10-08T00:00:00.000Z</x:v>
      </x:c>
      <x:c r="C1001" s="3" t="str">
        <x:v>Taladrod</x:v>
      </x:c>
      <x:c r="D1001" s="3" t="str">
        <x:v>Toyota</x:v>
      </x:c>
      <x:c r="E1001" s="3" t="str">
        <x:v>日本</x:v>
      </x:c>
      <x:c r="F1001" s="3" t="str">
        <x:v>Yaris Ativ</x:v>
      </x:c>
      <x:c r="G1001" s="3" t="str">
        <x:v>ICE</x:v>
      </x:c>
      <x:c r="H1001" s="3" t="str">
        <x:v>Sedan</x:v>
      </x:c>
      <x:c r="I1001" s="3" t="str"/>
      <x:c r="J1001" s="3" t="n">
        <x:v>2023</x:v>
      </x:c>
      <x:c r="K1001" s="3" t="str">
        <x:v>1.2 PREMIUM</x:v>
      </x:c>
      <x:c r="L1001" s="3" t="str">
        <x:v>PREMIUM</x:v>
      </x:c>
      <x:c r="M1001" s="22"/>
      <x:c r="N1001" s="22"/>
      <x:c r="O1001" s="22"/>
      <x:c r="P1001" s="3" t="str">
        <x:v>未掲載</x:v>
      </x:c>
      <x:c r="Q1001" s="3" t="str">
        <x:v>未取得</x:v>
      </x:c>
      <x:c r="R1001" s="3" t="str">
        <x:v>Unknown</x:v>
      </x:c>
      <x:c r="S1001" s="3" t="str">
        <x:v>不明</x:v>
      </x:c>
      <x:c r="T1001" s="3" t="str">
        <x:v>22-ปัจจุบัน</x:v>
      </x:c>
      <x:c r="U1001" s="28" t="n">
        <x:v>469000</x:v>
      </x:c>
      <x:c r="V1001" s="28" t="n">
        <x:v>659000</x:v>
      </x:c>
      <x:c r="W1001" s="3" t="str">
        <x:v>事故・水没・SOH・保証残は未確認</x:v>
      </x:c>
      <x:c r="X1001" s="3" t="str">
        <x:v>掲載中・在庫未確認</x:v>
      </x:c>
      <x:c r="Y1001" s="3" t="str"/>
      <x:c r="Z1001" s="27" t="str">
        <x:v>https://www.taladrod.com/w40/icar/cardet.aspx?cid=2920818</x:v>
      </x:c>
      <x:c r="AA1001" s="3" t="str">
        <x:v>Taladrod個別広告ID／Carsome在庫ID</x:v>
      </x:c>
      <x:c r="AB1001" s="3" t="str">
        <x:v>車台番号未取得／サイト間重複は未判定</x:v>
      </x:c>
      <x:c r="AC1001" s="3" t="str">
        <x:v>税込区分未確認（一覧表示額）</x:v>
      </x:c>
      <x:c r="AD1001" s="3" t="str"/>
      <x:c r="AE1001" s="29" t="str">
        <x:f>""</x:f>
      </x:c>
      <x:c r="AF1001" s="30" t="str">
        <x:f>IF(ISNUMBER(AE1001),U1001/AE1001,"")</x:f>
      </x:c>
      <x:c r="AG1001" s="29" t="str">
        <x:f>""</x:f>
      </x:c>
      <x:c r="AH1001" s="30" t="str">
        <x:f>IF(ISNUMBER(AG1001),U1001/AG1001,"")</x:f>
      </x:c>
      <x:c r="AI1001" s="3" t="str">
        <x:v>同年式・グレードの検証済み当時価格なし／登録年混在</x:v>
      </x:c>
      <x:c r="AJ1001" s="3" t="str">
        <x:v>一覧価格/年式のみ</x:v>
      </x:c>
      <x:c r="AK1001" s="3" t="str">
        <x:v>一覧の表示価格。年式は掲載年式。</x:v>
      </x:c>
      <x:c r="AL1001" s="31" t="n">
        <x:f>IF(AND(J1001&lt;='分析方法'!$B$7,OR(ISBLANK(O1001),O1001&gt;='分析方法'!$B$8),X1001&lt;&gt;"売却済み表示"),1,0)</x:f>
        <x:v>1</x:v>
      </x:c>
      <x:c r="AM1001" s="32" t="n">
        <x:f>IF(AL1001=1,U1001,"")</x:f>
        <x:v>469000</x:v>
      </x:c>
      <x:c r="AN1001" s="33" t="str">
        <x:f>IF(AL1001=1,AF1001,"")</x:f>
      </x:c>
      <x:c r="AO1001" s="31" t="n">
        <x:f>'分析方法'!$B$6-J1001</x:f>
        <x:v>3</x:v>
      </x:c>
      <x:c r="AP1001" s="3"/>
    </x:row>
    <x:row r="1002" ht="22" customHeight="1">
      <x:c r="A1002" s="3" t="str">
        <x:v>T2923747</x:v>
      </x:c>
      <x:c r="B1002" s="7" t="d">
        <x:v>2026-10-08T00:00:00.000Z</x:v>
      </x:c>
      <x:c r="C1002" s="3" t="str">
        <x:v>Taladrod</x:v>
      </x:c>
      <x:c r="D1002" s="3" t="str">
        <x:v>Toyota</x:v>
      </x:c>
      <x:c r="E1002" s="3" t="str">
        <x:v>日本</x:v>
      </x:c>
      <x:c r="F1002" s="3" t="str">
        <x:v>Yaris Ativ</x:v>
      </x:c>
      <x:c r="G1002" s="3" t="str">
        <x:v>ICE</x:v>
      </x:c>
      <x:c r="H1002" s="3" t="str">
        <x:v>Sedan</x:v>
      </x:c>
      <x:c r="I1002" s="3" t="str"/>
      <x:c r="J1002" s="3" t="n">
        <x:v>2023</x:v>
      </x:c>
      <x:c r="K1002" s="3" t="str">
        <x:v>1.2 PREMIUM</x:v>
      </x:c>
      <x:c r="L1002" s="3" t="str">
        <x:v>PREMIUM</x:v>
      </x:c>
      <x:c r="M1002" s="22"/>
      <x:c r="N1002" s="22"/>
      <x:c r="O1002" s="22"/>
      <x:c r="P1002" s="3" t="str">
        <x:v>未掲載</x:v>
      </x:c>
      <x:c r="Q1002" s="3" t="str">
        <x:v>未取得</x:v>
      </x:c>
      <x:c r="R1002" s="3" t="str">
        <x:v>Unknown</x:v>
      </x:c>
      <x:c r="S1002" s="3" t="str">
        <x:v>不明</x:v>
      </x:c>
      <x:c r="T1002" s="3" t="str">
        <x:v>22-ปัจจุบัน</x:v>
      </x:c>
      <x:c r="U1002" s="28" t="n">
        <x:v>459000</x:v>
      </x:c>
      <x:c r="V1002" s="28" t="n">
        <x:v>659000</x:v>
      </x:c>
      <x:c r="W1002" s="3" t="str">
        <x:v>事故・水没・SOH・保証残は未確認</x:v>
      </x:c>
      <x:c r="X1002" s="3" t="str">
        <x:v>掲載中・在庫未確認</x:v>
      </x:c>
      <x:c r="Y1002" s="3" t="str"/>
      <x:c r="Z1002" s="27" t="str">
        <x:v>https://www.taladrod.com/w40/icar/cardet.aspx?cid=2923747</x:v>
      </x:c>
      <x:c r="AA1002" s="3" t="str">
        <x:v>Taladrod個別広告ID／Carsome在庫ID</x:v>
      </x:c>
      <x:c r="AB1002" s="3" t="str">
        <x:v>車台番号未取得／サイト間重複は未判定</x:v>
      </x:c>
      <x:c r="AC1002" s="3" t="str">
        <x:v>税込区分未確認（一覧表示額）</x:v>
      </x:c>
      <x:c r="AD1002" s="3" t="str"/>
      <x:c r="AE1002" s="29" t="str">
        <x:f>""</x:f>
      </x:c>
      <x:c r="AF1002" s="30" t="str">
        <x:f>IF(ISNUMBER(AE1002),U1002/AE1002,"")</x:f>
      </x:c>
      <x:c r="AG1002" s="29" t="str">
        <x:f>""</x:f>
      </x:c>
      <x:c r="AH1002" s="30" t="str">
        <x:f>IF(ISNUMBER(AG1002),U1002/AG1002,"")</x:f>
      </x:c>
      <x:c r="AI1002" s="3" t="str">
        <x:v>同年式・グレードの検証済み当時価格なし／登録年混在</x:v>
      </x:c>
      <x:c r="AJ1002" s="3" t="str">
        <x:v>一覧価格/年式のみ</x:v>
      </x:c>
      <x:c r="AK1002" s="3" t="str">
        <x:v>一覧の表示価格。年式は掲載年式。</x:v>
      </x:c>
      <x:c r="AL1002" s="31" t="n">
        <x:f>IF(AND(J1002&lt;='分析方法'!$B$7,OR(ISBLANK(O1002),O1002&gt;='分析方法'!$B$8),X1002&lt;&gt;"売却済み表示"),1,0)</x:f>
        <x:v>1</x:v>
      </x:c>
      <x:c r="AM1002" s="32" t="n">
        <x:f>IF(AL1002=1,U1002,"")</x:f>
        <x:v>459000</x:v>
      </x:c>
      <x:c r="AN1002" s="33" t="str">
        <x:f>IF(AL1002=1,AF1002,"")</x:f>
      </x:c>
      <x:c r="AO1002" s="31" t="n">
        <x:f>'分析方法'!$B$6-J1002</x:f>
        <x:v>3</x:v>
      </x:c>
      <x:c r="AP1002" s="3"/>
    </x:row>
    <x:row r="1003" ht="22" customHeight="1">
      <x:c r="A1003" s="3" t="str">
        <x:v>T2891676</x:v>
      </x:c>
      <x:c r="B1003" s="7" t="d">
        <x:v>2026-10-08T00:00:00.000Z</x:v>
      </x:c>
      <x:c r="C1003" s="3" t="str">
        <x:v>Taladrod</x:v>
      </x:c>
      <x:c r="D1003" s="3" t="str">
        <x:v>Toyota</x:v>
      </x:c>
      <x:c r="E1003" s="3" t="str">
        <x:v>日本</x:v>
      </x:c>
      <x:c r="F1003" s="3" t="str">
        <x:v>Yaris Ativ</x:v>
      </x:c>
      <x:c r="G1003" s="3" t="str">
        <x:v>ICE</x:v>
      </x:c>
      <x:c r="H1003" s="3" t="str">
        <x:v>Sedan</x:v>
      </x:c>
      <x:c r="I1003" s="3" t="str"/>
      <x:c r="J1003" s="3" t="n">
        <x:v>2023</x:v>
      </x:c>
      <x:c r="K1003" s="3" t="str">
        <x:v>1.2 PREMIUM LUXURY</x:v>
      </x:c>
      <x:c r="L1003" s="3" t="str">
        <x:v>PREMIUM LUXURY</x:v>
      </x:c>
      <x:c r="M1003" s="22"/>
      <x:c r="N1003" s="22"/>
      <x:c r="O1003" s="22"/>
      <x:c r="P1003" s="3" t="str">
        <x:v>未掲載</x:v>
      </x:c>
      <x:c r="Q1003" s="3" t="str">
        <x:v>未取得</x:v>
      </x:c>
      <x:c r="R1003" s="3" t="str">
        <x:v>Unknown</x:v>
      </x:c>
      <x:c r="S1003" s="3" t="str">
        <x:v>不明</x:v>
      </x:c>
      <x:c r="T1003" s="3" t="str">
        <x:v>22-ปัจจุบัน</x:v>
      </x:c>
      <x:c r="U1003" s="28" t="n">
        <x:v>528000</x:v>
      </x:c>
      <x:c r="V1003" s="28" t="n">
        <x:v>689000</x:v>
      </x:c>
      <x:c r="W1003" s="3" t="str">
        <x:v>事故・水没・SOH・保証残は未確認</x:v>
      </x:c>
      <x:c r="X1003" s="3" t="str">
        <x:v>掲載中・在庫未確認</x:v>
      </x:c>
      <x:c r="Y1003" s="3" t="str"/>
      <x:c r="Z1003" s="27" t="str">
        <x:v>https://www.taladrod.com/w40/icar/cardet.aspx?cid=2891676</x:v>
      </x:c>
      <x:c r="AA1003" s="3" t="str">
        <x:v>Taladrod個別広告ID／Carsome在庫ID</x:v>
      </x:c>
      <x:c r="AB1003" s="3" t="str">
        <x:v>車台番号未取得／サイト間重複は未判定</x:v>
      </x:c>
      <x:c r="AC1003" s="3" t="str">
        <x:v>税込区分未確認（一覧表示額）</x:v>
      </x:c>
      <x:c r="AD1003" s="3" t="str"/>
      <x:c r="AE1003" s="29" t="str">
        <x:f>""</x:f>
      </x:c>
      <x:c r="AF1003" s="30" t="str">
        <x:f>IF(ISNUMBER(AE1003),U1003/AE1003,"")</x:f>
      </x:c>
      <x:c r="AG1003" s="29" t="str">
        <x:f>""</x:f>
      </x:c>
      <x:c r="AH1003" s="30" t="str">
        <x:f>IF(ISNUMBER(AG1003),U1003/AG1003,"")</x:f>
      </x:c>
      <x:c r="AI1003" s="3" t="str">
        <x:v>同年式・グレードの検証済み当時価格なし／登録年混在</x:v>
      </x:c>
      <x:c r="AJ1003" s="3" t="str">
        <x:v>一覧価格/年式のみ</x:v>
      </x:c>
      <x:c r="AK1003" s="3" t="str">
        <x:v>一覧の表示価格。年式は掲載年式。</x:v>
      </x:c>
      <x:c r="AL1003" s="31" t="n">
        <x:f>IF(AND(J1003&lt;='分析方法'!$B$7,OR(ISBLANK(O1003),O1003&gt;='分析方法'!$B$8),X1003&lt;&gt;"売却済み表示"),1,0)</x:f>
        <x:v>1</x:v>
      </x:c>
      <x:c r="AM1003" s="32" t="n">
        <x:f>IF(AL1003=1,U1003,"")</x:f>
        <x:v>528000</x:v>
      </x:c>
      <x:c r="AN1003" s="33" t="str">
        <x:f>IF(AL1003=1,AF1003,"")</x:f>
      </x:c>
      <x:c r="AO1003" s="31" t="n">
        <x:f>'分析方法'!$B$6-J1003</x:f>
        <x:v>3</x:v>
      </x:c>
      <x:c r="AP1003" s="3"/>
    </x:row>
    <x:row r="1004" ht="22" customHeight="1">
      <x:c r="A1004" s="3" t="str">
        <x:v>T2918086</x:v>
      </x:c>
      <x:c r="B1004" s="7" t="d">
        <x:v>2026-10-08T00:00:00.000Z</x:v>
      </x:c>
      <x:c r="C1004" s="3" t="str">
        <x:v>Taladrod</x:v>
      </x:c>
      <x:c r="D1004" s="3" t="str">
        <x:v>Toyota</x:v>
      </x:c>
      <x:c r="E1004" s="3" t="str">
        <x:v>日本</x:v>
      </x:c>
      <x:c r="F1004" s="3" t="str">
        <x:v>Yaris Ativ</x:v>
      </x:c>
      <x:c r="G1004" s="3" t="str">
        <x:v>ICE</x:v>
      </x:c>
      <x:c r="H1004" s="3" t="str">
        <x:v>Sedan</x:v>
      </x:c>
      <x:c r="I1004" s="3" t="str"/>
      <x:c r="J1004" s="3" t="n">
        <x:v>2023</x:v>
      </x:c>
      <x:c r="K1004" s="3" t="str">
        <x:v>1.2 PREMIUM LUXURY</x:v>
      </x:c>
      <x:c r="L1004" s="3" t="str">
        <x:v>PREMIUM LUXURY</x:v>
      </x:c>
      <x:c r="M1004" s="22"/>
      <x:c r="N1004" s="22"/>
      <x:c r="O1004" s="22"/>
      <x:c r="P1004" s="3" t="str">
        <x:v>未掲載</x:v>
      </x:c>
      <x:c r="Q1004" s="3" t="str">
        <x:v>未取得</x:v>
      </x:c>
      <x:c r="R1004" s="3" t="str">
        <x:v>Unknown</x:v>
      </x:c>
      <x:c r="S1004" s="3" t="str">
        <x:v>不明</x:v>
      </x:c>
      <x:c r="T1004" s="3" t="str">
        <x:v>22-ปัจจุบัน</x:v>
      </x:c>
      <x:c r="U1004" s="28" t="n">
        <x:v>484000</x:v>
      </x:c>
      <x:c r="V1004" s="28" t="n">
        <x:v>689000</x:v>
      </x:c>
      <x:c r="W1004" s="3" t="str">
        <x:v>事故・水没・SOH・保証残は未確認</x:v>
      </x:c>
      <x:c r="X1004" s="3" t="str">
        <x:v>掲載中・在庫未確認</x:v>
      </x:c>
      <x:c r="Y1004" s="3" t="str"/>
      <x:c r="Z1004" s="27" t="str">
        <x:v>https://www.taladrod.com/w40/icar/cardet.aspx?cid=2918086</x:v>
      </x:c>
      <x:c r="AA1004" s="3" t="str">
        <x:v>Taladrod個別広告ID／Carsome在庫ID</x:v>
      </x:c>
      <x:c r="AB1004" s="3" t="str">
        <x:v>車台番号未取得／サイト間重複は未判定</x:v>
      </x:c>
      <x:c r="AC1004" s="3" t="str">
        <x:v>税込区分未確認（一覧表示額）</x:v>
      </x:c>
      <x:c r="AD1004" s="3" t="str"/>
      <x:c r="AE1004" s="29" t="str">
        <x:f>""</x:f>
      </x:c>
      <x:c r="AF1004" s="30" t="str">
        <x:f>IF(ISNUMBER(AE1004),U1004/AE1004,"")</x:f>
      </x:c>
      <x:c r="AG1004" s="29" t="str">
        <x:f>""</x:f>
      </x:c>
      <x:c r="AH1004" s="30" t="str">
        <x:f>IF(ISNUMBER(AG1004),U1004/AG1004,"")</x:f>
      </x:c>
      <x:c r="AI1004" s="3" t="str">
        <x:v>同年式・グレードの検証済み当時価格なし／登録年混在</x:v>
      </x:c>
      <x:c r="AJ1004" s="3" t="str">
        <x:v>一覧価格/年式のみ</x:v>
      </x:c>
      <x:c r="AK1004" s="3" t="str">
        <x:v>一覧の表示価格。年式は掲載年式。</x:v>
      </x:c>
      <x:c r="AL1004" s="31" t="n">
        <x:f>IF(AND(J1004&lt;='分析方法'!$B$7,OR(ISBLANK(O1004),O1004&gt;='分析方法'!$B$8),X1004&lt;&gt;"売却済み表示"),1,0)</x:f>
        <x:v>1</x:v>
      </x:c>
      <x:c r="AM1004" s="32" t="n">
        <x:f>IF(AL1004=1,U1004,"")</x:f>
        <x:v>484000</x:v>
      </x:c>
      <x:c r="AN1004" s="33" t="str">
        <x:f>IF(AL1004=1,AF1004,"")</x:f>
      </x:c>
      <x:c r="AO1004" s="31" t="n">
        <x:f>'分析方法'!$B$6-J1004</x:f>
        <x:v>3</x:v>
      </x:c>
      <x:c r="AP1004" s="3"/>
    </x:row>
    <x:row r="1005" ht="22" customHeight="1">
      <x:c r="A1005" s="3" t="str">
        <x:v>T2918509</x:v>
      </x:c>
      <x:c r="B1005" s="7" t="d">
        <x:v>2026-10-08T00:00:00.000Z</x:v>
      </x:c>
      <x:c r="C1005" s="3" t="str">
        <x:v>Taladrod</x:v>
      </x:c>
      <x:c r="D1005" s="3" t="str">
        <x:v>Toyota</x:v>
      </x:c>
      <x:c r="E1005" s="3" t="str">
        <x:v>日本</x:v>
      </x:c>
      <x:c r="F1005" s="3" t="str">
        <x:v>Yaris Ativ</x:v>
      </x:c>
      <x:c r="G1005" s="3" t="str">
        <x:v>ICE</x:v>
      </x:c>
      <x:c r="H1005" s="3" t="str">
        <x:v>Sedan</x:v>
      </x:c>
      <x:c r="I1005" s="3" t="str"/>
      <x:c r="J1005" s="3" t="n">
        <x:v>2023</x:v>
      </x:c>
      <x:c r="K1005" s="3" t="str">
        <x:v>1.2 PREMIUM LUXURY</x:v>
      </x:c>
      <x:c r="L1005" s="3" t="str">
        <x:v>PREMIUM LUXURY</x:v>
      </x:c>
      <x:c r="M1005" s="22"/>
      <x:c r="N1005" s="22"/>
      <x:c r="O1005" s="22"/>
      <x:c r="P1005" s="3" t="str">
        <x:v>未掲載</x:v>
      </x:c>
      <x:c r="Q1005" s="3" t="str">
        <x:v>未取得</x:v>
      </x:c>
      <x:c r="R1005" s="3" t="str">
        <x:v>Unknown</x:v>
      </x:c>
      <x:c r="S1005" s="3" t="str">
        <x:v>不明</x:v>
      </x:c>
      <x:c r="T1005" s="3" t="str">
        <x:v>22-ปัจจุบัน</x:v>
      </x:c>
      <x:c r="U1005" s="28" t="n">
        <x:v>479000</x:v>
      </x:c>
      <x:c r="V1005" s="28" t="n">
        <x:v>689000</x:v>
      </x:c>
      <x:c r="W1005" s="3" t="str">
        <x:v>事故・水没・SOH・保証残は未確認</x:v>
      </x:c>
      <x:c r="X1005" s="3" t="str">
        <x:v>掲載中・在庫未確認</x:v>
      </x:c>
      <x:c r="Y1005" s="3" t="str"/>
      <x:c r="Z1005" s="27" t="str">
        <x:v>https://www.taladrod.com/w40/icar/cardet.aspx?cid=2918509</x:v>
      </x:c>
      <x:c r="AA1005" s="3" t="str">
        <x:v>Taladrod個別広告ID／Carsome在庫ID</x:v>
      </x:c>
      <x:c r="AB1005" s="3" t="str">
        <x:v>車台番号未取得／サイト間重複は未判定</x:v>
      </x:c>
      <x:c r="AC1005" s="3" t="str">
        <x:v>税込区分未確認（一覧表示額）</x:v>
      </x:c>
      <x:c r="AD1005" s="3" t="str"/>
      <x:c r="AE1005" s="29" t="str">
        <x:f>""</x:f>
      </x:c>
      <x:c r="AF1005" s="30" t="str">
        <x:f>IF(ISNUMBER(AE1005),U1005/AE1005,"")</x:f>
      </x:c>
      <x:c r="AG1005" s="29" t="str">
        <x:f>""</x:f>
      </x:c>
      <x:c r="AH1005" s="30" t="str">
        <x:f>IF(ISNUMBER(AG1005),U1005/AG1005,"")</x:f>
      </x:c>
      <x:c r="AI1005" s="3" t="str">
        <x:v>同年式・グレードの検証済み当時価格なし／登録年混在</x:v>
      </x:c>
      <x:c r="AJ1005" s="3" t="str">
        <x:v>一覧価格/年式のみ</x:v>
      </x:c>
      <x:c r="AK1005" s="3" t="str">
        <x:v>一覧の表示価格。年式は掲載年式。</x:v>
      </x:c>
      <x:c r="AL1005" s="31" t="n">
        <x:f>IF(AND(J1005&lt;='分析方法'!$B$7,OR(ISBLANK(O1005),O1005&gt;='分析方法'!$B$8),X1005&lt;&gt;"売却済み表示"),1,0)</x:f>
        <x:v>1</x:v>
      </x:c>
      <x:c r="AM1005" s="32" t="n">
        <x:f>IF(AL1005=1,U1005,"")</x:f>
        <x:v>479000</x:v>
      </x:c>
      <x:c r="AN1005" s="33" t="str">
        <x:f>IF(AL1005=1,AF1005,"")</x:f>
      </x:c>
      <x:c r="AO1005" s="31" t="n">
        <x:f>'分析方法'!$B$6-J1005</x:f>
        <x:v>3</x:v>
      </x:c>
      <x:c r="AP1005" s="3"/>
    </x:row>
    <x:row r="1006" ht="22" customHeight="1">
      <x:c r="A1006" s="3" t="str">
        <x:v>T2919542</x:v>
      </x:c>
      <x:c r="B1006" s="7" t="d">
        <x:v>2026-10-08T00:00:00.000Z</x:v>
      </x:c>
      <x:c r="C1006" s="3" t="str">
        <x:v>Taladrod</x:v>
      </x:c>
      <x:c r="D1006" s="3" t="str">
        <x:v>Toyota</x:v>
      </x:c>
      <x:c r="E1006" s="3" t="str">
        <x:v>日本</x:v>
      </x:c>
      <x:c r="F1006" s="3" t="str">
        <x:v>Yaris Ativ</x:v>
      </x:c>
      <x:c r="G1006" s="3" t="str">
        <x:v>ICE</x:v>
      </x:c>
      <x:c r="H1006" s="3" t="str">
        <x:v>Sedan</x:v>
      </x:c>
      <x:c r="I1006" s="3" t="str"/>
      <x:c r="J1006" s="3" t="n">
        <x:v>2023</x:v>
      </x:c>
      <x:c r="K1006" s="3" t="str">
        <x:v>1.2 PREMIUM LUXURY</x:v>
      </x:c>
      <x:c r="L1006" s="3" t="str">
        <x:v>PREMIUM LUXURY</x:v>
      </x:c>
      <x:c r="M1006" s="22"/>
      <x:c r="N1006" s="22"/>
      <x:c r="O1006" s="22"/>
      <x:c r="P1006" s="3" t="str">
        <x:v>未掲載</x:v>
      </x:c>
      <x:c r="Q1006" s="3" t="str">
        <x:v>未取得</x:v>
      </x:c>
      <x:c r="R1006" s="3" t="str">
        <x:v>Unknown</x:v>
      </x:c>
      <x:c r="S1006" s="3" t="str">
        <x:v>不明</x:v>
      </x:c>
      <x:c r="T1006" s="3" t="str">
        <x:v>22-ปัจจุบัน</x:v>
      </x:c>
      <x:c r="U1006" s="28" t="n">
        <x:v>478000</x:v>
      </x:c>
      <x:c r="V1006" s="28" t="n">
        <x:v>689000</x:v>
      </x:c>
      <x:c r="W1006" s="3" t="str">
        <x:v>事故・水没・SOH・保証残は未確認</x:v>
      </x:c>
      <x:c r="X1006" s="3" t="str">
        <x:v>掲載中・在庫未確認</x:v>
      </x:c>
      <x:c r="Y1006" s="3" t="str"/>
      <x:c r="Z1006" s="27" t="str">
        <x:v>https://www.taladrod.com/w40/icar/cardet.aspx?cid=2919542</x:v>
      </x:c>
      <x:c r="AA1006" s="3" t="str">
        <x:v>Taladrod個別広告ID／Carsome在庫ID</x:v>
      </x:c>
      <x:c r="AB1006" s="3" t="str">
        <x:v>車台番号未取得／サイト間重複は未判定</x:v>
      </x:c>
      <x:c r="AC1006" s="3" t="str">
        <x:v>税込区分未確認（一覧表示額）</x:v>
      </x:c>
      <x:c r="AD1006" s="3" t="str"/>
      <x:c r="AE1006" s="29" t="str">
        <x:f>""</x:f>
      </x:c>
      <x:c r="AF1006" s="30" t="str">
        <x:f>IF(ISNUMBER(AE1006),U1006/AE1006,"")</x:f>
      </x:c>
      <x:c r="AG1006" s="29" t="str">
        <x:f>""</x:f>
      </x:c>
      <x:c r="AH1006" s="30" t="str">
        <x:f>IF(ISNUMBER(AG1006),U1006/AG1006,"")</x:f>
      </x:c>
      <x:c r="AI1006" s="3" t="str">
        <x:v>同年式・グレードの検証済み当時価格なし／登録年混在</x:v>
      </x:c>
      <x:c r="AJ1006" s="3" t="str">
        <x:v>一覧価格/年式のみ</x:v>
      </x:c>
      <x:c r="AK1006" s="3" t="str">
        <x:v>一覧の表示価格。年式は掲載年式。</x:v>
      </x:c>
      <x:c r="AL1006" s="31" t="n">
        <x:f>IF(AND(J1006&lt;='分析方法'!$B$7,OR(ISBLANK(O1006),O1006&gt;='分析方法'!$B$8),X1006&lt;&gt;"売却済み表示"),1,0)</x:f>
        <x:v>1</x:v>
      </x:c>
      <x:c r="AM1006" s="32" t="n">
        <x:f>IF(AL1006=1,U1006,"")</x:f>
        <x:v>478000</x:v>
      </x:c>
      <x:c r="AN1006" s="33" t="str">
        <x:f>IF(AL1006=1,AF1006,"")</x:f>
      </x:c>
      <x:c r="AO1006" s="31" t="n">
        <x:f>'分析方法'!$B$6-J1006</x:f>
        <x:v>3</x:v>
      </x:c>
      <x:c r="AP1006" s="3"/>
    </x:row>
    <x:row r="1007" ht="22" customHeight="1">
      <x:c r="A1007" s="3" t="str">
        <x:v>T2919670</x:v>
      </x:c>
      <x:c r="B1007" s="7" t="d">
        <x:v>2026-10-08T00:00:00.000Z</x:v>
      </x:c>
      <x:c r="C1007" s="3" t="str">
        <x:v>Taladrod</x:v>
      </x:c>
      <x:c r="D1007" s="3" t="str">
        <x:v>Toyota</x:v>
      </x:c>
      <x:c r="E1007" s="3" t="str">
        <x:v>日本</x:v>
      </x:c>
      <x:c r="F1007" s="3" t="str">
        <x:v>Yaris Ativ</x:v>
      </x:c>
      <x:c r="G1007" s="3" t="str">
        <x:v>ICE</x:v>
      </x:c>
      <x:c r="H1007" s="3" t="str">
        <x:v>Sedan</x:v>
      </x:c>
      <x:c r="I1007" s="3" t="str"/>
      <x:c r="J1007" s="3" t="n">
        <x:v>2023</x:v>
      </x:c>
      <x:c r="K1007" s="3" t="str">
        <x:v>1.2 PREMIUM LUXURY</x:v>
      </x:c>
      <x:c r="L1007" s="3" t="str">
        <x:v>PREMIUM LUXURY</x:v>
      </x:c>
      <x:c r="M1007" s="22"/>
      <x:c r="N1007" s="22"/>
      <x:c r="O1007" s="22"/>
      <x:c r="P1007" s="3" t="str">
        <x:v>未掲載</x:v>
      </x:c>
      <x:c r="Q1007" s="3" t="str">
        <x:v>未取得</x:v>
      </x:c>
      <x:c r="R1007" s="3" t="str">
        <x:v>Unknown</x:v>
      </x:c>
      <x:c r="S1007" s="3" t="str">
        <x:v>不明</x:v>
      </x:c>
      <x:c r="T1007" s="3" t="str">
        <x:v>22-ปัจจุบัน</x:v>
      </x:c>
      <x:c r="U1007" s="28" t="n">
        <x:v>484000</x:v>
      </x:c>
      <x:c r="V1007" s="28" t="n">
        <x:v>689000</x:v>
      </x:c>
      <x:c r="W1007" s="3" t="str">
        <x:v>事故・水没・SOH・保証残は未確認</x:v>
      </x:c>
      <x:c r="X1007" s="3" t="str">
        <x:v>掲載中・在庫未確認</x:v>
      </x:c>
      <x:c r="Y1007" s="3" t="str"/>
      <x:c r="Z1007" s="27" t="str">
        <x:v>https://www.taladrod.com/w40/icar/cardet.aspx?cid=2919670</x:v>
      </x:c>
      <x:c r="AA1007" s="3" t="str">
        <x:v>Taladrod個別広告ID／Carsome在庫ID</x:v>
      </x:c>
      <x:c r="AB1007" s="3" t="str">
        <x:v>車台番号未取得／サイト間重複は未判定</x:v>
      </x:c>
      <x:c r="AC1007" s="3" t="str">
        <x:v>税込区分未確認（一覧表示額）</x:v>
      </x:c>
      <x:c r="AD1007" s="3" t="str"/>
      <x:c r="AE1007" s="29" t="str">
        <x:f>""</x:f>
      </x:c>
      <x:c r="AF1007" s="30" t="str">
        <x:f>IF(ISNUMBER(AE1007),U1007/AE1007,"")</x:f>
      </x:c>
      <x:c r="AG1007" s="29" t="str">
        <x:f>""</x:f>
      </x:c>
      <x:c r="AH1007" s="30" t="str">
        <x:f>IF(ISNUMBER(AG1007),U1007/AG1007,"")</x:f>
      </x:c>
      <x:c r="AI1007" s="3" t="str">
        <x:v>同年式・グレードの検証済み当時価格なし／登録年混在</x:v>
      </x:c>
      <x:c r="AJ1007" s="3" t="str">
        <x:v>一覧価格/年式のみ</x:v>
      </x:c>
      <x:c r="AK1007" s="3" t="str">
        <x:v>一覧の表示価格。年式は掲載年式。</x:v>
      </x:c>
      <x:c r="AL1007" s="31" t="n">
        <x:f>IF(AND(J1007&lt;='分析方法'!$B$7,OR(ISBLANK(O1007),O1007&gt;='分析方法'!$B$8),X1007&lt;&gt;"売却済み表示"),1,0)</x:f>
        <x:v>1</x:v>
      </x:c>
      <x:c r="AM1007" s="32" t="n">
        <x:f>IF(AL1007=1,U1007,"")</x:f>
        <x:v>484000</x:v>
      </x:c>
      <x:c r="AN1007" s="33" t="str">
        <x:f>IF(AL1007=1,AF1007,"")</x:f>
      </x:c>
      <x:c r="AO1007" s="31" t="n">
        <x:f>'分析方法'!$B$6-J1007</x:f>
        <x:v>3</x:v>
      </x:c>
      <x:c r="AP1007" s="3"/>
    </x:row>
    <x:row r="1008" ht="22" customHeight="1">
      <x:c r="A1008" s="3" t="str">
        <x:v>T2920694</x:v>
      </x:c>
      <x:c r="B1008" s="7" t="d">
        <x:v>2026-10-08T00:00:00.000Z</x:v>
      </x:c>
      <x:c r="C1008" s="3" t="str">
        <x:v>Taladrod</x:v>
      </x:c>
      <x:c r="D1008" s="3" t="str">
        <x:v>Toyota</x:v>
      </x:c>
      <x:c r="E1008" s="3" t="str">
        <x:v>日本</x:v>
      </x:c>
      <x:c r="F1008" s="3" t="str">
        <x:v>Yaris Ativ</x:v>
      </x:c>
      <x:c r="G1008" s="3" t="str">
        <x:v>ICE</x:v>
      </x:c>
      <x:c r="H1008" s="3" t="str">
        <x:v>Sedan</x:v>
      </x:c>
      <x:c r="I1008" s="3" t="str"/>
      <x:c r="J1008" s="3" t="n">
        <x:v>2023</x:v>
      </x:c>
      <x:c r="K1008" s="3" t="str">
        <x:v>1.2 PREMIUM LUXURY</x:v>
      </x:c>
      <x:c r="L1008" s="3" t="str">
        <x:v>PREMIUM LUXURY</x:v>
      </x:c>
      <x:c r="M1008" s="22"/>
      <x:c r="N1008" s="22"/>
      <x:c r="O1008" s="22"/>
      <x:c r="P1008" s="3" t="str">
        <x:v>未掲載</x:v>
      </x:c>
      <x:c r="Q1008" s="3" t="str">
        <x:v>未取得</x:v>
      </x:c>
      <x:c r="R1008" s="3" t="str">
        <x:v>Unknown</x:v>
      </x:c>
      <x:c r="S1008" s="3" t="str">
        <x:v>不明</x:v>
      </x:c>
      <x:c r="T1008" s="3" t="str">
        <x:v>22-ปัจจุบัน</x:v>
      </x:c>
      <x:c r="U1008" s="28" t="n">
        <x:v>399000</x:v>
      </x:c>
      <x:c r="V1008" s="28" t="n">
        <x:v>689000</x:v>
      </x:c>
      <x:c r="W1008" s="3" t="str">
        <x:v>事故・水没・SOH・保証残は未確認</x:v>
      </x:c>
      <x:c r="X1008" s="3" t="str">
        <x:v>掲載中・在庫未確認</x:v>
      </x:c>
      <x:c r="Y1008" s="3" t="str"/>
      <x:c r="Z1008" s="27" t="str">
        <x:v>https://www.taladrod.com/w40/icar/cardet.aspx?cid=2920694</x:v>
      </x:c>
      <x:c r="AA1008" s="3" t="str">
        <x:v>Taladrod個別広告ID／Carsome在庫ID</x:v>
      </x:c>
      <x:c r="AB1008" s="3" t="str">
        <x:v>車台番号未取得／サイト間重複は未判定</x:v>
      </x:c>
      <x:c r="AC1008" s="3" t="str">
        <x:v>税込区分未確認（一覧表示額）</x:v>
      </x:c>
      <x:c r="AD1008" s="3" t="str"/>
      <x:c r="AE1008" s="29" t="str">
        <x:f>""</x:f>
      </x:c>
      <x:c r="AF1008" s="30" t="str">
        <x:f>IF(ISNUMBER(AE1008),U1008/AE1008,"")</x:f>
      </x:c>
      <x:c r="AG1008" s="29" t="str">
        <x:f>""</x:f>
      </x:c>
      <x:c r="AH1008" s="30" t="str">
        <x:f>IF(ISNUMBER(AG1008),U1008/AG1008,"")</x:f>
      </x:c>
      <x:c r="AI1008" s="3" t="str">
        <x:v>同年式・グレードの検証済み当時価格なし／登録年混在</x:v>
      </x:c>
      <x:c r="AJ1008" s="3" t="str">
        <x:v>一覧価格/年式のみ</x:v>
      </x:c>
      <x:c r="AK1008" s="3" t="str">
        <x:v>一覧の表示価格。年式は掲載年式。</x:v>
      </x:c>
      <x:c r="AL1008" s="31" t="n">
        <x:f>IF(AND(J1008&lt;='分析方法'!$B$7,OR(ISBLANK(O1008),O1008&gt;='分析方法'!$B$8),X1008&lt;&gt;"売却済み表示"),1,0)</x:f>
        <x:v>1</x:v>
      </x:c>
      <x:c r="AM1008" s="32" t="n">
        <x:f>IF(AL1008=1,U1008,"")</x:f>
        <x:v>399000</x:v>
      </x:c>
      <x:c r="AN1008" s="33" t="str">
        <x:f>IF(AL1008=1,AF1008,"")</x:f>
      </x:c>
      <x:c r="AO1008" s="31" t="n">
        <x:f>'分析方法'!$B$6-J1008</x:f>
        <x:v>3</x:v>
      </x:c>
      <x:c r="AP1008" s="3"/>
    </x:row>
    <x:row r="1009" ht="22" customHeight="1">
      <x:c r="A1009" s="3" t="str">
        <x:v>T2921410</x:v>
      </x:c>
      <x:c r="B1009" s="7" t="d">
        <x:v>2026-10-08T00:00:00.000Z</x:v>
      </x:c>
      <x:c r="C1009" s="3" t="str">
        <x:v>Taladrod</x:v>
      </x:c>
      <x:c r="D1009" s="3" t="str">
        <x:v>Toyota</x:v>
      </x:c>
      <x:c r="E1009" s="3" t="str">
        <x:v>日本</x:v>
      </x:c>
      <x:c r="F1009" s="3" t="str">
        <x:v>Yaris Ativ</x:v>
      </x:c>
      <x:c r="G1009" s="3" t="str">
        <x:v>ICE</x:v>
      </x:c>
      <x:c r="H1009" s="3" t="str">
        <x:v>Sedan</x:v>
      </x:c>
      <x:c r="I1009" s="3" t="str"/>
      <x:c r="J1009" s="3" t="n">
        <x:v>2023</x:v>
      </x:c>
      <x:c r="K1009" s="3" t="str">
        <x:v>1.2 PREMIUM LUXURY</x:v>
      </x:c>
      <x:c r="L1009" s="3" t="str">
        <x:v>PREMIUM LUXURY</x:v>
      </x:c>
      <x:c r="M1009" s="22"/>
      <x:c r="N1009" s="22"/>
      <x:c r="O1009" s="22"/>
      <x:c r="P1009" s="3" t="str">
        <x:v>未掲載</x:v>
      </x:c>
      <x:c r="Q1009" s="3" t="str">
        <x:v>未取得</x:v>
      </x:c>
      <x:c r="R1009" s="3" t="str">
        <x:v>Unknown</x:v>
      </x:c>
      <x:c r="S1009" s="3" t="str">
        <x:v>不明</x:v>
      </x:c>
      <x:c r="T1009" s="3" t="str">
        <x:v>22-ปัจจุบัน</x:v>
      </x:c>
      <x:c r="U1009" s="28" t="n">
        <x:v>479000</x:v>
      </x:c>
      <x:c r="V1009" s="28" t="n">
        <x:v>689000</x:v>
      </x:c>
      <x:c r="W1009" s="3" t="str">
        <x:v>事故・水没・SOH・保証残は未確認</x:v>
      </x:c>
      <x:c r="X1009" s="3" t="str">
        <x:v>掲載中・在庫未確認</x:v>
      </x:c>
      <x:c r="Y1009" s="3" t="str"/>
      <x:c r="Z1009" s="27" t="str">
        <x:v>https://www.taladrod.com/w40/icar/cardet.aspx?cid=2921410</x:v>
      </x:c>
      <x:c r="AA1009" s="3" t="str">
        <x:v>Taladrod個別広告ID／Carsome在庫ID</x:v>
      </x:c>
      <x:c r="AB1009" s="3" t="str">
        <x:v>車台番号未取得／サイト間重複は未判定</x:v>
      </x:c>
      <x:c r="AC1009" s="3" t="str">
        <x:v>税込区分未確認（一覧表示額）</x:v>
      </x:c>
      <x:c r="AD1009" s="3" t="str"/>
      <x:c r="AE1009" s="29" t="str">
        <x:f>""</x:f>
      </x:c>
      <x:c r="AF1009" s="30" t="str">
        <x:f>IF(ISNUMBER(AE1009),U1009/AE1009,"")</x:f>
      </x:c>
      <x:c r="AG1009" s="29" t="str">
        <x:f>""</x:f>
      </x:c>
      <x:c r="AH1009" s="30" t="str">
        <x:f>IF(ISNUMBER(AG1009),U1009/AG1009,"")</x:f>
      </x:c>
      <x:c r="AI1009" s="3" t="str">
        <x:v>同年式・グレードの検証済み当時価格なし／登録年混在</x:v>
      </x:c>
      <x:c r="AJ1009" s="3" t="str">
        <x:v>一覧価格/年式のみ</x:v>
      </x:c>
      <x:c r="AK1009" s="3" t="str">
        <x:v>一覧の表示価格。年式は掲載年式。</x:v>
      </x:c>
      <x:c r="AL1009" s="31" t="n">
        <x:f>IF(AND(J1009&lt;='分析方法'!$B$7,OR(ISBLANK(O1009),O1009&gt;='分析方法'!$B$8),X1009&lt;&gt;"売却済み表示"),1,0)</x:f>
        <x:v>1</x:v>
      </x:c>
      <x:c r="AM1009" s="32" t="n">
        <x:f>IF(AL1009=1,U1009,"")</x:f>
        <x:v>479000</x:v>
      </x:c>
      <x:c r="AN1009" s="33" t="str">
        <x:f>IF(AL1009=1,AF1009,"")</x:f>
      </x:c>
      <x:c r="AO1009" s="31" t="n">
        <x:f>'分析方法'!$B$6-J1009</x:f>
        <x:v>3</x:v>
      </x:c>
      <x:c r="AP1009" s="3"/>
    </x:row>
    <x:row r="1010" ht="22" customHeight="1">
      <x:c r="A1010" s="3" t="str">
        <x:v>T2921903</x:v>
      </x:c>
      <x:c r="B1010" s="7" t="d">
        <x:v>2026-10-08T00:00:00.000Z</x:v>
      </x:c>
      <x:c r="C1010" s="3" t="str">
        <x:v>Taladrod</x:v>
      </x:c>
      <x:c r="D1010" s="3" t="str">
        <x:v>Toyota</x:v>
      </x:c>
      <x:c r="E1010" s="3" t="str">
        <x:v>日本</x:v>
      </x:c>
      <x:c r="F1010" s="3" t="str">
        <x:v>Yaris Ativ</x:v>
      </x:c>
      <x:c r="G1010" s="3" t="str">
        <x:v>ICE</x:v>
      </x:c>
      <x:c r="H1010" s="3" t="str">
        <x:v>Sedan</x:v>
      </x:c>
      <x:c r="I1010" s="3" t="str"/>
      <x:c r="J1010" s="3" t="n">
        <x:v>2023</x:v>
      </x:c>
      <x:c r="K1010" s="3" t="str">
        <x:v>1.2 PREMIUM LUXURY</x:v>
      </x:c>
      <x:c r="L1010" s="3" t="str">
        <x:v>PREMIUM LUXURY</x:v>
      </x:c>
      <x:c r="M1010" s="22"/>
      <x:c r="N1010" s="22"/>
      <x:c r="O1010" s="22"/>
      <x:c r="P1010" s="3" t="str">
        <x:v>未掲載</x:v>
      </x:c>
      <x:c r="Q1010" s="3" t="str">
        <x:v>未取得</x:v>
      </x:c>
      <x:c r="R1010" s="3" t="str">
        <x:v>Unknown</x:v>
      </x:c>
      <x:c r="S1010" s="3" t="str">
        <x:v>不明</x:v>
      </x:c>
      <x:c r="T1010" s="3" t="str">
        <x:v>22-ปัจจุบัน</x:v>
      </x:c>
      <x:c r="U1010" s="28" t="n">
        <x:v>489000</x:v>
      </x:c>
      <x:c r="V1010" s="28" t="n">
        <x:v>689000</x:v>
      </x:c>
      <x:c r="W1010" s="3" t="str">
        <x:v>事故・水没・SOH・保証残は未確認</x:v>
      </x:c>
      <x:c r="X1010" s="3" t="str">
        <x:v>掲載中・在庫未確認</x:v>
      </x:c>
      <x:c r="Y1010" s="3" t="str"/>
      <x:c r="Z1010" s="27" t="str">
        <x:v>https://www.taladrod.com/w40/icar/cardet.aspx?cid=2921903</x:v>
      </x:c>
      <x:c r="AA1010" s="3" t="str">
        <x:v>Taladrod個別広告ID／Carsome在庫ID</x:v>
      </x:c>
      <x:c r="AB1010" s="3" t="str">
        <x:v>車台番号未取得／サイト間重複は未判定</x:v>
      </x:c>
      <x:c r="AC1010" s="3" t="str">
        <x:v>税込区分未確認（一覧表示額）</x:v>
      </x:c>
      <x:c r="AD1010" s="3" t="str"/>
      <x:c r="AE1010" s="29" t="str">
        <x:f>""</x:f>
      </x:c>
      <x:c r="AF1010" s="30" t="str">
        <x:f>IF(ISNUMBER(AE1010),U1010/AE1010,"")</x:f>
      </x:c>
      <x:c r="AG1010" s="29" t="str">
        <x:f>""</x:f>
      </x:c>
      <x:c r="AH1010" s="30" t="str">
        <x:f>IF(ISNUMBER(AG1010),U1010/AG1010,"")</x:f>
      </x:c>
      <x:c r="AI1010" s="3" t="str">
        <x:v>同年式・グレードの検証済み当時価格なし／登録年混在</x:v>
      </x:c>
      <x:c r="AJ1010" s="3" t="str">
        <x:v>一覧価格/年式のみ</x:v>
      </x:c>
      <x:c r="AK1010" s="3" t="str">
        <x:v>一覧の表示価格。年式は掲載年式。</x:v>
      </x:c>
      <x:c r="AL1010" s="31" t="n">
        <x:f>IF(AND(J1010&lt;='分析方法'!$B$7,OR(ISBLANK(O1010),O1010&gt;='分析方法'!$B$8),X1010&lt;&gt;"売却済み表示"),1,0)</x:f>
        <x:v>1</x:v>
      </x:c>
      <x:c r="AM1010" s="32" t="n">
        <x:f>IF(AL1010=1,U1010,"")</x:f>
        <x:v>489000</x:v>
      </x:c>
      <x:c r="AN1010" s="33" t="str">
        <x:f>IF(AL1010=1,AF1010,"")</x:f>
      </x:c>
      <x:c r="AO1010" s="31" t="n">
        <x:f>'分析方法'!$B$6-J1010</x:f>
        <x:v>3</x:v>
      </x:c>
      <x:c r="AP1010" s="3"/>
    </x:row>
    <x:row r="1011" ht="22" customHeight="1">
      <x:c r="A1011" s="3" t="str">
        <x:v>T2921997</x:v>
      </x:c>
      <x:c r="B1011" s="7" t="d">
        <x:v>2026-10-08T00:00:00.000Z</x:v>
      </x:c>
      <x:c r="C1011" s="3" t="str">
        <x:v>Taladrod</x:v>
      </x:c>
      <x:c r="D1011" s="3" t="str">
        <x:v>Toyota</x:v>
      </x:c>
      <x:c r="E1011" s="3" t="str">
        <x:v>日本</x:v>
      </x:c>
      <x:c r="F1011" s="3" t="str">
        <x:v>Yaris Ativ</x:v>
      </x:c>
      <x:c r="G1011" s="3" t="str">
        <x:v>ICE</x:v>
      </x:c>
      <x:c r="H1011" s="3" t="str">
        <x:v>Sedan</x:v>
      </x:c>
      <x:c r="I1011" s="3" t="str"/>
      <x:c r="J1011" s="3" t="n">
        <x:v>2023</x:v>
      </x:c>
      <x:c r="K1011" s="3" t="str">
        <x:v>1.2 PREMIUM LUXURY</x:v>
      </x:c>
      <x:c r="L1011" s="3" t="str">
        <x:v>PREMIUM LUXURY</x:v>
      </x:c>
      <x:c r="M1011" s="22"/>
      <x:c r="N1011" s="22"/>
      <x:c r="O1011" s="22"/>
      <x:c r="P1011" s="3" t="str">
        <x:v>未掲載</x:v>
      </x:c>
      <x:c r="Q1011" s="3" t="str">
        <x:v>未取得</x:v>
      </x:c>
      <x:c r="R1011" s="3" t="str">
        <x:v>Unknown</x:v>
      </x:c>
      <x:c r="S1011" s="3" t="str">
        <x:v>不明</x:v>
      </x:c>
      <x:c r="T1011" s="3" t="str">
        <x:v>22-ปัจจุบัน</x:v>
      </x:c>
      <x:c r="U1011" s="28" t="n">
        <x:v>499000</x:v>
      </x:c>
      <x:c r="V1011" s="28" t="n">
        <x:v>689000</x:v>
      </x:c>
      <x:c r="W1011" s="3" t="str">
        <x:v>事故・水没・SOH・保証残は未確認</x:v>
      </x:c>
      <x:c r="X1011" s="3" t="str">
        <x:v>掲載中・在庫未確認</x:v>
      </x:c>
      <x:c r="Y1011" s="3" t="str"/>
      <x:c r="Z1011" s="27" t="str">
        <x:v>https://www.taladrod.com/w40/icar/cardet.aspx?cid=2921997</x:v>
      </x:c>
      <x:c r="AA1011" s="3" t="str">
        <x:v>Taladrod個別広告ID／Carsome在庫ID</x:v>
      </x:c>
      <x:c r="AB1011" s="3" t="str">
        <x:v>車台番号未取得／サイト間重複は未判定</x:v>
      </x:c>
      <x:c r="AC1011" s="3" t="str">
        <x:v>税込区分未確認（一覧表示額）</x:v>
      </x:c>
      <x:c r="AD1011" s="3" t="str"/>
      <x:c r="AE1011" s="29" t="str">
        <x:f>""</x:f>
      </x:c>
      <x:c r="AF1011" s="30" t="str">
        <x:f>IF(ISNUMBER(AE1011),U1011/AE1011,"")</x:f>
      </x:c>
      <x:c r="AG1011" s="29" t="str">
        <x:f>""</x:f>
      </x:c>
      <x:c r="AH1011" s="30" t="str">
        <x:f>IF(ISNUMBER(AG1011),U1011/AG1011,"")</x:f>
      </x:c>
      <x:c r="AI1011" s="3" t="str">
        <x:v>同年式・グレードの検証済み当時価格なし／登録年混在</x:v>
      </x:c>
      <x:c r="AJ1011" s="3" t="str">
        <x:v>一覧価格/年式のみ</x:v>
      </x:c>
      <x:c r="AK1011" s="3" t="str">
        <x:v>一覧の表示価格。年式は掲載年式。</x:v>
      </x:c>
      <x:c r="AL1011" s="31" t="n">
        <x:f>IF(AND(J1011&lt;='分析方法'!$B$7,OR(ISBLANK(O1011),O1011&gt;='分析方法'!$B$8),X1011&lt;&gt;"売却済み表示"),1,0)</x:f>
        <x:v>1</x:v>
      </x:c>
      <x:c r="AM1011" s="32" t="n">
        <x:f>IF(AL1011=1,U1011,"")</x:f>
        <x:v>499000</x:v>
      </x:c>
      <x:c r="AN1011" s="33" t="str">
        <x:f>IF(AL1011=1,AF1011,"")</x:f>
      </x:c>
      <x:c r="AO1011" s="31" t="n">
        <x:f>'分析方法'!$B$6-J1011</x:f>
        <x:v>3</x:v>
      </x:c>
      <x:c r="AP1011" s="3"/>
    </x:row>
    <x:row r="1012" ht="22" customHeight="1">
      <x:c r="A1012" s="3" t="str">
        <x:v>T2923570</x:v>
      </x:c>
      <x:c r="B1012" s="7" t="d">
        <x:v>2026-10-08T00:00:00.000Z</x:v>
      </x:c>
      <x:c r="C1012" s="3" t="str">
        <x:v>Taladrod</x:v>
      </x:c>
      <x:c r="D1012" s="3" t="str">
        <x:v>Toyota</x:v>
      </x:c>
      <x:c r="E1012" s="3" t="str">
        <x:v>日本</x:v>
      </x:c>
      <x:c r="F1012" s="3" t="str">
        <x:v>Yaris Ativ</x:v>
      </x:c>
      <x:c r="G1012" s="3" t="str">
        <x:v>ICE</x:v>
      </x:c>
      <x:c r="H1012" s="3" t="str">
        <x:v>Sedan</x:v>
      </x:c>
      <x:c r="I1012" s="3" t="str"/>
      <x:c r="J1012" s="3" t="n">
        <x:v>2023</x:v>
      </x:c>
      <x:c r="K1012" s="3" t="str">
        <x:v>1.2 PREMIUM LUXURY</x:v>
      </x:c>
      <x:c r="L1012" s="3" t="str">
        <x:v>PREMIUM LUXURY</x:v>
      </x:c>
      <x:c r="M1012" s="22"/>
      <x:c r="N1012" s="22"/>
      <x:c r="O1012" s="22"/>
      <x:c r="P1012" s="3" t="str">
        <x:v>未掲載</x:v>
      </x:c>
      <x:c r="Q1012" s="3" t="str">
        <x:v>未取得</x:v>
      </x:c>
      <x:c r="R1012" s="3" t="str">
        <x:v>Unknown</x:v>
      </x:c>
      <x:c r="S1012" s="3" t="str">
        <x:v>不明</x:v>
      </x:c>
      <x:c r="T1012" s="3" t="str">
        <x:v>22-ปัจจุบัน</x:v>
      </x:c>
      <x:c r="U1012" s="28" t="n">
        <x:v>474000</x:v>
      </x:c>
      <x:c r="V1012" s="28" t="n">
        <x:v>689000</x:v>
      </x:c>
      <x:c r="W1012" s="3" t="str">
        <x:v>事故・水没・SOH・保証残は未確認</x:v>
      </x:c>
      <x:c r="X1012" s="3" t="str">
        <x:v>掲載中・在庫未確認</x:v>
      </x:c>
      <x:c r="Y1012" s="3" t="str"/>
      <x:c r="Z1012" s="27" t="str">
        <x:v>https://www.taladrod.com/w40/icar/cardet.aspx?cid=2923570</x:v>
      </x:c>
      <x:c r="AA1012" s="3" t="str">
        <x:v>Taladrod個別広告ID／Carsome在庫ID</x:v>
      </x:c>
      <x:c r="AB1012" s="3" t="str">
        <x:v>車台番号未取得／サイト間重複は未判定</x:v>
      </x:c>
      <x:c r="AC1012" s="3" t="str">
        <x:v>税込区分未確認（一覧表示額）</x:v>
      </x:c>
      <x:c r="AD1012" s="3" t="str"/>
      <x:c r="AE1012" s="29" t="str">
        <x:f>""</x:f>
      </x:c>
      <x:c r="AF1012" s="30" t="str">
        <x:f>IF(ISNUMBER(AE1012),U1012/AE1012,"")</x:f>
      </x:c>
      <x:c r="AG1012" s="29" t="str">
        <x:f>""</x:f>
      </x:c>
      <x:c r="AH1012" s="30" t="str">
        <x:f>IF(ISNUMBER(AG1012),U1012/AG1012,"")</x:f>
      </x:c>
      <x:c r="AI1012" s="3" t="str">
        <x:v>同年式・グレードの検証済み当時価格なし／登録年混在</x:v>
      </x:c>
      <x:c r="AJ1012" s="3" t="str">
        <x:v>一覧価格/年式のみ</x:v>
      </x:c>
      <x:c r="AK1012" s="3" t="str">
        <x:v>一覧の表示価格。年式は掲載年式。</x:v>
      </x:c>
      <x:c r="AL1012" s="31" t="n">
        <x:f>IF(AND(J1012&lt;='分析方法'!$B$7,OR(ISBLANK(O1012),O1012&gt;='分析方法'!$B$8),X1012&lt;&gt;"売却済み表示"),1,0)</x:f>
        <x:v>1</x:v>
      </x:c>
      <x:c r="AM1012" s="32" t="n">
        <x:f>IF(AL1012=1,U1012,"")</x:f>
        <x:v>474000</x:v>
      </x:c>
      <x:c r="AN1012" s="33" t="str">
        <x:f>IF(AL1012=1,AF1012,"")</x:f>
      </x:c>
      <x:c r="AO1012" s="31" t="n">
        <x:f>'分析方法'!$B$6-J1012</x:f>
        <x:v>3</x:v>
      </x:c>
      <x:c r="AP1012" s="3"/>
    </x:row>
    <x:row r="1013" ht="22" customHeight="1">
      <x:c r="A1013" s="3" t="str">
        <x:v>T2924156</x:v>
      </x:c>
      <x:c r="B1013" s="7" t="d">
        <x:v>2026-10-08T00:00:00.000Z</x:v>
      </x:c>
      <x:c r="C1013" s="3" t="str">
        <x:v>Taladrod</x:v>
      </x:c>
      <x:c r="D1013" s="3" t="str">
        <x:v>Toyota</x:v>
      </x:c>
      <x:c r="E1013" s="3" t="str">
        <x:v>日本</x:v>
      </x:c>
      <x:c r="F1013" s="3" t="str">
        <x:v>Yaris Ativ</x:v>
      </x:c>
      <x:c r="G1013" s="3" t="str">
        <x:v>ICE</x:v>
      </x:c>
      <x:c r="H1013" s="3" t="str">
        <x:v>Sedan</x:v>
      </x:c>
      <x:c r="I1013" s="3" t="str"/>
      <x:c r="J1013" s="3" t="n">
        <x:v>2023</x:v>
      </x:c>
      <x:c r="K1013" s="3" t="str">
        <x:v>1.2 PREMIUM LUXURY</x:v>
      </x:c>
      <x:c r="L1013" s="3" t="str">
        <x:v>PREMIUM LUXURY</x:v>
      </x:c>
      <x:c r="M1013" s="22"/>
      <x:c r="N1013" s="22"/>
      <x:c r="O1013" s="22"/>
      <x:c r="P1013" s="3" t="str">
        <x:v>未掲載</x:v>
      </x:c>
      <x:c r="Q1013" s="3" t="str">
        <x:v>未取得</x:v>
      </x:c>
      <x:c r="R1013" s="3" t="str">
        <x:v>Unknown</x:v>
      </x:c>
      <x:c r="S1013" s="3" t="str">
        <x:v>不明</x:v>
      </x:c>
      <x:c r="T1013" s="3" t="str">
        <x:v>22-ปัจจุบัน</x:v>
      </x:c>
      <x:c r="U1013" s="28" t="n">
        <x:v>509000</x:v>
      </x:c>
      <x:c r="V1013" s="28" t="n">
        <x:v>689000</x:v>
      </x:c>
      <x:c r="W1013" s="3" t="str">
        <x:v>事故・水没・SOH・保証残は未確認</x:v>
      </x:c>
      <x:c r="X1013" s="3" t="str">
        <x:v>掲載中・在庫未確認</x:v>
      </x:c>
      <x:c r="Y1013" s="3" t="str"/>
      <x:c r="Z1013" s="27" t="str">
        <x:v>https://www.taladrod.com/w40/icar/cardet.aspx?cid=2924156</x:v>
      </x:c>
      <x:c r="AA1013" s="3" t="str">
        <x:v>Taladrod個別広告ID／Carsome在庫ID</x:v>
      </x:c>
      <x:c r="AB1013" s="3" t="str">
        <x:v>車台番号未取得／サイト間重複は未判定</x:v>
      </x:c>
      <x:c r="AC1013" s="3" t="str">
        <x:v>税込区分未確認（一覧表示額）</x:v>
      </x:c>
      <x:c r="AD1013" s="3" t="str"/>
      <x:c r="AE1013" s="29" t="str">
        <x:f>""</x:f>
      </x:c>
      <x:c r="AF1013" s="30" t="str">
        <x:f>IF(ISNUMBER(AE1013),U1013/AE1013,"")</x:f>
      </x:c>
      <x:c r="AG1013" s="29" t="str">
        <x:f>""</x:f>
      </x:c>
      <x:c r="AH1013" s="30" t="str">
        <x:f>IF(ISNUMBER(AG1013),U1013/AG1013,"")</x:f>
      </x:c>
      <x:c r="AI1013" s="3" t="str">
        <x:v>同年式・グレードの検証済み当時価格なし／登録年混在</x:v>
      </x:c>
      <x:c r="AJ1013" s="3" t="str">
        <x:v>一覧価格/年式のみ</x:v>
      </x:c>
      <x:c r="AK1013" s="3" t="str">
        <x:v>一覧の表示価格。年式は掲載年式。</x:v>
      </x:c>
      <x:c r="AL1013" s="31" t="n">
        <x:f>IF(AND(J1013&lt;='分析方法'!$B$7,OR(ISBLANK(O1013),O1013&gt;='分析方法'!$B$8),X1013&lt;&gt;"売却済み表示"),1,0)</x:f>
        <x:v>1</x:v>
      </x:c>
      <x:c r="AM1013" s="32" t="n">
        <x:f>IF(AL1013=1,U1013,"")</x:f>
        <x:v>509000</x:v>
      </x:c>
      <x:c r="AN1013" s="33" t="str">
        <x:f>IF(AL1013=1,AF1013,"")</x:f>
      </x:c>
      <x:c r="AO1013" s="31" t="n">
        <x:f>'分析方法'!$B$6-J1013</x:f>
        <x:v>3</x:v>
      </x:c>
      <x:c r="AP1013" s="3"/>
    </x:row>
    <x:row r="1014" ht="22" customHeight="1">
      <x:c r="A1014" s="3" t="str">
        <x:v>T2925389</x:v>
      </x:c>
      <x:c r="B1014" s="7" t="d">
        <x:v>2026-10-08T00:00:00.000Z</x:v>
      </x:c>
      <x:c r="C1014" s="3" t="str">
        <x:v>Taladrod</x:v>
      </x:c>
      <x:c r="D1014" s="3" t="str">
        <x:v>Toyota</x:v>
      </x:c>
      <x:c r="E1014" s="3" t="str">
        <x:v>日本</x:v>
      </x:c>
      <x:c r="F1014" s="3" t="str">
        <x:v>Yaris Ativ</x:v>
      </x:c>
      <x:c r="G1014" s="3" t="str">
        <x:v>ICE</x:v>
      </x:c>
      <x:c r="H1014" s="3" t="str">
        <x:v>Sedan</x:v>
      </x:c>
      <x:c r="I1014" s="3" t="str"/>
      <x:c r="J1014" s="3" t="n">
        <x:v>2023</x:v>
      </x:c>
      <x:c r="K1014" s="3" t="str">
        <x:v>1.2 PREMIUM LUXURY</x:v>
      </x:c>
      <x:c r="L1014" s="3" t="str">
        <x:v>PREMIUM LUXURY</x:v>
      </x:c>
      <x:c r="M1014" s="22"/>
      <x:c r="N1014" s="22"/>
      <x:c r="O1014" s="22"/>
      <x:c r="P1014" s="3" t="str">
        <x:v>未掲載</x:v>
      </x:c>
      <x:c r="Q1014" s="3" t="str">
        <x:v>未取得</x:v>
      </x:c>
      <x:c r="R1014" s="3" t="str">
        <x:v>Unknown</x:v>
      </x:c>
      <x:c r="S1014" s="3" t="str">
        <x:v>不明</x:v>
      </x:c>
      <x:c r="T1014" s="3" t="str">
        <x:v>22-ปัจจุบัน</x:v>
      </x:c>
      <x:c r="U1014" s="28" t="n">
        <x:v>479000</x:v>
      </x:c>
      <x:c r="V1014" s="28" t="n">
        <x:v>689000</x:v>
      </x:c>
      <x:c r="W1014" s="3" t="str">
        <x:v>事故・水没・SOH・保証残は未確認</x:v>
      </x:c>
      <x:c r="X1014" s="3" t="str">
        <x:v>掲載中・在庫未確認</x:v>
      </x:c>
      <x:c r="Y1014" s="3" t="str"/>
      <x:c r="Z1014" s="27" t="str">
        <x:v>https://www.taladrod.com/w40/icar/cardet.aspx?cid=2925389</x:v>
      </x:c>
      <x:c r="AA1014" s="3" t="str">
        <x:v>Taladrod個別広告ID／Carsome在庫ID</x:v>
      </x:c>
      <x:c r="AB1014" s="3" t="str">
        <x:v>車台番号未取得／サイト間重複は未判定</x:v>
      </x:c>
      <x:c r="AC1014" s="3" t="str">
        <x:v>税込区分未確認（一覧表示額）</x:v>
      </x:c>
      <x:c r="AD1014" s="3" t="str"/>
      <x:c r="AE1014" s="29" t="str">
        <x:f>""</x:f>
      </x:c>
      <x:c r="AF1014" s="30" t="str">
        <x:f>IF(ISNUMBER(AE1014),U1014/AE1014,"")</x:f>
      </x:c>
      <x:c r="AG1014" s="29" t="str">
        <x:f>""</x:f>
      </x:c>
      <x:c r="AH1014" s="30" t="str">
        <x:f>IF(ISNUMBER(AG1014),U1014/AG1014,"")</x:f>
      </x:c>
      <x:c r="AI1014" s="3" t="str">
        <x:v>同年式・グレードの検証済み当時価格なし／登録年混在</x:v>
      </x:c>
      <x:c r="AJ1014" s="3" t="str">
        <x:v>一覧価格/年式のみ</x:v>
      </x:c>
      <x:c r="AK1014" s="3" t="str">
        <x:v>一覧の表示価格。年式は掲載年式。</x:v>
      </x:c>
      <x:c r="AL1014" s="31" t="n">
        <x:f>IF(AND(J1014&lt;='分析方法'!$B$7,OR(ISBLANK(O1014),O1014&gt;='分析方法'!$B$8),X1014&lt;&gt;"売却済み表示"),1,0)</x:f>
        <x:v>1</x:v>
      </x:c>
      <x:c r="AM1014" s="32" t="n">
        <x:f>IF(AL1014=1,U1014,"")</x:f>
        <x:v>479000</x:v>
      </x:c>
      <x:c r="AN1014" s="33" t="str">
        <x:f>IF(AL1014=1,AF1014,"")</x:f>
      </x:c>
      <x:c r="AO1014" s="31" t="n">
        <x:f>'分析方法'!$B$6-J1014</x:f>
        <x:v>3</x:v>
      </x:c>
      <x:c r="AP1014" s="3"/>
    </x:row>
    <x:row r="1015" ht="22" customHeight="1">
      <x:c r="A1015" s="3" t="str">
        <x:v>T2925478</x:v>
      </x:c>
      <x:c r="B1015" s="7" t="d">
        <x:v>2026-10-08T00:00:00.000Z</x:v>
      </x:c>
      <x:c r="C1015" s="3" t="str">
        <x:v>Taladrod</x:v>
      </x:c>
      <x:c r="D1015" s="3" t="str">
        <x:v>Toyota</x:v>
      </x:c>
      <x:c r="E1015" s="3" t="str">
        <x:v>日本</x:v>
      </x:c>
      <x:c r="F1015" s="3" t="str">
        <x:v>Yaris Ativ</x:v>
      </x:c>
      <x:c r="G1015" s="3" t="str">
        <x:v>ICE</x:v>
      </x:c>
      <x:c r="H1015" s="3" t="str">
        <x:v>Sedan</x:v>
      </x:c>
      <x:c r="I1015" s="3" t="str"/>
      <x:c r="J1015" s="3" t="n">
        <x:v>2023</x:v>
      </x:c>
      <x:c r="K1015" s="3" t="str">
        <x:v>1.2 PREMIUM LUXURY</x:v>
      </x:c>
      <x:c r="L1015" s="3" t="str">
        <x:v>PREMIUM LUXURY</x:v>
      </x:c>
      <x:c r="M1015" s="22"/>
      <x:c r="N1015" s="22"/>
      <x:c r="O1015" s="22"/>
      <x:c r="P1015" s="3" t="str">
        <x:v>未掲載</x:v>
      </x:c>
      <x:c r="Q1015" s="3" t="str">
        <x:v>未取得</x:v>
      </x:c>
      <x:c r="R1015" s="3" t="str">
        <x:v>Unknown</x:v>
      </x:c>
      <x:c r="S1015" s="3" t="str">
        <x:v>不明</x:v>
      </x:c>
      <x:c r="T1015" s="3" t="str">
        <x:v>22-ปัจจุบัน</x:v>
      </x:c>
      <x:c r="U1015" s="28" t="n">
        <x:v>499000</x:v>
      </x:c>
      <x:c r="V1015" s="28" t="n">
        <x:v>689000</x:v>
      </x:c>
      <x:c r="W1015" s="3" t="str">
        <x:v>事故・水没・SOH・保証残は未確認</x:v>
      </x:c>
      <x:c r="X1015" s="3" t="str">
        <x:v>掲載中・在庫未確認</x:v>
      </x:c>
      <x:c r="Y1015" s="3" t="str"/>
      <x:c r="Z1015" s="27" t="str">
        <x:v>https://www.taladrod.com/w40/icar/cardet.aspx?cid=2925478</x:v>
      </x:c>
      <x:c r="AA1015" s="3" t="str">
        <x:v>Taladrod個別広告ID／Carsome在庫ID</x:v>
      </x:c>
      <x:c r="AB1015" s="3" t="str">
        <x:v>車台番号未取得／サイト間重複は未判定</x:v>
      </x:c>
      <x:c r="AC1015" s="3" t="str">
        <x:v>税込区分未確認（一覧表示額）</x:v>
      </x:c>
      <x:c r="AD1015" s="3" t="str"/>
      <x:c r="AE1015" s="29" t="str">
        <x:f>""</x:f>
      </x:c>
      <x:c r="AF1015" s="30" t="str">
        <x:f>IF(ISNUMBER(AE1015),U1015/AE1015,"")</x:f>
      </x:c>
      <x:c r="AG1015" s="29" t="str">
        <x:f>""</x:f>
      </x:c>
      <x:c r="AH1015" s="30" t="str">
        <x:f>IF(ISNUMBER(AG1015),U1015/AG1015,"")</x:f>
      </x:c>
      <x:c r="AI1015" s="3" t="str">
        <x:v>同年式・グレードの検証済み当時価格なし／登録年混在</x:v>
      </x:c>
      <x:c r="AJ1015" s="3" t="str">
        <x:v>一覧価格/年式のみ</x:v>
      </x:c>
      <x:c r="AK1015" s="3" t="str">
        <x:v>一覧の表示価格。年式は掲載年式。</x:v>
      </x:c>
      <x:c r="AL1015" s="31" t="n">
        <x:f>IF(AND(J1015&lt;='分析方法'!$B$7,OR(ISBLANK(O1015),O1015&gt;='分析方法'!$B$8),X1015&lt;&gt;"売却済み表示"),1,0)</x:f>
        <x:v>1</x:v>
      </x:c>
      <x:c r="AM1015" s="32" t="n">
        <x:f>IF(AL1015=1,U1015,"")</x:f>
        <x:v>499000</x:v>
      </x:c>
      <x:c r="AN1015" s="33" t="str">
        <x:f>IF(AL1015=1,AF1015,"")</x:f>
      </x:c>
      <x:c r="AO1015" s="31" t="n">
        <x:f>'分析方法'!$B$6-J1015</x:f>
        <x:v>3</x:v>
      </x:c>
      <x:c r="AP1015" s="3"/>
    </x:row>
    <x:row r="1016" ht="22" customHeight="1">
      <x:c r="A1016" s="3" t="str">
        <x:v>T2920245</x:v>
      </x:c>
      <x:c r="B1016" s="7" t="d">
        <x:v>2026-10-08T00:00:00.000Z</x:v>
      </x:c>
      <x:c r="C1016" s="3" t="str">
        <x:v>Taladrod</x:v>
      </x:c>
      <x:c r="D1016" s="3" t="str">
        <x:v>Toyota</x:v>
      </x:c>
      <x:c r="E1016" s="3" t="str">
        <x:v>日本</x:v>
      </x:c>
      <x:c r="F1016" s="3" t="str">
        <x:v>Yaris Ativ</x:v>
      </x:c>
      <x:c r="G1016" s="3" t="str">
        <x:v>ICE</x:v>
      </x:c>
      <x:c r="H1016" s="3" t="str">
        <x:v>Sedan</x:v>
      </x:c>
      <x:c r="I1016" s="3" t="str"/>
      <x:c r="J1016" s="3" t="n">
        <x:v>2023</x:v>
      </x:c>
      <x:c r="K1016" s="3" t="str">
        <x:v>1.2 PREMIUM LUXURY MODELLISTA</x:v>
      </x:c>
      <x:c r="L1016" s="3" t="str">
        <x:v>PREMIUM LUXURY MODELLISTA</x:v>
      </x:c>
      <x:c r="M1016" s="22"/>
      <x:c r="N1016" s="22"/>
      <x:c r="O1016" s="22"/>
      <x:c r="P1016" s="3" t="str">
        <x:v>未掲載</x:v>
      </x:c>
      <x:c r="Q1016" s="3" t="str">
        <x:v>未取得</x:v>
      </x:c>
      <x:c r="R1016" s="3" t="str">
        <x:v>Unknown</x:v>
      </x:c>
      <x:c r="S1016" s="3" t="str">
        <x:v>不明</x:v>
      </x:c>
      <x:c r="T1016" s="3" t="str">
        <x:v>22-ปัจจุบัน</x:v>
      </x:c>
      <x:c r="U1016" s="28" t="n">
        <x:v>499000</x:v>
      </x:c>
      <x:c r="V1016" s="28"/>
      <x:c r="W1016" s="3" t="str">
        <x:v>事故・水没・SOH・保証残は未確認</x:v>
      </x:c>
      <x:c r="X1016" s="3" t="str">
        <x:v>掲載中・在庫未確認</x:v>
      </x:c>
      <x:c r="Y1016" s="3" t="str"/>
      <x:c r="Z1016" s="27" t="str">
        <x:v>https://www.taladrod.com/w40/icar/cardet.aspx?cid=2920245</x:v>
      </x:c>
      <x:c r="AA1016" s="3" t="str">
        <x:v>Taladrod個別広告ID／Carsome在庫ID</x:v>
      </x:c>
      <x:c r="AB1016" s="3" t="str">
        <x:v>車台番号未取得／サイト間重複は未判定</x:v>
      </x:c>
      <x:c r="AC1016" s="3" t="str">
        <x:v>税込区分未確認（一覧表示額）</x:v>
      </x:c>
      <x:c r="AD1016" s="3" t="str"/>
      <x:c r="AE1016" s="29" t="str">
        <x:f>""</x:f>
      </x:c>
      <x:c r="AF1016" s="30" t="str">
        <x:f>IF(ISNUMBER(AE1016),U1016/AE1016,"")</x:f>
      </x:c>
      <x:c r="AG1016" s="29" t="str">
        <x:f>""</x:f>
      </x:c>
      <x:c r="AH1016" s="30" t="str">
        <x:f>IF(ISNUMBER(AG1016),U1016/AG1016,"")</x:f>
      </x:c>
      <x:c r="AI1016" s="3" t="str">
        <x:v>同年式・グレードの検証済み当時価格なし／登録年混在</x:v>
      </x:c>
      <x:c r="AJ1016" s="3" t="str">
        <x:v>一覧価格/年式のみ</x:v>
      </x:c>
      <x:c r="AK1016" s="3" t="str">
        <x:v>一覧の表示価格。年式は掲載年式。</x:v>
      </x:c>
      <x:c r="AL1016" s="31" t="n">
        <x:f>IF(AND(J1016&lt;='分析方法'!$B$7,OR(ISBLANK(O1016),O1016&gt;='分析方法'!$B$8),X1016&lt;&gt;"売却済み表示"),1,0)</x:f>
        <x:v>1</x:v>
      </x:c>
      <x:c r="AM1016" s="32" t="n">
        <x:f>IF(AL1016=1,U1016,"")</x:f>
        <x:v>499000</x:v>
      </x:c>
      <x:c r="AN1016" s="33" t="str">
        <x:f>IF(AL1016=1,AF1016,"")</x:f>
      </x:c>
      <x:c r="AO1016" s="31" t="n">
        <x:f>'分析方法'!$B$6-J1016</x:f>
        <x:v>3</x:v>
      </x:c>
      <x:c r="AP1016" s="3"/>
    </x:row>
    <x:row r="1017" ht="22" customHeight="1">
      <x:c r="A1017" s="3" t="str">
        <x:v>T2901233</x:v>
      </x:c>
      <x:c r="B1017" s="7" t="d">
        <x:v>2026-10-08T00:00:00.000Z</x:v>
      </x:c>
      <x:c r="C1017" s="3" t="str">
        <x:v>Taladrod</x:v>
      </x:c>
      <x:c r="D1017" s="3" t="str">
        <x:v>Toyota</x:v>
      </x:c>
      <x:c r="E1017" s="3" t="str">
        <x:v>日本</x:v>
      </x:c>
      <x:c r="F1017" s="3" t="str">
        <x:v>Yaris Ativ</x:v>
      </x:c>
      <x:c r="G1017" s="3" t="str">
        <x:v>ICE</x:v>
      </x:c>
      <x:c r="H1017" s="3" t="str">
        <x:v>Sedan</x:v>
      </x:c>
      <x:c r="I1017" s="3" t="str"/>
      <x:c r="J1017" s="3" t="n">
        <x:v>2023</x:v>
      </x:c>
      <x:c r="K1017" s="3" t="str">
        <x:v>1.2 SMART</x:v>
      </x:c>
      <x:c r="L1017" s="3" t="str">
        <x:v>SMART</x:v>
      </x:c>
      <x:c r="M1017" s="22"/>
      <x:c r="N1017" s="22"/>
      <x:c r="O1017" s="22"/>
      <x:c r="P1017" s="3" t="str">
        <x:v>未掲載</x:v>
      </x:c>
      <x:c r="Q1017" s="3" t="str">
        <x:v>未取得</x:v>
      </x:c>
      <x:c r="R1017" s="3" t="str">
        <x:v>Unknown</x:v>
      </x:c>
      <x:c r="S1017" s="3" t="str">
        <x:v>不明</x:v>
      </x:c>
      <x:c r="T1017" s="3" t="str">
        <x:v>22-ปัจจุบัน</x:v>
      </x:c>
      <x:c r="U1017" s="28" t="n">
        <x:v>399000</x:v>
      </x:c>
      <x:c r="V1017" s="28" t="n">
        <x:v>584000</x:v>
      </x:c>
      <x:c r="W1017" s="3" t="str">
        <x:v>事故・水没・SOH・保証残は未確認</x:v>
      </x:c>
      <x:c r="X1017" s="3" t="str">
        <x:v>掲載中・在庫未確認</x:v>
      </x:c>
      <x:c r="Y1017" s="3" t="str"/>
      <x:c r="Z1017" s="27" t="str">
        <x:v>https://www.taladrod.com/w40/icar/cardet.aspx?cid=2901233</x:v>
      </x:c>
      <x:c r="AA1017" s="3" t="str">
        <x:v>Taladrod個別広告ID／Carsome在庫ID</x:v>
      </x:c>
      <x:c r="AB1017" s="3" t="str">
        <x:v>車台番号未取得／サイト間重複は未判定</x:v>
      </x:c>
      <x:c r="AC1017" s="3" t="str">
        <x:v>税込区分未確認（一覧表示額）</x:v>
      </x:c>
      <x:c r="AD1017" s="3" t="str"/>
      <x:c r="AE1017" s="29" t="str">
        <x:f>""</x:f>
      </x:c>
      <x:c r="AF1017" s="30" t="str">
        <x:f>IF(ISNUMBER(AE1017),U1017/AE1017,"")</x:f>
      </x:c>
      <x:c r="AG1017" s="29" t="str">
        <x:f>""</x:f>
      </x:c>
      <x:c r="AH1017" s="30" t="str">
        <x:f>IF(ISNUMBER(AG1017),U1017/AG1017,"")</x:f>
      </x:c>
      <x:c r="AI1017" s="3" t="str">
        <x:v>同年式・グレードの検証済み当時価格なし／登録年混在</x:v>
      </x:c>
      <x:c r="AJ1017" s="3" t="str">
        <x:v>一覧価格/年式のみ</x:v>
      </x:c>
      <x:c r="AK1017" s="3" t="str">
        <x:v>一覧の表示価格。年式は掲載年式。</x:v>
      </x:c>
      <x:c r="AL1017" s="31" t="n">
        <x:f>IF(AND(J1017&lt;='分析方法'!$B$7,OR(ISBLANK(O1017),O1017&gt;='分析方法'!$B$8),X1017&lt;&gt;"売却済み表示"),1,0)</x:f>
        <x:v>1</x:v>
      </x:c>
      <x:c r="AM1017" s="32" t="n">
        <x:f>IF(AL1017=1,U1017,"")</x:f>
        <x:v>399000</x:v>
      </x:c>
      <x:c r="AN1017" s="33" t="str">
        <x:f>IF(AL1017=1,AF1017,"")</x:f>
      </x:c>
      <x:c r="AO1017" s="31" t="n">
        <x:f>'分析方法'!$B$6-J1017</x:f>
        <x:v>3</x:v>
      </x:c>
      <x:c r="AP1017" s="3"/>
    </x:row>
    <x:row r="1018" ht="22" customHeight="1">
      <x:c r="A1018" s="3" t="str">
        <x:v>T2907339</x:v>
      </x:c>
      <x:c r="B1018" s="7" t="d">
        <x:v>2026-10-08T00:00:00.000Z</x:v>
      </x:c>
      <x:c r="C1018" s="3" t="str">
        <x:v>Taladrod</x:v>
      </x:c>
      <x:c r="D1018" s="3" t="str">
        <x:v>Toyota</x:v>
      </x:c>
      <x:c r="E1018" s="3" t="str">
        <x:v>日本</x:v>
      </x:c>
      <x:c r="F1018" s="3" t="str">
        <x:v>Yaris Ativ</x:v>
      </x:c>
      <x:c r="G1018" s="3" t="str">
        <x:v>ICE</x:v>
      </x:c>
      <x:c r="H1018" s="3" t="str">
        <x:v>Sedan</x:v>
      </x:c>
      <x:c r="I1018" s="3" t="str"/>
      <x:c r="J1018" s="3" t="n">
        <x:v>2023</x:v>
      </x:c>
      <x:c r="K1018" s="3" t="str">
        <x:v>1.2 SMART</x:v>
      </x:c>
      <x:c r="L1018" s="3" t="str">
        <x:v>SMART</x:v>
      </x:c>
      <x:c r="M1018" s="22"/>
      <x:c r="N1018" s="22"/>
      <x:c r="O1018" s="22"/>
      <x:c r="P1018" s="3" t="str">
        <x:v>未掲載</x:v>
      </x:c>
      <x:c r="Q1018" s="3" t="str">
        <x:v>未取得</x:v>
      </x:c>
      <x:c r="R1018" s="3" t="str">
        <x:v>Unknown</x:v>
      </x:c>
      <x:c r="S1018" s="3" t="str">
        <x:v>不明</x:v>
      </x:c>
      <x:c r="T1018" s="3" t="str">
        <x:v>22-ปัจจุบัน</x:v>
      </x:c>
      <x:c r="U1018" s="28" t="n">
        <x:v>419000</x:v>
      </x:c>
      <x:c r="V1018" s="28" t="n">
        <x:v>584000</x:v>
      </x:c>
      <x:c r="W1018" s="3" t="str">
        <x:v>事故・水没・SOH・保証残は未確認</x:v>
      </x:c>
      <x:c r="X1018" s="3" t="str">
        <x:v>掲載中・在庫未確認</x:v>
      </x:c>
      <x:c r="Y1018" s="3" t="str"/>
      <x:c r="Z1018" s="27" t="str">
        <x:v>https://www.taladrod.com/w40/icar/cardet.aspx?cid=2907339</x:v>
      </x:c>
      <x:c r="AA1018" s="3" t="str">
        <x:v>Taladrod個別広告ID／Carsome在庫ID</x:v>
      </x:c>
      <x:c r="AB1018" s="3" t="str">
        <x:v>車台番号未取得／サイト間重複は未判定</x:v>
      </x:c>
      <x:c r="AC1018" s="3" t="str">
        <x:v>税込区分未確認（一覧表示額）</x:v>
      </x:c>
      <x:c r="AD1018" s="3" t="str"/>
      <x:c r="AE1018" s="29" t="str">
        <x:f>""</x:f>
      </x:c>
      <x:c r="AF1018" s="30" t="str">
        <x:f>IF(ISNUMBER(AE1018),U1018/AE1018,"")</x:f>
      </x:c>
      <x:c r="AG1018" s="29" t="str">
        <x:f>""</x:f>
      </x:c>
      <x:c r="AH1018" s="30" t="str">
        <x:f>IF(ISNUMBER(AG1018),U1018/AG1018,"")</x:f>
      </x:c>
      <x:c r="AI1018" s="3" t="str">
        <x:v>同年式・グレードの検証済み当時価格なし／登録年混在</x:v>
      </x:c>
      <x:c r="AJ1018" s="3" t="str">
        <x:v>一覧価格/年式のみ</x:v>
      </x:c>
      <x:c r="AK1018" s="3" t="str">
        <x:v>一覧の表示価格。年式は掲載年式。</x:v>
      </x:c>
      <x:c r="AL1018" s="31" t="n">
        <x:f>IF(AND(J1018&lt;='分析方法'!$B$7,OR(ISBLANK(O1018),O1018&gt;='分析方法'!$B$8),X1018&lt;&gt;"売却済み表示"),1,0)</x:f>
        <x:v>1</x:v>
      </x:c>
      <x:c r="AM1018" s="32" t="n">
        <x:f>IF(AL1018=1,U1018,"")</x:f>
        <x:v>419000</x:v>
      </x:c>
      <x:c r="AN1018" s="33" t="str">
        <x:f>IF(AL1018=1,AF1018,"")</x:f>
      </x:c>
      <x:c r="AO1018" s="31" t="n">
        <x:f>'分析方法'!$B$6-J1018</x:f>
        <x:v>3</x:v>
      </x:c>
      <x:c r="AP1018" s="3"/>
    </x:row>
    <x:row r="1019" ht="22" customHeight="1">
      <x:c r="A1019" s="3" t="str">
        <x:v>T2907698</x:v>
      </x:c>
      <x:c r="B1019" s="7" t="d">
        <x:v>2026-10-08T00:00:00.000Z</x:v>
      </x:c>
      <x:c r="C1019" s="3" t="str">
        <x:v>Taladrod</x:v>
      </x:c>
      <x:c r="D1019" s="3" t="str">
        <x:v>Toyota</x:v>
      </x:c>
      <x:c r="E1019" s="3" t="str">
        <x:v>日本</x:v>
      </x:c>
      <x:c r="F1019" s="3" t="str">
        <x:v>Yaris Ativ</x:v>
      </x:c>
      <x:c r="G1019" s="3" t="str">
        <x:v>ICE</x:v>
      </x:c>
      <x:c r="H1019" s="3" t="str">
        <x:v>Sedan</x:v>
      </x:c>
      <x:c r="I1019" s="3" t="str"/>
      <x:c r="J1019" s="3" t="n">
        <x:v>2023</x:v>
      </x:c>
      <x:c r="K1019" s="3" t="str">
        <x:v>1.2 SMART</x:v>
      </x:c>
      <x:c r="L1019" s="3" t="str">
        <x:v>SMART</x:v>
      </x:c>
      <x:c r="M1019" s="22"/>
      <x:c r="N1019" s="22"/>
      <x:c r="O1019" s="22"/>
      <x:c r="P1019" s="3" t="str">
        <x:v>未掲載</x:v>
      </x:c>
      <x:c r="Q1019" s="3" t="str">
        <x:v>未取得</x:v>
      </x:c>
      <x:c r="R1019" s="3" t="str">
        <x:v>Unknown</x:v>
      </x:c>
      <x:c r="S1019" s="3" t="str">
        <x:v>不明</x:v>
      </x:c>
      <x:c r="T1019" s="3" t="str">
        <x:v>22-ปัจจุบัน</x:v>
      </x:c>
      <x:c r="U1019" s="28" t="n">
        <x:v>374000</x:v>
      </x:c>
      <x:c r="V1019" s="28" t="n">
        <x:v>584000</x:v>
      </x:c>
      <x:c r="W1019" s="3" t="str">
        <x:v>事故・水没・SOH・保証残は未確認</x:v>
      </x:c>
      <x:c r="X1019" s="3" t="str">
        <x:v>掲載中・在庫未確認</x:v>
      </x:c>
      <x:c r="Y1019" s="3" t="str"/>
      <x:c r="Z1019" s="27" t="str">
        <x:v>https://www.taladrod.com/w40/icar/cardet.aspx?cid=2907698</x:v>
      </x:c>
      <x:c r="AA1019" s="3" t="str">
        <x:v>Taladrod個別広告ID／Carsome在庫ID</x:v>
      </x:c>
      <x:c r="AB1019" s="3" t="str">
        <x:v>車台番号未取得／サイト間重複は未判定</x:v>
      </x:c>
      <x:c r="AC1019" s="3" t="str">
        <x:v>税込区分未確認（一覧表示額）</x:v>
      </x:c>
      <x:c r="AD1019" s="3" t="str"/>
      <x:c r="AE1019" s="29" t="str">
        <x:f>""</x:f>
      </x:c>
      <x:c r="AF1019" s="30" t="str">
        <x:f>IF(ISNUMBER(AE1019),U1019/AE1019,"")</x:f>
      </x:c>
      <x:c r="AG1019" s="29" t="str">
        <x:f>""</x:f>
      </x:c>
      <x:c r="AH1019" s="30" t="str">
        <x:f>IF(ISNUMBER(AG1019),U1019/AG1019,"")</x:f>
      </x:c>
      <x:c r="AI1019" s="3" t="str">
        <x:v>同年式・グレードの検証済み当時価格なし／登録年混在</x:v>
      </x:c>
      <x:c r="AJ1019" s="3" t="str">
        <x:v>一覧価格/年式のみ</x:v>
      </x:c>
      <x:c r="AK1019" s="3" t="str">
        <x:v>一覧の表示価格。年式は掲載年式。</x:v>
      </x:c>
      <x:c r="AL1019" s="31" t="n">
        <x:f>IF(AND(J1019&lt;='分析方法'!$B$7,OR(ISBLANK(O1019),O1019&gt;='分析方法'!$B$8),X1019&lt;&gt;"売却済み表示"),1,0)</x:f>
        <x:v>1</x:v>
      </x:c>
      <x:c r="AM1019" s="32" t="n">
        <x:f>IF(AL1019=1,U1019,"")</x:f>
        <x:v>374000</x:v>
      </x:c>
      <x:c r="AN1019" s="33" t="str">
        <x:f>IF(AL1019=1,AF1019,"")</x:f>
      </x:c>
      <x:c r="AO1019" s="31" t="n">
        <x:f>'分析方法'!$B$6-J1019</x:f>
        <x:v>3</x:v>
      </x:c>
      <x:c r="AP1019" s="3"/>
    </x:row>
    <x:row r="1020" ht="22" customHeight="1">
      <x:c r="A1020" s="3" t="str">
        <x:v>T2908590</x:v>
      </x:c>
      <x:c r="B1020" s="7" t="d">
        <x:v>2026-10-08T00:00:00.000Z</x:v>
      </x:c>
      <x:c r="C1020" s="3" t="str">
        <x:v>Taladrod</x:v>
      </x:c>
      <x:c r="D1020" s="3" t="str">
        <x:v>Toyota</x:v>
      </x:c>
      <x:c r="E1020" s="3" t="str">
        <x:v>日本</x:v>
      </x:c>
      <x:c r="F1020" s="3" t="str">
        <x:v>Yaris Ativ</x:v>
      </x:c>
      <x:c r="G1020" s="3" t="str">
        <x:v>ICE</x:v>
      </x:c>
      <x:c r="H1020" s="3" t="str">
        <x:v>Sedan</x:v>
      </x:c>
      <x:c r="I1020" s="3" t="str"/>
      <x:c r="J1020" s="3" t="n">
        <x:v>2023</x:v>
      </x:c>
      <x:c r="K1020" s="3" t="str">
        <x:v>1.2 SMART</x:v>
      </x:c>
      <x:c r="L1020" s="3" t="str">
        <x:v>SMART</x:v>
      </x:c>
      <x:c r="M1020" s="22"/>
      <x:c r="N1020" s="22"/>
      <x:c r="O1020" s="22"/>
      <x:c r="P1020" s="3" t="str">
        <x:v>未掲載</x:v>
      </x:c>
      <x:c r="Q1020" s="3" t="str">
        <x:v>未取得</x:v>
      </x:c>
      <x:c r="R1020" s="3" t="str">
        <x:v>Unknown</x:v>
      </x:c>
      <x:c r="S1020" s="3" t="str">
        <x:v>不明</x:v>
      </x:c>
      <x:c r="T1020" s="3" t="str">
        <x:v>22-ปัจจุบัน</x:v>
      </x:c>
      <x:c r="U1020" s="28" t="n">
        <x:v>434000</x:v>
      </x:c>
      <x:c r="V1020" s="28" t="n">
        <x:v>584000</x:v>
      </x:c>
      <x:c r="W1020" s="3" t="str">
        <x:v>事故・水没・SOH・保証残は未確認</x:v>
      </x:c>
      <x:c r="X1020" s="3" t="str">
        <x:v>掲載中・在庫未確認</x:v>
      </x:c>
      <x:c r="Y1020" s="3" t="str"/>
      <x:c r="Z1020" s="27" t="str">
        <x:v>https://www.taladrod.com/w40/icar/cardet.aspx?cid=2908590</x:v>
      </x:c>
      <x:c r="AA1020" s="3" t="str">
        <x:v>Taladrod個別広告ID／Carsome在庫ID</x:v>
      </x:c>
      <x:c r="AB1020" s="3" t="str">
        <x:v>車台番号未取得／サイト間重複は未判定</x:v>
      </x:c>
      <x:c r="AC1020" s="3" t="str">
        <x:v>税込区分未確認（一覧表示額）</x:v>
      </x:c>
      <x:c r="AD1020" s="3" t="str"/>
      <x:c r="AE1020" s="29" t="str">
        <x:f>""</x:f>
      </x:c>
      <x:c r="AF1020" s="30" t="str">
        <x:f>IF(ISNUMBER(AE1020),U1020/AE1020,"")</x:f>
      </x:c>
      <x:c r="AG1020" s="29" t="str">
        <x:f>""</x:f>
      </x:c>
      <x:c r="AH1020" s="30" t="str">
        <x:f>IF(ISNUMBER(AG1020),U1020/AG1020,"")</x:f>
      </x:c>
      <x:c r="AI1020" s="3" t="str">
        <x:v>同年式・グレードの検証済み当時価格なし／登録年混在</x:v>
      </x:c>
      <x:c r="AJ1020" s="3" t="str">
        <x:v>一覧価格/年式のみ</x:v>
      </x:c>
      <x:c r="AK1020" s="3" t="str">
        <x:v>一覧の表示価格。年式は掲載年式。</x:v>
      </x:c>
      <x:c r="AL1020" s="31" t="n">
        <x:f>IF(AND(J1020&lt;='分析方法'!$B$7,OR(ISBLANK(O1020),O1020&gt;='分析方法'!$B$8),X1020&lt;&gt;"売却済み表示"),1,0)</x:f>
        <x:v>1</x:v>
      </x:c>
      <x:c r="AM1020" s="32" t="n">
        <x:f>IF(AL1020=1,U1020,"")</x:f>
        <x:v>434000</x:v>
      </x:c>
      <x:c r="AN1020" s="33" t="str">
        <x:f>IF(AL1020=1,AF1020,"")</x:f>
      </x:c>
      <x:c r="AO1020" s="31" t="n">
        <x:f>'分析方法'!$B$6-J1020</x:f>
        <x:v>3</x:v>
      </x:c>
      <x:c r="AP1020" s="3"/>
    </x:row>
    <x:row r="1021" ht="22" customHeight="1">
      <x:c r="A1021" s="3" t="str">
        <x:v>T2909784</x:v>
      </x:c>
      <x:c r="B1021" s="7" t="d">
        <x:v>2026-10-08T00:00:00.000Z</x:v>
      </x:c>
      <x:c r="C1021" s="3" t="str">
        <x:v>Taladrod</x:v>
      </x:c>
      <x:c r="D1021" s="3" t="str">
        <x:v>Toyota</x:v>
      </x:c>
      <x:c r="E1021" s="3" t="str">
        <x:v>日本</x:v>
      </x:c>
      <x:c r="F1021" s="3" t="str">
        <x:v>Yaris Ativ</x:v>
      </x:c>
      <x:c r="G1021" s="3" t="str">
        <x:v>ICE</x:v>
      </x:c>
      <x:c r="H1021" s="3" t="str">
        <x:v>Sedan</x:v>
      </x:c>
      <x:c r="I1021" s="3" t="str"/>
      <x:c r="J1021" s="3" t="n">
        <x:v>2023</x:v>
      </x:c>
      <x:c r="K1021" s="3" t="str">
        <x:v>1.2 SMART</x:v>
      </x:c>
      <x:c r="L1021" s="3" t="str">
        <x:v>SMART</x:v>
      </x:c>
      <x:c r="M1021" s="22"/>
      <x:c r="N1021" s="22"/>
      <x:c r="O1021" s="22"/>
      <x:c r="P1021" s="3" t="str">
        <x:v>未掲載</x:v>
      </x:c>
      <x:c r="Q1021" s="3" t="str">
        <x:v>未取得</x:v>
      </x:c>
      <x:c r="R1021" s="3" t="str">
        <x:v>Unknown</x:v>
      </x:c>
      <x:c r="S1021" s="3" t="str">
        <x:v>不明</x:v>
      </x:c>
      <x:c r="T1021" s="3" t="str">
        <x:v>22-ปัจจุบัน</x:v>
      </x:c>
      <x:c r="U1021" s="28" t="n">
        <x:v>459000</x:v>
      </x:c>
      <x:c r="V1021" s="28" t="n">
        <x:v>584000</x:v>
      </x:c>
      <x:c r="W1021" s="3" t="str">
        <x:v>事故・水没・SOH・保証残は未確認</x:v>
      </x:c>
      <x:c r="X1021" s="3" t="str">
        <x:v>掲載中・在庫未確認</x:v>
      </x:c>
      <x:c r="Y1021" s="3" t="str"/>
      <x:c r="Z1021" s="27" t="str">
        <x:v>https://www.taladrod.com/w40/icar/cardet.aspx?cid=2909784</x:v>
      </x:c>
      <x:c r="AA1021" s="3" t="str">
        <x:v>Taladrod個別広告ID／Carsome在庫ID</x:v>
      </x:c>
      <x:c r="AB1021" s="3" t="str">
        <x:v>車台番号未取得／サイト間重複は未判定</x:v>
      </x:c>
      <x:c r="AC1021" s="3" t="str">
        <x:v>税込区分未確認（一覧表示額）</x:v>
      </x:c>
      <x:c r="AD1021" s="3" t="str"/>
      <x:c r="AE1021" s="29" t="str">
        <x:f>""</x:f>
      </x:c>
      <x:c r="AF1021" s="30" t="str">
        <x:f>IF(ISNUMBER(AE1021),U1021/AE1021,"")</x:f>
      </x:c>
      <x:c r="AG1021" s="29" t="str">
        <x:f>""</x:f>
      </x:c>
      <x:c r="AH1021" s="30" t="str">
        <x:f>IF(ISNUMBER(AG1021),U1021/AG1021,"")</x:f>
      </x:c>
      <x:c r="AI1021" s="3" t="str">
        <x:v>同年式・グレードの検証済み当時価格なし／登録年混在</x:v>
      </x:c>
      <x:c r="AJ1021" s="3" t="str">
        <x:v>一覧価格/年式のみ</x:v>
      </x:c>
      <x:c r="AK1021" s="3" t="str">
        <x:v>一覧の表示価格。年式は掲載年式。</x:v>
      </x:c>
      <x:c r="AL1021" s="31" t="n">
        <x:f>IF(AND(J1021&lt;='分析方法'!$B$7,OR(ISBLANK(O1021),O1021&gt;='分析方法'!$B$8),X1021&lt;&gt;"売却済み表示"),1,0)</x:f>
        <x:v>1</x:v>
      </x:c>
      <x:c r="AM1021" s="32" t="n">
        <x:f>IF(AL1021=1,U1021,"")</x:f>
        <x:v>459000</x:v>
      </x:c>
      <x:c r="AN1021" s="33" t="str">
        <x:f>IF(AL1021=1,AF1021,"")</x:f>
      </x:c>
      <x:c r="AO1021" s="31" t="n">
        <x:f>'分析方法'!$B$6-J1021</x:f>
        <x:v>3</x:v>
      </x:c>
      <x:c r="AP1021" s="3"/>
    </x:row>
    <x:row r="1022" ht="22" customHeight="1">
      <x:c r="A1022" s="3" t="str">
        <x:v>T2910457</x:v>
      </x:c>
      <x:c r="B1022" s="7" t="d">
        <x:v>2026-10-08T00:00:00.000Z</x:v>
      </x:c>
      <x:c r="C1022" s="3" t="str">
        <x:v>Taladrod</x:v>
      </x:c>
      <x:c r="D1022" s="3" t="str">
        <x:v>Toyota</x:v>
      </x:c>
      <x:c r="E1022" s="3" t="str">
        <x:v>日本</x:v>
      </x:c>
      <x:c r="F1022" s="3" t="str">
        <x:v>Yaris Ativ</x:v>
      </x:c>
      <x:c r="G1022" s="3" t="str">
        <x:v>ICE</x:v>
      </x:c>
      <x:c r="H1022" s="3" t="str">
        <x:v>Sedan</x:v>
      </x:c>
      <x:c r="I1022" s="3" t="str"/>
      <x:c r="J1022" s="3" t="n">
        <x:v>2023</x:v>
      </x:c>
      <x:c r="K1022" s="3" t="str">
        <x:v>1.2 SMART</x:v>
      </x:c>
      <x:c r="L1022" s="3" t="str">
        <x:v>SMART</x:v>
      </x:c>
      <x:c r="M1022" s="22"/>
      <x:c r="N1022" s="22"/>
      <x:c r="O1022" s="22"/>
      <x:c r="P1022" s="3" t="str">
        <x:v>未掲載</x:v>
      </x:c>
      <x:c r="Q1022" s="3" t="str">
        <x:v>未取得</x:v>
      </x:c>
      <x:c r="R1022" s="3" t="str">
        <x:v>Unknown</x:v>
      </x:c>
      <x:c r="S1022" s="3" t="str">
        <x:v>不明</x:v>
      </x:c>
      <x:c r="T1022" s="3" t="str">
        <x:v>22-ปัจจุบัน</x:v>
      </x:c>
      <x:c r="U1022" s="28" t="n">
        <x:v>429000</x:v>
      </x:c>
      <x:c r="V1022" s="28" t="n">
        <x:v>584000</x:v>
      </x:c>
      <x:c r="W1022" s="3" t="str">
        <x:v>事故・水没・SOH・保証残は未確認</x:v>
      </x:c>
      <x:c r="X1022" s="3" t="str">
        <x:v>掲載中・在庫未確認</x:v>
      </x:c>
      <x:c r="Y1022" s="3" t="str"/>
      <x:c r="Z1022" s="27" t="str">
        <x:v>https://www.taladrod.com/w40/icar/cardet.aspx?cid=2910457</x:v>
      </x:c>
      <x:c r="AA1022" s="3" t="str">
        <x:v>Taladrod個別広告ID／Carsome在庫ID</x:v>
      </x:c>
      <x:c r="AB1022" s="3" t="str">
        <x:v>車台番号未取得／サイト間重複は未判定</x:v>
      </x:c>
      <x:c r="AC1022" s="3" t="str">
        <x:v>税込区分未確認（一覧表示額）</x:v>
      </x:c>
      <x:c r="AD1022" s="3" t="str"/>
      <x:c r="AE1022" s="29" t="str">
        <x:f>""</x:f>
      </x:c>
      <x:c r="AF1022" s="30" t="str">
        <x:f>IF(ISNUMBER(AE1022),U1022/AE1022,"")</x:f>
      </x:c>
      <x:c r="AG1022" s="29" t="str">
        <x:f>""</x:f>
      </x:c>
      <x:c r="AH1022" s="30" t="str">
        <x:f>IF(ISNUMBER(AG1022),U1022/AG1022,"")</x:f>
      </x:c>
      <x:c r="AI1022" s="3" t="str">
        <x:v>同年式・グレードの検証済み当時価格なし／登録年混在</x:v>
      </x:c>
      <x:c r="AJ1022" s="3" t="str">
        <x:v>一覧価格/年式のみ</x:v>
      </x:c>
      <x:c r="AK1022" s="3" t="str">
        <x:v>一覧の表示価格。年式は掲載年式。</x:v>
      </x:c>
      <x:c r="AL1022" s="31" t="n">
        <x:f>IF(AND(J1022&lt;='分析方法'!$B$7,OR(ISBLANK(O1022),O1022&gt;='分析方法'!$B$8),X1022&lt;&gt;"売却済み表示"),1,0)</x:f>
        <x:v>1</x:v>
      </x:c>
      <x:c r="AM1022" s="32" t="n">
        <x:f>IF(AL1022=1,U1022,"")</x:f>
        <x:v>429000</x:v>
      </x:c>
      <x:c r="AN1022" s="33" t="str">
        <x:f>IF(AL1022=1,AF1022,"")</x:f>
      </x:c>
      <x:c r="AO1022" s="31" t="n">
        <x:f>'分析方法'!$B$6-J1022</x:f>
        <x:v>3</x:v>
      </x:c>
      <x:c r="AP1022" s="3"/>
    </x:row>
    <x:row r="1023" ht="22" customHeight="1">
      <x:c r="A1023" s="3" t="str">
        <x:v>T2911159</x:v>
      </x:c>
      <x:c r="B1023" s="7" t="d">
        <x:v>2026-10-08T00:00:00.000Z</x:v>
      </x:c>
      <x:c r="C1023" s="3" t="str">
        <x:v>Taladrod</x:v>
      </x:c>
      <x:c r="D1023" s="3" t="str">
        <x:v>Toyota</x:v>
      </x:c>
      <x:c r="E1023" s="3" t="str">
        <x:v>日本</x:v>
      </x:c>
      <x:c r="F1023" s="3" t="str">
        <x:v>Yaris Ativ</x:v>
      </x:c>
      <x:c r="G1023" s="3" t="str">
        <x:v>ICE</x:v>
      </x:c>
      <x:c r="H1023" s="3" t="str">
        <x:v>Sedan</x:v>
      </x:c>
      <x:c r="I1023" s="3" t="str"/>
      <x:c r="J1023" s="3" t="n">
        <x:v>2023</x:v>
      </x:c>
      <x:c r="K1023" s="3" t="str">
        <x:v>1.2 SMART</x:v>
      </x:c>
      <x:c r="L1023" s="3" t="str">
        <x:v>SMART</x:v>
      </x:c>
      <x:c r="M1023" s="22"/>
      <x:c r="N1023" s="22"/>
      <x:c r="O1023" s="22"/>
      <x:c r="P1023" s="3" t="str">
        <x:v>未掲載</x:v>
      </x:c>
      <x:c r="Q1023" s="3" t="str">
        <x:v>未取得</x:v>
      </x:c>
      <x:c r="R1023" s="3" t="str">
        <x:v>Unknown</x:v>
      </x:c>
      <x:c r="S1023" s="3" t="str">
        <x:v>不明</x:v>
      </x:c>
      <x:c r="T1023" s="3" t="str">
        <x:v>22-ปัจจุบัน</x:v>
      </x:c>
      <x:c r="U1023" s="28" t="n">
        <x:v>419000</x:v>
      </x:c>
      <x:c r="V1023" s="28" t="n">
        <x:v>584000</x:v>
      </x:c>
      <x:c r="W1023" s="3" t="str">
        <x:v>事故・水没・SOH・保証残は未確認</x:v>
      </x:c>
      <x:c r="X1023" s="3" t="str">
        <x:v>掲載中・在庫未確認</x:v>
      </x:c>
      <x:c r="Y1023" s="3" t="str"/>
      <x:c r="Z1023" s="27" t="str">
        <x:v>https://www.taladrod.com/w40/icar/cardet.aspx?cid=2911159</x:v>
      </x:c>
      <x:c r="AA1023" s="3" t="str">
        <x:v>Taladrod個別広告ID／Carsome在庫ID</x:v>
      </x:c>
      <x:c r="AB1023" s="3" t="str">
        <x:v>車台番号未取得／サイト間重複は未判定</x:v>
      </x:c>
      <x:c r="AC1023" s="3" t="str">
        <x:v>税込区分未確認（一覧表示額）</x:v>
      </x:c>
      <x:c r="AD1023" s="3" t="str"/>
      <x:c r="AE1023" s="29" t="str">
        <x:f>""</x:f>
      </x:c>
      <x:c r="AF1023" s="30" t="str">
        <x:f>IF(ISNUMBER(AE1023),U1023/AE1023,"")</x:f>
      </x:c>
      <x:c r="AG1023" s="29" t="str">
        <x:f>""</x:f>
      </x:c>
      <x:c r="AH1023" s="30" t="str">
        <x:f>IF(ISNUMBER(AG1023),U1023/AG1023,"")</x:f>
      </x:c>
      <x:c r="AI1023" s="3" t="str">
        <x:v>同年式・グレードの検証済み当時価格なし／登録年混在</x:v>
      </x:c>
      <x:c r="AJ1023" s="3" t="str">
        <x:v>一覧価格/年式のみ</x:v>
      </x:c>
      <x:c r="AK1023" s="3" t="str">
        <x:v>一覧の表示価格。年式は掲載年式。</x:v>
      </x:c>
      <x:c r="AL1023" s="31" t="n">
        <x:f>IF(AND(J1023&lt;='分析方法'!$B$7,OR(ISBLANK(O1023),O1023&gt;='分析方法'!$B$8),X1023&lt;&gt;"売却済み表示"),1,0)</x:f>
        <x:v>1</x:v>
      </x:c>
      <x:c r="AM1023" s="32" t="n">
        <x:f>IF(AL1023=1,U1023,"")</x:f>
        <x:v>419000</x:v>
      </x:c>
      <x:c r="AN1023" s="33" t="str">
        <x:f>IF(AL1023=1,AF1023,"")</x:f>
      </x:c>
      <x:c r="AO1023" s="31" t="n">
        <x:f>'分析方法'!$B$6-J1023</x:f>
        <x:v>3</x:v>
      </x:c>
      <x:c r="AP1023" s="3"/>
    </x:row>
    <x:row r="1024" ht="22" customHeight="1">
      <x:c r="A1024" s="3" t="str">
        <x:v>T2915519</x:v>
      </x:c>
      <x:c r="B1024" s="7" t="d">
        <x:v>2026-10-08T00:00:00.000Z</x:v>
      </x:c>
      <x:c r="C1024" s="3" t="str">
        <x:v>Taladrod</x:v>
      </x:c>
      <x:c r="D1024" s="3" t="str">
        <x:v>Toyota</x:v>
      </x:c>
      <x:c r="E1024" s="3" t="str">
        <x:v>日本</x:v>
      </x:c>
      <x:c r="F1024" s="3" t="str">
        <x:v>Yaris Ativ</x:v>
      </x:c>
      <x:c r="G1024" s="3" t="str">
        <x:v>ICE</x:v>
      </x:c>
      <x:c r="H1024" s="3" t="str">
        <x:v>Sedan</x:v>
      </x:c>
      <x:c r="I1024" s="3" t="str"/>
      <x:c r="J1024" s="3" t="n">
        <x:v>2023</x:v>
      </x:c>
      <x:c r="K1024" s="3" t="str">
        <x:v>1.2 SMART</x:v>
      </x:c>
      <x:c r="L1024" s="3" t="str">
        <x:v>SMART</x:v>
      </x:c>
      <x:c r="M1024" s="22"/>
      <x:c r="N1024" s="22"/>
      <x:c r="O1024" s="22"/>
      <x:c r="P1024" s="3" t="str">
        <x:v>未掲載</x:v>
      </x:c>
      <x:c r="Q1024" s="3" t="str">
        <x:v>未取得</x:v>
      </x:c>
      <x:c r="R1024" s="3" t="str">
        <x:v>Unknown</x:v>
      </x:c>
      <x:c r="S1024" s="3" t="str">
        <x:v>不明</x:v>
      </x:c>
      <x:c r="T1024" s="3" t="str">
        <x:v>22-ปัจจุบัน</x:v>
      </x:c>
      <x:c r="U1024" s="28" t="n">
        <x:v>429000</x:v>
      </x:c>
      <x:c r="V1024" s="28" t="n">
        <x:v>584000</x:v>
      </x:c>
      <x:c r="W1024" s="3" t="str">
        <x:v>事故・水没・SOH・保証残は未確認</x:v>
      </x:c>
      <x:c r="X1024" s="3" t="str">
        <x:v>掲載中・在庫未確認</x:v>
      </x:c>
      <x:c r="Y1024" s="3" t="str"/>
      <x:c r="Z1024" s="27" t="str">
        <x:v>https://www.taladrod.com/w40/icar/cardet.aspx?cid=2915519</x:v>
      </x:c>
      <x:c r="AA1024" s="3" t="str">
        <x:v>Taladrod個別広告ID／Carsome在庫ID</x:v>
      </x:c>
      <x:c r="AB1024" s="3" t="str">
        <x:v>車台番号未取得／サイト間重複は未判定</x:v>
      </x:c>
      <x:c r="AC1024" s="3" t="str">
        <x:v>税込区分未確認（一覧表示額）</x:v>
      </x:c>
      <x:c r="AD1024" s="3" t="str"/>
      <x:c r="AE1024" s="29" t="str">
        <x:f>""</x:f>
      </x:c>
      <x:c r="AF1024" s="30" t="str">
        <x:f>IF(ISNUMBER(AE1024),U1024/AE1024,"")</x:f>
      </x:c>
      <x:c r="AG1024" s="29" t="str">
        <x:f>""</x:f>
      </x:c>
      <x:c r="AH1024" s="30" t="str">
        <x:f>IF(ISNUMBER(AG1024),U1024/AG1024,"")</x:f>
      </x:c>
      <x:c r="AI1024" s="3" t="str">
        <x:v>同年式・グレードの検証済み当時価格なし／登録年混在</x:v>
      </x:c>
      <x:c r="AJ1024" s="3" t="str">
        <x:v>一覧価格/年式のみ</x:v>
      </x:c>
      <x:c r="AK1024" s="3" t="str">
        <x:v>一覧の表示価格。年式は掲載年式。</x:v>
      </x:c>
      <x:c r="AL1024" s="31" t="n">
        <x:f>IF(AND(J1024&lt;='分析方法'!$B$7,OR(ISBLANK(O1024),O1024&gt;='分析方法'!$B$8),X1024&lt;&gt;"売却済み表示"),1,0)</x:f>
        <x:v>1</x:v>
      </x:c>
      <x:c r="AM1024" s="32" t="n">
        <x:f>IF(AL1024=1,U1024,"")</x:f>
        <x:v>429000</x:v>
      </x:c>
      <x:c r="AN1024" s="33" t="str">
        <x:f>IF(AL1024=1,AF1024,"")</x:f>
      </x:c>
      <x:c r="AO1024" s="31" t="n">
        <x:f>'分析方法'!$B$6-J1024</x:f>
        <x:v>3</x:v>
      </x:c>
      <x:c r="AP1024" s="3"/>
    </x:row>
    <x:row r="1025" ht="22" customHeight="1">
      <x:c r="A1025" s="3" t="str">
        <x:v>T2915946</x:v>
      </x:c>
      <x:c r="B1025" s="7" t="d">
        <x:v>2026-10-08T00:00:00.000Z</x:v>
      </x:c>
      <x:c r="C1025" s="3" t="str">
        <x:v>Taladrod</x:v>
      </x:c>
      <x:c r="D1025" s="3" t="str">
        <x:v>Toyota</x:v>
      </x:c>
      <x:c r="E1025" s="3" t="str">
        <x:v>日本</x:v>
      </x:c>
      <x:c r="F1025" s="3" t="str">
        <x:v>Yaris Ativ</x:v>
      </x:c>
      <x:c r="G1025" s="3" t="str">
        <x:v>ICE</x:v>
      </x:c>
      <x:c r="H1025" s="3" t="str">
        <x:v>Sedan</x:v>
      </x:c>
      <x:c r="I1025" s="3" t="str"/>
      <x:c r="J1025" s="3" t="n">
        <x:v>2023</x:v>
      </x:c>
      <x:c r="K1025" s="3" t="str">
        <x:v>1.2 SMART</x:v>
      </x:c>
      <x:c r="L1025" s="3" t="str">
        <x:v>SMART</x:v>
      </x:c>
      <x:c r="M1025" s="22"/>
      <x:c r="N1025" s="22"/>
      <x:c r="O1025" s="22"/>
      <x:c r="P1025" s="3" t="str">
        <x:v>未掲載</x:v>
      </x:c>
      <x:c r="Q1025" s="3" t="str">
        <x:v>未取得</x:v>
      </x:c>
      <x:c r="R1025" s="3" t="str">
        <x:v>Unknown</x:v>
      </x:c>
      <x:c r="S1025" s="3" t="str">
        <x:v>不明</x:v>
      </x:c>
      <x:c r="T1025" s="3" t="str">
        <x:v>22-ปัจจุบัน</x:v>
      </x:c>
      <x:c r="U1025" s="28" t="n">
        <x:v>419000</x:v>
      </x:c>
      <x:c r="V1025" s="28" t="n">
        <x:v>584000</x:v>
      </x:c>
      <x:c r="W1025" s="3" t="str">
        <x:v>事故・水没・SOH・保証残は未確認</x:v>
      </x:c>
      <x:c r="X1025" s="3" t="str">
        <x:v>掲載中・在庫未確認</x:v>
      </x:c>
      <x:c r="Y1025" s="3" t="str"/>
      <x:c r="Z1025" s="27" t="str">
        <x:v>https://www.taladrod.com/w40/icar/cardet.aspx?cid=2915946</x:v>
      </x:c>
      <x:c r="AA1025" s="3" t="str">
        <x:v>Taladrod個別広告ID／Carsome在庫ID</x:v>
      </x:c>
      <x:c r="AB1025" s="3" t="str">
        <x:v>車台番号未取得／サイト間重複は未判定</x:v>
      </x:c>
      <x:c r="AC1025" s="3" t="str">
        <x:v>税込区分未確認（一覧表示額）</x:v>
      </x:c>
      <x:c r="AD1025" s="3" t="str"/>
      <x:c r="AE1025" s="29" t="str">
        <x:f>""</x:f>
      </x:c>
      <x:c r="AF1025" s="30" t="str">
        <x:f>IF(ISNUMBER(AE1025),U1025/AE1025,"")</x:f>
      </x:c>
      <x:c r="AG1025" s="29" t="str">
        <x:f>""</x:f>
      </x:c>
      <x:c r="AH1025" s="30" t="str">
        <x:f>IF(ISNUMBER(AG1025),U1025/AG1025,"")</x:f>
      </x:c>
      <x:c r="AI1025" s="3" t="str">
        <x:v>同年式・グレードの検証済み当時価格なし／登録年混在</x:v>
      </x:c>
      <x:c r="AJ1025" s="3" t="str">
        <x:v>一覧価格/年式のみ</x:v>
      </x:c>
      <x:c r="AK1025" s="3" t="str">
        <x:v>一覧の表示価格。年式は掲載年式。</x:v>
      </x:c>
      <x:c r="AL1025" s="31" t="n">
        <x:f>IF(AND(J1025&lt;='分析方法'!$B$7,OR(ISBLANK(O1025),O1025&gt;='分析方法'!$B$8),X1025&lt;&gt;"売却済み表示"),1,0)</x:f>
        <x:v>1</x:v>
      </x:c>
      <x:c r="AM1025" s="32" t="n">
        <x:f>IF(AL1025=1,U1025,"")</x:f>
        <x:v>419000</x:v>
      </x:c>
      <x:c r="AN1025" s="33" t="str">
        <x:f>IF(AL1025=1,AF1025,"")</x:f>
      </x:c>
      <x:c r="AO1025" s="31" t="n">
        <x:f>'分析方法'!$B$6-J1025</x:f>
        <x:v>3</x:v>
      </x:c>
      <x:c r="AP1025" s="3"/>
    </x:row>
    <x:row r="1026" ht="22" customHeight="1">
      <x:c r="A1026" s="3" t="str">
        <x:v>T2917587</x:v>
      </x:c>
      <x:c r="B1026" s="7" t="d">
        <x:v>2026-10-08T00:00:00.000Z</x:v>
      </x:c>
      <x:c r="C1026" s="3" t="str">
        <x:v>Taladrod</x:v>
      </x:c>
      <x:c r="D1026" s="3" t="str">
        <x:v>Toyota</x:v>
      </x:c>
      <x:c r="E1026" s="3" t="str">
        <x:v>日本</x:v>
      </x:c>
      <x:c r="F1026" s="3" t="str">
        <x:v>Yaris Ativ</x:v>
      </x:c>
      <x:c r="G1026" s="3" t="str">
        <x:v>ICE</x:v>
      </x:c>
      <x:c r="H1026" s="3" t="str">
        <x:v>Sedan</x:v>
      </x:c>
      <x:c r="I1026" s="3" t="str"/>
      <x:c r="J1026" s="3" t="n">
        <x:v>2023</x:v>
      </x:c>
      <x:c r="K1026" s="3" t="str">
        <x:v>1.2 SMART</x:v>
      </x:c>
      <x:c r="L1026" s="3" t="str">
        <x:v>SMART</x:v>
      </x:c>
      <x:c r="M1026" s="22"/>
      <x:c r="N1026" s="22"/>
      <x:c r="O1026" s="22"/>
      <x:c r="P1026" s="3" t="str">
        <x:v>未掲載</x:v>
      </x:c>
      <x:c r="Q1026" s="3" t="str">
        <x:v>未取得</x:v>
      </x:c>
      <x:c r="R1026" s="3" t="str">
        <x:v>Unknown</x:v>
      </x:c>
      <x:c r="S1026" s="3" t="str">
        <x:v>不明</x:v>
      </x:c>
      <x:c r="T1026" s="3" t="str">
        <x:v>22-ปัจจุบัน</x:v>
      </x:c>
      <x:c r="U1026" s="28" t="n">
        <x:v>434000</x:v>
      </x:c>
      <x:c r="V1026" s="28" t="n">
        <x:v>584000</x:v>
      </x:c>
      <x:c r="W1026" s="3" t="str">
        <x:v>事故・水没・SOH・保証残は未確認</x:v>
      </x:c>
      <x:c r="X1026" s="3" t="str">
        <x:v>掲載中・在庫未確認</x:v>
      </x:c>
      <x:c r="Y1026" s="3" t="str"/>
      <x:c r="Z1026" s="27" t="str">
        <x:v>https://www.taladrod.com/w40/icar/cardet.aspx?cid=2917587</x:v>
      </x:c>
      <x:c r="AA1026" s="3" t="str">
        <x:v>Taladrod個別広告ID／Carsome在庫ID</x:v>
      </x:c>
      <x:c r="AB1026" s="3" t="str">
        <x:v>車台番号未取得／サイト間重複は未判定</x:v>
      </x:c>
      <x:c r="AC1026" s="3" t="str">
        <x:v>税込区分未確認（一覧表示額）</x:v>
      </x:c>
      <x:c r="AD1026" s="3" t="str"/>
      <x:c r="AE1026" s="29" t="str">
        <x:f>""</x:f>
      </x:c>
      <x:c r="AF1026" s="30" t="str">
        <x:f>IF(ISNUMBER(AE1026),U1026/AE1026,"")</x:f>
      </x:c>
      <x:c r="AG1026" s="29" t="str">
        <x:f>""</x:f>
      </x:c>
      <x:c r="AH1026" s="30" t="str">
        <x:f>IF(ISNUMBER(AG1026),U1026/AG1026,"")</x:f>
      </x:c>
      <x:c r="AI1026" s="3" t="str">
        <x:v>同年式・グレードの検証済み当時価格なし／登録年混在</x:v>
      </x:c>
      <x:c r="AJ1026" s="3" t="str">
        <x:v>一覧価格/年式のみ</x:v>
      </x:c>
      <x:c r="AK1026" s="3" t="str">
        <x:v>一覧の表示価格。年式は掲載年式。</x:v>
      </x:c>
      <x:c r="AL1026" s="31" t="n">
        <x:f>IF(AND(J1026&lt;='分析方法'!$B$7,OR(ISBLANK(O1026),O1026&gt;='分析方法'!$B$8),X1026&lt;&gt;"売却済み表示"),1,0)</x:f>
        <x:v>1</x:v>
      </x:c>
      <x:c r="AM1026" s="32" t="n">
        <x:f>IF(AL1026=1,U1026,"")</x:f>
        <x:v>434000</x:v>
      </x:c>
      <x:c r="AN1026" s="33" t="str">
        <x:f>IF(AL1026=1,AF1026,"")</x:f>
      </x:c>
      <x:c r="AO1026" s="31" t="n">
        <x:f>'分析方法'!$B$6-J1026</x:f>
        <x:v>3</x:v>
      </x:c>
      <x:c r="AP1026" s="3"/>
    </x:row>
    <x:row r="1027" ht="22" customHeight="1">
      <x:c r="A1027" s="3" t="str">
        <x:v>T2923661</x:v>
      </x:c>
      <x:c r="B1027" s="7" t="d">
        <x:v>2026-10-08T00:00:00.000Z</x:v>
      </x:c>
      <x:c r="C1027" s="3" t="str">
        <x:v>Taladrod</x:v>
      </x:c>
      <x:c r="D1027" s="3" t="str">
        <x:v>Toyota</x:v>
      </x:c>
      <x:c r="E1027" s="3" t="str">
        <x:v>日本</x:v>
      </x:c>
      <x:c r="F1027" s="3" t="str">
        <x:v>Yaris Ativ</x:v>
      </x:c>
      <x:c r="G1027" s="3" t="str">
        <x:v>ICE</x:v>
      </x:c>
      <x:c r="H1027" s="3" t="str">
        <x:v>Sedan</x:v>
      </x:c>
      <x:c r="I1027" s="3" t="str"/>
      <x:c r="J1027" s="3" t="n">
        <x:v>2023</x:v>
      </x:c>
      <x:c r="K1027" s="3" t="str">
        <x:v>1.2 SMART</x:v>
      </x:c>
      <x:c r="L1027" s="3" t="str">
        <x:v>SMART</x:v>
      </x:c>
      <x:c r="M1027" s="22"/>
      <x:c r="N1027" s="22"/>
      <x:c r="O1027" s="22"/>
      <x:c r="P1027" s="3" t="str">
        <x:v>未掲載</x:v>
      </x:c>
      <x:c r="Q1027" s="3" t="str">
        <x:v>未取得</x:v>
      </x:c>
      <x:c r="R1027" s="3" t="str">
        <x:v>Unknown</x:v>
      </x:c>
      <x:c r="S1027" s="3" t="str">
        <x:v>不明</x:v>
      </x:c>
      <x:c r="T1027" s="3" t="str">
        <x:v>22-ปัจจุบัน</x:v>
      </x:c>
      <x:c r="U1027" s="28" t="n">
        <x:v>414000</x:v>
      </x:c>
      <x:c r="V1027" s="28" t="n">
        <x:v>584000</x:v>
      </x:c>
      <x:c r="W1027" s="3" t="str">
        <x:v>事故・水没・SOH・保証残は未確認</x:v>
      </x:c>
      <x:c r="X1027" s="3" t="str">
        <x:v>掲載中・在庫未確認</x:v>
      </x:c>
      <x:c r="Y1027" s="3" t="str"/>
      <x:c r="Z1027" s="27" t="str">
        <x:v>https://www.taladrod.com/w40/icar/cardet.aspx?cid=2923661</x:v>
      </x:c>
      <x:c r="AA1027" s="3" t="str">
        <x:v>Taladrod個別広告ID／Carsome在庫ID</x:v>
      </x:c>
      <x:c r="AB1027" s="3" t="str">
        <x:v>車台番号未取得／サイト間重複は未判定</x:v>
      </x:c>
      <x:c r="AC1027" s="3" t="str">
        <x:v>税込区分未確認（一覧表示額）</x:v>
      </x:c>
      <x:c r="AD1027" s="3" t="str"/>
      <x:c r="AE1027" s="29" t="str">
        <x:f>""</x:f>
      </x:c>
      <x:c r="AF1027" s="30" t="str">
        <x:f>IF(ISNUMBER(AE1027),U1027/AE1027,"")</x:f>
      </x:c>
      <x:c r="AG1027" s="29" t="str">
        <x:f>""</x:f>
      </x:c>
      <x:c r="AH1027" s="30" t="str">
        <x:f>IF(ISNUMBER(AG1027),U1027/AG1027,"")</x:f>
      </x:c>
      <x:c r="AI1027" s="3" t="str">
        <x:v>同年式・グレードの検証済み当時価格なし／登録年混在</x:v>
      </x:c>
      <x:c r="AJ1027" s="3" t="str">
        <x:v>一覧価格/年式のみ</x:v>
      </x:c>
      <x:c r="AK1027" s="3" t="str">
        <x:v>一覧の表示価格。年式は掲載年式。</x:v>
      </x:c>
      <x:c r="AL1027" s="31" t="n">
        <x:f>IF(AND(J1027&lt;='分析方法'!$B$7,OR(ISBLANK(O1027),O1027&gt;='分析方法'!$B$8),X1027&lt;&gt;"売却済み表示"),1,0)</x:f>
        <x:v>1</x:v>
      </x:c>
      <x:c r="AM1027" s="32" t="n">
        <x:f>IF(AL1027=1,U1027,"")</x:f>
        <x:v>414000</x:v>
      </x:c>
      <x:c r="AN1027" s="33" t="str">
        <x:f>IF(AL1027=1,AF1027,"")</x:f>
      </x:c>
      <x:c r="AO1027" s="31" t="n">
        <x:f>'分析方法'!$B$6-J1027</x:f>
        <x:v>3</x:v>
      </x:c>
      <x:c r="AP1027" s="3"/>
    </x:row>
    <x:row r="1028" ht="22" customHeight="1">
      <x:c r="A1028" s="3" t="str">
        <x:v>T2888600</x:v>
      </x:c>
      <x:c r="B1028" s="7" t="d">
        <x:v>2026-10-08T00:00:00.000Z</x:v>
      </x:c>
      <x:c r="C1028" s="3" t="str">
        <x:v>Taladrod</x:v>
      </x:c>
      <x:c r="D1028" s="3" t="str">
        <x:v>Toyota</x:v>
      </x:c>
      <x:c r="E1028" s="3" t="str">
        <x:v>日本</x:v>
      </x:c>
      <x:c r="F1028" s="3" t="str">
        <x:v>Yaris Ativ</x:v>
      </x:c>
      <x:c r="G1028" s="3" t="str">
        <x:v>ICE</x:v>
      </x:c>
      <x:c r="H1028" s="3" t="str">
        <x:v>Sedan</x:v>
      </x:c>
      <x:c r="I1028" s="3" t="str"/>
      <x:c r="J1028" s="3" t="n">
        <x:v>2023</x:v>
      </x:c>
      <x:c r="K1028" s="3" t="str">
        <x:v>1.2 SPORT</x:v>
      </x:c>
      <x:c r="L1028" s="3" t="str">
        <x:v>SPORT</x:v>
      </x:c>
      <x:c r="M1028" s="22"/>
      <x:c r="N1028" s="22"/>
      <x:c r="O1028" s="22"/>
      <x:c r="P1028" s="3" t="str">
        <x:v>未掲載</x:v>
      </x:c>
      <x:c r="Q1028" s="3" t="str">
        <x:v>未取得</x:v>
      </x:c>
      <x:c r="R1028" s="3" t="str">
        <x:v>Unknown</x:v>
      </x:c>
      <x:c r="S1028" s="3" t="str">
        <x:v>不明</x:v>
      </x:c>
      <x:c r="T1028" s="3" t="str">
        <x:v>22-ปัจจุบัน</x:v>
      </x:c>
      <x:c r="U1028" s="28" t="n">
        <x:v>465000</x:v>
      </x:c>
      <x:c r="V1028" s="28" t="n">
        <x:v>539000</x:v>
      </x:c>
      <x:c r="W1028" s="3" t="str">
        <x:v>事故・水没・SOH・保証残は未確認</x:v>
      </x:c>
      <x:c r="X1028" s="3" t="str">
        <x:v>掲載中・在庫未確認</x:v>
      </x:c>
      <x:c r="Y1028" s="3" t="str"/>
      <x:c r="Z1028" s="27" t="str">
        <x:v>https://www.taladrod.com/w40/icar/cardet.aspx?cid=2888600</x:v>
      </x:c>
      <x:c r="AA1028" s="3" t="str">
        <x:v>Taladrod個別広告ID／Carsome在庫ID</x:v>
      </x:c>
      <x:c r="AB1028" s="3" t="str">
        <x:v>車台番号未取得／サイト間重複は未判定</x:v>
      </x:c>
      <x:c r="AC1028" s="3" t="str">
        <x:v>税込区分未確認（一覧表示額）</x:v>
      </x:c>
      <x:c r="AD1028" s="3" t="str"/>
      <x:c r="AE1028" s="29" t="str">
        <x:f>""</x:f>
      </x:c>
      <x:c r="AF1028" s="30" t="str">
        <x:f>IF(ISNUMBER(AE1028),U1028/AE1028,"")</x:f>
      </x:c>
      <x:c r="AG1028" s="29" t="str">
        <x:f>""</x:f>
      </x:c>
      <x:c r="AH1028" s="30" t="str">
        <x:f>IF(ISNUMBER(AG1028),U1028/AG1028,"")</x:f>
      </x:c>
      <x:c r="AI1028" s="3" t="str">
        <x:v>同年式・グレードの検証済み当時価格なし／登録年混在</x:v>
      </x:c>
      <x:c r="AJ1028" s="3" t="str">
        <x:v>一覧価格/年式のみ</x:v>
      </x:c>
      <x:c r="AK1028" s="3" t="str">
        <x:v>一覧の表示価格。年式は掲載年式。</x:v>
      </x:c>
      <x:c r="AL1028" s="31" t="n">
        <x:f>IF(AND(J1028&lt;='分析方法'!$B$7,OR(ISBLANK(O1028),O1028&gt;='分析方法'!$B$8),X1028&lt;&gt;"売却済み表示"),1,0)</x:f>
        <x:v>1</x:v>
      </x:c>
      <x:c r="AM1028" s="32" t="n">
        <x:f>IF(AL1028=1,U1028,"")</x:f>
        <x:v>465000</x:v>
      </x:c>
      <x:c r="AN1028" s="33" t="str">
        <x:f>IF(AL1028=1,AF1028,"")</x:f>
      </x:c>
      <x:c r="AO1028" s="31" t="n">
        <x:f>'分析方法'!$B$6-J1028</x:f>
        <x:v>3</x:v>
      </x:c>
      <x:c r="AP1028" s="3"/>
    </x:row>
    <x:row r="1029" ht="22" customHeight="1">
      <x:c r="A1029" s="3" t="str">
        <x:v>T2892871</x:v>
      </x:c>
      <x:c r="B1029" s="7" t="d">
        <x:v>2026-10-08T00:00:00.000Z</x:v>
      </x:c>
      <x:c r="C1029" s="3" t="str">
        <x:v>Taladrod</x:v>
      </x:c>
      <x:c r="D1029" s="3" t="str">
        <x:v>Toyota</x:v>
      </x:c>
      <x:c r="E1029" s="3" t="str">
        <x:v>日本</x:v>
      </x:c>
      <x:c r="F1029" s="3" t="str">
        <x:v>Yaris Ativ</x:v>
      </x:c>
      <x:c r="G1029" s="3" t="str">
        <x:v>ICE</x:v>
      </x:c>
      <x:c r="H1029" s="3" t="str">
        <x:v>Sedan</x:v>
      </x:c>
      <x:c r="I1029" s="3" t="str"/>
      <x:c r="J1029" s="3" t="n">
        <x:v>2023</x:v>
      </x:c>
      <x:c r="K1029" s="3" t="str">
        <x:v>1.2 SPORT</x:v>
      </x:c>
      <x:c r="L1029" s="3" t="str">
        <x:v>SPORT</x:v>
      </x:c>
      <x:c r="M1029" s="22"/>
      <x:c r="N1029" s="22"/>
      <x:c r="O1029" s="22"/>
      <x:c r="P1029" s="3" t="str">
        <x:v>未掲載</x:v>
      </x:c>
      <x:c r="Q1029" s="3" t="str">
        <x:v>未取得</x:v>
      </x:c>
      <x:c r="R1029" s="3" t="str">
        <x:v>Unknown</x:v>
      </x:c>
      <x:c r="S1029" s="3" t="str">
        <x:v>不明</x:v>
      </x:c>
      <x:c r="T1029" s="3" t="str">
        <x:v>22-ปัจจุบัน</x:v>
      </x:c>
      <x:c r="U1029" s="28" t="n">
        <x:v>389000</x:v>
      </x:c>
      <x:c r="V1029" s="28" t="n">
        <x:v>539000</x:v>
      </x:c>
      <x:c r="W1029" s="3" t="str">
        <x:v>事故・水没・SOH・保証残は未確認</x:v>
      </x:c>
      <x:c r="X1029" s="3" t="str">
        <x:v>掲載中・在庫未確認</x:v>
      </x:c>
      <x:c r="Y1029" s="3" t="str"/>
      <x:c r="Z1029" s="27" t="str">
        <x:v>https://www.taladrod.com/w40/icar/cardet.aspx?cid=2892871</x:v>
      </x:c>
      <x:c r="AA1029" s="3" t="str">
        <x:v>Taladrod個別広告ID／Carsome在庫ID</x:v>
      </x:c>
      <x:c r="AB1029" s="3" t="str">
        <x:v>車台番号未取得／サイト間重複は未判定</x:v>
      </x:c>
      <x:c r="AC1029" s="3" t="str">
        <x:v>税込区分未確認（一覧表示額）</x:v>
      </x:c>
      <x:c r="AD1029" s="3" t="str"/>
      <x:c r="AE1029" s="29" t="str">
        <x:f>""</x:f>
      </x:c>
      <x:c r="AF1029" s="30" t="str">
        <x:f>IF(ISNUMBER(AE1029),U1029/AE1029,"")</x:f>
      </x:c>
      <x:c r="AG1029" s="29" t="str">
        <x:f>""</x:f>
      </x:c>
      <x:c r="AH1029" s="30" t="str">
        <x:f>IF(ISNUMBER(AG1029),U1029/AG1029,"")</x:f>
      </x:c>
      <x:c r="AI1029" s="3" t="str">
        <x:v>同年式・グレードの検証済み当時価格なし／登録年混在</x:v>
      </x:c>
      <x:c r="AJ1029" s="3" t="str">
        <x:v>一覧価格/年式のみ</x:v>
      </x:c>
      <x:c r="AK1029" s="3" t="str">
        <x:v>一覧の表示価格。年式は掲載年式。</x:v>
      </x:c>
      <x:c r="AL1029" s="31" t="n">
        <x:f>IF(AND(J1029&lt;='分析方法'!$B$7,OR(ISBLANK(O1029),O1029&gt;='分析方法'!$B$8),X1029&lt;&gt;"売却済み表示"),1,0)</x:f>
        <x:v>1</x:v>
      </x:c>
      <x:c r="AM1029" s="32" t="n">
        <x:f>IF(AL1029=1,U1029,"")</x:f>
        <x:v>389000</x:v>
      </x:c>
      <x:c r="AN1029" s="33" t="str">
        <x:f>IF(AL1029=1,AF1029,"")</x:f>
      </x:c>
      <x:c r="AO1029" s="31" t="n">
        <x:f>'分析方法'!$B$6-J1029</x:f>
        <x:v>3</x:v>
      </x:c>
      <x:c r="AP1029" s="3"/>
    </x:row>
    <x:row r="1030" ht="22" customHeight="1">
      <x:c r="A1030" s="3" t="str">
        <x:v>T2893244</x:v>
      </x:c>
      <x:c r="B1030" s="7" t="d">
        <x:v>2026-10-08T00:00:00.000Z</x:v>
      </x:c>
      <x:c r="C1030" s="3" t="str">
        <x:v>Taladrod</x:v>
      </x:c>
      <x:c r="D1030" s="3" t="str">
        <x:v>Toyota</x:v>
      </x:c>
      <x:c r="E1030" s="3" t="str">
        <x:v>日本</x:v>
      </x:c>
      <x:c r="F1030" s="3" t="str">
        <x:v>Yaris Ativ</x:v>
      </x:c>
      <x:c r="G1030" s="3" t="str">
        <x:v>ICE</x:v>
      </x:c>
      <x:c r="H1030" s="3" t="str">
        <x:v>Sedan</x:v>
      </x:c>
      <x:c r="I1030" s="3" t="str"/>
      <x:c r="J1030" s="3" t="n">
        <x:v>2023</x:v>
      </x:c>
      <x:c r="K1030" s="3" t="str">
        <x:v>1.2 SPORT</x:v>
      </x:c>
      <x:c r="L1030" s="3" t="str">
        <x:v>SPORT</x:v>
      </x:c>
      <x:c r="M1030" s="22"/>
      <x:c r="N1030" s="22"/>
      <x:c r="O1030" s="22"/>
      <x:c r="P1030" s="3" t="str">
        <x:v>未掲載</x:v>
      </x:c>
      <x:c r="Q1030" s="3" t="str">
        <x:v>未取得</x:v>
      </x:c>
      <x:c r="R1030" s="3" t="str">
        <x:v>Unknown</x:v>
      </x:c>
      <x:c r="S1030" s="3" t="str">
        <x:v>不明</x:v>
      </x:c>
      <x:c r="T1030" s="3" t="str">
        <x:v>22-ปัจจุบัน</x:v>
      </x:c>
      <x:c r="U1030" s="28" t="n">
        <x:v>429000</x:v>
      </x:c>
      <x:c r="V1030" s="28" t="n">
        <x:v>539000</x:v>
      </x:c>
      <x:c r="W1030" s="3" t="str">
        <x:v>事故・水没・SOH・保証残は未確認</x:v>
      </x:c>
      <x:c r="X1030" s="3" t="str">
        <x:v>掲載中・在庫未確認</x:v>
      </x:c>
      <x:c r="Y1030" s="3" t="str"/>
      <x:c r="Z1030" s="27" t="str">
        <x:v>https://www.taladrod.com/w40/icar/cardet.aspx?cid=2893244</x:v>
      </x:c>
      <x:c r="AA1030" s="3" t="str">
        <x:v>Taladrod個別広告ID／Carsome在庫ID</x:v>
      </x:c>
      <x:c r="AB1030" s="3" t="str">
        <x:v>車台番号未取得／サイト間重複は未判定</x:v>
      </x:c>
      <x:c r="AC1030" s="3" t="str">
        <x:v>税込区分未確認（一覧表示額）</x:v>
      </x:c>
      <x:c r="AD1030" s="3" t="str"/>
      <x:c r="AE1030" s="29" t="str">
        <x:f>""</x:f>
      </x:c>
      <x:c r="AF1030" s="30" t="str">
        <x:f>IF(ISNUMBER(AE1030),U1030/AE1030,"")</x:f>
      </x:c>
      <x:c r="AG1030" s="29" t="str">
        <x:f>""</x:f>
      </x:c>
      <x:c r="AH1030" s="30" t="str">
        <x:f>IF(ISNUMBER(AG1030),U1030/AG1030,"")</x:f>
      </x:c>
      <x:c r="AI1030" s="3" t="str">
        <x:v>同年式・グレードの検証済み当時価格なし／登録年混在</x:v>
      </x:c>
      <x:c r="AJ1030" s="3" t="str">
        <x:v>一覧価格/年式のみ</x:v>
      </x:c>
      <x:c r="AK1030" s="3" t="str">
        <x:v>一覧の表示価格。年式は掲載年式。</x:v>
      </x:c>
      <x:c r="AL1030" s="31" t="n">
        <x:f>IF(AND(J1030&lt;='分析方法'!$B$7,OR(ISBLANK(O1030),O1030&gt;='分析方法'!$B$8),X1030&lt;&gt;"売却済み表示"),1,0)</x:f>
        <x:v>1</x:v>
      </x:c>
      <x:c r="AM1030" s="32" t="n">
        <x:f>IF(AL1030=1,U1030,"")</x:f>
        <x:v>429000</x:v>
      </x:c>
      <x:c r="AN1030" s="33" t="str">
        <x:f>IF(AL1030=1,AF1030,"")</x:f>
      </x:c>
      <x:c r="AO1030" s="31" t="n">
        <x:f>'分析方法'!$B$6-J1030</x:f>
        <x:v>3</x:v>
      </x:c>
      <x:c r="AP1030" s="3"/>
    </x:row>
    <x:row r="1031" ht="22" customHeight="1">
      <x:c r="A1031" s="3" t="str">
        <x:v>T2914486</x:v>
      </x:c>
      <x:c r="B1031" s="7" t="d">
        <x:v>2026-10-08T00:00:00.000Z</x:v>
      </x:c>
      <x:c r="C1031" s="3" t="str">
        <x:v>Taladrod</x:v>
      </x:c>
      <x:c r="D1031" s="3" t="str">
        <x:v>Toyota</x:v>
      </x:c>
      <x:c r="E1031" s="3" t="str">
        <x:v>日本</x:v>
      </x:c>
      <x:c r="F1031" s="3" t="str">
        <x:v>Yaris Ativ</x:v>
      </x:c>
      <x:c r="G1031" s="3" t="str">
        <x:v>ICE</x:v>
      </x:c>
      <x:c r="H1031" s="3" t="str">
        <x:v>Sedan</x:v>
      </x:c>
      <x:c r="I1031" s="3" t="str"/>
      <x:c r="J1031" s="3" t="n">
        <x:v>2023</x:v>
      </x:c>
      <x:c r="K1031" s="3" t="str">
        <x:v>1.2 SPORT</x:v>
      </x:c>
      <x:c r="L1031" s="3" t="str">
        <x:v>SPORT</x:v>
      </x:c>
      <x:c r="M1031" s="22"/>
      <x:c r="N1031" s="22"/>
      <x:c r="O1031" s="22"/>
      <x:c r="P1031" s="3" t="str">
        <x:v>未掲載</x:v>
      </x:c>
      <x:c r="Q1031" s="3" t="str">
        <x:v>未取得</x:v>
      </x:c>
      <x:c r="R1031" s="3" t="str">
        <x:v>Unknown</x:v>
      </x:c>
      <x:c r="S1031" s="3" t="str">
        <x:v>不明</x:v>
      </x:c>
      <x:c r="T1031" s="3" t="str">
        <x:v>22-ปัจจุบัน</x:v>
      </x:c>
      <x:c r="U1031" s="28" t="n">
        <x:v>379000</x:v>
      </x:c>
      <x:c r="V1031" s="28" t="n">
        <x:v>539000</x:v>
      </x:c>
      <x:c r="W1031" s="3" t="str">
        <x:v>事故・水没・SOH・保証残は未確認</x:v>
      </x:c>
      <x:c r="X1031" s="3" t="str">
        <x:v>掲載中・在庫未確認</x:v>
      </x:c>
      <x:c r="Y1031" s="3" t="str"/>
      <x:c r="Z1031" s="27" t="str">
        <x:v>https://www.taladrod.com/w40/icar/cardet.aspx?cid=2914486</x:v>
      </x:c>
      <x:c r="AA1031" s="3" t="str">
        <x:v>Taladrod個別広告ID／Carsome在庫ID</x:v>
      </x:c>
      <x:c r="AB1031" s="3" t="str">
        <x:v>車台番号未取得／サイト間重複は未判定</x:v>
      </x:c>
      <x:c r="AC1031" s="3" t="str">
        <x:v>税込区分未確認（一覧表示額）</x:v>
      </x:c>
      <x:c r="AD1031" s="3" t="str"/>
      <x:c r="AE1031" s="29" t="str">
        <x:f>""</x:f>
      </x:c>
      <x:c r="AF1031" s="30" t="str">
        <x:f>IF(ISNUMBER(AE1031),U1031/AE1031,"")</x:f>
      </x:c>
      <x:c r="AG1031" s="29" t="str">
        <x:f>""</x:f>
      </x:c>
      <x:c r="AH1031" s="30" t="str">
        <x:f>IF(ISNUMBER(AG1031),U1031/AG1031,"")</x:f>
      </x:c>
      <x:c r="AI1031" s="3" t="str">
        <x:v>同年式・グレードの検証済み当時価格なし／登録年混在</x:v>
      </x:c>
      <x:c r="AJ1031" s="3" t="str">
        <x:v>一覧価格/年式のみ</x:v>
      </x:c>
      <x:c r="AK1031" s="3" t="str">
        <x:v>一覧の表示価格。年式は掲載年式。</x:v>
      </x:c>
      <x:c r="AL1031" s="31" t="n">
        <x:f>IF(AND(J1031&lt;='分析方法'!$B$7,OR(ISBLANK(O1031),O1031&gt;='分析方法'!$B$8),X1031&lt;&gt;"売却済み表示"),1,0)</x:f>
        <x:v>1</x:v>
      </x:c>
      <x:c r="AM1031" s="32" t="n">
        <x:f>IF(AL1031=1,U1031,"")</x:f>
        <x:v>379000</x:v>
      </x:c>
      <x:c r="AN1031" s="33" t="str">
        <x:f>IF(AL1031=1,AF1031,"")</x:f>
      </x:c>
      <x:c r="AO1031" s="31" t="n">
        <x:f>'分析方法'!$B$6-J1031</x:f>
        <x:v>3</x:v>
      </x:c>
      <x:c r="AP1031" s="3"/>
    </x:row>
    <x:row r="1032" ht="22" customHeight="1">
      <x:c r="A1032" s="3" t="str">
        <x:v>T2916615</x:v>
      </x:c>
      <x:c r="B1032" s="7" t="d">
        <x:v>2026-10-08T00:00:00.000Z</x:v>
      </x:c>
      <x:c r="C1032" s="3" t="str">
        <x:v>Taladrod</x:v>
      </x:c>
      <x:c r="D1032" s="3" t="str">
        <x:v>Toyota</x:v>
      </x:c>
      <x:c r="E1032" s="3" t="str">
        <x:v>日本</x:v>
      </x:c>
      <x:c r="F1032" s="3" t="str">
        <x:v>Yaris Ativ</x:v>
      </x:c>
      <x:c r="G1032" s="3" t="str">
        <x:v>ICE</x:v>
      </x:c>
      <x:c r="H1032" s="3" t="str">
        <x:v>Sedan</x:v>
      </x:c>
      <x:c r="I1032" s="3" t="str"/>
      <x:c r="J1032" s="3" t="n">
        <x:v>2023</x:v>
      </x:c>
      <x:c r="K1032" s="3" t="str">
        <x:v>1.2 SPORT</x:v>
      </x:c>
      <x:c r="L1032" s="3" t="str">
        <x:v>SPORT</x:v>
      </x:c>
      <x:c r="M1032" s="22"/>
      <x:c r="N1032" s="22"/>
      <x:c r="O1032" s="22"/>
      <x:c r="P1032" s="3" t="str">
        <x:v>未掲載</x:v>
      </x:c>
      <x:c r="Q1032" s="3" t="str">
        <x:v>未取得</x:v>
      </x:c>
      <x:c r="R1032" s="3" t="str">
        <x:v>Unknown</x:v>
      </x:c>
      <x:c r="S1032" s="3" t="str">
        <x:v>不明</x:v>
      </x:c>
      <x:c r="T1032" s="3" t="str">
        <x:v>22-ปัจจุบัน</x:v>
      </x:c>
      <x:c r="U1032" s="28" t="n">
        <x:v>419000</x:v>
      </x:c>
      <x:c r="V1032" s="28" t="n">
        <x:v>539000</x:v>
      </x:c>
      <x:c r="W1032" s="3" t="str">
        <x:v>事故・水没・SOH・保証残は未確認</x:v>
      </x:c>
      <x:c r="X1032" s="3" t="str">
        <x:v>掲載中・在庫未確認</x:v>
      </x:c>
      <x:c r="Y1032" s="3" t="str"/>
      <x:c r="Z1032" s="27" t="str">
        <x:v>https://www.taladrod.com/w40/icar/cardet.aspx?cid=2916615</x:v>
      </x:c>
      <x:c r="AA1032" s="3" t="str">
        <x:v>Taladrod個別広告ID／Carsome在庫ID</x:v>
      </x:c>
      <x:c r="AB1032" s="3" t="str">
        <x:v>車台番号未取得／サイト間重複は未判定</x:v>
      </x:c>
      <x:c r="AC1032" s="3" t="str">
        <x:v>税込区分未確認（一覧表示額）</x:v>
      </x:c>
      <x:c r="AD1032" s="3" t="str"/>
      <x:c r="AE1032" s="29" t="str">
        <x:f>""</x:f>
      </x:c>
      <x:c r="AF1032" s="30" t="str">
        <x:f>IF(ISNUMBER(AE1032),U1032/AE1032,"")</x:f>
      </x:c>
      <x:c r="AG1032" s="29" t="str">
        <x:f>""</x:f>
      </x:c>
      <x:c r="AH1032" s="30" t="str">
        <x:f>IF(ISNUMBER(AG1032),U1032/AG1032,"")</x:f>
      </x:c>
      <x:c r="AI1032" s="3" t="str">
        <x:v>同年式・グレードの検証済み当時価格なし／登録年混在</x:v>
      </x:c>
      <x:c r="AJ1032" s="3" t="str">
        <x:v>一覧価格/年式のみ</x:v>
      </x:c>
      <x:c r="AK1032" s="3" t="str">
        <x:v>一覧の表示価格。年式は掲載年式。</x:v>
      </x:c>
      <x:c r="AL1032" s="31" t="n">
        <x:f>IF(AND(J1032&lt;='分析方法'!$B$7,OR(ISBLANK(O1032),O1032&gt;='分析方法'!$B$8),X1032&lt;&gt;"売却済み表示"),1,0)</x:f>
        <x:v>1</x:v>
      </x:c>
      <x:c r="AM1032" s="32" t="n">
        <x:f>IF(AL1032=1,U1032,"")</x:f>
        <x:v>419000</x:v>
      </x:c>
      <x:c r="AN1032" s="33" t="str">
        <x:f>IF(AL1032=1,AF1032,"")</x:f>
      </x:c>
      <x:c r="AO1032" s="31" t="n">
        <x:f>'分析方法'!$B$6-J1032</x:f>
        <x:v>3</x:v>
      </x:c>
      <x:c r="AP1032" s="3"/>
    </x:row>
    <x:row r="1033" ht="22" customHeight="1">
      <x:c r="A1033" s="3" t="str">
        <x:v>T2916937</x:v>
      </x:c>
      <x:c r="B1033" s="7" t="d">
        <x:v>2026-10-08T00:00:00.000Z</x:v>
      </x:c>
      <x:c r="C1033" s="3" t="str">
        <x:v>Taladrod</x:v>
      </x:c>
      <x:c r="D1033" s="3" t="str">
        <x:v>Toyota</x:v>
      </x:c>
      <x:c r="E1033" s="3" t="str">
        <x:v>日本</x:v>
      </x:c>
      <x:c r="F1033" s="3" t="str">
        <x:v>Yaris Ativ</x:v>
      </x:c>
      <x:c r="G1033" s="3" t="str">
        <x:v>ICE</x:v>
      </x:c>
      <x:c r="H1033" s="3" t="str">
        <x:v>Sedan</x:v>
      </x:c>
      <x:c r="I1033" s="3" t="str"/>
      <x:c r="J1033" s="3" t="n">
        <x:v>2023</x:v>
      </x:c>
      <x:c r="K1033" s="3" t="str">
        <x:v>1.2 SPORT</x:v>
      </x:c>
      <x:c r="L1033" s="3" t="str">
        <x:v>SPORT</x:v>
      </x:c>
      <x:c r="M1033" s="22"/>
      <x:c r="N1033" s="22"/>
      <x:c r="O1033" s="22"/>
      <x:c r="P1033" s="3" t="str">
        <x:v>未掲載</x:v>
      </x:c>
      <x:c r="Q1033" s="3" t="str">
        <x:v>未取得</x:v>
      </x:c>
      <x:c r="R1033" s="3" t="str">
        <x:v>Unknown</x:v>
      </x:c>
      <x:c r="S1033" s="3" t="str">
        <x:v>不明</x:v>
      </x:c>
      <x:c r="T1033" s="3" t="str">
        <x:v>22-ปัจจุบัน</x:v>
      </x:c>
      <x:c r="U1033" s="28" t="n">
        <x:v>429000</x:v>
      </x:c>
      <x:c r="V1033" s="28" t="n">
        <x:v>539000</x:v>
      </x:c>
      <x:c r="W1033" s="3" t="str">
        <x:v>事故・水没・SOH・保証残は未確認</x:v>
      </x:c>
      <x:c r="X1033" s="3" t="str">
        <x:v>掲載中・在庫未確認</x:v>
      </x:c>
      <x:c r="Y1033" s="3" t="str"/>
      <x:c r="Z1033" s="27" t="str">
        <x:v>https://www.taladrod.com/w40/icar/cardet.aspx?cid=2916937</x:v>
      </x:c>
      <x:c r="AA1033" s="3" t="str">
        <x:v>Taladrod個別広告ID／Carsome在庫ID</x:v>
      </x:c>
      <x:c r="AB1033" s="3" t="str">
        <x:v>車台番号未取得／サイト間重複は未判定</x:v>
      </x:c>
      <x:c r="AC1033" s="3" t="str">
        <x:v>税込区分未確認（一覧表示額）</x:v>
      </x:c>
      <x:c r="AD1033" s="3" t="str"/>
      <x:c r="AE1033" s="29" t="str">
        <x:f>""</x:f>
      </x:c>
      <x:c r="AF1033" s="30" t="str">
        <x:f>IF(ISNUMBER(AE1033),U1033/AE1033,"")</x:f>
      </x:c>
      <x:c r="AG1033" s="29" t="str">
        <x:f>""</x:f>
      </x:c>
      <x:c r="AH1033" s="30" t="str">
        <x:f>IF(ISNUMBER(AG1033),U1033/AG1033,"")</x:f>
      </x:c>
      <x:c r="AI1033" s="3" t="str">
        <x:v>同年式・グレードの検証済み当時価格なし／登録年混在</x:v>
      </x:c>
      <x:c r="AJ1033" s="3" t="str">
        <x:v>一覧価格/年式のみ</x:v>
      </x:c>
      <x:c r="AK1033" s="3" t="str">
        <x:v>一覧の表示価格。年式は掲載年式。</x:v>
      </x:c>
      <x:c r="AL1033" s="31" t="n">
        <x:f>IF(AND(J1033&lt;='分析方法'!$B$7,OR(ISBLANK(O1033),O1033&gt;='分析方法'!$B$8),X1033&lt;&gt;"売却済み表示"),1,0)</x:f>
        <x:v>1</x:v>
      </x:c>
      <x:c r="AM1033" s="32" t="n">
        <x:f>IF(AL1033=1,U1033,"")</x:f>
        <x:v>429000</x:v>
      </x:c>
      <x:c r="AN1033" s="33" t="str">
        <x:f>IF(AL1033=1,AF1033,"")</x:f>
      </x:c>
      <x:c r="AO1033" s="31" t="n">
        <x:f>'分析方法'!$B$6-J1033</x:f>
        <x:v>3</x:v>
      </x:c>
      <x:c r="AP1033" s="3"/>
    </x:row>
    <x:row r="1034" ht="22" customHeight="1">
      <x:c r="A1034" s="3" t="str">
        <x:v>T2918656</x:v>
      </x:c>
      <x:c r="B1034" s="7" t="d">
        <x:v>2026-10-08T00:00:00.000Z</x:v>
      </x:c>
      <x:c r="C1034" s="3" t="str">
        <x:v>Taladrod</x:v>
      </x:c>
      <x:c r="D1034" s="3" t="str">
        <x:v>Toyota</x:v>
      </x:c>
      <x:c r="E1034" s="3" t="str">
        <x:v>日本</x:v>
      </x:c>
      <x:c r="F1034" s="3" t="str">
        <x:v>Yaris Ativ</x:v>
      </x:c>
      <x:c r="G1034" s="3" t="str">
        <x:v>ICE</x:v>
      </x:c>
      <x:c r="H1034" s="3" t="str">
        <x:v>Sedan</x:v>
      </x:c>
      <x:c r="I1034" s="3" t="str"/>
      <x:c r="J1034" s="3" t="n">
        <x:v>2023</x:v>
      </x:c>
      <x:c r="K1034" s="3" t="str">
        <x:v>1.2 SPORT</x:v>
      </x:c>
      <x:c r="L1034" s="3" t="str">
        <x:v>SPORT</x:v>
      </x:c>
      <x:c r="M1034" s="22"/>
      <x:c r="N1034" s="22"/>
      <x:c r="O1034" s="22"/>
      <x:c r="P1034" s="3" t="str">
        <x:v>未掲載</x:v>
      </x:c>
      <x:c r="Q1034" s="3" t="str">
        <x:v>未取得</x:v>
      </x:c>
      <x:c r="R1034" s="3" t="str">
        <x:v>Unknown</x:v>
      </x:c>
      <x:c r="S1034" s="3" t="str">
        <x:v>不明</x:v>
      </x:c>
      <x:c r="T1034" s="3" t="str">
        <x:v>22-ปัจจุบัน</x:v>
      </x:c>
      <x:c r="U1034" s="28" t="n">
        <x:v>399000</x:v>
      </x:c>
      <x:c r="V1034" s="28" t="n">
        <x:v>539000</x:v>
      </x:c>
      <x:c r="W1034" s="3" t="str">
        <x:v>事故・水没・SOH・保証残は未確認</x:v>
      </x:c>
      <x:c r="X1034" s="3" t="str">
        <x:v>掲載中・在庫未確認</x:v>
      </x:c>
      <x:c r="Y1034" s="3" t="str"/>
      <x:c r="Z1034" s="27" t="str">
        <x:v>https://www.taladrod.com/w40/icar/cardet.aspx?cid=2918656</x:v>
      </x:c>
      <x:c r="AA1034" s="3" t="str">
        <x:v>Taladrod個別広告ID／Carsome在庫ID</x:v>
      </x:c>
      <x:c r="AB1034" s="3" t="str">
        <x:v>車台番号未取得／サイト間重複は未判定</x:v>
      </x:c>
      <x:c r="AC1034" s="3" t="str">
        <x:v>税込区分未確認（一覧表示額）</x:v>
      </x:c>
      <x:c r="AD1034" s="3" t="str"/>
      <x:c r="AE1034" s="29" t="str">
        <x:f>""</x:f>
      </x:c>
      <x:c r="AF1034" s="30" t="str">
        <x:f>IF(ISNUMBER(AE1034),U1034/AE1034,"")</x:f>
      </x:c>
      <x:c r="AG1034" s="29" t="str">
        <x:f>""</x:f>
      </x:c>
      <x:c r="AH1034" s="30" t="str">
        <x:f>IF(ISNUMBER(AG1034),U1034/AG1034,"")</x:f>
      </x:c>
      <x:c r="AI1034" s="3" t="str">
        <x:v>同年式・グレードの検証済み当時価格なし／登録年混在</x:v>
      </x:c>
      <x:c r="AJ1034" s="3" t="str">
        <x:v>一覧価格/年式のみ</x:v>
      </x:c>
      <x:c r="AK1034" s="3" t="str">
        <x:v>一覧の表示価格。年式は掲載年式。</x:v>
      </x:c>
      <x:c r="AL1034" s="31" t="n">
        <x:f>IF(AND(J1034&lt;='分析方法'!$B$7,OR(ISBLANK(O1034),O1034&gt;='分析方法'!$B$8),X1034&lt;&gt;"売却済み表示"),1,0)</x:f>
        <x:v>1</x:v>
      </x:c>
      <x:c r="AM1034" s="32" t="n">
        <x:f>IF(AL1034=1,U1034,"")</x:f>
        <x:v>399000</x:v>
      </x:c>
      <x:c r="AN1034" s="33" t="str">
        <x:f>IF(AL1034=1,AF1034,"")</x:f>
      </x:c>
      <x:c r="AO1034" s="31" t="n">
        <x:f>'分析方法'!$B$6-J1034</x:f>
        <x:v>3</x:v>
      </x:c>
      <x:c r="AP1034" s="3"/>
    </x:row>
    <x:row r="1035" ht="22" customHeight="1">
      <x:c r="A1035" s="3" t="str">
        <x:v>T2921992</x:v>
      </x:c>
      <x:c r="B1035" s="7" t="d">
        <x:v>2026-10-08T00:00:00.000Z</x:v>
      </x:c>
      <x:c r="C1035" s="3" t="str">
        <x:v>Taladrod</x:v>
      </x:c>
      <x:c r="D1035" s="3" t="str">
        <x:v>Toyota</x:v>
      </x:c>
      <x:c r="E1035" s="3" t="str">
        <x:v>日本</x:v>
      </x:c>
      <x:c r="F1035" s="3" t="str">
        <x:v>Yaris Ativ</x:v>
      </x:c>
      <x:c r="G1035" s="3" t="str">
        <x:v>ICE</x:v>
      </x:c>
      <x:c r="H1035" s="3" t="str">
        <x:v>Sedan</x:v>
      </x:c>
      <x:c r="I1035" s="3" t="str"/>
      <x:c r="J1035" s="3" t="n">
        <x:v>2023</x:v>
      </x:c>
      <x:c r="K1035" s="3" t="str">
        <x:v>1.2 SPORT</x:v>
      </x:c>
      <x:c r="L1035" s="3" t="str">
        <x:v>SPORT</x:v>
      </x:c>
      <x:c r="M1035" s="22"/>
      <x:c r="N1035" s="22"/>
      <x:c r="O1035" s="22"/>
      <x:c r="P1035" s="3" t="str">
        <x:v>未掲載</x:v>
      </x:c>
      <x:c r="Q1035" s="3" t="str">
        <x:v>未取得</x:v>
      </x:c>
      <x:c r="R1035" s="3" t="str">
        <x:v>Unknown</x:v>
      </x:c>
      <x:c r="S1035" s="3" t="str">
        <x:v>不明</x:v>
      </x:c>
      <x:c r="T1035" s="3" t="str">
        <x:v>22-ปัจจุบัน</x:v>
      </x:c>
      <x:c r="U1035" s="28" t="n">
        <x:v>399000</x:v>
      </x:c>
      <x:c r="V1035" s="28" t="n">
        <x:v>539000</x:v>
      </x:c>
      <x:c r="W1035" s="3" t="str">
        <x:v>事故・水没・SOH・保証残は未確認</x:v>
      </x:c>
      <x:c r="X1035" s="3" t="str">
        <x:v>掲載中・在庫未確認</x:v>
      </x:c>
      <x:c r="Y1035" s="3" t="str"/>
      <x:c r="Z1035" s="27" t="str">
        <x:v>https://www.taladrod.com/w40/icar/cardet.aspx?cid=2921992</x:v>
      </x:c>
      <x:c r="AA1035" s="3" t="str">
        <x:v>Taladrod個別広告ID／Carsome在庫ID</x:v>
      </x:c>
      <x:c r="AB1035" s="3" t="str">
        <x:v>車台番号未取得／サイト間重複は未判定</x:v>
      </x:c>
      <x:c r="AC1035" s="3" t="str">
        <x:v>税込区分未確認（一覧表示額）</x:v>
      </x:c>
      <x:c r="AD1035" s="3" t="str"/>
      <x:c r="AE1035" s="29" t="str">
        <x:f>""</x:f>
      </x:c>
      <x:c r="AF1035" s="30" t="str">
        <x:f>IF(ISNUMBER(AE1035),U1035/AE1035,"")</x:f>
      </x:c>
      <x:c r="AG1035" s="29" t="str">
        <x:f>""</x:f>
      </x:c>
      <x:c r="AH1035" s="30" t="str">
        <x:f>IF(ISNUMBER(AG1035),U1035/AG1035,"")</x:f>
      </x:c>
      <x:c r="AI1035" s="3" t="str">
        <x:v>同年式・グレードの検証済み当時価格なし／登録年混在</x:v>
      </x:c>
      <x:c r="AJ1035" s="3" t="str">
        <x:v>一覧価格/年式のみ</x:v>
      </x:c>
      <x:c r="AK1035" s="3" t="str">
        <x:v>一覧の表示価格。年式は掲載年式。</x:v>
      </x:c>
      <x:c r="AL1035" s="31" t="n">
        <x:f>IF(AND(J1035&lt;='分析方法'!$B$7,OR(ISBLANK(O1035),O1035&gt;='分析方法'!$B$8),X1035&lt;&gt;"売却済み表示"),1,0)</x:f>
        <x:v>1</x:v>
      </x:c>
      <x:c r="AM1035" s="32" t="n">
        <x:f>IF(AL1035=1,U1035,"")</x:f>
        <x:v>399000</x:v>
      </x:c>
      <x:c r="AN1035" s="33" t="str">
        <x:f>IF(AL1035=1,AF1035,"")</x:f>
      </x:c>
      <x:c r="AO1035" s="31" t="n">
        <x:f>'分析方法'!$B$6-J1035</x:f>
        <x:v>3</x:v>
      </x:c>
      <x:c r="AP1035" s="3"/>
    </x:row>
    <x:row r="1036" ht="22" customHeight="1">
      <x:c r="A1036" s="3" t="str">
        <x:v>T2923594</x:v>
      </x:c>
      <x:c r="B1036" s="7" t="d">
        <x:v>2026-10-08T00:00:00.000Z</x:v>
      </x:c>
      <x:c r="C1036" s="3" t="str">
        <x:v>Taladrod</x:v>
      </x:c>
      <x:c r="D1036" s="3" t="str">
        <x:v>Toyota</x:v>
      </x:c>
      <x:c r="E1036" s="3" t="str">
        <x:v>日本</x:v>
      </x:c>
      <x:c r="F1036" s="3" t="str">
        <x:v>Yaris Ativ</x:v>
      </x:c>
      <x:c r="G1036" s="3" t="str">
        <x:v>ICE</x:v>
      </x:c>
      <x:c r="H1036" s="3" t="str">
        <x:v>Sedan</x:v>
      </x:c>
      <x:c r="I1036" s="3" t="str"/>
      <x:c r="J1036" s="3" t="n">
        <x:v>2023</x:v>
      </x:c>
      <x:c r="K1036" s="3" t="str">
        <x:v>1.2 SPORT</x:v>
      </x:c>
      <x:c r="L1036" s="3" t="str">
        <x:v>SPORT</x:v>
      </x:c>
      <x:c r="M1036" s="22"/>
      <x:c r="N1036" s="22"/>
      <x:c r="O1036" s="22"/>
      <x:c r="P1036" s="3" t="str">
        <x:v>未掲載</x:v>
      </x:c>
      <x:c r="Q1036" s="3" t="str">
        <x:v>未取得</x:v>
      </x:c>
      <x:c r="R1036" s="3" t="str">
        <x:v>Unknown</x:v>
      </x:c>
      <x:c r="S1036" s="3" t="str">
        <x:v>不明</x:v>
      </x:c>
      <x:c r="T1036" s="3" t="str">
        <x:v>22-ปัจจุบัน</x:v>
      </x:c>
      <x:c r="U1036" s="28" t="n">
        <x:v>385000</x:v>
      </x:c>
      <x:c r="V1036" s="28" t="n">
        <x:v>539000</x:v>
      </x:c>
      <x:c r="W1036" s="3" t="str">
        <x:v>事故・水没・SOH・保証残は未確認</x:v>
      </x:c>
      <x:c r="X1036" s="3" t="str">
        <x:v>掲載中・在庫未確認</x:v>
      </x:c>
      <x:c r="Y1036" s="3" t="str"/>
      <x:c r="Z1036" s="27" t="str">
        <x:v>https://www.taladrod.com/w40/icar/cardet.aspx?cid=2923594</x:v>
      </x:c>
      <x:c r="AA1036" s="3" t="str">
        <x:v>Taladrod個別広告ID／Carsome在庫ID</x:v>
      </x:c>
      <x:c r="AB1036" s="3" t="str">
        <x:v>車台番号未取得／サイト間重複は未判定</x:v>
      </x:c>
      <x:c r="AC1036" s="3" t="str">
        <x:v>税込区分未確認（一覧表示額）</x:v>
      </x:c>
      <x:c r="AD1036" s="3" t="str"/>
      <x:c r="AE1036" s="29" t="str">
        <x:f>""</x:f>
      </x:c>
      <x:c r="AF1036" s="30" t="str">
        <x:f>IF(ISNUMBER(AE1036),U1036/AE1036,"")</x:f>
      </x:c>
      <x:c r="AG1036" s="29" t="str">
        <x:f>""</x:f>
      </x:c>
      <x:c r="AH1036" s="30" t="str">
        <x:f>IF(ISNUMBER(AG1036),U1036/AG1036,"")</x:f>
      </x:c>
      <x:c r="AI1036" s="3" t="str">
        <x:v>同年式・グレードの検証済み当時価格なし／登録年混在</x:v>
      </x:c>
      <x:c r="AJ1036" s="3" t="str">
        <x:v>一覧価格/年式のみ</x:v>
      </x:c>
      <x:c r="AK1036" s="3" t="str">
        <x:v>一覧の表示価格。年式は掲載年式。</x:v>
      </x:c>
      <x:c r="AL1036" s="31" t="n">
        <x:f>IF(AND(J1036&lt;='分析方法'!$B$7,OR(ISBLANK(O1036),O1036&gt;='分析方法'!$B$8),X1036&lt;&gt;"売却済み表示"),1,0)</x:f>
        <x:v>1</x:v>
      </x:c>
      <x:c r="AM1036" s="32" t="n">
        <x:f>IF(AL1036=1,U1036,"")</x:f>
        <x:v>385000</x:v>
      </x:c>
      <x:c r="AN1036" s="33" t="str">
        <x:f>IF(AL1036=1,AF1036,"")</x:f>
      </x:c>
      <x:c r="AO1036" s="31" t="n">
        <x:f>'分析方法'!$B$6-J1036</x:f>
        <x:v>3</x:v>
      </x:c>
      <x:c r="AP1036" s="3"/>
    </x:row>
    <x:row r="1037" ht="22" customHeight="1">
      <x:c r="A1037" s="3" t="str">
        <x:v>T2925355</x:v>
      </x:c>
      <x:c r="B1037" s="7" t="d">
        <x:v>2026-10-08T00:00:00.000Z</x:v>
      </x:c>
      <x:c r="C1037" s="3" t="str">
        <x:v>Taladrod</x:v>
      </x:c>
      <x:c r="D1037" s="3" t="str">
        <x:v>Toyota</x:v>
      </x:c>
      <x:c r="E1037" s="3" t="str">
        <x:v>日本</x:v>
      </x:c>
      <x:c r="F1037" s="3" t="str">
        <x:v>Yaris Ativ</x:v>
      </x:c>
      <x:c r="G1037" s="3" t="str">
        <x:v>ICE</x:v>
      </x:c>
      <x:c r="H1037" s="3" t="str">
        <x:v>Sedan</x:v>
      </x:c>
      <x:c r="I1037" s="3" t="str"/>
      <x:c r="J1037" s="3" t="n">
        <x:v>2023</x:v>
      </x:c>
      <x:c r="K1037" s="3" t="str">
        <x:v>1.2 SPORT</x:v>
      </x:c>
      <x:c r="L1037" s="3" t="str">
        <x:v>SPORT</x:v>
      </x:c>
      <x:c r="M1037" s="22"/>
      <x:c r="N1037" s="22"/>
      <x:c r="O1037" s="22"/>
      <x:c r="P1037" s="3" t="str">
        <x:v>未掲載</x:v>
      </x:c>
      <x:c r="Q1037" s="3" t="str">
        <x:v>未取得</x:v>
      </x:c>
      <x:c r="R1037" s="3" t="str">
        <x:v>Unknown</x:v>
      </x:c>
      <x:c r="S1037" s="3" t="str">
        <x:v>不明</x:v>
      </x:c>
      <x:c r="T1037" s="3" t="str">
        <x:v>22-ปัจจุบัน</x:v>
      </x:c>
      <x:c r="U1037" s="28" t="n">
        <x:v>389000</x:v>
      </x:c>
      <x:c r="V1037" s="28" t="n">
        <x:v>539000</x:v>
      </x:c>
      <x:c r="W1037" s="3" t="str">
        <x:v>事故・水没・SOH・保証残は未確認</x:v>
      </x:c>
      <x:c r="X1037" s="3" t="str">
        <x:v>掲載中・在庫未確認</x:v>
      </x:c>
      <x:c r="Y1037" s="3" t="str"/>
      <x:c r="Z1037" s="27" t="str">
        <x:v>https://www.taladrod.com/w40/icar/cardet.aspx?cid=2925355</x:v>
      </x:c>
      <x:c r="AA1037" s="3" t="str">
        <x:v>Taladrod個別広告ID／Carsome在庫ID</x:v>
      </x:c>
      <x:c r="AB1037" s="3" t="str">
        <x:v>車台番号未取得／サイト間重複は未判定</x:v>
      </x:c>
      <x:c r="AC1037" s="3" t="str">
        <x:v>税込区分未確認（一覧表示額）</x:v>
      </x:c>
      <x:c r="AD1037" s="3" t="str"/>
      <x:c r="AE1037" s="29" t="str">
        <x:f>""</x:f>
      </x:c>
      <x:c r="AF1037" s="30" t="str">
        <x:f>IF(ISNUMBER(AE1037),U1037/AE1037,"")</x:f>
      </x:c>
      <x:c r="AG1037" s="29" t="str">
        <x:f>""</x:f>
      </x:c>
      <x:c r="AH1037" s="30" t="str">
        <x:f>IF(ISNUMBER(AG1037),U1037/AG1037,"")</x:f>
      </x:c>
      <x:c r="AI1037" s="3" t="str">
        <x:v>同年式・グレードの検証済み当時価格なし／登録年混在</x:v>
      </x:c>
      <x:c r="AJ1037" s="3" t="str">
        <x:v>一覧価格/年式のみ</x:v>
      </x:c>
      <x:c r="AK1037" s="3" t="str">
        <x:v>一覧の表示価格。年式は掲載年式。</x:v>
      </x:c>
      <x:c r="AL1037" s="31" t="n">
        <x:f>IF(AND(J1037&lt;='分析方法'!$B$7,OR(ISBLANK(O1037),O1037&gt;='分析方法'!$B$8),X1037&lt;&gt;"売却済み表示"),1,0)</x:f>
        <x:v>1</x:v>
      </x:c>
      <x:c r="AM1037" s="32" t="n">
        <x:f>IF(AL1037=1,U1037,"")</x:f>
        <x:v>389000</x:v>
      </x:c>
      <x:c r="AN1037" s="33" t="str">
        <x:f>IF(AL1037=1,AF1037,"")</x:f>
      </x:c>
      <x:c r="AO1037" s="31" t="n">
        <x:f>'分析方法'!$B$6-J1037</x:f>
        <x:v>3</x:v>
      </x:c>
      <x:c r="AP1037" s="3"/>
    </x:row>
    <x:row r="1038" ht="22" customHeight="1">
      <x:c r="A1038" s="3" t="str">
        <x:v>T2882715</x:v>
      </x:c>
      <x:c r="B1038" s="7" t="d">
        <x:v>2026-10-08T00:00:00.000Z</x:v>
      </x:c>
      <x:c r="C1038" s="3" t="str">
        <x:v>Taladrod</x:v>
      </x:c>
      <x:c r="D1038" s="3" t="str">
        <x:v>Toyota</x:v>
      </x:c>
      <x:c r="E1038" s="3" t="str">
        <x:v>日本</x:v>
      </x:c>
      <x:c r="F1038" s="3" t="str">
        <x:v>Yaris Ativ</x:v>
      </x:c>
      <x:c r="G1038" s="3" t="str">
        <x:v>ICE</x:v>
      </x:c>
      <x:c r="H1038" s="3" t="str">
        <x:v>Sedan</x:v>
      </x:c>
      <x:c r="I1038" s="3" t="str"/>
      <x:c r="J1038" s="3" t="n">
        <x:v>2024</x:v>
      </x:c>
      <x:c r="K1038" s="3" t="str">
        <x:v>1.2 PREMIUM</x:v>
      </x:c>
      <x:c r="L1038" s="3" t="str">
        <x:v>PREMIUM</x:v>
      </x:c>
      <x:c r="M1038" s="22"/>
      <x:c r="N1038" s="22"/>
      <x:c r="O1038" s="22"/>
      <x:c r="P1038" s="3" t="str">
        <x:v>未掲載</x:v>
      </x:c>
      <x:c r="Q1038" s="3" t="str">
        <x:v>未取得</x:v>
      </x:c>
      <x:c r="R1038" s="3" t="str">
        <x:v>Unknown</x:v>
      </x:c>
      <x:c r="S1038" s="3" t="str">
        <x:v>不明</x:v>
      </x:c>
      <x:c r="T1038" s="3" t="str">
        <x:v>22-ปัจจุบัน</x:v>
      </x:c>
      <x:c r="U1038" s="28" t="n">
        <x:v>475000</x:v>
      </x:c>
      <x:c r="V1038" s="28" t="n">
        <x:v>659000</x:v>
      </x:c>
      <x:c r="W1038" s="3" t="str">
        <x:v>事故・水没・SOH・保証残は未確認</x:v>
      </x:c>
      <x:c r="X1038" s="3" t="str">
        <x:v>掲載中・在庫未確認</x:v>
      </x:c>
      <x:c r="Y1038" s="3" t="str"/>
      <x:c r="Z1038" s="27" t="str">
        <x:v>https://www.taladrod.com/w40/icar/cardet.aspx?cid=2882715</x:v>
      </x:c>
      <x:c r="AA1038" s="3" t="str">
        <x:v>Taladrod個別広告ID／Carsome在庫ID</x:v>
      </x:c>
      <x:c r="AB1038" s="3" t="str">
        <x:v>車台番号未取得／サイト間重複は未判定</x:v>
      </x:c>
      <x:c r="AC1038" s="3" t="str">
        <x:v>税込区分未確認（一覧表示額）</x:v>
      </x:c>
      <x:c r="AD1038" s="3" t="str"/>
      <x:c r="AE1038" s="29" t="str">
        <x:f>""</x:f>
      </x:c>
      <x:c r="AF1038" s="30" t="str">
        <x:f>IF(ISNUMBER(AE1038),U1038/AE1038,"")</x:f>
      </x:c>
      <x:c r="AG1038" s="29" t="str">
        <x:f>""</x:f>
      </x:c>
      <x:c r="AH1038" s="30" t="str">
        <x:f>IF(ISNUMBER(AG1038),U1038/AG1038,"")</x:f>
      </x:c>
      <x:c r="AI1038" s="3" t="str">
        <x:v>同年式・グレードの検証済み当時価格なし／登録年混在</x:v>
      </x:c>
      <x:c r="AJ1038" s="3" t="str">
        <x:v>一覧価格/年式のみ</x:v>
      </x:c>
      <x:c r="AK1038" s="3" t="str">
        <x:v>一覧の表示価格。年式は掲載年式。</x:v>
      </x:c>
      <x:c r="AL1038" s="31" t="n">
        <x:f>IF(AND(J1038&lt;='分析方法'!$B$7,OR(ISBLANK(O1038),O1038&gt;='分析方法'!$B$8),X1038&lt;&gt;"売却済み表示"),1,0)</x:f>
        <x:v>1</x:v>
      </x:c>
      <x:c r="AM1038" s="32" t="n">
        <x:f>IF(AL1038=1,U1038,"")</x:f>
        <x:v>475000</x:v>
      </x:c>
      <x:c r="AN1038" s="33" t="str">
        <x:f>IF(AL1038=1,AF1038,"")</x:f>
      </x:c>
      <x:c r="AO1038" s="31" t="n">
        <x:f>'分析方法'!$B$6-J1038</x:f>
        <x:v>2</x:v>
      </x:c>
      <x:c r="AP1038" s="3"/>
    </x:row>
    <x:row r="1039" ht="22" customHeight="1">
      <x:c r="A1039" s="3" t="str">
        <x:v>T2887438</x:v>
      </x:c>
      <x:c r="B1039" s="7" t="d">
        <x:v>2026-10-08T00:00:00.000Z</x:v>
      </x:c>
      <x:c r="C1039" s="3" t="str">
        <x:v>Taladrod</x:v>
      </x:c>
      <x:c r="D1039" s="3" t="str">
        <x:v>Toyota</x:v>
      </x:c>
      <x:c r="E1039" s="3" t="str">
        <x:v>日本</x:v>
      </x:c>
      <x:c r="F1039" s="3" t="str">
        <x:v>Yaris Ativ</x:v>
      </x:c>
      <x:c r="G1039" s="3" t="str">
        <x:v>ICE</x:v>
      </x:c>
      <x:c r="H1039" s="3" t="str">
        <x:v>Sedan</x:v>
      </x:c>
      <x:c r="I1039" s="3" t="str"/>
      <x:c r="J1039" s="3" t="n">
        <x:v>2024</x:v>
      </x:c>
      <x:c r="K1039" s="3" t="str">
        <x:v>1.2 PREMIUM</x:v>
      </x:c>
      <x:c r="L1039" s="3" t="str">
        <x:v>PREMIUM</x:v>
      </x:c>
      <x:c r="M1039" s="22"/>
      <x:c r="N1039" s="22"/>
      <x:c r="O1039" s="22"/>
      <x:c r="P1039" s="3" t="str">
        <x:v>未掲載</x:v>
      </x:c>
      <x:c r="Q1039" s="3" t="str">
        <x:v>未取得</x:v>
      </x:c>
      <x:c r="R1039" s="3" t="str">
        <x:v>Unknown</x:v>
      </x:c>
      <x:c r="S1039" s="3" t="str">
        <x:v>不明</x:v>
      </x:c>
      <x:c r="T1039" s="3" t="str">
        <x:v>22-ปัจจุบัน</x:v>
      </x:c>
      <x:c r="U1039" s="28" t="n">
        <x:v>469000</x:v>
      </x:c>
      <x:c r="V1039" s="28" t="n">
        <x:v>659000</x:v>
      </x:c>
      <x:c r="W1039" s="3" t="str">
        <x:v>事故・水没・SOH・保証残は未確認</x:v>
      </x:c>
      <x:c r="X1039" s="3" t="str">
        <x:v>掲載中・在庫未確認</x:v>
      </x:c>
      <x:c r="Y1039" s="3" t="str"/>
      <x:c r="Z1039" s="27" t="str">
        <x:v>https://www.taladrod.com/w40/icar/cardet.aspx?cid=2887438</x:v>
      </x:c>
      <x:c r="AA1039" s="3" t="str">
        <x:v>Taladrod個別広告ID／Carsome在庫ID</x:v>
      </x:c>
      <x:c r="AB1039" s="3" t="str">
        <x:v>車台番号未取得／サイト間重複は未判定</x:v>
      </x:c>
      <x:c r="AC1039" s="3" t="str">
        <x:v>税込区分未確認（一覧表示額）</x:v>
      </x:c>
      <x:c r="AD1039" s="3" t="str"/>
      <x:c r="AE1039" s="29" t="str">
        <x:f>""</x:f>
      </x:c>
      <x:c r="AF1039" s="30" t="str">
        <x:f>IF(ISNUMBER(AE1039),U1039/AE1039,"")</x:f>
      </x:c>
      <x:c r="AG1039" s="29" t="str">
        <x:f>""</x:f>
      </x:c>
      <x:c r="AH1039" s="30" t="str">
        <x:f>IF(ISNUMBER(AG1039),U1039/AG1039,"")</x:f>
      </x:c>
      <x:c r="AI1039" s="3" t="str">
        <x:v>同年式・グレードの検証済み当時価格なし／登録年混在</x:v>
      </x:c>
      <x:c r="AJ1039" s="3" t="str">
        <x:v>一覧価格/年式のみ</x:v>
      </x:c>
      <x:c r="AK1039" s="3" t="str">
        <x:v>一覧の表示価格。年式は掲載年式。</x:v>
      </x:c>
      <x:c r="AL1039" s="31" t="n">
        <x:f>IF(AND(J1039&lt;='分析方法'!$B$7,OR(ISBLANK(O1039),O1039&gt;='分析方法'!$B$8),X1039&lt;&gt;"売却済み表示"),1,0)</x:f>
        <x:v>1</x:v>
      </x:c>
      <x:c r="AM1039" s="32" t="n">
        <x:f>IF(AL1039=1,U1039,"")</x:f>
        <x:v>469000</x:v>
      </x:c>
      <x:c r="AN1039" s="33" t="str">
        <x:f>IF(AL1039=1,AF1039,"")</x:f>
      </x:c>
      <x:c r="AO1039" s="31" t="n">
        <x:f>'分析方法'!$B$6-J1039</x:f>
        <x:v>2</x:v>
      </x:c>
      <x:c r="AP1039" s="3"/>
    </x:row>
    <x:row r="1040" ht="22" customHeight="1">
      <x:c r="A1040" s="3" t="str">
        <x:v>T2897243</x:v>
      </x:c>
      <x:c r="B1040" s="7" t="d">
        <x:v>2026-10-08T00:00:00.000Z</x:v>
      </x:c>
      <x:c r="C1040" s="3" t="str">
        <x:v>Taladrod</x:v>
      </x:c>
      <x:c r="D1040" s="3" t="str">
        <x:v>Toyota</x:v>
      </x:c>
      <x:c r="E1040" s="3" t="str">
        <x:v>日本</x:v>
      </x:c>
      <x:c r="F1040" s="3" t="str">
        <x:v>Yaris Ativ</x:v>
      </x:c>
      <x:c r="G1040" s="3" t="str">
        <x:v>ICE</x:v>
      </x:c>
      <x:c r="H1040" s="3" t="str">
        <x:v>Sedan</x:v>
      </x:c>
      <x:c r="I1040" s="3" t="str"/>
      <x:c r="J1040" s="3" t="n">
        <x:v>2024</x:v>
      </x:c>
      <x:c r="K1040" s="3" t="str">
        <x:v>1.2 PREMIUM</x:v>
      </x:c>
      <x:c r="L1040" s="3" t="str">
        <x:v>PREMIUM</x:v>
      </x:c>
      <x:c r="M1040" s="22"/>
      <x:c r="N1040" s="22"/>
      <x:c r="O1040" s="22"/>
      <x:c r="P1040" s="3" t="str">
        <x:v>未掲載</x:v>
      </x:c>
      <x:c r="Q1040" s="3" t="str">
        <x:v>未取得</x:v>
      </x:c>
      <x:c r="R1040" s="3" t="str">
        <x:v>Unknown</x:v>
      </x:c>
      <x:c r="S1040" s="3" t="str">
        <x:v>不明</x:v>
      </x:c>
      <x:c r="T1040" s="3" t="str">
        <x:v>22-ปัจจุบัน</x:v>
      </x:c>
      <x:c r="U1040" s="28" t="n">
        <x:v>499000</x:v>
      </x:c>
      <x:c r="V1040" s="28" t="n">
        <x:v>659000</x:v>
      </x:c>
      <x:c r="W1040" s="3" t="str">
        <x:v>事故・水没・SOH・保証残は未確認</x:v>
      </x:c>
      <x:c r="X1040" s="3" t="str">
        <x:v>掲載中・在庫未確認</x:v>
      </x:c>
      <x:c r="Y1040" s="3" t="str"/>
      <x:c r="Z1040" s="27" t="str">
        <x:v>https://www.taladrod.com/w40/icar/cardet.aspx?cid=2897243</x:v>
      </x:c>
      <x:c r="AA1040" s="3" t="str">
        <x:v>Taladrod個別広告ID／Carsome在庫ID</x:v>
      </x:c>
      <x:c r="AB1040" s="3" t="str">
        <x:v>車台番号未取得／サイト間重複は未判定</x:v>
      </x:c>
      <x:c r="AC1040" s="3" t="str">
        <x:v>税込区分未確認（一覧表示額）</x:v>
      </x:c>
      <x:c r="AD1040" s="3" t="str"/>
      <x:c r="AE1040" s="29" t="str">
        <x:f>""</x:f>
      </x:c>
      <x:c r="AF1040" s="30" t="str">
        <x:f>IF(ISNUMBER(AE1040),U1040/AE1040,"")</x:f>
      </x:c>
      <x:c r="AG1040" s="29" t="str">
        <x:f>""</x:f>
      </x:c>
      <x:c r="AH1040" s="30" t="str">
        <x:f>IF(ISNUMBER(AG1040),U1040/AG1040,"")</x:f>
      </x:c>
      <x:c r="AI1040" s="3" t="str">
        <x:v>同年式・グレードの検証済み当時価格なし／登録年混在</x:v>
      </x:c>
      <x:c r="AJ1040" s="3" t="str">
        <x:v>一覧価格/年式のみ</x:v>
      </x:c>
      <x:c r="AK1040" s="3" t="str">
        <x:v>一覧の表示価格。年式は掲載年式。</x:v>
      </x:c>
      <x:c r="AL1040" s="31" t="n">
        <x:f>IF(AND(J1040&lt;='分析方法'!$B$7,OR(ISBLANK(O1040),O1040&gt;='分析方法'!$B$8),X1040&lt;&gt;"売却済み表示"),1,0)</x:f>
        <x:v>1</x:v>
      </x:c>
      <x:c r="AM1040" s="32" t="n">
        <x:f>IF(AL1040=1,U1040,"")</x:f>
        <x:v>499000</x:v>
      </x:c>
      <x:c r="AN1040" s="33" t="str">
        <x:f>IF(AL1040=1,AF1040,"")</x:f>
      </x:c>
      <x:c r="AO1040" s="31" t="n">
        <x:f>'分析方法'!$B$6-J1040</x:f>
        <x:v>2</x:v>
      </x:c>
      <x:c r="AP1040" s="3"/>
    </x:row>
    <x:row r="1041" ht="22" customHeight="1">
      <x:c r="A1041" s="3" t="str">
        <x:v>T2897881</x:v>
      </x:c>
      <x:c r="B1041" s="7" t="d">
        <x:v>2026-10-08T00:00:00.000Z</x:v>
      </x:c>
      <x:c r="C1041" s="3" t="str">
        <x:v>Taladrod</x:v>
      </x:c>
      <x:c r="D1041" s="3" t="str">
        <x:v>Toyota</x:v>
      </x:c>
      <x:c r="E1041" s="3" t="str">
        <x:v>日本</x:v>
      </x:c>
      <x:c r="F1041" s="3" t="str">
        <x:v>Yaris Ativ</x:v>
      </x:c>
      <x:c r="G1041" s="3" t="str">
        <x:v>ICE</x:v>
      </x:c>
      <x:c r="H1041" s="3" t="str">
        <x:v>Sedan</x:v>
      </x:c>
      <x:c r="I1041" s="3" t="str"/>
      <x:c r="J1041" s="3" t="n">
        <x:v>2024</x:v>
      </x:c>
      <x:c r="K1041" s="3" t="str">
        <x:v>1.2 PREMIUM</x:v>
      </x:c>
      <x:c r="L1041" s="3" t="str">
        <x:v>PREMIUM</x:v>
      </x:c>
      <x:c r="M1041" s="22"/>
      <x:c r="N1041" s="22"/>
      <x:c r="O1041" s="22"/>
      <x:c r="P1041" s="3" t="str">
        <x:v>未掲載</x:v>
      </x:c>
      <x:c r="Q1041" s="3" t="str">
        <x:v>未取得</x:v>
      </x:c>
      <x:c r="R1041" s="3" t="str">
        <x:v>Unknown</x:v>
      </x:c>
      <x:c r="S1041" s="3" t="str">
        <x:v>不明</x:v>
      </x:c>
      <x:c r="T1041" s="3" t="str">
        <x:v>22-ปัจจุบัน</x:v>
      </x:c>
      <x:c r="U1041" s="28" t="n">
        <x:v>469000</x:v>
      </x:c>
      <x:c r="V1041" s="28" t="n">
        <x:v>659000</x:v>
      </x:c>
      <x:c r="W1041" s="3" t="str">
        <x:v>事故・水没・SOH・保証残は未確認</x:v>
      </x:c>
      <x:c r="X1041" s="3" t="str">
        <x:v>掲載中・在庫未確認</x:v>
      </x:c>
      <x:c r="Y1041" s="3" t="str"/>
      <x:c r="Z1041" s="27" t="str">
        <x:v>https://www.taladrod.com/w40/icar/cardet.aspx?cid=2897881</x:v>
      </x:c>
      <x:c r="AA1041" s="3" t="str">
        <x:v>Taladrod個別広告ID／Carsome在庫ID</x:v>
      </x:c>
      <x:c r="AB1041" s="3" t="str">
        <x:v>車台番号未取得／サイト間重複は未判定</x:v>
      </x:c>
      <x:c r="AC1041" s="3" t="str">
        <x:v>税込区分未確認（一覧表示額）</x:v>
      </x:c>
      <x:c r="AD1041" s="3" t="str"/>
      <x:c r="AE1041" s="29" t="str">
        <x:f>""</x:f>
      </x:c>
      <x:c r="AF1041" s="30" t="str">
        <x:f>IF(ISNUMBER(AE1041),U1041/AE1041,"")</x:f>
      </x:c>
      <x:c r="AG1041" s="29" t="str">
        <x:f>""</x:f>
      </x:c>
      <x:c r="AH1041" s="30" t="str">
        <x:f>IF(ISNUMBER(AG1041),U1041/AG1041,"")</x:f>
      </x:c>
      <x:c r="AI1041" s="3" t="str">
        <x:v>同年式・グレードの検証済み当時価格なし／登録年混在</x:v>
      </x:c>
      <x:c r="AJ1041" s="3" t="str">
        <x:v>一覧価格/年式のみ</x:v>
      </x:c>
      <x:c r="AK1041" s="3" t="str">
        <x:v>一覧の表示価格。年式は掲載年式。</x:v>
      </x:c>
      <x:c r="AL1041" s="31" t="n">
        <x:f>IF(AND(J1041&lt;='分析方法'!$B$7,OR(ISBLANK(O1041),O1041&gt;='分析方法'!$B$8),X1041&lt;&gt;"売却済み表示"),1,0)</x:f>
        <x:v>1</x:v>
      </x:c>
      <x:c r="AM1041" s="32" t="n">
        <x:f>IF(AL1041=1,U1041,"")</x:f>
        <x:v>469000</x:v>
      </x:c>
      <x:c r="AN1041" s="33" t="str">
        <x:f>IF(AL1041=1,AF1041,"")</x:f>
      </x:c>
      <x:c r="AO1041" s="31" t="n">
        <x:f>'分析方法'!$B$6-J1041</x:f>
        <x:v>2</x:v>
      </x:c>
      <x:c r="AP1041" s="3"/>
    </x:row>
    <x:row r="1042" ht="22" customHeight="1">
      <x:c r="A1042" s="3" t="str">
        <x:v>T2900045</x:v>
      </x:c>
      <x:c r="B1042" s="7" t="d">
        <x:v>2026-10-08T00:00:00.000Z</x:v>
      </x:c>
      <x:c r="C1042" s="3" t="str">
        <x:v>Taladrod</x:v>
      </x:c>
      <x:c r="D1042" s="3" t="str">
        <x:v>Toyota</x:v>
      </x:c>
      <x:c r="E1042" s="3" t="str">
        <x:v>日本</x:v>
      </x:c>
      <x:c r="F1042" s="3" t="str">
        <x:v>Yaris Ativ</x:v>
      </x:c>
      <x:c r="G1042" s="3" t="str">
        <x:v>ICE</x:v>
      </x:c>
      <x:c r="H1042" s="3" t="str">
        <x:v>Sedan</x:v>
      </x:c>
      <x:c r="I1042" s="3" t="str"/>
      <x:c r="J1042" s="3" t="n">
        <x:v>2024</x:v>
      </x:c>
      <x:c r="K1042" s="3" t="str">
        <x:v>1.2 PREMIUM</x:v>
      </x:c>
      <x:c r="L1042" s="3" t="str">
        <x:v>PREMIUM</x:v>
      </x:c>
      <x:c r="M1042" s="22"/>
      <x:c r="N1042" s="22"/>
      <x:c r="O1042" s="22"/>
      <x:c r="P1042" s="3" t="str">
        <x:v>未掲載</x:v>
      </x:c>
      <x:c r="Q1042" s="3" t="str">
        <x:v>未取得</x:v>
      </x:c>
      <x:c r="R1042" s="3" t="str">
        <x:v>Unknown</x:v>
      </x:c>
      <x:c r="S1042" s="3" t="str">
        <x:v>不明</x:v>
      </x:c>
      <x:c r="T1042" s="3" t="str">
        <x:v>22-ปัจจุบัน</x:v>
      </x:c>
      <x:c r="U1042" s="28" t="n">
        <x:v>498000</x:v>
      </x:c>
      <x:c r="V1042" s="28" t="n">
        <x:v>659000</x:v>
      </x:c>
      <x:c r="W1042" s="3" t="str">
        <x:v>事故・水没・SOH・保証残は未確認</x:v>
      </x:c>
      <x:c r="X1042" s="3" t="str">
        <x:v>掲載中・在庫未確認</x:v>
      </x:c>
      <x:c r="Y1042" s="3" t="str"/>
      <x:c r="Z1042" s="27" t="str">
        <x:v>https://www.taladrod.com/w40/icar/cardet.aspx?cid=2900045</x:v>
      </x:c>
      <x:c r="AA1042" s="3" t="str">
        <x:v>Taladrod個別広告ID／Carsome在庫ID</x:v>
      </x:c>
      <x:c r="AB1042" s="3" t="str">
        <x:v>車台番号未取得／サイト間重複は未判定</x:v>
      </x:c>
      <x:c r="AC1042" s="3" t="str">
        <x:v>税込区分未確認（一覧表示額）</x:v>
      </x:c>
      <x:c r="AD1042" s="3" t="str"/>
      <x:c r="AE1042" s="29" t="str">
        <x:f>""</x:f>
      </x:c>
      <x:c r="AF1042" s="30" t="str">
        <x:f>IF(ISNUMBER(AE1042),U1042/AE1042,"")</x:f>
      </x:c>
      <x:c r="AG1042" s="29" t="str">
        <x:f>""</x:f>
      </x:c>
      <x:c r="AH1042" s="30" t="str">
        <x:f>IF(ISNUMBER(AG1042),U1042/AG1042,"")</x:f>
      </x:c>
      <x:c r="AI1042" s="3" t="str">
        <x:v>同年式・グレードの検証済み当時価格なし／登録年混在</x:v>
      </x:c>
      <x:c r="AJ1042" s="3" t="str">
        <x:v>一覧価格/年式のみ</x:v>
      </x:c>
      <x:c r="AK1042" s="3" t="str">
        <x:v>一覧の表示価格。年式は掲載年式。</x:v>
      </x:c>
      <x:c r="AL1042" s="31" t="n">
        <x:f>IF(AND(J1042&lt;='分析方法'!$B$7,OR(ISBLANK(O1042),O1042&gt;='分析方法'!$B$8),X1042&lt;&gt;"売却済み表示"),1,0)</x:f>
        <x:v>1</x:v>
      </x:c>
      <x:c r="AM1042" s="32" t="n">
        <x:f>IF(AL1042=1,U1042,"")</x:f>
        <x:v>498000</x:v>
      </x:c>
      <x:c r="AN1042" s="33" t="str">
        <x:f>IF(AL1042=1,AF1042,"")</x:f>
      </x:c>
      <x:c r="AO1042" s="31" t="n">
        <x:f>'分析方法'!$B$6-J1042</x:f>
        <x:v>2</x:v>
      </x:c>
      <x:c r="AP1042" s="3"/>
    </x:row>
    <x:row r="1043" ht="22" customHeight="1">
      <x:c r="A1043" s="3" t="str">
        <x:v>T2908697</x:v>
      </x:c>
      <x:c r="B1043" s="7" t="d">
        <x:v>2026-10-08T00:00:00.000Z</x:v>
      </x:c>
      <x:c r="C1043" s="3" t="str">
        <x:v>Taladrod</x:v>
      </x:c>
      <x:c r="D1043" s="3" t="str">
        <x:v>Toyota</x:v>
      </x:c>
      <x:c r="E1043" s="3" t="str">
        <x:v>日本</x:v>
      </x:c>
      <x:c r="F1043" s="3" t="str">
        <x:v>Yaris Ativ</x:v>
      </x:c>
      <x:c r="G1043" s="3" t="str">
        <x:v>ICE</x:v>
      </x:c>
      <x:c r="H1043" s="3" t="str">
        <x:v>Sedan</x:v>
      </x:c>
      <x:c r="I1043" s="3" t="str"/>
      <x:c r="J1043" s="3" t="n">
        <x:v>2024</x:v>
      </x:c>
      <x:c r="K1043" s="3" t="str">
        <x:v>1.2 PREMIUM</x:v>
      </x:c>
      <x:c r="L1043" s="3" t="str">
        <x:v>PREMIUM</x:v>
      </x:c>
      <x:c r="M1043" s="22"/>
      <x:c r="N1043" s="22"/>
      <x:c r="O1043" s="22"/>
      <x:c r="P1043" s="3" t="str">
        <x:v>未掲載</x:v>
      </x:c>
      <x:c r="Q1043" s="3" t="str">
        <x:v>未取得</x:v>
      </x:c>
      <x:c r="R1043" s="3" t="str">
        <x:v>Unknown</x:v>
      </x:c>
      <x:c r="S1043" s="3" t="str">
        <x:v>不明</x:v>
      </x:c>
      <x:c r="T1043" s="3" t="str">
        <x:v>22-ปัจจุบัน</x:v>
      </x:c>
      <x:c r="U1043" s="28" t="n">
        <x:v>479000</x:v>
      </x:c>
      <x:c r="V1043" s="28" t="n">
        <x:v>659000</x:v>
      </x:c>
      <x:c r="W1043" s="3" t="str">
        <x:v>事故・水没・SOH・保証残は未確認</x:v>
      </x:c>
      <x:c r="X1043" s="3" t="str">
        <x:v>掲載中・在庫未確認</x:v>
      </x:c>
      <x:c r="Y1043" s="3" t="str"/>
      <x:c r="Z1043" s="27" t="str">
        <x:v>https://www.taladrod.com/w40/icar/cardet.aspx?cid=2908697</x:v>
      </x:c>
      <x:c r="AA1043" s="3" t="str">
        <x:v>Taladrod個別広告ID／Carsome在庫ID</x:v>
      </x:c>
      <x:c r="AB1043" s="3" t="str">
        <x:v>車台番号未取得／サイト間重複は未判定</x:v>
      </x:c>
      <x:c r="AC1043" s="3" t="str">
        <x:v>税込区分未確認（一覧表示額）</x:v>
      </x:c>
      <x:c r="AD1043" s="3" t="str"/>
      <x:c r="AE1043" s="29" t="str">
        <x:f>""</x:f>
      </x:c>
      <x:c r="AF1043" s="30" t="str">
        <x:f>IF(ISNUMBER(AE1043),U1043/AE1043,"")</x:f>
      </x:c>
      <x:c r="AG1043" s="29" t="str">
        <x:f>""</x:f>
      </x:c>
      <x:c r="AH1043" s="30" t="str">
        <x:f>IF(ISNUMBER(AG1043),U1043/AG1043,"")</x:f>
      </x:c>
      <x:c r="AI1043" s="3" t="str">
        <x:v>同年式・グレードの検証済み当時価格なし／登録年混在</x:v>
      </x:c>
      <x:c r="AJ1043" s="3" t="str">
        <x:v>一覧価格/年式のみ</x:v>
      </x:c>
      <x:c r="AK1043" s="3" t="str">
        <x:v>一覧の表示価格。年式は掲載年式。</x:v>
      </x:c>
      <x:c r="AL1043" s="31" t="n">
        <x:f>IF(AND(J1043&lt;='分析方法'!$B$7,OR(ISBLANK(O1043),O1043&gt;='分析方法'!$B$8),X1043&lt;&gt;"売却済み表示"),1,0)</x:f>
        <x:v>1</x:v>
      </x:c>
      <x:c r="AM1043" s="32" t="n">
        <x:f>IF(AL1043=1,U1043,"")</x:f>
        <x:v>479000</x:v>
      </x:c>
      <x:c r="AN1043" s="33" t="str">
        <x:f>IF(AL1043=1,AF1043,"")</x:f>
      </x:c>
      <x:c r="AO1043" s="31" t="n">
        <x:f>'分析方法'!$B$6-J1043</x:f>
        <x:v>2</x:v>
      </x:c>
      <x:c r="AP1043" s="3"/>
    </x:row>
    <x:row r="1044" ht="22" customHeight="1">
      <x:c r="A1044" s="3" t="str">
        <x:v>T2911405</x:v>
      </x:c>
      <x:c r="B1044" s="7" t="d">
        <x:v>2026-10-08T00:00:00.000Z</x:v>
      </x:c>
      <x:c r="C1044" s="3" t="str">
        <x:v>Taladrod</x:v>
      </x:c>
      <x:c r="D1044" s="3" t="str">
        <x:v>Toyota</x:v>
      </x:c>
      <x:c r="E1044" s="3" t="str">
        <x:v>日本</x:v>
      </x:c>
      <x:c r="F1044" s="3" t="str">
        <x:v>Yaris Ativ</x:v>
      </x:c>
      <x:c r="G1044" s="3" t="str">
        <x:v>ICE</x:v>
      </x:c>
      <x:c r="H1044" s="3" t="str">
        <x:v>Sedan</x:v>
      </x:c>
      <x:c r="I1044" s="3" t="str"/>
      <x:c r="J1044" s="3" t="n">
        <x:v>2024</x:v>
      </x:c>
      <x:c r="K1044" s="3" t="str">
        <x:v>1.2 PREMIUM</x:v>
      </x:c>
      <x:c r="L1044" s="3" t="str">
        <x:v>PREMIUM</x:v>
      </x:c>
      <x:c r="M1044" s="22"/>
      <x:c r="N1044" s="22"/>
      <x:c r="O1044" s="22"/>
      <x:c r="P1044" s="3" t="str">
        <x:v>未掲載</x:v>
      </x:c>
      <x:c r="Q1044" s="3" t="str">
        <x:v>未取得</x:v>
      </x:c>
      <x:c r="R1044" s="3" t="str">
        <x:v>Unknown</x:v>
      </x:c>
      <x:c r="S1044" s="3" t="str">
        <x:v>不明</x:v>
      </x:c>
      <x:c r="T1044" s="3" t="str">
        <x:v>22-ปัจจุบัน</x:v>
      </x:c>
      <x:c r="U1044" s="28" t="n">
        <x:v>499000</x:v>
      </x:c>
      <x:c r="V1044" s="28" t="n">
        <x:v>659000</x:v>
      </x:c>
      <x:c r="W1044" s="3" t="str">
        <x:v>事故・水没・SOH・保証残は未確認</x:v>
      </x:c>
      <x:c r="X1044" s="3" t="str">
        <x:v>掲載中・在庫未確認</x:v>
      </x:c>
      <x:c r="Y1044" s="3" t="str"/>
      <x:c r="Z1044" s="27" t="str">
        <x:v>https://www.taladrod.com/w40/icar/cardet.aspx?cid=2911405</x:v>
      </x:c>
      <x:c r="AA1044" s="3" t="str">
        <x:v>Taladrod個別広告ID／Carsome在庫ID</x:v>
      </x:c>
      <x:c r="AB1044" s="3" t="str">
        <x:v>車台番号未取得／サイト間重複は未判定</x:v>
      </x:c>
      <x:c r="AC1044" s="3" t="str">
        <x:v>税込区分未確認（一覧表示額）</x:v>
      </x:c>
      <x:c r="AD1044" s="3" t="str"/>
      <x:c r="AE1044" s="29" t="str">
        <x:f>""</x:f>
      </x:c>
      <x:c r="AF1044" s="30" t="str">
        <x:f>IF(ISNUMBER(AE1044),U1044/AE1044,"")</x:f>
      </x:c>
      <x:c r="AG1044" s="29" t="str">
        <x:f>""</x:f>
      </x:c>
      <x:c r="AH1044" s="30" t="str">
        <x:f>IF(ISNUMBER(AG1044),U1044/AG1044,"")</x:f>
      </x:c>
      <x:c r="AI1044" s="3" t="str">
        <x:v>同年式・グレードの検証済み当時価格なし／登録年混在</x:v>
      </x:c>
      <x:c r="AJ1044" s="3" t="str">
        <x:v>一覧価格/年式のみ</x:v>
      </x:c>
      <x:c r="AK1044" s="3" t="str">
        <x:v>一覧の表示価格。年式は掲載年式。</x:v>
      </x:c>
      <x:c r="AL1044" s="31" t="n">
        <x:f>IF(AND(J1044&lt;='分析方法'!$B$7,OR(ISBLANK(O1044),O1044&gt;='分析方法'!$B$8),X1044&lt;&gt;"売却済み表示"),1,0)</x:f>
        <x:v>1</x:v>
      </x:c>
      <x:c r="AM1044" s="32" t="n">
        <x:f>IF(AL1044=1,U1044,"")</x:f>
        <x:v>499000</x:v>
      </x:c>
      <x:c r="AN1044" s="33" t="str">
        <x:f>IF(AL1044=1,AF1044,"")</x:f>
      </x:c>
      <x:c r="AO1044" s="31" t="n">
        <x:f>'分析方法'!$B$6-J1044</x:f>
        <x:v>2</x:v>
      </x:c>
      <x:c r="AP1044" s="3"/>
    </x:row>
    <x:row r="1045" ht="22" customHeight="1">
      <x:c r="A1045" s="3" t="str">
        <x:v>T2924475</x:v>
      </x:c>
      <x:c r="B1045" s="7" t="d">
        <x:v>2026-10-08T00:00:00.000Z</x:v>
      </x:c>
      <x:c r="C1045" s="3" t="str">
        <x:v>Taladrod</x:v>
      </x:c>
      <x:c r="D1045" s="3" t="str">
        <x:v>Toyota</x:v>
      </x:c>
      <x:c r="E1045" s="3" t="str">
        <x:v>日本</x:v>
      </x:c>
      <x:c r="F1045" s="3" t="str">
        <x:v>Yaris Ativ</x:v>
      </x:c>
      <x:c r="G1045" s="3" t="str">
        <x:v>ICE</x:v>
      </x:c>
      <x:c r="H1045" s="3" t="str">
        <x:v>Sedan</x:v>
      </x:c>
      <x:c r="I1045" s="3" t="str"/>
      <x:c r="J1045" s="3" t="n">
        <x:v>2024</x:v>
      </x:c>
      <x:c r="K1045" s="3" t="str">
        <x:v>1.2 PREMIUM</x:v>
      </x:c>
      <x:c r="L1045" s="3" t="str">
        <x:v>PREMIUM</x:v>
      </x:c>
      <x:c r="M1045" s="22"/>
      <x:c r="N1045" s="22"/>
      <x:c r="O1045" s="22"/>
      <x:c r="P1045" s="3" t="str">
        <x:v>未掲載</x:v>
      </x:c>
      <x:c r="Q1045" s="3" t="str">
        <x:v>未取得</x:v>
      </x:c>
      <x:c r="R1045" s="3" t="str">
        <x:v>Unknown</x:v>
      </x:c>
      <x:c r="S1045" s="3" t="str">
        <x:v>不明</x:v>
      </x:c>
      <x:c r="T1045" s="3" t="str">
        <x:v>22-ปัจจุบัน</x:v>
      </x:c>
      <x:c r="U1045" s="28" t="n">
        <x:v>489000</x:v>
      </x:c>
      <x:c r="V1045" s="28" t="n">
        <x:v>659000</x:v>
      </x:c>
      <x:c r="W1045" s="3" t="str">
        <x:v>事故・水没・SOH・保証残は未確認</x:v>
      </x:c>
      <x:c r="X1045" s="3" t="str">
        <x:v>掲載中・在庫未確認</x:v>
      </x:c>
      <x:c r="Y1045" s="3" t="str"/>
      <x:c r="Z1045" s="27" t="str">
        <x:v>https://www.taladrod.com/w40/icar/cardet.aspx?cid=2924475</x:v>
      </x:c>
      <x:c r="AA1045" s="3" t="str">
        <x:v>Taladrod個別広告ID／Carsome在庫ID</x:v>
      </x:c>
      <x:c r="AB1045" s="3" t="str">
        <x:v>車台番号未取得／サイト間重複は未判定</x:v>
      </x:c>
      <x:c r="AC1045" s="3" t="str">
        <x:v>税込区分未確認（一覧表示額）</x:v>
      </x:c>
      <x:c r="AD1045" s="3" t="str"/>
      <x:c r="AE1045" s="29" t="str">
        <x:f>""</x:f>
      </x:c>
      <x:c r="AF1045" s="30" t="str">
        <x:f>IF(ISNUMBER(AE1045),U1045/AE1045,"")</x:f>
      </x:c>
      <x:c r="AG1045" s="29" t="str">
        <x:f>""</x:f>
      </x:c>
      <x:c r="AH1045" s="30" t="str">
        <x:f>IF(ISNUMBER(AG1045),U1045/AG1045,"")</x:f>
      </x:c>
      <x:c r="AI1045" s="3" t="str">
        <x:v>同年式・グレードの検証済み当時価格なし／登録年混在</x:v>
      </x:c>
      <x:c r="AJ1045" s="3" t="str">
        <x:v>一覧価格/年式のみ</x:v>
      </x:c>
      <x:c r="AK1045" s="3" t="str">
        <x:v>一覧の表示価格。年式は掲載年式。</x:v>
      </x:c>
      <x:c r="AL1045" s="31" t="n">
        <x:f>IF(AND(J1045&lt;='分析方法'!$B$7,OR(ISBLANK(O1045),O1045&gt;='分析方法'!$B$8),X1045&lt;&gt;"売却済み表示"),1,0)</x:f>
        <x:v>1</x:v>
      </x:c>
      <x:c r="AM1045" s="32" t="n">
        <x:f>IF(AL1045=1,U1045,"")</x:f>
        <x:v>489000</x:v>
      </x:c>
      <x:c r="AN1045" s="33" t="str">
        <x:f>IF(AL1045=1,AF1045,"")</x:f>
      </x:c>
      <x:c r="AO1045" s="31" t="n">
        <x:f>'分析方法'!$B$6-J1045</x:f>
        <x:v>2</x:v>
      </x:c>
      <x:c r="AP1045" s="3"/>
    </x:row>
    <x:row r="1046" ht="22" customHeight="1">
      <x:c r="A1046" s="3" t="str">
        <x:v>T2925347</x:v>
      </x:c>
      <x:c r="B1046" s="7" t="d">
        <x:v>2026-10-08T00:00:00.000Z</x:v>
      </x:c>
      <x:c r="C1046" s="3" t="str">
        <x:v>Taladrod</x:v>
      </x:c>
      <x:c r="D1046" s="3" t="str">
        <x:v>Toyota</x:v>
      </x:c>
      <x:c r="E1046" s="3" t="str">
        <x:v>日本</x:v>
      </x:c>
      <x:c r="F1046" s="3" t="str">
        <x:v>Yaris Ativ</x:v>
      </x:c>
      <x:c r="G1046" s="3" t="str">
        <x:v>ICE</x:v>
      </x:c>
      <x:c r="H1046" s="3" t="str">
        <x:v>Sedan</x:v>
      </x:c>
      <x:c r="I1046" s="3" t="str"/>
      <x:c r="J1046" s="3" t="n">
        <x:v>2024</x:v>
      </x:c>
      <x:c r="K1046" s="3" t="str">
        <x:v>1.2 PREMIUM</x:v>
      </x:c>
      <x:c r="L1046" s="3" t="str">
        <x:v>PREMIUM</x:v>
      </x:c>
      <x:c r="M1046" s="22"/>
      <x:c r="N1046" s="22"/>
      <x:c r="O1046" s="22"/>
      <x:c r="P1046" s="3" t="str">
        <x:v>未掲載</x:v>
      </x:c>
      <x:c r="Q1046" s="3" t="str">
        <x:v>未取得</x:v>
      </x:c>
      <x:c r="R1046" s="3" t="str">
        <x:v>Unknown</x:v>
      </x:c>
      <x:c r="S1046" s="3" t="str">
        <x:v>不明</x:v>
      </x:c>
      <x:c r="T1046" s="3" t="str">
        <x:v>22-ปัจจุบัน</x:v>
      </x:c>
      <x:c r="U1046" s="28" t="n">
        <x:v>439000</x:v>
      </x:c>
      <x:c r="V1046" s="28" t="n">
        <x:v>659000</x:v>
      </x:c>
      <x:c r="W1046" s="3" t="str">
        <x:v>事故・水没・SOH・保証残は未確認</x:v>
      </x:c>
      <x:c r="X1046" s="3" t="str">
        <x:v>掲載中・在庫未確認</x:v>
      </x:c>
      <x:c r="Y1046" s="3" t="str"/>
      <x:c r="Z1046" s="27" t="str">
        <x:v>https://www.taladrod.com/w40/icar/cardet.aspx?cid=2925347</x:v>
      </x:c>
      <x:c r="AA1046" s="3" t="str">
        <x:v>Taladrod個別広告ID／Carsome在庫ID</x:v>
      </x:c>
      <x:c r="AB1046" s="3" t="str">
        <x:v>車台番号未取得／サイト間重複は未判定</x:v>
      </x:c>
      <x:c r="AC1046" s="3" t="str">
        <x:v>税込区分未確認（一覧表示額）</x:v>
      </x:c>
      <x:c r="AD1046" s="3" t="str"/>
      <x:c r="AE1046" s="29" t="str">
        <x:f>""</x:f>
      </x:c>
      <x:c r="AF1046" s="30" t="str">
        <x:f>IF(ISNUMBER(AE1046),U1046/AE1046,"")</x:f>
      </x:c>
      <x:c r="AG1046" s="29" t="str">
        <x:f>""</x:f>
      </x:c>
      <x:c r="AH1046" s="30" t="str">
        <x:f>IF(ISNUMBER(AG1046),U1046/AG1046,"")</x:f>
      </x:c>
      <x:c r="AI1046" s="3" t="str">
        <x:v>同年式・グレードの検証済み当時価格なし／登録年混在</x:v>
      </x:c>
      <x:c r="AJ1046" s="3" t="str">
        <x:v>一覧価格/年式のみ</x:v>
      </x:c>
      <x:c r="AK1046" s="3" t="str">
        <x:v>一覧の表示価格。年式は掲載年式。</x:v>
      </x:c>
      <x:c r="AL1046" s="31" t="n">
        <x:f>IF(AND(J1046&lt;='分析方法'!$B$7,OR(ISBLANK(O1046),O1046&gt;='分析方法'!$B$8),X1046&lt;&gt;"売却済み表示"),1,0)</x:f>
        <x:v>1</x:v>
      </x:c>
      <x:c r="AM1046" s="32" t="n">
        <x:f>IF(AL1046=1,U1046,"")</x:f>
        <x:v>439000</x:v>
      </x:c>
      <x:c r="AN1046" s="33" t="str">
        <x:f>IF(AL1046=1,AF1046,"")</x:f>
      </x:c>
      <x:c r="AO1046" s="31" t="n">
        <x:f>'分析方法'!$B$6-J1046</x:f>
        <x:v>2</x:v>
      </x:c>
      <x:c r="AP1046" s="3"/>
    </x:row>
    <x:row r="1047" ht="22" customHeight="1">
      <x:c r="A1047" s="3" t="str">
        <x:v>T2883593</x:v>
      </x:c>
      <x:c r="B1047" s="7" t="d">
        <x:v>2026-10-08T00:00:00.000Z</x:v>
      </x:c>
      <x:c r="C1047" s="3" t="str">
        <x:v>Taladrod</x:v>
      </x:c>
      <x:c r="D1047" s="3" t="str">
        <x:v>Toyota</x:v>
      </x:c>
      <x:c r="E1047" s="3" t="str">
        <x:v>日本</x:v>
      </x:c>
      <x:c r="F1047" s="3" t="str">
        <x:v>Yaris Ativ</x:v>
      </x:c>
      <x:c r="G1047" s="3" t="str">
        <x:v>ICE</x:v>
      </x:c>
      <x:c r="H1047" s="3" t="str">
        <x:v>Sedan</x:v>
      </x:c>
      <x:c r="I1047" s="3" t="str"/>
      <x:c r="J1047" s="3" t="n">
        <x:v>2024</x:v>
      </x:c>
      <x:c r="K1047" s="3" t="str">
        <x:v>1.2 PREMIUM LUXURY</x:v>
      </x:c>
      <x:c r="L1047" s="3" t="str">
        <x:v>PREMIUM LUXURY</x:v>
      </x:c>
      <x:c r="M1047" s="22"/>
      <x:c r="N1047" s="22"/>
      <x:c r="O1047" s="22"/>
      <x:c r="P1047" s="3" t="str">
        <x:v>未掲載</x:v>
      </x:c>
      <x:c r="Q1047" s="3" t="str">
        <x:v>未取得</x:v>
      </x:c>
      <x:c r="R1047" s="3" t="str">
        <x:v>Unknown</x:v>
      </x:c>
      <x:c r="S1047" s="3" t="str">
        <x:v>不明</x:v>
      </x:c>
      <x:c r="T1047" s="3" t="str">
        <x:v>22-ปัจจุบัน</x:v>
      </x:c>
      <x:c r="U1047" s="28" t="n">
        <x:v>609000</x:v>
      </x:c>
      <x:c r="V1047" s="28" t="n">
        <x:v>689000</x:v>
      </x:c>
      <x:c r="W1047" s="3" t="str">
        <x:v>事故・水没・SOH・保証残は未確認</x:v>
      </x:c>
      <x:c r="X1047" s="3" t="str">
        <x:v>掲載中・在庫未確認</x:v>
      </x:c>
      <x:c r="Y1047" s="3" t="str"/>
      <x:c r="Z1047" s="27" t="str">
        <x:v>https://www.taladrod.com/w40/icar/cardet.aspx?cid=2883593</x:v>
      </x:c>
      <x:c r="AA1047" s="3" t="str">
        <x:v>Taladrod個別広告ID／Carsome在庫ID</x:v>
      </x:c>
      <x:c r="AB1047" s="3" t="str">
        <x:v>車台番号未取得／サイト間重複は未判定</x:v>
      </x:c>
      <x:c r="AC1047" s="3" t="str">
        <x:v>税込区分未確認（一覧表示額）</x:v>
      </x:c>
      <x:c r="AD1047" s="3" t="str"/>
      <x:c r="AE1047" s="29" t="str">
        <x:f>""</x:f>
      </x:c>
      <x:c r="AF1047" s="30" t="str">
        <x:f>IF(ISNUMBER(AE1047),U1047/AE1047,"")</x:f>
      </x:c>
      <x:c r="AG1047" s="29" t="str">
        <x:f>""</x:f>
      </x:c>
      <x:c r="AH1047" s="30" t="str">
        <x:f>IF(ISNUMBER(AG1047),U1047/AG1047,"")</x:f>
      </x:c>
      <x:c r="AI1047" s="3" t="str">
        <x:v>同年式・グレードの検証済み当時価格なし／登録年混在</x:v>
      </x:c>
      <x:c r="AJ1047" s="3" t="str">
        <x:v>一覧価格/年式のみ</x:v>
      </x:c>
      <x:c r="AK1047" s="3" t="str">
        <x:v>一覧の表示価格。年式は掲載年式。</x:v>
      </x:c>
      <x:c r="AL1047" s="31" t="n">
        <x:f>IF(AND(J1047&lt;='分析方法'!$B$7,OR(ISBLANK(O1047),O1047&gt;='分析方法'!$B$8),X1047&lt;&gt;"売却済み表示"),1,0)</x:f>
        <x:v>1</x:v>
      </x:c>
      <x:c r="AM1047" s="32" t="n">
        <x:f>IF(AL1047=1,U1047,"")</x:f>
        <x:v>609000</x:v>
      </x:c>
      <x:c r="AN1047" s="33" t="str">
        <x:f>IF(AL1047=1,AF1047,"")</x:f>
      </x:c>
      <x:c r="AO1047" s="31" t="n">
        <x:f>'分析方法'!$B$6-J1047</x:f>
        <x:v>2</x:v>
      </x:c>
      <x:c r="AP1047" s="3"/>
    </x:row>
    <x:row r="1048" ht="22" customHeight="1">
      <x:c r="A1048" s="3" t="str">
        <x:v>T2889426</x:v>
      </x:c>
      <x:c r="B1048" s="7" t="d">
        <x:v>2026-10-08T00:00:00.000Z</x:v>
      </x:c>
      <x:c r="C1048" s="3" t="str">
        <x:v>Taladrod</x:v>
      </x:c>
      <x:c r="D1048" s="3" t="str">
        <x:v>Toyota</x:v>
      </x:c>
      <x:c r="E1048" s="3" t="str">
        <x:v>日本</x:v>
      </x:c>
      <x:c r="F1048" s="3" t="str">
        <x:v>Yaris Ativ</x:v>
      </x:c>
      <x:c r="G1048" s="3" t="str">
        <x:v>ICE</x:v>
      </x:c>
      <x:c r="H1048" s="3" t="str">
        <x:v>Sedan</x:v>
      </x:c>
      <x:c r="I1048" s="3" t="str"/>
      <x:c r="J1048" s="3" t="n">
        <x:v>2024</x:v>
      </x:c>
      <x:c r="K1048" s="3" t="str">
        <x:v>1.2 PREMIUM LUXURY</x:v>
      </x:c>
      <x:c r="L1048" s="3" t="str">
        <x:v>PREMIUM LUXURY</x:v>
      </x:c>
      <x:c r="M1048" s="22"/>
      <x:c r="N1048" s="22"/>
      <x:c r="O1048" s="22"/>
      <x:c r="P1048" s="3" t="str">
        <x:v>未掲載</x:v>
      </x:c>
      <x:c r="Q1048" s="3" t="str">
        <x:v>未取得</x:v>
      </x:c>
      <x:c r="R1048" s="3" t="str">
        <x:v>Unknown</x:v>
      </x:c>
      <x:c r="S1048" s="3" t="str">
        <x:v>不明</x:v>
      </x:c>
      <x:c r="T1048" s="3" t="str">
        <x:v>22-ปัจจุบัน</x:v>
      </x:c>
      <x:c r="U1048" s="28" t="n">
        <x:v>524000</x:v>
      </x:c>
      <x:c r="V1048" s="28" t="n">
        <x:v>689000</x:v>
      </x:c>
      <x:c r="W1048" s="3" t="str">
        <x:v>事故・水没・SOH・保証残は未確認</x:v>
      </x:c>
      <x:c r="X1048" s="3" t="str">
        <x:v>掲載中・在庫未確認</x:v>
      </x:c>
      <x:c r="Y1048" s="3" t="str"/>
      <x:c r="Z1048" s="27" t="str">
        <x:v>https://www.taladrod.com/w40/icar/cardet.aspx?cid=2889426</x:v>
      </x:c>
      <x:c r="AA1048" s="3" t="str">
        <x:v>Taladrod個別広告ID／Carsome在庫ID</x:v>
      </x:c>
      <x:c r="AB1048" s="3" t="str">
        <x:v>車台番号未取得／サイト間重複は未判定</x:v>
      </x:c>
      <x:c r="AC1048" s="3" t="str">
        <x:v>税込区分未確認（一覧表示額）</x:v>
      </x:c>
      <x:c r="AD1048" s="3" t="str"/>
      <x:c r="AE1048" s="29" t="str">
        <x:f>""</x:f>
      </x:c>
      <x:c r="AF1048" s="30" t="str">
        <x:f>IF(ISNUMBER(AE1048),U1048/AE1048,"")</x:f>
      </x:c>
      <x:c r="AG1048" s="29" t="str">
        <x:f>""</x:f>
      </x:c>
      <x:c r="AH1048" s="30" t="str">
        <x:f>IF(ISNUMBER(AG1048),U1048/AG1048,"")</x:f>
      </x:c>
      <x:c r="AI1048" s="3" t="str">
        <x:v>同年式・グレードの検証済み当時価格なし／登録年混在</x:v>
      </x:c>
      <x:c r="AJ1048" s="3" t="str">
        <x:v>一覧価格/年式のみ</x:v>
      </x:c>
      <x:c r="AK1048" s="3" t="str">
        <x:v>一覧の表示価格。年式は掲載年式。</x:v>
      </x:c>
      <x:c r="AL1048" s="31" t="n">
        <x:f>IF(AND(J1048&lt;='分析方法'!$B$7,OR(ISBLANK(O1048),O1048&gt;='分析方法'!$B$8),X1048&lt;&gt;"売却済み表示"),1,0)</x:f>
        <x:v>1</x:v>
      </x:c>
      <x:c r="AM1048" s="32" t="n">
        <x:f>IF(AL1048=1,U1048,"")</x:f>
        <x:v>524000</x:v>
      </x:c>
      <x:c r="AN1048" s="33" t="str">
        <x:f>IF(AL1048=1,AF1048,"")</x:f>
      </x:c>
      <x:c r="AO1048" s="31" t="n">
        <x:f>'分析方法'!$B$6-J1048</x:f>
        <x:v>2</x:v>
      </x:c>
      <x:c r="AP1048" s="3"/>
    </x:row>
    <x:row r="1049" ht="22" customHeight="1">
      <x:c r="A1049" s="3" t="str">
        <x:v>T2899237</x:v>
      </x:c>
      <x:c r="B1049" s="7" t="d">
        <x:v>2026-10-08T00:00:00.000Z</x:v>
      </x:c>
      <x:c r="C1049" s="3" t="str">
        <x:v>Taladrod</x:v>
      </x:c>
      <x:c r="D1049" s="3" t="str">
        <x:v>Toyota</x:v>
      </x:c>
      <x:c r="E1049" s="3" t="str">
        <x:v>日本</x:v>
      </x:c>
      <x:c r="F1049" s="3" t="str">
        <x:v>Yaris Ativ</x:v>
      </x:c>
      <x:c r="G1049" s="3" t="str">
        <x:v>ICE</x:v>
      </x:c>
      <x:c r="H1049" s="3" t="str">
        <x:v>Sedan</x:v>
      </x:c>
      <x:c r="I1049" s="3" t="str"/>
      <x:c r="J1049" s="3" t="n">
        <x:v>2024</x:v>
      </x:c>
      <x:c r="K1049" s="3" t="str">
        <x:v>1.2 PREMIUM LUXURY</x:v>
      </x:c>
      <x:c r="L1049" s="3" t="str">
        <x:v>PREMIUM LUXURY</x:v>
      </x:c>
      <x:c r="M1049" s="22"/>
      <x:c r="N1049" s="22"/>
      <x:c r="O1049" s="22"/>
      <x:c r="P1049" s="3" t="str">
        <x:v>未掲載</x:v>
      </x:c>
      <x:c r="Q1049" s="3" t="str">
        <x:v>未取得</x:v>
      </x:c>
      <x:c r="R1049" s="3" t="str">
        <x:v>Unknown</x:v>
      </x:c>
      <x:c r="S1049" s="3" t="str">
        <x:v>不明</x:v>
      </x:c>
      <x:c r="T1049" s="3" t="str">
        <x:v>22-ปัจจุบัน</x:v>
      </x:c>
      <x:c r="U1049" s="28" t="n">
        <x:v>518000</x:v>
      </x:c>
      <x:c r="V1049" s="28" t="n">
        <x:v>689000</x:v>
      </x:c>
      <x:c r="W1049" s="3" t="str">
        <x:v>事故・水没・SOH・保証残は未確認</x:v>
      </x:c>
      <x:c r="X1049" s="3" t="str">
        <x:v>掲載中・在庫未確認</x:v>
      </x:c>
      <x:c r="Y1049" s="3" t="str"/>
      <x:c r="Z1049" s="27" t="str">
        <x:v>https://www.taladrod.com/w40/icar/cardet.aspx?cid=2899237</x:v>
      </x:c>
      <x:c r="AA1049" s="3" t="str">
        <x:v>Taladrod個別広告ID／Carsome在庫ID</x:v>
      </x:c>
      <x:c r="AB1049" s="3" t="str">
        <x:v>車台番号未取得／サイト間重複は未判定</x:v>
      </x:c>
      <x:c r="AC1049" s="3" t="str">
        <x:v>税込区分未確認（一覧表示額）</x:v>
      </x:c>
      <x:c r="AD1049" s="3" t="str"/>
      <x:c r="AE1049" s="29" t="str">
        <x:f>""</x:f>
      </x:c>
      <x:c r="AF1049" s="30" t="str">
        <x:f>IF(ISNUMBER(AE1049),U1049/AE1049,"")</x:f>
      </x:c>
      <x:c r="AG1049" s="29" t="str">
        <x:f>""</x:f>
      </x:c>
      <x:c r="AH1049" s="30" t="str">
        <x:f>IF(ISNUMBER(AG1049),U1049/AG1049,"")</x:f>
      </x:c>
      <x:c r="AI1049" s="3" t="str">
        <x:v>同年式・グレードの検証済み当時価格なし／登録年混在</x:v>
      </x:c>
      <x:c r="AJ1049" s="3" t="str">
        <x:v>一覧価格/年式のみ</x:v>
      </x:c>
      <x:c r="AK1049" s="3" t="str">
        <x:v>一覧の表示価格。年式は掲載年式。</x:v>
      </x:c>
      <x:c r="AL1049" s="31" t="n">
        <x:f>IF(AND(J1049&lt;='分析方法'!$B$7,OR(ISBLANK(O1049),O1049&gt;='分析方法'!$B$8),X1049&lt;&gt;"売却済み表示"),1,0)</x:f>
        <x:v>1</x:v>
      </x:c>
      <x:c r="AM1049" s="32" t="n">
        <x:f>IF(AL1049=1,U1049,"")</x:f>
        <x:v>518000</x:v>
      </x:c>
      <x:c r="AN1049" s="33" t="str">
        <x:f>IF(AL1049=1,AF1049,"")</x:f>
      </x:c>
      <x:c r="AO1049" s="31" t="n">
        <x:f>'分析方法'!$B$6-J1049</x:f>
        <x:v>2</x:v>
      </x:c>
      <x:c r="AP1049" s="3"/>
    </x:row>
    <x:row r="1050" ht="22" customHeight="1">
      <x:c r="A1050" s="3" t="str">
        <x:v>T2900611</x:v>
      </x:c>
      <x:c r="B1050" s="7" t="d">
        <x:v>2026-10-08T00:00:00.000Z</x:v>
      </x:c>
      <x:c r="C1050" s="3" t="str">
        <x:v>Taladrod</x:v>
      </x:c>
      <x:c r="D1050" s="3" t="str">
        <x:v>Toyota</x:v>
      </x:c>
      <x:c r="E1050" s="3" t="str">
        <x:v>日本</x:v>
      </x:c>
      <x:c r="F1050" s="3" t="str">
        <x:v>Yaris Ativ</x:v>
      </x:c>
      <x:c r="G1050" s="3" t="str">
        <x:v>ICE</x:v>
      </x:c>
      <x:c r="H1050" s="3" t="str">
        <x:v>Sedan</x:v>
      </x:c>
      <x:c r="I1050" s="3" t="str"/>
      <x:c r="J1050" s="3" t="n">
        <x:v>2024</x:v>
      </x:c>
      <x:c r="K1050" s="3" t="str">
        <x:v>1.2 PREMIUM LUXURY</x:v>
      </x:c>
      <x:c r="L1050" s="3" t="str">
        <x:v>PREMIUM LUXURY</x:v>
      </x:c>
      <x:c r="M1050" s="22"/>
      <x:c r="N1050" s="22"/>
      <x:c r="O1050" s="22"/>
      <x:c r="P1050" s="3" t="str">
        <x:v>未掲載</x:v>
      </x:c>
      <x:c r="Q1050" s="3" t="str">
        <x:v>未取得</x:v>
      </x:c>
      <x:c r="R1050" s="3" t="str">
        <x:v>Unknown</x:v>
      </x:c>
      <x:c r="S1050" s="3" t="str">
        <x:v>不明</x:v>
      </x:c>
      <x:c r="T1050" s="3" t="str">
        <x:v>22-ปัจจุบัน</x:v>
      </x:c>
      <x:c r="U1050" s="28" t="n">
        <x:v>497000</x:v>
      </x:c>
      <x:c r="V1050" s="28" t="n">
        <x:v>689000</x:v>
      </x:c>
      <x:c r="W1050" s="3" t="str">
        <x:v>事故・水没・SOH・保証残は未確認</x:v>
      </x:c>
      <x:c r="X1050" s="3" t="str">
        <x:v>掲載中・在庫未確認</x:v>
      </x:c>
      <x:c r="Y1050" s="3" t="str"/>
      <x:c r="Z1050" s="27" t="str">
        <x:v>https://www.taladrod.com/w40/icar/cardet.aspx?cid=2900611</x:v>
      </x:c>
      <x:c r="AA1050" s="3" t="str">
        <x:v>Taladrod個別広告ID／Carsome在庫ID</x:v>
      </x:c>
      <x:c r="AB1050" s="3" t="str">
        <x:v>車台番号未取得／サイト間重複は未判定</x:v>
      </x:c>
      <x:c r="AC1050" s="3" t="str">
        <x:v>税込区分未確認（一覧表示額）</x:v>
      </x:c>
      <x:c r="AD1050" s="3" t="str"/>
      <x:c r="AE1050" s="29" t="str">
        <x:f>""</x:f>
      </x:c>
      <x:c r="AF1050" s="30" t="str">
        <x:f>IF(ISNUMBER(AE1050),U1050/AE1050,"")</x:f>
      </x:c>
      <x:c r="AG1050" s="29" t="str">
        <x:f>""</x:f>
      </x:c>
      <x:c r="AH1050" s="30" t="str">
        <x:f>IF(ISNUMBER(AG1050),U1050/AG1050,"")</x:f>
      </x:c>
      <x:c r="AI1050" s="3" t="str">
        <x:v>同年式・グレードの検証済み当時価格なし／登録年混在</x:v>
      </x:c>
      <x:c r="AJ1050" s="3" t="str">
        <x:v>一覧価格/年式のみ</x:v>
      </x:c>
      <x:c r="AK1050" s="3" t="str">
        <x:v>一覧の表示価格。年式は掲載年式。</x:v>
      </x:c>
      <x:c r="AL1050" s="31" t="n">
        <x:f>IF(AND(J1050&lt;='分析方法'!$B$7,OR(ISBLANK(O1050),O1050&gt;='分析方法'!$B$8),X1050&lt;&gt;"売却済み表示"),1,0)</x:f>
        <x:v>1</x:v>
      </x:c>
      <x:c r="AM1050" s="32" t="n">
        <x:f>IF(AL1050=1,U1050,"")</x:f>
        <x:v>497000</x:v>
      </x:c>
      <x:c r="AN1050" s="33" t="str">
        <x:f>IF(AL1050=1,AF1050,"")</x:f>
      </x:c>
      <x:c r="AO1050" s="31" t="n">
        <x:f>'分析方法'!$B$6-J1050</x:f>
        <x:v>2</x:v>
      </x:c>
      <x:c r="AP1050" s="3"/>
    </x:row>
    <x:row r="1051" ht="22" customHeight="1">
      <x:c r="A1051" s="3" t="str">
        <x:v>T2903754</x:v>
      </x:c>
      <x:c r="B1051" s="7" t="d">
        <x:v>2026-10-08T00:00:00.000Z</x:v>
      </x:c>
      <x:c r="C1051" s="3" t="str">
        <x:v>Taladrod</x:v>
      </x:c>
      <x:c r="D1051" s="3" t="str">
        <x:v>Toyota</x:v>
      </x:c>
      <x:c r="E1051" s="3" t="str">
        <x:v>日本</x:v>
      </x:c>
      <x:c r="F1051" s="3" t="str">
        <x:v>Yaris Ativ</x:v>
      </x:c>
      <x:c r="G1051" s="3" t="str">
        <x:v>ICE</x:v>
      </x:c>
      <x:c r="H1051" s="3" t="str">
        <x:v>Sedan</x:v>
      </x:c>
      <x:c r="I1051" s="3" t="str"/>
      <x:c r="J1051" s="3" t="n">
        <x:v>2024</x:v>
      </x:c>
      <x:c r="K1051" s="3" t="str">
        <x:v>1.2 PREMIUM LUXURY</x:v>
      </x:c>
      <x:c r="L1051" s="3" t="str">
        <x:v>PREMIUM LUXURY</x:v>
      </x:c>
      <x:c r="M1051" s="22"/>
      <x:c r="N1051" s="22"/>
      <x:c r="O1051" s="22"/>
      <x:c r="P1051" s="3" t="str">
        <x:v>未掲載</x:v>
      </x:c>
      <x:c r="Q1051" s="3" t="str">
        <x:v>未取得</x:v>
      </x:c>
      <x:c r="R1051" s="3" t="str">
        <x:v>Unknown</x:v>
      </x:c>
      <x:c r="S1051" s="3" t="str">
        <x:v>不明</x:v>
      </x:c>
      <x:c r="T1051" s="3" t="str">
        <x:v>22-ปัจจุบัน</x:v>
      </x:c>
      <x:c r="U1051" s="28" t="n">
        <x:v>509000</x:v>
      </x:c>
      <x:c r="V1051" s="28" t="n">
        <x:v>689000</x:v>
      </x:c>
      <x:c r="W1051" s="3" t="str">
        <x:v>事故・水没・SOH・保証残は未確認</x:v>
      </x:c>
      <x:c r="X1051" s="3" t="str">
        <x:v>掲載中・在庫未確認</x:v>
      </x:c>
      <x:c r="Y1051" s="3" t="str"/>
      <x:c r="Z1051" s="27" t="str">
        <x:v>https://www.taladrod.com/w40/icar/cardet.aspx?cid=2903754</x:v>
      </x:c>
      <x:c r="AA1051" s="3" t="str">
        <x:v>Taladrod個別広告ID／Carsome在庫ID</x:v>
      </x:c>
      <x:c r="AB1051" s="3" t="str">
        <x:v>車台番号未取得／サイト間重複は未判定</x:v>
      </x:c>
      <x:c r="AC1051" s="3" t="str">
        <x:v>税込区分未確認（一覧表示額）</x:v>
      </x:c>
      <x:c r="AD1051" s="3" t="str"/>
      <x:c r="AE1051" s="29" t="str">
        <x:f>""</x:f>
      </x:c>
      <x:c r="AF1051" s="30" t="str">
        <x:f>IF(ISNUMBER(AE1051),U1051/AE1051,"")</x:f>
      </x:c>
      <x:c r="AG1051" s="29" t="str">
        <x:f>""</x:f>
      </x:c>
      <x:c r="AH1051" s="30" t="str">
        <x:f>IF(ISNUMBER(AG1051),U1051/AG1051,"")</x:f>
      </x:c>
      <x:c r="AI1051" s="3" t="str">
        <x:v>同年式・グレードの検証済み当時価格なし／登録年混在</x:v>
      </x:c>
      <x:c r="AJ1051" s="3" t="str">
        <x:v>一覧価格/年式のみ</x:v>
      </x:c>
      <x:c r="AK1051" s="3" t="str">
        <x:v>一覧の表示価格。年式は掲載年式。</x:v>
      </x:c>
      <x:c r="AL1051" s="31" t="n">
        <x:f>IF(AND(J1051&lt;='分析方法'!$B$7,OR(ISBLANK(O1051),O1051&gt;='分析方法'!$B$8),X1051&lt;&gt;"売却済み表示"),1,0)</x:f>
        <x:v>1</x:v>
      </x:c>
      <x:c r="AM1051" s="32" t="n">
        <x:f>IF(AL1051=1,U1051,"")</x:f>
        <x:v>509000</x:v>
      </x:c>
      <x:c r="AN1051" s="33" t="str">
        <x:f>IF(AL1051=1,AF1051,"")</x:f>
      </x:c>
      <x:c r="AO1051" s="31" t="n">
        <x:f>'分析方法'!$B$6-J1051</x:f>
        <x:v>2</x:v>
      </x:c>
      <x:c r="AP1051" s="3"/>
    </x:row>
    <x:row r="1052" ht="22" customHeight="1">
      <x:c r="A1052" s="3" t="str">
        <x:v>T2907380</x:v>
      </x:c>
      <x:c r="B1052" s="7" t="d">
        <x:v>2026-10-08T00:00:00.000Z</x:v>
      </x:c>
      <x:c r="C1052" s="3" t="str">
        <x:v>Taladrod</x:v>
      </x:c>
      <x:c r="D1052" s="3" t="str">
        <x:v>Toyota</x:v>
      </x:c>
      <x:c r="E1052" s="3" t="str">
        <x:v>日本</x:v>
      </x:c>
      <x:c r="F1052" s="3" t="str">
        <x:v>Yaris Ativ</x:v>
      </x:c>
      <x:c r="G1052" s="3" t="str">
        <x:v>ICE</x:v>
      </x:c>
      <x:c r="H1052" s="3" t="str">
        <x:v>Sedan</x:v>
      </x:c>
      <x:c r="I1052" s="3" t="str"/>
      <x:c r="J1052" s="3" t="n">
        <x:v>2024</x:v>
      </x:c>
      <x:c r="K1052" s="3" t="str">
        <x:v>1.2 PREMIUM LUXURY</x:v>
      </x:c>
      <x:c r="L1052" s="3" t="str">
        <x:v>PREMIUM LUXURY</x:v>
      </x:c>
      <x:c r="M1052" s="22"/>
      <x:c r="N1052" s="22"/>
      <x:c r="O1052" s="22"/>
      <x:c r="P1052" s="3" t="str">
        <x:v>未掲載</x:v>
      </x:c>
      <x:c r="Q1052" s="3" t="str">
        <x:v>未取得</x:v>
      </x:c>
      <x:c r="R1052" s="3" t="str">
        <x:v>Unknown</x:v>
      </x:c>
      <x:c r="S1052" s="3" t="str">
        <x:v>不明</x:v>
      </x:c>
      <x:c r="T1052" s="3" t="str">
        <x:v>22-ปัจจุบัน</x:v>
      </x:c>
      <x:c r="U1052" s="28" t="n">
        <x:v>549000</x:v>
      </x:c>
      <x:c r="V1052" s="28" t="n">
        <x:v>689000</x:v>
      </x:c>
      <x:c r="W1052" s="3" t="str">
        <x:v>事故・水没・SOH・保証残は未確認</x:v>
      </x:c>
      <x:c r="X1052" s="3" t="str">
        <x:v>掲載中・在庫未確認</x:v>
      </x:c>
      <x:c r="Y1052" s="3" t="str"/>
      <x:c r="Z1052" s="27" t="str">
        <x:v>https://www.taladrod.com/w40/icar/cardet.aspx?cid=2907380</x:v>
      </x:c>
      <x:c r="AA1052" s="3" t="str">
        <x:v>Taladrod個別広告ID／Carsome在庫ID</x:v>
      </x:c>
      <x:c r="AB1052" s="3" t="str">
        <x:v>車台番号未取得／サイト間重複は未判定</x:v>
      </x:c>
      <x:c r="AC1052" s="3" t="str">
        <x:v>税込区分未確認（一覧表示額）</x:v>
      </x:c>
      <x:c r="AD1052" s="3" t="str"/>
      <x:c r="AE1052" s="29" t="str">
        <x:f>""</x:f>
      </x:c>
      <x:c r="AF1052" s="30" t="str">
        <x:f>IF(ISNUMBER(AE1052),U1052/AE1052,"")</x:f>
      </x:c>
      <x:c r="AG1052" s="29" t="str">
        <x:f>""</x:f>
      </x:c>
      <x:c r="AH1052" s="30" t="str">
        <x:f>IF(ISNUMBER(AG1052),U1052/AG1052,"")</x:f>
      </x:c>
      <x:c r="AI1052" s="3" t="str">
        <x:v>同年式・グレードの検証済み当時価格なし／登録年混在</x:v>
      </x:c>
      <x:c r="AJ1052" s="3" t="str">
        <x:v>一覧価格/年式のみ</x:v>
      </x:c>
      <x:c r="AK1052" s="3" t="str">
        <x:v>一覧の表示価格。年式は掲載年式。</x:v>
      </x:c>
      <x:c r="AL1052" s="31" t="n">
        <x:f>IF(AND(J1052&lt;='分析方法'!$B$7,OR(ISBLANK(O1052),O1052&gt;='分析方法'!$B$8),X1052&lt;&gt;"売却済み表示"),1,0)</x:f>
        <x:v>1</x:v>
      </x:c>
      <x:c r="AM1052" s="32" t="n">
        <x:f>IF(AL1052=1,U1052,"")</x:f>
        <x:v>549000</x:v>
      </x:c>
      <x:c r="AN1052" s="33" t="str">
        <x:f>IF(AL1052=1,AF1052,"")</x:f>
      </x:c>
      <x:c r="AO1052" s="31" t="n">
        <x:f>'分析方法'!$B$6-J1052</x:f>
        <x:v>2</x:v>
      </x:c>
      <x:c r="AP1052" s="3"/>
    </x:row>
    <x:row r="1053" ht="22" customHeight="1">
      <x:c r="A1053" s="3" t="str">
        <x:v>T2908947</x:v>
      </x:c>
      <x:c r="B1053" s="7" t="d">
        <x:v>2026-10-08T00:00:00.000Z</x:v>
      </x:c>
      <x:c r="C1053" s="3" t="str">
        <x:v>Taladrod</x:v>
      </x:c>
      <x:c r="D1053" s="3" t="str">
        <x:v>Toyota</x:v>
      </x:c>
      <x:c r="E1053" s="3" t="str">
        <x:v>日本</x:v>
      </x:c>
      <x:c r="F1053" s="3" t="str">
        <x:v>Yaris Ativ</x:v>
      </x:c>
      <x:c r="G1053" s="3" t="str">
        <x:v>ICE</x:v>
      </x:c>
      <x:c r="H1053" s="3" t="str">
        <x:v>Sedan</x:v>
      </x:c>
      <x:c r="I1053" s="3" t="str"/>
      <x:c r="J1053" s="3" t="n">
        <x:v>2024</x:v>
      </x:c>
      <x:c r="K1053" s="3" t="str">
        <x:v>1.2 PREMIUM LUXURY</x:v>
      </x:c>
      <x:c r="L1053" s="3" t="str">
        <x:v>PREMIUM LUXURY</x:v>
      </x:c>
      <x:c r="M1053" s="22"/>
      <x:c r="N1053" s="22"/>
      <x:c r="O1053" s="22"/>
      <x:c r="P1053" s="3" t="str">
        <x:v>未掲載</x:v>
      </x:c>
      <x:c r="Q1053" s="3" t="str">
        <x:v>未取得</x:v>
      </x:c>
      <x:c r="R1053" s="3" t="str">
        <x:v>Unknown</x:v>
      </x:c>
      <x:c r="S1053" s="3" t="str">
        <x:v>不明</x:v>
      </x:c>
      <x:c r="T1053" s="3" t="str">
        <x:v>22-ปัจจุบัน</x:v>
      </x:c>
      <x:c r="U1053" s="28" t="n">
        <x:v>499000</x:v>
      </x:c>
      <x:c r="V1053" s="28" t="n">
        <x:v>689000</x:v>
      </x:c>
      <x:c r="W1053" s="3" t="str">
        <x:v>事故・水没・SOH・保証残は未確認</x:v>
      </x:c>
      <x:c r="X1053" s="3" t="str">
        <x:v>掲載中・在庫未確認</x:v>
      </x:c>
      <x:c r="Y1053" s="3" t="str"/>
      <x:c r="Z1053" s="27" t="str">
        <x:v>https://www.taladrod.com/w40/icar/cardet.aspx?cid=2908947</x:v>
      </x:c>
      <x:c r="AA1053" s="3" t="str">
        <x:v>Taladrod個別広告ID／Carsome在庫ID</x:v>
      </x:c>
      <x:c r="AB1053" s="3" t="str">
        <x:v>車台番号未取得／サイト間重複は未判定</x:v>
      </x:c>
      <x:c r="AC1053" s="3" t="str">
        <x:v>税込区分未確認（一覧表示額）</x:v>
      </x:c>
      <x:c r="AD1053" s="3" t="str"/>
      <x:c r="AE1053" s="29" t="str">
        <x:f>""</x:f>
      </x:c>
      <x:c r="AF1053" s="30" t="str">
        <x:f>IF(ISNUMBER(AE1053),U1053/AE1053,"")</x:f>
      </x:c>
      <x:c r="AG1053" s="29" t="str">
        <x:f>""</x:f>
      </x:c>
      <x:c r="AH1053" s="30" t="str">
        <x:f>IF(ISNUMBER(AG1053),U1053/AG1053,"")</x:f>
      </x:c>
      <x:c r="AI1053" s="3" t="str">
        <x:v>同年式・グレードの検証済み当時価格なし／登録年混在</x:v>
      </x:c>
      <x:c r="AJ1053" s="3" t="str">
        <x:v>一覧価格/年式のみ</x:v>
      </x:c>
      <x:c r="AK1053" s="3" t="str">
        <x:v>一覧の表示価格。年式は掲載年式。</x:v>
      </x:c>
      <x:c r="AL1053" s="31" t="n">
        <x:f>IF(AND(J1053&lt;='分析方法'!$B$7,OR(ISBLANK(O1053),O1053&gt;='分析方法'!$B$8),X1053&lt;&gt;"売却済み表示"),1,0)</x:f>
        <x:v>1</x:v>
      </x:c>
      <x:c r="AM1053" s="32" t="n">
        <x:f>IF(AL1053=1,U1053,"")</x:f>
        <x:v>499000</x:v>
      </x:c>
      <x:c r="AN1053" s="33" t="str">
        <x:f>IF(AL1053=1,AF1053,"")</x:f>
      </x:c>
      <x:c r="AO1053" s="31" t="n">
        <x:f>'分析方法'!$B$6-J1053</x:f>
        <x:v>2</x:v>
      </x:c>
      <x:c r="AP1053" s="3"/>
    </x:row>
    <x:row r="1054" ht="22" customHeight="1">
      <x:c r="A1054" s="3" t="str">
        <x:v>T2916019</x:v>
      </x:c>
      <x:c r="B1054" s="7" t="d">
        <x:v>2026-10-08T00:00:00.000Z</x:v>
      </x:c>
      <x:c r="C1054" s="3" t="str">
        <x:v>Taladrod</x:v>
      </x:c>
      <x:c r="D1054" s="3" t="str">
        <x:v>Toyota</x:v>
      </x:c>
      <x:c r="E1054" s="3" t="str">
        <x:v>日本</x:v>
      </x:c>
      <x:c r="F1054" s="3" t="str">
        <x:v>Yaris Ativ</x:v>
      </x:c>
      <x:c r="G1054" s="3" t="str">
        <x:v>ICE</x:v>
      </x:c>
      <x:c r="H1054" s="3" t="str">
        <x:v>Sedan</x:v>
      </x:c>
      <x:c r="I1054" s="3" t="str"/>
      <x:c r="J1054" s="3" t="n">
        <x:v>2024</x:v>
      </x:c>
      <x:c r="K1054" s="3" t="str">
        <x:v>1.2 PREMIUM LUXURY</x:v>
      </x:c>
      <x:c r="L1054" s="3" t="str">
        <x:v>PREMIUM LUXURY</x:v>
      </x:c>
      <x:c r="M1054" s="22"/>
      <x:c r="N1054" s="22"/>
      <x:c r="O1054" s="22"/>
      <x:c r="P1054" s="3" t="str">
        <x:v>未掲載</x:v>
      </x:c>
      <x:c r="Q1054" s="3" t="str">
        <x:v>未取得</x:v>
      </x:c>
      <x:c r="R1054" s="3" t="str">
        <x:v>Unknown</x:v>
      </x:c>
      <x:c r="S1054" s="3" t="str">
        <x:v>不明</x:v>
      </x:c>
      <x:c r="T1054" s="3" t="str">
        <x:v>22-ปัจจุบัน</x:v>
      </x:c>
      <x:c r="U1054" s="28" t="n">
        <x:v>499000</x:v>
      </x:c>
      <x:c r="V1054" s="28" t="n">
        <x:v>689000</x:v>
      </x:c>
      <x:c r="W1054" s="3" t="str">
        <x:v>事故・水没・SOH・保証残は未確認</x:v>
      </x:c>
      <x:c r="X1054" s="3" t="str">
        <x:v>掲載中・在庫未確認</x:v>
      </x:c>
      <x:c r="Y1054" s="3" t="str"/>
      <x:c r="Z1054" s="27" t="str">
        <x:v>https://www.taladrod.com/w40/icar/cardet.aspx?cid=2916019</x:v>
      </x:c>
      <x:c r="AA1054" s="3" t="str">
        <x:v>Taladrod個別広告ID／Carsome在庫ID</x:v>
      </x:c>
      <x:c r="AB1054" s="3" t="str">
        <x:v>車台番号未取得／サイト間重複は未判定</x:v>
      </x:c>
      <x:c r="AC1054" s="3" t="str">
        <x:v>税込区分未確認（一覧表示額）</x:v>
      </x:c>
      <x:c r="AD1054" s="3" t="str"/>
      <x:c r="AE1054" s="29" t="str">
        <x:f>""</x:f>
      </x:c>
      <x:c r="AF1054" s="30" t="str">
        <x:f>IF(ISNUMBER(AE1054),U1054/AE1054,"")</x:f>
      </x:c>
      <x:c r="AG1054" s="29" t="str">
        <x:f>""</x:f>
      </x:c>
      <x:c r="AH1054" s="30" t="str">
        <x:f>IF(ISNUMBER(AG1054),U1054/AG1054,"")</x:f>
      </x:c>
      <x:c r="AI1054" s="3" t="str">
        <x:v>同年式・グレードの検証済み当時価格なし／登録年混在</x:v>
      </x:c>
      <x:c r="AJ1054" s="3" t="str">
        <x:v>一覧価格/年式のみ</x:v>
      </x:c>
      <x:c r="AK1054" s="3" t="str">
        <x:v>一覧の表示価格。年式は掲載年式。</x:v>
      </x:c>
      <x:c r="AL1054" s="31" t="n">
        <x:f>IF(AND(J1054&lt;='分析方法'!$B$7,OR(ISBLANK(O1054),O1054&gt;='分析方法'!$B$8),X1054&lt;&gt;"売却済み表示"),1,0)</x:f>
        <x:v>1</x:v>
      </x:c>
      <x:c r="AM1054" s="32" t="n">
        <x:f>IF(AL1054=1,U1054,"")</x:f>
        <x:v>499000</x:v>
      </x:c>
      <x:c r="AN1054" s="33" t="str">
        <x:f>IF(AL1054=1,AF1054,"")</x:f>
      </x:c>
      <x:c r="AO1054" s="31" t="n">
        <x:f>'分析方法'!$B$6-J1054</x:f>
        <x:v>2</x:v>
      </x:c>
      <x:c r="AP1054" s="3"/>
    </x:row>
    <x:row r="1055" ht="22" customHeight="1">
      <x:c r="A1055" s="3" t="str">
        <x:v>T2919871</x:v>
      </x:c>
      <x:c r="B1055" s="7" t="d">
        <x:v>2026-10-08T00:00:00.000Z</x:v>
      </x:c>
      <x:c r="C1055" s="3" t="str">
        <x:v>Taladrod</x:v>
      </x:c>
      <x:c r="D1055" s="3" t="str">
        <x:v>Toyota</x:v>
      </x:c>
      <x:c r="E1055" s="3" t="str">
        <x:v>日本</x:v>
      </x:c>
      <x:c r="F1055" s="3" t="str">
        <x:v>Yaris Ativ</x:v>
      </x:c>
      <x:c r="G1055" s="3" t="str">
        <x:v>ICE</x:v>
      </x:c>
      <x:c r="H1055" s="3" t="str">
        <x:v>Sedan</x:v>
      </x:c>
      <x:c r="I1055" s="3" t="str"/>
      <x:c r="J1055" s="3" t="n">
        <x:v>2024</x:v>
      </x:c>
      <x:c r="K1055" s="3" t="str">
        <x:v>1.2 PREMIUM LUXURY</x:v>
      </x:c>
      <x:c r="L1055" s="3" t="str">
        <x:v>PREMIUM LUXURY</x:v>
      </x:c>
      <x:c r="M1055" s="22"/>
      <x:c r="N1055" s="22"/>
      <x:c r="O1055" s="22"/>
      <x:c r="P1055" s="3" t="str">
        <x:v>未掲載</x:v>
      </x:c>
      <x:c r="Q1055" s="3" t="str">
        <x:v>未取得</x:v>
      </x:c>
      <x:c r="R1055" s="3" t="str">
        <x:v>Unknown</x:v>
      </x:c>
      <x:c r="S1055" s="3" t="str">
        <x:v>不明</x:v>
      </x:c>
      <x:c r="T1055" s="3" t="str">
        <x:v>22-ปัจจุบัน</x:v>
      </x:c>
      <x:c r="U1055" s="28" t="n">
        <x:v>499000</x:v>
      </x:c>
      <x:c r="V1055" s="28" t="n">
        <x:v>689000</x:v>
      </x:c>
      <x:c r="W1055" s="3" t="str">
        <x:v>事故・水没・SOH・保証残は未確認</x:v>
      </x:c>
      <x:c r="X1055" s="3" t="str">
        <x:v>掲載中・在庫未確認</x:v>
      </x:c>
      <x:c r="Y1055" s="3" t="str"/>
      <x:c r="Z1055" s="27" t="str">
        <x:v>https://www.taladrod.com/w40/icar/cardet.aspx?cid=2919871</x:v>
      </x:c>
      <x:c r="AA1055" s="3" t="str">
        <x:v>Taladrod個別広告ID／Carsome在庫ID</x:v>
      </x:c>
      <x:c r="AB1055" s="3" t="str">
        <x:v>車台番号未取得／サイト間重複は未判定</x:v>
      </x:c>
      <x:c r="AC1055" s="3" t="str">
        <x:v>税込区分未確認（一覧表示額）</x:v>
      </x:c>
      <x:c r="AD1055" s="3" t="str"/>
      <x:c r="AE1055" s="29" t="str">
        <x:f>""</x:f>
      </x:c>
      <x:c r="AF1055" s="30" t="str">
        <x:f>IF(ISNUMBER(AE1055),U1055/AE1055,"")</x:f>
      </x:c>
      <x:c r="AG1055" s="29" t="str">
        <x:f>""</x:f>
      </x:c>
      <x:c r="AH1055" s="30" t="str">
        <x:f>IF(ISNUMBER(AG1055),U1055/AG1055,"")</x:f>
      </x:c>
      <x:c r="AI1055" s="3" t="str">
        <x:v>同年式・グレードの検証済み当時価格なし／登録年混在</x:v>
      </x:c>
      <x:c r="AJ1055" s="3" t="str">
        <x:v>一覧価格/年式のみ</x:v>
      </x:c>
      <x:c r="AK1055" s="3" t="str">
        <x:v>一覧の表示価格。年式は掲載年式。</x:v>
      </x:c>
      <x:c r="AL1055" s="31" t="n">
        <x:f>IF(AND(J1055&lt;='分析方法'!$B$7,OR(ISBLANK(O1055),O1055&gt;='分析方法'!$B$8),X1055&lt;&gt;"売却済み表示"),1,0)</x:f>
        <x:v>1</x:v>
      </x:c>
      <x:c r="AM1055" s="32" t="n">
        <x:f>IF(AL1055=1,U1055,"")</x:f>
        <x:v>499000</x:v>
      </x:c>
      <x:c r="AN1055" s="33" t="str">
        <x:f>IF(AL1055=1,AF1055,"")</x:f>
      </x:c>
      <x:c r="AO1055" s="31" t="n">
        <x:f>'分析方法'!$B$6-J1055</x:f>
        <x:v>2</x:v>
      </x:c>
      <x:c r="AP1055" s="3"/>
    </x:row>
    <x:row r="1056" ht="22" customHeight="1">
      <x:c r="A1056" s="3" t="str">
        <x:v>T2922660</x:v>
      </x:c>
      <x:c r="B1056" s="7" t="d">
        <x:v>2026-10-08T00:00:00.000Z</x:v>
      </x:c>
      <x:c r="C1056" s="3" t="str">
        <x:v>Taladrod</x:v>
      </x:c>
      <x:c r="D1056" s="3" t="str">
        <x:v>Toyota</x:v>
      </x:c>
      <x:c r="E1056" s="3" t="str">
        <x:v>日本</x:v>
      </x:c>
      <x:c r="F1056" s="3" t="str">
        <x:v>Yaris Ativ</x:v>
      </x:c>
      <x:c r="G1056" s="3" t="str">
        <x:v>ICE</x:v>
      </x:c>
      <x:c r="H1056" s="3" t="str">
        <x:v>Sedan</x:v>
      </x:c>
      <x:c r="I1056" s="3" t="str"/>
      <x:c r="J1056" s="3" t="n">
        <x:v>2024</x:v>
      </x:c>
      <x:c r="K1056" s="3" t="str">
        <x:v>1.2 PREMIUM LUXURY</x:v>
      </x:c>
      <x:c r="L1056" s="3" t="str">
        <x:v>PREMIUM LUXURY</x:v>
      </x:c>
      <x:c r="M1056" s="22"/>
      <x:c r="N1056" s="22"/>
      <x:c r="O1056" s="22"/>
      <x:c r="P1056" s="3" t="str">
        <x:v>未掲載</x:v>
      </x:c>
      <x:c r="Q1056" s="3" t="str">
        <x:v>未取得</x:v>
      </x:c>
      <x:c r="R1056" s="3" t="str">
        <x:v>Unknown</x:v>
      </x:c>
      <x:c r="S1056" s="3" t="str">
        <x:v>不明</x:v>
      </x:c>
      <x:c r="T1056" s="3" t="str">
        <x:v>22-ปัจจุบัน</x:v>
      </x:c>
      <x:c r="U1056" s="28" t="n">
        <x:v>499000</x:v>
      </x:c>
      <x:c r="V1056" s="28" t="n">
        <x:v>689000</x:v>
      </x:c>
      <x:c r="W1056" s="3" t="str">
        <x:v>事故・水没・SOH・保証残は未確認</x:v>
      </x:c>
      <x:c r="X1056" s="3" t="str">
        <x:v>掲載中・在庫未確認</x:v>
      </x:c>
      <x:c r="Y1056" s="3" t="str"/>
      <x:c r="Z1056" s="27" t="str">
        <x:v>https://www.taladrod.com/w40/icar/cardet.aspx?cid=2922660</x:v>
      </x:c>
      <x:c r="AA1056" s="3" t="str">
        <x:v>Taladrod個別広告ID／Carsome在庫ID</x:v>
      </x:c>
      <x:c r="AB1056" s="3" t="str">
        <x:v>車台番号未取得／サイト間重複は未判定</x:v>
      </x:c>
      <x:c r="AC1056" s="3" t="str">
        <x:v>税込区分未確認（一覧表示額）</x:v>
      </x:c>
      <x:c r="AD1056" s="3" t="str"/>
      <x:c r="AE1056" s="29" t="str">
        <x:f>""</x:f>
      </x:c>
      <x:c r="AF1056" s="30" t="str">
        <x:f>IF(ISNUMBER(AE1056),U1056/AE1056,"")</x:f>
      </x:c>
      <x:c r="AG1056" s="29" t="str">
        <x:f>""</x:f>
      </x:c>
      <x:c r="AH1056" s="30" t="str">
        <x:f>IF(ISNUMBER(AG1056),U1056/AG1056,"")</x:f>
      </x:c>
      <x:c r="AI1056" s="3" t="str">
        <x:v>同年式・グレードの検証済み当時価格なし／登録年混在</x:v>
      </x:c>
      <x:c r="AJ1056" s="3" t="str">
        <x:v>一覧価格/年式のみ</x:v>
      </x:c>
      <x:c r="AK1056" s="3" t="str">
        <x:v>一覧の表示価格。年式は掲載年式。</x:v>
      </x:c>
      <x:c r="AL1056" s="31" t="n">
        <x:f>IF(AND(J1056&lt;='分析方法'!$B$7,OR(ISBLANK(O1056),O1056&gt;='分析方法'!$B$8),X1056&lt;&gt;"売却済み表示"),1,0)</x:f>
        <x:v>1</x:v>
      </x:c>
      <x:c r="AM1056" s="32" t="n">
        <x:f>IF(AL1056=1,U1056,"")</x:f>
        <x:v>499000</x:v>
      </x:c>
      <x:c r="AN1056" s="33" t="str">
        <x:f>IF(AL1056=1,AF1056,"")</x:f>
      </x:c>
      <x:c r="AO1056" s="31" t="n">
        <x:f>'分析方法'!$B$6-J1056</x:f>
        <x:v>2</x:v>
      </x:c>
      <x:c r="AP1056" s="3"/>
    </x:row>
    <x:row r="1057" ht="22" customHeight="1">
      <x:c r="A1057" s="3" t="str">
        <x:v>T2925166</x:v>
      </x:c>
      <x:c r="B1057" s="7" t="d">
        <x:v>2026-10-08T00:00:00.000Z</x:v>
      </x:c>
      <x:c r="C1057" s="3" t="str">
        <x:v>Taladrod</x:v>
      </x:c>
      <x:c r="D1057" s="3" t="str">
        <x:v>Toyota</x:v>
      </x:c>
      <x:c r="E1057" s="3" t="str">
        <x:v>日本</x:v>
      </x:c>
      <x:c r="F1057" s="3" t="str">
        <x:v>Yaris Ativ</x:v>
      </x:c>
      <x:c r="G1057" s="3" t="str">
        <x:v>ICE</x:v>
      </x:c>
      <x:c r="H1057" s="3" t="str">
        <x:v>Sedan</x:v>
      </x:c>
      <x:c r="I1057" s="3" t="str"/>
      <x:c r="J1057" s="3" t="n">
        <x:v>2024</x:v>
      </x:c>
      <x:c r="K1057" s="3" t="str">
        <x:v>1.2 PREMIUM LUXURY</x:v>
      </x:c>
      <x:c r="L1057" s="3" t="str">
        <x:v>PREMIUM LUXURY</x:v>
      </x:c>
      <x:c r="M1057" s="22"/>
      <x:c r="N1057" s="22"/>
      <x:c r="O1057" s="22"/>
      <x:c r="P1057" s="3" t="str">
        <x:v>未掲載</x:v>
      </x:c>
      <x:c r="Q1057" s="3" t="str">
        <x:v>未取得</x:v>
      </x:c>
      <x:c r="R1057" s="3" t="str">
        <x:v>Unknown</x:v>
      </x:c>
      <x:c r="S1057" s="3" t="str">
        <x:v>不明</x:v>
      </x:c>
      <x:c r="T1057" s="3" t="str">
        <x:v>22-ปัจจุบัน</x:v>
      </x:c>
      <x:c r="U1057" s="28" t="n">
        <x:v>459000</x:v>
      </x:c>
      <x:c r="V1057" s="28" t="n">
        <x:v>689000</x:v>
      </x:c>
      <x:c r="W1057" s="3" t="str">
        <x:v>事故・水没・SOH・保証残は未確認</x:v>
      </x:c>
      <x:c r="X1057" s="3" t="str">
        <x:v>掲載中・在庫未確認</x:v>
      </x:c>
      <x:c r="Y1057" s="3" t="str"/>
      <x:c r="Z1057" s="27" t="str">
        <x:v>https://www.taladrod.com/w40/icar/cardet.aspx?cid=2925166</x:v>
      </x:c>
      <x:c r="AA1057" s="3" t="str">
        <x:v>Taladrod個別広告ID／Carsome在庫ID</x:v>
      </x:c>
      <x:c r="AB1057" s="3" t="str">
        <x:v>車台番号未取得／サイト間重複は未判定</x:v>
      </x:c>
      <x:c r="AC1057" s="3" t="str">
        <x:v>税込区分未確認（一覧表示額）</x:v>
      </x:c>
      <x:c r="AD1057" s="3" t="str"/>
      <x:c r="AE1057" s="29" t="str">
        <x:f>""</x:f>
      </x:c>
      <x:c r="AF1057" s="30" t="str">
        <x:f>IF(ISNUMBER(AE1057),U1057/AE1057,"")</x:f>
      </x:c>
      <x:c r="AG1057" s="29" t="str">
        <x:f>""</x:f>
      </x:c>
      <x:c r="AH1057" s="30" t="str">
        <x:f>IF(ISNUMBER(AG1057),U1057/AG1057,"")</x:f>
      </x:c>
      <x:c r="AI1057" s="3" t="str">
        <x:v>同年式・グレードの検証済み当時価格なし／登録年混在</x:v>
      </x:c>
      <x:c r="AJ1057" s="3" t="str">
        <x:v>一覧価格/年式のみ</x:v>
      </x:c>
      <x:c r="AK1057" s="3" t="str">
        <x:v>一覧の表示価格。年式は掲載年式。</x:v>
      </x:c>
      <x:c r="AL1057" s="31" t="n">
        <x:f>IF(AND(J1057&lt;='分析方法'!$B$7,OR(ISBLANK(O1057),O1057&gt;='分析方法'!$B$8),X1057&lt;&gt;"売却済み表示"),1,0)</x:f>
        <x:v>1</x:v>
      </x:c>
      <x:c r="AM1057" s="32" t="n">
        <x:f>IF(AL1057=1,U1057,"")</x:f>
        <x:v>459000</x:v>
      </x:c>
      <x:c r="AN1057" s="33" t="str">
        <x:f>IF(AL1057=1,AF1057,"")</x:f>
      </x:c>
      <x:c r="AO1057" s="31" t="n">
        <x:f>'分析方法'!$B$6-J1057</x:f>
        <x:v>2</x:v>
      </x:c>
      <x:c r="AP1057" s="3"/>
    </x:row>
    <x:row r="1058" ht="22" customHeight="1">
      <x:c r="A1058" s="3" t="str">
        <x:v>T2891121</x:v>
      </x:c>
      <x:c r="B1058" s="7" t="d">
        <x:v>2026-10-08T00:00:00.000Z</x:v>
      </x:c>
      <x:c r="C1058" s="3" t="str">
        <x:v>Taladrod</x:v>
      </x:c>
      <x:c r="D1058" s="3" t="str">
        <x:v>Toyota</x:v>
      </x:c>
      <x:c r="E1058" s="3" t="str">
        <x:v>日本</x:v>
      </x:c>
      <x:c r="F1058" s="3" t="str">
        <x:v>Yaris Ativ</x:v>
      </x:c>
      <x:c r="G1058" s="3" t="str">
        <x:v>ICE</x:v>
      </x:c>
      <x:c r="H1058" s="3" t="str">
        <x:v>Sedan</x:v>
      </x:c>
      <x:c r="I1058" s="3" t="str"/>
      <x:c r="J1058" s="3" t="n">
        <x:v>2024</x:v>
      </x:c>
      <x:c r="K1058" s="3" t="str">
        <x:v>1.2 SMART</x:v>
      </x:c>
      <x:c r="L1058" s="3" t="str">
        <x:v>SMART</x:v>
      </x:c>
      <x:c r="M1058" s="22"/>
      <x:c r="N1058" s="22"/>
      <x:c r="O1058" s="22"/>
      <x:c r="P1058" s="3" t="str">
        <x:v>未掲載</x:v>
      </x:c>
      <x:c r="Q1058" s="3" t="str">
        <x:v>未取得</x:v>
      </x:c>
      <x:c r="R1058" s="3" t="str">
        <x:v>Unknown</x:v>
      </x:c>
      <x:c r="S1058" s="3" t="str">
        <x:v>不明</x:v>
      </x:c>
      <x:c r="T1058" s="3" t="str">
        <x:v>22-ปัจจุบัน</x:v>
      </x:c>
      <x:c r="U1058" s="28" t="n">
        <x:v>525000</x:v>
      </x:c>
      <x:c r="V1058" s="28" t="n">
        <x:v>584000</x:v>
      </x:c>
      <x:c r="W1058" s="3" t="str">
        <x:v>事故・水没・SOH・保証残は未確認</x:v>
      </x:c>
      <x:c r="X1058" s="3" t="str">
        <x:v>掲載中・在庫未確認</x:v>
      </x:c>
      <x:c r="Y1058" s="3" t="str"/>
      <x:c r="Z1058" s="27" t="str">
        <x:v>https://www.taladrod.com/w40/icar/cardet.aspx?cid=2891121</x:v>
      </x:c>
      <x:c r="AA1058" s="3" t="str">
        <x:v>Taladrod個別広告ID／Carsome在庫ID</x:v>
      </x:c>
      <x:c r="AB1058" s="3" t="str">
        <x:v>車台番号未取得／サイト間重複は未判定</x:v>
      </x:c>
      <x:c r="AC1058" s="3" t="str">
        <x:v>税込区分未確認（一覧表示額）</x:v>
      </x:c>
      <x:c r="AD1058" s="3" t="str"/>
      <x:c r="AE1058" s="29" t="str">
        <x:f>""</x:f>
      </x:c>
      <x:c r="AF1058" s="30" t="str">
        <x:f>IF(ISNUMBER(AE1058),U1058/AE1058,"")</x:f>
      </x:c>
      <x:c r="AG1058" s="29" t="str">
        <x:f>""</x:f>
      </x:c>
      <x:c r="AH1058" s="30" t="str">
        <x:f>IF(ISNUMBER(AG1058),U1058/AG1058,"")</x:f>
      </x:c>
      <x:c r="AI1058" s="3" t="str">
        <x:v>同年式・グレードの検証済み当時価格なし／登録年混在</x:v>
      </x:c>
      <x:c r="AJ1058" s="3" t="str">
        <x:v>一覧価格/年式のみ</x:v>
      </x:c>
      <x:c r="AK1058" s="3" t="str">
        <x:v>一覧の表示価格。年式は掲載年式。</x:v>
      </x:c>
      <x:c r="AL1058" s="31" t="n">
        <x:f>IF(AND(J1058&lt;='分析方法'!$B$7,OR(ISBLANK(O1058),O1058&gt;='分析方法'!$B$8),X1058&lt;&gt;"売却済み表示"),1,0)</x:f>
        <x:v>1</x:v>
      </x:c>
      <x:c r="AM1058" s="32" t="n">
        <x:f>IF(AL1058=1,U1058,"")</x:f>
        <x:v>525000</x:v>
      </x:c>
      <x:c r="AN1058" s="33" t="str">
        <x:f>IF(AL1058=1,AF1058,"")</x:f>
      </x:c>
      <x:c r="AO1058" s="31" t="n">
        <x:f>'分析方法'!$B$6-J1058</x:f>
        <x:v>2</x:v>
      </x:c>
      <x:c r="AP1058" s="3"/>
    </x:row>
    <x:row r="1059" ht="22" customHeight="1">
      <x:c r="A1059" s="3" t="str">
        <x:v>T2909886</x:v>
      </x:c>
      <x:c r="B1059" s="7" t="d">
        <x:v>2026-10-08T00:00:00.000Z</x:v>
      </x:c>
      <x:c r="C1059" s="3" t="str">
        <x:v>Taladrod</x:v>
      </x:c>
      <x:c r="D1059" s="3" t="str">
        <x:v>Toyota</x:v>
      </x:c>
      <x:c r="E1059" s="3" t="str">
        <x:v>日本</x:v>
      </x:c>
      <x:c r="F1059" s="3" t="str">
        <x:v>Yaris Ativ</x:v>
      </x:c>
      <x:c r="G1059" s="3" t="str">
        <x:v>ICE</x:v>
      </x:c>
      <x:c r="H1059" s="3" t="str">
        <x:v>Sedan</x:v>
      </x:c>
      <x:c r="I1059" s="3" t="str"/>
      <x:c r="J1059" s="3" t="n">
        <x:v>2024</x:v>
      </x:c>
      <x:c r="K1059" s="3" t="str">
        <x:v>1.2 SMART</x:v>
      </x:c>
      <x:c r="L1059" s="3" t="str">
        <x:v>SMART</x:v>
      </x:c>
      <x:c r="M1059" s="22"/>
      <x:c r="N1059" s="22"/>
      <x:c r="O1059" s="22"/>
      <x:c r="P1059" s="3" t="str">
        <x:v>未掲載</x:v>
      </x:c>
      <x:c r="Q1059" s="3" t="str">
        <x:v>未取得</x:v>
      </x:c>
      <x:c r="R1059" s="3" t="str">
        <x:v>Unknown</x:v>
      </x:c>
      <x:c r="S1059" s="3" t="str">
        <x:v>不明</x:v>
      </x:c>
      <x:c r="T1059" s="3" t="str">
        <x:v>22-ปัจจุบัน</x:v>
      </x:c>
      <x:c r="U1059" s="28" t="n">
        <x:v>439000</x:v>
      </x:c>
      <x:c r="V1059" s="28" t="n">
        <x:v>584000</x:v>
      </x:c>
      <x:c r="W1059" s="3" t="str">
        <x:v>事故・水没・SOH・保証残は未確認</x:v>
      </x:c>
      <x:c r="X1059" s="3" t="str">
        <x:v>掲載中・在庫未確認</x:v>
      </x:c>
      <x:c r="Y1059" s="3" t="str"/>
      <x:c r="Z1059" s="27" t="str">
        <x:v>https://www.taladrod.com/w40/icar/cardet.aspx?cid=2909886</x:v>
      </x:c>
      <x:c r="AA1059" s="3" t="str">
        <x:v>Taladrod個別広告ID／Carsome在庫ID</x:v>
      </x:c>
      <x:c r="AB1059" s="3" t="str">
        <x:v>車台番号未取得／サイト間重複は未判定</x:v>
      </x:c>
      <x:c r="AC1059" s="3" t="str">
        <x:v>税込区分未確認（一覧表示額）</x:v>
      </x:c>
      <x:c r="AD1059" s="3" t="str"/>
      <x:c r="AE1059" s="29" t="str">
        <x:f>""</x:f>
      </x:c>
      <x:c r="AF1059" s="30" t="str">
        <x:f>IF(ISNUMBER(AE1059),U1059/AE1059,"")</x:f>
      </x:c>
      <x:c r="AG1059" s="29" t="str">
        <x:f>""</x:f>
      </x:c>
      <x:c r="AH1059" s="30" t="str">
        <x:f>IF(ISNUMBER(AG1059),U1059/AG1059,"")</x:f>
      </x:c>
      <x:c r="AI1059" s="3" t="str">
        <x:v>同年式・グレードの検証済み当時価格なし／登録年混在</x:v>
      </x:c>
      <x:c r="AJ1059" s="3" t="str">
        <x:v>一覧価格/年式のみ</x:v>
      </x:c>
      <x:c r="AK1059" s="3" t="str">
        <x:v>一覧の表示価格。年式は掲載年式。</x:v>
      </x:c>
      <x:c r="AL1059" s="31" t="n">
        <x:f>IF(AND(J1059&lt;='分析方法'!$B$7,OR(ISBLANK(O1059),O1059&gt;='分析方法'!$B$8),X1059&lt;&gt;"売却済み表示"),1,0)</x:f>
        <x:v>1</x:v>
      </x:c>
      <x:c r="AM1059" s="32" t="n">
        <x:f>IF(AL1059=1,U1059,"")</x:f>
        <x:v>439000</x:v>
      </x:c>
      <x:c r="AN1059" s="33" t="str">
        <x:f>IF(AL1059=1,AF1059,"")</x:f>
      </x:c>
      <x:c r="AO1059" s="31" t="n">
        <x:f>'分析方法'!$B$6-J1059</x:f>
        <x:v>2</x:v>
      </x:c>
      <x:c r="AP1059" s="3"/>
    </x:row>
    <x:row r="1060" ht="22" customHeight="1">
      <x:c r="A1060" s="3" t="str">
        <x:v>T2913183</x:v>
      </x:c>
      <x:c r="B1060" s="7" t="d">
        <x:v>2026-10-08T00:00:00.000Z</x:v>
      </x:c>
      <x:c r="C1060" s="3" t="str">
        <x:v>Taladrod</x:v>
      </x:c>
      <x:c r="D1060" s="3" t="str">
        <x:v>Toyota</x:v>
      </x:c>
      <x:c r="E1060" s="3" t="str">
        <x:v>日本</x:v>
      </x:c>
      <x:c r="F1060" s="3" t="str">
        <x:v>Yaris Ativ</x:v>
      </x:c>
      <x:c r="G1060" s="3" t="str">
        <x:v>ICE</x:v>
      </x:c>
      <x:c r="H1060" s="3" t="str">
        <x:v>Sedan</x:v>
      </x:c>
      <x:c r="I1060" s="3" t="str"/>
      <x:c r="J1060" s="3" t="n">
        <x:v>2024</x:v>
      </x:c>
      <x:c r="K1060" s="3" t="str">
        <x:v>1.2 SMART</x:v>
      </x:c>
      <x:c r="L1060" s="3" t="str">
        <x:v>SMART</x:v>
      </x:c>
      <x:c r="M1060" s="22"/>
      <x:c r="N1060" s="22"/>
      <x:c r="O1060" s="22"/>
      <x:c r="P1060" s="3" t="str">
        <x:v>未掲載</x:v>
      </x:c>
      <x:c r="Q1060" s="3" t="str">
        <x:v>未取得</x:v>
      </x:c>
      <x:c r="R1060" s="3" t="str">
        <x:v>Unknown</x:v>
      </x:c>
      <x:c r="S1060" s="3" t="str">
        <x:v>不明</x:v>
      </x:c>
      <x:c r="T1060" s="3" t="str">
        <x:v>22-ปัจจุบัน</x:v>
      </x:c>
      <x:c r="U1060" s="28" t="n">
        <x:v>459000</x:v>
      </x:c>
      <x:c r="V1060" s="28" t="n">
        <x:v>584000</x:v>
      </x:c>
      <x:c r="W1060" s="3" t="str">
        <x:v>事故・水没・SOH・保証残は未確認</x:v>
      </x:c>
      <x:c r="X1060" s="3" t="str">
        <x:v>掲載中・在庫未確認</x:v>
      </x:c>
      <x:c r="Y1060" s="3" t="str"/>
      <x:c r="Z1060" s="27" t="str">
        <x:v>https://www.taladrod.com/w40/icar/cardet.aspx?cid=2913183</x:v>
      </x:c>
      <x:c r="AA1060" s="3" t="str">
        <x:v>Taladrod個別広告ID／Carsome在庫ID</x:v>
      </x:c>
      <x:c r="AB1060" s="3" t="str">
        <x:v>車台番号未取得／サイト間重複は未判定</x:v>
      </x:c>
      <x:c r="AC1060" s="3" t="str">
        <x:v>税込区分未確認（一覧表示額）</x:v>
      </x:c>
      <x:c r="AD1060" s="3" t="str"/>
      <x:c r="AE1060" s="29" t="str">
        <x:f>""</x:f>
      </x:c>
      <x:c r="AF1060" s="30" t="str">
        <x:f>IF(ISNUMBER(AE1060),U1060/AE1060,"")</x:f>
      </x:c>
      <x:c r="AG1060" s="29" t="str">
        <x:f>""</x:f>
      </x:c>
      <x:c r="AH1060" s="30" t="str">
        <x:f>IF(ISNUMBER(AG1060),U1060/AG1060,"")</x:f>
      </x:c>
      <x:c r="AI1060" s="3" t="str">
        <x:v>同年式・グレードの検証済み当時価格なし／登録年混在</x:v>
      </x:c>
      <x:c r="AJ1060" s="3" t="str">
        <x:v>一覧価格/年式のみ</x:v>
      </x:c>
      <x:c r="AK1060" s="3" t="str">
        <x:v>一覧の表示価格。年式は掲載年式。</x:v>
      </x:c>
      <x:c r="AL1060" s="31" t="n">
        <x:f>IF(AND(J1060&lt;='分析方法'!$B$7,OR(ISBLANK(O1060),O1060&gt;='分析方法'!$B$8),X1060&lt;&gt;"売却済み表示"),1,0)</x:f>
        <x:v>1</x:v>
      </x:c>
      <x:c r="AM1060" s="32" t="n">
        <x:f>IF(AL1060=1,U1060,"")</x:f>
        <x:v>459000</x:v>
      </x:c>
      <x:c r="AN1060" s="33" t="str">
        <x:f>IF(AL1060=1,AF1060,"")</x:f>
      </x:c>
      <x:c r="AO1060" s="31" t="n">
        <x:f>'分析方法'!$B$6-J1060</x:f>
        <x:v>2</x:v>
      </x:c>
      <x:c r="AP1060" s="3"/>
    </x:row>
    <x:row r="1061" ht="22" customHeight="1">
      <x:c r="A1061" s="3" t="str">
        <x:v>T2913505</x:v>
      </x:c>
      <x:c r="B1061" s="7" t="d">
        <x:v>2026-10-08T00:00:00.000Z</x:v>
      </x:c>
      <x:c r="C1061" s="3" t="str">
        <x:v>Taladrod</x:v>
      </x:c>
      <x:c r="D1061" s="3" t="str">
        <x:v>Toyota</x:v>
      </x:c>
      <x:c r="E1061" s="3" t="str">
        <x:v>日本</x:v>
      </x:c>
      <x:c r="F1061" s="3" t="str">
        <x:v>Yaris Ativ</x:v>
      </x:c>
      <x:c r="G1061" s="3" t="str">
        <x:v>ICE</x:v>
      </x:c>
      <x:c r="H1061" s="3" t="str">
        <x:v>Sedan</x:v>
      </x:c>
      <x:c r="I1061" s="3" t="str"/>
      <x:c r="J1061" s="3" t="n">
        <x:v>2024</x:v>
      </x:c>
      <x:c r="K1061" s="3" t="str">
        <x:v>1.2 SMART</x:v>
      </x:c>
      <x:c r="L1061" s="3" t="str">
        <x:v>SMART</x:v>
      </x:c>
      <x:c r="M1061" s="22"/>
      <x:c r="N1061" s="22"/>
      <x:c r="O1061" s="22"/>
      <x:c r="P1061" s="3" t="str">
        <x:v>未掲載</x:v>
      </x:c>
      <x:c r="Q1061" s="3" t="str">
        <x:v>未取得</x:v>
      </x:c>
      <x:c r="R1061" s="3" t="str">
        <x:v>Unknown</x:v>
      </x:c>
      <x:c r="S1061" s="3" t="str">
        <x:v>不明</x:v>
      </x:c>
      <x:c r="T1061" s="3" t="str">
        <x:v>22-ปัจจุบัน</x:v>
      </x:c>
      <x:c r="U1061" s="28" t="n">
        <x:v>479000</x:v>
      </x:c>
      <x:c r="V1061" s="28" t="n">
        <x:v>584000</x:v>
      </x:c>
      <x:c r="W1061" s="3" t="str">
        <x:v>事故・水没・SOH・保証残は未確認</x:v>
      </x:c>
      <x:c r="X1061" s="3" t="str">
        <x:v>掲載中・在庫未確認</x:v>
      </x:c>
      <x:c r="Y1061" s="3" t="str"/>
      <x:c r="Z1061" s="27" t="str">
        <x:v>https://www.taladrod.com/w40/icar/cardet.aspx?cid=2913505</x:v>
      </x:c>
      <x:c r="AA1061" s="3" t="str">
        <x:v>Taladrod個別広告ID／Carsome在庫ID</x:v>
      </x:c>
      <x:c r="AB1061" s="3" t="str">
        <x:v>車台番号未取得／サイト間重複は未判定</x:v>
      </x:c>
      <x:c r="AC1061" s="3" t="str">
        <x:v>税込区分未確認（一覧表示額）</x:v>
      </x:c>
      <x:c r="AD1061" s="3" t="str"/>
      <x:c r="AE1061" s="29" t="str">
        <x:f>""</x:f>
      </x:c>
      <x:c r="AF1061" s="30" t="str">
        <x:f>IF(ISNUMBER(AE1061),U1061/AE1061,"")</x:f>
      </x:c>
      <x:c r="AG1061" s="29" t="str">
        <x:f>""</x:f>
      </x:c>
      <x:c r="AH1061" s="30" t="str">
        <x:f>IF(ISNUMBER(AG1061),U1061/AG1061,"")</x:f>
      </x:c>
      <x:c r="AI1061" s="3" t="str">
        <x:v>同年式・グレードの検証済み当時価格なし／登録年混在</x:v>
      </x:c>
      <x:c r="AJ1061" s="3" t="str">
        <x:v>一覧価格/年式のみ</x:v>
      </x:c>
      <x:c r="AK1061" s="3" t="str">
        <x:v>一覧の表示価格。年式は掲載年式。</x:v>
      </x:c>
      <x:c r="AL1061" s="31" t="n">
        <x:f>IF(AND(J1061&lt;='分析方法'!$B$7,OR(ISBLANK(O1061),O1061&gt;='分析方法'!$B$8),X1061&lt;&gt;"売却済み表示"),1,0)</x:f>
        <x:v>1</x:v>
      </x:c>
      <x:c r="AM1061" s="32" t="n">
        <x:f>IF(AL1061=1,U1061,"")</x:f>
        <x:v>479000</x:v>
      </x:c>
      <x:c r="AN1061" s="33" t="str">
        <x:f>IF(AL1061=1,AF1061,"")</x:f>
      </x:c>
      <x:c r="AO1061" s="31" t="n">
        <x:f>'分析方法'!$B$6-J1061</x:f>
        <x:v>2</x:v>
      </x:c>
      <x:c r="AP1061" s="3"/>
    </x:row>
    <x:row r="1062" ht="22" customHeight="1">
      <x:c r="A1062" s="3" t="str">
        <x:v>T2917746</x:v>
      </x:c>
      <x:c r="B1062" s="7" t="d">
        <x:v>2026-10-08T00:00:00.000Z</x:v>
      </x:c>
      <x:c r="C1062" s="3" t="str">
        <x:v>Taladrod</x:v>
      </x:c>
      <x:c r="D1062" s="3" t="str">
        <x:v>Toyota</x:v>
      </x:c>
      <x:c r="E1062" s="3" t="str">
        <x:v>日本</x:v>
      </x:c>
      <x:c r="F1062" s="3" t="str">
        <x:v>Yaris Ativ</x:v>
      </x:c>
      <x:c r="G1062" s="3" t="str">
        <x:v>ICE</x:v>
      </x:c>
      <x:c r="H1062" s="3" t="str">
        <x:v>Sedan</x:v>
      </x:c>
      <x:c r="I1062" s="3" t="str"/>
      <x:c r="J1062" s="3" t="n">
        <x:v>2024</x:v>
      </x:c>
      <x:c r="K1062" s="3" t="str">
        <x:v>1.2 SMART</x:v>
      </x:c>
      <x:c r="L1062" s="3" t="str">
        <x:v>SMART</x:v>
      </x:c>
      <x:c r="M1062" s="22"/>
      <x:c r="N1062" s="22"/>
      <x:c r="O1062" s="22"/>
      <x:c r="P1062" s="3" t="str">
        <x:v>未掲載</x:v>
      </x:c>
      <x:c r="Q1062" s="3" t="str">
        <x:v>未取得</x:v>
      </x:c>
      <x:c r="R1062" s="3" t="str">
        <x:v>Unknown</x:v>
      </x:c>
      <x:c r="S1062" s="3" t="str">
        <x:v>不明</x:v>
      </x:c>
      <x:c r="T1062" s="3" t="str">
        <x:v>22-ปัจจุบัน</x:v>
      </x:c>
      <x:c r="U1062" s="28" t="n">
        <x:v>450000</x:v>
      </x:c>
      <x:c r="V1062" s="28" t="n">
        <x:v>584000</x:v>
      </x:c>
      <x:c r="W1062" s="3" t="str">
        <x:v>事故・水没・SOH・保証残は未確認</x:v>
      </x:c>
      <x:c r="X1062" s="3" t="str">
        <x:v>掲載中・在庫未確認</x:v>
      </x:c>
      <x:c r="Y1062" s="3" t="str"/>
      <x:c r="Z1062" s="27" t="str">
        <x:v>https://www.taladrod.com/w40/icar/cardet.aspx?cid=2917746</x:v>
      </x:c>
      <x:c r="AA1062" s="3" t="str">
        <x:v>Taladrod個別広告ID／Carsome在庫ID</x:v>
      </x:c>
      <x:c r="AB1062" s="3" t="str">
        <x:v>車台番号未取得／サイト間重複は未判定</x:v>
      </x:c>
      <x:c r="AC1062" s="3" t="str">
        <x:v>税込区分未確認（一覧表示額）</x:v>
      </x:c>
      <x:c r="AD1062" s="3" t="str"/>
      <x:c r="AE1062" s="29" t="str">
        <x:f>""</x:f>
      </x:c>
      <x:c r="AF1062" s="30" t="str">
        <x:f>IF(ISNUMBER(AE1062),U1062/AE1062,"")</x:f>
      </x:c>
      <x:c r="AG1062" s="29" t="str">
        <x:f>""</x:f>
      </x:c>
      <x:c r="AH1062" s="30" t="str">
        <x:f>IF(ISNUMBER(AG1062),U1062/AG1062,"")</x:f>
      </x:c>
      <x:c r="AI1062" s="3" t="str">
        <x:v>同年式・グレードの検証済み当時価格なし／登録年混在</x:v>
      </x:c>
      <x:c r="AJ1062" s="3" t="str">
        <x:v>一覧価格/年式のみ</x:v>
      </x:c>
      <x:c r="AK1062" s="3" t="str">
        <x:v>一覧の表示価格。年式は掲載年式。</x:v>
      </x:c>
      <x:c r="AL1062" s="31" t="n">
        <x:f>IF(AND(J1062&lt;='分析方法'!$B$7,OR(ISBLANK(O1062),O1062&gt;='分析方法'!$B$8),X1062&lt;&gt;"売却済み表示"),1,0)</x:f>
        <x:v>1</x:v>
      </x:c>
      <x:c r="AM1062" s="32" t="n">
        <x:f>IF(AL1062=1,U1062,"")</x:f>
        <x:v>450000</x:v>
      </x:c>
      <x:c r="AN1062" s="33" t="str">
        <x:f>IF(AL1062=1,AF1062,"")</x:f>
      </x:c>
      <x:c r="AO1062" s="31" t="n">
        <x:f>'分析方法'!$B$6-J1062</x:f>
        <x:v>2</x:v>
      </x:c>
      <x:c r="AP1062" s="3"/>
    </x:row>
    <x:row r="1063" ht="22" customHeight="1">
      <x:c r="A1063" s="3" t="str">
        <x:v>T2920056</x:v>
      </x:c>
      <x:c r="B1063" s="7" t="d">
        <x:v>2026-10-08T00:00:00.000Z</x:v>
      </x:c>
      <x:c r="C1063" s="3" t="str">
        <x:v>Taladrod</x:v>
      </x:c>
      <x:c r="D1063" s="3" t="str">
        <x:v>Toyota</x:v>
      </x:c>
      <x:c r="E1063" s="3" t="str">
        <x:v>日本</x:v>
      </x:c>
      <x:c r="F1063" s="3" t="str">
        <x:v>Yaris Ativ</x:v>
      </x:c>
      <x:c r="G1063" s="3" t="str">
        <x:v>ICE</x:v>
      </x:c>
      <x:c r="H1063" s="3" t="str">
        <x:v>Sedan</x:v>
      </x:c>
      <x:c r="I1063" s="3" t="str"/>
      <x:c r="J1063" s="3" t="n">
        <x:v>2024</x:v>
      </x:c>
      <x:c r="K1063" s="3" t="str">
        <x:v>1.2 SMART</x:v>
      </x:c>
      <x:c r="L1063" s="3" t="str">
        <x:v>SMART</x:v>
      </x:c>
      <x:c r="M1063" s="22"/>
      <x:c r="N1063" s="22"/>
      <x:c r="O1063" s="22"/>
      <x:c r="P1063" s="3" t="str">
        <x:v>未掲載</x:v>
      </x:c>
      <x:c r="Q1063" s="3" t="str">
        <x:v>未取得</x:v>
      </x:c>
      <x:c r="R1063" s="3" t="str">
        <x:v>Unknown</x:v>
      </x:c>
      <x:c r="S1063" s="3" t="str">
        <x:v>不明</x:v>
      </x:c>
      <x:c r="T1063" s="3" t="str">
        <x:v>22-ปัจจุบัน</x:v>
      </x:c>
      <x:c r="U1063" s="28" t="n">
        <x:v>479000</x:v>
      </x:c>
      <x:c r="V1063" s="28" t="n">
        <x:v>584000</x:v>
      </x:c>
      <x:c r="W1063" s="3" t="str">
        <x:v>事故・水没・SOH・保証残は未確認</x:v>
      </x:c>
      <x:c r="X1063" s="3" t="str">
        <x:v>掲載中・在庫未確認</x:v>
      </x:c>
      <x:c r="Y1063" s="3" t="str"/>
      <x:c r="Z1063" s="27" t="str">
        <x:v>https://www.taladrod.com/w40/icar/cardet.aspx?cid=2920056</x:v>
      </x:c>
      <x:c r="AA1063" s="3" t="str">
        <x:v>Taladrod個別広告ID／Carsome在庫ID</x:v>
      </x:c>
      <x:c r="AB1063" s="3" t="str">
        <x:v>車台番号未取得／サイト間重複は未判定</x:v>
      </x:c>
      <x:c r="AC1063" s="3" t="str">
        <x:v>税込区分未確認（一覧表示額）</x:v>
      </x:c>
      <x:c r="AD1063" s="3" t="str"/>
      <x:c r="AE1063" s="29" t="str">
        <x:f>""</x:f>
      </x:c>
      <x:c r="AF1063" s="30" t="str">
        <x:f>IF(ISNUMBER(AE1063),U1063/AE1063,"")</x:f>
      </x:c>
      <x:c r="AG1063" s="29" t="str">
        <x:f>""</x:f>
      </x:c>
      <x:c r="AH1063" s="30" t="str">
        <x:f>IF(ISNUMBER(AG1063),U1063/AG1063,"")</x:f>
      </x:c>
      <x:c r="AI1063" s="3" t="str">
        <x:v>同年式・グレードの検証済み当時価格なし／登録年混在</x:v>
      </x:c>
      <x:c r="AJ1063" s="3" t="str">
        <x:v>一覧価格/年式のみ</x:v>
      </x:c>
      <x:c r="AK1063" s="3" t="str">
        <x:v>一覧の表示価格。年式は掲載年式。</x:v>
      </x:c>
      <x:c r="AL1063" s="31" t="n">
        <x:f>IF(AND(J1063&lt;='分析方法'!$B$7,OR(ISBLANK(O1063),O1063&gt;='分析方法'!$B$8),X1063&lt;&gt;"売却済み表示"),1,0)</x:f>
        <x:v>1</x:v>
      </x:c>
      <x:c r="AM1063" s="32" t="n">
        <x:f>IF(AL1063=1,U1063,"")</x:f>
        <x:v>479000</x:v>
      </x:c>
      <x:c r="AN1063" s="33" t="str">
        <x:f>IF(AL1063=1,AF1063,"")</x:f>
      </x:c>
      <x:c r="AO1063" s="31" t="n">
        <x:f>'分析方法'!$B$6-J1063</x:f>
        <x:v>2</x:v>
      </x:c>
      <x:c r="AP1063" s="3"/>
    </x:row>
    <x:row r="1064" ht="22" customHeight="1">
      <x:c r="A1064" s="3" t="str">
        <x:v>T2921923</x:v>
      </x:c>
      <x:c r="B1064" s="7" t="d">
        <x:v>2026-10-08T00:00:00.000Z</x:v>
      </x:c>
      <x:c r="C1064" s="3" t="str">
        <x:v>Taladrod</x:v>
      </x:c>
      <x:c r="D1064" s="3" t="str">
        <x:v>Toyota</x:v>
      </x:c>
      <x:c r="E1064" s="3" t="str">
        <x:v>日本</x:v>
      </x:c>
      <x:c r="F1064" s="3" t="str">
        <x:v>Yaris Ativ</x:v>
      </x:c>
      <x:c r="G1064" s="3" t="str">
        <x:v>ICE</x:v>
      </x:c>
      <x:c r="H1064" s="3" t="str">
        <x:v>Sedan</x:v>
      </x:c>
      <x:c r="I1064" s="3" t="str"/>
      <x:c r="J1064" s="3" t="n">
        <x:v>2024</x:v>
      </x:c>
      <x:c r="K1064" s="3" t="str">
        <x:v>1.2 SMART</x:v>
      </x:c>
      <x:c r="L1064" s="3" t="str">
        <x:v>SMART</x:v>
      </x:c>
      <x:c r="M1064" s="22"/>
      <x:c r="N1064" s="22"/>
      <x:c r="O1064" s="22"/>
      <x:c r="P1064" s="3" t="str">
        <x:v>未掲載</x:v>
      </x:c>
      <x:c r="Q1064" s="3" t="str">
        <x:v>未取得</x:v>
      </x:c>
      <x:c r="R1064" s="3" t="str">
        <x:v>Unknown</x:v>
      </x:c>
      <x:c r="S1064" s="3" t="str">
        <x:v>不明</x:v>
      </x:c>
      <x:c r="T1064" s="3" t="str">
        <x:v>22-ปัจจุบัน</x:v>
      </x:c>
      <x:c r="U1064" s="28" t="n">
        <x:v>385000</x:v>
      </x:c>
      <x:c r="V1064" s="28" t="n">
        <x:v>584000</x:v>
      </x:c>
      <x:c r="W1064" s="3" t="str">
        <x:v>事故・水没・SOH・保証残は未確認</x:v>
      </x:c>
      <x:c r="X1064" s="3" t="str">
        <x:v>掲載中・在庫未確認</x:v>
      </x:c>
      <x:c r="Y1064" s="3" t="str"/>
      <x:c r="Z1064" s="27" t="str">
        <x:v>https://www.taladrod.com/w40/icar/cardet.aspx?cid=2921923</x:v>
      </x:c>
      <x:c r="AA1064" s="3" t="str">
        <x:v>Taladrod個別広告ID／Carsome在庫ID</x:v>
      </x:c>
      <x:c r="AB1064" s="3" t="str">
        <x:v>車台番号未取得／サイト間重複は未判定</x:v>
      </x:c>
      <x:c r="AC1064" s="3" t="str">
        <x:v>税込区分未確認（一覧表示額）</x:v>
      </x:c>
      <x:c r="AD1064" s="3" t="str"/>
      <x:c r="AE1064" s="29" t="str">
        <x:f>""</x:f>
      </x:c>
      <x:c r="AF1064" s="30" t="str">
        <x:f>IF(ISNUMBER(AE1064),U1064/AE1064,"")</x:f>
      </x:c>
      <x:c r="AG1064" s="29" t="str">
        <x:f>""</x:f>
      </x:c>
      <x:c r="AH1064" s="30" t="str">
        <x:f>IF(ISNUMBER(AG1064),U1064/AG1064,"")</x:f>
      </x:c>
      <x:c r="AI1064" s="3" t="str">
        <x:v>同年式・グレードの検証済み当時価格なし／登録年混在</x:v>
      </x:c>
      <x:c r="AJ1064" s="3" t="str">
        <x:v>一覧価格/年式のみ</x:v>
      </x:c>
      <x:c r="AK1064" s="3" t="str">
        <x:v>一覧の表示価格。年式は掲載年式。</x:v>
      </x:c>
      <x:c r="AL1064" s="31" t="n">
        <x:f>IF(AND(J1064&lt;='分析方法'!$B$7,OR(ISBLANK(O1064),O1064&gt;='分析方法'!$B$8),X1064&lt;&gt;"売却済み表示"),1,0)</x:f>
        <x:v>1</x:v>
      </x:c>
      <x:c r="AM1064" s="32" t="n">
        <x:f>IF(AL1064=1,U1064,"")</x:f>
        <x:v>385000</x:v>
      </x:c>
      <x:c r="AN1064" s="33" t="str">
        <x:f>IF(AL1064=1,AF1064,"")</x:f>
      </x:c>
      <x:c r="AO1064" s="31" t="n">
        <x:f>'分析方法'!$B$6-J1064</x:f>
        <x:v>2</x:v>
      </x:c>
      <x:c r="AP1064" s="3"/>
    </x:row>
    <x:row r="1065" ht="22" customHeight="1">
      <x:c r="A1065" s="3" t="str">
        <x:v>T2921927</x:v>
      </x:c>
      <x:c r="B1065" s="7" t="d">
        <x:v>2026-10-08T00:00:00.000Z</x:v>
      </x:c>
      <x:c r="C1065" s="3" t="str">
        <x:v>Taladrod</x:v>
      </x:c>
      <x:c r="D1065" s="3" t="str">
        <x:v>Toyota</x:v>
      </x:c>
      <x:c r="E1065" s="3" t="str">
        <x:v>日本</x:v>
      </x:c>
      <x:c r="F1065" s="3" t="str">
        <x:v>Yaris Ativ</x:v>
      </x:c>
      <x:c r="G1065" s="3" t="str">
        <x:v>ICE</x:v>
      </x:c>
      <x:c r="H1065" s="3" t="str">
        <x:v>Sedan</x:v>
      </x:c>
      <x:c r="I1065" s="3" t="str"/>
      <x:c r="J1065" s="3" t="n">
        <x:v>2024</x:v>
      </x:c>
      <x:c r="K1065" s="3" t="str">
        <x:v>1.2 SMART</x:v>
      </x:c>
      <x:c r="L1065" s="3" t="str">
        <x:v>SMART</x:v>
      </x:c>
      <x:c r="M1065" s="22"/>
      <x:c r="N1065" s="22"/>
      <x:c r="O1065" s="22"/>
      <x:c r="P1065" s="3" t="str">
        <x:v>未掲載</x:v>
      </x:c>
      <x:c r="Q1065" s="3" t="str">
        <x:v>未取得</x:v>
      </x:c>
      <x:c r="R1065" s="3" t="str">
        <x:v>Unknown</x:v>
      </x:c>
      <x:c r="S1065" s="3" t="str">
        <x:v>不明</x:v>
      </x:c>
      <x:c r="T1065" s="3" t="str">
        <x:v>22-ปัจจุบัน</x:v>
      </x:c>
      <x:c r="U1065" s="28" t="n">
        <x:v>385000</x:v>
      </x:c>
      <x:c r="V1065" s="28" t="n">
        <x:v>584000</x:v>
      </x:c>
      <x:c r="W1065" s="3" t="str">
        <x:v>事故・水没・SOH・保証残は未確認</x:v>
      </x:c>
      <x:c r="X1065" s="3" t="str">
        <x:v>掲載中・在庫未確認</x:v>
      </x:c>
      <x:c r="Y1065" s="3" t="str"/>
      <x:c r="Z1065" s="27" t="str">
        <x:v>https://www.taladrod.com/w40/icar/cardet.aspx?cid=2921927</x:v>
      </x:c>
      <x:c r="AA1065" s="3" t="str">
        <x:v>Taladrod個別広告ID／Carsome在庫ID</x:v>
      </x:c>
      <x:c r="AB1065" s="3" t="str">
        <x:v>車台番号未取得／サイト間重複は未判定</x:v>
      </x:c>
      <x:c r="AC1065" s="3" t="str">
        <x:v>税込区分未確認（一覧表示額）</x:v>
      </x:c>
      <x:c r="AD1065" s="3" t="str"/>
      <x:c r="AE1065" s="29" t="str">
        <x:f>""</x:f>
      </x:c>
      <x:c r="AF1065" s="30" t="str">
        <x:f>IF(ISNUMBER(AE1065),U1065/AE1065,"")</x:f>
      </x:c>
      <x:c r="AG1065" s="29" t="str">
        <x:f>""</x:f>
      </x:c>
      <x:c r="AH1065" s="30" t="str">
        <x:f>IF(ISNUMBER(AG1065),U1065/AG1065,"")</x:f>
      </x:c>
      <x:c r="AI1065" s="3" t="str">
        <x:v>同年式・グレードの検証済み当時価格なし／登録年混在</x:v>
      </x:c>
      <x:c r="AJ1065" s="3" t="str">
        <x:v>一覧価格/年式のみ</x:v>
      </x:c>
      <x:c r="AK1065" s="3" t="str">
        <x:v>一覧の表示価格。年式は掲載年式。</x:v>
      </x:c>
      <x:c r="AL1065" s="31" t="n">
        <x:f>IF(AND(J1065&lt;='分析方法'!$B$7,OR(ISBLANK(O1065),O1065&gt;='分析方法'!$B$8),X1065&lt;&gt;"売却済み表示"),1,0)</x:f>
        <x:v>1</x:v>
      </x:c>
      <x:c r="AM1065" s="32" t="n">
        <x:f>IF(AL1065=1,U1065,"")</x:f>
        <x:v>385000</x:v>
      </x:c>
      <x:c r="AN1065" s="33" t="str">
        <x:f>IF(AL1065=1,AF1065,"")</x:f>
      </x:c>
      <x:c r="AO1065" s="31" t="n">
        <x:f>'分析方法'!$B$6-J1065</x:f>
        <x:v>2</x:v>
      </x:c>
      <x:c r="AP1065" s="3"/>
    </x:row>
    <x:row r="1066" ht="22" customHeight="1">
      <x:c r="A1066" s="3" t="str">
        <x:v>T2921932</x:v>
      </x:c>
      <x:c r="B1066" s="7" t="d">
        <x:v>2026-10-08T00:00:00.000Z</x:v>
      </x:c>
      <x:c r="C1066" s="3" t="str">
        <x:v>Taladrod</x:v>
      </x:c>
      <x:c r="D1066" s="3" t="str">
        <x:v>Toyota</x:v>
      </x:c>
      <x:c r="E1066" s="3" t="str">
        <x:v>日本</x:v>
      </x:c>
      <x:c r="F1066" s="3" t="str">
        <x:v>Yaris Ativ</x:v>
      </x:c>
      <x:c r="G1066" s="3" t="str">
        <x:v>ICE</x:v>
      </x:c>
      <x:c r="H1066" s="3" t="str">
        <x:v>Sedan</x:v>
      </x:c>
      <x:c r="I1066" s="3" t="str"/>
      <x:c r="J1066" s="3" t="n">
        <x:v>2024</x:v>
      </x:c>
      <x:c r="K1066" s="3" t="str">
        <x:v>1.2 SMART</x:v>
      </x:c>
      <x:c r="L1066" s="3" t="str">
        <x:v>SMART</x:v>
      </x:c>
      <x:c r="M1066" s="22"/>
      <x:c r="N1066" s="22"/>
      <x:c r="O1066" s="22"/>
      <x:c r="P1066" s="3" t="str">
        <x:v>未掲載</x:v>
      </x:c>
      <x:c r="Q1066" s="3" t="str">
        <x:v>未取得</x:v>
      </x:c>
      <x:c r="R1066" s="3" t="str">
        <x:v>Unknown</x:v>
      </x:c>
      <x:c r="S1066" s="3" t="str">
        <x:v>不明</x:v>
      </x:c>
      <x:c r="T1066" s="3" t="str">
        <x:v>22-ปัจจุบัน</x:v>
      </x:c>
      <x:c r="U1066" s="28" t="n">
        <x:v>385000</x:v>
      </x:c>
      <x:c r="V1066" s="28" t="n">
        <x:v>584000</x:v>
      </x:c>
      <x:c r="W1066" s="3" t="str">
        <x:v>事故・水没・SOH・保証残は未確認</x:v>
      </x:c>
      <x:c r="X1066" s="3" t="str">
        <x:v>掲載中・在庫未確認</x:v>
      </x:c>
      <x:c r="Y1066" s="3" t="str"/>
      <x:c r="Z1066" s="27" t="str">
        <x:v>https://www.taladrod.com/w40/icar/cardet.aspx?cid=2921932</x:v>
      </x:c>
      <x:c r="AA1066" s="3" t="str">
        <x:v>Taladrod個別広告ID／Carsome在庫ID</x:v>
      </x:c>
      <x:c r="AB1066" s="3" t="str">
        <x:v>車台番号未取得／サイト間重複は未判定</x:v>
      </x:c>
      <x:c r="AC1066" s="3" t="str">
        <x:v>税込区分未確認（一覧表示額）</x:v>
      </x:c>
      <x:c r="AD1066" s="3" t="str"/>
      <x:c r="AE1066" s="29" t="str">
        <x:f>""</x:f>
      </x:c>
      <x:c r="AF1066" s="30" t="str">
        <x:f>IF(ISNUMBER(AE1066),U1066/AE1066,"")</x:f>
      </x:c>
      <x:c r="AG1066" s="29" t="str">
        <x:f>""</x:f>
      </x:c>
      <x:c r="AH1066" s="30" t="str">
        <x:f>IF(ISNUMBER(AG1066),U1066/AG1066,"")</x:f>
      </x:c>
      <x:c r="AI1066" s="3" t="str">
        <x:v>同年式・グレードの検証済み当時価格なし／登録年混在</x:v>
      </x:c>
      <x:c r="AJ1066" s="3" t="str">
        <x:v>一覧価格/年式のみ</x:v>
      </x:c>
      <x:c r="AK1066" s="3" t="str">
        <x:v>一覧の表示価格。年式は掲載年式。</x:v>
      </x:c>
      <x:c r="AL1066" s="31" t="n">
        <x:f>IF(AND(J1066&lt;='分析方法'!$B$7,OR(ISBLANK(O1066),O1066&gt;='分析方法'!$B$8),X1066&lt;&gt;"売却済み表示"),1,0)</x:f>
        <x:v>1</x:v>
      </x:c>
      <x:c r="AM1066" s="32" t="n">
        <x:f>IF(AL1066=1,U1066,"")</x:f>
        <x:v>385000</x:v>
      </x:c>
      <x:c r="AN1066" s="33" t="str">
        <x:f>IF(AL1066=1,AF1066,"")</x:f>
      </x:c>
      <x:c r="AO1066" s="31" t="n">
        <x:f>'分析方法'!$B$6-J1066</x:f>
        <x:v>2</x:v>
      </x:c>
      <x:c r="AP1066" s="3"/>
    </x:row>
    <x:row r="1067" ht="22" customHeight="1">
      <x:c r="A1067" s="3" t="str">
        <x:v>T2921957</x:v>
      </x:c>
      <x:c r="B1067" s="7" t="d">
        <x:v>2026-10-08T00:00:00.000Z</x:v>
      </x:c>
      <x:c r="C1067" s="3" t="str">
        <x:v>Taladrod</x:v>
      </x:c>
      <x:c r="D1067" s="3" t="str">
        <x:v>Toyota</x:v>
      </x:c>
      <x:c r="E1067" s="3" t="str">
        <x:v>日本</x:v>
      </x:c>
      <x:c r="F1067" s="3" t="str">
        <x:v>Yaris Ativ</x:v>
      </x:c>
      <x:c r="G1067" s="3" t="str">
        <x:v>ICE</x:v>
      </x:c>
      <x:c r="H1067" s="3" t="str">
        <x:v>Sedan</x:v>
      </x:c>
      <x:c r="I1067" s="3" t="str"/>
      <x:c r="J1067" s="3" t="n">
        <x:v>2024</x:v>
      </x:c>
      <x:c r="K1067" s="3" t="str">
        <x:v>1.2 SMART</x:v>
      </x:c>
      <x:c r="L1067" s="3" t="str">
        <x:v>SMART</x:v>
      </x:c>
      <x:c r="M1067" s="22"/>
      <x:c r="N1067" s="22"/>
      <x:c r="O1067" s="22"/>
      <x:c r="P1067" s="3" t="str">
        <x:v>未掲載</x:v>
      </x:c>
      <x:c r="Q1067" s="3" t="str">
        <x:v>未取得</x:v>
      </x:c>
      <x:c r="R1067" s="3" t="str">
        <x:v>Unknown</x:v>
      </x:c>
      <x:c r="S1067" s="3" t="str">
        <x:v>不明</x:v>
      </x:c>
      <x:c r="T1067" s="3" t="str">
        <x:v>22-ปัจจุบัน</x:v>
      </x:c>
      <x:c r="U1067" s="28" t="n">
        <x:v>385000</x:v>
      </x:c>
      <x:c r="V1067" s="28" t="n">
        <x:v>584000</x:v>
      </x:c>
      <x:c r="W1067" s="3" t="str">
        <x:v>事故・水没・SOH・保証残は未確認</x:v>
      </x:c>
      <x:c r="X1067" s="3" t="str">
        <x:v>掲載中・在庫未確認</x:v>
      </x:c>
      <x:c r="Y1067" s="3" t="str"/>
      <x:c r="Z1067" s="27" t="str">
        <x:v>https://www.taladrod.com/w40/icar/cardet.aspx?cid=2921957</x:v>
      </x:c>
      <x:c r="AA1067" s="3" t="str">
        <x:v>Taladrod個別広告ID／Carsome在庫ID</x:v>
      </x:c>
      <x:c r="AB1067" s="3" t="str">
        <x:v>車台番号未取得／サイト間重複は未判定</x:v>
      </x:c>
      <x:c r="AC1067" s="3" t="str">
        <x:v>税込区分未確認（一覧表示額）</x:v>
      </x:c>
      <x:c r="AD1067" s="3" t="str"/>
      <x:c r="AE1067" s="29" t="str">
        <x:f>""</x:f>
      </x:c>
      <x:c r="AF1067" s="30" t="str">
        <x:f>IF(ISNUMBER(AE1067),U1067/AE1067,"")</x:f>
      </x:c>
      <x:c r="AG1067" s="29" t="str">
        <x:f>""</x:f>
      </x:c>
      <x:c r="AH1067" s="30" t="str">
        <x:f>IF(ISNUMBER(AG1067),U1067/AG1067,"")</x:f>
      </x:c>
      <x:c r="AI1067" s="3" t="str">
        <x:v>同年式・グレードの検証済み当時価格なし／登録年混在</x:v>
      </x:c>
      <x:c r="AJ1067" s="3" t="str">
        <x:v>一覧価格/年式のみ</x:v>
      </x:c>
      <x:c r="AK1067" s="3" t="str">
        <x:v>一覧の表示価格。年式は掲載年式。</x:v>
      </x:c>
      <x:c r="AL1067" s="31" t="n">
        <x:f>IF(AND(J1067&lt;='分析方法'!$B$7,OR(ISBLANK(O1067),O1067&gt;='分析方法'!$B$8),X1067&lt;&gt;"売却済み表示"),1,0)</x:f>
        <x:v>1</x:v>
      </x:c>
      <x:c r="AM1067" s="32" t="n">
        <x:f>IF(AL1067=1,U1067,"")</x:f>
        <x:v>385000</x:v>
      </x:c>
      <x:c r="AN1067" s="33" t="str">
        <x:f>IF(AL1067=1,AF1067,"")</x:f>
      </x:c>
      <x:c r="AO1067" s="31" t="n">
        <x:f>'分析方法'!$B$6-J1067</x:f>
        <x:v>2</x:v>
      </x:c>
      <x:c r="AP1067" s="3"/>
    </x:row>
    <x:row r="1068" ht="22" customHeight="1">
      <x:c r="A1068" s="3" t="str">
        <x:v>T2922091</x:v>
      </x:c>
      <x:c r="B1068" s="7" t="d">
        <x:v>2026-10-08T00:00:00.000Z</x:v>
      </x:c>
      <x:c r="C1068" s="3" t="str">
        <x:v>Taladrod</x:v>
      </x:c>
      <x:c r="D1068" s="3" t="str">
        <x:v>Toyota</x:v>
      </x:c>
      <x:c r="E1068" s="3" t="str">
        <x:v>日本</x:v>
      </x:c>
      <x:c r="F1068" s="3" t="str">
        <x:v>Yaris Ativ</x:v>
      </x:c>
      <x:c r="G1068" s="3" t="str">
        <x:v>ICE</x:v>
      </x:c>
      <x:c r="H1068" s="3" t="str">
        <x:v>Sedan</x:v>
      </x:c>
      <x:c r="I1068" s="3" t="str"/>
      <x:c r="J1068" s="3" t="n">
        <x:v>2024</x:v>
      </x:c>
      <x:c r="K1068" s="3" t="str">
        <x:v>1.2 SMART</x:v>
      </x:c>
      <x:c r="L1068" s="3" t="str">
        <x:v>SMART</x:v>
      </x:c>
      <x:c r="M1068" s="22"/>
      <x:c r="N1068" s="22"/>
      <x:c r="O1068" s="22"/>
      <x:c r="P1068" s="3" t="str">
        <x:v>未掲載</x:v>
      </x:c>
      <x:c r="Q1068" s="3" t="str">
        <x:v>未取得</x:v>
      </x:c>
      <x:c r="R1068" s="3" t="str">
        <x:v>Unknown</x:v>
      </x:c>
      <x:c r="S1068" s="3" t="str">
        <x:v>不明</x:v>
      </x:c>
      <x:c r="T1068" s="3" t="str">
        <x:v>22-ปัจจุบัน</x:v>
      </x:c>
      <x:c r="U1068" s="28" t="n">
        <x:v>385000</x:v>
      </x:c>
      <x:c r="V1068" s="28" t="n">
        <x:v>584000</x:v>
      </x:c>
      <x:c r="W1068" s="3" t="str">
        <x:v>事故・水没・SOH・保証残は未確認</x:v>
      </x:c>
      <x:c r="X1068" s="3" t="str">
        <x:v>掲載中・在庫未確認</x:v>
      </x:c>
      <x:c r="Y1068" s="3" t="str"/>
      <x:c r="Z1068" s="27" t="str">
        <x:v>https://www.taladrod.com/w40/icar/cardet.aspx?cid=2922091</x:v>
      </x:c>
      <x:c r="AA1068" s="3" t="str">
        <x:v>Taladrod個別広告ID／Carsome在庫ID</x:v>
      </x:c>
      <x:c r="AB1068" s="3" t="str">
        <x:v>車台番号未取得／サイト間重複は未判定</x:v>
      </x:c>
      <x:c r="AC1068" s="3" t="str">
        <x:v>税込区分未確認（一覧表示額）</x:v>
      </x:c>
      <x:c r="AD1068" s="3" t="str"/>
      <x:c r="AE1068" s="29" t="str">
        <x:f>""</x:f>
      </x:c>
      <x:c r="AF1068" s="30" t="str">
        <x:f>IF(ISNUMBER(AE1068),U1068/AE1068,"")</x:f>
      </x:c>
      <x:c r="AG1068" s="29" t="str">
        <x:f>""</x:f>
      </x:c>
      <x:c r="AH1068" s="30" t="str">
        <x:f>IF(ISNUMBER(AG1068),U1068/AG1068,"")</x:f>
      </x:c>
      <x:c r="AI1068" s="3" t="str">
        <x:v>同年式・グレードの検証済み当時価格なし／登録年混在</x:v>
      </x:c>
      <x:c r="AJ1068" s="3" t="str">
        <x:v>一覧価格/年式のみ</x:v>
      </x:c>
      <x:c r="AK1068" s="3" t="str">
        <x:v>一覧の表示価格。年式は掲載年式。</x:v>
      </x:c>
      <x:c r="AL1068" s="31" t="n">
        <x:f>IF(AND(J1068&lt;='分析方法'!$B$7,OR(ISBLANK(O1068),O1068&gt;='分析方法'!$B$8),X1068&lt;&gt;"売却済み表示"),1,0)</x:f>
        <x:v>1</x:v>
      </x:c>
      <x:c r="AM1068" s="32" t="n">
        <x:f>IF(AL1068=1,U1068,"")</x:f>
        <x:v>385000</x:v>
      </x:c>
      <x:c r="AN1068" s="33" t="str">
        <x:f>IF(AL1068=1,AF1068,"")</x:f>
      </x:c>
      <x:c r="AO1068" s="31" t="n">
        <x:f>'分析方法'!$B$6-J1068</x:f>
        <x:v>2</x:v>
      </x:c>
      <x:c r="AP1068" s="3"/>
    </x:row>
    <x:row r="1069" ht="22" customHeight="1">
      <x:c r="A1069" s="3" t="str">
        <x:v>T2922299</x:v>
      </x:c>
      <x:c r="B1069" s="7" t="d">
        <x:v>2026-10-08T00:00:00.000Z</x:v>
      </x:c>
      <x:c r="C1069" s="3" t="str">
        <x:v>Taladrod</x:v>
      </x:c>
      <x:c r="D1069" s="3" t="str">
        <x:v>Toyota</x:v>
      </x:c>
      <x:c r="E1069" s="3" t="str">
        <x:v>日本</x:v>
      </x:c>
      <x:c r="F1069" s="3" t="str">
        <x:v>Yaris Ativ</x:v>
      </x:c>
      <x:c r="G1069" s="3" t="str">
        <x:v>ICE</x:v>
      </x:c>
      <x:c r="H1069" s="3" t="str">
        <x:v>Sedan</x:v>
      </x:c>
      <x:c r="I1069" s="3" t="str"/>
      <x:c r="J1069" s="3" t="n">
        <x:v>2024</x:v>
      </x:c>
      <x:c r="K1069" s="3" t="str">
        <x:v>1.2 SMART</x:v>
      </x:c>
      <x:c r="L1069" s="3" t="str">
        <x:v>SMART</x:v>
      </x:c>
      <x:c r="M1069" s="22"/>
      <x:c r="N1069" s="22"/>
      <x:c r="O1069" s="22"/>
      <x:c r="P1069" s="3" t="str">
        <x:v>未掲載</x:v>
      </x:c>
      <x:c r="Q1069" s="3" t="str">
        <x:v>未取得</x:v>
      </x:c>
      <x:c r="R1069" s="3" t="str">
        <x:v>Unknown</x:v>
      </x:c>
      <x:c r="S1069" s="3" t="str">
        <x:v>不明</x:v>
      </x:c>
      <x:c r="T1069" s="3" t="str">
        <x:v>22-ปัจจุบัน</x:v>
      </x:c>
      <x:c r="U1069" s="28" t="n">
        <x:v>469000</x:v>
      </x:c>
      <x:c r="V1069" s="28" t="n">
        <x:v>584000</x:v>
      </x:c>
      <x:c r="W1069" s="3" t="str">
        <x:v>事故・水没・SOH・保証残は未確認</x:v>
      </x:c>
      <x:c r="X1069" s="3" t="str">
        <x:v>掲載中・在庫未確認</x:v>
      </x:c>
      <x:c r="Y1069" s="3" t="str"/>
      <x:c r="Z1069" s="27" t="str">
        <x:v>https://www.taladrod.com/w40/icar/cardet.aspx?cid=2922299</x:v>
      </x:c>
      <x:c r="AA1069" s="3" t="str">
        <x:v>Taladrod個別広告ID／Carsome在庫ID</x:v>
      </x:c>
      <x:c r="AB1069" s="3" t="str">
        <x:v>車台番号未取得／サイト間重複は未判定</x:v>
      </x:c>
      <x:c r="AC1069" s="3" t="str">
        <x:v>税込区分未確認（一覧表示額）</x:v>
      </x:c>
      <x:c r="AD1069" s="3" t="str"/>
      <x:c r="AE1069" s="29" t="str">
        <x:f>""</x:f>
      </x:c>
      <x:c r="AF1069" s="30" t="str">
        <x:f>IF(ISNUMBER(AE1069),U1069/AE1069,"")</x:f>
      </x:c>
      <x:c r="AG1069" s="29" t="str">
        <x:f>""</x:f>
      </x:c>
      <x:c r="AH1069" s="30" t="str">
        <x:f>IF(ISNUMBER(AG1069),U1069/AG1069,"")</x:f>
      </x:c>
      <x:c r="AI1069" s="3" t="str">
        <x:v>同年式・グレードの検証済み当時価格なし／登録年混在</x:v>
      </x:c>
      <x:c r="AJ1069" s="3" t="str">
        <x:v>一覧価格/年式のみ</x:v>
      </x:c>
      <x:c r="AK1069" s="3" t="str">
        <x:v>一覧の表示価格。年式は掲載年式。</x:v>
      </x:c>
      <x:c r="AL1069" s="31" t="n">
        <x:f>IF(AND(J1069&lt;='分析方法'!$B$7,OR(ISBLANK(O1069),O1069&gt;='分析方法'!$B$8),X1069&lt;&gt;"売却済み表示"),1,0)</x:f>
        <x:v>1</x:v>
      </x:c>
      <x:c r="AM1069" s="32" t="n">
        <x:f>IF(AL1069=1,U1069,"")</x:f>
        <x:v>469000</x:v>
      </x:c>
      <x:c r="AN1069" s="33" t="str">
        <x:f>IF(AL1069=1,AF1069,"")</x:f>
      </x:c>
      <x:c r="AO1069" s="31" t="n">
        <x:f>'分析方法'!$B$6-J1069</x:f>
        <x:v>2</x:v>
      </x:c>
      <x:c r="AP1069" s="3"/>
    </x:row>
    <x:row r="1070" ht="22" customHeight="1">
      <x:c r="A1070" s="3" t="str">
        <x:v>T2923125</x:v>
      </x:c>
      <x:c r="B1070" s="7" t="d">
        <x:v>2026-10-08T00:00:00.000Z</x:v>
      </x:c>
      <x:c r="C1070" s="3" t="str">
        <x:v>Taladrod</x:v>
      </x:c>
      <x:c r="D1070" s="3" t="str">
        <x:v>Toyota</x:v>
      </x:c>
      <x:c r="E1070" s="3" t="str">
        <x:v>日本</x:v>
      </x:c>
      <x:c r="F1070" s="3" t="str">
        <x:v>Yaris Ativ</x:v>
      </x:c>
      <x:c r="G1070" s="3" t="str">
        <x:v>ICE</x:v>
      </x:c>
      <x:c r="H1070" s="3" t="str">
        <x:v>Sedan</x:v>
      </x:c>
      <x:c r="I1070" s="3" t="str"/>
      <x:c r="J1070" s="3" t="n">
        <x:v>2024</x:v>
      </x:c>
      <x:c r="K1070" s="3" t="str">
        <x:v>1.2 SMART</x:v>
      </x:c>
      <x:c r="L1070" s="3" t="str">
        <x:v>SMART</x:v>
      </x:c>
      <x:c r="M1070" s="22"/>
      <x:c r="N1070" s="22"/>
      <x:c r="O1070" s="22"/>
      <x:c r="P1070" s="3" t="str">
        <x:v>未掲載</x:v>
      </x:c>
      <x:c r="Q1070" s="3" t="str">
        <x:v>未取得</x:v>
      </x:c>
      <x:c r="R1070" s="3" t="str">
        <x:v>Unknown</x:v>
      </x:c>
      <x:c r="S1070" s="3" t="str">
        <x:v>不明</x:v>
      </x:c>
      <x:c r="T1070" s="3" t="str">
        <x:v>22-ปัจจุบัน</x:v>
      </x:c>
      <x:c r="U1070" s="28" t="n">
        <x:v>546000</x:v>
      </x:c>
      <x:c r="V1070" s="28" t="n">
        <x:v>584000</x:v>
      </x:c>
      <x:c r="W1070" s="3" t="str">
        <x:v>事故・水没・SOH・保証残は未確認</x:v>
      </x:c>
      <x:c r="X1070" s="3" t="str">
        <x:v>掲載中・在庫未確認</x:v>
      </x:c>
      <x:c r="Y1070" s="3" t="str"/>
      <x:c r="Z1070" s="27" t="str">
        <x:v>https://www.taladrod.com/w40/icar/cardet.aspx?cid=2923125</x:v>
      </x:c>
      <x:c r="AA1070" s="3" t="str">
        <x:v>Taladrod個別広告ID／Carsome在庫ID</x:v>
      </x:c>
      <x:c r="AB1070" s="3" t="str">
        <x:v>車台番号未取得／サイト間重複は未判定</x:v>
      </x:c>
      <x:c r="AC1070" s="3" t="str">
        <x:v>税込区分未確認（一覧表示額）</x:v>
      </x:c>
      <x:c r="AD1070" s="3" t="str"/>
      <x:c r="AE1070" s="29" t="str">
        <x:f>""</x:f>
      </x:c>
      <x:c r="AF1070" s="30" t="str">
        <x:f>IF(ISNUMBER(AE1070),U1070/AE1070,"")</x:f>
      </x:c>
      <x:c r="AG1070" s="29" t="str">
        <x:f>""</x:f>
      </x:c>
      <x:c r="AH1070" s="30" t="str">
        <x:f>IF(ISNUMBER(AG1070),U1070/AG1070,"")</x:f>
      </x:c>
      <x:c r="AI1070" s="3" t="str">
        <x:v>同年式・グレードの検証済み当時価格なし／登録年混在</x:v>
      </x:c>
      <x:c r="AJ1070" s="3" t="str">
        <x:v>一覧価格/年式のみ</x:v>
      </x:c>
      <x:c r="AK1070" s="3" t="str">
        <x:v>一覧の表示価格。年式は掲載年式。</x:v>
      </x:c>
      <x:c r="AL1070" s="31" t="n">
        <x:f>IF(AND(J1070&lt;='分析方法'!$B$7,OR(ISBLANK(O1070),O1070&gt;='分析方法'!$B$8),X1070&lt;&gt;"売却済み表示"),1,0)</x:f>
        <x:v>1</x:v>
      </x:c>
      <x:c r="AM1070" s="32" t="n">
        <x:f>IF(AL1070=1,U1070,"")</x:f>
        <x:v>546000</x:v>
      </x:c>
      <x:c r="AN1070" s="33" t="str">
        <x:f>IF(AL1070=1,AF1070,"")</x:f>
      </x:c>
      <x:c r="AO1070" s="31" t="n">
        <x:f>'分析方法'!$B$6-J1070</x:f>
        <x:v>2</x:v>
      </x:c>
      <x:c r="AP1070" s="3"/>
    </x:row>
    <x:row r="1071" ht="22" customHeight="1">
      <x:c r="A1071" s="3" t="str">
        <x:v>T2924425</x:v>
      </x:c>
      <x:c r="B1071" s="7" t="d">
        <x:v>2026-10-08T00:00:00.000Z</x:v>
      </x:c>
      <x:c r="C1071" s="3" t="str">
        <x:v>Taladrod</x:v>
      </x:c>
      <x:c r="D1071" s="3" t="str">
        <x:v>Toyota</x:v>
      </x:c>
      <x:c r="E1071" s="3" t="str">
        <x:v>日本</x:v>
      </x:c>
      <x:c r="F1071" s="3" t="str">
        <x:v>Yaris Ativ</x:v>
      </x:c>
      <x:c r="G1071" s="3" t="str">
        <x:v>ICE</x:v>
      </x:c>
      <x:c r="H1071" s="3" t="str">
        <x:v>Sedan</x:v>
      </x:c>
      <x:c r="I1071" s="3" t="str"/>
      <x:c r="J1071" s="3" t="n">
        <x:v>2024</x:v>
      </x:c>
      <x:c r="K1071" s="3" t="str">
        <x:v>1.2 SMART</x:v>
      </x:c>
      <x:c r="L1071" s="3" t="str">
        <x:v>SMART</x:v>
      </x:c>
      <x:c r="M1071" s="22"/>
      <x:c r="N1071" s="22"/>
      <x:c r="O1071" s="22"/>
      <x:c r="P1071" s="3" t="str">
        <x:v>未掲載</x:v>
      </x:c>
      <x:c r="Q1071" s="3" t="str">
        <x:v>未取得</x:v>
      </x:c>
      <x:c r="R1071" s="3" t="str">
        <x:v>Unknown</x:v>
      </x:c>
      <x:c r="S1071" s="3" t="str">
        <x:v>不明</x:v>
      </x:c>
      <x:c r="T1071" s="3" t="str">
        <x:v>22-ปัจจุบัน</x:v>
      </x:c>
      <x:c r="U1071" s="28" t="n">
        <x:v>475000</x:v>
      </x:c>
      <x:c r="V1071" s="28" t="n">
        <x:v>584000</x:v>
      </x:c>
      <x:c r="W1071" s="3" t="str">
        <x:v>事故・水没・SOH・保証残は未確認</x:v>
      </x:c>
      <x:c r="X1071" s="3" t="str">
        <x:v>掲載中・在庫未確認</x:v>
      </x:c>
      <x:c r="Y1071" s="3" t="str"/>
      <x:c r="Z1071" s="27" t="str">
        <x:v>https://www.taladrod.com/w40/icar/cardet.aspx?cid=2924425</x:v>
      </x:c>
      <x:c r="AA1071" s="3" t="str">
        <x:v>Taladrod個別広告ID／Carsome在庫ID</x:v>
      </x:c>
      <x:c r="AB1071" s="3" t="str">
        <x:v>車台番号未取得／サイト間重複は未判定</x:v>
      </x:c>
      <x:c r="AC1071" s="3" t="str">
        <x:v>税込区分未確認（一覧表示額）</x:v>
      </x:c>
      <x:c r="AD1071" s="3" t="str"/>
      <x:c r="AE1071" s="29" t="str">
        <x:f>""</x:f>
      </x:c>
      <x:c r="AF1071" s="30" t="str">
        <x:f>IF(ISNUMBER(AE1071),U1071/AE1071,"")</x:f>
      </x:c>
      <x:c r="AG1071" s="29" t="str">
        <x:f>""</x:f>
      </x:c>
      <x:c r="AH1071" s="30" t="str">
        <x:f>IF(ISNUMBER(AG1071),U1071/AG1071,"")</x:f>
      </x:c>
      <x:c r="AI1071" s="3" t="str">
        <x:v>同年式・グレードの検証済み当時価格なし／登録年混在</x:v>
      </x:c>
      <x:c r="AJ1071" s="3" t="str">
        <x:v>一覧価格/年式のみ</x:v>
      </x:c>
      <x:c r="AK1071" s="3" t="str">
        <x:v>一覧の表示価格。年式は掲載年式。</x:v>
      </x:c>
      <x:c r="AL1071" s="31" t="n">
        <x:f>IF(AND(J1071&lt;='分析方法'!$B$7,OR(ISBLANK(O1071),O1071&gt;='分析方法'!$B$8),X1071&lt;&gt;"売却済み表示"),1,0)</x:f>
        <x:v>1</x:v>
      </x:c>
      <x:c r="AM1071" s="32" t="n">
        <x:f>IF(AL1071=1,U1071,"")</x:f>
        <x:v>475000</x:v>
      </x:c>
      <x:c r="AN1071" s="33" t="str">
        <x:f>IF(AL1071=1,AF1071,"")</x:f>
      </x:c>
      <x:c r="AO1071" s="31" t="n">
        <x:f>'分析方法'!$B$6-J1071</x:f>
        <x:v>2</x:v>
      </x:c>
      <x:c r="AP1071" s="3"/>
    </x:row>
    <x:row r="1072" ht="22" customHeight="1">
      <x:c r="A1072" s="3" t="str">
        <x:v>T2925173</x:v>
      </x:c>
      <x:c r="B1072" s="7" t="d">
        <x:v>2026-10-08T00:00:00.000Z</x:v>
      </x:c>
      <x:c r="C1072" s="3" t="str">
        <x:v>Taladrod</x:v>
      </x:c>
      <x:c r="D1072" s="3" t="str">
        <x:v>Toyota</x:v>
      </x:c>
      <x:c r="E1072" s="3" t="str">
        <x:v>日本</x:v>
      </x:c>
      <x:c r="F1072" s="3" t="str">
        <x:v>Yaris Ativ</x:v>
      </x:c>
      <x:c r="G1072" s="3" t="str">
        <x:v>ICE</x:v>
      </x:c>
      <x:c r="H1072" s="3" t="str">
        <x:v>Sedan</x:v>
      </x:c>
      <x:c r="I1072" s="3" t="str"/>
      <x:c r="J1072" s="3" t="n">
        <x:v>2024</x:v>
      </x:c>
      <x:c r="K1072" s="3" t="str">
        <x:v>1.2 SMART</x:v>
      </x:c>
      <x:c r="L1072" s="3" t="str">
        <x:v>SMART</x:v>
      </x:c>
      <x:c r="M1072" s="22"/>
      <x:c r="N1072" s="22"/>
      <x:c r="O1072" s="22"/>
      <x:c r="P1072" s="3" t="str">
        <x:v>未掲載</x:v>
      </x:c>
      <x:c r="Q1072" s="3" t="str">
        <x:v>未取得</x:v>
      </x:c>
      <x:c r="R1072" s="3" t="str">
        <x:v>Unknown</x:v>
      </x:c>
      <x:c r="S1072" s="3" t="str">
        <x:v>不明</x:v>
      </x:c>
      <x:c r="T1072" s="3" t="str">
        <x:v>22-ปัจจุบัน</x:v>
      </x:c>
      <x:c r="U1072" s="28" t="n">
        <x:v>469000</x:v>
      </x:c>
      <x:c r="V1072" s="28" t="n">
        <x:v>584000</x:v>
      </x:c>
      <x:c r="W1072" s="3" t="str">
        <x:v>事故・水没・SOH・保証残は未確認</x:v>
      </x:c>
      <x:c r="X1072" s="3" t="str">
        <x:v>掲載中・在庫未確認</x:v>
      </x:c>
      <x:c r="Y1072" s="3" t="str"/>
      <x:c r="Z1072" s="27" t="str">
        <x:v>https://www.taladrod.com/w40/icar/cardet.aspx?cid=2925173</x:v>
      </x:c>
      <x:c r="AA1072" s="3" t="str">
        <x:v>Taladrod個別広告ID／Carsome在庫ID</x:v>
      </x:c>
      <x:c r="AB1072" s="3" t="str">
        <x:v>車台番号未取得／サイト間重複は未判定</x:v>
      </x:c>
      <x:c r="AC1072" s="3" t="str">
        <x:v>税込区分未確認（一覧表示額）</x:v>
      </x:c>
      <x:c r="AD1072" s="3" t="str"/>
      <x:c r="AE1072" s="29" t="str">
        <x:f>""</x:f>
      </x:c>
      <x:c r="AF1072" s="30" t="str">
        <x:f>IF(ISNUMBER(AE1072),U1072/AE1072,"")</x:f>
      </x:c>
      <x:c r="AG1072" s="29" t="str">
        <x:f>""</x:f>
      </x:c>
      <x:c r="AH1072" s="30" t="str">
        <x:f>IF(ISNUMBER(AG1072),U1072/AG1072,"")</x:f>
      </x:c>
      <x:c r="AI1072" s="3" t="str">
        <x:v>同年式・グレードの検証済み当時価格なし／登録年混在</x:v>
      </x:c>
      <x:c r="AJ1072" s="3" t="str">
        <x:v>一覧価格/年式のみ</x:v>
      </x:c>
      <x:c r="AK1072" s="3" t="str">
        <x:v>一覧の表示価格。年式は掲載年式。</x:v>
      </x:c>
      <x:c r="AL1072" s="31" t="n">
        <x:f>IF(AND(J1072&lt;='分析方法'!$B$7,OR(ISBLANK(O1072),O1072&gt;='分析方法'!$B$8),X1072&lt;&gt;"売却済み表示"),1,0)</x:f>
        <x:v>1</x:v>
      </x:c>
      <x:c r="AM1072" s="32" t="n">
        <x:f>IF(AL1072=1,U1072,"")</x:f>
        <x:v>469000</x:v>
      </x:c>
      <x:c r="AN1072" s="33" t="str">
        <x:f>IF(AL1072=1,AF1072,"")</x:f>
      </x:c>
      <x:c r="AO1072" s="31" t="n">
        <x:f>'分析方法'!$B$6-J1072</x:f>
        <x:v>2</x:v>
      </x:c>
      <x:c r="AP1072" s="3"/>
    </x:row>
    <x:row r="1073" ht="22" customHeight="1">
      <x:c r="A1073" s="3" t="str">
        <x:v>T2926010</x:v>
      </x:c>
      <x:c r="B1073" s="7" t="d">
        <x:v>2026-10-08T00:00:00.000Z</x:v>
      </x:c>
      <x:c r="C1073" s="3" t="str">
        <x:v>Taladrod</x:v>
      </x:c>
      <x:c r="D1073" s="3" t="str">
        <x:v>Toyota</x:v>
      </x:c>
      <x:c r="E1073" s="3" t="str">
        <x:v>日本</x:v>
      </x:c>
      <x:c r="F1073" s="3" t="str">
        <x:v>Yaris Ativ</x:v>
      </x:c>
      <x:c r="G1073" s="3" t="str">
        <x:v>ICE</x:v>
      </x:c>
      <x:c r="H1073" s="3" t="str">
        <x:v>Sedan</x:v>
      </x:c>
      <x:c r="I1073" s="3" t="str"/>
      <x:c r="J1073" s="3" t="n">
        <x:v>2024</x:v>
      </x:c>
      <x:c r="K1073" s="3" t="str">
        <x:v>1.2 SMART</x:v>
      </x:c>
      <x:c r="L1073" s="3" t="str">
        <x:v>SMART</x:v>
      </x:c>
      <x:c r="M1073" s="22"/>
      <x:c r="N1073" s="22"/>
      <x:c r="O1073" s="22"/>
      <x:c r="P1073" s="3" t="str">
        <x:v>未掲載</x:v>
      </x:c>
      <x:c r="Q1073" s="3" t="str">
        <x:v>未取得</x:v>
      </x:c>
      <x:c r="R1073" s="3" t="str">
        <x:v>Unknown</x:v>
      </x:c>
      <x:c r="S1073" s="3" t="str">
        <x:v>不明</x:v>
      </x:c>
      <x:c r="T1073" s="3" t="str">
        <x:v>22-ปัจจุบัน</x:v>
      </x:c>
      <x:c r="U1073" s="28" t="n">
        <x:v>467000</x:v>
      </x:c>
      <x:c r="V1073" s="28" t="n">
        <x:v>584000</x:v>
      </x:c>
      <x:c r="W1073" s="3" t="str">
        <x:v>事故・水没・SOH・保証残は未確認</x:v>
      </x:c>
      <x:c r="X1073" s="3" t="str">
        <x:v>掲載中・在庫未確認</x:v>
      </x:c>
      <x:c r="Y1073" s="3" t="str"/>
      <x:c r="Z1073" s="27" t="str">
        <x:v>https://www.taladrod.com/w40/icar/cardet.aspx?cid=2926010</x:v>
      </x:c>
      <x:c r="AA1073" s="3" t="str">
        <x:v>Taladrod個別広告ID／Carsome在庫ID</x:v>
      </x:c>
      <x:c r="AB1073" s="3" t="str">
        <x:v>車台番号未取得／サイト間重複は未判定</x:v>
      </x:c>
      <x:c r="AC1073" s="3" t="str">
        <x:v>税込区分未確認（一覧表示額）</x:v>
      </x:c>
      <x:c r="AD1073" s="3" t="str"/>
      <x:c r="AE1073" s="29" t="str">
        <x:f>""</x:f>
      </x:c>
      <x:c r="AF1073" s="30" t="str">
        <x:f>IF(ISNUMBER(AE1073),U1073/AE1073,"")</x:f>
      </x:c>
      <x:c r="AG1073" s="29" t="str">
        <x:f>""</x:f>
      </x:c>
      <x:c r="AH1073" s="30" t="str">
        <x:f>IF(ISNUMBER(AG1073),U1073/AG1073,"")</x:f>
      </x:c>
      <x:c r="AI1073" s="3" t="str">
        <x:v>同年式・グレードの検証済み当時価格なし／登録年混在</x:v>
      </x:c>
      <x:c r="AJ1073" s="3" t="str">
        <x:v>一覧価格/年式のみ</x:v>
      </x:c>
      <x:c r="AK1073" s="3" t="str">
        <x:v>一覧の表示価格。年式は掲載年式。</x:v>
      </x:c>
      <x:c r="AL1073" s="31" t="n">
        <x:f>IF(AND(J1073&lt;='分析方法'!$B$7,OR(ISBLANK(O1073),O1073&gt;='分析方法'!$B$8),X1073&lt;&gt;"売却済み表示"),1,0)</x:f>
        <x:v>1</x:v>
      </x:c>
      <x:c r="AM1073" s="32" t="n">
        <x:f>IF(AL1073=1,U1073,"")</x:f>
        <x:v>467000</x:v>
      </x:c>
      <x:c r="AN1073" s="33" t="str">
        <x:f>IF(AL1073=1,AF1073,"")</x:f>
      </x:c>
      <x:c r="AO1073" s="31" t="n">
        <x:f>'分析方法'!$B$6-J1073</x:f>
        <x:v>2</x:v>
      </x:c>
      <x:c r="AP1073" s="3"/>
    </x:row>
    <x:row r="1074" ht="22" customHeight="1">
      <x:c r="A1074" s="3" t="str">
        <x:v>T2900121</x:v>
      </x:c>
      <x:c r="B1074" s="7" t="d">
        <x:v>2026-10-08T00:00:00.000Z</x:v>
      </x:c>
      <x:c r="C1074" s="3" t="str">
        <x:v>Taladrod</x:v>
      </x:c>
      <x:c r="D1074" s="3" t="str">
        <x:v>Toyota</x:v>
      </x:c>
      <x:c r="E1074" s="3" t="str">
        <x:v>日本</x:v>
      </x:c>
      <x:c r="F1074" s="3" t="str">
        <x:v>Yaris Ativ</x:v>
      </x:c>
      <x:c r="G1074" s="3" t="str">
        <x:v>ICE</x:v>
      </x:c>
      <x:c r="H1074" s="3" t="str">
        <x:v>Sedan</x:v>
      </x:c>
      <x:c r="I1074" s="3" t="str"/>
      <x:c r="J1074" s="3" t="n">
        <x:v>2024</x:v>
      </x:c>
      <x:c r="K1074" s="3" t="str">
        <x:v>1.2 SPORT</x:v>
      </x:c>
      <x:c r="L1074" s="3" t="str">
        <x:v>SPORT</x:v>
      </x:c>
      <x:c r="M1074" s="22"/>
      <x:c r="N1074" s="22"/>
      <x:c r="O1074" s="22"/>
      <x:c r="P1074" s="3" t="str">
        <x:v>未掲載</x:v>
      </x:c>
      <x:c r="Q1074" s="3" t="str">
        <x:v>未取得</x:v>
      </x:c>
      <x:c r="R1074" s="3" t="str">
        <x:v>Unknown</x:v>
      </x:c>
      <x:c r="S1074" s="3" t="str">
        <x:v>不明</x:v>
      </x:c>
      <x:c r="T1074" s="3" t="str">
        <x:v>22-ปัจจุบัน</x:v>
      </x:c>
      <x:c r="U1074" s="28" t="n">
        <x:v>424000</x:v>
      </x:c>
      <x:c r="V1074" s="28" t="n">
        <x:v>539000</x:v>
      </x:c>
      <x:c r="W1074" s="3" t="str">
        <x:v>事故・水没・SOH・保証残は未確認</x:v>
      </x:c>
      <x:c r="X1074" s="3" t="str">
        <x:v>掲載中・在庫未確認</x:v>
      </x:c>
      <x:c r="Y1074" s="3" t="str"/>
      <x:c r="Z1074" s="27" t="str">
        <x:v>https://www.taladrod.com/w40/icar/cardet.aspx?cid=2900121</x:v>
      </x:c>
      <x:c r="AA1074" s="3" t="str">
        <x:v>Taladrod個別広告ID／Carsome在庫ID</x:v>
      </x:c>
      <x:c r="AB1074" s="3" t="str">
        <x:v>車台番号未取得／サイト間重複は未判定</x:v>
      </x:c>
      <x:c r="AC1074" s="3" t="str">
        <x:v>税込区分未確認（一覧表示額）</x:v>
      </x:c>
      <x:c r="AD1074" s="3" t="str"/>
      <x:c r="AE1074" s="29" t="str">
        <x:f>""</x:f>
      </x:c>
      <x:c r="AF1074" s="30" t="str">
        <x:f>IF(ISNUMBER(AE1074),U1074/AE1074,"")</x:f>
      </x:c>
      <x:c r="AG1074" s="29" t="str">
        <x:f>""</x:f>
      </x:c>
      <x:c r="AH1074" s="30" t="str">
        <x:f>IF(ISNUMBER(AG1074),U1074/AG1074,"")</x:f>
      </x:c>
      <x:c r="AI1074" s="3" t="str">
        <x:v>同年式・グレードの検証済み当時価格なし／登録年混在</x:v>
      </x:c>
      <x:c r="AJ1074" s="3" t="str">
        <x:v>一覧価格/年式のみ</x:v>
      </x:c>
      <x:c r="AK1074" s="3" t="str">
        <x:v>一覧の表示価格。年式は掲載年式。</x:v>
      </x:c>
      <x:c r="AL1074" s="31" t="n">
        <x:f>IF(AND(J1074&lt;='分析方法'!$B$7,OR(ISBLANK(O1074),O1074&gt;='分析方法'!$B$8),X1074&lt;&gt;"売却済み表示"),1,0)</x:f>
        <x:v>1</x:v>
      </x:c>
      <x:c r="AM1074" s="32" t="n">
        <x:f>IF(AL1074=1,U1074,"")</x:f>
        <x:v>424000</x:v>
      </x:c>
      <x:c r="AN1074" s="33" t="str">
        <x:f>IF(AL1074=1,AF1074,"")</x:f>
      </x:c>
      <x:c r="AO1074" s="31" t="n">
        <x:f>'分析方法'!$B$6-J1074</x:f>
        <x:v>2</x:v>
      </x:c>
      <x:c r="AP1074" s="3"/>
    </x:row>
    <x:row r="1075" ht="22" customHeight="1">
      <x:c r="A1075" s="3" t="str">
        <x:v>T2906041</x:v>
      </x:c>
      <x:c r="B1075" s="7" t="d">
        <x:v>2026-10-08T00:00:00.000Z</x:v>
      </x:c>
      <x:c r="C1075" s="3" t="str">
        <x:v>Taladrod</x:v>
      </x:c>
      <x:c r="D1075" s="3" t="str">
        <x:v>Toyota</x:v>
      </x:c>
      <x:c r="E1075" s="3" t="str">
        <x:v>日本</x:v>
      </x:c>
      <x:c r="F1075" s="3" t="str">
        <x:v>Yaris Ativ</x:v>
      </x:c>
      <x:c r="G1075" s="3" t="str">
        <x:v>ICE</x:v>
      </x:c>
      <x:c r="H1075" s="3" t="str">
        <x:v>Sedan</x:v>
      </x:c>
      <x:c r="I1075" s="3" t="str"/>
      <x:c r="J1075" s="3" t="n">
        <x:v>2024</x:v>
      </x:c>
      <x:c r="K1075" s="3" t="str">
        <x:v>1.2 SPORT</x:v>
      </x:c>
      <x:c r="L1075" s="3" t="str">
        <x:v>SPORT</x:v>
      </x:c>
      <x:c r="M1075" s="22"/>
      <x:c r="N1075" s="22"/>
      <x:c r="O1075" s="22"/>
      <x:c r="P1075" s="3" t="str">
        <x:v>未掲載</x:v>
      </x:c>
      <x:c r="Q1075" s="3" t="str">
        <x:v>未取得</x:v>
      </x:c>
      <x:c r="R1075" s="3" t="str">
        <x:v>Unknown</x:v>
      </x:c>
      <x:c r="S1075" s="3" t="str">
        <x:v>不明</x:v>
      </x:c>
      <x:c r="T1075" s="3" t="str">
        <x:v>22-ปัจจุบัน</x:v>
      </x:c>
      <x:c r="U1075" s="28" t="n">
        <x:v>448000</x:v>
      </x:c>
      <x:c r="V1075" s="28" t="n">
        <x:v>539000</x:v>
      </x:c>
      <x:c r="W1075" s="3" t="str">
        <x:v>事故・水没・SOH・保証残は未確認</x:v>
      </x:c>
      <x:c r="X1075" s="3" t="str">
        <x:v>掲載中・在庫未確認</x:v>
      </x:c>
      <x:c r="Y1075" s="3" t="str"/>
      <x:c r="Z1075" s="27" t="str">
        <x:v>https://www.taladrod.com/w40/icar/cardet.aspx?cid=2906041</x:v>
      </x:c>
      <x:c r="AA1075" s="3" t="str">
        <x:v>Taladrod個別広告ID／Carsome在庫ID</x:v>
      </x:c>
      <x:c r="AB1075" s="3" t="str">
        <x:v>車台番号未取得／サイト間重複は未判定</x:v>
      </x:c>
      <x:c r="AC1075" s="3" t="str">
        <x:v>税込区分未確認（一覧表示額）</x:v>
      </x:c>
      <x:c r="AD1075" s="3" t="str"/>
      <x:c r="AE1075" s="29" t="str">
        <x:f>""</x:f>
      </x:c>
      <x:c r="AF1075" s="30" t="str">
        <x:f>IF(ISNUMBER(AE1075),U1075/AE1075,"")</x:f>
      </x:c>
      <x:c r="AG1075" s="29" t="str">
        <x:f>""</x:f>
      </x:c>
      <x:c r="AH1075" s="30" t="str">
        <x:f>IF(ISNUMBER(AG1075),U1075/AG1075,"")</x:f>
      </x:c>
      <x:c r="AI1075" s="3" t="str">
        <x:v>同年式・グレードの検証済み当時価格なし／登録年混在</x:v>
      </x:c>
      <x:c r="AJ1075" s="3" t="str">
        <x:v>一覧価格/年式のみ</x:v>
      </x:c>
      <x:c r="AK1075" s="3" t="str">
        <x:v>一覧の表示価格。年式は掲載年式。</x:v>
      </x:c>
      <x:c r="AL1075" s="31" t="n">
        <x:f>IF(AND(J1075&lt;='分析方法'!$B$7,OR(ISBLANK(O1075),O1075&gt;='分析方法'!$B$8),X1075&lt;&gt;"売却済み表示"),1,0)</x:f>
        <x:v>1</x:v>
      </x:c>
      <x:c r="AM1075" s="32" t="n">
        <x:f>IF(AL1075=1,U1075,"")</x:f>
        <x:v>448000</x:v>
      </x:c>
      <x:c r="AN1075" s="33" t="str">
        <x:f>IF(AL1075=1,AF1075,"")</x:f>
      </x:c>
      <x:c r="AO1075" s="31" t="n">
        <x:f>'分析方法'!$B$6-J1075</x:f>
        <x:v>2</x:v>
      </x:c>
      <x:c r="AP1075" s="3"/>
    </x:row>
    <x:row r="1076" ht="22" customHeight="1">
      <x:c r="A1076" s="3" t="str">
        <x:v>T2910412</x:v>
      </x:c>
      <x:c r="B1076" s="7" t="d">
        <x:v>2026-10-08T00:00:00.000Z</x:v>
      </x:c>
      <x:c r="C1076" s="3" t="str">
        <x:v>Taladrod</x:v>
      </x:c>
      <x:c r="D1076" s="3" t="str">
        <x:v>Toyota</x:v>
      </x:c>
      <x:c r="E1076" s="3" t="str">
        <x:v>日本</x:v>
      </x:c>
      <x:c r="F1076" s="3" t="str">
        <x:v>Yaris Ativ</x:v>
      </x:c>
      <x:c r="G1076" s="3" t="str">
        <x:v>ICE</x:v>
      </x:c>
      <x:c r="H1076" s="3" t="str">
        <x:v>Sedan</x:v>
      </x:c>
      <x:c r="I1076" s="3" t="str"/>
      <x:c r="J1076" s="3" t="n">
        <x:v>2024</x:v>
      </x:c>
      <x:c r="K1076" s="3" t="str">
        <x:v>1.2 SPORT</x:v>
      </x:c>
      <x:c r="L1076" s="3" t="str">
        <x:v>SPORT</x:v>
      </x:c>
      <x:c r="M1076" s="22"/>
      <x:c r="N1076" s="22"/>
      <x:c r="O1076" s="22"/>
      <x:c r="P1076" s="3" t="str">
        <x:v>未掲載</x:v>
      </x:c>
      <x:c r="Q1076" s="3" t="str">
        <x:v>未取得</x:v>
      </x:c>
      <x:c r="R1076" s="3" t="str">
        <x:v>Unknown</x:v>
      </x:c>
      <x:c r="S1076" s="3" t="str">
        <x:v>不明</x:v>
      </x:c>
      <x:c r="T1076" s="3" t="str">
        <x:v>22-ปัจจุบัน</x:v>
      </x:c>
      <x:c r="U1076" s="28" t="n">
        <x:v>379000</x:v>
      </x:c>
      <x:c r="V1076" s="28" t="n">
        <x:v>539000</x:v>
      </x:c>
      <x:c r="W1076" s="3" t="str">
        <x:v>事故・水没・SOH・保証残は未確認</x:v>
      </x:c>
      <x:c r="X1076" s="3" t="str">
        <x:v>掲載中・在庫未確認</x:v>
      </x:c>
      <x:c r="Y1076" s="3" t="str"/>
      <x:c r="Z1076" s="27" t="str">
        <x:v>https://www.taladrod.com/w40/icar/cardet.aspx?cid=2910412</x:v>
      </x:c>
      <x:c r="AA1076" s="3" t="str">
        <x:v>Taladrod個別広告ID／Carsome在庫ID</x:v>
      </x:c>
      <x:c r="AB1076" s="3" t="str">
        <x:v>車台番号未取得／サイト間重複は未判定</x:v>
      </x:c>
      <x:c r="AC1076" s="3" t="str">
        <x:v>税込区分未確認（一覧表示額）</x:v>
      </x:c>
      <x:c r="AD1076" s="3" t="str"/>
      <x:c r="AE1076" s="29" t="str">
        <x:f>""</x:f>
      </x:c>
      <x:c r="AF1076" s="30" t="str">
        <x:f>IF(ISNUMBER(AE1076),U1076/AE1076,"")</x:f>
      </x:c>
      <x:c r="AG1076" s="29" t="str">
        <x:f>""</x:f>
      </x:c>
      <x:c r="AH1076" s="30" t="str">
        <x:f>IF(ISNUMBER(AG1076),U1076/AG1076,"")</x:f>
      </x:c>
      <x:c r="AI1076" s="3" t="str">
        <x:v>同年式・グレードの検証済み当時価格なし／登録年混在</x:v>
      </x:c>
      <x:c r="AJ1076" s="3" t="str">
        <x:v>一覧価格/年式のみ</x:v>
      </x:c>
      <x:c r="AK1076" s="3" t="str">
        <x:v>一覧の表示価格。年式は掲載年式。</x:v>
      </x:c>
      <x:c r="AL1076" s="31" t="n">
        <x:f>IF(AND(J1076&lt;='分析方法'!$B$7,OR(ISBLANK(O1076),O1076&gt;='分析方法'!$B$8),X1076&lt;&gt;"売却済み表示"),1,0)</x:f>
        <x:v>1</x:v>
      </x:c>
      <x:c r="AM1076" s="32" t="n">
        <x:f>IF(AL1076=1,U1076,"")</x:f>
        <x:v>379000</x:v>
      </x:c>
      <x:c r="AN1076" s="33" t="str">
        <x:f>IF(AL1076=1,AF1076,"")</x:f>
      </x:c>
      <x:c r="AO1076" s="31" t="n">
        <x:f>'分析方法'!$B$6-J1076</x:f>
        <x:v>2</x:v>
      </x:c>
      <x:c r="AP1076" s="3"/>
    </x:row>
    <x:row r="1077" ht="22" customHeight="1">
      <x:c r="A1077" s="3" t="str">
        <x:v>T2924262</x:v>
      </x:c>
      <x:c r="B1077" s="7" t="d">
        <x:v>2026-10-08T00:00:00.000Z</x:v>
      </x:c>
      <x:c r="C1077" s="3" t="str">
        <x:v>Taladrod</x:v>
      </x:c>
      <x:c r="D1077" s="3" t="str">
        <x:v>Toyota</x:v>
      </x:c>
      <x:c r="E1077" s="3" t="str">
        <x:v>日本</x:v>
      </x:c>
      <x:c r="F1077" s="3" t="str">
        <x:v>Yaris Ativ</x:v>
      </x:c>
      <x:c r="G1077" s="3" t="str">
        <x:v>ICE</x:v>
      </x:c>
      <x:c r="H1077" s="3" t="str">
        <x:v>Sedan</x:v>
      </x:c>
      <x:c r="I1077" s="3" t="str"/>
      <x:c r="J1077" s="3" t="n">
        <x:v>2024</x:v>
      </x:c>
      <x:c r="K1077" s="3" t="str">
        <x:v>1.2 SPORT</x:v>
      </x:c>
      <x:c r="L1077" s="3" t="str">
        <x:v>SPORT</x:v>
      </x:c>
      <x:c r="M1077" s="22"/>
      <x:c r="N1077" s="22"/>
      <x:c r="O1077" s="22"/>
      <x:c r="P1077" s="3" t="str">
        <x:v>未掲載</x:v>
      </x:c>
      <x:c r="Q1077" s="3" t="str">
        <x:v>未取得</x:v>
      </x:c>
      <x:c r="R1077" s="3" t="str">
        <x:v>Unknown</x:v>
      </x:c>
      <x:c r="S1077" s="3" t="str">
        <x:v>不明</x:v>
      </x:c>
      <x:c r="T1077" s="3" t="str">
        <x:v>22-ปัจจุบัน</x:v>
      </x:c>
      <x:c r="U1077" s="28" t="n">
        <x:v>419000</x:v>
      </x:c>
      <x:c r="V1077" s="28" t="n">
        <x:v>539000</x:v>
      </x:c>
      <x:c r="W1077" s="3" t="str">
        <x:v>事故・水没・SOH・保証残は未確認</x:v>
      </x:c>
      <x:c r="X1077" s="3" t="str">
        <x:v>掲載中・在庫未確認</x:v>
      </x:c>
      <x:c r="Y1077" s="3" t="str"/>
      <x:c r="Z1077" s="27" t="str">
        <x:v>https://www.taladrod.com/w40/icar/cardet.aspx?cid=2924262</x:v>
      </x:c>
      <x:c r="AA1077" s="3" t="str">
        <x:v>Taladrod個別広告ID／Carsome在庫ID</x:v>
      </x:c>
      <x:c r="AB1077" s="3" t="str">
        <x:v>車台番号未取得／サイト間重複は未判定</x:v>
      </x:c>
      <x:c r="AC1077" s="3" t="str">
        <x:v>税込区分未確認（一覧表示額）</x:v>
      </x:c>
      <x:c r="AD1077" s="3" t="str"/>
      <x:c r="AE1077" s="29" t="str">
        <x:f>""</x:f>
      </x:c>
      <x:c r="AF1077" s="30" t="str">
        <x:f>IF(ISNUMBER(AE1077),U1077/AE1077,"")</x:f>
      </x:c>
      <x:c r="AG1077" s="29" t="str">
        <x:f>""</x:f>
      </x:c>
      <x:c r="AH1077" s="30" t="str">
        <x:f>IF(ISNUMBER(AG1077),U1077/AG1077,"")</x:f>
      </x:c>
      <x:c r="AI1077" s="3" t="str">
        <x:v>同年式・グレードの検証済み当時価格なし／登録年混在</x:v>
      </x:c>
      <x:c r="AJ1077" s="3" t="str">
        <x:v>一覧価格/年式のみ</x:v>
      </x:c>
      <x:c r="AK1077" s="3" t="str">
        <x:v>一覧の表示価格。年式は掲載年式。</x:v>
      </x:c>
      <x:c r="AL1077" s="31" t="n">
        <x:f>IF(AND(J1077&lt;='分析方法'!$B$7,OR(ISBLANK(O1077),O1077&gt;='分析方法'!$B$8),X1077&lt;&gt;"売却済み表示"),1,0)</x:f>
        <x:v>1</x:v>
      </x:c>
      <x:c r="AM1077" s="32" t="n">
        <x:f>IF(AL1077=1,U1077,"")</x:f>
        <x:v>419000</x:v>
      </x:c>
      <x:c r="AN1077" s="33" t="str">
        <x:f>IF(AL1077=1,AF1077,"")</x:f>
      </x:c>
      <x:c r="AO1077" s="31" t="n">
        <x:f>'分析方法'!$B$6-J1077</x:f>
        <x:v>2</x:v>
      </x:c>
      <x:c r="AP1077" s="3"/>
    </x:row>
    <x:row r="1078" ht="22" customHeight="1">
      <x:c r="A1078" s="3" t="str">
        <x:v>T2906627</x:v>
      </x:c>
      <x:c r="B1078" s="7" t="d">
        <x:v>2026-10-08T00:00:00.000Z</x:v>
      </x:c>
      <x:c r="C1078" s="3" t="str">
        <x:v>Taladrod</x:v>
      </x:c>
      <x:c r="D1078" s="3" t="str">
        <x:v>Toyota</x:v>
      </x:c>
      <x:c r="E1078" s="3" t="str">
        <x:v>日本</x:v>
      </x:c>
      <x:c r="F1078" s="3" t="str">
        <x:v>Yaris Ativ</x:v>
      </x:c>
      <x:c r="G1078" s="3" t="str">
        <x:v>ICE</x:v>
      </x:c>
      <x:c r="H1078" s="3" t="str">
        <x:v>Sedan</x:v>
      </x:c>
      <x:c r="I1078" s="3" t="str"/>
      <x:c r="J1078" s="3" t="n">
        <x:v>2025</x:v>
      </x:c>
      <x:c r="K1078" s="3" t="str">
        <x:v>1.2 NIGHTSHADE</x:v>
      </x:c>
      <x:c r="L1078" s="3" t="str">
        <x:v>NIGHTSHADE</x:v>
      </x:c>
      <x:c r="M1078" s="22"/>
      <x:c r="N1078" s="22"/>
      <x:c r="O1078" s="22"/>
      <x:c r="P1078" s="3" t="str">
        <x:v>未掲載</x:v>
      </x:c>
      <x:c r="Q1078" s="3" t="str">
        <x:v>未取得</x:v>
      </x:c>
      <x:c r="R1078" s="3" t="str">
        <x:v>Unknown</x:v>
      </x:c>
      <x:c r="S1078" s="3" t="str">
        <x:v>不明</x:v>
      </x:c>
      <x:c r="T1078" s="3" t="str">
        <x:v>22-ปัจจุบัน</x:v>
      </x:c>
      <x:c r="U1078" s="28" t="n">
        <x:v>559000</x:v>
      </x:c>
      <x:c r="V1078" s="28" t="n">
        <x:v>699000</x:v>
      </x:c>
      <x:c r="W1078" s="3" t="str">
        <x:v>事故・水没・SOH・保証残は未確認</x:v>
      </x:c>
      <x:c r="X1078" s="3" t="str">
        <x:v>掲載中・在庫未確認</x:v>
      </x:c>
      <x:c r="Y1078" s="3" t="str"/>
      <x:c r="Z1078" s="27" t="str">
        <x:v>https://www.taladrod.com/w40/icar/cardet.aspx?cid=2906627</x:v>
      </x:c>
      <x:c r="AA1078" s="3" t="str">
        <x:v>Taladrod個別広告ID／Carsome在庫ID</x:v>
      </x:c>
      <x:c r="AB1078" s="3" t="str">
        <x:v>車台番号未取得／サイト間重複は未判定</x:v>
      </x:c>
      <x:c r="AC1078" s="3" t="str">
        <x:v>税込区分未確認（一覧表示額）</x:v>
      </x:c>
      <x:c r="AD1078" s="3" t="str"/>
      <x:c r="AE1078" s="29" t="str">
        <x:f>""</x:f>
      </x:c>
      <x:c r="AF1078" s="30" t="str">
        <x:f>IF(ISNUMBER(AE1078),U1078/AE1078,"")</x:f>
      </x:c>
      <x:c r="AG1078" s="29" t="str">
        <x:f>""</x:f>
      </x:c>
      <x:c r="AH1078" s="30" t="str">
        <x:f>IF(ISNUMBER(AG1078),U1078/AG1078,"")</x:f>
      </x:c>
      <x:c r="AI1078" s="3" t="str">
        <x:v>同年式・グレードの検証済み当時価格なし／登録年混在</x:v>
      </x:c>
      <x:c r="AJ1078" s="3" t="str">
        <x:v>一覧価格/年式のみ</x:v>
      </x:c>
      <x:c r="AK1078" s="3" t="str">
        <x:v>一覧の表示価格。年式は掲載年式。</x:v>
      </x:c>
      <x:c r="AL1078" s="31" t="n">
        <x:f>IF(AND(J1078&lt;='分析方法'!$B$7,OR(ISBLANK(O1078),O1078&gt;='分析方法'!$B$8),X1078&lt;&gt;"売却済み表示"),1,0)</x:f>
        <x:v>1</x:v>
      </x:c>
      <x:c r="AM1078" s="32" t="n">
        <x:f>IF(AL1078=1,U1078,"")</x:f>
        <x:v>559000</x:v>
      </x:c>
      <x:c r="AN1078" s="33" t="str">
        <x:f>IF(AL1078=1,AF1078,"")</x:f>
      </x:c>
      <x:c r="AO1078" s="31" t="n">
        <x:f>'分析方法'!$B$6-J1078</x:f>
        <x:v>1</x:v>
      </x:c>
      <x:c r="AP1078" s="3"/>
    </x:row>
    <x:row r="1079" ht="22" customHeight="1">
      <x:c r="A1079" s="3" t="str">
        <x:v>T2911236</x:v>
      </x:c>
      <x:c r="B1079" s="7" t="d">
        <x:v>2026-10-08T00:00:00.000Z</x:v>
      </x:c>
      <x:c r="C1079" s="3" t="str">
        <x:v>Taladrod</x:v>
      </x:c>
      <x:c r="D1079" s="3" t="str">
        <x:v>Toyota</x:v>
      </x:c>
      <x:c r="E1079" s="3" t="str">
        <x:v>日本</x:v>
      </x:c>
      <x:c r="F1079" s="3" t="str">
        <x:v>Yaris Ativ</x:v>
      </x:c>
      <x:c r="G1079" s="3" t="str">
        <x:v>ICE</x:v>
      </x:c>
      <x:c r="H1079" s="3" t="str">
        <x:v>Sedan</x:v>
      </x:c>
      <x:c r="I1079" s="3" t="str"/>
      <x:c r="J1079" s="3" t="n">
        <x:v>2025</x:v>
      </x:c>
      <x:c r="K1079" s="3" t="str">
        <x:v>1.2 NIGHTSHADE</x:v>
      </x:c>
      <x:c r="L1079" s="3" t="str">
        <x:v>NIGHTSHADE</x:v>
      </x:c>
      <x:c r="M1079" s="22"/>
      <x:c r="N1079" s="22"/>
      <x:c r="O1079" s="22"/>
      <x:c r="P1079" s="3" t="str">
        <x:v>未掲載</x:v>
      </x:c>
      <x:c r="Q1079" s="3" t="str">
        <x:v>未取得</x:v>
      </x:c>
      <x:c r="R1079" s="3" t="str">
        <x:v>Unknown</x:v>
      </x:c>
      <x:c r="S1079" s="3" t="str">
        <x:v>不明</x:v>
      </x:c>
      <x:c r="T1079" s="3" t="str">
        <x:v>22-ปัจจุบัน</x:v>
      </x:c>
      <x:c r="U1079" s="28" t="n">
        <x:v>568000</x:v>
      </x:c>
      <x:c r="V1079" s="28" t="n">
        <x:v>699000</x:v>
      </x:c>
      <x:c r="W1079" s="3" t="str">
        <x:v>事故・水没・SOH・保証残は未確認</x:v>
      </x:c>
      <x:c r="X1079" s="3" t="str">
        <x:v>掲載中・在庫未確認</x:v>
      </x:c>
      <x:c r="Y1079" s="3" t="str"/>
      <x:c r="Z1079" s="27" t="str">
        <x:v>https://www.taladrod.com/w40/icar/cardet.aspx?cid=2911236</x:v>
      </x:c>
      <x:c r="AA1079" s="3" t="str">
        <x:v>Taladrod個別広告ID／Carsome在庫ID</x:v>
      </x:c>
      <x:c r="AB1079" s="3" t="str">
        <x:v>車台番号未取得／サイト間重複は未判定</x:v>
      </x:c>
      <x:c r="AC1079" s="3" t="str">
        <x:v>税込区分未確認（一覧表示額）</x:v>
      </x:c>
      <x:c r="AD1079" s="3" t="str"/>
      <x:c r="AE1079" s="29" t="str">
        <x:f>""</x:f>
      </x:c>
      <x:c r="AF1079" s="30" t="str">
        <x:f>IF(ISNUMBER(AE1079),U1079/AE1079,"")</x:f>
      </x:c>
      <x:c r="AG1079" s="29" t="str">
        <x:f>""</x:f>
      </x:c>
      <x:c r="AH1079" s="30" t="str">
        <x:f>IF(ISNUMBER(AG1079),U1079/AG1079,"")</x:f>
      </x:c>
      <x:c r="AI1079" s="3" t="str">
        <x:v>同年式・グレードの検証済み当時価格なし／登録年混在</x:v>
      </x:c>
      <x:c r="AJ1079" s="3" t="str">
        <x:v>一覧価格/年式のみ</x:v>
      </x:c>
      <x:c r="AK1079" s="3" t="str">
        <x:v>一覧の表示価格。年式は掲載年式。</x:v>
      </x:c>
      <x:c r="AL1079" s="31" t="n">
        <x:f>IF(AND(J1079&lt;='分析方法'!$B$7,OR(ISBLANK(O1079),O1079&gt;='分析方法'!$B$8),X1079&lt;&gt;"売却済み表示"),1,0)</x:f>
        <x:v>1</x:v>
      </x:c>
      <x:c r="AM1079" s="32" t="n">
        <x:f>IF(AL1079=1,U1079,"")</x:f>
        <x:v>568000</x:v>
      </x:c>
      <x:c r="AN1079" s="33" t="str">
        <x:f>IF(AL1079=1,AF1079,"")</x:f>
      </x:c>
      <x:c r="AO1079" s="31" t="n">
        <x:f>'分析方法'!$B$6-J1079</x:f>
        <x:v>1</x:v>
      </x:c>
      <x:c r="AP1079" s="3"/>
    </x:row>
    <x:row r="1080" ht="22" customHeight="1">
      <x:c r="A1080" s="3" t="str">
        <x:v>T2919271</x:v>
      </x:c>
      <x:c r="B1080" s="7" t="d">
        <x:v>2026-10-08T00:00:00.000Z</x:v>
      </x:c>
      <x:c r="C1080" s="3" t="str">
        <x:v>Taladrod</x:v>
      </x:c>
      <x:c r="D1080" s="3" t="str">
        <x:v>Toyota</x:v>
      </x:c>
      <x:c r="E1080" s="3" t="str">
        <x:v>日本</x:v>
      </x:c>
      <x:c r="F1080" s="3" t="str">
        <x:v>Yaris Ativ</x:v>
      </x:c>
      <x:c r="G1080" s="3" t="str">
        <x:v>ICE</x:v>
      </x:c>
      <x:c r="H1080" s="3" t="str">
        <x:v>Sedan</x:v>
      </x:c>
      <x:c r="I1080" s="3" t="str"/>
      <x:c r="J1080" s="3" t="n">
        <x:v>2025</x:v>
      </x:c>
      <x:c r="K1080" s="3" t="str">
        <x:v>1.2 PREMIUM</x:v>
      </x:c>
      <x:c r="L1080" s="3" t="str">
        <x:v>PREMIUM</x:v>
      </x:c>
      <x:c r="M1080" s="22"/>
      <x:c r="N1080" s="22"/>
      <x:c r="O1080" s="22"/>
      <x:c r="P1080" s="3" t="str">
        <x:v>未掲載</x:v>
      </x:c>
      <x:c r="Q1080" s="3" t="str">
        <x:v>未取得</x:v>
      </x:c>
      <x:c r="R1080" s="3" t="str">
        <x:v>Unknown</x:v>
      </x:c>
      <x:c r="S1080" s="3" t="str">
        <x:v>不明</x:v>
      </x:c>
      <x:c r="T1080" s="3" t="str">
        <x:v>22-ปัจจุบัน</x:v>
      </x:c>
      <x:c r="U1080" s="28" t="n">
        <x:v>484000</x:v>
      </x:c>
      <x:c r="V1080" s="28" t="n">
        <x:v>659000</x:v>
      </x:c>
      <x:c r="W1080" s="3" t="str">
        <x:v>事故・水没・SOH・保証残は未確認</x:v>
      </x:c>
      <x:c r="X1080" s="3" t="str">
        <x:v>掲載中・在庫未確認</x:v>
      </x:c>
      <x:c r="Y1080" s="3" t="str"/>
      <x:c r="Z1080" s="27" t="str">
        <x:v>https://www.taladrod.com/w40/icar/cardet.aspx?cid=2919271</x:v>
      </x:c>
      <x:c r="AA1080" s="3" t="str">
        <x:v>Taladrod個別広告ID／Carsome在庫ID</x:v>
      </x:c>
      <x:c r="AB1080" s="3" t="str">
        <x:v>車台番号未取得／サイト間重複は未判定</x:v>
      </x:c>
      <x:c r="AC1080" s="3" t="str">
        <x:v>税込区分未確認（一覧表示額）</x:v>
      </x:c>
      <x:c r="AD1080" s="3" t="str"/>
      <x:c r="AE1080" s="29" t="str">
        <x:f>""</x:f>
      </x:c>
      <x:c r="AF1080" s="30" t="str">
        <x:f>IF(ISNUMBER(AE1080),U1080/AE1080,"")</x:f>
      </x:c>
      <x:c r="AG1080" s="29" t="str">
        <x:f>""</x:f>
      </x:c>
      <x:c r="AH1080" s="30" t="str">
        <x:f>IF(ISNUMBER(AG1080),U1080/AG1080,"")</x:f>
      </x:c>
      <x:c r="AI1080" s="3" t="str">
        <x:v>同年式・グレードの検証済み当時価格なし／登録年混在</x:v>
      </x:c>
      <x:c r="AJ1080" s="3" t="str">
        <x:v>一覧価格/年式のみ</x:v>
      </x:c>
      <x:c r="AK1080" s="3" t="str">
        <x:v>一覧の表示価格。年式は掲載年式。</x:v>
      </x:c>
      <x:c r="AL1080" s="31" t="n">
        <x:f>IF(AND(J1080&lt;='分析方法'!$B$7,OR(ISBLANK(O1080),O1080&gt;='分析方法'!$B$8),X1080&lt;&gt;"売却済み表示"),1,0)</x:f>
        <x:v>1</x:v>
      </x:c>
      <x:c r="AM1080" s="32" t="n">
        <x:f>IF(AL1080=1,U1080,"")</x:f>
        <x:v>484000</x:v>
      </x:c>
      <x:c r="AN1080" s="33" t="str">
        <x:f>IF(AL1080=1,AF1080,"")</x:f>
      </x:c>
      <x:c r="AO1080" s="31" t="n">
        <x:f>'分析方法'!$B$6-J1080</x:f>
        <x:v>1</x:v>
      </x:c>
      <x:c r="AP1080" s="3"/>
    </x:row>
    <x:row r="1081" ht="22" customHeight="1">
      <x:c r="A1081" s="3" t="str">
        <x:v>T2921818</x:v>
      </x:c>
      <x:c r="B1081" s="7" t="d">
        <x:v>2026-10-08T00:00:00.000Z</x:v>
      </x:c>
      <x:c r="C1081" s="3" t="str">
        <x:v>Taladrod</x:v>
      </x:c>
      <x:c r="D1081" s="3" t="str">
        <x:v>Toyota</x:v>
      </x:c>
      <x:c r="E1081" s="3" t="str">
        <x:v>日本</x:v>
      </x:c>
      <x:c r="F1081" s="3" t="str">
        <x:v>Yaris Ativ</x:v>
      </x:c>
      <x:c r="G1081" s="3" t="str">
        <x:v>ICE</x:v>
      </x:c>
      <x:c r="H1081" s="3" t="str">
        <x:v>Sedan</x:v>
      </x:c>
      <x:c r="I1081" s="3" t="str"/>
      <x:c r="J1081" s="3" t="n">
        <x:v>2025</x:v>
      </x:c>
      <x:c r="K1081" s="3" t="str">
        <x:v>1.2 PREMIUM</x:v>
      </x:c>
      <x:c r="L1081" s="3" t="str">
        <x:v>PREMIUM</x:v>
      </x:c>
      <x:c r="M1081" s="22"/>
      <x:c r="N1081" s="22"/>
      <x:c r="O1081" s="22"/>
      <x:c r="P1081" s="3" t="str">
        <x:v>未掲載</x:v>
      </x:c>
      <x:c r="Q1081" s="3" t="str">
        <x:v>未取得</x:v>
      </x:c>
      <x:c r="R1081" s="3" t="str">
        <x:v>Unknown</x:v>
      </x:c>
      <x:c r="S1081" s="3" t="str">
        <x:v>不明</x:v>
      </x:c>
      <x:c r="T1081" s="3" t="str">
        <x:v>22-ปัจจุบัน</x:v>
      </x:c>
      <x:c r="U1081" s="28" t="n">
        <x:v>459000</x:v>
      </x:c>
      <x:c r="V1081" s="28" t="n">
        <x:v>659000</x:v>
      </x:c>
      <x:c r="W1081" s="3" t="str">
        <x:v>事故・水没・SOH・保証残は未確認</x:v>
      </x:c>
      <x:c r="X1081" s="3" t="str">
        <x:v>掲載中・在庫未確認</x:v>
      </x:c>
      <x:c r="Y1081" s="3" t="str"/>
      <x:c r="Z1081" s="27" t="str">
        <x:v>https://www.taladrod.com/w40/icar/cardet.aspx?cid=2921818</x:v>
      </x:c>
      <x:c r="AA1081" s="3" t="str">
        <x:v>Taladrod個別広告ID／Carsome在庫ID</x:v>
      </x:c>
      <x:c r="AB1081" s="3" t="str">
        <x:v>車台番号未取得／サイト間重複は未判定</x:v>
      </x:c>
      <x:c r="AC1081" s="3" t="str">
        <x:v>税込区分未確認（一覧表示額）</x:v>
      </x:c>
      <x:c r="AD1081" s="3" t="str"/>
      <x:c r="AE1081" s="29" t="str">
        <x:f>""</x:f>
      </x:c>
      <x:c r="AF1081" s="30" t="str">
        <x:f>IF(ISNUMBER(AE1081),U1081/AE1081,"")</x:f>
      </x:c>
      <x:c r="AG1081" s="29" t="str">
        <x:f>""</x:f>
      </x:c>
      <x:c r="AH1081" s="30" t="str">
        <x:f>IF(ISNUMBER(AG1081),U1081/AG1081,"")</x:f>
      </x:c>
      <x:c r="AI1081" s="3" t="str">
        <x:v>同年式・グレードの検証済み当時価格なし／登録年混在</x:v>
      </x:c>
      <x:c r="AJ1081" s="3" t="str">
        <x:v>一覧価格/年式のみ</x:v>
      </x:c>
      <x:c r="AK1081" s="3" t="str">
        <x:v>一覧の表示価格。年式は掲載年式。</x:v>
      </x:c>
      <x:c r="AL1081" s="31" t="n">
        <x:f>IF(AND(J1081&lt;='分析方法'!$B$7,OR(ISBLANK(O1081),O1081&gt;='分析方法'!$B$8),X1081&lt;&gt;"売却済み表示"),1,0)</x:f>
        <x:v>1</x:v>
      </x:c>
      <x:c r="AM1081" s="32" t="n">
        <x:f>IF(AL1081=1,U1081,"")</x:f>
        <x:v>459000</x:v>
      </x:c>
      <x:c r="AN1081" s="33" t="str">
        <x:f>IF(AL1081=1,AF1081,"")</x:f>
      </x:c>
      <x:c r="AO1081" s="31" t="n">
        <x:f>'分析方法'!$B$6-J1081</x:f>
        <x:v>1</x:v>
      </x:c>
      <x:c r="AP1081" s="3"/>
    </x:row>
    <x:row r="1082" ht="22" customHeight="1">
      <x:c r="A1082" s="3" t="str">
        <x:v>T2909964</x:v>
      </x:c>
      <x:c r="B1082" s="7" t="d">
        <x:v>2026-10-08T00:00:00.000Z</x:v>
      </x:c>
      <x:c r="C1082" s="3" t="str">
        <x:v>Taladrod</x:v>
      </x:c>
      <x:c r="D1082" s="3" t="str">
        <x:v>Toyota</x:v>
      </x:c>
      <x:c r="E1082" s="3" t="str">
        <x:v>日本</x:v>
      </x:c>
      <x:c r="F1082" s="3" t="str">
        <x:v>Yaris Ativ</x:v>
      </x:c>
      <x:c r="G1082" s="3" t="str">
        <x:v>ICE</x:v>
      </x:c>
      <x:c r="H1082" s="3" t="str">
        <x:v>Sedan</x:v>
      </x:c>
      <x:c r="I1082" s="3" t="str"/>
      <x:c r="J1082" s="3" t="n">
        <x:v>2025</x:v>
      </x:c>
      <x:c r="K1082" s="3" t="str">
        <x:v>1.2 PREMIUM LUXURY</x:v>
      </x:c>
      <x:c r="L1082" s="3" t="str">
        <x:v>PREMIUM LUXURY</x:v>
      </x:c>
      <x:c r="M1082" s="22"/>
      <x:c r="N1082" s="22"/>
      <x:c r="O1082" s="22"/>
      <x:c r="P1082" s="3" t="str">
        <x:v>未掲載</x:v>
      </x:c>
      <x:c r="Q1082" s="3" t="str">
        <x:v>未取得</x:v>
      </x:c>
      <x:c r="R1082" s="3" t="str">
        <x:v>Unknown</x:v>
      </x:c>
      <x:c r="S1082" s="3" t="str">
        <x:v>不明</x:v>
      </x:c>
      <x:c r="T1082" s="3" t="str">
        <x:v>22-ปัจจุบัน</x:v>
      </x:c>
      <x:c r="U1082" s="28" t="n">
        <x:v>559000</x:v>
      </x:c>
      <x:c r="V1082" s="28" t="n">
        <x:v>689000</x:v>
      </x:c>
      <x:c r="W1082" s="3" t="str">
        <x:v>事故・水没・SOH・保証残は未確認</x:v>
      </x:c>
      <x:c r="X1082" s="3" t="str">
        <x:v>掲載中・在庫未確認</x:v>
      </x:c>
      <x:c r="Y1082" s="3" t="str"/>
      <x:c r="Z1082" s="27" t="str">
        <x:v>https://www.taladrod.com/w40/icar/cardet.aspx?cid=2909964</x:v>
      </x:c>
      <x:c r="AA1082" s="3" t="str">
        <x:v>Taladrod個別広告ID／Carsome在庫ID</x:v>
      </x:c>
      <x:c r="AB1082" s="3" t="str">
        <x:v>車台番号未取得／サイト間重複は未判定</x:v>
      </x:c>
      <x:c r="AC1082" s="3" t="str">
        <x:v>税込区分未確認（一覧表示額）</x:v>
      </x:c>
      <x:c r="AD1082" s="3" t="str"/>
      <x:c r="AE1082" s="29" t="str">
        <x:f>""</x:f>
      </x:c>
      <x:c r="AF1082" s="30" t="str">
        <x:f>IF(ISNUMBER(AE1082),U1082/AE1082,"")</x:f>
      </x:c>
      <x:c r="AG1082" s="29" t="str">
        <x:f>""</x:f>
      </x:c>
      <x:c r="AH1082" s="30" t="str">
        <x:f>IF(ISNUMBER(AG1082),U1082/AG1082,"")</x:f>
      </x:c>
      <x:c r="AI1082" s="3" t="str">
        <x:v>同年式・グレードの検証済み当時価格なし／登録年混在</x:v>
      </x:c>
      <x:c r="AJ1082" s="3" t="str">
        <x:v>一覧価格/年式のみ</x:v>
      </x:c>
      <x:c r="AK1082" s="3" t="str">
        <x:v>一覧の表示価格。年式は掲載年式。</x:v>
      </x:c>
      <x:c r="AL1082" s="31" t="n">
        <x:f>IF(AND(J1082&lt;='分析方法'!$B$7,OR(ISBLANK(O1082),O1082&gt;='分析方法'!$B$8),X1082&lt;&gt;"売却済み表示"),1,0)</x:f>
        <x:v>1</x:v>
      </x:c>
      <x:c r="AM1082" s="32" t="n">
        <x:f>IF(AL1082=1,U1082,"")</x:f>
        <x:v>559000</x:v>
      </x:c>
      <x:c r="AN1082" s="33" t="str">
        <x:f>IF(AL1082=1,AF1082,"")</x:f>
      </x:c>
      <x:c r="AO1082" s="31" t="n">
        <x:f>'分析方法'!$B$6-J1082</x:f>
        <x:v>1</x:v>
      </x:c>
      <x:c r="AP1082" s="3"/>
    </x:row>
    <x:row r="1083" ht="22" customHeight="1">
      <x:c r="A1083" s="3" t="str">
        <x:v>T2912530</x:v>
      </x:c>
      <x:c r="B1083" s="7" t="d">
        <x:v>2026-10-08T00:00:00.000Z</x:v>
      </x:c>
      <x:c r="C1083" s="3" t="str">
        <x:v>Taladrod</x:v>
      </x:c>
      <x:c r="D1083" s="3" t="str">
        <x:v>Toyota</x:v>
      </x:c>
      <x:c r="E1083" s="3" t="str">
        <x:v>日本</x:v>
      </x:c>
      <x:c r="F1083" s="3" t="str">
        <x:v>Yaris Ativ</x:v>
      </x:c>
      <x:c r="G1083" s="3" t="str">
        <x:v>ICE</x:v>
      </x:c>
      <x:c r="H1083" s="3" t="str">
        <x:v>Sedan</x:v>
      </x:c>
      <x:c r="I1083" s="3" t="str"/>
      <x:c r="J1083" s="3" t="n">
        <x:v>2025</x:v>
      </x:c>
      <x:c r="K1083" s="3" t="str">
        <x:v>1.2 PREMIUM LUXURY</x:v>
      </x:c>
      <x:c r="L1083" s="3" t="str">
        <x:v>PREMIUM LUXURY</x:v>
      </x:c>
      <x:c r="M1083" s="22"/>
      <x:c r="N1083" s="22"/>
      <x:c r="O1083" s="22"/>
      <x:c r="P1083" s="3" t="str">
        <x:v>未掲載</x:v>
      </x:c>
      <x:c r="Q1083" s="3" t="str">
        <x:v>未取得</x:v>
      </x:c>
      <x:c r="R1083" s="3" t="str">
        <x:v>Unknown</x:v>
      </x:c>
      <x:c r="S1083" s="3" t="str">
        <x:v>不明</x:v>
      </x:c>
      <x:c r="T1083" s="3" t="str">
        <x:v>22-ปัจจุบัน</x:v>
      </x:c>
      <x:c r="U1083" s="28" t="n">
        <x:v>569000</x:v>
      </x:c>
      <x:c r="V1083" s="28" t="n">
        <x:v>689000</x:v>
      </x:c>
      <x:c r="W1083" s="3" t="str">
        <x:v>事故・水没・SOH・保証残は未確認</x:v>
      </x:c>
      <x:c r="X1083" s="3" t="str">
        <x:v>掲載中・在庫未確認</x:v>
      </x:c>
      <x:c r="Y1083" s="3" t="str"/>
      <x:c r="Z1083" s="27" t="str">
        <x:v>https://www.taladrod.com/w40/icar/cardet.aspx?cid=2912530</x:v>
      </x:c>
      <x:c r="AA1083" s="3" t="str">
        <x:v>Taladrod個別広告ID／Carsome在庫ID</x:v>
      </x:c>
      <x:c r="AB1083" s="3" t="str">
        <x:v>車台番号未取得／サイト間重複は未判定</x:v>
      </x:c>
      <x:c r="AC1083" s="3" t="str">
        <x:v>税込区分未確認（一覧表示額）</x:v>
      </x:c>
      <x:c r="AD1083" s="3" t="str"/>
      <x:c r="AE1083" s="29" t="str">
        <x:f>""</x:f>
      </x:c>
      <x:c r="AF1083" s="30" t="str">
        <x:f>IF(ISNUMBER(AE1083),U1083/AE1083,"")</x:f>
      </x:c>
      <x:c r="AG1083" s="29" t="str">
        <x:f>""</x:f>
      </x:c>
      <x:c r="AH1083" s="30" t="str">
        <x:f>IF(ISNUMBER(AG1083),U1083/AG1083,"")</x:f>
      </x:c>
      <x:c r="AI1083" s="3" t="str">
        <x:v>同年式・グレードの検証済み当時価格なし／登録年混在</x:v>
      </x:c>
      <x:c r="AJ1083" s="3" t="str">
        <x:v>一覧価格/年式のみ</x:v>
      </x:c>
      <x:c r="AK1083" s="3" t="str">
        <x:v>一覧の表示価格。年式は掲載年式。</x:v>
      </x:c>
      <x:c r="AL1083" s="31" t="n">
        <x:f>IF(AND(J1083&lt;='分析方法'!$B$7,OR(ISBLANK(O1083),O1083&gt;='分析方法'!$B$8),X1083&lt;&gt;"売却済み表示"),1,0)</x:f>
        <x:v>1</x:v>
      </x:c>
      <x:c r="AM1083" s="32" t="n">
        <x:f>IF(AL1083=1,U1083,"")</x:f>
        <x:v>569000</x:v>
      </x:c>
      <x:c r="AN1083" s="33" t="str">
        <x:f>IF(AL1083=1,AF1083,"")</x:f>
      </x:c>
      <x:c r="AO1083" s="31" t="n">
        <x:f>'分析方法'!$B$6-J1083</x:f>
        <x:v>1</x:v>
      </x:c>
      <x:c r="AP1083" s="3"/>
    </x:row>
    <x:row r="1084" ht="22" customHeight="1">
      <x:c r="A1084" s="3" t="str">
        <x:v>T2889991</x:v>
      </x:c>
      <x:c r="B1084" s="7" t="d">
        <x:v>2026-10-08T00:00:00.000Z</x:v>
      </x:c>
      <x:c r="C1084" s="3" t="str">
        <x:v>Taladrod</x:v>
      </x:c>
      <x:c r="D1084" s="3" t="str">
        <x:v>Toyota</x:v>
      </x:c>
      <x:c r="E1084" s="3" t="str">
        <x:v>日本</x:v>
      </x:c>
      <x:c r="F1084" s="3" t="str">
        <x:v>Yaris Ativ</x:v>
      </x:c>
      <x:c r="G1084" s="3" t="str">
        <x:v>ICE</x:v>
      </x:c>
      <x:c r="H1084" s="3" t="str">
        <x:v>Sedan</x:v>
      </x:c>
      <x:c r="I1084" s="3" t="str"/>
      <x:c r="J1084" s="3" t="n">
        <x:v>2025</x:v>
      </x:c>
      <x:c r="K1084" s="3" t="str">
        <x:v>1.2 SMART</x:v>
      </x:c>
      <x:c r="L1084" s="3" t="str">
        <x:v>SMART</x:v>
      </x:c>
      <x:c r="M1084" s="22"/>
      <x:c r="N1084" s="22"/>
      <x:c r="O1084" s="22"/>
      <x:c r="P1084" s="3" t="str">
        <x:v>未掲載</x:v>
      </x:c>
      <x:c r="Q1084" s="3" t="str">
        <x:v>未取得</x:v>
      </x:c>
      <x:c r="R1084" s="3" t="str">
        <x:v>Unknown</x:v>
      </x:c>
      <x:c r="S1084" s="3" t="str">
        <x:v>不明</x:v>
      </x:c>
      <x:c r="T1084" s="3" t="str">
        <x:v>22-ปัจจุบัน</x:v>
      </x:c>
      <x:c r="U1084" s="28" t="n">
        <x:v>475000</x:v>
      </x:c>
      <x:c r="V1084" s="28" t="n">
        <x:v>584000</x:v>
      </x:c>
      <x:c r="W1084" s="3" t="str">
        <x:v>事故・水没・SOH・保証残は未確認</x:v>
      </x:c>
      <x:c r="X1084" s="3" t="str">
        <x:v>掲載中・在庫未確認</x:v>
      </x:c>
      <x:c r="Y1084" s="3" t="str"/>
      <x:c r="Z1084" s="27" t="str">
        <x:v>https://www.taladrod.com/w40/icar/cardet.aspx?cid=2889991</x:v>
      </x:c>
      <x:c r="AA1084" s="3" t="str">
        <x:v>Taladrod個別広告ID／Carsome在庫ID</x:v>
      </x:c>
      <x:c r="AB1084" s="3" t="str">
        <x:v>車台番号未取得／サイト間重複は未判定</x:v>
      </x:c>
      <x:c r="AC1084" s="3" t="str">
        <x:v>税込区分未確認（一覧表示額）</x:v>
      </x:c>
      <x:c r="AD1084" s="3" t="str"/>
      <x:c r="AE1084" s="29" t="str">
        <x:f>""</x:f>
      </x:c>
      <x:c r="AF1084" s="30" t="str">
        <x:f>IF(ISNUMBER(AE1084),U1084/AE1084,"")</x:f>
      </x:c>
      <x:c r="AG1084" s="29" t="str">
        <x:f>""</x:f>
      </x:c>
      <x:c r="AH1084" s="30" t="str">
        <x:f>IF(ISNUMBER(AG1084),U1084/AG1084,"")</x:f>
      </x:c>
      <x:c r="AI1084" s="3" t="str">
        <x:v>同年式・グレードの検証済み当時価格なし／登録年混在</x:v>
      </x:c>
      <x:c r="AJ1084" s="3" t="str">
        <x:v>一覧価格/年式のみ</x:v>
      </x:c>
      <x:c r="AK1084" s="3" t="str">
        <x:v>一覧の表示価格。年式は掲載年式。</x:v>
      </x:c>
      <x:c r="AL1084" s="31" t="n">
        <x:f>IF(AND(J1084&lt;='分析方法'!$B$7,OR(ISBLANK(O1084),O1084&gt;='分析方法'!$B$8),X1084&lt;&gt;"売却済み表示"),1,0)</x:f>
        <x:v>1</x:v>
      </x:c>
      <x:c r="AM1084" s="32" t="n">
        <x:f>IF(AL1084=1,U1084,"")</x:f>
        <x:v>475000</x:v>
      </x:c>
      <x:c r="AN1084" s="33" t="str">
        <x:f>IF(AL1084=1,AF1084,"")</x:f>
      </x:c>
      <x:c r="AO1084" s="31" t="n">
        <x:f>'分析方法'!$B$6-J1084</x:f>
        <x:v>1</x:v>
      </x:c>
      <x:c r="AP1084" s="3"/>
    </x:row>
    <x:row r="1085" ht="22" customHeight="1">
      <x:c r="A1085" s="3" t="str">
        <x:v>T2908036</x:v>
      </x:c>
      <x:c r="B1085" s="7" t="d">
        <x:v>2026-10-08T00:00:00.000Z</x:v>
      </x:c>
      <x:c r="C1085" s="3" t="str">
        <x:v>Taladrod</x:v>
      </x:c>
      <x:c r="D1085" s="3" t="str">
        <x:v>Toyota</x:v>
      </x:c>
      <x:c r="E1085" s="3" t="str">
        <x:v>日本</x:v>
      </x:c>
      <x:c r="F1085" s="3" t="str">
        <x:v>Yaris Ativ</x:v>
      </x:c>
      <x:c r="G1085" s="3" t="str">
        <x:v>ICE</x:v>
      </x:c>
      <x:c r="H1085" s="3" t="str">
        <x:v>Sedan</x:v>
      </x:c>
      <x:c r="I1085" s="3" t="str"/>
      <x:c r="J1085" s="3" t="n">
        <x:v>2025</x:v>
      </x:c>
      <x:c r="K1085" s="3" t="str">
        <x:v>1.2 SMART</x:v>
      </x:c>
      <x:c r="L1085" s="3" t="str">
        <x:v>SMART</x:v>
      </x:c>
      <x:c r="M1085" s="22"/>
      <x:c r="N1085" s="22"/>
      <x:c r="O1085" s="22"/>
      <x:c r="P1085" s="3" t="str">
        <x:v>未掲載</x:v>
      </x:c>
      <x:c r="Q1085" s="3" t="str">
        <x:v>未取得</x:v>
      </x:c>
      <x:c r="R1085" s="3" t="str">
        <x:v>Unknown</x:v>
      </x:c>
      <x:c r="S1085" s="3" t="str">
        <x:v>不明</x:v>
      </x:c>
      <x:c r="T1085" s="3" t="str">
        <x:v>22-ปัจจุบัน</x:v>
      </x:c>
      <x:c r="U1085" s="28" t="n">
        <x:v>479000</x:v>
      </x:c>
      <x:c r="V1085" s="28" t="n">
        <x:v>584000</x:v>
      </x:c>
      <x:c r="W1085" s="3" t="str">
        <x:v>事故・水没・SOH・保証残は未確認</x:v>
      </x:c>
      <x:c r="X1085" s="3" t="str">
        <x:v>掲載中・在庫未確認</x:v>
      </x:c>
      <x:c r="Y1085" s="3" t="str"/>
      <x:c r="Z1085" s="27" t="str">
        <x:v>https://www.taladrod.com/w40/icar/cardet.aspx?cid=2908036</x:v>
      </x:c>
      <x:c r="AA1085" s="3" t="str">
        <x:v>Taladrod個別広告ID／Carsome在庫ID</x:v>
      </x:c>
      <x:c r="AB1085" s="3" t="str">
        <x:v>車台番号未取得／サイト間重複は未判定</x:v>
      </x:c>
      <x:c r="AC1085" s="3" t="str">
        <x:v>税込区分未確認（一覧表示額）</x:v>
      </x:c>
      <x:c r="AD1085" s="3" t="str"/>
      <x:c r="AE1085" s="29" t="str">
        <x:f>""</x:f>
      </x:c>
      <x:c r="AF1085" s="30" t="str">
        <x:f>IF(ISNUMBER(AE1085),U1085/AE1085,"")</x:f>
      </x:c>
      <x:c r="AG1085" s="29" t="str">
        <x:f>""</x:f>
      </x:c>
      <x:c r="AH1085" s="30" t="str">
        <x:f>IF(ISNUMBER(AG1085),U1085/AG1085,"")</x:f>
      </x:c>
      <x:c r="AI1085" s="3" t="str">
        <x:v>同年式・グレードの検証済み当時価格なし／登録年混在</x:v>
      </x:c>
      <x:c r="AJ1085" s="3" t="str">
        <x:v>一覧価格/年式のみ</x:v>
      </x:c>
      <x:c r="AK1085" s="3" t="str">
        <x:v>一覧の表示価格。年式は掲載年式。</x:v>
      </x:c>
      <x:c r="AL1085" s="31" t="n">
        <x:f>IF(AND(J1085&lt;='分析方法'!$B$7,OR(ISBLANK(O1085),O1085&gt;='分析方法'!$B$8),X1085&lt;&gt;"売却済み表示"),1,0)</x:f>
        <x:v>1</x:v>
      </x:c>
      <x:c r="AM1085" s="32" t="n">
        <x:f>IF(AL1085=1,U1085,"")</x:f>
        <x:v>479000</x:v>
      </x:c>
      <x:c r="AN1085" s="33" t="str">
        <x:f>IF(AL1085=1,AF1085,"")</x:f>
      </x:c>
      <x:c r="AO1085" s="31" t="n">
        <x:f>'分析方法'!$B$6-J1085</x:f>
        <x:v>1</x:v>
      </x:c>
      <x:c r="AP1085" s="3"/>
    </x:row>
    <x:row r="1086" ht="22" customHeight="1">
      <x:c r="A1086" s="3" t="str">
        <x:v>T2909555</x:v>
      </x:c>
      <x:c r="B1086" s="7" t="d">
        <x:v>2026-10-08T00:00:00.000Z</x:v>
      </x:c>
      <x:c r="C1086" s="3" t="str">
        <x:v>Taladrod</x:v>
      </x:c>
      <x:c r="D1086" s="3" t="str">
        <x:v>Toyota</x:v>
      </x:c>
      <x:c r="E1086" s="3" t="str">
        <x:v>日本</x:v>
      </x:c>
      <x:c r="F1086" s="3" t="str">
        <x:v>Yaris Ativ</x:v>
      </x:c>
      <x:c r="G1086" s="3" t="str">
        <x:v>ICE</x:v>
      </x:c>
      <x:c r="H1086" s="3" t="str">
        <x:v>Sedan</x:v>
      </x:c>
      <x:c r="I1086" s="3" t="str"/>
      <x:c r="J1086" s="3" t="n">
        <x:v>2025</x:v>
      </x:c>
      <x:c r="K1086" s="3" t="str">
        <x:v>1.2 SMART</x:v>
      </x:c>
      <x:c r="L1086" s="3" t="str">
        <x:v>SMART</x:v>
      </x:c>
      <x:c r="M1086" s="22"/>
      <x:c r="N1086" s="22"/>
      <x:c r="O1086" s="22"/>
      <x:c r="P1086" s="3" t="str">
        <x:v>未掲載</x:v>
      </x:c>
      <x:c r="Q1086" s="3" t="str">
        <x:v>未取得</x:v>
      </x:c>
      <x:c r="R1086" s="3" t="str">
        <x:v>Unknown</x:v>
      </x:c>
      <x:c r="S1086" s="3" t="str">
        <x:v>不明</x:v>
      </x:c>
      <x:c r="T1086" s="3" t="str">
        <x:v>22-ปัจจุบัน</x:v>
      </x:c>
      <x:c r="U1086" s="28" t="n">
        <x:v>499000</x:v>
      </x:c>
      <x:c r="V1086" s="28" t="n">
        <x:v>584000</x:v>
      </x:c>
      <x:c r="W1086" s="3" t="str">
        <x:v>事故・水没・SOH・保証残は未確認</x:v>
      </x:c>
      <x:c r="X1086" s="3" t="str">
        <x:v>掲載中・在庫未確認</x:v>
      </x:c>
      <x:c r="Y1086" s="3" t="str"/>
      <x:c r="Z1086" s="27" t="str">
        <x:v>https://www.taladrod.com/w40/icar/cardet.aspx?cid=2909555</x:v>
      </x:c>
      <x:c r="AA1086" s="3" t="str">
        <x:v>Taladrod個別広告ID／Carsome在庫ID</x:v>
      </x:c>
      <x:c r="AB1086" s="3" t="str">
        <x:v>車台番号未取得／サイト間重複は未判定</x:v>
      </x:c>
      <x:c r="AC1086" s="3" t="str">
        <x:v>税込区分未確認（一覧表示額）</x:v>
      </x:c>
      <x:c r="AD1086" s="3" t="str"/>
      <x:c r="AE1086" s="29" t="str">
        <x:f>""</x:f>
      </x:c>
      <x:c r="AF1086" s="30" t="str">
        <x:f>IF(ISNUMBER(AE1086),U1086/AE1086,"")</x:f>
      </x:c>
      <x:c r="AG1086" s="29" t="str">
        <x:f>""</x:f>
      </x:c>
      <x:c r="AH1086" s="30" t="str">
        <x:f>IF(ISNUMBER(AG1086),U1086/AG1086,"")</x:f>
      </x:c>
      <x:c r="AI1086" s="3" t="str">
        <x:v>同年式・グレードの検証済み当時価格なし／登録年混在</x:v>
      </x:c>
      <x:c r="AJ1086" s="3" t="str">
        <x:v>一覧価格/年式のみ</x:v>
      </x:c>
      <x:c r="AK1086" s="3" t="str">
        <x:v>一覧の表示価格。年式は掲載年式。</x:v>
      </x:c>
      <x:c r="AL1086" s="31" t="n">
        <x:f>IF(AND(J1086&lt;='分析方法'!$B$7,OR(ISBLANK(O1086),O1086&gt;='分析方法'!$B$8),X1086&lt;&gt;"売却済み表示"),1,0)</x:f>
        <x:v>1</x:v>
      </x:c>
      <x:c r="AM1086" s="32" t="n">
        <x:f>IF(AL1086=1,U1086,"")</x:f>
        <x:v>499000</x:v>
      </x:c>
      <x:c r="AN1086" s="33" t="str">
        <x:f>IF(AL1086=1,AF1086,"")</x:f>
      </x:c>
      <x:c r="AO1086" s="31" t="n">
        <x:f>'分析方法'!$B$6-J1086</x:f>
        <x:v>1</x:v>
      </x:c>
      <x:c r="AP1086" s="3"/>
    </x:row>
    <x:row r="1087" ht="22" customHeight="1">
      <x:c r="A1087" s="3" t="str">
        <x:v>T2918651</x:v>
      </x:c>
      <x:c r="B1087" s="7" t="d">
        <x:v>2026-10-08T00:00:00.000Z</x:v>
      </x:c>
      <x:c r="C1087" s="3" t="str">
        <x:v>Taladrod</x:v>
      </x:c>
      <x:c r="D1087" s="3" t="str">
        <x:v>Toyota</x:v>
      </x:c>
      <x:c r="E1087" s="3" t="str">
        <x:v>日本</x:v>
      </x:c>
      <x:c r="F1087" s="3" t="str">
        <x:v>Yaris Ativ</x:v>
      </x:c>
      <x:c r="G1087" s="3" t="str">
        <x:v>ICE</x:v>
      </x:c>
      <x:c r="H1087" s="3" t="str">
        <x:v>Sedan</x:v>
      </x:c>
      <x:c r="I1087" s="3" t="str"/>
      <x:c r="J1087" s="3" t="n">
        <x:v>2025</x:v>
      </x:c>
      <x:c r="K1087" s="3" t="str">
        <x:v>1.2 SMART</x:v>
      </x:c>
      <x:c r="L1087" s="3" t="str">
        <x:v>SMART</x:v>
      </x:c>
      <x:c r="M1087" s="22"/>
      <x:c r="N1087" s="22"/>
      <x:c r="O1087" s="22"/>
      <x:c r="P1087" s="3" t="str">
        <x:v>未掲載</x:v>
      </x:c>
      <x:c r="Q1087" s="3" t="str">
        <x:v>未取得</x:v>
      </x:c>
      <x:c r="R1087" s="3" t="str">
        <x:v>Unknown</x:v>
      </x:c>
      <x:c r="S1087" s="3" t="str">
        <x:v>不明</x:v>
      </x:c>
      <x:c r="T1087" s="3" t="str">
        <x:v>22-ปัจจุบัน</x:v>
      </x:c>
      <x:c r="U1087" s="28" t="n">
        <x:v>489000</x:v>
      </x:c>
      <x:c r="V1087" s="28" t="n">
        <x:v>584000</x:v>
      </x:c>
      <x:c r="W1087" s="3" t="str">
        <x:v>事故・水没・SOH・保証残は未確認</x:v>
      </x:c>
      <x:c r="X1087" s="3" t="str">
        <x:v>掲載中・在庫未確認</x:v>
      </x:c>
      <x:c r="Y1087" s="3" t="str"/>
      <x:c r="Z1087" s="27" t="str">
        <x:v>https://www.taladrod.com/w40/icar/cardet.aspx?cid=2918651</x:v>
      </x:c>
      <x:c r="AA1087" s="3" t="str">
        <x:v>Taladrod個別広告ID／Carsome在庫ID</x:v>
      </x:c>
      <x:c r="AB1087" s="3" t="str">
        <x:v>車台番号未取得／サイト間重複は未判定</x:v>
      </x:c>
      <x:c r="AC1087" s="3" t="str">
        <x:v>税込区分未確認（一覧表示額）</x:v>
      </x:c>
      <x:c r="AD1087" s="3" t="str"/>
      <x:c r="AE1087" s="29" t="str">
        <x:f>""</x:f>
      </x:c>
      <x:c r="AF1087" s="30" t="str">
        <x:f>IF(ISNUMBER(AE1087),U1087/AE1087,"")</x:f>
      </x:c>
      <x:c r="AG1087" s="29" t="str">
        <x:f>""</x:f>
      </x:c>
      <x:c r="AH1087" s="30" t="str">
        <x:f>IF(ISNUMBER(AG1087),U1087/AG1087,"")</x:f>
      </x:c>
      <x:c r="AI1087" s="3" t="str">
        <x:v>同年式・グレードの検証済み当時価格なし／登録年混在</x:v>
      </x:c>
      <x:c r="AJ1087" s="3" t="str">
        <x:v>一覧価格/年式のみ</x:v>
      </x:c>
      <x:c r="AK1087" s="3" t="str">
        <x:v>一覧の表示価格。年式は掲載年式。</x:v>
      </x:c>
      <x:c r="AL1087" s="31" t="n">
        <x:f>IF(AND(J1087&lt;='分析方法'!$B$7,OR(ISBLANK(O1087),O1087&gt;='分析方法'!$B$8),X1087&lt;&gt;"売却済み表示"),1,0)</x:f>
        <x:v>1</x:v>
      </x:c>
      <x:c r="AM1087" s="32" t="n">
        <x:f>IF(AL1087=1,U1087,"")</x:f>
        <x:v>489000</x:v>
      </x:c>
      <x:c r="AN1087" s="33" t="str">
        <x:f>IF(AL1087=1,AF1087,"")</x:f>
      </x:c>
      <x:c r="AO1087" s="31" t="n">
        <x:f>'分析方法'!$B$6-J1087</x:f>
        <x:v>1</x:v>
      </x:c>
      <x:c r="AP1087" s="3"/>
    </x:row>
    <x:row r="1088" ht="22" customHeight="1">
      <x:c r="A1088" s="3" t="str">
        <x:v>T2921542</x:v>
      </x:c>
      <x:c r="B1088" s="7" t="d">
        <x:v>2026-10-08T00:00:00.000Z</x:v>
      </x:c>
      <x:c r="C1088" s="3" t="str">
        <x:v>Taladrod</x:v>
      </x:c>
      <x:c r="D1088" s="3" t="str">
        <x:v>Toyota</x:v>
      </x:c>
      <x:c r="E1088" s="3" t="str">
        <x:v>日本</x:v>
      </x:c>
      <x:c r="F1088" s="3" t="str">
        <x:v>Yaris Ativ</x:v>
      </x:c>
      <x:c r="G1088" s="3" t="str">
        <x:v>ICE</x:v>
      </x:c>
      <x:c r="H1088" s="3" t="str">
        <x:v>Sedan</x:v>
      </x:c>
      <x:c r="I1088" s="3" t="str"/>
      <x:c r="J1088" s="3" t="n">
        <x:v>2025</x:v>
      </x:c>
      <x:c r="K1088" s="3" t="str">
        <x:v>1.2 SMART</x:v>
      </x:c>
      <x:c r="L1088" s="3" t="str">
        <x:v>SMART</x:v>
      </x:c>
      <x:c r="M1088" s="22"/>
      <x:c r="N1088" s="22"/>
      <x:c r="O1088" s="22"/>
      <x:c r="P1088" s="3" t="str">
        <x:v>未掲載</x:v>
      </x:c>
      <x:c r="Q1088" s="3" t="str">
        <x:v>未取得</x:v>
      </x:c>
      <x:c r="R1088" s="3" t="str">
        <x:v>Unknown</x:v>
      </x:c>
      <x:c r="S1088" s="3" t="str">
        <x:v>不明</x:v>
      </x:c>
      <x:c r="T1088" s="3" t="str">
        <x:v>22-ปัจจุบัน</x:v>
      </x:c>
      <x:c r="U1088" s="28" t="n">
        <x:v>459000</x:v>
      </x:c>
      <x:c r="V1088" s="28" t="n">
        <x:v>584000</x:v>
      </x:c>
      <x:c r="W1088" s="3" t="str">
        <x:v>事故・水没・SOH・保証残は未確認</x:v>
      </x:c>
      <x:c r="X1088" s="3" t="str">
        <x:v>掲載中・在庫未確認</x:v>
      </x:c>
      <x:c r="Y1088" s="3" t="str"/>
      <x:c r="Z1088" s="27" t="str">
        <x:v>https://www.taladrod.com/w40/icar/cardet.aspx?cid=2921542</x:v>
      </x:c>
      <x:c r="AA1088" s="3" t="str">
        <x:v>Taladrod個別広告ID／Carsome在庫ID</x:v>
      </x:c>
      <x:c r="AB1088" s="3" t="str">
        <x:v>車台番号未取得／サイト間重複は未判定</x:v>
      </x:c>
      <x:c r="AC1088" s="3" t="str">
        <x:v>税込区分未確認（一覧表示額）</x:v>
      </x:c>
      <x:c r="AD1088" s="3" t="str"/>
      <x:c r="AE1088" s="29" t="str">
        <x:f>""</x:f>
      </x:c>
      <x:c r="AF1088" s="30" t="str">
        <x:f>IF(ISNUMBER(AE1088),U1088/AE1088,"")</x:f>
      </x:c>
      <x:c r="AG1088" s="29" t="str">
        <x:f>""</x:f>
      </x:c>
      <x:c r="AH1088" s="30" t="str">
        <x:f>IF(ISNUMBER(AG1088),U1088/AG1088,"")</x:f>
      </x:c>
      <x:c r="AI1088" s="3" t="str">
        <x:v>同年式・グレードの検証済み当時価格なし／登録年混在</x:v>
      </x:c>
      <x:c r="AJ1088" s="3" t="str">
        <x:v>一覧価格/年式のみ</x:v>
      </x:c>
      <x:c r="AK1088" s="3" t="str">
        <x:v>一覧の表示価格。年式は掲載年式。</x:v>
      </x:c>
      <x:c r="AL1088" s="31" t="n">
        <x:f>IF(AND(J1088&lt;='分析方法'!$B$7,OR(ISBLANK(O1088),O1088&gt;='分析方法'!$B$8),X1088&lt;&gt;"売却済み表示"),1,0)</x:f>
        <x:v>1</x:v>
      </x:c>
      <x:c r="AM1088" s="32" t="n">
        <x:f>IF(AL1088=1,U1088,"")</x:f>
        <x:v>459000</x:v>
      </x:c>
      <x:c r="AN1088" s="33" t="str">
        <x:f>IF(AL1088=1,AF1088,"")</x:f>
      </x:c>
      <x:c r="AO1088" s="31" t="n">
        <x:f>'分析方法'!$B$6-J1088</x:f>
        <x:v>1</x:v>
      </x:c>
      <x:c r="AP1088" s="3"/>
    </x:row>
    <x:row r="1089" ht="22" customHeight="1">
      <x:c r="A1089" s="3" t="str">
        <x:v>T2921797</x:v>
      </x:c>
      <x:c r="B1089" s="7" t="d">
        <x:v>2026-10-08T00:00:00.000Z</x:v>
      </x:c>
      <x:c r="C1089" s="3" t="str">
        <x:v>Taladrod</x:v>
      </x:c>
      <x:c r="D1089" s="3" t="str">
        <x:v>Toyota</x:v>
      </x:c>
      <x:c r="E1089" s="3" t="str">
        <x:v>日本</x:v>
      </x:c>
      <x:c r="F1089" s="3" t="str">
        <x:v>Yaris Ativ</x:v>
      </x:c>
      <x:c r="G1089" s="3" t="str">
        <x:v>ICE</x:v>
      </x:c>
      <x:c r="H1089" s="3" t="str">
        <x:v>Sedan</x:v>
      </x:c>
      <x:c r="I1089" s="3" t="str"/>
      <x:c r="J1089" s="3" t="n">
        <x:v>2025</x:v>
      </x:c>
      <x:c r="K1089" s="3" t="str">
        <x:v>1.2 SMART</x:v>
      </x:c>
      <x:c r="L1089" s="3" t="str">
        <x:v>SMART</x:v>
      </x:c>
      <x:c r="M1089" s="22"/>
      <x:c r="N1089" s="22"/>
      <x:c r="O1089" s="22"/>
      <x:c r="P1089" s="3" t="str">
        <x:v>未掲載</x:v>
      </x:c>
      <x:c r="Q1089" s="3" t="str">
        <x:v>未取得</x:v>
      </x:c>
      <x:c r="R1089" s="3" t="str">
        <x:v>Unknown</x:v>
      </x:c>
      <x:c r="S1089" s="3" t="str">
        <x:v>不明</x:v>
      </x:c>
      <x:c r="T1089" s="3" t="str">
        <x:v>22-ปัจจุบัน</x:v>
      </x:c>
      <x:c r="U1089" s="28" t="n">
        <x:v>499000</x:v>
      </x:c>
      <x:c r="V1089" s="28" t="n">
        <x:v>584000</x:v>
      </x:c>
      <x:c r="W1089" s="3" t="str">
        <x:v>事故・水没・SOH・保証残は未確認</x:v>
      </x:c>
      <x:c r="X1089" s="3" t="str">
        <x:v>掲載中・在庫未確認</x:v>
      </x:c>
      <x:c r="Y1089" s="3" t="str"/>
      <x:c r="Z1089" s="27" t="str">
        <x:v>https://www.taladrod.com/w40/icar/cardet.aspx?cid=2921797</x:v>
      </x:c>
      <x:c r="AA1089" s="3" t="str">
        <x:v>Taladrod個別広告ID／Carsome在庫ID</x:v>
      </x:c>
      <x:c r="AB1089" s="3" t="str">
        <x:v>車台番号未取得／サイト間重複は未判定</x:v>
      </x:c>
      <x:c r="AC1089" s="3" t="str">
        <x:v>税込区分未確認（一覧表示額）</x:v>
      </x:c>
      <x:c r="AD1089" s="3" t="str"/>
      <x:c r="AE1089" s="29" t="str">
        <x:f>""</x:f>
      </x:c>
      <x:c r="AF1089" s="30" t="str">
        <x:f>IF(ISNUMBER(AE1089),U1089/AE1089,"")</x:f>
      </x:c>
      <x:c r="AG1089" s="29" t="str">
        <x:f>""</x:f>
      </x:c>
      <x:c r="AH1089" s="30" t="str">
        <x:f>IF(ISNUMBER(AG1089),U1089/AG1089,"")</x:f>
      </x:c>
      <x:c r="AI1089" s="3" t="str">
        <x:v>同年式・グレードの検証済み当時価格なし／登録年混在</x:v>
      </x:c>
      <x:c r="AJ1089" s="3" t="str">
        <x:v>一覧価格/年式のみ</x:v>
      </x:c>
      <x:c r="AK1089" s="3" t="str">
        <x:v>一覧の表示価格。年式は掲載年式。</x:v>
      </x:c>
      <x:c r="AL1089" s="31" t="n">
        <x:f>IF(AND(J1089&lt;='分析方法'!$B$7,OR(ISBLANK(O1089),O1089&gt;='分析方法'!$B$8),X1089&lt;&gt;"売却済み表示"),1,0)</x:f>
        <x:v>1</x:v>
      </x:c>
      <x:c r="AM1089" s="32" t="n">
        <x:f>IF(AL1089=1,U1089,"")</x:f>
        <x:v>499000</x:v>
      </x:c>
      <x:c r="AN1089" s="33" t="str">
        <x:f>IF(AL1089=1,AF1089,"")</x:f>
      </x:c>
      <x:c r="AO1089" s="31" t="n">
        <x:f>'分析方法'!$B$6-J1089</x:f>
        <x:v>1</x:v>
      </x:c>
      <x:c r="AP1089" s="3"/>
    </x:row>
    <x:row r="1090" ht="22" customHeight="1">
      <x:c r="A1090" s="3" t="str">
        <x:v>T2926012</x:v>
      </x:c>
      <x:c r="B1090" s="7" t="d">
        <x:v>2026-10-08T00:00:00.000Z</x:v>
      </x:c>
      <x:c r="C1090" s="3" t="str">
        <x:v>Taladrod</x:v>
      </x:c>
      <x:c r="D1090" s="3" t="str">
        <x:v>Toyota</x:v>
      </x:c>
      <x:c r="E1090" s="3" t="str">
        <x:v>日本</x:v>
      </x:c>
      <x:c r="F1090" s="3" t="str">
        <x:v>Yaris Ativ</x:v>
      </x:c>
      <x:c r="G1090" s="3" t="str">
        <x:v>ICE</x:v>
      </x:c>
      <x:c r="H1090" s="3" t="str">
        <x:v>Sedan</x:v>
      </x:c>
      <x:c r="I1090" s="3" t="str"/>
      <x:c r="J1090" s="3" t="n">
        <x:v>2025</x:v>
      </x:c>
      <x:c r="K1090" s="3" t="str">
        <x:v>1.2 SMART</x:v>
      </x:c>
      <x:c r="L1090" s="3" t="str">
        <x:v>SMART</x:v>
      </x:c>
      <x:c r="M1090" s="22"/>
      <x:c r="N1090" s="22"/>
      <x:c r="O1090" s="22"/>
      <x:c r="P1090" s="3" t="str">
        <x:v>未掲載</x:v>
      </x:c>
      <x:c r="Q1090" s="3" t="str">
        <x:v>未取得</x:v>
      </x:c>
      <x:c r="R1090" s="3" t="str">
        <x:v>Unknown</x:v>
      </x:c>
      <x:c r="S1090" s="3" t="str">
        <x:v>不明</x:v>
      </x:c>
      <x:c r="T1090" s="3" t="str">
        <x:v>22-ปัจจุบัน</x:v>
      </x:c>
      <x:c r="U1090" s="28" t="n">
        <x:v>450000</x:v>
      </x:c>
      <x:c r="V1090" s="28" t="n">
        <x:v>584000</x:v>
      </x:c>
      <x:c r="W1090" s="3" t="str">
        <x:v>事故・水没・SOH・保証残は未確認</x:v>
      </x:c>
      <x:c r="X1090" s="3" t="str">
        <x:v>掲載中・在庫未確認</x:v>
      </x:c>
      <x:c r="Y1090" s="3" t="str"/>
      <x:c r="Z1090" s="27" t="str">
        <x:v>https://www.taladrod.com/w40/icar/cardet.aspx?cid=2926012</x:v>
      </x:c>
      <x:c r="AA1090" s="3" t="str">
        <x:v>Taladrod個別広告ID／Carsome在庫ID</x:v>
      </x:c>
      <x:c r="AB1090" s="3" t="str">
        <x:v>車台番号未取得／サイト間重複は未判定</x:v>
      </x:c>
      <x:c r="AC1090" s="3" t="str">
        <x:v>税込区分未確認（一覧表示額）</x:v>
      </x:c>
      <x:c r="AD1090" s="3" t="str"/>
      <x:c r="AE1090" s="29" t="str">
        <x:f>""</x:f>
      </x:c>
      <x:c r="AF1090" s="30" t="str">
        <x:f>IF(ISNUMBER(AE1090),U1090/AE1090,"")</x:f>
      </x:c>
      <x:c r="AG1090" s="29" t="str">
        <x:f>""</x:f>
      </x:c>
      <x:c r="AH1090" s="30" t="str">
        <x:f>IF(ISNUMBER(AG1090),U1090/AG1090,"")</x:f>
      </x:c>
      <x:c r="AI1090" s="3" t="str">
        <x:v>同年式・グレードの検証済み当時価格なし／登録年混在</x:v>
      </x:c>
      <x:c r="AJ1090" s="3" t="str">
        <x:v>一覧価格/年式のみ</x:v>
      </x:c>
      <x:c r="AK1090" s="3" t="str">
        <x:v>一覧の表示価格。年式は掲載年式。</x:v>
      </x:c>
      <x:c r="AL1090" s="31" t="n">
        <x:f>IF(AND(J1090&lt;='分析方法'!$B$7,OR(ISBLANK(O1090),O1090&gt;='分析方法'!$B$8),X1090&lt;&gt;"売却済み表示"),1,0)</x:f>
        <x:v>1</x:v>
      </x:c>
      <x:c r="AM1090" s="32" t="n">
        <x:f>IF(AL1090=1,U1090,"")</x:f>
        <x:v>450000</x:v>
      </x:c>
      <x:c r="AN1090" s="33" t="str">
        <x:f>IF(AL1090=1,AF1090,"")</x:f>
      </x:c>
      <x:c r="AO1090" s="31" t="n">
        <x:f>'分析方法'!$B$6-J1090</x:f>
        <x:v>1</x:v>
      </x:c>
      <x:c r="AP1090" s="3"/>
    </x:row>
    <x:row r="1091" ht="22" customHeight="1">
      <x:c r="A1091" s="3" t="str">
        <x:v>T2926363</x:v>
      </x:c>
      <x:c r="B1091" s="7" t="d">
        <x:v>2026-10-08T00:00:00.000Z</x:v>
      </x:c>
      <x:c r="C1091" s="3" t="str">
        <x:v>Taladrod</x:v>
      </x:c>
      <x:c r="D1091" s="3" t="str">
        <x:v>Toyota</x:v>
      </x:c>
      <x:c r="E1091" s="3" t="str">
        <x:v>日本</x:v>
      </x:c>
      <x:c r="F1091" s="3" t="str">
        <x:v>Yaris Ativ</x:v>
      </x:c>
      <x:c r="G1091" s="3" t="str">
        <x:v>ICE</x:v>
      </x:c>
      <x:c r="H1091" s="3" t="str">
        <x:v>Sedan</x:v>
      </x:c>
      <x:c r="I1091" s="3" t="str"/>
      <x:c r="J1091" s="3" t="n">
        <x:v>2025</x:v>
      </x:c>
      <x:c r="K1091" s="3" t="str">
        <x:v>1.2 SMART</x:v>
      </x:c>
      <x:c r="L1091" s="3" t="str">
        <x:v>SMART</x:v>
      </x:c>
      <x:c r="M1091" s="22"/>
      <x:c r="N1091" s="22"/>
      <x:c r="O1091" s="22"/>
      <x:c r="P1091" s="3" t="str">
        <x:v>未掲載</x:v>
      </x:c>
      <x:c r="Q1091" s="3" t="str">
        <x:v>未取得</x:v>
      </x:c>
      <x:c r="R1091" s="3" t="str">
        <x:v>Unknown</x:v>
      </x:c>
      <x:c r="S1091" s="3" t="str">
        <x:v>不明</x:v>
      </x:c>
      <x:c r="T1091" s="3" t="str">
        <x:v>22-ปัจจุบัน</x:v>
      </x:c>
      <x:c r="U1091" s="28" t="n">
        <x:v>478000</x:v>
      </x:c>
      <x:c r="V1091" s="28" t="n">
        <x:v>584000</x:v>
      </x:c>
      <x:c r="W1091" s="3" t="str">
        <x:v>事故・水没・SOH・保証残は未確認</x:v>
      </x:c>
      <x:c r="X1091" s="3" t="str">
        <x:v>掲載中・在庫未確認</x:v>
      </x:c>
      <x:c r="Y1091" s="3" t="str"/>
      <x:c r="Z1091" s="27" t="str">
        <x:v>https://www.taladrod.com/w40/icar/cardet.aspx?cid=2926363</x:v>
      </x:c>
      <x:c r="AA1091" s="3" t="str">
        <x:v>Taladrod個別広告ID／Carsome在庫ID</x:v>
      </x:c>
      <x:c r="AB1091" s="3" t="str">
        <x:v>車台番号未取得／サイト間重複は未判定</x:v>
      </x:c>
      <x:c r="AC1091" s="3" t="str">
        <x:v>税込区分未確認（一覧表示額）</x:v>
      </x:c>
      <x:c r="AD1091" s="3" t="str"/>
      <x:c r="AE1091" s="29" t="str">
        <x:f>""</x:f>
      </x:c>
      <x:c r="AF1091" s="30" t="str">
        <x:f>IF(ISNUMBER(AE1091),U1091/AE1091,"")</x:f>
      </x:c>
      <x:c r="AG1091" s="29" t="str">
        <x:f>""</x:f>
      </x:c>
      <x:c r="AH1091" s="30" t="str">
        <x:f>IF(ISNUMBER(AG1091),U1091/AG1091,"")</x:f>
      </x:c>
      <x:c r="AI1091" s="3" t="str">
        <x:v>同年式・グレードの検証済み当時価格なし／登録年混在</x:v>
      </x:c>
      <x:c r="AJ1091" s="3" t="str">
        <x:v>一覧価格/年式のみ</x:v>
      </x:c>
      <x:c r="AK1091" s="3" t="str">
        <x:v>一覧の表示価格。年式は掲載年式。</x:v>
      </x:c>
      <x:c r="AL1091" s="31" t="n">
        <x:f>IF(AND(J1091&lt;='分析方法'!$B$7,OR(ISBLANK(O1091),O1091&gt;='分析方法'!$B$8),X1091&lt;&gt;"売却済み表示"),1,0)</x:f>
        <x:v>1</x:v>
      </x:c>
      <x:c r="AM1091" s="32" t="n">
        <x:f>IF(AL1091=1,U1091,"")</x:f>
        <x:v>478000</x:v>
      </x:c>
      <x:c r="AN1091" s="33" t="str">
        <x:f>IF(AL1091=1,AF1091,"")</x:f>
      </x:c>
      <x:c r="AO1091" s="31" t="n">
        <x:f>'分析方法'!$B$6-J1091</x:f>
        <x:v>1</x:v>
      </x:c>
      <x:c r="AP1091" s="3"/>
    </x:row>
    <x:row r="1092" ht="22" customHeight="1">
      <x:c r="A1092" s="3" t="str">
        <x:v>T2926065</x:v>
      </x:c>
      <x:c r="B1092" s="7" t="d">
        <x:v>2026-10-08T00:00:00.000Z</x:v>
      </x:c>
      <x:c r="C1092" s="3" t="str">
        <x:v>Taladrod</x:v>
      </x:c>
      <x:c r="D1092" s="3" t="str">
        <x:v>Toyota</x:v>
      </x:c>
      <x:c r="E1092" s="3" t="str">
        <x:v>日本</x:v>
      </x:c>
      <x:c r="F1092" s="3" t="str">
        <x:v>Yaris Ativ</x:v>
      </x:c>
      <x:c r="G1092" s="3" t="str">
        <x:v>ICE</x:v>
      </x:c>
      <x:c r="H1092" s="3" t="str">
        <x:v>Sedan</x:v>
      </x:c>
      <x:c r="I1092" s="3" t="str"/>
      <x:c r="J1092" s="3" t="n">
        <x:v>2025</x:v>
      </x:c>
      <x:c r="K1092" s="3" t="str">
        <x:v>1.2 SPORT</x:v>
      </x:c>
      <x:c r="L1092" s="3" t="str">
        <x:v>SPORT</x:v>
      </x:c>
      <x:c r="M1092" s="22"/>
      <x:c r="N1092" s="22"/>
      <x:c r="O1092" s="22"/>
      <x:c r="P1092" s="3" t="str">
        <x:v>未掲載</x:v>
      </x:c>
      <x:c r="Q1092" s="3" t="str">
        <x:v>未取得</x:v>
      </x:c>
      <x:c r="R1092" s="3" t="str">
        <x:v>Unknown</x:v>
      </x:c>
      <x:c r="S1092" s="3" t="str">
        <x:v>不明</x:v>
      </x:c>
      <x:c r="T1092" s="3" t="str">
        <x:v>22-ปัจจุบัน</x:v>
      </x:c>
      <x:c r="U1092" s="28" t="n">
        <x:v>459000</x:v>
      </x:c>
      <x:c r="V1092" s="28" t="n">
        <x:v>539000</x:v>
      </x:c>
      <x:c r="W1092" s="3" t="str">
        <x:v>事故・水没・SOH・保証残は未確認</x:v>
      </x:c>
      <x:c r="X1092" s="3" t="str">
        <x:v>掲載中・在庫未確認</x:v>
      </x:c>
      <x:c r="Y1092" s="3" t="str"/>
      <x:c r="Z1092" s="27" t="str">
        <x:v>https://www.taladrod.com/w40/icar/cardet.aspx?cid=2926065</x:v>
      </x:c>
      <x:c r="AA1092" s="3" t="str">
        <x:v>Taladrod個別広告ID／Carsome在庫ID</x:v>
      </x:c>
      <x:c r="AB1092" s="3" t="str">
        <x:v>車台番号未取得／サイト間重複は未判定</x:v>
      </x:c>
      <x:c r="AC1092" s="3" t="str">
        <x:v>税込区分未確認（一覧表示額）</x:v>
      </x:c>
      <x:c r="AD1092" s="3" t="str"/>
      <x:c r="AE1092" s="29" t="str">
        <x:f>""</x:f>
      </x:c>
      <x:c r="AF1092" s="30" t="str">
        <x:f>IF(ISNUMBER(AE1092),U1092/AE1092,"")</x:f>
      </x:c>
      <x:c r="AG1092" s="29" t="str">
        <x:f>""</x:f>
      </x:c>
      <x:c r="AH1092" s="30" t="str">
        <x:f>IF(ISNUMBER(AG1092),U1092/AG1092,"")</x:f>
      </x:c>
      <x:c r="AI1092" s="3" t="str">
        <x:v>同年式・グレードの検証済み当時価格なし／登録年混在</x:v>
      </x:c>
      <x:c r="AJ1092" s="3" t="str">
        <x:v>一覧価格/年式のみ</x:v>
      </x:c>
      <x:c r="AK1092" s="3" t="str">
        <x:v>一覧の表示価格。年式は掲載年式。</x:v>
      </x:c>
      <x:c r="AL1092" s="31" t="n">
        <x:f>IF(AND(J1092&lt;='分析方法'!$B$7,OR(ISBLANK(O1092),O1092&gt;='分析方法'!$B$8),X1092&lt;&gt;"売却済み表示"),1,0)</x:f>
        <x:v>1</x:v>
      </x:c>
      <x:c r="AM1092" s="32" t="n">
        <x:f>IF(AL1092=1,U1092,"")</x:f>
        <x:v>459000</x:v>
      </x:c>
      <x:c r="AN1092" s="33" t="str">
        <x:f>IF(AL1092=1,AF1092,"")</x:f>
      </x:c>
      <x:c r="AO1092" s="31" t="n">
        <x:f>'分析方法'!$B$6-J1092</x:f>
        <x:v>1</x:v>
      </x:c>
      <x:c r="AP1092" s="3"/>
    </x:row>
    <x:row r="1093" ht="22" customHeight="1">
      <x:c r="A1093" s="3" t="str">
        <x:v>T2924222</x:v>
      </x:c>
      <x:c r="B1093" s="7" t="d">
        <x:v>2026-10-08T00:00:00.000Z</x:v>
      </x:c>
      <x:c r="C1093" s="3" t="str">
        <x:v>Taladrod</x:v>
      </x:c>
      <x:c r="D1093" s="3" t="str">
        <x:v>Toyota</x:v>
      </x:c>
      <x:c r="E1093" s="3" t="str">
        <x:v>日本</x:v>
      </x:c>
      <x:c r="F1093" s="3" t="str">
        <x:v>Yaris Ativ</x:v>
      </x:c>
      <x:c r="G1093" s="3" t="str">
        <x:v>ICE</x:v>
      </x:c>
      <x:c r="H1093" s="3" t="str">
        <x:v>Sedan</x:v>
      </x:c>
      <x:c r="I1093" s="3" t="str"/>
      <x:c r="J1093" s="3" t="n">
        <x:v>2026</x:v>
      </x:c>
      <x:c r="K1093" s="3" t="str">
        <x:v>1.2 PREMIUM LUXURY</x:v>
      </x:c>
      <x:c r="L1093" s="3" t="str">
        <x:v>PREMIUM LUXURY</x:v>
      </x:c>
      <x:c r="M1093" s="22"/>
      <x:c r="N1093" s="22"/>
      <x:c r="O1093" s="22"/>
      <x:c r="P1093" s="3" t="str">
        <x:v>未掲載</x:v>
      </x:c>
      <x:c r="Q1093" s="3" t="str">
        <x:v>未取得</x:v>
      </x:c>
      <x:c r="R1093" s="3" t="str">
        <x:v>Unknown</x:v>
      </x:c>
      <x:c r="S1093" s="3" t="str">
        <x:v>不明</x:v>
      </x:c>
      <x:c r="T1093" s="3" t="str">
        <x:v>22-ปัจจุบัน</x:v>
      </x:c>
      <x:c r="U1093" s="28" t="n">
        <x:v>539000</x:v>
      </x:c>
      <x:c r="V1093" s="28" t="n">
        <x:v>689000</x:v>
      </x:c>
      <x:c r="W1093" s="3" t="str">
        <x:v>事故・水没・SOH・保証残は未確認</x:v>
      </x:c>
      <x:c r="X1093" s="3" t="str">
        <x:v>掲載中・在庫未確認</x:v>
      </x:c>
      <x:c r="Y1093" s="3" t="str"/>
      <x:c r="Z1093" s="27" t="str">
        <x:v>https://www.taladrod.com/w40/icar/cardet.aspx?cid=2924222</x:v>
      </x:c>
      <x:c r="AA1093" s="3" t="str">
        <x:v>Taladrod個別広告ID／Carsome在庫ID</x:v>
      </x:c>
      <x:c r="AB1093" s="3" t="str">
        <x:v>車台番号未取得／サイト間重複は未判定</x:v>
      </x:c>
      <x:c r="AC1093" s="3" t="str">
        <x:v>税込区分未確認（一覧表示額）</x:v>
      </x:c>
      <x:c r="AD1093" s="3" t="str"/>
      <x:c r="AE1093" s="29" t="str">
        <x:f>""</x:f>
      </x:c>
      <x:c r="AF1093" s="30" t="str">
        <x:f>IF(ISNUMBER(AE1093),U1093/AE1093,"")</x:f>
      </x:c>
      <x:c r="AG1093" s="29" t="str">
        <x:f>""</x:f>
      </x:c>
      <x:c r="AH1093" s="30" t="str">
        <x:f>IF(ISNUMBER(AG1093),U1093/AG1093,"")</x:f>
      </x:c>
      <x:c r="AI1093" s="3" t="str">
        <x:v>同年式・グレードの検証済み当時価格なし／登録年混在</x:v>
      </x:c>
      <x:c r="AJ1093" s="3" t="str">
        <x:v>一覧価格/年式のみ</x:v>
      </x:c>
      <x:c r="AK1093" s="3" t="str">
        <x:v>一覧の表示価格。年式は掲載年式。</x:v>
      </x:c>
      <x:c r="AL1093" s="31" t="n">
        <x:f>IF(AND(J1093&lt;='分析方法'!$B$7,OR(ISBLANK(O1093),O1093&gt;='分析方法'!$B$8),X1093&lt;&gt;"売却済み表示"),1,0)</x:f>
        <x:v>0</x:v>
      </x:c>
      <x:c r="AM1093" s="32" t="str">
        <x:f>IF(AL1093=1,U1093,"")</x:f>
      </x:c>
      <x:c r="AN1093" s="33" t="str">
        <x:f>IF(AL1093=1,AF1093,"")</x:f>
      </x:c>
      <x:c r="AO1093" s="31" t="n">
        <x:f>'分析方法'!$B$6-J1093</x:f>
        <x:v>0</x:v>
      </x:c>
      <x:c r="AP1093" s="3"/>
    </x:row>
    <x:row r="1094" ht="22" customHeight="1">
      <x:c r="A1094" s="3" t="str">
        <x:v>T2920381</x:v>
      </x:c>
      <x:c r="B1094" s="7" t="d">
        <x:v>2026-10-08T00:00:00.000Z</x:v>
      </x:c>
      <x:c r="C1094" s="3" t="str">
        <x:v>Taladrod</x:v>
      </x:c>
      <x:c r="D1094" s="3" t="str">
        <x:v>Toyota</x:v>
      </x:c>
      <x:c r="E1094" s="3" t="str">
        <x:v>日本</x:v>
      </x:c>
      <x:c r="F1094" s="3" t="str">
        <x:v>Yaris Ativ</x:v>
      </x:c>
      <x:c r="G1094" s="3" t="str">
        <x:v>ICE</x:v>
      </x:c>
      <x:c r="H1094" s="3" t="str">
        <x:v>Sedan</x:v>
      </x:c>
      <x:c r="I1094" s="3" t="str"/>
      <x:c r="J1094" s="3" t="n">
        <x:v>2026</x:v>
      </x:c>
      <x:c r="K1094" s="3" t="str">
        <x:v>1.2 SMART</x:v>
      </x:c>
      <x:c r="L1094" s="3" t="str">
        <x:v>SMART</x:v>
      </x:c>
      <x:c r="M1094" s="22"/>
      <x:c r="N1094" s="22"/>
      <x:c r="O1094" s="22"/>
      <x:c r="P1094" s="3" t="str">
        <x:v>未掲載</x:v>
      </x:c>
      <x:c r="Q1094" s="3" t="str">
        <x:v>未取得</x:v>
      </x:c>
      <x:c r="R1094" s="3" t="str">
        <x:v>Unknown</x:v>
      </x:c>
      <x:c r="S1094" s="3" t="str">
        <x:v>不明</x:v>
      </x:c>
      <x:c r="T1094" s="3" t="str">
        <x:v>22-ปัจจุบัน</x:v>
      </x:c>
      <x:c r="U1094" s="28" t="n">
        <x:v>499000</x:v>
      </x:c>
      <x:c r="V1094" s="28" t="n">
        <x:v>584000</x:v>
      </x:c>
      <x:c r="W1094" s="3" t="str">
        <x:v>事故・水没・SOH・保証残は未確認</x:v>
      </x:c>
      <x:c r="X1094" s="3" t="str">
        <x:v>掲載中・在庫未確認</x:v>
      </x:c>
      <x:c r="Y1094" s="3" t="str"/>
      <x:c r="Z1094" s="27" t="str">
        <x:v>https://www.taladrod.com/w40/icar/cardet.aspx?cid=2920381</x:v>
      </x:c>
      <x:c r="AA1094" s="3" t="str">
        <x:v>Taladrod個別広告ID／Carsome在庫ID</x:v>
      </x:c>
      <x:c r="AB1094" s="3" t="str">
        <x:v>車台番号未取得／サイト間重複は未判定</x:v>
      </x:c>
      <x:c r="AC1094" s="3" t="str">
        <x:v>税込区分未確認（一覧表示額）</x:v>
      </x:c>
      <x:c r="AD1094" s="3" t="str"/>
      <x:c r="AE1094" s="29" t="str">
        <x:f>""</x:f>
      </x:c>
      <x:c r="AF1094" s="30" t="str">
        <x:f>IF(ISNUMBER(AE1094),U1094/AE1094,"")</x:f>
      </x:c>
      <x:c r="AG1094" s="29" t="str">
        <x:f>""</x:f>
      </x:c>
      <x:c r="AH1094" s="30" t="str">
        <x:f>IF(ISNUMBER(AG1094),U1094/AG1094,"")</x:f>
      </x:c>
      <x:c r="AI1094" s="3" t="str">
        <x:v>同年式・グレードの検証済み当時価格なし／登録年混在</x:v>
      </x:c>
      <x:c r="AJ1094" s="3" t="str">
        <x:v>一覧価格/年式のみ</x:v>
      </x:c>
      <x:c r="AK1094" s="3" t="str">
        <x:v>一覧の表示価格。年式は掲載年式。</x:v>
      </x:c>
      <x:c r="AL1094" s="31" t="n">
        <x:f>IF(AND(J1094&lt;='分析方法'!$B$7,OR(ISBLANK(O1094),O1094&gt;='分析方法'!$B$8),X1094&lt;&gt;"売却済み表示"),1,0)</x:f>
        <x:v>0</x:v>
      </x:c>
      <x:c r="AM1094" s="32" t="str">
        <x:f>IF(AL1094=1,U1094,"")</x:f>
      </x:c>
      <x:c r="AN1094" s="33" t="str">
        <x:f>IF(AL1094=1,AF1094,"")</x:f>
      </x:c>
      <x:c r="AO1094" s="31" t="n">
        <x:f>'分析方法'!$B$6-J1094</x:f>
        <x:v>0</x:v>
      </x:c>
      <x:c r="AP1094" s="3"/>
    </x:row>
    <x:row r="1095" ht="22" customHeight="1">
      <x:c r="A1095" s="3" t="str">
        <x:v>T2920447</x:v>
      </x:c>
      <x:c r="B1095" s="7" t="d">
        <x:v>2026-10-08T00:00:00.000Z</x:v>
      </x:c>
      <x:c r="C1095" s="3" t="str">
        <x:v>Taladrod</x:v>
      </x:c>
      <x:c r="D1095" s="3" t="str">
        <x:v>Toyota</x:v>
      </x:c>
      <x:c r="E1095" s="3" t="str">
        <x:v>日本</x:v>
      </x:c>
      <x:c r="F1095" s="3" t="str">
        <x:v>Yaris Ativ</x:v>
      </x:c>
      <x:c r="G1095" s="3" t="str">
        <x:v>ICE</x:v>
      </x:c>
      <x:c r="H1095" s="3" t="str">
        <x:v>Sedan</x:v>
      </x:c>
      <x:c r="I1095" s="3" t="str"/>
      <x:c r="J1095" s="3" t="n">
        <x:v>2026</x:v>
      </x:c>
      <x:c r="K1095" s="3" t="str">
        <x:v>1.2 SPORT</x:v>
      </x:c>
      <x:c r="L1095" s="3" t="str">
        <x:v>SPORT</x:v>
      </x:c>
      <x:c r="M1095" s="22"/>
      <x:c r="N1095" s="22"/>
      <x:c r="O1095" s="22"/>
      <x:c r="P1095" s="3" t="str">
        <x:v>未掲載</x:v>
      </x:c>
      <x:c r="Q1095" s="3" t="str">
        <x:v>未取得</x:v>
      </x:c>
      <x:c r="R1095" s="3" t="str">
        <x:v>Unknown</x:v>
      </x:c>
      <x:c r="S1095" s="3" t="str">
        <x:v>不明</x:v>
      </x:c>
      <x:c r="T1095" s="3" t="str">
        <x:v>22-ปัจจุบัน</x:v>
      </x:c>
      <x:c r="U1095" s="28" t="n">
        <x:v>459000</x:v>
      </x:c>
      <x:c r="V1095" s="28" t="n">
        <x:v>539000</x:v>
      </x:c>
      <x:c r="W1095" s="3" t="str">
        <x:v>事故・水没・SOH・保証残は未確認</x:v>
      </x:c>
      <x:c r="X1095" s="3" t="str">
        <x:v>掲載中・在庫未確認</x:v>
      </x:c>
      <x:c r="Y1095" s="3" t="str"/>
      <x:c r="Z1095" s="27" t="str">
        <x:v>https://www.taladrod.com/w40/icar/cardet.aspx?cid=2920447</x:v>
      </x:c>
      <x:c r="AA1095" s="3" t="str">
        <x:v>Taladrod個別広告ID／Carsome在庫ID</x:v>
      </x:c>
      <x:c r="AB1095" s="3" t="str">
        <x:v>車台番号未取得／サイト間重複は未判定</x:v>
      </x:c>
      <x:c r="AC1095" s="3" t="str">
        <x:v>税込区分未確認（一覧表示額）</x:v>
      </x:c>
      <x:c r="AD1095" s="3" t="str"/>
      <x:c r="AE1095" s="29" t="str">
        <x:f>""</x:f>
      </x:c>
      <x:c r="AF1095" s="30" t="str">
        <x:f>IF(ISNUMBER(AE1095),U1095/AE1095,"")</x:f>
      </x:c>
      <x:c r="AG1095" s="29" t="str">
        <x:f>""</x:f>
      </x:c>
      <x:c r="AH1095" s="30" t="str">
        <x:f>IF(ISNUMBER(AG1095),U1095/AG1095,"")</x:f>
      </x:c>
      <x:c r="AI1095" s="3" t="str">
        <x:v>同年式・グレードの検証済み当時価格なし／登録年混在</x:v>
      </x:c>
      <x:c r="AJ1095" s="3" t="str">
        <x:v>一覧価格/年式のみ</x:v>
      </x:c>
      <x:c r="AK1095" s="3" t="str">
        <x:v>一覧の表示価格。年式は掲載年式。</x:v>
      </x:c>
      <x:c r="AL1095" s="31" t="n">
        <x:f>IF(AND(J1095&lt;='分析方法'!$B$7,OR(ISBLANK(O1095),O1095&gt;='分析方法'!$B$8),X1095&lt;&gt;"売却済み表示"),1,0)</x:f>
        <x:v>0</x:v>
      </x:c>
      <x:c r="AM1095" s="32" t="str">
        <x:f>IF(AL1095=1,U1095,"")</x:f>
      </x:c>
      <x:c r="AN1095" s="33" t="str">
        <x:f>IF(AL1095=1,AF1095,"")</x:f>
      </x:c>
      <x:c r="AO1095" s="31" t="n">
        <x:f>'分析方法'!$B$6-J1095</x:f>
        <x:v>0</x:v>
      </x:c>
      <x:c r="AP1095" s="3"/>
    </x:row>
    <x:row r="1096" ht="22" customHeight="1">
      <x:c r="A1096" s="3" t="str">
        <x:v>T2926274</x:v>
      </x:c>
      <x:c r="B1096" s="7" t="d">
        <x:v>2026-10-08T00:00:00.000Z</x:v>
      </x:c>
      <x:c r="C1096" s="3" t="str">
        <x:v>Taladrod</x:v>
      </x:c>
      <x:c r="D1096" s="3" t="str">
        <x:v>Toyota</x:v>
      </x:c>
      <x:c r="E1096" s="3" t="str">
        <x:v>日本</x:v>
      </x:c>
      <x:c r="F1096" s="3" t="str">
        <x:v>Yaris Ativ</x:v>
      </x:c>
      <x:c r="G1096" s="3" t="str">
        <x:v>不明</x:v>
      </x:c>
      <x:c r="H1096" s="3" t="str">
        <x:v>Sedan</x:v>
      </x:c>
      <x:c r="I1096" s="3" t="str"/>
      <x:c r="J1096" s="3" t="n">
        <x:v>2022</x:v>
      </x:c>
      <x:c r="K1096" s="3" t="str">
        <x:v></x:v>
      </x:c>
      <x:c r="L1096" s="3" t="str">
        <x:v>グレード不明</x:v>
      </x:c>
      <x:c r="M1096" s="22"/>
      <x:c r="N1096" s="22"/>
      <x:c r="O1096" s="22"/>
      <x:c r="P1096" s="3" t="str">
        <x:v>未掲載</x:v>
      </x:c>
      <x:c r="Q1096" s="3" t="str">
        <x:v>未取得</x:v>
      </x:c>
      <x:c r="R1096" s="3" t="str">
        <x:v>Unknown</x:v>
      </x:c>
      <x:c r="S1096" s="3" t="str">
        <x:v>不明</x:v>
      </x:c>
      <x:c r="T1096" s="3" t="str">
        <x:v>22-ปัจจุบัน</x:v>
      </x:c>
      <x:c r="U1096" s="28" t="n">
        <x:v>390000</x:v>
      </x:c>
      <x:c r="V1096" s="28"/>
      <x:c r="W1096" s="3" t="str">
        <x:v>事故・水没・SOH・保証残は未確認</x:v>
      </x:c>
      <x:c r="X1096" s="3" t="str">
        <x:v>掲載中・在庫未確認</x:v>
      </x:c>
      <x:c r="Y1096" s="3" t="str"/>
      <x:c r="Z1096" s="27" t="str">
        <x:v>https://www.taladrod.com/w40/icar/cardet.aspx?cid=2926274</x:v>
      </x:c>
      <x:c r="AA1096" s="3" t="str">
        <x:v>Taladrod個別広告ID／Carsome在庫ID</x:v>
      </x:c>
      <x:c r="AB1096" s="3" t="str">
        <x:v>車台番号未取得／サイト間重複は未判定</x:v>
      </x:c>
      <x:c r="AC1096" s="3" t="str">
        <x:v>税込区分未確認（一覧表示額）</x:v>
      </x:c>
      <x:c r="AD1096" s="3" t="str"/>
      <x:c r="AE1096" s="29" t="str">
        <x:f>""</x:f>
      </x:c>
      <x:c r="AF1096" s="30" t="str">
        <x:f>IF(ISNUMBER(AE1096),U1096/AE1096,"")</x:f>
      </x:c>
      <x:c r="AG1096" s="29" t="str">
        <x:f>""</x:f>
      </x:c>
      <x:c r="AH1096" s="30" t="str">
        <x:f>IF(ISNUMBER(AG1096),U1096/AG1096,"")</x:f>
      </x:c>
      <x:c r="AI1096" s="3" t="str">
        <x:v>同年式・グレードの検証済み当時価格なし／登録年混在</x:v>
      </x:c>
      <x:c r="AJ1096" s="3" t="str">
        <x:v>一覧価格/年式のみ</x:v>
      </x:c>
      <x:c r="AK1096" s="3" t="str">
        <x:v>一覧の表示価格。年式は掲載年式。</x:v>
      </x:c>
      <x:c r="AL1096" s="31" t="n">
        <x:f>IF(AND(J1096&lt;='分析方法'!$B$7,OR(ISBLANK(O1096),O1096&gt;='分析方法'!$B$8),X1096&lt;&gt;"売却済み表示"),1,0)</x:f>
        <x:v>1</x:v>
      </x:c>
      <x:c r="AM1096" s="32" t="n">
        <x:f>IF(AL1096=1,U1096,"")</x:f>
        <x:v>390000</x:v>
      </x:c>
      <x:c r="AN1096" s="33" t="str">
        <x:f>IF(AL1096=1,AF1096,"")</x:f>
      </x:c>
      <x:c r="AO1096" s="31" t="n">
        <x:f>'分析方法'!$B$6-J1096</x:f>
        <x:v>4</x:v>
      </x:c>
      <x:c r="AP1096" s="3"/>
    </x:row>
    <x:row r="1097" ht="22" customHeight="1">
      <x:c r="A1097" s="3" t="str">
        <x:v>T2909226</x:v>
      </x:c>
      <x:c r="B1097" s="7" t="d">
        <x:v>2026-10-08T00:00:00.000Z</x:v>
      </x:c>
      <x:c r="C1097" s="3" t="str">
        <x:v>Taladrod</x:v>
      </x:c>
      <x:c r="D1097" s="3" t="str">
        <x:v>Toyota</x:v>
      </x:c>
      <x:c r="E1097" s="3" t="str">
        <x:v>日本</x:v>
      </x:c>
      <x:c r="F1097" s="3" t="str">
        <x:v>Yaris Cross</x:v>
      </x:c>
      <x:c r="G1097" s="3" t="str">
        <x:v>HEV</x:v>
      </x:c>
      <x:c r="H1097" s="3" t="str">
        <x:v>SUV</x:v>
      </x:c>
      <x:c r="I1097" s="3" t="str"/>
      <x:c r="J1097" s="3" t="n">
        <x:v>2023</x:v>
      </x:c>
      <x:c r="K1097" s="3" t="str">
        <x:v>1.5 HEV PREMIUM</x:v>
      </x:c>
      <x:c r="L1097" s="3" t="str">
        <x:v>1.5 HEV PREMIUM</x:v>
      </x:c>
      <x:c r="M1097" s="22"/>
      <x:c r="N1097" s="22"/>
      <x:c r="O1097" s="22"/>
      <x:c r="P1097" s="3" t="str">
        <x:v>未掲載</x:v>
      </x:c>
      <x:c r="Q1097" s="3" t="str">
        <x:v>未取得</x:v>
      </x:c>
      <x:c r="R1097" s="3" t="str">
        <x:v>Unknown</x:v>
      </x:c>
      <x:c r="S1097" s="3" t="str">
        <x:v>不明</x:v>
      </x:c>
      <x:c r="T1097" s="3" t="str">
        <x:v>23-ปัจจุบัน</x:v>
      </x:c>
      <x:c r="U1097" s="28" t="n">
        <x:v>604000</x:v>
      </x:c>
      <x:c r="V1097" s="28" t="n">
        <x:v>849000</x:v>
      </x:c>
      <x:c r="W1097" s="3" t="str">
        <x:v>事故・水没・SOH・保証残は未確認</x:v>
      </x:c>
      <x:c r="X1097" s="3" t="str">
        <x:v>掲載中・在庫未確認</x:v>
      </x:c>
      <x:c r="Y1097" s="3" t="str"/>
      <x:c r="Z1097" s="27" t="str">
        <x:v>https://www.taladrod.com/w40/icar/cardet.aspx?cid=2909226</x:v>
      </x:c>
      <x:c r="AA1097" s="3" t="str">
        <x:v>Taladrod個別広告ID／Carsome在庫ID</x:v>
      </x:c>
      <x:c r="AB1097" s="3" t="str">
        <x:v>車台番号未取得／サイト間重複は未判定</x:v>
      </x:c>
      <x:c r="AC1097" s="3" t="str">
        <x:v>税込区分未確認（一覧表示額）</x:v>
      </x:c>
      <x:c r="AD1097" s="3" t="str"/>
      <x:c r="AE1097" s="29" t="str">
        <x:f>""</x:f>
      </x:c>
      <x:c r="AF1097" s="30" t="str">
        <x:f>IF(ISNUMBER(AE1097),U1097/AE1097,"")</x:f>
      </x:c>
      <x:c r="AG1097" s="29" t="str">
        <x:f>""</x:f>
      </x:c>
      <x:c r="AH1097" s="30" t="str">
        <x:f>IF(ISNUMBER(AG1097),U1097/AG1097,"")</x:f>
      </x:c>
      <x:c r="AI1097" s="3" t="str">
        <x:v>同年式・グレードの検証済み当時価格なし／登録年混在</x:v>
      </x:c>
      <x:c r="AJ1097" s="3" t="str">
        <x:v>一覧価格/年式のみ</x:v>
      </x:c>
      <x:c r="AK1097" s="3" t="str">
        <x:v>一覧の表示価格。年式は掲載年式。</x:v>
      </x:c>
      <x:c r="AL1097" s="31" t="n">
        <x:f>IF(AND(J1097&lt;='分析方法'!$B$7,OR(ISBLANK(O1097),O1097&gt;='分析方法'!$B$8),X1097&lt;&gt;"売却済み表示"),1,0)</x:f>
        <x:v>1</x:v>
      </x:c>
      <x:c r="AM1097" s="32" t="n">
        <x:f>IF(AL1097=1,U1097,"")</x:f>
        <x:v>604000</x:v>
      </x:c>
      <x:c r="AN1097" s="33" t="str">
        <x:f>IF(AL1097=1,AF1097,"")</x:f>
      </x:c>
      <x:c r="AO1097" s="31" t="n">
        <x:f>'分析方法'!$B$6-J1097</x:f>
        <x:v>3</x:v>
      </x:c>
      <x:c r="AP1097" s="3"/>
    </x:row>
    <x:row r="1098" ht="22" customHeight="1">
      <x:c r="A1098" s="3" t="str">
        <x:v>T2895116</x:v>
      </x:c>
      <x:c r="B1098" s="7" t="d">
        <x:v>2026-10-08T00:00:00.000Z</x:v>
      </x:c>
      <x:c r="C1098" s="3" t="str">
        <x:v>Taladrod</x:v>
      </x:c>
      <x:c r="D1098" s="3" t="str">
        <x:v>Toyota</x:v>
      </x:c>
      <x:c r="E1098" s="3" t="str">
        <x:v>日本</x:v>
      </x:c>
      <x:c r="F1098" s="3" t="str">
        <x:v>Yaris Cross</x:v>
      </x:c>
      <x:c r="G1098" s="3" t="str">
        <x:v>HEV</x:v>
      </x:c>
      <x:c r="H1098" s="3" t="str">
        <x:v>SUV</x:v>
      </x:c>
      <x:c r="I1098" s="3" t="str"/>
      <x:c r="J1098" s="3" t="n">
        <x:v>2023</x:v>
      </x:c>
      <x:c r="K1098" s="3" t="str">
        <x:v>1.5 HEV PREMIUM LUXURY</x:v>
      </x:c>
      <x:c r="L1098" s="3" t="str">
        <x:v>1.5 HEV PREMIUM LUXURY</x:v>
      </x:c>
      <x:c r="M1098" s="22"/>
      <x:c r="N1098" s="22"/>
      <x:c r="O1098" s="22"/>
      <x:c r="P1098" s="3" t="str">
        <x:v>未掲載</x:v>
      </x:c>
      <x:c r="Q1098" s="3" t="str">
        <x:v>未取得</x:v>
      </x:c>
      <x:c r="R1098" s="3" t="str">
        <x:v>Unknown</x:v>
      </x:c>
      <x:c r="S1098" s="3" t="str">
        <x:v>不明</x:v>
      </x:c>
      <x:c r="T1098" s="3" t="str">
        <x:v>23-ปัจจุบัน</x:v>
      </x:c>
      <x:c r="U1098" s="28" t="n">
        <x:v>699000</x:v>
      </x:c>
      <x:c r="V1098" s="28" t="n">
        <x:v>899000</x:v>
      </x:c>
      <x:c r="W1098" s="3" t="str">
        <x:v>事故・水没・SOH・保証残は未確認</x:v>
      </x:c>
      <x:c r="X1098" s="3" t="str">
        <x:v>掲載中・在庫未確認</x:v>
      </x:c>
      <x:c r="Y1098" s="3" t="str"/>
      <x:c r="Z1098" s="27" t="str">
        <x:v>https://www.taladrod.com/w40/icar/cardet.aspx?cid=2895116</x:v>
      </x:c>
      <x:c r="AA1098" s="3" t="str">
        <x:v>Taladrod個別広告ID／Carsome在庫ID</x:v>
      </x:c>
      <x:c r="AB1098" s="3" t="str">
        <x:v>車台番号未取得／サイト間重複は未判定</x:v>
      </x:c>
      <x:c r="AC1098" s="3" t="str">
        <x:v>税込区分未確認（一覧表示額）</x:v>
      </x:c>
      <x:c r="AD1098" s="3" t="str"/>
      <x:c r="AE1098" s="29" t="str">
        <x:f>""</x:f>
      </x:c>
      <x:c r="AF1098" s="30" t="str">
        <x:f>IF(ISNUMBER(AE1098),U1098/AE1098,"")</x:f>
      </x:c>
      <x:c r="AG1098" s="29" t="str">
        <x:f>""</x:f>
      </x:c>
      <x:c r="AH1098" s="30" t="str">
        <x:f>IF(ISNUMBER(AG1098),U1098/AG1098,"")</x:f>
      </x:c>
      <x:c r="AI1098" s="3" t="str">
        <x:v>同年式・グレードの検証済み当時価格なし／登録年混在</x:v>
      </x:c>
      <x:c r="AJ1098" s="3" t="str">
        <x:v>一覧価格/年式のみ</x:v>
      </x:c>
      <x:c r="AK1098" s="3" t="str">
        <x:v>一覧の表示価格。年式は掲載年式。</x:v>
      </x:c>
      <x:c r="AL1098" s="31" t="n">
        <x:f>IF(AND(J1098&lt;='分析方法'!$B$7,OR(ISBLANK(O1098),O1098&gt;='分析方法'!$B$8),X1098&lt;&gt;"売却済み表示"),1,0)</x:f>
        <x:v>1</x:v>
      </x:c>
      <x:c r="AM1098" s="32" t="n">
        <x:f>IF(AL1098=1,U1098,"")</x:f>
        <x:v>699000</x:v>
      </x:c>
      <x:c r="AN1098" s="33" t="str">
        <x:f>IF(AL1098=1,AF1098,"")</x:f>
      </x:c>
      <x:c r="AO1098" s="31" t="n">
        <x:f>'分析方法'!$B$6-J1098</x:f>
        <x:v>3</x:v>
      </x:c>
      <x:c r="AP1098" s="3"/>
    </x:row>
    <x:row r="1099" ht="22" customHeight="1">
      <x:c r="A1099" s="3" t="str">
        <x:v>T2898486</x:v>
      </x:c>
      <x:c r="B1099" s="7" t="d">
        <x:v>2026-10-08T00:00:00.000Z</x:v>
      </x:c>
      <x:c r="C1099" s="3" t="str">
        <x:v>Taladrod</x:v>
      </x:c>
      <x:c r="D1099" s="3" t="str">
        <x:v>Toyota</x:v>
      </x:c>
      <x:c r="E1099" s="3" t="str">
        <x:v>日本</x:v>
      </x:c>
      <x:c r="F1099" s="3" t="str">
        <x:v>Yaris Cross</x:v>
      </x:c>
      <x:c r="G1099" s="3" t="str">
        <x:v>HEV</x:v>
      </x:c>
      <x:c r="H1099" s="3" t="str">
        <x:v>SUV</x:v>
      </x:c>
      <x:c r="I1099" s="3" t="str"/>
      <x:c r="J1099" s="3" t="n">
        <x:v>2023</x:v>
      </x:c>
      <x:c r="K1099" s="3" t="str">
        <x:v>1.5 HEV PREMIUM LUXURY</x:v>
      </x:c>
      <x:c r="L1099" s="3" t="str">
        <x:v>1.5 HEV PREMIUM LUXURY</x:v>
      </x:c>
      <x:c r="M1099" s="22"/>
      <x:c r="N1099" s="22"/>
      <x:c r="O1099" s="22"/>
      <x:c r="P1099" s="3" t="str">
        <x:v>未掲載</x:v>
      </x:c>
      <x:c r="Q1099" s="3" t="str">
        <x:v>未取得</x:v>
      </x:c>
      <x:c r="R1099" s="3" t="str">
        <x:v>Unknown</x:v>
      </x:c>
      <x:c r="S1099" s="3" t="str">
        <x:v>不明</x:v>
      </x:c>
      <x:c r="T1099" s="3" t="str">
        <x:v>23-ปัจจุบัน</x:v>
      </x:c>
      <x:c r="U1099" s="28" t="n">
        <x:v>729000</x:v>
      </x:c>
      <x:c r="V1099" s="28" t="n">
        <x:v>899000</x:v>
      </x:c>
      <x:c r="W1099" s="3" t="str">
        <x:v>事故・水没・SOH・保証残は未確認</x:v>
      </x:c>
      <x:c r="X1099" s="3" t="str">
        <x:v>掲載中・在庫未確認</x:v>
      </x:c>
      <x:c r="Y1099" s="3" t="str"/>
      <x:c r="Z1099" s="27" t="str">
        <x:v>https://www.taladrod.com/w40/icar/cardet.aspx?cid=2898486</x:v>
      </x:c>
      <x:c r="AA1099" s="3" t="str">
        <x:v>Taladrod個別広告ID／Carsome在庫ID</x:v>
      </x:c>
      <x:c r="AB1099" s="3" t="str">
        <x:v>車台番号未取得／サイト間重複は未判定</x:v>
      </x:c>
      <x:c r="AC1099" s="3" t="str">
        <x:v>税込区分未確認（一覧表示額）</x:v>
      </x:c>
      <x:c r="AD1099" s="3" t="str"/>
      <x:c r="AE1099" s="29" t="str">
        <x:f>""</x:f>
      </x:c>
      <x:c r="AF1099" s="30" t="str">
        <x:f>IF(ISNUMBER(AE1099),U1099/AE1099,"")</x:f>
      </x:c>
      <x:c r="AG1099" s="29" t="str">
        <x:f>""</x:f>
      </x:c>
      <x:c r="AH1099" s="30" t="str">
        <x:f>IF(ISNUMBER(AG1099),U1099/AG1099,"")</x:f>
      </x:c>
      <x:c r="AI1099" s="3" t="str">
        <x:v>同年式・グレードの検証済み当時価格なし／登録年混在</x:v>
      </x:c>
      <x:c r="AJ1099" s="3" t="str">
        <x:v>一覧価格/年式のみ</x:v>
      </x:c>
      <x:c r="AK1099" s="3" t="str">
        <x:v>一覧の表示価格。年式は掲載年式。</x:v>
      </x:c>
      <x:c r="AL1099" s="31" t="n">
        <x:f>IF(AND(J1099&lt;='分析方法'!$B$7,OR(ISBLANK(O1099),O1099&gt;='分析方法'!$B$8),X1099&lt;&gt;"売却済み表示"),1,0)</x:f>
        <x:v>1</x:v>
      </x:c>
      <x:c r="AM1099" s="32" t="n">
        <x:f>IF(AL1099=1,U1099,"")</x:f>
        <x:v>729000</x:v>
      </x:c>
      <x:c r="AN1099" s="33" t="str">
        <x:f>IF(AL1099=1,AF1099,"")</x:f>
      </x:c>
      <x:c r="AO1099" s="31" t="n">
        <x:f>'分析方法'!$B$6-J1099</x:f>
        <x:v>3</x:v>
      </x:c>
      <x:c r="AP1099" s="3"/>
    </x:row>
    <x:row r="1100" ht="22" customHeight="1">
      <x:c r="A1100" s="3" t="str">
        <x:v>T2911012</x:v>
      </x:c>
      <x:c r="B1100" s="7" t="d">
        <x:v>2026-10-08T00:00:00.000Z</x:v>
      </x:c>
      <x:c r="C1100" s="3" t="str">
        <x:v>Taladrod</x:v>
      </x:c>
      <x:c r="D1100" s="3" t="str">
        <x:v>Toyota</x:v>
      </x:c>
      <x:c r="E1100" s="3" t="str">
        <x:v>日本</x:v>
      </x:c>
      <x:c r="F1100" s="3" t="str">
        <x:v>Yaris Cross</x:v>
      </x:c>
      <x:c r="G1100" s="3" t="str">
        <x:v>HEV</x:v>
      </x:c>
      <x:c r="H1100" s="3" t="str">
        <x:v>SUV</x:v>
      </x:c>
      <x:c r="I1100" s="3" t="str"/>
      <x:c r="J1100" s="3" t="n">
        <x:v>2023</x:v>
      </x:c>
      <x:c r="K1100" s="3" t="str">
        <x:v>1.5 HEV PREMIUM LUXURY</x:v>
      </x:c>
      <x:c r="L1100" s="3" t="str">
        <x:v>1.5 HEV PREMIUM LUXURY</x:v>
      </x:c>
      <x:c r="M1100" s="22"/>
      <x:c r="N1100" s="22"/>
      <x:c r="O1100" s="22"/>
      <x:c r="P1100" s="3" t="str">
        <x:v>未掲載</x:v>
      </x:c>
      <x:c r="Q1100" s="3" t="str">
        <x:v>未取得</x:v>
      </x:c>
      <x:c r="R1100" s="3" t="str">
        <x:v>Unknown</x:v>
      </x:c>
      <x:c r="S1100" s="3" t="str">
        <x:v>不明</x:v>
      </x:c>
      <x:c r="T1100" s="3" t="str">
        <x:v>23-ปัจจุบัน</x:v>
      </x:c>
      <x:c r="U1100" s="28" t="n">
        <x:v>689000</x:v>
      </x:c>
      <x:c r="V1100" s="28" t="n">
        <x:v>899000</x:v>
      </x:c>
      <x:c r="W1100" s="3" t="str">
        <x:v>事故・水没・SOH・保証残は未確認</x:v>
      </x:c>
      <x:c r="X1100" s="3" t="str">
        <x:v>掲載中・在庫未確認</x:v>
      </x:c>
      <x:c r="Y1100" s="3" t="str"/>
      <x:c r="Z1100" s="27" t="str">
        <x:v>https://www.taladrod.com/w40/icar/cardet.aspx?cid=2911012</x:v>
      </x:c>
      <x:c r="AA1100" s="3" t="str">
        <x:v>Taladrod個別広告ID／Carsome在庫ID</x:v>
      </x:c>
      <x:c r="AB1100" s="3" t="str">
        <x:v>車台番号未取得／サイト間重複は未判定</x:v>
      </x:c>
      <x:c r="AC1100" s="3" t="str">
        <x:v>税込区分未確認（一覧表示額）</x:v>
      </x:c>
      <x:c r="AD1100" s="3" t="str"/>
      <x:c r="AE1100" s="29" t="str">
        <x:f>""</x:f>
      </x:c>
      <x:c r="AF1100" s="30" t="str">
        <x:f>IF(ISNUMBER(AE1100),U1100/AE1100,"")</x:f>
      </x:c>
      <x:c r="AG1100" s="29" t="str">
        <x:f>""</x:f>
      </x:c>
      <x:c r="AH1100" s="30" t="str">
        <x:f>IF(ISNUMBER(AG1100),U1100/AG1100,"")</x:f>
      </x:c>
      <x:c r="AI1100" s="3" t="str">
        <x:v>同年式・グレードの検証済み当時価格なし／登録年混在</x:v>
      </x:c>
      <x:c r="AJ1100" s="3" t="str">
        <x:v>一覧価格/年式のみ</x:v>
      </x:c>
      <x:c r="AK1100" s="3" t="str">
        <x:v>一覧の表示価格。年式は掲載年式。</x:v>
      </x:c>
      <x:c r="AL1100" s="31" t="n">
        <x:f>IF(AND(J1100&lt;='分析方法'!$B$7,OR(ISBLANK(O1100),O1100&gt;='分析方法'!$B$8),X1100&lt;&gt;"売却済み表示"),1,0)</x:f>
        <x:v>1</x:v>
      </x:c>
      <x:c r="AM1100" s="32" t="n">
        <x:f>IF(AL1100=1,U1100,"")</x:f>
        <x:v>689000</x:v>
      </x:c>
      <x:c r="AN1100" s="33" t="str">
        <x:f>IF(AL1100=1,AF1100,"")</x:f>
      </x:c>
      <x:c r="AO1100" s="31" t="n">
        <x:f>'分析方法'!$B$6-J1100</x:f>
        <x:v>3</x:v>
      </x:c>
      <x:c r="AP1100" s="3"/>
    </x:row>
    <x:row r="1101" ht="22" customHeight="1">
      <x:c r="A1101" s="3" t="str">
        <x:v>T2912249</x:v>
      </x:c>
      <x:c r="B1101" s="7" t="d">
        <x:v>2026-10-08T00:00:00.000Z</x:v>
      </x:c>
      <x:c r="C1101" s="3" t="str">
        <x:v>Taladrod</x:v>
      </x:c>
      <x:c r="D1101" s="3" t="str">
        <x:v>Toyota</x:v>
      </x:c>
      <x:c r="E1101" s="3" t="str">
        <x:v>日本</x:v>
      </x:c>
      <x:c r="F1101" s="3" t="str">
        <x:v>Yaris Cross</x:v>
      </x:c>
      <x:c r="G1101" s="3" t="str">
        <x:v>HEV</x:v>
      </x:c>
      <x:c r="H1101" s="3" t="str">
        <x:v>SUV</x:v>
      </x:c>
      <x:c r="I1101" s="3" t="str"/>
      <x:c r="J1101" s="3" t="n">
        <x:v>2023</x:v>
      </x:c>
      <x:c r="K1101" s="3" t="str">
        <x:v>1.5 HEV PREMIUM LUXURY</x:v>
      </x:c>
      <x:c r="L1101" s="3" t="str">
        <x:v>1.5 HEV PREMIUM LUXURY</x:v>
      </x:c>
      <x:c r="M1101" s="22"/>
      <x:c r="N1101" s="22"/>
      <x:c r="O1101" s="22"/>
      <x:c r="P1101" s="3" t="str">
        <x:v>未掲載</x:v>
      </x:c>
      <x:c r="Q1101" s="3" t="str">
        <x:v>未取得</x:v>
      </x:c>
      <x:c r="R1101" s="3" t="str">
        <x:v>Unknown</x:v>
      </x:c>
      <x:c r="S1101" s="3" t="str">
        <x:v>不明</x:v>
      </x:c>
      <x:c r="T1101" s="3" t="str">
        <x:v>23-ปัจจุบัน</x:v>
      </x:c>
      <x:c r="U1101" s="28" t="n">
        <x:v>664000</x:v>
      </x:c>
      <x:c r="V1101" s="28" t="n">
        <x:v>899000</x:v>
      </x:c>
      <x:c r="W1101" s="3" t="str">
        <x:v>事故・水没・SOH・保証残は未確認</x:v>
      </x:c>
      <x:c r="X1101" s="3" t="str">
        <x:v>掲載中・在庫未確認</x:v>
      </x:c>
      <x:c r="Y1101" s="3" t="str"/>
      <x:c r="Z1101" s="27" t="str">
        <x:v>https://www.taladrod.com/w40/icar/cardet.aspx?cid=2912249</x:v>
      </x:c>
      <x:c r="AA1101" s="3" t="str">
        <x:v>Taladrod個別広告ID／Carsome在庫ID</x:v>
      </x:c>
      <x:c r="AB1101" s="3" t="str">
        <x:v>車台番号未取得／サイト間重複は未判定</x:v>
      </x:c>
      <x:c r="AC1101" s="3" t="str">
        <x:v>税込区分未確認（一覧表示額）</x:v>
      </x:c>
      <x:c r="AD1101" s="3" t="str"/>
      <x:c r="AE1101" s="29" t="str">
        <x:f>""</x:f>
      </x:c>
      <x:c r="AF1101" s="30" t="str">
        <x:f>IF(ISNUMBER(AE1101),U1101/AE1101,"")</x:f>
      </x:c>
      <x:c r="AG1101" s="29" t="str">
        <x:f>""</x:f>
      </x:c>
      <x:c r="AH1101" s="30" t="str">
        <x:f>IF(ISNUMBER(AG1101),U1101/AG1101,"")</x:f>
      </x:c>
      <x:c r="AI1101" s="3" t="str">
        <x:v>同年式・グレードの検証済み当時価格なし／登録年混在</x:v>
      </x:c>
      <x:c r="AJ1101" s="3" t="str">
        <x:v>一覧価格/年式のみ</x:v>
      </x:c>
      <x:c r="AK1101" s="3" t="str">
        <x:v>一覧の表示価格。年式は掲載年式。</x:v>
      </x:c>
      <x:c r="AL1101" s="31" t="n">
        <x:f>IF(AND(J1101&lt;='分析方法'!$B$7,OR(ISBLANK(O1101),O1101&gt;='分析方法'!$B$8),X1101&lt;&gt;"売却済み表示"),1,0)</x:f>
        <x:v>1</x:v>
      </x:c>
      <x:c r="AM1101" s="32" t="n">
        <x:f>IF(AL1101=1,U1101,"")</x:f>
        <x:v>664000</x:v>
      </x:c>
      <x:c r="AN1101" s="33" t="str">
        <x:f>IF(AL1101=1,AF1101,"")</x:f>
      </x:c>
      <x:c r="AO1101" s="31" t="n">
        <x:f>'分析方法'!$B$6-J1101</x:f>
        <x:v>3</x:v>
      </x:c>
      <x:c r="AP1101" s="3"/>
    </x:row>
    <x:row r="1102" ht="22" customHeight="1">
      <x:c r="A1102" s="3" t="str">
        <x:v>T2926298</x:v>
      </x:c>
      <x:c r="B1102" s="7" t="d">
        <x:v>2026-10-08T00:00:00.000Z</x:v>
      </x:c>
      <x:c r="C1102" s="3" t="str">
        <x:v>Taladrod</x:v>
      </x:c>
      <x:c r="D1102" s="3" t="str">
        <x:v>Toyota</x:v>
      </x:c>
      <x:c r="E1102" s="3" t="str">
        <x:v>日本</x:v>
      </x:c>
      <x:c r="F1102" s="3" t="str">
        <x:v>Yaris Cross</x:v>
      </x:c>
      <x:c r="G1102" s="3" t="str">
        <x:v>HEV</x:v>
      </x:c>
      <x:c r="H1102" s="3" t="str">
        <x:v>SUV</x:v>
      </x:c>
      <x:c r="I1102" s="3" t="str"/>
      <x:c r="J1102" s="3" t="n">
        <x:v>2023</x:v>
      </x:c>
      <x:c r="K1102" s="3" t="str">
        <x:v>1.5 HEV PREMIUM LUXURY</x:v>
      </x:c>
      <x:c r="L1102" s="3" t="str">
        <x:v>1.5 HEV PREMIUM LUXURY</x:v>
      </x:c>
      <x:c r="M1102" s="22"/>
      <x:c r="N1102" s="22"/>
      <x:c r="O1102" s="22"/>
      <x:c r="P1102" s="3" t="str">
        <x:v>未掲載</x:v>
      </x:c>
      <x:c r="Q1102" s="3" t="str">
        <x:v>未取得</x:v>
      </x:c>
      <x:c r="R1102" s="3" t="str">
        <x:v>Unknown</x:v>
      </x:c>
      <x:c r="S1102" s="3" t="str">
        <x:v>不明</x:v>
      </x:c>
      <x:c r="T1102" s="3" t="str">
        <x:v>23-ปัจจุบัน</x:v>
      </x:c>
      <x:c r="U1102" s="28" t="n">
        <x:v>729000</x:v>
      </x:c>
      <x:c r="V1102" s="28" t="n">
        <x:v>899000</x:v>
      </x:c>
      <x:c r="W1102" s="3" t="str">
        <x:v>事故・水没・SOH・保証残は未確認</x:v>
      </x:c>
      <x:c r="X1102" s="3" t="str">
        <x:v>掲載中・在庫未確認</x:v>
      </x:c>
      <x:c r="Y1102" s="3" t="str"/>
      <x:c r="Z1102" s="27" t="str">
        <x:v>https://www.taladrod.com/w40/icar/cardet.aspx?cid=2926298</x:v>
      </x:c>
      <x:c r="AA1102" s="3" t="str">
        <x:v>Taladrod個別広告ID／Carsome在庫ID</x:v>
      </x:c>
      <x:c r="AB1102" s="3" t="str">
        <x:v>車台番号未取得／サイト間重複は未判定</x:v>
      </x:c>
      <x:c r="AC1102" s="3" t="str">
        <x:v>税込区分未確認（一覧表示額）</x:v>
      </x:c>
      <x:c r="AD1102" s="3" t="str"/>
      <x:c r="AE1102" s="29" t="str">
        <x:f>""</x:f>
      </x:c>
      <x:c r="AF1102" s="30" t="str">
        <x:f>IF(ISNUMBER(AE1102),U1102/AE1102,"")</x:f>
      </x:c>
      <x:c r="AG1102" s="29" t="str">
        <x:f>""</x:f>
      </x:c>
      <x:c r="AH1102" s="30" t="str">
        <x:f>IF(ISNUMBER(AG1102),U1102/AG1102,"")</x:f>
      </x:c>
      <x:c r="AI1102" s="3" t="str">
        <x:v>同年式・グレードの検証済み当時価格なし／登録年混在</x:v>
      </x:c>
      <x:c r="AJ1102" s="3" t="str">
        <x:v>一覧価格/年式のみ</x:v>
      </x:c>
      <x:c r="AK1102" s="3" t="str">
        <x:v>一覧の表示価格。年式は掲載年式。</x:v>
      </x:c>
      <x:c r="AL1102" s="31" t="n">
        <x:f>IF(AND(J1102&lt;='分析方法'!$B$7,OR(ISBLANK(O1102),O1102&gt;='分析方法'!$B$8),X1102&lt;&gt;"売却済み表示"),1,0)</x:f>
        <x:v>1</x:v>
      </x:c>
      <x:c r="AM1102" s="32" t="n">
        <x:f>IF(AL1102=1,U1102,"")</x:f>
        <x:v>729000</x:v>
      </x:c>
      <x:c r="AN1102" s="33" t="str">
        <x:f>IF(AL1102=1,AF1102,"")</x:f>
      </x:c>
      <x:c r="AO1102" s="31" t="n">
        <x:f>'分析方法'!$B$6-J1102</x:f>
        <x:v>3</x:v>
      </x:c>
      <x:c r="AP1102" s="3"/>
    </x:row>
    <x:row r="1103" ht="22" customHeight="1">
      <x:c r="A1103" s="3" t="str">
        <x:v>T2886235</x:v>
      </x:c>
      <x:c r="B1103" s="7" t="d">
        <x:v>2026-10-08T00:00:00.000Z</x:v>
      </x:c>
      <x:c r="C1103" s="3" t="str">
        <x:v>Taladrod</x:v>
      </x:c>
      <x:c r="D1103" s="3" t="str">
        <x:v>Toyota</x:v>
      </x:c>
      <x:c r="E1103" s="3" t="str">
        <x:v>日本</x:v>
      </x:c>
      <x:c r="F1103" s="3" t="str">
        <x:v>Yaris Cross</x:v>
      </x:c>
      <x:c r="G1103" s="3" t="str">
        <x:v>HEV</x:v>
      </x:c>
      <x:c r="H1103" s="3" t="str">
        <x:v>SUV</x:v>
      </x:c>
      <x:c r="I1103" s="3" t="str"/>
      <x:c r="J1103" s="3" t="n">
        <x:v>2024</x:v>
      </x:c>
      <x:c r="K1103" s="3" t="str">
        <x:v>1.5 HEV PREMIUM</x:v>
      </x:c>
      <x:c r="L1103" s="3" t="str">
        <x:v>1.5 HEV PREMIUM</x:v>
      </x:c>
      <x:c r="M1103" s="22"/>
      <x:c r="N1103" s="22"/>
      <x:c r="O1103" s="22"/>
      <x:c r="P1103" s="3" t="str">
        <x:v>未掲載</x:v>
      </x:c>
      <x:c r="Q1103" s="3" t="str">
        <x:v>未取得</x:v>
      </x:c>
      <x:c r="R1103" s="3" t="str">
        <x:v>Unknown</x:v>
      </x:c>
      <x:c r="S1103" s="3" t="str">
        <x:v>不明</x:v>
      </x:c>
      <x:c r="T1103" s="3" t="str">
        <x:v>23-ปัจจุบัน</x:v>
      </x:c>
      <x:c r="U1103" s="28" t="n">
        <x:v>679000</x:v>
      </x:c>
      <x:c r="V1103" s="28" t="n">
        <x:v>849000</x:v>
      </x:c>
      <x:c r="W1103" s="3" t="str">
        <x:v>事故・水没・SOH・保証残は未確認</x:v>
      </x:c>
      <x:c r="X1103" s="3" t="str">
        <x:v>掲載中・在庫未確認</x:v>
      </x:c>
      <x:c r="Y1103" s="3" t="str"/>
      <x:c r="Z1103" s="27" t="str">
        <x:v>https://www.taladrod.com/w40/icar/cardet.aspx?cid=2886235</x:v>
      </x:c>
      <x:c r="AA1103" s="3" t="str">
        <x:v>Taladrod個別広告ID／Carsome在庫ID</x:v>
      </x:c>
      <x:c r="AB1103" s="3" t="str">
        <x:v>車台番号未取得／サイト間重複は未判定</x:v>
      </x:c>
      <x:c r="AC1103" s="3" t="str">
        <x:v>税込区分未確認（一覧表示額）</x:v>
      </x:c>
      <x:c r="AD1103" s="3" t="str"/>
      <x:c r="AE1103" s="29" t="str">
        <x:f>""</x:f>
      </x:c>
      <x:c r="AF1103" s="30" t="str">
        <x:f>IF(ISNUMBER(AE1103),U1103/AE1103,"")</x:f>
      </x:c>
      <x:c r="AG1103" s="29" t="str">
        <x:f>""</x:f>
      </x:c>
      <x:c r="AH1103" s="30" t="str">
        <x:f>IF(ISNUMBER(AG1103),U1103/AG1103,"")</x:f>
      </x:c>
      <x:c r="AI1103" s="3" t="str">
        <x:v>同年式・グレードの検証済み当時価格なし／登録年混在</x:v>
      </x:c>
      <x:c r="AJ1103" s="3" t="str">
        <x:v>一覧価格/年式のみ</x:v>
      </x:c>
      <x:c r="AK1103" s="3" t="str">
        <x:v>一覧の表示価格。年式は掲載年式。</x:v>
      </x:c>
      <x:c r="AL1103" s="31" t="n">
        <x:f>IF(AND(J1103&lt;='分析方法'!$B$7,OR(ISBLANK(O1103),O1103&gt;='分析方法'!$B$8),X1103&lt;&gt;"売却済み表示"),1,0)</x:f>
        <x:v>1</x:v>
      </x:c>
      <x:c r="AM1103" s="32" t="n">
        <x:f>IF(AL1103=1,U1103,"")</x:f>
        <x:v>679000</x:v>
      </x:c>
      <x:c r="AN1103" s="33" t="str">
        <x:f>IF(AL1103=1,AF1103,"")</x:f>
      </x:c>
      <x:c r="AO1103" s="31" t="n">
        <x:f>'分析方法'!$B$6-J1103</x:f>
        <x:v>2</x:v>
      </x:c>
      <x:c r="AP1103" s="3"/>
    </x:row>
    <x:row r="1104" ht="22" customHeight="1">
      <x:c r="A1104" s="3" t="str">
        <x:v>T2886793</x:v>
      </x:c>
      <x:c r="B1104" s="7" t="d">
        <x:v>2026-10-08T00:00:00.000Z</x:v>
      </x:c>
      <x:c r="C1104" s="3" t="str">
        <x:v>Taladrod</x:v>
      </x:c>
      <x:c r="D1104" s="3" t="str">
        <x:v>Toyota</x:v>
      </x:c>
      <x:c r="E1104" s="3" t="str">
        <x:v>日本</x:v>
      </x:c>
      <x:c r="F1104" s="3" t="str">
        <x:v>Yaris Cross</x:v>
      </x:c>
      <x:c r="G1104" s="3" t="str">
        <x:v>HEV</x:v>
      </x:c>
      <x:c r="H1104" s="3" t="str">
        <x:v>SUV</x:v>
      </x:c>
      <x:c r="I1104" s="3" t="str"/>
      <x:c r="J1104" s="3" t="n">
        <x:v>2024</x:v>
      </x:c>
      <x:c r="K1104" s="3" t="str">
        <x:v>1.5 HEV PREMIUM</x:v>
      </x:c>
      <x:c r="L1104" s="3" t="str">
        <x:v>1.5 HEV PREMIUM</x:v>
      </x:c>
      <x:c r="M1104" s="22"/>
      <x:c r="N1104" s="22"/>
      <x:c r="O1104" s="22"/>
      <x:c r="P1104" s="3" t="str">
        <x:v>未掲載</x:v>
      </x:c>
      <x:c r="Q1104" s="3" t="str">
        <x:v>未取得</x:v>
      </x:c>
      <x:c r="R1104" s="3" t="str">
        <x:v>Unknown</x:v>
      </x:c>
      <x:c r="S1104" s="3" t="str">
        <x:v>不明</x:v>
      </x:c>
      <x:c r="T1104" s="3" t="str">
        <x:v>23-ปัจจุบัน</x:v>
      </x:c>
      <x:c r="U1104" s="28" t="n">
        <x:v>689000</x:v>
      </x:c>
      <x:c r="V1104" s="28" t="n">
        <x:v>849000</x:v>
      </x:c>
      <x:c r="W1104" s="3" t="str">
        <x:v>事故・水没・SOH・保証残は未確認</x:v>
      </x:c>
      <x:c r="X1104" s="3" t="str">
        <x:v>掲載中・在庫未確認</x:v>
      </x:c>
      <x:c r="Y1104" s="3" t="str"/>
      <x:c r="Z1104" s="27" t="str">
        <x:v>https://www.taladrod.com/w40/icar/cardet.aspx?cid=2886793</x:v>
      </x:c>
      <x:c r="AA1104" s="3" t="str">
        <x:v>Taladrod個別広告ID／Carsome在庫ID</x:v>
      </x:c>
      <x:c r="AB1104" s="3" t="str">
        <x:v>車台番号未取得／サイト間重複は未判定</x:v>
      </x:c>
      <x:c r="AC1104" s="3" t="str">
        <x:v>税込区分未確認（一覧表示額）</x:v>
      </x:c>
      <x:c r="AD1104" s="3" t="str"/>
      <x:c r="AE1104" s="29" t="str">
        <x:f>""</x:f>
      </x:c>
      <x:c r="AF1104" s="30" t="str">
        <x:f>IF(ISNUMBER(AE1104),U1104/AE1104,"")</x:f>
      </x:c>
      <x:c r="AG1104" s="29" t="str">
        <x:f>""</x:f>
      </x:c>
      <x:c r="AH1104" s="30" t="str">
        <x:f>IF(ISNUMBER(AG1104),U1104/AG1104,"")</x:f>
      </x:c>
      <x:c r="AI1104" s="3" t="str">
        <x:v>同年式・グレードの検証済み当時価格なし／登録年混在</x:v>
      </x:c>
      <x:c r="AJ1104" s="3" t="str">
        <x:v>一覧価格/年式のみ</x:v>
      </x:c>
      <x:c r="AK1104" s="3" t="str">
        <x:v>一覧の表示価格。年式は掲載年式。</x:v>
      </x:c>
      <x:c r="AL1104" s="31" t="n">
        <x:f>IF(AND(J1104&lt;='分析方法'!$B$7,OR(ISBLANK(O1104),O1104&gt;='分析方法'!$B$8),X1104&lt;&gt;"売却済み表示"),1,0)</x:f>
        <x:v>1</x:v>
      </x:c>
      <x:c r="AM1104" s="32" t="n">
        <x:f>IF(AL1104=1,U1104,"")</x:f>
        <x:v>689000</x:v>
      </x:c>
      <x:c r="AN1104" s="33" t="str">
        <x:f>IF(AL1104=1,AF1104,"")</x:f>
      </x:c>
      <x:c r="AO1104" s="31" t="n">
        <x:f>'分析方法'!$B$6-J1104</x:f>
        <x:v>2</x:v>
      </x:c>
      <x:c r="AP1104" s="3"/>
    </x:row>
    <x:row r="1105" ht="22" customHeight="1">
      <x:c r="A1105" s="3" t="str">
        <x:v>T2891374</x:v>
      </x:c>
      <x:c r="B1105" s="7" t="d">
        <x:v>2026-10-08T00:00:00.000Z</x:v>
      </x:c>
      <x:c r="C1105" s="3" t="str">
        <x:v>Taladrod</x:v>
      </x:c>
      <x:c r="D1105" s="3" t="str">
        <x:v>Toyota</x:v>
      </x:c>
      <x:c r="E1105" s="3" t="str">
        <x:v>日本</x:v>
      </x:c>
      <x:c r="F1105" s="3" t="str">
        <x:v>Yaris Cross</x:v>
      </x:c>
      <x:c r="G1105" s="3" t="str">
        <x:v>HEV</x:v>
      </x:c>
      <x:c r="H1105" s="3" t="str">
        <x:v>SUV</x:v>
      </x:c>
      <x:c r="I1105" s="3" t="str"/>
      <x:c r="J1105" s="3" t="n">
        <x:v>2024</x:v>
      </x:c>
      <x:c r="K1105" s="3" t="str">
        <x:v>1.5 HEV PREMIUM</x:v>
      </x:c>
      <x:c r="L1105" s="3" t="str">
        <x:v>1.5 HEV PREMIUM</x:v>
      </x:c>
      <x:c r="M1105" s="22"/>
      <x:c r="N1105" s="22"/>
      <x:c r="O1105" s="22"/>
      <x:c r="P1105" s="3" t="str">
        <x:v>未掲載</x:v>
      </x:c>
      <x:c r="Q1105" s="3" t="str">
        <x:v>未取得</x:v>
      </x:c>
      <x:c r="R1105" s="3" t="str">
        <x:v>Unknown</x:v>
      </x:c>
      <x:c r="S1105" s="3" t="str">
        <x:v>不明</x:v>
      </x:c>
      <x:c r="T1105" s="3" t="str">
        <x:v>23-ปัจจุบัน</x:v>
      </x:c>
      <x:c r="U1105" s="28" t="n">
        <x:v>734000</x:v>
      </x:c>
      <x:c r="V1105" s="28" t="n">
        <x:v>849000</x:v>
      </x:c>
      <x:c r="W1105" s="3" t="str">
        <x:v>事故・水没・SOH・保証残は未確認</x:v>
      </x:c>
      <x:c r="X1105" s="3" t="str">
        <x:v>掲載中・在庫未確認</x:v>
      </x:c>
      <x:c r="Y1105" s="3" t="str"/>
      <x:c r="Z1105" s="27" t="str">
        <x:v>https://www.taladrod.com/w40/icar/cardet.aspx?cid=2891374</x:v>
      </x:c>
      <x:c r="AA1105" s="3" t="str">
        <x:v>Taladrod個別広告ID／Carsome在庫ID</x:v>
      </x:c>
      <x:c r="AB1105" s="3" t="str">
        <x:v>車台番号未取得／サイト間重複は未判定</x:v>
      </x:c>
      <x:c r="AC1105" s="3" t="str">
        <x:v>税込区分未確認（一覧表示額）</x:v>
      </x:c>
      <x:c r="AD1105" s="3" t="str"/>
      <x:c r="AE1105" s="29" t="str">
        <x:f>""</x:f>
      </x:c>
      <x:c r="AF1105" s="30" t="str">
        <x:f>IF(ISNUMBER(AE1105),U1105/AE1105,"")</x:f>
      </x:c>
      <x:c r="AG1105" s="29" t="str">
        <x:f>""</x:f>
      </x:c>
      <x:c r="AH1105" s="30" t="str">
        <x:f>IF(ISNUMBER(AG1105),U1105/AG1105,"")</x:f>
      </x:c>
      <x:c r="AI1105" s="3" t="str">
        <x:v>同年式・グレードの検証済み当時価格なし／登録年混在</x:v>
      </x:c>
      <x:c r="AJ1105" s="3" t="str">
        <x:v>一覧価格/年式のみ</x:v>
      </x:c>
      <x:c r="AK1105" s="3" t="str">
        <x:v>一覧の表示価格。年式は掲載年式。</x:v>
      </x:c>
      <x:c r="AL1105" s="31" t="n">
        <x:f>IF(AND(J1105&lt;='分析方法'!$B$7,OR(ISBLANK(O1105),O1105&gt;='分析方法'!$B$8),X1105&lt;&gt;"売却済み表示"),1,0)</x:f>
        <x:v>1</x:v>
      </x:c>
      <x:c r="AM1105" s="32" t="n">
        <x:f>IF(AL1105=1,U1105,"")</x:f>
        <x:v>734000</x:v>
      </x:c>
      <x:c r="AN1105" s="33" t="str">
        <x:f>IF(AL1105=1,AF1105,"")</x:f>
      </x:c>
      <x:c r="AO1105" s="31" t="n">
        <x:f>'分析方法'!$B$6-J1105</x:f>
        <x:v>2</x:v>
      </x:c>
      <x:c r="AP1105" s="3"/>
    </x:row>
    <x:row r="1106" ht="22" customHeight="1">
      <x:c r="A1106" s="3" t="str">
        <x:v>T2892597</x:v>
      </x:c>
      <x:c r="B1106" s="7" t="d">
        <x:v>2026-10-08T00:00:00.000Z</x:v>
      </x:c>
      <x:c r="C1106" s="3" t="str">
        <x:v>Taladrod</x:v>
      </x:c>
      <x:c r="D1106" s="3" t="str">
        <x:v>Toyota</x:v>
      </x:c>
      <x:c r="E1106" s="3" t="str">
        <x:v>日本</x:v>
      </x:c>
      <x:c r="F1106" s="3" t="str">
        <x:v>Yaris Cross</x:v>
      </x:c>
      <x:c r="G1106" s="3" t="str">
        <x:v>HEV</x:v>
      </x:c>
      <x:c r="H1106" s="3" t="str">
        <x:v>SUV</x:v>
      </x:c>
      <x:c r="I1106" s="3" t="str"/>
      <x:c r="J1106" s="3" t="n">
        <x:v>2024</x:v>
      </x:c>
      <x:c r="K1106" s="3" t="str">
        <x:v>1.5 HEV PREMIUM</x:v>
      </x:c>
      <x:c r="L1106" s="3" t="str">
        <x:v>1.5 HEV PREMIUM</x:v>
      </x:c>
      <x:c r="M1106" s="22"/>
      <x:c r="N1106" s="22"/>
      <x:c r="O1106" s="22"/>
      <x:c r="P1106" s="3" t="str">
        <x:v>未掲載</x:v>
      </x:c>
      <x:c r="Q1106" s="3" t="str">
        <x:v>未取得</x:v>
      </x:c>
      <x:c r="R1106" s="3" t="str">
        <x:v>Unknown</x:v>
      </x:c>
      <x:c r="S1106" s="3" t="str">
        <x:v>不明</x:v>
      </x:c>
      <x:c r="T1106" s="3" t="str">
        <x:v>23-ปัจจุบัน</x:v>
      </x:c>
      <x:c r="U1106" s="28" t="n">
        <x:v>654000</x:v>
      </x:c>
      <x:c r="V1106" s="28" t="n">
        <x:v>849000</x:v>
      </x:c>
      <x:c r="W1106" s="3" t="str">
        <x:v>事故・水没・SOH・保証残は未確認</x:v>
      </x:c>
      <x:c r="X1106" s="3" t="str">
        <x:v>掲載中・在庫未確認</x:v>
      </x:c>
      <x:c r="Y1106" s="3" t="str"/>
      <x:c r="Z1106" s="27" t="str">
        <x:v>https://www.taladrod.com/w40/icar/cardet.aspx?cid=2892597</x:v>
      </x:c>
      <x:c r="AA1106" s="3" t="str">
        <x:v>Taladrod個別広告ID／Carsome在庫ID</x:v>
      </x:c>
      <x:c r="AB1106" s="3" t="str">
        <x:v>車台番号未取得／サイト間重複は未判定</x:v>
      </x:c>
      <x:c r="AC1106" s="3" t="str">
        <x:v>税込区分未確認（一覧表示額）</x:v>
      </x:c>
      <x:c r="AD1106" s="3" t="str"/>
      <x:c r="AE1106" s="29" t="str">
        <x:f>""</x:f>
      </x:c>
      <x:c r="AF1106" s="30" t="str">
        <x:f>IF(ISNUMBER(AE1106),U1106/AE1106,"")</x:f>
      </x:c>
      <x:c r="AG1106" s="29" t="str">
        <x:f>""</x:f>
      </x:c>
      <x:c r="AH1106" s="30" t="str">
        <x:f>IF(ISNUMBER(AG1106),U1106/AG1106,"")</x:f>
      </x:c>
      <x:c r="AI1106" s="3" t="str">
        <x:v>同年式・グレードの検証済み当時価格なし／登録年混在</x:v>
      </x:c>
      <x:c r="AJ1106" s="3" t="str">
        <x:v>一覧価格/年式のみ</x:v>
      </x:c>
      <x:c r="AK1106" s="3" t="str">
        <x:v>一覧の表示価格。年式は掲載年式。</x:v>
      </x:c>
      <x:c r="AL1106" s="31" t="n">
        <x:f>IF(AND(J1106&lt;='分析方法'!$B$7,OR(ISBLANK(O1106),O1106&gt;='分析方法'!$B$8),X1106&lt;&gt;"売却済み表示"),1,0)</x:f>
        <x:v>1</x:v>
      </x:c>
      <x:c r="AM1106" s="32" t="n">
        <x:f>IF(AL1106=1,U1106,"")</x:f>
        <x:v>654000</x:v>
      </x:c>
      <x:c r="AN1106" s="33" t="str">
        <x:f>IF(AL1106=1,AF1106,"")</x:f>
      </x:c>
      <x:c r="AO1106" s="31" t="n">
        <x:f>'分析方法'!$B$6-J1106</x:f>
        <x:v>2</x:v>
      </x:c>
      <x:c r="AP1106" s="3"/>
    </x:row>
    <x:row r="1107" ht="22" customHeight="1">
      <x:c r="A1107" s="3" t="str">
        <x:v>T2906961</x:v>
      </x:c>
      <x:c r="B1107" s="7" t="d">
        <x:v>2026-10-08T00:00:00.000Z</x:v>
      </x:c>
      <x:c r="C1107" s="3" t="str">
        <x:v>Taladrod</x:v>
      </x:c>
      <x:c r="D1107" s="3" t="str">
        <x:v>Toyota</x:v>
      </x:c>
      <x:c r="E1107" s="3" t="str">
        <x:v>日本</x:v>
      </x:c>
      <x:c r="F1107" s="3" t="str">
        <x:v>Yaris Cross</x:v>
      </x:c>
      <x:c r="G1107" s="3" t="str">
        <x:v>HEV</x:v>
      </x:c>
      <x:c r="H1107" s="3" t="str">
        <x:v>SUV</x:v>
      </x:c>
      <x:c r="I1107" s="3" t="str"/>
      <x:c r="J1107" s="3" t="n">
        <x:v>2024</x:v>
      </x:c>
      <x:c r="K1107" s="3" t="str">
        <x:v>1.5 HEV PREMIUM</x:v>
      </x:c>
      <x:c r="L1107" s="3" t="str">
        <x:v>1.5 HEV PREMIUM</x:v>
      </x:c>
      <x:c r="M1107" s="22"/>
      <x:c r="N1107" s="22"/>
      <x:c r="O1107" s="22"/>
      <x:c r="P1107" s="3" t="str">
        <x:v>未掲載</x:v>
      </x:c>
      <x:c r="Q1107" s="3" t="str">
        <x:v>未取得</x:v>
      </x:c>
      <x:c r="R1107" s="3" t="str">
        <x:v>Unknown</x:v>
      </x:c>
      <x:c r="S1107" s="3" t="str">
        <x:v>不明</x:v>
      </x:c>
      <x:c r="T1107" s="3" t="str">
        <x:v>23-ปัจจุบัน</x:v>
      </x:c>
      <x:c r="U1107" s="28" t="n">
        <x:v>689000</x:v>
      </x:c>
      <x:c r="V1107" s="28" t="n">
        <x:v>849000</x:v>
      </x:c>
      <x:c r="W1107" s="3" t="str">
        <x:v>事故・水没・SOH・保証残は未確認</x:v>
      </x:c>
      <x:c r="X1107" s="3" t="str">
        <x:v>掲載中・在庫未確認</x:v>
      </x:c>
      <x:c r="Y1107" s="3" t="str"/>
      <x:c r="Z1107" s="27" t="str">
        <x:v>https://www.taladrod.com/w40/icar/cardet.aspx?cid=2906961</x:v>
      </x:c>
      <x:c r="AA1107" s="3" t="str">
        <x:v>Taladrod個別広告ID／Carsome在庫ID</x:v>
      </x:c>
      <x:c r="AB1107" s="3" t="str">
        <x:v>車台番号未取得／サイト間重複は未判定</x:v>
      </x:c>
      <x:c r="AC1107" s="3" t="str">
        <x:v>税込区分未確認（一覧表示額）</x:v>
      </x:c>
      <x:c r="AD1107" s="3" t="str"/>
      <x:c r="AE1107" s="29" t="str">
        <x:f>""</x:f>
      </x:c>
      <x:c r="AF1107" s="30" t="str">
        <x:f>IF(ISNUMBER(AE1107),U1107/AE1107,"")</x:f>
      </x:c>
      <x:c r="AG1107" s="29" t="str">
        <x:f>""</x:f>
      </x:c>
      <x:c r="AH1107" s="30" t="str">
        <x:f>IF(ISNUMBER(AG1107),U1107/AG1107,"")</x:f>
      </x:c>
      <x:c r="AI1107" s="3" t="str">
        <x:v>同年式・グレードの検証済み当時価格なし／登録年混在</x:v>
      </x:c>
      <x:c r="AJ1107" s="3" t="str">
        <x:v>一覧価格/年式のみ</x:v>
      </x:c>
      <x:c r="AK1107" s="3" t="str">
        <x:v>一覧の表示価格。年式は掲載年式。</x:v>
      </x:c>
      <x:c r="AL1107" s="31" t="n">
        <x:f>IF(AND(J1107&lt;='分析方法'!$B$7,OR(ISBLANK(O1107),O1107&gt;='分析方法'!$B$8),X1107&lt;&gt;"売却済み表示"),1,0)</x:f>
        <x:v>1</x:v>
      </x:c>
      <x:c r="AM1107" s="32" t="n">
        <x:f>IF(AL1107=1,U1107,"")</x:f>
        <x:v>689000</x:v>
      </x:c>
      <x:c r="AN1107" s="33" t="str">
        <x:f>IF(AL1107=1,AF1107,"")</x:f>
      </x:c>
      <x:c r="AO1107" s="31" t="n">
        <x:f>'分析方法'!$B$6-J1107</x:f>
        <x:v>2</x:v>
      </x:c>
      <x:c r="AP1107" s="3"/>
    </x:row>
    <x:row r="1108" ht="22" customHeight="1">
      <x:c r="A1108" s="3" t="str">
        <x:v>T2907121</x:v>
      </x:c>
      <x:c r="B1108" s="7" t="d">
        <x:v>2026-10-08T00:00:00.000Z</x:v>
      </x:c>
      <x:c r="C1108" s="3" t="str">
        <x:v>Taladrod</x:v>
      </x:c>
      <x:c r="D1108" s="3" t="str">
        <x:v>Toyota</x:v>
      </x:c>
      <x:c r="E1108" s="3" t="str">
        <x:v>日本</x:v>
      </x:c>
      <x:c r="F1108" s="3" t="str">
        <x:v>Yaris Cross</x:v>
      </x:c>
      <x:c r="G1108" s="3" t="str">
        <x:v>HEV</x:v>
      </x:c>
      <x:c r="H1108" s="3" t="str">
        <x:v>SUV</x:v>
      </x:c>
      <x:c r="I1108" s="3" t="str"/>
      <x:c r="J1108" s="3" t="n">
        <x:v>2024</x:v>
      </x:c>
      <x:c r="K1108" s="3" t="str">
        <x:v>1.5 HEV PREMIUM</x:v>
      </x:c>
      <x:c r="L1108" s="3" t="str">
        <x:v>1.5 HEV PREMIUM</x:v>
      </x:c>
      <x:c r="M1108" s="22"/>
      <x:c r="N1108" s="22"/>
      <x:c r="O1108" s="22"/>
      <x:c r="P1108" s="3" t="str">
        <x:v>未掲載</x:v>
      </x:c>
      <x:c r="Q1108" s="3" t="str">
        <x:v>未取得</x:v>
      </x:c>
      <x:c r="R1108" s="3" t="str">
        <x:v>Unknown</x:v>
      </x:c>
      <x:c r="S1108" s="3" t="str">
        <x:v>不明</x:v>
      </x:c>
      <x:c r="T1108" s="3" t="str">
        <x:v>23-ปัจจุบัน</x:v>
      </x:c>
      <x:c r="U1108" s="28" t="n">
        <x:v>739000</x:v>
      </x:c>
      <x:c r="V1108" s="28" t="n">
        <x:v>849000</x:v>
      </x:c>
      <x:c r="W1108" s="3" t="str">
        <x:v>事故・水没・SOH・保証残は未確認</x:v>
      </x:c>
      <x:c r="X1108" s="3" t="str">
        <x:v>掲載中・在庫未確認</x:v>
      </x:c>
      <x:c r="Y1108" s="3" t="str"/>
      <x:c r="Z1108" s="27" t="str">
        <x:v>https://www.taladrod.com/w40/icar/cardet.aspx?cid=2907121</x:v>
      </x:c>
      <x:c r="AA1108" s="3" t="str">
        <x:v>Taladrod個別広告ID／Carsome在庫ID</x:v>
      </x:c>
      <x:c r="AB1108" s="3" t="str">
        <x:v>車台番号未取得／サイト間重複は未判定</x:v>
      </x:c>
      <x:c r="AC1108" s="3" t="str">
        <x:v>税込区分未確認（一覧表示額）</x:v>
      </x:c>
      <x:c r="AD1108" s="3" t="str"/>
      <x:c r="AE1108" s="29" t="str">
        <x:f>""</x:f>
      </x:c>
      <x:c r="AF1108" s="30" t="str">
        <x:f>IF(ISNUMBER(AE1108),U1108/AE1108,"")</x:f>
      </x:c>
      <x:c r="AG1108" s="29" t="str">
        <x:f>""</x:f>
      </x:c>
      <x:c r="AH1108" s="30" t="str">
        <x:f>IF(ISNUMBER(AG1108),U1108/AG1108,"")</x:f>
      </x:c>
      <x:c r="AI1108" s="3" t="str">
        <x:v>同年式・グレードの検証済み当時価格なし／登録年混在</x:v>
      </x:c>
      <x:c r="AJ1108" s="3" t="str">
        <x:v>一覧価格/年式のみ</x:v>
      </x:c>
      <x:c r="AK1108" s="3" t="str">
        <x:v>一覧の表示価格。年式は掲載年式。</x:v>
      </x:c>
      <x:c r="AL1108" s="31" t="n">
        <x:f>IF(AND(J1108&lt;='分析方法'!$B$7,OR(ISBLANK(O1108),O1108&gt;='分析方法'!$B$8),X1108&lt;&gt;"売却済み表示"),1,0)</x:f>
        <x:v>1</x:v>
      </x:c>
      <x:c r="AM1108" s="32" t="n">
        <x:f>IF(AL1108=1,U1108,"")</x:f>
        <x:v>739000</x:v>
      </x:c>
      <x:c r="AN1108" s="33" t="str">
        <x:f>IF(AL1108=1,AF1108,"")</x:f>
      </x:c>
      <x:c r="AO1108" s="31" t="n">
        <x:f>'分析方法'!$B$6-J1108</x:f>
        <x:v>2</x:v>
      </x:c>
      <x:c r="AP1108" s="3"/>
    </x:row>
    <x:row r="1109" ht="22" customHeight="1">
      <x:c r="A1109" s="3" t="str">
        <x:v>T2910947</x:v>
      </x:c>
      <x:c r="B1109" s="7" t="d">
        <x:v>2026-10-08T00:00:00.000Z</x:v>
      </x:c>
      <x:c r="C1109" s="3" t="str">
        <x:v>Taladrod</x:v>
      </x:c>
      <x:c r="D1109" s="3" t="str">
        <x:v>Toyota</x:v>
      </x:c>
      <x:c r="E1109" s="3" t="str">
        <x:v>日本</x:v>
      </x:c>
      <x:c r="F1109" s="3" t="str">
        <x:v>Yaris Cross</x:v>
      </x:c>
      <x:c r="G1109" s="3" t="str">
        <x:v>HEV</x:v>
      </x:c>
      <x:c r="H1109" s="3" t="str">
        <x:v>SUV</x:v>
      </x:c>
      <x:c r="I1109" s="3" t="str"/>
      <x:c r="J1109" s="3" t="n">
        <x:v>2024</x:v>
      </x:c>
      <x:c r="K1109" s="3" t="str">
        <x:v>1.5 HEV PREMIUM</x:v>
      </x:c>
      <x:c r="L1109" s="3" t="str">
        <x:v>1.5 HEV PREMIUM</x:v>
      </x:c>
      <x:c r="M1109" s="22"/>
      <x:c r="N1109" s="22"/>
      <x:c r="O1109" s="22"/>
      <x:c r="P1109" s="3" t="str">
        <x:v>未掲載</x:v>
      </x:c>
      <x:c r="Q1109" s="3" t="str">
        <x:v>未取得</x:v>
      </x:c>
      <x:c r="R1109" s="3" t="str">
        <x:v>Unknown</x:v>
      </x:c>
      <x:c r="S1109" s="3" t="str">
        <x:v>不明</x:v>
      </x:c>
      <x:c r="T1109" s="3" t="str">
        <x:v>23-ปัจจุบัน</x:v>
      </x:c>
      <x:c r="U1109" s="28" t="n">
        <x:v>669000</x:v>
      </x:c>
      <x:c r="V1109" s="28" t="n">
        <x:v>849000</x:v>
      </x:c>
      <x:c r="W1109" s="3" t="str">
        <x:v>事故・水没・SOH・保証残は未確認</x:v>
      </x:c>
      <x:c r="X1109" s="3" t="str">
        <x:v>掲載中・在庫未確認</x:v>
      </x:c>
      <x:c r="Y1109" s="3" t="str"/>
      <x:c r="Z1109" s="27" t="str">
        <x:v>https://www.taladrod.com/w40/icar/cardet.aspx?cid=2910947</x:v>
      </x:c>
      <x:c r="AA1109" s="3" t="str">
        <x:v>Taladrod個別広告ID／Carsome在庫ID</x:v>
      </x:c>
      <x:c r="AB1109" s="3" t="str">
        <x:v>車台番号未取得／サイト間重複は未判定</x:v>
      </x:c>
      <x:c r="AC1109" s="3" t="str">
        <x:v>税込区分未確認（一覧表示額）</x:v>
      </x:c>
      <x:c r="AD1109" s="3" t="str"/>
      <x:c r="AE1109" s="29" t="str">
        <x:f>""</x:f>
      </x:c>
      <x:c r="AF1109" s="30" t="str">
        <x:f>IF(ISNUMBER(AE1109),U1109/AE1109,"")</x:f>
      </x:c>
      <x:c r="AG1109" s="29" t="str">
        <x:f>""</x:f>
      </x:c>
      <x:c r="AH1109" s="30" t="str">
        <x:f>IF(ISNUMBER(AG1109),U1109/AG1109,"")</x:f>
      </x:c>
      <x:c r="AI1109" s="3" t="str">
        <x:v>同年式・グレードの検証済み当時価格なし／登録年混在</x:v>
      </x:c>
      <x:c r="AJ1109" s="3" t="str">
        <x:v>一覧価格/年式のみ</x:v>
      </x:c>
      <x:c r="AK1109" s="3" t="str">
        <x:v>一覧の表示価格。年式は掲載年式。</x:v>
      </x:c>
      <x:c r="AL1109" s="31" t="n">
        <x:f>IF(AND(J1109&lt;='分析方法'!$B$7,OR(ISBLANK(O1109),O1109&gt;='分析方法'!$B$8),X1109&lt;&gt;"売却済み表示"),1,0)</x:f>
        <x:v>1</x:v>
      </x:c>
      <x:c r="AM1109" s="32" t="n">
        <x:f>IF(AL1109=1,U1109,"")</x:f>
        <x:v>669000</x:v>
      </x:c>
      <x:c r="AN1109" s="33" t="str">
        <x:f>IF(AL1109=1,AF1109,"")</x:f>
      </x:c>
      <x:c r="AO1109" s="31" t="n">
        <x:f>'分析方法'!$B$6-J1109</x:f>
        <x:v>2</x:v>
      </x:c>
      <x:c r="AP1109" s="3"/>
    </x:row>
    <x:row r="1110" ht="22" customHeight="1">
      <x:c r="A1110" s="3" t="str">
        <x:v>T2914784</x:v>
      </x:c>
      <x:c r="B1110" s="7" t="d">
        <x:v>2026-10-08T00:00:00.000Z</x:v>
      </x:c>
      <x:c r="C1110" s="3" t="str">
        <x:v>Taladrod</x:v>
      </x:c>
      <x:c r="D1110" s="3" t="str">
        <x:v>Toyota</x:v>
      </x:c>
      <x:c r="E1110" s="3" t="str">
        <x:v>日本</x:v>
      </x:c>
      <x:c r="F1110" s="3" t="str">
        <x:v>Yaris Cross</x:v>
      </x:c>
      <x:c r="G1110" s="3" t="str">
        <x:v>HEV</x:v>
      </x:c>
      <x:c r="H1110" s="3" t="str">
        <x:v>SUV</x:v>
      </x:c>
      <x:c r="I1110" s="3" t="str"/>
      <x:c r="J1110" s="3" t="n">
        <x:v>2024</x:v>
      </x:c>
      <x:c r="K1110" s="3" t="str">
        <x:v>1.5 HEV PREMIUM</x:v>
      </x:c>
      <x:c r="L1110" s="3" t="str">
        <x:v>1.5 HEV PREMIUM</x:v>
      </x:c>
      <x:c r="M1110" s="22"/>
      <x:c r="N1110" s="22"/>
      <x:c r="O1110" s="22"/>
      <x:c r="P1110" s="3" t="str">
        <x:v>未掲載</x:v>
      </x:c>
      <x:c r="Q1110" s="3" t="str">
        <x:v>未取得</x:v>
      </x:c>
      <x:c r="R1110" s="3" t="str">
        <x:v>Unknown</x:v>
      </x:c>
      <x:c r="S1110" s="3" t="str">
        <x:v>不明</x:v>
      </x:c>
      <x:c r="T1110" s="3" t="str">
        <x:v>23-ปัจจุบัน</x:v>
      </x:c>
      <x:c r="U1110" s="28" t="n">
        <x:v>668000</x:v>
      </x:c>
      <x:c r="V1110" s="28" t="n">
        <x:v>849000</x:v>
      </x:c>
      <x:c r="W1110" s="3" t="str">
        <x:v>事故・水没・SOH・保証残は未確認</x:v>
      </x:c>
      <x:c r="X1110" s="3" t="str">
        <x:v>掲載中・在庫未確認</x:v>
      </x:c>
      <x:c r="Y1110" s="3" t="str"/>
      <x:c r="Z1110" s="27" t="str">
        <x:v>https://www.taladrod.com/w40/icar/cardet.aspx?cid=2914784</x:v>
      </x:c>
      <x:c r="AA1110" s="3" t="str">
        <x:v>Taladrod個別広告ID／Carsome在庫ID</x:v>
      </x:c>
      <x:c r="AB1110" s="3" t="str">
        <x:v>車台番号未取得／サイト間重複は未判定</x:v>
      </x:c>
      <x:c r="AC1110" s="3" t="str">
        <x:v>税込区分未確認（一覧表示額）</x:v>
      </x:c>
      <x:c r="AD1110" s="3" t="str"/>
      <x:c r="AE1110" s="29" t="str">
        <x:f>""</x:f>
      </x:c>
      <x:c r="AF1110" s="30" t="str">
        <x:f>IF(ISNUMBER(AE1110),U1110/AE1110,"")</x:f>
      </x:c>
      <x:c r="AG1110" s="29" t="str">
        <x:f>""</x:f>
      </x:c>
      <x:c r="AH1110" s="30" t="str">
        <x:f>IF(ISNUMBER(AG1110),U1110/AG1110,"")</x:f>
      </x:c>
      <x:c r="AI1110" s="3" t="str">
        <x:v>同年式・グレードの検証済み当時価格なし／登録年混在</x:v>
      </x:c>
      <x:c r="AJ1110" s="3" t="str">
        <x:v>一覧価格/年式のみ</x:v>
      </x:c>
      <x:c r="AK1110" s="3" t="str">
        <x:v>一覧の表示価格。年式は掲載年式。</x:v>
      </x:c>
      <x:c r="AL1110" s="31" t="n">
        <x:f>IF(AND(J1110&lt;='分析方法'!$B$7,OR(ISBLANK(O1110),O1110&gt;='分析方法'!$B$8),X1110&lt;&gt;"売却済み表示"),1,0)</x:f>
        <x:v>1</x:v>
      </x:c>
      <x:c r="AM1110" s="32" t="n">
        <x:f>IF(AL1110=1,U1110,"")</x:f>
        <x:v>668000</x:v>
      </x:c>
      <x:c r="AN1110" s="33" t="str">
        <x:f>IF(AL1110=1,AF1110,"")</x:f>
      </x:c>
      <x:c r="AO1110" s="31" t="n">
        <x:f>'分析方法'!$B$6-J1110</x:f>
        <x:v>2</x:v>
      </x:c>
      <x:c r="AP1110" s="3"/>
    </x:row>
    <x:row r="1111" ht="22" customHeight="1">
      <x:c r="A1111" s="3" t="str">
        <x:v>T2915642</x:v>
      </x:c>
      <x:c r="B1111" s="7" t="d">
        <x:v>2026-10-08T00:00:00.000Z</x:v>
      </x:c>
      <x:c r="C1111" s="3" t="str">
        <x:v>Taladrod</x:v>
      </x:c>
      <x:c r="D1111" s="3" t="str">
        <x:v>Toyota</x:v>
      </x:c>
      <x:c r="E1111" s="3" t="str">
        <x:v>日本</x:v>
      </x:c>
      <x:c r="F1111" s="3" t="str">
        <x:v>Yaris Cross</x:v>
      </x:c>
      <x:c r="G1111" s="3" t="str">
        <x:v>HEV</x:v>
      </x:c>
      <x:c r="H1111" s="3" t="str">
        <x:v>SUV</x:v>
      </x:c>
      <x:c r="I1111" s="3" t="str"/>
      <x:c r="J1111" s="3" t="n">
        <x:v>2024</x:v>
      </x:c>
      <x:c r="K1111" s="3" t="str">
        <x:v>1.5 HEV PREMIUM</x:v>
      </x:c>
      <x:c r="L1111" s="3" t="str">
        <x:v>1.5 HEV PREMIUM</x:v>
      </x:c>
      <x:c r="M1111" s="22"/>
      <x:c r="N1111" s="22"/>
      <x:c r="O1111" s="22"/>
      <x:c r="P1111" s="3" t="str">
        <x:v>未掲載</x:v>
      </x:c>
      <x:c r="Q1111" s="3" t="str">
        <x:v>未取得</x:v>
      </x:c>
      <x:c r="R1111" s="3" t="str">
        <x:v>Unknown</x:v>
      </x:c>
      <x:c r="S1111" s="3" t="str">
        <x:v>不明</x:v>
      </x:c>
      <x:c r="T1111" s="3" t="str">
        <x:v>23-ปัจจุบัน</x:v>
      </x:c>
      <x:c r="U1111" s="28" t="n">
        <x:v>698000</x:v>
      </x:c>
      <x:c r="V1111" s="28" t="n">
        <x:v>849000</x:v>
      </x:c>
      <x:c r="W1111" s="3" t="str">
        <x:v>事故・水没・SOH・保証残は未確認</x:v>
      </x:c>
      <x:c r="X1111" s="3" t="str">
        <x:v>掲載中・在庫未確認</x:v>
      </x:c>
      <x:c r="Y1111" s="3" t="str"/>
      <x:c r="Z1111" s="27" t="str">
        <x:v>https://www.taladrod.com/w40/icar/cardet.aspx?cid=2915642</x:v>
      </x:c>
      <x:c r="AA1111" s="3" t="str">
        <x:v>Taladrod個別広告ID／Carsome在庫ID</x:v>
      </x:c>
      <x:c r="AB1111" s="3" t="str">
        <x:v>車台番号未取得／サイト間重複は未判定</x:v>
      </x:c>
      <x:c r="AC1111" s="3" t="str">
        <x:v>税込区分未確認（一覧表示額）</x:v>
      </x:c>
      <x:c r="AD1111" s="3" t="str"/>
      <x:c r="AE1111" s="29" t="str">
        <x:f>""</x:f>
      </x:c>
      <x:c r="AF1111" s="30" t="str">
        <x:f>IF(ISNUMBER(AE1111),U1111/AE1111,"")</x:f>
      </x:c>
      <x:c r="AG1111" s="29" t="str">
        <x:f>""</x:f>
      </x:c>
      <x:c r="AH1111" s="30" t="str">
        <x:f>IF(ISNUMBER(AG1111),U1111/AG1111,"")</x:f>
      </x:c>
      <x:c r="AI1111" s="3" t="str">
        <x:v>同年式・グレードの検証済み当時価格なし／登録年混在</x:v>
      </x:c>
      <x:c r="AJ1111" s="3" t="str">
        <x:v>一覧価格/年式のみ</x:v>
      </x:c>
      <x:c r="AK1111" s="3" t="str">
        <x:v>一覧の表示価格。年式は掲載年式。</x:v>
      </x:c>
      <x:c r="AL1111" s="31" t="n">
        <x:f>IF(AND(J1111&lt;='分析方法'!$B$7,OR(ISBLANK(O1111),O1111&gt;='分析方法'!$B$8),X1111&lt;&gt;"売却済み表示"),1,0)</x:f>
        <x:v>1</x:v>
      </x:c>
      <x:c r="AM1111" s="32" t="n">
        <x:f>IF(AL1111=1,U1111,"")</x:f>
        <x:v>698000</x:v>
      </x:c>
      <x:c r="AN1111" s="33" t="str">
        <x:f>IF(AL1111=1,AF1111,"")</x:f>
      </x:c>
      <x:c r="AO1111" s="31" t="n">
        <x:f>'分析方法'!$B$6-J1111</x:f>
        <x:v>2</x:v>
      </x:c>
      <x:c r="AP1111" s="3"/>
    </x:row>
    <x:row r="1112" ht="22" customHeight="1">
      <x:c r="A1112" s="3" t="str">
        <x:v>T2922631</x:v>
      </x:c>
      <x:c r="B1112" s="7" t="d">
        <x:v>2026-10-08T00:00:00.000Z</x:v>
      </x:c>
      <x:c r="C1112" s="3" t="str">
        <x:v>Taladrod</x:v>
      </x:c>
      <x:c r="D1112" s="3" t="str">
        <x:v>Toyota</x:v>
      </x:c>
      <x:c r="E1112" s="3" t="str">
        <x:v>日本</x:v>
      </x:c>
      <x:c r="F1112" s="3" t="str">
        <x:v>Yaris Cross</x:v>
      </x:c>
      <x:c r="G1112" s="3" t="str">
        <x:v>HEV</x:v>
      </x:c>
      <x:c r="H1112" s="3" t="str">
        <x:v>SUV</x:v>
      </x:c>
      <x:c r="I1112" s="3" t="str"/>
      <x:c r="J1112" s="3" t="n">
        <x:v>2024</x:v>
      </x:c>
      <x:c r="K1112" s="3" t="str">
        <x:v>1.5 HEV PREMIUM</x:v>
      </x:c>
      <x:c r="L1112" s="3" t="str">
        <x:v>1.5 HEV PREMIUM</x:v>
      </x:c>
      <x:c r="M1112" s="22"/>
      <x:c r="N1112" s="22"/>
      <x:c r="O1112" s="22"/>
      <x:c r="P1112" s="3" t="str">
        <x:v>未掲載</x:v>
      </x:c>
      <x:c r="Q1112" s="3" t="str">
        <x:v>未取得</x:v>
      </x:c>
      <x:c r="R1112" s="3" t="str">
        <x:v>Unknown</x:v>
      </x:c>
      <x:c r="S1112" s="3" t="str">
        <x:v>不明</x:v>
      </x:c>
      <x:c r="T1112" s="3" t="str">
        <x:v>23-ปัจจุบัน</x:v>
      </x:c>
      <x:c r="U1112" s="28" t="n">
        <x:v>659000</x:v>
      </x:c>
      <x:c r="V1112" s="28" t="n">
        <x:v>849000</x:v>
      </x:c>
      <x:c r="W1112" s="3" t="str">
        <x:v>事故・水没・SOH・保証残は未確認</x:v>
      </x:c>
      <x:c r="X1112" s="3" t="str">
        <x:v>掲載中・在庫未確認</x:v>
      </x:c>
      <x:c r="Y1112" s="3" t="str"/>
      <x:c r="Z1112" s="27" t="str">
        <x:v>https://www.taladrod.com/w40/icar/cardet.aspx?cid=2922631</x:v>
      </x:c>
      <x:c r="AA1112" s="3" t="str">
        <x:v>Taladrod個別広告ID／Carsome在庫ID</x:v>
      </x:c>
      <x:c r="AB1112" s="3" t="str">
        <x:v>車台番号未取得／サイト間重複は未判定</x:v>
      </x:c>
      <x:c r="AC1112" s="3" t="str">
        <x:v>税込区分未確認（一覧表示額）</x:v>
      </x:c>
      <x:c r="AD1112" s="3" t="str"/>
      <x:c r="AE1112" s="29" t="str">
        <x:f>""</x:f>
      </x:c>
      <x:c r="AF1112" s="30" t="str">
        <x:f>IF(ISNUMBER(AE1112),U1112/AE1112,"")</x:f>
      </x:c>
      <x:c r="AG1112" s="29" t="str">
        <x:f>""</x:f>
      </x:c>
      <x:c r="AH1112" s="30" t="str">
        <x:f>IF(ISNUMBER(AG1112),U1112/AG1112,"")</x:f>
      </x:c>
      <x:c r="AI1112" s="3" t="str">
        <x:v>同年式・グレードの検証済み当時価格なし／登録年混在</x:v>
      </x:c>
      <x:c r="AJ1112" s="3" t="str">
        <x:v>一覧価格/年式のみ</x:v>
      </x:c>
      <x:c r="AK1112" s="3" t="str">
        <x:v>一覧の表示価格。年式は掲載年式。</x:v>
      </x:c>
      <x:c r="AL1112" s="31" t="n">
        <x:f>IF(AND(J1112&lt;='分析方法'!$B$7,OR(ISBLANK(O1112),O1112&gt;='分析方法'!$B$8),X1112&lt;&gt;"売却済み表示"),1,0)</x:f>
        <x:v>1</x:v>
      </x:c>
      <x:c r="AM1112" s="32" t="n">
        <x:f>IF(AL1112=1,U1112,"")</x:f>
        <x:v>659000</x:v>
      </x:c>
      <x:c r="AN1112" s="33" t="str">
        <x:f>IF(AL1112=1,AF1112,"")</x:f>
      </x:c>
      <x:c r="AO1112" s="31" t="n">
        <x:f>'分析方法'!$B$6-J1112</x:f>
        <x:v>2</x:v>
      </x:c>
      <x:c r="AP1112" s="3"/>
    </x:row>
    <x:row r="1113" ht="22" customHeight="1">
      <x:c r="A1113" s="3" t="str">
        <x:v>T2924154</x:v>
      </x:c>
      <x:c r="B1113" s="7" t="d">
        <x:v>2026-10-08T00:00:00.000Z</x:v>
      </x:c>
      <x:c r="C1113" s="3" t="str">
        <x:v>Taladrod</x:v>
      </x:c>
      <x:c r="D1113" s="3" t="str">
        <x:v>Toyota</x:v>
      </x:c>
      <x:c r="E1113" s="3" t="str">
        <x:v>日本</x:v>
      </x:c>
      <x:c r="F1113" s="3" t="str">
        <x:v>Yaris Cross</x:v>
      </x:c>
      <x:c r="G1113" s="3" t="str">
        <x:v>HEV</x:v>
      </x:c>
      <x:c r="H1113" s="3" t="str">
        <x:v>SUV</x:v>
      </x:c>
      <x:c r="I1113" s="3" t="str"/>
      <x:c r="J1113" s="3" t="n">
        <x:v>2024</x:v>
      </x:c>
      <x:c r="K1113" s="3" t="str">
        <x:v>1.5 HEV PREMIUM</x:v>
      </x:c>
      <x:c r="L1113" s="3" t="str">
        <x:v>1.5 HEV PREMIUM</x:v>
      </x:c>
      <x:c r="M1113" s="22"/>
      <x:c r="N1113" s="22"/>
      <x:c r="O1113" s="22"/>
      <x:c r="P1113" s="3" t="str">
        <x:v>未掲載</x:v>
      </x:c>
      <x:c r="Q1113" s="3" t="str">
        <x:v>未取得</x:v>
      </x:c>
      <x:c r="R1113" s="3" t="str">
        <x:v>Unknown</x:v>
      </x:c>
      <x:c r="S1113" s="3" t="str">
        <x:v>不明</x:v>
      </x:c>
      <x:c r="T1113" s="3" t="str">
        <x:v>23-ปัจจุบัน</x:v>
      </x:c>
      <x:c r="U1113" s="28" t="n">
        <x:v>678000</x:v>
      </x:c>
      <x:c r="V1113" s="28" t="n">
        <x:v>849000</x:v>
      </x:c>
      <x:c r="W1113" s="3" t="str">
        <x:v>事故・水没・SOH・保証残は未確認</x:v>
      </x:c>
      <x:c r="X1113" s="3" t="str">
        <x:v>掲載中・在庫未確認</x:v>
      </x:c>
      <x:c r="Y1113" s="3" t="str"/>
      <x:c r="Z1113" s="27" t="str">
        <x:v>https://www.taladrod.com/w40/icar/cardet.aspx?cid=2924154</x:v>
      </x:c>
      <x:c r="AA1113" s="3" t="str">
        <x:v>Taladrod個別広告ID／Carsome在庫ID</x:v>
      </x:c>
      <x:c r="AB1113" s="3" t="str">
        <x:v>車台番号未取得／サイト間重複は未判定</x:v>
      </x:c>
      <x:c r="AC1113" s="3" t="str">
        <x:v>税込区分未確認（一覧表示額）</x:v>
      </x:c>
      <x:c r="AD1113" s="3" t="str"/>
      <x:c r="AE1113" s="29" t="str">
        <x:f>""</x:f>
      </x:c>
      <x:c r="AF1113" s="30" t="str">
        <x:f>IF(ISNUMBER(AE1113),U1113/AE1113,"")</x:f>
      </x:c>
      <x:c r="AG1113" s="29" t="str">
        <x:f>""</x:f>
      </x:c>
      <x:c r="AH1113" s="30" t="str">
        <x:f>IF(ISNUMBER(AG1113),U1113/AG1113,"")</x:f>
      </x:c>
      <x:c r="AI1113" s="3" t="str">
        <x:v>同年式・グレードの検証済み当時価格なし／登録年混在</x:v>
      </x:c>
      <x:c r="AJ1113" s="3" t="str">
        <x:v>一覧価格/年式のみ</x:v>
      </x:c>
      <x:c r="AK1113" s="3" t="str">
        <x:v>一覧の表示価格。年式は掲載年式。</x:v>
      </x:c>
      <x:c r="AL1113" s="31" t="n">
        <x:f>IF(AND(J1113&lt;='分析方法'!$B$7,OR(ISBLANK(O1113),O1113&gt;='分析方法'!$B$8),X1113&lt;&gt;"売却済み表示"),1,0)</x:f>
        <x:v>1</x:v>
      </x:c>
      <x:c r="AM1113" s="32" t="n">
        <x:f>IF(AL1113=1,U1113,"")</x:f>
        <x:v>678000</x:v>
      </x:c>
      <x:c r="AN1113" s="33" t="str">
        <x:f>IF(AL1113=1,AF1113,"")</x:f>
      </x:c>
      <x:c r="AO1113" s="31" t="n">
        <x:f>'分析方法'!$B$6-J1113</x:f>
        <x:v>2</x:v>
      </x:c>
      <x:c r="AP1113" s="3"/>
    </x:row>
    <x:row r="1114" ht="22" customHeight="1">
      <x:c r="A1114" s="3" t="str">
        <x:v>T2925176</x:v>
      </x:c>
      <x:c r="B1114" s="7" t="d">
        <x:v>2026-10-08T00:00:00.000Z</x:v>
      </x:c>
      <x:c r="C1114" s="3" t="str">
        <x:v>Taladrod</x:v>
      </x:c>
      <x:c r="D1114" s="3" t="str">
        <x:v>Toyota</x:v>
      </x:c>
      <x:c r="E1114" s="3" t="str">
        <x:v>日本</x:v>
      </x:c>
      <x:c r="F1114" s="3" t="str">
        <x:v>Yaris Cross</x:v>
      </x:c>
      <x:c r="G1114" s="3" t="str">
        <x:v>HEV</x:v>
      </x:c>
      <x:c r="H1114" s="3" t="str">
        <x:v>SUV</x:v>
      </x:c>
      <x:c r="I1114" s="3" t="str"/>
      <x:c r="J1114" s="3" t="n">
        <x:v>2024</x:v>
      </x:c>
      <x:c r="K1114" s="3" t="str">
        <x:v>1.5 HEV PREMIUM</x:v>
      </x:c>
      <x:c r="L1114" s="3" t="str">
        <x:v>1.5 HEV PREMIUM</x:v>
      </x:c>
      <x:c r="M1114" s="22"/>
      <x:c r="N1114" s="22"/>
      <x:c r="O1114" s="22"/>
      <x:c r="P1114" s="3" t="str">
        <x:v>未掲載</x:v>
      </x:c>
      <x:c r="Q1114" s="3" t="str">
        <x:v>未取得</x:v>
      </x:c>
      <x:c r="R1114" s="3" t="str">
        <x:v>Unknown</x:v>
      </x:c>
      <x:c r="S1114" s="3" t="str">
        <x:v>不明</x:v>
      </x:c>
      <x:c r="T1114" s="3" t="str">
        <x:v>23-ปัจจุบัน</x:v>
      </x:c>
      <x:c r="U1114" s="28" t="n">
        <x:v>679000</x:v>
      </x:c>
      <x:c r="V1114" s="28" t="n">
        <x:v>849000</x:v>
      </x:c>
      <x:c r="W1114" s="3" t="str">
        <x:v>事故・水没・SOH・保証残は未確認</x:v>
      </x:c>
      <x:c r="X1114" s="3" t="str">
        <x:v>掲載中・在庫未確認</x:v>
      </x:c>
      <x:c r="Y1114" s="3" t="str"/>
      <x:c r="Z1114" s="27" t="str">
        <x:v>https://www.taladrod.com/w40/icar/cardet.aspx?cid=2925176</x:v>
      </x:c>
      <x:c r="AA1114" s="3" t="str">
        <x:v>Taladrod個別広告ID／Carsome在庫ID</x:v>
      </x:c>
      <x:c r="AB1114" s="3" t="str">
        <x:v>車台番号未取得／サイト間重複は未判定</x:v>
      </x:c>
      <x:c r="AC1114" s="3" t="str">
        <x:v>税込区分未確認（一覧表示額）</x:v>
      </x:c>
      <x:c r="AD1114" s="3" t="str"/>
      <x:c r="AE1114" s="29" t="str">
        <x:f>""</x:f>
      </x:c>
      <x:c r="AF1114" s="30" t="str">
        <x:f>IF(ISNUMBER(AE1114),U1114/AE1114,"")</x:f>
      </x:c>
      <x:c r="AG1114" s="29" t="str">
        <x:f>""</x:f>
      </x:c>
      <x:c r="AH1114" s="30" t="str">
        <x:f>IF(ISNUMBER(AG1114),U1114/AG1114,"")</x:f>
      </x:c>
      <x:c r="AI1114" s="3" t="str">
        <x:v>同年式・グレードの検証済み当時価格なし／登録年混在</x:v>
      </x:c>
      <x:c r="AJ1114" s="3" t="str">
        <x:v>一覧価格/年式のみ</x:v>
      </x:c>
      <x:c r="AK1114" s="3" t="str">
        <x:v>一覧の表示価格。年式は掲載年式。</x:v>
      </x:c>
      <x:c r="AL1114" s="31" t="n">
        <x:f>IF(AND(J1114&lt;='分析方法'!$B$7,OR(ISBLANK(O1114),O1114&gt;='分析方法'!$B$8),X1114&lt;&gt;"売却済み表示"),1,0)</x:f>
        <x:v>1</x:v>
      </x:c>
      <x:c r="AM1114" s="32" t="n">
        <x:f>IF(AL1114=1,U1114,"")</x:f>
        <x:v>679000</x:v>
      </x:c>
      <x:c r="AN1114" s="33" t="str">
        <x:f>IF(AL1114=1,AF1114,"")</x:f>
      </x:c>
      <x:c r="AO1114" s="31" t="n">
        <x:f>'分析方法'!$B$6-J1114</x:f>
        <x:v>2</x:v>
      </x:c>
      <x:c r="AP1114" s="3"/>
    </x:row>
    <x:row r="1115" ht="22" customHeight="1">
      <x:c r="A1115" s="3" t="str">
        <x:v>T2926275</x:v>
      </x:c>
      <x:c r="B1115" s="7" t="d">
        <x:v>2026-10-08T00:00:00.000Z</x:v>
      </x:c>
      <x:c r="C1115" s="3" t="str">
        <x:v>Taladrod</x:v>
      </x:c>
      <x:c r="D1115" s="3" t="str">
        <x:v>Toyota</x:v>
      </x:c>
      <x:c r="E1115" s="3" t="str">
        <x:v>日本</x:v>
      </x:c>
      <x:c r="F1115" s="3" t="str">
        <x:v>Yaris Cross</x:v>
      </x:c>
      <x:c r="G1115" s="3" t="str">
        <x:v>HEV</x:v>
      </x:c>
      <x:c r="H1115" s="3" t="str">
        <x:v>SUV</x:v>
      </x:c>
      <x:c r="I1115" s="3" t="str"/>
      <x:c r="J1115" s="3" t="n">
        <x:v>2024</x:v>
      </x:c>
      <x:c r="K1115" s="3" t="str">
        <x:v>1.5 HEV PREMIUM</x:v>
      </x:c>
      <x:c r="L1115" s="3" t="str">
        <x:v>1.5 HEV PREMIUM</x:v>
      </x:c>
      <x:c r="M1115" s="22"/>
      <x:c r="N1115" s="22"/>
      <x:c r="O1115" s="22"/>
      <x:c r="P1115" s="3" t="str">
        <x:v>未掲載</x:v>
      </x:c>
      <x:c r="Q1115" s="3" t="str">
        <x:v>未取得</x:v>
      </x:c>
      <x:c r="R1115" s="3" t="str">
        <x:v>Unknown</x:v>
      </x:c>
      <x:c r="S1115" s="3" t="str">
        <x:v>不明</x:v>
      </x:c>
      <x:c r="T1115" s="3" t="str">
        <x:v>23-ปัจจุบัน</x:v>
      </x:c>
      <x:c r="U1115" s="28" t="n">
        <x:v>555000</x:v>
      </x:c>
      <x:c r="V1115" s="28" t="n">
        <x:v>849000</x:v>
      </x:c>
      <x:c r="W1115" s="3" t="str">
        <x:v>事故・水没・SOH・保証残は未確認</x:v>
      </x:c>
      <x:c r="X1115" s="3" t="str">
        <x:v>掲載中・在庫未確認</x:v>
      </x:c>
      <x:c r="Y1115" s="3" t="str"/>
      <x:c r="Z1115" s="27" t="str">
        <x:v>https://www.taladrod.com/w40/icar/cardet.aspx?cid=2926275</x:v>
      </x:c>
      <x:c r="AA1115" s="3" t="str">
        <x:v>Taladrod個別広告ID／Carsome在庫ID</x:v>
      </x:c>
      <x:c r="AB1115" s="3" t="str">
        <x:v>車台番号未取得／サイト間重複は未判定</x:v>
      </x:c>
      <x:c r="AC1115" s="3" t="str">
        <x:v>税込区分未確認（一覧表示額）</x:v>
      </x:c>
      <x:c r="AD1115" s="3" t="str"/>
      <x:c r="AE1115" s="29" t="str">
        <x:f>""</x:f>
      </x:c>
      <x:c r="AF1115" s="30" t="str">
        <x:f>IF(ISNUMBER(AE1115),U1115/AE1115,"")</x:f>
      </x:c>
      <x:c r="AG1115" s="29" t="str">
        <x:f>""</x:f>
      </x:c>
      <x:c r="AH1115" s="30" t="str">
        <x:f>IF(ISNUMBER(AG1115),U1115/AG1115,"")</x:f>
      </x:c>
      <x:c r="AI1115" s="3" t="str">
        <x:v>同年式・グレードの検証済み当時価格なし／登録年混在</x:v>
      </x:c>
      <x:c r="AJ1115" s="3" t="str">
        <x:v>一覧価格/年式のみ</x:v>
      </x:c>
      <x:c r="AK1115" s="3" t="str">
        <x:v>一覧の表示価格。年式は掲載年式。</x:v>
      </x:c>
      <x:c r="AL1115" s="31" t="n">
        <x:f>IF(AND(J1115&lt;='分析方法'!$B$7,OR(ISBLANK(O1115),O1115&gt;='分析方法'!$B$8),X1115&lt;&gt;"売却済み表示"),1,0)</x:f>
        <x:v>1</x:v>
      </x:c>
      <x:c r="AM1115" s="32" t="n">
        <x:f>IF(AL1115=1,U1115,"")</x:f>
        <x:v>555000</x:v>
      </x:c>
      <x:c r="AN1115" s="33" t="str">
        <x:f>IF(AL1115=1,AF1115,"")</x:f>
      </x:c>
      <x:c r="AO1115" s="31" t="n">
        <x:f>'分析方法'!$B$6-J1115</x:f>
        <x:v>2</x:v>
      </x:c>
      <x:c r="AP1115" s="3"/>
    </x:row>
    <x:row r="1116" ht="22" customHeight="1">
      <x:c r="A1116" s="3" t="str">
        <x:v>T2882700</x:v>
      </x:c>
      <x:c r="B1116" s="7" t="d">
        <x:v>2026-10-08T00:00:00.000Z</x:v>
      </x:c>
      <x:c r="C1116" s="3" t="str">
        <x:v>Taladrod</x:v>
      </x:c>
      <x:c r="D1116" s="3" t="str">
        <x:v>Toyota</x:v>
      </x:c>
      <x:c r="E1116" s="3" t="str">
        <x:v>日本</x:v>
      </x:c>
      <x:c r="F1116" s="3" t="str">
        <x:v>Yaris Cross</x:v>
      </x:c>
      <x:c r="G1116" s="3" t="str">
        <x:v>HEV</x:v>
      </x:c>
      <x:c r="H1116" s="3" t="str">
        <x:v>SUV</x:v>
      </x:c>
      <x:c r="I1116" s="3" t="str"/>
      <x:c r="J1116" s="3" t="n">
        <x:v>2024</x:v>
      </x:c>
      <x:c r="K1116" s="3" t="str">
        <x:v>1.5 HEV PREMIUM LUXURY</x:v>
      </x:c>
      <x:c r="L1116" s="3" t="str">
        <x:v>1.5 HEV PREMIUM LUXURY</x:v>
      </x:c>
      <x:c r="M1116" s="22"/>
      <x:c r="N1116" s="22"/>
      <x:c r="O1116" s="22"/>
      <x:c r="P1116" s="3" t="str">
        <x:v>未掲載</x:v>
      </x:c>
      <x:c r="Q1116" s="3" t="str">
        <x:v>未取得</x:v>
      </x:c>
      <x:c r="R1116" s="3" t="str">
        <x:v>Unknown</x:v>
      </x:c>
      <x:c r="S1116" s="3" t="str">
        <x:v>不明</x:v>
      </x:c>
      <x:c r="T1116" s="3" t="str">
        <x:v>23-ปัจจุบัน</x:v>
      </x:c>
      <x:c r="U1116" s="28" t="n">
        <x:v>799000</x:v>
      </x:c>
      <x:c r="V1116" s="28" t="n">
        <x:v>899000</x:v>
      </x:c>
      <x:c r="W1116" s="3" t="str">
        <x:v>事故・水没・SOH・保証残は未確認</x:v>
      </x:c>
      <x:c r="X1116" s="3" t="str">
        <x:v>掲載中・在庫未確認</x:v>
      </x:c>
      <x:c r="Y1116" s="3" t="str"/>
      <x:c r="Z1116" s="27" t="str">
        <x:v>https://www.taladrod.com/w40/icar/cardet.aspx?cid=2882700</x:v>
      </x:c>
      <x:c r="AA1116" s="3" t="str">
        <x:v>Taladrod個別広告ID／Carsome在庫ID</x:v>
      </x:c>
      <x:c r="AB1116" s="3" t="str">
        <x:v>車台番号未取得／サイト間重複は未判定</x:v>
      </x:c>
      <x:c r="AC1116" s="3" t="str">
        <x:v>税込区分未確認（一覧表示額）</x:v>
      </x:c>
      <x:c r="AD1116" s="3" t="str"/>
      <x:c r="AE1116" s="29" t="str">
        <x:f>""</x:f>
      </x:c>
      <x:c r="AF1116" s="30" t="str">
        <x:f>IF(ISNUMBER(AE1116),U1116/AE1116,"")</x:f>
      </x:c>
      <x:c r="AG1116" s="29" t="str">
        <x:f>""</x:f>
      </x:c>
      <x:c r="AH1116" s="30" t="str">
        <x:f>IF(ISNUMBER(AG1116),U1116/AG1116,"")</x:f>
      </x:c>
      <x:c r="AI1116" s="3" t="str">
        <x:v>同年式・グレードの検証済み当時価格なし／登録年混在</x:v>
      </x:c>
      <x:c r="AJ1116" s="3" t="str">
        <x:v>一覧価格/年式のみ</x:v>
      </x:c>
      <x:c r="AK1116" s="3" t="str">
        <x:v>一覧の表示価格。年式は掲載年式。</x:v>
      </x:c>
      <x:c r="AL1116" s="31" t="n">
        <x:f>IF(AND(J1116&lt;='分析方法'!$B$7,OR(ISBLANK(O1116),O1116&gt;='分析方法'!$B$8),X1116&lt;&gt;"売却済み表示"),1,0)</x:f>
        <x:v>1</x:v>
      </x:c>
      <x:c r="AM1116" s="32" t="n">
        <x:f>IF(AL1116=1,U1116,"")</x:f>
        <x:v>799000</x:v>
      </x:c>
      <x:c r="AN1116" s="33" t="str">
        <x:f>IF(AL1116=1,AF1116,"")</x:f>
      </x:c>
      <x:c r="AO1116" s="31" t="n">
        <x:f>'分析方法'!$B$6-J1116</x:f>
        <x:v>2</x:v>
      </x:c>
      <x:c r="AP1116" s="3"/>
    </x:row>
    <x:row r="1117" ht="22" customHeight="1">
      <x:c r="A1117" s="3" t="str">
        <x:v>T2893956</x:v>
      </x:c>
      <x:c r="B1117" s="7" t="d">
        <x:v>2026-10-08T00:00:00.000Z</x:v>
      </x:c>
      <x:c r="C1117" s="3" t="str">
        <x:v>Taladrod</x:v>
      </x:c>
      <x:c r="D1117" s="3" t="str">
        <x:v>Toyota</x:v>
      </x:c>
      <x:c r="E1117" s="3" t="str">
        <x:v>日本</x:v>
      </x:c>
      <x:c r="F1117" s="3" t="str">
        <x:v>Yaris Cross</x:v>
      </x:c>
      <x:c r="G1117" s="3" t="str">
        <x:v>HEV</x:v>
      </x:c>
      <x:c r="H1117" s="3" t="str">
        <x:v>SUV</x:v>
      </x:c>
      <x:c r="I1117" s="3" t="str"/>
      <x:c r="J1117" s="3" t="n">
        <x:v>2024</x:v>
      </x:c>
      <x:c r="K1117" s="3" t="str">
        <x:v>1.5 HEV PREMIUM LUXURY</x:v>
      </x:c>
      <x:c r="L1117" s="3" t="str">
        <x:v>1.5 HEV PREMIUM LUXURY</x:v>
      </x:c>
      <x:c r="M1117" s="22"/>
      <x:c r="N1117" s="22"/>
      <x:c r="O1117" s="22"/>
      <x:c r="P1117" s="3" t="str">
        <x:v>未掲載</x:v>
      </x:c>
      <x:c r="Q1117" s="3" t="str">
        <x:v>未取得</x:v>
      </x:c>
      <x:c r="R1117" s="3" t="str">
        <x:v>Unknown</x:v>
      </x:c>
      <x:c r="S1117" s="3" t="str">
        <x:v>不明</x:v>
      </x:c>
      <x:c r="T1117" s="3" t="str">
        <x:v>23-ปัจจุบัน</x:v>
      </x:c>
      <x:c r="U1117" s="28" t="n">
        <x:v>614000</x:v>
      </x:c>
      <x:c r="V1117" s="28" t="n">
        <x:v>899000</x:v>
      </x:c>
      <x:c r="W1117" s="3" t="str">
        <x:v>事故・水没・SOH・保証残は未確認</x:v>
      </x:c>
      <x:c r="X1117" s="3" t="str">
        <x:v>掲載中・在庫未確認</x:v>
      </x:c>
      <x:c r="Y1117" s="3" t="str"/>
      <x:c r="Z1117" s="27" t="str">
        <x:v>https://www.taladrod.com/w40/icar/cardet.aspx?cid=2893956</x:v>
      </x:c>
      <x:c r="AA1117" s="3" t="str">
        <x:v>Taladrod個別広告ID／Carsome在庫ID</x:v>
      </x:c>
      <x:c r="AB1117" s="3" t="str">
        <x:v>車台番号未取得／サイト間重複は未判定</x:v>
      </x:c>
      <x:c r="AC1117" s="3" t="str">
        <x:v>税込区分未確認（一覧表示額）</x:v>
      </x:c>
      <x:c r="AD1117" s="3" t="str"/>
      <x:c r="AE1117" s="29" t="str">
        <x:f>""</x:f>
      </x:c>
      <x:c r="AF1117" s="30" t="str">
        <x:f>IF(ISNUMBER(AE1117),U1117/AE1117,"")</x:f>
      </x:c>
      <x:c r="AG1117" s="29" t="str">
        <x:f>""</x:f>
      </x:c>
      <x:c r="AH1117" s="30" t="str">
        <x:f>IF(ISNUMBER(AG1117),U1117/AG1117,"")</x:f>
      </x:c>
      <x:c r="AI1117" s="3" t="str">
        <x:v>同年式・グレードの検証済み当時価格なし／登録年混在</x:v>
      </x:c>
      <x:c r="AJ1117" s="3" t="str">
        <x:v>一覧価格/年式のみ</x:v>
      </x:c>
      <x:c r="AK1117" s="3" t="str">
        <x:v>一覧の表示価格。年式は掲載年式。</x:v>
      </x:c>
      <x:c r="AL1117" s="31" t="n">
        <x:f>IF(AND(J1117&lt;='分析方法'!$B$7,OR(ISBLANK(O1117),O1117&gt;='分析方法'!$B$8),X1117&lt;&gt;"売却済み表示"),1,0)</x:f>
        <x:v>1</x:v>
      </x:c>
      <x:c r="AM1117" s="32" t="n">
        <x:f>IF(AL1117=1,U1117,"")</x:f>
        <x:v>614000</x:v>
      </x:c>
      <x:c r="AN1117" s="33" t="str">
        <x:f>IF(AL1117=1,AF1117,"")</x:f>
      </x:c>
      <x:c r="AO1117" s="31" t="n">
        <x:f>'分析方法'!$B$6-J1117</x:f>
        <x:v>2</x:v>
      </x:c>
      <x:c r="AP1117" s="3"/>
    </x:row>
    <x:row r="1118" ht="22" customHeight="1">
      <x:c r="A1118" s="3" t="str">
        <x:v>T2897783</x:v>
      </x:c>
      <x:c r="B1118" s="7" t="d">
        <x:v>2026-10-08T00:00:00.000Z</x:v>
      </x:c>
      <x:c r="C1118" s="3" t="str">
        <x:v>Taladrod</x:v>
      </x:c>
      <x:c r="D1118" s="3" t="str">
        <x:v>Toyota</x:v>
      </x:c>
      <x:c r="E1118" s="3" t="str">
        <x:v>日本</x:v>
      </x:c>
      <x:c r="F1118" s="3" t="str">
        <x:v>Yaris Cross</x:v>
      </x:c>
      <x:c r="G1118" s="3" t="str">
        <x:v>HEV</x:v>
      </x:c>
      <x:c r="H1118" s="3" t="str">
        <x:v>SUV</x:v>
      </x:c>
      <x:c r="I1118" s="3" t="str"/>
      <x:c r="J1118" s="3" t="n">
        <x:v>2024</x:v>
      </x:c>
      <x:c r="K1118" s="3" t="str">
        <x:v>1.5 HEV PREMIUM LUXURY</x:v>
      </x:c>
      <x:c r="L1118" s="3" t="str">
        <x:v>1.5 HEV PREMIUM LUXURY</x:v>
      </x:c>
      <x:c r="M1118" s="22"/>
      <x:c r="N1118" s="22"/>
      <x:c r="O1118" s="22"/>
      <x:c r="P1118" s="3" t="str">
        <x:v>未掲載</x:v>
      </x:c>
      <x:c r="Q1118" s="3" t="str">
        <x:v>未取得</x:v>
      </x:c>
      <x:c r="R1118" s="3" t="str">
        <x:v>Unknown</x:v>
      </x:c>
      <x:c r="S1118" s="3" t="str">
        <x:v>不明</x:v>
      </x:c>
      <x:c r="T1118" s="3" t="str">
        <x:v>23-ปัจจุบัน</x:v>
      </x:c>
      <x:c r="U1118" s="28" t="n">
        <x:v>814000</x:v>
      </x:c>
      <x:c r="V1118" s="28" t="n">
        <x:v>899000</x:v>
      </x:c>
      <x:c r="W1118" s="3" t="str">
        <x:v>事故・水没・SOH・保証残は未確認</x:v>
      </x:c>
      <x:c r="X1118" s="3" t="str">
        <x:v>掲載中・在庫未確認</x:v>
      </x:c>
      <x:c r="Y1118" s="3" t="str"/>
      <x:c r="Z1118" s="27" t="str">
        <x:v>https://www.taladrod.com/w40/icar/cardet.aspx?cid=2897783</x:v>
      </x:c>
      <x:c r="AA1118" s="3" t="str">
        <x:v>Taladrod個別広告ID／Carsome在庫ID</x:v>
      </x:c>
      <x:c r="AB1118" s="3" t="str">
        <x:v>車台番号未取得／サイト間重複は未判定</x:v>
      </x:c>
      <x:c r="AC1118" s="3" t="str">
        <x:v>税込区分未確認（一覧表示額）</x:v>
      </x:c>
      <x:c r="AD1118" s="3" t="str"/>
      <x:c r="AE1118" s="29" t="str">
        <x:f>""</x:f>
      </x:c>
      <x:c r="AF1118" s="30" t="str">
        <x:f>IF(ISNUMBER(AE1118),U1118/AE1118,"")</x:f>
      </x:c>
      <x:c r="AG1118" s="29" t="str">
        <x:f>""</x:f>
      </x:c>
      <x:c r="AH1118" s="30" t="str">
        <x:f>IF(ISNUMBER(AG1118),U1118/AG1118,"")</x:f>
      </x:c>
      <x:c r="AI1118" s="3" t="str">
        <x:v>同年式・グレードの検証済み当時価格なし／登録年混在</x:v>
      </x:c>
      <x:c r="AJ1118" s="3" t="str">
        <x:v>一覧価格/年式のみ</x:v>
      </x:c>
      <x:c r="AK1118" s="3" t="str">
        <x:v>一覧の表示価格。年式は掲載年式。</x:v>
      </x:c>
      <x:c r="AL1118" s="31" t="n">
        <x:f>IF(AND(J1118&lt;='分析方法'!$B$7,OR(ISBLANK(O1118),O1118&gt;='分析方法'!$B$8),X1118&lt;&gt;"売却済み表示"),1,0)</x:f>
        <x:v>1</x:v>
      </x:c>
      <x:c r="AM1118" s="32" t="n">
        <x:f>IF(AL1118=1,U1118,"")</x:f>
        <x:v>814000</x:v>
      </x:c>
      <x:c r="AN1118" s="33" t="str">
        <x:f>IF(AL1118=1,AF1118,"")</x:f>
      </x:c>
      <x:c r="AO1118" s="31" t="n">
        <x:f>'分析方法'!$B$6-J1118</x:f>
        <x:v>2</x:v>
      </x:c>
      <x:c r="AP1118" s="3"/>
    </x:row>
    <x:row r="1119" ht="22" customHeight="1">
      <x:c r="A1119" s="3" t="str">
        <x:v>T2899645</x:v>
      </x:c>
      <x:c r="B1119" s="7" t="d">
        <x:v>2026-10-08T00:00:00.000Z</x:v>
      </x:c>
      <x:c r="C1119" s="3" t="str">
        <x:v>Taladrod</x:v>
      </x:c>
      <x:c r="D1119" s="3" t="str">
        <x:v>Toyota</x:v>
      </x:c>
      <x:c r="E1119" s="3" t="str">
        <x:v>日本</x:v>
      </x:c>
      <x:c r="F1119" s="3" t="str">
        <x:v>Yaris Cross</x:v>
      </x:c>
      <x:c r="G1119" s="3" t="str">
        <x:v>HEV</x:v>
      </x:c>
      <x:c r="H1119" s="3" t="str">
        <x:v>SUV</x:v>
      </x:c>
      <x:c r="I1119" s="3" t="str"/>
      <x:c r="J1119" s="3" t="n">
        <x:v>2024</x:v>
      </x:c>
      <x:c r="K1119" s="3" t="str">
        <x:v>1.5 HEV PREMIUM LUXURY</x:v>
      </x:c>
      <x:c r="L1119" s="3" t="str">
        <x:v>1.5 HEV PREMIUM LUXURY</x:v>
      </x:c>
      <x:c r="M1119" s="22"/>
      <x:c r="N1119" s="22"/>
      <x:c r="O1119" s="22"/>
      <x:c r="P1119" s="3" t="str">
        <x:v>未掲載</x:v>
      </x:c>
      <x:c r="Q1119" s="3" t="str">
        <x:v>未取得</x:v>
      </x:c>
      <x:c r="R1119" s="3" t="str">
        <x:v>Unknown</x:v>
      </x:c>
      <x:c r="S1119" s="3" t="str">
        <x:v>不明</x:v>
      </x:c>
      <x:c r="T1119" s="3" t="str">
        <x:v>23-ปัจจุบัน</x:v>
      </x:c>
      <x:c r="U1119" s="28" t="n">
        <x:v>698000</x:v>
      </x:c>
      <x:c r="V1119" s="28" t="n">
        <x:v>899000</x:v>
      </x:c>
      <x:c r="W1119" s="3" t="str">
        <x:v>事故・水没・SOH・保証残は未確認</x:v>
      </x:c>
      <x:c r="X1119" s="3" t="str">
        <x:v>掲載中・在庫未確認</x:v>
      </x:c>
      <x:c r="Y1119" s="3" t="str"/>
      <x:c r="Z1119" s="27" t="str">
        <x:v>https://www.taladrod.com/w40/icar/cardet.aspx?cid=2899645</x:v>
      </x:c>
      <x:c r="AA1119" s="3" t="str">
        <x:v>Taladrod個別広告ID／Carsome在庫ID</x:v>
      </x:c>
      <x:c r="AB1119" s="3" t="str">
        <x:v>車台番号未取得／サイト間重複は未判定</x:v>
      </x:c>
      <x:c r="AC1119" s="3" t="str">
        <x:v>税込区分未確認（一覧表示額）</x:v>
      </x:c>
      <x:c r="AD1119" s="3" t="str"/>
      <x:c r="AE1119" s="29" t="str">
        <x:f>""</x:f>
      </x:c>
      <x:c r="AF1119" s="30" t="str">
        <x:f>IF(ISNUMBER(AE1119),U1119/AE1119,"")</x:f>
      </x:c>
      <x:c r="AG1119" s="29" t="str">
        <x:f>""</x:f>
      </x:c>
      <x:c r="AH1119" s="30" t="str">
        <x:f>IF(ISNUMBER(AG1119),U1119/AG1119,"")</x:f>
      </x:c>
      <x:c r="AI1119" s="3" t="str">
        <x:v>同年式・グレードの検証済み当時価格なし／登録年混在</x:v>
      </x:c>
      <x:c r="AJ1119" s="3" t="str">
        <x:v>一覧価格/年式のみ</x:v>
      </x:c>
      <x:c r="AK1119" s="3" t="str">
        <x:v>一覧の表示価格。年式は掲載年式。</x:v>
      </x:c>
      <x:c r="AL1119" s="31" t="n">
        <x:f>IF(AND(J1119&lt;='分析方法'!$B$7,OR(ISBLANK(O1119),O1119&gt;='分析方法'!$B$8),X1119&lt;&gt;"売却済み表示"),1,0)</x:f>
        <x:v>1</x:v>
      </x:c>
      <x:c r="AM1119" s="32" t="n">
        <x:f>IF(AL1119=1,U1119,"")</x:f>
        <x:v>698000</x:v>
      </x:c>
      <x:c r="AN1119" s="33" t="str">
        <x:f>IF(AL1119=1,AF1119,"")</x:f>
      </x:c>
      <x:c r="AO1119" s="31" t="n">
        <x:f>'分析方法'!$B$6-J1119</x:f>
        <x:v>2</x:v>
      </x:c>
      <x:c r="AP1119" s="3"/>
    </x:row>
    <x:row r="1120" ht="22" customHeight="1">
      <x:c r="A1120" s="3" t="str">
        <x:v>T2908970</x:v>
      </x:c>
      <x:c r="B1120" s="7" t="d">
        <x:v>2026-10-08T00:00:00.000Z</x:v>
      </x:c>
      <x:c r="C1120" s="3" t="str">
        <x:v>Taladrod</x:v>
      </x:c>
      <x:c r="D1120" s="3" t="str">
        <x:v>Toyota</x:v>
      </x:c>
      <x:c r="E1120" s="3" t="str">
        <x:v>日本</x:v>
      </x:c>
      <x:c r="F1120" s="3" t="str">
        <x:v>Yaris Cross</x:v>
      </x:c>
      <x:c r="G1120" s="3" t="str">
        <x:v>HEV</x:v>
      </x:c>
      <x:c r="H1120" s="3" t="str">
        <x:v>SUV</x:v>
      </x:c>
      <x:c r="I1120" s="3" t="str"/>
      <x:c r="J1120" s="3" t="n">
        <x:v>2024</x:v>
      </x:c>
      <x:c r="K1120" s="3" t="str">
        <x:v>1.5 HEV PREMIUM LUXURY</x:v>
      </x:c>
      <x:c r="L1120" s="3" t="str">
        <x:v>1.5 HEV PREMIUM LUXURY</x:v>
      </x:c>
      <x:c r="M1120" s="22"/>
      <x:c r="N1120" s="22"/>
      <x:c r="O1120" s="22"/>
      <x:c r="P1120" s="3" t="str">
        <x:v>未掲載</x:v>
      </x:c>
      <x:c r="Q1120" s="3" t="str">
        <x:v>未取得</x:v>
      </x:c>
      <x:c r="R1120" s="3" t="str">
        <x:v>Unknown</x:v>
      </x:c>
      <x:c r="S1120" s="3" t="str">
        <x:v>不明</x:v>
      </x:c>
      <x:c r="T1120" s="3" t="str">
        <x:v>23-ปัจจุบัน</x:v>
      </x:c>
      <x:c r="U1120" s="28" t="n">
        <x:v>730000</x:v>
      </x:c>
      <x:c r="V1120" s="28" t="n">
        <x:v>899000</x:v>
      </x:c>
      <x:c r="W1120" s="3" t="str">
        <x:v>事故・水没・SOH・保証残は未確認</x:v>
      </x:c>
      <x:c r="X1120" s="3" t="str">
        <x:v>掲載中・在庫未確認</x:v>
      </x:c>
      <x:c r="Y1120" s="3" t="str"/>
      <x:c r="Z1120" s="27" t="str">
        <x:v>https://www.taladrod.com/w40/icar/cardet.aspx?cid=2908970</x:v>
      </x:c>
      <x:c r="AA1120" s="3" t="str">
        <x:v>Taladrod個別広告ID／Carsome在庫ID</x:v>
      </x:c>
      <x:c r="AB1120" s="3" t="str">
        <x:v>車台番号未取得／サイト間重複は未判定</x:v>
      </x:c>
      <x:c r="AC1120" s="3" t="str">
        <x:v>税込区分未確認（一覧表示額）</x:v>
      </x:c>
      <x:c r="AD1120" s="3" t="str"/>
      <x:c r="AE1120" s="29" t="str">
        <x:f>""</x:f>
      </x:c>
      <x:c r="AF1120" s="30" t="str">
        <x:f>IF(ISNUMBER(AE1120),U1120/AE1120,"")</x:f>
      </x:c>
      <x:c r="AG1120" s="29" t="str">
        <x:f>""</x:f>
      </x:c>
      <x:c r="AH1120" s="30" t="str">
        <x:f>IF(ISNUMBER(AG1120),U1120/AG1120,"")</x:f>
      </x:c>
      <x:c r="AI1120" s="3" t="str">
        <x:v>同年式・グレードの検証済み当時価格なし／登録年混在</x:v>
      </x:c>
      <x:c r="AJ1120" s="3" t="str">
        <x:v>一覧価格/年式のみ</x:v>
      </x:c>
      <x:c r="AK1120" s="3" t="str">
        <x:v>一覧の表示価格。年式は掲載年式。</x:v>
      </x:c>
      <x:c r="AL1120" s="31" t="n">
        <x:f>IF(AND(J1120&lt;='分析方法'!$B$7,OR(ISBLANK(O1120),O1120&gt;='分析方法'!$B$8),X1120&lt;&gt;"売却済み表示"),1,0)</x:f>
        <x:v>1</x:v>
      </x:c>
      <x:c r="AM1120" s="32" t="n">
        <x:f>IF(AL1120=1,U1120,"")</x:f>
        <x:v>730000</x:v>
      </x:c>
      <x:c r="AN1120" s="33" t="str">
        <x:f>IF(AL1120=1,AF1120,"")</x:f>
      </x:c>
      <x:c r="AO1120" s="31" t="n">
        <x:f>'分析方法'!$B$6-J1120</x:f>
        <x:v>2</x:v>
      </x:c>
      <x:c r="AP1120" s="3"/>
    </x:row>
    <x:row r="1121" ht="22" customHeight="1">
      <x:c r="A1121" s="3" t="str">
        <x:v>T2919791</x:v>
      </x:c>
      <x:c r="B1121" s="7" t="d">
        <x:v>2026-10-08T00:00:00.000Z</x:v>
      </x:c>
      <x:c r="C1121" s="3" t="str">
        <x:v>Taladrod</x:v>
      </x:c>
      <x:c r="D1121" s="3" t="str">
        <x:v>Toyota</x:v>
      </x:c>
      <x:c r="E1121" s="3" t="str">
        <x:v>日本</x:v>
      </x:c>
      <x:c r="F1121" s="3" t="str">
        <x:v>Yaris Cross</x:v>
      </x:c>
      <x:c r="G1121" s="3" t="str">
        <x:v>HEV</x:v>
      </x:c>
      <x:c r="H1121" s="3" t="str">
        <x:v>SUV</x:v>
      </x:c>
      <x:c r="I1121" s="3" t="str"/>
      <x:c r="J1121" s="3" t="n">
        <x:v>2024</x:v>
      </x:c>
      <x:c r="K1121" s="3" t="str">
        <x:v>1.5 HEV PREMIUM LUXURY</x:v>
      </x:c>
      <x:c r="L1121" s="3" t="str">
        <x:v>1.5 HEV PREMIUM LUXURY</x:v>
      </x:c>
      <x:c r="M1121" s="22"/>
      <x:c r="N1121" s="22"/>
      <x:c r="O1121" s="22"/>
      <x:c r="P1121" s="3" t="str">
        <x:v>未掲載</x:v>
      </x:c>
      <x:c r="Q1121" s="3" t="str">
        <x:v>未取得</x:v>
      </x:c>
      <x:c r="R1121" s="3" t="str">
        <x:v>Unknown</x:v>
      </x:c>
      <x:c r="S1121" s="3" t="str">
        <x:v>不明</x:v>
      </x:c>
      <x:c r="T1121" s="3" t="str">
        <x:v>23-ปัจจุบัน</x:v>
      </x:c>
      <x:c r="U1121" s="28" t="n">
        <x:v>658000</x:v>
      </x:c>
      <x:c r="V1121" s="28" t="n">
        <x:v>899000</x:v>
      </x:c>
      <x:c r="W1121" s="3" t="str">
        <x:v>事故・水没・SOH・保証残は未確認</x:v>
      </x:c>
      <x:c r="X1121" s="3" t="str">
        <x:v>掲載中・在庫未確認</x:v>
      </x:c>
      <x:c r="Y1121" s="3" t="str"/>
      <x:c r="Z1121" s="27" t="str">
        <x:v>https://www.taladrod.com/w40/icar/cardet.aspx?cid=2919791</x:v>
      </x:c>
      <x:c r="AA1121" s="3" t="str">
        <x:v>Taladrod個別広告ID／Carsome在庫ID</x:v>
      </x:c>
      <x:c r="AB1121" s="3" t="str">
        <x:v>車台番号未取得／サイト間重複は未判定</x:v>
      </x:c>
      <x:c r="AC1121" s="3" t="str">
        <x:v>税込区分未確認（一覧表示額）</x:v>
      </x:c>
      <x:c r="AD1121" s="3" t="str"/>
      <x:c r="AE1121" s="29" t="str">
        <x:f>""</x:f>
      </x:c>
      <x:c r="AF1121" s="30" t="str">
        <x:f>IF(ISNUMBER(AE1121),U1121/AE1121,"")</x:f>
      </x:c>
      <x:c r="AG1121" s="29" t="str">
        <x:f>""</x:f>
      </x:c>
      <x:c r="AH1121" s="30" t="str">
        <x:f>IF(ISNUMBER(AG1121),U1121/AG1121,"")</x:f>
      </x:c>
      <x:c r="AI1121" s="3" t="str">
        <x:v>同年式・グレードの検証済み当時価格なし／登録年混在</x:v>
      </x:c>
      <x:c r="AJ1121" s="3" t="str">
        <x:v>一覧価格/年式のみ</x:v>
      </x:c>
      <x:c r="AK1121" s="3" t="str">
        <x:v>一覧の表示価格。年式は掲載年式。</x:v>
      </x:c>
      <x:c r="AL1121" s="31" t="n">
        <x:f>IF(AND(J1121&lt;='分析方法'!$B$7,OR(ISBLANK(O1121),O1121&gt;='分析方法'!$B$8),X1121&lt;&gt;"売却済み表示"),1,0)</x:f>
        <x:v>1</x:v>
      </x:c>
      <x:c r="AM1121" s="32" t="n">
        <x:f>IF(AL1121=1,U1121,"")</x:f>
        <x:v>658000</x:v>
      </x:c>
      <x:c r="AN1121" s="33" t="str">
        <x:f>IF(AL1121=1,AF1121,"")</x:f>
      </x:c>
      <x:c r="AO1121" s="31" t="n">
        <x:f>'分析方法'!$B$6-J1121</x:f>
        <x:v>2</x:v>
      </x:c>
      <x:c r="AP1121" s="3"/>
    </x:row>
    <x:row r="1122" ht="22" customHeight="1">
      <x:c r="A1122" s="3" t="str">
        <x:v>T2922024</x:v>
      </x:c>
      <x:c r="B1122" s="7" t="d">
        <x:v>2026-10-08T00:00:00.000Z</x:v>
      </x:c>
      <x:c r="C1122" s="3" t="str">
        <x:v>Taladrod</x:v>
      </x:c>
      <x:c r="D1122" s="3" t="str">
        <x:v>Toyota</x:v>
      </x:c>
      <x:c r="E1122" s="3" t="str">
        <x:v>日本</x:v>
      </x:c>
      <x:c r="F1122" s="3" t="str">
        <x:v>Yaris Cross</x:v>
      </x:c>
      <x:c r="G1122" s="3" t="str">
        <x:v>HEV</x:v>
      </x:c>
      <x:c r="H1122" s="3" t="str">
        <x:v>SUV</x:v>
      </x:c>
      <x:c r="I1122" s="3" t="str"/>
      <x:c r="J1122" s="3" t="n">
        <x:v>2024</x:v>
      </x:c>
      <x:c r="K1122" s="3" t="str">
        <x:v>1.5 HEV PREMIUM LUXURY</x:v>
      </x:c>
      <x:c r="L1122" s="3" t="str">
        <x:v>1.5 HEV PREMIUM LUXURY</x:v>
      </x:c>
      <x:c r="M1122" s="22"/>
      <x:c r="N1122" s="22"/>
      <x:c r="O1122" s="22"/>
      <x:c r="P1122" s="3" t="str">
        <x:v>未掲載</x:v>
      </x:c>
      <x:c r="Q1122" s="3" t="str">
        <x:v>未取得</x:v>
      </x:c>
      <x:c r="R1122" s="3" t="str">
        <x:v>Unknown</x:v>
      </x:c>
      <x:c r="S1122" s="3" t="str">
        <x:v>不明</x:v>
      </x:c>
      <x:c r="T1122" s="3" t="str">
        <x:v>23-ปัจจุบัน</x:v>
      </x:c>
      <x:c r="U1122" s="28" t="n">
        <x:v>669000</x:v>
      </x:c>
      <x:c r="V1122" s="28" t="n">
        <x:v>899000</x:v>
      </x:c>
      <x:c r="W1122" s="3" t="str">
        <x:v>事故・水没・SOH・保証残は未確認</x:v>
      </x:c>
      <x:c r="X1122" s="3" t="str">
        <x:v>掲載中・在庫未確認</x:v>
      </x:c>
      <x:c r="Y1122" s="3" t="str"/>
      <x:c r="Z1122" s="27" t="str">
        <x:v>https://www.taladrod.com/w40/icar/cardet.aspx?cid=2922024</x:v>
      </x:c>
      <x:c r="AA1122" s="3" t="str">
        <x:v>Taladrod個別広告ID／Carsome在庫ID</x:v>
      </x:c>
      <x:c r="AB1122" s="3" t="str">
        <x:v>車台番号未取得／サイト間重複は未判定</x:v>
      </x:c>
      <x:c r="AC1122" s="3" t="str">
        <x:v>税込区分未確認（一覧表示額）</x:v>
      </x:c>
      <x:c r="AD1122" s="3" t="str"/>
      <x:c r="AE1122" s="29" t="str">
        <x:f>""</x:f>
      </x:c>
      <x:c r="AF1122" s="30" t="str">
        <x:f>IF(ISNUMBER(AE1122),U1122/AE1122,"")</x:f>
      </x:c>
      <x:c r="AG1122" s="29" t="str">
        <x:f>""</x:f>
      </x:c>
      <x:c r="AH1122" s="30" t="str">
        <x:f>IF(ISNUMBER(AG1122),U1122/AG1122,"")</x:f>
      </x:c>
      <x:c r="AI1122" s="3" t="str">
        <x:v>同年式・グレードの検証済み当時価格なし／登録年混在</x:v>
      </x:c>
      <x:c r="AJ1122" s="3" t="str">
        <x:v>一覧価格/年式のみ</x:v>
      </x:c>
      <x:c r="AK1122" s="3" t="str">
        <x:v>一覧の表示価格。年式は掲載年式。</x:v>
      </x:c>
      <x:c r="AL1122" s="31" t="n">
        <x:f>IF(AND(J1122&lt;='分析方法'!$B$7,OR(ISBLANK(O1122),O1122&gt;='分析方法'!$B$8),X1122&lt;&gt;"売却済み表示"),1,0)</x:f>
        <x:v>1</x:v>
      </x:c>
      <x:c r="AM1122" s="32" t="n">
        <x:f>IF(AL1122=1,U1122,"")</x:f>
        <x:v>669000</x:v>
      </x:c>
      <x:c r="AN1122" s="33" t="str">
        <x:f>IF(AL1122=1,AF1122,"")</x:f>
      </x:c>
      <x:c r="AO1122" s="31" t="n">
        <x:f>'分析方法'!$B$6-J1122</x:f>
        <x:v>2</x:v>
      </x:c>
      <x:c r="AP1122" s="3"/>
    </x:row>
    <x:row r="1123" ht="22" customHeight="1">
      <x:c r="A1123" s="3" t="str">
        <x:v>T2922519</x:v>
      </x:c>
      <x:c r="B1123" s="7" t="d">
        <x:v>2026-10-08T00:00:00.000Z</x:v>
      </x:c>
      <x:c r="C1123" s="3" t="str">
        <x:v>Taladrod</x:v>
      </x:c>
      <x:c r="D1123" s="3" t="str">
        <x:v>Toyota</x:v>
      </x:c>
      <x:c r="E1123" s="3" t="str">
        <x:v>日本</x:v>
      </x:c>
      <x:c r="F1123" s="3" t="str">
        <x:v>Yaris Cross</x:v>
      </x:c>
      <x:c r="G1123" s="3" t="str">
        <x:v>HEV</x:v>
      </x:c>
      <x:c r="H1123" s="3" t="str">
        <x:v>SUV</x:v>
      </x:c>
      <x:c r="I1123" s="3" t="str"/>
      <x:c r="J1123" s="3" t="n">
        <x:v>2024</x:v>
      </x:c>
      <x:c r="K1123" s="3" t="str">
        <x:v>1.5 HEV PREMIUM LUXURY</x:v>
      </x:c>
      <x:c r="L1123" s="3" t="str">
        <x:v>1.5 HEV PREMIUM LUXURY</x:v>
      </x:c>
      <x:c r="M1123" s="22"/>
      <x:c r="N1123" s="22"/>
      <x:c r="O1123" s="22"/>
      <x:c r="P1123" s="3" t="str">
        <x:v>未掲載</x:v>
      </x:c>
      <x:c r="Q1123" s="3" t="str">
        <x:v>未取得</x:v>
      </x:c>
      <x:c r="R1123" s="3" t="str">
        <x:v>Unknown</x:v>
      </x:c>
      <x:c r="S1123" s="3" t="str">
        <x:v>不明</x:v>
      </x:c>
      <x:c r="T1123" s="3" t="str">
        <x:v>23-ปัจจุบัน</x:v>
      </x:c>
      <x:c r="U1123" s="28" t="n">
        <x:v>667000</x:v>
      </x:c>
      <x:c r="V1123" s="28" t="n">
        <x:v>899000</x:v>
      </x:c>
      <x:c r="W1123" s="3" t="str">
        <x:v>事故・水没・SOH・保証残は未確認</x:v>
      </x:c>
      <x:c r="X1123" s="3" t="str">
        <x:v>掲載中・在庫未確認</x:v>
      </x:c>
      <x:c r="Y1123" s="3" t="str"/>
      <x:c r="Z1123" s="27" t="str">
        <x:v>https://www.taladrod.com/w40/icar/cardet.aspx?cid=2922519</x:v>
      </x:c>
      <x:c r="AA1123" s="3" t="str">
        <x:v>Taladrod個別広告ID／Carsome在庫ID</x:v>
      </x:c>
      <x:c r="AB1123" s="3" t="str">
        <x:v>車台番号未取得／サイト間重複は未判定</x:v>
      </x:c>
      <x:c r="AC1123" s="3" t="str">
        <x:v>税込区分未確認（一覧表示額）</x:v>
      </x:c>
      <x:c r="AD1123" s="3" t="str"/>
      <x:c r="AE1123" s="29" t="str">
        <x:f>""</x:f>
      </x:c>
      <x:c r="AF1123" s="30" t="str">
        <x:f>IF(ISNUMBER(AE1123),U1123/AE1123,"")</x:f>
      </x:c>
      <x:c r="AG1123" s="29" t="str">
        <x:f>""</x:f>
      </x:c>
      <x:c r="AH1123" s="30" t="str">
        <x:f>IF(ISNUMBER(AG1123),U1123/AG1123,"")</x:f>
      </x:c>
      <x:c r="AI1123" s="3" t="str">
        <x:v>同年式・グレードの検証済み当時価格なし／登録年混在</x:v>
      </x:c>
      <x:c r="AJ1123" s="3" t="str">
        <x:v>一覧価格/年式のみ</x:v>
      </x:c>
      <x:c r="AK1123" s="3" t="str">
        <x:v>一覧の表示価格。年式は掲載年式。</x:v>
      </x:c>
      <x:c r="AL1123" s="31" t="n">
        <x:f>IF(AND(J1123&lt;='分析方法'!$B$7,OR(ISBLANK(O1123),O1123&gt;='分析方法'!$B$8),X1123&lt;&gt;"売却済み表示"),1,0)</x:f>
        <x:v>1</x:v>
      </x:c>
      <x:c r="AM1123" s="32" t="n">
        <x:f>IF(AL1123=1,U1123,"")</x:f>
        <x:v>667000</x:v>
      </x:c>
      <x:c r="AN1123" s="33" t="str">
        <x:f>IF(AL1123=1,AF1123,"")</x:f>
      </x:c>
      <x:c r="AO1123" s="31" t="n">
        <x:f>'分析方法'!$B$6-J1123</x:f>
        <x:v>2</x:v>
      </x:c>
      <x:c r="AP1123" s="3"/>
    </x:row>
    <x:row r="1124" ht="22" customHeight="1">
      <x:c r="A1124" s="3" t="str">
        <x:v>T2925117</x:v>
      </x:c>
      <x:c r="B1124" s="7" t="d">
        <x:v>2026-10-08T00:00:00.000Z</x:v>
      </x:c>
      <x:c r="C1124" s="3" t="str">
        <x:v>Taladrod</x:v>
      </x:c>
      <x:c r="D1124" s="3" t="str">
        <x:v>Toyota</x:v>
      </x:c>
      <x:c r="E1124" s="3" t="str">
        <x:v>日本</x:v>
      </x:c>
      <x:c r="F1124" s="3" t="str">
        <x:v>Yaris Cross</x:v>
      </x:c>
      <x:c r="G1124" s="3" t="str">
        <x:v>HEV</x:v>
      </x:c>
      <x:c r="H1124" s="3" t="str">
        <x:v>SUV</x:v>
      </x:c>
      <x:c r="I1124" s="3" t="str"/>
      <x:c r="J1124" s="3" t="n">
        <x:v>2024</x:v>
      </x:c>
      <x:c r="K1124" s="3" t="str">
        <x:v>1.5 HEV PREMIUM LUXURY</x:v>
      </x:c>
      <x:c r="L1124" s="3" t="str">
        <x:v>1.5 HEV PREMIUM LUXURY</x:v>
      </x:c>
      <x:c r="M1124" s="22"/>
      <x:c r="N1124" s="22"/>
      <x:c r="O1124" s="22"/>
      <x:c r="P1124" s="3" t="str">
        <x:v>未掲載</x:v>
      </x:c>
      <x:c r="Q1124" s="3" t="str">
        <x:v>未取得</x:v>
      </x:c>
      <x:c r="R1124" s="3" t="str">
        <x:v>Unknown</x:v>
      </x:c>
      <x:c r="S1124" s="3" t="str">
        <x:v>不明</x:v>
      </x:c>
      <x:c r="T1124" s="3" t="str">
        <x:v>23-ปัจจุบัน</x:v>
      </x:c>
      <x:c r="U1124" s="28" t="n">
        <x:v>550000</x:v>
      </x:c>
      <x:c r="V1124" s="28" t="n">
        <x:v>899000</x:v>
      </x:c>
      <x:c r="W1124" s="3" t="str">
        <x:v>事故・水没・SOH・保証残は未確認</x:v>
      </x:c>
      <x:c r="X1124" s="3" t="str">
        <x:v>掲載中・在庫未確認</x:v>
      </x:c>
      <x:c r="Y1124" s="3" t="str"/>
      <x:c r="Z1124" s="27" t="str">
        <x:v>https://www.taladrod.com/w40/icar/cardet.aspx?cid=2925117</x:v>
      </x:c>
      <x:c r="AA1124" s="3" t="str">
        <x:v>Taladrod個別広告ID／Carsome在庫ID</x:v>
      </x:c>
      <x:c r="AB1124" s="3" t="str">
        <x:v>車台番号未取得／サイト間重複は未判定</x:v>
      </x:c>
      <x:c r="AC1124" s="3" t="str">
        <x:v>税込区分未確認（一覧表示額）</x:v>
      </x:c>
      <x:c r="AD1124" s="3" t="str"/>
      <x:c r="AE1124" s="29" t="str">
        <x:f>""</x:f>
      </x:c>
      <x:c r="AF1124" s="30" t="str">
        <x:f>IF(ISNUMBER(AE1124),U1124/AE1124,"")</x:f>
      </x:c>
      <x:c r="AG1124" s="29" t="str">
        <x:f>""</x:f>
      </x:c>
      <x:c r="AH1124" s="30" t="str">
        <x:f>IF(ISNUMBER(AG1124),U1124/AG1124,"")</x:f>
      </x:c>
      <x:c r="AI1124" s="3" t="str">
        <x:v>同年式・グレードの検証済み当時価格なし／登録年混在</x:v>
      </x:c>
      <x:c r="AJ1124" s="3" t="str">
        <x:v>一覧価格/年式のみ</x:v>
      </x:c>
      <x:c r="AK1124" s="3" t="str">
        <x:v>一覧の表示価格。年式は掲載年式。</x:v>
      </x:c>
      <x:c r="AL1124" s="31" t="n">
        <x:f>IF(AND(J1124&lt;='分析方法'!$B$7,OR(ISBLANK(O1124),O1124&gt;='分析方法'!$B$8),X1124&lt;&gt;"売却済み表示"),1,0)</x:f>
        <x:v>1</x:v>
      </x:c>
      <x:c r="AM1124" s="32" t="n">
        <x:f>IF(AL1124=1,U1124,"")</x:f>
        <x:v>550000</x:v>
      </x:c>
      <x:c r="AN1124" s="33" t="str">
        <x:f>IF(AL1124=1,AF1124,"")</x:f>
      </x:c>
      <x:c r="AO1124" s="31" t="n">
        <x:f>'分析方法'!$B$6-J1124</x:f>
        <x:v>2</x:v>
      </x:c>
      <x:c r="AP1124" s="3"/>
    </x:row>
    <x:row r="1125" ht="22" customHeight="1">
      <x:c r="A1125" s="3" t="str">
        <x:v>T2926307</x:v>
      </x:c>
      <x:c r="B1125" s="7" t="d">
        <x:v>2026-10-08T00:00:00.000Z</x:v>
      </x:c>
      <x:c r="C1125" s="3" t="str">
        <x:v>Taladrod</x:v>
      </x:c>
      <x:c r="D1125" s="3" t="str">
        <x:v>Toyota</x:v>
      </x:c>
      <x:c r="E1125" s="3" t="str">
        <x:v>日本</x:v>
      </x:c>
      <x:c r="F1125" s="3" t="str">
        <x:v>Yaris Cross</x:v>
      </x:c>
      <x:c r="G1125" s="3" t="str">
        <x:v>HEV</x:v>
      </x:c>
      <x:c r="H1125" s="3" t="str">
        <x:v>SUV</x:v>
      </x:c>
      <x:c r="I1125" s="3" t="str"/>
      <x:c r="J1125" s="3" t="n">
        <x:v>2024</x:v>
      </x:c>
      <x:c r="K1125" s="3" t="str">
        <x:v>1.5 HEV PREMIUM LUXURY</x:v>
      </x:c>
      <x:c r="L1125" s="3" t="str">
        <x:v>1.5 HEV PREMIUM LUXURY</x:v>
      </x:c>
      <x:c r="M1125" s="22"/>
      <x:c r="N1125" s="22"/>
      <x:c r="O1125" s="22"/>
      <x:c r="P1125" s="3" t="str">
        <x:v>未掲載</x:v>
      </x:c>
      <x:c r="Q1125" s="3" t="str">
        <x:v>未取得</x:v>
      </x:c>
      <x:c r="R1125" s="3" t="str">
        <x:v>Unknown</x:v>
      </x:c>
      <x:c r="S1125" s="3" t="str">
        <x:v>不明</x:v>
      </x:c>
      <x:c r="T1125" s="3" t="str">
        <x:v>23-ปัจจุบัน</x:v>
      </x:c>
      <x:c r="U1125" s="28" t="n">
        <x:v>689000</x:v>
      </x:c>
      <x:c r="V1125" s="28" t="n">
        <x:v>899000</x:v>
      </x:c>
      <x:c r="W1125" s="3" t="str">
        <x:v>事故・水没・SOH・保証残は未確認</x:v>
      </x:c>
      <x:c r="X1125" s="3" t="str">
        <x:v>掲載中・在庫未確認</x:v>
      </x:c>
      <x:c r="Y1125" s="3" t="str"/>
      <x:c r="Z1125" s="27" t="str">
        <x:v>https://www.taladrod.com/w40/icar/cardet.aspx?cid=2926307</x:v>
      </x:c>
      <x:c r="AA1125" s="3" t="str">
        <x:v>Taladrod個別広告ID／Carsome在庫ID</x:v>
      </x:c>
      <x:c r="AB1125" s="3" t="str">
        <x:v>車台番号未取得／サイト間重複は未判定</x:v>
      </x:c>
      <x:c r="AC1125" s="3" t="str">
        <x:v>税込区分未確認（一覧表示額）</x:v>
      </x:c>
      <x:c r="AD1125" s="3" t="str"/>
      <x:c r="AE1125" s="29" t="str">
        <x:f>""</x:f>
      </x:c>
      <x:c r="AF1125" s="30" t="str">
        <x:f>IF(ISNUMBER(AE1125),U1125/AE1125,"")</x:f>
      </x:c>
      <x:c r="AG1125" s="29" t="str">
        <x:f>""</x:f>
      </x:c>
      <x:c r="AH1125" s="30" t="str">
        <x:f>IF(ISNUMBER(AG1125),U1125/AG1125,"")</x:f>
      </x:c>
      <x:c r="AI1125" s="3" t="str">
        <x:v>同年式・グレードの検証済み当時価格なし／登録年混在</x:v>
      </x:c>
      <x:c r="AJ1125" s="3" t="str">
        <x:v>一覧価格/年式のみ</x:v>
      </x:c>
      <x:c r="AK1125" s="3" t="str">
        <x:v>一覧の表示価格。年式は掲載年式。</x:v>
      </x:c>
      <x:c r="AL1125" s="31" t="n">
        <x:f>IF(AND(J1125&lt;='分析方法'!$B$7,OR(ISBLANK(O1125),O1125&gt;='分析方法'!$B$8),X1125&lt;&gt;"売却済み表示"),1,0)</x:f>
        <x:v>1</x:v>
      </x:c>
      <x:c r="AM1125" s="32" t="n">
        <x:f>IF(AL1125=1,U1125,"")</x:f>
        <x:v>689000</x:v>
      </x:c>
      <x:c r="AN1125" s="33" t="str">
        <x:f>IF(AL1125=1,AF1125,"")</x:f>
      </x:c>
      <x:c r="AO1125" s="31" t="n">
        <x:f>'分析方法'!$B$6-J1125</x:f>
        <x:v>2</x:v>
      </x:c>
      <x:c r="AP1125" s="3"/>
    </x:row>
    <x:row r="1126" ht="22" customHeight="1">
      <x:c r="A1126" s="3" t="str">
        <x:v>T2918025</x:v>
      </x:c>
      <x:c r="B1126" s="7" t="d">
        <x:v>2026-10-08T00:00:00.000Z</x:v>
      </x:c>
      <x:c r="C1126" s="3" t="str">
        <x:v>Taladrod</x:v>
      </x:c>
      <x:c r="D1126" s="3" t="str">
        <x:v>Toyota</x:v>
      </x:c>
      <x:c r="E1126" s="3" t="str">
        <x:v>日本</x:v>
      </x:c>
      <x:c r="F1126" s="3" t="str">
        <x:v>Yaris Cross</x:v>
      </x:c>
      <x:c r="G1126" s="3" t="str">
        <x:v>HEV</x:v>
      </x:c>
      <x:c r="H1126" s="3" t="str">
        <x:v>SUV</x:v>
      </x:c>
      <x:c r="I1126" s="3" t="str"/>
      <x:c r="J1126" s="3" t="n">
        <x:v>2024</x:v>
      </x:c>
      <x:c r="K1126" s="3" t="str">
        <x:v>1.5 HEV SMART</x:v>
      </x:c>
      <x:c r="L1126" s="3" t="str">
        <x:v>1.5 HEV SMART</x:v>
      </x:c>
      <x:c r="M1126" s="22"/>
      <x:c r="N1126" s="22"/>
      <x:c r="O1126" s="22"/>
      <x:c r="P1126" s="3" t="str">
        <x:v>未掲載</x:v>
      </x:c>
      <x:c r="Q1126" s="3" t="str">
        <x:v>未取得</x:v>
      </x:c>
      <x:c r="R1126" s="3" t="str">
        <x:v>Unknown</x:v>
      </x:c>
      <x:c r="S1126" s="3" t="str">
        <x:v>不明</x:v>
      </x:c>
      <x:c r="T1126" s="3" t="str">
        <x:v>23-ปัจจุบัน</x:v>
      </x:c>
      <x:c r="U1126" s="28" t="n">
        <x:v>659000</x:v>
      </x:c>
      <x:c r="V1126" s="28" t="n">
        <x:v>789000</x:v>
      </x:c>
      <x:c r="W1126" s="3" t="str">
        <x:v>事故・水没・SOH・保証残は未確認</x:v>
      </x:c>
      <x:c r="X1126" s="3" t="str">
        <x:v>掲載中・在庫未確認</x:v>
      </x:c>
      <x:c r="Y1126" s="3" t="str"/>
      <x:c r="Z1126" s="27" t="str">
        <x:v>https://www.taladrod.com/w40/icar/cardet.aspx?cid=2918025</x:v>
      </x:c>
      <x:c r="AA1126" s="3" t="str">
        <x:v>Taladrod個別広告ID／Carsome在庫ID</x:v>
      </x:c>
      <x:c r="AB1126" s="3" t="str">
        <x:v>車台番号未取得／サイト間重複は未判定</x:v>
      </x:c>
      <x:c r="AC1126" s="3" t="str">
        <x:v>税込区分未確認（一覧表示額）</x:v>
      </x:c>
      <x:c r="AD1126" s="3" t="str"/>
      <x:c r="AE1126" s="29" t="str">
        <x:f>""</x:f>
      </x:c>
      <x:c r="AF1126" s="30" t="str">
        <x:f>IF(ISNUMBER(AE1126),U1126/AE1126,"")</x:f>
      </x:c>
      <x:c r="AG1126" s="29" t="str">
        <x:f>""</x:f>
      </x:c>
      <x:c r="AH1126" s="30" t="str">
        <x:f>IF(ISNUMBER(AG1126),U1126/AG1126,"")</x:f>
      </x:c>
      <x:c r="AI1126" s="3" t="str">
        <x:v>同年式・グレードの検証済み当時価格なし／登録年混在</x:v>
      </x:c>
      <x:c r="AJ1126" s="3" t="str">
        <x:v>一覧価格/年式のみ</x:v>
      </x:c>
      <x:c r="AK1126" s="3" t="str">
        <x:v>一覧の表示価格。年式は掲載年式。</x:v>
      </x:c>
      <x:c r="AL1126" s="31" t="n">
        <x:f>IF(AND(J1126&lt;='分析方法'!$B$7,OR(ISBLANK(O1126),O1126&gt;='分析方法'!$B$8),X1126&lt;&gt;"売却済み表示"),1,0)</x:f>
        <x:v>1</x:v>
      </x:c>
      <x:c r="AM1126" s="32" t="n">
        <x:f>IF(AL1126=1,U1126,"")</x:f>
        <x:v>659000</x:v>
      </x:c>
      <x:c r="AN1126" s="33" t="str">
        <x:f>IF(AL1126=1,AF1126,"")</x:f>
      </x:c>
      <x:c r="AO1126" s="31" t="n">
        <x:f>'分析方法'!$B$6-J1126</x:f>
        <x:v>2</x:v>
      </x:c>
      <x:c r="AP1126" s="3"/>
    </x:row>
    <x:row r="1127" ht="22" customHeight="1">
      <x:c r="A1127" s="3" t="str">
        <x:v>T2899415</x:v>
      </x:c>
      <x:c r="B1127" s="7" t="d">
        <x:v>2026-10-08T00:00:00.000Z</x:v>
      </x:c>
      <x:c r="C1127" s="3" t="str">
        <x:v>Taladrod</x:v>
      </x:c>
      <x:c r="D1127" s="3" t="str">
        <x:v>Toyota</x:v>
      </x:c>
      <x:c r="E1127" s="3" t="str">
        <x:v>日本</x:v>
      </x:c>
      <x:c r="F1127" s="3" t="str">
        <x:v>Yaris Cross</x:v>
      </x:c>
      <x:c r="G1127" s="3" t="str">
        <x:v>HEV</x:v>
      </x:c>
      <x:c r="H1127" s="3" t="str">
        <x:v>SUV</x:v>
      </x:c>
      <x:c r="I1127" s="3" t="str"/>
      <x:c r="J1127" s="3" t="n">
        <x:v>2025</x:v>
      </x:c>
      <x:c r="K1127" s="3" t="str">
        <x:v>1.5 HEV PREMIUM</x:v>
      </x:c>
      <x:c r="L1127" s="3" t="str">
        <x:v>1.5 HEV PREMIUM</x:v>
      </x:c>
      <x:c r="M1127" s="22"/>
      <x:c r="N1127" s="22"/>
      <x:c r="O1127" s="22"/>
      <x:c r="P1127" s="3" t="str">
        <x:v>未掲載</x:v>
      </x:c>
      <x:c r="Q1127" s="3" t="str">
        <x:v>未取得</x:v>
      </x:c>
      <x:c r="R1127" s="3" t="str">
        <x:v>Unknown</x:v>
      </x:c>
      <x:c r="S1127" s="3" t="str">
        <x:v>不明</x:v>
      </x:c>
      <x:c r="T1127" s="3" t="str">
        <x:v>23-ปัจจุบัน</x:v>
      </x:c>
      <x:c r="U1127" s="28" t="n">
        <x:v>674000</x:v>
      </x:c>
      <x:c r="V1127" s="28" t="n">
        <x:v>849000</x:v>
      </x:c>
      <x:c r="W1127" s="3" t="str">
        <x:v>事故・水没・SOH・保証残は未確認</x:v>
      </x:c>
      <x:c r="X1127" s="3" t="str">
        <x:v>掲載中・在庫未確認</x:v>
      </x:c>
      <x:c r="Y1127" s="3" t="str"/>
      <x:c r="Z1127" s="27" t="str">
        <x:v>https://www.taladrod.com/w40/icar/cardet.aspx?cid=2899415</x:v>
      </x:c>
      <x:c r="AA1127" s="3" t="str">
        <x:v>Taladrod個別広告ID／Carsome在庫ID</x:v>
      </x:c>
      <x:c r="AB1127" s="3" t="str">
        <x:v>車台番号未取得／サイト間重複は未判定</x:v>
      </x:c>
      <x:c r="AC1127" s="3" t="str">
        <x:v>税込区分未確認（一覧表示額）</x:v>
      </x:c>
      <x:c r="AD1127" s="3" t="str"/>
      <x:c r="AE1127" s="29" t="str">
        <x:f>""</x:f>
      </x:c>
      <x:c r="AF1127" s="30" t="str">
        <x:f>IF(ISNUMBER(AE1127),U1127/AE1127,"")</x:f>
      </x:c>
      <x:c r="AG1127" s="29" t="str">
        <x:f>""</x:f>
      </x:c>
      <x:c r="AH1127" s="30" t="str">
        <x:f>IF(ISNUMBER(AG1127),U1127/AG1127,"")</x:f>
      </x:c>
      <x:c r="AI1127" s="3" t="str">
        <x:v>同年式・グレードの検証済み当時価格なし／登録年混在</x:v>
      </x:c>
      <x:c r="AJ1127" s="3" t="str">
        <x:v>一覧価格/年式のみ</x:v>
      </x:c>
      <x:c r="AK1127" s="3" t="str">
        <x:v>一覧の表示価格。年式は掲載年式。</x:v>
      </x:c>
      <x:c r="AL1127" s="31" t="n">
        <x:f>IF(AND(J1127&lt;='分析方法'!$B$7,OR(ISBLANK(O1127),O1127&gt;='分析方法'!$B$8),X1127&lt;&gt;"売却済み表示"),1,0)</x:f>
        <x:v>1</x:v>
      </x:c>
      <x:c r="AM1127" s="32" t="n">
        <x:f>IF(AL1127=1,U1127,"")</x:f>
        <x:v>674000</x:v>
      </x:c>
      <x:c r="AN1127" s="33" t="str">
        <x:f>IF(AL1127=1,AF1127,"")</x:f>
      </x:c>
      <x:c r="AO1127" s="31" t="n">
        <x:f>'分析方法'!$B$6-J1127</x:f>
        <x:v>1</x:v>
      </x:c>
      <x:c r="AP1127" s="3"/>
    </x:row>
    <x:row r="1128" ht="22" customHeight="1">
      <x:c r="A1128" s="3" t="str">
        <x:v>T2909617</x:v>
      </x:c>
      <x:c r="B1128" s="7" t="d">
        <x:v>2026-10-08T00:00:00.000Z</x:v>
      </x:c>
      <x:c r="C1128" s="3" t="str">
        <x:v>Taladrod</x:v>
      </x:c>
      <x:c r="D1128" s="3" t="str">
        <x:v>Toyota</x:v>
      </x:c>
      <x:c r="E1128" s="3" t="str">
        <x:v>日本</x:v>
      </x:c>
      <x:c r="F1128" s="3" t="str">
        <x:v>Yaris Cross</x:v>
      </x:c>
      <x:c r="G1128" s="3" t="str">
        <x:v>HEV</x:v>
      </x:c>
      <x:c r="H1128" s="3" t="str">
        <x:v>SUV</x:v>
      </x:c>
      <x:c r="I1128" s="3" t="str"/>
      <x:c r="J1128" s="3" t="n">
        <x:v>2025</x:v>
      </x:c>
      <x:c r="K1128" s="3" t="str">
        <x:v>1.5 HEV PREMIUM</x:v>
      </x:c>
      <x:c r="L1128" s="3" t="str">
        <x:v>1.5 HEV PREMIUM</x:v>
      </x:c>
      <x:c r="M1128" s="22"/>
      <x:c r="N1128" s="22"/>
      <x:c r="O1128" s="22"/>
      <x:c r="P1128" s="3" t="str">
        <x:v>未掲載</x:v>
      </x:c>
      <x:c r="Q1128" s="3" t="str">
        <x:v>未取得</x:v>
      </x:c>
      <x:c r="R1128" s="3" t="str">
        <x:v>Unknown</x:v>
      </x:c>
      <x:c r="S1128" s="3" t="str">
        <x:v>不明</x:v>
      </x:c>
      <x:c r="T1128" s="3" t="str">
        <x:v>23-ปัจจุบัน</x:v>
      </x:c>
      <x:c r="U1128" s="28" t="n">
        <x:v>669000</x:v>
      </x:c>
      <x:c r="V1128" s="28" t="n">
        <x:v>849000</x:v>
      </x:c>
      <x:c r="W1128" s="3" t="str">
        <x:v>事故・水没・SOH・保証残は未確認</x:v>
      </x:c>
      <x:c r="X1128" s="3" t="str">
        <x:v>掲載中・在庫未確認</x:v>
      </x:c>
      <x:c r="Y1128" s="3" t="str"/>
      <x:c r="Z1128" s="27" t="str">
        <x:v>https://www.taladrod.com/w40/icar/cardet.aspx?cid=2909617</x:v>
      </x:c>
      <x:c r="AA1128" s="3" t="str">
        <x:v>Taladrod個別広告ID／Carsome在庫ID</x:v>
      </x:c>
      <x:c r="AB1128" s="3" t="str">
        <x:v>車台番号未取得／サイト間重複は未判定</x:v>
      </x:c>
      <x:c r="AC1128" s="3" t="str">
        <x:v>税込区分未確認（一覧表示額）</x:v>
      </x:c>
      <x:c r="AD1128" s="3" t="str"/>
      <x:c r="AE1128" s="29" t="str">
        <x:f>""</x:f>
      </x:c>
      <x:c r="AF1128" s="30" t="str">
        <x:f>IF(ISNUMBER(AE1128),U1128/AE1128,"")</x:f>
      </x:c>
      <x:c r="AG1128" s="29" t="str">
        <x:f>""</x:f>
      </x:c>
      <x:c r="AH1128" s="30" t="str">
        <x:f>IF(ISNUMBER(AG1128),U1128/AG1128,"")</x:f>
      </x:c>
      <x:c r="AI1128" s="3" t="str">
        <x:v>同年式・グレードの検証済み当時価格なし／登録年混在</x:v>
      </x:c>
      <x:c r="AJ1128" s="3" t="str">
        <x:v>一覧価格/年式のみ</x:v>
      </x:c>
      <x:c r="AK1128" s="3" t="str">
        <x:v>一覧の表示価格。年式は掲載年式。</x:v>
      </x:c>
      <x:c r="AL1128" s="31" t="n">
        <x:f>IF(AND(J1128&lt;='分析方法'!$B$7,OR(ISBLANK(O1128),O1128&gt;='分析方法'!$B$8),X1128&lt;&gt;"売却済み表示"),1,0)</x:f>
        <x:v>1</x:v>
      </x:c>
      <x:c r="AM1128" s="32" t="n">
        <x:f>IF(AL1128=1,U1128,"")</x:f>
        <x:v>669000</x:v>
      </x:c>
      <x:c r="AN1128" s="33" t="str">
        <x:f>IF(AL1128=1,AF1128,"")</x:f>
      </x:c>
      <x:c r="AO1128" s="31" t="n">
        <x:f>'分析方法'!$B$6-J1128</x:f>
        <x:v>1</x:v>
      </x:c>
      <x:c r="AP1128" s="3"/>
    </x:row>
    <x:row r="1129" ht="22" customHeight="1">
      <x:c r="A1129" s="3" t="str">
        <x:v>T2911089</x:v>
      </x:c>
      <x:c r="B1129" s="7" t="d">
        <x:v>2026-10-08T00:00:00.000Z</x:v>
      </x:c>
      <x:c r="C1129" s="3" t="str">
        <x:v>Taladrod</x:v>
      </x:c>
      <x:c r="D1129" s="3" t="str">
        <x:v>Toyota</x:v>
      </x:c>
      <x:c r="E1129" s="3" t="str">
        <x:v>日本</x:v>
      </x:c>
      <x:c r="F1129" s="3" t="str">
        <x:v>Yaris Cross</x:v>
      </x:c>
      <x:c r="G1129" s="3" t="str">
        <x:v>HEV</x:v>
      </x:c>
      <x:c r="H1129" s="3" t="str">
        <x:v>SUV</x:v>
      </x:c>
      <x:c r="I1129" s="3" t="str"/>
      <x:c r="J1129" s="3" t="n">
        <x:v>2025</x:v>
      </x:c>
      <x:c r="K1129" s="3" t="str">
        <x:v>1.5 HEV PREMIUM</x:v>
      </x:c>
      <x:c r="L1129" s="3" t="str">
        <x:v>1.5 HEV PREMIUM</x:v>
      </x:c>
      <x:c r="M1129" s="22"/>
      <x:c r="N1129" s="22"/>
      <x:c r="O1129" s="22"/>
      <x:c r="P1129" s="3" t="str">
        <x:v>未掲載</x:v>
      </x:c>
      <x:c r="Q1129" s="3" t="str">
        <x:v>未取得</x:v>
      </x:c>
      <x:c r="R1129" s="3" t="str">
        <x:v>Unknown</x:v>
      </x:c>
      <x:c r="S1129" s="3" t="str">
        <x:v>不明</x:v>
      </x:c>
      <x:c r="T1129" s="3" t="str">
        <x:v>23-ปัจจุบัน</x:v>
      </x:c>
      <x:c r="U1129" s="28" t="n">
        <x:v>599000</x:v>
      </x:c>
      <x:c r="V1129" s="28" t="n">
        <x:v>849000</x:v>
      </x:c>
      <x:c r="W1129" s="3" t="str">
        <x:v>事故・水没・SOH・保証残は未確認</x:v>
      </x:c>
      <x:c r="X1129" s="3" t="str">
        <x:v>掲載中・在庫未確認</x:v>
      </x:c>
      <x:c r="Y1129" s="3" t="str"/>
      <x:c r="Z1129" s="27" t="str">
        <x:v>https://www.taladrod.com/w40/icar/cardet.aspx?cid=2911089</x:v>
      </x:c>
      <x:c r="AA1129" s="3" t="str">
        <x:v>Taladrod個別広告ID／Carsome在庫ID</x:v>
      </x:c>
      <x:c r="AB1129" s="3" t="str">
        <x:v>車台番号未取得／サイト間重複は未判定</x:v>
      </x:c>
      <x:c r="AC1129" s="3" t="str">
        <x:v>税込区分未確認（一覧表示額）</x:v>
      </x:c>
      <x:c r="AD1129" s="3" t="str"/>
      <x:c r="AE1129" s="29" t="str">
        <x:f>""</x:f>
      </x:c>
      <x:c r="AF1129" s="30" t="str">
        <x:f>IF(ISNUMBER(AE1129),U1129/AE1129,"")</x:f>
      </x:c>
      <x:c r="AG1129" s="29" t="str">
        <x:f>""</x:f>
      </x:c>
      <x:c r="AH1129" s="30" t="str">
        <x:f>IF(ISNUMBER(AG1129),U1129/AG1129,"")</x:f>
      </x:c>
      <x:c r="AI1129" s="3" t="str">
        <x:v>同年式・グレードの検証済み当時価格なし／登録年混在</x:v>
      </x:c>
      <x:c r="AJ1129" s="3" t="str">
        <x:v>一覧価格/年式のみ</x:v>
      </x:c>
      <x:c r="AK1129" s="3" t="str">
        <x:v>一覧の表示価格。年式は掲載年式。</x:v>
      </x:c>
      <x:c r="AL1129" s="31" t="n">
        <x:f>IF(AND(J1129&lt;='分析方法'!$B$7,OR(ISBLANK(O1129),O1129&gt;='分析方法'!$B$8),X1129&lt;&gt;"売却済み表示"),1,0)</x:f>
        <x:v>1</x:v>
      </x:c>
      <x:c r="AM1129" s="32" t="n">
        <x:f>IF(AL1129=1,U1129,"")</x:f>
        <x:v>599000</x:v>
      </x:c>
      <x:c r="AN1129" s="33" t="str">
        <x:f>IF(AL1129=1,AF1129,"")</x:f>
      </x:c>
      <x:c r="AO1129" s="31" t="n">
        <x:f>'分析方法'!$B$6-J1129</x:f>
        <x:v>1</x:v>
      </x:c>
      <x:c r="AP1129" s="3"/>
    </x:row>
    <x:row r="1130" ht="22" customHeight="1">
      <x:c r="A1130" s="3" t="str">
        <x:v>T2913358</x:v>
      </x:c>
      <x:c r="B1130" s="7" t="d">
        <x:v>2026-10-08T00:00:00.000Z</x:v>
      </x:c>
      <x:c r="C1130" s="3" t="str">
        <x:v>Taladrod</x:v>
      </x:c>
      <x:c r="D1130" s="3" t="str">
        <x:v>Toyota</x:v>
      </x:c>
      <x:c r="E1130" s="3" t="str">
        <x:v>日本</x:v>
      </x:c>
      <x:c r="F1130" s="3" t="str">
        <x:v>Yaris Cross</x:v>
      </x:c>
      <x:c r="G1130" s="3" t="str">
        <x:v>HEV</x:v>
      </x:c>
      <x:c r="H1130" s="3" t="str">
        <x:v>SUV</x:v>
      </x:c>
      <x:c r="I1130" s="3" t="str"/>
      <x:c r="J1130" s="3" t="n">
        <x:v>2025</x:v>
      </x:c>
      <x:c r="K1130" s="3" t="str">
        <x:v>1.5 HEV PREMIUM</x:v>
      </x:c>
      <x:c r="L1130" s="3" t="str">
        <x:v>1.5 HEV PREMIUM</x:v>
      </x:c>
      <x:c r="M1130" s="22"/>
      <x:c r="N1130" s="22"/>
      <x:c r="O1130" s="22"/>
      <x:c r="P1130" s="3" t="str">
        <x:v>未掲載</x:v>
      </x:c>
      <x:c r="Q1130" s="3" t="str">
        <x:v>未取得</x:v>
      </x:c>
      <x:c r="R1130" s="3" t="str">
        <x:v>Unknown</x:v>
      </x:c>
      <x:c r="S1130" s="3" t="str">
        <x:v>不明</x:v>
      </x:c>
      <x:c r="T1130" s="3" t="str">
        <x:v>23-ปัจจุบัน</x:v>
      </x:c>
      <x:c r="U1130" s="28" t="n">
        <x:v>674000</x:v>
      </x:c>
      <x:c r="V1130" s="28" t="n">
        <x:v>849000</x:v>
      </x:c>
      <x:c r="W1130" s="3" t="str">
        <x:v>事故・水没・SOH・保証残は未確認</x:v>
      </x:c>
      <x:c r="X1130" s="3" t="str">
        <x:v>掲載中・在庫未確認</x:v>
      </x:c>
      <x:c r="Y1130" s="3" t="str"/>
      <x:c r="Z1130" s="27" t="str">
        <x:v>https://www.taladrod.com/w40/icar/cardet.aspx?cid=2913358</x:v>
      </x:c>
      <x:c r="AA1130" s="3" t="str">
        <x:v>Taladrod個別広告ID／Carsome在庫ID</x:v>
      </x:c>
      <x:c r="AB1130" s="3" t="str">
        <x:v>車台番号未取得／サイト間重複は未判定</x:v>
      </x:c>
      <x:c r="AC1130" s="3" t="str">
        <x:v>税込区分未確認（一覧表示額）</x:v>
      </x:c>
      <x:c r="AD1130" s="3" t="str"/>
      <x:c r="AE1130" s="29" t="str">
        <x:f>""</x:f>
      </x:c>
      <x:c r="AF1130" s="30" t="str">
        <x:f>IF(ISNUMBER(AE1130),U1130/AE1130,"")</x:f>
      </x:c>
      <x:c r="AG1130" s="29" t="str">
        <x:f>""</x:f>
      </x:c>
      <x:c r="AH1130" s="30" t="str">
        <x:f>IF(ISNUMBER(AG1130),U1130/AG1130,"")</x:f>
      </x:c>
      <x:c r="AI1130" s="3" t="str">
        <x:v>同年式・グレードの検証済み当時価格なし／登録年混在</x:v>
      </x:c>
      <x:c r="AJ1130" s="3" t="str">
        <x:v>一覧価格/年式のみ</x:v>
      </x:c>
      <x:c r="AK1130" s="3" t="str">
        <x:v>一覧の表示価格。年式は掲載年式。</x:v>
      </x:c>
      <x:c r="AL1130" s="31" t="n">
        <x:f>IF(AND(J1130&lt;='分析方法'!$B$7,OR(ISBLANK(O1130),O1130&gt;='分析方法'!$B$8),X1130&lt;&gt;"売却済み表示"),1,0)</x:f>
        <x:v>1</x:v>
      </x:c>
      <x:c r="AM1130" s="32" t="n">
        <x:f>IF(AL1130=1,U1130,"")</x:f>
        <x:v>674000</x:v>
      </x:c>
      <x:c r="AN1130" s="33" t="str">
        <x:f>IF(AL1130=1,AF1130,"")</x:f>
      </x:c>
      <x:c r="AO1130" s="31" t="n">
        <x:f>'分析方法'!$B$6-J1130</x:f>
        <x:v>1</x:v>
      </x:c>
      <x:c r="AP1130" s="3"/>
    </x:row>
    <x:row r="1131" ht="22" customHeight="1">
      <x:c r="A1131" s="3" t="str">
        <x:v>T2919384</x:v>
      </x:c>
      <x:c r="B1131" s="7" t="d">
        <x:v>2026-10-08T00:00:00.000Z</x:v>
      </x:c>
      <x:c r="C1131" s="3" t="str">
        <x:v>Taladrod</x:v>
      </x:c>
      <x:c r="D1131" s="3" t="str">
        <x:v>Toyota</x:v>
      </x:c>
      <x:c r="E1131" s="3" t="str">
        <x:v>日本</x:v>
      </x:c>
      <x:c r="F1131" s="3" t="str">
        <x:v>Yaris Cross</x:v>
      </x:c>
      <x:c r="G1131" s="3" t="str">
        <x:v>HEV</x:v>
      </x:c>
      <x:c r="H1131" s="3" t="str">
        <x:v>SUV</x:v>
      </x:c>
      <x:c r="I1131" s="3" t="str"/>
      <x:c r="J1131" s="3" t="n">
        <x:v>2025</x:v>
      </x:c>
      <x:c r="K1131" s="3" t="str">
        <x:v>1.5 HEV PREMIUM</x:v>
      </x:c>
      <x:c r="L1131" s="3" t="str">
        <x:v>1.5 HEV PREMIUM</x:v>
      </x:c>
      <x:c r="M1131" s="22"/>
      <x:c r="N1131" s="22"/>
      <x:c r="O1131" s="22"/>
      <x:c r="P1131" s="3" t="str">
        <x:v>未掲載</x:v>
      </x:c>
      <x:c r="Q1131" s="3" t="str">
        <x:v>未取得</x:v>
      </x:c>
      <x:c r="R1131" s="3" t="str">
        <x:v>Unknown</x:v>
      </x:c>
      <x:c r="S1131" s="3" t="str">
        <x:v>不明</x:v>
      </x:c>
      <x:c r="T1131" s="3" t="str">
        <x:v>23-ปัจจุบัน</x:v>
      </x:c>
      <x:c r="U1131" s="28" t="n">
        <x:v>745000</x:v>
      </x:c>
      <x:c r="V1131" s="28" t="n">
        <x:v>849000</x:v>
      </x:c>
      <x:c r="W1131" s="3" t="str">
        <x:v>事故・水没・SOH・保証残は未確認</x:v>
      </x:c>
      <x:c r="X1131" s="3" t="str">
        <x:v>掲載中・在庫未確認</x:v>
      </x:c>
      <x:c r="Y1131" s="3" t="str"/>
      <x:c r="Z1131" s="27" t="str">
        <x:v>https://www.taladrod.com/w40/icar/cardet.aspx?cid=2919384</x:v>
      </x:c>
      <x:c r="AA1131" s="3" t="str">
        <x:v>Taladrod個別広告ID／Carsome在庫ID</x:v>
      </x:c>
      <x:c r="AB1131" s="3" t="str">
        <x:v>車台番号未取得／サイト間重複は未判定</x:v>
      </x:c>
      <x:c r="AC1131" s="3" t="str">
        <x:v>税込区分未確認（一覧表示額）</x:v>
      </x:c>
      <x:c r="AD1131" s="3" t="str"/>
      <x:c r="AE1131" s="29" t="str">
        <x:f>""</x:f>
      </x:c>
      <x:c r="AF1131" s="30" t="str">
        <x:f>IF(ISNUMBER(AE1131),U1131/AE1131,"")</x:f>
      </x:c>
      <x:c r="AG1131" s="29" t="str">
        <x:f>""</x:f>
      </x:c>
      <x:c r="AH1131" s="30" t="str">
        <x:f>IF(ISNUMBER(AG1131),U1131/AG1131,"")</x:f>
      </x:c>
      <x:c r="AI1131" s="3" t="str">
        <x:v>同年式・グレードの検証済み当時価格なし／登録年混在</x:v>
      </x:c>
      <x:c r="AJ1131" s="3" t="str">
        <x:v>一覧価格/年式のみ</x:v>
      </x:c>
      <x:c r="AK1131" s="3" t="str">
        <x:v>一覧の表示価格。年式は掲載年式。</x:v>
      </x:c>
      <x:c r="AL1131" s="31" t="n">
        <x:f>IF(AND(J1131&lt;='分析方法'!$B$7,OR(ISBLANK(O1131),O1131&gt;='分析方法'!$B$8),X1131&lt;&gt;"売却済み表示"),1,0)</x:f>
        <x:v>1</x:v>
      </x:c>
      <x:c r="AM1131" s="32" t="n">
        <x:f>IF(AL1131=1,U1131,"")</x:f>
        <x:v>745000</x:v>
      </x:c>
      <x:c r="AN1131" s="33" t="str">
        <x:f>IF(AL1131=1,AF1131,"")</x:f>
      </x:c>
      <x:c r="AO1131" s="31" t="n">
        <x:f>'分析方法'!$B$6-J1131</x:f>
        <x:v>1</x:v>
      </x:c>
      <x:c r="AP1131" s="3"/>
    </x:row>
    <x:row r="1132" ht="22" customHeight="1">
      <x:c r="A1132" s="3" t="str">
        <x:v>T2925181</x:v>
      </x:c>
      <x:c r="B1132" s="7" t="d">
        <x:v>2026-10-08T00:00:00.000Z</x:v>
      </x:c>
      <x:c r="C1132" s="3" t="str">
        <x:v>Taladrod</x:v>
      </x:c>
      <x:c r="D1132" s="3" t="str">
        <x:v>Toyota</x:v>
      </x:c>
      <x:c r="E1132" s="3" t="str">
        <x:v>日本</x:v>
      </x:c>
      <x:c r="F1132" s="3" t="str">
        <x:v>Yaris Cross</x:v>
      </x:c>
      <x:c r="G1132" s="3" t="str">
        <x:v>HEV</x:v>
      </x:c>
      <x:c r="H1132" s="3" t="str">
        <x:v>SUV</x:v>
      </x:c>
      <x:c r="I1132" s="3" t="str"/>
      <x:c r="J1132" s="3" t="n">
        <x:v>2025</x:v>
      </x:c>
      <x:c r="K1132" s="3" t="str">
        <x:v>1.5 HEV PREMIUM</x:v>
      </x:c>
      <x:c r="L1132" s="3" t="str">
        <x:v>1.5 HEV PREMIUM</x:v>
      </x:c>
      <x:c r="M1132" s="22"/>
      <x:c r="N1132" s="22"/>
      <x:c r="O1132" s="22"/>
      <x:c r="P1132" s="3" t="str">
        <x:v>未掲載</x:v>
      </x:c>
      <x:c r="Q1132" s="3" t="str">
        <x:v>未取得</x:v>
      </x:c>
      <x:c r="R1132" s="3" t="str">
        <x:v>Unknown</x:v>
      </x:c>
      <x:c r="S1132" s="3" t="str">
        <x:v>不明</x:v>
      </x:c>
      <x:c r="T1132" s="3" t="str">
        <x:v>23-ปัจจุบัน</x:v>
      </x:c>
      <x:c r="U1132" s="28" t="n">
        <x:v>689000</x:v>
      </x:c>
      <x:c r="V1132" s="28" t="n">
        <x:v>849000</x:v>
      </x:c>
      <x:c r="W1132" s="3" t="str">
        <x:v>事故・水没・SOH・保証残は未確認</x:v>
      </x:c>
      <x:c r="X1132" s="3" t="str">
        <x:v>掲載中・在庫未確認</x:v>
      </x:c>
      <x:c r="Y1132" s="3" t="str"/>
      <x:c r="Z1132" s="27" t="str">
        <x:v>https://www.taladrod.com/w40/icar/cardet.aspx?cid=2925181</x:v>
      </x:c>
      <x:c r="AA1132" s="3" t="str">
        <x:v>Taladrod個別広告ID／Carsome在庫ID</x:v>
      </x:c>
      <x:c r="AB1132" s="3" t="str">
        <x:v>車台番号未取得／サイト間重複は未判定</x:v>
      </x:c>
      <x:c r="AC1132" s="3" t="str">
        <x:v>税込区分未確認（一覧表示額）</x:v>
      </x:c>
      <x:c r="AD1132" s="3" t="str"/>
      <x:c r="AE1132" s="29" t="str">
        <x:f>""</x:f>
      </x:c>
      <x:c r="AF1132" s="30" t="str">
        <x:f>IF(ISNUMBER(AE1132),U1132/AE1132,"")</x:f>
      </x:c>
      <x:c r="AG1132" s="29" t="str">
        <x:f>""</x:f>
      </x:c>
      <x:c r="AH1132" s="30" t="str">
        <x:f>IF(ISNUMBER(AG1132),U1132/AG1132,"")</x:f>
      </x:c>
      <x:c r="AI1132" s="3" t="str">
        <x:v>同年式・グレードの検証済み当時価格なし／登録年混在</x:v>
      </x:c>
      <x:c r="AJ1132" s="3" t="str">
        <x:v>一覧価格/年式のみ</x:v>
      </x:c>
      <x:c r="AK1132" s="3" t="str">
        <x:v>一覧の表示価格。年式は掲載年式。</x:v>
      </x:c>
      <x:c r="AL1132" s="31" t="n">
        <x:f>IF(AND(J1132&lt;='分析方法'!$B$7,OR(ISBLANK(O1132),O1132&gt;='分析方法'!$B$8),X1132&lt;&gt;"売却済み表示"),1,0)</x:f>
        <x:v>1</x:v>
      </x:c>
      <x:c r="AM1132" s="32" t="n">
        <x:f>IF(AL1132=1,U1132,"")</x:f>
        <x:v>689000</x:v>
      </x:c>
      <x:c r="AN1132" s="33" t="str">
        <x:f>IF(AL1132=1,AF1132,"")</x:f>
      </x:c>
      <x:c r="AO1132" s="31" t="n">
        <x:f>'分析方法'!$B$6-J1132</x:f>
        <x:v>1</x:v>
      </x:c>
      <x:c r="AP1132" s="3"/>
    </x:row>
    <x:row r="1133" ht="22" customHeight="1">
      <x:c r="A1133" s="3" t="str">
        <x:v>T2925736</x:v>
      </x:c>
      <x:c r="B1133" s="7" t="d">
        <x:v>2026-10-08T00:00:00.000Z</x:v>
      </x:c>
      <x:c r="C1133" s="3" t="str">
        <x:v>Taladrod</x:v>
      </x:c>
      <x:c r="D1133" s="3" t="str">
        <x:v>Toyota</x:v>
      </x:c>
      <x:c r="E1133" s="3" t="str">
        <x:v>日本</x:v>
      </x:c>
      <x:c r="F1133" s="3" t="str">
        <x:v>Yaris Cross</x:v>
      </x:c>
      <x:c r="G1133" s="3" t="str">
        <x:v>HEV</x:v>
      </x:c>
      <x:c r="H1133" s="3" t="str">
        <x:v>SUV</x:v>
      </x:c>
      <x:c r="I1133" s="3" t="str"/>
      <x:c r="J1133" s="3" t="n">
        <x:v>2025</x:v>
      </x:c>
      <x:c r="K1133" s="3" t="str">
        <x:v>1.5 HEV PREMIUM</x:v>
      </x:c>
      <x:c r="L1133" s="3" t="str">
        <x:v>1.5 HEV PREMIUM</x:v>
      </x:c>
      <x:c r="M1133" s="22"/>
      <x:c r="N1133" s="22"/>
      <x:c r="O1133" s="22"/>
      <x:c r="P1133" s="3" t="str">
        <x:v>未掲載</x:v>
      </x:c>
      <x:c r="Q1133" s="3" t="str">
        <x:v>未取得</x:v>
      </x:c>
      <x:c r="R1133" s="3" t="str">
        <x:v>Unknown</x:v>
      </x:c>
      <x:c r="S1133" s="3" t="str">
        <x:v>不明</x:v>
      </x:c>
      <x:c r="T1133" s="3" t="str">
        <x:v>23-ปัจจุบัน</x:v>
      </x:c>
      <x:c r="U1133" s="28" t="n">
        <x:v>669000</x:v>
      </x:c>
      <x:c r="V1133" s="28" t="n">
        <x:v>849000</x:v>
      </x:c>
      <x:c r="W1133" s="3" t="str">
        <x:v>事故・水没・SOH・保証残は未確認</x:v>
      </x:c>
      <x:c r="X1133" s="3" t="str">
        <x:v>掲載中・在庫未確認</x:v>
      </x:c>
      <x:c r="Y1133" s="3" t="str"/>
      <x:c r="Z1133" s="27" t="str">
        <x:v>https://www.taladrod.com/w40/icar/cardet.aspx?cid=2925736</x:v>
      </x:c>
      <x:c r="AA1133" s="3" t="str">
        <x:v>Taladrod個別広告ID／Carsome在庫ID</x:v>
      </x:c>
      <x:c r="AB1133" s="3" t="str">
        <x:v>車台番号未取得／サイト間重複は未判定</x:v>
      </x:c>
      <x:c r="AC1133" s="3" t="str">
        <x:v>税込区分未確認（一覧表示額）</x:v>
      </x:c>
      <x:c r="AD1133" s="3" t="str"/>
      <x:c r="AE1133" s="29" t="str">
        <x:f>""</x:f>
      </x:c>
      <x:c r="AF1133" s="30" t="str">
        <x:f>IF(ISNUMBER(AE1133),U1133/AE1133,"")</x:f>
      </x:c>
      <x:c r="AG1133" s="29" t="str">
        <x:f>""</x:f>
      </x:c>
      <x:c r="AH1133" s="30" t="str">
        <x:f>IF(ISNUMBER(AG1133),U1133/AG1133,"")</x:f>
      </x:c>
      <x:c r="AI1133" s="3" t="str">
        <x:v>同年式・グレードの検証済み当時価格なし／登録年混在</x:v>
      </x:c>
      <x:c r="AJ1133" s="3" t="str">
        <x:v>一覧価格/年式のみ</x:v>
      </x:c>
      <x:c r="AK1133" s="3" t="str">
        <x:v>一覧の表示価格。年式は掲載年式。</x:v>
      </x:c>
      <x:c r="AL1133" s="31" t="n">
        <x:f>IF(AND(J1133&lt;='分析方法'!$B$7,OR(ISBLANK(O1133),O1133&gt;='分析方法'!$B$8),X1133&lt;&gt;"売却済み表示"),1,0)</x:f>
        <x:v>1</x:v>
      </x:c>
      <x:c r="AM1133" s="32" t="n">
        <x:f>IF(AL1133=1,U1133,"")</x:f>
        <x:v>669000</x:v>
      </x:c>
      <x:c r="AN1133" s="33" t="str">
        <x:f>IF(AL1133=1,AF1133,"")</x:f>
      </x:c>
      <x:c r="AO1133" s="31" t="n">
        <x:f>'分析方法'!$B$6-J1133</x:f>
        <x:v>1</x:v>
      </x:c>
      <x:c r="AP1133" s="3"/>
    </x:row>
    <x:row r="1134" ht="22" customHeight="1">
      <x:c r="A1134" s="3" t="str">
        <x:v>T2909737</x:v>
      </x:c>
      <x:c r="B1134" s="7" t="d">
        <x:v>2026-10-08T00:00:00.000Z</x:v>
      </x:c>
      <x:c r="C1134" s="3" t="str">
        <x:v>Taladrod</x:v>
      </x:c>
      <x:c r="D1134" s="3" t="str">
        <x:v>Toyota</x:v>
      </x:c>
      <x:c r="E1134" s="3" t="str">
        <x:v>日本</x:v>
      </x:c>
      <x:c r="F1134" s="3" t="str">
        <x:v>Yaris Cross</x:v>
      </x:c>
      <x:c r="G1134" s="3" t="str">
        <x:v>HEV</x:v>
      </x:c>
      <x:c r="H1134" s="3" t="str">
        <x:v>SUV</x:v>
      </x:c>
      <x:c r="I1134" s="3" t="str"/>
      <x:c r="J1134" s="3" t="n">
        <x:v>2025</x:v>
      </x:c>
      <x:c r="K1134" s="3" t="str">
        <x:v>1.5 HEV PREMIUM LUXURY</x:v>
      </x:c>
      <x:c r="L1134" s="3" t="str">
        <x:v>1.5 HEV PREMIUM LUXURY</x:v>
      </x:c>
      <x:c r="M1134" s="22"/>
      <x:c r="N1134" s="22"/>
      <x:c r="O1134" s="22"/>
      <x:c r="P1134" s="3" t="str">
        <x:v>未掲載</x:v>
      </x:c>
      <x:c r="Q1134" s="3" t="str">
        <x:v>未取得</x:v>
      </x:c>
      <x:c r="R1134" s="3" t="str">
        <x:v>Unknown</x:v>
      </x:c>
      <x:c r="S1134" s="3" t="str">
        <x:v>不明</x:v>
      </x:c>
      <x:c r="T1134" s="3" t="str">
        <x:v>23-ปัจจุบัน</x:v>
      </x:c>
      <x:c r="U1134" s="28" t="n">
        <x:v>785000</x:v>
      </x:c>
      <x:c r="V1134" s="28" t="n">
        <x:v>899000</x:v>
      </x:c>
      <x:c r="W1134" s="3" t="str">
        <x:v>事故・水没・SOH・保証残は未確認</x:v>
      </x:c>
      <x:c r="X1134" s="3" t="str">
        <x:v>掲載中・在庫未確認</x:v>
      </x:c>
      <x:c r="Y1134" s="3" t="str"/>
      <x:c r="Z1134" s="27" t="str">
        <x:v>https://www.taladrod.com/w40/icar/cardet.aspx?cid=2909737</x:v>
      </x:c>
      <x:c r="AA1134" s="3" t="str">
        <x:v>Taladrod個別広告ID／Carsome在庫ID</x:v>
      </x:c>
      <x:c r="AB1134" s="3" t="str">
        <x:v>車台番号未取得／サイト間重複は未判定</x:v>
      </x:c>
      <x:c r="AC1134" s="3" t="str">
        <x:v>税込区分未確認（一覧表示額）</x:v>
      </x:c>
      <x:c r="AD1134" s="3" t="str"/>
      <x:c r="AE1134" s="29" t="str">
        <x:f>""</x:f>
      </x:c>
      <x:c r="AF1134" s="30" t="str">
        <x:f>IF(ISNUMBER(AE1134),U1134/AE1134,"")</x:f>
      </x:c>
      <x:c r="AG1134" s="29" t="str">
        <x:f>""</x:f>
      </x:c>
      <x:c r="AH1134" s="30" t="str">
        <x:f>IF(ISNUMBER(AG1134),U1134/AG1134,"")</x:f>
      </x:c>
      <x:c r="AI1134" s="3" t="str">
        <x:v>同年式・グレードの検証済み当時価格なし／登録年混在</x:v>
      </x:c>
      <x:c r="AJ1134" s="3" t="str">
        <x:v>一覧価格/年式のみ</x:v>
      </x:c>
      <x:c r="AK1134" s="3" t="str">
        <x:v>一覧の表示価格。年式は掲載年式。</x:v>
      </x:c>
      <x:c r="AL1134" s="31" t="n">
        <x:f>IF(AND(J1134&lt;='分析方法'!$B$7,OR(ISBLANK(O1134),O1134&gt;='分析方法'!$B$8),X1134&lt;&gt;"売却済み表示"),1,0)</x:f>
        <x:v>1</x:v>
      </x:c>
      <x:c r="AM1134" s="32" t="n">
        <x:f>IF(AL1134=1,U1134,"")</x:f>
        <x:v>785000</x:v>
      </x:c>
      <x:c r="AN1134" s="33" t="str">
        <x:f>IF(AL1134=1,AF1134,"")</x:f>
      </x:c>
      <x:c r="AO1134" s="31" t="n">
        <x:f>'分析方法'!$B$6-J1134</x:f>
        <x:v>1</x:v>
      </x:c>
      <x:c r="AP1134" s="3"/>
    </x:row>
    <x:row r="1135" ht="22" customHeight="1">
      <x:c r="A1135" s="3" t="str">
        <x:v>T2921644</x:v>
      </x:c>
      <x:c r="B1135" s="7" t="d">
        <x:v>2026-10-08T00:00:00.000Z</x:v>
      </x:c>
      <x:c r="C1135" s="3" t="str">
        <x:v>Taladrod</x:v>
      </x:c>
      <x:c r="D1135" s="3" t="str">
        <x:v>Toyota</x:v>
      </x:c>
      <x:c r="E1135" s="3" t="str">
        <x:v>日本</x:v>
      </x:c>
      <x:c r="F1135" s="3" t="str">
        <x:v>Yaris Cross</x:v>
      </x:c>
      <x:c r="G1135" s="3" t="str">
        <x:v>HEV</x:v>
      </x:c>
      <x:c r="H1135" s="3" t="str">
        <x:v>SUV</x:v>
      </x:c>
      <x:c r="I1135" s="3" t="str"/>
      <x:c r="J1135" s="3" t="n">
        <x:v>2025</x:v>
      </x:c>
      <x:c r="K1135" s="3" t="str">
        <x:v>1.5 HEV PREMIUM LUXURY</x:v>
      </x:c>
      <x:c r="L1135" s="3" t="str">
        <x:v>1.5 HEV PREMIUM LUXURY</x:v>
      </x:c>
      <x:c r="M1135" s="22"/>
      <x:c r="N1135" s="22"/>
      <x:c r="O1135" s="22"/>
      <x:c r="P1135" s="3" t="str">
        <x:v>未掲載</x:v>
      </x:c>
      <x:c r="Q1135" s="3" t="str">
        <x:v>未取得</x:v>
      </x:c>
      <x:c r="R1135" s="3" t="str">
        <x:v>Unknown</x:v>
      </x:c>
      <x:c r="S1135" s="3" t="str">
        <x:v>不明</x:v>
      </x:c>
      <x:c r="T1135" s="3" t="str">
        <x:v>23-ปัจจุบัน</x:v>
      </x:c>
      <x:c r="U1135" s="28" t="n">
        <x:v>744000</x:v>
      </x:c>
      <x:c r="V1135" s="28" t="n">
        <x:v>899000</x:v>
      </x:c>
      <x:c r="W1135" s="3" t="str">
        <x:v>事故・水没・SOH・保証残は未確認</x:v>
      </x:c>
      <x:c r="X1135" s="3" t="str">
        <x:v>掲載中・在庫未確認</x:v>
      </x:c>
      <x:c r="Y1135" s="3" t="str"/>
      <x:c r="Z1135" s="27" t="str">
        <x:v>https://www.taladrod.com/w40/icar/cardet.aspx?cid=2921644</x:v>
      </x:c>
      <x:c r="AA1135" s="3" t="str">
        <x:v>Taladrod個別広告ID／Carsome在庫ID</x:v>
      </x:c>
      <x:c r="AB1135" s="3" t="str">
        <x:v>車台番号未取得／サイト間重複は未判定</x:v>
      </x:c>
      <x:c r="AC1135" s="3" t="str">
        <x:v>税込区分未確認（一覧表示額）</x:v>
      </x:c>
      <x:c r="AD1135" s="3" t="str"/>
      <x:c r="AE1135" s="29" t="str">
        <x:f>""</x:f>
      </x:c>
      <x:c r="AF1135" s="30" t="str">
        <x:f>IF(ISNUMBER(AE1135),U1135/AE1135,"")</x:f>
      </x:c>
      <x:c r="AG1135" s="29" t="str">
        <x:f>""</x:f>
      </x:c>
      <x:c r="AH1135" s="30" t="str">
        <x:f>IF(ISNUMBER(AG1135),U1135/AG1135,"")</x:f>
      </x:c>
      <x:c r="AI1135" s="3" t="str">
        <x:v>同年式・グレードの検証済み当時価格なし／登録年混在</x:v>
      </x:c>
      <x:c r="AJ1135" s="3" t="str">
        <x:v>一覧価格/年式のみ</x:v>
      </x:c>
      <x:c r="AK1135" s="3" t="str">
        <x:v>一覧の表示価格。年式は掲載年式。</x:v>
      </x:c>
      <x:c r="AL1135" s="31" t="n">
        <x:f>IF(AND(J1135&lt;='分析方法'!$B$7,OR(ISBLANK(O1135),O1135&gt;='分析方法'!$B$8),X1135&lt;&gt;"売却済み表示"),1,0)</x:f>
        <x:v>1</x:v>
      </x:c>
      <x:c r="AM1135" s="32" t="n">
        <x:f>IF(AL1135=1,U1135,"")</x:f>
        <x:v>744000</x:v>
      </x:c>
      <x:c r="AN1135" s="33" t="str">
        <x:f>IF(AL1135=1,AF1135,"")</x:f>
      </x:c>
      <x:c r="AO1135" s="31" t="n">
        <x:f>'分析方法'!$B$6-J1135</x:f>
        <x:v>1</x:v>
      </x:c>
      <x:c r="AP1135" s="3"/>
    </x:row>
    <x:row r="1136" ht="22" customHeight="1">
      <x:c r="A1136" s="3" t="str">
        <x:v>T2924952</x:v>
      </x:c>
      <x:c r="B1136" s="7" t="d">
        <x:v>2026-10-08T00:00:00.000Z</x:v>
      </x:c>
      <x:c r="C1136" s="3" t="str">
        <x:v>Taladrod</x:v>
      </x:c>
      <x:c r="D1136" s="3" t="str">
        <x:v>Toyota</x:v>
      </x:c>
      <x:c r="E1136" s="3" t="str">
        <x:v>日本</x:v>
      </x:c>
      <x:c r="F1136" s="3" t="str">
        <x:v>Yaris Cross</x:v>
      </x:c>
      <x:c r="G1136" s="3" t="str">
        <x:v>HEV</x:v>
      </x:c>
      <x:c r="H1136" s="3" t="str">
        <x:v>SUV</x:v>
      </x:c>
      <x:c r="I1136" s="3" t="str"/>
      <x:c r="J1136" s="3" t="n">
        <x:v>2025</x:v>
      </x:c>
      <x:c r="K1136" s="3" t="str">
        <x:v>1.5 HEV PREMIUM LUXURY</x:v>
      </x:c>
      <x:c r="L1136" s="3" t="str">
        <x:v>1.5 HEV PREMIUM LUXURY</x:v>
      </x:c>
      <x:c r="M1136" s="22"/>
      <x:c r="N1136" s="22"/>
      <x:c r="O1136" s="22"/>
      <x:c r="P1136" s="3" t="str">
        <x:v>未掲載</x:v>
      </x:c>
      <x:c r="Q1136" s="3" t="str">
        <x:v>未取得</x:v>
      </x:c>
      <x:c r="R1136" s="3" t="str">
        <x:v>Unknown</x:v>
      </x:c>
      <x:c r="S1136" s="3" t="str">
        <x:v>不明</x:v>
      </x:c>
      <x:c r="T1136" s="3" t="str">
        <x:v>23-ปัจจุบัน</x:v>
      </x:c>
      <x:c r="U1136" s="28" t="n">
        <x:v>709000</x:v>
      </x:c>
      <x:c r="V1136" s="28" t="n">
        <x:v>899000</x:v>
      </x:c>
      <x:c r="W1136" s="3" t="str">
        <x:v>事故・水没・SOH・保証残は未確認</x:v>
      </x:c>
      <x:c r="X1136" s="3" t="str">
        <x:v>掲載中・在庫未確認</x:v>
      </x:c>
      <x:c r="Y1136" s="3" t="str"/>
      <x:c r="Z1136" s="27" t="str">
        <x:v>https://www.taladrod.com/w40/icar/cardet.aspx?cid=2924952</x:v>
      </x:c>
      <x:c r="AA1136" s="3" t="str">
        <x:v>Taladrod個別広告ID／Carsome在庫ID</x:v>
      </x:c>
      <x:c r="AB1136" s="3" t="str">
        <x:v>車台番号未取得／サイト間重複は未判定</x:v>
      </x:c>
      <x:c r="AC1136" s="3" t="str">
        <x:v>税込区分未確認（一覧表示額）</x:v>
      </x:c>
      <x:c r="AD1136" s="3" t="str"/>
      <x:c r="AE1136" s="29" t="str">
        <x:f>""</x:f>
      </x:c>
      <x:c r="AF1136" s="30" t="str">
        <x:f>IF(ISNUMBER(AE1136),U1136/AE1136,"")</x:f>
      </x:c>
      <x:c r="AG1136" s="29" t="str">
        <x:f>""</x:f>
      </x:c>
      <x:c r="AH1136" s="30" t="str">
        <x:f>IF(ISNUMBER(AG1136),U1136/AG1136,"")</x:f>
      </x:c>
      <x:c r="AI1136" s="3" t="str">
        <x:v>同年式・グレードの検証済み当時価格なし／登録年混在</x:v>
      </x:c>
      <x:c r="AJ1136" s="3" t="str">
        <x:v>一覧価格/年式のみ</x:v>
      </x:c>
      <x:c r="AK1136" s="3" t="str">
        <x:v>一覧の表示価格。年式は掲載年式。</x:v>
      </x:c>
      <x:c r="AL1136" s="31" t="n">
        <x:f>IF(AND(J1136&lt;='分析方法'!$B$7,OR(ISBLANK(O1136),O1136&gt;='分析方法'!$B$8),X1136&lt;&gt;"売却済み表示"),1,0)</x:f>
        <x:v>1</x:v>
      </x:c>
      <x:c r="AM1136" s="32" t="n">
        <x:f>IF(AL1136=1,U1136,"")</x:f>
        <x:v>709000</x:v>
      </x:c>
      <x:c r="AN1136" s="33" t="str">
        <x:f>IF(AL1136=1,AF1136,"")</x:f>
      </x:c>
      <x:c r="AO1136" s="31" t="n">
        <x:f>'分析方法'!$B$6-J1136</x:f>
        <x:v>1</x:v>
      </x:c>
      <x:c r="AP1136" s="3"/>
    </x:row>
    <x:row r="1137" ht="22" customHeight="1">
      <x:c r="A1137" s="3" t="str">
        <x:v>T2922076</x:v>
      </x:c>
      <x:c r="B1137" s="7" t="d">
        <x:v>2026-10-08T00:00:00.000Z</x:v>
      </x:c>
      <x:c r="C1137" s="3" t="str">
        <x:v>Taladrod</x:v>
      </x:c>
      <x:c r="D1137" s="3" t="str">
        <x:v>Toyota</x:v>
      </x:c>
      <x:c r="E1137" s="3" t="str">
        <x:v>日本</x:v>
      </x:c>
      <x:c r="F1137" s="3" t="str">
        <x:v>Yaris Cross</x:v>
      </x:c>
      <x:c r="G1137" s="3" t="str">
        <x:v>HEV</x:v>
      </x:c>
      <x:c r="H1137" s="3" t="str">
        <x:v>SUV</x:v>
      </x:c>
      <x:c r="I1137" s="3" t="str"/>
      <x:c r="J1137" s="3" t="n">
        <x:v>2025</x:v>
      </x:c>
      <x:c r="K1137" s="3" t="str">
        <x:v>1.5 HEV SMART</x:v>
      </x:c>
      <x:c r="L1137" s="3" t="str">
        <x:v>1.5 HEV SMART</x:v>
      </x:c>
      <x:c r="M1137" s="22"/>
      <x:c r="N1137" s="22"/>
      <x:c r="O1137" s="22"/>
      <x:c r="P1137" s="3" t="str">
        <x:v>未掲載</x:v>
      </x:c>
      <x:c r="Q1137" s="3" t="str">
        <x:v>未取得</x:v>
      </x:c>
      <x:c r="R1137" s="3" t="str">
        <x:v>Unknown</x:v>
      </x:c>
      <x:c r="S1137" s="3" t="str">
        <x:v>不明</x:v>
      </x:c>
      <x:c r="T1137" s="3" t="str">
        <x:v>23-ปัจจุบัน</x:v>
      </x:c>
      <x:c r="U1137" s="28" t="n">
        <x:v>639000</x:v>
      </x:c>
      <x:c r="V1137" s="28" t="n">
        <x:v>789000</x:v>
      </x:c>
      <x:c r="W1137" s="3" t="str">
        <x:v>事故・水没・SOH・保証残は未確認</x:v>
      </x:c>
      <x:c r="X1137" s="3" t="str">
        <x:v>掲載中・在庫未確認</x:v>
      </x:c>
      <x:c r="Y1137" s="3" t="str"/>
      <x:c r="Z1137" s="27" t="str">
        <x:v>https://www.taladrod.com/w40/icar/cardet.aspx?cid=2922076</x:v>
      </x:c>
      <x:c r="AA1137" s="3" t="str">
        <x:v>Taladrod個別広告ID／Carsome在庫ID</x:v>
      </x:c>
      <x:c r="AB1137" s="3" t="str">
        <x:v>車台番号未取得／サイト間重複は未判定</x:v>
      </x:c>
      <x:c r="AC1137" s="3" t="str">
        <x:v>税込区分未確認（一覧表示額）</x:v>
      </x:c>
      <x:c r="AD1137" s="3" t="str"/>
      <x:c r="AE1137" s="29" t="str">
        <x:f>""</x:f>
      </x:c>
      <x:c r="AF1137" s="30" t="str">
        <x:f>IF(ISNUMBER(AE1137),U1137/AE1137,"")</x:f>
      </x:c>
      <x:c r="AG1137" s="29" t="str">
        <x:f>""</x:f>
      </x:c>
      <x:c r="AH1137" s="30" t="str">
        <x:f>IF(ISNUMBER(AG1137),U1137/AG1137,"")</x:f>
      </x:c>
      <x:c r="AI1137" s="3" t="str">
        <x:v>同年式・グレードの検証済み当時価格なし／登録年混在</x:v>
      </x:c>
      <x:c r="AJ1137" s="3" t="str">
        <x:v>一覧価格/年式のみ</x:v>
      </x:c>
      <x:c r="AK1137" s="3" t="str">
        <x:v>一覧の表示価格。年式は掲載年式。</x:v>
      </x:c>
      <x:c r="AL1137" s="31" t="n">
        <x:f>IF(AND(J1137&lt;='分析方法'!$B$7,OR(ISBLANK(O1137),O1137&gt;='分析方法'!$B$8),X1137&lt;&gt;"売却済み表示"),1,0)</x:f>
        <x:v>1</x:v>
      </x:c>
      <x:c r="AM1137" s="32" t="n">
        <x:f>IF(AL1137=1,U1137,"")</x:f>
        <x:v>639000</x:v>
      </x:c>
      <x:c r="AN1137" s="33" t="str">
        <x:f>IF(AL1137=1,AF1137,"")</x:f>
      </x:c>
      <x:c r="AO1137" s="31" t="n">
        <x:f>'分析方法'!$B$6-J1137</x:f>
        <x:v>1</x:v>
      </x:c>
      <x:c r="AP1137" s="3"/>
    </x:row>
    <x:row r="1138" ht="22" customHeight="1">
      <x:c r="A1138" s="3" t="str">
        <x:v>T2923136</x:v>
      </x:c>
      <x:c r="B1138" s="7" t="d">
        <x:v>2026-10-08T00:00:00.000Z</x:v>
      </x:c>
      <x:c r="C1138" s="3" t="str">
        <x:v>Taladrod</x:v>
      </x:c>
      <x:c r="D1138" s="3" t="str">
        <x:v>Toyota</x:v>
      </x:c>
      <x:c r="E1138" s="3" t="str">
        <x:v>日本</x:v>
      </x:c>
      <x:c r="F1138" s="3" t="str">
        <x:v>Yaris Cross</x:v>
      </x:c>
      <x:c r="G1138" s="3" t="str">
        <x:v>HEV</x:v>
      </x:c>
      <x:c r="H1138" s="3" t="str">
        <x:v>SUV</x:v>
      </x:c>
      <x:c r="I1138" s="3" t="str"/>
      <x:c r="J1138" s="3" t="n">
        <x:v>2026</x:v>
      </x:c>
      <x:c r="K1138" s="3" t="str">
        <x:v>1.5 HEV NIGHTSHADE</x:v>
      </x:c>
      <x:c r="L1138" s="3" t="str">
        <x:v>1.5 HEV NIGHTSHADE</x:v>
      </x:c>
      <x:c r="M1138" s="22"/>
      <x:c r="N1138" s="22"/>
      <x:c r="O1138" s="22"/>
      <x:c r="P1138" s="3" t="str">
        <x:v>未掲載</x:v>
      </x:c>
      <x:c r="Q1138" s="3" t="str">
        <x:v>未取得</x:v>
      </x:c>
      <x:c r="R1138" s="3" t="str">
        <x:v>Unknown</x:v>
      </x:c>
      <x:c r="S1138" s="3" t="str">
        <x:v>不明</x:v>
      </x:c>
      <x:c r="T1138" s="3" t="str">
        <x:v>23-ปัจจุบัน</x:v>
      </x:c>
      <x:c r="U1138" s="28" t="n">
        <x:v>789000</x:v>
      </x:c>
      <x:c r="V1138" s="28" t="n">
        <x:v>929000</x:v>
      </x:c>
      <x:c r="W1138" s="3" t="str">
        <x:v>事故・水没・SOH・保証残は未確認</x:v>
      </x:c>
      <x:c r="X1138" s="3" t="str">
        <x:v>掲載中・在庫未確認</x:v>
      </x:c>
      <x:c r="Y1138" s="3" t="str"/>
      <x:c r="Z1138" s="27" t="str">
        <x:v>https://www.taladrod.com/w40/icar/cardet.aspx?cid=2923136</x:v>
      </x:c>
      <x:c r="AA1138" s="3" t="str">
        <x:v>Taladrod個別広告ID／Carsome在庫ID</x:v>
      </x:c>
      <x:c r="AB1138" s="3" t="str">
        <x:v>車台番号未取得／サイト間重複は未判定</x:v>
      </x:c>
      <x:c r="AC1138" s="3" t="str">
        <x:v>税込区分未確認（一覧表示額）</x:v>
      </x:c>
      <x:c r="AD1138" s="3" t="str"/>
      <x:c r="AE1138" s="29" t="str">
        <x:f>""</x:f>
      </x:c>
      <x:c r="AF1138" s="30" t="str">
        <x:f>IF(ISNUMBER(AE1138),U1138/AE1138,"")</x:f>
      </x:c>
      <x:c r="AG1138" s="29" t="str">
        <x:f>""</x:f>
      </x:c>
      <x:c r="AH1138" s="30" t="str">
        <x:f>IF(ISNUMBER(AG1138),U1138/AG1138,"")</x:f>
      </x:c>
      <x:c r="AI1138" s="3" t="str">
        <x:v>同年式・グレードの検証済み当時価格なし／登録年混在</x:v>
      </x:c>
      <x:c r="AJ1138" s="3" t="str">
        <x:v>一覧価格/年式のみ</x:v>
      </x:c>
      <x:c r="AK1138" s="3" t="str">
        <x:v>一覧の表示価格。年式は掲載年式。</x:v>
      </x:c>
      <x:c r="AL1138" s="31" t="n">
        <x:f>IF(AND(J1138&lt;='分析方法'!$B$7,OR(ISBLANK(O1138),O1138&gt;='分析方法'!$B$8),X1138&lt;&gt;"売却済み表示"),1,0)</x:f>
        <x:v>0</x:v>
      </x:c>
      <x:c r="AM1138" s="32" t="str">
        <x:f>IF(AL1138=1,U1138,"")</x:f>
      </x:c>
      <x:c r="AN1138" s="33" t="str">
        <x:f>IF(AL1138=1,AF1138,"")</x:f>
      </x:c>
      <x:c r="AO1138" s="31" t="n">
        <x:f>'分析方法'!$B$6-J1138</x:f>
        <x:v>0</x:v>
      </x:c>
      <x:c r="AP1138" s="3"/>
    </x:row>
    <x:row r="1139" ht="22" customHeight="1">
      <x:c r="A1139" s="3" t="str">
        <x:v>T2889068</x:v>
      </x:c>
      <x:c r="B1139" s="7" t="d">
        <x:v>2026-10-08T00:00:00.000Z</x:v>
      </x:c>
      <x:c r="C1139" s="3" t="str">
        <x:v>Taladrod</x:v>
      </x:c>
      <x:c r="D1139" s="3" t="str">
        <x:v>Toyota</x:v>
      </x:c>
      <x:c r="E1139" s="3" t="str">
        <x:v>日本</x:v>
      </x:c>
      <x:c r="F1139" s="3" t="str">
        <x:v>Yaris Cross</x:v>
      </x:c>
      <x:c r="G1139" s="3" t="str">
        <x:v>HEV</x:v>
      </x:c>
      <x:c r="H1139" s="3" t="str">
        <x:v>SUV</x:v>
      </x:c>
      <x:c r="I1139" s="3" t="str"/>
      <x:c r="J1139" s="3" t="n">
        <x:v>2026</x:v>
      </x:c>
      <x:c r="K1139" s="3" t="str">
        <x:v>1.5 HEV PREMIUM LUXURY</x:v>
      </x:c>
      <x:c r="L1139" s="3" t="str">
        <x:v>1.5 HEV PREMIUM LUXURY</x:v>
      </x:c>
      <x:c r="M1139" s="22"/>
      <x:c r="N1139" s="22"/>
      <x:c r="O1139" s="22"/>
      <x:c r="P1139" s="3" t="str">
        <x:v>未掲載</x:v>
      </x:c>
      <x:c r="Q1139" s="3" t="str">
        <x:v>未取得</x:v>
      </x:c>
      <x:c r="R1139" s="3" t="str">
        <x:v>Unknown</x:v>
      </x:c>
      <x:c r="S1139" s="3" t="str">
        <x:v>不明</x:v>
      </x:c>
      <x:c r="T1139" s="3" t="str">
        <x:v>23-ปัจจุบัน</x:v>
      </x:c>
      <x:c r="U1139" s="28" t="n">
        <x:v>717000</x:v>
      </x:c>
      <x:c r="V1139" s="28" t="n">
        <x:v>899000</x:v>
      </x:c>
      <x:c r="W1139" s="3" t="str">
        <x:v>事故・水没・SOH・保証残は未確認</x:v>
      </x:c>
      <x:c r="X1139" s="3" t="str">
        <x:v>掲載中・在庫未確認</x:v>
      </x:c>
      <x:c r="Y1139" s="3" t="str"/>
      <x:c r="Z1139" s="27" t="str">
        <x:v>https://www.taladrod.com/w40/icar/cardet.aspx?cid=2889068</x:v>
      </x:c>
      <x:c r="AA1139" s="3" t="str">
        <x:v>Taladrod個別広告ID／Carsome在庫ID</x:v>
      </x:c>
      <x:c r="AB1139" s="3" t="str">
        <x:v>車台番号未取得／サイト間重複は未判定</x:v>
      </x:c>
      <x:c r="AC1139" s="3" t="str">
        <x:v>税込区分未確認（一覧表示額）</x:v>
      </x:c>
      <x:c r="AD1139" s="3" t="str"/>
      <x:c r="AE1139" s="29" t="str">
        <x:f>""</x:f>
      </x:c>
      <x:c r="AF1139" s="30" t="str">
        <x:f>IF(ISNUMBER(AE1139),U1139/AE1139,"")</x:f>
      </x:c>
      <x:c r="AG1139" s="29" t="str">
        <x:f>""</x:f>
      </x:c>
      <x:c r="AH1139" s="30" t="str">
        <x:f>IF(ISNUMBER(AG1139),U1139/AG1139,"")</x:f>
      </x:c>
      <x:c r="AI1139" s="3" t="str">
        <x:v>同年式・グレードの検証済み当時価格なし／登録年混在</x:v>
      </x:c>
      <x:c r="AJ1139" s="3" t="str">
        <x:v>一覧価格/年式のみ</x:v>
      </x:c>
      <x:c r="AK1139" s="3" t="str">
        <x:v>一覧の表示価格。年式は掲載年式。</x:v>
      </x:c>
      <x:c r="AL1139" s="31" t="n">
        <x:f>IF(AND(J1139&lt;='分析方法'!$B$7,OR(ISBLANK(O1139),O1139&gt;='分析方法'!$B$8),X1139&lt;&gt;"売却済み表示"),1,0)</x:f>
        <x:v>0</x:v>
      </x:c>
      <x:c r="AM1139" s="32" t="str">
        <x:f>IF(AL1139=1,U1139,"")</x:f>
      </x:c>
      <x:c r="AN1139" s="33" t="str">
        <x:f>IF(AL1139=1,AF1139,"")</x:f>
      </x:c>
      <x:c r="AO1139" s="31" t="n">
        <x:f>'分析方法'!$B$6-J1139</x:f>
        <x:v>0</x:v>
      </x:c>
      <x:c r="AP1139" s="3"/>
    </x:row>
    <x:row r="1140" ht="22" customHeight="1">
      <x:c r="A1140" s="3" t="str">
        <x:v>T2918302</x:v>
      </x:c>
      <x:c r="B1140" s="7" t="d">
        <x:v>2026-10-08T00:00:00.000Z</x:v>
      </x:c>
      <x:c r="C1140" s="3" t="str">
        <x:v>Taladrod</x:v>
      </x:c>
      <x:c r="D1140" s="3" t="str">
        <x:v>Toyota</x:v>
      </x:c>
      <x:c r="E1140" s="3" t="str">
        <x:v>日本</x:v>
      </x:c>
      <x:c r="F1140" s="3" t="str">
        <x:v>bZ4X</x:v>
      </x:c>
      <x:c r="G1140" s="3" t="str">
        <x:v>BEV</x:v>
      </x:c>
      <x:c r="H1140" s="3" t="str">
        <x:v>SUV</x:v>
      </x:c>
      <x:c r="I1140" s="3" t="str"/>
      <x:c r="J1140" s="3" t="n">
        <x:v>2023</x:v>
      </x:c>
      <x:c r="K1140" s="3" t="str">
        <x:v>EV AWD</x:v>
      </x:c>
      <x:c r="L1140" s="3" t="str">
        <x:v>EV AWD</x:v>
      </x:c>
      <x:c r="M1140" s="22"/>
      <x:c r="N1140" s="22"/>
      <x:c r="O1140" s="22"/>
      <x:c r="P1140" s="3" t="str">
        <x:v>未掲載</x:v>
      </x:c>
      <x:c r="Q1140" s="3" t="str">
        <x:v>未取得</x:v>
      </x:c>
      <x:c r="R1140" s="3" t="str">
        <x:v>Unknown</x:v>
      </x:c>
      <x:c r="S1140" s="3" t="str">
        <x:v>不明</x:v>
      </x:c>
      <x:c r="T1140" s="3" t="str">
        <x:v>22-ปัจจุบัน</x:v>
      </x:c>
      <x:c r="U1140" s="28" t="n">
        <x:v>980000</x:v>
      </x:c>
      <x:c r="V1140" s="28" t="n">
        <x:v>1649000</x:v>
      </x:c>
      <x:c r="W1140" s="3" t="str">
        <x:v>事故・水没・SOH・保証残は未確認</x:v>
      </x:c>
      <x:c r="X1140" s="3" t="str">
        <x:v>掲載中・在庫未確認</x:v>
      </x:c>
      <x:c r="Y1140" s="3" t="str"/>
      <x:c r="Z1140" s="27" t="str">
        <x:v>https://www.taladrod.com/w40/icar/cardet.aspx?cid=2918302</x:v>
      </x:c>
      <x:c r="AA1140" s="3" t="str">
        <x:v>Taladrod個別広告ID／Carsome在庫ID</x:v>
      </x:c>
      <x:c r="AB1140" s="3" t="str">
        <x:v>車台番号未取得／サイト間重複は未判定</x:v>
      </x:c>
      <x:c r="AC1140" s="3" t="str">
        <x:v>税込区分未確認（一覧表示額）</x:v>
      </x:c>
      <x:c r="AD1140" s="3" t="str"/>
      <x:c r="AE1140" s="29" t="str">
        <x:f>""</x:f>
      </x:c>
      <x:c r="AF1140" s="30" t="str">
        <x:f>IF(ISNUMBER(AE1140),U1140/AE1140,"")</x:f>
      </x:c>
      <x:c r="AG1140" s="29" t="str">
        <x:f>""</x:f>
      </x:c>
      <x:c r="AH1140" s="30" t="str">
        <x:f>IF(ISNUMBER(AG1140),U1140/AG1140,"")</x:f>
      </x:c>
      <x:c r="AI1140" s="3" t="str">
        <x:v>同年式・グレードの検証済み当時価格なし／登録年混在</x:v>
      </x:c>
      <x:c r="AJ1140" s="3" t="str">
        <x:v>一覧価格/年式のみ</x:v>
      </x:c>
      <x:c r="AK1140" s="3" t="str">
        <x:v>一覧の表示価格。年式は掲載年式。</x:v>
      </x:c>
      <x:c r="AL1140" s="31" t="n">
        <x:f>IF(AND(J1140&lt;='分析方法'!$B$7,OR(ISBLANK(O1140),O1140&gt;='分析方法'!$B$8),X1140&lt;&gt;"売却済み表示"),1,0)</x:f>
        <x:v>1</x:v>
      </x:c>
      <x:c r="AM1140" s="32" t="n">
        <x:f>IF(AL1140=1,U1140,"")</x:f>
        <x:v>980000</x:v>
      </x:c>
      <x:c r="AN1140" s="33" t="str">
        <x:f>IF(AL1140=1,AF1140,"")</x:f>
      </x:c>
      <x:c r="AO1140" s="31" t="n">
        <x:f>'分析方法'!$B$6-J1140</x:f>
        <x:v>3</x:v>
      </x:c>
      <x:c r="AP1140" s="3"/>
    </x:row>
  </x:sheetData>
  <x:conditionalFormatting sqref="AL8:AL1140">
    <x:cfRule type="cellIs" dxfId="0" priority="1" operator="equal">
      <x:formula>0</x:formula>
    </x:cfRule>
  </x:conditionalFormatting>
  <x:pageMargins left="0.7" right="0.7" top="0.75" bottom="0.75" header="0.3" footer="0.3"/>
  <x:tableParts count="1">
    <x:tablePart xmlns:r="http://schemas.openxmlformats.org/officeDocument/2006/relationships" r:id="Raf81f6b0f30248fc"/>
  </x:tableParts>
</x:worksheet>
</file>

<file path=xl/worksheets/sheet4.xml><?xml version="1.0" encoding="utf-8"?>
<x:worksheet xmlns:x="http://schemas.openxmlformats.org/spreadsheetml/2006/main">
  <x:sheetViews>
    <x:sheetView showGridLines="0" workbookViewId="0">
      <x:pane xSplit="6" ySplit="6" topLeftCell="G7" activePane="bottomRight" state="frozen"/>
    </x:sheetView>
  </x:sheetViews>
  <x:sheetFormatPr defaultRowHeight="15"/>
  <x:cols>
    <x:col min="1" max="1" width="30" hidden="0" customWidth="1"/>
    <x:col min="2" max="2" width="13" hidden="0" customWidth="1"/>
    <x:col min="3" max="3" width="13" hidden="0" customWidth="1"/>
    <x:col min="4" max="4" width="13" hidden="0" customWidth="1"/>
    <x:col min="5" max="5" width="12" hidden="0" customWidth="1"/>
    <x:col min="6" max="6" width="21" hidden="0" customWidth="1"/>
    <x:col min="7" max="7" width="9" hidden="0" customWidth="1"/>
    <x:col min="8" max="8" width="13" hidden="0" customWidth="1"/>
    <x:col min="9" max="9" width="30" hidden="0" customWidth="1"/>
    <x:col min="10" max="10" width="25" hidden="0" customWidth="1"/>
    <x:col min="11" max="11" width="16" hidden="0" customWidth="1"/>
    <x:col min="12" max="12" width="16" hidden="0" customWidth="1"/>
    <x:col min="13" max="13" width="18" hidden="0" customWidth="1"/>
    <x:col min="14" max="14" width="16" hidden="0" customWidth="1"/>
    <x:col min="15" max="15" width="17" hidden="0" customWidth="1"/>
    <x:col min="16" max="16" width="13" hidden="0" customWidth="1"/>
    <x:col min="17" max="17" width="68" hidden="0" customWidth="1"/>
    <x:col min="18" max="18" width="92" hidden="0" customWidth="1"/>
    <x:col min="19" max="19" width="22" hidden="0" customWidth="1"/>
    <x:col min="20" max="20" width="70" hidden="0" customWidth="1"/>
    <x:col min="21" max="21" width="13" hidden="0" customWidth="1"/>
  </x:cols>
  <x:sheetData>
    <x:row r="1" ht="22" customHeight="1">
      <x:c r="A1" s="3"/>
      <x:c r="B1" s="3"/>
      <x:c r="C1" s="3"/>
      <x:c r="D1" s="3"/>
      <x:c r="E1" s="3"/>
      <x:c r="F1" s="3"/>
      <x:c r="G1" s="3"/>
      <x:c r="H1" s="3"/>
      <x:c r="I1" s="3"/>
      <x:c r="J1" s="3"/>
      <x:c r="K1" s="3"/>
      <x:c r="L1" s="3"/>
      <x:c r="M1" s="3"/>
      <x:c r="N1" s="3"/>
      <x:c r="O1" s="3"/>
      <x:c r="P1" s="3"/>
      <x:c r="Q1" s="3"/>
      <x:c r="R1" s="3"/>
      <x:c r="S1" s="3"/>
      <x:c r="T1" s="3"/>
      <x:c r="U1" s="3"/>
    </x:row>
    <x:row r="2" ht="22" customHeight="1">
      <x:c r="A2" s="4" t="str">
        <x:v>新車の公表価格・期間限定特価</x:v>
      </x:c>
      <x:c r="B2" s="3"/>
      <x:c r="C2" s="3"/>
      <x:c r="D2" s="3"/>
      <x:c r="E2" s="3"/>
      <x:c r="F2" s="3"/>
      <x:c r="G2" s="3"/>
      <x:c r="H2" s="3"/>
      <x:c r="I2" s="3"/>
      <x:c r="J2" s="3"/>
      <x:c r="K2" s="3"/>
      <x:c r="L2" s="3"/>
      <x:c r="M2" s="3"/>
      <x:c r="N2" s="3"/>
      <x:c r="O2" s="3"/>
      <x:c r="P2" s="3"/>
      <x:c r="Q2" s="3"/>
      <x:c r="R2" s="3"/>
      <x:c r="S2" s="3"/>
      <x:c r="T2" s="3"/>
      <x:c r="U2" s="3"/>
    </x:row>
    <x:row r="3" ht="22" customHeight="1">
      <x:c r="A3" s="5"/>
      <x:c r="B3" s="5"/>
      <x:c r="C3" s="5"/>
      <x:c r="D3" s="5"/>
      <x:c r="E3" s="5"/>
      <x:c r="F3" s="5"/>
      <x:c r="G3" s="5"/>
      <x:c r="H3" s="5"/>
      <x:c r="I3" s="5"/>
      <x:c r="J3" s="5"/>
      <x:c r="K3" s="5"/>
      <x:c r="L3" s="5"/>
      <x:c r="M3" s="5"/>
      <x:c r="N3" s="5"/>
      <x:c r="O3" s="3"/>
      <x:c r="P3" s="3"/>
      <x:c r="Q3" s="3"/>
      <x:c r="R3" s="3"/>
      <x:c r="S3" s="3"/>
      <x:c r="T3" s="3"/>
      <x:c r="U3" s="3"/>
    </x:row>
    <x:row r="4" ht="22" customHeight="1">
      <x:c r="A4" s="3" t="str">
        <x:v>通常提示価格、現金値引、条件付追加、金融/付帯特典を区別。価格改定・MY・仕様差は備考を参照。</x:v>
      </x:c>
      <x:c r="B4" s="3"/>
      <x:c r="C4" s="3"/>
      <x:c r="D4" s="3"/>
      <x:c r="E4" s="3"/>
      <x:c r="F4" s="3"/>
      <x:c r="G4" s="3"/>
      <x:c r="H4" s="3"/>
      <x:c r="I4" s="3"/>
      <x:c r="J4" s="3"/>
      <x:c r="K4" s="3"/>
      <x:c r="L4" s="3"/>
      <x:c r="M4" s="3"/>
      <x:c r="N4" s="3"/>
      <x:c r="O4" s="3"/>
      <x:c r="P4" s="3"/>
      <x:c r="Q4" s="3"/>
      <x:c r="R4" s="3"/>
      <x:c r="S4" s="3"/>
      <x:c r="T4" s="3"/>
      <x:c r="U4" s="3"/>
    </x:row>
    <x:row r="5" ht="22" customHeight="1">
      <x:c r="A5" s="3"/>
      <x:c r="B5" s="3"/>
      <x:c r="C5" s="3"/>
      <x:c r="D5" s="3"/>
      <x:c r="E5" s="3"/>
      <x:c r="F5" s="3"/>
      <x:c r="G5" s="3"/>
      <x:c r="H5" s="3"/>
      <x:c r="I5" s="3"/>
      <x:c r="J5" s="3"/>
      <x:c r="K5" s="3"/>
      <x:c r="L5" s="3"/>
      <x:c r="M5" s="3"/>
      <x:c r="N5" s="3"/>
      <x:c r="O5" s="3"/>
      <x:c r="P5" s="3"/>
      <x:c r="Q5" s="3"/>
      <x:c r="R5" s="3"/>
      <x:c r="S5" s="3"/>
      <x:c r="T5" s="3"/>
      <x:c r="U5" s="3"/>
    </x:row>
    <x:row r="6" ht="30" customHeight="1">
      <x:c r="A6" s="16" t="str">
        <x:v>価格ID</x:v>
      </x:c>
      <x:c r="B6" s="21" t="str">
        <x:v>価格観測日</x:v>
      </x:c>
      <x:c r="C6" s="21" t="str">
        <x:v>開始日</x:v>
      </x:c>
      <x:c r="D6" s="21" t="str">
        <x:v>終了日</x:v>
      </x:c>
      <x:c r="E6" s="21" t="str">
        <x:v>企業</x:v>
      </x:c>
      <x:c r="F6" s="21" t="str">
        <x:v>モデル</x:v>
      </x:c>
      <x:c r="G6" s="21" t="str">
        <x:v>動力</x:v>
      </x:c>
      <x:c r="H6" s="21" t="str">
        <x:v>車体</x:v>
      </x:c>
      <x:c r="I6" s="21" t="str">
        <x:v>グレード/仕様</x:v>
      </x:c>
      <x:c r="J6" s="21" t="str">
        <x:v>価格種別</x:v>
      </x:c>
      <x:c r="K6" s="21" t="str">
        <x:v>通常提示THB</x:v>
      </x:c>
      <x:c r="L6" s="21" t="str">
        <x:v>現金値引THB</x:v>
      </x:c>
      <x:c r="M6" s="21" t="str">
        <x:v>条件付追加THB</x:v>
      </x:c>
      <x:c r="N6" s="21" t="str">
        <x:v>通常特価THB</x:v>
      </x:c>
      <x:c r="O6" s="21" t="str">
        <x:v>追加適用THB</x:v>
      </x:c>
      <x:c r="P6" s="21" t="str">
        <x:v>現金値引率</x:v>
      </x:c>
      <x:c r="Q6" s="21" t="str">
        <x:v>金融/付帯特典</x:v>
      </x:c>
      <x:c r="R6" s="21" t="str">
        <x:v>条件・比較上の注意</x:v>
      </x:c>
      <x:c r="S6" s="21" t="str">
        <x:v>資料の種類</x:v>
      </x:c>
      <x:c r="T6" s="21" t="str">
        <x:v>出典URL</x:v>
      </x:c>
      <x:c r="U6" s="17" t="str">
        <x:v>取得日</x:v>
      </x:c>
    </x:row>
    <x:row r="7" ht="22" customHeight="1">
      <x:c r="A7" s="3" t="str">
        <x:v>ATTO22_STANDARD RANGE</x:v>
      </x:c>
      <x:c r="B7" s="7" t="d">
        <x:v>2022-11-11T00:00:00.000Z</x:v>
      </x:c>
      <x:c r="C7" s="7"/>
      <x:c r="D7" s="7"/>
      <x:c r="E7" s="3" t="str">
        <x:v>BYD</x:v>
      </x:c>
      <x:c r="F7" s="3" t="str">
        <x:v>ATTO 3</x:v>
      </x:c>
      <x:c r="G7" s="3" t="str">
        <x:v>BEV</x:v>
      </x:c>
      <x:c r="H7" s="3" t="str">
        <x:v>SUV</x:v>
      </x:c>
      <x:c r="I7" s="3" t="str">
        <x:v>STANDARD RANGE</x:v>
      </x:c>
      <x:c r="J7" s="3" t="str">
        <x:v>発売期公表価格</x:v>
      </x:c>
      <x:c r="K7" s="24" t="n">
        <x:v>1099900</x:v>
      </x:c>
      <x:c r="L7" s="24" t="n">
        <x:v>0</x:v>
      </x:c>
      <x:c r="M7" s="24" t="n">
        <x:v>0</x:v>
      </x:c>
      <x:c r="N7" s="25" t="n">
        <x:f>IF(AND(ISNUMBER(K7),ISNUMBER(L7)),K7-L7,"")</x:f>
        <x:v>1099900</x:v>
      </x:c>
      <x:c r="O7" s="25" t="n">
        <x:f>IF(AND(ISNUMBER(N7),ISNUMBER(M7)),N7-M7,"")</x:f>
        <x:v>1099900</x:v>
      </x:c>
      <x:c r="P7" s="26" t="n">
        <x:f>IF(AND(ISNUMBER(K7),ISNUMBER(L7)),L7/K7,"")</x:f>
        <x:v>0</x:v>
      </x:c>
      <x:c r="Q7" s="3" t="str"/>
      <x:c r="R7" s="3" t="str">
        <x:v>2022/11/11記事の価格観測。Extendedの初売りは2022/10。政府支援反映後の公表小売価格。</x:v>
      </x:c>
      <x:c r="S7" s="3" t="str">
        <x:v>一次＋価格報道</x:v>
      </x:c>
      <x:c r="T7" s="27" t="str">
        <x:v>https://en.byd.com/news/standard-range-of-byd-atto-3-launched-in-thailand/</x:v>
      </x:c>
      <x:c r="U7" s="7" t="d">
        <x:v>2026-10-08T00:00:00.000Z</x:v>
      </x:c>
    </x:row>
    <x:row r="8" ht="22" customHeight="1">
      <x:c r="A8" s="3" t="str">
        <x:v>ATTO22_EXTENDED RANGE</x:v>
      </x:c>
      <x:c r="B8" s="7" t="d">
        <x:v>2022-11-11T00:00:00.000Z</x:v>
      </x:c>
      <x:c r="C8" s="7"/>
      <x:c r="D8" s="7"/>
      <x:c r="E8" s="3" t="str">
        <x:v>BYD</x:v>
      </x:c>
      <x:c r="F8" s="3" t="str">
        <x:v>ATTO 3</x:v>
      </x:c>
      <x:c r="G8" s="3" t="str">
        <x:v>BEV</x:v>
      </x:c>
      <x:c r="H8" s="3" t="str">
        <x:v>SUV</x:v>
      </x:c>
      <x:c r="I8" s="3" t="str">
        <x:v>EXTENDED RANGE</x:v>
      </x:c>
      <x:c r="J8" s="3" t="str">
        <x:v>発売期公表価格</x:v>
      </x:c>
      <x:c r="K8" s="24" t="n">
        <x:v>1199900</x:v>
      </x:c>
      <x:c r="L8" s="24" t="n">
        <x:v>0</x:v>
      </x:c>
      <x:c r="M8" s="24" t="n">
        <x:v>0</x:v>
      </x:c>
      <x:c r="N8" s="25" t="n">
        <x:f>IF(AND(ISNUMBER(K8),ISNUMBER(L8)),K8-L8,"")</x:f>
        <x:v>1199900</x:v>
      </x:c>
      <x:c r="O8" s="25" t="n">
        <x:f>IF(AND(ISNUMBER(N8),ISNUMBER(M8)),N8-M8,"")</x:f>
        <x:v>1199900</x:v>
      </x:c>
      <x:c r="P8" s="26" t="n">
        <x:f>IF(AND(ISNUMBER(K8),ISNUMBER(L8)),L8/K8,"")</x:f>
        <x:v>0</x:v>
      </x:c>
      <x:c r="Q8" s="3" t="str"/>
      <x:c r="R8" s="3" t="str">
        <x:v>2022/11/11記事の価格観測。Extendedの初売りは2022/10。政府支援反映後の公表小売価格。</x:v>
      </x:c>
      <x:c r="S8" s="3" t="str">
        <x:v>価格報道（二次）</x:v>
      </x:c>
      <x:c r="T8" s="27" t="str">
        <x:v>https://autolifethailand.tv/official-price-byd-atto-3-standard-new/</x:v>
      </x:c>
      <x:c r="U8" s="7" t="d">
        <x:v>2026-10-08T00:00:00.000Z</x:v>
      </x:c>
    </x:row>
    <x:row r="9" ht="22" customHeight="1">
      <x:c r="A9" s="3" t="str">
        <x:v>DOL23_STANDARD RANGE</x:v>
      </x:c>
      <x:c r="B9" s="7" t="d">
        <x:v>2023-07-06T00:00:00.000Z</x:v>
      </x:c>
      <x:c r="C9" s="7" t="d">
        <x:v>2023-07-06T00:00:00.000Z</x:v>
      </x:c>
      <x:c r="D9" s="7"/>
      <x:c r="E9" s="3" t="str">
        <x:v>BYD</x:v>
      </x:c>
      <x:c r="F9" s="3" t="str">
        <x:v>DOLPHIN</x:v>
      </x:c>
      <x:c r="G9" s="3" t="str">
        <x:v>BEV</x:v>
      </x:c>
      <x:c r="H9" s="3" t="str">
        <x:v>Hatchback</x:v>
      </x:c>
      <x:c r="I9" s="3" t="str">
        <x:v>STANDARD RANGE</x:v>
      </x:c>
      <x:c r="J9" s="3" t="str">
        <x:v>発売価格</x:v>
      </x:c>
      <x:c r="K9" s="24" t="n">
        <x:v>699999</x:v>
      </x:c>
      <x:c r="L9" s="24" t="n">
        <x:v>0</x:v>
      </x:c>
      <x:c r="M9" s="24" t="n">
        <x:v>0</x:v>
      </x:c>
      <x:c r="N9" s="25" t="n">
        <x:f>IF(AND(ISNUMBER(K9),ISNUMBER(L9)),K9-L9,"")</x:f>
        <x:v>699999</x:v>
      </x:c>
      <x:c r="O9" s="25" t="n">
        <x:f>IF(AND(ISNUMBER(N9),ISNUMBER(M9)),N9-M9,"")</x:f>
        <x:v>699999</x:v>
      </x:c>
      <x:c r="P9" s="26" t="n">
        <x:f>IF(AND(ISNUMBER(K9),ISNUMBER(L9)),L9/K9,"")</x:f>
        <x:v>0</x:v>
      </x:c>
      <x:c r="Q9" s="3" t="str"/>
      <x:c r="R9" s="3" t="str">
        <x:v>CBU。記事URLの日付文字列ではなく、本文の公表日を採用。</x:v>
      </x:c>
      <x:c r="S9" s="3" t="str">
        <x:v>価格報道（二次）</x:v>
      </x:c>
      <x:c r="T9" s="27" t="str">
        <x:v>https://www.headlightmag.com/2023-06-28-official-price-byd-dolphin-standard-range-extended-range/</x:v>
      </x:c>
      <x:c r="U9" s="7" t="d">
        <x:v>2026-10-08T00:00:00.000Z</x:v>
      </x:c>
    </x:row>
    <x:row r="10" ht="22" customHeight="1">
      <x:c r="A10" s="3" t="str">
        <x:v>DOL23_EXTENDED RANGE</x:v>
      </x:c>
      <x:c r="B10" s="7" t="d">
        <x:v>2023-07-06T00:00:00.000Z</x:v>
      </x:c>
      <x:c r="C10" s="7" t="d">
        <x:v>2023-07-06T00:00:00.000Z</x:v>
      </x:c>
      <x:c r="D10" s="7"/>
      <x:c r="E10" s="3" t="str">
        <x:v>BYD</x:v>
      </x:c>
      <x:c r="F10" s="3" t="str">
        <x:v>DOLPHIN</x:v>
      </x:c>
      <x:c r="G10" s="3" t="str">
        <x:v>BEV</x:v>
      </x:c>
      <x:c r="H10" s="3" t="str">
        <x:v>Hatchback</x:v>
      </x:c>
      <x:c r="I10" s="3" t="str">
        <x:v>EXTENDED RANGE</x:v>
      </x:c>
      <x:c r="J10" s="3" t="str">
        <x:v>発売価格</x:v>
      </x:c>
      <x:c r="K10" s="24" t="n">
        <x:v>859999</x:v>
      </x:c>
      <x:c r="L10" s="24" t="n">
        <x:v>0</x:v>
      </x:c>
      <x:c r="M10" s="24" t="n">
        <x:v>0</x:v>
      </x:c>
      <x:c r="N10" s="25" t="n">
        <x:f>IF(AND(ISNUMBER(K10),ISNUMBER(L10)),K10-L10,"")</x:f>
        <x:v>859999</x:v>
      </x:c>
      <x:c r="O10" s="25" t="n">
        <x:f>IF(AND(ISNUMBER(N10),ISNUMBER(M10)),N10-M10,"")</x:f>
        <x:v>859999</x:v>
      </x:c>
      <x:c r="P10" s="26" t="n">
        <x:f>IF(AND(ISNUMBER(K10),ISNUMBER(L10)),L10/K10,"")</x:f>
        <x:v>0</x:v>
      </x:c>
      <x:c r="Q10" s="3" t="str"/>
      <x:c r="R10" s="3" t="str">
        <x:v>CBU。記事URLの日付文字列ではなく、本文の公表日を採用。</x:v>
      </x:c>
      <x:c r="S10" s="3" t="str">
        <x:v>価格報道（二次）</x:v>
      </x:c>
      <x:c r="T10" s="27" t="str">
        <x:v>https://www.headlightmag.com/2023-06-28-official-price-byd-dolphin-standard-range-extended-range/</x:v>
      </x:c>
      <x:c r="U10" s="7" t="d">
        <x:v>2026-10-08T00:00:00.000Z</x:v>
      </x:c>
    </x:row>
    <x:row r="11" ht="22" customHeight="1">
      <x:c r="A11" s="3" t="str">
        <x:v>SEAL23_DYNAMIC</x:v>
      </x:c>
      <x:c r="B11" s="7" t="d">
        <x:v>2023-09-28T00:00:00.000Z</x:v>
      </x:c>
      <x:c r="C11" s="7" t="d">
        <x:v>2023-09-28T00:00:00.000Z</x:v>
      </x:c>
      <x:c r="D11" s="7"/>
      <x:c r="E11" s="3" t="str">
        <x:v>BYD</x:v>
      </x:c>
      <x:c r="F11" s="3" t="str">
        <x:v>SEAL</x:v>
      </x:c>
      <x:c r="G11" s="3" t="str">
        <x:v>BEV</x:v>
      </x:c>
      <x:c r="H11" s="3" t="str">
        <x:v>Sedan</x:v>
      </x:c>
      <x:c r="I11" s="3" t="str">
        <x:v>DYNAMIC</x:v>
      </x:c>
      <x:c r="J11" s="3" t="str">
        <x:v>発売価格</x:v>
      </x:c>
      <x:c r="K11" s="24" t="n">
        <x:v>1325000</x:v>
      </x:c>
      <x:c r="L11" s="24" t="n">
        <x:v>0</x:v>
      </x:c>
      <x:c r="M11" s="24" t="n">
        <x:v>0</x:v>
      </x:c>
      <x:c r="N11" s="25" t="n">
        <x:f>IF(AND(ISNUMBER(K11),ISNUMBER(L11)),K11-L11,"")</x:f>
        <x:v>1325000</x:v>
      </x:c>
      <x:c r="O11" s="25" t="n">
        <x:f>IF(AND(ISNUMBER(N11),ISNUMBER(M11)),N11-M11,"")</x:f>
        <x:v>1325000</x:v>
      </x:c>
      <x:c r="P11" s="26" t="n">
        <x:f>IF(AND(ISNUMBER(K11),ISNUMBER(L11)),L11/K11,"")</x:f>
        <x:v>0</x:v>
      </x:c>
      <x:c r="Q11" s="3" t="str"/>
      <x:c r="R11" s="3" t="str">
        <x:v>2023/9/28発売を翌日報道。政府支援・諸条件は記事参照。</x:v>
      </x:c>
      <x:c r="S11" s="3" t="str">
        <x:v>価格報道（二次）</x:v>
      </x:c>
      <x:c r="T11" s="27" t="str">
        <x:v>https://carnewschina.com/2023/09/29/byd-seal-launched-in-thailand-attracting-over-1000-orders-in-an-hour/</x:v>
      </x:c>
      <x:c r="U11" s="7" t="d">
        <x:v>2026-10-08T00:00:00.000Z</x:v>
      </x:c>
    </x:row>
    <x:row r="12" ht="22" customHeight="1">
      <x:c r="A12" s="3" t="str">
        <x:v>SEAL23_PREMIUM</x:v>
      </x:c>
      <x:c r="B12" s="7" t="d">
        <x:v>2023-09-28T00:00:00.000Z</x:v>
      </x:c>
      <x:c r="C12" s="7" t="d">
        <x:v>2023-09-28T00:00:00.000Z</x:v>
      </x:c>
      <x:c r="D12" s="7"/>
      <x:c r="E12" s="3" t="str">
        <x:v>BYD</x:v>
      </x:c>
      <x:c r="F12" s="3" t="str">
        <x:v>SEAL</x:v>
      </x:c>
      <x:c r="G12" s="3" t="str">
        <x:v>BEV</x:v>
      </x:c>
      <x:c r="H12" s="3" t="str">
        <x:v>Sedan</x:v>
      </x:c>
      <x:c r="I12" s="3" t="str">
        <x:v>PREMIUM</x:v>
      </x:c>
      <x:c r="J12" s="3" t="str">
        <x:v>発売価格</x:v>
      </x:c>
      <x:c r="K12" s="24" t="n">
        <x:v>1449000</x:v>
      </x:c>
      <x:c r="L12" s="24" t="n">
        <x:v>0</x:v>
      </x:c>
      <x:c r="M12" s="24" t="n">
        <x:v>0</x:v>
      </x:c>
      <x:c r="N12" s="25" t="n">
        <x:f>IF(AND(ISNUMBER(K12),ISNUMBER(L12)),K12-L12,"")</x:f>
        <x:v>1449000</x:v>
      </x:c>
      <x:c r="O12" s="25" t="n">
        <x:f>IF(AND(ISNUMBER(N12),ISNUMBER(M12)),N12-M12,"")</x:f>
        <x:v>1449000</x:v>
      </x:c>
      <x:c r="P12" s="26" t="n">
        <x:f>IF(AND(ISNUMBER(K12),ISNUMBER(L12)),L12/K12,"")</x:f>
        <x:v>0</x:v>
      </x:c>
      <x:c r="Q12" s="3" t="str"/>
      <x:c r="R12" s="3" t="str">
        <x:v>2023/9/28発売を翌日報道。政府支援・諸条件は記事参照。</x:v>
      </x:c>
      <x:c r="S12" s="3" t="str">
        <x:v>価格報道（二次）</x:v>
      </x:c>
      <x:c r="T12" s="27" t="str">
        <x:v>https://carnewschina.com/2023/09/29/byd-seal-launched-in-thailand-attracting-over-1000-orders-in-an-hour/</x:v>
      </x:c>
      <x:c r="U12" s="7" t="d">
        <x:v>2026-10-08T00:00:00.000Z</x:v>
      </x:c>
    </x:row>
    <x:row r="13" ht="22" customHeight="1">
      <x:c r="A13" s="3" t="str">
        <x:v>SEAL23_AWD PERFORMANCE</x:v>
      </x:c>
      <x:c r="B13" s="7" t="d">
        <x:v>2023-09-28T00:00:00.000Z</x:v>
      </x:c>
      <x:c r="C13" s="7" t="d">
        <x:v>2023-09-28T00:00:00.000Z</x:v>
      </x:c>
      <x:c r="D13" s="7"/>
      <x:c r="E13" s="3" t="str">
        <x:v>BYD</x:v>
      </x:c>
      <x:c r="F13" s="3" t="str">
        <x:v>SEAL</x:v>
      </x:c>
      <x:c r="G13" s="3" t="str">
        <x:v>BEV</x:v>
      </x:c>
      <x:c r="H13" s="3" t="str">
        <x:v>Sedan</x:v>
      </x:c>
      <x:c r="I13" s="3" t="str">
        <x:v>AWD PERFORMANCE</x:v>
      </x:c>
      <x:c r="J13" s="3" t="str">
        <x:v>発売価格</x:v>
      </x:c>
      <x:c r="K13" s="24" t="n">
        <x:v>1599000</x:v>
      </x:c>
      <x:c r="L13" s="24" t="n">
        <x:v>0</x:v>
      </x:c>
      <x:c r="M13" s="24" t="n">
        <x:v>0</x:v>
      </x:c>
      <x:c r="N13" s="25" t="n">
        <x:f>IF(AND(ISNUMBER(K13),ISNUMBER(L13)),K13-L13,"")</x:f>
        <x:v>1599000</x:v>
      </x:c>
      <x:c r="O13" s="25" t="n">
        <x:f>IF(AND(ISNUMBER(N13),ISNUMBER(M13)),N13-M13,"")</x:f>
        <x:v>1599000</x:v>
      </x:c>
      <x:c r="P13" s="26" t="n">
        <x:f>IF(AND(ISNUMBER(K13),ISNUMBER(L13)),L13/K13,"")</x:f>
        <x:v>0</x:v>
      </x:c>
      <x:c r="Q13" s="3" t="str"/>
      <x:c r="R13" s="3" t="str">
        <x:v>2023/9/28発売を翌日報道。政府支援・諸条件は記事参照。</x:v>
      </x:c>
      <x:c r="S13" s="3" t="str">
        <x:v>価格報道（二次）</x:v>
      </x:c>
      <x:c r="T13" s="27" t="str">
        <x:v>https://carnewschina.com/2023/09/29/byd-seal-launched-in-thailand-attracting-over-1000-orders-in-an-hour/</x:v>
      </x:c>
      <x:c r="U13" s="7" t="d">
        <x:v>2026-10-08T00:00:00.000Z</x:v>
      </x:c>
    </x:row>
    <x:row r="14" ht="22" customHeight="1">
      <x:c r="A14" s="3" t="str">
        <x:v>SL6_24_DYNAMIC</x:v>
      </x:c>
      <x:c r="B14" s="7" t="d">
        <x:v>2024-08-08T00:00:00.000Z</x:v>
      </x:c>
      <x:c r="C14" s="7" t="d">
        <x:v>2024-08-08T00:00:00.000Z</x:v>
      </x:c>
      <x:c r="D14" s="7"/>
      <x:c r="E14" s="3" t="str">
        <x:v>BYD</x:v>
      </x:c>
      <x:c r="F14" s="3" t="str">
        <x:v>SEALION 6</x:v>
      </x:c>
      <x:c r="G14" s="3" t="str">
        <x:v>PHEV</x:v>
      </x:c>
      <x:c r="H14" s="3" t="str">
        <x:v>SUV</x:v>
      </x:c>
      <x:c r="I14" s="3" t="str">
        <x:v>DYNAMIC</x:v>
      </x:c>
      <x:c r="J14" s="3" t="str">
        <x:v>発売価格</x:v>
      </x:c>
      <x:c r="K14" s="24" t="n">
        <x:v>939900</x:v>
      </x:c>
      <x:c r="L14" s="24" t="n">
        <x:v>0</x:v>
      </x:c>
      <x:c r="M14" s="24" t="n">
        <x:v>0</x:v>
      </x:c>
      <x:c r="N14" s="25" t="n">
        <x:f>IF(AND(ISNUMBER(K14),ISNUMBER(L14)),K14-L14,"")</x:f>
        <x:v>939900</x:v>
      </x:c>
      <x:c r="O14" s="25" t="n">
        <x:f>IF(AND(ISNUMBER(N14),ISNUMBER(M14)),N14-M14,"")</x:f>
        <x:v>939900</x:v>
      </x:c>
      <x:c r="P14" s="26" t="n">
        <x:f>IF(AND(ISNUMBER(K14),ISNUMBER(L14)),L14/K14,"")</x:f>
        <x:v>0</x:v>
      </x:c>
      <x:c r="Q14" s="3" t="str"/>
      <x:c r="R14" s="3" t="str">
        <x:v>初期Dynamic。価格観測は予約開始時、納車開始は2024/10。2025年価格と別の観測。</x:v>
      </x:c>
      <x:c r="S14" s="3" t="str">
        <x:v>価格報道（二次）</x:v>
      </x:c>
      <x:c r="T14" s="27" t="str">
        <x:v>https://www.sanook.com/auto/92467/</x:v>
      </x:c>
      <x:c r="U14" s="7" t="d">
        <x:v>2026-10-08T00:00:00.000Z</x:v>
      </x:c>
    </x:row>
    <x:row r="15" ht="22" customHeight="1">
      <x:c r="A15" s="3" t="str">
        <x:v>ATTO23_FACTORY</x:v>
      </x:c>
      <x:c r="B15" s="7" t="d">
        <x:v>2024-07-01T00:00:00.000Z</x:v>
      </x:c>
      <x:c r="C15" s="7" t="d">
        <x:v>2024-07-05T00:00:00.000Z</x:v>
      </x:c>
      <x:c r="D15" s="7" t="d">
        <x:v>2024-07-31T00:00:00.000Z</x:v>
      </x:c>
      <x:c r="E15" s="3" t="str">
        <x:v>BYD</x:v>
      </x:c>
      <x:c r="F15" s="3" t="str">
        <x:v>ATTO 3</x:v>
      </x:c>
      <x:c r="G15" s="3" t="str">
        <x:v>BEV</x:v>
      </x:c>
      <x:c r="H15" s="3" t="str">
        <x:v>SUV</x:v>
      </x:c>
      <x:c r="I15" s="3" t="str">
        <x:v>EXTENDED RANGE MY23</x:v>
      </x:c>
      <x:c r="J15" s="3" t="str">
        <x:v>工場開設特価</x:v>
      </x:c>
      <x:c r="K15" s="24" t="n">
        <x:v>1199900</x:v>
      </x:c>
      <x:c r="L15" s="24" t="n">
        <x:v>340000</x:v>
      </x:c>
      <x:c r="M15" s="24" t="n">
        <x:v>0</x:v>
      </x:c>
      <x:c r="N15" s="25" t="n">
        <x:f>IF(AND(ISNUMBER(K15),ISNUMBER(L15)),K15-L15,"")</x:f>
        <x:v>859900</x:v>
      </x:c>
      <x:c r="O15" s="25" t="n">
        <x:f>IF(AND(ISNUMBER(N15),ISNUMBER(M15)),N15-M15,"")</x:f>
        <x:v>859900</x:v>
      </x:c>
      <x:c r="P15" s="26" t="n">
        <x:f>IF(AND(ISNUMBER(K15),ISNUMBER(L15)),L15/K15,"")</x:f>
        <x:v>0.283356946412201</x:v>
      </x:c>
      <x:c r="Q15" s="3" t="str">
        <x:v>フィルム等。現金値引へ換算しない。</x:v>
      </x:c>
      <x:c r="R15" s="3" t="str">
        <x:v>期間内または在庫終了まで。MY23とMY24・電池/仕様を区別。</x:v>
      </x:c>
      <x:c r="S15" s="3" t="str">
        <x:v>価格報道（二次）</x:v>
      </x:c>
      <x:c r="T15" s="27" t="str">
        <x:v>https://www.thairath.co.th/news/auto/evcar/2797485</x:v>
      </x:c>
      <x:c r="U15" s="7" t="d">
        <x:v>2026-10-08T00:00:00.000Z</x:v>
      </x:c>
    </x:row>
    <x:row r="16" ht="22" customHeight="1">
      <x:c r="A16" s="3" t="str">
        <x:v>ATTO24_FACTORY_D</x:v>
      </x:c>
      <x:c r="B16" s="7" t="d">
        <x:v>2024-07-01T00:00:00.000Z</x:v>
      </x:c>
      <x:c r="C16" s="7" t="d">
        <x:v>2024-07-05T00:00:00.000Z</x:v>
      </x:c>
      <x:c r="D16" s="7" t="d">
        <x:v>2024-07-31T00:00:00.000Z</x:v>
      </x:c>
      <x:c r="E16" s="3" t="str">
        <x:v>BYD</x:v>
      </x:c>
      <x:c r="F16" s="3" t="str">
        <x:v>ATTO 3</x:v>
      </x:c>
      <x:c r="G16" s="3" t="str">
        <x:v>BEV</x:v>
      </x:c>
      <x:c r="H16" s="3" t="str">
        <x:v>SUV</x:v>
      </x:c>
      <x:c r="I16" s="3" t="str">
        <x:v>DYNAMIC MY24</x:v>
      </x:c>
      <x:c r="J16" s="3" t="str">
        <x:v>工場開設特価</x:v>
      </x:c>
      <x:c r="K16" s="24" t="n">
        <x:v>899900</x:v>
      </x:c>
      <x:c r="L16" s="24" t="n">
        <x:v>100000</x:v>
      </x:c>
      <x:c r="M16" s="24" t="n">
        <x:v>0</x:v>
      </x:c>
      <x:c r="N16" s="25" t="n">
        <x:f>IF(AND(ISNUMBER(K16),ISNUMBER(L16)),K16-L16,"")</x:f>
        <x:v>799900</x:v>
      </x:c>
      <x:c r="O16" s="25" t="n">
        <x:f>IF(AND(ISNUMBER(N16),ISNUMBER(M16)),N16-M16,"")</x:f>
        <x:v>799900</x:v>
      </x:c>
      <x:c r="P16" s="26" t="n">
        <x:f>IF(AND(ISNUMBER(K16),ISNUMBER(L16)),L16/K16,"")</x:f>
        <x:v>0.111123458162018</x:v>
      </x:c>
      <x:c r="Q16" s="3" t="str">
        <x:v>フィルム等。現金値引へ換算しない。</x:v>
      </x:c>
      <x:c r="R16" s="3" t="str">
        <x:v>期間内または在庫終了まで。MY23とMY24・電池/仕様を区別。</x:v>
      </x:c>
      <x:c r="S16" s="3" t="str">
        <x:v>価格報道（二次）</x:v>
      </x:c>
      <x:c r="T16" s="27" t="str">
        <x:v>https://www.thairath.co.th/news/auto/evcar/2797485</x:v>
      </x:c>
      <x:c r="U16" s="7" t="d">
        <x:v>2026-10-08T00:00:00.000Z</x:v>
      </x:c>
    </x:row>
    <x:row r="17" ht="22" customHeight="1">
      <x:c r="A17" s="3" t="str">
        <x:v>ATTO24_FACTORY_P</x:v>
      </x:c>
      <x:c r="B17" s="7" t="d">
        <x:v>2024-07-01T00:00:00.000Z</x:v>
      </x:c>
      <x:c r="C17" s="7" t="d">
        <x:v>2024-07-05T00:00:00.000Z</x:v>
      </x:c>
      <x:c r="D17" s="7" t="d">
        <x:v>2024-07-31T00:00:00.000Z</x:v>
      </x:c>
      <x:c r="E17" s="3" t="str">
        <x:v>BYD</x:v>
      </x:c>
      <x:c r="F17" s="3" t="str">
        <x:v>ATTO 3</x:v>
      </x:c>
      <x:c r="G17" s="3" t="str">
        <x:v>BEV</x:v>
      </x:c>
      <x:c r="H17" s="3" t="str">
        <x:v>SUV</x:v>
      </x:c>
      <x:c r="I17" s="3" t="str">
        <x:v>PREMIUM MY24</x:v>
      </x:c>
      <x:c r="J17" s="3" t="str">
        <x:v>工場開設特価</x:v>
      </x:c>
      <x:c r="K17" s="24" t="n">
        <x:v>949900</x:v>
      </x:c>
      <x:c r="L17" s="24" t="n">
        <x:v>90000</x:v>
      </x:c>
      <x:c r="M17" s="24" t="n">
        <x:v>0</x:v>
      </x:c>
      <x:c r="N17" s="25" t="n">
        <x:f>IF(AND(ISNUMBER(K17),ISNUMBER(L17)),K17-L17,"")</x:f>
        <x:v>859900</x:v>
      </x:c>
      <x:c r="O17" s="25" t="n">
        <x:f>IF(AND(ISNUMBER(N17),ISNUMBER(M17)),N17-M17,"")</x:f>
        <x:v>859900</x:v>
      </x:c>
      <x:c r="P17" s="26" t="n">
        <x:f>IF(AND(ISNUMBER(K17),ISNUMBER(L17)),L17/K17,"")</x:f>
        <x:v>0.09474681545425834</x:v>
      </x:c>
      <x:c r="Q17" s="3" t="str">
        <x:v>フィルム等。現金値引へ換算しない。</x:v>
      </x:c>
      <x:c r="R17" s="3" t="str">
        <x:v>期間内または在庫終了まで。MY23とMY24・電池/仕様を区別。</x:v>
      </x:c>
      <x:c r="S17" s="3" t="str">
        <x:v>価格報道（二次）</x:v>
      </x:c>
      <x:c r="T17" s="27" t="str">
        <x:v>https://www.thairath.co.th/news/auto/evcar/2797485</x:v>
      </x:c>
      <x:c r="U17" s="7" t="d">
        <x:v>2026-10-08T00:00:00.000Z</x:v>
      </x:c>
    </x:row>
    <x:row r="18" ht="22" customHeight="1">
      <x:c r="A18" s="3" t="str">
        <x:v>ATTO24_FACTORY_E</x:v>
      </x:c>
      <x:c r="B18" s="7" t="d">
        <x:v>2024-07-01T00:00:00.000Z</x:v>
      </x:c>
      <x:c r="C18" s="7" t="d">
        <x:v>2024-07-05T00:00:00.000Z</x:v>
      </x:c>
      <x:c r="D18" s="7" t="d">
        <x:v>2024-07-31T00:00:00.000Z</x:v>
      </x:c>
      <x:c r="E18" s="3" t="str">
        <x:v>BYD</x:v>
      </x:c>
      <x:c r="F18" s="3" t="str">
        <x:v>ATTO 3</x:v>
      </x:c>
      <x:c r="G18" s="3" t="str">
        <x:v>BEV</x:v>
      </x:c>
      <x:c r="H18" s="3" t="str">
        <x:v>SUV</x:v>
      </x:c>
      <x:c r="I18" s="3" t="str">
        <x:v>EXTENDED MY24</x:v>
      </x:c>
      <x:c r="J18" s="3" t="str">
        <x:v>工場開設特価</x:v>
      </x:c>
      <x:c r="K18" s="24" t="n">
        <x:v>1049900</x:v>
      </x:c>
      <x:c r="L18" s="24" t="n">
        <x:v>90000</x:v>
      </x:c>
      <x:c r="M18" s="24" t="n">
        <x:v>0</x:v>
      </x:c>
      <x:c r="N18" s="25" t="n">
        <x:f>IF(AND(ISNUMBER(K18),ISNUMBER(L18)),K18-L18,"")</x:f>
        <x:v>959900</x:v>
      </x:c>
      <x:c r="O18" s="25" t="n">
        <x:f>IF(AND(ISNUMBER(N18),ISNUMBER(M18)),N18-M18,"")</x:f>
        <x:v>959900</x:v>
      </x:c>
      <x:c r="P18" s="26" t="n">
        <x:f>IF(AND(ISNUMBER(K18),ISNUMBER(L18)),L18/K18,"")</x:f>
        <x:v>0.08572244975711972</x:v>
      </x:c>
      <x:c r="Q18" s="3" t="str">
        <x:v>フィルム等。現金値引へ換算しない。</x:v>
      </x:c>
      <x:c r="R18" s="3" t="str">
        <x:v>期間内または在庫終了まで。MY23とMY24・電池/仕様を区別。</x:v>
      </x:c>
      <x:c r="S18" s="3" t="str">
        <x:v>価格報道（二次）</x:v>
      </x:c>
      <x:c r="T18" s="27" t="str">
        <x:v>https://www.thairath.co.th/news/auto/evcar/2797485</x:v>
      </x:c>
      <x:c r="U18" s="7" t="d">
        <x:v>2026-10-08T00:00:00.000Z</x:v>
      </x:c>
    </x:row>
    <x:row r="19" ht="22" customHeight="1">
      <x:c r="A19" s="3" t="str">
        <x:v>WC25_0_1</x:v>
      </x:c>
      <x:c r="B19" s="7" t="d">
        <x:v>2025-01-01T00:00:00.000Z</x:v>
      </x:c>
      <x:c r="C19" s="7" t="d">
        <x:v>2025-01-01T00:00:00.000Z</x:v>
      </x:c>
      <x:c r="D19" s="7" t="d">
        <x:v>2025-02-28T00:00:00.000Z</x:v>
      </x:c>
      <x:c r="E19" s="3" t="str">
        <x:v>BYD</x:v>
      </x:c>
      <x:c r="F19" s="3" t="str">
        <x:v>ATTO 3</x:v>
      </x:c>
      <x:c r="G19" s="3" t="str">
        <x:v>BEV</x:v>
      </x:c>
      <x:c r="H19" s="3" t="str">
        <x:v>SUV</x:v>
      </x:c>
      <x:c r="I19" s="3" t="str">
        <x:v>EXTENDED MY24 CBU</x:v>
      </x:c>
      <x:c r="J19" s="3" t="str">
        <x:v>World Champion</x:v>
      </x:c>
      <x:c r="K19" s="24" t="n">
        <x:v>1049900</x:v>
      </x:c>
      <x:c r="L19" s="24" t="n">
        <x:v>150000</x:v>
      </x:c>
      <x:c r="M19" s="24" t="n">
        <x:v>0</x:v>
      </x:c>
      <x:c r="N19" s="25" t="n">
        <x:f>IF(AND(ISNUMBER(K19),ISNUMBER(L19)),K19-L19,"")</x:f>
        <x:v>899900</x:v>
      </x:c>
      <x:c r="O19" s="25" t="n">
        <x:f>IF(AND(ISNUMBER(N19),ISNUMBER(M19)),N19-M19,"")</x:f>
        <x:v>899900</x:v>
      </x:c>
      <x:c r="P19" s="26" t="n">
        <x:f>IF(AND(ISNUMBER(K19),ISNUMBER(L19)),L19/K19,"")</x:f>
        <x:v>0.14287074959519955</x:v>
      </x:c>
      <x:c r="Q19" s="3" t="str">
        <x:v>保険等は条件付。金利1.98%は原則2025/1の融資承認。</x:v>
      </x:c>
      <x:c r="R19" s="3" t="str">
        <x:v>予約・請求書が期間内。CBU/国内生産・座席数を区別。</x:v>
      </x:c>
      <x:c r="S19" s="3" t="str">
        <x:v>一次資料</x:v>
      </x:c>
      <x:c r="T19" s="27" t="str">
        <x:v>https://www.reverautomotive.com/news/world-champion-campaign</x:v>
      </x:c>
      <x:c r="U19" s="7" t="d">
        <x:v>2026-10-08T00:00:00.000Z</x:v>
      </x:c>
    </x:row>
    <x:row r="20" ht="22" customHeight="1">
      <x:c r="A20" s="3" t="str">
        <x:v>WC25_0_2</x:v>
      </x:c>
      <x:c r="B20" s="7" t="d">
        <x:v>2025-01-01T00:00:00.000Z</x:v>
      </x:c>
      <x:c r="C20" s="7" t="d">
        <x:v>2025-01-01T00:00:00.000Z</x:v>
      </x:c>
      <x:c r="D20" s="7" t="d">
        <x:v>2025-02-28T00:00:00.000Z</x:v>
      </x:c>
      <x:c r="E20" s="3" t="str">
        <x:v>BYD</x:v>
      </x:c>
      <x:c r="F20" s="3" t="str">
        <x:v>ATTO 3</x:v>
      </x:c>
      <x:c r="G20" s="3" t="str">
        <x:v>BEV</x:v>
      </x:c>
      <x:c r="H20" s="3" t="str">
        <x:v>SUV</x:v>
      </x:c>
      <x:c r="I20" s="3" t="str">
        <x:v>EXTENDED MY24 Local</x:v>
      </x:c>
      <x:c r="J20" s="3" t="str">
        <x:v>World Champion</x:v>
      </x:c>
      <x:c r="K20" s="24" t="n">
        <x:v>899900</x:v>
      </x:c>
      <x:c r="L20" s="24" t="n">
        <x:v>0</x:v>
      </x:c>
      <x:c r="M20" s="24" t="n">
        <x:v>0</x:v>
      </x:c>
      <x:c r="N20" s="25" t="n">
        <x:f>IF(AND(ISNUMBER(K20),ISNUMBER(L20)),K20-L20,"")</x:f>
        <x:v>899900</x:v>
      </x:c>
      <x:c r="O20" s="25" t="n">
        <x:f>IF(AND(ISNUMBER(N20),ISNUMBER(M20)),N20-M20,"")</x:f>
        <x:v>899900</x:v>
      </x:c>
      <x:c r="P20" s="26" t="n">
        <x:f>IF(AND(ISNUMBER(K20),ISNUMBER(L20)),L20/K20,"")</x:f>
        <x:v>0</x:v>
      </x:c>
      <x:c r="Q20" s="3" t="str">
        <x:v>保険等は条件付。金利1.98%は原則2025/1の融資承認。</x:v>
      </x:c>
      <x:c r="R20" s="3" t="str">
        <x:v>予約・請求書が期間内。CBU/国内生産・座席数を区別。</x:v>
      </x:c>
      <x:c r="S20" s="3" t="str">
        <x:v>一次資料</x:v>
      </x:c>
      <x:c r="T20" s="27" t="str">
        <x:v>https://www.reverautomotive.com/news/world-champion-campaign</x:v>
      </x:c>
      <x:c r="U20" s="7" t="d">
        <x:v>2026-10-08T00:00:00.000Z</x:v>
      </x:c>
    </x:row>
    <x:row r="21" ht="22" customHeight="1">
      <x:c r="A21" s="3" t="str">
        <x:v>WC25_1_1</x:v>
      </x:c>
      <x:c r="B21" s="7" t="d">
        <x:v>2025-01-01T00:00:00.000Z</x:v>
      </x:c>
      <x:c r="C21" s="7" t="d">
        <x:v>2025-01-01T00:00:00.000Z</x:v>
      </x:c>
      <x:c r="D21" s="7" t="d">
        <x:v>2025-02-28T00:00:00.000Z</x:v>
      </x:c>
      <x:c r="E21" s="3" t="str">
        <x:v>BYD</x:v>
      </x:c>
      <x:c r="F21" s="3" t="str">
        <x:v>DOLPHIN</x:v>
      </x:c>
      <x:c r="G21" s="3" t="str">
        <x:v>BEV</x:v>
      </x:c>
      <x:c r="H21" s="3" t="str">
        <x:v>Hatchback</x:v>
      </x:c>
      <x:c r="I21" s="3" t="str">
        <x:v>STANDARD RANGE</x:v>
      </x:c>
      <x:c r="J21" s="3" t="str">
        <x:v>World Champion</x:v>
      </x:c>
      <x:c r="K21" s="24" t="n">
        <x:v>569900</x:v>
      </x:c>
      <x:c r="L21" s="24" t="n">
        <x:v>0</x:v>
      </x:c>
      <x:c r="M21" s="24" t="n">
        <x:v>0</x:v>
      </x:c>
      <x:c r="N21" s="25" t="n">
        <x:f>IF(AND(ISNUMBER(K21),ISNUMBER(L21)),K21-L21,"")</x:f>
        <x:v>569900</x:v>
      </x:c>
      <x:c r="O21" s="25" t="n">
        <x:f>IF(AND(ISNUMBER(N21),ISNUMBER(M21)),N21-M21,"")</x:f>
        <x:v>569900</x:v>
      </x:c>
      <x:c r="P21" s="26" t="n">
        <x:f>IF(AND(ISNUMBER(K21),ISNUMBER(L21)),L21/K21,"")</x:f>
        <x:v>0</x:v>
      </x:c>
      <x:c r="Q21" s="3" t="str">
        <x:v>保険等は条件付。金利1.98%は原則2025/1の融資承認。</x:v>
      </x:c>
      <x:c r="R21" s="3" t="str">
        <x:v>予約・請求書が期間内。CBU/国内生産・座席数を区別。</x:v>
      </x:c>
      <x:c r="S21" s="3" t="str">
        <x:v>一次資料</x:v>
      </x:c>
      <x:c r="T21" s="27" t="str">
        <x:v>https://www.reverautomotive.com/news/world-champion-campaign</x:v>
      </x:c>
      <x:c r="U21" s="7" t="d">
        <x:v>2026-10-08T00:00:00.000Z</x:v>
      </x:c>
    </x:row>
    <x:row r="22" ht="22" customHeight="1">
      <x:c r="A22" s="3" t="str">
        <x:v>WC25_1_2</x:v>
      </x:c>
      <x:c r="B22" s="7" t="d">
        <x:v>2025-01-01T00:00:00.000Z</x:v>
      </x:c>
      <x:c r="C22" s="7" t="d">
        <x:v>2025-01-01T00:00:00.000Z</x:v>
      </x:c>
      <x:c r="D22" s="7" t="d">
        <x:v>2025-02-28T00:00:00.000Z</x:v>
      </x:c>
      <x:c r="E22" s="3" t="str">
        <x:v>BYD</x:v>
      </x:c>
      <x:c r="F22" s="3" t="str">
        <x:v>DOLPHIN</x:v>
      </x:c>
      <x:c r="G22" s="3" t="str">
        <x:v>BEV</x:v>
      </x:c>
      <x:c r="H22" s="3" t="str">
        <x:v>Hatchback</x:v>
      </x:c>
      <x:c r="I22" s="3" t="str">
        <x:v>EXTENDED RANGE</x:v>
      </x:c>
      <x:c r="J22" s="3" t="str">
        <x:v>World Champion</x:v>
      </x:c>
      <x:c r="K22" s="24" t="n">
        <x:v>709900</x:v>
      </x:c>
      <x:c r="L22" s="24" t="n">
        <x:v>0</x:v>
      </x:c>
      <x:c r="M22" s="24" t="n">
        <x:v>0</x:v>
      </x:c>
      <x:c r="N22" s="25" t="n">
        <x:f>IF(AND(ISNUMBER(K22),ISNUMBER(L22)),K22-L22,"")</x:f>
        <x:v>709900</x:v>
      </x:c>
      <x:c r="O22" s="25" t="n">
        <x:f>IF(AND(ISNUMBER(N22),ISNUMBER(M22)),N22-M22,"")</x:f>
        <x:v>709900</x:v>
      </x:c>
      <x:c r="P22" s="26" t="n">
        <x:f>IF(AND(ISNUMBER(K22),ISNUMBER(L22)),L22/K22,"")</x:f>
        <x:v>0</x:v>
      </x:c>
      <x:c r="Q22" s="3" t="str">
        <x:v>保険等は条件付。金利1.98%は原則2025/1の融資承認。</x:v>
      </x:c>
      <x:c r="R22" s="3" t="str">
        <x:v>予約・請求書が期間内。CBU/国内生産・座席数を区別。</x:v>
      </x:c>
      <x:c r="S22" s="3" t="str">
        <x:v>一次資料</x:v>
      </x:c>
      <x:c r="T22" s="27" t="str">
        <x:v>https://www.reverautomotive.com/news/world-champion-campaign</x:v>
      </x:c>
      <x:c r="U22" s="7" t="d">
        <x:v>2026-10-08T00:00:00.000Z</x:v>
      </x:c>
    </x:row>
    <x:row r="23" ht="22" customHeight="1">
      <x:c r="A23" s="3" t="str">
        <x:v>WC25_2_1</x:v>
      </x:c>
      <x:c r="B23" s="7" t="d">
        <x:v>2025-01-01T00:00:00.000Z</x:v>
      </x:c>
      <x:c r="C23" s="7" t="d">
        <x:v>2025-01-01T00:00:00.000Z</x:v>
      </x:c>
      <x:c r="D23" s="7" t="d">
        <x:v>2025-02-28T00:00:00.000Z</x:v>
      </x:c>
      <x:c r="E23" s="3" t="str">
        <x:v>BYD</x:v>
      </x:c>
      <x:c r="F23" s="3" t="str">
        <x:v>M6</x:v>
      </x:c>
      <x:c r="G23" s="3" t="str">
        <x:v>BEV</x:v>
      </x:c>
      <x:c r="H23" s="3" t="str">
        <x:v>MPV</x:v>
      </x:c>
      <x:c r="I23" s="3" t="str">
        <x:v>DYNAMIC</x:v>
      </x:c>
      <x:c r="J23" s="3" t="str">
        <x:v>World Champion</x:v>
      </x:c>
      <x:c r="K23" s="24" t="n">
        <x:v>829900</x:v>
      </x:c>
      <x:c r="L23" s="24" t="n">
        <x:v>30000</x:v>
      </x:c>
      <x:c r="M23" s="24" t="n">
        <x:v>0</x:v>
      </x:c>
      <x:c r="N23" s="25" t="n">
        <x:f>IF(AND(ISNUMBER(K23),ISNUMBER(L23)),K23-L23,"")</x:f>
        <x:v>799900</x:v>
      </x:c>
      <x:c r="O23" s="25" t="n">
        <x:f>IF(AND(ISNUMBER(N23),ISNUMBER(M23)),N23-M23,"")</x:f>
        <x:v>799900</x:v>
      </x:c>
      <x:c r="P23" s="26" t="n">
        <x:f>IF(AND(ISNUMBER(K23),ISNUMBER(L23)),L23/K23,"")</x:f>
        <x:v>0.03614893360645861</x:v>
      </x:c>
      <x:c r="Q23" s="3" t="str">
        <x:v>保険等は条件付。金利1.98%は原則2025/1の融資承認。</x:v>
      </x:c>
      <x:c r="R23" s="3" t="str">
        <x:v>予約・請求書が期間内。CBU/国内生産・座席数を区別。</x:v>
      </x:c>
      <x:c r="S23" s="3" t="str">
        <x:v>一次資料</x:v>
      </x:c>
      <x:c r="T23" s="27" t="str">
        <x:v>https://www.reverautomotive.com/news/world-champion-campaign</x:v>
      </x:c>
      <x:c r="U23" s="7" t="d">
        <x:v>2026-10-08T00:00:00.000Z</x:v>
      </x:c>
    </x:row>
    <x:row r="24" ht="22" customHeight="1">
      <x:c r="A24" s="3" t="str">
        <x:v>WC25_2_2</x:v>
      </x:c>
      <x:c r="B24" s="7" t="d">
        <x:v>2025-01-01T00:00:00.000Z</x:v>
      </x:c>
      <x:c r="C24" s="7" t="d">
        <x:v>2025-01-01T00:00:00.000Z</x:v>
      </x:c>
      <x:c r="D24" s="7" t="d">
        <x:v>2025-02-28T00:00:00.000Z</x:v>
      </x:c>
      <x:c r="E24" s="3" t="str">
        <x:v>BYD</x:v>
      </x:c>
      <x:c r="F24" s="3" t="str">
        <x:v>M6</x:v>
      </x:c>
      <x:c r="G24" s="3" t="str">
        <x:v>BEV</x:v>
      </x:c>
      <x:c r="H24" s="3" t="str">
        <x:v>MPV</x:v>
      </x:c>
      <x:c r="I24" s="3" t="str">
        <x:v>EXTENDED 6 Seats</x:v>
      </x:c>
      <x:c r="J24" s="3" t="str">
        <x:v>World Champion</x:v>
      </x:c>
      <x:c r="K24" s="24" t="n">
        <x:v>929900</x:v>
      </x:c>
      <x:c r="L24" s="24" t="n">
        <x:v>30000</x:v>
      </x:c>
      <x:c r="M24" s="24" t="n">
        <x:v>0</x:v>
      </x:c>
      <x:c r="N24" s="25" t="n">
        <x:f>IF(AND(ISNUMBER(K24),ISNUMBER(L24)),K24-L24,"")</x:f>
        <x:v>899900</x:v>
      </x:c>
      <x:c r="O24" s="25" t="n">
        <x:f>IF(AND(ISNUMBER(N24),ISNUMBER(M24)),N24-M24,"")</x:f>
        <x:v>899900</x:v>
      </x:c>
      <x:c r="P24" s="26" t="n">
        <x:f>IF(AND(ISNUMBER(K24),ISNUMBER(L24)),L24/K24,"")</x:f>
        <x:v>0.032261533498225616</x:v>
      </x:c>
      <x:c r="Q24" s="3" t="str">
        <x:v>保険等は条件付。金利1.98%は原則2025/1の融資承認。</x:v>
      </x:c>
      <x:c r="R24" s="3" t="str">
        <x:v>予約・請求書が期間内。CBU/国内生産・座席数を区別。</x:v>
      </x:c>
      <x:c r="S24" s="3" t="str">
        <x:v>一次資料</x:v>
      </x:c>
      <x:c r="T24" s="27" t="str">
        <x:v>https://www.reverautomotive.com/news/world-champion-campaign</x:v>
      </x:c>
      <x:c r="U24" s="7" t="d">
        <x:v>2026-10-08T00:00:00.000Z</x:v>
      </x:c>
    </x:row>
    <x:row r="25" ht="22" customHeight="1">
      <x:c r="A25" s="3" t="str">
        <x:v>WC25_2_3</x:v>
      </x:c>
      <x:c r="B25" s="7" t="d">
        <x:v>2025-01-01T00:00:00.000Z</x:v>
      </x:c>
      <x:c r="C25" s="7" t="d">
        <x:v>2025-01-01T00:00:00.000Z</x:v>
      </x:c>
      <x:c r="D25" s="7" t="d">
        <x:v>2025-02-28T00:00:00.000Z</x:v>
      </x:c>
      <x:c r="E25" s="3" t="str">
        <x:v>BYD</x:v>
      </x:c>
      <x:c r="F25" s="3" t="str">
        <x:v>M6</x:v>
      </x:c>
      <x:c r="G25" s="3" t="str">
        <x:v>BEV</x:v>
      </x:c>
      <x:c r="H25" s="3" t="str">
        <x:v>MPV</x:v>
      </x:c>
      <x:c r="I25" s="3" t="str">
        <x:v>EXTENDED 7 Seats</x:v>
      </x:c>
      <x:c r="J25" s="3" t="str">
        <x:v>World Champion</x:v>
      </x:c>
      <x:c r="K25" s="24" t="n">
        <x:v>929900</x:v>
      </x:c>
      <x:c r="L25" s="24" t="n">
        <x:v>30000</x:v>
      </x:c>
      <x:c r="M25" s="24" t="n">
        <x:v>0</x:v>
      </x:c>
      <x:c r="N25" s="25" t="n">
        <x:f>IF(AND(ISNUMBER(K25),ISNUMBER(L25)),K25-L25,"")</x:f>
        <x:v>899900</x:v>
      </x:c>
      <x:c r="O25" s="25" t="n">
        <x:f>IF(AND(ISNUMBER(N25),ISNUMBER(M25)),N25-M25,"")</x:f>
        <x:v>899900</x:v>
      </x:c>
      <x:c r="P25" s="26" t="n">
        <x:f>IF(AND(ISNUMBER(K25),ISNUMBER(L25)),L25/K25,"")</x:f>
        <x:v>0.032261533498225616</x:v>
      </x:c>
      <x:c r="Q25" s="3" t="str">
        <x:v>保険等は条件付。金利1.98%は原則2025/1の融資承認。</x:v>
      </x:c>
      <x:c r="R25" s="3" t="str">
        <x:v>予約・請求書が期間内。CBU/国内生産・座席数を区別。</x:v>
      </x:c>
      <x:c r="S25" s="3" t="str">
        <x:v>一次資料</x:v>
      </x:c>
      <x:c r="T25" s="27" t="str">
        <x:v>https://www.reverautomotive.com/news/world-champion-campaign</x:v>
      </x:c>
      <x:c r="U25" s="7" t="d">
        <x:v>2026-10-08T00:00:00.000Z</x:v>
      </x:c>
    </x:row>
    <x:row r="26" ht="22" customHeight="1">
      <x:c r="A26" s="3" t="str">
        <x:v>WC25_3_1</x:v>
      </x:c>
      <x:c r="B26" s="7" t="d">
        <x:v>2025-01-01T00:00:00.000Z</x:v>
      </x:c>
      <x:c r="C26" s="7" t="d">
        <x:v>2025-01-01T00:00:00.000Z</x:v>
      </x:c>
      <x:c r="D26" s="7" t="d">
        <x:v>2025-02-28T00:00:00.000Z</x:v>
      </x:c>
      <x:c r="E26" s="3" t="str">
        <x:v>BYD</x:v>
      </x:c>
      <x:c r="F26" s="3" t="str">
        <x:v>SEAL</x:v>
      </x:c>
      <x:c r="G26" s="3" t="str">
        <x:v>BEV</x:v>
      </x:c>
      <x:c r="H26" s="3" t="str">
        <x:v>Sedan</x:v>
      </x:c>
      <x:c r="I26" s="3" t="str">
        <x:v>DYNAMIC</x:v>
      </x:c>
      <x:c r="J26" s="3" t="str">
        <x:v>World Champion</x:v>
      </x:c>
      <x:c r="K26" s="24" t="n">
        <x:v>1325000</x:v>
      </x:c>
      <x:c r="L26" s="24" t="n">
        <x:v>325100</x:v>
      </x:c>
      <x:c r="M26" s="24" t="n">
        <x:v>0</x:v>
      </x:c>
      <x:c r="N26" s="25" t="n">
        <x:f>IF(AND(ISNUMBER(K26),ISNUMBER(L26)),K26-L26,"")</x:f>
        <x:v>999900</x:v>
      </x:c>
      <x:c r="O26" s="25" t="n">
        <x:f>IF(AND(ISNUMBER(N26),ISNUMBER(M26)),N26-M26,"")</x:f>
        <x:v>999900</x:v>
      </x:c>
      <x:c r="P26" s="26" t="n">
        <x:f>IF(AND(ISNUMBER(K26),ISNUMBER(L26)),L26/K26,"")</x:f>
        <x:v>0.24535849056603773</x:v>
      </x:c>
      <x:c r="Q26" s="3" t="str">
        <x:v>保険等は条件付。金利1.98%は原則2025/1の融資承認。</x:v>
      </x:c>
      <x:c r="R26" s="3" t="str">
        <x:v>予約・請求書が期間内。CBU/国内生産・座席数を区別。</x:v>
      </x:c>
      <x:c r="S26" s="3" t="str">
        <x:v>一次資料</x:v>
      </x:c>
      <x:c r="T26" s="27" t="str">
        <x:v>https://www.reverautomotive.com/news/world-champion-campaign</x:v>
      </x:c>
      <x:c r="U26" s="7" t="d">
        <x:v>2026-10-08T00:00:00.000Z</x:v>
      </x:c>
    </x:row>
    <x:row r="27" ht="22" customHeight="1">
      <x:c r="A27" s="3" t="str">
        <x:v>WC25_3_2</x:v>
      </x:c>
      <x:c r="B27" s="7" t="d">
        <x:v>2025-01-01T00:00:00.000Z</x:v>
      </x:c>
      <x:c r="C27" s="7" t="d">
        <x:v>2025-01-01T00:00:00.000Z</x:v>
      </x:c>
      <x:c r="D27" s="7" t="d">
        <x:v>2025-02-28T00:00:00.000Z</x:v>
      </x:c>
      <x:c r="E27" s="3" t="str">
        <x:v>BYD</x:v>
      </x:c>
      <x:c r="F27" s="3" t="str">
        <x:v>SEAL</x:v>
      </x:c>
      <x:c r="G27" s="3" t="str">
        <x:v>BEV</x:v>
      </x:c>
      <x:c r="H27" s="3" t="str">
        <x:v>Sedan</x:v>
      </x:c>
      <x:c r="I27" s="3" t="str">
        <x:v>PREMIUM</x:v>
      </x:c>
      <x:c r="J27" s="3" t="str">
        <x:v>World Champion</x:v>
      </x:c>
      <x:c r="K27" s="24" t="n">
        <x:v>1449000</x:v>
      </x:c>
      <x:c r="L27" s="24" t="n">
        <x:v>349100</x:v>
      </x:c>
      <x:c r="M27" s="24" t="n">
        <x:v>0</x:v>
      </x:c>
      <x:c r="N27" s="25" t="n">
        <x:f>IF(AND(ISNUMBER(K27),ISNUMBER(L27)),K27-L27,"")</x:f>
        <x:v>1099900</x:v>
      </x:c>
      <x:c r="O27" s="25" t="n">
        <x:f>IF(AND(ISNUMBER(N27),ISNUMBER(M27)),N27-M27,"")</x:f>
        <x:v>1099900</x:v>
      </x:c>
      <x:c r="P27" s="26" t="n">
        <x:f>IF(AND(ISNUMBER(K27),ISNUMBER(L27)),L27/K27,"")</x:f>
        <x:v>0.2409247757073844</x:v>
      </x:c>
      <x:c r="Q27" s="3" t="str">
        <x:v>保険等は条件付。金利1.98%は原則2025/1の融資承認。</x:v>
      </x:c>
      <x:c r="R27" s="3" t="str">
        <x:v>予約・請求書が期間内。CBU/国内生産・座席数を区別。</x:v>
      </x:c>
      <x:c r="S27" s="3" t="str">
        <x:v>一次資料</x:v>
      </x:c>
      <x:c r="T27" s="27" t="str">
        <x:v>https://www.reverautomotive.com/news/world-champion-campaign</x:v>
      </x:c>
      <x:c r="U27" s="7" t="d">
        <x:v>2026-10-08T00:00:00.000Z</x:v>
      </x:c>
    </x:row>
    <x:row r="28" ht="22" customHeight="1">
      <x:c r="A28" s="3" t="str">
        <x:v>WC25_3_3</x:v>
      </x:c>
      <x:c r="B28" s="7" t="d">
        <x:v>2025-01-01T00:00:00.000Z</x:v>
      </x:c>
      <x:c r="C28" s="7" t="d">
        <x:v>2025-01-01T00:00:00.000Z</x:v>
      </x:c>
      <x:c r="D28" s="7" t="d">
        <x:v>2025-02-28T00:00:00.000Z</x:v>
      </x:c>
      <x:c r="E28" s="3" t="str">
        <x:v>BYD</x:v>
      </x:c>
      <x:c r="F28" s="3" t="str">
        <x:v>SEAL</x:v>
      </x:c>
      <x:c r="G28" s="3" t="str">
        <x:v>BEV</x:v>
      </x:c>
      <x:c r="H28" s="3" t="str">
        <x:v>Sedan</x:v>
      </x:c>
      <x:c r="I28" s="3" t="str">
        <x:v>AWD PERFORMANCE</x:v>
      </x:c>
      <x:c r="J28" s="3" t="str">
        <x:v>World Champion</x:v>
      </x:c>
      <x:c r="K28" s="24" t="n">
        <x:v>1599000</x:v>
      </x:c>
      <x:c r="L28" s="24" t="n">
        <x:v>399100</x:v>
      </x:c>
      <x:c r="M28" s="24" t="n">
        <x:v>0</x:v>
      </x:c>
      <x:c r="N28" s="25" t="n">
        <x:f>IF(AND(ISNUMBER(K28),ISNUMBER(L28)),K28-L28,"")</x:f>
        <x:v>1199900</x:v>
      </x:c>
      <x:c r="O28" s="25" t="n">
        <x:f>IF(AND(ISNUMBER(N28),ISNUMBER(M28)),N28-M28,"")</x:f>
        <x:v>1199900</x:v>
      </x:c>
      <x:c r="P28" s="26" t="n">
        <x:f>IF(AND(ISNUMBER(K28),ISNUMBER(L28)),L28/K28,"")</x:f>
        <x:v>0.24959349593495936</x:v>
      </x:c>
      <x:c r="Q28" s="3" t="str">
        <x:v>保険等は条件付。金利1.98%は原則2025/1の融資承認。</x:v>
      </x:c>
      <x:c r="R28" s="3" t="str">
        <x:v>予約・請求書が期間内。CBU/国内生産・座席数を区別。</x:v>
      </x:c>
      <x:c r="S28" s="3" t="str">
        <x:v>一次資料</x:v>
      </x:c>
      <x:c r="T28" s="27" t="str">
        <x:v>https://www.reverautomotive.com/news/world-champion-campaign</x:v>
      </x:c>
      <x:c r="U28" s="7" t="d">
        <x:v>2026-10-08T00:00:00.000Z</x:v>
      </x:c>
    </x:row>
    <x:row r="29" ht="22" customHeight="1">
      <x:c r="A29" s="3" t="str">
        <x:v>WC25_4_1</x:v>
      </x:c>
      <x:c r="B29" s="7" t="d">
        <x:v>2025-01-01T00:00:00.000Z</x:v>
      </x:c>
      <x:c r="C29" s="7" t="d">
        <x:v>2025-01-01T00:00:00.000Z</x:v>
      </x:c>
      <x:c r="D29" s="7" t="d">
        <x:v>2025-02-28T00:00:00.000Z</x:v>
      </x:c>
      <x:c r="E29" s="3" t="str">
        <x:v>BYD</x:v>
      </x:c>
      <x:c r="F29" s="3" t="str">
        <x:v>SEALION 6</x:v>
      </x:c>
      <x:c r="G29" s="3" t="str">
        <x:v>PHEV</x:v>
      </x:c>
      <x:c r="H29" s="3" t="str">
        <x:v>SUV</x:v>
      </x:c>
      <x:c r="I29" s="3" t="str">
        <x:v>DYNAMIC</x:v>
      </x:c>
      <x:c r="J29" s="3" t="str">
        <x:v>World Champion</x:v>
      </x:c>
      <x:c r="K29" s="24" t="n">
        <x:v>999900</x:v>
      </x:c>
      <x:c r="L29" s="24" t="n">
        <x:v>30000</x:v>
      </x:c>
      <x:c r="M29" s="24" t="n">
        <x:v>0</x:v>
      </x:c>
      <x:c r="N29" s="25" t="n">
        <x:f>IF(AND(ISNUMBER(K29),ISNUMBER(L29)),K29-L29,"")</x:f>
        <x:v>969900</x:v>
      </x:c>
      <x:c r="O29" s="25" t="n">
        <x:f>IF(AND(ISNUMBER(N29),ISNUMBER(M29)),N29-M29,"")</x:f>
        <x:v>969900</x:v>
      </x:c>
      <x:c r="P29" s="26" t="n">
        <x:f>IF(AND(ISNUMBER(K29),ISNUMBER(L29)),L29/K29,"")</x:f>
        <x:v>0.030003000300030003</x:v>
      </x:c>
      <x:c r="Q29" s="3" t="str">
        <x:v>保険等は条件付。金利1.98%は原則2025/1の融資承認。</x:v>
      </x:c>
      <x:c r="R29" s="3" t="str">
        <x:v>予約・請求書が期間内。CBU/国内生産・座席数を区別。</x:v>
      </x:c>
      <x:c r="S29" s="3" t="str">
        <x:v>一次資料</x:v>
      </x:c>
      <x:c r="T29" s="27" t="str">
        <x:v>https://www.reverautomotive.com/news/world-champion-campaign</x:v>
      </x:c>
      <x:c r="U29" s="7" t="d">
        <x:v>2026-10-08T00:00:00.000Z</x:v>
      </x:c>
    </x:row>
    <x:row r="30" ht="22" customHeight="1">
      <x:c r="A30" s="3" t="str">
        <x:v>WC25_4_2</x:v>
      </x:c>
      <x:c r="B30" s="7" t="d">
        <x:v>2025-01-01T00:00:00.000Z</x:v>
      </x:c>
      <x:c r="C30" s="7" t="d">
        <x:v>2025-01-01T00:00:00.000Z</x:v>
      </x:c>
      <x:c r="D30" s="7" t="d">
        <x:v>2025-02-28T00:00:00.000Z</x:v>
      </x:c>
      <x:c r="E30" s="3" t="str">
        <x:v>BYD</x:v>
      </x:c>
      <x:c r="F30" s="3" t="str">
        <x:v>SEALION 6</x:v>
      </x:c>
      <x:c r="G30" s="3" t="str">
        <x:v>PHEV</x:v>
      </x:c>
      <x:c r="H30" s="3" t="str">
        <x:v>SUV</x:v>
      </x:c>
      <x:c r="I30" s="3" t="str">
        <x:v>PREMIUM</x:v>
      </x:c>
      <x:c r="J30" s="3" t="str">
        <x:v>World Champion</x:v>
      </x:c>
      <x:c r="K30" s="24" t="n">
        <x:v>1099900</x:v>
      </x:c>
      <x:c r="L30" s="24" t="n">
        <x:v>30000</x:v>
      </x:c>
      <x:c r="M30" s="24" t="n">
        <x:v>0</x:v>
      </x:c>
      <x:c r="N30" s="25" t="n">
        <x:f>IF(AND(ISNUMBER(K30),ISNUMBER(L30)),K30-L30,"")</x:f>
        <x:v>1069900</x:v>
      </x:c>
      <x:c r="O30" s="25" t="n">
        <x:f>IF(AND(ISNUMBER(N30),ISNUMBER(M30)),N30-M30,"")</x:f>
        <x:v>1069900</x:v>
      </x:c>
      <x:c r="P30" s="26" t="n">
        <x:f>IF(AND(ISNUMBER(K30),ISNUMBER(L30)),L30/K30,"")</x:f>
        <x:v>0.02727520683698518</x:v>
      </x:c>
      <x:c r="Q30" s="3" t="str">
        <x:v>保険等は条件付。金利1.98%は原則2025/1の融資承認。</x:v>
      </x:c>
      <x:c r="R30" s="3" t="str">
        <x:v>予約・請求書が期間内。CBU/国内生産・座席数を区別。</x:v>
      </x:c>
      <x:c r="S30" s="3" t="str">
        <x:v>一次資料</x:v>
      </x:c>
      <x:c r="T30" s="27" t="str">
        <x:v>https://www.reverautomotive.com/news/world-champion-campaign</x:v>
      </x:c>
      <x:c r="U30" s="7" t="d">
        <x:v>2026-10-08T00:00:00.000Z</x:v>
      </x:c>
    </x:row>
    <x:row r="31" ht="22" customHeight="1">
      <x:c r="A31" s="3" t="str">
        <x:v>WC25_5_1</x:v>
      </x:c>
      <x:c r="B31" s="7" t="d">
        <x:v>2025-01-01T00:00:00.000Z</x:v>
      </x:c>
      <x:c r="C31" s="7" t="d">
        <x:v>2025-01-01T00:00:00.000Z</x:v>
      </x:c>
      <x:c r="D31" s="7" t="d">
        <x:v>2025-02-28T00:00:00.000Z</x:v>
      </x:c>
      <x:c r="E31" s="3" t="str">
        <x:v>BYD</x:v>
      </x:c>
      <x:c r="F31" s="3" t="str">
        <x:v>SEALION 7</x:v>
      </x:c>
      <x:c r="G31" s="3" t="str">
        <x:v>BEV</x:v>
      </x:c>
      <x:c r="H31" s="3" t="str">
        <x:v>SUV</x:v>
      </x:c>
      <x:c r="I31" s="3" t="str">
        <x:v>PREMIUM</x:v>
      </x:c>
      <x:c r="J31" s="3" t="str">
        <x:v>World Champion</x:v>
      </x:c>
      <x:c r="K31" s="24" t="n">
        <x:v>1249900</x:v>
      </x:c>
      <x:c r="L31" s="24" t="n">
        <x:v>0</x:v>
      </x:c>
      <x:c r="M31" s="24" t="n">
        <x:v>0</x:v>
      </x:c>
      <x:c r="N31" s="25" t="n">
        <x:f>IF(AND(ISNUMBER(K31),ISNUMBER(L31)),K31-L31,"")</x:f>
        <x:v>1249900</x:v>
      </x:c>
      <x:c r="O31" s="25" t="n">
        <x:f>IF(AND(ISNUMBER(N31),ISNUMBER(M31)),N31-M31,"")</x:f>
        <x:v>1249900</x:v>
      </x:c>
      <x:c r="P31" s="26" t="n">
        <x:f>IF(AND(ISNUMBER(K31),ISNUMBER(L31)),L31/K31,"")</x:f>
        <x:v>0</x:v>
      </x:c>
      <x:c r="Q31" s="3" t="str">
        <x:v>保険等は条件付。金利1.98%は原則2025/1の融資承認。</x:v>
      </x:c>
      <x:c r="R31" s="3" t="str">
        <x:v>予約・請求書が期間内。CBU/国内生産・座席数を区別。</x:v>
      </x:c>
      <x:c r="S31" s="3" t="str">
        <x:v>一次資料</x:v>
      </x:c>
      <x:c r="T31" s="27" t="str">
        <x:v>https://www.reverautomotive.com/news/world-champion-campaign</x:v>
      </x:c>
      <x:c r="U31" s="7" t="d">
        <x:v>2026-10-08T00:00:00.000Z</x:v>
      </x:c>
    </x:row>
    <x:row r="32" ht="22" customHeight="1">
      <x:c r="A32" s="3" t="str">
        <x:v>WC25_5_2</x:v>
      </x:c>
      <x:c r="B32" s="7" t="d">
        <x:v>2025-01-01T00:00:00.000Z</x:v>
      </x:c>
      <x:c r="C32" s="7" t="d">
        <x:v>2025-01-01T00:00:00.000Z</x:v>
      </x:c>
      <x:c r="D32" s="7" t="d">
        <x:v>2025-02-28T00:00:00.000Z</x:v>
      </x:c>
      <x:c r="E32" s="3" t="str">
        <x:v>BYD</x:v>
      </x:c>
      <x:c r="F32" s="3" t="str">
        <x:v>SEALION 7</x:v>
      </x:c>
      <x:c r="G32" s="3" t="str">
        <x:v>BEV</x:v>
      </x:c>
      <x:c r="H32" s="3" t="str">
        <x:v>SUV</x:v>
      </x:c>
      <x:c r="I32" s="3" t="str">
        <x:v>AWD PERFORMANCE</x:v>
      </x:c>
      <x:c r="J32" s="3" t="str">
        <x:v>World Champion</x:v>
      </x:c>
      <x:c r="K32" s="24" t="n">
        <x:v>1399900</x:v>
      </x:c>
      <x:c r="L32" s="24" t="n">
        <x:v>0</x:v>
      </x:c>
      <x:c r="M32" s="24" t="n">
        <x:v>0</x:v>
      </x:c>
      <x:c r="N32" s="25" t="n">
        <x:f>IF(AND(ISNUMBER(K32),ISNUMBER(L32)),K32-L32,"")</x:f>
        <x:v>1399900</x:v>
      </x:c>
      <x:c r="O32" s="25" t="n">
        <x:f>IF(AND(ISNUMBER(N32),ISNUMBER(M32)),N32-M32,"")</x:f>
        <x:v>1399900</x:v>
      </x:c>
      <x:c r="P32" s="26" t="n">
        <x:f>IF(AND(ISNUMBER(K32),ISNUMBER(L32)),L32/K32,"")</x:f>
        <x:v>0</x:v>
      </x:c>
      <x:c r="Q32" s="3" t="str">
        <x:v>保険等は条件付。金利1.98%は原則2025/1の融資承認。</x:v>
      </x:c>
      <x:c r="R32" s="3" t="str">
        <x:v>予約・請求書が期間内。CBU/国内生産・座席数を区別。</x:v>
      </x:c>
      <x:c r="S32" s="3" t="str">
        <x:v>一次資料</x:v>
      </x:c>
      <x:c r="T32" s="27" t="str">
        <x:v>https://www.reverautomotive.com/news/world-champion-campaign</x:v>
      </x:c>
      <x:c r="U32" s="7" t="d">
        <x:v>2026-10-08T00:00:00.000Z</x:v>
      </x:c>
    </x:row>
    <x:row r="33" ht="22" customHeight="1">
      <x:c r="A33" s="3" t="str">
        <x:v>SEAL26_MAR</x:v>
      </x:c>
      <x:c r="B33" s="7" t="d">
        <x:v>2026-03-01T00:00:00.000Z</x:v>
      </x:c>
      <x:c r="C33" s="7" t="d">
        <x:v>2026-03-01T00:00:00.000Z</x:v>
      </x:c>
      <x:c r="D33" s="7" t="d">
        <x:v>2026-04-05T00:00:00.000Z</x:v>
      </x:c>
      <x:c r="E33" s="3" t="str">
        <x:v>BYD</x:v>
      </x:c>
      <x:c r="F33" s="3" t="str">
        <x:v>SEAL</x:v>
      </x:c>
      <x:c r="G33" s="3" t="str">
        <x:v>BEV</x:v>
      </x:c>
      <x:c r="H33" s="3" t="str">
        <x:v>Sedan</x:v>
      </x:c>
      <x:c r="I33" s="3" t="str">
        <x:v>DYNAMIC</x:v>
      </x:c>
      <x:c r="J33" s="3" t="str">
        <x:v>期間特価</x:v>
      </x:c>
      <x:c r="K33" s="24" t="n">
        <x:v>1325000</x:v>
      </x:c>
      <x:c r="L33" s="24" t="n">
        <x:v>335100</x:v>
      </x:c>
      <x:c r="M33" s="24" t="n">
        <x:v>0</x:v>
      </x:c>
      <x:c r="N33" s="25" t="n">
        <x:f>IF(AND(ISNUMBER(K33),ISNUMBER(L33)),K33-L33,"")</x:f>
        <x:v>989900</x:v>
      </x:c>
      <x:c r="O33" s="25" t="n">
        <x:f>IF(AND(ISNUMBER(N33),ISNUMBER(M33)),N33-M33,"")</x:f>
        <x:v>989900</x:v>
      </x:c>
      <x:c r="P33" s="26" t="n">
        <x:f>IF(AND(ISNUMBER(K33),ISNUMBER(L33)),L33/K33,"")</x:f>
        <x:v>0.2529056603773585</x:v>
      </x:c>
      <x:c r="Q33" s="3" t="str">
        <x:v>融資優遇は別条件。現金値引と区別。</x:v>
      </x:c>
      <x:c r="R33" s="3" t="str">
        <x:v>期間内予約・請求書。充電器・Lifetime保証は別料金。</x:v>
      </x:c>
      <x:c r="S33" s="3" t="str">
        <x:v>一次資料</x:v>
      </x:c>
      <x:c r="T33" s="27" t="str">
        <x:v>https://www.reverautomotive.com/en/news/byd-seal-mar-2026-campaign</x:v>
      </x:c>
      <x:c r="U33" s="7" t="d">
        <x:v>2026-10-08T00:00:00.000Z</x:v>
      </x:c>
    </x:row>
    <x:row r="34" ht="22" customHeight="1">
      <x:c r="A34" s="3" t="str">
        <x:v>OCT26_ATTO 3_PREMIUM</x:v>
      </x:c>
      <x:c r="B34" s="7" t="d">
        <x:v>2026-10-01T00:00:00.000Z</x:v>
      </x:c>
      <x:c r="C34" s="7" t="d">
        <x:v>2026-10-01T00:00:00.000Z</x:v>
      </x:c>
      <x:c r="D34" s="7" t="d">
        <x:v>2026-10-31T00:00:00.000Z</x:v>
      </x:c>
      <x:c r="E34" s="3" t="str">
        <x:v>BYD</x:v>
      </x:c>
      <x:c r="F34" s="3" t="str">
        <x:v>ATTO 3</x:v>
      </x:c>
      <x:c r="G34" s="3" t="str">
        <x:v>BEV</x:v>
      </x:c>
      <x:c r="H34" s="3" t="str">
        <x:v>SUV</x:v>
      </x:c>
      <x:c r="I34" s="3" t="str">
        <x:v>PREMIUM</x:v>
      </x:c>
      <x:c r="J34" s="3" t="str">
        <x:v>2026/10公式キャンペーン</x:v>
      </x:c>
      <x:c r="K34" s="24" t="n">
        <x:v>799900</x:v>
      </x:c>
      <x:c r="L34" s="24" t="n">
        <x:v>130000</x:v>
      </x:c>
      <x:c r="M34" s="24" t="n">
        <x:v>0</x:v>
      </x:c>
      <x:c r="N34" s="25" t="n">
        <x:f>IF(AND(ISNUMBER(K34),ISNUMBER(L34)),K34-L34,"")</x:f>
        <x:v>669900</x:v>
      </x:c>
      <x:c r="O34" s="25" t="n">
        <x:f>IF(AND(ISNUMBER(N34),ISNUMBER(M34)),N34-M34,"")</x:f>
        <x:v>669900</x:v>
      </x:c>
      <x:c r="P34" s="26" t="n">
        <x:f>IF(AND(ISNUMBER(K34),ISNUMBER(L34)),L34/K34,"")</x:f>
        <x:v>0.16252031503937991</x:v>
      </x:c>
      <x:c r="Q34" s="3" t="str">
        <x:v>金利/低頭金/付帯サービスは条件により選択。Lifetime保証は移転制約あり。</x:v>
      </x:c>
      <x:c r="R34" s="3" t="str">
        <x:v>予約・請求書など期間条件あり。仕様・保証条件は原文参照。</x:v>
      </x:c>
      <x:c r="S34" s="3" t="str">
        <x:v>一次資料</x:v>
      </x:c>
      <x:c r="T34" s="27" t="str">
        <x:v>https://reverautomotive.com/news/byd-atto-3-oct-2026-campaign</x:v>
      </x:c>
      <x:c r="U34" s="7" t="d">
        <x:v>2026-10-08T00:00:00.000Z</x:v>
      </x:c>
    </x:row>
    <x:row r="35" ht="22" customHeight="1">
      <x:c r="A35" s="3" t="str">
        <x:v>OCT26_ATTO 3_EXTENDED</x:v>
      </x:c>
      <x:c r="B35" s="7" t="d">
        <x:v>2026-10-01T00:00:00.000Z</x:v>
      </x:c>
      <x:c r="C35" s="7" t="d">
        <x:v>2026-10-01T00:00:00.000Z</x:v>
      </x:c>
      <x:c r="D35" s="7" t="d">
        <x:v>2026-10-31T00:00:00.000Z</x:v>
      </x:c>
      <x:c r="E35" s="3" t="str">
        <x:v>BYD</x:v>
      </x:c>
      <x:c r="F35" s="3" t="str">
        <x:v>ATTO 3</x:v>
      </x:c>
      <x:c r="G35" s="3" t="str">
        <x:v>BEV</x:v>
      </x:c>
      <x:c r="H35" s="3" t="str">
        <x:v>SUV</x:v>
      </x:c>
      <x:c r="I35" s="3" t="str">
        <x:v>EXTENDED</x:v>
      </x:c>
      <x:c r="J35" s="3" t="str">
        <x:v>2026/10公式キャンペーン</x:v>
      </x:c>
      <x:c r="K35" s="24" t="n">
        <x:v>899900</x:v>
      </x:c>
      <x:c r="L35" s="24" t="n">
        <x:v>130000</x:v>
      </x:c>
      <x:c r="M35" s="24" t="n">
        <x:v>30000</x:v>
      </x:c>
      <x:c r="N35" s="25" t="n">
        <x:f>IF(AND(ISNUMBER(K35),ISNUMBER(L35)),K35-L35,"")</x:f>
        <x:v>769900</x:v>
      </x:c>
      <x:c r="O35" s="25" t="n">
        <x:f>IF(AND(ISNUMBER(N35),ISNUMBER(M35)),N35-M35,"")</x:f>
        <x:v>739900</x:v>
      </x:c>
      <x:c r="P35" s="26" t="n">
        <x:f>IF(AND(ISNUMBER(K35),ISNUMBER(L35)),L35/K35,"")</x:f>
        <x:v>0.1444604956106234</x:v>
      </x:c>
      <x:c r="Q35" s="3" t="str">
        <x:v>金利/低頭金/付帯サービスは条件により選択。Lifetime保証は移転制約あり。</x:v>
      </x:c>
      <x:c r="R35" s="3" t="str">
        <x:v>ATTO 3 Extended追加3万THBは既存非EVの所有証明等が必要。追加値引は標準特価から分離。</x:v>
      </x:c>
      <x:c r="S35" s="3" t="str">
        <x:v>一次資料</x:v>
      </x:c>
      <x:c r="T35" s="27" t="str">
        <x:v>https://reverautomotive.com/news/byd-atto-3-oct-2026-campaign</x:v>
      </x:c>
      <x:c r="U35" s="7" t="d">
        <x:v>2026-10-08T00:00:00.000Z</x:v>
      </x:c>
    </x:row>
    <x:row r="36" ht="22" customHeight="1">
      <x:c r="A36" s="3" t="str">
        <x:v>OCT26_DOLPHIN_STANDARD RANGE</x:v>
      </x:c>
      <x:c r="B36" s="7" t="d">
        <x:v>2026-10-01T00:00:00.000Z</x:v>
      </x:c>
      <x:c r="C36" s="7" t="d">
        <x:v>2026-10-01T00:00:00.000Z</x:v>
      </x:c>
      <x:c r="D36" s="7" t="d">
        <x:v>2026-10-31T00:00:00.000Z</x:v>
      </x:c>
      <x:c r="E36" s="3" t="str">
        <x:v>BYD</x:v>
      </x:c>
      <x:c r="F36" s="3" t="str">
        <x:v>DOLPHIN</x:v>
      </x:c>
      <x:c r="G36" s="3" t="str">
        <x:v>BEV</x:v>
      </x:c>
      <x:c r="H36" s="3" t="str">
        <x:v>Hatchback</x:v>
      </x:c>
      <x:c r="I36" s="3" t="str">
        <x:v>STANDARD RANGE</x:v>
      </x:c>
      <x:c r="J36" s="3" t="str">
        <x:v>2026/10公式キャンペーン</x:v>
      </x:c>
      <x:c r="K36" s="24" t="n">
        <x:v>599900</x:v>
      </x:c>
      <x:c r="L36" s="24" t="n">
        <x:v>90000</x:v>
      </x:c>
      <x:c r="M36" s="24" t="n">
        <x:v>0</x:v>
      </x:c>
      <x:c r="N36" s="25" t="n">
        <x:f>IF(AND(ISNUMBER(K36),ISNUMBER(L36)),K36-L36,"")</x:f>
        <x:v>509900</x:v>
      </x:c>
      <x:c r="O36" s="25" t="n">
        <x:f>IF(AND(ISNUMBER(N36),ISNUMBER(M36)),N36-M36,"")</x:f>
        <x:v>509900</x:v>
      </x:c>
      <x:c r="P36" s="26" t="n">
        <x:f>IF(AND(ISNUMBER(K36),ISNUMBER(L36)),L36/K36,"")</x:f>
        <x:v>0.15002500416736123</x:v>
      </x:c>
      <x:c r="Q36" s="3" t="str">
        <x:v>金利/低頭金/付帯サービスは条件により選択。Lifetime保証は移転制約あり。</x:v>
      </x:c>
      <x:c r="R36" s="3" t="str">
        <x:v>予約・請求書など期間条件あり。仕様・保証条件は原文参照。</x:v>
      </x:c>
      <x:c r="S36" s="3" t="str">
        <x:v>一次資料</x:v>
      </x:c>
      <x:c r="T36" s="27" t="str">
        <x:v>https://reverautomotive.com/news/byd-dolphin-oct-2026-campaign</x:v>
      </x:c>
      <x:c r="U36" s="7" t="d">
        <x:v>2026-10-08T00:00:00.000Z</x:v>
      </x:c>
    </x:row>
    <x:row r="37" ht="22" customHeight="1">
      <x:c r="A37" s="3" t="str">
        <x:v>OCT26_DOLPHIN_EXTENDED RANGE</x:v>
      </x:c>
      <x:c r="B37" s="7" t="d">
        <x:v>2026-10-01T00:00:00.000Z</x:v>
      </x:c>
      <x:c r="C37" s="7" t="d">
        <x:v>2026-10-01T00:00:00.000Z</x:v>
      </x:c>
      <x:c r="D37" s="7" t="d">
        <x:v>2026-10-31T00:00:00.000Z</x:v>
      </x:c>
      <x:c r="E37" s="3" t="str">
        <x:v>BYD</x:v>
      </x:c>
      <x:c r="F37" s="3" t="str">
        <x:v>DOLPHIN</x:v>
      </x:c>
      <x:c r="G37" s="3" t="str">
        <x:v>BEV</x:v>
      </x:c>
      <x:c r="H37" s="3" t="str">
        <x:v>Hatchback</x:v>
      </x:c>
      <x:c r="I37" s="3" t="str">
        <x:v>EXTENDED RANGE</x:v>
      </x:c>
      <x:c r="J37" s="3" t="str">
        <x:v>2026/10公式キャンペーン</x:v>
      </x:c>
      <x:c r="K37" s="24" t="n">
        <x:v>719900</x:v>
      </x:c>
      <x:c r="L37" s="24" t="n">
        <x:v>120000</x:v>
      </x:c>
      <x:c r="M37" s="24" t="n">
        <x:v>0</x:v>
      </x:c>
      <x:c r="N37" s="25" t="n">
        <x:f>IF(AND(ISNUMBER(K37),ISNUMBER(L37)),K37-L37,"")</x:f>
        <x:v>599900</x:v>
      </x:c>
      <x:c r="O37" s="25" t="n">
        <x:f>IF(AND(ISNUMBER(N37),ISNUMBER(M37)),N37-M37,"")</x:f>
        <x:v>599900</x:v>
      </x:c>
      <x:c r="P37" s="26" t="n">
        <x:f>IF(AND(ISNUMBER(K37),ISNUMBER(L37)),L37/K37,"")</x:f>
        <x:v>0.166689818030282</x:v>
      </x:c>
      <x:c r="Q37" s="3" t="str">
        <x:v>金利/低頭金/付帯サービスは条件により選択。Lifetime保証は移転制約あり。</x:v>
      </x:c>
      <x:c r="R37" s="3" t="str">
        <x:v>予約・請求書など期間条件あり。仕様・保証条件は原文参照。</x:v>
      </x:c>
      <x:c r="S37" s="3" t="str">
        <x:v>一次資料</x:v>
      </x:c>
      <x:c r="T37" s="27" t="str">
        <x:v>https://reverautomotive.com/news/byd-dolphin-oct-2026-campaign</x:v>
      </x:c>
      <x:c r="U37" s="7" t="d">
        <x:v>2026-10-08T00:00:00.000Z</x:v>
      </x:c>
    </x:row>
    <x:row r="38" ht="22" customHeight="1">
      <x:c r="A38" s="3" t="str">
        <x:v>OCT26_SEALION 6_DYNAMIC</x:v>
      </x:c>
      <x:c r="B38" s="7" t="d">
        <x:v>2026-10-01T00:00:00.000Z</x:v>
      </x:c>
      <x:c r="C38" s="7" t="d">
        <x:v>2026-10-01T00:00:00.000Z</x:v>
      </x:c>
      <x:c r="D38" s="7" t="d">
        <x:v>2026-10-31T00:00:00.000Z</x:v>
      </x:c>
      <x:c r="E38" s="3" t="str">
        <x:v>BYD</x:v>
      </x:c>
      <x:c r="F38" s="3" t="str">
        <x:v>SEALION 6</x:v>
      </x:c>
      <x:c r="G38" s="3" t="str">
        <x:v>PHEV</x:v>
      </x:c>
      <x:c r="H38" s="3" t="str">
        <x:v>SUV</x:v>
      </x:c>
      <x:c r="I38" s="3" t="str">
        <x:v>DYNAMIC</x:v>
      </x:c>
      <x:c r="J38" s="3" t="str">
        <x:v>2026/10公式キャンペーン</x:v>
      </x:c>
      <x:c r="K38" s="24" t="n">
        <x:v>999900</x:v>
      </x:c>
      <x:c r="L38" s="24" t="n">
        <x:v>140000</x:v>
      </x:c>
      <x:c r="M38" s="24" t="n">
        <x:v>0</x:v>
      </x:c>
      <x:c r="N38" s="25" t="n">
        <x:f>IF(AND(ISNUMBER(K38),ISNUMBER(L38)),K38-L38,"")</x:f>
        <x:v>859900</x:v>
      </x:c>
      <x:c r="O38" s="25" t="n">
        <x:f>IF(AND(ISNUMBER(N38),ISNUMBER(M38)),N38-M38,"")</x:f>
        <x:v>859900</x:v>
      </x:c>
      <x:c r="P38" s="26" t="n">
        <x:f>IF(AND(ISNUMBER(K38),ISNUMBER(L38)),L38/K38,"")</x:f>
        <x:v>0.14001400140014</x:v>
      </x:c>
      <x:c r="Q38" s="3" t="str">
        <x:v>金利/低頭金/付帯サービスは条件により選択。Lifetime保証は移転制約あり。</x:v>
      </x:c>
      <x:c r="R38" s="3" t="str">
        <x:v>予約・請求書など期間条件あり。仕様・保証条件は原文参照。</x:v>
      </x:c>
      <x:c r="S38" s="3" t="str">
        <x:v>一次資料</x:v>
      </x:c>
      <x:c r="T38" s="27" t="str">
        <x:v>https://reverautomotive.com/news/byd-sealion6-dm-i-oct-2026-campaign</x:v>
      </x:c>
      <x:c r="U38" s="7" t="d">
        <x:v>2026-10-08T00:00:00.000Z</x:v>
      </x:c>
    </x:row>
    <x:row r="39" ht="22" customHeight="1">
      <x:c r="A39" s="3" t="str">
        <x:v>OCT26_SEALION 6_PREMIUM</x:v>
      </x:c>
      <x:c r="B39" s="7" t="d">
        <x:v>2026-10-01T00:00:00.000Z</x:v>
      </x:c>
      <x:c r="C39" s="7" t="d">
        <x:v>2026-10-01T00:00:00.000Z</x:v>
      </x:c>
      <x:c r="D39" s="7" t="d">
        <x:v>2026-10-31T00:00:00.000Z</x:v>
      </x:c>
      <x:c r="E39" s="3" t="str">
        <x:v>BYD</x:v>
      </x:c>
      <x:c r="F39" s="3" t="str">
        <x:v>SEALION 6</x:v>
      </x:c>
      <x:c r="G39" s="3" t="str">
        <x:v>PHEV</x:v>
      </x:c>
      <x:c r="H39" s="3" t="str">
        <x:v>SUV</x:v>
      </x:c>
      <x:c r="I39" s="3" t="str">
        <x:v>PREMIUM</x:v>
      </x:c>
      <x:c r="J39" s="3" t="str">
        <x:v>2026/10公式キャンペーン</x:v>
      </x:c>
      <x:c r="K39" s="24" t="n">
        <x:v>999900</x:v>
      </x:c>
      <x:c r="L39" s="24" t="n">
        <x:v>100000</x:v>
      </x:c>
      <x:c r="M39" s="24" t="n">
        <x:v>0</x:v>
      </x:c>
      <x:c r="N39" s="25" t="n">
        <x:f>IF(AND(ISNUMBER(K39),ISNUMBER(L39)),K39-L39,"")</x:f>
        <x:v>899900</x:v>
      </x:c>
      <x:c r="O39" s="25" t="n">
        <x:f>IF(AND(ISNUMBER(N39),ISNUMBER(M39)),N39-M39,"")</x:f>
        <x:v>899900</x:v>
      </x:c>
      <x:c r="P39" s="26" t="n">
        <x:f>IF(AND(ISNUMBER(K39),ISNUMBER(L39)),L39/K39,"")</x:f>
        <x:v>0.1000100010001</x:v>
      </x:c>
      <x:c r="Q39" s="3" t="str">
        <x:v>金利/低頭金/付帯サービスは条件により選択。Lifetime保証は移転制約あり。</x:v>
      </x:c>
      <x:c r="R39" s="3" t="str">
        <x:v>予約・請求書など期間条件あり。仕様・保証条件は原文参照。</x:v>
      </x:c>
      <x:c r="S39" s="3" t="str">
        <x:v>一次資料</x:v>
      </x:c>
      <x:c r="T39" s="27" t="str">
        <x:v>https://reverautomotive.com/news/byd-sealion6-dm-i-oct-2026-campaign</x:v>
      </x:c>
      <x:c r="U39" s="7" t="d">
        <x:v>2026-10-08T00:00:00.000Z</x:v>
      </x:c>
    </x:row>
    <x:row r="40" ht="22" customHeight="1">
      <x:c r="A40" s="3" t="str">
        <x:v>OCT26_SEALION 6_EXTENDED</x:v>
      </x:c>
      <x:c r="B40" s="7" t="d">
        <x:v>2026-10-01T00:00:00.000Z</x:v>
      </x:c>
      <x:c r="C40" s="7" t="d">
        <x:v>2026-10-01T00:00:00.000Z</x:v>
      </x:c>
      <x:c r="D40" s="7" t="d">
        <x:v>2026-10-31T00:00:00.000Z</x:v>
      </x:c>
      <x:c r="E40" s="3" t="str">
        <x:v>BYD</x:v>
      </x:c>
      <x:c r="F40" s="3" t="str">
        <x:v>SEALION 6</x:v>
      </x:c>
      <x:c r="G40" s="3" t="str">
        <x:v>PHEV</x:v>
      </x:c>
      <x:c r="H40" s="3" t="str">
        <x:v>SUV</x:v>
      </x:c>
      <x:c r="I40" s="3" t="str">
        <x:v>EXTENDED</x:v>
      </x:c>
      <x:c r="J40" s="3" t="str">
        <x:v>2026/10公式キャンペーン</x:v>
      </x:c>
      <x:c r="K40" s="24" t="n">
        <x:v>969900</x:v>
      </x:c>
      <x:c r="L40" s="24" t="n">
        <x:v>0</x:v>
      </x:c>
      <x:c r="M40" s="24" t="n">
        <x:v>0</x:v>
      </x:c>
      <x:c r="N40" s="25" t="n">
        <x:f>IF(AND(ISNUMBER(K40),ISNUMBER(L40)),K40-L40,"")</x:f>
        <x:v>969900</x:v>
      </x:c>
      <x:c r="O40" s="25" t="n">
        <x:f>IF(AND(ISNUMBER(N40),ISNUMBER(M40)),N40-M40,"")</x:f>
        <x:v>969900</x:v>
      </x:c>
      <x:c r="P40" s="26" t="n">
        <x:f>IF(AND(ISNUMBER(K40),ISNUMBER(L40)),L40/K40,"")</x:f>
        <x:v>0</x:v>
      </x:c>
      <x:c r="Q40" s="3" t="str">
        <x:v>金利/低頭金/付帯サービスは条件により選択。Lifetime保証は移転制約あり。</x:v>
      </x:c>
      <x:c r="R40" s="3" t="str">
        <x:v>予約・請求書など期間条件あり。仕様・保証条件は原文参照。</x:v>
      </x:c>
      <x:c r="S40" s="3" t="str">
        <x:v>一次資料</x:v>
      </x:c>
      <x:c r="T40" s="27" t="str">
        <x:v>https://reverautomotive.com/news/byd-sealion6-dm-i-oct-2026-campaign</x:v>
      </x:c>
      <x:c r="U40" s="7" t="d">
        <x:v>2026-10-08T00:00:00.000Z</x:v>
      </x:c>
    </x:row>
    <x:row r="41" ht="22" customHeight="1">
      <x:c r="A41" s="3" t="str">
        <x:v>OCT26_SEALION 7_PREMIUM</x:v>
      </x:c>
      <x:c r="B41" s="7" t="d">
        <x:v>2026-10-01T00:00:00.000Z</x:v>
      </x:c>
      <x:c r="C41" s="7" t="d">
        <x:v>2026-10-01T00:00:00.000Z</x:v>
      </x:c>
      <x:c r="D41" s="7" t="d">
        <x:v>2026-10-31T00:00:00.000Z</x:v>
      </x:c>
      <x:c r="E41" s="3" t="str">
        <x:v>BYD</x:v>
      </x:c>
      <x:c r="F41" s="3" t="str">
        <x:v>SEALION 7</x:v>
      </x:c>
      <x:c r="G41" s="3" t="str">
        <x:v>BEV</x:v>
      </x:c>
      <x:c r="H41" s="3" t="str">
        <x:v>SUV</x:v>
      </x:c>
      <x:c r="I41" s="3" t="str">
        <x:v>PREMIUM</x:v>
      </x:c>
      <x:c r="J41" s="3" t="str">
        <x:v>2026/10公式キャンペーン</x:v>
      </x:c>
      <x:c r="K41" s="24" t="n">
        <x:v>1199900</x:v>
      </x:c>
      <x:c r="L41" s="24" t="n">
        <x:v>0</x:v>
      </x:c>
      <x:c r="M41" s="24" t="n">
        <x:v>0</x:v>
      </x:c>
      <x:c r="N41" s="25" t="n">
        <x:f>IF(AND(ISNUMBER(K41),ISNUMBER(L41)),K41-L41,"")</x:f>
        <x:v>1199900</x:v>
      </x:c>
      <x:c r="O41" s="25" t="n">
        <x:f>IF(AND(ISNUMBER(N41),ISNUMBER(M41)),N41-M41,"")</x:f>
        <x:v>1199900</x:v>
      </x:c>
      <x:c r="P41" s="26" t="n">
        <x:f>IF(AND(ISNUMBER(K41),ISNUMBER(L41)),L41/K41,"")</x:f>
        <x:v>0</x:v>
      </x:c>
      <x:c r="Q41" s="3" t="str">
        <x:v>金利/低頭金/付帯サービスは条件により選択。Lifetime保証は移転制約あり。</x:v>
      </x:c>
      <x:c r="R41" s="3" t="str">
        <x:v>予約・請求書など期間条件あり。仕様・保証条件は原文参照。</x:v>
      </x:c>
      <x:c r="S41" s="3" t="str">
        <x:v>一次資料</x:v>
      </x:c>
      <x:c r="T41" s="27" t="str">
        <x:v>https://reverautomotive.com/news/byd-sealion7-oct-2026-campaign</x:v>
      </x:c>
      <x:c r="U41" s="7" t="d">
        <x:v>2026-10-08T00:00:00.000Z</x:v>
      </x:c>
    </x:row>
    <x:row r="42" ht="22" customHeight="1">
      <x:c r="A42" s="3" t="str">
        <x:v>OCT26_SEALION 7_AWD PERFORMANCE</x:v>
      </x:c>
      <x:c r="B42" s="7" t="d">
        <x:v>2026-10-01T00:00:00.000Z</x:v>
      </x:c>
      <x:c r="C42" s="7" t="d">
        <x:v>2026-10-01T00:00:00.000Z</x:v>
      </x:c>
      <x:c r="D42" s="7" t="d">
        <x:v>2026-10-31T00:00:00.000Z</x:v>
      </x:c>
      <x:c r="E42" s="3" t="str">
        <x:v>BYD</x:v>
      </x:c>
      <x:c r="F42" s="3" t="str">
        <x:v>SEALION 7</x:v>
      </x:c>
      <x:c r="G42" s="3" t="str">
        <x:v>BEV</x:v>
      </x:c>
      <x:c r="H42" s="3" t="str">
        <x:v>SUV</x:v>
      </x:c>
      <x:c r="I42" s="3" t="str">
        <x:v>AWD PERFORMANCE</x:v>
      </x:c>
      <x:c r="J42" s="3" t="str">
        <x:v>2026/10公式キャンペーン</x:v>
      </x:c>
      <x:c r="K42" s="24" t="n">
        <x:v>1299900</x:v>
      </x:c>
      <x:c r="L42" s="24" t="n">
        <x:v>0</x:v>
      </x:c>
      <x:c r="M42" s="24" t="n">
        <x:v>0</x:v>
      </x:c>
      <x:c r="N42" s="25" t="n">
        <x:f>IF(AND(ISNUMBER(K42),ISNUMBER(L42)),K42-L42,"")</x:f>
        <x:v>1299900</x:v>
      </x:c>
      <x:c r="O42" s="25" t="n">
        <x:f>IF(AND(ISNUMBER(N42),ISNUMBER(M42)),N42-M42,"")</x:f>
        <x:v>1299900</x:v>
      </x:c>
      <x:c r="P42" s="26" t="n">
        <x:f>IF(AND(ISNUMBER(K42),ISNUMBER(L42)),L42/K42,"")</x:f>
        <x:v>0</x:v>
      </x:c>
      <x:c r="Q42" s="3" t="str">
        <x:v>金利/低頭金/付帯サービスは条件により選択。Lifetime保証は移転制約あり。</x:v>
      </x:c>
      <x:c r="R42" s="3" t="str">
        <x:v>予約・請求書など期間条件あり。仕様・保証条件は原文参照。</x:v>
      </x:c>
      <x:c r="S42" s="3" t="str">
        <x:v>一次資料</x:v>
      </x:c>
      <x:c r="T42" s="27" t="str">
        <x:v>https://reverautomotive.com/news/byd-sealion7-oct-2026-campaign</x:v>
      </x:c>
      <x:c r="U42" s="7" t="d">
        <x:v>2026-10-08T00:00:00.000Z</x:v>
      </x:c>
    </x:row>
    <x:row r="43" ht="22" customHeight="1">
      <x:c r="A43" s="3" t="str">
        <x:v>OCT26_SEALION 7_AWD ULTIMATE</x:v>
      </x:c>
      <x:c r="B43" s="7" t="d">
        <x:v>2026-10-01T00:00:00.000Z</x:v>
      </x:c>
      <x:c r="C43" s="7" t="d">
        <x:v>2026-10-01T00:00:00.000Z</x:v>
      </x:c>
      <x:c r="D43" s="7" t="d">
        <x:v>2026-10-31T00:00:00.000Z</x:v>
      </x:c>
      <x:c r="E43" s="3" t="str">
        <x:v>BYD</x:v>
      </x:c>
      <x:c r="F43" s="3" t="str">
        <x:v>SEALION 7</x:v>
      </x:c>
      <x:c r="G43" s="3" t="str">
        <x:v>BEV</x:v>
      </x:c>
      <x:c r="H43" s="3" t="str">
        <x:v>SUV</x:v>
      </x:c>
      <x:c r="I43" s="3" t="str">
        <x:v>AWD ULTIMATE</x:v>
      </x:c>
      <x:c r="J43" s="3" t="str">
        <x:v>2026/10公式キャンペーン</x:v>
      </x:c>
      <x:c r="K43" s="24" t="n">
        <x:v>1349900</x:v>
      </x:c>
      <x:c r="L43" s="24" t="n">
        <x:v>0</x:v>
      </x:c>
      <x:c r="M43" s="24" t="n">
        <x:v>0</x:v>
      </x:c>
      <x:c r="N43" s="25" t="n">
        <x:f>IF(AND(ISNUMBER(K43),ISNUMBER(L43)),K43-L43,"")</x:f>
        <x:v>1349900</x:v>
      </x:c>
      <x:c r="O43" s="25" t="n">
        <x:f>IF(AND(ISNUMBER(N43),ISNUMBER(M43)),N43-M43,"")</x:f>
        <x:v>1349900</x:v>
      </x:c>
      <x:c r="P43" s="26" t="n">
        <x:f>IF(AND(ISNUMBER(K43),ISNUMBER(L43)),L43/K43,"")</x:f>
        <x:v>0</x:v>
      </x:c>
      <x:c r="Q43" s="3" t="str">
        <x:v>金利/低頭金/付帯サービスは条件により選択。Lifetime保証は移転制約あり。</x:v>
      </x:c>
      <x:c r="R43" s="3" t="str">
        <x:v>予約・請求書など期間条件あり。仕様・保証条件は原文参照。</x:v>
      </x:c>
      <x:c r="S43" s="3" t="str">
        <x:v>一次資料</x:v>
      </x:c>
      <x:c r="T43" s="27" t="str">
        <x:v>https://reverautomotive.com/news/byd-sealion7-oct-2026-campaign</x:v>
      </x:c>
      <x:c r="U43" s="7" t="d">
        <x:v>2026-10-08T00:00:00.000Z</x:v>
      </x:c>
    </x:row>
    <x:row r="44" ht="22" customHeight="1">
      <x:c r="A44" s="3" t="str">
        <x:v>CROSS23_SPORT PLUS</x:v>
      </x:c>
      <x:c r="B44" s="7" t="d">
        <x:v>2022-11-30T00:00:00.000Z</x:v>
      </x:c>
      <x:c r="C44" s="7" t="d">
        <x:v>2022-11-30T00:00:00.000Z</x:v>
      </x:c>
      <x:c r="D44" s="7"/>
      <x:c r="E44" s="3" t="str">
        <x:v>Toyota</x:v>
      </x:c>
      <x:c r="F44" s="3" t="str">
        <x:v>Corolla Cross</x:v>
      </x:c>
      <x:c r="G44" s="3" t="str">
        <x:v>ICE</x:v>
      </x:c>
      <x:c r="H44" s="3" t="str">
        <x:v>SUV</x:v>
      </x:c>
      <x:c r="I44" s="3" t="str">
        <x:v>SPORT PLUS</x:v>
      </x:c>
      <x:c r="J44" s="3" t="str">
        <x:v>MY2023公表価格</x:v>
      </x:c>
      <x:c r="K44" s="24" t="n">
        <x:v>999000</x:v>
      </x:c>
      <x:c r="L44" s="24" t="n">
        <x:v>0</x:v>
      </x:c>
      <x:c r="M44" s="24" t="n">
        <x:v>0</x:v>
      </x:c>
      <x:c r="N44" s="25" t="n">
        <x:f>IF(AND(ISNUMBER(K44),ISNUMBER(L44)),K44-L44,"")</x:f>
        <x:v>999000</x:v>
      </x:c>
      <x:c r="O44" s="25" t="n">
        <x:f>IF(AND(ISNUMBER(N44),ISNUMBER(M44)),N44-M44,"")</x:f>
        <x:v>999000</x:v>
      </x:c>
      <x:c r="P44" s="26" t="n">
        <x:f>IF(AND(ISNUMBER(K44),ISNUMBER(L44)),L44/K44,"")</x:f>
        <x:v>0</x:v>
      </x:c>
      <x:c r="Q44" s="3" t="str"/>
      <x:c r="R44" s="3" t="str">
        <x:v>MY2023更新価格。旧サイト参考価格と5千THB差があるため公式価格報道を優先。</x:v>
      </x:c>
      <x:c r="S44" s="3" t="str">
        <x:v>価格報道（二次）</x:v>
      </x:c>
      <x:c r="T44" s="27" t="str">
        <x:v>https://www.headlightmag.com/2022-11-30-official-price-toyota-corolla-cross-my2023/</x:v>
      </x:c>
      <x:c r="U44" s="7" t="d">
        <x:v>2026-10-08T00:00:00.000Z</x:v>
      </x:c>
    </x:row>
    <x:row r="45" ht="22" customHeight="1">
      <x:c r="A45" s="3" t="str">
        <x:v>CROSS23_HEV SMART</x:v>
      </x:c>
      <x:c r="B45" s="7" t="d">
        <x:v>2022-11-30T00:00:00.000Z</x:v>
      </x:c>
      <x:c r="C45" s="7" t="d">
        <x:v>2022-11-30T00:00:00.000Z</x:v>
      </x:c>
      <x:c r="D45" s="7"/>
      <x:c r="E45" s="3" t="str">
        <x:v>Toyota</x:v>
      </x:c>
      <x:c r="F45" s="3" t="str">
        <x:v>Corolla Cross</x:v>
      </x:c>
      <x:c r="G45" s="3" t="str">
        <x:v>HEV</x:v>
      </x:c>
      <x:c r="H45" s="3" t="str">
        <x:v>SUV</x:v>
      </x:c>
      <x:c r="I45" s="3" t="str">
        <x:v>HEV SMART</x:v>
      </x:c>
      <x:c r="J45" s="3" t="str">
        <x:v>MY2023公表価格</x:v>
      </x:c>
      <x:c r="K45" s="24" t="n">
        <x:v>1024000</x:v>
      </x:c>
      <x:c r="L45" s="24" t="n">
        <x:v>0</x:v>
      </x:c>
      <x:c r="M45" s="24" t="n">
        <x:v>0</x:v>
      </x:c>
      <x:c r="N45" s="25" t="n">
        <x:f>IF(AND(ISNUMBER(K45),ISNUMBER(L45)),K45-L45,"")</x:f>
        <x:v>1024000</x:v>
      </x:c>
      <x:c r="O45" s="25" t="n">
        <x:f>IF(AND(ISNUMBER(N45),ISNUMBER(M45)),N45-M45,"")</x:f>
        <x:v>1024000</x:v>
      </x:c>
      <x:c r="P45" s="26" t="n">
        <x:f>IF(AND(ISNUMBER(K45),ISNUMBER(L45)),L45/K45,"")</x:f>
        <x:v>0</x:v>
      </x:c>
      <x:c r="Q45" s="3" t="str"/>
      <x:c r="R45" s="3" t="str">
        <x:v>MY2023更新価格。旧サイト参考価格と5千THB差があるため公式価格報道を優先。</x:v>
      </x:c>
      <x:c r="S45" s="3" t="str">
        <x:v>価格報道（二次）</x:v>
      </x:c>
      <x:c r="T45" s="27" t="str">
        <x:v>https://www.headlightmag.com/2022-11-30-official-price-toyota-corolla-cross-my2023/</x:v>
      </x:c>
      <x:c r="U45" s="7" t="d">
        <x:v>2026-10-08T00:00:00.000Z</x:v>
      </x:c>
    </x:row>
    <x:row r="46" ht="22" customHeight="1">
      <x:c r="A46" s="3" t="str">
        <x:v>CROSS23_HEV PREMIUM</x:v>
      </x:c>
      <x:c r="B46" s="7" t="d">
        <x:v>2022-11-30T00:00:00.000Z</x:v>
      </x:c>
      <x:c r="C46" s="7" t="d">
        <x:v>2022-11-30T00:00:00.000Z</x:v>
      </x:c>
      <x:c r="D46" s="7"/>
      <x:c r="E46" s="3" t="str">
        <x:v>Toyota</x:v>
      </x:c>
      <x:c r="F46" s="3" t="str">
        <x:v>Corolla Cross</x:v>
      </x:c>
      <x:c r="G46" s="3" t="str">
        <x:v>HEV</x:v>
      </x:c>
      <x:c r="H46" s="3" t="str">
        <x:v>SUV</x:v>
      </x:c>
      <x:c r="I46" s="3" t="str">
        <x:v>HEV PREMIUM</x:v>
      </x:c>
      <x:c r="J46" s="3" t="str">
        <x:v>MY2023公表価格</x:v>
      </x:c>
      <x:c r="K46" s="24" t="n">
        <x:v>1094000</x:v>
      </x:c>
      <x:c r="L46" s="24" t="n">
        <x:v>0</x:v>
      </x:c>
      <x:c r="M46" s="24" t="n">
        <x:v>0</x:v>
      </x:c>
      <x:c r="N46" s="25" t="n">
        <x:f>IF(AND(ISNUMBER(K46),ISNUMBER(L46)),K46-L46,"")</x:f>
        <x:v>1094000</x:v>
      </x:c>
      <x:c r="O46" s="25" t="n">
        <x:f>IF(AND(ISNUMBER(N46),ISNUMBER(M46)),N46-M46,"")</x:f>
        <x:v>1094000</x:v>
      </x:c>
      <x:c r="P46" s="26" t="n">
        <x:f>IF(AND(ISNUMBER(K46),ISNUMBER(L46)),L46/K46,"")</x:f>
        <x:v>0</x:v>
      </x:c>
      <x:c r="Q46" s="3" t="str"/>
      <x:c r="R46" s="3" t="str">
        <x:v>MY2023更新価格。旧サイト参考価格と5千THB差があるため公式価格報道を優先。</x:v>
      </x:c>
      <x:c r="S46" s="3" t="str">
        <x:v>価格報道（二次）</x:v>
      </x:c>
      <x:c r="T46" s="27" t="str">
        <x:v>https://www.headlightmag.com/2022-11-30-official-price-toyota-corolla-cross-my2023/</x:v>
      </x:c>
      <x:c r="U46" s="7" t="d">
        <x:v>2026-10-08T00:00:00.000Z</x:v>
      </x:c>
    </x:row>
    <x:row r="47" ht="22" customHeight="1">
      <x:c r="A47" s="3" t="str">
        <x:v>CROSS23_HEV PREMIUM SAFETY</x:v>
      </x:c>
      <x:c r="B47" s="7" t="d">
        <x:v>2022-11-30T00:00:00.000Z</x:v>
      </x:c>
      <x:c r="C47" s="7" t="d">
        <x:v>2022-11-30T00:00:00.000Z</x:v>
      </x:c>
      <x:c r="D47" s="7"/>
      <x:c r="E47" s="3" t="str">
        <x:v>Toyota</x:v>
      </x:c>
      <x:c r="F47" s="3" t="str">
        <x:v>Corolla Cross</x:v>
      </x:c>
      <x:c r="G47" s="3" t="str">
        <x:v>HEV</x:v>
      </x:c>
      <x:c r="H47" s="3" t="str">
        <x:v>SUV</x:v>
      </x:c>
      <x:c r="I47" s="3" t="str">
        <x:v>HEV PREMIUM SAFETY</x:v>
      </x:c>
      <x:c r="J47" s="3" t="str">
        <x:v>MY2023公表価格</x:v>
      </x:c>
      <x:c r="K47" s="24" t="n">
        <x:v>1204000</x:v>
      </x:c>
      <x:c r="L47" s="24" t="n">
        <x:v>0</x:v>
      </x:c>
      <x:c r="M47" s="24" t="n">
        <x:v>0</x:v>
      </x:c>
      <x:c r="N47" s="25" t="n">
        <x:f>IF(AND(ISNUMBER(K47),ISNUMBER(L47)),K47-L47,"")</x:f>
        <x:v>1204000</x:v>
      </x:c>
      <x:c r="O47" s="25" t="n">
        <x:f>IF(AND(ISNUMBER(N47),ISNUMBER(M47)),N47-M47,"")</x:f>
        <x:v>1204000</x:v>
      </x:c>
      <x:c r="P47" s="26" t="n">
        <x:f>IF(AND(ISNUMBER(K47),ISNUMBER(L47)),L47/K47,"")</x:f>
        <x:v>0</x:v>
      </x:c>
      <x:c r="Q47" s="3" t="str"/>
      <x:c r="R47" s="3" t="str">
        <x:v>MY2023更新価格。旧サイト参考価格と5千THB差があるため公式価格報道を優先。</x:v>
      </x:c>
      <x:c r="S47" s="3" t="str">
        <x:v>価格報道（二次）</x:v>
      </x:c>
      <x:c r="T47" s="27" t="str">
        <x:v>https://www.headlightmag.com/2022-11-30-official-price-toyota-corolla-cross-my2023/</x:v>
      </x:c>
      <x:c r="U47" s="7" t="d">
        <x:v>2026-10-08T00:00:00.000Z</x:v>
      </x:c>
    </x:row>
    <x:row r="48" ht="22" customHeight="1">
      <x:c r="A48" s="3" t="str">
        <x:v>CROSS23_HEV GR SPORT</x:v>
      </x:c>
      <x:c r="B48" s="7" t="d">
        <x:v>2022-11-30T00:00:00.000Z</x:v>
      </x:c>
      <x:c r="C48" s="7" t="d">
        <x:v>2022-11-30T00:00:00.000Z</x:v>
      </x:c>
      <x:c r="D48" s="7"/>
      <x:c r="E48" s="3" t="str">
        <x:v>Toyota</x:v>
      </x:c>
      <x:c r="F48" s="3" t="str">
        <x:v>Corolla Cross</x:v>
      </x:c>
      <x:c r="G48" s="3" t="str">
        <x:v>HEV</x:v>
      </x:c>
      <x:c r="H48" s="3" t="str">
        <x:v>SUV</x:v>
      </x:c>
      <x:c r="I48" s="3" t="str">
        <x:v>HEV GR SPORT</x:v>
      </x:c>
      <x:c r="J48" s="3" t="str">
        <x:v>MY2023公表価格</x:v>
      </x:c>
      <x:c r="K48" s="24" t="n">
        <x:v>1254000</x:v>
      </x:c>
      <x:c r="L48" s="24" t="n">
        <x:v>0</x:v>
      </x:c>
      <x:c r="M48" s="24" t="n">
        <x:v>0</x:v>
      </x:c>
      <x:c r="N48" s="25" t="n">
        <x:f>IF(AND(ISNUMBER(K48),ISNUMBER(L48)),K48-L48,"")</x:f>
        <x:v>1254000</x:v>
      </x:c>
      <x:c r="O48" s="25" t="n">
        <x:f>IF(AND(ISNUMBER(N48),ISNUMBER(M48)),N48-M48,"")</x:f>
        <x:v>1254000</x:v>
      </x:c>
      <x:c r="P48" s="26" t="n">
        <x:f>IF(AND(ISNUMBER(K48),ISNUMBER(L48)),L48/K48,"")</x:f>
        <x:v>0</x:v>
      </x:c>
      <x:c r="Q48" s="3" t="str"/>
      <x:c r="R48" s="3" t="str">
        <x:v>MY2023更新価格。旧サイト参考価格と5千THB差があるため公式価格報道を優先。</x:v>
      </x:c>
      <x:c r="S48" s="3" t="str">
        <x:v>価格報道（二次）</x:v>
      </x:c>
      <x:c r="T48" s="27" t="str">
        <x:v>https://www.headlightmag.com/2022-11-30-official-price-toyota-corolla-cross-my2023/</x:v>
      </x:c>
      <x:c r="U48" s="7" t="d">
        <x:v>2026-10-08T00:00:00.000Z</x:v>
      </x:c>
    </x:row>
    <x:row r="49" ht="22" customHeight="1">
      <x:c r="A49" s="3" t="str">
        <x:v>CROSS24_SPORT PLUS</x:v>
      </x:c>
      <x:c r="B49" s="7" t="d">
        <x:v>2024-02-08T00:00:00.000Z</x:v>
      </x:c>
      <x:c r="C49" s="7" t="d">
        <x:v>2024-02-08T00:00:00.000Z</x:v>
      </x:c>
      <x:c r="D49" s="7"/>
      <x:c r="E49" s="3" t="str">
        <x:v>Toyota</x:v>
      </x:c>
      <x:c r="F49" s="3" t="str">
        <x:v>Corolla Cross</x:v>
      </x:c>
      <x:c r="G49" s="3" t="str">
        <x:v>ICE</x:v>
      </x:c>
      <x:c r="H49" s="3" t="str">
        <x:v>SUV</x:v>
      </x:c>
      <x:c r="I49" s="3" t="str">
        <x:v>SPORT PLUS</x:v>
      </x:c>
      <x:c r="J49" s="3" t="str">
        <x:v>2024改良公表価格</x:v>
      </x:c>
      <x:c r="K49" s="24" t="n">
        <x:v>999000</x:v>
      </x:c>
      <x:c r="L49" s="24" t="n">
        <x:v>0</x:v>
      </x:c>
      <x:c r="M49" s="24" t="n">
        <x:v>0</x:v>
      </x:c>
      <x:c r="N49" s="25" t="n">
        <x:f>IF(AND(ISNUMBER(K49),ISNUMBER(L49)),K49-L49,"")</x:f>
        <x:v>999000</x:v>
      </x:c>
      <x:c r="O49" s="25" t="n">
        <x:f>IF(AND(ISNUMBER(N49),ISNUMBER(M49)),N49-M49,"")</x:f>
        <x:v>999000</x:v>
      </x:c>
      <x:c r="P49" s="26" t="n">
        <x:f>IF(AND(ISNUMBER(K49),ISNUMBER(L49)),L49/K49,"")</x:f>
        <x:v>0</x:v>
      </x:c>
      <x:c r="Q49" s="3" t="str"/>
      <x:c r="R49" s="3" t="str">
        <x:v>Facelift。2024/11には電池NiMH→Li-ion、価格据置の別更新あり。</x:v>
      </x:c>
      <x:c r="S49" s="3" t="str">
        <x:v>価格報道（二次）</x:v>
      </x:c>
      <x:c r="T49" s="27" t="str">
        <x:v>https://www.headlightmag.com/2024-02-08-official-price-toyota-corolla-cross-minorchange-2024/</x:v>
      </x:c>
      <x:c r="U49" s="7" t="d">
        <x:v>2026-10-08T00:00:00.000Z</x:v>
      </x:c>
    </x:row>
    <x:row r="50" ht="22" customHeight="1">
      <x:c r="A50" s="3" t="str">
        <x:v>CROSS24_HEV PREMIUM</x:v>
      </x:c>
      <x:c r="B50" s="7" t="d">
        <x:v>2024-02-08T00:00:00.000Z</x:v>
      </x:c>
      <x:c r="C50" s="7" t="d">
        <x:v>2024-02-08T00:00:00.000Z</x:v>
      </x:c>
      <x:c r="D50" s="7"/>
      <x:c r="E50" s="3" t="str">
        <x:v>Toyota</x:v>
      </x:c>
      <x:c r="F50" s="3" t="str">
        <x:v>Corolla Cross</x:v>
      </x:c>
      <x:c r="G50" s="3" t="str">
        <x:v>HEV</x:v>
      </x:c>
      <x:c r="H50" s="3" t="str">
        <x:v>SUV</x:v>
      </x:c>
      <x:c r="I50" s="3" t="str">
        <x:v>HEV PREMIUM</x:v>
      </x:c>
      <x:c r="J50" s="3" t="str">
        <x:v>2024改良公表価格</x:v>
      </x:c>
      <x:c r="K50" s="24" t="n">
        <x:v>1094000</x:v>
      </x:c>
      <x:c r="L50" s="24" t="n">
        <x:v>0</x:v>
      </x:c>
      <x:c r="M50" s="24" t="n">
        <x:v>0</x:v>
      </x:c>
      <x:c r="N50" s="25" t="n">
        <x:f>IF(AND(ISNUMBER(K50),ISNUMBER(L50)),K50-L50,"")</x:f>
        <x:v>1094000</x:v>
      </x:c>
      <x:c r="O50" s="25" t="n">
        <x:f>IF(AND(ISNUMBER(N50),ISNUMBER(M50)),N50-M50,"")</x:f>
        <x:v>1094000</x:v>
      </x:c>
      <x:c r="P50" s="26" t="n">
        <x:f>IF(AND(ISNUMBER(K50),ISNUMBER(L50)),L50/K50,"")</x:f>
        <x:v>0</x:v>
      </x:c>
      <x:c r="Q50" s="3" t="str"/>
      <x:c r="R50" s="3" t="str">
        <x:v>Facelift。2024/11には電池NiMH→Li-ion、価格据置の別更新あり。</x:v>
      </x:c>
      <x:c r="S50" s="3" t="str">
        <x:v>価格報道（二次）</x:v>
      </x:c>
      <x:c r="T50" s="27" t="str">
        <x:v>https://www.headlightmag.com/2024-02-08-official-price-toyota-corolla-cross-minorchange-2024/</x:v>
      </x:c>
      <x:c r="U50" s="7" t="d">
        <x:v>2026-10-08T00:00:00.000Z</x:v>
      </x:c>
    </x:row>
    <x:row r="51" ht="22" customHeight="1">
      <x:c r="A51" s="3" t="str">
        <x:v>CROSS24_HEV PREMIUM LUXURY</x:v>
      </x:c>
      <x:c r="B51" s="7" t="d">
        <x:v>2024-02-08T00:00:00.000Z</x:v>
      </x:c>
      <x:c r="C51" s="7" t="d">
        <x:v>2024-02-08T00:00:00.000Z</x:v>
      </x:c>
      <x:c r="D51" s="7"/>
      <x:c r="E51" s="3" t="str">
        <x:v>Toyota</x:v>
      </x:c>
      <x:c r="F51" s="3" t="str">
        <x:v>Corolla Cross</x:v>
      </x:c>
      <x:c r="G51" s="3" t="str">
        <x:v>HEV</x:v>
      </x:c>
      <x:c r="H51" s="3" t="str">
        <x:v>SUV</x:v>
      </x:c>
      <x:c r="I51" s="3" t="str">
        <x:v>HEV PREMIUM LUXURY</x:v>
      </x:c>
      <x:c r="J51" s="3" t="str">
        <x:v>2024改良公表価格</x:v>
      </x:c>
      <x:c r="K51" s="24" t="n">
        <x:v>1204000</x:v>
      </x:c>
      <x:c r="L51" s="24" t="n">
        <x:v>0</x:v>
      </x:c>
      <x:c r="M51" s="24" t="n">
        <x:v>0</x:v>
      </x:c>
      <x:c r="N51" s="25" t="n">
        <x:f>IF(AND(ISNUMBER(K51),ISNUMBER(L51)),K51-L51,"")</x:f>
        <x:v>1204000</x:v>
      </x:c>
      <x:c r="O51" s="25" t="n">
        <x:f>IF(AND(ISNUMBER(N51),ISNUMBER(M51)),N51-M51,"")</x:f>
        <x:v>1204000</x:v>
      </x:c>
      <x:c r="P51" s="26" t="n">
        <x:f>IF(AND(ISNUMBER(K51),ISNUMBER(L51)),L51/K51,"")</x:f>
        <x:v>0</x:v>
      </x:c>
      <x:c r="Q51" s="3" t="str"/>
      <x:c r="R51" s="3" t="str">
        <x:v>Facelift。2024/11には電池NiMH→Li-ion、価格据置の別更新あり。</x:v>
      </x:c>
      <x:c r="S51" s="3" t="str">
        <x:v>価格報道（二次）</x:v>
      </x:c>
      <x:c r="T51" s="27" t="str">
        <x:v>https://www.headlightmag.com/2024-02-08-official-price-toyota-corolla-cross-minorchange-2024/</x:v>
      </x:c>
      <x:c r="U51" s="7" t="d">
        <x:v>2026-10-08T00:00:00.000Z</x:v>
      </x:c>
    </x:row>
    <x:row r="52" ht="22" customHeight="1">
      <x:c r="A52" s="3" t="str">
        <x:v>CROSS24_HEV GR SPORT</x:v>
      </x:c>
      <x:c r="B52" s="7" t="d">
        <x:v>2024-02-08T00:00:00.000Z</x:v>
      </x:c>
      <x:c r="C52" s="7" t="d">
        <x:v>2024-02-08T00:00:00.000Z</x:v>
      </x:c>
      <x:c r="D52" s="7"/>
      <x:c r="E52" s="3" t="str">
        <x:v>Toyota</x:v>
      </x:c>
      <x:c r="F52" s="3" t="str">
        <x:v>Corolla Cross</x:v>
      </x:c>
      <x:c r="G52" s="3" t="str">
        <x:v>HEV</x:v>
      </x:c>
      <x:c r="H52" s="3" t="str">
        <x:v>SUV</x:v>
      </x:c>
      <x:c r="I52" s="3" t="str">
        <x:v>HEV GR SPORT</x:v>
      </x:c>
      <x:c r="J52" s="3" t="str">
        <x:v>2024改良公表価格</x:v>
      </x:c>
      <x:c r="K52" s="24" t="n">
        <x:v>1254000</x:v>
      </x:c>
      <x:c r="L52" s="24" t="n">
        <x:v>0</x:v>
      </x:c>
      <x:c r="M52" s="24" t="n">
        <x:v>0</x:v>
      </x:c>
      <x:c r="N52" s="25" t="n">
        <x:f>IF(AND(ISNUMBER(K52),ISNUMBER(L52)),K52-L52,"")</x:f>
        <x:v>1254000</x:v>
      </x:c>
      <x:c r="O52" s="25" t="n">
        <x:f>IF(AND(ISNUMBER(N52),ISNUMBER(M52)),N52-M52,"")</x:f>
        <x:v>1254000</x:v>
      </x:c>
      <x:c r="P52" s="26" t="n">
        <x:f>IF(AND(ISNUMBER(K52),ISNUMBER(L52)),L52/K52,"")</x:f>
        <x:v>0</x:v>
      </x:c>
      <x:c r="Q52" s="3" t="str"/>
      <x:c r="R52" s="3" t="str">
        <x:v>Facelift。2024/11には電池NiMH→Li-ion、価格据置の別更新あり。</x:v>
      </x:c>
      <x:c r="S52" s="3" t="str">
        <x:v>価格報道（二次）</x:v>
      </x:c>
      <x:c r="T52" s="27" t="str">
        <x:v>https://www.headlightmag.com/2024-02-08-official-price-toyota-corolla-cross-minorchange-2024/</x:v>
      </x:c>
      <x:c r="U52" s="7" t="d">
        <x:v>2026-10-08T00:00:00.000Z</x:v>
      </x:c>
    </x:row>
    <x:row r="53" ht="22" customHeight="1">
      <x:c r="A53" s="3" t="str">
        <x:v>CROSS26_HEV SMART</x:v>
      </x:c>
      <x:c r="B53" s="7" t="d">
        <x:v>2026-10-08T00:00:00.000Z</x:v>
      </x:c>
      <x:c r="C53" s="7"/>
      <x:c r="D53" s="7"/>
      <x:c r="E53" s="3" t="str">
        <x:v>Toyota</x:v>
      </x:c>
      <x:c r="F53" s="3" t="str">
        <x:v>Corolla Cross</x:v>
      </x:c>
      <x:c r="G53" s="3" t="str">
        <x:v>HEV</x:v>
      </x:c>
      <x:c r="H53" s="3" t="str">
        <x:v>SUV</x:v>
      </x:c>
      <x:c r="I53" s="3" t="str">
        <x:v>HEV SMART</x:v>
      </x:c>
      <x:c r="J53" s="3" t="str">
        <x:v>取得時公式掲載価格</x:v>
      </x:c>
      <x:c r="K53" s="24" t="n">
        <x:v>989000</x:v>
      </x:c>
      <x:c r="L53" s="24" t="n">
        <x:v>0</x:v>
      </x:c>
      <x:c r="M53" s="24" t="n">
        <x:v>0</x:v>
      </x:c>
      <x:c r="N53" s="25" t="n">
        <x:f>IF(AND(ISNUMBER(K53),ISNUMBER(L53)),K53-L53,"")</x:f>
        <x:v>989000</x:v>
      </x:c>
      <x:c r="O53" s="25" t="n">
        <x:f>IF(AND(ISNUMBER(N53),ISNUMBER(M53)),N53-M53,"")</x:f>
        <x:v>989000</x:v>
      </x:c>
      <x:c r="P53" s="26" t="n">
        <x:f>IF(AND(ISNUMBER(K53),ISNUMBER(L53)),L53/K53,"")</x:f>
        <x:v>0</x:v>
      </x:c>
      <x:c r="Q53" s="3" t="str">
        <x:v>2026/9/1–10/31：0%金利・保険・頭金割引1万THBまたはSmart Plan等。現金販売価格とは別。</x:v>
      </x:c>
      <x:c r="R53" s="3" t="str">
        <x:v>取得時表示。価格の改定開始日は不明。</x:v>
      </x:c>
      <x:c r="S53" s="3" t="str">
        <x:v>一次資料</x:v>
      </x:c>
      <x:c r="T53" s="27" t="str">
        <x:v>https://www.toyota.co.th/en/model/corollacross/grade</x:v>
      </x:c>
      <x:c r="U53" s="7" t="d">
        <x:v>2026-10-08T00:00:00.000Z</x:v>
      </x:c>
    </x:row>
    <x:row r="54" ht="22" customHeight="1">
      <x:c r="A54" s="3" t="str">
        <x:v>CROSS26_HEV PREMIUM</x:v>
      </x:c>
      <x:c r="B54" s="7" t="d">
        <x:v>2026-10-08T00:00:00.000Z</x:v>
      </x:c>
      <x:c r="C54" s="7"/>
      <x:c r="D54" s="7"/>
      <x:c r="E54" s="3" t="str">
        <x:v>Toyota</x:v>
      </x:c>
      <x:c r="F54" s="3" t="str">
        <x:v>Corolla Cross</x:v>
      </x:c>
      <x:c r="G54" s="3" t="str">
        <x:v>HEV</x:v>
      </x:c>
      <x:c r="H54" s="3" t="str">
        <x:v>SUV</x:v>
      </x:c>
      <x:c r="I54" s="3" t="str">
        <x:v>HEV PREMIUM</x:v>
      </x:c>
      <x:c r="J54" s="3" t="str">
        <x:v>取得時公式掲載価格</x:v>
      </x:c>
      <x:c r="K54" s="24" t="n">
        <x:v>1094000</x:v>
      </x:c>
      <x:c r="L54" s="24" t="n">
        <x:v>0</x:v>
      </x:c>
      <x:c r="M54" s="24" t="n">
        <x:v>0</x:v>
      </x:c>
      <x:c r="N54" s="25" t="n">
        <x:f>IF(AND(ISNUMBER(K54),ISNUMBER(L54)),K54-L54,"")</x:f>
        <x:v>1094000</x:v>
      </x:c>
      <x:c r="O54" s="25" t="n">
        <x:f>IF(AND(ISNUMBER(N54),ISNUMBER(M54)),N54-M54,"")</x:f>
        <x:v>1094000</x:v>
      </x:c>
      <x:c r="P54" s="26" t="n">
        <x:f>IF(AND(ISNUMBER(K54),ISNUMBER(L54)),L54/K54,"")</x:f>
        <x:v>0</x:v>
      </x:c>
      <x:c r="Q54" s="3" t="str">
        <x:v>2026/9/1–10/31：0%金利・保険・頭金割引1万THBまたはSmart Plan等。現金販売価格とは別。</x:v>
      </x:c>
      <x:c r="R54" s="3" t="str">
        <x:v>取得時表示。価格の改定開始日は不明。</x:v>
      </x:c>
      <x:c r="S54" s="3" t="str">
        <x:v>一次資料</x:v>
      </x:c>
      <x:c r="T54" s="27" t="str">
        <x:v>https://www.toyota.co.th/en/model/corollacross/grade</x:v>
      </x:c>
      <x:c r="U54" s="7" t="d">
        <x:v>2026-10-08T00:00:00.000Z</x:v>
      </x:c>
    </x:row>
    <x:row r="55" ht="22" customHeight="1">
      <x:c r="A55" s="3" t="str">
        <x:v>CROSS26_HEV PREMIUM LUXURY</x:v>
      </x:c>
      <x:c r="B55" s="7" t="d">
        <x:v>2026-10-08T00:00:00.000Z</x:v>
      </x:c>
      <x:c r="C55" s="7"/>
      <x:c r="D55" s="7"/>
      <x:c r="E55" s="3" t="str">
        <x:v>Toyota</x:v>
      </x:c>
      <x:c r="F55" s="3" t="str">
        <x:v>Corolla Cross</x:v>
      </x:c>
      <x:c r="G55" s="3" t="str">
        <x:v>HEV</x:v>
      </x:c>
      <x:c r="H55" s="3" t="str">
        <x:v>SUV</x:v>
      </x:c>
      <x:c r="I55" s="3" t="str">
        <x:v>HEV PREMIUM LUXURY</x:v>
      </x:c>
      <x:c r="J55" s="3" t="str">
        <x:v>取得時公式掲載価格</x:v>
      </x:c>
      <x:c r="K55" s="24" t="n">
        <x:v>1204000</x:v>
      </x:c>
      <x:c r="L55" s="24" t="n">
        <x:v>0</x:v>
      </x:c>
      <x:c r="M55" s="24" t="n">
        <x:v>0</x:v>
      </x:c>
      <x:c r="N55" s="25" t="n">
        <x:f>IF(AND(ISNUMBER(K55),ISNUMBER(L55)),K55-L55,"")</x:f>
        <x:v>1204000</x:v>
      </x:c>
      <x:c r="O55" s="25" t="n">
        <x:f>IF(AND(ISNUMBER(N55),ISNUMBER(M55)),N55-M55,"")</x:f>
        <x:v>1204000</x:v>
      </x:c>
      <x:c r="P55" s="26" t="n">
        <x:f>IF(AND(ISNUMBER(K55),ISNUMBER(L55)),L55/K55,"")</x:f>
        <x:v>0</x:v>
      </x:c>
      <x:c r="Q55" s="3" t="str">
        <x:v>2026/9/1–10/31：0%金利・保険・頭金割引1万THBまたはSmart Plan等。現金販売価格とは別。</x:v>
      </x:c>
      <x:c r="R55" s="3" t="str">
        <x:v>取得時表示。価格の改定開始日は不明。</x:v>
      </x:c>
      <x:c r="S55" s="3" t="str">
        <x:v>一次資料</x:v>
      </x:c>
      <x:c r="T55" s="27" t="str">
        <x:v>https://www.toyota.co.th/en/model/corollacross/grade</x:v>
      </x:c>
      <x:c r="U55" s="7" t="d">
        <x:v>2026-10-08T00:00:00.000Z</x:v>
      </x:c>
    </x:row>
    <x:row r="56" ht="22" customHeight="1">
      <x:c r="A56" s="3" t="str">
        <x:v>CROSS26_FIN</x:v>
      </x:c>
      <x:c r="B56" s="7" t="d">
        <x:v>2026-10-08T00:00:00.000Z</x:v>
      </x:c>
      <x:c r="C56" s="7" t="d">
        <x:v>2026-09-01T00:00:00.000Z</x:v>
      </x:c>
      <x:c r="D56" s="7" t="d">
        <x:v>2026-10-31T00:00:00.000Z</x:v>
      </x:c>
      <x:c r="E56" s="3" t="str">
        <x:v>Toyota</x:v>
      </x:c>
      <x:c r="F56" s="3" t="str">
        <x:v>Corolla Cross</x:v>
      </x:c>
      <x:c r="G56" s="3" t="str">
        <x:v>HEV</x:v>
      </x:c>
      <x:c r="H56" s="3" t="str">
        <x:v>SUV</x:v>
      </x:c>
      <x:c r="I56" s="3" t="str">
        <x:v>対象グレード</x:v>
      </x:c>
      <x:c r="J56" s="3" t="str">
        <x:v>金融・付帯特典</x:v>
      </x:c>
      <x:c r="K56" s="24"/>
      <x:c r="L56" s="24"/>
      <x:c r="M56" s="24"/>
      <x:c r="N56" s="25" t="str">
        <x:f>IF(AND(ISNUMBER(K56),ISNUMBER(L56)),K56-L56,"")</x:f>
      </x:c>
      <x:c r="O56" s="25" t="str">
        <x:f>IF(AND(ISNUMBER(N56),ISNUMBER(M56)),N56-M56,"")</x:f>
      </x:c>
      <x:c r="P56" s="26" t="str">
        <x:f>IF(AND(ISNUMBER(K56),ISNUMBER(L56)),L56/K56,"")</x:f>
      </x:c>
      <x:c r="Q56" s="3" t="str">
        <x:v>0%金利・保険・頭金割引1万THBまたはSmart Plan等。</x:v>
      </x:c>
      <x:c r="R56" s="3" t="str">
        <x:v>頭金割引を一律の現金値引と見なさない。</x:v>
      </x:c>
      <x:c r="S56" s="3" t="str">
        <x:v>一次資料</x:v>
      </x:c>
      <x:c r="T56" s="27" t="str">
        <x:v>https://www.toyota.co.th/en/model/corollacross/grade</x:v>
      </x:c>
      <x:c r="U56" s="7" t="d">
        <x:v>2026-10-08T00:00:00.000Z</x:v>
      </x:c>
    </x:row>
    <x:row r="57" ht="22" customHeight="1">
      <x:c r="A57" s="3" t="str">
        <x:v>ALTIS23_1.6 G</x:v>
      </x:c>
      <x:c r="B57" s="7" t="d">
        <x:v>2023-06-08T00:00:00.000Z</x:v>
      </x:c>
      <x:c r="C57" s="7" t="d">
        <x:v>2023-06-08T00:00:00.000Z</x:v>
      </x:c>
      <x:c r="D57" s="7"/>
      <x:c r="E57" s="3" t="str">
        <x:v>Toyota</x:v>
      </x:c>
      <x:c r="F57" s="3" t="str">
        <x:v>Corolla Altis</x:v>
      </x:c>
      <x:c r="G57" s="3" t="str">
        <x:v>ICE</x:v>
      </x:c>
      <x:c r="H57" s="3" t="str">
        <x:v>Sedan</x:v>
      </x:c>
      <x:c r="I57" s="3" t="str">
        <x:v>1.6 G</x:v>
      </x:c>
      <x:c r="J57" s="3" t="str">
        <x:v>MY2023公表価格</x:v>
      </x:c>
      <x:c r="K57" s="24" t="n">
        <x:v>894000</x:v>
      </x:c>
      <x:c r="L57" s="24" t="n">
        <x:v>0</x:v>
      </x:c>
      <x:c r="M57" s="24" t="n">
        <x:v>0</x:v>
      </x:c>
      <x:c r="N57" s="25" t="n">
        <x:f>IF(AND(ISNUMBER(K57),ISNUMBER(L57)),K57-L57,"")</x:f>
        <x:v>894000</x:v>
      </x:c>
      <x:c r="O57" s="25" t="n">
        <x:f>IF(AND(ISNUMBER(N57),ISNUMBER(M57)),N57-M57,"")</x:f>
        <x:v>894000</x:v>
      </x:c>
      <x:c r="P57" s="26" t="n">
        <x:f>IF(AND(ISNUMBER(K57),ISNUMBER(L57)),L57/K57,"")</x:f>
        <x:v>0</x:v>
      </x:c>
      <x:c r="Q57" s="3" t="str"/>
      <x:c r="R57" s="3" t="str">
        <x:v>6月改良の価格。2023年前半/登録年との差は特定できないためMY2023の残価分母には厳密適用せず。</x:v>
      </x:c>
      <x:c r="S57" s="3" t="str">
        <x:v>価格報道（二次）</x:v>
      </x:c>
      <x:c r="T57" s="27" t="str">
        <x:v>https://autolifethailand.tv/official-price-toyota-corolla-altis-my2023/</x:v>
      </x:c>
      <x:c r="U57" s="7" t="d">
        <x:v>2026-10-08T00:00:00.000Z</x:v>
      </x:c>
    </x:row>
    <x:row r="58" ht="22" customHeight="1">
      <x:c r="A58" s="3" t="str">
        <x:v>ALTIS23_1.8 SPORT</x:v>
      </x:c>
      <x:c r="B58" s="7" t="d">
        <x:v>2023-06-08T00:00:00.000Z</x:v>
      </x:c>
      <x:c r="C58" s="7" t="d">
        <x:v>2023-06-08T00:00:00.000Z</x:v>
      </x:c>
      <x:c r="D58" s="7"/>
      <x:c r="E58" s="3" t="str">
        <x:v>Toyota</x:v>
      </x:c>
      <x:c r="F58" s="3" t="str">
        <x:v>Corolla Altis</x:v>
      </x:c>
      <x:c r="G58" s="3" t="str">
        <x:v>ICE</x:v>
      </x:c>
      <x:c r="H58" s="3" t="str">
        <x:v>Sedan</x:v>
      </x:c>
      <x:c r="I58" s="3" t="str">
        <x:v>1.8 SPORT</x:v>
      </x:c>
      <x:c r="J58" s="3" t="str">
        <x:v>MY2023公表価格</x:v>
      </x:c>
      <x:c r="K58" s="24" t="n">
        <x:v>979000</x:v>
      </x:c>
      <x:c r="L58" s="24" t="n">
        <x:v>0</x:v>
      </x:c>
      <x:c r="M58" s="24" t="n">
        <x:v>0</x:v>
      </x:c>
      <x:c r="N58" s="25" t="n">
        <x:f>IF(AND(ISNUMBER(K58),ISNUMBER(L58)),K58-L58,"")</x:f>
        <x:v>979000</x:v>
      </x:c>
      <x:c r="O58" s="25" t="n">
        <x:f>IF(AND(ISNUMBER(N58),ISNUMBER(M58)),N58-M58,"")</x:f>
        <x:v>979000</x:v>
      </x:c>
      <x:c r="P58" s="26" t="n">
        <x:f>IF(AND(ISNUMBER(K58),ISNUMBER(L58)),L58/K58,"")</x:f>
        <x:v>0</x:v>
      </x:c>
      <x:c r="Q58" s="3" t="str"/>
      <x:c r="R58" s="3" t="str">
        <x:v>6月改良の価格。2023年前半/登録年との差は特定できないためMY2023の残価分母には厳密適用せず。</x:v>
      </x:c>
      <x:c r="S58" s="3" t="str">
        <x:v>価格報道（二次）</x:v>
      </x:c>
      <x:c r="T58" s="27" t="str">
        <x:v>https://autolifethailand.tv/official-price-toyota-corolla-altis-my2023/</x:v>
      </x:c>
      <x:c r="U58" s="7" t="d">
        <x:v>2026-10-08T00:00:00.000Z</x:v>
      </x:c>
    </x:row>
    <x:row r="59" ht="22" customHeight="1">
      <x:c r="A59" s="3" t="str">
        <x:v>ALTIS23_HEV PREMIUM</x:v>
      </x:c>
      <x:c r="B59" s="7" t="d">
        <x:v>2023-06-08T00:00:00.000Z</x:v>
      </x:c>
      <x:c r="C59" s="7" t="d">
        <x:v>2023-06-08T00:00:00.000Z</x:v>
      </x:c>
      <x:c r="D59" s="7"/>
      <x:c r="E59" s="3" t="str">
        <x:v>Toyota</x:v>
      </x:c>
      <x:c r="F59" s="3" t="str">
        <x:v>Corolla Altis</x:v>
      </x:c>
      <x:c r="G59" s="3" t="str">
        <x:v>HEV</x:v>
      </x:c>
      <x:c r="H59" s="3" t="str">
        <x:v>Sedan</x:v>
      </x:c>
      <x:c r="I59" s="3" t="str">
        <x:v>HEV PREMIUM</x:v>
      </x:c>
      <x:c r="J59" s="3" t="str">
        <x:v>MY2023公表価格</x:v>
      </x:c>
      <x:c r="K59" s="24" t="n">
        <x:v>1009000</x:v>
      </x:c>
      <x:c r="L59" s="24" t="n">
        <x:v>0</x:v>
      </x:c>
      <x:c r="M59" s="24" t="n">
        <x:v>0</x:v>
      </x:c>
      <x:c r="N59" s="25" t="n">
        <x:f>IF(AND(ISNUMBER(K59),ISNUMBER(L59)),K59-L59,"")</x:f>
        <x:v>1009000</x:v>
      </x:c>
      <x:c r="O59" s="25" t="n">
        <x:f>IF(AND(ISNUMBER(N59),ISNUMBER(M59)),N59-M59,"")</x:f>
        <x:v>1009000</x:v>
      </x:c>
      <x:c r="P59" s="26" t="n">
        <x:f>IF(AND(ISNUMBER(K59),ISNUMBER(L59)),L59/K59,"")</x:f>
        <x:v>0</x:v>
      </x:c>
      <x:c r="Q59" s="3" t="str"/>
      <x:c r="R59" s="3" t="str">
        <x:v>6月改良の価格。2023年前半/登録年との差は特定できないためMY2023の残価分母には厳密適用せず。</x:v>
      </x:c>
      <x:c r="S59" s="3" t="str">
        <x:v>価格報道（二次）</x:v>
      </x:c>
      <x:c r="T59" s="27" t="str">
        <x:v>https://autolifethailand.tv/official-price-toyota-corolla-altis-my2023/</x:v>
      </x:c>
      <x:c r="U59" s="7" t="d">
        <x:v>2026-10-08T00:00:00.000Z</x:v>
      </x:c>
    </x:row>
    <x:row r="60" ht="22" customHeight="1">
      <x:c r="A60" s="3" t="str">
        <x:v>ALTIS23_HEV GR SPORT</x:v>
      </x:c>
      <x:c r="B60" s="7" t="d">
        <x:v>2023-06-08T00:00:00.000Z</x:v>
      </x:c>
      <x:c r="C60" s="7" t="d">
        <x:v>2023-06-08T00:00:00.000Z</x:v>
      </x:c>
      <x:c r="D60" s="7"/>
      <x:c r="E60" s="3" t="str">
        <x:v>Toyota</x:v>
      </x:c>
      <x:c r="F60" s="3" t="str">
        <x:v>Corolla Altis</x:v>
      </x:c>
      <x:c r="G60" s="3" t="str">
        <x:v>HEV</x:v>
      </x:c>
      <x:c r="H60" s="3" t="str">
        <x:v>Sedan</x:v>
      </x:c>
      <x:c r="I60" s="3" t="str">
        <x:v>HEV GR SPORT</x:v>
      </x:c>
      <x:c r="J60" s="3" t="str">
        <x:v>MY2023公表価格</x:v>
      </x:c>
      <x:c r="K60" s="24" t="n">
        <x:v>1129000</x:v>
      </x:c>
      <x:c r="L60" s="24" t="n">
        <x:v>0</x:v>
      </x:c>
      <x:c r="M60" s="24" t="n">
        <x:v>0</x:v>
      </x:c>
      <x:c r="N60" s="25" t="n">
        <x:f>IF(AND(ISNUMBER(K60),ISNUMBER(L60)),K60-L60,"")</x:f>
        <x:v>1129000</x:v>
      </x:c>
      <x:c r="O60" s="25" t="n">
        <x:f>IF(AND(ISNUMBER(N60),ISNUMBER(M60)),N60-M60,"")</x:f>
        <x:v>1129000</x:v>
      </x:c>
      <x:c r="P60" s="26" t="n">
        <x:f>IF(AND(ISNUMBER(K60),ISNUMBER(L60)),L60/K60,"")</x:f>
        <x:v>0</x:v>
      </x:c>
      <x:c r="Q60" s="3" t="str"/>
      <x:c r="R60" s="3" t="str">
        <x:v>6月改良の価格。2023年前半/登録年との差は特定できないためMY2023の残価分母には厳密適用せず。</x:v>
      </x:c>
      <x:c r="S60" s="3" t="str">
        <x:v>価格報道（二次）</x:v>
      </x:c>
      <x:c r="T60" s="27" t="str">
        <x:v>https://autolifethailand.tv/official-price-toyota-corolla-altis-my2023/</x:v>
      </x:c>
      <x:c r="U60" s="7" t="d">
        <x:v>2026-10-08T00:00:00.000Z</x:v>
      </x:c>
    </x:row>
    <x:row r="61" ht="22" customHeight="1">
      <x:c r="A61" s="3" t="str">
        <x:v>ALTIS26_HEV PREMIUM</x:v>
      </x:c>
      <x:c r="B61" s="7" t="d">
        <x:v>2026-10-08T00:00:00.000Z</x:v>
      </x:c>
      <x:c r="C61" s="7"/>
      <x:c r="D61" s="7"/>
      <x:c r="E61" s="3" t="str">
        <x:v>Toyota</x:v>
      </x:c>
      <x:c r="F61" s="3" t="str">
        <x:v>Corolla Altis</x:v>
      </x:c>
      <x:c r="G61" s="3" t="str">
        <x:v>HEV</x:v>
      </x:c>
      <x:c r="H61" s="3" t="str">
        <x:v>Sedan</x:v>
      </x:c>
      <x:c r="I61" s="3" t="str">
        <x:v>HEV PREMIUM</x:v>
      </x:c>
      <x:c r="J61" s="3" t="str">
        <x:v>取得時公式掲載価格</x:v>
      </x:c>
      <x:c r="K61" s="24" t="n">
        <x:v>1009000</x:v>
      </x:c>
      <x:c r="L61" s="24" t="n">
        <x:v>0</x:v>
      </x:c>
      <x:c r="M61" s="24" t="n">
        <x:v>0</x:v>
      </x:c>
      <x:c r="N61" s="25" t="n">
        <x:f>IF(AND(ISNUMBER(K61),ISNUMBER(L61)),K61-L61,"")</x:f>
        <x:v>1009000</x:v>
      </x:c>
      <x:c r="O61" s="25" t="n">
        <x:f>IF(AND(ISNUMBER(N61),ISNUMBER(M61)),N61-M61,"")</x:f>
        <x:v>1009000</x:v>
      </x:c>
      <x:c r="P61" s="26" t="n">
        <x:f>IF(AND(ISNUMBER(K61),ISNUMBER(L61)),L61/K61,"")</x:f>
        <x:v>0</x:v>
      </x:c>
      <x:c r="Q61" s="3" t="str">
        <x:v>HEV融資0.99%から、ICE1.69%＋保険等。2026/9/1–10/31。現金値引へ換算しない。</x:v>
      </x:c>
      <x:c r="R61" s="3" t="str">
        <x:v>取得時表示。中古の1.6 Gと現行1.8 Gは別グレード。</x:v>
      </x:c>
      <x:c r="S61" s="3" t="str">
        <x:v>一次資料</x:v>
      </x:c>
      <x:c r="T61" s="27" t="str">
        <x:v>https://www.toyota.co.th/en/model/altis/grade?calculator=true&amp;model=altis</x:v>
      </x:c>
      <x:c r="U61" s="7" t="d">
        <x:v>2026-10-08T00:00:00.000Z</x:v>
      </x:c>
    </x:row>
    <x:row r="62" ht="22" customHeight="1">
      <x:c r="A62" s="3" t="str">
        <x:v>ALTIS26_HEV SMART</x:v>
      </x:c>
      <x:c r="B62" s="7" t="d">
        <x:v>2026-10-08T00:00:00.000Z</x:v>
      </x:c>
      <x:c r="C62" s="7"/>
      <x:c r="D62" s="7"/>
      <x:c r="E62" s="3" t="str">
        <x:v>Toyota</x:v>
      </x:c>
      <x:c r="F62" s="3" t="str">
        <x:v>Corolla Altis</x:v>
      </x:c>
      <x:c r="G62" s="3" t="str">
        <x:v>HEV</x:v>
      </x:c>
      <x:c r="H62" s="3" t="str">
        <x:v>Sedan</x:v>
      </x:c>
      <x:c r="I62" s="3" t="str">
        <x:v>HEV SMART</x:v>
      </x:c>
      <x:c r="J62" s="3" t="str">
        <x:v>取得時公式掲載価格</x:v>
      </x:c>
      <x:c r="K62" s="24" t="n">
        <x:v>949000</x:v>
      </x:c>
      <x:c r="L62" s="24" t="n">
        <x:v>0</x:v>
      </x:c>
      <x:c r="M62" s="24" t="n">
        <x:v>0</x:v>
      </x:c>
      <x:c r="N62" s="25" t="n">
        <x:f>IF(AND(ISNUMBER(K62),ISNUMBER(L62)),K62-L62,"")</x:f>
        <x:v>949000</x:v>
      </x:c>
      <x:c r="O62" s="25" t="n">
        <x:f>IF(AND(ISNUMBER(N62),ISNUMBER(M62)),N62-M62,"")</x:f>
        <x:v>949000</x:v>
      </x:c>
      <x:c r="P62" s="26" t="n">
        <x:f>IF(AND(ISNUMBER(K62),ISNUMBER(L62)),L62/K62,"")</x:f>
        <x:v>0</x:v>
      </x:c>
      <x:c r="Q62" s="3" t="str">
        <x:v>HEV融資0.99%から、ICE1.69%＋保険等。2026/9/1–10/31。現金値引へ換算しない。</x:v>
      </x:c>
      <x:c r="R62" s="3" t="str">
        <x:v>取得時表示。中古の1.6 Gと現行1.8 Gは別グレード。</x:v>
      </x:c>
      <x:c r="S62" s="3" t="str">
        <x:v>一次資料</x:v>
      </x:c>
      <x:c r="T62" s="27" t="str">
        <x:v>https://www.toyota.co.th/en/model/altis/grade?calculator=true&amp;model=altis</x:v>
      </x:c>
      <x:c r="U62" s="7" t="d">
        <x:v>2026-10-08T00:00:00.000Z</x:v>
      </x:c>
    </x:row>
    <x:row r="63" ht="22" customHeight="1">
      <x:c r="A63" s="3" t="str">
        <x:v>ALTIS26_1.8 G</x:v>
      </x:c>
      <x:c r="B63" s="7" t="d">
        <x:v>2026-10-08T00:00:00.000Z</x:v>
      </x:c>
      <x:c r="C63" s="7"/>
      <x:c r="D63" s="7"/>
      <x:c r="E63" s="3" t="str">
        <x:v>Toyota</x:v>
      </x:c>
      <x:c r="F63" s="3" t="str">
        <x:v>Corolla Altis</x:v>
      </x:c>
      <x:c r="G63" s="3" t="str">
        <x:v>ICE</x:v>
      </x:c>
      <x:c r="H63" s="3" t="str">
        <x:v>Sedan</x:v>
      </x:c>
      <x:c r="I63" s="3" t="str">
        <x:v>1.8 G</x:v>
      </x:c>
      <x:c r="J63" s="3" t="str">
        <x:v>取得時公式掲載価格</x:v>
      </x:c>
      <x:c r="K63" s="24" t="n">
        <x:v>909000</x:v>
      </x:c>
      <x:c r="L63" s="24" t="n">
        <x:v>0</x:v>
      </x:c>
      <x:c r="M63" s="24" t="n">
        <x:v>0</x:v>
      </x:c>
      <x:c r="N63" s="25" t="n">
        <x:f>IF(AND(ISNUMBER(K63),ISNUMBER(L63)),K63-L63,"")</x:f>
        <x:v>909000</x:v>
      </x:c>
      <x:c r="O63" s="25" t="n">
        <x:f>IF(AND(ISNUMBER(N63),ISNUMBER(M63)),N63-M63,"")</x:f>
        <x:v>909000</x:v>
      </x:c>
      <x:c r="P63" s="26" t="n">
        <x:f>IF(AND(ISNUMBER(K63),ISNUMBER(L63)),L63/K63,"")</x:f>
        <x:v>0</x:v>
      </x:c>
      <x:c r="Q63" s="3" t="str">
        <x:v>HEV融資0.99%から、ICE1.69%＋保険等。2026/9/1–10/31。現金値引へ換算しない。</x:v>
      </x:c>
      <x:c r="R63" s="3" t="str">
        <x:v>取得時表示。中古の1.6 Gと現行1.8 Gは別グレード。</x:v>
      </x:c>
      <x:c r="S63" s="3" t="str">
        <x:v>一次資料</x:v>
      </x:c>
      <x:c r="T63" s="27" t="str">
        <x:v>https://www.toyota.co.th/en/model/altis/grade?calculator=true&amp;model=altis</x:v>
      </x:c>
      <x:c r="U63" s="7" t="d">
        <x:v>2026-10-08T00:00:00.000Z</x:v>
      </x:c>
    </x:row>
    <x:row r="64" ht="22" customHeight="1">
      <x:c r="A64" s="3" t="str">
        <x:v>ATIV22_SPORT</x:v>
      </x:c>
      <x:c r="B64" s="7" t="d">
        <x:v>2022-08-09T00:00:00.000Z</x:v>
      </x:c>
      <x:c r="C64" s="7" t="d">
        <x:v>2022-08-09T00:00:00.000Z</x:v>
      </x:c>
      <x:c r="D64" s="7"/>
      <x:c r="E64" s="3" t="str">
        <x:v>Toyota</x:v>
      </x:c>
      <x:c r="F64" s="3" t="str">
        <x:v>Yaris Ativ</x:v>
      </x:c>
      <x:c r="G64" s="3" t="str">
        <x:v>ICE</x:v>
      </x:c>
      <x:c r="H64" s="3" t="str">
        <x:v>Sedan</x:v>
      </x:c>
      <x:c r="I64" s="3" t="str">
        <x:v>SPORT</x:v>
      </x:c>
      <x:c r="J64" s="3" t="str">
        <x:v>2022新世代発売価格</x:v>
      </x:c>
      <x:c r="K64" s="24" t="n">
        <x:v>539000</x:v>
      </x:c>
      <x:c r="L64" s="24" t="n">
        <x:v>0</x:v>
      </x:c>
      <x:c r="M64" s="24" t="n">
        <x:v>0</x:v>
      </x:c>
      <x:c r="N64" s="25" t="n">
        <x:f>IF(AND(ISNUMBER(K64),ISNUMBER(L64)),K64-L64,"")</x:f>
        <x:v>539000</x:v>
      </x:c>
      <x:c r="O64" s="25" t="n">
        <x:f>IF(AND(ISNUMBER(N64),ISNUMBER(M64)),N64-M64,"")</x:f>
        <x:v>539000</x:v>
      </x:c>
      <x:c r="P64" s="26" t="n">
        <x:f>IF(AND(ISNUMBER(K64),ISNUMBER(L64)),L64/K64,"")</x:f>
        <x:v>0</x:v>
      </x:c>
      <x:c r="Q64" s="3" t="str"/>
      <x:c r="R64" s="3" t="str">
        <x:v>2022新世代DNGA。2022掲載年式は旧世代と混在するため世代不明車へ残価分母を適用しない。</x:v>
      </x:c>
      <x:c r="S64" s="3" t="str">
        <x:v>価格報道（二次）</x:v>
      </x:c>
      <x:c r="T64" s="27" t="str">
        <x:v>https://autolifethailand.tv/spec-option-toyota-yaris-ativ-2022/</x:v>
      </x:c>
      <x:c r="U64" s="7" t="d">
        <x:v>2026-10-08T00:00:00.000Z</x:v>
      </x:c>
    </x:row>
    <x:row r="65" ht="22" customHeight="1">
      <x:c r="A65" s="3" t="str">
        <x:v>ATIV22_SMART</x:v>
      </x:c>
      <x:c r="B65" s="7" t="d">
        <x:v>2022-08-09T00:00:00.000Z</x:v>
      </x:c>
      <x:c r="C65" s="7" t="d">
        <x:v>2022-08-09T00:00:00.000Z</x:v>
      </x:c>
      <x:c r="D65" s="7"/>
      <x:c r="E65" s="3" t="str">
        <x:v>Toyota</x:v>
      </x:c>
      <x:c r="F65" s="3" t="str">
        <x:v>Yaris Ativ</x:v>
      </x:c>
      <x:c r="G65" s="3" t="str">
        <x:v>ICE</x:v>
      </x:c>
      <x:c r="H65" s="3" t="str">
        <x:v>Sedan</x:v>
      </x:c>
      <x:c r="I65" s="3" t="str">
        <x:v>SMART</x:v>
      </x:c>
      <x:c r="J65" s="3" t="str">
        <x:v>2022新世代発売価格</x:v>
      </x:c>
      <x:c r="K65" s="24" t="n">
        <x:v>584000</x:v>
      </x:c>
      <x:c r="L65" s="24" t="n">
        <x:v>0</x:v>
      </x:c>
      <x:c r="M65" s="24" t="n">
        <x:v>0</x:v>
      </x:c>
      <x:c r="N65" s="25" t="n">
        <x:f>IF(AND(ISNUMBER(K65),ISNUMBER(L65)),K65-L65,"")</x:f>
        <x:v>584000</x:v>
      </x:c>
      <x:c r="O65" s="25" t="n">
        <x:f>IF(AND(ISNUMBER(N65),ISNUMBER(M65)),N65-M65,"")</x:f>
        <x:v>584000</x:v>
      </x:c>
      <x:c r="P65" s="26" t="n">
        <x:f>IF(AND(ISNUMBER(K65),ISNUMBER(L65)),L65/K65,"")</x:f>
        <x:v>0</x:v>
      </x:c>
      <x:c r="Q65" s="3" t="str"/>
      <x:c r="R65" s="3" t="str">
        <x:v>2022新世代DNGA。2022掲載年式は旧世代と混在するため世代不明車へ残価分母を適用しない。</x:v>
      </x:c>
      <x:c r="S65" s="3" t="str">
        <x:v>価格報道（二次）</x:v>
      </x:c>
      <x:c r="T65" s="27" t="str">
        <x:v>https://autolifethailand.tv/spec-option-toyota-yaris-ativ-2022/</x:v>
      </x:c>
      <x:c r="U65" s="7" t="d">
        <x:v>2026-10-08T00:00:00.000Z</x:v>
      </x:c>
    </x:row>
    <x:row r="66" ht="22" customHeight="1">
      <x:c r="A66" s="3" t="str">
        <x:v>ATIV22_PREMIUM</x:v>
      </x:c>
      <x:c r="B66" s="7" t="d">
        <x:v>2022-08-09T00:00:00.000Z</x:v>
      </x:c>
      <x:c r="C66" s="7" t="d">
        <x:v>2022-08-09T00:00:00.000Z</x:v>
      </x:c>
      <x:c r="D66" s="7"/>
      <x:c r="E66" s="3" t="str">
        <x:v>Toyota</x:v>
      </x:c>
      <x:c r="F66" s="3" t="str">
        <x:v>Yaris Ativ</x:v>
      </x:c>
      <x:c r="G66" s="3" t="str">
        <x:v>ICE</x:v>
      </x:c>
      <x:c r="H66" s="3" t="str">
        <x:v>Sedan</x:v>
      </x:c>
      <x:c r="I66" s="3" t="str">
        <x:v>PREMIUM</x:v>
      </x:c>
      <x:c r="J66" s="3" t="str">
        <x:v>2022新世代発売価格</x:v>
      </x:c>
      <x:c r="K66" s="24" t="n">
        <x:v>659000</x:v>
      </x:c>
      <x:c r="L66" s="24" t="n">
        <x:v>0</x:v>
      </x:c>
      <x:c r="M66" s="24" t="n">
        <x:v>0</x:v>
      </x:c>
      <x:c r="N66" s="25" t="n">
        <x:f>IF(AND(ISNUMBER(K66),ISNUMBER(L66)),K66-L66,"")</x:f>
        <x:v>659000</x:v>
      </x:c>
      <x:c r="O66" s="25" t="n">
        <x:f>IF(AND(ISNUMBER(N66),ISNUMBER(M66)),N66-M66,"")</x:f>
        <x:v>659000</x:v>
      </x:c>
      <x:c r="P66" s="26" t="n">
        <x:f>IF(AND(ISNUMBER(K66),ISNUMBER(L66)),L66/K66,"")</x:f>
        <x:v>0</x:v>
      </x:c>
      <x:c r="Q66" s="3" t="str"/>
      <x:c r="R66" s="3" t="str">
        <x:v>2022新世代DNGA。2022掲載年式は旧世代と混在するため世代不明車へ残価分母を適用しない。</x:v>
      </x:c>
      <x:c r="S66" s="3" t="str">
        <x:v>価格報道（二次）</x:v>
      </x:c>
      <x:c r="T66" s="27" t="str">
        <x:v>https://autolifethailand.tv/spec-option-toyota-yaris-ativ-2022/</x:v>
      </x:c>
      <x:c r="U66" s="7" t="d">
        <x:v>2026-10-08T00:00:00.000Z</x:v>
      </x:c>
    </x:row>
    <x:row r="67" ht="22" customHeight="1">
      <x:c r="A67" s="3" t="str">
        <x:v>ATIV22_PREMIUM LUXURY</x:v>
      </x:c>
      <x:c r="B67" s="7" t="d">
        <x:v>2022-08-09T00:00:00.000Z</x:v>
      </x:c>
      <x:c r="C67" s="7" t="d">
        <x:v>2022-08-09T00:00:00.000Z</x:v>
      </x:c>
      <x:c r="D67" s="7"/>
      <x:c r="E67" s="3" t="str">
        <x:v>Toyota</x:v>
      </x:c>
      <x:c r="F67" s="3" t="str">
        <x:v>Yaris Ativ</x:v>
      </x:c>
      <x:c r="G67" s="3" t="str">
        <x:v>ICE</x:v>
      </x:c>
      <x:c r="H67" s="3" t="str">
        <x:v>Sedan</x:v>
      </x:c>
      <x:c r="I67" s="3" t="str">
        <x:v>PREMIUM LUXURY</x:v>
      </x:c>
      <x:c r="J67" s="3" t="str">
        <x:v>2022新世代発売価格</x:v>
      </x:c>
      <x:c r="K67" s="24" t="n">
        <x:v>689000</x:v>
      </x:c>
      <x:c r="L67" s="24" t="n">
        <x:v>0</x:v>
      </x:c>
      <x:c r="M67" s="24" t="n">
        <x:v>0</x:v>
      </x:c>
      <x:c r="N67" s="25" t="n">
        <x:f>IF(AND(ISNUMBER(K67),ISNUMBER(L67)),K67-L67,"")</x:f>
        <x:v>689000</x:v>
      </x:c>
      <x:c r="O67" s="25" t="n">
        <x:f>IF(AND(ISNUMBER(N67),ISNUMBER(M67)),N67-M67,"")</x:f>
        <x:v>689000</x:v>
      </x:c>
      <x:c r="P67" s="26" t="n">
        <x:f>IF(AND(ISNUMBER(K67),ISNUMBER(L67)),L67/K67,"")</x:f>
        <x:v>0</x:v>
      </x:c>
      <x:c r="Q67" s="3" t="str"/>
      <x:c r="R67" s="3" t="str">
        <x:v>2022新世代DNGA。2022掲載年式は旧世代と混在するため世代不明車へ残価分母を適用しない。</x:v>
      </x:c>
      <x:c r="S67" s="3" t="str">
        <x:v>価格報道（二次）</x:v>
      </x:c>
      <x:c r="T67" s="27" t="str">
        <x:v>https://autolifethailand.tv/spec-option-toyota-yaris-ativ-2022/</x:v>
      </x:c>
      <x:c r="U67" s="7" t="d">
        <x:v>2026-10-08T00:00:00.000Z</x:v>
      </x:c>
    </x:row>
    <x:row r="68" ht="22" customHeight="1">
      <x:c r="A68" s="3" t="str">
        <x:v>ATIV26_SPORT</x:v>
      </x:c>
      <x:c r="B68" s="7" t="d">
        <x:v>2026-10-08T00:00:00.000Z</x:v>
      </x:c>
      <x:c r="C68" s="7"/>
      <x:c r="D68" s="7"/>
      <x:c r="E68" s="3" t="str">
        <x:v>Toyota</x:v>
      </x:c>
      <x:c r="F68" s="3" t="str">
        <x:v>Yaris Ativ</x:v>
      </x:c>
      <x:c r="G68" s="3" t="str">
        <x:v>ICE</x:v>
      </x:c>
      <x:c r="H68" s="3" t="str">
        <x:v>Sedan</x:v>
      </x:c>
      <x:c r="I68" s="3" t="str">
        <x:v>SPORT</x:v>
      </x:c>
      <x:c r="J68" s="3" t="str">
        <x:v>取得時公式掲載価格</x:v>
      </x:c>
      <x:c r="K68" s="24" t="n">
        <x:v>569000</x:v>
      </x:c>
      <x:c r="L68" s="24" t="n">
        <x:v>0</x:v>
      </x:c>
      <x:c r="M68" s="24" t="n">
        <x:v>0</x:v>
      </x:c>
      <x:c r="N68" s="25" t="n">
        <x:f>IF(AND(ISNUMBER(K68),ISNUMBER(L68)),K68-L68,"")</x:f>
        <x:v>569000</x:v>
      </x:c>
      <x:c r="O68" s="25" t="n">
        <x:f>IF(AND(ISNUMBER(N68),ISNUMBER(M68)),N68-M68,"")</x:f>
        <x:v>569000</x:v>
      </x:c>
      <x:c r="P68" s="26" t="n">
        <x:f>IF(AND(ISNUMBER(K68),ISNUMBER(L68)),L68/K68,"")</x:f>
        <x:v>0</x:v>
      </x:c>
      <x:c r="Q68" s="3" t="str">
        <x:v>融資/保険/頭金優遇は2026/9/1–10/31、現金値引へ換算しない。</x:v>
      </x:c>
      <x:c r="R68" s="3" t="str">
        <x:v>MY/価格改定開始日は別途不明。</x:v>
      </x:c>
      <x:c r="S68" s="3" t="str">
        <x:v>一次資料</x:v>
      </x:c>
      <x:c r="T68" s="27" t="str">
        <x:v>https://www.toyota.co.th/model/yarisativ/grade</x:v>
      </x:c>
      <x:c r="U68" s="7" t="d">
        <x:v>2026-10-08T00:00:00.000Z</x:v>
      </x:c>
    </x:row>
    <x:row r="69" ht="22" customHeight="1">
      <x:c r="A69" s="3" t="str">
        <x:v>ATIV26_SMART</x:v>
      </x:c>
      <x:c r="B69" s="7" t="d">
        <x:v>2026-10-08T00:00:00.000Z</x:v>
      </x:c>
      <x:c r="C69" s="7"/>
      <x:c r="D69" s="7"/>
      <x:c r="E69" s="3" t="str">
        <x:v>Toyota</x:v>
      </x:c>
      <x:c r="F69" s="3" t="str">
        <x:v>Yaris Ativ</x:v>
      </x:c>
      <x:c r="G69" s="3" t="str">
        <x:v>ICE</x:v>
      </x:c>
      <x:c r="H69" s="3" t="str">
        <x:v>Sedan</x:v>
      </x:c>
      <x:c r="I69" s="3" t="str">
        <x:v>SMART</x:v>
      </x:c>
      <x:c r="J69" s="3" t="str">
        <x:v>取得時公式掲載価格</x:v>
      </x:c>
      <x:c r="K69" s="24" t="n">
        <x:v>599000</x:v>
      </x:c>
      <x:c r="L69" s="24" t="n">
        <x:v>0</x:v>
      </x:c>
      <x:c r="M69" s="24" t="n">
        <x:v>0</x:v>
      </x:c>
      <x:c r="N69" s="25" t="n">
        <x:f>IF(AND(ISNUMBER(K69),ISNUMBER(L69)),K69-L69,"")</x:f>
        <x:v>599000</x:v>
      </x:c>
      <x:c r="O69" s="25" t="n">
        <x:f>IF(AND(ISNUMBER(N69),ISNUMBER(M69)),N69-M69,"")</x:f>
        <x:v>599000</x:v>
      </x:c>
      <x:c r="P69" s="26" t="n">
        <x:f>IF(AND(ISNUMBER(K69),ISNUMBER(L69)),L69/K69,"")</x:f>
        <x:v>0</x:v>
      </x:c>
      <x:c r="Q69" s="3" t="str">
        <x:v>融資/保険/頭金優遇は2026/9/1–10/31、現金値引へ換算しない。</x:v>
      </x:c>
      <x:c r="R69" s="3" t="str">
        <x:v>MY/価格改定開始日は別途不明。</x:v>
      </x:c>
      <x:c r="S69" s="3" t="str">
        <x:v>一次資料</x:v>
      </x:c>
      <x:c r="T69" s="27" t="str">
        <x:v>https://www.toyota.co.th/model/yarisativ/grade</x:v>
      </x:c>
      <x:c r="U69" s="7" t="d">
        <x:v>2026-10-08T00:00:00.000Z</x:v>
      </x:c>
    </x:row>
    <x:row r="70" ht="22" customHeight="1">
      <x:c r="A70" s="3" t="str">
        <x:v>ATIV26_PREMIUM</x:v>
      </x:c>
      <x:c r="B70" s="7" t="d">
        <x:v>2026-10-08T00:00:00.000Z</x:v>
      </x:c>
      <x:c r="C70" s="7"/>
      <x:c r="D70" s="7"/>
      <x:c r="E70" s="3" t="str">
        <x:v>Toyota</x:v>
      </x:c>
      <x:c r="F70" s="3" t="str">
        <x:v>Yaris Ativ</x:v>
      </x:c>
      <x:c r="G70" s="3" t="str">
        <x:v>ICE</x:v>
      </x:c>
      <x:c r="H70" s="3" t="str">
        <x:v>Sedan</x:v>
      </x:c>
      <x:c r="I70" s="3" t="str">
        <x:v>PREMIUM</x:v>
      </x:c>
      <x:c r="J70" s="3" t="str">
        <x:v>取得時公式掲載価格</x:v>
      </x:c>
      <x:c r="K70" s="24" t="n">
        <x:v>679000</x:v>
      </x:c>
      <x:c r="L70" s="24" t="n">
        <x:v>0</x:v>
      </x:c>
      <x:c r="M70" s="24" t="n">
        <x:v>0</x:v>
      </x:c>
      <x:c r="N70" s="25" t="n">
        <x:f>IF(AND(ISNUMBER(K70),ISNUMBER(L70)),K70-L70,"")</x:f>
        <x:v>679000</x:v>
      </x:c>
      <x:c r="O70" s="25" t="n">
        <x:f>IF(AND(ISNUMBER(N70),ISNUMBER(M70)),N70-M70,"")</x:f>
        <x:v>679000</x:v>
      </x:c>
      <x:c r="P70" s="26" t="n">
        <x:f>IF(AND(ISNUMBER(K70),ISNUMBER(L70)),L70/K70,"")</x:f>
        <x:v>0</x:v>
      </x:c>
      <x:c r="Q70" s="3" t="str">
        <x:v>融資/保険/頭金優遇は2026/9/1–10/31、現金値引へ換算しない。</x:v>
      </x:c>
      <x:c r="R70" s="3" t="str">
        <x:v>MY/価格改定開始日は別途不明。</x:v>
      </x:c>
      <x:c r="S70" s="3" t="str">
        <x:v>一次資料</x:v>
      </x:c>
      <x:c r="T70" s="27" t="str">
        <x:v>https://www.toyota.co.th/model/yarisativ/grade</x:v>
      </x:c>
      <x:c r="U70" s="7" t="d">
        <x:v>2026-10-08T00:00:00.000Z</x:v>
      </x:c>
    </x:row>
    <x:row r="71" ht="22" customHeight="1">
      <x:c r="A71" s="3" t="str">
        <x:v>ATIV26_PREMIUM LUXURY</x:v>
      </x:c>
      <x:c r="B71" s="7" t="d">
        <x:v>2026-10-08T00:00:00.000Z</x:v>
      </x:c>
      <x:c r="C71" s="7"/>
      <x:c r="D71" s="7"/>
      <x:c r="E71" s="3" t="str">
        <x:v>Toyota</x:v>
      </x:c>
      <x:c r="F71" s="3" t="str">
        <x:v>Yaris Ativ</x:v>
      </x:c>
      <x:c r="G71" s="3" t="str">
        <x:v>ICE</x:v>
      </x:c>
      <x:c r="H71" s="3" t="str">
        <x:v>Sedan</x:v>
      </x:c>
      <x:c r="I71" s="3" t="str">
        <x:v>PREMIUM LUXURY</x:v>
      </x:c>
      <x:c r="J71" s="3" t="str">
        <x:v>取得時公式掲載価格</x:v>
      </x:c>
      <x:c r="K71" s="24" t="n">
        <x:v>709000</x:v>
      </x:c>
      <x:c r="L71" s="24" t="n">
        <x:v>0</x:v>
      </x:c>
      <x:c r="M71" s="24" t="n">
        <x:v>0</x:v>
      </x:c>
      <x:c r="N71" s="25" t="n">
        <x:f>IF(AND(ISNUMBER(K71),ISNUMBER(L71)),K71-L71,"")</x:f>
        <x:v>709000</x:v>
      </x:c>
      <x:c r="O71" s="25" t="n">
        <x:f>IF(AND(ISNUMBER(N71),ISNUMBER(M71)),N71-M71,"")</x:f>
        <x:v>709000</x:v>
      </x:c>
      <x:c r="P71" s="26" t="n">
        <x:f>IF(AND(ISNUMBER(K71),ISNUMBER(L71)),L71/K71,"")</x:f>
        <x:v>0</x:v>
      </x:c>
      <x:c r="Q71" s="3" t="str">
        <x:v>融資/保険/頭金優遇は2026/9/1–10/31、現金値引へ換算しない。</x:v>
      </x:c>
      <x:c r="R71" s="3" t="str">
        <x:v>MY/価格改定開始日は別途不明。</x:v>
      </x:c>
      <x:c r="S71" s="3" t="str">
        <x:v>一次資料</x:v>
      </x:c>
      <x:c r="T71" s="27" t="str">
        <x:v>https://www.toyota.co.th/model/yarisativ/grade</x:v>
      </x:c>
      <x:c r="U71" s="7" t="d">
        <x:v>2026-10-08T00:00:00.000Z</x:v>
      </x:c>
    </x:row>
    <x:row r="72" ht="22" customHeight="1">
      <x:c r="A72" s="3" t="str">
        <x:v>ATIV26_NIGHTSHADE</x:v>
      </x:c>
      <x:c r="B72" s="7" t="d">
        <x:v>2026-10-08T00:00:00.000Z</x:v>
      </x:c>
      <x:c r="C72" s="7"/>
      <x:c r="D72" s="7"/>
      <x:c r="E72" s="3" t="str">
        <x:v>Toyota</x:v>
      </x:c>
      <x:c r="F72" s="3" t="str">
        <x:v>Yaris Ativ</x:v>
      </x:c>
      <x:c r="G72" s="3" t="str">
        <x:v>ICE</x:v>
      </x:c>
      <x:c r="H72" s="3" t="str">
        <x:v>Sedan</x:v>
      </x:c>
      <x:c r="I72" s="3" t="str">
        <x:v>NIGHTSHADE</x:v>
      </x:c>
      <x:c r="J72" s="3" t="str">
        <x:v>取得時公式掲載価格</x:v>
      </x:c>
      <x:c r="K72" s="24" t="n">
        <x:v>709000</x:v>
      </x:c>
      <x:c r="L72" s="24" t="n">
        <x:v>0</x:v>
      </x:c>
      <x:c r="M72" s="24" t="n">
        <x:v>0</x:v>
      </x:c>
      <x:c r="N72" s="25" t="n">
        <x:f>IF(AND(ISNUMBER(K72),ISNUMBER(L72)),K72-L72,"")</x:f>
        <x:v>709000</x:v>
      </x:c>
      <x:c r="O72" s="25" t="n">
        <x:f>IF(AND(ISNUMBER(N72),ISNUMBER(M72)),N72-M72,"")</x:f>
        <x:v>709000</x:v>
      </x:c>
      <x:c r="P72" s="26" t="n">
        <x:f>IF(AND(ISNUMBER(K72),ISNUMBER(L72)),L72/K72,"")</x:f>
        <x:v>0</x:v>
      </x:c>
      <x:c r="Q72" s="3" t="str">
        <x:v>融資/保険/頭金優遇は2026/9/1–10/31、現金値引へ換算しない。</x:v>
      </x:c>
      <x:c r="R72" s="3" t="str">
        <x:v>MY/価格改定開始日は別途不明。</x:v>
      </x:c>
      <x:c r="S72" s="3" t="str">
        <x:v>一次資料</x:v>
      </x:c>
      <x:c r="T72" s="27" t="str">
        <x:v>https://www.toyota.co.th/model/yarisativ/grade</x:v>
      </x:c>
      <x:c r="U72" s="7" t="d">
        <x:v>2026-10-08T00:00:00.000Z</x:v>
      </x:c>
    </x:row>
    <x:row r="73" ht="22" customHeight="1">
      <x:c r="A73" s="3" t="str">
        <x:v>ATIV26_HEV PREMIUM</x:v>
      </x:c>
      <x:c r="B73" s="7" t="d">
        <x:v>2026-10-08T00:00:00.000Z</x:v>
      </x:c>
      <x:c r="C73" s="7"/>
      <x:c r="D73" s="7"/>
      <x:c r="E73" s="3" t="str">
        <x:v>Toyota</x:v>
      </x:c>
      <x:c r="F73" s="3" t="str">
        <x:v>Yaris Ativ</x:v>
      </x:c>
      <x:c r="G73" s="3" t="str">
        <x:v>HEV</x:v>
      </x:c>
      <x:c r="H73" s="3" t="str">
        <x:v>Sedan</x:v>
      </x:c>
      <x:c r="I73" s="3" t="str">
        <x:v>HEV PREMIUM</x:v>
      </x:c>
      <x:c r="J73" s="3" t="str">
        <x:v>取得時公式掲載価格</x:v>
      </x:c>
      <x:c r="K73" s="24" t="n">
        <x:v>729000</x:v>
      </x:c>
      <x:c r="L73" s="24" t="n">
        <x:v>0</x:v>
      </x:c>
      <x:c r="M73" s="24" t="n">
        <x:v>0</x:v>
      </x:c>
      <x:c r="N73" s="25" t="n">
        <x:f>IF(AND(ISNUMBER(K73),ISNUMBER(L73)),K73-L73,"")</x:f>
        <x:v>729000</x:v>
      </x:c>
      <x:c r="O73" s="25" t="n">
        <x:f>IF(AND(ISNUMBER(N73),ISNUMBER(M73)),N73-M73,"")</x:f>
        <x:v>729000</x:v>
      </x:c>
      <x:c r="P73" s="26" t="n">
        <x:f>IF(AND(ISNUMBER(K73),ISNUMBER(L73)),L73/K73,"")</x:f>
        <x:v>0</x:v>
      </x:c>
      <x:c r="Q73" s="3" t="str">
        <x:v>融資/保険/頭金優遇は2026/9/1–10/31、現金値引へ換算しない。</x:v>
      </x:c>
      <x:c r="R73" s="3" t="str">
        <x:v>MY/価格改定開始日は別途不明。</x:v>
      </x:c>
      <x:c r="S73" s="3" t="str">
        <x:v>一次資料</x:v>
      </x:c>
      <x:c r="T73" s="27" t="str">
        <x:v>https://www.toyota.co.th/model/yarisativ/grade</x:v>
      </x:c>
      <x:c r="U73" s="7" t="d">
        <x:v>2026-10-08T00:00:00.000Z</x:v>
      </x:c>
    </x:row>
    <x:row r="74" ht="22" customHeight="1">
      <x:c r="A74" s="3" t="str">
        <x:v>HILUX20_SMART CAB_ENTRY_MT</x:v>
      </x:c>
      <x:c r="B74" s="7"/>
      <x:c r="C74" s="7"/>
      <x:c r="D74" s="7"/>
      <x:c r="E74" s="3" t="str">
        <x:v>Toyota</x:v>
      </x:c>
      <x:c r="F74" s="3" t="str">
        <x:v>Hilux Revo</x:v>
      </x:c>
      <x:c r="G74" s="3" t="str">
        <x:v>ICE</x:v>
      </x:c>
      <x:c r="H74" s="3" t="str">
        <x:v>Pickup</x:v>
      </x:c>
      <x:c r="I74" s="3" t="str">
        <x:v>2.4 Z EDITION ENTRY SMART CAB MT</x:v>
      </x:c>
      <x:c r="J74" s="3" t="str">
        <x:v>2020改良公式価格表</x:v>
      </x:c>
      <x:c r="K74" s="24" t="n">
        <x:v>619000</x:v>
      </x:c>
      <x:c r="L74" s="24" t="n">
        <x:v>0</x:v>
      </x:c>
      <x:c r="M74" s="24" t="n">
        <x:v>0</x:v>
      </x:c>
      <x:c r="N74" s="25" t="n">
        <x:f>IF(AND(ISNUMBER(K74),ISNUMBER(L74)),K74-L74,"")</x:f>
        <x:v>619000</x:v>
      </x:c>
      <x:c r="O74" s="25" t="n">
        <x:f>IF(AND(ISNUMBER(N74),ISNUMBER(M74)),N74-M74,"")</x:f>
        <x:v>619000</x:v>
      </x:c>
      <x:c r="P74" s="26" t="n">
        <x:f>IF(AND(ISNUMBER(K74),ISNUMBER(L74)),L74/K74,"")</x:f>
        <x:v>0</x:v>
      </x:c>
      <x:c r="Q74" s="3" t="str"/>
      <x:c r="R74" s="3" t="str">
        <x:v>2020改良。発効日は資料に記載なし。Metallic塗装・VAT7%込。Super Whiteは7千THB低い。年式/MT・AT未確認車の残価分母へ適用しない。</x:v>
      </x:c>
      <x:c r="S74" s="3" t="str">
        <x:v>一次資料（PDF）</x:v>
      </x:c>
      <x:c r="T74" s="27" t="str">
        <x:v>https://www.toyota.co.th/media/news/document/37b79511985a66c57f4aa3e4aac8b26386a294c2.pdf</x:v>
      </x:c>
      <x:c r="U74" s="7" t="d">
        <x:v>2026-10-08T00:00:00.000Z</x:v>
      </x:c>
    </x:row>
    <x:row r="75" ht="22" customHeight="1">
      <x:c r="A75" s="3" t="str">
        <x:v>HILUX20_SMART CAB_ENTRY_AT</x:v>
      </x:c>
      <x:c r="B75" s="7"/>
      <x:c r="C75" s="7"/>
      <x:c r="D75" s="7"/>
      <x:c r="E75" s="3" t="str">
        <x:v>Toyota</x:v>
      </x:c>
      <x:c r="F75" s="3" t="str">
        <x:v>Hilux Revo</x:v>
      </x:c>
      <x:c r="G75" s="3" t="str">
        <x:v>ICE</x:v>
      </x:c>
      <x:c r="H75" s="3" t="str">
        <x:v>Pickup</x:v>
      </x:c>
      <x:c r="I75" s="3" t="str">
        <x:v>2.4 Z EDITION ENTRY SMART CAB AT</x:v>
      </x:c>
      <x:c r="J75" s="3" t="str">
        <x:v>2020改良公式価格表</x:v>
      </x:c>
      <x:c r="K75" s="24" t="n">
        <x:v>669000</x:v>
      </x:c>
      <x:c r="L75" s="24" t="n">
        <x:v>0</x:v>
      </x:c>
      <x:c r="M75" s="24" t="n">
        <x:v>0</x:v>
      </x:c>
      <x:c r="N75" s="25" t="n">
        <x:f>IF(AND(ISNUMBER(K75),ISNUMBER(L75)),K75-L75,"")</x:f>
        <x:v>669000</x:v>
      </x:c>
      <x:c r="O75" s="25" t="n">
        <x:f>IF(AND(ISNUMBER(N75),ISNUMBER(M75)),N75-M75,"")</x:f>
        <x:v>669000</x:v>
      </x:c>
      <x:c r="P75" s="26" t="n">
        <x:f>IF(AND(ISNUMBER(K75),ISNUMBER(L75)),L75/K75,"")</x:f>
        <x:v>0</x:v>
      </x:c>
      <x:c r="Q75" s="3" t="str"/>
      <x:c r="R75" s="3" t="str">
        <x:v>2020改良。発効日は資料に記載なし。Metallic塗装・VAT7%込。Super Whiteは7千THB低い。年式/MT・AT未確認車の残価分母へ適用しない。</x:v>
      </x:c>
      <x:c r="S75" s="3" t="str">
        <x:v>一次資料（PDF）</x:v>
      </x:c>
      <x:c r="T75" s="27" t="str">
        <x:v>https://www.toyota.co.th/media/news/document/37b79511985a66c57f4aa3e4aac8b26386a294c2.pdf</x:v>
      </x:c>
      <x:c r="U75" s="7" t="d">
        <x:v>2026-10-08T00:00:00.000Z</x:v>
      </x:c>
    </x:row>
    <x:row r="76" ht="22" customHeight="1">
      <x:c r="A76" s="3" t="str">
        <x:v>HILUX20_SMART CAB_MID_MT</x:v>
      </x:c>
      <x:c r="B76" s="7"/>
      <x:c r="C76" s="7"/>
      <x:c r="D76" s="7"/>
      <x:c r="E76" s="3" t="str">
        <x:v>Toyota</x:v>
      </x:c>
      <x:c r="F76" s="3" t="str">
        <x:v>Hilux Revo</x:v>
      </x:c>
      <x:c r="G76" s="3" t="str">
        <x:v>ICE</x:v>
      </x:c>
      <x:c r="H76" s="3" t="str">
        <x:v>Pickup</x:v>
      </x:c>
      <x:c r="I76" s="3" t="str">
        <x:v>2.4 Z EDITION MID SMART CAB MT</x:v>
      </x:c>
      <x:c r="J76" s="3" t="str">
        <x:v>2020改良公式価格表</x:v>
      </x:c>
      <x:c r="K76" s="24" t="n">
        <x:v>693000</x:v>
      </x:c>
      <x:c r="L76" s="24" t="n">
        <x:v>0</x:v>
      </x:c>
      <x:c r="M76" s="24" t="n">
        <x:v>0</x:v>
      </x:c>
      <x:c r="N76" s="25" t="n">
        <x:f>IF(AND(ISNUMBER(K76),ISNUMBER(L76)),K76-L76,"")</x:f>
        <x:v>693000</x:v>
      </x:c>
      <x:c r="O76" s="25" t="n">
        <x:f>IF(AND(ISNUMBER(N76),ISNUMBER(M76)),N76-M76,"")</x:f>
        <x:v>693000</x:v>
      </x:c>
      <x:c r="P76" s="26" t="n">
        <x:f>IF(AND(ISNUMBER(K76),ISNUMBER(L76)),L76/K76,"")</x:f>
        <x:v>0</x:v>
      </x:c>
      <x:c r="Q76" s="3" t="str"/>
      <x:c r="R76" s="3" t="str">
        <x:v>2020改良。発効日は資料に記載なし。Metallic塗装・VAT7%込。Super Whiteは7千THB低い。年式/MT・AT未確認車の残価分母へ適用しない。</x:v>
      </x:c>
      <x:c r="S76" s="3" t="str">
        <x:v>一次資料（PDF）</x:v>
      </x:c>
      <x:c r="T76" s="27" t="str">
        <x:v>https://www.toyota.co.th/media/news/document/37b79511985a66c57f4aa3e4aac8b26386a294c2.pdf</x:v>
      </x:c>
      <x:c r="U76" s="7" t="d">
        <x:v>2026-10-08T00:00:00.000Z</x:v>
      </x:c>
    </x:row>
    <x:row r="77" ht="22" customHeight="1">
      <x:c r="A77" s="3" t="str">
        <x:v>HILUX20_SMART CAB_MID_AT</x:v>
      </x:c>
      <x:c r="B77" s="7"/>
      <x:c r="C77" s="7"/>
      <x:c r="D77" s="7"/>
      <x:c r="E77" s="3" t="str">
        <x:v>Toyota</x:v>
      </x:c>
      <x:c r="F77" s="3" t="str">
        <x:v>Hilux Revo</x:v>
      </x:c>
      <x:c r="G77" s="3" t="str">
        <x:v>ICE</x:v>
      </x:c>
      <x:c r="H77" s="3" t="str">
        <x:v>Pickup</x:v>
      </x:c>
      <x:c r="I77" s="3" t="str">
        <x:v>2.4 Z EDITION MID SMART CAB AT</x:v>
      </x:c>
      <x:c r="J77" s="3" t="str">
        <x:v>2020改良公式価格表</x:v>
      </x:c>
      <x:c r="K77" s="24" t="n">
        <x:v>743000</x:v>
      </x:c>
      <x:c r="L77" s="24" t="n">
        <x:v>0</x:v>
      </x:c>
      <x:c r="M77" s="24" t="n">
        <x:v>0</x:v>
      </x:c>
      <x:c r="N77" s="25" t="n">
        <x:f>IF(AND(ISNUMBER(K77),ISNUMBER(L77)),K77-L77,"")</x:f>
        <x:v>743000</x:v>
      </x:c>
      <x:c r="O77" s="25" t="n">
        <x:f>IF(AND(ISNUMBER(N77),ISNUMBER(M77)),N77-M77,"")</x:f>
        <x:v>743000</x:v>
      </x:c>
      <x:c r="P77" s="26" t="n">
        <x:f>IF(AND(ISNUMBER(K77),ISNUMBER(L77)),L77/K77,"")</x:f>
        <x:v>0</x:v>
      </x:c>
      <x:c r="Q77" s="3" t="str"/>
      <x:c r="R77" s="3" t="str">
        <x:v>2020改良。発効日は資料に記載なし。Metallic塗装・VAT7%込。Super Whiteは7千THB低い。年式/MT・AT未確認車の残価分母へ適用しない。</x:v>
      </x:c>
      <x:c r="S77" s="3" t="str">
        <x:v>一次資料（PDF）</x:v>
      </x:c>
      <x:c r="T77" s="27" t="str">
        <x:v>https://www.toyota.co.th/media/news/document/37b79511985a66c57f4aa3e4aac8b26386a294c2.pdf</x:v>
      </x:c>
      <x:c r="U77" s="7" t="d">
        <x:v>2026-10-08T00:00:00.000Z</x:v>
      </x:c>
    </x:row>
    <x:row r="78" ht="22" customHeight="1">
      <x:c r="A78" s="3" t="str">
        <x:v>HILUX20_DOUBLE CAB_ENTRY_MT</x:v>
      </x:c>
      <x:c r="B78" s="7"/>
      <x:c r="C78" s="7"/>
      <x:c r="D78" s="7"/>
      <x:c r="E78" s="3" t="str">
        <x:v>Toyota</x:v>
      </x:c>
      <x:c r="F78" s="3" t="str">
        <x:v>Hilux Revo</x:v>
      </x:c>
      <x:c r="G78" s="3" t="str">
        <x:v>ICE</x:v>
      </x:c>
      <x:c r="H78" s="3" t="str">
        <x:v>Pickup</x:v>
      </x:c>
      <x:c r="I78" s="3" t="str">
        <x:v>2.4 Z EDITION ENTRY DOUBLE CAB MT</x:v>
      </x:c>
      <x:c r="J78" s="3" t="str">
        <x:v>2020改良公式価格表</x:v>
      </x:c>
      <x:c r="K78" s="24" t="n">
        <x:v>699000</x:v>
      </x:c>
      <x:c r="L78" s="24" t="n">
        <x:v>0</x:v>
      </x:c>
      <x:c r="M78" s="24" t="n">
        <x:v>0</x:v>
      </x:c>
      <x:c r="N78" s="25" t="n">
        <x:f>IF(AND(ISNUMBER(K78),ISNUMBER(L78)),K78-L78,"")</x:f>
        <x:v>699000</x:v>
      </x:c>
      <x:c r="O78" s="25" t="n">
        <x:f>IF(AND(ISNUMBER(N78),ISNUMBER(M78)),N78-M78,"")</x:f>
        <x:v>699000</x:v>
      </x:c>
      <x:c r="P78" s="26" t="n">
        <x:f>IF(AND(ISNUMBER(K78),ISNUMBER(L78)),L78/K78,"")</x:f>
        <x:v>0</x:v>
      </x:c>
      <x:c r="Q78" s="3" t="str"/>
      <x:c r="R78" s="3" t="str">
        <x:v>2020改良。発効日は資料に記載なし。Metallic塗装・VAT7%込。Super Whiteは7千THB低い。年式/MT・AT未確認車の残価分母へ適用しない。</x:v>
      </x:c>
      <x:c r="S78" s="3" t="str">
        <x:v>一次資料（PDF）</x:v>
      </x:c>
      <x:c r="T78" s="27" t="str">
        <x:v>https://www.toyota.co.th/media/news/document/37b79511985a66c57f4aa3e4aac8b26386a294c2.pdf</x:v>
      </x:c>
      <x:c r="U78" s="7" t="d">
        <x:v>2026-10-08T00:00:00.000Z</x:v>
      </x:c>
    </x:row>
    <x:row r="79" ht="22" customHeight="1">
      <x:c r="A79" s="3" t="str">
        <x:v>HILUX20_DOUBLE CAB_ENTRY_AT</x:v>
      </x:c>
      <x:c r="B79" s="7"/>
      <x:c r="C79" s="7"/>
      <x:c r="D79" s="7"/>
      <x:c r="E79" s="3" t="str">
        <x:v>Toyota</x:v>
      </x:c>
      <x:c r="F79" s="3" t="str">
        <x:v>Hilux Revo</x:v>
      </x:c>
      <x:c r="G79" s="3" t="str">
        <x:v>ICE</x:v>
      </x:c>
      <x:c r="H79" s="3" t="str">
        <x:v>Pickup</x:v>
      </x:c>
      <x:c r="I79" s="3" t="str">
        <x:v>2.4 Z EDITION ENTRY DOUBLE CAB AT</x:v>
      </x:c>
      <x:c r="J79" s="3" t="str">
        <x:v>2020改良公式価格表</x:v>
      </x:c>
      <x:c r="K79" s="24" t="n">
        <x:v>739000</x:v>
      </x:c>
      <x:c r="L79" s="24" t="n">
        <x:v>0</x:v>
      </x:c>
      <x:c r="M79" s="24" t="n">
        <x:v>0</x:v>
      </x:c>
      <x:c r="N79" s="25" t="n">
        <x:f>IF(AND(ISNUMBER(K79),ISNUMBER(L79)),K79-L79,"")</x:f>
        <x:v>739000</x:v>
      </x:c>
      <x:c r="O79" s="25" t="n">
        <x:f>IF(AND(ISNUMBER(N79),ISNUMBER(M79)),N79-M79,"")</x:f>
        <x:v>739000</x:v>
      </x:c>
      <x:c r="P79" s="26" t="n">
        <x:f>IF(AND(ISNUMBER(K79),ISNUMBER(L79)),L79/K79,"")</x:f>
        <x:v>0</x:v>
      </x:c>
      <x:c r="Q79" s="3" t="str"/>
      <x:c r="R79" s="3" t="str">
        <x:v>2020改良。発効日は資料に記載なし。Metallic塗装・VAT7%込。Super Whiteは7千THB低い。年式/MT・AT未確認車の残価分母へ適用しない。</x:v>
      </x:c>
      <x:c r="S79" s="3" t="str">
        <x:v>一次資料（PDF）</x:v>
      </x:c>
      <x:c r="T79" s="27" t="str">
        <x:v>https://www.toyota.co.th/media/news/document/37b79511985a66c57f4aa3e4aac8b26386a294c2.pdf</x:v>
      </x:c>
      <x:c r="U79" s="7" t="d">
        <x:v>2026-10-08T00:00:00.000Z</x:v>
      </x:c>
    </x:row>
    <x:row r="80" ht="22" customHeight="1">
      <x:c r="A80" s="3" t="str">
        <x:v>HILUX20_DOUBLE CAB_MID_MT</x:v>
      </x:c>
      <x:c r="B80" s="7"/>
      <x:c r="C80" s="7"/>
      <x:c r="D80" s="7"/>
      <x:c r="E80" s="3" t="str">
        <x:v>Toyota</x:v>
      </x:c>
      <x:c r="F80" s="3" t="str">
        <x:v>Hilux Revo</x:v>
      </x:c>
      <x:c r="G80" s="3" t="str">
        <x:v>ICE</x:v>
      </x:c>
      <x:c r="H80" s="3" t="str">
        <x:v>Pickup</x:v>
      </x:c>
      <x:c r="I80" s="3" t="str">
        <x:v>2.4 Z EDITION MID DOUBLE CAB MT</x:v>
      </x:c>
      <x:c r="J80" s="3" t="str">
        <x:v>2020改良公式価格表</x:v>
      </x:c>
      <x:c r="K80" s="24" t="n">
        <x:v>763000</x:v>
      </x:c>
      <x:c r="L80" s="24" t="n">
        <x:v>0</x:v>
      </x:c>
      <x:c r="M80" s="24" t="n">
        <x:v>0</x:v>
      </x:c>
      <x:c r="N80" s="25" t="n">
        <x:f>IF(AND(ISNUMBER(K80),ISNUMBER(L80)),K80-L80,"")</x:f>
        <x:v>763000</x:v>
      </x:c>
      <x:c r="O80" s="25" t="n">
        <x:f>IF(AND(ISNUMBER(N80),ISNUMBER(M80)),N80-M80,"")</x:f>
        <x:v>763000</x:v>
      </x:c>
      <x:c r="P80" s="26" t="n">
        <x:f>IF(AND(ISNUMBER(K80),ISNUMBER(L80)),L80/K80,"")</x:f>
        <x:v>0</x:v>
      </x:c>
      <x:c r="Q80" s="3" t="str"/>
      <x:c r="R80" s="3" t="str">
        <x:v>2020改良。発効日は資料に記載なし。Metallic塗装・VAT7%込。Super Whiteは7千THB低い。年式/MT・AT未確認車の残価分母へ適用しない。</x:v>
      </x:c>
      <x:c r="S80" s="3" t="str">
        <x:v>一次資料（PDF）</x:v>
      </x:c>
      <x:c r="T80" s="27" t="str">
        <x:v>https://www.toyota.co.th/media/news/document/37b79511985a66c57f4aa3e4aac8b26386a294c2.pdf</x:v>
      </x:c>
      <x:c r="U80" s="7" t="d">
        <x:v>2026-10-08T00:00:00.000Z</x:v>
      </x:c>
    </x:row>
    <x:row r="81" ht="22" customHeight="1">
      <x:c r="A81" s="3" t="str">
        <x:v>HILUX20_DOUBLE CAB_MID_AT</x:v>
      </x:c>
      <x:c r="B81" s="7"/>
      <x:c r="C81" s="7"/>
      <x:c r="D81" s="7"/>
      <x:c r="E81" s="3" t="str">
        <x:v>Toyota</x:v>
      </x:c>
      <x:c r="F81" s="3" t="str">
        <x:v>Hilux Revo</x:v>
      </x:c>
      <x:c r="G81" s="3" t="str">
        <x:v>ICE</x:v>
      </x:c>
      <x:c r="H81" s="3" t="str">
        <x:v>Pickup</x:v>
      </x:c>
      <x:c r="I81" s="3" t="str">
        <x:v>2.4 Z EDITION MID DOUBLE CAB AT</x:v>
      </x:c>
      <x:c r="J81" s="3" t="str">
        <x:v>2020改良公式価格表</x:v>
      </x:c>
      <x:c r="K81" s="24" t="n">
        <x:v>803000</x:v>
      </x:c>
      <x:c r="L81" s="24" t="n">
        <x:v>0</x:v>
      </x:c>
      <x:c r="M81" s="24" t="n">
        <x:v>0</x:v>
      </x:c>
      <x:c r="N81" s="25" t="n">
        <x:f>IF(AND(ISNUMBER(K81),ISNUMBER(L81)),K81-L81,"")</x:f>
        <x:v>803000</x:v>
      </x:c>
      <x:c r="O81" s="25" t="n">
        <x:f>IF(AND(ISNUMBER(N81),ISNUMBER(M81)),N81-M81,"")</x:f>
        <x:v>803000</x:v>
      </x:c>
      <x:c r="P81" s="26" t="n">
        <x:f>IF(AND(ISNUMBER(K81),ISNUMBER(L81)),L81/K81,"")</x:f>
        <x:v>0</x:v>
      </x:c>
      <x:c r="Q81" s="3" t="str"/>
      <x:c r="R81" s="3" t="str">
        <x:v>2020改良。発効日は資料に記載なし。Metallic塗装・VAT7%込。Super Whiteは7千THB低い。年式/MT・AT未確認車の残価分母へ適用しない。</x:v>
      </x:c>
      <x:c r="S81" s="3" t="str">
        <x:v>一次資料（PDF）</x:v>
      </x:c>
      <x:c r="T81" s="27" t="str">
        <x:v>https://www.toyota.co.th/media/news/document/37b79511985a66c57f4aa3e4aac8b26386a294c2.pdf</x:v>
      </x:c>
      <x:c r="U81" s="7" t="d">
        <x:v>2026-10-08T00:00:00.000Z</x:v>
      </x:c>
    </x:row>
    <x:row r="82" ht="22" customHeight="1">
      <x:c r="A82" s="3" t="str">
        <x:v>ENTRY26_Fortuner Leader</x:v>
      </x:c>
      <x:c r="B82" s="7" t="d">
        <x:v>2026-10-08T00:00:00.000Z</x:v>
      </x:c>
      <x:c r="C82" s="7"/>
      <x:c r="D82" s="7"/>
      <x:c r="E82" s="3" t="str">
        <x:v>Toyota</x:v>
      </x:c>
      <x:c r="F82" s="3" t="str">
        <x:v>Fortuner Leader</x:v>
      </x:c>
      <x:c r="G82" s="3" t="str">
        <x:v>ICE</x:v>
      </x:c>
      <x:c r="H82" s="3" t="str">
        <x:v>SUV</x:v>
      </x:c>
      <x:c r="I82" s="3" t="str">
        <x:v>掲載最低価格・詳細グレード不詳</x:v>
      </x:c>
      <x:c r="J82" s="3" t="str">
        <x:v>取得時見積ページのfrom</x:v>
      </x:c>
      <x:c r="K82" s="24" t="n">
        <x:v>1239000</x:v>
      </x:c>
      <x:c r="L82" s="24" t="n">
        <x:v>0</x:v>
      </x:c>
      <x:c r="M82" s="24" t="n">
        <x:v>0</x:v>
      </x:c>
      <x:c r="N82" s="25" t="n">
        <x:f>IF(AND(ISNUMBER(K82),ISNUMBER(L82)),K82-L82,"")</x:f>
        <x:v>1239000</x:v>
      </x:c>
      <x:c r="O82" s="25" t="n">
        <x:f>IF(AND(ISNUMBER(N82),ISNUMBER(M82)),N82-M82,"")</x:f>
        <x:v>1239000</x:v>
      </x:c>
      <x:c r="P82" s="26" t="n">
        <x:f>IF(AND(ISNUMBER(K82),ISNUMBER(L82)),L82/K82,"")</x:f>
        <x:v>0</x:v>
      </x:c>
      <x:c r="Q82" s="3" t="str"/>
      <x:c r="R82" s="3" t="str">
        <x:v>見積ページ掲載値。年式や旧仕様価格の残存は未確認。特にbZ4Xは旧モデルの可能性。グレード一致分母へ使わない。</x:v>
      </x:c>
      <x:c r="S82" s="3" t="str">
        <x:v>一次資料</x:v>
      </x:c>
      <x:c r="T82" s="27" t="str">
        <x:v>https://tmp.toyota.co.th/en/quotation/?CampaignType=Quotation&amp;Campaign_medium=Widget&amp;Campaign_name=ShoppingToolsQuotation&amp;Campaign_source=Website&amp;Campaign_term=Website&amp;model=corollacross_grsport</x:v>
      </x:c>
      <x:c r="U82" s="7" t="d">
        <x:v>2026-10-08T00:00:00.000Z</x:v>
      </x:c>
    </x:row>
    <x:row r="83" ht="22" customHeight="1">
      <x:c r="A83" s="3" t="str">
        <x:v>ENTRY26_Hilux Champ</x:v>
      </x:c>
      <x:c r="B83" s="7" t="d">
        <x:v>2026-10-08T00:00:00.000Z</x:v>
      </x:c>
      <x:c r="C83" s="7"/>
      <x:c r="D83" s="7"/>
      <x:c r="E83" s="3" t="str">
        <x:v>Toyota</x:v>
      </x:c>
      <x:c r="F83" s="3" t="str">
        <x:v>Hilux Champ</x:v>
      </x:c>
      <x:c r="G83" s="3" t="str">
        <x:v>ICE</x:v>
      </x:c>
      <x:c r="H83" s="3" t="str">
        <x:v>Pickup</x:v>
      </x:c>
      <x:c r="I83" s="3" t="str">
        <x:v>掲載最低価格・詳細グレード不詳</x:v>
      </x:c>
      <x:c r="J83" s="3" t="str">
        <x:v>取得時見積ページのfrom</x:v>
      </x:c>
      <x:c r="K83" s="24" t="n">
        <x:v>459000</x:v>
      </x:c>
      <x:c r="L83" s="24" t="n">
        <x:v>0</x:v>
      </x:c>
      <x:c r="M83" s="24" t="n">
        <x:v>0</x:v>
      </x:c>
      <x:c r="N83" s="25" t="n">
        <x:f>IF(AND(ISNUMBER(K83),ISNUMBER(L83)),K83-L83,"")</x:f>
        <x:v>459000</x:v>
      </x:c>
      <x:c r="O83" s="25" t="n">
        <x:f>IF(AND(ISNUMBER(N83),ISNUMBER(M83)),N83-M83,"")</x:f>
        <x:v>459000</x:v>
      </x:c>
      <x:c r="P83" s="26" t="n">
        <x:f>IF(AND(ISNUMBER(K83),ISNUMBER(L83)),L83/K83,"")</x:f>
        <x:v>0</x:v>
      </x:c>
      <x:c r="Q83" s="3" t="str"/>
      <x:c r="R83" s="3" t="str">
        <x:v>見積ページ掲載値。年式や旧仕様価格の残存は未確認。特にbZ4Xは旧モデルの可能性。グレード一致分母へ使わない。</x:v>
      </x:c>
      <x:c r="S83" s="3" t="str">
        <x:v>一次資料</x:v>
      </x:c>
      <x:c r="T83" s="27" t="str">
        <x:v>https://tmp.toyota.co.th/en/quotation/?CampaignType=Quotation&amp;Campaign_medium=Widget&amp;Campaign_name=ShoppingToolsQuotation&amp;Campaign_source=Website&amp;Campaign_term=Website&amp;model=corollacross_grsport</x:v>
      </x:c>
      <x:c r="U83" s="7" t="d">
        <x:v>2026-10-08T00:00:00.000Z</x:v>
      </x:c>
    </x:row>
    <x:row r="84" ht="22" customHeight="1">
      <x:c r="A84" s="3" t="str">
        <x:v>ENTRY26_Yaris Cross</x:v>
      </x:c>
      <x:c r="B84" s="7" t="d">
        <x:v>2026-10-08T00:00:00.000Z</x:v>
      </x:c>
      <x:c r="C84" s="7"/>
      <x:c r="D84" s="7"/>
      <x:c r="E84" s="3" t="str">
        <x:v>Toyota</x:v>
      </x:c>
      <x:c r="F84" s="3" t="str">
        <x:v>Yaris Cross</x:v>
      </x:c>
      <x:c r="G84" s="3" t="str">
        <x:v>HEV</x:v>
      </x:c>
      <x:c r="H84" s="3" t="str">
        <x:v>SUV</x:v>
      </x:c>
      <x:c r="I84" s="3" t="str">
        <x:v>掲載最低価格・詳細グレード不詳</x:v>
      </x:c>
      <x:c r="J84" s="3" t="str">
        <x:v>取得時見積ページのfrom</x:v>
      </x:c>
      <x:c r="K84" s="24" t="n">
        <x:v>789000</x:v>
      </x:c>
      <x:c r="L84" s="24" t="n">
        <x:v>0</x:v>
      </x:c>
      <x:c r="M84" s="24" t="n">
        <x:v>0</x:v>
      </x:c>
      <x:c r="N84" s="25" t="n">
        <x:f>IF(AND(ISNUMBER(K84),ISNUMBER(L84)),K84-L84,"")</x:f>
        <x:v>789000</x:v>
      </x:c>
      <x:c r="O84" s="25" t="n">
        <x:f>IF(AND(ISNUMBER(N84),ISNUMBER(M84)),N84-M84,"")</x:f>
        <x:v>789000</x:v>
      </x:c>
      <x:c r="P84" s="26" t="n">
        <x:f>IF(AND(ISNUMBER(K84),ISNUMBER(L84)),L84/K84,"")</x:f>
        <x:v>0</x:v>
      </x:c>
      <x:c r="Q84" s="3" t="str"/>
      <x:c r="R84" s="3" t="str">
        <x:v>見積ページ掲載値。年式や旧仕様価格の残存は未確認。特にbZ4Xは旧モデルの可能性。グレード一致分母へ使わない。</x:v>
      </x:c>
      <x:c r="S84" s="3" t="str">
        <x:v>一次資料</x:v>
      </x:c>
      <x:c r="T84" s="27" t="str">
        <x:v>https://tmp.toyota.co.th/en/quotation/?CampaignType=Quotation&amp;Campaign_medium=Widget&amp;Campaign_name=ShoppingToolsQuotation&amp;Campaign_source=Website&amp;Campaign_term=Website&amp;model=corollacross_grsport</x:v>
      </x:c>
      <x:c r="U84" s="7" t="d">
        <x:v>2026-10-08T00:00:00.000Z</x:v>
      </x:c>
    </x:row>
    <x:row r="85" ht="22" customHeight="1">
      <x:c r="A85" s="3" t="str">
        <x:v>ENTRY26_bZ4X</x:v>
      </x:c>
      <x:c r="B85" s="7" t="d">
        <x:v>2026-10-08T00:00:00.000Z</x:v>
      </x:c>
      <x:c r="C85" s="7"/>
      <x:c r="D85" s="7"/>
      <x:c r="E85" s="3" t="str">
        <x:v>Toyota</x:v>
      </x:c>
      <x:c r="F85" s="3" t="str">
        <x:v>bZ4X</x:v>
      </x:c>
      <x:c r="G85" s="3" t="str">
        <x:v>BEV</x:v>
      </x:c>
      <x:c r="H85" s="3" t="str">
        <x:v>SUV</x:v>
      </x:c>
      <x:c r="I85" s="3" t="str">
        <x:v>掲載最低価格・詳細グレード不詳</x:v>
      </x:c>
      <x:c r="J85" s="3" t="str">
        <x:v>取得時見積ページのfrom</x:v>
      </x:c>
      <x:c r="K85" s="24" t="n">
        <x:v>1836000</x:v>
      </x:c>
      <x:c r="L85" s="24" t="n">
        <x:v>0</x:v>
      </x:c>
      <x:c r="M85" s="24" t="n">
        <x:v>0</x:v>
      </x:c>
      <x:c r="N85" s="25" t="n">
        <x:f>IF(AND(ISNUMBER(K85),ISNUMBER(L85)),K85-L85,"")</x:f>
        <x:v>1836000</x:v>
      </x:c>
      <x:c r="O85" s="25" t="n">
        <x:f>IF(AND(ISNUMBER(N85),ISNUMBER(M85)),N85-M85,"")</x:f>
        <x:v>1836000</x:v>
      </x:c>
      <x:c r="P85" s="26" t="n">
        <x:f>IF(AND(ISNUMBER(K85),ISNUMBER(L85)),L85/K85,"")</x:f>
        <x:v>0</x:v>
      </x:c>
      <x:c r="Q85" s="3" t="str"/>
      <x:c r="R85" s="3" t="str">
        <x:v>見積ページ掲載値。年式や旧仕様価格の残存は未確認。特にbZ4Xは旧モデルの可能性。グレード一致分母へ使わない。</x:v>
      </x:c>
      <x:c r="S85" s="3" t="str">
        <x:v>一次資料</x:v>
      </x:c>
      <x:c r="T85" s="27" t="str">
        <x:v>https://tmp.toyota.co.th/en/quotation/?CampaignType=Quotation&amp;Campaign_medium=Widget&amp;Campaign_name=ShoppingToolsQuotation&amp;Campaign_source=Website&amp;Campaign_term=Website&amp;model=corollacross_grsport</x:v>
      </x:c>
      <x:c r="U85" s="7" t="d">
        <x:v>2026-10-08T00:00:00.000Z</x:v>
      </x:c>
    </x:row>
    <x:row r="86" ht="22" customHeight="1">
      <x:c r="A86" s="3" t="str">
        <x:v>ENTRY26_Hilux Revo</x:v>
      </x:c>
      <x:c r="B86" s="7" t="d">
        <x:v>2026-10-08T00:00:00.000Z</x:v>
      </x:c>
      <x:c r="C86" s="7"/>
      <x:c r="D86" s="7"/>
      <x:c r="E86" s="3" t="str">
        <x:v>Toyota</x:v>
      </x:c>
      <x:c r="F86" s="3" t="str">
        <x:v>Hilux Revo</x:v>
      </x:c>
      <x:c r="G86" s="3" t="str">
        <x:v>ICE</x:v>
      </x:c>
      <x:c r="H86" s="3" t="str">
        <x:v>Pickup</x:v>
      </x:c>
      <x:c r="I86" s="3" t="str">
        <x:v>掲載最低価格・詳細グレード不詳</x:v>
      </x:c>
      <x:c r="J86" s="3" t="str">
        <x:v>取得時見積ページのfrom</x:v>
      </x:c>
      <x:c r="K86" s="24" t="n">
        <x:v>584000</x:v>
      </x:c>
      <x:c r="L86" s="24" t="n">
        <x:v>0</x:v>
      </x:c>
      <x:c r="M86" s="24" t="n">
        <x:v>0</x:v>
      </x:c>
      <x:c r="N86" s="25" t="n">
        <x:f>IF(AND(ISNUMBER(K86),ISNUMBER(L86)),K86-L86,"")</x:f>
        <x:v>584000</x:v>
      </x:c>
      <x:c r="O86" s="25" t="n">
        <x:f>IF(AND(ISNUMBER(N86),ISNUMBER(M86)),N86-M86,"")</x:f>
        <x:v>584000</x:v>
      </x:c>
      <x:c r="P86" s="26" t="n">
        <x:f>IF(AND(ISNUMBER(K86),ISNUMBER(L86)),L86/K86,"")</x:f>
        <x:v>0</x:v>
      </x:c>
      <x:c r="Q86" s="3" t="str"/>
      <x:c r="R86" s="3" t="str">
        <x:v>見積ページ掲載値。年式や旧仕様価格の残存は未確認。特にbZ4Xは旧モデルの可能性。グレード一致分母へ使わない。</x:v>
      </x:c>
      <x:c r="S86" s="3" t="str">
        <x:v>一次資料</x:v>
      </x:c>
      <x:c r="T86" s="27" t="str">
        <x:v>https://tmp.toyota.co.th/en/quotation/?CampaignType=Quotation&amp;Campaign_medium=Widget&amp;Campaign_name=ShoppingToolsQuotation&amp;Campaign_source=Website&amp;Campaign_term=Website&amp;model=corollacross_grsport</x:v>
      </x:c>
      <x:c r="U86" s="7" t="d">
        <x:v>2026-10-08T00:00:00.000Z</x:v>
      </x:c>
    </x:row>
  </x:sheetData>
  <x:pageMargins left="0.7" right="0.7" top="0.75" bottom="0.75" header="0.3" footer="0.3"/>
  <x:tableParts count="1">
    <x:tablePart xmlns:r="http://schemas.openxmlformats.org/officeDocument/2006/relationships" r:id="R94d717d902254fb7"/>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3"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45" hidden="0" customWidth="1"/>
    <x:col min="9" max="9" width="16" hidden="0" customWidth="1"/>
    <x:col min="10" max="10" width="75"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s>
  <x:sheetData>
    <x:row r="1" ht="22" customHeight="1">
      <x:c r="A1" s="3"/>
      <x:c r="B1" s="3"/>
      <x:c r="C1" s="3"/>
      <x:c r="D1" s="3"/>
      <x:c r="E1" s="3"/>
      <x:c r="F1" s="3"/>
      <x:c r="G1" s="3"/>
      <x:c r="H1" s="3"/>
      <x:c r="I1" s="3"/>
      <x:c r="J1" s="3"/>
      <x:c r="K1" s="3"/>
      <x:c r="L1" s="3"/>
      <x:c r="M1" s="3"/>
      <x:c r="N1" s="3"/>
      <x:c r="O1" s="3"/>
      <x:c r="P1" s="3"/>
      <x:c r="Q1" s="3"/>
      <x:c r="R1" s="3"/>
    </x:row>
    <x:row r="2" ht="22" customHeight="1">
      <x:c r="A2" s="4" t="str">
        <x:v>中古車の実時系列｜確認できた過去価格</x:v>
      </x:c>
      <x:c r="B2" s="3"/>
      <x:c r="C2" s="3"/>
      <x:c r="D2" s="3"/>
      <x:c r="E2" s="3"/>
      <x:c r="F2" s="3"/>
      <x:c r="G2" s="3"/>
      <x:c r="H2" s="3"/>
      <x:c r="I2" s="3"/>
      <x:c r="J2" s="3"/>
      <x:c r="K2" s="3"/>
      <x:c r="L2" s="3"/>
      <x:c r="M2" s="3"/>
      <x:c r="N2" s="3"/>
      <x:c r="O2" s="3"/>
      <x:c r="P2" s="3"/>
      <x:c r="Q2" s="3"/>
      <x:c r="R2" s="3"/>
    </x:row>
    <x:row r="3" ht="22" customHeight="1">
      <x:c r="A3" s="5"/>
      <x:c r="B3" s="5"/>
      <x:c r="C3" s="5"/>
      <x:c r="D3" s="5"/>
      <x:c r="E3" s="5"/>
      <x:c r="F3" s="5"/>
      <x:c r="G3" s="5"/>
      <x:c r="H3" s="5"/>
      <x:c r="I3" s="5"/>
      <x:c r="J3" s="5"/>
      <x:c r="K3" s="5"/>
      <x:c r="L3" s="5"/>
      <x:c r="M3" s="5"/>
      <x:c r="N3" s="5"/>
      <x:c r="O3" s="3"/>
      <x:c r="P3" s="3"/>
      <x:c r="Q3" s="3"/>
      <x:c r="R3" s="3"/>
    </x:row>
    <x:row r="4" ht="22" customHeight="1">
      <x:c r="A4" s="3" t="str">
        <x:v>One2carの2024/1–10→2025/1–10の集計。車両構成・走行距離・地域の固定条件、Nは非開示。Toyotaの同条件履歴は未取得。</x:v>
      </x:c>
      <x:c r="B4" s="3"/>
      <x:c r="C4" s="3"/>
      <x:c r="D4" s="3"/>
      <x:c r="E4" s="3"/>
      <x:c r="F4" s="3"/>
      <x:c r="G4" s="3"/>
      <x:c r="H4" s="3"/>
      <x:c r="I4" s="3"/>
      <x:c r="J4" s="3"/>
      <x:c r="K4" s="3"/>
      <x:c r="L4" s="3"/>
      <x:c r="M4" s="3"/>
      <x:c r="N4" s="3"/>
      <x:c r="O4" s="3"/>
      <x:c r="P4" s="3"/>
      <x:c r="Q4" s="3"/>
      <x:c r="R4" s="3"/>
    </x:row>
    <x:row r="5" ht="22" customHeight="1">
      <x:c r="A5" s="3"/>
      <x:c r="B5" s="3"/>
      <x:c r="C5" s="3"/>
      <x:c r="D5" s="3"/>
      <x:c r="E5" s="3"/>
      <x:c r="F5" s="3"/>
      <x:c r="G5" s="3"/>
      <x:c r="H5" s="3"/>
      <x:c r="I5" s="3"/>
      <x:c r="J5" s="3"/>
      <x:c r="K5" s="3"/>
      <x:c r="L5" s="3"/>
      <x:c r="M5" s="3"/>
      <x:c r="N5" s="3"/>
      <x:c r="O5" s="3"/>
      <x:c r="P5" s="3"/>
      <x:c r="Q5" s="3"/>
      <x:c r="R5" s="3"/>
    </x:row>
    <x:row r="6" ht="30" customHeight="1">
      <x:c r="A6" s="16" t="str">
        <x:v>モデル</x:v>
      </x:c>
      <x:c r="B6" s="21" t="str">
        <x:v>観測開始</x:v>
      </x:c>
      <x:c r="C6" s="21" t="str">
        <x:v>観測終了</x:v>
      </x:c>
      <x:c r="D6" s="21" t="str">
        <x:v>2025平均THB</x:v>
      </x:c>
      <x:c r="E6" s="21" t="str">
        <x:v>2024対比増減</x:v>
      </x:c>
      <x:c r="F6" s="21" t="str">
        <x:v>2024基準指数</x:v>
      </x:c>
      <x:c r="G6" s="21" t="str">
        <x:v>2025指数</x:v>
      </x:c>
      <x:c r="H6" s="21" t="str">
        <x:v>集計指標</x:v>
      </x:c>
      <x:c r="I6" s="21" t="str">
        <x:v>公開日</x:v>
      </x:c>
      <x:c r="J6" s="17" t="str">
        <x:v>出典URL</x:v>
      </x:c>
      <x:c r="K6" s="3"/>
      <x:c r="L6" s="3"/>
      <x:c r="M6" s="3"/>
      <x:c r="N6" s="3"/>
      <x:c r="O6" s="3"/>
      <x:c r="P6" s="3"/>
      <x:c r="Q6" s="3"/>
      <x:c r="R6" s="3"/>
    </x:row>
    <x:row r="7" ht="22" customHeight="1">
      <x:c r="A7" s="3" t="str">
        <x:v>ATTO 3</x:v>
      </x:c>
      <x:c r="B7" s="7" t="d">
        <x:v>2025-01-01T00:00:00.000Z</x:v>
      </x:c>
      <x:c r="C7" s="7" t="d">
        <x:v>2025-10-31T00:00:00.000Z</x:v>
      </x:c>
      <x:c r="D7" s="22" t="n">
        <x:v>556674</x:v>
      </x:c>
      <x:c r="E7" s="23" t="n">
        <x:v>-0.3</x:v>
      </x:c>
      <x:c r="F7" s="34" t="n">
        <x:v>100</x:v>
      </x:c>
      <x:c r="G7" s="34" t="n">
        <x:f>F7*(1+E7)</x:f>
        <x:v>70</x:v>
      </x:c>
      <x:c r="H7" s="3" t="str">
        <x:v>サイト平均掲載価格／全グレード等</x:v>
      </x:c>
      <x:c r="I7" s="7" t="d">
        <x:v>2026-02-06T00:00:00.000Z</x:v>
      </x:c>
      <x:c r="J7" s="27" t="str">
        <x:v>https://www.one2car.com/en/news/used-ev-car-price-in-thailand-146126/146126</x:v>
      </x:c>
      <x:c r="K7" s="3"/>
      <x:c r="L7" s="3"/>
      <x:c r="M7" s="3"/>
      <x:c r="N7" s="3"/>
      <x:c r="O7" s="3"/>
      <x:c r="P7" s="3"/>
      <x:c r="Q7" s="3"/>
      <x:c r="R7" s="3"/>
    </x:row>
    <x:row r="8" ht="22" customHeight="1">
      <x:c r="A8" s="3" t="str">
        <x:v>DOLPHIN</x:v>
      </x:c>
      <x:c r="B8" s="7" t="d">
        <x:v>2025-01-01T00:00:00.000Z</x:v>
      </x:c>
      <x:c r="C8" s="7" t="d">
        <x:v>2025-10-31T00:00:00.000Z</x:v>
      </x:c>
      <x:c r="D8" s="22" t="n">
        <x:v>445000</x:v>
      </x:c>
      <x:c r="E8" s="23" t="n">
        <x:v>-0.22</x:v>
      </x:c>
      <x:c r="F8" s="34" t="n">
        <x:v>100</x:v>
      </x:c>
      <x:c r="G8" s="34" t="n">
        <x:f>F8*(1+E8)</x:f>
        <x:v>78</x:v>
      </x:c>
      <x:c r="H8" s="3" t="str">
        <x:v>サイト平均掲載価格／全グレード等</x:v>
      </x:c>
      <x:c r="I8" s="7" t="d">
        <x:v>2026-02-06T00:00:00.000Z</x:v>
      </x:c>
      <x:c r="J8" s="27" t="str">
        <x:v>https://www.one2car.com/en/news/used-ev-car-price-in-thailand-146126/146126</x:v>
      </x:c>
      <x:c r="K8" s="3"/>
      <x:c r="L8" s="3"/>
      <x:c r="M8" s="3"/>
      <x:c r="N8" s="3"/>
      <x:c r="O8" s="3"/>
      <x:c r="P8" s="3"/>
      <x:c r="Q8" s="3"/>
      <x:c r="R8" s="3"/>
    </x:row>
    <x:row r="9" ht="22" customHeight="1">
      <x:c r="A9" s="3" t="str">
        <x:v>SEAL</x:v>
      </x:c>
      <x:c r="B9" s="7" t="d">
        <x:v>2025-01-01T00:00:00.000Z</x:v>
      </x:c>
      <x:c r="C9" s="7" t="d">
        <x:v>2025-10-31T00:00:00.000Z</x:v>
      </x:c>
      <x:c r="D9" s="22" t="n">
        <x:v>897000</x:v>
      </x:c>
      <x:c r="E9" s="23" t="n">
        <x:v>-0.21</x:v>
      </x:c>
      <x:c r="F9" s="34" t="n">
        <x:v>100</x:v>
      </x:c>
      <x:c r="G9" s="34" t="n">
        <x:f>F9*(1+E9)</x:f>
        <x:v>79</x:v>
      </x:c>
      <x:c r="H9" s="3" t="str">
        <x:v>サイト平均掲載価格／全グレード等</x:v>
      </x:c>
      <x:c r="I9" s="7" t="d">
        <x:v>2026-02-06T00:00:00.000Z</x:v>
      </x:c>
      <x:c r="J9" s="27" t="str">
        <x:v>https://www.one2car.com/en/news/used-ev-car-price-in-thailand-146126/146126</x:v>
      </x:c>
      <x:c r="K9" s="3"/>
      <x:c r="L9" s="3"/>
      <x:c r="M9" s="3"/>
      <x:c r="N9" s="3"/>
      <x:c r="O9" s="3"/>
      <x:c r="P9" s="3"/>
      <x:c r="Q9" s="3"/>
      <x:c r="R9" s="3"/>
    </x:row>
    <x:row r="10" ht="22" customHeight="1">
      <x:c r="A10" s="3"/>
      <x:c r="B10" s="3"/>
      <x:c r="C10" s="3"/>
      <x:c r="D10" s="3"/>
      <x:c r="E10" s="3"/>
      <x:c r="F10" s="3"/>
      <x:c r="G10" s="3"/>
      <x:c r="H10" s="3"/>
      <x:c r="I10" s="3"/>
      <x:c r="J10" s="3"/>
      <x:c r="K10" s="3"/>
      <x:c r="L10" s="3"/>
      <x:c r="M10" s="3"/>
      <x:c r="N10" s="3"/>
      <x:c r="O10" s="3"/>
      <x:c r="P10" s="3"/>
      <x:c r="Q10" s="3"/>
      <x:c r="R10" s="3"/>
    </x:row>
    <x:row r="11" ht="22" customHeight="1">
      <x:c r="A11" s="3"/>
      <x:c r="B11" s="3"/>
      <x:c r="C11" s="3"/>
      <x:c r="D11" s="3"/>
      <x:c r="E11" s="3"/>
      <x:c r="F11" s="3"/>
      <x:c r="G11" s="3"/>
      <x:c r="H11" s="3"/>
      <x:c r="I11" s="3"/>
      <x:c r="J11" s="3"/>
      <x:c r="K11" s="3"/>
      <x:c r="L11" s="3"/>
      <x:c r="M11" s="3"/>
      <x:c r="N11" s="3"/>
      <x:c r="O11" s="3"/>
      <x:c r="P11" s="3"/>
      <x:c r="Q11" s="3"/>
      <x:c r="R11" s="3"/>
    </x:row>
    <x:row r="12" ht="22" customHeight="1">
      <x:c r="A12" s="3" t="str">
        <x:v>2024の絶対平均価格は原資料に示されないため逆算しません。指数100は比較基準、2025指数は公表増減率から計算。</x:v>
      </x:c>
      <x:c r="B12" s="3"/>
      <x:c r="C12" s="3"/>
      <x:c r="D12" s="3"/>
      <x:c r="E12" s="3"/>
      <x:c r="F12" s="3"/>
      <x:c r="G12" s="3"/>
      <x:c r="H12" s="3"/>
      <x:c r="I12" s="3"/>
      <x:c r="J12" s="3"/>
      <x:c r="K12" s="3"/>
      <x:c r="L12" s="3"/>
      <x:c r="M12" s="3"/>
      <x:c r="N12" s="3"/>
      <x:c r="O12" s="3"/>
      <x:c r="P12" s="3"/>
      <x:c r="Q12" s="3"/>
      <x:c r="R12" s="3"/>
    </x:row>
    <x:row r="13" ht="22" customHeight="1">
      <x:c r="A13" s="3" t="str">
        <x:v>2025/1–10の期間平均を、2026/10の単日中央値へ接続して「同じ条件の値下がり」とは解釈しません。</x:v>
      </x:c>
      <x:c r="B13" s="3"/>
      <x:c r="C13" s="3"/>
      <x:c r="D13" s="3"/>
      <x:c r="E13" s="3"/>
      <x:c r="F13" s="3"/>
      <x:c r="G13" s="3"/>
      <x:c r="H13" s="3"/>
      <x:c r="I13" s="3"/>
      <x:c r="J13" s="3"/>
      <x:c r="K13" s="3"/>
      <x:c r="L13" s="3"/>
      <x:c r="M13" s="3"/>
      <x:c r="N13" s="3"/>
      <x:c r="O13" s="3"/>
      <x:c r="P13" s="3"/>
      <x:c r="Q13" s="3"/>
      <x:c r="R13" s="3"/>
    </x:row>
    <x:row r="14" ht="22" customHeight="1">
      <x:c r="A14" s="3"/>
      <x:c r="B14" s="3"/>
      <x:c r="C14" s="3"/>
      <x:c r="D14" s="3"/>
      <x:c r="E14" s="3"/>
      <x:c r="F14" s="3"/>
      <x:c r="G14" s="3"/>
      <x:c r="H14" s="3"/>
      <x:c r="I14" s="3"/>
      <x:c r="J14" s="3"/>
      <x:c r="K14" s="3"/>
      <x:c r="L14" s="3"/>
      <x:c r="M14" s="3"/>
      <x:c r="N14" s="3"/>
      <x:c r="O14" s="3"/>
      <x:c r="P14" s="3"/>
      <x:c r="Q14" s="3"/>
      <x:c r="R14" s="3"/>
    </x:row>
    <x:row r="15" ht="22" customHeight="1">
      <x:c r="A15" s="3"/>
      <x:c r="B15" s="3"/>
      <x:c r="C15" s="3"/>
      <x:c r="D15" s="3"/>
      <x:c r="E15" s="3"/>
      <x:c r="F15" s="3"/>
      <x:c r="G15" s="3"/>
      <x:c r="H15" s="3"/>
      <x:c r="I15" s="3"/>
      <x:c r="J15" s="3"/>
      <x:c r="K15" s="3"/>
      <x:c r="L15" s="3"/>
      <x:c r="M15" s="3"/>
      <x:c r="N15" s="3"/>
      <x:c r="O15" s="3"/>
      <x:c r="P15" s="3"/>
      <x:c r="Q15" s="3"/>
      <x:c r="R15" s="3"/>
    </x:row>
    <x:row r="16" ht="22" customHeight="1">
      <x:c r="A16" s="3"/>
      <x:c r="B16" s="3"/>
      <x:c r="C16" s="3"/>
      <x:c r="D16" s="3"/>
      <x:c r="E16" s="3"/>
      <x:c r="F16" s="3"/>
      <x:c r="G16" s="3"/>
      <x:c r="H16" s="3"/>
      <x:c r="I16" s="3"/>
      <x:c r="J16" s="3"/>
      <x:c r="K16" s="3"/>
      <x:c r="L16" s="3"/>
      <x:c r="M16" s="3"/>
      <x:c r="N16" s="3"/>
      <x:c r="O16" s="3"/>
      <x:c r="P16" s="3"/>
      <x:c r="Q16" s="3"/>
      <x:c r="R16" s="3"/>
    </x:row>
    <x:row r="17" ht="30" customHeight="1">
      <x:c r="A17" s="16" t="str">
        <x:v>指標</x:v>
      </x:c>
      <x:c r="B17" s="21" t="str">
        <x:v>ATTO 3</x:v>
      </x:c>
      <x:c r="C17" s="21" t="str">
        <x:v>DOLPHIN</x:v>
      </x:c>
      <x:c r="D17" s="17" t="str">
        <x:v>SEAL</x:v>
      </x:c>
      <x:c r="E17" s="3"/>
      <x:c r="F17" s="3"/>
      <x:c r="G17" s="3"/>
      <x:c r="H17" s="3"/>
      <x:c r="I17" s="3"/>
      <x:c r="J17" s="3"/>
      <x:c r="K17" s="16" t="str">
        <x:v>モデル</x:v>
      </x:c>
      <x:c r="L17" s="17" t="str">
        <x:v>2024→2025増減</x:v>
      </x:c>
      <x:c r="M17" s="3"/>
      <x:c r="N17" s="3"/>
      <x:c r="O17" s="3"/>
      <x:c r="P17" s="3"/>
      <x:c r="Q17" s="3"/>
      <x:c r="R17" s="3"/>
    </x:row>
    <x:row r="18" ht="22" customHeight="1">
      <x:c r="A18" s="3" t="str">
        <x:v>2024/01–10基準</x:v>
      </x:c>
      <x:c r="B18" s="3" t="n">
        <x:f>F7</x:f>
        <x:v>100</x:v>
      </x:c>
      <x:c r="C18" s="3" t="n">
        <x:f>F8</x:f>
        <x:v>100</x:v>
      </x:c>
      <x:c r="D18" s="3" t="n">
        <x:f>F9</x:f>
        <x:v>100</x:v>
      </x:c>
      <x:c r="E18" s="3"/>
      <x:c r="F18" s="3"/>
      <x:c r="G18" s="3"/>
      <x:c r="H18" s="3"/>
      <x:c r="I18" s="3"/>
      <x:c r="J18" s="3"/>
      <x:c r="K18" s="3" t="str">
        <x:f>A7</x:f>
        <x:v>ATTO 3</x:v>
      </x:c>
      <x:c r="L18" s="23" t="n">
        <x:f>E7</x:f>
        <x:v>-0.3</x:v>
      </x:c>
      <x:c r="M18" s="3"/>
      <x:c r="N18" s="3"/>
      <x:c r="O18" s="3"/>
      <x:c r="P18" s="3"/>
      <x:c r="Q18" s="3"/>
      <x:c r="R18" s="3"/>
    </x:row>
    <x:row r="19" ht="22" customHeight="1">
      <x:c r="A19" s="3" t="str">
        <x:v>2025/01–10</x:v>
      </x:c>
      <x:c r="B19" s="3" t="n">
        <x:f>G7</x:f>
        <x:v>70</x:v>
      </x:c>
      <x:c r="C19" s="3" t="n">
        <x:f>G8</x:f>
        <x:v>78</x:v>
      </x:c>
      <x:c r="D19" s="3" t="n">
        <x:f>G9</x:f>
        <x:v>79</x:v>
      </x:c>
      <x:c r="E19" s="3"/>
      <x:c r="F19" s="3"/>
      <x:c r="G19" s="3"/>
      <x:c r="H19" s="3"/>
      <x:c r="I19" s="3"/>
      <x:c r="J19" s="3"/>
      <x:c r="K19" s="3" t="str">
        <x:f>A8</x:f>
        <x:v>DOLPHIN</x:v>
      </x:c>
      <x:c r="L19" s="23" t="n">
        <x:f>E8</x:f>
        <x:v>-0.22</x:v>
      </x:c>
      <x:c r="M19" s="3"/>
      <x:c r="N19" s="3"/>
      <x:c r="O19" s="3"/>
      <x:c r="P19" s="3"/>
      <x:c r="Q19" s="3"/>
      <x:c r="R19" s="3"/>
    </x:row>
    <x:row r="20" ht="22" customHeight="1">
      <x:c r="A20" s="3"/>
      <x:c r="B20" s="3"/>
      <x:c r="C20" s="3"/>
      <x:c r="D20" s="3"/>
      <x:c r="E20" s="3"/>
      <x:c r="F20" s="3"/>
      <x:c r="G20" s="3"/>
      <x:c r="H20" s="3"/>
      <x:c r="I20" s="3"/>
      <x:c r="J20" s="3"/>
      <x:c r="K20" s="3" t="str">
        <x:f>A9</x:f>
        <x:v>SEAL</x:v>
      </x:c>
      <x:c r="L20" s="23" t="n">
        <x:f>E9</x:f>
        <x:v>-0.21</x:v>
      </x:c>
      <x:c r="M20" s="3"/>
      <x:c r="N20" s="3"/>
      <x:c r="O20" s="3"/>
      <x:c r="P20" s="3"/>
      <x:c r="Q20" s="3"/>
      <x:c r="R20" s="3"/>
    </x:row>
    <x:row r="21" ht="22" customHeight="1">
      <x:c r="A21" s="3"/>
      <x:c r="B21" s="3"/>
      <x:c r="C21" s="3"/>
      <x:c r="D21" s="3"/>
      <x:c r="E21" s="3"/>
      <x:c r="F21" s="3"/>
      <x:c r="G21" s="3"/>
      <x:c r="H21" s="3"/>
      <x:c r="I21" s="3"/>
      <x:c r="J21" s="3"/>
      <x:c r="K21" s="3"/>
      <x:c r="L21" s="3"/>
      <x:c r="M21" s="3"/>
      <x:c r="N21" s="3"/>
      <x:c r="O21" s="3"/>
      <x:c r="P21" s="3"/>
      <x:c r="Q21" s="3"/>
      <x:c r="R21" s="3"/>
    </x:row>
    <x:row r="22" ht="22" customHeight="1">
      <x:c r="A22" s="3"/>
      <x:c r="B22" s="3"/>
      <x:c r="C22" s="3"/>
      <x:c r="D22" s="3"/>
      <x:c r="E22" s="3"/>
      <x:c r="F22" s="3"/>
      <x:c r="G22" s="3"/>
      <x:c r="H22" s="3"/>
      <x:c r="I22" s="3"/>
      <x:c r="J22" s="3"/>
      <x:c r="K22" s="3"/>
      <x:c r="L22" s="3"/>
      <x:c r="M22" s="3"/>
      <x:c r="N22" s="3"/>
      <x:c r="O22" s="3"/>
      <x:c r="P22" s="3"/>
      <x:c r="Q22" s="3"/>
      <x:c r="R22" s="3"/>
    </x:row>
    <x:row r="23" ht="22" customHeight="1">
      <x:c r="A23" s="3"/>
      <x:c r="B23" s="3"/>
      <x:c r="C23" s="3"/>
      <x:c r="D23" s="3"/>
      <x:c r="E23" s="3"/>
      <x:c r="F23" s="3"/>
      <x:c r="G23" s="3"/>
      <x:c r="H23" s="3"/>
      <x:c r="I23" s="3"/>
      <x:c r="J23" s="3"/>
      <x:c r="K23" s="3"/>
      <x:c r="L23" s="3"/>
      <x:c r="M23" s="3"/>
      <x:c r="N23" s="3"/>
      <x:c r="O23" s="3"/>
      <x:c r="P23" s="3"/>
      <x:c r="Q23" s="3"/>
      <x:c r="R23" s="3"/>
    </x:row>
    <x:row r="24" ht="22" customHeight="1">
      <x:c r="A24" s="3"/>
      <x:c r="B24" s="3"/>
      <x:c r="C24" s="3"/>
      <x:c r="D24" s="3"/>
      <x:c r="E24" s="3"/>
      <x:c r="F24" s="3"/>
      <x:c r="G24" s="3"/>
      <x:c r="H24" s="3"/>
      <x:c r="I24" s="3"/>
      <x:c r="J24" s="3"/>
      <x:c r="K24" s="3"/>
      <x:c r="L24" s="3"/>
      <x:c r="M24" s="3"/>
      <x:c r="N24" s="3"/>
      <x:c r="O24" s="3"/>
      <x:c r="P24" s="3"/>
      <x:c r="Q24" s="3"/>
      <x:c r="R24" s="3"/>
    </x:row>
    <x:row r="25" ht="22" customHeight="1">
      <x:c r="A25" s="3"/>
      <x:c r="B25" s="3"/>
      <x:c r="C25" s="3"/>
      <x:c r="D25" s="3"/>
      <x:c r="E25" s="3"/>
      <x:c r="F25" s="3"/>
      <x:c r="G25" s="3"/>
      <x:c r="H25" s="3"/>
      <x:c r="I25" s="3"/>
      <x:c r="J25" s="3"/>
      <x:c r="K25" s="3"/>
      <x:c r="L25" s="3"/>
      <x:c r="M25" s="3"/>
      <x:c r="N25" s="3"/>
      <x:c r="O25" s="3"/>
      <x:c r="P25" s="3"/>
      <x:c r="Q25" s="3"/>
      <x:c r="R25" s="3"/>
    </x:row>
    <x:row r="26" ht="22" customHeight="1">
      <x:c r="A26" s="3"/>
      <x:c r="B26" s="3"/>
      <x:c r="C26" s="3"/>
      <x:c r="D26" s="3"/>
      <x:c r="E26" s="3"/>
      <x:c r="F26" s="3"/>
      <x:c r="G26" s="3"/>
      <x:c r="H26" s="3"/>
      <x:c r="I26" s="3"/>
      <x:c r="J26" s="3"/>
      <x:c r="K26" s="3"/>
      <x:c r="L26" s="3"/>
      <x:c r="M26" s="3"/>
      <x:c r="N26" s="3"/>
      <x:c r="O26" s="3"/>
      <x:c r="P26" s="3"/>
      <x:c r="Q26" s="3"/>
      <x:c r="R26" s="3"/>
    </x:row>
    <x:row r="27" ht="22" customHeight="1">
      <x:c r="A27" s="3"/>
      <x:c r="B27" s="3"/>
      <x:c r="C27" s="3"/>
      <x:c r="D27" s="3"/>
      <x:c r="E27" s="3"/>
      <x:c r="F27" s="3"/>
      <x:c r="G27" s="3"/>
      <x:c r="H27" s="3"/>
      <x:c r="I27" s="3"/>
      <x:c r="J27" s="3"/>
      <x:c r="K27" s="3"/>
      <x:c r="L27" s="3"/>
      <x:c r="M27" s="3"/>
      <x:c r="N27" s="3"/>
      <x:c r="O27" s="3"/>
      <x:c r="P27" s="3"/>
      <x:c r="Q27" s="3"/>
      <x:c r="R27" s="3"/>
    </x:row>
    <x:row r="28" ht="22" customHeight="1">
      <x:c r="A28" s="3"/>
      <x:c r="B28" s="3"/>
      <x:c r="C28" s="3"/>
      <x:c r="D28" s="3"/>
      <x:c r="E28" s="3"/>
      <x:c r="F28" s="3"/>
      <x:c r="G28" s="3"/>
      <x:c r="H28" s="3"/>
      <x:c r="I28" s="3"/>
      <x:c r="J28" s="3"/>
      <x:c r="K28" s="3"/>
      <x:c r="L28" s="3"/>
      <x:c r="M28" s="3"/>
      <x:c r="N28" s="3"/>
      <x:c r="O28" s="3"/>
      <x:c r="P28" s="3"/>
      <x:c r="Q28" s="3"/>
      <x:c r="R28" s="3"/>
    </x:row>
    <x:row r="29" ht="22" customHeight="1">
      <x:c r="A29" s="3"/>
      <x:c r="B29" s="3"/>
      <x:c r="C29" s="3"/>
      <x:c r="D29" s="3"/>
      <x:c r="E29" s="3"/>
      <x:c r="F29" s="3"/>
      <x:c r="G29" s="3"/>
      <x:c r="H29" s="3"/>
      <x:c r="I29" s="3"/>
      <x:c r="J29" s="3"/>
      <x:c r="K29" s="3"/>
      <x:c r="L29" s="3"/>
      <x:c r="M29" s="3"/>
      <x:c r="N29" s="3"/>
      <x:c r="O29" s="3"/>
      <x:c r="P29" s="3"/>
      <x:c r="Q29" s="3"/>
      <x:c r="R29" s="3"/>
    </x:row>
    <x:row r="30" ht="22" customHeight="1">
      <x:c r="A30" s="3"/>
      <x:c r="B30" s="3"/>
      <x:c r="C30" s="3"/>
      <x:c r="D30" s="3"/>
      <x:c r="E30" s="3"/>
      <x:c r="F30" s="3"/>
      <x:c r="G30" s="3"/>
      <x:c r="H30" s="3"/>
      <x:c r="I30" s="3"/>
      <x:c r="J30" s="3"/>
      <x:c r="K30" s="3"/>
      <x:c r="L30" s="3"/>
      <x:c r="M30" s="3"/>
      <x:c r="N30" s="3"/>
      <x:c r="O30" s="3"/>
      <x:c r="P30" s="3"/>
      <x:c r="Q30" s="3"/>
      <x:c r="R30" s="3"/>
    </x:row>
    <x:row r="31" ht="22" customHeight="1">
      <x:c r="A31" s="3"/>
      <x:c r="B31" s="3"/>
      <x:c r="C31" s="3"/>
      <x:c r="D31" s="3"/>
      <x:c r="E31" s="3"/>
      <x:c r="F31" s="3"/>
      <x:c r="G31" s="3"/>
      <x:c r="H31" s="3"/>
      <x:c r="I31" s="3"/>
      <x:c r="J31" s="3"/>
      <x:c r="K31" s="3"/>
      <x:c r="L31" s="3"/>
      <x:c r="M31" s="3"/>
      <x:c r="N31" s="3"/>
      <x:c r="O31" s="3"/>
      <x:c r="P31" s="3"/>
      <x:c r="Q31" s="3"/>
      <x:c r="R31" s="3"/>
    </x:row>
    <x:row r="32" ht="22" customHeight="1">
      <x:c r="A32" s="3"/>
      <x:c r="B32" s="3"/>
      <x:c r="C32" s="3"/>
      <x:c r="D32" s="3"/>
      <x:c r="E32" s="3"/>
      <x:c r="F32" s="3"/>
      <x:c r="G32" s="3"/>
      <x:c r="H32" s="3"/>
      <x:c r="I32" s="3"/>
      <x:c r="J32" s="3"/>
      <x:c r="K32" s="3"/>
      <x:c r="L32" s="3"/>
      <x:c r="M32" s="3"/>
      <x:c r="N32" s="3"/>
      <x:c r="O32" s="3"/>
      <x:c r="P32" s="3"/>
      <x:c r="Q32" s="3"/>
      <x:c r="R32" s="3"/>
    </x:row>
    <x:row r="33" ht="22" customHeight="1">
      <x:c r="A33" s="3"/>
      <x:c r="B33" s="3"/>
      <x:c r="C33" s="3"/>
      <x:c r="D33" s="3"/>
      <x:c r="E33" s="3"/>
      <x:c r="F33" s="3"/>
      <x:c r="G33" s="3"/>
      <x:c r="H33" s="3"/>
      <x:c r="I33" s="3"/>
      <x:c r="J33" s="3"/>
      <x:c r="K33" s="3"/>
      <x:c r="L33" s="3"/>
      <x:c r="M33" s="3"/>
      <x:c r="N33" s="3"/>
      <x:c r="O33" s="3"/>
      <x:c r="P33" s="3"/>
      <x:c r="Q33" s="3"/>
      <x:c r="R33" s="3"/>
    </x:row>
    <x:row r="34" ht="22" customHeight="1">
      <x:c r="A34" s="3"/>
      <x:c r="B34" s="3"/>
      <x:c r="C34" s="3"/>
      <x:c r="D34" s="3"/>
      <x:c r="E34" s="3"/>
      <x:c r="F34" s="3"/>
      <x:c r="G34" s="3"/>
      <x:c r="H34" s="3"/>
      <x:c r="I34" s="3"/>
      <x:c r="J34" s="3"/>
      <x:c r="K34" s="3"/>
      <x:c r="L34" s="3"/>
      <x:c r="M34" s="3"/>
      <x:c r="N34" s="3"/>
      <x:c r="O34" s="3"/>
      <x:c r="P34" s="3"/>
      <x:c r="Q34" s="3"/>
      <x:c r="R34" s="3"/>
    </x:row>
    <x:row r="35" ht="22" customHeight="1">
      <x:c r="A35" s="3"/>
      <x:c r="B35" s="3"/>
      <x:c r="C35" s="3"/>
      <x:c r="D35" s="3"/>
      <x:c r="E35" s="3"/>
      <x:c r="F35" s="3"/>
      <x:c r="G35" s="3"/>
      <x:c r="H35" s="3"/>
      <x:c r="I35" s="3"/>
      <x:c r="J35" s="3"/>
      <x:c r="K35" s="3"/>
      <x:c r="L35" s="3"/>
      <x:c r="M35" s="3"/>
      <x:c r="N35" s="3"/>
      <x:c r="O35" s="3"/>
      <x:c r="P35" s="3"/>
      <x:c r="Q35" s="3"/>
      <x:c r="R35" s="3"/>
    </x:row>
    <x:row r="36" ht="22" customHeight="1">
      <x:c r="A36" s="3"/>
      <x:c r="B36" s="3"/>
      <x:c r="C36" s="3"/>
      <x:c r="D36" s="3"/>
      <x:c r="E36" s="3"/>
      <x:c r="F36" s="3"/>
      <x:c r="G36" s="3"/>
      <x:c r="H36" s="3"/>
      <x:c r="I36" s="3"/>
      <x:c r="J36" s="3"/>
      <x:c r="K36" s="3"/>
      <x:c r="L36" s="3"/>
      <x:c r="M36" s="3"/>
      <x:c r="N36" s="3"/>
      <x:c r="O36" s="3"/>
      <x:c r="P36" s="3"/>
      <x:c r="Q36" s="3"/>
      <x:c r="R36" s="3"/>
    </x:row>
    <x:row r="37" ht="22" customHeight="1">
      <x:c r="A37" s="3"/>
      <x:c r="B37" s="3"/>
      <x:c r="C37" s="3"/>
      <x:c r="D37" s="3"/>
      <x:c r="E37" s="3"/>
      <x:c r="F37" s="3"/>
      <x:c r="G37" s="3"/>
      <x:c r="H37" s="3"/>
      <x:c r="I37" s="3"/>
      <x:c r="J37" s="3"/>
      <x:c r="K37" s="3"/>
      <x:c r="L37" s="3"/>
      <x:c r="M37" s="3"/>
      <x:c r="N37" s="3"/>
      <x:c r="O37" s="3"/>
      <x:c r="P37" s="3"/>
      <x:c r="Q37" s="3"/>
      <x:c r="R37" s="3"/>
    </x:row>
    <x:row r="38" ht="22" customHeight="1">
      <x:c r="A38" s="3"/>
      <x:c r="B38" s="3"/>
      <x:c r="C38" s="3"/>
      <x:c r="D38" s="3"/>
      <x:c r="E38" s="3"/>
      <x:c r="F38" s="3"/>
      <x:c r="G38" s="3"/>
      <x:c r="H38" s="3"/>
      <x:c r="I38" s="3"/>
      <x:c r="J38" s="3"/>
      <x:c r="K38" s="3"/>
      <x:c r="L38" s="3"/>
      <x:c r="M38" s="3"/>
      <x:c r="N38" s="3"/>
      <x:c r="O38" s="3"/>
      <x:c r="P38" s="3"/>
      <x:c r="Q38" s="3"/>
      <x:c r="R38" s="3"/>
    </x:row>
    <x:row r="39" ht="22" customHeight="1">
      <x:c r="A39" s="3"/>
      <x:c r="B39" s="3"/>
      <x:c r="C39" s="3"/>
      <x:c r="D39" s="3"/>
      <x:c r="E39" s="3"/>
      <x:c r="F39" s="3"/>
      <x:c r="G39" s="3"/>
      <x:c r="H39" s="3"/>
      <x:c r="I39" s="3"/>
      <x:c r="J39" s="3"/>
      <x:c r="K39" s="3"/>
      <x:c r="L39" s="3"/>
      <x:c r="M39" s="3"/>
      <x:c r="N39" s="3"/>
      <x:c r="O39" s="3"/>
      <x:c r="P39" s="3"/>
      <x:c r="Q39" s="3"/>
      <x:c r="R39" s="3"/>
    </x:row>
    <x:row r="40" ht="22" customHeight="1">
      <x:c r="A40" s="3"/>
      <x:c r="B40" s="3"/>
      <x:c r="C40" s="3"/>
      <x:c r="D40" s="3"/>
      <x:c r="E40" s="3"/>
      <x:c r="F40" s="3"/>
      <x:c r="G40" s="3"/>
      <x:c r="H40" s="3"/>
      <x:c r="I40" s="3"/>
      <x:c r="J40" s="3"/>
      <x:c r="K40" s="3"/>
      <x:c r="L40" s="3"/>
      <x:c r="M40" s="3"/>
      <x:c r="N40" s="3"/>
      <x:c r="O40" s="3"/>
      <x:c r="P40" s="3"/>
      <x:c r="Q40" s="3"/>
      <x:c r="R40" s="3"/>
    </x:row>
    <x:row r="41" ht="22" customHeight="1">
      <x:c r="A41" s="3"/>
      <x:c r="B41" s="3"/>
      <x:c r="C41" s="3"/>
      <x:c r="D41" s="3"/>
      <x:c r="E41" s="3"/>
      <x:c r="F41" s="3"/>
      <x:c r="G41" s="3"/>
      <x:c r="H41" s="3"/>
      <x:c r="I41" s="3"/>
      <x:c r="J41" s="3"/>
      <x:c r="K41" s="3"/>
      <x:c r="L41" s="3"/>
      <x:c r="M41" s="3"/>
      <x:c r="N41" s="3"/>
      <x:c r="O41" s="3"/>
      <x:c r="P41" s="3"/>
      <x:c r="Q41" s="3"/>
      <x:c r="R41" s="3"/>
    </x:row>
    <x:row r="42" ht="22" customHeight="1">
      <x:c r="A42" s="3"/>
      <x:c r="B42" s="3"/>
      <x:c r="C42" s="3"/>
      <x:c r="D42" s="3"/>
      <x:c r="E42" s="3"/>
      <x:c r="F42" s="3"/>
      <x:c r="G42" s="3"/>
      <x:c r="H42" s="3"/>
      <x:c r="I42" s="3"/>
      <x:c r="J42" s="3"/>
      <x:c r="K42" s="3"/>
      <x:c r="L42" s="3"/>
      <x:c r="M42" s="3"/>
      <x:c r="N42" s="3"/>
      <x:c r="O42" s="3"/>
      <x:c r="P42" s="3"/>
      <x:c r="Q42" s="3"/>
      <x:c r="R42" s="3"/>
    </x:row>
    <x:row r="43" ht="22" customHeight="1">
      <x:c r="A43" s="3"/>
      <x:c r="B43" s="3"/>
      <x:c r="C43" s="3"/>
      <x:c r="D43" s="3"/>
      <x:c r="E43" s="3"/>
      <x:c r="F43" s="3"/>
      <x:c r="G43" s="3"/>
      <x:c r="H43" s="3"/>
      <x:c r="I43" s="3"/>
      <x:c r="J43" s="3"/>
      <x:c r="K43" s="3"/>
      <x:c r="L43" s="3"/>
      <x:c r="M43" s="3"/>
      <x:c r="N43" s="3"/>
      <x:c r="O43" s="3"/>
      <x:c r="P43" s="3"/>
      <x:c r="Q43" s="3"/>
      <x:c r="R43" s="3"/>
    </x:row>
    <x:row r="44" ht="22" customHeight="1">
      <x:c r="A44" s="3"/>
      <x:c r="B44" s="3"/>
      <x:c r="C44" s="3"/>
      <x:c r="D44" s="3"/>
      <x:c r="E44" s="3"/>
      <x:c r="F44" s="3"/>
      <x:c r="G44" s="3"/>
      <x:c r="H44" s="3"/>
      <x:c r="I44" s="3"/>
      <x:c r="J44" s="3"/>
      <x:c r="K44" s="3"/>
      <x:c r="L44" s="3"/>
      <x:c r="M44" s="3"/>
      <x:c r="N44" s="3"/>
      <x:c r="O44" s="3"/>
      <x:c r="P44" s="3"/>
      <x:c r="Q44" s="3"/>
      <x:c r="R44" s="3"/>
    </x:row>
    <x:row r="45" ht="22" customHeight="1">
      <x:c r="A45" s="3"/>
      <x:c r="B45" s="3"/>
      <x:c r="C45" s="3"/>
      <x:c r="D45" s="3"/>
      <x:c r="E45" s="3"/>
      <x:c r="F45" s="3"/>
      <x:c r="G45" s="3"/>
      <x:c r="H45" s="3"/>
      <x:c r="I45" s="3"/>
      <x:c r="J45" s="3"/>
      <x:c r="K45" s="3"/>
      <x:c r="L45" s="3"/>
      <x:c r="M45" s="3"/>
      <x:c r="N45" s="3"/>
      <x:c r="O45" s="3"/>
      <x:c r="P45" s="3"/>
      <x:c r="Q45" s="3"/>
      <x:c r="R45" s="3"/>
    </x:row>
    <x:row r="46" ht="22" customHeight="1">
      <x:c r="A46" s="3"/>
      <x:c r="B46" s="3"/>
      <x:c r="C46" s="3"/>
      <x:c r="D46" s="3"/>
      <x:c r="E46" s="3"/>
      <x:c r="F46" s="3"/>
      <x:c r="G46" s="3"/>
      <x:c r="H46" s="3"/>
      <x:c r="I46" s="3"/>
      <x:c r="J46" s="3"/>
      <x:c r="K46" s="3"/>
      <x:c r="L46" s="3"/>
      <x:c r="M46" s="3"/>
      <x:c r="N46" s="3"/>
      <x:c r="O46" s="3"/>
      <x:c r="P46" s="3"/>
      <x:c r="Q46" s="3"/>
      <x:c r="R46" s="3"/>
    </x:row>
    <x:row r="47" ht="22" customHeight="1">
      <x:c r="A47" s="3"/>
      <x:c r="B47" s="3"/>
      <x:c r="C47" s="3"/>
      <x:c r="D47" s="3"/>
      <x:c r="E47" s="3"/>
      <x:c r="F47" s="3"/>
      <x:c r="G47" s="3"/>
      <x:c r="H47" s="3"/>
      <x:c r="I47" s="3"/>
      <x:c r="J47" s="3"/>
      <x:c r="K47" s="3"/>
      <x:c r="L47" s="3"/>
      <x:c r="M47" s="3"/>
      <x:c r="N47" s="3"/>
      <x:c r="O47" s="3"/>
      <x:c r="P47" s="3"/>
      <x:c r="Q47" s="3"/>
      <x:c r="R47" s="3"/>
    </x:row>
    <x:row r="48" ht="22" customHeight="1">
      <x:c r="A48" s="3"/>
      <x:c r="B48" s="3"/>
      <x:c r="C48" s="3"/>
      <x:c r="D48" s="3"/>
      <x:c r="E48" s="3"/>
      <x:c r="F48" s="3"/>
      <x:c r="G48" s="3"/>
      <x:c r="H48" s="3"/>
      <x:c r="I48" s="3"/>
      <x:c r="J48" s="3"/>
      <x:c r="K48" s="3"/>
      <x:c r="L48" s="3"/>
      <x:c r="M48" s="3"/>
      <x:c r="N48" s="3"/>
      <x:c r="O48" s="3"/>
      <x:c r="P48" s="3"/>
      <x:c r="Q48" s="3"/>
      <x:c r="R48" s="3"/>
    </x:row>
    <x:row r="49" ht="22" customHeight="1">
      <x:c r="A49" s="3"/>
      <x:c r="B49" s="3"/>
      <x:c r="C49" s="3"/>
      <x:c r="D49" s="3"/>
      <x:c r="E49" s="3"/>
      <x:c r="F49" s="3"/>
      <x:c r="G49" s="3"/>
      <x:c r="H49" s="3"/>
      <x:c r="I49" s="3"/>
      <x:c r="J49" s="3"/>
      <x:c r="K49" s="3"/>
      <x:c r="L49" s="3"/>
      <x:c r="M49" s="3"/>
      <x:c r="N49" s="3"/>
      <x:c r="O49" s="3"/>
      <x:c r="P49" s="3"/>
      <x:c r="Q49" s="3"/>
      <x:c r="R49" s="3"/>
    </x:row>
    <x:row r="50" ht="22" customHeight="1">
      <x:c r="A50" s="3"/>
      <x:c r="B50" s="3"/>
      <x:c r="C50" s="3"/>
      <x:c r="D50" s="3"/>
      <x:c r="E50" s="3"/>
      <x:c r="F50" s="3"/>
      <x:c r="G50" s="3"/>
      <x:c r="H50" s="3"/>
      <x:c r="I50" s="3"/>
      <x:c r="J50" s="3"/>
      <x:c r="K50" s="3"/>
      <x:c r="L50" s="3"/>
      <x:c r="M50" s="3"/>
      <x:c r="N50" s="3"/>
      <x:c r="O50" s="3"/>
      <x:c r="P50" s="3"/>
      <x:c r="Q50" s="3"/>
      <x:c r="R50" s="3"/>
    </x:row>
    <x:row r="51" ht="22" customHeight="1">
      <x:c r="A51" s="3"/>
      <x:c r="B51" s="3"/>
      <x:c r="C51" s="3"/>
      <x:c r="D51" s="3"/>
      <x:c r="E51" s="3"/>
      <x:c r="F51" s="3"/>
      <x:c r="G51" s="3"/>
      <x:c r="H51" s="3"/>
      <x:c r="I51" s="3"/>
      <x:c r="J51" s="3"/>
      <x:c r="K51" s="3"/>
      <x:c r="L51" s="3"/>
      <x:c r="M51" s="3"/>
      <x:c r="N51" s="3"/>
      <x:c r="O51" s="3"/>
      <x:c r="P51" s="3"/>
      <x:c r="Q51" s="3"/>
      <x:c r="R51" s="3"/>
    </x:row>
    <x:row r="52" ht="22" customHeight="1">
      <x:c r="A52" s="3"/>
      <x:c r="B52" s="3"/>
      <x:c r="C52" s="3"/>
      <x:c r="D52" s="3"/>
      <x:c r="E52" s="3"/>
      <x:c r="F52" s="3"/>
      <x:c r="G52" s="3"/>
      <x:c r="H52" s="3"/>
      <x:c r="I52" s="3"/>
      <x:c r="J52" s="3"/>
      <x:c r="K52" s="3"/>
      <x:c r="L52" s="3"/>
      <x:c r="M52" s="3"/>
      <x:c r="N52" s="3"/>
      <x:c r="O52" s="3"/>
      <x:c r="P52" s="3"/>
      <x:c r="Q52" s="3"/>
      <x:c r="R52" s="3"/>
    </x:row>
    <x:row r="53" ht="22" customHeight="1">
      <x:c r="A53" s="3"/>
      <x:c r="B53" s="3"/>
      <x:c r="C53" s="3"/>
      <x:c r="D53" s="3"/>
      <x:c r="E53" s="3"/>
      <x:c r="F53" s="3"/>
      <x:c r="G53" s="3"/>
      <x:c r="H53" s="3"/>
      <x:c r="I53" s="3"/>
      <x:c r="J53" s="3"/>
      <x:c r="K53" s="3"/>
      <x:c r="L53" s="3"/>
      <x:c r="M53" s="3"/>
      <x:c r="N53" s="3"/>
      <x:c r="O53" s="3"/>
      <x:c r="P53" s="3"/>
      <x:c r="Q53" s="3"/>
      <x:c r="R53" s="3"/>
    </x:row>
    <x:row r="54" ht="22" customHeight="1">
      <x:c r="A54" s="3"/>
      <x:c r="B54" s="3"/>
      <x:c r="C54" s="3"/>
      <x:c r="D54" s="3"/>
      <x:c r="E54" s="3"/>
      <x:c r="F54" s="3"/>
      <x:c r="G54" s="3"/>
      <x:c r="H54" s="3"/>
      <x:c r="I54" s="3"/>
      <x:c r="J54" s="3"/>
      <x:c r="K54" s="3"/>
      <x:c r="L54" s="3"/>
      <x:c r="M54" s="3"/>
      <x:c r="N54" s="3"/>
      <x:c r="O54" s="3"/>
      <x:c r="P54" s="3"/>
      <x:c r="Q54" s="3"/>
      <x:c r="R54" s="3"/>
    </x:row>
    <x:row r="55" ht="22" customHeight="1">
      <x:c r="A55" s="3"/>
      <x:c r="B55" s="3"/>
      <x:c r="C55" s="3"/>
      <x:c r="D55" s="3"/>
      <x:c r="E55" s="3"/>
      <x:c r="F55" s="3"/>
      <x:c r="G55" s="3"/>
      <x:c r="H55" s="3"/>
      <x:c r="I55" s="3"/>
      <x:c r="J55" s="3"/>
      <x:c r="K55" s="3"/>
      <x:c r="L55" s="3"/>
      <x:c r="M55" s="3"/>
      <x:c r="N55" s="3"/>
      <x:c r="O55" s="3"/>
      <x:c r="P55" s="3"/>
      <x:c r="Q55" s="3"/>
      <x:c r="R55" s="3"/>
    </x:row>
    <x:row r="56" ht="22" customHeight="1">
      <x:c r="A56" s="3"/>
      <x:c r="B56" s="3"/>
      <x:c r="C56" s="3"/>
      <x:c r="D56" s="3"/>
      <x:c r="E56" s="3"/>
      <x:c r="F56" s="3"/>
      <x:c r="G56" s="3"/>
      <x:c r="H56" s="3"/>
      <x:c r="I56" s="3"/>
      <x:c r="J56" s="3"/>
      <x:c r="K56" s="3"/>
      <x:c r="L56" s="3"/>
      <x:c r="M56" s="3"/>
      <x:c r="N56" s="3"/>
      <x:c r="O56" s="3"/>
      <x:c r="P56" s="3"/>
      <x:c r="Q56" s="3"/>
      <x:c r="R56" s="3"/>
    </x:row>
    <x:row r="57" ht="22" customHeight="1">
      <x:c r="A57" s="3"/>
      <x:c r="B57" s="3"/>
      <x:c r="C57" s="3"/>
      <x:c r="D57" s="3"/>
      <x:c r="E57" s="3"/>
      <x:c r="F57" s="3"/>
      <x:c r="G57" s="3"/>
      <x:c r="H57" s="3"/>
      <x:c r="I57" s="3"/>
      <x:c r="J57" s="3"/>
      <x:c r="K57" s="3"/>
      <x:c r="L57" s="3"/>
      <x:c r="M57" s="3"/>
      <x:c r="N57" s="3"/>
      <x:c r="O57" s="3"/>
      <x:c r="P57" s="3"/>
      <x:c r="Q57" s="3"/>
      <x:c r="R57" s="3"/>
    </x:row>
    <x:row r="58" ht="22" customHeight="1">
      <x:c r="A58" s="3"/>
      <x:c r="B58" s="3"/>
      <x:c r="C58" s="3"/>
      <x:c r="D58" s="3"/>
      <x:c r="E58" s="3"/>
      <x:c r="F58" s="3"/>
      <x:c r="G58" s="3"/>
      <x:c r="H58" s="3"/>
      <x:c r="I58" s="3"/>
      <x:c r="J58" s="3"/>
      <x:c r="K58" s="3"/>
      <x:c r="L58" s="3"/>
      <x:c r="M58" s="3"/>
      <x:c r="N58" s="3"/>
      <x:c r="O58" s="3"/>
      <x:c r="P58" s="3"/>
      <x:c r="Q58" s="3"/>
      <x:c r="R58" s="3"/>
    </x:row>
    <x:row r="59" ht="22" customHeight="1">
      <x:c r="A59" s="3"/>
      <x:c r="B59" s="3"/>
      <x:c r="C59" s="3"/>
      <x:c r="D59" s="3"/>
      <x:c r="E59" s="3"/>
      <x:c r="F59" s="3"/>
      <x:c r="G59" s="3"/>
      <x:c r="H59" s="3"/>
      <x:c r="I59" s="3"/>
      <x:c r="J59" s="3"/>
      <x:c r="K59" s="3"/>
      <x:c r="L59" s="3"/>
      <x:c r="M59" s="3"/>
      <x:c r="N59" s="3"/>
      <x:c r="O59" s="3"/>
      <x:c r="P59" s="3"/>
      <x:c r="Q59" s="3"/>
      <x:c r="R59" s="3"/>
    </x:row>
    <x:row r="60" ht="22" customHeight="1">
      <x:c r="A60" s="3"/>
      <x:c r="B60" s="3"/>
      <x:c r="C60" s="3"/>
      <x:c r="D60" s="3"/>
      <x:c r="E60" s="3"/>
      <x:c r="F60" s="3"/>
      <x:c r="G60" s="3"/>
      <x:c r="H60" s="3"/>
      <x:c r="I60" s="3"/>
      <x:c r="J60" s="3"/>
      <x:c r="K60" s="3"/>
      <x:c r="L60" s="3"/>
      <x:c r="M60" s="3"/>
      <x:c r="N60" s="3"/>
      <x:c r="O60" s="3"/>
      <x:c r="P60" s="3"/>
      <x:c r="Q60" s="3"/>
      <x:c r="R60" s="3"/>
    </x:row>
    <x:row r="61" ht="22" customHeight="1">
      <x:c r="A61" s="3"/>
      <x:c r="B61" s="3"/>
      <x:c r="C61" s="3"/>
      <x:c r="D61" s="3"/>
      <x:c r="E61" s="3"/>
      <x:c r="F61" s="3"/>
      <x:c r="G61" s="3"/>
      <x:c r="H61" s="3"/>
      <x:c r="I61" s="3"/>
      <x:c r="J61" s="3"/>
      <x:c r="K61" s="3"/>
      <x:c r="L61" s="3"/>
      <x:c r="M61" s="3"/>
      <x:c r="N61" s="3"/>
      <x:c r="O61" s="3"/>
      <x:c r="P61" s="3"/>
      <x:c r="Q61" s="3"/>
      <x:c r="R61" s="3"/>
    </x:row>
    <x:row r="62" ht="22" customHeight="1">
      <x:c r="A62" s="3"/>
      <x:c r="B62" s="3"/>
      <x:c r="C62" s="3"/>
      <x:c r="D62" s="3"/>
      <x:c r="E62" s="3"/>
      <x:c r="F62" s="3"/>
      <x:c r="G62" s="3"/>
      <x:c r="H62" s="3"/>
      <x:c r="I62" s="3"/>
      <x:c r="J62" s="3"/>
      <x:c r="K62" s="3"/>
      <x:c r="L62" s="3"/>
      <x:c r="M62" s="3"/>
      <x:c r="N62" s="3"/>
      <x:c r="O62" s="3"/>
      <x:c r="P62" s="3"/>
      <x:c r="Q62" s="3"/>
      <x:c r="R62" s="3"/>
    </x:row>
  </x:sheetData>
  <x:pageMargins left="0.7" right="0.7" top="0.75" bottom="0.75" header="0.3" footer="0.3"/>
  <x:drawing xmlns:r="http://schemas.openxmlformats.org/officeDocument/2006/relationships" r:id="Rb9fe87647af54fc8"/>
</x:worksheet>
</file>

<file path=xl/worksheets/sheet6.xml><?xml version="1.0" encoding="utf-8"?>
<x:worksheet xmlns:x="http://schemas.openxmlformats.org/spreadsheetml/2006/main">
  <x:sheetPr>
    <x:tabColor rgb="FF8F969C"/>
  </x:sheetPr>
  <x:sheetViews>
    <x:sheetView showGridLines="0" workbookViewId="0"/>
  </x:sheetViews>
  <x:sheetFormatPr defaultRowHeight="15"/>
  <x:cols>
    <x:col min="1" max="1" width="54" hidden="0" customWidth="1"/>
    <x:col min="2" max="2" width="125"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22" customHeight="1">
      <x:c r="A1" s="3"/>
      <x:c r="B1" s="3"/>
      <x:c r="C1" s="3"/>
      <x:c r="D1" s="3"/>
      <x:c r="E1" s="3"/>
      <x:c r="F1" s="3"/>
      <x:c r="G1" s="3"/>
      <x:c r="H1" s="3"/>
      <x:c r="I1" s="3"/>
      <x:c r="J1" s="3"/>
      <x:c r="K1" s="3"/>
      <x:c r="L1" s="3"/>
    </x:row>
    <x:row r="2" ht="22" customHeight="1">
      <x:c r="A2" s="4" t="str">
        <x:v>取得範囲・分類・読み方</x:v>
      </x:c>
      <x:c r="B2" s="3"/>
      <x:c r="C2" s="3"/>
      <x:c r="D2" s="3"/>
      <x:c r="E2" s="3"/>
      <x:c r="F2" s="3"/>
      <x:c r="G2" s="3"/>
      <x:c r="H2" s="3"/>
      <x:c r="I2" s="3"/>
      <x:c r="J2" s="3"/>
      <x:c r="K2" s="3"/>
      <x:c r="L2" s="3"/>
    </x:row>
    <x:row r="3" ht="22" customHeight="1">
      <x:c r="A3" s="5"/>
      <x:c r="B3" s="5"/>
      <x:c r="C3" s="5"/>
      <x:c r="D3" s="5"/>
      <x:c r="E3" s="5"/>
      <x:c r="F3" s="5"/>
      <x:c r="G3" s="5"/>
      <x:c r="H3" s="5"/>
      <x:c r="I3" s="5"/>
      <x:c r="J3" s="5"/>
      <x:c r="K3" s="5"/>
      <x:c r="L3" s="5"/>
      <x:c r="M3" s="6"/>
      <x:c r="N3" s="6"/>
    </x:row>
    <x:row r="4" ht="22" customHeight="1">
      <x:c r="A4" s="3"/>
      <x:c r="B4" s="3"/>
      <x:c r="C4" s="3"/>
      <x:c r="D4" s="3"/>
      <x:c r="E4" s="3"/>
      <x:c r="F4" s="3"/>
      <x:c r="G4" s="3"/>
      <x:c r="H4" s="3"/>
      <x:c r="I4" s="3"/>
      <x:c r="J4" s="3"/>
      <x:c r="K4" s="3"/>
      <x:c r="L4" s="3"/>
    </x:row>
    <x:row r="5" ht="22" customHeight="1">
      <x:c r="A5" s="3" t="str">
        <x:v>観測日（取得時点）</x:v>
      </x:c>
      <x:c r="B5" s="9" t="d">
        <x:v>2026-10-08T00:00:00.000Z</x:v>
      </x:c>
      <x:c r="C5" s="3"/>
      <x:c r="D5" s="3"/>
      <x:c r="E5" s="3"/>
      <x:c r="F5" s="3"/>
      <x:c r="G5" s="3"/>
      <x:c r="H5" s="3"/>
      <x:c r="I5" s="3"/>
      <x:c r="J5" s="3"/>
      <x:c r="K5" s="3"/>
      <x:c r="L5" s="3"/>
    </x:row>
    <x:row r="6" ht="22" customHeight="1">
      <x:c r="A6" s="3" t="str">
        <x:v>観測年</x:v>
      </x:c>
      <x:c r="B6" s="10" t="n">
        <x:f>YEAR(B5)</x:f>
        <x:v>2026</x:v>
      </x:c>
      <x:c r="C6" s="3"/>
      <x:c r="D6" s="3"/>
      <x:c r="E6" s="3"/>
      <x:c r="F6" s="3"/>
      <x:c r="G6" s="3"/>
      <x:c r="H6" s="3"/>
      <x:c r="I6" s="3"/>
      <x:c r="J6" s="3"/>
      <x:c r="K6" s="3"/>
      <x:c r="L6" s="3"/>
    </x:row>
    <x:row r="7" ht="22" customHeight="1">
      <x:c r="A7" s="3" t="str">
        <x:v>年式別主集計の上限</x:v>
      </x:c>
      <x:c r="B7" s="11" t="n">
        <x:v>2025</x:v>
      </x:c>
      <x:c r="C7" s="3"/>
      <x:c r="D7" s="3"/>
      <x:c r="E7" s="3"/>
      <x:c r="F7" s="3"/>
      <x:c r="G7" s="3"/>
      <x:c r="H7" s="3"/>
      <x:c r="I7" s="3"/>
      <x:c r="J7" s="3"/>
      <x:c r="K7" s="3"/>
      <x:c r="L7" s="3"/>
    </x:row>
    <x:row r="8" ht="22" customHeight="1">
      <x:c r="A8" s="3" t="str">
        <x:v>未使用の疑いとして除外する走行距離（km未満）</x:v>
      </x:c>
      <x:c r="B8" s="11" t="n">
        <x:v>500</x:v>
      </x:c>
      <x:c r="C8" s="3"/>
      <x:c r="D8" s="3"/>
      <x:c r="E8" s="3"/>
      <x:c r="F8" s="3"/>
      <x:c r="G8" s="3"/>
      <x:c r="H8" s="3"/>
      <x:c r="I8" s="3"/>
      <x:c r="J8" s="3"/>
      <x:c r="K8" s="3"/>
      <x:c r="L8" s="3"/>
    </x:row>
    <x:row r="9" ht="22" customHeight="1">
      <x:c r="A9" s="3" t="str">
        <x:v>取得年式下限</x:v>
      </x:c>
      <x:c r="B9" s="11" t="n">
        <x:v>2020</x:v>
      </x:c>
      <x:c r="C9" s="3"/>
      <x:c r="D9" s="3"/>
      <x:c r="E9" s="3"/>
      <x:c r="F9" s="3"/>
      <x:c r="G9" s="3"/>
      <x:c r="H9" s="3"/>
      <x:c r="I9" s="3"/>
      <x:c r="J9" s="3"/>
      <x:c r="K9" s="3"/>
      <x:c r="L9" s="3"/>
    </x:row>
    <x:row r="10" ht="22" customHeight="1">
      <x:c r="A10" s="3" t="str">
        <x:v>価格単位</x:v>
      </x:c>
      <x:c r="B10" s="10" t="str">
        <x:v>THB（タイ・バーツ）</x:v>
      </x:c>
      <x:c r="C10" s="3"/>
      <x:c r="D10" s="3"/>
      <x:c r="E10" s="3"/>
      <x:c r="F10" s="3"/>
      <x:c r="G10" s="3"/>
      <x:c r="H10" s="3"/>
      <x:c r="I10" s="3"/>
      <x:c r="J10" s="3"/>
      <x:c r="K10" s="3"/>
      <x:c r="L10" s="3"/>
    </x:row>
    <x:row r="11" ht="22" customHeight="1">
      <x:c r="A11" s="3"/>
      <x:c r="B11" s="3"/>
      <x:c r="C11" s="3"/>
      <x:c r="D11" s="3"/>
      <x:c r="E11" s="3"/>
      <x:c r="F11" s="3"/>
      <x:c r="G11" s="3"/>
      <x:c r="H11" s="3"/>
      <x:c r="I11" s="3"/>
      <x:c r="J11" s="3"/>
      <x:c r="K11" s="3"/>
      <x:c r="L11" s="3"/>
    </x:row>
    <x:row r="12" ht="22" customHeight="1">
      <x:c r="A12" s="3"/>
      <x:c r="B12" s="3"/>
      <x:c r="C12" s="3"/>
      <x:c r="D12" s="3"/>
      <x:c r="E12" s="3"/>
      <x:c r="F12" s="3"/>
      <x:c r="G12" s="3"/>
      <x:c r="H12" s="3"/>
      <x:c r="I12" s="3"/>
      <x:c r="J12" s="3"/>
      <x:c r="K12" s="3"/>
      <x:c r="L12" s="3"/>
    </x:row>
    <x:row r="13" ht="27" customHeight="1">
      <x:c r="A13" s="16" t="str">
        <x:v>項目</x:v>
      </x:c>
      <x:c r="B13" s="17" t="str">
        <x:v>説明</x:v>
      </x:c>
      <x:c r="C13" s="3"/>
      <x:c r="D13" s="3"/>
      <x:c r="E13" s="3"/>
      <x:c r="F13" s="3"/>
      <x:c r="G13" s="3"/>
      <x:c r="H13" s="3"/>
      <x:c r="I13" s="3"/>
      <x:c r="J13" s="3"/>
      <x:c r="K13" s="3"/>
      <x:c r="L13" s="3"/>
    </x:row>
    <x:row r="14" ht="27" customHeight="1">
      <x:c r="A14" s="3" t="str">
        <x:v>価格の意味</x:v>
      </x:c>
      <x:c r="B14" s="18" t="str">
        <x:v>出品者が公表した車両掲載価格。成約価格・買取価格・融資総額ではない。個別手数料・VATの最終負担は未確認。</x:v>
      </x:c>
      <x:c r="C14" s="18"/>
      <x:c r="D14" s="18"/>
      <x:c r="E14" s="18"/>
      <x:c r="F14" s="18"/>
      <x:c r="G14" s="18"/>
      <x:c r="H14" s="18"/>
      <x:c r="I14" s="18"/>
      <x:c r="J14" s="18"/>
      <x:c r="K14" s="18"/>
      <x:c r="L14" s="18"/>
    </x:row>
    <x:row r="15" ht="27" customHeight="1">
      <x:c r="A15" s="3" t="str">
        <x:v>中古車の主断面</x:v>
      </x:c>
      <x:c r="B15" s="19" t="str">
        <x:v>Taladrodの公開価格一覧をモデルごとに取得。広告IDでサイト内重複を除去。年式2020–2026の表示広告を収録。</x:v>
      </x:c>
      <x:c r="C15" s="19"/>
      <x:c r="D15" s="19"/>
      <x:c r="E15" s="19"/>
      <x:c r="F15" s="19"/>
      <x:c r="G15" s="19"/>
      <x:c r="H15" s="19"/>
      <x:c r="I15" s="19"/>
      <x:c r="J15" s="19"/>
      <x:c r="K15" s="19"/>
      <x:c r="L15" s="19"/>
    </x:row>
    <x:row r="16" ht="27" customHeight="1">
      <x:c r="A16" s="3" t="str">
        <x:v>現在の主集計</x:v>
      </x:c>
      <x:c r="B16" s="18" t="str">
        <x:v>年式2020–2025、走行距離が掲載され500km未満なら除外、売却済み表示なら除外。年式2026は一覧に残し主集計から除く。</x:v>
      </x:c>
      <x:c r="C16" s="18"/>
      <x:c r="D16" s="18"/>
      <x:c r="E16" s="18"/>
      <x:c r="F16" s="18"/>
      <x:c r="G16" s="18"/>
      <x:c r="H16" s="18"/>
      <x:c r="I16" s="18"/>
      <x:c r="J16" s="18"/>
      <x:c r="K16" s="18"/>
      <x:c r="L16" s="18"/>
    </x:row>
    <x:row r="17" ht="27" customHeight="1">
      <x:c r="A17" s="3" t="str">
        <x:v>補助サイト</x:v>
      </x:c>
      <x:c r="B17" s="19" t="str">
        <x:v>One2carの公開検索結果は取得したページの広告を抽出。年式2023のCross/Hiluxも追加取得。Carsomeは公開在庫カード。全市場の無作為抽出ではない。</x:v>
      </x:c>
      <x:c r="C17" s="19"/>
      <x:c r="D17" s="19"/>
      <x:c r="E17" s="19"/>
      <x:c r="F17" s="19"/>
      <x:c r="G17" s="19"/>
      <x:c r="H17" s="19"/>
      <x:c r="I17" s="19"/>
      <x:c r="J17" s="19"/>
      <x:c r="K17" s="19"/>
      <x:c r="L17" s="19"/>
    </x:row>
    <x:row r="18" ht="27" customHeight="1">
      <x:c r="A18" s="3" t="str">
        <x:v>表示ページの一貫性</x:v>
      </x:c>
      <x:c r="B18" s="18" t="str">
        <x:v>検索結果の掲載追加・順番変更に備え、同じ総ページ行数の版でカード情報を統合し、最も掲載カードを確認できる版を採用。</x:v>
      </x:c>
      <x:c r="C18" s="18"/>
      <x:c r="D18" s="18"/>
      <x:c r="E18" s="18"/>
      <x:c r="F18" s="18"/>
      <x:c r="G18" s="18"/>
      <x:c r="H18" s="18"/>
      <x:c r="I18" s="18"/>
      <x:c r="J18" s="18"/>
      <x:c r="K18" s="18"/>
      <x:c r="L18" s="18"/>
    </x:row>
    <x:row r="19" ht="27" customHeight="1">
      <x:c r="A19" s="3" t="str">
        <x:v>サイト間の重複</x:v>
      </x:c>
      <x:c r="B19" s="19" t="str">
        <x:v>VIN/車台番号を取得できず重複は未確定。同モデル・年式・価格・走行・地域が一致する広告に候補表示。サイト別集計を主とし合算を車両数と呼ばない。</x:v>
      </x:c>
      <x:c r="C19" s="19"/>
      <x:c r="D19" s="19"/>
      <x:c r="E19" s="19"/>
      <x:c r="F19" s="19"/>
      <x:c r="G19" s="19"/>
      <x:c r="H19" s="19"/>
      <x:c r="I19" s="19"/>
      <x:c r="J19" s="19"/>
      <x:c r="K19" s="19"/>
      <x:c r="L19" s="19"/>
    </x:row>
    <x:row r="20" ht="27" customHeight="1">
      <x:c r="A20" s="3" t="str">
        <x:v>掲載数と偏り</x:v>
      </x:c>
      <x:c r="B20" s="18" t="str">
        <x:v>広告を多数集めても地域・在庫・販売者・掲載順・売れ残り偏りは残る。母集団の販売シェア、平均成約価格、ブランド効果へ一般化しない。</x:v>
      </x:c>
      <x:c r="C20" s="18"/>
      <x:c r="D20" s="18"/>
      <x:c r="E20" s="18"/>
      <x:c r="F20" s="18"/>
      <x:c r="G20" s="18"/>
      <x:c r="H20" s="18"/>
      <x:c r="I20" s="18"/>
      <x:c r="J20" s="18"/>
      <x:c r="K20" s="18"/>
      <x:c r="L20" s="18"/>
    </x:row>
    <x:row r="21" ht="27" customHeight="1">
      <x:c r="A21" s="3" t="str">
        <x:v>場所の扱い</x:v>
      </x:c>
      <x:c r="B21" s="19" t="str">
        <x:v>Taladrodは見学/販売場所。ナンバー登録県を販売地域と取り違えない。One2carは広告のProvince、Carsomeは掲載販売拠点。</x:v>
      </x:c>
      <x:c r="C21" s="19"/>
      <x:c r="D21" s="19"/>
      <x:c r="E21" s="19"/>
      <x:c r="F21" s="19"/>
      <x:c r="G21" s="19"/>
      <x:c r="H21" s="19"/>
      <x:c r="I21" s="19"/>
      <x:c r="J21" s="19"/>
      <x:c r="K21" s="19"/>
      <x:c r="L21" s="19"/>
    </x:row>
    <x:row r="22" ht="27" customHeight="1">
      <x:c r="A22" s="3" t="str">
        <x:v>走行距離</x:v>
      </x:c>
      <x:c r="B22" s="18" t="str">
        <x:v>実数と表示レンジの上下限を別保存。実数不明をゼロやレンジ中央値で補完しない。条件抽出はレンジ全体が指定範囲に入る場合のみ。</x:v>
      </x:c>
      <x:c r="C22" s="18"/>
      <x:c r="D22" s="18"/>
      <x:c r="E22" s="18"/>
      <x:c r="F22" s="18"/>
      <x:c r="G22" s="18"/>
      <x:c r="H22" s="18"/>
      <x:c r="I22" s="18"/>
      <x:c r="J22" s="18"/>
      <x:c r="K22" s="18"/>
      <x:c r="L22" s="18"/>
    </x:row>
    <x:row r="23" ht="27" customHeight="1">
      <x:c r="A23" s="3" t="str">
        <x:v>年式と年齢</x:v>
      </x:c>
      <x:c r="B23" s="19" t="str">
        <x:v>年式差＝観測年−掲載年式。初登録日・納車日が不明なため、正確な保有期間や発売後の経過月数とは異なる。</x:v>
      </x:c>
      <x:c r="C23" s="19"/>
      <x:c r="D23" s="19"/>
      <x:c r="E23" s="19"/>
      <x:c r="F23" s="19"/>
      <x:c r="G23" s="19"/>
      <x:c r="H23" s="19"/>
      <x:c r="I23" s="19"/>
      <x:c r="J23" s="19"/>
      <x:c r="K23" s="19"/>
      <x:c r="L23" s="19"/>
    </x:row>
    <x:row r="24" ht="27" customHeight="1">
      <x:c r="A24" s="3" t="str">
        <x:v>年式別価格の線</x:v>
      </x:c>
      <x:c r="B24" s="18" t="str">
        <x:v>観測日の横断比較。違う年式・違う個体の現在価格であり、同じ車を追った減価曲線ではない。年式グラフはN&lt;3を省略。</x:v>
      </x:c>
      <x:c r="C24" s="18"/>
      <x:c r="D24" s="18"/>
      <x:c r="E24" s="18"/>
      <x:c r="F24" s="18"/>
      <x:c r="G24" s="18"/>
      <x:c r="H24" s="18"/>
      <x:c r="I24" s="18"/>
      <x:c r="J24" s="18"/>
      <x:c r="K24" s="18"/>
      <x:c r="L24" s="18"/>
    </x:row>
    <x:row r="25" ht="27" customHeight="1">
      <x:c r="A25" s="3" t="str">
        <x:v>残価率の分母</x:v>
      </x:c>
      <x:c r="B25" s="19" t="str">
        <x:v>同年式・グレードに対応できた当時公表通常小売価格を使用。実購入額は未確認。取得した参考残価率は手数料/VAT/仕様差を完全統一していない。</x:v>
      </x:c>
      <x:c r="C25" s="19"/>
      <x:c r="D25" s="19"/>
      <x:c r="E25" s="19"/>
      <x:c r="F25" s="19"/>
      <x:c r="G25" s="19"/>
      <x:c r="H25" s="19"/>
      <x:c r="I25" s="19"/>
      <x:c r="J25" s="19"/>
      <x:c r="K25" s="19"/>
      <x:c r="L25" s="19"/>
    </x:row>
    <x:row r="26" ht="27" customHeight="1">
      <x:c r="A26" s="3" t="str">
        <x:v>サイト新車参考価格</x:v>
      </x:c>
      <x:c r="B26" s="18" t="str">
        <x:v>Taladrod掲載の新車参考値は公式価格と分離。更新日や改良の反映が不明で、Corolla Cross MY2023には価格報道より5千THB低い値が残る。</x:v>
      </x:c>
      <x:c r="C26" s="18"/>
      <x:c r="D26" s="18"/>
      <x:c r="E26" s="18"/>
      <x:c r="F26" s="18"/>
      <x:c r="G26" s="18"/>
      <x:c r="H26" s="18"/>
      <x:c r="I26" s="18"/>
      <x:c r="J26" s="18"/>
      <x:c r="K26" s="18"/>
      <x:c r="L26" s="18"/>
    </x:row>
    <x:row r="27" ht="27" customHeight="1">
      <x:c r="A27" s="3" t="str">
        <x:v>代替新車価格比</x:v>
      </x:c>
      <x:c r="B27" s="19" t="str">
        <x:v>中古掲載額÷取得時の近似グレード新車特価。旧車の残価率と別の指標。ATTO 3のMY/仕様変更、CrossのSafety→Luxury変更を完全な同仕様比較と扱わない。</x:v>
      </x:c>
      <x:c r="C27" s="19"/>
      <x:c r="D27" s="19"/>
      <x:c r="E27" s="19"/>
      <x:c r="F27" s="19"/>
      <x:c r="G27" s="19"/>
      <x:c r="H27" s="19"/>
      <x:c r="I27" s="19"/>
      <x:c r="J27" s="19"/>
      <x:c r="K27" s="19"/>
      <x:c r="L27" s="19"/>
    </x:row>
    <x:row r="28" ht="27" customHeight="1">
      <x:c r="A28" s="3" t="str">
        <x:v>新車の金融特典</x:v>
      </x:c>
      <x:c r="B28" s="18" t="str">
        <x:v>現金値引・頭金割引・低金利・保険/充電器/保証を別欄に記録。金利・頭金優遇を一律に車両MSRPから引かない。</x:v>
      </x:c>
      <x:c r="C28" s="18"/>
      <x:c r="D28" s="18"/>
      <x:c r="E28" s="18"/>
      <x:c r="F28" s="18"/>
      <x:c r="G28" s="18"/>
      <x:c r="H28" s="18"/>
      <x:c r="I28" s="18"/>
      <x:c r="J28" s="18"/>
      <x:c r="K28" s="18"/>
      <x:c r="L28" s="18"/>
    </x:row>
    <x:row r="29" ht="27" customHeight="1">
      <x:c r="A29" s="3" t="str">
        <x:v>実時系列の範囲</x:v>
      </x:c>
      <x:c r="B29" s="19" t="str">
        <x:v>One2car自身が公表した2025/1–10平均と2024/1–10比を収録。Toyotaの比較可能な月次中古価格履歴、同一車両の継続価格履歴は取得できていない。</x:v>
      </x:c>
      <x:c r="C29" s="19"/>
      <x:c r="D29" s="19"/>
      <x:c r="E29" s="19"/>
      <x:c r="F29" s="19"/>
      <x:c r="G29" s="19"/>
      <x:c r="H29" s="19"/>
      <x:c r="I29" s="19"/>
      <x:c r="J29" s="19"/>
      <x:c r="K29" s="19"/>
      <x:c r="L29" s="19"/>
    </x:row>
    <x:row r="30" ht="27" customHeight="1">
      <x:c r="A30" s="3" t="str">
        <x:v>過去の値を推測しない</x:v>
      </x:c>
      <x:c r="B30" s="18" t="str">
        <x:v>未観測月の中古価格や販売台数、2024年の絶対中古平均価格は補間・逆算していない。2024=100は指数の基準値で、価格観測ではない。</x:v>
      </x:c>
      <x:c r="C30" s="18"/>
      <x:c r="D30" s="18"/>
      <x:c r="E30" s="18"/>
      <x:c r="F30" s="18"/>
      <x:c r="G30" s="18"/>
      <x:c r="H30" s="18"/>
      <x:c r="I30" s="18"/>
      <x:c r="J30" s="18"/>
      <x:c r="K30" s="18"/>
      <x:c r="L30" s="18"/>
    </x:row>
    <x:row r="31" ht="27" customHeight="1">
      <x:c r="A31" s="3" t="str">
        <x:v>少数サンプル</x:v>
      </x:c>
      <x:c r="B31" s="19" t="str">
        <x:v>N&lt;5は結果の安定性が低い。SEAL・M6・SEAL 5・SEALION 7・bZ4Xは特に少数。箱幅に代えQ1/中央値/Q3を表示。</x:v>
      </x:c>
      <x:c r="C31" s="19"/>
      <x:c r="D31" s="19"/>
      <x:c r="E31" s="19"/>
      <x:c r="F31" s="19"/>
      <x:c r="G31" s="19"/>
      <x:c r="H31" s="19"/>
      <x:c r="I31" s="19"/>
      <x:c r="J31" s="19"/>
      <x:c r="K31" s="19"/>
      <x:c r="L31" s="19"/>
    </x:row>
    <x:row r="32" ht="27" customHeight="1">
      <x:c r="A32" s="3" t="str">
        <x:v>更新方法</x:v>
      </x:c>
      <x:c r="B32" s="18" t="str">
        <x:v>価格のセル変更は残価率・既存集計・グラフへ反映。新規広告の追加、年式/型式等の再分類は、同じ取得条件で取り直し集計対象範囲も更新する。</x:v>
      </x:c>
      <x:c r="C32" s="18"/>
      <x:c r="D32" s="18"/>
      <x:c r="E32" s="18"/>
      <x:c r="F32" s="18"/>
      <x:c r="G32" s="18"/>
      <x:c r="H32" s="18"/>
      <x:c r="I32" s="18"/>
      <x:c r="J32" s="18"/>
      <x:c r="K32" s="18"/>
      <x:c r="L32" s="18"/>
    </x:row>
    <x:row r="33" ht="27" customHeight="1">
      <x:c r="A33" s="3" t="str">
        <x:v>仮説と因果</x:v>
      </x:c>
      <x:c r="B33" s="19" t="str">
        <x:v>新車特価が代替購入価格の天井を下げ、旧車の掲載価格に下押し圧力を与える仮説。年式・走行・仕様・保証・需要/供給も影響し、この断面だけで因果は確定しない。</x:v>
      </x:c>
      <x:c r="C33" s="19"/>
      <x:c r="D33" s="19"/>
      <x:c r="E33" s="19"/>
      <x:c r="F33" s="19"/>
      <x:c r="G33" s="19"/>
      <x:c r="H33" s="19"/>
      <x:c r="I33" s="19"/>
      <x:c r="J33" s="19"/>
      <x:c r="K33" s="19"/>
      <x:c r="L33" s="19"/>
    </x:row>
    <x:row r="34" ht="22" customHeight="1">
      <x:c r="A34" s="3"/>
      <x:c r="B34" s="3"/>
      <x:c r="C34" s="3"/>
      <x:c r="D34" s="3"/>
      <x:c r="E34" s="3"/>
      <x:c r="F34" s="3"/>
      <x:c r="G34" s="3"/>
      <x:c r="H34" s="3"/>
      <x:c r="I34" s="3"/>
      <x:c r="J34" s="3"/>
      <x:c r="K34" s="3"/>
      <x:c r="L34" s="3"/>
    </x:row>
    <x:row r="35" ht="22" customHeight="1">
      <x:c r="A35" s="3"/>
      <x:c r="B35" s="3"/>
      <x:c r="C35" s="3"/>
      <x:c r="D35" s="3"/>
      <x:c r="E35" s="3"/>
      <x:c r="F35" s="3"/>
      <x:c r="G35" s="3"/>
      <x:c r="H35" s="3"/>
      <x:c r="I35" s="3"/>
      <x:c r="J35" s="3"/>
      <x:c r="K35" s="3"/>
      <x:c r="L35" s="3"/>
    </x:row>
    <x:row r="36" ht="22" customHeight="1">
      <x:c r="A36" s="3"/>
      <x:c r="B36" s="3"/>
      <x:c r="C36" s="3"/>
      <x:c r="D36" s="3"/>
      <x:c r="E36" s="3"/>
      <x:c r="F36" s="3"/>
      <x:c r="G36" s="3"/>
      <x:c r="H36" s="3"/>
      <x:c r="I36" s="3"/>
      <x:c r="J36" s="3"/>
      <x:c r="K36" s="3"/>
      <x:c r="L36" s="3"/>
    </x:row>
    <x:row r="37" ht="22" customHeight="1">
      <x:c r="A37" s="3"/>
      <x:c r="B37" s="3"/>
      <x:c r="C37" s="3"/>
      <x:c r="D37" s="3"/>
      <x:c r="E37" s="3"/>
      <x:c r="F37" s="3"/>
      <x:c r="G37" s="3"/>
      <x:c r="H37" s="3"/>
      <x:c r="I37" s="3"/>
      <x:c r="J37" s="3"/>
      <x:c r="K37" s="3"/>
      <x:c r="L37" s="3"/>
    </x:row>
    <x:row r="38" ht="30" customHeight="1">
      <x:c r="A38" s="16" t="str">
        <x:v>企業/モデル区分</x:v>
      </x:c>
      <x:c r="B38" s="21" t="str">
        <x:v>動力</x:v>
      </x:c>
      <x:c r="C38" s="21" t="str">
        <x:v>車体</x:v>
      </x:c>
      <x:c r="D38" s="17" t="str">
        <x:v>補足</x:v>
      </x:c>
      <x:c r="E38" s="3"/>
      <x:c r="F38" s="3"/>
      <x:c r="G38" s="3"/>
      <x:c r="H38" s="3"/>
      <x:c r="I38" s="3"/>
      <x:c r="J38" s="3"/>
      <x:c r="K38" s="3"/>
      <x:c r="L38" s="3"/>
    </x:row>
    <x:row r="39" ht="22" customHeight="1">
      <x:c r="A39" s="3" t="str">
        <x:v>BYD ATTO 3 / SEALION 7</x:v>
      </x:c>
      <x:c r="B39" s="3" t="str">
        <x:v>BEV</x:v>
      </x:c>
      <x:c r="C39" s="3" t="str">
        <x:v>SUV</x:v>
      </x:c>
      <x:c r="D39" s="3" t="str">
        <x:v>バッテリーEV</x:v>
      </x:c>
      <x:c r="E39" s="3"/>
      <x:c r="F39" s="3"/>
      <x:c r="G39" s="3"/>
      <x:c r="H39" s="3"/>
      <x:c r="I39" s="3"/>
      <x:c r="J39" s="3"/>
      <x:c r="K39" s="3"/>
      <x:c r="L39" s="3"/>
    </x:row>
    <x:row r="40" ht="22" customHeight="1">
      <x:c r="A40" s="3" t="str">
        <x:v>BYD DOLPHIN</x:v>
      </x:c>
      <x:c r="B40" s="3" t="str">
        <x:v>BEV</x:v>
      </x:c>
      <x:c r="C40" s="3" t="str">
        <x:v>Hatchback</x:v>
      </x:c>
      <x:c r="D40" s="3" t="str">
        <x:v>小型ハッチバック</x:v>
      </x:c>
      <x:c r="E40" s="3"/>
      <x:c r="F40" s="3"/>
      <x:c r="G40" s="3"/>
      <x:c r="H40" s="3"/>
      <x:c r="I40" s="3"/>
      <x:c r="J40" s="3"/>
      <x:c r="K40" s="3"/>
      <x:c r="L40" s="3"/>
    </x:row>
    <x:row r="41" ht="22" customHeight="1">
      <x:c r="A41" s="3" t="str">
        <x:v>BYD SEAL</x:v>
      </x:c>
      <x:c r="B41" s="3" t="str">
        <x:v>BEV</x:v>
      </x:c>
      <x:c r="C41" s="3" t="str">
        <x:v>Sedan</x:v>
      </x:c>
      <x:c r="D41" s="3" t="str">
        <x:v>中型セダン。Altisと車格/価格が異なる</x:v>
      </x:c>
      <x:c r="E41" s="3"/>
      <x:c r="F41" s="3"/>
      <x:c r="G41" s="3"/>
      <x:c r="H41" s="3"/>
      <x:c r="I41" s="3"/>
      <x:c r="J41" s="3"/>
      <x:c r="K41" s="3"/>
      <x:c r="L41" s="3"/>
    </x:row>
    <x:row r="42" ht="22" customHeight="1">
      <x:c r="A42" s="3" t="str">
        <x:v>BYD SEALION 6 / SEAL 5</x:v>
      </x:c>
      <x:c r="B42" s="3" t="str">
        <x:v>PHEV</x:v>
      </x:c>
      <x:c r="C42" s="3" t="str">
        <x:v>SUV / Sedan</x:v>
      </x:c>
      <x:c r="D42" s="3" t="str">
        <x:v>DM-i。プラグイン可能</x:v>
      </x:c>
      <x:c r="E42" s="3"/>
      <x:c r="F42" s="3"/>
      <x:c r="G42" s="3"/>
      <x:c r="H42" s="3"/>
      <x:c r="I42" s="3"/>
      <x:c r="J42" s="3"/>
      <x:c r="K42" s="3"/>
      <x:c r="L42" s="3"/>
    </x:row>
    <x:row r="43" ht="22" customHeight="1">
      <x:c r="A43" s="3" t="str">
        <x:v>BYD M6</x:v>
      </x:c>
      <x:c r="B43" s="3" t="str">
        <x:v>BEV</x:v>
      </x:c>
      <x:c r="C43" s="3" t="str">
        <x:v>MPV</x:v>
      </x:c>
      <x:c r="D43" s="3" t="str">
        <x:v>6/7席を区別</x:v>
      </x:c>
      <x:c r="E43" s="3"/>
      <x:c r="F43" s="3"/>
      <x:c r="G43" s="3"/>
      <x:c r="H43" s="3"/>
      <x:c r="I43" s="3"/>
      <x:c r="J43" s="3"/>
      <x:c r="K43" s="3"/>
      <x:c r="L43" s="3"/>
    </x:row>
    <x:row r="44" ht="22" customHeight="1">
      <x:c r="A44" s="3" t="str">
        <x:v>Toyota Corolla Cross / Altis / Yaris Ativ</x:v>
      </x:c>
      <x:c r="B44" s="3" t="str">
        <x:v>HEV / ICE</x:v>
      </x:c>
      <x:c r="C44" s="3" t="str">
        <x:v>SUV / Sedan</x:v>
      </x:c>
      <x:c r="D44" s="3" t="str">
        <x:v>HEV語のあるグレードだけHEV。不明グレードは不明</x:v>
      </x:c>
      <x:c r="E44" s="3"/>
      <x:c r="F44" s="3"/>
      <x:c r="G44" s="3"/>
      <x:c r="H44" s="3"/>
      <x:c r="I44" s="3"/>
      <x:c r="J44" s="3"/>
      <x:c r="K44" s="3"/>
      <x:c r="L44" s="3"/>
    </x:row>
    <x:row r="45" ht="22" customHeight="1">
      <x:c r="A45" s="3" t="str">
        <x:v>Toyota Hilux Revo / Champ / Fortuner</x:v>
      </x:c>
      <x:c r="B45" s="3" t="str">
        <x:v>ICE</x:v>
      </x:c>
      <x:c r="C45" s="3" t="str">
        <x:v>Pickup / SUV</x:v>
      </x:c>
      <x:c r="D45" s="3" t="str">
        <x:v>Diesel/Gasoline、キャブ、AT/MT、グレードを別列</x:v>
      </x:c>
      <x:c r="E45" s="3"/>
      <x:c r="F45" s="3"/>
      <x:c r="G45" s="3"/>
      <x:c r="H45" s="3"/>
      <x:c r="I45" s="3"/>
      <x:c r="J45" s="3"/>
      <x:c r="K45" s="3"/>
      <x:c r="L45" s="3"/>
    </x:row>
    <x:row r="46" ht="22" customHeight="1">
      <x:c r="A46" s="3" t="str">
        <x:v>Toyota bZ4X / Yaris Cross</x:v>
      </x:c>
      <x:c r="B46" s="3" t="str">
        <x:v>BEV / HEV</x:v>
      </x:c>
      <x:c r="C46" s="3" t="str">
        <x:v>SUV</x:v>
      </x:c>
      <x:c r="D46" s="3" t="str">
        <x:v>bZ4XはN=1。市場平均とは扱わない</x:v>
      </x:c>
      <x:c r="E46" s="3"/>
      <x:c r="F46" s="3"/>
      <x:c r="G46" s="3"/>
      <x:c r="H46" s="3"/>
      <x:c r="I46" s="3"/>
      <x:c r="J46" s="3"/>
      <x:c r="K46" s="3"/>
      <x:c r="L46" s="3"/>
    </x:row>
    <x:row r="47" ht="22" customHeight="1">
      <x:c r="A47" s="3"/>
      <x:c r="B47" s="3"/>
      <x:c r="C47" s="3"/>
      <x:c r="D47" s="3"/>
      <x:c r="E47" s="3"/>
      <x:c r="F47" s="3"/>
      <x:c r="G47" s="3"/>
      <x:c r="H47" s="3"/>
      <x:c r="I47" s="3"/>
      <x:c r="J47" s="3"/>
      <x:c r="K47" s="3"/>
      <x:c r="L47" s="3"/>
    </x:row>
    <x:row r="48" ht="22" customHeight="1">
      <x:c r="A48" s="3"/>
      <x:c r="B48" s="3"/>
      <x:c r="C48" s="3"/>
      <x:c r="D48" s="3"/>
      <x:c r="E48" s="3"/>
      <x:c r="F48" s="3"/>
      <x:c r="G48" s="3"/>
      <x:c r="H48" s="3"/>
      <x:c r="I48" s="3"/>
      <x:c r="J48" s="3"/>
      <x:c r="K48" s="3"/>
      <x:c r="L48" s="3"/>
    </x:row>
    <x:row r="49" ht="22" customHeight="1">
      <x:c r="A49" s="3"/>
      <x:c r="B49" s="3"/>
      <x:c r="C49" s="3"/>
      <x:c r="D49" s="3"/>
      <x:c r="E49" s="3"/>
      <x:c r="F49" s="3"/>
      <x:c r="G49" s="3"/>
      <x:c r="H49" s="3"/>
      <x:c r="I49" s="3"/>
      <x:c r="J49" s="3"/>
      <x:c r="K49" s="3"/>
      <x:c r="L49" s="3"/>
    </x:row>
    <x:row r="50" ht="22" customHeight="1">
      <x:c r="A50" s="3"/>
      <x:c r="B50" s="3"/>
      <x:c r="C50" s="3"/>
      <x:c r="D50" s="3"/>
      <x:c r="E50" s="3"/>
      <x:c r="F50" s="3"/>
      <x:c r="G50" s="3"/>
      <x:c r="H50" s="3"/>
      <x:c r="I50" s="3"/>
      <x:c r="J50" s="3"/>
      <x:c r="K50" s="3"/>
      <x:c r="L50" s="3"/>
    </x:row>
    <x:row r="51" ht="22" customHeight="1">
      <x:c r="A51" s="3"/>
      <x:c r="B51" s="3"/>
      <x:c r="C51" s="3"/>
      <x:c r="D51" s="3"/>
      <x:c r="E51" s="3"/>
      <x:c r="F51" s="3"/>
      <x:c r="G51" s="3"/>
      <x:c r="H51" s="3"/>
      <x:c r="I51" s="3"/>
      <x:c r="J51" s="3"/>
      <x:c r="K51" s="3"/>
      <x:c r="L51" s="3"/>
    </x:row>
    <x:row r="52" ht="22" customHeight="1">
      <x:c r="A52" s="3"/>
      <x:c r="B52" s="3"/>
      <x:c r="C52" s="3"/>
      <x:c r="D52" s="3"/>
      <x:c r="E52" s="3"/>
      <x:c r="F52" s="3"/>
      <x:c r="G52" s="3"/>
      <x:c r="H52" s="3"/>
      <x:c r="I52" s="3"/>
      <x:c r="J52" s="3"/>
      <x:c r="K52" s="3"/>
      <x:c r="L52" s="3"/>
    </x:row>
    <x:row r="53" ht="22" customHeight="1">
      <x:c r="A53" s="3"/>
      <x:c r="B53" s="3"/>
      <x:c r="C53" s="3"/>
      <x:c r="D53" s="3"/>
      <x:c r="E53" s="3"/>
      <x:c r="F53" s="3"/>
      <x:c r="G53" s="3"/>
      <x:c r="H53" s="3"/>
      <x:c r="I53" s="3"/>
      <x:c r="J53" s="3"/>
      <x:c r="K53" s="3"/>
      <x:c r="L53" s="3"/>
    </x:row>
    <x:row r="54" ht="22" customHeight="1">
      <x:c r="A54" s="3"/>
      <x:c r="B54" s="3"/>
      <x:c r="C54" s="3"/>
      <x:c r="D54" s="3"/>
      <x:c r="E54" s="3"/>
      <x:c r="F54" s="3"/>
      <x:c r="G54" s="3"/>
      <x:c r="H54" s="3"/>
      <x:c r="I54" s="3"/>
      <x:c r="J54" s="3"/>
      <x:c r="K54" s="3"/>
      <x:c r="L54" s="3"/>
    </x:row>
    <x:row r="55" ht="22" customHeight="1">
      <x:c r="A55" s="3"/>
      <x:c r="B55" s="3"/>
      <x:c r="C55" s="3"/>
      <x:c r="D55" s="3"/>
      <x:c r="E55" s="3"/>
      <x:c r="F55" s="3"/>
      <x:c r="G55" s="3"/>
      <x:c r="H55" s="3"/>
      <x:c r="I55" s="3"/>
      <x:c r="J55" s="3"/>
      <x:c r="K55" s="3"/>
      <x:c r="L55" s="3"/>
    </x:row>
    <x:row r="56" ht="22" customHeight="1">
      <x:c r="A56" s="3"/>
      <x:c r="B56" s="3"/>
      <x:c r="C56" s="3"/>
      <x:c r="D56" s="3"/>
      <x:c r="E56" s="3"/>
      <x:c r="F56" s="3"/>
      <x:c r="G56" s="3"/>
      <x:c r="H56" s="3"/>
      <x:c r="I56" s="3"/>
      <x:c r="J56" s="3"/>
      <x:c r="K56" s="3"/>
      <x:c r="L56" s="3"/>
    </x:row>
    <x:row r="57" ht="22" customHeight="1">
      <x:c r="A57" s="3"/>
      <x:c r="B57" s="3"/>
      <x:c r="C57" s="3"/>
      <x:c r="D57" s="3"/>
      <x:c r="E57" s="3"/>
      <x:c r="F57" s="3"/>
      <x:c r="G57" s="3"/>
      <x:c r="H57" s="3"/>
      <x:c r="I57" s="3"/>
      <x:c r="J57" s="3"/>
      <x:c r="K57" s="3"/>
      <x:c r="L57" s="3"/>
    </x:row>
    <x:row r="58" ht="22" customHeight="1">
      <x:c r="A58" s="3"/>
      <x:c r="B58" s="3"/>
      <x:c r="C58" s="3"/>
      <x:c r="D58" s="3"/>
      <x:c r="E58" s="3"/>
      <x:c r="F58" s="3"/>
      <x:c r="G58" s="3"/>
      <x:c r="H58" s="3"/>
      <x:c r="I58" s="3"/>
      <x:c r="J58" s="3"/>
      <x:c r="K58" s="3"/>
      <x:c r="L58" s="3"/>
    </x:row>
    <x:row r="59" ht="22" customHeight="1">
      <x:c r="A59" s="3"/>
      <x:c r="B59" s="3"/>
      <x:c r="C59" s="3"/>
      <x:c r="D59" s="3"/>
      <x:c r="E59" s="3"/>
      <x:c r="F59" s="3"/>
      <x:c r="G59" s="3"/>
      <x:c r="H59" s="3"/>
      <x:c r="I59" s="3"/>
      <x:c r="J59" s="3"/>
      <x:c r="K59" s="3"/>
      <x:c r="L59" s="3"/>
    </x:row>
    <x:row r="60" ht="22" customHeight="1">
      <x:c r="A60" s="3"/>
      <x:c r="B60" s="3"/>
      <x:c r="C60" s="3"/>
      <x:c r="D60" s="3"/>
      <x:c r="E60" s="3"/>
      <x:c r="F60" s="3"/>
      <x:c r="G60" s="3"/>
      <x:c r="H60" s="3"/>
      <x:c r="I60" s="3"/>
      <x:c r="J60" s="3"/>
      <x:c r="K60" s="3"/>
      <x:c r="L60" s="3"/>
    </x:row>
    <x:row r="61" ht="22" customHeight="1">
      <x:c r="A61" s="3"/>
      <x:c r="B61" s="3"/>
      <x:c r="C61" s="3"/>
      <x:c r="D61" s="3"/>
      <x:c r="E61" s="3"/>
      <x:c r="F61" s="3"/>
      <x:c r="G61" s="3"/>
      <x:c r="H61" s="3"/>
      <x:c r="I61" s="3"/>
      <x:c r="J61" s="3"/>
      <x:c r="K61" s="3"/>
      <x:c r="L61" s="3"/>
    </x:row>
    <x:row r="62" ht="22" customHeight="1">
      <x:c r="A62" s="3"/>
      <x:c r="B62" s="3"/>
      <x:c r="C62" s="3"/>
      <x:c r="D62" s="3"/>
      <x:c r="E62" s="3"/>
      <x:c r="F62" s="3"/>
      <x:c r="G62" s="3"/>
      <x:c r="H62" s="3"/>
      <x:c r="I62" s="3"/>
      <x:c r="J62" s="3"/>
      <x:c r="K62" s="3"/>
      <x:c r="L62" s="3"/>
    </x:row>
    <x:row r="63" ht="22" customHeight="1">
      <x:c r="A63" s="3"/>
      <x:c r="B63" s="3"/>
      <x:c r="C63" s="3"/>
      <x:c r="D63" s="3"/>
      <x:c r="E63" s="3"/>
      <x:c r="F63" s="3"/>
      <x:c r="G63" s="3"/>
      <x:c r="H63" s="3"/>
      <x:c r="I63" s="3"/>
      <x:c r="J63" s="3"/>
      <x:c r="K63" s="3"/>
      <x:c r="L63" s="3"/>
    </x:row>
    <x:row r="64" ht="22" customHeight="1">
      <x:c r="A64" s="3"/>
      <x:c r="B64" s="3"/>
      <x:c r="C64" s="3"/>
      <x:c r="D64" s="3"/>
      <x:c r="E64" s="3"/>
      <x:c r="F64" s="3"/>
      <x:c r="G64" s="3"/>
      <x:c r="H64" s="3"/>
      <x:c r="I64" s="3"/>
      <x:c r="J64" s="3"/>
      <x:c r="K64" s="3"/>
      <x:c r="L64" s="3"/>
    </x:row>
    <x:row r="65" ht="22" customHeight="1">
      <x:c r="A65" s="3"/>
      <x:c r="B65" s="3"/>
      <x:c r="C65" s="3"/>
      <x:c r="D65" s="3"/>
      <x:c r="E65" s="3"/>
      <x:c r="F65" s="3"/>
      <x:c r="G65" s="3"/>
      <x:c r="H65" s="3"/>
      <x:c r="I65" s="3"/>
      <x:c r="J65" s="3"/>
      <x:c r="K65" s="3"/>
      <x:c r="L65" s="3"/>
    </x:row>
    <x:row r="66" ht="22" customHeight="1">
      <x:c r="A66" s="3"/>
      <x:c r="B66" s="3"/>
      <x:c r="C66" s="3"/>
      <x:c r="D66" s="3"/>
      <x:c r="E66" s="3"/>
      <x:c r="F66" s="3"/>
      <x:c r="G66" s="3"/>
      <x:c r="H66" s="3"/>
      <x:c r="I66" s="3"/>
      <x:c r="J66" s="3"/>
      <x:c r="K66" s="3"/>
      <x:c r="L66" s="3"/>
    </x:row>
  </x:sheetData>
  <x:pageMargins left="0.7" right="0.7" top="0.75" bottom="0.75" header="0.3" footer="0.3"/>
</x:worksheet>
</file>